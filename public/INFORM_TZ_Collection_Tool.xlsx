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ta Entry" sheetId="2" state="hidden" r:id="rId2"/>
    <sheet xmlns:r="http://schemas.openxmlformats.org/officeDocument/2006/relationships" name="Council Entry" sheetId="3" state="visible" r:id="rId3"/>
    <sheet xmlns:r="http://schemas.openxmlformats.org/officeDocument/2006/relationships" name="Council 0-10" sheetId="4" state="visible" r:id="rId4"/>
    <sheet xmlns:r="http://schemas.openxmlformats.org/officeDocument/2006/relationships" name="Advanced (research)" sheetId="5" state="hidden" r:id="rId5"/>
  </sheets>
  <definedNames>
    <definedName name="_xlnm._FilterDatabase" localSheetId="1" hidden="1">'Data Entry'!$A$1:$L$54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3A5F"/>
      <sz val="14"/>
    </font>
    <font>
      <color rgb="00000000"/>
      <sz val="10"/>
    </font>
    <font>
      <color rgb="00000000"/>
      <sz val="11"/>
    </font>
    <font>
      <b val="1"/>
      <color rgb="00FFFFFF"/>
      <sz val="10"/>
    </font>
    <font>
      <sz val="10"/>
    </font>
    <font>
      <b val="1"/>
      <color rgb="001F6F3D"/>
      <sz val="10"/>
    </font>
    <font>
      <i val="1"/>
      <color rgb="0064748B"/>
      <sz val="9"/>
    </font>
    <font>
      <sz val="9"/>
    </font>
    <font>
      <b val="1"/>
      <color rgb="00FFFFFF"/>
      <sz val="9"/>
    </font>
    <font>
      <color rgb="001F6F3D"/>
      <sz val="9"/>
    </font>
    <font>
      <b val="1"/>
      <color rgb="00B45309"/>
      <sz val="11"/>
    </font>
    <font>
      <b val="1"/>
      <color rgb="001F6F3D"/>
      <sz val="9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7E6"/>
      </patternFill>
    </fill>
    <fill>
      <patternFill patternType="solid">
        <fgColor rgb="00EAF3EA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3" borderId="1" applyProtection="1" pivotButton="0" quotePrefix="0" xfId="0">
      <protection locked="0" hidden="0"/>
    </xf>
    <xf numFmtId="0" fontId="6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0" pivotButton="0" quotePrefix="0" xfId="0"/>
    <xf numFmtId="0" fontId="9" fillId="2" borderId="0" pivotButton="0" quotePrefix="0" xfId="0"/>
    <xf numFmtId="0" fontId="0" fillId="3" borderId="0" applyProtection="1" pivotButton="0" quotePrefix="0" xfId="0">
      <protection locked="0" hidden="0"/>
    </xf>
    <xf numFmtId="0" fontId="10" fillId="0" borderId="0" pivotButton="0" quotePrefix="0" xfId="0"/>
    <xf numFmtId="0" fontId="11" fillId="0" borderId="0" pivotButton="0" quotePrefix="0" xfId="0"/>
    <xf numFmtId="0" fontId="4" fillId="5" borderId="0" applyAlignment="1" pivotButton="0" quotePrefix="0" xfId="0">
      <alignment horizontal="center" wrapText="1"/>
    </xf>
    <xf numFmtId="0" fontId="0" fillId="3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INFORM Tanzania - Data Collection Tool (NORMAL / v1)</t>
        </is>
      </c>
    </row>
    <row r="2">
      <c r="A2" s="2" t="inlineStr"/>
    </row>
    <row r="3">
      <c r="A3" s="3" t="inlineStr">
        <is>
          <t>1.  Filter the "Sector" column on the Data Entry sheet to find YOUR indicators.</t>
        </is>
      </c>
    </row>
    <row r="4">
      <c r="A4" s="3" t="inlineStr">
        <is>
          <t>2.  For each, type the ACTUAL VALUE in its own unit (e.g. 18 for 18% underweight, 11 for an</t>
        </is>
      </c>
    </row>
    <row r="5">
      <c r="A5" s="3" t="inlineStr">
        <is>
          <t xml:space="preserve">     11-year drought frequency, a count of displaced people). The unit is shown on each row.</t>
        </is>
      </c>
    </row>
    <row r="6">
      <c r="A6" s="3" t="inlineStr">
        <is>
          <t>3.  The "0-10 (auto)" column standardises it instantly - exactly as the official INFORM workbook.</t>
        </is>
      </c>
    </row>
    <row r="7">
      <c r="A7" s="3" t="inlineStr">
        <is>
          <t xml:space="preserve">     You never invent a score; the tool computes it. These cells are locked.</t>
        </is>
      </c>
    </row>
    <row r="8">
      <c r="A8" s="3" t="inlineStr">
        <is>
          <t>4.  Leave rows you do not have data for BLANK - the model uses the foundation value, nothing breaks.</t>
        </is>
      </c>
    </row>
    <row r="9">
      <c r="A9" s="3" t="inlineStr">
        <is>
          <t>5.  Save and send the file back. The centre reads only the 0-10 values; your raw stays with you.</t>
        </is>
      </c>
    </row>
    <row r="10">
      <c r="A10" s="2" t="inlineStr"/>
    </row>
    <row r="11">
      <c r="A11" s="2" t="inlineStr">
        <is>
          <t>Reference = the fixed Min/Max the value is scaled against (frozen, so a value means the same at</t>
        </is>
      </c>
    </row>
    <row r="12">
      <c r="A12" s="2" t="inlineStr">
        <is>
          <t>district, region, country, or village). Direction "protective" means higher is better (inverted).</t>
        </is>
      </c>
    </row>
    <row r="13">
      <c r="A13" s="2" t="inlineStr">
        <is>
          <t>Only the ACTUAL VALUE column is editable. The ADVANCED version adds research rows (SPEI, soil</t>
        </is>
      </c>
    </row>
    <row r="14">
      <c r="A14" s="2" t="inlineStr">
        <is>
          <t>moisture, water levels...) for sectors to refine an indicator beyond the legacy single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0" customWidth="1" min="4" max="4"/>
    <col width="12" customWidth="1" min="5" max="5"/>
    <col width="10" customWidth="1" min="6" max="6"/>
    <col width="11" customWidth="1" min="7" max="7"/>
    <col width="9" customWidth="1" min="8" max="8"/>
    <col width="9" customWidth="1" min="9" max="9"/>
    <col width="11" customWidth="1" min="10" max="10"/>
    <col width="14" customWidth="1" min="11" max="11"/>
    <col width="11" customWidth="1" min="12" max="12"/>
  </cols>
  <sheetData>
    <row r="1">
      <c r="A1" s="4" t="inlineStr">
        <is>
          <t>Sector</t>
        </is>
      </c>
      <c r="B1" s="4" t="inlineStr">
        <is>
          <t>Dimension</t>
        </is>
      </c>
      <c r="C1" s="4" t="inlineStr">
        <is>
          <t>Component</t>
        </is>
      </c>
      <c r="D1" s="4" t="inlineStr">
        <is>
          <t>Indicator</t>
        </is>
      </c>
      <c r="E1" s="4" t="inlineStr">
        <is>
          <t>Unit</t>
        </is>
      </c>
      <c r="F1" s="4" t="inlineStr">
        <is>
          <t>Level</t>
        </is>
      </c>
      <c r="G1" s="4" t="inlineStr">
        <is>
          <t>Transform</t>
        </is>
      </c>
      <c r="H1" s="4" t="inlineStr">
        <is>
          <t>Ref Min</t>
        </is>
      </c>
      <c r="I1" s="4" t="inlineStr">
        <is>
          <t>Ref Max</t>
        </is>
      </c>
      <c r="J1" s="4" t="inlineStr">
        <is>
          <t>Direction</t>
        </is>
      </c>
      <c r="K1" s="4" t="inlineStr">
        <is>
          <t>ACTUAL VALUE</t>
        </is>
      </c>
      <c r="L1" s="4" t="inlineStr">
        <is>
          <t>0-10 (auto)</t>
        </is>
      </c>
    </row>
    <row r="2">
      <c r="A2" s="5" t="inlineStr">
        <is>
          <t>PMO-DMD</t>
        </is>
      </c>
      <c r="B2" s="5" t="inlineStr">
        <is>
          <t>Hazards &amp; Exposure</t>
        </is>
      </c>
      <c r="C2" s="5" t="inlineStr">
        <is>
          <t>Human / Conflict Intensity</t>
        </is>
      </c>
      <c r="D2" s="5" t="inlineStr">
        <is>
          <t>Conflict Barometer</t>
        </is>
      </c>
      <c r="E2" s="5" t="inlineStr">
        <is>
          <t>Index</t>
        </is>
      </c>
      <c r="F2" s="5" t="inlineStr">
        <is>
          <t>Adm1</t>
        </is>
      </c>
      <c r="G2" s="5" t="inlineStr">
        <is>
          <t>None</t>
        </is>
      </c>
      <c r="H2" s="5" t="n">
        <v>0</v>
      </c>
      <c r="I2" s="5" t="n">
        <v>5</v>
      </c>
      <c r="J2" s="5" t="inlineStr">
        <is>
          <t>risk</t>
        </is>
      </c>
      <c r="K2" s="6" t="n"/>
      <c r="L2" s="7">
        <f>IF(K2="","",IFERROR(MAX(0,MIN(10,ROUND(IF(J2="protective",10-10*((IF(G2="Logarithm",LN(0.001+K2),IF(G2="Exponential",EXP(K2),K2)))-H2)/(I2-H2),10*((IF(G2="Logarithm",LN(0.001+K2),IF(G2="Exponential",EXP(K2),K2)))-H2)/(I2-H2)),1))),"No data"))</f>
        <v/>
      </c>
    </row>
    <row r="3">
      <c r="A3" s="5" t="inlineStr">
        <is>
          <t>PMO-DMD</t>
        </is>
      </c>
      <c r="B3" s="5" t="inlineStr">
        <is>
          <t>Hazards &amp; Exposure</t>
        </is>
      </c>
      <c r="C3" s="5" t="inlineStr">
        <is>
          <t>Human / Conflict Risk</t>
        </is>
      </c>
      <c r="D3" s="5" t="inlineStr">
        <is>
          <t>GCRI derived Conflict probability</t>
        </is>
      </c>
      <c r="E3" s="5" t="inlineStr">
        <is>
          <t>%</t>
        </is>
      </c>
      <c r="F3" s="5" t="inlineStr">
        <is>
          <t>National</t>
        </is>
      </c>
      <c r="G3" s="5" t="inlineStr">
        <is>
          <t>None</t>
        </is>
      </c>
      <c r="H3" s="5" t="n">
        <v>0</v>
      </c>
      <c r="I3" s="5" t="n">
        <v>99.09999999999999</v>
      </c>
      <c r="J3" s="5" t="inlineStr">
        <is>
          <t>risk</t>
        </is>
      </c>
      <c r="K3" s="6" t="n"/>
      <c r="L3" s="7">
        <f>IF(K3="","",IFERROR(MAX(0,MIN(10,ROUND(IF(J3="protective",10-10*((IF(G3="Logarithm",LN(0.001+K3),IF(G3="Exponential",EXP(K3),K3)))-H3)/(I3-H3),10*((IF(G3="Logarithm",LN(0.001+K3),IF(G3="Exponential",EXP(K3),K3)))-H3)/(I3-H3)),1))),"No data"))</f>
        <v/>
      </c>
    </row>
    <row r="4">
      <c r="A4" s="5" t="inlineStr">
        <is>
          <t>TPF/PMO-DMD</t>
        </is>
      </c>
      <c r="B4" s="5" t="inlineStr">
        <is>
          <t>Hazards &amp; Exposure</t>
        </is>
      </c>
      <c r="C4" s="5" t="inlineStr">
        <is>
          <t>Human / Internal Violence</t>
        </is>
      </c>
      <c r="D4" s="5" t="inlineStr">
        <is>
          <t>Number of Events</t>
        </is>
      </c>
      <c r="E4" s="5" t="inlineStr">
        <is>
          <t>Number</t>
        </is>
      </c>
      <c r="F4" s="5" t="inlineStr">
        <is>
          <t>Adm1</t>
        </is>
      </c>
      <c r="G4" s="5" t="inlineStr">
        <is>
          <t>Logarithm</t>
        </is>
      </c>
      <c r="H4" s="5" t="n">
        <v>0.0009995003331</v>
      </c>
      <c r="I4" s="5" t="n">
        <v>4.043068812</v>
      </c>
      <c r="J4" s="5" t="inlineStr">
        <is>
          <t>risk</t>
        </is>
      </c>
      <c r="K4" s="6" t="n"/>
      <c r="L4" s="7">
        <f>IF(K4="","",IFERROR(MAX(0,MIN(10,ROUND(IF(J4="protective",10-10*((IF(G4="Logarithm",LN(0.001+K4),IF(G4="Exponential",EXP(K4),K4)))-H4)/(I4-H4),10*((IF(G4="Logarithm",LN(0.001+K4),IF(G4="Exponential",EXP(K4),K4)))-H4)/(I4-H4)),1))),"No data"))</f>
        <v/>
      </c>
    </row>
    <row r="5">
      <c r="A5" s="5" t="inlineStr">
        <is>
          <t>TPF/PMO-DMD</t>
        </is>
      </c>
      <c r="B5" s="5" t="inlineStr">
        <is>
          <t>Hazards &amp; Exposure</t>
        </is>
      </c>
      <c r="C5" s="5" t="inlineStr">
        <is>
          <t>Human / Internal Violence</t>
        </is>
      </c>
      <c r="D5" s="5" t="inlineStr">
        <is>
          <t>Number of Fatalities</t>
        </is>
      </c>
      <c r="E5" s="5" t="inlineStr">
        <is>
          <t>Number</t>
        </is>
      </c>
      <c r="F5" s="5" t="inlineStr">
        <is>
          <t>Adm1</t>
        </is>
      </c>
      <c r="G5" s="5" t="inlineStr">
        <is>
          <t>Logarithm</t>
        </is>
      </c>
      <c r="H5" s="5" t="n">
        <v>-6.907755279</v>
      </c>
      <c r="I5" s="5" t="n">
        <v>3.891840706</v>
      </c>
      <c r="J5" s="5" t="inlineStr">
        <is>
          <t>risk</t>
        </is>
      </c>
      <c r="K5" s="6" t="n"/>
      <c r="L5" s="7">
        <f>IF(K5="","",IFERROR(MAX(0,MIN(10,ROUND(IF(J5="protective",10-10*((IF(G5="Logarithm",LN(0.001+K5),IF(G5="Exponential",EXP(K5),K5)))-H5)/(I5-H5),10*((IF(G5="Logarithm",LN(0.001+K5),IF(G5="Exponential",EXP(K5),K5)))-H5)/(I5-H5)),1))),"No data"))</f>
        <v/>
      </c>
    </row>
    <row r="6">
      <c r="A6" s="5" t="inlineStr">
        <is>
          <t>TMA</t>
        </is>
      </c>
      <c r="B6" s="5" t="inlineStr">
        <is>
          <t>Hazards &amp; Exposure</t>
        </is>
      </c>
      <c r="C6" s="5" t="inlineStr">
        <is>
          <t>Natural / Coastal hazards</t>
        </is>
      </c>
      <c r="D6" s="5" t="inlineStr">
        <is>
          <t>Coastal Erosion</t>
        </is>
      </c>
      <c r="E6" s="5" t="inlineStr">
        <is>
          <t>meters / year</t>
        </is>
      </c>
      <c r="F6" s="5" t="inlineStr">
        <is>
          <t>Adm2</t>
        </is>
      </c>
      <c r="G6" s="5" t="inlineStr">
        <is>
          <t>None</t>
        </is>
      </c>
      <c r="H6" s="5" t="n">
        <v>-0.3</v>
      </c>
      <c r="I6" s="5" t="n">
        <v>0</v>
      </c>
      <c r="J6" s="5" t="inlineStr">
        <is>
          <t>protective</t>
        </is>
      </c>
      <c r="K6" s="6" t="n"/>
      <c r="L6" s="7">
        <f>IF(K6="","",IFERROR(MAX(0,MIN(10,ROUND(IF(J6="protective",10-10*((IF(G6="Logarithm",LN(0.001+K6),IF(G6="Exponential",EXP(K6),K6)))-H6)/(I6-H6),10*((IF(G6="Logarithm",LN(0.001+K6),IF(G6="Exponential",EXP(K6),K6)))-H6)/(I6-H6)),1))),"No data"))</f>
        <v/>
      </c>
    </row>
    <row r="7">
      <c r="A7" s="5" t="inlineStr">
        <is>
          <t>TMA</t>
        </is>
      </c>
      <c r="B7" s="5" t="inlineStr">
        <is>
          <t>Hazards &amp; Exposure</t>
        </is>
      </c>
      <c r="C7" s="5" t="inlineStr">
        <is>
          <t>Natural / Drought</t>
        </is>
      </c>
      <c r="D7" s="5" t="inlineStr">
        <is>
          <t>Historic Drought Frequency</t>
        </is>
      </c>
      <c r="E7" s="5" t="inlineStr">
        <is>
          <t>years</t>
        </is>
      </c>
      <c r="F7" s="5" t="inlineStr">
        <is>
          <t>Adm1</t>
        </is>
      </c>
      <c r="G7" s="5" t="inlineStr">
        <is>
          <t>None</t>
        </is>
      </c>
      <c r="H7" s="5" t="n">
        <v>5</v>
      </c>
      <c r="I7" s="5" t="n">
        <v>19</v>
      </c>
      <c r="J7" s="5" t="inlineStr">
        <is>
          <t>risk</t>
        </is>
      </c>
      <c r="K7" s="6" t="n"/>
      <c r="L7" s="7">
        <f>IF(K7="","",IFERROR(MAX(0,MIN(10,ROUND(IF(J7="protective",10-10*((IF(G7="Logarithm",LN(0.001+K7),IF(G7="Exponential",EXP(K7),K7)))-H7)/(I7-H7),10*((IF(G7="Logarithm",LN(0.001+K7),IF(G7="Exponential",EXP(K7),K7)))-H7)/(I7-H7)),1))),"No data"))</f>
        <v/>
      </c>
    </row>
    <row r="8">
      <c r="A8" s="5" t="inlineStr">
        <is>
          <t>TMA/GST</t>
        </is>
      </c>
      <c r="B8" s="5" t="inlineStr">
        <is>
          <t>Hazards &amp; Exposure</t>
        </is>
      </c>
      <c r="C8" s="5" t="inlineStr">
        <is>
          <t>Natural / Earthquake</t>
        </is>
      </c>
      <c r="D8" s="5" t="inlineStr">
        <is>
          <t>Earthquake exposure</t>
        </is>
      </c>
      <c r="E8" s="5" t="inlineStr">
        <is>
          <t>index</t>
        </is>
      </c>
      <c r="F8" s="5" t="inlineStr">
        <is>
          <t>Adm2</t>
        </is>
      </c>
      <c r="G8" s="5" t="inlineStr">
        <is>
          <t>None</t>
        </is>
      </c>
      <c r="H8" s="5" t="n">
        <v>0</v>
      </c>
      <c r="I8" s="5" t="n">
        <v>1.000000072</v>
      </c>
      <c r="J8" s="5" t="inlineStr">
        <is>
          <t>risk</t>
        </is>
      </c>
      <c r="K8" s="6" t="n"/>
      <c r="L8" s="7">
        <f>IF(K8="","",IFERROR(MAX(0,MIN(10,ROUND(IF(J8="protective",10-10*((IF(G8="Logarithm",LN(0.001+K8),IF(G8="Exponential",EXP(K8),K8)))-H8)/(I8-H8),10*((IF(G8="Logarithm",LN(0.001+K8),IF(G8="Exponential",EXP(K8),K8)))-H8)/(I8-H8)),1))),"No data"))</f>
        <v/>
      </c>
    </row>
    <row r="9">
      <c r="A9" s="5" t="inlineStr">
        <is>
          <t>NEMC</t>
        </is>
      </c>
      <c r="B9" s="5" t="inlineStr">
        <is>
          <t>Hazards &amp; Exposure</t>
        </is>
      </c>
      <c r="C9" s="5" t="inlineStr">
        <is>
          <t>Natural / Environmental Degradation</t>
        </is>
      </c>
      <c r="D9" s="5" t="inlineStr">
        <is>
          <t>Deforestation - Treecover Loss</t>
        </is>
      </c>
      <c r="E9" s="5" t="inlineStr">
        <is>
          <t>%</t>
        </is>
      </c>
      <c r="F9" s="5" t="inlineStr">
        <is>
          <t>Adm2</t>
        </is>
      </c>
      <c r="G9" s="5" t="inlineStr">
        <is>
          <t>Logarithm</t>
        </is>
      </c>
      <c r="H9" s="5" t="n">
        <v>-6.907755279</v>
      </c>
      <c r="I9" s="5" t="n">
        <v>-1.002357813</v>
      </c>
      <c r="J9" s="5" t="inlineStr">
        <is>
          <t>risk</t>
        </is>
      </c>
      <c r="K9" s="6" t="n"/>
      <c r="L9" s="7">
        <f>IF(K9="","",IFERROR(MAX(0,MIN(10,ROUND(IF(J9="protective",10-10*((IF(G9="Logarithm",LN(0.001+K9),IF(G9="Exponential",EXP(K9),K9)))-H9)/(I9-H9),10*((IF(G9="Logarithm",LN(0.001+K9),IF(G9="Exponential",EXP(K9),K9)))-H9)/(I9-H9)),1))),"No data"))</f>
        <v/>
      </c>
    </row>
    <row r="10">
      <c r="A10" s="5" t="inlineStr">
        <is>
          <t>NEMC</t>
        </is>
      </c>
      <c r="B10" s="5" t="inlineStr">
        <is>
          <t>Hazards &amp; Exposure</t>
        </is>
      </c>
      <c r="C10" s="5" t="inlineStr">
        <is>
          <t>Natural / Environmental Degradation</t>
        </is>
      </c>
      <c r="D10" s="5" t="inlineStr">
        <is>
          <t>Soil Erosion</t>
        </is>
      </c>
      <c r="E10" s="5" t="inlineStr">
        <is>
          <t>Mg/ha/yr</t>
        </is>
      </c>
      <c r="F10" s="5" t="inlineStr">
        <is>
          <t>National</t>
        </is>
      </c>
      <c r="G10" s="5" t="inlineStr">
        <is>
          <t>None</t>
        </is>
      </c>
      <c r="H10" s="5" t="n">
        <v>1.7</v>
      </c>
      <c r="I10" s="5" t="n">
        <v>15.9</v>
      </c>
      <c r="J10" s="5" t="inlineStr">
        <is>
          <t>risk</t>
        </is>
      </c>
      <c r="K10" s="6" t="n"/>
      <c r="L10" s="7">
        <f>IF(K10="","",IFERROR(MAX(0,MIN(10,ROUND(IF(J10="protective",10-10*((IF(G10="Logarithm",LN(0.001+K10),IF(G10="Exponential",EXP(K10),K10)))-H10)/(I10-H10),10*((IF(G10="Logarithm",LN(0.001+K10),IF(G10="Exponential",EXP(K10),K10)))-H10)/(I10-H10)),1))),"No data"))</f>
        <v/>
      </c>
    </row>
    <row r="11">
      <c r="A11" s="5" t="inlineStr">
        <is>
          <t>PMO-DMD</t>
        </is>
      </c>
      <c r="B11" s="5" t="inlineStr">
        <is>
          <t>Hazards &amp; Exposure</t>
        </is>
      </c>
      <c r="C11" s="5" t="inlineStr">
        <is>
          <t>Natural / Flood</t>
        </is>
      </c>
      <c r="D11" s="5" t="inlineStr">
        <is>
          <t>Flood exposure</t>
        </is>
      </c>
      <c r="E11" s="5" t="inlineStr">
        <is>
          <t>%</t>
        </is>
      </c>
      <c r="F11" s="5" t="inlineStr">
        <is>
          <t>Adm2</t>
        </is>
      </c>
      <c r="G11" s="5" t="inlineStr">
        <is>
          <t>Logarithm</t>
        </is>
      </c>
      <c r="H11" s="5" t="n">
        <v>-6.907755279</v>
      </c>
      <c r="I11" s="5" t="n">
        <v>-1.148853505</v>
      </c>
      <c r="J11" s="5" t="inlineStr">
        <is>
          <t>risk</t>
        </is>
      </c>
      <c r="K11" s="6" t="n"/>
      <c r="L11" s="7">
        <f>IF(K11="","",IFERROR(MAX(0,MIN(10,ROUND(IF(J11="protective",10-10*((IF(G11="Logarithm",LN(0.001+K11),IF(G11="Exponential",EXP(K11),K11)))-H11)/(I11-H11),10*((IF(G11="Logarithm",LN(0.001+K11),IF(G11="Exponential",EXP(K11),K11)))-H11)/(I11-H11)),1))),"No data"))</f>
        <v/>
      </c>
    </row>
    <row r="12">
      <c r="A12" s="5" t="inlineStr">
        <is>
          <t>TMA</t>
        </is>
      </c>
      <c r="B12" s="5" t="inlineStr">
        <is>
          <t>Hazards &amp; Exposure</t>
        </is>
      </c>
      <c r="C12" s="5" t="inlineStr">
        <is>
          <t>Natural / Landslide</t>
        </is>
      </c>
      <c r="D12" s="5" t="inlineStr">
        <is>
          <t>Landslide exposure</t>
        </is>
      </c>
      <c r="E12" s="5" t="inlineStr">
        <is>
          <t>%</t>
        </is>
      </c>
      <c r="F12" s="5" t="inlineStr">
        <is>
          <t>Adm2</t>
        </is>
      </c>
      <c r="G12" s="5" t="inlineStr">
        <is>
          <t>Logarithm</t>
        </is>
      </c>
      <c r="H12" s="5" t="n">
        <v>-6.907755279</v>
      </c>
      <c r="I12" s="5" t="n">
        <v>0.0009995003331</v>
      </c>
      <c r="J12" s="5" t="inlineStr">
        <is>
          <t>risk</t>
        </is>
      </c>
      <c r="K12" s="6" t="n"/>
      <c r="L12" s="7">
        <f>IF(K12="","",IFERROR(MAX(0,MIN(10,ROUND(IF(J12="protective",10-10*((IF(G12="Logarithm",LN(0.001+K12),IF(G12="Exponential",EXP(K12),K12)))-H12)/(I12-H12),10*((IF(G12="Logarithm",LN(0.001+K12),IF(G12="Exponential",EXP(K12),K12)))-H12)/(I12-H12)),1))),"No data"))</f>
        <v/>
      </c>
    </row>
    <row r="13">
      <c r="A13" s="5" t="inlineStr">
        <is>
          <t>TMA</t>
        </is>
      </c>
      <c r="B13" s="5" t="inlineStr">
        <is>
          <t>Hazards &amp; Exposure</t>
        </is>
      </c>
      <c r="C13" s="5" t="inlineStr">
        <is>
          <t>Natural / Storms &amp; Cyclone</t>
        </is>
      </c>
      <c r="D13" s="5" t="inlineStr">
        <is>
          <t>Cyclone exposure - max speed</t>
        </is>
      </c>
      <c r="E13" s="5" t="inlineStr">
        <is>
          <t>%</t>
        </is>
      </c>
      <c r="F13" s="5" t="inlineStr">
        <is>
          <t>Adm2</t>
        </is>
      </c>
      <c r="G13" s="5" t="inlineStr">
        <is>
          <t>None</t>
        </is>
      </c>
      <c r="H13" s="5" t="n">
        <v>0</v>
      </c>
      <c r="I13" s="5" t="n">
        <v>18.10675049</v>
      </c>
      <c r="J13" s="5" t="inlineStr">
        <is>
          <t>risk</t>
        </is>
      </c>
      <c r="K13" s="6" t="n"/>
      <c r="L13" s="7">
        <f>IF(K13="","",IFERROR(MAX(0,MIN(10,ROUND(IF(J13="protective",10-10*((IF(G13="Logarithm",LN(0.001+K13),IF(G13="Exponential",EXP(K13),K13)))-H13)/(I13-H13),10*((IF(G13="Logarithm",LN(0.001+K13),IF(G13="Exponential",EXP(K13),K13)))-H13)/(I13-H13)),1))),"No data"))</f>
        <v/>
      </c>
    </row>
    <row r="14">
      <c r="A14" s="5" t="inlineStr">
        <is>
          <t>TMA/GST</t>
        </is>
      </c>
      <c r="B14" s="5" t="inlineStr">
        <is>
          <t>Hazards &amp; Exposure</t>
        </is>
      </c>
      <c r="C14" s="5" t="inlineStr">
        <is>
          <t>Natural / Volcano</t>
        </is>
      </c>
      <c r="D14" s="5" t="inlineStr">
        <is>
          <t>Volcano exposure</t>
        </is>
      </c>
      <c r="E14" s="5" t="inlineStr">
        <is>
          <t>index</t>
        </is>
      </c>
      <c r="F14" s="5" t="inlineStr">
        <is>
          <t>Adm1</t>
        </is>
      </c>
      <c r="G14" s="5" t="inlineStr">
        <is>
          <t>None</t>
        </is>
      </c>
      <c r="H14" s="5" t="n">
        <v>0</v>
      </c>
      <c r="I14" s="5" t="n">
        <v>4</v>
      </c>
      <c r="J14" s="5" t="inlineStr">
        <is>
          <t>risk</t>
        </is>
      </c>
      <c r="K14" s="6" t="n"/>
      <c r="L14" s="7">
        <f>IF(K14="","",IFERROR(MAX(0,MIN(10,ROUND(IF(J14="protective",10-10*((IF(G14="Logarithm",LN(0.001+K14),IF(G14="Exponential",EXP(K14),K14)))-H14)/(I14-H14),10*((IF(G14="Logarithm",LN(0.001+K14),IF(G14="Exponential",EXP(K14),K14)))-H14)/(I14-H14)),1))),"No data"))</f>
        <v/>
      </c>
    </row>
    <row r="15">
      <c r="A15" s="5" t="inlineStr">
        <is>
          <t>TFS/TMA</t>
        </is>
      </c>
      <c r="B15" s="5" t="inlineStr">
        <is>
          <t>Hazards &amp; Exposure</t>
        </is>
      </c>
      <c r="C15" s="5" t="inlineStr">
        <is>
          <t>Natural / Wildfire</t>
        </is>
      </c>
      <c r="D15" s="5" t="inlineStr">
        <is>
          <t>Burned Area</t>
        </is>
      </c>
      <c r="E15" s="5" t="inlineStr">
        <is>
          <t>%</t>
        </is>
      </c>
      <c r="F15" s="5" t="inlineStr">
        <is>
          <t>Adm1</t>
        </is>
      </c>
      <c r="G15" s="5" t="inlineStr">
        <is>
          <t>None</t>
        </is>
      </c>
      <c r="H15" s="5" t="n">
        <v>0</v>
      </c>
      <c r="I15" s="5" t="n">
        <v>49</v>
      </c>
      <c r="J15" s="5" t="inlineStr">
        <is>
          <t>risk</t>
        </is>
      </c>
      <c r="K15" s="6" t="n"/>
      <c r="L15" s="7">
        <f>IF(K15="","",IFERROR(MAX(0,MIN(10,ROUND(IF(J15="protective",10-10*((IF(G15="Logarithm",LN(0.001+K15),IF(G15="Exponential",EXP(K15),K15)))-H15)/(I15-H15),10*((IF(G15="Logarithm",LN(0.001+K15),IF(G15="Exponential",EXP(K15),K15)))-H15)/(I15-H15)),1))),"No data"))</f>
        <v/>
      </c>
    </row>
    <row r="16">
      <c r="A16" s="5" t="inlineStr">
        <is>
          <t>TFS/TMA</t>
        </is>
      </c>
      <c r="B16" s="5" t="inlineStr">
        <is>
          <t>Hazards &amp; Exposure</t>
        </is>
      </c>
      <c r="C16" s="5" t="inlineStr">
        <is>
          <t>Natural / Wildfire</t>
        </is>
      </c>
      <c r="D16" s="5" t="inlineStr">
        <is>
          <t>Fire Weather Index</t>
        </is>
      </c>
      <c r="E16" s="5" t="inlineStr">
        <is>
          <t>index</t>
        </is>
      </c>
      <c r="F16" s="5" t="inlineStr">
        <is>
          <t>Adm1</t>
        </is>
      </c>
      <c r="G16" s="5" t="inlineStr">
        <is>
          <t>None</t>
        </is>
      </c>
      <c r="H16" s="5" t="n">
        <v>0</v>
      </c>
      <c r="I16" s="5" t="n">
        <v>120</v>
      </c>
      <c r="J16" s="5" t="inlineStr">
        <is>
          <t>risk</t>
        </is>
      </c>
      <c r="K16" s="6" t="n"/>
      <c r="L16" s="7">
        <f>IF(K16="","",IFERROR(MAX(0,MIN(10,ROUND(IF(J16="protective",10-10*((IF(G16="Logarithm",LN(0.001+K16),IF(G16="Exponential",EXP(K16),K16)))-H16)/(I16-H16),10*((IF(G16="Logarithm",LN(0.001+K16),IF(G16="Exponential",EXP(K16),K16)))-H16)/(I16-H16)),1))),"No data"))</f>
        <v/>
      </c>
    </row>
    <row r="17">
      <c r="A17" s="5" t="inlineStr">
        <is>
          <t>NBS</t>
        </is>
      </c>
      <c r="B17" s="5" t="inlineStr">
        <is>
          <t>Vulnerability</t>
        </is>
      </c>
      <c r="C17" s="5" t="inlineStr">
        <is>
          <t>Socio-Economics / Development &amp; Poverty</t>
        </is>
      </c>
      <c r="D17" s="5" t="inlineStr">
        <is>
          <t>Gender Development Index</t>
        </is>
      </c>
      <c r="E17" s="5" t="inlineStr">
        <is>
          <t>index</t>
        </is>
      </c>
      <c r="F17" s="5" t="inlineStr">
        <is>
          <t>Adm1</t>
        </is>
      </c>
      <c r="G17" s="5" t="inlineStr">
        <is>
          <t>None</t>
        </is>
      </c>
      <c r="H17" s="5" t="n">
        <v>0.91</v>
      </c>
      <c r="I17" s="5" t="n">
        <v>0.97</v>
      </c>
      <c r="J17" s="5" t="inlineStr">
        <is>
          <t>protective</t>
        </is>
      </c>
      <c r="K17" s="6" t="n"/>
      <c r="L17" s="7">
        <f>IF(K17="","",IFERROR(MAX(0,MIN(10,ROUND(IF(J17="protective",10-10*((IF(G17="Logarithm",LN(0.001+K17),IF(G17="Exponential",EXP(K17),K17)))-H17)/(I17-H17),10*((IF(G17="Logarithm",LN(0.001+K17),IF(G17="Exponential",EXP(K17),K17)))-H17)/(I17-H17)),1))),"No data"))</f>
        <v/>
      </c>
    </row>
    <row r="18">
      <c r="A18" s="5" t="inlineStr">
        <is>
          <t>NBS</t>
        </is>
      </c>
      <c r="B18" s="5" t="inlineStr">
        <is>
          <t>Vulnerability</t>
        </is>
      </c>
      <c r="C18" s="5" t="inlineStr">
        <is>
          <t>Socio-Economics / Development &amp; Poverty</t>
        </is>
      </c>
      <c r="D18" s="5" t="inlineStr">
        <is>
          <t>Human Development Index</t>
        </is>
      </c>
      <c r="E18" s="5" t="inlineStr">
        <is>
          <t>index</t>
        </is>
      </c>
      <c r="F18" s="5" t="inlineStr">
        <is>
          <t>Adm1</t>
        </is>
      </c>
      <c r="G18" s="5" t="inlineStr">
        <is>
          <t>None</t>
        </is>
      </c>
      <c r="H18" s="5" t="n">
        <v>0.45</v>
      </c>
      <c r="I18" s="5" t="n">
        <v>0.68</v>
      </c>
      <c r="J18" s="5" t="inlineStr">
        <is>
          <t>protective</t>
        </is>
      </c>
      <c r="K18" s="6" t="n"/>
      <c r="L18" s="7">
        <f>IF(K18="","",IFERROR(MAX(0,MIN(10,ROUND(IF(J18="protective",10-10*((IF(G18="Logarithm",LN(0.001+K18),IF(G18="Exponential",EXP(K18),K18)))-H18)/(I18-H18),10*((IF(G18="Logarithm",LN(0.001+K18),IF(G18="Exponential",EXP(K18),K18)))-H18)/(I18-H18)),1))),"No data"))</f>
        <v/>
      </c>
    </row>
    <row r="19">
      <c r="A19" s="5" t="inlineStr">
        <is>
          <t>NBS</t>
        </is>
      </c>
      <c r="B19" s="5" t="inlineStr">
        <is>
          <t>Vulnerability</t>
        </is>
      </c>
      <c r="C19" s="5" t="inlineStr">
        <is>
          <t>Socio-Economics / Development &amp; Poverty</t>
        </is>
      </c>
      <c r="D19" s="5" t="inlineStr">
        <is>
          <t>Multidimensional Poverty Index</t>
        </is>
      </c>
      <c r="E19" s="5" t="inlineStr">
        <is>
          <t>index</t>
        </is>
      </c>
      <c r="F19" s="5" t="inlineStr">
        <is>
          <t>Adm1</t>
        </is>
      </c>
      <c r="G19" s="5" t="inlineStr">
        <is>
          <t>None</t>
        </is>
      </c>
      <c r="H19" s="5" t="n">
        <v>0.132</v>
      </c>
      <c r="I19" s="5" t="n">
        <v>0.39</v>
      </c>
      <c r="J19" s="5" t="inlineStr">
        <is>
          <t>risk</t>
        </is>
      </c>
      <c r="K19" s="6" t="n"/>
      <c r="L19" s="7">
        <f>IF(K19="","",IFERROR(MAX(0,MIN(10,ROUND(IF(J19="protective",10-10*((IF(G19="Logarithm",LN(0.001+K19),IF(G19="Exponential",EXP(K19),K19)))-H19)/(I19-H19),10*((IF(G19="Logarithm",LN(0.001+K19),IF(G19="Exponential",EXP(K19),K19)))-H19)/(I19-H19)),1))),"No data"))</f>
        <v/>
      </c>
    </row>
    <row r="20">
      <c r="A20" s="5" t="inlineStr">
        <is>
          <t>NBS</t>
        </is>
      </c>
      <c r="B20" s="5" t="inlineStr">
        <is>
          <t>Vulnerability</t>
        </is>
      </c>
      <c r="C20" s="5" t="inlineStr">
        <is>
          <t>Socio-Economics / Development &amp; Poverty</t>
        </is>
      </c>
      <c r="D20" s="5" t="inlineStr">
        <is>
          <t>Wealth Inequality</t>
        </is>
      </c>
      <c r="E20" s="5" t="inlineStr">
        <is>
          <t>index</t>
        </is>
      </c>
      <c r="F20" s="5" t="inlineStr">
        <is>
          <t>Adm1</t>
        </is>
      </c>
      <c r="G20" s="5" t="inlineStr">
        <is>
          <t>None</t>
        </is>
      </c>
      <c r="H20" s="5" t="n">
        <v>0.16</v>
      </c>
      <c r="I20" s="5" t="n">
        <v>0.44</v>
      </c>
      <c r="J20" s="5" t="inlineStr">
        <is>
          <t>risk</t>
        </is>
      </c>
      <c r="K20" s="6" t="n"/>
      <c r="L20" s="7">
        <f>IF(K20="","",IFERROR(MAX(0,MIN(10,ROUND(IF(J20="protective",10-10*((IF(G20="Logarithm",LN(0.001+K20),IF(G20="Exponential",EXP(K20),K20)))-H20)/(I20-H20),10*((IF(G20="Logarithm",LN(0.001+K20),IF(G20="Exponential",EXP(K20),K20)))-H20)/(I20-H20)),1))),"No data"))</f>
        <v/>
      </c>
    </row>
    <row r="21">
      <c r="A21" s="5" t="inlineStr">
        <is>
          <t>NBS/MoFP</t>
        </is>
      </c>
      <c r="B21" s="5" t="inlineStr">
        <is>
          <t>Vulnerability</t>
        </is>
      </c>
      <c r="C21" s="5" t="inlineStr">
        <is>
          <t>Socio-Economics / Economic Dependency</t>
        </is>
      </c>
      <c r="D21" s="5" t="inlineStr">
        <is>
          <t>Dependency Ratio</t>
        </is>
      </c>
      <c r="E21" s="5" t="inlineStr">
        <is>
          <t>ratio</t>
        </is>
      </c>
      <c r="F21" s="5" t="inlineStr">
        <is>
          <t>Adm1</t>
        </is>
      </c>
      <c r="G21" s="5" t="inlineStr">
        <is>
          <t>None</t>
        </is>
      </c>
      <c r="H21" s="5" t="n">
        <v>55</v>
      </c>
      <c r="I21" s="5" t="n">
        <v>121.8</v>
      </c>
      <c r="J21" s="5" t="inlineStr">
        <is>
          <t>risk</t>
        </is>
      </c>
      <c r="K21" s="6" t="n"/>
      <c r="L21" s="7">
        <f>IF(K21="","",IFERROR(MAX(0,MIN(10,ROUND(IF(J21="protective",10-10*((IF(G21="Logarithm",LN(0.001+K21),IF(G21="Exponential",EXP(K21),K21)))-H21)/(I21-H21),10*((IF(G21="Logarithm",LN(0.001+K21),IF(G21="Exponential",EXP(K21),K21)))-H21)/(I21-H21)),1))),"No data"))</f>
        <v/>
      </c>
    </row>
    <row r="22">
      <c r="A22" s="5" t="inlineStr">
        <is>
          <t>NBS/MoFP</t>
        </is>
      </c>
      <c r="B22" s="5" t="inlineStr">
        <is>
          <t>Vulnerability</t>
        </is>
      </c>
      <c r="C22" s="5" t="inlineStr">
        <is>
          <t>Socio-Economics / Economic Dependency</t>
        </is>
      </c>
      <c r="D22" s="5" t="inlineStr">
        <is>
          <t>Net ODA received (% of GNI)</t>
        </is>
      </c>
      <c r="E22" s="5" t="inlineStr">
        <is>
          <t>%</t>
        </is>
      </c>
      <c r="F22" s="5" t="inlineStr">
        <is>
          <t>National</t>
        </is>
      </c>
      <c r="G22" s="5" t="inlineStr">
        <is>
          <t>None</t>
        </is>
      </c>
      <c r="H22" s="5" t="n">
        <v>0.2</v>
      </c>
      <c r="I22" s="5" t="n">
        <v>14.5</v>
      </c>
      <c r="J22" s="5" t="inlineStr">
        <is>
          <t>risk</t>
        </is>
      </c>
      <c r="K22" s="6" t="n"/>
      <c r="L22" s="7">
        <f>IF(K22="","",IFERROR(MAX(0,MIN(10,ROUND(IF(J22="protective",10-10*((IF(G22="Logarithm",LN(0.001+K22),IF(G22="Exponential",EXP(K22),K22)))-H22)/(I22-H22),10*((IF(G22="Logarithm",LN(0.001+K22),IF(G22="Exponential",EXP(K22),K22)))-H22)/(I22-H22)),1))),"No data"))</f>
        <v/>
      </c>
    </row>
    <row r="23">
      <c r="A23" s="5" t="inlineStr">
        <is>
          <t>NBS/MoFP</t>
        </is>
      </c>
      <c r="B23" s="5" t="inlineStr">
        <is>
          <t>Vulnerability</t>
        </is>
      </c>
      <c r="C23" s="5" t="inlineStr">
        <is>
          <t>Socio-Economics / Economic Dependency</t>
        </is>
      </c>
      <c r="D23" s="5" t="inlineStr">
        <is>
          <t>Personal remittances</t>
        </is>
      </c>
      <c r="E23" s="5" t="inlineStr">
        <is>
          <t>%</t>
        </is>
      </c>
      <c r="F23" s="5" t="inlineStr">
        <is>
          <t>National</t>
        </is>
      </c>
      <c r="G23" s="5" t="inlineStr">
        <is>
          <t>None</t>
        </is>
      </c>
      <c r="H23" s="5" t="n">
        <v>0</v>
      </c>
      <c r="I23" s="5" t="n">
        <v>6.4</v>
      </c>
      <c r="J23" s="5" t="inlineStr">
        <is>
          <t>risk</t>
        </is>
      </c>
      <c r="K23" s="6" t="n"/>
      <c r="L23" s="7">
        <f>IF(K23="","",IFERROR(MAX(0,MIN(10,ROUND(IF(J23="protective",10-10*((IF(G23="Logarithm",LN(0.001+MAX(MIN(K23,0.67),0.67)),IF(G23="Exponential",EXP(MAX(MIN(K23,0.67),0.67)),MAX(MIN(K23,0.67),0.67))))-H23)/(I23-H23),10*((IF(G23="Logarithm",LN(0.001+MAX(MIN(K23,0.67),0.67)),IF(G23="Exponential",EXP(MAX(MIN(K23,0.67),0.67)),MAX(MIN(K23,0.67),0.67))))-H23)/(I23-H23)),1))),"No data"))</f>
        <v/>
      </c>
    </row>
    <row r="24">
      <c r="A24" s="5" t="inlineStr">
        <is>
          <t>NBS</t>
        </is>
      </c>
      <c r="B24" s="5" t="inlineStr">
        <is>
          <t>Vulnerability</t>
        </is>
      </c>
      <c r="C24" s="5" t="inlineStr">
        <is>
          <t>Socio-Economics / Habitat</t>
        </is>
      </c>
      <c r="D24" s="5" t="inlineStr">
        <is>
          <t>Population in informal settlements</t>
        </is>
      </c>
      <c r="E24" s="5" t="inlineStr">
        <is>
          <t>%</t>
        </is>
      </c>
      <c r="F24" s="5" t="inlineStr">
        <is>
          <t>National</t>
        </is>
      </c>
      <c r="G24" s="5" t="inlineStr">
        <is>
          <t>None</t>
        </is>
      </c>
      <c r="H24" s="5" t="n">
        <v>17</v>
      </c>
      <c r="I24" s="5" t="n">
        <v>78.40000000000001</v>
      </c>
      <c r="J24" s="5" t="inlineStr">
        <is>
          <t>risk</t>
        </is>
      </c>
      <c r="K24" s="6" t="n"/>
      <c r="L24" s="7">
        <f>IF(K24="","",IFERROR(MAX(0,MIN(10,ROUND(IF(J24="protective",10-10*((IF(G24="Logarithm",LN(0.001+K24),IF(G24="Exponential",EXP(K24),K24)))-H24)/(I24-H24),10*((IF(G24="Logarithm",LN(0.001+K24),IF(G24="Exponential",EXP(K24),K24)))-H24)/(I24-H24)),1))),"No data"))</f>
        <v/>
      </c>
    </row>
    <row r="25">
      <c r="A25" s="5" t="inlineStr">
        <is>
          <t>NBS</t>
        </is>
      </c>
      <c r="B25" s="5" t="inlineStr">
        <is>
          <t>Vulnerability</t>
        </is>
      </c>
      <c r="C25" s="5" t="inlineStr">
        <is>
          <t>Socio-Economics / Habitat</t>
        </is>
      </c>
      <c r="D25" s="5" t="inlineStr">
        <is>
          <t>Urban Population</t>
        </is>
      </c>
      <c r="E25" s="5" t="inlineStr">
        <is>
          <t>%</t>
        </is>
      </c>
      <c r="F25" s="5" t="inlineStr">
        <is>
          <t>Adm1</t>
        </is>
      </c>
      <c r="G25" s="5" t="inlineStr">
        <is>
          <t>None</t>
        </is>
      </c>
      <c r="H25" s="5" t="n">
        <v>6.3</v>
      </c>
      <c r="I25" s="5" t="n">
        <v>100</v>
      </c>
      <c r="J25" s="5" t="inlineStr">
        <is>
          <t>risk</t>
        </is>
      </c>
      <c r="K25" s="6" t="n"/>
      <c r="L25" s="7">
        <f>IF(K25="","",IFERROR(MAX(0,MIN(10,ROUND(IF(J25="protective",10-10*((IF(G25="Logarithm",LN(0.001+K25),IF(G25="Exponential",EXP(K25),K25)))-H25)/(I25-H25),10*((IF(G25="Logarithm",LN(0.001+K25),IF(G25="Exponential",EXP(K25),K25)))-H25)/(I25-H25)),1))),"No data"))</f>
        <v/>
      </c>
    </row>
    <row r="26">
      <c r="A26" s="5" t="inlineStr">
        <is>
          <t>MUCHALI/IPC</t>
        </is>
      </c>
      <c r="B26" s="5" t="inlineStr">
        <is>
          <t>Vulnerability</t>
        </is>
      </c>
      <c r="C26" s="5" t="inlineStr">
        <is>
          <t>Socio-Economics / Livelihoods</t>
        </is>
      </c>
      <c r="D26" s="5" t="inlineStr">
        <is>
          <t>Food Security - Insufficient food</t>
        </is>
      </c>
      <c r="E26" s="5" t="inlineStr">
        <is>
          <t>% pop phase 2 or higher</t>
        </is>
      </c>
      <c r="F26" s="5" t="inlineStr">
        <is>
          <t>Adm1</t>
        </is>
      </c>
      <c r="G26" s="5" t="inlineStr">
        <is>
          <t>None</t>
        </is>
      </c>
      <c r="H26" s="5" t="n">
        <v>0</v>
      </c>
      <c r="I26" s="5" t="n">
        <v>149</v>
      </c>
      <c r="J26" s="5" t="inlineStr">
        <is>
          <t>risk</t>
        </is>
      </c>
      <c r="K26" s="6" t="n"/>
      <c r="L26" s="7">
        <f>IF(K26="","",IFERROR(MAX(0,MIN(10,ROUND(IF(J26="protective",10-10*((IF(G26="Logarithm",LN(0.001+K26),IF(G26="Exponential",EXP(K26),K26)))-H26)/(I26-H26),10*((IF(G26="Logarithm",LN(0.001+K26),IF(G26="Exponential",EXP(K26),K26)))-H26)/(I26-H26)),1))),"No data"))</f>
        <v/>
      </c>
    </row>
    <row r="27">
      <c r="A27" s="5" t="inlineStr">
        <is>
          <t>MoH/TFNC</t>
        </is>
      </c>
      <c r="B27" s="5" t="inlineStr">
        <is>
          <t>Vulnerability</t>
        </is>
      </c>
      <c r="C27" s="5" t="inlineStr">
        <is>
          <t>Vulnerable Groups / Children Health and Nutrition</t>
        </is>
      </c>
      <c r="D27" s="5" t="inlineStr">
        <is>
          <t>Child mortality</t>
        </is>
      </c>
      <c r="E27" s="5" t="inlineStr">
        <is>
          <t xml:space="preserve">per 1,000 live births </t>
        </is>
      </c>
      <c r="F27" s="5" t="inlineStr">
        <is>
          <t>Adm1</t>
        </is>
      </c>
      <c r="G27" s="5" t="inlineStr">
        <is>
          <t>None</t>
        </is>
      </c>
      <c r="H27" s="5" t="n">
        <v>3.68</v>
      </c>
      <c r="I27" s="5" t="n">
        <v>42.48</v>
      </c>
      <c r="J27" s="5" t="inlineStr">
        <is>
          <t>risk</t>
        </is>
      </c>
      <c r="K27" s="6" t="n"/>
      <c r="L27" s="7">
        <f>IF(K27="","",IFERROR(MAX(0,MIN(10,ROUND(IF(J27="protective",10-10*((IF(G27="Logarithm",LN(0.001+K27),IF(G27="Exponential",EXP(K27),K27)))-H27)/(I27-H27),10*((IF(G27="Logarithm",LN(0.001+K27),IF(G27="Exponential",EXP(K27),K27)))-H27)/(I27-H27)),1))),"No data"))</f>
        <v/>
      </c>
    </row>
    <row r="28">
      <c r="A28" s="5" t="inlineStr">
        <is>
          <t>MoH/TFNC</t>
        </is>
      </c>
      <c r="B28" s="5" t="inlineStr">
        <is>
          <t>Vulnerability</t>
        </is>
      </c>
      <c r="C28" s="5" t="inlineStr">
        <is>
          <t>Vulnerable Groups / Children Health and Nutrition</t>
        </is>
      </c>
      <c r="D28" s="5" t="inlineStr">
        <is>
          <t>Children Underweight</t>
        </is>
      </c>
      <c r="E28" s="5" t="inlineStr">
        <is>
          <t>%</t>
        </is>
      </c>
      <c r="F28" s="5" t="inlineStr">
        <is>
          <t>Adm1</t>
        </is>
      </c>
      <c r="G28" s="5" t="inlineStr">
        <is>
          <t>None</t>
        </is>
      </c>
      <c r="H28" s="5" t="n">
        <v>6.2</v>
      </c>
      <c r="I28" s="5" t="n">
        <v>20</v>
      </c>
      <c r="J28" s="5" t="inlineStr">
        <is>
          <t>risk</t>
        </is>
      </c>
      <c r="K28" s="6" t="n"/>
      <c r="L28" s="7">
        <f>IF(K28="","",IFERROR(MAX(0,MIN(10,ROUND(IF(J28="protective",10-10*((IF(G28="Logarithm",LN(0.001+K28),IF(G28="Exponential",EXP(K28),K28)))-H28)/(I28-H28),10*((IF(G28="Logarithm",LN(0.001+K28),IF(G28="Exponential",EXP(K28),K28)))-H28)/(I28-H28)),1))),"No data"))</f>
        <v/>
      </c>
    </row>
    <row r="29">
      <c r="A29" s="5" t="inlineStr">
        <is>
          <t>MoH/TFNC</t>
        </is>
      </c>
      <c r="B29" s="5" t="inlineStr">
        <is>
          <t>Vulnerability</t>
        </is>
      </c>
      <c r="C29" s="5" t="inlineStr">
        <is>
          <t>Vulnerable Groups / Children Health and Nutrition</t>
        </is>
      </c>
      <c r="D29" s="5" t="inlineStr">
        <is>
          <t>Infant mortality</t>
        </is>
      </c>
      <c r="E29" s="5" t="inlineStr">
        <is>
          <t xml:space="preserve">per 1,000 live births </t>
        </is>
      </c>
      <c r="F29" s="5" t="inlineStr">
        <is>
          <t>Adm1</t>
        </is>
      </c>
      <c r="G29" s="5" t="inlineStr">
        <is>
          <t>None</t>
        </is>
      </c>
      <c r="H29" s="5" t="n">
        <v>28.27</v>
      </c>
      <c r="I29" s="5" t="n">
        <v>76.56999999999999</v>
      </c>
      <c r="J29" s="5" t="inlineStr">
        <is>
          <t>risk</t>
        </is>
      </c>
      <c r="K29" s="6" t="n"/>
      <c r="L29" s="7">
        <f>IF(K29="","",IFERROR(MAX(0,MIN(10,ROUND(IF(J29="protective",10-10*((IF(G29="Logarithm",LN(0.001+K29),IF(G29="Exponential",EXP(K29),K29)))-H29)/(I29-H29),10*((IF(G29="Logarithm",LN(0.001+K29),IF(G29="Exponential",EXP(K29),K29)))-H29)/(I29-H29)),1))),"No data"))</f>
        <v/>
      </c>
    </row>
    <row r="30">
      <c r="A30" s="5" t="inlineStr">
        <is>
          <t>MoH/TFNC</t>
        </is>
      </c>
      <c r="B30" s="5" t="inlineStr">
        <is>
          <t>Vulnerability</t>
        </is>
      </c>
      <c r="C30" s="5" t="inlineStr">
        <is>
          <t>Vulnerable Groups / Children Health and Nutrition</t>
        </is>
      </c>
      <c r="D30" s="5" t="inlineStr">
        <is>
          <t>Neonatal mortality</t>
        </is>
      </c>
      <c r="E30" s="5" t="inlineStr">
        <is>
          <t xml:space="preserve">per 1,000 live births </t>
        </is>
      </c>
      <c r="F30" s="5" t="inlineStr">
        <is>
          <t>Adm1</t>
        </is>
      </c>
      <c r="G30" s="5" t="inlineStr">
        <is>
          <t>None</t>
        </is>
      </c>
      <c r="H30" s="5" t="n">
        <v>10.05</v>
      </c>
      <c r="I30" s="5" t="n">
        <v>49.95</v>
      </c>
      <c r="J30" s="5" t="inlineStr">
        <is>
          <t>risk</t>
        </is>
      </c>
      <c r="K30" s="6" t="n"/>
      <c r="L30" s="7">
        <f>IF(K30="","",IFERROR(MAX(0,MIN(10,ROUND(IF(J30="protective",10-10*((IF(G30="Logarithm",LN(0.001+K30),IF(G30="Exponential",EXP(K30),K30)))-H30)/(I30-H30),10*((IF(G30="Logarithm",LN(0.001+K30),IF(G30="Exponential",EXP(K30),K30)))-H30)/(I30-H30)),1))),"No data"))</f>
        <v/>
      </c>
    </row>
    <row r="31">
      <c r="A31" s="5" t="inlineStr">
        <is>
          <t>UNHCR/PMO-DMD</t>
        </is>
      </c>
      <c r="B31" s="5" t="inlineStr">
        <is>
          <t>Vulnerability</t>
        </is>
      </c>
      <c r="C31" s="5" t="inlineStr">
        <is>
          <t>Vulnerable Groups / Displaced People</t>
        </is>
      </c>
      <c r="D31" s="5" t="inlineStr">
        <is>
          <t>Internal Displaced People</t>
        </is>
      </c>
      <c r="E31" s="5" t="inlineStr">
        <is>
          <t>number of people</t>
        </is>
      </c>
      <c r="F31" s="5" t="inlineStr">
        <is>
          <t>Adm1</t>
        </is>
      </c>
      <c r="G31" s="5" t="inlineStr">
        <is>
          <t>Logarithm</t>
        </is>
      </c>
      <c r="H31" s="5" t="n">
        <v>-6.907755279</v>
      </c>
      <c r="I31" s="5" t="n">
        <v>10.31161581</v>
      </c>
      <c r="J31" s="5" t="inlineStr">
        <is>
          <t>risk</t>
        </is>
      </c>
      <c r="K31" s="6" t="n"/>
      <c r="L31" s="7">
        <f>IF(K31="","",IFERROR(MAX(0,MIN(10,ROUND(IF(J31="protective",10-10*((IF(G31="Logarithm",LN(0.001+K31),IF(G31="Exponential",EXP(K31),K31)))-H31)/(I31-H31),10*((IF(G31="Logarithm",LN(0.001+K31),IF(G31="Exponential",EXP(K31),K31)))-H31)/(I31-H31)),1))),"No data"))</f>
        <v/>
      </c>
    </row>
    <row r="32">
      <c r="A32" s="5" t="inlineStr">
        <is>
          <t>MoH</t>
        </is>
      </c>
      <c r="B32" s="5" t="inlineStr">
        <is>
          <t>Vulnerability</t>
        </is>
      </c>
      <c r="C32" s="5" t="inlineStr">
        <is>
          <t>Vulnerable Groups / Health Conditions</t>
        </is>
      </c>
      <c r="D32" s="5" t="inlineStr">
        <is>
          <t>Life Expectancy</t>
        </is>
      </c>
      <c r="E32" s="5" t="inlineStr">
        <is>
          <t>years</t>
        </is>
      </c>
      <c r="F32" s="5" t="inlineStr">
        <is>
          <t>National</t>
        </is>
      </c>
      <c r="G32" s="5" t="inlineStr">
        <is>
          <t>None</t>
        </is>
      </c>
      <c r="H32" s="5" t="n">
        <v>63.94</v>
      </c>
      <c r="I32" s="5" t="n">
        <v>72.08</v>
      </c>
      <c r="J32" s="5" t="inlineStr">
        <is>
          <t>protective</t>
        </is>
      </c>
      <c r="K32" s="6" t="n"/>
      <c r="L32" s="7">
        <f>IF(K32="","",IFERROR(MAX(0,MIN(10,ROUND(IF(J32="protective",10-10*((IF(G32="Logarithm",LN(0.001+K32),IF(G32="Exponential",EXP(K32),K32)))-H32)/(I32-H32),10*((IF(G32="Logarithm",LN(0.001+K32),IF(G32="Exponential",EXP(K32),K32)))-H32)/(I32-H32)),1))),"No data"))</f>
        <v/>
      </c>
    </row>
    <row r="33">
      <c r="A33" s="5" t="inlineStr">
        <is>
          <t>MoH</t>
        </is>
      </c>
      <c r="B33" s="5" t="inlineStr">
        <is>
          <t>Vulnerability</t>
        </is>
      </c>
      <c r="C33" s="5" t="inlineStr">
        <is>
          <t>Vulnerable Groups / Health Conditions</t>
        </is>
      </c>
      <c r="D33" s="5" t="inlineStr">
        <is>
          <t>Malaria prevalence</t>
        </is>
      </c>
      <c r="E33" s="5" t="inlineStr">
        <is>
          <t>max malaria prevalence per person</t>
        </is>
      </c>
      <c r="F33" s="5" t="inlineStr">
        <is>
          <t>Adm1</t>
        </is>
      </c>
      <c r="G33" s="5" t="inlineStr">
        <is>
          <t>None</t>
        </is>
      </c>
      <c r="H33" s="5" t="n">
        <v>0.11</v>
      </c>
      <c r="I33" s="5" t="n">
        <v>0.37</v>
      </c>
      <c r="J33" s="5" t="inlineStr">
        <is>
          <t>risk</t>
        </is>
      </c>
      <c r="K33" s="6" t="n"/>
      <c r="L33" s="7">
        <f>IF(K33="","",IFERROR(MAX(0,MIN(10,ROUND(IF(J33="protective",10-10*((IF(G33="Logarithm",LN(0.001+K33),IF(G33="Exponential",EXP(K33),K33)))-H33)/(I33-H33),10*((IF(G33="Logarithm",LN(0.001+K33),IF(G33="Exponential",EXP(K33),K33)))-H33)/(I33-H33)),1))),"No data"))</f>
        <v/>
      </c>
    </row>
    <row r="34">
      <c r="A34" s="5" t="inlineStr">
        <is>
          <t>MoH</t>
        </is>
      </c>
      <c r="B34" s="5" t="inlineStr">
        <is>
          <t>Vulnerability</t>
        </is>
      </c>
      <c r="C34" s="5" t="inlineStr">
        <is>
          <t>Vulnerable Groups / Health Conditions</t>
        </is>
      </c>
      <c r="D34" s="5" t="inlineStr">
        <is>
          <t>Measles Incidence</t>
        </is>
      </c>
      <c r="E34" s="5" t="inlineStr">
        <is>
          <t>per 1,000,000 population</t>
        </is>
      </c>
      <c r="F34" s="5" t="inlineStr">
        <is>
          <t>National</t>
        </is>
      </c>
      <c r="G34" s="5" t="inlineStr">
        <is>
          <t>None</t>
        </is>
      </c>
      <c r="H34" s="5" t="n">
        <v>2.9</v>
      </c>
      <c r="I34" s="5" t="n">
        <v>1595.4</v>
      </c>
      <c r="J34" s="5" t="inlineStr">
        <is>
          <t>risk</t>
        </is>
      </c>
      <c r="K34" s="6" t="n"/>
      <c r="L34" s="7">
        <f>IF(K34="","",IFERROR(MAX(0,MIN(10,ROUND(IF(J34="protective",10-10*((IF(G34="Logarithm",LN(0.001+K34),IF(G34="Exponential",EXP(K34),K34)))-H34)/(I34-H34),10*((IF(G34="Logarithm",LN(0.001+K34),IF(G34="Exponential",EXP(K34),K34)))-H34)/(I34-H34)),1))),"No data"))</f>
        <v/>
      </c>
    </row>
    <row r="35">
      <c r="A35" s="5" t="inlineStr">
        <is>
          <t>MoH</t>
        </is>
      </c>
      <c r="B35" s="5" t="inlineStr">
        <is>
          <t>Coping Capacity</t>
        </is>
      </c>
      <c r="C35" s="5" t="inlineStr">
        <is>
          <t>Infrastructure / Access to health care</t>
        </is>
      </c>
      <c r="D35" s="5" t="inlineStr">
        <is>
          <t>BCG Immunization Coverage</t>
        </is>
      </c>
      <c r="E35" s="5" t="inlineStr">
        <is>
          <t>%</t>
        </is>
      </c>
      <c r="F35" s="5" t="inlineStr">
        <is>
          <t>Adm1</t>
        </is>
      </c>
      <c r="G35" s="5" t="inlineStr">
        <is>
          <t>None</t>
        </is>
      </c>
      <c r="H35" s="5" t="n">
        <v>90.40000000000001</v>
      </c>
      <c r="I35" s="5" t="n">
        <v>100</v>
      </c>
      <c r="J35" s="5" t="inlineStr">
        <is>
          <t>protective</t>
        </is>
      </c>
      <c r="K35" s="6" t="n"/>
      <c r="L35" s="7">
        <f>IF(K35="","",IFERROR(MAX(0,MIN(10,ROUND(IF(J35="protective",10-10*((IF(G35="Logarithm",LN(0.001+K35),IF(G35="Exponential",EXP(K35),K35)))-H35)/(I35-H35),10*((IF(G35="Logarithm",LN(0.001+K35),IF(G35="Exponential",EXP(K35),K35)))-H35)/(I35-H35)),1))),"No data"))</f>
        <v/>
      </c>
    </row>
    <row r="36">
      <c r="A36" s="5" t="inlineStr">
        <is>
          <t>MoH</t>
        </is>
      </c>
      <c r="B36" s="5" t="inlineStr">
        <is>
          <t>Coping Capacity</t>
        </is>
      </c>
      <c r="C36" s="5" t="inlineStr">
        <is>
          <t>Infrastructure / Access to health care</t>
        </is>
      </c>
      <c r="D36" s="5" t="inlineStr">
        <is>
          <t>DTP3 Immunization Coverage</t>
        </is>
      </c>
      <c r="E36" s="5" t="inlineStr">
        <is>
          <t>%</t>
        </is>
      </c>
      <c r="F36" s="5" t="inlineStr">
        <is>
          <t>Adm1</t>
        </is>
      </c>
      <c r="G36" s="5" t="inlineStr">
        <is>
          <t>None</t>
        </is>
      </c>
      <c r="H36" s="5" t="n">
        <v>69.90000000000001</v>
      </c>
      <c r="I36" s="5" t="n">
        <v>98.59999999999999</v>
      </c>
      <c r="J36" s="5" t="inlineStr">
        <is>
          <t>protective</t>
        </is>
      </c>
      <c r="K36" s="6" t="n"/>
      <c r="L36" s="7">
        <f>IF(K36="","",IFERROR(MAX(0,MIN(10,ROUND(IF(J36="protective",10-10*((IF(G36="Logarithm",LN(0.001+K36),IF(G36="Exponential",EXP(K36),K36)))-H36)/(I36-H36),10*((IF(G36="Logarithm",LN(0.001+K36),IF(G36="Exponential",EXP(K36),K36)))-H36)/(I36-H36)),1))),"No data"))</f>
        <v/>
      </c>
    </row>
    <row r="37">
      <c r="A37" s="5" t="inlineStr">
        <is>
          <t>MoH</t>
        </is>
      </c>
      <c r="B37" s="5" t="inlineStr">
        <is>
          <t>Coping Capacity</t>
        </is>
      </c>
      <c r="C37" s="5" t="inlineStr">
        <is>
          <t>Infrastructure / Access to health care</t>
        </is>
      </c>
      <c r="D37" s="5" t="inlineStr">
        <is>
          <t>Density of health facilities</t>
        </is>
      </c>
      <c r="E37" s="5" t="inlineStr">
        <is>
          <t>per capita</t>
        </is>
      </c>
      <c r="F37" s="5" t="inlineStr">
        <is>
          <t>Adm1</t>
        </is>
      </c>
      <c r="G37" s="5" t="inlineStr">
        <is>
          <t>None</t>
        </is>
      </c>
      <c r="H37" s="5" t="n">
        <v>0</v>
      </c>
      <c r="I37" s="5" t="n">
        <v>0</v>
      </c>
      <c r="J37" s="5" t="inlineStr">
        <is>
          <t>protective</t>
        </is>
      </c>
      <c r="K37" s="6" t="n"/>
      <c r="L37" s="7">
        <f>IF(K37="","",IFERROR(MAX(0,MIN(10,ROUND(IF(J37="protective",10-10*((IF(G37="Logarithm",LN(0.001+K37),IF(G37="Exponential",EXP(K37),K37)))-H37)/(I37-H37),10*((IF(G37="Logarithm",LN(0.001+K37),IF(G37="Exponential",EXP(K37),K37)))-H37)/(I37-H37)),1))),"No data"))</f>
        <v/>
      </c>
    </row>
    <row r="38">
      <c r="A38" s="5" t="inlineStr">
        <is>
          <t>MoH</t>
        </is>
      </c>
      <c r="B38" s="5" t="inlineStr">
        <is>
          <t>Coping Capacity</t>
        </is>
      </c>
      <c r="C38" s="5" t="inlineStr">
        <is>
          <t>Infrastructure / Access to health care</t>
        </is>
      </c>
      <c r="D38" s="5" t="inlineStr">
        <is>
          <t>Health expenditure per capita</t>
        </is>
      </c>
      <c r="E38" s="5" t="inlineStr">
        <is>
          <t>US$ per capita</t>
        </is>
      </c>
      <c r="F38" s="5" t="inlineStr">
        <is>
          <t>National</t>
        </is>
      </c>
      <c r="G38" s="5" t="inlineStr">
        <is>
          <t>None</t>
        </is>
      </c>
      <c r="H38" s="5" t="n">
        <v>19.3</v>
      </c>
      <c r="I38" s="5" t="n">
        <v>758.2</v>
      </c>
      <c r="J38" s="5" t="inlineStr">
        <is>
          <t>protective</t>
        </is>
      </c>
      <c r="K38" s="6" t="n"/>
      <c r="L38" s="7">
        <f>IF(K38="","",IFERROR(MAX(0,MIN(10,ROUND(IF(J38="protective",10-10*((IF(G38="Logarithm",LN(0.001+K38),IF(G38="Exponential",EXP(K38),K38)))-H38)/(I38-H38),10*((IF(G38="Logarithm",LN(0.001+K38),IF(G38="Exponential",EXP(K38),K38)))-H38)/(I38-H38)),1))),"No data"))</f>
        <v/>
      </c>
    </row>
    <row r="39">
      <c r="A39" s="5" t="inlineStr">
        <is>
          <t>MoH</t>
        </is>
      </c>
      <c r="B39" s="5" t="inlineStr">
        <is>
          <t>Coping Capacity</t>
        </is>
      </c>
      <c r="C39" s="5" t="inlineStr">
        <is>
          <t>Infrastructure / Access to health care</t>
        </is>
      </c>
      <c r="D39" s="5" t="inlineStr">
        <is>
          <t>Measles Immunization Coverage</t>
        </is>
      </c>
      <c r="E39" s="5" t="inlineStr">
        <is>
          <t>%</t>
        </is>
      </c>
      <c r="F39" s="5" t="inlineStr">
        <is>
          <t>Adm1</t>
        </is>
      </c>
      <c r="G39" s="5" t="inlineStr">
        <is>
          <t>None</t>
        </is>
      </c>
      <c r="H39" s="5" t="n">
        <v>75.80887488</v>
      </c>
      <c r="I39" s="5" t="n">
        <v>100</v>
      </c>
      <c r="J39" s="5" t="inlineStr">
        <is>
          <t>protective</t>
        </is>
      </c>
      <c r="K39" s="6" t="n"/>
      <c r="L39" s="7">
        <f>IF(K39="","",IFERROR(MAX(0,MIN(10,ROUND(IF(J39="protective",10-10*((IF(G39="Logarithm",LN(0.001+K39),IF(G39="Exponential",EXP(K39),K39)))-H39)/(I39-H39),10*((IF(G39="Logarithm",LN(0.001+K39),IF(G39="Exponential",EXP(K39),K39)))-H39)/(I39-H39)),1))),"No data"))</f>
        <v/>
      </c>
    </row>
    <row r="40">
      <c r="A40" s="5" t="inlineStr">
        <is>
          <t>MoH</t>
        </is>
      </c>
      <c r="B40" s="5" t="inlineStr">
        <is>
          <t>Coping Capacity</t>
        </is>
      </c>
      <c r="C40" s="5" t="inlineStr">
        <is>
          <t>Infrastructure / Access to health care</t>
        </is>
      </c>
      <c r="D40" s="5" t="inlineStr">
        <is>
          <t>Physicians density</t>
        </is>
      </c>
      <c r="E40" s="5" t="inlineStr">
        <is>
          <t>per 10,000 population</t>
        </is>
      </c>
      <c r="F40" s="5" t="inlineStr">
        <is>
          <t>National</t>
        </is>
      </c>
      <c r="G40" s="5" t="inlineStr">
        <is>
          <t>None</t>
        </is>
      </c>
      <c r="H40" s="5" t="n">
        <v>0.5</v>
      </c>
      <c r="I40" s="5" t="n">
        <v>6.8</v>
      </c>
      <c r="J40" s="5" t="inlineStr">
        <is>
          <t>protective</t>
        </is>
      </c>
      <c r="K40" s="6" t="n"/>
      <c r="L40" s="7">
        <f>IF(K40="","",IFERROR(MAX(0,MIN(10,ROUND(IF(J40="protective",10-10*((IF(G40="Logarithm",LN(0.001+MAX(MIN(K40,0.5),0.5)),IF(G40="Exponential",EXP(MAX(MIN(K40,0.5),0.5)),MAX(MIN(K40,0.5),0.5))))-H40)/(I40-H40),10*((IF(G40="Logarithm",LN(0.001+MAX(MIN(K40,0.5),0.5)),IF(G40="Exponential",EXP(MAX(MIN(K40,0.5),0.5)),MAX(MIN(K40,0.5),0.5))))-H40)/(I40-H40)),1))),"No data"))</f>
        <v/>
      </c>
    </row>
    <row r="41">
      <c r="A41" s="5" t="inlineStr">
        <is>
          <t>TCRA</t>
        </is>
      </c>
      <c r="B41" s="5" t="inlineStr">
        <is>
          <t>Coping Capacity</t>
        </is>
      </c>
      <c r="C41" s="5" t="inlineStr">
        <is>
          <t>Infrastructure / Communication</t>
        </is>
      </c>
      <c r="D41" s="5" t="inlineStr">
        <is>
          <t>Access to electricity</t>
        </is>
      </c>
      <c r="E41" s="5" t="inlineStr">
        <is>
          <t>%</t>
        </is>
      </c>
      <c r="F41" s="5" t="inlineStr">
        <is>
          <t>Adm1</t>
        </is>
      </c>
      <c r="G41" s="5" t="inlineStr">
        <is>
          <t>None</t>
        </is>
      </c>
      <c r="H41" s="5" t="n">
        <v>8.699999999999999</v>
      </c>
      <c r="I41" s="5" t="n">
        <v>100</v>
      </c>
      <c r="J41" s="5" t="inlineStr">
        <is>
          <t>protective</t>
        </is>
      </c>
      <c r="K41" s="6" t="n"/>
      <c r="L41" s="7">
        <f>IF(K41="","",IFERROR(MAX(0,MIN(10,ROUND(IF(J41="protective",10-10*((IF(G41="Logarithm",LN(0.001+K41),IF(G41="Exponential",EXP(K41),K41)))-H41)/(I41-H41),10*((IF(G41="Logarithm",LN(0.001+K41),IF(G41="Exponential",EXP(K41),K41)))-H41)/(I41-H41)),1))),"No data"))</f>
        <v/>
      </c>
    </row>
    <row r="42">
      <c r="A42" s="5" t="inlineStr">
        <is>
          <t>TCRA</t>
        </is>
      </c>
      <c r="B42" s="5" t="inlineStr">
        <is>
          <t>Coping Capacity</t>
        </is>
      </c>
      <c r="C42" s="5" t="inlineStr">
        <is>
          <t>Infrastructure / Communication</t>
        </is>
      </c>
      <c r="D42" s="5" t="inlineStr">
        <is>
          <t>Cellphone ownership</t>
        </is>
      </c>
      <c r="E42" s="5" t="inlineStr">
        <is>
          <t>%</t>
        </is>
      </c>
      <c r="F42" s="5" t="inlineStr">
        <is>
          <t>Adm1</t>
        </is>
      </c>
      <c r="G42" s="5" t="inlineStr">
        <is>
          <t>None</t>
        </is>
      </c>
      <c r="H42" s="5" t="n">
        <v>57.09</v>
      </c>
      <c r="I42" s="5" t="n">
        <v>98.81999999999999</v>
      </c>
      <c r="J42" s="5" t="inlineStr">
        <is>
          <t>protective</t>
        </is>
      </c>
      <c r="K42" s="6" t="n"/>
      <c r="L42" s="7">
        <f>IF(K42="","",IFERROR(MAX(0,MIN(10,ROUND(IF(J42="protective",10-10*((IF(G42="Logarithm",LN(0.001+K42),IF(G42="Exponential",EXP(K42),K42)))-H42)/(I42-H42),10*((IF(G42="Logarithm",LN(0.001+K42),IF(G42="Exponential",EXP(K42),K42)))-H42)/(I42-H42)),1))),"No data"))</f>
        <v/>
      </c>
    </row>
    <row r="43">
      <c r="A43" s="5" t="inlineStr">
        <is>
          <t>TCRA</t>
        </is>
      </c>
      <c r="B43" s="5" t="inlineStr">
        <is>
          <t>Coping Capacity</t>
        </is>
      </c>
      <c r="C43" s="5" t="inlineStr">
        <is>
          <t>Infrastructure / Communication</t>
        </is>
      </c>
      <c r="D43" s="5" t="inlineStr">
        <is>
          <t>Internet access</t>
        </is>
      </c>
      <c r="E43" s="5" t="inlineStr">
        <is>
          <t>%</t>
        </is>
      </c>
      <c r="F43" s="5" t="inlineStr">
        <is>
          <t>Adm1</t>
        </is>
      </c>
      <c r="G43" s="5" t="inlineStr">
        <is>
          <t>None</t>
        </is>
      </c>
      <c r="H43" s="5" t="n">
        <v>0</v>
      </c>
      <c r="I43" s="5" t="n">
        <v>0</v>
      </c>
      <c r="J43" s="5" t="inlineStr">
        <is>
          <t>protective</t>
        </is>
      </c>
      <c r="K43" s="6" t="n"/>
      <c r="L43" s="7">
        <f>IF(K43="","",IFERROR(MAX(0,MIN(10,ROUND(IF(J43="protective",10-10*((IF(G43="Logarithm",LN(0.001+K43),IF(G43="Exponential",EXP(K43),K43)))-H43)/(I43-H43),10*((IF(G43="Logarithm",LN(0.001+K43),IF(G43="Exponential",EXP(K43),K43)))-H43)/(I43-H43)),1))),"No data"))</f>
        <v/>
      </c>
    </row>
    <row r="44">
      <c r="A44" s="5" t="inlineStr">
        <is>
          <t>NBS/MoFP</t>
        </is>
      </c>
      <c r="B44" s="5" t="inlineStr">
        <is>
          <t>Coping Capacity</t>
        </is>
      </c>
      <c r="C44" s="5" t="inlineStr">
        <is>
          <t>Infrastructure / Economic capacity</t>
        </is>
      </c>
      <c r="D44" s="5" t="inlineStr">
        <is>
          <t>Gross National Income per capita</t>
        </is>
      </c>
      <c r="E44" s="5" t="inlineStr">
        <is>
          <t>Log - Thousands of US$</t>
        </is>
      </c>
      <c r="F44" s="5" t="inlineStr">
        <is>
          <t>Adm1</t>
        </is>
      </c>
      <c r="G44" s="5" t="inlineStr">
        <is>
          <t>None</t>
        </is>
      </c>
      <c r="H44" s="5" t="n">
        <v>7.29</v>
      </c>
      <c r="I44" s="5" t="n">
        <v>8.970000000000001</v>
      </c>
      <c r="J44" s="5" t="inlineStr">
        <is>
          <t>protective</t>
        </is>
      </c>
      <c r="K44" s="6" t="n"/>
      <c r="L44" s="7">
        <f>IF(K44="","",IFERROR(MAX(0,MIN(10,ROUND(IF(J44="protective",10-10*((IF(G44="Logarithm",LN(0.001+K44),IF(G44="Exponential",EXP(K44),K44)))-H44)/(I44-H44),10*((IF(G44="Logarithm",LN(0.001+K44),IF(G44="Exponential",EXP(K44),K44)))-H44)/(I44-H44)),1))),"No data"))</f>
        <v/>
      </c>
    </row>
    <row r="45">
      <c r="A45" s="5" t="inlineStr">
        <is>
          <t>NBS/MoFP</t>
        </is>
      </c>
      <c r="B45" s="5" t="inlineStr">
        <is>
          <t>Coping Capacity</t>
        </is>
      </c>
      <c r="C45" s="5" t="inlineStr">
        <is>
          <t>Infrastructure / Economic capacity</t>
        </is>
      </c>
      <c r="D45" s="5" t="inlineStr">
        <is>
          <t>Household income</t>
        </is>
      </c>
      <c r="E45" s="5" t="inlineStr">
        <is>
          <t>US$ per capita</t>
        </is>
      </c>
      <c r="F45" s="5" t="inlineStr">
        <is>
          <t>National</t>
        </is>
      </c>
      <c r="G45" s="5" t="inlineStr">
        <is>
          <t>None</t>
        </is>
      </c>
      <c r="H45" s="5" t="n">
        <v>369.9</v>
      </c>
      <c r="I45" s="5" t="n">
        <v>12866.6</v>
      </c>
      <c r="J45" s="5" t="inlineStr">
        <is>
          <t>protective</t>
        </is>
      </c>
      <c r="K45" s="6" t="n"/>
      <c r="L45" s="7">
        <f>IF(K45="","",IFERROR(MAX(0,MIN(10,ROUND(IF(J45="protective",10-10*((IF(G45="Logarithm",LN(0.001+K45),IF(G45="Exponential",EXP(K45),K45)))-H45)/(I45-H45),10*((IF(G45="Logarithm",LN(0.001+K45),IF(G45="Exponential",EXP(K45),K45)))-H45)/(I45-H45)),1))),"No data"))</f>
        <v/>
      </c>
    </row>
    <row r="46">
      <c r="A46" s="5" t="inlineStr">
        <is>
          <t>NBS/MoFP</t>
        </is>
      </c>
      <c r="B46" s="5" t="inlineStr">
        <is>
          <t>Coping Capacity</t>
        </is>
      </c>
      <c r="C46" s="5" t="inlineStr">
        <is>
          <t>Infrastructure / Economic capacity</t>
        </is>
      </c>
      <c r="D46" s="5" t="inlineStr">
        <is>
          <t>International Wealth Index</t>
        </is>
      </c>
      <c r="E46" s="5" t="inlineStr">
        <is>
          <t>index</t>
        </is>
      </c>
      <c r="F46" s="5" t="inlineStr">
        <is>
          <t>Adm1</t>
        </is>
      </c>
      <c r="G46" s="5" t="inlineStr">
        <is>
          <t>None</t>
        </is>
      </c>
      <c r="H46" s="5" t="n">
        <v>19.11</v>
      </c>
      <c r="I46" s="5" t="n">
        <v>67.88</v>
      </c>
      <c r="J46" s="5" t="inlineStr">
        <is>
          <t>protective</t>
        </is>
      </c>
      <c r="K46" s="6" t="n"/>
      <c r="L46" s="7">
        <f>IF(K46="","",IFERROR(MAX(0,MIN(10,ROUND(IF(J46="protective",10-10*((IF(G46="Logarithm",LN(0.001+K46),IF(G46="Exponential",EXP(K46),K46)))-H46)/(I46-H46),10*((IF(G46="Logarithm",LN(0.001+K46),IF(G46="Exponential",EXP(K46),K46)))-H46)/(I46-H46)),1))),"No data"))</f>
        <v/>
      </c>
    </row>
    <row r="47">
      <c r="A47" s="5" t="inlineStr">
        <is>
          <t>MoEST/NBS</t>
        </is>
      </c>
      <c r="B47" s="5" t="inlineStr">
        <is>
          <t>Coping Capacity</t>
        </is>
      </c>
      <c r="C47" s="5" t="inlineStr">
        <is>
          <t>Infrastructure / Education</t>
        </is>
      </c>
      <c r="D47" s="5" t="inlineStr">
        <is>
          <t>Adult literacy rate</t>
        </is>
      </c>
      <c r="E47" s="5" t="inlineStr">
        <is>
          <t>%</t>
        </is>
      </c>
      <c r="F47" s="5" t="inlineStr">
        <is>
          <t>National</t>
        </is>
      </c>
      <c r="G47" s="5" t="inlineStr">
        <is>
          <t>None</t>
        </is>
      </c>
      <c r="H47" s="5" t="n">
        <v>60</v>
      </c>
      <c r="I47" s="5" t="n">
        <v>96.2</v>
      </c>
      <c r="J47" s="5" t="inlineStr">
        <is>
          <t>protective</t>
        </is>
      </c>
      <c r="K47" s="6" t="n"/>
      <c r="L47" s="7">
        <f>IF(K47="","",IFERROR(MAX(0,MIN(10,ROUND(IF(J47="protective",10-10*((IF(G47="Logarithm",LN(0.001+K47),IF(G47="Exponential",EXP(K47),K47)))-H47)/(I47-H47),10*((IF(G47="Logarithm",LN(0.001+K47),IF(G47="Exponential",EXP(K47),K47)))-H47)/(I47-H47)),1))),"No data"))</f>
        <v/>
      </c>
    </row>
    <row r="48">
      <c r="A48" s="5" t="inlineStr">
        <is>
          <t>MoEST/NBS</t>
        </is>
      </c>
      <c r="B48" s="5" t="inlineStr">
        <is>
          <t>Coping Capacity</t>
        </is>
      </c>
      <c r="C48" s="5" t="inlineStr">
        <is>
          <t>Infrastructure / Education</t>
        </is>
      </c>
      <c r="D48" s="5" t="inlineStr">
        <is>
          <t>Mean years at school</t>
        </is>
      </c>
      <c r="E48" s="5" t="inlineStr">
        <is>
          <t>years</t>
        </is>
      </c>
      <c r="F48" s="5" t="inlineStr">
        <is>
          <t>Adm1</t>
        </is>
      </c>
      <c r="G48" s="5" t="inlineStr">
        <is>
          <t>None</t>
        </is>
      </c>
      <c r="H48" s="5" t="n">
        <v>3.94</v>
      </c>
      <c r="I48" s="5" t="n">
        <v>8.710000000000001</v>
      </c>
      <c r="J48" s="5" t="inlineStr">
        <is>
          <t>protective</t>
        </is>
      </c>
      <c r="K48" s="6" t="n"/>
      <c r="L48" s="7">
        <f>IF(K48="","",IFERROR(MAX(0,MIN(10,ROUND(IF(J48="protective",10-10*((IF(G48="Logarithm",LN(0.001+K48),IF(G48="Exponential",EXP(K48),K48)))-H48)/(I48-H48),10*((IF(G48="Logarithm",LN(0.001+K48),IF(G48="Exponential",EXP(K48),K48)))-H48)/(I48-H48)),1))),"No data"))</f>
        <v/>
      </c>
    </row>
    <row r="49">
      <c r="A49" s="5" t="inlineStr">
        <is>
          <t>MoW</t>
        </is>
      </c>
      <c r="B49" s="5" t="inlineStr">
        <is>
          <t>Coping Capacity</t>
        </is>
      </c>
      <c r="C49" s="5" t="inlineStr">
        <is>
          <t>Infrastructure / WASH</t>
        </is>
      </c>
      <c r="D49" s="5" t="inlineStr">
        <is>
          <t>People using at least basic drinking water services (% of population)</t>
        </is>
      </c>
      <c r="E49" s="5" t="inlineStr">
        <is>
          <t>%</t>
        </is>
      </c>
      <c r="F49" s="5" t="inlineStr">
        <is>
          <t>National</t>
        </is>
      </c>
      <c r="G49" s="5" t="inlineStr">
        <is>
          <t>None</t>
        </is>
      </c>
      <c r="H49" s="5" t="n">
        <v>35</v>
      </c>
      <c r="I49" s="5" t="n">
        <v>99</v>
      </c>
      <c r="J49" s="5" t="inlineStr">
        <is>
          <t>protective</t>
        </is>
      </c>
      <c r="K49" s="6" t="n"/>
      <c r="L49" s="7">
        <f>IF(K49="","",IFERROR(MAX(0,MIN(10,ROUND(IF(J49="protective",10-10*((IF(G49="Logarithm",LN(0.001+K49),IF(G49="Exponential",EXP(K49),K49)))-H49)/(I49-H49),10*((IF(G49="Logarithm",LN(0.001+K49),IF(G49="Exponential",EXP(K49),K49)))-H49)/(I49-H49)),1))),"No data"))</f>
        <v/>
      </c>
    </row>
    <row r="50">
      <c r="A50" s="5" t="inlineStr">
        <is>
          <t>MoW</t>
        </is>
      </c>
      <c r="B50" s="5" t="inlineStr">
        <is>
          <t>Coping Capacity</t>
        </is>
      </c>
      <c r="C50" s="5" t="inlineStr">
        <is>
          <t>Infrastructure / WASH</t>
        </is>
      </c>
      <c r="D50" s="5" t="inlineStr">
        <is>
          <t>People using at least basic sanitation services (% of population)</t>
        </is>
      </c>
      <c r="E50" s="5" t="inlineStr">
        <is>
          <t>%</t>
        </is>
      </c>
      <c r="F50" s="5" t="inlineStr">
        <is>
          <t>National</t>
        </is>
      </c>
      <c r="G50" s="5" t="inlineStr">
        <is>
          <t>None</t>
        </is>
      </c>
      <c r="H50" s="5" t="n">
        <v>15</v>
      </c>
      <c r="I50" s="5" t="n">
        <v>99</v>
      </c>
      <c r="J50" s="5" t="inlineStr">
        <is>
          <t>protective</t>
        </is>
      </c>
      <c r="K50" s="6" t="n"/>
      <c r="L50" s="7">
        <f>IF(K50="","",IFERROR(MAX(0,MIN(10,ROUND(IF(J50="protective",10-10*((IF(G50="Logarithm",LN(0.001+K50),IF(G50="Exponential",EXP(K50),K50)))-H50)/(I50-H50),10*((IF(G50="Logarithm",LN(0.001+K50),IF(G50="Exponential",EXP(K50),K50)))-H50)/(I50-H50)),1))),"No data"))</f>
        <v/>
      </c>
    </row>
    <row r="51">
      <c r="A51" s="5" t="inlineStr">
        <is>
          <t>PMO-DMD</t>
        </is>
      </c>
      <c r="B51" s="5" t="inlineStr">
        <is>
          <t>Coping Capacity</t>
        </is>
      </c>
      <c r="C51" s="5" t="inlineStr">
        <is>
          <t>Institutional / DRR implementation</t>
        </is>
      </c>
      <c r="D51" s="5" t="inlineStr">
        <is>
          <t>Early Warning System</t>
        </is>
      </c>
      <c r="E51" s="5" t="inlineStr">
        <is>
          <t>number of people</t>
        </is>
      </c>
      <c r="F51" s="5" t="inlineStr">
        <is>
          <t>National</t>
        </is>
      </c>
      <c r="G51" s="5" t="inlineStr">
        <is>
          <t>None</t>
        </is>
      </c>
      <c r="H51" s="5" t="n">
        <v>0</v>
      </c>
      <c r="I51" s="5" t="n">
        <v>989030</v>
      </c>
      <c r="J51" s="5" t="inlineStr">
        <is>
          <t>protective</t>
        </is>
      </c>
      <c r="K51" s="6" t="n"/>
      <c r="L51" s="7">
        <f>IF(K51="","",IFERROR(MAX(0,MIN(10,ROUND(IF(J51="protective",10-10*((IF(G51="Logarithm",LN(0.001+K51),IF(G51="Exponential",EXP(K51),K51)))-H51)/(I51-H51),10*((IF(G51="Logarithm",LN(0.001+K51),IF(G51="Exponential",EXP(K51),K51)))-H51)/(I51-H51)),1))),"No data"))</f>
        <v/>
      </c>
    </row>
    <row r="52">
      <c r="A52" s="5" t="inlineStr">
        <is>
          <t>PMO-DMD</t>
        </is>
      </c>
      <c r="B52" s="5" t="inlineStr">
        <is>
          <t>Coping Capacity</t>
        </is>
      </c>
      <c r="C52" s="5" t="inlineStr">
        <is>
          <t>Institutional / DRR implementation</t>
        </is>
      </c>
      <c r="D52" s="5" t="inlineStr">
        <is>
          <t>Sendai Framework for Action</t>
        </is>
      </c>
      <c r="E52" s="5" t="inlineStr">
        <is>
          <t>index</t>
        </is>
      </c>
      <c r="F52" s="5" t="inlineStr">
        <is>
          <t>National</t>
        </is>
      </c>
      <c r="G52" s="5" t="inlineStr">
        <is>
          <t>None</t>
        </is>
      </c>
      <c r="H52" s="5" t="n">
        <v>0</v>
      </c>
      <c r="I52" s="5" t="n">
        <v>1</v>
      </c>
      <c r="J52" s="5" t="inlineStr">
        <is>
          <t>protective</t>
        </is>
      </c>
      <c r="K52" s="6" t="n"/>
      <c r="L52" s="7">
        <f>IF(K52="","",IFERROR(MAX(0,MIN(10,ROUND(IF(J52="protective",10-10*((IF(G52="Logarithm",LN(0.001+K52),IF(G52="Exponential",EXP(K52),K52)))-H52)/(I52-H52),10*((IF(G52="Logarithm",LN(0.001+K52),IF(G52="Exponential",EXP(K52),K52)))-H52)/(I52-H52)),1))),"No data"))</f>
        <v/>
      </c>
    </row>
    <row r="53">
      <c r="A53" s="5" t="inlineStr">
        <is>
          <t>PMO-DMD</t>
        </is>
      </c>
      <c r="B53" s="5" t="inlineStr">
        <is>
          <t>Coping Capacity</t>
        </is>
      </c>
      <c r="C53" s="5" t="inlineStr">
        <is>
          <t>Institutional / Governance</t>
        </is>
      </c>
      <c r="D53" s="5" t="inlineStr">
        <is>
          <t>Government effectiveness</t>
        </is>
      </c>
      <c r="E53" s="5" t="inlineStr">
        <is>
          <t>index</t>
        </is>
      </c>
      <c r="F53" s="5" t="inlineStr">
        <is>
          <t>National</t>
        </is>
      </c>
      <c r="G53" s="5" t="inlineStr">
        <is>
          <t>None</t>
        </is>
      </c>
      <c r="H53" s="5" t="n">
        <v>-1.7</v>
      </c>
      <c r="I53" s="5" t="n">
        <v>0.8</v>
      </c>
      <c r="J53" s="5" t="inlineStr">
        <is>
          <t>protective</t>
        </is>
      </c>
      <c r="K53" s="6" t="n"/>
      <c r="L53" s="7">
        <f>IF(K53="","",IFERROR(MAX(0,MIN(10,ROUND(IF(J53="protective",10-10*((IF(G53="Logarithm",LN(0.001+K53),IF(G53="Exponential",EXP(K53),K53)))-H53)/(I53-H53),10*((IF(G53="Logarithm",LN(0.001+K53),IF(G53="Exponential",EXP(K53),K53)))-H53)/(I53-H53)),1))),"No data"))</f>
        <v/>
      </c>
    </row>
    <row r="54">
      <c r="A54" s="5" t="inlineStr">
        <is>
          <t>PMO-DMD</t>
        </is>
      </c>
      <c r="B54" s="5" t="inlineStr">
        <is>
          <t>Coping Capacity</t>
        </is>
      </c>
      <c r="C54" s="5" t="inlineStr">
        <is>
          <t>Institutional / Governance</t>
        </is>
      </c>
      <c r="D54" s="5" t="inlineStr">
        <is>
          <t>Subnational Corruption Index</t>
        </is>
      </c>
      <c r="E54" s="5" t="inlineStr">
        <is>
          <t>index</t>
        </is>
      </c>
      <c r="F54" s="5" t="inlineStr">
        <is>
          <t>Adm1</t>
        </is>
      </c>
      <c r="G54" s="5" t="inlineStr">
        <is>
          <t>None</t>
        </is>
      </c>
      <c r="H54" s="5" t="n">
        <v>64.90000000000001</v>
      </c>
      <c r="I54" s="5" t="n">
        <v>79.5</v>
      </c>
      <c r="J54" s="5" t="inlineStr">
        <is>
          <t>protective</t>
        </is>
      </c>
      <c r="K54" s="6" t="n"/>
      <c r="L54" s="7">
        <f>IF(K54="","",IFERROR(MAX(0,MIN(10,ROUND(IF(J54="protective",10-10*((IF(G54="Logarithm",LN(0.001+K54),IF(G54="Exponential",EXP(K54),K54)))-H54)/(I54-H54),10*((IF(G54="Logarithm",LN(0.001+K54),IF(G54="Exponential",EXP(K54),K54)))-H54)/(I54-H54)),1))),"No data"))</f>
        <v/>
      </c>
    </row>
  </sheetData>
  <sheetProtection selectLockedCells="1" selectUnlockedCells="1" sheet="1" objects="0" insertRows="1" insertHyperlinks="1" autoFilter="0" scenarios="0" formatColumns="1" deleteColumns="1" insertColumns="1" pivotTables="1" deleteRows="1" formatCells="0" formatRows="1" sort="1"/>
  <autoFilter ref="A1:L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5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>
      <c r="C1" s="8" t="inlineStr">
        <is>
          <t>Indicator</t>
        </is>
      </c>
      <c r="D1" s="9" t="inlineStr">
        <is>
          <t>Conflict Barometer</t>
        </is>
      </c>
      <c r="E1" s="9" t="inlineStr">
        <is>
          <t>GCRI derived Conflict probability</t>
        </is>
      </c>
      <c r="F1" s="9" t="inlineStr">
        <is>
          <t>Number of Events</t>
        </is>
      </c>
      <c r="G1" s="9" t="inlineStr">
        <is>
          <t>Number of Fatalities</t>
        </is>
      </c>
      <c r="H1" s="9" t="inlineStr">
        <is>
          <t>Coastal Erosion</t>
        </is>
      </c>
      <c r="I1" s="9" t="inlineStr">
        <is>
          <t>Historic Drought Frequency</t>
        </is>
      </c>
      <c r="J1" s="9" t="inlineStr">
        <is>
          <t>Earthquake exposure</t>
        </is>
      </c>
      <c r="K1" s="9" t="inlineStr">
        <is>
          <t>Deforestation - Treecover Loss</t>
        </is>
      </c>
      <c r="L1" s="9" t="inlineStr">
        <is>
          <t>Soil Erosion</t>
        </is>
      </c>
      <c r="M1" s="9" t="inlineStr">
        <is>
          <t>Flood exposure</t>
        </is>
      </c>
      <c r="N1" s="9" t="inlineStr">
        <is>
          <t>Landslide exposure</t>
        </is>
      </c>
      <c r="O1" s="9" t="inlineStr">
        <is>
          <t>Cyclone exposure - max speed</t>
        </is>
      </c>
      <c r="P1" s="9" t="inlineStr">
        <is>
          <t>Volcano exposure</t>
        </is>
      </c>
      <c r="Q1" s="9" t="inlineStr">
        <is>
          <t>Burned Area</t>
        </is>
      </c>
      <c r="R1" s="9" t="inlineStr">
        <is>
          <t>Fire Weather Index</t>
        </is>
      </c>
      <c r="S1" s="9" t="inlineStr">
        <is>
          <t>Gender Development Index</t>
        </is>
      </c>
      <c r="T1" s="9" t="inlineStr">
        <is>
          <t>Human Development Index</t>
        </is>
      </c>
      <c r="U1" s="9" t="inlineStr">
        <is>
          <t>Multidimensional Poverty Index</t>
        </is>
      </c>
      <c r="V1" s="9" t="inlineStr">
        <is>
          <t>Wealth Inequality</t>
        </is>
      </c>
      <c r="W1" s="9" t="inlineStr">
        <is>
          <t>Dependency Ratio</t>
        </is>
      </c>
      <c r="X1" s="9" t="inlineStr">
        <is>
          <t>Net ODA received (% of GNI)</t>
        </is>
      </c>
      <c r="Y1" s="9" t="inlineStr">
        <is>
          <t>Personal remittances</t>
        </is>
      </c>
      <c r="Z1" s="9" t="inlineStr">
        <is>
          <t>Population in informal settlements</t>
        </is>
      </c>
      <c r="AA1" s="9" t="inlineStr">
        <is>
          <t>Urban Population</t>
        </is>
      </c>
      <c r="AB1" s="9" t="inlineStr">
        <is>
          <t>Food Security - Insufficient food</t>
        </is>
      </c>
      <c r="AC1" s="9" t="inlineStr">
        <is>
          <t>Child mortality</t>
        </is>
      </c>
      <c r="AD1" s="9" t="inlineStr">
        <is>
          <t>Children Underweight</t>
        </is>
      </c>
      <c r="AE1" s="9" t="inlineStr">
        <is>
          <t>Infant mortality</t>
        </is>
      </c>
      <c r="AF1" s="9" t="inlineStr">
        <is>
          <t>Neonatal mortality</t>
        </is>
      </c>
      <c r="AG1" s="9" t="inlineStr">
        <is>
          <t>Internal Displaced People</t>
        </is>
      </c>
      <c r="AH1" s="9" t="inlineStr">
        <is>
          <t>Life Expectancy</t>
        </is>
      </c>
      <c r="AI1" s="9" t="inlineStr">
        <is>
          <t>Malaria prevalence</t>
        </is>
      </c>
      <c r="AJ1" s="9" t="inlineStr">
        <is>
          <t>Measles Incidence</t>
        </is>
      </c>
      <c r="AK1" s="9" t="inlineStr">
        <is>
          <t>BCG Immunization Coverage</t>
        </is>
      </c>
      <c r="AL1" s="9" t="inlineStr">
        <is>
          <t>DTP3 Immunization Coverage</t>
        </is>
      </c>
      <c r="AM1" s="9" t="inlineStr">
        <is>
          <t>Density of health facilities</t>
        </is>
      </c>
      <c r="AN1" s="9" t="inlineStr">
        <is>
          <t>Health expenditure per capita</t>
        </is>
      </c>
      <c r="AO1" s="9" t="inlineStr">
        <is>
          <t>Measles Immunization Coverage</t>
        </is>
      </c>
      <c r="AP1" s="9" t="inlineStr">
        <is>
          <t>Physicians density</t>
        </is>
      </c>
      <c r="AQ1" s="9" t="inlineStr">
        <is>
          <t>Access to electricity</t>
        </is>
      </c>
      <c r="AR1" s="9" t="inlineStr">
        <is>
          <t>Cellphone ownership</t>
        </is>
      </c>
      <c r="AS1" s="9" t="inlineStr">
        <is>
          <t>Internet access</t>
        </is>
      </c>
      <c r="AT1" s="9" t="inlineStr">
        <is>
          <t>Gross National Income per capita</t>
        </is>
      </c>
      <c r="AU1" s="9" t="inlineStr">
        <is>
          <t>Household income</t>
        </is>
      </c>
      <c r="AV1" s="9" t="inlineStr">
        <is>
          <t>International Wealth Index</t>
        </is>
      </c>
      <c r="AW1" s="9" t="inlineStr">
        <is>
          <t>Adult literacy rate</t>
        </is>
      </c>
      <c r="AX1" s="9" t="inlineStr">
        <is>
          <t>Mean years at school</t>
        </is>
      </c>
      <c r="AY1" s="9" t="inlineStr">
        <is>
          <t>People using at least basic drinking water services (% of population)</t>
        </is>
      </c>
      <c r="AZ1" s="9" t="inlineStr">
        <is>
          <t>People using at least basic sanitation services (% of population)</t>
        </is>
      </c>
      <c r="BA1" s="9" t="inlineStr">
        <is>
          <t>Early Warning System</t>
        </is>
      </c>
      <c r="BB1" s="9" t="inlineStr">
        <is>
          <t>Sendai Framework for Action</t>
        </is>
      </c>
      <c r="BC1" s="9" t="inlineStr">
        <is>
          <t>Government effectiveness</t>
        </is>
      </c>
      <c r="BD1" s="9" t="inlineStr">
        <is>
          <t>Subnational Corruption Index</t>
        </is>
      </c>
    </row>
    <row r="2">
      <c r="C2" s="8" t="inlineStr">
        <is>
          <t>Unit</t>
        </is>
      </c>
      <c r="D2" s="9" t="inlineStr">
        <is>
          <t>Index</t>
        </is>
      </c>
      <c r="E2" s="9" t="inlineStr">
        <is>
          <t>%</t>
        </is>
      </c>
      <c r="F2" s="9" t="inlineStr">
        <is>
          <t>Number</t>
        </is>
      </c>
      <c r="G2" s="9" t="inlineStr">
        <is>
          <t>Number</t>
        </is>
      </c>
      <c r="H2" s="9" t="inlineStr">
        <is>
          <t>meters / year</t>
        </is>
      </c>
      <c r="I2" s="9" t="inlineStr">
        <is>
          <t>years</t>
        </is>
      </c>
      <c r="J2" s="9" t="inlineStr">
        <is>
          <t>index</t>
        </is>
      </c>
      <c r="K2" s="9" t="inlineStr">
        <is>
          <t>%</t>
        </is>
      </c>
      <c r="L2" s="9" t="inlineStr">
        <is>
          <t>Mg/ha/yr</t>
        </is>
      </c>
      <c r="M2" s="9" t="inlineStr">
        <is>
          <t>%</t>
        </is>
      </c>
      <c r="N2" s="9" t="inlineStr">
        <is>
          <t>%</t>
        </is>
      </c>
      <c r="O2" s="9" t="inlineStr">
        <is>
          <t>%</t>
        </is>
      </c>
      <c r="P2" s="9" t="inlineStr">
        <is>
          <t>index</t>
        </is>
      </c>
      <c r="Q2" s="9" t="inlineStr">
        <is>
          <t>%</t>
        </is>
      </c>
      <c r="R2" s="9" t="inlineStr">
        <is>
          <t>index</t>
        </is>
      </c>
      <c r="S2" s="9" t="inlineStr">
        <is>
          <t>index</t>
        </is>
      </c>
      <c r="T2" s="9" t="inlineStr">
        <is>
          <t>index</t>
        </is>
      </c>
      <c r="U2" s="9" t="inlineStr">
        <is>
          <t>index</t>
        </is>
      </c>
      <c r="V2" s="9" t="inlineStr">
        <is>
          <t>index</t>
        </is>
      </c>
      <c r="W2" s="9" t="inlineStr">
        <is>
          <t>ratio</t>
        </is>
      </c>
      <c r="X2" s="9" t="inlineStr">
        <is>
          <t>%</t>
        </is>
      </c>
      <c r="Y2" s="9" t="inlineStr">
        <is>
          <t>%</t>
        </is>
      </c>
      <c r="Z2" s="9" t="inlineStr">
        <is>
          <t>%</t>
        </is>
      </c>
      <c r="AA2" s="9" t="inlineStr">
        <is>
          <t>%</t>
        </is>
      </c>
      <c r="AB2" s="9" t="inlineStr">
        <is>
          <t>% pop phase 2 or higher</t>
        </is>
      </c>
      <c r="AC2" s="9" t="inlineStr">
        <is>
          <t xml:space="preserve">per 1,000 live births </t>
        </is>
      </c>
      <c r="AD2" s="9" t="inlineStr">
        <is>
          <t>%</t>
        </is>
      </c>
      <c r="AE2" s="9" t="inlineStr">
        <is>
          <t xml:space="preserve">per 1,000 live births </t>
        </is>
      </c>
      <c r="AF2" s="9" t="inlineStr">
        <is>
          <t xml:space="preserve">per 1,000 live births </t>
        </is>
      </c>
      <c r="AG2" s="9" t="inlineStr">
        <is>
          <t>number of people</t>
        </is>
      </c>
      <c r="AH2" s="9" t="inlineStr">
        <is>
          <t>years</t>
        </is>
      </c>
      <c r="AI2" s="9" t="inlineStr">
        <is>
          <t>max malaria prevalence per person</t>
        </is>
      </c>
      <c r="AJ2" s="9" t="inlineStr">
        <is>
          <t>per 1,000,000 population</t>
        </is>
      </c>
      <c r="AK2" s="9" t="inlineStr">
        <is>
          <t>%</t>
        </is>
      </c>
      <c r="AL2" s="9" t="inlineStr">
        <is>
          <t>%</t>
        </is>
      </c>
      <c r="AM2" s="9" t="inlineStr">
        <is>
          <t>per capita</t>
        </is>
      </c>
      <c r="AN2" s="9" t="inlineStr">
        <is>
          <t>US$ per capita</t>
        </is>
      </c>
      <c r="AO2" s="9" t="inlineStr">
        <is>
          <t>%</t>
        </is>
      </c>
      <c r="AP2" s="9" t="inlineStr">
        <is>
          <t>per 10,000 population</t>
        </is>
      </c>
      <c r="AQ2" s="9" t="inlineStr">
        <is>
          <t>%</t>
        </is>
      </c>
      <c r="AR2" s="9" t="inlineStr">
        <is>
          <t>%</t>
        </is>
      </c>
      <c r="AS2" s="9" t="inlineStr">
        <is>
          <t>%</t>
        </is>
      </c>
      <c r="AT2" s="9" t="inlineStr">
        <is>
          <t>Log - Thousands of US$</t>
        </is>
      </c>
      <c r="AU2" s="9" t="inlineStr">
        <is>
          <t>US$ per capita</t>
        </is>
      </c>
      <c r="AV2" s="9" t="inlineStr">
        <is>
          <t>index</t>
        </is>
      </c>
      <c r="AW2" s="9" t="inlineStr">
        <is>
          <t>%</t>
        </is>
      </c>
      <c r="AX2" s="9" t="inlineStr">
        <is>
          <t>years</t>
        </is>
      </c>
      <c r="AY2" s="9" t="inlineStr">
        <is>
          <t>%</t>
        </is>
      </c>
      <c r="AZ2" s="9" t="inlineStr">
        <is>
          <t>%</t>
        </is>
      </c>
      <c r="BA2" s="9" t="inlineStr">
        <is>
          <t>number of people</t>
        </is>
      </c>
      <c r="BB2" s="9" t="inlineStr">
        <is>
          <t>index</t>
        </is>
      </c>
      <c r="BC2" s="9" t="inlineStr">
        <is>
          <t>index</t>
        </is>
      </c>
      <c r="BD2" s="9" t="inlineStr">
        <is>
          <t>index</t>
        </is>
      </c>
    </row>
    <row r="3">
      <c r="C3" s="8" t="inlineStr">
        <is>
          <t>Sector</t>
        </is>
      </c>
      <c r="D3" s="9" t="inlineStr">
        <is>
          <t>PMO-DMD</t>
        </is>
      </c>
      <c r="E3" s="9" t="inlineStr">
        <is>
          <t>PMO-DMD</t>
        </is>
      </c>
      <c r="F3" s="9" t="inlineStr">
        <is>
          <t>TPF/PMO-DMD</t>
        </is>
      </c>
      <c r="G3" s="9" t="inlineStr">
        <is>
          <t>TPF/PMO-DMD</t>
        </is>
      </c>
      <c r="H3" s="9" t="inlineStr">
        <is>
          <t>TMA</t>
        </is>
      </c>
      <c r="I3" s="9" t="inlineStr">
        <is>
          <t>TMA</t>
        </is>
      </c>
      <c r="J3" s="9" t="inlineStr">
        <is>
          <t>TMA/GST</t>
        </is>
      </c>
      <c r="K3" s="9" t="inlineStr">
        <is>
          <t>NEMC</t>
        </is>
      </c>
      <c r="L3" s="9" t="inlineStr">
        <is>
          <t>NEMC</t>
        </is>
      </c>
      <c r="M3" s="9" t="inlineStr">
        <is>
          <t>PMO-DMD</t>
        </is>
      </c>
      <c r="N3" s="9" t="inlineStr">
        <is>
          <t>TMA</t>
        </is>
      </c>
      <c r="O3" s="9" t="inlineStr">
        <is>
          <t>TMA</t>
        </is>
      </c>
      <c r="P3" s="9" t="inlineStr">
        <is>
          <t>TMA/GST</t>
        </is>
      </c>
      <c r="Q3" s="9" t="inlineStr">
        <is>
          <t>TFS/TMA</t>
        </is>
      </c>
      <c r="R3" s="9" t="inlineStr">
        <is>
          <t>TFS/TMA</t>
        </is>
      </c>
      <c r="S3" s="9" t="inlineStr">
        <is>
          <t>NBS</t>
        </is>
      </c>
      <c r="T3" s="9" t="inlineStr">
        <is>
          <t>NBS</t>
        </is>
      </c>
      <c r="U3" s="9" t="inlineStr">
        <is>
          <t>NBS</t>
        </is>
      </c>
      <c r="V3" s="9" t="inlineStr">
        <is>
          <t>NBS</t>
        </is>
      </c>
      <c r="W3" s="9" t="inlineStr">
        <is>
          <t>NBS/MoFP</t>
        </is>
      </c>
      <c r="X3" s="9" t="inlineStr">
        <is>
          <t>NBS/MoFP</t>
        </is>
      </c>
      <c r="Y3" s="9" t="inlineStr">
        <is>
          <t>NBS/MoFP</t>
        </is>
      </c>
      <c r="Z3" s="9" t="inlineStr">
        <is>
          <t>NBS</t>
        </is>
      </c>
      <c r="AA3" s="9" t="inlineStr">
        <is>
          <t>NBS</t>
        </is>
      </c>
      <c r="AB3" s="9" t="inlineStr">
        <is>
          <t>MUCHALI/IPC</t>
        </is>
      </c>
      <c r="AC3" s="9" t="inlineStr">
        <is>
          <t>MoH/TFNC</t>
        </is>
      </c>
      <c r="AD3" s="9" t="inlineStr">
        <is>
          <t>MoH/TFNC</t>
        </is>
      </c>
      <c r="AE3" s="9" t="inlineStr">
        <is>
          <t>MoH/TFNC</t>
        </is>
      </c>
      <c r="AF3" s="9" t="inlineStr">
        <is>
          <t>MoH/TFNC</t>
        </is>
      </c>
      <c r="AG3" s="9" t="inlineStr">
        <is>
          <t>UNHCR/PMO-DMD</t>
        </is>
      </c>
      <c r="AH3" s="9" t="inlineStr">
        <is>
          <t>MoH</t>
        </is>
      </c>
      <c r="AI3" s="9" t="inlineStr">
        <is>
          <t>MoH</t>
        </is>
      </c>
      <c r="AJ3" s="9" t="inlineStr">
        <is>
          <t>MoH</t>
        </is>
      </c>
      <c r="AK3" s="9" t="inlineStr">
        <is>
          <t>MoH</t>
        </is>
      </c>
      <c r="AL3" s="9" t="inlineStr">
        <is>
          <t>MoH</t>
        </is>
      </c>
      <c r="AM3" s="9" t="inlineStr">
        <is>
          <t>MoH</t>
        </is>
      </c>
      <c r="AN3" s="9" t="inlineStr">
        <is>
          <t>MoH</t>
        </is>
      </c>
      <c r="AO3" s="9" t="inlineStr">
        <is>
          <t>MoH</t>
        </is>
      </c>
      <c r="AP3" s="9" t="inlineStr">
        <is>
          <t>MoH</t>
        </is>
      </c>
      <c r="AQ3" s="9" t="inlineStr">
        <is>
          <t>TCRA</t>
        </is>
      </c>
      <c r="AR3" s="9" t="inlineStr">
        <is>
          <t>TCRA</t>
        </is>
      </c>
      <c r="AS3" s="9" t="inlineStr">
        <is>
          <t>TCRA</t>
        </is>
      </c>
      <c r="AT3" s="9" t="inlineStr">
        <is>
          <t>NBS/MoFP</t>
        </is>
      </c>
      <c r="AU3" s="9" t="inlineStr">
        <is>
          <t>NBS/MoFP</t>
        </is>
      </c>
      <c r="AV3" s="9" t="inlineStr">
        <is>
          <t>NBS/MoFP</t>
        </is>
      </c>
      <c r="AW3" s="9" t="inlineStr">
        <is>
          <t>MoEST/NBS</t>
        </is>
      </c>
      <c r="AX3" s="9" t="inlineStr">
        <is>
          <t>MoEST/NBS</t>
        </is>
      </c>
      <c r="AY3" s="9" t="inlineStr">
        <is>
          <t>MoW</t>
        </is>
      </c>
      <c r="AZ3" s="9" t="inlineStr">
        <is>
          <t>MoW</t>
        </is>
      </c>
      <c r="BA3" s="9" t="inlineStr">
        <is>
          <t>PMO-DMD</t>
        </is>
      </c>
      <c r="BB3" s="9" t="inlineStr">
        <is>
          <t>PMO-DMD</t>
        </is>
      </c>
      <c r="BC3" s="9" t="inlineStr">
        <is>
          <t>PMO-DMD</t>
        </is>
      </c>
      <c r="BD3" s="9" t="inlineStr">
        <is>
          <t>PMO-DMD</t>
        </is>
      </c>
    </row>
    <row r="4">
      <c r="C4" s="8" t="inlineStr">
        <is>
          <t>Transform</t>
        </is>
      </c>
      <c r="D4" s="9" t="inlineStr">
        <is>
          <t>None</t>
        </is>
      </c>
      <c r="E4" s="9" t="inlineStr">
        <is>
          <t>None</t>
        </is>
      </c>
      <c r="F4" s="9" t="inlineStr">
        <is>
          <t>Logarithm</t>
        </is>
      </c>
      <c r="G4" s="9" t="inlineStr">
        <is>
          <t>Logarithm</t>
        </is>
      </c>
      <c r="H4" s="9" t="inlineStr">
        <is>
          <t>None</t>
        </is>
      </c>
      <c r="I4" s="9" t="inlineStr">
        <is>
          <t>None</t>
        </is>
      </c>
      <c r="J4" s="9" t="inlineStr">
        <is>
          <t>None</t>
        </is>
      </c>
      <c r="K4" s="9" t="inlineStr">
        <is>
          <t>Logarithm</t>
        </is>
      </c>
      <c r="L4" s="9" t="inlineStr">
        <is>
          <t>None</t>
        </is>
      </c>
      <c r="M4" s="9" t="inlineStr">
        <is>
          <t>Logarithm</t>
        </is>
      </c>
      <c r="N4" s="9" t="inlineStr">
        <is>
          <t>Logarithm</t>
        </is>
      </c>
      <c r="O4" s="9" t="inlineStr">
        <is>
          <t>None</t>
        </is>
      </c>
      <c r="P4" s="9" t="inlineStr">
        <is>
          <t>None</t>
        </is>
      </c>
      <c r="Q4" s="9" t="inlineStr">
        <is>
          <t>None</t>
        </is>
      </c>
      <c r="R4" s="9" t="inlineStr">
        <is>
          <t>None</t>
        </is>
      </c>
      <c r="S4" s="9" t="inlineStr">
        <is>
          <t>None</t>
        </is>
      </c>
      <c r="T4" s="9" t="inlineStr">
        <is>
          <t>None</t>
        </is>
      </c>
      <c r="U4" s="9" t="inlineStr">
        <is>
          <t>None</t>
        </is>
      </c>
      <c r="V4" s="9" t="inlineStr">
        <is>
          <t>None</t>
        </is>
      </c>
      <c r="W4" s="9" t="inlineStr">
        <is>
          <t>None</t>
        </is>
      </c>
      <c r="X4" s="9" t="inlineStr">
        <is>
          <t>None</t>
        </is>
      </c>
      <c r="Y4" s="9" t="inlineStr">
        <is>
          <t>None</t>
        </is>
      </c>
      <c r="Z4" s="9" t="inlineStr">
        <is>
          <t>None</t>
        </is>
      </c>
      <c r="AA4" s="9" t="inlineStr">
        <is>
          <t>None</t>
        </is>
      </c>
      <c r="AB4" s="9" t="inlineStr">
        <is>
          <t>None</t>
        </is>
      </c>
      <c r="AC4" s="9" t="inlineStr">
        <is>
          <t>None</t>
        </is>
      </c>
      <c r="AD4" s="9" t="inlineStr">
        <is>
          <t>None</t>
        </is>
      </c>
      <c r="AE4" s="9" t="inlineStr">
        <is>
          <t>None</t>
        </is>
      </c>
      <c r="AF4" s="9" t="inlineStr">
        <is>
          <t>None</t>
        </is>
      </c>
      <c r="AG4" s="9" t="inlineStr">
        <is>
          <t>Logarithm</t>
        </is>
      </c>
      <c r="AH4" s="9" t="inlineStr">
        <is>
          <t>None</t>
        </is>
      </c>
      <c r="AI4" s="9" t="inlineStr">
        <is>
          <t>None</t>
        </is>
      </c>
      <c r="AJ4" s="9" t="inlineStr">
        <is>
          <t>None</t>
        </is>
      </c>
      <c r="AK4" s="9" t="inlineStr">
        <is>
          <t>None</t>
        </is>
      </c>
      <c r="AL4" s="9" t="inlineStr">
        <is>
          <t>None</t>
        </is>
      </c>
      <c r="AM4" s="9" t="inlineStr">
        <is>
          <t>None</t>
        </is>
      </c>
      <c r="AN4" s="9" t="inlineStr">
        <is>
          <t>None</t>
        </is>
      </c>
      <c r="AO4" s="9" t="inlineStr">
        <is>
          <t>None</t>
        </is>
      </c>
      <c r="AP4" s="9" t="inlineStr">
        <is>
          <t>None</t>
        </is>
      </c>
      <c r="AQ4" s="9" t="inlineStr">
        <is>
          <t>None</t>
        </is>
      </c>
      <c r="AR4" s="9" t="inlineStr">
        <is>
          <t>None</t>
        </is>
      </c>
      <c r="AS4" s="9" t="inlineStr">
        <is>
          <t>None</t>
        </is>
      </c>
      <c r="AT4" s="9" t="inlineStr">
        <is>
          <t>None</t>
        </is>
      </c>
      <c r="AU4" s="9" t="inlineStr">
        <is>
          <t>None</t>
        </is>
      </c>
      <c r="AV4" s="9" t="inlineStr">
        <is>
          <t>None</t>
        </is>
      </c>
      <c r="AW4" s="9" t="inlineStr">
        <is>
          <t>None</t>
        </is>
      </c>
      <c r="AX4" s="9" t="inlineStr">
        <is>
          <t>None</t>
        </is>
      </c>
      <c r="AY4" s="9" t="inlineStr">
        <is>
          <t>None</t>
        </is>
      </c>
      <c r="AZ4" s="9" t="inlineStr">
        <is>
          <t>None</t>
        </is>
      </c>
      <c r="BA4" s="9" t="inlineStr">
        <is>
          <t>None</t>
        </is>
      </c>
      <c r="BB4" s="9" t="inlineStr">
        <is>
          <t>None</t>
        </is>
      </c>
      <c r="BC4" s="9" t="inlineStr">
        <is>
          <t>None</t>
        </is>
      </c>
      <c r="BD4" s="9" t="inlineStr">
        <is>
          <t>None</t>
        </is>
      </c>
    </row>
    <row r="5">
      <c r="C5" s="8" t="inlineStr">
        <is>
          <t>Ref Min</t>
        </is>
      </c>
      <c r="D5" s="9" t="n">
        <v>0</v>
      </c>
      <c r="E5" s="9" t="n">
        <v>0</v>
      </c>
      <c r="F5" s="9" t="n">
        <v>0.0009995003331</v>
      </c>
      <c r="G5" s="9" t="n">
        <v>-6.907755279</v>
      </c>
      <c r="H5" s="9" t="n">
        <v>-0.3</v>
      </c>
      <c r="I5" s="9" t="n">
        <v>5</v>
      </c>
      <c r="J5" s="9" t="n">
        <v>0</v>
      </c>
      <c r="K5" s="9" t="n">
        <v>-6.907755279</v>
      </c>
      <c r="L5" s="9" t="n">
        <v>1.7</v>
      </c>
      <c r="M5" s="9" t="n">
        <v>-6.907755279</v>
      </c>
      <c r="N5" s="9" t="n">
        <v>-6.907755279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0.91</v>
      </c>
      <c r="T5" s="9" t="n">
        <v>0.45</v>
      </c>
      <c r="U5" s="9" t="n">
        <v>0.132</v>
      </c>
      <c r="V5" s="9" t="n">
        <v>0.16</v>
      </c>
      <c r="W5" s="9" t="n">
        <v>55</v>
      </c>
      <c r="X5" s="9" t="n">
        <v>0.2</v>
      </c>
      <c r="Y5" s="9" t="n">
        <v>0</v>
      </c>
      <c r="Z5" s="9" t="n">
        <v>17</v>
      </c>
      <c r="AA5" s="9" t="n">
        <v>6.3</v>
      </c>
      <c r="AB5" s="9" t="n">
        <v>0</v>
      </c>
      <c r="AC5" s="9" t="n">
        <v>3.68</v>
      </c>
      <c r="AD5" s="9" t="n">
        <v>6.2</v>
      </c>
      <c r="AE5" s="9" t="n">
        <v>28.27</v>
      </c>
      <c r="AF5" s="9" t="n">
        <v>10.05</v>
      </c>
      <c r="AG5" s="9" t="n">
        <v>-6.907755279</v>
      </c>
      <c r="AH5" s="9" t="n">
        <v>63.94</v>
      </c>
      <c r="AI5" s="9" t="n">
        <v>0.11</v>
      </c>
      <c r="AJ5" s="9" t="n">
        <v>2.9</v>
      </c>
      <c r="AK5" s="9" t="n">
        <v>90.40000000000001</v>
      </c>
      <c r="AL5" s="9" t="n">
        <v>69.90000000000001</v>
      </c>
      <c r="AM5" s="9" t="n">
        <v>0</v>
      </c>
      <c r="AN5" s="9" t="n">
        <v>19.3</v>
      </c>
      <c r="AO5" s="9" t="n">
        <v>75.80887488</v>
      </c>
      <c r="AP5" s="9" t="n">
        <v>0.5</v>
      </c>
      <c r="AQ5" s="9" t="n">
        <v>8.699999999999999</v>
      </c>
      <c r="AR5" s="9" t="n">
        <v>57.09</v>
      </c>
      <c r="AS5" s="9" t="n">
        <v>0</v>
      </c>
      <c r="AT5" s="9" t="n">
        <v>7.29</v>
      </c>
      <c r="AU5" s="9" t="n">
        <v>369.9</v>
      </c>
      <c r="AV5" s="9" t="n">
        <v>19.11</v>
      </c>
      <c r="AW5" s="9" t="n">
        <v>60</v>
      </c>
      <c r="AX5" s="9" t="n">
        <v>3.94</v>
      </c>
      <c r="AY5" s="9" t="n">
        <v>35</v>
      </c>
      <c r="AZ5" s="9" t="n">
        <v>15</v>
      </c>
      <c r="BA5" s="9" t="n">
        <v>0</v>
      </c>
      <c r="BB5" s="9" t="n">
        <v>0</v>
      </c>
      <c r="BC5" s="9" t="n">
        <v>-1.7</v>
      </c>
      <c r="BD5" s="9" t="n">
        <v>64.90000000000001</v>
      </c>
    </row>
    <row r="6">
      <c r="C6" s="8" t="inlineStr">
        <is>
          <t>Ref Max</t>
        </is>
      </c>
      <c r="D6" s="9" t="n">
        <v>5</v>
      </c>
      <c r="E6" s="9" t="n">
        <v>99.09999999999999</v>
      </c>
      <c r="F6" s="9" t="n">
        <v>4.043068812</v>
      </c>
      <c r="G6" s="9" t="n">
        <v>3.891840706</v>
      </c>
      <c r="H6" s="9" t="n">
        <v>0</v>
      </c>
      <c r="I6" s="9" t="n">
        <v>19</v>
      </c>
      <c r="J6" s="9" t="n">
        <v>1.000000072</v>
      </c>
      <c r="K6" s="9" t="n">
        <v>-1.002357813</v>
      </c>
      <c r="L6" s="9" t="n">
        <v>15.9</v>
      </c>
      <c r="M6" s="9" t="n">
        <v>-1.148853505</v>
      </c>
      <c r="N6" s="9" t="n">
        <v>0.0009995003331</v>
      </c>
      <c r="O6" s="9" t="n">
        <v>18.10675049</v>
      </c>
      <c r="P6" s="9" t="n">
        <v>4</v>
      </c>
      <c r="Q6" s="9" t="n">
        <v>49</v>
      </c>
      <c r="R6" s="9" t="n">
        <v>120</v>
      </c>
      <c r="S6" s="9" t="n">
        <v>0.97</v>
      </c>
      <c r="T6" s="9" t="n">
        <v>0.68</v>
      </c>
      <c r="U6" s="9" t="n">
        <v>0.39</v>
      </c>
      <c r="V6" s="9" t="n">
        <v>0.44</v>
      </c>
      <c r="W6" s="9" t="n">
        <v>121.8</v>
      </c>
      <c r="X6" s="9" t="n">
        <v>14.5</v>
      </c>
      <c r="Y6" s="9" t="n">
        <v>6.4</v>
      </c>
      <c r="Z6" s="9" t="n">
        <v>78.40000000000001</v>
      </c>
      <c r="AA6" s="9" t="n">
        <v>100</v>
      </c>
      <c r="AB6" s="9" t="n">
        <v>149</v>
      </c>
      <c r="AC6" s="9" t="n">
        <v>42.48</v>
      </c>
      <c r="AD6" s="9" t="n">
        <v>20</v>
      </c>
      <c r="AE6" s="9" t="n">
        <v>76.56999999999999</v>
      </c>
      <c r="AF6" s="9" t="n">
        <v>49.95</v>
      </c>
      <c r="AG6" s="9" t="n">
        <v>10.31161581</v>
      </c>
      <c r="AH6" s="9" t="n">
        <v>72.08</v>
      </c>
      <c r="AI6" s="9" t="n">
        <v>0.37</v>
      </c>
      <c r="AJ6" s="9" t="n">
        <v>1595.4</v>
      </c>
      <c r="AK6" s="9" t="n">
        <v>100</v>
      </c>
      <c r="AL6" s="9" t="n">
        <v>98.59999999999999</v>
      </c>
      <c r="AM6" s="9" t="n">
        <v>0</v>
      </c>
      <c r="AN6" s="9" t="n">
        <v>758.2</v>
      </c>
      <c r="AO6" s="9" t="n">
        <v>100</v>
      </c>
      <c r="AP6" s="9" t="n">
        <v>6.8</v>
      </c>
      <c r="AQ6" s="9" t="n">
        <v>100</v>
      </c>
      <c r="AR6" s="9" t="n">
        <v>98.81999999999999</v>
      </c>
      <c r="AS6" s="9" t="n">
        <v>0</v>
      </c>
      <c r="AT6" s="9" t="n">
        <v>8.970000000000001</v>
      </c>
      <c r="AU6" s="9" t="n">
        <v>12866.6</v>
      </c>
      <c r="AV6" s="9" t="n">
        <v>67.88</v>
      </c>
      <c r="AW6" s="9" t="n">
        <v>96.2</v>
      </c>
      <c r="AX6" s="9" t="n">
        <v>8.710000000000001</v>
      </c>
      <c r="AY6" s="9" t="n">
        <v>99</v>
      </c>
      <c r="AZ6" s="9" t="n">
        <v>99</v>
      </c>
      <c r="BA6" s="9" t="n">
        <v>989030</v>
      </c>
      <c r="BB6" s="9" t="n">
        <v>1</v>
      </c>
      <c r="BC6" s="9" t="n">
        <v>0.8</v>
      </c>
      <c r="BD6" s="9" t="n">
        <v>79.5</v>
      </c>
    </row>
    <row r="7">
      <c r="C7" s="8" t="inlineStr">
        <is>
          <t>Direction</t>
        </is>
      </c>
      <c r="D7" s="9" t="inlineStr">
        <is>
          <t>Increase Risk</t>
        </is>
      </c>
      <c r="E7" s="9" t="inlineStr">
        <is>
          <t>Increase Risk</t>
        </is>
      </c>
      <c r="F7" s="9" t="inlineStr">
        <is>
          <t>Increase Risk</t>
        </is>
      </c>
      <c r="G7" s="9" t="inlineStr">
        <is>
          <t>Increase Risk</t>
        </is>
      </c>
      <c r="H7" s="9" t="inlineStr">
        <is>
          <t>Decrease Risk</t>
        </is>
      </c>
      <c r="I7" s="9" t="inlineStr">
        <is>
          <t>Increase Risk</t>
        </is>
      </c>
      <c r="J7" s="9" t="inlineStr">
        <is>
          <t>Increase Risk</t>
        </is>
      </c>
      <c r="K7" s="9" t="inlineStr">
        <is>
          <t>Increase Risk</t>
        </is>
      </c>
      <c r="L7" s="9" t="inlineStr">
        <is>
          <t>Increase Risk</t>
        </is>
      </c>
      <c r="M7" s="9" t="inlineStr">
        <is>
          <t>Increase Risk</t>
        </is>
      </c>
      <c r="N7" s="9" t="inlineStr">
        <is>
          <t>Increase Risk</t>
        </is>
      </c>
      <c r="O7" s="9" t="inlineStr">
        <is>
          <t>Increase Risk</t>
        </is>
      </c>
      <c r="P7" s="9" t="inlineStr">
        <is>
          <t>Increase Risk</t>
        </is>
      </c>
      <c r="Q7" s="9" t="inlineStr">
        <is>
          <t>Increase Risk</t>
        </is>
      </c>
      <c r="R7" s="9" t="inlineStr">
        <is>
          <t>Increase Risk</t>
        </is>
      </c>
      <c r="S7" s="9" t="inlineStr">
        <is>
          <t>Decrease Risk</t>
        </is>
      </c>
      <c r="T7" s="9" t="inlineStr">
        <is>
          <t>Decrease Risk</t>
        </is>
      </c>
      <c r="U7" s="9" t="inlineStr">
        <is>
          <t>Increase Risk</t>
        </is>
      </c>
      <c r="V7" s="9" t="inlineStr">
        <is>
          <t>Increase Risk</t>
        </is>
      </c>
      <c r="W7" s="9" t="inlineStr">
        <is>
          <t>Increase Risk</t>
        </is>
      </c>
      <c r="X7" s="9" t="inlineStr">
        <is>
          <t>Increase Risk</t>
        </is>
      </c>
      <c r="Y7" s="9" t="inlineStr">
        <is>
          <t>Increase Risk</t>
        </is>
      </c>
      <c r="Z7" s="9" t="inlineStr">
        <is>
          <t>Increase Risk</t>
        </is>
      </c>
      <c r="AA7" s="9" t="inlineStr">
        <is>
          <t>Increase Risk</t>
        </is>
      </c>
      <c r="AB7" s="9" t="inlineStr">
        <is>
          <t>Increase Risk</t>
        </is>
      </c>
      <c r="AC7" s="9" t="inlineStr">
        <is>
          <t>Increase Risk</t>
        </is>
      </c>
      <c r="AD7" s="9" t="inlineStr">
        <is>
          <t>Increase Risk</t>
        </is>
      </c>
      <c r="AE7" s="9" t="inlineStr">
        <is>
          <t>Increase Risk</t>
        </is>
      </c>
      <c r="AF7" s="9" t="inlineStr">
        <is>
          <t>Increase Risk</t>
        </is>
      </c>
      <c r="AG7" s="9" t="inlineStr">
        <is>
          <t>Increase Risk</t>
        </is>
      </c>
      <c r="AH7" s="9" t="inlineStr">
        <is>
          <t>Decrease Risk</t>
        </is>
      </c>
      <c r="AI7" s="9" t="inlineStr">
        <is>
          <t>Increase Risk</t>
        </is>
      </c>
      <c r="AJ7" s="9" t="inlineStr">
        <is>
          <t>Increase Risk</t>
        </is>
      </c>
      <c r="AK7" s="9" t="inlineStr">
        <is>
          <t>Decrease Risk</t>
        </is>
      </c>
      <c r="AL7" s="9" t="inlineStr">
        <is>
          <t>Decrease Risk</t>
        </is>
      </c>
      <c r="AM7" s="9" t="inlineStr">
        <is>
          <t>Decrease Risk</t>
        </is>
      </c>
      <c r="AN7" s="9" t="inlineStr">
        <is>
          <t>Decrease Risk</t>
        </is>
      </c>
      <c r="AO7" s="9" t="inlineStr">
        <is>
          <t>Decrease Risk</t>
        </is>
      </c>
      <c r="AP7" s="9" t="inlineStr">
        <is>
          <t>Decrease Risk</t>
        </is>
      </c>
      <c r="AQ7" s="9" t="inlineStr">
        <is>
          <t>Decrease Risk</t>
        </is>
      </c>
      <c r="AR7" s="9" t="inlineStr">
        <is>
          <t>Decrease Risk</t>
        </is>
      </c>
      <c r="AS7" s="9" t="inlineStr">
        <is>
          <t>Decrease Risk</t>
        </is>
      </c>
      <c r="AT7" s="9" t="inlineStr">
        <is>
          <t>Decrease Risk</t>
        </is>
      </c>
      <c r="AU7" s="9" t="inlineStr">
        <is>
          <t>Decrease Risk</t>
        </is>
      </c>
      <c r="AV7" s="9" t="inlineStr">
        <is>
          <t>Decrease Risk</t>
        </is>
      </c>
      <c r="AW7" s="9" t="inlineStr">
        <is>
          <t>Decrease Risk</t>
        </is>
      </c>
      <c r="AX7" s="9" t="inlineStr">
        <is>
          <t>Decrease Risk</t>
        </is>
      </c>
      <c r="AY7" s="9" t="inlineStr">
        <is>
          <t>Decrease Risk</t>
        </is>
      </c>
      <c r="AZ7" s="9" t="inlineStr">
        <is>
          <t>Decrease Risk</t>
        </is>
      </c>
      <c r="BA7" s="9" t="inlineStr">
        <is>
          <t>Decrease Risk</t>
        </is>
      </c>
      <c r="BB7" s="9" t="inlineStr">
        <is>
          <t>Decrease Risk</t>
        </is>
      </c>
      <c r="BC7" s="9" t="inlineStr">
        <is>
          <t>Decrease Risk</t>
        </is>
      </c>
      <c r="BD7" s="9" t="inlineStr">
        <is>
          <t>Decrease Risk</t>
        </is>
      </c>
    </row>
    <row r="8">
      <c r="C8" s="8" t="inlineStr">
        <is>
          <t>Fence Lo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>
        <v>0.67</v>
      </c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>
        <v>0.5</v>
      </c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</row>
    <row r="9">
      <c r="C9" s="8" t="inlineStr">
        <is>
          <t>Fence Hi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>
        <v>0.67</v>
      </c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>
        <v>0.5</v>
      </c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</row>
    <row r="10">
      <c r="A10" s="10" t="inlineStr">
        <is>
          <t>Region</t>
        </is>
      </c>
      <c r="B10" s="10" t="inlineStr">
        <is>
          <t>Council</t>
        </is>
      </c>
      <c r="C10" s="10" t="inlineStr">
        <is>
          <t>Code</t>
        </is>
      </c>
      <c r="D10" s="11" t="inlineStr">
        <is>
          <t>Conflict Barometer</t>
        </is>
      </c>
      <c r="E10" s="11" t="inlineStr">
        <is>
          <t>GCRI derived Conflict probability</t>
        </is>
      </c>
      <c r="F10" s="11" t="inlineStr">
        <is>
          <t>Number of Events</t>
        </is>
      </c>
      <c r="G10" s="11" t="inlineStr">
        <is>
          <t>Number of Fatalities</t>
        </is>
      </c>
      <c r="H10" s="11" t="inlineStr">
        <is>
          <t>Coastal Erosion</t>
        </is>
      </c>
      <c r="I10" s="11" t="inlineStr">
        <is>
          <t>Historic Drought Frequency</t>
        </is>
      </c>
      <c r="J10" s="11" t="inlineStr">
        <is>
          <t>Earthquake exposure</t>
        </is>
      </c>
      <c r="K10" s="11" t="inlineStr">
        <is>
          <t>Deforestation - Treecover Loss</t>
        </is>
      </c>
      <c r="L10" s="11" t="inlineStr">
        <is>
          <t>Soil Erosion</t>
        </is>
      </c>
      <c r="M10" s="11" t="inlineStr">
        <is>
          <t>Flood exposure</t>
        </is>
      </c>
      <c r="N10" s="11" t="inlineStr">
        <is>
          <t>Landslide exposure</t>
        </is>
      </c>
      <c r="O10" s="11" t="inlineStr">
        <is>
          <t>Cyclone exposure - max speed</t>
        </is>
      </c>
      <c r="P10" s="11" t="inlineStr">
        <is>
          <t>Volcano exposure</t>
        </is>
      </c>
      <c r="Q10" s="11" t="inlineStr">
        <is>
          <t>Burned Area</t>
        </is>
      </c>
      <c r="R10" s="11" t="inlineStr">
        <is>
          <t>Fire Weather Index</t>
        </is>
      </c>
      <c r="S10" s="11" t="inlineStr">
        <is>
          <t>Gender Development Index</t>
        </is>
      </c>
      <c r="T10" s="11" t="inlineStr">
        <is>
          <t>Human Development Index</t>
        </is>
      </c>
      <c r="U10" s="11" t="inlineStr">
        <is>
          <t>Multidimensional Poverty Index</t>
        </is>
      </c>
      <c r="V10" s="11" t="inlineStr">
        <is>
          <t>Wealth Inequality</t>
        </is>
      </c>
      <c r="W10" s="11" t="inlineStr">
        <is>
          <t>Dependency Ratio</t>
        </is>
      </c>
      <c r="X10" s="11" t="inlineStr">
        <is>
          <t>Net ODA received (% of GNI)</t>
        </is>
      </c>
      <c r="Y10" s="11" t="inlineStr">
        <is>
          <t>Personal remittances</t>
        </is>
      </c>
      <c r="Z10" s="11" t="inlineStr">
        <is>
          <t>Population in informal settlements</t>
        </is>
      </c>
      <c r="AA10" s="11" t="inlineStr">
        <is>
          <t>Urban Population</t>
        </is>
      </c>
      <c r="AB10" s="11" t="inlineStr">
        <is>
          <t>Food Security - Insufficient food</t>
        </is>
      </c>
      <c r="AC10" s="11" t="inlineStr">
        <is>
          <t>Child mortality</t>
        </is>
      </c>
      <c r="AD10" s="11" t="inlineStr">
        <is>
          <t>Children Underweight</t>
        </is>
      </c>
      <c r="AE10" s="11" t="inlineStr">
        <is>
          <t>Infant mortality</t>
        </is>
      </c>
      <c r="AF10" s="11" t="inlineStr">
        <is>
          <t>Neonatal mortality</t>
        </is>
      </c>
      <c r="AG10" s="11" t="inlineStr">
        <is>
          <t>Internal Displaced People</t>
        </is>
      </c>
      <c r="AH10" s="11" t="inlineStr">
        <is>
          <t>Life Expectancy</t>
        </is>
      </c>
      <c r="AI10" s="11" t="inlineStr">
        <is>
          <t>Malaria prevalence</t>
        </is>
      </c>
      <c r="AJ10" s="11" t="inlineStr">
        <is>
          <t>Measles Incidence</t>
        </is>
      </c>
      <c r="AK10" s="11" t="inlineStr">
        <is>
          <t>BCG Immunization Coverage</t>
        </is>
      </c>
      <c r="AL10" s="11" t="inlineStr">
        <is>
          <t>DTP3 Immunization Coverage</t>
        </is>
      </c>
      <c r="AM10" s="11" t="inlineStr">
        <is>
          <t>Density of health facilities</t>
        </is>
      </c>
      <c r="AN10" s="11" t="inlineStr">
        <is>
          <t>Health expenditure per capita</t>
        </is>
      </c>
      <c r="AO10" s="11" t="inlineStr">
        <is>
          <t>Measles Immunization Coverage</t>
        </is>
      </c>
      <c r="AP10" s="11" t="inlineStr">
        <is>
          <t>Physicians density</t>
        </is>
      </c>
      <c r="AQ10" s="11" t="inlineStr">
        <is>
          <t>Access to electricity</t>
        </is>
      </c>
      <c r="AR10" s="11" t="inlineStr">
        <is>
          <t>Cellphone ownership</t>
        </is>
      </c>
      <c r="AS10" s="11" t="inlineStr">
        <is>
          <t>Internet access</t>
        </is>
      </c>
      <c r="AT10" s="11" t="inlineStr">
        <is>
          <t>Gross National Income per capita</t>
        </is>
      </c>
      <c r="AU10" s="11" t="inlineStr">
        <is>
          <t>Household income</t>
        </is>
      </c>
      <c r="AV10" s="11" t="inlineStr">
        <is>
          <t>International Wealth Index</t>
        </is>
      </c>
      <c r="AW10" s="11" t="inlineStr">
        <is>
          <t>Adult literacy rate</t>
        </is>
      </c>
      <c r="AX10" s="11" t="inlineStr">
        <is>
          <t>Mean years at school</t>
        </is>
      </c>
      <c r="AY10" s="11" t="inlineStr">
        <is>
          <t>People using at least basic drinking water services (% of population)</t>
        </is>
      </c>
      <c r="AZ10" s="11" t="inlineStr">
        <is>
          <t>People using at least basic sanitation services (% of population)</t>
        </is>
      </c>
      <c r="BA10" s="11" t="inlineStr">
        <is>
          <t>Early Warning System</t>
        </is>
      </c>
      <c r="BB10" s="11" t="inlineStr">
        <is>
          <t>Sendai Framework for Action</t>
        </is>
      </c>
      <c r="BC10" s="11" t="inlineStr">
        <is>
          <t>Government effectiveness</t>
        </is>
      </c>
      <c r="BD10" s="11" t="inlineStr">
        <is>
          <t>Subnational Corruption Index</t>
        </is>
      </c>
    </row>
    <row r="11">
      <c r="A11" t="inlineStr">
        <is>
          <t>Arusha</t>
        </is>
      </c>
      <c r="B11" t="inlineStr">
        <is>
          <t>Arusha City</t>
        </is>
      </c>
      <c r="C11" t="inlineStr">
        <is>
          <t>C015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</row>
    <row r="12">
      <c r="A12" t="inlineStr">
        <is>
          <t>Arusha</t>
        </is>
      </c>
      <c r="B12" t="inlineStr">
        <is>
          <t>Arusha District</t>
        </is>
      </c>
      <c r="C12" t="inlineStr">
        <is>
          <t>C011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</row>
    <row r="13">
      <c r="A13" t="inlineStr">
        <is>
          <t>Arusha</t>
        </is>
      </c>
      <c r="B13" t="inlineStr">
        <is>
          <t>Karatu District</t>
        </is>
      </c>
      <c r="C13" t="inlineStr">
        <is>
          <t>C013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</row>
    <row r="14">
      <c r="A14" t="inlineStr">
        <is>
          <t>Arusha</t>
        </is>
      </c>
      <c r="B14" t="inlineStr">
        <is>
          <t>Longido District</t>
        </is>
      </c>
      <c r="C14" t="inlineStr">
        <is>
          <t>C012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</row>
    <row r="15">
      <c r="A15" t="inlineStr">
        <is>
          <t>Arusha</t>
        </is>
      </c>
      <c r="B15" t="inlineStr">
        <is>
          <t>Meru District</t>
        </is>
      </c>
      <c r="C15" t="inlineStr">
        <is>
          <t>C010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</row>
    <row r="16">
      <c r="A16" t="inlineStr">
        <is>
          <t>Arusha</t>
        </is>
      </c>
      <c r="B16" t="inlineStr">
        <is>
          <t>Monduli District</t>
        </is>
      </c>
      <c r="C16" t="inlineStr">
        <is>
          <t>C009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</row>
    <row r="17">
      <c r="A17" t="inlineStr">
        <is>
          <t>Arusha</t>
        </is>
      </c>
      <c r="B17" t="inlineStr">
        <is>
          <t>Ngorongoro District</t>
        </is>
      </c>
      <c r="C17" t="inlineStr">
        <is>
          <t>C014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</row>
    <row r="18">
      <c r="A18" t="inlineStr">
        <is>
          <t>Dar es Salaam</t>
        </is>
      </c>
      <c r="B18" t="inlineStr">
        <is>
          <t>Dar Es Salaam City</t>
        </is>
      </c>
      <c r="C18" t="inlineStr">
        <is>
          <t>C053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</row>
    <row r="19">
      <c r="A19" t="inlineStr">
        <is>
          <t>Dar es Salaam</t>
        </is>
      </c>
      <c r="B19" t="inlineStr">
        <is>
          <t>Kigamboni Municipal</t>
        </is>
      </c>
      <c r="C19" t="inlineStr">
        <is>
          <t>C055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</row>
    <row r="20">
      <c r="A20" t="inlineStr">
        <is>
          <t>Dar es Salaam</t>
        </is>
      </c>
      <c r="B20" t="inlineStr">
        <is>
          <t>Kinondoni Municipal</t>
        </is>
      </c>
      <c r="C20" t="inlineStr">
        <is>
          <t>C052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</row>
    <row r="21">
      <c r="A21" t="inlineStr">
        <is>
          <t>Dar es Salaam</t>
        </is>
      </c>
      <c r="B21" t="inlineStr">
        <is>
          <t>Temeke Municipal</t>
        </is>
      </c>
      <c r="C21" t="inlineStr">
        <is>
          <t>C054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</row>
    <row r="22">
      <c r="A22" t="inlineStr">
        <is>
          <t>Dar es Salaam</t>
        </is>
      </c>
      <c r="B22" t="inlineStr">
        <is>
          <t>Ubungo Municipal</t>
        </is>
      </c>
      <c r="C22" t="inlineStr">
        <is>
          <t>C056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</row>
    <row r="23">
      <c r="A23" t="inlineStr">
        <is>
          <t>Dodoma</t>
        </is>
      </c>
      <c r="B23" t="inlineStr">
        <is>
          <t>Bahi District</t>
        </is>
      </c>
      <c r="C23" t="inlineStr">
        <is>
          <t>C007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</row>
    <row r="24">
      <c r="A24" t="inlineStr">
        <is>
          <t>Dodoma</t>
        </is>
      </c>
      <c r="B24" t="inlineStr">
        <is>
          <t>Chamwino District</t>
        </is>
      </c>
      <c r="C24" t="inlineStr">
        <is>
          <t>C005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</row>
    <row r="25">
      <c r="A25" t="inlineStr">
        <is>
          <t>Dodoma</t>
        </is>
      </c>
      <c r="B25" t="inlineStr">
        <is>
          <t>Chemba District</t>
        </is>
      </c>
      <c r="C25" t="inlineStr">
        <is>
          <t>C008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</row>
    <row r="26">
      <c r="A26" t="inlineStr">
        <is>
          <t>Dodoma</t>
        </is>
      </c>
      <c r="B26" t="inlineStr">
        <is>
          <t>Dodoma City</t>
        </is>
      </c>
      <c r="C26" t="inlineStr">
        <is>
          <t>C006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</row>
    <row r="27">
      <c r="A27" t="inlineStr">
        <is>
          <t>Dodoma</t>
        </is>
      </c>
      <c r="B27" t="inlineStr">
        <is>
          <t>Kondoa District</t>
        </is>
      </c>
      <c r="C27" t="inlineStr">
        <is>
          <t>C001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</row>
    <row r="28">
      <c r="A28" t="inlineStr">
        <is>
          <t>Dodoma</t>
        </is>
      </c>
      <c r="B28" t="inlineStr">
        <is>
          <t>Kondoa Town</t>
        </is>
      </c>
      <c r="C28" t="inlineStr">
        <is>
          <t>C002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</row>
    <row r="29">
      <c r="A29" t="inlineStr">
        <is>
          <t>Dodoma</t>
        </is>
      </c>
      <c r="B29" t="inlineStr">
        <is>
          <t>Kongwa District</t>
        </is>
      </c>
      <c r="C29" t="inlineStr">
        <is>
          <t>C004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</row>
    <row r="30">
      <c r="A30" t="inlineStr">
        <is>
          <t>Dodoma</t>
        </is>
      </c>
      <c r="B30" t="inlineStr">
        <is>
          <t>Mpwapwa District</t>
        </is>
      </c>
      <c r="C30" t="inlineStr">
        <is>
          <t>C003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</row>
    <row r="31">
      <c r="A31" t="inlineStr">
        <is>
          <t>Geita</t>
        </is>
      </c>
      <c r="B31" t="inlineStr">
        <is>
          <t>Bukombe District</t>
        </is>
      </c>
      <c r="C31" t="inlineStr">
        <is>
          <t>C178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</row>
    <row r="32">
      <c r="A32" t="inlineStr">
        <is>
          <t>Geita</t>
        </is>
      </c>
      <c r="B32" t="inlineStr">
        <is>
          <t>Chato District</t>
        </is>
      </c>
      <c r="C32" t="inlineStr">
        <is>
          <t>C179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</row>
    <row r="33">
      <c r="A33" t="inlineStr">
        <is>
          <t>Geita</t>
        </is>
      </c>
      <c r="B33" t="inlineStr">
        <is>
          <t>Geita District</t>
        </is>
      </c>
      <c r="C33" t="inlineStr">
        <is>
          <t>C174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</row>
    <row r="34">
      <c r="A34" t="inlineStr">
        <is>
          <t>Geita</t>
        </is>
      </c>
      <c r="B34" t="inlineStr">
        <is>
          <t>Geita Town</t>
        </is>
      </c>
      <c r="C34" t="inlineStr">
        <is>
          <t>C175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</row>
    <row r="35">
      <c r="A35" t="inlineStr">
        <is>
          <t>Geita</t>
        </is>
      </c>
      <c r="B35" t="inlineStr">
        <is>
          <t>Halmashuari Ya Wilaya Ya Mbogwe District</t>
        </is>
      </c>
      <c r="C35" t="inlineStr">
        <is>
          <t>C177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</row>
    <row r="36">
      <c r="A36" t="inlineStr">
        <is>
          <t>Geita</t>
        </is>
      </c>
      <c r="B36" t="inlineStr">
        <is>
          <t>Nyang'Hwale District</t>
        </is>
      </c>
      <c r="C36" t="inlineStr">
        <is>
          <t>C176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</row>
    <row r="37">
      <c r="A37" t="inlineStr">
        <is>
          <t>Iringa</t>
        </is>
      </c>
      <c r="B37" t="inlineStr">
        <is>
          <t>Iringa District</t>
        </is>
      </c>
      <c r="C37" t="inlineStr">
        <is>
          <t>C080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</row>
    <row r="38">
      <c r="A38" t="inlineStr">
        <is>
          <t>Iringa</t>
        </is>
      </c>
      <c r="B38" t="inlineStr">
        <is>
          <t>Iringa Municipal</t>
        </is>
      </c>
      <c r="C38" t="inlineStr">
        <is>
          <t>C081</t>
        </is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</row>
    <row r="39">
      <c r="A39" t="inlineStr">
        <is>
          <t>Iringa</t>
        </is>
      </c>
      <c r="B39" t="inlineStr">
        <is>
          <t>Kilolo District</t>
        </is>
      </c>
      <c r="C39" t="inlineStr">
        <is>
          <t>C084</t>
        </is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</row>
    <row r="40">
      <c r="A40" t="inlineStr">
        <is>
          <t>Iringa</t>
        </is>
      </c>
      <c r="B40" t="inlineStr">
        <is>
          <t>Mafinga Town</t>
        </is>
      </c>
      <c r="C40" t="inlineStr">
        <is>
          <t>C082</t>
        </is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</row>
    <row r="41">
      <c r="A41" t="inlineStr">
        <is>
          <t>Iringa</t>
        </is>
      </c>
      <c r="B41" t="inlineStr">
        <is>
          <t>Mufindi District</t>
        </is>
      </c>
      <c r="C41" t="inlineStr">
        <is>
          <t>C083</t>
        </is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</row>
    <row r="42">
      <c r="A42" t="inlineStr">
        <is>
          <t>Kagera</t>
        </is>
      </c>
      <c r="B42" t="inlineStr">
        <is>
          <t>Biharamulo District</t>
        </is>
      </c>
      <c r="C42" t="inlineStr">
        <is>
          <t>C129</t>
        </is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</row>
    <row r="43">
      <c r="A43" t="inlineStr">
        <is>
          <t>Kagera</t>
        </is>
      </c>
      <c r="B43" t="inlineStr">
        <is>
          <t>Bukoba District</t>
        </is>
      </c>
      <c r="C43" t="inlineStr">
        <is>
          <t>C126</t>
        </is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</row>
    <row r="44">
      <c r="A44" t="inlineStr">
        <is>
          <t>Kagera</t>
        </is>
      </c>
      <c r="B44" t="inlineStr">
        <is>
          <t>Bukoba Municipal</t>
        </is>
      </c>
      <c r="C44" t="inlineStr">
        <is>
          <t>C127</t>
        </is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</row>
    <row r="45">
      <c r="A45" t="inlineStr">
        <is>
          <t>Kagera</t>
        </is>
      </c>
      <c r="B45" t="inlineStr">
        <is>
          <t>Karagwe District</t>
        </is>
      </c>
      <c r="C45" t="inlineStr">
        <is>
          <t>C125</t>
        </is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</row>
    <row r="46">
      <c r="A46" t="inlineStr">
        <is>
          <t>Kagera</t>
        </is>
      </c>
      <c r="B46" t="inlineStr">
        <is>
          <t>Kyerwa District</t>
        </is>
      </c>
      <c r="C46" t="inlineStr">
        <is>
          <t>C131</t>
        </is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</row>
    <row r="47">
      <c r="A47" t="inlineStr">
        <is>
          <t>Kagera</t>
        </is>
      </c>
      <c r="B47" t="inlineStr">
        <is>
          <t>Missenyi District</t>
        </is>
      </c>
      <c r="C47" t="inlineStr">
        <is>
          <t>C132</t>
        </is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</row>
    <row r="48">
      <c r="A48" t="inlineStr">
        <is>
          <t>Kagera</t>
        </is>
      </c>
      <c r="B48" t="inlineStr">
        <is>
          <t>Muleba District</t>
        </is>
      </c>
      <c r="C48" t="inlineStr">
        <is>
          <t>C128</t>
        </is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</row>
    <row r="49">
      <c r="A49" t="inlineStr">
        <is>
          <t>Kagera</t>
        </is>
      </c>
      <c r="B49" t="inlineStr">
        <is>
          <t>Ngara District</t>
        </is>
      </c>
      <c r="C49" t="inlineStr">
        <is>
          <t>C130</t>
        </is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</row>
    <row r="50">
      <c r="A50" t="inlineStr">
        <is>
          <t>Kaskazini Pemba</t>
        </is>
      </c>
      <c r="B50" t="inlineStr">
        <is>
          <t>Micheweni District</t>
        </is>
      </c>
      <c r="C50" t="inlineStr">
        <is>
          <t>C193</t>
        </is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</row>
    <row r="51">
      <c r="A51" t="inlineStr">
        <is>
          <t>Kaskazini Pemba</t>
        </is>
      </c>
      <c r="B51" t="inlineStr">
        <is>
          <t>Wete Town</t>
        </is>
      </c>
      <c r="C51" t="inlineStr">
        <is>
          <t>C192</t>
        </is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</row>
    <row r="52">
      <c r="A52" t="inlineStr">
        <is>
          <t>Kaskazini Unguja</t>
        </is>
      </c>
      <c r="B52" t="inlineStr">
        <is>
          <t>Kaskazini A Town</t>
        </is>
      </c>
      <c r="C52" t="inlineStr">
        <is>
          <t>C185</t>
        </is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</row>
    <row r="53">
      <c r="A53" t="inlineStr">
        <is>
          <t>Kaskazini Unguja</t>
        </is>
      </c>
      <c r="B53" t="inlineStr">
        <is>
          <t>Kaskazini B Town</t>
        </is>
      </c>
      <c r="C53" t="inlineStr">
        <is>
          <t>C186</t>
        </is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</row>
    <row r="54">
      <c r="A54" t="inlineStr">
        <is>
          <t>Katavi</t>
        </is>
      </c>
      <c r="B54" t="inlineStr">
        <is>
          <t>Mlele District</t>
        </is>
      </c>
      <c r="C54" t="inlineStr">
        <is>
          <t>C166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</row>
    <row r="55">
      <c r="A55" t="inlineStr">
        <is>
          <t>Katavi</t>
        </is>
      </c>
      <c r="B55" t="inlineStr">
        <is>
          <t>Mpanda Municipal</t>
        </is>
      </c>
      <c r="C55" t="inlineStr">
        <is>
          <t>C163</t>
        </is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</row>
    <row r="56">
      <c r="A56" t="inlineStr">
        <is>
          <t>Katavi</t>
        </is>
      </c>
      <c r="B56" t="inlineStr">
        <is>
          <t>Mpimbwe District</t>
        </is>
      </c>
      <c r="C56" t="inlineStr">
        <is>
          <t>C167</t>
        </is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  <c r="BC56" s="12" t="n"/>
      <c r="BD56" s="12" t="n"/>
    </row>
    <row r="57">
      <c r="A57" t="inlineStr">
        <is>
          <t>Katavi</t>
        </is>
      </c>
      <c r="B57" t="inlineStr">
        <is>
          <t>Nsimbo District</t>
        </is>
      </c>
      <c r="C57" t="inlineStr">
        <is>
          <t>C164</t>
        </is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</row>
    <row r="58">
      <c r="A58" t="inlineStr">
        <is>
          <t>Katavi</t>
        </is>
      </c>
      <c r="B58" t="inlineStr">
        <is>
          <t>Tanganyika District</t>
        </is>
      </c>
      <c r="C58" t="inlineStr">
        <is>
          <t>C165</t>
        </is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</row>
    <row r="59">
      <c r="A59" t="inlineStr">
        <is>
          <t>Kigoma</t>
        </is>
      </c>
      <c r="B59" t="inlineStr">
        <is>
          <t>Buhigwe District</t>
        </is>
      </c>
      <c r="C59" t="inlineStr">
        <is>
          <t>C117</t>
        </is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</row>
    <row r="60">
      <c r="A60" t="inlineStr">
        <is>
          <t>Kigoma</t>
        </is>
      </c>
      <c r="B60" t="inlineStr">
        <is>
          <t>Kakonko District</t>
        </is>
      </c>
      <c r="C60" t="inlineStr">
        <is>
          <t>C118</t>
        </is>
      </c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</row>
    <row r="61">
      <c r="A61" t="inlineStr">
        <is>
          <t>Kigoma</t>
        </is>
      </c>
      <c r="B61" t="inlineStr">
        <is>
          <t>Kasulu District</t>
        </is>
      </c>
      <c r="C61" t="inlineStr">
        <is>
          <t>C112</t>
        </is>
      </c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</row>
    <row r="62">
      <c r="A62" t="inlineStr">
        <is>
          <t>Kigoma</t>
        </is>
      </c>
      <c r="B62" t="inlineStr">
        <is>
          <t>Kasulu Town</t>
        </is>
      </c>
      <c r="C62" t="inlineStr">
        <is>
          <t>C113</t>
        </is>
      </c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</row>
    <row r="63">
      <c r="A63" t="inlineStr">
        <is>
          <t>Kigoma</t>
        </is>
      </c>
      <c r="B63" t="inlineStr">
        <is>
          <t>Kibondo District</t>
        </is>
      </c>
      <c r="C63" t="inlineStr">
        <is>
          <t>C111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</row>
    <row r="64">
      <c r="A64" t="inlineStr">
        <is>
          <t>Kigoma</t>
        </is>
      </c>
      <c r="B64" t="inlineStr">
        <is>
          <t>Kigoma District</t>
        </is>
      </c>
      <c r="C64" t="inlineStr">
        <is>
          <t>C114</t>
        </is>
      </c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</row>
    <row r="65">
      <c r="A65" t="inlineStr">
        <is>
          <t>Kigoma</t>
        </is>
      </c>
      <c r="B65" t="inlineStr">
        <is>
          <t>Kigoma Ujiji City</t>
        </is>
      </c>
      <c r="C65" t="inlineStr">
        <is>
          <t>C115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</row>
    <row r="66">
      <c r="A66" t="inlineStr">
        <is>
          <t>Kigoma</t>
        </is>
      </c>
      <c r="B66" t="inlineStr">
        <is>
          <t>Uvinza District</t>
        </is>
      </c>
      <c r="C66" t="inlineStr">
        <is>
          <t>C116</t>
        </is>
      </c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</row>
    <row r="67">
      <c r="A67" t="inlineStr">
        <is>
          <t>Kilimanjaro</t>
        </is>
      </c>
      <c r="B67" t="inlineStr">
        <is>
          <t>Hai District</t>
        </is>
      </c>
      <c r="C67" t="inlineStr">
        <is>
          <t>C021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</row>
    <row r="68">
      <c r="A68" t="inlineStr">
        <is>
          <t>Kilimanjaro</t>
        </is>
      </c>
      <c r="B68" t="inlineStr">
        <is>
          <t>Moshi District</t>
        </is>
      </c>
      <c r="C68" t="inlineStr">
        <is>
          <t>C020</t>
        </is>
      </c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</row>
    <row r="69">
      <c r="A69" t="inlineStr">
        <is>
          <t>Kilimanjaro</t>
        </is>
      </c>
      <c r="B69" t="inlineStr">
        <is>
          <t>Moshi Municipal</t>
        </is>
      </c>
      <c r="C69" t="inlineStr">
        <is>
          <t>C019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</row>
    <row r="70">
      <c r="A70" t="inlineStr">
        <is>
          <t>Kilimanjaro</t>
        </is>
      </c>
      <c r="B70" t="inlineStr">
        <is>
          <t>Mwanga District</t>
        </is>
      </c>
      <c r="C70" t="inlineStr">
        <is>
          <t>C017</t>
        </is>
      </c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</row>
    <row r="71">
      <c r="A71" t="inlineStr">
        <is>
          <t>Kilimanjaro</t>
        </is>
      </c>
      <c r="B71" t="inlineStr">
        <is>
          <t>Rombo District</t>
        </is>
      </c>
      <c r="C71" t="inlineStr">
        <is>
          <t>C016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</row>
    <row r="72">
      <c r="A72" t="inlineStr">
        <is>
          <t>Kilimanjaro</t>
        </is>
      </c>
      <c r="B72" t="inlineStr">
        <is>
          <t>Same District</t>
        </is>
      </c>
      <c r="C72" t="inlineStr">
        <is>
          <t>C018</t>
        </is>
      </c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</row>
    <row r="73">
      <c r="A73" t="inlineStr">
        <is>
          <t>Kilimanjaro</t>
        </is>
      </c>
      <c r="B73" t="inlineStr">
        <is>
          <t>Siha District</t>
        </is>
      </c>
      <c r="C73" t="inlineStr">
        <is>
          <t>C022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</row>
    <row r="74">
      <c r="A74" t="inlineStr">
        <is>
          <t>Kusini Pemba</t>
        </is>
      </c>
      <c r="B74" t="inlineStr">
        <is>
          <t>Chake Chake Town</t>
        </is>
      </c>
      <c r="C74" t="inlineStr">
        <is>
          <t>C194</t>
        </is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</row>
    <row r="75">
      <c r="A75" t="inlineStr">
        <is>
          <t>Kusini Pemba</t>
        </is>
      </c>
      <c r="B75" t="inlineStr">
        <is>
          <t>Mkoani Town</t>
        </is>
      </c>
      <c r="C75" t="inlineStr">
        <is>
          <t>C195</t>
        </is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</row>
    <row r="76">
      <c r="A76" t="inlineStr">
        <is>
          <t>Kusini Unguja</t>
        </is>
      </c>
      <c r="B76" t="inlineStr">
        <is>
          <t>Kati Town</t>
        </is>
      </c>
      <c r="C76" t="inlineStr">
        <is>
          <t>C187</t>
        </is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</row>
    <row r="77">
      <c r="A77" t="inlineStr">
        <is>
          <t>Kusini Unguja</t>
        </is>
      </c>
      <c r="B77" t="inlineStr">
        <is>
          <t>Kusini District</t>
        </is>
      </c>
      <c r="C77" t="inlineStr">
        <is>
          <t>C188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</row>
    <row r="78">
      <c r="A78" t="inlineStr">
        <is>
          <t>Lindi</t>
        </is>
      </c>
      <c r="B78" t="inlineStr">
        <is>
          <t>Kilwa District</t>
        </is>
      </c>
      <c r="C78" t="inlineStr">
        <is>
          <t>C057</t>
        </is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</row>
    <row r="79">
      <c r="A79" t="inlineStr">
        <is>
          <t>Lindi</t>
        </is>
      </c>
      <c r="B79" t="inlineStr">
        <is>
          <t>Lindi Municipal</t>
        </is>
      </c>
      <c r="C79" t="inlineStr">
        <is>
          <t>C059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</row>
    <row r="80">
      <c r="A80" t="inlineStr">
        <is>
          <t>Lindi</t>
        </is>
      </c>
      <c r="B80" t="inlineStr">
        <is>
          <t>Liwale District</t>
        </is>
      </c>
      <c r="C80" t="inlineStr">
        <is>
          <t>C061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</row>
    <row r="81">
      <c r="A81" t="inlineStr">
        <is>
          <t>Lindi</t>
        </is>
      </c>
      <c r="B81" t="inlineStr">
        <is>
          <t>Mtama District</t>
        </is>
      </c>
      <c r="C81" t="inlineStr">
        <is>
          <t>C058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</row>
    <row r="82">
      <c r="A82" t="inlineStr">
        <is>
          <t>Lindi</t>
        </is>
      </c>
      <c r="B82" t="inlineStr">
        <is>
          <t>Nachingwea District</t>
        </is>
      </c>
      <c r="C82" t="inlineStr">
        <is>
          <t>C060</t>
        </is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</row>
    <row r="83">
      <c r="A83" t="inlineStr">
        <is>
          <t>Lindi</t>
        </is>
      </c>
      <c r="B83" t="inlineStr">
        <is>
          <t>Ruangwa District</t>
        </is>
      </c>
      <c r="C83" t="inlineStr">
        <is>
          <t>C062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</row>
    <row r="84">
      <c r="A84" t="inlineStr">
        <is>
          <t>Manyara</t>
        </is>
      </c>
      <c r="B84" t="inlineStr">
        <is>
          <t>Babati District</t>
        </is>
      </c>
      <c r="C84" t="inlineStr">
        <is>
          <t>C150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</row>
    <row r="85">
      <c r="A85" t="inlineStr">
        <is>
          <t>Manyara</t>
        </is>
      </c>
      <c r="B85" t="inlineStr">
        <is>
          <t>Babati Town</t>
        </is>
      </c>
      <c r="C85" t="inlineStr">
        <is>
          <t>C151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</row>
    <row r="86">
      <c r="A86" t="inlineStr">
        <is>
          <t>Manyara</t>
        </is>
      </c>
      <c r="B86" t="inlineStr">
        <is>
          <t>Hanang District</t>
        </is>
      </c>
      <c r="C86" t="inlineStr">
        <is>
          <t>C152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</row>
    <row r="87">
      <c r="A87" t="inlineStr">
        <is>
          <t>Manyara</t>
        </is>
      </c>
      <c r="B87" t="inlineStr">
        <is>
          <t>Kiteto District</t>
        </is>
      </c>
      <c r="C87" t="inlineStr">
        <is>
          <t>C156</t>
        </is>
      </c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</row>
    <row r="88">
      <c r="A88" t="inlineStr">
        <is>
          <t>Manyara</t>
        </is>
      </c>
      <c r="B88" t="inlineStr">
        <is>
          <t>Mbulu District</t>
        </is>
      </c>
      <c r="C88" t="inlineStr">
        <is>
          <t>C153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</row>
    <row r="89">
      <c r="A89" t="inlineStr">
        <is>
          <t>Manyara</t>
        </is>
      </c>
      <c r="B89" t="inlineStr">
        <is>
          <t>Mbulu Town</t>
        </is>
      </c>
      <c r="C89" t="inlineStr">
        <is>
          <t>C154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</row>
    <row r="90">
      <c r="A90" t="inlineStr">
        <is>
          <t>Manyara</t>
        </is>
      </c>
      <c r="B90" t="inlineStr">
        <is>
          <t>Simanjiro District</t>
        </is>
      </c>
      <c r="C90" t="inlineStr">
        <is>
          <t>C155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</row>
    <row r="91">
      <c r="A91" t="inlineStr">
        <is>
          <t>Mara</t>
        </is>
      </c>
      <c r="B91" t="inlineStr">
        <is>
          <t>Bunda District</t>
        </is>
      </c>
      <c r="C91" t="inlineStr">
        <is>
          <t>C146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</row>
    <row r="92">
      <c r="A92" t="inlineStr">
        <is>
          <t>Mara</t>
        </is>
      </c>
      <c r="B92" t="inlineStr">
        <is>
          <t>Bunda Town</t>
        </is>
      </c>
      <c r="C92" t="inlineStr">
        <is>
          <t>C147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</row>
    <row r="93">
      <c r="A93" t="inlineStr">
        <is>
          <t>Mara</t>
        </is>
      </c>
      <c r="B93" t="inlineStr">
        <is>
          <t>Butiama District</t>
        </is>
      </c>
      <c r="C93" t="inlineStr">
        <is>
          <t>C148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</row>
    <row r="94">
      <c r="A94" t="inlineStr">
        <is>
          <t>Mara</t>
        </is>
      </c>
      <c r="B94" t="inlineStr">
        <is>
          <t>Musoma District</t>
        </is>
      </c>
      <c r="C94" t="inlineStr">
        <is>
          <t>C144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</row>
    <row r="95">
      <c r="A95" t="inlineStr">
        <is>
          <t>Mara</t>
        </is>
      </c>
      <c r="B95" t="inlineStr">
        <is>
          <t>Musoma Municipal</t>
        </is>
      </c>
      <c r="C95" t="inlineStr">
        <is>
          <t>C145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</row>
    <row r="96">
      <c r="A96" t="inlineStr">
        <is>
          <t>Mara</t>
        </is>
      </c>
      <c r="B96" t="inlineStr">
        <is>
          <t>Rorya District</t>
        </is>
      </c>
      <c r="C96" t="inlineStr">
        <is>
          <t>C149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</row>
    <row r="97">
      <c r="A97" t="inlineStr">
        <is>
          <t>Mara</t>
        </is>
      </c>
      <c r="B97" t="inlineStr">
        <is>
          <t>Serengeti District</t>
        </is>
      </c>
      <c r="C97" t="inlineStr">
        <is>
          <t>C143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</row>
    <row r="98">
      <c r="A98" t="inlineStr">
        <is>
          <t>Mara</t>
        </is>
      </c>
      <c r="B98" t="inlineStr">
        <is>
          <t>Tarime District</t>
        </is>
      </c>
      <c r="C98" t="inlineStr">
        <is>
          <t>C141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</row>
    <row r="99">
      <c r="A99" t="inlineStr">
        <is>
          <t>Mara</t>
        </is>
      </c>
      <c r="B99" t="inlineStr">
        <is>
          <t>Tarime Town</t>
        </is>
      </c>
      <c r="C99" t="inlineStr">
        <is>
          <t>C142</t>
        </is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</row>
    <row r="100">
      <c r="A100" t="inlineStr">
        <is>
          <t>Mbeya</t>
        </is>
      </c>
      <c r="B100" t="inlineStr">
        <is>
          <t>Busokelo District</t>
        </is>
      </c>
      <c r="C100" t="inlineStr">
        <is>
          <t>C090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</row>
    <row r="101">
      <c r="A101" t="inlineStr">
        <is>
          <t>Mbeya</t>
        </is>
      </c>
      <c r="B101" t="inlineStr">
        <is>
          <t>Chunya District</t>
        </is>
      </c>
      <c r="C101" t="inlineStr">
        <is>
          <t>C085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</row>
    <row r="102">
      <c r="A102" t="inlineStr">
        <is>
          <t>Mbeya</t>
        </is>
      </c>
      <c r="B102" t="inlineStr">
        <is>
          <t>Kyela District</t>
        </is>
      </c>
      <c r="C102" t="inlineStr">
        <is>
          <t>C088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</row>
    <row r="103">
      <c r="A103" t="inlineStr">
        <is>
          <t>Mbeya</t>
        </is>
      </c>
      <c r="B103" t="inlineStr">
        <is>
          <t>Mbarali District</t>
        </is>
      </c>
      <c r="C103" t="inlineStr">
        <is>
          <t>C091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</row>
    <row r="104">
      <c r="A104" t="inlineStr">
        <is>
          <t>Mbeya</t>
        </is>
      </c>
      <c r="B104" t="inlineStr">
        <is>
          <t>Mbeya City</t>
        </is>
      </c>
      <c r="C104" t="inlineStr">
        <is>
          <t>C087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</row>
    <row r="105">
      <c r="A105" t="inlineStr">
        <is>
          <t>Mbeya</t>
        </is>
      </c>
      <c r="B105" t="inlineStr">
        <is>
          <t>Mbeya District</t>
        </is>
      </c>
      <c r="C105" t="inlineStr">
        <is>
          <t>C086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</row>
    <row r="106">
      <c r="A106" t="inlineStr">
        <is>
          <t>Mbeya</t>
        </is>
      </c>
      <c r="B106" t="inlineStr">
        <is>
          <t>Rungwe District</t>
        </is>
      </c>
      <c r="C106" t="inlineStr">
        <is>
          <t>C089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</row>
    <row r="107">
      <c r="A107" t="inlineStr">
        <is>
          <t>Mjini Magharibi</t>
        </is>
      </c>
      <c r="B107" t="inlineStr">
        <is>
          <t>Magharibi A Municipal</t>
        </is>
      </c>
      <c r="C107" t="inlineStr">
        <is>
          <t>C190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</row>
    <row r="108">
      <c r="A108" t="inlineStr">
        <is>
          <t>Mjini Magharibi</t>
        </is>
      </c>
      <c r="B108" t="inlineStr">
        <is>
          <t>Magharibi B Municipal</t>
        </is>
      </c>
      <c r="C108" t="inlineStr">
        <is>
          <t>C191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</row>
    <row r="109">
      <c r="A109" t="inlineStr">
        <is>
          <t>Mjini Magharibi</t>
        </is>
      </c>
      <c r="B109" t="inlineStr">
        <is>
          <t>Mjini Municipal</t>
        </is>
      </c>
      <c r="C109" t="inlineStr">
        <is>
          <t>C189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</row>
    <row r="110">
      <c r="A110" t="inlineStr">
        <is>
          <t>Morogoro</t>
        </is>
      </c>
      <c r="B110" t="inlineStr">
        <is>
          <t>Gairo District</t>
        </is>
      </c>
      <c r="C110" t="inlineStr">
        <is>
          <t>C042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</row>
    <row r="111">
      <c r="A111" t="inlineStr">
        <is>
          <t>Morogoro</t>
        </is>
      </c>
      <c r="B111" t="inlineStr">
        <is>
          <t>Ifakara Town</t>
        </is>
      </c>
      <c r="C111" t="inlineStr">
        <is>
          <t>C038</t>
        </is>
      </c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</row>
    <row r="112">
      <c r="A112" t="inlineStr">
        <is>
          <t>Morogoro</t>
        </is>
      </c>
      <c r="B112" t="inlineStr">
        <is>
          <t>Kilosa District</t>
        </is>
      </c>
      <c r="C112" t="inlineStr">
        <is>
          <t>C034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</row>
    <row r="113">
      <c r="A113" t="inlineStr">
        <is>
          <t>Morogoro</t>
        </is>
      </c>
      <c r="B113" t="inlineStr">
        <is>
          <t>Malinyi District</t>
        </is>
      </c>
      <c r="C113" t="inlineStr">
        <is>
          <t>C040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</row>
    <row r="114">
      <c r="A114" t="inlineStr">
        <is>
          <t>Morogoro</t>
        </is>
      </c>
      <c r="B114" t="inlineStr">
        <is>
          <t>Mlimba District</t>
        </is>
      </c>
      <c r="C114" t="inlineStr">
        <is>
          <t>C037</t>
        </is>
      </c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</row>
    <row r="115">
      <c r="A115" t="inlineStr">
        <is>
          <t>Morogoro</t>
        </is>
      </c>
      <c r="B115" t="inlineStr">
        <is>
          <t>Morogoro District</t>
        </is>
      </c>
      <c r="C115" t="inlineStr">
        <is>
          <t>C035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</row>
    <row r="116">
      <c r="A116" t="inlineStr">
        <is>
          <t>Morogoro</t>
        </is>
      </c>
      <c r="B116" t="inlineStr">
        <is>
          <t>Morogoro Municipal</t>
        </is>
      </c>
      <c r="C116" t="inlineStr">
        <is>
          <t>C036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</row>
    <row r="117">
      <c r="A117" t="inlineStr">
        <is>
          <t>Morogoro</t>
        </is>
      </c>
      <c r="B117" t="inlineStr">
        <is>
          <t>Mvomero District</t>
        </is>
      </c>
      <c r="C117" t="inlineStr">
        <is>
          <t>C041</t>
        </is>
      </c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</row>
    <row r="118">
      <c r="A118" t="inlineStr">
        <is>
          <t>Morogoro</t>
        </is>
      </c>
      <c r="B118" t="inlineStr">
        <is>
          <t>Ulanga District</t>
        </is>
      </c>
      <c r="C118" t="inlineStr">
        <is>
          <t>C039</t>
        </is>
      </c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</row>
    <row r="119">
      <c r="A119" t="inlineStr">
        <is>
          <t>Mtwara</t>
        </is>
      </c>
      <c r="B119" t="inlineStr">
        <is>
          <t>Masasi District</t>
        </is>
      </c>
      <c r="C119" t="inlineStr">
        <is>
          <t>C068</t>
        </is>
      </c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</row>
    <row r="120">
      <c r="A120" t="inlineStr">
        <is>
          <t>Mtwara</t>
        </is>
      </c>
      <c r="B120" t="inlineStr">
        <is>
          <t>Masasi Town</t>
        </is>
      </c>
      <c r="C120" t="inlineStr">
        <is>
          <t>C069</t>
        </is>
      </c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</row>
    <row r="121">
      <c r="A121" t="inlineStr">
        <is>
          <t>Mtwara</t>
        </is>
      </c>
      <c r="B121" t="inlineStr">
        <is>
          <t>Mtwara District</t>
        </is>
      </c>
      <c r="C121" t="inlineStr">
        <is>
          <t>C063</t>
        </is>
      </c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</row>
    <row r="122">
      <c r="A122" t="inlineStr">
        <is>
          <t>Mtwara</t>
        </is>
      </c>
      <c r="B122" t="inlineStr">
        <is>
          <t>Mtwara Mikindani Municipal</t>
        </is>
      </c>
      <c r="C122" t="inlineStr">
        <is>
          <t>C065</t>
        </is>
      </c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</row>
    <row r="123">
      <c r="A123" t="inlineStr">
        <is>
          <t>Mtwara</t>
        </is>
      </c>
      <c r="B123" t="inlineStr">
        <is>
          <t>Nanyamba Town</t>
        </is>
      </c>
      <c r="C123" t="inlineStr">
        <is>
          <t>C064</t>
        </is>
      </c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</row>
    <row r="124">
      <c r="A124" t="inlineStr">
        <is>
          <t>Mtwara</t>
        </is>
      </c>
      <c r="B124" t="inlineStr">
        <is>
          <t>Nanyumbu District</t>
        </is>
      </c>
      <c r="C124" t="inlineStr">
        <is>
          <t>C071</t>
        </is>
      </c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</row>
    <row r="125">
      <c r="A125" t="inlineStr">
        <is>
          <t>Mtwara</t>
        </is>
      </c>
      <c r="B125" t="inlineStr">
        <is>
          <t>Newala District</t>
        </is>
      </c>
      <c r="C125" t="inlineStr">
        <is>
          <t>C066</t>
        </is>
      </c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</row>
    <row r="126">
      <c r="A126" t="inlineStr">
        <is>
          <t>Mtwara</t>
        </is>
      </c>
      <c r="B126" t="inlineStr">
        <is>
          <t>Newala Town</t>
        </is>
      </c>
      <c r="C126" t="inlineStr">
        <is>
          <t>C067</t>
        </is>
      </c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</row>
    <row r="127">
      <c r="A127" t="inlineStr">
        <is>
          <t>Mtwara</t>
        </is>
      </c>
      <c r="B127" t="inlineStr">
        <is>
          <t>Tandahimba District</t>
        </is>
      </c>
      <c r="C127" t="inlineStr">
        <is>
          <t>C070</t>
        </is>
      </c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</row>
    <row r="128">
      <c r="A128" t="inlineStr">
        <is>
          <t>Mwanza</t>
        </is>
      </c>
      <c r="B128" t="inlineStr">
        <is>
          <t>Buchosa District</t>
        </is>
      </c>
      <c r="C128" t="inlineStr">
        <is>
          <t>C138</t>
        </is>
      </c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</row>
    <row r="129">
      <c r="A129" t="inlineStr">
        <is>
          <t>Mwanza</t>
        </is>
      </c>
      <c r="B129" t="inlineStr">
        <is>
          <t>Ilemela Municipal</t>
        </is>
      </c>
      <c r="C129" t="inlineStr">
        <is>
          <t>C139</t>
        </is>
      </c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</row>
    <row r="130">
      <c r="A130" t="inlineStr">
        <is>
          <t>Mwanza</t>
        </is>
      </c>
      <c r="B130" t="inlineStr">
        <is>
          <t>Kwimba District</t>
        </is>
      </c>
      <c r="C130" t="inlineStr">
        <is>
          <t>C136</t>
        </is>
      </c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</row>
    <row r="131">
      <c r="A131" t="inlineStr">
        <is>
          <t>Mwanza</t>
        </is>
      </c>
      <c r="B131" t="inlineStr">
        <is>
          <t>Magu District</t>
        </is>
      </c>
      <c r="C131" t="inlineStr">
        <is>
          <t>C134</t>
        </is>
      </c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</row>
    <row r="132">
      <c r="A132" t="inlineStr">
        <is>
          <t>Mwanza</t>
        </is>
      </c>
      <c r="B132" t="inlineStr">
        <is>
          <t>Misungwi District</t>
        </is>
      </c>
      <c r="C132" t="inlineStr">
        <is>
          <t>C140</t>
        </is>
      </c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</row>
    <row r="133">
      <c r="A133" t="inlineStr">
        <is>
          <t>Mwanza</t>
        </is>
      </c>
      <c r="B133" t="inlineStr">
        <is>
          <t>Mwanza City</t>
        </is>
      </c>
      <c r="C133" t="inlineStr">
        <is>
          <t>C135</t>
        </is>
      </c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</row>
    <row r="134">
      <c r="A134" t="inlineStr">
        <is>
          <t>Mwanza</t>
        </is>
      </c>
      <c r="B134" t="inlineStr">
        <is>
          <t>Sengerema District</t>
        </is>
      </c>
      <c r="C134" t="inlineStr">
        <is>
          <t>C137</t>
        </is>
      </c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</row>
    <row r="135">
      <c r="A135" t="inlineStr">
        <is>
          <t>Mwanza</t>
        </is>
      </c>
      <c r="B135" t="inlineStr">
        <is>
          <t>Ukerewe District</t>
        </is>
      </c>
      <c r="C135" t="inlineStr">
        <is>
          <t>C133</t>
        </is>
      </c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</row>
    <row r="136">
      <c r="A136" t="inlineStr">
        <is>
          <t>Njombe</t>
        </is>
      </c>
      <c r="B136" t="inlineStr">
        <is>
          <t>Ludewa District</t>
        </is>
      </c>
      <c r="C136" t="inlineStr">
        <is>
          <t>C160</t>
        </is>
      </c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</row>
    <row r="137">
      <c r="A137" t="inlineStr">
        <is>
          <t>Njombe</t>
        </is>
      </c>
      <c r="B137" t="inlineStr">
        <is>
          <t>Makambako Town</t>
        </is>
      </c>
      <c r="C137" t="inlineStr">
        <is>
          <t>C159</t>
        </is>
      </c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</row>
    <row r="138">
      <c r="A138" t="inlineStr">
        <is>
          <t>Njombe</t>
        </is>
      </c>
      <c r="B138" t="inlineStr">
        <is>
          <t>Makete District</t>
        </is>
      </c>
      <c r="C138" t="inlineStr">
        <is>
          <t>C161</t>
        </is>
      </c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</row>
    <row r="139">
      <c r="A139" t="inlineStr">
        <is>
          <t>Njombe</t>
        </is>
      </c>
      <c r="B139" t="inlineStr">
        <is>
          <t>Njombe District</t>
        </is>
      </c>
      <c r="C139" t="inlineStr">
        <is>
          <t>C157</t>
        </is>
      </c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</row>
    <row r="140">
      <c r="A140" t="inlineStr">
        <is>
          <t>Njombe</t>
        </is>
      </c>
      <c r="B140" t="inlineStr">
        <is>
          <t>Njombe Town</t>
        </is>
      </c>
      <c r="C140" t="inlineStr">
        <is>
          <t>C158</t>
        </is>
      </c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</row>
    <row r="141">
      <c r="A141" t="inlineStr">
        <is>
          <t>Njombe</t>
        </is>
      </c>
      <c r="B141" t="inlineStr">
        <is>
          <t>Wanging'Ombe District</t>
        </is>
      </c>
      <c r="C141" t="inlineStr">
        <is>
          <t>C162</t>
        </is>
      </c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</row>
    <row r="142">
      <c r="A142" t="inlineStr">
        <is>
          <t>Pwani</t>
        </is>
      </c>
      <c r="B142" t="inlineStr">
        <is>
          <t>Bagamoyo District</t>
        </is>
      </c>
      <c r="C142" t="inlineStr">
        <is>
          <t>C043</t>
        </is>
      </c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</row>
    <row r="143">
      <c r="A143" t="inlineStr">
        <is>
          <t>Pwani</t>
        </is>
      </c>
      <c r="B143" t="inlineStr">
        <is>
          <t>Chalinze District</t>
        </is>
      </c>
      <c r="C143" t="inlineStr">
        <is>
          <t>C044</t>
        </is>
      </c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</row>
    <row r="144">
      <c r="A144" t="inlineStr">
        <is>
          <t>Pwani</t>
        </is>
      </c>
      <c r="B144" t="inlineStr">
        <is>
          <t>Kibaha District</t>
        </is>
      </c>
      <c r="C144" t="inlineStr">
        <is>
          <t>C045</t>
        </is>
      </c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</row>
    <row r="145">
      <c r="A145" t="inlineStr">
        <is>
          <t>Pwani</t>
        </is>
      </c>
      <c r="B145" t="inlineStr">
        <is>
          <t>Kibaha Town</t>
        </is>
      </c>
      <c r="C145" t="inlineStr">
        <is>
          <t>C046</t>
        </is>
      </c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</row>
    <row r="146">
      <c r="A146" t="inlineStr">
        <is>
          <t>Pwani</t>
        </is>
      </c>
      <c r="B146" t="inlineStr">
        <is>
          <t>Kibiti District</t>
        </is>
      </c>
      <c r="C146" t="inlineStr">
        <is>
          <t>C051</t>
        </is>
      </c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</row>
    <row r="147">
      <c r="A147" t="inlineStr">
        <is>
          <t>Pwani</t>
        </is>
      </c>
      <c r="B147" t="inlineStr">
        <is>
          <t>Kisarawe District</t>
        </is>
      </c>
      <c r="C147" t="inlineStr">
        <is>
          <t>C047</t>
        </is>
      </c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</row>
    <row r="148">
      <c r="A148" t="inlineStr">
        <is>
          <t>Pwani</t>
        </is>
      </c>
      <c r="B148" t="inlineStr">
        <is>
          <t>Mafia District</t>
        </is>
      </c>
      <c r="C148" t="inlineStr">
        <is>
          <t>C050</t>
        </is>
      </c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</row>
    <row r="149">
      <c r="A149" t="inlineStr">
        <is>
          <t>Pwani</t>
        </is>
      </c>
      <c r="B149" t="inlineStr">
        <is>
          <t>Mkuranga District</t>
        </is>
      </c>
      <c r="C149" t="inlineStr">
        <is>
          <t>C048</t>
        </is>
      </c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2" t="n"/>
      <c r="AZ149" s="12" t="n"/>
      <c r="BA149" s="12" t="n"/>
      <c r="BB149" s="12" t="n"/>
      <c r="BC149" s="12" t="n"/>
      <c r="BD149" s="12" t="n"/>
    </row>
    <row r="150">
      <c r="A150" t="inlineStr">
        <is>
          <t>Pwani</t>
        </is>
      </c>
      <c r="B150" t="inlineStr">
        <is>
          <t>Rufiji District</t>
        </is>
      </c>
      <c r="C150" t="inlineStr">
        <is>
          <t>C049</t>
        </is>
      </c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</row>
    <row r="151">
      <c r="A151" t="inlineStr">
        <is>
          <t>Rukwa</t>
        </is>
      </c>
      <c r="B151" t="inlineStr">
        <is>
          <t>Kalambo District</t>
        </is>
      </c>
      <c r="C151" t="inlineStr">
        <is>
          <t>C107</t>
        </is>
      </c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</row>
    <row r="152">
      <c r="A152" t="inlineStr">
        <is>
          <t>Rukwa</t>
        </is>
      </c>
      <c r="B152" t="inlineStr">
        <is>
          <t>Nkasi District</t>
        </is>
      </c>
      <c r="C152" t="inlineStr">
        <is>
          <t>C110</t>
        </is>
      </c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</row>
    <row r="153">
      <c r="A153" t="inlineStr">
        <is>
          <t>Rukwa</t>
        </is>
      </c>
      <c r="B153" t="inlineStr">
        <is>
          <t>Sumbawanga District</t>
        </is>
      </c>
      <c r="C153" t="inlineStr">
        <is>
          <t>C108</t>
        </is>
      </c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</row>
    <row r="154">
      <c r="A154" t="inlineStr">
        <is>
          <t>Rukwa</t>
        </is>
      </c>
      <c r="B154" t="inlineStr">
        <is>
          <t>Sumbawanga Municipal</t>
        </is>
      </c>
      <c r="C154" t="inlineStr">
        <is>
          <t>C109</t>
        </is>
      </c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</row>
    <row r="155">
      <c r="A155" t="inlineStr">
        <is>
          <t>Ruvuma</t>
        </is>
      </c>
      <c r="B155" t="inlineStr">
        <is>
          <t>Madaba District</t>
        </is>
      </c>
      <c r="C155" t="inlineStr">
        <is>
          <t>C075</t>
        </is>
      </c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</row>
    <row r="156">
      <c r="A156" t="inlineStr">
        <is>
          <t>Ruvuma</t>
        </is>
      </c>
      <c r="B156" t="inlineStr">
        <is>
          <t>Mbinga District</t>
        </is>
      </c>
      <c r="C156" t="inlineStr">
        <is>
          <t>C076</t>
        </is>
      </c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</row>
    <row r="157">
      <c r="A157" t="inlineStr">
        <is>
          <t>Ruvuma</t>
        </is>
      </c>
      <c r="B157" t="inlineStr">
        <is>
          <t>Mbinga Town</t>
        </is>
      </c>
      <c r="C157" t="inlineStr">
        <is>
          <t>C077</t>
        </is>
      </c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</row>
    <row r="158">
      <c r="A158" t="inlineStr">
        <is>
          <t>Ruvuma</t>
        </is>
      </c>
      <c r="B158" t="inlineStr">
        <is>
          <t>Namtumbo District</t>
        </is>
      </c>
      <c r="C158" t="inlineStr">
        <is>
          <t>C079</t>
        </is>
      </c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</row>
    <row r="159">
      <c r="A159" t="inlineStr">
        <is>
          <t>Ruvuma</t>
        </is>
      </c>
      <c r="B159" t="inlineStr">
        <is>
          <t>Nyasa District</t>
        </is>
      </c>
      <c r="C159" t="inlineStr">
        <is>
          <t>C078</t>
        </is>
      </c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</row>
    <row r="160">
      <c r="A160" t="inlineStr">
        <is>
          <t>Ruvuma</t>
        </is>
      </c>
      <c r="B160" t="inlineStr">
        <is>
          <t>Songea District</t>
        </is>
      </c>
      <c r="C160" t="inlineStr">
        <is>
          <t>C073</t>
        </is>
      </c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</row>
    <row r="161">
      <c r="A161" t="inlineStr">
        <is>
          <t>Ruvuma</t>
        </is>
      </c>
      <c r="B161" t="inlineStr">
        <is>
          <t>Songea Municipal</t>
        </is>
      </c>
      <c r="C161" t="inlineStr">
        <is>
          <t>C074</t>
        </is>
      </c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</row>
    <row r="162">
      <c r="A162" t="inlineStr">
        <is>
          <t>Ruvuma</t>
        </is>
      </c>
      <c r="B162" t="inlineStr">
        <is>
          <t>Tunduru District</t>
        </is>
      </c>
      <c r="C162" t="inlineStr">
        <is>
          <t>C072</t>
        </is>
      </c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</row>
    <row r="163">
      <c r="A163" t="inlineStr">
        <is>
          <t>Shinyanga</t>
        </is>
      </c>
      <c r="B163" t="inlineStr">
        <is>
          <t>Kahama Municipal</t>
        </is>
      </c>
      <c r="C163" t="inlineStr">
        <is>
          <t>C120</t>
        </is>
      </c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</row>
    <row r="164">
      <c r="A164" t="inlineStr">
        <is>
          <t>Shinyanga</t>
        </is>
      </c>
      <c r="B164" t="inlineStr">
        <is>
          <t>Kishapu District</t>
        </is>
      </c>
      <c r="C164" t="inlineStr">
        <is>
          <t>C122</t>
        </is>
      </c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</row>
    <row r="165">
      <c r="A165" t="inlineStr">
        <is>
          <t>Shinyanga</t>
        </is>
      </c>
      <c r="B165" t="inlineStr">
        <is>
          <t>Msalala District</t>
        </is>
      </c>
      <c r="C165" t="inlineStr">
        <is>
          <t>C121</t>
        </is>
      </c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</row>
    <row r="166">
      <c r="A166" t="inlineStr">
        <is>
          <t>Shinyanga</t>
        </is>
      </c>
      <c r="B166" t="inlineStr">
        <is>
          <t>Shinyanga District</t>
        </is>
      </c>
      <c r="C166" t="inlineStr">
        <is>
          <t>C123</t>
        </is>
      </c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</row>
    <row r="167">
      <c r="A167" t="inlineStr">
        <is>
          <t>Shinyanga</t>
        </is>
      </c>
      <c r="B167" t="inlineStr">
        <is>
          <t>Shinyanga Municipal</t>
        </is>
      </c>
      <c r="C167" t="inlineStr">
        <is>
          <t>C124</t>
        </is>
      </c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</row>
    <row r="168">
      <c r="A168" t="inlineStr">
        <is>
          <t>Shinyanga</t>
        </is>
      </c>
      <c r="B168" t="inlineStr">
        <is>
          <t>Ushetu District</t>
        </is>
      </c>
      <c r="C168" t="inlineStr">
        <is>
          <t>C119</t>
        </is>
      </c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</row>
    <row r="169">
      <c r="A169" t="inlineStr">
        <is>
          <t>Simiyu</t>
        </is>
      </c>
      <c r="B169" t="inlineStr">
        <is>
          <t>Bariadi District</t>
        </is>
      </c>
      <c r="C169" t="inlineStr">
        <is>
          <t>C168</t>
        </is>
      </c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</row>
    <row r="170">
      <c r="A170" t="inlineStr">
        <is>
          <t>Simiyu</t>
        </is>
      </c>
      <c r="B170" t="inlineStr">
        <is>
          <t>Bariadi Town</t>
        </is>
      </c>
      <c r="C170" t="inlineStr">
        <is>
          <t>C169</t>
        </is>
      </c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</row>
    <row r="171">
      <c r="A171" t="inlineStr">
        <is>
          <t>Simiyu</t>
        </is>
      </c>
      <c r="B171" t="inlineStr">
        <is>
          <t>Busega District</t>
        </is>
      </c>
      <c r="C171" t="inlineStr">
        <is>
          <t>C173</t>
        </is>
      </c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</row>
    <row r="172">
      <c r="A172" t="inlineStr">
        <is>
          <t>Simiyu</t>
        </is>
      </c>
      <c r="B172" t="inlineStr">
        <is>
          <t>Itilima District</t>
        </is>
      </c>
      <c r="C172" t="inlineStr">
        <is>
          <t>C170</t>
        </is>
      </c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</row>
    <row r="173">
      <c r="A173" t="inlineStr">
        <is>
          <t>Simiyu</t>
        </is>
      </c>
      <c r="B173" t="inlineStr">
        <is>
          <t>Maswa District</t>
        </is>
      </c>
      <c r="C173" t="inlineStr">
        <is>
          <t>C172</t>
        </is>
      </c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</row>
    <row r="174">
      <c r="A174" t="inlineStr">
        <is>
          <t>Simiyu</t>
        </is>
      </c>
      <c r="B174" t="inlineStr">
        <is>
          <t>Meatu District</t>
        </is>
      </c>
      <c r="C174" t="inlineStr">
        <is>
          <t>C171</t>
        </is>
      </c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</row>
    <row r="175">
      <c r="A175" t="inlineStr">
        <is>
          <t>Singida</t>
        </is>
      </c>
      <c r="B175" t="inlineStr">
        <is>
          <t>Ikungi District</t>
        </is>
      </c>
      <c r="C175" t="inlineStr">
        <is>
          <t>C097</t>
        </is>
      </c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</row>
    <row r="176">
      <c r="A176" t="inlineStr">
        <is>
          <t>Singida</t>
        </is>
      </c>
      <c r="B176" t="inlineStr">
        <is>
          <t>Iramba District</t>
        </is>
      </c>
      <c r="C176" t="inlineStr">
        <is>
          <t>C092</t>
        </is>
      </c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</row>
    <row r="177">
      <c r="A177" t="inlineStr">
        <is>
          <t>Singida</t>
        </is>
      </c>
      <c r="B177" t="inlineStr">
        <is>
          <t>Itigi District</t>
        </is>
      </c>
      <c r="C177" t="inlineStr">
        <is>
          <t>C096</t>
        </is>
      </c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</row>
    <row r="178">
      <c r="A178" t="inlineStr">
        <is>
          <t>Singida</t>
        </is>
      </c>
      <c r="B178" t="inlineStr">
        <is>
          <t>Manyoni District</t>
        </is>
      </c>
      <c r="C178" t="inlineStr">
        <is>
          <t>C095</t>
        </is>
      </c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</row>
    <row r="179">
      <c r="A179" t="inlineStr">
        <is>
          <t>Singida</t>
        </is>
      </c>
      <c r="B179" t="inlineStr">
        <is>
          <t>Mkalama District</t>
        </is>
      </c>
      <c r="C179" t="inlineStr">
        <is>
          <t>C098</t>
        </is>
      </c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</row>
    <row r="180">
      <c r="A180" t="inlineStr">
        <is>
          <t>Singida</t>
        </is>
      </c>
      <c r="B180" t="inlineStr">
        <is>
          <t>Singida District</t>
        </is>
      </c>
      <c r="C180" t="inlineStr">
        <is>
          <t>C093</t>
        </is>
      </c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</row>
    <row r="181">
      <c r="A181" t="inlineStr">
        <is>
          <t>Singida</t>
        </is>
      </c>
      <c r="B181" t="inlineStr">
        <is>
          <t>Singida Municipal</t>
        </is>
      </c>
      <c r="C181" t="inlineStr">
        <is>
          <t>C094</t>
        </is>
      </c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</row>
    <row r="182">
      <c r="A182" t="inlineStr">
        <is>
          <t>Songwe</t>
        </is>
      </c>
      <c r="B182" t="inlineStr">
        <is>
          <t>Ileje District</t>
        </is>
      </c>
      <c r="C182" t="inlineStr">
        <is>
          <t>C184</t>
        </is>
      </c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</row>
    <row r="183">
      <c r="A183" t="inlineStr">
        <is>
          <t>Songwe</t>
        </is>
      </c>
      <c r="B183" t="inlineStr">
        <is>
          <t>Mbozi District</t>
        </is>
      </c>
      <c r="C183" t="inlineStr">
        <is>
          <t>C183</t>
        </is>
      </c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</row>
    <row r="184">
      <c r="A184" t="inlineStr">
        <is>
          <t>Songwe</t>
        </is>
      </c>
      <c r="B184" t="inlineStr">
        <is>
          <t>Momba District</t>
        </is>
      </c>
      <c r="C184" t="inlineStr">
        <is>
          <t>C180</t>
        </is>
      </c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</row>
    <row r="185">
      <c r="A185" t="inlineStr">
        <is>
          <t>Songwe</t>
        </is>
      </c>
      <c r="B185" t="inlineStr">
        <is>
          <t>Songwe District</t>
        </is>
      </c>
      <c r="C185" t="inlineStr">
        <is>
          <t>C182</t>
        </is>
      </c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</row>
    <row r="186">
      <c r="A186" t="inlineStr">
        <is>
          <t>Songwe</t>
        </is>
      </c>
      <c r="B186" t="inlineStr">
        <is>
          <t>Tunduma Town</t>
        </is>
      </c>
      <c r="C186" t="inlineStr">
        <is>
          <t>C181</t>
        </is>
      </c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</row>
    <row r="187">
      <c r="A187" t="inlineStr">
        <is>
          <t>Tabora</t>
        </is>
      </c>
      <c r="B187" t="inlineStr">
        <is>
          <t>Igunga District</t>
        </is>
      </c>
      <c r="C187" t="inlineStr">
        <is>
          <t>C101</t>
        </is>
      </c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</row>
    <row r="188">
      <c r="A188" t="inlineStr">
        <is>
          <t>Tabora</t>
        </is>
      </c>
      <c r="B188" t="inlineStr">
        <is>
          <t>Kaliua District</t>
        </is>
      </c>
      <c r="C188" t="inlineStr">
        <is>
          <t>C106</t>
        </is>
      </c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</row>
    <row r="189">
      <c r="A189" t="inlineStr">
        <is>
          <t>Tabora</t>
        </is>
      </c>
      <c r="B189" t="inlineStr">
        <is>
          <t>Nzega District</t>
        </is>
      </c>
      <c r="C189" t="inlineStr">
        <is>
          <t>C100</t>
        </is>
      </c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</row>
    <row r="190">
      <c r="A190" t="inlineStr">
        <is>
          <t>Tabora</t>
        </is>
      </c>
      <c r="B190" t="inlineStr">
        <is>
          <t>Nzega Town</t>
        </is>
      </c>
      <c r="C190" t="inlineStr">
        <is>
          <t>C099</t>
        </is>
      </c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</row>
    <row r="191">
      <c r="A191" t="inlineStr">
        <is>
          <t>Tabora</t>
        </is>
      </c>
      <c r="B191" t="inlineStr">
        <is>
          <t>Sikonge District</t>
        </is>
      </c>
      <c r="C191" t="inlineStr">
        <is>
          <t>C104</t>
        </is>
      </c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2" t="n"/>
      <c r="AZ191" s="12" t="n"/>
      <c r="BA191" s="12" t="n"/>
      <c r="BB191" s="12" t="n"/>
      <c r="BC191" s="12" t="n"/>
      <c r="BD191" s="12" t="n"/>
    </row>
    <row r="192">
      <c r="A192" t="inlineStr">
        <is>
          <t>Tabora</t>
        </is>
      </c>
      <c r="B192" t="inlineStr">
        <is>
          <t>Tabora Municipal</t>
        </is>
      </c>
      <c r="C192" t="inlineStr">
        <is>
          <t>C105</t>
        </is>
      </c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</row>
    <row r="193">
      <c r="A193" t="inlineStr">
        <is>
          <t>Tabora</t>
        </is>
      </c>
      <c r="B193" t="inlineStr">
        <is>
          <t>Urambo District</t>
        </is>
      </c>
      <c r="C193" t="inlineStr">
        <is>
          <t>C103</t>
        </is>
      </c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</row>
    <row r="194">
      <c r="A194" t="inlineStr">
        <is>
          <t>Tabora</t>
        </is>
      </c>
      <c r="B194" t="inlineStr">
        <is>
          <t>Uyui District</t>
        </is>
      </c>
      <c r="C194" t="inlineStr">
        <is>
          <t>C102</t>
        </is>
      </c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</row>
    <row r="195">
      <c r="A195" t="inlineStr">
        <is>
          <t>Tanga</t>
        </is>
      </c>
      <c r="B195" t="inlineStr">
        <is>
          <t>Bumbuli District</t>
        </is>
      </c>
      <c r="C195" t="inlineStr">
        <is>
          <t>C024</t>
        </is>
      </c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</row>
    <row r="196">
      <c r="A196" t="inlineStr">
        <is>
          <t>Tanga</t>
        </is>
      </c>
      <c r="B196" t="inlineStr">
        <is>
          <t>Handeni District</t>
        </is>
      </c>
      <c r="C196" t="inlineStr">
        <is>
          <t>C030</t>
        </is>
      </c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</row>
    <row r="197">
      <c r="A197" t="inlineStr">
        <is>
          <t>Tanga</t>
        </is>
      </c>
      <c r="B197" t="inlineStr">
        <is>
          <t>Handeni Town</t>
        </is>
      </c>
      <c r="C197" t="inlineStr">
        <is>
          <t>C031</t>
        </is>
      </c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</row>
    <row r="198">
      <c r="A198" t="inlineStr">
        <is>
          <t>Tanga</t>
        </is>
      </c>
      <c r="B198" t="inlineStr">
        <is>
          <t>Kilindi District</t>
        </is>
      </c>
      <c r="C198" t="inlineStr">
        <is>
          <t>C032</t>
        </is>
      </c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</row>
    <row r="199">
      <c r="A199" t="inlineStr">
        <is>
          <t>Tanga</t>
        </is>
      </c>
      <c r="B199" t="inlineStr">
        <is>
          <t>Korogwe District</t>
        </is>
      </c>
      <c r="C199" t="inlineStr">
        <is>
          <t>C025</t>
        </is>
      </c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</row>
    <row r="200">
      <c r="A200" t="inlineStr">
        <is>
          <t>Tanga</t>
        </is>
      </c>
      <c r="B200" t="inlineStr">
        <is>
          <t>Korogwe Town</t>
        </is>
      </c>
      <c r="C200" t="inlineStr">
        <is>
          <t>C026</t>
        </is>
      </c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</row>
    <row r="201">
      <c r="A201" t="inlineStr">
        <is>
          <t>Tanga</t>
        </is>
      </c>
      <c r="B201" t="inlineStr">
        <is>
          <t>Lushoto District</t>
        </is>
      </c>
      <c r="C201" t="inlineStr">
        <is>
          <t>C023</t>
        </is>
      </c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</row>
    <row r="202">
      <c r="A202" t="inlineStr">
        <is>
          <t>Tanga</t>
        </is>
      </c>
      <c r="B202" t="inlineStr">
        <is>
          <t>Mkinga District</t>
        </is>
      </c>
      <c r="C202" t="inlineStr">
        <is>
          <t>C033</t>
        </is>
      </c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</row>
    <row r="203">
      <c r="A203" t="inlineStr">
        <is>
          <t>Tanga</t>
        </is>
      </c>
      <c r="B203" t="inlineStr">
        <is>
          <t>Muheza District</t>
        </is>
      </c>
      <c r="C203" t="inlineStr">
        <is>
          <t>C027</t>
        </is>
      </c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2" t="n"/>
      <c r="AZ203" s="12" t="n"/>
      <c r="BA203" s="12" t="n"/>
      <c r="BB203" s="12" t="n"/>
      <c r="BC203" s="12" t="n"/>
      <c r="BD203" s="12" t="n"/>
    </row>
    <row r="204">
      <c r="A204" t="inlineStr">
        <is>
          <t>Tanga</t>
        </is>
      </c>
      <c r="B204" t="inlineStr">
        <is>
          <t>Pangani District</t>
        </is>
      </c>
      <c r="C204" t="inlineStr">
        <is>
          <t>C029</t>
        </is>
      </c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</row>
    <row r="205">
      <c r="A205" t="inlineStr">
        <is>
          <t>Tanga</t>
        </is>
      </c>
      <c r="B205" t="inlineStr">
        <is>
          <t>Tanga City</t>
        </is>
      </c>
      <c r="C205" t="inlineStr">
        <is>
          <t>C028</t>
        </is>
      </c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2" t="n"/>
      <c r="AZ205" s="12" t="n"/>
      <c r="BA205" s="12" t="n"/>
      <c r="BB205" s="12" t="n"/>
      <c r="BC205" s="12" t="n"/>
      <c r="BD205" s="12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0:BD205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0">
      <c r="A10" s="10" t="inlineStr">
        <is>
          <t>Region</t>
        </is>
      </c>
      <c r="B10" s="10" t="inlineStr">
        <is>
          <t>Council</t>
        </is>
      </c>
      <c r="C10" s="10" t="inlineStr">
        <is>
          <t>Code</t>
        </is>
      </c>
      <c r="D10" s="11" t="inlineStr">
        <is>
          <t>Conflict Barometer</t>
        </is>
      </c>
      <c r="E10" s="11" t="inlineStr">
        <is>
          <t>GCRI derived Conflict probability</t>
        </is>
      </c>
      <c r="F10" s="11" t="inlineStr">
        <is>
          <t>Number of Events</t>
        </is>
      </c>
      <c r="G10" s="11" t="inlineStr">
        <is>
          <t>Number of Fatalities</t>
        </is>
      </c>
      <c r="H10" s="11" t="inlineStr">
        <is>
          <t>Coastal Erosion</t>
        </is>
      </c>
      <c r="I10" s="11" t="inlineStr">
        <is>
          <t>Historic Drought Frequency</t>
        </is>
      </c>
      <c r="J10" s="11" t="inlineStr">
        <is>
          <t>Earthquake exposure</t>
        </is>
      </c>
      <c r="K10" s="11" t="inlineStr">
        <is>
          <t>Deforestation - Treecover Loss</t>
        </is>
      </c>
      <c r="L10" s="11" t="inlineStr">
        <is>
          <t>Soil Erosion</t>
        </is>
      </c>
      <c r="M10" s="11" t="inlineStr">
        <is>
          <t>Flood exposure</t>
        </is>
      </c>
      <c r="N10" s="11" t="inlineStr">
        <is>
          <t>Landslide exposure</t>
        </is>
      </c>
      <c r="O10" s="11" t="inlineStr">
        <is>
          <t>Cyclone exposure - max speed</t>
        </is>
      </c>
      <c r="P10" s="11" t="inlineStr">
        <is>
          <t>Volcano exposure</t>
        </is>
      </c>
      <c r="Q10" s="11" t="inlineStr">
        <is>
          <t>Burned Area</t>
        </is>
      </c>
      <c r="R10" s="11" t="inlineStr">
        <is>
          <t>Fire Weather Index</t>
        </is>
      </c>
      <c r="S10" s="11" t="inlineStr">
        <is>
          <t>Gender Development Index</t>
        </is>
      </c>
      <c r="T10" s="11" t="inlineStr">
        <is>
          <t>Human Development Index</t>
        </is>
      </c>
      <c r="U10" s="11" t="inlineStr">
        <is>
          <t>Multidimensional Poverty Index</t>
        </is>
      </c>
      <c r="V10" s="11" t="inlineStr">
        <is>
          <t>Wealth Inequality</t>
        </is>
      </c>
      <c r="W10" s="11" t="inlineStr">
        <is>
          <t>Dependency Ratio</t>
        </is>
      </c>
      <c r="X10" s="11" t="inlineStr">
        <is>
          <t>Net ODA received (% of GNI)</t>
        </is>
      </c>
      <c r="Y10" s="11" t="inlineStr">
        <is>
          <t>Personal remittances</t>
        </is>
      </c>
      <c r="Z10" s="11" t="inlineStr">
        <is>
          <t>Population in informal settlements</t>
        </is>
      </c>
      <c r="AA10" s="11" t="inlineStr">
        <is>
          <t>Urban Population</t>
        </is>
      </c>
      <c r="AB10" s="11" t="inlineStr">
        <is>
          <t>Food Security - Insufficient food</t>
        </is>
      </c>
      <c r="AC10" s="11" t="inlineStr">
        <is>
          <t>Child mortality</t>
        </is>
      </c>
      <c r="AD10" s="11" t="inlineStr">
        <is>
          <t>Children Underweight</t>
        </is>
      </c>
      <c r="AE10" s="11" t="inlineStr">
        <is>
          <t>Infant mortality</t>
        </is>
      </c>
      <c r="AF10" s="11" t="inlineStr">
        <is>
          <t>Neonatal mortality</t>
        </is>
      </c>
      <c r="AG10" s="11" t="inlineStr">
        <is>
          <t>Internal Displaced People</t>
        </is>
      </c>
      <c r="AH10" s="11" t="inlineStr">
        <is>
          <t>Life Expectancy</t>
        </is>
      </c>
      <c r="AI10" s="11" t="inlineStr">
        <is>
          <t>Malaria prevalence</t>
        </is>
      </c>
      <c r="AJ10" s="11" t="inlineStr">
        <is>
          <t>Measles Incidence</t>
        </is>
      </c>
      <c r="AK10" s="11" t="inlineStr">
        <is>
          <t>BCG Immunization Coverage</t>
        </is>
      </c>
      <c r="AL10" s="11" t="inlineStr">
        <is>
          <t>DTP3 Immunization Coverage</t>
        </is>
      </c>
      <c r="AM10" s="11" t="inlineStr">
        <is>
          <t>Density of health facilities</t>
        </is>
      </c>
      <c r="AN10" s="11" t="inlineStr">
        <is>
          <t>Health expenditure per capita</t>
        </is>
      </c>
      <c r="AO10" s="11" t="inlineStr">
        <is>
          <t>Measles Immunization Coverage</t>
        </is>
      </c>
      <c r="AP10" s="11" t="inlineStr">
        <is>
          <t>Physicians density</t>
        </is>
      </c>
      <c r="AQ10" s="11" t="inlineStr">
        <is>
          <t>Access to electricity</t>
        </is>
      </c>
      <c r="AR10" s="11" t="inlineStr">
        <is>
          <t>Cellphone ownership</t>
        </is>
      </c>
      <c r="AS10" s="11" t="inlineStr">
        <is>
          <t>Internet access</t>
        </is>
      </c>
      <c r="AT10" s="11" t="inlineStr">
        <is>
          <t>Gross National Income per capita</t>
        </is>
      </c>
      <c r="AU10" s="11" t="inlineStr">
        <is>
          <t>Household income</t>
        </is>
      </c>
      <c r="AV10" s="11" t="inlineStr">
        <is>
          <t>International Wealth Index</t>
        </is>
      </c>
      <c r="AW10" s="11" t="inlineStr">
        <is>
          <t>Adult literacy rate</t>
        </is>
      </c>
      <c r="AX10" s="11" t="inlineStr">
        <is>
          <t>Mean years at school</t>
        </is>
      </c>
      <c r="AY10" s="11" t="inlineStr">
        <is>
          <t>People using at least basic drinking water services (% of population)</t>
        </is>
      </c>
      <c r="AZ10" s="11" t="inlineStr">
        <is>
          <t>People using at least basic sanitation services (% of population)</t>
        </is>
      </c>
      <c r="BA10" s="11" t="inlineStr">
        <is>
          <t>Early Warning System</t>
        </is>
      </c>
      <c r="BB10" s="11" t="inlineStr">
        <is>
          <t>Sendai Framework for Action</t>
        </is>
      </c>
      <c r="BC10" s="11" t="inlineStr">
        <is>
          <t>Government effectiveness</t>
        </is>
      </c>
      <c r="BD10" s="11" t="inlineStr">
        <is>
          <t>Subnational Corruption Index</t>
        </is>
      </c>
    </row>
    <row r="11">
      <c r="A11" t="inlineStr">
        <is>
          <t>Arusha</t>
        </is>
      </c>
      <c r="B11" t="inlineStr">
        <is>
          <t>Arusha City</t>
        </is>
      </c>
      <c r="C11" t="inlineStr">
        <is>
          <t>C015</t>
        </is>
      </c>
      <c r="D11" s="13">
        <f>IF('Council Entry'!D11="","",IFERROR(MAX(0,MIN(10,ROUND(IF('Council Entry'!D$7="Decrease Risk",10-10*((IF('Council Entry'!D$4="Logarithm",LN(0.001+IF(AND(ISNUMBER('Council Entry'!D$8),ISNUMBER('Council Entry'!D$9)),MAX(MIN('Council Entry'!D11,'Council Entry'!D$9),'Council Entry'!D$8),'Council Entry'!D11)),IF('Council Entry'!D$4="Exponential",EXP(IF(AND(ISNUMBER('Council Entry'!D$8),ISNUMBER('Council Entry'!D$9)),MAX(MIN('Council Entry'!D11,'Council Entry'!D$9),'Council Entry'!D$8),'Council Entry'!D11)),IF(AND(ISNUMBER('Council Entry'!D$8),ISNUMBER('Council Entry'!D$9)),MAX(MIN('Council Entry'!D11,'Council Entry'!D$9),'Council Entry'!D$8),'Council Entry'!D11))))-'Council Entry'!D$5)/('Council Entry'!D$6-'Council Entry'!D$5),10*((IF('Council Entry'!D$4="Logarithm",LN(0.001+IF(AND(ISNUMBER('Council Entry'!D$8),ISNUMBER('Council Entry'!D$9)),MAX(MIN('Council Entry'!D11,'Council Entry'!D$9),'Council Entry'!D$8),'Council Entry'!D11)),IF('Council Entry'!D$4="Exponential",EXP(IF(AND(ISNUMBER('Council Entry'!D$8),ISNUMBER('Council Entry'!D$9)),MAX(MIN('Council Entry'!D11,'Council Entry'!D$9),'Council Entry'!D$8),'Council Entry'!D11)),IF(AND(ISNUMBER('Council Entry'!D$8),ISNUMBER('Council Entry'!D$9)),MAX(MIN('Council Entry'!D11,'Council Entry'!D$9),'Council Entry'!D$8),'Council Entry'!D11))))-'Council Entry'!D$5)/('Council Entry'!D$6-'Council Entry'!D$5)),1))),"No data"))</f>
        <v/>
      </c>
      <c r="E11" s="13">
        <f>IF('Council Entry'!E11="","",IFERROR(MAX(0,MIN(10,ROUND(IF('Council Entry'!E$7="Decrease Risk",10-10*((IF('Council Entry'!E$4="Logarithm",LN(0.001+IF(AND(ISNUMBER('Council Entry'!E$8),ISNUMBER('Council Entry'!E$9)),MAX(MIN('Council Entry'!E11,'Council Entry'!E$9),'Council Entry'!E$8),'Council Entry'!E11)),IF('Council Entry'!E$4="Exponential",EXP(IF(AND(ISNUMBER('Council Entry'!E$8),ISNUMBER('Council Entry'!E$9)),MAX(MIN('Council Entry'!E11,'Council Entry'!E$9),'Council Entry'!E$8),'Council Entry'!E11)),IF(AND(ISNUMBER('Council Entry'!E$8),ISNUMBER('Council Entry'!E$9)),MAX(MIN('Council Entry'!E11,'Council Entry'!E$9),'Council Entry'!E$8),'Council Entry'!E11))))-'Council Entry'!E$5)/('Council Entry'!E$6-'Council Entry'!E$5),10*((IF('Council Entry'!E$4="Logarithm",LN(0.001+IF(AND(ISNUMBER('Council Entry'!E$8),ISNUMBER('Council Entry'!E$9)),MAX(MIN('Council Entry'!E11,'Council Entry'!E$9),'Council Entry'!E$8),'Council Entry'!E11)),IF('Council Entry'!E$4="Exponential",EXP(IF(AND(ISNUMBER('Council Entry'!E$8),ISNUMBER('Council Entry'!E$9)),MAX(MIN('Council Entry'!E11,'Council Entry'!E$9),'Council Entry'!E$8),'Council Entry'!E11)),IF(AND(ISNUMBER('Council Entry'!E$8),ISNUMBER('Council Entry'!E$9)),MAX(MIN('Council Entry'!E11,'Council Entry'!E$9),'Council Entry'!E$8),'Council Entry'!E11))))-'Council Entry'!E$5)/('Council Entry'!E$6-'Council Entry'!E$5)),1))),"No data"))</f>
        <v/>
      </c>
      <c r="F11" s="13">
        <f>IF('Council Entry'!F11="","",IFERROR(MAX(0,MIN(10,ROUND(IF('Council Entry'!F$7="Decrease Risk",10-10*((IF('Council Entry'!F$4="Logarithm",LN(0.001+IF(AND(ISNUMBER('Council Entry'!F$8),ISNUMBER('Council Entry'!F$9)),MAX(MIN('Council Entry'!F11,'Council Entry'!F$9),'Council Entry'!F$8),'Council Entry'!F11)),IF('Council Entry'!F$4="Exponential",EXP(IF(AND(ISNUMBER('Council Entry'!F$8),ISNUMBER('Council Entry'!F$9)),MAX(MIN('Council Entry'!F11,'Council Entry'!F$9),'Council Entry'!F$8),'Council Entry'!F11)),IF(AND(ISNUMBER('Council Entry'!F$8),ISNUMBER('Council Entry'!F$9)),MAX(MIN('Council Entry'!F11,'Council Entry'!F$9),'Council Entry'!F$8),'Council Entry'!F11))))-'Council Entry'!F$5)/('Council Entry'!F$6-'Council Entry'!F$5),10*((IF('Council Entry'!F$4="Logarithm",LN(0.001+IF(AND(ISNUMBER('Council Entry'!F$8),ISNUMBER('Council Entry'!F$9)),MAX(MIN('Council Entry'!F11,'Council Entry'!F$9),'Council Entry'!F$8),'Council Entry'!F11)),IF('Council Entry'!F$4="Exponential",EXP(IF(AND(ISNUMBER('Council Entry'!F$8),ISNUMBER('Council Entry'!F$9)),MAX(MIN('Council Entry'!F11,'Council Entry'!F$9),'Council Entry'!F$8),'Council Entry'!F11)),IF(AND(ISNUMBER('Council Entry'!F$8),ISNUMBER('Council Entry'!F$9)),MAX(MIN('Council Entry'!F11,'Council Entry'!F$9),'Council Entry'!F$8),'Council Entry'!F11))))-'Council Entry'!F$5)/('Council Entry'!F$6-'Council Entry'!F$5)),1))),"No data"))</f>
        <v/>
      </c>
      <c r="G11" s="13">
        <f>IF('Council Entry'!G11="","",IFERROR(MAX(0,MIN(10,ROUND(IF('Council Entry'!G$7="Decrease Risk",10-10*((IF('Council Entry'!G$4="Logarithm",LN(0.001+IF(AND(ISNUMBER('Council Entry'!G$8),ISNUMBER('Council Entry'!G$9)),MAX(MIN('Council Entry'!G11,'Council Entry'!G$9),'Council Entry'!G$8),'Council Entry'!G11)),IF('Council Entry'!G$4="Exponential",EXP(IF(AND(ISNUMBER('Council Entry'!G$8),ISNUMBER('Council Entry'!G$9)),MAX(MIN('Council Entry'!G11,'Council Entry'!G$9),'Council Entry'!G$8),'Council Entry'!G11)),IF(AND(ISNUMBER('Council Entry'!G$8),ISNUMBER('Council Entry'!G$9)),MAX(MIN('Council Entry'!G11,'Council Entry'!G$9),'Council Entry'!G$8),'Council Entry'!G11))))-'Council Entry'!G$5)/('Council Entry'!G$6-'Council Entry'!G$5),10*((IF('Council Entry'!G$4="Logarithm",LN(0.001+IF(AND(ISNUMBER('Council Entry'!G$8),ISNUMBER('Council Entry'!G$9)),MAX(MIN('Council Entry'!G11,'Council Entry'!G$9),'Council Entry'!G$8),'Council Entry'!G11)),IF('Council Entry'!G$4="Exponential",EXP(IF(AND(ISNUMBER('Council Entry'!G$8),ISNUMBER('Council Entry'!G$9)),MAX(MIN('Council Entry'!G11,'Council Entry'!G$9),'Council Entry'!G$8),'Council Entry'!G11)),IF(AND(ISNUMBER('Council Entry'!G$8),ISNUMBER('Council Entry'!G$9)),MAX(MIN('Council Entry'!G11,'Council Entry'!G$9),'Council Entry'!G$8),'Council Entry'!G11))))-'Council Entry'!G$5)/('Council Entry'!G$6-'Council Entry'!G$5)),1))),"No data"))</f>
        <v/>
      </c>
      <c r="H11" s="13">
        <f>IF('Council Entry'!H11="","",IFERROR(MAX(0,MIN(10,ROUND(IF('Council Entry'!H$7="Decrease Risk",10-10*((IF('Council Entry'!H$4="Logarithm",LN(0.001+IF(AND(ISNUMBER('Council Entry'!H$8),ISNUMBER('Council Entry'!H$9)),MAX(MIN('Council Entry'!H11,'Council Entry'!H$9),'Council Entry'!H$8),'Council Entry'!H11)),IF('Council Entry'!H$4="Exponential",EXP(IF(AND(ISNUMBER('Council Entry'!H$8),ISNUMBER('Council Entry'!H$9)),MAX(MIN('Council Entry'!H11,'Council Entry'!H$9),'Council Entry'!H$8),'Council Entry'!H11)),IF(AND(ISNUMBER('Council Entry'!H$8),ISNUMBER('Council Entry'!H$9)),MAX(MIN('Council Entry'!H11,'Council Entry'!H$9),'Council Entry'!H$8),'Council Entry'!H11))))-'Council Entry'!H$5)/('Council Entry'!H$6-'Council Entry'!H$5),10*((IF('Council Entry'!H$4="Logarithm",LN(0.001+IF(AND(ISNUMBER('Council Entry'!H$8),ISNUMBER('Council Entry'!H$9)),MAX(MIN('Council Entry'!H11,'Council Entry'!H$9),'Council Entry'!H$8),'Council Entry'!H11)),IF('Council Entry'!H$4="Exponential",EXP(IF(AND(ISNUMBER('Council Entry'!H$8),ISNUMBER('Council Entry'!H$9)),MAX(MIN('Council Entry'!H11,'Council Entry'!H$9),'Council Entry'!H$8),'Council Entry'!H11)),IF(AND(ISNUMBER('Council Entry'!H$8),ISNUMBER('Council Entry'!H$9)),MAX(MIN('Council Entry'!H11,'Council Entry'!H$9),'Council Entry'!H$8),'Council Entry'!H11))))-'Council Entry'!H$5)/('Council Entry'!H$6-'Council Entry'!H$5)),1))),"No data"))</f>
        <v/>
      </c>
      <c r="I11" s="13">
        <f>IF('Council Entry'!I11="","",IFERROR(MAX(0,MIN(10,ROUND(IF('Council Entry'!I$7="Decrease Risk",10-10*((IF('Council Entry'!I$4="Logarithm",LN(0.001+IF(AND(ISNUMBER('Council Entry'!I$8),ISNUMBER('Council Entry'!I$9)),MAX(MIN('Council Entry'!I11,'Council Entry'!I$9),'Council Entry'!I$8),'Council Entry'!I11)),IF('Council Entry'!I$4="Exponential",EXP(IF(AND(ISNUMBER('Council Entry'!I$8),ISNUMBER('Council Entry'!I$9)),MAX(MIN('Council Entry'!I11,'Council Entry'!I$9),'Council Entry'!I$8),'Council Entry'!I11)),IF(AND(ISNUMBER('Council Entry'!I$8),ISNUMBER('Council Entry'!I$9)),MAX(MIN('Council Entry'!I11,'Council Entry'!I$9),'Council Entry'!I$8),'Council Entry'!I11))))-'Council Entry'!I$5)/('Council Entry'!I$6-'Council Entry'!I$5),10*((IF('Council Entry'!I$4="Logarithm",LN(0.001+IF(AND(ISNUMBER('Council Entry'!I$8),ISNUMBER('Council Entry'!I$9)),MAX(MIN('Council Entry'!I11,'Council Entry'!I$9),'Council Entry'!I$8),'Council Entry'!I11)),IF('Council Entry'!I$4="Exponential",EXP(IF(AND(ISNUMBER('Council Entry'!I$8),ISNUMBER('Council Entry'!I$9)),MAX(MIN('Council Entry'!I11,'Council Entry'!I$9),'Council Entry'!I$8),'Council Entry'!I11)),IF(AND(ISNUMBER('Council Entry'!I$8),ISNUMBER('Council Entry'!I$9)),MAX(MIN('Council Entry'!I11,'Council Entry'!I$9),'Council Entry'!I$8),'Council Entry'!I11))))-'Council Entry'!I$5)/('Council Entry'!I$6-'Council Entry'!I$5)),1))),"No data"))</f>
        <v/>
      </c>
      <c r="J11" s="13">
        <f>IF('Council Entry'!J11="","",IFERROR(MAX(0,MIN(10,ROUND(IF('Council Entry'!J$7="Decrease Risk",10-10*((IF('Council Entry'!J$4="Logarithm",LN(0.001+IF(AND(ISNUMBER('Council Entry'!J$8),ISNUMBER('Council Entry'!J$9)),MAX(MIN('Council Entry'!J11,'Council Entry'!J$9),'Council Entry'!J$8),'Council Entry'!J11)),IF('Council Entry'!J$4="Exponential",EXP(IF(AND(ISNUMBER('Council Entry'!J$8),ISNUMBER('Council Entry'!J$9)),MAX(MIN('Council Entry'!J11,'Council Entry'!J$9),'Council Entry'!J$8),'Council Entry'!J11)),IF(AND(ISNUMBER('Council Entry'!J$8),ISNUMBER('Council Entry'!J$9)),MAX(MIN('Council Entry'!J11,'Council Entry'!J$9),'Council Entry'!J$8),'Council Entry'!J11))))-'Council Entry'!J$5)/('Council Entry'!J$6-'Council Entry'!J$5),10*((IF('Council Entry'!J$4="Logarithm",LN(0.001+IF(AND(ISNUMBER('Council Entry'!J$8),ISNUMBER('Council Entry'!J$9)),MAX(MIN('Council Entry'!J11,'Council Entry'!J$9),'Council Entry'!J$8),'Council Entry'!J11)),IF('Council Entry'!J$4="Exponential",EXP(IF(AND(ISNUMBER('Council Entry'!J$8),ISNUMBER('Council Entry'!J$9)),MAX(MIN('Council Entry'!J11,'Council Entry'!J$9),'Council Entry'!J$8),'Council Entry'!J11)),IF(AND(ISNUMBER('Council Entry'!J$8),ISNUMBER('Council Entry'!J$9)),MAX(MIN('Council Entry'!J11,'Council Entry'!J$9),'Council Entry'!J$8),'Council Entry'!J11))))-'Council Entry'!J$5)/('Council Entry'!J$6-'Council Entry'!J$5)),1))),"No data"))</f>
        <v/>
      </c>
      <c r="K11" s="13">
        <f>IF('Council Entry'!K11="","",IFERROR(MAX(0,MIN(10,ROUND(IF('Council Entry'!K$7="Decrease Risk",10-10*((IF('Council Entry'!K$4="Logarithm",LN(0.001+IF(AND(ISNUMBER('Council Entry'!K$8),ISNUMBER('Council Entry'!K$9)),MAX(MIN('Council Entry'!K11,'Council Entry'!K$9),'Council Entry'!K$8),'Council Entry'!K11)),IF('Council Entry'!K$4="Exponential",EXP(IF(AND(ISNUMBER('Council Entry'!K$8),ISNUMBER('Council Entry'!K$9)),MAX(MIN('Council Entry'!K11,'Council Entry'!K$9),'Council Entry'!K$8),'Council Entry'!K11)),IF(AND(ISNUMBER('Council Entry'!K$8),ISNUMBER('Council Entry'!K$9)),MAX(MIN('Council Entry'!K11,'Council Entry'!K$9),'Council Entry'!K$8),'Council Entry'!K11))))-'Council Entry'!K$5)/('Council Entry'!K$6-'Council Entry'!K$5),10*((IF('Council Entry'!K$4="Logarithm",LN(0.001+IF(AND(ISNUMBER('Council Entry'!K$8),ISNUMBER('Council Entry'!K$9)),MAX(MIN('Council Entry'!K11,'Council Entry'!K$9),'Council Entry'!K$8),'Council Entry'!K11)),IF('Council Entry'!K$4="Exponential",EXP(IF(AND(ISNUMBER('Council Entry'!K$8),ISNUMBER('Council Entry'!K$9)),MAX(MIN('Council Entry'!K11,'Council Entry'!K$9),'Council Entry'!K$8),'Council Entry'!K11)),IF(AND(ISNUMBER('Council Entry'!K$8),ISNUMBER('Council Entry'!K$9)),MAX(MIN('Council Entry'!K11,'Council Entry'!K$9),'Council Entry'!K$8),'Council Entry'!K11))))-'Council Entry'!K$5)/('Council Entry'!K$6-'Council Entry'!K$5)),1))),"No data"))</f>
        <v/>
      </c>
      <c r="L11" s="13">
        <f>IF('Council Entry'!L11="","",IFERROR(MAX(0,MIN(10,ROUND(IF('Council Entry'!L$7="Decrease Risk",10-10*((IF('Council Entry'!L$4="Logarithm",LN(0.001+IF(AND(ISNUMBER('Council Entry'!L$8),ISNUMBER('Council Entry'!L$9)),MAX(MIN('Council Entry'!L11,'Council Entry'!L$9),'Council Entry'!L$8),'Council Entry'!L11)),IF('Council Entry'!L$4="Exponential",EXP(IF(AND(ISNUMBER('Council Entry'!L$8),ISNUMBER('Council Entry'!L$9)),MAX(MIN('Council Entry'!L11,'Council Entry'!L$9),'Council Entry'!L$8),'Council Entry'!L11)),IF(AND(ISNUMBER('Council Entry'!L$8),ISNUMBER('Council Entry'!L$9)),MAX(MIN('Council Entry'!L11,'Council Entry'!L$9),'Council Entry'!L$8),'Council Entry'!L11))))-'Council Entry'!L$5)/('Council Entry'!L$6-'Council Entry'!L$5),10*((IF('Council Entry'!L$4="Logarithm",LN(0.001+IF(AND(ISNUMBER('Council Entry'!L$8),ISNUMBER('Council Entry'!L$9)),MAX(MIN('Council Entry'!L11,'Council Entry'!L$9),'Council Entry'!L$8),'Council Entry'!L11)),IF('Council Entry'!L$4="Exponential",EXP(IF(AND(ISNUMBER('Council Entry'!L$8),ISNUMBER('Council Entry'!L$9)),MAX(MIN('Council Entry'!L11,'Council Entry'!L$9),'Council Entry'!L$8),'Council Entry'!L11)),IF(AND(ISNUMBER('Council Entry'!L$8),ISNUMBER('Council Entry'!L$9)),MAX(MIN('Council Entry'!L11,'Council Entry'!L$9),'Council Entry'!L$8),'Council Entry'!L11))))-'Council Entry'!L$5)/('Council Entry'!L$6-'Council Entry'!L$5)),1))),"No data"))</f>
        <v/>
      </c>
      <c r="M11" s="13">
        <f>IF('Council Entry'!M11="","",IFERROR(MAX(0,MIN(10,ROUND(IF('Council Entry'!M$7="Decrease Risk",10-10*((IF('Council Entry'!M$4="Logarithm",LN(0.001+IF(AND(ISNUMBER('Council Entry'!M$8),ISNUMBER('Council Entry'!M$9)),MAX(MIN('Council Entry'!M11,'Council Entry'!M$9),'Council Entry'!M$8),'Council Entry'!M11)),IF('Council Entry'!M$4="Exponential",EXP(IF(AND(ISNUMBER('Council Entry'!M$8),ISNUMBER('Council Entry'!M$9)),MAX(MIN('Council Entry'!M11,'Council Entry'!M$9),'Council Entry'!M$8),'Council Entry'!M11)),IF(AND(ISNUMBER('Council Entry'!M$8),ISNUMBER('Council Entry'!M$9)),MAX(MIN('Council Entry'!M11,'Council Entry'!M$9),'Council Entry'!M$8),'Council Entry'!M11))))-'Council Entry'!M$5)/('Council Entry'!M$6-'Council Entry'!M$5),10*((IF('Council Entry'!M$4="Logarithm",LN(0.001+IF(AND(ISNUMBER('Council Entry'!M$8),ISNUMBER('Council Entry'!M$9)),MAX(MIN('Council Entry'!M11,'Council Entry'!M$9),'Council Entry'!M$8),'Council Entry'!M11)),IF('Council Entry'!M$4="Exponential",EXP(IF(AND(ISNUMBER('Council Entry'!M$8),ISNUMBER('Council Entry'!M$9)),MAX(MIN('Council Entry'!M11,'Council Entry'!M$9),'Council Entry'!M$8),'Council Entry'!M11)),IF(AND(ISNUMBER('Council Entry'!M$8),ISNUMBER('Council Entry'!M$9)),MAX(MIN('Council Entry'!M11,'Council Entry'!M$9),'Council Entry'!M$8),'Council Entry'!M11))))-'Council Entry'!M$5)/('Council Entry'!M$6-'Council Entry'!M$5)),1))),"No data"))</f>
        <v/>
      </c>
      <c r="N11" s="13">
        <f>IF('Council Entry'!N11="","",IFERROR(MAX(0,MIN(10,ROUND(IF('Council Entry'!N$7="Decrease Risk",10-10*((IF('Council Entry'!N$4="Logarithm",LN(0.001+IF(AND(ISNUMBER('Council Entry'!N$8),ISNUMBER('Council Entry'!N$9)),MAX(MIN('Council Entry'!N11,'Council Entry'!N$9),'Council Entry'!N$8),'Council Entry'!N11)),IF('Council Entry'!N$4="Exponential",EXP(IF(AND(ISNUMBER('Council Entry'!N$8),ISNUMBER('Council Entry'!N$9)),MAX(MIN('Council Entry'!N11,'Council Entry'!N$9),'Council Entry'!N$8),'Council Entry'!N11)),IF(AND(ISNUMBER('Council Entry'!N$8),ISNUMBER('Council Entry'!N$9)),MAX(MIN('Council Entry'!N11,'Council Entry'!N$9),'Council Entry'!N$8),'Council Entry'!N11))))-'Council Entry'!N$5)/('Council Entry'!N$6-'Council Entry'!N$5),10*((IF('Council Entry'!N$4="Logarithm",LN(0.001+IF(AND(ISNUMBER('Council Entry'!N$8),ISNUMBER('Council Entry'!N$9)),MAX(MIN('Council Entry'!N11,'Council Entry'!N$9),'Council Entry'!N$8),'Council Entry'!N11)),IF('Council Entry'!N$4="Exponential",EXP(IF(AND(ISNUMBER('Council Entry'!N$8),ISNUMBER('Council Entry'!N$9)),MAX(MIN('Council Entry'!N11,'Council Entry'!N$9),'Council Entry'!N$8),'Council Entry'!N11)),IF(AND(ISNUMBER('Council Entry'!N$8),ISNUMBER('Council Entry'!N$9)),MAX(MIN('Council Entry'!N11,'Council Entry'!N$9),'Council Entry'!N$8),'Council Entry'!N11))))-'Council Entry'!N$5)/('Council Entry'!N$6-'Council Entry'!N$5)),1))),"No data"))</f>
        <v/>
      </c>
      <c r="O11" s="13">
        <f>IF('Council Entry'!O11="","",IFERROR(MAX(0,MIN(10,ROUND(IF('Council Entry'!O$7="Decrease Risk",10-10*((IF('Council Entry'!O$4="Logarithm",LN(0.001+IF(AND(ISNUMBER('Council Entry'!O$8),ISNUMBER('Council Entry'!O$9)),MAX(MIN('Council Entry'!O11,'Council Entry'!O$9),'Council Entry'!O$8),'Council Entry'!O11)),IF('Council Entry'!O$4="Exponential",EXP(IF(AND(ISNUMBER('Council Entry'!O$8),ISNUMBER('Council Entry'!O$9)),MAX(MIN('Council Entry'!O11,'Council Entry'!O$9),'Council Entry'!O$8),'Council Entry'!O11)),IF(AND(ISNUMBER('Council Entry'!O$8),ISNUMBER('Council Entry'!O$9)),MAX(MIN('Council Entry'!O11,'Council Entry'!O$9),'Council Entry'!O$8),'Council Entry'!O11))))-'Council Entry'!O$5)/('Council Entry'!O$6-'Council Entry'!O$5),10*((IF('Council Entry'!O$4="Logarithm",LN(0.001+IF(AND(ISNUMBER('Council Entry'!O$8),ISNUMBER('Council Entry'!O$9)),MAX(MIN('Council Entry'!O11,'Council Entry'!O$9),'Council Entry'!O$8),'Council Entry'!O11)),IF('Council Entry'!O$4="Exponential",EXP(IF(AND(ISNUMBER('Council Entry'!O$8),ISNUMBER('Council Entry'!O$9)),MAX(MIN('Council Entry'!O11,'Council Entry'!O$9),'Council Entry'!O$8),'Council Entry'!O11)),IF(AND(ISNUMBER('Council Entry'!O$8),ISNUMBER('Council Entry'!O$9)),MAX(MIN('Council Entry'!O11,'Council Entry'!O$9),'Council Entry'!O$8),'Council Entry'!O11))))-'Council Entry'!O$5)/('Council Entry'!O$6-'Council Entry'!O$5)),1))),"No data"))</f>
        <v/>
      </c>
      <c r="P11" s="13">
        <f>IF('Council Entry'!P11="","",IFERROR(MAX(0,MIN(10,ROUND(IF('Council Entry'!P$7="Decrease Risk",10-10*((IF('Council Entry'!P$4="Logarithm",LN(0.001+IF(AND(ISNUMBER('Council Entry'!P$8),ISNUMBER('Council Entry'!P$9)),MAX(MIN('Council Entry'!P11,'Council Entry'!P$9),'Council Entry'!P$8),'Council Entry'!P11)),IF('Council Entry'!P$4="Exponential",EXP(IF(AND(ISNUMBER('Council Entry'!P$8),ISNUMBER('Council Entry'!P$9)),MAX(MIN('Council Entry'!P11,'Council Entry'!P$9),'Council Entry'!P$8),'Council Entry'!P11)),IF(AND(ISNUMBER('Council Entry'!P$8),ISNUMBER('Council Entry'!P$9)),MAX(MIN('Council Entry'!P11,'Council Entry'!P$9),'Council Entry'!P$8),'Council Entry'!P11))))-'Council Entry'!P$5)/('Council Entry'!P$6-'Council Entry'!P$5),10*((IF('Council Entry'!P$4="Logarithm",LN(0.001+IF(AND(ISNUMBER('Council Entry'!P$8),ISNUMBER('Council Entry'!P$9)),MAX(MIN('Council Entry'!P11,'Council Entry'!P$9),'Council Entry'!P$8),'Council Entry'!P11)),IF('Council Entry'!P$4="Exponential",EXP(IF(AND(ISNUMBER('Council Entry'!P$8),ISNUMBER('Council Entry'!P$9)),MAX(MIN('Council Entry'!P11,'Council Entry'!P$9),'Council Entry'!P$8),'Council Entry'!P11)),IF(AND(ISNUMBER('Council Entry'!P$8),ISNUMBER('Council Entry'!P$9)),MAX(MIN('Council Entry'!P11,'Council Entry'!P$9),'Council Entry'!P$8),'Council Entry'!P11))))-'Council Entry'!P$5)/('Council Entry'!P$6-'Council Entry'!P$5)),1))),"No data"))</f>
        <v/>
      </c>
      <c r="Q11" s="13">
        <f>IF('Council Entry'!Q11="","",IFERROR(MAX(0,MIN(10,ROUND(IF('Council Entry'!Q$7="Decrease Risk",10-10*((IF('Council Entry'!Q$4="Logarithm",LN(0.001+IF(AND(ISNUMBER('Council Entry'!Q$8),ISNUMBER('Council Entry'!Q$9)),MAX(MIN('Council Entry'!Q11,'Council Entry'!Q$9),'Council Entry'!Q$8),'Council Entry'!Q11)),IF('Council Entry'!Q$4="Exponential",EXP(IF(AND(ISNUMBER('Council Entry'!Q$8),ISNUMBER('Council Entry'!Q$9)),MAX(MIN('Council Entry'!Q11,'Council Entry'!Q$9),'Council Entry'!Q$8),'Council Entry'!Q11)),IF(AND(ISNUMBER('Council Entry'!Q$8),ISNUMBER('Council Entry'!Q$9)),MAX(MIN('Council Entry'!Q11,'Council Entry'!Q$9),'Council Entry'!Q$8),'Council Entry'!Q11))))-'Council Entry'!Q$5)/('Council Entry'!Q$6-'Council Entry'!Q$5),10*((IF('Council Entry'!Q$4="Logarithm",LN(0.001+IF(AND(ISNUMBER('Council Entry'!Q$8),ISNUMBER('Council Entry'!Q$9)),MAX(MIN('Council Entry'!Q11,'Council Entry'!Q$9),'Council Entry'!Q$8),'Council Entry'!Q11)),IF('Council Entry'!Q$4="Exponential",EXP(IF(AND(ISNUMBER('Council Entry'!Q$8),ISNUMBER('Council Entry'!Q$9)),MAX(MIN('Council Entry'!Q11,'Council Entry'!Q$9),'Council Entry'!Q$8),'Council Entry'!Q11)),IF(AND(ISNUMBER('Council Entry'!Q$8),ISNUMBER('Council Entry'!Q$9)),MAX(MIN('Council Entry'!Q11,'Council Entry'!Q$9),'Council Entry'!Q$8),'Council Entry'!Q11))))-'Council Entry'!Q$5)/('Council Entry'!Q$6-'Council Entry'!Q$5)),1))),"No data"))</f>
        <v/>
      </c>
      <c r="R11" s="13">
        <f>IF('Council Entry'!R11="","",IFERROR(MAX(0,MIN(10,ROUND(IF('Council Entry'!R$7="Decrease Risk",10-10*((IF('Council Entry'!R$4="Logarithm",LN(0.001+IF(AND(ISNUMBER('Council Entry'!R$8),ISNUMBER('Council Entry'!R$9)),MAX(MIN('Council Entry'!R11,'Council Entry'!R$9),'Council Entry'!R$8),'Council Entry'!R11)),IF('Council Entry'!R$4="Exponential",EXP(IF(AND(ISNUMBER('Council Entry'!R$8),ISNUMBER('Council Entry'!R$9)),MAX(MIN('Council Entry'!R11,'Council Entry'!R$9),'Council Entry'!R$8),'Council Entry'!R11)),IF(AND(ISNUMBER('Council Entry'!R$8),ISNUMBER('Council Entry'!R$9)),MAX(MIN('Council Entry'!R11,'Council Entry'!R$9),'Council Entry'!R$8),'Council Entry'!R11))))-'Council Entry'!R$5)/('Council Entry'!R$6-'Council Entry'!R$5),10*((IF('Council Entry'!R$4="Logarithm",LN(0.001+IF(AND(ISNUMBER('Council Entry'!R$8),ISNUMBER('Council Entry'!R$9)),MAX(MIN('Council Entry'!R11,'Council Entry'!R$9),'Council Entry'!R$8),'Council Entry'!R11)),IF('Council Entry'!R$4="Exponential",EXP(IF(AND(ISNUMBER('Council Entry'!R$8),ISNUMBER('Council Entry'!R$9)),MAX(MIN('Council Entry'!R11,'Council Entry'!R$9),'Council Entry'!R$8),'Council Entry'!R11)),IF(AND(ISNUMBER('Council Entry'!R$8),ISNUMBER('Council Entry'!R$9)),MAX(MIN('Council Entry'!R11,'Council Entry'!R$9),'Council Entry'!R$8),'Council Entry'!R11))))-'Council Entry'!R$5)/('Council Entry'!R$6-'Council Entry'!R$5)),1))),"No data"))</f>
        <v/>
      </c>
      <c r="S11" s="13">
        <f>IF('Council Entry'!S11="","",IFERROR(MAX(0,MIN(10,ROUND(IF('Council Entry'!S$7="Decrease Risk",10-10*((IF('Council Entry'!S$4="Logarithm",LN(0.001+IF(AND(ISNUMBER('Council Entry'!S$8),ISNUMBER('Council Entry'!S$9)),MAX(MIN('Council Entry'!S11,'Council Entry'!S$9),'Council Entry'!S$8),'Council Entry'!S11)),IF('Council Entry'!S$4="Exponential",EXP(IF(AND(ISNUMBER('Council Entry'!S$8),ISNUMBER('Council Entry'!S$9)),MAX(MIN('Council Entry'!S11,'Council Entry'!S$9),'Council Entry'!S$8),'Council Entry'!S11)),IF(AND(ISNUMBER('Council Entry'!S$8),ISNUMBER('Council Entry'!S$9)),MAX(MIN('Council Entry'!S11,'Council Entry'!S$9),'Council Entry'!S$8),'Council Entry'!S11))))-'Council Entry'!S$5)/('Council Entry'!S$6-'Council Entry'!S$5),10*((IF('Council Entry'!S$4="Logarithm",LN(0.001+IF(AND(ISNUMBER('Council Entry'!S$8),ISNUMBER('Council Entry'!S$9)),MAX(MIN('Council Entry'!S11,'Council Entry'!S$9),'Council Entry'!S$8),'Council Entry'!S11)),IF('Council Entry'!S$4="Exponential",EXP(IF(AND(ISNUMBER('Council Entry'!S$8),ISNUMBER('Council Entry'!S$9)),MAX(MIN('Council Entry'!S11,'Council Entry'!S$9),'Council Entry'!S$8),'Council Entry'!S11)),IF(AND(ISNUMBER('Council Entry'!S$8),ISNUMBER('Council Entry'!S$9)),MAX(MIN('Council Entry'!S11,'Council Entry'!S$9),'Council Entry'!S$8),'Council Entry'!S11))))-'Council Entry'!S$5)/('Council Entry'!S$6-'Council Entry'!S$5)),1))),"No data"))</f>
        <v/>
      </c>
      <c r="T11" s="13">
        <f>IF('Council Entry'!T11="","",IFERROR(MAX(0,MIN(10,ROUND(IF('Council Entry'!T$7="Decrease Risk",10-10*((IF('Council Entry'!T$4="Logarithm",LN(0.001+IF(AND(ISNUMBER('Council Entry'!T$8),ISNUMBER('Council Entry'!T$9)),MAX(MIN('Council Entry'!T11,'Council Entry'!T$9),'Council Entry'!T$8),'Council Entry'!T11)),IF('Council Entry'!T$4="Exponential",EXP(IF(AND(ISNUMBER('Council Entry'!T$8),ISNUMBER('Council Entry'!T$9)),MAX(MIN('Council Entry'!T11,'Council Entry'!T$9),'Council Entry'!T$8),'Council Entry'!T11)),IF(AND(ISNUMBER('Council Entry'!T$8),ISNUMBER('Council Entry'!T$9)),MAX(MIN('Council Entry'!T11,'Council Entry'!T$9),'Council Entry'!T$8),'Council Entry'!T11))))-'Council Entry'!T$5)/('Council Entry'!T$6-'Council Entry'!T$5),10*((IF('Council Entry'!T$4="Logarithm",LN(0.001+IF(AND(ISNUMBER('Council Entry'!T$8),ISNUMBER('Council Entry'!T$9)),MAX(MIN('Council Entry'!T11,'Council Entry'!T$9),'Council Entry'!T$8),'Council Entry'!T11)),IF('Council Entry'!T$4="Exponential",EXP(IF(AND(ISNUMBER('Council Entry'!T$8),ISNUMBER('Council Entry'!T$9)),MAX(MIN('Council Entry'!T11,'Council Entry'!T$9),'Council Entry'!T$8),'Council Entry'!T11)),IF(AND(ISNUMBER('Council Entry'!T$8),ISNUMBER('Council Entry'!T$9)),MAX(MIN('Council Entry'!T11,'Council Entry'!T$9),'Council Entry'!T$8),'Council Entry'!T11))))-'Council Entry'!T$5)/('Council Entry'!T$6-'Council Entry'!T$5)),1))),"No data"))</f>
        <v/>
      </c>
      <c r="U11" s="13">
        <f>IF('Council Entry'!U11="","",IFERROR(MAX(0,MIN(10,ROUND(IF('Council Entry'!U$7="Decrease Risk",10-10*((IF('Council Entry'!U$4="Logarithm",LN(0.001+IF(AND(ISNUMBER('Council Entry'!U$8),ISNUMBER('Council Entry'!U$9)),MAX(MIN('Council Entry'!U11,'Council Entry'!U$9),'Council Entry'!U$8),'Council Entry'!U11)),IF('Council Entry'!U$4="Exponential",EXP(IF(AND(ISNUMBER('Council Entry'!U$8),ISNUMBER('Council Entry'!U$9)),MAX(MIN('Council Entry'!U11,'Council Entry'!U$9),'Council Entry'!U$8),'Council Entry'!U11)),IF(AND(ISNUMBER('Council Entry'!U$8),ISNUMBER('Council Entry'!U$9)),MAX(MIN('Council Entry'!U11,'Council Entry'!U$9),'Council Entry'!U$8),'Council Entry'!U11))))-'Council Entry'!U$5)/('Council Entry'!U$6-'Council Entry'!U$5),10*((IF('Council Entry'!U$4="Logarithm",LN(0.001+IF(AND(ISNUMBER('Council Entry'!U$8),ISNUMBER('Council Entry'!U$9)),MAX(MIN('Council Entry'!U11,'Council Entry'!U$9),'Council Entry'!U$8),'Council Entry'!U11)),IF('Council Entry'!U$4="Exponential",EXP(IF(AND(ISNUMBER('Council Entry'!U$8),ISNUMBER('Council Entry'!U$9)),MAX(MIN('Council Entry'!U11,'Council Entry'!U$9),'Council Entry'!U$8),'Council Entry'!U11)),IF(AND(ISNUMBER('Council Entry'!U$8),ISNUMBER('Council Entry'!U$9)),MAX(MIN('Council Entry'!U11,'Council Entry'!U$9),'Council Entry'!U$8),'Council Entry'!U11))))-'Council Entry'!U$5)/('Council Entry'!U$6-'Council Entry'!U$5)),1))),"No data"))</f>
        <v/>
      </c>
      <c r="V11" s="13">
        <f>IF('Council Entry'!V11="","",IFERROR(MAX(0,MIN(10,ROUND(IF('Council Entry'!V$7="Decrease Risk",10-10*((IF('Council Entry'!V$4="Logarithm",LN(0.001+IF(AND(ISNUMBER('Council Entry'!V$8),ISNUMBER('Council Entry'!V$9)),MAX(MIN('Council Entry'!V11,'Council Entry'!V$9),'Council Entry'!V$8),'Council Entry'!V11)),IF('Council Entry'!V$4="Exponential",EXP(IF(AND(ISNUMBER('Council Entry'!V$8),ISNUMBER('Council Entry'!V$9)),MAX(MIN('Council Entry'!V11,'Council Entry'!V$9),'Council Entry'!V$8),'Council Entry'!V11)),IF(AND(ISNUMBER('Council Entry'!V$8),ISNUMBER('Council Entry'!V$9)),MAX(MIN('Council Entry'!V11,'Council Entry'!V$9),'Council Entry'!V$8),'Council Entry'!V11))))-'Council Entry'!V$5)/('Council Entry'!V$6-'Council Entry'!V$5),10*((IF('Council Entry'!V$4="Logarithm",LN(0.001+IF(AND(ISNUMBER('Council Entry'!V$8),ISNUMBER('Council Entry'!V$9)),MAX(MIN('Council Entry'!V11,'Council Entry'!V$9),'Council Entry'!V$8),'Council Entry'!V11)),IF('Council Entry'!V$4="Exponential",EXP(IF(AND(ISNUMBER('Council Entry'!V$8),ISNUMBER('Council Entry'!V$9)),MAX(MIN('Council Entry'!V11,'Council Entry'!V$9),'Council Entry'!V$8),'Council Entry'!V11)),IF(AND(ISNUMBER('Council Entry'!V$8),ISNUMBER('Council Entry'!V$9)),MAX(MIN('Council Entry'!V11,'Council Entry'!V$9),'Council Entry'!V$8),'Council Entry'!V11))))-'Council Entry'!V$5)/('Council Entry'!V$6-'Council Entry'!V$5)),1))),"No data"))</f>
        <v/>
      </c>
      <c r="W11" s="13">
        <f>IF('Council Entry'!W11="","",IFERROR(MAX(0,MIN(10,ROUND(IF('Council Entry'!W$7="Decrease Risk",10-10*((IF('Council Entry'!W$4="Logarithm",LN(0.001+IF(AND(ISNUMBER('Council Entry'!W$8),ISNUMBER('Council Entry'!W$9)),MAX(MIN('Council Entry'!W11,'Council Entry'!W$9),'Council Entry'!W$8),'Council Entry'!W11)),IF('Council Entry'!W$4="Exponential",EXP(IF(AND(ISNUMBER('Council Entry'!W$8),ISNUMBER('Council Entry'!W$9)),MAX(MIN('Council Entry'!W11,'Council Entry'!W$9),'Council Entry'!W$8),'Council Entry'!W11)),IF(AND(ISNUMBER('Council Entry'!W$8),ISNUMBER('Council Entry'!W$9)),MAX(MIN('Council Entry'!W11,'Council Entry'!W$9),'Council Entry'!W$8),'Council Entry'!W11))))-'Council Entry'!W$5)/('Council Entry'!W$6-'Council Entry'!W$5),10*((IF('Council Entry'!W$4="Logarithm",LN(0.001+IF(AND(ISNUMBER('Council Entry'!W$8),ISNUMBER('Council Entry'!W$9)),MAX(MIN('Council Entry'!W11,'Council Entry'!W$9),'Council Entry'!W$8),'Council Entry'!W11)),IF('Council Entry'!W$4="Exponential",EXP(IF(AND(ISNUMBER('Council Entry'!W$8),ISNUMBER('Council Entry'!W$9)),MAX(MIN('Council Entry'!W11,'Council Entry'!W$9),'Council Entry'!W$8),'Council Entry'!W11)),IF(AND(ISNUMBER('Council Entry'!W$8),ISNUMBER('Council Entry'!W$9)),MAX(MIN('Council Entry'!W11,'Council Entry'!W$9),'Council Entry'!W$8),'Council Entry'!W11))))-'Council Entry'!W$5)/('Council Entry'!W$6-'Council Entry'!W$5)),1))),"No data"))</f>
        <v/>
      </c>
      <c r="X11" s="13">
        <f>IF('Council Entry'!X11="","",IFERROR(MAX(0,MIN(10,ROUND(IF('Council Entry'!X$7="Decrease Risk",10-10*((IF('Council Entry'!X$4="Logarithm",LN(0.001+IF(AND(ISNUMBER('Council Entry'!X$8),ISNUMBER('Council Entry'!X$9)),MAX(MIN('Council Entry'!X11,'Council Entry'!X$9),'Council Entry'!X$8),'Council Entry'!X11)),IF('Council Entry'!X$4="Exponential",EXP(IF(AND(ISNUMBER('Council Entry'!X$8),ISNUMBER('Council Entry'!X$9)),MAX(MIN('Council Entry'!X11,'Council Entry'!X$9),'Council Entry'!X$8),'Council Entry'!X11)),IF(AND(ISNUMBER('Council Entry'!X$8),ISNUMBER('Council Entry'!X$9)),MAX(MIN('Council Entry'!X11,'Council Entry'!X$9),'Council Entry'!X$8),'Council Entry'!X11))))-'Council Entry'!X$5)/('Council Entry'!X$6-'Council Entry'!X$5),10*((IF('Council Entry'!X$4="Logarithm",LN(0.001+IF(AND(ISNUMBER('Council Entry'!X$8),ISNUMBER('Council Entry'!X$9)),MAX(MIN('Council Entry'!X11,'Council Entry'!X$9),'Council Entry'!X$8),'Council Entry'!X11)),IF('Council Entry'!X$4="Exponential",EXP(IF(AND(ISNUMBER('Council Entry'!X$8),ISNUMBER('Council Entry'!X$9)),MAX(MIN('Council Entry'!X11,'Council Entry'!X$9),'Council Entry'!X$8),'Council Entry'!X11)),IF(AND(ISNUMBER('Council Entry'!X$8),ISNUMBER('Council Entry'!X$9)),MAX(MIN('Council Entry'!X11,'Council Entry'!X$9),'Council Entry'!X$8),'Council Entry'!X11))))-'Council Entry'!X$5)/('Council Entry'!X$6-'Council Entry'!X$5)),1))),"No data"))</f>
        <v/>
      </c>
      <c r="Y11" s="13">
        <f>IF('Council Entry'!Y11="","",IFERROR(MAX(0,MIN(10,ROUND(IF('Council Entry'!Y$7="Decrease Risk",10-10*((IF('Council Entry'!Y$4="Logarithm",LN(0.001+IF(AND(ISNUMBER('Council Entry'!Y$8),ISNUMBER('Council Entry'!Y$9)),MAX(MIN('Council Entry'!Y11,'Council Entry'!Y$9),'Council Entry'!Y$8),'Council Entry'!Y11)),IF('Council Entry'!Y$4="Exponential",EXP(IF(AND(ISNUMBER('Council Entry'!Y$8),ISNUMBER('Council Entry'!Y$9)),MAX(MIN('Council Entry'!Y11,'Council Entry'!Y$9),'Council Entry'!Y$8),'Council Entry'!Y11)),IF(AND(ISNUMBER('Council Entry'!Y$8),ISNUMBER('Council Entry'!Y$9)),MAX(MIN('Council Entry'!Y11,'Council Entry'!Y$9),'Council Entry'!Y$8),'Council Entry'!Y11))))-'Council Entry'!Y$5)/('Council Entry'!Y$6-'Council Entry'!Y$5),10*((IF('Council Entry'!Y$4="Logarithm",LN(0.001+IF(AND(ISNUMBER('Council Entry'!Y$8),ISNUMBER('Council Entry'!Y$9)),MAX(MIN('Council Entry'!Y11,'Council Entry'!Y$9),'Council Entry'!Y$8),'Council Entry'!Y11)),IF('Council Entry'!Y$4="Exponential",EXP(IF(AND(ISNUMBER('Council Entry'!Y$8),ISNUMBER('Council Entry'!Y$9)),MAX(MIN('Council Entry'!Y11,'Council Entry'!Y$9),'Council Entry'!Y$8),'Council Entry'!Y11)),IF(AND(ISNUMBER('Council Entry'!Y$8),ISNUMBER('Council Entry'!Y$9)),MAX(MIN('Council Entry'!Y11,'Council Entry'!Y$9),'Council Entry'!Y$8),'Council Entry'!Y11))))-'Council Entry'!Y$5)/('Council Entry'!Y$6-'Council Entry'!Y$5)),1))),"No data"))</f>
        <v/>
      </c>
      <c r="Z11" s="13">
        <f>IF('Council Entry'!Z11="","",IFERROR(MAX(0,MIN(10,ROUND(IF('Council Entry'!Z$7="Decrease Risk",10-10*((IF('Council Entry'!Z$4="Logarithm",LN(0.001+IF(AND(ISNUMBER('Council Entry'!Z$8),ISNUMBER('Council Entry'!Z$9)),MAX(MIN('Council Entry'!Z11,'Council Entry'!Z$9),'Council Entry'!Z$8),'Council Entry'!Z11)),IF('Council Entry'!Z$4="Exponential",EXP(IF(AND(ISNUMBER('Council Entry'!Z$8),ISNUMBER('Council Entry'!Z$9)),MAX(MIN('Council Entry'!Z11,'Council Entry'!Z$9),'Council Entry'!Z$8),'Council Entry'!Z11)),IF(AND(ISNUMBER('Council Entry'!Z$8),ISNUMBER('Council Entry'!Z$9)),MAX(MIN('Council Entry'!Z11,'Council Entry'!Z$9),'Council Entry'!Z$8),'Council Entry'!Z11))))-'Council Entry'!Z$5)/('Council Entry'!Z$6-'Council Entry'!Z$5),10*((IF('Council Entry'!Z$4="Logarithm",LN(0.001+IF(AND(ISNUMBER('Council Entry'!Z$8),ISNUMBER('Council Entry'!Z$9)),MAX(MIN('Council Entry'!Z11,'Council Entry'!Z$9),'Council Entry'!Z$8),'Council Entry'!Z11)),IF('Council Entry'!Z$4="Exponential",EXP(IF(AND(ISNUMBER('Council Entry'!Z$8),ISNUMBER('Council Entry'!Z$9)),MAX(MIN('Council Entry'!Z11,'Council Entry'!Z$9),'Council Entry'!Z$8),'Council Entry'!Z11)),IF(AND(ISNUMBER('Council Entry'!Z$8),ISNUMBER('Council Entry'!Z$9)),MAX(MIN('Council Entry'!Z11,'Council Entry'!Z$9),'Council Entry'!Z$8),'Council Entry'!Z11))))-'Council Entry'!Z$5)/('Council Entry'!Z$6-'Council Entry'!Z$5)),1))),"No data"))</f>
        <v/>
      </c>
      <c r="AA11" s="13">
        <f>IF('Council Entry'!AA11="","",IFERROR(MAX(0,MIN(10,ROUND(IF('Council Entry'!AA$7="Decrease Risk",10-10*((IF('Council Entry'!AA$4="Logarithm",LN(0.001+IF(AND(ISNUMBER('Council Entry'!AA$8),ISNUMBER('Council Entry'!AA$9)),MAX(MIN('Council Entry'!AA11,'Council Entry'!AA$9),'Council Entry'!AA$8),'Council Entry'!AA11)),IF('Council Entry'!AA$4="Exponential",EXP(IF(AND(ISNUMBER('Council Entry'!AA$8),ISNUMBER('Council Entry'!AA$9)),MAX(MIN('Council Entry'!AA11,'Council Entry'!AA$9),'Council Entry'!AA$8),'Council Entry'!AA11)),IF(AND(ISNUMBER('Council Entry'!AA$8),ISNUMBER('Council Entry'!AA$9)),MAX(MIN('Council Entry'!AA11,'Council Entry'!AA$9),'Council Entry'!AA$8),'Council Entry'!AA11))))-'Council Entry'!AA$5)/('Council Entry'!AA$6-'Council Entry'!AA$5),10*((IF('Council Entry'!AA$4="Logarithm",LN(0.001+IF(AND(ISNUMBER('Council Entry'!AA$8),ISNUMBER('Council Entry'!AA$9)),MAX(MIN('Council Entry'!AA11,'Council Entry'!AA$9),'Council Entry'!AA$8),'Council Entry'!AA11)),IF('Council Entry'!AA$4="Exponential",EXP(IF(AND(ISNUMBER('Council Entry'!AA$8),ISNUMBER('Council Entry'!AA$9)),MAX(MIN('Council Entry'!AA11,'Council Entry'!AA$9),'Council Entry'!AA$8),'Council Entry'!AA11)),IF(AND(ISNUMBER('Council Entry'!AA$8),ISNUMBER('Council Entry'!AA$9)),MAX(MIN('Council Entry'!AA11,'Council Entry'!AA$9),'Council Entry'!AA$8),'Council Entry'!AA11))))-'Council Entry'!AA$5)/('Council Entry'!AA$6-'Council Entry'!AA$5)),1))),"No data"))</f>
        <v/>
      </c>
      <c r="AB11" s="13">
        <f>IF('Council Entry'!AB11="","",IFERROR(MAX(0,MIN(10,ROUND(IF('Council Entry'!AB$7="Decrease Risk",10-10*((IF('Council Entry'!AB$4="Logarithm",LN(0.001+IF(AND(ISNUMBER('Council Entry'!AB$8),ISNUMBER('Council Entry'!AB$9)),MAX(MIN('Council Entry'!AB11,'Council Entry'!AB$9),'Council Entry'!AB$8),'Council Entry'!AB11)),IF('Council Entry'!AB$4="Exponential",EXP(IF(AND(ISNUMBER('Council Entry'!AB$8),ISNUMBER('Council Entry'!AB$9)),MAX(MIN('Council Entry'!AB11,'Council Entry'!AB$9),'Council Entry'!AB$8),'Council Entry'!AB11)),IF(AND(ISNUMBER('Council Entry'!AB$8),ISNUMBER('Council Entry'!AB$9)),MAX(MIN('Council Entry'!AB11,'Council Entry'!AB$9),'Council Entry'!AB$8),'Council Entry'!AB11))))-'Council Entry'!AB$5)/('Council Entry'!AB$6-'Council Entry'!AB$5),10*((IF('Council Entry'!AB$4="Logarithm",LN(0.001+IF(AND(ISNUMBER('Council Entry'!AB$8),ISNUMBER('Council Entry'!AB$9)),MAX(MIN('Council Entry'!AB11,'Council Entry'!AB$9),'Council Entry'!AB$8),'Council Entry'!AB11)),IF('Council Entry'!AB$4="Exponential",EXP(IF(AND(ISNUMBER('Council Entry'!AB$8),ISNUMBER('Council Entry'!AB$9)),MAX(MIN('Council Entry'!AB11,'Council Entry'!AB$9),'Council Entry'!AB$8),'Council Entry'!AB11)),IF(AND(ISNUMBER('Council Entry'!AB$8),ISNUMBER('Council Entry'!AB$9)),MAX(MIN('Council Entry'!AB11,'Council Entry'!AB$9),'Council Entry'!AB$8),'Council Entry'!AB11))))-'Council Entry'!AB$5)/('Council Entry'!AB$6-'Council Entry'!AB$5)),1))),"No data"))</f>
        <v/>
      </c>
      <c r="AC11" s="13">
        <f>IF('Council Entry'!AC11="","",IFERROR(MAX(0,MIN(10,ROUND(IF('Council Entry'!AC$7="Decrease Risk",10-10*((IF('Council Entry'!AC$4="Logarithm",LN(0.001+IF(AND(ISNUMBER('Council Entry'!AC$8),ISNUMBER('Council Entry'!AC$9)),MAX(MIN('Council Entry'!AC11,'Council Entry'!AC$9),'Council Entry'!AC$8),'Council Entry'!AC11)),IF('Council Entry'!AC$4="Exponential",EXP(IF(AND(ISNUMBER('Council Entry'!AC$8),ISNUMBER('Council Entry'!AC$9)),MAX(MIN('Council Entry'!AC11,'Council Entry'!AC$9),'Council Entry'!AC$8),'Council Entry'!AC11)),IF(AND(ISNUMBER('Council Entry'!AC$8),ISNUMBER('Council Entry'!AC$9)),MAX(MIN('Council Entry'!AC11,'Council Entry'!AC$9),'Council Entry'!AC$8),'Council Entry'!AC11))))-'Council Entry'!AC$5)/('Council Entry'!AC$6-'Council Entry'!AC$5),10*((IF('Council Entry'!AC$4="Logarithm",LN(0.001+IF(AND(ISNUMBER('Council Entry'!AC$8),ISNUMBER('Council Entry'!AC$9)),MAX(MIN('Council Entry'!AC11,'Council Entry'!AC$9),'Council Entry'!AC$8),'Council Entry'!AC11)),IF('Council Entry'!AC$4="Exponential",EXP(IF(AND(ISNUMBER('Council Entry'!AC$8),ISNUMBER('Council Entry'!AC$9)),MAX(MIN('Council Entry'!AC11,'Council Entry'!AC$9),'Council Entry'!AC$8),'Council Entry'!AC11)),IF(AND(ISNUMBER('Council Entry'!AC$8),ISNUMBER('Council Entry'!AC$9)),MAX(MIN('Council Entry'!AC11,'Council Entry'!AC$9),'Council Entry'!AC$8),'Council Entry'!AC11))))-'Council Entry'!AC$5)/('Council Entry'!AC$6-'Council Entry'!AC$5)),1))),"No data"))</f>
        <v/>
      </c>
      <c r="AD11" s="13">
        <f>IF('Council Entry'!AD11="","",IFERROR(MAX(0,MIN(10,ROUND(IF('Council Entry'!AD$7="Decrease Risk",10-10*((IF('Council Entry'!AD$4="Logarithm",LN(0.001+IF(AND(ISNUMBER('Council Entry'!AD$8),ISNUMBER('Council Entry'!AD$9)),MAX(MIN('Council Entry'!AD11,'Council Entry'!AD$9),'Council Entry'!AD$8),'Council Entry'!AD11)),IF('Council Entry'!AD$4="Exponential",EXP(IF(AND(ISNUMBER('Council Entry'!AD$8),ISNUMBER('Council Entry'!AD$9)),MAX(MIN('Council Entry'!AD11,'Council Entry'!AD$9),'Council Entry'!AD$8),'Council Entry'!AD11)),IF(AND(ISNUMBER('Council Entry'!AD$8),ISNUMBER('Council Entry'!AD$9)),MAX(MIN('Council Entry'!AD11,'Council Entry'!AD$9),'Council Entry'!AD$8),'Council Entry'!AD11))))-'Council Entry'!AD$5)/('Council Entry'!AD$6-'Council Entry'!AD$5),10*((IF('Council Entry'!AD$4="Logarithm",LN(0.001+IF(AND(ISNUMBER('Council Entry'!AD$8),ISNUMBER('Council Entry'!AD$9)),MAX(MIN('Council Entry'!AD11,'Council Entry'!AD$9),'Council Entry'!AD$8),'Council Entry'!AD11)),IF('Council Entry'!AD$4="Exponential",EXP(IF(AND(ISNUMBER('Council Entry'!AD$8),ISNUMBER('Council Entry'!AD$9)),MAX(MIN('Council Entry'!AD11,'Council Entry'!AD$9),'Council Entry'!AD$8),'Council Entry'!AD11)),IF(AND(ISNUMBER('Council Entry'!AD$8),ISNUMBER('Council Entry'!AD$9)),MAX(MIN('Council Entry'!AD11,'Council Entry'!AD$9),'Council Entry'!AD$8),'Council Entry'!AD11))))-'Council Entry'!AD$5)/('Council Entry'!AD$6-'Council Entry'!AD$5)),1))),"No data"))</f>
        <v/>
      </c>
      <c r="AE11" s="13">
        <f>IF('Council Entry'!AE11="","",IFERROR(MAX(0,MIN(10,ROUND(IF('Council Entry'!AE$7="Decrease Risk",10-10*((IF('Council Entry'!AE$4="Logarithm",LN(0.001+IF(AND(ISNUMBER('Council Entry'!AE$8),ISNUMBER('Council Entry'!AE$9)),MAX(MIN('Council Entry'!AE11,'Council Entry'!AE$9),'Council Entry'!AE$8),'Council Entry'!AE11)),IF('Council Entry'!AE$4="Exponential",EXP(IF(AND(ISNUMBER('Council Entry'!AE$8),ISNUMBER('Council Entry'!AE$9)),MAX(MIN('Council Entry'!AE11,'Council Entry'!AE$9),'Council Entry'!AE$8),'Council Entry'!AE11)),IF(AND(ISNUMBER('Council Entry'!AE$8),ISNUMBER('Council Entry'!AE$9)),MAX(MIN('Council Entry'!AE11,'Council Entry'!AE$9),'Council Entry'!AE$8),'Council Entry'!AE11))))-'Council Entry'!AE$5)/('Council Entry'!AE$6-'Council Entry'!AE$5),10*((IF('Council Entry'!AE$4="Logarithm",LN(0.001+IF(AND(ISNUMBER('Council Entry'!AE$8),ISNUMBER('Council Entry'!AE$9)),MAX(MIN('Council Entry'!AE11,'Council Entry'!AE$9),'Council Entry'!AE$8),'Council Entry'!AE11)),IF('Council Entry'!AE$4="Exponential",EXP(IF(AND(ISNUMBER('Council Entry'!AE$8),ISNUMBER('Council Entry'!AE$9)),MAX(MIN('Council Entry'!AE11,'Council Entry'!AE$9),'Council Entry'!AE$8),'Council Entry'!AE11)),IF(AND(ISNUMBER('Council Entry'!AE$8),ISNUMBER('Council Entry'!AE$9)),MAX(MIN('Council Entry'!AE11,'Council Entry'!AE$9),'Council Entry'!AE$8),'Council Entry'!AE11))))-'Council Entry'!AE$5)/('Council Entry'!AE$6-'Council Entry'!AE$5)),1))),"No data"))</f>
        <v/>
      </c>
      <c r="AF11" s="13">
        <f>IF('Council Entry'!AF11="","",IFERROR(MAX(0,MIN(10,ROUND(IF('Council Entry'!AF$7="Decrease Risk",10-10*((IF('Council Entry'!AF$4="Logarithm",LN(0.001+IF(AND(ISNUMBER('Council Entry'!AF$8),ISNUMBER('Council Entry'!AF$9)),MAX(MIN('Council Entry'!AF11,'Council Entry'!AF$9),'Council Entry'!AF$8),'Council Entry'!AF11)),IF('Council Entry'!AF$4="Exponential",EXP(IF(AND(ISNUMBER('Council Entry'!AF$8),ISNUMBER('Council Entry'!AF$9)),MAX(MIN('Council Entry'!AF11,'Council Entry'!AF$9),'Council Entry'!AF$8),'Council Entry'!AF11)),IF(AND(ISNUMBER('Council Entry'!AF$8),ISNUMBER('Council Entry'!AF$9)),MAX(MIN('Council Entry'!AF11,'Council Entry'!AF$9),'Council Entry'!AF$8),'Council Entry'!AF11))))-'Council Entry'!AF$5)/('Council Entry'!AF$6-'Council Entry'!AF$5),10*((IF('Council Entry'!AF$4="Logarithm",LN(0.001+IF(AND(ISNUMBER('Council Entry'!AF$8),ISNUMBER('Council Entry'!AF$9)),MAX(MIN('Council Entry'!AF11,'Council Entry'!AF$9),'Council Entry'!AF$8),'Council Entry'!AF11)),IF('Council Entry'!AF$4="Exponential",EXP(IF(AND(ISNUMBER('Council Entry'!AF$8),ISNUMBER('Council Entry'!AF$9)),MAX(MIN('Council Entry'!AF11,'Council Entry'!AF$9),'Council Entry'!AF$8),'Council Entry'!AF11)),IF(AND(ISNUMBER('Council Entry'!AF$8),ISNUMBER('Council Entry'!AF$9)),MAX(MIN('Council Entry'!AF11,'Council Entry'!AF$9),'Council Entry'!AF$8),'Council Entry'!AF11))))-'Council Entry'!AF$5)/('Council Entry'!AF$6-'Council Entry'!AF$5)),1))),"No data"))</f>
        <v/>
      </c>
      <c r="AG11" s="13">
        <f>IF('Council Entry'!AG11="","",IFERROR(MAX(0,MIN(10,ROUND(IF('Council Entry'!AG$7="Decrease Risk",10-10*((IF('Council Entry'!AG$4="Logarithm",LN(0.001+IF(AND(ISNUMBER('Council Entry'!AG$8),ISNUMBER('Council Entry'!AG$9)),MAX(MIN('Council Entry'!AG11,'Council Entry'!AG$9),'Council Entry'!AG$8),'Council Entry'!AG11)),IF('Council Entry'!AG$4="Exponential",EXP(IF(AND(ISNUMBER('Council Entry'!AG$8),ISNUMBER('Council Entry'!AG$9)),MAX(MIN('Council Entry'!AG11,'Council Entry'!AG$9),'Council Entry'!AG$8),'Council Entry'!AG11)),IF(AND(ISNUMBER('Council Entry'!AG$8),ISNUMBER('Council Entry'!AG$9)),MAX(MIN('Council Entry'!AG11,'Council Entry'!AG$9),'Council Entry'!AG$8),'Council Entry'!AG11))))-'Council Entry'!AG$5)/('Council Entry'!AG$6-'Council Entry'!AG$5),10*((IF('Council Entry'!AG$4="Logarithm",LN(0.001+IF(AND(ISNUMBER('Council Entry'!AG$8),ISNUMBER('Council Entry'!AG$9)),MAX(MIN('Council Entry'!AG11,'Council Entry'!AG$9),'Council Entry'!AG$8),'Council Entry'!AG11)),IF('Council Entry'!AG$4="Exponential",EXP(IF(AND(ISNUMBER('Council Entry'!AG$8),ISNUMBER('Council Entry'!AG$9)),MAX(MIN('Council Entry'!AG11,'Council Entry'!AG$9),'Council Entry'!AG$8),'Council Entry'!AG11)),IF(AND(ISNUMBER('Council Entry'!AG$8),ISNUMBER('Council Entry'!AG$9)),MAX(MIN('Council Entry'!AG11,'Council Entry'!AG$9),'Council Entry'!AG$8),'Council Entry'!AG11))))-'Council Entry'!AG$5)/('Council Entry'!AG$6-'Council Entry'!AG$5)),1))),"No data"))</f>
        <v/>
      </c>
      <c r="AH11" s="13">
        <f>IF('Council Entry'!AH11="","",IFERROR(MAX(0,MIN(10,ROUND(IF('Council Entry'!AH$7="Decrease Risk",10-10*((IF('Council Entry'!AH$4="Logarithm",LN(0.001+IF(AND(ISNUMBER('Council Entry'!AH$8),ISNUMBER('Council Entry'!AH$9)),MAX(MIN('Council Entry'!AH11,'Council Entry'!AH$9),'Council Entry'!AH$8),'Council Entry'!AH11)),IF('Council Entry'!AH$4="Exponential",EXP(IF(AND(ISNUMBER('Council Entry'!AH$8),ISNUMBER('Council Entry'!AH$9)),MAX(MIN('Council Entry'!AH11,'Council Entry'!AH$9),'Council Entry'!AH$8),'Council Entry'!AH11)),IF(AND(ISNUMBER('Council Entry'!AH$8),ISNUMBER('Council Entry'!AH$9)),MAX(MIN('Council Entry'!AH11,'Council Entry'!AH$9),'Council Entry'!AH$8),'Council Entry'!AH11))))-'Council Entry'!AH$5)/('Council Entry'!AH$6-'Council Entry'!AH$5),10*((IF('Council Entry'!AH$4="Logarithm",LN(0.001+IF(AND(ISNUMBER('Council Entry'!AH$8),ISNUMBER('Council Entry'!AH$9)),MAX(MIN('Council Entry'!AH11,'Council Entry'!AH$9),'Council Entry'!AH$8),'Council Entry'!AH11)),IF('Council Entry'!AH$4="Exponential",EXP(IF(AND(ISNUMBER('Council Entry'!AH$8),ISNUMBER('Council Entry'!AH$9)),MAX(MIN('Council Entry'!AH11,'Council Entry'!AH$9),'Council Entry'!AH$8),'Council Entry'!AH11)),IF(AND(ISNUMBER('Council Entry'!AH$8),ISNUMBER('Council Entry'!AH$9)),MAX(MIN('Council Entry'!AH11,'Council Entry'!AH$9),'Council Entry'!AH$8),'Council Entry'!AH11))))-'Council Entry'!AH$5)/('Council Entry'!AH$6-'Council Entry'!AH$5)),1))),"No data"))</f>
        <v/>
      </c>
      <c r="AI11" s="13">
        <f>IF('Council Entry'!AI11="","",IFERROR(MAX(0,MIN(10,ROUND(IF('Council Entry'!AI$7="Decrease Risk",10-10*((IF('Council Entry'!AI$4="Logarithm",LN(0.001+IF(AND(ISNUMBER('Council Entry'!AI$8),ISNUMBER('Council Entry'!AI$9)),MAX(MIN('Council Entry'!AI11,'Council Entry'!AI$9),'Council Entry'!AI$8),'Council Entry'!AI11)),IF('Council Entry'!AI$4="Exponential",EXP(IF(AND(ISNUMBER('Council Entry'!AI$8),ISNUMBER('Council Entry'!AI$9)),MAX(MIN('Council Entry'!AI11,'Council Entry'!AI$9),'Council Entry'!AI$8),'Council Entry'!AI11)),IF(AND(ISNUMBER('Council Entry'!AI$8),ISNUMBER('Council Entry'!AI$9)),MAX(MIN('Council Entry'!AI11,'Council Entry'!AI$9),'Council Entry'!AI$8),'Council Entry'!AI11))))-'Council Entry'!AI$5)/('Council Entry'!AI$6-'Council Entry'!AI$5),10*((IF('Council Entry'!AI$4="Logarithm",LN(0.001+IF(AND(ISNUMBER('Council Entry'!AI$8),ISNUMBER('Council Entry'!AI$9)),MAX(MIN('Council Entry'!AI11,'Council Entry'!AI$9),'Council Entry'!AI$8),'Council Entry'!AI11)),IF('Council Entry'!AI$4="Exponential",EXP(IF(AND(ISNUMBER('Council Entry'!AI$8),ISNUMBER('Council Entry'!AI$9)),MAX(MIN('Council Entry'!AI11,'Council Entry'!AI$9),'Council Entry'!AI$8),'Council Entry'!AI11)),IF(AND(ISNUMBER('Council Entry'!AI$8),ISNUMBER('Council Entry'!AI$9)),MAX(MIN('Council Entry'!AI11,'Council Entry'!AI$9),'Council Entry'!AI$8),'Council Entry'!AI11))))-'Council Entry'!AI$5)/('Council Entry'!AI$6-'Council Entry'!AI$5)),1))),"No data"))</f>
        <v/>
      </c>
      <c r="AJ11" s="13">
        <f>IF('Council Entry'!AJ11="","",IFERROR(MAX(0,MIN(10,ROUND(IF('Council Entry'!AJ$7="Decrease Risk",10-10*((IF('Council Entry'!AJ$4="Logarithm",LN(0.001+IF(AND(ISNUMBER('Council Entry'!AJ$8),ISNUMBER('Council Entry'!AJ$9)),MAX(MIN('Council Entry'!AJ11,'Council Entry'!AJ$9),'Council Entry'!AJ$8),'Council Entry'!AJ11)),IF('Council Entry'!AJ$4="Exponential",EXP(IF(AND(ISNUMBER('Council Entry'!AJ$8),ISNUMBER('Council Entry'!AJ$9)),MAX(MIN('Council Entry'!AJ11,'Council Entry'!AJ$9),'Council Entry'!AJ$8),'Council Entry'!AJ11)),IF(AND(ISNUMBER('Council Entry'!AJ$8),ISNUMBER('Council Entry'!AJ$9)),MAX(MIN('Council Entry'!AJ11,'Council Entry'!AJ$9),'Council Entry'!AJ$8),'Council Entry'!AJ11))))-'Council Entry'!AJ$5)/('Council Entry'!AJ$6-'Council Entry'!AJ$5),10*((IF('Council Entry'!AJ$4="Logarithm",LN(0.001+IF(AND(ISNUMBER('Council Entry'!AJ$8),ISNUMBER('Council Entry'!AJ$9)),MAX(MIN('Council Entry'!AJ11,'Council Entry'!AJ$9),'Council Entry'!AJ$8),'Council Entry'!AJ11)),IF('Council Entry'!AJ$4="Exponential",EXP(IF(AND(ISNUMBER('Council Entry'!AJ$8),ISNUMBER('Council Entry'!AJ$9)),MAX(MIN('Council Entry'!AJ11,'Council Entry'!AJ$9),'Council Entry'!AJ$8),'Council Entry'!AJ11)),IF(AND(ISNUMBER('Council Entry'!AJ$8),ISNUMBER('Council Entry'!AJ$9)),MAX(MIN('Council Entry'!AJ11,'Council Entry'!AJ$9),'Council Entry'!AJ$8),'Council Entry'!AJ11))))-'Council Entry'!AJ$5)/('Council Entry'!AJ$6-'Council Entry'!AJ$5)),1))),"No data"))</f>
        <v/>
      </c>
      <c r="AK11" s="13">
        <f>IF('Council Entry'!AK11="","",IFERROR(MAX(0,MIN(10,ROUND(IF('Council Entry'!AK$7="Decrease Risk",10-10*((IF('Council Entry'!AK$4="Logarithm",LN(0.001+IF(AND(ISNUMBER('Council Entry'!AK$8),ISNUMBER('Council Entry'!AK$9)),MAX(MIN('Council Entry'!AK11,'Council Entry'!AK$9),'Council Entry'!AK$8),'Council Entry'!AK11)),IF('Council Entry'!AK$4="Exponential",EXP(IF(AND(ISNUMBER('Council Entry'!AK$8),ISNUMBER('Council Entry'!AK$9)),MAX(MIN('Council Entry'!AK11,'Council Entry'!AK$9),'Council Entry'!AK$8),'Council Entry'!AK11)),IF(AND(ISNUMBER('Council Entry'!AK$8),ISNUMBER('Council Entry'!AK$9)),MAX(MIN('Council Entry'!AK11,'Council Entry'!AK$9),'Council Entry'!AK$8),'Council Entry'!AK11))))-'Council Entry'!AK$5)/('Council Entry'!AK$6-'Council Entry'!AK$5),10*((IF('Council Entry'!AK$4="Logarithm",LN(0.001+IF(AND(ISNUMBER('Council Entry'!AK$8),ISNUMBER('Council Entry'!AK$9)),MAX(MIN('Council Entry'!AK11,'Council Entry'!AK$9),'Council Entry'!AK$8),'Council Entry'!AK11)),IF('Council Entry'!AK$4="Exponential",EXP(IF(AND(ISNUMBER('Council Entry'!AK$8),ISNUMBER('Council Entry'!AK$9)),MAX(MIN('Council Entry'!AK11,'Council Entry'!AK$9),'Council Entry'!AK$8),'Council Entry'!AK11)),IF(AND(ISNUMBER('Council Entry'!AK$8),ISNUMBER('Council Entry'!AK$9)),MAX(MIN('Council Entry'!AK11,'Council Entry'!AK$9),'Council Entry'!AK$8),'Council Entry'!AK11))))-'Council Entry'!AK$5)/('Council Entry'!AK$6-'Council Entry'!AK$5)),1))),"No data"))</f>
        <v/>
      </c>
      <c r="AL11" s="13">
        <f>IF('Council Entry'!AL11="","",IFERROR(MAX(0,MIN(10,ROUND(IF('Council Entry'!AL$7="Decrease Risk",10-10*((IF('Council Entry'!AL$4="Logarithm",LN(0.001+IF(AND(ISNUMBER('Council Entry'!AL$8),ISNUMBER('Council Entry'!AL$9)),MAX(MIN('Council Entry'!AL11,'Council Entry'!AL$9),'Council Entry'!AL$8),'Council Entry'!AL11)),IF('Council Entry'!AL$4="Exponential",EXP(IF(AND(ISNUMBER('Council Entry'!AL$8),ISNUMBER('Council Entry'!AL$9)),MAX(MIN('Council Entry'!AL11,'Council Entry'!AL$9),'Council Entry'!AL$8),'Council Entry'!AL11)),IF(AND(ISNUMBER('Council Entry'!AL$8),ISNUMBER('Council Entry'!AL$9)),MAX(MIN('Council Entry'!AL11,'Council Entry'!AL$9),'Council Entry'!AL$8),'Council Entry'!AL11))))-'Council Entry'!AL$5)/('Council Entry'!AL$6-'Council Entry'!AL$5),10*((IF('Council Entry'!AL$4="Logarithm",LN(0.001+IF(AND(ISNUMBER('Council Entry'!AL$8),ISNUMBER('Council Entry'!AL$9)),MAX(MIN('Council Entry'!AL11,'Council Entry'!AL$9),'Council Entry'!AL$8),'Council Entry'!AL11)),IF('Council Entry'!AL$4="Exponential",EXP(IF(AND(ISNUMBER('Council Entry'!AL$8),ISNUMBER('Council Entry'!AL$9)),MAX(MIN('Council Entry'!AL11,'Council Entry'!AL$9),'Council Entry'!AL$8),'Council Entry'!AL11)),IF(AND(ISNUMBER('Council Entry'!AL$8),ISNUMBER('Council Entry'!AL$9)),MAX(MIN('Council Entry'!AL11,'Council Entry'!AL$9),'Council Entry'!AL$8),'Council Entry'!AL11))))-'Council Entry'!AL$5)/('Council Entry'!AL$6-'Council Entry'!AL$5)),1))),"No data"))</f>
        <v/>
      </c>
      <c r="AM11" s="13">
        <f>IF('Council Entry'!AM11="","",IFERROR(MAX(0,MIN(10,ROUND(IF('Council Entry'!AM$7="Decrease Risk",10-10*((IF('Council Entry'!AM$4="Logarithm",LN(0.001+IF(AND(ISNUMBER('Council Entry'!AM$8),ISNUMBER('Council Entry'!AM$9)),MAX(MIN('Council Entry'!AM11,'Council Entry'!AM$9),'Council Entry'!AM$8),'Council Entry'!AM11)),IF('Council Entry'!AM$4="Exponential",EXP(IF(AND(ISNUMBER('Council Entry'!AM$8),ISNUMBER('Council Entry'!AM$9)),MAX(MIN('Council Entry'!AM11,'Council Entry'!AM$9),'Council Entry'!AM$8),'Council Entry'!AM11)),IF(AND(ISNUMBER('Council Entry'!AM$8),ISNUMBER('Council Entry'!AM$9)),MAX(MIN('Council Entry'!AM11,'Council Entry'!AM$9),'Council Entry'!AM$8),'Council Entry'!AM11))))-'Council Entry'!AM$5)/('Council Entry'!AM$6-'Council Entry'!AM$5),10*((IF('Council Entry'!AM$4="Logarithm",LN(0.001+IF(AND(ISNUMBER('Council Entry'!AM$8),ISNUMBER('Council Entry'!AM$9)),MAX(MIN('Council Entry'!AM11,'Council Entry'!AM$9),'Council Entry'!AM$8),'Council Entry'!AM11)),IF('Council Entry'!AM$4="Exponential",EXP(IF(AND(ISNUMBER('Council Entry'!AM$8),ISNUMBER('Council Entry'!AM$9)),MAX(MIN('Council Entry'!AM11,'Council Entry'!AM$9),'Council Entry'!AM$8),'Council Entry'!AM11)),IF(AND(ISNUMBER('Council Entry'!AM$8),ISNUMBER('Council Entry'!AM$9)),MAX(MIN('Council Entry'!AM11,'Council Entry'!AM$9),'Council Entry'!AM$8),'Council Entry'!AM11))))-'Council Entry'!AM$5)/('Council Entry'!AM$6-'Council Entry'!AM$5)),1))),"No data"))</f>
        <v/>
      </c>
      <c r="AN11" s="13">
        <f>IF('Council Entry'!AN11="","",IFERROR(MAX(0,MIN(10,ROUND(IF('Council Entry'!AN$7="Decrease Risk",10-10*((IF('Council Entry'!AN$4="Logarithm",LN(0.001+IF(AND(ISNUMBER('Council Entry'!AN$8),ISNUMBER('Council Entry'!AN$9)),MAX(MIN('Council Entry'!AN11,'Council Entry'!AN$9),'Council Entry'!AN$8),'Council Entry'!AN11)),IF('Council Entry'!AN$4="Exponential",EXP(IF(AND(ISNUMBER('Council Entry'!AN$8),ISNUMBER('Council Entry'!AN$9)),MAX(MIN('Council Entry'!AN11,'Council Entry'!AN$9),'Council Entry'!AN$8),'Council Entry'!AN11)),IF(AND(ISNUMBER('Council Entry'!AN$8),ISNUMBER('Council Entry'!AN$9)),MAX(MIN('Council Entry'!AN11,'Council Entry'!AN$9),'Council Entry'!AN$8),'Council Entry'!AN11))))-'Council Entry'!AN$5)/('Council Entry'!AN$6-'Council Entry'!AN$5),10*((IF('Council Entry'!AN$4="Logarithm",LN(0.001+IF(AND(ISNUMBER('Council Entry'!AN$8),ISNUMBER('Council Entry'!AN$9)),MAX(MIN('Council Entry'!AN11,'Council Entry'!AN$9),'Council Entry'!AN$8),'Council Entry'!AN11)),IF('Council Entry'!AN$4="Exponential",EXP(IF(AND(ISNUMBER('Council Entry'!AN$8),ISNUMBER('Council Entry'!AN$9)),MAX(MIN('Council Entry'!AN11,'Council Entry'!AN$9),'Council Entry'!AN$8),'Council Entry'!AN11)),IF(AND(ISNUMBER('Council Entry'!AN$8),ISNUMBER('Council Entry'!AN$9)),MAX(MIN('Council Entry'!AN11,'Council Entry'!AN$9),'Council Entry'!AN$8),'Council Entry'!AN11))))-'Council Entry'!AN$5)/('Council Entry'!AN$6-'Council Entry'!AN$5)),1))),"No data"))</f>
        <v/>
      </c>
      <c r="AO11" s="13">
        <f>IF('Council Entry'!AO11="","",IFERROR(MAX(0,MIN(10,ROUND(IF('Council Entry'!AO$7="Decrease Risk",10-10*((IF('Council Entry'!AO$4="Logarithm",LN(0.001+IF(AND(ISNUMBER('Council Entry'!AO$8),ISNUMBER('Council Entry'!AO$9)),MAX(MIN('Council Entry'!AO11,'Council Entry'!AO$9),'Council Entry'!AO$8),'Council Entry'!AO11)),IF('Council Entry'!AO$4="Exponential",EXP(IF(AND(ISNUMBER('Council Entry'!AO$8),ISNUMBER('Council Entry'!AO$9)),MAX(MIN('Council Entry'!AO11,'Council Entry'!AO$9),'Council Entry'!AO$8),'Council Entry'!AO11)),IF(AND(ISNUMBER('Council Entry'!AO$8),ISNUMBER('Council Entry'!AO$9)),MAX(MIN('Council Entry'!AO11,'Council Entry'!AO$9),'Council Entry'!AO$8),'Council Entry'!AO11))))-'Council Entry'!AO$5)/('Council Entry'!AO$6-'Council Entry'!AO$5),10*((IF('Council Entry'!AO$4="Logarithm",LN(0.001+IF(AND(ISNUMBER('Council Entry'!AO$8),ISNUMBER('Council Entry'!AO$9)),MAX(MIN('Council Entry'!AO11,'Council Entry'!AO$9),'Council Entry'!AO$8),'Council Entry'!AO11)),IF('Council Entry'!AO$4="Exponential",EXP(IF(AND(ISNUMBER('Council Entry'!AO$8),ISNUMBER('Council Entry'!AO$9)),MAX(MIN('Council Entry'!AO11,'Council Entry'!AO$9),'Council Entry'!AO$8),'Council Entry'!AO11)),IF(AND(ISNUMBER('Council Entry'!AO$8),ISNUMBER('Council Entry'!AO$9)),MAX(MIN('Council Entry'!AO11,'Council Entry'!AO$9),'Council Entry'!AO$8),'Council Entry'!AO11))))-'Council Entry'!AO$5)/('Council Entry'!AO$6-'Council Entry'!AO$5)),1))),"No data"))</f>
        <v/>
      </c>
      <c r="AP11" s="13">
        <f>IF('Council Entry'!AP11="","",IFERROR(MAX(0,MIN(10,ROUND(IF('Council Entry'!AP$7="Decrease Risk",10-10*((IF('Council Entry'!AP$4="Logarithm",LN(0.001+IF(AND(ISNUMBER('Council Entry'!AP$8),ISNUMBER('Council Entry'!AP$9)),MAX(MIN('Council Entry'!AP11,'Council Entry'!AP$9),'Council Entry'!AP$8),'Council Entry'!AP11)),IF('Council Entry'!AP$4="Exponential",EXP(IF(AND(ISNUMBER('Council Entry'!AP$8),ISNUMBER('Council Entry'!AP$9)),MAX(MIN('Council Entry'!AP11,'Council Entry'!AP$9),'Council Entry'!AP$8),'Council Entry'!AP11)),IF(AND(ISNUMBER('Council Entry'!AP$8),ISNUMBER('Council Entry'!AP$9)),MAX(MIN('Council Entry'!AP11,'Council Entry'!AP$9),'Council Entry'!AP$8),'Council Entry'!AP11))))-'Council Entry'!AP$5)/('Council Entry'!AP$6-'Council Entry'!AP$5),10*((IF('Council Entry'!AP$4="Logarithm",LN(0.001+IF(AND(ISNUMBER('Council Entry'!AP$8),ISNUMBER('Council Entry'!AP$9)),MAX(MIN('Council Entry'!AP11,'Council Entry'!AP$9),'Council Entry'!AP$8),'Council Entry'!AP11)),IF('Council Entry'!AP$4="Exponential",EXP(IF(AND(ISNUMBER('Council Entry'!AP$8),ISNUMBER('Council Entry'!AP$9)),MAX(MIN('Council Entry'!AP11,'Council Entry'!AP$9),'Council Entry'!AP$8),'Council Entry'!AP11)),IF(AND(ISNUMBER('Council Entry'!AP$8),ISNUMBER('Council Entry'!AP$9)),MAX(MIN('Council Entry'!AP11,'Council Entry'!AP$9),'Council Entry'!AP$8),'Council Entry'!AP11))))-'Council Entry'!AP$5)/('Council Entry'!AP$6-'Council Entry'!AP$5)),1))),"No data"))</f>
        <v/>
      </c>
      <c r="AQ11" s="13">
        <f>IF('Council Entry'!AQ11="","",IFERROR(MAX(0,MIN(10,ROUND(IF('Council Entry'!AQ$7="Decrease Risk",10-10*((IF('Council Entry'!AQ$4="Logarithm",LN(0.001+IF(AND(ISNUMBER('Council Entry'!AQ$8),ISNUMBER('Council Entry'!AQ$9)),MAX(MIN('Council Entry'!AQ11,'Council Entry'!AQ$9),'Council Entry'!AQ$8),'Council Entry'!AQ11)),IF('Council Entry'!AQ$4="Exponential",EXP(IF(AND(ISNUMBER('Council Entry'!AQ$8),ISNUMBER('Council Entry'!AQ$9)),MAX(MIN('Council Entry'!AQ11,'Council Entry'!AQ$9),'Council Entry'!AQ$8),'Council Entry'!AQ11)),IF(AND(ISNUMBER('Council Entry'!AQ$8),ISNUMBER('Council Entry'!AQ$9)),MAX(MIN('Council Entry'!AQ11,'Council Entry'!AQ$9),'Council Entry'!AQ$8),'Council Entry'!AQ11))))-'Council Entry'!AQ$5)/('Council Entry'!AQ$6-'Council Entry'!AQ$5),10*((IF('Council Entry'!AQ$4="Logarithm",LN(0.001+IF(AND(ISNUMBER('Council Entry'!AQ$8),ISNUMBER('Council Entry'!AQ$9)),MAX(MIN('Council Entry'!AQ11,'Council Entry'!AQ$9),'Council Entry'!AQ$8),'Council Entry'!AQ11)),IF('Council Entry'!AQ$4="Exponential",EXP(IF(AND(ISNUMBER('Council Entry'!AQ$8),ISNUMBER('Council Entry'!AQ$9)),MAX(MIN('Council Entry'!AQ11,'Council Entry'!AQ$9),'Council Entry'!AQ$8),'Council Entry'!AQ11)),IF(AND(ISNUMBER('Council Entry'!AQ$8),ISNUMBER('Council Entry'!AQ$9)),MAX(MIN('Council Entry'!AQ11,'Council Entry'!AQ$9),'Council Entry'!AQ$8),'Council Entry'!AQ11))))-'Council Entry'!AQ$5)/('Council Entry'!AQ$6-'Council Entry'!AQ$5)),1))),"No data"))</f>
        <v/>
      </c>
      <c r="AR11" s="13">
        <f>IF('Council Entry'!AR11="","",IFERROR(MAX(0,MIN(10,ROUND(IF('Council Entry'!AR$7="Decrease Risk",10-10*((IF('Council Entry'!AR$4="Logarithm",LN(0.001+IF(AND(ISNUMBER('Council Entry'!AR$8),ISNUMBER('Council Entry'!AR$9)),MAX(MIN('Council Entry'!AR11,'Council Entry'!AR$9),'Council Entry'!AR$8),'Council Entry'!AR11)),IF('Council Entry'!AR$4="Exponential",EXP(IF(AND(ISNUMBER('Council Entry'!AR$8),ISNUMBER('Council Entry'!AR$9)),MAX(MIN('Council Entry'!AR11,'Council Entry'!AR$9),'Council Entry'!AR$8),'Council Entry'!AR11)),IF(AND(ISNUMBER('Council Entry'!AR$8),ISNUMBER('Council Entry'!AR$9)),MAX(MIN('Council Entry'!AR11,'Council Entry'!AR$9),'Council Entry'!AR$8),'Council Entry'!AR11))))-'Council Entry'!AR$5)/('Council Entry'!AR$6-'Council Entry'!AR$5),10*((IF('Council Entry'!AR$4="Logarithm",LN(0.001+IF(AND(ISNUMBER('Council Entry'!AR$8),ISNUMBER('Council Entry'!AR$9)),MAX(MIN('Council Entry'!AR11,'Council Entry'!AR$9),'Council Entry'!AR$8),'Council Entry'!AR11)),IF('Council Entry'!AR$4="Exponential",EXP(IF(AND(ISNUMBER('Council Entry'!AR$8),ISNUMBER('Council Entry'!AR$9)),MAX(MIN('Council Entry'!AR11,'Council Entry'!AR$9),'Council Entry'!AR$8),'Council Entry'!AR11)),IF(AND(ISNUMBER('Council Entry'!AR$8),ISNUMBER('Council Entry'!AR$9)),MAX(MIN('Council Entry'!AR11,'Council Entry'!AR$9),'Council Entry'!AR$8),'Council Entry'!AR11))))-'Council Entry'!AR$5)/('Council Entry'!AR$6-'Council Entry'!AR$5)),1))),"No data"))</f>
        <v/>
      </c>
      <c r="AS11" s="13">
        <f>IF('Council Entry'!AS11="","",IFERROR(MAX(0,MIN(10,ROUND(IF('Council Entry'!AS$7="Decrease Risk",10-10*((IF('Council Entry'!AS$4="Logarithm",LN(0.001+IF(AND(ISNUMBER('Council Entry'!AS$8),ISNUMBER('Council Entry'!AS$9)),MAX(MIN('Council Entry'!AS11,'Council Entry'!AS$9),'Council Entry'!AS$8),'Council Entry'!AS11)),IF('Council Entry'!AS$4="Exponential",EXP(IF(AND(ISNUMBER('Council Entry'!AS$8),ISNUMBER('Council Entry'!AS$9)),MAX(MIN('Council Entry'!AS11,'Council Entry'!AS$9),'Council Entry'!AS$8),'Council Entry'!AS11)),IF(AND(ISNUMBER('Council Entry'!AS$8),ISNUMBER('Council Entry'!AS$9)),MAX(MIN('Council Entry'!AS11,'Council Entry'!AS$9),'Council Entry'!AS$8),'Council Entry'!AS11))))-'Council Entry'!AS$5)/('Council Entry'!AS$6-'Council Entry'!AS$5),10*((IF('Council Entry'!AS$4="Logarithm",LN(0.001+IF(AND(ISNUMBER('Council Entry'!AS$8),ISNUMBER('Council Entry'!AS$9)),MAX(MIN('Council Entry'!AS11,'Council Entry'!AS$9),'Council Entry'!AS$8),'Council Entry'!AS11)),IF('Council Entry'!AS$4="Exponential",EXP(IF(AND(ISNUMBER('Council Entry'!AS$8),ISNUMBER('Council Entry'!AS$9)),MAX(MIN('Council Entry'!AS11,'Council Entry'!AS$9),'Council Entry'!AS$8),'Council Entry'!AS11)),IF(AND(ISNUMBER('Council Entry'!AS$8),ISNUMBER('Council Entry'!AS$9)),MAX(MIN('Council Entry'!AS11,'Council Entry'!AS$9),'Council Entry'!AS$8),'Council Entry'!AS11))))-'Council Entry'!AS$5)/('Council Entry'!AS$6-'Council Entry'!AS$5)),1))),"No data"))</f>
        <v/>
      </c>
      <c r="AT11" s="13">
        <f>IF('Council Entry'!AT11="","",IFERROR(MAX(0,MIN(10,ROUND(IF('Council Entry'!AT$7="Decrease Risk",10-10*((IF('Council Entry'!AT$4="Logarithm",LN(0.001+IF(AND(ISNUMBER('Council Entry'!AT$8),ISNUMBER('Council Entry'!AT$9)),MAX(MIN('Council Entry'!AT11,'Council Entry'!AT$9),'Council Entry'!AT$8),'Council Entry'!AT11)),IF('Council Entry'!AT$4="Exponential",EXP(IF(AND(ISNUMBER('Council Entry'!AT$8),ISNUMBER('Council Entry'!AT$9)),MAX(MIN('Council Entry'!AT11,'Council Entry'!AT$9),'Council Entry'!AT$8),'Council Entry'!AT11)),IF(AND(ISNUMBER('Council Entry'!AT$8),ISNUMBER('Council Entry'!AT$9)),MAX(MIN('Council Entry'!AT11,'Council Entry'!AT$9),'Council Entry'!AT$8),'Council Entry'!AT11))))-'Council Entry'!AT$5)/('Council Entry'!AT$6-'Council Entry'!AT$5),10*((IF('Council Entry'!AT$4="Logarithm",LN(0.001+IF(AND(ISNUMBER('Council Entry'!AT$8),ISNUMBER('Council Entry'!AT$9)),MAX(MIN('Council Entry'!AT11,'Council Entry'!AT$9),'Council Entry'!AT$8),'Council Entry'!AT11)),IF('Council Entry'!AT$4="Exponential",EXP(IF(AND(ISNUMBER('Council Entry'!AT$8),ISNUMBER('Council Entry'!AT$9)),MAX(MIN('Council Entry'!AT11,'Council Entry'!AT$9),'Council Entry'!AT$8),'Council Entry'!AT11)),IF(AND(ISNUMBER('Council Entry'!AT$8),ISNUMBER('Council Entry'!AT$9)),MAX(MIN('Council Entry'!AT11,'Council Entry'!AT$9),'Council Entry'!AT$8),'Council Entry'!AT11))))-'Council Entry'!AT$5)/('Council Entry'!AT$6-'Council Entry'!AT$5)),1))),"No data"))</f>
        <v/>
      </c>
      <c r="AU11" s="13">
        <f>IF('Council Entry'!AU11="","",IFERROR(MAX(0,MIN(10,ROUND(IF('Council Entry'!AU$7="Decrease Risk",10-10*((IF('Council Entry'!AU$4="Logarithm",LN(0.001+IF(AND(ISNUMBER('Council Entry'!AU$8),ISNUMBER('Council Entry'!AU$9)),MAX(MIN('Council Entry'!AU11,'Council Entry'!AU$9),'Council Entry'!AU$8),'Council Entry'!AU11)),IF('Council Entry'!AU$4="Exponential",EXP(IF(AND(ISNUMBER('Council Entry'!AU$8),ISNUMBER('Council Entry'!AU$9)),MAX(MIN('Council Entry'!AU11,'Council Entry'!AU$9),'Council Entry'!AU$8),'Council Entry'!AU11)),IF(AND(ISNUMBER('Council Entry'!AU$8),ISNUMBER('Council Entry'!AU$9)),MAX(MIN('Council Entry'!AU11,'Council Entry'!AU$9),'Council Entry'!AU$8),'Council Entry'!AU11))))-'Council Entry'!AU$5)/('Council Entry'!AU$6-'Council Entry'!AU$5),10*((IF('Council Entry'!AU$4="Logarithm",LN(0.001+IF(AND(ISNUMBER('Council Entry'!AU$8),ISNUMBER('Council Entry'!AU$9)),MAX(MIN('Council Entry'!AU11,'Council Entry'!AU$9),'Council Entry'!AU$8),'Council Entry'!AU11)),IF('Council Entry'!AU$4="Exponential",EXP(IF(AND(ISNUMBER('Council Entry'!AU$8),ISNUMBER('Council Entry'!AU$9)),MAX(MIN('Council Entry'!AU11,'Council Entry'!AU$9),'Council Entry'!AU$8),'Council Entry'!AU11)),IF(AND(ISNUMBER('Council Entry'!AU$8),ISNUMBER('Council Entry'!AU$9)),MAX(MIN('Council Entry'!AU11,'Council Entry'!AU$9),'Council Entry'!AU$8),'Council Entry'!AU11))))-'Council Entry'!AU$5)/('Council Entry'!AU$6-'Council Entry'!AU$5)),1))),"No data"))</f>
        <v/>
      </c>
      <c r="AV11" s="13">
        <f>IF('Council Entry'!AV11="","",IFERROR(MAX(0,MIN(10,ROUND(IF('Council Entry'!AV$7="Decrease Risk",10-10*((IF('Council Entry'!AV$4="Logarithm",LN(0.001+IF(AND(ISNUMBER('Council Entry'!AV$8),ISNUMBER('Council Entry'!AV$9)),MAX(MIN('Council Entry'!AV11,'Council Entry'!AV$9),'Council Entry'!AV$8),'Council Entry'!AV11)),IF('Council Entry'!AV$4="Exponential",EXP(IF(AND(ISNUMBER('Council Entry'!AV$8),ISNUMBER('Council Entry'!AV$9)),MAX(MIN('Council Entry'!AV11,'Council Entry'!AV$9),'Council Entry'!AV$8),'Council Entry'!AV11)),IF(AND(ISNUMBER('Council Entry'!AV$8),ISNUMBER('Council Entry'!AV$9)),MAX(MIN('Council Entry'!AV11,'Council Entry'!AV$9),'Council Entry'!AV$8),'Council Entry'!AV11))))-'Council Entry'!AV$5)/('Council Entry'!AV$6-'Council Entry'!AV$5),10*((IF('Council Entry'!AV$4="Logarithm",LN(0.001+IF(AND(ISNUMBER('Council Entry'!AV$8),ISNUMBER('Council Entry'!AV$9)),MAX(MIN('Council Entry'!AV11,'Council Entry'!AV$9),'Council Entry'!AV$8),'Council Entry'!AV11)),IF('Council Entry'!AV$4="Exponential",EXP(IF(AND(ISNUMBER('Council Entry'!AV$8),ISNUMBER('Council Entry'!AV$9)),MAX(MIN('Council Entry'!AV11,'Council Entry'!AV$9),'Council Entry'!AV$8),'Council Entry'!AV11)),IF(AND(ISNUMBER('Council Entry'!AV$8),ISNUMBER('Council Entry'!AV$9)),MAX(MIN('Council Entry'!AV11,'Council Entry'!AV$9),'Council Entry'!AV$8),'Council Entry'!AV11))))-'Council Entry'!AV$5)/('Council Entry'!AV$6-'Council Entry'!AV$5)),1))),"No data"))</f>
        <v/>
      </c>
      <c r="AW11" s="13">
        <f>IF('Council Entry'!AW11="","",IFERROR(MAX(0,MIN(10,ROUND(IF('Council Entry'!AW$7="Decrease Risk",10-10*((IF('Council Entry'!AW$4="Logarithm",LN(0.001+IF(AND(ISNUMBER('Council Entry'!AW$8),ISNUMBER('Council Entry'!AW$9)),MAX(MIN('Council Entry'!AW11,'Council Entry'!AW$9),'Council Entry'!AW$8),'Council Entry'!AW11)),IF('Council Entry'!AW$4="Exponential",EXP(IF(AND(ISNUMBER('Council Entry'!AW$8),ISNUMBER('Council Entry'!AW$9)),MAX(MIN('Council Entry'!AW11,'Council Entry'!AW$9),'Council Entry'!AW$8),'Council Entry'!AW11)),IF(AND(ISNUMBER('Council Entry'!AW$8),ISNUMBER('Council Entry'!AW$9)),MAX(MIN('Council Entry'!AW11,'Council Entry'!AW$9),'Council Entry'!AW$8),'Council Entry'!AW11))))-'Council Entry'!AW$5)/('Council Entry'!AW$6-'Council Entry'!AW$5),10*((IF('Council Entry'!AW$4="Logarithm",LN(0.001+IF(AND(ISNUMBER('Council Entry'!AW$8),ISNUMBER('Council Entry'!AW$9)),MAX(MIN('Council Entry'!AW11,'Council Entry'!AW$9),'Council Entry'!AW$8),'Council Entry'!AW11)),IF('Council Entry'!AW$4="Exponential",EXP(IF(AND(ISNUMBER('Council Entry'!AW$8),ISNUMBER('Council Entry'!AW$9)),MAX(MIN('Council Entry'!AW11,'Council Entry'!AW$9),'Council Entry'!AW$8),'Council Entry'!AW11)),IF(AND(ISNUMBER('Council Entry'!AW$8),ISNUMBER('Council Entry'!AW$9)),MAX(MIN('Council Entry'!AW11,'Council Entry'!AW$9),'Council Entry'!AW$8),'Council Entry'!AW11))))-'Council Entry'!AW$5)/('Council Entry'!AW$6-'Council Entry'!AW$5)),1))),"No data"))</f>
        <v/>
      </c>
      <c r="AX11" s="13">
        <f>IF('Council Entry'!AX11="","",IFERROR(MAX(0,MIN(10,ROUND(IF('Council Entry'!AX$7="Decrease Risk",10-10*((IF('Council Entry'!AX$4="Logarithm",LN(0.001+IF(AND(ISNUMBER('Council Entry'!AX$8),ISNUMBER('Council Entry'!AX$9)),MAX(MIN('Council Entry'!AX11,'Council Entry'!AX$9),'Council Entry'!AX$8),'Council Entry'!AX11)),IF('Council Entry'!AX$4="Exponential",EXP(IF(AND(ISNUMBER('Council Entry'!AX$8),ISNUMBER('Council Entry'!AX$9)),MAX(MIN('Council Entry'!AX11,'Council Entry'!AX$9),'Council Entry'!AX$8),'Council Entry'!AX11)),IF(AND(ISNUMBER('Council Entry'!AX$8),ISNUMBER('Council Entry'!AX$9)),MAX(MIN('Council Entry'!AX11,'Council Entry'!AX$9),'Council Entry'!AX$8),'Council Entry'!AX11))))-'Council Entry'!AX$5)/('Council Entry'!AX$6-'Council Entry'!AX$5),10*((IF('Council Entry'!AX$4="Logarithm",LN(0.001+IF(AND(ISNUMBER('Council Entry'!AX$8),ISNUMBER('Council Entry'!AX$9)),MAX(MIN('Council Entry'!AX11,'Council Entry'!AX$9),'Council Entry'!AX$8),'Council Entry'!AX11)),IF('Council Entry'!AX$4="Exponential",EXP(IF(AND(ISNUMBER('Council Entry'!AX$8),ISNUMBER('Council Entry'!AX$9)),MAX(MIN('Council Entry'!AX11,'Council Entry'!AX$9),'Council Entry'!AX$8),'Council Entry'!AX11)),IF(AND(ISNUMBER('Council Entry'!AX$8),ISNUMBER('Council Entry'!AX$9)),MAX(MIN('Council Entry'!AX11,'Council Entry'!AX$9),'Council Entry'!AX$8),'Council Entry'!AX11))))-'Council Entry'!AX$5)/('Council Entry'!AX$6-'Council Entry'!AX$5)),1))),"No data"))</f>
        <v/>
      </c>
      <c r="AY11" s="13">
        <f>IF('Council Entry'!AY11="","",IFERROR(MAX(0,MIN(10,ROUND(IF('Council Entry'!AY$7="Decrease Risk",10-10*((IF('Council Entry'!AY$4="Logarithm",LN(0.001+IF(AND(ISNUMBER('Council Entry'!AY$8),ISNUMBER('Council Entry'!AY$9)),MAX(MIN('Council Entry'!AY11,'Council Entry'!AY$9),'Council Entry'!AY$8),'Council Entry'!AY11)),IF('Council Entry'!AY$4="Exponential",EXP(IF(AND(ISNUMBER('Council Entry'!AY$8),ISNUMBER('Council Entry'!AY$9)),MAX(MIN('Council Entry'!AY11,'Council Entry'!AY$9),'Council Entry'!AY$8),'Council Entry'!AY11)),IF(AND(ISNUMBER('Council Entry'!AY$8),ISNUMBER('Council Entry'!AY$9)),MAX(MIN('Council Entry'!AY11,'Council Entry'!AY$9),'Council Entry'!AY$8),'Council Entry'!AY11))))-'Council Entry'!AY$5)/('Council Entry'!AY$6-'Council Entry'!AY$5),10*((IF('Council Entry'!AY$4="Logarithm",LN(0.001+IF(AND(ISNUMBER('Council Entry'!AY$8),ISNUMBER('Council Entry'!AY$9)),MAX(MIN('Council Entry'!AY11,'Council Entry'!AY$9),'Council Entry'!AY$8),'Council Entry'!AY11)),IF('Council Entry'!AY$4="Exponential",EXP(IF(AND(ISNUMBER('Council Entry'!AY$8),ISNUMBER('Council Entry'!AY$9)),MAX(MIN('Council Entry'!AY11,'Council Entry'!AY$9),'Council Entry'!AY$8),'Council Entry'!AY11)),IF(AND(ISNUMBER('Council Entry'!AY$8),ISNUMBER('Council Entry'!AY$9)),MAX(MIN('Council Entry'!AY11,'Council Entry'!AY$9),'Council Entry'!AY$8),'Council Entry'!AY11))))-'Council Entry'!AY$5)/('Council Entry'!AY$6-'Council Entry'!AY$5)),1))),"No data"))</f>
        <v/>
      </c>
      <c r="AZ11" s="13">
        <f>IF('Council Entry'!AZ11="","",IFERROR(MAX(0,MIN(10,ROUND(IF('Council Entry'!AZ$7="Decrease Risk",10-10*((IF('Council Entry'!AZ$4="Logarithm",LN(0.001+IF(AND(ISNUMBER('Council Entry'!AZ$8),ISNUMBER('Council Entry'!AZ$9)),MAX(MIN('Council Entry'!AZ11,'Council Entry'!AZ$9),'Council Entry'!AZ$8),'Council Entry'!AZ11)),IF('Council Entry'!AZ$4="Exponential",EXP(IF(AND(ISNUMBER('Council Entry'!AZ$8),ISNUMBER('Council Entry'!AZ$9)),MAX(MIN('Council Entry'!AZ11,'Council Entry'!AZ$9),'Council Entry'!AZ$8),'Council Entry'!AZ11)),IF(AND(ISNUMBER('Council Entry'!AZ$8),ISNUMBER('Council Entry'!AZ$9)),MAX(MIN('Council Entry'!AZ11,'Council Entry'!AZ$9),'Council Entry'!AZ$8),'Council Entry'!AZ11))))-'Council Entry'!AZ$5)/('Council Entry'!AZ$6-'Council Entry'!AZ$5),10*((IF('Council Entry'!AZ$4="Logarithm",LN(0.001+IF(AND(ISNUMBER('Council Entry'!AZ$8),ISNUMBER('Council Entry'!AZ$9)),MAX(MIN('Council Entry'!AZ11,'Council Entry'!AZ$9),'Council Entry'!AZ$8),'Council Entry'!AZ11)),IF('Council Entry'!AZ$4="Exponential",EXP(IF(AND(ISNUMBER('Council Entry'!AZ$8),ISNUMBER('Council Entry'!AZ$9)),MAX(MIN('Council Entry'!AZ11,'Council Entry'!AZ$9),'Council Entry'!AZ$8),'Council Entry'!AZ11)),IF(AND(ISNUMBER('Council Entry'!AZ$8),ISNUMBER('Council Entry'!AZ$9)),MAX(MIN('Council Entry'!AZ11,'Council Entry'!AZ$9),'Council Entry'!AZ$8),'Council Entry'!AZ11))))-'Council Entry'!AZ$5)/('Council Entry'!AZ$6-'Council Entry'!AZ$5)),1))),"No data"))</f>
        <v/>
      </c>
      <c r="BA11" s="13">
        <f>IF('Council Entry'!BA11="","",IFERROR(MAX(0,MIN(10,ROUND(IF('Council Entry'!BA$7="Decrease Risk",10-10*((IF('Council Entry'!BA$4="Logarithm",LN(0.001+IF(AND(ISNUMBER('Council Entry'!BA$8),ISNUMBER('Council Entry'!BA$9)),MAX(MIN('Council Entry'!BA11,'Council Entry'!BA$9),'Council Entry'!BA$8),'Council Entry'!BA11)),IF('Council Entry'!BA$4="Exponential",EXP(IF(AND(ISNUMBER('Council Entry'!BA$8),ISNUMBER('Council Entry'!BA$9)),MAX(MIN('Council Entry'!BA11,'Council Entry'!BA$9),'Council Entry'!BA$8),'Council Entry'!BA11)),IF(AND(ISNUMBER('Council Entry'!BA$8),ISNUMBER('Council Entry'!BA$9)),MAX(MIN('Council Entry'!BA11,'Council Entry'!BA$9),'Council Entry'!BA$8),'Council Entry'!BA11))))-'Council Entry'!BA$5)/('Council Entry'!BA$6-'Council Entry'!BA$5),10*((IF('Council Entry'!BA$4="Logarithm",LN(0.001+IF(AND(ISNUMBER('Council Entry'!BA$8),ISNUMBER('Council Entry'!BA$9)),MAX(MIN('Council Entry'!BA11,'Council Entry'!BA$9),'Council Entry'!BA$8),'Council Entry'!BA11)),IF('Council Entry'!BA$4="Exponential",EXP(IF(AND(ISNUMBER('Council Entry'!BA$8),ISNUMBER('Council Entry'!BA$9)),MAX(MIN('Council Entry'!BA11,'Council Entry'!BA$9),'Council Entry'!BA$8),'Council Entry'!BA11)),IF(AND(ISNUMBER('Council Entry'!BA$8),ISNUMBER('Council Entry'!BA$9)),MAX(MIN('Council Entry'!BA11,'Council Entry'!BA$9),'Council Entry'!BA$8),'Council Entry'!BA11))))-'Council Entry'!BA$5)/('Council Entry'!BA$6-'Council Entry'!BA$5)),1))),"No data"))</f>
        <v/>
      </c>
      <c r="BB11" s="13">
        <f>IF('Council Entry'!BB11="","",IFERROR(MAX(0,MIN(10,ROUND(IF('Council Entry'!BB$7="Decrease Risk",10-10*((IF('Council Entry'!BB$4="Logarithm",LN(0.001+IF(AND(ISNUMBER('Council Entry'!BB$8),ISNUMBER('Council Entry'!BB$9)),MAX(MIN('Council Entry'!BB11,'Council Entry'!BB$9),'Council Entry'!BB$8),'Council Entry'!BB11)),IF('Council Entry'!BB$4="Exponential",EXP(IF(AND(ISNUMBER('Council Entry'!BB$8),ISNUMBER('Council Entry'!BB$9)),MAX(MIN('Council Entry'!BB11,'Council Entry'!BB$9),'Council Entry'!BB$8),'Council Entry'!BB11)),IF(AND(ISNUMBER('Council Entry'!BB$8),ISNUMBER('Council Entry'!BB$9)),MAX(MIN('Council Entry'!BB11,'Council Entry'!BB$9),'Council Entry'!BB$8),'Council Entry'!BB11))))-'Council Entry'!BB$5)/('Council Entry'!BB$6-'Council Entry'!BB$5),10*((IF('Council Entry'!BB$4="Logarithm",LN(0.001+IF(AND(ISNUMBER('Council Entry'!BB$8),ISNUMBER('Council Entry'!BB$9)),MAX(MIN('Council Entry'!BB11,'Council Entry'!BB$9),'Council Entry'!BB$8),'Council Entry'!BB11)),IF('Council Entry'!BB$4="Exponential",EXP(IF(AND(ISNUMBER('Council Entry'!BB$8),ISNUMBER('Council Entry'!BB$9)),MAX(MIN('Council Entry'!BB11,'Council Entry'!BB$9),'Council Entry'!BB$8),'Council Entry'!BB11)),IF(AND(ISNUMBER('Council Entry'!BB$8),ISNUMBER('Council Entry'!BB$9)),MAX(MIN('Council Entry'!BB11,'Council Entry'!BB$9),'Council Entry'!BB$8),'Council Entry'!BB11))))-'Council Entry'!BB$5)/('Council Entry'!BB$6-'Council Entry'!BB$5)),1))),"No data"))</f>
        <v/>
      </c>
      <c r="BC11" s="13">
        <f>IF('Council Entry'!BC11="","",IFERROR(MAX(0,MIN(10,ROUND(IF('Council Entry'!BC$7="Decrease Risk",10-10*((IF('Council Entry'!BC$4="Logarithm",LN(0.001+IF(AND(ISNUMBER('Council Entry'!BC$8),ISNUMBER('Council Entry'!BC$9)),MAX(MIN('Council Entry'!BC11,'Council Entry'!BC$9),'Council Entry'!BC$8),'Council Entry'!BC11)),IF('Council Entry'!BC$4="Exponential",EXP(IF(AND(ISNUMBER('Council Entry'!BC$8),ISNUMBER('Council Entry'!BC$9)),MAX(MIN('Council Entry'!BC11,'Council Entry'!BC$9),'Council Entry'!BC$8),'Council Entry'!BC11)),IF(AND(ISNUMBER('Council Entry'!BC$8),ISNUMBER('Council Entry'!BC$9)),MAX(MIN('Council Entry'!BC11,'Council Entry'!BC$9),'Council Entry'!BC$8),'Council Entry'!BC11))))-'Council Entry'!BC$5)/('Council Entry'!BC$6-'Council Entry'!BC$5),10*((IF('Council Entry'!BC$4="Logarithm",LN(0.001+IF(AND(ISNUMBER('Council Entry'!BC$8),ISNUMBER('Council Entry'!BC$9)),MAX(MIN('Council Entry'!BC11,'Council Entry'!BC$9),'Council Entry'!BC$8),'Council Entry'!BC11)),IF('Council Entry'!BC$4="Exponential",EXP(IF(AND(ISNUMBER('Council Entry'!BC$8),ISNUMBER('Council Entry'!BC$9)),MAX(MIN('Council Entry'!BC11,'Council Entry'!BC$9),'Council Entry'!BC$8),'Council Entry'!BC11)),IF(AND(ISNUMBER('Council Entry'!BC$8),ISNUMBER('Council Entry'!BC$9)),MAX(MIN('Council Entry'!BC11,'Council Entry'!BC$9),'Council Entry'!BC$8),'Council Entry'!BC11))))-'Council Entry'!BC$5)/('Council Entry'!BC$6-'Council Entry'!BC$5)),1))),"No data"))</f>
        <v/>
      </c>
      <c r="BD11" s="13">
        <f>IF('Council Entry'!BD11="","",IFERROR(MAX(0,MIN(10,ROUND(IF('Council Entry'!BD$7="Decrease Risk",10-10*((IF('Council Entry'!BD$4="Logarithm",LN(0.001+IF(AND(ISNUMBER('Council Entry'!BD$8),ISNUMBER('Council Entry'!BD$9)),MAX(MIN('Council Entry'!BD11,'Council Entry'!BD$9),'Council Entry'!BD$8),'Council Entry'!BD11)),IF('Council Entry'!BD$4="Exponential",EXP(IF(AND(ISNUMBER('Council Entry'!BD$8),ISNUMBER('Council Entry'!BD$9)),MAX(MIN('Council Entry'!BD11,'Council Entry'!BD$9),'Council Entry'!BD$8),'Council Entry'!BD11)),IF(AND(ISNUMBER('Council Entry'!BD$8),ISNUMBER('Council Entry'!BD$9)),MAX(MIN('Council Entry'!BD11,'Council Entry'!BD$9),'Council Entry'!BD$8),'Council Entry'!BD11))))-'Council Entry'!BD$5)/('Council Entry'!BD$6-'Council Entry'!BD$5),10*((IF('Council Entry'!BD$4="Logarithm",LN(0.001+IF(AND(ISNUMBER('Council Entry'!BD$8),ISNUMBER('Council Entry'!BD$9)),MAX(MIN('Council Entry'!BD11,'Council Entry'!BD$9),'Council Entry'!BD$8),'Council Entry'!BD11)),IF('Council Entry'!BD$4="Exponential",EXP(IF(AND(ISNUMBER('Council Entry'!BD$8),ISNUMBER('Council Entry'!BD$9)),MAX(MIN('Council Entry'!BD11,'Council Entry'!BD$9),'Council Entry'!BD$8),'Council Entry'!BD11)),IF(AND(ISNUMBER('Council Entry'!BD$8),ISNUMBER('Council Entry'!BD$9)),MAX(MIN('Council Entry'!BD11,'Council Entry'!BD$9),'Council Entry'!BD$8),'Council Entry'!BD11))))-'Council Entry'!BD$5)/('Council Entry'!BD$6-'Council Entry'!BD$5)),1))),"No data"))</f>
        <v/>
      </c>
    </row>
    <row r="12">
      <c r="A12" t="inlineStr">
        <is>
          <t>Arusha</t>
        </is>
      </c>
      <c r="B12" t="inlineStr">
        <is>
          <t>Arusha District</t>
        </is>
      </c>
      <c r="C12" t="inlineStr">
        <is>
          <t>C011</t>
        </is>
      </c>
      <c r="D12" s="13">
        <f>IF('Council Entry'!D12="","",IFERROR(MAX(0,MIN(10,ROUND(IF('Council Entry'!D$7="Decrease Risk",10-10*((IF('Council Entry'!D$4="Logarithm",LN(0.001+IF(AND(ISNUMBER('Council Entry'!D$8),ISNUMBER('Council Entry'!D$9)),MAX(MIN('Council Entry'!D12,'Council Entry'!D$9),'Council Entry'!D$8),'Council Entry'!D12)),IF('Council Entry'!D$4="Exponential",EXP(IF(AND(ISNUMBER('Council Entry'!D$8),ISNUMBER('Council Entry'!D$9)),MAX(MIN('Council Entry'!D12,'Council Entry'!D$9),'Council Entry'!D$8),'Council Entry'!D12)),IF(AND(ISNUMBER('Council Entry'!D$8),ISNUMBER('Council Entry'!D$9)),MAX(MIN('Council Entry'!D12,'Council Entry'!D$9),'Council Entry'!D$8),'Council Entry'!D12))))-'Council Entry'!D$5)/('Council Entry'!D$6-'Council Entry'!D$5),10*((IF('Council Entry'!D$4="Logarithm",LN(0.001+IF(AND(ISNUMBER('Council Entry'!D$8),ISNUMBER('Council Entry'!D$9)),MAX(MIN('Council Entry'!D12,'Council Entry'!D$9),'Council Entry'!D$8),'Council Entry'!D12)),IF('Council Entry'!D$4="Exponential",EXP(IF(AND(ISNUMBER('Council Entry'!D$8),ISNUMBER('Council Entry'!D$9)),MAX(MIN('Council Entry'!D12,'Council Entry'!D$9),'Council Entry'!D$8),'Council Entry'!D12)),IF(AND(ISNUMBER('Council Entry'!D$8),ISNUMBER('Council Entry'!D$9)),MAX(MIN('Council Entry'!D12,'Council Entry'!D$9),'Council Entry'!D$8),'Council Entry'!D12))))-'Council Entry'!D$5)/('Council Entry'!D$6-'Council Entry'!D$5)),1))),"No data"))</f>
        <v/>
      </c>
      <c r="E12" s="13">
        <f>IF('Council Entry'!E12="","",IFERROR(MAX(0,MIN(10,ROUND(IF('Council Entry'!E$7="Decrease Risk",10-10*((IF('Council Entry'!E$4="Logarithm",LN(0.001+IF(AND(ISNUMBER('Council Entry'!E$8),ISNUMBER('Council Entry'!E$9)),MAX(MIN('Council Entry'!E12,'Council Entry'!E$9),'Council Entry'!E$8),'Council Entry'!E12)),IF('Council Entry'!E$4="Exponential",EXP(IF(AND(ISNUMBER('Council Entry'!E$8),ISNUMBER('Council Entry'!E$9)),MAX(MIN('Council Entry'!E12,'Council Entry'!E$9),'Council Entry'!E$8),'Council Entry'!E12)),IF(AND(ISNUMBER('Council Entry'!E$8),ISNUMBER('Council Entry'!E$9)),MAX(MIN('Council Entry'!E12,'Council Entry'!E$9),'Council Entry'!E$8),'Council Entry'!E12))))-'Council Entry'!E$5)/('Council Entry'!E$6-'Council Entry'!E$5),10*((IF('Council Entry'!E$4="Logarithm",LN(0.001+IF(AND(ISNUMBER('Council Entry'!E$8),ISNUMBER('Council Entry'!E$9)),MAX(MIN('Council Entry'!E12,'Council Entry'!E$9),'Council Entry'!E$8),'Council Entry'!E12)),IF('Council Entry'!E$4="Exponential",EXP(IF(AND(ISNUMBER('Council Entry'!E$8),ISNUMBER('Council Entry'!E$9)),MAX(MIN('Council Entry'!E12,'Council Entry'!E$9),'Council Entry'!E$8),'Council Entry'!E12)),IF(AND(ISNUMBER('Council Entry'!E$8),ISNUMBER('Council Entry'!E$9)),MAX(MIN('Council Entry'!E12,'Council Entry'!E$9),'Council Entry'!E$8),'Council Entry'!E12))))-'Council Entry'!E$5)/('Council Entry'!E$6-'Council Entry'!E$5)),1))),"No data"))</f>
        <v/>
      </c>
      <c r="F12" s="13">
        <f>IF('Council Entry'!F12="","",IFERROR(MAX(0,MIN(10,ROUND(IF('Council Entry'!F$7="Decrease Risk",10-10*((IF('Council Entry'!F$4="Logarithm",LN(0.001+IF(AND(ISNUMBER('Council Entry'!F$8),ISNUMBER('Council Entry'!F$9)),MAX(MIN('Council Entry'!F12,'Council Entry'!F$9),'Council Entry'!F$8),'Council Entry'!F12)),IF('Council Entry'!F$4="Exponential",EXP(IF(AND(ISNUMBER('Council Entry'!F$8),ISNUMBER('Council Entry'!F$9)),MAX(MIN('Council Entry'!F12,'Council Entry'!F$9),'Council Entry'!F$8),'Council Entry'!F12)),IF(AND(ISNUMBER('Council Entry'!F$8),ISNUMBER('Council Entry'!F$9)),MAX(MIN('Council Entry'!F12,'Council Entry'!F$9),'Council Entry'!F$8),'Council Entry'!F12))))-'Council Entry'!F$5)/('Council Entry'!F$6-'Council Entry'!F$5),10*((IF('Council Entry'!F$4="Logarithm",LN(0.001+IF(AND(ISNUMBER('Council Entry'!F$8),ISNUMBER('Council Entry'!F$9)),MAX(MIN('Council Entry'!F12,'Council Entry'!F$9),'Council Entry'!F$8),'Council Entry'!F12)),IF('Council Entry'!F$4="Exponential",EXP(IF(AND(ISNUMBER('Council Entry'!F$8),ISNUMBER('Council Entry'!F$9)),MAX(MIN('Council Entry'!F12,'Council Entry'!F$9),'Council Entry'!F$8),'Council Entry'!F12)),IF(AND(ISNUMBER('Council Entry'!F$8),ISNUMBER('Council Entry'!F$9)),MAX(MIN('Council Entry'!F12,'Council Entry'!F$9),'Council Entry'!F$8),'Council Entry'!F12))))-'Council Entry'!F$5)/('Council Entry'!F$6-'Council Entry'!F$5)),1))),"No data"))</f>
        <v/>
      </c>
      <c r="G12" s="13">
        <f>IF('Council Entry'!G12="","",IFERROR(MAX(0,MIN(10,ROUND(IF('Council Entry'!G$7="Decrease Risk",10-10*((IF('Council Entry'!G$4="Logarithm",LN(0.001+IF(AND(ISNUMBER('Council Entry'!G$8),ISNUMBER('Council Entry'!G$9)),MAX(MIN('Council Entry'!G12,'Council Entry'!G$9),'Council Entry'!G$8),'Council Entry'!G12)),IF('Council Entry'!G$4="Exponential",EXP(IF(AND(ISNUMBER('Council Entry'!G$8),ISNUMBER('Council Entry'!G$9)),MAX(MIN('Council Entry'!G12,'Council Entry'!G$9),'Council Entry'!G$8),'Council Entry'!G12)),IF(AND(ISNUMBER('Council Entry'!G$8),ISNUMBER('Council Entry'!G$9)),MAX(MIN('Council Entry'!G12,'Council Entry'!G$9),'Council Entry'!G$8),'Council Entry'!G12))))-'Council Entry'!G$5)/('Council Entry'!G$6-'Council Entry'!G$5),10*((IF('Council Entry'!G$4="Logarithm",LN(0.001+IF(AND(ISNUMBER('Council Entry'!G$8),ISNUMBER('Council Entry'!G$9)),MAX(MIN('Council Entry'!G12,'Council Entry'!G$9),'Council Entry'!G$8),'Council Entry'!G12)),IF('Council Entry'!G$4="Exponential",EXP(IF(AND(ISNUMBER('Council Entry'!G$8),ISNUMBER('Council Entry'!G$9)),MAX(MIN('Council Entry'!G12,'Council Entry'!G$9),'Council Entry'!G$8),'Council Entry'!G12)),IF(AND(ISNUMBER('Council Entry'!G$8),ISNUMBER('Council Entry'!G$9)),MAX(MIN('Council Entry'!G12,'Council Entry'!G$9),'Council Entry'!G$8),'Council Entry'!G12))))-'Council Entry'!G$5)/('Council Entry'!G$6-'Council Entry'!G$5)),1))),"No data"))</f>
        <v/>
      </c>
      <c r="H12" s="13">
        <f>IF('Council Entry'!H12="","",IFERROR(MAX(0,MIN(10,ROUND(IF('Council Entry'!H$7="Decrease Risk",10-10*((IF('Council Entry'!H$4="Logarithm",LN(0.001+IF(AND(ISNUMBER('Council Entry'!H$8),ISNUMBER('Council Entry'!H$9)),MAX(MIN('Council Entry'!H12,'Council Entry'!H$9),'Council Entry'!H$8),'Council Entry'!H12)),IF('Council Entry'!H$4="Exponential",EXP(IF(AND(ISNUMBER('Council Entry'!H$8),ISNUMBER('Council Entry'!H$9)),MAX(MIN('Council Entry'!H12,'Council Entry'!H$9),'Council Entry'!H$8),'Council Entry'!H12)),IF(AND(ISNUMBER('Council Entry'!H$8),ISNUMBER('Council Entry'!H$9)),MAX(MIN('Council Entry'!H12,'Council Entry'!H$9),'Council Entry'!H$8),'Council Entry'!H12))))-'Council Entry'!H$5)/('Council Entry'!H$6-'Council Entry'!H$5),10*((IF('Council Entry'!H$4="Logarithm",LN(0.001+IF(AND(ISNUMBER('Council Entry'!H$8),ISNUMBER('Council Entry'!H$9)),MAX(MIN('Council Entry'!H12,'Council Entry'!H$9),'Council Entry'!H$8),'Council Entry'!H12)),IF('Council Entry'!H$4="Exponential",EXP(IF(AND(ISNUMBER('Council Entry'!H$8),ISNUMBER('Council Entry'!H$9)),MAX(MIN('Council Entry'!H12,'Council Entry'!H$9),'Council Entry'!H$8),'Council Entry'!H12)),IF(AND(ISNUMBER('Council Entry'!H$8),ISNUMBER('Council Entry'!H$9)),MAX(MIN('Council Entry'!H12,'Council Entry'!H$9),'Council Entry'!H$8),'Council Entry'!H12))))-'Council Entry'!H$5)/('Council Entry'!H$6-'Council Entry'!H$5)),1))),"No data"))</f>
        <v/>
      </c>
      <c r="I12" s="13">
        <f>IF('Council Entry'!I12="","",IFERROR(MAX(0,MIN(10,ROUND(IF('Council Entry'!I$7="Decrease Risk",10-10*((IF('Council Entry'!I$4="Logarithm",LN(0.001+IF(AND(ISNUMBER('Council Entry'!I$8),ISNUMBER('Council Entry'!I$9)),MAX(MIN('Council Entry'!I12,'Council Entry'!I$9),'Council Entry'!I$8),'Council Entry'!I12)),IF('Council Entry'!I$4="Exponential",EXP(IF(AND(ISNUMBER('Council Entry'!I$8),ISNUMBER('Council Entry'!I$9)),MAX(MIN('Council Entry'!I12,'Council Entry'!I$9),'Council Entry'!I$8),'Council Entry'!I12)),IF(AND(ISNUMBER('Council Entry'!I$8),ISNUMBER('Council Entry'!I$9)),MAX(MIN('Council Entry'!I12,'Council Entry'!I$9),'Council Entry'!I$8),'Council Entry'!I12))))-'Council Entry'!I$5)/('Council Entry'!I$6-'Council Entry'!I$5),10*((IF('Council Entry'!I$4="Logarithm",LN(0.001+IF(AND(ISNUMBER('Council Entry'!I$8),ISNUMBER('Council Entry'!I$9)),MAX(MIN('Council Entry'!I12,'Council Entry'!I$9),'Council Entry'!I$8),'Council Entry'!I12)),IF('Council Entry'!I$4="Exponential",EXP(IF(AND(ISNUMBER('Council Entry'!I$8),ISNUMBER('Council Entry'!I$9)),MAX(MIN('Council Entry'!I12,'Council Entry'!I$9),'Council Entry'!I$8),'Council Entry'!I12)),IF(AND(ISNUMBER('Council Entry'!I$8),ISNUMBER('Council Entry'!I$9)),MAX(MIN('Council Entry'!I12,'Council Entry'!I$9),'Council Entry'!I$8),'Council Entry'!I12))))-'Council Entry'!I$5)/('Council Entry'!I$6-'Council Entry'!I$5)),1))),"No data"))</f>
        <v/>
      </c>
      <c r="J12" s="13">
        <f>IF('Council Entry'!J12="","",IFERROR(MAX(0,MIN(10,ROUND(IF('Council Entry'!J$7="Decrease Risk",10-10*((IF('Council Entry'!J$4="Logarithm",LN(0.001+IF(AND(ISNUMBER('Council Entry'!J$8),ISNUMBER('Council Entry'!J$9)),MAX(MIN('Council Entry'!J12,'Council Entry'!J$9),'Council Entry'!J$8),'Council Entry'!J12)),IF('Council Entry'!J$4="Exponential",EXP(IF(AND(ISNUMBER('Council Entry'!J$8),ISNUMBER('Council Entry'!J$9)),MAX(MIN('Council Entry'!J12,'Council Entry'!J$9),'Council Entry'!J$8),'Council Entry'!J12)),IF(AND(ISNUMBER('Council Entry'!J$8),ISNUMBER('Council Entry'!J$9)),MAX(MIN('Council Entry'!J12,'Council Entry'!J$9),'Council Entry'!J$8),'Council Entry'!J12))))-'Council Entry'!J$5)/('Council Entry'!J$6-'Council Entry'!J$5),10*((IF('Council Entry'!J$4="Logarithm",LN(0.001+IF(AND(ISNUMBER('Council Entry'!J$8),ISNUMBER('Council Entry'!J$9)),MAX(MIN('Council Entry'!J12,'Council Entry'!J$9),'Council Entry'!J$8),'Council Entry'!J12)),IF('Council Entry'!J$4="Exponential",EXP(IF(AND(ISNUMBER('Council Entry'!J$8),ISNUMBER('Council Entry'!J$9)),MAX(MIN('Council Entry'!J12,'Council Entry'!J$9),'Council Entry'!J$8),'Council Entry'!J12)),IF(AND(ISNUMBER('Council Entry'!J$8),ISNUMBER('Council Entry'!J$9)),MAX(MIN('Council Entry'!J12,'Council Entry'!J$9),'Council Entry'!J$8),'Council Entry'!J12))))-'Council Entry'!J$5)/('Council Entry'!J$6-'Council Entry'!J$5)),1))),"No data"))</f>
        <v/>
      </c>
      <c r="K12" s="13">
        <f>IF('Council Entry'!K12="","",IFERROR(MAX(0,MIN(10,ROUND(IF('Council Entry'!K$7="Decrease Risk",10-10*((IF('Council Entry'!K$4="Logarithm",LN(0.001+IF(AND(ISNUMBER('Council Entry'!K$8),ISNUMBER('Council Entry'!K$9)),MAX(MIN('Council Entry'!K12,'Council Entry'!K$9),'Council Entry'!K$8),'Council Entry'!K12)),IF('Council Entry'!K$4="Exponential",EXP(IF(AND(ISNUMBER('Council Entry'!K$8),ISNUMBER('Council Entry'!K$9)),MAX(MIN('Council Entry'!K12,'Council Entry'!K$9),'Council Entry'!K$8),'Council Entry'!K12)),IF(AND(ISNUMBER('Council Entry'!K$8),ISNUMBER('Council Entry'!K$9)),MAX(MIN('Council Entry'!K12,'Council Entry'!K$9),'Council Entry'!K$8),'Council Entry'!K12))))-'Council Entry'!K$5)/('Council Entry'!K$6-'Council Entry'!K$5),10*((IF('Council Entry'!K$4="Logarithm",LN(0.001+IF(AND(ISNUMBER('Council Entry'!K$8),ISNUMBER('Council Entry'!K$9)),MAX(MIN('Council Entry'!K12,'Council Entry'!K$9),'Council Entry'!K$8),'Council Entry'!K12)),IF('Council Entry'!K$4="Exponential",EXP(IF(AND(ISNUMBER('Council Entry'!K$8),ISNUMBER('Council Entry'!K$9)),MAX(MIN('Council Entry'!K12,'Council Entry'!K$9),'Council Entry'!K$8),'Council Entry'!K12)),IF(AND(ISNUMBER('Council Entry'!K$8),ISNUMBER('Council Entry'!K$9)),MAX(MIN('Council Entry'!K12,'Council Entry'!K$9),'Council Entry'!K$8),'Council Entry'!K12))))-'Council Entry'!K$5)/('Council Entry'!K$6-'Council Entry'!K$5)),1))),"No data"))</f>
        <v/>
      </c>
      <c r="L12" s="13">
        <f>IF('Council Entry'!L12="","",IFERROR(MAX(0,MIN(10,ROUND(IF('Council Entry'!L$7="Decrease Risk",10-10*((IF('Council Entry'!L$4="Logarithm",LN(0.001+IF(AND(ISNUMBER('Council Entry'!L$8),ISNUMBER('Council Entry'!L$9)),MAX(MIN('Council Entry'!L12,'Council Entry'!L$9),'Council Entry'!L$8),'Council Entry'!L12)),IF('Council Entry'!L$4="Exponential",EXP(IF(AND(ISNUMBER('Council Entry'!L$8),ISNUMBER('Council Entry'!L$9)),MAX(MIN('Council Entry'!L12,'Council Entry'!L$9),'Council Entry'!L$8),'Council Entry'!L12)),IF(AND(ISNUMBER('Council Entry'!L$8),ISNUMBER('Council Entry'!L$9)),MAX(MIN('Council Entry'!L12,'Council Entry'!L$9),'Council Entry'!L$8),'Council Entry'!L12))))-'Council Entry'!L$5)/('Council Entry'!L$6-'Council Entry'!L$5),10*((IF('Council Entry'!L$4="Logarithm",LN(0.001+IF(AND(ISNUMBER('Council Entry'!L$8),ISNUMBER('Council Entry'!L$9)),MAX(MIN('Council Entry'!L12,'Council Entry'!L$9),'Council Entry'!L$8),'Council Entry'!L12)),IF('Council Entry'!L$4="Exponential",EXP(IF(AND(ISNUMBER('Council Entry'!L$8),ISNUMBER('Council Entry'!L$9)),MAX(MIN('Council Entry'!L12,'Council Entry'!L$9),'Council Entry'!L$8),'Council Entry'!L12)),IF(AND(ISNUMBER('Council Entry'!L$8),ISNUMBER('Council Entry'!L$9)),MAX(MIN('Council Entry'!L12,'Council Entry'!L$9),'Council Entry'!L$8),'Council Entry'!L12))))-'Council Entry'!L$5)/('Council Entry'!L$6-'Council Entry'!L$5)),1))),"No data"))</f>
        <v/>
      </c>
      <c r="M12" s="13">
        <f>IF('Council Entry'!M12="","",IFERROR(MAX(0,MIN(10,ROUND(IF('Council Entry'!M$7="Decrease Risk",10-10*((IF('Council Entry'!M$4="Logarithm",LN(0.001+IF(AND(ISNUMBER('Council Entry'!M$8),ISNUMBER('Council Entry'!M$9)),MAX(MIN('Council Entry'!M12,'Council Entry'!M$9),'Council Entry'!M$8),'Council Entry'!M12)),IF('Council Entry'!M$4="Exponential",EXP(IF(AND(ISNUMBER('Council Entry'!M$8),ISNUMBER('Council Entry'!M$9)),MAX(MIN('Council Entry'!M12,'Council Entry'!M$9),'Council Entry'!M$8),'Council Entry'!M12)),IF(AND(ISNUMBER('Council Entry'!M$8),ISNUMBER('Council Entry'!M$9)),MAX(MIN('Council Entry'!M12,'Council Entry'!M$9),'Council Entry'!M$8),'Council Entry'!M12))))-'Council Entry'!M$5)/('Council Entry'!M$6-'Council Entry'!M$5),10*((IF('Council Entry'!M$4="Logarithm",LN(0.001+IF(AND(ISNUMBER('Council Entry'!M$8),ISNUMBER('Council Entry'!M$9)),MAX(MIN('Council Entry'!M12,'Council Entry'!M$9),'Council Entry'!M$8),'Council Entry'!M12)),IF('Council Entry'!M$4="Exponential",EXP(IF(AND(ISNUMBER('Council Entry'!M$8),ISNUMBER('Council Entry'!M$9)),MAX(MIN('Council Entry'!M12,'Council Entry'!M$9),'Council Entry'!M$8),'Council Entry'!M12)),IF(AND(ISNUMBER('Council Entry'!M$8),ISNUMBER('Council Entry'!M$9)),MAX(MIN('Council Entry'!M12,'Council Entry'!M$9),'Council Entry'!M$8),'Council Entry'!M12))))-'Council Entry'!M$5)/('Council Entry'!M$6-'Council Entry'!M$5)),1))),"No data"))</f>
        <v/>
      </c>
      <c r="N12" s="13">
        <f>IF('Council Entry'!N12="","",IFERROR(MAX(0,MIN(10,ROUND(IF('Council Entry'!N$7="Decrease Risk",10-10*((IF('Council Entry'!N$4="Logarithm",LN(0.001+IF(AND(ISNUMBER('Council Entry'!N$8),ISNUMBER('Council Entry'!N$9)),MAX(MIN('Council Entry'!N12,'Council Entry'!N$9),'Council Entry'!N$8),'Council Entry'!N12)),IF('Council Entry'!N$4="Exponential",EXP(IF(AND(ISNUMBER('Council Entry'!N$8),ISNUMBER('Council Entry'!N$9)),MAX(MIN('Council Entry'!N12,'Council Entry'!N$9),'Council Entry'!N$8),'Council Entry'!N12)),IF(AND(ISNUMBER('Council Entry'!N$8),ISNUMBER('Council Entry'!N$9)),MAX(MIN('Council Entry'!N12,'Council Entry'!N$9),'Council Entry'!N$8),'Council Entry'!N12))))-'Council Entry'!N$5)/('Council Entry'!N$6-'Council Entry'!N$5),10*((IF('Council Entry'!N$4="Logarithm",LN(0.001+IF(AND(ISNUMBER('Council Entry'!N$8),ISNUMBER('Council Entry'!N$9)),MAX(MIN('Council Entry'!N12,'Council Entry'!N$9),'Council Entry'!N$8),'Council Entry'!N12)),IF('Council Entry'!N$4="Exponential",EXP(IF(AND(ISNUMBER('Council Entry'!N$8),ISNUMBER('Council Entry'!N$9)),MAX(MIN('Council Entry'!N12,'Council Entry'!N$9),'Council Entry'!N$8),'Council Entry'!N12)),IF(AND(ISNUMBER('Council Entry'!N$8),ISNUMBER('Council Entry'!N$9)),MAX(MIN('Council Entry'!N12,'Council Entry'!N$9),'Council Entry'!N$8),'Council Entry'!N12))))-'Council Entry'!N$5)/('Council Entry'!N$6-'Council Entry'!N$5)),1))),"No data"))</f>
        <v/>
      </c>
      <c r="O12" s="13">
        <f>IF('Council Entry'!O12="","",IFERROR(MAX(0,MIN(10,ROUND(IF('Council Entry'!O$7="Decrease Risk",10-10*((IF('Council Entry'!O$4="Logarithm",LN(0.001+IF(AND(ISNUMBER('Council Entry'!O$8),ISNUMBER('Council Entry'!O$9)),MAX(MIN('Council Entry'!O12,'Council Entry'!O$9),'Council Entry'!O$8),'Council Entry'!O12)),IF('Council Entry'!O$4="Exponential",EXP(IF(AND(ISNUMBER('Council Entry'!O$8),ISNUMBER('Council Entry'!O$9)),MAX(MIN('Council Entry'!O12,'Council Entry'!O$9),'Council Entry'!O$8),'Council Entry'!O12)),IF(AND(ISNUMBER('Council Entry'!O$8),ISNUMBER('Council Entry'!O$9)),MAX(MIN('Council Entry'!O12,'Council Entry'!O$9),'Council Entry'!O$8),'Council Entry'!O12))))-'Council Entry'!O$5)/('Council Entry'!O$6-'Council Entry'!O$5),10*((IF('Council Entry'!O$4="Logarithm",LN(0.001+IF(AND(ISNUMBER('Council Entry'!O$8),ISNUMBER('Council Entry'!O$9)),MAX(MIN('Council Entry'!O12,'Council Entry'!O$9),'Council Entry'!O$8),'Council Entry'!O12)),IF('Council Entry'!O$4="Exponential",EXP(IF(AND(ISNUMBER('Council Entry'!O$8),ISNUMBER('Council Entry'!O$9)),MAX(MIN('Council Entry'!O12,'Council Entry'!O$9),'Council Entry'!O$8),'Council Entry'!O12)),IF(AND(ISNUMBER('Council Entry'!O$8),ISNUMBER('Council Entry'!O$9)),MAX(MIN('Council Entry'!O12,'Council Entry'!O$9),'Council Entry'!O$8),'Council Entry'!O12))))-'Council Entry'!O$5)/('Council Entry'!O$6-'Council Entry'!O$5)),1))),"No data"))</f>
        <v/>
      </c>
      <c r="P12" s="13">
        <f>IF('Council Entry'!P12="","",IFERROR(MAX(0,MIN(10,ROUND(IF('Council Entry'!P$7="Decrease Risk",10-10*((IF('Council Entry'!P$4="Logarithm",LN(0.001+IF(AND(ISNUMBER('Council Entry'!P$8),ISNUMBER('Council Entry'!P$9)),MAX(MIN('Council Entry'!P12,'Council Entry'!P$9),'Council Entry'!P$8),'Council Entry'!P12)),IF('Council Entry'!P$4="Exponential",EXP(IF(AND(ISNUMBER('Council Entry'!P$8),ISNUMBER('Council Entry'!P$9)),MAX(MIN('Council Entry'!P12,'Council Entry'!P$9),'Council Entry'!P$8),'Council Entry'!P12)),IF(AND(ISNUMBER('Council Entry'!P$8),ISNUMBER('Council Entry'!P$9)),MAX(MIN('Council Entry'!P12,'Council Entry'!P$9),'Council Entry'!P$8),'Council Entry'!P12))))-'Council Entry'!P$5)/('Council Entry'!P$6-'Council Entry'!P$5),10*((IF('Council Entry'!P$4="Logarithm",LN(0.001+IF(AND(ISNUMBER('Council Entry'!P$8),ISNUMBER('Council Entry'!P$9)),MAX(MIN('Council Entry'!P12,'Council Entry'!P$9),'Council Entry'!P$8),'Council Entry'!P12)),IF('Council Entry'!P$4="Exponential",EXP(IF(AND(ISNUMBER('Council Entry'!P$8),ISNUMBER('Council Entry'!P$9)),MAX(MIN('Council Entry'!P12,'Council Entry'!P$9),'Council Entry'!P$8),'Council Entry'!P12)),IF(AND(ISNUMBER('Council Entry'!P$8),ISNUMBER('Council Entry'!P$9)),MAX(MIN('Council Entry'!P12,'Council Entry'!P$9),'Council Entry'!P$8),'Council Entry'!P12))))-'Council Entry'!P$5)/('Council Entry'!P$6-'Council Entry'!P$5)),1))),"No data"))</f>
        <v/>
      </c>
      <c r="Q12" s="13">
        <f>IF('Council Entry'!Q12="","",IFERROR(MAX(0,MIN(10,ROUND(IF('Council Entry'!Q$7="Decrease Risk",10-10*((IF('Council Entry'!Q$4="Logarithm",LN(0.001+IF(AND(ISNUMBER('Council Entry'!Q$8),ISNUMBER('Council Entry'!Q$9)),MAX(MIN('Council Entry'!Q12,'Council Entry'!Q$9),'Council Entry'!Q$8),'Council Entry'!Q12)),IF('Council Entry'!Q$4="Exponential",EXP(IF(AND(ISNUMBER('Council Entry'!Q$8),ISNUMBER('Council Entry'!Q$9)),MAX(MIN('Council Entry'!Q12,'Council Entry'!Q$9),'Council Entry'!Q$8),'Council Entry'!Q12)),IF(AND(ISNUMBER('Council Entry'!Q$8),ISNUMBER('Council Entry'!Q$9)),MAX(MIN('Council Entry'!Q12,'Council Entry'!Q$9),'Council Entry'!Q$8),'Council Entry'!Q12))))-'Council Entry'!Q$5)/('Council Entry'!Q$6-'Council Entry'!Q$5),10*((IF('Council Entry'!Q$4="Logarithm",LN(0.001+IF(AND(ISNUMBER('Council Entry'!Q$8),ISNUMBER('Council Entry'!Q$9)),MAX(MIN('Council Entry'!Q12,'Council Entry'!Q$9),'Council Entry'!Q$8),'Council Entry'!Q12)),IF('Council Entry'!Q$4="Exponential",EXP(IF(AND(ISNUMBER('Council Entry'!Q$8),ISNUMBER('Council Entry'!Q$9)),MAX(MIN('Council Entry'!Q12,'Council Entry'!Q$9),'Council Entry'!Q$8),'Council Entry'!Q12)),IF(AND(ISNUMBER('Council Entry'!Q$8),ISNUMBER('Council Entry'!Q$9)),MAX(MIN('Council Entry'!Q12,'Council Entry'!Q$9),'Council Entry'!Q$8),'Council Entry'!Q12))))-'Council Entry'!Q$5)/('Council Entry'!Q$6-'Council Entry'!Q$5)),1))),"No data"))</f>
        <v/>
      </c>
      <c r="R12" s="13">
        <f>IF('Council Entry'!R12="","",IFERROR(MAX(0,MIN(10,ROUND(IF('Council Entry'!R$7="Decrease Risk",10-10*((IF('Council Entry'!R$4="Logarithm",LN(0.001+IF(AND(ISNUMBER('Council Entry'!R$8),ISNUMBER('Council Entry'!R$9)),MAX(MIN('Council Entry'!R12,'Council Entry'!R$9),'Council Entry'!R$8),'Council Entry'!R12)),IF('Council Entry'!R$4="Exponential",EXP(IF(AND(ISNUMBER('Council Entry'!R$8),ISNUMBER('Council Entry'!R$9)),MAX(MIN('Council Entry'!R12,'Council Entry'!R$9),'Council Entry'!R$8),'Council Entry'!R12)),IF(AND(ISNUMBER('Council Entry'!R$8),ISNUMBER('Council Entry'!R$9)),MAX(MIN('Council Entry'!R12,'Council Entry'!R$9),'Council Entry'!R$8),'Council Entry'!R12))))-'Council Entry'!R$5)/('Council Entry'!R$6-'Council Entry'!R$5),10*((IF('Council Entry'!R$4="Logarithm",LN(0.001+IF(AND(ISNUMBER('Council Entry'!R$8),ISNUMBER('Council Entry'!R$9)),MAX(MIN('Council Entry'!R12,'Council Entry'!R$9),'Council Entry'!R$8),'Council Entry'!R12)),IF('Council Entry'!R$4="Exponential",EXP(IF(AND(ISNUMBER('Council Entry'!R$8),ISNUMBER('Council Entry'!R$9)),MAX(MIN('Council Entry'!R12,'Council Entry'!R$9),'Council Entry'!R$8),'Council Entry'!R12)),IF(AND(ISNUMBER('Council Entry'!R$8),ISNUMBER('Council Entry'!R$9)),MAX(MIN('Council Entry'!R12,'Council Entry'!R$9),'Council Entry'!R$8),'Council Entry'!R12))))-'Council Entry'!R$5)/('Council Entry'!R$6-'Council Entry'!R$5)),1))),"No data"))</f>
        <v/>
      </c>
      <c r="S12" s="13">
        <f>IF('Council Entry'!S12="","",IFERROR(MAX(0,MIN(10,ROUND(IF('Council Entry'!S$7="Decrease Risk",10-10*((IF('Council Entry'!S$4="Logarithm",LN(0.001+IF(AND(ISNUMBER('Council Entry'!S$8),ISNUMBER('Council Entry'!S$9)),MAX(MIN('Council Entry'!S12,'Council Entry'!S$9),'Council Entry'!S$8),'Council Entry'!S12)),IF('Council Entry'!S$4="Exponential",EXP(IF(AND(ISNUMBER('Council Entry'!S$8),ISNUMBER('Council Entry'!S$9)),MAX(MIN('Council Entry'!S12,'Council Entry'!S$9),'Council Entry'!S$8),'Council Entry'!S12)),IF(AND(ISNUMBER('Council Entry'!S$8),ISNUMBER('Council Entry'!S$9)),MAX(MIN('Council Entry'!S12,'Council Entry'!S$9),'Council Entry'!S$8),'Council Entry'!S12))))-'Council Entry'!S$5)/('Council Entry'!S$6-'Council Entry'!S$5),10*((IF('Council Entry'!S$4="Logarithm",LN(0.001+IF(AND(ISNUMBER('Council Entry'!S$8),ISNUMBER('Council Entry'!S$9)),MAX(MIN('Council Entry'!S12,'Council Entry'!S$9),'Council Entry'!S$8),'Council Entry'!S12)),IF('Council Entry'!S$4="Exponential",EXP(IF(AND(ISNUMBER('Council Entry'!S$8),ISNUMBER('Council Entry'!S$9)),MAX(MIN('Council Entry'!S12,'Council Entry'!S$9),'Council Entry'!S$8),'Council Entry'!S12)),IF(AND(ISNUMBER('Council Entry'!S$8),ISNUMBER('Council Entry'!S$9)),MAX(MIN('Council Entry'!S12,'Council Entry'!S$9),'Council Entry'!S$8),'Council Entry'!S12))))-'Council Entry'!S$5)/('Council Entry'!S$6-'Council Entry'!S$5)),1))),"No data"))</f>
        <v/>
      </c>
      <c r="T12" s="13">
        <f>IF('Council Entry'!T12="","",IFERROR(MAX(0,MIN(10,ROUND(IF('Council Entry'!T$7="Decrease Risk",10-10*((IF('Council Entry'!T$4="Logarithm",LN(0.001+IF(AND(ISNUMBER('Council Entry'!T$8),ISNUMBER('Council Entry'!T$9)),MAX(MIN('Council Entry'!T12,'Council Entry'!T$9),'Council Entry'!T$8),'Council Entry'!T12)),IF('Council Entry'!T$4="Exponential",EXP(IF(AND(ISNUMBER('Council Entry'!T$8),ISNUMBER('Council Entry'!T$9)),MAX(MIN('Council Entry'!T12,'Council Entry'!T$9),'Council Entry'!T$8),'Council Entry'!T12)),IF(AND(ISNUMBER('Council Entry'!T$8),ISNUMBER('Council Entry'!T$9)),MAX(MIN('Council Entry'!T12,'Council Entry'!T$9),'Council Entry'!T$8),'Council Entry'!T12))))-'Council Entry'!T$5)/('Council Entry'!T$6-'Council Entry'!T$5),10*((IF('Council Entry'!T$4="Logarithm",LN(0.001+IF(AND(ISNUMBER('Council Entry'!T$8),ISNUMBER('Council Entry'!T$9)),MAX(MIN('Council Entry'!T12,'Council Entry'!T$9),'Council Entry'!T$8),'Council Entry'!T12)),IF('Council Entry'!T$4="Exponential",EXP(IF(AND(ISNUMBER('Council Entry'!T$8),ISNUMBER('Council Entry'!T$9)),MAX(MIN('Council Entry'!T12,'Council Entry'!T$9),'Council Entry'!T$8),'Council Entry'!T12)),IF(AND(ISNUMBER('Council Entry'!T$8),ISNUMBER('Council Entry'!T$9)),MAX(MIN('Council Entry'!T12,'Council Entry'!T$9),'Council Entry'!T$8),'Council Entry'!T12))))-'Council Entry'!T$5)/('Council Entry'!T$6-'Council Entry'!T$5)),1))),"No data"))</f>
        <v/>
      </c>
      <c r="U12" s="13">
        <f>IF('Council Entry'!U12="","",IFERROR(MAX(0,MIN(10,ROUND(IF('Council Entry'!U$7="Decrease Risk",10-10*((IF('Council Entry'!U$4="Logarithm",LN(0.001+IF(AND(ISNUMBER('Council Entry'!U$8),ISNUMBER('Council Entry'!U$9)),MAX(MIN('Council Entry'!U12,'Council Entry'!U$9),'Council Entry'!U$8),'Council Entry'!U12)),IF('Council Entry'!U$4="Exponential",EXP(IF(AND(ISNUMBER('Council Entry'!U$8),ISNUMBER('Council Entry'!U$9)),MAX(MIN('Council Entry'!U12,'Council Entry'!U$9),'Council Entry'!U$8),'Council Entry'!U12)),IF(AND(ISNUMBER('Council Entry'!U$8),ISNUMBER('Council Entry'!U$9)),MAX(MIN('Council Entry'!U12,'Council Entry'!U$9),'Council Entry'!U$8),'Council Entry'!U12))))-'Council Entry'!U$5)/('Council Entry'!U$6-'Council Entry'!U$5),10*((IF('Council Entry'!U$4="Logarithm",LN(0.001+IF(AND(ISNUMBER('Council Entry'!U$8),ISNUMBER('Council Entry'!U$9)),MAX(MIN('Council Entry'!U12,'Council Entry'!U$9),'Council Entry'!U$8),'Council Entry'!U12)),IF('Council Entry'!U$4="Exponential",EXP(IF(AND(ISNUMBER('Council Entry'!U$8),ISNUMBER('Council Entry'!U$9)),MAX(MIN('Council Entry'!U12,'Council Entry'!U$9),'Council Entry'!U$8),'Council Entry'!U12)),IF(AND(ISNUMBER('Council Entry'!U$8),ISNUMBER('Council Entry'!U$9)),MAX(MIN('Council Entry'!U12,'Council Entry'!U$9),'Council Entry'!U$8),'Council Entry'!U12))))-'Council Entry'!U$5)/('Council Entry'!U$6-'Council Entry'!U$5)),1))),"No data"))</f>
        <v/>
      </c>
      <c r="V12" s="13">
        <f>IF('Council Entry'!V12="","",IFERROR(MAX(0,MIN(10,ROUND(IF('Council Entry'!V$7="Decrease Risk",10-10*((IF('Council Entry'!V$4="Logarithm",LN(0.001+IF(AND(ISNUMBER('Council Entry'!V$8),ISNUMBER('Council Entry'!V$9)),MAX(MIN('Council Entry'!V12,'Council Entry'!V$9),'Council Entry'!V$8),'Council Entry'!V12)),IF('Council Entry'!V$4="Exponential",EXP(IF(AND(ISNUMBER('Council Entry'!V$8),ISNUMBER('Council Entry'!V$9)),MAX(MIN('Council Entry'!V12,'Council Entry'!V$9),'Council Entry'!V$8),'Council Entry'!V12)),IF(AND(ISNUMBER('Council Entry'!V$8),ISNUMBER('Council Entry'!V$9)),MAX(MIN('Council Entry'!V12,'Council Entry'!V$9),'Council Entry'!V$8),'Council Entry'!V12))))-'Council Entry'!V$5)/('Council Entry'!V$6-'Council Entry'!V$5),10*((IF('Council Entry'!V$4="Logarithm",LN(0.001+IF(AND(ISNUMBER('Council Entry'!V$8),ISNUMBER('Council Entry'!V$9)),MAX(MIN('Council Entry'!V12,'Council Entry'!V$9),'Council Entry'!V$8),'Council Entry'!V12)),IF('Council Entry'!V$4="Exponential",EXP(IF(AND(ISNUMBER('Council Entry'!V$8),ISNUMBER('Council Entry'!V$9)),MAX(MIN('Council Entry'!V12,'Council Entry'!V$9),'Council Entry'!V$8),'Council Entry'!V12)),IF(AND(ISNUMBER('Council Entry'!V$8),ISNUMBER('Council Entry'!V$9)),MAX(MIN('Council Entry'!V12,'Council Entry'!V$9),'Council Entry'!V$8),'Council Entry'!V12))))-'Council Entry'!V$5)/('Council Entry'!V$6-'Council Entry'!V$5)),1))),"No data"))</f>
        <v/>
      </c>
      <c r="W12" s="13">
        <f>IF('Council Entry'!W12="","",IFERROR(MAX(0,MIN(10,ROUND(IF('Council Entry'!W$7="Decrease Risk",10-10*((IF('Council Entry'!W$4="Logarithm",LN(0.001+IF(AND(ISNUMBER('Council Entry'!W$8),ISNUMBER('Council Entry'!W$9)),MAX(MIN('Council Entry'!W12,'Council Entry'!W$9),'Council Entry'!W$8),'Council Entry'!W12)),IF('Council Entry'!W$4="Exponential",EXP(IF(AND(ISNUMBER('Council Entry'!W$8),ISNUMBER('Council Entry'!W$9)),MAX(MIN('Council Entry'!W12,'Council Entry'!W$9),'Council Entry'!W$8),'Council Entry'!W12)),IF(AND(ISNUMBER('Council Entry'!W$8),ISNUMBER('Council Entry'!W$9)),MAX(MIN('Council Entry'!W12,'Council Entry'!W$9),'Council Entry'!W$8),'Council Entry'!W12))))-'Council Entry'!W$5)/('Council Entry'!W$6-'Council Entry'!W$5),10*((IF('Council Entry'!W$4="Logarithm",LN(0.001+IF(AND(ISNUMBER('Council Entry'!W$8),ISNUMBER('Council Entry'!W$9)),MAX(MIN('Council Entry'!W12,'Council Entry'!W$9),'Council Entry'!W$8),'Council Entry'!W12)),IF('Council Entry'!W$4="Exponential",EXP(IF(AND(ISNUMBER('Council Entry'!W$8),ISNUMBER('Council Entry'!W$9)),MAX(MIN('Council Entry'!W12,'Council Entry'!W$9),'Council Entry'!W$8),'Council Entry'!W12)),IF(AND(ISNUMBER('Council Entry'!W$8),ISNUMBER('Council Entry'!W$9)),MAX(MIN('Council Entry'!W12,'Council Entry'!W$9),'Council Entry'!W$8),'Council Entry'!W12))))-'Council Entry'!W$5)/('Council Entry'!W$6-'Council Entry'!W$5)),1))),"No data"))</f>
        <v/>
      </c>
      <c r="X12" s="13">
        <f>IF('Council Entry'!X12="","",IFERROR(MAX(0,MIN(10,ROUND(IF('Council Entry'!X$7="Decrease Risk",10-10*((IF('Council Entry'!X$4="Logarithm",LN(0.001+IF(AND(ISNUMBER('Council Entry'!X$8),ISNUMBER('Council Entry'!X$9)),MAX(MIN('Council Entry'!X12,'Council Entry'!X$9),'Council Entry'!X$8),'Council Entry'!X12)),IF('Council Entry'!X$4="Exponential",EXP(IF(AND(ISNUMBER('Council Entry'!X$8),ISNUMBER('Council Entry'!X$9)),MAX(MIN('Council Entry'!X12,'Council Entry'!X$9),'Council Entry'!X$8),'Council Entry'!X12)),IF(AND(ISNUMBER('Council Entry'!X$8),ISNUMBER('Council Entry'!X$9)),MAX(MIN('Council Entry'!X12,'Council Entry'!X$9),'Council Entry'!X$8),'Council Entry'!X12))))-'Council Entry'!X$5)/('Council Entry'!X$6-'Council Entry'!X$5),10*((IF('Council Entry'!X$4="Logarithm",LN(0.001+IF(AND(ISNUMBER('Council Entry'!X$8),ISNUMBER('Council Entry'!X$9)),MAX(MIN('Council Entry'!X12,'Council Entry'!X$9),'Council Entry'!X$8),'Council Entry'!X12)),IF('Council Entry'!X$4="Exponential",EXP(IF(AND(ISNUMBER('Council Entry'!X$8),ISNUMBER('Council Entry'!X$9)),MAX(MIN('Council Entry'!X12,'Council Entry'!X$9),'Council Entry'!X$8),'Council Entry'!X12)),IF(AND(ISNUMBER('Council Entry'!X$8),ISNUMBER('Council Entry'!X$9)),MAX(MIN('Council Entry'!X12,'Council Entry'!X$9),'Council Entry'!X$8),'Council Entry'!X12))))-'Council Entry'!X$5)/('Council Entry'!X$6-'Council Entry'!X$5)),1))),"No data"))</f>
        <v/>
      </c>
      <c r="Y12" s="13">
        <f>IF('Council Entry'!Y12="","",IFERROR(MAX(0,MIN(10,ROUND(IF('Council Entry'!Y$7="Decrease Risk",10-10*((IF('Council Entry'!Y$4="Logarithm",LN(0.001+IF(AND(ISNUMBER('Council Entry'!Y$8),ISNUMBER('Council Entry'!Y$9)),MAX(MIN('Council Entry'!Y12,'Council Entry'!Y$9),'Council Entry'!Y$8),'Council Entry'!Y12)),IF('Council Entry'!Y$4="Exponential",EXP(IF(AND(ISNUMBER('Council Entry'!Y$8),ISNUMBER('Council Entry'!Y$9)),MAX(MIN('Council Entry'!Y12,'Council Entry'!Y$9),'Council Entry'!Y$8),'Council Entry'!Y12)),IF(AND(ISNUMBER('Council Entry'!Y$8),ISNUMBER('Council Entry'!Y$9)),MAX(MIN('Council Entry'!Y12,'Council Entry'!Y$9),'Council Entry'!Y$8),'Council Entry'!Y12))))-'Council Entry'!Y$5)/('Council Entry'!Y$6-'Council Entry'!Y$5),10*((IF('Council Entry'!Y$4="Logarithm",LN(0.001+IF(AND(ISNUMBER('Council Entry'!Y$8),ISNUMBER('Council Entry'!Y$9)),MAX(MIN('Council Entry'!Y12,'Council Entry'!Y$9),'Council Entry'!Y$8),'Council Entry'!Y12)),IF('Council Entry'!Y$4="Exponential",EXP(IF(AND(ISNUMBER('Council Entry'!Y$8),ISNUMBER('Council Entry'!Y$9)),MAX(MIN('Council Entry'!Y12,'Council Entry'!Y$9),'Council Entry'!Y$8),'Council Entry'!Y12)),IF(AND(ISNUMBER('Council Entry'!Y$8),ISNUMBER('Council Entry'!Y$9)),MAX(MIN('Council Entry'!Y12,'Council Entry'!Y$9),'Council Entry'!Y$8),'Council Entry'!Y12))))-'Council Entry'!Y$5)/('Council Entry'!Y$6-'Council Entry'!Y$5)),1))),"No data"))</f>
        <v/>
      </c>
      <c r="Z12" s="13">
        <f>IF('Council Entry'!Z12="","",IFERROR(MAX(0,MIN(10,ROUND(IF('Council Entry'!Z$7="Decrease Risk",10-10*((IF('Council Entry'!Z$4="Logarithm",LN(0.001+IF(AND(ISNUMBER('Council Entry'!Z$8),ISNUMBER('Council Entry'!Z$9)),MAX(MIN('Council Entry'!Z12,'Council Entry'!Z$9),'Council Entry'!Z$8),'Council Entry'!Z12)),IF('Council Entry'!Z$4="Exponential",EXP(IF(AND(ISNUMBER('Council Entry'!Z$8),ISNUMBER('Council Entry'!Z$9)),MAX(MIN('Council Entry'!Z12,'Council Entry'!Z$9),'Council Entry'!Z$8),'Council Entry'!Z12)),IF(AND(ISNUMBER('Council Entry'!Z$8),ISNUMBER('Council Entry'!Z$9)),MAX(MIN('Council Entry'!Z12,'Council Entry'!Z$9),'Council Entry'!Z$8),'Council Entry'!Z12))))-'Council Entry'!Z$5)/('Council Entry'!Z$6-'Council Entry'!Z$5),10*((IF('Council Entry'!Z$4="Logarithm",LN(0.001+IF(AND(ISNUMBER('Council Entry'!Z$8),ISNUMBER('Council Entry'!Z$9)),MAX(MIN('Council Entry'!Z12,'Council Entry'!Z$9),'Council Entry'!Z$8),'Council Entry'!Z12)),IF('Council Entry'!Z$4="Exponential",EXP(IF(AND(ISNUMBER('Council Entry'!Z$8),ISNUMBER('Council Entry'!Z$9)),MAX(MIN('Council Entry'!Z12,'Council Entry'!Z$9),'Council Entry'!Z$8),'Council Entry'!Z12)),IF(AND(ISNUMBER('Council Entry'!Z$8),ISNUMBER('Council Entry'!Z$9)),MAX(MIN('Council Entry'!Z12,'Council Entry'!Z$9),'Council Entry'!Z$8),'Council Entry'!Z12))))-'Council Entry'!Z$5)/('Council Entry'!Z$6-'Council Entry'!Z$5)),1))),"No data"))</f>
        <v/>
      </c>
      <c r="AA12" s="13">
        <f>IF('Council Entry'!AA12="","",IFERROR(MAX(0,MIN(10,ROUND(IF('Council Entry'!AA$7="Decrease Risk",10-10*((IF('Council Entry'!AA$4="Logarithm",LN(0.001+IF(AND(ISNUMBER('Council Entry'!AA$8),ISNUMBER('Council Entry'!AA$9)),MAX(MIN('Council Entry'!AA12,'Council Entry'!AA$9),'Council Entry'!AA$8),'Council Entry'!AA12)),IF('Council Entry'!AA$4="Exponential",EXP(IF(AND(ISNUMBER('Council Entry'!AA$8),ISNUMBER('Council Entry'!AA$9)),MAX(MIN('Council Entry'!AA12,'Council Entry'!AA$9),'Council Entry'!AA$8),'Council Entry'!AA12)),IF(AND(ISNUMBER('Council Entry'!AA$8),ISNUMBER('Council Entry'!AA$9)),MAX(MIN('Council Entry'!AA12,'Council Entry'!AA$9),'Council Entry'!AA$8),'Council Entry'!AA12))))-'Council Entry'!AA$5)/('Council Entry'!AA$6-'Council Entry'!AA$5),10*((IF('Council Entry'!AA$4="Logarithm",LN(0.001+IF(AND(ISNUMBER('Council Entry'!AA$8),ISNUMBER('Council Entry'!AA$9)),MAX(MIN('Council Entry'!AA12,'Council Entry'!AA$9),'Council Entry'!AA$8),'Council Entry'!AA12)),IF('Council Entry'!AA$4="Exponential",EXP(IF(AND(ISNUMBER('Council Entry'!AA$8),ISNUMBER('Council Entry'!AA$9)),MAX(MIN('Council Entry'!AA12,'Council Entry'!AA$9),'Council Entry'!AA$8),'Council Entry'!AA12)),IF(AND(ISNUMBER('Council Entry'!AA$8),ISNUMBER('Council Entry'!AA$9)),MAX(MIN('Council Entry'!AA12,'Council Entry'!AA$9),'Council Entry'!AA$8),'Council Entry'!AA12))))-'Council Entry'!AA$5)/('Council Entry'!AA$6-'Council Entry'!AA$5)),1))),"No data"))</f>
        <v/>
      </c>
      <c r="AB12" s="13">
        <f>IF('Council Entry'!AB12="","",IFERROR(MAX(0,MIN(10,ROUND(IF('Council Entry'!AB$7="Decrease Risk",10-10*((IF('Council Entry'!AB$4="Logarithm",LN(0.001+IF(AND(ISNUMBER('Council Entry'!AB$8),ISNUMBER('Council Entry'!AB$9)),MAX(MIN('Council Entry'!AB12,'Council Entry'!AB$9),'Council Entry'!AB$8),'Council Entry'!AB12)),IF('Council Entry'!AB$4="Exponential",EXP(IF(AND(ISNUMBER('Council Entry'!AB$8),ISNUMBER('Council Entry'!AB$9)),MAX(MIN('Council Entry'!AB12,'Council Entry'!AB$9),'Council Entry'!AB$8),'Council Entry'!AB12)),IF(AND(ISNUMBER('Council Entry'!AB$8),ISNUMBER('Council Entry'!AB$9)),MAX(MIN('Council Entry'!AB12,'Council Entry'!AB$9),'Council Entry'!AB$8),'Council Entry'!AB12))))-'Council Entry'!AB$5)/('Council Entry'!AB$6-'Council Entry'!AB$5),10*((IF('Council Entry'!AB$4="Logarithm",LN(0.001+IF(AND(ISNUMBER('Council Entry'!AB$8),ISNUMBER('Council Entry'!AB$9)),MAX(MIN('Council Entry'!AB12,'Council Entry'!AB$9),'Council Entry'!AB$8),'Council Entry'!AB12)),IF('Council Entry'!AB$4="Exponential",EXP(IF(AND(ISNUMBER('Council Entry'!AB$8),ISNUMBER('Council Entry'!AB$9)),MAX(MIN('Council Entry'!AB12,'Council Entry'!AB$9),'Council Entry'!AB$8),'Council Entry'!AB12)),IF(AND(ISNUMBER('Council Entry'!AB$8),ISNUMBER('Council Entry'!AB$9)),MAX(MIN('Council Entry'!AB12,'Council Entry'!AB$9),'Council Entry'!AB$8),'Council Entry'!AB12))))-'Council Entry'!AB$5)/('Council Entry'!AB$6-'Council Entry'!AB$5)),1))),"No data"))</f>
        <v/>
      </c>
      <c r="AC12" s="13">
        <f>IF('Council Entry'!AC12="","",IFERROR(MAX(0,MIN(10,ROUND(IF('Council Entry'!AC$7="Decrease Risk",10-10*((IF('Council Entry'!AC$4="Logarithm",LN(0.001+IF(AND(ISNUMBER('Council Entry'!AC$8),ISNUMBER('Council Entry'!AC$9)),MAX(MIN('Council Entry'!AC12,'Council Entry'!AC$9),'Council Entry'!AC$8),'Council Entry'!AC12)),IF('Council Entry'!AC$4="Exponential",EXP(IF(AND(ISNUMBER('Council Entry'!AC$8),ISNUMBER('Council Entry'!AC$9)),MAX(MIN('Council Entry'!AC12,'Council Entry'!AC$9),'Council Entry'!AC$8),'Council Entry'!AC12)),IF(AND(ISNUMBER('Council Entry'!AC$8),ISNUMBER('Council Entry'!AC$9)),MAX(MIN('Council Entry'!AC12,'Council Entry'!AC$9),'Council Entry'!AC$8),'Council Entry'!AC12))))-'Council Entry'!AC$5)/('Council Entry'!AC$6-'Council Entry'!AC$5),10*((IF('Council Entry'!AC$4="Logarithm",LN(0.001+IF(AND(ISNUMBER('Council Entry'!AC$8),ISNUMBER('Council Entry'!AC$9)),MAX(MIN('Council Entry'!AC12,'Council Entry'!AC$9),'Council Entry'!AC$8),'Council Entry'!AC12)),IF('Council Entry'!AC$4="Exponential",EXP(IF(AND(ISNUMBER('Council Entry'!AC$8),ISNUMBER('Council Entry'!AC$9)),MAX(MIN('Council Entry'!AC12,'Council Entry'!AC$9),'Council Entry'!AC$8),'Council Entry'!AC12)),IF(AND(ISNUMBER('Council Entry'!AC$8),ISNUMBER('Council Entry'!AC$9)),MAX(MIN('Council Entry'!AC12,'Council Entry'!AC$9),'Council Entry'!AC$8),'Council Entry'!AC12))))-'Council Entry'!AC$5)/('Council Entry'!AC$6-'Council Entry'!AC$5)),1))),"No data"))</f>
        <v/>
      </c>
      <c r="AD12" s="13">
        <f>IF('Council Entry'!AD12="","",IFERROR(MAX(0,MIN(10,ROUND(IF('Council Entry'!AD$7="Decrease Risk",10-10*((IF('Council Entry'!AD$4="Logarithm",LN(0.001+IF(AND(ISNUMBER('Council Entry'!AD$8),ISNUMBER('Council Entry'!AD$9)),MAX(MIN('Council Entry'!AD12,'Council Entry'!AD$9),'Council Entry'!AD$8),'Council Entry'!AD12)),IF('Council Entry'!AD$4="Exponential",EXP(IF(AND(ISNUMBER('Council Entry'!AD$8),ISNUMBER('Council Entry'!AD$9)),MAX(MIN('Council Entry'!AD12,'Council Entry'!AD$9),'Council Entry'!AD$8),'Council Entry'!AD12)),IF(AND(ISNUMBER('Council Entry'!AD$8),ISNUMBER('Council Entry'!AD$9)),MAX(MIN('Council Entry'!AD12,'Council Entry'!AD$9),'Council Entry'!AD$8),'Council Entry'!AD12))))-'Council Entry'!AD$5)/('Council Entry'!AD$6-'Council Entry'!AD$5),10*((IF('Council Entry'!AD$4="Logarithm",LN(0.001+IF(AND(ISNUMBER('Council Entry'!AD$8),ISNUMBER('Council Entry'!AD$9)),MAX(MIN('Council Entry'!AD12,'Council Entry'!AD$9),'Council Entry'!AD$8),'Council Entry'!AD12)),IF('Council Entry'!AD$4="Exponential",EXP(IF(AND(ISNUMBER('Council Entry'!AD$8),ISNUMBER('Council Entry'!AD$9)),MAX(MIN('Council Entry'!AD12,'Council Entry'!AD$9),'Council Entry'!AD$8),'Council Entry'!AD12)),IF(AND(ISNUMBER('Council Entry'!AD$8),ISNUMBER('Council Entry'!AD$9)),MAX(MIN('Council Entry'!AD12,'Council Entry'!AD$9),'Council Entry'!AD$8),'Council Entry'!AD12))))-'Council Entry'!AD$5)/('Council Entry'!AD$6-'Council Entry'!AD$5)),1))),"No data"))</f>
        <v/>
      </c>
      <c r="AE12" s="13">
        <f>IF('Council Entry'!AE12="","",IFERROR(MAX(0,MIN(10,ROUND(IF('Council Entry'!AE$7="Decrease Risk",10-10*((IF('Council Entry'!AE$4="Logarithm",LN(0.001+IF(AND(ISNUMBER('Council Entry'!AE$8),ISNUMBER('Council Entry'!AE$9)),MAX(MIN('Council Entry'!AE12,'Council Entry'!AE$9),'Council Entry'!AE$8),'Council Entry'!AE12)),IF('Council Entry'!AE$4="Exponential",EXP(IF(AND(ISNUMBER('Council Entry'!AE$8),ISNUMBER('Council Entry'!AE$9)),MAX(MIN('Council Entry'!AE12,'Council Entry'!AE$9),'Council Entry'!AE$8),'Council Entry'!AE12)),IF(AND(ISNUMBER('Council Entry'!AE$8),ISNUMBER('Council Entry'!AE$9)),MAX(MIN('Council Entry'!AE12,'Council Entry'!AE$9),'Council Entry'!AE$8),'Council Entry'!AE12))))-'Council Entry'!AE$5)/('Council Entry'!AE$6-'Council Entry'!AE$5),10*((IF('Council Entry'!AE$4="Logarithm",LN(0.001+IF(AND(ISNUMBER('Council Entry'!AE$8),ISNUMBER('Council Entry'!AE$9)),MAX(MIN('Council Entry'!AE12,'Council Entry'!AE$9),'Council Entry'!AE$8),'Council Entry'!AE12)),IF('Council Entry'!AE$4="Exponential",EXP(IF(AND(ISNUMBER('Council Entry'!AE$8),ISNUMBER('Council Entry'!AE$9)),MAX(MIN('Council Entry'!AE12,'Council Entry'!AE$9),'Council Entry'!AE$8),'Council Entry'!AE12)),IF(AND(ISNUMBER('Council Entry'!AE$8),ISNUMBER('Council Entry'!AE$9)),MAX(MIN('Council Entry'!AE12,'Council Entry'!AE$9),'Council Entry'!AE$8),'Council Entry'!AE12))))-'Council Entry'!AE$5)/('Council Entry'!AE$6-'Council Entry'!AE$5)),1))),"No data"))</f>
        <v/>
      </c>
      <c r="AF12" s="13">
        <f>IF('Council Entry'!AF12="","",IFERROR(MAX(0,MIN(10,ROUND(IF('Council Entry'!AF$7="Decrease Risk",10-10*((IF('Council Entry'!AF$4="Logarithm",LN(0.001+IF(AND(ISNUMBER('Council Entry'!AF$8),ISNUMBER('Council Entry'!AF$9)),MAX(MIN('Council Entry'!AF12,'Council Entry'!AF$9),'Council Entry'!AF$8),'Council Entry'!AF12)),IF('Council Entry'!AF$4="Exponential",EXP(IF(AND(ISNUMBER('Council Entry'!AF$8),ISNUMBER('Council Entry'!AF$9)),MAX(MIN('Council Entry'!AF12,'Council Entry'!AF$9),'Council Entry'!AF$8),'Council Entry'!AF12)),IF(AND(ISNUMBER('Council Entry'!AF$8),ISNUMBER('Council Entry'!AF$9)),MAX(MIN('Council Entry'!AF12,'Council Entry'!AF$9),'Council Entry'!AF$8),'Council Entry'!AF12))))-'Council Entry'!AF$5)/('Council Entry'!AF$6-'Council Entry'!AF$5),10*((IF('Council Entry'!AF$4="Logarithm",LN(0.001+IF(AND(ISNUMBER('Council Entry'!AF$8),ISNUMBER('Council Entry'!AF$9)),MAX(MIN('Council Entry'!AF12,'Council Entry'!AF$9),'Council Entry'!AF$8),'Council Entry'!AF12)),IF('Council Entry'!AF$4="Exponential",EXP(IF(AND(ISNUMBER('Council Entry'!AF$8),ISNUMBER('Council Entry'!AF$9)),MAX(MIN('Council Entry'!AF12,'Council Entry'!AF$9),'Council Entry'!AF$8),'Council Entry'!AF12)),IF(AND(ISNUMBER('Council Entry'!AF$8),ISNUMBER('Council Entry'!AF$9)),MAX(MIN('Council Entry'!AF12,'Council Entry'!AF$9),'Council Entry'!AF$8),'Council Entry'!AF12))))-'Council Entry'!AF$5)/('Council Entry'!AF$6-'Council Entry'!AF$5)),1))),"No data"))</f>
        <v/>
      </c>
      <c r="AG12" s="13">
        <f>IF('Council Entry'!AG12="","",IFERROR(MAX(0,MIN(10,ROUND(IF('Council Entry'!AG$7="Decrease Risk",10-10*((IF('Council Entry'!AG$4="Logarithm",LN(0.001+IF(AND(ISNUMBER('Council Entry'!AG$8),ISNUMBER('Council Entry'!AG$9)),MAX(MIN('Council Entry'!AG12,'Council Entry'!AG$9),'Council Entry'!AG$8),'Council Entry'!AG12)),IF('Council Entry'!AG$4="Exponential",EXP(IF(AND(ISNUMBER('Council Entry'!AG$8),ISNUMBER('Council Entry'!AG$9)),MAX(MIN('Council Entry'!AG12,'Council Entry'!AG$9),'Council Entry'!AG$8),'Council Entry'!AG12)),IF(AND(ISNUMBER('Council Entry'!AG$8),ISNUMBER('Council Entry'!AG$9)),MAX(MIN('Council Entry'!AG12,'Council Entry'!AG$9),'Council Entry'!AG$8),'Council Entry'!AG12))))-'Council Entry'!AG$5)/('Council Entry'!AG$6-'Council Entry'!AG$5),10*((IF('Council Entry'!AG$4="Logarithm",LN(0.001+IF(AND(ISNUMBER('Council Entry'!AG$8),ISNUMBER('Council Entry'!AG$9)),MAX(MIN('Council Entry'!AG12,'Council Entry'!AG$9),'Council Entry'!AG$8),'Council Entry'!AG12)),IF('Council Entry'!AG$4="Exponential",EXP(IF(AND(ISNUMBER('Council Entry'!AG$8),ISNUMBER('Council Entry'!AG$9)),MAX(MIN('Council Entry'!AG12,'Council Entry'!AG$9),'Council Entry'!AG$8),'Council Entry'!AG12)),IF(AND(ISNUMBER('Council Entry'!AG$8),ISNUMBER('Council Entry'!AG$9)),MAX(MIN('Council Entry'!AG12,'Council Entry'!AG$9),'Council Entry'!AG$8),'Council Entry'!AG12))))-'Council Entry'!AG$5)/('Council Entry'!AG$6-'Council Entry'!AG$5)),1))),"No data"))</f>
        <v/>
      </c>
      <c r="AH12" s="13">
        <f>IF('Council Entry'!AH12="","",IFERROR(MAX(0,MIN(10,ROUND(IF('Council Entry'!AH$7="Decrease Risk",10-10*((IF('Council Entry'!AH$4="Logarithm",LN(0.001+IF(AND(ISNUMBER('Council Entry'!AH$8),ISNUMBER('Council Entry'!AH$9)),MAX(MIN('Council Entry'!AH12,'Council Entry'!AH$9),'Council Entry'!AH$8),'Council Entry'!AH12)),IF('Council Entry'!AH$4="Exponential",EXP(IF(AND(ISNUMBER('Council Entry'!AH$8),ISNUMBER('Council Entry'!AH$9)),MAX(MIN('Council Entry'!AH12,'Council Entry'!AH$9),'Council Entry'!AH$8),'Council Entry'!AH12)),IF(AND(ISNUMBER('Council Entry'!AH$8),ISNUMBER('Council Entry'!AH$9)),MAX(MIN('Council Entry'!AH12,'Council Entry'!AH$9),'Council Entry'!AH$8),'Council Entry'!AH12))))-'Council Entry'!AH$5)/('Council Entry'!AH$6-'Council Entry'!AH$5),10*((IF('Council Entry'!AH$4="Logarithm",LN(0.001+IF(AND(ISNUMBER('Council Entry'!AH$8),ISNUMBER('Council Entry'!AH$9)),MAX(MIN('Council Entry'!AH12,'Council Entry'!AH$9),'Council Entry'!AH$8),'Council Entry'!AH12)),IF('Council Entry'!AH$4="Exponential",EXP(IF(AND(ISNUMBER('Council Entry'!AH$8),ISNUMBER('Council Entry'!AH$9)),MAX(MIN('Council Entry'!AH12,'Council Entry'!AH$9),'Council Entry'!AH$8),'Council Entry'!AH12)),IF(AND(ISNUMBER('Council Entry'!AH$8),ISNUMBER('Council Entry'!AH$9)),MAX(MIN('Council Entry'!AH12,'Council Entry'!AH$9),'Council Entry'!AH$8),'Council Entry'!AH12))))-'Council Entry'!AH$5)/('Council Entry'!AH$6-'Council Entry'!AH$5)),1))),"No data"))</f>
        <v/>
      </c>
      <c r="AI12" s="13">
        <f>IF('Council Entry'!AI12="","",IFERROR(MAX(0,MIN(10,ROUND(IF('Council Entry'!AI$7="Decrease Risk",10-10*((IF('Council Entry'!AI$4="Logarithm",LN(0.001+IF(AND(ISNUMBER('Council Entry'!AI$8),ISNUMBER('Council Entry'!AI$9)),MAX(MIN('Council Entry'!AI12,'Council Entry'!AI$9),'Council Entry'!AI$8),'Council Entry'!AI12)),IF('Council Entry'!AI$4="Exponential",EXP(IF(AND(ISNUMBER('Council Entry'!AI$8),ISNUMBER('Council Entry'!AI$9)),MAX(MIN('Council Entry'!AI12,'Council Entry'!AI$9),'Council Entry'!AI$8),'Council Entry'!AI12)),IF(AND(ISNUMBER('Council Entry'!AI$8),ISNUMBER('Council Entry'!AI$9)),MAX(MIN('Council Entry'!AI12,'Council Entry'!AI$9),'Council Entry'!AI$8),'Council Entry'!AI12))))-'Council Entry'!AI$5)/('Council Entry'!AI$6-'Council Entry'!AI$5),10*((IF('Council Entry'!AI$4="Logarithm",LN(0.001+IF(AND(ISNUMBER('Council Entry'!AI$8),ISNUMBER('Council Entry'!AI$9)),MAX(MIN('Council Entry'!AI12,'Council Entry'!AI$9),'Council Entry'!AI$8),'Council Entry'!AI12)),IF('Council Entry'!AI$4="Exponential",EXP(IF(AND(ISNUMBER('Council Entry'!AI$8),ISNUMBER('Council Entry'!AI$9)),MAX(MIN('Council Entry'!AI12,'Council Entry'!AI$9),'Council Entry'!AI$8),'Council Entry'!AI12)),IF(AND(ISNUMBER('Council Entry'!AI$8),ISNUMBER('Council Entry'!AI$9)),MAX(MIN('Council Entry'!AI12,'Council Entry'!AI$9),'Council Entry'!AI$8),'Council Entry'!AI12))))-'Council Entry'!AI$5)/('Council Entry'!AI$6-'Council Entry'!AI$5)),1))),"No data"))</f>
        <v/>
      </c>
      <c r="AJ12" s="13">
        <f>IF('Council Entry'!AJ12="","",IFERROR(MAX(0,MIN(10,ROUND(IF('Council Entry'!AJ$7="Decrease Risk",10-10*((IF('Council Entry'!AJ$4="Logarithm",LN(0.001+IF(AND(ISNUMBER('Council Entry'!AJ$8),ISNUMBER('Council Entry'!AJ$9)),MAX(MIN('Council Entry'!AJ12,'Council Entry'!AJ$9),'Council Entry'!AJ$8),'Council Entry'!AJ12)),IF('Council Entry'!AJ$4="Exponential",EXP(IF(AND(ISNUMBER('Council Entry'!AJ$8),ISNUMBER('Council Entry'!AJ$9)),MAX(MIN('Council Entry'!AJ12,'Council Entry'!AJ$9),'Council Entry'!AJ$8),'Council Entry'!AJ12)),IF(AND(ISNUMBER('Council Entry'!AJ$8),ISNUMBER('Council Entry'!AJ$9)),MAX(MIN('Council Entry'!AJ12,'Council Entry'!AJ$9),'Council Entry'!AJ$8),'Council Entry'!AJ12))))-'Council Entry'!AJ$5)/('Council Entry'!AJ$6-'Council Entry'!AJ$5),10*((IF('Council Entry'!AJ$4="Logarithm",LN(0.001+IF(AND(ISNUMBER('Council Entry'!AJ$8),ISNUMBER('Council Entry'!AJ$9)),MAX(MIN('Council Entry'!AJ12,'Council Entry'!AJ$9),'Council Entry'!AJ$8),'Council Entry'!AJ12)),IF('Council Entry'!AJ$4="Exponential",EXP(IF(AND(ISNUMBER('Council Entry'!AJ$8),ISNUMBER('Council Entry'!AJ$9)),MAX(MIN('Council Entry'!AJ12,'Council Entry'!AJ$9),'Council Entry'!AJ$8),'Council Entry'!AJ12)),IF(AND(ISNUMBER('Council Entry'!AJ$8),ISNUMBER('Council Entry'!AJ$9)),MAX(MIN('Council Entry'!AJ12,'Council Entry'!AJ$9),'Council Entry'!AJ$8),'Council Entry'!AJ12))))-'Council Entry'!AJ$5)/('Council Entry'!AJ$6-'Council Entry'!AJ$5)),1))),"No data"))</f>
        <v/>
      </c>
      <c r="AK12" s="13">
        <f>IF('Council Entry'!AK12="","",IFERROR(MAX(0,MIN(10,ROUND(IF('Council Entry'!AK$7="Decrease Risk",10-10*((IF('Council Entry'!AK$4="Logarithm",LN(0.001+IF(AND(ISNUMBER('Council Entry'!AK$8),ISNUMBER('Council Entry'!AK$9)),MAX(MIN('Council Entry'!AK12,'Council Entry'!AK$9),'Council Entry'!AK$8),'Council Entry'!AK12)),IF('Council Entry'!AK$4="Exponential",EXP(IF(AND(ISNUMBER('Council Entry'!AK$8),ISNUMBER('Council Entry'!AK$9)),MAX(MIN('Council Entry'!AK12,'Council Entry'!AK$9),'Council Entry'!AK$8),'Council Entry'!AK12)),IF(AND(ISNUMBER('Council Entry'!AK$8),ISNUMBER('Council Entry'!AK$9)),MAX(MIN('Council Entry'!AK12,'Council Entry'!AK$9),'Council Entry'!AK$8),'Council Entry'!AK12))))-'Council Entry'!AK$5)/('Council Entry'!AK$6-'Council Entry'!AK$5),10*((IF('Council Entry'!AK$4="Logarithm",LN(0.001+IF(AND(ISNUMBER('Council Entry'!AK$8),ISNUMBER('Council Entry'!AK$9)),MAX(MIN('Council Entry'!AK12,'Council Entry'!AK$9),'Council Entry'!AK$8),'Council Entry'!AK12)),IF('Council Entry'!AK$4="Exponential",EXP(IF(AND(ISNUMBER('Council Entry'!AK$8),ISNUMBER('Council Entry'!AK$9)),MAX(MIN('Council Entry'!AK12,'Council Entry'!AK$9),'Council Entry'!AK$8),'Council Entry'!AK12)),IF(AND(ISNUMBER('Council Entry'!AK$8),ISNUMBER('Council Entry'!AK$9)),MAX(MIN('Council Entry'!AK12,'Council Entry'!AK$9),'Council Entry'!AK$8),'Council Entry'!AK12))))-'Council Entry'!AK$5)/('Council Entry'!AK$6-'Council Entry'!AK$5)),1))),"No data"))</f>
        <v/>
      </c>
      <c r="AL12" s="13">
        <f>IF('Council Entry'!AL12="","",IFERROR(MAX(0,MIN(10,ROUND(IF('Council Entry'!AL$7="Decrease Risk",10-10*((IF('Council Entry'!AL$4="Logarithm",LN(0.001+IF(AND(ISNUMBER('Council Entry'!AL$8),ISNUMBER('Council Entry'!AL$9)),MAX(MIN('Council Entry'!AL12,'Council Entry'!AL$9),'Council Entry'!AL$8),'Council Entry'!AL12)),IF('Council Entry'!AL$4="Exponential",EXP(IF(AND(ISNUMBER('Council Entry'!AL$8),ISNUMBER('Council Entry'!AL$9)),MAX(MIN('Council Entry'!AL12,'Council Entry'!AL$9),'Council Entry'!AL$8),'Council Entry'!AL12)),IF(AND(ISNUMBER('Council Entry'!AL$8),ISNUMBER('Council Entry'!AL$9)),MAX(MIN('Council Entry'!AL12,'Council Entry'!AL$9),'Council Entry'!AL$8),'Council Entry'!AL12))))-'Council Entry'!AL$5)/('Council Entry'!AL$6-'Council Entry'!AL$5),10*((IF('Council Entry'!AL$4="Logarithm",LN(0.001+IF(AND(ISNUMBER('Council Entry'!AL$8),ISNUMBER('Council Entry'!AL$9)),MAX(MIN('Council Entry'!AL12,'Council Entry'!AL$9),'Council Entry'!AL$8),'Council Entry'!AL12)),IF('Council Entry'!AL$4="Exponential",EXP(IF(AND(ISNUMBER('Council Entry'!AL$8),ISNUMBER('Council Entry'!AL$9)),MAX(MIN('Council Entry'!AL12,'Council Entry'!AL$9),'Council Entry'!AL$8),'Council Entry'!AL12)),IF(AND(ISNUMBER('Council Entry'!AL$8),ISNUMBER('Council Entry'!AL$9)),MAX(MIN('Council Entry'!AL12,'Council Entry'!AL$9),'Council Entry'!AL$8),'Council Entry'!AL12))))-'Council Entry'!AL$5)/('Council Entry'!AL$6-'Council Entry'!AL$5)),1))),"No data"))</f>
        <v/>
      </c>
      <c r="AM12" s="13">
        <f>IF('Council Entry'!AM12="","",IFERROR(MAX(0,MIN(10,ROUND(IF('Council Entry'!AM$7="Decrease Risk",10-10*((IF('Council Entry'!AM$4="Logarithm",LN(0.001+IF(AND(ISNUMBER('Council Entry'!AM$8),ISNUMBER('Council Entry'!AM$9)),MAX(MIN('Council Entry'!AM12,'Council Entry'!AM$9),'Council Entry'!AM$8),'Council Entry'!AM12)),IF('Council Entry'!AM$4="Exponential",EXP(IF(AND(ISNUMBER('Council Entry'!AM$8),ISNUMBER('Council Entry'!AM$9)),MAX(MIN('Council Entry'!AM12,'Council Entry'!AM$9),'Council Entry'!AM$8),'Council Entry'!AM12)),IF(AND(ISNUMBER('Council Entry'!AM$8),ISNUMBER('Council Entry'!AM$9)),MAX(MIN('Council Entry'!AM12,'Council Entry'!AM$9),'Council Entry'!AM$8),'Council Entry'!AM12))))-'Council Entry'!AM$5)/('Council Entry'!AM$6-'Council Entry'!AM$5),10*((IF('Council Entry'!AM$4="Logarithm",LN(0.001+IF(AND(ISNUMBER('Council Entry'!AM$8),ISNUMBER('Council Entry'!AM$9)),MAX(MIN('Council Entry'!AM12,'Council Entry'!AM$9),'Council Entry'!AM$8),'Council Entry'!AM12)),IF('Council Entry'!AM$4="Exponential",EXP(IF(AND(ISNUMBER('Council Entry'!AM$8),ISNUMBER('Council Entry'!AM$9)),MAX(MIN('Council Entry'!AM12,'Council Entry'!AM$9),'Council Entry'!AM$8),'Council Entry'!AM12)),IF(AND(ISNUMBER('Council Entry'!AM$8),ISNUMBER('Council Entry'!AM$9)),MAX(MIN('Council Entry'!AM12,'Council Entry'!AM$9),'Council Entry'!AM$8),'Council Entry'!AM12))))-'Council Entry'!AM$5)/('Council Entry'!AM$6-'Council Entry'!AM$5)),1))),"No data"))</f>
        <v/>
      </c>
      <c r="AN12" s="13">
        <f>IF('Council Entry'!AN12="","",IFERROR(MAX(0,MIN(10,ROUND(IF('Council Entry'!AN$7="Decrease Risk",10-10*((IF('Council Entry'!AN$4="Logarithm",LN(0.001+IF(AND(ISNUMBER('Council Entry'!AN$8),ISNUMBER('Council Entry'!AN$9)),MAX(MIN('Council Entry'!AN12,'Council Entry'!AN$9),'Council Entry'!AN$8),'Council Entry'!AN12)),IF('Council Entry'!AN$4="Exponential",EXP(IF(AND(ISNUMBER('Council Entry'!AN$8),ISNUMBER('Council Entry'!AN$9)),MAX(MIN('Council Entry'!AN12,'Council Entry'!AN$9),'Council Entry'!AN$8),'Council Entry'!AN12)),IF(AND(ISNUMBER('Council Entry'!AN$8),ISNUMBER('Council Entry'!AN$9)),MAX(MIN('Council Entry'!AN12,'Council Entry'!AN$9),'Council Entry'!AN$8),'Council Entry'!AN12))))-'Council Entry'!AN$5)/('Council Entry'!AN$6-'Council Entry'!AN$5),10*((IF('Council Entry'!AN$4="Logarithm",LN(0.001+IF(AND(ISNUMBER('Council Entry'!AN$8),ISNUMBER('Council Entry'!AN$9)),MAX(MIN('Council Entry'!AN12,'Council Entry'!AN$9),'Council Entry'!AN$8),'Council Entry'!AN12)),IF('Council Entry'!AN$4="Exponential",EXP(IF(AND(ISNUMBER('Council Entry'!AN$8),ISNUMBER('Council Entry'!AN$9)),MAX(MIN('Council Entry'!AN12,'Council Entry'!AN$9),'Council Entry'!AN$8),'Council Entry'!AN12)),IF(AND(ISNUMBER('Council Entry'!AN$8),ISNUMBER('Council Entry'!AN$9)),MAX(MIN('Council Entry'!AN12,'Council Entry'!AN$9),'Council Entry'!AN$8),'Council Entry'!AN12))))-'Council Entry'!AN$5)/('Council Entry'!AN$6-'Council Entry'!AN$5)),1))),"No data"))</f>
        <v/>
      </c>
      <c r="AO12" s="13">
        <f>IF('Council Entry'!AO12="","",IFERROR(MAX(0,MIN(10,ROUND(IF('Council Entry'!AO$7="Decrease Risk",10-10*((IF('Council Entry'!AO$4="Logarithm",LN(0.001+IF(AND(ISNUMBER('Council Entry'!AO$8),ISNUMBER('Council Entry'!AO$9)),MAX(MIN('Council Entry'!AO12,'Council Entry'!AO$9),'Council Entry'!AO$8),'Council Entry'!AO12)),IF('Council Entry'!AO$4="Exponential",EXP(IF(AND(ISNUMBER('Council Entry'!AO$8),ISNUMBER('Council Entry'!AO$9)),MAX(MIN('Council Entry'!AO12,'Council Entry'!AO$9),'Council Entry'!AO$8),'Council Entry'!AO12)),IF(AND(ISNUMBER('Council Entry'!AO$8),ISNUMBER('Council Entry'!AO$9)),MAX(MIN('Council Entry'!AO12,'Council Entry'!AO$9),'Council Entry'!AO$8),'Council Entry'!AO12))))-'Council Entry'!AO$5)/('Council Entry'!AO$6-'Council Entry'!AO$5),10*((IF('Council Entry'!AO$4="Logarithm",LN(0.001+IF(AND(ISNUMBER('Council Entry'!AO$8),ISNUMBER('Council Entry'!AO$9)),MAX(MIN('Council Entry'!AO12,'Council Entry'!AO$9),'Council Entry'!AO$8),'Council Entry'!AO12)),IF('Council Entry'!AO$4="Exponential",EXP(IF(AND(ISNUMBER('Council Entry'!AO$8),ISNUMBER('Council Entry'!AO$9)),MAX(MIN('Council Entry'!AO12,'Council Entry'!AO$9),'Council Entry'!AO$8),'Council Entry'!AO12)),IF(AND(ISNUMBER('Council Entry'!AO$8),ISNUMBER('Council Entry'!AO$9)),MAX(MIN('Council Entry'!AO12,'Council Entry'!AO$9),'Council Entry'!AO$8),'Council Entry'!AO12))))-'Council Entry'!AO$5)/('Council Entry'!AO$6-'Council Entry'!AO$5)),1))),"No data"))</f>
        <v/>
      </c>
      <c r="AP12" s="13">
        <f>IF('Council Entry'!AP12="","",IFERROR(MAX(0,MIN(10,ROUND(IF('Council Entry'!AP$7="Decrease Risk",10-10*((IF('Council Entry'!AP$4="Logarithm",LN(0.001+IF(AND(ISNUMBER('Council Entry'!AP$8),ISNUMBER('Council Entry'!AP$9)),MAX(MIN('Council Entry'!AP12,'Council Entry'!AP$9),'Council Entry'!AP$8),'Council Entry'!AP12)),IF('Council Entry'!AP$4="Exponential",EXP(IF(AND(ISNUMBER('Council Entry'!AP$8),ISNUMBER('Council Entry'!AP$9)),MAX(MIN('Council Entry'!AP12,'Council Entry'!AP$9),'Council Entry'!AP$8),'Council Entry'!AP12)),IF(AND(ISNUMBER('Council Entry'!AP$8),ISNUMBER('Council Entry'!AP$9)),MAX(MIN('Council Entry'!AP12,'Council Entry'!AP$9),'Council Entry'!AP$8),'Council Entry'!AP12))))-'Council Entry'!AP$5)/('Council Entry'!AP$6-'Council Entry'!AP$5),10*((IF('Council Entry'!AP$4="Logarithm",LN(0.001+IF(AND(ISNUMBER('Council Entry'!AP$8),ISNUMBER('Council Entry'!AP$9)),MAX(MIN('Council Entry'!AP12,'Council Entry'!AP$9),'Council Entry'!AP$8),'Council Entry'!AP12)),IF('Council Entry'!AP$4="Exponential",EXP(IF(AND(ISNUMBER('Council Entry'!AP$8),ISNUMBER('Council Entry'!AP$9)),MAX(MIN('Council Entry'!AP12,'Council Entry'!AP$9),'Council Entry'!AP$8),'Council Entry'!AP12)),IF(AND(ISNUMBER('Council Entry'!AP$8),ISNUMBER('Council Entry'!AP$9)),MAX(MIN('Council Entry'!AP12,'Council Entry'!AP$9),'Council Entry'!AP$8),'Council Entry'!AP12))))-'Council Entry'!AP$5)/('Council Entry'!AP$6-'Council Entry'!AP$5)),1))),"No data"))</f>
        <v/>
      </c>
      <c r="AQ12" s="13">
        <f>IF('Council Entry'!AQ12="","",IFERROR(MAX(0,MIN(10,ROUND(IF('Council Entry'!AQ$7="Decrease Risk",10-10*((IF('Council Entry'!AQ$4="Logarithm",LN(0.001+IF(AND(ISNUMBER('Council Entry'!AQ$8),ISNUMBER('Council Entry'!AQ$9)),MAX(MIN('Council Entry'!AQ12,'Council Entry'!AQ$9),'Council Entry'!AQ$8),'Council Entry'!AQ12)),IF('Council Entry'!AQ$4="Exponential",EXP(IF(AND(ISNUMBER('Council Entry'!AQ$8),ISNUMBER('Council Entry'!AQ$9)),MAX(MIN('Council Entry'!AQ12,'Council Entry'!AQ$9),'Council Entry'!AQ$8),'Council Entry'!AQ12)),IF(AND(ISNUMBER('Council Entry'!AQ$8),ISNUMBER('Council Entry'!AQ$9)),MAX(MIN('Council Entry'!AQ12,'Council Entry'!AQ$9),'Council Entry'!AQ$8),'Council Entry'!AQ12))))-'Council Entry'!AQ$5)/('Council Entry'!AQ$6-'Council Entry'!AQ$5),10*((IF('Council Entry'!AQ$4="Logarithm",LN(0.001+IF(AND(ISNUMBER('Council Entry'!AQ$8),ISNUMBER('Council Entry'!AQ$9)),MAX(MIN('Council Entry'!AQ12,'Council Entry'!AQ$9),'Council Entry'!AQ$8),'Council Entry'!AQ12)),IF('Council Entry'!AQ$4="Exponential",EXP(IF(AND(ISNUMBER('Council Entry'!AQ$8),ISNUMBER('Council Entry'!AQ$9)),MAX(MIN('Council Entry'!AQ12,'Council Entry'!AQ$9),'Council Entry'!AQ$8),'Council Entry'!AQ12)),IF(AND(ISNUMBER('Council Entry'!AQ$8),ISNUMBER('Council Entry'!AQ$9)),MAX(MIN('Council Entry'!AQ12,'Council Entry'!AQ$9),'Council Entry'!AQ$8),'Council Entry'!AQ12))))-'Council Entry'!AQ$5)/('Council Entry'!AQ$6-'Council Entry'!AQ$5)),1))),"No data"))</f>
        <v/>
      </c>
      <c r="AR12" s="13">
        <f>IF('Council Entry'!AR12="","",IFERROR(MAX(0,MIN(10,ROUND(IF('Council Entry'!AR$7="Decrease Risk",10-10*((IF('Council Entry'!AR$4="Logarithm",LN(0.001+IF(AND(ISNUMBER('Council Entry'!AR$8),ISNUMBER('Council Entry'!AR$9)),MAX(MIN('Council Entry'!AR12,'Council Entry'!AR$9),'Council Entry'!AR$8),'Council Entry'!AR12)),IF('Council Entry'!AR$4="Exponential",EXP(IF(AND(ISNUMBER('Council Entry'!AR$8),ISNUMBER('Council Entry'!AR$9)),MAX(MIN('Council Entry'!AR12,'Council Entry'!AR$9),'Council Entry'!AR$8),'Council Entry'!AR12)),IF(AND(ISNUMBER('Council Entry'!AR$8),ISNUMBER('Council Entry'!AR$9)),MAX(MIN('Council Entry'!AR12,'Council Entry'!AR$9),'Council Entry'!AR$8),'Council Entry'!AR12))))-'Council Entry'!AR$5)/('Council Entry'!AR$6-'Council Entry'!AR$5),10*((IF('Council Entry'!AR$4="Logarithm",LN(0.001+IF(AND(ISNUMBER('Council Entry'!AR$8),ISNUMBER('Council Entry'!AR$9)),MAX(MIN('Council Entry'!AR12,'Council Entry'!AR$9),'Council Entry'!AR$8),'Council Entry'!AR12)),IF('Council Entry'!AR$4="Exponential",EXP(IF(AND(ISNUMBER('Council Entry'!AR$8),ISNUMBER('Council Entry'!AR$9)),MAX(MIN('Council Entry'!AR12,'Council Entry'!AR$9),'Council Entry'!AR$8),'Council Entry'!AR12)),IF(AND(ISNUMBER('Council Entry'!AR$8),ISNUMBER('Council Entry'!AR$9)),MAX(MIN('Council Entry'!AR12,'Council Entry'!AR$9),'Council Entry'!AR$8),'Council Entry'!AR12))))-'Council Entry'!AR$5)/('Council Entry'!AR$6-'Council Entry'!AR$5)),1))),"No data"))</f>
        <v/>
      </c>
      <c r="AS12" s="13">
        <f>IF('Council Entry'!AS12="","",IFERROR(MAX(0,MIN(10,ROUND(IF('Council Entry'!AS$7="Decrease Risk",10-10*((IF('Council Entry'!AS$4="Logarithm",LN(0.001+IF(AND(ISNUMBER('Council Entry'!AS$8),ISNUMBER('Council Entry'!AS$9)),MAX(MIN('Council Entry'!AS12,'Council Entry'!AS$9),'Council Entry'!AS$8),'Council Entry'!AS12)),IF('Council Entry'!AS$4="Exponential",EXP(IF(AND(ISNUMBER('Council Entry'!AS$8),ISNUMBER('Council Entry'!AS$9)),MAX(MIN('Council Entry'!AS12,'Council Entry'!AS$9),'Council Entry'!AS$8),'Council Entry'!AS12)),IF(AND(ISNUMBER('Council Entry'!AS$8),ISNUMBER('Council Entry'!AS$9)),MAX(MIN('Council Entry'!AS12,'Council Entry'!AS$9),'Council Entry'!AS$8),'Council Entry'!AS12))))-'Council Entry'!AS$5)/('Council Entry'!AS$6-'Council Entry'!AS$5),10*((IF('Council Entry'!AS$4="Logarithm",LN(0.001+IF(AND(ISNUMBER('Council Entry'!AS$8),ISNUMBER('Council Entry'!AS$9)),MAX(MIN('Council Entry'!AS12,'Council Entry'!AS$9),'Council Entry'!AS$8),'Council Entry'!AS12)),IF('Council Entry'!AS$4="Exponential",EXP(IF(AND(ISNUMBER('Council Entry'!AS$8),ISNUMBER('Council Entry'!AS$9)),MAX(MIN('Council Entry'!AS12,'Council Entry'!AS$9),'Council Entry'!AS$8),'Council Entry'!AS12)),IF(AND(ISNUMBER('Council Entry'!AS$8),ISNUMBER('Council Entry'!AS$9)),MAX(MIN('Council Entry'!AS12,'Council Entry'!AS$9),'Council Entry'!AS$8),'Council Entry'!AS12))))-'Council Entry'!AS$5)/('Council Entry'!AS$6-'Council Entry'!AS$5)),1))),"No data"))</f>
        <v/>
      </c>
      <c r="AT12" s="13">
        <f>IF('Council Entry'!AT12="","",IFERROR(MAX(0,MIN(10,ROUND(IF('Council Entry'!AT$7="Decrease Risk",10-10*((IF('Council Entry'!AT$4="Logarithm",LN(0.001+IF(AND(ISNUMBER('Council Entry'!AT$8),ISNUMBER('Council Entry'!AT$9)),MAX(MIN('Council Entry'!AT12,'Council Entry'!AT$9),'Council Entry'!AT$8),'Council Entry'!AT12)),IF('Council Entry'!AT$4="Exponential",EXP(IF(AND(ISNUMBER('Council Entry'!AT$8),ISNUMBER('Council Entry'!AT$9)),MAX(MIN('Council Entry'!AT12,'Council Entry'!AT$9),'Council Entry'!AT$8),'Council Entry'!AT12)),IF(AND(ISNUMBER('Council Entry'!AT$8),ISNUMBER('Council Entry'!AT$9)),MAX(MIN('Council Entry'!AT12,'Council Entry'!AT$9),'Council Entry'!AT$8),'Council Entry'!AT12))))-'Council Entry'!AT$5)/('Council Entry'!AT$6-'Council Entry'!AT$5),10*((IF('Council Entry'!AT$4="Logarithm",LN(0.001+IF(AND(ISNUMBER('Council Entry'!AT$8),ISNUMBER('Council Entry'!AT$9)),MAX(MIN('Council Entry'!AT12,'Council Entry'!AT$9),'Council Entry'!AT$8),'Council Entry'!AT12)),IF('Council Entry'!AT$4="Exponential",EXP(IF(AND(ISNUMBER('Council Entry'!AT$8),ISNUMBER('Council Entry'!AT$9)),MAX(MIN('Council Entry'!AT12,'Council Entry'!AT$9),'Council Entry'!AT$8),'Council Entry'!AT12)),IF(AND(ISNUMBER('Council Entry'!AT$8),ISNUMBER('Council Entry'!AT$9)),MAX(MIN('Council Entry'!AT12,'Council Entry'!AT$9),'Council Entry'!AT$8),'Council Entry'!AT12))))-'Council Entry'!AT$5)/('Council Entry'!AT$6-'Council Entry'!AT$5)),1))),"No data"))</f>
        <v/>
      </c>
      <c r="AU12" s="13">
        <f>IF('Council Entry'!AU12="","",IFERROR(MAX(0,MIN(10,ROUND(IF('Council Entry'!AU$7="Decrease Risk",10-10*((IF('Council Entry'!AU$4="Logarithm",LN(0.001+IF(AND(ISNUMBER('Council Entry'!AU$8),ISNUMBER('Council Entry'!AU$9)),MAX(MIN('Council Entry'!AU12,'Council Entry'!AU$9),'Council Entry'!AU$8),'Council Entry'!AU12)),IF('Council Entry'!AU$4="Exponential",EXP(IF(AND(ISNUMBER('Council Entry'!AU$8),ISNUMBER('Council Entry'!AU$9)),MAX(MIN('Council Entry'!AU12,'Council Entry'!AU$9),'Council Entry'!AU$8),'Council Entry'!AU12)),IF(AND(ISNUMBER('Council Entry'!AU$8),ISNUMBER('Council Entry'!AU$9)),MAX(MIN('Council Entry'!AU12,'Council Entry'!AU$9),'Council Entry'!AU$8),'Council Entry'!AU12))))-'Council Entry'!AU$5)/('Council Entry'!AU$6-'Council Entry'!AU$5),10*((IF('Council Entry'!AU$4="Logarithm",LN(0.001+IF(AND(ISNUMBER('Council Entry'!AU$8),ISNUMBER('Council Entry'!AU$9)),MAX(MIN('Council Entry'!AU12,'Council Entry'!AU$9),'Council Entry'!AU$8),'Council Entry'!AU12)),IF('Council Entry'!AU$4="Exponential",EXP(IF(AND(ISNUMBER('Council Entry'!AU$8),ISNUMBER('Council Entry'!AU$9)),MAX(MIN('Council Entry'!AU12,'Council Entry'!AU$9),'Council Entry'!AU$8),'Council Entry'!AU12)),IF(AND(ISNUMBER('Council Entry'!AU$8),ISNUMBER('Council Entry'!AU$9)),MAX(MIN('Council Entry'!AU12,'Council Entry'!AU$9),'Council Entry'!AU$8),'Council Entry'!AU12))))-'Council Entry'!AU$5)/('Council Entry'!AU$6-'Council Entry'!AU$5)),1))),"No data"))</f>
        <v/>
      </c>
      <c r="AV12" s="13">
        <f>IF('Council Entry'!AV12="","",IFERROR(MAX(0,MIN(10,ROUND(IF('Council Entry'!AV$7="Decrease Risk",10-10*((IF('Council Entry'!AV$4="Logarithm",LN(0.001+IF(AND(ISNUMBER('Council Entry'!AV$8),ISNUMBER('Council Entry'!AV$9)),MAX(MIN('Council Entry'!AV12,'Council Entry'!AV$9),'Council Entry'!AV$8),'Council Entry'!AV12)),IF('Council Entry'!AV$4="Exponential",EXP(IF(AND(ISNUMBER('Council Entry'!AV$8),ISNUMBER('Council Entry'!AV$9)),MAX(MIN('Council Entry'!AV12,'Council Entry'!AV$9),'Council Entry'!AV$8),'Council Entry'!AV12)),IF(AND(ISNUMBER('Council Entry'!AV$8),ISNUMBER('Council Entry'!AV$9)),MAX(MIN('Council Entry'!AV12,'Council Entry'!AV$9),'Council Entry'!AV$8),'Council Entry'!AV12))))-'Council Entry'!AV$5)/('Council Entry'!AV$6-'Council Entry'!AV$5),10*((IF('Council Entry'!AV$4="Logarithm",LN(0.001+IF(AND(ISNUMBER('Council Entry'!AV$8),ISNUMBER('Council Entry'!AV$9)),MAX(MIN('Council Entry'!AV12,'Council Entry'!AV$9),'Council Entry'!AV$8),'Council Entry'!AV12)),IF('Council Entry'!AV$4="Exponential",EXP(IF(AND(ISNUMBER('Council Entry'!AV$8),ISNUMBER('Council Entry'!AV$9)),MAX(MIN('Council Entry'!AV12,'Council Entry'!AV$9),'Council Entry'!AV$8),'Council Entry'!AV12)),IF(AND(ISNUMBER('Council Entry'!AV$8),ISNUMBER('Council Entry'!AV$9)),MAX(MIN('Council Entry'!AV12,'Council Entry'!AV$9),'Council Entry'!AV$8),'Council Entry'!AV12))))-'Council Entry'!AV$5)/('Council Entry'!AV$6-'Council Entry'!AV$5)),1))),"No data"))</f>
        <v/>
      </c>
      <c r="AW12" s="13">
        <f>IF('Council Entry'!AW12="","",IFERROR(MAX(0,MIN(10,ROUND(IF('Council Entry'!AW$7="Decrease Risk",10-10*((IF('Council Entry'!AW$4="Logarithm",LN(0.001+IF(AND(ISNUMBER('Council Entry'!AW$8),ISNUMBER('Council Entry'!AW$9)),MAX(MIN('Council Entry'!AW12,'Council Entry'!AW$9),'Council Entry'!AW$8),'Council Entry'!AW12)),IF('Council Entry'!AW$4="Exponential",EXP(IF(AND(ISNUMBER('Council Entry'!AW$8),ISNUMBER('Council Entry'!AW$9)),MAX(MIN('Council Entry'!AW12,'Council Entry'!AW$9),'Council Entry'!AW$8),'Council Entry'!AW12)),IF(AND(ISNUMBER('Council Entry'!AW$8),ISNUMBER('Council Entry'!AW$9)),MAX(MIN('Council Entry'!AW12,'Council Entry'!AW$9),'Council Entry'!AW$8),'Council Entry'!AW12))))-'Council Entry'!AW$5)/('Council Entry'!AW$6-'Council Entry'!AW$5),10*((IF('Council Entry'!AW$4="Logarithm",LN(0.001+IF(AND(ISNUMBER('Council Entry'!AW$8),ISNUMBER('Council Entry'!AW$9)),MAX(MIN('Council Entry'!AW12,'Council Entry'!AW$9),'Council Entry'!AW$8),'Council Entry'!AW12)),IF('Council Entry'!AW$4="Exponential",EXP(IF(AND(ISNUMBER('Council Entry'!AW$8),ISNUMBER('Council Entry'!AW$9)),MAX(MIN('Council Entry'!AW12,'Council Entry'!AW$9),'Council Entry'!AW$8),'Council Entry'!AW12)),IF(AND(ISNUMBER('Council Entry'!AW$8),ISNUMBER('Council Entry'!AW$9)),MAX(MIN('Council Entry'!AW12,'Council Entry'!AW$9),'Council Entry'!AW$8),'Council Entry'!AW12))))-'Council Entry'!AW$5)/('Council Entry'!AW$6-'Council Entry'!AW$5)),1))),"No data"))</f>
        <v/>
      </c>
      <c r="AX12" s="13">
        <f>IF('Council Entry'!AX12="","",IFERROR(MAX(0,MIN(10,ROUND(IF('Council Entry'!AX$7="Decrease Risk",10-10*((IF('Council Entry'!AX$4="Logarithm",LN(0.001+IF(AND(ISNUMBER('Council Entry'!AX$8),ISNUMBER('Council Entry'!AX$9)),MAX(MIN('Council Entry'!AX12,'Council Entry'!AX$9),'Council Entry'!AX$8),'Council Entry'!AX12)),IF('Council Entry'!AX$4="Exponential",EXP(IF(AND(ISNUMBER('Council Entry'!AX$8),ISNUMBER('Council Entry'!AX$9)),MAX(MIN('Council Entry'!AX12,'Council Entry'!AX$9),'Council Entry'!AX$8),'Council Entry'!AX12)),IF(AND(ISNUMBER('Council Entry'!AX$8),ISNUMBER('Council Entry'!AX$9)),MAX(MIN('Council Entry'!AX12,'Council Entry'!AX$9),'Council Entry'!AX$8),'Council Entry'!AX12))))-'Council Entry'!AX$5)/('Council Entry'!AX$6-'Council Entry'!AX$5),10*((IF('Council Entry'!AX$4="Logarithm",LN(0.001+IF(AND(ISNUMBER('Council Entry'!AX$8),ISNUMBER('Council Entry'!AX$9)),MAX(MIN('Council Entry'!AX12,'Council Entry'!AX$9),'Council Entry'!AX$8),'Council Entry'!AX12)),IF('Council Entry'!AX$4="Exponential",EXP(IF(AND(ISNUMBER('Council Entry'!AX$8),ISNUMBER('Council Entry'!AX$9)),MAX(MIN('Council Entry'!AX12,'Council Entry'!AX$9),'Council Entry'!AX$8),'Council Entry'!AX12)),IF(AND(ISNUMBER('Council Entry'!AX$8),ISNUMBER('Council Entry'!AX$9)),MAX(MIN('Council Entry'!AX12,'Council Entry'!AX$9),'Council Entry'!AX$8),'Council Entry'!AX12))))-'Council Entry'!AX$5)/('Council Entry'!AX$6-'Council Entry'!AX$5)),1))),"No data"))</f>
        <v/>
      </c>
      <c r="AY12" s="13">
        <f>IF('Council Entry'!AY12="","",IFERROR(MAX(0,MIN(10,ROUND(IF('Council Entry'!AY$7="Decrease Risk",10-10*((IF('Council Entry'!AY$4="Logarithm",LN(0.001+IF(AND(ISNUMBER('Council Entry'!AY$8),ISNUMBER('Council Entry'!AY$9)),MAX(MIN('Council Entry'!AY12,'Council Entry'!AY$9),'Council Entry'!AY$8),'Council Entry'!AY12)),IF('Council Entry'!AY$4="Exponential",EXP(IF(AND(ISNUMBER('Council Entry'!AY$8),ISNUMBER('Council Entry'!AY$9)),MAX(MIN('Council Entry'!AY12,'Council Entry'!AY$9),'Council Entry'!AY$8),'Council Entry'!AY12)),IF(AND(ISNUMBER('Council Entry'!AY$8),ISNUMBER('Council Entry'!AY$9)),MAX(MIN('Council Entry'!AY12,'Council Entry'!AY$9),'Council Entry'!AY$8),'Council Entry'!AY12))))-'Council Entry'!AY$5)/('Council Entry'!AY$6-'Council Entry'!AY$5),10*((IF('Council Entry'!AY$4="Logarithm",LN(0.001+IF(AND(ISNUMBER('Council Entry'!AY$8),ISNUMBER('Council Entry'!AY$9)),MAX(MIN('Council Entry'!AY12,'Council Entry'!AY$9),'Council Entry'!AY$8),'Council Entry'!AY12)),IF('Council Entry'!AY$4="Exponential",EXP(IF(AND(ISNUMBER('Council Entry'!AY$8),ISNUMBER('Council Entry'!AY$9)),MAX(MIN('Council Entry'!AY12,'Council Entry'!AY$9),'Council Entry'!AY$8),'Council Entry'!AY12)),IF(AND(ISNUMBER('Council Entry'!AY$8),ISNUMBER('Council Entry'!AY$9)),MAX(MIN('Council Entry'!AY12,'Council Entry'!AY$9),'Council Entry'!AY$8),'Council Entry'!AY12))))-'Council Entry'!AY$5)/('Council Entry'!AY$6-'Council Entry'!AY$5)),1))),"No data"))</f>
        <v/>
      </c>
      <c r="AZ12" s="13">
        <f>IF('Council Entry'!AZ12="","",IFERROR(MAX(0,MIN(10,ROUND(IF('Council Entry'!AZ$7="Decrease Risk",10-10*((IF('Council Entry'!AZ$4="Logarithm",LN(0.001+IF(AND(ISNUMBER('Council Entry'!AZ$8),ISNUMBER('Council Entry'!AZ$9)),MAX(MIN('Council Entry'!AZ12,'Council Entry'!AZ$9),'Council Entry'!AZ$8),'Council Entry'!AZ12)),IF('Council Entry'!AZ$4="Exponential",EXP(IF(AND(ISNUMBER('Council Entry'!AZ$8),ISNUMBER('Council Entry'!AZ$9)),MAX(MIN('Council Entry'!AZ12,'Council Entry'!AZ$9),'Council Entry'!AZ$8),'Council Entry'!AZ12)),IF(AND(ISNUMBER('Council Entry'!AZ$8),ISNUMBER('Council Entry'!AZ$9)),MAX(MIN('Council Entry'!AZ12,'Council Entry'!AZ$9),'Council Entry'!AZ$8),'Council Entry'!AZ12))))-'Council Entry'!AZ$5)/('Council Entry'!AZ$6-'Council Entry'!AZ$5),10*((IF('Council Entry'!AZ$4="Logarithm",LN(0.001+IF(AND(ISNUMBER('Council Entry'!AZ$8),ISNUMBER('Council Entry'!AZ$9)),MAX(MIN('Council Entry'!AZ12,'Council Entry'!AZ$9),'Council Entry'!AZ$8),'Council Entry'!AZ12)),IF('Council Entry'!AZ$4="Exponential",EXP(IF(AND(ISNUMBER('Council Entry'!AZ$8),ISNUMBER('Council Entry'!AZ$9)),MAX(MIN('Council Entry'!AZ12,'Council Entry'!AZ$9),'Council Entry'!AZ$8),'Council Entry'!AZ12)),IF(AND(ISNUMBER('Council Entry'!AZ$8),ISNUMBER('Council Entry'!AZ$9)),MAX(MIN('Council Entry'!AZ12,'Council Entry'!AZ$9),'Council Entry'!AZ$8),'Council Entry'!AZ12))))-'Council Entry'!AZ$5)/('Council Entry'!AZ$6-'Council Entry'!AZ$5)),1))),"No data"))</f>
        <v/>
      </c>
      <c r="BA12" s="13">
        <f>IF('Council Entry'!BA12="","",IFERROR(MAX(0,MIN(10,ROUND(IF('Council Entry'!BA$7="Decrease Risk",10-10*((IF('Council Entry'!BA$4="Logarithm",LN(0.001+IF(AND(ISNUMBER('Council Entry'!BA$8),ISNUMBER('Council Entry'!BA$9)),MAX(MIN('Council Entry'!BA12,'Council Entry'!BA$9),'Council Entry'!BA$8),'Council Entry'!BA12)),IF('Council Entry'!BA$4="Exponential",EXP(IF(AND(ISNUMBER('Council Entry'!BA$8),ISNUMBER('Council Entry'!BA$9)),MAX(MIN('Council Entry'!BA12,'Council Entry'!BA$9),'Council Entry'!BA$8),'Council Entry'!BA12)),IF(AND(ISNUMBER('Council Entry'!BA$8),ISNUMBER('Council Entry'!BA$9)),MAX(MIN('Council Entry'!BA12,'Council Entry'!BA$9),'Council Entry'!BA$8),'Council Entry'!BA12))))-'Council Entry'!BA$5)/('Council Entry'!BA$6-'Council Entry'!BA$5),10*((IF('Council Entry'!BA$4="Logarithm",LN(0.001+IF(AND(ISNUMBER('Council Entry'!BA$8),ISNUMBER('Council Entry'!BA$9)),MAX(MIN('Council Entry'!BA12,'Council Entry'!BA$9),'Council Entry'!BA$8),'Council Entry'!BA12)),IF('Council Entry'!BA$4="Exponential",EXP(IF(AND(ISNUMBER('Council Entry'!BA$8),ISNUMBER('Council Entry'!BA$9)),MAX(MIN('Council Entry'!BA12,'Council Entry'!BA$9),'Council Entry'!BA$8),'Council Entry'!BA12)),IF(AND(ISNUMBER('Council Entry'!BA$8),ISNUMBER('Council Entry'!BA$9)),MAX(MIN('Council Entry'!BA12,'Council Entry'!BA$9),'Council Entry'!BA$8),'Council Entry'!BA12))))-'Council Entry'!BA$5)/('Council Entry'!BA$6-'Council Entry'!BA$5)),1))),"No data"))</f>
        <v/>
      </c>
      <c r="BB12" s="13">
        <f>IF('Council Entry'!BB12="","",IFERROR(MAX(0,MIN(10,ROUND(IF('Council Entry'!BB$7="Decrease Risk",10-10*((IF('Council Entry'!BB$4="Logarithm",LN(0.001+IF(AND(ISNUMBER('Council Entry'!BB$8),ISNUMBER('Council Entry'!BB$9)),MAX(MIN('Council Entry'!BB12,'Council Entry'!BB$9),'Council Entry'!BB$8),'Council Entry'!BB12)),IF('Council Entry'!BB$4="Exponential",EXP(IF(AND(ISNUMBER('Council Entry'!BB$8),ISNUMBER('Council Entry'!BB$9)),MAX(MIN('Council Entry'!BB12,'Council Entry'!BB$9),'Council Entry'!BB$8),'Council Entry'!BB12)),IF(AND(ISNUMBER('Council Entry'!BB$8),ISNUMBER('Council Entry'!BB$9)),MAX(MIN('Council Entry'!BB12,'Council Entry'!BB$9),'Council Entry'!BB$8),'Council Entry'!BB12))))-'Council Entry'!BB$5)/('Council Entry'!BB$6-'Council Entry'!BB$5),10*((IF('Council Entry'!BB$4="Logarithm",LN(0.001+IF(AND(ISNUMBER('Council Entry'!BB$8),ISNUMBER('Council Entry'!BB$9)),MAX(MIN('Council Entry'!BB12,'Council Entry'!BB$9),'Council Entry'!BB$8),'Council Entry'!BB12)),IF('Council Entry'!BB$4="Exponential",EXP(IF(AND(ISNUMBER('Council Entry'!BB$8),ISNUMBER('Council Entry'!BB$9)),MAX(MIN('Council Entry'!BB12,'Council Entry'!BB$9),'Council Entry'!BB$8),'Council Entry'!BB12)),IF(AND(ISNUMBER('Council Entry'!BB$8),ISNUMBER('Council Entry'!BB$9)),MAX(MIN('Council Entry'!BB12,'Council Entry'!BB$9),'Council Entry'!BB$8),'Council Entry'!BB12))))-'Council Entry'!BB$5)/('Council Entry'!BB$6-'Council Entry'!BB$5)),1))),"No data"))</f>
        <v/>
      </c>
      <c r="BC12" s="13">
        <f>IF('Council Entry'!BC12="","",IFERROR(MAX(0,MIN(10,ROUND(IF('Council Entry'!BC$7="Decrease Risk",10-10*((IF('Council Entry'!BC$4="Logarithm",LN(0.001+IF(AND(ISNUMBER('Council Entry'!BC$8),ISNUMBER('Council Entry'!BC$9)),MAX(MIN('Council Entry'!BC12,'Council Entry'!BC$9),'Council Entry'!BC$8),'Council Entry'!BC12)),IF('Council Entry'!BC$4="Exponential",EXP(IF(AND(ISNUMBER('Council Entry'!BC$8),ISNUMBER('Council Entry'!BC$9)),MAX(MIN('Council Entry'!BC12,'Council Entry'!BC$9),'Council Entry'!BC$8),'Council Entry'!BC12)),IF(AND(ISNUMBER('Council Entry'!BC$8),ISNUMBER('Council Entry'!BC$9)),MAX(MIN('Council Entry'!BC12,'Council Entry'!BC$9),'Council Entry'!BC$8),'Council Entry'!BC12))))-'Council Entry'!BC$5)/('Council Entry'!BC$6-'Council Entry'!BC$5),10*((IF('Council Entry'!BC$4="Logarithm",LN(0.001+IF(AND(ISNUMBER('Council Entry'!BC$8),ISNUMBER('Council Entry'!BC$9)),MAX(MIN('Council Entry'!BC12,'Council Entry'!BC$9),'Council Entry'!BC$8),'Council Entry'!BC12)),IF('Council Entry'!BC$4="Exponential",EXP(IF(AND(ISNUMBER('Council Entry'!BC$8),ISNUMBER('Council Entry'!BC$9)),MAX(MIN('Council Entry'!BC12,'Council Entry'!BC$9),'Council Entry'!BC$8),'Council Entry'!BC12)),IF(AND(ISNUMBER('Council Entry'!BC$8),ISNUMBER('Council Entry'!BC$9)),MAX(MIN('Council Entry'!BC12,'Council Entry'!BC$9),'Council Entry'!BC$8),'Council Entry'!BC12))))-'Council Entry'!BC$5)/('Council Entry'!BC$6-'Council Entry'!BC$5)),1))),"No data"))</f>
        <v/>
      </c>
      <c r="BD12" s="13">
        <f>IF('Council Entry'!BD12="","",IFERROR(MAX(0,MIN(10,ROUND(IF('Council Entry'!BD$7="Decrease Risk",10-10*((IF('Council Entry'!BD$4="Logarithm",LN(0.001+IF(AND(ISNUMBER('Council Entry'!BD$8),ISNUMBER('Council Entry'!BD$9)),MAX(MIN('Council Entry'!BD12,'Council Entry'!BD$9),'Council Entry'!BD$8),'Council Entry'!BD12)),IF('Council Entry'!BD$4="Exponential",EXP(IF(AND(ISNUMBER('Council Entry'!BD$8),ISNUMBER('Council Entry'!BD$9)),MAX(MIN('Council Entry'!BD12,'Council Entry'!BD$9),'Council Entry'!BD$8),'Council Entry'!BD12)),IF(AND(ISNUMBER('Council Entry'!BD$8),ISNUMBER('Council Entry'!BD$9)),MAX(MIN('Council Entry'!BD12,'Council Entry'!BD$9),'Council Entry'!BD$8),'Council Entry'!BD12))))-'Council Entry'!BD$5)/('Council Entry'!BD$6-'Council Entry'!BD$5),10*((IF('Council Entry'!BD$4="Logarithm",LN(0.001+IF(AND(ISNUMBER('Council Entry'!BD$8),ISNUMBER('Council Entry'!BD$9)),MAX(MIN('Council Entry'!BD12,'Council Entry'!BD$9),'Council Entry'!BD$8),'Council Entry'!BD12)),IF('Council Entry'!BD$4="Exponential",EXP(IF(AND(ISNUMBER('Council Entry'!BD$8),ISNUMBER('Council Entry'!BD$9)),MAX(MIN('Council Entry'!BD12,'Council Entry'!BD$9),'Council Entry'!BD$8),'Council Entry'!BD12)),IF(AND(ISNUMBER('Council Entry'!BD$8),ISNUMBER('Council Entry'!BD$9)),MAX(MIN('Council Entry'!BD12,'Council Entry'!BD$9),'Council Entry'!BD$8),'Council Entry'!BD12))))-'Council Entry'!BD$5)/('Council Entry'!BD$6-'Council Entry'!BD$5)),1))),"No data"))</f>
        <v/>
      </c>
    </row>
    <row r="13">
      <c r="A13" t="inlineStr">
        <is>
          <t>Arusha</t>
        </is>
      </c>
      <c r="B13" t="inlineStr">
        <is>
          <t>Karatu District</t>
        </is>
      </c>
      <c r="C13" t="inlineStr">
        <is>
          <t>C013</t>
        </is>
      </c>
      <c r="D13" s="13">
        <f>IF('Council Entry'!D13="","",IFERROR(MAX(0,MIN(10,ROUND(IF('Council Entry'!D$7="Decrease Risk",10-10*((IF('Council Entry'!D$4="Logarithm",LN(0.001+IF(AND(ISNUMBER('Council Entry'!D$8),ISNUMBER('Council Entry'!D$9)),MAX(MIN('Council Entry'!D13,'Council Entry'!D$9),'Council Entry'!D$8),'Council Entry'!D13)),IF('Council Entry'!D$4="Exponential",EXP(IF(AND(ISNUMBER('Council Entry'!D$8),ISNUMBER('Council Entry'!D$9)),MAX(MIN('Council Entry'!D13,'Council Entry'!D$9),'Council Entry'!D$8),'Council Entry'!D13)),IF(AND(ISNUMBER('Council Entry'!D$8),ISNUMBER('Council Entry'!D$9)),MAX(MIN('Council Entry'!D13,'Council Entry'!D$9),'Council Entry'!D$8),'Council Entry'!D13))))-'Council Entry'!D$5)/('Council Entry'!D$6-'Council Entry'!D$5),10*((IF('Council Entry'!D$4="Logarithm",LN(0.001+IF(AND(ISNUMBER('Council Entry'!D$8),ISNUMBER('Council Entry'!D$9)),MAX(MIN('Council Entry'!D13,'Council Entry'!D$9),'Council Entry'!D$8),'Council Entry'!D13)),IF('Council Entry'!D$4="Exponential",EXP(IF(AND(ISNUMBER('Council Entry'!D$8),ISNUMBER('Council Entry'!D$9)),MAX(MIN('Council Entry'!D13,'Council Entry'!D$9),'Council Entry'!D$8),'Council Entry'!D13)),IF(AND(ISNUMBER('Council Entry'!D$8),ISNUMBER('Council Entry'!D$9)),MAX(MIN('Council Entry'!D13,'Council Entry'!D$9),'Council Entry'!D$8),'Council Entry'!D13))))-'Council Entry'!D$5)/('Council Entry'!D$6-'Council Entry'!D$5)),1))),"No data"))</f>
        <v/>
      </c>
      <c r="E13" s="13">
        <f>IF('Council Entry'!E13="","",IFERROR(MAX(0,MIN(10,ROUND(IF('Council Entry'!E$7="Decrease Risk",10-10*((IF('Council Entry'!E$4="Logarithm",LN(0.001+IF(AND(ISNUMBER('Council Entry'!E$8),ISNUMBER('Council Entry'!E$9)),MAX(MIN('Council Entry'!E13,'Council Entry'!E$9),'Council Entry'!E$8),'Council Entry'!E13)),IF('Council Entry'!E$4="Exponential",EXP(IF(AND(ISNUMBER('Council Entry'!E$8),ISNUMBER('Council Entry'!E$9)),MAX(MIN('Council Entry'!E13,'Council Entry'!E$9),'Council Entry'!E$8),'Council Entry'!E13)),IF(AND(ISNUMBER('Council Entry'!E$8),ISNUMBER('Council Entry'!E$9)),MAX(MIN('Council Entry'!E13,'Council Entry'!E$9),'Council Entry'!E$8),'Council Entry'!E13))))-'Council Entry'!E$5)/('Council Entry'!E$6-'Council Entry'!E$5),10*((IF('Council Entry'!E$4="Logarithm",LN(0.001+IF(AND(ISNUMBER('Council Entry'!E$8),ISNUMBER('Council Entry'!E$9)),MAX(MIN('Council Entry'!E13,'Council Entry'!E$9),'Council Entry'!E$8),'Council Entry'!E13)),IF('Council Entry'!E$4="Exponential",EXP(IF(AND(ISNUMBER('Council Entry'!E$8),ISNUMBER('Council Entry'!E$9)),MAX(MIN('Council Entry'!E13,'Council Entry'!E$9),'Council Entry'!E$8),'Council Entry'!E13)),IF(AND(ISNUMBER('Council Entry'!E$8),ISNUMBER('Council Entry'!E$9)),MAX(MIN('Council Entry'!E13,'Council Entry'!E$9),'Council Entry'!E$8),'Council Entry'!E13))))-'Council Entry'!E$5)/('Council Entry'!E$6-'Council Entry'!E$5)),1))),"No data"))</f>
        <v/>
      </c>
      <c r="F13" s="13">
        <f>IF('Council Entry'!F13="","",IFERROR(MAX(0,MIN(10,ROUND(IF('Council Entry'!F$7="Decrease Risk",10-10*((IF('Council Entry'!F$4="Logarithm",LN(0.001+IF(AND(ISNUMBER('Council Entry'!F$8),ISNUMBER('Council Entry'!F$9)),MAX(MIN('Council Entry'!F13,'Council Entry'!F$9),'Council Entry'!F$8),'Council Entry'!F13)),IF('Council Entry'!F$4="Exponential",EXP(IF(AND(ISNUMBER('Council Entry'!F$8),ISNUMBER('Council Entry'!F$9)),MAX(MIN('Council Entry'!F13,'Council Entry'!F$9),'Council Entry'!F$8),'Council Entry'!F13)),IF(AND(ISNUMBER('Council Entry'!F$8),ISNUMBER('Council Entry'!F$9)),MAX(MIN('Council Entry'!F13,'Council Entry'!F$9),'Council Entry'!F$8),'Council Entry'!F13))))-'Council Entry'!F$5)/('Council Entry'!F$6-'Council Entry'!F$5),10*((IF('Council Entry'!F$4="Logarithm",LN(0.001+IF(AND(ISNUMBER('Council Entry'!F$8),ISNUMBER('Council Entry'!F$9)),MAX(MIN('Council Entry'!F13,'Council Entry'!F$9),'Council Entry'!F$8),'Council Entry'!F13)),IF('Council Entry'!F$4="Exponential",EXP(IF(AND(ISNUMBER('Council Entry'!F$8),ISNUMBER('Council Entry'!F$9)),MAX(MIN('Council Entry'!F13,'Council Entry'!F$9),'Council Entry'!F$8),'Council Entry'!F13)),IF(AND(ISNUMBER('Council Entry'!F$8),ISNUMBER('Council Entry'!F$9)),MAX(MIN('Council Entry'!F13,'Council Entry'!F$9),'Council Entry'!F$8),'Council Entry'!F13))))-'Council Entry'!F$5)/('Council Entry'!F$6-'Council Entry'!F$5)),1))),"No data"))</f>
        <v/>
      </c>
      <c r="G13" s="13">
        <f>IF('Council Entry'!G13="","",IFERROR(MAX(0,MIN(10,ROUND(IF('Council Entry'!G$7="Decrease Risk",10-10*((IF('Council Entry'!G$4="Logarithm",LN(0.001+IF(AND(ISNUMBER('Council Entry'!G$8),ISNUMBER('Council Entry'!G$9)),MAX(MIN('Council Entry'!G13,'Council Entry'!G$9),'Council Entry'!G$8),'Council Entry'!G13)),IF('Council Entry'!G$4="Exponential",EXP(IF(AND(ISNUMBER('Council Entry'!G$8),ISNUMBER('Council Entry'!G$9)),MAX(MIN('Council Entry'!G13,'Council Entry'!G$9),'Council Entry'!G$8),'Council Entry'!G13)),IF(AND(ISNUMBER('Council Entry'!G$8),ISNUMBER('Council Entry'!G$9)),MAX(MIN('Council Entry'!G13,'Council Entry'!G$9),'Council Entry'!G$8),'Council Entry'!G13))))-'Council Entry'!G$5)/('Council Entry'!G$6-'Council Entry'!G$5),10*((IF('Council Entry'!G$4="Logarithm",LN(0.001+IF(AND(ISNUMBER('Council Entry'!G$8),ISNUMBER('Council Entry'!G$9)),MAX(MIN('Council Entry'!G13,'Council Entry'!G$9),'Council Entry'!G$8),'Council Entry'!G13)),IF('Council Entry'!G$4="Exponential",EXP(IF(AND(ISNUMBER('Council Entry'!G$8),ISNUMBER('Council Entry'!G$9)),MAX(MIN('Council Entry'!G13,'Council Entry'!G$9),'Council Entry'!G$8),'Council Entry'!G13)),IF(AND(ISNUMBER('Council Entry'!G$8),ISNUMBER('Council Entry'!G$9)),MAX(MIN('Council Entry'!G13,'Council Entry'!G$9),'Council Entry'!G$8),'Council Entry'!G13))))-'Council Entry'!G$5)/('Council Entry'!G$6-'Council Entry'!G$5)),1))),"No data"))</f>
        <v/>
      </c>
      <c r="H13" s="13">
        <f>IF('Council Entry'!H13="","",IFERROR(MAX(0,MIN(10,ROUND(IF('Council Entry'!H$7="Decrease Risk",10-10*((IF('Council Entry'!H$4="Logarithm",LN(0.001+IF(AND(ISNUMBER('Council Entry'!H$8),ISNUMBER('Council Entry'!H$9)),MAX(MIN('Council Entry'!H13,'Council Entry'!H$9),'Council Entry'!H$8),'Council Entry'!H13)),IF('Council Entry'!H$4="Exponential",EXP(IF(AND(ISNUMBER('Council Entry'!H$8),ISNUMBER('Council Entry'!H$9)),MAX(MIN('Council Entry'!H13,'Council Entry'!H$9),'Council Entry'!H$8),'Council Entry'!H13)),IF(AND(ISNUMBER('Council Entry'!H$8),ISNUMBER('Council Entry'!H$9)),MAX(MIN('Council Entry'!H13,'Council Entry'!H$9),'Council Entry'!H$8),'Council Entry'!H13))))-'Council Entry'!H$5)/('Council Entry'!H$6-'Council Entry'!H$5),10*((IF('Council Entry'!H$4="Logarithm",LN(0.001+IF(AND(ISNUMBER('Council Entry'!H$8),ISNUMBER('Council Entry'!H$9)),MAX(MIN('Council Entry'!H13,'Council Entry'!H$9),'Council Entry'!H$8),'Council Entry'!H13)),IF('Council Entry'!H$4="Exponential",EXP(IF(AND(ISNUMBER('Council Entry'!H$8),ISNUMBER('Council Entry'!H$9)),MAX(MIN('Council Entry'!H13,'Council Entry'!H$9),'Council Entry'!H$8),'Council Entry'!H13)),IF(AND(ISNUMBER('Council Entry'!H$8),ISNUMBER('Council Entry'!H$9)),MAX(MIN('Council Entry'!H13,'Council Entry'!H$9),'Council Entry'!H$8),'Council Entry'!H13))))-'Council Entry'!H$5)/('Council Entry'!H$6-'Council Entry'!H$5)),1))),"No data"))</f>
        <v/>
      </c>
      <c r="I13" s="13">
        <f>IF('Council Entry'!I13="","",IFERROR(MAX(0,MIN(10,ROUND(IF('Council Entry'!I$7="Decrease Risk",10-10*((IF('Council Entry'!I$4="Logarithm",LN(0.001+IF(AND(ISNUMBER('Council Entry'!I$8),ISNUMBER('Council Entry'!I$9)),MAX(MIN('Council Entry'!I13,'Council Entry'!I$9),'Council Entry'!I$8),'Council Entry'!I13)),IF('Council Entry'!I$4="Exponential",EXP(IF(AND(ISNUMBER('Council Entry'!I$8),ISNUMBER('Council Entry'!I$9)),MAX(MIN('Council Entry'!I13,'Council Entry'!I$9),'Council Entry'!I$8),'Council Entry'!I13)),IF(AND(ISNUMBER('Council Entry'!I$8),ISNUMBER('Council Entry'!I$9)),MAX(MIN('Council Entry'!I13,'Council Entry'!I$9),'Council Entry'!I$8),'Council Entry'!I13))))-'Council Entry'!I$5)/('Council Entry'!I$6-'Council Entry'!I$5),10*((IF('Council Entry'!I$4="Logarithm",LN(0.001+IF(AND(ISNUMBER('Council Entry'!I$8),ISNUMBER('Council Entry'!I$9)),MAX(MIN('Council Entry'!I13,'Council Entry'!I$9),'Council Entry'!I$8),'Council Entry'!I13)),IF('Council Entry'!I$4="Exponential",EXP(IF(AND(ISNUMBER('Council Entry'!I$8),ISNUMBER('Council Entry'!I$9)),MAX(MIN('Council Entry'!I13,'Council Entry'!I$9),'Council Entry'!I$8),'Council Entry'!I13)),IF(AND(ISNUMBER('Council Entry'!I$8),ISNUMBER('Council Entry'!I$9)),MAX(MIN('Council Entry'!I13,'Council Entry'!I$9),'Council Entry'!I$8),'Council Entry'!I13))))-'Council Entry'!I$5)/('Council Entry'!I$6-'Council Entry'!I$5)),1))),"No data"))</f>
        <v/>
      </c>
      <c r="J13" s="13">
        <f>IF('Council Entry'!J13="","",IFERROR(MAX(0,MIN(10,ROUND(IF('Council Entry'!J$7="Decrease Risk",10-10*((IF('Council Entry'!J$4="Logarithm",LN(0.001+IF(AND(ISNUMBER('Council Entry'!J$8),ISNUMBER('Council Entry'!J$9)),MAX(MIN('Council Entry'!J13,'Council Entry'!J$9),'Council Entry'!J$8),'Council Entry'!J13)),IF('Council Entry'!J$4="Exponential",EXP(IF(AND(ISNUMBER('Council Entry'!J$8),ISNUMBER('Council Entry'!J$9)),MAX(MIN('Council Entry'!J13,'Council Entry'!J$9),'Council Entry'!J$8),'Council Entry'!J13)),IF(AND(ISNUMBER('Council Entry'!J$8),ISNUMBER('Council Entry'!J$9)),MAX(MIN('Council Entry'!J13,'Council Entry'!J$9),'Council Entry'!J$8),'Council Entry'!J13))))-'Council Entry'!J$5)/('Council Entry'!J$6-'Council Entry'!J$5),10*((IF('Council Entry'!J$4="Logarithm",LN(0.001+IF(AND(ISNUMBER('Council Entry'!J$8),ISNUMBER('Council Entry'!J$9)),MAX(MIN('Council Entry'!J13,'Council Entry'!J$9),'Council Entry'!J$8),'Council Entry'!J13)),IF('Council Entry'!J$4="Exponential",EXP(IF(AND(ISNUMBER('Council Entry'!J$8),ISNUMBER('Council Entry'!J$9)),MAX(MIN('Council Entry'!J13,'Council Entry'!J$9),'Council Entry'!J$8),'Council Entry'!J13)),IF(AND(ISNUMBER('Council Entry'!J$8),ISNUMBER('Council Entry'!J$9)),MAX(MIN('Council Entry'!J13,'Council Entry'!J$9),'Council Entry'!J$8),'Council Entry'!J13))))-'Council Entry'!J$5)/('Council Entry'!J$6-'Council Entry'!J$5)),1))),"No data"))</f>
        <v/>
      </c>
      <c r="K13" s="13">
        <f>IF('Council Entry'!K13="","",IFERROR(MAX(0,MIN(10,ROUND(IF('Council Entry'!K$7="Decrease Risk",10-10*((IF('Council Entry'!K$4="Logarithm",LN(0.001+IF(AND(ISNUMBER('Council Entry'!K$8),ISNUMBER('Council Entry'!K$9)),MAX(MIN('Council Entry'!K13,'Council Entry'!K$9),'Council Entry'!K$8),'Council Entry'!K13)),IF('Council Entry'!K$4="Exponential",EXP(IF(AND(ISNUMBER('Council Entry'!K$8),ISNUMBER('Council Entry'!K$9)),MAX(MIN('Council Entry'!K13,'Council Entry'!K$9),'Council Entry'!K$8),'Council Entry'!K13)),IF(AND(ISNUMBER('Council Entry'!K$8),ISNUMBER('Council Entry'!K$9)),MAX(MIN('Council Entry'!K13,'Council Entry'!K$9),'Council Entry'!K$8),'Council Entry'!K13))))-'Council Entry'!K$5)/('Council Entry'!K$6-'Council Entry'!K$5),10*((IF('Council Entry'!K$4="Logarithm",LN(0.001+IF(AND(ISNUMBER('Council Entry'!K$8),ISNUMBER('Council Entry'!K$9)),MAX(MIN('Council Entry'!K13,'Council Entry'!K$9),'Council Entry'!K$8),'Council Entry'!K13)),IF('Council Entry'!K$4="Exponential",EXP(IF(AND(ISNUMBER('Council Entry'!K$8),ISNUMBER('Council Entry'!K$9)),MAX(MIN('Council Entry'!K13,'Council Entry'!K$9),'Council Entry'!K$8),'Council Entry'!K13)),IF(AND(ISNUMBER('Council Entry'!K$8),ISNUMBER('Council Entry'!K$9)),MAX(MIN('Council Entry'!K13,'Council Entry'!K$9),'Council Entry'!K$8),'Council Entry'!K13))))-'Council Entry'!K$5)/('Council Entry'!K$6-'Council Entry'!K$5)),1))),"No data"))</f>
        <v/>
      </c>
      <c r="L13" s="13">
        <f>IF('Council Entry'!L13="","",IFERROR(MAX(0,MIN(10,ROUND(IF('Council Entry'!L$7="Decrease Risk",10-10*((IF('Council Entry'!L$4="Logarithm",LN(0.001+IF(AND(ISNUMBER('Council Entry'!L$8),ISNUMBER('Council Entry'!L$9)),MAX(MIN('Council Entry'!L13,'Council Entry'!L$9),'Council Entry'!L$8),'Council Entry'!L13)),IF('Council Entry'!L$4="Exponential",EXP(IF(AND(ISNUMBER('Council Entry'!L$8),ISNUMBER('Council Entry'!L$9)),MAX(MIN('Council Entry'!L13,'Council Entry'!L$9),'Council Entry'!L$8),'Council Entry'!L13)),IF(AND(ISNUMBER('Council Entry'!L$8),ISNUMBER('Council Entry'!L$9)),MAX(MIN('Council Entry'!L13,'Council Entry'!L$9),'Council Entry'!L$8),'Council Entry'!L13))))-'Council Entry'!L$5)/('Council Entry'!L$6-'Council Entry'!L$5),10*((IF('Council Entry'!L$4="Logarithm",LN(0.001+IF(AND(ISNUMBER('Council Entry'!L$8),ISNUMBER('Council Entry'!L$9)),MAX(MIN('Council Entry'!L13,'Council Entry'!L$9),'Council Entry'!L$8),'Council Entry'!L13)),IF('Council Entry'!L$4="Exponential",EXP(IF(AND(ISNUMBER('Council Entry'!L$8),ISNUMBER('Council Entry'!L$9)),MAX(MIN('Council Entry'!L13,'Council Entry'!L$9),'Council Entry'!L$8),'Council Entry'!L13)),IF(AND(ISNUMBER('Council Entry'!L$8),ISNUMBER('Council Entry'!L$9)),MAX(MIN('Council Entry'!L13,'Council Entry'!L$9),'Council Entry'!L$8),'Council Entry'!L13))))-'Council Entry'!L$5)/('Council Entry'!L$6-'Council Entry'!L$5)),1))),"No data"))</f>
        <v/>
      </c>
      <c r="M13" s="13">
        <f>IF('Council Entry'!M13="","",IFERROR(MAX(0,MIN(10,ROUND(IF('Council Entry'!M$7="Decrease Risk",10-10*((IF('Council Entry'!M$4="Logarithm",LN(0.001+IF(AND(ISNUMBER('Council Entry'!M$8),ISNUMBER('Council Entry'!M$9)),MAX(MIN('Council Entry'!M13,'Council Entry'!M$9),'Council Entry'!M$8),'Council Entry'!M13)),IF('Council Entry'!M$4="Exponential",EXP(IF(AND(ISNUMBER('Council Entry'!M$8),ISNUMBER('Council Entry'!M$9)),MAX(MIN('Council Entry'!M13,'Council Entry'!M$9),'Council Entry'!M$8),'Council Entry'!M13)),IF(AND(ISNUMBER('Council Entry'!M$8),ISNUMBER('Council Entry'!M$9)),MAX(MIN('Council Entry'!M13,'Council Entry'!M$9),'Council Entry'!M$8),'Council Entry'!M13))))-'Council Entry'!M$5)/('Council Entry'!M$6-'Council Entry'!M$5),10*((IF('Council Entry'!M$4="Logarithm",LN(0.001+IF(AND(ISNUMBER('Council Entry'!M$8),ISNUMBER('Council Entry'!M$9)),MAX(MIN('Council Entry'!M13,'Council Entry'!M$9),'Council Entry'!M$8),'Council Entry'!M13)),IF('Council Entry'!M$4="Exponential",EXP(IF(AND(ISNUMBER('Council Entry'!M$8),ISNUMBER('Council Entry'!M$9)),MAX(MIN('Council Entry'!M13,'Council Entry'!M$9),'Council Entry'!M$8),'Council Entry'!M13)),IF(AND(ISNUMBER('Council Entry'!M$8),ISNUMBER('Council Entry'!M$9)),MAX(MIN('Council Entry'!M13,'Council Entry'!M$9),'Council Entry'!M$8),'Council Entry'!M13))))-'Council Entry'!M$5)/('Council Entry'!M$6-'Council Entry'!M$5)),1))),"No data"))</f>
        <v/>
      </c>
      <c r="N13" s="13">
        <f>IF('Council Entry'!N13="","",IFERROR(MAX(0,MIN(10,ROUND(IF('Council Entry'!N$7="Decrease Risk",10-10*((IF('Council Entry'!N$4="Logarithm",LN(0.001+IF(AND(ISNUMBER('Council Entry'!N$8),ISNUMBER('Council Entry'!N$9)),MAX(MIN('Council Entry'!N13,'Council Entry'!N$9),'Council Entry'!N$8),'Council Entry'!N13)),IF('Council Entry'!N$4="Exponential",EXP(IF(AND(ISNUMBER('Council Entry'!N$8),ISNUMBER('Council Entry'!N$9)),MAX(MIN('Council Entry'!N13,'Council Entry'!N$9),'Council Entry'!N$8),'Council Entry'!N13)),IF(AND(ISNUMBER('Council Entry'!N$8),ISNUMBER('Council Entry'!N$9)),MAX(MIN('Council Entry'!N13,'Council Entry'!N$9),'Council Entry'!N$8),'Council Entry'!N13))))-'Council Entry'!N$5)/('Council Entry'!N$6-'Council Entry'!N$5),10*((IF('Council Entry'!N$4="Logarithm",LN(0.001+IF(AND(ISNUMBER('Council Entry'!N$8),ISNUMBER('Council Entry'!N$9)),MAX(MIN('Council Entry'!N13,'Council Entry'!N$9),'Council Entry'!N$8),'Council Entry'!N13)),IF('Council Entry'!N$4="Exponential",EXP(IF(AND(ISNUMBER('Council Entry'!N$8),ISNUMBER('Council Entry'!N$9)),MAX(MIN('Council Entry'!N13,'Council Entry'!N$9),'Council Entry'!N$8),'Council Entry'!N13)),IF(AND(ISNUMBER('Council Entry'!N$8),ISNUMBER('Council Entry'!N$9)),MAX(MIN('Council Entry'!N13,'Council Entry'!N$9),'Council Entry'!N$8),'Council Entry'!N13))))-'Council Entry'!N$5)/('Council Entry'!N$6-'Council Entry'!N$5)),1))),"No data"))</f>
        <v/>
      </c>
      <c r="O13" s="13">
        <f>IF('Council Entry'!O13="","",IFERROR(MAX(0,MIN(10,ROUND(IF('Council Entry'!O$7="Decrease Risk",10-10*((IF('Council Entry'!O$4="Logarithm",LN(0.001+IF(AND(ISNUMBER('Council Entry'!O$8),ISNUMBER('Council Entry'!O$9)),MAX(MIN('Council Entry'!O13,'Council Entry'!O$9),'Council Entry'!O$8),'Council Entry'!O13)),IF('Council Entry'!O$4="Exponential",EXP(IF(AND(ISNUMBER('Council Entry'!O$8),ISNUMBER('Council Entry'!O$9)),MAX(MIN('Council Entry'!O13,'Council Entry'!O$9),'Council Entry'!O$8),'Council Entry'!O13)),IF(AND(ISNUMBER('Council Entry'!O$8),ISNUMBER('Council Entry'!O$9)),MAX(MIN('Council Entry'!O13,'Council Entry'!O$9),'Council Entry'!O$8),'Council Entry'!O13))))-'Council Entry'!O$5)/('Council Entry'!O$6-'Council Entry'!O$5),10*((IF('Council Entry'!O$4="Logarithm",LN(0.001+IF(AND(ISNUMBER('Council Entry'!O$8),ISNUMBER('Council Entry'!O$9)),MAX(MIN('Council Entry'!O13,'Council Entry'!O$9),'Council Entry'!O$8),'Council Entry'!O13)),IF('Council Entry'!O$4="Exponential",EXP(IF(AND(ISNUMBER('Council Entry'!O$8),ISNUMBER('Council Entry'!O$9)),MAX(MIN('Council Entry'!O13,'Council Entry'!O$9),'Council Entry'!O$8),'Council Entry'!O13)),IF(AND(ISNUMBER('Council Entry'!O$8),ISNUMBER('Council Entry'!O$9)),MAX(MIN('Council Entry'!O13,'Council Entry'!O$9),'Council Entry'!O$8),'Council Entry'!O13))))-'Council Entry'!O$5)/('Council Entry'!O$6-'Council Entry'!O$5)),1))),"No data"))</f>
        <v/>
      </c>
      <c r="P13" s="13">
        <f>IF('Council Entry'!P13="","",IFERROR(MAX(0,MIN(10,ROUND(IF('Council Entry'!P$7="Decrease Risk",10-10*((IF('Council Entry'!P$4="Logarithm",LN(0.001+IF(AND(ISNUMBER('Council Entry'!P$8),ISNUMBER('Council Entry'!P$9)),MAX(MIN('Council Entry'!P13,'Council Entry'!P$9),'Council Entry'!P$8),'Council Entry'!P13)),IF('Council Entry'!P$4="Exponential",EXP(IF(AND(ISNUMBER('Council Entry'!P$8),ISNUMBER('Council Entry'!P$9)),MAX(MIN('Council Entry'!P13,'Council Entry'!P$9),'Council Entry'!P$8),'Council Entry'!P13)),IF(AND(ISNUMBER('Council Entry'!P$8),ISNUMBER('Council Entry'!P$9)),MAX(MIN('Council Entry'!P13,'Council Entry'!P$9),'Council Entry'!P$8),'Council Entry'!P13))))-'Council Entry'!P$5)/('Council Entry'!P$6-'Council Entry'!P$5),10*((IF('Council Entry'!P$4="Logarithm",LN(0.001+IF(AND(ISNUMBER('Council Entry'!P$8),ISNUMBER('Council Entry'!P$9)),MAX(MIN('Council Entry'!P13,'Council Entry'!P$9),'Council Entry'!P$8),'Council Entry'!P13)),IF('Council Entry'!P$4="Exponential",EXP(IF(AND(ISNUMBER('Council Entry'!P$8),ISNUMBER('Council Entry'!P$9)),MAX(MIN('Council Entry'!P13,'Council Entry'!P$9),'Council Entry'!P$8),'Council Entry'!P13)),IF(AND(ISNUMBER('Council Entry'!P$8),ISNUMBER('Council Entry'!P$9)),MAX(MIN('Council Entry'!P13,'Council Entry'!P$9),'Council Entry'!P$8),'Council Entry'!P13))))-'Council Entry'!P$5)/('Council Entry'!P$6-'Council Entry'!P$5)),1))),"No data"))</f>
        <v/>
      </c>
      <c r="Q13" s="13">
        <f>IF('Council Entry'!Q13="","",IFERROR(MAX(0,MIN(10,ROUND(IF('Council Entry'!Q$7="Decrease Risk",10-10*((IF('Council Entry'!Q$4="Logarithm",LN(0.001+IF(AND(ISNUMBER('Council Entry'!Q$8),ISNUMBER('Council Entry'!Q$9)),MAX(MIN('Council Entry'!Q13,'Council Entry'!Q$9),'Council Entry'!Q$8),'Council Entry'!Q13)),IF('Council Entry'!Q$4="Exponential",EXP(IF(AND(ISNUMBER('Council Entry'!Q$8),ISNUMBER('Council Entry'!Q$9)),MAX(MIN('Council Entry'!Q13,'Council Entry'!Q$9),'Council Entry'!Q$8),'Council Entry'!Q13)),IF(AND(ISNUMBER('Council Entry'!Q$8),ISNUMBER('Council Entry'!Q$9)),MAX(MIN('Council Entry'!Q13,'Council Entry'!Q$9),'Council Entry'!Q$8),'Council Entry'!Q13))))-'Council Entry'!Q$5)/('Council Entry'!Q$6-'Council Entry'!Q$5),10*((IF('Council Entry'!Q$4="Logarithm",LN(0.001+IF(AND(ISNUMBER('Council Entry'!Q$8),ISNUMBER('Council Entry'!Q$9)),MAX(MIN('Council Entry'!Q13,'Council Entry'!Q$9),'Council Entry'!Q$8),'Council Entry'!Q13)),IF('Council Entry'!Q$4="Exponential",EXP(IF(AND(ISNUMBER('Council Entry'!Q$8),ISNUMBER('Council Entry'!Q$9)),MAX(MIN('Council Entry'!Q13,'Council Entry'!Q$9),'Council Entry'!Q$8),'Council Entry'!Q13)),IF(AND(ISNUMBER('Council Entry'!Q$8),ISNUMBER('Council Entry'!Q$9)),MAX(MIN('Council Entry'!Q13,'Council Entry'!Q$9),'Council Entry'!Q$8),'Council Entry'!Q13))))-'Council Entry'!Q$5)/('Council Entry'!Q$6-'Council Entry'!Q$5)),1))),"No data"))</f>
        <v/>
      </c>
      <c r="R13" s="13">
        <f>IF('Council Entry'!R13="","",IFERROR(MAX(0,MIN(10,ROUND(IF('Council Entry'!R$7="Decrease Risk",10-10*((IF('Council Entry'!R$4="Logarithm",LN(0.001+IF(AND(ISNUMBER('Council Entry'!R$8),ISNUMBER('Council Entry'!R$9)),MAX(MIN('Council Entry'!R13,'Council Entry'!R$9),'Council Entry'!R$8),'Council Entry'!R13)),IF('Council Entry'!R$4="Exponential",EXP(IF(AND(ISNUMBER('Council Entry'!R$8),ISNUMBER('Council Entry'!R$9)),MAX(MIN('Council Entry'!R13,'Council Entry'!R$9),'Council Entry'!R$8),'Council Entry'!R13)),IF(AND(ISNUMBER('Council Entry'!R$8),ISNUMBER('Council Entry'!R$9)),MAX(MIN('Council Entry'!R13,'Council Entry'!R$9),'Council Entry'!R$8),'Council Entry'!R13))))-'Council Entry'!R$5)/('Council Entry'!R$6-'Council Entry'!R$5),10*((IF('Council Entry'!R$4="Logarithm",LN(0.001+IF(AND(ISNUMBER('Council Entry'!R$8),ISNUMBER('Council Entry'!R$9)),MAX(MIN('Council Entry'!R13,'Council Entry'!R$9),'Council Entry'!R$8),'Council Entry'!R13)),IF('Council Entry'!R$4="Exponential",EXP(IF(AND(ISNUMBER('Council Entry'!R$8),ISNUMBER('Council Entry'!R$9)),MAX(MIN('Council Entry'!R13,'Council Entry'!R$9),'Council Entry'!R$8),'Council Entry'!R13)),IF(AND(ISNUMBER('Council Entry'!R$8),ISNUMBER('Council Entry'!R$9)),MAX(MIN('Council Entry'!R13,'Council Entry'!R$9),'Council Entry'!R$8),'Council Entry'!R13))))-'Council Entry'!R$5)/('Council Entry'!R$6-'Council Entry'!R$5)),1))),"No data"))</f>
        <v/>
      </c>
      <c r="S13" s="13">
        <f>IF('Council Entry'!S13="","",IFERROR(MAX(0,MIN(10,ROUND(IF('Council Entry'!S$7="Decrease Risk",10-10*((IF('Council Entry'!S$4="Logarithm",LN(0.001+IF(AND(ISNUMBER('Council Entry'!S$8),ISNUMBER('Council Entry'!S$9)),MAX(MIN('Council Entry'!S13,'Council Entry'!S$9),'Council Entry'!S$8),'Council Entry'!S13)),IF('Council Entry'!S$4="Exponential",EXP(IF(AND(ISNUMBER('Council Entry'!S$8),ISNUMBER('Council Entry'!S$9)),MAX(MIN('Council Entry'!S13,'Council Entry'!S$9),'Council Entry'!S$8),'Council Entry'!S13)),IF(AND(ISNUMBER('Council Entry'!S$8),ISNUMBER('Council Entry'!S$9)),MAX(MIN('Council Entry'!S13,'Council Entry'!S$9),'Council Entry'!S$8),'Council Entry'!S13))))-'Council Entry'!S$5)/('Council Entry'!S$6-'Council Entry'!S$5),10*((IF('Council Entry'!S$4="Logarithm",LN(0.001+IF(AND(ISNUMBER('Council Entry'!S$8),ISNUMBER('Council Entry'!S$9)),MAX(MIN('Council Entry'!S13,'Council Entry'!S$9),'Council Entry'!S$8),'Council Entry'!S13)),IF('Council Entry'!S$4="Exponential",EXP(IF(AND(ISNUMBER('Council Entry'!S$8),ISNUMBER('Council Entry'!S$9)),MAX(MIN('Council Entry'!S13,'Council Entry'!S$9),'Council Entry'!S$8),'Council Entry'!S13)),IF(AND(ISNUMBER('Council Entry'!S$8),ISNUMBER('Council Entry'!S$9)),MAX(MIN('Council Entry'!S13,'Council Entry'!S$9),'Council Entry'!S$8),'Council Entry'!S13))))-'Council Entry'!S$5)/('Council Entry'!S$6-'Council Entry'!S$5)),1))),"No data"))</f>
        <v/>
      </c>
      <c r="T13" s="13">
        <f>IF('Council Entry'!T13="","",IFERROR(MAX(0,MIN(10,ROUND(IF('Council Entry'!T$7="Decrease Risk",10-10*((IF('Council Entry'!T$4="Logarithm",LN(0.001+IF(AND(ISNUMBER('Council Entry'!T$8),ISNUMBER('Council Entry'!T$9)),MAX(MIN('Council Entry'!T13,'Council Entry'!T$9),'Council Entry'!T$8),'Council Entry'!T13)),IF('Council Entry'!T$4="Exponential",EXP(IF(AND(ISNUMBER('Council Entry'!T$8),ISNUMBER('Council Entry'!T$9)),MAX(MIN('Council Entry'!T13,'Council Entry'!T$9),'Council Entry'!T$8),'Council Entry'!T13)),IF(AND(ISNUMBER('Council Entry'!T$8),ISNUMBER('Council Entry'!T$9)),MAX(MIN('Council Entry'!T13,'Council Entry'!T$9),'Council Entry'!T$8),'Council Entry'!T13))))-'Council Entry'!T$5)/('Council Entry'!T$6-'Council Entry'!T$5),10*((IF('Council Entry'!T$4="Logarithm",LN(0.001+IF(AND(ISNUMBER('Council Entry'!T$8),ISNUMBER('Council Entry'!T$9)),MAX(MIN('Council Entry'!T13,'Council Entry'!T$9),'Council Entry'!T$8),'Council Entry'!T13)),IF('Council Entry'!T$4="Exponential",EXP(IF(AND(ISNUMBER('Council Entry'!T$8),ISNUMBER('Council Entry'!T$9)),MAX(MIN('Council Entry'!T13,'Council Entry'!T$9),'Council Entry'!T$8),'Council Entry'!T13)),IF(AND(ISNUMBER('Council Entry'!T$8),ISNUMBER('Council Entry'!T$9)),MAX(MIN('Council Entry'!T13,'Council Entry'!T$9),'Council Entry'!T$8),'Council Entry'!T13))))-'Council Entry'!T$5)/('Council Entry'!T$6-'Council Entry'!T$5)),1))),"No data"))</f>
        <v/>
      </c>
      <c r="U13" s="13">
        <f>IF('Council Entry'!U13="","",IFERROR(MAX(0,MIN(10,ROUND(IF('Council Entry'!U$7="Decrease Risk",10-10*((IF('Council Entry'!U$4="Logarithm",LN(0.001+IF(AND(ISNUMBER('Council Entry'!U$8),ISNUMBER('Council Entry'!U$9)),MAX(MIN('Council Entry'!U13,'Council Entry'!U$9),'Council Entry'!U$8),'Council Entry'!U13)),IF('Council Entry'!U$4="Exponential",EXP(IF(AND(ISNUMBER('Council Entry'!U$8),ISNUMBER('Council Entry'!U$9)),MAX(MIN('Council Entry'!U13,'Council Entry'!U$9),'Council Entry'!U$8),'Council Entry'!U13)),IF(AND(ISNUMBER('Council Entry'!U$8),ISNUMBER('Council Entry'!U$9)),MAX(MIN('Council Entry'!U13,'Council Entry'!U$9),'Council Entry'!U$8),'Council Entry'!U13))))-'Council Entry'!U$5)/('Council Entry'!U$6-'Council Entry'!U$5),10*((IF('Council Entry'!U$4="Logarithm",LN(0.001+IF(AND(ISNUMBER('Council Entry'!U$8),ISNUMBER('Council Entry'!U$9)),MAX(MIN('Council Entry'!U13,'Council Entry'!U$9),'Council Entry'!U$8),'Council Entry'!U13)),IF('Council Entry'!U$4="Exponential",EXP(IF(AND(ISNUMBER('Council Entry'!U$8),ISNUMBER('Council Entry'!U$9)),MAX(MIN('Council Entry'!U13,'Council Entry'!U$9),'Council Entry'!U$8),'Council Entry'!U13)),IF(AND(ISNUMBER('Council Entry'!U$8),ISNUMBER('Council Entry'!U$9)),MAX(MIN('Council Entry'!U13,'Council Entry'!U$9),'Council Entry'!U$8),'Council Entry'!U13))))-'Council Entry'!U$5)/('Council Entry'!U$6-'Council Entry'!U$5)),1))),"No data"))</f>
        <v/>
      </c>
      <c r="V13" s="13">
        <f>IF('Council Entry'!V13="","",IFERROR(MAX(0,MIN(10,ROUND(IF('Council Entry'!V$7="Decrease Risk",10-10*((IF('Council Entry'!V$4="Logarithm",LN(0.001+IF(AND(ISNUMBER('Council Entry'!V$8),ISNUMBER('Council Entry'!V$9)),MAX(MIN('Council Entry'!V13,'Council Entry'!V$9),'Council Entry'!V$8),'Council Entry'!V13)),IF('Council Entry'!V$4="Exponential",EXP(IF(AND(ISNUMBER('Council Entry'!V$8),ISNUMBER('Council Entry'!V$9)),MAX(MIN('Council Entry'!V13,'Council Entry'!V$9),'Council Entry'!V$8),'Council Entry'!V13)),IF(AND(ISNUMBER('Council Entry'!V$8),ISNUMBER('Council Entry'!V$9)),MAX(MIN('Council Entry'!V13,'Council Entry'!V$9),'Council Entry'!V$8),'Council Entry'!V13))))-'Council Entry'!V$5)/('Council Entry'!V$6-'Council Entry'!V$5),10*((IF('Council Entry'!V$4="Logarithm",LN(0.001+IF(AND(ISNUMBER('Council Entry'!V$8),ISNUMBER('Council Entry'!V$9)),MAX(MIN('Council Entry'!V13,'Council Entry'!V$9),'Council Entry'!V$8),'Council Entry'!V13)),IF('Council Entry'!V$4="Exponential",EXP(IF(AND(ISNUMBER('Council Entry'!V$8),ISNUMBER('Council Entry'!V$9)),MAX(MIN('Council Entry'!V13,'Council Entry'!V$9),'Council Entry'!V$8),'Council Entry'!V13)),IF(AND(ISNUMBER('Council Entry'!V$8),ISNUMBER('Council Entry'!V$9)),MAX(MIN('Council Entry'!V13,'Council Entry'!V$9),'Council Entry'!V$8),'Council Entry'!V13))))-'Council Entry'!V$5)/('Council Entry'!V$6-'Council Entry'!V$5)),1))),"No data"))</f>
        <v/>
      </c>
      <c r="W13" s="13">
        <f>IF('Council Entry'!W13="","",IFERROR(MAX(0,MIN(10,ROUND(IF('Council Entry'!W$7="Decrease Risk",10-10*((IF('Council Entry'!W$4="Logarithm",LN(0.001+IF(AND(ISNUMBER('Council Entry'!W$8),ISNUMBER('Council Entry'!W$9)),MAX(MIN('Council Entry'!W13,'Council Entry'!W$9),'Council Entry'!W$8),'Council Entry'!W13)),IF('Council Entry'!W$4="Exponential",EXP(IF(AND(ISNUMBER('Council Entry'!W$8),ISNUMBER('Council Entry'!W$9)),MAX(MIN('Council Entry'!W13,'Council Entry'!W$9),'Council Entry'!W$8),'Council Entry'!W13)),IF(AND(ISNUMBER('Council Entry'!W$8),ISNUMBER('Council Entry'!W$9)),MAX(MIN('Council Entry'!W13,'Council Entry'!W$9),'Council Entry'!W$8),'Council Entry'!W13))))-'Council Entry'!W$5)/('Council Entry'!W$6-'Council Entry'!W$5),10*((IF('Council Entry'!W$4="Logarithm",LN(0.001+IF(AND(ISNUMBER('Council Entry'!W$8),ISNUMBER('Council Entry'!W$9)),MAX(MIN('Council Entry'!W13,'Council Entry'!W$9),'Council Entry'!W$8),'Council Entry'!W13)),IF('Council Entry'!W$4="Exponential",EXP(IF(AND(ISNUMBER('Council Entry'!W$8),ISNUMBER('Council Entry'!W$9)),MAX(MIN('Council Entry'!W13,'Council Entry'!W$9),'Council Entry'!W$8),'Council Entry'!W13)),IF(AND(ISNUMBER('Council Entry'!W$8),ISNUMBER('Council Entry'!W$9)),MAX(MIN('Council Entry'!W13,'Council Entry'!W$9),'Council Entry'!W$8),'Council Entry'!W13))))-'Council Entry'!W$5)/('Council Entry'!W$6-'Council Entry'!W$5)),1))),"No data"))</f>
        <v/>
      </c>
      <c r="X13" s="13">
        <f>IF('Council Entry'!X13="","",IFERROR(MAX(0,MIN(10,ROUND(IF('Council Entry'!X$7="Decrease Risk",10-10*((IF('Council Entry'!X$4="Logarithm",LN(0.001+IF(AND(ISNUMBER('Council Entry'!X$8),ISNUMBER('Council Entry'!X$9)),MAX(MIN('Council Entry'!X13,'Council Entry'!X$9),'Council Entry'!X$8),'Council Entry'!X13)),IF('Council Entry'!X$4="Exponential",EXP(IF(AND(ISNUMBER('Council Entry'!X$8),ISNUMBER('Council Entry'!X$9)),MAX(MIN('Council Entry'!X13,'Council Entry'!X$9),'Council Entry'!X$8),'Council Entry'!X13)),IF(AND(ISNUMBER('Council Entry'!X$8),ISNUMBER('Council Entry'!X$9)),MAX(MIN('Council Entry'!X13,'Council Entry'!X$9),'Council Entry'!X$8),'Council Entry'!X13))))-'Council Entry'!X$5)/('Council Entry'!X$6-'Council Entry'!X$5),10*((IF('Council Entry'!X$4="Logarithm",LN(0.001+IF(AND(ISNUMBER('Council Entry'!X$8),ISNUMBER('Council Entry'!X$9)),MAX(MIN('Council Entry'!X13,'Council Entry'!X$9),'Council Entry'!X$8),'Council Entry'!X13)),IF('Council Entry'!X$4="Exponential",EXP(IF(AND(ISNUMBER('Council Entry'!X$8),ISNUMBER('Council Entry'!X$9)),MAX(MIN('Council Entry'!X13,'Council Entry'!X$9),'Council Entry'!X$8),'Council Entry'!X13)),IF(AND(ISNUMBER('Council Entry'!X$8),ISNUMBER('Council Entry'!X$9)),MAX(MIN('Council Entry'!X13,'Council Entry'!X$9),'Council Entry'!X$8),'Council Entry'!X13))))-'Council Entry'!X$5)/('Council Entry'!X$6-'Council Entry'!X$5)),1))),"No data"))</f>
        <v/>
      </c>
      <c r="Y13" s="13">
        <f>IF('Council Entry'!Y13="","",IFERROR(MAX(0,MIN(10,ROUND(IF('Council Entry'!Y$7="Decrease Risk",10-10*((IF('Council Entry'!Y$4="Logarithm",LN(0.001+IF(AND(ISNUMBER('Council Entry'!Y$8),ISNUMBER('Council Entry'!Y$9)),MAX(MIN('Council Entry'!Y13,'Council Entry'!Y$9),'Council Entry'!Y$8),'Council Entry'!Y13)),IF('Council Entry'!Y$4="Exponential",EXP(IF(AND(ISNUMBER('Council Entry'!Y$8),ISNUMBER('Council Entry'!Y$9)),MAX(MIN('Council Entry'!Y13,'Council Entry'!Y$9),'Council Entry'!Y$8),'Council Entry'!Y13)),IF(AND(ISNUMBER('Council Entry'!Y$8),ISNUMBER('Council Entry'!Y$9)),MAX(MIN('Council Entry'!Y13,'Council Entry'!Y$9),'Council Entry'!Y$8),'Council Entry'!Y13))))-'Council Entry'!Y$5)/('Council Entry'!Y$6-'Council Entry'!Y$5),10*((IF('Council Entry'!Y$4="Logarithm",LN(0.001+IF(AND(ISNUMBER('Council Entry'!Y$8),ISNUMBER('Council Entry'!Y$9)),MAX(MIN('Council Entry'!Y13,'Council Entry'!Y$9),'Council Entry'!Y$8),'Council Entry'!Y13)),IF('Council Entry'!Y$4="Exponential",EXP(IF(AND(ISNUMBER('Council Entry'!Y$8),ISNUMBER('Council Entry'!Y$9)),MAX(MIN('Council Entry'!Y13,'Council Entry'!Y$9),'Council Entry'!Y$8),'Council Entry'!Y13)),IF(AND(ISNUMBER('Council Entry'!Y$8),ISNUMBER('Council Entry'!Y$9)),MAX(MIN('Council Entry'!Y13,'Council Entry'!Y$9),'Council Entry'!Y$8),'Council Entry'!Y13))))-'Council Entry'!Y$5)/('Council Entry'!Y$6-'Council Entry'!Y$5)),1))),"No data"))</f>
        <v/>
      </c>
      <c r="Z13" s="13">
        <f>IF('Council Entry'!Z13="","",IFERROR(MAX(0,MIN(10,ROUND(IF('Council Entry'!Z$7="Decrease Risk",10-10*((IF('Council Entry'!Z$4="Logarithm",LN(0.001+IF(AND(ISNUMBER('Council Entry'!Z$8),ISNUMBER('Council Entry'!Z$9)),MAX(MIN('Council Entry'!Z13,'Council Entry'!Z$9),'Council Entry'!Z$8),'Council Entry'!Z13)),IF('Council Entry'!Z$4="Exponential",EXP(IF(AND(ISNUMBER('Council Entry'!Z$8),ISNUMBER('Council Entry'!Z$9)),MAX(MIN('Council Entry'!Z13,'Council Entry'!Z$9),'Council Entry'!Z$8),'Council Entry'!Z13)),IF(AND(ISNUMBER('Council Entry'!Z$8),ISNUMBER('Council Entry'!Z$9)),MAX(MIN('Council Entry'!Z13,'Council Entry'!Z$9),'Council Entry'!Z$8),'Council Entry'!Z13))))-'Council Entry'!Z$5)/('Council Entry'!Z$6-'Council Entry'!Z$5),10*((IF('Council Entry'!Z$4="Logarithm",LN(0.001+IF(AND(ISNUMBER('Council Entry'!Z$8),ISNUMBER('Council Entry'!Z$9)),MAX(MIN('Council Entry'!Z13,'Council Entry'!Z$9),'Council Entry'!Z$8),'Council Entry'!Z13)),IF('Council Entry'!Z$4="Exponential",EXP(IF(AND(ISNUMBER('Council Entry'!Z$8),ISNUMBER('Council Entry'!Z$9)),MAX(MIN('Council Entry'!Z13,'Council Entry'!Z$9),'Council Entry'!Z$8),'Council Entry'!Z13)),IF(AND(ISNUMBER('Council Entry'!Z$8),ISNUMBER('Council Entry'!Z$9)),MAX(MIN('Council Entry'!Z13,'Council Entry'!Z$9),'Council Entry'!Z$8),'Council Entry'!Z13))))-'Council Entry'!Z$5)/('Council Entry'!Z$6-'Council Entry'!Z$5)),1))),"No data"))</f>
        <v/>
      </c>
      <c r="AA13" s="13">
        <f>IF('Council Entry'!AA13="","",IFERROR(MAX(0,MIN(10,ROUND(IF('Council Entry'!AA$7="Decrease Risk",10-10*((IF('Council Entry'!AA$4="Logarithm",LN(0.001+IF(AND(ISNUMBER('Council Entry'!AA$8),ISNUMBER('Council Entry'!AA$9)),MAX(MIN('Council Entry'!AA13,'Council Entry'!AA$9),'Council Entry'!AA$8),'Council Entry'!AA13)),IF('Council Entry'!AA$4="Exponential",EXP(IF(AND(ISNUMBER('Council Entry'!AA$8),ISNUMBER('Council Entry'!AA$9)),MAX(MIN('Council Entry'!AA13,'Council Entry'!AA$9),'Council Entry'!AA$8),'Council Entry'!AA13)),IF(AND(ISNUMBER('Council Entry'!AA$8),ISNUMBER('Council Entry'!AA$9)),MAX(MIN('Council Entry'!AA13,'Council Entry'!AA$9),'Council Entry'!AA$8),'Council Entry'!AA13))))-'Council Entry'!AA$5)/('Council Entry'!AA$6-'Council Entry'!AA$5),10*((IF('Council Entry'!AA$4="Logarithm",LN(0.001+IF(AND(ISNUMBER('Council Entry'!AA$8),ISNUMBER('Council Entry'!AA$9)),MAX(MIN('Council Entry'!AA13,'Council Entry'!AA$9),'Council Entry'!AA$8),'Council Entry'!AA13)),IF('Council Entry'!AA$4="Exponential",EXP(IF(AND(ISNUMBER('Council Entry'!AA$8),ISNUMBER('Council Entry'!AA$9)),MAX(MIN('Council Entry'!AA13,'Council Entry'!AA$9),'Council Entry'!AA$8),'Council Entry'!AA13)),IF(AND(ISNUMBER('Council Entry'!AA$8),ISNUMBER('Council Entry'!AA$9)),MAX(MIN('Council Entry'!AA13,'Council Entry'!AA$9),'Council Entry'!AA$8),'Council Entry'!AA13))))-'Council Entry'!AA$5)/('Council Entry'!AA$6-'Council Entry'!AA$5)),1))),"No data"))</f>
        <v/>
      </c>
      <c r="AB13" s="13">
        <f>IF('Council Entry'!AB13="","",IFERROR(MAX(0,MIN(10,ROUND(IF('Council Entry'!AB$7="Decrease Risk",10-10*((IF('Council Entry'!AB$4="Logarithm",LN(0.001+IF(AND(ISNUMBER('Council Entry'!AB$8),ISNUMBER('Council Entry'!AB$9)),MAX(MIN('Council Entry'!AB13,'Council Entry'!AB$9),'Council Entry'!AB$8),'Council Entry'!AB13)),IF('Council Entry'!AB$4="Exponential",EXP(IF(AND(ISNUMBER('Council Entry'!AB$8),ISNUMBER('Council Entry'!AB$9)),MAX(MIN('Council Entry'!AB13,'Council Entry'!AB$9),'Council Entry'!AB$8),'Council Entry'!AB13)),IF(AND(ISNUMBER('Council Entry'!AB$8),ISNUMBER('Council Entry'!AB$9)),MAX(MIN('Council Entry'!AB13,'Council Entry'!AB$9),'Council Entry'!AB$8),'Council Entry'!AB13))))-'Council Entry'!AB$5)/('Council Entry'!AB$6-'Council Entry'!AB$5),10*((IF('Council Entry'!AB$4="Logarithm",LN(0.001+IF(AND(ISNUMBER('Council Entry'!AB$8),ISNUMBER('Council Entry'!AB$9)),MAX(MIN('Council Entry'!AB13,'Council Entry'!AB$9),'Council Entry'!AB$8),'Council Entry'!AB13)),IF('Council Entry'!AB$4="Exponential",EXP(IF(AND(ISNUMBER('Council Entry'!AB$8),ISNUMBER('Council Entry'!AB$9)),MAX(MIN('Council Entry'!AB13,'Council Entry'!AB$9),'Council Entry'!AB$8),'Council Entry'!AB13)),IF(AND(ISNUMBER('Council Entry'!AB$8),ISNUMBER('Council Entry'!AB$9)),MAX(MIN('Council Entry'!AB13,'Council Entry'!AB$9),'Council Entry'!AB$8),'Council Entry'!AB13))))-'Council Entry'!AB$5)/('Council Entry'!AB$6-'Council Entry'!AB$5)),1))),"No data"))</f>
        <v/>
      </c>
      <c r="AC13" s="13">
        <f>IF('Council Entry'!AC13="","",IFERROR(MAX(0,MIN(10,ROUND(IF('Council Entry'!AC$7="Decrease Risk",10-10*((IF('Council Entry'!AC$4="Logarithm",LN(0.001+IF(AND(ISNUMBER('Council Entry'!AC$8),ISNUMBER('Council Entry'!AC$9)),MAX(MIN('Council Entry'!AC13,'Council Entry'!AC$9),'Council Entry'!AC$8),'Council Entry'!AC13)),IF('Council Entry'!AC$4="Exponential",EXP(IF(AND(ISNUMBER('Council Entry'!AC$8),ISNUMBER('Council Entry'!AC$9)),MAX(MIN('Council Entry'!AC13,'Council Entry'!AC$9),'Council Entry'!AC$8),'Council Entry'!AC13)),IF(AND(ISNUMBER('Council Entry'!AC$8),ISNUMBER('Council Entry'!AC$9)),MAX(MIN('Council Entry'!AC13,'Council Entry'!AC$9),'Council Entry'!AC$8),'Council Entry'!AC13))))-'Council Entry'!AC$5)/('Council Entry'!AC$6-'Council Entry'!AC$5),10*((IF('Council Entry'!AC$4="Logarithm",LN(0.001+IF(AND(ISNUMBER('Council Entry'!AC$8),ISNUMBER('Council Entry'!AC$9)),MAX(MIN('Council Entry'!AC13,'Council Entry'!AC$9),'Council Entry'!AC$8),'Council Entry'!AC13)),IF('Council Entry'!AC$4="Exponential",EXP(IF(AND(ISNUMBER('Council Entry'!AC$8),ISNUMBER('Council Entry'!AC$9)),MAX(MIN('Council Entry'!AC13,'Council Entry'!AC$9),'Council Entry'!AC$8),'Council Entry'!AC13)),IF(AND(ISNUMBER('Council Entry'!AC$8),ISNUMBER('Council Entry'!AC$9)),MAX(MIN('Council Entry'!AC13,'Council Entry'!AC$9),'Council Entry'!AC$8),'Council Entry'!AC13))))-'Council Entry'!AC$5)/('Council Entry'!AC$6-'Council Entry'!AC$5)),1))),"No data"))</f>
        <v/>
      </c>
      <c r="AD13" s="13">
        <f>IF('Council Entry'!AD13="","",IFERROR(MAX(0,MIN(10,ROUND(IF('Council Entry'!AD$7="Decrease Risk",10-10*((IF('Council Entry'!AD$4="Logarithm",LN(0.001+IF(AND(ISNUMBER('Council Entry'!AD$8),ISNUMBER('Council Entry'!AD$9)),MAX(MIN('Council Entry'!AD13,'Council Entry'!AD$9),'Council Entry'!AD$8),'Council Entry'!AD13)),IF('Council Entry'!AD$4="Exponential",EXP(IF(AND(ISNUMBER('Council Entry'!AD$8),ISNUMBER('Council Entry'!AD$9)),MAX(MIN('Council Entry'!AD13,'Council Entry'!AD$9),'Council Entry'!AD$8),'Council Entry'!AD13)),IF(AND(ISNUMBER('Council Entry'!AD$8),ISNUMBER('Council Entry'!AD$9)),MAX(MIN('Council Entry'!AD13,'Council Entry'!AD$9),'Council Entry'!AD$8),'Council Entry'!AD13))))-'Council Entry'!AD$5)/('Council Entry'!AD$6-'Council Entry'!AD$5),10*((IF('Council Entry'!AD$4="Logarithm",LN(0.001+IF(AND(ISNUMBER('Council Entry'!AD$8),ISNUMBER('Council Entry'!AD$9)),MAX(MIN('Council Entry'!AD13,'Council Entry'!AD$9),'Council Entry'!AD$8),'Council Entry'!AD13)),IF('Council Entry'!AD$4="Exponential",EXP(IF(AND(ISNUMBER('Council Entry'!AD$8),ISNUMBER('Council Entry'!AD$9)),MAX(MIN('Council Entry'!AD13,'Council Entry'!AD$9),'Council Entry'!AD$8),'Council Entry'!AD13)),IF(AND(ISNUMBER('Council Entry'!AD$8),ISNUMBER('Council Entry'!AD$9)),MAX(MIN('Council Entry'!AD13,'Council Entry'!AD$9),'Council Entry'!AD$8),'Council Entry'!AD13))))-'Council Entry'!AD$5)/('Council Entry'!AD$6-'Council Entry'!AD$5)),1))),"No data"))</f>
        <v/>
      </c>
      <c r="AE13" s="13">
        <f>IF('Council Entry'!AE13="","",IFERROR(MAX(0,MIN(10,ROUND(IF('Council Entry'!AE$7="Decrease Risk",10-10*((IF('Council Entry'!AE$4="Logarithm",LN(0.001+IF(AND(ISNUMBER('Council Entry'!AE$8),ISNUMBER('Council Entry'!AE$9)),MAX(MIN('Council Entry'!AE13,'Council Entry'!AE$9),'Council Entry'!AE$8),'Council Entry'!AE13)),IF('Council Entry'!AE$4="Exponential",EXP(IF(AND(ISNUMBER('Council Entry'!AE$8),ISNUMBER('Council Entry'!AE$9)),MAX(MIN('Council Entry'!AE13,'Council Entry'!AE$9),'Council Entry'!AE$8),'Council Entry'!AE13)),IF(AND(ISNUMBER('Council Entry'!AE$8),ISNUMBER('Council Entry'!AE$9)),MAX(MIN('Council Entry'!AE13,'Council Entry'!AE$9),'Council Entry'!AE$8),'Council Entry'!AE13))))-'Council Entry'!AE$5)/('Council Entry'!AE$6-'Council Entry'!AE$5),10*((IF('Council Entry'!AE$4="Logarithm",LN(0.001+IF(AND(ISNUMBER('Council Entry'!AE$8),ISNUMBER('Council Entry'!AE$9)),MAX(MIN('Council Entry'!AE13,'Council Entry'!AE$9),'Council Entry'!AE$8),'Council Entry'!AE13)),IF('Council Entry'!AE$4="Exponential",EXP(IF(AND(ISNUMBER('Council Entry'!AE$8),ISNUMBER('Council Entry'!AE$9)),MAX(MIN('Council Entry'!AE13,'Council Entry'!AE$9),'Council Entry'!AE$8),'Council Entry'!AE13)),IF(AND(ISNUMBER('Council Entry'!AE$8),ISNUMBER('Council Entry'!AE$9)),MAX(MIN('Council Entry'!AE13,'Council Entry'!AE$9),'Council Entry'!AE$8),'Council Entry'!AE13))))-'Council Entry'!AE$5)/('Council Entry'!AE$6-'Council Entry'!AE$5)),1))),"No data"))</f>
        <v/>
      </c>
      <c r="AF13" s="13">
        <f>IF('Council Entry'!AF13="","",IFERROR(MAX(0,MIN(10,ROUND(IF('Council Entry'!AF$7="Decrease Risk",10-10*((IF('Council Entry'!AF$4="Logarithm",LN(0.001+IF(AND(ISNUMBER('Council Entry'!AF$8),ISNUMBER('Council Entry'!AF$9)),MAX(MIN('Council Entry'!AF13,'Council Entry'!AF$9),'Council Entry'!AF$8),'Council Entry'!AF13)),IF('Council Entry'!AF$4="Exponential",EXP(IF(AND(ISNUMBER('Council Entry'!AF$8),ISNUMBER('Council Entry'!AF$9)),MAX(MIN('Council Entry'!AF13,'Council Entry'!AF$9),'Council Entry'!AF$8),'Council Entry'!AF13)),IF(AND(ISNUMBER('Council Entry'!AF$8),ISNUMBER('Council Entry'!AF$9)),MAX(MIN('Council Entry'!AF13,'Council Entry'!AF$9),'Council Entry'!AF$8),'Council Entry'!AF13))))-'Council Entry'!AF$5)/('Council Entry'!AF$6-'Council Entry'!AF$5),10*((IF('Council Entry'!AF$4="Logarithm",LN(0.001+IF(AND(ISNUMBER('Council Entry'!AF$8),ISNUMBER('Council Entry'!AF$9)),MAX(MIN('Council Entry'!AF13,'Council Entry'!AF$9),'Council Entry'!AF$8),'Council Entry'!AF13)),IF('Council Entry'!AF$4="Exponential",EXP(IF(AND(ISNUMBER('Council Entry'!AF$8),ISNUMBER('Council Entry'!AF$9)),MAX(MIN('Council Entry'!AF13,'Council Entry'!AF$9),'Council Entry'!AF$8),'Council Entry'!AF13)),IF(AND(ISNUMBER('Council Entry'!AF$8),ISNUMBER('Council Entry'!AF$9)),MAX(MIN('Council Entry'!AF13,'Council Entry'!AF$9),'Council Entry'!AF$8),'Council Entry'!AF13))))-'Council Entry'!AF$5)/('Council Entry'!AF$6-'Council Entry'!AF$5)),1))),"No data"))</f>
        <v/>
      </c>
      <c r="AG13" s="13">
        <f>IF('Council Entry'!AG13="","",IFERROR(MAX(0,MIN(10,ROUND(IF('Council Entry'!AG$7="Decrease Risk",10-10*((IF('Council Entry'!AG$4="Logarithm",LN(0.001+IF(AND(ISNUMBER('Council Entry'!AG$8),ISNUMBER('Council Entry'!AG$9)),MAX(MIN('Council Entry'!AG13,'Council Entry'!AG$9),'Council Entry'!AG$8),'Council Entry'!AG13)),IF('Council Entry'!AG$4="Exponential",EXP(IF(AND(ISNUMBER('Council Entry'!AG$8),ISNUMBER('Council Entry'!AG$9)),MAX(MIN('Council Entry'!AG13,'Council Entry'!AG$9),'Council Entry'!AG$8),'Council Entry'!AG13)),IF(AND(ISNUMBER('Council Entry'!AG$8),ISNUMBER('Council Entry'!AG$9)),MAX(MIN('Council Entry'!AG13,'Council Entry'!AG$9),'Council Entry'!AG$8),'Council Entry'!AG13))))-'Council Entry'!AG$5)/('Council Entry'!AG$6-'Council Entry'!AG$5),10*((IF('Council Entry'!AG$4="Logarithm",LN(0.001+IF(AND(ISNUMBER('Council Entry'!AG$8),ISNUMBER('Council Entry'!AG$9)),MAX(MIN('Council Entry'!AG13,'Council Entry'!AG$9),'Council Entry'!AG$8),'Council Entry'!AG13)),IF('Council Entry'!AG$4="Exponential",EXP(IF(AND(ISNUMBER('Council Entry'!AG$8),ISNUMBER('Council Entry'!AG$9)),MAX(MIN('Council Entry'!AG13,'Council Entry'!AG$9),'Council Entry'!AG$8),'Council Entry'!AG13)),IF(AND(ISNUMBER('Council Entry'!AG$8),ISNUMBER('Council Entry'!AG$9)),MAX(MIN('Council Entry'!AG13,'Council Entry'!AG$9),'Council Entry'!AG$8),'Council Entry'!AG13))))-'Council Entry'!AG$5)/('Council Entry'!AG$6-'Council Entry'!AG$5)),1))),"No data"))</f>
        <v/>
      </c>
      <c r="AH13" s="13">
        <f>IF('Council Entry'!AH13="","",IFERROR(MAX(0,MIN(10,ROUND(IF('Council Entry'!AH$7="Decrease Risk",10-10*((IF('Council Entry'!AH$4="Logarithm",LN(0.001+IF(AND(ISNUMBER('Council Entry'!AH$8),ISNUMBER('Council Entry'!AH$9)),MAX(MIN('Council Entry'!AH13,'Council Entry'!AH$9),'Council Entry'!AH$8),'Council Entry'!AH13)),IF('Council Entry'!AH$4="Exponential",EXP(IF(AND(ISNUMBER('Council Entry'!AH$8),ISNUMBER('Council Entry'!AH$9)),MAX(MIN('Council Entry'!AH13,'Council Entry'!AH$9),'Council Entry'!AH$8),'Council Entry'!AH13)),IF(AND(ISNUMBER('Council Entry'!AH$8),ISNUMBER('Council Entry'!AH$9)),MAX(MIN('Council Entry'!AH13,'Council Entry'!AH$9),'Council Entry'!AH$8),'Council Entry'!AH13))))-'Council Entry'!AH$5)/('Council Entry'!AH$6-'Council Entry'!AH$5),10*((IF('Council Entry'!AH$4="Logarithm",LN(0.001+IF(AND(ISNUMBER('Council Entry'!AH$8),ISNUMBER('Council Entry'!AH$9)),MAX(MIN('Council Entry'!AH13,'Council Entry'!AH$9),'Council Entry'!AH$8),'Council Entry'!AH13)),IF('Council Entry'!AH$4="Exponential",EXP(IF(AND(ISNUMBER('Council Entry'!AH$8),ISNUMBER('Council Entry'!AH$9)),MAX(MIN('Council Entry'!AH13,'Council Entry'!AH$9),'Council Entry'!AH$8),'Council Entry'!AH13)),IF(AND(ISNUMBER('Council Entry'!AH$8),ISNUMBER('Council Entry'!AH$9)),MAX(MIN('Council Entry'!AH13,'Council Entry'!AH$9),'Council Entry'!AH$8),'Council Entry'!AH13))))-'Council Entry'!AH$5)/('Council Entry'!AH$6-'Council Entry'!AH$5)),1))),"No data"))</f>
        <v/>
      </c>
      <c r="AI13" s="13">
        <f>IF('Council Entry'!AI13="","",IFERROR(MAX(0,MIN(10,ROUND(IF('Council Entry'!AI$7="Decrease Risk",10-10*((IF('Council Entry'!AI$4="Logarithm",LN(0.001+IF(AND(ISNUMBER('Council Entry'!AI$8),ISNUMBER('Council Entry'!AI$9)),MAX(MIN('Council Entry'!AI13,'Council Entry'!AI$9),'Council Entry'!AI$8),'Council Entry'!AI13)),IF('Council Entry'!AI$4="Exponential",EXP(IF(AND(ISNUMBER('Council Entry'!AI$8),ISNUMBER('Council Entry'!AI$9)),MAX(MIN('Council Entry'!AI13,'Council Entry'!AI$9),'Council Entry'!AI$8),'Council Entry'!AI13)),IF(AND(ISNUMBER('Council Entry'!AI$8),ISNUMBER('Council Entry'!AI$9)),MAX(MIN('Council Entry'!AI13,'Council Entry'!AI$9),'Council Entry'!AI$8),'Council Entry'!AI13))))-'Council Entry'!AI$5)/('Council Entry'!AI$6-'Council Entry'!AI$5),10*((IF('Council Entry'!AI$4="Logarithm",LN(0.001+IF(AND(ISNUMBER('Council Entry'!AI$8),ISNUMBER('Council Entry'!AI$9)),MAX(MIN('Council Entry'!AI13,'Council Entry'!AI$9),'Council Entry'!AI$8),'Council Entry'!AI13)),IF('Council Entry'!AI$4="Exponential",EXP(IF(AND(ISNUMBER('Council Entry'!AI$8),ISNUMBER('Council Entry'!AI$9)),MAX(MIN('Council Entry'!AI13,'Council Entry'!AI$9),'Council Entry'!AI$8),'Council Entry'!AI13)),IF(AND(ISNUMBER('Council Entry'!AI$8),ISNUMBER('Council Entry'!AI$9)),MAX(MIN('Council Entry'!AI13,'Council Entry'!AI$9),'Council Entry'!AI$8),'Council Entry'!AI13))))-'Council Entry'!AI$5)/('Council Entry'!AI$6-'Council Entry'!AI$5)),1))),"No data"))</f>
        <v/>
      </c>
      <c r="AJ13" s="13">
        <f>IF('Council Entry'!AJ13="","",IFERROR(MAX(0,MIN(10,ROUND(IF('Council Entry'!AJ$7="Decrease Risk",10-10*((IF('Council Entry'!AJ$4="Logarithm",LN(0.001+IF(AND(ISNUMBER('Council Entry'!AJ$8),ISNUMBER('Council Entry'!AJ$9)),MAX(MIN('Council Entry'!AJ13,'Council Entry'!AJ$9),'Council Entry'!AJ$8),'Council Entry'!AJ13)),IF('Council Entry'!AJ$4="Exponential",EXP(IF(AND(ISNUMBER('Council Entry'!AJ$8),ISNUMBER('Council Entry'!AJ$9)),MAX(MIN('Council Entry'!AJ13,'Council Entry'!AJ$9),'Council Entry'!AJ$8),'Council Entry'!AJ13)),IF(AND(ISNUMBER('Council Entry'!AJ$8),ISNUMBER('Council Entry'!AJ$9)),MAX(MIN('Council Entry'!AJ13,'Council Entry'!AJ$9),'Council Entry'!AJ$8),'Council Entry'!AJ13))))-'Council Entry'!AJ$5)/('Council Entry'!AJ$6-'Council Entry'!AJ$5),10*((IF('Council Entry'!AJ$4="Logarithm",LN(0.001+IF(AND(ISNUMBER('Council Entry'!AJ$8),ISNUMBER('Council Entry'!AJ$9)),MAX(MIN('Council Entry'!AJ13,'Council Entry'!AJ$9),'Council Entry'!AJ$8),'Council Entry'!AJ13)),IF('Council Entry'!AJ$4="Exponential",EXP(IF(AND(ISNUMBER('Council Entry'!AJ$8),ISNUMBER('Council Entry'!AJ$9)),MAX(MIN('Council Entry'!AJ13,'Council Entry'!AJ$9),'Council Entry'!AJ$8),'Council Entry'!AJ13)),IF(AND(ISNUMBER('Council Entry'!AJ$8),ISNUMBER('Council Entry'!AJ$9)),MAX(MIN('Council Entry'!AJ13,'Council Entry'!AJ$9),'Council Entry'!AJ$8),'Council Entry'!AJ13))))-'Council Entry'!AJ$5)/('Council Entry'!AJ$6-'Council Entry'!AJ$5)),1))),"No data"))</f>
        <v/>
      </c>
      <c r="AK13" s="13">
        <f>IF('Council Entry'!AK13="","",IFERROR(MAX(0,MIN(10,ROUND(IF('Council Entry'!AK$7="Decrease Risk",10-10*((IF('Council Entry'!AK$4="Logarithm",LN(0.001+IF(AND(ISNUMBER('Council Entry'!AK$8),ISNUMBER('Council Entry'!AK$9)),MAX(MIN('Council Entry'!AK13,'Council Entry'!AK$9),'Council Entry'!AK$8),'Council Entry'!AK13)),IF('Council Entry'!AK$4="Exponential",EXP(IF(AND(ISNUMBER('Council Entry'!AK$8),ISNUMBER('Council Entry'!AK$9)),MAX(MIN('Council Entry'!AK13,'Council Entry'!AK$9),'Council Entry'!AK$8),'Council Entry'!AK13)),IF(AND(ISNUMBER('Council Entry'!AK$8),ISNUMBER('Council Entry'!AK$9)),MAX(MIN('Council Entry'!AK13,'Council Entry'!AK$9),'Council Entry'!AK$8),'Council Entry'!AK13))))-'Council Entry'!AK$5)/('Council Entry'!AK$6-'Council Entry'!AK$5),10*((IF('Council Entry'!AK$4="Logarithm",LN(0.001+IF(AND(ISNUMBER('Council Entry'!AK$8),ISNUMBER('Council Entry'!AK$9)),MAX(MIN('Council Entry'!AK13,'Council Entry'!AK$9),'Council Entry'!AK$8),'Council Entry'!AK13)),IF('Council Entry'!AK$4="Exponential",EXP(IF(AND(ISNUMBER('Council Entry'!AK$8),ISNUMBER('Council Entry'!AK$9)),MAX(MIN('Council Entry'!AK13,'Council Entry'!AK$9),'Council Entry'!AK$8),'Council Entry'!AK13)),IF(AND(ISNUMBER('Council Entry'!AK$8),ISNUMBER('Council Entry'!AK$9)),MAX(MIN('Council Entry'!AK13,'Council Entry'!AK$9),'Council Entry'!AK$8),'Council Entry'!AK13))))-'Council Entry'!AK$5)/('Council Entry'!AK$6-'Council Entry'!AK$5)),1))),"No data"))</f>
        <v/>
      </c>
      <c r="AL13" s="13">
        <f>IF('Council Entry'!AL13="","",IFERROR(MAX(0,MIN(10,ROUND(IF('Council Entry'!AL$7="Decrease Risk",10-10*((IF('Council Entry'!AL$4="Logarithm",LN(0.001+IF(AND(ISNUMBER('Council Entry'!AL$8),ISNUMBER('Council Entry'!AL$9)),MAX(MIN('Council Entry'!AL13,'Council Entry'!AL$9),'Council Entry'!AL$8),'Council Entry'!AL13)),IF('Council Entry'!AL$4="Exponential",EXP(IF(AND(ISNUMBER('Council Entry'!AL$8),ISNUMBER('Council Entry'!AL$9)),MAX(MIN('Council Entry'!AL13,'Council Entry'!AL$9),'Council Entry'!AL$8),'Council Entry'!AL13)),IF(AND(ISNUMBER('Council Entry'!AL$8),ISNUMBER('Council Entry'!AL$9)),MAX(MIN('Council Entry'!AL13,'Council Entry'!AL$9),'Council Entry'!AL$8),'Council Entry'!AL13))))-'Council Entry'!AL$5)/('Council Entry'!AL$6-'Council Entry'!AL$5),10*((IF('Council Entry'!AL$4="Logarithm",LN(0.001+IF(AND(ISNUMBER('Council Entry'!AL$8),ISNUMBER('Council Entry'!AL$9)),MAX(MIN('Council Entry'!AL13,'Council Entry'!AL$9),'Council Entry'!AL$8),'Council Entry'!AL13)),IF('Council Entry'!AL$4="Exponential",EXP(IF(AND(ISNUMBER('Council Entry'!AL$8),ISNUMBER('Council Entry'!AL$9)),MAX(MIN('Council Entry'!AL13,'Council Entry'!AL$9),'Council Entry'!AL$8),'Council Entry'!AL13)),IF(AND(ISNUMBER('Council Entry'!AL$8),ISNUMBER('Council Entry'!AL$9)),MAX(MIN('Council Entry'!AL13,'Council Entry'!AL$9),'Council Entry'!AL$8),'Council Entry'!AL13))))-'Council Entry'!AL$5)/('Council Entry'!AL$6-'Council Entry'!AL$5)),1))),"No data"))</f>
        <v/>
      </c>
      <c r="AM13" s="13">
        <f>IF('Council Entry'!AM13="","",IFERROR(MAX(0,MIN(10,ROUND(IF('Council Entry'!AM$7="Decrease Risk",10-10*((IF('Council Entry'!AM$4="Logarithm",LN(0.001+IF(AND(ISNUMBER('Council Entry'!AM$8),ISNUMBER('Council Entry'!AM$9)),MAX(MIN('Council Entry'!AM13,'Council Entry'!AM$9),'Council Entry'!AM$8),'Council Entry'!AM13)),IF('Council Entry'!AM$4="Exponential",EXP(IF(AND(ISNUMBER('Council Entry'!AM$8),ISNUMBER('Council Entry'!AM$9)),MAX(MIN('Council Entry'!AM13,'Council Entry'!AM$9),'Council Entry'!AM$8),'Council Entry'!AM13)),IF(AND(ISNUMBER('Council Entry'!AM$8),ISNUMBER('Council Entry'!AM$9)),MAX(MIN('Council Entry'!AM13,'Council Entry'!AM$9),'Council Entry'!AM$8),'Council Entry'!AM13))))-'Council Entry'!AM$5)/('Council Entry'!AM$6-'Council Entry'!AM$5),10*((IF('Council Entry'!AM$4="Logarithm",LN(0.001+IF(AND(ISNUMBER('Council Entry'!AM$8),ISNUMBER('Council Entry'!AM$9)),MAX(MIN('Council Entry'!AM13,'Council Entry'!AM$9),'Council Entry'!AM$8),'Council Entry'!AM13)),IF('Council Entry'!AM$4="Exponential",EXP(IF(AND(ISNUMBER('Council Entry'!AM$8),ISNUMBER('Council Entry'!AM$9)),MAX(MIN('Council Entry'!AM13,'Council Entry'!AM$9),'Council Entry'!AM$8),'Council Entry'!AM13)),IF(AND(ISNUMBER('Council Entry'!AM$8),ISNUMBER('Council Entry'!AM$9)),MAX(MIN('Council Entry'!AM13,'Council Entry'!AM$9),'Council Entry'!AM$8),'Council Entry'!AM13))))-'Council Entry'!AM$5)/('Council Entry'!AM$6-'Council Entry'!AM$5)),1))),"No data"))</f>
        <v/>
      </c>
      <c r="AN13" s="13">
        <f>IF('Council Entry'!AN13="","",IFERROR(MAX(0,MIN(10,ROUND(IF('Council Entry'!AN$7="Decrease Risk",10-10*((IF('Council Entry'!AN$4="Logarithm",LN(0.001+IF(AND(ISNUMBER('Council Entry'!AN$8),ISNUMBER('Council Entry'!AN$9)),MAX(MIN('Council Entry'!AN13,'Council Entry'!AN$9),'Council Entry'!AN$8),'Council Entry'!AN13)),IF('Council Entry'!AN$4="Exponential",EXP(IF(AND(ISNUMBER('Council Entry'!AN$8),ISNUMBER('Council Entry'!AN$9)),MAX(MIN('Council Entry'!AN13,'Council Entry'!AN$9),'Council Entry'!AN$8),'Council Entry'!AN13)),IF(AND(ISNUMBER('Council Entry'!AN$8),ISNUMBER('Council Entry'!AN$9)),MAX(MIN('Council Entry'!AN13,'Council Entry'!AN$9),'Council Entry'!AN$8),'Council Entry'!AN13))))-'Council Entry'!AN$5)/('Council Entry'!AN$6-'Council Entry'!AN$5),10*((IF('Council Entry'!AN$4="Logarithm",LN(0.001+IF(AND(ISNUMBER('Council Entry'!AN$8),ISNUMBER('Council Entry'!AN$9)),MAX(MIN('Council Entry'!AN13,'Council Entry'!AN$9),'Council Entry'!AN$8),'Council Entry'!AN13)),IF('Council Entry'!AN$4="Exponential",EXP(IF(AND(ISNUMBER('Council Entry'!AN$8),ISNUMBER('Council Entry'!AN$9)),MAX(MIN('Council Entry'!AN13,'Council Entry'!AN$9),'Council Entry'!AN$8),'Council Entry'!AN13)),IF(AND(ISNUMBER('Council Entry'!AN$8),ISNUMBER('Council Entry'!AN$9)),MAX(MIN('Council Entry'!AN13,'Council Entry'!AN$9),'Council Entry'!AN$8),'Council Entry'!AN13))))-'Council Entry'!AN$5)/('Council Entry'!AN$6-'Council Entry'!AN$5)),1))),"No data"))</f>
        <v/>
      </c>
      <c r="AO13" s="13">
        <f>IF('Council Entry'!AO13="","",IFERROR(MAX(0,MIN(10,ROUND(IF('Council Entry'!AO$7="Decrease Risk",10-10*((IF('Council Entry'!AO$4="Logarithm",LN(0.001+IF(AND(ISNUMBER('Council Entry'!AO$8),ISNUMBER('Council Entry'!AO$9)),MAX(MIN('Council Entry'!AO13,'Council Entry'!AO$9),'Council Entry'!AO$8),'Council Entry'!AO13)),IF('Council Entry'!AO$4="Exponential",EXP(IF(AND(ISNUMBER('Council Entry'!AO$8),ISNUMBER('Council Entry'!AO$9)),MAX(MIN('Council Entry'!AO13,'Council Entry'!AO$9),'Council Entry'!AO$8),'Council Entry'!AO13)),IF(AND(ISNUMBER('Council Entry'!AO$8),ISNUMBER('Council Entry'!AO$9)),MAX(MIN('Council Entry'!AO13,'Council Entry'!AO$9),'Council Entry'!AO$8),'Council Entry'!AO13))))-'Council Entry'!AO$5)/('Council Entry'!AO$6-'Council Entry'!AO$5),10*((IF('Council Entry'!AO$4="Logarithm",LN(0.001+IF(AND(ISNUMBER('Council Entry'!AO$8),ISNUMBER('Council Entry'!AO$9)),MAX(MIN('Council Entry'!AO13,'Council Entry'!AO$9),'Council Entry'!AO$8),'Council Entry'!AO13)),IF('Council Entry'!AO$4="Exponential",EXP(IF(AND(ISNUMBER('Council Entry'!AO$8),ISNUMBER('Council Entry'!AO$9)),MAX(MIN('Council Entry'!AO13,'Council Entry'!AO$9),'Council Entry'!AO$8),'Council Entry'!AO13)),IF(AND(ISNUMBER('Council Entry'!AO$8),ISNUMBER('Council Entry'!AO$9)),MAX(MIN('Council Entry'!AO13,'Council Entry'!AO$9),'Council Entry'!AO$8),'Council Entry'!AO13))))-'Council Entry'!AO$5)/('Council Entry'!AO$6-'Council Entry'!AO$5)),1))),"No data"))</f>
        <v/>
      </c>
      <c r="AP13" s="13">
        <f>IF('Council Entry'!AP13="","",IFERROR(MAX(0,MIN(10,ROUND(IF('Council Entry'!AP$7="Decrease Risk",10-10*((IF('Council Entry'!AP$4="Logarithm",LN(0.001+IF(AND(ISNUMBER('Council Entry'!AP$8),ISNUMBER('Council Entry'!AP$9)),MAX(MIN('Council Entry'!AP13,'Council Entry'!AP$9),'Council Entry'!AP$8),'Council Entry'!AP13)),IF('Council Entry'!AP$4="Exponential",EXP(IF(AND(ISNUMBER('Council Entry'!AP$8),ISNUMBER('Council Entry'!AP$9)),MAX(MIN('Council Entry'!AP13,'Council Entry'!AP$9),'Council Entry'!AP$8),'Council Entry'!AP13)),IF(AND(ISNUMBER('Council Entry'!AP$8),ISNUMBER('Council Entry'!AP$9)),MAX(MIN('Council Entry'!AP13,'Council Entry'!AP$9),'Council Entry'!AP$8),'Council Entry'!AP13))))-'Council Entry'!AP$5)/('Council Entry'!AP$6-'Council Entry'!AP$5),10*((IF('Council Entry'!AP$4="Logarithm",LN(0.001+IF(AND(ISNUMBER('Council Entry'!AP$8),ISNUMBER('Council Entry'!AP$9)),MAX(MIN('Council Entry'!AP13,'Council Entry'!AP$9),'Council Entry'!AP$8),'Council Entry'!AP13)),IF('Council Entry'!AP$4="Exponential",EXP(IF(AND(ISNUMBER('Council Entry'!AP$8),ISNUMBER('Council Entry'!AP$9)),MAX(MIN('Council Entry'!AP13,'Council Entry'!AP$9),'Council Entry'!AP$8),'Council Entry'!AP13)),IF(AND(ISNUMBER('Council Entry'!AP$8),ISNUMBER('Council Entry'!AP$9)),MAX(MIN('Council Entry'!AP13,'Council Entry'!AP$9),'Council Entry'!AP$8),'Council Entry'!AP13))))-'Council Entry'!AP$5)/('Council Entry'!AP$6-'Council Entry'!AP$5)),1))),"No data"))</f>
        <v/>
      </c>
      <c r="AQ13" s="13">
        <f>IF('Council Entry'!AQ13="","",IFERROR(MAX(0,MIN(10,ROUND(IF('Council Entry'!AQ$7="Decrease Risk",10-10*((IF('Council Entry'!AQ$4="Logarithm",LN(0.001+IF(AND(ISNUMBER('Council Entry'!AQ$8),ISNUMBER('Council Entry'!AQ$9)),MAX(MIN('Council Entry'!AQ13,'Council Entry'!AQ$9),'Council Entry'!AQ$8),'Council Entry'!AQ13)),IF('Council Entry'!AQ$4="Exponential",EXP(IF(AND(ISNUMBER('Council Entry'!AQ$8),ISNUMBER('Council Entry'!AQ$9)),MAX(MIN('Council Entry'!AQ13,'Council Entry'!AQ$9),'Council Entry'!AQ$8),'Council Entry'!AQ13)),IF(AND(ISNUMBER('Council Entry'!AQ$8),ISNUMBER('Council Entry'!AQ$9)),MAX(MIN('Council Entry'!AQ13,'Council Entry'!AQ$9),'Council Entry'!AQ$8),'Council Entry'!AQ13))))-'Council Entry'!AQ$5)/('Council Entry'!AQ$6-'Council Entry'!AQ$5),10*((IF('Council Entry'!AQ$4="Logarithm",LN(0.001+IF(AND(ISNUMBER('Council Entry'!AQ$8),ISNUMBER('Council Entry'!AQ$9)),MAX(MIN('Council Entry'!AQ13,'Council Entry'!AQ$9),'Council Entry'!AQ$8),'Council Entry'!AQ13)),IF('Council Entry'!AQ$4="Exponential",EXP(IF(AND(ISNUMBER('Council Entry'!AQ$8),ISNUMBER('Council Entry'!AQ$9)),MAX(MIN('Council Entry'!AQ13,'Council Entry'!AQ$9),'Council Entry'!AQ$8),'Council Entry'!AQ13)),IF(AND(ISNUMBER('Council Entry'!AQ$8),ISNUMBER('Council Entry'!AQ$9)),MAX(MIN('Council Entry'!AQ13,'Council Entry'!AQ$9),'Council Entry'!AQ$8),'Council Entry'!AQ13))))-'Council Entry'!AQ$5)/('Council Entry'!AQ$6-'Council Entry'!AQ$5)),1))),"No data"))</f>
        <v/>
      </c>
      <c r="AR13" s="13">
        <f>IF('Council Entry'!AR13="","",IFERROR(MAX(0,MIN(10,ROUND(IF('Council Entry'!AR$7="Decrease Risk",10-10*((IF('Council Entry'!AR$4="Logarithm",LN(0.001+IF(AND(ISNUMBER('Council Entry'!AR$8),ISNUMBER('Council Entry'!AR$9)),MAX(MIN('Council Entry'!AR13,'Council Entry'!AR$9),'Council Entry'!AR$8),'Council Entry'!AR13)),IF('Council Entry'!AR$4="Exponential",EXP(IF(AND(ISNUMBER('Council Entry'!AR$8),ISNUMBER('Council Entry'!AR$9)),MAX(MIN('Council Entry'!AR13,'Council Entry'!AR$9),'Council Entry'!AR$8),'Council Entry'!AR13)),IF(AND(ISNUMBER('Council Entry'!AR$8),ISNUMBER('Council Entry'!AR$9)),MAX(MIN('Council Entry'!AR13,'Council Entry'!AR$9),'Council Entry'!AR$8),'Council Entry'!AR13))))-'Council Entry'!AR$5)/('Council Entry'!AR$6-'Council Entry'!AR$5),10*((IF('Council Entry'!AR$4="Logarithm",LN(0.001+IF(AND(ISNUMBER('Council Entry'!AR$8),ISNUMBER('Council Entry'!AR$9)),MAX(MIN('Council Entry'!AR13,'Council Entry'!AR$9),'Council Entry'!AR$8),'Council Entry'!AR13)),IF('Council Entry'!AR$4="Exponential",EXP(IF(AND(ISNUMBER('Council Entry'!AR$8),ISNUMBER('Council Entry'!AR$9)),MAX(MIN('Council Entry'!AR13,'Council Entry'!AR$9),'Council Entry'!AR$8),'Council Entry'!AR13)),IF(AND(ISNUMBER('Council Entry'!AR$8),ISNUMBER('Council Entry'!AR$9)),MAX(MIN('Council Entry'!AR13,'Council Entry'!AR$9),'Council Entry'!AR$8),'Council Entry'!AR13))))-'Council Entry'!AR$5)/('Council Entry'!AR$6-'Council Entry'!AR$5)),1))),"No data"))</f>
        <v/>
      </c>
      <c r="AS13" s="13">
        <f>IF('Council Entry'!AS13="","",IFERROR(MAX(0,MIN(10,ROUND(IF('Council Entry'!AS$7="Decrease Risk",10-10*((IF('Council Entry'!AS$4="Logarithm",LN(0.001+IF(AND(ISNUMBER('Council Entry'!AS$8),ISNUMBER('Council Entry'!AS$9)),MAX(MIN('Council Entry'!AS13,'Council Entry'!AS$9),'Council Entry'!AS$8),'Council Entry'!AS13)),IF('Council Entry'!AS$4="Exponential",EXP(IF(AND(ISNUMBER('Council Entry'!AS$8),ISNUMBER('Council Entry'!AS$9)),MAX(MIN('Council Entry'!AS13,'Council Entry'!AS$9),'Council Entry'!AS$8),'Council Entry'!AS13)),IF(AND(ISNUMBER('Council Entry'!AS$8),ISNUMBER('Council Entry'!AS$9)),MAX(MIN('Council Entry'!AS13,'Council Entry'!AS$9),'Council Entry'!AS$8),'Council Entry'!AS13))))-'Council Entry'!AS$5)/('Council Entry'!AS$6-'Council Entry'!AS$5),10*((IF('Council Entry'!AS$4="Logarithm",LN(0.001+IF(AND(ISNUMBER('Council Entry'!AS$8),ISNUMBER('Council Entry'!AS$9)),MAX(MIN('Council Entry'!AS13,'Council Entry'!AS$9),'Council Entry'!AS$8),'Council Entry'!AS13)),IF('Council Entry'!AS$4="Exponential",EXP(IF(AND(ISNUMBER('Council Entry'!AS$8),ISNUMBER('Council Entry'!AS$9)),MAX(MIN('Council Entry'!AS13,'Council Entry'!AS$9),'Council Entry'!AS$8),'Council Entry'!AS13)),IF(AND(ISNUMBER('Council Entry'!AS$8),ISNUMBER('Council Entry'!AS$9)),MAX(MIN('Council Entry'!AS13,'Council Entry'!AS$9),'Council Entry'!AS$8),'Council Entry'!AS13))))-'Council Entry'!AS$5)/('Council Entry'!AS$6-'Council Entry'!AS$5)),1))),"No data"))</f>
        <v/>
      </c>
      <c r="AT13" s="13">
        <f>IF('Council Entry'!AT13="","",IFERROR(MAX(0,MIN(10,ROUND(IF('Council Entry'!AT$7="Decrease Risk",10-10*((IF('Council Entry'!AT$4="Logarithm",LN(0.001+IF(AND(ISNUMBER('Council Entry'!AT$8),ISNUMBER('Council Entry'!AT$9)),MAX(MIN('Council Entry'!AT13,'Council Entry'!AT$9),'Council Entry'!AT$8),'Council Entry'!AT13)),IF('Council Entry'!AT$4="Exponential",EXP(IF(AND(ISNUMBER('Council Entry'!AT$8),ISNUMBER('Council Entry'!AT$9)),MAX(MIN('Council Entry'!AT13,'Council Entry'!AT$9),'Council Entry'!AT$8),'Council Entry'!AT13)),IF(AND(ISNUMBER('Council Entry'!AT$8),ISNUMBER('Council Entry'!AT$9)),MAX(MIN('Council Entry'!AT13,'Council Entry'!AT$9),'Council Entry'!AT$8),'Council Entry'!AT13))))-'Council Entry'!AT$5)/('Council Entry'!AT$6-'Council Entry'!AT$5),10*((IF('Council Entry'!AT$4="Logarithm",LN(0.001+IF(AND(ISNUMBER('Council Entry'!AT$8),ISNUMBER('Council Entry'!AT$9)),MAX(MIN('Council Entry'!AT13,'Council Entry'!AT$9),'Council Entry'!AT$8),'Council Entry'!AT13)),IF('Council Entry'!AT$4="Exponential",EXP(IF(AND(ISNUMBER('Council Entry'!AT$8),ISNUMBER('Council Entry'!AT$9)),MAX(MIN('Council Entry'!AT13,'Council Entry'!AT$9),'Council Entry'!AT$8),'Council Entry'!AT13)),IF(AND(ISNUMBER('Council Entry'!AT$8),ISNUMBER('Council Entry'!AT$9)),MAX(MIN('Council Entry'!AT13,'Council Entry'!AT$9),'Council Entry'!AT$8),'Council Entry'!AT13))))-'Council Entry'!AT$5)/('Council Entry'!AT$6-'Council Entry'!AT$5)),1))),"No data"))</f>
        <v/>
      </c>
      <c r="AU13" s="13">
        <f>IF('Council Entry'!AU13="","",IFERROR(MAX(0,MIN(10,ROUND(IF('Council Entry'!AU$7="Decrease Risk",10-10*((IF('Council Entry'!AU$4="Logarithm",LN(0.001+IF(AND(ISNUMBER('Council Entry'!AU$8),ISNUMBER('Council Entry'!AU$9)),MAX(MIN('Council Entry'!AU13,'Council Entry'!AU$9),'Council Entry'!AU$8),'Council Entry'!AU13)),IF('Council Entry'!AU$4="Exponential",EXP(IF(AND(ISNUMBER('Council Entry'!AU$8),ISNUMBER('Council Entry'!AU$9)),MAX(MIN('Council Entry'!AU13,'Council Entry'!AU$9),'Council Entry'!AU$8),'Council Entry'!AU13)),IF(AND(ISNUMBER('Council Entry'!AU$8),ISNUMBER('Council Entry'!AU$9)),MAX(MIN('Council Entry'!AU13,'Council Entry'!AU$9),'Council Entry'!AU$8),'Council Entry'!AU13))))-'Council Entry'!AU$5)/('Council Entry'!AU$6-'Council Entry'!AU$5),10*((IF('Council Entry'!AU$4="Logarithm",LN(0.001+IF(AND(ISNUMBER('Council Entry'!AU$8),ISNUMBER('Council Entry'!AU$9)),MAX(MIN('Council Entry'!AU13,'Council Entry'!AU$9),'Council Entry'!AU$8),'Council Entry'!AU13)),IF('Council Entry'!AU$4="Exponential",EXP(IF(AND(ISNUMBER('Council Entry'!AU$8),ISNUMBER('Council Entry'!AU$9)),MAX(MIN('Council Entry'!AU13,'Council Entry'!AU$9),'Council Entry'!AU$8),'Council Entry'!AU13)),IF(AND(ISNUMBER('Council Entry'!AU$8),ISNUMBER('Council Entry'!AU$9)),MAX(MIN('Council Entry'!AU13,'Council Entry'!AU$9),'Council Entry'!AU$8),'Council Entry'!AU13))))-'Council Entry'!AU$5)/('Council Entry'!AU$6-'Council Entry'!AU$5)),1))),"No data"))</f>
        <v/>
      </c>
      <c r="AV13" s="13">
        <f>IF('Council Entry'!AV13="","",IFERROR(MAX(0,MIN(10,ROUND(IF('Council Entry'!AV$7="Decrease Risk",10-10*((IF('Council Entry'!AV$4="Logarithm",LN(0.001+IF(AND(ISNUMBER('Council Entry'!AV$8),ISNUMBER('Council Entry'!AV$9)),MAX(MIN('Council Entry'!AV13,'Council Entry'!AV$9),'Council Entry'!AV$8),'Council Entry'!AV13)),IF('Council Entry'!AV$4="Exponential",EXP(IF(AND(ISNUMBER('Council Entry'!AV$8),ISNUMBER('Council Entry'!AV$9)),MAX(MIN('Council Entry'!AV13,'Council Entry'!AV$9),'Council Entry'!AV$8),'Council Entry'!AV13)),IF(AND(ISNUMBER('Council Entry'!AV$8),ISNUMBER('Council Entry'!AV$9)),MAX(MIN('Council Entry'!AV13,'Council Entry'!AV$9),'Council Entry'!AV$8),'Council Entry'!AV13))))-'Council Entry'!AV$5)/('Council Entry'!AV$6-'Council Entry'!AV$5),10*((IF('Council Entry'!AV$4="Logarithm",LN(0.001+IF(AND(ISNUMBER('Council Entry'!AV$8),ISNUMBER('Council Entry'!AV$9)),MAX(MIN('Council Entry'!AV13,'Council Entry'!AV$9),'Council Entry'!AV$8),'Council Entry'!AV13)),IF('Council Entry'!AV$4="Exponential",EXP(IF(AND(ISNUMBER('Council Entry'!AV$8),ISNUMBER('Council Entry'!AV$9)),MAX(MIN('Council Entry'!AV13,'Council Entry'!AV$9),'Council Entry'!AV$8),'Council Entry'!AV13)),IF(AND(ISNUMBER('Council Entry'!AV$8),ISNUMBER('Council Entry'!AV$9)),MAX(MIN('Council Entry'!AV13,'Council Entry'!AV$9),'Council Entry'!AV$8),'Council Entry'!AV13))))-'Council Entry'!AV$5)/('Council Entry'!AV$6-'Council Entry'!AV$5)),1))),"No data"))</f>
        <v/>
      </c>
      <c r="AW13" s="13">
        <f>IF('Council Entry'!AW13="","",IFERROR(MAX(0,MIN(10,ROUND(IF('Council Entry'!AW$7="Decrease Risk",10-10*((IF('Council Entry'!AW$4="Logarithm",LN(0.001+IF(AND(ISNUMBER('Council Entry'!AW$8),ISNUMBER('Council Entry'!AW$9)),MAX(MIN('Council Entry'!AW13,'Council Entry'!AW$9),'Council Entry'!AW$8),'Council Entry'!AW13)),IF('Council Entry'!AW$4="Exponential",EXP(IF(AND(ISNUMBER('Council Entry'!AW$8),ISNUMBER('Council Entry'!AW$9)),MAX(MIN('Council Entry'!AW13,'Council Entry'!AW$9),'Council Entry'!AW$8),'Council Entry'!AW13)),IF(AND(ISNUMBER('Council Entry'!AW$8),ISNUMBER('Council Entry'!AW$9)),MAX(MIN('Council Entry'!AW13,'Council Entry'!AW$9),'Council Entry'!AW$8),'Council Entry'!AW13))))-'Council Entry'!AW$5)/('Council Entry'!AW$6-'Council Entry'!AW$5),10*((IF('Council Entry'!AW$4="Logarithm",LN(0.001+IF(AND(ISNUMBER('Council Entry'!AW$8),ISNUMBER('Council Entry'!AW$9)),MAX(MIN('Council Entry'!AW13,'Council Entry'!AW$9),'Council Entry'!AW$8),'Council Entry'!AW13)),IF('Council Entry'!AW$4="Exponential",EXP(IF(AND(ISNUMBER('Council Entry'!AW$8),ISNUMBER('Council Entry'!AW$9)),MAX(MIN('Council Entry'!AW13,'Council Entry'!AW$9),'Council Entry'!AW$8),'Council Entry'!AW13)),IF(AND(ISNUMBER('Council Entry'!AW$8),ISNUMBER('Council Entry'!AW$9)),MAX(MIN('Council Entry'!AW13,'Council Entry'!AW$9),'Council Entry'!AW$8),'Council Entry'!AW13))))-'Council Entry'!AW$5)/('Council Entry'!AW$6-'Council Entry'!AW$5)),1))),"No data"))</f>
        <v/>
      </c>
      <c r="AX13" s="13">
        <f>IF('Council Entry'!AX13="","",IFERROR(MAX(0,MIN(10,ROUND(IF('Council Entry'!AX$7="Decrease Risk",10-10*((IF('Council Entry'!AX$4="Logarithm",LN(0.001+IF(AND(ISNUMBER('Council Entry'!AX$8),ISNUMBER('Council Entry'!AX$9)),MAX(MIN('Council Entry'!AX13,'Council Entry'!AX$9),'Council Entry'!AX$8),'Council Entry'!AX13)),IF('Council Entry'!AX$4="Exponential",EXP(IF(AND(ISNUMBER('Council Entry'!AX$8),ISNUMBER('Council Entry'!AX$9)),MAX(MIN('Council Entry'!AX13,'Council Entry'!AX$9),'Council Entry'!AX$8),'Council Entry'!AX13)),IF(AND(ISNUMBER('Council Entry'!AX$8),ISNUMBER('Council Entry'!AX$9)),MAX(MIN('Council Entry'!AX13,'Council Entry'!AX$9),'Council Entry'!AX$8),'Council Entry'!AX13))))-'Council Entry'!AX$5)/('Council Entry'!AX$6-'Council Entry'!AX$5),10*((IF('Council Entry'!AX$4="Logarithm",LN(0.001+IF(AND(ISNUMBER('Council Entry'!AX$8),ISNUMBER('Council Entry'!AX$9)),MAX(MIN('Council Entry'!AX13,'Council Entry'!AX$9),'Council Entry'!AX$8),'Council Entry'!AX13)),IF('Council Entry'!AX$4="Exponential",EXP(IF(AND(ISNUMBER('Council Entry'!AX$8),ISNUMBER('Council Entry'!AX$9)),MAX(MIN('Council Entry'!AX13,'Council Entry'!AX$9),'Council Entry'!AX$8),'Council Entry'!AX13)),IF(AND(ISNUMBER('Council Entry'!AX$8),ISNUMBER('Council Entry'!AX$9)),MAX(MIN('Council Entry'!AX13,'Council Entry'!AX$9),'Council Entry'!AX$8),'Council Entry'!AX13))))-'Council Entry'!AX$5)/('Council Entry'!AX$6-'Council Entry'!AX$5)),1))),"No data"))</f>
        <v/>
      </c>
      <c r="AY13" s="13">
        <f>IF('Council Entry'!AY13="","",IFERROR(MAX(0,MIN(10,ROUND(IF('Council Entry'!AY$7="Decrease Risk",10-10*((IF('Council Entry'!AY$4="Logarithm",LN(0.001+IF(AND(ISNUMBER('Council Entry'!AY$8),ISNUMBER('Council Entry'!AY$9)),MAX(MIN('Council Entry'!AY13,'Council Entry'!AY$9),'Council Entry'!AY$8),'Council Entry'!AY13)),IF('Council Entry'!AY$4="Exponential",EXP(IF(AND(ISNUMBER('Council Entry'!AY$8),ISNUMBER('Council Entry'!AY$9)),MAX(MIN('Council Entry'!AY13,'Council Entry'!AY$9),'Council Entry'!AY$8),'Council Entry'!AY13)),IF(AND(ISNUMBER('Council Entry'!AY$8),ISNUMBER('Council Entry'!AY$9)),MAX(MIN('Council Entry'!AY13,'Council Entry'!AY$9),'Council Entry'!AY$8),'Council Entry'!AY13))))-'Council Entry'!AY$5)/('Council Entry'!AY$6-'Council Entry'!AY$5),10*((IF('Council Entry'!AY$4="Logarithm",LN(0.001+IF(AND(ISNUMBER('Council Entry'!AY$8),ISNUMBER('Council Entry'!AY$9)),MAX(MIN('Council Entry'!AY13,'Council Entry'!AY$9),'Council Entry'!AY$8),'Council Entry'!AY13)),IF('Council Entry'!AY$4="Exponential",EXP(IF(AND(ISNUMBER('Council Entry'!AY$8),ISNUMBER('Council Entry'!AY$9)),MAX(MIN('Council Entry'!AY13,'Council Entry'!AY$9),'Council Entry'!AY$8),'Council Entry'!AY13)),IF(AND(ISNUMBER('Council Entry'!AY$8),ISNUMBER('Council Entry'!AY$9)),MAX(MIN('Council Entry'!AY13,'Council Entry'!AY$9),'Council Entry'!AY$8),'Council Entry'!AY13))))-'Council Entry'!AY$5)/('Council Entry'!AY$6-'Council Entry'!AY$5)),1))),"No data"))</f>
        <v/>
      </c>
      <c r="AZ13" s="13">
        <f>IF('Council Entry'!AZ13="","",IFERROR(MAX(0,MIN(10,ROUND(IF('Council Entry'!AZ$7="Decrease Risk",10-10*((IF('Council Entry'!AZ$4="Logarithm",LN(0.001+IF(AND(ISNUMBER('Council Entry'!AZ$8),ISNUMBER('Council Entry'!AZ$9)),MAX(MIN('Council Entry'!AZ13,'Council Entry'!AZ$9),'Council Entry'!AZ$8),'Council Entry'!AZ13)),IF('Council Entry'!AZ$4="Exponential",EXP(IF(AND(ISNUMBER('Council Entry'!AZ$8),ISNUMBER('Council Entry'!AZ$9)),MAX(MIN('Council Entry'!AZ13,'Council Entry'!AZ$9),'Council Entry'!AZ$8),'Council Entry'!AZ13)),IF(AND(ISNUMBER('Council Entry'!AZ$8),ISNUMBER('Council Entry'!AZ$9)),MAX(MIN('Council Entry'!AZ13,'Council Entry'!AZ$9),'Council Entry'!AZ$8),'Council Entry'!AZ13))))-'Council Entry'!AZ$5)/('Council Entry'!AZ$6-'Council Entry'!AZ$5),10*((IF('Council Entry'!AZ$4="Logarithm",LN(0.001+IF(AND(ISNUMBER('Council Entry'!AZ$8),ISNUMBER('Council Entry'!AZ$9)),MAX(MIN('Council Entry'!AZ13,'Council Entry'!AZ$9),'Council Entry'!AZ$8),'Council Entry'!AZ13)),IF('Council Entry'!AZ$4="Exponential",EXP(IF(AND(ISNUMBER('Council Entry'!AZ$8),ISNUMBER('Council Entry'!AZ$9)),MAX(MIN('Council Entry'!AZ13,'Council Entry'!AZ$9),'Council Entry'!AZ$8),'Council Entry'!AZ13)),IF(AND(ISNUMBER('Council Entry'!AZ$8),ISNUMBER('Council Entry'!AZ$9)),MAX(MIN('Council Entry'!AZ13,'Council Entry'!AZ$9),'Council Entry'!AZ$8),'Council Entry'!AZ13))))-'Council Entry'!AZ$5)/('Council Entry'!AZ$6-'Council Entry'!AZ$5)),1))),"No data"))</f>
        <v/>
      </c>
      <c r="BA13" s="13">
        <f>IF('Council Entry'!BA13="","",IFERROR(MAX(0,MIN(10,ROUND(IF('Council Entry'!BA$7="Decrease Risk",10-10*((IF('Council Entry'!BA$4="Logarithm",LN(0.001+IF(AND(ISNUMBER('Council Entry'!BA$8),ISNUMBER('Council Entry'!BA$9)),MAX(MIN('Council Entry'!BA13,'Council Entry'!BA$9),'Council Entry'!BA$8),'Council Entry'!BA13)),IF('Council Entry'!BA$4="Exponential",EXP(IF(AND(ISNUMBER('Council Entry'!BA$8),ISNUMBER('Council Entry'!BA$9)),MAX(MIN('Council Entry'!BA13,'Council Entry'!BA$9),'Council Entry'!BA$8),'Council Entry'!BA13)),IF(AND(ISNUMBER('Council Entry'!BA$8),ISNUMBER('Council Entry'!BA$9)),MAX(MIN('Council Entry'!BA13,'Council Entry'!BA$9),'Council Entry'!BA$8),'Council Entry'!BA13))))-'Council Entry'!BA$5)/('Council Entry'!BA$6-'Council Entry'!BA$5),10*((IF('Council Entry'!BA$4="Logarithm",LN(0.001+IF(AND(ISNUMBER('Council Entry'!BA$8),ISNUMBER('Council Entry'!BA$9)),MAX(MIN('Council Entry'!BA13,'Council Entry'!BA$9),'Council Entry'!BA$8),'Council Entry'!BA13)),IF('Council Entry'!BA$4="Exponential",EXP(IF(AND(ISNUMBER('Council Entry'!BA$8),ISNUMBER('Council Entry'!BA$9)),MAX(MIN('Council Entry'!BA13,'Council Entry'!BA$9),'Council Entry'!BA$8),'Council Entry'!BA13)),IF(AND(ISNUMBER('Council Entry'!BA$8),ISNUMBER('Council Entry'!BA$9)),MAX(MIN('Council Entry'!BA13,'Council Entry'!BA$9),'Council Entry'!BA$8),'Council Entry'!BA13))))-'Council Entry'!BA$5)/('Council Entry'!BA$6-'Council Entry'!BA$5)),1))),"No data"))</f>
        <v/>
      </c>
      <c r="BB13" s="13">
        <f>IF('Council Entry'!BB13="","",IFERROR(MAX(0,MIN(10,ROUND(IF('Council Entry'!BB$7="Decrease Risk",10-10*((IF('Council Entry'!BB$4="Logarithm",LN(0.001+IF(AND(ISNUMBER('Council Entry'!BB$8),ISNUMBER('Council Entry'!BB$9)),MAX(MIN('Council Entry'!BB13,'Council Entry'!BB$9),'Council Entry'!BB$8),'Council Entry'!BB13)),IF('Council Entry'!BB$4="Exponential",EXP(IF(AND(ISNUMBER('Council Entry'!BB$8),ISNUMBER('Council Entry'!BB$9)),MAX(MIN('Council Entry'!BB13,'Council Entry'!BB$9),'Council Entry'!BB$8),'Council Entry'!BB13)),IF(AND(ISNUMBER('Council Entry'!BB$8),ISNUMBER('Council Entry'!BB$9)),MAX(MIN('Council Entry'!BB13,'Council Entry'!BB$9),'Council Entry'!BB$8),'Council Entry'!BB13))))-'Council Entry'!BB$5)/('Council Entry'!BB$6-'Council Entry'!BB$5),10*((IF('Council Entry'!BB$4="Logarithm",LN(0.001+IF(AND(ISNUMBER('Council Entry'!BB$8),ISNUMBER('Council Entry'!BB$9)),MAX(MIN('Council Entry'!BB13,'Council Entry'!BB$9),'Council Entry'!BB$8),'Council Entry'!BB13)),IF('Council Entry'!BB$4="Exponential",EXP(IF(AND(ISNUMBER('Council Entry'!BB$8),ISNUMBER('Council Entry'!BB$9)),MAX(MIN('Council Entry'!BB13,'Council Entry'!BB$9),'Council Entry'!BB$8),'Council Entry'!BB13)),IF(AND(ISNUMBER('Council Entry'!BB$8),ISNUMBER('Council Entry'!BB$9)),MAX(MIN('Council Entry'!BB13,'Council Entry'!BB$9),'Council Entry'!BB$8),'Council Entry'!BB13))))-'Council Entry'!BB$5)/('Council Entry'!BB$6-'Council Entry'!BB$5)),1))),"No data"))</f>
        <v/>
      </c>
      <c r="BC13" s="13">
        <f>IF('Council Entry'!BC13="","",IFERROR(MAX(0,MIN(10,ROUND(IF('Council Entry'!BC$7="Decrease Risk",10-10*((IF('Council Entry'!BC$4="Logarithm",LN(0.001+IF(AND(ISNUMBER('Council Entry'!BC$8),ISNUMBER('Council Entry'!BC$9)),MAX(MIN('Council Entry'!BC13,'Council Entry'!BC$9),'Council Entry'!BC$8),'Council Entry'!BC13)),IF('Council Entry'!BC$4="Exponential",EXP(IF(AND(ISNUMBER('Council Entry'!BC$8),ISNUMBER('Council Entry'!BC$9)),MAX(MIN('Council Entry'!BC13,'Council Entry'!BC$9),'Council Entry'!BC$8),'Council Entry'!BC13)),IF(AND(ISNUMBER('Council Entry'!BC$8),ISNUMBER('Council Entry'!BC$9)),MAX(MIN('Council Entry'!BC13,'Council Entry'!BC$9),'Council Entry'!BC$8),'Council Entry'!BC13))))-'Council Entry'!BC$5)/('Council Entry'!BC$6-'Council Entry'!BC$5),10*((IF('Council Entry'!BC$4="Logarithm",LN(0.001+IF(AND(ISNUMBER('Council Entry'!BC$8),ISNUMBER('Council Entry'!BC$9)),MAX(MIN('Council Entry'!BC13,'Council Entry'!BC$9),'Council Entry'!BC$8),'Council Entry'!BC13)),IF('Council Entry'!BC$4="Exponential",EXP(IF(AND(ISNUMBER('Council Entry'!BC$8),ISNUMBER('Council Entry'!BC$9)),MAX(MIN('Council Entry'!BC13,'Council Entry'!BC$9),'Council Entry'!BC$8),'Council Entry'!BC13)),IF(AND(ISNUMBER('Council Entry'!BC$8),ISNUMBER('Council Entry'!BC$9)),MAX(MIN('Council Entry'!BC13,'Council Entry'!BC$9),'Council Entry'!BC$8),'Council Entry'!BC13))))-'Council Entry'!BC$5)/('Council Entry'!BC$6-'Council Entry'!BC$5)),1))),"No data"))</f>
        <v/>
      </c>
      <c r="BD13" s="13">
        <f>IF('Council Entry'!BD13="","",IFERROR(MAX(0,MIN(10,ROUND(IF('Council Entry'!BD$7="Decrease Risk",10-10*((IF('Council Entry'!BD$4="Logarithm",LN(0.001+IF(AND(ISNUMBER('Council Entry'!BD$8),ISNUMBER('Council Entry'!BD$9)),MAX(MIN('Council Entry'!BD13,'Council Entry'!BD$9),'Council Entry'!BD$8),'Council Entry'!BD13)),IF('Council Entry'!BD$4="Exponential",EXP(IF(AND(ISNUMBER('Council Entry'!BD$8),ISNUMBER('Council Entry'!BD$9)),MAX(MIN('Council Entry'!BD13,'Council Entry'!BD$9),'Council Entry'!BD$8),'Council Entry'!BD13)),IF(AND(ISNUMBER('Council Entry'!BD$8),ISNUMBER('Council Entry'!BD$9)),MAX(MIN('Council Entry'!BD13,'Council Entry'!BD$9),'Council Entry'!BD$8),'Council Entry'!BD13))))-'Council Entry'!BD$5)/('Council Entry'!BD$6-'Council Entry'!BD$5),10*((IF('Council Entry'!BD$4="Logarithm",LN(0.001+IF(AND(ISNUMBER('Council Entry'!BD$8),ISNUMBER('Council Entry'!BD$9)),MAX(MIN('Council Entry'!BD13,'Council Entry'!BD$9),'Council Entry'!BD$8),'Council Entry'!BD13)),IF('Council Entry'!BD$4="Exponential",EXP(IF(AND(ISNUMBER('Council Entry'!BD$8),ISNUMBER('Council Entry'!BD$9)),MAX(MIN('Council Entry'!BD13,'Council Entry'!BD$9),'Council Entry'!BD$8),'Council Entry'!BD13)),IF(AND(ISNUMBER('Council Entry'!BD$8),ISNUMBER('Council Entry'!BD$9)),MAX(MIN('Council Entry'!BD13,'Council Entry'!BD$9),'Council Entry'!BD$8),'Council Entry'!BD13))))-'Council Entry'!BD$5)/('Council Entry'!BD$6-'Council Entry'!BD$5)),1))),"No data"))</f>
        <v/>
      </c>
    </row>
    <row r="14">
      <c r="A14" t="inlineStr">
        <is>
          <t>Arusha</t>
        </is>
      </c>
      <c r="B14" t="inlineStr">
        <is>
          <t>Longido District</t>
        </is>
      </c>
      <c r="C14" t="inlineStr">
        <is>
          <t>C012</t>
        </is>
      </c>
      <c r="D14" s="13">
        <f>IF('Council Entry'!D14="","",IFERROR(MAX(0,MIN(10,ROUND(IF('Council Entry'!D$7="Decrease Risk",10-10*((IF('Council Entry'!D$4="Logarithm",LN(0.001+IF(AND(ISNUMBER('Council Entry'!D$8),ISNUMBER('Council Entry'!D$9)),MAX(MIN('Council Entry'!D14,'Council Entry'!D$9),'Council Entry'!D$8),'Council Entry'!D14)),IF('Council Entry'!D$4="Exponential",EXP(IF(AND(ISNUMBER('Council Entry'!D$8),ISNUMBER('Council Entry'!D$9)),MAX(MIN('Council Entry'!D14,'Council Entry'!D$9),'Council Entry'!D$8),'Council Entry'!D14)),IF(AND(ISNUMBER('Council Entry'!D$8),ISNUMBER('Council Entry'!D$9)),MAX(MIN('Council Entry'!D14,'Council Entry'!D$9),'Council Entry'!D$8),'Council Entry'!D14))))-'Council Entry'!D$5)/('Council Entry'!D$6-'Council Entry'!D$5),10*((IF('Council Entry'!D$4="Logarithm",LN(0.001+IF(AND(ISNUMBER('Council Entry'!D$8),ISNUMBER('Council Entry'!D$9)),MAX(MIN('Council Entry'!D14,'Council Entry'!D$9),'Council Entry'!D$8),'Council Entry'!D14)),IF('Council Entry'!D$4="Exponential",EXP(IF(AND(ISNUMBER('Council Entry'!D$8),ISNUMBER('Council Entry'!D$9)),MAX(MIN('Council Entry'!D14,'Council Entry'!D$9),'Council Entry'!D$8),'Council Entry'!D14)),IF(AND(ISNUMBER('Council Entry'!D$8),ISNUMBER('Council Entry'!D$9)),MAX(MIN('Council Entry'!D14,'Council Entry'!D$9),'Council Entry'!D$8),'Council Entry'!D14))))-'Council Entry'!D$5)/('Council Entry'!D$6-'Council Entry'!D$5)),1))),"No data"))</f>
        <v/>
      </c>
      <c r="E14" s="13">
        <f>IF('Council Entry'!E14="","",IFERROR(MAX(0,MIN(10,ROUND(IF('Council Entry'!E$7="Decrease Risk",10-10*((IF('Council Entry'!E$4="Logarithm",LN(0.001+IF(AND(ISNUMBER('Council Entry'!E$8),ISNUMBER('Council Entry'!E$9)),MAX(MIN('Council Entry'!E14,'Council Entry'!E$9),'Council Entry'!E$8),'Council Entry'!E14)),IF('Council Entry'!E$4="Exponential",EXP(IF(AND(ISNUMBER('Council Entry'!E$8),ISNUMBER('Council Entry'!E$9)),MAX(MIN('Council Entry'!E14,'Council Entry'!E$9),'Council Entry'!E$8),'Council Entry'!E14)),IF(AND(ISNUMBER('Council Entry'!E$8),ISNUMBER('Council Entry'!E$9)),MAX(MIN('Council Entry'!E14,'Council Entry'!E$9),'Council Entry'!E$8),'Council Entry'!E14))))-'Council Entry'!E$5)/('Council Entry'!E$6-'Council Entry'!E$5),10*((IF('Council Entry'!E$4="Logarithm",LN(0.001+IF(AND(ISNUMBER('Council Entry'!E$8),ISNUMBER('Council Entry'!E$9)),MAX(MIN('Council Entry'!E14,'Council Entry'!E$9),'Council Entry'!E$8),'Council Entry'!E14)),IF('Council Entry'!E$4="Exponential",EXP(IF(AND(ISNUMBER('Council Entry'!E$8),ISNUMBER('Council Entry'!E$9)),MAX(MIN('Council Entry'!E14,'Council Entry'!E$9),'Council Entry'!E$8),'Council Entry'!E14)),IF(AND(ISNUMBER('Council Entry'!E$8),ISNUMBER('Council Entry'!E$9)),MAX(MIN('Council Entry'!E14,'Council Entry'!E$9),'Council Entry'!E$8),'Council Entry'!E14))))-'Council Entry'!E$5)/('Council Entry'!E$6-'Council Entry'!E$5)),1))),"No data"))</f>
        <v/>
      </c>
      <c r="F14" s="13">
        <f>IF('Council Entry'!F14="","",IFERROR(MAX(0,MIN(10,ROUND(IF('Council Entry'!F$7="Decrease Risk",10-10*((IF('Council Entry'!F$4="Logarithm",LN(0.001+IF(AND(ISNUMBER('Council Entry'!F$8),ISNUMBER('Council Entry'!F$9)),MAX(MIN('Council Entry'!F14,'Council Entry'!F$9),'Council Entry'!F$8),'Council Entry'!F14)),IF('Council Entry'!F$4="Exponential",EXP(IF(AND(ISNUMBER('Council Entry'!F$8),ISNUMBER('Council Entry'!F$9)),MAX(MIN('Council Entry'!F14,'Council Entry'!F$9),'Council Entry'!F$8),'Council Entry'!F14)),IF(AND(ISNUMBER('Council Entry'!F$8),ISNUMBER('Council Entry'!F$9)),MAX(MIN('Council Entry'!F14,'Council Entry'!F$9),'Council Entry'!F$8),'Council Entry'!F14))))-'Council Entry'!F$5)/('Council Entry'!F$6-'Council Entry'!F$5),10*((IF('Council Entry'!F$4="Logarithm",LN(0.001+IF(AND(ISNUMBER('Council Entry'!F$8),ISNUMBER('Council Entry'!F$9)),MAX(MIN('Council Entry'!F14,'Council Entry'!F$9),'Council Entry'!F$8),'Council Entry'!F14)),IF('Council Entry'!F$4="Exponential",EXP(IF(AND(ISNUMBER('Council Entry'!F$8),ISNUMBER('Council Entry'!F$9)),MAX(MIN('Council Entry'!F14,'Council Entry'!F$9),'Council Entry'!F$8),'Council Entry'!F14)),IF(AND(ISNUMBER('Council Entry'!F$8),ISNUMBER('Council Entry'!F$9)),MAX(MIN('Council Entry'!F14,'Council Entry'!F$9),'Council Entry'!F$8),'Council Entry'!F14))))-'Council Entry'!F$5)/('Council Entry'!F$6-'Council Entry'!F$5)),1))),"No data"))</f>
        <v/>
      </c>
      <c r="G14" s="13">
        <f>IF('Council Entry'!G14="","",IFERROR(MAX(0,MIN(10,ROUND(IF('Council Entry'!G$7="Decrease Risk",10-10*((IF('Council Entry'!G$4="Logarithm",LN(0.001+IF(AND(ISNUMBER('Council Entry'!G$8),ISNUMBER('Council Entry'!G$9)),MAX(MIN('Council Entry'!G14,'Council Entry'!G$9),'Council Entry'!G$8),'Council Entry'!G14)),IF('Council Entry'!G$4="Exponential",EXP(IF(AND(ISNUMBER('Council Entry'!G$8),ISNUMBER('Council Entry'!G$9)),MAX(MIN('Council Entry'!G14,'Council Entry'!G$9),'Council Entry'!G$8),'Council Entry'!G14)),IF(AND(ISNUMBER('Council Entry'!G$8),ISNUMBER('Council Entry'!G$9)),MAX(MIN('Council Entry'!G14,'Council Entry'!G$9),'Council Entry'!G$8),'Council Entry'!G14))))-'Council Entry'!G$5)/('Council Entry'!G$6-'Council Entry'!G$5),10*((IF('Council Entry'!G$4="Logarithm",LN(0.001+IF(AND(ISNUMBER('Council Entry'!G$8),ISNUMBER('Council Entry'!G$9)),MAX(MIN('Council Entry'!G14,'Council Entry'!G$9),'Council Entry'!G$8),'Council Entry'!G14)),IF('Council Entry'!G$4="Exponential",EXP(IF(AND(ISNUMBER('Council Entry'!G$8),ISNUMBER('Council Entry'!G$9)),MAX(MIN('Council Entry'!G14,'Council Entry'!G$9),'Council Entry'!G$8),'Council Entry'!G14)),IF(AND(ISNUMBER('Council Entry'!G$8),ISNUMBER('Council Entry'!G$9)),MAX(MIN('Council Entry'!G14,'Council Entry'!G$9),'Council Entry'!G$8),'Council Entry'!G14))))-'Council Entry'!G$5)/('Council Entry'!G$6-'Council Entry'!G$5)),1))),"No data"))</f>
        <v/>
      </c>
      <c r="H14" s="13">
        <f>IF('Council Entry'!H14="","",IFERROR(MAX(0,MIN(10,ROUND(IF('Council Entry'!H$7="Decrease Risk",10-10*((IF('Council Entry'!H$4="Logarithm",LN(0.001+IF(AND(ISNUMBER('Council Entry'!H$8),ISNUMBER('Council Entry'!H$9)),MAX(MIN('Council Entry'!H14,'Council Entry'!H$9),'Council Entry'!H$8),'Council Entry'!H14)),IF('Council Entry'!H$4="Exponential",EXP(IF(AND(ISNUMBER('Council Entry'!H$8),ISNUMBER('Council Entry'!H$9)),MAX(MIN('Council Entry'!H14,'Council Entry'!H$9),'Council Entry'!H$8),'Council Entry'!H14)),IF(AND(ISNUMBER('Council Entry'!H$8),ISNUMBER('Council Entry'!H$9)),MAX(MIN('Council Entry'!H14,'Council Entry'!H$9),'Council Entry'!H$8),'Council Entry'!H14))))-'Council Entry'!H$5)/('Council Entry'!H$6-'Council Entry'!H$5),10*((IF('Council Entry'!H$4="Logarithm",LN(0.001+IF(AND(ISNUMBER('Council Entry'!H$8),ISNUMBER('Council Entry'!H$9)),MAX(MIN('Council Entry'!H14,'Council Entry'!H$9),'Council Entry'!H$8),'Council Entry'!H14)),IF('Council Entry'!H$4="Exponential",EXP(IF(AND(ISNUMBER('Council Entry'!H$8),ISNUMBER('Council Entry'!H$9)),MAX(MIN('Council Entry'!H14,'Council Entry'!H$9),'Council Entry'!H$8),'Council Entry'!H14)),IF(AND(ISNUMBER('Council Entry'!H$8),ISNUMBER('Council Entry'!H$9)),MAX(MIN('Council Entry'!H14,'Council Entry'!H$9),'Council Entry'!H$8),'Council Entry'!H14))))-'Council Entry'!H$5)/('Council Entry'!H$6-'Council Entry'!H$5)),1))),"No data"))</f>
        <v/>
      </c>
      <c r="I14" s="13">
        <f>IF('Council Entry'!I14="","",IFERROR(MAX(0,MIN(10,ROUND(IF('Council Entry'!I$7="Decrease Risk",10-10*((IF('Council Entry'!I$4="Logarithm",LN(0.001+IF(AND(ISNUMBER('Council Entry'!I$8),ISNUMBER('Council Entry'!I$9)),MAX(MIN('Council Entry'!I14,'Council Entry'!I$9),'Council Entry'!I$8),'Council Entry'!I14)),IF('Council Entry'!I$4="Exponential",EXP(IF(AND(ISNUMBER('Council Entry'!I$8),ISNUMBER('Council Entry'!I$9)),MAX(MIN('Council Entry'!I14,'Council Entry'!I$9),'Council Entry'!I$8),'Council Entry'!I14)),IF(AND(ISNUMBER('Council Entry'!I$8),ISNUMBER('Council Entry'!I$9)),MAX(MIN('Council Entry'!I14,'Council Entry'!I$9),'Council Entry'!I$8),'Council Entry'!I14))))-'Council Entry'!I$5)/('Council Entry'!I$6-'Council Entry'!I$5),10*((IF('Council Entry'!I$4="Logarithm",LN(0.001+IF(AND(ISNUMBER('Council Entry'!I$8),ISNUMBER('Council Entry'!I$9)),MAX(MIN('Council Entry'!I14,'Council Entry'!I$9),'Council Entry'!I$8),'Council Entry'!I14)),IF('Council Entry'!I$4="Exponential",EXP(IF(AND(ISNUMBER('Council Entry'!I$8),ISNUMBER('Council Entry'!I$9)),MAX(MIN('Council Entry'!I14,'Council Entry'!I$9),'Council Entry'!I$8),'Council Entry'!I14)),IF(AND(ISNUMBER('Council Entry'!I$8),ISNUMBER('Council Entry'!I$9)),MAX(MIN('Council Entry'!I14,'Council Entry'!I$9),'Council Entry'!I$8),'Council Entry'!I14))))-'Council Entry'!I$5)/('Council Entry'!I$6-'Council Entry'!I$5)),1))),"No data"))</f>
        <v/>
      </c>
      <c r="J14" s="13">
        <f>IF('Council Entry'!J14="","",IFERROR(MAX(0,MIN(10,ROUND(IF('Council Entry'!J$7="Decrease Risk",10-10*((IF('Council Entry'!J$4="Logarithm",LN(0.001+IF(AND(ISNUMBER('Council Entry'!J$8),ISNUMBER('Council Entry'!J$9)),MAX(MIN('Council Entry'!J14,'Council Entry'!J$9),'Council Entry'!J$8),'Council Entry'!J14)),IF('Council Entry'!J$4="Exponential",EXP(IF(AND(ISNUMBER('Council Entry'!J$8),ISNUMBER('Council Entry'!J$9)),MAX(MIN('Council Entry'!J14,'Council Entry'!J$9),'Council Entry'!J$8),'Council Entry'!J14)),IF(AND(ISNUMBER('Council Entry'!J$8),ISNUMBER('Council Entry'!J$9)),MAX(MIN('Council Entry'!J14,'Council Entry'!J$9),'Council Entry'!J$8),'Council Entry'!J14))))-'Council Entry'!J$5)/('Council Entry'!J$6-'Council Entry'!J$5),10*((IF('Council Entry'!J$4="Logarithm",LN(0.001+IF(AND(ISNUMBER('Council Entry'!J$8),ISNUMBER('Council Entry'!J$9)),MAX(MIN('Council Entry'!J14,'Council Entry'!J$9),'Council Entry'!J$8),'Council Entry'!J14)),IF('Council Entry'!J$4="Exponential",EXP(IF(AND(ISNUMBER('Council Entry'!J$8),ISNUMBER('Council Entry'!J$9)),MAX(MIN('Council Entry'!J14,'Council Entry'!J$9),'Council Entry'!J$8),'Council Entry'!J14)),IF(AND(ISNUMBER('Council Entry'!J$8),ISNUMBER('Council Entry'!J$9)),MAX(MIN('Council Entry'!J14,'Council Entry'!J$9),'Council Entry'!J$8),'Council Entry'!J14))))-'Council Entry'!J$5)/('Council Entry'!J$6-'Council Entry'!J$5)),1))),"No data"))</f>
        <v/>
      </c>
      <c r="K14" s="13">
        <f>IF('Council Entry'!K14="","",IFERROR(MAX(0,MIN(10,ROUND(IF('Council Entry'!K$7="Decrease Risk",10-10*((IF('Council Entry'!K$4="Logarithm",LN(0.001+IF(AND(ISNUMBER('Council Entry'!K$8),ISNUMBER('Council Entry'!K$9)),MAX(MIN('Council Entry'!K14,'Council Entry'!K$9),'Council Entry'!K$8),'Council Entry'!K14)),IF('Council Entry'!K$4="Exponential",EXP(IF(AND(ISNUMBER('Council Entry'!K$8),ISNUMBER('Council Entry'!K$9)),MAX(MIN('Council Entry'!K14,'Council Entry'!K$9),'Council Entry'!K$8),'Council Entry'!K14)),IF(AND(ISNUMBER('Council Entry'!K$8),ISNUMBER('Council Entry'!K$9)),MAX(MIN('Council Entry'!K14,'Council Entry'!K$9),'Council Entry'!K$8),'Council Entry'!K14))))-'Council Entry'!K$5)/('Council Entry'!K$6-'Council Entry'!K$5),10*((IF('Council Entry'!K$4="Logarithm",LN(0.001+IF(AND(ISNUMBER('Council Entry'!K$8),ISNUMBER('Council Entry'!K$9)),MAX(MIN('Council Entry'!K14,'Council Entry'!K$9),'Council Entry'!K$8),'Council Entry'!K14)),IF('Council Entry'!K$4="Exponential",EXP(IF(AND(ISNUMBER('Council Entry'!K$8),ISNUMBER('Council Entry'!K$9)),MAX(MIN('Council Entry'!K14,'Council Entry'!K$9),'Council Entry'!K$8),'Council Entry'!K14)),IF(AND(ISNUMBER('Council Entry'!K$8),ISNUMBER('Council Entry'!K$9)),MAX(MIN('Council Entry'!K14,'Council Entry'!K$9),'Council Entry'!K$8),'Council Entry'!K14))))-'Council Entry'!K$5)/('Council Entry'!K$6-'Council Entry'!K$5)),1))),"No data"))</f>
        <v/>
      </c>
      <c r="L14" s="13">
        <f>IF('Council Entry'!L14="","",IFERROR(MAX(0,MIN(10,ROUND(IF('Council Entry'!L$7="Decrease Risk",10-10*((IF('Council Entry'!L$4="Logarithm",LN(0.001+IF(AND(ISNUMBER('Council Entry'!L$8),ISNUMBER('Council Entry'!L$9)),MAX(MIN('Council Entry'!L14,'Council Entry'!L$9),'Council Entry'!L$8),'Council Entry'!L14)),IF('Council Entry'!L$4="Exponential",EXP(IF(AND(ISNUMBER('Council Entry'!L$8),ISNUMBER('Council Entry'!L$9)),MAX(MIN('Council Entry'!L14,'Council Entry'!L$9),'Council Entry'!L$8),'Council Entry'!L14)),IF(AND(ISNUMBER('Council Entry'!L$8),ISNUMBER('Council Entry'!L$9)),MAX(MIN('Council Entry'!L14,'Council Entry'!L$9),'Council Entry'!L$8),'Council Entry'!L14))))-'Council Entry'!L$5)/('Council Entry'!L$6-'Council Entry'!L$5),10*((IF('Council Entry'!L$4="Logarithm",LN(0.001+IF(AND(ISNUMBER('Council Entry'!L$8),ISNUMBER('Council Entry'!L$9)),MAX(MIN('Council Entry'!L14,'Council Entry'!L$9),'Council Entry'!L$8),'Council Entry'!L14)),IF('Council Entry'!L$4="Exponential",EXP(IF(AND(ISNUMBER('Council Entry'!L$8),ISNUMBER('Council Entry'!L$9)),MAX(MIN('Council Entry'!L14,'Council Entry'!L$9),'Council Entry'!L$8),'Council Entry'!L14)),IF(AND(ISNUMBER('Council Entry'!L$8),ISNUMBER('Council Entry'!L$9)),MAX(MIN('Council Entry'!L14,'Council Entry'!L$9),'Council Entry'!L$8),'Council Entry'!L14))))-'Council Entry'!L$5)/('Council Entry'!L$6-'Council Entry'!L$5)),1))),"No data"))</f>
        <v/>
      </c>
      <c r="M14" s="13">
        <f>IF('Council Entry'!M14="","",IFERROR(MAX(0,MIN(10,ROUND(IF('Council Entry'!M$7="Decrease Risk",10-10*((IF('Council Entry'!M$4="Logarithm",LN(0.001+IF(AND(ISNUMBER('Council Entry'!M$8),ISNUMBER('Council Entry'!M$9)),MAX(MIN('Council Entry'!M14,'Council Entry'!M$9),'Council Entry'!M$8),'Council Entry'!M14)),IF('Council Entry'!M$4="Exponential",EXP(IF(AND(ISNUMBER('Council Entry'!M$8),ISNUMBER('Council Entry'!M$9)),MAX(MIN('Council Entry'!M14,'Council Entry'!M$9),'Council Entry'!M$8),'Council Entry'!M14)),IF(AND(ISNUMBER('Council Entry'!M$8),ISNUMBER('Council Entry'!M$9)),MAX(MIN('Council Entry'!M14,'Council Entry'!M$9),'Council Entry'!M$8),'Council Entry'!M14))))-'Council Entry'!M$5)/('Council Entry'!M$6-'Council Entry'!M$5),10*((IF('Council Entry'!M$4="Logarithm",LN(0.001+IF(AND(ISNUMBER('Council Entry'!M$8),ISNUMBER('Council Entry'!M$9)),MAX(MIN('Council Entry'!M14,'Council Entry'!M$9),'Council Entry'!M$8),'Council Entry'!M14)),IF('Council Entry'!M$4="Exponential",EXP(IF(AND(ISNUMBER('Council Entry'!M$8),ISNUMBER('Council Entry'!M$9)),MAX(MIN('Council Entry'!M14,'Council Entry'!M$9),'Council Entry'!M$8),'Council Entry'!M14)),IF(AND(ISNUMBER('Council Entry'!M$8),ISNUMBER('Council Entry'!M$9)),MAX(MIN('Council Entry'!M14,'Council Entry'!M$9),'Council Entry'!M$8),'Council Entry'!M14))))-'Council Entry'!M$5)/('Council Entry'!M$6-'Council Entry'!M$5)),1))),"No data"))</f>
        <v/>
      </c>
      <c r="N14" s="13">
        <f>IF('Council Entry'!N14="","",IFERROR(MAX(0,MIN(10,ROUND(IF('Council Entry'!N$7="Decrease Risk",10-10*((IF('Council Entry'!N$4="Logarithm",LN(0.001+IF(AND(ISNUMBER('Council Entry'!N$8),ISNUMBER('Council Entry'!N$9)),MAX(MIN('Council Entry'!N14,'Council Entry'!N$9),'Council Entry'!N$8),'Council Entry'!N14)),IF('Council Entry'!N$4="Exponential",EXP(IF(AND(ISNUMBER('Council Entry'!N$8),ISNUMBER('Council Entry'!N$9)),MAX(MIN('Council Entry'!N14,'Council Entry'!N$9),'Council Entry'!N$8),'Council Entry'!N14)),IF(AND(ISNUMBER('Council Entry'!N$8),ISNUMBER('Council Entry'!N$9)),MAX(MIN('Council Entry'!N14,'Council Entry'!N$9),'Council Entry'!N$8),'Council Entry'!N14))))-'Council Entry'!N$5)/('Council Entry'!N$6-'Council Entry'!N$5),10*((IF('Council Entry'!N$4="Logarithm",LN(0.001+IF(AND(ISNUMBER('Council Entry'!N$8),ISNUMBER('Council Entry'!N$9)),MAX(MIN('Council Entry'!N14,'Council Entry'!N$9),'Council Entry'!N$8),'Council Entry'!N14)),IF('Council Entry'!N$4="Exponential",EXP(IF(AND(ISNUMBER('Council Entry'!N$8),ISNUMBER('Council Entry'!N$9)),MAX(MIN('Council Entry'!N14,'Council Entry'!N$9),'Council Entry'!N$8),'Council Entry'!N14)),IF(AND(ISNUMBER('Council Entry'!N$8),ISNUMBER('Council Entry'!N$9)),MAX(MIN('Council Entry'!N14,'Council Entry'!N$9),'Council Entry'!N$8),'Council Entry'!N14))))-'Council Entry'!N$5)/('Council Entry'!N$6-'Council Entry'!N$5)),1))),"No data"))</f>
        <v/>
      </c>
      <c r="O14" s="13">
        <f>IF('Council Entry'!O14="","",IFERROR(MAX(0,MIN(10,ROUND(IF('Council Entry'!O$7="Decrease Risk",10-10*((IF('Council Entry'!O$4="Logarithm",LN(0.001+IF(AND(ISNUMBER('Council Entry'!O$8),ISNUMBER('Council Entry'!O$9)),MAX(MIN('Council Entry'!O14,'Council Entry'!O$9),'Council Entry'!O$8),'Council Entry'!O14)),IF('Council Entry'!O$4="Exponential",EXP(IF(AND(ISNUMBER('Council Entry'!O$8),ISNUMBER('Council Entry'!O$9)),MAX(MIN('Council Entry'!O14,'Council Entry'!O$9),'Council Entry'!O$8),'Council Entry'!O14)),IF(AND(ISNUMBER('Council Entry'!O$8),ISNUMBER('Council Entry'!O$9)),MAX(MIN('Council Entry'!O14,'Council Entry'!O$9),'Council Entry'!O$8),'Council Entry'!O14))))-'Council Entry'!O$5)/('Council Entry'!O$6-'Council Entry'!O$5),10*((IF('Council Entry'!O$4="Logarithm",LN(0.001+IF(AND(ISNUMBER('Council Entry'!O$8),ISNUMBER('Council Entry'!O$9)),MAX(MIN('Council Entry'!O14,'Council Entry'!O$9),'Council Entry'!O$8),'Council Entry'!O14)),IF('Council Entry'!O$4="Exponential",EXP(IF(AND(ISNUMBER('Council Entry'!O$8),ISNUMBER('Council Entry'!O$9)),MAX(MIN('Council Entry'!O14,'Council Entry'!O$9),'Council Entry'!O$8),'Council Entry'!O14)),IF(AND(ISNUMBER('Council Entry'!O$8),ISNUMBER('Council Entry'!O$9)),MAX(MIN('Council Entry'!O14,'Council Entry'!O$9),'Council Entry'!O$8),'Council Entry'!O14))))-'Council Entry'!O$5)/('Council Entry'!O$6-'Council Entry'!O$5)),1))),"No data"))</f>
        <v/>
      </c>
      <c r="P14" s="13">
        <f>IF('Council Entry'!P14="","",IFERROR(MAX(0,MIN(10,ROUND(IF('Council Entry'!P$7="Decrease Risk",10-10*((IF('Council Entry'!P$4="Logarithm",LN(0.001+IF(AND(ISNUMBER('Council Entry'!P$8),ISNUMBER('Council Entry'!P$9)),MAX(MIN('Council Entry'!P14,'Council Entry'!P$9),'Council Entry'!P$8),'Council Entry'!P14)),IF('Council Entry'!P$4="Exponential",EXP(IF(AND(ISNUMBER('Council Entry'!P$8),ISNUMBER('Council Entry'!P$9)),MAX(MIN('Council Entry'!P14,'Council Entry'!P$9),'Council Entry'!P$8),'Council Entry'!P14)),IF(AND(ISNUMBER('Council Entry'!P$8),ISNUMBER('Council Entry'!P$9)),MAX(MIN('Council Entry'!P14,'Council Entry'!P$9),'Council Entry'!P$8),'Council Entry'!P14))))-'Council Entry'!P$5)/('Council Entry'!P$6-'Council Entry'!P$5),10*((IF('Council Entry'!P$4="Logarithm",LN(0.001+IF(AND(ISNUMBER('Council Entry'!P$8),ISNUMBER('Council Entry'!P$9)),MAX(MIN('Council Entry'!P14,'Council Entry'!P$9),'Council Entry'!P$8),'Council Entry'!P14)),IF('Council Entry'!P$4="Exponential",EXP(IF(AND(ISNUMBER('Council Entry'!P$8),ISNUMBER('Council Entry'!P$9)),MAX(MIN('Council Entry'!P14,'Council Entry'!P$9),'Council Entry'!P$8),'Council Entry'!P14)),IF(AND(ISNUMBER('Council Entry'!P$8),ISNUMBER('Council Entry'!P$9)),MAX(MIN('Council Entry'!P14,'Council Entry'!P$9),'Council Entry'!P$8),'Council Entry'!P14))))-'Council Entry'!P$5)/('Council Entry'!P$6-'Council Entry'!P$5)),1))),"No data"))</f>
        <v/>
      </c>
      <c r="Q14" s="13">
        <f>IF('Council Entry'!Q14="","",IFERROR(MAX(0,MIN(10,ROUND(IF('Council Entry'!Q$7="Decrease Risk",10-10*((IF('Council Entry'!Q$4="Logarithm",LN(0.001+IF(AND(ISNUMBER('Council Entry'!Q$8),ISNUMBER('Council Entry'!Q$9)),MAX(MIN('Council Entry'!Q14,'Council Entry'!Q$9),'Council Entry'!Q$8),'Council Entry'!Q14)),IF('Council Entry'!Q$4="Exponential",EXP(IF(AND(ISNUMBER('Council Entry'!Q$8),ISNUMBER('Council Entry'!Q$9)),MAX(MIN('Council Entry'!Q14,'Council Entry'!Q$9),'Council Entry'!Q$8),'Council Entry'!Q14)),IF(AND(ISNUMBER('Council Entry'!Q$8),ISNUMBER('Council Entry'!Q$9)),MAX(MIN('Council Entry'!Q14,'Council Entry'!Q$9),'Council Entry'!Q$8),'Council Entry'!Q14))))-'Council Entry'!Q$5)/('Council Entry'!Q$6-'Council Entry'!Q$5),10*((IF('Council Entry'!Q$4="Logarithm",LN(0.001+IF(AND(ISNUMBER('Council Entry'!Q$8),ISNUMBER('Council Entry'!Q$9)),MAX(MIN('Council Entry'!Q14,'Council Entry'!Q$9),'Council Entry'!Q$8),'Council Entry'!Q14)),IF('Council Entry'!Q$4="Exponential",EXP(IF(AND(ISNUMBER('Council Entry'!Q$8),ISNUMBER('Council Entry'!Q$9)),MAX(MIN('Council Entry'!Q14,'Council Entry'!Q$9),'Council Entry'!Q$8),'Council Entry'!Q14)),IF(AND(ISNUMBER('Council Entry'!Q$8),ISNUMBER('Council Entry'!Q$9)),MAX(MIN('Council Entry'!Q14,'Council Entry'!Q$9),'Council Entry'!Q$8),'Council Entry'!Q14))))-'Council Entry'!Q$5)/('Council Entry'!Q$6-'Council Entry'!Q$5)),1))),"No data"))</f>
        <v/>
      </c>
      <c r="R14" s="13">
        <f>IF('Council Entry'!R14="","",IFERROR(MAX(0,MIN(10,ROUND(IF('Council Entry'!R$7="Decrease Risk",10-10*((IF('Council Entry'!R$4="Logarithm",LN(0.001+IF(AND(ISNUMBER('Council Entry'!R$8),ISNUMBER('Council Entry'!R$9)),MAX(MIN('Council Entry'!R14,'Council Entry'!R$9),'Council Entry'!R$8),'Council Entry'!R14)),IF('Council Entry'!R$4="Exponential",EXP(IF(AND(ISNUMBER('Council Entry'!R$8),ISNUMBER('Council Entry'!R$9)),MAX(MIN('Council Entry'!R14,'Council Entry'!R$9),'Council Entry'!R$8),'Council Entry'!R14)),IF(AND(ISNUMBER('Council Entry'!R$8),ISNUMBER('Council Entry'!R$9)),MAX(MIN('Council Entry'!R14,'Council Entry'!R$9),'Council Entry'!R$8),'Council Entry'!R14))))-'Council Entry'!R$5)/('Council Entry'!R$6-'Council Entry'!R$5),10*((IF('Council Entry'!R$4="Logarithm",LN(0.001+IF(AND(ISNUMBER('Council Entry'!R$8),ISNUMBER('Council Entry'!R$9)),MAX(MIN('Council Entry'!R14,'Council Entry'!R$9),'Council Entry'!R$8),'Council Entry'!R14)),IF('Council Entry'!R$4="Exponential",EXP(IF(AND(ISNUMBER('Council Entry'!R$8),ISNUMBER('Council Entry'!R$9)),MAX(MIN('Council Entry'!R14,'Council Entry'!R$9),'Council Entry'!R$8),'Council Entry'!R14)),IF(AND(ISNUMBER('Council Entry'!R$8),ISNUMBER('Council Entry'!R$9)),MAX(MIN('Council Entry'!R14,'Council Entry'!R$9),'Council Entry'!R$8),'Council Entry'!R14))))-'Council Entry'!R$5)/('Council Entry'!R$6-'Council Entry'!R$5)),1))),"No data"))</f>
        <v/>
      </c>
      <c r="S14" s="13">
        <f>IF('Council Entry'!S14="","",IFERROR(MAX(0,MIN(10,ROUND(IF('Council Entry'!S$7="Decrease Risk",10-10*((IF('Council Entry'!S$4="Logarithm",LN(0.001+IF(AND(ISNUMBER('Council Entry'!S$8),ISNUMBER('Council Entry'!S$9)),MAX(MIN('Council Entry'!S14,'Council Entry'!S$9),'Council Entry'!S$8),'Council Entry'!S14)),IF('Council Entry'!S$4="Exponential",EXP(IF(AND(ISNUMBER('Council Entry'!S$8),ISNUMBER('Council Entry'!S$9)),MAX(MIN('Council Entry'!S14,'Council Entry'!S$9),'Council Entry'!S$8),'Council Entry'!S14)),IF(AND(ISNUMBER('Council Entry'!S$8),ISNUMBER('Council Entry'!S$9)),MAX(MIN('Council Entry'!S14,'Council Entry'!S$9),'Council Entry'!S$8),'Council Entry'!S14))))-'Council Entry'!S$5)/('Council Entry'!S$6-'Council Entry'!S$5),10*((IF('Council Entry'!S$4="Logarithm",LN(0.001+IF(AND(ISNUMBER('Council Entry'!S$8),ISNUMBER('Council Entry'!S$9)),MAX(MIN('Council Entry'!S14,'Council Entry'!S$9),'Council Entry'!S$8),'Council Entry'!S14)),IF('Council Entry'!S$4="Exponential",EXP(IF(AND(ISNUMBER('Council Entry'!S$8),ISNUMBER('Council Entry'!S$9)),MAX(MIN('Council Entry'!S14,'Council Entry'!S$9),'Council Entry'!S$8),'Council Entry'!S14)),IF(AND(ISNUMBER('Council Entry'!S$8),ISNUMBER('Council Entry'!S$9)),MAX(MIN('Council Entry'!S14,'Council Entry'!S$9),'Council Entry'!S$8),'Council Entry'!S14))))-'Council Entry'!S$5)/('Council Entry'!S$6-'Council Entry'!S$5)),1))),"No data"))</f>
        <v/>
      </c>
      <c r="T14" s="13">
        <f>IF('Council Entry'!T14="","",IFERROR(MAX(0,MIN(10,ROUND(IF('Council Entry'!T$7="Decrease Risk",10-10*((IF('Council Entry'!T$4="Logarithm",LN(0.001+IF(AND(ISNUMBER('Council Entry'!T$8),ISNUMBER('Council Entry'!T$9)),MAX(MIN('Council Entry'!T14,'Council Entry'!T$9),'Council Entry'!T$8),'Council Entry'!T14)),IF('Council Entry'!T$4="Exponential",EXP(IF(AND(ISNUMBER('Council Entry'!T$8),ISNUMBER('Council Entry'!T$9)),MAX(MIN('Council Entry'!T14,'Council Entry'!T$9),'Council Entry'!T$8),'Council Entry'!T14)),IF(AND(ISNUMBER('Council Entry'!T$8),ISNUMBER('Council Entry'!T$9)),MAX(MIN('Council Entry'!T14,'Council Entry'!T$9),'Council Entry'!T$8),'Council Entry'!T14))))-'Council Entry'!T$5)/('Council Entry'!T$6-'Council Entry'!T$5),10*((IF('Council Entry'!T$4="Logarithm",LN(0.001+IF(AND(ISNUMBER('Council Entry'!T$8),ISNUMBER('Council Entry'!T$9)),MAX(MIN('Council Entry'!T14,'Council Entry'!T$9),'Council Entry'!T$8),'Council Entry'!T14)),IF('Council Entry'!T$4="Exponential",EXP(IF(AND(ISNUMBER('Council Entry'!T$8),ISNUMBER('Council Entry'!T$9)),MAX(MIN('Council Entry'!T14,'Council Entry'!T$9),'Council Entry'!T$8),'Council Entry'!T14)),IF(AND(ISNUMBER('Council Entry'!T$8),ISNUMBER('Council Entry'!T$9)),MAX(MIN('Council Entry'!T14,'Council Entry'!T$9),'Council Entry'!T$8),'Council Entry'!T14))))-'Council Entry'!T$5)/('Council Entry'!T$6-'Council Entry'!T$5)),1))),"No data"))</f>
        <v/>
      </c>
      <c r="U14" s="13">
        <f>IF('Council Entry'!U14="","",IFERROR(MAX(0,MIN(10,ROUND(IF('Council Entry'!U$7="Decrease Risk",10-10*((IF('Council Entry'!U$4="Logarithm",LN(0.001+IF(AND(ISNUMBER('Council Entry'!U$8),ISNUMBER('Council Entry'!U$9)),MAX(MIN('Council Entry'!U14,'Council Entry'!U$9),'Council Entry'!U$8),'Council Entry'!U14)),IF('Council Entry'!U$4="Exponential",EXP(IF(AND(ISNUMBER('Council Entry'!U$8),ISNUMBER('Council Entry'!U$9)),MAX(MIN('Council Entry'!U14,'Council Entry'!U$9),'Council Entry'!U$8),'Council Entry'!U14)),IF(AND(ISNUMBER('Council Entry'!U$8),ISNUMBER('Council Entry'!U$9)),MAX(MIN('Council Entry'!U14,'Council Entry'!U$9),'Council Entry'!U$8),'Council Entry'!U14))))-'Council Entry'!U$5)/('Council Entry'!U$6-'Council Entry'!U$5),10*((IF('Council Entry'!U$4="Logarithm",LN(0.001+IF(AND(ISNUMBER('Council Entry'!U$8),ISNUMBER('Council Entry'!U$9)),MAX(MIN('Council Entry'!U14,'Council Entry'!U$9),'Council Entry'!U$8),'Council Entry'!U14)),IF('Council Entry'!U$4="Exponential",EXP(IF(AND(ISNUMBER('Council Entry'!U$8),ISNUMBER('Council Entry'!U$9)),MAX(MIN('Council Entry'!U14,'Council Entry'!U$9),'Council Entry'!U$8),'Council Entry'!U14)),IF(AND(ISNUMBER('Council Entry'!U$8),ISNUMBER('Council Entry'!U$9)),MAX(MIN('Council Entry'!U14,'Council Entry'!U$9),'Council Entry'!U$8),'Council Entry'!U14))))-'Council Entry'!U$5)/('Council Entry'!U$6-'Council Entry'!U$5)),1))),"No data"))</f>
        <v/>
      </c>
      <c r="V14" s="13">
        <f>IF('Council Entry'!V14="","",IFERROR(MAX(0,MIN(10,ROUND(IF('Council Entry'!V$7="Decrease Risk",10-10*((IF('Council Entry'!V$4="Logarithm",LN(0.001+IF(AND(ISNUMBER('Council Entry'!V$8),ISNUMBER('Council Entry'!V$9)),MAX(MIN('Council Entry'!V14,'Council Entry'!V$9),'Council Entry'!V$8),'Council Entry'!V14)),IF('Council Entry'!V$4="Exponential",EXP(IF(AND(ISNUMBER('Council Entry'!V$8),ISNUMBER('Council Entry'!V$9)),MAX(MIN('Council Entry'!V14,'Council Entry'!V$9),'Council Entry'!V$8),'Council Entry'!V14)),IF(AND(ISNUMBER('Council Entry'!V$8),ISNUMBER('Council Entry'!V$9)),MAX(MIN('Council Entry'!V14,'Council Entry'!V$9),'Council Entry'!V$8),'Council Entry'!V14))))-'Council Entry'!V$5)/('Council Entry'!V$6-'Council Entry'!V$5),10*((IF('Council Entry'!V$4="Logarithm",LN(0.001+IF(AND(ISNUMBER('Council Entry'!V$8),ISNUMBER('Council Entry'!V$9)),MAX(MIN('Council Entry'!V14,'Council Entry'!V$9),'Council Entry'!V$8),'Council Entry'!V14)),IF('Council Entry'!V$4="Exponential",EXP(IF(AND(ISNUMBER('Council Entry'!V$8),ISNUMBER('Council Entry'!V$9)),MAX(MIN('Council Entry'!V14,'Council Entry'!V$9),'Council Entry'!V$8),'Council Entry'!V14)),IF(AND(ISNUMBER('Council Entry'!V$8),ISNUMBER('Council Entry'!V$9)),MAX(MIN('Council Entry'!V14,'Council Entry'!V$9),'Council Entry'!V$8),'Council Entry'!V14))))-'Council Entry'!V$5)/('Council Entry'!V$6-'Council Entry'!V$5)),1))),"No data"))</f>
        <v/>
      </c>
      <c r="W14" s="13">
        <f>IF('Council Entry'!W14="","",IFERROR(MAX(0,MIN(10,ROUND(IF('Council Entry'!W$7="Decrease Risk",10-10*((IF('Council Entry'!W$4="Logarithm",LN(0.001+IF(AND(ISNUMBER('Council Entry'!W$8),ISNUMBER('Council Entry'!W$9)),MAX(MIN('Council Entry'!W14,'Council Entry'!W$9),'Council Entry'!W$8),'Council Entry'!W14)),IF('Council Entry'!W$4="Exponential",EXP(IF(AND(ISNUMBER('Council Entry'!W$8),ISNUMBER('Council Entry'!W$9)),MAX(MIN('Council Entry'!W14,'Council Entry'!W$9),'Council Entry'!W$8),'Council Entry'!W14)),IF(AND(ISNUMBER('Council Entry'!W$8),ISNUMBER('Council Entry'!W$9)),MAX(MIN('Council Entry'!W14,'Council Entry'!W$9),'Council Entry'!W$8),'Council Entry'!W14))))-'Council Entry'!W$5)/('Council Entry'!W$6-'Council Entry'!W$5),10*((IF('Council Entry'!W$4="Logarithm",LN(0.001+IF(AND(ISNUMBER('Council Entry'!W$8),ISNUMBER('Council Entry'!W$9)),MAX(MIN('Council Entry'!W14,'Council Entry'!W$9),'Council Entry'!W$8),'Council Entry'!W14)),IF('Council Entry'!W$4="Exponential",EXP(IF(AND(ISNUMBER('Council Entry'!W$8),ISNUMBER('Council Entry'!W$9)),MAX(MIN('Council Entry'!W14,'Council Entry'!W$9),'Council Entry'!W$8),'Council Entry'!W14)),IF(AND(ISNUMBER('Council Entry'!W$8),ISNUMBER('Council Entry'!W$9)),MAX(MIN('Council Entry'!W14,'Council Entry'!W$9),'Council Entry'!W$8),'Council Entry'!W14))))-'Council Entry'!W$5)/('Council Entry'!W$6-'Council Entry'!W$5)),1))),"No data"))</f>
        <v/>
      </c>
      <c r="X14" s="13">
        <f>IF('Council Entry'!X14="","",IFERROR(MAX(0,MIN(10,ROUND(IF('Council Entry'!X$7="Decrease Risk",10-10*((IF('Council Entry'!X$4="Logarithm",LN(0.001+IF(AND(ISNUMBER('Council Entry'!X$8),ISNUMBER('Council Entry'!X$9)),MAX(MIN('Council Entry'!X14,'Council Entry'!X$9),'Council Entry'!X$8),'Council Entry'!X14)),IF('Council Entry'!X$4="Exponential",EXP(IF(AND(ISNUMBER('Council Entry'!X$8),ISNUMBER('Council Entry'!X$9)),MAX(MIN('Council Entry'!X14,'Council Entry'!X$9),'Council Entry'!X$8),'Council Entry'!X14)),IF(AND(ISNUMBER('Council Entry'!X$8),ISNUMBER('Council Entry'!X$9)),MAX(MIN('Council Entry'!X14,'Council Entry'!X$9),'Council Entry'!X$8),'Council Entry'!X14))))-'Council Entry'!X$5)/('Council Entry'!X$6-'Council Entry'!X$5),10*((IF('Council Entry'!X$4="Logarithm",LN(0.001+IF(AND(ISNUMBER('Council Entry'!X$8),ISNUMBER('Council Entry'!X$9)),MAX(MIN('Council Entry'!X14,'Council Entry'!X$9),'Council Entry'!X$8),'Council Entry'!X14)),IF('Council Entry'!X$4="Exponential",EXP(IF(AND(ISNUMBER('Council Entry'!X$8),ISNUMBER('Council Entry'!X$9)),MAX(MIN('Council Entry'!X14,'Council Entry'!X$9),'Council Entry'!X$8),'Council Entry'!X14)),IF(AND(ISNUMBER('Council Entry'!X$8),ISNUMBER('Council Entry'!X$9)),MAX(MIN('Council Entry'!X14,'Council Entry'!X$9),'Council Entry'!X$8),'Council Entry'!X14))))-'Council Entry'!X$5)/('Council Entry'!X$6-'Council Entry'!X$5)),1))),"No data"))</f>
        <v/>
      </c>
      <c r="Y14" s="13">
        <f>IF('Council Entry'!Y14="","",IFERROR(MAX(0,MIN(10,ROUND(IF('Council Entry'!Y$7="Decrease Risk",10-10*((IF('Council Entry'!Y$4="Logarithm",LN(0.001+IF(AND(ISNUMBER('Council Entry'!Y$8),ISNUMBER('Council Entry'!Y$9)),MAX(MIN('Council Entry'!Y14,'Council Entry'!Y$9),'Council Entry'!Y$8),'Council Entry'!Y14)),IF('Council Entry'!Y$4="Exponential",EXP(IF(AND(ISNUMBER('Council Entry'!Y$8),ISNUMBER('Council Entry'!Y$9)),MAX(MIN('Council Entry'!Y14,'Council Entry'!Y$9),'Council Entry'!Y$8),'Council Entry'!Y14)),IF(AND(ISNUMBER('Council Entry'!Y$8),ISNUMBER('Council Entry'!Y$9)),MAX(MIN('Council Entry'!Y14,'Council Entry'!Y$9),'Council Entry'!Y$8),'Council Entry'!Y14))))-'Council Entry'!Y$5)/('Council Entry'!Y$6-'Council Entry'!Y$5),10*((IF('Council Entry'!Y$4="Logarithm",LN(0.001+IF(AND(ISNUMBER('Council Entry'!Y$8),ISNUMBER('Council Entry'!Y$9)),MAX(MIN('Council Entry'!Y14,'Council Entry'!Y$9),'Council Entry'!Y$8),'Council Entry'!Y14)),IF('Council Entry'!Y$4="Exponential",EXP(IF(AND(ISNUMBER('Council Entry'!Y$8),ISNUMBER('Council Entry'!Y$9)),MAX(MIN('Council Entry'!Y14,'Council Entry'!Y$9),'Council Entry'!Y$8),'Council Entry'!Y14)),IF(AND(ISNUMBER('Council Entry'!Y$8),ISNUMBER('Council Entry'!Y$9)),MAX(MIN('Council Entry'!Y14,'Council Entry'!Y$9),'Council Entry'!Y$8),'Council Entry'!Y14))))-'Council Entry'!Y$5)/('Council Entry'!Y$6-'Council Entry'!Y$5)),1))),"No data"))</f>
        <v/>
      </c>
      <c r="Z14" s="13">
        <f>IF('Council Entry'!Z14="","",IFERROR(MAX(0,MIN(10,ROUND(IF('Council Entry'!Z$7="Decrease Risk",10-10*((IF('Council Entry'!Z$4="Logarithm",LN(0.001+IF(AND(ISNUMBER('Council Entry'!Z$8),ISNUMBER('Council Entry'!Z$9)),MAX(MIN('Council Entry'!Z14,'Council Entry'!Z$9),'Council Entry'!Z$8),'Council Entry'!Z14)),IF('Council Entry'!Z$4="Exponential",EXP(IF(AND(ISNUMBER('Council Entry'!Z$8),ISNUMBER('Council Entry'!Z$9)),MAX(MIN('Council Entry'!Z14,'Council Entry'!Z$9),'Council Entry'!Z$8),'Council Entry'!Z14)),IF(AND(ISNUMBER('Council Entry'!Z$8),ISNUMBER('Council Entry'!Z$9)),MAX(MIN('Council Entry'!Z14,'Council Entry'!Z$9),'Council Entry'!Z$8),'Council Entry'!Z14))))-'Council Entry'!Z$5)/('Council Entry'!Z$6-'Council Entry'!Z$5),10*((IF('Council Entry'!Z$4="Logarithm",LN(0.001+IF(AND(ISNUMBER('Council Entry'!Z$8),ISNUMBER('Council Entry'!Z$9)),MAX(MIN('Council Entry'!Z14,'Council Entry'!Z$9),'Council Entry'!Z$8),'Council Entry'!Z14)),IF('Council Entry'!Z$4="Exponential",EXP(IF(AND(ISNUMBER('Council Entry'!Z$8),ISNUMBER('Council Entry'!Z$9)),MAX(MIN('Council Entry'!Z14,'Council Entry'!Z$9),'Council Entry'!Z$8),'Council Entry'!Z14)),IF(AND(ISNUMBER('Council Entry'!Z$8),ISNUMBER('Council Entry'!Z$9)),MAX(MIN('Council Entry'!Z14,'Council Entry'!Z$9),'Council Entry'!Z$8),'Council Entry'!Z14))))-'Council Entry'!Z$5)/('Council Entry'!Z$6-'Council Entry'!Z$5)),1))),"No data"))</f>
        <v/>
      </c>
      <c r="AA14" s="13">
        <f>IF('Council Entry'!AA14="","",IFERROR(MAX(0,MIN(10,ROUND(IF('Council Entry'!AA$7="Decrease Risk",10-10*((IF('Council Entry'!AA$4="Logarithm",LN(0.001+IF(AND(ISNUMBER('Council Entry'!AA$8),ISNUMBER('Council Entry'!AA$9)),MAX(MIN('Council Entry'!AA14,'Council Entry'!AA$9),'Council Entry'!AA$8),'Council Entry'!AA14)),IF('Council Entry'!AA$4="Exponential",EXP(IF(AND(ISNUMBER('Council Entry'!AA$8),ISNUMBER('Council Entry'!AA$9)),MAX(MIN('Council Entry'!AA14,'Council Entry'!AA$9),'Council Entry'!AA$8),'Council Entry'!AA14)),IF(AND(ISNUMBER('Council Entry'!AA$8),ISNUMBER('Council Entry'!AA$9)),MAX(MIN('Council Entry'!AA14,'Council Entry'!AA$9),'Council Entry'!AA$8),'Council Entry'!AA14))))-'Council Entry'!AA$5)/('Council Entry'!AA$6-'Council Entry'!AA$5),10*((IF('Council Entry'!AA$4="Logarithm",LN(0.001+IF(AND(ISNUMBER('Council Entry'!AA$8),ISNUMBER('Council Entry'!AA$9)),MAX(MIN('Council Entry'!AA14,'Council Entry'!AA$9),'Council Entry'!AA$8),'Council Entry'!AA14)),IF('Council Entry'!AA$4="Exponential",EXP(IF(AND(ISNUMBER('Council Entry'!AA$8),ISNUMBER('Council Entry'!AA$9)),MAX(MIN('Council Entry'!AA14,'Council Entry'!AA$9),'Council Entry'!AA$8),'Council Entry'!AA14)),IF(AND(ISNUMBER('Council Entry'!AA$8),ISNUMBER('Council Entry'!AA$9)),MAX(MIN('Council Entry'!AA14,'Council Entry'!AA$9),'Council Entry'!AA$8),'Council Entry'!AA14))))-'Council Entry'!AA$5)/('Council Entry'!AA$6-'Council Entry'!AA$5)),1))),"No data"))</f>
        <v/>
      </c>
      <c r="AB14" s="13">
        <f>IF('Council Entry'!AB14="","",IFERROR(MAX(0,MIN(10,ROUND(IF('Council Entry'!AB$7="Decrease Risk",10-10*((IF('Council Entry'!AB$4="Logarithm",LN(0.001+IF(AND(ISNUMBER('Council Entry'!AB$8),ISNUMBER('Council Entry'!AB$9)),MAX(MIN('Council Entry'!AB14,'Council Entry'!AB$9),'Council Entry'!AB$8),'Council Entry'!AB14)),IF('Council Entry'!AB$4="Exponential",EXP(IF(AND(ISNUMBER('Council Entry'!AB$8),ISNUMBER('Council Entry'!AB$9)),MAX(MIN('Council Entry'!AB14,'Council Entry'!AB$9),'Council Entry'!AB$8),'Council Entry'!AB14)),IF(AND(ISNUMBER('Council Entry'!AB$8),ISNUMBER('Council Entry'!AB$9)),MAX(MIN('Council Entry'!AB14,'Council Entry'!AB$9),'Council Entry'!AB$8),'Council Entry'!AB14))))-'Council Entry'!AB$5)/('Council Entry'!AB$6-'Council Entry'!AB$5),10*((IF('Council Entry'!AB$4="Logarithm",LN(0.001+IF(AND(ISNUMBER('Council Entry'!AB$8),ISNUMBER('Council Entry'!AB$9)),MAX(MIN('Council Entry'!AB14,'Council Entry'!AB$9),'Council Entry'!AB$8),'Council Entry'!AB14)),IF('Council Entry'!AB$4="Exponential",EXP(IF(AND(ISNUMBER('Council Entry'!AB$8),ISNUMBER('Council Entry'!AB$9)),MAX(MIN('Council Entry'!AB14,'Council Entry'!AB$9),'Council Entry'!AB$8),'Council Entry'!AB14)),IF(AND(ISNUMBER('Council Entry'!AB$8),ISNUMBER('Council Entry'!AB$9)),MAX(MIN('Council Entry'!AB14,'Council Entry'!AB$9),'Council Entry'!AB$8),'Council Entry'!AB14))))-'Council Entry'!AB$5)/('Council Entry'!AB$6-'Council Entry'!AB$5)),1))),"No data"))</f>
        <v/>
      </c>
      <c r="AC14" s="13">
        <f>IF('Council Entry'!AC14="","",IFERROR(MAX(0,MIN(10,ROUND(IF('Council Entry'!AC$7="Decrease Risk",10-10*((IF('Council Entry'!AC$4="Logarithm",LN(0.001+IF(AND(ISNUMBER('Council Entry'!AC$8),ISNUMBER('Council Entry'!AC$9)),MAX(MIN('Council Entry'!AC14,'Council Entry'!AC$9),'Council Entry'!AC$8),'Council Entry'!AC14)),IF('Council Entry'!AC$4="Exponential",EXP(IF(AND(ISNUMBER('Council Entry'!AC$8),ISNUMBER('Council Entry'!AC$9)),MAX(MIN('Council Entry'!AC14,'Council Entry'!AC$9),'Council Entry'!AC$8),'Council Entry'!AC14)),IF(AND(ISNUMBER('Council Entry'!AC$8),ISNUMBER('Council Entry'!AC$9)),MAX(MIN('Council Entry'!AC14,'Council Entry'!AC$9),'Council Entry'!AC$8),'Council Entry'!AC14))))-'Council Entry'!AC$5)/('Council Entry'!AC$6-'Council Entry'!AC$5),10*((IF('Council Entry'!AC$4="Logarithm",LN(0.001+IF(AND(ISNUMBER('Council Entry'!AC$8),ISNUMBER('Council Entry'!AC$9)),MAX(MIN('Council Entry'!AC14,'Council Entry'!AC$9),'Council Entry'!AC$8),'Council Entry'!AC14)),IF('Council Entry'!AC$4="Exponential",EXP(IF(AND(ISNUMBER('Council Entry'!AC$8),ISNUMBER('Council Entry'!AC$9)),MAX(MIN('Council Entry'!AC14,'Council Entry'!AC$9),'Council Entry'!AC$8),'Council Entry'!AC14)),IF(AND(ISNUMBER('Council Entry'!AC$8),ISNUMBER('Council Entry'!AC$9)),MAX(MIN('Council Entry'!AC14,'Council Entry'!AC$9),'Council Entry'!AC$8),'Council Entry'!AC14))))-'Council Entry'!AC$5)/('Council Entry'!AC$6-'Council Entry'!AC$5)),1))),"No data"))</f>
        <v/>
      </c>
      <c r="AD14" s="13">
        <f>IF('Council Entry'!AD14="","",IFERROR(MAX(0,MIN(10,ROUND(IF('Council Entry'!AD$7="Decrease Risk",10-10*((IF('Council Entry'!AD$4="Logarithm",LN(0.001+IF(AND(ISNUMBER('Council Entry'!AD$8),ISNUMBER('Council Entry'!AD$9)),MAX(MIN('Council Entry'!AD14,'Council Entry'!AD$9),'Council Entry'!AD$8),'Council Entry'!AD14)),IF('Council Entry'!AD$4="Exponential",EXP(IF(AND(ISNUMBER('Council Entry'!AD$8),ISNUMBER('Council Entry'!AD$9)),MAX(MIN('Council Entry'!AD14,'Council Entry'!AD$9),'Council Entry'!AD$8),'Council Entry'!AD14)),IF(AND(ISNUMBER('Council Entry'!AD$8),ISNUMBER('Council Entry'!AD$9)),MAX(MIN('Council Entry'!AD14,'Council Entry'!AD$9),'Council Entry'!AD$8),'Council Entry'!AD14))))-'Council Entry'!AD$5)/('Council Entry'!AD$6-'Council Entry'!AD$5),10*((IF('Council Entry'!AD$4="Logarithm",LN(0.001+IF(AND(ISNUMBER('Council Entry'!AD$8),ISNUMBER('Council Entry'!AD$9)),MAX(MIN('Council Entry'!AD14,'Council Entry'!AD$9),'Council Entry'!AD$8),'Council Entry'!AD14)),IF('Council Entry'!AD$4="Exponential",EXP(IF(AND(ISNUMBER('Council Entry'!AD$8),ISNUMBER('Council Entry'!AD$9)),MAX(MIN('Council Entry'!AD14,'Council Entry'!AD$9),'Council Entry'!AD$8),'Council Entry'!AD14)),IF(AND(ISNUMBER('Council Entry'!AD$8),ISNUMBER('Council Entry'!AD$9)),MAX(MIN('Council Entry'!AD14,'Council Entry'!AD$9),'Council Entry'!AD$8),'Council Entry'!AD14))))-'Council Entry'!AD$5)/('Council Entry'!AD$6-'Council Entry'!AD$5)),1))),"No data"))</f>
        <v/>
      </c>
      <c r="AE14" s="13">
        <f>IF('Council Entry'!AE14="","",IFERROR(MAX(0,MIN(10,ROUND(IF('Council Entry'!AE$7="Decrease Risk",10-10*((IF('Council Entry'!AE$4="Logarithm",LN(0.001+IF(AND(ISNUMBER('Council Entry'!AE$8),ISNUMBER('Council Entry'!AE$9)),MAX(MIN('Council Entry'!AE14,'Council Entry'!AE$9),'Council Entry'!AE$8),'Council Entry'!AE14)),IF('Council Entry'!AE$4="Exponential",EXP(IF(AND(ISNUMBER('Council Entry'!AE$8),ISNUMBER('Council Entry'!AE$9)),MAX(MIN('Council Entry'!AE14,'Council Entry'!AE$9),'Council Entry'!AE$8),'Council Entry'!AE14)),IF(AND(ISNUMBER('Council Entry'!AE$8),ISNUMBER('Council Entry'!AE$9)),MAX(MIN('Council Entry'!AE14,'Council Entry'!AE$9),'Council Entry'!AE$8),'Council Entry'!AE14))))-'Council Entry'!AE$5)/('Council Entry'!AE$6-'Council Entry'!AE$5),10*((IF('Council Entry'!AE$4="Logarithm",LN(0.001+IF(AND(ISNUMBER('Council Entry'!AE$8),ISNUMBER('Council Entry'!AE$9)),MAX(MIN('Council Entry'!AE14,'Council Entry'!AE$9),'Council Entry'!AE$8),'Council Entry'!AE14)),IF('Council Entry'!AE$4="Exponential",EXP(IF(AND(ISNUMBER('Council Entry'!AE$8),ISNUMBER('Council Entry'!AE$9)),MAX(MIN('Council Entry'!AE14,'Council Entry'!AE$9),'Council Entry'!AE$8),'Council Entry'!AE14)),IF(AND(ISNUMBER('Council Entry'!AE$8),ISNUMBER('Council Entry'!AE$9)),MAX(MIN('Council Entry'!AE14,'Council Entry'!AE$9),'Council Entry'!AE$8),'Council Entry'!AE14))))-'Council Entry'!AE$5)/('Council Entry'!AE$6-'Council Entry'!AE$5)),1))),"No data"))</f>
        <v/>
      </c>
      <c r="AF14" s="13">
        <f>IF('Council Entry'!AF14="","",IFERROR(MAX(0,MIN(10,ROUND(IF('Council Entry'!AF$7="Decrease Risk",10-10*((IF('Council Entry'!AF$4="Logarithm",LN(0.001+IF(AND(ISNUMBER('Council Entry'!AF$8),ISNUMBER('Council Entry'!AF$9)),MAX(MIN('Council Entry'!AF14,'Council Entry'!AF$9),'Council Entry'!AF$8),'Council Entry'!AF14)),IF('Council Entry'!AF$4="Exponential",EXP(IF(AND(ISNUMBER('Council Entry'!AF$8),ISNUMBER('Council Entry'!AF$9)),MAX(MIN('Council Entry'!AF14,'Council Entry'!AF$9),'Council Entry'!AF$8),'Council Entry'!AF14)),IF(AND(ISNUMBER('Council Entry'!AF$8),ISNUMBER('Council Entry'!AF$9)),MAX(MIN('Council Entry'!AF14,'Council Entry'!AF$9),'Council Entry'!AF$8),'Council Entry'!AF14))))-'Council Entry'!AF$5)/('Council Entry'!AF$6-'Council Entry'!AF$5),10*((IF('Council Entry'!AF$4="Logarithm",LN(0.001+IF(AND(ISNUMBER('Council Entry'!AF$8),ISNUMBER('Council Entry'!AF$9)),MAX(MIN('Council Entry'!AF14,'Council Entry'!AF$9),'Council Entry'!AF$8),'Council Entry'!AF14)),IF('Council Entry'!AF$4="Exponential",EXP(IF(AND(ISNUMBER('Council Entry'!AF$8),ISNUMBER('Council Entry'!AF$9)),MAX(MIN('Council Entry'!AF14,'Council Entry'!AF$9),'Council Entry'!AF$8),'Council Entry'!AF14)),IF(AND(ISNUMBER('Council Entry'!AF$8),ISNUMBER('Council Entry'!AF$9)),MAX(MIN('Council Entry'!AF14,'Council Entry'!AF$9),'Council Entry'!AF$8),'Council Entry'!AF14))))-'Council Entry'!AF$5)/('Council Entry'!AF$6-'Council Entry'!AF$5)),1))),"No data"))</f>
        <v/>
      </c>
      <c r="AG14" s="13">
        <f>IF('Council Entry'!AG14="","",IFERROR(MAX(0,MIN(10,ROUND(IF('Council Entry'!AG$7="Decrease Risk",10-10*((IF('Council Entry'!AG$4="Logarithm",LN(0.001+IF(AND(ISNUMBER('Council Entry'!AG$8),ISNUMBER('Council Entry'!AG$9)),MAX(MIN('Council Entry'!AG14,'Council Entry'!AG$9),'Council Entry'!AG$8),'Council Entry'!AG14)),IF('Council Entry'!AG$4="Exponential",EXP(IF(AND(ISNUMBER('Council Entry'!AG$8),ISNUMBER('Council Entry'!AG$9)),MAX(MIN('Council Entry'!AG14,'Council Entry'!AG$9),'Council Entry'!AG$8),'Council Entry'!AG14)),IF(AND(ISNUMBER('Council Entry'!AG$8),ISNUMBER('Council Entry'!AG$9)),MAX(MIN('Council Entry'!AG14,'Council Entry'!AG$9),'Council Entry'!AG$8),'Council Entry'!AG14))))-'Council Entry'!AG$5)/('Council Entry'!AG$6-'Council Entry'!AG$5),10*((IF('Council Entry'!AG$4="Logarithm",LN(0.001+IF(AND(ISNUMBER('Council Entry'!AG$8),ISNUMBER('Council Entry'!AG$9)),MAX(MIN('Council Entry'!AG14,'Council Entry'!AG$9),'Council Entry'!AG$8),'Council Entry'!AG14)),IF('Council Entry'!AG$4="Exponential",EXP(IF(AND(ISNUMBER('Council Entry'!AG$8),ISNUMBER('Council Entry'!AG$9)),MAX(MIN('Council Entry'!AG14,'Council Entry'!AG$9),'Council Entry'!AG$8),'Council Entry'!AG14)),IF(AND(ISNUMBER('Council Entry'!AG$8),ISNUMBER('Council Entry'!AG$9)),MAX(MIN('Council Entry'!AG14,'Council Entry'!AG$9),'Council Entry'!AG$8),'Council Entry'!AG14))))-'Council Entry'!AG$5)/('Council Entry'!AG$6-'Council Entry'!AG$5)),1))),"No data"))</f>
        <v/>
      </c>
      <c r="AH14" s="13">
        <f>IF('Council Entry'!AH14="","",IFERROR(MAX(0,MIN(10,ROUND(IF('Council Entry'!AH$7="Decrease Risk",10-10*((IF('Council Entry'!AH$4="Logarithm",LN(0.001+IF(AND(ISNUMBER('Council Entry'!AH$8),ISNUMBER('Council Entry'!AH$9)),MAX(MIN('Council Entry'!AH14,'Council Entry'!AH$9),'Council Entry'!AH$8),'Council Entry'!AH14)),IF('Council Entry'!AH$4="Exponential",EXP(IF(AND(ISNUMBER('Council Entry'!AH$8),ISNUMBER('Council Entry'!AH$9)),MAX(MIN('Council Entry'!AH14,'Council Entry'!AH$9),'Council Entry'!AH$8),'Council Entry'!AH14)),IF(AND(ISNUMBER('Council Entry'!AH$8),ISNUMBER('Council Entry'!AH$9)),MAX(MIN('Council Entry'!AH14,'Council Entry'!AH$9),'Council Entry'!AH$8),'Council Entry'!AH14))))-'Council Entry'!AH$5)/('Council Entry'!AH$6-'Council Entry'!AH$5),10*((IF('Council Entry'!AH$4="Logarithm",LN(0.001+IF(AND(ISNUMBER('Council Entry'!AH$8),ISNUMBER('Council Entry'!AH$9)),MAX(MIN('Council Entry'!AH14,'Council Entry'!AH$9),'Council Entry'!AH$8),'Council Entry'!AH14)),IF('Council Entry'!AH$4="Exponential",EXP(IF(AND(ISNUMBER('Council Entry'!AH$8),ISNUMBER('Council Entry'!AH$9)),MAX(MIN('Council Entry'!AH14,'Council Entry'!AH$9),'Council Entry'!AH$8),'Council Entry'!AH14)),IF(AND(ISNUMBER('Council Entry'!AH$8),ISNUMBER('Council Entry'!AH$9)),MAX(MIN('Council Entry'!AH14,'Council Entry'!AH$9),'Council Entry'!AH$8),'Council Entry'!AH14))))-'Council Entry'!AH$5)/('Council Entry'!AH$6-'Council Entry'!AH$5)),1))),"No data"))</f>
        <v/>
      </c>
      <c r="AI14" s="13">
        <f>IF('Council Entry'!AI14="","",IFERROR(MAX(0,MIN(10,ROUND(IF('Council Entry'!AI$7="Decrease Risk",10-10*((IF('Council Entry'!AI$4="Logarithm",LN(0.001+IF(AND(ISNUMBER('Council Entry'!AI$8),ISNUMBER('Council Entry'!AI$9)),MAX(MIN('Council Entry'!AI14,'Council Entry'!AI$9),'Council Entry'!AI$8),'Council Entry'!AI14)),IF('Council Entry'!AI$4="Exponential",EXP(IF(AND(ISNUMBER('Council Entry'!AI$8),ISNUMBER('Council Entry'!AI$9)),MAX(MIN('Council Entry'!AI14,'Council Entry'!AI$9),'Council Entry'!AI$8),'Council Entry'!AI14)),IF(AND(ISNUMBER('Council Entry'!AI$8),ISNUMBER('Council Entry'!AI$9)),MAX(MIN('Council Entry'!AI14,'Council Entry'!AI$9),'Council Entry'!AI$8),'Council Entry'!AI14))))-'Council Entry'!AI$5)/('Council Entry'!AI$6-'Council Entry'!AI$5),10*((IF('Council Entry'!AI$4="Logarithm",LN(0.001+IF(AND(ISNUMBER('Council Entry'!AI$8),ISNUMBER('Council Entry'!AI$9)),MAX(MIN('Council Entry'!AI14,'Council Entry'!AI$9),'Council Entry'!AI$8),'Council Entry'!AI14)),IF('Council Entry'!AI$4="Exponential",EXP(IF(AND(ISNUMBER('Council Entry'!AI$8),ISNUMBER('Council Entry'!AI$9)),MAX(MIN('Council Entry'!AI14,'Council Entry'!AI$9),'Council Entry'!AI$8),'Council Entry'!AI14)),IF(AND(ISNUMBER('Council Entry'!AI$8),ISNUMBER('Council Entry'!AI$9)),MAX(MIN('Council Entry'!AI14,'Council Entry'!AI$9),'Council Entry'!AI$8),'Council Entry'!AI14))))-'Council Entry'!AI$5)/('Council Entry'!AI$6-'Council Entry'!AI$5)),1))),"No data"))</f>
        <v/>
      </c>
      <c r="AJ14" s="13">
        <f>IF('Council Entry'!AJ14="","",IFERROR(MAX(0,MIN(10,ROUND(IF('Council Entry'!AJ$7="Decrease Risk",10-10*((IF('Council Entry'!AJ$4="Logarithm",LN(0.001+IF(AND(ISNUMBER('Council Entry'!AJ$8),ISNUMBER('Council Entry'!AJ$9)),MAX(MIN('Council Entry'!AJ14,'Council Entry'!AJ$9),'Council Entry'!AJ$8),'Council Entry'!AJ14)),IF('Council Entry'!AJ$4="Exponential",EXP(IF(AND(ISNUMBER('Council Entry'!AJ$8),ISNUMBER('Council Entry'!AJ$9)),MAX(MIN('Council Entry'!AJ14,'Council Entry'!AJ$9),'Council Entry'!AJ$8),'Council Entry'!AJ14)),IF(AND(ISNUMBER('Council Entry'!AJ$8),ISNUMBER('Council Entry'!AJ$9)),MAX(MIN('Council Entry'!AJ14,'Council Entry'!AJ$9),'Council Entry'!AJ$8),'Council Entry'!AJ14))))-'Council Entry'!AJ$5)/('Council Entry'!AJ$6-'Council Entry'!AJ$5),10*((IF('Council Entry'!AJ$4="Logarithm",LN(0.001+IF(AND(ISNUMBER('Council Entry'!AJ$8),ISNUMBER('Council Entry'!AJ$9)),MAX(MIN('Council Entry'!AJ14,'Council Entry'!AJ$9),'Council Entry'!AJ$8),'Council Entry'!AJ14)),IF('Council Entry'!AJ$4="Exponential",EXP(IF(AND(ISNUMBER('Council Entry'!AJ$8),ISNUMBER('Council Entry'!AJ$9)),MAX(MIN('Council Entry'!AJ14,'Council Entry'!AJ$9),'Council Entry'!AJ$8),'Council Entry'!AJ14)),IF(AND(ISNUMBER('Council Entry'!AJ$8),ISNUMBER('Council Entry'!AJ$9)),MAX(MIN('Council Entry'!AJ14,'Council Entry'!AJ$9),'Council Entry'!AJ$8),'Council Entry'!AJ14))))-'Council Entry'!AJ$5)/('Council Entry'!AJ$6-'Council Entry'!AJ$5)),1))),"No data"))</f>
        <v/>
      </c>
      <c r="AK14" s="13">
        <f>IF('Council Entry'!AK14="","",IFERROR(MAX(0,MIN(10,ROUND(IF('Council Entry'!AK$7="Decrease Risk",10-10*((IF('Council Entry'!AK$4="Logarithm",LN(0.001+IF(AND(ISNUMBER('Council Entry'!AK$8),ISNUMBER('Council Entry'!AK$9)),MAX(MIN('Council Entry'!AK14,'Council Entry'!AK$9),'Council Entry'!AK$8),'Council Entry'!AK14)),IF('Council Entry'!AK$4="Exponential",EXP(IF(AND(ISNUMBER('Council Entry'!AK$8),ISNUMBER('Council Entry'!AK$9)),MAX(MIN('Council Entry'!AK14,'Council Entry'!AK$9),'Council Entry'!AK$8),'Council Entry'!AK14)),IF(AND(ISNUMBER('Council Entry'!AK$8),ISNUMBER('Council Entry'!AK$9)),MAX(MIN('Council Entry'!AK14,'Council Entry'!AK$9),'Council Entry'!AK$8),'Council Entry'!AK14))))-'Council Entry'!AK$5)/('Council Entry'!AK$6-'Council Entry'!AK$5),10*((IF('Council Entry'!AK$4="Logarithm",LN(0.001+IF(AND(ISNUMBER('Council Entry'!AK$8),ISNUMBER('Council Entry'!AK$9)),MAX(MIN('Council Entry'!AK14,'Council Entry'!AK$9),'Council Entry'!AK$8),'Council Entry'!AK14)),IF('Council Entry'!AK$4="Exponential",EXP(IF(AND(ISNUMBER('Council Entry'!AK$8),ISNUMBER('Council Entry'!AK$9)),MAX(MIN('Council Entry'!AK14,'Council Entry'!AK$9),'Council Entry'!AK$8),'Council Entry'!AK14)),IF(AND(ISNUMBER('Council Entry'!AK$8),ISNUMBER('Council Entry'!AK$9)),MAX(MIN('Council Entry'!AK14,'Council Entry'!AK$9),'Council Entry'!AK$8),'Council Entry'!AK14))))-'Council Entry'!AK$5)/('Council Entry'!AK$6-'Council Entry'!AK$5)),1))),"No data"))</f>
        <v/>
      </c>
      <c r="AL14" s="13">
        <f>IF('Council Entry'!AL14="","",IFERROR(MAX(0,MIN(10,ROUND(IF('Council Entry'!AL$7="Decrease Risk",10-10*((IF('Council Entry'!AL$4="Logarithm",LN(0.001+IF(AND(ISNUMBER('Council Entry'!AL$8),ISNUMBER('Council Entry'!AL$9)),MAX(MIN('Council Entry'!AL14,'Council Entry'!AL$9),'Council Entry'!AL$8),'Council Entry'!AL14)),IF('Council Entry'!AL$4="Exponential",EXP(IF(AND(ISNUMBER('Council Entry'!AL$8),ISNUMBER('Council Entry'!AL$9)),MAX(MIN('Council Entry'!AL14,'Council Entry'!AL$9),'Council Entry'!AL$8),'Council Entry'!AL14)),IF(AND(ISNUMBER('Council Entry'!AL$8),ISNUMBER('Council Entry'!AL$9)),MAX(MIN('Council Entry'!AL14,'Council Entry'!AL$9),'Council Entry'!AL$8),'Council Entry'!AL14))))-'Council Entry'!AL$5)/('Council Entry'!AL$6-'Council Entry'!AL$5),10*((IF('Council Entry'!AL$4="Logarithm",LN(0.001+IF(AND(ISNUMBER('Council Entry'!AL$8),ISNUMBER('Council Entry'!AL$9)),MAX(MIN('Council Entry'!AL14,'Council Entry'!AL$9),'Council Entry'!AL$8),'Council Entry'!AL14)),IF('Council Entry'!AL$4="Exponential",EXP(IF(AND(ISNUMBER('Council Entry'!AL$8),ISNUMBER('Council Entry'!AL$9)),MAX(MIN('Council Entry'!AL14,'Council Entry'!AL$9),'Council Entry'!AL$8),'Council Entry'!AL14)),IF(AND(ISNUMBER('Council Entry'!AL$8),ISNUMBER('Council Entry'!AL$9)),MAX(MIN('Council Entry'!AL14,'Council Entry'!AL$9),'Council Entry'!AL$8),'Council Entry'!AL14))))-'Council Entry'!AL$5)/('Council Entry'!AL$6-'Council Entry'!AL$5)),1))),"No data"))</f>
        <v/>
      </c>
      <c r="AM14" s="13">
        <f>IF('Council Entry'!AM14="","",IFERROR(MAX(0,MIN(10,ROUND(IF('Council Entry'!AM$7="Decrease Risk",10-10*((IF('Council Entry'!AM$4="Logarithm",LN(0.001+IF(AND(ISNUMBER('Council Entry'!AM$8),ISNUMBER('Council Entry'!AM$9)),MAX(MIN('Council Entry'!AM14,'Council Entry'!AM$9),'Council Entry'!AM$8),'Council Entry'!AM14)),IF('Council Entry'!AM$4="Exponential",EXP(IF(AND(ISNUMBER('Council Entry'!AM$8),ISNUMBER('Council Entry'!AM$9)),MAX(MIN('Council Entry'!AM14,'Council Entry'!AM$9),'Council Entry'!AM$8),'Council Entry'!AM14)),IF(AND(ISNUMBER('Council Entry'!AM$8),ISNUMBER('Council Entry'!AM$9)),MAX(MIN('Council Entry'!AM14,'Council Entry'!AM$9),'Council Entry'!AM$8),'Council Entry'!AM14))))-'Council Entry'!AM$5)/('Council Entry'!AM$6-'Council Entry'!AM$5),10*((IF('Council Entry'!AM$4="Logarithm",LN(0.001+IF(AND(ISNUMBER('Council Entry'!AM$8),ISNUMBER('Council Entry'!AM$9)),MAX(MIN('Council Entry'!AM14,'Council Entry'!AM$9),'Council Entry'!AM$8),'Council Entry'!AM14)),IF('Council Entry'!AM$4="Exponential",EXP(IF(AND(ISNUMBER('Council Entry'!AM$8),ISNUMBER('Council Entry'!AM$9)),MAX(MIN('Council Entry'!AM14,'Council Entry'!AM$9),'Council Entry'!AM$8),'Council Entry'!AM14)),IF(AND(ISNUMBER('Council Entry'!AM$8),ISNUMBER('Council Entry'!AM$9)),MAX(MIN('Council Entry'!AM14,'Council Entry'!AM$9),'Council Entry'!AM$8),'Council Entry'!AM14))))-'Council Entry'!AM$5)/('Council Entry'!AM$6-'Council Entry'!AM$5)),1))),"No data"))</f>
        <v/>
      </c>
      <c r="AN14" s="13">
        <f>IF('Council Entry'!AN14="","",IFERROR(MAX(0,MIN(10,ROUND(IF('Council Entry'!AN$7="Decrease Risk",10-10*((IF('Council Entry'!AN$4="Logarithm",LN(0.001+IF(AND(ISNUMBER('Council Entry'!AN$8),ISNUMBER('Council Entry'!AN$9)),MAX(MIN('Council Entry'!AN14,'Council Entry'!AN$9),'Council Entry'!AN$8),'Council Entry'!AN14)),IF('Council Entry'!AN$4="Exponential",EXP(IF(AND(ISNUMBER('Council Entry'!AN$8),ISNUMBER('Council Entry'!AN$9)),MAX(MIN('Council Entry'!AN14,'Council Entry'!AN$9),'Council Entry'!AN$8),'Council Entry'!AN14)),IF(AND(ISNUMBER('Council Entry'!AN$8),ISNUMBER('Council Entry'!AN$9)),MAX(MIN('Council Entry'!AN14,'Council Entry'!AN$9),'Council Entry'!AN$8),'Council Entry'!AN14))))-'Council Entry'!AN$5)/('Council Entry'!AN$6-'Council Entry'!AN$5),10*((IF('Council Entry'!AN$4="Logarithm",LN(0.001+IF(AND(ISNUMBER('Council Entry'!AN$8),ISNUMBER('Council Entry'!AN$9)),MAX(MIN('Council Entry'!AN14,'Council Entry'!AN$9),'Council Entry'!AN$8),'Council Entry'!AN14)),IF('Council Entry'!AN$4="Exponential",EXP(IF(AND(ISNUMBER('Council Entry'!AN$8),ISNUMBER('Council Entry'!AN$9)),MAX(MIN('Council Entry'!AN14,'Council Entry'!AN$9),'Council Entry'!AN$8),'Council Entry'!AN14)),IF(AND(ISNUMBER('Council Entry'!AN$8),ISNUMBER('Council Entry'!AN$9)),MAX(MIN('Council Entry'!AN14,'Council Entry'!AN$9),'Council Entry'!AN$8),'Council Entry'!AN14))))-'Council Entry'!AN$5)/('Council Entry'!AN$6-'Council Entry'!AN$5)),1))),"No data"))</f>
        <v/>
      </c>
      <c r="AO14" s="13">
        <f>IF('Council Entry'!AO14="","",IFERROR(MAX(0,MIN(10,ROUND(IF('Council Entry'!AO$7="Decrease Risk",10-10*((IF('Council Entry'!AO$4="Logarithm",LN(0.001+IF(AND(ISNUMBER('Council Entry'!AO$8),ISNUMBER('Council Entry'!AO$9)),MAX(MIN('Council Entry'!AO14,'Council Entry'!AO$9),'Council Entry'!AO$8),'Council Entry'!AO14)),IF('Council Entry'!AO$4="Exponential",EXP(IF(AND(ISNUMBER('Council Entry'!AO$8),ISNUMBER('Council Entry'!AO$9)),MAX(MIN('Council Entry'!AO14,'Council Entry'!AO$9),'Council Entry'!AO$8),'Council Entry'!AO14)),IF(AND(ISNUMBER('Council Entry'!AO$8),ISNUMBER('Council Entry'!AO$9)),MAX(MIN('Council Entry'!AO14,'Council Entry'!AO$9),'Council Entry'!AO$8),'Council Entry'!AO14))))-'Council Entry'!AO$5)/('Council Entry'!AO$6-'Council Entry'!AO$5),10*((IF('Council Entry'!AO$4="Logarithm",LN(0.001+IF(AND(ISNUMBER('Council Entry'!AO$8),ISNUMBER('Council Entry'!AO$9)),MAX(MIN('Council Entry'!AO14,'Council Entry'!AO$9),'Council Entry'!AO$8),'Council Entry'!AO14)),IF('Council Entry'!AO$4="Exponential",EXP(IF(AND(ISNUMBER('Council Entry'!AO$8),ISNUMBER('Council Entry'!AO$9)),MAX(MIN('Council Entry'!AO14,'Council Entry'!AO$9),'Council Entry'!AO$8),'Council Entry'!AO14)),IF(AND(ISNUMBER('Council Entry'!AO$8),ISNUMBER('Council Entry'!AO$9)),MAX(MIN('Council Entry'!AO14,'Council Entry'!AO$9),'Council Entry'!AO$8),'Council Entry'!AO14))))-'Council Entry'!AO$5)/('Council Entry'!AO$6-'Council Entry'!AO$5)),1))),"No data"))</f>
        <v/>
      </c>
      <c r="AP14" s="13">
        <f>IF('Council Entry'!AP14="","",IFERROR(MAX(0,MIN(10,ROUND(IF('Council Entry'!AP$7="Decrease Risk",10-10*((IF('Council Entry'!AP$4="Logarithm",LN(0.001+IF(AND(ISNUMBER('Council Entry'!AP$8),ISNUMBER('Council Entry'!AP$9)),MAX(MIN('Council Entry'!AP14,'Council Entry'!AP$9),'Council Entry'!AP$8),'Council Entry'!AP14)),IF('Council Entry'!AP$4="Exponential",EXP(IF(AND(ISNUMBER('Council Entry'!AP$8),ISNUMBER('Council Entry'!AP$9)),MAX(MIN('Council Entry'!AP14,'Council Entry'!AP$9),'Council Entry'!AP$8),'Council Entry'!AP14)),IF(AND(ISNUMBER('Council Entry'!AP$8),ISNUMBER('Council Entry'!AP$9)),MAX(MIN('Council Entry'!AP14,'Council Entry'!AP$9),'Council Entry'!AP$8),'Council Entry'!AP14))))-'Council Entry'!AP$5)/('Council Entry'!AP$6-'Council Entry'!AP$5),10*((IF('Council Entry'!AP$4="Logarithm",LN(0.001+IF(AND(ISNUMBER('Council Entry'!AP$8),ISNUMBER('Council Entry'!AP$9)),MAX(MIN('Council Entry'!AP14,'Council Entry'!AP$9),'Council Entry'!AP$8),'Council Entry'!AP14)),IF('Council Entry'!AP$4="Exponential",EXP(IF(AND(ISNUMBER('Council Entry'!AP$8),ISNUMBER('Council Entry'!AP$9)),MAX(MIN('Council Entry'!AP14,'Council Entry'!AP$9),'Council Entry'!AP$8),'Council Entry'!AP14)),IF(AND(ISNUMBER('Council Entry'!AP$8),ISNUMBER('Council Entry'!AP$9)),MAX(MIN('Council Entry'!AP14,'Council Entry'!AP$9),'Council Entry'!AP$8),'Council Entry'!AP14))))-'Council Entry'!AP$5)/('Council Entry'!AP$6-'Council Entry'!AP$5)),1))),"No data"))</f>
        <v/>
      </c>
      <c r="AQ14" s="13">
        <f>IF('Council Entry'!AQ14="","",IFERROR(MAX(0,MIN(10,ROUND(IF('Council Entry'!AQ$7="Decrease Risk",10-10*((IF('Council Entry'!AQ$4="Logarithm",LN(0.001+IF(AND(ISNUMBER('Council Entry'!AQ$8),ISNUMBER('Council Entry'!AQ$9)),MAX(MIN('Council Entry'!AQ14,'Council Entry'!AQ$9),'Council Entry'!AQ$8),'Council Entry'!AQ14)),IF('Council Entry'!AQ$4="Exponential",EXP(IF(AND(ISNUMBER('Council Entry'!AQ$8),ISNUMBER('Council Entry'!AQ$9)),MAX(MIN('Council Entry'!AQ14,'Council Entry'!AQ$9),'Council Entry'!AQ$8),'Council Entry'!AQ14)),IF(AND(ISNUMBER('Council Entry'!AQ$8),ISNUMBER('Council Entry'!AQ$9)),MAX(MIN('Council Entry'!AQ14,'Council Entry'!AQ$9),'Council Entry'!AQ$8),'Council Entry'!AQ14))))-'Council Entry'!AQ$5)/('Council Entry'!AQ$6-'Council Entry'!AQ$5),10*((IF('Council Entry'!AQ$4="Logarithm",LN(0.001+IF(AND(ISNUMBER('Council Entry'!AQ$8),ISNUMBER('Council Entry'!AQ$9)),MAX(MIN('Council Entry'!AQ14,'Council Entry'!AQ$9),'Council Entry'!AQ$8),'Council Entry'!AQ14)),IF('Council Entry'!AQ$4="Exponential",EXP(IF(AND(ISNUMBER('Council Entry'!AQ$8),ISNUMBER('Council Entry'!AQ$9)),MAX(MIN('Council Entry'!AQ14,'Council Entry'!AQ$9),'Council Entry'!AQ$8),'Council Entry'!AQ14)),IF(AND(ISNUMBER('Council Entry'!AQ$8),ISNUMBER('Council Entry'!AQ$9)),MAX(MIN('Council Entry'!AQ14,'Council Entry'!AQ$9),'Council Entry'!AQ$8),'Council Entry'!AQ14))))-'Council Entry'!AQ$5)/('Council Entry'!AQ$6-'Council Entry'!AQ$5)),1))),"No data"))</f>
        <v/>
      </c>
      <c r="AR14" s="13">
        <f>IF('Council Entry'!AR14="","",IFERROR(MAX(0,MIN(10,ROUND(IF('Council Entry'!AR$7="Decrease Risk",10-10*((IF('Council Entry'!AR$4="Logarithm",LN(0.001+IF(AND(ISNUMBER('Council Entry'!AR$8),ISNUMBER('Council Entry'!AR$9)),MAX(MIN('Council Entry'!AR14,'Council Entry'!AR$9),'Council Entry'!AR$8),'Council Entry'!AR14)),IF('Council Entry'!AR$4="Exponential",EXP(IF(AND(ISNUMBER('Council Entry'!AR$8),ISNUMBER('Council Entry'!AR$9)),MAX(MIN('Council Entry'!AR14,'Council Entry'!AR$9),'Council Entry'!AR$8),'Council Entry'!AR14)),IF(AND(ISNUMBER('Council Entry'!AR$8),ISNUMBER('Council Entry'!AR$9)),MAX(MIN('Council Entry'!AR14,'Council Entry'!AR$9),'Council Entry'!AR$8),'Council Entry'!AR14))))-'Council Entry'!AR$5)/('Council Entry'!AR$6-'Council Entry'!AR$5),10*((IF('Council Entry'!AR$4="Logarithm",LN(0.001+IF(AND(ISNUMBER('Council Entry'!AR$8),ISNUMBER('Council Entry'!AR$9)),MAX(MIN('Council Entry'!AR14,'Council Entry'!AR$9),'Council Entry'!AR$8),'Council Entry'!AR14)),IF('Council Entry'!AR$4="Exponential",EXP(IF(AND(ISNUMBER('Council Entry'!AR$8),ISNUMBER('Council Entry'!AR$9)),MAX(MIN('Council Entry'!AR14,'Council Entry'!AR$9),'Council Entry'!AR$8),'Council Entry'!AR14)),IF(AND(ISNUMBER('Council Entry'!AR$8),ISNUMBER('Council Entry'!AR$9)),MAX(MIN('Council Entry'!AR14,'Council Entry'!AR$9),'Council Entry'!AR$8),'Council Entry'!AR14))))-'Council Entry'!AR$5)/('Council Entry'!AR$6-'Council Entry'!AR$5)),1))),"No data"))</f>
        <v/>
      </c>
      <c r="AS14" s="13">
        <f>IF('Council Entry'!AS14="","",IFERROR(MAX(0,MIN(10,ROUND(IF('Council Entry'!AS$7="Decrease Risk",10-10*((IF('Council Entry'!AS$4="Logarithm",LN(0.001+IF(AND(ISNUMBER('Council Entry'!AS$8),ISNUMBER('Council Entry'!AS$9)),MAX(MIN('Council Entry'!AS14,'Council Entry'!AS$9),'Council Entry'!AS$8),'Council Entry'!AS14)),IF('Council Entry'!AS$4="Exponential",EXP(IF(AND(ISNUMBER('Council Entry'!AS$8),ISNUMBER('Council Entry'!AS$9)),MAX(MIN('Council Entry'!AS14,'Council Entry'!AS$9),'Council Entry'!AS$8),'Council Entry'!AS14)),IF(AND(ISNUMBER('Council Entry'!AS$8),ISNUMBER('Council Entry'!AS$9)),MAX(MIN('Council Entry'!AS14,'Council Entry'!AS$9),'Council Entry'!AS$8),'Council Entry'!AS14))))-'Council Entry'!AS$5)/('Council Entry'!AS$6-'Council Entry'!AS$5),10*((IF('Council Entry'!AS$4="Logarithm",LN(0.001+IF(AND(ISNUMBER('Council Entry'!AS$8),ISNUMBER('Council Entry'!AS$9)),MAX(MIN('Council Entry'!AS14,'Council Entry'!AS$9),'Council Entry'!AS$8),'Council Entry'!AS14)),IF('Council Entry'!AS$4="Exponential",EXP(IF(AND(ISNUMBER('Council Entry'!AS$8),ISNUMBER('Council Entry'!AS$9)),MAX(MIN('Council Entry'!AS14,'Council Entry'!AS$9),'Council Entry'!AS$8),'Council Entry'!AS14)),IF(AND(ISNUMBER('Council Entry'!AS$8),ISNUMBER('Council Entry'!AS$9)),MAX(MIN('Council Entry'!AS14,'Council Entry'!AS$9),'Council Entry'!AS$8),'Council Entry'!AS14))))-'Council Entry'!AS$5)/('Council Entry'!AS$6-'Council Entry'!AS$5)),1))),"No data"))</f>
        <v/>
      </c>
      <c r="AT14" s="13">
        <f>IF('Council Entry'!AT14="","",IFERROR(MAX(0,MIN(10,ROUND(IF('Council Entry'!AT$7="Decrease Risk",10-10*((IF('Council Entry'!AT$4="Logarithm",LN(0.001+IF(AND(ISNUMBER('Council Entry'!AT$8),ISNUMBER('Council Entry'!AT$9)),MAX(MIN('Council Entry'!AT14,'Council Entry'!AT$9),'Council Entry'!AT$8),'Council Entry'!AT14)),IF('Council Entry'!AT$4="Exponential",EXP(IF(AND(ISNUMBER('Council Entry'!AT$8),ISNUMBER('Council Entry'!AT$9)),MAX(MIN('Council Entry'!AT14,'Council Entry'!AT$9),'Council Entry'!AT$8),'Council Entry'!AT14)),IF(AND(ISNUMBER('Council Entry'!AT$8),ISNUMBER('Council Entry'!AT$9)),MAX(MIN('Council Entry'!AT14,'Council Entry'!AT$9),'Council Entry'!AT$8),'Council Entry'!AT14))))-'Council Entry'!AT$5)/('Council Entry'!AT$6-'Council Entry'!AT$5),10*((IF('Council Entry'!AT$4="Logarithm",LN(0.001+IF(AND(ISNUMBER('Council Entry'!AT$8),ISNUMBER('Council Entry'!AT$9)),MAX(MIN('Council Entry'!AT14,'Council Entry'!AT$9),'Council Entry'!AT$8),'Council Entry'!AT14)),IF('Council Entry'!AT$4="Exponential",EXP(IF(AND(ISNUMBER('Council Entry'!AT$8),ISNUMBER('Council Entry'!AT$9)),MAX(MIN('Council Entry'!AT14,'Council Entry'!AT$9),'Council Entry'!AT$8),'Council Entry'!AT14)),IF(AND(ISNUMBER('Council Entry'!AT$8),ISNUMBER('Council Entry'!AT$9)),MAX(MIN('Council Entry'!AT14,'Council Entry'!AT$9),'Council Entry'!AT$8),'Council Entry'!AT14))))-'Council Entry'!AT$5)/('Council Entry'!AT$6-'Council Entry'!AT$5)),1))),"No data"))</f>
        <v/>
      </c>
      <c r="AU14" s="13">
        <f>IF('Council Entry'!AU14="","",IFERROR(MAX(0,MIN(10,ROUND(IF('Council Entry'!AU$7="Decrease Risk",10-10*((IF('Council Entry'!AU$4="Logarithm",LN(0.001+IF(AND(ISNUMBER('Council Entry'!AU$8),ISNUMBER('Council Entry'!AU$9)),MAX(MIN('Council Entry'!AU14,'Council Entry'!AU$9),'Council Entry'!AU$8),'Council Entry'!AU14)),IF('Council Entry'!AU$4="Exponential",EXP(IF(AND(ISNUMBER('Council Entry'!AU$8),ISNUMBER('Council Entry'!AU$9)),MAX(MIN('Council Entry'!AU14,'Council Entry'!AU$9),'Council Entry'!AU$8),'Council Entry'!AU14)),IF(AND(ISNUMBER('Council Entry'!AU$8),ISNUMBER('Council Entry'!AU$9)),MAX(MIN('Council Entry'!AU14,'Council Entry'!AU$9),'Council Entry'!AU$8),'Council Entry'!AU14))))-'Council Entry'!AU$5)/('Council Entry'!AU$6-'Council Entry'!AU$5),10*((IF('Council Entry'!AU$4="Logarithm",LN(0.001+IF(AND(ISNUMBER('Council Entry'!AU$8),ISNUMBER('Council Entry'!AU$9)),MAX(MIN('Council Entry'!AU14,'Council Entry'!AU$9),'Council Entry'!AU$8),'Council Entry'!AU14)),IF('Council Entry'!AU$4="Exponential",EXP(IF(AND(ISNUMBER('Council Entry'!AU$8),ISNUMBER('Council Entry'!AU$9)),MAX(MIN('Council Entry'!AU14,'Council Entry'!AU$9),'Council Entry'!AU$8),'Council Entry'!AU14)),IF(AND(ISNUMBER('Council Entry'!AU$8),ISNUMBER('Council Entry'!AU$9)),MAX(MIN('Council Entry'!AU14,'Council Entry'!AU$9),'Council Entry'!AU$8),'Council Entry'!AU14))))-'Council Entry'!AU$5)/('Council Entry'!AU$6-'Council Entry'!AU$5)),1))),"No data"))</f>
        <v/>
      </c>
      <c r="AV14" s="13">
        <f>IF('Council Entry'!AV14="","",IFERROR(MAX(0,MIN(10,ROUND(IF('Council Entry'!AV$7="Decrease Risk",10-10*((IF('Council Entry'!AV$4="Logarithm",LN(0.001+IF(AND(ISNUMBER('Council Entry'!AV$8),ISNUMBER('Council Entry'!AV$9)),MAX(MIN('Council Entry'!AV14,'Council Entry'!AV$9),'Council Entry'!AV$8),'Council Entry'!AV14)),IF('Council Entry'!AV$4="Exponential",EXP(IF(AND(ISNUMBER('Council Entry'!AV$8),ISNUMBER('Council Entry'!AV$9)),MAX(MIN('Council Entry'!AV14,'Council Entry'!AV$9),'Council Entry'!AV$8),'Council Entry'!AV14)),IF(AND(ISNUMBER('Council Entry'!AV$8),ISNUMBER('Council Entry'!AV$9)),MAX(MIN('Council Entry'!AV14,'Council Entry'!AV$9),'Council Entry'!AV$8),'Council Entry'!AV14))))-'Council Entry'!AV$5)/('Council Entry'!AV$6-'Council Entry'!AV$5),10*((IF('Council Entry'!AV$4="Logarithm",LN(0.001+IF(AND(ISNUMBER('Council Entry'!AV$8),ISNUMBER('Council Entry'!AV$9)),MAX(MIN('Council Entry'!AV14,'Council Entry'!AV$9),'Council Entry'!AV$8),'Council Entry'!AV14)),IF('Council Entry'!AV$4="Exponential",EXP(IF(AND(ISNUMBER('Council Entry'!AV$8),ISNUMBER('Council Entry'!AV$9)),MAX(MIN('Council Entry'!AV14,'Council Entry'!AV$9),'Council Entry'!AV$8),'Council Entry'!AV14)),IF(AND(ISNUMBER('Council Entry'!AV$8),ISNUMBER('Council Entry'!AV$9)),MAX(MIN('Council Entry'!AV14,'Council Entry'!AV$9),'Council Entry'!AV$8),'Council Entry'!AV14))))-'Council Entry'!AV$5)/('Council Entry'!AV$6-'Council Entry'!AV$5)),1))),"No data"))</f>
        <v/>
      </c>
      <c r="AW14" s="13">
        <f>IF('Council Entry'!AW14="","",IFERROR(MAX(0,MIN(10,ROUND(IF('Council Entry'!AW$7="Decrease Risk",10-10*((IF('Council Entry'!AW$4="Logarithm",LN(0.001+IF(AND(ISNUMBER('Council Entry'!AW$8),ISNUMBER('Council Entry'!AW$9)),MAX(MIN('Council Entry'!AW14,'Council Entry'!AW$9),'Council Entry'!AW$8),'Council Entry'!AW14)),IF('Council Entry'!AW$4="Exponential",EXP(IF(AND(ISNUMBER('Council Entry'!AW$8),ISNUMBER('Council Entry'!AW$9)),MAX(MIN('Council Entry'!AW14,'Council Entry'!AW$9),'Council Entry'!AW$8),'Council Entry'!AW14)),IF(AND(ISNUMBER('Council Entry'!AW$8),ISNUMBER('Council Entry'!AW$9)),MAX(MIN('Council Entry'!AW14,'Council Entry'!AW$9),'Council Entry'!AW$8),'Council Entry'!AW14))))-'Council Entry'!AW$5)/('Council Entry'!AW$6-'Council Entry'!AW$5),10*((IF('Council Entry'!AW$4="Logarithm",LN(0.001+IF(AND(ISNUMBER('Council Entry'!AW$8),ISNUMBER('Council Entry'!AW$9)),MAX(MIN('Council Entry'!AW14,'Council Entry'!AW$9),'Council Entry'!AW$8),'Council Entry'!AW14)),IF('Council Entry'!AW$4="Exponential",EXP(IF(AND(ISNUMBER('Council Entry'!AW$8),ISNUMBER('Council Entry'!AW$9)),MAX(MIN('Council Entry'!AW14,'Council Entry'!AW$9),'Council Entry'!AW$8),'Council Entry'!AW14)),IF(AND(ISNUMBER('Council Entry'!AW$8),ISNUMBER('Council Entry'!AW$9)),MAX(MIN('Council Entry'!AW14,'Council Entry'!AW$9),'Council Entry'!AW$8),'Council Entry'!AW14))))-'Council Entry'!AW$5)/('Council Entry'!AW$6-'Council Entry'!AW$5)),1))),"No data"))</f>
        <v/>
      </c>
      <c r="AX14" s="13">
        <f>IF('Council Entry'!AX14="","",IFERROR(MAX(0,MIN(10,ROUND(IF('Council Entry'!AX$7="Decrease Risk",10-10*((IF('Council Entry'!AX$4="Logarithm",LN(0.001+IF(AND(ISNUMBER('Council Entry'!AX$8),ISNUMBER('Council Entry'!AX$9)),MAX(MIN('Council Entry'!AX14,'Council Entry'!AX$9),'Council Entry'!AX$8),'Council Entry'!AX14)),IF('Council Entry'!AX$4="Exponential",EXP(IF(AND(ISNUMBER('Council Entry'!AX$8),ISNUMBER('Council Entry'!AX$9)),MAX(MIN('Council Entry'!AX14,'Council Entry'!AX$9),'Council Entry'!AX$8),'Council Entry'!AX14)),IF(AND(ISNUMBER('Council Entry'!AX$8),ISNUMBER('Council Entry'!AX$9)),MAX(MIN('Council Entry'!AX14,'Council Entry'!AX$9),'Council Entry'!AX$8),'Council Entry'!AX14))))-'Council Entry'!AX$5)/('Council Entry'!AX$6-'Council Entry'!AX$5),10*((IF('Council Entry'!AX$4="Logarithm",LN(0.001+IF(AND(ISNUMBER('Council Entry'!AX$8),ISNUMBER('Council Entry'!AX$9)),MAX(MIN('Council Entry'!AX14,'Council Entry'!AX$9),'Council Entry'!AX$8),'Council Entry'!AX14)),IF('Council Entry'!AX$4="Exponential",EXP(IF(AND(ISNUMBER('Council Entry'!AX$8),ISNUMBER('Council Entry'!AX$9)),MAX(MIN('Council Entry'!AX14,'Council Entry'!AX$9),'Council Entry'!AX$8),'Council Entry'!AX14)),IF(AND(ISNUMBER('Council Entry'!AX$8),ISNUMBER('Council Entry'!AX$9)),MAX(MIN('Council Entry'!AX14,'Council Entry'!AX$9),'Council Entry'!AX$8),'Council Entry'!AX14))))-'Council Entry'!AX$5)/('Council Entry'!AX$6-'Council Entry'!AX$5)),1))),"No data"))</f>
        <v/>
      </c>
      <c r="AY14" s="13">
        <f>IF('Council Entry'!AY14="","",IFERROR(MAX(0,MIN(10,ROUND(IF('Council Entry'!AY$7="Decrease Risk",10-10*((IF('Council Entry'!AY$4="Logarithm",LN(0.001+IF(AND(ISNUMBER('Council Entry'!AY$8),ISNUMBER('Council Entry'!AY$9)),MAX(MIN('Council Entry'!AY14,'Council Entry'!AY$9),'Council Entry'!AY$8),'Council Entry'!AY14)),IF('Council Entry'!AY$4="Exponential",EXP(IF(AND(ISNUMBER('Council Entry'!AY$8),ISNUMBER('Council Entry'!AY$9)),MAX(MIN('Council Entry'!AY14,'Council Entry'!AY$9),'Council Entry'!AY$8),'Council Entry'!AY14)),IF(AND(ISNUMBER('Council Entry'!AY$8),ISNUMBER('Council Entry'!AY$9)),MAX(MIN('Council Entry'!AY14,'Council Entry'!AY$9),'Council Entry'!AY$8),'Council Entry'!AY14))))-'Council Entry'!AY$5)/('Council Entry'!AY$6-'Council Entry'!AY$5),10*((IF('Council Entry'!AY$4="Logarithm",LN(0.001+IF(AND(ISNUMBER('Council Entry'!AY$8),ISNUMBER('Council Entry'!AY$9)),MAX(MIN('Council Entry'!AY14,'Council Entry'!AY$9),'Council Entry'!AY$8),'Council Entry'!AY14)),IF('Council Entry'!AY$4="Exponential",EXP(IF(AND(ISNUMBER('Council Entry'!AY$8),ISNUMBER('Council Entry'!AY$9)),MAX(MIN('Council Entry'!AY14,'Council Entry'!AY$9),'Council Entry'!AY$8),'Council Entry'!AY14)),IF(AND(ISNUMBER('Council Entry'!AY$8),ISNUMBER('Council Entry'!AY$9)),MAX(MIN('Council Entry'!AY14,'Council Entry'!AY$9),'Council Entry'!AY$8),'Council Entry'!AY14))))-'Council Entry'!AY$5)/('Council Entry'!AY$6-'Council Entry'!AY$5)),1))),"No data"))</f>
        <v/>
      </c>
      <c r="AZ14" s="13">
        <f>IF('Council Entry'!AZ14="","",IFERROR(MAX(0,MIN(10,ROUND(IF('Council Entry'!AZ$7="Decrease Risk",10-10*((IF('Council Entry'!AZ$4="Logarithm",LN(0.001+IF(AND(ISNUMBER('Council Entry'!AZ$8),ISNUMBER('Council Entry'!AZ$9)),MAX(MIN('Council Entry'!AZ14,'Council Entry'!AZ$9),'Council Entry'!AZ$8),'Council Entry'!AZ14)),IF('Council Entry'!AZ$4="Exponential",EXP(IF(AND(ISNUMBER('Council Entry'!AZ$8),ISNUMBER('Council Entry'!AZ$9)),MAX(MIN('Council Entry'!AZ14,'Council Entry'!AZ$9),'Council Entry'!AZ$8),'Council Entry'!AZ14)),IF(AND(ISNUMBER('Council Entry'!AZ$8),ISNUMBER('Council Entry'!AZ$9)),MAX(MIN('Council Entry'!AZ14,'Council Entry'!AZ$9),'Council Entry'!AZ$8),'Council Entry'!AZ14))))-'Council Entry'!AZ$5)/('Council Entry'!AZ$6-'Council Entry'!AZ$5),10*((IF('Council Entry'!AZ$4="Logarithm",LN(0.001+IF(AND(ISNUMBER('Council Entry'!AZ$8),ISNUMBER('Council Entry'!AZ$9)),MAX(MIN('Council Entry'!AZ14,'Council Entry'!AZ$9),'Council Entry'!AZ$8),'Council Entry'!AZ14)),IF('Council Entry'!AZ$4="Exponential",EXP(IF(AND(ISNUMBER('Council Entry'!AZ$8),ISNUMBER('Council Entry'!AZ$9)),MAX(MIN('Council Entry'!AZ14,'Council Entry'!AZ$9),'Council Entry'!AZ$8),'Council Entry'!AZ14)),IF(AND(ISNUMBER('Council Entry'!AZ$8),ISNUMBER('Council Entry'!AZ$9)),MAX(MIN('Council Entry'!AZ14,'Council Entry'!AZ$9),'Council Entry'!AZ$8),'Council Entry'!AZ14))))-'Council Entry'!AZ$5)/('Council Entry'!AZ$6-'Council Entry'!AZ$5)),1))),"No data"))</f>
        <v/>
      </c>
      <c r="BA14" s="13">
        <f>IF('Council Entry'!BA14="","",IFERROR(MAX(0,MIN(10,ROUND(IF('Council Entry'!BA$7="Decrease Risk",10-10*((IF('Council Entry'!BA$4="Logarithm",LN(0.001+IF(AND(ISNUMBER('Council Entry'!BA$8),ISNUMBER('Council Entry'!BA$9)),MAX(MIN('Council Entry'!BA14,'Council Entry'!BA$9),'Council Entry'!BA$8),'Council Entry'!BA14)),IF('Council Entry'!BA$4="Exponential",EXP(IF(AND(ISNUMBER('Council Entry'!BA$8),ISNUMBER('Council Entry'!BA$9)),MAX(MIN('Council Entry'!BA14,'Council Entry'!BA$9),'Council Entry'!BA$8),'Council Entry'!BA14)),IF(AND(ISNUMBER('Council Entry'!BA$8),ISNUMBER('Council Entry'!BA$9)),MAX(MIN('Council Entry'!BA14,'Council Entry'!BA$9),'Council Entry'!BA$8),'Council Entry'!BA14))))-'Council Entry'!BA$5)/('Council Entry'!BA$6-'Council Entry'!BA$5),10*((IF('Council Entry'!BA$4="Logarithm",LN(0.001+IF(AND(ISNUMBER('Council Entry'!BA$8),ISNUMBER('Council Entry'!BA$9)),MAX(MIN('Council Entry'!BA14,'Council Entry'!BA$9),'Council Entry'!BA$8),'Council Entry'!BA14)),IF('Council Entry'!BA$4="Exponential",EXP(IF(AND(ISNUMBER('Council Entry'!BA$8),ISNUMBER('Council Entry'!BA$9)),MAX(MIN('Council Entry'!BA14,'Council Entry'!BA$9),'Council Entry'!BA$8),'Council Entry'!BA14)),IF(AND(ISNUMBER('Council Entry'!BA$8),ISNUMBER('Council Entry'!BA$9)),MAX(MIN('Council Entry'!BA14,'Council Entry'!BA$9),'Council Entry'!BA$8),'Council Entry'!BA14))))-'Council Entry'!BA$5)/('Council Entry'!BA$6-'Council Entry'!BA$5)),1))),"No data"))</f>
        <v/>
      </c>
      <c r="BB14" s="13">
        <f>IF('Council Entry'!BB14="","",IFERROR(MAX(0,MIN(10,ROUND(IF('Council Entry'!BB$7="Decrease Risk",10-10*((IF('Council Entry'!BB$4="Logarithm",LN(0.001+IF(AND(ISNUMBER('Council Entry'!BB$8),ISNUMBER('Council Entry'!BB$9)),MAX(MIN('Council Entry'!BB14,'Council Entry'!BB$9),'Council Entry'!BB$8),'Council Entry'!BB14)),IF('Council Entry'!BB$4="Exponential",EXP(IF(AND(ISNUMBER('Council Entry'!BB$8),ISNUMBER('Council Entry'!BB$9)),MAX(MIN('Council Entry'!BB14,'Council Entry'!BB$9),'Council Entry'!BB$8),'Council Entry'!BB14)),IF(AND(ISNUMBER('Council Entry'!BB$8),ISNUMBER('Council Entry'!BB$9)),MAX(MIN('Council Entry'!BB14,'Council Entry'!BB$9),'Council Entry'!BB$8),'Council Entry'!BB14))))-'Council Entry'!BB$5)/('Council Entry'!BB$6-'Council Entry'!BB$5),10*((IF('Council Entry'!BB$4="Logarithm",LN(0.001+IF(AND(ISNUMBER('Council Entry'!BB$8),ISNUMBER('Council Entry'!BB$9)),MAX(MIN('Council Entry'!BB14,'Council Entry'!BB$9),'Council Entry'!BB$8),'Council Entry'!BB14)),IF('Council Entry'!BB$4="Exponential",EXP(IF(AND(ISNUMBER('Council Entry'!BB$8),ISNUMBER('Council Entry'!BB$9)),MAX(MIN('Council Entry'!BB14,'Council Entry'!BB$9),'Council Entry'!BB$8),'Council Entry'!BB14)),IF(AND(ISNUMBER('Council Entry'!BB$8),ISNUMBER('Council Entry'!BB$9)),MAX(MIN('Council Entry'!BB14,'Council Entry'!BB$9),'Council Entry'!BB$8),'Council Entry'!BB14))))-'Council Entry'!BB$5)/('Council Entry'!BB$6-'Council Entry'!BB$5)),1))),"No data"))</f>
        <v/>
      </c>
      <c r="BC14" s="13">
        <f>IF('Council Entry'!BC14="","",IFERROR(MAX(0,MIN(10,ROUND(IF('Council Entry'!BC$7="Decrease Risk",10-10*((IF('Council Entry'!BC$4="Logarithm",LN(0.001+IF(AND(ISNUMBER('Council Entry'!BC$8),ISNUMBER('Council Entry'!BC$9)),MAX(MIN('Council Entry'!BC14,'Council Entry'!BC$9),'Council Entry'!BC$8),'Council Entry'!BC14)),IF('Council Entry'!BC$4="Exponential",EXP(IF(AND(ISNUMBER('Council Entry'!BC$8),ISNUMBER('Council Entry'!BC$9)),MAX(MIN('Council Entry'!BC14,'Council Entry'!BC$9),'Council Entry'!BC$8),'Council Entry'!BC14)),IF(AND(ISNUMBER('Council Entry'!BC$8),ISNUMBER('Council Entry'!BC$9)),MAX(MIN('Council Entry'!BC14,'Council Entry'!BC$9),'Council Entry'!BC$8),'Council Entry'!BC14))))-'Council Entry'!BC$5)/('Council Entry'!BC$6-'Council Entry'!BC$5),10*((IF('Council Entry'!BC$4="Logarithm",LN(0.001+IF(AND(ISNUMBER('Council Entry'!BC$8),ISNUMBER('Council Entry'!BC$9)),MAX(MIN('Council Entry'!BC14,'Council Entry'!BC$9),'Council Entry'!BC$8),'Council Entry'!BC14)),IF('Council Entry'!BC$4="Exponential",EXP(IF(AND(ISNUMBER('Council Entry'!BC$8),ISNUMBER('Council Entry'!BC$9)),MAX(MIN('Council Entry'!BC14,'Council Entry'!BC$9),'Council Entry'!BC$8),'Council Entry'!BC14)),IF(AND(ISNUMBER('Council Entry'!BC$8),ISNUMBER('Council Entry'!BC$9)),MAX(MIN('Council Entry'!BC14,'Council Entry'!BC$9),'Council Entry'!BC$8),'Council Entry'!BC14))))-'Council Entry'!BC$5)/('Council Entry'!BC$6-'Council Entry'!BC$5)),1))),"No data"))</f>
        <v/>
      </c>
      <c r="BD14" s="13">
        <f>IF('Council Entry'!BD14="","",IFERROR(MAX(0,MIN(10,ROUND(IF('Council Entry'!BD$7="Decrease Risk",10-10*((IF('Council Entry'!BD$4="Logarithm",LN(0.001+IF(AND(ISNUMBER('Council Entry'!BD$8),ISNUMBER('Council Entry'!BD$9)),MAX(MIN('Council Entry'!BD14,'Council Entry'!BD$9),'Council Entry'!BD$8),'Council Entry'!BD14)),IF('Council Entry'!BD$4="Exponential",EXP(IF(AND(ISNUMBER('Council Entry'!BD$8),ISNUMBER('Council Entry'!BD$9)),MAX(MIN('Council Entry'!BD14,'Council Entry'!BD$9),'Council Entry'!BD$8),'Council Entry'!BD14)),IF(AND(ISNUMBER('Council Entry'!BD$8),ISNUMBER('Council Entry'!BD$9)),MAX(MIN('Council Entry'!BD14,'Council Entry'!BD$9),'Council Entry'!BD$8),'Council Entry'!BD14))))-'Council Entry'!BD$5)/('Council Entry'!BD$6-'Council Entry'!BD$5),10*((IF('Council Entry'!BD$4="Logarithm",LN(0.001+IF(AND(ISNUMBER('Council Entry'!BD$8),ISNUMBER('Council Entry'!BD$9)),MAX(MIN('Council Entry'!BD14,'Council Entry'!BD$9),'Council Entry'!BD$8),'Council Entry'!BD14)),IF('Council Entry'!BD$4="Exponential",EXP(IF(AND(ISNUMBER('Council Entry'!BD$8),ISNUMBER('Council Entry'!BD$9)),MAX(MIN('Council Entry'!BD14,'Council Entry'!BD$9),'Council Entry'!BD$8),'Council Entry'!BD14)),IF(AND(ISNUMBER('Council Entry'!BD$8),ISNUMBER('Council Entry'!BD$9)),MAX(MIN('Council Entry'!BD14,'Council Entry'!BD$9),'Council Entry'!BD$8),'Council Entry'!BD14))))-'Council Entry'!BD$5)/('Council Entry'!BD$6-'Council Entry'!BD$5)),1))),"No data"))</f>
        <v/>
      </c>
    </row>
    <row r="15">
      <c r="A15" t="inlineStr">
        <is>
          <t>Arusha</t>
        </is>
      </c>
      <c r="B15" t="inlineStr">
        <is>
          <t>Meru District</t>
        </is>
      </c>
      <c r="C15" t="inlineStr">
        <is>
          <t>C010</t>
        </is>
      </c>
      <c r="D15" s="13">
        <f>IF('Council Entry'!D15="","",IFERROR(MAX(0,MIN(10,ROUND(IF('Council Entry'!D$7="Decrease Risk",10-10*((IF('Council Entry'!D$4="Logarithm",LN(0.001+IF(AND(ISNUMBER('Council Entry'!D$8),ISNUMBER('Council Entry'!D$9)),MAX(MIN('Council Entry'!D15,'Council Entry'!D$9),'Council Entry'!D$8),'Council Entry'!D15)),IF('Council Entry'!D$4="Exponential",EXP(IF(AND(ISNUMBER('Council Entry'!D$8),ISNUMBER('Council Entry'!D$9)),MAX(MIN('Council Entry'!D15,'Council Entry'!D$9),'Council Entry'!D$8),'Council Entry'!D15)),IF(AND(ISNUMBER('Council Entry'!D$8),ISNUMBER('Council Entry'!D$9)),MAX(MIN('Council Entry'!D15,'Council Entry'!D$9),'Council Entry'!D$8),'Council Entry'!D15))))-'Council Entry'!D$5)/('Council Entry'!D$6-'Council Entry'!D$5),10*((IF('Council Entry'!D$4="Logarithm",LN(0.001+IF(AND(ISNUMBER('Council Entry'!D$8),ISNUMBER('Council Entry'!D$9)),MAX(MIN('Council Entry'!D15,'Council Entry'!D$9),'Council Entry'!D$8),'Council Entry'!D15)),IF('Council Entry'!D$4="Exponential",EXP(IF(AND(ISNUMBER('Council Entry'!D$8),ISNUMBER('Council Entry'!D$9)),MAX(MIN('Council Entry'!D15,'Council Entry'!D$9),'Council Entry'!D$8),'Council Entry'!D15)),IF(AND(ISNUMBER('Council Entry'!D$8),ISNUMBER('Council Entry'!D$9)),MAX(MIN('Council Entry'!D15,'Council Entry'!D$9),'Council Entry'!D$8),'Council Entry'!D15))))-'Council Entry'!D$5)/('Council Entry'!D$6-'Council Entry'!D$5)),1))),"No data"))</f>
        <v/>
      </c>
      <c r="E15" s="13">
        <f>IF('Council Entry'!E15="","",IFERROR(MAX(0,MIN(10,ROUND(IF('Council Entry'!E$7="Decrease Risk",10-10*((IF('Council Entry'!E$4="Logarithm",LN(0.001+IF(AND(ISNUMBER('Council Entry'!E$8),ISNUMBER('Council Entry'!E$9)),MAX(MIN('Council Entry'!E15,'Council Entry'!E$9),'Council Entry'!E$8),'Council Entry'!E15)),IF('Council Entry'!E$4="Exponential",EXP(IF(AND(ISNUMBER('Council Entry'!E$8),ISNUMBER('Council Entry'!E$9)),MAX(MIN('Council Entry'!E15,'Council Entry'!E$9),'Council Entry'!E$8),'Council Entry'!E15)),IF(AND(ISNUMBER('Council Entry'!E$8),ISNUMBER('Council Entry'!E$9)),MAX(MIN('Council Entry'!E15,'Council Entry'!E$9),'Council Entry'!E$8),'Council Entry'!E15))))-'Council Entry'!E$5)/('Council Entry'!E$6-'Council Entry'!E$5),10*((IF('Council Entry'!E$4="Logarithm",LN(0.001+IF(AND(ISNUMBER('Council Entry'!E$8),ISNUMBER('Council Entry'!E$9)),MAX(MIN('Council Entry'!E15,'Council Entry'!E$9),'Council Entry'!E$8),'Council Entry'!E15)),IF('Council Entry'!E$4="Exponential",EXP(IF(AND(ISNUMBER('Council Entry'!E$8),ISNUMBER('Council Entry'!E$9)),MAX(MIN('Council Entry'!E15,'Council Entry'!E$9),'Council Entry'!E$8),'Council Entry'!E15)),IF(AND(ISNUMBER('Council Entry'!E$8),ISNUMBER('Council Entry'!E$9)),MAX(MIN('Council Entry'!E15,'Council Entry'!E$9),'Council Entry'!E$8),'Council Entry'!E15))))-'Council Entry'!E$5)/('Council Entry'!E$6-'Council Entry'!E$5)),1))),"No data"))</f>
        <v/>
      </c>
      <c r="F15" s="13">
        <f>IF('Council Entry'!F15="","",IFERROR(MAX(0,MIN(10,ROUND(IF('Council Entry'!F$7="Decrease Risk",10-10*((IF('Council Entry'!F$4="Logarithm",LN(0.001+IF(AND(ISNUMBER('Council Entry'!F$8),ISNUMBER('Council Entry'!F$9)),MAX(MIN('Council Entry'!F15,'Council Entry'!F$9),'Council Entry'!F$8),'Council Entry'!F15)),IF('Council Entry'!F$4="Exponential",EXP(IF(AND(ISNUMBER('Council Entry'!F$8),ISNUMBER('Council Entry'!F$9)),MAX(MIN('Council Entry'!F15,'Council Entry'!F$9),'Council Entry'!F$8),'Council Entry'!F15)),IF(AND(ISNUMBER('Council Entry'!F$8),ISNUMBER('Council Entry'!F$9)),MAX(MIN('Council Entry'!F15,'Council Entry'!F$9),'Council Entry'!F$8),'Council Entry'!F15))))-'Council Entry'!F$5)/('Council Entry'!F$6-'Council Entry'!F$5),10*((IF('Council Entry'!F$4="Logarithm",LN(0.001+IF(AND(ISNUMBER('Council Entry'!F$8),ISNUMBER('Council Entry'!F$9)),MAX(MIN('Council Entry'!F15,'Council Entry'!F$9),'Council Entry'!F$8),'Council Entry'!F15)),IF('Council Entry'!F$4="Exponential",EXP(IF(AND(ISNUMBER('Council Entry'!F$8),ISNUMBER('Council Entry'!F$9)),MAX(MIN('Council Entry'!F15,'Council Entry'!F$9),'Council Entry'!F$8),'Council Entry'!F15)),IF(AND(ISNUMBER('Council Entry'!F$8),ISNUMBER('Council Entry'!F$9)),MAX(MIN('Council Entry'!F15,'Council Entry'!F$9),'Council Entry'!F$8),'Council Entry'!F15))))-'Council Entry'!F$5)/('Council Entry'!F$6-'Council Entry'!F$5)),1))),"No data"))</f>
        <v/>
      </c>
      <c r="G15" s="13">
        <f>IF('Council Entry'!G15="","",IFERROR(MAX(0,MIN(10,ROUND(IF('Council Entry'!G$7="Decrease Risk",10-10*((IF('Council Entry'!G$4="Logarithm",LN(0.001+IF(AND(ISNUMBER('Council Entry'!G$8),ISNUMBER('Council Entry'!G$9)),MAX(MIN('Council Entry'!G15,'Council Entry'!G$9),'Council Entry'!G$8),'Council Entry'!G15)),IF('Council Entry'!G$4="Exponential",EXP(IF(AND(ISNUMBER('Council Entry'!G$8),ISNUMBER('Council Entry'!G$9)),MAX(MIN('Council Entry'!G15,'Council Entry'!G$9),'Council Entry'!G$8),'Council Entry'!G15)),IF(AND(ISNUMBER('Council Entry'!G$8),ISNUMBER('Council Entry'!G$9)),MAX(MIN('Council Entry'!G15,'Council Entry'!G$9),'Council Entry'!G$8),'Council Entry'!G15))))-'Council Entry'!G$5)/('Council Entry'!G$6-'Council Entry'!G$5),10*((IF('Council Entry'!G$4="Logarithm",LN(0.001+IF(AND(ISNUMBER('Council Entry'!G$8),ISNUMBER('Council Entry'!G$9)),MAX(MIN('Council Entry'!G15,'Council Entry'!G$9),'Council Entry'!G$8),'Council Entry'!G15)),IF('Council Entry'!G$4="Exponential",EXP(IF(AND(ISNUMBER('Council Entry'!G$8),ISNUMBER('Council Entry'!G$9)),MAX(MIN('Council Entry'!G15,'Council Entry'!G$9),'Council Entry'!G$8),'Council Entry'!G15)),IF(AND(ISNUMBER('Council Entry'!G$8),ISNUMBER('Council Entry'!G$9)),MAX(MIN('Council Entry'!G15,'Council Entry'!G$9),'Council Entry'!G$8),'Council Entry'!G15))))-'Council Entry'!G$5)/('Council Entry'!G$6-'Council Entry'!G$5)),1))),"No data"))</f>
        <v/>
      </c>
      <c r="H15" s="13">
        <f>IF('Council Entry'!H15="","",IFERROR(MAX(0,MIN(10,ROUND(IF('Council Entry'!H$7="Decrease Risk",10-10*((IF('Council Entry'!H$4="Logarithm",LN(0.001+IF(AND(ISNUMBER('Council Entry'!H$8),ISNUMBER('Council Entry'!H$9)),MAX(MIN('Council Entry'!H15,'Council Entry'!H$9),'Council Entry'!H$8),'Council Entry'!H15)),IF('Council Entry'!H$4="Exponential",EXP(IF(AND(ISNUMBER('Council Entry'!H$8),ISNUMBER('Council Entry'!H$9)),MAX(MIN('Council Entry'!H15,'Council Entry'!H$9),'Council Entry'!H$8),'Council Entry'!H15)),IF(AND(ISNUMBER('Council Entry'!H$8),ISNUMBER('Council Entry'!H$9)),MAX(MIN('Council Entry'!H15,'Council Entry'!H$9),'Council Entry'!H$8),'Council Entry'!H15))))-'Council Entry'!H$5)/('Council Entry'!H$6-'Council Entry'!H$5),10*((IF('Council Entry'!H$4="Logarithm",LN(0.001+IF(AND(ISNUMBER('Council Entry'!H$8),ISNUMBER('Council Entry'!H$9)),MAX(MIN('Council Entry'!H15,'Council Entry'!H$9),'Council Entry'!H$8),'Council Entry'!H15)),IF('Council Entry'!H$4="Exponential",EXP(IF(AND(ISNUMBER('Council Entry'!H$8),ISNUMBER('Council Entry'!H$9)),MAX(MIN('Council Entry'!H15,'Council Entry'!H$9),'Council Entry'!H$8),'Council Entry'!H15)),IF(AND(ISNUMBER('Council Entry'!H$8),ISNUMBER('Council Entry'!H$9)),MAX(MIN('Council Entry'!H15,'Council Entry'!H$9),'Council Entry'!H$8),'Council Entry'!H15))))-'Council Entry'!H$5)/('Council Entry'!H$6-'Council Entry'!H$5)),1))),"No data"))</f>
        <v/>
      </c>
      <c r="I15" s="13">
        <f>IF('Council Entry'!I15="","",IFERROR(MAX(0,MIN(10,ROUND(IF('Council Entry'!I$7="Decrease Risk",10-10*((IF('Council Entry'!I$4="Logarithm",LN(0.001+IF(AND(ISNUMBER('Council Entry'!I$8),ISNUMBER('Council Entry'!I$9)),MAX(MIN('Council Entry'!I15,'Council Entry'!I$9),'Council Entry'!I$8),'Council Entry'!I15)),IF('Council Entry'!I$4="Exponential",EXP(IF(AND(ISNUMBER('Council Entry'!I$8),ISNUMBER('Council Entry'!I$9)),MAX(MIN('Council Entry'!I15,'Council Entry'!I$9),'Council Entry'!I$8),'Council Entry'!I15)),IF(AND(ISNUMBER('Council Entry'!I$8),ISNUMBER('Council Entry'!I$9)),MAX(MIN('Council Entry'!I15,'Council Entry'!I$9),'Council Entry'!I$8),'Council Entry'!I15))))-'Council Entry'!I$5)/('Council Entry'!I$6-'Council Entry'!I$5),10*((IF('Council Entry'!I$4="Logarithm",LN(0.001+IF(AND(ISNUMBER('Council Entry'!I$8),ISNUMBER('Council Entry'!I$9)),MAX(MIN('Council Entry'!I15,'Council Entry'!I$9),'Council Entry'!I$8),'Council Entry'!I15)),IF('Council Entry'!I$4="Exponential",EXP(IF(AND(ISNUMBER('Council Entry'!I$8),ISNUMBER('Council Entry'!I$9)),MAX(MIN('Council Entry'!I15,'Council Entry'!I$9),'Council Entry'!I$8),'Council Entry'!I15)),IF(AND(ISNUMBER('Council Entry'!I$8),ISNUMBER('Council Entry'!I$9)),MAX(MIN('Council Entry'!I15,'Council Entry'!I$9),'Council Entry'!I$8),'Council Entry'!I15))))-'Council Entry'!I$5)/('Council Entry'!I$6-'Council Entry'!I$5)),1))),"No data"))</f>
        <v/>
      </c>
      <c r="J15" s="13">
        <f>IF('Council Entry'!J15="","",IFERROR(MAX(0,MIN(10,ROUND(IF('Council Entry'!J$7="Decrease Risk",10-10*((IF('Council Entry'!J$4="Logarithm",LN(0.001+IF(AND(ISNUMBER('Council Entry'!J$8),ISNUMBER('Council Entry'!J$9)),MAX(MIN('Council Entry'!J15,'Council Entry'!J$9),'Council Entry'!J$8),'Council Entry'!J15)),IF('Council Entry'!J$4="Exponential",EXP(IF(AND(ISNUMBER('Council Entry'!J$8),ISNUMBER('Council Entry'!J$9)),MAX(MIN('Council Entry'!J15,'Council Entry'!J$9),'Council Entry'!J$8),'Council Entry'!J15)),IF(AND(ISNUMBER('Council Entry'!J$8),ISNUMBER('Council Entry'!J$9)),MAX(MIN('Council Entry'!J15,'Council Entry'!J$9),'Council Entry'!J$8),'Council Entry'!J15))))-'Council Entry'!J$5)/('Council Entry'!J$6-'Council Entry'!J$5),10*((IF('Council Entry'!J$4="Logarithm",LN(0.001+IF(AND(ISNUMBER('Council Entry'!J$8),ISNUMBER('Council Entry'!J$9)),MAX(MIN('Council Entry'!J15,'Council Entry'!J$9),'Council Entry'!J$8),'Council Entry'!J15)),IF('Council Entry'!J$4="Exponential",EXP(IF(AND(ISNUMBER('Council Entry'!J$8),ISNUMBER('Council Entry'!J$9)),MAX(MIN('Council Entry'!J15,'Council Entry'!J$9),'Council Entry'!J$8),'Council Entry'!J15)),IF(AND(ISNUMBER('Council Entry'!J$8),ISNUMBER('Council Entry'!J$9)),MAX(MIN('Council Entry'!J15,'Council Entry'!J$9),'Council Entry'!J$8),'Council Entry'!J15))))-'Council Entry'!J$5)/('Council Entry'!J$6-'Council Entry'!J$5)),1))),"No data"))</f>
        <v/>
      </c>
      <c r="K15" s="13">
        <f>IF('Council Entry'!K15="","",IFERROR(MAX(0,MIN(10,ROUND(IF('Council Entry'!K$7="Decrease Risk",10-10*((IF('Council Entry'!K$4="Logarithm",LN(0.001+IF(AND(ISNUMBER('Council Entry'!K$8),ISNUMBER('Council Entry'!K$9)),MAX(MIN('Council Entry'!K15,'Council Entry'!K$9),'Council Entry'!K$8),'Council Entry'!K15)),IF('Council Entry'!K$4="Exponential",EXP(IF(AND(ISNUMBER('Council Entry'!K$8),ISNUMBER('Council Entry'!K$9)),MAX(MIN('Council Entry'!K15,'Council Entry'!K$9),'Council Entry'!K$8),'Council Entry'!K15)),IF(AND(ISNUMBER('Council Entry'!K$8),ISNUMBER('Council Entry'!K$9)),MAX(MIN('Council Entry'!K15,'Council Entry'!K$9),'Council Entry'!K$8),'Council Entry'!K15))))-'Council Entry'!K$5)/('Council Entry'!K$6-'Council Entry'!K$5),10*((IF('Council Entry'!K$4="Logarithm",LN(0.001+IF(AND(ISNUMBER('Council Entry'!K$8),ISNUMBER('Council Entry'!K$9)),MAX(MIN('Council Entry'!K15,'Council Entry'!K$9),'Council Entry'!K$8),'Council Entry'!K15)),IF('Council Entry'!K$4="Exponential",EXP(IF(AND(ISNUMBER('Council Entry'!K$8),ISNUMBER('Council Entry'!K$9)),MAX(MIN('Council Entry'!K15,'Council Entry'!K$9),'Council Entry'!K$8),'Council Entry'!K15)),IF(AND(ISNUMBER('Council Entry'!K$8),ISNUMBER('Council Entry'!K$9)),MAX(MIN('Council Entry'!K15,'Council Entry'!K$9),'Council Entry'!K$8),'Council Entry'!K15))))-'Council Entry'!K$5)/('Council Entry'!K$6-'Council Entry'!K$5)),1))),"No data"))</f>
        <v/>
      </c>
      <c r="L15" s="13">
        <f>IF('Council Entry'!L15="","",IFERROR(MAX(0,MIN(10,ROUND(IF('Council Entry'!L$7="Decrease Risk",10-10*((IF('Council Entry'!L$4="Logarithm",LN(0.001+IF(AND(ISNUMBER('Council Entry'!L$8),ISNUMBER('Council Entry'!L$9)),MAX(MIN('Council Entry'!L15,'Council Entry'!L$9),'Council Entry'!L$8),'Council Entry'!L15)),IF('Council Entry'!L$4="Exponential",EXP(IF(AND(ISNUMBER('Council Entry'!L$8),ISNUMBER('Council Entry'!L$9)),MAX(MIN('Council Entry'!L15,'Council Entry'!L$9),'Council Entry'!L$8),'Council Entry'!L15)),IF(AND(ISNUMBER('Council Entry'!L$8),ISNUMBER('Council Entry'!L$9)),MAX(MIN('Council Entry'!L15,'Council Entry'!L$9),'Council Entry'!L$8),'Council Entry'!L15))))-'Council Entry'!L$5)/('Council Entry'!L$6-'Council Entry'!L$5),10*((IF('Council Entry'!L$4="Logarithm",LN(0.001+IF(AND(ISNUMBER('Council Entry'!L$8),ISNUMBER('Council Entry'!L$9)),MAX(MIN('Council Entry'!L15,'Council Entry'!L$9),'Council Entry'!L$8),'Council Entry'!L15)),IF('Council Entry'!L$4="Exponential",EXP(IF(AND(ISNUMBER('Council Entry'!L$8),ISNUMBER('Council Entry'!L$9)),MAX(MIN('Council Entry'!L15,'Council Entry'!L$9),'Council Entry'!L$8),'Council Entry'!L15)),IF(AND(ISNUMBER('Council Entry'!L$8),ISNUMBER('Council Entry'!L$9)),MAX(MIN('Council Entry'!L15,'Council Entry'!L$9),'Council Entry'!L$8),'Council Entry'!L15))))-'Council Entry'!L$5)/('Council Entry'!L$6-'Council Entry'!L$5)),1))),"No data"))</f>
        <v/>
      </c>
      <c r="M15" s="13">
        <f>IF('Council Entry'!M15="","",IFERROR(MAX(0,MIN(10,ROUND(IF('Council Entry'!M$7="Decrease Risk",10-10*((IF('Council Entry'!M$4="Logarithm",LN(0.001+IF(AND(ISNUMBER('Council Entry'!M$8),ISNUMBER('Council Entry'!M$9)),MAX(MIN('Council Entry'!M15,'Council Entry'!M$9),'Council Entry'!M$8),'Council Entry'!M15)),IF('Council Entry'!M$4="Exponential",EXP(IF(AND(ISNUMBER('Council Entry'!M$8),ISNUMBER('Council Entry'!M$9)),MAX(MIN('Council Entry'!M15,'Council Entry'!M$9),'Council Entry'!M$8),'Council Entry'!M15)),IF(AND(ISNUMBER('Council Entry'!M$8),ISNUMBER('Council Entry'!M$9)),MAX(MIN('Council Entry'!M15,'Council Entry'!M$9),'Council Entry'!M$8),'Council Entry'!M15))))-'Council Entry'!M$5)/('Council Entry'!M$6-'Council Entry'!M$5),10*((IF('Council Entry'!M$4="Logarithm",LN(0.001+IF(AND(ISNUMBER('Council Entry'!M$8),ISNUMBER('Council Entry'!M$9)),MAX(MIN('Council Entry'!M15,'Council Entry'!M$9),'Council Entry'!M$8),'Council Entry'!M15)),IF('Council Entry'!M$4="Exponential",EXP(IF(AND(ISNUMBER('Council Entry'!M$8),ISNUMBER('Council Entry'!M$9)),MAX(MIN('Council Entry'!M15,'Council Entry'!M$9),'Council Entry'!M$8),'Council Entry'!M15)),IF(AND(ISNUMBER('Council Entry'!M$8),ISNUMBER('Council Entry'!M$9)),MAX(MIN('Council Entry'!M15,'Council Entry'!M$9),'Council Entry'!M$8),'Council Entry'!M15))))-'Council Entry'!M$5)/('Council Entry'!M$6-'Council Entry'!M$5)),1))),"No data"))</f>
        <v/>
      </c>
      <c r="N15" s="13">
        <f>IF('Council Entry'!N15="","",IFERROR(MAX(0,MIN(10,ROUND(IF('Council Entry'!N$7="Decrease Risk",10-10*((IF('Council Entry'!N$4="Logarithm",LN(0.001+IF(AND(ISNUMBER('Council Entry'!N$8),ISNUMBER('Council Entry'!N$9)),MAX(MIN('Council Entry'!N15,'Council Entry'!N$9),'Council Entry'!N$8),'Council Entry'!N15)),IF('Council Entry'!N$4="Exponential",EXP(IF(AND(ISNUMBER('Council Entry'!N$8),ISNUMBER('Council Entry'!N$9)),MAX(MIN('Council Entry'!N15,'Council Entry'!N$9),'Council Entry'!N$8),'Council Entry'!N15)),IF(AND(ISNUMBER('Council Entry'!N$8),ISNUMBER('Council Entry'!N$9)),MAX(MIN('Council Entry'!N15,'Council Entry'!N$9),'Council Entry'!N$8),'Council Entry'!N15))))-'Council Entry'!N$5)/('Council Entry'!N$6-'Council Entry'!N$5),10*((IF('Council Entry'!N$4="Logarithm",LN(0.001+IF(AND(ISNUMBER('Council Entry'!N$8),ISNUMBER('Council Entry'!N$9)),MAX(MIN('Council Entry'!N15,'Council Entry'!N$9),'Council Entry'!N$8),'Council Entry'!N15)),IF('Council Entry'!N$4="Exponential",EXP(IF(AND(ISNUMBER('Council Entry'!N$8),ISNUMBER('Council Entry'!N$9)),MAX(MIN('Council Entry'!N15,'Council Entry'!N$9),'Council Entry'!N$8),'Council Entry'!N15)),IF(AND(ISNUMBER('Council Entry'!N$8),ISNUMBER('Council Entry'!N$9)),MAX(MIN('Council Entry'!N15,'Council Entry'!N$9),'Council Entry'!N$8),'Council Entry'!N15))))-'Council Entry'!N$5)/('Council Entry'!N$6-'Council Entry'!N$5)),1))),"No data"))</f>
        <v/>
      </c>
      <c r="O15" s="13">
        <f>IF('Council Entry'!O15="","",IFERROR(MAX(0,MIN(10,ROUND(IF('Council Entry'!O$7="Decrease Risk",10-10*((IF('Council Entry'!O$4="Logarithm",LN(0.001+IF(AND(ISNUMBER('Council Entry'!O$8),ISNUMBER('Council Entry'!O$9)),MAX(MIN('Council Entry'!O15,'Council Entry'!O$9),'Council Entry'!O$8),'Council Entry'!O15)),IF('Council Entry'!O$4="Exponential",EXP(IF(AND(ISNUMBER('Council Entry'!O$8),ISNUMBER('Council Entry'!O$9)),MAX(MIN('Council Entry'!O15,'Council Entry'!O$9),'Council Entry'!O$8),'Council Entry'!O15)),IF(AND(ISNUMBER('Council Entry'!O$8),ISNUMBER('Council Entry'!O$9)),MAX(MIN('Council Entry'!O15,'Council Entry'!O$9),'Council Entry'!O$8),'Council Entry'!O15))))-'Council Entry'!O$5)/('Council Entry'!O$6-'Council Entry'!O$5),10*((IF('Council Entry'!O$4="Logarithm",LN(0.001+IF(AND(ISNUMBER('Council Entry'!O$8),ISNUMBER('Council Entry'!O$9)),MAX(MIN('Council Entry'!O15,'Council Entry'!O$9),'Council Entry'!O$8),'Council Entry'!O15)),IF('Council Entry'!O$4="Exponential",EXP(IF(AND(ISNUMBER('Council Entry'!O$8),ISNUMBER('Council Entry'!O$9)),MAX(MIN('Council Entry'!O15,'Council Entry'!O$9),'Council Entry'!O$8),'Council Entry'!O15)),IF(AND(ISNUMBER('Council Entry'!O$8),ISNUMBER('Council Entry'!O$9)),MAX(MIN('Council Entry'!O15,'Council Entry'!O$9),'Council Entry'!O$8),'Council Entry'!O15))))-'Council Entry'!O$5)/('Council Entry'!O$6-'Council Entry'!O$5)),1))),"No data"))</f>
        <v/>
      </c>
      <c r="P15" s="13">
        <f>IF('Council Entry'!P15="","",IFERROR(MAX(0,MIN(10,ROUND(IF('Council Entry'!P$7="Decrease Risk",10-10*((IF('Council Entry'!P$4="Logarithm",LN(0.001+IF(AND(ISNUMBER('Council Entry'!P$8),ISNUMBER('Council Entry'!P$9)),MAX(MIN('Council Entry'!P15,'Council Entry'!P$9),'Council Entry'!P$8),'Council Entry'!P15)),IF('Council Entry'!P$4="Exponential",EXP(IF(AND(ISNUMBER('Council Entry'!P$8),ISNUMBER('Council Entry'!P$9)),MAX(MIN('Council Entry'!P15,'Council Entry'!P$9),'Council Entry'!P$8),'Council Entry'!P15)),IF(AND(ISNUMBER('Council Entry'!P$8),ISNUMBER('Council Entry'!P$9)),MAX(MIN('Council Entry'!P15,'Council Entry'!P$9),'Council Entry'!P$8),'Council Entry'!P15))))-'Council Entry'!P$5)/('Council Entry'!P$6-'Council Entry'!P$5),10*((IF('Council Entry'!P$4="Logarithm",LN(0.001+IF(AND(ISNUMBER('Council Entry'!P$8),ISNUMBER('Council Entry'!P$9)),MAX(MIN('Council Entry'!P15,'Council Entry'!P$9),'Council Entry'!P$8),'Council Entry'!P15)),IF('Council Entry'!P$4="Exponential",EXP(IF(AND(ISNUMBER('Council Entry'!P$8),ISNUMBER('Council Entry'!P$9)),MAX(MIN('Council Entry'!P15,'Council Entry'!P$9),'Council Entry'!P$8),'Council Entry'!P15)),IF(AND(ISNUMBER('Council Entry'!P$8),ISNUMBER('Council Entry'!P$9)),MAX(MIN('Council Entry'!P15,'Council Entry'!P$9),'Council Entry'!P$8),'Council Entry'!P15))))-'Council Entry'!P$5)/('Council Entry'!P$6-'Council Entry'!P$5)),1))),"No data"))</f>
        <v/>
      </c>
      <c r="Q15" s="13">
        <f>IF('Council Entry'!Q15="","",IFERROR(MAX(0,MIN(10,ROUND(IF('Council Entry'!Q$7="Decrease Risk",10-10*((IF('Council Entry'!Q$4="Logarithm",LN(0.001+IF(AND(ISNUMBER('Council Entry'!Q$8),ISNUMBER('Council Entry'!Q$9)),MAX(MIN('Council Entry'!Q15,'Council Entry'!Q$9),'Council Entry'!Q$8),'Council Entry'!Q15)),IF('Council Entry'!Q$4="Exponential",EXP(IF(AND(ISNUMBER('Council Entry'!Q$8),ISNUMBER('Council Entry'!Q$9)),MAX(MIN('Council Entry'!Q15,'Council Entry'!Q$9),'Council Entry'!Q$8),'Council Entry'!Q15)),IF(AND(ISNUMBER('Council Entry'!Q$8),ISNUMBER('Council Entry'!Q$9)),MAX(MIN('Council Entry'!Q15,'Council Entry'!Q$9),'Council Entry'!Q$8),'Council Entry'!Q15))))-'Council Entry'!Q$5)/('Council Entry'!Q$6-'Council Entry'!Q$5),10*((IF('Council Entry'!Q$4="Logarithm",LN(0.001+IF(AND(ISNUMBER('Council Entry'!Q$8),ISNUMBER('Council Entry'!Q$9)),MAX(MIN('Council Entry'!Q15,'Council Entry'!Q$9),'Council Entry'!Q$8),'Council Entry'!Q15)),IF('Council Entry'!Q$4="Exponential",EXP(IF(AND(ISNUMBER('Council Entry'!Q$8),ISNUMBER('Council Entry'!Q$9)),MAX(MIN('Council Entry'!Q15,'Council Entry'!Q$9),'Council Entry'!Q$8),'Council Entry'!Q15)),IF(AND(ISNUMBER('Council Entry'!Q$8),ISNUMBER('Council Entry'!Q$9)),MAX(MIN('Council Entry'!Q15,'Council Entry'!Q$9),'Council Entry'!Q$8),'Council Entry'!Q15))))-'Council Entry'!Q$5)/('Council Entry'!Q$6-'Council Entry'!Q$5)),1))),"No data"))</f>
        <v/>
      </c>
      <c r="R15" s="13">
        <f>IF('Council Entry'!R15="","",IFERROR(MAX(0,MIN(10,ROUND(IF('Council Entry'!R$7="Decrease Risk",10-10*((IF('Council Entry'!R$4="Logarithm",LN(0.001+IF(AND(ISNUMBER('Council Entry'!R$8),ISNUMBER('Council Entry'!R$9)),MAX(MIN('Council Entry'!R15,'Council Entry'!R$9),'Council Entry'!R$8),'Council Entry'!R15)),IF('Council Entry'!R$4="Exponential",EXP(IF(AND(ISNUMBER('Council Entry'!R$8),ISNUMBER('Council Entry'!R$9)),MAX(MIN('Council Entry'!R15,'Council Entry'!R$9),'Council Entry'!R$8),'Council Entry'!R15)),IF(AND(ISNUMBER('Council Entry'!R$8),ISNUMBER('Council Entry'!R$9)),MAX(MIN('Council Entry'!R15,'Council Entry'!R$9),'Council Entry'!R$8),'Council Entry'!R15))))-'Council Entry'!R$5)/('Council Entry'!R$6-'Council Entry'!R$5),10*((IF('Council Entry'!R$4="Logarithm",LN(0.001+IF(AND(ISNUMBER('Council Entry'!R$8),ISNUMBER('Council Entry'!R$9)),MAX(MIN('Council Entry'!R15,'Council Entry'!R$9),'Council Entry'!R$8),'Council Entry'!R15)),IF('Council Entry'!R$4="Exponential",EXP(IF(AND(ISNUMBER('Council Entry'!R$8),ISNUMBER('Council Entry'!R$9)),MAX(MIN('Council Entry'!R15,'Council Entry'!R$9),'Council Entry'!R$8),'Council Entry'!R15)),IF(AND(ISNUMBER('Council Entry'!R$8),ISNUMBER('Council Entry'!R$9)),MAX(MIN('Council Entry'!R15,'Council Entry'!R$9),'Council Entry'!R$8),'Council Entry'!R15))))-'Council Entry'!R$5)/('Council Entry'!R$6-'Council Entry'!R$5)),1))),"No data"))</f>
        <v/>
      </c>
      <c r="S15" s="13">
        <f>IF('Council Entry'!S15="","",IFERROR(MAX(0,MIN(10,ROUND(IF('Council Entry'!S$7="Decrease Risk",10-10*((IF('Council Entry'!S$4="Logarithm",LN(0.001+IF(AND(ISNUMBER('Council Entry'!S$8),ISNUMBER('Council Entry'!S$9)),MAX(MIN('Council Entry'!S15,'Council Entry'!S$9),'Council Entry'!S$8),'Council Entry'!S15)),IF('Council Entry'!S$4="Exponential",EXP(IF(AND(ISNUMBER('Council Entry'!S$8),ISNUMBER('Council Entry'!S$9)),MAX(MIN('Council Entry'!S15,'Council Entry'!S$9),'Council Entry'!S$8),'Council Entry'!S15)),IF(AND(ISNUMBER('Council Entry'!S$8),ISNUMBER('Council Entry'!S$9)),MAX(MIN('Council Entry'!S15,'Council Entry'!S$9),'Council Entry'!S$8),'Council Entry'!S15))))-'Council Entry'!S$5)/('Council Entry'!S$6-'Council Entry'!S$5),10*((IF('Council Entry'!S$4="Logarithm",LN(0.001+IF(AND(ISNUMBER('Council Entry'!S$8),ISNUMBER('Council Entry'!S$9)),MAX(MIN('Council Entry'!S15,'Council Entry'!S$9),'Council Entry'!S$8),'Council Entry'!S15)),IF('Council Entry'!S$4="Exponential",EXP(IF(AND(ISNUMBER('Council Entry'!S$8),ISNUMBER('Council Entry'!S$9)),MAX(MIN('Council Entry'!S15,'Council Entry'!S$9),'Council Entry'!S$8),'Council Entry'!S15)),IF(AND(ISNUMBER('Council Entry'!S$8),ISNUMBER('Council Entry'!S$9)),MAX(MIN('Council Entry'!S15,'Council Entry'!S$9),'Council Entry'!S$8),'Council Entry'!S15))))-'Council Entry'!S$5)/('Council Entry'!S$6-'Council Entry'!S$5)),1))),"No data"))</f>
        <v/>
      </c>
      <c r="T15" s="13">
        <f>IF('Council Entry'!T15="","",IFERROR(MAX(0,MIN(10,ROUND(IF('Council Entry'!T$7="Decrease Risk",10-10*((IF('Council Entry'!T$4="Logarithm",LN(0.001+IF(AND(ISNUMBER('Council Entry'!T$8),ISNUMBER('Council Entry'!T$9)),MAX(MIN('Council Entry'!T15,'Council Entry'!T$9),'Council Entry'!T$8),'Council Entry'!T15)),IF('Council Entry'!T$4="Exponential",EXP(IF(AND(ISNUMBER('Council Entry'!T$8),ISNUMBER('Council Entry'!T$9)),MAX(MIN('Council Entry'!T15,'Council Entry'!T$9),'Council Entry'!T$8),'Council Entry'!T15)),IF(AND(ISNUMBER('Council Entry'!T$8),ISNUMBER('Council Entry'!T$9)),MAX(MIN('Council Entry'!T15,'Council Entry'!T$9),'Council Entry'!T$8),'Council Entry'!T15))))-'Council Entry'!T$5)/('Council Entry'!T$6-'Council Entry'!T$5),10*((IF('Council Entry'!T$4="Logarithm",LN(0.001+IF(AND(ISNUMBER('Council Entry'!T$8),ISNUMBER('Council Entry'!T$9)),MAX(MIN('Council Entry'!T15,'Council Entry'!T$9),'Council Entry'!T$8),'Council Entry'!T15)),IF('Council Entry'!T$4="Exponential",EXP(IF(AND(ISNUMBER('Council Entry'!T$8),ISNUMBER('Council Entry'!T$9)),MAX(MIN('Council Entry'!T15,'Council Entry'!T$9),'Council Entry'!T$8),'Council Entry'!T15)),IF(AND(ISNUMBER('Council Entry'!T$8),ISNUMBER('Council Entry'!T$9)),MAX(MIN('Council Entry'!T15,'Council Entry'!T$9),'Council Entry'!T$8),'Council Entry'!T15))))-'Council Entry'!T$5)/('Council Entry'!T$6-'Council Entry'!T$5)),1))),"No data"))</f>
        <v/>
      </c>
      <c r="U15" s="13">
        <f>IF('Council Entry'!U15="","",IFERROR(MAX(0,MIN(10,ROUND(IF('Council Entry'!U$7="Decrease Risk",10-10*((IF('Council Entry'!U$4="Logarithm",LN(0.001+IF(AND(ISNUMBER('Council Entry'!U$8),ISNUMBER('Council Entry'!U$9)),MAX(MIN('Council Entry'!U15,'Council Entry'!U$9),'Council Entry'!U$8),'Council Entry'!U15)),IF('Council Entry'!U$4="Exponential",EXP(IF(AND(ISNUMBER('Council Entry'!U$8),ISNUMBER('Council Entry'!U$9)),MAX(MIN('Council Entry'!U15,'Council Entry'!U$9),'Council Entry'!U$8),'Council Entry'!U15)),IF(AND(ISNUMBER('Council Entry'!U$8),ISNUMBER('Council Entry'!U$9)),MAX(MIN('Council Entry'!U15,'Council Entry'!U$9),'Council Entry'!U$8),'Council Entry'!U15))))-'Council Entry'!U$5)/('Council Entry'!U$6-'Council Entry'!U$5),10*((IF('Council Entry'!U$4="Logarithm",LN(0.001+IF(AND(ISNUMBER('Council Entry'!U$8),ISNUMBER('Council Entry'!U$9)),MAX(MIN('Council Entry'!U15,'Council Entry'!U$9),'Council Entry'!U$8),'Council Entry'!U15)),IF('Council Entry'!U$4="Exponential",EXP(IF(AND(ISNUMBER('Council Entry'!U$8),ISNUMBER('Council Entry'!U$9)),MAX(MIN('Council Entry'!U15,'Council Entry'!U$9),'Council Entry'!U$8),'Council Entry'!U15)),IF(AND(ISNUMBER('Council Entry'!U$8),ISNUMBER('Council Entry'!U$9)),MAX(MIN('Council Entry'!U15,'Council Entry'!U$9),'Council Entry'!U$8),'Council Entry'!U15))))-'Council Entry'!U$5)/('Council Entry'!U$6-'Council Entry'!U$5)),1))),"No data"))</f>
        <v/>
      </c>
      <c r="V15" s="13">
        <f>IF('Council Entry'!V15="","",IFERROR(MAX(0,MIN(10,ROUND(IF('Council Entry'!V$7="Decrease Risk",10-10*((IF('Council Entry'!V$4="Logarithm",LN(0.001+IF(AND(ISNUMBER('Council Entry'!V$8),ISNUMBER('Council Entry'!V$9)),MAX(MIN('Council Entry'!V15,'Council Entry'!V$9),'Council Entry'!V$8),'Council Entry'!V15)),IF('Council Entry'!V$4="Exponential",EXP(IF(AND(ISNUMBER('Council Entry'!V$8),ISNUMBER('Council Entry'!V$9)),MAX(MIN('Council Entry'!V15,'Council Entry'!V$9),'Council Entry'!V$8),'Council Entry'!V15)),IF(AND(ISNUMBER('Council Entry'!V$8),ISNUMBER('Council Entry'!V$9)),MAX(MIN('Council Entry'!V15,'Council Entry'!V$9),'Council Entry'!V$8),'Council Entry'!V15))))-'Council Entry'!V$5)/('Council Entry'!V$6-'Council Entry'!V$5),10*((IF('Council Entry'!V$4="Logarithm",LN(0.001+IF(AND(ISNUMBER('Council Entry'!V$8),ISNUMBER('Council Entry'!V$9)),MAX(MIN('Council Entry'!V15,'Council Entry'!V$9),'Council Entry'!V$8),'Council Entry'!V15)),IF('Council Entry'!V$4="Exponential",EXP(IF(AND(ISNUMBER('Council Entry'!V$8),ISNUMBER('Council Entry'!V$9)),MAX(MIN('Council Entry'!V15,'Council Entry'!V$9),'Council Entry'!V$8),'Council Entry'!V15)),IF(AND(ISNUMBER('Council Entry'!V$8),ISNUMBER('Council Entry'!V$9)),MAX(MIN('Council Entry'!V15,'Council Entry'!V$9),'Council Entry'!V$8),'Council Entry'!V15))))-'Council Entry'!V$5)/('Council Entry'!V$6-'Council Entry'!V$5)),1))),"No data"))</f>
        <v/>
      </c>
      <c r="W15" s="13">
        <f>IF('Council Entry'!W15="","",IFERROR(MAX(0,MIN(10,ROUND(IF('Council Entry'!W$7="Decrease Risk",10-10*((IF('Council Entry'!W$4="Logarithm",LN(0.001+IF(AND(ISNUMBER('Council Entry'!W$8),ISNUMBER('Council Entry'!W$9)),MAX(MIN('Council Entry'!W15,'Council Entry'!W$9),'Council Entry'!W$8),'Council Entry'!W15)),IF('Council Entry'!W$4="Exponential",EXP(IF(AND(ISNUMBER('Council Entry'!W$8),ISNUMBER('Council Entry'!W$9)),MAX(MIN('Council Entry'!W15,'Council Entry'!W$9),'Council Entry'!W$8),'Council Entry'!W15)),IF(AND(ISNUMBER('Council Entry'!W$8),ISNUMBER('Council Entry'!W$9)),MAX(MIN('Council Entry'!W15,'Council Entry'!W$9),'Council Entry'!W$8),'Council Entry'!W15))))-'Council Entry'!W$5)/('Council Entry'!W$6-'Council Entry'!W$5),10*((IF('Council Entry'!W$4="Logarithm",LN(0.001+IF(AND(ISNUMBER('Council Entry'!W$8),ISNUMBER('Council Entry'!W$9)),MAX(MIN('Council Entry'!W15,'Council Entry'!W$9),'Council Entry'!W$8),'Council Entry'!W15)),IF('Council Entry'!W$4="Exponential",EXP(IF(AND(ISNUMBER('Council Entry'!W$8),ISNUMBER('Council Entry'!W$9)),MAX(MIN('Council Entry'!W15,'Council Entry'!W$9),'Council Entry'!W$8),'Council Entry'!W15)),IF(AND(ISNUMBER('Council Entry'!W$8),ISNUMBER('Council Entry'!W$9)),MAX(MIN('Council Entry'!W15,'Council Entry'!W$9),'Council Entry'!W$8),'Council Entry'!W15))))-'Council Entry'!W$5)/('Council Entry'!W$6-'Council Entry'!W$5)),1))),"No data"))</f>
        <v/>
      </c>
      <c r="X15" s="13">
        <f>IF('Council Entry'!X15="","",IFERROR(MAX(0,MIN(10,ROUND(IF('Council Entry'!X$7="Decrease Risk",10-10*((IF('Council Entry'!X$4="Logarithm",LN(0.001+IF(AND(ISNUMBER('Council Entry'!X$8),ISNUMBER('Council Entry'!X$9)),MAX(MIN('Council Entry'!X15,'Council Entry'!X$9),'Council Entry'!X$8),'Council Entry'!X15)),IF('Council Entry'!X$4="Exponential",EXP(IF(AND(ISNUMBER('Council Entry'!X$8),ISNUMBER('Council Entry'!X$9)),MAX(MIN('Council Entry'!X15,'Council Entry'!X$9),'Council Entry'!X$8),'Council Entry'!X15)),IF(AND(ISNUMBER('Council Entry'!X$8),ISNUMBER('Council Entry'!X$9)),MAX(MIN('Council Entry'!X15,'Council Entry'!X$9),'Council Entry'!X$8),'Council Entry'!X15))))-'Council Entry'!X$5)/('Council Entry'!X$6-'Council Entry'!X$5),10*((IF('Council Entry'!X$4="Logarithm",LN(0.001+IF(AND(ISNUMBER('Council Entry'!X$8),ISNUMBER('Council Entry'!X$9)),MAX(MIN('Council Entry'!X15,'Council Entry'!X$9),'Council Entry'!X$8),'Council Entry'!X15)),IF('Council Entry'!X$4="Exponential",EXP(IF(AND(ISNUMBER('Council Entry'!X$8),ISNUMBER('Council Entry'!X$9)),MAX(MIN('Council Entry'!X15,'Council Entry'!X$9),'Council Entry'!X$8),'Council Entry'!X15)),IF(AND(ISNUMBER('Council Entry'!X$8),ISNUMBER('Council Entry'!X$9)),MAX(MIN('Council Entry'!X15,'Council Entry'!X$9),'Council Entry'!X$8),'Council Entry'!X15))))-'Council Entry'!X$5)/('Council Entry'!X$6-'Council Entry'!X$5)),1))),"No data"))</f>
        <v/>
      </c>
      <c r="Y15" s="13">
        <f>IF('Council Entry'!Y15="","",IFERROR(MAX(0,MIN(10,ROUND(IF('Council Entry'!Y$7="Decrease Risk",10-10*((IF('Council Entry'!Y$4="Logarithm",LN(0.001+IF(AND(ISNUMBER('Council Entry'!Y$8),ISNUMBER('Council Entry'!Y$9)),MAX(MIN('Council Entry'!Y15,'Council Entry'!Y$9),'Council Entry'!Y$8),'Council Entry'!Y15)),IF('Council Entry'!Y$4="Exponential",EXP(IF(AND(ISNUMBER('Council Entry'!Y$8),ISNUMBER('Council Entry'!Y$9)),MAX(MIN('Council Entry'!Y15,'Council Entry'!Y$9),'Council Entry'!Y$8),'Council Entry'!Y15)),IF(AND(ISNUMBER('Council Entry'!Y$8),ISNUMBER('Council Entry'!Y$9)),MAX(MIN('Council Entry'!Y15,'Council Entry'!Y$9),'Council Entry'!Y$8),'Council Entry'!Y15))))-'Council Entry'!Y$5)/('Council Entry'!Y$6-'Council Entry'!Y$5),10*((IF('Council Entry'!Y$4="Logarithm",LN(0.001+IF(AND(ISNUMBER('Council Entry'!Y$8),ISNUMBER('Council Entry'!Y$9)),MAX(MIN('Council Entry'!Y15,'Council Entry'!Y$9),'Council Entry'!Y$8),'Council Entry'!Y15)),IF('Council Entry'!Y$4="Exponential",EXP(IF(AND(ISNUMBER('Council Entry'!Y$8),ISNUMBER('Council Entry'!Y$9)),MAX(MIN('Council Entry'!Y15,'Council Entry'!Y$9),'Council Entry'!Y$8),'Council Entry'!Y15)),IF(AND(ISNUMBER('Council Entry'!Y$8),ISNUMBER('Council Entry'!Y$9)),MAX(MIN('Council Entry'!Y15,'Council Entry'!Y$9),'Council Entry'!Y$8),'Council Entry'!Y15))))-'Council Entry'!Y$5)/('Council Entry'!Y$6-'Council Entry'!Y$5)),1))),"No data"))</f>
        <v/>
      </c>
      <c r="Z15" s="13">
        <f>IF('Council Entry'!Z15="","",IFERROR(MAX(0,MIN(10,ROUND(IF('Council Entry'!Z$7="Decrease Risk",10-10*((IF('Council Entry'!Z$4="Logarithm",LN(0.001+IF(AND(ISNUMBER('Council Entry'!Z$8),ISNUMBER('Council Entry'!Z$9)),MAX(MIN('Council Entry'!Z15,'Council Entry'!Z$9),'Council Entry'!Z$8),'Council Entry'!Z15)),IF('Council Entry'!Z$4="Exponential",EXP(IF(AND(ISNUMBER('Council Entry'!Z$8),ISNUMBER('Council Entry'!Z$9)),MAX(MIN('Council Entry'!Z15,'Council Entry'!Z$9),'Council Entry'!Z$8),'Council Entry'!Z15)),IF(AND(ISNUMBER('Council Entry'!Z$8),ISNUMBER('Council Entry'!Z$9)),MAX(MIN('Council Entry'!Z15,'Council Entry'!Z$9),'Council Entry'!Z$8),'Council Entry'!Z15))))-'Council Entry'!Z$5)/('Council Entry'!Z$6-'Council Entry'!Z$5),10*((IF('Council Entry'!Z$4="Logarithm",LN(0.001+IF(AND(ISNUMBER('Council Entry'!Z$8),ISNUMBER('Council Entry'!Z$9)),MAX(MIN('Council Entry'!Z15,'Council Entry'!Z$9),'Council Entry'!Z$8),'Council Entry'!Z15)),IF('Council Entry'!Z$4="Exponential",EXP(IF(AND(ISNUMBER('Council Entry'!Z$8),ISNUMBER('Council Entry'!Z$9)),MAX(MIN('Council Entry'!Z15,'Council Entry'!Z$9),'Council Entry'!Z$8),'Council Entry'!Z15)),IF(AND(ISNUMBER('Council Entry'!Z$8),ISNUMBER('Council Entry'!Z$9)),MAX(MIN('Council Entry'!Z15,'Council Entry'!Z$9),'Council Entry'!Z$8),'Council Entry'!Z15))))-'Council Entry'!Z$5)/('Council Entry'!Z$6-'Council Entry'!Z$5)),1))),"No data"))</f>
        <v/>
      </c>
      <c r="AA15" s="13">
        <f>IF('Council Entry'!AA15="","",IFERROR(MAX(0,MIN(10,ROUND(IF('Council Entry'!AA$7="Decrease Risk",10-10*((IF('Council Entry'!AA$4="Logarithm",LN(0.001+IF(AND(ISNUMBER('Council Entry'!AA$8),ISNUMBER('Council Entry'!AA$9)),MAX(MIN('Council Entry'!AA15,'Council Entry'!AA$9),'Council Entry'!AA$8),'Council Entry'!AA15)),IF('Council Entry'!AA$4="Exponential",EXP(IF(AND(ISNUMBER('Council Entry'!AA$8),ISNUMBER('Council Entry'!AA$9)),MAX(MIN('Council Entry'!AA15,'Council Entry'!AA$9),'Council Entry'!AA$8),'Council Entry'!AA15)),IF(AND(ISNUMBER('Council Entry'!AA$8),ISNUMBER('Council Entry'!AA$9)),MAX(MIN('Council Entry'!AA15,'Council Entry'!AA$9),'Council Entry'!AA$8),'Council Entry'!AA15))))-'Council Entry'!AA$5)/('Council Entry'!AA$6-'Council Entry'!AA$5),10*((IF('Council Entry'!AA$4="Logarithm",LN(0.001+IF(AND(ISNUMBER('Council Entry'!AA$8),ISNUMBER('Council Entry'!AA$9)),MAX(MIN('Council Entry'!AA15,'Council Entry'!AA$9),'Council Entry'!AA$8),'Council Entry'!AA15)),IF('Council Entry'!AA$4="Exponential",EXP(IF(AND(ISNUMBER('Council Entry'!AA$8),ISNUMBER('Council Entry'!AA$9)),MAX(MIN('Council Entry'!AA15,'Council Entry'!AA$9),'Council Entry'!AA$8),'Council Entry'!AA15)),IF(AND(ISNUMBER('Council Entry'!AA$8),ISNUMBER('Council Entry'!AA$9)),MAX(MIN('Council Entry'!AA15,'Council Entry'!AA$9),'Council Entry'!AA$8),'Council Entry'!AA15))))-'Council Entry'!AA$5)/('Council Entry'!AA$6-'Council Entry'!AA$5)),1))),"No data"))</f>
        <v/>
      </c>
      <c r="AB15" s="13">
        <f>IF('Council Entry'!AB15="","",IFERROR(MAX(0,MIN(10,ROUND(IF('Council Entry'!AB$7="Decrease Risk",10-10*((IF('Council Entry'!AB$4="Logarithm",LN(0.001+IF(AND(ISNUMBER('Council Entry'!AB$8),ISNUMBER('Council Entry'!AB$9)),MAX(MIN('Council Entry'!AB15,'Council Entry'!AB$9),'Council Entry'!AB$8),'Council Entry'!AB15)),IF('Council Entry'!AB$4="Exponential",EXP(IF(AND(ISNUMBER('Council Entry'!AB$8),ISNUMBER('Council Entry'!AB$9)),MAX(MIN('Council Entry'!AB15,'Council Entry'!AB$9),'Council Entry'!AB$8),'Council Entry'!AB15)),IF(AND(ISNUMBER('Council Entry'!AB$8),ISNUMBER('Council Entry'!AB$9)),MAX(MIN('Council Entry'!AB15,'Council Entry'!AB$9),'Council Entry'!AB$8),'Council Entry'!AB15))))-'Council Entry'!AB$5)/('Council Entry'!AB$6-'Council Entry'!AB$5),10*((IF('Council Entry'!AB$4="Logarithm",LN(0.001+IF(AND(ISNUMBER('Council Entry'!AB$8),ISNUMBER('Council Entry'!AB$9)),MAX(MIN('Council Entry'!AB15,'Council Entry'!AB$9),'Council Entry'!AB$8),'Council Entry'!AB15)),IF('Council Entry'!AB$4="Exponential",EXP(IF(AND(ISNUMBER('Council Entry'!AB$8),ISNUMBER('Council Entry'!AB$9)),MAX(MIN('Council Entry'!AB15,'Council Entry'!AB$9),'Council Entry'!AB$8),'Council Entry'!AB15)),IF(AND(ISNUMBER('Council Entry'!AB$8),ISNUMBER('Council Entry'!AB$9)),MAX(MIN('Council Entry'!AB15,'Council Entry'!AB$9),'Council Entry'!AB$8),'Council Entry'!AB15))))-'Council Entry'!AB$5)/('Council Entry'!AB$6-'Council Entry'!AB$5)),1))),"No data"))</f>
        <v/>
      </c>
      <c r="AC15" s="13">
        <f>IF('Council Entry'!AC15="","",IFERROR(MAX(0,MIN(10,ROUND(IF('Council Entry'!AC$7="Decrease Risk",10-10*((IF('Council Entry'!AC$4="Logarithm",LN(0.001+IF(AND(ISNUMBER('Council Entry'!AC$8),ISNUMBER('Council Entry'!AC$9)),MAX(MIN('Council Entry'!AC15,'Council Entry'!AC$9),'Council Entry'!AC$8),'Council Entry'!AC15)),IF('Council Entry'!AC$4="Exponential",EXP(IF(AND(ISNUMBER('Council Entry'!AC$8),ISNUMBER('Council Entry'!AC$9)),MAX(MIN('Council Entry'!AC15,'Council Entry'!AC$9),'Council Entry'!AC$8),'Council Entry'!AC15)),IF(AND(ISNUMBER('Council Entry'!AC$8),ISNUMBER('Council Entry'!AC$9)),MAX(MIN('Council Entry'!AC15,'Council Entry'!AC$9),'Council Entry'!AC$8),'Council Entry'!AC15))))-'Council Entry'!AC$5)/('Council Entry'!AC$6-'Council Entry'!AC$5),10*((IF('Council Entry'!AC$4="Logarithm",LN(0.001+IF(AND(ISNUMBER('Council Entry'!AC$8),ISNUMBER('Council Entry'!AC$9)),MAX(MIN('Council Entry'!AC15,'Council Entry'!AC$9),'Council Entry'!AC$8),'Council Entry'!AC15)),IF('Council Entry'!AC$4="Exponential",EXP(IF(AND(ISNUMBER('Council Entry'!AC$8),ISNUMBER('Council Entry'!AC$9)),MAX(MIN('Council Entry'!AC15,'Council Entry'!AC$9),'Council Entry'!AC$8),'Council Entry'!AC15)),IF(AND(ISNUMBER('Council Entry'!AC$8),ISNUMBER('Council Entry'!AC$9)),MAX(MIN('Council Entry'!AC15,'Council Entry'!AC$9),'Council Entry'!AC$8),'Council Entry'!AC15))))-'Council Entry'!AC$5)/('Council Entry'!AC$6-'Council Entry'!AC$5)),1))),"No data"))</f>
        <v/>
      </c>
      <c r="AD15" s="13">
        <f>IF('Council Entry'!AD15="","",IFERROR(MAX(0,MIN(10,ROUND(IF('Council Entry'!AD$7="Decrease Risk",10-10*((IF('Council Entry'!AD$4="Logarithm",LN(0.001+IF(AND(ISNUMBER('Council Entry'!AD$8),ISNUMBER('Council Entry'!AD$9)),MAX(MIN('Council Entry'!AD15,'Council Entry'!AD$9),'Council Entry'!AD$8),'Council Entry'!AD15)),IF('Council Entry'!AD$4="Exponential",EXP(IF(AND(ISNUMBER('Council Entry'!AD$8),ISNUMBER('Council Entry'!AD$9)),MAX(MIN('Council Entry'!AD15,'Council Entry'!AD$9),'Council Entry'!AD$8),'Council Entry'!AD15)),IF(AND(ISNUMBER('Council Entry'!AD$8),ISNUMBER('Council Entry'!AD$9)),MAX(MIN('Council Entry'!AD15,'Council Entry'!AD$9),'Council Entry'!AD$8),'Council Entry'!AD15))))-'Council Entry'!AD$5)/('Council Entry'!AD$6-'Council Entry'!AD$5),10*((IF('Council Entry'!AD$4="Logarithm",LN(0.001+IF(AND(ISNUMBER('Council Entry'!AD$8),ISNUMBER('Council Entry'!AD$9)),MAX(MIN('Council Entry'!AD15,'Council Entry'!AD$9),'Council Entry'!AD$8),'Council Entry'!AD15)),IF('Council Entry'!AD$4="Exponential",EXP(IF(AND(ISNUMBER('Council Entry'!AD$8),ISNUMBER('Council Entry'!AD$9)),MAX(MIN('Council Entry'!AD15,'Council Entry'!AD$9),'Council Entry'!AD$8),'Council Entry'!AD15)),IF(AND(ISNUMBER('Council Entry'!AD$8),ISNUMBER('Council Entry'!AD$9)),MAX(MIN('Council Entry'!AD15,'Council Entry'!AD$9),'Council Entry'!AD$8),'Council Entry'!AD15))))-'Council Entry'!AD$5)/('Council Entry'!AD$6-'Council Entry'!AD$5)),1))),"No data"))</f>
        <v/>
      </c>
      <c r="AE15" s="13">
        <f>IF('Council Entry'!AE15="","",IFERROR(MAX(0,MIN(10,ROUND(IF('Council Entry'!AE$7="Decrease Risk",10-10*((IF('Council Entry'!AE$4="Logarithm",LN(0.001+IF(AND(ISNUMBER('Council Entry'!AE$8),ISNUMBER('Council Entry'!AE$9)),MAX(MIN('Council Entry'!AE15,'Council Entry'!AE$9),'Council Entry'!AE$8),'Council Entry'!AE15)),IF('Council Entry'!AE$4="Exponential",EXP(IF(AND(ISNUMBER('Council Entry'!AE$8),ISNUMBER('Council Entry'!AE$9)),MAX(MIN('Council Entry'!AE15,'Council Entry'!AE$9),'Council Entry'!AE$8),'Council Entry'!AE15)),IF(AND(ISNUMBER('Council Entry'!AE$8),ISNUMBER('Council Entry'!AE$9)),MAX(MIN('Council Entry'!AE15,'Council Entry'!AE$9),'Council Entry'!AE$8),'Council Entry'!AE15))))-'Council Entry'!AE$5)/('Council Entry'!AE$6-'Council Entry'!AE$5),10*((IF('Council Entry'!AE$4="Logarithm",LN(0.001+IF(AND(ISNUMBER('Council Entry'!AE$8),ISNUMBER('Council Entry'!AE$9)),MAX(MIN('Council Entry'!AE15,'Council Entry'!AE$9),'Council Entry'!AE$8),'Council Entry'!AE15)),IF('Council Entry'!AE$4="Exponential",EXP(IF(AND(ISNUMBER('Council Entry'!AE$8),ISNUMBER('Council Entry'!AE$9)),MAX(MIN('Council Entry'!AE15,'Council Entry'!AE$9),'Council Entry'!AE$8),'Council Entry'!AE15)),IF(AND(ISNUMBER('Council Entry'!AE$8),ISNUMBER('Council Entry'!AE$9)),MAX(MIN('Council Entry'!AE15,'Council Entry'!AE$9),'Council Entry'!AE$8),'Council Entry'!AE15))))-'Council Entry'!AE$5)/('Council Entry'!AE$6-'Council Entry'!AE$5)),1))),"No data"))</f>
        <v/>
      </c>
      <c r="AF15" s="13">
        <f>IF('Council Entry'!AF15="","",IFERROR(MAX(0,MIN(10,ROUND(IF('Council Entry'!AF$7="Decrease Risk",10-10*((IF('Council Entry'!AF$4="Logarithm",LN(0.001+IF(AND(ISNUMBER('Council Entry'!AF$8),ISNUMBER('Council Entry'!AF$9)),MAX(MIN('Council Entry'!AF15,'Council Entry'!AF$9),'Council Entry'!AF$8),'Council Entry'!AF15)),IF('Council Entry'!AF$4="Exponential",EXP(IF(AND(ISNUMBER('Council Entry'!AF$8),ISNUMBER('Council Entry'!AF$9)),MAX(MIN('Council Entry'!AF15,'Council Entry'!AF$9),'Council Entry'!AF$8),'Council Entry'!AF15)),IF(AND(ISNUMBER('Council Entry'!AF$8),ISNUMBER('Council Entry'!AF$9)),MAX(MIN('Council Entry'!AF15,'Council Entry'!AF$9),'Council Entry'!AF$8),'Council Entry'!AF15))))-'Council Entry'!AF$5)/('Council Entry'!AF$6-'Council Entry'!AF$5),10*((IF('Council Entry'!AF$4="Logarithm",LN(0.001+IF(AND(ISNUMBER('Council Entry'!AF$8),ISNUMBER('Council Entry'!AF$9)),MAX(MIN('Council Entry'!AF15,'Council Entry'!AF$9),'Council Entry'!AF$8),'Council Entry'!AF15)),IF('Council Entry'!AF$4="Exponential",EXP(IF(AND(ISNUMBER('Council Entry'!AF$8),ISNUMBER('Council Entry'!AF$9)),MAX(MIN('Council Entry'!AF15,'Council Entry'!AF$9),'Council Entry'!AF$8),'Council Entry'!AF15)),IF(AND(ISNUMBER('Council Entry'!AF$8),ISNUMBER('Council Entry'!AF$9)),MAX(MIN('Council Entry'!AF15,'Council Entry'!AF$9),'Council Entry'!AF$8),'Council Entry'!AF15))))-'Council Entry'!AF$5)/('Council Entry'!AF$6-'Council Entry'!AF$5)),1))),"No data"))</f>
        <v/>
      </c>
      <c r="AG15" s="13">
        <f>IF('Council Entry'!AG15="","",IFERROR(MAX(0,MIN(10,ROUND(IF('Council Entry'!AG$7="Decrease Risk",10-10*((IF('Council Entry'!AG$4="Logarithm",LN(0.001+IF(AND(ISNUMBER('Council Entry'!AG$8),ISNUMBER('Council Entry'!AG$9)),MAX(MIN('Council Entry'!AG15,'Council Entry'!AG$9),'Council Entry'!AG$8),'Council Entry'!AG15)),IF('Council Entry'!AG$4="Exponential",EXP(IF(AND(ISNUMBER('Council Entry'!AG$8),ISNUMBER('Council Entry'!AG$9)),MAX(MIN('Council Entry'!AG15,'Council Entry'!AG$9),'Council Entry'!AG$8),'Council Entry'!AG15)),IF(AND(ISNUMBER('Council Entry'!AG$8),ISNUMBER('Council Entry'!AG$9)),MAX(MIN('Council Entry'!AG15,'Council Entry'!AG$9),'Council Entry'!AG$8),'Council Entry'!AG15))))-'Council Entry'!AG$5)/('Council Entry'!AG$6-'Council Entry'!AG$5),10*((IF('Council Entry'!AG$4="Logarithm",LN(0.001+IF(AND(ISNUMBER('Council Entry'!AG$8),ISNUMBER('Council Entry'!AG$9)),MAX(MIN('Council Entry'!AG15,'Council Entry'!AG$9),'Council Entry'!AG$8),'Council Entry'!AG15)),IF('Council Entry'!AG$4="Exponential",EXP(IF(AND(ISNUMBER('Council Entry'!AG$8),ISNUMBER('Council Entry'!AG$9)),MAX(MIN('Council Entry'!AG15,'Council Entry'!AG$9),'Council Entry'!AG$8),'Council Entry'!AG15)),IF(AND(ISNUMBER('Council Entry'!AG$8),ISNUMBER('Council Entry'!AG$9)),MAX(MIN('Council Entry'!AG15,'Council Entry'!AG$9),'Council Entry'!AG$8),'Council Entry'!AG15))))-'Council Entry'!AG$5)/('Council Entry'!AG$6-'Council Entry'!AG$5)),1))),"No data"))</f>
        <v/>
      </c>
      <c r="AH15" s="13">
        <f>IF('Council Entry'!AH15="","",IFERROR(MAX(0,MIN(10,ROUND(IF('Council Entry'!AH$7="Decrease Risk",10-10*((IF('Council Entry'!AH$4="Logarithm",LN(0.001+IF(AND(ISNUMBER('Council Entry'!AH$8),ISNUMBER('Council Entry'!AH$9)),MAX(MIN('Council Entry'!AH15,'Council Entry'!AH$9),'Council Entry'!AH$8),'Council Entry'!AH15)),IF('Council Entry'!AH$4="Exponential",EXP(IF(AND(ISNUMBER('Council Entry'!AH$8),ISNUMBER('Council Entry'!AH$9)),MAX(MIN('Council Entry'!AH15,'Council Entry'!AH$9),'Council Entry'!AH$8),'Council Entry'!AH15)),IF(AND(ISNUMBER('Council Entry'!AH$8),ISNUMBER('Council Entry'!AH$9)),MAX(MIN('Council Entry'!AH15,'Council Entry'!AH$9),'Council Entry'!AH$8),'Council Entry'!AH15))))-'Council Entry'!AH$5)/('Council Entry'!AH$6-'Council Entry'!AH$5),10*((IF('Council Entry'!AH$4="Logarithm",LN(0.001+IF(AND(ISNUMBER('Council Entry'!AH$8),ISNUMBER('Council Entry'!AH$9)),MAX(MIN('Council Entry'!AH15,'Council Entry'!AH$9),'Council Entry'!AH$8),'Council Entry'!AH15)),IF('Council Entry'!AH$4="Exponential",EXP(IF(AND(ISNUMBER('Council Entry'!AH$8),ISNUMBER('Council Entry'!AH$9)),MAX(MIN('Council Entry'!AH15,'Council Entry'!AH$9),'Council Entry'!AH$8),'Council Entry'!AH15)),IF(AND(ISNUMBER('Council Entry'!AH$8),ISNUMBER('Council Entry'!AH$9)),MAX(MIN('Council Entry'!AH15,'Council Entry'!AH$9),'Council Entry'!AH$8),'Council Entry'!AH15))))-'Council Entry'!AH$5)/('Council Entry'!AH$6-'Council Entry'!AH$5)),1))),"No data"))</f>
        <v/>
      </c>
      <c r="AI15" s="13">
        <f>IF('Council Entry'!AI15="","",IFERROR(MAX(0,MIN(10,ROUND(IF('Council Entry'!AI$7="Decrease Risk",10-10*((IF('Council Entry'!AI$4="Logarithm",LN(0.001+IF(AND(ISNUMBER('Council Entry'!AI$8),ISNUMBER('Council Entry'!AI$9)),MAX(MIN('Council Entry'!AI15,'Council Entry'!AI$9),'Council Entry'!AI$8),'Council Entry'!AI15)),IF('Council Entry'!AI$4="Exponential",EXP(IF(AND(ISNUMBER('Council Entry'!AI$8),ISNUMBER('Council Entry'!AI$9)),MAX(MIN('Council Entry'!AI15,'Council Entry'!AI$9),'Council Entry'!AI$8),'Council Entry'!AI15)),IF(AND(ISNUMBER('Council Entry'!AI$8),ISNUMBER('Council Entry'!AI$9)),MAX(MIN('Council Entry'!AI15,'Council Entry'!AI$9),'Council Entry'!AI$8),'Council Entry'!AI15))))-'Council Entry'!AI$5)/('Council Entry'!AI$6-'Council Entry'!AI$5),10*((IF('Council Entry'!AI$4="Logarithm",LN(0.001+IF(AND(ISNUMBER('Council Entry'!AI$8),ISNUMBER('Council Entry'!AI$9)),MAX(MIN('Council Entry'!AI15,'Council Entry'!AI$9),'Council Entry'!AI$8),'Council Entry'!AI15)),IF('Council Entry'!AI$4="Exponential",EXP(IF(AND(ISNUMBER('Council Entry'!AI$8),ISNUMBER('Council Entry'!AI$9)),MAX(MIN('Council Entry'!AI15,'Council Entry'!AI$9),'Council Entry'!AI$8),'Council Entry'!AI15)),IF(AND(ISNUMBER('Council Entry'!AI$8),ISNUMBER('Council Entry'!AI$9)),MAX(MIN('Council Entry'!AI15,'Council Entry'!AI$9),'Council Entry'!AI$8),'Council Entry'!AI15))))-'Council Entry'!AI$5)/('Council Entry'!AI$6-'Council Entry'!AI$5)),1))),"No data"))</f>
        <v/>
      </c>
      <c r="AJ15" s="13">
        <f>IF('Council Entry'!AJ15="","",IFERROR(MAX(0,MIN(10,ROUND(IF('Council Entry'!AJ$7="Decrease Risk",10-10*((IF('Council Entry'!AJ$4="Logarithm",LN(0.001+IF(AND(ISNUMBER('Council Entry'!AJ$8),ISNUMBER('Council Entry'!AJ$9)),MAX(MIN('Council Entry'!AJ15,'Council Entry'!AJ$9),'Council Entry'!AJ$8),'Council Entry'!AJ15)),IF('Council Entry'!AJ$4="Exponential",EXP(IF(AND(ISNUMBER('Council Entry'!AJ$8),ISNUMBER('Council Entry'!AJ$9)),MAX(MIN('Council Entry'!AJ15,'Council Entry'!AJ$9),'Council Entry'!AJ$8),'Council Entry'!AJ15)),IF(AND(ISNUMBER('Council Entry'!AJ$8),ISNUMBER('Council Entry'!AJ$9)),MAX(MIN('Council Entry'!AJ15,'Council Entry'!AJ$9),'Council Entry'!AJ$8),'Council Entry'!AJ15))))-'Council Entry'!AJ$5)/('Council Entry'!AJ$6-'Council Entry'!AJ$5),10*((IF('Council Entry'!AJ$4="Logarithm",LN(0.001+IF(AND(ISNUMBER('Council Entry'!AJ$8),ISNUMBER('Council Entry'!AJ$9)),MAX(MIN('Council Entry'!AJ15,'Council Entry'!AJ$9),'Council Entry'!AJ$8),'Council Entry'!AJ15)),IF('Council Entry'!AJ$4="Exponential",EXP(IF(AND(ISNUMBER('Council Entry'!AJ$8),ISNUMBER('Council Entry'!AJ$9)),MAX(MIN('Council Entry'!AJ15,'Council Entry'!AJ$9),'Council Entry'!AJ$8),'Council Entry'!AJ15)),IF(AND(ISNUMBER('Council Entry'!AJ$8),ISNUMBER('Council Entry'!AJ$9)),MAX(MIN('Council Entry'!AJ15,'Council Entry'!AJ$9),'Council Entry'!AJ$8),'Council Entry'!AJ15))))-'Council Entry'!AJ$5)/('Council Entry'!AJ$6-'Council Entry'!AJ$5)),1))),"No data"))</f>
        <v/>
      </c>
      <c r="AK15" s="13">
        <f>IF('Council Entry'!AK15="","",IFERROR(MAX(0,MIN(10,ROUND(IF('Council Entry'!AK$7="Decrease Risk",10-10*((IF('Council Entry'!AK$4="Logarithm",LN(0.001+IF(AND(ISNUMBER('Council Entry'!AK$8),ISNUMBER('Council Entry'!AK$9)),MAX(MIN('Council Entry'!AK15,'Council Entry'!AK$9),'Council Entry'!AK$8),'Council Entry'!AK15)),IF('Council Entry'!AK$4="Exponential",EXP(IF(AND(ISNUMBER('Council Entry'!AK$8),ISNUMBER('Council Entry'!AK$9)),MAX(MIN('Council Entry'!AK15,'Council Entry'!AK$9),'Council Entry'!AK$8),'Council Entry'!AK15)),IF(AND(ISNUMBER('Council Entry'!AK$8),ISNUMBER('Council Entry'!AK$9)),MAX(MIN('Council Entry'!AK15,'Council Entry'!AK$9),'Council Entry'!AK$8),'Council Entry'!AK15))))-'Council Entry'!AK$5)/('Council Entry'!AK$6-'Council Entry'!AK$5),10*((IF('Council Entry'!AK$4="Logarithm",LN(0.001+IF(AND(ISNUMBER('Council Entry'!AK$8),ISNUMBER('Council Entry'!AK$9)),MAX(MIN('Council Entry'!AK15,'Council Entry'!AK$9),'Council Entry'!AK$8),'Council Entry'!AK15)),IF('Council Entry'!AK$4="Exponential",EXP(IF(AND(ISNUMBER('Council Entry'!AK$8),ISNUMBER('Council Entry'!AK$9)),MAX(MIN('Council Entry'!AK15,'Council Entry'!AK$9),'Council Entry'!AK$8),'Council Entry'!AK15)),IF(AND(ISNUMBER('Council Entry'!AK$8),ISNUMBER('Council Entry'!AK$9)),MAX(MIN('Council Entry'!AK15,'Council Entry'!AK$9),'Council Entry'!AK$8),'Council Entry'!AK15))))-'Council Entry'!AK$5)/('Council Entry'!AK$6-'Council Entry'!AK$5)),1))),"No data"))</f>
        <v/>
      </c>
      <c r="AL15" s="13">
        <f>IF('Council Entry'!AL15="","",IFERROR(MAX(0,MIN(10,ROUND(IF('Council Entry'!AL$7="Decrease Risk",10-10*((IF('Council Entry'!AL$4="Logarithm",LN(0.001+IF(AND(ISNUMBER('Council Entry'!AL$8),ISNUMBER('Council Entry'!AL$9)),MAX(MIN('Council Entry'!AL15,'Council Entry'!AL$9),'Council Entry'!AL$8),'Council Entry'!AL15)),IF('Council Entry'!AL$4="Exponential",EXP(IF(AND(ISNUMBER('Council Entry'!AL$8),ISNUMBER('Council Entry'!AL$9)),MAX(MIN('Council Entry'!AL15,'Council Entry'!AL$9),'Council Entry'!AL$8),'Council Entry'!AL15)),IF(AND(ISNUMBER('Council Entry'!AL$8),ISNUMBER('Council Entry'!AL$9)),MAX(MIN('Council Entry'!AL15,'Council Entry'!AL$9),'Council Entry'!AL$8),'Council Entry'!AL15))))-'Council Entry'!AL$5)/('Council Entry'!AL$6-'Council Entry'!AL$5),10*((IF('Council Entry'!AL$4="Logarithm",LN(0.001+IF(AND(ISNUMBER('Council Entry'!AL$8),ISNUMBER('Council Entry'!AL$9)),MAX(MIN('Council Entry'!AL15,'Council Entry'!AL$9),'Council Entry'!AL$8),'Council Entry'!AL15)),IF('Council Entry'!AL$4="Exponential",EXP(IF(AND(ISNUMBER('Council Entry'!AL$8),ISNUMBER('Council Entry'!AL$9)),MAX(MIN('Council Entry'!AL15,'Council Entry'!AL$9),'Council Entry'!AL$8),'Council Entry'!AL15)),IF(AND(ISNUMBER('Council Entry'!AL$8),ISNUMBER('Council Entry'!AL$9)),MAX(MIN('Council Entry'!AL15,'Council Entry'!AL$9),'Council Entry'!AL$8),'Council Entry'!AL15))))-'Council Entry'!AL$5)/('Council Entry'!AL$6-'Council Entry'!AL$5)),1))),"No data"))</f>
        <v/>
      </c>
      <c r="AM15" s="13">
        <f>IF('Council Entry'!AM15="","",IFERROR(MAX(0,MIN(10,ROUND(IF('Council Entry'!AM$7="Decrease Risk",10-10*((IF('Council Entry'!AM$4="Logarithm",LN(0.001+IF(AND(ISNUMBER('Council Entry'!AM$8),ISNUMBER('Council Entry'!AM$9)),MAX(MIN('Council Entry'!AM15,'Council Entry'!AM$9),'Council Entry'!AM$8),'Council Entry'!AM15)),IF('Council Entry'!AM$4="Exponential",EXP(IF(AND(ISNUMBER('Council Entry'!AM$8),ISNUMBER('Council Entry'!AM$9)),MAX(MIN('Council Entry'!AM15,'Council Entry'!AM$9),'Council Entry'!AM$8),'Council Entry'!AM15)),IF(AND(ISNUMBER('Council Entry'!AM$8),ISNUMBER('Council Entry'!AM$9)),MAX(MIN('Council Entry'!AM15,'Council Entry'!AM$9),'Council Entry'!AM$8),'Council Entry'!AM15))))-'Council Entry'!AM$5)/('Council Entry'!AM$6-'Council Entry'!AM$5),10*((IF('Council Entry'!AM$4="Logarithm",LN(0.001+IF(AND(ISNUMBER('Council Entry'!AM$8),ISNUMBER('Council Entry'!AM$9)),MAX(MIN('Council Entry'!AM15,'Council Entry'!AM$9),'Council Entry'!AM$8),'Council Entry'!AM15)),IF('Council Entry'!AM$4="Exponential",EXP(IF(AND(ISNUMBER('Council Entry'!AM$8),ISNUMBER('Council Entry'!AM$9)),MAX(MIN('Council Entry'!AM15,'Council Entry'!AM$9),'Council Entry'!AM$8),'Council Entry'!AM15)),IF(AND(ISNUMBER('Council Entry'!AM$8),ISNUMBER('Council Entry'!AM$9)),MAX(MIN('Council Entry'!AM15,'Council Entry'!AM$9),'Council Entry'!AM$8),'Council Entry'!AM15))))-'Council Entry'!AM$5)/('Council Entry'!AM$6-'Council Entry'!AM$5)),1))),"No data"))</f>
        <v/>
      </c>
      <c r="AN15" s="13">
        <f>IF('Council Entry'!AN15="","",IFERROR(MAX(0,MIN(10,ROUND(IF('Council Entry'!AN$7="Decrease Risk",10-10*((IF('Council Entry'!AN$4="Logarithm",LN(0.001+IF(AND(ISNUMBER('Council Entry'!AN$8),ISNUMBER('Council Entry'!AN$9)),MAX(MIN('Council Entry'!AN15,'Council Entry'!AN$9),'Council Entry'!AN$8),'Council Entry'!AN15)),IF('Council Entry'!AN$4="Exponential",EXP(IF(AND(ISNUMBER('Council Entry'!AN$8),ISNUMBER('Council Entry'!AN$9)),MAX(MIN('Council Entry'!AN15,'Council Entry'!AN$9),'Council Entry'!AN$8),'Council Entry'!AN15)),IF(AND(ISNUMBER('Council Entry'!AN$8),ISNUMBER('Council Entry'!AN$9)),MAX(MIN('Council Entry'!AN15,'Council Entry'!AN$9),'Council Entry'!AN$8),'Council Entry'!AN15))))-'Council Entry'!AN$5)/('Council Entry'!AN$6-'Council Entry'!AN$5),10*((IF('Council Entry'!AN$4="Logarithm",LN(0.001+IF(AND(ISNUMBER('Council Entry'!AN$8),ISNUMBER('Council Entry'!AN$9)),MAX(MIN('Council Entry'!AN15,'Council Entry'!AN$9),'Council Entry'!AN$8),'Council Entry'!AN15)),IF('Council Entry'!AN$4="Exponential",EXP(IF(AND(ISNUMBER('Council Entry'!AN$8),ISNUMBER('Council Entry'!AN$9)),MAX(MIN('Council Entry'!AN15,'Council Entry'!AN$9),'Council Entry'!AN$8),'Council Entry'!AN15)),IF(AND(ISNUMBER('Council Entry'!AN$8),ISNUMBER('Council Entry'!AN$9)),MAX(MIN('Council Entry'!AN15,'Council Entry'!AN$9),'Council Entry'!AN$8),'Council Entry'!AN15))))-'Council Entry'!AN$5)/('Council Entry'!AN$6-'Council Entry'!AN$5)),1))),"No data"))</f>
        <v/>
      </c>
      <c r="AO15" s="13">
        <f>IF('Council Entry'!AO15="","",IFERROR(MAX(0,MIN(10,ROUND(IF('Council Entry'!AO$7="Decrease Risk",10-10*((IF('Council Entry'!AO$4="Logarithm",LN(0.001+IF(AND(ISNUMBER('Council Entry'!AO$8),ISNUMBER('Council Entry'!AO$9)),MAX(MIN('Council Entry'!AO15,'Council Entry'!AO$9),'Council Entry'!AO$8),'Council Entry'!AO15)),IF('Council Entry'!AO$4="Exponential",EXP(IF(AND(ISNUMBER('Council Entry'!AO$8),ISNUMBER('Council Entry'!AO$9)),MAX(MIN('Council Entry'!AO15,'Council Entry'!AO$9),'Council Entry'!AO$8),'Council Entry'!AO15)),IF(AND(ISNUMBER('Council Entry'!AO$8),ISNUMBER('Council Entry'!AO$9)),MAX(MIN('Council Entry'!AO15,'Council Entry'!AO$9),'Council Entry'!AO$8),'Council Entry'!AO15))))-'Council Entry'!AO$5)/('Council Entry'!AO$6-'Council Entry'!AO$5),10*((IF('Council Entry'!AO$4="Logarithm",LN(0.001+IF(AND(ISNUMBER('Council Entry'!AO$8),ISNUMBER('Council Entry'!AO$9)),MAX(MIN('Council Entry'!AO15,'Council Entry'!AO$9),'Council Entry'!AO$8),'Council Entry'!AO15)),IF('Council Entry'!AO$4="Exponential",EXP(IF(AND(ISNUMBER('Council Entry'!AO$8),ISNUMBER('Council Entry'!AO$9)),MAX(MIN('Council Entry'!AO15,'Council Entry'!AO$9),'Council Entry'!AO$8),'Council Entry'!AO15)),IF(AND(ISNUMBER('Council Entry'!AO$8),ISNUMBER('Council Entry'!AO$9)),MAX(MIN('Council Entry'!AO15,'Council Entry'!AO$9),'Council Entry'!AO$8),'Council Entry'!AO15))))-'Council Entry'!AO$5)/('Council Entry'!AO$6-'Council Entry'!AO$5)),1))),"No data"))</f>
        <v/>
      </c>
      <c r="AP15" s="13">
        <f>IF('Council Entry'!AP15="","",IFERROR(MAX(0,MIN(10,ROUND(IF('Council Entry'!AP$7="Decrease Risk",10-10*((IF('Council Entry'!AP$4="Logarithm",LN(0.001+IF(AND(ISNUMBER('Council Entry'!AP$8),ISNUMBER('Council Entry'!AP$9)),MAX(MIN('Council Entry'!AP15,'Council Entry'!AP$9),'Council Entry'!AP$8),'Council Entry'!AP15)),IF('Council Entry'!AP$4="Exponential",EXP(IF(AND(ISNUMBER('Council Entry'!AP$8),ISNUMBER('Council Entry'!AP$9)),MAX(MIN('Council Entry'!AP15,'Council Entry'!AP$9),'Council Entry'!AP$8),'Council Entry'!AP15)),IF(AND(ISNUMBER('Council Entry'!AP$8),ISNUMBER('Council Entry'!AP$9)),MAX(MIN('Council Entry'!AP15,'Council Entry'!AP$9),'Council Entry'!AP$8),'Council Entry'!AP15))))-'Council Entry'!AP$5)/('Council Entry'!AP$6-'Council Entry'!AP$5),10*((IF('Council Entry'!AP$4="Logarithm",LN(0.001+IF(AND(ISNUMBER('Council Entry'!AP$8),ISNUMBER('Council Entry'!AP$9)),MAX(MIN('Council Entry'!AP15,'Council Entry'!AP$9),'Council Entry'!AP$8),'Council Entry'!AP15)),IF('Council Entry'!AP$4="Exponential",EXP(IF(AND(ISNUMBER('Council Entry'!AP$8),ISNUMBER('Council Entry'!AP$9)),MAX(MIN('Council Entry'!AP15,'Council Entry'!AP$9),'Council Entry'!AP$8),'Council Entry'!AP15)),IF(AND(ISNUMBER('Council Entry'!AP$8),ISNUMBER('Council Entry'!AP$9)),MAX(MIN('Council Entry'!AP15,'Council Entry'!AP$9),'Council Entry'!AP$8),'Council Entry'!AP15))))-'Council Entry'!AP$5)/('Council Entry'!AP$6-'Council Entry'!AP$5)),1))),"No data"))</f>
        <v/>
      </c>
      <c r="AQ15" s="13">
        <f>IF('Council Entry'!AQ15="","",IFERROR(MAX(0,MIN(10,ROUND(IF('Council Entry'!AQ$7="Decrease Risk",10-10*((IF('Council Entry'!AQ$4="Logarithm",LN(0.001+IF(AND(ISNUMBER('Council Entry'!AQ$8),ISNUMBER('Council Entry'!AQ$9)),MAX(MIN('Council Entry'!AQ15,'Council Entry'!AQ$9),'Council Entry'!AQ$8),'Council Entry'!AQ15)),IF('Council Entry'!AQ$4="Exponential",EXP(IF(AND(ISNUMBER('Council Entry'!AQ$8),ISNUMBER('Council Entry'!AQ$9)),MAX(MIN('Council Entry'!AQ15,'Council Entry'!AQ$9),'Council Entry'!AQ$8),'Council Entry'!AQ15)),IF(AND(ISNUMBER('Council Entry'!AQ$8),ISNUMBER('Council Entry'!AQ$9)),MAX(MIN('Council Entry'!AQ15,'Council Entry'!AQ$9),'Council Entry'!AQ$8),'Council Entry'!AQ15))))-'Council Entry'!AQ$5)/('Council Entry'!AQ$6-'Council Entry'!AQ$5),10*((IF('Council Entry'!AQ$4="Logarithm",LN(0.001+IF(AND(ISNUMBER('Council Entry'!AQ$8),ISNUMBER('Council Entry'!AQ$9)),MAX(MIN('Council Entry'!AQ15,'Council Entry'!AQ$9),'Council Entry'!AQ$8),'Council Entry'!AQ15)),IF('Council Entry'!AQ$4="Exponential",EXP(IF(AND(ISNUMBER('Council Entry'!AQ$8),ISNUMBER('Council Entry'!AQ$9)),MAX(MIN('Council Entry'!AQ15,'Council Entry'!AQ$9),'Council Entry'!AQ$8),'Council Entry'!AQ15)),IF(AND(ISNUMBER('Council Entry'!AQ$8),ISNUMBER('Council Entry'!AQ$9)),MAX(MIN('Council Entry'!AQ15,'Council Entry'!AQ$9),'Council Entry'!AQ$8),'Council Entry'!AQ15))))-'Council Entry'!AQ$5)/('Council Entry'!AQ$6-'Council Entry'!AQ$5)),1))),"No data"))</f>
        <v/>
      </c>
      <c r="AR15" s="13">
        <f>IF('Council Entry'!AR15="","",IFERROR(MAX(0,MIN(10,ROUND(IF('Council Entry'!AR$7="Decrease Risk",10-10*((IF('Council Entry'!AR$4="Logarithm",LN(0.001+IF(AND(ISNUMBER('Council Entry'!AR$8),ISNUMBER('Council Entry'!AR$9)),MAX(MIN('Council Entry'!AR15,'Council Entry'!AR$9),'Council Entry'!AR$8),'Council Entry'!AR15)),IF('Council Entry'!AR$4="Exponential",EXP(IF(AND(ISNUMBER('Council Entry'!AR$8),ISNUMBER('Council Entry'!AR$9)),MAX(MIN('Council Entry'!AR15,'Council Entry'!AR$9),'Council Entry'!AR$8),'Council Entry'!AR15)),IF(AND(ISNUMBER('Council Entry'!AR$8),ISNUMBER('Council Entry'!AR$9)),MAX(MIN('Council Entry'!AR15,'Council Entry'!AR$9),'Council Entry'!AR$8),'Council Entry'!AR15))))-'Council Entry'!AR$5)/('Council Entry'!AR$6-'Council Entry'!AR$5),10*((IF('Council Entry'!AR$4="Logarithm",LN(0.001+IF(AND(ISNUMBER('Council Entry'!AR$8),ISNUMBER('Council Entry'!AR$9)),MAX(MIN('Council Entry'!AR15,'Council Entry'!AR$9),'Council Entry'!AR$8),'Council Entry'!AR15)),IF('Council Entry'!AR$4="Exponential",EXP(IF(AND(ISNUMBER('Council Entry'!AR$8),ISNUMBER('Council Entry'!AR$9)),MAX(MIN('Council Entry'!AR15,'Council Entry'!AR$9),'Council Entry'!AR$8),'Council Entry'!AR15)),IF(AND(ISNUMBER('Council Entry'!AR$8),ISNUMBER('Council Entry'!AR$9)),MAX(MIN('Council Entry'!AR15,'Council Entry'!AR$9),'Council Entry'!AR$8),'Council Entry'!AR15))))-'Council Entry'!AR$5)/('Council Entry'!AR$6-'Council Entry'!AR$5)),1))),"No data"))</f>
        <v/>
      </c>
      <c r="AS15" s="13">
        <f>IF('Council Entry'!AS15="","",IFERROR(MAX(0,MIN(10,ROUND(IF('Council Entry'!AS$7="Decrease Risk",10-10*((IF('Council Entry'!AS$4="Logarithm",LN(0.001+IF(AND(ISNUMBER('Council Entry'!AS$8),ISNUMBER('Council Entry'!AS$9)),MAX(MIN('Council Entry'!AS15,'Council Entry'!AS$9),'Council Entry'!AS$8),'Council Entry'!AS15)),IF('Council Entry'!AS$4="Exponential",EXP(IF(AND(ISNUMBER('Council Entry'!AS$8),ISNUMBER('Council Entry'!AS$9)),MAX(MIN('Council Entry'!AS15,'Council Entry'!AS$9),'Council Entry'!AS$8),'Council Entry'!AS15)),IF(AND(ISNUMBER('Council Entry'!AS$8),ISNUMBER('Council Entry'!AS$9)),MAX(MIN('Council Entry'!AS15,'Council Entry'!AS$9),'Council Entry'!AS$8),'Council Entry'!AS15))))-'Council Entry'!AS$5)/('Council Entry'!AS$6-'Council Entry'!AS$5),10*((IF('Council Entry'!AS$4="Logarithm",LN(0.001+IF(AND(ISNUMBER('Council Entry'!AS$8),ISNUMBER('Council Entry'!AS$9)),MAX(MIN('Council Entry'!AS15,'Council Entry'!AS$9),'Council Entry'!AS$8),'Council Entry'!AS15)),IF('Council Entry'!AS$4="Exponential",EXP(IF(AND(ISNUMBER('Council Entry'!AS$8),ISNUMBER('Council Entry'!AS$9)),MAX(MIN('Council Entry'!AS15,'Council Entry'!AS$9),'Council Entry'!AS$8),'Council Entry'!AS15)),IF(AND(ISNUMBER('Council Entry'!AS$8),ISNUMBER('Council Entry'!AS$9)),MAX(MIN('Council Entry'!AS15,'Council Entry'!AS$9),'Council Entry'!AS$8),'Council Entry'!AS15))))-'Council Entry'!AS$5)/('Council Entry'!AS$6-'Council Entry'!AS$5)),1))),"No data"))</f>
        <v/>
      </c>
      <c r="AT15" s="13">
        <f>IF('Council Entry'!AT15="","",IFERROR(MAX(0,MIN(10,ROUND(IF('Council Entry'!AT$7="Decrease Risk",10-10*((IF('Council Entry'!AT$4="Logarithm",LN(0.001+IF(AND(ISNUMBER('Council Entry'!AT$8),ISNUMBER('Council Entry'!AT$9)),MAX(MIN('Council Entry'!AT15,'Council Entry'!AT$9),'Council Entry'!AT$8),'Council Entry'!AT15)),IF('Council Entry'!AT$4="Exponential",EXP(IF(AND(ISNUMBER('Council Entry'!AT$8),ISNUMBER('Council Entry'!AT$9)),MAX(MIN('Council Entry'!AT15,'Council Entry'!AT$9),'Council Entry'!AT$8),'Council Entry'!AT15)),IF(AND(ISNUMBER('Council Entry'!AT$8),ISNUMBER('Council Entry'!AT$9)),MAX(MIN('Council Entry'!AT15,'Council Entry'!AT$9),'Council Entry'!AT$8),'Council Entry'!AT15))))-'Council Entry'!AT$5)/('Council Entry'!AT$6-'Council Entry'!AT$5),10*((IF('Council Entry'!AT$4="Logarithm",LN(0.001+IF(AND(ISNUMBER('Council Entry'!AT$8),ISNUMBER('Council Entry'!AT$9)),MAX(MIN('Council Entry'!AT15,'Council Entry'!AT$9),'Council Entry'!AT$8),'Council Entry'!AT15)),IF('Council Entry'!AT$4="Exponential",EXP(IF(AND(ISNUMBER('Council Entry'!AT$8),ISNUMBER('Council Entry'!AT$9)),MAX(MIN('Council Entry'!AT15,'Council Entry'!AT$9),'Council Entry'!AT$8),'Council Entry'!AT15)),IF(AND(ISNUMBER('Council Entry'!AT$8),ISNUMBER('Council Entry'!AT$9)),MAX(MIN('Council Entry'!AT15,'Council Entry'!AT$9),'Council Entry'!AT$8),'Council Entry'!AT15))))-'Council Entry'!AT$5)/('Council Entry'!AT$6-'Council Entry'!AT$5)),1))),"No data"))</f>
        <v/>
      </c>
      <c r="AU15" s="13">
        <f>IF('Council Entry'!AU15="","",IFERROR(MAX(0,MIN(10,ROUND(IF('Council Entry'!AU$7="Decrease Risk",10-10*((IF('Council Entry'!AU$4="Logarithm",LN(0.001+IF(AND(ISNUMBER('Council Entry'!AU$8),ISNUMBER('Council Entry'!AU$9)),MAX(MIN('Council Entry'!AU15,'Council Entry'!AU$9),'Council Entry'!AU$8),'Council Entry'!AU15)),IF('Council Entry'!AU$4="Exponential",EXP(IF(AND(ISNUMBER('Council Entry'!AU$8),ISNUMBER('Council Entry'!AU$9)),MAX(MIN('Council Entry'!AU15,'Council Entry'!AU$9),'Council Entry'!AU$8),'Council Entry'!AU15)),IF(AND(ISNUMBER('Council Entry'!AU$8),ISNUMBER('Council Entry'!AU$9)),MAX(MIN('Council Entry'!AU15,'Council Entry'!AU$9),'Council Entry'!AU$8),'Council Entry'!AU15))))-'Council Entry'!AU$5)/('Council Entry'!AU$6-'Council Entry'!AU$5),10*((IF('Council Entry'!AU$4="Logarithm",LN(0.001+IF(AND(ISNUMBER('Council Entry'!AU$8),ISNUMBER('Council Entry'!AU$9)),MAX(MIN('Council Entry'!AU15,'Council Entry'!AU$9),'Council Entry'!AU$8),'Council Entry'!AU15)),IF('Council Entry'!AU$4="Exponential",EXP(IF(AND(ISNUMBER('Council Entry'!AU$8),ISNUMBER('Council Entry'!AU$9)),MAX(MIN('Council Entry'!AU15,'Council Entry'!AU$9),'Council Entry'!AU$8),'Council Entry'!AU15)),IF(AND(ISNUMBER('Council Entry'!AU$8),ISNUMBER('Council Entry'!AU$9)),MAX(MIN('Council Entry'!AU15,'Council Entry'!AU$9),'Council Entry'!AU$8),'Council Entry'!AU15))))-'Council Entry'!AU$5)/('Council Entry'!AU$6-'Council Entry'!AU$5)),1))),"No data"))</f>
        <v/>
      </c>
      <c r="AV15" s="13">
        <f>IF('Council Entry'!AV15="","",IFERROR(MAX(0,MIN(10,ROUND(IF('Council Entry'!AV$7="Decrease Risk",10-10*((IF('Council Entry'!AV$4="Logarithm",LN(0.001+IF(AND(ISNUMBER('Council Entry'!AV$8),ISNUMBER('Council Entry'!AV$9)),MAX(MIN('Council Entry'!AV15,'Council Entry'!AV$9),'Council Entry'!AV$8),'Council Entry'!AV15)),IF('Council Entry'!AV$4="Exponential",EXP(IF(AND(ISNUMBER('Council Entry'!AV$8),ISNUMBER('Council Entry'!AV$9)),MAX(MIN('Council Entry'!AV15,'Council Entry'!AV$9),'Council Entry'!AV$8),'Council Entry'!AV15)),IF(AND(ISNUMBER('Council Entry'!AV$8),ISNUMBER('Council Entry'!AV$9)),MAX(MIN('Council Entry'!AV15,'Council Entry'!AV$9),'Council Entry'!AV$8),'Council Entry'!AV15))))-'Council Entry'!AV$5)/('Council Entry'!AV$6-'Council Entry'!AV$5),10*((IF('Council Entry'!AV$4="Logarithm",LN(0.001+IF(AND(ISNUMBER('Council Entry'!AV$8),ISNUMBER('Council Entry'!AV$9)),MAX(MIN('Council Entry'!AV15,'Council Entry'!AV$9),'Council Entry'!AV$8),'Council Entry'!AV15)),IF('Council Entry'!AV$4="Exponential",EXP(IF(AND(ISNUMBER('Council Entry'!AV$8),ISNUMBER('Council Entry'!AV$9)),MAX(MIN('Council Entry'!AV15,'Council Entry'!AV$9),'Council Entry'!AV$8),'Council Entry'!AV15)),IF(AND(ISNUMBER('Council Entry'!AV$8),ISNUMBER('Council Entry'!AV$9)),MAX(MIN('Council Entry'!AV15,'Council Entry'!AV$9),'Council Entry'!AV$8),'Council Entry'!AV15))))-'Council Entry'!AV$5)/('Council Entry'!AV$6-'Council Entry'!AV$5)),1))),"No data"))</f>
        <v/>
      </c>
      <c r="AW15" s="13">
        <f>IF('Council Entry'!AW15="","",IFERROR(MAX(0,MIN(10,ROUND(IF('Council Entry'!AW$7="Decrease Risk",10-10*((IF('Council Entry'!AW$4="Logarithm",LN(0.001+IF(AND(ISNUMBER('Council Entry'!AW$8),ISNUMBER('Council Entry'!AW$9)),MAX(MIN('Council Entry'!AW15,'Council Entry'!AW$9),'Council Entry'!AW$8),'Council Entry'!AW15)),IF('Council Entry'!AW$4="Exponential",EXP(IF(AND(ISNUMBER('Council Entry'!AW$8),ISNUMBER('Council Entry'!AW$9)),MAX(MIN('Council Entry'!AW15,'Council Entry'!AW$9),'Council Entry'!AW$8),'Council Entry'!AW15)),IF(AND(ISNUMBER('Council Entry'!AW$8),ISNUMBER('Council Entry'!AW$9)),MAX(MIN('Council Entry'!AW15,'Council Entry'!AW$9),'Council Entry'!AW$8),'Council Entry'!AW15))))-'Council Entry'!AW$5)/('Council Entry'!AW$6-'Council Entry'!AW$5),10*((IF('Council Entry'!AW$4="Logarithm",LN(0.001+IF(AND(ISNUMBER('Council Entry'!AW$8),ISNUMBER('Council Entry'!AW$9)),MAX(MIN('Council Entry'!AW15,'Council Entry'!AW$9),'Council Entry'!AW$8),'Council Entry'!AW15)),IF('Council Entry'!AW$4="Exponential",EXP(IF(AND(ISNUMBER('Council Entry'!AW$8),ISNUMBER('Council Entry'!AW$9)),MAX(MIN('Council Entry'!AW15,'Council Entry'!AW$9),'Council Entry'!AW$8),'Council Entry'!AW15)),IF(AND(ISNUMBER('Council Entry'!AW$8),ISNUMBER('Council Entry'!AW$9)),MAX(MIN('Council Entry'!AW15,'Council Entry'!AW$9),'Council Entry'!AW$8),'Council Entry'!AW15))))-'Council Entry'!AW$5)/('Council Entry'!AW$6-'Council Entry'!AW$5)),1))),"No data"))</f>
        <v/>
      </c>
      <c r="AX15" s="13">
        <f>IF('Council Entry'!AX15="","",IFERROR(MAX(0,MIN(10,ROUND(IF('Council Entry'!AX$7="Decrease Risk",10-10*((IF('Council Entry'!AX$4="Logarithm",LN(0.001+IF(AND(ISNUMBER('Council Entry'!AX$8),ISNUMBER('Council Entry'!AX$9)),MAX(MIN('Council Entry'!AX15,'Council Entry'!AX$9),'Council Entry'!AX$8),'Council Entry'!AX15)),IF('Council Entry'!AX$4="Exponential",EXP(IF(AND(ISNUMBER('Council Entry'!AX$8),ISNUMBER('Council Entry'!AX$9)),MAX(MIN('Council Entry'!AX15,'Council Entry'!AX$9),'Council Entry'!AX$8),'Council Entry'!AX15)),IF(AND(ISNUMBER('Council Entry'!AX$8),ISNUMBER('Council Entry'!AX$9)),MAX(MIN('Council Entry'!AX15,'Council Entry'!AX$9),'Council Entry'!AX$8),'Council Entry'!AX15))))-'Council Entry'!AX$5)/('Council Entry'!AX$6-'Council Entry'!AX$5),10*((IF('Council Entry'!AX$4="Logarithm",LN(0.001+IF(AND(ISNUMBER('Council Entry'!AX$8),ISNUMBER('Council Entry'!AX$9)),MAX(MIN('Council Entry'!AX15,'Council Entry'!AX$9),'Council Entry'!AX$8),'Council Entry'!AX15)),IF('Council Entry'!AX$4="Exponential",EXP(IF(AND(ISNUMBER('Council Entry'!AX$8),ISNUMBER('Council Entry'!AX$9)),MAX(MIN('Council Entry'!AX15,'Council Entry'!AX$9),'Council Entry'!AX$8),'Council Entry'!AX15)),IF(AND(ISNUMBER('Council Entry'!AX$8),ISNUMBER('Council Entry'!AX$9)),MAX(MIN('Council Entry'!AX15,'Council Entry'!AX$9),'Council Entry'!AX$8),'Council Entry'!AX15))))-'Council Entry'!AX$5)/('Council Entry'!AX$6-'Council Entry'!AX$5)),1))),"No data"))</f>
        <v/>
      </c>
      <c r="AY15" s="13">
        <f>IF('Council Entry'!AY15="","",IFERROR(MAX(0,MIN(10,ROUND(IF('Council Entry'!AY$7="Decrease Risk",10-10*((IF('Council Entry'!AY$4="Logarithm",LN(0.001+IF(AND(ISNUMBER('Council Entry'!AY$8),ISNUMBER('Council Entry'!AY$9)),MAX(MIN('Council Entry'!AY15,'Council Entry'!AY$9),'Council Entry'!AY$8),'Council Entry'!AY15)),IF('Council Entry'!AY$4="Exponential",EXP(IF(AND(ISNUMBER('Council Entry'!AY$8),ISNUMBER('Council Entry'!AY$9)),MAX(MIN('Council Entry'!AY15,'Council Entry'!AY$9),'Council Entry'!AY$8),'Council Entry'!AY15)),IF(AND(ISNUMBER('Council Entry'!AY$8),ISNUMBER('Council Entry'!AY$9)),MAX(MIN('Council Entry'!AY15,'Council Entry'!AY$9),'Council Entry'!AY$8),'Council Entry'!AY15))))-'Council Entry'!AY$5)/('Council Entry'!AY$6-'Council Entry'!AY$5),10*((IF('Council Entry'!AY$4="Logarithm",LN(0.001+IF(AND(ISNUMBER('Council Entry'!AY$8),ISNUMBER('Council Entry'!AY$9)),MAX(MIN('Council Entry'!AY15,'Council Entry'!AY$9),'Council Entry'!AY$8),'Council Entry'!AY15)),IF('Council Entry'!AY$4="Exponential",EXP(IF(AND(ISNUMBER('Council Entry'!AY$8),ISNUMBER('Council Entry'!AY$9)),MAX(MIN('Council Entry'!AY15,'Council Entry'!AY$9),'Council Entry'!AY$8),'Council Entry'!AY15)),IF(AND(ISNUMBER('Council Entry'!AY$8),ISNUMBER('Council Entry'!AY$9)),MAX(MIN('Council Entry'!AY15,'Council Entry'!AY$9),'Council Entry'!AY$8),'Council Entry'!AY15))))-'Council Entry'!AY$5)/('Council Entry'!AY$6-'Council Entry'!AY$5)),1))),"No data"))</f>
        <v/>
      </c>
      <c r="AZ15" s="13">
        <f>IF('Council Entry'!AZ15="","",IFERROR(MAX(0,MIN(10,ROUND(IF('Council Entry'!AZ$7="Decrease Risk",10-10*((IF('Council Entry'!AZ$4="Logarithm",LN(0.001+IF(AND(ISNUMBER('Council Entry'!AZ$8),ISNUMBER('Council Entry'!AZ$9)),MAX(MIN('Council Entry'!AZ15,'Council Entry'!AZ$9),'Council Entry'!AZ$8),'Council Entry'!AZ15)),IF('Council Entry'!AZ$4="Exponential",EXP(IF(AND(ISNUMBER('Council Entry'!AZ$8),ISNUMBER('Council Entry'!AZ$9)),MAX(MIN('Council Entry'!AZ15,'Council Entry'!AZ$9),'Council Entry'!AZ$8),'Council Entry'!AZ15)),IF(AND(ISNUMBER('Council Entry'!AZ$8),ISNUMBER('Council Entry'!AZ$9)),MAX(MIN('Council Entry'!AZ15,'Council Entry'!AZ$9),'Council Entry'!AZ$8),'Council Entry'!AZ15))))-'Council Entry'!AZ$5)/('Council Entry'!AZ$6-'Council Entry'!AZ$5),10*((IF('Council Entry'!AZ$4="Logarithm",LN(0.001+IF(AND(ISNUMBER('Council Entry'!AZ$8),ISNUMBER('Council Entry'!AZ$9)),MAX(MIN('Council Entry'!AZ15,'Council Entry'!AZ$9),'Council Entry'!AZ$8),'Council Entry'!AZ15)),IF('Council Entry'!AZ$4="Exponential",EXP(IF(AND(ISNUMBER('Council Entry'!AZ$8),ISNUMBER('Council Entry'!AZ$9)),MAX(MIN('Council Entry'!AZ15,'Council Entry'!AZ$9),'Council Entry'!AZ$8),'Council Entry'!AZ15)),IF(AND(ISNUMBER('Council Entry'!AZ$8),ISNUMBER('Council Entry'!AZ$9)),MAX(MIN('Council Entry'!AZ15,'Council Entry'!AZ$9),'Council Entry'!AZ$8),'Council Entry'!AZ15))))-'Council Entry'!AZ$5)/('Council Entry'!AZ$6-'Council Entry'!AZ$5)),1))),"No data"))</f>
        <v/>
      </c>
      <c r="BA15" s="13">
        <f>IF('Council Entry'!BA15="","",IFERROR(MAX(0,MIN(10,ROUND(IF('Council Entry'!BA$7="Decrease Risk",10-10*((IF('Council Entry'!BA$4="Logarithm",LN(0.001+IF(AND(ISNUMBER('Council Entry'!BA$8),ISNUMBER('Council Entry'!BA$9)),MAX(MIN('Council Entry'!BA15,'Council Entry'!BA$9),'Council Entry'!BA$8),'Council Entry'!BA15)),IF('Council Entry'!BA$4="Exponential",EXP(IF(AND(ISNUMBER('Council Entry'!BA$8),ISNUMBER('Council Entry'!BA$9)),MAX(MIN('Council Entry'!BA15,'Council Entry'!BA$9),'Council Entry'!BA$8),'Council Entry'!BA15)),IF(AND(ISNUMBER('Council Entry'!BA$8),ISNUMBER('Council Entry'!BA$9)),MAX(MIN('Council Entry'!BA15,'Council Entry'!BA$9),'Council Entry'!BA$8),'Council Entry'!BA15))))-'Council Entry'!BA$5)/('Council Entry'!BA$6-'Council Entry'!BA$5),10*((IF('Council Entry'!BA$4="Logarithm",LN(0.001+IF(AND(ISNUMBER('Council Entry'!BA$8),ISNUMBER('Council Entry'!BA$9)),MAX(MIN('Council Entry'!BA15,'Council Entry'!BA$9),'Council Entry'!BA$8),'Council Entry'!BA15)),IF('Council Entry'!BA$4="Exponential",EXP(IF(AND(ISNUMBER('Council Entry'!BA$8),ISNUMBER('Council Entry'!BA$9)),MAX(MIN('Council Entry'!BA15,'Council Entry'!BA$9),'Council Entry'!BA$8),'Council Entry'!BA15)),IF(AND(ISNUMBER('Council Entry'!BA$8),ISNUMBER('Council Entry'!BA$9)),MAX(MIN('Council Entry'!BA15,'Council Entry'!BA$9),'Council Entry'!BA$8),'Council Entry'!BA15))))-'Council Entry'!BA$5)/('Council Entry'!BA$6-'Council Entry'!BA$5)),1))),"No data"))</f>
        <v/>
      </c>
      <c r="BB15" s="13">
        <f>IF('Council Entry'!BB15="","",IFERROR(MAX(0,MIN(10,ROUND(IF('Council Entry'!BB$7="Decrease Risk",10-10*((IF('Council Entry'!BB$4="Logarithm",LN(0.001+IF(AND(ISNUMBER('Council Entry'!BB$8),ISNUMBER('Council Entry'!BB$9)),MAX(MIN('Council Entry'!BB15,'Council Entry'!BB$9),'Council Entry'!BB$8),'Council Entry'!BB15)),IF('Council Entry'!BB$4="Exponential",EXP(IF(AND(ISNUMBER('Council Entry'!BB$8),ISNUMBER('Council Entry'!BB$9)),MAX(MIN('Council Entry'!BB15,'Council Entry'!BB$9),'Council Entry'!BB$8),'Council Entry'!BB15)),IF(AND(ISNUMBER('Council Entry'!BB$8),ISNUMBER('Council Entry'!BB$9)),MAX(MIN('Council Entry'!BB15,'Council Entry'!BB$9),'Council Entry'!BB$8),'Council Entry'!BB15))))-'Council Entry'!BB$5)/('Council Entry'!BB$6-'Council Entry'!BB$5),10*((IF('Council Entry'!BB$4="Logarithm",LN(0.001+IF(AND(ISNUMBER('Council Entry'!BB$8),ISNUMBER('Council Entry'!BB$9)),MAX(MIN('Council Entry'!BB15,'Council Entry'!BB$9),'Council Entry'!BB$8),'Council Entry'!BB15)),IF('Council Entry'!BB$4="Exponential",EXP(IF(AND(ISNUMBER('Council Entry'!BB$8),ISNUMBER('Council Entry'!BB$9)),MAX(MIN('Council Entry'!BB15,'Council Entry'!BB$9),'Council Entry'!BB$8),'Council Entry'!BB15)),IF(AND(ISNUMBER('Council Entry'!BB$8),ISNUMBER('Council Entry'!BB$9)),MAX(MIN('Council Entry'!BB15,'Council Entry'!BB$9),'Council Entry'!BB$8),'Council Entry'!BB15))))-'Council Entry'!BB$5)/('Council Entry'!BB$6-'Council Entry'!BB$5)),1))),"No data"))</f>
        <v/>
      </c>
      <c r="BC15" s="13">
        <f>IF('Council Entry'!BC15="","",IFERROR(MAX(0,MIN(10,ROUND(IF('Council Entry'!BC$7="Decrease Risk",10-10*((IF('Council Entry'!BC$4="Logarithm",LN(0.001+IF(AND(ISNUMBER('Council Entry'!BC$8),ISNUMBER('Council Entry'!BC$9)),MAX(MIN('Council Entry'!BC15,'Council Entry'!BC$9),'Council Entry'!BC$8),'Council Entry'!BC15)),IF('Council Entry'!BC$4="Exponential",EXP(IF(AND(ISNUMBER('Council Entry'!BC$8),ISNUMBER('Council Entry'!BC$9)),MAX(MIN('Council Entry'!BC15,'Council Entry'!BC$9),'Council Entry'!BC$8),'Council Entry'!BC15)),IF(AND(ISNUMBER('Council Entry'!BC$8),ISNUMBER('Council Entry'!BC$9)),MAX(MIN('Council Entry'!BC15,'Council Entry'!BC$9),'Council Entry'!BC$8),'Council Entry'!BC15))))-'Council Entry'!BC$5)/('Council Entry'!BC$6-'Council Entry'!BC$5),10*((IF('Council Entry'!BC$4="Logarithm",LN(0.001+IF(AND(ISNUMBER('Council Entry'!BC$8),ISNUMBER('Council Entry'!BC$9)),MAX(MIN('Council Entry'!BC15,'Council Entry'!BC$9),'Council Entry'!BC$8),'Council Entry'!BC15)),IF('Council Entry'!BC$4="Exponential",EXP(IF(AND(ISNUMBER('Council Entry'!BC$8),ISNUMBER('Council Entry'!BC$9)),MAX(MIN('Council Entry'!BC15,'Council Entry'!BC$9),'Council Entry'!BC$8),'Council Entry'!BC15)),IF(AND(ISNUMBER('Council Entry'!BC$8),ISNUMBER('Council Entry'!BC$9)),MAX(MIN('Council Entry'!BC15,'Council Entry'!BC$9),'Council Entry'!BC$8),'Council Entry'!BC15))))-'Council Entry'!BC$5)/('Council Entry'!BC$6-'Council Entry'!BC$5)),1))),"No data"))</f>
        <v/>
      </c>
      <c r="BD15" s="13">
        <f>IF('Council Entry'!BD15="","",IFERROR(MAX(0,MIN(10,ROUND(IF('Council Entry'!BD$7="Decrease Risk",10-10*((IF('Council Entry'!BD$4="Logarithm",LN(0.001+IF(AND(ISNUMBER('Council Entry'!BD$8),ISNUMBER('Council Entry'!BD$9)),MAX(MIN('Council Entry'!BD15,'Council Entry'!BD$9),'Council Entry'!BD$8),'Council Entry'!BD15)),IF('Council Entry'!BD$4="Exponential",EXP(IF(AND(ISNUMBER('Council Entry'!BD$8),ISNUMBER('Council Entry'!BD$9)),MAX(MIN('Council Entry'!BD15,'Council Entry'!BD$9),'Council Entry'!BD$8),'Council Entry'!BD15)),IF(AND(ISNUMBER('Council Entry'!BD$8),ISNUMBER('Council Entry'!BD$9)),MAX(MIN('Council Entry'!BD15,'Council Entry'!BD$9),'Council Entry'!BD$8),'Council Entry'!BD15))))-'Council Entry'!BD$5)/('Council Entry'!BD$6-'Council Entry'!BD$5),10*((IF('Council Entry'!BD$4="Logarithm",LN(0.001+IF(AND(ISNUMBER('Council Entry'!BD$8),ISNUMBER('Council Entry'!BD$9)),MAX(MIN('Council Entry'!BD15,'Council Entry'!BD$9),'Council Entry'!BD$8),'Council Entry'!BD15)),IF('Council Entry'!BD$4="Exponential",EXP(IF(AND(ISNUMBER('Council Entry'!BD$8),ISNUMBER('Council Entry'!BD$9)),MAX(MIN('Council Entry'!BD15,'Council Entry'!BD$9),'Council Entry'!BD$8),'Council Entry'!BD15)),IF(AND(ISNUMBER('Council Entry'!BD$8),ISNUMBER('Council Entry'!BD$9)),MAX(MIN('Council Entry'!BD15,'Council Entry'!BD$9),'Council Entry'!BD$8),'Council Entry'!BD15))))-'Council Entry'!BD$5)/('Council Entry'!BD$6-'Council Entry'!BD$5)),1))),"No data"))</f>
        <v/>
      </c>
    </row>
    <row r="16">
      <c r="A16" t="inlineStr">
        <is>
          <t>Arusha</t>
        </is>
      </c>
      <c r="B16" t="inlineStr">
        <is>
          <t>Monduli District</t>
        </is>
      </c>
      <c r="C16" t="inlineStr">
        <is>
          <t>C009</t>
        </is>
      </c>
      <c r="D16" s="13">
        <f>IF('Council Entry'!D16="","",IFERROR(MAX(0,MIN(10,ROUND(IF('Council Entry'!D$7="Decrease Risk",10-10*((IF('Council Entry'!D$4="Logarithm",LN(0.001+IF(AND(ISNUMBER('Council Entry'!D$8),ISNUMBER('Council Entry'!D$9)),MAX(MIN('Council Entry'!D16,'Council Entry'!D$9),'Council Entry'!D$8),'Council Entry'!D16)),IF('Council Entry'!D$4="Exponential",EXP(IF(AND(ISNUMBER('Council Entry'!D$8),ISNUMBER('Council Entry'!D$9)),MAX(MIN('Council Entry'!D16,'Council Entry'!D$9),'Council Entry'!D$8),'Council Entry'!D16)),IF(AND(ISNUMBER('Council Entry'!D$8),ISNUMBER('Council Entry'!D$9)),MAX(MIN('Council Entry'!D16,'Council Entry'!D$9),'Council Entry'!D$8),'Council Entry'!D16))))-'Council Entry'!D$5)/('Council Entry'!D$6-'Council Entry'!D$5),10*((IF('Council Entry'!D$4="Logarithm",LN(0.001+IF(AND(ISNUMBER('Council Entry'!D$8),ISNUMBER('Council Entry'!D$9)),MAX(MIN('Council Entry'!D16,'Council Entry'!D$9),'Council Entry'!D$8),'Council Entry'!D16)),IF('Council Entry'!D$4="Exponential",EXP(IF(AND(ISNUMBER('Council Entry'!D$8),ISNUMBER('Council Entry'!D$9)),MAX(MIN('Council Entry'!D16,'Council Entry'!D$9),'Council Entry'!D$8),'Council Entry'!D16)),IF(AND(ISNUMBER('Council Entry'!D$8),ISNUMBER('Council Entry'!D$9)),MAX(MIN('Council Entry'!D16,'Council Entry'!D$9),'Council Entry'!D$8),'Council Entry'!D16))))-'Council Entry'!D$5)/('Council Entry'!D$6-'Council Entry'!D$5)),1))),"No data"))</f>
        <v/>
      </c>
      <c r="E16" s="13">
        <f>IF('Council Entry'!E16="","",IFERROR(MAX(0,MIN(10,ROUND(IF('Council Entry'!E$7="Decrease Risk",10-10*((IF('Council Entry'!E$4="Logarithm",LN(0.001+IF(AND(ISNUMBER('Council Entry'!E$8),ISNUMBER('Council Entry'!E$9)),MAX(MIN('Council Entry'!E16,'Council Entry'!E$9),'Council Entry'!E$8),'Council Entry'!E16)),IF('Council Entry'!E$4="Exponential",EXP(IF(AND(ISNUMBER('Council Entry'!E$8),ISNUMBER('Council Entry'!E$9)),MAX(MIN('Council Entry'!E16,'Council Entry'!E$9),'Council Entry'!E$8),'Council Entry'!E16)),IF(AND(ISNUMBER('Council Entry'!E$8),ISNUMBER('Council Entry'!E$9)),MAX(MIN('Council Entry'!E16,'Council Entry'!E$9),'Council Entry'!E$8),'Council Entry'!E16))))-'Council Entry'!E$5)/('Council Entry'!E$6-'Council Entry'!E$5),10*((IF('Council Entry'!E$4="Logarithm",LN(0.001+IF(AND(ISNUMBER('Council Entry'!E$8),ISNUMBER('Council Entry'!E$9)),MAX(MIN('Council Entry'!E16,'Council Entry'!E$9),'Council Entry'!E$8),'Council Entry'!E16)),IF('Council Entry'!E$4="Exponential",EXP(IF(AND(ISNUMBER('Council Entry'!E$8),ISNUMBER('Council Entry'!E$9)),MAX(MIN('Council Entry'!E16,'Council Entry'!E$9),'Council Entry'!E$8),'Council Entry'!E16)),IF(AND(ISNUMBER('Council Entry'!E$8),ISNUMBER('Council Entry'!E$9)),MAX(MIN('Council Entry'!E16,'Council Entry'!E$9),'Council Entry'!E$8),'Council Entry'!E16))))-'Council Entry'!E$5)/('Council Entry'!E$6-'Council Entry'!E$5)),1))),"No data"))</f>
        <v/>
      </c>
      <c r="F16" s="13">
        <f>IF('Council Entry'!F16="","",IFERROR(MAX(0,MIN(10,ROUND(IF('Council Entry'!F$7="Decrease Risk",10-10*((IF('Council Entry'!F$4="Logarithm",LN(0.001+IF(AND(ISNUMBER('Council Entry'!F$8),ISNUMBER('Council Entry'!F$9)),MAX(MIN('Council Entry'!F16,'Council Entry'!F$9),'Council Entry'!F$8),'Council Entry'!F16)),IF('Council Entry'!F$4="Exponential",EXP(IF(AND(ISNUMBER('Council Entry'!F$8),ISNUMBER('Council Entry'!F$9)),MAX(MIN('Council Entry'!F16,'Council Entry'!F$9),'Council Entry'!F$8),'Council Entry'!F16)),IF(AND(ISNUMBER('Council Entry'!F$8),ISNUMBER('Council Entry'!F$9)),MAX(MIN('Council Entry'!F16,'Council Entry'!F$9),'Council Entry'!F$8),'Council Entry'!F16))))-'Council Entry'!F$5)/('Council Entry'!F$6-'Council Entry'!F$5),10*((IF('Council Entry'!F$4="Logarithm",LN(0.001+IF(AND(ISNUMBER('Council Entry'!F$8),ISNUMBER('Council Entry'!F$9)),MAX(MIN('Council Entry'!F16,'Council Entry'!F$9),'Council Entry'!F$8),'Council Entry'!F16)),IF('Council Entry'!F$4="Exponential",EXP(IF(AND(ISNUMBER('Council Entry'!F$8),ISNUMBER('Council Entry'!F$9)),MAX(MIN('Council Entry'!F16,'Council Entry'!F$9),'Council Entry'!F$8),'Council Entry'!F16)),IF(AND(ISNUMBER('Council Entry'!F$8),ISNUMBER('Council Entry'!F$9)),MAX(MIN('Council Entry'!F16,'Council Entry'!F$9),'Council Entry'!F$8),'Council Entry'!F16))))-'Council Entry'!F$5)/('Council Entry'!F$6-'Council Entry'!F$5)),1))),"No data"))</f>
        <v/>
      </c>
      <c r="G16" s="13">
        <f>IF('Council Entry'!G16="","",IFERROR(MAX(0,MIN(10,ROUND(IF('Council Entry'!G$7="Decrease Risk",10-10*((IF('Council Entry'!G$4="Logarithm",LN(0.001+IF(AND(ISNUMBER('Council Entry'!G$8),ISNUMBER('Council Entry'!G$9)),MAX(MIN('Council Entry'!G16,'Council Entry'!G$9),'Council Entry'!G$8),'Council Entry'!G16)),IF('Council Entry'!G$4="Exponential",EXP(IF(AND(ISNUMBER('Council Entry'!G$8),ISNUMBER('Council Entry'!G$9)),MAX(MIN('Council Entry'!G16,'Council Entry'!G$9),'Council Entry'!G$8),'Council Entry'!G16)),IF(AND(ISNUMBER('Council Entry'!G$8),ISNUMBER('Council Entry'!G$9)),MAX(MIN('Council Entry'!G16,'Council Entry'!G$9),'Council Entry'!G$8),'Council Entry'!G16))))-'Council Entry'!G$5)/('Council Entry'!G$6-'Council Entry'!G$5),10*((IF('Council Entry'!G$4="Logarithm",LN(0.001+IF(AND(ISNUMBER('Council Entry'!G$8),ISNUMBER('Council Entry'!G$9)),MAX(MIN('Council Entry'!G16,'Council Entry'!G$9),'Council Entry'!G$8),'Council Entry'!G16)),IF('Council Entry'!G$4="Exponential",EXP(IF(AND(ISNUMBER('Council Entry'!G$8),ISNUMBER('Council Entry'!G$9)),MAX(MIN('Council Entry'!G16,'Council Entry'!G$9),'Council Entry'!G$8),'Council Entry'!G16)),IF(AND(ISNUMBER('Council Entry'!G$8),ISNUMBER('Council Entry'!G$9)),MAX(MIN('Council Entry'!G16,'Council Entry'!G$9),'Council Entry'!G$8),'Council Entry'!G16))))-'Council Entry'!G$5)/('Council Entry'!G$6-'Council Entry'!G$5)),1))),"No data"))</f>
        <v/>
      </c>
      <c r="H16" s="13">
        <f>IF('Council Entry'!H16="","",IFERROR(MAX(0,MIN(10,ROUND(IF('Council Entry'!H$7="Decrease Risk",10-10*((IF('Council Entry'!H$4="Logarithm",LN(0.001+IF(AND(ISNUMBER('Council Entry'!H$8),ISNUMBER('Council Entry'!H$9)),MAX(MIN('Council Entry'!H16,'Council Entry'!H$9),'Council Entry'!H$8),'Council Entry'!H16)),IF('Council Entry'!H$4="Exponential",EXP(IF(AND(ISNUMBER('Council Entry'!H$8),ISNUMBER('Council Entry'!H$9)),MAX(MIN('Council Entry'!H16,'Council Entry'!H$9),'Council Entry'!H$8),'Council Entry'!H16)),IF(AND(ISNUMBER('Council Entry'!H$8),ISNUMBER('Council Entry'!H$9)),MAX(MIN('Council Entry'!H16,'Council Entry'!H$9),'Council Entry'!H$8),'Council Entry'!H16))))-'Council Entry'!H$5)/('Council Entry'!H$6-'Council Entry'!H$5),10*((IF('Council Entry'!H$4="Logarithm",LN(0.001+IF(AND(ISNUMBER('Council Entry'!H$8),ISNUMBER('Council Entry'!H$9)),MAX(MIN('Council Entry'!H16,'Council Entry'!H$9),'Council Entry'!H$8),'Council Entry'!H16)),IF('Council Entry'!H$4="Exponential",EXP(IF(AND(ISNUMBER('Council Entry'!H$8),ISNUMBER('Council Entry'!H$9)),MAX(MIN('Council Entry'!H16,'Council Entry'!H$9),'Council Entry'!H$8),'Council Entry'!H16)),IF(AND(ISNUMBER('Council Entry'!H$8),ISNUMBER('Council Entry'!H$9)),MAX(MIN('Council Entry'!H16,'Council Entry'!H$9),'Council Entry'!H$8),'Council Entry'!H16))))-'Council Entry'!H$5)/('Council Entry'!H$6-'Council Entry'!H$5)),1))),"No data"))</f>
        <v/>
      </c>
      <c r="I16" s="13">
        <f>IF('Council Entry'!I16="","",IFERROR(MAX(0,MIN(10,ROUND(IF('Council Entry'!I$7="Decrease Risk",10-10*((IF('Council Entry'!I$4="Logarithm",LN(0.001+IF(AND(ISNUMBER('Council Entry'!I$8),ISNUMBER('Council Entry'!I$9)),MAX(MIN('Council Entry'!I16,'Council Entry'!I$9),'Council Entry'!I$8),'Council Entry'!I16)),IF('Council Entry'!I$4="Exponential",EXP(IF(AND(ISNUMBER('Council Entry'!I$8),ISNUMBER('Council Entry'!I$9)),MAX(MIN('Council Entry'!I16,'Council Entry'!I$9),'Council Entry'!I$8),'Council Entry'!I16)),IF(AND(ISNUMBER('Council Entry'!I$8),ISNUMBER('Council Entry'!I$9)),MAX(MIN('Council Entry'!I16,'Council Entry'!I$9),'Council Entry'!I$8),'Council Entry'!I16))))-'Council Entry'!I$5)/('Council Entry'!I$6-'Council Entry'!I$5),10*((IF('Council Entry'!I$4="Logarithm",LN(0.001+IF(AND(ISNUMBER('Council Entry'!I$8),ISNUMBER('Council Entry'!I$9)),MAX(MIN('Council Entry'!I16,'Council Entry'!I$9),'Council Entry'!I$8),'Council Entry'!I16)),IF('Council Entry'!I$4="Exponential",EXP(IF(AND(ISNUMBER('Council Entry'!I$8),ISNUMBER('Council Entry'!I$9)),MAX(MIN('Council Entry'!I16,'Council Entry'!I$9),'Council Entry'!I$8),'Council Entry'!I16)),IF(AND(ISNUMBER('Council Entry'!I$8),ISNUMBER('Council Entry'!I$9)),MAX(MIN('Council Entry'!I16,'Council Entry'!I$9),'Council Entry'!I$8),'Council Entry'!I16))))-'Council Entry'!I$5)/('Council Entry'!I$6-'Council Entry'!I$5)),1))),"No data"))</f>
        <v/>
      </c>
      <c r="J16" s="13">
        <f>IF('Council Entry'!J16="","",IFERROR(MAX(0,MIN(10,ROUND(IF('Council Entry'!J$7="Decrease Risk",10-10*((IF('Council Entry'!J$4="Logarithm",LN(0.001+IF(AND(ISNUMBER('Council Entry'!J$8),ISNUMBER('Council Entry'!J$9)),MAX(MIN('Council Entry'!J16,'Council Entry'!J$9),'Council Entry'!J$8),'Council Entry'!J16)),IF('Council Entry'!J$4="Exponential",EXP(IF(AND(ISNUMBER('Council Entry'!J$8),ISNUMBER('Council Entry'!J$9)),MAX(MIN('Council Entry'!J16,'Council Entry'!J$9),'Council Entry'!J$8),'Council Entry'!J16)),IF(AND(ISNUMBER('Council Entry'!J$8),ISNUMBER('Council Entry'!J$9)),MAX(MIN('Council Entry'!J16,'Council Entry'!J$9),'Council Entry'!J$8),'Council Entry'!J16))))-'Council Entry'!J$5)/('Council Entry'!J$6-'Council Entry'!J$5),10*((IF('Council Entry'!J$4="Logarithm",LN(0.001+IF(AND(ISNUMBER('Council Entry'!J$8),ISNUMBER('Council Entry'!J$9)),MAX(MIN('Council Entry'!J16,'Council Entry'!J$9),'Council Entry'!J$8),'Council Entry'!J16)),IF('Council Entry'!J$4="Exponential",EXP(IF(AND(ISNUMBER('Council Entry'!J$8),ISNUMBER('Council Entry'!J$9)),MAX(MIN('Council Entry'!J16,'Council Entry'!J$9),'Council Entry'!J$8),'Council Entry'!J16)),IF(AND(ISNUMBER('Council Entry'!J$8),ISNUMBER('Council Entry'!J$9)),MAX(MIN('Council Entry'!J16,'Council Entry'!J$9),'Council Entry'!J$8),'Council Entry'!J16))))-'Council Entry'!J$5)/('Council Entry'!J$6-'Council Entry'!J$5)),1))),"No data"))</f>
        <v/>
      </c>
      <c r="K16" s="13">
        <f>IF('Council Entry'!K16="","",IFERROR(MAX(0,MIN(10,ROUND(IF('Council Entry'!K$7="Decrease Risk",10-10*((IF('Council Entry'!K$4="Logarithm",LN(0.001+IF(AND(ISNUMBER('Council Entry'!K$8),ISNUMBER('Council Entry'!K$9)),MAX(MIN('Council Entry'!K16,'Council Entry'!K$9),'Council Entry'!K$8),'Council Entry'!K16)),IF('Council Entry'!K$4="Exponential",EXP(IF(AND(ISNUMBER('Council Entry'!K$8),ISNUMBER('Council Entry'!K$9)),MAX(MIN('Council Entry'!K16,'Council Entry'!K$9),'Council Entry'!K$8),'Council Entry'!K16)),IF(AND(ISNUMBER('Council Entry'!K$8),ISNUMBER('Council Entry'!K$9)),MAX(MIN('Council Entry'!K16,'Council Entry'!K$9),'Council Entry'!K$8),'Council Entry'!K16))))-'Council Entry'!K$5)/('Council Entry'!K$6-'Council Entry'!K$5),10*((IF('Council Entry'!K$4="Logarithm",LN(0.001+IF(AND(ISNUMBER('Council Entry'!K$8),ISNUMBER('Council Entry'!K$9)),MAX(MIN('Council Entry'!K16,'Council Entry'!K$9),'Council Entry'!K$8),'Council Entry'!K16)),IF('Council Entry'!K$4="Exponential",EXP(IF(AND(ISNUMBER('Council Entry'!K$8),ISNUMBER('Council Entry'!K$9)),MAX(MIN('Council Entry'!K16,'Council Entry'!K$9),'Council Entry'!K$8),'Council Entry'!K16)),IF(AND(ISNUMBER('Council Entry'!K$8),ISNUMBER('Council Entry'!K$9)),MAX(MIN('Council Entry'!K16,'Council Entry'!K$9),'Council Entry'!K$8),'Council Entry'!K16))))-'Council Entry'!K$5)/('Council Entry'!K$6-'Council Entry'!K$5)),1))),"No data"))</f>
        <v/>
      </c>
      <c r="L16" s="13">
        <f>IF('Council Entry'!L16="","",IFERROR(MAX(0,MIN(10,ROUND(IF('Council Entry'!L$7="Decrease Risk",10-10*((IF('Council Entry'!L$4="Logarithm",LN(0.001+IF(AND(ISNUMBER('Council Entry'!L$8),ISNUMBER('Council Entry'!L$9)),MAX(MIN('Council Entry'!L16,'Council Entry'!L$9),'Council Entry'!L$8),'Council Entry'!L16)),IF('Council Entry'!L$4="Exponential",EXP(IF(AND(ISNUMBER('Council Entry'!L$8),ISNUMBER('Council Entry'!L$9)),MAX(MIN('Council Entry'!L16,'Council Entry'!L$9),'Council Entry'!L$8),'Council Entry'!L16)),IF(AND(ISNUMBER('Council Entry'!L$8),ISNUMBER('Council Entry'!L$9)),MAX(MIN('Council Entry'!L16,'Council Entry'!L$9),'Council Entry'!L$8),'Council Entry'!L16))))-'Council Entry'!L$5)/('Council Entry'!L$6-'Council Entry'!L$5),10*((IF('Council Entry'!L$4="Logarithm",LN(0.001+IF(AND(ISNUMBER('Council Entry'!L$8),ISNUMBER('Council Entry'!L$9)),MAX(MIN('Council Entry'!L16,'Council Entry'!L$9),'Council Entry'!L$8),'Council Entry'!L16)),IF('Council Entry'!L$4="Exponential",EXP(IF(AND(ISNUMBER('Council Entry'!L$8),ISNUMBER('Council Entry'!L$9)),MAX(MIN('Council Entry'!L16,'Council Entry'!L$9),'Council Entry'!L$8),'Council Entry'!L16)),IF(AND(ISNUMBER('Council Entry'!L$8),ISNUMBER('Council Entry'!L$9)),MAX(MIN('Council Entry'!L16,'Council Entry'!L$9),'Council Entry'!L$8),'Council Entry'!L16))))-'Council Entry'!L$5)/('Council Entry'!L$6-'Council Entry'!L$5)),1))),"No data"))</f>
        <v/>
      </c>
      <c r="M16" s="13">
        <f>IF('Council Entry'!M16="","",IFERROR(MAX(0,MIN(10,ROUND(IF('Council Entry'!M$7="Decrease Risk",10-10*((IF('Council Entry'!M$4="Logarithm",LN(0.001+IF(AND(ISNUMBER('Council Entry'!M$8),ISNUMBER('Council Entry'!M$9)),MAX(MIN('Council Entry'!M16,'Council Entry'!M$9),'Council Entry'!M$8),'Council Entry'!M16)),IF('Council Entry'!M$4="Exponential",EXP(IF(AND(ISNUMBER('Council Entry'!M$8),ISNUMBER('Council Entry'!M$9)),MAX(MIN('Council Entry'!M16,'Council Entry'!M$9),'Council Entry'!M$8),'Council Entry'!M16)),IF(AND(ISNUMBER('Council Entry'!M$8),ISNUMBER('Council Entry'!M$9)),MAX(MIN('Council Entry'!M16,'Council Entry'!M$9),'Council Entry'!M$8),'Council Entry'!M16))))-'Council Entry'!M$5)/('Council Entry'!M$6-'Council Entry'!M$5),10*((IF('Council Entry'!M$4="Logarithm",LN(0.001+IF(AND(ISNUMBER('Council Entry'!M$8),ISNUMBER('Council Entry'!M$9)),MAX(MIN('Council Entry'!M16,'Council Entry'!M$9),'Council Entry'!M$8),'Council Entry'!M16)),IF('Council Entry'!M$4="Exponential",EXP(IF(AND(ISNUMBER('Council Entry'!M$8),ISNUMBER('Council Entry'!M$9)),MAX(MIN('Council Entry'!M16,'Council Entry'!M$9),'Council Entry'!M$8),'Council Entry'!M16)),IF(AND(ISNUMBER('Council Entry'!M$8),ISNUMBER('Council Entry'!M$9)),MAX(MIN('Council Entry'!M16,'Council Entry'!M$9),'Council Entry'!M$8),'Council Entry'!M16))))-'Council Entry'!M$5)/('Council Entry'!M$6-'Council Entry'!M$5)),1))),"No data"))</f>
        <v/>
      </c>
      <c r="N16" s="13">
        <f>IF('Council Entry'!N16="","",IFERROR(MAX(0,MIN(10,ROUND(IF('Council Entry'!N$7="Decrease Risk",10-10*((IF('Council Entry'!N$4="Logarithm",LN(0.001+IF(AND(ISNUMBER('Council Entry'!N$8),ISNUMBER('Council Entry'!N$9)),MAX(MIN('Council Entry'!N16,'Council Entry'!N$9),'Council Entry'!N$8),'Council Entry'!N16)),IF('Council Entry'!N$4="Exponential",EXP(IF(AND(ISNUMBER('Council Entry'!N$8),ISNUMBER('Council Entry'!N$9)),MAX(MIN('Council Entry'!N16,'Council Entry'!N$9),'Council Entry'!N$8),'Council Entry'!N16)),IF(AND(ISNUMBER('Council Entry'!N$8),ISNUMBER('Council Entry'!N$9)),MAX(MIN('Council Entry'!N16,'Council Entry'!N$9),'Council Entry'!N$8),'Council Entry'!N16))))-'Council Entry'!N$5)/('Council Entry'!N$6-'Council Entry'!N$5),10*((IF('Council Entry'!N$4="Logarithm",LN(0.001+IF(AND(ISNUMBER('Council Entry'!N$8),ISNUMBER('Council Entry'!N$9)),MAX(MIN('Council Entry'!N16,'Council Entry'!N$9),'Council Entry'!N$8),'Council Entry'!N16)),IF('Council Entry'!N$4="Exponential",EXP(IF(AND(ISNUMBER('Council Entry'!N$8),ISNUMBER('Council Entry'!N$9)),MAX(MIN('Council Entry'!N16,'Council Entry'!N$9),'Council Entry'!N$8),'Council Entry'!N16)),IF(AND(ISNUMBER('Council Entry'!N$8),ISNUMBER('Council Entry'!N$9)),MAX(MIN('Council Entry'!N16,'Council Entry'!N$9),'Council Entry'!N$8),'Council Entry'!N16))))-'Council Entry'!N$5)/('Council Entry'!N$6-'Council Entry'!N$5)),1))),"No data"))</f>
        <v/>
      </c>
      <c r="O16" s="13">
        <f>IF('Council Entry'!O16="","",IFERROR(MAX(0,MIN(10,ROUND(IF('Council Entry'!O$7="Decrease Risk",10-10*((IF('Council Entry'!O$4="Logarithm",LN(0.001+IF(AND(ISNUMBER('Council Entry'!O$8),ISNUMBER('Council Entry'!O$9)),MAX(MIN('Council Entry'!O16,'Council Entry'!O$9),'Council Entry'!O$8),'Council Entry'!O16)),IF('Council Entry'!O$4="Exponential",EXP(IF(AND(ISNUMBER('Council Entry'!O$8),ISNUMBER('Council Entry'!O$9)),MAX(MIN('Council Entry'!O16,'Council Entry'!O$9),'Council Entry'!O$8),'Council Entry'!O16)),IF(AND(ISNUMBER('Council Entry'!O$8),ISNUMBER('Council Entry'!O$9)),MAX(MIN('Council Entry'!O16,'Council Entry'!O$9),'Council Entry'!O$8),'Council Entry'!O16))))-'Council Entry'!O$5)/('Council Entry'!O$6-'Council Entry'!O$5),10*((IF('Council Entry'!O$4="Logarithm",LN(0.001+IF(AND(ISNUMBER('Council Entry'!O$8),ISNUMBER('Council Entry'!O$9)),MAX(MIN('Council Entry'!O16,'Council Entry'!O$9),'Council Entry'!O$8),'Council Entry'!O16)),IF('Council Entry'!O$4="Exponential",EXP(IF(AND(ISNUMBER('Council Entry'!O$8),ISNUMBER('Council Entry'!O$9)),MAX(MIN('Council Entry'!O16,'Council Entry'!O$9),'Council Entry'!O$8),'Council Entry'!O16)),IF(AND(ISNUMBER('Council Entry'!O$8),ISNUMBER('Council Entry'!O$9)),MAX(MIN('Council Entry'!O16,'Council Entry'!O$9),'Council Entry'!O$8),'Council Entry'!O16))))-'Council Entry'!O$5)/('Council Entry'!O$6-'Council Entry'!O$5)),1))),"No data"))</f>
        <v/>
      </c>
      <c r="P16" s="13">
        <f>IF('Council Entry'!P16="","",IFERROR(MAX(0,MIN(10,ROUND(IF('Council Entry'!P$7="Decrease Risk",10-10*((IF('Council Entry'!P$4="Logarithm",LN(0.001+IF(AND(ISNUMBER('Council Entry'!P$8),ISNUMBER('Council Entry'!P$9)),MAX(MIN('Council Entry'!P16,'Council Entry'!P$9),'Council Entry'!P$8),'Council Entry'!P16)),IF('Council Entry'!P$4="Exponential",EXP(IF(AND(ISNUMBER('Council Entry'!P$8),ISNUMBER('Council Entry'!P$9)),MAX(MIN('Council Entry'!P16,'Council Entry'!P$9),'Council Entry'!P$8),'Council Entry'!P16)),IF(AND(ISNUMBER('Council Entry'!P$8),ISNUMBER('Council Entry'!P$9)),MAX(MIN('Council Entry'!P16,'Council Entry'!P$9),'Council Entry'!P$8),'Council Entry'!P16))))-'Council Entry'!P$5)/('Council Entry'!P$6-'Council Entry'!P$5),10*((IF('Council Entry'!P$4="Logarithm",LN(0.001+IF(AND(ISNUMBER('Council Entry'!P$8),ISNUMBER('Council Entry'!P$9)),MAX(MIN('Council Entry'!P16,'Council Entry'!P$9),'Council Entry'!P$8),'Council Entry'!P16)),IF('Council Entry'!P$4="Exponential",EXP(IF(AND(ISNUMBER('Council Entry'!P$8),ISNUMBER('Council Entry'!P$9)),MAX(MIN('Council Entry'!P16,'Council Entry'!P$9),'Council Entry'!P$8),'Council Entry'!P16)),IF(AND(ISNUMBER('Council Entry'!P$8),ISNUMBER('Council Entry'!P$9)),MAX(MIN('Council Entry'!P16,'Council Entry'!P$9),'Council Entry'!P$8),'Council Entry'!P16))))-'Council Entry'!P$5)/('Council Entry'!P$6-'Council Entry'!P$5)),1))),"No data"))</f>
        <v/>
      </c>
      <c r="Q16" s="13">
        <f>IF('Council Entry'!Q16="","",IFERROR(MAX(0,MIN(10,ROUND(IF('Council Entry'!Q$7="Decrease Risk",10-10*((IF('Council Entry'!Q$4="Logarithm",LN(0.001+IF(AND(ISNUMBER('Council Entry'!Q$8),ISNUMBER('Council Entry'!Q$9)),MAX(MIN('Council Entry'!Q16,'Council Entry'!Q$9),'Council Entry'!Q$8),'Council Entry'!Q16)),IF('Council Entry'!Q$4="Exponential",EXP(IF(AND(ISNUMBER('Council Entry'!Q$8),ISNUMBER('Council Entry'!Q$9)),MAX(MIN('Council Entry'!Q16,'Council Entry'!Q$9),'Council Entry'!Q$8),'Council Entry'!Q16)),IF(AND(ISNUMBER('Council Entry'!Q$8),ISNUMBER('Council Entry'!Q$9)),MAX(MIN('Council Entry'!Q16,'Council Entry'!Q$9),'Council Entry'!Q$8),'Council Entry'!Q16))))-'Council Entry'!Q$5)/('Council Entry'!Q$6-'Council Entry'!Q$5),10*((IF('Council Entry'!Q$4="Logarithm",LN(0.001+IF(AND(ISNUMBER('Council Entry'!Q$8),ISNUMBER('Council Entry'!Q$9)),MAX(MIN('Council Entry'!Q16,'Council Entry'!Q$9),'Council Entry'!Q$8),'Council Entry'!Q16)),IF('Council Entry'!Q$4="Exponential",EXP(IF(AND(ISNUMBER('Council Entry'!Q$8),ISNUMBER('Council Entry'!Q$9)),MAX(MIN('Council Entry'!Q16,'Council Entry'!Q$9),'Council Entry'!Q$8),'Council Entry'!Q16)),IF(AND(ISNUMBER('Council Entry'!Q$8),ISNUMBER('Council Entry'!Q$9)),MAX(MIN('Council Entry'!Q16,'Council Entry'!Q$9),'Council Entry'!Q$8),'Council Entry'!Q16))))-'Council Entry'!Q$5)/('Council Entry'!Q$6-'Council Entry'!Q$5)),1))),"No data"))</f>
        <v/>
      </c>
      <c r="R16" s="13">
        <f>IF('Council Entry'!R16="","",IFERROR(MAX(0,MIN(10,ROUND(IF('Council Entry'!R$7="Decrease Risk",10-10*((IF('Council Entry'!R$4="Logarithm",LN(0.001+IF(AND(ISNUMBER('Council Entry'!R$8),ISNUMBER('Council Entry'!R$9)),MAX(MIN('Council Entry'!R16,'Council Entry'!R$9),'Council Entry'!R$8),'Council Entry'!R16)),IF('Council Entry'!R$4="Exponential",EXP(IF(AND(ISNUMBER('Council Entry'!R$8),ISNUMBER('Council Entry'!R$9)),MAX(MIN('Council Entry'!R16,'Council Entry'!R$9),'Council Entry'!R$8),'Council Entry'!R16)),IF(AND(ISNUMBER('Council Entry'!R$8),ISNUMBER('Council Entry'!R$9)),MAX(MIN('Council Entry'!R16,'Council Entry'!R$9),'Council Entry'!R$8),'Council Entry'!R16))))-'Council Entry'!R$5)/('Council Entry'!R$6-'Council Entry'!R$5),10*((IF('Council Entry'!R$4="Logarithm",LN(0.001+IF(AND(ISNUMBER('Council Entry'!R$8),ISNUMBER('Council Entry'!R$9)),MAX(MIN('Council Entry'!R16,'Council Entry'!R$9),'Council Entry'!R$8),'Council Entry'!R16)),IF('Council Entry'!R$4="Exponential",EXP(IF(AND(ISNUMBER('Council Entry'!R$8),ISNUMBER('Council Entry'!R$9)),MAX(MIN('Council Entry'!R16,'Council Entry'!R$9),'Council Entry'!R$8),'Council Entry'!R16)),IF(AND(ISNUMBER('Council Entry'!R$8),ISNUMBER('Council Entry'!R$9)),MAX(MIN('Council Entry'!R16,'Council Entry'!R$9),'Council Entry'!R$8),'Council Entry'!R16))))-'Council Entry'!R$5)/('Council Entry'!R$6-'Council Entry'!R$5)),1))),"No data"))</f>
        <v/>
      </c>
      <c r="S16" s="13">
        <f>IF('Council Entry'!S16="","",IFERROR(MAX(0,MIN(10,ROUND(IF('Council Entry'!S$7="Decrease Risk",10-10*((IF('Council Entry'!S$4="Logarithm",LN(0.001+IF(AND(ISNUMBER('Council Entry'!S$8),ISNUMBER('Council Entry'!S$9)),MAX(MIN('Council Entry'!S16,'Council Entry'!S$9),'Council Entry'!S$8),'Council Entry'!S16)),IF('Council Entry'!S$4="Exponential",EXP(IF(AND(ISNUMBER('Council Entry'!S$8),ISNUMBER('Council Entry'!S$9)),MAX(MIN('Council Entry'!S16,'Council Entry'!S$9),'Council Entry'!S$8),'Council Entry'!S16)),IF(AND(ISNUMBER('Council Entry'!S$8),ISNUMBER('Council Entry'!S$9)),MAX(MIN('Council Entry'!S16,'Council Entry'!S$9),'Council Entry'!S$8),'Council Entry'!S16))))-'Council Entry'!S$5)/('Council Entry'!S$6-'Council Entry'!S$5),10*((IF('Council Entry'!S$4="Logarithm",LN(0.001+IF(AND(ISNUMBER('Council Entry'!S$8),ISNUMBER('Council Entry'!S$9)),MAX(MIN('Council Entry'!S16,'Council Entry'!S$9),'Council Entry'!S$8),'Council Entry'!S16)),IF('Council Entry'!S$4="Exponential",EXP(IF(AND(ISNUMBER('Council Entry'!S$8),ISNUMBER('Council Entry'!S$9)),MAX(MIN('Council Entry'!S16,'Council Entry'!S$9),'Council Entry'!S$8),'Council Entry'!S16)),IF(AND(ISNUMBER('Council Entry'!S$8),ISNUMBER('Council Entry'!S$9)),MAX(MIN('Council Entry'!S16,'Council Entry'!S$9),'Council Entry'!S$8),'Council Entry'!S16))))-'Council Entry'!S$5)/('Council Entry'!S$6-'Council Entry'!S$5)),1))),"No data"))</f>
        <v/>
      </c>
      <c r="T16" s="13">
        <f>IF('Council Entry'!T16="","",IFERROR(MAX(0,MIN(10,ROUND(IF('Council Entry'!T$7="Decrease Risk",10-10*((IF('Council Entry'!T$4="Logarithm",LN(0.001+IF(AND(ISNUMBER('Council Entry'!T$8),ISNUMBER('Council Entry'!T$9)),MAX(MIN('Council Entry'!T16,'Council Entry'!T$9),'Council Entry'!T$8),'Council Entry'!T16)),IF('Council Entry'!T$4="Exponential",EXP(IF(AND(ISNUMBER('Council Entry'!T$8),ISNUMBER('Council Entry'!T$9)),MAX(MIN('Council Entry'!T16,'Council Entry'!T$9),'Council Entry'!T$8),'Council Entry'!T16)),IF(AND(ISNUMBER('Council Entry'!T$8),ISNUMBER('Council Entry'!T$9)),MAX(MIN('Council Entry'!T16,'Council Entry'!T$9),'Council Entry'!T$8),'Council Entry'!T16))))-'Council Entry'!T$5)/('Council Entry'!T$6-'Council Entry'!T$5),10*((IF('Council Entry'!T$4="Logarithm",LN(0.001+IF(AND(ISNUMBER('Council Entry'!T$8),ISNUMBER('Council Entry'!T$9)),MAX(MIN('Council Entry'!T16,'Council Entry'!T$9),'Council Entry'!T$8),'Council Entry'!T16)),IF('Council Entry'!T$4="Exponential",EXP(IF(AND(ISNUMBER('Council Entry'!T$8),ISNUMBER('Council Entry'!T$9)),MAX(MIN('Council Entry'!T16,'Council Entry'!T$9),'Council Entry'!T$8),'Council Entry'!T16)),IF(AND(ISNUMBER('Council Entry'!T$8),ISNUMBER('Council Entry'!T$9)),MAX(MIN('Council Entry'!T16,'Council Entry'!T$9),'Council Entry'!T$8),'Council Entry'!T16))))-'Council Entry'!T$5)/('Council Entry'!T$6-'Council Entry'!T$5)),1))),"No data"))</f>
        <v/>
      </c>
      <c r="U16" s="13">
        <f>IF('Council Entry'!U16="","",IFERROR(MAX(0,MIN(10,ROUND(IF('Council Entry'!U$7="Decrease Risk",10-10*((IF('Council Entry'!U$4="Logarithm",LN(0.001+IF(AND(ISNUMBER('Council Entry'!U$8),ISNUMBER('Council Entry'!U$9)),MAX(MIN('Council Entry'!U16,'Council Entry'!U$9),'Council Entry'!U$8),'Council Entry'!U16)),IF('Council Entry'!U$4="Exponential",EXP(IF(AND(ISNUMBER('Council Entry'!U$8),ISNUMBER('Council Entry'!U$9)),MAX(MIN('Council Entry'!U16,'Council Entry'!U$9),'Council Entry'!U$8),'Council Entry'!U16)),IF(AND(ISNUMBER('Council Entry'!U$8),ISNUMBER('Council Entry'!U$9)),MAX(MIN('Council Entry'!U16,'Council Entry'!U$9),'Council Entry'!U$8),'Council Entry'!U16))))-'Council Entry'!U$5)/('Council Entry'!U$6-'Council Entry'!U$5),10*((IF('Council Entry'!U$4="Logarithm",LN(0.001+IF(AND(ISNUMBER('Council Entry'!U$8),ISNUMBER('Council Entry'!U$9)),MAX(MIN('Council Entry'!U16,'Council Entry'!U$9),'Council Entry'!U$8),'Council Entry'!U16)),IF('Council Entry'!U$4="Exponential",EXP(IF(AND(ISNUMBER('Council Entry'!U$8),ISNUMBER('Council Entry'!U$9)),MAX(MIN('Council Entry'!U16,'Council Entry'!U$9),'Council Entry'!U$8),'Council Entry'!U16)),IF(AND(ISNUMBER('Council Entry'!U$8),ISNUMBER('Council Entry'!U$9)),MAX(MIN('Council Entry'!U16,'Council Entry'!U$9),'Council Entry'!U$8),'Council Entry'!U16))))-'Council Entry'!U$5)/('Council Entry'!U$6-'Council Entry'!U$5)),1))),"No data"))</f>
        <v/>
      </c>
      <c r="V16" s="13">
        <f>IF('Council Entry'!V16="","",IFERROR(MAX(0,MIN(10,ROUND(IF('Council Entry'!V$7="Decrease Risk",10-10*((IF('Council Entry'!V$4="Logarithm",LN(0.001+IF(AND(ISNUMBER('Council Entry'!V$8),ISNUMBER('Council Entry'!V$9)),MAX(MIN('Council Entry'!V16,'Council Entry'!V$9),'Council Entry'!V$8),'Council Entry'!V16)),IF('Council Entry'!V$4="Exponential",EXP(IF(AND(ISNUMBER('Council Entry'!V$8),ISNUMBER('Council Entry'!V$9)),MAX(MIN('Council Entry'!V16,'Council Entry'!V$9),'Council Entry'!V$8),'Council Entry'!V16)),IF(AND(ISNUMBER('Council Entry'!V$8),ISNUMBER('Council Entry'!V$9)),MAX(MIN('Council Entry'!V16,'Council Entry'!V$9),'Council Entry'!V$8),'Council Entry'!V16))))-'Council Entry'!V$5)/('Council Entry'!V$6-'Council Entry'!V$5),10*((IF('Council Entry'!V$4="Logarithm",LN(0.001+IF(AND(ISNUMBER('Council Entry'!V$8),ISNUMBER('Council Entry'!V$9)),MAX(MIN('Council Entry'!V16,'Council Entry'!V$9),'Council Entry'!V$8),'Council Entry'!V16)),IF('Council Entry'!V$4="Exponential",EXP(IF(AND(ISNUMBER('Council Entry'!V$8),ISNUMBER('Council Entry'!V$9)),MAX(MIN('Council Entry'!V16,'Council Entry'!V$9),'Council Entry'!V$8),'Council Entry'!V16)),IF(AND(ISNUMBER('Council Entry'!V$8),ISNUMBER('Council Entry'!V$9)),MAX(MIN('Council Entry'!V16,'Council Entry'!V$9),'Council Entry'!V$8),'Council Entry'!V16))))-'Council Entry'!V$5)/('Council Entry'!V$6-'Council Entry'!V$5)),1))),"No data"))</f>
        <v/>
      </c>
      <c r="W16" s="13">
        <f>IF('Council Entry'!W16="","",IFERROR(MAX(0,MIN(10,ROUND(IF('Council Entry'!W$7="Decrease Risk",10-10*((IF('Council Entry'!W$4="Logarithm",LN(0.001+IF(AND(ISNUMBER('Council Entry'!W$8),ISNUMBER('Council Entry'!W$9)),MAX(MIN('Council Entry'!W16,'Council Entry'!W$9),'Council Entry'!W$8),'Council Entry'!W16)),IF('Council Entry'!W$4="Exponential",EXP(IF(AND(ISNUMBER('Council Entry'!W$8),ISNUMBER('Council Entry'!W$9)),MAX(MIN('Council Entry'!W16,'Council Entry'!W$9),'Council Entry'!W$8),'Council Entry'!W16)),IF(AND(ISNUMBER('Council Entry'!W$8),ISNUMBER('Council Entry'!W$9)),MAX(MIN('Council Entry'!W16,'Council Entry'!W$9),'Council Entry'!W$8),'Council Entry'!W16))))-'Council Entry'!W$5)/('Council Entry'!W$6-'Council Entry'!W$5),10*((IF('Council Entry'!W$4="Logarithm",LN(0.001+IF(AND(ISNUMBER('Council Entry'!W$8),ISNUMBER('Council Entry'!W$9)),MAX(MIN('Council Entry'!W16,'Council Entry'!W$9),'Council Entry'!W$8),'Council Entry'!W16)),IF('Council Entry'!W$4="Exponential",EXP(IF(AND(ISNUMBER('Council Entry'!W$8),ISNUMBER('Council Entry'!W$9)),MAX(MIN('Council Entry'!W16,'Council Entry'!W$9),'Council Entry'!W$8),'Council Entry'!W16)),IF(AND(ISNUMBER('Council Entry'!W$8),ISNUMBER('Council Entry'!W$9)),MAX(MIN('Council Entry'!W16,'Council Entry'!W$9),'Council Entry'!W$8),'Council Entry'!W16))))-'Council Entry'!W$5)/('Council Entry'!W$6-'Council Entry'!W$5)),1))),"No data"))</f>
        <v/>
      </c>
      <c r="X16" s="13">
        <f>IF('Council Entry'!X16="","",IFERROR(MAX(0,MIN(10,ROUND(IF('Council Entry'!X$7="Decrease Risk",10-10*((IF('Council Entry'!X$4="Logarithm",LN(0.001+IF(AND(ISNUMBER('Council Entry'!X$8),ISNUMBER('Council Entry'!X$9)),MAX(MIN('Council Entry'!X16,'Council Entry'!X$9),'Council Entry'!X$8),'Council Entry'!X16)),IF('Council Entry'!X$4="Exponential",EXP(IF(AND(ISNUMBER('Council Entry'!X$8),ISNUMBER('Council Entry'!X$9)),MAX(MIN('Council Entry'!X16,'Council Entry'!X$9),'Council Entry'!X$8),'Council Entry'!X16)),IF(AND(ISNUMBER('Council Entry'!X$8),ISNUMBER('Council Entry'!X$9)),MAX(MIN('Council Entry'!X16,'Council Entry'!X$9),'Council Entry'!X$8),'Council Entry'!X16))))-'Council Entry'!X$5)/('Council Entry'!X$6-'Council Entry'!X$5),10*((IF('Council Entry'!X$4="Logarithm",LN(0.001+IF(AND(ISNUMBER('Council Entry'!X$8),ISNUMBER('Council Entry'!X$9)),MAX(MIN('Council Entry'!X16,'Council Entry'!X$9),'Council Entry'!X$8),'Council Entry'!X16)),IF('Council Entry'!X$4="Exponential",EXP(IF(AND(ISNUMBER('Council Entry'!X$8),ISNUMBER('Council Entry'!X$9)),MAX(MIN('Council Entry'!X16,'Council Entry'!X$9),'Council Entry'!X$8),'Council Entry'!X16)),IF(AND(ISNUMBER('Council Entry'!X$8),ISNUMBER('Council Entry'!X$9)),MAX(MIN('Council Entry'!X16,'Council Entry'!X$9),'Council Entry'!X$8),'Council Entry'!X16))))-'Council Entry'!X$5)/('Council Entry'!X$6-'Council Entry'!X$5)),1))),"No data"))</f>
        <v/>
      </c>
      <c r="Y16" s="13">
        <f>IF('Council Entry'!Y16="","",IFERROR(MAX(0,MIN(10,ROUND(IF('Council Entry'!Y$7="Decrease Risk",10-10*((IF('Council Entry'!Y$4="Logarithm",LN(0.001+IF(AND(ISNUMBER('Council Entry'!Y$8),ISNUMBER('Council Entry'!Y$9)),MAX(MIN('Council Entry'!Y16,'Council Entry'!Y$9),'Council Entry'!Y$8),'Council Entry'!Y16)),IF('Council Entry'!Y$4="Exponential",EXP(IF(AND(ISNUMBER('Council Entry'!Y$8),ISNUMBER('Council Entry'!Y$9)),MAX(MIN('Council Entry'!Y16,'Council Entry'!Y$9),'Council Entry'!Y$8),'Council Entry'!Y16)),IF(AND(ISNUMBER('Council Entry'!Y$8),ISNUMBER('Council Entry'!Y$9)),MAX(MIN('Council Entry'!Y16,'Council Entry'!Y$9),'Council Entry'!Y$8),'Council Entry'!Y16))))-'Council Entry'!Y$5)/('Council Entry'!Y$6-'Council Entry'!Y$5),10*((IF('Council Entry'!Y$4="Logarithm",LN(0.001+IF(AND(ISNUMBER('Council Entry'!Y$8),ISNUMBER('Council Entry'!Y$9)),MAX(MIN('Council Entry'!Y16,'Council Entry'!Y$9),'Council Entry'!Y$8),'Council Entry'!Y16)),IF('Council Entry'!Y$4="Exponential",EXP(IF(AND(ISNUMBER('Council Entry'!Y$8),ISNUMBER('Council Entry'!Y$9)),MAX(MIN('Council Entry'!Y16,'Council Entry'!Y$9),'Council Entry'!Y$8),'Council Entry'!Y16)),IF(AND(ISNUMBER('Council Entry'!Y$8),ISNUMBER('Council Entry'!Y$9)),MAX(MIN('Council Entry'!Y16,'Council Entry'!Y$9),'Council Entry'!Y$8),'Council Entry'!Y16))))-'Council Entry'!Y$5)/('Council Entry'!Y$6-'Council Entry'!Y$5)),1))),"No data"))</f>
        <v/>
      </c>
      <c r="Z16" s="13">
        <f>IF('Council Entry'!Z16="","",IFERROR(MAX(0,MIN(10,ROUND(IF('Council Entry'!Z$7="Decrease Risk",10-10*((IF('Council Entry'!Z$4="Logarithm",LN(0.001+IF(AND(ISNUMBER('Council Entry'!Z$8),ISNUMBER('Council Entry'!Z$9)),MAX(MIN('Council Entry'!Z16,'Council Entry'!Z$9),'Council Entry'!Z$8),'Council Entry'!Z16)),IF('Council Entry'!Z$4="Exponential",EXP(IF(AND(ISNUMBER('Council Entry'!Z$8),ISNUMBER('Council Entry'!Z$9)),MAX(MIN('Council Entry'!Z16,'Council Entry'!Z$9),'Council Entry'!Z$8),'Council Entry'!Z16)),IF(AND(ISNUMBER('Council Entry'!Z$8),ISNUMBER('Council Entry'!Z$9)),MAX(MIN('Council Entry'!Z16,'Council Entry'!Z$9),'Council Entry'!Z$8),'Council Entry'!Z16))))-'Council Entry'!Z$5)/('Council Entry'!Z$6-'Council Entry'!Z$5),10*((IF('Council Entry'!Z$4="Logarithm",LN(0.001+IF(AND(ISNUMBER('Council Entry'!Z$8),ISNUMBER('Council Entry'!Z$9)),MAX(MIN('Council Entry'!Z16,'Council Entry'!Z$9),'Council Entry'!Z$8),'Council Entry'!Z16)),IF('Council Entry'!Z$4="Exponential",EXP(IF(AND(ISNUMBER('Council Entry'!Z$8),ISNUMBER('Council Entry'!Z$9)),MAX(MIN('Council Entry'!Z16,'Council Entry'!Z$9),'Council Entry'!Z$8),'Council Entry'!Z16)),IF(AND(ISNUMBER('Council Entry'!Z$8),ISNUMBER('Council Entry'!Z$9)),MAX(MIN('Council Entry'!Z16,'Council Entry'!Z$9),'Council Entry'!Z$8),'Council Entry'!Z16))))-'Council Entry'!Z$5)/('Council Entry'!Z$6-'Council Entry'!Z$5)),1))),"No data"))</f>
        <v/>
      </c>
      <c r="AA16" s="13">
        <f>IF('Council Entry'!AA16="","",IFERROR(MAX(0,MIN(10,ROUND(IF('Council Entry'!AA$7="Decrease Risk",10-10*((IF('Council Entry'!AA$4="Logarithm",LN(0.001+IF(AND(ISNUMBER('Council Entry'!AA$8),ISNUMBER('Council Entry'!AA$9)),MAX(MIN('Council Entry'!AA16,'Council Entry'!AA$9),'Council Entry'!AA$8),'Council Entry'!AA16)),IF('Council Entry'!AA$4="Exponential",EXP(IF(AND(ISNUMBER('Council Entry'!AA$8),ISNUMBER('Council Entry'!AA$9)),MAX(MIN('Council Entry'!AA16,'Council Entry'!AA$9),'Council Entry'!AA$8),'Council Entry'!AA16)),IF(AND(ISNUMBER('Council Entry'!AA$8),ISNUMBER('Council Entry'!AA$9)),MAX(MIN('Council Entry'!AA16,'Council Entry'!AA$9),'Council Entry'!AA$8),'Council Entry'!AA16))))-'Council Entry'!AA$5)/('Council Entry'!AA$6-'Council Entry'!AA$5),10*((IF('Council Entry'!AA$4="Logarithm",LN(0.001+IF(AND(ISNUMBER('Council Entry'!AA$8),ISNUMBER('Council Entry'!AA$9)),MAX(MIN('Council Entry'!AA16,'Council Entry'!AA$9),'Council Entry'!AA$8),'Council Entry'!AA16)),IF('Council Entry'!AA$4="Exponential",EXP(IF(AND(ISNUMBER('Council Entry'!AA$8),ISNUMBER('Council Entry'!AA$9)),MAX(MIN('Council Entry'!AA16,'Council Entry'!AA$9),'Council Entry'!AA$8),'Council Entry'!AA16)),IF(AND(ISNUMBER('Council Entry'!AA$8),ISNUMBER('Council Entry'!AA$9)),MAX(MIN('Council Entry'!AA16,'Council Entry'!AA$9),'Council Entry'!AA$8),'Council Entry'!AA16))))-'Council Entry'!AA$5)/('Council Entry'!AA$6-'Council Entry'!AA$5)),1))),"No data"))</f>
        <v/>
      </c>
      <c r="AB16" s="13">
        <f>IF('Council Entry'!AB16="","",IFERROR(MAX(0,MIN(10,ROUND(IF('Council Entry'!AB$7="Decrease Risk",10-10*((IF('Council Entry'!AB$4="Logarithm",LN(0.001+IF(AND(ISNUMBER('Council Entry'!AB$8),ISNUMBER('Council Entry'!AB$9)),MAX(MIN('Council Entry'!AB16,'Council Entry'!AB$9),'Council Entry'!AB$8),'Council Entry'!AB16)),IF('Council Entry'!AB$4="Exponential",EXP(IF(AND(ISNUMBER('Council Entry'!AB$8),ISNUMBER('Council Entry'!AB$9)),MAX(MIN('Council Entry'!AB16,'Council Entry'!AB$9),'Council Entry'!AB$8),'Council Entry'!AB16)),IF(AND(ISNUMBER('Council Entry'!AB$8),ISNUMBER('Council Entry'!AB$9)),MAX(MIN('Council Entry'!AB16,'Council Entry'!AB$9),'Council Entry'!AB$8),'Council Entry'!AB16))))-'Council Entry'!AB$5)/('Council Entry'!AB$6-'Council Entry'!AB$5),10*((IF('Council Entry'!AB$4="Logarithm",LN(0.001+IF(AND(ISNUMBER('Council Entry'!AB$8),ISNUMBER('Council Entry'!AB$9)),MAX(MIN('Council Entry'!AB16,'Council Entry'!AB$9),'Council Entry'!AB$8),'Council Entry'!AB16)),IF('Council Entry'!AB$4="Exponential",EXP(IF(AND(ISNUMBER('Council Entry'!AB$8),ISNUMBER('Council Entry'!AB$9)),MAX(MIN('Council Entry'!AB16,'Council Entry'!AB$9),'Council Entry'!AB$8),'Council Entry'!AB16)),IF(AND(ISNUMBER('Council Entry'!AB$8),ISNUMBER('Council Entry'!AB$9)),MAX(MIN('Council Entry'!AB16,'Council Entry'!AB$9),'Council Entry'!AB$8),'Council Entry'!AB16))))-'Council Entry'!AB$5)/('Council Entry'!AB$6-'Council Entry'!AB$5)),1))),"No data"))</f>
        <v/>
      </c>
      <c r="AC16" s="13">
        <f>IF('Council Entry'!AC16="","",IFERROR(MAX(0,MIN(10,ROUND(IF('Council Entry'!AC$7="Decrease Risk",10-10*((IF('Council Entry'!AC$4="Logarithm",LN(0.001+IF(AND(ISNUMBER('Council Entry'!AC$8),ISNUMBER('Council Entry'!AC$9)),MAX(MIN('Council Entry'!AC16,'Council Entry'!AC$9),'Council Entry'!AC$8),'Council Entry'!AC16)),IF('Council Entry'!AC$4="Exponential",EXP(IF(AND(ISNUMBER('Council Entry'!AC$8),ISNUMBER('Council Entry'!AC$9)),MAX(MIN('Council Entry'!AC16,'Council Entry'!AC$9),'Council Entry'!AC$8),'Council Entry'!AC16)),IF(AND(ISNUMBER('Council Entry'!AC$8),ISNUMBER('Council Entry'!AC$9)),MAX(MIN('Council Entry'!AC16,'Council Entry'!AC$9),'Council Entry'!AC$8),'Council Entry'!AC16))))-'Council Entry'!AC$5)/('Council Entry'!AC$6-'Council Entry'!AC$5),10*((IF('Council Entry'!AC$4="Logarithm",LN(0.001+IF(AND(ISNUMBER('Council Entry'!AC$8),ISNUMBER('Council Entry'!AC$9)),MAX(MIN('Council Entry'!AC16,'Council Entry'!AC$9),'Council Entry'!AC$8),'Council Entry'!AC16)),IF('Council Entry'!AC$4="Exponential",EXP(IF(AND(ISNUMBER('Council Entry'!AC$8),ISNUMBER('Council Entry'!AC$9)),MAX(MIN('Council Entry'!AC16,'Council Entry'!AC$9),'Council Entry'!AC$8),'Council Entry'!AC16)),IF(AND(ISNUMBER('Council Entry'!AC$8),ISNUMBER('Council Entry'!AC$9)),MAX(MIN('Council Entry'!AC16,'Council Entry'!AC$9),'Council Entry'!AC$8),'Council Entry'!AC16))))-'Council Entry'!AC$5)/('Council Entry'!AC$6-'Council Entry'!AC$5)),1))),"No data"))</f>
        <v/>
      </c>
      <c r="AD16" s="13">
        <f>IF('Council Entry'!AD16="","",IFERROR(MAX(0,MIN(10,ROUND(IF('Council Entry'!AD$7="Decrease Risk",10-10*((IF('Council Entry'!AD$4="Logarithm",LN(0.001+IF(AND(ISNUMBER('Council Entry'!AD$8),ISNUMBER('Council Entry'!AD$9)),MAX(MIN('Council Entry'!AD16,'Council Entry'!AD$9),'Council Entry'!AD$8),'Council Entry'!AD16)),IF('Council Entry'!AD$4="Exponential",EXP(IF(AND(ISNUMBER('Council Entry'!AD$8),ISNUMBER('Council Entry'!AD$9)),MAX(MIN('Council Entry'!AD16,'Council Entry'!AD$9),'Council Entry'!AD$8),'Council Entry'!AD16)),IF(AND(ISNUMBER('Council Entry'!AD$8),ISNUMBER('Council Entry'!AD$9)),MAX(MIN('Council Entry'!AD16,'Council Entry'!AD$9),'Council Entry'!AD$8),'Council Entry'!AD16))))-'Council Entry'!AD$5)/('Council Entry'!AD$6-'Council Entry'!AD$5),10*((IF('Council Entry'!AD$4="Logarithm",LN(0.001+IF(AND(ISNUMBER('Council Entry'!AD$8),ISNUMBER('Council Entry'!AD$9)),MAX(MIN('Council Entry'!AD16,'Council Entry'!AD$9),'Council Entry'!AD$8),'Council Entry'!AD16)),IF('Council Entry'!AD$4="Exponential",EXP(IF(AND(ISNUMBER('Council Entry'!AD$8),ISNUMBER('Council Entry'!AD$9)),MAX(MIN('Council Entry'!AD16,'Council Entry'!AD$9),'Council Entry'!AD$8),'Council Entry'!AD16)),IF(AND(ISNUMBER('Council Entry'!AD$8),ISNUMBER('Council Entry'!AD$9)),MAX(MIN('Council Entry'!AD16,'Council Entry'!AD$9),'Council Entry'!AD$8),'Council Entry'!AD16))))-'Council Entry'!AD$5)/('Council Entry'!AD$6-'Council Entry'!AD$5)),1))),"No data"))</f>
        <v/>
      </c>
      <c r="AE16" s="13">
        <f>IF('Council Entry'!AE16="","",IFERROR(MAX(0,MIN(10,ROUND(IF('Council Entry'!AE$7="Decrease Risk",10-10*((IF('Council Entry'!AE$4="Logarithm",LN(0.001+IF(AND(ISNUMBER('Council Entry'!AE$8),ISNUMBER('Council Entry'!AE$9)),MAX(MIN('Council Entry'!AE16,'Council Entry'!AE$9),'Council Entry'!AE$8),'Council Entry'!AE16)),IF('Council Entry'!AE$4="Exponential",EXP(IF(AND(ISNUMBER('Council Entry'!AE$8),ISNUMBER('Council Entry'!AE$9)),MAX(MIN('Council Entry'!AE16,'Council Entry'!AE$9),'Council Entry'!AE$8),'Council Entry'!AE16)),IF(AND(ISNUMBER('Council Entry'!AE$8),ISNUMBER('Council Entry'!AE$9)),MAX(MIN('Council Entry'!AE16,'Council Entry'!AE$9),'Council Entry'!AE$8),'Council Entry'!AE16))))-'Council Entry'!AE$5)/('Council Entry'!AE$6-'Council Entry'!AE$5),10*((IF('Council Entry'!AE$4="Logarithm",LN(0.001+IF(AND(ISNUMBER('Council Entry'!AE$8),ISNUMBER('Council Entry'!AE$9)),MAX(MIN('Council Entry'!AE16,'Council Entry'!AE$9),'Council Entry'!AE$8),'Council Entry'!AE16)),IF('Council Entry'!AE$4="Exponential",EXP(IF(AND(ISNUMBER('Council Entry'!AE$8),ISNUMBER('Council Entry'!AE$9)),MAX(MIN('Council Entry'!AE16,'Council Entry'!AE$9),'Council Entry'!AE$8),'Council Entry'!AE16)),IF(AND(ISNUMBER('Council Entry'!AE$8),ISNUMBER('Council Entry'!AE$9)),MAX(MIN('Council Entry'!AE16,'Council Entry'!AE$9),'Council Entry'!AE$8),'Council Entry'!AE16))))-'Council Entry'!AE$5)/('Council Entry'!AE$6-'Council Entry'!AE$5)),1))),"No data"))</f>
        <v/>
      </c>
      <c r="AF16" s="13">
        <f>IF('Council Entry'!AF16="","",IFERROR(MAX(0,MIN(10,ROUND(IF('Council Entry'!AF$7="Decrease Risk",10-10*((IF('Council Entry'!AF$4="Logarithm",LN(0.001+IF(AND(ISNUMBER('Council Entry'!AF$8),ISNUMBER('Council Entry'!AF$9)),MAX(MIN('Council Entry'!AF16,'Council Entry'!AF$9),'Council Entry'!AF$8),'Council Entry'!AF16)),IF('Council Entry'!AF$4="Exponential",EXP(IF(AND(ISNUMBER('Council Entry'!AF$8),ISNUMBER('Council Entry'!AF$9)),MAX(MIN('Council Entry'!AF16,'Council Entry'!AF$9),'Council Entry'!AF$8),'Council Entry'!AF16)),IF(AND(ISNUMBER('Council Entry'!AF$8),ISNUMBER('Council Entry'!AF$9)),MAX(MIN('Council Entry'!AF16,'Council Entry'!AF$9),'Council Entry'!AF$8),'Council Entry'!AF16))))-'Council Entry'!AF$5)/('Council Entry'!AF$6-'Council Entry'!AF$5),10*((IF('Council Entry'!AF$4="Logarithm",LN(0.001+IF(AND(ISNUMBER('Council Entry'!AF$8),ISNUMBER('Council Entry'!AF$9)),MAX(MIN('Council Entry'!AF16,'Council Entry'!AF$9),'Council Entry'!AF$8),'Council Entry'!AF16)),IF('Council Entry'!AF$4="Exponential",EXP(IF(AND(ISNUMBER('Council Entry'!AF$8),ISNUMBER('Council Entry'!AF$9)),MAX(MIN('Council Entry'!AF16,'Council Entry'!AF$9),'Council Entry'!AF$8),'Council Entry'!AF16)),IF(AND(ISNUMBER('Council Entry'!AF$8),ISNUMBER('Council Entry'!AF$9)),MAX(MIN('Council Entry'!AF16,'Council Entry'!AF$9),'Council Entry'!AF$8),'Council Entry'!AF16))))-'Council Entry'!AF$5)/('Council Entry'!AF$6-'Council Entry'!AF$5)),1))),"No data"))</f>
        <v/>
      </c>
      <c r="AG16" s="13">
        <f>IF('Council Entry'!AG16="","",IFERROR(MAX(0,MIN(10,ROUND(IF('Council Entry'!AG$7="Decrease Risk",10-10*((IF('Council Entry'!AG$4="Logarithm",LN(0.001+IF(AND(ISNUMBER('Council Entry'!AG$8),ISNUMBER('Council Entry'!AG$9)),MAX(MIN('Council Entry'!AG16,'Council Entry'!AG$9),'Council Entry'!AG$8),'Council Entry'!AG16)),IF('Council Entry'!AG$4="Exponential",EXP(IF(AND(ISNUMBER('Council Entry'!AG$8),ISNUMBER('Council Entry'!AG$9)),MAX(MIN('Council Entry'!AG16,'Council Entry'!AG$9),'Council Entry'!AG$8),'Council Entry'!AG16)),IF(AND(ISNUMBER('Council Entry'!AG$8),ISNUMBER('Council Entry'!AG$9)),MAX(MIN('Council Entry'!AG16,'Council Entry'!AG$9),'Council Entry'!AG$8),'Council Entry'!AG16))))-'Council Entry'!AG$5)/('Council Entry'!AG$6-'Council Entry'!AG$5),10*((IF('Council Entry'!AG$4="Logarithm",LN(0.001+IF(AND(ISNUMBER('Council Entry'!AG$8),ISNUMBER('Council Entry'!AG$9)),MAX(MIN('Council Entry'!AG16,'Council Entry'!AG$9),'Council Entry'!AG$8),'Council Entry'!AG16)),IF('Council Entry'!AG$4="Exponential",EXP(IF(AND(ISNUMBER('Council Entry'!AG$8),ISNUMBER('Council Entry'!AG$9)),MAX(MIN('Council Entry'!AG16,'Council Entry'!AG$9),'Council Entry'!AG$8),'Council Entry'!AG16)),IF(AND(ISNUMBER('Council Entry'!AG$8),ISNUMBER('Council Entry'!AG$9)),MAX(MIN('Council Entry'!AG16,'Council Entry'!AG$9),'Council Entry'!AG$8),'Council Entry'!AG16))))-'Council Entry'!AG$5)/('Council Entry'!AG$6-'Council Entry'!AG$5)),1))),"No data"))</f>
        <v/>
      </c>
      <c r="AH16" s="13">
        <f>IF('Council Entry'!AH16="","",IFERROR(MAX(0,MIN(10,ROUND(IF('Council Entry'!AH$7="Decrease Risk",10-10*((IF('Council Entry'!AH$4="Logarithm",LN(0.001+IF(AND(ISNUMBER('Council Entry'!AH$8),ISNUMBER('Council Entry'!AH$9)),MAX(MIN('Council Entry'!AH16,'Council Entry'!AH$9),'Council Entry'!AH$8),'Council Entry'!AH16)),IF('Council Entry'!AH$4="Exponential",EXP(IF(AND(ISNUMBER('Council Entry'!AH$8),ISNUMBER('Council Entry'!AH$9)),MAX(MIN('Council Entry'!AH16,'Council Entry'!AH$9),'Council Entry'!AH$8),'Council Entry'!AH16)),IF(AND(ISNUMBER('Council Entry'!AH$8),ISNUMBER('Council Entry'!AH$9)),MAX(MIN('Council Entry'!AH16,'Council Entry'!AH$9),'Council Entry'!AH$8),'Council Entry'!AH16))))-'Council Entry'!AH$5)/('Council Entry'!AH$6-'Council Entry'!AH$5),10*((IF('Council Entry'!AH$4="Logarithm",LN(0.001+IF(AND(ISNUMBER('Council Entry'!AH$8),ISNUMBER('Council Entry'!AH$9)),MAX(MIN('Council Entry'!AH16,'Council Entry'!AH$9),'Council Entry'!AH$8),'Council Entry'!AH16)),IF('Council Entry'!AH$4="Exponential",EXP(IF(AND(ISNUMBER('Council Entry'!AH$8),ISNUMBER('Council Entry'!AH$9)),MAX(MIN('Council Entry'!AH16,'Council Entry'!AH$9),'Council Entry'!AH$8),'Council Entry'!AH16)),IF(AND(ISNUMBER('Council Entry'!AH$8),ISNUMBER('Council Entry'!AH$9)),MAX(MIN('Council Entry'!AH16,'Council Entry'!AH$9),'Council Entry'!AH$8),'Council Entry'!AH16))))-'Council Entry'!AH$5)/('Council Entry'!AH$6-'Council Entry'!AH$5)),1))),"No data"))</f>
        <v/>
      </c>
      <c r="AI16" s="13">
        <f>IF('Council Entry'!AI16="","",IFERROR(MAX(0,MIN(10,ROUND(IF('Council Entry'!AI$7="Decrease Risk",10-10*((IF('Council Entry'!AI$4="Logarithm",LN(0.001+IF(AND(ISNUMBER('Council Entry'!AI$8),ISNUMBER('Council Entry'!AI$9)),MAX(MIN('Council Entry'!AI16,'Council Entry'!AI$9),'Council Entry'!AI$8),'Council Entry'!AI16)),IF('Council Entry'!AI$4="Exponential",EXP(IF(AND(ISNUMBER('Council Entry'!AI$8),ISNUMBER('Council Entry'!AI$9)),MAX(MIN('Council Entry'!AI16,'Council Entry'!AI$9),'Council Entry'!AI$8),'Council Entry'!AI16)),IF(AND(ISNUMBER('Council Entry'!AI$8),ISNUMBER('Council Entry'!AI$9)),MAX(MIN('Council Entry'!AI16,'Council Entry'!AI$9),'Council Entry'!AI$8),'Council Entry'!AI16))))-'Council Entry'!AI$5)/('Council Entry'!AI$6-'Council Entry'!AI$5),10*((IF('Council Entry'!AI$4="Logarithm",LN(0.001+IF(AND(ISNUMBER('Council Entry'!AI$8),ISNUMBER('Council Entry'!AI$9)),MAX(MIN('Council Entry'!AI16,'Council Entry'!AI$9),'Council Entry'!AI$8),'Council Entry'!AI16)),IF('Council Entry'!AI$4="Exponential",EXP(IF(AND(ISNUMBER('Council Entry'!AI$8),ISNUMBER('Council Entry'!AI$9)),MAX(MIN('Council Entry'!AI16,'Council Entry'!AI$9),'Council Entry'!AI$8),'Council Entry'!AI16)),IF(AND(ISNUMBER('Council Entry'!AI$8),ISNUMBER('Council Entry'!AI$9)),MAX(MIN('Council Entry'!AI16,'Council Entry'!AI$9),'Council Entry'!AI$8),'Council Entry'!AI16))))-'Council Entry'!AI$5)/('Council Entry'!AI$6-'Council Entry'!AI$5)),1))),"No data"))</f>
        <v/>
      </c>
      <c r="AJ16" s="13">
        <f>IF('Council Entry'!AJ16="","",IFERROR(MAX(0,MIN(10,ROUND(IF('Council Entry'!AJ$7="Decrease Risk",10-10*((IF('Council Entry'!AJ$4="Logarithm",LN(0.001+IF(AND(ISNUMBER('Council Entry'!AJ$8),ISNUMBER('Council Entry'!AJ$9)),MAX(MIN('Council Entry'!AJ16,'Council Entry'!AJ$9),'Council Entry'!AJ$8),'Council Entry'!AJ16)),IF('Council Entry'!AJ$4="Exponential",EXP(IF(AND(ISNUMBER('Council Entry'!AJ$8),ISNUMBER('Council Entry'!AJ$9)),MAX(MIN('Council Entry'!AJ16,'Council Entry'!AJ$9),'Council Entry'!AJ$8),'Council Entry'!AJ16)),IF(AND(ISNUMBER('Council Entry'!AJ$8),ISNUMBER('Council Entry'!AJ$9)),MAX(MIN('Council Entry'!AJ16,'Council Entry'!AJ$9),'Council Entry'!AJ$8),'Council Entry'!AJ16))))-'Council Entry'!AJ$5)/('Council Entry'!AJ$6-'Council Entry'!AJ$5),10*((IF('Council Entry'!AJ$4="Logarithm",LN(0.001+IF(AND(ISNUMBER('Council Entry'!AJ$8),ISNUMBER('Council Entry'!AJ$9)),MAX(MIN('Council Entry'!AJ16,'Council Entry'!AJ$9),'Council Entry'!AJ$8),'Council Entry'!AJ16)),IF('Council Entry'!AJ$4="Exponential",EXP(IF(AND(ISNUMBER('Council Entry'!AJ$8),ISNUMBER('Council Entry'!AJ$9)),MAX(MIN('Council Entry'!AJ16,'Council Entry'!AJ$9),'Council Entry'!AJ$8),'Council Entry'!AJ16)),IF(AND(ISNUMBER('Council Entry'!AJ$8),ISNUMBER('Council Entry'!AJ$9)),MAX(MIN('Council Entry'!AJ16,'Council Entry'!AJ$9),'Council Entry'!AJ$8),'Council Entry'!AJ16))))-'Council Entry'!AJ$5)/('Council Entry'!AJ$6-'Council Entry'!AJ$5)),1))),"No data"))</f>
        <v/>
      </c>
      <c r="AK16" s="13">
        <f>IF('Council Entry'!AK16="","",IFERROR(MAX(0,MIN(10,ROUND(IF('Council Entry'!AK$7="Decrease Risk",10-10*((IF('Council Entry'!AK$4="Logarithm",LN(0.001+IF(AND(ISNUMBER('Council Entry'!AK$8),ISNUMBER('Council Entry'!AK$9)),MAX(MIN('Council Entry'!AK16,'Council Entry'!AK$9),'Council Entry'!AK$8),'Council Entry'!AK16)),IF('Council Entry'!AK$4="Exponential",EXP(IF(AND(ISNUMBER('Council Entry'!AK$8),ISNUMBER('Council Entry'!AK$9)),MAX(MIN('Council Entry'!AK16,'Council Entry'!AK$9),'Council Entry'!AK$8),'Council Entry'!AK16)),IF(AND(ISNUMBER('Council Entry'!AK$8),ISNUMBER('Council Entry'!AK$9)),MAX(MIN('Council Entry'!AK16,'Council Entry'!AK$9),'Council Entry'!AK$8),'Council Entry'!AK16))))-'Council Entry'!AK$5)/('Council Entry'!AK$6-'Council Entry'!AK$5),10*((IF('Council Entry'!AK$4="Logarithm",LN(0.001+IF(AND(ISNUMBER('Council Entry'!AK$8),ISNUMBER('Council Entry'!AK$9)),MAX(MIN('Council Entry'!AK16,'Council Entry'!AK$9),'Council Entry'!AK$8),'Council Entry'!AK16)),IF('Council Entry'!AK$4="Exponential",EXP(IF(AND(ISNUMBER('Council Entry'!AK$8),ISNUMBER('Council Entry'!AK$9)),MAX(MIN('Council Entry'!AK16,'Council Entry'!AK$9),'Council Entry'!AK$8),'Council Entry'!AK16)),IF(AND(ISNUMBER('Council Entry'!AK$8),ISNUMBER('Council Entry'!AK$9)),MAX(MIN('Council Entry'!AK16,'Council Entry'!AK$9),'Council Entry'!AK$8),'Council Entry'!AK16))))-'Council Entry'!AK$5)/('Council Entry'!AK$6-'Council Entry'!AK$5)),1))),"No data"))</f>
        <v/>
      </c>
      <c r="AL16" s="13">
        <f>IF('Council Entry'!AL16="","",IFERROR(MAX(0,MIN(10,ROUND(IF('Council Entry'!AL$7="Decrease Risk",10-10*((IF('Council Entry'!AL$4="Logarithm",LN(0.001+IF(AND(ISNUMBER('Council Entry'!AL$8),ISNUMBER('Council Entry'!AL$9)),MAX(MIN('Council Entry'!AL16,'Council Entry'!AL$9),'Council Entry'!AL$8),'Council Entry'!AL16)),IF('Council Entry'!AL$4="Exponential",EXP(IF(AND(ISNUMBER('Council Entry'!AL$8),ISNUMBER('Council Entry'!AL$9)),MAX(MIN('Council Entry'!AL16,'Council Entry'!AL$9),'Council Entry'!AL$8),'Council Entry'!AL16)),IF(AND(ISNUMBER('Council Entry'!AL$8),ISNUMBER('Council Entry'!AL$9)),MAX(MIN('Council Entry'!AL16,'Council Entry'!AL$9),'Council Entry'!AL$8),'Council Entry'!AL16))))-'Council Entry'!AL$5)/('Council Entry'!AL$6-'Council Entry'!AL$5),10*((IF('Council Entry'!AL$4="Logarithm",LN(0.001+IF(AND(ISNUMBER('Council Entry'!AL$8),ISNUMBER('Council Entry'!AL$9)),MAX(MIN('Council Entry'!AL16,'Council Entry'!AL$9),'Council Entry'!AL$8),'Council Entry'!AL16)),IF('Council Entry'!AL$4="Exponential",EXP(IF(AND(ISNUMBER('Council Entry'!AL$8),ISNUMBER('Council Entry'!AL$9)),MAX(MIN('Council Entry'!AL16,'Council Entry'!AL$9),'Council Entry'!AL$8),'Council Entry'!AL16)),IF(AND(ISNUMBER('Council Entry'!AL$8),ISNUMBER('Council Entry'!AL$9)),MAX(MIN('Council Entry'!AL16,'Council Entry'!AL$9),'Council Entry'!AL$8),'Council Entry'!AL16))))-'Council Entry'!AL$5)/('Council Entry'!AL$6-'Council Entry'!AL$5)),1))),"No data"))</f>
        <v/>
      </c>
      <c r="AM16" s="13">
        <f>IF('Council Entry'!AM16="","",IFERROR(MAX(0,MIN(10,ROUND(IF('Council Entry'!AM$7="Decrease Risk",10-10*((IF('Council Entry'!AM$4="Logarithm",LN(0.001+IF(AND(ISNUMBER('Council Entry'!AM$8),ISNUMBER('Council Entry'!AM$9)),MAX(MIN('Council Entry'!AM16,'Council Entry'!AM$9),'Council Entry'!AM$8),'Council Entry'!AM16)),IF('Council Entry'!AM$4="Exponential",EXP(IF(AND(ISNUMBER('Council Entry'!AM$8),ISNUMBER('Council Entry'!AM$9)),MAX(MIN('Council Entry'!AM16,'Council Entry'!AM$9),'Council Entry'!AM$8),'Council Entry'!AM16)),IF(AND(ISNUMBER('Council Entry'!AM$8),ISNUMBER('Council Entry'!AM$9)),MAX(MIN('Council Entry'!AM16,'Council Entry'!AM$9),'Council Entry'!AM$8),'Council Entry'!AM16))))-'Council Entry'!AM$5)/('Council Entry'!AM$6-'Council Entry'!AM$5),10*((IF('Council Entry'!AM$4="Logarithm",LN(0.001+IF(AND(ISNUMBER('Council Entry'!AM$8),ISNUMBER('Council Entry'!AM$9)),MAX(MIN('Council Entry'!AM16,'Council Entry'!AM$9),'Council Entry'!AM$8),'Council Entry'!AM16)),IF('Council Entry'!AM$4="Exponential",EXP(IF(AND(ISNUMBER('Council Entry'!AM$8),ISNUMBER('Council Entry'!AM$9)),MAX(MIN('Council Entry'!AM16,'Council Entry'!AM$9),'Council Entry'!AM$8),'Council Entry'!AM16)),IF(AND(ISNUMBER('Council Entry'!AM$8),ISNUMBER('Council Entry'!AM$9)),MAX(MIN('Council Entry'!AM16,'Council Entry'!AM$9),'Council Entry'!AM$8),'Council Entry'!AM16))))-'Council Entry'!AM$5)/('Council Entry'!AM$6-'Council Entry'!AM$5)),1))),"No data"))</f>
        <v/>
      </c>
      <c r="AN16" s="13">
        <f>IF('Council Entry'!AN16="","",IFERROR(MAX(0,MIN(10,ROUND(IF('Council Entry'!AN$7="Decrease Risk",10-10*((IF('Council Entry'!AN$4="Logarithm",LN(0.001+IF(AND(ISNUMBER('Council Entry'!AN$8),ISNUMBER('Council Entry'!AN$9)),MAX(MIN('Council Entry'!AN16,'Council Entry'!AN$9),'Council Entry'!AN$8),'Council Entry'!AN16)),IF('Council Entry'!AN$4="Exponential",EXP(IF(AND(ISNUMBER('Council Entry'!AN$8),ISNUMBER('Council Entry'!AN$9)),MAX(MIN('Council Entry'!AN16,'Council Entry'!AN$9),'Council Entry'!AN$8),'Council Entry'!AN16)),IF(AND(ISNUMBER('Council Entry'!AN$8),ISNUMBER('Council Entry'!AN$9)),MAX(MIN('Council Entry'!AN16,'Council Entry'!AN$9),'Council Entry'!AN$8),'Council Entry'!AN16))))-'Council Entry'!AN$5)/('Council Entry'!AN$6-'Council Entry'!AN$5),10*((IF('Council Entry'!AN$4="Logarithm",LN(0.001+IF(AND(ISNUMBER('Council Entry'!AN$8),ISNUMBER('Council Entry'!AN$9)),MAX(MIN('Council Entry'!AN16,'Council Entry'!AN$9),'Council Entry'!AN$8),'Council Entry'!AN16)),IF('Council Entry'!AN$4="Exponential",EXP(IF(AND(ISNUMBER('Council Entry'!AN$8),ISNUMBER('Council Entry'!AN$9)),MAX(MIN('Council Entry'!AN16,'Council Entry'!AN$9),'Council Entry'!AN$8),'Council Entry'!AN16)),IF(AND(ISNUMBER('Council Entry'!AN$8),ISNUMBER('Council Entry'!AN$9)),MAX(MIN('Council Entry'!AN16,'Council Entry'!AN$9),'Council Entry'!AN$8),'Council Entry'!AN16))))-'Council Entry'!AN$5)/('Council Entry'!AN$6-'Council Entry'!AN$5)),1))),"No data"))</f>
        <v/>
      </c>
      <c r="AO16" s="13">
        <f>IF('Council Entry'!AO16="","",IFERROR(MAX(0,MIN(10,ROUND(IF('Council Entry'!AO$7="Decrease Risk",10-10*((IF('Council Entry'!AO$4="Logarithm",LN(0.001+IF(AND(ISNUMBER('Council Entry'!AO$8),ISNUMBER('Council Entry'!AO$9)),MAX(MIN('Council Entry'!AO16,'Council Entry'!AO$9),'Council Entry'!AO$8),'Council Entry'!AO16)),IF('Council Entry'!AO$4="Exponential",EXP(IF(AND(ISNUMBER('Council Entry'!AO$8),ISNUMBER('Council Entry'!AO$9)),MAX(MIN('Council Entry'!AO16,'Council Entry'!AO$9),'Council Entry'!AO$8),'Council Entry'!AO16)),IF(AND(ISNUMBER('Council Entry'!AO$8),ISNUMBER('Council Entry'!AO$9)),MAX(MIN('Council Entry'!AO16,'Council Entry'!AO$9),'Council Entry'!AO$8),'Council Entry'!AO16))))-'Council Entry'!AO$5)/('Council Entry'!AO$6-'Council Entry'!AO$5),10*((IF('Council Entry'!AO$4="Logarithm",LN(0.001+IF(AND(ISNUMBER('Council Entry'!AO$8),ISNUMBER('Council Entry'!AO$9)),MAX(MIN('Council Entry'!AO16,'Council Entry'!AO$9),'Council Entry'!AO$8),'Council Entry'!AO16)),IF('Council Entry'!AO$4="Exponential",EXP(IF(AND(ISNUMBER('Council Entry'!AO$8),ISNUMBER('Council Entry'!AO$9)),MAX(MIN('Council Entry'!AO16,'Council Entry'!AO$9),'Council Entry'!AO$8),'Council Entry'!AO16)),IF(AND(ISNUMBER('Council Entry'!AO$8),ISNUMBER('Council Entry'!AO$9)),MAX(MIN('Council Entry'!AO16,'Council Entry'!AO$9),'Council Entry'!AO$8),'Council Entry'!AO16))))-'Council Entry'!AO$5)/('Council Entry'!AO$6-'Council Entry'!AO$5)),1))),"No data"))</f>
        <v/>
      </c>
      <c r="AP16" s="13">
        <f>IF('Council Entry'!AP16="","",IFERROR(MAX(0,MIN(10,ROUND(IF('Council Entry'!AP$7="Decrease Risk",10-10*((IF('Council Entry'!AP$4="Logarithm",LN(0.001+IF(AND(ISNUMBER('Council Entry'!AP$8),ISNUMBER('Council Entry'!AP$9)),MAX(MIN('Council Entry'!AP16,'Council Entry'!AP$9),'Council Entry'!AP$8),'Council Entry'!AP16)),IF('Council Entry'!AP$4="Exponential",EXP(IF(AND(ISNUMBER('Council Entry'!AP$8),ISNUMBER('Council Entry'!AP$9)),MAX(MIN('Council Entry'!AP16,'Council Entry'!AP$9),'Council Entry'!AP$8),'Council Entry'!AP16)),IF(AND(ISNUMBER('Council Entry'!AP$8),ISNUMBER('Council Entry'!AP$9)),MAX(MIN('Council Entry'!AP16,'Council Entry'!AP$9),'Council Entry'!AP$8),'Council Entry'!AP16))))-'Council Entry'!AP$5)/('Council Entry'!AP$6-'Council Entry'!AP$5),10*((IF('Council Entry'!AP$4="Logarithm",LN(0.001+IF(AND(ISNUMBER('Council Entry'!AP$8),ISNUMBER('Council Entry'!AP$9)),MAX(MIN('Council Entry'!AP16,'Council Entry'!AP$9),'Council Entry'!AP$8),'Council Entry'!AP16)),IF('Council Entry'!AP$4="Exponential",EXP(IF(AND(ISNUMBER('Council Entry'!AP$8),ISNUMBER('Council Entry'!AP$9)),MAX(MIN('Council Entry'!AP16,'Council Entry'!AP$9),'Council Entry'!AP$8),'Council Entry'!AP16)),IF(AND(ISNUMBER('Council Entry'!AP$8),ISNUMBER('Council Entry'!AP$9)),MAX(MIN('Council Entry'!AP16,'Council Entry'!AP$9),'Council Entry'!AP$8),'Council Entry'!AP16))))-'Council Entry'!AP$5)/('Council Entry'!AP$6-'Council Entry'!AP$5)),1))),"No data"))</f>
        <v/>
      </c>
      <c r="AQ16" s="13">
        <f>IF('Council Entry'!AQ16="","",IFERROR(MAX(0,MIN(10,ROUND(IF('Council Entry'!AQ$7="Decrease Risk",10-10*((IF('Council Entry'!AQ$4="Logarithm",LN(0.001+IF(AND(ISNUMBER('Council Entry'!AQ$8),ISNUMBER('Council Entry'!AQ$9)),MAX(MIN('Council Entry'!AQ16,'Council Entry'!AQ$9),'Council Entry'!AQ$8),'Council Entry'!AQ16)),IF('Council Entry'!AQ$4="Exponential",EXP(IF(AND(ISNUMBER('Council Entry'!AQ$8),ISNUMBER('Council Entry'!AQ$9)),MAX(MIN('Council Entry'!AQ16,'Council Entry'!AQ$9),'Council Entry'!AQ$8),'Council Entry'!AQ16)),IF(AND(ISNUMBER('Council Entry'!AQ$8),ISNUMBER('Council Entry'!AQ$9)),MAX(MIN('Council Entry'!AQ16,'Council Entry'!AQ$9),'Council Entry'!AQ$8),'Council Entry'!AQ16))))-'Council Entry'!AQ$5)/('Council Entry'!AQ$6-'Council Entry'!AQ$5),10*((IF('Council Entry'!AQ$4="Logarithm",LN(0.001+IF(AND(ISNUMBER('Council Entry'!AQ$8),ISNUMBER('Council Entry'!AQ$9)),MAX(MIN('Council Entry'!AQ16,'Council Entry'!AQ$9),'Council Entry'!AQ$8),'Council Entry'!AQ16)),IF('Council Entry'!AQ$4="Exponential",EXP(IF(AND(ISNUMBER('Council Entry'!AQ$8),ISNUMBER('Council Entry'!AQ$9)),MAX(MIN('Council Entry'!AQ16,'Council Entry'!AQ$9),'Council Entry'!AQ$8),'Council Entry'!AQ16)),IF(AND(ISNUMBER('Council Entry'!AQ$8),ISNUMBER('Council Entry'!AQ$9)),MAX(MIN('Council Entry'!AQ16,'Council Entry'!AQ$9),'Council Entry'!AQ$8),'Council Entry'!AQ16))))-'Council Entry'!AQ$5)/('Council Entry'!AQ$6-'Council Entry'!AQ$5)),1))),"No data"))</f>
        <v/>
      </c>
      <c r="AR16" s="13">
        <f>IF('Council Entry'!AR16="","",IFERROR(MAX(0,MIN(10,ROUND(IF('Council Entry'!AR$7="Decrease Risk",10-10*((IF('Council Entry'!AR$4="Logarithm",LN(0.001+IF(AND(ISNUMBER('Council Entry'!AR$8),ISNUMBER('Council Entry'!AR$9)),MAX(MIN('Council Entry'!AR16,'Council Entry'!AR$9),'Council Entry'!AR$8),'Council Entry'!AR16)),IF('Council Entry'!AR$4="Exponential",EXP(IF(AND(ISNUMBER('Council Entry'!AR$8),ISNUMBER('Council Entry'!AR$9)),MAX(MIN('Council Entry'!AR16,'Council Entry'!AR$9),'Council Entry'!AR$8),'Council Entry'!AR16)),IF(AND(ISNUMBER('Council Entry'!AR$8),ISNUMBER('Council Entry'!AR$9)),MAX(MIN('Council Entry'!AR16,'Council Entry'!AR$9),'Council Entry'!AR$8),'Council Entry'!AR16))))-'Council Entry'!AR$5)/('Council Entry'!AR$6-'Council Entry'!AR$5),10*((IF('Council Entry'!AR$4="Logarithm",LN(0.001+IF(AND(ISNUMBER('Council Entry'!AR$8),ISNUMBER('Council Entry'!AR$9)),MAX(MIN('Council Entry'!AR16,'Council Entry'!AR$9),'Council Entry'!AR$8),'Council Entry'!AR16)),IF('Council Entry'!AR$4="Exponential",EXP(IF(AND(ISNUMBER('Council Entry'!AR$8),ISNUMBER('Council Entry'!AR$9)),MAX(MIN('Council Entry'!AR16,'Council Entry'!AR$9),'Council Entry'!AR$8),'Council Entry'!AR16)),IF(AND(ISNUMBER('Council Entry'!AR$8),ISNUMBER('Council Entry'!AR$9)),MAX(MIN('Council Entry'!AR16,'Council Entry'!AR$9),'Council Entry'!AR$8),'Council Entry'!AR16))))-'Council Entry'!AR$5)/('Council Entry'!AR$6-'Council Entry'!AR$5)),1))),"No data"))</f>
        <v/>
      </c>
      <c r="AS16" s="13">
        <f>IF('Council Entry'!AS16="","",IFERROR(MAX(0,MIN(10,ROUND(IF('Council Entry'!AS$7="Decrease Risk",10-10*((IF('Council Entry'!AS$4="Logarithm",LN(0.001+IF(AND(ISNUMBER('Council Entry'!AS$8),ISNUMBER('Council Entry'!AS$9)),MAX(MIN('Council Entry'!AS16,'Council Entry'!AS$9),'Council Entry'!AS$8),'Council Entry'!AS16)),IF('Council Entry'!AS$4="Exponential",EXP(IF(AND(ISNUMBER('Council Entry'!AS$8),ISNUMBER('Council Entry'!AS$9)),MAX(MIN('Council Entry'!AS16,'Council Entry'!AS$9),'Council Entry'!AS$8),'Council Entry'!AS16)),IF(AND(ISNUMBER('Council Entry'!AS$8),ISNUMBER('Council Entry'!AS$9)),MAX(MIN('Council Entry'!AS16,'Council Entry'!AS$9),'Council Entry'!AS$8),'Council Entry'!AS16))))-'Council Entry'!AS$5)/('Council Entry'!AS$6-'Council Entry'!AS$5),10*((IF('Council Entry'!AS$4="Logarithm",LN(0.001+IF(AND(ISNUMBER('Council Entry'!AS$8),ISNUMBER('Council Entry'!AS$9)),MAX(MIN('Council Entry'!AS16,'Council Entry'!AS$9),'Council Entry'!AS$8),'Council Entry'!AS16)),IF('Council Entry'!AS$4="Exponential",EXP(IF(AND(ISNUMBER('Council Entry'!AS$8),ISNUMBER('Council Entry'!AS$9)),MAX(MIN('Council Entry'!AS16,'Council Entry'!AS$9),'Council Entry'!AS$8),'Council Entry'!AS16)),IF(AND(ISNUMBER('Council Entry'!AS$8),ISNUMBER('Council Entry'!AS$9)),MAX(MIN('Council Entry'!AS16,'Council Entry'!AS$9),'Council Entry'!AS$8),'Council Entry'!AS16))))-'Council Entry'!AS$5)/('Council Entry'!AS$6-'Council Entry'!AS$5)),1))),"No data"))</f>
        <v/>
      </c>
      <c r="AT16" s="13">
        <f>IF('Council Entry'!AT16="","",IFERROR(MAX(0,MIN(10,ROUND(IF('Council Entry'!AT$7="Decrease Risk",10-10*((IF('Council Entry'!AT$4="Logarithm",LN(0.001+IF(AND(ISNUMBER('Council Entry'!AT$8),ISNUMBER('Council Entry'!AT$9)),MAX(MIN('Council Entry'!AT16,'Council Entry'!AT$9),'Council Entry'!AT$8),'Council Entry'!AT16)),IF('Council Entry'!AT$4="Exponential",EXP(IF(AND(ISNUMBER('Council Entry'!AT$8),ISNUMBER('Council Entry'!AT$9)),MAX(MIN('Council Entry'!AT16,'Council Entry'!AT$9),'Council Entry'!AT$8),'Council Entry'!AT16)),IF(AND(ISNUMBER('Council Entry'!AT$8),ISNUMBER('Council Entry'!AT$9)),MAX(MIN('Council Entry'!AT16,'Council Entry'!AT$9),'Council Entry'!AT$8),'Council Entry'!AT16))))-'Council Entry'!AT$5)/('Council Entry'!AT$6-'Council Entry'!AT$5),10*((IF('Council Entry'!AT$4="Logarithm",LN(0.001+IF(AND(ISNUMBER('Council Entry'!AT$8),ISNUMBER('Council Entry'!AT$9)),MAX(MIN('Council Entry'!AT16,'Council Entry'!AT$9),'Council Entry'!AT$8),'Council Entry'!AT16)),IF('Council Entry'!AT$4="Exponential",EXP(IF(AND(ISNUMBER('Council Entry'!AT$8),ISNUMBER('Council Entry'!AT$9)),MAX(MIN('Council Entry'!AT16,'Council Entry'!AT$9),'Council Entry'!AT$8),'Council Entry'!AT16)),IF(AND(ISNUMBER('Council Entry'!AT$8),ISNUMBER('Council Entry'!AT$9)),MAX(MIN('Council Entry'!AT16,'Council Entry'!AT$9),'Council Entry'!AT$8),'Council Entry'!AT16))))-'Council Entry'!AT$5)/('Council Entry'!AT$6-'Council Entry'!AT$5)),1))),"No data"))</f>
        <v/>
      </c>
      <c r="AU16" s="13">
        <f>IF('Council Entry'!AU16="","",IFERROR(MAX(0,MIN(10,ROUND(IF('Council Entry'!AU$7="Decrease Risk",10-10*((IF('Council Entry'!AU$4="Logarithm",LN(0.001+IF(AND(ISNUMBER('Council Entry'!AU$8),ISNUMBER('Council Entry'!AU$9)),MAX(MIN('Council Entry'!AU16,'Council Entry'!AU$9),'Council Entry'!AU$8),'Council Entry'!AU16)),IF('Council Entry'!AU$4="Exponential",EXP(IF(AND(ISNUMBER('Council Entry'!AU$8),ISNUMBER('Council Entry'!AU$9)),MAX(MIN('Council Entry'!AU16,'Council Entry'!AU$9),'Council Entry'!AU$8),'Council Entry'!AU16)),IF(AND(ISNUMBER('Council Entry'!AU$8),ISNUMBER('Council Entry'!AU$9)),MAX(MIN('Council Entry'!AU16,'Council Entry'!AU$9),'Council Entry'!AU$8),'Council Entry'!AU16))))-'Council Entry'!AU$5)/('Council Entry'!AU$6-'Council Entry'!AU$5),10*((IF('Council Entry'!AU$4="Logarithm",LN(0.001+IF(AND(ISNUMBER('Council Entry'!AU$8),ISNUMBER('Council Entry'!AU$9)),MAX(MIN('Council Entry'!AU16,'Council Entry'!AU$9),'Council Entry'!AU$8),'Council Entry'!AU16)),IF('Council Entry'!AU$4="Exponential",EXP(IF(AND(ISNUMBER('Council Entry'!AU$8),ISNUMBER('Council Entry'!AU$9)),MAX(MIN('Council Entry'!AU16,'Council Entry'!AU$9),'Council Entry'!AU$8),'Council Entry'!AU16)),IF(AND(ISNUMBER('Council Entry'!AU$8),ISNUMBER('Council Entry'!AU$9)),MAX(MIN('Council Entry'!AU16,'Council Entry'!AU$9),'Council Entry'!AU$8),'Council Entry'!AU16))))-'Council Entry'!AU$5)/('Council Entry'!AU$6-'Council Entry'!AU$5)),1))),"No data"))</f>
        <v/>
      </c>
      <c r="AV16" s="13">
        <f>IF('Council Entry'!AV16="","",IFERROR(MAX(0,MIN(10,ROUND(IF('Council Entry'!AV$7="Decrease Risk",10-10*((IF('Council Entry'!AV$4="Logarithm",LN(0.001+IF(AND(ISNUMBER('Council Entry'!AV$8),ISNUMBER('Council Entry'!AV$9)),MAX(MIN('Council Entry'!AV16,'Council Entry'!AV$9),'Council Entry'!AV$8),'Council Entry'!AV16)),IF('Council Entry'!AV$4="Exponential",EXP(IF(AND(ISNUMBER('Council Entry'!AV$8),ISNUMBER('Council Entry'!AV$9)),MAX(MIN('Council Entry'!AV16,'Council Entry'!AV$9),'Council Entry'!AV$8),'Council Entry'!AV16)),IF(AND(ISNUMBER('Council Entry'!AV$8),ISNUMBER('Council Entry'!AV$9)),MAX(MIN('Council Entry'!AV16,'Council Entry'!AV$9),'Council Entry'!AV$8),'Council Entry'!AV16))))-'Council Entry'!AV$5)/('Council Entry'!AV$6-'Council Entry'!AV$5),10*((IF('Council Entry'!AV$4="Logarithm",LN(0.001+IF(AND(ISNUMBER('Council Entry'!AV$8),ISNUMBER('Council Entry'!AV$9)),MAX(MIN('Council Entry'!AV16,'Council Entry'!AV$9),'Council Entry'!AV$8),'Council Entry'!AV16)),IF('Council Entry'!AV$4="Exponential",EXP(IF(AND(ISNUMBER('Council Entry'!AV$8),ISNUMBER('Council Entry'!AV$9)),MAX(MIN('Council Entry'!AV16,'Council Entry'!AV$9),'Council Entry'!AV$8),'Council Entry'!AV16)),IF(AND(ISNUMBER('Council Entry'!AV$8),ISNUMBER('Council Entry'!AV$9)),MAX(MIN('Council Entry'!AV16,'Council Entry'!AV$9),'Council Entry'!AV$8),'Council Entry'!AV16))))-'Council Entry'!AV$5)/('Council Entry'!AV$6-'Council Entry'!AV$5)),1))),"No data"))</f>
        <v/>
      </c>
      <c r="AW16" s="13">
        <f>IF('Council Entry'!AW16="","",IFERROR(MAX(0,MIN(10,ROUND(IF('Council Entry'!AW$7="Decrease Risk",10-10*((IF('Council Entry'!AW$4="Logarithm",LN(0.001+IF(AND(ISNUMBER('Council Entry'!AW$8),ISNUMBER('Council Entry'!AW$9)),MAX(MIN('Council Entry'!AW16,'Council Entry'!AW$9),'Council Entry'!AW$8),'Council Entry'!AW16)),IF('Council Entry'!AW$4="Exponential",EXP(IF(AND(ISNUMBER('Council Entry'!AW$8),ISNUMBER('Council Entry'!AW$9)),MAX(MIN('Council Entry'!AW16,'Council Entry'!AW$9),'Council Entry'!AW$8),'Council Entry'!AW16)),IF(AND(ISNUMBER('Council Entry'!AW$8),ISNUMBER('Council Entry'!AW$9)),MAX(MIN('Council Entry'!AW16,'Council Entry'!AW$9),'Council Entry'!AW$8),'Council Entry'!AW16))))-'Council Entry'!AW$5)/('Council Entry'!AW$6-'Council Entry'!AW$5),10*((IF('Council Entry'!AW$4="Logarithm",LN(0.001+IF(AND(ISNUMBER('Council Entry'!AW$8),ISNUMBER('Council Entry'!AW$9)),MAX(MIN('Council Entry'!AW16,'Council Entry'!AW$9),'Council Entry'!AW$8),'Council Entry'!AW16)),IF('Council Entry'!AW$4="Exponential",EXP(IF(AND(ISNUMBER('Council Entry'!AW$8),ISNUMBER('Council Entry'!AW$9)),MAX(MIN('Council Entry'!AW16,'Council Entry'!AW$9),'Council Entry'!AW$8),'Council Entry'!AW16)),IF(AND(ISNUMBER('Council Entry'!AW$8),ISNUMBER('Council Entry'!AW$9)),MAX(MIN('Council Entry'!AW16,'Council Entry'!AW$9),'Council Entry'!AW$8),'Council Entry'!AW16))))-'Council Entry'!AW$5)/('Council Entry'!AW$6-'Council Entry'!AW$5)),1))),"No data"))</f>
        <v/>
      </c>
      <c r="AX16" s="13">
        <f>IF('Council Entry'!AX16="","",IFERROR(MAX(0,MIN(10,ROUND(IF('Council Entry'!AX$7="Decrease Risk",10-10*((IF('Council Entry'!AX$4="Logarithm",LN(0.001+IF(AND(ISNUMBER('Council Entry'!AX$8),ISNUMBER('Council Entry'!AX$9)),MAX(MIN('Council Entry'!AX16,'Council Entry'!AX$9),'Council Entry'!AX$8),'Council Entry'!AX16)),IF('Council Entry'!AX$4="Exponential",EXP(IF(AND(ISNUMBER('Council Entry'!AX$8),ISNUMBER('Council Entry'!AX$9)),MAX(MIN('Council Entry'!AX16,'Council Entry'!AX$9),'Council Entry'!AX$8),'Council Entry'!AX16)),IF(AND(ISNUMBER('Council Entry'!AX$8),ISNUMBER('Council Entry'!AX$9)),MAX(MIN('Council Entry'!AX16,'Council Entry'!AX$9),'Council Entry'!AX$8),'Council Entry'!AX16))))-'Council Entry'!AX$5)/('Council Entry'!AX$6-'Council Entry'!AX$5),10*((IF('Council Entry'!AX$4="Logarithm",LN(0.001+IF(AND(ISNUMBER('Council Entry'!AX$8),ISNUMBER('Council Entry'!AX$9)),MAX(MIN('Council Entry'!AX16,'Council Entry'!AX$9),'Council Entry'!AX$8),'Council Entry'!AX16)),IF('Council Entry'!AX$4="Exponential",EXP(IF(AND(ISNUMBER('Council Entry'!AX$8),ISNUMBER('Council Entry'!AX$9)),MAX(MIN('Council Entry'!AX16,'Council Entry'!AX$9),'Council Entry'!AX$8),'Council Entry'!AX16)),IF(AND(ISNUMBER('Council Entry'!AX$8),ISNUMBER('Council Entry'!AX$9)),MAX(MIN('Council Entry'!AX16,'Council Entry'!AX$9),'Council Entry'!AX$8),'Council Entry'!AX16))))-'Council Entry'!AX$5)/('Council Entry'!AX$6-'Council Entry'!AX$5)),1))),"No data"))</f>
        <v/>
      </c>
      <c r="AY16" s="13">
        <f>IF('Council Entry'!AY16="","",IFERROR(MAX(0,MIN(10,ROUND(IF('Council Entry'!AY$7="Decrease Risk",10-10*((IF('Council Entry'!AY$4="Logarithm",LN(0.001+IF(AND(ISNUMBER('Council Entry'!AY$8),ISNUMBER('Council Entry'!AY$9)),MAX(MIN('Council Entry'!AY16,'Council Entry'!AY$9),'Council Entry'!AY$8),'Council Entry'!AY16)),IF('Council Entry'!AY$4="Exponential",EXP(IF(AND(ISNUMBER('Council Entry'!AY$8),ISNUMBER('Council Entry'!AY$9)),MAX(MIN('Council Entry'!AY16,'Council Entry'!AY$9),'Council Entry'!AY$8),'Council Entry'!AY16)),IF(AND(ISNUMBER('Council Entry'!AY$8),ISNUMBER('Council Entry'!AY$9)),MAX(MIN('Council Entry'!AY16,'Council Entry'!AY$9),'Council Entry'!AY$8),'Council Entry'!AY16))))-'Council Entry'!AY$5)/('Council Entry'!AY$6-'Council Entry'!AY$5),10*((IF('Council Entry'!AY$4="Logarithm",LN(0.001+IF(AND(ISNUMBER('Council Entry'!AY$8),ISNUMBER('Council Entry'!AY$9)),MAX(MIN('Council Entry'!AY16,'Council Entry'!AY$9),'Council Entry'!AY$8),'Council Entry'!AY16)),IF('Council Entry'!AY$4="Exponential",EXP(IF(AND(ISNUMBER('Council Entry'!AY$8),ISNUMBER('Council Entry'!AY$9)),MAX(MIN('Council Entry'!AY16,'Council Entry'!AY$9),'Council Entry'!AY$8),'Council Entry'!AY16)),IF(AND(ISNUMBER('Council Entry'!AY$8),ISNUMBER('Council Entry'!AY$9)),MAX(MIN('Council Entry'!AY16,'Council Entry'!AY$9),'Council Entry'!AY$8),'Council Entry'!AY16))))-'Council Entry'!AY$5)/('Council Entry'!AY$6-'Council Entry'!AY$5)),1))),"No data"))</f>
        <v/>
      </c>
      <c r="AZ16" s="13">
        <f>IF('Council Entry'!AZ16="","",IFERROR(MAX(0,MIN(10,ROUND(IF('Council Entry'!AZ$7="Decrease Risk",10-10*((IF('Council Entry'!AZ$4="Logarithm",LN(0.001+IF(AND(ISNUMBER('Council Entry'!AZ$8),ISNUMBER('Council Entry'!AZ$9)),MAX(MIN('Council Entry'!AZ16,'Council Entry'!AZ$9),'Council Entry'!AZ$8),'Council Entry'!AZ16)),IF('Council Entry'!AZ$4="Exponential",EXP(IF(AND(ISNUMBER('Council Entry'!AZ$8),ISNUMBER('Council Entry'!AZ$9)),MAX(MIN('Council Entry'!AZ16,'Council Entry'!AZ$9),'Council Entry'!AZ$8),'Council Entry'!AZ16)),IF(AND(ISNUMBER('Council Entry'!AZ$8),ISNUMBER('Council Entry'!AZ$9)),MAX(MIN('Council Entry'!AZ16,'Council Entry'!AZ$9),'Council Entry'!AZ$8),'Council Entry'!AZ16))))-'Council Entry'!AZ$5)/('Council Entry'!AZ$6-'Council Entry'!AZ$5),10*((IF('Council Entry'!AZ$4="Logarithm",LN(0.001+IF(AND(ISNUMBER('Council Entry'!AZ$8),ISNUMBER('Council Entry'!AZ$9)),MAX(MIN('Council Entry'!AZ16,'Council Entry'!AZ$9),'Council Entry'!AZ$8),'Council Entry'!AZ16)),IF('Council Entry'!AZ$4="Exponential",EXP(IF(AND(ISNUMBER('Council Entry'!AZ$8),ISNUMBER('Council Entry'!AZ$9)),MAX(MIN('Council Entry'!AZ16,'Council Entry'!AZ$9),'Council Entry'!AZ$8),'Council Entry'!AZ16)),IF(AND(ISNUMBER('Council Entry'!AZ$8),ISNUMBER('Council Entry'!AZ$9)),MAX(MIN('Council Entry'!AZ16,'Council Entry'!AZ$9),'Council Entry'!AZ$8),'Council Entry'!AZ16))))-'Council Entry'!AZ$5)/('Council Entry'!AZ$6-'Council Entry'!AZ$5)),1))),"No data"))</f>
        <v/>
      </c>
      <c r="BA16" s="13">
        <f>IF('Council Entry'!BA16="","",IFERROR(MAX(0,MIN(10,ROUND(IF('Council Entry'!BA$7="Decrease Risk",10-10*((IF('Council Entry'!BA$4="Logarithm",LN(0.001+IF(AND(ISNUMBER('Council Entry'!BA$8),ISNUMBER('Council Entry'!BA$9)),MAX(MIN('Council Entry'!BA16,'Council Entry'!BA$9),'Council Entry'!BA$8),'Council Entry'!BA16)),IF('Council Entry'!BA$4="Exponential",EXP(IF(AND(ISNUMBER('Council Entry'!BA$8),ISNUMBER('Council Entry'!BA$9)),MAX(MIN('Council Entry'!BA16,'Council Entry'!BA$9),'Council Entry'!BA$8),'Council Entry'!BA16)),IF(AND(ISNUMBER('Council Entry'!BA$8),ISNUMBER('Council Entry'!BA$9)),MAX(MIN('Council Entry'!BA16,'Council Entry'!BA$9),'Council Entry'!BA$8),'Council Entry'!BA16))))-'Council Entry'!BA$5)/('Council Entry'!BA$6-'Council Entry'!BA$5),10*((IF('Council Entry'!BA$4="Logarithm",LN(0.001+IF(AND(ISNUMBER('Council Entry'!BA$8),ISNUMBER('Council Entry'!BA$9)),MAX(MIN('Council Entry'!BA16,'Council Entry'!BA$9),'Council Entry'!BA$8),'Council Entry'!BA16)),IF('Council Entry'!BA$4="Exponential",EXP(IF(AND(ISNUMBER('Council Entry'!BA$8),ISNUMBER('Council Entry'!BA$9)),MAX(MIN('Council Entry'!BA16,'Council Entry'!BA$9),'Council Entry'!BA$8),'Council Entry'!BA16)),IF(AND(ISNUMBER('Council Entry'!BA$8),ISNUMBER('Council Entry'!BA$9)),MAX(MIN('Council Entry'!BA16,'Council Entry'!BA$9),'Council Entry'!BA$8),'Council Entry'!BA16))))-'Council Entry'!BA$5)/('Council Entry'!BA$6-'Council Entry'!BA$5)),1))),"No data"))</f>
        <v/>
      </c>
      <c r="BB16" s="13">
        <f>IF('Council Entry'!BB16="","",IFERROR(MAX(0,MIN(10,ROUND(IF('Council Entry'!BB$7="Decrease Risk",10-10*((IF('Council Entry'!BB$4="Logarithm",LN(0.001+IF(AND(ISNUMBER('Council Entry'!BB$8),ISNUMBER('Council Entry'!BB$9)),MAX(MIN('Council Entry'!BB16,'Council Entry'!BB$9),'Council Entry'!BB$8),'Council Entry'!BB16)),IF('Council Entry'!BB$4="Exponential",EXP(IF(AND(ISNUMBER('Council Entry'!BB$8),ISNUMBER('Council Entry'!BB$9)),MAX(MIN('Council Entry'!BB16,'Council Entry'!BB$9),'Council Entry'!BB$8),'Council Entry'!BB16)),IF(AND(ISNUMBER('Council Entry'!BB$8),ISNUMBER('Council Entry'!BB$9)),MAX(MIN('Council Entry'!BB16,'Council Entry'!BB$9),'Council Entry'!BB$8),'Council Entry'!BB16))))-'Council Entry'!BB$5)/('Council Entry'!BB$6-'Council Entry'!BB$5),10*((IF('Council Entry'!BB$4="Logarithm",LN(0.001+IF(AND(ISNUMBER('Council Entry'!BB$8),ISNUMBER('Council Entry'!BB$9)),MAX(MIN('Council Entry'!BB16,'Council Entry'!BB$9),'Council Entry'!BB$8),'Council Entry'!BB16)),IF('Council Entry'!BB$4="Exponential",EXP(IF(AND(ISNUMBER('Council Entry'!BB$8),ISNUMBER('Council Entry'!BB$9)),MAX(MIN('Council Entry'!BB16,'Council Entry'!BB$9),'Council Entry'!BB$8),'Council Entry'!BB16)),IF(AND(ISNUMBER('Council Entry'!BB$8),ISNUMBER('Council Entry'!BB$9)),MAX(MIN('Council Entry'!BB16,'Council Entry'!BB$9),'Council Entry'!BB$8),'Council Entry'!BB16))))-'Council Entry'!BB$5)/('Council Entry'!BB$6-'Council Entry'!BB$5)),1))),"No data"))</f>
        <v/>
      </c>
      <c r="BC16" s="13">
        <f>IF('Council Entry'!BC16="","",IFERROR(MAX(0,MIN(10,ROUND(IF('Council Entry'!BC$7="Decrease Risk",10-10*((IF('Council Entry'!BC$4="Logarithm",LN(0.001+IF(AND(ISNUMBER('Council Entry'!BC$8),ISNUMBER('Council Entry'!BC$9)),MAX(MIN('Council Entry'!BC16,'Council Entry'!BC$9),'Council Entry'!BC$8),'Council Entry'!BC16)),IF('Council Entry'!BC$4="Exponential",EXP(IF(AND(ISNUMBER('Council Entry'!BC$8),ISNUMBER('Council Entry'!BC$9)),MAX(MIN('Council Entry'!BC16,'Council Entry'!BC$9),'Council Entry'!BC$8),'Council Entry'!BC16)),IF(AND(ISNUMBER('Council Entry'!BC$8),ISNUMBER('Council Entry'!BC$9)),MAX(MIN('Council Entry'!BC16,'Council Entry'!BC$9),'Council Entry'!BC$8),'Council Entry'!BC16))))-'Council Entry'!BC$5)/('Council Entry'!BC$6-'Council Entry'!BC$5),10*((IF('Council Entry'!BC$4="Logarithm",LN(0.001+IF(AND(ISNUMBER('Council Entry'!BC$8),ISNUMBER('Council Entry'!BC$9)),MAX(MIN('Council Entry'!BC16,'Council Entry'!BC$9),'Council Entry'!BC$8),'Council Entry'!BC16)),IF('Council Entry'!BC$4="Exponential",EXP(IF(AND(ISNUMBER('Council Entry'!BC$8),ISNUMBER('Council Entry'!BC$9)),MAX(MIN('Council Entry'!BC16,'Council Entry'!BC$9),'Council Entry'!BC$8),'Council Entry'!BC16)),IF(AND(ISNUMBER('Council Entry'!BC$8),ISNUMBER('Council Entry'!BC$9)),MAX(MIN('Council Entry'!BC16,'Council Entry'!BC$9),'Council Entry'!BC$8),'Council Entry'!BC16))))-'Council Entry'!BC$5)/('Council Entry'!BC$6-'Council Entry'!BC$5)),1))),"No data"))</f>
        <v/>
      </c>
      <c r="BD16" s="13">
        <f>IF('Council Entry'!BD16="","",IFERROR(MAX(0,MIN(10,ROUND(IF('Council Entry'!BD$7="Decrease Risk",10-10*((IF('Council Entry'!BD$4="Logarithm",LN(0.001+IF(AND(ISNUMBER('Council Entry'!BD$8),ISNUMBER('Council Entry'!BD$9)),MAX(MIN('Council Entry'!BD16,'Council Entry'!BD$9),'Council Entry'!BD$8),'Council Entry'!BD16)),IF('Council Entry'!BD$4="Exponential",EXP(IF(AND(ISNUMBER('Council Entry'!BD$8),ISNUMBER('Council Entry'!BD$9)),MAX(MIN('Council Entry'!BD16,'Council Entry'!BD$9),'Council Entry'!BD$8),'Council Entry'!BD16)),IF(AND(ISNUMBER('Council Entry'!BD$8),ISNUMBER('Council Entry'!BD$9)),MAX(MIN('Council Entry'!BD16,'Council Entry'!BD$9),'Council Entry'!BD$8),'Council Entry'!BD16))))-'Council Entry'!BD$5)/('Council Entry'!BD$6-'Council Entry'!BD$5),10*((IF('Council Entry'!BD$4="Logarithm",LN(0.001+IF(AND(ISNUMBER('Council Entry'!BD$8),ISNUMBER('Council Entry'!BD$9)),MAX(MIN('Council Entry'!BD16,'Council Entry'!BD$9),'Council Entry'!BD$8),'Council Entry'!BD16)),IF('Council Entry'!BD$4="Exponential",EXP(IF(AND(ISNUMBER('Council Entry'!BD$8),ISNUMBER('Council Entry'!BD$9)),MAX(MIN('Council Entry'!BD16,'Council Entry'!BD$9),'Council Entry'!BD$8),'Council Entry'!BD16)),IF(AND(ISNUMBER('Council Entry'!BD$8),ISNUMBER('Council Entry'!BD$9)),MAX(MIN('Council Entry'!BD16,'Council Entry'!BD$9),'Council Entry'!BD$8),'Council Entry'!BD16))))-'Council Entry'!BD$5)/('Council Entry'!BD$6-'Council Entry'!BD$5)),1))),"No data"))</f>
        <v/>
      </c>
    </row>
    <row r="17">
      <c r="A17" t="inlineStr">
        <is>
          <t>Arusha</t>
        </is>
      </c>
      <c r="B17" t="inlineStr">
        <is>
          <t>Ngorongoro District</t>
        </is>
      </c>
      <c r="C17" t="inlineStr">
        <is>
          <t>C014</t>
        </is>
      </c>
      <c r="D17" s="13">
        <f>IF('Council Entry'!D17="","",IFERROR(MAX(0,MIN(10,ROUND(IF('Council Entry'!D$7="Decrease Risk",10-10*((IF('Council Entry'!D$4="Logarithm",LN(0.001+IF(AND(ISNUMBER('Council Entry'!D$8),ISNUMBER('Council Entry'!D$9)),MAX(MIN('Council Entry'!D17,'Council Entry'!D$9),'Council Entry'!D$8),'Council Entry'!D17)),IF('Council Entry'!D$4="Exponential",EXP(IF(AND(ISNUMBER('Council Entry'!D$8),ISNUMBER('Council Entry'!D$9)),MAX(MIN('Council Entry'!D17,'Council Entry'!D$9),'Council Entry'!D$8),'Council Entry'!D17)),IF(AND(ISNUMBER('Council Entry'!D$8),ISNUMBER('Council Entry'!D$9)),MAX(MIN('Council Entry'!D17,'Council Entry'!D$9),'Council Entry'!D$8),'Council Entry'!D17))))-'Council Entry'!D$5)/('Council Entry'!D$6-'Council Entry'!D$5),10*((IF('Council Entry'!D$4="Logarithm",LN(0.001+IF(AND(ISNUMBER('Council Entry'!D$8),ISNUMBER('Council Entry'!D$9)),MAX(MIN('Council Entry'!D17,'Council Entry'!D$9),'Council Entry'!D$8),'Council Entry'!D17)),IF('Council Entry'!D$4="Exponential",EXP(IF(AND(ISNUMBER('Council Entry'!D$8),ISNUMBER('Council Entry'!D$9)),MAX(MIN('Council Entry'!D17,'Council Entry'!D$9),'Council Entry'!D$8),'Council Entry'!D17)),IF(AND(ISNUMBER('Council Entry'!D$8),ISNUMBER('Council Entry'!D$9)),MAX(MIN('Council Entry'!D17,'Council Entry'!D$9),'Council Entry'!D$8),'Council Entry'!D17))))-'Council Entry'!D$5)/('Council Entry'!D$6-'Council Entry'!D$5)),1))),"No data"))</f>
        <v/>
      </c>
      <c r="E17" s="13">
        <f>IF('Council Entry'!E17="","",IFERROR(MAX(0,MIN(10,ROUND(IF('Council Entry'!E$7="Decrease Risk",10-10*((IF('Council Entry'!E$4="Logarithm",LN(0.001+IF(AND(ISNUMBER('Council Entry'!E$8),ISNUMBER('Council Entry'!E$9)),MAX(MIN('Council Entry'!E17,'Council Entry'!E$9),'Council Entry'!E$8),'Council Entry'!E17)),IF('Council Entry'!E$4="Exponential",EXP(IF(AND(ISNUMBER('Council Entry'!E$8),ISNUMBER('Council Entry'!E$9)),MAX(MIN('Council Entry'!E17,'Council Entry'!E$9),'Council Entry'!E$8),'Council Entry'!E17)),IF(AND(ISNUMBER('Council Entry'!E$8),ISNUMBER('Council Entry'!E$9)),MAX(MIN('Council Entry'!E17,'Council Entry'!E$9),'Council Entry'!E$8),'Council Entry'!E17))))-'Council Entry'!E$5)/('Council Entry'!E$6-'Council Entry'!E$5),10*((IF('Council Entry'!E$4="Logarithm",LN(0.001+IF(AND(ISNUMBER('Council Entry'!E$8),ISNUMBER('Council Entry'!E$9)),MAX(MIN('Council Entry'!E17,'Council Entry'!E$9),'Council Entry'!E$8),'Council Entry'!E17)),IF('Council Entry'!E$4="Exponential",EXP(IF(AND(ISNUMBER('Council Entry'!E$8),ISNUMBER('Council Entry'!E$9)),MAX(MIN('Council Entry'!E17,'Council Entry'!E$9),'Council Entry'!E$8),'Council Entry'!E17)),IF(AND(ISNUMBER('Council Entry'!E$8),ISNUMBER('Council Entry'!E$9)),MAX(MIN('Council Entry'!E17,'Council Entry'!E$9),'Council Entry'!E$8),'Council Entry'!E17))))-'Council Entry'!E$5)/('Council Entry'!E$6-'Council Entry'!E$5)),1))),"No data"))</f>
        <v/>
      </c>
      <c r="F17" s="13">
        <f>IF('Council Entry'!F17="","",IFERROR(MAX(0,MIN(10,ROUND(IF('Council Entry'!F$7="Decrease Risk",10-10*((IF('Council Entry'!F$4="Logarithm",LN(0.001+IF(AND(ISNUMBER('Council Entry'!F$8),ISNUMBER('Council Entry'!F$9)),MAX(MIN('Council Entry'!F17,'Council Entry'!F$9),'Council Entry'!F$8),'Council Entry'!F17)),IF('Council Entry'!F$4="Exponential",EXP(IF(AND(ISNUMBER('Council Entry'!F$8),ISNUMBER('Council Entry'!F$9)),MAX(MIN('Council Entry'!F17,'Council Entry'!F$9),'Council Entry'!F$8),'Council Entry'!F17)),IF(AND(ISNUMBER('Council Entry'!F$8),ISNUMBER('Council Entry'!F$9)),MAX(MIN('Council Entry'!F17,'Council Entry'!F$9),'Council Entry'!F$8),'Council Entry'!F17))))-'Council Entry'!F$5)/('Council Entry'!F$6-'Council Entry'!F$5),10*((IF('Council Entry'!F$4="Logarithm",LN(0.001+IF(AND(ISNUMBER('Council Entry'!F$8),ISNUMBER('Council Entry'!F$9)),MAX(MIN('Council Entry'!F17,'Council Entry'!F$9),'Council Entry'!F$8),'Council Entry'!F17)),IF('Council Entry'!F$4="Exponential",EXP(IF(AND(ISNUMBER('Council Entry'!F$8),ISNUMBER('Council Entry'!F$9)),MAX(MIN('Council Entry'!F17,'Council Entry'!F$9),'Council Entry'!F$8),'Council Entry'!F17)),IF(AND(ISNUMBER('Council Entry'!F$8),ISNUMBER('Council Entry'!F$9)),MAX(MIN('Council Entry'!F17,'Council Entry'!F$9),'Council Entry'!F$8),'Council Entry'!F17))))-'Council Entry'!F$5)/('Council Entry'!F$6-'Council Entry'!F$5)),1))),"No data"))</f>
        <v/>
      </c>
      <c r="G17" s="13">
        <f>IF('Council Entry'!G17="","",IFERROR(MAX(0,MIN(10,ROUND(IF('Council Entry'!G$7="Decrease Risk",10-10*((IF('Council Entry'!G$4="Logarithm",LN(0.001+IF(AND(ISNUMBER('Council Entry'!G$8),ISNUMBER('Council Entry'!G$9)),MAX(MIN('Council Entry'!G17,'Council Entry'!G$9),'Council Entry'!G$8),'Council Entry'!G17)),IF('Council Entry'!G$4="Exponential",EXP(IF(AND(ISNUMBER('Council Entry'!G$8),ISNUMBER('Council Entry'!G$9)),MAX(MIN('Council Entry'!G17,'Council Entry'!G$9),'Council Entry'!G$8),'Council Entry'!G17)),IF(AND(ISNUMBER('Council Entry'!G$8),ISNUMBER('Council Entry'!G$9)),MAX(MIN('Council Entry'!G17,'Council Entry'!G$9),'Council Entry'!G$8),'Council Entry'!G17))))-'Council Entry'!G$5)/('Council Entry'!G$6-'Council Entry'!G$5),10*((IF('Council Entry'!G$4="Logarithm",LN(0.001+IF(AND(ISNUMBER('Council Entry'!G$8),ISNUMBER('Council Entry'!G$9)),MAX(MIN('Council Entry'!G17,'Council Entry'!G$9),'Council Entry'!G$8),'Council Entry'!G17)),IF('Council Entry'!G$4="Exponential",EXP(IF(AND(ISNUMBER('Council Entry'!G$8),ISNUMBER('Council Entry'!G$9)),MAX(MIN('Council Entry'!G17,'Council Entry'!G$9),'Council Entry'!G$8),'Council Entry'!G17)),IF(AND(ISNUMBER('Council Entry'!G$8),ISNUMBER('Council Entry'!G$9)),MAX(MIN('Council Entry'!G17,'Council Entry'!G$9),'Council Entry'!G$8),'Council Entry'!G17))))-'Council Entry'!G$5)/('Council Entry'!G$6-'Council Entry'!G$5)),1))),"No data"))</f>
        <v/>
      </c>
      <c r="H17" s="13">
        <f>IF('Council Entry'!H17="","",IFERROR(MAX(0,MIN(10,ROUND(IF('Council Entry'!H$7="Decrease Risk",10-10*((IF('Council Entry'!H$4="Logarithm",LN(0.001+IF(AND(ISNUMBER('Council Entry'!H$8),ISNUMBER('Council Entry'!H$9)),MAX(MIN('Council Entry'!H17,'Council Entry'!H$9),'Council Entry'!H$8),'Council Entry'!H17)),IF('Council Entry'!H$4="Exponential",EXP(IF(AND(ISNUMBER('Council Entry'!H$8),ISNUMBER('Council Entry'!H$9)),MAX(MIN('Council Entry'!H17,'Council Entry'!H$9),'Council Entry'!H$8),'Council Entry'!H17)),IF(AND(ISNUMBER('Council Entry'!H$8),ISNUMBER('Council Entry'!H$9)),MAX(MIN('Council Entry'!H17,'Council Entry'!H$9),'Council Entry'!H$8),'Council Entry'!H17))))-'Council Entry'!H$5)/('Council Entry'!H$6-'Council Entry'!H$5),10*((IF('Council Entry'!H$4="Logarithm",LN(0.001+IF(AND(ISNUMBER('Council Entry'!H$8),ISNUMBER('Council Entry'!H$9)),MAX(MIN('Council Entry'!H17,'Council Entry'!H$9),'Council Entry'!H$8),'Council Entry'!H17)),IF('Council Entry'!H$4="Exponential",EXP(IF(AND(ISNUMBER('Council Entry'!H$8),ISNUMBER('Council Entry'!H$9)),MAX(MIN('Council Entry'!H17,'Council Entry'!H$9),'Council Entry'!H$8),'Council Entry'!H17)),IF(AND(ISNUMBER('Council Entry'!H$8),ISNUMBER('Council Entry'!H$9)),MAX(MIN('Council Entry'!H17,'Council Entry'!H$9),'Council Entry'!H$8),'Council Entry'!H17))))-'Council Entry'!H$5)/('Council Entry'!H$6-'Council Entry'!H$5)),1))),"No data"))</f>
        <v/>
      </c>
      <c r="I17" s="13">
        <f>IF('Council Entry'!I17="","",IFERROR(MAX(0,MIN(10,ROUND(IF('Council Entry'!I$7="Decrease Risk",10-10*((IF('Council Entry'!I$4="Logarithm",LN(0.001+IF(AND(ISNUMBER('Council Entry'!I$8),ISNUMBER('Council Entry'!I$9)),MAX(MIN('Council Entry'!I17,'Council Entry'!I$9),'Council Entry'!I$8),'Council Entry'!I17)),IF('Council Entry'!I$4="Exponential",EXP(IF(AND(ISNUMBER('Council Entry'!I$8),ISNUMBER('Council Entry'!I$9)),MAX(MIN('Council Entry'!I17,'Council Entry'!I$9),'Council Entry'!I$8),'Council Entry'!I17)),IF(AND(ISNUMBER('Council Entry'!I$8),ISNUMBER('Council Entry'!I$9)),MAX(MIN('Council Entry'!I17,'Council Entry'!I$9),'Council Entry'!I$8),'Council Entry'!I17))))-'Council Entry'!I$5)/('Council Entry'!I$6-'Council Entry'!I$5),10*((IF('Council Entry'!I$4="Logarithm",LN(0.001+IF(AND(ISNUMBER('Council Entry'!I$8),ISNUMBER('Council Entry'!I$9)),MAX(MIN('Council Entry'!I17,'Council Entry'!I$9),'Council Entry'!I$8),'Council Entry'!I17)),IF('Council Entry'!I$4="Exponential",EXP(IF(AND(ISNUMBER('Council Entry'!I$8),ISNUMBER('Council Entry'!I$9)),MAX(MIN('Council Entry'!I17,'Council Entry'!I$9),'Council Entry'!I$8),'Council Entry'!I17)),IF(AND(ISNUMBER('Council Entry'!I$8),ISNUMBER('Council Entry'!I$9)),MAX(MIN('Council Entry'!I17,'Council Entry'!I$9),'Council Entry'!I$8),'Council Entry'!I17))))-'Council Entry'!I$5)/('Council Entry'!I$6-'Council Entry'!I$5)),1))),"No data"))</f>
        <v/>
      </c>
      <c r="J17" s="13">
        <f>IF('Council Entry'!J17="","",IFERROR(MAX(0,MIN(10,ROUND(IF('Council Entry'!J$7="Decrease Risk",10-10*((IF('Council Entry'!J$4="Logarithm",LN(0.001+IF(AND(ISNUMBER('Council Entry'!J$8),ISNUMBER('Council Entry'!J$9)),MAX(MIN('Council Entry'!J17,'Council Entry'!J$9),'Council Entry'!J$8),'Council Entry'!J17)),IF('Council Entry'!J$4="Exponential",EXP(IF(AND(ISNUMBER('Council Entry'!J$8),ISNUMBER('Council Entry'!J$9)),MAX(MIN('Council Entry'!J17,'Council Entry'!J$9),'Council Entry'!J$8),'Council Entry'!J17)),IF(AND(ISNUMBER('Council Entry'!J$8),ISNUMBER('Council Entry'!J$9)),MAX(MIN('Council Entry'!J17,'Council Entry'!J$9),'Council Entry'!J$8),'Council Entry'!J17))))-'Council Entry'!J$5)/('Council Entry'!J$6-'Council Entry'!J$5),10*((IF('Council Entry'!J$4="Logarithm",LN(0.001+IF(AND(ISNUMBER('Council Entry'!J$8),ISNUMBER('Council Entry'!J$9)),MAX(MIN('Council Entry'!J17,'Council Entry'!J$9),'Council Entry'!J$8),'Council Entry'!J17)),IF('Council Entry'!J$4="Exponential",EXP(IF(AND(ISNUMBER('Council Entry'!J$8),ISNUMBER('Council Entry'!J$9)),MAX(MIN('Council Entry'!J17,'Council Entry'!J$9),'Council Entry'!J$8),'Council Entry'!J17)),IF(AND(ISNUMBER('Council Entry'!J$8),ISNUMBER('Council Entry'!J$9)),MAX(MIN('Council Entry'!J17,'Council Entry'!J$9),'Council Entry'!J$8),'Council Entry'!J17))))-'Council Entry'!J$5)/('Council Entry'!J$6-'Council Entry'!J$5)),1))),"No data"))</f>
        <v/>
      </c>
      <c r="K17" s="13">
        <f>IF('Council Entry'!K17="","",IFERROR(MAX(0,MIN(10,ROUND(IF('Council Entry'!K$7="Decrease Risk",10-10*((IF('Council Entry'!K$4="Logarithm",LN(0.001+IF(AND(ISNUMBER('Council Entry'!K$8),ISNUMBER('Council Entry'!K$9)),MAX(MIN('Council Entry'!K17,'Council Entry'!K$9),'Council Entry'!K$8),'Council Entry'!K17)),IF('Council Entry'!K$4="Exponential",EXP(IF(AND(ISNUMBER('Council Entry'!K$8),ISNUMBER('Council Entry'!K$9)),MAX(MIN('Council Entry'!K17,'Council Entry'!K$9),'Council Entry'!K$8),'Council Entry'!K17)),IF(AND(ISNUMBER('Council Entry'!K$8),ISNUMBER('Council Entry'!K$9)),MAX(MIN('Council Entry'!K17,'Council Entry'!K$9),'Council Entry'!K$8),'Council Entry'!K17))))-'Council Entry'!K$5)/('Council Entry'!K$6-'Council Entry'!K$5),10*((IF('Council Entry'!K$4="Logarithm",LN(0.001+IF(AND(ISNUMBER('Council Entry'!K$8),ISNUMBER('Council Entry'!K$9)),MAX(MIN('Council Entry'!K17,'Council Entry'!K$9),'Council Entry'!K$8),'Council Entry'!K17)),IF('Council Entry'!K$4="Exponential",EXP(IF(AND(ISNUMBER('Council Entry'!K$8),ISNUMBER('Council Entry'!K$9)),MAX(MIN('Council Entry'!K17,'Council Entry'!K$9),'Council Entry'!K$8),'Council Entry'!K17)),IF(AND(ISNUMBER('Council Entry'!K$8),ISNUMBER('Council Entry'!K$9)),MAX(MIN('Council Entry'!K17,'Council Entry'!K$9),'Council Entry'!K$8),'Council Entry'!K17))))-'Council Entry'!K$5)/('Council Entry'!K$6-'Council Entry'!K$5)),1))),"No data"))</f>
        <v/>
      </c>
      <c r="L17" s="13">
        <f>IF('Council Entry'!L17="","",IFERROR(MAX(0,MIN(10,ROUND(IF('Council Entry'!L$7="Decrease Risk",10-10*((IF('Council Entry'!L$4="Logarithm",LN(0.001+IF(AND(ISNUMBER('Council Entry'!L$8),ISNUMBER('Council Entry'!L$9)),MAX(MIN('Council Entry'!L17,'Council Entry'!L$9),'Council Entry'!L$8),'Council Entry'!L17)),IF('Council Entry'!L$4="Exponential",EXP(IF(AND(ISNUMBER('Council Entry'!L$8),ISNUMBER('Council Entry'!L$9)),MAX(MIN('Council Entry'!L17,'Council Entry'!L$9),'Council Entry'!L$8),'Council Entry'!L17)),IF(AND(ISNUMBER('Council Entry'!L$8),ISNUMBER('Council Entry'!L$9)),MAX(MIN('Council Entry'!L17,'Council Entry'!L$9),'Council Entry'!L$8),'Council Entry'!L17))))-'Council Entry'!L$5)/('Council Entry'!L$6-'Council Entry'!L$5),10*((IF('Council Entry'!L$4="Logarithm",LN(0.001+IF(AND(ISNUMBER('Council Entry'!L$8),ISNUMBER('Council Entry'!L$9)),MAX(MIN('Council Entry'!L17,'Council Entry'!L$9),'Council Entry'!L$8),'Council Entry'!L17)),IF('Council Entry'!L$4="Exponential",EXP(IF(AND(ISNUMBER('Council Entry'!L$8),ISNUMBER('Council Entry'!L$9)),MAX(MIN('Council Entry'!L17,'Council Entry'!L$9),'Council Entry'!L$8),'Council Entry'!L17)),IF(AND(ISNUMBER('Council Entry'!L$8),ISNUMBER('Council Entry'!L$9)),MAX(MIN('Council Entry'!L17,'Council Entry'!L$9),'Council Entry'!L$8),'Council Entry'!L17))))-'Council Entry'!L$5)/('Council Entry'!L$6-'Council Entry'!L$5)),1))),"No data"))</f>
        <v/>
      </c>
      <c r="M17" s="13">
        <f>IF('Council Entry'!M17="","",IFERROR(MAX(0,MIN(10,ROUND(IF('Council Entry'!M$7="Decrease Risk",10-10*((IF('Council Entry'!M$4="Logarithm",LN(0.001+IF(AND(ISNUMBER('Council Entry'!M$8),ISNUMBER('Council Entry'!M$9)),MAX(MIN('Council Entry'!M17,'Council Entry'!M$9),'Council Entry'!M$8),'Council Entry'!M17)),IF('Council Entry'!M$4="Exponential",EXP(IF(AND(ISNUMBER('Council Entry'!M$8),ISNUMBER('Council Entry'!M$9)),MAX(MIN('Council Entry'!M17,'Council Entry'!M$9),'Council Entry'!M$8),'Council Entry'!M17)),IF(AND(ISNUMBER('Council Entry'!M$8),ISNUMBER('Council Entry'!M$9)),MAX(MIN('Council Entry'!M17,'Council Entry'!M$9),'Council Entry'!M$8),'Council Entry'!M17))))-'Council Entry'!M$5)/('Council Entry'!M$6-'Council Entry'!M$5),10*((IF('Council Entry'!M$4="Logarithm",LN(0.001+IF(AND(ISNUMBER('Council Entry'!M$8),ISNUMBER('Council Entry'!M$9)),MAX(MIN('Council Entry'!M17,'Council Entry'!M$9),'Council Entry'!M$8),'Council Entry'!M17)),IF('Council Entry'!M$4="Exponential",EXP(IF(AND(ISNUMBER('Council Entry'!M$8),ISNUMBER('Council Entry'!M$9)),MAX(MIN('Council Entry'!M17,'Council Entry'!M$9),'Council Entry'!M$8),'Council Entry'!M17)),IF(AND(ISNUMBER('Council Entry'!M$8),ISNUMBER('Council Entry'!M$9)),MAX(MIN('Council Entry'!M17,'Council Entry'!M$9),'Council Entry'!M$8),'Council Entry'!M17))))-'Council Entry'!M$5)/('Council Entry'!M$6-'Council Entry'!M$5)),1))),"No data"))</f>
        <v/>
      </c>
      <c r="N17" s="13">
        <f>IF('Council Entry'!N17="","",IFERROR(MAX(0,MIN(10,ROUND(IF('Council Entry'!N$7="Decrease Risk",10-10*((IF('Council Entry'!N$4="Logarithm",LN(0.001+IF(AND(ISNUMBER('Council Entry'!N$8),ISNUMBER('Council Entry'!N$9)),MAX(MIN('Council Entry'!N17,'Council Entry'!N$9),'Council Entry'!N$8),'Council Entry'!N17)),IF('Council Entry'!N$4="Exponential",EXP(IF(AND(ISNUMBER('Council Entry'!N$8),ISNUMBER('Council Entry'!N$9)),MAX(MIN('Council Entry'!N17,'Council Entry'!N$9),'Council Entry'!N$8),'Council Entry'!N17)),IF(AND(ISNUMBER('Council Entry'!N$8),ISNUMBER('Council Entry'!N$9)),MAX(MIN('Council Entry'!N17,'Council Entry'!N$9),'Council Entry'!N$8),'Council Entry'!N17))))-'Council Entry'!N$5)/('Council Entry'!N$6-'Council Entry'!N$5),10*((IF('Council Entry'!N$4="Logarithm",LN(0.001+IF(AND(ISNUMBER('Council Entry'!N$8),ISNUMBER('Council Entry'!N$9)),MAX(MIN('Council Entry'!N17,'Council Entry'!N$9),'Council Entry'!N$8),'Council Entry'!N17)),IF('Council Entry'!N$4="Exponential",EXP(IF(AND(ISNUMBER('Council Entry'!N$8),ISNUMBER('Council Entry'!N$9)),MAX(MIN('Council Entry'!N17,'Council Entry'!N$9),'Council Entry'!N$8),'Council Entry'!N17)),IF(AND(ISNUMBER('Council Entry'!N$8),ISNUMBER('Council Entry'!N$9)),MAX(MIN('Council Entry'!N17,'Council Entry'!N$9),'Council Entry'!N$8),'Council Entry'!N17))))-'Council Entry'!N$5)/('Council Entry'!N$6-'Council Entry'!N$5)),1))),"No data"))</f>
        <v/>
      </c>
      <c r="O17" s="13">
        <f>IF('Council Entry'!O17="","",IFERROR(MAX(0,MIN(10,ROUND(IF('Council Entry'!O$7="Decrease Risk",10-10*((IF('Council Entry'!O$4="Logarithm",LN(0.001+IF(AND(ISNUMBER('Council Entry'!O$8),ISNUMBER('Council Entry'!O$9)),MAX(MIN('Council Entry'!O17,'Council Entry'!O$9),'Council Entry'!O$8),'Council Entry'!O17)),IF('Council Entry'!O$4="Exponential",EXP(IF(AND(ISNUMBER('Council Entry'!O$8),ISNUMBER('Council Entry'!O$9)),MAX(MIN('Council Entry'!O17,'Council Entry'!O$9),'Council Entry'!O$8),'Council Entry'!O17)),IF(AND(ISNUMBER('Council Entry'!O$8),ISNUMBER('Council Entry'!O$9)),MAX(MIN('Council Entry'!O17,'Council Entry'!O$9),'Council Entry'!O$8),'Council Entry'!O17))))-'Council Entry'!O$5)/('Council Entry'!O$6-'Council Entry'!O$5),10*((IF('Council Entry'!O$4="Logarithm",LN(0.001+IF(AND(ISNUMBER('Council Entry'!O$8),ISNUMBER('Council Entry'!O$9)),MAX(MIN('Council Entry'!O17,'Council Entry'!O$9),'Council Entry'!O$8),'Council Entry'!O17)),IF('Council Entry'!O$4="Exponential",EXP(IF(AND(ISNUMBER('Council Entry'!O$8),ISNUMBER('Council Entry'!O$9)),MAX(MIN('Council Entry'!O17,'Council Entry'!O$9),'Council Entry'!O$8),'Council Entry'!O17)),IF(AND(ISNUMBER('Council Entry'!O$8),ISNUMBER('Council Entry'!O$9)),MAX(MIN('Council Entry'!O17,'Council Entry'!O$9),'Council Entry'!O$8),'Council Entry'!O17))))-'Council Entry'!O$5)/('Council Entry'!O$6-'Council Entry'!O$5)),1))),"No data"))</f>
        <v/>
      </c>
      <c r="P17" s="13">
        <f>IF('Council Entry'!P17="","",IFERROR(MAX(0,MIN(10,ROUND(IF('Council Entry'!P$7="Decrease Risk",10-10*((IF('Council Entry'!P$4="Logarithm",LN(0.001+IF(AND(ISNUMBER('Council Entry'!P$8),ISNUMBER('Council Entry'!P$9)),MAX(MIN('Council Entry'!P17,'Council Entry'!P$9),'Council Entry'!P$8),'Council Entry'!P17)),IF('Council Entry'!P$4="Exponential",EXP(IF(AND(ISNUMBER('Council Entry'!P$8),ISNUMBER('Council Entry'!P$9)),MAX(MIN('Council Entry'!P17,'Council Entry'!P$9),'Council Entry'!P$8),'Council Entry'!P17)),IF(AND(ISNUMBER('Council Entry'!P$8),ISNUMBER('Council Entry'!P$9)),MAX(MIN('Council Entry'!P17,'Council Entry'!P$9),'Council Entry'!P$8),'Council Entry'!P17))))-'Council Entry'!P$5)/('Council Entry'!P$6-'Council Entry'!P$5),10*((IF('Council Entry'!P$4="Logarithm",LN(0.001+IF(AND(ISNUMBER('Council Entry'!P$8),ISNUMBER('Council Entry'!P$9)),MAX(MIN('Council Entry'!P17,'Council Entry'!P$9),'Council Entry'!P$8),'Council Entry'!P17)),IF('Council Entry'!P$4="Exponential",EXP(IF(AND(ISNUMBER('Council Entry'!P$8),ISNUMBER('Council Entry'!P$9)),MAX(MIN('Council Entry'!P17,'Council Entry'!P$9),'Council Entry'!P$8),'Council Entry'!P17)),IF(AND(ISNUMBER('Council Entry'!P$8),ISNUMBER('Council Entry'!P$9)),MAX(MIN('Council Entry'!P17,'Council Entry'!P$9),'Council Entry'!P$8),'Council Entry'!P17))))-'Council Entry'!P$5)/('Council Entry'!P$6-'Council Entry'!P$5)),1))),"No data"))</f>
        <v/>
      </c>
      <c r="Q17" s="13">
        <f>IF('Council Entry'!Q17="","",IFERROR(MAX(0,MIN(10,ROUND(IF('Council Entry'!Q$7="Decrease Risk",10-10*((IF('Council Entry'!Q$4="Logarithm",LN(0.001+IF(AND(ISNUMBER('Council Entry'!Q$8),ISNUMBER('Council Entry'!Q$9)),MAX(MIN('Council Entry'!Q17,'Council Entry'!Q$9),'Council Entry'!Q$8),'Council Entry'!Q17)),IF('Council Entry'!Q$4="Exponential",EXP(IF(AND(ISNUMBER('Council Entry'!Q$8),ISNUMBER('Council Entry'!Q$9)),MAX(MIN('Council Entry'!Q17,'Council Entry'!Q$9),'Council Entry'!Q$8),'Council Entry'!Q17)),IF(AND(ISNUMBER('Council Entry'!Q$8),ISNUMBER('Council Entry'!Q$9)),MAX(MIN('Council Entry'!Q17,'Council Entry'!Q$9),'Council Entry'!Q$8),'Council Entry'!Q17))))-'Council Entry'!Q$5)/('Council Entry'!Q$6-'Council Entry'!Q$5),10*((IF('Council Entry'!Q$4="Logarithm",LN(0.001+IF(AND(ISNUMBER('Council Entry'!Q$8),ISNUMBER('Council Entry'!Q$9)),MAX(MIN('Council Entry'!Q17,'Council Entry'!Q$9),'Council Entry'!Q$8),'Council Entry'!Q17)),IF('Council Entry'!Q$4="Exponential",EXP(IF(AND(ISNUMBER('Council Entry'!Q$8),ISNUMBER('Council Entry'!Q$9)),MAX(MIN('Council Entry'!Q17,'Council Entry'!Q$9),'Council Entry'!Q$8),'Council Entry'!Q17)),IF(AND(ISNUMBER('Council Entry'!Q$8),ISNUMBER('Council Entry'!Q$9)),MAX(MIN('Council Entry'!Q17,'Council Entry'!Q$9),'Council Entry'!Q$8),'Council Entry'!Q17))))-'Council Entry'!Q$5)/('Council Entry'!Q$6-'Council Entry'!Q$5)),1))),"No data"))</f>
        <v/>
      </c>
      <c r="R17" s="13">
        <f>IF('Council Entry'!R17="","",IFERROR(MAX(0,MIN(10,ROUND(IF('Council Entry'!R$7="Decrease Risk",10-10*((IF('Council Entry'!R$4="Logarithm",LN(0.001+IF(AND(ISNUMBER('Council Entry'!R$8),ISNUMBER('Council Entry'!R$9)),MAX(MIN('Council Entry'!R17,'Council Entry'!R$9),'Council Entry'!R$8),'Council Entry'!R17)),IF('Council Entry'!R$4="Exponential",EXP(IF(AND(ISNUMBER('Council Entry'!R$8),ISNUMBER('Council Entry'!R$9)),MAX(MIN('Council Entry'!R17,'Council Entry'!R$9),'Council Entry'!R$8),'Council Entry'!R17)),IF(AND(ISNUMBER('Council Entry'!R$8),ISNUMBER('Council Entry'!R$9)),MAX(MIN('Council Entry'!R17,'Council Entry'!R$9),'Council Entry'!R$8),'Council Entry'!R17))))-'Council Entry'!R$5)/('Council Entry'!R$6-'Council Entry'!R$5),10*((IF('Council Entry'!R$4="Logarithm",LN(0.001+IF(AND(ISNUMBER('Council Entry'!R$8),ISNUMBER('Council Entry'!R$9)),MAX(MIN('Council Entry'!R17,'Council Entry'!R$9),'Council Entry'!R$8),'Council Entry'!R17)),IF('Council Entry'!R$4="Exponential",EXP(IF(AND(ISNUMBER('Council Entry'!R$8),ISNUMBER('Council Entry'!R$9)),MAX(MIN('Council Entry'!R17,'Council Entry'!R$9),'Council Entry'!R$8),'Council Entry'!R17)),IF(AND(ISNUMBER('Council Entry'!R$8),ISNUMBER('Council Entry'!R$9)),MAX(MIN('Council Entry'!R17,'Council Entry'!R$9),'Council Entry'!R$8),'Council Entry'!R17))))-'Council Entry'!R$5)/('Council Entry'!R$6-'Council Entry'!R$5)),1))),"No data"))</f>
        <v/>
      </c>
      <c r="S17" s="13">
        <f>IF('Council Entry'!S17="","",IFERROR(MAX(0,MIN(10,ROUND(IF('Council Entry'!S$7="Decrease Risk",10-10*((IF('Council Entry'!S$4="Logarithm",LN(0.001+IF(AND(ISNUMBER('Council Entry'!S$8),ISNUMBER('Council Entry'!S$9)),MAX(MIN('Council Entry'!S17,'Council Entry'!S$9),'Council Entry'!S$8),'Council Entry'!S17)),IF('Council Entry'!S$4="Exponential",EXP(IF(AND(ISNUMBER('Council Entry'!S$8),ISNUMBER('Council Entry'!S$9)),MAX(MIN('Council Entry'!S17,'Council Entry'!S$9),'Council Entry'!S$8),'Council Entry'!S17)),IF(AND(ISNUMBER('Council Entry'!S$8),ISNUMBER('Council Entry'!S$9)),MAX(MIN('Council Entry'!S17,'Council Entry'!S$9),'Council Entry'!S$8),'Council Entry'!S17))))-'Council Entry'!S$5)/('Council Entry'!S$6-'Council Entry'!S$5),10*((IF('Council Entry'!S$4="Logarithm",LN(0.001+IF(AND(ISNUMBER('Council Entry'!S$8),ISNUMBER('Council Entry'!S$9)),MAX(MIN('Council Entry'!S17,'Council Entry'!S$9),'Council Entry'!S$8),'Council Entry'!S17)),IF('Council Entry'!S$4="Exponential",EXP(IF(AND(ISNUMBER('Council Entry'!S$8),ISNUMBER('Council Entry'!S$9)),MAX(MIN('Council Entry'!S17,'Council Entry'!S$9),'Council Entry'!S$8),'Council Entry'!S17)),IF(AND(ISNUMBER('Council Entry'!S$8),ISNUMBER('Council Entry'!S$9)),MAX(MIN('Council Entry'!S17,'Council Entry'!S$9),'Council Entry'!S$8),'Council Entry'!S17))))-'Council Entry'!S$5)/('Council Entry'!S$6-'Council Entry'!S$5)),1))),"No data"))</f>
        <v/>
      </c>
      <c r="T17" s="13">
        <f>IF('Council Entry'!T17="","",IFERROR(MAX(0,MIN(10,ROUND(IF('Council Entry'!T$7="Decrease Risk",10-10*((IF('Council Entry'!T$4="Logarithm",LN(0.001+IF(AND(ISNUMBER('Council Entry'!T$8),ISNUMBER('Council Entry'!T$9)),MAX(MIN('Council Entry'!T17,'Council Entry'!T$9),'Council Entry'!T$8),'Council Entry'!T17)),IF('Council Entry'!T$4="Exponential",EXP(IF(AND(ISNUMBER('Council Entry'!T$8),ISNUMBER('Council Entry'!T$9)),MAX(MIN('Council Entry'!T17,'Council Entry'!T$9),'Council Entry'!T$8),'Council Entry'!T17)),IF(AND(ISNUMBER('Council Entry'!T$8),ISNUMBER('Council Entry'!T$9)),MAX(MIN('Council Entry'!T17,'Council Entry'!T$9),'Council Entry'!T$8),'Council Entry'!T17))))-'Council Entry'!T$5)/('Council Entry'!T$6-'Council Entry'!T$5),10*((IF('Council Entry'!T$4="Logarithm",LN(0.001+IF(AND(ISNUMBER('Council Entry'!T$8),ISNUMBER('Council Entry'!T$9)),MAX(MIN('Council Entry'!T17,'Council Entry'!T$9),'Council Entry'!T$8),'Council Entry'!T17)),IF('Council Entry'!T$4="Exponential",EXP(IF(AND(ISNUMBER('Council Entry'!T$8),ISNUMBER('Council Entry'!T$9)),MAX(MIN('Council Entry'!T17,'Council Entry'!T$9),'Council Entry'!T$8),'Council Entry'!T17)),IF(AND(ISNUMBER('Council Entry'!T$8),ISNUMBER('Council Entry'!T$9)),MAX(MIN('Council Entry'!T17,'Council Entry'!T$9),'Council Entry'!T$8),'Council Entry'!T17))))-'Council Entry'!T$5)/('Council Entry'!T$6-'Council Entry'!T$5)),1))),"No data"))</f>
        <v/>
      </c>
      <c r="U17" s="13">
        <f>IF('Council Entry'!U17="","",IFERROR(MAX(0,MIN(10,ROUND(IF('Council Entry'!U$7="Decrease Risk",10-10*((IF('Council Entry'!U$4="Logarithm",LN(0.001+IF(AND(ISNUMBER('Council Entry'!U$8),ISNUMBER('Council Entry'!U$9)),MAX(MIN('Council Entry'!U17,'Council Entry'!U$9),'Council Entry'!U$8),'Council Entry'!U17)),IF('Council Entry'!U$4="Exponential",EXP(IF(AND(ISNUMBER('Council Entry'!U$8),ISNUMBER('Council Entry'!U$9)),MAX(MIN('Council Entry'!U17,'Council Entry'!U$9),'Council Entry'!U$8),'Council Entry'!U17)),IF(AND(ISNUMBER('Council Entry'!U$8),ISNUMBER('Council Entry'!U$9)),MAX(MIN('Council Entry'!U17,'Council Entry'!U$9),'Council Entry'!U$8),'Council Entry'!U17))))-'Council Entry'!U$5)/('Council Entry'!U$6-'Council Entry'!U$5),10*((IF('Council Entry'!U$4="Logarithm",LN(0.001+IF(AND(ISNUMBER('Council Entry'!U$8),ISNUMBER('Council Entry'!U$9)),MAX(MIN('Council Entry'!U17,'Council Entry'!U$9),'Council Entry'!U$8),'Council Entry'!U17)),IF('Council Entry'!U$4="Exponential",EXP(IF(AND(ISNUMBER('Council Entry'!U$8),ISNUMBER('Council Entry'!U$9)),MAX(MIN('Council Entry'!U17,'Council Entry'!U$9),'Council Entry'!U$8),'Council Entry'!U17)),IF(AND(ISNUMBER('Council Entry'!U$8),ISNUMBER('Council Entry'!U$9)),MAX(MIN('Council Entry'!U17,'Council Entry'!U$9),'Council Entry'!U$8),'Council Entry'!U17))))-'Council Entry'!U$5)/('Council Entry'!U$6-'Council Entry'!U$5)),1))),"No data"))</f>
        <v/>
      </c>
      <c r="V17" s="13">
        <f>IF('Council Entry'!V17="","",IFERROR(MAX(0,MIN(10,ROUND(IF('Council Entry'!V$7="Decrease Risk",10-10*((IF('Council Entry'!V$4="Logarithm",LN(0.001+IF(AND(ISNUMBER('Council Entry'!V$8),ISNUMBER('Council Entry'!V$9)),MAX(MIN('Council Entry'!V17,'Council Entry'!V$9),'Council Entry'!V$8),'Council Entry'!V17)),IF('Council Entry'!V$4="Exponential",EXP(IF(AND(ISNUMBER('Council Entry'!V$8),ISNUMBER('Council Entry'!V$9)),MAX(MIN('Council Entry'!V17,'Council Entry'!V$9),'Council Entry'!V$8),'Council Entry'!V17)),IF(AND(ISNUMBER('Council Entry'!V$8),ISNUMBER('Council Entry'!V$9)),MAX(MIN('Council Entry'!V17,'Council Entry'!V$9),'Council Entry'!V$8),'Council Entry'!V17))))-'Council Entry'!V$5)/('Council Entry'!V$6-'Council Entry'!V$5),10*((IF('Council Entry'!V$4="Logarithm",LN(0.001+IF(AND(ISNUMBER('Council Entry'!V$8),ISNUMBER('Council Entry'!V$9)),MAX(MIN('Council Entry'!V17,'Council Entry'!V$9),'Council Entry'!V$8),'Council Entry'!V17)),IF('Council Entry'!V$4="Exponential",EXP(IF(AND(ISNUMBER('Council Entry'!V$8),ISNUMBER('Council Entry'!V$9)),MAX(MIN('Council Entry'!V17,'Council Entry'!V$9),'Council Entry'!V$8),'Council Entry'!V17)),IF(AND(ISNUMBER('Council Entry'!V$8),ISNUMBER('Council Entry'!V$9)),MAX(MIN('Council Entry'!V17,'Council Entry'!V$9),'Council Entry'!V$8),'Council Entry'!V17))))-'Council Entry'!V$5)/('Council Entry'!V$6-'Council Entry'!V$5)),1))),"No data"))</f>
        <v/>
      </c>
      <c r="W17" s="13">
        <f>IF('Council Entry'!W17="","",IFERROR(MAX(0,MIN(10,ROUND(IF('Council Entry'!W$7="Decrease Risk",10-10*((IF('Council Entry'!W$4="Logarithm",LN(0.001+IF(AND(ISNUMBER('Council Entry'!W$8),ISNUMBER('Council Entry'!W$9)),MAX(MIN('Council Entry'!W17,'Council Entry'!W$9),'Council Entry'!W$8),'Council Entry'!W17)),IF('Council Entry'!W$4="Exponential",EXP(IF(AND(ISNUMBER('Council Entry'!W$8),ISNUMBER('Council Entry'!W$9)),MAX(MIN('Council Entry'!W17,'Council Entry'!W$9),'Council Entry'!W$8),'Council Entry'!W17)),IF(AND(ISNUMBER('Council Entry'!W$8),ISNUMBER('Council Entry'!W$9)),MAX(MIN('Council Entry'!W17,'Council Entry'!W$9),'Council Entry'!W$8),'Council Entry'!W17))))-'Council Entry'!W$5)/('Council Entry'!W$6-'Council Entry'!W$5),10*((IF('Council Entry'!W$4="Logarithm",LN(0.001+IF(AND(ISNUMBER('Council Entry'!W$8),ISNUMBER('Council Entry'!W$9)),MAX(MIN('Council Entry'!W17,'Council Entry'!W$9),'Council Entry'!W$8),'Council Entry'!W17)),IF('Council Entry'!W$4="Exponential",EXP(IF(AND(ISNUMBER('Council Entry'!W$8),ISNUMBER('Council Entry'!W$9)),MAX(MIN('Council Entry'!W17,'Council Entry'!W$9),'Council Entry'!W$8),'Council Entry'!W17)),IF(AND(ISNUMBER('Council Entry'!W$8),ISNUMBER('Council Entry'!W$9)),MAX(MIN('Council Entry'!W17,'Council Entry'!W$9),'Council Entry'!W$8),'Council Entry'!W17))))-'Council Entry'!W$5)/('Council Entry'!W$6-'Council Entry'!W$5)),1))),"No data"))</f>
        <v/>
      </c>
      <c r="X17" s="13">
        <f>IF('Council Entry'!X17="","",IFERROR(MAX(0,MIN(10,ROUND(IF('Council Entry'!X$7="Decrease Risk",10-10*((IF('Council Entry'!X$4="Logarithm",LN(0.001+IF(AND(ISNUMBER('Council Entry'!X$8),ISNUMBER('Council Entry'!X$9)),MAX(MIN('Council Entry'!X17,'Council Entry'!X$9),'Council Entry'!X$8),'Council Entry'!X17)),IF('Council Entry'!X$4="Exponential",EXP(IF(AND(ISNUMBER('Council Entry'!X$8),ISNUMBER('Council Entry'!X$9)),MAX(MIN('Council Entry'!X17,'Council Entry'!X$9),'Council Entry'!X$8),'Council Entry'!X17)),IF(AND(ISNUMBER('Council Entry'!X$8),ISNUMBER('Council Entry'!X$9)),MAX(MIN('Council Entry'!X17,'Council Entry'!X$9),'Council Entry'!X$8),'Council Entry'!X17))))-'Council Entry'!X$5)/('Council Entry'!X$6-'Council Entry'!X$5),10*((IF('Council Entry'!X$4="Logarithm",LN(0.001+IF(AND(ISNUMBER('Council Entry'!X$8),ISNUMBER('Council Entry'!X$9)),MAX(MIN('Council Entry'!X17,'Council Entry'!X$9),'Council Entry'!X$8),'Council Entry'!X17)),IF('Council Entry'!X$4="Exponential",EXP(IF(AND(ISNUMBER('Council Entry'!X$8),ISNUMBER('Council Entry'!X$9)),MAX(MIN('Council Entry'!X17,'Council Entry'!X$9),'Council Entry'!X$8),'Council Entry'!X17)),IF(AND(ISNUMBER('Council Entry'!X$8),ISNUMBER('Council Entry'!X$9)),MAX(MIN('Council Entry'!X17,'Council Entry'!X$9),'Council Entry'!X$8),'Council Entry'!X17))))-'Council Entry'!X$5)/('Council Entry'!X$6-'Council Entry'!X$5)),1))),"No data"))</f>
        <v/>
      </c>
      <c r="Y17" s="13">
        <f>IF('Council Entry'!Y17="","",IFERROR(MAX(0,MIN(10,ROUND(IF('Council Entry'!Y$7="Decrease Risk",10-10*((IF('Council Entry'!Y$4="Logarithm",LN(0.001+IF(AND(ISNUMBER('Council Entry'!Y$8),ISNUMBER('Council Entry'!Y$9)),MAX(MIN('Council Entry'!Y17,'Council Entry'!Y$9),'Council Entry'!Y$8),'Council Entry'!Y17)),IF('Council Entry'!Y$4="Exponential",EXP(IF(AND(ISNUMBER('Council Entry'!Y$8),ISNUMBER('Council Entry'!Y$9)),MAX(MIN('Council Entry'!Y17,'Council Entry'!Y$9),'Council Entry'!Y$8),'Council Entry'!Y17)),IF(AND(ISNUMBER('Council Entry'!Y$8),ISNUMBER('Council Entry'!Y$9)),MAX(MIN('Council Entry'!Y17,'Council Entry'!Y$9),'Council Entry'!Y$8),'Council Entry'!Y17))))-'Council Entry'!Y$5)/('Council Entry'!Y$6-'Council Entry'!Y$5),10*((IF('Council Entry'!Y$4="Logarithm",LN(0.001+IF(AND(ISNUMBER('Council Entry'!Y$8),ISNUMBER('Council Entry'!Y$9)),MAX(MIN('Council Entry'!Y17,'Council Entry'!Y$9),'Council Entry'!Y$8),'Council Entry'!Y17)),IF('Council Entry'!Y$4="Exponential",EXP(IF(AND(ISNUMBER('Council Entry'!Y$8),ISNUMBER('Council Entry'!Y$9)),MAX(MIN('Council Entry'!Y17,'Council Entry'!Y$9),'Council Entry'!Y$8),'Council Entry'!Y17)),IF(AND(ISNUMBER('Council Entry'!Y$8),ISNUMBER('Council Entry'!Y$9)),MAX(MIN('Council Entry'!Y17,'Council Entry'!Y$9),'Council Entry'!Y$8),'Council Entry'!Y17))))-'Council Entry'!Y$5)/('Council Entry'!Y$6-'Council Entry'!Y$5)),1))),"No data"))</f>
        <v/>
      </c>
      <c r="Z17" s="13">
        <f>IF('Council Entry'!Z17="","",IFERROR(MAX(0,MIN(10,ROUND(IF('Council Entry'!Z$7="Decrease Risk",10-10*((IF('Council Entry'!Z$4="Logarithm",LN(0.001+IF(AND(ISNUMBER('Council Entry'!Z$8),ISNUMBER('Council Entry'!Z$9)),MAX(MIN('Council Entry'!Z17,'Council Entry'!Z$9),'Council Entry'!Z$8),'Council Entry'!Z17)),IF('Council Entry'!Z$4="Exponential",EXP(IF(AND(ISNUMBER('Council Entry'!Z$8),ISNUMBER('Council Entry'!Z$9)),MAX(MIN('Council Entry'!Z17,'Council Entry'!Z$9),'Council Entry'!Z$8),'Council Entry'!Z17)),IF(AND(ISNUMBER('Council Entry'!Z$8),ISNUMBER('Council Entry'!Z$9)),MAX(MIN('Council Entry'!Z17,'Council Entry'!Z$9),'Council Entry'!Z$8),'Council Entry'!Z17))))-'Council Entry'!Z$5)/('Council Entry'!Z$6-'Council Entry'!Z$5),10*((IF('Council Entry'!Z$4="Logarithm",LN(0.001+IF(AND(ISNUMBER('Council Entry'!Z$8),ISNUMBER('Council Entry'!Z$9)),MAX(MIN('Council Entry'!Z17,'Council Entry'!Z$9),'Council Entry'!Z$8),'Council Entry'!Z17)),IF('Council Entry'!Z$4="Exponential",EXP(IF(AND(ISNUMBER('Council Entry'!Z$8),ISNUMBER('Council Entry'!Z$9)),MAX(MIN('Council Entry'!Z17,'Council Entry'!Z$9),'Council Entry'!Z$8),'Council Entry'!Z17)),IF(AND(ISNUMBER('Council Entry'!Z$8),ISNUMBER('Council Entry'!Z$9)),MAX(MIN('Council Entry'!Z17,'Council Entry'!Z$9),'Council Entry'!Z$8),'Council Entry'!Z17))))-'Council Entry'!Z$5)/('Council Entry'!Z$6-'Council Entry'!Z$5)),1))),"No data"))</f>
        <v/>
      </c>
      <c r="AA17" s="13">
        <f>IF('Council Entry'!AA17="","",IFERROR(MAX(0,MIN(10,ROUND(IF('Council Entry'!AA$7="Decrease Risk",10-10*((IF('Council Entry'!AA$4="Logarithm",LN(0.001+IF(AND(ISNUMBER('Council Entry'!AA$8),ISNUMBER('Council Entry'!AA$9)),MAX(MIN('Council Entry'!AA17,'Council Entry'!AA$9),'Council Entry'!AA$8),'Council Entry'!AA17)),IF('Council Entry'!AA$4="Exponential",EXP(IF(AND(ISNUMBER('Council Entry'!AA$8),ISNUMBER('Council Entry'!AA$9)),MAX(MIN('Council Entry'!AA17,'Council Entry'!AA$9),'Council Entry'!AA$8),'Council Entry'!AA17)),IF(AND(ISNUMBER('Council Entry'!AA$8),ISNUMBER('Council Entry'!AA$9)),MAX(MIN('Council Entry'!AA17,'Council Entry'!AA$9),'Council Entry'!AA$8),'Council Entry'!AA17))))-'Council Entry'!AA$5)/('Council Entry'!AA$6-'Council Entry'!AA$5),10*((IF('Council Entry'!AA$4="Logarithm",LN(0.001+IF(AND(ISNUMBER('Council Entry'!AA$8),ISNUMBER('Council Entry'!AA$9)),MAX(MIN('Council Entry'!AA17,'Council Entry'!AA$9),'Council Entry'!AA$8),'Council Entry'!AA17)),IF('Council Entry'!AA$4="Exponential",EXP(IF(AND(ISNUMBER('Council Entry'!AA$8),ISNUMBER('Council Entry'!AA$9)),MAX(MIN('Council Entry'!AA17,'Council Entry'!AA$9),'Council Entry'!AA$8),'Council Entry'!AA17)),IF(AND(ISNUMBER('Council Entry'!AA$8),ISNUMBER('Council Entry'!AA$9)),MAX(MIN('Council Entry'!AA17,'Council Entry'!AA$9),'Council Entry'!AA$8),'Council Entry'!AA17))))-'Council Entry'!AA$5)/('Council Entry'!AA$6-'Council Entry'!AA$5)),1))),"No data"))</f>
        <v/>
      </c>
      <c r="AB17" s="13">
        <f>IF('Council Entry'!AB17="","",IFERROR(MAX(0,MIN(10,ROUND(IF('Council Entry'!AB$7="Decrease Risk",10-10*((IF('Council Entry'!AB$4="Logarithm",LN(0.001+IF(AND(ISNUMBER('Council Entry'!AB$8),ISNUMBER('Council Entry'!AB$9)),MAX(MIN('Council Entry'!AB17,'Council Entry'!AB$9),'Council Entry'!AB$8),'Council Entry'!AB17)),IF('Council Entry'!AB$4="Exponential",EXP(IF(AND(ISNUMBER('Council Entry'!AB$8),ISNUMBER('Council Entry'!AB$9)),MAX(MIN('Council Entry'!AB17,'Council Entry'!AB$9),'Council Entry'!AB$8),'Council Entry'!AB17)),IF(AND(ISNUMBER('Council Entry'!AB$8),ISNUMBER('Council Entry'!AB$9)),MAX(MIN('Council Entry'!AB17,'Council Entry'!AB$9),'Council Entry'!AB$8),'Council Entry'!AB17))))-'Council Entry'!AB$5)/('Council Entry'!AB$6-'Council Entry'!AB$5),10*((IF('Council Entry'!AB$4="Logarithm",LN(0.001+IF(AND(ISNUMBER('Council Entry'!AB$8),ISNUMBER('Council Entry'!AB$9)),MAX(MIN('Council Entry'!AB17,'Council Entry'!AB$9),'Council Entry'!AB$8),'Council Entry'!AB17)),IF('Council Entry'!AB$4="Exponential",EXP(IF(AND(ISNUMBER('Council Entry'!AB$8),ISNUMBER('Council Entry'!AB$9)),MAX(MIN('Council Entry'!AB17,'Council Entry'!AB$9),'Council Entry'!AB$8),'Council Entry'!AB17)),IF(AND(ISNUMBER('Council Entry'!AB$8),ISNUMBER('Council Entry'!AB$9)),MAX(MIN('Council Entry'!AB17,'Council Entry'!AB$9),'Council Entry'!AB$8),'Council Entry'!AB17))))-'Council Entry'!AB$5)/('Council Entry'!AB$6-'Council Entry'!AB$5)),1))),"No data"))</f>
        <v/>
      </c>
      <c r="AC17" s="13">
        <f>IF('Council Entry'!AC17="","",IFERROR(MAX(0,MIN(10,ROUND(IF('Council Entry'!AC$7="Decrease Risk",10-10*((IF('Council Entry'!AC$4="Logarithm",LN(0.001+IF(AND(ISNUMBER('Council Entry'!AC$8),ISNUMBER('Council Entry'!AC$9)),MAX(MIN('Council Entry'!AC17,'Council Entry'!AC$9),'Council Entry'!AC$8),'Council Entry'!AC17)),IF('Council Entry'!AC$4="Exponential",EXP(IF(AND(ISNUMBER('Council Entry'!AC$8),ISNUMBER('Council Entry'!AC$9)),MAX(MIN('Council Entry'!AC17,'Council Entry'!AC$9),'Council Entry'!AC$8),'Council Entry'!AC17)),IF(AND(ISNUMBER('Council Entry'!AC$8),ISNUMBER('Council Entry'!AC$9)),MAX(MIN('Council Entry'!AC17,'Council Entry'!AC$9),'Council Entry'!AC$8),'Council Entry'!AC17))))-'Council Entry'!AC$5)/('Council Entry'!AC$6-'Council Entry'!AC$5),10*((IF('Council Entry'!AC$4="Logarithm",LN(0.001+IF(AND(ISNUMBER('Council Entry'!AC$8),ISNUMBER('Council Entry'!AC$9)),MAX(MIN('Council Entry'!AC17,'Council Entry'!AC$9),'Council Entry'!AC$8),'Council Entry'!AC17)),IF('Council Entry'!AC$4="Exponential",EXP(IF(AND(ISNUMBER('Council Entry'!AC$8),ISNUMBER('Council Entry'!AC$9)),MAX(MIN('Council Entry'!AC17,'Council Entry'!AC$9),'Council Entry'!AC$8),'Council Entry'!AC17)),IF(AND(ISNUMBER('Council Entry'!AC$8),ISNUMBER('Council Entry'!AC$9)),MAX(MIN('Council Entry'!AC17,'Council Entry'!AC$9),'Council Entry'!AC$8),'Council Entry'!AC17))))-'Council Entry'!AC$5)/('Council Entry'!AC$6-'Council Entry'!AC$5)),1))),"No data"))</f>
        <v/>
      </c>
      <c r="AD17" s="13">
        <f>IF('Council Entry'!AD17="","",IFERROR(MAX(0,MIN(10,ROUND(IF('Council Entry'!AD$7="Decrease Risk",10-10*((IF('Council Entry'!AD$4="Logarithm",LN(0.001+IF(AND(ISNUMBER('Council Entry'!AD$8),ISNUMBER('Council Entry'!AD$9)),MAX(MIN('Council Entry'!AD17,'Council Entry'!AD$9),'Council Entry'!AD$8),'Council Entry'!AD17)),IF('Council Entry'!AD$4="Exponential",EXP(IF(AND(ISNUMBER('Council Entry'!AD$8),ISNUMBER('Council Entry'!AD$9)),MAX(MIN('Council Entry'!AD17,'Council Entry'!AD$9),'Council Entry'!AD$8),'Council Entry'!AD17)),IF(AND(ISNUMBER('Council Entry'!AD$8),ISNUMBER('Council Entry'!AD$9)),MAX(MIN('Council Entry'!AD17,'Council Entry'!AD$9),'Council Entry'!AD$8),'Council Entry'!AD17))))-'Council Entry'!AD$5)/('Council Entry'!AD$6-'Council Entry'!AD$5),10*((IF('Council Entry'!AD$4="Logarithm",LN(0.001+IF(AND(ISNUMBER('Council Entry'!AD$8),ISNUMBER('Council Entry'!AD$9)),MAX(MIN('Council Entry'!AD17,'Council Entry'!AD$9),'Council Entry'!AD$8),'Council Entry'!AD17)),IF('Council Entry'!AD$4="Exponential",EXP(IF(AND(ISNUMBER('Council Entry'!AD$8),ISNUMBER('Council Entry'!AD$9)),MAX(MIN('Council Entry'!AD17,'Council Entry'!AD$9),'Council Entry'!AD$8),'Council Entry'!AD17)),IF(AND(ISNUMBER('Council Entry'!AD$8),ISNUMBER('Council Entry'!AD$9)),MAX(MIN('Council Entry'!AD17,'Council Entry'!AD$9),'Council Entry'!AD$8),'Council Entry'!AD17))))-'Council Entry'!AD$5)/('Council Entry'!AD$6-'Council Entry'!AD$5)),1))),"No data"))</f>
        <v/>
      </c>
      <c r="AE17" s="13">
        <f>IF('Council Entry'!AE17="","",IFERROR(MAX(0,MIN(10,ROUND(IF('Council Entry'!AE$7="Decrease Risk",10-10*((IF('Council Entry'!AE$4="Logarithm",LN(0.001+IF(AND(ISNUMBER('Council Entry'!AE$8),ISNUMBER('Council Entry'!AE$9)),MAX(MIN('Council Entry'!AE17,'Council Entry'!AE$9),'Council Entry'!AE$8),'Council Entry'!AE17)),IF('Council Entry'!AE$4="Exponential",EXP(IF(AND(ISNUMBER('Council Entry'!AE$8),ISNUMBER('Council Entry'!AE$9)),MAX(MIN('Council Entry'!AE17,'Council Entry'!AE$9),'Council Entry'!AE$8),'Council Entry'!AE17)),IF(AND(ISNUMBER('Council Entry'!AE$8),ISNUMBER('Council Entry'!AE$9)),MAX(MIN('Council Entry'!AE17,'Council Entry'!AE$9),'Council Entry'!AE$8),'Council Entry'!AE17))))-'Council Entry'!AE$5)/('Council Entry'!AE$6-'Council Entry'!AE$5),10*((IF('Council Entry'!AE$4="Logarithm",LN(0.001+IF(AND(ISNUMBER('Council Entry'!AE$8),ISNUMBER('Council Entry'!AE$9)),MAX(MIN('Council Entry'!AE17,'Council Entry'!AE$9),'Council Entry'!AE$8),'Council Entry'!AE17)),IF('Council Entry'!AE$4="Exponential",EXP(IF(AND(ISNUMBER('Council Entry'!AE$8),ISNUMBER('Council Entry'!AE$9)),MAX(MIN('Council Entry'!AE17,'Council Entry'!AE$9),'Council Entry'!AE$8),'Council Entry'!AE17)),IF(AND(ISNUMBER('Council Entry'!AE$8),ISNUMBER('Council Entry'!AE$9)),MAX(MIN('Council Entry'!AE17,'Council Entry'!AE$9),'Council Entry'!AE$8),'Council Entry'!AE17))))-'Council Entry'!AE$5)/('Council Entry'!AE$6-'Council Entry'!AE$5)),1))),"No data"))</f>
        <v/>
      </c>
      <c r="AF17" s="13">
        <f>IF('Council Entry'!AF17="","",IFERROR(MAX(0,MIN(10,ROUND(IF('Council Entry'!AF$7="Decrease Risk",10-10*((IF('Council Entry'!AF$4="Logarithm",LN(0.001+IF(AND(ISNUMBER('Council Entry'!AF$8),ISNUMBER('Council Entry'!AF$9)),MAX(MIN('Council Entry'!AF17,'Council Entry'!AF$9),'Council Entry'!AF$8),'Council Entry'!AF17)),IF('Council Entry'!AF$4="Exponential",EXP(IF(AND(ISNUMBER('Council Entry'!AF$8),ISNUMBER('Council Entry'!AF$9)),MAX(MIN('Council Entry'!AF17,'Council Entry'!AF$9),'Council Entry'!AF$8),'Council Entry'!AF17)),IF(AND(ISNUMBER('Council Entry'!AF$8),ISNUMBER('Council Entry'!AF$9)),MAX(MIN('Council Entry'!AF17,'Council Entry'!AF$9),'Council Entry'!AF$8),'Council Entry'!AF17))))-'Council Entry'!AF$5)/('Council Entry'!AF$6-'Council Entry'!AF$5),10*((IF('Council Entry'!AF$4="Logarithm",LN(0.001+IF(AND(ISNUMBER('Council Entry'!AF$8),ISNUMBER('Council Entry'!AF$9)),MAX(MIN('Council Entry'!AF17,'Council Entry'!AF$9),'Council Entry'!AF$8),'Council Entry'!AF17)),IF('Council Entry'!AF$4="Exponential",EXP(IF(AND(ISNUMBER('Council Entry'!AF$8),ISNUMBER('Council Entry'!AF$9)),MAX(MIN('Council Entry'!AF17,'Council Entry'!AF$9),'Council Entry'!AF$8),'Council Entry'!AF17)),IF(AND(ISNUMBER('Council Entry'!AF$8),ISNUMBER('Council Entry'!AF$9)),MAX(MIN('Council Entry'!AF17,'Council Entry'!AF$9),'Council Entry'!AF$8),'Council Entry'!AF17))))-'Council Entry'!AF$5)/('Council Entry'!AF$6-'Council Entry'!AF$5)),1))),"No data"))</f>
        <v/>
      </c>
      <c r="AG17" s="13">
        <f>IF('Council Entry'!AG17="","",IFERROR(MAX(0,MIN(10,ROUND(IF('Council Entry'!AG$7="Decrease Risk",10-10*((IF('Council Entry'!AG$4="Logarithm",LN(0.001+IF(AND(ISNUMBER('Council Entry'!AG$8),ISNUMBER('Council Entry'!AG$9)),MAX(MIN('Council Entry'!AG17,'Council Entry'!AG$9),'Council Entry'!AG$8),'Council Entry'!AG17)),IF('Council Entry'!AG$4="Exponential",EXP(IF(AND(ISNUMBER('Council Entry'!AG$8),ISNUMBER('Council Entry'!AG$9)),MAX(MIN('Council Entry'!AG17,'Council Entry'!AG$9),'Council Entry'!AG$8),'Council Entry'!AG17)),IF(AND(ISNUMBER('Council Entry'!AG$8),ISNUMBER('Council Entry'!AG$9)),MAX(MIN('Council Entry'!AG17,'Council Entry'!AG$9),'Council Entry'!AG$8),'Council Entry'!AG17))))-'Council Entry'!AG$5)/('Council Entry'!AG$6-'Council Entry'!AG$5),10*((IF('Council Entry'!AG$4="Logarithm",LN(0.001+IF(AND(ISNUMBER('Council Entry'!AG$8),ISNUMBER('Council Entry'!AG$9)),MAX(MIN('Council Entry'!AG17,'Council Entry'!AG$9),'Council Entry'!AG$8),'Council Entry'!AG17)),IF('Council Entry'!AG$4="Exponential",EXP(IF(AND(ISNUMBER('Council Entry'!AG$8),ISNUMBER('Council Entry'!AG$9)),MAX(MIN('Council Entry'!AG17,'Council Entry'!AG$9),'Council Entry'!AG$8),'Council Entry'!AG17)),IF(AND(ISNUMBER('Council Entry'!AG$8),ISNUMBER('Council Entry'!AG$9)),MAX(MIN('Council Entry'!AG17,'Council Entry'!AG$9),'Council Entry'!AG$8),'Council Entry'!AG17))))-'Council Entry'!AG$5)/('Council Entry'!AG$6-'Council Entry'!AG$5)),1))),"No data"))</f>
        <v/>
      </c>
      <c r="AH17" s="13">
        <f>IF('Council Entry'!AH17="","",IFERROR(MAX(0,MIN(10,ROUND(IF('Council Entry'!AH$7="Decrease Risk",10-10*((IF('Council Entry'!AH$4="Logarithm",LN(0.001+IF(AND(ISNUMBER('Council Entry'!AH$8),ISNUMBER('Council Entry'!AH$9)),MAX(MIN('Council Entry'!AH17,'Council Entry'!AH$9),'Council Entry'!AH$8),'Council Entry'!AH17)),IF('Council Entry'!AH$4="Exponential",EXP(IF(AND(ISNUMBER('Council Entry'!AH$8),ISNUMBER('Council Entry'!AH$9)),MAX(MIN('Council Entry'!AH17,'Council Entry'!AH$9),'Council Entry'!AH$8),'Council Entry'!AH17)),IF(AND(ISNUMBER('Council Entry'!AH$8),ISNUMBER('Council Entry'!AH$9)),MAX(MIN('Council Entry'!AH17,'Council Entry'!AH$9),'Council Entry'!AH$8),'Council Entry'!AH17))))-'Council Entry'!AH$5)/('Council Entry'!AH$6-'Council Entry'!AH$5),10*((IF('Council Entry'!AH$4="Logarithm",LN(0.001+IF(AND(ISNUMBER('Council Entry'!AH$8),ISNUMBER('Council Entry'!AH$9)),MAX(MIN('Council Entry'!AH17,'Council Entry'!AH$9),'Council Entry'!AH$8),'Council Entry'!AH17)),IF('Council Entry'!AH$4="Exponential",EXP(IF(AND(ISNUMBER('Council Entry'!AH$8),ISNUMBER('Council Entry'!AH$9)),MAX(MIN('Council Entry'!AH17,'Council Entry'!AH$9),'Council Entry'!AH$8),'Council Entry'!AH17)),IF(AND(ISNUMBER('Council Entry'!AH$8),ISNUMBER('Council Entry'!AH$9)),MAX(MIN('Council Entry'!AH17,'Council Entry'!AH$9),'Council Entry'!AH$8),'Council Entry'!AH17))))-'Council Entry'!AH$5)/('Council Entry'!AH$6-'Council Entry'!AH$5)),1))),"No data"))</f>
        <v/>
      </c>
      <c r="AI17" s="13">
        <f>IF('Council Entry'!AI17="","",IFERROR(MAX(0,MIN(10,ROUND(IF('Council Entry'!AI$7="Decrease Risk",10-10*((IF('Council Entry'!AI$4="Logarithm",LN(0.001+IF(AND(ISNUMBER('Council Entry'!AI$8),ISNUMBER('Council Entry'!AI$9)),MAX(MIN('Council Entry'!AI17,'Council Entry'!AI$9),'Council Entry'!AI$8),'Council Entry'!AI17)),IF('Council Entry'!AI$4="Exponential",EXP(IF(AND(ISNUMBER('Council Entry'!AI$8),ISNUMBER('Council Entry'!AI$9)),MAX(MIN('Council Entry'!AI17,'Council Entry'!AI$9),'Council Entry'!AI$8),'Council Entry'!AI17)),IF(AND(ISNUMBER('Council Entry'!AI$8),ISNUMBER('Council Entry'!AI$9)),MAX(MIN('Council Entry'!AI17,'Council Entry'!AI$9),'Council Entry'!AI$8),'Council Entry'!AI17))))-'Council Entry'!AI$5)/('Council Entry'!AI$6-'Council Entry'!AI$5),10*((IF('Council Entry'!AI$4="Logarithm",LN(0.001+IF(AND(ISNUMBER('Council Entry'!AI$8),ISNUMBER('Council Entry'!AI$9)),MAX(MIN('Council Entry'!AI17,'Council Entry'!AI$9),'Council Entry'!AI$8),'Council Entry'!AI17)),IF('Council Entry'!AI$4="Exponential",EXP(IF(AND(ISNUMBER('Council Entry'!AI$8),ISNUMBER('Council Entry'!AI$9)),MAX(MIN('Council Entry'!AI17,'Council Entry'!AI$9),'Council Entry'!AI$8),'Council Entry'!AI17)),IF(AND(ISNUMBER('Council Entry'!AI$8),ISNUMBER('Council Entry'!AI$9)),MAX(MIN('Council Entry'!AI17,'Council Entry'!AI$9),'Council Entry'!AI$8),'Council Entry'!AI17))))-'Council Entry'!AI$5)/('Council Entry'!AI$6-'Council Entry'!AI$5)),1))),"No data"))</f>
        <v/>
      </c>
      <c r="AJ17" s="13">
        <f>IF('Council Entry'!AJ17="","",IFERROR(MAX(0,MIN(10,ROUND(IF('Council Entry'!AJ$7="Decrease Risk",10-10*((IF('Council Entry'!AJ$4="Logarithm",LN(0.001+IF(AND(ISNUMBER('Council Entry'!AJ$8),ISNUMBER('Council Entry'!AJ$9)),MAX(MIN('Council Entry'!AJ17,'Council Entry'!AJ$9),'Council Entry'!AJ$8),'Council Entry'!AJ17)),IF('Council Entry'!AJ$4="Exponential",EXP(IF(AND(ISNUMBER('Council Entry'!AJ$8),ISNUMBER('Council Entry'!AJ$9)),MAX(MIN('Council Entry'!AJ17,'Council Entry'!AJ$9),'Council Entry'!AJ$8),'Council Entry'!AJ17)),IF(AND(ISNUMBER('Council Entry'!AJ$8),ISNUMBER('Council Entry'!AJ$9)),MAX(MIN('Council Entry'!AJ17,'Council Entry'!AJ$9),'Council Entry'!AJ$8),'Council Entry'!AJ17))))-'Council Entry'!AJ$5)/('Council Entry'!AJ$6-'Council Entry'!AJ$5),10*((IF('Council Entry'!AJ$4="Logarithm",LN(0.001+IF(AND(ISNUMBER('Council Entry'!AJ$8),ISNUMBER('Council Entry'!AJ$9)),MAX(MIN('Council Entry'!AJ17,'Council Entry'!AJ$9),'Council Entry'!AJ$8),'Council Entry'!AJ17)),IF('Council Entry'!AJ$4="Exponential",EXP(IF(AND(ISNUMBER('Council Entry'!AJ$8),ISNUMBER('Council Entry'!AJ$9)),MAX(MIN('Council Entry'!AJ17,'Council Entry'!AJ$9),'Council Entry'!AJ$8),'Council Entry'!AJ17)),IF(AND(ISNUMBER('Council Entry'!AJ$8),ISNUMBER('Council Entry'!AJ$9)),MAX(MIN('Council Entry'!AJ17,'Council Entry'!AJ$9),'Council Entry'!AJ$8),'Council Entry'!AJ17))))-'Council Entry'!AJ$5)/('Council Entry'!AJ$6-'Council Entry'!AJ$5)),1))),"No data"))</f>
        <v/>
      </c>
      <c r="AK17" s="13">
        <f>IF('Council Entry'!AK17="","",IFERROR(MAX(0,MIN(10,ROUND(IF('Council Entry'!AK$7="Decrease Risk",10-10*((IF('Council Entry'!AK$4="Logarithm",LN(0.001+IF(AND(ISNUMBER('Council Entry'!AK$8),ISNUMBER('Council Entry'!AK$9)),MAX(MIN('Council Entry'!AK17,'Council Entry'!AK$9),'Council Entry'!AK$8),'Council Entry'!AK17)),IF('Council Entry'!AK$4="Exponential",EXP(IF(AND(ISNUMBER('Council Entry'!AK$8),ISNUMBER('Council Entry'!AK$9)),MAX(MIN('Council Entry'!AK17,'Council Entry'!AK$9),'Council Entry'!AK$8),'Council Entry'!AK17)),IF(AND(ISNUMBER('Council Entry'!AK$8),ISNUMBER('Council Entry'!AK$9)),MAX(MIN('Council Entry'!AK17,'Council Entry'!AK$9),'Council Entry'!AK$8),'Council Entry'!AK17))))-'Council Entry'!AK$5)/('Council Entry'!AK$6-'Council Entry'!AK$5),10*((IF('Council Entry'!AK$4="Logarithm",LN(0.001+IF(AND(ISNUMBER('Council Entry'!AK$8),ISNUMBER('Council Entry'!AK$9)),MAX(MIN('Council Entry'!AK17,'Council Entry'!AK$9),'Council Entry'!AK$8),'Council Entry'!AK17)),IF('Council Entry'!AK$4="Exponential",EXP(IF(AND(ISNUMBER('Council Entry'!AK$8),ISNUMBER('Council Entry'!AK$9)),MAX(MIN('Council Entry'!AK17,'Council Entry'!AK$9),'Council Entry'!AK$8),'Council Entry'!AK17)),IF(AND(ISNUMBER('Council Entry'!AK$8),ISNUMBER('Council Entry'!AK$9)),MAX(MIN('Council Entry'!AK17,'Council Entry'!AK$9),'Council Entry'!AK$8),'Council Entry'!AK17))))-'Council Entry'!AK$5)/('Council Entry'!AK$6-'Council Entry'!AK$5)),1))),"No data"))</f>
        <v/>
      </c>
      <c r="AL17" s="13">
        <f>IF('Council Entry'!AL17="","",IFERROR(MAX(0,MIN(10,ROUND(IF('Council Entry'!AL$7="Decrease Risk",10-10*((IF('Council Entry'!AL$4="Logarithm",LN(0.001+IF(AND(ISNUMBER('Council Entry'!AL$8),ISNUMBER('Council Entry'!AL$9)),MAX(MIN('Council Entry'!AL17,'Council Entry'!AL$9),'Council Entry'!AL$8),'Council Entry'!AL17)),IF('Council Entry'!AL$4="Exponential",EXP(IF(AND(ISNUMBER('Council Entry'!AL$8),ISNUMBER('Council Entry'!AL$9)),MAX(MIN('Council Entry'!AL17,'Council Entry'!AL$9),'Council Entry'!AL$8),'Council Entry'!AL17)),IF(AND(ISNUMBER('Council Entry'!AL$8),ISNUMBER('Council Entry'!AL$9)),MAX(MIN('Council Entry'!AL17,'Council Entry'!AL$9),'Council Entry'!AL$8),'Council Entry'!AL17))))-'Council Entry'!AL$5)/('Council Entry'!AL$6-'Council Entry'!AL$5),10*((IF('Council Entry'!AL$4="Logarithm",LN(0.001+IF(AND(ISNUMBER('Council Entry'!AL$8),ISNUMBER('Council Entry'!AL$9)),MAX(MIN('Council Entry'!AL17,'Council Entry'!AL$9),'Council Entry'!AL$8),'Council Entry'!AL17)),IF('Council Entry'!AL$4="Exponential",EXP(IF(AND(ISNUMBER('Council Entry'!AL$8),ISNUMBER('Council Entry'!AL$9)),MAX(MIN('Council Entry'!AL17,'Council Entry'!AL$9),'Council Entry'!AL$8),'Council Entry'!AL17)),IF(AND(ISNUMBER('Council Entry'!AL$8),ISNUMBER('Council Entry'!AL$9)),MAX(MIN('Council Entry'!AL17,'Council Entry'!AL$9),'Council Entry'!AL$8),'Council Entry'!AL17))))-'Council Entry'!AL$5)/('Council Entry'!AL$6-'Council Entry'!AL$5)),1))),"No data"))</f>
        <v/>
      </c>
      <c r="AM17" s="13">
        <f>IF('Council Entry'!AM17="","",IFERROR(MAX(0,MIN(10,ROUND(IF('Council Entry'!AM$7="Decrease Risk",10-10*((IF('Council Entry'!AM$4="Logarithm",LN(0.001+IF(AND(ISNUMBER('Council Entry'!AM$8),ISNUMBER('Council Entry'!AM$9)),MAX(MIN('Council Entry'!AM17,'Council Entry'!AM$9),'Council Entry'!AM$8),'Council Entry'!AM17)),IF('Council Entry'!AM$4="Exponential",EXP(IF(AND(ISNUMBER('Council Entry'!AM$8),ISNUMBER('Council Entry'!AM$9)),MAX(MIN('Council Entry'!AM17,'Council Entry'!AM$9),'Council Entry'!AM$8),'Council Entry'!AM17)),IF(AND(ISNUMBER('Council Entry'!AM$8),ISNUMBER('Council Entry'!AM$9)),MAX(MIN('Council Entry'!AM17,'Council Entry'!AM$9),'Council Entry'!AM$8),'Council Entry'!AM17))))-'Council Entry'!AM$5)/('Council Entry'!AM$6-'Council Entry'!AM$5),10*((IF('Council Entry'!AM$4="Logarithm",LN(0.001+IF(AND(ISNUMBER('Council Entry'!AM$8),ISNUMBER('Council Entry'!AM$9)),MAX(MIN('Council Entry'!AM17,'Council Entry'!AM$9),'Council Entry'!AM$8),'Council Entry'!AM17)),IF('Council Entry'!AM$4="Exponential",EXP(IF(AND(ISNUMBER('Council Entry'!AM$8),ISNUMBER('Council Entry'!AM$9)),MAX(MIN('Council Entry'!AM17,'Council Entry'!AM$9),'Council Entry'!AM$8),'Council Entry'!AM17)),IF(AND(ISNUMBER('Council Entry'!AM$8),ISNUMBER('Council Entry'!AM$9)),MAX(MIN('Council Entry'!AM17,'Council Entry'!AM$9),'Council Entry'!AM$8),'Council Entry'!AM17))))-'Council Entry'!AM$5)/('Council Entry'!AM$6-'Council Entry'!AM$5)),1))),"No data"))</f>
        <v/>
      </c>
      <c r="AN17" s="13">
        <f>IF('Council Entry'!AN17="","",IFERROR(MAX(0,MIN(10,ROUND(IF('Council Entry'!AN$7="Decrease Risk",10-10*((IF('Council Entry'!AN$4="Logarithm",LN(0.001+IF(AND(ISNUMBER('Council Entry'!AN$8),ISNUMBER('Council Entry'!AN$9)),MAX(MIN('Council Entry'!AN17,'Council Entry'!AN$9),'Council Entry'!AN$8),'Council Entry'!AN17)),IF('Council Entry'!AN$4="Exponential",EXP(IF(AND(ISNUMBER('Council Entry'!AN$8),ISNUMBER('Council Entry'!AN$9)),MAX(MIN('Council Entry'!AN17,'Council Entry'!AN$9),'Council Entry'!AN$8),'Council Entry'!AN17)),IF(AND(ISNUMBER('Council Entry'!AN$8),ISNUMBER('Council Entry'!AN$9)),MAX(MIN('Council Entry'!AN17,'Council Entry'!AN$9),'Council Entry'!AN$8),'Council Entry'!AN17))))-'Council Entry'!AN$5)/('Council Entry'!AN$6-'Council Entry'!AN$5),10*((IF('Council Entry'!AN$4="Logarithm",LN(0.001+IF(AND(ISNUMBER('Council Entry'!AN$8),ISNUMBER('Council Entry'!AN$9)),MAX(MIN('Council Entry'!AN17,'Council Entry'!AN$9),'Council Entry'!AN$8),'Council Entry'!AN17)),IF('Council Entry'!AN$4="Exponential",EXP(IF(AND(ISNUMBER('Council Entry'!AN$8),ISNUMBER('Council Entry'!AN$9)),MAX(MIN('Council Entry'!AN17,'Council Entry'!AN$9),'Council Entry'!AN$8),'Council Entry'!AN17)),IF(AND(ISNUMBER('Council Entry'!AN$8),ISNUMBER('Council Entry'!AN$9)),MAX(MIN('Council Entry'!AN17,'Council Entry'!AN$9),'Council Entry'!AN$8),'Council Entry'!AN17))))-'Council Entry'!AN$5)/('Council Entry'!AN$6-'Council Entry'!AN$5)),1))),"No data"))</f>
        <v/>
      </c>
      <c r="AO17" s="13">
        <f>IF('Council Entry'!AO17="","",IFERROR(MAX(0,MIN(10,ROUND(IF('Council Entry'!AO$7="Decrease Risk",10-10*((IF('Council Entry'!AO$4="Logarithm",LN(0.001+IF(AND(ISNUMBER('Council Entry'!AO$8),ISNUMBER('Council Entry'!AO$9)),MAX(MIN('Council Entry'!AO17,'Council Entry'!AO$9),'Council Entry'!AO$8),'Council Entry'!AO17)),IF('Council Entry'!AO$4="Exponential",EXP(IF(AND(ISNUMBER('Council Entry'!AO$8),ISNUMBER('Council Entry'!AO$9)),MAX(MIN('Council Entry'!AO17,'Council Entry'!AO$9),'Council Entry'!AO$8),'Council Entry'!AO17)),IF(AND(ISNUMBER('Council Entry'!AO$8),ISNUMBER('Council Entry'!AO$9)),MAX(MIN('Council Entry'!AO17,'Council Entry'!AO$9),'Council Entry'!AO$8),'Council Entry'!AO17))))-'Council Entry'!AO$5)/('Council Entry'!AO$6-'Council Entry'!AO$5),10*((IF('Council Entry'!AO$4="Logarithm",LN(0.001+IF(AND(ISNUMBER('Council Entry'!AO$8),ISNUMBER('Council Entry'!AO$9)),MAX(MIN('Council Entry'!AO17,'Council Entry'!AO$9),'Council Entry'!AO$8),'Council Entry'!AO17)),IF('Council Entry'!AO$4="Exponential",EXP(IF(AND(ISNUMBER('Council Entry'!AO$8),ISNUMBER('Council Entry'!AO$9)),MAX(MIN('Council Entry'!AO17,'Council Entry'!AO$9),'Council Entry'!AO$8),'Council Entry'!AO17)),IF(AND(ISNUMBER('Council Entry'!AO$8),ISNUMBER('Council Entry'!AO$9)),MAX(MIN('Council Entry'!AO17,'Council Entry'!AO$9),'Council Entry'!AO$8),'Council Entry'!AO17))))-'Council Entry'!AO$5)/('Council Entry'!AO$6-'Council Entry'!AO$5)),1))),"No data"))</f>
        <v/>
      </c>
      <c r="AP17" s="13">
        <f>IF('Council Entry'!AP17="","",IFERROR(MAX(0,MIN(10,ROUND(IF('Council Entry'!AP$7="Decrease Risk",10-10*((IF('Council Entry'!AP$4="Logarithm",LN(0.001+IF(AND(ISNUMBER('Council Entry'!AP$8),ISNUMBER('Council Entry'!AP$9)),MAX(MIN('Council Entry'!AP17,'Council Entry'!AP$9),'Council Entry'!AP$8),'Council Entry'!AP17)),IF('Council Entry'!AP$4="Exponential",EXP(IF(AND(ISNUMBER('Council Entry'!AP$8),ISNUMBER('Council Entry'!AP$9)),MAX(MIN('Council Entry'!AP17,'Council Entry'!AP$9),'Council Entry'!AP$8),'Council Entry'!AP17)),IF(AND(ISNUMBER('Council Entry'!AP$8),ISNUMBER('Council Entry'!AP$9)),MAX(MIN('Council Entry'!AP17,'Council Entry'!AP$9),'Council Entry'!AP$8),'Council Entry'!AP17))))-'Council Entry'!AP$5)/('Council Entry'!AP$6-'Council Entry'!AP$5),10*((IF('Council Entry'!AP$4="Logarithm",LN(0.001+IF(AND(ISNUMBER('Council Entry'!AP$8),ISNUMBER('Council Entry'!AP$9)),MAX(MIN('Council Entry'!AP17,'Council Entry'!AP$9),'Council Entry'!AP$8),'Council Entry'!AP17)),IF('Council Entry'!AP$4="Exponential",EXP(IF(AND(ISNUMBER('Council Entry'!AP$8),ISNUMBER('Council Entry'!AP$9)),MAX(MIN('Council Entry'!AP17,'Council Entry'!AP$9),'Council Entry'!AP$8),'Council Entry'!AP17)),IF(AND(ISNUMBER('Council Entry'!AP$8),ISNUMBER('Council Entry'!AP$9)),MAX(MIN('Council Entry'!AP17,'Council Entry'!AP$9),'Council Entry'!AP$8),'Council Entry'!AP17))))-'Council Entry'!AP$5)/('Council Entry'!AP$6-'Council Entry'!AP$5)),1))),"No data"))</f>
        <v/>
      </c>
      <c r="AQ17" s="13">
        <f>IF('Council Entry'!AQ17="","",IFERROR(MAX(0,MIN(10,ROUND(IF('Council Entry'!AQ$7="Decrease Risk",10-10*((IF('Council Entry'!AQ$4="Logarithm",LN(0.001+IF(AND(ISNUMBER('Council Entry'!AQ$8),ISNUMBER('Council Entry'!AQ$9)),MAX(MIN('Council Entry'!AQ17,'Council Entry'!AQ$9),'Council Entry'!AQ$8),'Council Entry'!AQ17)),IF('Council Entry'!AQ$4="Exponential",EXP(IF(AND(ISNUMBER('Council Entry'!AQ$8),ISNUMBER('Council Entry'!AQ$9)),MAX(MIN('Council Entry'!AQ17,'Council Entry'!AQ$9),'Council Entry'!AQ$8),'Council Entry'!AQ17)),IF(AND(ISNUMBER('Council Entry'!AQ$8),ISNUMBER('Council Entry'!AQ$9)),MAX(MIN('Council Entry'!AQ17,'Council Entry'!AQ$9),'Council Entry'!AQ$8),'Council Entry'!AQ17))))-'Council Entry'!AQ$5)/('Council Entry'!AQ$6-'Council Entry'!AQ$5),10*((IF('Council Entry'!AQ$4="Logarithm",LN(0.001+IF(AND(ISNUMBER('Council Entry'!AQ$8),ISNUMBER('Council Entry'!AQ$9)),MAX(MIN('Council Entry'!AQ17,'Council Entry'!AQ$9),'Council Entry'!AQ$8),'Council Entry'!AQ17)),IF('Council Entry'!AQ$4="Exponential",EXP(IF(AND(ISNUMBER('Council Entry'!AQ$8),ISNUMBER('Council Entry'!AQ$9)),MAX(MIN('Council Entry'!AQ17,'Council Entry'!AQ$9),'Council Entry'!AQ$8),'Council Entry'!AQ17)),IF(AND(ISNUMBER('Council Entry'!AQ$8),ISNUMBER('Council Entry'!AQ$9)),MAX(MIN('Council Entry'!AQ17,'Council Entry'!AQ$9),'Council Entry'!AQ$8),'Council Entry'!AQ17))))-'Council Entry'!AQ$5)/('Council Entry'!AQ$6-'Council Entry'!AQ$5)),1))),"No data"))</f>
        <v/>
      </c>
      <c r="AR17" s="13">
        <f>IF('Council Entry'!AR17="","",IFERROR(MAX(0,MIN(10,ROUND(IF('Council Entry'!AR$7="Decrease Risk",10-10*((IF('Council Entry'!AR$4="Logarithm",LN(0.001+IF(AND(ISNUMBER('Council Entry'!AR$8),ISNUMBER('Council Entry'!AR$9)),MAX(MIN('Council Entry'!AR17,'Council Entry'!AR$9),'Council Entry'!AR$8),'Council Entry'!AR17)),IF('Council Entry'!AR$4="Exponential",EXP(IF(AND(ISNUMBER('Council Entry'!AR$8),ISNUMBER('Council Entry'!AR$9)),MAX(MIN('Council Entry'!AR17,'Council Entry'!AR$9),'Council Entry'!AR$8),'Council Entry'!AR17)),IF(AND(ISNUMBER('Council Entry'!AR$8),ISNUMBER('Council Entry'!AR$9)),MAX(MIN('Council Entry'!AR17,'Council Entry'!AR$9),'Council Entry'!AR$8),'Council Entry'!AR17))))-'Council Entry'!AR$5)/('Council Entry'!AR$6-'Council Entry'!AR$5),10*((IF('Council Entry'!AR$4="Logarithm",LN(0.001+IF(AND(ISNUMBER('Council Entry'!AR$8),ISNUMBER('Council Entry'!AR$9)),MAX(MIN('Council Entry'!AR17,'Council Entry'!AR$9),'Council Entry'!AR$8),'Council Entry'!AR17)),IF('Council Entry'!AR$4="Exponential",EXP(IF(AND(ISNUMBER('Council Entry'!AR$8),ISNUMBER('Council Entry'!AR$9)),MAX(MIN('Council Entry'!AR17,'Council Entry'!AR$9),'Council Entry'!AR$8),'Council Entry'!AR17)),IF(AND(ISNUMBER('Council Entry'!AR$8),ISNUMBER('Council Entry'!AR$9)),MAX(MIN('Council Entry'!AR17,'Council Entry'!AR$9),'Council Entry'!AR$8),'Council Entry'!AR17))))-'Council Entry'!AR$5)/('Council Entry'!AR$6-'Council Entry'!AR$5)),1))),"No data"))</f>
        <v/>
      </c>
      <c r="AS17" s="13">
        <f>IF('Council Entry'!AS17="","",IFERROR(MAX(0,MIN(10,ROUND(IF('Council Entry'!AS$7="Decrease Risk",10-10*((IF('Council Entry'!AS$4="Logarithm",LN(0.001+IF(AND(ISNUMBER('Council Entry'!AS$8),ISNUMBER('Council Entry'!AS$9)),MAX(MIN('Council Entry'!AS17,'Council Entry'!AS$9),'Council Entry'!AS$8),'Council Entry'!AS17)),IF('Council Entry'!AS$4="Exponential",EXP(IF(AND(ISNUMBER('Council Entry'!AS$8),ISNUMBER('Council Entry'!AS$9)),MAX(MIN('Council Entry'!AS17,'Council Entry'!AS$9),'Council Entry'!AS$8),'Council Entry'!AS17)),IF(AND(ISNUMBER('Council Entry'!AS$8),ISNUMBER('Council Entry'!AS$9)),MAX(MIN('Council Entry'!AS17,'Council Entry'!AS$9),'Council Entry'!AS$8),'Council Entry'!AS17))))-'Council Entry'!AS$5)/('Council Entry'!AS$6-'Council Entry'!AS$5),10*((IF('Council Entry'!AS$4="Logarithm",LN(0.001+IF(AND(ISNUMBER('Council Entry'!AS$8),ISNUMBER('Council Entry'!AS$9)),MAX(MIN('Council Entry'!AS17,'Council Entry'!AS$9),'Council Entry'!AS$8),'Council Entry'!AS17)),IF('Council Entry'!AS$4="Exponential",EXP(IF(AND(ISNUMBER('Council Entry'!AS$8),ISNUMBER('Council Entry'!AS$9)),MAX(MIN('Council Entry'!AS17,'Council Entry'!AS$9),'Council Entry'!AS$8),'Council Entry'!AS17)),IF(AND(ISNUMBER('Council Entry'!AS$8),ISNUMBER('Council Entry'!AS$9)),MAX(MIN('Council Entry'!AS17,'Council Entry'!AS$9),'Council Entry'!AS$8),'Council Entry'!AS17))))-'Council Entry'!AS$5)/('Council Entry'!AS$6-'Council Entry'!AS$5)),1))),"No data"))</f>
        <v/>
      </c>
      <c r="AT17" s="13">
        <f>IF('Council Entry'!AT17="","",IFERROR(MAX(0,MIN(10,ROUND(IF('Council Entry'!AT$7="Decrease Risk",10-10*((IF('Council Entry'!AT$4="Logarithm",LN(0.001+IF(AND(ISNUMBER('Council Entry'!AT$8),ISNUMBER('Council Entry'!AT$9)),MAX(MIN('Council Entry'!AT17,'Council Entry'!AT$9),'Council Entry'!AT$8),'Council Entry'!AT17)),IF('Council Entry'!AT$4="Exponential",EXP(IF(AND(ISNUMBER('Council Entry'!AT$8),ISNUMBER('Council Entry'!AT$9)),MAX(MIN('Council Entry'!AT17,'Council Entry'!AT$9),'Council Entry'!AT$8),'Council Entry'!AT17)),IF(AND(ISNUMBER('Council Entry'!AT$8),ISNUMBER('Council Entry'!AT$9)),MAX(MIN('Council Entry'!AT17,'Council Entry'!AT$9),'Council Entry'!AT$8),'Council Entry'!AT17))))-'Council Entry'!AT$5)/('Council Entry'!AT$6-'Council Entry'!AT$5),10*((IF('Council Entry'!AT$4="Logarithm",LN(0.001+IF(AND(ISNUMBER('Council Entry'!AT$8),ISNUMBER('Council Entry'!AT$9)),MAX(MIN('Council Entry'!AT17,'Council Entry'!AT$9),'Council Entry'!AT$8),'Council Entry'!AT17)),IF('Council Entry'!AT$4="Exponential",EXP(IF(AND(ISNUMBER('Council Entry'!AT$8),ISNUMBER('Council Entry'!AT$9)),MAX(MIN('Council Entry'!AT17,'Council Entry'!AT$9),'Council Entry'!AT$8),'Council Entry'!AT17)),IF(AND(ISNUMBER('Council Entry'!AT$8),ISNUMBER('Council Entry'!AT$9)),MAX(MIN('Council Entry'!AT17,'Council Entry'!AT$9),'Council Entry'!AT$8),'Council Entry'!AT17))))-'Council Entry'!AT$5)/('Council Entry'!AT$6-'Council Entry'!AT$5)),1))),"No data"))</f>
        <v/>
      </c>
      <c r="AU17" s="13">
        <f>IF('Council Entry'!AU17="","",IFERROR(MAX(0,MIN(10,ROUND(IF('Council Entry'!AU$7="Decrease Risk",10-10*((IF('Council Entry'!AU$4="Logarithm",LN(0.001+IF(AND(ISNUMBER('Council Entry'!AU$8),ISNUMBER('Council Entry'!AU$9)),MAX(MIN('Council Entry'!AU17,'Council Entry'!AU$9),'Council Entry'!AU$8),'Council Entry'!AU17)),IF('Council Entry'!AU$4="Exponential",EXP(IF(AND(ISNUMBER('Council Entry'!AU$8),ISNUMBER('Council Entry'!AU$9)),MAX(MIN('Council Entry'!AU17,'Council Entry'!AU$9),'Council Entry'!AU$8),'Council Entry'!AU17)),IF(AND(ISNUMBER('Council Entry'!AU$8),ISNUMBER('Council Entry'!AU$9)),MAX(MIN('Council Entry'!AU17,'Council Entry'!AU$9),'Council Entry'!AU$8),'Council Entry'!AU17))))-'Council Entry'!AU$5)/('Council Entry'!AU$6-'Council Entry'!AU$5),10*((IF('Council Entry'!AU$4="Logarithm",LN(0.001+IF(AND(ISNUMBER('Council Entry'!AU$8),ISNUMBER('Council Entry'!AU$9)),MAX(MIN('Council Entry'!AU17,'Council Entry'!AU$9),'Council Entry'!AU$8),'Council Entry'!AU17)),IF('Council Entry'!AU$4="Exponential",EXP(IF(AND(ISNUMBER('Council Entry'!AU$8),ISNUMBER('Council Entry'!AU$9)),MAX(MIN('Council Entry'!AU17,'Council Entry'!AU$9),'Council Entry'!AU$8),'Council Entry'!AU17)),IF(AND(ISNUMBER('Council Entry'!AU$8),ISNUMBER('Council Entry'!AU$9)),MAX(MIN('Council Entry'!AU17,'Council Entry'!AU$9),'Council Entry'!AU$8),'Council Entry'!AU17))))-'Council Entry'!AU$5)/('Council Entry'!AU$6-'Council Entry'!AU$5)),1))),"No data"))</f>
        <v/>
      </c>
      <c r="AV17" s="13">
        <f>IF('Council Entry'!AV17="","",IFERROR(MAX(0,MIN(10,ROUND(IF('Council Entry'!AV$7="Decrease Risk",10-10*((IF('Council Entry'!AV$4="Logarithm",LN(0.001+IF(AND(ISNUMBER('Council Entry'!AV$8),ISNUMBER('Council Entry'!AV$9)),MAX(MIN('Council Entry'!AV17,'Council Entry'!AV$9),'Council Entry'!AV$8),'Council Entry'!AV17)),IF('Council Entry'!AV$4="Exponential",EXP(IF(AND(ISNUMBER('Council Entry'!AV$8),ISNUMBER('Council Entry'!AV$9)),MAX(MIN('Council Entry'!AV17,'Council Entry'!AV$9),'Council Entry'!AV$8),'Council Entry'!AV17)),IF(AND(ISNUMBER('Council Entry'!AV$8),ISNUMBER('Council Entry'!AV$9)),MAX(MIN('Council Entry'!AV17,'Council Entry'!AV$9),'Council Entry'!AV$8),'Council Entry'!AV17))))-'Council Entry'!AV$5)/('Council Entry'!AV$6-'Council Entry'!AV$5),10*((IF('Council Entry'!AV$4="Logarithm",LN(0.001+IF(AND(ISNUMBER('Council Entry'!AV$8),ISNUMBER('Council Entry'!AV$9)),MAX(MIN('Council Entry'!AV17,'Council Entry'!AV$9),'Council Entry'!AV$8),'Council Entry'!AV17)),IF('Council Entry'!AV$4="Exponential",EXP(IF(AND(ISNUMBER('Council Entry'!AV$8),ISNUMBER('Council Entry'!AV$9)),MAX(MIN('Council Entry'!AV17,'Council Entry'!AV$9),'Council Entry'!AV$8),'Council Entry'!AV17)),IF(AND(ISNUMBER('Council Entry'!AV$8),ISNUMBER('Council Entry'!AV$9)),MAX(MIN('Council Entry'!AV17,'Council Entry'!AV$9),'Council Entry'!AV$8),'Council Entry'!AV17))))-'Council Entry'!AV$5)/('Council Entry'!AV$6-'Council Entry'!AV$5)),1))),"No data"))</f>
        <v/>
      </c>
      <c r="AW17" s="13">
        <f>IF('Council Entry'!AW17="","",IFERROR(MAX(0,MIN(10,ROUND(IF('Council Entry'!AW$7="Decrease Risk",10-10*((IF('Council Entry'!AW$4="Logarithm",LN(0.001+IF(AND(ISNUMBER('Council Entry'!AW$8),ISNUMBER('Council Entry'!AW$9)),MAX(MIN('Council Entry'!AW17,'Council Entry'!AW$9),'Council Entry'!AW$8),'Council Entry'!AW17)),IF('Council Entry'!AW$4="Exponential",EXP(IF(AND(ISNUMBER('Council Entry'!AW$8),ISNUMBER('Council Entry'!AW$9)),MAX(MIN('Council Entry'!AW17,'Council Entry'!AW$9),'Council Entry'!AW$8),'Council Entry'!AW17)),IF(AND(ISNUMBER('Council Entry'!AW$8),ISNUMBER('Council Entry'!AW$9)),MAX(MIN('Council Entry'!AW17,'Council Entry'!AW$9),'Council Entry'!AW$8),'Council Entry'!AW17))))-'Council Entry'!AW$5)/('Council Entry'!AW$6-'Council Entry'!AW$5),10*((IF('Council Entry'!AW$4="Logarithm",LN(0.001+IF(AND(ISNUMBER('Council Entry'!AW$8),ISNUMBER('Council Entry'!AW$9)),MAX(MIN('Council Entry'!AW17,'Council Entry'!AW$9),'Council Entry'!AW$8),'Council Entry'!AW17)),IF('Council Entry'!AW$4="Exponential",EXP(IF(AND(ISNUMBER('Council Entry'!AW$8),ISNUMBER('Council Entry'!AW$9)),MAX(MIN('Council Entry'!AW17,'Council Entry'!AW$9),'Council Entry'!AW$8),'Council Entry'!AW17)),IF(AND(ISNUMBER('Council Entry'!AW$8),ISNUMBER('Council Entry'!AW$9)),MAX(MIN('Council Entry'!AW17,'Council Entry'!AW$9),'Council Entry'!AW$8),'Council Entry'!AW17))))-'Council Entry'!AW$5)/('Council Entry'!AW$6-'Council Entry'!AW$5)),1))),"No data"))</f>
        <v/>
      </c>
      <c r="AX17" s="13">
        <f>IF('Council Entry'!AX17="","",IFERROR(MAX(0,MIN(10,ROUND(IF('Council Entry'!AX$7="Decrease Risk",10-10*((IF('Council Entry'!AX$4="Logarithm",LN(0.001+IF(AND(ISNUMBER('Council Entry'!AX$8),ISNUMBER('Council Entry'!AX$9)),MAX(MIN('Council Entry'!AX17,'Council Entry'!AX$9),'Council Entry'!AX$8),'Council Entry'!AX17)),IF('Council Entry'!AX$4="Exponential",EXP(IF(AND(ISNUMBER('Council Entry'!AX$8),ISNUMBER('Council Entry'!AX$9)),MAX(MIN('Council Entry'!AX17,'Council Entry'!AX$9),'Council Entry'!AX$8),'Council Entry'!AX17)),IF(AND(ISNUMBER('Council Entry'!AX$8),ISNUMBER('Council Entry'!AX$9)),MAX(MIN('Council Entry'!AX17,'Council Entry'!AX$9),'Council Entry'!AX$8),'Council Entry'!AX17))))-'Council Entry'!AX$5)/('Council Entry'!AX$6-'Council Entry'!AX$5),10*((IF('Council Entry'!AX$4="Logarithm",LN(0.001+IF(AND(ISNUMBER('Council Entry'!AX$8),ISNUMBER('Council Entry'!AX$9)),MAX(MIN('Council Entry'!AX17,'Council Entry'!AX$9),'Council Entry'!AX$8),'Council Entry'!AX17)),IF('Council Entry'!AX$4="Exponential",EXP(IF(AND(ISNUMBER('Council Entry'!AX$8),ISNUMBER('Council Entry'!AX$9)),MAX(MIN('Council Entry'!AX17,'Council Entry'!AX$9),'Council Entry'!AX$8),'Council Entry'!AX17)),IF(AND(ISNUMBER('Council Entry'!AX$8),ISNUMBER('Council Entry'!AX$9)),MAX(MIN('Council Entry'!AX17,'Council Entry'!AX$9),'Council Entry'!AX$8),'Council Entry'!AX17))))-'Council Entry'!AX$5)/('Council Entry'!AX$6-'Council Entry'!AX$5)),1))),"No data"))</f>
        <v/>
      </c>
      <c r="AY17" s="13">
        <f>IF('Council Entry'!AY17="","",IFERROR(MAX(0,MIN(10,ROUND(IF('Council Entry'!AY$7="Decrease Risk",10-10*((IF('Council Entry'!AY$4="Logarithm",LN(0.001+IF(AND(ISNUMBER('Council Entry'!AY$8),ISNUMBER('Council Entry'!AY$9)),MAX(MIN('Council Entry'!AY17,'Council Entry'!AY$9),'Council Entry'!AY$8),'Council Entry'!AY17)),IF('Council Entry'!AY$4="Exponential",EXP(IF(AND(ISNUMBER('Council Entry'!AY$8),ISNUMBER('Council Entry'!AY$9)),MAX(MIN('Council Entry'!AY17,'Council Entry'!AY$9),'Council Entry'!AY$8),'Council Entry'!AY17)),IF(AND(ISNUMBER('Council Entry'!AY$8),ISNUMBER('Council Entry'!AY$9)),MAX(MIN('Council Entry'!AY17,'Council Entry'!AY$9),'Council Entry'!AY$8),'Council Entry'!AY17))))-'Council Entry'!AY$5)/('Council Entry'!AY$6-'Council Entry'!AY$5),10*((IF('Council Entry'!AY$4="Logarithm",LN(0.001+IF(AND(ISNUMBER('Council Entry'!AY$8),ISNUMBER('Council Entry'!AY$9)),MAX(MIN('Council Entry'!AY17,'Council Entry'!AY$9),'Council Entry'!AY$8),'Council Entry'!AY17)),IF('Council Entry'!AY$4="Exponential",EXP(IF(AND(ISNUMBER('Council Entry'!AY$8),ISNUMBER('Council Entry'!AY$9)),MAX(MIN('Council Entry'!AY17,'Council Entry'!AY$9),'Council Entry'!AY$8),'Council Entry'!AY17)),IF(AND(ISNUMBER('Council Entry'!AY$8),ISNUMBER('Council Entry'!AY$9)),MAX(MIN('Council Entry'!AY17,'Council Entry'!AY$9),'Council Entry'!AY$8),'Council Entry'!AY17))))-'Council Entry'!AY$5)/('Council Entry'!AY$6-'Council Entry'!AY$5)),1))),"No data"))</f>
        <v/>
      </c>
      <c r="AZ17" s="13">
        <f>IF('Council Entry'!AZ17="","",IFERROR(MAX(0,MIN(10,ROUND(IF('Council Entry'!AZ$7="Decrease Risk",10-10*((IF('Council Entry'!AZ$4="Logarithm",LN(0.001+IF(AND(ISNUMBER('Council Entry'!AZ$8),ISNUMBER('Council Entry'!AZ$9)),MAX(MIN('Council Entry'!AZ17,'Council Entry'!AZ$9),'Council Entry'!AZ$8),'Council Entry'!AZ17)),IF('Council Entry'!AZ$4="Exponential",EXP(IF(AND(ISNUMBER('Council Entry'!AZ$8),ISNUMBER('Council Entry'!AZ$9)),MAX(MIN('Council Entry'!AZ17,'Council Entry'!AZ$9),'Council Entry'!AZ$8),'Council Entry'!AZ17)),IF(AND(ISNUMBER('Council Entry'!AZ$8),ISNUMBER('Council Entry'!AZ$9)),MAX(MIN('Council Entry'!AZ17,'Council Entry'!AZ$9),'Council Entry'!AZ$8),'Council Entry'!AZ17))))-'Council Entry'!AZ$5)/('Council Entry'!AZ$6-'Council Entry'!AZ$5),10*((IF('Council Entry'!AZ$4="Logarithm",LN(0.001+IF(AND(ISNUMBER('Council Entry'!AZ$8),ISNUMBER('Council Entry'!AZ$9)),MAX(MIN('Council Entry'!AZ17,'Council Entry'!AZ$9),'Council Entry'!AZ$8),'Council Entry'!AZ17)),IF('Council Entry'!AZ$4="Exponential",EXP(IF(AND(ISNUMBER('Council Entry'!AZ$8),ISNUMBER('Council Entry'!AZ$9)),MAX(MIN('Council Entry'!AZ17,'Council Entry'!AZ$9),'Council Entry'!AZ$8),'Council Entry'!AZ17)),IF(AND(ISNUMBER('Council Entry'!AZ$8),ISNUMBER('Council Entry'!AZ$9)),MAX(MIN('Council Entry'!AZ17,'Council Entry'!AZ$9),'Council Entry'!AZ$8),'Council Entry'!AZ17))))-'Council Entry'!AZ$5)/('Council Entry'!AZ$6-'Council Entry'!AZ$5)),1))),"No data"))</f>
        <v/>
      </c>
      <c r="BA17" s="13">
        <f>IF('Council Entry'!BA17="","",IFERROR(MAX(0,MIN(10,ROUND(IF('Council Entry'!BA$7="Decrease Risk",10-10*((IF('Council Entry'!BA$4="Logarithm",LN(0.001+IF(AND(ISNUMBER('Council Entry'!BA$8),ISNUMBER('Council Entry'!BA$9)),MAX(MIN('Council Entry'!BA17,'Council Entry'!BA$9),'Council Entry'!BA$8),'Council Entry'!BA17)),IF('Council Entry'!BA$4="Exponential",EXP(IF(AND(ISNUMBER('Council Entry'!BA$8),ISNUMBER('Council Entry'!BA$9)),MAX(MIN('Council Entry'!BA17,'Council Entry'!BA$9),'Council Entry'!BA$8),'Council Entry'!BA17)),IF(AND(ISNUMBER('Council Entry'!BA$8),ISNUMBER('Council Entry'!BA$9)),MAX(MIN('Council Entry'!BA17,'Council Entry'!BA$9),'Council Entry'!BA$8),'Council Entry'!BA17))))-'Council Entry'!BA$5)/('Council Entry'!BA$6-'Council Entry'!BA$5),10*((IF('Council Entry'!BA$4="Logarithm",LN(0.001+IF(AND(ISNUMBER('Council Entry'!BA$8),ISNUMBER('Council Entry'!BA$9)),MAX(MIN('Council Entry'!BA17,'Council Entry'!BA$9),'Council Entry'!BA$8),'Council Entry'!BA17)),IF('Council Entry'!BA$4="Exponential",EXP(IF(AND(ISNUMBER('Council Entry'!BA$8),ISNUMBER('Council Entry'!BA$9)),MAX(MIN('Council Entry'!BA17,'Council Entry'!BA$9),'Council Entry'!BA$8),'Council Entry'!BA17)),IF(AND(ISNUMBER('Council Entry'!BA$8),ISNUMBER('Council Entry'!BA$9)),MAX(MIN('Council Entry'!BA17,'Council Entry'!BA$9),'Council Entry'!BA$8),'Council Entry'!BA17))))-'Council Entry'!BA$5)/('Council Entry'!BA$6-'Council Entry'!BA$5)),1))),"No data"))</f>
        <v/>
      </c>
      <c r="BB17" s="13">
        <f>IF('Council Entry'!BB17="","",IFERROR(MAX(0,MIN(10,ROUND(IF('Council Entry'!BB$7="Decrease Risk",10-10*((IF('Council Entry'!BB$4="Logarithm",LN(0.001+IF(AND(ISNUMBER('Council Entry'!BB$8),ISNUMBER('Council Entry'!BB$9)),MAX(MIN('Council Entry'!BB17,'Council Entry'!BB$9),'Council Entry'!BB$8),'Council Entry'!BB17)),IF('Council Entry'!BB$4="Exponential",EXP(IF(AND(ISNUMBER('Council Entry'!BB$8),ISNUMBER('Council Entry'!BB$9)),MAX(MIN('Council Entry'!BB17,'Council Entry'!BB$9),'Council Entry'!BB$8),'Council Entry'!BB17)),IF(AND(ISNUMBER('Council Entry'!BB$8),ISNUMBER('Council Entry'!BB$9)),MAX(MIN('Council Entry'!BB17,'Council Entry'!BB$9),'Council Entry'!BB$8),'Council Entry'!BB17))))-'Council Entry'!BB$5)/('Council Entry'!BB$6-'Council Entry'!BB$5),10*((IF('Council Entry'!BB$4="Logarithm",LN(0.001+IF(AND(ISNUMBER('Council Entry'!BB$8),ISNUMBER('Council Entry'!BB$9)),MAX(MIN('Council Entry'!BB17,'Council Entry'!BB$9),'Council Entry'!BB$8),'Council Entry'!BB17)),IF('Council Entry'!BB$4="Exponential",EXP(IF(AND(ISNUMBER('Council Entry'!BB$8),ISNUMBER('Council Entry'!BB$9)),MAX(MIN('Council Entry'!BB17,'Council Entry'!BB$9),'Council Entry'!BB$8),'Council Entry'!BB17)),IF(AND(ISNUMBER('Council Entry'!BB$8),ISNUMBER('Council Entry'!BB$9)),MAX(MIN('Council Entry'!BB17,'Council Entry'!BB$9),'Council Entry'!BB$8),'Council Entry'!BB17))))-'Council Entry'!BB$5)/('Council Entry'!BB$6-'Council Entry'!BB$5)),1))),"No data"))</f>
        <v/>
      </c>
      <c r="BC17" s="13">
        <f>IF('Council Entry'!BC17="","",IFERROR(MAX(0,MIN(10,ROUND(IF('Council Entry'!BC$7="Decrease Risk",10-10*((IF('Council Entry'!BC$4="Logarithm",LN(0.001+IF(AND(ISNUMBER('Council Entry'!BC$8),ISNUMBER('Council Entry'!BC$9)),MAX(MIN('Council Entry'!BC17,'Council Entry'!BC$9),'Council Entry'!BC$8),'Council Entry'!BC17)),IF('Council Entry'!BC$4="Exponential",EXP(IF(AND(ISNUMBER('Council Entry'!BC$8),ISNUMBER('Council Entry'!BC$9)),MAX(MIN('Council Entry'!BC17,'Council Entry'!BC$9),'Council Entry'!BC$8),'Council Entry'!BC17)),IF(AND(ISNUMBER('Council Entry'!BC$8),ISNUMBER('Council Entry'!BC$9)),MAX(MIN('Council Entry'!BC17,'Council Entry'!BC$9),'Council Entry'!BC$8),'Council Entry'!BC17))))-'Council Entry'!BC$5)/('Council Entry'!BC$6-'Council Entry'!BC$5),10*((IF('Council Entry'!BC$4="Logarithm",LN(0.001+IF(AND(ISNUMBER('Council Entry'!BC$8),ISNUMBER('Council Entry'!BC$9)),MAX(MIN('Council Entry'!BC17,'Council Entry'!BC$9),'Council Entry'!BC$8),'Council Entry'!BC17)),IF('Council Entry'!BC$4="Exponential",EXP(IF(AND(ISNUMBER('Council Entry'!BC$8),ISNUMBER('Council Entry'!BC$9)),MAX(MIN('Council Entry'!BC17,'Council Entry'!BC$9),'Council Entry'!BC$8),'Council Entry'!BC17)),IF(AND(ISNUMBER('Council Entry'!BC$8),ISNUMBER('Council Entry'!BC$9)),MAX(MIN('Council Entry'!BC17,'Council Entry'!BC$9),'Council Entry'!BC$8),'Council Entry'!BC17))))-'Council Entry'!BC$5)/('Council Entry'!BC$6-'Council Entry'!BC$5)),1))),"No data"))</f>
        <v/>
      </c>
      <c r="BD17" s="13">
        <f>IF('Council Entry'!BD17="","",IFERROR(MAX(0,MIN(10,ROUND(IF('Council Entry'!BD$7="Decrease Risk",10-10*((IF('Council Entry'!BD$4="Logarithm",LN(0.001+IF(AND(ISNUMBER('Council Entry'!BD$8),ISNUMBER('Council Entry'!BD$9)),MAX(MIN('Council Entry'!BD17,'Council Entry'!BD$9),'Council Entry'!BD$8),'Council Entry'!BD17)),IF('Council Entry'!BD$4="Exponential",EXP(IF(AND(ISNUMBER('Council Entry'!BD$8),ISNUMBER('Council Entry'!BD$9)),MAX(MIN('Council Entry'!BD17,'Council Entry'!BD$9),'Council Entry'!BD$8),'Council Entry'!BD17)),IF(AND(ISNUMBER('Council Entry'!BD$8),ISNUMBER('Council Entry'!BD$9)),MAX(MIN('Council Entry'!BD17,'Council Entry'!BD$9),'Council Entry'!BD$8),'Council Entry'!BD17))))-'Council Entry'!BD$5)/('Council Entry'!BD$6-'Council Entry'!BD$5),10*((IF('Council Entry'!BD$4="Logarithm",LN(0.001+IF(AND(ISNUMBER('Council Entry'!BD$8),ISNUMBER('Council Entry'!BD$9)),MAX(MIN('Council Entry'!BD17,'Council Entry'!BD$9),'Council Entry'!BD$8),'Council Entry'!BD17)),IF('Council Entry'!BD$4="Exponential",EXP(IF(AND(ISNUMBER('Council Entry'!BD$8),ISNUMBER('Council Entry'!BD$9)),MAX(MIN('Council Entry'!BD17,'Council Entry'!BD$9),'Council Entry'!BD$8),'Council Entry'!BD17)),IF(AND(ISNUMBER('Council Entry'!BD$8),ISNUMBER('Council Entry'!BD$9)),MAX(MIN('Council Entry'!BD17,'Council Entry'!BD$9),'Council Entry'!BD$8),'Council Entry'!BD17))))-'Council Entry'!BD$5)/('Council Entry'!BD$6-'Council Entry'!BD$5)),1))),"No data"))</f>
        <v/>
      </c>
    </row>
    <row r="18">
      <c r="A18" t="inlineStr">
        <is>
          <t>Dar es Salaam</t>
        </is>
      </c>
      <c r="B18" t="inlineStr">
        <is>
          <t>Dar Es Salaam City</t>
        </is>
      </c>
      <c r="C18" t="inlineStr">
        <is>
          <t>C053</t>
        </is>
      </c>
      <c r="D18" s="13">
        <f>IF('Council Entry'!D18="","",IFERROR(MAX(0,MIN(10,ROUND(IF('Council Entry'!D$7="Decrease Risk",10-10*((IF('Council Entry'!D$4="Logarithm",LN(0.001+IF(AND(ISNUMBER('Council Entry'!D$8),ISNUMBER('Council Entry'!D$9)),MAX(MIN('Council Entry'!D18,'Council Entry'!D$9),'Council Entry'!D$8),'Council Entry'!D18)),IF('Council Entry'!D$4="Exponential",EXP(IF(AND(ISNUMBER('Council Entry'!D$8),ISNUMBER('Council Entry'!D$9)),MAX(MIN('Council Entry'!D18,'Council Entry'!D$9),'Council Entry'!D$8),'Council Entry'!D18)),IF(AND(ISNUMBER('Council Entry'!D$8),ISNUMBER('Council Entry'!D$9)),MAX(MIN('Council Entry'!D18,'Council Entry'!D$9),'Council Entry'!D$8),'Council Entry'!D18))))-'Council Entry'!D$5)/('Council Entry'!D$6-'Council Entry'!D$5),10*((IF('Council Entry'!D$4="Logarithm",LN(0.001+IF(AND(ISNUMBER('Council Entry'!D$8),ISNUMBER('Council Entry'!D$9)),MAX(MIN('Council Entry'!D18,'Council Entry'!D$9),'Council Entry'!D$8),'Council Entry'!D18)),IF('Council Entry'!D$4="Exponential",EXP(IF(AND(ISNUMBER('Council Entry'!D$8),ISNUMBER('Council Entry'!D$9)),MAX(MIN('Council Entry'!D18,'Council Entry'!D$9),'Council Entry'!D$8),'Council Entry'!D18)),IF(AND(ISNUMBER('Council Entry'!D$8),ISNUMBER('Council Entry'!D$9)),MAX(MIN('Council Entry'!D18,'Council Entry'!D$9),'Council Entry'!D$8),'Council Entry'!D18))))-'Council Entry'!D$5)/('Council Entry'!D$6-'Council Entry'!D$5)),1))),"No data"))</f>
        <v/>
      </c>
      <c r="E18" s="13">
        <f>IF('Council Entry'!E18="","",IFERROR(MAX(0,MIN(10,ROUND(IF('Council Entry'!E$7="Decrease Risk",10-10*((IF('Council Entry'!E$4="Logarithm",LN(0.001+IF(AND(ISNUMBER('Council Entry'!E$8),ISNUMBER('Council Entry'!E$9)),MAX(MIN('Council Entry'!E18,'Council Entry'!E$9),'Council Entry'!E$8),'Council Entry'!E18)),IF('Council Entry'!E$4="Exponential",EXP(IF(AND(ISNUMBER('Council Entry'!E$8),ISNUMBER('Council Entry'!E$9)),MAX(MIN('Council Entry'!E18,'Council Entry'!E$9),'Council Entry'!E$8),'Council Entry'!E18)),IF(AND(ISNUMBER('Council Entry'!E$8),ISNUMBER('Council Entry'!E$9)),MAX(MIN('Council Entry'!E18,'Council Entry'!E$9),'Council Entry'!E$8),'Council Entry'!E18))))-'Council Entry'!E$5)/('Council Entry'!E$6-'Council Entry'!E$5),10*((IF('Council Entry'!E$4="Logarithm",LN(0.001+IF(AND(ISNUMBER('Council Entry'!E$8),ISNUMBER('Council Entry'!E$9)),MAX(MIN('Council Entry'!E18,'Council Entry'!E$9),'Council Entry'!E$8),'Council Entry'!E18)),IF('Council Entry'!E$4="Exponential",EXP(IF(AND(ISNUMBER('Council Entry'!E$8),ISNUMBER('Council Entry'!E$9)),MAX(MIN('Council Entry'!E18,'Council Entry'!E$9),'Council Entry'!E$8),'Council Entry'!E18)),IF(AND(ISNUMBER('Council Entry'!E$8),ISNUMBER('Council Entry'!E$9)),MAX(MIN('Council Entry'!E18,'Council Entry'!E$9),'Council Entry'!E$8),'Council Entry'!E18))))-'Council Entry'!E$5)/('Council Entry'!E$6-'Council Entry'!E$5)),1))),"No data"))</f>
        <v/>
      </c>
      <c r="F18" s="13">
        <f>IF('Council Entry'!F18="","",IFERROR(MAX(0,MIN(10,ROUND(IF('Council Entry'!F$7="Decrease Risk",10-10*((IF('Council Entry'!F$4="Logarithm",LN(0.001+IF(AND(ISNUMBER('Council Entry'!F$8),ISNUMBER('Council Entry'!F$9)),MAX(MIN('Council Entry'!F18,'Council Entry'!F$9),'Council Entry'!F$8),'Council Entry'!F18)),IF('Council Entry'!F$4="Exponential",EXP(IF(AND(ISNUMBER('Council Entry'!F$8),ISNUMBER('Council Entry'!F$9)),MAX(MIN('Council Entry'!F18,'Council Entry'!F$9),'Council Entry'!F$8),'Council Entry'!F18)),IF(AND(ISNUMBER('Council Entry'!F$8),ISNUMBER('Council Entry'!F$9)),MAX(MIN('Council Entry'!F18,'Council Entry'!F$9),'Council Entry'!F$8),'Council Entry'!F18))))-'Council Entry'!F$5)/('Council Entry'!F$6-'Council Entry'!F$5),10*((IF('Council Entry'!F$4="Logarithm",LN(0.001+IF(AND(ISNUMBER('Council Entry'!F$8),ISNUMBER('Council Entry'!F$9)),MAX(MIN('Council Entry'!F18,'Council Entry'!F$9),'Council Entry'!F$8),'Council Entry'!F18)),IF('Council Entry'!F$4="Exponential",EXP(IF(AND(ISNUMBER('Council Entry'!F$8),ISNUMBER('Council Entry'!F$9)),MAX(MIN('Council Entry'!F18,'Council Entry'!F$9),'Council Entry'!F$8),'Council Entry'!F18)),IF(AND(ISNUMBER('Council Entry'!F$8),ISNUMBER('Council Entry'!F$9)),MAX(MIN('Council Entry'!F18,'Council Entry'!F$9),'Council Entry'!F$8),'Council Entry'!F18))))-'Council Entry'!F$5)/('Council Entry'!F$6-'Council Entry'!F$5)),1))),"No data"))</f>
        <v/>
      </c>
      <c r="G18" s="13">
        <f>IF('Council Entry'!G18="","",IFERROR(MAX(0,MIN(10,ROUND(IF('Council Entry'!G$7="Decrease Risk",10-10*((IF('Council Entry'!G$4="Logarithm",LN(0.001+IF(AND(ISNUMBER('Council Entry'!G$8),ISNUMBER('Council Entry'!G$9)),MAX(MIN('Council Entry'!G18,'Council Entry'!G$9),'Council Entry'!G$8),'Council Entry'!G18)),IF('Council Entry'!G$4="Exponential",EXP(IF(AND(ISNUMBER('Council Entry'!G$8),ISNUMBER('Council Entry'!G$9)),MAX(MIN('Council Entry'!G18,'Council Entry'!G$9),'Council Entry'!G$8),'Council Entry'!G18)),IF(AND(ISNUMBER('Council Entry'!G$8),ISNUMBER('Council Entry'!G$9)),MAX(MIN('Council Entry'!G18,'Council Entry'!G$9),'Council Entry'!G$8),'Council Entry'!G18))))-'Council Entry'!G$5)/('Council Entry'!G$6-'Council Entry'!G$5),10*((IF('Council Entry'!G$4="Logarithm",LN(0.001+IF(AND(ISNUMBER('Council Entry'!G$8),ISNUMBER('Council Entry'!G$9)),MAX(MIN('Council Entry'!G18,'Council Entry'!G$9),'Council Entry'!G$8),'Council Entry'!G18)),IF('Council Entry'!G$4="Exponential",EXP(IF(AND(ISNUMBER('Council Entry'!G$8),ISNUMBER('Council Entry'!G$9)),MAX(MIN('Council Entry'!G18,'Council Entry'!G$9),'Council Entry'!G$8),'Council Entry'!G18)),IF(AND(ISNUMBER('Council Entry'!G$8),ISNUMBER('Council Entry'!G$9)),MAX(MIN('Council Entry'!G18,'Council Entry'!G$9),'Council Entry'!G$8),'Council Entry'!G18))))-'Council Entry'!G$5)/('Council Entry'!G$6-'Council Entry'!G$5)),1))),"No data"))</f>
        <v/>
      </c>
      <c r="H18" s="13">
        <f>IF('Council Entry'!H18="","",IFERROR(MAX(0,MIN(10,ROUND(IF('Council Entry'!H$7="Decrease Risk",10-10*((IF('Council Entry'!H$4="Logarithm",LN(0.001+IF(AND(ISNUMBER('Council Entry'!H$8),ISNUMBER('Council Entry'!H$9)),MAX(MIN('Council Entry'!H18,'Council Entry'!H$9),'Council Entry'!H$8),'Council Entry'!H18)),IF('Council Entry'!H$4="Exponential",EXP(IF(AND(ISNUMBER('Council Entry'!H$8),ISNUMBER('Council Entry'!H$9)),MAX(MIN('Council Entry'!H18,'Council Entry'!H$9),'Council Entry'!H$8),'Council Entry'!H18)),IF(AND(ISNUMBER('Council Entry'!H$8),ISNUMBER('Council Entry'!H$9)),MAX(MIN('Council Entry'!H18,'Council Entry'!H$9),'Council Entry'!H$8),'Council Entry'!H18))))-'Council Entry'!H$5)/('Council Entry'!H$6-'Council Entry'!H$5),10*((IF('Council Entry'!H$4="Logarithm",LN(0.001+IF(AND(ISNUMBER('Council Entry'!H$8),ISNUMBER('Council Entry'!H$9)),MAX(MIN('Council Entry'!H18,'Council Entry'!H$9),'Council Entry'!H$8),'Council Entry'!H18)),IF('Council Entry'!H$4="Exponential",EXP(IF(AND(ISNUMBER('Council Entry'!H$8),ISNUMBER('Council Entry'!H$9)),MAX(MIN('Council Entry'!H18,'Council Entry'!H$9),'Council Entry'!H$8),'Council Entry'!H18)),IF(AND(ISNUMBER('Council Entry'!H$8),ISNUMBER('Council Entry'!H$9)),MAX(MIN('Council Entry'!H18,'Council Entry'!H$9),'Council Entry'!H$8),'Council Entry'!H18))))-'Council Entry'!H$5)/('Council Entry'!H$6-'Council Entry'!H$5)),1))),"No data"))</f>
        <v/>
      </c>
      <c r="I18" s="13">
        <f>IF('Council Entry'!I18="","",IFERROR(MAX(0,MIN(10,ROUND(IF('Council Entry'!I$7="Decrease Risk",10-10*((IF('Council Entry'!I$4="Logarithm",LN(0.001+IF(AND(ISNUMBER('Council Entry'!I$8),ISNUMBER('Council Entry'!I$9)),MAX(MIN('Council Entry'!I18,'Council Entry'!I$9),'Council Entry'!I$8),'Council Entry'!I18)),IF('Council Entry'!I$4="Exponential",EXP(IF(AND(ISNUMBER('Council Entry'!I$8),ISNUMBER('Council Entry'!I$9)),MAX(MIN('Council Entry'!I18,'Council Entry'!I$9),'Council Entry'!I$8),'Council Entry'!I18)),IF(AND(ISNUMBER('Council Entry'!I$8),ISNUMBER('Council Entry'!I$9)),MAX(MIN('Council Entry'!I18,'Council Entry'!I$9),'Council Entry'!I$8),'Council Entry'!I18))))-'Council Entry'!I$5)/('Council Entry'!I$6-'Council Entry'!I$5),10*((IF('Council Entry'!I$4="Logarithm",LN(0.001+IF(AND(ISNUMBER('Council Entry'!I$8),ISNUMBER('Council Entry'!I$9)),MAX(MIN('Council Entry'!I18,'Council Entry'!I$9),'Council Entry'!I$8),'Council Entry'!I18)),IF('Council Entry'!I$4="Exponential",EXP(IF(AND(ISNUMBER('Council Entry'!I$8),ISNUMBER('Council Entry'!I$9)),MAX(MIN('Council Entry'!I18,'Council Entry'!I$9),'Council Entry'!I$8),'Council Entry'!I18)),IF(AND(ISNUMBER('Council Entry'!I$8),ISNUMBER('Council Entry'!I$9)),MAX(MIN('Council Entry'!I18,'Council Entry'!I$9),'Council Entry'!I$8),'Council Entry'!I18))))-'Council Entry'!I$5)/('Council Entry'!I$6-'Council Entry'!I$5)),1))),"No data"))</f>
        <v/>
      </c>
      <c r="J18" s="13">
        <f>IF('Council Entry'!J18="","",IFERROR(MAX(0,MIN(10,ROUND(IF('Council Entry'!J$7="Decrease Risk",10-10*((IF('Council Entry'!J$4="Logarithm",LN(0.001+IF(AND(ISNUMBER('Council Entry'!J$8),ISNUMBER('Council Entry'!J$9)),MAX(MIN('Council Entry'!J18,'Council Entry'!J$9),'Council Entry'!J$8),'Council Entry'!J18)),IF('Council Entry'!J$4="Exponential",EXP(IF(AND(ISNUMBER('Council Entry'!J$8),ISNUMBER('Council Entry'!J$9)),MAX(MIN('Council Entry'!J18,'Council Entry'!J$9),'Council Entry'!J$8),'Council Entry'!J18)),IF(AND(ISNUMBER('Council Entry'!J$8),ISNUMBER('Council Entry'!J$9)),MAX(MIN('Council Entry'!J18,'Council Entry'!J$9),'Council Entry'!J$8),'Council Entry'!J18))))-'Council Entry'!J$5)/('Council Entry'!J$6-'Council Entry'!J$5),10*((IF('Council Entry'!J$4="Logarithm",LN(0.001+IF(AND(ISNUMBER('Council Entry'!J$8),ISNUMBER('Council Entry'!J$9)),MAX(MIN('Council Entry'!J18,'Council Entry'!J$9),'Council Entry'!J$8),'Council Entry'!J18)),IF('Council Entry'!J$4="Exponential",EXP(IF(AND(ISNUMBER('Council Entry'!J$8),ISNUMBER('Council Entry'!J$9)),MAX(MIN('Council Entry'!J18,'Council Entry'!J$9),'Council Entry'!J$8),'Council Entry'!J18)),IF(AND(ISNUMBER('Council Entry'!J$8),ISNUMBER('Council Entry'!J$9)),MAX(MIN('Council Entry'!J18,'Council Entry'!J$9),'Council Entry'!J$8),'Council Entry'!J18))))-'Council Entry'!J$5)/('Council Entry'!J$6-'Council Entry'!J$5)),1))),"No data"))</f>
        <v/>
      </c>
      <c r="K18" s="13">
        <f>IF('Council Entry'!K18="","",IFERROR(MAX(0,MIN(10,ROUND(IF('Council Entry'!K$7="Decrease Risk",10-10*((IF('Council Entry'!K$4="Logarithm",LN(0.001+IF(AND(ISNUMBER('Council Entry'!K$8),ISNUMBER('Council Entry'!K$9)),MAX(MIN('Council Entry'!K18,'Council Entry'!K$9),'Council Entry'!K$8),'Council Entry'!K18)),IF('Council Entry'!K$4="Exponential",EXP(IF(AND(ISNUMBER('Council Entry'!K$8),ISNUMBER('Council Entry'!K$9)),MAX(MIN('Council Entry'!K18,'Council Entry'!K$9),'Council Entry'!K$8),'Council Entry'!K18)),IF(AND(ISNUMBER('Council Entry'!K$8),ISNUMBER('Council Entry'!K$9)),MAX(MIN('Council Entry'!K18,'Council Entry'!K$9),'Council Entry'!K$8),'Council Entry'!K18))))-'Council Entry'!K$5)/('Council Entry'!K$6-'Council Entry'!K$5),10*((IF('Council Entry'!K$4="Logarithm",LN(0.001+IF(AND(ISNUMBER('Council Entry'!K$8),ISNUMBER('Council Entry'!K$9)),MAX(MIN('Council Entry'!K18,'Council Entry'!K$9),'Council Entry'!K$8),'Council Entry'!K18)),IF('Council Entry'!K$4="Exponential",EXP(IF(AND(ISNUMBER('Council Entry'!K$8),ISNUMBER('Council Entry'!K$9)),MAX(MIN('Council Entry'!K18,'Council Entry'!K$9),'Council Entry'!K$8),'Council Entry'!K18)),IF(AND(ISNUMBER('Council Entry'!K$8),ISNUMBER('Council Entry'!K$9)),MAX(MIN('Council Entry'!K18,'Council Entry'!K$9),'Council Entry'!K$8),'Council Entry'!K18))))-'Council Entry'!K$5)/('Council Entry'!K$6-'Council Entry'!K$5)),1))),"No data"))</f>
        <v/>
      </c>
      <c r="L18" s="13">
        <f>IF('Council Entry'!L18="","",IFERROR(MAX(0,MIN(10,ROUND(IF('Council Entry'!L$7="Decrease Risk",10-10*((IF('Council Entry'!L$4="Logarithm",LN(0.001+IF(AND(ISNUMBER('Council Entry'!L$8),ISNUMBER('Council Entry'!L$9)),MAX(MIN('Council Entry'!L18,'Council Entry'!L$9),'Council Entry'!L$8),'Council Entry'!L18)),IF('Council Entry'!L$4="Exponential",EXP(IF(AND(ISNUMBER('Council Entry'!L$8),ISNUMBER('Council Entry'!L$9)),MAX(MIN('Council Entry'!L18,'Council Entry'!L$9),'Council Entry'!L$8),'Council Entry'!L18)),IF(AND(ISNUMBER('Council Entry'!L$8),ISNUMBER('Council Entry'!L$9)),MAX(MIN('Council Entry'!L18,'Council Entry'!L$9),'Council Entry'!L$8),'Council Entry'!L18))))-'Council Entry'!L$5)/('Council Entry'!L$6-'Council Entry'!L$5),10*((IF('Council Entry'!L$4="Logarithm",LN(0.001+IF(AND(ISNUMBER('Council Entry'!L$8),ISNUMBER('Council Entry'!L$9)),MAX(MIN('Council Entry'!L18,'Council Entry'!L$9),'Council Entry'!L$8),'Council Entry'!L18)),IF('Council Entry'!L$4="Exponential",EXP(IF(AND(ISNUMBER('Council Entry'!L$8),ISNUMBER('Council Entry'!L$9)),MAX(MIN('Council Entry'!L18,'Council Entry'!L$9),'Council Entry'!L$8),'Council Entry'!L18)),IF(AND(ISNUMBER('Council Entry'!L$8),ISNUMBER('Council Entry'!L$9)),MAX(MIN('Council Entry'!L18,'Council Entry'!L$9),'Council Entry'!L$8),'Council Entry'!L18))))-'Council Entry'!L$5)/('Council Entry'!L$6-'Council Entry'!L$5)),1))),"No data"))</f>
        <v/>
      </c>
      <c r="M18" s="13">
        <f>IF('Council Entry'!M18="","",IFERROR(MAX(0,MIN(10,ROUND(IF('Council Entry'!M$7="Decrease Risk",10-10*((IF('Council Entry'!M$4="Logarithm",LN(0.001+IF(AND(ISNUMBER('Council Entry'!M$8),ISNUMBER('Council Entry'!M$9)),MAX(MIN('Council Entry'!M18,'Council Entry'!M$9),'Council Entry'!M$8),'Council Entry'!M18)),IF('Council Entry'!M$4="Exponential",EXP(IF(AND(ISNUMBER('Council Entry'!M$8),ISNUMBER('Council Entry'!M$9)),MAX(MIN('Council Entry'!M18,'Council Entry'!M$9),'Council Entry'!M$8),'Council Entry'!M18)),IF(AND(ISNUMBER('Council Entry'!M$8),ISNUMBER('Council Entry'!M$9)),MAX(MIN('Council Entry'!M18,'Council Entry'!M$9),'Council Entry'!M$8),'Council Entry'!M18))))-'Council Entry'!M$5)/('Council Entry'!M$6-'Council Entry'!M$5),10*((IF('Council Entry'!M$4="Logarithm",LN(0.001+IF(AND(ISNUMBER('Council Entry'!M$8),ISNUMBER('Council Entry'!M$9)),MAX(MIN('Council Entry'!M18,'Council Entry'!M$9),'Council Entry'!M$8),'Council Entry'!M18)),IF('Council Entry'!M$4="Exponential",EXP(IF(AND(ISNUMBER('Council Entry'!M$8),ISNUMBER('Council Entry'!M$9)),MAX(MIN('Council Entry'!M18,'Council Entry'!M$9),'Council Entry'!M$8),'Council Entry'!M18)),IF(AND(ISNUMBER('Council Entry'!M$8),ISNUMBER('Council Entry'!M$9)),MAX(MIN('Council Entry'!M18,'Council Entry'!M$9),'Council Entry'!M$8),'Council Entry'!M18))))-'Council Entry'!M$5)/('Council Entry'!M$6-'Council Entry'!M$5)),1))),"No data"))</f>
        <v/>
      </c>
      <c r="N18" s="13">
        <f>IF('Council Entry'!N18="","",IFERROR(MAX(0,MIN(10,ROUND(IF('Council Entry'!N$7="Decrease Risk",10-10*((IF('Council Entry'!N$4="Logarithm",LN(0.001+IF(AND(ISNUMBER('Council Entry'!N$8),ISNUMBER('Council Entry'!N$9)),MAX(MIN('Council Entry'!N18,'Council Entry'!N$9),'Council Entry'!N$8),'Council Entry'!N18)),IF('Council Entry'!N$4="Exponential",EXP(IF(AND(ISNUMBER('Council Entry'!N$8),ISNUMBER('Council Entry'!N$9)),MAX(MIN('Council Entry'!N18,'Council Entry'!N$9),'Council Entry'!N$8),'Council Entry'!N18)),IF(AND(ISNUMBER('Council Entry'!N$8),ISNUMBER('Council Entry'!N$9)),MAX(MIN('Council Entry'!N18,'Council Entry'!N$9),'Council Entry'!N$8),'Council Entry'!N18))))-'Council Entry'!N$5)/('Council Entry'!N$6-'Council Entry'!N$5),10*((IF('Council Entry'!N$4="Logarithm",LN(0.001+IF(AND(ISNUMBER('Council Entry'!N$8),ISNUMBER('Council Entry'!N$9)),MAX(MIN('Council Entry'!N18,'Council Entry'!N$9),'Council Entry'!N$8),'Council Entry'!N18)),IF('Council Entry'!N$4="Exponential",EXP(IF(AND(ISNUMBER('Council Entry'!N$8),ISNUMBER('Council Entry'!N$9)),MAX(MIN('Council Entry'!N18,'Council Entry'!N$9),'Council Entry'!N$8),'Council Entry'!N18)),IF(AND(ISNUMBER('Council Entry'!N$8),ISNUMBER('Council Entry'!N$9)),MAX(MIN('Council Entry'!N18,'Council Entry'!N$9),'Council Entry'!N$8),'Council Entry'!N18))))-'Council Entry'!N$5)/('Council Entry'!N$6-'Council Entry'!N$5)),1))),"No data"))</f>
        <v/>
      </c>
      <c r="O18" s="13">
        <f>IF('Council Entry'!O18="","",IFERROR(MAX(0,MIN(10,ROUND(IF('Council Entry'!O$7="Decrease Risk",10-10*((IF('Council Entry'!O$4="Logarithm",LN(0.001+IF(AND(ISNUMBER('Council Entry'!O$8),ISNUMBER('Council Entry'!O$9)),MAX(MIN('Council Entry'!O18,'Council Entry'!O$9),'Council Entry'!O$8),'Council Entry'!O18)),IF('Council Entry'!O$4="Exponential",EXP(IF(AND(ISNUMBER('Council Entry'!O$8),ISNUMBER('Council Entry'!O$9)),MAX(MIN('Council Entry'!O18,'Council Entry'!O$9),'Council Entry'!O$8),'Council Entry'!O18)),IF(AND(ISNUMBER('Council Entry'!O$8),ISNUMBER('Council Entry'!O$9)),MAX(MIN('Council Entry'!O18,'Council Entry'!O$9),'Council Entry'!O$8),'Council Entry'!O18))))-'Council Entry'!O$5)/('Council Entry'!O$6-'Council Entry'!O$5),10*((IF('Council Entry'!O$4="Logarithm",LN(0.001+IF(AND(ISNUMBER('Council Entry'!O$8),ISNUMBER('Council Entry'!O$9)),MAX(MIN('Council Entry'!O18,'Council Entry'!O$9),'Council Entry'!O$8),'Council Entry'!O18)),IF('Council Entry'!O$4="Exponential",EXP(IF(AND(ISNUMBER('Council Entry'!O$8),ISNUMBER('Council Entry'!O$9)),MAX(MIN('Council Entry'!O18,'Council Entry'!O$9),'Council Entry'!O$8),'Council Entry'!O18)),IF(AND(ISNUMBER('Council Entry'!O$8),ISNUMBER('Council Entry'!O$9)),MAX(MIN('Council Entry'!O18,'Council Entry'!O$9),'Council Entry'!O$8),'Council Entry'!O18))))-'Council Entry'!O$5)/('Council Entry'!O$6-'Council Entry'!O$5)),1))),"No data"))</f>
        <v/>
      </c>
      <c r="P18" s="13">
        <f>IF('Council Entry'!P18="","",IFERROR(MAX(0,MIN(10,ROUND(IF('Council Entry'!P$7="Decrease Risk",10-10*((IF('Council Entry'!P$4="Logarithm",LN(0.001+IF(AND(ISNUMBER('Council Entry'!P$8),ISNUMBER('Council Entry'!P$9)),MAX(MIN('Council Entry'!P18,'Council Entry'!P$9),'Council Entry'!P$8),'Council Entry'!P18)),IF('Council Entry'!P$4="Exponential",EXP(IF(AND(ISNUMBER('Council Entry'!P$8),ISNUMBER('Council Entry'!P$9)),MAX(MIN('Council Entry'!P18,'Council Entry'!P$9),'Council Entry'!P$8),'Council Entry'!P18)),IF(AND(ISNUMBER('Council Entry'!P$8),ISNUMBER('Council Entry'!P$9)),MAX(MIN('Council Entry'!P18,'Council Entry'!P$9),'Council Entry'!P$8),'Council Entry'!P18))))-'Council Entry'!P$5)/('Council Entry'!P$6-'Council Entry'!P$5),10*((IF('Council Entry'!P$4="Logarithm",LN(0.001+IF(AND(ISNUMBER('Council Entry'!P$8),ISNUMBER('Council Entry'!P$9)),MAX(MIN('Council Entry'!P18,'Council Entry'!P$9),'Council Entry'!P$8),'Council Entry'!P18)),IF('Council Entry'!P$4="Exponential",EXP(IF(AND(ISNUMBER('Council Entry'!P$8),ISNUMBER('Council Entry'!P$9)),MAX(MIN('Council Entry'!P18,'Council Entry'!P$9),'Council Entry'!P$8),'Council Entry'!P18)),IF(AND(ISNUMBER('Council Entry'!P$8),ISNUMBER('Council Entry'!P$9)),MAX(MIN('Council Entry'!P18,'Council Entry'!P$9),'Council Entry'!P$8),'Council Entry'!P18))))-'Council Entry'!P$5)/('Council Entry'!P$6-'Council Entry'!P$5)),1))),"No data"))</f>
        <v/>
      </c>
      <c r="Q18" s="13">
        <f>IF('Council Entry'!Q18="","",IFERROR(MAX(0,MIN(10,ROUND(IF('Council Entry'!Q$7="Decrease Risk",10-10*((IF('Council Entry'!Q$4="Logarithm",LN(0.001+IF(AND(ISNUMBER('Council Entry'!Q$8),ISNUMBER('Council Entry'!Q$9)),MAX(MIN('Council Entry'!Q18,'Council Entry'!Q$9),'Council Entry'!Q$8),'Council Entry'!Q18)),IF('Council Entry'!Q$4="Exponential",EXP(IF(AND(ISNUMBER('Council Entry'!Q$8),ISNUMBER('Council Entry'!Q$9)),MAX(MIN('Council Entry'!Q18,'Council Entry'!Q$9),'Council Entry'!Q$8),'Council Entry'!Q18)),IF(AND(ISNUMBER('Council Entry'!Q$8),ISNUMBER('Council Entry'!Q$9)),MAX(MIN('Council Entry'!Q18,'Council Entry'!Q$9),'Council Entry'!Q$8),'Council Entry'!Q18))))-'Council Entry'!Q$5)/('Council Entry'!Q$6-'Council Entry'!Q$5),10*((IF('Council Entry'!Q$4="Logarithm",LN(0.001+IF(AND(ISNUMBER('Council Entry'!Q$8),ISNUMBER('Council Entry'!Q$9)),MAX(MIN('Council Entry'!Q18,'Council Entry'!Q$9),'Council Entry'!Q$8),'Council Entry'!Q18)),IF('Council Entry'!Q$4="Exponential",EXP(IF(AND(ISNUMBER('Council Entry'!Q$8),ISNUMBER('Council Entry'!Q$9)),MAX(MIN('Council Entry'!Q18,'Council Entry'!Q$9),'Council Entry'!Q$8),'Council Entry'!Q18)),IF(AND(ISNUMBER('Council Entry'!Q$8),ISNUMBER('Council Entry'!Q$9)),MAX(MIN('Council Entry'!Q18,'Council Entry'!Q$9),'Council Entry'!Q$8),'Council Entry'!Q18))))-'Council Entry'!Q$5)/('Council Entry'!Q$6-'Council Entry'!Q$5)),1))),"No data"))</f>
        <v/>
      </c>
      <c r="R18" s="13">
        <f>IF('Council Entry'!R18="","",IFERROR(MAX(0,MIN(10,ROUND(IF('Council Entry'!R$7="Decrease Risk",10-10*((IF('Council Entry'!R$4="Logarithm",LN(0.001+IF(AND(ISNUMBER('Council Entry'!R$8),ISNUMBER('Council Entry'!R$9)),MAX(MIN('Council Entry'!R18,'Council Entry'!R$9),'Council Entry'!R$8),'Council Entry'!R18)),IF('Council Entry'!R$4="Exponential",EXP(IF(AND(ISNUMBER('Council Entry'!R$8),ISNUMBER('Council Entry'!R$9)),MAX(MIN('Council Entry'!R18,'Council Entry'!R$9),'Council Entry'!R$8),'Council Entry'!R18)),IF(AND(ISNUMBER('Council Entry'!R$8),ISNUMBER('Council Entry'!R$9)),MAX(MIN('Council Entry'!R18,'Council Entry'!R$9),'Council Entry'!R$8),'Council Entry'!R18))))-'Council Entry'!R$5)/('Council Entry'!R$6-'Council Entry'!R$5),10*((IF('Council Entry'!R$4="Logarithm",LN(0.001+IF(AND(ISNUMBER('Council Entry'!R$8),ISNUMBER('Council Entry'!R$9)),MAX(MIN('Council Entry'!R18,'Council Entry'!R$9),'Council Entry'!R$8),'Council Entry'!R18)),IF('Council Entry'!R$4="Exponential",EXP(IF(AND(ISNUMBER('Council Entry'!R$8),ISNUMBER('Council Entry'!R$9)),MAX(MIN('Council Entry'!R18,'Council Entry'!R$9),'Council Entry'!R$8),'Council Entry'!R18)),IF(AND(ISNUMBER('Council Entry'!R$8),ISNUMBER('Council Entry'!R$9)),MAX(MIN('Council Entry'!R18,'Council Entry'!R$9),'Council Entry'!R$8),'Council Entry'!R18))))-'Council Entry'!R$5)/('Council Entry'!R$6-'Council Entry'!R$5)),1))),"No data"))</f>
        <v/>
      </c>
      <c r="S18" s="13">
        <f>IF('Council Entry'!S18="","",IFERROR(MAX(0,MIN(10,ROUND(IF('Council Entry'!S$7="Decrease Risk",10-10*((IF('Council Entry'!S$4="Logarithm",LN(0.001+IF(AND(ISNUMBER('Council Entry'!S$8),ISNUMBER('Council Entry'!S$9)),MAX(MIN('Council Entry'!S18,'Council Entry'!S$9),'Council Entry'!S$8),'Council Entry'!S18)),IF('Council Entry'!S$4="Exponential",EXP(IF(AND(ISNUMBER('Council Entry'!S$8),ISNUMBER('Council Entry'!S$9)),MAX(MIN('Council Entry'!S18,'Council Entry'!S$9),'Council Entry'!S$8),'Council Entry'!S18)),IF(AND(ISNUMBER('Council Entry'!S$8),ISNUMBER('Council Entry'!S$9)),MAX(MIN('Council Entry'!S18,'Council Entry'!S$9),'Council Entry'!S$8),'Council Entry'!S18))))-'Council Entry'!S$5)/('Council Entry'!S$6-'Council Entry'!S$5),10*((IF('Council Entry'!S$4="Logarithm",LN(0.001+IF(AND(ISNUMBER('Council Entry'!S$8),ISNUMBER('Council Entry'!S$9)),MAX(MIN('Council Entry'!S18,'Council Entry'!S$9),'Council Entry'!S$8),'Council Entry'!S18)),IF('Council Entry'!S$4="Exponential",EXP(IF(AND(ISNUMBER('Council Entry'!S$8),ISNUMBER('Council Entry'!S$9)),MAX(MIN('Council Entry'!S18,'Council Entry'!S$9),'Council Entry'!S$8),'Council Entry'!S18)),IF(AND(ISNUMBER('Council Entry'!S$8),ISNUMBER('Council Entry'!S$9)),MAX(MIN('Council Entry'!S18,'Council Entry'!S$9),'Council Entry'!S$8),'Council Entry'!S18))))-'Council Entry'!S$5)/('Council Entry'!S$6-'Council Entry'!S$5)),1))),"No data"))</f>
        <v/>
      </c>
      <c r="T18" s="13">
        <f>IF('Council Entry'!T18="","",IFERROR(MAX(0,MIN(10,ROUND(IF('Council Entry'!T$7="Decrease Risk",10-10*((IF('Council Entry'!T$4="Logarithm",LN(0.001+IF(AND(ISNUMBER('Council Entry'!T$8),ISNUMBER('Council Entry'!T$9)),MAX(MIN('Council Entry'!T18,'Council Entry'!T$9),'Council Entry'!T$8),'Council Entry'!T18)),IF('Council Entry'!T$4="Exponential",EXP(IF(AND(ISNUMBER('Council Entry'!T$8),ISNUMBER('Council Entry'!T$9)),MAX(MIN('Council Entry'!T18,'Council Entry'!T$9),'Council Entry'!T$8),'Council Entry'!T18)),IF(AND(ISNUMBER('Council Entry'!T$8),ISNUMBER('Council Entry'!T$9)),MAX(MIN('Council Entry'!T18,'Council Entry'!T$9),'Council Entry'!T$8),'Council Entry'!T18))))-'Council Entry'!T$5)/('Council Entry'!T$6-'Council Entry'!T$5),10*((IF('Council Entry'!T$4="Logarithm",LN(0.001+IF(AND(ISNUMBER('Council Entry'!T$8),ISNUMBER('Council Entry'!T$9)),MAX(MIN('Council Entry'!T18,'Council Entry'!T$9),'Council Entry'!T$8),'Council Entry'!T18)),IF('Council Entry'!T$4="Exponential",EXP(IF(AND(ISNUMBER('Council Entry'!T$8),ISNUMBER('Council Entry'!T$9)),MAX(MIN('Council Entry'!T18,'Council Entry'!T$9),'Council Entry'!T$8),'Council Entry'!T18)),IF(AND(ISNUMBER('Council Entry'!T$8),ISNUMBER('Council Entry'!T$9)),MAX(MIN('Council Entry'!T18,'Council Entry'!T$9),'Council Entry'!T$8),'Council Entry'!T18))))-'Council Entry'!T$5)/('Council Entry'!T$6-'Council Entry'!T$5)),1))),"No data"))</f>
        <v/>
      </c>
      <c r="U18" s="13">
        <f>IF('Council Entry'!U18="","",IFERROR(MAX(0,MIN(10,ROUND(IF('Council Entry'!U$7="Decrease Risk",10-10*((IF('Council Entry'!U$4="Logarithm",LN(0.001+IF(AND(ISNUMBER('Council Entry'!U$8),ISNUMBER('Council Entry'!U$9)),MAX(MIN('Council Entry'!U18,'Council Entry'!U$9),'Council Entry'!U$8),'Council Entry'!U18)),IF('Council Entry'!U$4="Exponential",EXP(IF(AND(ISNUMBER('Council Entry'!U$8),ISNUMBER('Council Entry'!U$9)),MAX(MIN('Council Entry'!U18,'Council Entry'!U$9),'Council Entry'!U$8),'Council Entry'!U18)),IF(AND(ISNUMBER('Council Entry'!U$8),ISNUMBER('Council Entry'!U$9)),MAX(MIN('Council Entry'!U18,'Council Entry'!U$9),'Council Entry'!U$8),'Council Entry'!U18))))-'Council Entry'!U$5)/('Council Entry'!U$6-'Council Entry'!U$5),10*((IF('Council Entry'!U$4="Logarithm",LN(0.001+IF(AND(ISNUMBER('Council Entry'!U$8),ISNUMBER('Council Entry'!U$9)),MAX(MIN('Council Entry'!U18,'Council Entry'!U$9),'Council Entry'!U$8),'Council Entry'!U18)),IF('Council Entry'!U$4="Exponential",EXP(IF(AND(ISNUMBER('Council Entry'!U$8),ISNUMBER('Council Entry'!U$9)),MAX(MIN('Council Entry'!U18,'Council Entry'!U$9),'Council Entry'!U$8),'Council Entry'!U18)),IF(AND(ISNUMBER('Council Entry'!U$8),ISNUMBER('Council Entry'!U$9)),MAX(MIN('Council Entry'!U18,'Council Entry'!U$9),'Council Entry'!U$8),'Council Entry'!U18))))-'Council Entry'!U$5)/('Council Entry'!U$6-'Council Entry'!U$5)),1))),"No data"))</f>
        <v/>
      </c>
      <c r="V18" s="13">
        <f>IF('Council Entry'!V18="","",IFERROR(MAX(0,MIN(10,ROUND(IF('Council Entry'!V$7="Decrease Risk",10-10*((IF('Council Entry'!V$4="Logarithm",LN(0.001+IF(AND(ISNUMBER('Council Entry'!V$8),ISNUMBER('Council Entry'!V$9)),MAX(MIN('Council Entry'!V18,'Council Entry'!V$9),'Council Entry'!V$8),'Council Entry'!V18)),IF('Council Entry'!V$4="Exponential",EXP(IF(AND(ISNUMBER('Council Entry'!V$8),ISNUMBER('Council Entry'!V$9)),MAX(MIN('Council Entry'!V18,'Council Entry'!V$9),'Council Entry'!V$8),'Council Entry'!V18)),IF(AND(ISNUMBER('Council Entry'!V$8),ISNUMBER('Council Entry'!V$9)),MAX(MIN('Council Entry'!V18,'Council Entry'!V$9),'Council Entry'!V$8),'Council Entry'!V18))))-'Council Entry'!V$5)/('Council Entry'!V$6-'Council Entry'!V$5),10*((IF('Council Entry'!V$4="Logarithm",LN(0.001+IF(AND(ISNUMBER('Council Entry'!V$8),ISNUMBER('Council Entry'!V$9)),MAX(MIN('Council Entry'!V18,'Council Entry'!V$9),'Council Entry'!V$8),'Council Entry'!V18)),IF('Council Entry'!V$4="Exponential",EXP(IF(AND(ISNUMBER('Council Entry'!V$8),ISNUMBER('Council Entry'!V$9)),MAX(MIN('Council Entry'!V18,'Council Entry'!V$9),'Council Entry'!V$8),'Council Entry'!V18)),IF(AND(ISNUMBER('Council Entry'!V$8),ISNUMBER('Council Entry'!V$9)),MAX(MIN('Council Entry'!V18,'Council Entry'!V$9),'Council Entry'!V$8),'Council Entry'!V18))))-'Council Entry'!V$5)/('Council Entry'!V$6-'Council Entry'!V$5)),1))),"No data"))</f>
        <v/>
      </c>
      <c r="W18" s="13">
        <f>IF('Council Entry'!W18="","",IFERROR(MAX(0,MIN(10,ROUND(IF('Council Entry'!W$7="Decrease Risk",10-10*((IF('Council Entry'!W$4="Logarithm",LN(0.001+IF(AND(ISNUMBER('Council Entry'!W$8),ISNUMBER('Council Entry'!W$9)),MAX(MIN('Council Entry'!W18,'Council Entry'!W$9),'Council Entry'!W$8),'Council Entry'!W18)),IF('Council Entry'!W$4="Exponential",EXP(IF(AND(ISNUMBER('Council Entry'!W$8),ISNUMBER('Council Entry'!W$9)),MAX(MIN('Council Entry'!W18,'Council Entry'!W$9),'Council Entry'!W$8),'Council Entry'!W18)),IF(AND(ISNUMBER('Council Entry'!W$8),ISNUMBER('Council Entry'!W$9)),MAX(MIN('Council Entry'!W18,'Council Entry'!W$9),'Council Entry'!W$8),'Council Entry'!W18))))-'Council Entry'!W$5)/('Council Entry'!W$6-'Council Entry'!W$5),10*((IF('Council Entry'!W$4="Logarithm",LN(0.001+IF(AND(ISNUMBER('Council Entry'!W$8),ISNUMBER('Council Entry'!W$9)),MAX(MIN('Council Entry'!W18,'Council Entry'!W$9),'Council Entry'!W$8),'Council Entry'!W18)),IF('Council Entry'!W$4="Exponential",EXP(IF(AND(ISNUMBER('Council Entry'!W$8),ISNUMBER('Council Entry'!W$9)),MAX(MIN('Council Entry'!W18,'Council Entry'!W$9),'Council Entry'!W$8),'Council Entry'!W18)),IF(AND(ISNUMBER('Council Entry'!W$8),ISNUMBER('Council Entry'!W$9)),MAX(MIN('Council Entry'!W18,'Council Entry'!W$9),'Council Entry'!W$8),'Council Entry'!W18))))-'Council Entry'!W$5)/('Council Entry'!W$6-'Council Entry'!W$5)),1))),"No data"))</f>
        <v/>
      </c>
      <c r="X18" s="13">
        <f>IF('Council Entry'!X18="","",IFERROR(MAX(0,MIN(10,ROUND(IF('Council Entry'!X$7="Decrease Risk",10-10*((IF('Council Entry'!X$4="Logarithm",LN(0.001+IF(AND(ISNUMBER('Council Entry'!X$8),ISNUMBER('Council Entry'!X$9)),MAX(MIN('Council Entry'!X18,'Council Entry'!X$9),'Council Entry'!X$8),'Council Entry'!X18)),IF('Council Entry'!X$4="Exponential",EXP(IF(AND(ISNUMBER('Council Entry'!X$8),ISNUMBER('Council Entry'!X$9)),MAX(MIN('Council Entry'!X18,'Council Entry'!X$9),'Council Entry'!X$8),'Council Entry'!X18)),IF(AND(ISNUMBER('Council Entry'!X$8),ISNUMBER('Council Entry'!X$9)),MAX(MIN('Council Entry'!X18,'Council Entry'!X$9),'Council Entry'!X$8),'Council Entry'!X18))))-'Council Entry'!X$5)/('Council Entry'!X$6-'Council Entry'!X$5),10*((IF('Council Entry'!X$4="Logarithm",LN(0.001+IF(AND(ISNUMBER('Council Entry'!X$8),ISNUMBER('Council Entry'!X$9)),MAX(MIN('Council Entry'!X18,'Council Entry'!X$9),'Council Entry'!X$8),'Council Entry'!X18)),IF('Council Entry'!X$4="Exponential",EXP(IF(AND(ISNUMBER('Council Entry'!X$8),ISNUMBER('Council Entry'!X$9)),MAX(MIN('Council Entry'!X18,'Council Entry'!X$9),'Council Entry'!X$8),'Council Entry'!X18)),IF(AND(ISNUMBER('Council Entry'!X$8),ISNUMBER('Council Entry'!X$9)),MAX(MIN('Council Entry'!X18,'Council Entry'!X$9),'Council Entry'!X$8),'Council Entry'!X18))))-'Council Entry'!X$5)/('Council Entry'!X$6-'Council Entry'!X$5)),1))),"No data"))</f>
        <v/>
      </c>
      <c r="Y18" s="13">
        <f>IF('Council Entry'!Y18="","",IFERROR(MAX(0,MIN(10,ROUND(IF('Council Entry'!Y$7="Decrease Risk",10-10*((IF('Council Entry'!Y$4="Logarithm",LN(0.001+IF(AND(ISNUMBER('Council Entry'!Y$8),ISNUMBER('Council Entry'!Y$9)),MAX(MIN('Council Entry'!Y18,'Council Entry'!Y$9),'Council Entry'!Y$8),'Council Entry'!Y18)),IF('Council Entry'!Y$4="Exponential",EXP(IF(AND(ISNUMBER('Council Entry'!Y$8),ISNUMBER('Council Entry'!Y$9)),MAX(MIN('Council Entry'!Y18,'Council Entry'!Y$9),'Council Entry'!Y$8),'Council Entry'!Y18)),IF(AND(ISNUMBER('Council Entry'!Y$8),ISNUMBER('Council Entry'!Y$9)),MAX(MIN('Council Entry'!Y18,'Council Entry'!Y$9),'Council Entry'!Y$8),'Council Entry'!Y18))))-'Council Entry'!Y$5)/('Council Entry'!Y$6-'Council Entry'!Y$5),10*((IF('Council Entry'!Y$4="Logarithm",LN(0.001+IF(AND(ISNUMBER('Council Entry'!Y$8),ISNUMBER('Council Entry'!Y$9)),MAX(MIN('Council Entry'!Y18,'Council Entry'!Y$9),'Council Entry'!Y$8),'Council Entry'!Y18)),IF('Council Entry'!Y$4="Exponential",EXP(IF(AND(ISNUMBER('Council Entry'!Y$8),ISNUMBER('Council Entry'!Y$9)),MAX(MIN('Council Entry'!Y18,'Council Entry'!Y$9),'Council Entry'!Y$8),'Council Entry'!Y18)),IF(AND(ISNUMBER('Council Entry'!Y$8),ISNUMBER('Council Entry'!Y$9)),MAX(MIN('Council Entry'!Y18,'Council Entry'!Y$9),'Council Entry'!Y$8),'Council Entry'!Y18))))-'Council Entry'!Y$5)/('Council Entry'!Y$6-'Council Entry'!Y$5)),1))),"No data"))</f>
        <v/>
      </c>
      <c r="Z18" s="13">
        <f>IF('Council Entry'!Z18="","",IFERROR(MAX(0,MIN(10,ROUND(IF('Council Entry'!Z$7="Decrease Risk",10-10*((IF('Council Entry'!Z$4="Logarithm",LN(0.001+IF(AND(ISNUMBER('Council Entry'!Z$8),ISNUMBER('Council Entry'!Z$9)),MAX(MIN('Council Entry'!Z18,'Council Entry'!Z$9),'Council Entry'!Z$8),'Council Entry'!Z18)),IF('Council Entry'!Z$4="Exponential",EXP(IF(AND(ISNUMBER('Council Entry'!Z$8),ISNUMBER('Council Entry'!Z$9)),MAX(MIN('Council Entry'!Z18,'Council Entry'!Z$9),'Council Entry'!Z$8),'Council Entry'!Z18)),IF(AND(ISNUMBER('Council Entry'!Z$8),ISNUMBER('Council Entry'!Z$9)),MAX(MIN('Council Entry'!Z18,'Council Entry'!Z$9),'Council Entry'!Z$8),'Council Entry'!Z18))))-'Council Entry'!Z$5)/('Council Entry'!Z$6-'Council Entry'!Z$5),10*((IF('Council Entry'!Z$4="Logarithm",LN(0.001+IF(AND(ISNUMBER('Council Entry'!Z$8),ISNUMBER('Council Entry'!Z$9)),MAX(MIN('Council Entry'!Z18,'Council Entry'!Z$9),'Council Entry'!Z$8),'Council Entry'!Z18)),IF('Council Entry'!Z$4="Exponential",EXP(IF(AND(ISNUMBER('Council Entry'!Z$8),ISNUMBER('Council Entry'!Z$9)),MAX(MIN('Council Entry'!Z18,'Council Entry'!Z$9),'Council Entry'!Z$8),'Council Entry'!Z18)),IF(AND(ISNUMBER('Council Entry'!Z$8),ISNUMBER('Council Entry'!Z$9)),MAX(MIN('Council Entry'!Z18,'Council Entry'!Z$9),'Council Entry'!Z$8),'Council Entry'!Z18))))-'Council Entry'!Z$5)/('Council Entry'!Z$6-'Council Entry'!Z$5)),1))),"No data"))</f>
        <v/>
      </c>
      <c r="AA18" s="13">
        <f>IF('Council Entry'!AA18="","",IFERROR(MAX(0,MIN(10,ROUND(IF('Council Entry'!AA$7="Decrease Risk",10-10*((IF('Council Entry'!AA$4="Logarithm",LN(0.001+IF(AND(ISNUMBER('Council Entry'!AA$8),ISNUMBER('Council Entry'!AA$9)),MAX(MIN('Council Entry'!AA18,'Council Entry'!AA$9),'Council Entry'!AA$8),'Council Entry'!AA18)),IF('Council Entry'!AA$4="Exponential",EXP(IF(AND(ISNUMBER('Council Entry'!AA$8),ISNUMBER('Council Entry'!AA$9)),MAX(MIN('Council Entry'!AA18,'Council Entry'!AA$9),'Council Entry'!AA$8),'Council Entry'!AA18)),IF(AND(ISNUMBER('Council Entry'!AA$8),ISNUMBER('Council Entry'!AA$9)),MAX(MIN('Council Entry'!AA18,'Council Entry'!AA$9),'Council Entry'!AA$8),'Council Entry'!AA18))))-'Council Entry'!AA$5)/('Council Entry'!AA$6-'Council Entry'!AA$5),10*((IF('Council Entry'!AA$4="Logarithm",LN(0.001+IF(AND(ISNUMBER('Council Entry'!AA$8),ISNUMBER('Council Entry'!AA$9)),MAX(MIN('Council Entry'!AA18,'Council Entry'!AA$9),'Council Entry'!AA$8),'Council Entry'!AA18)),IF('Council Entry'!AA$4="Exponential",EXP(IF(AND(ISNUMBER('Council Entry'!AA$8),ISNUMBER('Council Entry'!AA$9)),MAX(MIN('Council Entry'!AA18,'Council Entry'!AA$9),'Council Entry'!AA$8),'Council Entry'!AA18)),IF(AND(ISNUMBER('Council Entry'!AA$8),ISNUMBER('Council Entry'!AA$9)),MAX(MIN('Council Entry'!AA18,'Council Entry'!AA$9),'Council Entry'!AA$8),'Council Entry'!AA18))))-'Council Entry'!AA$5)/('Council Entry'!AA$6-'Council Entry'!AA$5)),1))),"No data"))</f>
        <v/>
      </c>
      <c r="AB18" s="13">
        <f>IF('Council Entry'!AB18="","",IFERROR(MAX(0,MIN(10,ROUND(IF('Council Entry'!AB$7="Decrease Risk",10-10*((IF('Council Entry'!AB$4="Logarithm",LN(0.001+IF(AND(ISNUMBER('Council Entry'!AB$8),ISNUMBER('Council Entry'!AB$9)),MAX(MIN('Council Entry'!AB18,'Council Entry'!AB$9),'Council Entry'!AB$8),'Council Entry'!AB18)),IF('Council Entry'!AB$4="Exponential",EXP(IF(AND(ISNUMBER('Council Entry'!AB$8),ISNUMBER('Council Entry'!AB$9)),MAX(MIN('Council Entry'!AB18,'Council Entry'!AB$9),'Council Entry'!AB$8),'Council Entry'!AB18)),IF(AND(ISNUMBER('Council Entry'!AB$8),ISNUMBER('Council Entry'!AB$9)),MAX(MIN('Council Entry'!AB18,'Council Entry'!AB$9),'Council Entry'!AB$8),'Council Entry'!AB18))))-'Council Entry'!AB$5)/('Council Entry'!AB$6-'Council Entry'!AB$5),10*((IF('Council Entry'!AB$4="Logarithm",LN(0.001+IF(AND(ISNUMBER('Council Entry'!AB$8),ISNUMBER('Council Entry'!AB$9)),MAX(MIN('Council Entry'!AB18,'Council Entry'!AB$9),'Council Entry'!AB$8),'Council Entry'!AB18)),IF('Council Entry'!AB$4="Exponential",EXP(IF(AND(ISNUMBER('Council Entry'!AB$8),ISNUMBER('Council Entry'!AB$9)),MAX(MIN('Council Entry'!AB18,'Council Entry'!AB$9),'Council Entry'!AB$8),'Council Entry'!AB18)),IF(AND(ISNUMBER('Council Entry'!AB$8),ISNUMBER('Council Entry'!AB$9)),MAX(MIN('Council Entry'!AB18,'Council Entry'!AB$9),'Council Entry'!AB$8),'Council Entry'!AB18))))-'Council Entry'!AB$5)/('Council Entry'!AB$6-'Council Entry'!AB$5)),1))),"No data"))</f>
        <v/>
      </c>
      <c r="AC18" s="13">
        <f>IF('Council Entry'!AC18="","",IFERROR(MAX(0,MIN(10,ROUND(IF('Council Entry'!AC$7="Decrease Risk",10-10*((IF('Council Entry'!AC$4="Logarithm",LN(0.001+IF(AND(ISNUMBER('Council Entry'!AC$8),ISNUMBER('Council Entry'!AC$9)),MAX(MIN('Council Entry'!AC18,'Council Entry'!AC$9),'Council Entry'!AC$8),'Council Entry'!AC18)),IF('Council Entry'!AC$4="Exponential",EXP(IF(AND(ISNUMBER('Council Entry'!AC$8),ISNUMBER('Council Entry'!AC$9)),MAX(MIN('Council Entry'!AC18,'Council Entry'!AC$9),'Council Entry'!AC$8),'Council Entry'!AC18)),IF(AND(ISNUMBER('Council Entry'!AC$8),ISNUMBER('Council Entry'!AC$9)),MAX(MIN('Council Entry'!AC18,'Council Entry'!AC$9),'Council Entry'!AC$8),'Council Entry'!AC18))))-'Council Entry'!AC$5)/('Council Entry'!AC$6-'Council Entry'!AC$5),10*((IF('Council Entry'!AC$4="Logarithm",LN(0.001+IF(AND(ISNUMBER('Council Entry'!AC$8),ISNUMBER('Council Entry'!AC$9)),MAX(MIN('Council Entry'!AC18,'Council Entry'!AC$9),'Council Entry'!AC$8),'Council Entry'!AC18)),IF('Council Entry'!AC$4="Exponential",EXP(IF(AND(ISNUMBER('Council Entry'!AC$8),ISNUMBER('Council Entry'!AC$9)),MAX(MIN('Council Entry'!AC18,'Council Entry'!AC$9),'Council Entry'!AC$8),'Council Entry'!AC18)),IF(AND(ISNUMBER('Council Entry'!AC$8),ISNUMBER('Council Entry'!AC$9)),MAX(MIN('Council Entry'!AC18,'Council Entry'!AC$9),'Council Entry'!AC$8),'Council Entry'!AC18))))-'Council Entry'!AC$5)/('Council Entry'!AC$6-'Council Entry'!AC$5)),1))),"No data"))</f>
        <v/>
      </c>
      <c r="AD18" s="13">
        <f>IF('Council Entry'!AD18="","",IFERROR(MAX(0,MIN(10,ROUND(IF('Council Entry'!AD$7="Decrease Risk",10-10*((IF('Council Entry'!AD$4="Logarithm",LN(0.001+IF(AND(ISNUMBER('Council Entry'!AD$8),ISNUMBER('Council Entry'!AD$9)),MAX(MIN('Council Entry'!AD18,'Council Entry'!AD$9),'Council Entry'!AD$8),'Council Entry'!AD18)),IF('Council Entry'!AD$4="Exponential",EXP(IF(AND(ISNUMBER('Council Entry'!AD$8),ISNUMBER('Council Entry'!AD$9)),MAX(MIN('Council Entry'!AD18,'Council Entry'!AD$9),'Council Entry'!AD$8),'Council Entry'!AD18)),IF(AND(ISNUMBER('Council Entry'!AD$8),ISNUMBER('Council Entry'!AD$9)),MAX(MIN('Council Entry'!AD18,'Council Entry'!AD$9),'Council Entry'!AD$8),'Council Entry'!AD18))))-'Council Entry'!AD$5)/('Council Entry'!AD$6-'Council Entry'!AD$5),10*((IF('Council Entry'!AD$4="Logarithm",LN(0.001+IF(AND(ISNUMBER('Council Entry'!AD$8),ISNUMBER('Council Entry'!AD$9)),MAX(MIN('Council Entry'!AD18,'Council Entry'!AD$9),'Council Entry'!AD$8),'Council Entry'!AD18)),IF('Council Entry'!AD$4="Exponential",EXP(IF(AND(ISNUMBER('Council Entry'!AD$8),ISNUMBER('Council Entry'!AD$9)),MAX(MIN('Council Entry'!AD18,'Council Entry'!AD$9),'Council Entry'!AD$8),'Council Entry'!AD18)),IF(AND(ISNUMBER('Council Entry'!AD$8),ISNUMBER('Council Entry'!AD$9)),MAX(MIN('Council Entry'!AD18,'Council Entry'!AD$9),'Council Entry'!AD$8),'Council Entry'!AD18))))-'Council Entry'!AD$5)/('Council Entry'!AD$6-'Council Entry'!AD$5)),1))),"No data"))</f>
        <v/>
      </c>
      <c r="AE18" s="13">
        <f>IF('Council Entry'!AE18="","",IFERROR(MAX(0,MIN(10,ROUND(IF('Council Entry'!AE$7="Decrease Risk",10-10*((IF('Council Entry'!AE$4="Logarithm",LN(0.001+IF(AND(ISNUMBER('Council Entry'!AE$8),ISNUMBER('Council Entry'!AE$9)),MAX(MIN('Council Entry'!AE18,'Council Entry'!AE$9),'Council Entry'!AE$8),'Council Entry'!AE18)),IF('Council Entry'!AE$4="Exponential",EXP(IF(AND(ISNUMBER('Council Entry'!AE$8),ISNUMBER('Council Entry'!AE$9)),MAX(MIN('Council Entry'!AE18,'Council Entry'!AE$9),'Council Entry'!AE$8),'Council Entry'!AE18)),IF(AND(ISNUMBER('Council Entry'!AE$8),ISNUMBER('Council Entry'!AE$9)),MAX(MIN('Council Entry'!AE18,'Council Entry'!AE$9),'Council Entry'!AE$8),'Council Entry'!AE18))))-'Council Entry'!AE$5)/('Council Entry'!AE$6-'Council Entry'!AE$5),10*((IF('Council Entry'!AE$4="Logarithm",LN(0.001+IF(AND(ISNUMBER('Council Entry'!AE$8),ISNUMBER('Council Entry'!AE$9)),MAX(MIN('Council Entry'!AE18,'Council Entry'!AE$9),'Council Entry'!AE$8),'Council Entry'!AE18)),IF('Council Entry'!AE$4="Exponential",EXP(IF(AND(ISNUMBER('Council Entry'!AE$8),ISNUMBER('Council Entry'!AE$9)),MAX(MIN('Council Entry'!AE18,'Council Entry'!AE$9),'Council Entry'!AE$8),'Council Entry'!AE18)),IF(AND(ISNUMBER('Council Entry'!AE$8),ISNUMBER('Council Entry'!AE$9)),MAX(MIN('Council Entry'!AE18,'Council Entry'!AE$9),'Council Entry'!AE$8),'Council Entry'!AE18))))-'Council Entry'!AE$5)/('Council Entry'!AE$6-'Council Entry'!AE$5)),1))),"No data"))</f>
        <v/>
      </c>
      <c r="AF18" s="13">
        <f>IF('Council Entry'!AF18="","",IFERROR(MAX(0,MIN(10,ROUND(IF('Council Entry'!AF$7="Decrease Risk",10-10*((IF('Council Entry'!AF$4="Logarithm",LN(0.001+IF(AND(ISNUMBER('Council Entry'!AF$8),ISNUMBER('Council Entry'!AF$9)),MAX(MIN('Council Entry'!AF18,'Council Entry'!AF$9),'Council Entry'!AF$8),'Council Entry'!AF18)),IF('Council Entry'!AF$4="Exponential",EXP(IF(AND(ISNUMBER('Council Entry'!AF$8),ISNUMBER('Council Entry'!AF$9)),MAX(MIN('Council Entry'!AF18,'Council Entry'!AF$9),'Council Entry'!AF$8),'Council Entry'!AF18)),IF(AND(ISNUMBER('Council Entry'!AF$8),ISNUMBER('Council Entry'!AF$9)),MAX(MIN('Council Entry'!AF18,'Council Entry'!AF$9),'Council Entry'!AF$8),'Council Entry'!AF18))))-'Council Entry'!AF$5)/('Council Entry'!AF$6-'Council Entry'!AF$5),10*((IF('Council Entry'!AF$4="Logarithm",LN(0.001+IF(AND(ISNUMBER('Council Entry'!AF$8),ISNUMBER('Council Entry'!AF$9)),MAX(MIN('Council Entry'!AF18,'Council Entry'!AF$9),'Council Entry'!AF$8),'Council Entry'!AF18)),IF('Council Entry'!AF$4="Exponential",EXP(IF(AND(ISNUMBER('Council Entry'!AF$8),ISNUMBER('Council Entry'!AF$9)),MAX(MIN('Council Entry'!AF18,'Council Entry'!AF$9),'Council Entry'!AF$8),'Council Entry'!AF18)),IF(AND(ISNUMBER('Council Entry'!AF$8),ISNUMBER('Council Entry'!AF$9)),MAX(MIN('Council Entry'!AF18,'Council Entry'!AF$9),'Council Entry'!AF$8),'Council Entry'!AF18))))-'Council Entry'!AF$5)/('Council Entry'!AF$6-'Council Entry'!AF$5)),1))),"No data"))</f>
        <v/>
      </c>
      <c r="AG18" s="13">
        <f>IF('Council Entry'!AG18="","",IFERROR(MAX(0,MIN(10,ROUND(IF('Council Entry'!AG$7="Decrease Risk",10-10*((IF('Council Entry'!AG$4="Logarithm",LN(0.001+IF(AND(ISNUMBER('Council Entry'!AG$8),ISNUMBER('Council Entry'!AG$9)),MAX(MIN('Council Entry'!AG18,'Council Entry'!AG$9),'Council Entry'!AG$8),'Council Entry'!AG18)),IF('Council Entry'!AG$4="Exponential",EXP(IF(AND(ISNUMBER('Council Entry'!AG$8),ISNUMBER('Council Entry'!AG$9)),MAX(MIN('Council Entry'!AG18,'Council Entry'!AG$9),'Council Entry'!AG$8),'Council Entry'!AG18)),IF(AND(ISNUMBER('Council Entry'!AG$8),ISNUMBER('Council Entry'!AG$9)),MAX(MIN('Council Entry'!AG18,'Council Entry'!AG$9),'Council Entry'!AG$8),'Council Entry'!AG18))))-'Council Entry'!AG$5)/('Council Entry'!AG$6-'Council Entry'!AG$5),10*((IF('Council Entry'!AG$4="Logarithm",LN(0.001+IF(AND(ISNUMBER('Council Entry'!AG$8),ISNUMBER('Council Entry'!AG$9)),MAX(MIN('Council Entry'!AG18,'Council Entry'!AG$9),'Council Entry'!AG$8),'Council Entry'!AG18)),IF('Council Entry'!AG$4="Exponential",EXP(IF(AND(ISNUMBER('Council Entry'!AG$8),ISNUMBER('Council Entry'!AG$9)),MAX(MIN('Council Entry'!AG18,'Council Entry'!AG$9),'Council Entry'!AG$8),'Council Entry'!AG18)),IF(AND(ISNUMBER('Council Entry'!AG$8),ISNUMBER('Council Entry'!AG$9)),MAX(MIN('Council Entry'!AG18,'Council Entry'!AG$9),'Council Entry'!AG$8),'Council Entry'!AG18))))-'Council Entry'!AG$5)/('Council Entry'!AG$6-'Council Entry'!AG$5)),1))),"No data"))</f>
        <v/>
      </c>
      <c r="AH18" s="13">
        <f>IF('Council Entry'!AH18="","",IFERROR(MAX(0,MIN(10,ROUND(IF('Council Entry'!AH$7="Decrease Risk",10-10*((IF('Council Entry'!AH$4="Logarithm",LN(0.001+IF(AND(ISNUMBER('Council Entry'!AH$8),ISNUMBER('Council Entry'!AH$9)),MAX(MIN('Council Entry'!AH18,'Council Entry'!AH$9),'Council Entry'!AH$8),'Council Entry'!AH18)),IF('Council Entry'!AH$4="Exponential",EXP(IF(AND(ISNUMBER('Council Entry'!AH$8),ISNUMBER('Council Entry'!AH$9)),MAX(MIN('Council Entry'!AH18,'Council Entry'!AH$9),'Council Entry'!AH$8),'Council Entry'!AH18)),IF(AND(ISNUMBER('Council Entry'!AH$8),ISNUMBER('Council Entry'!AH$9)),MAX(MIN('Council Entry'!AH18,'Council Entry'!AH$9),'Council Entry'!AH$8),'Council Entry'!AH18))))-'Council Entry'!AH$5)/('Council Entry'!AH$6-'Council Entry'!AH$5),10*((IF('Council Entry'!AH$4="Logarithm",LN(0.001+IF(AND(ISNUMBER('Council Entry'!AH$8),ISNUMBER('Council Entry'!AH$9)),MAX(MIN('Council Entry'!AH18,'Council Entry'!AH$9),'Council Entry'!AH$8),'Council Entry'!AH18)),IF('Council Entry'!AH$4="Exponential",EXP(IF(AND(ISNUMBER('Council Entry'!AH$8),ISNUMBER('Council Entry'!AH$9)),MAX(MIN('Council Entry'!AH18,'Council Entry'!AH$9),'Council Entry'!AH$8),'Council Entry'!AH18)),IF(AND(ISNUMBER('Council Entry'!AH$8),ISNUMBER('Council Entry'!AH$9)),MAX(MIN('Council Entry'!AH18,'Council Entry'!AH$9),'Council Entry'!AH$8),'Council Entry'!AH18))))-'Council Entry'!AH$5)/('Council Entry'!AH$6-'Council Entry'!AH$5)),1))),"No data"))</f>
        <v/>
      </c>
      <c r="AI18" s="13">
        <f>IF('Council Entry'!AI18="","",IFERROR(MAX(0,MIN(10,ROUND(IF('Council Entry'!AI$7="Decrease Risk",10-10*((IF('Council Entry'!AI$4="Logarithm",LN(0.001+IF(AND(ISNUMBER('Council Entry'!AI$8),ISNUMBER('Council Entry'!AI$9)),MAX(MIN('Council Entry'!AI18,'Council Entry'!AI$9),'Council Entry'!AI$8),'Council Entry'!AI18)),IF('Council Entry'!AI$4="Exponential",EXP(IF(AND(ISNUMBER('Council Entry'!AI$8),ISNUMBER('Council Entry'!AI$9)),MAX(MIN('Council Entry'!AI18,'Council Entry'!AI$9),'Council Entry'!AI$8),'Council Entry'!AI18)),IF(AND(ISNUMBER('Council Entry'!AI$8),ISNUMBER('Council Entry'!AI$9)),MAX(MIN('Council Entry'!AI18,'Council Entry'!AI$9),'Council Entry'!AI$8),'Council Entry'!AI18))))-'Council Entry'!AI$5)/('Council Entry'!AI$6-'Council Entry'!AI$5),10*((IF('Council Entry'!AI$4="Logarithm",LN(0.001+IF(AND(ISNUMBER('Council Entry'!AI$8),ISNUMBER('Council Entry'!AI$9)),MAX(MIN('Council Entry'!AI18,'Council Entry'!AI$9),'Council Entry'!AI$8),'Council Entry'!AI18)),IF('Council Entry'!AI$4="Exponential",EXP(IF(AND(ISNUMBER('Council Entry'!AI$8),ISNUMBER('Council Entry'!AI$9)),MAX(MIN('Council Entry'!AI18,'Council Entry'!AI$9),'Council Entry'!AI$8),'Council Entry'!AI18)),IF(AND(ISNUMBER('Council Entry'!AI$8),ISNUMBER('Council Entry'!AI$9)),MAX(MIN('Council Entry'!AI18,'Council Entry'!AI$9),'Council Entry'!AI$8),'Council Entry'!AI18))))-'Council Entry'!AI$5)/('Council Entry'!AI$6-'Council Entry'!AI$5)),1))),"No data"))</f>
        <v/>
      </c>
      <c r="AJ18" s="13">
        <f>IF('Council Entry'!AJ18="","",IFERROR(MAX(0,MIN(10,ROUND(IF('Council Entry'!AJ$7="Decrease Risk",10-10*((IF('Council Entry'!AJ$4="Logarithm",LN(0.001+IF(AND(ISNUMBER('Council Entry'!AJ$8),ISNUMBER('Council Entry'!AJ$9)),MAX(MIN('Council Entry'!AJ18,'Council Entry'!AJ$9),'Council Entry'!AJ$8),'Council Entry'!AJ18)),IF('Council Entry'!AJ$4="Exponential",EXP(IF(AND(ISNUMBER('Council Entry'!AJ$8),ISNUMBER('Council Entry'!AJ$9)),MAX(MIN('Council Entry'!AJ18,'Council Entry'!AJ$9),'Council Entry'!AJ$8),'Council Entry'!AJ18)),IF(AND(ISNUMBER('Council Entry'!AJ$8),ISNUMBER('Council Entry'!AJ$9)),MAX(MIN('Council Entry'!AJ18,'Council Entry'!AJ$9),'Council Entry'!AJ$8),'Council Entry'!AJ18))))-'Council Entry'!AJ$5)/('Council Entry'!AJ$6-'Council Entry'!AJ$5),10*((IF('Council Entry'!AJ$4="Logarithm",LN(0.001+IF(AND(ISNUMBER('Council Entry'!AJ$8),ISNUMBER('Council Entry'!AJ$9)),MAX(MIN('Council Entry'!AJ18,'Council Entry'!AJ$9),'Council Entry'!AJ$8),'Council Entry'!AJ18)),IF('Council Entry'!AJ$4="Exponential",EXP(IF(AND(ISNUMBER('Council Entry'!AJ$8),ISNUMBER('Council Entry'!AJ$9)),MAX(MIN('Council Entry'!AJ18,'Council Entry'!AJ$9),'Council Entry'!AJ$8),'Council Entry'!AJ18)),IF(AND(ISNUMBER('Council Entry'!AJ$8),ISNUMBER('Council Entry'!AJ$9)),MAX(MIN('Council Entry'!AJ18,'Council Entry'!AJ$9),'Council Entry'!AJ$8),'Council Entry'!AJ18))))-'Council Entry'!AJ$5)/('Council Entry'!AJ$6-'Council Entry'!AJ$5)),1))),"No data"))</f>
        <v/>
      </c>
      <c r="AK18" s="13">
        <f>IF('Council Entry'!AK18="","",IFERROR(MAX(0,MIN(10,ROUND(IF('Council Entry'!AK$7="Decrease Risk",10-10*((IF('Council Entry'!AK$4="Logarithm",LN(0.001+IF(AND(ISNUMBER('Council Entry'!AK$8),ISNUMBER('Council Entry'!AK$9)),MAX(MIN('Council Entry'!AK18,'Council Entry'!AK$9),'Council Entry'!AK$8),'Council Entry'!AK18)),IF('Council Entry'!AK$4="Exponential",EXP(IF(AND(ISNUMBER('Council Entry'!AK$8),ISNUMBER('Council Entry'!AK$9)),MAX(MIN('Council Entry'!AK18,'Council Entry'!AK$9),'Council Entry'!AK$8),'Council Entry'!AK18)),IF(AND(ISNUMBER('Council Entry'!AK$8),ISNUMBER('Council Entry'!AK$9)),MAX(MIN('Council Entry'!AK18,'Council Entry'!AK$9),'Council Entry'!AK$8),'Council Entry'!AK18))))-'Council Entry'!AK$5)/('Council Entry'!AK$6-'Council Entry'!AK$5),10*((IF('Council Entry'!AK$4="Logarithm",LN(0.001+IF(AND(ISNUMBER('Council Entry'!AK$8),ISNUMBER('Council Entry'!AK$9)),MAX(MIN('Council Entry'!AK18,'Council Entry'!AK$9),'Council Entry'!AK$8),'Council Entry'!AK18)),IF('Council Entry'!AK$4="Exponential",EXP(IF(AND(ISNUMBER('Council Entry'!AK$8),ISNUMBER('Council Entry'!AK$9)),MAX(MIN('Council Entry'!AK18,'Council Entry'!AK$9),'Council Entry'!AK$8),'Council Entry'!AK18)),IF(AND(ISNUMBER('Council Entry'!AK$8),ISNUMBER('Council Entry'!AK$9)),MAX(MIN('Council Entry'!AK18,'Council Entry'!AK$9),'Council Entry'!AK$8),'Council Entry'!AK18))))-'Council Entry'!AK$5)/('Council Entry'!AK$6-'Council Entry'!AK$5)),1))),"No data"))</f>
        <v/>
      </c>
      <c r="AL18" s="13">
        <f>IF('Council Entry'!AL18="","",IFERROR(MAX(0,MIN(10,ROUND(IF('Council Entry'!AL$7="Decrease Risk",10-10*((IF('Council Entry'!AL$4="Logarithm",LN(0.001+IF(AND(ISNUMBER('Council Entry'!AL$8),ISNUMBER('Council Entry'!AL$9)),MAX(MIN('Council Entry'!AL18,'Council Entry'!AL$9),'Council Entry'!AL$8),'Council Entry'!AL18)),IF('Council Entry'!AL$4="Exponential",EXP(IF(AND(ISNUMBER('Council Entry'!AL$8),ISNUMBER('Council Entry'!AL$9)),MAX(MIN('Council Entry'!AL18,'Council Entry'!AL$9),'Council Entry'!AL$8),'Council Entry'!AL18)),IF(AND(ISNUMBER('Council Entry'!AL$8),ISNUMBER('Council Entry'!AL$9)),MAX(MIN('Council Entry'!AL18,'Council Entry'!AL$9),'Council Entry'!AL$8),'Council Entry'!AL18))))-'Council Entry'!AL$5)/('Council Entry'!AL$6-'Council Entry'!AL$5),10*((IF('Council Entry'!AL$4="Logarithm",LN(0.001+IF(AND(ISNUMBER('Council Entry'!AL$8),ISNUMBER('Council Entry'!AL$9)),MAX(MIN('Council Entry'!AL18,'Council Entry'!AL$9),'Council Entry'!AL$8),'Council Entry'!AL18)),IF('Council Entry'!AL$4="Exponential",EXP(IF(AND(ISNUMBER('Council Entry'!AL$8),ISNUMBER('Council Entry'!AL$9)),MAX(MIN('Council Entry'!AL18,'Council Entry'!AL$9),'Council Entry'!AL$8),'Council Entry'!AL18)),IF(AND(ISNUMBER('Council Entry'!AL$8),ISNUMBER('Council Entry'!AL$9)),MAX(MIN('Council Entry'!AL18,'Council Entry'!AL$9),'Council Entry'!AL$8),'Council Entry'!AL18))))-'Council Entry'!AL$5)/('Council Entry'!AL$6-'Council Entry'!AL$5)),1))),"No data"))</f>
        <v/>
      </c>
      <c r="AM18" s="13">
        <f>IF('Council Entry'!AM18="","",IFERROR(MAX(0,MIN(10,ROUND(IF('Council Entry'!AM$7="Decrease Risk",10-10*((IF('Council Entry'!AM$4="Logarithm",LN(0.001+IF(AND(ISNUMBER('Council Entry'!AM$8),ISNUMBER('Council Entry'!AM$9)),MAX(MIN('Council Entry'!AM18,'Council Entry'!AM$9),'Council Entry'!AM$8),'Council Entry'!AM18)),IF('Council Entry'!AM$4="Exponential",EXP(IF(AND(ISNUMBER('Council Entry'!AM$8),ISNUMBER('Council Entry'!AM$9)),MAX(MIN('Council Entry'!AM18,'Council Entry'!AM$9),'Council Entry'!AM$8),'Council Entry'!AM18)),IF(AND(ISNUMBER('Council Entry'!AM$8),ISNUMBER('Council Entry'!AM$9)),MAX(MIN('Council Entry'!AM18,'Council Entry'!AM$9),'Council Entry'!AM$8),'Council Entry'!AM18))))-'Council Entry'!AM$5)/('Council Entry'!AM$6-'Council Entry'!AM$5),10*((IF('Council Entry'!AM$4="Logarithm",LN(0.001+IF(AND(ISNUMBER('Council Entry'!AM$8),ISNUMBER('Council Entry'!AM$9)),MAX(MIN('Council Entry'!AM18,'Council Entry'!AM$9),'Council Entry'!AM$8),'Council Entry'!AM18)),IF('Council Entry'!AM$4="Exponential",EXP(IF(AND(ISNUMBER('Council Entry'!AM$8),ISNUMBER('Council Entry'!AM$9)),MAX(MIN('Council Entry'!AM18,'Council Entry'!AM$9),'Council Entry'!AM$8),'Council Entry'!AM18)),IF(AND(ISNUMBER('Council Entry'!AM$8),ISNUMBER('Council Entry'!AM$9)),MAX(MIN('Council Entry'!AM18,'Council Entry'!AM$9),'Council Entry'!AM$8),'Council Entry'!AM18))))-'Council Entry'!AM$5)/('Council Entry'!AM$6-'Council Entry'!AM$5)),1))),"No data"))</f>
        <v/>
      </c>
      <c r="AN18" s="13">
        <f>IF('Council Entry'!AN18="","",IFERROR(MAX(0,MIN(10,ROUND(IF('Council Entry'!AN$7="Decrease Risk",10-10*((IF('Council Entry'!AN$4="Logarithm",LN(0.001+IF(AND(ISNUMBER('Council Entry'!AN$8),ISNUMBER('Council Entry'!AN$9)),MAX(MIN('Council Entry'!AN18,'Council Entry'!AN$9),'Council Entry'!AN$8),'Council Entry'!AN18)),IF('Council Entry'!AN$4="Exponential",EXP(IF(AND(ISNUMBER('Council Entry'!AN$8),ISNUMBER('Council Entry'!AN$9)),MAX(MIN('Council Entry'!AN18,'Council Entry'!AN$9),'Council Entry'!AN$8),'Council Entry'!AN18)),IF(AND(ISNUMBER('Council Entry'!AN$8),ISNUMBER('Council Entry'!AN$9)),MAX(MIN('Council Entry'!AN18,'Council Entry'!AN$9),'Council Entry'!AN$8),'Council Entry'!AN18))))-'Council Entry'!AN$5)/('Council Entry'!AN$6-'Council Entry'!AN$5),10*((IF('Council Entry'!AN$4="Logarithm",LN(0.001+IF(AND(ISNUMBER('Council Entry'!AN$8),ISNUMBER('Council Entry'!AN$9)),MAX(MIN('Council Entry'!AN18,'Council Entry'!AN$9),'Council Entry'!AN$8),'Council Entry'!AN18)),IF('Council Entry'!AN$4="Exponential",EXP(IF(AND(ISNUMBER('Council Entry'!AN$8),ISNUMBER('Council Entry'!AN$9)),MAX(MIN('Council Entry'!AN18,'Council Entry'!AN$9),'Council Entry'!AN$8),'Council Entry'!AN18)),IF(AND(ISNUMBER('Council Entry'!AN$8),ISNUMBER('Council Entry'!AN$9)),MAX(MIN('Council Entry'!AN18,'Council Entry'!AN$9),'Council Entry'!AN$8),'Council Entry'!AN18))))-'Council Entry'!AN$5)/('Council Entry'!AN$6-'Council Entry'!AN$5)),1))),"No data"))</f>
        <v/>
      </c>
      <c r="AO18" s="13">
        <f>IF('Council Entry'!AO18="","",IFERROR(MAX(0,MIN(10,ROUND(IF('Council Entry'!AO$7="Decrease Risk",10-10*((IF('Council Entry'!AO$4="Logarithm",LN(0.001+IF(AND(ISNUMBER('Council Entry'!AO$8),ISNUMBER('Council Entry'!AO$9)),MAX(MIN('Council Entry'!AO18,'Council Entry'!AO$9),'Council Entry'!AO$8),'Council Entry'!AO18)),IF('Council Entry'!AO$4="Exponential",EXP(IF(AND(ISNUMBER('Council Entry'!AO$8),ISNUMBER('Council Entry'!AO$9)),MAX(MIN('Council Entry'!AO18,'Council Entry'!AO$9),'Council Entry'!AO$8),'Council Entry'!AO18)),IF(AND(ISNUMBER('Council Entry'!AO$8),ISNUMBER('Council Entry'!AO$9)),MAX(MIN('Council Entry'!AO18,'Council Entry'!AO$9),'Council Entry'!AO$8),'Council Entry'!AO18))))-'Council Entry'!AO$5)/('Council Entry'!AO$6-'Council Entry'!AO$5),10*((IF('Council Entry'!AO$4="Logarithm",LN(0.001+IF(AND(ISNUMBER('Council Entry'!AO$8),ISNUMBER('Council Entry'!AO$9)),MAX(MIN('Council Entry'!AO18,'Council Entry'!AO$9),'Council Entry'!AO$8),'Council Entry'!AO18)),IF('Council Entry'!AO$4="Exponential",EXP(IF(AND(ISNUMBER('Council Entry'!AO$8),ISNUMBER('Council Entry'!AO$9)),MAX(MIN('Council Entry'!AO18,'Council Entry'!AO$9),'Council Entry'!AO$8),'Council Entry'!AO18)),IF(AND(ISNUMBER('Council Entry'!AO$8),ISNUMBER('Council Entry'!AO$9)),MAX(MIN('Council Entry'!AO18,'Council Entry'!AO$9),'Council Entry'!AO$8),'Council Entry'!AO18))))-'Council Entry'!AO$5)/('Council Entry'!AO$6-'Council Entry'!AO$5)),1))),"No data"))</f>
        <v/>
      </c>
      <c r="AP18" s="13">
        <f>IF('Council Entry'!AP18="","",IFERROR(MAX(0,MIN(10,ROUND(IF('Council Entry'!AP$7="Decrease Risk",10-10*((IF('Council Entry'!AP$4="Logarithm",LN(0.001+IF(AND(ISNUMBER('Council Entry'!AP$8),ISNUMBER('Council Entry'!AP$9)),MAX(MIN('Council Entry'!AP18,'Council Entry'!AP$9),'Council Entry'!AP$8),'Council Entry'!AP18)),IF('Council Entry'!AP$4="Exponential",EXP(IF(AND(ISNUMBER('Council Entry'!AP$8),ISNUMBER('Council Entry'!AP$9)),MAX(MIN('Council Entry'!AP18,'Council Entry'!AP$9),'Council Entry'!AP$8),'Council Entry'!AP18)),IF(AND(ISNUMBER('Council Entry'!AP$8),ISNUMBER('Council Entry'!AP$9)),MAX(MIN('Council Entry'!AP18,'Council Entry'!AP$9),'Council Entry'!AP$8),'Council Entry'!AP18))))-'Council Entry'!AP$5)/('Council Entry'!AP$6-'Council Entry'!AP$5),10*((IF('Council Entry'!AP$4="Logarithm",LN(0.001+IF(AND(ISNUMBER('Council Entry'!AP$8),ISNUMBER('Council Entry'!AP$9)),MAX(MIN('Council Entry'!AP18,'Council Entry'!AP$9),'Council Entry'!AP$8),'Council Entry'!AP18)),IF('Council Entry'!AP$4="Exponential",EXP(IF(AND(ISNUMBER('Council Entry'!AP$8),ISNUMBER('Council Entry'!AP$9)),MAX(MIN('Council Entry'!AP18,'Council Entry'!AP$9),'Council Entry'!AP$8),'Council Entry'!AP18)),IF(AND(ISNUMBER('Council Entry'!AP$8),ISNUMBER('Council Entry'!AP$9)),MAX(MIN('Council Entry'!AP18,'Council Entry'!AP$9),'Council Entry'!AP$8),'Council Entry'!AP18))))-'Council Entry'!AP$5)/('Council Entry'!AP$6-'Council Entry'!AP$5)),1))),"No data"))</f>
        <v/>
      </c>
      <c r="AQ18" s="13">
        <f>IF('Council Entry'!AQ18="","",IFERROR(MAX(0,MIN(10,ROUND(IF('Council Entry'!AQ$7="Decrease Risk",10-10*((IF('Council Entry'!AQ$4="Logarithm",LN(0.001+IF(AND(ISNUMBER('Council Entry'!AQ$8),ISNUMBER('Council Entry'!AQ$9)),MAX(MIN('Council Entry'!AQ18,'Council Entry'!AQ$9),'Council Entry'!AQ$8),'Council Entry'!AQ18)),IF('Council Entry'!AQ$4="Exponential",EXP(IF(AND(ISNUMBER('Council Entry'!AQ$8),ISNUMBER('Council Entry'!AQ$9)),MAX(MIN('Council Entry'!AQ18,'Council Entry'!AQ$9),'Council Entry'!AQ$8),'Council Entry'!AQ18)),IF(AND(ISNUMBER('Council Entry'!AQ$8),ISNUMBER('Council Entry'!AQ$9)),MAX(MIN('Council Entry'!AQ18,'Council Entry'!AQ$9),'Council Entry'!AQ$8),'Council Entry'!AQ18))))-'Council Entry'!AQ$5)/('Council Entry'!AQ$6-'Council Entry'!AQ$5),10*((IF('Council Entry'!AQ$4="Logarithm",LN(0.001+IF(AND(ISNUMBER('Council Entry'!AQ$8),ISNUMBER('Council Entry'!AQ$9)),MAX(MIN('Council Entry'!AQ18,'Council Entry'!AQ$9),'Council Entry'!AQ$8),'Council Entry'!AQ18)),IF('Council Entry'!AQ$4="Exponential",EXP(IF(AND(ISNUMBER('Council Entry'!AQ$8),ISNUMBER('Council Entry'!AQ$9)),MAX(MIN('Council Entry'!AQ18,'Council Entry'!AQ$9),'Council Entry'!AQ$8),'Council Entry'!AQ18)),IF(AND(ISNUMBER('Council Entry'!AQ$8),ISNUMBER('Council Entry'!AQ$9)),MAX(MIN('Council Entry'!AQ18,'Council Entry'!AQ$9),'Council Entry'!AQ$8),'Council Entry'!AQ18))))-'Council Entry'!AQ$5)/('Council Entry'!AQ$6-'Council Entry'!AQ$5)),1))),"No data"))</f>
        <v/>
      </c>
      <c r="AR18" s="13">
        <f>IF('Council Entry'!AR18="","",IFERROR(MAX(0,MIN(10,ROUND(IF('Council Entry'!AR$7="Decrease Risk",10-10*((IF('Council Entry'!AR$4="Logarithm",LN(0.001+IF(AND(ISNUMBER('Council Entry'!AR$8),ISNUMBER('Council Entry'!AR$9)),MAX(MIN('Council Entry'!AR18,'Council Entry'!AR$9),'Council Entry'!AR$8),'Council Entry'!AR18)),IF('Council Entry'!AR$4="Exponential",EXP(IF(AND(ISNUMBER('Council Entry'!AR$8),ISNUMBER('Council Entry'!AR$9)),MAX(MIN('Council Entry'!AR18,'Council Entry'!AR$9),'Council Entry'!AR$8),'Council Entry'!AR18)),IF(AND(ISNUMBER('Council Entry'!AR$8),ISNUMBER('Council Entry'!AR$9)),MAX(MIN('Council Entry'!AR18,'Council Entry'!AR$9),'Council Entry'!AR$8),'Council Entry'!AR18))))-'Council Entry'!AR$5)/('Council Entry'!AR$6-'Council Entry'!AR$5),10*((IF('Council Entry'!AR$4="Logarithm",LN(0.001+IF(AND(ISNUMBER('Council Entry'!AR$8),ISNUMBER('Council Entry'!AR$9)),MAX(MIN('Council Entry'!AR18,'Council Entry'!AR$9),'Council Entry'!AR$8),'Council Entry'!AR18)),IF('Council Entry'!AR$4="Exponential",EXP(IF(AND(ISNUMBER('Council Entry'!AR$8),ISNUMBER('Council Entry'!AR$9)),MAX(MIN('Council Entry'!AR18,'Council Entry'!AR$9),'Council Entry'!AR$8),'Council Entry'!AR18)),IF(AND(ISNUMBER('Council Entry'!AR$8),ISNUMBER('Council Entry'!AR$9)),MAX(MIN('Council Entry'!AR18,'Council Entry'!AR$9),'Council Entry'!AR$8),'Council Entry'!AR18))))-'Council Entry'!AR$5)/('Council Entry'!AR$6-'Council Entry'!AR$5)),1))),"No data"))</f>
        <v/>
      </c>
      <c r="AS18" s="13">
        <f>IF('Council Entry'!AS18="","",IFERROR(MAX(0,MIN(10,ROUND(IF('Council Entry'!AS$7="Decrease Risk",10-10*((IF('Council Entry'!AS$4="Logarithm",LN(0.001+IF(AND(ISNUMBER('Council Entry'!AS$8),ISNUMBER('Council Entry'!AS$9)),MAX(MIN('Council Entry'!AS18,'Council Entry'!AS$9),'Council Entry'!AS$8),'Council Entry'!AS18)),IF('Council Entry'!AS$4="Exponential",EXP(IF(AND(ISNUMBER('Council Entry'!AS$8),ISNUMBER('Council Entry'!AS$9)),MAX(MIN('Council Entry'!AS18,'Council Entry'!AS$9),'Council Entry'!AS$8),'Council Entry'!AS18)),IF(AND(ISNUMBER('Council Entry'!AS$8),ISNUMBER('Council Entry'!AS$9)),MAX(MIN('Council Entry'!AS18,'Council Entry'!AS$9),'Council Entry'!AS$8),'Council Entry'!AS18))))-'Council Entry'!AS$5)/('Council Entry'!AS$6-'Council Entry'!AS$5),10*((IF('Council Entry'!AS$4="Logarithm",LN(0.001+IF(AND(ISNUMBER('Council Entry'!AS$8),ISNUMBER('Council Entry'!AS$9)),MAX(MIN('Council Entry'!AS18,'Council Entry'!AS$9),'Council Entry'!AS$8),'Council Entry'!AS18)),IF('Council Entry'!AS$4="Exponential",EXP(IF(AND(ISNUMBER('Council Entry'!AS$8),ISNUMBER('Council Entry'!AS$9)),MAX(MIN('Council Entry'!AS18,'Council Entry'!AS$9),'Council Entry'!AS$8),'Council Entry'!AS18)),IF(AND(ISNUMBER('Council Entry'!AS$8),ISNUMBER('Council Entry'!AS$9)),MAX(MIN('Council Entry'!AS18,'Council Entry'!AS$9),'Council Entry'!AS$8),'Council Entry'!AS18))))-'Council Entry'!AS$5)/('Council Entry'!AS$6-'Council Entry'!AS$5)),1))),"No data"))</f>
        <v/>
      </c>
      <c r="AT18" s="13">
        <f>IF('Council Entry'!AT18="","",IFERROR(MAX(0,MIN(10,ROUND(IF('Council Entry'!AT$7="Decrease Risk",10-10*((IF('Council Entry'!AT$4="Logarithm",LN(0.001+IF(AND(ISNUMBER('Council Entry'!AT$8),ISNUMBER('Council Entry'!AT$9)),MAX(MIN('Council Entry'!AT18,'Council Entry'!AT$9),'Council Entry'!AT$8),'Council Entry'!AT18)),IF('Council Entry'!AT$4="Exponential",EXP(IF(AND(ISNUMBER('Council Entry'!AT$8),ISNUMBER('Council Entry'!AT$9)),MAX(MIN('Council Entry'!AT18,'Council Entry'!AT$9),'Council Entry'!AT$8),'Council Entry'!AT18)),IF(AND(ISNUMBER('Council Entry'!AT$8),ISNUMBER('Council Entry'!AT$9)),MAX(MIN('Council Entry'!AT18,'Council Entry'!AT$9),'Council Entry'!AT$8),'Council Entry'!AT18))))-'Council Entry'!AT$5)/('Council Entry'!AT$6-'Council Entry'!AT$5),10*((IF('Council Entry'!AT$4="Logarithm",LN(0.001+IF(AND(ISNUMBER('Council Entry'!AT$8),ISNUMBER('Council Entry'!AT$9)),MAX(MIN('Council Entry'!AT18,'Council Entry'!AT$9),'Council Entry'!AT$8),'Council Entry'!AT18)),IF('Council Entry'!AT$4="Exponential",EXP(IF(AND(ISNUMBER('Council Entry'!AT$8),ISNUMBER('Council Entry'!AT$9)),MAX(MIN('Council Entry'!AT18,'Council Entry'!AT$9),'Council Entry'!AT$8),'Council Entry'!AT18)),IF(AND(ISNUMBER('Council Entry'!AT$8),ISNUMBER('Council Entry'!AT$9)),MAX(MIN('Council Entry'!AT18,'Council Entry'!AT$9),'Council Entry'!AT$8),'Council Entry'!AT18))))-'Council Entry'!AT$5)/('Council Entry'!AT$6-'Council Entry'!AT$5)),1))),"No data"))</f>
        <v/>
      </c>
      <c r="AU18" s="13">
        <f>IF('Council Entry'!AU18="","",IFERROR(MAX(0,MIN(10,ROUND(IF('Council Entry'!AU$7="Decrease Risk",10-10*((IF('Council Entry'!AU$4="Logarithm",LN(0.001+IF(AND(ISNUMBER('Council Entry'!AU$8),ISNUMBER('Council Entry'!AU$9)),MAX(MIN('Council Entry'!AU18,'Council Entry'!AU$9),'Council Entry'!AU$8),'Council Entry'!AU18)),IF('Council Entry'!AU$4="Exponential",EXP(IF(AND(ISNUMBER('Council Entry'!AU$8),ISNUMBER('Council Entry'!AU$9)),MAX(MIN('Council Entry'!AU18,'Council Entry'!AU$9),'Council Entry'!AU$8),'Council Entry'!AU18)),IF(AND(ISNUMBER('Council Entry'!AU$8),ISNUMBER('Council Entry'!AU$9)),MAX(MIN('Council Entry'!AU18,'Council Entry'!AU$9),'Council Entry'!AU$8),'Council Entry'!AU18))))-'Council Entry'!AU$5)/('Council Entry'!AU$6-'Council Entry'!AU$5),10*((IF('Council Entry'!AU$4="Logarithm",LN(0.001+IF(AND(ISNUMBER('Council Entry'!AU$8),ISNUMBER('Council Entry'!AU$9)),MAX(MIN('Council Entry'!AU18,'Council Entry'!AU$9),'Council Entry'!AU$8),'Council Entry'!AU18)),IF('Council Entry'!AU$4="Exponential",EXP(IF(AND(ISNUMBER('Council Entry'!AU$8),ISNUMBER('Council Entry'!AU$9)),MAX(MIN('Council Entry'!AU18,'Council Entry'!AU$9),'Council Entry'!AU$8),'Council Entry'!AU18)),IF(AND(ISNUMBER('Council Entry'!AU$8),ISNUMBER('Council Entry'!AU$9)),MAX(MIN('Council Entry'!AU18,'Council Entry'!AU$9),'Council Entry'!AU$8),'Council Entry'!AU18))))-'Council Entry'!AU$5)/('Council Entry'!AU$6-'Council Entry'!AU$5)),1))),"No data"))</f>
        <v/>
      </c>
      <c r="AV18" s="13">
        <f>IF('Council Entry'!AV18="","",IFERROR(MAX(0,MIN(10,ROUND(IF('Council Entry'!AV$7="Decrease Risk",10-10*((IF('Council Entry'!AV$4="Logarithm",LN(0.001+IF(AND(ISNUMBER('Council Entry'!AV$8),ISNUMBER('Council Entry'!AV$9)),MAX(MIN('Council Entry'!AV18,'Council Entry'!AV$9),'Council Entry'!AV$8),'Council Entry'!AV18)),IF('Council Entry'!AV$4="Exponential",EXP(IF(AND(ISNUMBER('Council Entry'!AV$8),ISNUMBER('Council Entry'!AV$9)),MAX(MIN('Council Entry'!AV18,'Council Entry'!AV$9),'Council Entry'!AV$8),'Council Entry'!AV18)),IF(AND(ISNUMBER('Council Entry'!AV$8),ISNUMBER('Council Entry'!AV$9)),MAX(MIN('Council Entry'!AV18,'Council Entry'!AV$9),'Council Entry'!AV$8),'Council Entry'!AV18))))-'Council Entry'!AV$5)/('Council Entry'!AV$6-'Council Entry'!AV$5),10*((IF('Council Entry'!AV$4="Logarithm",LN(0.001+IF(AND(ISNUMBER('Council Entry'!AV$8),ISNUMBER('Council Entry'!AV$9)),MAX(MIN('Council Entry'!AV18,'Council Entry'!AV$9),'Council Entry'!AV$8),'Council Entry'!AV18)),IF('Council Entry'!AV$4="Exponential",EXP(IF(AND(ISNUMBER('Council Entry'!AV$8),ISNUMBER('Council Entry'!AV$9)),MAX(MIN('Council Entry'!AV18,'Council Entry'!AV$9),'Council Entry'!AV$8),'Council Entry'!AV18)),IF(AND(ISNUMBER('Council Entry'!AV$8),ISNUMBER('Council Entry'!AV$9)),MAX(MIN('Council Entry'!AV18,'Council Entry'!AV$9),'Council Entry'!AV$8),'Council Entry'!AV18))))-'Council Entry'!AV$5)/('Council Entry'!AV$6-'Council Entry'!AV$5)),1))),"No data"))</f>
        <v/>
      </c>
      <c r="AW18" s="13">
        <f>IF('Council Entry'!AW18="","",IFERROR(MAX(0,MIN(10,ROUND(IF('Council Entry'!AW$7="Decrease Risk",10-10*((IF('Council Entry'!AW$4="Logarithm",LN(0.001+IF(AND(ISNUMBER('Council Entry'!AW$8),ISNUMBER('Council Entry'!AW$9)),MAX(MIN('Council Entry'!AW18,'Council Entry'!AW$9),'Council Entry'!AW$8),'Council Entry'!AW18)),IF('Council Entry'!AW$4="Exponential",EXP(IF(AND(ISNUMBER('Council Entry'!AW$8),ISNUMBER('Council Entry'!AW$9)),MAX(MIN('Council Entry'!AW18,'Council Entry'!AW$9),'Council Entry'!AW$8),'Council Entry'!AW18)),IF(AND(ISNUMBER('Council Entry'!AW$8),ISNUMBER('Council Entry'!AW$9)),MAX(MIN('Council Entry'!AW18,'Council Entry'!AW$9),'Council Entry'!AW$8),'Council Entry'!AW18))))-'Council Entry'!AW$5)/('Council Entry'!AW$6-'Council Entry'!AW$5),10*((IF('Council Entry'!AW$4="Logarithm",LN(0.001+IF(AND(ISNUMBER('Council Entry'!AW$8),ISNUMBER('Council Entry'!AW$9)),MAX(MIN('Council Entry'!AW18,'Council Entry'!AW$9),'Council Entry'!AW$8),'Council Entry'!AW18)),IF('Council Entry'!AW$4="Exponential",EXP(IF(AND(ISNUMBER('Council Entry'!AW$8),ISNUMBER('Council Entry'!AW$9)),MAX(MIN('Council Entry'!AW18,'Council Entry'!AW$9),'Council Entry'!AW$8),'Council Entry'!AW18)),IF(AND(ISNUMBER('Council Entry'!AW$8),ISNUMBER('Council Entry'!AW$9)),MAX(MIN('Council Entry'!AW18,'Council Entry'!AW$9),'Council Entry'!AW$8),'Council Entry'!AW18))))-'Council Entry'!AW$5)/('Council Entry'!AW$6-'Council Entry'!AW$5)),1))),"No data"))</f>
        <v/>
      </c>
      <c r="AX18" s="13">
        <f>IF('Council Entry'!AX18="","",IFERROR(MAX(0,MIN(10,ROUND(IF('Council Entry'!AX$7="Decrease Risk",10-10*((IF('Council Entry'!AX$4="Logarithm",LN(0.001+IF(AND(ISNUMBER('Council Entry'!AX$8),ISNUMBER('Council Entry'!AX$9)),MAX(MIN('Council Entry'!AX18,'Council Entry'!AX$9),'Council Entry'!AX$8),'Council Entry'!AX18)),IF('Council Entry'!AX$4="Exponential",EXP(IF(AND(ISNUMBER('Council Entry'!AX$8),ISNUMBER('Council Entry'!AX$9)),MAX(MIN('Council Entry'!AX18,'Council Entry'!AX$9),'Council Entry'!AX$8),'Council Entry'!AX18)),IF(AND(ISNUMBER('Council Entry'!AX$8),ISNUMBER('Council Entry'!AX$9)),MAX(MIN('Council Entry'!AX18,'Council Entry'!AX$9),'Council Entry'!AX$8),'Council Entry'!AX18))))-'Council Entry'!AX$5)/('Council Entry'!AX$6-'Council Entry'!AX$5),10*((IF('Council Entry'!AX$4="Logarithm",LN(0.001+IF(AND(ISNUMBER('Council Entry'!AX$8),ISNUMBER('Council Entry'!AX$9)),MAX(MIN('Council Entry'!AX18,'Council Entry'!AX$9),'Council Entry'!AX$8),'Council Entry'!AX18)),IF('Council Entry'!AX$4="Exponential",EXP(IF(AND(ISNUMBER('Council Entry'!AX$8),ISNUMBER('Council Entry'!AX$9)),MAX(MIN('Council Entry'!AX18,'Council Entry'!AX$9),'Council Entry'!AX$8),'Council Entry'!AX18)),IF(AND(ISNUMBER('Council Entry'!AX$8),ISNUMBER('Council Entry'!AX$9)),MAX(MIN('Council Entry'!AX18,'Council Entry'!AX$9),'Council Entry'!AX$8),'Council Entry'!AX18))))-'Council Entry'!AX$5)/('Council Entry'!AX$6-'Council Entry'!AX$5)),1))),"No data"))</f>
        <v/>
      </c>
      <c r="AY18" s="13">
        <f>IF('Council Entry'!AY18="","",IFERROR(MAX(0,MIN(10,ROUND(IF('Council Entry'!AY$7="Decrease Risk",10-10*((IF('Council Entry'!AY$4="Logarithm",LN(0.001+IF(AND(ISNUMBER('Council Entry'!AY$8),ISNUMBER('Council Entry'!AY$9)),MAX(MIN('Council Entry'!AY18,'Council Entry'!AY$9),'Council Entry'!AY$8),'Council Entry'!AY18)),IF('Council Entry'!AY$4="Exponential",EXP(IF(AND(ISNUMBER('Council Entry'!AY$8),ISNUMBER('Council Entry'!AY$9)),MAX(MIN('Council Entry'!AY18,'Council Entry'!AY$9),'Council Entry'!AY$8),'Council Entry'!AY18)),IF(AND(ISNUMBER('Council Entry'!AY$8),ISNUMBER('Council Entry'!AY$9)),MAX(MIN('Council Entry'!AY18,'Council Entry'!AY$9),'Council Entry'!AY$8),'Council Entry'!AY18))))-'Council Entry'!AY$5)/('Council Entry'!AY$6-'Council Entry'!AY$5),10*((IF('Council Entry'!AY$4="Logarithm",LN(0.001+IF(AND(ISNUMBER('Council Entry'!AY$8),ISNUMBER('Council Entry'!AY$9)),MAX(MIN('Council Entry'!AY18,'Council Entry'!AY$9),'Council Entry'!AY$8),'Council Entry'!AY18)),IF('Council Entry'!AY$4="Exponential",EXP(IF(AND(ISNUMBER('Council Entry'!AY$8),ISNUMBER('Council Entry'!AY$9)),MAX(MIN('Council Entry'!AY18,'Council Entry'!AY$9),'Council Entry'!AY$8),'Council Entry'!AY18)),IF(AND(ISNUMBER('Council Entry'!AY$8),ISNUMBER('Council Entry'!AY$9)),MAX(MIN('Council Entry'!AY18,'Council Entry'!AY$9),'Council Entry'!AY$8),'Council Entry'!AY18))))-'Council Entry'!AY$5)/('Council Entry'!AY$6-'Council Entry'!AY$5)),1))),"No data"))</f>
        <v/>
      </c>
      <c r="AZ18" s="13">
        <f>IF('Council Entry'!AZ18="","",IFERROR(MAX(0,MIN(10,ROUND(IF('Council Entry'!AZ$7="Decrease Risk",10-10*((IF('Council Entry'!AZ$4="Logarithm",LN(0.001+IF(AND(ISNUMBER('Council Entry'!AZ$8),ISNUMBER('Council Entry'!AZ$9)),MAX(MIN('Council Entry'!AZ18,'Council Entry'!AZ$9),'Council Entry'!AZ$8),'Council Entry'!AZ18)),IF('Council Entry'!AZ$4="Exponential",EXP(IF(AND(ISNUMBER('Council Entry'!AZ$8),ISNUMBER('Council Entry'!AZ$9)),MAX(MIN('Council Entry'!AZ18,'Council Entry'!AZ$9),'Council Entry'!AZ$8),'Council Entry'!AZ18)),IF(AND(ISNUMBER('Council Entry'!AZ$8),ISNUMBER('Council Entry'!AZ$9)),MAX(MIN('Council Entry'!AZ18,'Council Entry'!AZ$9),'Council Entry'!AZ$8),'Council Entry'!AZ18))))-'Council Entry'!AZ$5)/('Council Entry'!AZ$6-'Council Entry'!AZ$5),10*((IF('Council Entry'!AZ$4="Logarithm",LN(0.001+IF(AND(ISNUMBER('Council Entry'!AZ$8),ISNUMBER('Council Entry'!AZ$9)),MAX(MIN('Council Entry'!AZ18,'Council Entry'!AZ$9),'Council Entry'!AZ$8),'Council Entry'!AZ18)),IF('Council Entry'!AZ$4="Exponential",EXP(IF(AND(ISNUMBER('Council Entry'!AZ$8),ISNUMBER('Council Entry'!AZ$9)),MAX(MIN('Council Entry'!AZ18,'Council Entry'!AZ$9),'Council Entry'!AZ$8),'Council Entry'!AZ18)),IF(AND(ISNUMBER('Council Entry'!AZ$8),ISNUMBER('Council Entry'!AZ$9)),MAX(MIN('Council Entry'!AZ18,'Council Entry'!AZ$9),'Council Entry'!AZ$8),'Council Entry'!AZ18))))-'Council Entry'!AZ$5)/('Council Entry'!AZ$6-'Council Entry'!AZ$5)),1))),"No data"))</f>
        <v/>
      </c>
      <c r="BA18" s="13">
        <f>IF('Council Entry'!BA18="","",IFERROR(MAX(0,MIN(10,ROUND(IF('Council Entry'!BA$7="Decrease Risk",10-10*((IF('Council Entry'!BA$4="Logarithm",LN(0.001+IF(AND(ISNUMBER('Council Entry'!BA$8),ISNUMBER('Council Entry'!BA$9)),MAX(MIN('Council Entry'!BA18,'Council Entry'!BA$9),'Council Entry'!BA$8),'Council Entry'!BA18)),IF('Council Entry'!BA$4="Exponential",EXP(IF(AND(ISNUMBER('Council Entry'!BA$8),ISNUMBER('Council Entry'!BA$9)),MAX(MIN('Council Entry'!BA18,'Council Entry'!BA$9),'Council Entry'!BA$8),'Council Entry'!BA18)),IF(AND(ISNUMBER('Council Entry'!BA$8),ISNUMBER('Council Entry'!BA$9)),MAX(MIN('Council Entry'!BA18,'Council Entry'!BA$9),'Council Entry'!BA$8),'Council Entry'!BA18))))-'Council Entry'!BA$5)/('Council Entry'!BA$6-'Council Entry'!BA$5),10*((IF('Council Entry'!BA$4="Logarithm",LN(0.001+IF(AND(ISNUMBER('Council Entry'!BA$8),ISNUMBER('Council Entry'!BA$9)),MAX(MIN('Council Entry'!BA18,'Council Entry'!BA$9),'Council Entry'!BA$8),'Council Entry'!BA18)),IF('Council Entry'!BA$4="Exponential",EXP(IF(AND(ISNUMBER('Council Entry'!BA$8),ISNUMBER('Council Entry'!BA$9)),MAX(MIN('Council Entry'!BA18,'Council Entry'!BA$9),'Council Entry'!BA$8),'Council Entry'!BA18)),IF(AND(ISNUMBER('Council Entry'!BA$8),ISNUMBER('Council Entry'!BA$9)),MAX(MIN('Council Entry'!BA18,'Council Entry'!BA$9),'Council Entry'!BA$8),'Council Entry'!BA18))))-'Council Entry'!BA$5)/('Council Entry'!BA$6-'Council Entry'!BA$5)),1))),"No data"))</f>
        <v/>
      </c>
      <c r="BB18" s="13">
        <f>IF('Council Entry'!BB18="","",IFERROR(MAX(0,MIN(10,ROUND(IF('Council Entry'!BB$7="Decrease Risk",10-10*((IF('Council Entry'!BB$4="Logarithm",LN(0.001+IF(AND(ISNUMBER('Council Entry'!BB$8),ISNUMBER('Council Entry'!BB$9)),MAX(MIN('Council Entry'!BB18,'Council Entry'!BB$9),'Council Entry'!BB$8),'Council Entry'!BB18)),IF('Council Entry'!BB$4="Exponential",EXP(IF(AND(ISNUMBER('Council Entry'!BB$8),ISNUMBER('Council Entry'!BB$9)),MAX(MIN('Council Entry'!BB18,'Council Entry'!BB$9),'Council Entry'!BB$8),'Council Entry'!BB18)),IF(AND(ISNUMBER('Council Entry'!BB$8),ISNUMBER('Council Entry'!BB$9)),MAX(MIN('Council Entry'!BB18,'Council Entry'!BB$9),'Council Entry'!BB$8),'Council Entry'!BB18))))-'Council Entry'!BB$5)/('Council Entry'!BB$6-'Council Entry'!BB$5),10*((IF('Council Entry'!BB$4="Logarithm",LN(0.001+IF(AND(ISNUMBER('Council Entry'!BB$8),ISNUMBER('Council Entry'!BB$9)),MAX(MIN('Council Entry'!BB18,'Council Entry'!BB$9),'Council Entry'!BB$8),'Council Entry'!BB18)),IF('Council Entry'!BB$4="Exponential",EXP(IF(AND(ISNUMBER('Council Entry'!BB$8),ISNUMBER('Council Entry'!BB$9)),MAX(MIN('Council Entry'!BB18,'Council Entry'!BB$9),'Council Entry'!BB$8),'Council Entry'!BB18)),IF(AND(ISNUMBER('Council Entry'!BB$8),ISNUMBER('Council Entry'!BB$9)),MAX(MIN('Council Entry'!BB18,'Council Entry'!BB$9),'Council Entry'!BB$8),'Council Entry'!BB18))))-'Council Entry'!BB$5)/('Council Entry'!BB$6-'Council Entry'!BB$5)),1))),"No data"))</f>
        <v/>
      </c>
      <c r="BC18" s="13">
        <f>IF('Council Entry'!BC18="","",IFERROR(MAX(0,MIN(10,ROUND(IF('Council Entry'!BC$7="Decrease Risk",10-10*((IF('Council Entry'!BC$4="Logarithm",LN(0.001+IF(AND(ISNUMBER('Council Entry'!BC$8),ISNUMBER('Council Entry'!BC$9)),MAX(MIN('Council Entry'!BC18,'Council Entry'!BC$9),'Council Entry'!BC$8),'Council Entry'!BC18)),IF('Council Entry'!BC$4="Exponential",EXP(IF(AND(ISNUMBER('Council Entry'!BC$8),ISNUMBER('Council Entry'!BC$9)),MAX(MIN('Council Entry'!BC18,'Council Entry'!BC$9),'Council Entry'!BC$8),'Council Entry'!BC18)),IF(AND(ISNUMBER('Council Entry'!BC$8),ISNUMBER('Council Entry'!BC$9)),MAX(MIN('Council Entry'!BC18,'Council Entry'!BC$9),'Council Entry'!BC$8),'Council Entry'!BC18))))-'Council Entry'!BC$5)/('Council Entry'!BC$6-'Council Entry'!BC$5),10*((IF('Council Entry'!BC$4="Logarithm",LN(0.001+IF(AND(ISNUMBER('Council Entry'!BC$8),ISNUMBER('Council Entry'!BC$9)),MAX(MIN('Council Entry'!BC18,'Council Entry'!BC$9),'Council Entry'!BC$8),'Council Entry'!BC18)),IF('Council Entry'!BC$4="Exponential",EXP(IF(AND(ISNUMBER('Council Entry'!BC$8),ISNUMBER('Council Entry'!BC$9)),MAX(MIN('Council Entry'!BC18,'Council Entry'!BC$9),'Council Entry'!BC$8),'Council Entry'!BC18)),IF(AND(ISNUMBER('Council Entry'!BC$8),ISNUMBER('Council Entry'!BC$9)),MAX(MIN('Council Entry'!BC18,'Council Entry'!BC$9),'Council Entry'!BC$8),'Council Entry'!BC18))))-'Council Entry'!BC$5)/('Council Entry'!BC$6-'Council Entry'!BC$5)),1))),"No data"))</f>
        <v/>
      </c>
      <c r="BD18" s="13">
        <f>IF('Council Entry'!BD18="","",IFERROR(MAX(0,MIN(10,ROUND(IF('Council Entry'!BD$7="Decrease Risk",10-10*((IF('Council Entry'!BD$4="Logarithm",LN(0.001+IF(AND(ISNUMBER('Council Entry'!BD$8),ISNUMBER('Council Entry'!BD$9)),MAX(MIN('Council Entry'!BD18,'Council Entry'!BD$9),'Council Entry'!BD$8),'Council Entry'!BD18)),IF('Council Entry'!BD$4="Exponential",EXP(IF(AND(ISNUMBER('Council Entry'!BD$8),ISNUMBER('Council Entry'!BD$9)),MAX(MIN('Council Entry'!BD18,'Council Entry'!BD$9),'Council Entry'!BD$8),'Council Entry'!BD18)),IF(AND(ISNUMBER('Council Entry'!BD$8),ISNUMBER('Council Entry'!BD$9)),MAX(MIN('Council Entry'!BD18,'Council Entry'!BD$9),'Council Entry'!BD$8),'Council Entry'!BD18))))-'Council Entry'!BD$5)/('Council Entry'!BD$6-'Council Entry'!BD$5),10*((IF('Council Entry'!BD$4="Logarithm",LN(0.001+IF(AND(ISNUMBER('Council Entry'!BD$8),ISNUMBER('Council Entry'!BD$9)),MAX(MIN('Council Entry'!BD18,'Council Entry'!BD$9),'Council Entry'!BD$8),'Council Entry'!BD18)),IF('Council Entry'!BD$4="Exponential",EXP(IF(AND(ISNUMBER('Council Entry'!BD$8),ISNUMBER('Council Entry'!BD$9)),MAX(MIN('Council Entry'!BD18,'Council Entry'!BD$9),'Council Entry'!BD$8),'Council Entry'!BD18)),IF(AND(ISNUMBER('Council Entry'!BD$8),ISNUMBER('Council Entry'!BD$9)),MAX(MIN('Council Entry'!BD18,'Council Entry'!BD$9),'Council Entry'!BD$8),'Council Entry'!BD18))))-'Council Entry'!BD$5)/('Council Entry'!BD$6-'Council Entry'!BD$5)),1))),"No data"))</f>
        <v/>
      </c>
    </row>
    <row r="19">
      <c r="A19" t="inlineStr">
        <is>
          <t>Dar es Salaam</t>
        </is>
      </c>
      <c r="B19" t="inlineStr">
        <is>
          <t>Kigamboni Municipal</t>
        </is>
      </c>
      <c r="C19" t="inlineStr">
        <is>
          <t>C055</t>
        </is>
      </c>
      <c r="D19" s="13">
        <f>IF('Council Entry'!D19="","",IFERROR(MAX(0,MIN(10,ROUND(IF('Council Entry'!D$7="Decrease Risk",10-10*((IF('Council Entry'!D$4="Logarithm",LN(0.001+IF(AND(ISNUMBER('Council Entry'!D$8),ISNUMBER('Council Entry'!D$9)),MAX(MIN('Council Entry'!D19,'Council Entry'!D$9),'Council Entry'!D$8),'Council Entry'!D19)),IF('Council Entry'!D$4="Exponential",EXP(IF(AND(ISNUMBER('Council Entry'!D$8),ISNUMBER('Council Entry'!D$9)),MAX(MIN('Council Entry'!D19,'Council Entry'!D$9),'Council Entry'!D$8),'Council Entry'!D19)),IF(AND(ISNUMBER('Council Entry'!D$8),ISNUMBER('Council Entry'!D$9)),MAX(MIN('Council Entry'!D19,'Council Entry'!D$9),'Council Entry'!D$8),'Council Entry'!D19))))-'Council Entry'!D$5)/('Council Entry'!D$6-'Council Entry'!D$5),10*((IF('Council Entry'!D$4="Logarithm",LN(0.001+IF(AND(ISNUMBER('Council Entry'!D$8),ISNUMBER('Council Entry'!D$9)),MAX(MIN('Council Entry'!D19,'Council Entry'!D$9),'Council Entry'!D$8),'Council Entry'!D19)),IF('Council Entry'!D$4="Exponential",EXP(IF(AND(ISNUMBER('Council Entry'!D$8),ISNUMBER('Council Entry'!D$9)),MAX(MIN('Council Entry'!D19,'Council Entry'!D$9),'Council Entry'!D$8),'Council Entry'!D19)),IF(AND(ISNUMBER('Council Entry'!D$8),ISNUMBER('Council Entry'!D$9)),MAX(MIN('Council Entry'!D19,'Council Entry'!D$9),'Council Entry'!D$8),'Council Entry'!D19))))-'Council Entry'!D$5)/('Council Entry'!D$6-'Council Entry'!D$5)),1))),"No data"))</f>
        <v/>
      </c>
      <c r="E19" s="13">
        <f>IF('Council Entry'!E19="","",IFERROR(MAX(0,MIN(10,ROUND(IF('Council Entry'!E$7="Decrease Risk",10-10*((IF('Council Entry'!E$4="Logarithm",LN(0.001+IF(AND(ISNUMBER('Council Entry'!E$8),ISNUMBER('Council Entry'!E$9)),MAX(MIN('Council Entry'!E19,'Council Entry'!E$9),'Council Entry'!E$8),'Council Entry'!E19)),IF('Council Entry'!E$4="Exponential",EXP(IF(AND(ISNUMBER('Council Entry'!E$8),ISNUMBER('Council Entry'!E$9)),MAX(MIN('Council Entry'!E19,'Council Entry'!E$9),'Council Entry'!E$8),'Council Entry'!E19)),IF(AND(ISNUMBER('Council Entry'!E$8),ISNUMBER('Council Entry'!E$9)),MAX(MIN('Council Entry'!E19,'Council Entry'!E$9),'Council Entry'!E$8),'Council Entry'!E19))))-'Council Entry'!E$5)/('Council Entry'!E$6-'Council Entry'!E$5),10*((IF('Council Entry'!E$4="Logarithm",LN(0.001+IF(AND(ISNUMBER('Council Entry'!E$8),ISNUMBER('Council Entry'!E$9)),MAX(MIN('Council Entry'!E19,'Council Entry'!E$9),'Council Entry'!E$8),'Council Entry'!E19)),IF('Council Entry'!E$4="Exponential",EXP(IF(AND(ISNUMBER('Council Entry'!E$8),ISNUMBER('Council Entry'!E$9)),MAX(MIN('Council Entry'!E19,'Council Entry'!E$9),'Council Entry'!E$8),'Council Entry'!E19)),IF(AND(ISNUMBER('Council Entry'!E$8),ISNUMBER('Council Entry'!E$9)),MAX(MIN('Council Entry'!E19,'Council Entry'!E$9),'Council Entry'!E$8),'Council Entry'!E19))))-'Council Entry'!E$5)/('Council Entry'!E$6-'Council Entry'!E$5)),1))),"No data"))</f>
        <v/>
      </c>
      <c r="F19" s="13">
        <f>IF('Council Entry'!F19="","",IFERROR(MAX(0,MIN(10,ROUND(IF('Council Entry'!F$7="Decrease Risk",10-10*((IF('Council Entry'!F$4="Logarithm",LN(0.001+IF(AND(ISNUMBER('Council Entry'!F$8),ISNUMBER('Council Entry'!F$9)),MAX(MIN('Council Entry'!F19,'Council Entry'!F$9),'Council Entry'!F$8),'Council Entry'!F19)),IF('Council Entry'!F$4="Exponential",EXP(IF(AND(ISNUMBER('Council Entry'!F$8),ISNUMBER('Council Entry'!F$9)),MAX(MIN('Council Entry'!F19,'Council Entry'!F$9),'Council Entry'!F$8),'Council Entry'!F19)),IF(AND(ISNUMBER('Council Entry'!F$8),ISNUMBER('Council Entry'!F$9)),MAX(MIN('Council Entry'!F19,'Council Entry'!F$9),'Council Entry'!F$8),'Council Entry'!F19))))-'Council Entry'!F$5)/('Council Entry'!F$6-'Council Entry'!F$5),10*((IF('Council Entry'!F$4="Logarithm",LN(0.001+IF(AND(ISNUMBER('Council Entry'!F$8),ISNUMBER('Council Entry'!F$9)),MAX(MIN('Council Entry'!F19,'Council Entry'!F$9),'Council Entry'!F$8),'Council Entry'!F19)),IF('Council Entry'!F$4="Exponential",EXP(IF(AND(ISNUMBER('Council Entry'!F$8),ISNUMBER('Council Entry'!F$9)),MAX(MIN('Council Entry'!F19,'Council Entry'!F$9),'Council Entry'!F$8),'Council Entry'!F19)),IF(AND(ISNUMBER('Council Entry'!F$8),ISNUMBER('Council Entry'!F$9)),MAX(MIN('Council Entry'!F19,'Council Entry'!F$9),'Council Entry'!F$8),'Council Entry'!F19))))-'Council Entry'!F$5)/('Council Entry'!F$6-'Council Entry'!F$5)),1))),"No data"))</f>
        <v/>
      </c>
      <c r="G19" s="13">
        <f>IF('Council Entry'!G19="","",IFERROR(MAX(0,MIN(10,ROUND(IF('Council Entry'!G$7="Decrease Risk",10-10*((IF('Council Entry'!G$4="Logarithm",LN(0.001+IF(AND(ISNUMBER('Council Entry'!G$8),ISNUMBER('Council Entry'!G$9)),MAX(MIN('Council Entry'!G19,'Council Entry'!G$9),'Council Entry'!G$8),'Council Entry'!G19)),IF('Council Entry'!G$4="Exponential",EXP(IF(AND(ISNUMBER('Council Entry'!G$8),ISNUMBER('Council Entry'!G$9)),MAX(MIN('Council Entry'!G19,'Council Entry'!G$9),'Council Entry'!G$8),'Council Entry'!G19)),IF(AND(ISNUMBER('Council Entry'!G$8),ISNUMBER('Council Entry'!G$9)),MAX(MIN('Council Entry'!G19,'Council Entry'!G$9),'Council Entry'!G$8),'Council Entry'!G19))))-'Council Entry'!G$5)/('Council Entry'!G$6-'Council Entry'!G$5),10*((IF('Council Entry'!G$4="Logarithm",LN(0.001+IF(AND(ISNUMBER('Council Entry'!G$8),ISNUMBER('Council Entry'!G$9)),MAX(MIN('Council Entry'!G19,'Council Entry'!G$9),'Council Entry'!G$8),'Council Entry'!G19)),IF('Council Entry'!G$4="Exponential",EXP(IF(AND(ISNUMBER('Council Entry'!G$8),ISNUMBER('Council Entry'!G$9)),MAX(MIN('Council Entry'!G19,'Council Entry'!G$9),'Council Entry'!G$8),'Council Entry'!G19)),IF(AND(ISNUMBER('Council Entry'!G$8),ISNUMBER('Council Entry'!G$9)),MAX(MIN('Council Entry'!G19,'Council Entry'!G$9),'Council Entry'!G$8),'Council Entry'!G19))))-'Council Entry'!G$5)/('Council Entry'!G$6-'Council Entry'!G$5)),1))),"No data"))</f>
        <v/>
      </c>
      <c r="H19" s="13">
        <f>IF('Council Entry'!H19="","",IFERROR(MAX(0,MIN(10,ROUND(IF('Council Entry'!H$7="Decrease Risk",10-10*((IF('Council Entry'!H$4="Logarithm",LN(0.001+IF(AND(ISNUMBER('Council Entry'!H$8),ISNUMBER('Council Entry'!H$9)),MAX(MIN('Council Entry'!H19,'Council Entry'!H$9),'Council Entry'!H$8),'Council Entry'!H19)),IF('Council Entry'!H$4="Exponential",EXP(IF(AND(ISNUMBER('Council Entry'!H$8),ISNUMBER('Council Entry'!H$9)),MAX(MIN('Council Entry'!H19,'Council Entry'!H$9),'Council Entry'!H$8),'Council Entry'!H19)),IF(AND(ISNUMBER('Council Entry'!H$8),ISNUMBER('Council Entry'!H$9)),MAX(MIN('Council Entry'!H19,'Council Entry'!H$9),'Council Entry'!H$8),'Council Entry'!H19))))-'Council Entry'!H$5)/('Council Entry'!H$6-'Council Entry'!H$5),10*((IF('Council Entry'!H$4="Logarithm",LN(0.001+IF(AND(ISNUMBER('Council Entry'!H$8),ISNUMBER('Council Entry'!H$9)),MAX(MIN('Council Entry'!H19,'Council Entry'!H$9),'Council Entry'!H$8),'Council Entry'!H19)),IF('Council Entry'!H$4="Exponential",EXP(IF(AND(ISNUMBER('Council Entry'!H$8),ISNUMBER('Council Entry'!H$9)),MAX(MIN('Council Entry'!H19,'Council Entry'!H$9),'Council Entry'!H$8),'Council Entry'!H19)),IF(AND(ISNUMBER('Council Entry'!H$8),ISNUMBER('Council Entry'!H$9)),MAX(MIN('Council Entry'!H19,'Council Entry'!H$9),'Council Entry'!H$8),'Council Entry'!H19))))-'Council Entry'!H$5)/('Council Entry'!H$6-'Council Entry'!H$5)),1))),"No data"))</f>
        <v/>
      </c>
      <c r="I19" s="13">
        <f>IF('Council Entry'!I19="","",IFERROR(MAX(0,MIN(10,ROUND(IF('Council Entry'!I$7="Decrease Risk",10-10*((IF('Council Entry'!I$4="Logarithm",LN(0.001+IF(AND(ISNUMBER('Council Entry'!I$8),ISNUMBER('Council Entry'!I$9)),MAX(MIN('Council Entry'!I19,'Council Entry'!I$9),'Council Entry'!I$8),'Council Entry'!I19)),IF('Council Entry'!I$4="Exponential",EXP(IF(AND(ISNUMBER('Council Entry'!I$8),ISNUMBER('Council Entry'!I$9)),MAX(MIN('Council Entry'!I19,'Council Entry'!I$9),'Council Entry'!I$8),'Council Entry'!I19)),IF(AND(ISNUMBER('Council Entry'!I$8),ISNUMBER('Council Entry'!I$9)),MAX(MIN('Council Entry'!I19,'Council Entry'!I$9),'Council Entry'!I$8),'Council Entry'!I19))))-'Council Entry'!I$5)/('Council Entry'!I$6-'Council Entry'!I$5),10*((IF('Council Entry'!I$4="Logarithm",LN(0.001+IF(AND(ISNUMBER('Council Entry'!I$8),ISNUMBER('Council Entry'!I$9)),MAX(MIN('Council Entry'!I19,'Council Entry'!I$9),'Council Entry'!I$8),'Council Entry'!I19)),IF('Council Entry'!I$4="Exponential",EXP(IF(AND(ISNUMBER('Council Entry'!I$8),ISNUMBER('Council Entry'!I$9)),MAX(MIN('Council Entry'!I19,'Council Entry'!I$9),'Council Entry'!I$8),'Council Entry'!I19)),IF(AND(ISNUMBER('Council Entry'!I$8),ISNUMBER('Council Entry'!I$9)),MAX(MIN('Council Entry'!I19,'Council Entry'!I$9),'Council Entry'!I$8),'Council Entry'!I19))))-'Council Entry'!I$5)/('Council Entry'!I$6-'Council Entry'!I$5)),1))),"No data"))</f>
        <v/>
      </c>
      <c r="J19" s="13">
        <f>IF('Council Entry'!J19="","",IFERROR(MAX(0,MIN(10,ROUND(IF('Council Entry'!J$7="Decrease Risk",10-10*((IF('Council Entry'!J$4="Logarithm",LN(0.001+IF(AND(ISNUMBER('Council Entry'!J$8),ISNUMBER('Council Entry'!J$9)),MAX(MIN('Council Entry'!J19,'Council Entry'!J$9),'Council Entry'!J$8),'Council Entry'!J19)),IF('Council Entry'!J$4="Exponential",EXP(IF(AND(ISNUMBER('Council Entry'!J$8),ISNUMBER('Council Entry'!J$9)),MAX(MIN('Council Entry'!J19,'Council Entry'!J$9),'Council Entry'!J$8),'Council Entry'!J19)),IF(AND(ISNUMBER('Council Entry'!J$8),ISNUMBER('Council Entry'!J$9)),MAX(MIN('Council Entry'!J19,'Council Entry'!J$9),'Council Entry'!J$8),'Council Entry'!J19))))-'Council Entry'!J$5)/('Council Entry'!J$6-'Council Entry'!J$5),10*((IF('Council Entry'!J$4="Logarithm",LN(0.001+IF(AND(ISNUMBER('Council Entry'!J$8),ISNUMBER('Council Entry'!J$9)),MAX(MIN('Council Entry'!J19,'Council Entry'!J$9),'Council Entry'!J$8),'Council Entry'!J19)),IF('Council Entry'!J$4="Exponential",EXP(IF(AND(ISNUMBER('Council Entry'!J$8),ISNUMBER('Council Entry'!J$9)),MAX(MIN('Council Entry'!J19,'Council Entry'!J$9),'Council Entry'!J$8),'Council Entry'!J19)),IF(AND(ISNUMBER('Council Entry'!J$8),ISNUMBER('Council Entry'!J$9)),MAX(MIN('Council Entry'!J19,'Council Entry'!J$9),'Council Entry'!J$8),'Council Entry'!J19))))-'Council Entry'!J$5)/('Council Entry'!J$6-'Council Entry'!J$5)),1))),"No data"))</f>
        <v/>
      </c>
      <c r="K19" s="13">
        <f>IF('Council Entry'!K19="","",IFERROR(MAX(0,MIN(10,ROUND(IF('Council Entry'!K$7="Decrease Risk",10-10*((IF('Council Entry'!K$4="Logarithm",LN(0.001+IF(AND(ISNUMBER('Council Entry'!K$8),ISNUMBER('Council Entry'!K$9)),MAX(MIN('Council Entry'!K19,'Council Entry'!K$9),'Council Entry'!K$8),'Council Entry'!K19)),IF('Council Entry'!K$4="Exponential",EXP(IF(AND(ISNUMBER('Council Entry'!K$8),ISNUMBER('Council Entry'!K$9)),MAX(MIN('Council Entry'!K19,'Council Entry'!K$9),'Council Entry'!K$8),'Council Entry'!K19)),IF(AND(ISNUMBER('Council Entry'!K$8),ISNUMBER('Council Entry'!K$9)),MAX(MIN('Council Entry'!K19,'Council Entry'!K$9),'Council Entry'!K$8),'Council Entry'!K19))))-'Council Entry'!K$5)/('Council Entry'!K$6-'Council Entry'!K$5),10*((IF('Council Entry'!K$4="Logarithm",LN(0.001+IF(AND(ISNUMBER('Council Entry'!K$8),ISNUMBER('Council Entry'!K$9)),MAX(MIN('Council Entry'!K19,'Council Entry'!K$9),'Council Entry'!K$8),'Council Entry'!K19)),IF('Council Entry'!K$4="Exponential",EXP(IF(AND(ISNUMBER('Council Entry'!K$8),ISNUMBER('Council Entry'!K$9)),MAX(MIN('Council Entry'!K19,'Council Entry'!K$9),'Council Entry'!K$8),'Council Entry'!K19)),IF(AND(ISNUMBER('Council Entry'!K$8),ISNUMBER('Council Entry'!K$9)),MAX(MIN('Council Entry'!K19,'Council Entry'!K$9),'Council Entry'!K$8),'Council Entry'!K19))))-'Council Entry'!K$5)/('Council Entry'!K$6-'Council Entry'!K$5)),1))),"No data"))</f>
        <v/>
      </c>
      <c r="L19" s="13">
        <f>IF('Council Entry'!L19="","",IFERROR(MAX(0,MIN(10,ROUND(IF('Council Entry'!L$7="Decrease Risk",10-10*((IF('Council Entry'!L$4="Logarithm",LN(0.001+IF(AND(ISNUMBER('Council Entry'!L$8),ISNUMBER('Council Entry'!L$9)),MAX(MIN('Council Entry'!L19,'Council Entry'!L$9),'Council Entry'!L$8),'Council Entry'!L19)),IF('Council Entry'!L$4="Exponential",EXP(IF(AND(ISNUMBER('Council Entry'!L$8),ISNUMBER('Council Entry'!L$9)),MAX(MIN('Council Entry'!L19,'Council Entry'!L$9),'Council Entry'!L$8),'Council Entry'!L19)),IF(AND(ISNUMBER('Council Entry'!L$8),ISNUMBER('Council Entry'!L$9)),MAX(MIN('Council Entry'!L19,'Council Entry'!L$9),'Council Entry'!L$8),'Council Entry'!L19))))-'Council Entry'!L$5)/('Council Entry'!L$6-'Council Entry'!L$5),10*((IF('Council Entry'!L$4="Logarithm",LN(0.001+IF(AND(ISNUMBER('Council Entry'!L$8),ISNUMBER('Council Entry'!L$9)),MAX(MIN('Council Entry'!L19,'Council Entry'!L$9),'Council Entry'!L$8),'Council Entry'!L19)),IF('Council Entry'!L$4="Exponential",EXP(IF(AND(ISNUMBER('Council Entry'!L$8),ISNUMBER('Council Entry'!L$9)),MAX(MIN('Council Entry'!L19,'Council Entry'!L$9),'Council Entry'!L$8),'Council Entry'!L19)),IF(AND(ISNUMBER('Council Entry'!L$8),ISNUMBER('Council Entry'!L$9)),MAX(MIN('Council Entry'!L19,'Council Entry'!L$9),'Council Entry'!L$8),'Council Entry'!L19))))-'Council Entry'!L$5)/('Council Entry'!L$6-'Council Entry'!L$5)),1))),"No data"))</f>
        <v/>
      </c>
      <c r="M19" s="13">
        <f>IF('Council Entry'!M19="","",IFERROR(MAX(0,MIN(10,ROUND(IF('Council Entry'!M$7="Decrease Risk",10-10*((IF('Council Entry'!M$4="Logarithm",LN(0.001+IF(AND(ISNUMBER('Council Entry'!M$8),ISNUMBER('Council Entry'!M$9)),MAX(MIN('Council Entry'!M19,'Council Entry'!M$9),'Council Entry'!M$8),'Council Entry'!M19)),IF('Council Entry'!M$4="Exponential",EXP(IF(AND(ISNUMBER('Council Entry'!M$8),ISNUMBER('Council Entry'!M$9)),MAX(MIN('Council Entry'!M19,'Council Entry'!M$9),'Council Entry'!M$8),'Council Entry'!M19)),IF(AND(ISNUMBER('Council Entry'!M$8),ISNUMBER('Council Entry'!M$9)),MAX(MIN('Council Entry'!M19,'Council Entry'!M$9),'Council Entry'!M$8),'Council Entry'!M19))))-'Council Entry'!M$5)/('Council Entry'!M$6-'Council Entry'!M$5),10*((IF('Council Entry'!M$4="Logarithm",LN(0.001+IF(AND(ISNUMBER('Council Entry'!M$8),ISNUMBER('Council Entry'!M$9)),MAX(MIN('Council Entry'!M19,'Council Entry'!M$9),'Council Entry'!M$8),'Council Entry'!M19)),IF('Council Entry'!M$4="Exponential",EXP(IF(AND(ISNUMBER('Council Entry'!M$8),ISNUMBER('Council Entry'!M$9)),MAX(MIN('Council Entry'!M19,'Council Entry'!M$9),'Council Entry'!M$8),'Council Entry'!M19)),IF(AND(ISNUMBER('Council Entry'!M$8),ISNUMBER('Council Entry'!M$9)),MAX(MIN('Council Entry'!M19,'Council Entry'!M$9),'Council Entry'!M$8),'Council Entry'!M19))))-'Council Entry'!M$5)/('Council Entry'!M$6-'Council Entry'!M$5)),1))),"No data"))</f>
        <v/>
      </c>
      <c r="N19" s="13">
        <f>IF('Council Entry'!N19="","",IFERROR(MAX(0,MIN(10,ROUND(IF('Council Entry'!N$7="Decrease Risk",10-10*((IF('Council Entry'!N$4="Logarithm",LN(0.001+IF(AND(ISNUMBER('Council Entry'!N$8),ISNUMBER('Council Entry'!N$9)),MAX(MIN('Council Entry'!N19,'Council Entry'!N$9),'Council Entry'!N$8),'Council Entry'!N19)),IF('Council Entry'!N$4="Exponential",EXP(IF(AND(ISNUMBER('Council Entry'!N$8),ISNUMBER('Council Entry'!N$9)),MAX(MIN('Council Entry'!N19,'Council Entry'!N$9),'Council Entry'!N$8),'Council Entry'!N19)),IF(AND(ISNUMBER('Council Entry'!N$8),ISNUMBER('Council Entry'!N$9)),MAX(MIN('Council Entry'!N19,'Council Entry'!N$9),'Council Entry'!N$8),'Council Entry'!N19))))-'Council Entry'!N$5)/('Council Entry'!N$6-'Council Entry'!N$5),10*((IF('Council Entry'!N$4="Logarithm",LN(0.001+IF(AND(ISNUMBER('Council Entry'!N$8),ISNUMBER('Council Entry'!N$9)),MAX(MIN('Council Entry'!N19,'Council Entry'!N$9),'Council Entry'!N$8),'Council Entry'!N19)),IF('Council Entry'!N$4="Exponential",EXP(IF(AND(ISNUMBER('Council Entry'!N$8),ISNUMBER('Council Entry'!N$9)),MAX(MIN('Council Entry'!N19,'Council Entry'!N$9),'Council Entry'!N$8),'Council Entry'!N19)),IF(AND(ISNUMBER('Council Entry'!N$8),ISNUMBER('Council Entry'!N$9)),MAX(MIN('Council Entry'!N19,'Council Entry'!N$9),'Council Entry'!N$8),'Council Entry'!N19))))-'Council Entry'!N$5)/('Council Entry'!N$6-'Council Entry'!N$5)),1))),"No data"))</f>
        <v/>
      </c>
      <c r="O19" s="13">
        <f>IF('Council Entry'!O19="","",IFERROR(MAX(0,MIN(10,ROUND(IF('Council Entry'!O$7="Decrease Risk",10-10*((IF('Council Entry'!O$4="Logarithm",LN(0.001+IF(AND(ISNUMBER('Council Entry'!O$8),ISNUMBER('Council Entry'!O$9)),MAX(MIN('Council Entry'!O19,'Council Entry'!O$9),'Council Entry'!O$8),'Council Entry'!O19)),IF('Council Entry'!O$4="Exponential",EXP(IF(AND(ISNUMBER('Council Entry'!O$8),ISNUMBER('Council Entry'!O$9)),MAX(MIN('Council Entry'!O19,'Council Entry'!O$9),'Council Entry'!O$8),'Council Entry'!O19)),IF(AND(ISNUMBER('Council Entry'!O$8),ISNUMBER('Council Entry'!O$9)),MAX(MIN('Council Entry'!O19,'Council Entry'!O$9),'Council Entry'!O$8),'Council Entry'!O19))))-'Council Entry'!O$5)/('Council Entry'!O$6-'Council Entry'!O$5),10*((IF('Council Entry'!O$4="Logarithm",LN(0.001+IF(AND(ISNUMBER('Council Entry'!O$8),ISNUMBER('Council Entry'!O$9)),MAX(MIN('Council Entry'!O19,'Council Entry'!O$9),'Council Entry'!O$8),'Council Entry'!O19)),IF('Council Entry'!O$4="Exponential",EXP(IF(AND(ISNUMBER('Council Entry'!O$8),ISNUMBER('Council Entry'!O$9)),MAX(MIN('Council Entry'!O19,'Council Entry'!O$9),'Council Entry'!O$8),'Council Entry'!O19)),IF(AND(ISNUMBER('Council Entry'!O$8),ISNUMBER('Council Entry'!O$9)),MAX(MIN('Council Entry'!O19,'Council Entry'!O$9),'Council Entry'!O$8),'Council Entry'!O19))))-'Council Entry'!O$5)/('Council Entry'!O$6-'Council Entry'!O$5)),1))),"No data"))</f>
        <v/>
      </c>
      <c r="P19" s="13">
        <f>IF('Council Entry'!P19="","",IFERROR(MAX(0,MIN(10,ROUND(IF('Council Entry'!P$7="Decrease Risk",10-10*((IF('Council Entry'!P$4="Logarithm",LN(0.001+IF(AND(ISNUMBER('Council Entry'!P$8),ISNUMBER('Council Entry'!P$9)),MAX(MIN('Council Entry'!P19,'Council Entry'!P$9),'Council Entry'!P$8),'Council Entry'!P19)),IF('Council Entry'!P$4="Exponential",EXP(IF(AND(ISNUMBER('Council Entry'!P$8),ISNUMBER('Council Entry'!P$9)),MAX(MIN('Council Entry'!P19,'Council Entry'!P$9),'Council Entry'!P$8),'Council Entry'!P19)),IF(AND(ISNUMBER('Council Entry'!P$8),ISNUMBER('Council Entry'!P$9)),MAX(MIN('Council Entry'!P19,'Council Entry'!P$9),'Council Entry'!P$8),'Council Entry'!P19))))-'Council Entry'!P$5)/('Council Entry'!P$6-'Council Entry'!P$5),10*((IF('Council Entry'!P$4="Logarithm",LN(0.001+IF(AND(ISNUMBER('Council Entry'!P$8),ISNUMBER('Council Entry'!P$9)),MAX(MIN('Council Entry'!P19,'Council Entry'!P$9),'Council Entry'!P$8),'Council Entry'!P19)),IF('Council Entry'!P$4="Exponential",EXP(IF(AND(ISNUMBER('Council Entry'!P$8),ISNUMBER('Council Entry'!P$9)),MAX(MIN('Council Entry'!P19,'Council Entry'!P$9),'Council Entry'!P$8),'Council Entry'!P19)),IF(AND(ISNUMBER('Council Entry'!P$8),ISNUMBER('Council Entry'!P$9)),MAX(MIN('Council Entry'!P19,'Council Entry'!P$9),'Council Entry'!P$8),'Council Entry'!P19))))-'Council Entry'!P$5)/('Council Entry'!P$6-'Council Entry'!P$5)),1))),"No data"))</f>
        <v/>
      </c>
      <c r="Q19" s="13">
        <f>IF('Council Entry'!Q19="","",IFERROR(MAX(0,MIN(10,ROUND(IF('Council Entry'!Q$7="Decrease Risk",10-10*((IF('Council Entry'!Q$4="Logarithm",LN(0.001+IF(AND(ISNUMBER('Council Entry'!Q$8),ISNUMBER('Council Entry'!Q$9)),MAX(MIN('Council Entry'!Q19,'Council Entry'!Q$9),'Council Entry'!Q$8),'Council Entry'!Q19)),IF('Council Entry'!Q$4="Exponential",EXP(IF(AND(ISNUMBER('Council Entry'!Q$8),ISNUMBER('Council Entry'!Q$9)),MAX(MIN('Council Entry'!Q19,'Council Entry'!Q$9),'Council Entry'!Q$8),'Council Entry'!Q19)),IF(AND(ISNUMBER('Council Entry'!Q$8),ISNUMBER('Council Entry'!Q$9)),MAX(MIN('Council Entry'!Q19,'Council Entry'!Q$9),'Council Entry'!Q$8),'Council Entry'!Q19))))-'Council Entry'!Q$5)/('Council Entry'!Q$6-'Council Entry'!Q$5),10*((IF('Council Entry'!Q$4="Logarithm",LN(0.001+IF(AND(ISNUMBER('Council Entry'!Q$8),ISNUMBER('Council Entry'!Q$9)),MAX(MIN('Council Entry'!Q19,'Council Entry'!Q$9),'Council Entry'!Q$8),'Council Entry'!Q19)),IF('Council Entry'!Q$4="Exponential",EXP(IF(AND(ISNUMBER('Council Entry'!Q$8),ISNUMBER('Council Entry'!Q$9)),MAX(MIN('Council Entry'!Q19,'Council Entry'!Q$9),'Council Entry'!Q$8),'Council Entry'!Q19)),IF(AND(ISNUMBER('Council Entry'!Q$8),ISNUMBER('Council Entry'!Q$9)),MAX(MIN('Council Entry'!Q19,'Council Entry'!Q$9),'Council Entry'!Q$8),'Council Entry'!Q19))))-'Council Entry'!Q$5)/('Council Entry'!Q$6-'Council Entry'!Q$5)),1))),"No data"))</f>
        <v/>
      </c>
      <c r="R19" s="13">
        <f>IF('Council Entry'!R19="","",IFERROR(MAX(0,MIN(10,ROUND(IF('Council Entry'!R$7="Decrease Risk",10-10*((IF('Council Entry'!R$4="Logarithm",LN(0.001+IF(AND(ISNUMBER('Council Entry'!R$8),ISNUMBER('Council Entry'!R$9)),MAX(MIN('Council Entry'!R19,'Council Entry'!R$9),'Council Entry'!R$8),'Council Entry'!R19)),IF('Council Entry'!R$4="Exponential",EXP(IF(AND(ISNUMBER('Council Entry'!R$8),ISNUMBER('Council Entry'!R$9)),MAX(MIN('Council Entry'!R19,'Council Entry'!R$9),'Council Entry'!R$8),'Council Entry'!R19)),IF(AND(ISNUMBER('Council Entry'!R$8),ISNUMBER('Council Entry'!R$9)),MAX(MIN('Council Entry'!R19,'Council Entry'!R$9),'Council Entry'!R$8),'Council Entry'!R19))))-'Council Entry'!R$5)/('Council Entry'!R$6-'Council Entry'!R$5),10*((IF('Council Entry'!R$4="Logarithm",LN(0.001+IF(AND(ISNUMBER('Council Entry'!R$8),ISNUMBER('Council Entry'!R$9)),MAX(MIN('Council Entry'!R19,'Council Entry'!R$9),'Council Entry'!R$8),'Council Entry'!R19)),IF('Council Entry'!R$4="Exponential",EXP(IF(AND(ISNUMBER('Council Entry'!R$8),ISNUMBER('Council Entry'!R$9)),MAX(MIN('Council Entry'!R19,'Council Entry'!R$9),'Council Entry'!R$8),'Council Entry'!R19)),IF(AND(ISNUMBER('Council Entry'!R$8),ISNUMBER('Council Entry'!R$9)),MAX(MIN('Council Entry'!R19,'Council Entry'!R$9),'Council Entry'!R$8),'Council Entry'!R19))))-'Council Entry'!R$5)/('Council Entry'!R$6-'Council Entry'!R$5)),1))),"No data"))</f>
        <v/>
      </c>
      <c r="S19" s="13">
        <f>IF('Council Entry'!S19="","",IFERROR(MAX(0,MIN(10,ROUND(IF('Council Entry'!S$7="Decrease Risk",10-10*((IF('Council Entry'!S$4="Logarithm",LN(0.001+IF(AND(ISNUMBER('Council Entry'!S$8),ISNUMBER('Council Entry'!S$9)),MAX(MIN('Council Entry'!S19,'Council Entry'!S$9),'Council Entry'!S$8),'Council Entry'!S19)),IF('Council Entry'!S$4="Exponential",EXP(IF(AND(ISNUMBER('Council Entry'!S$8),ISNUMBER('Council Entry'!S$9)),MAX(MIN('Council Entry'!S19,'Council Entry'!S$9),'Council Entry'!S$8),'Council Entry'!S19)),IF(AND(ISNUMBER('Council Entry'!S$8),ISNUMBER('Council Entry'!S$9)),MAX(MIN('Council Entry'!S19,'Council Entry'!S$9),'Council Entry'!S$8),'Council Entry'!S19))))-'Council Entry'!S$5)/('Council Entry'!S$6-'Council Entry'!S$5),10*((IF('Council Entry'!S$4="Logarithm",LN(0.001+IF(AND(ISNUMBER('Council Entry'!S$8),ISNUMBER('Council Entry'!S$9)),MAX(MIN('Council Entry'!S19,'Council Entry'!S$9),'Council Entry'!S$8),'Council Entry'!S19)),IF('Council Entry'!S$4="Exponential",EXP(IF(AND(ISNUMBER('Council Entry'!S$8),ISNUMBER('Council Entry'!S$9)),MAX(MIN('Council Entry'!S19,'Council Entry'!S$9),'Council Entry'!S$8),'Council Entry'!S19)),IF(AND(ISNUMBER('Council Entry'!S$8),ISNUMBER('Council Entry'!S$9)),MAX(MIN('Council Entry'!S19,'Council Entry'!S$9),'Council Entry'!S$8),'Council Entry'!S19))))-'Council Entry'!S$5)/('Council Entry'!S$6-'Council Entry'!S$5)),1))),"No data"))</f>
        <v/>
      </c>
      <c r="T19" s="13">
        <f>IF('Council Entry'!T19="","",IFERROR(MAX(0,MIN(10,ROUND(IF('Council Entry'!T$7="Decrease Risk",10-10*((IF('Council Entry'!T$4="Logarithm",LN(0.001+IF(AND(ISNUMBER('Council Entry'!T$8),ISNUMBER('Council Entry'!T$9)),MAX(MIN('Council Entry'!T19,'Council Entry'!T$9),'Council Entry'!T$8),'Council Entry'!T19)),IF('Council Entry'!T$4="Exponential",EXP(IF(AND(ISNUMBER('Council Entry'!T$8),ISNUMBER('Council Entry'!T$9)),MAX(MIN('Council Entry'!T19,'Council Entry'!T$9),'Council Entry'!T$8),'Council Entry'!T19)),IF(AND(ISNUMBER('Council Entry'!T$8),ISNUMBER('Council Entry'!T$9)),MAX(MIN('Council Entry'!T19,'Council Entry'!T$9),'Council Entry'!T$8),'Council Entry'!T19))))-'Council Entry'!T$5)/('Council Entry'!T$6-'Council Entry'!T$5),10*((IF('Council Entry'!T$4="Logarithm",LN(0.001+IF(AND(ISNUMBER('Council Entry'!T$8),ISNUMBER('Council Entry'!T$9)),MAX(MIN('Council Entry'!T19,'Council Entry'!T$9),'Council Entry'!T$8),'Council Entry'!T19)),IF('Council Entry'!T$4="Exponential",EXP(IF(AND(ISNUMBER('Council Entry'!T$8),ISNUMBER('Council Entry'!T$9)),MAX(MIN('Council Entry'!T19,'Council Entry'!T$9),'Council Entry'!T$8),'Council Entry'!T19)),IF(AND(ISNUMBER('Council Entry'!T$8),ISNUMBER('Council Entry'!T$9)),MAX(MIN('Council Entry'!T19,'Council Entry'!T$9),'Council Entry'!T$8),'Council Entry'!T19))))-'Council Entry'!T$5)/('Council Entry'!T$6-'Council Entry'!T$5)),1))),"No data"))</f>
        <v/>
      </c>
      <c r="U19" s="13">
        <f>IF('Council Entry'!U19="","",IFERROR(MAX(0,MIN(10,ROUND(IF('Council Entry'!U$7="Decrease Risk",10-10*((IF('Council Entry'!U$4="Logarithm",LN(0.001+IF(AND(ISNUMBER('Council Entry'!U$8),ISNUMBER('Council Entry'!U$9)),MAX(MIN('Council Entry'!U19,'Council Entry'!U$9),'Council Entry'!U$8),'Council Entry'!U19)),IF('Council Entry'!U$4="Exponential",EXP(IF(AND(ISNUMBER('Council Entry'!U$8),ISNUMBER('Council Entry'!U$9)),MAX(MIN('Council Entry'!U19,'Council Entry'!U$9),'Council Entry'!U$8),'Council Entry'!U19)),IF(AND(ISNUMBER('Council Entry'!U$8),ISNUMBER('Council Entry'!U$9)),MAX(MIN('Council Entry'!U19,'Council Entry'!U$9),'Council Entry'!U$8),'Council Entry'!U19))))-'Council Entry'!U$5)/('Council Entry'!U$6-'Council Entry'!U$5),10*((IF('Council Entry'!U$4="Logarithm",LN(0.001+IF(AND(ISNUMBER('Council Entry'!U$8),ISNUMBER('Council Entry'!U$9)),MAX(MIN('Council Entry'!U19,'Council Entry'!U$9),'Council Entry'!U$8),'Council Entry'!U19)),IF('Council Entry'!U$4="Exponential",EXP(IF(AND(ISNUMBER('Council Entry'!U$8),ISNUMBER('Council Entry'!U$9)),MAX(MIN('Council Entry'!U19,'Council Entry'!U$9),'Council Entry'!U$8),'Council Entry'!U19)),IF(AND(ISNUMBER('Council Entry'!U$8),ISNUMBER('Council Entry'!U$9)),MAX(MIN('Council Entry'!U19,'Council Entry'!U$9),'Council Entry'!U$8),'Council Entry'!U19))))-'Council Entry'!U$5)/('Council Entry'!U$6-'Council Entry'!U$5)),1))),"No data"))</f>
        <v/>
      </c>
      <c r="V19" s="13">
        <f>IF('Council Entry'!V19="","",IFERROR(MAX(0,MIN(10,ROUND(IF('Council Entry'!V$7="Decrease Risk",10-10*((IF('Council Entry'!V$4="Logarithm",LN(0.001+IF(AND(ISNUMBER('Council Entry'!V$8),ISNUMBER('Council Entry'!V$9)),MAX(MIN('Council Entry'!V19,'Council Entry'!V$9),'Council Entry'!V$8),'Council Entry'!V19)),IF('Council Entry'!V$4="Exponential",EXP(IF(AND(ISNUMBER('Council Entry'!V$8),ISNUMBER('Council Entry'!V$9)),MAX(MIN('Council Entry'!V19,'Council Entry'!V$9),'Council Entry'!V$8),'Council Entry'!V19)),IF(AND(ISNUMBER('Council Entry'!V$8),ISNUMBER('Council Entry'!V$9)),MAX(MIN('Council Entry'!V19,'Council Entry'!V$9),'Council Entry'!V$8),'Council Entry'!V19))))-'Council Entry'!V$5)/('Council Entry'!V$6-'Council Entry'!V$5),10*((IF('Council Entry'!V$4="Logarithm",LN(0.001+IF(AND(ISNUMBER('Council Entry'!V$8),ISNUMBER('Council Entry'!V$9)),MAX(MIN('Council Entry'!V19,'Council Entry'!V$9),'Council Entry'!V$8),'Council Entry'!V19)),IF('Council Entry'!V$4="Exponential",EXP(IF(AND(ISNUMBER('Council Entry'!V$8),ISNUMBER('Council Entry'!V$9)),MAX(MIN('Council Entry'!V19,'Council Entry'!V$9),'Council Entry'!V$8),'Council Entry'!V19)),IF(AND(ISNUMBER('Council Entry'!V$8),ISNUMBER('Council Entry'!V$9)),MAX(MIN('Council Entry'!V19,'Council Entry'!V$9),'Council Entry'!V$8),'Council Entry'!V19))))-'Council Entry'!V$5)/('Council Entry'!V$6-'Council Entry'!V$5)),1))),"No data"))</f>
        <v/>
      </c>
      <c r="W19" s="13">
        <f>IF('Council Entry'!W19="","",IFERROR(MAX(0,MIN(10,ROUND(IF('Council Entry'!W$7="Decrease Risk",10-10*((IF('Council Entry'!W$4="Logarithm",LN(0.001+IF(AND(ISNUMBER('Council Entry'!W$8),ISNUMBER('Council Entry'!W$9)),MAX(MIN('Council Entry'!W19,'Council Entry'!W$9),'Council Entry'!W$8),'Council Entry'!W19)),IF('Council Entry'!W$4="Exponential",EXP(IF(AND(ISNUMBER('Council Entry'!W$8),ISNUMBER('Council Entry'!W$9)),MAX(MIN('Council Entry'!W19,'Council Entry'!W$9),'Council Entry'!W$8),'Council Entry'!W19)),IF(AND(ISNUMBER('Council Entry'!W$8),ISNUMBER('Council Entry'!W$9)),MAX(MIN('Council Entry'!W19,'Council Entry'!W$9),'Council Entry'!W$8),'Council Entry'!W19))))-'Council Entry'!W$5)/('Council Entry'!W$6-'Council Entry'!W$5),10*((IF('Council Entry'!W$4="Logarithm",LN(0.001+IF(AND(ISNUMBER('Council Entry'!W$8),ISNUMBER('Council Entry'!W$9)),MAX(MIN('Council Entry'!W19,'Council Entry'!W$9),'Council Entry'!W$8),'Council Entry'!W19)),IF('Council Entry'!W$4="Exponential",EXP(IF(AND(ISNUMBER('Council Entry'!W$8),ISNUMBER('Council Entry'!W$9)),MAX(MIN('Council Entry'!W19,'Council Entry'!W$9),'Council Entry'!W$8),'Council Entry'!W19)),IF(AND(ISNUMBER('Council Entry'!W$8),ISNUMBER('Council Entry'!W$9)),MAX(MIN('Council Entry'!W19,'Council Entry'!W$9),'Council Entry'!W$8),'Council Entry'!W19))))-'Council Entry'!W$5)/('Council Entry'!W$6-'Council Entry'!W$5)),1))),"No data"))</f>
        <v/>
      </c>
      <c r="X19" s="13">
        <f>IF('Council Entry'!X19="","",IFERROR(MAX(0,MIN(10,ROUND(IF('Council Entry'!X$7="Decrease Risk",10-10*((IF('Council Entry'!X$4="Logarithm",LN(0.001+IF(AND(ISNUMBER('Council Entry'!X$8),ISNUMBER('Council Entry'!X$9)),MAX(MIN('Council Entry'!X19,'Council Entry'!X$9),'Council Entry'!X$8),'Council Entry'!X19)),IF('Council Entry'!X$4="Exponential",EXP(IF(AND(ISNUMBER('Council Entry'!X$8),ISNUMBER('Council Entry'!X$9)),MAX(MIN('Council Entry'!X19,'Council Entry'!X$9),'Council Entry'!X$8),'Council Entry'!X19)),IF(AND(ISNUMBER('Council Entry'!X$8),ISNUMBER('Council Entry'!X$9)),MAX(MIN('Council Entry'!X19,'Council Entry'!X$9),'Council Entry'!X$8),'Council Entry'!X19))))-'Council Entry'!X$5)/('Council Entry'!X$6-'Council Entry'!X$5),10*((IF('Council Entry'!X$4="Logarithm",LN(0.001+IF(AND(ISNUMBER('Council Entry'!X$8),ISNUMBER('Council Entry'!X$9)),MAX(MIN('Council Entry'!X19,'Council Entry'!X$9),'Council Entry'!X$8),'Council Entry'!X19)),IF('Council Entry'!X$4="Exponential",EXP(IF(AND(ISNUMBER('Council Entry'!X$8),ISNUMBER('Council Entry'!X$9)),MAX(MIN('Council Entry'!X19,'Council Entry'!X$9),'Council Entry'!X$8),'Council Entry'!X19)),IF(AND(ISNUMBER('Council Entry'!X$8),ISNUMBER('Council Entry'!X$9)),MAX(MIN('Council Entry'!X19,'Council Entry'!X$9),'Council Entry'!X$8),'Council Entry'!X19))))-'Council Entry'!X$5)/('Council Entry'!X$6-'Council Entry'!X$5)),1))),"No data"))</f>
        <v/>
      </c>
      <c r="Y19" s="13">
        <f>IF('Council Entry'!Y19="","",IFERROR(MAX(0,MIN(10,ROUND(IF('Council Entry'!Y$7="Decrease Risk",10-10*((IF('Council Entry'!Y$4="Logarithm",LN(0.001+IF(AND(ISNUMBER('Council Entry'!Y$8),ISNUMBER('Council Entry'!Y$9)),MAX(MIN('Council Entry'!Y19,'Council Entry'!Y$9),'Council Entry'!Y$8),'Council Entry'!Y19)),IF('Council Entry'!Y$4="Exponential",EXP(IF(AND(ISNUMBER('Council Entry'!Y$8),ISNUMBER('Council Entry'!Y$9)),MAX(MIN('Council Entry'!Y19,'Council Entry'!Y$9),'Council Entry'!Y$8),'Council Entry'!Y19)),IF(AND(ISNUMBER('Council Entry'!Y$8),ISNUMBER('Council Entry'!Y$9)),MAX(MIN('Council Entry'!Y19,'Council Entry'!Y$9),'Council Entry'!Y$8),'Council Entry'!Y19))))-'Council Entry'!Y$5)/('Council Entry'!Y$6-'Council Entry'!Y$5),10*((IF('Council Entry'!Y$4="Logarithm",LN(0.001+IF(AND(ISNUMBER('Council Entry'!Y$8),ISNUMBER('Council Entry'!Y$9)),MAX(MIN('Council Entry'!Y19,'Council Entry'!Y$9),'Council Entry'!Y$8),'Council Entry'!Y19)),IF('Council Entry'!Y$4="Exponential",EXP(IF(AND(ISNUMBER('Council Entry'!Y$8),ISNUMBER('Council Entry'!Y$9)),MAX(MIN('Council Entry'!Y19,'Council Entry'!Y$9),'Council Entry'!Y$8),'Council Entry'!Y19)),IF(AND(ISNUMBER('Council Entry'!Y$8),ISNUMBER('Council Entry'!Y$9)),MAX(MIN('Council Entry'!Y19,'Council Entry'!Y$9),'Council Entry'!Y$8),'Council Entry'!Y19))))-'Council Entry'!Y$5)/('Council Entry'!Y$6-'Council Entry'!Y$5)),1))),"No data"))</f>
        <v/>
      </c>
      <c r="Z19" s="13">
        <f>IF('Council Entry'!Z19="","",IFERROR(MAX(0,MIN(10,ROUND(IF('Council Entry'!Z$7="Decrease Risk",10-10*((IF('Council Entry'!Z$4="Logarithm",LN(0.001+IF(AND(ISNUMBER('Council Entry'!Z$8),ISNUMBER('Council Entry'!Z$9)),MAX(MIN('Council Entry'!Z19,'Council Entry'!Z$9),'Council Entry'!Z$8),'Council Entry'!Z19)),IF('Council Entry'!Z$4="Exponential",EXP(IF(AND(ISNUMBER('Council Entry'!Z$8),ISNUMBER('Council Entry'!Z$9)),MAX(MIN('Council Entry'!Z19,'Council Entry'!Z$9),'Council Entry'!Z$8),'Council Entry'!Z19)),IF(AND(ISNUMBER('Council Entry'!Z$8),ISNUMBER('Council Entry'!Z$9)),MAX(MIN('Council Entry'!Z19,'Council Entry'!Z$9),'Council Entry'!Z$8),'Council Entry'!Z19))))-'Council Entry'!Z$5)/('Council Entry'!Z$6-'Council Entry'!Z$5),10*((IF('Council Entry'!Z$4="Logarithm",LN(0.001+IF(AND(ISNUMBER('Council Entry'!Z$8),ISNUMBER('Council Entry'!Z$9)),MAX(MIN('Council Entry'!Z19,'Council Entry'!Z$9),'Council Entry'!Z$8),'Council Entry'!Z19)),IF('Council Entry'!Z$4="Exponential",EXP(IF(AND(ISNUMBER('Council Entry'!Z$8),ISNUMBER('Council Entry'!Z$9)),MAX(MIN('Council Entry'!Z19,'Council Entry'!Z$9),'Council Entry'!Z$8),'Council Entry'!Z19)),IF(AND(ISNUMBER('Council Entry'!Z$8),ISNUMBER('Council Entry'!Z$9)),MAX(MIN('Council Entry'!Z19,'Council Entry'!Z$9),'Council Entry'!Z$8),'Council Entry'!Z19))))-'Council Entry'!Z$5)/('Council Entry'!Z$6-'Council Entry'!Z$5)),1))),"No data"))</f>
        <v/>
      </c>
      <c r="AA19" s="13">
        <f>IF('Council Entry'!AA19="","",IFERROR(MAX(0,MIN(10,ROUND(IF('Council Entry'!AA$7="Decrease Risk",10-10*((IF('Council Entry'!AA$4="Logarithm",LN(0.001+IF(AND(ISNUMBER('Council Entry'!AA$8),ISNUMBER('Council Entry'!AA$9)),MAX(MIN('Council Entry'!AA19,'Council Entry'!AA$9),'Council Entry'!AA$8),'Council Entry'!AA19)),IF('Council Entry'!AA$4="Exponential",EXP(IF(AND(ISNUMBER('Council Entry'!AA$8),ISNUMBER('Council Entry'!AA$9)),MAX(MIN('Council Entry'!AA19,'Council Entry'!AA$9),'Council Entry'!AA$8),'Council Entry'!AA19)),IF(AND(ISNUMBER('Council Entry'!AA$8),ISNUMBER('Council Entry'!AA$9)),MAX(MIN('Council Entry'!AA19,'Council Entry'!AA$9),'Council Entry'!AA$8),'Council Entry'!AA19))))-'Council Entry'!AA$5)/('Council Entry'!AA$6-'Council Entry'!AA$5),10*((IF('Council Entry'!AA$4="Logarithm",LN(0.001+IF(AND(ISNUMBER('Council Entry'!AA$8),ISNUMBER('Council Entry'!AA$9)),MAX(MIN('Council Entry'!AA19,'Council Entry'!AA$9),'Council Entry'!AA$8),'Council Entry'!AA19)),IF('Council Entry'!AA$4="Exponential",EXP(IF(AND(ISNUMBER('Council Entry'!AA$8),ISNUMBER('Council Entry'!AA$9)),MAX(MIN('Council Entry'!AA19,'Council Entry'!AA$9),'Council Entry'!AA$8),'Council Entry'!AA19)),IF(AND(ISNUMBER('Council Entry'!AA$8),ISNUMBER('Council Entry'!AA$9)),MAX(MIN('Council Entry'!AA19,'Council Entry'!AA$9),'Council Entry'!AA$8),'Council Entry'!AA19))))-'Council Entry'!AA$5)/('Council Entry'!AA$6-'Council Entry'!AA$5)),1))),"No data"))</f>
        <v/>
      </c>
      <c r="AB19" s="13">
        <f>IF('Council Entry'!AB19="","",IFERROR(MAX(0,MIN(10,ROUND(IF('Council Entry'!AB$7="Decrease Risk",10-10*((IF('Council Entry'!AB$4="Logarithm",LN(0.001+IF(AND(ISNUMBER('Council Entry'!AB$8),ISNUMBER('Council Entry'!AB$9)),MAX(MIN('Council Entry'!AB19,'Council Entry'!AB$9),'Council Entry'!AB$8),'Council Entry'!AB19)),IF('Council Entry'!AB$4="Exponential",EXP(IF(AND(ISNUMBER('Council Entry'!AB$8),ISNUMBER('Council Entry'!AB$9)),MAX(MIN('Council Entry'!AB19,'Council Entry'!AB$9),'Council Entry'!AB$8),'Council Entry'!AB19)),IF(AND(ISNUMBER('Council Entry'!AB$8),ISNUMBER('Council Entry'!AB$9)),MAX(MIN('Council Entry'!AB19,'Council Entry'!AB$9),'Council Entry'!AB$8),'Council Entry'!AB19))))-'Council Entry'!AB$5)/('Council Entry'!AB$6-'Council Entry'!AB$5),10*((IF('Council Entry'!AB$4="Logarithm",LN(0.001+IF(AND(ISNUMBER('Council Entry'!AB$8),ISNUMBER('Council Entry'!AB$9)),MAX(MIN('Council Entry'!AB19,'Council Entry'!AB$9),'Council Entry'!AB$8),'Council Entry'!AB19)),IF('Council Entry'!AB$4="Exponential",EXP(IF(AND(ISNUMBER('Council Entry'!AB$8),ISNUMBER('Council Entry'!AB$9)),MAX(MIN('Council Entry'!AB19,'Council Entry'!AB$9),'Council Entry'!AB$8),'Council Entry'!AB19)),IF(AND(ISNUMBER('Council Entry'!AB$8),ISNUMBER('Council Entry'!AB$9)),MAX(MIN('Council Entry'!AB19,'Council Entry'!AB$9),'Council Entry'!AB$8),'Council Entry'!AB19))))-'Council Entry'!AB$5)/('Council Entry'!AB$6-'Council Entry'!AB$5)),1))),"No data"))</f>
        <v/>
      </c>
      <c r="AC19" s="13">
        <f>IF('Council Entry'!AC19="","",IFERROR(MAX(0,MIN(10,ROUND(IF('Council Entry'!AC$7="Decrease Risk",10-10*((IF('Council Entry'!AC$4="Logarithm",LN(0.001+IF(AND(ISNUMBER('Council Entry'!AC$8),ISNUMBER('Council Entry'!AC$9)),MAX(MIN('Council Entry'!AC19,'Council Entry'!AC$9),'Council Entry'!AC$8),'Council Entry'!AC19)),IF('Council Entry'!AC$4="Exponential",EXP(IF(AND(ISNUMBER('Council Entry'!AC$8),ISNUMBER('Council Entry'!AC$9)),MAX(MIN('Council Entry'!AC19,'Council Entry'!AC$9),'Council Entry'!AC$8),'Council Entry'!AC19)),IF(AND(ISNUMBER('Council Entry'!AC$8),ISNUMBER('Council Entry'!AC$9)),MAX(MIN('Council Entry'!AC19,'Council Entry'!AC$9),'Council Entry'!AC$8),'Council Entry'!AC19))))-'Council Entry'!AC$5)/('Council Entry'!AC$6-'Council Entry'!AC$5),10*((IF('Council Entry'!AC$4="Logarithm",LN(0.001+IF(AND(ISNUMBER('Council Entry'!AC$8),ISNUMBER('Council Entry'!AC$9)),MAX(MIN('Council Entry'!AC19,'Council Entry'!AC$9),'Council Entry'!AC$8),'Council Entry'!AC19)),IF('Council Entry'!AC$4="Exponential",EXP(IF(AND(ISNUMBER('Council Entry'!AC$8),ISNUMBER('Council Entry'!AC$9)),MAX(MIN('Council Entry'!AC19,'Council Entry'!AC$9),'Council Entry'!AC$8),'Council Entry'!AC19)),IF(AND(ISNUMBER('Council Entry'!AC$8),ISNUMBER('Council Entry'!AC$9)),MAX(MIN('Council Entry'!AC19,'Council Entry'!AC$9),'Council Entry'!AC$8),'Council Entry'!AC19))))-'Council Entry'!AC$5)/('Council Entry'!AC$6-'Council Entry'!AC$5)),1))),"No data"))</f>
        <v/>
      </c>
      <c r="AD19" s="13">
        <f>IF('Council Entry'!AD19="","",IFERROR(MAX(0,MIN(10,ROUND(IF('Council Entry'!AD$7="Decrease Risk",10-10*((IF('Council Entry'!AD$4="Logarithm",LN(0.001+IF(AND(ISNUMBER('Council Entry'!AD$8),ISNUMBER('Council Entry'!AD$9)),MAX(MIN('Council Entry'!AD19,'Council Entry'!AD$9),'Council Entry'!AD$8),'Council Entry'!AD19)),IF('Council Entry'!AD$4="Exponential",EXP(IF(AND(ISNUMBER('Council Entry'!AD$8),ISNUMBER('Council Entry'!AD$9)),MAX(MIN('Council Entry'!AD19,'Council Entry'!AD$9),'Council Entry'!AD$8),'Council Entry'!AD19)),IF(AND(ISNUMBER('Council Entry'!AD$8),ISNUMBER('Council Entry'!AD$9)),MAX(MIN('Council Entry'!AD19,'Council Entry'!AD$9),'Council Entry'!AD$8),'Council Entry'!AD19))))-'Council Entry'!AD$5)/('Council Entry'!AD$6-'Council Entry'!AD$5),10*((IF('Council Entry'!AD$4="Logarithm",LN(0.001+IF(AND(ISNUMBER('Council Entry'!AD$8),ISNUMBER('Council Entry'!AD$9)),MAX(MIN('Council Entry'!AD19,'Council Entry'!AD$9),'Council Entry'!AD$8),'Council Entry'!AD19)),IF('Council Entry'!AD$4="Exponential",EXP(IF(AND(ISNUMBER('Council Entry'!AD$8),ISNUMBER('Council Entry'!AD$9)),MAX(MIN('Council Entry'!AD19,'Council Entry'!AD$9),'Council Entry'!AD$8),'Council Entry'!AD19)),IF(AND(ISNUMBER('Council Entry'!AD$8),ISNUMBER('Council Entry'!AD$9)),MAX(MIN('Council Entry'!AD19,'Council Entry'!AD$9),'Council Entry'!AD$8),'Council Entry'!AD19))))-'Council Entry'!AD$5)/('Council Entry'!AD$6-'Council Entry'!AD$5)),1))),"No data"))</f>
        <v/>
      </c>
      <c r="AE19" s="13">
        <f>IF('Council Entry'!AE19="","",IFERROR(MAX(0,MIN(10,ROUND(IF('Council Entry'!AE$7="Decrease Risk",10-10*((IF('Council Entry'!AE$4="Logarithm",LN(0.001+IF(AND(ISNUMBER('Council Entry'!AE$8),ISNUMBER('Council Entry'!AE$9)),MAX(MIN('Council Entry'!AE19,'Council Entry'!AE$9),'Council Entry'!AE$8),'Council Entry'!AE19)),IF('Council Entry'!AE$4="Exponential",EXP(IF(AND(ISNUMBER('Council Entry'!AE$8),ISNUMBER('Council Entry'!AE$9)),MAX(MIN('Council Entry'!AE19,'Council Entry'!AE$9),'Council Entry'!AE$8),'Council Entry'!AE19)),IF(AND(ISNUMBER('Council Entry'!AE$8),ISNUMBER('Council Entry'!AE$9)),MAX(MIN('Council Entry'!AE19,'Council Entry'!AE$9),'Council Entry'!AE$8),'Council Entry'!AE19))))-'Council Entry'!AE$5)/('Council Entry'!AE$6-'Council Entry'!AE$5),10*((IF('Council Entry'!AE$4="Logarithm",LN(0.001+IF(AND(ISNUMBER('Council Entry'!AE$8),ISNUMBER('Council Entry'!AE$9)),MAX(MIN('Council Entry'!AE19,'Council Entry'!AE$9),'Council Entry'!AE$8),'Council Entry'!AE19)),IF('Council Entry'!AE$4="Exponential",EXP(IF(AND(ISNUMBER('Council Entry'!AE$8),ISNUMBER('Council Entry'!AE$9)),MAX(MIN('Council Entry'!AE19,'Council Entry'!AE$9),'Council Entry'!AE$8),'Council Entry'!AE19)),IF(AND(ISNUMBER('Council Entry'!AE$8),ISNUMBER('Council Entry'!AE$9)),MAX(MIN('Council Entry'!AE19,'Council Entry'!AE$9),'Council Entry'!AE$8),'Council Entry'!AE19))))-'Council Entry'!AE$5)/('Council Entry'!AE$6-'Council Entry'!AE$5)),1))),"No data"))</f>
        <v/>
      </c>
      <c r="AF19" s="13">
        <f>IF('Council Entry'!AF19="","",IFERROR(MAX(0,MIN(10,ROUND(IF('Council Entry'!AF$7="Decrease Risk",10-10*((IF('Council Entry'!AF$4="Logarithm",LN(0.001+IF(AND(ISNUMBER('Council Entry'!AF$8),ISNUMBER('Council Entry'!AF$9)),MAX(MIN('Council Entry'!AF19,'Council Entry'!AF$9),'Council Entry'!AF$8),'Council Entry'!AF19)),IF('Council Entry'!AF$4="Exponential",EXP(IF(AND(ISNUMBER('Council Entry'!AF$8),ISNUMBER('Council Entry'!AF$9)),MAX(MIN('Council Entry'!AF19,'Council Entry'!AF$9),'Council Entry'!AF$8),'Council Entry'!AF19)),IF(AND(ISNUMBER('Council Entry'!AF$8),ISNUMBER('Council Entry'!AF$9)),MAX(MIN('Council Entry'!AF19,'Council Entry'!AF$9),'Council Entry'!AF$8),'Council Entry'!AF19))))-'Council Entry'!AF$5)/('Council Entry'!AF$6-'Council Entry'!AF$5),10*((IF('Council Entry'!AF$4="Logarithm",LN(0.001+IF(AND(ISNUMBER('Council Entry'!AF$8),ISNUMBER('Council Entry'!AF$9)),MAX(MIN('Council Entry'!AF19,'Council Entry'!AF$9),'Council Entry'!AF$8),'Council Entry'!AF19)),IF('Council Entry'!AF$4="Exponential",EXP(IF(AND(ISNUMBER('Council Entry'!AF$8),ISNUMBER('Council Entry'!AF$9)),MAX(MIN('Council Entry'!AF19,'Council Entry'!AF$9),'Council Entry'!AF$8),'Council Entry'!AF19)),IF(AND(ISNUMBER('Council Entry'!AF$8),ISNUMBER('Council Entry'!AF$9)),MAX(MIN('Council Entry'!AF19,'Council Entry'!AF$9),'Council Entry'!AF$8),'Council Entry'!AF19))))-'Council Entry'!AF$5)/('Council Entry'!AF$6-'Council Entry'!AF$5)),1))),"No data"))</f>
        <v/>
      </c>
      <c r="AG19" s="13">
        <f>IF('Council Entry'!AG19="","",IFERROR(MAX(0,MIN(10,ROUND(IF('Council Entry'!AG$7="Decrease Risk",10-10*((IF('Council Entry'!AG$4="Logarithm",LN(0.001+IF(AND(ISNUMBER('Council Entry'!AG$8),ISNUMBER('Council Entry'!AG$9)),MAX(MIN('Council Entry'!AG19,'Council Entry'!AG$9),'Council Entry'!AG$8),'Council Entry'!AG19)),IF('Council Entry'!AG$4="Exponential",EXP(IF(AND(ISNUMBER('Council Entry'!AG$8),ISNUMBER('Council Entry'!AG$9)),MAX(MIN('Council Entry'!AG19,'Council Entry'!AG$9),'Council Entry'!AG$8),'Council Entry'!AG19)),IF(AND(ISNUMBER('Council Entry'!AG$8),ISNUMBER('Council Entry'!AG$9)),MAX(MIN('Council Entry'!AG19,'Council Entry'!AG$9),'Council Entry'!AG$8),'Council Entry'!AG19))))-'Council Entry'!AG$5)/('Council Entry'!AG$6-'Council Entry'!AG$5),10*((IF('Council Entry'!AG$4="Logarithm",LN(0.001+IF(AND(ISNUMBER('Council Entry'!AG$8),ISNUMBER('Council Entry'!AG$9)),MAX(MIN('Council Entry'!AG19,'Council Entry'!AG$9),'Council Entry'!AG$8),'Council Entry'!AG19)),IF('Council Entry'!AG$4="Exponential",EXP(IF(AND(ISNUMBER('Council Entry'!AG$8),ISNUMBER('Council Entry'!AG$9)),MAX(MIN('Council Entry'!AG19,'Council Entry'!AG$9),'Council Entry'!AG$8),'Council Entry'!AG19)),IF(AND(ISNUMBER('Council Entry'!AG$8),ISNUMBER('Council Entry'!AG$9)),MAX(MIN('Council Entry'!AG19,'Council Entry'!AG$9),'Council Entry'!AG$8),'Council Entry'!AG19))))-'Council Entry'!AG$5)/('Council Entry'!AG$6-'Council Entry'!AG$5)),1))),"No data"))</f>
        <v/>
      </c>
      <c r="AH19" s="13">
        <f>IF('Council Entry'!AH19="","",IFERROR(MAX(0,MIN(10,ROUND(IF('Council Entry'!AH$7="Decrease Risk",10-10*((IF('Council Entry'!AH$4="Logarithm",LN(0.001+IF(AND(ISNUMBER('Council Entry'!AH$8),ISNUMBER('Council Entry'!AH$9)),MAX(MIN('Council Entry'!AH19,'Council Entry'!AH$9),'Council Entry'!AH$8),'Council Entry'!AH19)),IF('Council Entry'!AH$4="Exponential",EXP(IF(AND(ISNUMBER('Council Entry'!AH$8),ISNUMBER('Council Entry'!AH$9)),MAX(MIN('Council Entry'!AH19,'Council Entry'!AH$9),'Council Entry'!AH$8),'Council Entry'!AH19)),IF(AND(ISNUMBER('Council Entry'!AH$8),ISNUMBER('Council Entry'!AH$9)),MAX(MIN('Council Entry'!AH19,'Council Entry'!AH$9),'Council Entry'!AH$8),'Council Entry'!AH19))))-'Council Entry'!AH$5)/('Council Entry'!AH$6-'Council Entry'!AH$5),10*((IF('Council Entry'!AH$4="Logarithm",LN(0.001+IF(AND(ISNUMBER('Council Entry'!AH$8),ISNUMBER('Council Entry'!AH$9)),MAX(MIN('Council Entry'!AH19,'Council Entry'!AH$9),'Council Entry'!AH$8),'Council Entry'!AH19)),IF('Council Entry'!AH$4="Exponential",EXP(IF(AND(ISNUMBER('Council Entry'!AH$8),ISNUMBER('Council Entry'!AH$9)),MAX(MIN('Council Entry'!AH19,'Council Entry'!AH$9),'Council Entry'!AH$8),'Council Entry'!AH19)),IF(AND(ISNUMBER('Council Entry'!AH$8),ISNUMBER('Council Entry'!AH$9)),MAX(MIN('Council Entry'!AH19,'Council Entry'!AH$9),'Council Entry'!AH$8),'Council Entry'!AH19))))-'Council Entry'!AH$5)/('Council Entry'!AH$6-'Council Entry'!AH$5)),1))),"No data"))</f>
        <v/>
      </c>
      <c r="AI19" s="13">
        <f>IF('Council Entry'!AI19="","",IFERROR(MAX(0,MIN(10,ROUND(IF('Council Entry'!AI$7="Decrease Risk",10-10*((IF('Council Entry'!AI$4="Logarithm",LN(0.001+IF(AND(ISNUMBER('Council Entry'!AI$8),ISNUMBER('Council Entry'!AI$9)),MAX(MIN('Council Entry'!AI19,'Council Entry'!AI$9),'Council Entry'!AI$8),'Council Entry'!AI19)),IF('Council Entry'!AI$4="Exponential",EXP(IF(AND(ISNUMBER('Council Entry'!AI$8),ISNUMBER('Council Entry'!AI$9)),MAX(MIN('Council Entry'!AI19,'Council Entry'!AI$9),'Council Entry'!AI$8),'Council Entry'!AI19)),IF(AND(ISNUMBER('Council Entry'!AI$8),ISNUMBER('Council Entry'!AI$9)),MAX(MIN('Council Entry'!AI19,'Council Entry'!AI$9),'Council Entry'!AI$8),'Council Entry'!AI19))))-'Council Entry'!AI$5)/('Council Entry'!AI$6-'Council Entry'!AI$5),10*((IF('Council Entry'!AI$4="Logarithm",LN(0.001+IF(AND(ISNUMBER('Council Entry'!AI$8),ISNUMBER('Council Entry'!AI$9)),MAX(MIN('Council Entry'!AI19,'Council Entry'!AI$9),'Council Entry'!AI$8),'Council Entry'!AI19)),IF('Council Entry'!AI$4="Exponential",EXP(IF(AND(ISNUMBER('Council Entry'!AI$8),ISNUMBER('Council Entry'!AI$9)),MAX(MIN('Council Entry'!AI19,'Council Entry'!AI$9),'Council Entry'!AI$8),'Council Entry'!AI19)),IF(AND(ISNUMBER('Council Entry'!AI$8),ISNUMBER('Council Entry'!AI$9)),MAX(MIN('Council Entry'!AI19,'Council Entry'!AI$9),'Council Entry'!AI$8),'Council Entry'!AI19))))-'Council Entry'!AI$5)/('Council Entry'!AI$6-'Council Entry'!AI$5)),1))),"No data"))</f>
        <v/>
      </c>
      <c r="AJ19" s="13">
        <f>IF('Council Entry'!AJ19="","",IFERROR(MAX(0,MIN(10,ROUND(IF('Council Entry'!AJ$7="Decrease Risk",10-10*((IF('Council Entry'!AJ$4="Logarithm",LN(0.001+IF(AND(ISNUMBER('Council Entry'!AJ$8),ISNUMBER('Council Entry'!AJ$9)),MAX(MIN('Council Entry'!AJ19,'Council Entry'!AJ$9),'Council Entry'!AJ$8),'Council Entry'!AJ19)),IF('Council Entry'!AJ$4="Exponential",EXP(IF(AND(ISNUMBER('Council Entry'!AJ$8),ISNUMBER('Council Entry'!AJ$9)),MAX(MIN('Council Entry'!AJ19,'Council Entry'!AJ$9),'Council Entry'!AJ$8),'Council Entry'!AJ19)),IF(AND(ISNUMBER('Council Entry'!AJ$8),ISNUMBER('Council Entry'!AJ$9)),MAX(MIN('Council Entry'!AJ19,'Council Entry'!AJ$9),'Council Entry'!AJ$8),'Council Entry'!AJ19))))-'Council Entry'!AJ$5)/('Council Entry'!AJ$6-'Council Entry'!AJ$5),10*((IF('Council Entry'!AJ$4="Logarithm",LN(0.001+IF(AND(ISNUMBER('Council Entry'!AJ$8),ISNUMBER('Council Entry'!AJ$9)),MAX(MIN('Council Entry'!AJ19,'Council Entry'!AJ$9),'Council Entry'!AJ$8),'Council Entry'!AJ19)),IF('Council Entry'!AJ$4="Exponential",EXP(IF(AND(ISNUMBER('Council Entry'!AJ$8),ISNUMBER('Council Entry'!AJ$9)),MAX(MIN('Council Entry'!AJ19,'Council Entry'!AJ$9),'Council Entry'!AJ$8),'Council Entry'!AJ19)),IF(AND(ISNUMBER('Council Entry'!AJ$8),ISNUMBER('Council Entry'!AJ$9)),MAX(MIN('Council Entry'!AJ19,'Council Entry'!AJ$9),'Council Entry'!AJ$8),'Council Entry'!AJ19))))-'Council Entry'!AJ$5)/('Council Entry'!AJ$6-'Council Entry'!AJ$5)),1))),"No data"))</f>
        <v/>
      </c>
      <c r="AK19" s="13">
        <f>IF('Council Entry'!AK19="","",IFERROR(MAX(0,MIN(10,ROUND(IF('Council Entry'!AK$7="Decrease Risk",10-10*((IF('Council Entry'!AK$4="Logarithm",LN(0.001+IF(AND(ISNUMBER('Council Entry'!AK$8),ISNUMBER('Council Entry'!AK$9)),MAX(MIN('Council Entry'!AK19,'Council Entry'!AK$9),'Council Entry'!AK$8),'Council Entry'!AK19)),IF('Council Entry'!AK$4="Exponential",EXP(IF(AND(ISNUMBER('Council Entry'!AK$8),ISNUMBER('Council Entry'!AK$9)),MAX(MIN('Council Entry'!AK19,'Council Entry'!AK$9),'Council Entry'!AK$8),'Council Entry'!AK19)),IF(AND(ISNUMBER('Council Entry'!AK$8),ISNUMBER('Council Entry'!AK$9)),MAX(MIN('Council Entry'!AK19,'Council Entry'!AK$9),'Council Entry'!AK$8),'Council Entry'!AK19))))-'Council Entry'!AK$5)/('Council Entry'!AK$6-'Council Entry'!AK$5),10*((IF('Council Entry'!AK$4="Logarithm",LN(0.001+IF(AND(ISNUMBER('Council Entry'!AK$8),ISNUMBER('Council Entry'!AK$9)),MAX(MIN('Council Entry'!AK19,'Council Entry'!AK$9),'Council Entry'!AK$8),'Council Entry'!AK19)),IF('Council Entry'!AK$4="Exponential",EXP(IF(AND(ISNUMBER('Council Entry'!AK$8),ISNUMBER('Council Entry'!AK$9)),MAX(MIN('Council Entry'!AK19,'Council Entry'!AK$9),'Council Entry'!AK$8),'Council Entry'!AK19)),IF(AND(ISNUMBER('Council Entry'!AK$8),ISNUMBER('Council Entry'!AK$9)),MAX(MIN('Council Entry'!AK19,'Council Entry'!AK$9),'Council Entry'!AK$8),'Council Entry'!AK19))))-'Council Entry'!AK$5)/('Council Entry'!AK$6-'Council Entry'!AK$5)),1))),"No data"))</f>
        <v/>
      </c>
      <c r="AL19" s="13">
        <f>IF('Council Entry'!AL19="","",IFERROR(MAX(0,MIN(10,ROUND(IF('Council Entry'!AL$7="Decrease Risk",10-10*((IF('Council Entry'!AL$4="Logarithm",LN(0.001+IF(AND(ISNUMBER('Council Entry'!AL$8),ISNUMBER('Council Entry'!AL$9)),MAX(MIN('Council Entry'!AL19,'Council Entry'!AL$9),'Council Entry'!AL$8),'Council Entry'!AL19)),IF('Council Entry'!AL$4="Exponential",EXP(IF(AND(ISNUMBER('Council Entry'!AL$8),ISNUMBER('Council Entry'!AL$9)),MAX(MIN('Council Entry'!AL19,'Council Entry'!AL$9),'Council Entry'!AL$8),'Council Entry'!AL19)),IF(AND(ISNUMBER('Council Entry'!AL$8),ISNUMBER('Council Entry'!AL$9)),MAX(MIN('Council Entry'!AL19,'Council Entry'!AL$9),'Council Entry'!AL$8),'Council Entry'!AL19))))-'Council Entry'!AL$5)/('Council Entry'!AL$6-'Council Entry'!AL$5),10*((IF('Council Entry'!AL$4="Logarithm",LN(0.001+IF(AND(ISNUMBER('Council Entry'!AL$8),ISNUMBER('Council Entry'!AL$9)),MAX(MIN('Council Entry'!AL19,'Council Entry'!AL$9),'Council Entry'!AL$8),'Council Entry'!AL19)),IF('Council Entry'!AL$4="Exponential",EXP(IF(AND(ISNUMBER('Council Entry'!AL$8),ISNUMBER('Council Entry'!AL$9)),MAX(MIN('Council Entry'!AL19,'Council Entry'!AL$9),'Council Entry'!AL$8),'Council Entry'!AL19)),IF(AND(ISNUMBER('Council Entry'!AL$8),ISNUMBER('Council Entry'!AL$9)),MAX(MIN('Council Entry'!AL19,'Council Entry'!AL$9),'Council Entry'!AL$8),'Council Entry'!AL19))))-'Council Entry'!AL$5)/('Council Entry'!AL$6-'Council Entry'!AL$5)),1))),"No data"))</f>
        <v/>
      </c>
      <c r="AM19" s="13">
        <f>IF('Council Entry'!AM19="","",IFERROR(MAX(0,MIN(10,ROUND(IF('Council Entry'!AM$7="Decrease Risk",10-10*((IF('Council Entry'!AM$4="Logarithm",LN(0.001+IF(AND(ISNUMBER('Council Entry'!AM$8),ISNUMBER('Council Entry'!AM$9)),MAX(MIN('Council Entry'!AM19,'Council Entry'!AM$9),'Council Entry'!AM$8),'Council Entry'!AM19)),IF('Council Entry'!AM$4="Exponential",EXP(IF(AND(ISNUMBER('Council Entry'!AM$8),ISNUMBER('Council Entry'!AM$9)),MAX(MIN('Council Entry'!AM19,'Council Entry'!AM$9),'Council Entry'!AM$8),'Council Entry'!AM19)),IF(AND(ISNUMBER('Council Entry'!AM$8),ISNUMBER('Council Entry'!AM$9)),MAX(MIN('Council Entry'!AM19,'Council Entry'!AM$9),'Council Entry'!AM$8),'Council Entry'!AM19))))-'Council Entry'!AM$5)/('Council Entry'!AM$6-'Council Entry'!AM$5),10*((IF('Council Entry'!AM$4="Logarithm",LN(0.001+IF(AND(ISNUMBER('Council Entry'!AM$8),ISNUMBER('Council Entry'!AM$9)),MAX(MIN('Council Entry'!AM19,'Council Entry'!AM$9),'Council Entry'!AM$8),'Council Entry'!AM19)),IF('Council Entry'!AM$4="Exponential",EXP(IF(AND(ISNUMBER('Council Entry'!AM$8),ISNUMBER('Council Entry'!AM$9)),MAX(MIN('Council Entry'!AM19,'Council Entry'!AM$9),'Council Entry'!AM$8),'Council Entry'!AM19)),IF(AND(ISNUMBER('Council Entry'!AM$8),ISNUMBER('Council Entry'!AM$9)),MAX(MIN('Council Entry'!AM19,'Council Entry'!AM$9),'Council Entry'!AM$8),'Council Entry'!AM19))))-'Council Entry'!AM$5)/('Council Entry'!AM$6-'Council Entry'!AM$5)),1))),"No data"))</f>
        <v/>
      </c>
      <c r="AN19" s="13">
        <f>IF('Council Entry'!AN19="","",IFERROR(MAX(0,MIN(10,ROUND(IF('Council Entry'!AN$7="Decrease Risk",10-10*((IF('Council Entry'!AN$4="Logarithm",LN(0.001+IF(AND(ISNUMBER('Council Entry'!AN$8),ISNUMBER('Council Entry'!AN$9)),MAX(MIN('Council Entry'!AN19,'Council Entry'!AN$9),'Council Entry'!AN$8),'Council Entry'!AN19)),IF('Council Entry'!AN$4="Exponential",EXP(IF(AND(ISNUMBER('Council Entry'!AN$8),ISNUMBER('Council Entry'!AN$9)),MAX(MIN('Council Entry'!AN19,'Council Entry'!AN$9),'Council Entry'!AN$8),'Council Entry'!AN19)),IF(AND(ISNUMBER('Council Entry'!AN$8),ISNUMBER('Council Entry'!AN$9)),MAX(MIN('Council Entry'!AN19,'Council Entry'!AN$9),'Council Entry'!AN$8),'Council Entry'!AN19))))-'Council Entry'!AN$5)/('Council Entry'!AN$6-'Council Entry'!AN$5),10*((IF('Council Entry'!AN$4="Logarithm",LN(0.001+IF(AND(ISNUMBER('Council Entry'!AN$8),ISNUMBER('Council Entry'!AN$9)),MAX(MIN('Council Entry'!AN19,'Council Entry'!AN$9),'Council Entry'!AN$8),'Council Entry'!AN19)),IF('Council Entry'!AN$4="Exponential",EXP(IF(AND(ISNUMBER('Council Entry'!AN$8),ISNUMBER('Council Entry'!AN$9)),MAX(MIN('Council Entry'!AN19,'Council Entry'!AN$9),'Council Entry'!AN$8),'Council Entry'!AN19)),IF(AND(ISNUMBER('Council Entry'!AN$8),ISNUMBER('Council Entry'!AN$9)),MAX(MIN('Council Entry'!AN19,'Council Entry'!AN$9),'Council Entry'!AN$8),'Council Entry'!AN19))))-'Council Entry'!AN$5)/('Council Entry'!AN$6-'Council Entry'!AN$5)),1))),"No data"))</f>
        <v/>
      </c>
      <c r="AO19" s="13">
        <f>IF('Council Entry'!AO19="","",IFERROR(MAX(0,MIN(10,ROUND(IF('Council Entry'!AO$7="Decrease Risk",10-10*((IF('Council Entry'!AO$4="Logarithm",LN(0.001+IF(AND(ISNUMBER('Council Entry'!AO$8),ISNUMBER('Council Entry'!AO$9)),MAX(MIN('Council Entry'!AO19,'Council Entry'!AO$9),'Council Entry'!AO$8),'Council Entry'!AO19)),IF('Council Entry'!AO$4="Exponential",EXP(IF(AND(ISNUMBER('Council Entry'!AO$8),ISNUMBER('Council Entry'!AO$9)),MAX(MIN('Council Entry'!AO19,'Council Entry'!AO$9),'Council Entry'!AO$8),'Council Entry'!AO19)),IF(AND(ISNUMBER('Council Entry'!AO$8),ISNUMBER('Council Entry'!AO$9)),MAX(MIN('Council Entry'!AO19,'Council Entry'!AO$9),'Council Entry'!AO$8),'Council Entry'!AO19))))-'Council Entry'!AO$5)/('Council Entry'!AO$6-'Council Entry'!AO$5),10*((IF('Council Entry'!AO$4="Logarithm",LN(0.001+IF(AND(ISNUMBER('Council Entry'!AO$8),ISNUMBER('Council Entry'!AO$9)),MAX(MIN('Council Entry'!AO19,'Council Entry'!AO$9),'Council Entry'!AO$8),'Council Entry'!AO19)),IF('Council Entry'!AO$4="Exponential",EXP(IF(AND(ISNUMBER('Council Entry'!AO$8),ISNUMBER('Council Entry'!AO$9)),MAX(MIN('Council Entry'!AO19,'Council Entry'!AO$9),'Council Entry'!AO$8),'Council Entry'!AO19)),IF(AND(ISNUMBER('Council Entry'!AO$8),ISNUMBER('Council Entry'!AO$9)),MAX(MIN('Council Entry'!AO19,'Council Entry'!AO$9),'Council Entry'!AO$8),'Council Entry'!AO19))))-'Council Entry'!AO$5)/('Council Entry'!AO$6-'Council Entry'!AO$5)),1))),"No data"))</f>
        <v/>
      </c>
      <c r="AP19" s="13">
        <f>IF('Council Entry'!AP19="","",IFERROR(MAX(0,MIN(10,ROUND(IF('Council Entry'!AP$7="Decrease Risk",10-10*((IF('Council Entry'!AP$4="Logarithm",LN(0.001+IF(AND(ISNUMBER('Council Entry'!AP$8),ISNUMBER('Council Entry'!AP$9)),MAX(MIN('Council Entry'!AP19,'Council Entry'!AP$9),'Council Entry'!AP$8),'Council Entry'!AP19)),IF('Council Entry'!AP$4="Exponential",EXP(IF(AND(ISNUMBER('Council Entry'!AP$8),ISNUMBER('Council Entry'!AP$9)),MAX(MIN('Council Entry'!AP19,'Council Entry'!AP$9),'Council Entry'!AP$8),'Council Entry'!AP19)),IF(AND(ISNUMBER('Council Entry'!AP$8),ISNUMBER('Council Entry'!AP$9)),MAX(MIN('Council Entry'!AP19,'Council Entry'!AP$9),'Council Entry'!AP$8),'Council Entry'!AP19))))-'Council Entry'!AP$5)/('Council Entry'!AP$6-'Council Entry'!AP$5),10*((IF('Council Entry'!AP$4="Logarithm",LN(0.001+IF(AND(ISNUMBER('Council Entry'!AP$8),ISNUMBER('Council Entry'!AP$9)),MAX(MIN('Council Entry'!AP19,'Council Entry'!AP$9),'Council Entry'!AP$8),'Council Entry'!AP19)),IF('Council Entry'!AP$4="Exponential",EXP(IF(AND(ISNUMBER('Council Entry'!AP$8),ISNUMBER('Council Entry'!AP$9)),MAX(MIN('Council Entry'!AP19,'Council Entry'!AP$9),'Council Entry'!AP$8),'Council Entry'!AP19)),IF(AND(ISNUMBER('Council Entry'!AP$8),ISNUMBER('Council Entry'!AP$9)),MAX(MIN('Council Entry'!AP19,'Council Entry'!AP$9),'Council Entry'!AP$8),'Council Entry'!AP19))))-'Council Entry'!AP$5)/('Council Entry'!AP$6-'Council Entry'!AP$5)),1))),"No data"))</f>
        <v/>
      </c>
      <c r="AQ19" s="13">
        <f>IF('Council Entry'!AQ19="","",IFERROR(MAX(0,MIN(10,ROUND(IF('Council Entry'!AQ$7="Decrease Risk",10-10*((IF('Council Entry'!AQ$4="Logarithm",LN(0.001+IF(AND(ISNUMBER('Council Entry'!AQ$8),ISNUMBER('Council Entry'!AQ$9)),MAX(MIN('Council Entry'!AQ19,'Council Entry'!AQ$9),'Council Entry'!AQ$8),'Council Entry'!AQ19)),IF('Council Entry'!AQ$4="Exponential",EXP(IF(AND(ISNUMBER('Council Entry'!AQ$8),ISNUMBER('Council Entry'!AQ$9)),MAX(MIN('Council Entry'!AQ19,'Council Entry'!AQ$9),'Council Entry'!AQ$8),'Council Entry'!AQ19)),IF(AND(ISNUMBER('Council Entry'!AQ$8),ISNUMBER('Council Entry'!AQ$9)),MAX(MIN('Council Entry'!AQ19,'Council Entry'!AQ$9),'Council Entry'!AQ$8),'Council Entry'!AQ19))))-'Council Entry'!AQ$5)/('Council Entry'!AQ$6-'Council Entry'!AQ$5),10*((IF('Council Entry'!AQ$4="Logarithm",LN(0.001+IF(AND(ISNUMBER('Council Entry'!AQ$8),ISNUMBER('Council Entry'!AQ$9)),MAX(MIN('Council Entry'!AQ19,'Council Entry'!AQ$9),'Council Entry'!AQ$8),'Council Entry'!AQ19)),IF('Council Entry'!AQ$4="Exponential",EXP(IF(AND(ISNUMBER('Council Entry'!AQ$8),ISNUMBER('Council Entry'!AQ$9)),MAX(MIN('Council Entry'!AQ19,'Council Entry'!AQ$9),'Council Entry'!AQ$8),'Council Entry'!AQ19)),IF(AND(ISNUMBER('Council Entry'!AQ$8),ISNUMBER('Council Entry'!AQ$9)),MAX(MIN('Council Entry'!AQ19,'Council Entry'!AQ$9),'Council Entry'!AQ$8),'Council Entry'!AQ19))))-'Council Entry'!AQ$5)/('Council Entry'!AQ$6-'Council Entry'!AQ$5)),1))),"No data"))</f>
        <v/>
      </c>
      <c r="AR19" s="13">
        <f>IF('Council Entry'!AR19="","",IFERROR(MAX(0,MIN(10,ROUND(IF('Council Entry'!AR$7="Decrease Risk",10-10*((IF('Council Entry'!AR$4="Logarithm",LN(0.001+IF(AND(ISNUMBER('Council Entry'!AR$8),ISNUMBER('Council Entry'!AR$9)),MAX(MIN('Council Entry'!AR19,'Council Entry'!AR$9),'Council Entry'!AR$8),'Council Entry'!AR19)),IF('Council Entry'!AR$4="Exponential",EXP(IF(AND(ISNUMBER('Council Entry'!AR$8),ISNUMBER('Council Entry'!AR$9)),MAX(MIN('Council Entry'!AR19,'Council Entry'!AR$9),'Council Entry'!AR$8),'Council Entry'!AR19)),IF(AND(ISNUMBER('Council Entry'!AR$8),ISNUMBER('Council Entry'!AR$9)),MAX(MIN('Council Entry'!AR19,'Council Entry'!AR$9),'Council Entry'!AR$8),'Council Entry'!AR19))))-'Council Entry'!AR$5)/('Council Entry'!AR$6-'Council Entry'!AR$5),10*((IF('Council Entry'!AR$4="Logarithm",LN(0.001+IF(AND(ISNUMBER('Council Entry'!AR$8),ISNUMBER('Council Entry'!AR$9)),MAX(MIN('Council Entry'!AR19,'Council Entry'!AR$9),'Council Entry'!AR$8),'Council Entry'!AR19)),IF('Council Entry'!AR$4="Exponential",EXP(IF(AND(ISNUMBER('Council Entry'!AR$8),ISNUMBER('Council Entry'!AR$9)),MAX(MIN('Council Entry'!AR19,'Council Entry'!AR$9),'Council Entry'!AR$8),'Council Entry'!AR19)),IF(AND(ISNUMBER('Council Entry'!AR$8),ISNUMBER('Council Entry'!AR$9)),MAX(MIN('Council Entry'!AR19,'Council Entry'!AR$9),'Council Entry'!AR$8),'Council Entry'!AR19))))-'Council Entry'!AR$5)/('Council Entry'!AR$6-'Council Entry'!AR$5)),1))),"No data"))</f>
        <v/>
      </c>
      <c r="AS19" s="13">
        <f>IF('Council Entry'!AS19="","",IFERROR(MAX(0,MIN(10,ROUND(IF('Council Entry'!AS$7="Decrease Risk",10-10*((IF('Council Entry'!AS$4="Logarithm",LN(0.001+IF(AND(ISNUMBER('Council Entry'!AS$8),ISNUMBER('Council Entry'!AS$9)),MAX(MIN('Council Entry'!AS19,'Council Entry'!AS$9),'Council Entry'!AS$8),'Council Entry'!AS19)),IF('Council Entry'!AS$4="Exponential",EXP(IF(AND(ISNUMBER('Council Entry'!AS$8),ISNUMBER('Council Entry'!AS$9)),MAX(MIN('Council Entry'!AS19,'Council Entry'!AS$9),'Council Entry'!AS$8),'Council Entry'!AS19)),IF(AND(ISNUMBER('Council Entry'!AS$8),ISNUMBER('Council Entry'!AS$9)),MAX(MIN('Council Entry'!AS19,'Council Entry'!AS$9),'Council Entry'!AS$8),'Council Entry'!AS19))))-'Council Entry'!AS$5)/('Council Entry'!AS$6-'Council Entry'!AS$5),10*((IF('Council Entry'!AS$4="Logarithm",LN(0.001+IF(AND(ISNUMBER('Council Entry'!AS$8),ISNUMBER('Council Entry'!AS$9)),MAX(MIN('Council Entry'!AS19,'Council Entry'!AS$9),'Council Entry'!AS$8),'Council Entry'!AS19)),IF('Council Entry'!AS$4="Exponential",EXP(IF(AND(ISNUMBER('Council Entry'!AS$8),ISNUMBER('Council Entry'!AS$9)),MAX(MIN('Council Entry'!AS19,'Council Entry'!AS$9),'Council Entry'!AS$8),'Council Entry'!AS19)),IF(AND(ISNUMBER('Council Entry'!AS$8),ISNUMBER('Council Entry'!AS$9)),MAX(MIN('Council Entry'!AS19,'Council Entry'!AS$9),'Council Entry'!AS$8),'Council Entry'!AS19))))-'Council Entry'!AS$5)/('Council Entry'!AS$6-'Council Entry'!AS$5)),1))),"No data"))</f>
        <v/>
      </c>
      <c r="AT19" s="13">
        <f>IF('Council Entry'!AT19="","",IFERROR(MAX(0,MIN(10,ROUND(IF('Council Entry'!AT$7="Decrease Risk",10-10*((IF('Council Entry'!AT$4="Logarithm",LN(0.001+IF(AND(ISNUMBER('Council Entry'!AT$8),ISNUMBER('Council Entry'!AT$9)),MAX(MIN('Council Entry'!AT19,'Council Entry'!AT$9),'Council Entry'!AT$8),'Council Entry'!AT19)),IF('Council Entry'!AT$4="Exponential",EXP(IF(AND(ISNUMBER('Council Entry'!AT$8),ISNUMBER('Council Entry'!AT$9)),MAX(MIN('Council Entry'!AT19,'Council Entry'!AT$9),'Council Entry'!AT$8),'Council Entry'!AT19)),IF(AND(ISNUMBER('Council Entry'!AT$8),ISNUMBER('Council Entry'!AT$9)),MAX(MIN('Council Entry'!AT19,'Council Entry'!AT$9),'Council Entry'!AT$8),'Council Entry'!AT19))))-'Council Entry'!AT$5)/('Council Entry'!AT$6-'Council Entry'!AT$5),10*((IF('Council Entry'!AT$4="Logarithm",LN(0.001+IF(AND(ISNUMBER('Council Entry'!AT$8),ISNUMBER('Council Entry'!AT$9)),MAX(MIN('Council Entry'!AT19,'Council Entry'!AT$9),'Council Entry'!AT$8),'Council Entry'!AT19)),IF('Council Entry'!AT$4="Exponential",EXP(IF(AND(ISNUMBER('Council Entry'!AT$8),ISNUMBER('Council Entry'!AT$9)),MAX(MIN('Council Entry'!AT19,'Council Entry'!AT$9),'Council Entry'!AT$8),'Council Entry'!AT19)),IF(AND(ISNUMBER('Council Entry'!AT$8),ISNUMBER('Council Entry'!AT$9)),MAX(MIN('Council Entry'!AT19,'Council Entry'!AT$9),'Council Entry'!AT$8),'Council Entry'!AT19))))-'Council Entry'!AT$5)/('Council Entry'!AT$6-'Council Entry'!AT$5)),1))),"No data"))</f>
        <v/>
      </c>
      <c r="AU19" s="13">
        <f>IF('Council Entry'!AU19="","",IFERROR(MAX(0,MIN(10,ROUND(IF('Council Entry'!AU$7="Decrease Risk",10-10*((IF('Council Entry'!AU$4="Logarithm",LN(0.001+IF(AND(ISNUMBER('Council Entry'!AU$8),ISNUMBER('Council Entry'!AU$9)),MAX(MIN('Council Entry'!AU19,'Council Entry'!AU$9),'Council Entry'!AU$8),'Council Entry'!AU19)),IF('Council Entry'!AU$4="Exponential",EXP(IF(AND(ISNUMBER('Council Entry'!AU$8),ISNUMBER('Council Entry'!AU$9)),MAX(MIN('Council Entry'!AU19,'Council Entry'!AU$9),'Council Entry'!AU$8),'Council Entry'!AU19)),IF(AND(ISNUMBER('Council Entry'!AU$8),ISNUMBER('Council Entry'!AU$9)),MAX(MIN('Council Entry'!AU19,'Council Entry'!AU$9),'Council Entry'!AU$8),'Council Entry'!AU19))))-'Council Entry'!AU$5)/('Council Entry'!AU$6-'Council Entry'!AU$5),10*((IF('Council Entry'!AU$4="Logarithm",LN(0.001+IF(AND(ISNUMBER('Council Entry'!AU$8),ISNUMBER('Council Entry'!AU$9)),MAX(MIN('Council Entry'!AU19,'Council Entry'!AU$9),'Council Entry'!AU$8),'Council Entry'!AU19)),IF('Council Entry'!AU$4="Exponential",EXP(IF(AND(ISNUMBER('Council Entry'!AU$8),ISNUMBER('Council Entry'!AU$9)),MAX(MIN('Council Entry'!AU19,'Council Entry'!AU$9),'Council Entry'!AU$8),'Council Entry'!AU19)),IF(AND(ISNUMBER('Council Entry'!AU$8),ISNUMBER('Council Entry'!AU$9)),MAX(MIN('Council Entry'!AU19,'Council Entry'!AU$9),'Council Entry'!AU$8),'Council Entry'!AU19))))-'Council Entry'!AU$5)/('Council Entry'!AU$6-'Council Entry'!AU$5)),1))),"No data"))</f>
        <v/>
      </c>
      <c r="AV19" s="13">
        <f>IF('Council Entry'!AV19="","",IFERROR(MAX(0,MIN(10,ROUND(IF('Council Entry'!AV$7="Decrease Risk",10-10*((IF('Council Entry'!AV$4="Logarithm",LN(0.001+IF(AND(ISNUMBER('Council Entry'!AV$8),ISNUMBER('Council Entry'!AV$9)),MAX(MIN('Council Entry'!AV19,'Council Entry'!AV$9),'Council Entry'!AV$8),'Council Entry'!AV19)),IF('Council Entry'!AV$4="Exponential",EXP(IF(AND(ISNUMBER('Council Entry'!AV$8),ISNUMBER('Council Entry'!AV$9)),MAX(MIN('Council Entry'!AV19,'Council Entry'!AV$9),'Council Entry'!AV$8),'Council Entry'!AV19)),IF(AND(ISNUMBER('Council Entry'!AV$8),ISNUMBER('Council Entry'!AV$9)),MAX(MIN('Council Entry'!AV19,'Council Entry'!AV$9),'Council Entry'!AV$8),'Council Entry'!AV19))))-'Council Entry'!AV$5)/('Council Entry'!AV$6-'Council Entry'!AV$5),10*((IF('Council Entry'!AV$4="Logarithm",LN(0.001+IF(AND(ISNUMBER('Council Entry'!AV$8),ISNUMBER('Council Entry'!AV$9)),MAX(MIN('Council Entry'!AV19,'Council Entry'!AV$9),'Council Entry'!AV$8),'Council Entry'!AV19)),IF('Council Entry'!AV$4="Exponential",EXP(IF(AND(ISNUMBER('Council Entry'!AV$8),ISNUMBER('Council Entry'!AV$9)),MAX(MIN('Council Entry'!AV19,'Council Entry'!AV$9),'Council Entry'!AV$8),'Council Entry'!AV19)),IF(AND(ISNUMBER('Council Entry'!AV$8),ISNUMBER('Council Entry'!AV$9)),MAX(MIN('Council Entry'!AV19,'Council Entry'!AV$9),'Council Entry'!AV$8),'Council Entry'!AV19))))-'Council Entry'!AV$5)/('Council Entry'!AV$6-'Council Entry'!AV$5)),1))),"No data"))</f>
        <v/>
      </c>
      <c r="AW19" s="13">
        <f>IF('Council Entry'!AW19="","",IFERROR(MAX(0,MIN(10,ROUND(IF('Council Entry'!AW$7="Decrease Risk",10-10*((IF('Council Entry'!AW$4="Logarithm",LN(0.001+IF(AND(ISNUMBER('Council Entry'!AW$8),ISNUMBER('Council Entry'!AW$9)),MAX(MIN('Council Entry'!AW19,'Council Entry'!AW$9),'Council Entry'!AW$8),'Council Entry'!AW19)),IF('Council Entry'!AW$4="Exponential",EXP(IF(AND(ISNUMBER('Council Entry'!AW$8),ISNUMBER('Council Entry'!AW$9)),MAX(MIN('Council Entry'!AW19,'Council Entry'!AW$9),'Council Entry'!AW$8),'Council Entry'!AW19)),IF(AND(ISNUMBER('Council Entry'!AW$8),ISNUMBER('Council Entry'!AW$9)),MAX(MIN('Council Entry'!AW19,'Council Entry'!AW$9),'Council Entry'!AW$8),'Council Entry'!AW19))))-'Council Entry'!AW$5)/('Council Entry'!AW$6-'Council Entry'!AW$5),10*((IF('Council Entry'!AW$4="Logarithm",LN(0.001+IF(AND(ISNUMBER('Council Entry'!AW$8),ISNUMBER('Council Entry'!AW$9)),MAX(MIN('Council Entry'!AW19,'Council Entry'!AW$9),'Council Entry'!AW$8),'Council Entry'!AW19)),IF('Council Entry'!AW$4="Exponential",EXP(IF(AND(ISNUMBER('Council Entry'!AW$8),ISNUMBER('Council Entry'!AW$9)),MAX(MIN('Council Entry'!AW19,'Council Entry'!AW$9),'Council Entry'!AW$8),'Council Entry'!AW19)),IF(AND(ISNUMBER('Council Entry'!AW$8),ISNUMBER('Council Entry'!AW$9)),MAX(MIN('Council Entry'!AW19,'Council Entry'!AW$9),'Council Entry'!AW$8),'Council Entry'!AW19))))-'Council Entry'!AW$5)/('Council Entry'!AW$6-'Council Entry'!AW$5)),1))),"No data"))</f>
        <v/>
      </c>
      <c r="AX19" s="13">
        <f>IF('Council Entry'!AX19="","",IFERROR(MAX(0,MIN(10,ROUND(IF('Council Entry'!AX$7="Decrease Risk",10-10*((IF('Council Entry'!AX$4="Logarithm",LN(0.001+IF(AND(ISNUMBER('Council Entry'!AX$8),ISNUMBER('Council Entry'!AX$9)),MAX(MIN('Council Entry'!AX19,'Council Entry'!AX$9),'Council Entry'!AX$8),'Council Entry'!AX19)),IF('Council Entry'!AX$4="Exponential",EXP(IF(AND(ISNUMBER('Council Entry'!AX$8),ISNUMBER('Council Entry'!AX$9)),MAX(MIN('Council Entry'!AX19,'Council Entry'!AX$9),'Council Entry'!AX$8),'Council Entry'!AX19)),IF(AND(ISNUMBER('Council Entry'!AX$8),ISNUMBER('Council Entry'!AX$9)),MAX(MIN('Council Entry'!AX19,'Council Entry'!AX$9),'Council Entry'!AX$8),'Council Entry'!AX19))))-'Council Entry'!AX$5)/('Council Entry'!AX$6-'Council Entry'!AX$5),10*((IF('Council Entry'!AX$4="Logarithm",LN(0.001+IF(AND(ISNUMBER('Council Entry'!AX$8),ISNUMBER('Council Entry'!AX$9)),MAX(MIN('Council Entry'!AX19,'Council Entry'!AX$9),'Council Entry'!AX$8),'Council Entry'!AX19)),IF('Council Entry'!AX$4="Exponential",EXP(IF(AND(ISNUMBER('Council Entry'!AX$8),ISNUMBER('Council Entry'!AX$9)),MAX(MIN('Council Entry'!AX19,'Council Entry'!AX$9),'Council Entry'!AX$8),'Council Entry'!AX19)),IF(AND(ISNUMBER('Council Entry'!AX$8),ISNUMBER('Council Entry'!AX$9)),MAX(MIN('Council Entry'!AX19,'Council Entry'!AX$9),'Council Entry'!AX$8),'Council Entry'!AX19))))-'Council Entry'!AX$5)/('Council Entry'!AX$6-'Council Entry'!AX$5)),1))),"No data"))</f>
        <v/>
      </c>
      <c r="AY19" s="13">
        <f>IF('Council Entry'!AY19="","",IFERROR(MAX(0,MIN(10,ROUND(IF('Council Entry'!AY$7="Decrease Risk",10-10*((IF('Council Entry'!AY$4="Logarithm",LN(0.001+IF(AND(ISNUMBER('Council Entry'!AY$8),ISNUMBER('Council Entry'!AY$9)),MAX(MIN('Council Entry'!AY19,'Council Entry'!AY$9),'Council Entry'!AY$8),'Council Entry'!AY19)),IF('Council Entry'!AY$4="Exponential",EXP(IF(AND(ISNUMBER('Council Entry'!AY$8),ISNUMBER('Council Entry'!AY$9)),MAX(MIN('Council Entry'!AY19,'Council Entry'!AY$9),'Council Entry'!AY$8),'Council Entry'!AY19)),IF(AND(ISNUMBER('Council Entry'!AY$8),ISNUMBER('Council Entry'!AY$9)),MAX(MIN('Council Entry'!AY19,'Council Entry'!AY$9),'Council Entry'!AY$8),'Council Entry'!AY19))))-'Council Entry'!AY$5)/('Council Entry'!AY$6-'Council Entry'!AY$5),10*((IF('Council Entry'!AY$4="Logarithm",LN(0.001+IF(AND(ISNUMBER('Council Entry'!AY$8),ISNUMBER('Council Entry'!AY$9)),MAX(MIN('Council Entry'!AY19,'Council Entry'!AY$9),'Council Entry'!AY$8),'Council Entry'!AY19)),IF('Council Entry'!AY$4="Exponential",EXP(IF(AND(ISNUMBER('Council Entry'!AY$8),ISNUMBER('Council Entry'!AY$9)),MAX(MIN('Council Entry'!AY19,'Council Entry'!AY$9),'Council Entry'!AY$8),'Council Entry'!AY19)),IF(AND(ISNUMBER('Council Entry'!AY$8),ISNUMBER('Council Entry'!AY$9)),MAX(MIN('Council Entry'!AY19,'Council Entry'!AY$9),'Council Entry'!AY$8),'Council Entry'!AY19))))-'Council Entry'!AY$5)/('Council Entry'!AY$6-'Council Entry'!AY$5)),1))),"No data"))</f>
        <v/>
      </c>
      <c r="AZ19" s="13">
        <f>IF('Council Entry'!AZ19="","",IFERROR(MAX(0,MIN(10,ROUND(IF('Council Entry'!AZ$7="Decrease Risk",10-10*((IF('Council Entry'!AZ$4="Logarithm",LN(0.001+IF(AND(ISNUMBER('Council Entry'!AZ$8),ISNUMBER('Council Entry'!AZ$9)),MAX(MIN('Council Entry'!AZ19,'Council Entry'!AZ$9),'Council Entry'!AZ$8),'Council Entry'!AZ19)),IF('Council Entry'!AZ$4="Exponential",EXP(IF(AND(ISNUMBER('Council Entry'!AZ$8),ISNUMBER('Council Entry'!AZ$9)),MAX(MIN('Council Entry'!AZ19,'Council Entry'!AZ$9),'Council Entry'!AZ$8),'Council Entry'!AZ19)),IF(AND(ISNUMBER('Council Entry'!AZ$8),ISNUMBER('Council Entry'!AZ$9)),MAX(MIN('Council Entry'!AZ19,'Council Entry'!AZ$9),'Council Entry'!AZ$8),'Council Entry'!AZ19))))-'Council Entry'!AZ$5)/('Council Entry'!AZ$6-'Council Entry'!AZ$5),10*((IF('Council Entry'!AZ$4="Logarithm",LN(0.001+IF(AND(ISNUMBER('Council Entry'!AZ$8),ISNUMBER('Council Entry'!AZ$9)),MAX(MIN('Council Entry'!AZ19,'Council Entry'!AZ$9),'Council Entry'!AZ$8),'Council Entry'!AZ19)),IF('Council Entry'!AZ$4="Exponential",EXP(IF(AND(ISNUMBER('Council Entry'!AZ$8),ISNUMBER('Council Entry'!AZ$9)),MAX(MIN('Council Entry'!AZ19,'Council Entry'!AZ$9),'Council Entry'!AZ$8),'Council Entry'!AZ19)),IF(AND(ISNUMBER('Council Entry'!AZ$8),ISNUMBER('Council Entry'!AZ$9)),MAX(MIN('Council Entry'!AZ19,'Council Entry'!AZ$9),'Council Entry'!AZ$8),'Council Entry'!AZ19))))-'Council Entry'!AZ$5)/('Council Entry'!AZ$6-'Council Entry'!AZ$5)),1))),"No data"))</f>
        <v/>
      </c>
      <c r="BA19" s="13">
        <f>IF('Council Entry'!BA19="","",IFERROR(MAX(0,MIN(10,ROUND(IF('Council Entry'!BA$7="Decrease Risk",10-10*((IF('Council Entry'!BA$4="Logarithm",LN(0.001+IF(AND(ISNUMBER('Council Entry'!BA$8),ISNUMBER('Council Entry'!BA$9)),MAX(MIN('Council Entry'!BA19,'Council Entry'!BA$9),'Council Entry'!BA$8),'Council Entry'!BA19)),IF('Council Entry'!BA$4="Exponential",EXP(IF(AND(ISNUMBER('Council Entry'!BA$8),ISNUMBER('Council Entry'!BA$9)),MAX(MIN('Council Entry'!BA19,'Council Entry'!BA$9),'Council Entry'!BA$8),'Council Entry'!BA19)),IF(AND(ISNUMBER('Council Entry'!BA$8),ISNUMBER('Council Entry'!BA$9)),MAX(MIN('Council Entry'!BA19,'Council Entry'!BA$9),'Council Entry'!BA$8),'Council Entry'!BA19))))-'Council Entry'!BA$5)/('Council Entry'!BA$6-'Council Entry'!BA$5),10*((IF('Council Entry'!BA$4="Logarithm",LN(0.001+IF(AND(ISNUMBER('Council Entry'!BA$8),ISNUMBER('Council Entry'!BA$9)),MAX(MIN('Council Entry'!BA19,'Council Entry'!BA$9),'Council Entry'!BA$8),'Council Entry'!BA19)),IF('Council Entry'!BA$4="Exponential",EXP(IF(AND(ISNUMBER('Council Entry'!BA$8),ISNUMBER('Council Entry'!BA$9)),MAX(MIN('Council Entry'!BA19,'Council Entry'!BA$9),'Council Entry'!BA$8),'Council Entry'!BA19)),IF(AND(ISNUMBER('Council Entry'!BA$8),ISNUMBER('Council Entry'!BA$9)),MAX(MIN('Council Entry'!BA19,'Council Entry'!BA$9),'Council Entry'!BA$8),'Council Entry'!BA19))))-'Council Entry'!BA$5)/('Council Entry'!BA$6-'Council Entry'!BA$5)),1))),"No data"))</f>
        <v/>
      </c>
      <c r="BB19" s="13">
        <f>IF('Council Entry'!BB19="","",IFERROR(MAX(0,MIN(10,ROUND(IF('Council Entry'!BB$7="Decrease Risk",10-10*((IF('Council Entry'!BB$4="Logarithm",LN(0.001+IF(AND(ISNUMBER('Council Entry'!BB$8),ISNUMBER('Council Entry'!BB$9)),MAX(MIN('Council Entry'!BB19,'Council Entry'!BB$9),'Council Entry'!BB$8),'Council Entry'!BB19)),IF('Council Entry'!BB$4="Exponential",EXP(IF(AND(ISNUMBER('Council Entry'!BB$8),ISNUMBER('Council Entry'!BB$9)),MAX(MIN('Council Entry'!BB19,'Council Entry'!BB$9),'Council Entry'!BB$8),'Council Entry'!BB19)),IF(AND(ISNUMBER('Council Entry'!BB$8),ISNUMBER('Council Entry'!BB$9)),MAX(MIN('Council Entry'!BB19,'Council Entry'!BB$9),'Council Entry'!BB$8),'Council Entry'!BB19))))-'Council Entry'!BB$5)/('Council Entry'!BB$6-'Council Entry'!BB$5),10*((IF('Council Entry'!BB$4="Logarithm",LN(0.001+IF(AND(ISNUMBER('Council Entry'!BB$8),ISNUMBER('Council Entry'!BB$9)),MAX(MIN('Council Entry'!BB19,'Council Entry'!BB$9),'Council Entry'!BB$8),'Council Entry'!BB19)),IF('Council Entry'!BB$4="Exponential",EXP(IF(AND(ISNUMBER('Council Entry'!BB$8),ISNUMBER('Council Entry'!BB$9)),MAX(MIN('Council Entry'!BB19,'Council Entry'!BB$9),'Council Entry'!BB$8),'Council Entry'!BB19)),IF(AND(ISNUMBER('Council Entry'!BB$8),ISNUMBER('Council Entry'!BB$9)),MAX(MIN('Council Entry'!BB19,'Council Entry'!BB$9),'Council Entry'!BB$8),'Council Entry'!BB19))))-'Council Entry'!BB$5)/('Council Entry'!BB$6-'Council Entry'!BB$5)),1))),"No data"))</f>
        <v/>
      </c>
      <c r="BC19" s="13">
        <f>IF('Council Entry'!BC19="","",IFERROR(MAX(0,MIN(10,ROUND(IF('Council Entry'!BC$7="Decrease Risk",10-10*((IF('Council Entry'!BC$4="Logarithm",LN(0.001+IF(AND(ISNUMBER('Council Entry'!BC$8),ISNUMBER('Council Entry'!BC$9)),MAX(MIN('Council Entry'!BC19,'Council Entry'!BC$9),'Council Entry'!BC$8),'Council Entry'!BC19)),IF('Council Entry'!BC$4="Exponential",EXP(IF(AND(ISNUMBER('Council Entry'!BC$8),ISNUMBER('Council Entry'!BC$9)),MAX(MIN('Council Entry'!BC19,'Council Entry'!BC$9),'Council Entry'!BC$8),'Council Entry'!BC19)),IF(AND(ISNUMBER('Council Entry'!BC$8),ISNUMBER('Council Entry'!BC$9)),MAX(MIN('Council Entry'!BC19,'Council Entry'!BC$9),'Council Entry'!BC$8),'Council Entry'!BC19))))-'Council Entry'!BC$5)/('Council Entry'!BC$6-'Council Entry'!BC$5),10*((IF('Council Entry'!BC$4="Logarithm",LN(0.001+IF(AND(ISNUMBER('Council Entry'!BC$8),ISNUMBER('Council Entry'!BC$9)),MAX(MIN('Council Entry'!BC19,'Council Entry'!BC$9),'Council Entry'!BC$8),'Council Entry'!BC19)),IF('Council Entry'!BC$4="Exponential",EXP(IF(AND(ISNUMBER('Council Entry'!BC$8),ISNUMBER('Council Entry'!BC$9)),MAX(MIN('Council Entry'!BC19,'Council Entry'!BC$9),'Council Entry'!BC$8),'Council Entry'!BC19)),IF(AND(ISNUMBER('Council Entry'!BC$8),ISNUMBER('Council Entry'!BC$9)),MAX(MIN('Council Entry'!BC19,'Council Entry'!BC$9),'Council Entry'!BC$8),'Council Entry'!BC19))))-'Council Entry'!BC$5)/('Council Entry'!BC$6-'Council Entry'!BC$5)),1))),"No data"))</f>
        <v/>
      </c>
      <c r="BD19" s="13">
        <f>IF('Council Entry'!BD19="","",IFERROR(MAX(0,MIN(10,ROUND(IF('Council Entry'!BD$7="Decrease Risk",10-10*((IF('Council Entry'!BD$4="Logarithm",LN(0.001+IF(AND(ISNUMBER('Council Entry'!BD$8),ISNUMBER('Council Entry'!BD$9)),MAX(MIN('Council Entry'!BD19,'Council Entry'!BD$9),'Council Entry'!BD$8),'Council Entry'!BD19)),IF('Council Entry'!BD$4="Exponential",EXP(IF(AND(ISNUMBER('Council Entry'!BD$8),ISNUMBER('Council Entry'!BD$9)),MAX(MIN('Council Entry'!BD19,'Council Entry'!BD$9),'Council Entry'!BD$8),'Council Entry'!BD19)),IF(AND(ISNUMBER('Council Entry'!BD$8),ISNUMBER('Council Entry'!BD$9)),MAX(MIN('Council Entry'!BD19,'Council Entry'!BD$9),'Council Entry'!BD$8),'Council Entry'!BD19))))-'Council Entry'!BD$5)/('Council Entry'!BD$6-'Council Entry'!BD$5),10*((IF('Council Entry'!BD$4="Logarithm",LN(0.001+IF(AND(ISNUMBER('Council Entry'!BD$8),ISNUMBER('Council Entry'!BD$9)),MAX(MIN('Council Entry'!BD19,'Council Entry'!BD$9),'Council Entry'!BD$8),'Council Entry'!BD19)),IF('Council Entry'!BD$4="Exponential",EXP(IF(AND(ISNUMBER('Council Entry'!BD$8),ISNUMBER('Council Entry'!BD$9)),MAX(MIN('Council Entry'!BD19,'Council Entry'!BD$9),'Council Entry'!BD$8),'Council Entry'!BD19)),IF(AND(ISNUMBER('Council Entry'!BD$8),ISNUMBER('Council Entry'!BD$9)),MAX(MIN('Council Entry'!BD19,'Council Entry'!BD$9),'Council Entry'!BD$8),'Council Entry'!BD19))))-'Council Entry'!BD$5)/('Council Entry'!BD$6-'Council Entry'!BD$5)),1))),"No data"))</f>
        <v/>
      </c>
    </row>
    <row r="20">
      <c r="A20" t="inlineStr">
        <is>
          <t>Dar es Salaam</t>
        </is>
      </c>
      <c r="B20" t="inlineStr">
        <is>
          <t>Kinondoni Municipal</t>
        </is>
      </c>
      <c r="C20" t="inlineStr">
        <is>
          <t>C052</t>
        </is>
      </c>
      <c r="D20" s="13">
        <f>IF('Council Entry'!D20="","",IFERROR(MAX(0,MIN(10,ROUND(IF('Council Entry'!D$7="Decrease Risk",10-10*((IF('Council Entry'!D$4="Logarithm",LN(0.001+IF(AND(ISNUMBER('Council Entry'!D$8),ISNUMBER('Council Entry'!D$9)),MAX(MIN('Council Entry'!D20,'Council Entry'!D$9),'Council Entry'!D$8),'Council Entry'!D20)),IF('Council Entry'!D$4="Exponential",EXP(IF(AND(ISNUMBER('Council Entry'!D$8),ISNUMBER('Council Entry'!D$9)),MAX(MIN('Council Entry'!D20,'Council Entry'!D$9),'Council Entry'!D$8),'Council Entry'!D20)),IF(AND(ISNUMBER('Council Entry'!D$8),ISNUMBER('Council Entry'!D$9)),MAX(MIN('Council Entry'!D20,'Council Entry'!D$9),'Council Entry'!D$8),'Council Entry'!D20))))-'Council Entry'!D$5)/('Council Entry'!D$6-'Council Entry'!D$5),10*((IF('Council Entry'!D$4="Logarithm",LN(0.001+IF(AND(ISNUMBER('Council Entry'!D$8),ISNUMBER('Council Entry'!D$9)),MAX(MIN('Council Entry'!D20,'Council Entry'!D$9),'Council Entry'!D$8),'Council Entry'!D20)),IF('Council Entry'!D$4="Exponential",EXP(IF(AND(ISNUMBER('Council Entry'!D$8),ISNUMBER('Council Entry'!D$9)),MAX(MIN('Council Entry'!D20,'Council Entry'!D$9),'Council Entry'!D$8),'Council Entry'!D20)),IF(AND(ISNUMBER('Council Entry'!D$8),ISNUMBER('Council Entry'!D$9)),MAX(MIN('Council Entry'!D20,'Council Entry'!D$9),'Council Entry'!D$8),'Council Entry'!D20))))-'Council Entry'!D$5)/('Council Entry'!D$6-'Council Entry'!D$5)),1))),"No data"))</f>
        <v/>
      </c>
      <c r="E20" s="13">
        <f>IF('Council Entry'!E20="","",IFERROR(MAX(0,MIN(10,ROUND(IF('Council Entry'!E$7="Decrease Risk",10-10*((IF('Council Entry'!E$4="Logarithm",LN(0.001+IF(AND(ISNUMBER('Council Entry'!E$8),ISNUMBER('Council Entry'!E$9)),MAX(MIN('Council Entry'!E20,'Council Entry'!E$9),'Council Entry'!E$8),'Council Entry'!E20)),IF('Council Entry'!E$4="Exponential",EXP(IF(AND(ISNUMBER('Council Entry'!E$8),ISNUMBER('Council Entry'!E$9)),MAX(MIN('Council Entry'!E20,'Council Entry'!E$9),'Council Entry'!E$8),'Council Entry'!E20)),IF(AND(ISNUMBER('Council Entry'!E$8),ISNUMBER('Council Entry'!E$9)),MAX(MIN('Council Entry'!E20,'Council Entry'!E$9),'Council Entry'!E$8),'Council Entry'!E20))))-'Council Entry'!E$5)/('Council Entry'!E$6-'Council Entry'!E$5),10*((IF('Council Entry'!E$4="Logarithm",LN(0.001+IF(AND(ISNUMBER('Council Entry'!E$8),ISNUMBER('Council Entry'!E$9)),MAX(MIN('Council Entry'!E20,'Council Entry'!E$9),'Council Entry'!E$8),'Council Entry'!E20)),IF('Council Entry'!E$4="Exponential",EXP(IF(AND(ISNUMBER('Council Entry'!E$8),ISNUMBER('Council Entry'!E$9)),MAX(MIN('Council Entry'!E20,'Council Entry'!E$9),'Council Entry'!E$8),'Council Entry'!E20)),IF(AND(ISNUMBER('Council Entry'!E$8),ISNUMBER('Council Entry'!E$9)),MAX(MIN('Council Entry'!E20,'Council Entry'!E$9),'Council Entry'!E$8),'Council Entry'!E20))))-'Council Entry'!E$5)/('Council Entry'!E$6-'Council Entry'!E$5)),1))),"No data"))</f>
        <v/>
      </c>
      <c r="F20" s="13">
        <f>IF('Council Entry'!F20="","",IFERROR(MAX(0,MIN(10,ROUND(IF('Council Entry'!F$7="Decrease Risk",10-10*((IF('Council Entry'!F$4="Logarithm",LN(0.001+IF(AND(ISNUMBER('Council Entry'!F$8),ISNUMBER('Council Entry'!F$9)),MAX(MIN('Council Entry'!F20,'Council Entry'!F$9),'Council Entry'!F$8),'Council Entry'!F20)),IF('Council Entry'!F$4="Exponential",EXP(IF(AND(ISNUMBER('Council Entry'!F$8),ISNUMBER('Council Entry'!F$9)),MAX(MIN('Council Entry'!F20,'Council Entry'!F$9),'Council Entry'!F$8),'Council Entry'!F20)),IF(AND(ISNUMBER('Council Entry'!F$8),ISNUMBER('Council Entry'!F$9)),MAX(MIN('Council Entry'!F20,'Council Entry'!F$9),'Council Entry'!F$8),'Council Entry'!F20))))-'Council Entry'!F$5)/('Council Entry'!F$6-'Council Entry'!F$5),10*((IF('Council Entry'!F$4="Logarithm",LN(0.001+IF(AND(ISNUMBER('Council Entry'!F$8),ISNUMBER('Council Entry'!F$9)),MAX(MIN('Council Entry'!F20,'Council Entry'!F$9),'Council Entry'!F$8),'Council Entry'!F20)),IF('Council Entry'!F$4="Exponential",EXP(IF(AND(ISNUMBER('Council Entry'!F$8),ISNUMBER('Council Entry'!F$9)),MAX(MIN('Council Entry'!F20,'Council Entry'!F$9),'Council Entry'!F$8),'Council Entry'!F20)),IF(AND(ISNUMBER('Council Entry'!F$8),ISNUMBER('Council Entry'!F$9)),MAX(MIN('Council Entry'!F20,'Council Entry'!F$9),'Council Entry'!F$8),'Council Entry'!F20))))-'Council Entry'!F$5)/('Council Entry'!F$6-'Council Entry'!F$5)),1))),"No data"))</f>
        <v/>
      </c>
      <c r="G20" s="13">
        <f>IF('Council Entry'!G20="","",IFERROR(MAX(0,MIN(10,ROUND(IF('Council Entry'!G$7="Decrease Risk",10-10*((IF('Council Entry'!G$4="Logarithm",LN(0.001+IF(AND(ISNUMBER('Council Entry'!G$8),ISNUMBER('Council Entry'!G$9)),MAX(MIN('Council Entry'!G20,'Council Entry'!G$9),'Council Entry'!G$8),'Council Entry'!G20)),IF('Council Entry'!G$4="Exponential",EXP(IF(AND(ISNUMBER('Council Entry'!G$8),ISNUMBER('Council Entry'!G$9)),MAX(MIN('Council Entry'!G20,'Council Entry'!G$9),'Council Entry'!G$8),'Council Entry'!G20)),IF(AND(ISNUMBER('Council Entry'!G$8),ISNUMBER('Council Entry'!G$9)),MAX(MIN('Council Entry'!G20,'Council Entry'!G$9),'Council Entry'!G$8),'Council Entry'!G20))))-'Council Entry'!G$5)/('Council Entry'!G$6-'Council Entry'!G$5),10*((IF('Council Entry'!G$4="Logarithm",LN(0.001+IF(AND(ISNUMBER('Council Entry'!G$8),ISNUMBER('Council Entry'!G$9)),MAX(MIN('Council Entry'!G20,'Council Entry'!G$9),'Council Entry'!G$8),'Council Entry'!G20)),IF('Council Entry'!G$4="Exponential",EXP(IF(AND(ISNUMBER('Council Entry'!G$8),ISNUMBER('Council Entry'!G$9)),MAX(MIN('Council Entry'!G20,'Council Entry'!G$9),'Council Entry'!G$8),'Council Entry'!G20)),IF(AND(ISNUMBER('Council Entry'!G$8),ISNUMBER('Council Entry'!G$9)),MAX(MIN('Council Entry'!G20,'Council Entry'!G$9),'Council Entry'!G$8),'Council Entry'!G20))))-'Council Entry'!G$5)/('Council Entry'!G$6-'Council Entry'!G$5)),1))),"No data"))</f>
        <v/>
      </c>
      <c r="H20" s="13">
        <f>IF('Council Entry'!H20="","",IFERROR(MAX(0,MIN(10,ROUND(IF('Council Entry'!H$7="Decrease Risk",10-10*((IF('Council Entry'!H$4="Logarithm",LN(0.001+IF(AND(ISNUMBER('Council Entry'!H$8),ISNUMBER('Council Entry'!H$9)),MAX(MIN('Council Entry'!H20,'Council Entry'!H$9),'Council Entry'!H$8),'Council Entry'!H20)),IF('Council Entry'!H$4="Exponential",EXP(IF(AND(ISNUMBER('Council Entry'!H$8),ISNUMBER('Council Entry'!H$9)),MAX(MIN('Council Entry'!H20,'Council Entry'!H$9),'Council Entry'!H$8),'Council Entry'!H20)),IF(AND(ISNUMBER('Council Entry'!H$8),ISNUMBER('Council Entry'!H$9)),MAX(MIN('Council Entry'!H20,'Council Entry'!H$9),'Council Entry'!H$8),'Council Entry'!H20))))-'Council Entry'!H$5)/('Council Entry'!H$6-'Council Entry'!H$5),10*((IF('Council Entry'!H$4="Logarithm",LN(0.001+IF(AND(ISNUMBER('Council Entry'!H$8),ISNUMBER('Council Entry'!H$9)),MAX(MIN('Council Entry'!H20,'Council Entry'!H$9),'Council Entry'!H$8),'Council Entry'!H20)),IF('Council Entry'!H$4="Exponential",EXP(IF(AND(ISNUMBER('Council Entry'!H$8),ISNUMBER('Council Entry'!H$9)),MAX(MIN('Council Entry'!H20,'Council Entry'!H$9),'Council Entry'!H$8),'Council Entry'!H20)),IF(AND(ISNUMBER('Council Entry'!H$8),ISNUMBER('Council Entry'!H$9)),MAX(MIN('Council Entry'!H20,'Council Entry'!H$9),'Council Entry'!H$8),'Council Entry'!H20))))-'Council Entry'!H$5)/('Council Entry'!H$6-'Council Entry'!H$5)),1))),"No data"))</f>
        <v/>
      </c>
      <c r="I20" s="13">
        <f>IF('Council Entry'!I20="","",IFERROR(MAX(0,MIN(10,ROUND(IF('Council Entry'!I$7="Decrease Risk",10-10*((IF('Council Entry'!I$4="Logarithm",LN(0.001+IF(AND(ISNUMBER('Council Entry'!I$8),ISNUMBER('Council Entry'!I$9)),MAX(MIN('Council Entry'!I20,'Council Entry'!I$9),'Council Entry'!I$8),'Council Entry'!I20)),IF('Council Entry'!I$4="Exponential",EXP(IF(AND(ISNUMBER('Council Entry'!I$8),ISNUMBER('Council Entry'!I$9)),MAX(MIN('Council Entry'!I20,'Council Entry'!I$9),'Council Entry'!I$8),'Council Entry'!I20)),IF(AND(ISNUMBER('Council Entry'!I$8),ISNUMBER('Council Entry'!I$9)),MAX(MIN('Council Entry'!I20,'Council Entry'!I$9),'Council Entry'!I$8),'Council Entry'!I20))))-'Council Entry'!I$5)/('Council Entry'!I$6-'Council Entry'!I$5),10*((IF('Council Entry'!I$4="Logarithm",LN(0.001+IF(AND(ISNUMBER('Council Entry'!I$8),ISNUMBER('Council Entry'!I$9)),MAX(MIN('Council Entry'!I20,'Council Entry'!I$9),'Council Entry'!I$8),'Council Entry'!I20)),IF('Council Entry'!I$4="Exponential",EXP(IF(AND(ISNUMBER('Council Entry'!I$8),ISNUMBER('Council Entry'!I$9)),MAX(MIN('Council Entry'!I20,'Council Entry'!I$9),'Council Entry'!I$8),'Council Entry'!I20)),IF(AND(ISNUMBER('Council Entry'!I$8),ISNUMBER('Council Entry'!I$9)),MAX(MIN('Council Entry'!I20,'Council Entry'!I$9),'Council Entry'!I$8),'Council Entry'!I20))))-'Council Entry'!I$5)/('Council Entry'!I$6-'Council Entry'!I$5)),1))),"No data"))</f>
        <v/>
      </c>
      <c r="J20" s="13">
        <f>IF('Council Entry'!J20="","",IFERROR(MAX(0,MIN(10,ROUND(IF('Council Entry'!J$7="Decrease Risk",10-10*((IF('Council Entry'!J$4="Logarithm",LN(0.001+IF(AND(ISNUMBER('Council Entry'!J$8),ISNUMBER('Council Entry'!J$9)),MAX(MIN('Council Entry'!J20,'Council Entry'!J$9),'Council Entry'!J$8),'Council Entry'!J20)),IF('Council Entry'!J$4="Exponential",EXP(IF(AND(ISNUMBER('Council Entry'!J$8),ISNUMBER('Council Entry'!J$9)),MAX(MIN('Council Entry'!J20,'Council Entry'!J$9),'Council Entry'!J$8),'Council Entry'!J20)),IF(AND(ISNUMBER('Council Entry'!J$8),ISNUMBER('Council Entry'!J$9)),MAX(MIN('Council Entry'!J20,'Council Entry'!J$9),'Council Entry'!J$8),'Council Entry'!J20))))-'Council Entry'!J$5)/('Council Entry'!J$6-'Council Entry'!J$5),10*((IF('Council Entry'!J$4="Logarithm",LN(0.001+IF(AND(ISNUMBER('Council Entry'!J$8),ISNUMBER('Council Entry'!J$9)),MAX(MIN('Council Entry'!J20,'Council Entry'!J$9),'Council Entry'!J$8),'Council Entry'!J20)),IF('Council Entry'!J$4="Exponential",EXP(IF(AND(ISNUMBER('Council Entry'!J$8),ISNUMBER('Council Entry'!J$9)),MAX(MIN('Council Entry'!J20,'Council Entry'!J$9),'Council Entry'!J$8),'Council Entry'!J20)),IF(AND(ISNUMBER('Council Entry'!J$8),ISNUMBER('Council Entry'!J$9)),MAX(MIN('Council Entry'!J20,'Council Entry'!J$9),'Council Entry'!J$8),'Council Entry'!J20))))-'Council Entry'!J$5)/('Council Entry'!J$6-'Council Entry'!J$5)),1))),"No data"))</f>
        <v/>
      </c>
      <c r="K20" s="13">
        <f>IF('Council Entry'!K20="","",IFERROR(MAX(0,MIN(10,ROUND(IF('Council Entry'!K$7="Decrease Risk",10-10*((IF('Council Entry'!K$4="Logarithm",LN(0.001+IF(AND(ISNUMBER('Council Entry'!K$8),ISNUMBER('Council Entry'!K$9)),MAX(MIN('Council Entry'!K20,'Council Entry'!K$9),'Council Entry'!K$8),'Council Entry'!K20)),IF('Council Entry'!K$4="Exponential",EXP(IF(AND(ISNUMBER('Council Entry'!K$8),ISNUMBER('Council Entry'!K$9)),MAX(MIN('Council Entry'!K20,'Council Entry'!K$9),'Council Entry'!K$8),'Council Entry'!K20)),IF(AND(ISNUMBER('Council Entry'!K$8),ISNUMBER('Council Entry'!K$9)),MAX(MIN('Council Entry'!K20,'Council Entry'!K$9),'Council Entry'!K$8),'Council Entry'!K20))))-'Council Entry'!K$5)/('Council Entry'!K$6-'Council Entry'!K$5),10*((IF('Council Entry'!K$4="Logarithm",LN(0.001+IF(AND(ISNUMBER('Council Entry'!K$8),ISNUMBER('Council Entry'!K$9)),MAX(MIN('Council Entry'!K20,'Council Entry'!K$9),'Council Entry'!K$8),'Council Entry'!K20)),IF('Council Entry'!K$4="Exponential",EXP(IF(AND(ISNUMBER('Council Entry'!K$8),ISNUMBER('Council Entry'!K$9)),MAX(MIN('Council Entry'!K20,'Council Entry'!K$9),'Council Entry'!K$8),'Council Entry'!K20)),IF(AND(ISNUMBER('Council Entry'!K$8),ISNUMBER('Council Entry'!K$9)),MAX(MIN('Council Entry'!K20,'Council Entry'!K$9),'Council Entry'!K$8),'Council Entry'!K20))))-'Council Entry'!K$5)/('Council Entry'!K$6-'Council Entry'!K$5)),1))),"No data"))</f>
        <v/>
      </c>
      <c r="L20" s="13">
        <f>IF('Council Entry'!L20="","",IFERROR(MAX(0,MIN(10,ROUND(IF('Council Entry'!L$7="Decrease Risk",10-10*((IF('Council Entry'!L$4="Logarithm",LN(0.001+IF(AND(ISNUMBER('Council Entry'!L$8),ISNUMBER('Council Entry'!L$9)),MAX(MIN('Council Entry'!L20,'Council Entry'!L$9),'Council Entry'!L$8),'Council Entry'!L20)),IF('Council Entry'!L$4="Exponential",EXP(IF(AND(ISNUMBER('Council Entry'!L$8),ISNUMBER('Council Entry'!L$9)),MAX(MIN('Council Entry'!L20,'Council Entry'!L$9),'Council Entry'!L$8),'Council Entry'!L20)),IF(AND(ISNUMBER('Council Entry'!L$8),ISNUMBER('Council Entry'!L$9)),MAX(MIN('Council Entry'!L20,'Council Entry'!L$9),'Council Entry'!L$8),'Council Entry'!L20))))-'Council Entry'!L$5)/('Council Entry'!L$6-'Council Entry'!L$5),10*((IF('Council Entry'!L$4="Logarithm",LN(0.001+IF(AND(ISNUMBER('Council Entry'!L$8),ISNUMBER('Council Entry'!L$9)),MAX(MIN('Council Entry'!L20,'Council Entry'!L$9),'Council Entry'!L$8),'Council Entry'!L20)),IF('Council Entry'!L$4="Exponential",EXP(IF(AND(ISNUMBER('Council Entry'!L$8),ISNUMBER('Council Entry'!L$9)),MAX(MIN('Council Entry'!L20,'Council Entry'!L$9),'Council Entry'!L$8),'Council Entry'!L20)),IF(AND(ISNUMBER('Council Entry'!L$8),ISNUMBER('Council Entry'!L$9)),MAX(MIN('Council Entry'!L20,'Council Entry'!L$9),'Council Entry'!L$8),'Council Entry'!L20))))-'Council Entry'!L$5)/('Council Entry'!L$6-'Council Entry'!L$5)),1))),"No data"))</f>
        <v/>
      </c>
      <c r="M20" s="13">
        <f>IF('Council Entry'!M20="","",IFERROR(MAX(0,MIN(10,ROUND(IF('Council Entry'!M$7="Decrease Risk",10-10*((IF('Council Entry'!M$4="Logarithm",LN(0.001+IF(AND(ISNUMBER('Council Entry'!M$8),ISNUMBER('Council Entry'!M$9)),MAX(MIN('Council Entry'!M20,'Council Entry'!M$9),'Council Entry'!M$8),'Council Entry'!M20)),IF('Council Entry'!M$4="Exponential",EXP(IF(AND(ISNUMBER('Council Entry'!M$8),ISNUMBER('Council Entry'!M$9)),MAX(MIN('Council Entry'!M20,'Council Entry'!M$9),'Council Entry'!M$8),'Council Entry'!M20)),IF(AND(ISNUMBER('Council Entry'!M$8),ISNUMBER('Council Entry'!M$9)),MAX(MIN('Council Entry'!M20,'Council Entry'!M$9),'Council Entry'!M$8),'Council Entry'!M20))))-'Council Entry'!M$5)/('Council Entry'!M$6-'Council Entry'!M$5),10*((IF('Council Entry'!M$4="Logarithm",LN(0.001+IF(AND(ISNUMBER('Council Entry'!M$8),ISNUMBER('Council Entry'!M$9)),MAX(MIN('Council Entry'!M20,'Council Entry'!M$9),'Council Entry'!M$8),'Council Entry'!M20)),IF('Council Entry'!M$4="Exponential",EXP(IF(AND(ISNUMBER('Council Entry'!M$8),ISNUMBER('Council Entry'!M$9)),MAX(MIN('Council Entry'!M20,'Council Entry'!M$9),'Council Entry'!M$8),'Council Entry'!M20)),IF(AND(ISNUMBER('Council Entry'!M$8),ISNUMBER('Council Entry'!M$9)),MAX(MIN('Council Entry'!M20,'Council Entry'!M$9),'Council Entry'!M$8),'Council Entry'!M20))))-'Council Entry'!M$5)/('Council Entry'!M$6-'Council Entry'!M$5)),1))),"No data"))</f>
        <v/>
      </c>
      <c r="N20" s="13">
        <f>IF('Council Entry'!N20="","",IFERROR(MAX(0,MIN(10,ROUND(IF('Council Entry'!N$7="Decrease Risk",10-10*((IF('Council Entry'!N$4="Logarithm",LN(0.001+IF(AND(ISNUMBER('Council Entry'!N$8),ISNUMBER('Council Entry'!N$9)),MAX(MIN('Council Entry'!N20,'Council Entry'!N$9),'Council Entry'!N$8),'Council Entry'!N20)),IF('Council Entry'!N$4="Exponential",EXP(IF(AND(ISNUMBER('Council Entry'!N$8),ISNUMBER('Council Entry'!N$9)),MAX(MIN('Council Entry'!N20,'Council Entry'!N$9),'Council Entry'!N$8),'Council Entry'!N20)),IF(AND(ISNUMBER('Council Entry'!N$8),ISNUMBER('Council Entry'!N$9)),MAX(MIN('Council Entry'!N20,'Council Entry'!N$9),'Council Entry'!N$8),'Council Entry'!N20))))-'Council Entry'!N$5)/('Council Entry'!N$6-'Council Entry'!N$5),10*((IF('Council Entry'!N$4="Logarithm",LN(0.001+IF(AND(ISNUMBER('Council Entry'!N$8),ISNUMBER('Council Entry'!N$9)),MAX(MIN('Council Entry'!N20,'Council Entry'!N$9),'Council Entry'!N$8),'Council Entry'!N20)),IF('Council Entry'!N$4="Exponential",EXP(IF(AND(ISNUMBER('Council Entry'!N$8),ISNUMBER('Council Entry'!N$9)),MAX(MIN('Council Entry'!N20,'Council Entry'!N$9),'Council Entry'!N$8),'Council Entry'!N20)),IF(AND(ISNUMBER('Council Entry'!N$8),ISNUMBER('Council Entry'!N$9)),MAX(MIN('Council Entry'!N20,'Council Entry'!N$9),'Council Entry'!N$8),'Council Entry'!N20))))-'Council Entry'!N$5)/('Council Entry'!N$6-'Council Entry'!N$5)),1))),"No data"))</f>
        <v/>
      </c>
      <c r="O20" s="13">
        <f>IF('Council Entry'!O20="","",IFERROR(MAX(0,MIN(10,ROUND(IF('Council Entry'!O$7="Decrease Risk",10-10*((IF('Council Entry'!O$4="Logarithm",LN(0.001+IF(AND(ISNUMBER('Council Entry'!O$8),ISNUMBER('Council Entry'!O$9)),MAX(MIN('Council Entry'!O20,'Council Entry'!O$9),'Council Entry'!O$8),'Council Entry'!O20)),IF('Council Entry'!O$4="Exponential",EXP(IF(AND(ISNUMBER('Council Entry'!O$8),ISNUMBER('Council Entry'!O$9)),MAX(MIN('Council Entry'!O20,'Council Entry'!O$9),'Council Entry'!O$8),'Council Entry'!O20)),IF(AND(ISNUMBER('Council Entry'!O$8),ISNUMBER('Council Entry'!O$9)),MAX(MIN('Council Entry'!O20,'Council Entry'!O$9),'Council Entry'!O$8),'Council Entry'!O20))))-'Council Entry'!O$5)/('Council Entry'!O$6-'Council Entry'!O$5),10*((IF('Council Entry'!O$4="Logarithm",LN(0.001+IF(AND(ISNUMBER('Council Entry'!O$8),ISNUMBER('Council Entry'!O$9)),MAX(MIN('Council Entry'!O20,'Council Entry'!O$9),'Council Entry'!O$8),'Council Entry'!O20)),IF('Council Entry'!O$4="Exponential",EXP(IF(AND(ISNUMBER('Council Entry'!O$8),ISNUMBER('Council Entry'!O$9)),MAX(MIN('Council Entry'!O20,'Council Entry'!O$9),'Council Entry'!O$8),'Council Entry'!O20)),IF(AND(ISNUMBER('Council Entry'!O$8),ISNUMBER('Council Entry'!O$9)),MAX(MIN('Council Entry'!O20,'Council Entry'!O$9),'Council Entry'!O$8),'Council Entry'!O20))))-'Council Entry'!O$5)/('Council Entry'!O$6-'Council Entry'!O$5)),1))),"No data"))</f>
        <v/>
      </c>
      <c r="P20" s="13">
        <f>IF('Council Entry'!P20="","",IFERROR(MAX(0,MIN(10,ROUND(IF('Council Entry'!P$7="Decrease Risk",10-10*((IF('Council Entry'!P$4="Logarithm",LN(0.001+IF(AND(ISNUMBER('Council Entry'!P$8),ISNUMBER('Council Entry'!P$9)),MAX(MIN('Council Entry'!P20,'Council Entry'!P$9),'Council Entry'!P$8),'Council Entry'!P20)),IF('Council Entry'!P$4="Exponential",EXP(IF(AND(ISNUMBER('Council Entry'!P$8),ISNUMBER('Council Entry'!P$9)),MAX(MIN('Council Entry'!P20,'Council Entry'!P$9),'Council Entry'!P$8),'Council Entry'!P20)),IF(AND(ISNUMBER('Council Entry'!P$8),ISNUMBER('Council Entry'!P$9)),MAX(MIN('Council Entry'!P20,'Council Entry'!P$9),'Council Entry'!P$8),'Council Entry'!P20))))-'Council Entry'!P$5)/('Council Entry'!P$6-'Council Entry'!P$5),10*((IF('Council Entry'!P$4="Logarithm",LN(0.001+IF(AND(ISNUMBER('Council Entry'!P$8),ISNUMBER('Council Entry'!P$9)),MAX(MIN('Council Entry'!P20,'Council Entry'!P$9),'Council Entry'!P$8),'Council Entry'!P20)),IF('Council Entry'!P$4="Exponential",EXP(IF(AND(ISNUMBER('Council Entry'!P$8),ISNUMBER('Council Entry'!P$9)),MAX(MIN('Council Entry'!P20,'Council Entry'!P$9),'Council Entry'!P$8),'Council Entry'!P20)),IF(AND(ISNUMBER('Council Entry'!P$8),ISNUMBER('Council Entry'!P$9)),MAX(MIN('Council Entry'!P20,'Council Entry'!P$9),'Council Entry'!P$8),'Council Entry'!P20))))-'Council Entry'!P$5)/('Council Entry'!P$6-'Council Entry'!P$5)),1))),"No data"))</f>
        <v/>
      </c>
      <c r="Q20" s="13">
        <f>IF('Council Entry'!Q20="","",IFERROR(MAX(0,MIN(10,ROUND(IF('Council Entry'!Q$7="Decrease Risk",10-10*((IF('Council Entry'!Q$4="Logarithm",LN(0.001+IF(AND(ISNUMBER('Council Entry'!Q$8),ISNUMBER('Council Entry'!Q$9)),MAX(MIN('Council Entry'!Q20,'Council Entry'!Q$9),'Council Entry'!Q$8),'Council Entry'!Q20)),IF('Council Entry'!Q$4="Exponential",EXP(IF(AND(ISNUMBER('Council Entry'!Q$8),ISNUMBER('Council Entry'!Q$9)),MAX(MIN('Council Entry'!Q20,'Council Entry'!Q$9),'Council Entry'!Q$8),'Council Entry'!Q20)),IF(AND(ISNUMBER('Council Entry'!Q$8),ISNUMBER('Council Entry'!Q$9)),MAX(MIN('Council Entry'!Q20,'Council Entry'!Q$9),'Council Entry'!Q$8),'Council Entry'!Q20))))-'Council Entry'!Q$5)/('Council Entry'!Q$6-'Council Entry'!Q$5),10*((IF('Council Entry'!Q$4="Logarithm",LN(0.001+IF(AND(ISNUMBER('Council Entry'!Q$8),ISNUMBER('Council Entry'!Q$9)),MAX(MIN('Council Entry'!Q20,'Council Entry'!Q$9),'Council Entry'!Q$8),'Council Entry'!Q20)),IF('Council Entry'!Q$4="Exponential",EXP(IF(AND(ISNUMBER('Council Entry'!Q$8),ISNUMBER('Council Entry'!Q$9)),MAX(MIN('Council Entry'!Q20,'Council Entry'!Q$9),'Council Entry'!Q$8),'Council Entry'!Q20)),IF(AND(ISNUMBER('Council Entry'!Q$8),ISNUMBER('Council Entry'!Q$9)),MAX(MIN('Council Entry'!Q20,'Council Entry'!Q$9),'Council Entry'!Q$8),'Council Entry'!Q20))))-'Council Entry'!Q$5)/('Council Entry'!Q$6-'Council Entry'!Q$5)),1))),"No data"))</f>
        <v/>
      </c>
      <c r="R20" s="13">
        <f>IF('Council Entry'!R20="","",IFERROR(MAX(0,MIN(10,ROUND(IF('Council Entry'!R$7="Decrease Risk",10-10*((IF('Council Entry'!R$4="Logarithm",LN(0.001+IF(AND(ISNUMBER('Council Entry'!R$8),ISNUMBER('Council Entry'!R$9)),MAX(MIN('Council Entry'!R20,'Council Entry'!R$9),'Council Entry'!R$8),'Council Entry'!R20)),IF('Council Entry'!R$4="Exponential",EXP(IF(AND(ISNUMBER('Council Entry'!R$8),ISNUMBER('Council Entry'!R$9)),MAX(MIN('Council Entry'!R20,'Council Entry'!R$9),'Council Entry'!R$8),'Council Entry'!R20)),IF(AND(ISNUMBER('Council Entry'!R$8),ISNUMBER('Council Entry'!R$9)),MAX(MIN('Council Entry'!R20,'Council Entry'!R$9),'Council Entry'!R$8),'Council Entry'!R20))))-'Council Entry'!R$5)/('Council Entry'!R$6-'Council Entry'!R$5),10*((IF('Council Entry'!R$4="Logarithm",LN(0.001+IF(AND(ISNUMBER('Council Entry'!R$8),ISNUMBER('Council Entry'!R$9)),MAX(MIN('Council Entry'!R20,'Council Entry'!R$9),'Council Entry'!R$8),'Council Entry'!R20)),IF('Council Entry'!R$4="Exponential",EXP(IF(AND(ISNUMBER('Council Entry'!R$8),ISNUMBER('Council Entry'!R$9)),MAX(MIN('Council Entry'!R20,'Council Entry'!R$9),'Council Entry'!R$8),'Council Entry'!R20)),IF(AND(ISNUMBER('Council Entry'!R$8),ISNUMBER('Council Entry'!R$9)),MAX(MIN('Council Entry'!R20,'Council Entry'!R$9),'Council Entry'!R$8),'Council Entry'!R20))))-'Council Entry'!R$5)/('Council Entry'!R$6-'Council Entry'!R$5)),1))),"No data"))</f>
        <v/>
      </c>
      <c r="S20" s="13">
        <f>IF('Council Entry'!S20="","",IFERROR(MAX(0,MIN(10,ROUND(IF('Council Entry'!S$7="Decrease Risk",10-10*((IF('Council Entry'!S$4="Logarithm",LN(0.001+IF(AND(ISNUMBER('Council Entry'!S$8),ISNUMBER('Council Entry'!S$9)),MAX(MIN('Council Entry'!S20,'Council Entry'!S$9),'Council Entry'!S$8),'Council Entry'!S20)),IF('Council Entry'!S$4="Exponential",EXP(IF(AND(ISNUMBER('Council Entry'!S$8),ISNUMBER('Council Entry'!S$9)),MAX(MIN('Council Entry'!S20,'Council Entry'!S$9),'Council Entry'!S$8),'Council Entry'!S20)),IF(AND(ISNUMBER('Council Entry'!S$8),ISNUMBER('Council Entry'!S$9)),MAX(MIN('Council Entry'!S20,'Council Entry'!S$9),'Council Entry'!S$8),'Council Entry'!S20))))-'Council Entry'!S$5)/('Council Entry'!S$6-'Council Entry'!S$5),10*((IF('Council Entry'!S$4="Logarithm",LN(0.001+IF(AND(ISNUMBER('Council Entry'!S$8),ISNUMBER('Council Entry'!S$9)),MAX(MIN('Council Entry'!S20,'Council Entry'!S$9),'Council Entry'!S$8),'Council Entry'!S20)),IF('Council Entry'!S$4="Exponential",EXP(IF(AND(ISNUMBER('Council Entry'!S$8),ISNUMBER('Council Entry'!S$9)),MAX(MIN('Council Entry'!S20,'Council Entry'!S$9),'Council Entry'!S$8),'Council Entry'!S20)),IF(AND(ISNUMBER('Council Entry'!S$8),ISNUMBER('Council Entry'!S$9)),MAX(MIN('Council Entry'!S20,'Council Entry'!S$9),'Council Entry'!S$8),'Council Entry'!S20))))-'Council Entry'!S$5)/('Council Entry'!S$6-'Council Entry'!S$5)),1))),"No data"))</f>
        <v/>
      </c>
      <c r="T20" s="13">
        <f>IF('Council Entry'!T20="","",IFERROR(MAX(0,MIN(10,ROUND(IF('Council Entry'!T$7="Decrease Risk",10-10*((IF('Council Entry'!T$4="Logarithm",LN(0.001+IF(AND(ISNUMBER('Council Entry'!T$8),ISNUMBER('Council Entry'!T$9)),MAX(MIN('Council Entry'!T20,'Council Entry'!T$9),'Council Entry'!T$8),'Council Entry'!T20)),IF('Council Entry'!T$4="Exponential",EXP(IF(AND(ISNUMBER('Council Entry'!T$8),ISNUMBER('Council Entry'!T$9)),MAX(MIN('Council Entry'!T20,'Council Entry'!T$9),'Council Entry'!T$8),'Council Entry'!T20)),IF(AND(ISNUMBER('Council Entry'!T$8),ISNUMBER('Council Entry'!T$9)),MAX(MIN('Council Entry'!T20,'Council Entry'!T$9),'Council Entry'!T$8),'Council Entry'!T20))))-'Council Entry'!T$5)/('Council Entry'!T$6-'Council Entry'!T$5),10*((IF('Council Entry'!T$4="Logarithm",LN(0.001+IF(AND(ISNUMBER('Council Entry'!T$8),ISNUMBER('Council Entry'!T$9)),MAX(MIN('Council Entry'!T20,'Council Entry'!T$9),'Council Entry'!T$8),'Council Entry'!T20)),IF('Council Entry'!T$4="Exponential",EXP(IF(AND(ISNUMBER('Council Entry'!T$8),ISNUMBER('Council Entry'!T$9)),MAX(MIN('Council Entry'!T20,'Council Entry'!T$9),'Council Entry'!T$8),'Council Entry'!T20)),IF(AND(ISNUMBER('Council Entry'!T$8),ISNUMBER('Council Entry'!T$9)),MAX(MIN('Council Entry'!T20,'Council Entry'!T$9),'Council Entry'!T$8),'Council Entry'!T20))))-'Council Entry'!T$5)/('Council Entry'!T$6-'Council Entry'!T$5)),1))),"No data"))</f>
        <v/>
      </c>
      <c r="U20" s="13">
        <f>IF('Council Entry'!U20="","",IFERROR(MAX(0,MIN(10,ROUND(IF('Council Entry'!U$7="Decrease Risk",10-10*((IF('Council Entry'!U$4="Logarithm",LN(0.001+IF(AND(ISNUMBER('Council Entry'!U$8),ISNUMBER('Council Entry'!U$9)),MAX(MIN('Council Entry'!U20,'Council Entry'!U$9),'Council Entry'!U$8),'Council Entry'!U20)),IF('Council Entry'!U$4="Exponential",EXP(IF(AND(ISNUMBER('Council Entry'!U$8),ISNUMBER('Council Entry'!U$9)),MAX(MIN('Council Entry'!U20,'Council Entry'!U$9),'Council Entry'!U$8),'Council Entry'!U20)),IF(AND(ISNUMBER('Council Entry'!U$8),ISNUMBER('Council Entry'!U$9)),MAX(MIN('Council Entry'!U20,'Council Entry'!U$9),'Council Entry'!U$8),'Council Entry'!U20))))-'Council Entry'!U$5)/('Council Entry'!U$6-'Council Entry'!U$5),10*((IF('Council Entry'!U$4="Logarithm",LN(0.001+IF(AND(ISNUMBER('Council Entry'!U$8),ISNUMBER('Council Entry'!U$9)),MAX(MIN('Council Entry'!U20,'Council Entry'!U$9),'Council Entry'!U$8),'Council Entry'!U20)),IF('Council Entry'!U$4="Exponential",EXP(IF(AND(ISNUMBER('Council Entry'!U$8),ISNUMBER('Council Entry'!U$9)),MAX(MIN('Council Entry'!U20,'Council Entry'!U$9),'Council Entry'!U$8),'Council Entry'!U20)),IF(AND(ISNUMBER('Council Entry'!U$8),ISNUMBER('Council Entry'!U$9)),MAX(MIN('Council Entry'!U20,'Council Entry'!U$9),'Council Entry'!U$8),'Council Entry'!U20))))-'Council Entry'!U$5)/('Council Entry'!U$6-'Council Entry'!U$5)),1))),"No data"))</f>
        <v/>
      </c>
      <c r="V20" s="13">
        <f>IF('Council Entry'!V20="","",IFERROR(MAX(0,MIN(10,ROUND(IF('Council Entry'!V$7="Decrease Risk",10-10*((IF('Council Entry'!V$4="Logarithm",LN(0.001+IF(AND(ISNUMBER('Council Entry'!V$8),ISNUMBER('Council Entry'!V$9)),MAX(MIN('Council Entry'!V20,'Council Entry'!V$9),'Council Entry'!V$8),'Council Entry'!V20)),IF('Council Entry'!V$4="Exponential",EXP(IF(AND(ISNUMBER('Council Entry'!V$8),ISNUMBER('Council Entry'!V$9)),MAX(MIN('Council Entry'!V20,'Council Entry'!V$9),'Council Entry'!V$8),'Council Entry'!V20)),IF(AND(ISNUMBER('Council Entry'!V$8),ISNUMBER('Council Entry'!V$9)),MAX(MIN('Council Entry'!V20,'Council Entry'!V$9),'Council Entry'!V$8),'Council Entry'!V20))))-'Council Entry'!V$5)/('Council Entry'!V$6-'Council Entry'!V$5),10*((IF('Council Entry'!V$4="Logarithm",LN(0.001+IF(AND(ISNUMBER('Council Entry'!V$8),ISNUMBER('Council Entry'!V$9)),MAX(MIN('Council Entry'!V20,'Council Entry'!V$9),'Council Entry'!V$8),'Council Entry'!V20)),IF('Council Entry'!V$4="Exponential",EXP(IF(AND(ISNUMBER('Council Entry'!V$8),ISNUMBER('Council Entry'!V$9)),MAX(MIN('Council Entry'!V20,'Council Entry'!V$9),'Council Entry'!V$8),'Council Entry'!V20)),IF(AND(ISNUMBER('Council Entry'!V$8),ISNUMBER('Council Entry'!V$9)),MAX(MIN('Council Entry'!V20,'Council Entry'!V$9),'Council Entry'!V$8),'Council Entry'!V20))))-'Council Entry'!V$5)/('Council Entry'!V$6-'Council Entry'!V$5)),1))),"No data"))</f>
        <v/>
      </c>
      <c r="W20" s="13">
        <f>IF('Council Entry'!W20="","",IFERROR(MAX(0,MIN(10,ROUND(IF('Council Entry'!W$7="Decrease Risk",10-10*((IF('Council Entry'!W$4="Logarithm",LN(0.001+IF(AND(ISNUMBER('Council Entry'!W$8),ISNUMBER('Council Entry'!W$9)),MAX(MIN('Council Entry'!W20,'Council Entry'!W$9),'Council Entry'!W$8),'Council Entry'!W20)),IF('Council Entry'!W$4="Exponential",EXP(IF(AND(ISNUMBER('Council Entry'!W$8),ISNUMBER('Council Entry'!W$9)),MAX(MIN('Council Entry'!W20,'Council Entry'!W$9),'Council Entry'!W$8),'Council Entry'!W20)),IF(AND(ISNUMBER('Council Entry'!W$8),ISNUMBER('Council Entry'!W$9)),MAX(MIN('Council Entry'!W20,'Council Entry'!W$9),'Council Entry'!W$8),'Council Entry'!W20))))-'Council Entry'!W$5)/('Council Entry'!W$6-'Council Entry'!W$5),10*((IF('Council Entry'!W$4="Logarithm",LN(0.001+IF(AND(ISNUMBER('Council Entry'!W$8),ISNUMBER('Council Entry'!W$9)),MAX(MIN('Council Entry'!W20,'Council Entry'!W$9),'Council Entry'!W$8),'Council Entry'!W20)),IF('Council Entry'!W$4="Exponential",EXP(IF(AND(ISNUMBER('Council Entry'!W$8),ISNUMBER('Council Entry'!W$9)),MAX(MIN('Council Entry'!W20,'Council Entry'!W$9),'Council Entry'!W$8),'Council Entry'!W20)),IF(AND(ISNUMBER('Council Entry'!W$8),ISNUMBER('Council Entry'!W$9)),MAX(MIN('Council Entry'!W20,'Council Entry'!W$9),'Council Entry'!W$8),'Council Entry'!W20))))-'Council Entry'!W$5)/('Council Entry'!W$6-'Council Entry'!W$5)),1))),"No data"))</f>
        <v/>
      </c>
      <c r="X20" s="13">
        <f>IF('Council Entry'!X20="","",IFERROR(MAX(0,MIN(10,ROUND(IF('Council Entry'!X$7="Decrease Risk",10-10*((IF('Council Entry'!X$4="Logarithm",LN(0.001+IF(AND(ISNUMBER('Council Entry'!X$8),ISNUMBER('Council Entry'!X$9)),MAX(MIN('Council Entry'!X20,'Council Entry'!X$9),'Council Entry'!X$8),'Council Entry'!X20)),IF('Council Entry'!X$4="Exponential",EXP(IF(AND(ISNUMBER('Council Entry'!X$8),ISNUMBER('Council Entry'!X$9)),MAX(MIN('Council Entry'!X20,'Council Entry'!X$9),'Council Entry'!X$8),'Council Entry'!X20)),IF(AND(ISNUMBER('Council Entry'!X$8),ISNUMBER('Council Entry'!X$9)),MAX(MIN('Council Entry'!X20,'Council Entry'!X$9),'Council Entry'!X$8),'Council Entry'!X20))))-'Council Entry'!X$5)/('Council Entry'!X$6-'Council Entry'!X$5),10*((IF('Council Entry'!X$4="Logarithm",LN(0.001+IF(AND(ISNUMBER('Council Entry'!X$8),ISNUMBER('Council Entry'!X$9)),MAX(MIN('Council Entry'!X20,'Council Entry'!X$9),'Council Entry'!X$8),'Council Entry'!X20)),IF('Council Entry'!X$4="Exponential",EXP(IF(AND(ISNUMBER('Council Entry'!X$8),ISNUMBER('Council Entry'!X$9)),MAX(MIN('Council Entry'!X20,'Council Entry'!X$9),'Council Entry'!X$8),'Council Entry'!X20)),IF(AND(ISNUMBER('Council Entry'!X$8),ISNUMBER('Council Entry'!X$9)),MAX(MIN('Council Entry'!X20,'Council Entry'!X$9),'Council Entry'!X$8),'Council Entry'!X20))))-'Council Entry'!X$5)/('Council Entry'!X$6-'Council Entry'!X$5)),1))),"No data"))</f>
        <v/>
      </c>
      <c r="Y20" s="13">
        <f>IF('Council Entry'!Y20="","",IFERROR(MAX(0,MIN(10,ROUND(IF('Council Entry'!Y$7="Decrease Risk",10-10*((IF('Council Entry'!Y$4="Logarithm",LN(0.001+IF(AND(ISNUMBER('Council Entry'!Y$8),ISNUMBER('Council Entry'!Y$9)),MAX(MIN('Council Entry'!Y20,'Council Entry'!Y$9),'Council Entry'!Y$8),'Council Entry'!Y20)),IF('Council Entry'!Y$4="Exponential",EXP(IF(AND(ISNUMBER('Council Entry'!Y$8),ISNUMBER('Council Entry'!Y$9)),MAX(MIN('Council Entry'!Y20,'Council Entry'!Y$9),'Council Entry'!Y$8),'Council Entry'!Y20)),IF(AND(ISNUMBER('Council Entry'!Y$8),ISNUMBER('Council Entry'!Y$9)),MAX(MIN('Council Entry'!Y20,'Council Entry'!Y$9),'Council Entry'!Y$8),'Council Entry'!Y20))))-'Council Entry'!Y$5)/('Council Entry'!Y$6-'Council Entry'!Y$5),10*((IF('Council Entry'!Y$4="Logarithm",LN(0.001+IF(AND(ISNUMBER('Council Entry'!Y$8),ISNUMBER('Council Entry'!Y$9)),MAX(MIN('Council Entry'!Y20,'Council Entry'!Y$9),'Council Entry'!Y$8),'Council Entry'!Y20)),IF('Council Entry'!Y$4="Exponential",EXP(IF(AND(ISNUMBER('Council Entry'!Y$8),ISNUMBER('Council Entry'!Y$9)),MAX(MIN('Council Entry'!Y20,'Council Entry'!Y$9),'Council Entry'!Y$8),'Council Entry'!Y20)),IF(AND(ISNUMBER('Council Entry'!Y$8),ISNUMBER('Council Entry'!Y$9)),MAX(MIN('Council Entry'!Y20,'Council Entry'!Y$9),'Council Entry'!Y$8),'Council Entry'!Y20))))-'Council Entry'!Y$5)/('Council Entry'!Y$6-'Council Entry'!Y$5)),1))),"No data"))</f>
        <v/>
      </c>
      <c r="Z20" s="13">
        <f>IF('Council Entry'!Z20="","",IFERROR(MAX(0,MIN(10,ROUND(IF('Council Entry'!Z$7="Decrease Risk",10-10*((IF('Council Entry'!Z$4="Logarithm",LN(0.001+IF(AND(ISNUMBER('Council Entry'!Z$8),ISNUMBER('Council Entry'!Z$9)),MAX(MIN('Council Entry'!Z20,'Council Entry'!Z$9),'Council Entry'!Z$8),'Council Entry'!Z20)),IF('Council Entry'!Z$4="Exponential",EXP(IF(AND(ISNUMBER('Council Entry'!Z$8),ISNUMBER('Council Entry'!Z$9)),MAX(MIN('Council Entry'!Z20,'Council Entry'!Z$9),'Council Entry'!Z$8),'Council Entry'!Z20)),IF(AND(ISNUMBER('Council Entry'!Z$8),ISNUMBER('Council Entry'!Z$9)),MAX(MIN('Council Entry'!Z20,'Council Entry'!Z$9),'Council Entry'!Z$8),'Council Entry'!Z20))))-'Council Entry'!Z$5)/('Council Entry'!Z$6-'Council Entry'!Z$5),10*((IF('Council Entry'!Z$4="Logarithm",LN(0.001+IF(AND(ISNUMBER('Council Entry'!Z$8),ISNUMBER('Council Entry'!Z$9)),MAX(MIN('Council Entry'!Z20,'Council Entry'!Z$9),'Council Entry'!Z$8),'Council Entry'!Z20)),IF('Council Entry'!Z$4="Exponential",EXP(IF(AND(ISNUMBER('Council Entry'!Z$8),ISNUMBER('Council Entry'!Z$9)),MAX(MIN('Council Entry'!Z20,'Council Entry'!Z$9),'Council Entry'!Z$8),'Council Entry'!Z20)),IF(AND(ISNUMBER('Council Entry'!Z$8),ISNUMBER('Council Entry'!Z$9)),MAX(MIN('Council Entry'!Z20,'Council Entry'!Z$9),'Council Entry'!Z$8),'Council Entry'!Z20))))-'Council Entry'!Z$5)/('Council Entry'!Z$6-'Council Entry'!Z$5)),1))),"No data"))</f>
        <v/>
      </c>
      <c r="AA20" s="13">
        <f>IF('Council Entry'!AA20="","",IFERROR(MAX(0,MIN(10,ROUND(IF('Council Entry'!AA$7="Decrease Risk",10-10*((IF('Council Entry'!AA$4="Logarithm",LN(0.001+IF(AND(ISNUMBER('Council Entry'!AA$8),ISNUMBER('Council Entry'!AA$9)),MAX(MIN('Council Entry'!AA20,'Council Entry'!AA$9),'Council Entry'!AA$8),'Council Entry'!AA20)),IF('Council Entry'!AA$4="Exponential",EXP(IF(AND(ISNUMBER('Council Entry'!AA$8),ISNUMBER('Council Entry'!AA$9)),MAX(MIN('Council Entry'!AA20,'Council Entry'!AA$9),'Council Entry'!AA$8),'Council Entry'!AA20)),IF(AND(ISNUMBER('Council Entry'!AA$8),ISNUMBER('Council Entry'!AA$9)),MAX(MIN('Council Entry'!AA20,'Council Entry'!AA$9),'Council Entry'!AA$8),'Council Entry'!AA20))))-'Council Entry'!AA$5)/('Council Entry'!AA$6-'Council Entry'!AA$5),10*((IF('Council Entry'!AA$4="Logarithm",LN(0.001+IF(AND(ISNUMBER('Council Entry'!AA$8),ISNUMBER('Council Entry'!AA$9)),MAX(MIN('Council Entry'!AA20,'Council Entry'!AA$9),'Council Entry'!AA$8),'Council Entry'!AA20)),IF('Council Entry'!AA$4="Exponential",EXP(IF(AND(ISNUMBER('Council Entry'!AA$8),ISNUMBER('Council Entry'!AA$9)),MAX(MIN('Council Entry'!AA20,'Council Entry'!AA$9),'Council Entry'!AA$8),'Council Entry'!AA20)),IF(AND(ISNUMBER('Council Entry'!AA$8),ISNUMBER('Council Entry'!AA$9)),MAX(MIN('Council Entry'!AA20,'Council Entry'!AA$9),'Council Entry'!AA$8),'Council Entry'!AA20))))-'Council Entry'!AA$5)/('Council Entry'!AA$6-'Council Entry'!AA$5)),1))),"No data"))</f>
        <v/>
      </c>
      <c r="AB20" s="13">
        <f>IF('Council Entry'!AB20="","",IFERROR(MAX(0,MIN(10,ROUND(IF('Council Entry'!AB$7="Decrease Risk",10-10*((IF('Council Entry'!AB$4="Logarithm",LN(0.001+IF(AND(ISNUMBER('Council Entry'!AB$8),ISNUMBER('Council Entry'!AB$9)),MAX(MIN('Council Entry'!AB20,'Council Entry'!AB$9),'Council Entry'!AB$8),'Council Entry'!AB20)),IF('Council Entry'!AB$4="Exponential",EXP(IF(AND(ISNUMBER('Council Entry'!AB$8),ISNUMBER('Council Entry'!AB$9)),MAX(MIN('Council Entry'!AB20,'Council Entry'!AB$9),'Council Entry'!AB$8),'Council Entry'!AB20)),IF(AND(ISNUMBER('Council Entry'!AB$8),ISNUMBER('Council Entry'!AB$9)),MAX(MIN('Council Entry'!AB20,'Council Entry'!AB$9),'Council Entry'!AB$8),'Council Entry'!AB20))))-'Council Entry'!AB$5)/('Council Entry'!AB$6-'Council Entry'!AB$5),10*((IF('Council Entry'!AB$4="Logarithm",LN(0.001+IF(AND(ISNUMBER('Council Entry'!AB$8),ISNUMBER('Council Entry'!AB$9)),MAX(MIN('Council Entry'!AB20,'Council Entry'!AB$9),'Council Entry'!AB$8),'Council Entry'!AB20)),IF('Council Entry'!AB$4="Exponential",EXP(IF(AND(ISNUMBER('Council Entry'!AB$8),ISNUMBER('Council Entry'!AB$9)),MAX(MIN('Council Entry'!AB20,'Council Entry'!AB$9),'Council Entry'!AB$8),'Council Entry'!AB20)),IF(AND(ISNUMBER('Council Entry'!AB$8),ISNUMBER('Council Entry'!AB$9)),MAX(MIN('Council Entry'!AB20,'Council Entry'!AB$9),'Council Entry'!AB$8),'Council Entry'!AB20))))-'Council Entry'!AB$5)/('Council Entry'!AB$6-'Council Entry'!AB$5)),1))),"No data"))</f>
        <v/>
      </c>
      <c r="AC20" s="13">
        <f>IF('Council Entry'!AC20="","",IFERROR(MAX(0,MIN(10,ROUND(IF('Council Entry'!AC$7="Decrease Risk",10-10*((IF('Council Entry'!AC$4="Logarithm",LN(0.001+IF(AND(ISNUMBER('Council Entry'!AC$8),ISNUMBER('Council Entry'!AC$9)),MAX(MIN('Council Entry'!AC20,'Council Entry'!AC$9),'Council Entry'!AC$8),'Council Entry'!AC20)),IF('Council Entry'!AC$4="Exponential",EXP(IF(AND(ISNUMBER('Council Entry'!AC$8),ISNUMBER('Council Entry'!AC$9)),MAX(MIN('Council Entry'!AC20,'Council Entry'!AC$9),'Council Entry'!AC$8),'Council Entry'!AC20)),IF(AND(ISNUMBER('Council Entry'!AC$8),ISNUMBER('Council Entry'!AC$9)),MAX(MIN('Council Entry'!AC20,'Council Entry'!AC$9),'Council Entry'!AC$8),'Council Entry'!AC20))))-'Council Entry'!AC$5)/('Council Entry'!AC$6-'Council Entry'!AC$5),10*((IF('Council Entry'!AC$4="Logarithm",LN(0.001+IF(AND(ISNUMBER('Council Entry'!AC$8),ISNUMBER('Council Entry'!AC$9)),MAX(MIN('Council Entry'!AC20,'Council Entry'!AC$9),'Council Entry'!AC$8),'Council Entry'!AC20)),IF('Council Entry'!AC$4="Exponential",EXP(IF(AND(ISNUMBER('Council Entry'!AC$8),ISNUMBER('Council Entry'!AC$9)),MAX(MIN('Council Entry'!AC20,'Council Entry'!AC$9),'Council Entry'!AC$8),'Council Entry'!AC20)),IF(AND(ISNUMBER('Council Entry'!AC$8),ISNUMBER('Council Entry'!AC$9)),MAX(MIN('Council Entry'!AC20,'Council Entry'!AC$9),'Council Entry'!AC$8),'Council Entry'!AC20))))-'Council Entry'!AC$5)/('Council Entry'!AC$6-'Council Entry'!AC$5)),1))),"No data"))</f>
        <v/>
      </c>
      <c r="AD20" s="13">
        <f>IF('Council Entry'!AD20="","",IFERROR(MAX(0,MIN(10,ROUND(IF('Council Entry'!AD$7="Decrease Risk",10-10*((IF('Council Entry'!AD$4="Logarithm",LN(0.001+IF(AND(ISNUMBER('Council Entry'!AD$8),ISNUMBER('Council Entry'!AD$9)),MAX(MIN('Council Entry'!AD20,'Council Entry'!AD$9),'Council Entry'!AD$8),'Council Entry'!AD20)),IF('Council Entry'!AD$4="Exponential",EXP(IF(AND(ISNUMBER('Council Entry'!AD$8),ISNUMBER('Council Entry'!AD$9)),MAX(MIN('Council Entry'!AD20,'Council Entry'!AD$9),'Council Entry'!AD$8),'Council Entry'!AD20)),IF(AND(ISNUMBER('Council Entry'!AD$8),ISNUMBER('Council Entry'!AD$9)),MAX(MIN('Council Entry'!AD20,'Council Entry'!AD$9),'Council Entry'!AD$8),'Council Entry'!AD20))))-'Council Entry'!AD$5)/('Council Entry'!AD$6-'Council Entry'!AD$5),10*((IF('Council Entry'!AD$4="Logarithm",LN(0.001+IF(AND(ISNUMBER('Council Entry'!AD$8),ISNUMBER('Council Entry'!AD$9)),MAX(MIN('Council Entry'!AD20,'Council Entry'!AD$9),'Council Entry'!AD$8),'Council Entry'!AD20)),IF('Council Entry'!AD$4="Exponential",EXP(IF(AND(ISNUMBER('Council Entry'!AD$8),ISNUMBER('Council Entry'!AD$9)),MAX(MIN('Council Entry'!AD20,'Council Entry'!AD$9),'Council Entry'!AD$8),'Council Entry'!AD20)),IF(AND(ISNUMBER('Council Entry'!AD$8),ISNUMBER('Council Entry'!AD$9)),MAX(MIN('Council Entry'!AD20,'Council Entry'!AD$9),'Council Entry'!AD$8),'Council Entry'!AD20))))-'Council Entry'!AD$5)/('Council Entry'!AD$6-'Council Entry'!AD$5)),1))),"No data"))</f>
        <v/>
      </c>
      <c r="AE20" s="13">
        <f>IF('Council Entry'!AE20="","",IFERROR(MAX(0,MIN(10,ROUND(IF('Council Entry'!AE$7="Decrease Risk",10-10*((IF('Council Entry'!AE$4="Logarithm",LN(0.001+IF(AND(ISNUMBER('Council Entry'!AE$8),ISNUMBER('Council Entry'!AE$9)),MAX(MIN('Council Entry'!AE20,'Council Entry'!AE$9),'Council Entry'!AE$8),'Council Entry'!AE20)),IF('Council Entry'!AE$4="Exponential",EXP(IF(AND(ISNUMBER('Council Entry'!AE$8),ISNUMBER('Council Entry'!AE$9)),MAX(MIN('Council Entry'!AE20,'Council Entry'!AE$9),'Council Entry'!AE$8),'Council Entry'!AE20)),IF(AND(ISNUMBER('Council Entry'!AE$8),ISNUMBER('Council Entry'!AE$9)),MAX(MIN('Council Entry'!AE20,'Council Entry'!AE$9),'Council Entry'!AE$8),'Council Entry'!AE20))))-'Council Entry'!AE$5)/('Council Entry'!AE$6-'Council Entry'!AE$5),10*((IF('Council Entry'!AE$4="Logarithm",LN(0.001+IF(AND(ISNUMBER('Council Entry'!AE$8),ISNUMBER('Council Entry'!AE$9)),MAX(MIN('Council Entry'!AE20,'Council Entry'!AE$9),'Council Entry'!AE$8),'Council Entry'!AE20)),IF('Council Entry'!AE$4="Exponential",EXP(IF(AND(ISNUMBER('Council Entry'!AE$8),ISNUMBER('Council Entry'!AE$9)),MAX(MIN('Council Entry'!AE20,'Council Entry'!AE$9),'Council Entry'!AE$8),'Council Entry'!AE20)),IF(AND(ISNUMBER('Council Entry'!AE$8),ISNUMBER('Council Entry'!AE$9)),MAX(MIN('Council Entry'!AE20,'Council Entry'!AE$9),'Council Entry'!AE$8),'Council Entry'!AE20))))-'Council Entry'!AE$5)/('Council Entry'!AE$6-'Council Entry'!AE$5)),1))),"No data"))</f>
        <v/>
      </c>
      <c r="AF20" s="13">
        <f>IF('Council Entry'!AF20="","",IFERROR(MAX(0,MIN(10,ROUND(IF('Council Entry'!AF$7="Decrease Risk",10-10*((IF('Council Entry'!AF$4="Logarithm",LN(0.001+IF(AND(ISNUMBER('Council Entry'!AF$8),ISNUMBER('Council Entry'!AF$9)),MAX(MIN('Council Entry'!AF20,'Council Entry'!AF$9),'Council Entry'!AF$8),'Council Entry'!AF20)),IF('Council Entry'!AF$4="Exponential",EXP(IF(AND(ISNUMBER('Council Entry'!AF$8),ISNUMBER('Council Entry'!AF$9)),MAX(MIN('Council Entry'!AF20,'Council Entry'!AF$9),'Council Entry'!AF$8),'Council Entry'!AF20)),IF(AND(ISNUMBER('Council Entry'!AF$8),ISNUMBER('Council Entry'!AF$9)),MAX(MIN('Council Entry'!AF20,'Council Entry'!AF$9),'Council Entry'!AF$8),'Council Entry'!AF20))))-'Council Entry'!AF$5)/('Council Entry'!AF$6-'Council Entry'!AF$5),10*((IF('Council Entry'!AF$4="Logarithm",LN(0.001+IF(AND(ISNUMBER('Council Entry'!AF$8),ISNUMBER('Council Entry'!AF$9)),MAX(MIN('Council Entry'!AF20,'Council Entry'!AF$9),'Council Entry'!AF$8),'Council Entry'!AF20)),IF('Council Entry'!AF$4="Exponential",EXP(IF(AND(ISNUMBER('Council Entry'!AF$8),ISNUMBER('Council Entry'!AF$9)),MAX(MIN('Council Entry'!AF20,'Council Entry'!AF$9),'Council Entry'!AF$8),'Council Entry'!AF20)),IF(AND(ISNUMBER('Council Entry'!AF$8),ISNUMBER('Council Entry'!AF$9)),MAX(MIN('Council Entry'!AF20,'Council Entry'!AF$9),'Council Entry'!AF$8),'Council Entry'!AF20))))-'Council Entry'!AF$5)/('Council Entry'!AF$6-'Council Entry'!AF$5)),1))),"No data"))</f>
        <v/>
      </c>
      <c r="AG20" s="13">
        <f>IF('Council Entry'!AG20="","",IFERROR(MAX(0,MIN(10,ROUND(IF('Council Entry'!AG$7="Decrease Risk",10-10*((IF('Council Entry'!AG$4="Logarithm",LN(0.001+IF(AND(ISNUMBER('Council Entry'!AG$8),ISNUMBER('Council Entry'!AG$9)),MAX(MIN('Council Entry'!AG20,'Council Entry'!AG$9),'Council Entry'!AG$8),'Council Entry'!AG20)),IF('Council Entry'!AG$4="Exponential",EXP(IF(AND(ISNUMBER('Council Entry'!AG$8),ISNUMBER('Council Entry'!AG$9)),MAX(MIN('Council Entry'!AG20,'Council Entry'!AG$9),'Council Entry'!AG$8),'Council Entry'!AG20)),IF(AND(ISNUMBER('Council Entry'!AG$8),ISNUMBER('Council Entry'!AG$9)),MAX(MIN('Council Entry'!AG20,'Council Entry'!AG$9),'Council Entry'!AG$8),'Council Entry'!AG20))))-'Council Entry'!AG$5)/('Council Entry'!AG$6-'Council Entry'!AG$5),10*((IF('Council Entry'!AG$4="Logarithm",LN(0.001+IF(AND(ISNUMBER('Council Entry'!AG$8),ISNUMBER('Council Entry'!AG$9)),MAX(MIN('Council Entry'!AG20,'Council Entry'!AG$9),'Council Entry'!AG$8),'Council Entry'!AG20)),IF('Council Entry'!AG$4="Exponential",EXP(IF(AND(ISNUMBER('Council Entry'!AG$8),ISNUMBER('Council Entry'!AG$9)),MAX(MIN('Council Entry'!AG20,'Council Entry'!AG$9),'Council Entry'!AG$8),'Council Entry'!AG20)),IF(AND(ISNUMBER('Council Entry'!AG$8),ISNUMBER('Council Entry'!AG$9)),MAX(MIN('Council Entry'!AG20,'Council Entry'!AG$9),'Council Entry'!AG$8),'Council Entry'!AG20))))-'Council Entry'!AG$5)/('Council Entry'!AG$6-'Council Entry'!AG$5)),1))),"No data"))</f>
        <v/>
      </c>
      <c r="AH20" s="13">
        <f>IF('Council Entry'!AH20="","",IFERROR(MAX(0,MIN(10,ROUND(IF('Council Entry'!AH$7="Decrease Risk",10-10*((IF('Council Entry'!AH$4="Logarithm",LN(0.001+IF(AND(ISNUMBER('Council Entry'!AH$8),ISNUMBER('Council Entry'!AH$9)),MAX(MIN('Council Entry'!AH20,'Council Entry'!AH$9),'Council Entry'!AH$8),'Council Entry'!AH20)),IF('Council Entry'!AH$4="Exponential",EXP(IF(AND(ISNUMBER('Council Entry'!AH$8),ISNUMBER('Council Entry'!AH$9)),MAX(MIN('Council Entry'!AH20,'Council Entry'!AH$9),'Council Entry'!AH$8),'Council Entry'!AH20)),IF(AND(ISNUMBER('Council Entry'!AH$8),ISNUMBER('Council Entry'!AH$9)),MAX(MIN('Council Entry'!AH20,'Council Entry'!AH$9),'Council Entry'!AH$8),'Council Entry'!AH20))))-'Council Entry'!AH$5)/('Council Entry'!AH$6-'Council Entry'!AH$5),10*((IF('Council Entry'!AH$4="Logarithm",LN(0.001+IF(AND(ISNUMBER('Council Entry'!AH$8),ISNUMBER('Council Entry'!AH$9)),MAX(MIN('Council Entry'!AH20,'Council Entry'!AH$9),'Council Entry'!AH$8),'Council Entry'!AH20)),IF('Council Entry'!AH$4="Exponential",EXP(IF(AND(ISNUMBER('Council Entry'!AH$8),ISNUMBER('Council Entry'!AH$9)),MAX(MIN('Council Entry'!AH20,'Council Entry'!AH$9),'Council Entry'!AH$8),'Council Entry'!AH20)),IF(AND(ISNUMBER('Council Entry'!AH$8),ISNUMBER('Council Entry'!AH$9)),MAX(MIN('Council Entry'!AH20,'Council Entry'!AH$9),'Council Entry'!AH$8),'Council Entry'!AH20))))-'Council Entry'!AH$5)/('Council Entry'!AH$6-'Council Entry'!AH$5)),1))),"No data"))</f>
        <v/>
      </c>
      <c r="AI20" s="13">
        <f>IF('Council Entry'!AI20="","",IFERROR(MAX(0,MIN(10,ROUND(IF('Council Entry'!AI$7="Decrease Risk",10-10*((IF('Council Entry'!AI$4="Logarithm",LN(0.001+IF(AND(ISNUMBER('Council Entry'!AI$8),ISNUMBER('Council Entry'!AI$9)),MAX(MIN('Council Entry'!AI20,'Council Entry'!AI$9),'Council Entry'!AI$8),'Council Entry'!AI20)),IF('Council Entry'!AI$4="Exponential",EXP(IF(AND(ISNUMBER('Council Entry'!AI$8),ISNUMBER('Council Entry'!AI$9)),MAX(MIN('Council Entry'!AI20,'Council Entry'!AI$9),'Council Entry'!AI$8),'Council Entry'!AI20)),IF(AND(ISNUMBER('Council Entry'!AI$8),ISNUMBER('Council Entry'!AI$9)),MAX(MIN('Council Entry'!AI20,'Council Entry'!AI$9),'Council Entry'!AI$8),'Council Entry'!AI20))))-'Council Entry'!AI$5)/('Council Entry'!AI$6-'Council Entry'!AI$5),10*((IF('Council Entry'!AI$4="Logarithm",LN(0.001+IF(AND(ISNUMBER('Council Entry'!AI$8),ISNUMBER('Council Entry'!AI$9)),MAX(MIN('Council Entry'!AI20,'Council Entry'!AI$9),'Council Entry'!AI$8),'Council Entry'!AI20)),IF('Council Entry'!AI$4="Exponential",EXP(IF(AND(ISNUMBER('Council Entry'!AI$8),ISNUMBER('Council Entry'!AI$9)),MAX(MIN('Council Entry'!AI20,'Council Entry'!AI$9),'Council Entry'!AI$8),'Council Entry'!AI20)),IF(AND(ISNUMBER('Council Entry'!AI$8),ISNUMBER('Council Entry'!AI$9)),MAX(MIN('Council Entry'!AI20,'Council Entry'!AI$9),'Council Entry'!AI$8),'Council Entry'!AI20))))-'Council Entry'!AI$5)/('Council Entry'!AI$6-'Council Entry'!AI$5)),1))),"No data"))</f>
        <v/>
      </c>
      <c r="AJ20" s="13">
        <f>IF('Council Entry'!AJ20="","",IFERROR(MAX(0,MIN(10,ROUND(IF('Council Entry'!AJ$7="Decrease Risk",10-10*((IF('Council Entry'!AJ$4="Logarithm",LN(0.001+IF(AND(ISNUMBER('Council Entry'!AJ$8),ISNUMBER('Council Entry'!AJ$9)),MAX(MIN('Council Entry'!AJ20,'Council Entry'!AJ$9),'Council Entry'!AJ$8),'Council Entry'!AJ20)),IF('Council Entry'!AJ$4="Exponential",EXP(IF(AND(ISNUMBER('Council Entry'!AJ$8),ISNUMBER('Council Entry'!AJ$9)),MAX(MIN('Council Entry'!AJ20,'Council Entry'!AJ$9),'Council Entry'!AJ$8),'Council Entry'!AJ20)),IF(AND(ISNUMBER('Council Entry'!AJ$8),ISNUMBER('Council Entry'!AJ$9)),MAX(MIN('Council Entry'!AJ20,'Council Entry'!AJ$9),'Council Entry'!AJ$8),'Council Entry'!AJ20))))-'Council Entry'!AJ$5)/('Council Entry'!AJ$6-'Council Entry'!AJ$5),10*((IF('Council Entry'!AJ$4="Logarithm",LN(0.001+IF(AND(ISNUMBER('Council Entry'!AJ$8),ISNUMBER('Council Entry'!AJ$9)),MAX(MIN('Council Entry'!AJ20,'Council Entry'!AJ$9),'Council Entry'!AJ$8),'Council Entry'!AJ20)),IF('Council Entry'!AJ$4="Exponential",EXP(IF(AND(ISNUMBER('Council Entry'!AJ$8),ISNUMBER('Council Entry'!AJ$9)),MAX(MIN('Council Entry'!AJ20,'Council Entry'!AJ$9),'Council Entry'!AJ$8),'Council Entry'!AJ20)),IF(AND(ISNUMBER('Council Entry'!AJ$8),ISNUMBER('Council Entry'!AJ$9)),MAX(MIN('Council Entry'!AJ20,'Council Entry'!AJ$9),'Council Entry'!AJ$8),'Council Entry'!AJ20))))-'Council Entry'!AJ$5)/('Council Entry'!AJ$6-'Council Entry'!AJ$5)),1))),"No data"))</f>
        <v/>
      </c>
      <c r="AK20" s="13">
        <f>IF('Council Entry'!AK20="","",IFERROR(MAX(0,MIN(10,ROUND(IF('Council Entry'!AK$7="Decrease Risk",10-10*((IF('Council Entry'!AK$4="Logarithm",LN(0.001+IF(AND(ISNUMBER('Council Entry'!AK$8),ISNUMBER('Council Entry'!AK$9)),MAX(MIN('Council Entry'!AK20,'Council Entry'!AK$9),'Council Entry'!AK$8),'Council Entry'!AK20)),IF('Council Entry'!AK$4="Exponential",EXP(IF(AND(ISNUMBER('Council Entry'!AK$8),ISNUMBER('Council Entry'!AK$9)),MAX(MIN('Council Entry'!AK20,'Council Entry'!AK$9),'Council Entry'!AK$8),'Council Entry'!AK20)),IF(AND(ISNUMBER('Council Entry'!AK$8),ISNUMBER('Council Entry'!AK$9)),MAX(MIN('Council Entry'!AK20,'Council Entry'!AK$9),'Council Entry'!AK$8),'Council Entry'!AK20))))-'Council Entry'!AK$5)/('Council Entry'!AK$6-'Council Entry'!AK$5),10*((IF('Council Entry'!AK$4="Logarithm",LN(0.001+IF(AND(ISNUMBER('Council Entry'!AK$8),ISNUMBER('Council Entry'!AK$9)),MAX(MIN('Council Entry'!AK20,'Council Entry'!AK$9),'Council Entry'!AK$8),'Council Entry'!AK20)),IF('Council Entry'!AK$4="Exponential",EXP(IF(AND(ISNUMBER('Council Entry'!AK$8),ISNUMBER('Council Entry'!AK$9)),MAX(MIN('Council Entry'!AK20,'Council Entry'!AK$9),'Council Entry'!AK$8),'Council Entry'!AK20)),IF(AND(ISNUMBER('Council Entry'!AK$8),ISNUMBER('Council Entry'!AK$9)),MAX(MIN('Council Entry'!AK20,'Council Entry'!AK$9),'Council Entry'!AK$8),'Council Entry'!AK20))))-'Council Entry'!AK$5)/('Council Entry'!AK$6-'Council Entry'!AK$5)),1))),"No data"))</f>
        <v/>
      </c>
      <c r="AL20" s="13">
        <f>IF('Council Entry'!AL20="","",IFERROR(MAX(0,MIN(10,ROUND(IF('Council Entry'!AL$7="Decrease Risk",10-10*((IF('Council Entry'!AL$4="Logarithm",LN(0.001+IF(AND(ISNUMBER('Council Entry'!AL$8),ISNUMBER('Council Entry'!AL$9)),MAX(MIN('Council Entry'!AL20,'Council Entry'!AL$9),'Council Entry'!AL$8),'Council Entry'!AL20)),IF('Council Entry'!AL$4="Exponential",EXP(IF(AND(ISNUMBER('Council Entry'!AL$8),ISNUMBER('Council Entry'!AL$9)),MAX(MIN('Council Entry'!AL20,'Council Entry'!AL$9),'Council Entry'!AL$8),'Council Entry'!AL20)),IF(AND(ISNUMBER('Council Entry'!AL$8),ISNUMBER('Council Entry'!AL$9)),MAX(MIN('Council Entry'!AL20,'Council Entry'!AL$9),'Council Entry'!AL$8),'Council Entry'!AL20))))-'Council Entry'!AL$5)/('Council Entry'!AL$6-'Council Entry'!AL$5),10*((IF('Council Entry'!AL$4="Logarithm",LN(0.001+IF(AND(ISNUMBER('Council Entry'!AL$8),ISNUMBER('Council Entry'!AL$9)),MAX(MIN('Council Entry'!AL20,'Council Entry'!AL$9),'Council Entry'!AL$8),'Council Entry'!AL20)),IF('Council Entry'!AL$4="Exponential",EXP(IF(AND(ISNUMBER('Council Entry'!AL$8),ISNUMBER('Council Entry'!AL$9)),MAX(MIN('Council Entry'!AL20,'Council Entry'!AL$9),'Council Entry'!AL$8),'Council Entry'!AL20)),IF(AND(ISNUMBER('Council Entry'!AL$8),ISNUMBER('Council Entry'!AL$9)),MAX(MIN('Council Entry'!AL20,'Council Entry'!AL$9),'Council Entry'!AL$8),'Council Entry'!AL20))))-'Council Entry'!AL$5)/('Council Entry'!AL$6-'Council Entry'!AL$5)),1))),"No data"))</f>
        <v/>
      </c>
      <c r="AM20" s="13">
        <f>IF('Council Entry'!AM20="","",IFERROR(MAX(0,MIN(10,ROUND(IF('Council Entry'!AM$7="Decrease Risk",10-10*((IF('Council Entry'!AM$4="Logarithm",LN(0.001+IF(AND(ISNUMBER('Council Entry'!AM$8),ISNUMBER('Council Entry'!AM$9)),MAX(MIN('Council Entry'!AM20,'Council Entry'!AM$9),'Council Entry'!AM$8),'Council Entry'!AM20)),IF('Council Entry'!AM$4="Exponential",EXP(IF(AND(ISNUMBER('Council Entry'!AM$8),ISNUMBER('Council Entry'!AM$9)),MAX(MIN('Council Entry'!AM20,'Council Entry'!AM$9),'Council Entry'!AM$8),'Council Entry'!AM20)),IF(AND(ISNUMBER('Council Entry'!AM$8),ISNUMBER('Council Entry'!AM$9)),MAX(MIN('Council Entry'!AM20,'Council Entry'!AM$9),'Council Entry'!AM$8),'Council Entry'!AM20))))-'Council Entry'!AM$5)/('Council Entry'!AM$6-'Council Entry'!AM$5),10*((IF('Council Entry'!AM$4="Logarithm",LN(0.001+IF(AND(ISNUMBER('Council Entry'!AM$8),ISNUMBER('Council Entry'!AM$9)),MAX(MIN('Council Entry'!AM20,'Council Entry'!AM$9),'Council Entry'!AM$8),'Council Entry'!AM20)),IF('Council Entry'!AM$4="Exponential",EXP(IF(AND(ISNUMBER('Council Entry'!AM$8),ISNUMBER('Council Entry'!AM$9)),MAX(MIN('Council Entry'!AM20,'Council Entry'!AM$9),'Council Entry'!AM$8),'Council Entry'!AM20)),IF(AND(ISNUMBER('Council Entry'!AM$8),ISNUMBER('Council Entry'!AM$9)),MAX(MIN('Council Entry'!AM20,'Council Entry'!AM$9),'Council Entry'!AM$8),'Council Entry'!AM20))))-'Council Entry'!AM$5)/('Council Entry'!AM$6-'Council Entry'!AM$5)),1))),"No data"))</f>
        <v/>
      </c>
      <c r="AN20" s="13">
        <f>IF('Council Entry'!AN20="","",IFERROR(MAX(0,MIN(10,ROUND(IF('Council Entry'!AN$7="Decrease Risk",10-10*((IF('Council Entry'!AN$4="Logarithm",LN(0.001+IF(AND(ISNUMBER('Council Entry'!AN$8),ISNUMBER('Council Entry'!AN$9)),MAX(MIN('Council Entry'!AN20,'Council Entry'!AN$9),'Council Entry'!AN$8),'Council Entry'!AN20)),IF('Council Entry'!AN$4="Exponential",EXP(IF(AND(ISNUMBER('Council Entry'!AN$8),ISNUMBER('Council Entry'!AN$9)),MAX(MIN('Council Entry'!AN20,'Council Entry'!AN$9),'Council Entry'!AN$8),'Council Entry'!AN20)),IF(AND(ISNUMBER('Council Entry'!AN$8),ISNUMBER('Council Entry'!AN$9)),MAX(MIN('Council Entry'!AN20,'Council Entry'!AN$9),'Council Entry'!AN$8),'Council Entry'!AN20))))-'Council Entry'!AN$5)/('Council Entry'!AN$6-'Council Entry'!AN$5),10*((IF('Council Entry'!AN$4="Logarithm",LN(0.001+IF(AND(ISNUMBER('Council Entry'!AN$8),ISNUMBER('Council Entry'!AN$9)),MAX(MIN('Council Entry'!AN20,'Council Entry'!AN$9),'Council Entry'!AN$8),'Council Entry'!AN20)),IF('Council Entry'!AN$4="Exponential",EXP(IF(AND(ISNUMBER('Council Entry'!AN$8),ISNUMBER('Council Entry'!AN$9)),MAX(MIN('Council Entry'!AN20,'Council Entry'!AN$9),'Council Entry'!AN$8),'Council Entry'!AN20)),IF(AND(ISNUMBER('Council Entry'!AN$8),ISNUMBER('Council Entry'!AN$9)),MAX(MIN('Council Entry'!AN20,'Council Entry'!AN$9),'Council Entry'!AN$8),'Council Entry'!AN20))))-'Council Entry'!AN$5)/('Council Entry'!AN$6-'Council Entry'!AN$5)),1))),"No data"))</f>
        <v/>
      </c>
      <c r="AO20" s="13">
        <f>IF('Council Entry'!AO20="","",IFERROR(MAX(0,MIN(10,ROUND(IF('Council Entry'!AO$7="Decrease Risk",10-10*((IF('Council Entry'!AO$4="Logarithm",LN(0.001+IF(AND(ISNUMBER('Council Entry'!AO$8),ISNUMBER('Council Entry'!AO$9)),MAX(MIN('Council Entry'!AO20,'Council Entry'!AO$9),'Council Entry'!AO$8),'Council Entry'!AO20)),IF('Council Entry'!AO$4="Exponential",EXP(IF(AND(ISNUMBER('Council Entry'!AO$8),ISNUMBER('Council Entry'!AO$9)),MAX(MIN('Council Entry'!AO20,'Council Entry'!AO$9),'Council Entry'!AO$8),'Council Entry'!AO20)),IF(AND(ISNUMBER('Council Entry'!AO$8),ISNUMBER('Council Entry'!AO$9)),MAX(MIN('Council Entry'!AO20,'Council Entry'!AO$9),'Council Entry'!AO$8),'Council Entry'!AO20))))-'Council Entry'!AO$5)/('Council Entry'!AO$6-'Council Entry'!AO$5),10*((IF('Council Entry'!AO$4="Logarithm",LN(0.001+IF(AND(ISNUMBER('Council Entry'!AO$8),ISNUMBER('Council Entry'!AO$9)),MAX(MIN('Council Entry'!AO20,'Council Entry'!AO$9),'Council Entry'!AO$8),'Council Entry'!AO20)),IF('Council Entry'!AO$4="Exponential",EXP(IF(AND(ISNUMBER('Council Entry'!AO$8),ISNUMBER('Council Entry'!AO$9)),MAX(MIN('Council Entry'!AO20,'Council Entry'!AO$9),'Council Entry'!AO$8),'Council Entry'!AO20)),IF(AND(ISNUMBER('Council Entry'!AO$8),ISNUMBER('Council Entry'!AO$9)),MAX(MIN('Council Entry'!AO20,'Council Entry'!AO$9),'Council Entry'!AO$8),'Council Entry'!AO20))))-'Council Entry'!AO$5)/('Council Entry'!AO$6-'Council Entry'!AO$5)),1))),"No data"))</f>
        <v/>
      </c>
      <c r="AP20" s="13">
        <f>IF('Council Entry'!AP20="","",IFERROR(MAX(0,MIN(10,ROUND(IF('Council Entry'!AP$7="Decrease Risk",10-10*((IF('Council Entry'!AP$4="Logarithm",LN(0.001+IF(AND(ISNUMBER('Council Entry'!AP$8),ISNUMBER('Council Entry'!AP$9)),MAX(MIN('Council Entry'!AP20,'Council Entry'!AP$9),'Council Entry'!AP$8),'Council Entry'!AP20)),IF('Council Entry'!AP$4="Exponential",EXP(IF(AND(ISNUMBER('Council Entry'!AP$8),ISNUMBER('Council Entry'!AP$9)),MAX(MIN('Council Entry'!AP20,'Council Entry'!AP$9),'Council Entry'!AP$8),'Council Entry'!AP20)),IF(AND(ISNUMBER('Council Entry'!AP$8),ISNUMBER('Council Entry'!AP$9)),MAX(MIN('Council Entry'!AP20,'Council Entry'!AP$9),'Council Entry'!AP$8),'Council Entry'!AP20))))-'Council Entry'!AP$5)/('Council Entry'!AP$6-'Council Entry'!AP$5),10*((IF('Council Entry'!AP$4="Logarithm",LN(0.001+IF(AND(ISNUMBER('Council Entry'!AP$8),ISNUMBER('Council Entry'!AP$9)),MAX(MIN('Council Entry'!AP20,'Council Entry'!AP$9),'Council Entry'!AP$8),'Council Entry'!AP20)),IF('Council Entry'!AP$4="Exponential",EXP(IF(AND(ISNUMBER('Council Entry'!AP$8),ISNUMBER('Council Entry'!AP$9)),MAX(MIN('Council Entry'!AP20,'Council Entry'!AP$9),'Council Entry'!AP$8),'Council Entry'!AP20)),IF(AND(ISNUMBER('Council Entry'!AP$8),ISNUMBER('Council Entry'!AP$9)),MAX(MIN('Council Entry'!AP20,'Council Entry'!AP$9),'Council Entry'!AP$8),'Council Entry'!AP20))))-'Council Entry'!AP$5)/('Council Entry'!AP$6-'Council Entry'!AP$5)),1))),"No data"))</f>
        <v/>
      </c>
      <c r="AQ20" s="13">
        <f>IF('Council Entry'!AQ20="","",IFERROR(MAX(0,MIN(10,ROUND(IF('Council Entry'!AQ$7="Decrease Risk",10-10*((IF('Council Entry'!AQ$4="Logarithm",LN(0.001+IF(AND(ISNUMBER('Council Entry'!AQ$8),ISNUMBER('Council Entry'!AQ$9)),MAX(MIN('Council Entry'!AQ20,'Council Entry'!AQ$9),'Council Entry'!AQ$8),'Council Entry'!AQ20)),IF('Council Entry'!AQ$4="Exponential",EXP(IF(AND(ISNUMBER('Council Entry'!AQ$8),ISNUMBER('Council Entry'!AQ$9)),MAX(MIN('Council Entry'!AQ20,'Council Entry'!AQ$9),'Council Entry'!AQ$8),'Council Entry'!AQ20)),IF(AND(ISNUMBER('Council Entry'!AQ$8),ISNUMBER('Council Entry'!AQ$9)),MAX(MIN('Council Entry'!AQ20,'Council Entry'!AQ$9),'Council Entry'!AQ$8),'Council Entry'!AQ20))))-'Council Entry'!AQ$5)/('Council Entry'!AQ$6-'Council Entry'!AQ$5),10*((IF('Council Entry'!AQ$4="Logarithm",LN(0.001+IF(AND(ISNUMBER('Council Entry'!AQ$8),ISNUMBER('Council Entry'!AQ$9)),MAX(MIN('Council Entry'!AQ20,'Council Entry'!AQ$9),'Council Entry'!AQ$8),'Council Entry'!AQ20)),IF('Council Entry'!AQ$4="Exponential",EXP(IF(AND(ISNUMBER('Council Entry'!AQ$8),ISNUMBER('Council Entry'!AQ$9)),MAX(MIN('Council Entry'!AQ20,'Council Entry'!AQ$9),'Council Entry'!AQ$8),'Council Entry'!AQ20)),IF(AND(ISNUMBER('Council Entry'!AQ$8),ISNUMBER('Council Entry'!AQ$9)),MAX(MIN('Council Entry'!AQ20,'Council Entry'!AQ$9),'Council Entry'!AQ$8),'Council Entry'!AQ20))))-'Council Entry'!AQ$5)/('Council Entry'!AQ$6-'Council Entry'!AQ$5)),1))),"No data"))</f>
        <v/>
      </c>
      <c r="AR20" s="13">
        <f>IF('Council Entry'!AR20="","",IFERROR(MAX(0,MIN(10,ROUND(IF('Council Entry'!AR$7="Decrease Risk",10-10*((IF('Council Entry'!AR$4="Logarithm",LN(0.001+IF(AND(ISNUMBER('Council Entry'!AR$8),ISNUMBER('Council Entry'!AR$9)),MAX(MIN('Council Entry'!AR20,'Council Entry'!AR$9),'Council Entry'!AR$8),'Council Entry'!AR20)),IF('Council Entry'!AR$4="Exponential",EXP(IF(AND(ISNUMBER('Council Entry'!AR$8),ISNUMBER('Council Entry'!AR$9)),MAX(MIN('Council Entry'!AR20,'Council Entry'!AR$9),'Council Entry'!AR$8),'Council Entry'!AR20)),IF(AND(ISNUMBER('Council Entry'!AR$8),ISNUMBER('Council Entry'!AR$9)),MAX(MIN('Council Entry'!AR20,'Council Entry'!AR$9),'Council Entry'!AR$8),'Council Entry'!AR20))))-'Council Entry'!AR$5)/('Council Entry'!AR$6-'Council Entry'!AR$5),10*((IF('Council Entry'!AR$4="Logarithm",LN(0.001+IF(AND(ISNUMBER('Council Entry'!AR$8),ISNUMBER('Council Entry'!AR$9)),MAX(MIN('Council Entry'!AR20,'Council Entry'!AR$9),'Council Entry'!AR$8),'Council Entry'!AR20)),IF('Council Entry'!AR$4="Exponential",EXP(IF(AND(ISNUMBER('Council Entry'!AR$8),ISNUMBER('Council Entry'!AR$9)),MAX(MIN('Council Entry'!AR20,'Council Entry'!AR$9),'Council Entry'!AR$8),'Council Entry'!AR20)),IF(AND(ISNUMBER('Council Entry'!AR$8),ISNUMBER('Council Entry'!AR$9)),MAX(MIN('Council Entry'!AR20,'Council Entry'!AR$9),'Council Entry'!AR$8),'Council Entry'!AR20))))-'Council Entry'!AR$5)/('Council Entry'!AR$6-'Council Entry'!AR$5)),1))),"No data"))</f>
        <v/>
      </c>
      <c r="AS20" s="13">
        <f>IF('Council Entry'!AS20="","",IFERROR(MAX(0,MIN(10,ROUND(IF('Council Entry'!AS$7="Decrease Risk",10-10*((IF('Council Entry'!AS$4="Logarithm",LN(0.001+IF(AND(ISNUMBER('Council Entry'!AS$8),ISNUMBER('Council Entry'!AS$9)),MAX(MIN('Council Entry'!AS20,'Council Entry'!AS$9),'Council Entry'!AS$8),'Council Entry'!AS20)),IF('Council Entry'!AS$4="Exponential",EXP(IF(AND(ISNUMBER('Council Entry'!AS$8),ISNUMBER('Council Entry'!AS$9)),MAX(MIN('Council Entry'!AS20,'Council Entry'!AS$9),'Council Entry'!AS$8),'Council Entry'!AS20)),IF(AND(ISNUMBER('Council Entry'!AS$8),ISNUMBER('Council Entry'!AS$9)),MAX(MIN('Council Entry'!AS20,'Council Entry'!AS$9),'Council Entry'!AS$8),'Council Entry'!AS20))))-'Council Entry'!AS$5)/('Council Entry'!AS$6-'Council Entry'!AS$5),10*((IF('Council Entry'!AS$4="Logarithm",LN(0.001+IF(AND(ISNUMBER('Council Entry'!AS$8),ISNUMBER('Council Entry'!AS$9)),MAX(MIN('Council Entry'!AS20,'Council Entry'!AS$9),'Council Entry'!AS$8),'Council Entry'!AS20)),IF('Council Entry'!AS$4="Exponential",EXP(IF(AND(ISNUMBER('Council Entry'!AS$8),ISNUMBER('Council Entry'!AS$9)),MAX(MIN('Council Entry'!AS20,'Council Entry'!AS$9),'Council Entry'!AS$8),'Council Entry'!AS20)),IF(AND(ISNUMBER('Council Entry'!AS$8),ISNUMBER('Council Entry'!AS$9)),MAX(MIN('Council Entry'!AS20,'Council Entry'!AS$9),'Council Entry'!AS$8),'Council Entry'!AS20))))-'Council Entry'!AS$5)/('Council Entry'!AS$6-'Council Entry'!AS$5)),1))),"No data"))</f>
        <v/>
      </c>
      <c r="AT20" s="13">
        <f>IF('Council Entry'!AT20="","",IFERROR(MAX(0,MIN(10,ROUND(IF('Council Entry'!AT$7="Decrease Risk",10-10*((IF('Council Entry'!AT$4="Logarithm",LN(0.001+IF(AND(ISNUMBER('Council Entry'!AT$8),ISNUMBER('Council Entry'!AT$9)),MAX(MIN('Council Entry'!AT20,'Council Entry'!AT$9),'Council Entry'!AT$8),'Council Entry'!AT20)),IF('Council Entry'!AT$4="Exponential",EXP(IF(AND(ISNUMBER('Council Entry'!AT$8),ISNUMBER('Council Entry'!AT$9)),MAX(MIN('Council Entry'!AT20,'Council Entry'!AT$9),'Council Entry'!AT$8),'Council Entry'!AT20)),IF(AND(ISNUMBER('Council Entry'!AT$8),ISNUMBER('Council Entry'!AT$9)),MAX(MIN('Council Entry'!AT20,'Council Entry'!AT$9),'Council Entry'!AT$8),'Council Entry'!AT20))))-'Council Entry'!AT$5)/('Council Entry'!AT$6-'Council Entry'!AT$5),10*((IF('Council Entry'!AT$4="Logarithm",LN(0.001+IF(AND(ISNUMBER('Council Entry'!AT$8),ISNUMBER('Council Entry'!AT$9)),MAX(MIN('Council Entry'!AT20,'Council Entry'!AT$9),'Council Entry'!AT$8),'Council Entry'!AT20)),IF('Council Entry'!AT$4="Exponential",EXP(IF(AND(ISNUMBER('Council Entry'!AT$8),ISNUMBER('Council Entry'!AT$9)),MAX(MIN('Council Entry'!AT20,'Council Entry'!AT$9),'Council Entry'!AT$8),'Council Entry'!AT20)),IF(AND(ISNUMBER('Council Entry'!AT$8),ISNUMBER('Council Entry'!AT$9)),MAX(MIN('Council Entry'!AT20,'Council Entry'!AT$9),'Council Entry'!AT$8),'Council Entry'!AT20))))-'Council Entry'!AT$5)/('Council Entry'!AT$6-'Council Entry'!AT$5)),1))),"No data"))</f>
        <v/>
      </c>
      <c r="AU20" s="13">
        <f>IF('Council Entry'!AU20="","",IFERROR(MAX(0,MIN(10,ROUND(IF('Council Entry'!AU$7="Decrease Risk",10-10*((IF('Council Entry'!AU$4="Logarithm",LN(0.001+IF(AND(ISNUMBER('Council Entry'!AU$8),ISNUMBER('Council Entry'!AU$9)),MAX(MIN('Council Entry'!AU20,'Council Entry'!AU$9),'Council Entry'!AU$8),'Council Entry'!AU20)),IF('Council Entry'!AU$4="Exponential",EXP(IF(AND(ISNUMBER('Council Entry'!AU$8),ISNUMBER('Council Entry'!AU$9)),MAX(MIN('Council Entry'!AU20,'Council Entry'!AU$9),'Council Entry'!AU$8),'Council Entry'!AU20)),IF(AND(ISNUMBER('Council Entry'!AU$8),ISNUMBER('Council Entry'!AU$9)),MAX(MIN('Council Entry'!AU20,'Council Entry'!AU$9),'Council Entry'!AU$8),'Council Entry'!AU20))))-'Council Entry'!AU$5)/('Council Entry'!AU$6-'Council Entry'!AU$5),10*((IF('Council Entry'!AU$4="Logarithm",LN(0.001+IF(AND(ISNUMBER('Council Entry'!AU$8),ISNUMBER('Council Entry'!AU$9)),MAX(MIN('Council Entry'!AU20,'Council Entry'!AU$9),'Council Entry'!AU$8),'Council Entry'!AU20)),IF('Council Entry'!AU$4="Exponential",EXP(IF(AND(ISNUMBER('Council Entry'!AU$8),ISNUMBER('Council Entry'!AU$9)),MAX(MIN('Council Entry'!AU20,'Council Entry'!AU$9),'Council Entry'!AU$8),'Council Entry'!AU20)),IF(AND(ISNUMBER('Council Entry'!AU$8),ISNUMBER('Council Entry'!AU$9)),MAX(MIN('Council Entry'!AU20,'Council Entry'!AU$9),'Council Entry'!AU$8),'Council Entry'!AU20))))-'Council Entry'!AU$5)/('Council Entry'!AU$6-'Council Entry'!AU$5)),1))),"No data"))</f>
        <v/>
      </c>
      <c r="AV20" s="13">
        <f>IF('Council Entry'!AV20="","",IFERROR(MAX(0,MIN(10,ROUND(IF('Council Entry'!AV$7="Decrease Risk",10-10*((IF('Council Entry'!AV$4="Logarithm",LN(0.001+IF(AND(ISNUMBER('Council Entry'!AV$8),ISNUMBER('Council Entry'!AV$9)),MAX(MIN('Council Entry'!AV20,'Council Entry'!AV$9),'Council Entry'!AV$8),'Council Entry'!AV20)),IF('Council Entry'!AV$4="Exponential",EXP(IF(AND(ISNUMBER('Council Entry'!AV$8),ISNUMBER('Council Entry'!AV$9)),MAX(MIN('Council Entry'!AV20,'Council Entry'!AV$9),'Council Entry'!AV$8),'Council Entry'!AV20)),IF(AND(ISNUMBER('Council Entry'!AV$8),ISNUMBER('Council Entry'!AV$9)),MAX(MIN('Council Entry'!AV20,'Council Entry'!AV$9),'Council Entry'!AV$8),'Council Entry'!AV20))))-'Council Entry'!AV$5)/('Council Entry'!AV$6-'Council Entry'!AV$5),10*((IF('Council Entry'!AV$4="Logarithm",LN(0.001+IF(AND(ISNUMBER('Council Entry'!AV$8),ISNUMBER('Council Entry'!AV$9)),MAX(MIN('Council Entry'!AV20,'Council Entry'!AV$9),'Council Entry'!AV$8),'Council Entry'!AV20)),IF('Council Entry'!AV$4="Exponential",EXP(IF(AND(ISNUMBER('Council Entry'!AV$8),ISNUMBER('Council Entry'!AV$9)),MAX(MIN('Council Entry'!AV20,'Council Entry'!AV$9),'Council Entry'!AV$8),'Council Entry'!AV20)),IF(AND(ISNUMBER('Council Entry'!AV$8),ISNUMBER('Council Entry'!AV$9)),MAX(MIN('Council Entry'!AV20,'Council Entry'!AV$9),'Council Entry'!AV$8),'Council Entry'!AV20))))-'Council Entry'!AV$5)/('Council Entry'!AV$6-'Council Entry'!AV$5)),1))),"No data"))</f>
        <v/>
      </c>
      <c r="AW20" s="13">
        <f>IF('Council Entry'!AW20="","",IFERROR(MAX(0,MIN(10,ROUND(IF('Council Entry'!AW$7="Decrease Risk",10-10*((IF('Council Entry'!AW$4="Logarithm",LN(0.001+IF(AND(ISNUMBER('Council Entry'!AW$8),ISNUMBER('Council Entry'!AW$9)),MAX(MIN('Council Entry'!AW20,'Council Entry'!AW$9),'Council Entry'!AW$8),'Council Entry'!AW20)),IF('Council Entry'!AW$4="Exponential",EXP(IF(AND(ISNUMBER('Council Entry'!AW$8),ISNUMBER('Council Entry'!AW$9)),MAX(MIN('Council Entry'!AW20,'Council Entry'!AW$9),'Council Entry'!AW$8),'Council Entry'!AW20)),IF(AND(ISNUMBER('Council Entry'!AW$8),ISNUMBER('Council Entry'!AW$9)),MAX(MIN('Council Entry'!AW20,'Council Entry'!AW$9),'Council Entry'!AW$8),'Council Entry'!AW20))))-'Council Entry'!AW$5)/('Council Entry'!AW$6-'Council Entry'!AW$5),10*((IF('Council Entry'!AW$4="Logarithm",LN(0.001+IF(AND(ISNUMBER('Council Entry'!AW$8),ISNUMBER('Council Entry'!AW$9)),MAX(MIN('Council Entry'!AW20,'Council Entry'!AW$9),'Council Entry'!AW$8),'Council Entry'!AW20)),IF('Council Entry'!AW$4="Exponential",EXP(IF(AND(ISNUMBER('Council Entry'!AW$8),ISNUMBER('Council Entry'!AW$9)),MAX(MIN('Council Entry'!AW20,'Council Entry'!AW$9),'Council Entry'!AW$8),'Council Entry'!AW20)),IF(AND(ISNUMBER('Council Entry'!AW$8),ISNUMBER('Council Entry'!AW$9)),MAX(MIN('Council Entry'!AW20,'Council Entry'!AW$9),'Council Entry'!AW$8),'Council Entry'!AW20))))-'Council Entry'!AW$5)/('Council Entry'!AW$6-'Council Entry'!AW$5)),1))),"No data"))</f>
        <v/>
      </c>
      <c r="AX20" s="13">
        <f>IF('Council Entry'!AX20="","",IFERROR(MAX(0,MIN(10,ROUND(IF('Council Entry'!AX$7="Decrease Risk",10-10*((IF('Council Entry'!AX$4="Logarithm",LN(0.001+IF(AND(ISNUMBER('Council Entry'!AX$8),ISNUMBER('Council Entry'!AX$9)),MAX(MIN('Council Entry'!AX20,'Council Entry'!AX$9),'Council Entry'!AX$8),'Council Entry'!AX20)),IF('Council Entry'!AX$4="Exponential",EXP(IF(AND(ISNUMBER('Council Entry'!AX$8),ISNUMBER('Council Entry'!AX$9)),MAX(MIN('Council Entry'!AX20,'Council Entry'!AX$9),'Council Entry'!AX$8),'Council Entry'!AX20)),IF(AND(ISNUMBER('Council Entry'!AX$8),ISNUMBER('Council Entry'!AX$9)),MAX(MIN('Council Entry'!AX20,'Council Entry'!AX$9),'Council Entry'!AX$8),'Council Entry'!AX20))))-'Council Entry'!AX$5)/('Council Entry'!AX$6-'Council Entry'!AX$5),10*((IF('Council Entry'!AX$4="Logarithm",LN(0.001+IF(AND(ISNUMBER('Council Entry'!AX$8),ISNUMBER('Council Entry'!AX$9)),MAX(MIN('Council Entry'!AX20,'Council Entry'!AX$9),'Council Entry'!AX$8),'Council Entry'!AX20)),IF('Council Entry'!AX$4="Exponential",EXP(IF(AND(ISNUMBER('Council Entry'!AX$8),ISNUMBER('Council Entry'!AX$9)),MAX(MIN('Council Entry'!AX20,'Council Entry'!AX$9),'Council Entry'!AX$8),'Council Entry'!AX20)),IF(AND(ISNUMBER('Council Entry'!AX$8),ISNUMBER('Council Entry'!AX$9)),MAX(MIN('Council Entry'!AX20,'Council Entry'!AX$9),'Council Entry'!AX$8),'Council Entry'!AX20))))-'Council Entry'!AX$5)/('Council Entry'!AX$6-'Council Entry'!AX$5)),1))),"No data"))</f>
        <v/>
      </c>
      <c r="AY20" s="13">
        <f>IF('Council Entry'!AY20="","",IFERROR(MAX(0,MIN(10,ROUND(IF('Council Entry'!AY$7="Decrease Risk",10-10*((IF('Council Entry'!AY$4="Logarithm",LN(0.001+IF(AND(ISNUMBER('Council Entry'!AY$8),ISNUMBER('Council Entry'!AY$9)),MAX(MIN('Council Entry'!AY20,'Council Entry'!AY$9),'Council Entry'!AY$8),'Council Entry'!AY20)),IF('Council Entry'!AY$4="Exponential",EXP(IF(AND(ISNUMBER('Council Entry'!AY$8),ISNUMBER('Council Entry'!AY$9)),MAX(MIN('Council Entry'!AY20,'Council Entry'!AY$9),'Council Entry'!AY$8),'Council Entry'!AY20)),IF(AND(ISNUMBER('Council Entry'!AY$8),ISNUMBER('Council Entry'!AY$9)),MAX(MIN('Council Entry'!AY20,'Council Entry'!AY$9),'Council Entry'!AY$8),'Council Entry'!AY20))))-'Council Entry'!AY$5)/('Council Entry'!AY$6-'Council Entry'!AY$5),10*((IF('Council Entry'!AY$4="Logarithm",LN(0.001+IF(AND(ISNUMBER('Council Entry'!AY$8),ISNUMBER('Council Entry'!AY$9)),MAX(MIN('Council Entry'!AY20,'Council Entry'!AY$9),'Council Entry'!AY$8),'Council Entry'!AY20)),IF('Council Entry'!AY$4="Exponential",EXP(IF(AND(ISNUMBER('Council Entry'!AY$8),ISNUMBER('Council Entry'!AY$9)),MAX(MIN('Council Entry'!AY20,'Council Entry'!AY$9),'Council Entry'!AY$8),'Council Entry'!AY20)),IF(AND(ISNUMBER('Council Entry'!AY$8),ISNUMBER('Council Entry'!AY$9)),MAX(MIN('Council Entry'!AY20,'Council Entry'!AY$9),'Council Entry'!AY$8),'Council Entry'!AY20))))-'Council Entry'!AY$5)/('Council Entry'!AY$6-'Council Entry'!AY$5)),1))),"No data"))</f>
        <v/>
      </c>
      <c r="AZ20" s="13">
        <f>IF('Council Entry'!AZ20="","",IFERROR(MAX(0,MIN(10,ROUND(IF('Council Entry'!AZ$7="Decrease Risk",10-10*((IF('Council Entry'!AZ$4="Logarithm",LN(0.001+IF(AND(ISNUMBER('Council Entry'!AZ$8),ISNUMBER('Council Entry'!AZ$9)),MAX(MIN('Council Entry'!AZ20,'Council Entry'!AZ$9),'Council Entry'!AZ$8),'Council Entry'!AZ20)),IF('Council Entry'!AZ$4="Exponential",EXP(IF(AND(ISNUMBER('Council Entry'!AZ$8),ISNUMBER('Council Entry'!AZ$9)),MAX(MIN('Council Entry'!AZ20,'Council Entry'!AZ$9),'Council Entry'!AZ$8),'Council Entry'!AZ20)),IF(AND(ISNUMBER('Council Entry'!AZ$8),ISNUMBER('Council Entry'!AZ$9)),MAX(MIN('Council Entry'!AZ20,'Council Entry'!AZ$9),'Council Entry'!AZ$8),'Council Entry'!AZ20))))-'Council Entry'!AZ$5)/('Council Entry'!AZ$6-'Council Entry'!AZ$5),10*((IF('Council Entry'!AZ$4="Logarithm",LN(0.001+IF(AND(ISNUMBER('Council Entry'!AZ$8),ISNUMBER('Council Entry'!AZ$9)),MAX(MIN('Council Entry'!AZ20,'Council Entry'!AZ$9),'Council Entry'!AZ$8),'Council Entry'!AZ20)),IF('Council Entry'!AZ$4="Exponential",EXP(IF(AND(ISNUMBER('Council Entry'!AZ$8),ISNUMBER('Council Entry'!AZ$9)),MAX(MIN('Council Entry'!AZ20,'Council Entry'!AZ$9),'Council Entry'!AZ$8),'Council Entry'!AZ20)),IF(AND(ISNUMBER('Council Entry'!AZ$8),ISNUMBER('Council Entry'!AZ$9)),MAX(MIN('Council Entry'!AZ20,'Council Entry'!AZ$9),'Council Entry'!AZ$8),'Council Entry'!AZ20))))-'Council Entry'!AZ$5)/('Council Entry'!AZ$6-'Council Entry'!AZ$5)),1))),"No data"))</f>
        <v/>
      </c>
      <c r="BA20" s="13">
        <f>IF('Council Entry'!BA20="","",IFERROR(MAX(0,MIN(10,ROUND(IF('Council Entry'!BA$7="Decrease Risk",10-10*((IF('Council Entry'!BA$4="Logarithm",LN(0.001+IF(AND(ISNUMBER('Council Entry'!BA$8),ISNUMBER('Council Entry'!BA$9)),MAX(MIN('Council Entry'!BA20,'Council Entry'!BA$9),'Council Entry'!BA$8),'Council Entry'!BA20)),IF('Council Entry'!BA$4="Exponential",EXP(IF(AND(ISNUMBER('Council Entry'!BA$8),ISNUMBER('Council Entry'!BA$9)),MAX(MIN('Council Entry'!BA20,'Council Entry'!BA$9),'Council Entry'!BA$8),'Council Entry'!BA20)),IF(AND(ISNUMBER('Council Entry'!BA$8),ISNUMBER('Council Entry'!BA$9)),MAX(MIN('Council Entry'!BA20,'Council Entry'!BA$9),'Council Entry'!BA$8),'Council Entry'!BA20))))-'Council Entry'!BA$5)/('Council Entry'!BA$6-'Council Entry'!BA$5),10*((IF('Council Entry'!BA$4="Logarithm",LN(0.001+IF(AND(ISNUMBER('Council Entry'!BA$8),ISNUMBER('Council Entry'!BA$9)),MAX(MIN('Council Entry'!BA20,'Council Entry'!BA$9),'Council Entry'!BA$8),'Council Entry'!BA20)),IF('Council Entry'!BA$4="Exponential",EXP(IF(AND(ISNUMBER('Council Entry'!BA$8),ISNUMBER('Council Entry'!BA$9)),MAX(MIN('Council Entry'!BA20,'Council Entry'!BA$9),'Council Entry'!BA$8),'Council Entry'!BA20)),IF(AND(ISNUMBER('Council Entry'!BA$8),ISNUMBER('Council Entry'!BA$9)),MAX(MIN('Council Entry'!BA20,'Council Entry'!BA$9),'Council Entry'!BA$8),'Council Entry'!BA20))))-'Council Entry'!BA$5)/('Council Entry'!BA$6-'Council Entry'!BA$5)),1))),"No data"))</f>
        <v/>
      </c>
      <c r="BB20" s="13">
        <f>IF('Council Entry'!BB20="","",IFERROR(MAX(0,MIN(10,ROUND(IF('Council Entry'!BB$7="Decrease Risk",10-10*((IF('Council Entry'!BB$4="Logarithm",LN(0.001+IF(AND(ISNUMBER('Council Entry'!BB$8),ISNUMBER('Council Entry'!BB$9)),MAX(MIN('Council Entry'!BB20,'Council Entry'!BB$9),'Council Entry'!BB$8),'Council Entry'!BB20)),IF('Council Entry'!BB$4="Exponential",EXP(IF(AND(ISNUMBER('Council Entry'!BB$8),ISNUMBER('Council Entry'!BB$9)),MAX(MIN('Council Entry'!BB20,'Council Entry'!BB$9),'Council Entry'!BB$8),'Council Entry'!BB20)),IF(AND(ISNUMBER('Council Entry'!BB$8),ISNUMBER('Council Entry'!BB$9)),MAX(MIN('Council Entry'!BB20,'Council Entry'!BB$9),'Council Entry'!BB$8),'Council Entry'!BB20))))-'Council Entry'!BB$5)/('Council Entry'!BB$6-'Council Entry'!BB$5),10*((IF('Council Entry'!BB$4="Logarithm",LN(0.001+IF(AND(ISNUMBER('Council Entry'!BB$8),ISNUMBER('Council Entry'!BB$9)),MAX(MIN('Council Entry'!BB20,'Council Entry'!BB$9),'Council Entry'!BB$8),'Council Entry'!BB20)),IF('Council Entry'!BB$4="Exponential",EXP(IF(AND(ISNUMBER('Council Entry'!BB$8),ISNUMBER('Council Entry'!BB$9)),MAX(MIN('Council Entry'!BB20,'Council Entry'!BB$9),'Council Entry'!BB$8),'Council Entry'!BB20)),IF(AND(ISNUMBER('Council Entry'!BB$8),ISNUMBER('Council Entry'!BB$9)),MAX(MIN('Council Entry'!BB20,'Council Entry'!BB$9),'Council Entry'!BB$8),'Council Entry'!BB20))))-'Council Entry'!BB$5)/('Council Entry'!BB$6-'Council Entry'!BB$5)),1))),"No data"))</f>
        <v/>
      </c>
      <c r="BC20" s="13">
        <f>IF('Council Entry'!BC20="","",IFERROR(MAX(0,MIN(10,ROUND(IF('Council Entry'!BC$7="Decrease Risk",10-10*((IF('Council Entry'!BC$4="Logarithm",LN(0.001+IF(AND(ISNUMBER('Council Entry'!BC$8),ISNUMBER('Council Entry'!BC$9)),MAX(MIN('Council Entry'!BC20,'Council Entry'!BC$9),'Council Entry'!BC$8),'Council Entry'!BC20)),IF('Council Entry'!BC$4="Exponential",EXP(IF(AND(ISNUMBER('Council Entry'!BC$8),ISNUMBER('Council Entry'!BC$9)),MAX(MIN('Council Entry'!BC20,'Council Entry'!BC$9),'Council Entry'!BC$8),'Council Entry'!BC20)),IF(AND(ISNUMBER('Council Entry'!BC$8),ISNUMBER('Council Entry'!BC$9)),MAX(MIN('Council Entry'!BC20,'Council Entry'!BC$9),'Council Entry'!BC$8),'Council Entry'!BC20))))-'Council Entry'!BC$5)/('Council Entry'!BC$6-'Council Entry'!BC$5),10*((IF('Council Entry'!BC$4="Logarithm",LN(0.001+IF(AND(ISNUMBER('Council Entry'!BC$8),ISNUMBER('Council Entry'!BC$9)),MAX(MIN('Council Entry'!BC20,'Council Entry'!BC$9),'Council Entry'!BC$8),'Council Entry'!BC20)),IF('Council Entry'!BC$4="Exponential",EXP(IF(AND(ISNUMBER('Council Entry'!BC$8),ISNUMBER('Council Entry'!BC$9)),MAX(MIN('Council Entry'!BC20,'Council Entry'!BC$9),'Council Entry'!BC$8),'Council Entry'!BC20)),IF(AND(ISNUMBER('Council Entry'!BC$8),ISNUMBER('Council Entry'!BC$9)),MAX(MIN('Council Entry'!BC20,'Council Entry'!BC$9),'Council Entry'!BC$8),'Council Entry'!BC20))))-'Council Entry'!BC$5)/('Council Entry'!BC$6-'Council Entry'!BC$5)),1))),"No data"))</f>
        <v/>
      </c>
      <c r="BD20" s="13">
        <f>IF('Council Entry'!BD20="","",IFERROR(MAX(0,MIN(10,ROUND(IF('Council Entry'!BD$7="Decrease Risk",10-10*((IF('Council Entry'!BD$4="Logarithm",LN(0.001+IF(AND(ISNUMBER('Council Entry'!BD$8),ISNUMBER('Council Entry'!BD$9)),MAX(MIN('Council Entry'!BD20,'Council Entry'!BD$9),'Council Entry'!BD$8),'Council Entry'!BD20)),IF('Council Entry'!BD$4="Exponential",EXP(IF(AND(ISNUMBER('Council Entry'!BD$8),ISNUMBER('Council Entry'!BD$9)),MAX(MIN('Council Entry'!BD20,'Council Entry'!BD$9),'Council Entry'!BD$8),'Council Entry'!BD20)),IF(AND(ISNUMBER('Council Entry'!BD$8),ISNUMBER('Council Entry'!BD$9)),MAX(MIN('Council Entry'!BD20,'Council Entry'!BD$9),'Council Entry'!BD$8),'Council Entry'!BD20))))-'Council Entry'!BD$5)/('Council Entry'!BD$6-'Council Entry'!BD$5),10*((IF('Council Entry'!BD$4="Logarithm",LN(0.001+IF(AND(ISNUMBER('Council Entry'!BD$8),ISNUMBER('Council Entry'!BD$9)),MAX(MIN('Council Entry'!BD20,'Council Entry'!BD$9),'Council Entry'!BD$8),'Council Entry'!BD20)),IF('Council Entry'!BD$4="Exponential",EXP(IF(AND(ISNUMBER('Council Entry'!BD$8),ISNUMBER('Council Entry'!BD$9)),MAX(MIN('Council Entry'!BD20,'Council Entry'!BD$9),'Council Entry'!BD$8),'Council Entry'!BD20)),IF(AND(ISNUMBER('Council Entry'!BD$8),ISNUMBER('Council Entry'!BD$9)),MAX(MIN('Council Entry'!BD20,'Council Entry'!BD$9),'Council Entry'!BD$8),'Council Entry'!BD20))))-'Council Entry'!BD$5)/('Council Entry'!BD$6-'Council Entry'!BD$5)),1))),"No data"))</f>
        <v/>
      </c>
    </row>
    <row r="21">
      <c r="A21" t="inlineStr">
        <is>
          <t>Dar es Salaam</t>
        </is>
      </c>
      <c r="B21" t="inlineStr">
        <is>
          <t>Temeke Municipal</t>
        </is>
      </c>
      <c r="C21" t="inlineStr">
        <is>
          <t>C054</t>
        </is>
      </c>
      <c r="D21" s="13">
        <f>IF('Council Entry'!D21="","",IFERROR(MAX(0,MIN(10,ROUND(IF('Council Entry'!D$7="Decrease Risk",10-10*((IF('Council Entry'!D$4="Logarithm",LN(0.001+IF(AND(ISNUMBER('Council Entry'!D$8),ISNUMBER('Council Entry'!D$9)),MAX(MIN('Council Entry'!D21,'Council Entry'!D$9),'Council Entry'!D$8),'Council Entry'!D21)),IF('Council Entry'!D$4="Exponential",EXP(IF(AND(ISNUMBER('Council Entry'!D$8),ISNUMBER('Council Entry'!D$9)),MAX(MIN('Council Entry'!D21,'Council Entry'!D$9),'Council Entry'!D$8),'Council Entry'!D21)),IF(AND(ISNUMBER('Council Entry'!D$8),ISNUMBER('Council Entry'!D$9)),MAX(MIN('Council Entry'!D21,'Council Entry'!D$9),'Council Entry'!D$8),'Council Entry'!D21))))-'Council Entry'!D$5)/('Council Entry'!D$6-'Council Entry'!D$5),10*((IF('Council Entry'!D$4="Logarithm",LN(0.001+IF(AND(ISNUMBER('Council Entry'!D$8),ISNUMBER('Council Entry'!D$9)),MAX(MIN('Council Entry'!D21,'Council Entry'!D$9),'Council Entry'!D$8),'Council Entry'!D21)),IF('Council Entry'!D$4="Exponential",EXP(IF(AND(ISNUMBER('Council Entry'!D$8),ISNUMBER('Council Entry'!D$9)),MAX(MIN('Council Entry'!D21,'Council Entry'!D$9),'Council Entry'!D$8),'Council Entry'!D21)),IF(AND(ISNUMBER('Council Entry'!D$8),ISNUMBER('Council Entry'!D$9)),MAX(MIN('Council Entry'!D21,'Council Entry'!D$9),'Council Entry'!D$8),'Council Entry'!D21))))-'Council Entry'!D$5)/('Council Entry'!D$6-'Council Entry'!D$5)),1))),"No data"))</f>
        <v/>
      </c>
      <c r="E21" s="13">
        <f>IF('Council Entry'!E21="","",IFERROR(MAX(0,MIN(10,ROUND(IF('Council Entry'!E$7="Decrease Risk",10-10*((IF('Council Entry'!E$4="Logarithm",LN(0.001+IF(AND(ISNUMBER('Council Entry'!E$8),ISNUMBER('Council Entry'!E$9)),MAX(MIN('Council Entry'!E21,'Council Entry'!E$9),'Council Entry'!E$8),'Council Entry'!E21)),IF('Council Entry'!E$4="Exponential",EXP(IF(AND(ISNUMBER('Council Entry'!E$8),ISNUMBER('Council Entry'!E$9)),MAX(MIN('Council Entry'!E21,'Council Entry'!E$9),'Council Entry'!E$8),'Council Entry'!E21)),IF(AND(ISNUMBER('Council Entry'!E$8),ISNUMBER('Council Entry'!E$9)),MAX(MIN('Council Entry'!E21,'Council Entry'!E$9),'Council Entry'!E$8),'Council Entry'!E21))))-'Council Entry'!E$5)/('Council Entry'!E$6-'Council Entry'!E$5),10*((IF('Council Entry'!E$4="Logarithm",LN(0.001+IF(AND(ISNUMBER('Council Entry'!E$8),ISNUMBER('Council Entry'!E$9)),MAX(MIN('Council Entry'!E21,'Council Entry'!E$9),'Council Entry'!E$8),'Council Entry'!E21)),IF('Council Entry'!E$4="Exponential",EXP(IF(AND(ISNUMBER('Council Entry'!E$8),ISNUMBER('Council Entry'!E$9)),MAX(MIN('Council Entry'!E21,'Council Entry'!E$9),'Council Entry'!E$8),'Council Entry'!E21)),IF(AND(ISNUMBER('Council Entry'!E$8),ISNUMBER('Council Entry'!E$9)),MAX(MIN('Council Entry'!E21,'Council Entry'!E$9),'Council Entry'!E$8),'Council Entry'!E21))))-'Council Entry'!E$5)/('Council Entry'!E$6-'Council Entry'!E$5)),1))),"No data"))</f>
        <v/>
      </c>
      <c r="F21" s="13">
        <f>IF('Council Entry'!F21="","",IFERROR(MAX(0,MIN(10,ROUND(IF('Council Entry'!F$7="Decrease Risk",10-10*((IF('Council Entry'!F$4="Logarithm",LN(0.001+IF(AND(ISNUMBER('Council Entry'!F$8),ISNUMBER('Council Entry'!F$9)),MAX(MIN('Council Entry'!F21,'Council Entry'!F$9),'Council Entry'!F$8),'Council Entry'!F21)),IF('Council Entry'!F$4="Exponential",EXP(IF(AND(ISNUMBER('Council Entry'!F$8),ISNUMBER('Council Entry'!F$9)),MAX(MIN('Council Entry'!F21,'Council Entry'!F$9),'Council Entry'!F$8),'Council Entry'!F21)),IF(AND(ISNUMBER('Council Entry'!F$8),ISNUMBER('Council Entry'!F$9)),MAX(MIN('Council Entry'!F21,'Council Entry'!F$9),'Council Entry'!F$8),'Council Entry'!F21))))-'Council Entry'!F$5)/('Council Entry'!F$6-'Council Entry'!F$5),10*((IF('Council Entry'!F$4="Logarithm",LN(0.001+IF(AND(ISNUMBER('Council Entry'!F$8),ISNUMBER('Council Entry'!F$9)),MAX(MIN('Council Entry'!F21,'Council Entry'!F$9),'Council Entry'!F$8),'Council Entry'!F21)),IF('Council Entry'!F$4="Exponential",EXP(IF(AND(ISNUMBER('Council Entry'!F$8),ISNUMBER('Council Entry'!F$9)),MAX(MIN('Council Entry'!F21,'Council Entry'!F$9),'Council Entry'!F$8),'Council Entry'!F21)),IF(AND(ISNUMBER('Council Entry'!F$8),ISNUMBER('Council Entry'!F$9)),MAX(MIN('Council Entry'!F21,'Council Entry'!F$9),'Council Entry'!F$8),'Council Entry'!F21))))-'Council Entry'!F$5)/('Council Entry'!F$6-'Council Entry'!F$5)),1))),"No data"))</f>
        <v/>
      </c>
      <c r="G21" s="13">
        <f>IF('Council Entry'!G21="","",IFERROR(MAX(0,MIN(10,ROUND(IF('Council Entry'!G$7="Decrease Risk",10-10*((IF('Council Entry'!G$4="Logarithm",LN(0.001+IF(AND(ISNUMBER('Council Entry'!G$8),ISNUMBER('Council Entry'!G$9)),MAX(MIN('Council Entry'!G21,'Council Entry'!G$9),'Council Entry'!G$8),'Council Entry'!G21)),IF('Council Entry'!G$4="Exponential",EXP(IF(AND(ISNUMBER('Council Entry'!G$8),ISNUMBER('Council Entry'!G$9)),MAX(MIN('Council Entry'!G21,'Council Entry'!G$9),'Council Entry'!G$8),'Council Entry'!G21)),IF(AND(ISNUMBER('Council Entry'!G$8),ISNUMBER('Council Entry'!G$9)),MAX(MIN('Council Entry'!G21,'Council Entry'!G$9),'Council Entry'!G$8),'Council Entry'!G21))))-'Council Entry'!G$5)/('Council Entry'!G$6-'Council Entry'!G$5),10*((IF('Council Entry'!G$4="Logarithm",LN(0.001+IF(AND(ISNUMBER('Council Entry'!G$8),ISNUMBER('Council Entry'!G$9)),MAX(MIN('Council Entry'!G21,'Council Entry'!G$9),'Council Entry'!G$8),'Council Entry'!G21)),IF('Council Entry'!G$4="Exponential",EXP(IF(AND(ISNUMBER('Council Entry'!G$8),ISNUMBER('Council Entry'!G$9)),MAX(MIN('Council Entry'!G21,'Council Entry'!G$9),'Council Entry'!G$8),'Council Entry'!G21)),IF(AND(ISNUMBER('Council Entry'!G$8),ISNUMBER('Council Entry'!G$9)),MAX(MIN('Council Entry'!G21,'Council Entry'!G$9),'Council Entry'!G$8),'Council Entry'!G21))))-'Council Entry'!G$5)/('Council Entry'!G$6-'Council Entry'!G$5)),1))),"No data"))</f>
        <v/>
      </c>
      <c r="H21" s="13">
        <f>IF('Council Entry'!H21="","",IFERROR(MAX(0,MIN(10,ROUND(IF('Council Entry'!H$7="Decrease Risk",10-10*((IF('Council Entry'!H$4="Logarithm",LN(0.001+IF(AND(ISNUMBER('Council Entry'!H$8),ISNUMBER('Council Entry'!H$9)),MAX(MIN('Council Entry'!H21,'Council Entry'!H$9),'Council Entry'!H$8),'Council Entry'!H21)),IF('Council Entry'!H$4="Exponential",EXP(IF(AND(ISNUMBER('Council Entry'!H$8),ISNUMBER('Council Entry'!H$9)),MAX(MIN('Council Entry'!H21,'Council Entry'!H$9),'Council Entry'!H$8),'Council Entry'!H21)),IF(AND(ISNUMBER('Council Entry'!H$8),ISNUMBER('Council Entry'!H$9)),MAX(MIN('Council Entry'!H21,'Council Entry'!H$9),'Council Entry'!H$8),'Council Entry'!H21))))-'Council Entry'!H$5)/('Council Entry'!H$6-'Council Entry'!H$5),10*((IF('Council Entry'!H$4="Logarithm",LN(0.001+IF(AND(ISNUMBER('Council Entry'!H$8),ISNUMBER('Council Entry'!H$9)),MAX(MIN('Council Entry'!H21,'Council Entry'!H$9),'Council Entry'!H$8),'Council Entry'!H21)),IF('Council Entry'!H$4="Exponential",EXP(IF(AND(ISNUMBER('Council Entry'!H$8),ISNUMBER('Council Entry'!H$9)),MAX(MIN('Council Entry'!H21,'Council Entry'!H$9),'Council Entry'!H$8),'Council Entry'!H21)),IF(AND(ISNUMBER('Council Entry'!H$8),ISNUMBER('Council Entry'!H$9)),MAX(MIN('Council Entry'!H21,'Council Entry'!H$9),'Council Entry'!H$8),'Council Entry'!H21))))-'Council Entry'!H$5)/('Council Entry'!H$6-'Council Entry'!H$5)),1))),"No data"))</f>
        <v/>
      </c>
      <c r="I21" s="13">
        <f>IF('Council Entry'!I21="","",IFERROR(MAX(0,MIN(10,ROUND(IF('Council Entry'!I$7="Decrease Risk",10-10*((IF('Council Entry'!I$4="Logarithm",LN(0.001+IF(AND(ISNUMBER('Council Entry'!I$8),ISNUMBER('Council Entry'!I$9)),MAX(MIN('Council Entry'!I21,'Council Entry'!I$9),'Council Entry'!I$8),'Council Entry'!I21)),IF('Council Entry'!I$4="Exponential",EXP(IF(AND(ISNUMBER('Council Entry'!I$8),ISNUMBER('Council Entry'!I$9)),MAX(MIN('Council Entry'!I21,'Council Entry'!I$9),'Council Entry'!I$8),'Council Entry'!I21)),IF(AND(ISNUMBER('Council Entry'!I$8),ISNUMBER('Council Entry'!I$9)),MAX(MIN('Council Entry'!I21,'Council Entry'!I$9),'Council Entry'!I$8),'Council Entry'!I21))))-'Council Entry'!I$5)/('Council Entry'!I$6-'Council Entry'!I$5),10*((IF('Council Entry'!I$4="Logarithm",LN(0.001+IF(AND(ISNUMBER('Council Entry'!I$8),ISNUMBER('Council Entry'!I$9)),MAX(MIN('Council Entry'!I21,'Council Entry'!I$9),'Council Entry'!I$8),'Council Entry'!I21)),IF('Council Entry'!I$4="Exponential",EXP(IF(AND(ISNUMBER('Council Entry'!I$8),ISNUMBER('Council Entry'!I$9)),MAX(MIN('Council Entry'!I21,'Council Entry'!I$9),'Council Entry'!I$8),'Council Entry'!I21)),IF(AND(ISNUMBER('Council Entry'!I$8),ISNUMBER('Council Entry'!I$9)),MAX(MIN('Council Entry'!I21,'Council Entry'!I$9),'Council Entry'!I$8),'Council Entry'!I21))))-'Council Entry'!I$5)/('Council Entry'!I$6-'Council Entry'!I$5)),1))),"No data"))</f>
        <v/>
      </c>
      <c r="J21" s="13">
        <f>IF('Council Entry'!J21="","",IFERROR(MAX(0,MIN(10,ROUND(IF('Council Entry'!J$7="Decrease Risk",10-10*((IF('Council Entry'!J$4="Logarithm",LN(0.001+IF(AND(ISNUMBER('Council Entry'!J$8),ISNUMBER('Council Entry'!J$9)),MAX(MIN('Council Entry'!J21,'Council Entry'!J$9),'Council Entry'!J$8),'Council Entry'!J21)),IF('Council Entry'!J$4="Exponential",EXP(IF(AND(ISNUMBER('Council Entry'!J$8),ISNUMBER('Council Entry'!J$9)),MAX(MIN('Council Entry'!J21,'Council Entry'!J$9),'Council Entry'!J$8),'Council Entry'!J21)),IF(AND(ISNUMBER('Council Entry'!J$8),ISNUMBER('Council Entry'!J$9)),MAX(MIN('Council Entry'!J21,'Council Entry'!J$9),'Council Entry'!J$8),'Council Entry'!J21))))-'Council Entry'!J$5)/('Council Entry'!J$6-'Council Entry'!J$5),10*((IF('Council Entry'!J$4="Logarithm",LN(0.001+IF(AND(ISNUMBER('Council Entry'!J$8),ISNUMBER('Council Entry'!J$9)),MAX(MIN('Council Entry'!J21,'Council Entry'!J$9),'Council Entry'!J$8),'Council Entry'!J21)),IF('Council Entry'!J$4="Exponential",EXP(IF(AND(ISNUMBER('Council Entry'!J$8),ISNUMBER('Council Entry'!J$9)),MAX(MIN('Council Entry'!J21,'Council Entry'!J$9),'Council Entry'!J$8),'Council Entry'!J21)),IF(AND(ISNUMBER('Council Entry'!J$8),ISNUMBER('Council Entry'!J$9)),MAX(MIN('Council Entry'!J21,'Council Entry'!J$9),'Council Entry'!J$8),'Council Entry'!J21))))-'Council Entry'!J$5)/('Council Entry'!J$6-'Council Entry'!J$5)),1))),"No data"))</f>
        <v/>
      </c>
      <c r="K21" s="13">
        <f>IF('Council Entry'!K21="","",IFERROR(MAX(0,MIN(10,ROUND(IF('Council Entry'!K$7="Decrease Risk",10-10*((IF('Council Entry'!K$4="Logarithm",LN(0.001+IF(AND(ISNUMBER('Council Entry'!K$8),ISNUMBER('Council Entry'!K$9)),MAX(MIN('Council Entry'!K21,'Council Entry'!K$9),'Council Entry'!K$8),'Council Entry'!K21)),IF('Council Entry'!K$4="Exponential",EXP(IF(AND(ISNUMBER('Council Entry'!K$8),ISNUMBER('Council Entry'!K$9)),MAX(MIN('Council Entry'!K21,'Council Entry'!K$9),'Council Entry'!K$8),'Council Entry'!K21)),IF(AND(ISNUMBER('Council Entry'!K$8),ISNUMBER('Council Entry'!K$9)),MAX(MIN('Council Entry'!K21,'Council Entry'!K$9),'Council Entry'!K$8),'Council Entry'!K21))))-'Council Entry'!K$5)/('Council Entry'!K$6-'Council Entry'!K$5),10*((IF('Council Entry'!K$4="Logarithm",LN(0.001+IF(AND(ISNUMBER('Council Entry'!K$8),ISNUMBER('Council Entry'!K$9)),MAX(MIN('Council Entry'!K21,'Council Entry'!K$9),'Council Entry'!K$8),'Council Entry'!K21)),IF('Council Entry'!K$4="Exponential",EXP(IF(AND(ISNUMBER('Council Entry'!K$8),ISNUMBER('Council Entry'!K$9)),MAX(MIN('Council Entry'!K21,'Council Entry'!K$9),'Council Entry'!K$8),'Council Entry'!K21)),IF(AND(ISNUMBER('Council Entry'!K$8),ISNUMBER('Council Entry'!K$9)),MAX(MIN('Council Entry'!K21,'Council Entry'!K$9),'Council Entry'!K$8),'Council Entry'!K21))))-'Council Entry'!K$5)/('Council Entry'!K$6-'Council Entry'!K$5)),1))),"No data"))</f>
        <v/>
      </c>
      <c r="L21" s="13">
        <f>IF('Council Entry'!L21="","",IFERROR(MAX(0,MIN(10,ROUND(IF('Council Entry'!L$7="Decrease Risk",10-10*((IF('Council Entry'!L$4="Logarithm",LN(0.001+IF(AND(ISNUMBER('Council Entry'!L$8),ISNUMBER('Council Entry'!L$9)),MAX(MIN('Council Entry'!L21,'Council Entry'!L$9),'Council Entry'!L$8),'Council Entry'!L21)),IF('Council Entry'!L$4="Exponential",EXP(IF(AND(ISNUMBER('Council Entry'!L$8),ISNUMBER('Council Entry'!L$9)),MAX(MIN('Council Entry'!L21,'Council Entry'!L$9),'Council Entry'!L$8),'Council Entry'!L21)),IF(AND(ISNUMBER('Council Entry'!L$8),ISNUMBER('Council Entry'!L$9)),MAX(MIN('Council Entry'!L21,'Council Entry'!L$9),'Council Entry'!L$8),'Council Entry'!L21))))-'Council Entry'!L$5)/('Council Entry'!L$6-'Council Entry'!L$5),10*((IF('Council Entry'!L$4="Logarithm",LN(0.001+IF(AND(ISNUMBER('Council Entry'!L$8),ISNUMBER('Council Entry'!L$9)),MAX(MIN('Council Entry'!L21,'Council Entry'!L$9),'Council Entry'!L$8),'Council Entry'!L21)),IF('Council Entry'!L$4="Exponential",EXP(IF(AND(ISNUMBER('Council Entry'!L$8),ISNUMBER('Council Entry'!L$9)),MAX(MIN('Council Entry'!L21,'Council Entry'!L$9),'Council Entry'!L$8),'Council Entry'!L21)),IF(AND(ISNUMBER('Council Entry'!L$8),ISNUMBER('Council Entry'!L$9)),MAX(MIN('Council Entry'!L21,'Council Entry'!L$9),'Council Entry'!L$8),'Council Entry'!L21))))-'Council Entry'!L$5)/('Council Entry'!L$6-'Council Entry'!L$5)),1))),"No data"))</f>
        <v/>
      </c>
      <c r="M21" s="13">
        <f>IF('Council Entry'!M21="","",IFERROR(MAX(0,MIN(10,ROUND(IF('Council Entry'!M$7="Decrease Risk",10-10*((IF('Council Entry'!M$4="Logarithm",LN(0.001+IF(AND(ISNUMBER('Council Entry'!M$8),ISNUMBER('Council Entry'!M$9)),MAX(MIN('Council Entry'!M21,'Council Entry'!M$9),'Council Entry'!M$8),'Council Entry'!M21)),IF('Council Entry'!M$4="Exponential",EXP(IF(AND(ISNUMBER('Council Entry'!M$8),ISNUMBER('Council Entry'!M$9)),MAX(MIN('Council Entry'!M21,'Council Entry'!M$9),'Council Entry'!M$8),'Council Entry'!M21)),IF(AND(ISNUMBER('Council Entry'!M$8),ISNUMBER('Council Entry'!M$9)),MAX(MIN('Council Entry'!M21,'Council Entry'!M$9),'Council Entry'!M$8),'Council Entry'!M21))))-'Council Entry'!M$5)/('Council Entry'!M$6-'Council Entry'!M$5),10*((IF('Council Entry'!M$4="Logarithm",LN(0.001+IF(AND(ISNUMBER('Council Entry'!M$8),ISNUMBER('Council Entry'!M$9)),MAX(MIN('Council Entry'!M21,'Council Entry'!M$9),'Council Entry'!M$8),'Council Entry'!M21)),IF('Council Entry'!M$4="Exponential",EXP(IF(AND(ISNUMBER('Council Entry'!M$8),ISNUMBER('Council Entry'!M$9)),MAX(MIN('Council Entry'!M21,'Council Entry'!M$9),'Council Entry'!M$8),'Council Entry'!M21)),IF(AND(ISNUMBER('Council Entry'!M$8),ISNUMBER('Council Entry'!M$9)),MAX(MIN('Council Entry'!M21,'Council Entry'!M$9),'Council Entry'!M$8),'Council Entry'!M21))))-'Council Entry'!M$5)/('Council Entry'!M$6-'Council Entry'!M$5)),1))),"No data"))</f>
        <v/>
      </c>
      <c r="N21" s="13">
        <f>IF('Council Entry'!N21="","",IFERROR(MAX(0,MIN(10,ROUND(IF('Council Entry'!N$7="Decrease Risk",10-10*((IF('Council Entry'!N$4="Logarithm",LN(0.001+IF(AND(ISNUMBER('Council Entry'!N$8),ISNUMBER('Council Entry'!N$9)),MAX(MIN('Council Entry'!N21,'Council Entry'!N$9),'Council Entry'!N$8),'Council Entry'!N21)),IF('Council Entry'!N$4="Exponential",EXP(IF(AND(ISNUMBER('Council Entry'!N$8),ISNUMBER('Council Entry'!N$9)),MAX(MIN('Council Entry'!N21,'Council Entry'!N$9),'Council Entry'!N$8),'Council Entry'!N21)),IF(AND(ISNUMBER('Council Entry'!N$8),ISNUMBER('Council Entry'!N$9)),MAX(MIN('Council Entry'!N21,'Council Entry'!N$9),'Council Entry'!N$8),'Council Entry'!N21))))-'Council Entry'!N$5)/('Council Entry'!N$6-'Council Entry'!N$5),10*((IF('Council Entry'!N$4="Logarithm",LN(0.001+IF(AND(ISNUMBER('Council Entry'!N$8),ISNUMBER('Council Entry'!N$9)),MAX(MIN('Council Entry'!N21,'Council Entry'!N$9),'Council Entry'!N$8),'Council Entry'!N21)),IF('Council Entry'!N$4="Exponential",EXP(IF(AND(ISNUMBER('Council Entry'!N$8),ISNUMBER('Council Entry'!N$9)),MAX(MIN('Council Entry'!N21,'Council Entry'!N$9),'Council Entry'!N$8),'Council Entry'!N21)),IF(AND(ISNUMBER('Council Entry'!N$8),ISNUMBER('Council Entry'!N$9)),MAX(MIN('Council Entry'!N21,'Council Entry'!N$9),'Council Entry'!N$8),'Council Entry'!N21))))-'Council Entry'!N$5)/('Council Entry'!N$6-'Council Entry'!N$5)),1))),"No data"))</f>
        <v/>
      </c>
      <c r="O21" s="13">
        <f>IF('Council Entry'!O21="","",IFERROR(MAX(0,MIN(10,ROUND(IF('Council Entry'!O$7="Decrease Risk",10-10*((IF('Council Entry'!O$4="Logarithm",LN(0.001+IF(AND(ISNUMBER('Council Entry'!O$8),ISNUMBER('Council Entry'!O$9)),MAX(MIN('Council Entry'!O21,'Council Entry'!O$9),'Council Entry'!O$8),'Council Entry'!O21)),IF('Council Entry'!O$4="Exponential",EXP(IF(AND(ISNUMBER('Council Entry'!O$8),ISNUMBER('Council Entry'!O$9)),MAX(MIN('Council Entry'!O21,'Council Entry'!O$9),'Council Entry'!O$8),'Council Entry'!O21)),IF(AND(ISNUMBER('Council Entry'!O$8),ISNUMBER('Council Entry'!O$9)),MAX(MIN('Council Entry'!O21,'Council Entry'!O$9),'Council Entry'!O$8),'Council Entry'!O21))))-'Council Entry'!O$5)/('Council Entry'!O$6-'Council Entry'!O$5),10*((IF('Council Entry'!O$4="Logarithm",LN(0.001+IF(AND(ISNUMBER('Council Entry'!O$8),ISNUMBER('Council Entry'!O$9)),MAX(MIN('Council Entry'!O21,'Council Entry'!O$9),'Council Entry'!O$8),'Council Entry'!O21)),IF('Council Entry'!O$4="Exponential",EXP(IF(AND(ISNUMBER('Council Entry'!O$8),ISNUMBER('Council Entry'!O$9)),MAX(MIN('Council Entry'!O21,'Council Entry'!O$9),'Council Entry'!O$8),'Council Entry'!O21)),IF(AND(ISNUMBER('Council Entry'!O$8),ISNUMBER('Council Entry'!O$9)),MAX(MIN('Council Entry'!O21,'Council Entry'!O$9),'Council Entry'!O$8),'Council Entry'!O21))))-'Council Entry'!O$5)/('Council Entry'!O$6-'Council Entry'!O$5)),1))),"No data"))</f>
        <v/>
      </c>
      <c r="P21" s="13">
        <f>IF('Council Entry'!P21="","",IFERROR(MAX(0,MIN(10,ROUND(IF('Council Entry'!P$7="Decrease Risk",10-10*((IF('Council Entry'!P$4="Logarithm",LN(0.001+IF(AND(ISNUMBER('Council Entry'!P$8),ISNUMBER('Council Entry'!P$9)),MAX(MIN('Council Entry'!P21,'Council Entry'!P$9),'Council Entry'!P$8),'Council Entry'!P21)),IF('Council Entry'!P$4="Exponential",EXP(IF(AND(ISNUMBER('Council Entry'!P$8),ISNUMBER('Council Entry'!P$9)),MAX(MIN('Council Entry'!P21,'Council Entry'!P$9),'Council Entry'!P$8),'Council Entry'!P21)),IF(AND(ISNUMBER('Council Entry'!P$8),ISNUMBER('Council Entry'!P$9)),MAX(MIN('Council Entry'!P21,'Council Entry'!P$9),'Council Entry'!P$8),'Council Entry'!P21))))-'Council Entry'!P$5)/('Council Entry'!P$6-'Council Entry'!P$5),10*((IF('Council Entry'!P$4="Logarithm",LN(0.001+IF(AND(ISNUMBER('Council Entry'!P$8),ISNUMBER('Council Entry'!P$9)),MAX(MIN('Council Entry'!P21,'Council Entry'!P$9),'Council Entry'!P$8),'Council Entry'!P21)),IF('Council Entry'!P$4="Exponential",EXP(IF(AND(ISNUMBER('Council Entry'!P$8),ISNUMBER('Council Entry'!P$9)),MAX(MIN('Council Entry'!P21,'Council Entry'!P$9),'Council Entry'!P$8),'Council Entry'!P21)),IF(AND(ISNUMBER('Council Entry'!P$8),ISNUMBER('Council Entry'!P$9)),MAX(MIN('Council Entry'!P21,'Council Entry'!P$9),'Council Entry'!P$8),'Council Entry'!P21))))-'Council Entry'!P$5)/('Council Entry'!P$6-'Council Entry'!P$5)),1))),"No data"))</f>
        <v/>
      </c>
      <c r="Q21" s="13">
        <f>IF('Council Entry'!Q21="","",IFERROR(MAX(0,MIN(10,ROUND(IF('Council Entry'!Q$7="Decrease Risk",10-10*((IF('Council Entry'!Q$4="Logarithm",LN(0.001+IF(AND(ISNUMBER('Council Entry'!Q$8),ISNUMBER('Council Entry'!Q$9)),MAX(MIN('Council Entry'!Q21,'Council Entry'!Q$9),'Council Entry'!Q$8),'Council Entry'!Q21)),IF('Council Entry'!Q$4="Exponential",EXP(IF(AND(ISNUMBER('Council Entry'!Q$8),ISNUMBER('Council Entry'!Q$9)),MAX(MIN('Council Entry'!Q21,'Council Entry'!Q$9),'Council Entry'!Q$8),'Council Entry'!Q21)),IF(AND(ISNUMBER('Council Entry'!Q$8),ISNUMBER('Council Entry'!Q$9)),MAX(MIN('Council Entry'!Q21,'Council Entry'!Q$9),'Council Entry'!Q$8),'Council Entry'!Q21))))-'Council Entry'!Q$5)/('Council Entry'!Q$6-'Council Entry'!Q$5),10*((IF('Council Entry'!Q$4="Logarithm",LN(0.001+IF(AND(ISNUMBER('Council Entry'!Q$8),ISNUMBER('Council Entry'!Q$9)),MAX(MIN('Council Entry'!Q21,'Council Entry'!Q$9),'Council Entry'!Q$8),'Council Entry'!Q21)),IF('Council Entry'!Q$4="Exponential",EXP(IF(AND(ISNUMBER('Council Entry'!Q$8),ISNUMBER('Council Entry'!Q$9)),MAX(MIN('Council Entry'!Q21,'Council Entry'!Q$9),'Council Entry'!Q$8),'Council Entry'!Q21)),IF(AND(ISNUMBER('Council Entry'!Q$8),ISNUMBER('Council Entry'!Q$9)),MAX(MIN('Council Entry'!Q21,'Council Entry'!Q$9),'Council Entry'!Q$8),'Council Entry'!Q21))))-'Council Entry'!Q$5)/('Council Entry'!Q$6-'Council Entry'!Q$5)),1))),"No data"))</f>
        <v/>
      </c>
      <c r="R21" s="13">
        <f>IF('Council Entry'!R21="","",IFERROR(MAX(0,MIN(10,ROUND(IF('Council Entry'!R$7="Decrease Risk",10-10*((IF('Council Entry'!R$4="Logarithm",LN(0.001+IF(AND(ISNUMBER('Council Entry'!R$8),ISNUMBER('Council Entry'!R$9)),MAX(MIN('Council Entry'!R21,'Council Entry'!R$9),'Council Entry'!R$8),'Council Entry'!R21)),IF('Council Entry'!R$4="Exponential",EXP(IF(AND(ISNUMBER('Council Entry'!R$8),ISNUMBER('Council Entry'!R$9)),MAX(MIN('Council Entry'!R21,'Council Entry'!R$9),'Council Entry'!R$8),'Council Entry'!R21)),IF(AND(ISNUMBER('Council Entry'!R$8),ISNUMBER('Council Entry'!R$9)),MAX(MIN('Council Entry'!R21,'Council Entry'!R$9),'Council Entry'!R$8),'Council Entry'!R21))))-'Council Entry'!R$5)/('Council Entry'!R$6-'Council Entry'!R$5),10*((IF('Council Entry'!R$4="Logarithm",LN(0.001+IF(AND(ISNUMBER('Council Entry'!R$8),ISNUMBER('Council Entry'!R$9)),MAX(MIN('Council Entry'!R21,'Council Entry'!R$9),'Council Entry'!R$8),'Council Entry'!R21)),IF('Council Entry'!R$4="Exponential",EXP(IF(AND(ISNUMBER('Council Entry'!R$8),ISNUMBER('Council Entry'!R$9)),MAX(MIN('Council Entry'!R21,'Council Entry'!R$9),'Council Entry'!R$8),'Council Entry'!R21)),IF(AND(ISNUMBER('Council Entry'!R$8),ISNUMBER('Council Entry'!R$9)),MAX(MIN('Council Entry'!R21,'Council Entry'!R$9),'Council Entry'!R$8),'Council Entry'!R21))))-'Council Entry'!R$5)/('Council Entry'!R$6-'Council Entry'!R$5)),1))),"No data"))</f>
        <v/>
      </c>
      <c r="S21" s="13">
        <f>IF('Council Entry'!S21="","",IFERROR(MAX(0,MIN(10,ROUND(IF('Council Entry'!S$7="Decrease Risk",10-10*((IF('Council Entry'!S$4="Logarithm",LN(0.001+IF(AND(ISNUMBER('Council Entry'!S$8),ISNUMBER('Council Entry'!S$9)),MAX(MIN('Council Entry'!S21,'Council Entry'!S$9),'Council Entry'!S$8),'Council Entry'!S21)),IF('Council Entry'!S$4="Exponential",EXP(IF(AND(ISNUMBER('Council Entry'!S$8),ISNUMBER('Council Entry'!S$9)),MAX(MIN('Council Entry'!S21,'Council Entry'!S$9),'Council Entry'!S$8),'Council Entry'!S21)),IF(AND(ISNUMBER('Council Entry'!S$8),ISNUMBER('Council Entry'!S$9)),MAX(MIN('Council Entry'!S21,'Council Entry'!S$9),'Council Entry'!S$8),'Council Entry'!S21))))-'Council Entry'!S$5)/('Council Entry'!S$6-'Council Entry'!S$5),10*((IF('Council Entry'!S$4="Logarithm",LN(0.001+IF(AND(ISNUMBER('Council Entry'!S$8),ISNUMBER('Council Entry'!S$9)),MAX(MIN('Council Entry'!S21,'Council Entry'!S$9),'Council Entry'!S$8),'Council Entry'!S21)),IF('Council Entry'!S$4="Exponential",EXP(IF(AND(ISNUMBER('Council Entry'!S$8),ISNUMBER('Council Entry'!S$9)),MAX(MIN('Council Entry'!S21,'Council Entry'!S$9),'Council Entry'!S$8),'Council Entry'!S21)),IF(AND(ISNUMBER('Council Entry'!S$8),ISNUMBER('Council Entry'!S$9)),MAX(MIN('Council Entry'!S21,'Council Entry'!S$9),'Council Entry'!S$8),'Council Entry'!S21))))-'Council Entry'!S$5)/('Council Entry'!S$6-'Council Entry'!S$5)),1))),"No data"))</f>
        <v/>
      </c>
      <c r="T21" s="13">
        <f>IF('Council Entry'!T21="","",IFERROR(MAX(0,MIN(10,ROUND(IF('Council Entry'!T$7="Decrease Risk",10-10*((IF('Council Entry'!T$4="Logarithm",LN(0.001+IF(AND(ISNUMBER('Council Entry'!T$8),ISNUMBER('Council Entry'!T$9)),MAX(MIN('Council Entry'!T21,'Council Entry'!T$9),'Council Entry'!T$8),'Council Entry'!T21)),IF('Council Entry'!T$4="Exponential",EXP(IF(AND(ISNUMBER('Council Entry'!T$8),ISNUMBER('Council Entry'!T$9)),MAX(MIN('Council Entry'!T21,'Council Entry'!T$9),'Council Entry'!T$8),'Council Entry'!T21)),IF(AND(ISNUMBER('Council Entry'!T$8),ISNUMBER('Council Entry'!T$9)),MAX(MIN('Council Entry'!T21,'Council Entry'!T$9),'Council Entry'!T$8),'Council Entry'!T21))))-'Council Entry'!T$5)/('Council Entry'!T$6-'Council Entry'!T$5),10*((IF('Council Entry'!T$4="Logarithm",LN(0.001+IF(AND(ISNUMBER('Council Entry'!T$8),ISNUMBER('Council Entry'!T$9)),MAX(MIN('Council Entry'!T21,'Council Entry'!T$9),'Council Entry'!T$8),'Council Entry'!T21)),IF('Council Entry'!T$4="Exponential",EXP(IF(AND(ISNUMBER('Council Entry'!T$8),ISNUMBER('Council Entry'!T$9)),MAX(MIN('Council Entry'!T21,'Council Entry'!T$9),'Council Entry'!T$8),'Council Entry'!T21)),IF(AND(ISNUMBER('Council Entry'!T$8),ISNUMBER('Council Entry'!T$9)),MAX(MIN('Council Entry'!T21,'Council Entry'!T$9),'Council Entry'!T$8),'Council Entry'!T21))))-'Council Entry'!T$5)/('Council Entry'!T$6-'Council Entry'!T$5)),1))),"No data"))</f>
        <v/>
      </c>
      <c r="U21" s="13">
        <f>IF('Council Entry'!U21="","",IFERROR(MAX(0,MIN(10,ROUND(IF('Council Entry'!U$7="Decrease Risk",10-10*((IF('Council Entry'!U$4="Logarithm",LN(0.001+IF(AND(ISNUMBER('Council Entry'!U$8),ISNUMBER('Council Entry'!U$9)),MAX(MIN('Council Entry'!U21,'Council Entry'!U$9),'Council Entry'!U$8),'Council Entry'!U21)),IF('Council Entry'!U$4="Exponential",EXP(IF(AND(ISNUMBER('Council Entry'!U$8),ISNUMBER('Council Entry'!U$9)),MAX(MIN('Council Entry'!U21,'Council Entry'!U$9),'Council Entry'!U$8),'Council Entry'!U21)),IF(AND(ISNUMBER('Council Entry'!U$8),ISNUMBER('Council Entry'!U$9)),MAX(MIN('Council Entry'!U21,'Council Entry'!U$9),'Council Entry'!U$8),'Council Entry'!U21))))-'Council Entry'!U$5)/('Council Entry'!U$6-'Council Entry'!U$5),10*((IF('Council Entry'!U$4="Logarithm",LN(0.001+IF(AND(ISNUMBER('Council Entry'!U$8),ISNUMBER('Council Entry'!U$9)),MAX(MIN('Council Entry'!U21,'Council Entry'!U$9),'Council Entry'!U$8),'Council Entry'!U21)),IF('Council Entry'!U$4="Exponential",EXP(IF(AND(ISNUMBER('Council Entry'!U$8),ISNUMBER('Council Entry'!U$9)),MAX(MIN('Council Entry'!U21,'Council Entry'!U$9),'Council Entry'!U$8),'Council Entry'!U21)),IF(AND(ISNUMBER('Council Entry'!U$8),ISNUMBER('Council Entry'!U$9)),MAX(MIN('Council Entry'!U21,'Council Entry'!U$9),'Council Entry'!U$8),'Council Entry'!U21))))-'Council Entry'!U$5)/('Council Entry'!U$6-'Council Entry'!U$5)),1))),"No data"))</f>
        <v/>
      </c>
      <c r="V21" s="13">
        <f>IF('Council Entry'!V21="","",IFERROR(MAX(0,MIN(10,ROUND(IF('Council Entry'!V$7="Decrease Risk",10-10*((IF('Council Entry'!V$4="Logarithm",LN(0.001+IF(AND(ISNUMBER('Council Entry'!V$8),ISNUMBER('Council Entry'!V$9)),MAX(MIN('Council Entry'!V21,'Council Entry'!V$9),'Council Entry'!V$8),'Council Entry'!V21)),IF('Council Entry'!V$4="Exponential",EXP(IF(AND(ISNUMBER('Council Entry'!V$8),ISNUMBER('Council Entry'!V$9)),MAX(MIN('Council Entry'!V21,'Council Entry'!V$9),'Council Entry'!V$8),'Council Entry'!V21)),IF(AND(ISNUMBER('Council Entry'!V$8),ISNUMBER('Council Entry'!V$9)),MAX(MIN('Council Entry'!V21,'Council Entry'!V$9),'Council Entry'!V$8),'Council Entry'!V21))))-'Council Entry'!V$5)/('Council Entry'!V$6-'Council Entry'!V$5),10*((IF('Council Entry'!V$4="Logarithm",LN(0.001+IF(AND(ISNUMBER('Council Entry'!V$8),ISNUMBER('Council Entry'!V$9)),MAX(MIN('Council Entry'!V21,'Council Entry'!V$9),'Council Entry'!V$8),'Council Entry'!V21)),IF('Council Entry'!V$4="Exponential",EXP(IF(AND(ISNUMBER('Council Entry'!V$8),ISNUMBER('Council Entry'!V$9)),MAX(MIN('Council Entry'!V21,'Council Entry'!V$9),'Council Entry'!V$8),'Council Entry'!V21)),IF(AND(ISNUMBER('Council Entry'!V$8),ISNUMBER('Council Entry'!V$9)),MAX(MIN('Council Entry'!V21,'Council Entry'!V$9),'Council Entry'!V$8),'Council Entry'!V21))))-'Council Entry'!V$5)/('Council Entry'!V$6-'Council Entry'!V$5)),1))),"No data"))</f>
        <v/>
      </c>
      <c r="W21" s="13">
        <f>IF('Council Entry'!W21="","",IFERROR(MAX(0,MIN(10,ROUND(IF('Council Entry'!W$7="Decrease Risk",10-10*((IF('Council Entry'!W$4="Logarithm",LN(0.001+IF(AND(ISNUMBER('Council Entry'!W$8),ISNUMBER('Council Entry'!W$9)),MAX(MIN('Council Entry'!W21,'Council Entry'!W$9),'Council Entry'!W$8),'Council Entry'!W21)),IF('Council Entry'!W$4="Exponential",EXP(IF(AND(ISNUMBER('Council Entry'!W$8),ISNUMBER('Council Entry'!W$9)),MAX(MIN('Council Entry'!W21,'Council Entry'!W$9),'Council Entry'!W$8),'Council Entry'!W21)),IF(AND(ISNUMBER('Council Entry'!W$8),ISNUMBER('Council Entry'!W$9)),MAX(MIN('Council Entry'!W21,'Council Entry'!W$9),'Council Entry'!W$8),'Council Entry'!W21))))-'Council Entry'!W$5)/('Council Entry'!W$6-'Council Entry'!W$5),10*((IF('Council Entry'!W$4="Logarithm",LN(0.001+IF(AND(ISNUMBER('Council Entry'!W$8),ISNUMBER('Council Entry'!W$9)),MAX(MIN('Council Entry'!W21,'Council Entry'!W$9),'Council Entry'!W$8),'Council Entry'!W21)),IF('Council Entry'!W$4="Exponential",EXP(IF(AND(ISNUMBER('Council Entry'!W$8),ISNUMBER('Council Entry'!W$9)),MAX(MIN('Council Entry'!W21,'Council Entry'!W$9),'Council Entry'!W$8),'Council Entry'!W21)),IF(AND(ISNUMBER('Council Entry'!W$8),ISNUMBER('Council Entry'!W$9)),MAX(MIN('Council Entry'!W21,'Council Entry'!W$9),'Council Entry'!W$8),'Council Entry'!W21))))-'Council Entry'!W$5)/('Council Entry'!W$6-'Council Entry'!W$5)),1))),"No data"))</f>
        <v/>
      </c>
      <c r="X21" s="13">
        <f>IF('Council Entry'!X21="","",IFERROR(MAX(0,MIN(10,ROUND(IF('Council Entry'!X$7="Decrease Risk",10-10*((IF('Council Entry'!X$4="Logarithm",LN(0.001+IF(AND(ISNUMBER('Council Entry'!X$8),ISNUMBER('Council Entry'!X$9)),MAX(MIN('Council Entry'!X21,'Council Entry'!X$9),'Council Entry'!X$8),'Council Entry'!X21)),IF('Council Entry'!X$4="Exponential",EXP(IF(AND(ISNUMBER('Council Entry'!X$8),ISNUMBER('Council Entry'!X$9)),MAX(MIN('Council Entry'!X21,'Council Entry'!X$9),'Council Entry'!X$8),'Council Entry'!X21)),IF(AND(ISNUMBER('Council Entry'!X$8),ISNUMBER('Council Entry'!X$9)),MAX(MIN('Council Entry'!X21,'Council Entry'!X$9),'Council Entry'!X$8),'Council Entry'!X21))))-'Council Entry'!X$5)/('Council Entry'!X$6-'Council Entry'!X$5),10*((IF('Council Entry'!X$4="Logarithm",LN(0.001+IF(AND(ISNUMBER('Council Entry'!X$8),ISNUMBER('Council Entry'!X$9)),MAX(MIN('Council Entry'!X21,'Council Entry'!X$9),'Council Entry'!X$8),'Council Entry'!X21)),IF('Council Entry'!X$4="Exponential",EXP(IF(AND(ISNUMBER('Council Entry'!X$8),ISNUMBER('Council Entry'!X$9)),MAX(MIN('Council Entry'!X21,'Council Entry'!X$9),'Council Entry'!X$8),'Council Entry'!X21)),IF(AND(ISNUMBER('Council Entry'!X$8),ISNUMBER('Council Entry'!X$9)),MAX(MIN('Council Entry'!X21,'Council Entry'!X$9),'Council Entry'!X$8),'Council Entry'!X21))))-'Council Entry'!X$5)/('Council Entry'!X$6-'Council Entry'!X$5)),1))),"No data"))</f>
        <v/>
      </c>
      <c r="Y21" s="13">
        <f>IF('Council Entry'!Y21="","",IFERROR(MAX(0,MIN(10,ROUND(IF('Council Entry'!Y$7="Decrease Risk",10-10*((IF('Council Entry'!Y$4="Logarithm",LN(0.001+IF(AND(ISNUMBER('Council Entry'!Y$8),ISNUMBER('Council Entry'!Y$9)),MAX(MIN('Council Entry'!Y21,'Council Entry'!Y$9),'Council Entry'!Y$8),'Council Entry'!Y21)),IF('Council Entry'!Y$4="Exponential",EXP(IF(AND(ISNUMBER('Council Entry'!Y$8),ISNUMBER('Council Entry'!Y$9)),MAX(MIN('Council Entry'!Y21,'Council Entry'!Y$9),'Council Entry'!Y$8),'Council Entry'!Y21)),IF(AND(ISNUMBER('Council Entry'!Y$8),ISNUMBER('Council Entry'!Y$9)),MAX(MIN('Council Entry'!Y21,'Council Entry'!Y$9),'Council Entry'!Y$8),'Council Entry'!Y21))))-'Council Entry'!Y$5)/('Council Entry'!Y$6-'Council Entry'!Y$5),10*((IF('Council Entry'!Y$4="Logarithm",LN(0.001+IF(AND(ISNUMBER('Council Entry'!Y$8),ISNUMBER('Council Entry'!Y$9)),MAX(MIN('Council Entry'!Y21,'Council Entry'!Y$9),'Council Entry'!Y$8),'Council Entry'!Y21)),IF('Council Entry'!Y$4="Exponential",EXP(IF(AND(ISNUMBER('Council Entry'!Y$8),ISNUMBER('Council Entry'!Y$9)),MAX(MIN('Council Entry'!Y21,'Council Entry'!Y$9),'Council Entry'!Y$8),'Council Entry'!Y21)),IF(AND(ISNUMBER('Council Entry'!Y$8),ISNUMBER('Council Entry'!Y$9)),MAX(MIN('Council Entry'!Y21,'Council Entry'!Y$9),'Council Entry'!Y$8),'Council Entry'!Y21))))-'Council Entry'!Y$5)/('Council Entry'!Y$6-'Council Entry'!Y$5)),1))),"No data"))</f>
        <v/>
      </c>
      <c r="Z21" s="13">
        <f>IF('Council Entry'!Z21="","",IFERROR(MAX(0,MIN(10,ROUND(IF('Council Entry'!Z$7="Decrease Risk",10-10*((IF('Council Entry'!Z$4="Logarithm",LN(0.001+IF(AND(ISNUMBER('Council Entry'!Z$8),ISNUMBER('Council Entry'!Z$9)),MAX(MIN('Council Entry'!Z21,'Council Entry'!Z$9),'Council Entry'!Z$8),'Council Entry'!Z21)),IF('Council Entry'!Z$4="Exponential",EXP(IF(AND(ISNUMBER('Council Entry'!Z$8),ISNUMBER('Council Entry'!Z$9)),MAX(MIN('Council Entry'!Z21,'Council Entry'!Z$9),'Council Entry'!Z$8),'Council Entry'!Z21)),IF(AND(ISNUMBER('Council Entry'!Z$8),ISNUMBER('Council Entry'!Z$9)),MAX(MIN('Council Entry'!Z21,'Council Entry'!Z$9),'Council Entry'!Z$8),'Council Entry'!Z21))))-'Council Entry'!Z$5)/('Council Entry'!Z$6-'Council Entry'!Z$5),10*((IF('Council Entry'!Z$4="Logarithm",LN(0.001+IF(AND(ISNUMBER('Council Entry'!Z$8),ISNUMBER('Council Entry'!Z$9)),MAX(MIN('Council Entry'!Z21,'Council Entry'!Z$9),'Council Entry'!Z$8),'Council Entry'!Z21)),IF('Council Entry'!Z$4="Exponential",EXP(IF(AND(ISNUMBER('Council Entry'!Z$8),ISNUMBER('Council Entry'!Z$9)),MAX(MIN('Council Entry'!Z21,'Council Entry'!Z$9),'Council Entry'!Z$8),'Council Entry'!Z21)),IF(AND(ISNUMBER('Council Entry'!Z$8),ISNUMBER('Council Entry'!Z$9)),MAX(MIN('Council Entry'!Z21,'Council Entry'!Z$9),'Council Entry'!Z$8),'Council Entry'!Z21))))-'Council Entry'!Z$5)/('Council Entry'!Z$6-'Council Entry'!Z$5)),1))),"No data"))</f>
        <v/>
      </c>
      <c r="AA21" s="13">
        <f>IF('Council Entry'!AA21="","",IFERROR(MAX(0,MIN(10,ROUND(IF('Council Entry'!AA$7="Decrease Risk",10-10*((IF('Council Entry'!AA$4="Logarithm",LN(0.001+IF(AND(ISNUMBER('Council Entry'!AA$8),ISNUMBER('Council Entry'!AA$9)),MAX(MIN('Council Entry'!AA21,'Council Entry'!AA$9),'Council Entry'!AA$8),'Council Entry'!AA21)),IF('Council Entry'!AA$4="Exponential",EXP(IF(AND(ISNUMBER('Council Entry'!AA$8),ISNUMBER('Council Entry'!AA$9)),MAX(MIN('Council Entry'!AA21,'Council Entry'!AA$9),'Council Entry'!AA$8),'Council Entry'!AA21)),IF(AND(ISNUMBER('Council Entry'!AA$8),ISNUMBER('Council Entry'!AA$9)),MAX(MIN('Council Entry'!AA21,'Council Entry'!AA$9),'Council Entry'!AA$8),'Council Entry'!AA21))))-'Council Entry'!AA$5)/('Council Entry'!AA$6-'Council Entry'!AA$5),10*((IF('Council Entry'!AA$4="Logarithm",LN(0.001+IF(AND(ISNUMBER('Council Entry'!AA$8),ISNUMBER('Council Entry'!AA$9)),MAX(MIN('Council Entry'!AA21,'Council Entry'!AA$9),'Council Entry'!AA$8),'Council Entry'!AA21)),IF('Council Entry'!AA$4="Exponential",EXP(IF(AND(ISNUMBER('Council Entry'!AA$8),ISNUMBER('Council Entry'!AA$9)),MAX(MIN('Council Entry'!AA21,'Council Entry'!AA$9),'Council Entry'!AA$8),'Council Entry'!AA21)),IF(AND(ISNUMBER('Council Entry'!AA$8),ISNUMBER('Council Entry'!AA$9)),MAX(MIN('Council Entry'!AA21,'Council Entry'!AA$9),'Council Entry'!AA$8),'Council Entry'!AA21))))-'Council Entry'!AA$5)/('Council Entry'!AA$6-'Council Entry'!AA$5)),1))),"No data"))</f>
        <v/>
      </c>
      <c r="AB21" s="13">
        <f>IF('Council Entry'!AB21="","",IFERROR(MAX(0,MIN(10,ROUND(IF('Council Entry'!AB$7="Decrease Risk",10-10*((IF('Council Entry'!AB$4="Logarithm",LN(0.001+IF(AND(ISNUMBER('Council Entry'!AB$8),ISNUMBER('Council Entry'!AB$9)),MAX(MIN('Council Entry'!AB21,'Council Entry'!AB$9),'Council Entry'!AB$8),'Council Entry'!AB21)),IF('Council Entry'!AB$4="Exponential",EXP(IF(AND(ISNUMBER('Council Entry'!AB$8),ISNUMBER('Council Entry'!AB$9)),MAX(MIN('Council Entry'!AB21,'Council Entry'!AB$9),'Council Entry'!AB$8),'Council Entry'!AB21)),IF(AND(ISNUMBER('Council Entry'!AB$8),ISNUMBER('Council Entry'!AB$9)),MAX(MIN('Council Entry'!AB21,'Council Entry'!AB$9),'Council Entry'!AB$8),'Council Entry'!AB21))))-'Council Entry'!AB$5)/('Council Entry'!AB$6-'Council Entry'!AB$5),10*((IF('Council Entry'!AB$4="Logarithm",LN(0.001+IF(AND(ISNUMBER('Council Entry'!AB$8),ISNUMBER('Council Entry'!AB$9)),MAX(MIN('Council Entry'!AB21,'Council Entry'!AB$9),'Council Entry'!AB$8),'Council Entry'!AB21)),IF('Council Entry'!AB$4="Exponential",EXP(IF(AND(ISNUMBER('Council Entry'!AB$8),ISNUMBER('Council Entry'!AB$9)),MAX(MIN('Council Entry'!AB21,'Council Entry'!AB$9),'Council Entry'!AB$8),'Council Entry'!AB21)),IF(AND(ISNUMBER('Council Entry'!AB$8),ISNUMBER('Council Entry'!AB$9)),MAX(MIN('Council Entry'!AB21,'Council Entry'!AB$9),'Council Entry'!AB$8),'Council Entry'!AB21))))-'Council Entry'!AB$5)/('Council Entry'!AB$6-'Council Entry'!AB$5)),1))),"No data"))</f>
        <v/>
      </c>
      <c r="AC21" s="13">
        <f>IF('Council Entry'!AC21="","",IFERROR(MAX(0,MIN(10,ROUND(IF('Council Entry'!AC$7="Decrease Risk",10-10*((IF('Council Entry'!AC$4="Logarithm",LN(0.001+IF(AND(ISNUMBER('Council Entry'!AC$8),ISNUMBER('Council Entry'!AC$9)),MAX(MIN('Council Entry'!AC21,'Council Entry'!AC$9),'Council Entry'!AC$8),'Council Entry'!AC21)),IF('Council Entry'!AC$4="Exponential",EXP(IF(AND(ISNUMBER('Council Entry'!AC$8),ISNUMBER('Council Entry'!AC$9)),MAX(MIN('Council Entry'!AC21,'Council Entry'!AC$9),'Council Entry'!AC$8),'Council Entry'!AC21)),IF(AND(ISNUMBER('Council Entry'!AC$8),ISNUMBER('Council Entry'!AC$9)),MAX(MIN('Council Entry'!AC21,'Council Entry'!AC$9),'Council Entry'!AC$8),'Council Entry'!AC21))))-'Council Entry'!AC$5)/('Council Entry'!AC$6-'Council Entry'!AC$5),10*((IF('Council Entry'!AC$4="Logarithm",LN(0.001+IF(AND(ISNUMBER('Council Entry'!AC$8),ISNUMBER('Council Entry'!AC$9)),MAX(MIN('Council Entry'!AC21,'Council Entry'!AC$9),'Council Entry'!AC$8),'Council Entry'!AC21)),IF('Council Entry'!AC$4="Exponential",EXP(IF(AND(ISNUMBER('Council Entry'!AC$8),ISNUMBER('Council Entry'!AC$9)),MAX(MIN('Council Entry'!AC21,'Council Entry'!AC$9),'Council Entry'!AC$8),'Council Entry'!AC21)),IF(AND(ISNUMBER('Council Entry'!AC$8),ISNUMBER('Council Entry'!AC$9)),MAX(MIN('Council Entry'!AC21,'Council Entry'!AC$9),'Council Entry'!AC$8),'Council Entry'!AC21))))-'Council Entry'!AC$5)/('Council Entry'!AC$6-'Council Entry'!AC$5)),1))),"No data"))</f>
        <v/>
      </c>
      <c r="AD21" s="13">
        <f>IF('Council Entry'!AD21="","",IFERROR(MAX(0,MIN(10,ROUND(IF('Council Entry'!AD$7="Decrease Risk",10-10*((IF('Council Entry'!AD$4="Logarithm",LN(0.001+IF(AND(ISNUMBER('Council Entry'!AD$8),ISNUMBER('Council Entry'!AD$9)),MAX(MIN('Council Entry'!AD21,'Council Entry'!AD$9),'Council Entry'!AD$8),'Council Entry'!AD21)),IF('Council Entry'!AD$4="Exponential",EXP(IF(AND(ISNUMBER('Council Entry'!AD$8),ISNUMBER('Council Entry'!AD$9)),MAX(MIN('Council Entry'!AD21,'Council Entry'!AD$9),'Council Entry'!AD$8),'Council Entry'!AD21)),IF(AND(ISNUMBER('Council Entry'!AD$8),ISNUMBER('Council Entry'!AD$9)),MAX(MIN('Council Entry'!AD21,'Council Entry'!AD$9),'Council Entry'!AD$8),'Council Entry'!AD21))))-'Council Entry'!AD$5)/('Council Entry'!AD$6-'Council Entry'!AD$5),10*((IF('Council Entry'!AD$4="Logarithm",LN(0.001+IF(AND(ISNUMBER('Council Entry'!AD$8),ISNUMBER('Council Entry'!AD$9)),MAX(MIN('Council Entry'!AD21,'Council Entry'!AD$9),'Council Entry'!AD$8),'Council Entry'!AD21)),IF('Council Entry'!AD$4="Exponential",EXP(IF(AND(ISNUMBER('Council Entry'!AD$8),ISNUMBER('Council Entry'!AD$9)),MAX(MIN('Council Entry'!AD21,'Council Entry'!AD$9),'Council Entry'!AD$8),'Council Entry'!AD21)),IF(AND(ISNUMBER('Council Entry'!AD$8),ISNUMBER('Council Entry'!AD$9)),MAX(MIN('Council Entry'!AD21,'Council Entry'!AD$9),'Council Entry'!AD$8),'Council Entry'!AD21))))-'Council Entry'!AD$5)/('Council Entry'!AD$6-'Council Entry'!AD$5)),1))),"No data"))</f>
        <v/>
      </c>
      <c r="AE21" s="13">
        <f>IF('Council Entry'!AE21="","",IFERROR(MAX(0,MIN(10,ROUND(IF('Council Entry'!AE$7="Decrease Risk",10-10*((IF('Council Entry'!AE$4="Logarithm",LN(0.001+IF(AND(ISNUMBER('Council Entry'!AE$8),ISNUMBER('Council Entry'!AE$9)),MAX(MIN('Council Entry'!AE21,'Council Entry'!AE$9),'Council Entry'!AE$8),'Council Entry'!AE21)),IF('Council Entry'!AE$4="Exponential",EXP(IF(AND(ISNUMBER('Council Entry'!AE$8),ISNUMBER('Council Entry'!AE$9)),MAX(MIN('Council Entry'!AE21,'Council Entry'!AE$9),'Council Entry'!AE$8),'Council Entry'!AE21)),IF(AND(ISNUMBER('Council Entry'!AE$8),ISNUMBER('Council Entry'!AE$9)),MAX(MIN('Council Entry'!AE21,'Council Entry'!AE$9),'Council Entry'!AE$8),'Council Entry'!AE21))))-'Council Entry'!AE$5)/('Council Entry'!AE$6-'Council Entry'!AE$5),10*((IF('Council Entry'!AE$4="Logarithm",LN(0.001+IF(AND(ISNUMBER('Council Entry'!AE$8),ISNUMBER('Council Entry'!AE$9)),MAX(MIN('Council Entry'!AE21,'Council Entry'!AE$9),'Council Entry'!AE$8),'Council Entry'!AE21)),IF('Council Entry'!AE$4="Exponential",EXP(IF(AND(ISNUMBER('Council Entry'!AE$8),ISNUMBER('Council Entry'!AE$9)),MAX(MIN('Council Entry'!AE21,'Council Entry'!AE$9),'Council Entry'!AE$8),'Council Entry'!AE21)),IF(AND(ISNUMBER('Council Entry'!AE$8),ISNUMBER('Council Entry'!AE$9)),MAX(MIN('Council Entry'!AE21,'Council Entry'!AE$9),'Council Entry'!AE$8),'Council Entry'!AE21))))-'Council Entry'!AE$5)/('Council Entry'!AE$6-'Council Entry'!AE$5)),1))),"No data"))</f>
        <v/>
      </c>
      <c r="AF21" s="13">
        <f>IF('Council Entry'!AF21="","",IFERROR(MAX(0,MIN(10,ROUND(IF('Council Entry'!AF$7="Decrease Risk",10-10*((IF('Council Entry'!AF$4="Logarithm",LN(0.001+IF(AND(ISNUMBER('Council Entry'!AF$8),ISNUMBER('Council Entry'!AF$9)),MAX(MIN('Council Entry'!AF21,'Council Entry'!AF$9),'Council Entry'!AF$8),'Council Entry'!AF21)),IF('Council Entry'!AF$4="Exponential",EXP(IF(AND(ISNUMBER('Council Entry'!AF$8),ISNUMBER('Council Entry'!AF$9)),MAX(MIN('Council Entry'!AF21,'Council Entry'!AF$9),'Council Entry'!AF$8),'Council Entry'!AF21)),IF(AND(ISNUMBER('Council Entry'!AF$8),ISNUMBER('Council Entry'!AF$9)),MAX(MIN('Council Entry'!AF21,'Council Entry'!AF$9),'Council Entry'!AF$8),'Council Entry'!AF21))))-'Council Entry'!AF$5)/('Council Entry'!AF$6-'Council Entry'!AF$5),10*((IF('Council Entry'!AF$4="Logarithm",LN(0.001+IF(AND(ISNUMBER('Council Entry'!AF$8),ISNUMBER('Council Entry'!AF$9)),MAX(MIN('Council Entry'!AF21,'Council Entry'!AF$9),'Council Entry'!AF$8),'Council Entry'!AF21)),IF('Council Entry'!AF$4="Exponential",EXP(IF(AND(ISNUMBER('Council Entry'!AF$8),ISNUMBER('Council Entry'!AF$9)),MAX(MIN('Council Entry'!AF21,'Council Entry'!AF$9),'Council Entry'!AF$8),'Council Entry'!AF21)),IF(AND(ISNUMBER('Council Entry'!AF$8),ISNUMBER('Council Entry'!AF$9)),MAX(MIN('Council Entry'!AF21,'Council Entry'!AF$9),'Council Entry'!AF$8),'Council Entry'!AF21))))-'Council Entry'!AF$5)/('Council Entry'!AF$6-'Council Entry'!AF$5)),1))),"No data"))</f>
        <v/>
      </c>
      <c r="AG21" s="13">
        <f>IF('Council Entry'!AG21="","",IFERROR(MAX(0,MIN(10,ROUND(IF('Council Entry'!AG$7="Decrease Risk",10-10*((IF('Council Entry'!AG$4="Logarithm",LN(0.001+IF(AND(ISNUMBER('Council Entry'!AG$8),ISNUMBER('Council Entry'!AG$9)),MAX(MIN('Council Entry'!AG21,'Council Entry'!AG$9),'Council Entry'!AG$8),'Council Entry'!AG21)),IF('Council Entry'!AG$4="Exponential",EXP(IF(AND(ISNUMBER('Council Entry'!AG$8),ISNUMBER('Council Entry'!AG$9)),MAX(MIN('Council Entry'!AG21,'Council Entry'!AG$9),'Council Entry'!AG$8),'Council Entry'!AG21)),IF(AND(ISNUMBER('Council Entry'!AG$8),ISNUMBER('Council Entry'!AG$9)),MAX(MIN('Council Entry'!AG21,'Council Entry'!AG$9),'Council Entry'!AG$8),'Council Entry'!AG21))))-'Council Entry'!AG$5)/('Council Entry'!AG$6-'Council Entry'!AG$5),10*((IF('Council Entry'!AG$4="Logarithm",LN(0.001+IF(AND(ISNUMBER('Council Entry'!AG$8),ISNUMBER('Council Entry'!AG$9)),MAX(MIN('Council Entry'!AG21,'Council Entry'!AG$9),'Council Entry'!AG$8),'Council Entry'!AG21)),IF('Council Entry'!AG$4="Exponential",EXP(IF(AND(ISNUMBER('Council Entry'!AG$8),ISNUMBER('Council Entry'!AG$9)),MAX(MIN('Council Entry'!AG21,'Council Entry'!AG$9),'Council Entry'!AG$8),'Council Entry'!AG21)),IF(AND(ISNUMBER('Council Entry'!AG$8),ISNUMBER('Council Entry'!AG$9)),MAX(MIN('Council Entry'!AG21,'Council Entry'!AG$9),'Council Entry'!AG$8),'Council Entry'!AG21))))-'Council Entry'!AG$5)/('Council Entry'!AG$6-'Council Entry'!AG$5)),1))),"No data"))</f>
        <v/>
      </c>
      <c r="AH21" s="13">
        <f>IF('Council Entry'!AH21="","",IFERROR(MAX(0,MIN(10,ROUND(IF('Council Entry'!AH$7="Decrease Risk",10-10*((IF('Council Entry'!AH$4="Logarithm",LN(0.001+IF(AND(ISNUMBER('Council Entry'!AH$8),ISNUMBER('Council Entry'!AH$9)),MAX(MIN('Council Entry'!AH21,'Council Entry'!AH$9),'Council Entry'!AH$8),'Council Entry'!AH21)),IF('Council Entry'!AH$4="Exponential",EXP(IF(AND(ISNUMBER('Council Entry'!AH$8),ISNUMBER('Council Entry'!AH$9)),MAX(MIN('Council Entry'!AH21,'Council Entry'!AH$9),'Council Entry'!AH$8),'Council Entry'!AH21)),IF(AND(ISNUMBER('Council Entry'!AH$8),ISNUMBER('Council Entry'!AH$9)),MAX(MIN('Council Entry'!AH21,'Council Entry'!AH$9),'Council Entry'!AH$8),'Council Entry'!AH21))))-'Council Entry'!AH$5)/('Council Entry'!AH$6-'Council Entry'!AH$5),10*((IF('Council Entry'!AH$4="Logarithm",LN(0.001+IF(AND(ISNUMBER('Council Entry'!AH$8),ISNUMBER('Council Entry'!AH$9)),MAX(MIN('Council Entry'!AH21,'Council Entry'!AH$9),'Council Entry'!AH$8),'Council Entry'!AH21)),IF('Council Entry'!AH$4="Exponential",EXP(IF(AND(ISNUMBER('Council Entry'!AH$8),ISNUMBER('Council Entry'!AH$9)),MAX(MIN('Council Entry'!AH21,'Council Entry'!AH$9),'Council Entry'!AH$8),'Council Entry'!AH21)),IF(AND(ISNUMBER('Council Entry'!AH$8),ISNUMBER('Council Entry'!AH$9)),MAX(MIN('Council Entry'!AH21,'Council Entry'!AH$9),'Council Entry'!AH$8),'Council Entry'!AH21))))-'Council Entry'!AH$5)/('Council Entry'!AH$6-'Council Entry'!AH$5)),1))),"No data"))</f>
        <v/>
      </c>
      <c r="AI21" s="13">
        <f>IF('Council Entry'!AI21="","",IFERROR(MAX(0,MIN(10,ROUND(IF('Council Entry'!AI$7="Decrease Risk",10-10*((IF('Council Entry'!AI$4="Logarithm",LN(0.001+IF(AND(ISNUMBER('Council Entry'!AI$8),ISNUMBER('Council Entry'!AI$9)),MAX(MIN('Council Entry'!AI21,'Council Entry'!AI$9),'Council Entry'!AI$8),'Council Entry'!AI21)),IF('Council Entry'!AI$4="Exponential",EXP(IF(AND(ISNUMBER('Council Entry'!AI$8),ISNUMBER('Council Entry'!AI$9)),MAX(MIN('Council Entry'!AI21,'Council Entry'!AI$9),'Council Entry'!AI$8),'Council Entry'!AI21)),IF(AND(ISNUMBER('Council Entry'!AI$8),ISNUMBER('Council Entry'!AI$9)),MAX(MIN('Council Entry'!AI21,'Council Entry'!AI$9),'Council Entry'!AI$8),'Council Entry'!AI21))))-'Council Entry'!AI$5)/('Council Entry'!AI$6-'Council Entry'!AI$5),10*((IF('Council Entry'!AI$4="Logarithm",LN(0.001+IF(AND(ISNUMBER('Council Entry'!AI$8),ISNUMBER('Council Entry'!AI$9)),MAX(MIN('Council Entry'!AI21,'Council Entry'!AI$9),'Council Entry'!AI$8),'Council Entry'!AI21)),IF('Council Entry'!AI$4="Exponential",EXP(IF(AND(ISNUMBER('Council Entry'!AI$8),ISNUMBER('Council Entry'!AI$9)),MAX(MIN('Council Entry'!AI21,'Council Entry'!AI$9),'Council Entry'!AI$8),'Council Entry'!AI21)),IF(AND(ISNUMBER('Council Entry'!AI$8),ISNUMBER('Council Entry'!AI$9)),MAX(MIN('Council Entry'!AI21,'Council Entry'!AI$9),'Council Entry'!AI$8),'Council Entry'!AI21))))-'Council Entry'!AI$5)/('Council Entry'!AI$6-'Council Entry'!AI$5)),1))),"No data"))</f>
        <v/>
      </c>
      <c r="AJ21" s="13">
        <f>IF('Council Entry'!AJ21="","",IFERROR(MAX(0,MIN(10,ROUND(IF('Council Entry'!AJ$7="Decrease Risk",10-10*((IF('Council Entry'!AJ$4="Logarithm",LN(0.001+IF(AND(ISNUMBER('Council Entry'!AJ$8),ISNUMBER('Council Entry'!AJ$9)),MAX(MIN('Council Entry'!AJ21,'Council Entry'!AJ$9),'Council Entry'!AJ$8),'Council Entry'!AJ21)),IF('Council Entry'!AJ$4="Exponential",EXP(IF(AND(ISNUMBER('Council Entry'!AJ$8),ISNUMBER('Council Entry'!AJ$9)),MAX(MIN('Council Entry'!AJ21,'Council Entry'!AJ$9),'Council Entry'!AJ$8),'Council Entry'!AJ21)),IF(AND(ISNUMBER('Council Entry'!AJ$8),ISNUMBER('Council Entry'!AJ$9)),MAX(MIN('Council Entry'!AJ21,'Council Entry'!AJ$9),'Council Entry'!AJ$8),'Council Entry'!AJ21))))-'Council Entry'!AJ$5)/('Council Entry'!AJ$6-'Council Entry'!AJ$5),10*((IF('Council Entry'!AJ$4="Logarithm",LN(0.001+IF(AND(ISNUMBER('Council Entry'!AJ$8),ISNUMBER('Council Entry'!AJ$9)),MAX(MIN('Council Entry'!AJ21,'Council Entry'!AJ$9),'Council Entry'!AJ$8),'Council Entry'!AJ21)),IF('Council Entry'!AJ$4="Exponential",EXP(IF(AND(ISNUMBER('Council Entry'!AJ$8),ISNUMBER('Council Entry'!AJ$9)),MAX(MIN('Council Entry'!AJ21,'Council Entry'!AJ$9),'Council Entry'!AJ$8),'Council Entry'!AJ21)),IF(AND(ISNUMBER('Council Entry'!AJ$8),ISNUMBER('Council Entry'!AJ$9)),MAX(MIN('Council Entry'!AJ21,'Council Entry'!AJ$9),'Council Entry'!AJ$8),'Council Entry'!AJ21))))-'Council Entry'!AJ$5)/('Council Entry'!AJ$6-'Council Entry'!AJ$5)),1))),"No data"))</f>
        <v/>
      </c>
      <c r="AK21" s="13">
        <f>IF('Council Entry'!AK21="","",IFERROR(MAX(0,MIN(10,ROUND(IF('Council Entry'!AK$7="Decrease Risk",10-10*((IF('Council Entry'!AK$4="Logarithm",LN(0.001+IF(AND(ISNUMBER('Council Entry'!AK$8),ISNUMBER('Council Entry'!AK$9)),MAX(MIN('Council Entry'!AK21,'Council Entry'!AK$9),'Council Entry'!AK$8),'Council Entry'!AK21)),IF('Council Entry'!AK$4="Exponential",EXP(IF(AND(ISNUMBER('Council Entry'!AK$8),ISNUMBER('Council Entry'!AK$9)),MAX(MIN('Council Entry'!AK21,'Council Entry'!AK$9),'Council Entry'!AK$8),'Council Entry'!AK21)),IF(AND(ISNUMBER('Council Entry'!AK$8),ISNUMBER('Council Entry'!AK$9)),MAX(MIN('Council Entry'!AK21,'Council Entry'!AK$9),'Council Entry'!AK$8),'Council Entry'!AK21))))-'Council Entry'!AK$5)/('Council Entry'!AK$6-'Council Entry'!AK$5),10*((IF('Council Entry'!AK$4="Logarithm",LN(0.001+IF(AND(ISNUMBER('Council Entry'!AK$8),ISNUMBER('Council Entry'!AK$9)),MAX(MIN('Council Entry'!AK21,'Council Entry'!AK$9),'Council Entry'!AK$8),'Council Entry'!AK21)),IF('Council Entry'!AK$4="Exponential",EXP(IF(AND(ISNUMBER('Council Entry'!AK$8),ISNUMBER('Council Entry'!AK$9)),MAX(MIN('Council Entry'!AK21,'Council Entry'!AK$9),'Council Entry'!AK$8),'Council Entry'!AK21)),IF(AND(ISNUMBER('Council Entry'!AK$8),ISNUMBER('Council Entry'!AK$9)),MAX(MIN('Council Entry'!AK21,'Council Entry'!AK$9),'Council Entry'!AK$8),'Council Entry'!AK21))))-'Council Entry'!AK$5)/('Council Entry'!AK$6-'Council Entry'!AK$5)),1))),"No data"))</f>
        <v/>
      </c>
      <c r="AL21" s="13">
        <f>IF('Council Entry'!AL21="","",IFERROR(MAX(0,MIN(10,ROUND(IF('Council Entry'!AL$7="Decrease Risk",10-10*((IF('Council Entry'!AL$4="Logarithm",LN(0.001+IF(AND(ISNUMBER('Council Entry'!AL$8),ISNUMBER('Council Entry'!AL$9)),MAX(MIN('Council Entry'!AL21,'Council Entry'!AL$9),'Council Entry'!AL$8),'Council Entry'!AL21)),IF('Council Entry'!AL$4="Exponential",EXP(IF(AND(ISNUMBER('Council Entry'!AL$8),ISNUMBER('Council Entry'!AL$9)),MAX(MIN('Council Entry'!AL21,'Council Entry'!AL$9),'Council Entry'!AL$8),'Council Entry'!AL21)),IF(AND(ISNUMBER('Council Entry'!AL$8),ISNUMBER('Council Entry'!AL$9)),MAX(MIN('Council Entry'!AL21,'Council Entry'!AL$9),'Council Entry'!AL$8),'Council Entry'!AL21))))-'Council Entry'!AL$5)/('Council Entry'!AL$6-'Council Entry'!AL$5),10*((IF('Council Entry'!AL$4="Logarithm",LN(0.001+IF(AND(ISNUMBER('Council Entry'!AL$8),ISNUMBER('Council Entry'!AL$9)),MAX(MIN('Council Entry'!AL21,'Council Entry'!AL$9),'Council Entry'!AL$8),'Council Entry'!AL21)),IF('Council Entry'!AL$4="Exponential",EXP(IF(AND(ISNUMBER('Council Entry'!AL$8),ISNUMBER('Council Entry'!AL$9)),MAX(MIN('Council Entry'!AL21,'Council Entry'!AL$9),'Council Entry'!AL$8),'Council Entry'!AL21)),IF(AND(ISNUMBER('Council Entry'!AL$8),ISNUMBER('Council Entry'!AL$9)),MAX(MIN('Council Entry'!AL21,'Council Entry'!AL$9),'Council Entry'!AL$8),'Council Entry'!AL21))))-'Council Entry'!AL$5)/('Council Entry'!AL$6-'Council Entry'!AL$5)),1))),"No data"))</f>
        <v/>
      </c>
      <c r="AM21" s="13">
        <f>IF('Council Entry'!AM21="","",IFERROR(MAX(0,MIN(10,ROUND(IF('Council Entry'!AM$7="Decrease Risk",10-10*((IF('Council Entry'!AM$4="Logarithm",LN(0.001+IF(AND(ISNUMBER('Council Entry'!AM$8),ISNUMBER('Council Entry'!AM$9)),MAX(MIN('Council Entry'!AM21,'Council Entry'!AM$9),'Council Entry'!AM$8),'Council Entry'!AM21)),IF('Council Entry'!AM$4="Exponential",EXP(IF(AND(ISNUMBER('Council Entry'!AM$8),ISNUMBER('Council Entry'!AM$9)),MAX(MIN('Council Entry'!AM21,'Council Entry'!AM$9),'Council Entry'!AM$8),'Council Entry'!AM21)),IF(AND(ISNUMBER('Council Entry'!AM$8),ISNUMBER('Council Entry'!AM$9)),MAX(MIN('Council Entry'!AM21,'Council Entry'!AM$9),'Council Entry'!AM$8),'Council Entry'!AM21))))-'Council Entry'!AM$5)/('Council Entry'!AM$6-'Council Entry'!AM$5),10*((IF('Council Entry'!AM$4="Logarithm",LN(0.001+IF(AND(ISNUMBER('Council Entry'!AM$8),ISNUMBER('Council Entry'!AM$9)),MAX(MIN('Council Entry'!AM21,'Council Entry'!AM$9),'Council Entry'!AM$8),'Council Entry'!AM21)),IF('Council Entry'!AM$4="Exponential",EXP(IF(AND(ISNUMBER('Council Entry'!AM$8),ISNUMBER('Council Entry'!AM$9)),MAX(MIN('Council Entry'!AM21,'Council Entry'!AM$9),'Council Entry'!AM$8),'Council Entry'!AM21)),IF(AND(ISNUMBER('Council Entry'!AM$8),ISNUMBER('Council Entry'!AM$9)),MAX(MIN('Council Entry'!AM21,'Council Entry'!AM$9),'Council Entry'!AM$8),'Council Entry'!AM21))))-'Council Entry'!AM$5)/('Council Entry'!AM$6-'Council Entry'!AM$5)),1))),"No data"))</f>
        <v/>
      </c>
      <c r="AN21" s="13">
        <f>IF('Council Entry'!AN21="","",IFERROR(MAX(0,MIN(10,ROUND(IF('Council Entry'!AN$7="Decrease Risk",10-10*((IF('Council Entry'!AN$4="Logarithm",LN(0.001+IF(AND(ISNUMBER('Council Entry'!AN$8),ISNUMBER('Council Entry'!AN$9)),MAX(MIN('Council Entry'!AN21,'Council Entry'!AN$9),'Council Entry'!AN$8),'Council Entry'!AN21)),IF('Council Entry'!AN$4="Exponential",EXP(IF(AND(ISNUMBER('Council Entry'!AN$8),ISNUMBER('Council Entry'!AN$9)),MAX(MIN('Council Entry'!AN21,'Council Entry'!AN$9),'Council Entry'!AN$8),'Council Entry'!AN21)),IF(AND(ISNUMBER('Council Entry'!AN$8),ISNUMBER('Council Entry'!AN$9)),MAX(MIN('Council Entry'!AN21,'Council Entry'!AN$9),'Council Entry'!AN$8),'Council Entry'!AN21))))-'Council Entry'!AN$5)/('Council Entry'!AN$6-'Council Entry'!AN$5),10*((IF('Council Entry'!AN$4="Logarithm",LN(0.001+IF(AND(ISNUMBER('Council Entry'!AN$8),ISNUMBER('Council Entry'!AN$9)),MAX(MIN('Council Entry'!AN21,'Council Entry'!AN$9),'Council Entry'!AN$8),'Council Entry'!AN21)),IF('Council Entry'!AN$4="Exponential",EXP(IF(AND(ISNUMBER('Council Entry'!AN$8),ISNUMBER('Council Entry'!AN$9)),MAX(MIN('Council Entry'!AN21,'Council Entry'!AN$9),'Council Entry'!AN$8),'Council Entry'!AN21)),IF(AND(ISNUMBER('Council Entry'!AN$8),ISNUMBER('Council Entry'!AN$9)),MAX(MIN('Council Entry'!AN21,'Council Entry'!AN$9),'Council Entry'!AN$8),'Council Entry'!AN21))))-'Council Entry'!AN$5)/('Council Entry'!AN$6-'Council Entry'!AN$5)),1))),"No data"))</f>
        <v/>
      </c>
      <c r="AO21" s="13">
        <f>IF('Council Entry'!AO21="","",IFERROR(MAX(0,MIN(10,ROUND(IF('Council Entry'!AO$7="Decrease Risk",10-10*((IF('Council Entry'!AO$4="Logarithm",LN(0.001+IF(AND(ISNUMBER('Council Entry'!AO$8),ISNUMBER('Council Entry'!AO$9)),MAX(MIN('Council Entry'!AO21,'Council Entry'!AO$9),'Council Entry'!AO$8),'Council Entry'!AO21)),IF('Council Entry'!AO$4="Exponential",EXP(IF(AND(ISNUMBER('Council Entry'!AO$8),ISNUMBER('Council Entry'!AO$9)),MAX(MIN('Council Entry'!AO21,'Council Entry'!AO$9),'Council Entry'!AO$8),'Council Entry'!AO21)),IF(AND(ISNUMBER('Council Entry'!AO$8),ISNUMBER('Council Entry'!AO$9)),MAX(MIN('Council Entry'!AO21,'Council Entry'!AO$9),'Council Entry'!AO$8),'Council Entry'!AO21))))-'Council Entry'!AO$5)/('Council Entry'!AO$6-'Council Entry'!AO$5),10*((IF('Council Entry'!AO$4="Logarithm",LN(0.001+IF(AND(ISNUMBER('Council Entry'!AO$8),ISNUMBER('Council Entry'!AO$9)),MAX(MIN('Council Entry'!AO21,'Council Entry'!AO$9),'Council Entry'!AO$8),'Council Entry'!AO21)),IF('Council Entry'!AO$4="Exponential",EXP(IF(AND(ISNUMBER('Council Entry'!AO$8),ISNUMBER('Council Entry'!AO$9)),MAX(MIN('Council Entry'!AO21,'Council Entry'!AO$9),'Council Entry'!AO$8),'Council Entry'!AO21)),IF(AND(ISNUMBER('Council Entry'!AO$8),ISNUMBER('Council Entry'!AO$9)),MAX(MIN('Council Entry'!AO21,'Council Entry'!AO$9),'Council Entry'!AO$8),'Council Entry'!AO21))))-'Council Entry'!AO$5)/('Council Entry'!AO$6-'Council Entry'!AO$5)),1))),"No data"))</f>
        <v/>
      </c>
      <c r="AP21" s="13">
        <f>IF('Council Entry'!AP21="","",IFERROR(MAX(0,MIN(10,ROUND(IF('Council Entry'!AP$7="Decrease Risk",10-10*((IF('Council Entry'!AP$4="Logarithm",LN(0.001+IF(AND(ISNUMBER('Council Entry'!AP$8),ISNUMBER('Council Entry'!AP$9)),MAX(MIN('Council Entry'!AP21,'Council Entry'!AP$9),'Council Entry'!AP$8),'Council Entry'!AP21)),IF('Council Entry'!AP$4="Exponential",EXP(IF(AND(ISNUMBER('Council Entry'!AP$8),ISNUMBER('Council Entry'!AP$9)),MAX(MIN('Council Entry'!AP21,'Council Entry'!AP$9),'Council Entry'!AP$8),'Council Entry'!AP21)),IF(AND(ISNUMBER('Council Entry'!AP$8),ISNUMBER('Council Entry'!AP$9)),MAX(MIN('Council Entry'!AP21,'Council Entry'!AP$9),'Council Entry'!AP$8),'Council Entry'!AP21))))-'Council Entry'!AP$5)/('Council Entry'!AP$6-'Council Entry'!AP$5),10*((IF('Council Entry'!AP$4="Logarithm",LN(0.001+IF(AND(ISNUMBER('Council Entry'!AP$8),ISNUMBER('Council Entry'!AP$9)),MAX(MIN('Council Entry'!AP21,'Council Entry'!AP$9),'Council Entry'!AP$8),'Council Entry'!AP21)),IF('Council Entry'!AP$4="Exponential",EXP(IF(AND(ISNUMBER('Council Entry'!AP$8),ISNUMBER('Council Entry'!AP$9)),MAX(MIN('Council Entry'!AP21,'Council Entry'!AP$9),'Council Entry'!AP$8),'Council Entry'!AP21)),IF(AND(ISNUMBER('Council Entry'!AP$8),ISNUMBER('Council Entry'!AP$9)),MAX(MIN('Council Entry'!AP21,'Council Entry'!AP$9),'Council Entry'!AP$8),'Council Entry'!AP21))))-'Council Entry'!AP$5)/('Council Entry'!AP$6-'Council Entry'!AP$5)),1))),"No data"))</f>
        <v/>
      </c>
      <c r="AQ21" s="13">
        <f>IF('Council Entry'!AQ21="","",IFERROR(MAX(0,MIN(10,ROUND(IF('Council Entry'!AQ$7="Decrease Risk",10-10*((IF('Council Entry'!AQ$4="Logarithm",LN(0.001+IF(AND(ISNUMBER('Council Entry'!AQ$8),ISNUMBER('Council Entry'!AQ$9)),MAX(MIN('Council Entry'!AQ21,'Council Entry'!AQ$9),'Council Entry'!AQ$8),'Council Entry'!AQ21)),IF('Council Entry'!AQ$4="Exponential",EXP(IF(AND(ISNUMBER('Council Entry'!AQ$8),ISNUMBER('Council Entry'!AQ$9)),MAX(MIN('Council Entry'!AQ21,'Council Entry'!AQ$9),'Council Entry'!AQ$8),'Council Entry'!AQ21)),IF(AND(ISNUMBER('Council Entry'!AQ$8),ISNUMBER('Council Entry'!AQ$9)),MAX(MIN('Council Entry'!AQ21,'Council Entry'!AQ$9),'Council Entry'!AQ$8),'Council Entry'!AQ21))))-'Council Entry'!AQ$5)/('Council Entry'!AQ$6-'Council Entry'!AQ$5),10*((IF('Council Entry'!AQ$4="Logarithm",LN(0.001+IF(AND(ISNUMBER('Council Entry'!AQ$8),ISNUMBER('Council Entry'!AQ$9)),MAX(MIN('Council Entry'!AQ21,'Council Entry'!AQ$9),'Council Entry'!AQ$8),'Council Entry'!AQ21)),IF('Council Entry'!AQ$4="Exponential",EXP(IF(AND(ISNUMBER('Council Entry'!AQ$8),ISNUMBER('Council Entry'!AQ$9)),MAX(MIN('Council Entry'!AQ21,'Council Entry'!AQ$9),'Council Entry'!AQ$8),'Council Entry'!AQ21)),IF(AND(ISNUMBER('Council Entry'!AQ$8),ISNUMBER('Council Entry'!AQ$9)),MAX(MIN('Council Entry'!AQ21,'Council Entry'!AQ$9),'Council Entry'!AQ$8),'Council Entry'!AQ21))))-'Council Entry'!AQ$5)/('Council Entry'!AQ$6-'Council Entry'!AQ$5)),1))),"No data"))</f>
        <v/>
      </c>
      <c r="AR21" s="13">
        <f>IF('Council Entry'!AR21="","",IFERROR(MAX(0,MIN(10,ROUND(IF('Council Entry'!AR$7="Decrease Risk",10-10*((IF('Council Entry'!AR$4="Logarithm",LN(0.001+IF(AND(ISNUMBER('Council Entry'!AR$8),ISNUMBER('Council Entry'!AR$9)),MAX(MIN('Council Entry'!AR21,'Council Entry'!AR$9),'Council Entry'!AR$8),'Council Entry'!AR21)),IF('Council Entry'!AR$4="Exponential",EXP(IF(AND(ISNUMBER('Council Entry'!AR$8),ISNUMBER('Council Entry'!AR$9)),MAX(MIN('Council Entry'!AR21,'Council Entry'!AR$9),'Council Entry'!AR$8),'Council Entry'!AR21)),IF(AND(ISNUMBER('Council Entry'!AR$8),ISNUMBER('Council Entry'!AR$9)),MAX(MIN('Council Entry'!AR21,'Council Entry'!AR$9),'Council Entry'!AR$8),'Council Entry'!AR21))))-'Council Entry'!AR$5)/('Council Entry'!AR$6-'Council Entry'!AR$5),10*((IF('Council Entry'!AR$4="Logarithm",LN(0.001+IF(AND(ISNUMBER('Council Entry'!AR$8),ISNUMBER('Council Entry'!AR$9)),MAX(MIN('Council Entry'!AR21,'Council Entry'!AR$9),'Council Entry'!AR$8),'Council Entry'!AR21)),IF('Council Entry'!AR$4="Exponential",EXP(IF(AND(ISNUMBER('Council Entry'!AR$8),ISNUMBER('Council Entry'!AR$9)),MAX(MIN('Council Entry'!AR21,'Council Entry'!AR$9),'Council Entry'!AR$8),'Council Entry'!AR21)),IF(AND(ISNUMBER('Council Entry'!AR$8),ISNUMBER('Council Entry'!AR$9)),MAX(MIN('Council Entry'!AR21,'Council Entry'!AR$9),'Council Entry'!AR$8),'Council Entry'!AR21))))-'Council Entry'!AR$5)/('Council Entry'!AR$6-'Council Entry'!AR$5)),1))),"No data"))</f>
        <v/>
      </c>
      <c r="AS21" s="13">
        <f>IF('Council Entry'!AS21="","",IFERROR(MAX(0,MIN(10,ROUND(IF('Council Entry'!AS$7="Decrease Risk",10-10*((IF('Council Entry'!AS$4="Logarithm",LN(0.001+IF(AND(ISNUMBER('Council Entry'!AS$8),ISNUMBER('Council Entry'!AS$9)),MAX(MIN('Council Entry'!AS21,'Council Entry'!AS$9),'Council Entry'!AS$8),'Council Entry'!AS21)),IF('Council Entry'!AS$4="Exponential",EXP(IF(AND(ISNUMBER('Council Entry'!AS$8),ISNUMBER('Council Entry'!AS$9)),MAX(MIN('Council Entry'!AS21,'Council Entry'!AS$9),'Council Entry'!AS$8),'Council Entry'!AS21)),IF(AND(ISNUMBER('Council Entry'!AS$8),ISNUMBER('Council Entry'!AS$9)),MAX(MIN('Council Entry'!AS21,'Council Entry'!AS$9),'Council Entry'!AS$8),'Council Entry'!AS21))))-'Council Entry'!AS$5)/('Council Entry'!AS$6-'Council Entry'!AS$5),10*((IF('Council Entry'!AS$4="Logarithm",LN(0.001+IF(AND(ISNUMBER('Council Entry'!AS$8),ISNUMBER('Council Entry'!AS$9)),MAX(MIN('Council Entry'!AS21,'Council Entry'!AS$9),'Council Entry'!AS$8),'Council Entry'!AS21)),IF('Council Entry'!AS$4="Exponential",EXP(IF(AND(ISNUMBER('Council Entry'!AS$8),ISNUMBER('Council Entry'!AS$9)),MAX(MIN('Council Entry'!AS21,'Council Entry'!AS$9),'Council Entry'!AS$8),'Council Entry'!AS21)),IF(AND(ISNUMBER('Council Entry'!AS$8),ISNUMBER('Council Entry'!AS$9)),MAX(MIN('Council Entry'!AS21,'Council Entry'!AS$9),'Council Entry'!AS$8),'Council Entry'!AS21))))-'Council Entry'!AS$5)/('Council Entry'!AS$6-'Council Entry'!AS$5)),1))),"No data"))</f>
        <v/>
      </c>
      <c r="AT21" s="13">
        <f>IF('Council Entry'!AT21="","",IFERROR(MAX(0,MIN(10,ROUND(IF('Council Entry'!AT$7="Decrease Risk",10-10*((IF('Council Entry'!AT$4="Logarithm",LN(0.001+IF(AND(ISNUMBER('Council Entry'!AT$8),ISNUMBER('Council Entry'!AT$9)),MAX(MIN('Council Entry'!AT21,'Council Entry'!AT$9),'Council Entry'!AT$8),'Council Entry'!AT21)),IF('Council Entry'!AT$4="Exponential",EXP(IF(AND(ISNUMBER('Council Entry'!AT$8),ISNUMBER('Council Entry'!AT$9)),MAX(MIN('Council Entry'!AT21,'Council Entry'!AT$9),'Council Entry'!AT$8),'Council Entry'!AT21)),IF(AND(ISNUMBER('Council Entry'!AT$8),ISNUMBER('Council Entry'!AT$9)),MAX(MIN('Council Entry'!AT21,'Council Entry'!AT$9),'Council Entry'!AT$8),'Council Entry'!AT21))))-'Council Entry'!AT$5)/('Council Entry'!AT$6-'Council Entry'!AT$5),10*((IF('Council Entry'!AT$4="Logarithm",LN(0.001+IF(AND(ISNUMBER('Council Entry'!AT$8),ISNUMBER('Council Entry'!AT$9)),MAX(MIN('Council Entry'!AT21,'Council Entry'!AT$9),'Council Entry'!AT$8),'Council Entry'!AT21)),IF('Council Entry'!AT$4="Exponential",EXP(IF(AND(ISNUMBER('Council Entry'!AT$8),ISNUMBER('Council Entry'!AT$9)),MAX(MIN('Council Entry'!AT21,'Council Entry'!AT$9),'Council Entry'!AT$8),'Council Entry'!AT21)),IF(AND(ISNUMBER('Council Entry'!AT$8),ISNUMBER('Council Entry'!AT$9)),MAX(MIN('Council Entry'!AT21,'Council Entry'!AT$9),'Council Entry'!AT$8),'Council Entry'!AT21))))-'Council Entry'!AT$5)/('Council Entry'!AT$6-'Council Entry'!AT$5)),1))),"No data"))</f>
        <v/>
      </c>
      <c r="AU21" s="13">
        <f>IF('Council Entry'!AU21="","",IFERROR(MAX(0,MIN(10,ROUND(IF('Council Entry'!AU$7="Decrease Risk",10-10*((IF('Council Entry'!AU$4="Logarithm",LN(0.001+IF(AND(ISNUMBER('Council Entry'!AU$8),ISNUMBER('Council Entry'!AU$9)),MAX(MIN('Council Entry'!AU21,'Council Entry'!AU$9),'Council Entry'!AU$8),'Council Entry'!AU21)),IF('Council Entry'!AU$4="Exponential",EXP(IF(AND(ISNUMBER('Council Entry'!AU$8),ISNUMBER('Council Entry'!AU$9)),MAX(MIN('Council Entry'!AU21,'Council Entry'!AU$9),'Council Entry'!AU$8),'Council Entry'!AU21)),IF(AND(ISNUMBER('Council Entry'!AU$8),ISNUMBER('Council Entry'!AU$9)),MAX(MIN('Council Entry'!AU21,'Council Entry'!AU$9),'Council Entry'!AU$8),'Council Entry'!AU21))))-'Council Entry'!AU$5)/('Council Entry'!AU$6-'Council Entry'!AU$5),10*((IF('Council Entry'!AU$4="Logarithm",LN(0.001+IF(AND(ISNUMBER('Council Entry'!AU$8),ISNUMBER('Council Entry'!AU$9)),MAX(MIN('Council Entry'!AU21,'Council Entry'!AU$9),'Council Entry'!AU$8),'Council Entry'!AU21)),IF('Council Entry'!AU$4="Exponential",EXP(IF(AND(ISNUMBER('Council Entry'!AU$8),ISNUMBER('Council Entry'!AU$9)),MAX(MIN('Council Entry'!AU21,'Council Entry'!AU$9),'Council Entry'!AU$8),'Council Entry'!AU21)),IF(AND(ISNUMBER('Council Entry'!AU$8),ISNUMBER('Council Entry'!AU$9)),MAX(MIN('Council Entry'!AU21,'Council Entry'!AU$9),'Council Entry'!AU$8),'Council Entry'!AU21))))-'Council Entry'!AU$5)/('Council Entry'!AU$6-'Council Entry'!AU$5)),1))),"No data"))</f>
        <v/>
      </c>
      <c r="AV21" s="13">
        <f>IF('Council Entry'!AV21="","",IFERROR(MAX(0,MIN(10,ROUND(IF('Council Entry'!AV$7="Decrease Risk",10-10*((IF('Council Entry'!AV$4="Logarithm",LN(0.001+IF(AND(ISNUMBER('Council Entry'!AV$8),ISNUMBER('Council Entry'!AV$9)),MAX(MIN('Council Entry'!AV21,'Council Entry'!AV$9),'Council Entry'!AV$8),'Council Entry'!AV21)),IF('Council Entry'!AV$4="Exponential",EXP(IF(AND(ISNUMBER('Council Entry'!AV$8),ISNUMBER('Council Entry'!AV$9)),MAX(MIN('Council Entry'!AV21,'Council Entry'!AV$9),'Council Entry'!AV$8),'Council Entry'!AV21)),IF(AND(ISNUMBER('Council Entry'!AV$8),ISNUMBER('Council Entry'!AV$9)),MAX(MIN('Council Entry'!AV21,'Council Entry'!AV$9),'Council Entry'!AV$8),'Council Entry'!AV21))))-'Council Entry'!AV$5)/('Council Entry'!AV$6-'Council Entry'!AV$5),10*((IF('Council Entry'!AV$4="Logarithm",LN(0.001+IF(AND(ISNUMBER('Council Entry'!AV$8),ISNUMBER('Council Entry'!AV$9)),MAX(MIN('Council Entry'!AV21,'Council Entry'!AV$9),'Council Entry'!AV$8),'Council Entry'!AV21)),IF('Council Entry'!AV$4="Exponential",EXP(IF(AND(ISNUMBER('Council Entry'!AV$8),ISNUMBER('Council Entry'!AV$9)),MAX(MIN('Council Entry'!AV21,'Council Entry'!AV$9),'Council Entry'!AV$8),'Council Entry'!AV21)),IF(AND(ISNUMBER('Council Entry'!AV$8),ISNUMBER('Council Entry'!AV$9)),MAX(MIN('Council Entry'!AV21,'Council Entry'!AV$9),'Council Entry'!AV$8),'Council Entry'!AV21))))-'Council Entry'!AV$5)/('Council Entry'!AV$6-'Council Entry'!AV$5)),1))),"No data"))</f>
        <v/>
      </c>
      <c r="AW21" s="13">
        <f>IF('Council Entry'!AW21="","",IFERROR(MAX(0,MIN(10,ROUND(IF('Council Entry'!AW$7="Decrease Risk",10-10*((IF('Council Entry'!AW$4="Logarithm",LN(0.001+IF(AND(ISNUMBER('Council Entry'!AW$8),ISNUMBER('Council Entry'!AW$9)),MAX(MIN('Council Entry'!AW21,'Council Entry'!AW$9),'Council Entry'!AW$8),'Council Entry'!AW21)),IF('Council Entry'!AW$4="Exponential",EXP(IF(AND(ISNUMBER('Council Entry'!AW$8),ISNUMBER('Council Entry'!AW$9)),MAX(MIN('Council Entry'!AW21,'Council Entry'!AW$9),'Council Entry'!AW$8),'Council Entry'!AW21)),IF(AND(ISNUMBER('Council Entry'!AW$8),ISNUMBER('Council Entry'!AW$9)),MAX(MIN('Council Entry'!AW21,'Council Entry'!AW$9),'Council Entry'!AW$8),'Council Entry'!AW21))))-'Council Entry'!AW$5)/('Council Entry'!AW$6-'Council Entry'!AW$5),10*((IF('Council Entry'!AW$4="Logarithm",LN(0.001+IF(AND(ISNUMBER('Council Entry'!AW$8),ISNUMBER('Council Entry'!AW$9)),MAX(MIN('Council Entry'!AW21,'Council Entry'!AW$9),'Council Entry'!AW$8),'Council Entry'!AW21)),IF('Council Entry'!AW$4="Exponential",EXP(IF(AND(ISNUMBER('Council Entry'!AW$8),ISNUMBER('Council Entry'!AW$9)),MAX(MIN('Council Entry'!AW21,'Council Entry'!AW$9),'Council Entry'!AW$8),'Council Entry'!AW21)),IF(AND(ISNUMBER('Council Entry'!AW$8),ISNUMBER('Council Entry'!AW$9)),MAX(MIN('Council Entry'!AW21,'Council Entry'!AW$9),'Council Entry'!AW$8),'Council Entry'!AW21))))-'Council Entry'!AW$5)/('Council Entry'!AW$6-'Council Entry'!AW$5)),1))),"No data"))</f>
        <v/>
      </c>
      <c r="AX21" s="13">
        <f>IF('Council Entry'!AX21="","",IFERROR(MAX(0,MIN(10,ROUND(IF('Council Entry'!AX$7="Decrease Risk",10-10*((IF('Council Entry'!AX$4="Logarithm",LN(0.001+IF(AND(ISNUMBER('Council Entry'!AX$8),ISNUMBER('Council Entry'!AX$9)),MAX(MIN('Council Entry'!AX21,'Council Entry'!AX$9),'Council Entry'!AX$8),'Council Entry'!AX21)),IF('Council Entry'!AX$4="Exponential",EXP(IF(AND(ISNUMBER('Council Entry'!AX$8),ISNUMBER('Council Entry'!AX$9)),MAX(MIN('Council Entry'!AX21,'Council Entry'!AX$9),'Council Entry'!AX$8),'Council Entry'!AX21)),IF(AND(ISNUMBER('Council Entry'!AX$8),ISNUMBER('Council Entry'!AX$9)),MAX(MIN('Council Entry'!AX21,'Council Entry'!AX$9),'Council Entry'!AX$8),'Council Entry'!AX21))))-'Council Entry'!AX$5)/('Council Entry'!AX$6-'Council Entry'!AX$5),10*((IF('Council Entry'!AX$4="Logarithm",LN(0.001+IF(AND(ISNUMBER('Council Entry'!AX$8),ISNUMBER('Council Entry'!AX$9)),MAX(MIN('Council Entry'!AX21,'Council Entry'!AX$9),'Council Entry'!AX$8),'Council Entry'!AX21)),IF('Council Entry'!AX$4="Exponential",EXP(IF(AND(ISNUMBER('Council Entry'!AX$8),ISNUMBER('Council Entry'!AX$9)),MAX(MIN('Council Entry'!AX21,'Council Entry'!AX$9),'Council Entry'!AX$8),'Council Entry'!AX21)),IF(AND(ISNUMBER('Council Entry'!AX$8),ISNUMBER('Council Entry'!AX$9)),MAX(MIN('Council Entry'!AX21,'Council Entry'!AX$9),'Council Entry'!AX$8),'Council Entry'!AX21))))-'Council Entry'!AX$5)/('Council Entry'!AX$6-'Council Entry'!AX$5)),1))),"No data"))</f>
        <v/>
      </c>
      <c r="AY21" s="13">
        <f>IF('Council Entry'!AY21="","",IFERROR(MAX(0,MIN(10,ROUND(IF('Council Entry'!AY$7="Decrease Risk",10-10*((IF('Council Entry'!AY$4="Logarithm",LN(0.001+IF(AND(ISNUMBER('Council Entry'!AY$8),ISNUMBER('Council Entry'!AY$9)),MAX(MIN('Council Entry'!AY21,'Council Entry'!AY$9),'Council Entry'!AY$8),'Council Entry'!AY21)),IF('Council Entry'!AY$4="Exponential",EXP(IF(AND(ISNUMBER('Council Entry'!AY$8),ISNUMBER('Council Entry'!AY$9)),MAX(MIN('Council Entry'!AY21,'Council Entry'!AY$9),'Council Entry'!AY$8),'Council Entry'!AY21)),IF(AND(ISNUMBER('Council Entry'!AY$8),ISNUMBER('Council Entry'!AY$9)),MAX(MIN('Council Entry'!AY21,'Council Entry'!AY$9),'Council Entry'!AY$8),'Council Entry'!AY21))))-'Council Entry'!AY$5)/('Council Entry'!AY$6-'Council Entry'!AY$5),10*((IF('Council Entry'!AY$4="Logarithm",LN(0.001+IF(AND(ISNUMBER('Council Entry'!AY$8),ISNUMBER('Council Entry'!AY$9)),MAX(MIN('Council Entry'!AY21,'Council Entry'!AY$9),'Council Entry'!AY$8),'Council Entry'!AY21)),IF('Council Entry'!AY$4="Exponential",EXP(IF(AND(ISNUMBER('Council Entry'!AY$8),ISNUMBER('Council Entry'!AY$9)),MAX(MIN('Council Entry'!AY21,'Council Entry'!AY$9),'Council Entry'!AY$8),'Council Entry'!AY21)),IF(AND(ISNUMBER('Council Entry'!AY$8),ISNUMBER('Council Entry'!AY$9)),MAX(MIN('Council Entry'!AY21,'Council Entry'!AY$9),'Council Entry'!AY$8),'Council Entry'!AY21))))-'Council Entry'!AY$5)/('Council Entry'!AY$6-'Council Entry'!AY$5)),1))),"No data"))</f>
        <v/>
      </c>
      <c r="AZ21" s="13">
        <f>IF('Council Entry'!AZ21="","",IFERROR(MAX(0,MIN(10,ROUND(IF('Council Entry'!AZ$7="Decrease Risk",10-10*((IF('Council Entry'!AZ$4="Logarithm",LN(0.001+IF(AND(ISNUMBER('Council Entry'!AZ$8),ISNUMBER('Council Entry'!AZ$9)),MAX(MIN('Council Entry'!AZ21,'Council Entry'!AZ$9),'Council Entry'!AZ$8),'Council Entry'!AZ21)),IF('Council Entry'!AZ$4="Exponential",EXP(IF(AND(ISNUMBER('Council Entry'!AZ$8),ISNUMBER('Council Entry'!AZ$9)),MAX(MIN('Council Entry'!AZ21,'Council Entry'!AZ$9),'Council Entry'!AZ$8),'Council Entry'!AZ21)),IF(AND(ISNUMBER('Council Entry'!AZ$8),ISNUMBER('Council Entry'!AZ$9)),MAX(MIN('Council Entry'!AZ21,'Council Entry'!AZ$9),'Council Entry'!AZ$8),'Council Entry'!AZ21))))-'Council Entry'!AZ$5)/('Council Entry'!AZ$6-'Council Entry'!AZ$5),10*((IF('Council Entry'!AZ$4="Logarithm",LN(0.001+IF(AND(ISNUMBER('Council Entry'!AZ$8),ISNUMBER('Council Entry'!AZ$9)),MAX(MIN('Council Entry'!AZ21,'Council Entry'!AZ$9),'Council Entry'!AZ$8),'Council Entry'!AZ21)),IF('Council Entry'!AZ$4="Exponential",EXP(IF(AND(ISNUMBER('Council Entry'!AZ$8),ISNUMBER('Council Entry'!AZ$9)),MAX(MIN('Council Entry'!AZ21,'Council Entry'!AZ$9),'Council Entry'!AZ$8),'Council Entry'!AZ21)),IF(AND(ISNUMBER('Council Entry'!AZ$8),ISNUMBER('Council Entry'!AZ$9)),MAX(MIN('Council Entry'!AZ21,'Council Entry'!AZ$9),'Council Entry'!AZ$8),'Council Entry'!AZ21))))-'Council Entry'!AZ$5)/('Council Entry'!AZ$6-'Council Entry'!AZ$5)),1))),"No data"))</f>
        <v/>
      </c>
      <c r="BA21" s="13">
        <f>IF('Council Entry'!BA21="","",IFERROR(MAX(0,MIN(10,ROUND(IF('Council Entry'!BA$7="Decrease Risk",10-10*((IF('Council Entry'!BA$4="Logarithm",LN(0.001+IF(AND(ISNUMBER('Council Entry'!BA$8),ISNUMBER('Council Entry'!BA$9)),MAX(MIN('Council Entry'!BA21,'Council Entry'!BA$9),'Council Entry'!BA$8),'Council Entry'!BA21)),IF('Council Entry'!BA$4="Exponential",EXP(IF(AND(ISNUMBER('Council Entry'!BA$8),ISNUMBER('Council Entry'!BA$9)),MAX(MIN('Council Entry'!BA21,'Council Entry'!BA$9),'Council Entry'!BA$8),'Council Entry'!BA21)),IF(AND(ISNUMBER('Council Entry'!BA$8),ISNUMBER('Council Entry'!BA$9)),MAX(MIN('Council Entry'!BA21,'Council Entry'!BA$9),'Council Entry'!BA$8),'Council Entry'!BA21))))-'Council Entry'!BA$5)/('Council Entry'!BA$6-'Council Entry'!BA$5),10*((IF('Council Entry'!BA$4="Logarithm",LN(0.001+IF(AND(ISNUMBER('Council Entry'!BA$8),ISNUMBER('Council Entry'!BA$9)),MAX(MIN('Council Entry'!BA21,'Council Entry'!BA$9),'Council Entry'!BA$8),'Council Entry'!BA21)),IF('Council Entry'!BA$4="Exponential",EXP(IF(AND(ISNUMBER('Council Entry'!BA$8),ISNUMBER('Council Entry'!BA$9)),MAX(MIN('Council Entry'!BA21,'Council Entry'!BA$9),'Council Entry'!BA$8),'Council Entry'!BA21)),IF(AND(ISNUMBER('Council Entry'!BA$8),ISNUMBER('Council Entry'!BA$9)),MAX(MIN('Council Entry'!BA21,'Council Entry'!BA$9),'Council Entry'!BA$8),'Council Entry'!BA21))))-'Council Entry'!BA$5)/('Council Entry'!BA$6-'Council Entry'!BA$5)),1))),"No data"))</f>
        <v/>
      </c>
      <c r="BB21" s="13">
        <f>IF('Council Entry'!BB21="","",IFERROR(MAX(0,MIN(10,ROUND(IF('Council Entry'!BB$7="Decrease Risk",10-10*((IF('Council Entry'!BB$4="Logarithm",LN(0.001+IF(AND(ISNUMBER('Council Entry'!BB$8),ISNUMBER('Council Entry'!BB$9)),MAX(MIN('Council Entry'!BB21,'Council Entry'!BB$9),'Council Entry'!BB$8),'Council Entry'!BB21)),IF('Council Entry'!BB$4="Exponential",EXP(IF(AND(ISNUMBER('Council Entry'!BB$8),ISNUMBER('Council Entry'!BB$9)),MAX(MIN('Council Entry'!BB21,'Council Entry'!BB$9),'Council Entry'!BB$8),'Council Entry'!BB21)),IF(AND(ISNUMBER('Council Entry'!BB$8),ISNUMBER('Council Entry'!BB$9)),MAX(MIN('Council Entry'!BB21,'Council Entry'!BB$9),'Council Entry'!BB$8),'Council Entry'!BB21))))-'Council Entry'!BB$5)/('Council Entry'!BB$6-'Council Entry'!BB$5),10*((IF('Council Entry'!BB$4="Logarithm",LN(0.001+IF(AND(ISNUMBER('Council Entry'!BB$8),ISNUMBER('Council Entry'!BB$9)),MAX(MIN('Council Entry'!BB21,'Council Entry'!BB$9),'Council Entry'!BB$8),'Council Entry'!BB21)),IF('Council Entry'!BB$4="Exponential",EXP(IF(AND(ISNUMBER('Council Entry'!BB$8),ISNUMBER('Council Entry'!BB$9)),MAX(MIN('Council Entry'!BB21,'Council Entry'!BB$9),'Council Entry'!BB$8),'Council Entry'!BB21)),IF(AND(ISNUMBER('Council Entry'!BB$8),ISNUMBER('Council Entry'!BB$9)),MAX(MIN('Council Entry'!BB21,'Council Entry'!BB$9),'Council Entry'!BB$8),'Council Entry'!BB21))))-'Council Entry'!BB$5)/('Council Entry'!BB$6-'Council Entry'!BB$5)),1))),"No data"))</f>
        <v/>
      </c>
      <c r="BC21" s="13">
        <f>IF('Council Entry'!BC21="","",IFERROR(MAX(0,MIN(10,ROUND(IF('Council Entry'!BC$7="Decrease Risk",10-10*((IF('Council Entry'!BC$4="Logarithm",LN(0.001+IF(AND(ISNUMBER('Council Entry'!BC$8),ISNUMBER('Council Entry'!BC$9)),MAX(MIN('Council Entry'!BC21,'Council Entry'!BC$9),'Council Entry'!BC$8),'Council Entry'!BC21)),IF('Council Entry'!BC$4="Exponential",EXP(IF(AND(ISNUMBER('Council Entry'!BC$8),ISNUMBER('Council Entry'!BC$9)),MAX(MIN('Council Entry'!BC21,'Council Entry'!BC$9),'Council Entry'!BC$8),'Council Entry'!BC21)),IF(AND(ISNUMBER('Council Entry'!BC$8),ISNUMBER('Council Entry'!BC$9)),MAX(MIN('Council Entry'!BC21,'Council Entry'!BC$9),'Council Entry'!BC$8),'Council Entry'!BC21))))-'Council Entry'!BC$5)/('Council Entry'!BC$6-'Council Entry'!BC$5),10*((IF('Council Entry'!BC$4="Logarithm",LN(0.001+IF(AND(ISNUMBER('Council Entry'!BC$8),ISNUMBER('Council Entry'!BC$9)),MAX(MIN('Council Entry'!BC21,'Council Entry'!BC$9),'Council Entry'!BC$8),'Council Entry'!BC21)),IF('Council Entry'!BC$4="Exponential",EXP(IF(AND(ISNUMBER('Council Entry'!BC$8),ISNUMBER('Council Entry'!BC$9)),MAX(MIN('Council Entry'!BC21,'Council Entry'!BC$9),'Council Entry'!BC$8),'Council Entry'!BC21)),IF(AND(ISNUMBER('Council Entry'!BC$8),ISNUMBER('Council Entry'!BC$9)),MAX(MIN('Council Entry'!BC21,'Council Entry'!BC$9),'Council Entry'!BC$8),'Council Entry'!BC21))))-'Council Entry'!BC$5)/('Council Entry'!BC$6-'Council Entry'!BC$5)),1))),"No data"))</f>
        <v/>
      </c>
      <c r="BD21" s="13">
        <f>IF('Council Entry'!BD21="","",IFERROR(MAX(0,MIN(10,ROUND(IF('Council Entry'!BD$7="Decrease Risk",10-10*((IF('Council Entry'!BD$4="Logarithm",LN(0.001+IF(AND(ISNUMBER('Council Entry'!BD$8),ISNUMBER('Council Entry'!BD$9)),MAX(MIN('Council Entry'!BD21,'Council Entry'!BD$9),'Council Entry'!BD$8),'Council Entry'!BD21)),IF('Council Entry'!BD$4="Exponential",EXP(IF(AND(ISNUMBER('Council Entry'!BD$8),ISNUMBER('Council Entry'!BD$9)),MAX(MIN('Council Entry'!BD21,'Council Entry'!BD$9),'Council Entry'!BD$8),'Council Entry'!BD21)),IF(AND(ISNUMBER('Council Entry'!BD$8),ISNUMBER('Council Entry'!BD$9)),MAX(MIN('Council Entry'!BD21,'Council Entry'!BD$9),'Council Entry'!BD$8),'Council Entry'!BD21))))-'Council Entry'!BD$5)/('Council Entry'!BD$6-'Council Entry'!BD$5),10*((IF('Council Entry'!BD$4="Logarithm",LN(0.001+IF(AND(ISNUMBER('Council Entry'!BD$8),ISNUMBER('Council Entry'!BD$9)),MAX(MIN('Council Entry'!BD21,'Council Entry'!BD$9),'Council Entry'!BD$8),'Council Entry'!BD21)),IF('Council Entry'!BD$4="Exponential",EXP(IF(AND(ISNUMBER('Council Entry'!BD$8),ISNUMBER('Council Entry'!BD$9)),MAX(MIN('Council Entry'!BD21,'Council Entry'!BD$9),'Council Entry'!BD$8),'Council Entry'!BD21)),IF(AND(ISNUMBER('Council Entry'!BD$8),ISNUMBER('Council Entry'!BD$9)),MAX(MIN('Council Entry'!BD21,'Council Entry'!BD$9),'Council Entry'!BD$8),'Council Entry'!BD21))))-'Council Entry'!BD$5)/('Council Entry'!BD$6-'Council Entry'!BD$5)),1))),"No data"))</f>
        <v/>
      </c>
    </row>
    <row r="22">
      <c r="A22" t="inlineStr">
        <is>
          <t>Dar es Salaam</t>
        </is>
      </c>
      <c r="B22" t="inlineStr">
        <is>
          <t>Ubungo Municipal</t>
        </is>
      </c>
      <c r="C22" t="inlineStr">
        <is>
          <t>C056</t>
        </is>
      </c>
      <c r="D22" s="13">
        <f>IF('Council Entry'!D22="","",IFERROR(MAX(0,MIN(10,ROUND(IF('Council Entry'!D$7="Decrease Risk",10-10*((IF('Council Entry'!D$4="Logarithm",LN(0.001+IF(AND(ISNUMBER('Council Entry'!D$8),ISNUMBER('Council Entry'!D$9)),MAX(MIN('Council Entry'!D22,'Council Entry'!D$9),'Council Entry'!D$8),'Council Entry'!D22)),IF('Council Entry'!D$4="Exponential",EXP(IF(AND(ISNUMBER('Council Entry'!D$8),ISNUMBER('Council Entry'!D$9)),MAX(MIN('Council Entry'!D22,'Council Entry'!D$9),'Council Entry'!D$8),'Council Entry'!D22)),IF(AND(ISNUMBER('Council Entry'!D$8),ISNUMBER('Council Entry'!D$9)),MAX(MIN('Council Entry'!D22,'Council Entry'!D$9),'Council Entry'!D$8),'Council Entry'!D22))))-'Council Entry'!D$5)/('Council Entry'!D$6-'Council Entry'!D$5),10*((IF('Council Entry'!D$4="Logarithm",LN(0.001+IF(AND(ISNUMBER('Council Entry'!D$8),ISNUMBER('Council Entry'!D$9)),MAX(MIN('Council Entry'!D22,'Council Entry'!D$9),'Council Entry'!D$8),'Council Entry'!D22)),IF('Council Entry'!D$4="Exponential",EXP(IF(AND(ISNUMBER('Council Entry'!D$8),ISNUMBER('Council Entry'!D$9)),MAX(MIN('Council Entry'!D22,'Council Entry'!D$9),'Council Entry'!D$8),'Council Entry'!D22)),IF(AND(ISNUMBER('Council Entry'!D$8),ISNUMBER('Council Entry'!D$9)),MAX(MIN('Council Entry'!D22,'Council Entry'!D$9),'Council Entry'!D$8),'Council Entry'!D22))))-'Council Entry'!D$5)/('Council Entry'!D$6-'Council Entry'!D$5)),1))),"No data"))</f>
        <v/>
      </c>
      <c r="E22" s="13">
        <f>IF('Council Entry'!E22="","",IFERROR(MAX(0,MIN(10,ROUND(IF('Council Entry'!E$7="Decrease Risk",10-10*((IF('Council Entry'!E$4="Logarithm",LN(0.001+IF(AND(ISNUMBER('Council Entry'!E$8),ISNUMBER('Council Entry'!E$9)),MAX(MIN('Council Entry'!E22,'Council Entry'!E$9),'Council Entry'!E$8),'Council Entry'!E22)),IF('Council Entry'!E$4="Exponential",EXP(IF(AND(ISNUMBER('Council Entry'!E$8),ISNUMBER('Council Entry'!E$9)),MAX(MIN('Council Entry'!E22,'Council Entry'!E$9),'Council Entry'!E$8),'Council Entry'!E22)),IF(AND(ISNUMBER('Council Entry'!E$8),ISNUMBER('Council Entry'!E$9)),MAX(MIN('Council Entry'!E22,'Council Entry'!E$9),'Council Entry'!E$8),'Council Entry'!E22))))-'Council Entry'!E$5)/('Council Entry'!E$6-'Council Entry'!E$5),10*((IF('Council Entry'!E$4="Logarithm",LN(0.001+IF(AND(ISNUMBER('Council Entry'!E$8),ISNUMBER('Council Entry'!E$9)),MAX(MIN('Council Entry'!E22,'Council Entry'!E$9),'Council Entry'!E$8),'Council Entry'!E22)),IF('Council Entry'!E$4="Exponential",EXP(IF(AND(ISNUMBER('Council Entry'!E$8),ISNUMBER('Council Entry'!E$9)),MAX(MIN('Council Entry'!E22,'Council Entry'!E$9),'Council Entry'!E$8),'Council Entry'!E22)),IF(AND(ISNUMBER('Council Entry'!E$8),ISNUMBER('Council Entry'!E$9)),MAX(MIN('Council Entry'!E22,'Council Entry'!E$9),'Council Entry'!E$8),'Council Entry'!E22))))-'Council Entry'!E$5)/('Council Entry'!E$6-'Council Entry'!E$5)),1))),"No data"))</f>
        <v/>
      </c>
      <c r="F22" s="13">
        <f>IF('Council Entry'!F22="","",IFERROR(MAX(0,MIN(10,ROUND(IF('Council Entry'!F$7="Decrease Risk",10-10*((IF('Council Entry'!F$4="Logarithm",LN(0.001+IF(AND(ISNUMBER('Council Entry'!F$8),ISNUMBER('Council Entry'!F$9)),MAX(MIN('Council Entry'!F22,'Council Entry'!F$9),'Council Entry'!F$8),'Council Entry'!F22)),IF('Council Entry'!F$4="Exponential",EXP(IF(AND(ISNUMBER('Council Entry'!F$8),ISNUMBER('Council Entry'!F$9)),MAX(MIN('Council Entry'!F22,'Council Entry'!F$9),'Council Entry'!F$8),'Council Entry'!F22)),IF(AND(ISNUMBER('Council Entry'!F$8),ISNUMBER('Council Entry'!F$9)),MAX(MIN('Council Entry'!F22,'Council Entry'!F$9),'Council Entry'!F$8),'Council Entry'!F22))))-'Council Entry'!F$5)/('Council Entry'!F$6-'Council Entry'!F$5),10*((IF('Council Entry'!F$4="Logarithm",LN(0.001+IF(AND(ISNUMBER('Council Entry'!F$8),ISNUMBER('Council Entry'!F$9)),MAX(MIN('Council Entry'!F22,'Council Entry'!F$9),'Council Entry'!F$8),'Council Entry'!F22)),IF('Council Entry'!F$4="Exponential",EXP(IF(AND(ISNUMBER('Council Entry'!F$8),ISNUMBER('Council Entry'!F$9)),MAX(MIN('Council Entry'!F22,'Council Entry'!F$9),'Council Entry'!F$8),'Council Entry'!F22)),IF(AND(ISNUMBER('Council Entry'!F$8),ISNUMBER('Council Entry'!F$9)),MAX(MIN('Council Entry'!F22,'Council Entry'!F$9),'Council Entry'!F$8),'Council Entry'!F22))))-'Council Entry'!F$5)/('Council Entry'!F$6-'Council Entry'!F$5)),1))),"No data"))</f>
        <v/>
      </c>
      <c r="G22" s="13">
        <f>IF('Council Entry'!G22="","",IFERROR(MAX(0,MIN(10,ROUND(IF('Council Entry'!G$7="Decrease Risk",10-10*((IF('Council Entry'!G$4="Logarithm",LN(0.001+IF(AND(ISNUMBER('Council Entry'!G$8),ISNUMBER('Council Entry'!G$9)),MAX(MIN('Council Entry'!G22,'Council Entry'!G$9),'Council Entry'!G$8),'Council Entry'!G22)),IF('Council Entry'!G$4="Exponential",EXP(IF(AND(ISNUMBER('Council Entry'!G$8),ISNUMBER('Council Entry'!G$9)),MAX(MIN('Council Entry'!G22,'Council Entry'!G$9),'Council Entry'!G$8),'Council Entry'!G22)),IF(AND(ISNUMBER('Council Entry'!G$8),ISNUMBER('Council Entry'!G$9)),MAX(MIN('Council Entry'!G22,'Council Entry'!G$9),'Council Entry'!G$8),'Council Entry'!G22))))-'Council Entry'!G$5)/('Council Entry'!G$6-'Council Entry'!G$5),10*((IF('Council Entry'!G$4="Logarithm",LN(0.001+IF(AND(ISNUMBER('Council Entry'!G$8),ISNUMBER('Council Entry'!G$9)),MAX(MIN('Council Entry'!G22,'Council Entry'!G$9),'Council Entry'!G$8),'Council Entry'!G22)),IF('Council Entry'!G$4="Exponential",EXP(IF(AND(ISNUMBER('Council Entry'!G$8),ISNUMBER('Council Entry'!G$9)),MAX(MIN('Council Entry'!G22,'Council Entry'!G$9),'Council Entry'!G$8),'Council Entry'!G22)),IF(AND(ISNUMBER('Council Entry'!G$8),ISNUMBER('Council Entry'!G$9)),MAX(MIN('Council Entry'!G22,'Council Entry'!G$9),'Council Entry'!G$8),'Council Entry'!G22))))-'Council Entry'!G$5)/('Council Entry'!G$6-'Council Entry'!G$5)),1))),"No data"))</f>
        <v/>
      </c>
      <c r="H22" s="13">
        <f>IF('Council Entry'!H22="","",IFERROR(MAX(0,MIN(10,ROUND(IF('Council Entry'!H$7="Decrease Risk",10-10*((IF('Council Entry'!H$4="Logarithm",LN(0.001+IF(AND(ISNUMBER('Council Entry'!H$8),ISNUMBER('Council Entry'!H$9)),MAX(MIN('Council Entry'!H22,'Council Entry'!H$9),'Council Entry'!H$8),'Council Entry'!H22)),IF('Council Entry'!H$4="Exponential",EXP(IF(AND(ISNUMBER('Council Entry'!H$8),ISNUMBER('Council Entry'!H$9)),MAX(MIN('Council Entry'!H22,'Council Entry'!H$9),'Council Entry'!H$8),'Council Entry'!H22)),IF(AND(ISNUMBER('Council Entry'!H$8),ISNUMBER('Council Entry'!H$9)),MAX(MIN('Council Entry'!H22,'Council Entry'!H$9),'Council Entry'!H$8),'Council Entry'!H22))))-'Council Entry'!H$5)/('Council Entry'!H$6-'Council Entry'!H$5),10*((IF('Council Entry'!H$4="Logarithm",LN(0.001+IF(AND(ISNUMBER('Council Entry'!H$8),ISNUMBER('Council Entry'!H$9)),MAX(MIN('Council Entry'!H22,'Council Entry'!H$9),'Council Entry'!H$8),'Council Entry'!H22)),IF('Council Entry'!H$4="Exponential",EXP(IF(AND(ISNUMBER('Council Entry'!H$8),ISNUMBER('Council Entry'!H$9)),MAX(MIN('Council Entry'!H22,'Council Entry'!H$9),'Council Entry'!H$8),'Council Entry'!H22)),IF(AND(ISNUMBER('Council Entry'!H$8),ISNUMBER('Council Entry'!H$9)),MAX(MIN('Council Entry'!H22,'Council Entry'!H$9),'Council Entry'!H$8),'Council Entry'!H22))))-'Council Entry'!H$5)/('Council Entry'!H$6-'Council Entry'!H$5)),1))),"No data"))</f>
        <v/>
      </c>
      <c r="I22" s="13">
        <f>IF('Council Entry'!I22="","",IFERROR(MAX(0,MIN(10,ROUND(IF('Council Entry'!I$7="Decrease Risk",10-10*((IF('Council Entry'!I$4="Logarithm",LN(0.001+IF(AND(ISNUMBER('Council Entry'!I$8),ISNUMBER('Council Entry'!I$9)),MAX(MIN('Council Entry'!I22,'Council Entry'!I$9),'Council Entry'!I$8),'Council Entry'!I22)),IF('Council Entry'!I$4="Exponential",EXP(IF(AND(ISNUMBER('Council Entry'!I$8),ISNUMBER('Council Entry'!I$9)),MAX(MIN('Council Entry'!I22,'Council Entry'!I$9),'Council Entry'!I$8),'Council Entry'!I22)),IF(AND(ISNUMBER('Council Entry'!I$8),ISNUMBER('Council Entry'!I$9)),MAX(MIN('Council Entry'!I22,'Council Entry'!I$9),'Council Entry'!I$8),'Council Entry'!I22))))-'Council Entry'!I$5)/('Council Entry'!I$6-'Council Entry'!I$5),10*((IF('Council Entry'!I$4="Logarithm",LN(0.001+IF(AND(ISNUMBER('Council Entry'!I$8),ISNUMBER('Council Entry'!I$9)),MAX(MIN('Council Entry'!I22,'Council Entry'!I$9),'Council Entry'!I$8),'Council Entry'!I22)),IF('Council Entry'!I$4="Exponential",EXP(IF(AND(ISNUMBER('Council Entry'!I$8),ISNUMBER('Council Entry'!I$9)),MAX(MIN('Council Entry'!I22,'Council Entry'!I$9),'Council Entry'!I$8),'Council Entry'!I22)),IF(AND(ISNUMBER('Council Entry'!I$8),ISNUMBER('Council Entry'!I$9)),MAX(MIN('Council Entry'!I22,'Council Entry'!I$9),'Council Entry'!I$8),'Council Entry'!I22))))-'Council Entry'!I$5)/('Council Entry'!I$6-'Council Entry'!I$5)),1))),"No data"))</f>
        <v/>
      </c>
      <c r="J22" s="13">
        <f>IF('Council Entry'!J22="","",IFERROR(MAX(0,MIN(10,ROUND(IF('Council Entry'!J$7="Decrease Risk",10-10*((IF('Council Entry'!J$4="Logarithm",LN(0.001+IF(AND(ISNUMBER('Council Entry'!J$8),ISNUMBER('Council Entry'!J$9)),MAX(MIN('Council Entry'!J22,'Council Entry'!J$9),'Council Entry'!J$8),'Council Entry'!J22)),IF('Council Entry'!J$4="Exponential",EXP(IF(AND(ISNUMBER('Council Entry'!J$8),ISNUMBER('Council Entry'!J$9)),MAX(MIN('Council Entry'!J22,'Council Entry'!J$9),'Council Entry'!J$8),'Council Entry'!J22)),IF(AND(ISNUMBER('Council Entry'!J$8),ISNUMBER('Council Entry'!J$9)),MAX(MIN('Council Entry'!J22,'Council Entry'!J$9),'Council Entry'!J$8),'Council Entry'!J22))))-'Council Entry'!J$5)/('Council Entry'!J$6-'Council Entry'!J$5),10*((IF('Council Entry'!J$4="Logarithm",LN(0.001+IF(AND(ISNUMBER('Council Entry'!J$8),ISNUMBER('Council Entry'!J$9)),MAX(MIN('Council Entry'!J22,'Council Entry'!J$9),'Council Entry'!J$8),'Council Entry'!J22)),IF('Council Entry'!J$4="Exponential",EXP(IF(AND(ISNUMBER('Council Entry'!J$8),ISNUMBER('Council Entry'!J$9)),MAX(MIN('Council Entry'!J22,'Council Entry'!J$9),'Council Entry'!J$8),'Council Entry'!J22)),IF(AND(ISNUMBER('Council Entry'!J$8),ISNUMBER('Council Entry'!J$9)),MAX(MIN('Council Entry'!J22,'Council Entry'!J$9),'Council Entry'!J$8),'Council Entry'!J22))))-'Council Entry'!J$5)/('Council Entry'!J$6-'Council Entry'!J$5)),1))),"No data"))</f>
        <v/>
      </c>
      <c r="K22" s="13">
        <f>IF('Council Entry'!K22="","",IFERROR(MAX(0,MIN(10,ROUND(IF('Council Entry'!K$7="Decrease Risk",10-10*((IF('Council Entry'!K$4="Logarithm",LN(0.001+IF(AND(ISNUMBER('Council Entry'!K$8),ISNUMBER('Council Entry'!K$9)),MAX(MIN('Council Entry'!K22,'Council Entry'!K$9),'Council Entry'!K$8),'Council Entry'!K22)),IF('Council Entry'!K$4="Exponential",EXP(IF(AND(ISNUMBER('Council Entry'!K$8),ISNUMBER('Council Entry'!K$9)),MAX(MIN('Council Entry'!K22,'Council Entry'!K$9),'Council Entry'!K$8),'Council Entry'!K22)),IF(AND(ISNUMBER('Council Entry'!K$8),ISNUMBER('Council Entry'!K$9)),MAX(MIN('Council Entry'!K22,'Council Entry'!K$9),'Council Entry'!K$8),'Council Entry'!K22))))-'Council Entry'!K$5)/('Council Entry'!K$6-'Council Entry'!K$5),10*((IF('Council Entry'!K$4="Logarithm",LN(0.001+IF(AND(ISNUMBER('Council Entry'!K$8),ISNUMBER('Council Entry'!K$9)),MAX(MIN('Council Entry'!K22,'Council Entry'!K$9),'Council Entry'!K$8),'Council Entry'!K22)),IF('Council Entry'!K$4="Exponential",EXP(IF(AND(ISNUMBER('Council Entry'!K$8),ISNUMBER('Council Entry'!K$9)),MAX(MIN('Council Entry'!K22,'Council Entry'!K$9),'Council Entry'!K$8),'Council Entry'!K22)),IF(AND(ISNUMBER('Council Entry'!K$8),ISNUMBER('Council Entry'!K$9)),MAX(MIN('Council Entry'!K22,'Council Entry'!K$9),'Council Entry'!K$8),'Council Entry'!K22))))-'Council Entry'!K$5)/('Council Entry'!K$6-'Council Entry'!K$5)),1))),"No data"))</f>
        <v/>
      </c>
      <c r="L22" s="13">
        <f>IF('Council Entry'!L22="","",IFERROR(MAX(0,MIN(10,ROUND(IF('Council Entry'!L$7="Decrease Risk",10-10*((IF('Council Entry'!L$4="Logarithm",LN(0.001+IF(AND(ISNUMBER('Council Entry'!L$8),ISNUMBER('Council Entry'!L$9)),MAX(MIN('Council Entry'!L22,'Council Entry'!L$9),'Council Entry'!L$8),'Council Entry'!L22)),IF('Council Entry'!L$4="Exponential",EXP(IF(AND(ISNUMBER('Council Entry'!L$8),ISNUMBER('Council Entry'!L$9)),MAX(MIN('Council Entry'!L22,'Council Entry'!L$9),'Council Entry'!L$8),'Council Entry'!L22)),IF(AND(ISNUMBER('Council Entry'!L$8),ISNUMBER('Council Entry'!L$9)),MAX(MIN('Council Entry'!L22,'Council Entry'!L$9),'Council Entry'!L$8),'Council Entry'!L22))))-'Council Entry'!L$5)/('Council Entry'!L$6-'Council Entry'!L$5),10*((IF('Council Entry'!L$4="Logarithm",LN(0.001+IF(AND(ISNUMBER('Council Entry'!L$8),ISNUMBER('Council Entry'!L$9)),MAX(MIN('Council Entry'!L22,'Council Entry'!L$9),'Council Entry'!L$8),'Council Entry'!L22)),IF('Council Entry'!L$4="Exponential",EXP(IF(AND(ISNUMBER('Council Entry'!L$8),ISNUMBER('Council Entry'!L$9)),MAX(MIN('Council Entry'!L22,'Council Entry'!L$9),'Council Entry'!L$8),'Council Entry'!L22)),IF(AND(ISNUMBER('Council Entry'!L$8),ISNUMBER('Council Entry'!L$9)),MAX(MIN('Council Entry'!L22,'Council Entry'!L$9),'Council Entry'!L$8),'Council Entry'!L22))))-'Council Entry'!L$5)/('Council Entry'!L$6-'Council Entry'!L$5)),1))),"No data"))</f>
        <v/>
      </c>
      <c r="M22" s="13">
        <f>IF('Council Entry'!M22="","",IFERROR(MAX(0,MIN(10,ROUND(IF('Council Entry'!M$7="Decrease Risk",10-10*((IF('Council Entry'!M$4="Logarithm",LN(0.001+IF(AND(ISNUMBER('Council Entry'!M$8),ISNUMBER('Council Entry'!M$9)),MAX(MIN('Council Entry'!M22,'Council Entry'!M$9),'Council Entry'!M$8),'Council Entry'!M22)),IF('Council Entry'!M$4="Exponential",EXP(IF(AND(ISNUMBER('Council Entry'!M$8),ISNUMBER('Council Entry'!M$9)),MAX(MIN('Council Entry'!M22,'Council Entry'!M$9),'Council Entry'!M$8),'Council Entry'!M22)),IF(AND(ISNUMBER('Council Entry'!M$8),ISNUMBER('Council Entry'!M$9)),MAX(MIN('Council Entry'!M22,'Council Entry'!M$9),'Council Entry'!M$8),'Council Entry'!M22))))-'Council Entry'!M$5)/('Council Entry'!M$6-'Council Entry'!M$5),10*((IF('Council Entry'!M$4="Logarithm",LN(0.001+IF(AND(ISNUMBER('Council Entry'!M$8),ISNUMBER('Council Entry'!M$9)),MAX(MIN('Council Entry'!M22,'Council Entry'!M$9),'Council Entry'!M$8),'Council Entry'!M22)),IF('Council Entry'!M$4="Exponential",EXP(IF(AND(ISNUMBER('Council Entry'!M$8),ISNUMBER('Council Entry'!M$9)),MAX(MIN('Council Entry'!M22,'Council Entry'!M$9),'Council Entry'!M$8),'Council Entry'!M22)),IF(AND(ISNUMBER('Council Entry'!M$8),ISNUMBER('Council Entry'!M$9)),MAX(MIN('Council Entry'!M22,'Council Entry'!M$9),'Council Entry'!M$8),'Council Entry'!M22))))-'Council Entry'!M$5)/('Council Entry'!M$6-'Council Entry'!M$5)),1))),"No data"))</f>
        <v/>
      </c>
      <c r="N22" s="13">
        <f>IF('Council Entry'!N22="","",IFERROR(MAX(0,MIN(10,ROUND(IF('Council Entry'!N$7="Decrease Risk",10-10*((IF('Council Entry'!N$4="Logarithm",LN(0.001+IF(AND(ISNUMBER('Council Entry'!N$8),ISNUMBER('Council Entry'!N$9)),MAX(MIN('Council Entry'!N22,'Council Entry'!N$9),'Council Entry'!N$8),'Council Entry'!N22)),IF('Council Entry'!N$4="Exponential",EXP(IF(AND(ISNUMBER('Council Entry'!N$8),ISNUMBER('Council Entry'!N$9)),MAX(MIN('Council Entry'!N22,'Council Entry'!N$9),'Council Entry'!N$8),'Council Entry'!N22)),IF(AND(ISNUMBER('Council Entry'!N$8),ISNUMBER('Council Entry'!N$9)),MAX(MIN('Council Entry'!N22,'Council Entry'!N$9),'Council Entry'!N$8),'Council Entry'!N22))))-'Council Entry'!N$5)/('Council Entry'!N$6-'Council Entry'!N$5),10*((IF('Council Entry'!N$4="Logarithm",LN(0.001+IF(AND(ISNUMBER('Council Entry'!N$8),ISNUMBER('Council Entry'!N$9)),MAX(MIN('Council Entry'!N22,'Council Entry'!N$9),'Council Entry'!N$8),'Council Entry'!N22)),IF('Council Entry'!N$4="Exponential",EXP(IF(AND(ISNUMBER('Council Entry'!N$8),ISNUMBER('Council Entry'!N$9)),MAX(MIN('Council Entry'!N22,'Council Entry'!N$9),'Council Entry'!N$8),'Council Entry'!N22)),IF(AND(ISNUMBER('Council Entry'!N$8),ISNUMBER('Council Entry'!N$9)),MAX(MIN('Council Entry'!N22,'Council Entry'!N$9),'Council Entry'!N$8),'Council Entry'!N22))))-'Council Entry'!N$5)/('Council Entry'!N$6-'Council Entry'!N$5)),1))),"No data"))</f>
        <v/>
      </c>
      <c r="O22" s="13">
        <f>IF('Council Entry'!O22="","",IFERROR(MAX(0,MIN(10,ROUND(IF('Council Entry'!O$7="Decrease Risk",10-10*((IF('Council Entry'!O$4="Logarithm",LN(0.001+IF(AND(ISNUMBER('Council Entry'!O$8),ISNUMBER('Council Entry'!O$9)),MAX(MIN('Council Entry'!O22,'Council Entry'!O$9),'Council Entry'!O$8),'Council Entry'!O22)),IF('Council Entry'!O$4="Exponential",EXP(IF(AND(ISNUMBER('Council Entry'!O$8),ISNUMBER('Council Entry'!O$9)),MAX(MIN('Council Entry'!O22,'Council Entry'!O$9),'Council Entry'!O$8),'Council Entry'!O22)),IF(AND(ISNUMBER('Council Entry'!O$8),ISNUMBER('Council Entry'!O$9)),MAX(MIN('Council Entry'!O22,'Council Entry'!O$9),'Council Entry'!O$8),'Council Entry'!O22))))-'Council Entry'!O$5)/('Council Entry'!O$6-'Council Entry'!O$5),10*((IF('Council Entry'!O$4="Logarithm",LN(0.001+IF(AND(ISNUMBER('Council Entry'!O$8),ISNUMBER('Council Entry'!O$9)),MAX(MIN('Council Entry'!O22,'Council Entry'!O$9),'Council Entry'!O$8),'Council Entry'!O22)),IF('Council Entry'!O$4="Exponential",EXP(IF(AND(ISNUMBER('Council Entry'!O$8),ISNUMBER('Council Entry'!O$9)),MAX(MIN('Council Entry'!O22,'Council Entry'!O$9),'Council Entry'!O$8),'Council Entry'!O22)),IF(AND(ISNUMBER('Council Entry'!O$8),ISNUMBER('Council Entry'!O$9)),MAX(MIN('Council Entry'!O22,'Council Entry'!O$9),'Council Entry'!O$8),'Council Entry'!O22))))-'Council Entry'!O$5)/('Council Entry'!O$6-'Council Entry'!O$5)),1))),"No data"))</f>
        <v/>
      </c>
      <c r="P22" s="13">
        <f>IF('Council Entry'!P22="","",IFERROR(MAX(0,MIN(10,ROUND(IF('Council Entry'!P$7="Decrease Risk",10-10*((IF('Council Entry'!P$4="Logarithm",LN(0.001+IF(AND(ISNUMBER('Council Entry'!P$8),ISNUMBER('Council Entry'!P$9)),MAX(MIN('Council Entry'!P22,'Council Entry'!P$9),'Council Entry'!P$8),'Council Entry'!P22)),IF('Council Entry'!P$4="Exponential",EXP(IF(AND(ISNUMBER('Council Entry'!P$8),ISNUMBER('Council Entry'!P$9)),MAX(MIN('Council Entry'!P22,'Council Entry'!P$9),'Council Entry'!P$8),'Council Entry'!P22)),IF(AND(ISNUMBER('Council Entry'!P$8),ISNUMBER('Council Entry'!P$9)),MAX(MIN('Council Entry'!P22,'Council Entry'!P$9),'Council Entry'!P$8),'Council Entry'!P22))))-'Council Entry'!P$5)/('Council Entry'!P$6-'Council Entry'!P$5),10*((IF('Council Entry'!P$4="Logarithm",LN(0.001+IF(AND(ISNUMBER('Council Entry'!P$8),ISNUMBER('Council Entry'!P$9)),MAX(MIN('Council Entry'!P22,'Council Entry'!P$9),'Council Entry'!P$8),'Council Entry'!P22)),IF('Council Entry'!P$4="Exponential",EXP(IF(AND(ISNUMBER('Council Entry'!P$8),ISNUMBER('Council Entry'!P$9)),MAX(MIN('Council Entry'!P22,'Council Entry'!P$9),'Council Entry'!P$8),'Council Entry'!P22)),IF(AND(ISNUMBER('Council Entry'!P$8),ISNUMBER('Council Entry'!P$9)),MAX(MIN('Council Entry'!P22,'Council Entry'!P$9),'Council Entry'!P$8),'Council Entry'!P22))))-'Council Entry'!P$5)/('Council Entry'!P$6-'Council Entry'!P$5)),1))),"No data"))</f>
        <v/>
      </c>
      <c r="Q22" s="13">
        <f>IF('Council Entry'!Q22="","",IFERROR(MAX(0,MIN(10,ROUND(IF('Council Entry'!Q$7="Decrease Risk",10-10*((IF('Council Entry'!Q$4="Logarithm",LN(0.001+IF(AND(ISNUMBER('Council Entry'!Q$8),ISNUMBER('Council Entry'!Q$9)),MAX(MIN('Council Entry'!Q22,'Council Entry'!Q$9),'Council Entry'!Q$8),'Council Entry'!Q22)),IF('Council Entry'!Q$4="Exponential",EXP(IF(AND(ISNUMBER('Council Entry'!Q$8),ISNUMBER('Council Entry'!Q$9)),MAX(MIN('Council Entry'!Q22,'Council Entry'!Q$9),'Council Entry'!Q$8),'Council Entry'!Q22)),IF(AND(ISNUMBER('Council Entry'!Q$8),ISNUMBER('Council Entry'!Q$9)),MAX(MIN('Council Entry'!Q22,'Council Entry'!Q$9),'Council Entry'!Q$8),'Council Entry'!Q22))))-'Council Entry'!Q$5)/('Council Entry'!Q$6-'Council Entry'!Q$5),10*((IF('Council Entry'!Q$4="Logarithm",LN(0.001+IF(AND(ISNUMBER('Council Entry'!Q$8),ISNUMBER('Council Entry'!Q$9)),MAX(MIN('Council Entry'!Q22,'Council Entry'!Q$9),'Council Entry'!Q$8),'Council Entry'!Q22)),IF('Council Entry'!Q$4="Exponential",EXP(IF(AND(ISNUMBER('Council Entry'!Q$8),ISNUMBER('Council Entry'!Q$9)),MAX(MIN('Council Entry'!Q22,'Council Entry'!Q$9),'Council Entry'!Q$8),'Council Entry'!Q22)),IF(AND(ISNUMBER('Council Entry'!Q$8),ISNUMBER('Council Entry'!Q$9)),MAX(MIN('Council Entry'!Q22,'Council Entry'!Q$9),'Council Entry'!Q$8),'Council Entry'!Q22))))-'Council Entry'!Q$5)/('Council Entry'!Q$6-'Council Entry'!Q$5)),1))),"No data"))</f>
        <v/>
      </c>
      <c r="R22" s="13">
        <f>IF('Council Entry'!R22="","",IFERROR(MAX(0,MIN(10,ROUND(IF('Council Entry'!R$7="Decrease Risk",10-10*((IF('Council Entry'!R$4="Logarithm",LN(0.001+IF(AND(ISNUMBER('Council Entry'!R$8),ISNUMBER('Council Entry'!R$9)),MAX(MIN('Council Entry'!R22,'Council Entry'!R$9),'Council Entry'!R$8),'Council Entry'!R22)),IF('Council Entry'!R$4="Exponential",EXP(IF(AND(ISNUMBER('Council Entry'!R$8),ISNUMBER('Council Entry'!R$9)),MAX(MIN('Council Entry'!R22,'Council Entry'!R$9),'Council Entry'!R$8),'Council Entry'!R22)),IF(AND(ISNUMBER('Council Entry'!R$8),ISNUMBER('Council Entry'!R$9)),MAX(MIN('Council Entry'!R22,'Council Entry'!R$9),'Council Entry'!R$8),'Council Entry'!R22))))-'Council Entry'!R$5)/('Council Entry'!R$6-'Council Entry'!R$5),10*((IF('Council Entry'!R$4="Logarithm",LN(0.001+IF(AND(ISNUMBER('Council Entry'!R$8),ISNUMBER('Council Entry'!R$9)),MAX(MIN('Council Entry'!R22,'Council Entry'!R$9),'Council Entry'!R$8),'Council Entry'!R22)),IF('Council Entry'!R$4="Exponential",EXP(IF(AND(ISNUMBER('Council Entry'!R$8),ISNUMBER('Council Entry'!R$9)),MAX(MIN('Council Entry'!R22,'Council Entry'!R$9),'Council Entry'!R$8),'Council Entry'!R22)),IF(AND(ISNUMBER('Council Entry'!R$8),ISNUMBER('Council Entry'!R$9)),MAX(MIN('Council Entry'!R22,'Council Entry'!R$9),'Council Entry'!R$8),'Council Entry'!R22))))-'Council Entry'!R$5)/('Council Entry'!R$6-'Council Entry'!R$5)),1))),"No data"))</f>
        <v/>
      </c>
      <c r="S22" s="13">
        <f>IF('Council Entry'!S22="","",IFERROR(MAX(0,MIN(10,ROUND(IF('Council Entry'!S$7="Decrease Risk",10-10*((IF('Council Entry'!S$4="Logarithm",LN(0.001+IF(AND(ISNUMBER('Council Entry'!S$8),ISNUMBER('Council Entry'!S$9)),MAX(MIN('Council Entry'!S22,'Council Entry'!S$9),'Council Entry'!S$8),'Council Entry'!S22)),IF('Council Entry'!S$4="Exponential",EXP(IF(AND(ISNUMBER('Council Entry'!S$8),ISNUMBER('Council Entry'!S$9)),MAX(MIN('Council Entry'!S22,'Council Entry'!S$9),'Council Entry'!S$8),'Council Entry'!S22)),IF(AND(ISNUMBER('Council Entry'!S$8),ISNUMBER('Council Entry'!S$9)),MAX(MIN('Council Entry'!S22,'Council Entry'!S$9),'Council Entry'!S$8),'Council Entry'!S22))))-'Council Entry'!S$5)/('Council Entry'!S$6-'Council Entry'!S$5),10*((IF('Council Entry'!S$4="Logarithm",LN(0.001+IF(AND(ISNUMBER('Council Entry'!S$8),ISNUMBER('Council Entry'!S$9)),MAX(MIN('Council Entry'!S22,'Council Entry'!S$9),'Council Entry'!S$8),'Council Entry'!S22)),IF('Council Entry'!S$4="Exponential",EXP(IF(AND(ISNUMBER('Council Entry'!S$8),ISNUMBER('Council Entry'!S$9)),MAX(MIN('Council Entry'!S22,'Council Entry'!S$9),'Council Entry'!S$8),'Council Entry'!S22)),IF(AND(ISNUMBER('Council Entry'!S$8),ISNUMBER('Council Entry'!S$9)),MAX(MIN('Council Entry'!S22,'Council Entry'!S$9),'Council Entry'!S$8),'Council Entry'!S22))))-'Council Entry'!S$5)/('Council Entry'!S$6-'Council Entry'!S$5)),1))),"No data"))</f>
        <v/>
      </c>
      <c r="T22" s="13">
        <f>IF('Council Entry'!T22="","",IFERROR(MAX(0,MIN(10,ROUND(IF('Council Entry'!T$7="Decrease Risk",10-10*((IF('Council Entry'!T$4="Logarithm",LN(0.001+IF(AND(ISNUMBER('Council Entry'!T$8),ISNUMBER('Council Entry'!T$9)),MAX(MIN('Council Entry'!T22,'Council Entry'!T$9),'Council Entry'!T$8),'Council Entry'!T22)),IF('Council Entry'!T$4="Exponential",EXP(IF(AND(ISNUMBER('Council Entry'!T$8),ISNUMBER('Council Entry'!T$9)),MAX(MIN('Council Entry'!T22,'Council Entry'!T$9),'Council Entry'!T$8),'Council Entry'!T22)),IF(AND(ISNUMBER('Council Entry'!T$8),ISNUMBER('Council Entry'!T$9)),MAX(MIN('Council Entry'!T22,'Council Entry'!T$9),'Council Entry'!T$8),'Council Entry'!T22))))-'Council Entry'!T$5)/('Council Entry'!T$6-'Council Entry'!T$5),10*((IF('Council Entry'!T$4="Logarithm",LN(0.001+IF(AND(ISNUMBER('Council Entry'!T$8),ISNUMBER('Council Entry'!T$9)),MAX(MIN('Council Entry'!T22,'Council Entry'!T$9),'Council Entry'!T$8),'Council Entry'!T22)),IF('Council Entry'!T$4="Exponential",EXP(IF(AND(ISNUMBER('Council Entry'!T$8),ISNUMBER('Council Entry'!T$9)),MAX(MIN('Council Entry'!T22,'Council Entry'!T$9),'Council Entry'!T$8),'Council Entry'!T22)),IF(AND(ISNUMBER('Council Entry'!T$8),ISNUMBER('Council Entry'!T$9)),MAX(MIN('Council Entry'!T22,'Council Entry'!T$9),'Council Entry'!T$8),'Council Entry'!T22))))-'Council Entry'!T$5)/('Council Entry'!T$6-'Council Entry'!T$5)),1))),"No data"))</f>
        <v/>
      </c>
      <c r="U22" s="13">
        <f>IF('Council Entry'!U22="","",IFERROR(MAX(0,MIN(10,ROUND(IF('Council Entry'!U$7="Decrease Risk",10-10*((IF('Council Entry'!U$4="Logarithm",LN(0.001+IF(AND(ISNUMBER('Council Entry'!U$8),ISNUMBER('Council Entry'!U$9)),MAX(MIN('Council Entry'!U22,'Council Entry'!U$9),'Council Entry'!U$8),'Council Entry'!U22)),IF('Council Entry'!U$4="Exponential",EXP(IF(AND(ISNUMBER('Council Entry'!U$8),ISNUMBER('Council Entry'!U$9)),MAX(MIN('Council Entry'!U22,'Council Entry'!U$9),'Council Entry'!U$8),'Council Entry'!U22)),IF(AND(ISNUMBER('Council Entry'!U$8),ISNUMBER('Council Entry'!U$9)),MAX(MIN('Council Entry'!U22,'Council Entry'!U$9),'Council Entry'!U$8),'Council Entry'!U22))))-'Council Entry'!U$5)/('Council Entry'!U$6-'Council Entry'!U$5),10*((IF('Council Entry'!U$4="Logarithm",LN(0.001+IF(AND(ISNUMBER('Council Entry'!U$8),ISNUMBER('Council Entry'!U$9)),MAX(MIN('Council Entry'!U22,'Council Entry'!U$9),'Council Entry'!U$8),'Council Entry'!U22)),IF('Council Entry'!U$4="Exponential",EXP(IF(AND(ISNUMBER('Council Entry'!U$8),ISNUMBER('Council Entry'!U$9)),MAX(MIN('Council Entry'!U22,'Council Entry'!U$9),'Council Entry'!U$8),'Council Entry'!U22)),IF(AND(ISNUMBER('Council Entry'!U$8),ISNUMBER('Council Entry'!U$9)),MAX(MIN('Council Entry'!U22,'Council Entry'!U$9),'Council Entry'!U$8),'Council Entry'!U22))))-'Council Entry'!U$5)/('Council Entry'!U$6-'Council Entry'!U$5)),1))),"No data"))</f>
        <v/>
      </c>
      <c r="V22" s="13">
        <f>IF('Council Entry'!V22="","",IFERROR(MAX(0,MIN(10,ROUND(IF('Council Entry'!V$7="Decrease Risk",10-10*((IF('Council Entry'!V$4="Logarithm",LN(0.001+IF(AND(ISNUMBER('Council Entry'!V$8),ISNUMBER('Council Entry'!V$9)),MAX(MIN('Council Entry'!V22,'Council Entry'!V$9),'Council Entry'!V$8),'Council Entry'!V22)),IF('Council Entry'!V$4="Exponential",EXP(IF(AND(ISNUMBER('Council Entry'!V$8),ISNUMBER('Council Entry'!V$9)),MAX(MIN('Council Entry'!V22,'Council Entry'!V$9),'Council Entry'!V$8),'Council Entry'!V22)),IF(AND(ISNUMBER('Council Entry'!V$8),ISNUMBER('Council Entry'!V$9)),MAX(MIN('Council Entry'!V22,'Council Entry'!V$9),'Council Entry'!V$8),'Council Entry'!V22))))-'Council Entry'!V$5)/('Council Entry'!V$6-'Council Entry'!V$5),10*((IF('Council Entry'!V$4="Logarithm",LN(0.001+IF(AND(ISNUMBER('Council Entry'!V$8),ISNUMBER('Council Entry'!V$9)),MAX(MIN('Council Entry'!V22,'Council Entry'!V$9),'Council Entry'!V$8),'Council Entry'!V22)),IF('Council Entry'!V$4="Exponential",EXP(IF(AND(ISNUMBER('Council Entry'!V$8),ISNUMBER('Council Entry'!V$9)),MAX(MIN('Council Entry'!V22,'Council Entry'!V$9),'Council Entry'!V$8),'Council Entry'!V22)),IF(AND(ISNUMBER('Council Entry'!V$8),ISNUMBER('Council Entry'!V$9)),MAX(MIN('Council Entry'!V22,'Council Entry'!V$9),'Council Entry'!V$8),'Council Entry'!V22))))-'Council Entry'!V$5)/('Council Entry'!V$6-'Council Entry'!V$5)),1))),"No data"))</f>
        <v/>
      </c>
      <c r="W22" s="13">
        <f>IF('Council Entry'!W22="","",IFERROR(MAX(0,MIN(10,ROUND(IF('Council Entry'!W$7="Decrease Risk",10-10*((IF('Council Entry'!W$4="Logarithm",LN(0.001+IF(AND(ISNUMBER('Council Entry'!W$8),ISNUMBER('Council Entry'!W$9)),MAX(MIN('Council Entry'!W22,'Council Entry'!W$9),'Council Entry'!W$8),'Council Entry'!W22)),IF('Council Entry'!W$4="Exponential",EXP(IF(AND(ISNUMBER('Council Entry'!W$8),ISNUMBER('Council Entry'!W$9)),MAX(MIN('Council Entry'!W22,'Council Entry'!W$9),'Council Entry'!W$8),'Council Entry'!W22)),IF(AND(ISNUMBER('Council Entry'!W$8),ISNUMBER('Council Entry'!W$9)),MAX(MIN('Council Entry'!W22,'Council Entry'!W$9),'Council Entry'!W$8),'Council Entry'!W22))))-'Council Entry'!W$5)/('Council Entry'!W$6-'Council Entry'!W$5),10*((IF('Council Entry'!W$4="Logarithm",LN(0.001+IF(AND(ISNUMBER('Council Entry'!W$8),ISNUMBER('Council Entry'!W$9)),MAX(MIN('Council Entry'!W22,'Council Entry'!W$9),'Council Entry'!W$8),'Council Entry'!W22)),IF('Council Entry'!W$4="Exponential",EXP(IF(AND(ISNUMBER('Council Entry'!W$8),ISNUMBER('Council Entry'!W$9)),MAX(MIN('Council Entry'!W22,'Council Entry'!W$9),'Council Entry'!W$8),'Council Entry'!W22)),IF(AND(ISNUMBER('Council Entry'!W$8),ISNUMBER('Council Entry'!W$9)),MAX(MIN('Council Entry'!W22,'Council Entry'!W$9),'Council Entry'!W$8),'Council Entry'!W22))))-'Council Entry'!W$5)/('Council Entry'!W$6-'Council Entry'!W$5)),1))),"No data"))</f>
        <v/>
      </c>
      <c r="X22" s="13">
        <f>IF('Council Entry'!X22="","",IFERROR(MAX(0,MIN(10,ROUND(IF('Council Entry'!X$7="Decrease Risk",10-10*((IF('Council Entry'!X$4="Logarithm",LN(0.001+IF(AND(ISNUMBER('Council Entry'!X$8),ISNUMBER('Council Entry'!X$9)),MAX(MIN('Council Entry'!X22,'Council Entry'!X$9),'Council Entry'!X$8),'Council Entry'!X22)),IF('Council Entry'!X$4="Exponential",EXP(IF(AND(ISNUMBER('Council Entry'!X$8),ISNUMBER('Council Entry'!X$9)),MAX(MIN('Council Entry'!X22,'Council Entry'!X$9),'Council Entry'!X$8),'Council Entry'!X22)),IF(AND(ISNUMBER('Council Entry'!X$8),ISNUMBER('Council Entry'!X$9)),MAX(MIN('Council Entry'!X22,'Council Entry'!X$9),'Council Entry'!X$8),'Council Entry'!X22))))-'Council Entry'!X$5)/('Council Entry'!X$6-'Council Entry'!X$5),10*((IF('Council Entry'!X$4="Logarithm",LN(0.001+IF(AND(ISNUMBER('Council Entry'!X$8),ISNUMBER('Council Entry'!X$9)),MAX(MIN('Council Entry'!X22,'Council Entry'!X$9),'Council Entry'!X$8),'Council Entry'!X22)),IF('Council Entry'!X$4="Exponential",EXP(IF(AND(ISNUMBER('Council Entry'!X$8),ISNUMBER('Council Entry'!X$9)),MAX(MIN('Council Entry'!X22,'Council Entry'!X$9),'Council Entry'!X$8),'Council Entry'!X22)),IF(AND(ISNUMBER('Council Entry'!X$8),ISNUMBER('Council Entry'!X$9)),MAX(MIN('Council Entry'!X22,'Council Entry'!X$9),'Council Entry'!X$8),'Council Entry'!X22))))-'Council Entry'!X$5)/('Council Entry'!X$6-'Council Entry'!X$5)),1))),"No data"))</f>
        <v/>
      </c>
      <c r="Y22" s="13">
        <f>IF('Council Entry'!Y22="","",IFERROR(MAX(0,MIN(10,ROUND(IF('Council Entry'!Y$7="Decrease Risk",10-10*((IF('Council Entry'!Y$4="Logarithm",LN(0.001+IF(AND(ISNUMBER('Council Entry'!Y$8),ISNUMBER('Council Entry'!Y$9)),MAX(MIN('Council Entry'!Y22,'Council Entry'!Y$9),'Council Entry'!Y$8),'Council Entry'!Y22)),IF('Council Entry'!Y$4="Exponential",EXP(IF(AND(ISNUMBER('Council Entry'!Y$8),ISNUMBER('Council Entry'!Y$9)),MAX(MIN('Council Entry'!Y22,'Council Entry'!Y$9),'Council Entry'!Y$8),'Council Entry'!Y22)),IF(AND(ISNUMBER('Council Entry'!Y$8),ISNUMBER('Council Entry'!Y$9)),MAX(MIN('Council Entry'!Y22,'Council Entry'!Y$9),'Council Entry'!Y$8),'Council Entry'!Y22))))-'Council Entry'!Y$5)/('Council Entry'!Y$6-'Council Entry'!Y$5),10*((IF('Council Entry'!Y$4="Logarithm",LN(0.001+IF(AND(ISNUMBER('Council Entry'!Y$8),ISNUMBER('Council Entry'!Y$9)),MAX(MIN('Council Entry'!Y22,'Council Entry'!Y$9),'Council Entry'!Y$8),'Council Entry'!Y22)),IF('Council Entry'!Y$4="Exponential",EXP(IF(AND(ISNUMBER('Council Entry'!Y$8),ISNUMBER('Council Entry'!Y$9)),MAX(MIN('Council Entry'!Y22,'Council Entry'!Y$9),'Council Entry'!Y$8),'Council Entry'!Y22)),IF(AND(ISNUMBER('Council Entry'!Y$8),ISNUMBER('Council Entry'!Y$9)),MAX(MIN('Council Entry'!Y22,'Council Entry'!Y$9),'Council Entry'!Y$8),'Council Entry'!Y22))))-'Council Entry'!Y$5)/('Council Entry'!Y$6-'Council Entry'!Y$5)),1))),"No data"))</f>
        <v/>
      </c>
      <c r="Z22" s="13">
        <f>IF('Council Entry'!Z22="","",IFERROR(MAX(0,MIN(10,ROUND(IF('Council Entry'!Z$7="Decrease Risk",10-10*((IF('Council Entry'!Z$4="Logarithm",LN(0.001+IF(AND(ISNUMBER('Council Entry'!Z$8),ISNUMBER('Council Entry'!Z$9)),MAX(MIN('Council Entry'!Z22,'Council Entry'!Z$9),'Council Entry'!Z$8),'Council Entry'!Z22)),IF('Council Entry'!Z$4="Exponential",EXP(IF(AND(ISNUMBER('Council Entry'!Z$8),ISNUMBER('Council Entry'!Z$9)),MAX(MIN('Council Entry'!Z22,'Council Entry'!Z$9),'Council Entry'!Z$8),'Council Entry'!Z22)),IF(AND(ISNUMBER('Council Entry'!Z$8),ISNUMBER('Council Entry'!Z$9)),MAX(MIN('Council Entry'!Z22,'Council Entry'!Z$9),'Council Entry'!Z$8),'Council Entry'!Z22))))-'Council Entry'!Z$5)/('Council Entry'!Z$6-'Council Entry'!Z$5),10*((IF('Council Entry'!Z$4="Logarithm",LN(0.001+IF(AND(ISNUMBER('Council Entry'!Z$8),ISNUMBER('Council Entry'!Z$9)),MAX(MIN('Council Entry'!Z22,'Council Entry'!Z$9),'Council Entry'!Z$8),'Council Entry'!Z22)),IF('Council Entry'!Z$4="Exponential",EXP(IF(AND(ISNUMBER('Council Entry'!Z$8),ISNUMBER('Council Entry'!Z$9)),MAX(MIN('Council Entry'!Z22,'Council Entry'!Z$9),'Council Entry'!Z$8),'Council Entry'!Z22)),IF(AND(ISNUMBER('Council Entry'!Z$8),ISNUMBER('Council Entry'!Z$9)),MAX(MIN('Council Entry'!Z22,'Council Entry'!Z$9),'Council Entry'!Z$8),'Council Entry'!Z22))))-'Council Entry'!Z$5)/('Council Entry'!Z$6-'Council Entry'!Z$5)),1))),"No data"))</f>
        <v/>
      </c>
      <c r="AA22" s="13">
        <f>IF('Council Entry'!AA22="","",IFERROR(MAX(0,MIN(10,ROUND(IF('Council Entry'!AA$7="Decrease Risk",10-10*((IF('Council Entry'!AA$4="Logarithm",LN(0.001+IF(AND(ISNUMBER('Council Entry'!AA$8),ISNUMBER('Council Entry'!AA$9)),MAX(MIN('Council Entry'!AA22,'Council Entry'!AA$9),'Council Entry'!AA$8),'Council Entry'!AA22)),IF('Council Entry'!AA$4="Exponential",EXP(IF(AND(ISNUMBER('Council Entry'!AA$8),ISNUMBER('Council Entry'!AA$9)),MAX(MIN('Council Entry'!AA22,'Council Entry'!AA$9),'Council Entry'!AA$8),'Council Entry'!AA22)),IF(AND(ISNUMBER('Council Entry'!AA$8),ISNUMBER('Council Entry'!AA$9)),MAX(MIN('Council Entry'!AA22,'Council Entry'!AA$9),'Council Entry'!AA$8),'Council Entry'!AA22))))-'Council Entry'!AA$5)/('Council Entry'!AA$6-'Council Entry'!AA$5),10*((IF('Council Entry'!AA$4="Logarithm",LN(0.001+IF(AND(ISNUMBER('Council Entry'!AA$8),ISNUMBER('Council Entry'!AA$9)),MAX(MIN('Council Entry'!AA22,'Council Entry'!AA$9),'Council Entry'!AA$8),'Council Entry'!AA22)),IF('Council Entry'!AA$4="Exponential",EXP(IF(AND(ISNUMBER('Council Entry'!AA$8),ISNUMBER('Council Entry'!AA$9)),MAX(MIN('Council Entry'!AA22,'Council Entry'!AA$9),'Council Entry'!AA$8),'Council Entry'!AA22)),IF(AND(ISNUMBER('Council Entry'!AA$8),ISNUMBER('Council Entry'!AA$9)),MAX(MIN('Council Entry'!AA22,'Council Entry'!AA$9),'Council Entry'!AA$8),'Council Entry'!AA22))))-'Council Entry'!AA$5)/('Council Entry'!AA$6-'Council Entry'!AA$5)),1))),"No data"))</f>
        <v/>
      </c>
      <c r="AB22" s="13">
        <f>IF('Council Entry'!AB22="","",IFERROR(MAX(0,MIN(10,ROUND(IF('Council Entry'!AB$7="Decrease Risk",10-10*((IF('Council Entry'!AB$4="Logarithm",LN(0.001+IF(AND(ISNUMBER('Council Entry'!AB$8),ISNUMBER('Council Entry'!AB$9)),MAX(MIN('Council Entry'!AB22,'Council Entry'!AB$9),'Council Entry'!AB$8),'Council Entry'!AB22)),IF('Council Entry'!AB$4="Exponential",EXP(IF(AND(ISNUMBER('Council Entry'!AB$8),ISNUMBER('Council Entry'!AB$9)),MAX(MIN('Council Entry'!AB22,'Council Entry'!AB$9),'Council Entry'!AB$8),'Council Entry'!AB22)),IF(AND(ISNUMBER('Council Entry'!AB$8),ISNUMBER('Council Entry'!AB$9)),MAX(MIN('Council Entry'!AB22,'Council Entry'!AB$9),'Council Entry'!AB$8),'Council Entry'!AB22))))-'Council Entry'!AB$5)/('Council Entry'!AB$6-'Council Entry'!AB$5),10*((IF('Council Entry'!AB$4="Logarithm",LN(0.001+IF(AND(ISNUMBER('Council Entry'!AB$8),ISNUMBER('Council Entry'!AB$9)),MAX(MIN('Council Entry'!AB22,'Council Entry'!AB$9),'Council Entry'!AB$8),'Council Entry'!AB22)),IF('Council Entry'!AB$4="Exponential",EXP(IF(AND(ISNUMBER('Council Entry'!AB$8),ISNUMBER('Council Entry'!AB$9)),MAX(MIN('Council Entry'!AB22,'Council Entry'!AB$9),'Council Entry'!AB$8),'Council Entry'!AB22)),IF(AND(ISNUMBER('Council Entry'!AB$8),ISNUMBER('Council Entry'!AB$9)),MAX(MIN('Council Entry'!AB22,'Council Entry'!AB$9),'Council Entry'!AB$8),'Council Entry'!AB22))))-'Council Entry'!AB$5)/('Council Entry'!AB$6-'Council Entry'!AB$5)),1))),"No data"))</f>
        <v/>
      </c>
      <c r="AC22" s="13">
        <f>IF('Council Entry'!AC22="","",IFERROR(MAX(0,MIN(10,ROUND(IF('Council Entry'!AC$7="Decrease Risk",10-10*((IF('Council Entry'!AC$4="Logarithm",LN(0.001+IF(AND(ISNUMBER('Council Entry'!AC$8),ISNUMBER('Council Entry'!AC$9)),MAX(MIN('Council Entry'!AC22,'Council Entry'!AC$9),'Council Entry'!AC$8),'Council Entry'!AC22)),IF('Council Entry'!AC$4="Exponential",EXP(IF(AND(ISNUMBER('Council Entry'!AC$8),ISNUMBER('Council Entry'!AC$9)),MAX(MIN('Council Entry'!AC22,'Council Entry'!AC$9),'Council Entry'!AC$8),'Council Entry'!AC22)),IF(AND(ISNUMBER('Council Entry'!AC$8),ISNUMBER('Council Entry'!AC$9)),MAX(MIN('Council Entry'!AC22,'Council Entry'!AC$9),'Council Entry'!AC$8),'Council Entry'!AC22))))-'Council Entry'!AC$5)/('Council Entry'!AC$6-'Council Entry'!AC$5),10*((IF('Council Entry'!AC$4="Logarithm",LN(0.001+IF(AND(ISNUMBER('Council Entry'!AC$8),ISNUMBER('Council Entry'!AC$9)),MAX(MIN('Council Entry'!AC22,'Council Entry'!AC$9),'Council Entry'!AC$8),'Council Entry'!AC22)),IF('Council Entry'!AC$4="Exponential",EXP(IF(AND(ISNUMBER('Council Entry'!AC$8),ISNUMBER('Council Entry'!AC$9)),MAX(MIN('Council Entry'!AC22,'Council Entry'!AC$9),'Council Entry'!AC$8),'Council Entry'!AC22)),IF(AND(ISNUMBER('Council Entry'!AC$8),ISNUMBER('Council Entry'!AC$9)),MAX(MIN('Council Entry'!AC22,'Council Entry'!AC$9),'Council Entry'!AC$8),'Council Entry'!AC22))))-'Council Entry'!AC$5)/('Council Entry'!AC$6-'Council Entry'!AC$5)),1))),"No data"))</f>
        <v/>
      </c>
      <c r="AD22" s="13">
        <f>IF('Council Entry'!AD22="","",IFERROR(MAX(0,MIN(10,ROUND(IF('Council Entry'!AD$7="Decrease Risk",10-10*((IF('Council Entry'!AD$4="Logarithm",LN(0.001+IF(AND(ISNUMBER('Council Entry'!AD$8),ISNUMBER('Council Entry'!AD$9)),MAX(MIN('Council Entry'!AD22,'Council Entry'!AD$9),'Council Entry'!AD$8),'Council Entry'!AD22)),IF('Council Entry'!AD$4="Exponential",EXP(IF(AND(ISNUMBER('Council Entry'!AD$8),ISNUMBER('Council Entry'!AD$9)),MAX(MIN('Council Entry'!AD22,'Council Entry'!AD$9),'Council Entry'!AD$8),'Council Entry'!AD22)),IF(AND(ISNUMBER('Council Entry'!AD$8),ISNUMBER('Council Entry'!AD$9)),MAX(MIN('Council Entry'!AD22,'Council Entry'!AD$9),'Council Entry'!AD$8),'Council Entry'!AD22))))-'Council Entry'!AD$5)/('Council Entry'!AD$6-'Council Entry'!AD$5),10*((IF('Council Entry'!AD$4="Logarithm",LN(0.001+IF(AND(ISNUMBER('Council Entry'!AD$8),ISNUMBER('Council Entry'!AD$9)),MAX(MIN('Council Entry'!AD22,'Council Entry'!AD$9),'Council Entry'!AD$8),'Council Entry'!AD22)),IF('Council Entry'!AD$4="Exponential",EXP(IF(AND(ISNUMBER('Council Entry'!AD$8),ISNUMBER('Council Entry'!AD$9)),MAX(MIN('Council Entry'!AD22,'Council Entry'!AD$9),'Council Entry'!AD$8),'Council Entry'!AD22)),IF(AND(ISNUMBER('Council Entry'!AD$8),ISNUMBER('Council Entry'!AD$9)),MAX(MIN('Council Entry'!AD22,'Council Entry'!AD$9),'Council Entry'!AD$8),'Council Entry'!AD22))))-'Council Entry'!AD$5)/('Council Entry'!AD$6-'Council Entry'!AD$5)),1))),"No data"))</f>
        <v/>
      </c>
      <c r="AE22" s="13">
        <f>IF('Council Entry'!AE22="","",IFERROR(MAX(0,MIN(10,ROUND(IF('Council Entry'!AE$7="Decrease Risk",10-10*((IF('Council Entry'!AE$4="Logarithm",LN(0.001+IF(AND(ISNUMBER('Council Entry'!AE$8),ISNUMBER('Council Entry'!AE$9)),MAX(MIN('Council Entry'!AE22,'Council Entry'!AE$9),'Council Entry'!AE$8),'Council Entry'!AE22)),IF('Council Entry'!AE$4="Exponential",EXP(IF(AND(ISNUMBER('Council Entry'!AE$8),ISNUMBER('Council Entry'!AE$9)),MAX(MIN('Council Entry'!AE22,'Council Entry'!AE$9),'Council Entry'!AE$8),'Council Entry'!AE22)),IF(AND(ISNUMBER('Council Entry'!AE$8),ISNUMBER('Council Entry'!AE$9)),MAX(MIN('Council Entry'!AE22,'Council Entry'!AE$9),'Council Entry'!AE$8),'Council Entry'!AE22))))-'Council Entry'!AE$5)/('Council Entry'!AE$6-'Council Entry'!AE$5),10*((IF('Council Entry'!AE$4="Logarithm",LN(0.001+IF(AND(ISNUMBER('Council Entry'!AE$8),ISNUMBER('Council Entry'!AE$9)),MAX(MIN('Council Entry'!AE22,'Council Entry'!AE$9),'Council Entry'!AE$8),'Council Entry'!AE22)),IF('Council Entry'!AE$4="Exponential",EXP(IF(AND(ISNUMBER('Council Entry'!AE$8),ISNUMBER('Council Entry'!AE$9)),MAX(MIN('Council Entry'!AE22,'Council Entry'!AE$9),'Council Entry'!AE$8),'Council Entry'!AE22)),IF(AND(ISNUMBER('Council Entry'!AE$8),ISNUMBER('Council Entry'!AE$9)),MAX(MIN('Council Entry'!AE22,'Council Entry'!AE$9),'Council Entry'!AE$8),'Council Entry'!AE22))))-'Council Entry'!AE$5)/('Council Entry'!AE$6-'Council Entry'!AE$5)),1))),"No data"))</f>
        <v/>
      </c>
      <c r="AF22" s="13">
        <f>IF('Council Entry'!AF22="","",IFERROR(MAX(0,MIN(10,ROUND(IF('Council Entry'!AF$7="Decrease Risk",10-10*((IF('Council Entry'!AF$4="Logarithm",LN(0.001+IF(AND(ISNUMBER('Council Entry'!AF$8),ISNUMBER('Council Entry'!AF$9)),MAX(MIN('Council Entry'!AF22,'Council Entry'!AF$9),'Council Entry'!AF$8),'Council Entry'!AF22)),IF('Council Entry'!AF$4="Exponential",EXP(IF(AND(ISNUMBER('Council Entry'!AF$8),ISNUMBER('Council Entry'!AF$9)),MAX(MIN('Council Entry'!AF22,'Council Entry'!AF$9),'Council Entry'!AF$8),'Council Entry'!AF22)),IF(AND(ISNUMBER('Council Entry'!AF$8),ISNUMBER('Council Entry'!AF$9)),MAX(MIN('Council Entry'!AF22,'Council Entry'!AF$9),'Council Entry'!AF$8),'Council Entry'!AF22))))-'Council Entry'!AF$5)/('Council Entry'!AF$6-'Council Entry'!AF$5),10*((IF('Council Entry'!AF$4="Logarithm",LN(0.001+IF(AND(ISNUMBER('Council Entry'!AF$8),ISNUMBER('Council Entry'!AF$9)),MAX(MIN('Council Entry'!AF22,'Council Entry'!AF$9),'Council Entry'!AF$8),'Council Entry'!AF22)),IF('Council Entry'!AF$4="Exponential",EXP(IF(AND(ISNUMBER('Council Entry'!AF$8),ISNUMBER('Council Entry'!AF$9)),MAX(MIN('Council Entry'!AF22,'Council Entry'!AF$9),'Council Entry'!AF$8),'Council Entry'!AF22)),IF(AND(ISNUMBER('Council Entry'!AF$8),ISNUMBER('Council Entry'!AF$9)),MAX(MIN('Council Entry'!AF22,'Council Entry'!AF$9),'Council Entry'!AF$8),'Council Entry'!AF22))))-'Council Entry'!AF$5)/('Council Entry'!AF$6-'Council Entry'!AF$5)),1))),"No data"))</f>
        <v/>
      </c>
      <c r="AG22" s="13">
        <f>IF('Council Entry'!AG22="","",IFERROR(MAX(0,MIN(10,ROUND(IF('Council Entry'!AG$7="Decrease Risk",10-10*((IF('Council Entry'!AG$4="Logarithm",LN(0.001+IF(AND(ISNUMBER('Council Entry'!AG$8),ISNUMBER('Council Entry'!AG$9)),MAX(MIN('Council Entry'!AG22,'Council Entry'!AG$9),'Council Entry'!AG$8),'Council Entry'!AG22)),IF('Council Entry'!AG$4="Exponential",EXP(IF(AND(ISNUMBER('Council Entry'!AG$8),ISNUMBER('Council Entry'!AG$9)),MAX(MIN('Council Entry'!AG22,'Council Entry'!AG$9),'Council Entry'!AG$8),'Council Entry'!AG22)),IF(AND(ISNUMBER('Council Entry'!AG$8),ISNUMBER('Council Entry'!AG$9)),MAX(MIN('Council Entry'!AG22,'Council Entry'!AG$9),'Council Entry'!AG$8),'Council Entry'!AG22))))-'Council Entry'!AG$5)/('Council Entry'!AG$6-'Council Entry'!AG$5),10*((IF('Council Entry'!AG$4="Logarithm",LN(0.001+IF(AND(ISNUMBER('Council Entry'!AG$8),ISNUMBER('Council Entry'!AG$9)),MAX(MIN('Council Entry'!AG22,'Council Entry'!AG$9),'Council Entry'!AG$8),'Council Entry'!AG22)),IF('Council Entry'!AG$4="Exponential",EXP(IF(AND(ISNUMBER('Council Entry'!AG$8),ISNUMBER('Council Entry'!AG$9)),MAX(MIN('Council Entry'!AG22,'Council Entry'!AG$9),'Council Entry'!AG$8),'Council Entry'!AG22)),IF(AND(ISNUMBER('Council Entry'!AG$8),ISNUMBER('Council Entry'!AG$9)),MAX(MIN('Council Entry'!AG22,'Council Entry'!AG$9),'Council Entry'!AG$8),'Council Entry'!AG22))))-'Council Entry'!AG$5)/('Council Entry'!AG$6-'Council Entry'!AG$5)),1))),"No data"))</f>
        <v/>
      </c>
      <c r="AH22" s="13">
        <f>IF('Council Entry'!AH22="","",IFERROR(MAX(0,MIN(10,ROUND(IF('Council Entry'!AH$7="Decrease Risk",10-10*((IF('Council Entry'!AH$4="Logarithm",LN(0.001+IF(AND(ISNUMBER('Council Entry'!AH$8),ISNUMBER('Council Entry'!AH$9)),MAX(MIN('Council Entry'!AH22,'Council Entry'!AH$9),'Council Entry'!AH$8),'Council Entry'!AH22)),IF('Council Entry'!AH$4="Exponential",EXP(IF(AND(ISNUMBER('Council Entry'!AH$8),ISNUMBER('Council Entry'!AH$9)),MAX(MIN('Council Entry'!AH22,'Council Entry'!AH$9),'Council Entry'!AH$8),'Council Entry'!AH22)),IF(AND(ISNUMBER('Council Entry'!AH$8),ISNUMBER('Council Entry'!AH$9)),MAX(MIN('Council Entry'!AH22,'Council Entry'!AH$9),'Council Entry'!AH$8),'Council Entry'!AH22))))-'Council Entry'!AH$5)/('Council Entry'!AH$6-'Council Entry'!AH$5),10*((IF('Council Entry'!AH$4="Logarithm",LN(0.001+IF(AND(ISNUMBER('Council Entry'!AH$8),ISNUMBER('Council Entry'!AH$9)),MAX(MIN('Council Entry'!AH22,'Council Entry'!AH$9),'Council Entry'!AH$8),'Council Entry'!AH22)),IF('Council Entry'!AH$4="Exponential",EXP(IF(AND(ISNUMBER('Council Entry'!AH$8),ISNUMBER('Council Entry'!AH$9)),MAX(MIN('Council Entry'!AH22,'Council Entry'!AH$9),'Council Entry'!AH$8),'Council Entry'!AH22)),IF(AND(ISNUMBER('Council Entry'!AH$8),ISNUMBER('Council Entry'!AH$9)),MAX(MIN('Council Entry'!AH22,'Council Entry'!AH$9),'Council Entry'!AH$8),'Council Entry'!AH22))))-'Council Entry'!AH$5)/('Council Entry'!AH$6-'Council Entry'!AH$5)),1))),"No data"))</f>
        <v/>
      </c>
      <c r="AI22" s="13">
        <f>IF('Council Entry'!AI22="","",IFERROR(MAX(0,MIN(10,ROUND(IF('Council Entry'!AI$7="Decrease Risk",10-10*((IF('Council Entry'!AI$4="Logarithm",LN(0.001+IF(AND(ISNUMBER('Council Entry'!AI$8),ISNUMBER('Council Entry'!AI$9)),MAX(MIN('Council Entry'!AI22,'Council Entry'!AI$9),'Council Entry'!AI$8),'Council Entry'!AI22)),IF('Council Entry'!AI$4="Exponential",EXP(IF(AND(ISNUMBER('Council Entry'!AI$8),ISNUMBER('Council Entry'!AI$9)),MAX(MIN('Council Entry'!AI22,'Council Entry'!AI$9),'Council Entry'!AI$8),'Council Entry'!AI22)),IF(AND(ISNUMBER('Council Entry'!AI$8),ISNUMBER('Council Entry'!AI$9)),MAX(MIN('Council Entry'!AI22,'Council Entry'!AI$9),'Council Entry'!AI$8),'Council Entry'!AI22))))-'Council Entry'!AI$5)/('Council Entry'!AI$6-'Council Entry'!AI$5),10*((IF('Council Entry'!AI$4="Logarithm",LN(0.001+IF(AND(ISNUMBER('Council Entry'!AI$8),ISNUMBER('Council Entry'!AI$9)),MAX(MIN('Council Entry'!AI22,'Council Entry'!AI$9),'Council Entry'!AI$8),'Council Entry'!AI22)),IF('Council Entry'!AI$4="Exponential",EXP(IF(AND(ISNUMBER('Council Entry'!AI$8),ISNUMBER('Council Entry'!AI$9)),MAX(MIN('Council Entry'!AI22,'Council Entry'!AI$9),'Council Entry'!AI$8),'Council Entry'!AI22)),IF(AND(ISNUMBER('Council Entry'!AI$8),ISNUMBER('Council Entry'!AI$9)),MAX(MIN('Council Entry'!AI22,'Council Entry'!AI$9),'Council Entry'!AI$8),'Council Entry'!AI22))))-'Council Entry'!AI$5)/('Council Entry'!AI$6-'Council Entry'!AI$5)),1))),"No data"))</f>
        <v/>
      </c>
      <c r="AJ22" s="13">
        <f>IF('Council Entry'!AJ22="","",IFERROR(MAX(0,MIN(10,ROUND(IF('Council Entry'!AJ$7="Decrease Risk",10-10*((IF('Council Entry'!AJ$4="Logarithm",LN(0.001+IF(AND(ISNUMBER('Council Entry'!AJ$8),ISNUMBER('Council Entry'!AJ$9)),MAX(MIN('Council Entry'!AJ22,'Council Entry'!AJ$9),'Council Entry'!AJ$8),'Council Entry'!AJ22)),IF('Council Entry'!AJ$4="Exponential",EXP(IF(AND(ISNUMBER('Council Entry'!AJ$8),ISNUMBER('Council Entry'!AJ$9)),MAX(MIN('Council Entry'!AJ22,'Council Entry'!AJ$9),'Council Entry'!AJ$8),'Council Entry'!AJ22)),IF(AND(ISNUMBER('Council Entry'!AJ$8),ISNUMBER('Council Entry'!AJ$9)),MAX(MIN('Council Entry'!AJ22,'Council Entry'!AJ$9),'Council Entry'!AJ$8),'Council Entry'!AJ22))))-'Council Entry'!AJ$5)/('Council Entry'!AJ$6-'Council Entry'!AJ$5),10*((IF('Council Entry'!AJ$4="Logarithm",LN(0.001+IF(AND(ISNUMBER('Council Entry'!AJ$8),ISNUMBER('Council Entry'!AJ$9)),MAX(MIN('Council Entry'!AJ22,'Council Entry'!AJ$9),'Council Entry'!AJ$8),'Council Entry'!AJ22)),IF('Council Entry'!AJ$4="Exponential",EXP(IF(AND(ISNUMBER('Council Entry'!AJ$8),ISNUMBER('Council Entry'!AJ$9)),MAX(MIN('Council Entry'!AJ22,'Council Entry'!AJ$9),'Council Entry'!AJ$8),'Council Entry'!AJ22)),IF(AND(ISNUMBER('Council Entry'!AJ$8),ISNUMBER('Council Entry'!AJ$9)),MAX(MIN('Council Entry'!AJ22,'Council Entry'!AJ$9),'Council Entry'!AJ$8),'Council Entry'!AJ22))))-'Council Entry'!AJ$5)/('Council Entry'!AJ$6-'Council Entry'!AJ$5)),1))),"No data"))</f>
        <v/>
      </c>
      <c r="AK22" s="13">
        <f>IF('Council Entry'!AK22="","",IFERROR(MAX(0,MIN(10,ROUND(IF('Council Entry'!AK$7="Decrease Risk",10-10*((IF('Council Entry'!AK$4="Logarithm",LN(0.001+IF(AND(ISNUMBER('Council Entry'!AK$8),ISNUMBER('Council Entry'!AK$9)),MAX(MIN('Council Entry'!AK22,'Council Entry'!AK$9),'Council Entry'!AK$8),'Council Entry'!AK22)),IF('Council Entry'!AK$4="Exponential",EXP(IF(AND(ISNUMBER('Council Entry'!AK$8),ISNUMBER('Council Entry'!AK$9)),MAX(MIN('Council Entry'!AK22,'Council Entry'!AK$9),'Council Entry'!AK$8),'Council Entry'!AK22)),IF(AND(ISNUMBER('Council Entry'!AK$8),ISNUMBER('Council Entry'!AK$9)),MAX(MIN('Council Entry'!AK22,'Council Entry'!AK$9),'Council Entry'!AK$8),'Council Entry'!AK22))))-'Council Entry'!AK$5)/('Council Entry'!AK$6-'Council Entry'!AK$5),10*((IF('Council Entry'!AK$4="Logarithm",LN(0.001+IF(AND(ISNUMBER('Council Entry'!AK$8),ISNUMBER('Council Entry'!AK$9)),MAX(MIN('Council Entry'!AK22,'Council Entry'!AK$9),'Council Entry'!AK$8),'Council Entry'!AK22)),IF('Council Entry'!AK$4="Exponential",EXP(IF(AND(ISNUMBER('Council Entry'!AK$8),ISNUMBER('Council Entry'!AK$9)),MAX(MIN('Council Entry'!AK22,'Council Entry'!AK$9),'Council Entry'!AK$8),'Council Entry'!AK22)),IF(AND(ISNUMBER('Council Entry'!AK$8),ISNUMBER('Council Entry'!AK$9)),MAX(MIN('Council Entry'!AK22,'Council Entry'!AK$9),'Council Entry'!AK$8),'Council Entry'!AK22))))-'Council Entry'!AK$5)/('Council Entry'!AK$6-'Council Entry'!AK$5)),1))),"No data"))</f>
        <v/>
      </c>
      <c r="AL22" s="13">
        <f>IF('Council Entry'!AL22="","",IFERROR(MAX(0,MIN(10,ROUND(IF('Council Entry'!AL$7="Decrease Risk",10-10*((IF('Council Entry'!AL$4="Logarithm",LN(0.001+IF(AND(ISNUMBER('Council Entry'!AL$8),ISNUMBER('Council Entry'!AL$9)),MAX(MIN('Council Entry'!AL22,'Council Entry'!AL$9),'Council Entry'!AL$8),'Council Entry'!AL22)),IF('Council Entry'!AL$4="Exponential",EXP(IF(AND(ISNUMBER('Council Entry'!AL$8),ISNUMBER('Council Entry'!AL$9)),MAX(MIN('Council Entry'!AL22,'Council Entry'!AL$9),'Council Entry'!AL$8),'Council Entry'!AL22)),IF(AND(ISNUMBER('Council Entry'!AL$8),ISNUMBER('Council Entry'!AL$9)),MAX(MIN('Council Entry'!AL22,'Council Entry'!AL$9),'Council Entry'!AL$8),'Council Entry'!AL22))))-'Council Entry'!AL$5)/('Council Entry'!AL$6-'Council Entry'!AL$5),10*((IF('Council Entry'!AL$4="Logarithm",LN(0.001+IF(AND(ISNUMBER('Council Entry'!AL$8),ISNUMBER('Council Entry'!AL$9)),MAX(MIN('Council Entry'!AL22,'Council Entry'!AL$9),'Council Entry'!AL$8),'Council Entry'!AL22)),IF('Council Entry'!AL$4="Exponential",EXP(IF(AND(ISNUMBER('Council Entry'!AL$8),ISNUMBER('Council Entry'!AL$9)),MAX(MIN('Council Entry'!AL22,'Council Entry'!AL$9),'Council Entry'!AL$8),'Council Entry'!AL22)),IF(AND(ISNUMBER('Council Entry'!AL$8),ISNUMBER('Council Entry'!AL$9)),MAX(MIN('Council Entry'!AL22,'Council Entry'!AL$9),'Council Entry'!AL$8),'Council Entry'!AL22))))-'Council Entry'!AL$5)/('Council Entry'!AL$6-'Council Entry'!AL$5)),1))),"No data"))</f>
        <v/>
      </c>
      <c r="AM22" s="13">
        <f>IF('Council Entry'!AM22="","",IFERROR(MAX(0,MIN(10,ROUND(IF('Council Entry'!AM$7="Decrease Risk",10-10*((IF('Council Entry'!AM$4="Logarithm",LN(0.001+IF(AND(ISNUMBER('Council Entry'!AM$8),ISNUMBER('Council Entry'!AM$9)),MAX(MIN('Council Entry'!AM22,'Council Entry'!AM$9),'Council Entry'!AM$8),'Council Entry'!AM22)),IF('Council Entry'!AM$4="Exponential",EXP(IF(AND(ISNUMBER('Council Entry'!AM$8),ISNUMBER('Council Entry'!AM$9)),MAX(MIN('Council Entry'!AM22,'Council Entry'!AM$9),'Council Entry'!AM$8),'Council Entry'!AM22)),IF(AND(ISNUMBER('Council Entry'!AM$8),ISNUMBER('Council Entry'!AM$9)),MAX(MIN('Council Entry'!AM22,'Council Entry'!AM$9),'Council Entry'!AM$8),'Council Entry'!AM22))))-'Council Entry'!AM$5)/('Council Entry'!AM$6-'Council Entry'!AM$5),10*((IF('Council Entry'!AM$4="Logarithm",LN(0.001+IF(AND(ISNUMBER('Council Entry'!AM$8),ISNUMBER('Council Entry'!AM$9)),MAX(MIN('Council Entry'!AM22,'Council Entry'!AM$9),'Council Entry'!AM$8),'Council Entry'!AM22)),IF('Council Entry'!AM$4="Exponential",EXP(IF(AND(ISNUMBER('Council Entry'!AM$8),ISNUMBER('Council Entry'!AM$9)),MAX(MIN('Council Entry'!AM22,'Council Entry'!AM$9),'Council Entry'!AM$8),'Council Entry'!AM22)),IF(AND(ISNUMBER('Council Entry'!AM$8),ISNUMBER('Council Entry'!AM$9)),MAX(MIN('Council Entry'!AM22,'Council Entry'!AM$9),'Council Entry'!AM$8),'Council Entry'!AM22))))-'Council Entry'!AM$5)/('Council Entry'!AM$6-'Council Entry'!AM$5)),1))),"No data"))</f>
        <v/>
      </c>
      <c r="AN22" s="13">
        <f>IF('Council Entry'!AN22="","",IFERROR(MAX(0,MIN(10,ROUND(IF('Council Entry'!AN$7="Decrease Risk",10-10*((IF('Council Entry'!AN$4="Logarithm",LN(0.001+IF(AND(ISNUMBER('Council Entry'!AN$8),ISNUMBER('Council Entry'!AN$9)),MAX(MIN('Council Entry'!AN22,'Council Entry'!AN$9),'Council Entry'!AN$8),'Council Entry'!AN22)),IF('Council Entry'!AN$4="Exponential",EXP(IF(AND(ISNUMBER('Council Entry'!AN$8),ISNUMBER('Council Entry'!AN$9)),MAX(MIN('Council Entry'!AN22,'Council Entry'!AN$9),'Council Entry'!AN$8),'Council Entry'!AN22)),IF(AND(ISNUMBER('Council Entry'!AN$8),ISNUMBER('Council Entry'!AN$9)),MAX(MIN('Council Entry'!AN22,'Council Entry'!AN$9),'Council Entry'!AN$8),'Council Entry'!AN22))))-'Council Entry'!AN$5)/('Council Entry'!AN$6-'Council Entry'!AN$5),10*((IF('Council Entry'!AN$4="Logarithm",LN(0.001+IF(AND(ISNUMBER('Council Entry'!AN$8),ISNUMBER('Council Entry'!AN$9)),MAX(MIN('Council Entry'!AN22,'Council Entry'!AN$9),'Council Entry'!AN$8),'Council Entry'!AN22)),IF('Council Entry'!AN$4="Exponential",EXP(IF(AND(ISNUMBER('Council Entry'!AN$8),ISNUMBER('Council Entry'!AN$9)),MAX(MIN('Council Entry'!AN22,'Council Entry'!AN$9),'Council Entry'!AN$8),'Council Entry'!AN22)),IF(AND(ISNUMBER('Council Entry'!AN$8),ISNUMBER('Council Entry'!AN$9)),MAX(MIN('Council Entry'!AN22,'Council Entry'!AN$9),'Council Entry'!AN$8),'Council Entry'!AN22))))-'Council Entry'!AN$5)/('Council Entry'!AN$6-'Council Entry'!AN$5)),1))),"No data"))</f>
        <v/>
      </c>
      <c r="AO22" s="13">
        <f>IF('Council Entry'!AO22="","",IFERROR(MAX(0,MIN(10,ROUND(IF('Council Entry'!AO$7="Decrease Risk",10-10*((IF('Council Entry'!AO$4="Logarithm",LN(0.001+IF(AND(ISNUMBER('Council Entry'!AO$8),ISNUMBER('Council Entry'!AO$9)),MAX(MIN('Council Entry'!AO22,'Council Entry'!AO$9),'Council Entry'!AO$8),'Council Entry'!AO22)),IF('Council Entry'!AO$4="Exponential",EXP(IF(AND(ISNUMBER('Council Entry'!AO$8),ISNUMBER('Council Entry'!AO$9)),MAX(MIN('Council Entry'!AO22,'Council Entry'!AO$9),'Council Entry'!AO$8),'Council Entry'!AO22)),IF(AND(ISNUMBER('Council Entry'!AO$8),ISNUMBER('Council Entry'!AO$9)),MAX(MIN('Council Entry'!AO22,'Council Entry'!AO$9),'Council Entry'!AO$8),'Council Entry'!AO22))))-'Council Entry'!AO$5)/('Council Entry'!AO$6-'Council Entry'!AO$5),10*((IF('Council Entry'!AO$4="Logarithm",LN(0.001+IF(AND(ISNUMBER('Council Entry'!AO$8),ISNUMBER('Council Entry'!AO$9)),MAX(MIN('Council Entry'!AO22,'Council Entry'!AO$9),'Council Entry'!AO$8),'Council Entry'!AO22)),IF('Council Entry'!AO$4="Exponential",EXP(IF(AND(ISNUMBER('Council Entry'!AO$8),ISNUMBER('Council Entry'!AO$9)),MAX(MIN('Council Entry'!AO22,'Council Entry'!AO$9),'Council Entry'!AO$8),'Council Entry'!AO22)),IF(AND(ISNUMBER('Council Entry'!AO$8),ISNUMBER('Council Entry'!AO$9)),MAX(MIN('Council Entry'!AO22,'Council Entry'!AO$9),'Council Entry'!AO$8),'Council Entry'!AO22))))-'Council Entry'!AO$5)/('Council Entry'!AO$6-'Council Entry'!AO$5)),1))),"No data"))</f>
        <v/>
      </c>
      <c r="AP22" s="13">
        <f>IF('Council Entry'!AP22="","",IFERROR(MAX(0,MIN(10,ROUND(IF('Council Entry'!AP$7="Decrease Risk",10-10*((IF('Council Entry'!AP$4="Logarithm",LN(0.001+IF(AND(ISNUMBER('Council Entry'!AP$8),ISNUMBER('Council Entry'!AP$9)),MAX(MIN('Council Entry'!AP22,'Council Entry'!AP$9),'Council Entry'!AP$8),'Council Entry'!AP22)),IF('Council Entry'!AP$4="Exponential",EXP(IF(AND(ISNUMBER('Council Entry'!AP$8),ISNUMBER('Council Entry'!AP$9)),MAX(MIN('Council Entry'!AP22,'Council Entry'!AP$9),'Council Entry'!AP$8),'Council Entry'!AP22)),IF(AND(ISNUMBER('Council Entry'!AP$8),ISNUMBER('Council Entry'!AP$9)),MAX(MIN('Council Entry'!AP22,'Council Entry'!AP$9),'Council Entry'!AP$8),'Council Entry'!AP22))))-'Council Entry'!AP$5)/('Council Entry'!AP$6-'Council Entry'!AP$5),10*((IF('Council Entry'!AP$4="Logarithm",LN(0.001+IF(AND(ISNUMBER('Council Entry'!AP$8),ISNUMBER('Council Entry'!AP$9)),MAX(MIN('Council Entry'!AP22,'Council Entry'!AP$9),'Council Entry'!AP$8),'Council Entry'!AP22)),IF('Council Entry'!AP$4="Exponential",EXP(IF(AND(ISNUMBER('Council Entry'!AP$8),ISNUMBER('Council Entry'!AP$9)),MAX(MIN('Council Entry'!AP22,'Council Entry'!AP$9),'Council Entry'!AP$8),'Council Entry'!AP22)),IF(AND(ISNUMBER('Council Entry'!AP$8),ISNUMBER('Council Entry'!AP$9)),MAX(MIN('Council Entry'!AP22,'Council Entry'!AP$9),'Council Entry'!AP$8),'Council Entry'!AP22))))-'Council Entry'!AP$5)/('Council Entry'!AP$6-'Council Entry'!AP$5)),1))),"No data"))</f>
        <v/>
      </c>
      <c r="AQ22" s="13">
        <f>IF('Council Entry'!AQ22="","",IFERROR(MAX(0,MIN(10,ROUND(IF('Council Entry'!AQ$7="Decrease Risk",10-10*((IF('Council Entry'!AQ$4="Logarithm",LN(0.001+IF(AND(ISNUMBER('Council Entry'!AQ$8),ISNUMBER('Council Entry'!AQ$9)),MAX(MIN('Council Entry'!AQ22,'Council Entry'!AQ$9),'Council Entry'!AQ$8),'Council Entry'!AQ22)),IF('Council Entry'!AQ$4="Exponential",EXP(IF(AND(ISNUMBER('Council Entry'!AQ$8),ISNUMBER('Council Entry'!AQ$9)),MAX(MIN('Council Entry'!AQ22,'Council Entry'!AQ$9),'Council Entry'!AQ$8),'Council Entry'!AQ22)),IF(AND(ISNUMBER('Council Entry'!AQ$8),ISNUMBER('Council Entry'!AQ$9)),MAX(MIN('Council Entry'!AQ22,'Council Entry'!AQ$9),'Council Entry'!AQ$8),'Council Entry'!AQ22))))-'Council Entry'!AQ$5)/('Council Entry'!AQ$6-'Council Entry'!AQ$5),10*((IF('Council Entry'!AQ$4="Logarithm",LN(0.001+IF(AND(ISNUMBER('Council Entry'!AQ$8),ISNUMBER('Council Entry'!AQ$9)),MAX(MIN('Council Entry'!AQ22,'Council Entry'!AQ$9),'Council Entry'!AQ$8),'Council Entry'!AQ22)),IF('Council Entry'!AQ$4="Exponential",EXP(IF(AND(ISNUMBER('Council Entry'!AQ$8),ISNUMBER('Council Entry'!AQ$9)),MAX(MIN('Council Entry'!AQ22,'Council Entry'!AQ$9),'Council Entry'!AQ$8),'Council Entry'!AQ22)),IF(AND(ISNUMBER('Council Entry'!AQ$8),ISNUMBER('Council Entry'!AQ$9)),MAX(MIN('Council Entry'!AQ22,'Council Entry'!AQ$9),'Council Entry'!AQ$8),'Council Entry'!AQ22))))-'Council Entry'!AQ$5)/('Council Entry'!AQ$6-'Council Entry'!AQ$5)),1))),"No data"))</f>
        <v/>
      </c>
      <c r="AR22" s="13">
        <f>IF('Council Entry'!AR22="","",IFERROR(MAX(0,MIN(10,ROUND(IF('Council Entry'!AR$7="Decrease Risk",10-10*((IF('Council Entry'!AR$4="Logarithm",LN(0.001+IF(AND(ISNUMBER('Council Entry'!AR$8),ISNUMBER('Council Entry'!AR$9)),MAX(MIN('Council Entry'!AR22,'Council Entry'!AR$9),'Council Entry'!AR$8),'Council Entry'!AR22)),IF('Council Entry'!AR$4="Exponential",EXP(IF(AND(ISNUMBER('Council Entry'!AR$8),ISNUMBER('Council Entry'!AR$9)),MAX(MIN('Council Entry'!AR22,'Council Entry'!AR$9),'Council Entry'!AR$8),'Council Entry'!AR22)),IF(AND(ISNUMBER('Council Entry'!AR$8),ISNUMBER('Council Entry'!AR$9)),MAX(MIN('Council Entry'!AR22,'Council Entry'!AR$9),'Council Entry'!AR$8),'Council Entry'!AR22))))-'Council Entry'!AR$5)/('Council Entry'!AR$6-'Council Entry'!AR$5),10*((IF('Council Entry'!AR$4="Logarithm",LN(0.001+IF(AND(ISNUMBER('Council Entry'!AR$8),ISNUMBER('Council Entry'!AR$9)),MAX(MIN('Council Entry'!AR22,'Council Entry'!AR$9),'Council Entry'!AR$8),'Council Entry'!AR22)),IF('Council Entry'!AR$4="Exponential",EXP(IF(AND(ISNUMBER('Council Entry'!AR$8),ISNUMBER('Council Entry'!AR$9)),MAX(MIN('Council Entry'!AR22,'Council Entry'!AR$9),'Council Entry'!AR$8),'Council Entry'!AR22)),IF(AND(ISNUMBER('Council Entry'!AR$8),ISNUMBER('Council Entry'!AR$9)),MAX(MIN('Council Entry'!AR22,'Council Entry'!AR$9),'Council Entry'!AR$8),'Council Entry'!AR22))))-'Council Entry'!AR$5)/('Council Entry'!AR$6-'Council Entry'!AR$5)),1))),"No data"))</f>
        <v/>
      </c>
      <c r="AS22" s="13">
        <f>IF('Council Entry'!AS22="","",IFERROR(MAX(0,MIN(10,ROUND(IF('Council Entry'!AS$7="Decrease Risk",10-10*((IF('Council Entry'!AS$4="Logarithm",LN(0.001+IF(AND(ISNUMBER('Council Entry'!AS$8),ISNUMBER('Council Entry'!AS$9)),MAX(MIN('Council Entry'!AS22,'Council Entry'!AS$9),'Council Entry'!AS$8),'Council Entry'!AS22)),IF('Council Entry'!AS$4="Exponential",EXP(IF(AND(ISNUMBER('Council Entry'!AS$8),ISNUMBER('Council Entry'!AS$9)),MAX(MIN('Council Entry'!AS22,'Council Entry'!AS$9),'Council Entry'!AS$8),'Council Entry'!AS22)),IF(AND(ISNUMBER('Council Entry'!AS$8),ISNUMBER('Council Entry'!AS$9)),MAX(MIN('Council Entry'!AS22,'Council Entry'!AS$9),'Council Entry'!AS$8),'Council Entry'!AS22))))-'Council Entry'!AS$5)/('Council Entry'!AS$6-'Council Entry'!AS$5),10*((IF('Council Entry'!AS$4="Logarithm",LN(0.001+IF(AND(ISNUMBER('Council Entry'!AS$8),ISNUMBER('Council Entry'!AS$9)),MAX(MIN('Council Entry'!AS22,'Council Entry'!AS$9),'Council Entry'!AS$8),'Council Entry'!AS22)),IF('Council Entry'!AS$4="Exponential",EXP(IF(AND(ISNUMBER('Council Entry'!AS$8),ISNUMBER('Council Entry'!AS$9)),MAX(MIN('Council Entry'!AS22,'Council Entry'!AS$9),'Council Entry'!AS$8),'Council Entry'!AS22)),IF(AND(ISNUMBER('Council Entry'!AS$8),ISNUMBER('Council Entry'!AS$9)),MAX(MIN('Council Entry'!AS22,'Council Entry'!AS$9),'Council Entry'!AS$8),'Council Entry'!AS22))))-'Council Entry'!AS$5)/('Council Entry'!AS$6-'Council Entry'!AS$5)),1))),"No data"))</f>
        <v/>
      </c>
      <c r="AT22" s="13">
        <f>IF('Council Entry'!AT22="","",IFERROR(MAX(0,MIN(10,ROUND(IF('Council Entry'!AT$7="Decrease Risk",10-10*((IF('Council Entry'!AT$4="Logarithm",LN(0.001+IF(AND(ISNUMBER('Council Entry'!AT$8),ISNUMBER('Council Entry'!AT$9)),MAX(MIN('Council Entry'!AT22,'Council Entry'!AT$9),'Council Entry'!AT$8),'Council Entry'!AT22)),IF('Council Entry'!AT$4="Exponential",EXP(IF(AND(ISNUMBER('Council Entry'!AT$8),ISNUMBER('Council Entry'!AT$9)),MAX(MIN('Council Entry'!AT22,'Council Entry'!AT$9),'Council Entry'!AT$8),'Council Entry'!AT22)),IF(AND(ISNUMBER('Council Entry'!AT$8),ISNUMBER('Council Entry'!AT$9)),MAX(MIN('Council Entry'!AT22,'Council Entry'!AT$9),'Council Entry'!AT$8),'Council Entry'!AT22))))-'Council Entry'!AT$5)/('Council Entry'!AT$6-'Council Entry'!AT$5),10*((IF('Council Entry'!AT$4="Logarithm",LN(0.001+IF(AND(ISNUMBER('Council Entry'!AT$8),ISNUMBER('Council Entry'!AT$9)),MAX(MIN('Council Entry'!AT22,'Council Entry'!AT$9),'Council Entry'!AT$8),'Council Entry'!AT22)),IF('Council Entry'!AT$4="Exponential",EXP(IF(AND(ISNUMBER('Council Entry'!AT$8),ISNUMBER('Council Entry'!AT$9)),MAX(MIN('Council Entry'!AT22,'Council Entry'!AT$9),'Council Entry'!AT$8),'Council Entry'!AT22)),IF(AND(ISNUMBER('Council Entry'!AT$8),ISNUMBER('Council Entry'!AT$9)),MAX(MIN('Council Entry'!AT22,'Council Entry'!AT$9),'Council Entry'!AT$8),'Council Entry'!AT22))))-'Council Entry'!AT$5)/('Council Entry'!AT$6-'Council Entry'!AT$5)),1))),"No data"))</f>
        <v/>
      </c>
      <c r="AU22" s="13">
        <f>IF('Council Entry'!AU22="","",IFERROR(MAX(0,MIN(10,ROUND(IF('Council Entry'!AU$7="Decrease Risk",10-10*((IF('Council Entry'!AU$4="Logarithm",LN(0.001+IF(AND(ISNUMBER('Council Entry'!AU$8),ISNUMBER('Council Entry'!AU$9)),MAX(MIN('Council Entry'!AU22,'Council Entry'!AU$9),'Council Entry'!AU$8),'Council Entry'!AU22)),IF('Council Entry'!AU$4="Exponential",EXP(IF(AND(ISNUMBER('Council Entry'!AU$8),ISNUMBER('Council Entry'!AU$9)),MAX(MIN('Council Entry'!AU22,'Council Entry'!AU$9),'Council Entry'!AU$8),'Council Entry'!AU22)),IF(AND(ISNUMBER('Council Entry'!AU$8),ISNUMBER('Council Entry'!AU$9)),MAX(MIN('Council Entry'!AU22,'Council Entry'!AU$9),'Council Entry'!AU$8),'Council Entry'!AU22))))-'Council Entry'!AU$5)/('Council Entry'!AU$6-'Council Entry'!AU$5),10*((IF('Council Entry'!AU$4="Logarithm",LN(0.001+IF(AND(ISNUMBER('Council Entry'!AU$8),ISNUMBER('Council Entry'!AU$9)),MAX(MIN('Council Entry'!AU22,'Council Entry'!AU$9),'Council Entry'!AU$8),'Council Entry'!AU22)),IF('Council Entry'!AU$4="Exponential",EXP(IF(AND(ISNUMBER('Council Entry'!AU$8),ISNUMBER('Council Entry'!AU$9)),MAX(MIN('Council Entry'!AU22,'Council Entry'!AU$9),'Council Entry'!AU$8),'Council Entry'!AU22)),IF(AND(ISNUMBER('Council Entry'!AU$8),ISNUMBER('Council Entry'!AU$9)),MAX(MIN('Council Entry'!AU22,'Council Entry'!AU$9),'Council Entry'!AU$8),'Council Entry'!AU22))))-'Council Entry'!AU$5)/('Council Entry'!AU$6-'Council Entry'!AU$5)),1))),"No data"))</f>
        <v/>
      </c>
      <c r="AV22" s="13">
        <f>IF('Council Entry'!AV22="","",IFERROR(MAX(0,MIN(10,ROUND(IF('Council Entry'!AV$7="Decrease Risk",10-10*((IF('Council Entry'!AV$4="Logarithm",LN(0.001+IF(AND(ISNUMBER('Council Entry'!AV$8),ISNUMBER('Council Entry'!AV$9)),MAX(MIN('Council Entry'!AV22,'Council Entry'!AV$9),'Council Entry'!AV$8),'Council Entry'!AV22)),IF('Council Entry'!AV$4="Exponential",EXP(IF(AND(ISNUMBER('Council Entry'!AV$8),ISNUMBER('Council Entry'!AV$9)),MAX(MIN('Council Entry'!AV22,'Council Entry'!AV$9),'Council Entry'!AV$8),'Council Entry'!AV22)),IF(AND(ISNUMBER('Council Entry'!AV$8),ISNUMBER('Council Entry'!AV$9)),MAX(MIN('Council Entry'!AV22,'Council Entry'!AV$9),'Council Entry'!AV$8),'Council Entry'!AV22))))-'Council Entry'!AV$5)/('Council Entry'!AV$6-'Council Entry'!AV$5),10*((IF('Council Entry'!AV$4="Logarithm",LN(0.001+IF(AND(ISNUMBER('Council Entry'!AV$8),ISNUMBER('Council Entry'!AV$9)),MAX(MIN('Council Entry'!AV22,'Council Entry'!AV$9),'Council Entry'!AV$8),'Council Entry'!AV22)),IF('Council Entry'!AV$4="Exponential",EXP(IF(AND(ISNUMBER('Council Entry'!AV$8),ISNUMBER('Council Entry'!AV$9)),MAX(MIN('Council Entry'!AV22,'Council Entry'!AV$9),'Council Entry'!AV$8),'Council Entry'!AV22)),IF(AND(ISNUMBER('Council Entry'!AV$8),ISNUMBER('Council Entry'!AV$9)),MAX(MIN('Council Entry'!AV22,'Council Entry'!AV$9),'Council Entry'!AV$8),'Council Entry'!AV22))))-'Council Entry'!AV$5)/('Council Entry'!AV$6-'Council Entry'!AV$5)),1))),"No data"))</f>
        <v/>
      </c>
      <c r="AW22" s="13">
        <f>IF('Council Entry'!AW22="","",IFERROR(MAX(0,MIN(10,ROUND(IF('Council Entry'!AW$7="Decrease Risk",10-10*((IF('Council Entry'!AW$4="Logarithm",LN(0.001+IF(AND(ISNUMBER('Council Entry'!AW$8),ISNUMBER('Council Entry'!AW$9)),MAX(MIN('Council Entry'!AW22,'Council Entry'!AW$9),'Council Entry'!AW$8),'Council Entry'!AW22)),IF('Council Entry'!AW$4="Exponential",EXP(IF(AND(ISNUMBER('Council Entry'!AW$8),ISNUMBER('Council Entry'!AW$9)),MAX(MIN('Council Entry'!AW22,'Council Entry'!AW$9),'Council Entry'!AW$8),'Council Entry'!AW22)),IF(AND(ISNUMBER('Council Entry'!AW$8),ISNUMBER('Council Entry'!AW$9)),MAX(MIN('Council Entry'!AW22,'Council Entry'!AW$9),'Council Entry'!AW$8),'Council Entry'!AW22))))-'Council Entry'!AW$5)/('Council Entry'!AW$6-'Council Entry'!AW$5),10*((IF('Council Entry'!AW$4="Logarithm",LN(0.001+IF(AND(ISNUMBER('Council Entry'!AW$8),ISNUMBER('Council Entry'!AW$9)),MAX(MIN('Council Entry'!AW22,'Council Entry'!AW$9),'Council Entry'!AW$8),'Council Entry'!AW22)),IF('Council Entry'!AW$4="Exponential",EXP(IF(AND(ISNUMBER('Council Entry'!AW$8),ISNUMBER('Council Entry'!AW$9)),MAX(MIN('Council Entry'!AW22,'Council Entry'!AW$9),'Council Entry'!AW$8),'Council Entry'!AW22)),IF(AND(ISNUMBER('Council Entry'!AW$8),ISNUMBER('Council Entry'!AW$9)),MAX(MIN('Council Entry'!AW22,'Council Entry'!AW$9),'Council Entry'!AW$8),'Council Entry'!AW22))))-'Council Entry'!AW$5)/('Council Entry'!AW$6-'Council Entry'!AW$5)),1))),"No data"))</f>
        <v/>
      </c>
      <c r="AX22" s="13">
        <f>IF('Council Entry'!AX22="","",IFERROR(MAX(0,MIN(10,ROUND(IF('Council Entry'!AX$7="Decrease Risk",10-10*((IF('Council Entry'!AX$4="Logarithm",LN(0.001+IF(AND(ISNUMBER('Council Entry'!AX$8),ISNUMBER('Council Entry'!AX$9)),MAX(MIN('Council Entry'!AX22,'Council Entry'!AX$9),'Council Entry'!AX$8),'Council Entry'!AX22)),IF('Council Entry'!AX$4="Exponential",EXP(IF(AND(ISNUMBER('Council Entry'!AX$8),ISNUMBER('Council Entry'!AX$9)),MAX(MIN('Council Entry'!AX22,'Council Entry'!AX$9),'Council Entry'!AX$8),'Council Entry'!AX22)),IF(AND(ISNUMBER('Council Entry'!AX$8),ISNUMBER('Council Entry'!AX$9)),MAX(MIN('Council Entry'!AX22,'Council Entry'!AX$9),'Council Entry'!AX$8),'Council Entry'!AX22))))-'Council Entry'!AX$5)/('Council Entry'!AX$6-'Council Entry'!AX$5),10*((IF('Council Entry'!AX$4="Logarithm",LN(0.001+IF(AND(ISNUMBER('Council Entry'!AX$8),ISNUMBER('Council Entry'!AX$9)),MAX(MIN('Council Entry'!AX22,'Council Entry'!AX$9),'Council Entry'!AX$8),'Council Entry'!AX22)),IF('Council Entry'!AX$4="Exponential",EXP(IF(AND(ISNUMBER('Council Entry'!AX$8),ISNUMBER('Council Entry'!AX$9)),MAX(MIN('Council Entry'!AX22,'Council Entry'!AX$9),'Council Entry'!AX$8),'Council Entry'!AX22)),IF(AND(ISNUMBER('Council Entry'!AX$8),ISNUMBER('Council Entry'!AX$9)),MAX(MIN('Council Entry'!AX22,'Council Entry'!AX$9),'Council Entry'!AX$8),'Council Entry'!AX22))))-'Council Entry'!AX$5)/('Council Entry'!AX$6-'Council Entry'!AX$5)),1))),"No data"))</f>
        <v/>
      </c>
      <c r="AY22" s="13">
        <f>IF('Council Entry'!AY22="","",IFERROR(MAX(0,MIN(10,ROUND(IF('Council Entry'!AY$7="Decrease Risk",10-10*((IF('Council Entry'!AY$4="Logarithm",LN(0.001+IF(AND(ISNUMBER('Council Entry'!AY$8),ISNUMBER('Council Entry'!AY$9)),MAX(MIN('Council Entry'!AY22,'Council Entry'!AY$9),'Council Entry'!AY$8),'Council Entry'!AY22)),IF('Council Entry'!AY$4="Exponential",EXP(IF(AND(ISNUMBER('Council Entry'!AY$8),ISNUMBER('Council Entry'!AY$9)),MAX(MIN('Council Entry'!AY22,'Council Entry'!AY$9),'Council Entry'!AY$8),'Council Entry'!AY22)),IF(AND(ISNUMBER('Council Entry'!AY$8),ISNUMBER('Council Entry'!AY$9)),MAX(MIN('Council Entry'!AY22,'Council Entry'!AY$9),'Council Entry'!AY$8),'Council Entry'!AY22))))-'Council Entry'!AY$5)/('Council Entry'!AY$6-'Council Entry'!AY$5),10*((IF('Council Entry'!AY$4="Logarithm",LN(0.001+IF(AND(ISNUMBER('Council Entry'!AY$8),ISNUMBER('Council Entry'!AY$9)),MAX(MIN('Council Entry'!AY22,'Council Entry'!AY$9),'Council Entry'!AY$8),'Council Entry'!AY22)),IF('Council Entry'!AY$4="Exponential",EXP(IF(AND(ISNUMBER('Council Entry'!AY$8),ISNUMBER('Council Entry'!AY$9)),MAX(MIN('Council Entry'!AY22,'Council Entry'!AY$9),'Council Entry'!AY$8),'Council Entry'!AY22)),IF(AND(ISNUMBER('Council Entry'!AY$8),ISNUMBER('Council Entry'!AY$9)),MAX(MIN('Council Entry'!AY22,'Council Entry'!AY$9),'Council Entry'!AY$8),'Council Entry'!AY22))))-'Council Entry'!AY$5)/('Council Entry'!AY$6-'Council Entry'!AY$5)),1))),"No data"))</f>
        <v/>
      </c>
      <c r="AZ22" s="13">
        <f>IF('Council Entry'!AZ22="","",IFERROR(MAX(0,MIN(10,ROUND(IF('Council Entry'!AZ$7="Decrease Risk",10-10*((IF('Council Entry'!AZ$4="Logarithm",LN(0.001+IF(AND(ISNUMBER('Council Entry'!AZ$8),ISNUMBER('Council Entry'!AZ$9)),MAX(MIN('Council Entry'!AZ22,'Council Entry'!AZ$9),'Council Entry'!AZ$8),'Council Entry'!AZ22)),IF('Council Entry'!AZ$4="Exponential",EXP(IF(AND(ISNUMBER('Council Entry'!AZ$8),ISNUMBER('Council Entry'!AZ$9)),MAX(MIN('Council Entry'!AZ22,'Council Entry'!AZ$9),'Council Entry'!AZ$8),'Council Entry'!AZ22)),IF(AND(ISNUMBER('Council Entry'!AZ$8),ISNUMBER('Council Entry'!AZ$9)),MAX(MIN('Council Entry'!AZ22,'Council Entry'!AZ$9),'Council Entry'!AZ$8),'Council Entry'!AZ22))))-'Council Entry'!AZ$5)/('Council Entry'!AZ$6-'Council Entry'!AZ$5),10*((IF('Council Entry'!AZ$4="Logarithm",LN(0.001+IF(AND(ISNUMBER('Council Entry'!AZ$8),ISNUMBER('Council Entry'!AZ$9)),MAX(MIN('Council Entry'!AZ22,'Council Entry'!AZ$9),'Council Entry'!AZ$8),'Council Entry'!AZ22)),IF('Council Entry'!AZ$4="Exponential",EXP(IF(AND(ISNUMBER('Council Entry'!AZ$8),ISNUMBER('Council Entry'!AZ$9)),MAX(MIN('Council Entry'!AZ22,'Council Entry'!AZ$9),'Council Entry'!AZ$8),'Council Entry'!AZ22)),IF(AND(ISNUMBER('Council Entry'!AZ$8),ISNUMBER('Council Entry'!AZ$9)),MAX(MIN('Council Entry'!AZ22,'Council Entry'!AZ$9),'Council Entry'!AZ$8),'Council Entry'!AZ22))))-'Council Entry'!AZ$5)/('Council Entry'!AZ$6-'Council Entry'!AZ$5)),1))),"No data"))</f>
        <v/>
      </c>
      <c r="BA22" s="13">
        <f>IF('Council Entry'!BA22="","",IFERROR(MAX(0,MIN(10,ROUND(IF('Council Entry'!BA$7="Decrease Risk",10-10*((IF('Council Entry'!BA$4="Logarithm",LN(0.001+IF(AND(ISNUMBER('Council Entry'!BA$8),ISNUMBER('Council Entry'!BA$9)),MAX(MIN('Council Entry'!BA22,'Council Entry'!BA$9),'Council Entry'!BA$8),'Council Entry'!BA22)),IF('Council Entry'!BA$4="Exponential",EXP(IF(AND(ISNUMBER('Council Entry'!BA$8),ISNUMBER('Council Entry'!BA$9)),MAX(MIN('Council Entry'!BA22,'Council Entry'!BA$9),'Council Entry'!BA$8),'Council Entry'!BA22)),IF(AND(ISNUMBER('Council Entry'!BA$8),ISNUMBER('Council Entry'!BA$9)),MAX(MIN('Council Entry'!BA22,'Council Entry'!BA$9),'Council Entry'!BA$8),'Council Entry'!BA22))))-'Council Entry'!BA$5)/('Council Entry'!BA$6-'Council Entry'!BA$5),10*((IF('Council Entry'!BA$4="Logarithm",LN(0.001+IF(AND(ISNUMBER('Council Entry'!BA$8),ISNUMBER('Council Entry'!BA$9)),MAX(MIN('Council Entry'!BA22,'Council Entry'!BA$9),'Council Entry'!BA$8),'Council Entry'!BA22)),IF('Council Entry'!BA$4="Exponential",EXP(IF(AND(ISNUMBER('Council Entry'!BA$8),ISNUMBER('Council Entry'!BA$9)),MAX(MIN('Council Entry'!BA22,'Council Entry'!BA$9),'Council Entry'!BA$8),'Council Entry'!BA22)),IF(AND(ISNUMBER('Council Entry'!BA$8),ISNUMBER('Council Entry'!BA$9)),MAX(MIN('Council Entry'!BA22,'Council Entry'!BA$9),'Council Entry'!BA$8),'Council Entry'!BA22))))-'Council Entry'!BA$5)/('Council Entry'!BA$6-'Council Entry'!BA$5)),1))),"No data"))</f>
        <v/>
      </c>
      <c r="BB22" s="13">
        <f>IF('Council Entry'!BB22="","",IFERROR(MAX(0,MIN(10,ROUND(IF('Council Entry'!BB$7="Decrease Risk",10-10*((IF('Council Entry'!BB$4="Logarithm",LN(0.001+IF(AND(ISNUMBER('Council Entry'!BB$8),ISNUMBER('Council Entry'!BB$9)),MAX(MIN('Council Entry'!BB22,'Council Entry'!BB$9),'Council Entry'!BB$8),'Council Entry'!BB22)),IF('Council Entry'!BB$4="Exponential",EXP(IF(AND(ISNUMBER('Council Entry'!BB$8),ISNUMBER('Council Entry'!BB$9)),MAX(MIN('Council Entry'!BB22,'Council Entry'!BB$9),'Council Entry'!BB$8),'Council Entry'!BB22)),IF(AND(ISNUMBER('Council Entry'!BB$8),ISNUMBER('Council Entry'!BB$9)),MAX(MIN('Council Entry'!BB22,'Council Entry'!BB$9),'Council Entry'!BB$8),'Council Entry'!BB22))))-'Council Entry'!BB$5)/('Council Entry'!BB$6-'Council Entry'!BB$5),10*((IF('Council Entry'!BB$4="Logarithm",LN(0.001+IF(AND(ISNUMBER('Council Entry'!BB$8),ISNUMBER('Council Entry'!BB$9)),MAX(MIN('Council Entry'!BB22,'Council Entry'!BB$9),'Council Entry'!BB$8),'Council Entry'!BB22)),IF('Council Entry'!BB$4="Exponential",EXP(IF(AND(ISNUMBER('Council Entry'!BB$8),ISNUMBER('Council Entry'!BB$9)),MAX(MIN('Council Entry'!BB22,'Council Entry'!BB$9),'Council Entry'!BB$8),'Council Entry'!BB22)),IF(AND(ISNUMBER('Council Entry'!BB$8),ISNUMBER('Council Entry'!BB$9)),MAX(MIN('Council Entry'!BB22,'Council Entry'!BB$9),'Council Entry'!BB$8),'Council Entry'!BB22))))-'Council Entry'!BB$5)/('Council Entry'!BB$6-'Council Entry'!BB$5)),1))),"No data"))</f>
        <v/>
      </c>
      <c r="BC22" s="13">
        <f>IF('Council Entry'!BC22="","",IFERROR(MAX(0,MIN(10,ROUND(IF('Council Entry'!BC$7="Decrease Risk",10-10*((IF('Council Entry'!BC$4="Logarithm",LN(0.001+IF(AND(ISNUMBER('Council Entry'!BC$8),ISNUMBER('Council Entry'!BC$9)),MAX(MIN('Council Entry'!BC22,'Council Entry'!BC$9),'Council Entry'!BC$8),'Council Entry'!BC22)),IF('Council Entry'!BC$4="Exponential",EXP(IF(AND(ISNUMBER('Council Entry'!BC$8),ISNUMBER('Council Entry'!BC$9)),MAX(MIN('Council Entry'!BC22,'Council Entry'!BC$9),'Council Entry'!BC$8),'Council Entry'!BC22)),IF(AND(ISNUMBER('Council Entry'!BC$8),ISNUMBER('Council Entry'!BC$9)),MAX(MIN('Council Entry'!BC22,'Council Entry'!BC$9),'Council Entry'!BC$8),'Council Entry'!BC22))))-'Council Entry'!BC$5)/('Council Entry'!BC$6-'Council Entry'!BC$5),10*((IF('Council Entry'!BC$4="Logarithm",LN(0.001+IF(AND(ISNUMBER('Council Entry'!BC$8),ISNUMBER('Council Entry'!BC$9)),MAX(MIN('Council Entry'!BC22,'Council Entry'!BC$9),'Council Entry'!BC$8),'Council Entry'!BC22)),IF('Council Entry'!BC$4="Exponential",EXP(IF(AND(ISNUMBER('Council Entry'!BC$8),ISNUMBER('Council Entry'!BC$9)),MAX(MIN('Council Entry'!BC22,'Council Entry'!BC$9),'Council Entry'!BC$8),'Council Entry'!BC22)),IF(AND(ISNUMBER('Council Entry'!BC$8),ISNUMBER('Council Entry'!BC$9)),MAX(MIN('Council Entry'!BC22,'Council Entry'!BC$9),'Council Entry'!BC$8),'Council Entry'!BC22))))-'Council Entry'!BC$5)/('Council Entry'!BC$6-'Council Entry'!BC$5)),1))),"No data"))</f>
        <v/>
      </c>
      <c r="BD22" s="13">
        <f>IF('Council Entry'!BD22="","",IFERROR(MAX(0,MIN(10,ROUND(IF('Council Entry'!BD$7="Decrease Risk",10-10*((IF('Council Entry'!BD$4="Logarithm",LN(0.001+IF(AND(ISNUMBER('Council Entry'!BD$8),ISNUMBER('Council Entry'!BD$9)),MAX(MIN('Council Entry'!BD22,'Council Entry'!BD$9),'Council Entry'!BD$8),'Council Entry'!BD22)),IF('Council Entry'!BD$4="Exponential",EXP(IF(AND(ISNUMBER('Council Entry'!BD$8),ISNUMBER('Council Entry'!BD$9)),MAX(MIN('Council Entry'!BD22,'Council Entry'!BD$9),'Council Entry'!BD$8),'Council Entry'!BD22)),IF(AND(ISNUMBER('Council Entry'!BD$8),ISNUMBER('Council Entry'!BD$9)),MAX(MIN('Council Entry'!BD22,'Council Entry'!BD$9),'Council Entry'!BD$8),'Council Entry'!BD22))))-'Council Entry'!BD$5)/('Council Entry'!BD$6-'Council Entry'!BD$5),10*((IF('Council Entry'!BD$4="Logarithm",LN(0.001+IF(AND(ISNUMBER('Council Entry'!BD$8),ISNUMBER('Council Entry'!BD$9)),MAX(MIN('Council Entry'!BD22,'Council Entry'!BD$9),'Council Entry'!BD$8),'Council Entry'!BD22)),IF('Council Entry'!BD$4="Exponential",EXP(IF(AND(ISNUMBER('Council Entry'!BD$8),ISNUMBER('Council Entry'!BD$9)),MAX(MIN('Council Entry'!BD22,'Council Entry'!BD$9),'Council Entry'!BD$8),'Council Entry'!BD22)),IF(AND(ISNUMBER('Council Entry'!BD$8),ISNUMBER('Council Entry'!BD$9)),MAX(MIN('Council Entry'!BD22,'Council Entry'!BD$9),'Council Entry'!BD$8),'Council Entry'!BD22))))-'Council Entry'!BD$5)/('Council Entry'!BD$6-'Council Entry'!BD$5)),1))),"No data"))</f>
        <v/>
      </c>
    </row>
    <row r="23">
      <c r="A23" t="inlineStr">
        <is>
          <t>Dodoma</t>
        </is>
      </c>
      <c r="B23" t="inlineStr">
        <is>
          <t>Bahi District</t>
        </is>
      </c>
      <c r="C23" t="inlineStr">
        <is>
          <t>C007</t>
        </is>
      </c>
      <c r="D23" s="13">
        <f>IF('Council Entry'!D23="","",IFERROR(MAX(0,MIN(10,ROUND(IF('Council Entry'!D$7="Decrease Risk",10-10*((IF('Council Entry'!D$4="Logarithm",LN(0.001+IF(AND(ISNUMBER('Council Entry'!D$8),ISNUMBER('Council Entry'!D$9)),MAX(MIN('Council Entry'!D23,'Council Entry'!D$9),'Council Entry'!D$8),'Council Entry'!D23)),IF('Council Entry'!D$4="Exponential",EXP(IF(AND(ISNUMBER('Council Entry'!D$8),ISNUMBER('Council Entry'!D$9)),MAX(MIN('Council Entry'!D23,'Council Entry'!D$9),'Council Entry'!D$8),'Council Entry'!D23)),IF(AND(ISNUMBER('Council Entry'!D$8),ISNUMBER('Council Entry'!D$9)),MAX(MIN('Council Entry'!D23,'Council Entry'!D$9),'Council Entry'!D$8),'Council Entry'!D23))))-'Council Entry'!D$5)/('Council Entry'!D$6-'Council Entry'!D$5),10*((IF('Council Entry'!D$4="Logarithm",LN(0.001+IF(AND(ISNUMBER('Council Entry'!D$8),ISNUMBER('Council Entry'!D$9)),MAX(MIN('Council Entry'!D23,'Council Entry'!D$9),'Council Entry'!D$8),'Council Entry'!D23)),IF('Council Entry'!D$4="Exponential",EXP(IF(AND(ISNUMBER('Council Entry'!D$8),ISNUMBER('Council Entry'!D$9)),MAX(MIN('Council Entry'!D23,'Council Entry'!D$9),'Council Entry'!D$8),'Council Entry'!D23)),IF(AND(ISNUMBER('Council Entry'!D$8),ISNUMBER('Council Entry'!D$9)),MAX(MIN('Council Entry'!D23,'Council Entry'!D$9),'Council Entry'!D$8),'Council Entry'!D23))))-'Council Entry'!D$5)/('Council Entry'!D$6-'Council Entry'!D$5)),1))),"No data"))</f>
        <v/>
      </c>
      <c r="E23" s="13">
        <f>IF('Council Entry'!E23="","",IFERROR(MAX(0,MIN(10,ROUND(IF('Council Entry'!E$7="Decrease Risk",10-10*((IF('Council Entry'!E$4="Logarithm",LN(0.001+IF(AND(ISNUMBER('Council Entry'!E$8),ISNUMBER('Council Entry'!E$9)),MAX(MIN('Council Entry'!E23,'Council Entry'!E$9),'Council Entry'!E$8),'Council Entry'!E23)),IF('Council Entry'!E$4="Exponential",EXP(IF(AND(ISNUMBER('Council Entry'!E$8),ISNUMBER('Council Entry'!E$9)),MAX(MIN('Council Entry'!E23,'Council Entry'!E$9),'Council Entry'!E$8),'Council Entry'!E23)),IF(AND(ISNUMBER('Council Entry'!E$8),ISNUMBER('Council Entry'!E$9)),MAX(MIN('Council Entry'!E23,'Council Entry'!E$9),'Council Entry'!E$8),'Council Entry'!E23))))-'Council Entry'!E$5)/('Council Entry'!E$6-'Council Entry'!E$5),10*((IF('Council Entry'!E$4="Logarithm",LN(0.001+IF(AND(ISNUMBER('Council Entry'!E$8),ISNUMBER('Council Entry'!E$9)),MAX(MIN('Council Entry'!E23,'Council Entry'!E$9),'Council Entry'!E$8),'Council Entry'!E23)),IF('Council Entry'!E$4="Exponential",EXP(IF(AND(ISNUMBER('Council Entry'!E$8),ISNUMBER('Council Entry'!E$9)),MAX(MIN('Council Entry'!E23,'Council Entry'!E$9),'Council Entry'!E$8),'Council Entry'!E23)),IF(AND(ISNUMBER('Council Entry'!E$8),ISNUMBER('Council Entry'!E$9)),MAX(MIN('Council Entry'!E23,'Council Entry'!E$9),'Council Entry'!E$8),'Council Entry'!E23))))-'Council Entry'!E$5)/('Council Entry'!E$6-'Council Entry'!E$5)),1))),"No data"))</f>
        <v/>
      </c>
      <c r="F23" s="13">
        <f>IF('Council Entry'!F23="","",IFERROR(MAX(0,MIN(10,ROUND(IF('Council Entry'!F$7="Decrease Risk",10-10*((IF('Council Entry'!F$4="Logarithm",LN(0.001+IF(AND(ISNUMBER('Council Entry'!F$8),ISNUMBER('Council Entry'!F$9)),MAX(MIN('Council Entry'!F23,'Council Entry'!F$9),'Council Entry'!F$8),'Council Entry'!F23)),IF('Council Entry'!F$4="Exponential",EXP(IF(AND(ISNUMBER('Council Entry'!F$8),ISNUMBER('Council Entry'!F$9)),MAX(MIN('Council Entry'!F23,'Council Entry'!F$9),'Council Entry'!F$8),'Council Entry'!F23)),IF(AND(ISNUMBER('Council Entry'!F$8),ISNUMBER('Council Entry'!F$9)),MAX(MIN('Council Entry'!F23,'Council Entry'!F$9),'Council Entry'!F$8),'Council Entry'!F23))))-'Council Entry'!F$5)/('Council Entry'!F$6-'Council Entry'!F$5),10*((IF('Council Entry'!F$4="Logarithm",LN(0.001+IF(AND(ISNUMBER('Council Entry'!F$8),ISNUMBER('Council Entry'!F$9)),MAX(MIN('Council Entry'!F23,'Council Entry'!F$9),'Council Entry'!F$8),'Council Entry'!F23)),IF('Council Entry'!F$4="Exponential",EXP(IF(AND(ISNUMBER('Council Entry'!F$8),ISNUMBER('Council Entry'!F$9)),MAX(MIN('Council Entry'!F23,'Council Entry'!F$9),'Council Entry'!F$8),'Council Entry'!F23)),IF(AND(ISNUMBER('Council Entry'!F$8),ISNUMBER('Council Entry'!F$9)),MAX(MIN('Council Entry'!F23,'Council Entry'!F$9),'Council Entry'!F$8),'Council Entry'!F23))))-'Council Entry'!F$5)/('Council Entry'!F$6-'Council Entry'!F$5)),1))),"No data"))</f>
        <v/>
      </c>
      <c r="G23" s="13">
        <f>IF('Council Entry'!G23="","",IFERROR(MAX(0,MIN(10,ROUND(IF('Council Entry'!G$7="Decrease Risk",10-10*((IF('Council Entry'!G$4="Logarithm",LN(0.001+IF(AND(ISNUMBER('Council Entry'!G$8),ISNUMBER('Council Entry'!G$9)),MAX(MIN('Council Entry'!G23,'Council Entry'!G$9),'Council Entry'!G$8),'Council Entry'!G23)),IF('Council Entry'!G$4="Exponential",EXP(IF(AND(ISNUMBER('Council Entry'!G$8),ISNUMBER('Council Entry'!G$9)),MAX(MIN('Council Entry'!G23,'Council Entry'!G$9),'Council Entry'!G$8),'Council Entry'!G23)),IF(AND(ISNUMBER('Council Entry'!G$8),ISNUMBER('Council Entry'!G$9)),MAX(MIN('Council Entry'!G23,'Council Entry'!G$9),'Council Entry'!G$8),'Council Entry'!G23))))-'Council Entry'!G$5)/('Council Entry'!G$6-'Council Entry'!G$5),10*((IF('Council Entry'!G$4="Logarithm",LN(0.001+IF(AND(ISNUMBER('Council Entry'!G$8),ISNUMBER('Council Entry'!G$9)),MAX(MIN('Council Entry'!G23,'Council Entry'!G$9),'Council Entry'!G$8),'Council Entry'!G23)),IF('Council Entry'!G$4="Exponential",EXP(IF(AND(ISNUMBER('Council Entry'!G$8),ISNUMBER('Council Entry'!G$9)),MAX(MIN('Council Entry'!G23,'Council Entry'!G$9),'Council Entry'!G$8),'Council Entry'!G23)),IF(AND(ISNUMBER('Council Entry'!G$8),ISNUMBER('Council Entry'!G$9)),MAX(MIN('Council Entry'!G23,'Council Entry'!G$9),'Council Entry'!G$8),'Council Entry'!G23))))-'Council Entry'!G$5)/('Council Entry'!G$6-'Council Entry'!G$5)),1))),"No data"))</f>
        <v/>
      </c>
      <c r="H23" s="13">
        <f>IF('Council Entry'!H23="","",IFERROR(MAX(0,MIN(10,ROUND(IF('Council Entry'!H$7="Decrease Risk",10-10*((IF('Council Entry'!H$4="Logarithm",LN(0.001+IF(AND(ISNUMBER('Council Entry'!H$8),ISNUMBER('Council Entry'!H$9)),MAX(MIN('Council Entry'!H23,'Council Entry'!H$9),'Council Entry'!H$8),'Council Entry'!H23)),IF('Council Entry'!H$4="Exponential",EXP(IF(AND(ISNUMBER('Council Entry'!H$8),ISNUMBER('Council Entry'!H$9)),MAX(MIN('Council Entry'!H23,'Council Entry'!H$9),'Council Entry'!H$8),'Council Entry'!H23)),IF(AND(ISNUMBER('Council Entry'!H$8),ISNUMBER('Council Entry'!H$9)),MAX(MIN('Council Entry'!H23,'Council Entry'!H$9),'Council Entry'!H$8),'Council Entry'!H23))))-'Council Entry'!H$5)/('Council Entry'!H$6-'Council Entry'!H$5),10*((IF('Council Entry'!H$4="Logarithm",LN(0.001+IF(AND(ISNUMBER('Council Entry'!H$8),ISNUMBER('Council Entry'!H$9)),MAX(MIN('Council Entry'!H23,'Council Entry'!H$9),'Council Entry'!H$8),'Council Entry'!H23)),IF('Council Entry'!H$4="Exponential",EXP(IF(AND(ISNUMBER('Council Entry'!H$8),ISNUMBER('Council Entry'!H$9)),MAX(MIN('Council Entry'!H23,'Council Entry'!H$9),'Council Entry'!H$8),'Council Entry'!H23)),IF(AND(ISNUMBER('Council Entry'!H$8),ISNUMBER('Council Entry'!H$9)),MAX(MIN('Council Entry'!H23,'Council Entry'!H$9),'Council Entry'!H$8),'Council Entry'!H23))))-'Council Entry'!H$5)/('Council Entry'!H$6-'Council Entry'!H$5)),1))),"No data"))</f>
        <v/>
      </c>
      <c r="I23" s="13">
        <f>IF('Council Entry'!I23="","",IFERROR(MAX(0,MIN(10,ROUND(IF('Council Entry'!I$7="Decrease Risk",10-10*((IF('Council Entry'!I$4="Logarithm",LN(0.001+IF(AND(ISNUMBER('Council Entry'!I$8),ISNUMBER('Council Entry'!I$9)),MAX(MIN('Council Entry'!I23,'Council Entry'!I$9),'Council Entry'!I$8),'Council Entry'!I23)),IF('Council Entry'!I$4="Exponential",EXP(IF(AND(ISNUMBER('Council Entry'!I$8),ISNUMBER('Council Entry'!I$9)),MAX(MIN('Council Entry'!I23,'Council Entry'!I$9),'Council Entry'!I$8),'Council Entry'!I23)),IF(AND(ISNUMBER('Council Entry'!I$8),ISNUMBER('Council Entry'!I$9)),MAX(MIN('Council Entry'!I23,'Council Entry'!I$9),'Council Entry'!I$8),'Council Entry'!I23))))-'Council Entry'!I$5)/('Council Entry'!I$6-'Council Entry'!I$5),10*((IF('Council Entry'!I$4="Logarithm",LN(0.001+IF(AND(ISNUMBER('Council Entry'!I$8),ISNUMBER('Council Entry'!I$9)),MAX(MIN('Council Entry'!I23,'Council Entry'!I$9),'Council Entry'!I$8),'Council Entry'!I23)),IF('Council Entry'!I$4="Exponential",EXP(IF(AND(ISNUMBER('Council Entry'!I$8),ISNUMBER('Council Entry'!I$9)),MAX(MIN('Council Entry'!I23,'Council Entry'!I$9),'Council Entry'!I$8),'Council Entry'!I23)),IF(AND(ISNUMBER('Council Entry'!I$8),ISNUMBER('Council Entry'!I$9)),MAX(MIN('Council Entry'!I23,'Council Entry'!I$9),'Council Entry'!I$8),'Council Entry'!I23))))-'Council Entry'!I$5)/('Council Entry'!I$6-'Council Entry'!I$5)),1))),"No data"))</f>
        <v/>
      </c>
      <c r="J23" s="13">
        <f>IF('Council Entry'!J23="","",IFERROR(MAX(0,MIN(10,ROUND(IF('Council Entry'!J$7="Decrease Risk",10-10*((IF('Council Entry'!J$4="Logarithm",LN(0.001+IF(AND(ISNUMBER('Council Entry'!J$8),ISNUMBER('Council Entry'!J$9)),MAX(MIN('Council Entry'!J23,'Council Entry'!J$9),'Council Entry'!J$8),'Council Entry'!J23)),IF('Council Entry'!J$4="Exponential",EXP(IF(AND(ISNUMBER('Council Entry'!J$8),ISNUMBER('Council Entry'!J$9)),MAX(MIN('Council Entry'!J23,'Council Entry'!J$9),'Council Entry'!J$8),'Council Entry'!J23)),IF(AND(ISNUMBER('Council Entry'!J$8),ISNUMBER('Council Entry'!J$9)),MAX(MIN('Council Entry'!J23,'Council Entry'!J$9),'Council Entry'!J$8),'Council Entry'!J23))))-'Council Entry'!J$5)/('Council Entry'!J$6-'Council Entry'!J$5),10*((IF('Council Entry'!J$4="Logarithm",LN(0.001+IF(AND(ISNUMBER('Council Entry'!J$8),ISNUMBER('Council Entry'!J$9)),MAX(MIN('Council Entry'!J23,'Council Entry'!J$9),'Council Entry'!J$8),'Council Entry'!J23)),IF('Council Entry'!J$4="Exponential",EXP(IF(AND(ISNUMBER('Council Entry'!J$8),ISNUMBER('Council Entry'!J$9)),MAX(MIN('Council Entry'!J23,'Council Entry'!J$9),'Council Entry'!J$8),'Council Entry'!J23)),IF(AND(ISNUMBER('Council Entry'!J$8),ISNUMBER('Council Entry'!J$9)),MAX(MIN('Council Entry'!J23,'Council Entry'!J$9),'Council Entry'!J$8),'Council Entry'!J23))))-'Council Entry'!J$5)/('Council Entry'!J$6-'Council Entry'!J$5)),1))),"No data"))</f>
        <v/>
      </c>
      <c r="K23" s="13">
        <f>IF('Council Entry'!K23="","",IFERROR(MAX(0,MIN(10,ROUND(IF('Council Entry'!K$7="Decrease Risk",10-10*((IF('Council Entry'!K$4="Logarithm",LN(0.001+IF(AND(ISNUMBER('Council Entry'!K$8),ISNUMBER('Council Entry'!K$9)),MAX(MIN('Council Entry'!K23,'Council Entry'!K$9),'Council Entry'!K$8),'Council Entry'!K23)),IF('Council Entry'!K$4="Exponential",EXP(IF(AND(ISNUMBER('Council Entry'!K$8),ISNUMBER('Council Entry'!K$9)),MAX(MIN('Council Entry'!K23,'Council Entry'!K$9),'Council Entry'!K$8),'Council Entry'!K23)),IF(AND(ISNUMBER('Council Entry'!K$8),ISNUMBER('Council Entry'!K$9)),MAX(MIN('Council Entry'!K23,'Council Entry'!K$9),'Council Entry'!K$8),'Council Entry'!K23))))-'Council Entry'!K$5)/('Council Entry'!K$6-'Council Entry'!K$5),10*((IF('Council Entry'!K$4="Logarithm",LN(0.001+IF(AND(ISNUMBER('Council Entry'!K$8),ISNUMBER('Council Entry'!K$9)),MAX(MIN('Council Entry'!K23,'Council Entry'!K$9),'Council Entry'!K$8),'Council Entry'!K23)),IF('Council Entry'!K$4="Exponential",EXP(IF(AND(ISNUMBER('Council Entry'!K$8),ISNUMBER('Council Entry'!K$9)),MAX(MIN('Council Entry'!K23,'Council Entry'!K$9),'Council Entry'!K$8),'Council Entry'!K23)),IF(AND(ISNUMBER('Council Entry'!K$8),ISNUMBER('Council Entry'!K$9)),MAX(MIN('Council Entry'!K23,'Council Entry'!K$9),'Council Entry'!K$8),'Council Entry'!K23))))-'Council Entry'!K$5)/('Council Entry'!K$6-'Council Entry'!K$5)),1))),"No data"))</f>
        <v/>
      </c>
      <c r="L23" s="13">
        <f>IF('Council Entry'!L23="","",IFERROR(MAX(0,MIN(10,ROUND(IF('Council Entry'!L$7="Decrease Risk",10-10*((IF('Council Entry'!L$4="Logarithm",LN(0.001+IF(AND(ISNUMBER('Council Entry'!L$8),ISNUMBER('Council Entry'!L$9)),MAX(MIN('Council Entry'!L23,'Council Entry'!L$9),'Council Entry'!L$8),'Council Entry'!L23)),IF('Council Entry'!L$4="Exponential",EXP(IF(AND(ISNUMBER('Council Entry'!L$8),ISNUMBER('Council Entry'!L$9)),MAX(MIN('Council Entry'!L23,'Council Entry'!L$9),'Council Entry'!L$8),'Council Entry'!L23)),IF(AND(ISNUMBER('Council Entry'!L$8),ISNUMBER('Council Entry'!L$9)),MAX(MIN('Council Entry'!L23,'Council Entry'!L$9),'Council Entry'!L$8),'Council Entry'!L23))))-'Council Entry'!L$5)/('Council Entry'!L$6-'Council Entry'!L$5),10*((IF('Council Entry'!L$4="Logarithm",LN(0.001+IF(AND(ISNUMBER('Council Entry'!L$8),ISNUMBER('Council Entry'!L$9)),MAX(MIN('Council Entry'!L23,'Council Entry'!L$9),'Council Entry'!L$8),'Council Entry'!L23)),IF('Council Entry'!L$4="Exponential",EXP(IF(AND(ISNUMBER('Council Entry'!L$8),ISNUMBER('Council Entry'!L$9)),MAX(MIN('Council Entry'!L23,'Council Entry'!L$9),'Council Entry'!L$8),'Council Entry'!L23)),IF(AND(ISNUMBER('Council Entry'!L$8),ISNUMBER('Council Entry'!L$9)),MAX(MIN('Council Entry'!L23,'Council Entry'!L$9),'Council Entry'!L$8),'Council Entry'!L23))))-'Council Entry'!L$5)/('Council Entry'!L$6-'Council Entry'!L$5)),1))),"No data"))</f>
        <v/>
      </c>
      <c r="M23" s="13">
        <f>IF('Council Entry'!M23="","",IFERROR(MAX(0,MIN(10,ROUND(IF('Council Entry'!M$7="Decrease Risk",10-10*((IF('Council Entry'!M$4="Logarithm",LN(0.001+IF(AND(ISNUMBER('Council Entry'!M$8),ISNUMBER('Council Entry'!M$9)),MAX(MIN('Council Entry'!M23,'Council Entry'!M$9),'Council Entry'!M$8),'Council Entry'!M23)),IF('Council Entry'!M$4="Exponential",EXP(IF(AND(ISNUMBER('Council Entry'!M$8),ISNUMBER('Council Entry'!M$9)),MAX(MIN('Council Entry'!M23,'Council Entry'!M$9),'Council Entry'!M$8),'Council Entry'!M23)),IF(AND(ISNUMBER('Council Entry'!M$8),ISNUMBER('Council Entry'!M$9)),MAX(MIN('Council Entry'!M23,'Council Entry'!M$9),'Council Entry'!M$8),'Council Entry'!M23))))-'Council Entry'!M$5)/('Council Entry'!M$6-'Council Entry'!M$5),10*((IF('Council Entry'!M$4="Logarithm",LN(0.001+IF(AND(ISNUMBER('Council Entry'!M$8),ISNUMBER('Council Entry'!M$9)),MAX(MIN('Council Entry'!M23,'Council Entry'!M$9),'Council Entry'!M$8),'Council Entry'!M23)),IF('Council Entry'!M$4="Exponential",EXP(IF(AND(ISNUMBER('Council Entry'!M$8),ISNUMBER('Council Entry'!M$9)),MAX(MIN('Council Entry'!M23,'Council Entry'!M$9),'Council Entry'!M$8),'Council Entry'!M23)),IF(AND(ISNUMBER('Council Entry'!M$8),ISNUMBER('Council Entry'!M$9)),MAX(MIN('Council Entry'!M23,'Council Entry'!M$9),'Council Entry'!M$8),'Council Entry'!M23))))-'Council Entry'!M$5)/('Council Entry'!M$6-'Council Entry'!M$5)),1))),"No data"))</f>
        <v/>
      </c>
      <c r="N23" s="13">
        <f>IF('Council Entry'!N23="","",IFERROR(MAX(0,MIN(10,ROUND(IF('Council Entry'!N$7="Decrease Risk",10-10*((IF('Council Entry'!N$4="Logarithm",LN(0.001+IF(AND(ISNUMBER('Council Entry'!N$8),ISNUMBER('Council Entry'!N$9)),MAX(MIN('Council Entry'!N23,'Council Entry'!N$9),'Council Entry'!N$8),'Council Entry'!N23)),IF('Council Entry'!N$4="Exponential",EXP(IF(AND(ISNUMBER('Council Entry'!N$8),ISNUMBER('Council Entry'!N$9)),MAX(MIN('Council Entry'!N23,'Council Entry'!N$9),'Council Entry'!N$8),'Council Entry'!N23)),IF(AND(ISNUMBER('Council Entry'!N$8),ISNUMBER('Council Entry'!N$9)),MAX(MIN('Council Entry'!N23,'Council Entry'!N$9),'Council Entry'!N$8),'Council Entry'!N23))))-'Council Entry'!N$5)/('Council Entry'!N$6-'Council Entry'!N$5),10*((IF('Council Entry'!N$4="Logarithm",LN(0.001+IF(AND(ISNUMBER('Council Entry'!N$8),ISNUMBER('Council Entry'!N$9)),MAX(MIN('Council Entry'!N23,'Council Entry'!N$9),'Council Entry'!N$8),'Council Entry'!N23)),IF('Council Entry'!N$4="Exponential",EXP(IF(AND(ISNUMBER('Council Entry'!N$8),ISNUMBER('Council Entry'!N$9)),MAX(MIN('Council Entry'!N23,'Council Entry'!N$9),'Council Entry'!N$8),'Council Entry'!N23)),IF(AND(ISNUMBER('Council Entry'!N$8),ISNUMBER('Council Entry'!N$9)),MAX(MIN('Council Entry'!N23,'Council Entry'!N$9),'Council Entry'!N$8),'Council Entry'!N23))))-'Council Entry'!N$5)/('Council Entry'!N$6-'Council Entry'!N$5)),1))),"No data"))</f>
        <v/>
      </c>
      <c r="O23" s="13">
        <f>IF('Council Entry'!O23="","",IFERROR(MAX(0,MIN(10,ROUND(IF('Council Entry'!O$7="Decrease Risk",10-10*((IF('Council Entry'!O$4="Logarithm",LN(0.001+IF(AND(ISNUMBER('Council Entry'!O$8),ISNUMBER('Council Entry'!O$9)),MAX(MIN('Council Entry'!O23,'Council Entry'!O$9),'Council Entry'!O$8),'Council Entry'!O23)),IF('Council Entry'!O$4="Exponential",EXP(IF(AND(ISNUMBER('Council Entry'!O$8),ISNUMBER('Council Entry'!O$9)),MAX(MIN('Council Entry'!O23,'Council Entry'!O$9),'Council Entry'!O$8),'Council Entry'!O23)),IF(AND(ISNUMBER('Council Entry'!O$8),ISNUMBER('Council Entry'!O$9)),MAX(MIN('Council Entry'!O23,'Council Entry'!O$9),'Council Entry'!O$8),'Council Entry'!O23))))-'Council Entry'!O$5)/('Council Entry'!O$6-'Council Entry'!O$5),10*((IF('Council Entry'!O$4="Logarithm",LN(0.001+IF(AND(ISNUMBER('Council Entry'!O$8),ISNUMBER('Council Entry'!O$9)),MAX(MIN('Council Entry'!O23,'Council Entry'!O$9),'Council Entry'!O$8),'Council Entry'!O23)),IF('Council Entry'!O$4="Exponential",EXP(IF(AND(ISNUMBER('Council Entry'!O$8),ISNUMBER('Council Entry'!O$9)),MAX(MIN('Council Entry'!O23,'Council Entry'!O$9),'Council Entry'!O$8),'Council Entry'!O23)),IF(AND(ISNUMBER('Council Entry'!O$8),ISNUMBER('Council Entry'!O$9)),MAX(MIN('Council Entry'!O23,'Council Entry'!O$9),'Council Entry'!O$8),'Council Entry'!O23))))-'Council Entry'!O$5)/('Council Entry'!O$6-'Council Entry'!O$5)),1))),"No data"))</f>
        <v/>
      </c>
      <c r="P23" s="13">
        <f>IF('Council Entry'!P23="","",IFERROR(MAX(0,MIN(10,ROUND(IF('Council Entry'!P$7="Decrease Risk",10-10*((IF('Council Entry'!P$4="Logarithm",LN(0.001+IF(AND(ISNUMBER('Council Entry'!P$8),ISNUMBER('Council Entry'!P$9)),MAX(MIN('Council Entry'!P23,'Council Entry'!P$9),'Council Entry'!P$8),'Council Entry'!P23)),IF('Council Entry'!P$4="Exponential",EXP(IF(AND(ISNUMBER('Council Entry'!P$8),ISNUMBER('Council Entry'!P$9)),MAX(MIN('Council Entry'!P23,'Council Entry'!P$9),'Council Entry'!P$8),'Council Entry'!P23)),IF(AND(ISNUMBER('Council Entry'!P$8),ISNUMBER('Council Entry'!P$9)),MAX(MIN('Council Entry'!P23,'Council Entry'!P$9),'Council Entry'!P$8),'Council Entry'!P23))))-'Council Entry'!P$5)/('Council Entry'!P$6-'Council Entry'!P$5),10*((IF('Council Entry'!P$4="Logarithm",LN(0.001+IF(AND(ISNUMBER('Council Entry'!P$8),ISNUMBER('Council Entry'!P$9)),MAX(MIN('Council Entry'!P23,'Council Entry'!P$9),'Council Entry'!P$8),'Council Entry'!P23)),IF('Council Entry'!P$4="Exponential",EXP(IF(AND(ISNUMBER('Council Entry'!P$8),ISNUMBER('Council Entry'!P$9)),MAX(MIN('Council Entry'!P23,'Council Entry'!P$9),'Council Entry'!P$8),'Council Entry'!P23)),IF(AND(ISNUMBER('Council Entry'!P$8),ISNUMBER('Council Entry'!P$9)),MAX(MIN('Council Entry'!P23,'Council Entry'!P$9),'Council Entry'!P$8),'Council Entry'!P23))))-'Council Entry'!P$5)/('Council Entry'!P$6-'Council Entry'!P$5)),1))),"No data"))</f>
        <v/>
      </c>
      <c r="Q23" s="13">
        <f>IF('Council Entry'!Q23="","",IFERROR(MAX(0,MIN(10,ROUND(IF('Council Entry'!Q$7="Decrease Risk",10-10*((IF('Council Entry'!Q$4="Logarithm",LN(0.001+IF(AND(ISNUMBER('Council Entry'!Q$8),ISNUMBER('Council Entry'!Q$9)),MAX(MIN('Council Entry'!Q23,'Council Entry'!Q$9),'Council Entry'!Q$8),'Council Entry'!Q23)),IF('Council Entry'!Q$4="Exponential",EXP(IF(AND(ISNUMBER('Council Entry'!Q$8),ISNUMBER('Council Entry'!Q$9)),MAX(MIN('Council Entry'!Q23,'Council Entry'!Q$9),'Council Entry'!Q$8),'Council Entry'!Q23)),IF(AND(ISNUMBER('Council Entry'!Q$8),ISNUMBER('Council Entry'!Q$9)),MAX(MIN('Council Entry'!Q23,'Council Entry'!Q$9),'Council Entry'!Q$8),'Council Entry'!Q23))))-'Council Entry'!Q$5)/('Council Entry'!Q$6-'Council Entry'!Q$5),10*((IF('Council Entry'!Q$4="Logarithm",LN(0.001+IF(AND(ISNUMBER('Council Entry'!Q$8),ISNUMBER('Council Entry'!Q$9)),MAX(MIN('Council Entry'!Q23,'Council Entry'!Q$9),'Council Entry'!Q$8),'Council Entry'!Q23)),IF('Council Entry'!Q$4="Exponential",EXP(IF(AND(ISNUMBER('Council Entry'!Q$8),ISNUMBER('Council Entry'!Q$9)),MAX(MIN('Council Entry'!Q23,'Council Entry'!Q$9),'Council Entry'!Q$8),'Council Entry'!Q23)),IF(AND(ISNUMBER('Council Entry'!Q$8),ISNUMBER('Council Entry'!Q$9)),MAX(MIN('Council Entry'!Q23,'Council Entry'!Q$9),'Council Entry'!Q$8),'Council Entry'!Q23))))-'Council Entry'!Q$5)/('Council Entry'!Q$6-'Council Entry'!Q$5)),1))),"No data"))</f>
        <v/>
      </c>
      <c r="R23" s="13">
        <f>IF('Council Entry'!R23="","",IFERROR(MAX(0,MIN(10,ROUND(IF('Council Entry'!R$7="Decrease Risk",10-10*((IF('Council Entry'!R$4="Logarithm",LN(0.001+IF(AND(ISNUMBER('Council Entry'!R$8),ISNUMBER('Council Entry'!R$9)),MAX(MIN('Council Entry'!R23,'Council Entry'!R$9),'Council Entry'!R$8),'Council Entry'!R23)),IF('Council Entry'!R$4="Exponential",EXP(IF(AND(ISNUMBER('Council Entry'!R$8),ISNUMBER('Council Entry'!R$9)),MAX(MIN('Council Entry'!R23,'Council Entry'!R$9),'Council Entry'!R$8),'Council Entry'!R23)),IF(AND(ISNUMBER('Council Entry'!R$8),ISNUMBER('Council Entry'!R$9)),MAX(MIN('Council Entry'!R23,'Council Entry'!R$9),'Council Entry'!R$8),'Council Entry'!R23))))-'Council Entry'!R$5)/('Council Entry'!R$6-'Council Entry'!R$5),10*((IF('Council Entry'!R$4="Logarithm",LN(0.001+IF(AND(ISNUMBER('Council Entry'!R$8),ISNUMBER('Council Entry'!R$9)),MAX(MIN('Council Entry'!R23,'Council Entry'!R$9),'Council Entry'!R$8),'Council Entry'!R23)),IF('Council Entry'!R$4="Exponential",EXP(IF(AND(ISNUMBER('Council Entry'!R$8),ISNUMBER('Council Entry'!R$9)),MAX(MIN('Council Entry'!R23,'Council Entry'!R$9),'Council Entry'!R$8),'Council Entry'!R23)),IF(AND(ISNUMBER('Council Entry'!R$8),ISNUMBER('Council Entry'!R$9)),MAX(MIN('Council Entry'!R23,'Council Entry'!R$9),'Council Entry'!R$8),'Council Entry'!R23))))-'Council Entry'!R$5)/('Council Entry'!R$6-'Council Entry'!R$5)),1))),"No data"))</f>
        <v/>
      </c>
      <c r="S23" s="13">
        <f>IF('Council Entry'!S23="","",IFERROR(MAX(0,MIN(10,ROUND(IF('Council Entry'!S$7="Decrease Risk",10-10*((IF('Council Entry'!S$4="Logarithm",LN(0.001+IF(AND(ISNUMBER('Council Entry'!S$8),ISNUMBER('Council Entry'!S$9)),MAX(MIN('Council Entry'!S23,'Council Entry'!S$9),'Council Entry'!S$8),'Council Entry'!S23)),IF('Council Entry'!S$4="Exponential",EXP(IF(AND(ISNUMBER('Council Entry'!S$8),ISNUMBER('Council Entry'!S$9)),MAX(MIN('Council Entry'!S23,'Council Entry'!S$9),'Council Entry'!S$8),'Council Entry'!S23)),IF(AND(ISNUMBER('Council Entry'!S$8),ISNUMBER('Council Entry'!S$9)),MAX(MIN('Council Entry'!S23,'Council Entry'!S$9),'Council Entry'!S$8),'Council Entry'!S23))))-'Council Entry'!S$5)/('Council Entry'!S$6-'Council Entry'!S$5),10*((IF('Council Entry'!S$4="Logarithm",LN(0.001+IF(AND(ISNUMBER('Council Entry'!S$8),ISNUMBER('Council Entry'!S$9)),MAX(MIN('Council Entry'!S23,'Council Entry'!S$9),'Council Entry'!S$8),'Council Entry'!S23)),IF('Council Entry'!S$4="Exponential",EXP(IF(AND(ISNUMBER('Council Entry'!S$8),ISNUMBER('Council Entry'!S$9)),MAX(MIN('Council Entry'!S23,'Council Entry'!S$9),'Council Entry'!S$8),'Council Entry'!S23)),IF(AND(ISNUMBER('Council Entry'!S$8),ISNUMBER('Council Entry'!S$9)),MAX(MIN('Council Entry'!S23,'Council Entry'!S$9),'Council Entry'!S$8),'Council Entry'!S23))))-'Council Entry'!S$5)/('Council Entry'!S$6-'Council Entry'!S$5)),1))),"No data"))</f>
        <v/>
      </c>
      <c r="T23" s="13">
        <f>IF('Council Entry'!T23="","",IFERROR(MAX(0,MIN(10,ROUND(IF('Council Entry'!T$7="Decrease Risk",10-10*((IF('Council Entry'!T$4="Logarithm",LN(0.001+IF(AND(ISNUMBER('Council Entry'!T$8),ISNUMBER('Council Entry'!T$9)),MAX(MIN('Council Entry'!T23,'Council Entry'!T$9),'Council Entry'!T$8),'Council Entry'!T23)),IF('Council Entry'!T$4="Exponential",EXP(IF(AND(ISNUMBER('Council Entry'!T$8),ISNUMBER('Council Entry'!T$9)),MAX(MIN('Council Entry'!T23,'Council Entry'!T$9),'Council Entry'!T$8),'Council Entry'!T23)),IF(AND(ISNUMBER('Council Entry'!T$8),ISNUMBER('Council Entry'!T$9)),MAX(MIN('Council Entry'!T23,'Council Entry'!T$9),'Council Entry'!T$8),'Council Entry'!T23))))-'Council Entry'!T$5)/('Council Entry'!T$6-'Council Entry'!T$5),10*((IF('Council Entry'!T$4="Logarithm",LN(0.001+IF(AND(ISNUMBER('Council Entry'!T$8),ISNUMBER('Council Entry'!T$9)),MAX(MIN('Council Entry'!T23,'Council Entry'!T$9),'Council Entry'!T$8),'Council Entry'!T23)),IF('Council Entry'!T$4="Exponential",EXP(IF(AND(ISNUMBER('Council Entry'!T$8),ISNUMBER('Council Entry'!T$9)),MAX(MIN('Council Entry'!T23,'Council Entry'!T$9),'Council Entry'!T$8),'Council Entry'!T23)),IF(AND(ISNUMBER('Council Entry'!T$8),ISNUMBER('Council Entry'!T$9)),MAX(MIN('Council Entry'!T23,'Council Entry'!T$9),'Council Entry'!T$8),'Council Entry'!T23))))-'Council Entry'!T$5)/('Council Entry'!T$6-'Council Entry'!T$5)),1))),"No data"))</f>
        <v/>
      </c>
      <c r="U23" s="13">
        <f>IF('Council Entry'!U23="","",IFERROR(MAX(0,MIN(10,ROUND(IF('Council Entry'!U$7="Decrease Risk",10-10*((IF('Council Entry'!U$4="Logarithm",LN(0.001+IF(AND(ISNUMBER('Council Entry'!U$8),ISNUMBER('Council Entry'!U$9)),MAX(MIN('Council Entry'!U23,'Council Entry'!U$9),'Council Entry'!U$8),'Council Entry'!U23)),IF('Council Entry'!U$4="Exponential",EXP(IF(AND(ISNUMBER('Council Entry'!U$8),ISNUMBER('Council Entry'!U$9)),MAX(MIN('Council Entry'!U23,'Council Entry'!U$9),'Council Entry'!U$8),'Council Entry'!U23)),IF(AND(ISNUMBER('Council Entry'!U$8),ISNUMBER('Council Entry'!U$9)),MAX(MIN('Council Entry'!U23,'Council Entry'!U$9),'Council Entry'!U$8),'Council Entry'!U23))))-'Council Entry'!U$5)/('Council Entry'!U$6-'Council Entry'!U$5),10*((IF('Council Entry'!U$4="Logarithm",LN(0.001+IF(AND(ISNUMBER('Council Entry'!U$8),ISNUMBER('Council Entry'!U$9)),MAX(MIN('Council Entry'!U23,'Council Entry'!U$9),'Council Entry'!U$8),'Council Entry'!U23)),IF('Council Entry'!U$4="Exponential",EXP(IF(AND(ISNUMBER('Council Entry'!U$8),ISNUMBER('Council Entry'!U$9)),MAX(MIN('Council Entry'!U23,'Council Entry'!U$9),'Council Entry'!U$8),'Council Entry'!U23)),IF(AND(ISNUMBER('Council Entry'!U$8),ISNUMBER('Council Entry'!U$9)),MAX(MIN('Council Entry'!U23,'Council Entry'!U$9),'Council Entry'!U$8),'Council Entry'!U23))))-'Council Entry'!U$5)/('Council Entry'!U$6-'Council Entry'!U$5)),1))),"No data"))</f>
        <v/>
      </c>
      <c r="V23" s="13">
        <f>IF('Council Entry'!V23="","",IFERROR(MAX(0,MIN(10,ROUND(IF('Council Entry'!V$7="Decrease Risk",10-10*((IF('Council Entry'!V$4="Logarithm",LN(0.001+IF(AND(ISNUMBER('Council Entry'!V$8),ISNUMBER('Council Entry'!V$9)),MAX(MIN('Council Entry'!V23,'Council Entry'!V$9),'Council Entry'!V$8),'Council Entry'!V23)),IF('Council Entry'!V$4="Exponential",EXP(IF(AND(ISNUMBER('Council Entry'!V$8),ISNUMBER('Council Entry'!V$9)),MAX(MIN('Council Entry'!V23,'Council Entry'!V$9),'Council Entry'!V$8),'Council Entry'!V23)),IF(AND(ISNUMBER('Council Entry'!V$8),ISNUMBER('Council Entry'!V$9)),MAX(MIN('Council Entry'!V23,'Council Entry'!V$9),'Council Entry'!V$8),'Council Entry'!V23))))-'Council Entry'!V$5)/('Council Entry'!V$6-'Council Entry'!V$5),10*((IF('Council Entry'!V$4="Logarithm",LN(0.001+IF(AND(ISNUMBER('Council Entry'!V$8),ISNUMBER('Council Entry'!V$9)),MAX(MIN('Council Entry'!V23,'Council Entry'!V$9),'Council Entry'!V$8),'Council Entry'!V23)),IF('Council Entry'!V$4="Exponential",EXP(IF(AND(ISNUMBER('Council Entry'!V$8),ISNUMBER('Council Entry'!V$9)),MAX(MIN('Council Entry'!V23,'Council Entry'!V$9),'Council Entry'!V$8),'Council Entry'!V23)),IF(AND(ISNUMBER('Council Entry'!V$8),ISNUMBER('Council Entry'!V$9)),MAX(MIN('Council Entry'!V23,'Council Entry'!V$9),'Council Entry'!V$8),'Council Entry'!V23))))-'Council Entry'!V$5)/('Council Entry'!V$6-'Council Entry'!V$5)),1))),"No data"))</f>
        <v/>
      </c>
      <c r="W23" s="13">
        <f>IF('Council Entry'!W23="","",IFERROR(MAX(0,MIN(10,ROUND(IF('Council Entry'!W$7="Decrease Risk",10-10*((IF('Council Entry'!W$4="Logarithm",LN(0.001+IF(AND(ISNUMBER('Council Entry'!W$8),ISNUMBER('Council Entry'!W$9)),MAX(MIN('Council Entry'!W23,'Council Entry'!W$9),'Council Entry'!W$8),'Council Entry'!W23)),IF('Council Entry'!W$4="Exponential",EXP(IF(AND(ISNUMBER('Council Entry'!W$8),ISNUMBER('Council Entry'!W$9)),MAX(MIN('Council Entry'!W23,'Council Entry'!W$9),'Council Entry'!W$8),'Council Entry'!W23)),IF(AND(ISNUMBER('Council Entry'!W$8),ISNUMBER('Council Entry'!W$9)),MAX(MIN('Council Entry'!W23,'Council Entry'!W$9),'Council Entry'!W$8),'Council Entry'!W23))))-'Council Entry'!W$5)/('Council Entry'!W$6-'Council Entry'!W$5),10*((IF('Council Entry'!W$4="Logarithm",LN(0.001+IF(AND(ISNUMBER('Council Entry'!W$8),ISNUMBER('Council Entry'!W$9)),MAX(MIN('Council Entry'!W23,'Council Entry'!W$9),'Council Entry'!W$8),'Council Entry'!W23)),IF('Council Entry'!W$4="Exponential",EXP(IF(AND(ISNUMBER('Council Entry'!W$8),ISNUMBER('Council Entry'!W$9)),MAX(MIN('Council Entry'!W23,'Council Entry'!W$9),'Council Entry'!W$8),'Council Entry'!W23)),IF(AND(ISNUMBER('Council Entry'!W$8),ISNUMBER('Council Entry'!W$9)),MAX(MIN('Council Entry'!W23,'Council Entry'!W$9),'Council Entry'!W$8),'Council Entry'!W23))))-'Council Entry'!W$5)/('Council Entry'!W$6-'Council Entry'!W$5)),1))),"No data"))</f>
        <v/>
      </c>
      <c r="X23" s="13">
        <f>IF('Council Entry'!X23="","",IFERROR(MAX(0,MIN(10,ROUND(IF('Council Entry'!X$7="Decrease Risk",10-10*((IF('Council Entry'!X$4="Logarithm",LN(0.001+IF(AND(ISNUMBER('Council Entry'!X$8),ISNUMBER('Council Entry'!X$9)),MAX(MIN('Council Entry'!X23,'Council Entry'!X$9),'Council Entry'!X$8),'Council Entry'!X23)),IF('Council Entry'!X$4="Exponential",EXP(IF(AND(ISNUMBER('Council Entry'!X$8),ISNUMBER('Council Entry'!X$9)),MAX(MIN('Council Entry'!X23,'Council Entry'!X$9),'Council Entry'!X$8),'Council Entry'!X23)),IF(AND(ISNUMBER('Council Entry'!X$8),ISNUMBER('Council Entry'!X$9)),MAX(MIN('Council Entry'!X23,'Council Entry'!X$9),'Council Entry'!X$8),'Council Entry'!X23))))-'Council Entry'!X$5)/('Council Entry'!X$6-'Council Entry'!X$5),10*((IF('Council Entry'!X$4="Logarithm",LN(0.001+IF(AND(ISNUMBER('Council Entry'!X$8),ISNUMBER('Council Entry'!X$9)),MAX(MIN('Council Entry'!X23,'Council Entry'!X$9),'Council Entry'!X$8),'Council Entry'!X23)),IF('Council Entry'!X$4="Exponential",EXP(IF(AND(ISNUMBER('Council Entry'!X$8),ISNUMBER('Council Entry'!X$9)),MAX(MIN('Council Entry'!X23,'Council Entry'!X$9),'Council Entry'!X$8),'Council Entry'!X23)),IF(AND(ISNUMBER('Council Entry'!X$8),ISNUMBER('Council Entry'!X$9)),MAX(MIN('Council Entry'!X23,'Council Entry'!X$9),'Council Entry'!X$8),'Council Entry'!X23))))-'Council Entry'!X$5)/('Council Entry'!X$6-'Council Entry'!X$5)),1))),"No data"))</f>
        <v/>
      </c>
      <c r="Y23" s="13">
        <f>IF('Council Entry'!Y23="","",IFERROR(MAX(0,MIN(10,ROUND(IF('Council Entry'!Y$7="Decrease Risk",10-10*((IF('Council Entry'!Y$4="Logarithm",LN(0.001+IF(AND(ISNUMBER('Council Entry'!Y$8),ISNUMBER('Council Entry'!Y$9)),MAX(MIN('Council Entry'!Y23,'Council Entry'!Y$9),'Council Entry'!Y$8),'Council Entry'!Y23)),IF('Council Entry'!Y$4="Exponential",EXP(IF(AND(ISNUMBER('Council Entry'!Y$8),ISNUMBER('Council Entry'!Y$9)),MAX(MIN('Council Entry'!Y23,'Council Entry'!Y$9),'Council Entry'!Y$8),'Council Entry'!Y23)),IF(AND(ISNUMBER('Council Entry'!Y$8),ISNUMBER('Council Entry'!Y$9)),MAX(MIN('Council Entry'!Y23,'Council Entry'!Y$9),'Council Entry'!Y$8),'Council Entry'!Y23))))-'Council Entry'!Y$5)/('Council Entry'!Y$6-'Council Entry'!Y$5),10*((IF('Council Entry'!Y$4="Logarithm",LN(0.001+IF(AND(ISNUMBER('Council Entry'!Y$8),ISNUMBER('Council Entry'!Y$9)),MAX(MIN('Council Entry'!Y23,'Council Entry'!Y$9),'Council Entry'!Y$8),'Council Entry'!Y23)),IF('Council Entry'!Y$4="Exponential",EXP(IF(AND(ISNUMBER('Council Entry'!Y$8),ISNUMBER('Council Entry'!Y$9)),MAX(MIN('Council Entry'!Y23,'Council Entry'!Y$9),'Council Entry'!Y$8),'Council Entry'!Y23)),IF(AND(ISNUMBER('Council Entry'!Y$8),ISNUMBER('Council Entry'!Y$9)),MAX(MIN('Council Entry'!Y23,'Council Entry'!Y$9),'Council Entry'!Y$8),'Council Entry'!Y23))))-'Council Entry'!Y$5)/('Council Entry'!Y$6-'Council Entry'!Y$5)),1))),"No data"))</f>
        <v/>
      </c>
      <c r="Z23" s="13">
        <f>IF('Council Entry'!Z23="","",IFERROR(MAX(0,MIN(10,ROUND(IF('Council Entry'!Z$7="Decrease Risk",10-10*((IF('Council Entry'!Z$4="Logarithm",LN(0.001+IF(AND(ISNUMBER('Council Entry'!Z$8),ISNUMBER('Council Entry'!Z$9)),MAX(MIN('Council Entry'!Z23,'Council Entry'!Z$9),'Council Entry'!Z$8),'Council Entry'!Z23)),IF('Council Entry'!Z$4="Exponential",EXP(IF(AND(ISNUMBER('Council Entry'!Z$8),ISNUMBER('Council Entry'!Z$9)),MAX(MIN('Council Entry'!Z23,'Council Entry'!Z$9),'Council Entry'!Z$8),'Council Entry'!Z23)),IF(AND(ISNUMBER('Council Entry'!Z$8),ISNUMBER('Council Entry'!Z$9)),MAX(MIN('Council Entry'!Z23,'Council Entry'!Z$9),'Council Entry'!Z$8),'Council Entry'!Z23))))-'Council Entry'!Z$5)/('Council Entry'!Z$6-'Council Entry'!Z$5),10*((IF('Council Entry'!Z$4="Logarithm",LN(0.001+IF(AND(ISNUMBER('Council Entry'!Z$8),ISNUMBER('Council Entry'!Z$9)),MAX(MIN('Council Entry'!Z23,'Council Entry'!Z$9),'Council Entry'!Z$8),'Council Entry'!Z23)),IF('Council Entry'!Z$4="Exponential",EXP(IF(AND(ISNUMBER('Council Entry'!Z$8),ISNUMBER('Council Entry'!Z$9)),MAX(MIN('Council Entry'!Z23,'Council Entry'!Z$9),'Council Entry'!Z$8),'Council Entry'!Z23)),IF(AND(ISNUMBER('Council Entry'!Z$8),ISNUMBER('Council Entry'!Z$9)),MAX(MIN('Council Entry'!Z23,'Council Entry'!Z$9),'Council Entry'!Z$8),'Council Entry'!Z23))))-'Council Entry'!Z$5)/('Council Entry'!Z$6-'Council Entry'!Z$5)),1))),"No data"))</f>
        <v/>
      </c>
      <c r="AA23" s="13">
        <f>IF('Council Entry'!AA23="","",IFERROR(MAX(0,MIN(10,ROUND(IF('Council Entry'!AA$7="Decrease Risk",10-10*((IF('Council Entry'!AA$4="Logarithm",LN(0.001+IF(AND(ISNUMBER('Council Entry'!AA$8),ISNUMBER('Council Entry'!AA$9)),MAX(MIN('Council Entry'!AA23,'Council Entry'!AA$9),'Council Entry'!AA$8),'Council Entry'!AA23)),IF('Council Entry'!AA$4="Exponential",EXP(IF(AND(ISNUMBER('Council Entry'!AA$8),ISNUMBER('Council Entry'!AA$9)),MAX(MIN('Council Entry'!AA23,'Council Entry'!AA$9),'Council Entry'!AA$8),'Council Entry'!AA23)),IF(AND(ISNUMBER('Council Entry'!AA$8),ISNUMBER('Council Entry'!AA$9)),MAX(MIN('Council Entry'!AA23,'Council Entry'!AA$9),'Council Entry'!AA$8),'Council Entry'!AA23))))-'Council Entry'!AA$5)/('Council Entry'!AA$6-'Council Entry'!AA$5),10*((IF('Council Entry'!AA$4="Logarithm",LN(0.001+IF(AND(ISNUMBER('Council Entry'!AA$8),ISNUMBER('Council Entry'!AA$9)),MAX(MIN('Council Entry'!AA23,'Council Entry'!AA$9),'Council Entry'!AA$8),'Council Entry'!AA23)),IF('Council Entry'!AA$4="Exponential",EXP(IF(AND(ISNUMBER('Council Entry'!AA$8),ISNUMBER('Council Entry'!AA$9)),MAX(MIN('Council Entry'!AA23,'Council Entry'!AA$9),'Council Entry'!AA$8),'Council Entry'!AA23)),IF(AND(ISNUMBER('Council Entry'!AA$8),ISNUMBER('Council Entry'!AA$9)),MAX(MIN('Council Entry'!AA23,'Council Entry'!AA$9),'Council Entry'!AA$8),'Council Entry'!AA23))))-'Council Entry'!AA$5)/('Council Entry'!AA$6-'Council Entry'!AA$5)),1))),"No data"))</f>
        <v/>
      </c>
      <c r="AB23" s="13">
        <f>IF('Council Entry'!AB23="","",IFERROR(MAX(0,MIN(10,ROUND(IF('Council Entry'!AB$7="Decrease Risk",10-10*((IF('Council Entry'!AB$4="Logarithm",LN(0.001+IF(AND(ISNUMBER('Council Entry'!AB$8),ISNUMBER('Council Entry'!AB$9)),MAX(MIN('Council Entry'!AB23,'Council Entry'!AB$9),'Council Entry'!AB$8),'Council Entry'!AB23)),IF('Council Entry'!AB$4="Exponential",EXP(IF(AND(ISNUMBER('Council Entry'!AB$8),ISNUMBER('Council Entry'!AB$9)),MAX(MIN('Council Entry'!AB23,'Council Entry'!AB$9),'Council Entry'!AB$8),'Council Entry'!AB23)),IF(AND(ISNUMBER('Council Entry'!AB$8),ISNUMBER('Council Entry'!AB$9)),MAX(MIN('Council Entry'!AB23,'Council Entry'!AB$9),'Council Entry'!AB$8),'Council Entry'!AB23))))-'Council Entry'!AB$5)/('Council Entry'!AB$6-'Council Entry'!AB$5),10*((IF('Council Entry'!AB$4="Logarithm",LN(0.001+IF(AND(ISNUMBER('Council Entry'!AB$8),ISNUMBER('Council Entry'!AB$9)),MAX(MIN('Council Entry'!AB23,'Council Entry'!AB$9),'Council Entry'!AB$8),'Council Entry'!AB23)),IF('Council Entry'!AB$4="Exponential",EXP(IF(AND(ISNUMBER('Council Entry'!AB$8),ISNUMBER('Council Entry'!AB$9)),MAX(MIN('Council Entry'!AB23,'Council Entry'!AB$9),'Council Entry'!AB$8),'Council Entry'!AB23)),IF(AND(ISNUMBER('Council Entry'!AB$8),ISNUMBER('Council Entry'!AB$9)),MAX(MIN('Council Entry'!AB23,'Council Entry'!AB$9),'Council Entry'!AB$8),'Council Entry'!AB23))))-'Council Entry'!AB$5)/('Council Entry'!AB$6-'Council Entry'!AB$5)),1))),"No data"))</f>
        <v/>
      </c>
      <c r="AC23" s="13">
        <f>IF('Council Entry'!AC23="","",IFERROR(MAX(0,MIN(10,ROUND(IF('Council Entry'!AC$7="Decrease Risk",10-10*((IF('Council Entry'!AC$4="Logarithm",LN(0.001+IF(AND(ISNUMBER('Council Entry'!AC$8),ISNUMBER('Council Entry'!AC$9)),MAX(MIN('Council Entry'!AC23,'Council Entry'!AC$9),'Council Entry'!AC$8),'Council Entry'!AC23)),IF('Council Entry'!AC$4="Exponential",EXP(IF(AND(ISNUMBER('Council Entry'!AC$8),ISNUMBER('Council Entry'!AC$9)),MAX(MIN('Council Entry'!AC23,'Council Entry'!AC$9),'Council Entry'!AC$8),'Council Entry'!AC23)),IF(AND(ISNUMBER('Council Entry'!AC$8),ISNUMBER('Council Entry'!AC$9)),MAX(MIN('Council Entry'!AC23,'Council Entry'!AC$9),'Council Entry'!AC$8),'Council Entry'!AC23))))-'Council Entry'!AC$5)/('Council Entry'!AC$6-'Council Entry'!AC$5),10*((IF('Council Entry'!AC$4="Logarithm",LN(0.001+IF(AND(ISNUMBER('Council Entry'!AC$8),ISNUMBER('Council Entry'!AC$9)),MAX(MIN('Council Entry'!AC23,'Council Entry'!AC$9),'Council Entry'!AC$8),'Council Entry'!AC23)),IF('Council Entry'!AC$4="Exponential",EXP(IF(AND(ISNUMBER('Council Entry'!AC$8),ISNUMBER('Council Entry'!AC$9)),MAX(MIN('Council Entry'!AC23,'Council Entry'!AC$9),'Council Entry'!AC$8),'Council Entry'!AC23)),IF(AND(ISNUMBER('Council Entry'!AC$8),ISNUMBER('Council Entry'!AC$9)),MAX(MIN('Council Entry'!AC23,'Council Entry'!AC$9),'Council Entry'!AC$8),'Council Entry'!AC23))))-'Council Entry'!AC$5)/('Council Entry'!AC$6-'Council Entry'!AC$5)),1))),"No data"))</f>
        <v/>
      </c>
      <c r="AD23" s="13">
        <f>IF('Council Entry'!AD23="","",IFERROR(MAX(0,MIN(10,ROUND(IF('Council Entry'!AD$7="Decrease Risk",10-10*((IF('Council Entry'!AD$4="Logarithm",LN(0.001+IF(AND(ISNUMBER('Council Entry'!AD$8),ISNUMBER('Council Entry'!AD$9)),MAX(MIN('Council Entry'!AD23,'Council Entry'!AD$9),'Council Entry'!AD$8),'Council Entry'!AD23)),IF('Council Entry'!AD$4="Exponential",EXP(IF(AND(ISNUMBER('Council Entry'!AD$8),ISNUMBER('Council Entry'!AD$9)),MAX(MIN('Council Entry'!AD23,'Council Entry'!AD$9),'Council Entry'!AD$8),'Council Entry'!AD23)),IF(AND(ISNUMBER('Council Entry'!AD$8),ISNUMBER('Council Entry'!AD$9)),MAX(MIN('Council Entry'!AD23,'Council Entry'!AD$9),'Council Entry'!AD$8),'Council Entry'!AD23))))-'Council Entry'!AD$5)/('Council Entry'!AD$6-'Council Entry'!AD$5),10*((IF('Council Entry'!AD$4="Logarithm",LN(0.001+IF(AND(ISNUMBER('Council Entry'!AD$8),ISNUMBER('Council Entry'!AD$9)),MAX(MIN('Council Entry'!AD23,'Council Entry'!AD$9),'Council Entry'!AD$8),'Council Entry'!AD23)),IF('Council Entry'!AD$4="Exponential",EXP(IF(AND(ISNUMBER('Council Entry'!AD$8),ISNUMBER('Council Entry'!AD$9)),MAX(MIN('Council Entry'!AD23,'Council Entry'!AD$9),'Council Entry'!AD$8),'Council Entry'!AD23)),IF(AND(ISNUMBER('Council Entry'!AD$8),ISNUMBER('Council Entry'!AD$9)),MAX(MIN('Council Entry'!AD23,'Council Entry'!AD$9),'Council Entry'!AD$8),'Council Entry'!AD23))))-'Council Entry'!AD$5)/('Council Entry'!AD$6-'Council Entry'!AD$5)),1))),"No data"))</f>
        <v/>
      </c>
      <c r="AE23" s="13">
        <f>IF('Council Entry'!AE23="","",IFERROR(MAX(0,MIN(10,ROUND(IF('Council Entry'!AE$7="Decrease Risk",10-10*((IF('Council Entry'!AE$4="Logarithm",LN(0.001+IF(AND(ISNUMBER('Council Entry'!AE$8),ISNUMBER('Council Entry'!AE$9)),MAX(MIN('Council Entry'!AE23,'Council Entry'!AE$9),'Council Entry'!AE$8),'Council Entry'!AE23)),IF('Council Entry'!AE$4="Exponential",EXP(IF(AND(ISNUMBER('Council Entry'!AE$8),ISNUMBER('Council Entry'!AE$9)),MAX(MIN('Council Entry'!AE23,'Council Entry'!AE$9),'Council Entry'!AE$8),'Council Entry'!AE23)),IF(AND(ISNUMBER('Council Entry'!AE$8),ISNUMBER('Council Entry'!AE$9)),MAX(MIN('Council Entry'!AE23,'Council Entry'!AE$9),'Council Entry'!AE$8),'Council Entry'!AE23))))-'Council Entry'!AE$5)/('Council Entry'!AE$6-'Council Entry'!AE$5),10*((IF('Council Entry'!AE$4="Logarithm",LN(0.001+IF(AND(ISNUMBER('Council Entry'!AE$8),ISNUMBER('Council Entry'!AE$9)),MAX(MIN('Council Entry'!AE23,'Council Entry'!AE$9),'Council Entry'!AE$8),'Council Entry'!AE23)),IF('Council Entry'!AE$4="Exponential",EXP(IF(AND(ISNUMBER('Council Entry'!AE$8),ISNUMBER('Council Entry'!AE$9)),MAX(MIN('Council Entry'!AE23,'Council Entry'!AE$9),'Council Entry'!AE$8),'Council Entry'!AE23)),IF(AND(ISNUMBER('Council Entry'!AE$8),ISNUMBER('Council Entry'!AE$9)),MAX(MIN('Council Entry'!AE23,'Council Entry'!AE$9),'Council Entry'!AE$8),'Council Entry'!AE23))))-'Council Entry'!AE$5)/('Council Entry'!AE$6-'Council Entry'!AE$5)),1))),"No data"))</f>
        <v/>
      </c>
      <c r="AF23" s="13">
        <f>IF('Council Entry'!AF23="","",IFERROR(MAX(0,MIN(10,ROUND(IF('Council Entry'!AF$7="Decrease Risk",10-10*((IF('Council Entry'!AF$4="Logarithm",LN(0.001+IF(AND(ISNUMBER('Council Entry'!AF$8),ISNUMBER('Council Entry'!AF$9)),MAX(MIN('Council Entry'!AF23,'Council Entry'!AF$9),'Council Entry'!AF$8),'Council Entry'!AF23)),IF('Council Entry'!AF$4="Exponential",EXP(IF(AND(ISNUMBER('Council Entry'!AF$8),ISNUMBER('Council Entry'!AF$9)),MAX(MIN('Council Entry'!AF23,'Council Entry'!AF$9),'Council Entry'!AF$8),'Council Entry'!AF23)),IF(AND(ISNUMBER('Council Entry'!AF$8),ISNUMBER('Council Entry'!AF$9)),MAX(MIN('Council Entry'!AF23,'Council Entry'!AF$9),'Council Entry'!AF$8),'Council Entry'!AF23))))-'Council Entry'!AF$5)/('Council Entry'!AF$6-'Council Entry'!AF$5),10*((IF('Council Entry'!AF$4="Logarithm",LN(0.001+IF(AND(ISNUMBER('Council Entry'!AF$8),ISNUMBER('Council Entry'!AF$9)),MAX(MIN('Council Entry'!AF23,'Council Entry'!AF$9),'Council Entry'!AF$8),'Council Entry'!AF23)),IF('Council Entry'!AF$4="Exponential",EXP(IF(AND(ISNUMBER('Council Entry'!AF$8),ISNUMBER('Council Entry'!AF$9)),MAX(MIN('Council Entry'!AF23,'Council Entry'!AF$9),'Council Entry'!AF$8),'Council Entry'!AF23)),IF(AND(ISNUMBER('Council Entry'!AF$8),ISNUMBER('Council Entry'!AF$9)),MAX(MIN('Council Entry'!AF23,'Council Entry'!AF$9),'Council Entry'!AF$8),'Council Entry'!AF23))))-'Council Entry'!AF$5)/('Council Entry'!AF$6-'Council Entry'!AF$5)),1))),"No data"))</f>
        <v/>
      </c>
      <c r="AG23" s="13">
        <f>IF('Council Entry'!AG23="","",IFERROR(MAX(0,MIN(10,ROUND(IF('Council Entry'!AG$7="Decrease Risk",10-10*((IF('Council Entry'!AG$4="Logarithm",LN(0.001+IF(AND(ISNUMBER('Council Entry'!AG$8),ISNUMBER('Council Entry'!AG$9)),MAX(MIN('Council Entry'!AG23,'Council Entry'!AG$9),'Council Entry'!AG$8),'Council Entry'!AG23)),IF('Council Entry'!AG$4="Exponential",EXP(IF(AND(ISNUMBER('Council Entry'!AG$8),ISNUMBER('Council Entry'!AG$9)),MAX(MIN('Council Entry'!AG23,'Council Entry'!AG$9),'Council Entry'!AG$8),'Council Entry'!AG23)),IF(AND(ISNUMBER('Council Entry'!AG$8),ISNUMBER('Council Entry'!AG$9)),MAX(MIN('Council Entry'!AG23,'Council Entry'!AG$9),'Council Entry'!AG$8),'Council Entry'!AG23))))-'Council Entry'!AG$5)/('Council Entry'!AG$6-'Council Entry'!AG$5),10*((IF('Council Entry'!AG$4="Logarithm",LN(0.001+IF(AND(ISNUMBER('Council Entry'!AG$8),ISNUMBER('Council Entry'!AG$9)),MAX(MIN('Council Entry'!AG23,'Council Entry'!AG$9),'Council Entry'!AG$8),'Council Entry'!AG23)),IF('Council Entry'!AG$4="Exponential",EXP(IF(AND(ISNUMBER('Council Entry'!AG$8),ISNUMBER('Council Entry'!AG$9)),MAX(MIN('Council Entry'!AG23,'Council Entry'!AG$9),'Council Entry'!AG$8),'Council Entry'!AG23)),IF(AND(ISNUMBER('Council Entry'!AG$8),ISNUMBER('Council Entry'!AG$9)),MAX(MIN('Council Entry'!AG23,'Council Entry'!AG$9),'Council Entry'!AG$8),'Council Entry'!AG23))))-'Council Entry'!AG$5)/('Council Entry'!AG$6-'Council Entry'!AG$5)),1))),"No data"))</f>
        <v/>
      </c>
      <c r="AH23" s="13">
        <f>IF('Council Entry'!AH23="","",IFERROR(MAX(0,MIN(10,ROUND(IF('Council Entry'!AH$7="Decrease Risk",10-10*((IF('Council Entry'!AH$4="Logarithm",LN(0.001+IF(AND(ISNUMBER('Council Entry'!AH$8),ISNUMBER('Council Entry'!AH$9)),MAX(MIN('Council Entry'!AH23,'Council Entry'!AH$9),'Council Entry'!AH$8),'Council Entry'!AH23)),IF('Council Entry'!AH$4="Exponential",EXP(IF(AND(ISNUMBER('Council Entry'!AH$8),ISNUMBER('Council Entry'!AH$9)),MAX(MIN('Council Entry'!AH23,'Council Entry'!AH$9),'Council Entry'!AH$8),'Council Entry'!AH23)),IF(AND(ISNUMBER('Council Entry'!AH$8),ISNUMBER('Council Entry'!AH$9)),MAX(MIN('Council Entry'!AH23,'Council Entry'!AH$9),'Council Entry'!AH$8),'Council Entry'!AH23))))-'Council Entry'!AH$5)/('Council Entry'!AH$6-'Council Entry'!AH$5),10*((IF('Council Entry'!AH$4="Logarithm",LN(0.001+IF(AND(ISNUMBER('Council Entry'!AH$8),ISNUMBER('Council Entry'!AH$9)),MAX(MIN('Council Entry'!AH23,'Council Entry'!AH$9),'Council Entry'!AH$8),'Council Entry'!AH23)),IF('Council Entry'!AH$4="Exponential",EXP(IF(AND(ISNUMBER('Council Entry'!AH$8),ISNUMBER('Council Entry'!AH$9)),MAX(MIN('Council Entry'!AH23,'Council Entry'!AH$9),'Council Entry'!AH$8),'Council Entry'!AH23)),IF(AND(ISNUMBER('Council Entry'!AH$8),ISNUMBER('Council Entry'!AH$9)),MAX(MIN('Council Entry'!AH23,'Council Entry'!AH$9),'Council Entry'!AH$8),'Council Entry'!AH23))))-'Council Entry'!AH$5)/('Council Entry'!AH$6-'Council Entry'!AH$5)),1))),"No data"))</f>
        <v/>
      </c>
      <c r="AI23" s="13">
        <f>IF('Council Entry'!AI23="","",IFERROR(MAX(0,MIN(10,ROUND(IF('Council Entry'!AI$7="Decrease Risk",10-10*((IF('Council Entry'!AI$4="Logarithm",LN(0.001+IF(AND(ISNUMBER('Council Entry'!AI$8),ISNUMBER('Council Entry'!AI$9)),MAX(MIN('Council Entry'!AI23,'Council Entry'!AI$9),'Council Entry'!AI$8),'Council Entry'!AI23)),IF('Council Entry'!AI$4="Exponential",EXP(IF(AND(ISNUMBER('Council Entry'!AI$8),ISNUMBER('Council Entry'!AI$9)),MAX(MIN('Council Entry'!AI23,'Council Entry'!AI$9),'Council Entry'!AI$8),'Council Entry'!AI23)),IF(AND(ISNUMBER('Council Entry'!AI$8),ISNUMBER('Council Entry'!AI$9)),MAX(MIN('Council Entry'!AI23,'Council Entry'!AI$9),'Council Entry'!AI$8),'Council Entry'!AI23))))-'Council Entry'!AI$5)/('Council Entry'!AI$6-'Council Entry'!AI$5),10*((IF('Council Entry'!AI$4="Logarithm",LN(0.001+IF(AND(ISNUMBER('Council Entry'!AI$8),ISNUMBER('Council Entry'!AI$9)),MAX(MIN('Council Entry'!AI23,'Council Entry'!AI$9),'Council Entry'!AI$8),'Council Entry'!AI23)),IF('Council Entry'!AI$4="Exponential",EXP(IF(AND(ISNUMBER('Council Entry'!AI$8),ISNUMBER('Council Entry'!AI$9)),MAX(MIN('Council Entry'!AI23,'Council Entry'!AI$9),'Council Entry'!AI$8),'Council Entry'!AI23)),IF(AND(ISNUMBER('Council Entry'!AI$8),ISNUMBER('Council Entry'!AI$9)),MAX(MIN('Council Entry'!AI23,'Council Entry'!AI$9),'Council Entry'!AI$8),'Council Entry'!AI23))))-'Council Entry'!AI$5)/('Council Entry'!AI$6-'Council Entry'!AI$5)),1))),"No data"))</f>
        <v/>
      </c>
      <c r="AJ23" s="13">
        <f>IF('Council Entry'!AJ23="","",IFERROR(MAX(0,MIN(10,ROUND(IF('Council Entry'!AJ$7="Decrease Risk",10-10*((IF('Council Entry'!AJ$4="Logarithm",LN(0.001+IF(AND(ISNUMBER('Council Entry'!AJ$8),ISNUMBER('Council Entry'!AJ$9)),MAX(MIN('Council Entry'!AJ23,'Council Entry'!AJ$9),'Council Entry'!AJ$8),'Council Entry'!AJ23)),IF('Council Entry'!AJ$4="Exponential",EXP(IF(AND(ISNUMBER('Council Entry'!AJ$8),ISNUMBER('Council Entry'!AJ$9)),MAX(MIN('Council Entry'!AJ23,'Council Entry'!AJ$9),'Council Entry'!AJ$8),'Council Entry'!AJ23)),IF(AND(ISNUMBER('Council Entry'!AJ$8),ISNUMBER('Council Entry'!AJ$9)),MAX(MIN('Council Entry'!AJ23,'Council Entry'!AJ$9),'Council Entry'!AJ$8),'Council Entry'!AJ23))))-'Council Entry'!AJ$5)/('Council Entry'!AJ$6-'Council Entry'!AJ$5),10*((IF('Council Entry'!AJ$4="Logarithm",LN(0.001+IF(AND(ISNUMBER('Council Entry'!AJ$8),ISNUMBER('Council Entry'!AJ$9)),MAX(MIN('Council Entry'!AJ23,'Council Entry'!AJ$9),'Council Entry'!AJ$8),'Council Entry'!AJ23)),IF('Council Entry'!AJ$4="Exponential",EXP(IF(AND(ISNUMBER('Council Entry'!AJ$8),ISNUMBER('Council Entry'!AJ$9)),MAX(MIN('Council Entry'!AJ23,'Council Entry'!AJ$9),'Council Entry'!AJ$8),'Council Entry'!AJ23)),IF(AND(ISNUMBER('Council Entry'!AJ$8),ISNUMBER('Council Entry'!AJ$9)),MAX(MIN('Council Entry'!AJ23,'Council Entry'!AJ$9),'Council Entry'!AJ$8),'Council Entry'!AJ23))))-'Council Entry'!AJ$5)/('Council Entry'!AJ$6-'Council Entry'!AJ$5)),1))),"No data"))</f>
        <v/>
      </c>
      <c r="AK23" s="13">
        <f>IF('Council Entry'!AK23="","",IFERROR(MAX(0,MIN(10,ROUND(IF('Council Entry'!AK$7="Decrease Risk",10-10*((IF('Council Entry'!AK$4="Logarithm",LN(0.001+IF(AND(ISNUMBER('Council Entry'!AK$8),ISNUMBER('Council Entry'!AK$9)),MAX(MIN('Council Entry'!AK23,'Council Entry'!AK$9),'Council Entry'!AK$8),'Council Entry'!AK23)),IF('Council Entry'!AK$4="Exponential",EXP(IF(AND(ISNUMBER('Council Entry'!AK$8),ISNUMBER('Council Entry'!AK$9)),MAX(MIN('Council Entry'!AK23,'Council Entry'!AK$9),'Council Entry'!AK$8),'Council Entry'!AK23)),IF(AND(ISNUMBER('Council Entry'!AK$8),ISNUMBER('Council Entry'!AK$9)),MAX(MIN('Council Entry'!AK23,'Council Entry'!AK$9),'Council Entry'!AK$8),'Council Entry'!AK23))))-'Council Entry'!AK$5)/('Council Entry'!AK$6-'Council Entry'!AK$5),10*((IF('Council Entry'!AK$4="Logarithm",LN(0.001+IF(AND(ISNUMBER('Council Entry'!AK$8),ISNUMBER('Council Entry'!AK$9)),MAX(MIN('Council Entry'!AK23,'Council Entry'!AK$9),'Council Entry'!AK$8),'Council Entry'!AK23)),IF('Council Entry'!AK$4="Exponential",EXP(IF(AND(ISNUMBER('Council Entry'!AK$8),ISNUMBER('Council Entry'!AK$9)),MAX(MIN('Council Entry'!AK23,'Council Entry'!AK$9),'Council Entry'!AK$8),'Council Entry'!AK23)),IF(AND(ISNUMBER('Council Entry'!AK$8),ISNUMBER('Council Entry'!AK$9)),MAX(MIN('Council Entry'!AK23,'Council Entry'!AK$9),'Council Entry'!AK$8),'Council Entry'!AK23))))-'Council Entry'!AK$5)/('Council Entry'!AK$6-'Council Entry'!AK$5)),1))),"No data"))</f>
        <v/>
      </c>
      <c r="AL23" s="13">
        <f>IF('Council Entry'!AL23="","",IFERROR(MAX(0,MIN(10,ROUND(IF('Council Entry'!AL$7="Decrease Risk",10-10*((IF('Council Entry'!AL$4="Logarithm",LN(0.001+IF(AND(ISNUMBER('Council Entry'!AL$8),ISNUMBER('Council Entry'!AL$9)),MAX(MIN('Council Entry'!AL23,'Council Entry'!AL$9),'Council Entry'!AL$8),'Council Entry'!AL23)),IF('Council Entry'!AL$4="Exponential",EXP(IF(AND(ISNUMBER('Council Entry'!AL$8),ISNUMBER('Council Entry'!AL$9)),MAX(MIN('Council Entry'!AL23,'Council Entry'!AL$9),'Council Entry'!AL$8),'Council Entry'!AL23)),IF(AND(ISNUMBER('Council Entry'!AL$8),ISNUMBER('Council Entry'!AL$9)),MAX(MIN('Council Entry'!AL23,'Council Entry'!AL$9),'Council Entry'!AL$8),'Council Entry'!AL23))))-'Council Entry'!AL$5)/('Council Entry'!AL$6-'Council Entry'!AL$5),10*((IF('Council Entry'!AL$4="Logarithm",LN(0.001+IF(AND(ISNUMBER('Council Entry'!AL$8),ISNUMBER('Council Entry'!AL$9)),MAX(MIN('Council Entry'!AL23,'Council Entry'!AL$9),'Council Entry'!AL$8),'Council Entry'!AL23)),IF('Council Entry'!AL$4="Exponential",EXP(IF(AND(ISNUMBER('Council Entry'!AL$8),ISNUMBER('Council Entry'!AL$9)),MAX(MIN('Council Entry'!AL23,'Council Entry'!AL$9),'Council Entry'!AL$8),'Council Entry'!AL23)),IF(AND(ISNUMBER('Council Entry'!AL$8),ISNUMBER('Council Entry'!AL$9)),MAX(MIN('Council Entry'!AL23,'Council Entry'!AL$9),'Council Entry'!AL$8),'Council Entry'!AL23))))-'Council Entry'!AL$5)/('Council Entry'!AL$6-'Council Entry'!AL$5)),1))),"No data"))</f>
        <v/>
      </c>
      <c r="AM23" s="13">
        <f>IF('Council Entry'!AM23="","",IFERROR(MAX(0,MIN(10,ROUND(IF('Council Entry'!AM$7="Decrease Risk",10-10*((IF('Council Entry'!AM$4="Logarithm",LN(0.001+IF(AND(ISNUMBER('Council Entry'!AM$8),ISNUMBER('Council Entry'!AM$9)),MAX(MIN('Council Entry'!AM23,'Council Entry'!AM$9),'Council Entry'!AM$8),'Council Entry'!AM23)),IF('Council Entry'!AM$4="Exponential",EXP(IF(AND(ISNUMBER('Council Entry'!AM$8),ISNUMBER('Council Entry'!AM$9)),MAX(MIN('Council Entry'!AM23,'Council Entry'!AM$9),'Council Entry'!AM$8),'Council Entry'!AM23)),IF(AND(ISNUMBER('Council Entry'!AM$8),ISNUMBER('Council Entry'!AM$9)),MAX(MIN('Council Entry'!AM23,'Council Entry'!AM$9),'Council Entry'!AM$8),'Council Entry'!AM23))))-'Council Entry'!AM$5)/('Council Entry'!AM$6-'Council Entry'!AM$5),10*((IF('Council Entry'!AM$4="Logarithm",LN(0.001+IF(AND(ISNUMBER('Council Entry'!AM$8),ISNUMBER('Council Entry'!AM$9)),MAX(MIN('Council Entry'!AM23,'Council Entry'!AM$9),'Council Entry'!AM$8),'Council Entry'!AM23)),IF('Council Entry'!AM$4="Exponential",EXP(IF(AND(ISNUMBER('Council Entry'!AM$8),ISNUMBER('Council Entry'!AM$9)),MAX(MIN('Council Entry'!AM23,'Council Entry'!AM$9),'Council Entry'!AM$8),'Council Entry'!AM23)),IF(AND(ISNUMBER('Council Entry'!AM$8),ISNUMBER('Council Entry'!AM$9)),MAX(MIN('Council Entry'!AM23,'Council Entry'!AM$9),'Council Entry'!AM$8),'Council Entry'!AM23))))-'Council Entry'!AM$5)/('Council Entry'!AM$6-'Council Entry'!AM$5)),1))),"No data"))</f>
        <v/>
      </c>
      <c r="AN23" s="13">
        <f>IF('Council Entry'!AN23="","",IFERROR(MAX(0,MIN(10,ROUND(IF('Council Entry'!AN$7="Decrease Risk",10-10*((IF('Council Entry'!AN$4="Logarithm",LN(0.001+IF(AND(ISNUMBER('Council Entry'!AN$8),ISNUMBER('Council Entry'!AN$9)),MAX(MIN('Council Entry'!AN23,'Council Entry'!AN$9),'Council Entry'!AN$8),'Council Entry'!AN23)),IF('Council Entry'!AN$4="Exponential",EXP(IF(AND(ISNUMBER('Council Entry'!AN$8),ISNUMBER('Council Entry'!AN$9)),MAX(MIN('Council Entry'!AN23,'Council Entry'!AN$9),'Council Entry'!AN$8),'Council Entry'!AN23)),IF(AND(ISNUMBER('Council Entry'!AN$8),ISNUMBER('Council Entry'!AN$9)),MAX(MIN('Council Entry'!AN23,'Council Entry'!AN$9),'Council Entry'!AN$8),'Council Entry'!AN23))))-'Council Entry'!AN$5)/('Council Entry'!AN$6-'Council Entry'!AN$5),10*((IF('Council Entry'!AN$4="Logarithm",LN(0.001+IF(AND(ISNUMBER('Council Entry'!AN$8),ISNUMBER('Council Entry'!AN$9)),MAX(MIN('Council Entry'!AN23,'Council Entry'!AN$9),'Council Entry'!AN$8),'Council Entry'!AN23)),IF('Council Entry'!AN$4="Exponential",EXP(IF(AND(ISNUMBER('Council Entry'!AN$8),ISNUMBER('Council Entry'!AN$9)),MAX(MIN('Council Entry'!AN23,'Council Entry'!AN$9),'Council Entry'!AN$8),'Council Entry'!AN23)),IF(AND(ISNUMBER('Council Entry'!AN$8),ISNUMBER('Council Entry'!AN$9)),MAX(MIN('Council Entry'!AN23,'Council Entry'!AN$9),'Council Entry'!AN$8),'Council Entry'!AN23))))-'Council Entry'!AN$5)/('Council Entry'!AN$6-'Council Entry'!AN$5)),1))),"No data"))</f>
        <v/>
      </c>
      <c r="AO23" s="13">
        <f>IF('Council Entry'!AO23="","",IFERROR(MAX(0,MIN(10,ROUND(IF('Council Entry'!AO$7="Decrease Risk",10-10*((IF('Council Entry'!AO$4="Logarithm",LN(0.001+IF(AND(ISNUMBER('Council Entry'!AO$8),ISNUMBER('Council Entry'!AO$9)),MAX(MIN('Council Entry'!AO23,'Council Entry'!AO$9),'Council Entry'!AO$8),'Council Entry'!AO23)),IF('Council Entry'!AO$4="Exponential",EXP(IF(AND(ISNUMBER('Council Entry'!AO$8),ISNUMBER('Council Entry'!AO$9)),MAX(MIN('Council Entry'!AO23,'Council Entry'!AO$9),'Council Entry'!AO$8),'Council Entry'!AO23)),IF(AND(ISNUMBER('Council Entry'!AO$8),ISNUMBER('Council Entry'!AO$9)),MAX(MIN('Council Entry'!AO23,'Council Entry'!AO$9),'Council Entry'!AO$8),'Council Entry'!AO23))))-'Council Entry'!AO$5)/('Council Entry'!AO$6-'Council Entry'!AO$5),10*((IF('Council Entry'!AO$4="Logarithm",LN(0.001+IF(AND(ISNUMBER('Council Entry'!AO$8),ISNUMBER('Council Entry'!AO$9)),MAX(MIN('Council Entry'!AO23,'Council Entry'!AO$9),'Council Entry'!AO$8),'Council Entry'!AO23)),IF('Council Entry'!AO$4="Exponential",EXP(IF(AND(ISNUMBER('Council Entry'!AO$8),ISNUMBER('Council Entry'!AO$9)),MAX(MIN('Council Entry'!AO23,'Council Entry'!AO$9),'Council Entry'!AO$8),'Council Entry'!AO23)),IF(AND(ISNUMBER('Council Entry'!AO$8),ISNUMBER('Council Entry'!AO$9)),MAX(MIN('Council Entry'!AO23,'Council Entry'!AO$9),'Council Entry'!AO$8),'Council Entry'!AO23))))-'Council Entry'!AO$5)/('Council Entry'!AO$6-'Council Entry'!AO$5)),1))),"No data"))</f>
        <v/>
      </c>
      <c r="AP23" s="13">
        <f>IF('Council Entry'!AP23="","",IFERROR(MAX(0,MIN(10,ROUND(IF('Council Entry'!AP$7="Decrease Risk",10-10*((IF('Council Entry'!AP$4="Logarithm",LN(0.001+IF(AND(ISNUMBER('Council Entry'!AP$8),ISNUMBER('Council Entry'!AP$9)),MAX(MIN('Council Entry'!AP23,'Council Entry'!AP$9),'Council Entry'!AP$8),'Council Entry'!AP23)),IF('Council Entry'!AP$4="Exponential",EXP(IF(AND(ISNUMBER('Council Entry'!AP$8),ISNUMBER('Council Entry'!AP$9)),MAX(MIN('Council Entry'!AP23,'Council Entry'!AP$9),'Council Entry'!AP$8),'Council Entry'!AP23)),IF(AND(ISNUMBER('Council Entry'!AP$8),ISNUMBER('Council Entry'!AP$9)),MAX(MIN('Council Entry'!AP23,'Council Entry'!AP$9),'Council Entry'!AP$8),'Council Entry'!AP23))))-'Council Entry'!AP$5)/('Council Entry'!AP$6-'Council Entry'!AP$5),10*((IF('Council Entry'!AP$4="Logarithm",LN(0.001+IF(AND(ISNUMBER('Council Entry'!AP$8),ISNUMBER('Council Entry'!AP$9)),MAX(MIN('Council Entry'!AP23,'Council Entry'!AP$9),'Council Entry'!AP$8),'Council Entry'!AP23)),IF('Council Entry'!AP$4="Exponential",EXP(IF(AND(ISNUMBER('Council Entry'!AP$8),ISNUMBER('Council Entry'!AP$9)),MAX(MIN('Council Entry'!AP23,'Council Entry'!AP$9),'Council Entry'!AP$8),'Council Entry'!AP23)),IF(AND(ISNUMBER('Council Entry'!AP$8),ISNUMBER('Council Entry'!AP$9)),MAX(MIN('Council Entry'!AP23,'Council Entry'!AP$9),'Council Entry'!AP$8),'Council Entry'!AP23))))-'Council Entry'!AP$5)/('Council Entry'!AP$6-'Council Entry'!AP$5)),1))),"No data"))</f>
        <v/>
      </c>
      <c r="AQ23" s="13">
        <f>IF('Council Entry'!AQ23="","",IFERROR(MAX(0,MIN(10,ROUND(IF('Council Entry'!AQ$7="Decrease Risk",10-10*((IF('Council Entry'!AQ$4="Logarithm",LN(0.001+IF(AND(ISNUMBER('Council Entry'!AQ$8),ISNUMBER('Council Entry'!AQ$9)),MAX(MIN('Council Entry'!AQ23,'Council Entry'!AQ$9),'Council Entry'!AQ$8),'Council Entry'!AQ23)),IF('Council Entry'!AQ$4="Exponential",EXP(IF(AND(ISNUMBER('Council Entry'!AQ$8),ISNUMBER('Council Entry'!AQ$9)),MAX(MIN('Council Entry'!AQ23,'Council Entry'!AQ$9),'Council Entry'!AQ$8),'Council Entry'!AQ23)),IF(AND(ISNUMBER('Council Entry'!AQ$8),ISNUMBER('Council Entry'!AQ$9)),MAX(MIN('Council Entry'!AQ23,'Council Entry'!AQ$9),'Council Entry'!AQ$8),'Council Entry'!AQ23))))-'Council Entry'!AQ$5)/('Council Entry'!AQ$6-'Council Entry'!AQ$5),10*((IF('Council Entry'!AQ$4="Logarithm",LN(0.001+IF(AND(ISNUMBER('Council Entry'!AQ$8),ISNUMBER('Council Entry'!AQ$9)),MAX(MIN('Council Entry'!AQ23,'Council Entry'!AQ$9),'Council Entry'!AQ$8),'Council Entry'!AQ23)),IF('Council Entry'!AQ$4="Exponential",EXP(IF(AND(ISNUMBER('Council Entry'!AQ$8),ISNUMBER('Council Entry'!AQ$9)),MAX(MIN('Council Entry'!AQ23,'Council Entry'!AQ$9),'Council Entry'!AQ$8),'Council Entry'!AQ23)),IF(AND(ISNUMBER('Council Entry'!AQ$8),ISNUMBER('Council Entry'!AQ$9)),MAX(MIN('Council Entry'!AQ23,'Council Entry'!AQ$9),'Council Entry'!AQ$8),'Council Entry'!AQ23))))-'Council Entry'!AQ$5)/('Council Entry'!AQ$6-'Council Entry'!AQ$5)),1))),"No data"))</f>
        <v/>
      </c>
      <c r="AR23" s="13">
        <f>IF('Council Entry'!AR23="","",IFERROR(MAX(0,MIN(10,ROUND(IF('Council Entry'!AR$7="Decrease Risk",10-10*((IF('Council Entry'!AR$4="Logarithm",LN(0.001+IF(AND(ISNUMBER('Council Entry'!AR$8),ISNUMBER('Council Entry'!AR$9)),MAX(MIN('Council Entry'!AR23,'Council Entry'!AR$9),'Council Entry'!AR$8),'Council Entry'!AR23)),IF('Council Entry'!AR$4="Exponential",EXP(IF(AND(ISNUMBER('Council Entry'!AR$8),ISNUMBER('Council Entry'!AR$9)),MAX(MIN('Council Entry'!AR23,'Council Entry'!AR$9),'Council Entry'!AR$8),'Council Entry'!AR23)),IF(AND(ISNUMBER('Council Entry'!AR$8),ISNUMBER('Council Entry'!AR$9)),MAX(MIN('Council Entry'!AR23,'Council Entry'!AR$9),'Council Entry'!AR$8),'Council Entry'!AR23))))-'Council Entry'!AR$5)/('Council Entry'!AR$6-'Council Entry'!AR$5),10*((IF('Council Entry'!AR$4="Logarithm",LN(0.001+IF(AND(ISNUMBER('Council Entry'!AR$8),ISNUMBER('Council Entry'!AR$9)),MAX(MIN('Council Entry'!AR23,'Council Entry'!AR$9),'Council Entry'!AR$8),'Council Entry'!AR23)),IF('Council Entry'!AR$4="Exponential",EXP(IF(AND(ISNUMBER('Council Entry'!AR$8),ISNUMBER('Council Entry'!AR$9)),MAX(MIN('Council Entry'!AR23,'Council Entry'!AR$9),'Council Entry'!AR$8),'Council Entry'!AR23)),IF(AND(ISNUMBER('Council Entry'!AR$8),ISNUMBER('Council Entry'!AR$9)),MAX(MIN('Council Entry'!AR23,'Council Entry'!AR$9),'Council Entry'!AR$8),'Council Entry'!AR23))))-'Council Entry'!AR$5)/('Council Entry'!AR$6-'Council Entry'!AR$5)),1))),"No data"))</f>
        <v/>
      </c>
      <c r="AS23" s="13">
        <f>IF('Council Entry'!AS23="","",IFERROR(MAX(0,MIN(10,ROUND(IF('Council Entry'!AS$7="Decrease Risk",10-10*((IF('Council Entry'!AS$4="Logarithm",LN(0.001+IF(AND(ISNUMBER('Council Entry'!AS$8),ISNUMBER('Council Entry'!AS$9)),MAX(MIN('Council Entry'!AS23,'Council Entry'!AS$9),'Council Entry'!AS$8),'Council Entry'!AS23)),IF('Council Entry'!AS$4="Exponential",EXP(IF(AND(ISNUMBER('Council Entry'!AS$8),ISNUMBER('Council Entry'!AS$9)),MAX(MIN('Council Entry'!AS23,'Council Entry'!AS$9),'Council Entry'!AS$8),'Council Entry'!AS23)),IF(AND(ISNUMBER('Council Entry'!AS$8),ISNUMBER('Council Entry'!AS$9)),MAX(MIN('Council Entry'!AS23,'Council Entry'!AS$9),'Council Entry'!AS$8),'Council Entry'!AS23))))-'Council Entry'!AS$5)/('Council Entry'!AS$6-'Council Entry'!AS$5),10*((IF('Council Entry'!AS$4="Logarithm",LN(0.001+IF(AND(ISNUMBER('Council Entry'!AS$8),ISNUMBER('Council Entry'!AS$9)),MAX(MIN('Council Entry'!AS23,'Council Entry'!AS$9),'Council Entry'!AS$8),'Council Entry'!AS23)),IF('Council Entry'!AS$4="Exponential",EXP(IF(AND(ISNUMBER('Council Entry'!AS$8),ISNUMBER('Council Entry'!AS$9)),MAX(MIN('Council Entry'!AS23,'Council Entry'!AS$9),'Council Entry'!AS$8),'Council Entry'!AS23)),IF(AND(ISNUMBER('Council Entry'!AS$8),ISNUMBER('Council Entry'!AS$9)),MAX(MIN('Council Entry'!AS23,'Council Entry'!AS$9),'Council Entry'!AS$8),'Council Entry'!AS23))))-'Council Entry'!AS$5)/('Council Entry'!AS$6-'Council Entry'!AS$5)),1))),"No data"))</f>
        <v/>
      </c>
      <c r="AT23" s="13">
        <f>IF('Council Entry'!AT23="","",IFERROR(MAX(0,MIN(10,ROUND(IF('Council Entry'!AT$7="Decrease Risk",10-10*((IF('Council Entry'!AT$4="Logarithm",LN(0.001+IF(AND(ISNUMBER('Council Entry'!AT$8),ISNUMBER('Council Entry'!AT$9)),MAX(MIN('Council Entry'!AT23,'Council Entry'!AT$9),'Council Entry'!AT$8),'Council Entry'!AT23)),IF('Council Entry'!AT$4="Exponential",EXP(IF(AND(ISNUMBER('Council Entry'!AT$8),ISNUMBER('Council Entry'!AT$9)),MAX(MIN('Council Entry'!AT23,'Council Entry'!AT$9),'Council Entry'!AT$8),'Council Entry'!AT23)),IF(AND(ISNUMBER('Council Entry'!AT$8),ISNUMBER('Council Entry'!AT$9)),MAX(MIN('Council Entry'!AT23,'Council Entry'!AT$9),'Council Entry'!AT$8),'Council Entry'!AT23))))-'Council Entry'!AT$5)/('Council Entry'!AT$6-'Council Entry'!AT$5),10*((IF('Council Entry'!AT$4="Logarithm",LN(0.001+IF(AND(ISNUMBER('Council Entry'!AT$8),ISNUMBER('Council Entry'!AT$9)),MAX(MIN('Council Entry'!AT23,'Council Entry'!AT$9),'Council Entry'!AT$8),'Council Entry'!AT23)),IF('Council Entry'!AT$4="Exponential",EXP(IF(AND(ISNUMBER('Council Entry'!AT$8),ISNUMBER('Council Entry'!AT$9)),MAX(MIN('Council Entry'!AT23,'Council Entry'!AT$9),'Council Entry'!AT$8),'Council Entry'!AT23)),IF(AND(ISNUMBER('Council Entry'!AT$8),ISNUMBER('Council Entry'!AT$9)),MAX(MIN('Council Entry'!AT23,'Council Entry'!AT$9),'Council Entry'!AT$8),'Council Entry'!AT23))))-'Council Entry'!AT$5)/('Council Entry'!AT$6-'Council Entry'!AT$5)),1))),"No data"))</f>
        <v/>
      </c>
      <c r="AU23" s="13">
        <f>IF('Council Entry'!AU23="","",IFERROR(MAX(0,MIN(10,ROUND(IF('Council Entry'!AU$7="Decrease Risk",10-10*((IF('Council Entry'!AU$4="Logarithm",LN(0.001+IF(AND(ISNUMBER('Council Entry'!AU$8),ISNUMBER('Council Entry'!AU$9)),MAX(MIN('Council Entry'!AU23,'Council Entry'!AU$9),'Council Entry'!AU$8),'Council Entry'!AU23)),IF('Council Entry'!AU$4="Exponential",EXP(IF(AND(ISNUMBER('Council Entry'!AU$8),ISNUMBER('Council Entry'!AU$9)),MAX(MIN('Council Entry'!AU23,'Council Entry'!AU$9),'Council Entry'!AU$8),'Council Entry'!AU23)),IF(AND(ISNUMBER('Council Entry'!AU$8),ISNUMBER('Council Entry'!AU$9)),MAX(MIN('Council Entry'!AU23,'Council Entry'!AU$9),'Council Entry'!AU$8),'Council Entry'!AU23))))-'Council Entry'!AU$5)/('Council Entry'!AU$6-'Council Entry'!AU$5),10*((IF('Council Entry'!AU$4="Logarithm",LN(0.001+IF(AND(ISNUMBER('Council Entry'!AU$8),ISNUMBER('Council Entry'!AU$9)),MAX(MIN('Council Entry'!AU23,'Council Entry'!AU$9),'Council Entry'!AU$8),'Council Entry'!AU23)),IF('Council Entry'!AU$4="Exponential",EXP(IF(AND(ISNUMBER('Council Entry'!AU$8),ISNUMBER('Council Entry'!AU$9)),MAX(MIN('Council Entry'!AU23,'Council Entry'!AU$9),'Council Entry'!AU$8),'Council Entry'!AU23)),IF(AND(ISNUMBER('Council Entry'!AU$8),ISNUMBER('Council Entry'!AU$9)),MAX(MIN('Council Entry'!AU23,'Council Entry'!AU$9),'Council Entry'!AU$8),'Council Entry'!AU23))))-'Council Entry'!AU$5)/('Council Entry'!AU$6-'Council Entry'!AU$5)),1))),"No data"))</f>
        <v/>
      </c>
      <c r="AV23" s="13">
        <f>IF('Council Entry'!AV23="","",IFERROR(MAX(0,MIN(10,ROUND(IF('Council Entry'!AV$7="Decrease Risk",10-10*((IF('Council Entry'!AV$4="Logarithm",LN(0.001+IF(AND(ISNUMBER('Council Entry'!AV$8),ISNUMBER('Council Entry'!AV$9)),MAX(MIN('Council Entry'!AV23,'Council Entry'!AV$9),'Council Entry'!AV$8),'Council Entry'!AV23)),IF('Council Entry'!AV$4="Exponential",EXP(IF(AND(ISNUMBER('Council Entry'!AV$8),ISNUMBER('Council Entry'!AV$9)),MAX(MIN('Council Entry'!AV23,'Council Entry'!AV$9),'Council Entry'!AV$8),'Council Entry'!AV23)),IF(AND(ISNUMBER('Council Entry'!AV$8),ISNUMBER('Council Entry'!AV$9)),MAX(MIN('Council Entry'!AV23,'Council Entry'!AV$9),'Council Entry'!AV$8),'Council Entry'!AV23))))-'Council Entry'!AV$5)/('Council Entry'!AV$6-'Council Entry'!AV$5),10*((IF('Council Entry'!AV$4="Logarithm",LN(0.001+IF(AND(ISNUMBER('Council Entry'!AV$8),ISNUMBER('Council Entry'!AV$9)),MAX(MIN('Council Entry'!AV23,'Council Entry'!AV$9),'Council Entry'!AV$8),'Council Entry'!AV23)),IF('Council Entry'!AV$4="Exponential",EXP(IF(AND(ISNUMBER('Council Entry'!AV$8),ISNUMBER('Council Entry'!AV$9)),MAX(MIN('Council Entry'!AV23,'Council Entry'!AV$9),'Council Entry'!AV$8),'Council Entry'!AV23)),IF(AND(ISNUMBER('Council Entry'!AV$8),ISNUMBER('Council Entry'!AV$9)),MAX(MIN('Council Entry'!AV23,'Council Entry'!AV$9),'Council Entry'!AV$8),'Council Entry'!AV23))))-'Council Entry'!AV$5)/('Council Entry'!AV$6-'Council Entry'!AV$5)),1))),"No data"))</f>
        <v/>
      </c>
      <c r="AW23" s="13">
        <f>IF('Council Entry'!AW23="","",IFERROR(MAX(0,MIN(10,ROUND(IF('Council Entry'!AW$7="Decrease Risk",10-10*((IF('Council Entry'!AW$4="Logarithm",LN(0.001+IF(AND(ISNUMBER('Council Entry'!AW$8),ISNUMBER('Council Entry'!AW$9)),MAX(MIN('Council Entry'!AW23,'Council Entry'!AW$9),'Council Entry'!AW$8),'Council Entry'!AW23)),IF('Council Entry'!AW$4="Exponential",EXP(IF(AND(ISNUMBER('Council Entry'!AW$8),ISNUMBER('Council Entry'!AW$9)),MAX(MIN('Council Entry'!AW23,'Council Entry'!AW$9),'Council Entry'!AW$8),'Council Entry'!AW23)),IF(AND(ISNUMBER('Council Entry'!AW$8),ISNUMBER('Council Entry'!AW$9)),MAX(MIN('Council Entry'!AW23,'Council Entry'!AW$9),'Council Entry'!AW$8),'Council Entry'!AW23))))-'Council Entry'!AW$5)/('Council Entry'!AW$6-'Council Entry'!AW$5),10*((IF('Council Entry'!AW$4="Logarithm",LN(0.001+IF(AND(ISNUMBER('Council Entry'!AW$8),ISNUMBER('Council Entry'!AW$9)),MAX(MIN('Council Entry'!AW23,'Council Entry'!AW$9),'Council Entry'!AW$8),'Council Entry'!AW23)),IF('Council Entry'!AW$4="Exponential",EXP(IF(AND(ISNUMBER('Council Entry'!AW$8),ISNUMBER('Council Entry'!AW$9)),MAX(MIN('Council Entry'!AW23,'Council Entry'!AW$9),'Council Entry'!AW$8),'Council Entry'!AW23)),IF(AND(ISNUMBER('Council Entry'!AW$8),ISNUMBER('Council Entry'!AW$9)),MAX(MIN('Council Entry'!AW23,'Council Entry'!AW$9),'Council Entry'!AW$8),'Council Entry'!AW23))))-'Council Entry'!AW$5)/('Council Entry'!AW$6-'Council Entry'!AW$5)),1))),"No data"))</f>
        <v/>
      </c>
      <c r="AX23" s="13">
        <f>IF('Council Entry'!AX23="","",IFERROR(MAX(0,MIN(10,ROUND(IF('Council Entry'!AX$7="Decrease Risk",10-10*((IF('Council Entry'!AX$4="Logarithm",LN(0.001+IF(AND(ISNUMBER('Council Entry'!AX$8),ISNUMBER('Council Entry'!AX$9)),MAX(MIN('Council Entry'!AX23,'Council Entry'!AX$9),'Council Entry'!AX$8),'Council Entry'!AX23)),IF('Council Entry'!AX$4="Exponential",EXP(IF(AND(ISNUMBER('Council Entry'!AX$8),ISNUMBER('Council Entry'!AX$9)),MAX(MIN('Council Entry'!AX23,'Council Entry'!AX$9),'Council Entry'!AX$8),'Council Entry'!AX23)),IF(AND(ISNUMBER('Council Entry'!AX$8),ISNUMBER('Council Entry'!AX$9)),MAX(MIN('Council Entry'!AX23,'Council Entry'!AX$9),'Council Entry'!AX$8),'Council Entry'!AX23))))-'Council Entry'!AX$5)/('Council Entry'!AX$6-'Council Entry'!AX$5),10*((IF('Council Entry'!AX$4="Logarithm",LN(0.001+IF(AND(ISNUMBER('Council Entry'!AX$8),ISNUMBER('Council Entry'!AX$9)),MAX(MIN('Council Entry'!AX23,'Council Entry'!AX$9),'Council Entry'!AX$8),'Council Entry'!AX23)),IF('Council Entry'!AX$4="Exponential",EXP(IF(AND(ISNUMBER('Council Entry'!AX$8),ISNUMBER('Council Entry'!AX$9)),MAX(MIN('Council Entry'!AX23,'Council Entry'!AX$9),'Council Entry'!AX$8),'Council Entry'!AX23)),IF(AND(ISNUMBER('Council Entry'!AX$8),ISNUMBER('Council Entry'!AX$9)),MAX(MIN('Council Entry'!AX23,'Council Entry'!AX$9),'Council Entry'!AX$8),'Council Entry'!AX23))))-'Council Entry'!AX$5)/('Council Entry'!AX$6-'Council Entry'!AX$5)),1))),"No data"))</f>
        <v/>
      </c>
      <c r="AY23" s="13">
        <f>IF('Council Entry'!AY23="","",IFERROR(MAX(0,MIN(10,ROUND(IF('Council Entry'!AY$7="Decrease Risk",10-10*((IF('Council Entry'!AY$4="Logarithm",LN(0.001+IF(AND(ISNUMBER('Council Entry'!AY$8),ISNUMBER('Council Entry'!AY$9)),MAX(MIN('Council Entry'!AY23,'Council Entry'!AY$9),'Council Entry'!AY$8),'Council Entry'!AY23)),IF('Council Entry'!AY$4="Exponential",EXP(IF(AND(ISNUMBER('Council Entry'!AY$8),ISNUMBER('Council Entry'!AY$9)),MAX(MIN('Council Entry'!AY23,'Council Entry'!AY$9),'Council Entry'!AY$8),'Council Entry'!AY23)),IF(AND(ISNUMBER('Council Entry'!AY$8),ISNUMBER('Council Entry'!AY$9)),MAX(MIN('Council Entry'!AY23,'Council Entry'!AY$9),'Council Entry'!AY$8),'Council Entry'!AY23))))-'Council Entry'!AY$5)/('Council Entry'!AY$6-'Council Entry'!AY$5),10*((IF('Council Entry'!AY$4="Logarithm",LN(0.001+IF(AND(ISNUMBER('Council Entry'!AY$8),ISNUMBER('Council Entry'!AY$9)),MAX(MIN('Council Entry'!AY23,'Council Entry'!AY$9),'Council Entry'!AY$8),'Council Entry'!AY23)),IF('Council Entry'!AY$4="Exponential",EXP(IF(AND(ISNUMBER('Council Entry'!AY$8),ISNUMBER('Council Entry'!AY$9)),MAX(MIN('Council Entry'!AY23,'Council Entry'!AY$9),'Council Entry'!AY$8),'Council Entry'!AY23)),IF(AND(ISNUMBER('Council Entry'!AY$8),ISNUMBER('Council Entry'!AY$9)),MAX(MIN('Council Entry'!AY23,'Council Entry'!AY$9),'Council Entry'!AY$8),'Council Entry'!AY23))))-'Council Entry'!AY$5)/('Council Entry'!AY$6-'Council Entry'!AY$5)),1))),"No data"))</f>
        <v/>
      </c>
      <c r="AZ23" s="13">
        <f>IF('Council Entry'!AZ23="","",IFERROR(MAX(0,MIN(10,ROUND(IF('Council Entry'!AZ$7="Decrease Risk",10-10*((IF('Council Entry'!AZ$4="Logarithm",LN(0.001+IF(AND(ISNUMBER('Council Entry'!AZ$8),ISNUMBER('Council Entry'!AZ$9)),MAX(MIN('Council Entry'!AZ23,'Council Entry'!AZ$9),'Council Entry'!AZ$8),'Council Entry'!AZ23)),IF('Council Entry'!AZ$4="Exponential",EXP(IF(AND(ISNUMBER('Council Entry'!AZ$8),ISNUMBER('Council Entry'!AZ$9)),MAX(MIN('Council Entry'!AZ23,'Council Entry'!AZ$9),'Council Entry'!AZ$8),'Council Entry'!AZ23)),IF(AND(ISNUMBER('Council Entry'!AZ$8),ISNUMBER('Council Entry'!AZ$9)),MAX(MIN('Council Entry'!AZ23,'Council Entry'!AZ$9),'Council Entry'!AZ$8),'Council Entry'!AZ23))))-'Council Entry'!AZ$5)/('Council Entry'!AZ$6-'Council Entry'!AZ$5),10*((IF('Council Entry'!AZ$4="Logarithm",LN(0.001+IF(AND(ISNUMBER('Council Entry'!AZ$8),ISNUMBER('Council Entry'!AZ$9)),MAX(MIN('Council Entry'!AZ23,'Council Entry'!AZ$9),'Council Entry'!AZ$8),'Council Entry'!AZ23)),IF('Council Entry'!AZ$4="Exponential",EXP(IF(AND(ISNUMBER('Council Entry'!AZ$8),ISNUMBER('Council Entry'!AZ$9)),MAX(MIN('Council Entry'!AZ23,'Council Entry'!AZ$9),'Council Entry'!AZ$8),'Council Entry'!AZ23)),IF(AND(ISNUMBER('Council Entry'!AZ$8),ISNUMBER('Council Entry'!AZ$9)),MAX(MIN('Council Entry'!AZ23,'Council Entry'!AZ$9),'Council Entry'!AZ$8),'Council Entry'!AZ23))))-'Council Entry'!AZ$5)/('Council Entry'!AZ$6-'Council Entry'!AZ$5)),1))),"No data"))</f>
        <v/>
      </c>
      <c r="BA23" s="13">
        <f>IF('Council Entry'!BA23="","",IFERROR(MAX(0,MIN(10,ROUND(IF('Council Entry'!BA$7="Decrease Risk",10-10*((IF('Council Entry'!BA$4="Logarithm",LN(0.001+IF(AND(ISNUMBER('Council Entry'!BA$8),ISNUMBER('Council Entry'!BA$9)),MAX(MIN('Council Entry'!BA23,'Council Entry'!BA$9),'Council Entry'!BA$8),'Council Entry'!BA23)),IF('Council Entry'!BA$4="Exponential",EXP(IF(AND(ISNUMBER('Council Entry'!BA$8),ISNUMBER('Council Entry'!BA$9)),MAX(MIN('Council Entry'!BA23,'Council Entry'!BA$9),'Council Entry'!BA$8),'Council Entry'!BA23)),IF(AND(ISNUMBER('Council Entry'!BA$8),ISNUMBER('Council Entry'!BA$9)),MAX(MIN('Council Entry'!BA23,'Council Entry'!BA$9),'Council Entry'!BA$8),'Council Entry'!BA23))))-'Council Entry'!BA$5)/('Council Entry'!BA$6-'Council Entry'!BA$5),10*((IF('Council Entry'!BA$4="Logarithm",LN(0.001+IF(AND(ISNUMBER('Council Entry'!BA$8),ISNUMBER('Council Entry'!BA$9)),MAX(MIN('Council Entry'!BA23,'Council Entry'!BA$9),'Council Entry'!BA$8),'Council Entry'!BA23)),IF('Council Entry'!BA$4="Exponential",EXP(IF(AND(ISNUMBER('Council Entry'!BA$8),ISNUMBER('Council Entry'!BA$9)),MAX(MIN('Council Entry'!BA23,'Council Entry'!BA$9),'Council Entry'!BA$8),'Council Entry'!BA23)),IF(AND(ISNUMBER('Council Entry'!BA$8),ISNUMBER('Council Entry'!BA$9)),MAX(MIN('Council Entry'!BA23,'Council Entry'!BA$9),'Council Entry'!BA$8),'Council Entry'!BA23))))-'Council Entry'!BA$5)/('Council Entry'!BA$6-'Council Entry'!BA$5)),1))),"No data"))</f>
        <v/>
      </c>
      <c r="BB23" s="13">
        <f>IF('Council Entry'!BB23="","",IFERROR(MAX(0,MIN(10,ROUND(IF('Council Entry'!BB$7="Decrease Risk",10-10*((IF('Council Entry'!BB$4="Logarithm",LN(0.001+IF(AND(ISNUMBER('Council Entry'!BB$8),ISNUMBER('Council Entry'!BB$9)),MAX(MIN('Council Entry'!BB23,'Council Entry'!BB$9),'Council Entry'!BB$8),'Council Entry'!BB23)),IF('Council Entry'!BB$4="Exponential",EXP(IF(AND(ISNUMBER('Council Entry'!BB$8),ISNUMBER('Council Entry'!BB$9)),MAX(MIN('Council Entry'!BB23,'Council Entry'!BB$9),'Council Entry'!BB$8),'Council Entry'!BB23)),IF(AND(ISNUMBER('Council Entry'!BB$8),ISNUMBER('Council Entry'!BB$9)),MAX(MIN('Council Entry'!BB23,'Council Entry'!BB$9),'Council Entry'!BB$8),'Council Entry'!BB23))))-'Council Entry'!BB$5)/('Council Entry'!BB$6-'Council Entry'!BB$5),10*((IF('Council Entry'!BB$4="Logarithm",LN(0.001+IF(AND(ISNUMBER('Council Entry'!BB$8),ISNUMBER('Council Entry'!BB$9)),MAX(MIN('Council Entry'!BB23,'Council Entry'!BB$9),'Council Entry'!BB$8),'Council Entry'!BB23)),IF('Council Entry'!BB$4="Exponential",EXP(IF(AND(ISNUMBER('Council Entry'!BB$8),ISNUMBER('Council Entry'!BB$9)),MAX(MIN('Council Entry'!BB23,'Council Entry'!BB$9),'Council Entry'!BB$8),'Council Entry'!BB23)),IF(AND(ISNUMBER('Council Entry'!BB$8),ISNUMBER('Council Entry'!BB$9)),MAX(MIN('Council Entry'!BB23,'Council Entry'!BB$9),'Council Entry'!BB$8),'Council Entry'!BB23))))-'Council Entry'!BB$5)/('Council Entry'!BB$6-'Council Entry'!BB$5)),1))),"No data"))</f>
        <v/>
      </c>
      <c r="BC23" s="13">
        <f>IF('Council Entry'!BC23="","",IFERROR(MAX(0,MIN(10,ROUND(IF('Council Entry'!BC$7="Decrease Risk",10-10*((IF('Council Entry'!BC$4="Logarithm",LN(0.001+IF(AND(ISNUMBER('Council Entry'!BC$8),ISNUMBER('Council Entry'!BC$9)),MAX(MIN('Council Entry'!BC23,'Council Entry'!BC$9),'Council Entry'!BC$8),'Council Entry'!BC23)),IF('Council Entry'!BC$4="Exponential",EXP(IF(AND(ISNUMBER('Council Entry'!BC$8),ISNUMBER('Council Entry'!BC$9)),MAX(MIN('Council Entry'!BC23,'Council Entry'!BC$9),'Council Entry'!BC$8),'Council Entry'!BC23)),IF(AND(ISNUMBER('Council Entry'!BC$8),ISNUMBER('Council Entry'!BC$9)),MAX(MIN('Council Entry'!BC23,'Council Entry'!BC$9),'Council Entry'!BC$8),'Council Entry'!BC23))))-'Council Entry'!BC$5)/('Council Entry'!BC$6-'Council Entry'!BC$5),10*((IF('Council Entry'!BC$4="Logarithm",LN(0.001+IF(AND(ISNUMBER('Council Entry'!BC$8),ISNUMBER('Council Entry'!BC$9)),MAX(MIN('Council Entry'!BC23,'Council Entry'!BC$9),'Council Entry'!BC$8),'Council Entry'!BC23)),IF('Council Entry'!BC$4="Exponential",EXP(IF(AND(ISNUMBER('Council Entry'!BC$8),ISNUMBER('Council Entry'!BC$9)),MAX(MIN('Council Entry'!BC23,'Council Entry'!BC$9),'Council Entry'!BC$8),'Council Entry'!BC23)),IF(AND(ISNUMBER('Council Entry'!BC$8),ISNUMBER('Council Entry'!BC$9)),MAX(MIN('Council Entry'!BC23,'Council Entry'!BC$9),'Council Entry'!BC$8),'Council Entry'!BC23))))-'Council Entry'!BC$5)/('Council Entry'!BC$6-'Council Entry'!BC$5)),1))),"No data"))</f>
        <v/>
      </c>
      <c r="BD23" s="13">
        <f>IF('Council Entry'!BD23="","",IFERROR(MAX(0,MIN(10,ROUND(IF('Council Entry'!BD$7="Decrease Risk",10-10*((IF('Council Entry'!BD$4="Logarithm",LN(0.001+IF(AND(ISNUMBER('Council Entry'!BD$8),ISNUMBER('Council Entry'!BD$9)),MAX(MIN('Council Entry'!BD23,'Council Entry'!BD$9),'Council Entry'!BD$8),'Council Entry'!BD23)),IF('Council Entry'!BD$4="Exponential",EXP(IF(AND(ISNUMBER('Council Entry'!BD$8),ISNUMBER('Council Entry'!BD$9)),MAX(MIN('Council Entry'!BD23,'Council Entry'!BD$9),'Council Entry'!BD$8),'Council Entry'!BD23)),IF(AND(ISNUMBER('Council Entry'!BD$8),ISNUMBER('Council Entry'!BD$9)),MAX(MIN('Council Entry'!BD23,'Council Entry'!BD$9),'Council Entry'!BD$8),'Council Entry'!BD23))))-'Council Entry'!BD$5)/('Council Entry'!BD$6-'Council Entry'!BD$5),10*((IF('Council Entry'!BD$4="Logarithm",LN(0.001+IF(AND(ISNUMBER('Council Entry'!BD$8),ISNUMBER('Council Entry'!BD$9)),MAX(MIN('Council Entry'!BD23,'Council Entry'!BD$9),'Council Entry'!BD$8),'Council Entry'!BD23)),IF('Council Entry'!BD$4="Exponential",EXP(IF(AND(ISNUMBER('Council Entry'!BD$8),ISNUMBER('Council Entry'!BD$9)),MAX(MIN('Council Entry'!BD23,'Council Entry'!BD$9),'Council Entry'!BD$8),'Council Entry'!BD23)),IF(AND(ISNUMBER('Council Entry'!BD$8),ISNUMBER('Council Entry'!BD$9)),MAX(MIN('Council Entry'!BD23,'Council Entry'!BD$9),'Council Entry'!BD$8),'Council Entry'!BD23))))-'Council Entry'!BD$5)/('Council Entry'!BD$6-'Council Entry'!BD$5)),1))),"No data"))</f>
        <v/>
      </c>
    </row>
    <row r="24">
      <c r="A24" t="inlineStr">
        <is>
          <t>Dodoma</t>
        </is>
      </c>
      <c r="B24" t="inlineStr">
        <is>
          <t>Chamwino District</t>
        </is>
      </c>
      <c r="C24" t="inlineStr">
        <is>
          <t>C005</t>
        </is>
      </c>
      <c r="D24" s="13">
        <f>IF('Council Entry'!D24="","",IFERROR(MAX(0,MIN(10,ROUND(IF('Council Entry'!D$7="Decrease Risk",10-10*((IF('Council Entry'!D$4="Logarithm",LN(0.001+IF(AND(ISNUMBER('Council Entry'!D$8),ISNUMBER('Council Entry'!D$9)),MAX(MIN('Council Entry'!D24,'Council Entry'!D$9),'Council Entry'!D$8),'Council Entry'!D24)),IF('Council Entry'!D$4="Exponential",EXP(IF(AND(ISNUMBER('Council Entry'!D$8),ISNUMBER('Council Entry'!D$9)),MAX(MIN('Council Entry'!D24,'Council Entry'!D$9),'Council Entry'!D$8),'Council Entry'!D24)),IF(AND(ISNUMBER('Council Entry'!D$8),ISNUMBER('Council Entry'!D$9)),MAX(MIN('Council Entry'!D24,'Council Entry'!D$9),'Council Entry'!D$8),'Council Entry'!D24))))-'Council Entry'!D$5)/('Council Entry'!D$6-'Council Entry'!D$5),10*((IF('Council Entry'!D$4="Logarithm",LN(0.001+IF(AND(ISNUMBER('Council Entry'!D$8),ISNUMBER('Council Entry'!D$9)),MAX(MIN('Council Entry'!D24,'Council Entry'!D$9),'Council Entry'!D$8),'Council Entry'!D24)),IF('Council Entry'!D$4="Exponential",EXP(IF(AND(ISNUMBER('Council Entry'!D$8),ISNUMBER('Council Entry'!D$9)),MAX(MIN('Council Entry'!D24,'Council Entry'!D$9),'Council Entry'!D$8),'Council Entry'!D24)),IF(AND(ISNUMBER('Council Entry'!D$8),ISNUMBER('Council Entry'!D$9)),MAX(MIN('Council Entry'!D24,'Council Entry'!D$9),'Council Entry'!D$8),'Council Entry'!D24))))-'Council Entry'!D$5)/('Council Entry'!D$6-'Council Entry'!D$5)),1))),"No data"))</f>
        <v/>
      </c>
      <c r="E24" s="13">
        <f>IF('Council Entry'!E24="","",IFERROR(MAX(0,MIN(10,ROUND(IF('Council Entry'!E$7="Decrease Risk",10-10*((IF('Council Entry'!E$4="Logarithm",LN(0.001+IF(AND(ISNUMBER('Council Entry'!E$8),ISNUMBER('Council Entry'!E$9)),MAX(MIN('Council Entry'!E24,'Council Entry'!E$9),'Council Entry'!E$8),'Council Entry'!E24)),IF('Council Entry'!E$4="Exponential",EXP(IF(AND(ISNUMBER('Council Entry'!E$8),ISNUMBER('Council Entry'!E$9)),MAX(MIN('Council Entry'!E24,'Council Entry'!E$9),'Council Entry'!E$8),'Council Entry'!E24)),IF(AND(ISNUMBER('Council Entry'!E$8),ISNUMBER('Council Entry'!E$9)),MAX(MIN('Council Entry'!E24,'Council Entry'!E$9),'Council Entry'!E$8),'Council Entry'!E24))))-'Council Entry'!E$5)/('Council Entry'!E$6-'Council Entry'!E$5),10*((IF('Council Entry'!E$4="Logarithm",LN(0.001+IF(AND(ISNUMBER('Council Entry'!E$8),ISNUMBER('Council Entry'!E$9)),MAX(MIN('Council Entry'!E24,'Council Entry'!E$9),'Council Entry'!E$8),'Council Entry'!E24)),IF('Council Entry'!E$4="Exponential",EXP(IF(AND(ISNUMBER('Council Entry'!E$8),ISNUMBER('Council Entry'!E$9)),MAX(MIN('Council Entry'!E24,'Council Entry'!E$9),'Council Entry'!E$8),'Council Entry'!E24)),IF(AND(ISNUMBER('Council Entry'!E$8),ISNUMBER('Council Entry'!E$9)),MAX(MIN('Council Entry'!E24,'Council Entry'!E$9),'Council Entry'!E$8),'Council Entry'!E24))))-'Council Entry'!E$5)/('Council Entry'!E$6-'Council Entry'!E$5)),1))),"No data"))</f>
        <v/>
      </c>
      <c r="F24" s="13">
        <f>IF('Council Entry'!F24="","",IFERROR(MAX(0,MIN(10,ROUND(IF('Council Entry'!F$7="Decrease Risk",10-10*((IF('Council Entry'!F$4="Logarithm",LN(0.001+IF(AND(ISNUMBER('Council Entry'!F$8),ISNUMBER('Council Entry'!F$9)),MAX(MIN('Council Entry'!F24,'Council Entry'!F$9),'Council Entry'!F$8),'Council Entry'!F24)),IF('Council Entry'!F$4="Exponential",EXP(IF(AND(ISNUMBER('Council Entry'!F$8),ISNUMBER('Council Entry'!F$9)),MAX(MIN('Council Entry'!F24,'Council Entry'!F$9),'Council Entry'!F$8),'Council Entry'!F24)),IF(AND(ISNUMBER('Council Entry'!F$8),ISNUMBER('Council Entry'!F$9)),MAX(MIN('Council Entry'!F24,'Council Entry'!F$9),'Council Entry'!F$8),'Council Entry'!F24))))-'Council Entry'!F$5)/('Council Entry'!F$6-'Council Entry'!F$5),10*((IF('Council Entry'!F$4="Logarithm",LN(0.001+IF(AND(ISNUMBER('Council Entry'!F$8),ISNUMBER('Council Entry'!F$9)),MAX(MIN('Council Entry'!F24,'Council Entry'!F$9),'Council Entry'!F$8),'Council Entry'!F24)),IF('Council Entry'!F$4="Exponential",EXP(IF(AND(ISNUMBER('Council Entry'!F$8),ISNUMBER('Council Entry'!F$9)),MAX(MIN('Council Entry'!F24,'Council Entry'!F$9),'Council Entry'!F$8),'Council Entry'!F24)),IF(AND(ISNUMBER('Council Entry'!F$8),ISNUMBER('Council Entry'!F$9)),MAX(MIN('Council Entry'!F24,'Council Entry'!F$9),'Council Entry'!F$8),'Council Entry'!F24))))-'Council Entry'!F$5)/('Council Entry'!F$6-'Council Entry'!F$5)),1))),"No data"))</f>
        <v/>
      </c>
      <c r="G24" s="13">
        <f>IF('Council Entry'!G24="","",IFERROR(MAX(0,MIN(10,ROUND(IF('Council Entry'!G$7="Decrease Risk",10-10*((IF('Council Entry'!G$4="Logarithm",LN(0.001+IF(AND(ISNUMBER('Council Entry'!G$8),ISNUMBER('Council Entry'!G$9)),MAX(MIN('Council Entry'!G24,'Council Entry'!G$9),'Council Entry'!G$8),'Council Entry'!G24)),IF('Council Entry'!G$4="Exponential",EXP(IF(AND(ISNUMBER('Council Entry'!G$8),ISNUMBER('Council Entry'!G$9)),MAX(MIN('Council Entry'!G24,'Council Entry'!G$9),'Council Entry'!G$8),'Council Entry'!G24)),IF(AND(ISNUMBER('Council Entry'!G$8),ISNUMBER('Council Entry'!G$9)),MAX(MIN('Council Entry'!G24,'Council Entry'!G$9),'Council Entry'!G$8),'Council Entry'!G24))))-'Council Entry'!G$5)/('Council Entry'!G$6-'Council Entry'!G$5),10*((IF('Council Entry'!G$4="Logarithm",LN(0.001+IF(AND(ISNUMBER('Council Entry'!G$8),ISNUMBER('Council Entry'!G$9)),MAX(MIN('Council Entry'!G24,'Council Entry'!G$9),'Council Entry'!G$8),'Council Entry'!G24)),IF('Council Entry'!G$4="Exponential",EXP(IF(AND(ISNUMBER('Council Entry'!G$8),ISNUMBER('Council Entry'!G$9)),MAX(MIN('Council Entry'!G24,'Council Entry'!G$9),'Council Entry'!G$8),'Council Entry'!G24)),IF(AND(ISNUMBER('Council Entry'!G$8),ISNUMBER('Council Entry'!G$9)),MAX(MIN('Council Entry'!G24,'Council Entry'!G$9),'Council Entry'!G$8),'Council Entry'!G24))))-'Council Entry'!G$5)/('Council Entry'!G$6-'Council Entry'!G$5)),1))),"No data"))</f>
        <v/>
      </c>
      <c r="H24" s="13">
        <f>IF('Council Entry'!H24="","",IFERROR(MAX(0,MIN(10,ROUND(IF('Council Entry'!H$7="Decrease Risk",10-10*((IF('Council Entry'!H$4="Logarithm",LN(0.001+IF(AND(ISNUMBER('Council Entry'!H$8),ISNUMBER('Council Entry'!H$9)),MAX(MIN('Council Entry'!H24,'Council Entry'!H$9),'Council Entry'!H$8),'Council Entry'!H24)),IF('Council Entry'!H$4="Exponential",EXP(IF(AND(ISNUMBER('Council Entry'!H$8),ISNUMBER('Council Entry'!H$9)),MAX(MIN('Council Entry'!H24,'Council Entry'!H$9),'Council Entry'!H$8),'Council Entry'!H24)),IF(AND(ISNUMBER('Council Entry'!H$8),ISNUMBER('Council Entry'!H$9)),MAX(MIN('Council Entry'!H24,'Council Entry'!H$9),'Council Entry'!H$8),'Council Entry'!H24))))-'Council Entry'!H$5)/('Council Entry'!H$6-'Council Entry'!H$5),10*((IF('Council Entry'!H$4="Logarithm",LN(0.001+IF(AND(ISNUMBER('Council Entry'!H$8),ISNUMBER('Council Entry'!H$9)),MAX(MIN('Council Entry'!H24,'Council Entry'!H$9),'Council Entry'!H$8),'Council Entry'!H24)),IF('Council Entry'!H$4="Exponential",EXP(IF(AND(ISNUMBER('Council Entry'!H$8),ISNUMBER('Council Entry'!H$9)),MAX(MIN('Council Entry'!H24,'Council Entry'!H$9),'Council Entry'!H$8),'Council Entry'!H24)),IF(AND(ISNUMBER('Council Entry'!H$8),ISNUMBER('Council Entry'!H$9)),MAX(MIN('Council Entry'!H24,'Council Entry'!H$9),'Council Entry'!H$8),'Council Entry'!H24))))-'Council Entry'!H$5)/('Council Entry'!H$6-'Council Entry'!H$5)),1))),"No data"))</f>
        <v/>
      </c>
      <c r="I24" s="13">
        <f>IF('Council Entry'!I24="","",IFERROR(MAX(0,MIN(10,ROUND(IF('Council Entry'!I$7="Decrease Risk",10-10*((IF('Council Entry'!I$4="Logarithm",LN(0.001+IF(AND(ISNUMBER('Council Entry'!I$8),ISNUMBER('Council Entry'!I$9)),MAX(MIN('Council Entry'!I24,'Council Entry'!I$9),'Council Entry'!I$8),'Council Entry'!I24)),IF('Council Entry'!I$4="Exponential",EXP(IF(AND(ISNUMBER('Council Entry'!I$8),ISNUMBER('Council Entry'!I$9)),MAX(MIN('Council Entry'!I24,'Council Entry'!I$9),'Council Entry'!I$8),'Council Entry'!I24)),IF(AND(ISNUMBER('Council Entry'!I$8),ISNUMBER('Council Entry'!I$9)),MAX(MIN('Council Entry'!I24,'Council Entry'!I$9),'Council Entry'!I$8),'Council Entry'!I24))))-'Council Entry'!I$5)/('Council Entry'!I$6-'Council Entry'!I$5),10*((IF('Council Entry'!I$4="Logarithm",LN(0.001+IF(AND(ISNUMBER('Council Entry'!I$8),ISNUMBER('Council Entry'!I$9)),MAX(MIN('Council Entry'!I24,'Council Entry'!I$9),'Council Entry'!I$8),'Council Entry'!I24)),IF('Council Entry'!I$4="Exponential",EXP(IF(AND(ISNUMBER('Council Entry'!I$8),ISNUMBER('Council Entry'!I$9)),MAX(MIN('Council Entry'!I24,'Council Entry'!I$9),'Council Entry'!I$8),'Council Entry'!I24)),IF(AND(ISNUMBER('Council Entry'!I$8),ISNUMBER('Council Entry'!I$9)),MAX(MIN('Council Entry'!I24,'Council Entry'!I$9),'Council Entry'!I$8),'Council Entry'!I24))))-'Council Entry'!I$5)/('Council Entry'!I$6-'Council Entry'!I$5)),1))),"No data"))</f>
        <v/>
      </c>
      <c r="J24" s="13">
        <f>IF('Council Entry'!J24="","",IFERROR(MAX(0,MIN(10,ROUND(IF('Council Entry'!J$7="Decrease Risk",10-10*((IF('Council Entry'!J$4="Logarithm",LN(0.001+IF(AND(ISNUMBER('Council Entry'!J$8),ISNUMBER('Council Entry'!J$9)),MAX(MIN('Council Entry'!J24,'Council Entry'!J$9),'Council Entry'!J$8),'Council Entry'!J24)),IF('Council Entry'!J$4="Exponential",EXP(IF(AND(ISNUMBER('Council Entry'!J$8),ISNUMBER('Council Entry'!J$9)),MAX(MIN('Council Entry'!J24,'Council Entry'!J$9),'Council Entry'!J$8),'Council Entry'!J24)),IF(AND(ISNUMBER('Council Entry'!J$8),ISNUMBER('Council Entry'!J$9)),MAX(MIN('Council Entry'!J24,'Council Entry'!J$9),'Council Entry'!J$8),'Council Entry'!J24))))-'Council Entry'!J$5)/('Council Entry'!J$6-'Council Entry'!J$5),10*((IF('Council Entry'!J$4="Logarithm",LN(0.001+IF(AND(ISNUMBER('Council Entry'!J$8),ISNUMBER('Council Entry'!J$9)),MAX(MIN('Council Entry'!J24,'Council Entry'!J$9),'Council Entry'!J$8),'Council Entry'!J24)),IF('Council Entry'!J$4="Exponential",EXP(IF(AND(ISNUMBER('Council Entry'!J$8),ISNUMBER('Council Entry'!J$9)),MAX(MIN('Council Entry'!J24,'Council Entry'!J$9),'Council Entry'!J$8),'Council Entry'!J24)),IF(AND(ISNUMBER('Council Entry'!J$8),ISNUMBER('Council Entry'!J$9)),MAX(MIN('Council Entry'!J24,'Council Entry'!J$9),'Council Entry'!J$8),'Council Entry'!J24))))-'Council Entry'!J$5)/('Council Entry'!J$6-'Council Entry'!J$5)),1))),"No data"))</f>
        <v/>
      </c>
      <c r="K24" s="13">
        <f>IF('Council Entry'!K24="","",IFERROR(MAX(0,MIN(10,ROUND(IF('Council Entry'!K$7="Decrease Risk",10-10*((IF('Council Entry'!K$4="Logarithm",LN(0.001+IF(AND(ISNUMBER('Council Entry'!K$8),ISNUMBER('Council Entry'!K$9)),MAX(MIN('Council Entry'!K24,'Council Entry'!K$9),'Council Entry'!K$8),'Council Entry'!K24)),IF('Council Entry'!K$4="Exponential",EXP(IF(AND(ISNUMBER('Council Entry'!K$8),ISNUMBER('Council Entry'!K$9)),MAX(MIN('Council Entry'!K24,'Council Entry'!K$9),'Council Entry'!K$8),'Council Entry'!K24)),IF(AND(ISNUMBER('Council Entry'!K$8),ISNUMBER('Council Entry'!K$9)),MAX(MIN('Council Entry'!K24,'Council Entry'!K$9),'Council Entry'!K$8),'Council Entry'!K24))))-'Council Entry'!K$5)/('Council Entry'!K$6-'Council Entry'!K$5),10*((IF('Council Entry'!K$4="Logarithm",LN(0.001+IF(AND(ISNUMBER('Council Entry'!K$8),ISNUMBER('Council Entry'!K$9)),MAX(MIN('Council Entry'!K24,'Council Entry'!K$9),'Council Entry'!K$8),'Council Entry'!K24)),IF('Council Entry'!K$4="Exponential",EXP(IF(AND(ISNUMBER('Council Entry'!K$8),ISNUMBER('Council Entry'!K$9)),MAX(MIN('Council Entry'!K24,'Council Entry'!K$9),'Council Entry'!K$8),'Council Entry'!K24)),IF(AND(ISNUMBER('Council Entry'!K$8),ISNUMBER('Council Entry'!K$9)),MAX(MIN('Council Entry'!K24,'Council Entry'!K$9),'Council Entry'!K$8),'Council Entry'!K24))))-'Council Entry'!K$5)/('Council Entry'!K$6-'Council Entry'!K$5)),1))),"No data"))</f>
        <v/>
      </c>
      <c r="L24" s="13">
        <f>IF('Council Entry'!L24="","",IFERROR(MAX(0,MIN(10,ROUND(IF('Council Entry'!L$7="Decrease Risk",10-10*((IF('Council Entry'!L$4="Logarithm",LN(0.001+IF(AND(ISNUMBER('Council Entry'!L$8),ISNUMBER('Council Entry'!L$9)),MAX(MIN('Council Entry'!L24,'Council Entry'!L$9),'Council Entry'!L$8),'Council Entry'!L24)),IF('Council Entry'!L$4="Exponential",EXP(IF(AND(ISNUMBER('Council Entry'!L$8),ISNUMBER('Council Entry'!L$9)),MAX(MIN('Council Entry'!L24,'Council Entry'!L$9),'Council Entry'!L$8),'Council Entry'!L24)),IF(AND(ISNUMBER('Council Entry'!L$8),ISNUMBER('Council Entry'!L$9)),MAX(MIN('Council Entry'!L24,'Council Entry'!L$9),'Council Entry'!L$8),'Council Entry'!L24))))-'Council Entry'!L$5)/('Council Entry'!L$6-'Council Entry'!L$5),10*((IF('Council Entry'!L$4="Logarithm",LN(0.001+IF(AND(ISNUMBER('Council Entry'!L$8),ISNUMBER('Council Entry'!L$9)),MAX(MIN('Council Entry'!L24,'Council Entry'!L$9),'Council Entry'!L$8),'Council Entry'!L24)),IF('Council Entry'!L$4="Exponential",EXP(IF(AND(ISNUMBER('Council Entry'!L$8),ISNUMBER('Council Entry'!L$9)),MAX(MIN('Council Entry'!L24,'Council Entry'!L$9),'Council Entry'!L$8),'Council Entry'!L24)),IF(AND(ISNUMBER('Council Entry'!L$8),ISNUMBER('Council Entry'!L$9)),MAX(MIN('Council Entry'!L24,'Council Entry'!L$9),'Council Entry'!L$8),'Council Entry'!L24))))-'Council Entry'!L$5)/('Council Entry'!L$6-'Council Entry'!L$5)),1))),"No data"))</f>
        <v/>
      </c>
      <c r="M24" s="13">
        <f>IF('Council Entry'!M24="","",IFERROR(MAX(0,MIN(10,ROUND(IF('Council Entry'!M$7="Decrease Risk",10-10*((IF('Council Entry'!M$4="Logarithm",LN(0.001+IF(AND(ISNUMBER('Council Entry'!M$8),ISNUMBER('Council Entry'!M$9)),MAX(MIN('Council Entry'!M24,'Council Entry'!M$9),'Council Entry'!M$8),'Council Entry'!M24)),IF('Council Entry'!M$4="Exponential",EXP(IF(AND(ISNUMBER('Council Entry'!M$8),ISNUMBER('Council Entry'!M$9)),MAX(MIN('Council Entry'!M24,'Council Entry'!M$9),'Council Entry'!M$8),'Council Entry'!M24)),IF(AND(ISNUMBER('Council Entry'!M$8),ISNUMBER('Council Entry'!M$9)),MAX(MIN('Council Entry'!M24,'Council Entry'!M$9),'Council Entry'!M$8),'Council Entry'!M24))))-'Council Entry'!M$5)/('Council Entry'!M$6-'Council Entry'!M$5),10*((IF('Council Entry'!M$4="Logarithm",LN(0.001+IF(AND(ISNUMBER('Council Entry'!M$8),ISNUMBER('Council Entry'!M$9)),MAX(MIN('Council Entry'!M24,'Council Entry'!M$9),'Council Entry'!M$8),'Council Entry'!M24)),IF('Council Entry'!M$4="Exponential",EXP(IF(AND(ISNUMBER('Council Entry'!M$8),ISNUMBER('Council Entry'!M$9)),MAX(MIN('Council Entry'!M24,'Council Entry'!M$9),'Council Entry'!M$8),'Council Entry'!M24)),IF(AND(ISNUMBER('Council Entry'!M$8),ISNUMBER('Council Entry'!M$9)),MAX(MIN('Council Entry'!M24,'Council Entry'!M$9),'Council Entry'!M$8),'Council Entry'!M24))))-'Council Entry'!M$5)/('Council Entry'!M$6-'Council Entry'!M$5)),1))),"No data"))</f>
        <v/>
      </c>
      <c r="N24" s="13">
        <f>IF('Council Entry'!N24="","",IFERROR(MAX(0,MIN(10,ROUND(IF('Council Entry'!N$7="Decrease Risk",10-10*((IF('Council Entry'!N$4="Logarithm",LN(0.001+IF(AND(ISNUMBER('Council Entry'!N$8),ISNUMBER('Council Entry'!N$9)),MAX(MIN('Council Entry'!N24,'Council Entry'!N$9),'Council Entry'!N$8),'Council Entry'!N24)),IF('Council Entry'!N$4="Exponential",EXP(IF(AND(ISNUMBER('Council Entry'!N$8),ISNUMBER('Council Entry'!N$9)),MAX(MIN('Council Entry'!N24,'Council Entry'!N$9),'Council Entry'!N$8),'Council Entry'!N24)),IF(AND(ISNUMBER('Council Entry'!N$8),ISNUMBER('Council Entry'!N$9)),MAX(MIN('Council Entry'!N24,'Council Entry'!N$9),'Council Entry'!N$8),'Council Entry'!N24))))-'Council Entry'!N$5)/('Council Entry'!N$6-'Council Entry'!N$5),10*((IF('Council Entry'!N$4="Logarithm",LN(0.001+IF(AND(ISNUMBER('Council Entry'!N$8),ISNUMBER('Council Entry'!N$9)),MAX(MIN('Council Entry'!N24,'Council Entry'!N$9),'Council Entry'!N$8),'Council Entry'!N24)),IF('Council Entry'!N$4="Exponential",EXP(IF(AND(ISNUMBER('Council Entry'!N$8),ISNUMBER('Council Entry'!N$9)),MAX(MIN('Council Entry'!N24,'Council Entry'!N$9),'Council Entry'!N$8),'Council Entry'!N24)),IF(AND(ISNUMBER('Council Entry'!N$8),ISNUMBER('Council Entry'!N$9)),MAX(MIN('Council Entry'!N24,'Council Entry'!N$9),'Council Entry'!N$8),'Council Entry'!N24))))-'Council Entry'!N$5)/('Council Entry'!N$6-'Council Entry'!N$5)),1))),"No data"))</f>
        <v/>
      </c>
      <c r="O24" s="13">
        <f>IF('Council Entry'!O24="","",IFERROR(MAX(0,MIN(10,ROUND(IF('Council Entry'!O$7="Decrease Risk",10-10*((IF('Council Entry'!O$4="Logarithm",LN(0.001+IF(AND(ISNUMBER('Council Entry'!O$8),ISNUMBER('Council Entry'!O$9)),MAX(MIN('Council Entry'!O24,'Council Entry'!O$9),'Council Entry'!O$8),'Council Entry'!O24)),IF('Council Entry'!O$4="Exponential",EXP(IF(AND(ISNUMBER('Council Entry'!O$8),ISNUMBER('Council Entry'!O$9)),MAX(MIN('Council Entry'!O24,'Council Entry'!O$9),'Council Entry'!O$8),'Council Entry'!O24)),IF(AND(ISNUMBER('Council Entry'!O$8),ISNUMBER('Council Entry'!O$9)),MAX(MIN('Council Entry'!O24,'Council Entry'!O$9),'Council Entry'!O$8),'Council Entry'!O24))))-'Council Entry'!O$5)/('Council Entry'!O$6-'Council Entry'!O$5),10*((IF('Council Entry'!O$4="Logarithm",LN(0.001+IF(AND(ISNUMBER('Council Entry'!O$8),ISNUMBER('Council Entry'!O$9)),MAX(MIN('Council Entry'!O24,'Council Entry'!O$9),'Council Entry'!O$8),'Council Entry'!O24)),IF('Council Entry'!O$4="Exponential",EXP(IF(AND(ISNUMBER('Council Entry'!O$8),ISNUMBER('Council Entry'!O$9)),MAX(MIN('Council Entry'!O24,'Council Entry'!O$9),'Council Entry'!O$8),'Council Entry'!O24)),IF(AND(ISNUMBER('Council Entry'!O$8),ISNUMBER('Council Entry'!O$9)),MAX(MIN('Council Entry'!O24,'Council Entry'!O$9),'Council Entry'!O$8),'Council Entry'!O24))))-'Council Entry'!O$5)/('Council Entry'!O$6-'Council Entry'!O$5)),1))),"No data"))</f>
        <v/>
      </c>
      <c r="P24" s="13">
        <f>IF('Council Entry'!P24="","",IFERROR(MAX(0,MIN(10,ROUND(IF('Council Entry'!P$7="Decrease Risk",10-10*((IF('Council Entry'!P$4="Logarithm",LN(0.001+IF(AND(ISNUMBER('Council Entry'!P$8),ISNUMBER('Council Entry'!P$9)),MAX(MIN('Council Entry'!P24,'Council Entry'!P$9),'Council Entry'!P$8),'Council Entry'!P24)),IF('Council Entry'!P$4="Exponential",EXP(IF(AND(ISNUMBER('Council Entry'!P$8),ISNUMBER('Council Entry'!P$9)),MAX(MIN('Council Entry'!P24,'Council Entry'!P$9),'Council Entry'!P$8),'Council Entry'!P24)),IF(AND(ISNUMBER('Council Entry'!P$8),ISNUMBER('Council Entry'!P$9)),MAX(MIN('Council Entry'!P24,'Council Entry'!P$9),'Council Entry'!P$8),'Council Entry'!P24))))-'Council Entry'!P$5)/('Council Entry'!P$6-'Council Entry'!P$5),10*((IF('Council Entry'!P$4="Logarithm",LN(0.001+IF(AND(ISNUMBER('Council Entry'!P$8),ISNUMBER('Council Entry'!P$9)),MAX(MIN('Council Entry'!P24,'Council Entry'!P$9),'Council Entry'!P$8),'Council Entry'!P24)),IF('Council Entry'!P$4="Exponential",EXP(IF(AND(ISNUMBER('Council Entry'!P$8),ISNUMBER('Council Entry'!P$9)),MAX(MIN('Council Entry'!P24,'Council Entry'!P$9),'Council Entry'!P$8),'Council Entry'!P24)),IF(AND(ISNUMBER('Council Entry'!P$8),ISNUMBER('Council Entry'!P$9)),MAX(MIN('Council Entry'!P24,'Council Entry'!P$9),'Council Entry'!P$8),'Council Entry'!P24))))-'Council Entry'!P$5)/('Council Entry'!P$6-'Council Entry'!P$5)),1))),"No data"))</f>
        <v/>
      </c>
      <c r="Q24" s="13">
        <f>IF('Council Entry'!Q24="","",IFERROR(MAX(0,MIN(10,ROUND(IF('Council Entry'!Q$7="Decrease Risk",10-10*((IF('Council Entry'!Q$4="Logarithm",LN(0.001+IF(AND(ISNUMBER('Council Entry'!Q$8),ISNUMBER('Council Entry'!Q$9)),MAX(MIN('Council Entry'!Q24,'Council Entry'!Q$9),'Council Entry'!Q$8),'Council Entry'!Q24)),IF('Council Entry'!Q$4="Exponential",EXP(IF(AND(ISNUMBER('Council Entry'!Q$8),ISNUMBER('Council Entry'!Q$9)),MAX(MIN('Council Entry'!Q24,'Council Entry'!Q$9),'Council Entry'!Q$8),'Council Entry'!Q24)),IF(AND(ISNUMBER('Council Entry'!Q$8),ISNUMBER('Council Entry'!Q$9)),MAX(MIN('Council Entry'!Q24,'Council Entry'!Q$9),'Council Entry'!Q$8),'Council Entry'!Q24))))-'Council Entry'!Q$5)/('Council Entry'!Q$6-'Council Entry'!Q$5),10*((IF('Council Entry'!Q$4="Logarithm",LN(0.001+IF(AND(ISNUMBER('Council Entry'!Q$8),ISNUMBER('Council Entry'!Q$9)),MAX(MIN('Council Entry'!Q24,'Council Entry'!Q$9),'Council Entry'!Q$8),'Council Entry'!Q24)),IF('Council Entry'!Q$4="Exponential",EXP(IF(AND(ISNUMBER('Council Entry'!Q$8),ISNUMBER('Council Entry'!Q$9)),MAX(MIN('Council Entry'!Q24,'Council Entry'!Q$9),'Council Entry'!Q$8),'Council Entry'!Q24)),IF(AND(ISNUMBER('Council Entry'!Q$8),ISNUMBER('Council Entry'!Q$9)),MAX(MIN('Council Entry'!Q24,'Council Entry'!Q$9),'Council Entry'!Q$8),'Council Entry'!Q24))))-'Council Entry'!Q$5)/('Council Entry'!Q$6-'Council Entry'!Q$5)),1))),"No data"))</f>
        <v/>
      </c>
      <c r="R24" s="13">
        <f>IF('Council Entry'!R24="","",IFERROR(MAX(0,MIN(10,ROUND(IF('Council Entry'!R$7="Decrease Risk",10-10*((IF('Council Entry'!R$4="Logarithm",LN(0.001+IF(AND(ISNUMBER('Council Entry'!R$8),ISNUMBER('Council Entry'!R$9)),MAX(MIN('Council Entry'!R24,'Council Entry'!R$9),'Council Entry'!R$8),'Council Entry'!R24)),IF('Council Entry'!R$4="Exponential",EXP(IF(AND(ISNUMBER('Council Entry'!R$8),ISNUMBER('Council Entry'!R$9)),MAX(MIN('Council Entry'!R24,'Council Entry'!R$9),'Council Entry'!R$8),'Council Entry'!R24)),IF(AND(ISNUMBER('Council Entry'!R$8),ISNUMBER('Council Entry'!R$9)),MAX(MIN('Council Entry'!R24,'Council Entry'!R$9),'Council Entry'!R$8),'Council Entry'!R24))))-'Council Entry'!R$5)/('Council Entry'!R$6-'Council Entry'!R$5),10*((IF('Council Entry'!R$4="Logarithm",LN(0.001+IF(AND(ISNUMBER('Council Entry'!R$8),ISNUMBER('Council Entry'!R$9)),MAX(MIN('Council Entry'!R24,'Council Entry'!R$9),'Council Entry'!R$8),'Council Entry'!R24)),IF('Council Entry'!R$4="Exponential",EXP(IF(AND(ISNUMBER('Council Entry'!R$8),ISNUMBER('Council Entry'!R$9)),MAX(MIN('Council Entry'!R24,'Council Entry'!R$9),'Council Entry'!R$8),'Council Entry'!R24)),IF(AND(ISNUMBER('Council Entry'!R$8),ISNUMBER('Council Entry'!R$9)),MAX(MIN('Council Entry'!R24,'Council Entry'!R$9),'Council Entry'!R$8),'Council Entry'!R24))))-'Council Entry'!R$5)/('Council Entry'!R$6-'Council Entry'!R$5)),1))),"No data"))</f>
        <v/>
      </c>
      <c r="S24" s="13">
        <f>IF('Council Entry'!S24="","",IFERROR(MAX(0,MIN(10,ROUND(IF('Council Entry'!S$7="Decrease Risk",10-10*((IF('Council Entry'!S$4="Logarithm",LN(0.001+IF(AND(ISNUMBER('Council Entry'!S$8),ISNUMBER('Council Entry'!S$9)),MAX(MIN('Council Entry'!S24,'Council Entry'!S$9),'Council Entry'!S$8),'Council Entry'!S24)),IF('Council Entry'!S$4="Exponential",EXP(IF(AND(ISNUMBER('Council Entry'!S$8),ISNUMBER('Council Entry'!S$9)),MAX(MIN('Council Entry'!S24,'Council Entry'!S$9),'Council Entry'!S$8),'Council Entry'!S24)),IF(AND(ISNUMBER('Council Entry'!S$8),ISNUMBER('Council Entry'!S$9)),MAX(MIN('Council Entry'!S24,'Council Entry'!S$9),'Council Entry'!S$8),'Council Entry'!S24))))-'Council Entry'!S$5)/('Council Entry'!S$6-'Council Entry'!S$5),10*((IF('Council Entry'!S$4="Logarithm",LN(0.001+IF(AND(ISNUMBER('Council Entry'!S$8),ISNUMBER('Council Entry'!S$9)),MAX(MIN('Council Entry'!S24,'Council Entry'!S$9),'Council Entry'!S$8),'Council Entry'!S24)),IF('Council Entry'!S$4="Exponential",EXP(IF(AND(ISNUMBER('Council Entry'!S$8),ISNUMBER('Council Entry'!S$9)),MAX(MIN('Council Entry'!S24,'Council Entry'!S$9),'Council Entry'!S$8),'Council Entry'!S24)),IF(AND(ISNUMBER('Council Entry'!S$8),ISNUMBER('Council Entry'!S$9)),MAX(MIN('Council Entry'!S24,'Council Entry'!S$9),'Council Entry'!S$8),'Council Entry'!S24))))-'Council Entry'!S$5)/('Council Entry'!S$6-'Council Entry'!S$5)),1))),"No data"))</f>
        <v/>
      </c>
      <c r="T24" s="13">
        <f>IF('Council Entry'!T24="","",IFERROR(MAX(0,MIN(10,ROUND(IF('Council Entry'!T$7="Decrease Risk",10-10*((IF('Council Entry'!T$4="Logarithm",LN(0.001+IF(AND(ISNUMBER('Council Entry'!T$8),ISNUMBER('Council Entry'!T$9)),MAX(MIN('Council Entry'!T24,'Council Entry'!T$9),'Council Entry'!T$8),'Council Entry'!T24)),IF('Council Entry'!T$4="Exponential",EXP(IF(AND(ISNUMBER('Council Entry'!T$8),ISNUMBER('Council Entry'!T$9)),MAX(MIN('Council Entry'!T24,'Council Entry'!T$9),'Council Entry'!T$8),'Council Entry'!T24)),IF(AND(ISNUMBER('Council Entry'!T$8),ISNUMBER('Council Entry'!T$9)),MAX(MIN('Council Entry'!T24,'Council Entry'!T$9),'Council Entry'!T$8),'Council Entry'!T24))))-'Council Entry'!T$5)/('Council Entry'!T$6-'Council Entry'!T$5),10*((IF('Council Entry'!T$4="Logarithm",LN(0.001+IF(AND(ISNUMBER('Council Entry'!T$8),ISNUMBER('Council Entry'!T$9)),MAX(MIN('Council Entry'!T24,'Council Entry'!T$9),'Council Entry'!T$8),'Council Entry'!T24)),IF('Council Entry'!T$4="Exponential",EXP(IF(AND(ISNUMBER('Council Entry'!T$8),ISNUMBER('Council Entry'!T$9)),MAX(MIN('Council Entry'!T24,'Council Entry'!T$9),'Council Entry'!T$8),'Council Entry'!T24)),IF(AND(ISNUMBER('Council Entry'!T$8),ISNUMBER('Council Entry'!T$9)),MAX(MIN('Council Entry'!T24,'Council Entry'!T$9),'Council Entry'!T$8),'Council Entry'!T24))))-'Council Entry'!T$5)/('Council Entry'!T$6-'Council Entry'!T$5)),1))),"No data"))</f>
        <v/>
      </c>
      <c r="U24" s="13">
        <f>IF('Council Entry'!U24="","",IFERROR(MAX(0,MIN(10,ROUND(IF('Council Entry'!U$7="Decrease Risk",10-10*((IF('Council Entry'!U$4="Logarithm",LN(0.001+IF(AND(ISNUMBER('Council Entry'!U$8),ISNUMBER('Council Entry'!U$9)),MAX(MIN('Council Entry'!U24,'Council Entry'!U$9),'Council Entry'!U$8),'Council Entry'!U24)),IF('Council Entry'!U$4="Exponential",EXP(IF(AND(ISNUMBER('Council Entry'!U$8),ISNUMBER('Council Entry'!U$9)),MAX(MIN('Council Entry'!U24,'Council Entry'!U$9),'Council Entry'!U$8),'Council Entry'!U24)),IF(AND(ISNUMBER('Council Entry'!U$8),ISNUMBER('Council Entry'!U$9)),MAX(MIN('Council Entry'!U24,'Council Entry'!U$9),'Council Entry'!U$8),'Council Entry'!U24))))-'Council Entry'!U$5)/('Council Entry'!U$6-'Council Entry'!U$5),10*((IF('Council Entry'!U$4="Logarithm",LN(0.001+IF(AND(ISNUMBER('Council Entry'!U$8),ISNUMBER('Council Entry'!U$9)),MAX(MIN('Council Entry'!U24,'Council Entry'!U$9),'Council Entry'!U$8),'Council Entry'!U24)),IF('Council Entry'!U$4="Exponential",EXP(IF(AND(ISNUMBER('Council Entry'!U$8),ISNUMBER('Council Entry'!U$9)),MAX(MIN('Council Entry'!U24,'Council Entry'!U$9),'Council Entry'!U$8),'Council Entry'!U24)),IF(AND(ISNUMBER('Council Entry'!U$8),ISNUMBER('Council Entry'!U$9)),MAX(MIN('Council Entry'!U24,'Council Entry'!U$9),'Council Entry'!U$8),'Council Entry'!U24))))-'Council Entry'!U$5)/('Council Entry'!U$6-'Council Entry'!U$5)),1))),"No data"))</f>
        <v/>
      </c>
      <c r="V24" s="13">
        <f>IF('Council Entry'!V24="","",IFERROR(MAX(0,MIN(10,ROUND(IF('Council Entry'!V$7="Decrease Risk",10-10*((IF('Council Entry'!V$4="Logarithm",LN(0.001+IF(AND(ISNUMBER('Council Entry'!V$8),ISNUMBER('Council Entry'!V$9)),MAX(MIN('Council Entry'!V24,'Council Entry'!V$9),'Council Entry'!V$8),'Council Entry'!V24)),IF('Council Entry'!V$4="Exponential",EXP(IF(AND(ISNUMBER('Council Entry'!V$8),ISNUMBER('Council Entry'!V$9)),MAX(MIN('Council Entry'!V24,'Council Entry'!V$9),'Council Entry'!V$8),'Council Entry'!V24)),IF(AND(ISNUMBER('Council Entry'!V$8),ISNUMBER('Council Entry'!V$9)),MAX(MIN('Council Entry'!V24,'Council Entry'!V$9),'Council Entry'!V$8),'Council Entry'!V24))))-'Council Entry'!V$5)/('Council Entry'!V$6-'Council Entry'!V$5),10*((IF('Council Entry'!V$4="Logarithm",LN(0.001+IF(AND(ISNUMBER('Council Entry'!V$8),ISNUMBER('Council Entry'!V$9)),MAX(MIN('Council Entry'!V24,'Council Entry'!V$9),'Council Entry'!V$8),'Council Entry'!V24)),IF('Council Entry'!V$4="Exponential",EXP(IF(AND(ISNUMBER('Council Entry'!V$8),ISNUMBER('Council Entry'!V$9)),MAX(MIN('Council Entry'!V24,'Council Entry'!V$9),'Council Entry'!V$8),'Council Entry'!V24)),IF(AND(ISNUMBER('Council Entry'!V$8),ISNUMBER('Council Entry'!V$9)),MAX(MIN('Council Entry'!V24,'Council Entry'!V$9),'Council Entry'!V$8),'Council Entry'!V24))))-'Council Entry'!V$5)/('Council Entry'!V$6-'Council Entry'!V$5)),1))),"No data"))</f>
        <v/>
      </c>
      <c r="W24" s="13">
        <f>IF('Council Entry'!W24="","",IFERROR(MAX(0,MIN(10,ROUND(IF('Council Entry'!W$7="Decrease Risk",10-10*((IF('Council Entry'!W$4="Logarithm",LN(0.001+IF(AND(ISNUMBER('Council Entry'!W$8),ISNUMBER('Council Entry'!W$9)),MAX(MIN('Council Entry'!W24,'Council Entry'!W$9),'Council Entry'!W$8),'Council Entry'!W24)),IF('Council Entry'!W$4="Exponential",EXP(IF(AND(ISNUMBER('Council Entry'!W$8),ISNUMBER('Council Entry'!W$9)),MAX(MIN('Council Entry'!W24,'Council Entry'!W$9),'Council Entry'!W$8),'Council Entry'!W24)),IF(AND(ISNUMBER('Council Entry'!W$8),ISNUMBER('Council Entry'!W$9)),MAX(MIN('Council Entry'!W24,'Council Entry'!W$9),'Council Entry'!W$8),'Council Entry'!W24))))-'Council Entry'!W$5)/('Council Entry'!W$6-'Council Entry'!W$5),10*((IF('Council Entry'!W$4="Logarithm",LN(0.001+IF(AND(ISNUMBER('Council Entry'!W$8),ISNUMBER('Council Entry'!W$9)),MAX(MIN('Council Entry'!W24,'Council Entry'!W$9),'Council Entry'!W$8),'Council Entry'!W24)),IF('Council Entry'!W$4="Exponential",EXP(IF(AND(ISNUMBER('Council Entry'!W$8),ISNUMBER('Council Entry'!W$9)),MAX(MIN('Council Entry'!W24,'Council Entry'!W$9),'Council Entry'!W$8),'Council Entry'!W24)),IF(AND(ISNUMBER('Council Entry'!W$8),ISNUMBER('Council Entry'!W$9)),MAX(MIN('Council Entry'!W24,'Council Entry'!W$9),'Council Entry'!W$8),'Council Entry'!W24))))-'Council Entry'!W$5)/('Council Entry'!W$6-'Council Entry'!W$5)),1))),"No data"))</f>
        <v/>
      </c>
      <c r="X24" s="13">
        <f>IF('Council Entry'!X24="","",IFERROR(MAX(0,MIN(10,ROUND(IF('Council Entry'!X$7="Decrease Risk",10-10*((IF('Council Entry'!X$4="Logarithm",LN(0.001+IF(AND(ISNUMBER('Council Entry'!X$8),ISNUMBER('Council Entry'!X$9)),MAX(MIN('Council Entry'!X24,'Council Entry'!X$9),'Council Entry'!X$8),'Council Entry'!X24)),IF('Council Entry'!X$4="Exponential",EXP(IF(AND(ISNUMBER('Council Entry'!X$8),ISNUMBER('Council Entry'!X$9)),MAX(MIN('Council Entry'!X24,'Council Entry'!X$9),'Council Entry'!X$8),'Council Entry'!X24)),IF(AND(ISNUMBER('Council Entry'!X$8),ISNUMBER('Council Entry'!X$9)),MAX(MIN('Council Entry'!X24,'Council Entry'!X$9),'Council Entry'!X$8),'Council Entry'!X24))))-'Council Entry'!X$5)/('Council Entry'!X$6-'Council Entry'!X$5),10*((IF('Council Entry'!X$4="Logarithm",LN(0.001+IF(AND(ISNUMBER('Council Entry'!X$8),ISNUMBER('Council Entry'!X$9)),MAX(MIN('Council Entry'!X24,'Council Entry'!X$9),'Council Entry'!X$8),'Council Entry'!X24)),IF('Council Entry'!X$4="Exponential",EXP(IF(AND(ISNUMBER('Council Entry'!X$8),ISNUMBER('Council Entry'!X$9)),MAX(MIN('Council Entry'!X24,'Council Entry'!X$9),'Council Entry'!X$8),'Council Entry'!X24)),IF(AND(ISNUMBER('Council Entry'!X$8),ISNUMBER('Council Entry'!X$9)),MAX(MIN('Council Entry'!X24,'Council Entry'!X$9),'Council Entry'!X$8),'Council Entry'!X24))))-'Council Entry'!X$5)/('Council Entry'!X$6-'Council Entry'!X$5)),1))),"No data"))</f>
        <v/>
      </c>
      <c r="Y24" s="13">
        <f>IF('Council Entry'!Y24="","",IFERROR(MAX(0,MIN(10,ROUND(IF('Council Entry'!Y$7="Decrease Risk",10-10*((IF('Council Entry'!Y$4="Logarithm",LN(0.001+IF(AND(ISNUMBER('Council Entry'!Y$8),ISNUMBER('Council Entry'!Y$9)),MAX(MIN('Council Entry'!Y24,'Council Entry'!Y$9),'Council Entry'!Y$8),'Council Entry'!Y24)),IF('Council Entry'!Y$4="Exponential",EXP(IF(AND(ISNUMBER('Council Entry'!Y$8),ISNUMBER('Council Entry'!Y$9)),MAX(MIN('Council Entry'!Y24,'Council Entry'!Y$9),'Council Entry'!Y$8),'Council Entry'!Y24)),IF(AND(ISNUMBER('Council Entry'!Y$8),ISNUMBER('Council Entry'!Y$9)),MAX(MIN('Council Entry'!Y24,'Council Entry'!Y$9),'Council Entry'!Y$8),'Council Entry'!Y24))))-'Council Entry'!Y$5)/('Council Entry'!Y$6-'Council Entry'!Y$5),10*((IF('Council Entry'!Y$4="Logarithm",LN(0.001+IF(AND(ISNUMBER('Council Entry'!Y$8),ISNUMBER('Council Entry'!Y$9)),MAX(MIN('Council Entry'!Y24,'Council Entry'!Y$9),'Council Entry'!Y$8),'Council Entry'!Y24)),IF('Council Entry'!Y$4="Exponential",EXP(IF(AND(ISNUMBER('Council Entry'!Y$8),ISNUMBER('Council Entry'!Y$9)),MAX(MIN('Council Entry'!Y24,'Council Entry'!Y$9),'Council Entry'!Y$8),'Council Entry'!Y24)),IF(AND(ISNUMBER('Council Entry'!Y$8),ISNUMBER('Council Entry'!Y$9)),MAX(MIN('Council Entry'!Y24,'Council Entry'!Y$9),'Council Entry'!Y$8),'Council Entry'!Y24))))-'Council Entry'!Y$5)/('Council Entry'!Y$6-'Council Entry'!Y$5)),1))),"No data"))</f>
        <v/>
      </c>
      <c r="Z24" s="13">
        <f>IF('Council Entry'!Z24="","",IFERROR(MAX(0,MIN(10,ROUND(IF('Council Entry'!Z$7="Decrease Risk",10-10*((IF('Council Entry'!Z$4="Logarithm",LN(0.001+IF(AND(ISNUMBER('Council Entry'!Z$8),ISNUMBER('Council Entry'!Z$9)),MAX(MIN('Council Entry'!Z24,'Council Entry'!Z$9),'Council Entry'!Z$8),'Council Entry'!Z24)),IF('Council Entry'!Z$4="Exponential",EXP(IF(AND(ISNUMBER('Council Entry'!Z$8),ISNUMBER('Council Entry'!Z$9)),MAX(MIN('Council Entry'!Z24,'Council Entry'!Z$9),'Council Entry'!Z$8),'Council Entry'!Z24)),IF(AND(ISNUMBER('Council Entry'!Z$8),ISNUMBER('Council Entry'!Z$9)),MAX(MIN('Council Entry'!Z24,'Council Entry'!Z$9),'Council Entry'!Z$8),'Council Entry'!Z24))))-'Council Entry'!Z$5)/('Council Entry'!Z$6-'Council Entry'!Z$5),10*((IF('Council Entry'!Z$4="Logarithm",LN(0.001+IF(AND(ISNUMBER('Council Entry'!Z$8),ISNUMBER('Council Entry'!Z$9)),MAX(MIN('Council Entry'!Z24,'Council Entry'!Z$9),'Council Entry'!Z$8),'Council Entry'!Z24)),IF('Council Entry'!Z$4="Exponential",EXP(IF(AND(ISNUMBER('Council Entry'!Z$8),ISNUMBER('Council Entry'!Z$9)),MAX(MIN('Council Entry'!Z24,'Council Entry'!Z$9),'Council Entry'!Z$8),'Council Entry'!Z24)),IF(AND(ISNUMBER('Council Entry'!Z$8),ISNUMBER('Council Entry'!Z$9)),MAX(MIN('Council Entry'!Z24,'Council Entry'!Z$9),'Council Entry'!Z$8),'Council Entry'!Z24))))-'Council Entry'!Z$5)/('Council Entry'!Z$6-'Council Entry'!Z$5)),1))),"No data"))</f>
        <v/>
      </c>
      <c r="AA24" s="13">
        <f>IF('Council Entry'!AA24="","",IFERROR(MAX(0,MIN(10,ROUND(IF('Council Entry'!AA$7="Decrease Risk",10-10*((IF('Council Entry'!AA$4="Logarithm",LN(0.001+IF(AND(ISNUMBER('Council Entry'!AA$8),ISNUMBER('Council Entry'!AA$9)),MAX(MIN('Council Entry'!AA24,'Council Entry'!AA$9),'Council Entry'!AA$8),'Council Entry'!AA24)),IF('Council Entry'!AA$4="Exponential",EXP(IF(AND(ISNUMBER('Council Entry'!AA$8),ISNUMBER('Council Entry'!AA$9)),MAX(MIN('Council Entry'!AA24,'Council Entry'!AA$9),'Council Entry'!AA$8),'Council Entry'!AA24)),IF(AND(ISNUMBER('Council Entry'!AA$8),ISNUMBER('Council Entry'!AA$9)),MAX(MIN('Council Entry'!AA24,'Council Entry'!AA$9),'Council Entry'!AA$8),'Council Entry'!AA24))))-'Council Entry'!AA$5)/('Council Entry'!AA$6-'Council Entry'!AA$5),10*((IF('Council Entry'!AA$4="Logarithm",LN(0.001+IF(AND(ISNUMBER('Council Entry'!AA$8),ISNUMBER('Council Entry'!AA$9)),MAX(MIN('Council Entry'!AA24,'Council Entry'!AA$9),'Council Entry'!AA$8),'Council Entry'!AA24)),IF('Council Entry'!AA$4="Exponential",EXP(IF(AND(ISNUMBER('Council Entry'!AA$8),ISNUMBER('Council Entry'!AA$9)),MAX(MIN('Council Entry'!AA24,'Council Entry'!AA$9),'Council Entry'!AA$8),'Council Entry'!AA24)),IF(AND(ISNUMBER('Council Entry'!AA$8),ISNUMBER('Council Entry'!AA$9)),MAX(MIN('Council Entry'!AA24,'Council Entry'!AA$9),'Council Entry'!AA$8),'Council Entry'!AA24))))-'Council Entry'!AA$5)/('Council Entry'!AA$6-'Council Entry'!AA$5)),1))),"No data"))</f>
        <v/>
      </c>
      <c r="AB24" s="13">
        <f>IF('Council Entry'!AB24="","",IFERROR(MAX(0,MIN(10,ROUND(IF('Council Entry'!AB$7="Decrease Risk",10-10*((IF('Council Entry'!AB$4="Logarithm",LN(0.001+IF(AND(ISNUMBER('Council Entry'!AB$8),ISNUMBER('Council Entry'!AB$9)),MAX(MIN('Council Entry'!AB24,'Council Entry'!AB$9),'Council Entry'!AB$8),'Council Entry'!AB24)),IF('Council Entry'!AB$4="Exponential",EXP(IF(AND(ISNUMBER('Council Entry'!AB$8),ISNUMBER('Council Entry'!AB$9)),MAX(MIN('Council Entry'!AB24,'Council Entry'!AB$9),'Council Entry'!AB$8),'Council Entry'!AB24)),IF(AND(ISNUMBER('Council Entry'!AB$8),ISNUMBER('Council Entry'!AB$9)),MAX(MIN('Council Entry'!AB24,'Council Entry'!AB$9),'Council Entry'!AB$8),'Council Entry'!AB24))))-'Council Entry'!AB$5)/('Council Entry'!AB$6-'Council Entry'!AB$5),10*((IF('Council Entry'!AB$4="Logarithm",LN(0.001+IF(AND(ISNUMBER('Council Entry'!AB$8),ISNUMBER('Council Entry'!AB$9)),MAX(MIN('Council Entry'!AB24,'Council Entry'!AB$9),'Council Entry'!AB$8),'Council Entry'!AB24)),IF('Council Entry'!AB$4="Exponential",EXP(IF(AND(ISNUMBER('Council Entry'!AB$8),ISNUMBER('Council Entry'!AB$9)),MAX(MIN('Council Entry'!AB24,'Council Entry'!AB$9),'Council Entry'!AB$8),'Council Entry'!AB24)),IF(AND(ISNUMBER('Council Entry'!AB$8),ISNUMBER('Council Entry'!AB$9)),MAX(MIN('Council Entry'!AB24,'Council Entry'!AB$9),'Council Entry'!AB$8),'Council Entry'!AB24))))-'Council Entry'!AB$5)/('Council Entry'!AB$6-'Council Entry'!AB$5)),1))),"No data"))</f>
        <v/>
      </c>
      <c r="AC24" s="13">
        <f>IF('Council Entry'!AC24="","",IFERROR(MAX(0,MIN(10,ROUND(IF('Council Entry'!AC$7="Decrease Risk",10-10*((IF('Council Entry'!AC$4="Logarithm",LN(0.001+IF(AND(ISNUMBER('Council Entry'!AC$8),ISNUMBER('Council Entry'!AC$9)),MAX(MIN('Council Entry'!AC24,'Council Entry'!AC$9),'Council Entry'!AC$8),'Council Entry'!AC24)),IF('Council Entry'!AC$4="Exponential",EXP(IF(AND(ISNUMBER('Council Entry'!AC$8),ISNUMBER('Council Entry'!AC$9)),MAX(MIN('Council Entry'!AC24,'Council Entry'!AC$9),'Council Entry'!AC$8),'Council Entry'!AC24)),IF(AND(ISNUMBER('Council Entry'!AC$8),ISNUMBER('Council Entry'!AC$9)),MAX(MIN('Council Entry'!AC24,'Council Entry'!AC$9),'Council Entry'!AC$8),'Council Entry'!AC24))))-'Council Entry'!AC$5)/('Council Entry'!AC$6-'Council Entry'!AC$5),10*((IF('Council Entry'!AC$4="Logarithm",LN(0.001+IF(AND(ISNUMBER('Council Entry'!AC$8),ISNUMBER('Council Entry'!AC$9)),MAX(MIN('Council Entry'!AC24,'Council Entry'!AC$9),'Council Entry'!AC$8),'Council Entry'!AC24)),IF('Council Entry'!AC$4="Exponential",EXP(IF(AND(ISNUMBER('Council Entry'!AC$8),ISNUMBER('Council Entry'!AC$9)),MAX(MIN('Council Entry'!AC24,'Council Entry'!AC$9),'Council Entry'!AC$8),'Council Entry'!AC24)),IF(AND(ISNUMBER('Council Entry'!AC$8),ISNUMBER('Council Entry'!AC$9)),MAX(MIN('Council Entry'!AC24,'Council Entry'!AC$9),'Council Entry'!AC$8),'Council Entry'!AC24))))-'Council Entry'!AC$5)/('Council Entry'!AC$6-'Council Entry'!AC$5)),1))),"No data"))</f>
        <v/>
      </c>
      <c r="AD24" s="13">
        <f>IF('Council Entry'!AD24="","",IFERROR(MAX(0,MIN(10,ROUND(IF('Council Entry'!AD$7="Decrease Risk",10-10*((IF('Council Entry'!AD$4="Logarithm",LN(0.001+IF(AND(ISNUMBER('Council Entry'!AD$8),ISNUMBER('Council Entry'!AD$9)),MAX(MIN('Council Entry'!AD24,'Council Entry'!AD$9),'Council Entry'!AD$8),'Council Entry'!AD24)),IF('Council Entry'!AD$4="Exponential",EXP(IF(AND(ISNUMBER('Council Entry'!AD$8),ISNUMBER('Council Entry'!AD$9)),MAX(MIN('Council Entry'!AD24,'Council Entry'!AD$9),'Council Entry'!AD$8),'Council Entry'!AD24)),IF(AND(ISNUMBER('Council Entry'!AD$8),ISNUMBER('Council Entry'!AD$9)),MAX(MIN('Council Entry'!AD24,'Council Entry'!AD$9),'Council Entry'!AD$8),'Council Entry'!AD24))))-'Council Entry'!AD$5)/('Council Entry'!AD$6-'Council Entry'!AD$5),10*((IF('Council Entry'!AD$4="Logarithm",LN(0.001+IF(AND(ISNUMBER('Council Entry'!AD$8),ISNUMBER('Council Entry'!AD$9)),MAX(MIN('Council Entry'!AD24,'Council Entry'!AD$9),'Council Entry'!AD$8),'Council Entry'!AD24)),IF('Council Entry'!AD$4="Exponential",EXP(IF(AND(ISNUMBER('Council Entry'!AD$8),ISNUMBER('Council Entry'!AD$9)),MAX(MIN('Council Entry'!AD24,'Council Entry'!AD$9),'Council Entry'!AD$8),'Council Entry'!AD24)),IF(AND(ISNUMBER('Council Entry'!AD$8),ISNUMBER('Council Entry'!AD$9)),MAX(MIN('Council Entry'!AD24,'Council Entry'!AD$9),'Council Entry'!AD$8),'Council Entry'!AD24))))-'Council Entry'!AD$5)/('Council Entry'!AD$6-'Council Entry'!AD$5)),1))),"No data"))</f>
        <v/>
      </c>
      <c r="AE24" s="13">
        <f>IF('Council Entry'!AE24="","",IFERROR(MAX(0,MIN(10,ROUND(IF('Council Entry'!AE$7="Decrease Risk",10-10*((IF('Council Entry'!AE$4="Logarithm",LN(0.001+IF(AND(ISNUMBER('Council Entry'!AE$8),ISNUMBER('Council Entry'!AE$9)),MAX(MIN('Council Entry'!AE24,'Council Entry'!AE$9),'Council Entry'!AE$8),'Council Entry'!AE24)),IF('Council Entry'!AE$4="Exponential",EXP(IF(AND(ISNUMBER('Council Entry'!AE$8),ISNUMBER('Council Entry'!AE$9)),MAX(MIN('Council Entry'!AE24,'Council Entry'!AE$9),'Council Entry'!AE$8),'Council Entry'!AE24)),IF(AND(ISNUMBER('Council Entry'!AE$8),ISNUMBER('Council Entry'!AE$9)),MAX(MIN('Council Entry'!AE24,'Council Entry'!AE$9),'Council Entry'!AE$8),'Council Entry'!AE24))))-'Council Entry'!AE$5)/('Council Entry'!AE$6-'Council Entry'!AE$5),10*((IF('Council Entry'!AE$4="Logarithm",LN(0.001+IF(AND(ISNUMBER('Council Entry'!AE$8),ISNUMBER('Council Entry'!AE$9)),MAX(MIN('Council Entry'!AE24,'Council Entry'!AE$9),'Council Entry'!AE$8),'Council Entry'!AE24)),IF('Council Entry'!AE$4="Exponential",EXP(IF(AND(ISNUMBER('Council Entry'!AE$8),ISNUMBER('Council Entry'!AE$9)),MAX(MIN('Council Entry'!AE24,'Council Entry'!AE$9),'Council Entry'!AE$8),'Council Entry'!AE24)),IF(AND(ISNUMBER('Council Entry'!AE$8),ISNUMBER('Council Entry'!AE$9)),MAX(MIN('Council Entry'!AE24,'Council Entry'!AE$9),'Council Entry'!AE$8),'Council Entry'!AE24))))-'Council Entry'!AE$5)/('Council Entry'!AE$6-'Council Entry'!AE$5)),1))),"No data"))</f>
        <v/>
      </c>
      <c r="AF24" s="13">
        <f>IF('Council Entry'!AF24="","",IFERROR(MAX(0,MIN(10,ROUND(IF('Council Entry'!AF$7="Decrease Risk",10-10*((IF('Council Entry'!AF$4="Logarithm",LN(0.001+IF(AND(ISNUMBER('Council Entry'!AF$8),ISNUMBER('Council Entry'!AF$9)),MAX(MIN('Council Entry'!AF24,'Council Entry'!AF$9),'Council Entry'!AF$8),'Council Entry'!AF24)),IF('Council Entry'!AF$4="Exponential",EXP(IF(AND(ISNUMBER('Council Entry'!AF$8),ISNUMBER('Council Entry'!AF$9)),MAX(MIN('Council Entry'!AF24,'Council Entry'!AF$9),'Council Entry'!AF$8),'Council Entry'!AF24)),IF(AND(ISNUMBER('Council Entry'!AF$8),ISNUMBER('Council Entry'!AF$9)),MAX(MIN('Council Entry'!AF24,'Council Entry'!AF$9),'Council Entry'!AF$8),'Council Entry'!AF24))))-'Council Entry'!AF$5)/('Council Entry'!AF$6-'Council Entry'!AF$5),10*((IF('Council Entry'!AF$4="Logarithm",LN(0.001+IF(AND(ISNUMBER('Council Entry'!AF$8),ISNUMBER('Council Entry'!AF$9)),MAX(MIN('Council Entry'!AF24,'Council Entry'!AF$9),'Council Entry'!AF$8),'Council Entry'!AF24)),IF('Council Entry'!AF$4="Exponential",EXP(IF(AND(ISNUMBER('Council Entry'!AF$8),ISNUMBER('Council Entry'!AF$9)),MAX(MIN('Council Entry'!AF24,'Council Entry'!AF$9),'Council Entry'!AF$8),'Council Entry'!AF24)),IF(AND(ISNUMBER('Council Entry'!AF$8),ISNUMBER('Council Entry'!AF$9)),MAX(MIN('Council Entry'!AF24,'Council Entry'!AF$9),'Council Entry'!AF$8),'Council Entry'!AF24))))-'Council Entry'!AF$5)/('Council Entry'!AF$6-'Council Entry'!AF$5)),1))),"No data"))</f>
        <v/>
      </c>
      <c r="AG24" s="13">
        <f>IF('Council Entry'!AG24="","",IFERROR(MAX(0,MIN(10,ROUND(IF('Council Entry'!AG$7="Decrease Risk",10-10*((IF('Council Entry'!AG$4="Logarithm",LN(0.001+IF(AND(ISNUMBER('Council Entry'!AG$8),ISNUMBER('Council Entry'!AG$9)),MAX(MIN('Council Entry'!AG24,'Council Entry'!AG$9),'Council Entry'!AG$8),'Council Entry'!AG24)),IF('Council Entry'!AG$4="Exponential",EXP(IF(AND(ISNUMBER('Council Entry'!AG$8),ISNUMBER('Council Entry'!AG$9)),MAX(MIN('Council Entry'!AG24,'Council Entry'!AG$9),'Council Entry'!AG$8),'Council Entry'!AG24)),IF(AND(ISNUMBER('Council Entry'!AG$8),ISNUMBER('Council Entry'!AG$9)),MAX(MIN('Council Entry'!AG24,'Council Entry'!AG$9),'Council Entry'!AG$8),'Council Entry'!AG24))))-'Council Entry'!AG$5)/('Council Entry'!AG$6-'Council Entry'!AG$5),10*((IF('Council Entry'!AG$4="Logarithm",LN(0.001+IF(AND(ISNUMBER('Council Entry'!AG$8),ISNUMBER('Council Entry'!AG$9)),MAX(MIN('Council Entry'!AG24,'Council Entry'!AG$9),'Council Entry'!AG$8),'Council Entry'!AG24)),IF('Council Entry'!AG$4="Exponential",EXP(IF(AND(ISNUMBER('Council Entry'!AG$8),ISNUMBER('Council Entry'!AG$9)),MAX(MIN('Council Entry'!AG24,'Council Entry'!AG$9),'Council Entry'!AG$8),'Council Entry'!AG24)),IF(AND(ISNUMBER('Council Entry'!AG$8),ISNUMBER('Council Entry'!AG$9)),MAX(MIN('Council Entry'!AG24,'Council Entry'!AG$9),'Council Entry'!AG$8),'Council Entry'!AG24))))-'Council Entry'!AG$5)/('Council Entry'!AG$6-'Council Entry'!AG$5)),1))),"No data"))</f>
        <v/>
      </c>
      <c r="AH24" s="13">
        <f>IF('Council Entry'!AH24="","",IFERROR(MAX(0,MIN(10,ROUND(IF('Council Entry'!AH$7="Decrease Risk",10-10*((IF('Council Entry'!AH$4="Logarithm",LN(0.001+IF(AND(ISNUMBER('Council Entry'!AH$8),ISNUMBER('Council Entry'!AH$9)),MAX(MIN('Council Entry'!AH24,'Council Entry'!AH$9),'Council Entry'!AH$8),'Council Entry'!AH24)),IF('Council Entry'!AH$4="Exponential",EXP(IF(AND(ISNUMBER('Council Entry'!AH$8),ISNUMBER('Council Entry'!AH$9)),MAX(MIN('Council Entry'!AH24,'Council Entry'!AH$9),'Council Entry'!AH$8),'Council Entry'!AH24)),IF(AND(ISNUMBER('Council Entry'!AH$8),ISNUMBER('Council Entry'!AH$9)),MAX(MIN('Council Entry'!AH24,'Council Entry'!AH$9),'Council Entry'!AH$8),'Council Entry'!AH24))))-'Council Entry'!AH$5)/('Council Entry'!AH$6-'Council Entry'!AH$5),10*((IF('Council Entry'!AH$4="Logarithm",LN(0.001+IF(AND(ISNUMBER('Council Entry'!AH$8),ISNUMBER('Council Entry'!AH$9)),MAX(MIN('Council Entry'!AH24,'Council Entry'!AH$9),'Council Entry'!AH$8),'Council Entry'!AH24)),IF('Council Entry'!AH$4="Exponential",EXP(IF(AND(ISNUMBER('Council Entry'!AH$8),ISNUMBER('Council Entry'!AH$9)),MAX(MIN('Council Entry'!AH24,'Council Entry'!AH$9),'Council Entry'!AH$8),'Council Entry'!AH24)),IF(AND(ISNUMBER('Council Entry'!AH$8),ISNUMBER('Council Entry'!AH$9)),MAX(MIN('Council Entry'!AH24,'Council Entry'!AH$9),'Council Entry'!AH$8),'Council Entry'!AH24))))-'Council Entry'!AH$5)/('Council Entry'!AH$6-'Council Entry'!AH$5)),1))),"No data"))</f>
        <v/>
      </c>
      <c r="AI24" s="13">
        <f>IF('Council Entry'!AI24="","",IFERROR(MAX(0,MIN(10,ROUND(IF('Council Entry'!AI$7="Decrease Risk",10-10*((IF('Council Entry'!AI$4="Logarithm",LN(0.001+IF(AND(ISNUMBER('Council Entry'!AI$8),ISNUMBER('Council Entry'!AI$9)),MAX(MIN('Council Entry'!AI24,'Council Entry'!AI$9),'Council Entry'!AI$8),'Council Entry'!AI24)),IF('Council Entry'!AI$4="Exponential",EXP(IF(AND(ISNUMBER('Council Entry'!AI$8),ISNUMBER('Council Entry'!AI$9)),MAX(MIN('Council Entry'!AI24,'Council Entry'!AI$9),'Council Entry'!AI$8),'Council Entry'!AI24)),IF(AND(ISNUMBER('Council Entry'!AI$8),ISNUMBER('Council Entry'!AI$9)),MAX(MIN('Council Entry'!AI24,'Council Entry'!AI$9),'Council Entry'!AI$8),'Council Entry'!AI24))))-'Council Entry'!AI$5)/('Council Entry'!AI$6-'Council Entry'!AI$5),10*((IF('Council Entry'!AI$4="Logarithm",LN(0.001+IF(AND(ISNUMBER('Council Entry'!AI$8),ISNUMBER('Council Entry'!AI$9)),MAX(MIN('Council Entry'!AI24,'Council Entry'!AI$9),'Council Entry'!AI$8),'Council Entry'!AI24)),IF('Council Entry'!AI$4="Exponential",EXP(IF(AND(ISNUMBER('Council Entry'!AI$8),ISNUMBER('Council Entry'!AI$9)),MAX(MIN('Council Entry'!AI24,'Council Entry'!AI$9),'Council Entry'!AI$8),'Council Entry'!AI24)),IF(AND(ISNUMBER('Council Entry'!AI$8),ISNUMBER('Council Entry'!AI$9)),MAX(MIN('Council Entry'!AI24,'Council Entry'!AI$9),'Council Entry'!AI$8),'Council Entry'!AI24))))-'Council Entry'!AI$5)/('Council Entry'!AI$6-'Council Entry'!AI$5)),1))),"No data"))</f>
        <v/>
      </c>
      <c r="AJ24" s="13">
        <f>IF('Council Entry'!AJ24="","",IFERROR(MAX(0,MIN(10,ROUND(IF('Council Entry'!AJ$7="Decrease Risk",10-10*((IF('Council Entry'!AJ$4="Logarithm",LN(0.001+IF(AND(ISNUMBER('Council Entry'!AJ$8),ISNUMBER('Council Entry'!AJ$9)),MAX(MIN('Council Entry'!AJ24,'Council Entry'!AJ$9),'Council Entry'!AJ$8),'Council Entry'!AJ24)),IF('Council Entry'!AJ$4="Exponential",EXP(IF(AND(ISNUMBER('Council Entry'!AJ$8),ISNUMBER('Council Entry'!AJ$9)),MAX(MIN('Council Entry'!AJ24,'Council Entry'!AJ$9),'Council Entry'!AJ$8),'Council Entry'!AJ24)),IF(AND(ISNUMBER('Council Entry'!AJ$8),ISNUMBER('Council Entry'!AJ$9)),MAX(MIN('Council Entry'!AJ24,'Council Entry'!AJ$9),'Council Entry'!AJ$8),'Council Entry'!AJ24))))-'Council Entry'!AJ$5)/('Council Entry'!AJ$6-'Council Entry'!AJ$5),10*((IF('Council Entry'!AJ$4="Logarithm",LN(0.001+IF(AND(ISNUMBER('Council Entry'!AJ$8),ISNUMBER('Council Entry'!AJ$9)),MAX(MIN('Council Entry'!AJ24,'Council Entry'!AJ$9),'Council Entry'!AJ$8),'Council Entry'!AJ24)),IF('Council Entry'!AJ$4="Exponential",EXP(IF(AND(ISNUMBER('Council Entry'!AJ$8),ISNUMBER('Council Entry'!AJ$9)),MAX(MIN('Council Entry'!AJ24,'Council Entry'!AJ$9),'Council Entry'!AJ$8),'Council Entry'!AJ24)),IF(AND(ISNUMBER('Council Entry'!AJ$8),ISNUMBER('Council Entry'!AJ$9)),MAX(MIN('Council Entry'!AJ24,'Council Entry'!AJ$9),'Council Entry'!AJ$8),'Council Entry'!AJ24))))-'Council Entry'!AJ$5)/('Council Entry'!AJ$6-'Council Entry'!AJ$5)),1))),"No data"))</f>
        <v/>
      </c>
      <c r="AK24" s="13">
        <f>IF('Council Entry'!AK24="","",IFERROR(MAX(0,MIN(10,ROUND(IF('Council Entry'!AK$7="Decrease Risk",10-10*((IF('Council Entry'!AK$4="Logarithm",LN(0.001+IF(AND(ISNUMBER('Council Entry'!AK$8),ISNUMBER('Council Entry'!AK$9)),MAX(MIN('Council Entry'!AK24,'Council Entry'!AK$9),'Council Entry'!AK$8),'Council Entry'!AK24)),IF('Council Entry'!AK$4="Exponential",EXP(IF(AND(ISNUMBER('Council Entry'!AK$8),ISNUMBER('Council Entry'!AK$9)),MAX(MIN('Council Entry'!AK24,'Council Entry'!AK$9),'Council Entry'!AK$8),'Council Entry'!AK24)),IF(AND(ISNUMBER('Council Entry'!AK$8),ISNUMBER('Council Entry'!AK$9)),MAX(MIN('Council Entry'!AK24,'Council Entry'!AK$9),'Council Entry'!AK$8),'Council Entry'!AK24))))-'Council Entry'!AK$5)/('Council Entry'!AK$6-'Council Entry'!AK$5),10*((IF('Council Entry'!AK$4="Logarithm",LN(0.001+IF(AND(ISNUMBER('Council Entry'!AK$8),ISNUMBER('Council Entry'!AK$9)),MAX(MIN('Council Entry'!AK24,'Council Entry'!AK$9),'Council Entry'!AK$8),'Council Entry'!AK24)),IF('Council Entry'!AK$4="Exponential",EXP(IF(AND(ISNUMBER('Council Entry'!AK$8),ISNUMBER('Council Entry'!AK$9)),MAX(MIN('Council Entry'!AK24,'Council Entry'!AK$9),'Council Entry'!AK$8),'Council Entry'!AK24)),IF(AND(ISNUMBER('Council Entry'!AK$8),ISNUMBER('Council Entry'!AK$9)),MAX(MIN('Council Entry'!AK24,'Council Entry'!AK$9),'Council Entry'!AK$8),'Council Entry'!AK24))))-'Council Entry'!AK$5)/('Council Entry'!AK$6-'Council Entry'!AK$5)),1))),"No data"))</f>
        <v/>
      </c>
      <c r="AL24" s="13">
        <f>IF('Council Entry'!AL24="","",IFERROR(MAX(0,MIN(10,ROUND(IF('Council Entry'!AL$7="Decrease Risk",10-10*((IF('Council Entry'!AL$4="Logarithm",LN(0.001+IF(AND(ISNUMBER('Council Entry'!AL$8),ISNUMBER('Council Entry'!AL$9)),MAX(MIN('Council Entry'!AL24,'Council Entry'!AL$9),'Council Entry'!AL$8),'Council Entry'!AL24)),IF('Council Entry'!AL$4="Exponential",EXP(IF(AND(ISNUMBER('Council Entry'!AL$8),ISNUMBER('Council Entry'!AL$9)),MAX(MIN('Council Entry'!AL24,'Council Entry'!AL$9),'Council Entry'!AL$8),'Council Entry'!AL24)),IF(AND(ISNUMBER('Council Entry'!AL$8),ISNUMBER('Council Entry'!AL$9)),MAX(MIN('Council Entry'!AL24,'Council Entry'!AL$9),'Council Entry'!AL$8),'Council Entry'!AL24))))-'Council Entry'!AL$5)/('Council Entry'!AL$6-'Council Entry'!AL$5),10*((IF('Council Entry'!AL$4="Logarithm",LN(0.001+IF(AND(ISNUMBER('Council Entry'!AL$8),ISNUMBER('Council Entry'!AL$9)),MAX(MIN('Council Entry'!AL24,'Council Entry'!AL$9),'Council Entry'!AL$8),'Council Entry'!AL24)),IF('Council Entry'!AL$4="Exponential",EXP(IF(AND(ISNUMBER('Council Entry'!AL$8),ISNUMBER('Council Entry'!AL$9)),MAX(MIN('Council Entry'!AL24,'Council Entry'!AL$9),'Council Entry'!AL$8),'Council Entry'!AL24)),IF(AND(ISNUMBER('Council Entry'!AL$8),ISNUMBER('Council Entry'!AL$9)),MAX(MIN('Council Entry'!AL24,'Council Entry'!AL$9),'Council Entry'!AL$8),'Council Entry'!AL24))))-'Council Entry'!AL$5)/('Council Entry'!AL$6-'Council Entry'!AL$5)),1))),"No data"))</f>
        <v/>
      </c>
      <c r="AM24" s="13">
        <f>IF('Council Entry'!AM24="","",IFERROR(MAX(0,MIN(10,ROUND(IF('Council Entry'!AM$7="Decrease Risk",10-10*((IF('Council Entry'!AM$4="Logarithm",LN(0.001+IF(AND(ISNUMBER('Council Entry'!AM$8),ISNUMBER('Council Entry'!AM$9)),MAX(MIN('Council Entry'!AM24,'Council Entry'!AM$9),'Council Entry'!AM$8),'Council Entry'!AM24)),IF('Council Entry'!AM$4="Exponential",EXP(IF(AND(ISNUMBER('Council Entry'!AM$8),ISNUMBER('Council Entry'!AM$9)),MAX(MIN('Council Entry'!AM24,'Council Entry'!AM$9),'Council Entry'!AM$8),'Council Entry'!AM24)),IF(AND(ISNUMBER('Council Entry'!AM$8),ISNUMBER('Council Entry'!AM$9)),MAX(MIN('Council Entry'!AM24,'Council Entry'!AM$9),'Council Entry'!AM$8),'Council Entry'!AM24))))-'Council Entry'!AM$5)/('Council Entry'!AM$6-'Council Entry'!AM$5),10*((IF('Council Entry'!AM$4="Logarithm",LN(0.001+IF(AND(ISNUMBER('Council Entry'!AM$8),ISNUMBER('Council Entry'!AM$9)),MAX(MIN('Council Entry'!AM24,'Council Entry'!AM$9),'Council Entry'!AM$8),'Council Entry'!AM24)),IF('Council Entry'!AM$4="Exponential",EXP(IF(AND(ISNUMBER('Council Entry'!AM$8),ISNUMBER('Council Entry'!AM$9)),MAX(MIN('Council Entry'!AM24,'Council Entry'!AM$9),'Council Entry'!AM$8),'Council Entry'!AM24)),IF(AND(ISNUMBER('Council Entry'!AM$8),ISNUMBER('Council Entry'!AM$9)),MAX(MIN('Council Entry'!AM24,'Council Entry'!AM$9),'Council Entry'!AM$8),'Council Entry'!AM24))))-'Council Entry'!AM$5)/('Council Entry'!AM$6-'Council Entry'!AM$5)),1))),"No data"))</f>
        <v/>
      </c>
      <c r="AN24" s="13">
        <f>IF('Council Entry'!AN24="","",IFERROR(MAX(0,MIN(10,ROUND(IF('Council Entry'!AN$7="Decrease Risk",10-10*((IF('Council Entry'!AN$4="Logarithm",LN(0.001+IF(AND(ISNUMBER('Council Entry'!AN$8),ISNUMBER('Council Entry'!AN$9)),MAX(MIN('Council Entry'!AN24,'Council Entry'!AN$9),'Council Entry'!AN$8),'Council Entry'!AN24)),IF('Council Entry'!AN$4="Exponential",EXP(IF(AND(ISNUMBER('Council Entry'!AN$8),ISNUMBER('Council Entry'!AN$9)),MAX(MIN('Council Entry'!AN24,'Council Entry'!AN$9),'Council Entry'!AN$8),'Council Entry'!AN24)),IF(AND(ISNUMBER('Council Entry'!AN$8),ISNUMBER('Council Entry'!AN$9)),MAX(MIN('Council Entry'!AN24,'Council Entry'!AN$9),'Council Entry'!AN$8),'Council Entry'!AN24))))-'Council Entry'!AN$5)/('Council Entry'!AN$6-'Council Entry'!AN$5),10*((IF('Council Entry'!AN$4="Logarithm",LN(0.001+IF(AND(ISNUMBER('Council Entry'!AN$8),ISNUMBER('Council Entry'!AN$9)),MAX(MIN('Council Entry'!AN24,'Council Entry'!AN$9),'Council Entry'!AN$8),'Council Entry'!AN24)),IF('Council Entry'!AN$4="Exponential",EXP(IF(AND(ISNUMBER('Council Entry'!AN$8),ISNUMBER('Council Entry'!AN$9)),MAX(MIN('Council Entry'!AN24,'Council Entry'!AN$9),'Council Entry'!AN$8),'Council Entry'!AN24)),IF(AND(ISNUMBER('Council Entry'!AN$8),ISNUMBER('Council Entry'!AN$9)),MAX(MIN('Council Entry'!AN24,'Council Entry'!AN$9),'Council Entry'!AN$8),'Council Entry'!AN24))))-'Council Entry'!AN$5)/('Council Entry'!AN$6-'Council Entry'!AN$5)),1))),"No data"))</f>
        <v/>
      </c>
      <c r="AO24" s="13">
        <f>IF('Council Entry'!AO24="","",IFERROR(MAX(0,MIN(10,ROUND(IF('Council Entry'!AO$7="Decrease Risk",10-10*((IF('Council Entry'!AO$4="Logarithm",LN(0.001+IF(AND(ISNUMBER('Council Entry'!AO$8),ISNUMBER('Council Entry'!AO$9)),MAX(MIN('Council Entry'!AO24,'Council Entry'!AO$9),'Council Entry'!AO$8),'Council Entry'!AO24)),IF('Council Entry'!AO$4="Exponential",EXP(IF(AND(ISNUMBER('Council Entry'!AO$8),ISNUMBER('Council Entry'!AO$9)),MAX(MIN('Council Entry'!AO24,'Council Entry'!AO$9),'Council Entry'!AO$8),'Council Entry'!AO24)),IF(AND(ISNUMBER('Council Entry'!AO$8),ISNUMBER('Council Entry'!AO$9)),MAX(MIN('Council Entry'!AO24,'Council Entry'!AO$9),'Council Entry'!AO$8),'Council Entry'!AO24))))-'Council Entry'!AO$5)/('Council Entry'!AO$6-'Council Entry'!AO$5),10*((IF('Council Entry'!AO$4="Logarithm",LN(0.001+IF(AND(ISNUMBER('Council Entry'!AO$8),ISNUMBER('Council Entry'!AO$9)),MAX(MIN('Council Entry'!AO24,'Council Entry'!AO$9),'Council Entry'!AO$8),'Council Entry'!AO24)),IF('Council Entry'!AO$4="Exponential",EXP(IF(AND(ISNUMBER('Council Entry'!AO$8),ISNUMBER('Council Entry'!AO$9)),MAX(MIN('Council Entry'!AO24,'Council Entry'!AO$9),'Council Entry'!AO$8),'Council Entry'!AO24)),IF(AND(ISNUMBER('Council Entry'!AO$8),ISNUMBER('Council Entry'!AO$9)),MAX(MIN('Council Entry'!AO24,'Council Entry'!AO$9),'Council Entry'!AO$8),'Council Entry'!AO24))))-'Council Entry'!AO$5)/('Council Entry'!AO$6-'Council Entry'!AO$5)),1))),"No data"))</f>
        <v/>
      </c>
      <c r="AP24" s="13">
        <f>IF('Council Entry'!AP24="","",IFERROR(MAX(0,MIN(10,ROUND(IF('Council Entry'!AP$7="Decrease Risk",10-10*((IF('Council Entry'!AP$4="Logarithm",LN(0.001+IF(AND(ISNUMBER('Council Entry'!AP$8),ISNUMBER('Council Entry'!AP$9)),MAX(MIN('Council Entry'!AP24,'Council Entry'!AP$9),'Council Entry'!AP$8),'Council Entry'!AP24)),IF('Council Entry'!AP$4="Exponential",EXP(IF(AND(ISNUMBER('Council Entry'!AP$8),ISNUMBER('Council Entry'!AP$9)),MAX(MIN('Council Entry'!AP24,'Council Entry'!AP$9),'Council Entry'!AP$8),'Council Entry'!AP24)),IF(AND(ISNUMBER('Council Entry'!AP$8),ISNUMBER('Council Entry'!AP$9)),MAX(MIN('Council Entry'!AP24,'Council Entry'!AP$9),'Council Entry'!AP$8),'Council Entry'!AP24))))-'Council Entry'!AP$5)/('Council Entry'!AP$6-'Council Entry'!AP$5),10*((IF('Council Entry'!AP$4="Logarithm",LN(0.001+IF(AND(ISNUMBER('Council Entry'!AP$8),ISNUMBER('Council Entry'!AP$9)),MAX(MIN('Council Entry'!AP24,'Council Entry'!AP$9),'Council Entry'!AP$8),'Council Entry'!AP24)),IF('Council Entry'!AP$4="Exponential",EXP(IF(AND(ISNUMBER('Council Entry'!AP$8),ISNUMBER('Council Entry'!AP$9)),MAX(MIN('Council Entry'!AP24,'Council Entry'!AP$9),'Council Entry'!AP$8),'Council Entry'!AP24)),IF(AND(ISNUMBER('Council Entry'!AP$8),ISNUMBER('Council Entry'!AP$9)),MAX(MIN('Council Entry'!AP24,'Council Entry'!AP$9),'Council Entry'!AP$8),'Council Entry'!AP24))))-'Council Entry'!AP$5)/('Council Entry'!AP$6-'Council Entry'!AP$5)),1))),"No data"))</f>
        <v/>
      </c>
      <c r="AQ24" s="13">
        <f>IF('Council Entry'!AQ24="","",IFERROR(MAX(0,MIN(10,ROUND(IF('Council Entry'!AQ$7="Decrease Risk",10-10*((IF('Council Entry'!AQ$4="Logarithm",LN(0.001+IF(AND(ISNUMBER('Council Entry'!AQ$8),ISNUMBER('Council Entry'!AQ$9)),MAX(MIN('Council Entry'!AQ24,'Council Entry'!AQ$9),'Council Entry'!AQ$8),'Council Entry'!AQ24)),IF('Council Entry'!AQ$4="Exponential",EXP(IF(AND(ISNUMBER('Council Entry'!AQ$8),ISNUMBER('Council Entry'!AQ$9)),MAX(MIN('Council Entry'!AQ24,'Council Entry'!AQ$9),'Council Entry'!AQ$8),'Council Entry'!AQ24)),IF(AND(ISNUMBER('Council Entry'!AQ$8),ISNUMBER('Council Entry'!AQ$9)),MAX(MIN('Council Entry'!AQ24,'Council Entry'!AQ$9),'Council Entry'!AQ$8),'Council Entry'!AQ24))))-'Council Entry'!AQ$5)/('Council Entry'!AQ$6-'Council Entry'!AQ$5),10*((IF('Council Entry'!AQ$4="Logarithm",LN(0.001+IF(AND(ISNUMBER('Council Entry'!AQ$8),ISNUMBER('Council Entry'!AQ$9)),MAX(MIN('Council Entry'!AQ24,'Council Entry'!AQ$9),'Council Entry'!AQ$8),'Council Entry'!AQ24)),IF('Council Entry'!AQ$4="Exponential",EXP(IF(AND(ISNUMBER('Council Entry'!AQ$8),ISNUMBER('Council Entry'!AQ$9)),MAX(MIN('Council Entry'!AQ24,'Council Entry'!AQ$9),'Council Entry'!AQ$8),'Council Entry'!AQ24)),IF(AND(ISNUMBER('Council Entry'!AQ$8),ISNUMBER('Council Entry'!AQ$9)),MAX(MIN('Council Entry'!AQ24,'Council Entry'!AQ$9),'Council Entry'!AQ$8),'Council Entry'!AQ24))))-'Council Entry'!AQ$5)/('Council Entry'!AQ$6-'Council Entry'!AQ$5)),1))),"No data"))</f>
        <v/>
      </c>
      <c r="AR24" s="13">
        <f>IF('Council Entry'!AR24="","",IFERROR(MAX(0,MIN(10,ROUND(IF('Council Entry'!AR$7="Decrease Risk",10-10*((IF('Council Entry'!AR$4="Logarithm",LN(0.001+IF(AND(ISNUMBER('Council Entry'!AR$8),ISNUMBER('Council Entry'!AR$9)),MAX(MIN('Council Entry'!AR24,'Council Entry'!AR$9),'Council Entry'!AR$8),'Council Entry'!AR24)),IF('Council Entry'!AR$4="Exponential",EXP(IF(AND(ISNUMBER('Council Entry'!AR$8),ISNUMBER('Council Entry'!AR$9)),MAX(MIN('Council Entry'!AR24,'Council Entry'!AR$9),'Council Entry'!AR$8),'Council Entry'!AR24)),IF(AND(ISNUMBER('Council Entry'!AR$8),ISNUMBER('Council Entry'!AR$9)),MAX(MIN('Council Entry'!AR24,'Council Entry'!AR$9),'Council Entry'!AR$8),'Council Entry'!AR24))))-'Council Entry'!AR$5)/('Council Entry'!AR$6-'Council Entry'!AR$5),10*((IF('Council Entry'!AR$4="Logarithm",LN(0.001+IF(AND(ISNUMBER('Council Entry'!AR$8),ISNUMBER('Council Entry'!AR$9)),MAX(MIN('Council Entry'!AR24,'Council Entry'!AR$9),'Council Entry'!AR$8),'Council Entry'!AR24)),IF('Council Entry'!AR$4="Exponential",EXP(IF(AND(ISNUMBER('Council Entry'!AR$8),ISNUMBER('Council Entry'!AR$9)),MAX(MIN('Council Entry'!AR24,'Council Entry'!AR$9),'Council Entry'!AR$8),'Council Entry'!AR24)),IF(AND(ISNUMBER('Council Entry'!AR$8),ISNUMBER('Council Entry'!AR$9)),MAX(MIN('Council Entry'!AR24,'Council Entry'!AR$9),'Council Entry'!AR$8),'Council Entry'!AR24))))-'Council Entry'!AR$5)/('Council Entry'!AR$6-'Council Entry'!AR$5)),1))),"No data"))</f>
        <v/>
      </c>
      <c r="AS24" s="13">
        <f>IF('Council Entry'!AS24="","",IFERROR(MAX(0,MIN(10,ROUND(IF('Council Entry'!AS$7="Decrease Risk",10-10*((IF('Council Entry'!AS$4="Logarithm",LN(0.001+IF(AND(ISNUMBER('Council Entry'!AS$8),ISNUMBER('Council Entry'!AS$9)),MAX(MIN('Council Entry'!AS24,'Council Entry'!AS$9),'Council Entry'!AS$8),'Council Entry'!AS24)),IF('Council Entry'!AS$4="Exponential",EXP(IF(AND(ISNUMBER('Council Entry'!AS$8),ISNUMBER('Council Entry'!AS$9)),MAX(MIN('Council Entry'!AS24,'Council Entry'!AS$9),'Council Entry'!AS$8),'Council Entry'!AS24)),IF(AND(ISNUMBER('Council Entry'!AS$8),ISNUMBER('Council Entry'!AS$9)),MAX(MIN('Council Entry'!AS24,'Council Entry'!AS$9),'Council Entry'!AS$8),'Council Entry'!AS24))))-'Council Entry'!AS$5)/('Council Entry'!AS$6-'Council Entry'!AS$5),10*((IF('Council Entry'!AS$4="Logarithm",LN(0.001+IF(AND(ISNUMBER('Council Entry'!AS$8),ISNUMBER('Council Entry'!AS$9)),MAX(MIN('Council Entry'!AS24,'Council Entry'!AS$9),'Council Entry'!AS$8),'Council Entry'!AS24)),IF('Council Entry'!AS$4="Exponential",EXP(IF(AND(ISNUMBER('Council Entry'!AS$8),ISNUMBER('Council Entry'!AS$9)),MAX(MIN('Council Entry'!AS24,'Council Entry'!AS$9),'Council Entry'!AS$8),'Council Entry'!AS24)),IF(AND(ISNUMBER('Council Entry'!AS$8),ISNUMBER('Council Entry'!AS$9)),MAX(MIN('Council Entry'!AS24,'Council Entry'!AS$9),'Council Entry'!AS$8),'Council Entry'!AS24))))-'Council Entry'!AS$5)/('Council Entry'!AS$6-'Council Entry'!AS$5)),1))),"No data"))</f>
        <v/>
      </c>
      <c r="AT24" s="13">
        <f>IF('Council Entry'!AT24="","",IFERROR(MAX(0,MIN(10,ROUND(IF('Council Entry'!AT$7="Decrease Risk",10-10*((IF('Council Entry'!AT$4="Logarithm",LN(0.001+IF(AND(ISNUMBER('Council Entry'!AT$8),ISNUMBER('Council Entry'!AT$9)),MAX(MIN('Council Entry'!AT24,'Council Entry'!AT$9),'Council Entry'!AT$8),'Council Entry'!AT24)),IF('Council Entry'!AT$4="Exponential",EXP(IF(AND(ISNUMBER('Council Entry'!AT$8),ISNUMBER('Council Entry'!AT$9)),MAX(MIN('Council Entry'!AT24,'Council Entry'!AT$9),'Council Entry'!AT$8),'Council Entry'!AT24)),IF(AND(ISNUMBER('Council Entry'!AT$8),ISNUMBER('Council Entry'!AT$9)),MAX(MIN('Council Entry'!AT24,'Council Entry'!AT$9),'Council Entry'!AT$8),'Council Entry'!AT24))))-'Council Entry'!AT$5)/('Council Entry'!AT$6-'Council Entry'!AT$5),10*((IF('Council Entry'!AT$4="Logarithm",LN(0.001+IF(AND(ISNUMBER('Council Entry'!AT$8),ISNUMBER('Council Entry'!AT$9)),MAX(MIN('Council Entry'!AT24,'Council Entry'!AT$9),'Council Entry'!AT$8),'Council Entry'!AT24)),IF('Council Entry'!AT$4="Exponential",EXP(IF(AND(ISNUMBER('Council Entry'!AT$8),ISNUMBER('Council Entry'!AT$9)),MAX(MIN('Council Entry'!AT24,'Council Entry'!AT$9),'Council Entry'!AT$8),'Council Entry'!AT24)),IF(AND(ISNUMBER('Council Entry'!AT$8),ISNUMBER('Council Entry'!AT$9)),MAX(MIN('Council Entry'!AT24,'Council Entry'!AT$9),'Council Entry'!AT$8),'Council Entry'!AT24))))-'Council Entry'!AT$5)/('Council Entry'!AT$6-'Council Entry'!AT$5)),1))),"No data"))</f>
        <v/>
      </c>
      <c r="AU24" s="13">
        <f>IF('Council Entry'!AU24="","",IFERROR(MAX(0,MIN(10,ROUND(IF('Council Entry'!AU$7="Decrease Risk",10-10*((IF('Council Entry'!AU$4="Logarithm",LN(0.001+IF(AND(ISNUMBER('Council Entry'!AU$8),ISNUMBER('Council Entry'!AU$9)),MAX(MIN('Council Entry'!AU24,'Council Entry'!AU$9),'Council Entry'!AU$8),'Council Entry'!AU24)),IF('Council Entry'!AU$4="Exponential",EXP(IF(AND(ISNUMBER('Council Entry'!AU$8),ISNUMBER('Council Entry'!AU$9)),MAX(MIN('Council Entry'!AU24,'Council Entry'!AU$9),'Council Entry'!AU$8),'Council Entry'!AU24)),IF(AND(ISNUMBER('Council Entry'!AU$8),ISNUMBER('Council Entry'!AU$9)),MAX(MIN('Council Entry'!AU24,'Council Entry'!AU$9),'Council Entry'!AU$8),'Council Entry'!AU24))))-'Council Entry'!AU$5)/('Council Entry'!AU$6-'Council Entry'!AU$5),10*((IF('Council Entry'!AU$4="Logarithm",LN(0.001+IF(AND(ISNUMBER('Council Entry'!AU$8),ISNUMBER('Council Entry'!AU$9)),MAX(MIN('Council Entry'!AU24,'Council Entry'!AU$9),'Council Entry'!AU$8),'Council Entry'!AU24)),IF('Council Entry'!AU$4="Exponential",EXP(IF(AND(ISNUMBER('Council Entry'!AU$8),ISNUMBER('Council Entry'!AU$9)),MAX(MIN('Council Entry'!AU24,'Council Entry'!AU$9),'Council Entry'!AU$8),'Council Entry'!AU24)),IF(AND(ISNUMBER('Council Entry'!AU$8),ISNUMBER('Council Entry'!AU$9)),MAX(MIN('Council Entry'!AU24,'Council Entry'!AU$9),'Council Entry'!AU$8),'Council Entry'!AU24))))-'Council Entry'!AU$5)/('Council Entry'!AU$6-'Council Entry'!AU$5)),1))),"No data"))</f>
        <v/>
      </c>
      <c r="AV24" s="13">
        <f>IF('Council Entry'!AV24="","",IFERROR(MAX(0,MIN(10,ROUND(IF('Council Entry'!AV$7="Decrease Risk",10-10*((IF('Council Entry'!AV$4="Logarithm",LN(0.001+IF(AND(ISNUMBER('Council Entry'!AV$8),ISNUMBER('Council Entry'!AV$9)),MAX(MIN('Council Entry'!AV24,'Council Entry'!AV$9),'Council Entry'!AV$8),'Council Entry'!AV24)),IF('Council Entry'!AV$4="Exponential",EXP(IF(AND(ISNUMBER('Council Entry'!AV$8),ISNUMBER('Council Entry'!AV$9)),MAX(MIN('Council Entry'!AV24,'Council Entry'!AV$9),'Council Entry'!AV$8),'Council Entry'!AV24)),IF(AND(ISNUMBER('Council Entry'!AV$8),ISNUMBER('Council Entry'!AV$9)),MAX(MIN('Council Entry'!AV24,'Council Entry'!AV$9),'Council Entry'!AV$8),'Council Entry'!AV24))))-'Council Entry'!AV$5)/('Council Entry'!AV$6-'Council Entry'!AV$5),10*((IF('Council Entry'!AV$4="Logarithm",LN(0.001+IF(AND(ISNUMBER('Council Entry'!AV$8),ISNUMBER('Council Entry'!AV$9)),MAX(MIN('Council Entry'!AV24,'Council Entry'!AV$9),'Council Entry'!AV$8),'Council Entry'!AV24)),IF('Council Entry'!AV$4="Exponential",EXP(IF(AND(ISNUMBER('Council Entry'!AV$8),ISNUMBER('Council Entry'!AV$9)),MAX(MIN('Council Entry'!AV24,'Council Entry'!AV$9),'Council Entry'!AV$8),'Council Entry'!AV24)),IF(AND(ISNUMBER('Council Entry'!AV$8),ISNUMBER('Council Entry'!AV$9)),MAX(MIN('Council Entry'!AV24,'Council Entry'!AV$9),'Council Entry'!AV$8),'Council Entry'!AV24))))-'Council Entry'!AV$5)/('Council Entry'!AV$6-'Council Entry'!AV$5)),1))),"No data"))</f>
        <v/>
      </c>
      <c r="AW24" s="13">
        <f>IF('Council Entry'!AW24="","",IFERROR(MAX(0,MIN(10,ROUND(IF('Council Entry'!AW$7="Decrease Risk",10-10*((IF('Council Entry'!AW$4="Logarithm",LN(0.001+IF(AND(ISNUMBER('Council Entry'!AW$8),ISNUMBER('Council Entry'!AW$9)),MAX(MIN('Council Entry'!AW24,'Council Entry'!AW$9),'Council Entry'!AW$8),'Council Entry'!AW24)),IF('Council Entry'!AW$4="Exponential",EXP(IF(AND(ISNUMBER('Council Entry'!AW$8),ISNUMBER('Council Entry'!AW$9)),MAX(MIN('Council Entry'!AW24,'Council Entry'!AW$9),'Council Entry'!AW$8),'Council Entry'!AW24)),IF(AND(ISNUMBER('Council Entry'!AW$8),ISNUMBER('Council Entry'!AW$9)),MAX(MIN('Council Entry'!AW24,'Council Entry'!AW$9),'Council Entry'!AW$8),'Council Entry'!AW24))))-'Council Entry'!AW$5)/('Council Entry'!AW$6-'Council Entry'!AW$5),10*((IF('Council Entry'!AW$4="Logarithm",LN(0.001+IF(AND(ISNUMBER('Council Entry'!AW$8),ISNUMBER('Council Entry'!AW$9)),MAX(MIN('Council Entry'!AW24,'Council Entry'!AW$9),'Council Entry'!AW$8),'Council Entry'!AW24)),IF('Council Entry'!AW$4="Exponential",EXP(IF(AND(ISNUMBER('Council Entry'!AW$8),ISNUMBER('Council Entry'!AW$9)),MAX(MIN('Council Entry'!AW24,'Council Entry'!AW$9),'Council Entry'!AW$8),'Council Entry'!AW24)),IF(AND(ISNUMBER('Council Entry'!AW$8),ISNUMBER('Council Entry'!AW$9)),MAX(MIN('Council Entry'!AW24,'Council Entry'!AW$9),'Council Entry'!AW$8),'Council Entry'!AW24))))-'Council Entry'!AW$5)/('Council Entry'!AW$6-'Council Entry'!AW$5)),1))),"No data"))</f>
        <v/>
      </c>
      <c r="AX24" s="13">
        <f>IF('Council Entry'!AX24="","",IFERROR(MAX(0,MIN(10,ROUND(IF('Council Entry'!AX$7="Decrease Risk",10-10*((IF('Council Entry'!AX$4="Logarithm",LN(0.001+IF(AND(ISNUMBER('Council Entry'!AX$8),ISNUMBER('Council Entry'!AX$9)),MAX(MIN('Council Entry'!AX24,'Council Entry'!AX$9),'Council Entry'!AX$8),'Council Entry'!AX24)),IF('Council Entry'!AX$4="Exponential",EXP(IF(AND(ISNUMBER('Council Entry'!AX$8),ISNUMBER('Council Entry'!AX$9)),MAX(MIN('Council Entry'!AX24,'Council Entry'!AX$9),'Council Entry'!AX$8),'Council Entry'!AX24)),IF(AND(ISNUMBER('Council Entry'!AX$8),ISNUMBER('Council Entry'!AX$9)),MAX(MIN('Council Entry'!AX24,'Council Entry'!AX$9),'Council Entry'!AX$8),'Council Entry'!AX24))))-'Council Entry'!AX$5)/('Council Entry'!AX$6-'Council Entry'!AX$5),10*((IF('Council Entry'!AX$4="Logarithm",LN(0.001+IF(AND(ISNUMBER('Council Entry'!AX$8),ISNUMBER('Council Entry'!AX$9)),MAX(MIN('Council Entry'!AX24,'Council Entry'!AX$9),'Council Entry'!AX$8),'Council Entry'!AX24)),IF('Council Entry'!AX$4="Exponential",EXP(IF(AND(ISNUMBER('Council Entry'!AX$8),ISNUMBER('Council Entry'!AX$9)),MAX(MIN('Council Entry'!AX24,'Council Entry'!AX$9),'Council Entry'!AX$8),'Council Entry'!AX24)),IF(AND(ISNUMBER('Council Entry'!AX$8),ISNUMBER('Council Entry'!AX$9)),MAX(MIN('Council Entry'!AX24,'Council Entry'!AX$9),'Council Entry'!AX$8),'Council Entry'!AX24))))-'Council Entry'!AX$5)/('Council Entry'!AX$6-'Council Entry'!AX$5)),1))),"No data"))</f>
        <v/>
      </c>
      <c r="AY24" s="13">
        <f>IF('Council Entry'!AY24="","",IFERROR(MAX(0,MIN(10,ROUND(IF('Council Entry'!AY$7="Decrease Risk",10-10*((IF('Council Entry'!AY$4="Logarithm",LN(0.001+IF(AND(ISNUMBER('Council Entry'!AY$8),ISNUMBER('Council Entry'!AY$9)),MAX(MIN('Council Entry'!AY24,'Council Entry'!AY$9),'Council Entry'!AY$8),'Council Entry'!AY24)),IF('Council Entry'!AY$4="Exponential",EXP(IF(AND(ISNUMBER('Council Entry'!AY$8),ISNUMBER('Council Entry'!AY$9)),MAX(MIN('Council Entry'!AY24,'Council Entry'!AY$9),'Council Entry'!AY$8),'Council Entry'!AY24)),IF(AND(ISNUMBER('Council Entry'!AY$8),ISNUMBER('Council Entry'!AY$9)),MAX(MIN('Council Entry'!AY24,'Council Entry'!AY$9),'Council Entry'!AY$8),'Council Entry'!AY24))))-'Council Entry'!AY$5)/('Council Entry'!AY$6-'Council Entry'!AY$5),10*((IF('Council Entry'!AY$4="Logarithm",LN(0.001+IF(AND(ISNUMBER('Council Entry'!AY$8),ISNUMBER('Council Entry'!AY$9)),MAX(MIN('Council Entry'!AY24,'Council Entry'!AY$9),'Council Entry'!AY$8),'Council Entry'!AY24)),IF('Council Entry'!AY$4="Exponential",EXP(IF(AND(ISNUMBER('Council Entry'!AY$8),ISNUMBER('Council Entry'!AY$9)),MAX(MIN('Council Entry'!AY24,'Council Entry'!AY$9),'Council Entry'!AY$8),'Council Entry'!AY24)),IF(AND(ISNUMBER('Council Entry'!AY$8),ISNUMBER('Council Entry'!AY$9)),MAX(MIN('Council Entry'!AY24,'Council Entry'!AY$9),'Council Entry'!AY$8),'Council Entry'!AY24))))-'Council Entry'!AY$5)/('Council Entry'!AY$6-'Council Entry'!AY$5)),1))),"No data"))</f>
        <v/>
      </c>
      <c r="AZ24" s="13">
        <f>IF('Council Entry'!AZ24="","",IFERROR(MAX(0,MIN(10,ROUND(IF('Council Entry'!AZ$7="Decrease Risk",10-10*((IF('Council Entry'!AZ$4="Logarithm",LN(0.001+IF(AND(ISNUMBER('Council Entry'!AZ$8),ISNUMBER('Council Entry'!AZ$9)),MAX(MIN('Council Entry'!AZ24,'Council Entry'!AZ$9),'Council Entry'!AZ$8),'Council Entry'!AZ24)),IF('Council Entry'!AZ$4="Exponential",EXP(IF(AND(ISNUMBER('Council Entry'!AZ$8),ISNUMBER('Council Entry'!AZ$9)),MAX(MIN('Council Entry'!AZ24,'Council Entry'!AZ$9),'Council Entry'!AZ$8),'Council Entry'!AZ24)),IF(AND(ISNUMBER('Council Entry'!AZ$8),ISNUMBER('Council Entry'!AZ$9)),MAX(MIN('Council Entry'!AZ24,'Council Entry'!AZ$9),'Council Entry'!AZ$8),'Council Entry'!AZ24))))-'Council Entry'!AZ$5)/('Council Entry'!AZ$6-'Council Entry'!AZ$5),10*((IF('Council Entry'!AZ$4="Logarithm",LN(0.001+IF(AND(ISNUMBER('Council Entry'!AZ$8),ISNUMBER('Council Entry'!AZ$9)),MAX(MIN('Council Entry'!AZ24,'Council Entry'!AZ$9),'Council Entry'!AZ$8),'Council Entry'!AZ24)),IF('Council Entry'!AZ$4="Exponential",EXP(IF(AND(ISNUMBER('Council Entry'!AZ$8),ISNUMBER('Council Entry'!AZ$9)),MAX(MIN('Council Entry'!AZ24,'Council Entry'!AZ$9),'Council Entry'!AZ$8),'Council Entry'!AZ24)),IF(AND(ISNUMBER('Council Entry'!AZ$8),ISNUMBER('Council Entry'!AZ$9)),MAX(MIN('Council Entry'!AZ24,'Council Entry'!AZ$9),'Council Entry'!AZ$8),'Council Entry'!AZ24))))-'Council Entry'!AZ$5)/('Council Entry'!AZ$6-'Council Entry'!AZ$5)),1))),"No data"))</f>
        <v/>
      </c>
      <c r="BA24" s="13">
        <f>IF('Council Entry'!BA24="","",IFERROR(MAX(0,MIN(10,ROUND(IF('Council Entry'!BA$7="Decrease Risk",10-10*((IF('Council Entry'!BA$4="Logarithm",LN(0.001+IF(AND(ISNUMBER('Council Entry'!BA$8),ISNUMBER('Council Entry'!BA$9)),MAX(MIN('Council Entry'!BA24,'Council Entry'!BA$9),'Council Entry'!BA$8),'Council Entry'!BA24)),IF('Council Entry'!BA$4="Exponential",EXP(IF(AND(ISNUMBER('Council Entry'!BA$8),ISNUMBER('Council Entry'!BA$9)),MAX(MIN('Council Entry'!BA24,'Council Entry'!BA$9),'Council Entry'!BA$8),'Council Entry'!BA24)),IF(AND(ISNUMBER('Council Entry'!BA$8),ISNUMBER('Council Entry'!BA$9)),MAX(MIN('Council Entry'!BA24,'Council Entry'!BA$9),'Council Entry'!BA$8),'Council Entry'!BA24))))-'Council Entry'!BA$5)/('Council Entry'!BA$6-'Council Entry'!BA$5),10*((IF('Council Entry'!BA$4="Logarithm",LN(0.001+IF(AND(ISNUMBER('Council Entry'!BA$8),ISNUMBER('Council Entry'!BA$9)),MAX(MIN('Council Entry'!BA24,'Council Entry'!BA$9),'Council Entry'!BA$8),'Council Entry'!BA24)),IF('Council Entry'!BA$4="Exponential",EXP(IF(AND(ISNUMBER('Council Entry'!BA$8),ISNUMBER('Council Entry'!BA$9)),MAX(MIN('Council Entry'!BA24,'Council Entry'!BA$9),'Council Entry'!BA$8),'Council Entry'!BA24)),IF(AND(ISNUMBER('Council Entry'!BA$8),ISNUMBER('Council Entry'!BA$9)),MAX(MIN('Council Entry'!BA24,'Council Entry'!BA$9),'Council Entry'!BA$8),'Council Entry'!BA24))))-'Council Entry'!BA$5)/('Council Entry'!BA$6-'Council Entry'!BA$5)),1))),"No data"))</f>
        <v/>
      </c>
      <c r="BB24" s="13">
        <f>IF('Council Entry'!BB24="","",IFERROR(MAX(0,MIN(10,ROUND(IF('Council Entry'!BB$7="Decrease Risk",10-10*((IF('Council Entry'!BB$4="Logarithm",LN(0.001+IF(AND(ISNUMBER('Council Entry'!BB$8),ISNUMBER('Council Entry'!BB$9)),MAX(MIN('Council Entry'!BB24,'Council Entry'!BB$9),'Council Entry'!BB$8),'Council Entry'!BB24)),IF('Council Entry'!BB$4="Exponential",EXP(IF(AND(ISNUMBER('Council Entry'!BB$8),ISNUMBER('Council Entry'!BB$9)),MAX(MIN('Council Entry'!BB24,'Council Entry'!BB$9),'Council Entry'!BB$8),'Council Entry'!BB24)),IF(AND(ISNUMBER('Council Entry'!BB$8),ISNUMBER('Council Entry'!BB$9)),MAX(MIN('Council Entry'!BB24,'Council Entry'!BB$9),'Council Entry'!BB$8),'Council Entry'!BB24))))-'Council Entry'!BB$5)/('Council Entry'!BB$6-'Council Entry'!BB$5),10*((IF('Council Entry'!BB$4="Logarithm",LN(0.001+IF(AND(ISNUMBER('Council Entry'!BB$8),ISNUMBER('Council Entry'!BB$9)),MAX(MIN('Council Entry'!BB24,'Council Entry'!BB$9),'Council Entry'!BB$8),'Council Entry'!BB24)),IF('Council Entry'!BB$4="Exponential",EXP(IF(AND(ISNUMBER('Council Entry'!BB$8),ISNUMBER('Council Entry'!BB$9)),MAX(MIN('Council Entry'!BB24,'Council Entry'!BB$9),'Council Entry'!BB$8),'Council Entry'!BB24)),IF(AND(ISNUMBER('Council Entry'!BB$8),ISNUMBER('Council Entry'!BB$9)),MAX(MIN('Council Entry'!BB24,'Council Entry'!BB$9),'Council Entry'!BB$8),'Council Entry'!BB24))))-'Council Entry'!BB$5)/('Council Entry'!BB$6-'Council Entry'!BB$5)),1))),"No data"))</f>
        <v/>
      </c>
      <c r="BC24" s="13">
        <f>IF('Council Entry'!BC24="","",IFERROR(MAX(0,MIN(10,ROUND(IF('Council Entry'!BC$7="Decrease Risk",10-10*((IF('Council Entry'!BC$4="Logarithm",LN(0.001+IF(AND(ISNUMBER('Council Entry'!BC$8),ISNUMBER('Council Entry'!BC$9)),MAX(MIN('Council Entry'!BC24,'Council Entry'!BC$9),'Council Entry'!BC$8),'Council Entry'!BC24)),IF('Council Entry'!BC$4="Exponential",EXP(IF(AND(ISNUMBER('Council Entry'!BC$8),ISNUMBER('Council Entry'!BC$9)),MAX(MIN('Council Entry'!BC24,'Council Entry'!BC$9),'Council Entry'!BC$8),'Council Entry'!BC24)),IF(AND(ISNUMBER('Council Entry'!BC$8),ISNUMBER('Council Entry'!BC$9)),MAX(MIN('Council Entry'!BC24,'Council Entry'!BC$9),'Council Entry'!BC$8),'Council Entry'!BC24))))-'Council Entry'!BC$5)/('Council Entry'!BC$6-'Council Entry'!BC$5),10*((IF('Council Entry'!BC$4="Logarithm",LN(0.001+IF(AND(ISNUMBER('Council Entry'!BC$8),ISNUMBER('Council Entry'!BC$9)),MAX(MIN('Council Entry'!BC24,'Council Entry'!BC$9),'Council Entry'!BC$8),'Council Entry'!BC24)),IF('Council Entry'!BC$4="Exponential",EXP(IF(AND(ISNUMBER('Council Entry'!BC$8),ISNUMBER('Council Entry'!BC$9)),MAX(MIN('Council Entry'!BC24,'Council Entry'!BC$9),'Council Entry'!BC$8),'Council Entry'!BC24)),IF(AND(ISNUMBER('Council Entry'!BC$8),ISNUMBER('Council Entry'!BC$9)),MAX(MIN('Council Entry'!BC24,'Council Entry'!BC$9),'Council Entry'!BC$8),'Council Entry'!BC24))))-'Council Entry'!BC$5)/('Council Entry'!BC$6-'Council Entry'!BC$5)),1))),"No data"))</f>
        <v/>
      </c>
      <c r="BD24" s="13">
        <f>IF('Council Entry'!BD24="","",IFERROR(MAX(0,MIN(10,ROUND(IF('Council Entry'!BD$7="Decrease Risk",10-10*((IF('Council Entry'!BD$4="Logarithm",LN(0.001+IF(AND(ISNUMBER('Council Entry'!BD$8),ISNUMBER('Council Entry'!BD$9)),MAX(MIN('Council Entry'!BD24,'Council Entry'!BD$9),'Council Entry'!BD$8),'Council Entry'!BD24)),IF('Council Entry'!BD$4="Exponential",EXP(IF(AND(ISNUMBER('Council Entry'!BD$8),ISNUMBER('Council Entry'!BD$9)),MAX(MIN('Council Entry'!BD24,'Council Entry'!BD$9),'Council Entry'!BD$8),'Council Entry'!BD24)),IF(AND(ISNUMBER('Council Entry'!BD$8),ISNUMBER('Council Entry'!BD$9)),MAX(MIN('Council Entry'!BD24,'Council Entry'!BD$9),'Council Entry'!BD$8),'Council Entry'!BD24))))-'Council Entry'!BD$5)/('Council Entry'!BD$6-'Council Entry'!BD$5),10*((IF('Council Entry'!BD$4="Logarithm",LN(0.001+IF(AND(ISNUMBER('Council Entry'!BD$8),ISNUMBER('Council Entry'!BD$9)),MAX(MIN('Council Entry'!BD24,'Council Entry'!BD$9),'Council Entry'!BD$8),'Council Entry'!BD24)),IF('Council Entry'!BD$4="Exponential",EXP(IF(AND(ISNUMBER('Council Entry'!BD$8),ISNUMBER('Council Entry'!BD$9)),MAX(MIN('Council Entry'!BD24,'Council Entry'!BD$9),'Council Entry'!BD$8),'Council Entry'!BD24)),IF(AND(ISNUMBER('Council Entry'!BD$8),ISNUMBER('Council Entry'!BD$9)),MAX(MIN('Council Entry'!BD24,'Council Entry'!BD$9),'Council Entry'!BD$8),'Council Entry'!BD24))))-'Council Entry'!BD$5)/('Council Entry'!BD$6-'Council Entry'!BD$5)),1))),"No data"))</f>
        <v/>
      </c>
    </row>
    <row r="25">
      <c r="A25" t="inlineStr">
        <is>
          <t>Dodoma</t>
        </is>
      </c>
      <c r="B25" t="inlineStr">
        <is>
          <t>Chemba District</t>
        </is>
      </c>
      <c r="C25" t="inlineStr">
        <is>
          <t>C008</t>
        </is>
      </c>
      <c r="D25" s="13">
        <f>IF('Council Entry'!D25="","",IFERROR(MAX(0,MIN(10,ROUND(IF('Council Entry'!D$7="Decrease Risk",10-10*((IF('Council Entry'!D$4="Logarithm",LN(0.001+IF(AND(ISNUMBER('Council Entry'!D$8),ISNUMBER('Council Entry'!D$9)),MAX(MIN('Council Entry'!D25,'Council Entry'!D$9),'Council Entry'!D$8),'Council Entry'!D25)),IF('Council Entry'!D$4="Exponential",EXP(IF(AND(ISNUMBER('Council Entry'!D$8),ISNUMBER('Council Entry'!D$9)),MAX(MIN('Council Entry'!D25,'Council Entry'!D$9),'Council Entry'!D$8),'Council Entry'!D25)),IF(AND(ISNUMBER('Council Entry'!D$8),ISNUMBER('Council Entry'!D$9)),MAX(MIN('Council Entry'!D25,'Council Entry'!D$9),'Council Entry'!D$8),'Council Entry'!D25))))-'Council Entry'!D$5)/('Council Entry'!D$6-'Council Entry'!D$5),10*((IF('Council Entry'!D$4="Logarithm",LN(0.001+IF(AND(ISNUMBER('Council Entry'!D$8),ISNUMBER('Council Entry'!D$9)),MAX(MIN('Council Entry'!D25,'Council Entry'!D$9),'Council Entry'!D$8),'Council Entry'!D25)),IF('Council Entry'!D$4="Exponential",EXP(IF(AND(ISNUMBER('Council Entry'!D$8),ISNUMBER('Council Entry'!D$9)),MAX(MIN('Council Entry'!D25,'Council Entry'!D$9),'Council Entry'!D$8),'Council Entry'!D25)),IF(AND(ISNUMBER('Council Entry'!D$8),ISNUMBER('Council Entry'!D$9)),MAX(MIN('Council Entry'!D25,'Council Entry'!D$9),'Council Entry'!D$8),'Council Entry'!D25))))-'Council Entry'!D$5)/('Council Entry'!D$6-'Council Entry'!D$5)),1))),"No data"))</f>
        <v/>
      </c>
      <c r="E25" s="13">
        <f>IF('Council Entry'!E25="","",IFERROR(MAX(0,MIN(10,ROUND(IF('Council Entry'!E$7="Decrease Risk",10-10*((IF('Council Entry'!E$4="Logarithm",LN(0.001+IF(AND(ISNUMBER('Council Entry'!E$8),ISNUMBER('Council Entry'!E$9)),MAX(MIN('Council Entry'!E25,'Council Entry'!E$9),'Council Entry'!E$8),'Council Entry'!E25)),IF('Council Entry'!E$4="Exponential",EXP(IF(AND(ISNUMBER('Council Entry'!E$8),ISNUMBER('Council Entry'!E$9)),MAX(MIN('Council Entry'!E25,'Council Entry'!E$9),'Council Entry'!E$8),'Council Entry'!E25)),IF(AND(ISNUMBER('Council Entry'!E$8),ISNUMBER('Council Entry'!E$9)),MAX(MIN('Council Entry'!E25,'Council Entry'!E$9),'Council Entry'!E$8),'Council Entry'!E25))))-'Council Entry'!E$5)/('Council Entry'!E$6-'Council Entry'!E$5),10*((IF('Council Entry'!E$4="Logarithm",LN(0.001+IF(AND(ISNUMBER('Council Entry'!E$8),ISNUMBER('Council Entry'!E$9)),MAX(MIN('Council Entry'!E25,'Council Entry'!E$9),'Council Entry'!E$8),'Council Entry'!E25)),IF('Council Entry'!E$4="Exponential",EXP(IF(AND(ISNUMBER('Council Entry'!E$8),ISNUMBER('Council Entry'!E$9)),MAX(MIN('Council Entry'!E25,'Council Entry'!E$9),'Council Entry'!E$8),'Council Entry'!E25)),IF(AND(ISNUMBER('Council Entry'!E$8),ISNUMBER('Council Entry'!E$9)),MAX(MIN('Council Entry'!E25,'Council Entry'!E$9),'Council Entry'!E$8),'Council Entry'!E25))))-'Council Entry'!E$5)/('Council Entry'!E$6-'Council Entry'!E$5)),1))),"No data"))</f>
        <v/>
      </c>
      <c r="F25" s="13">
        <f>IF('Council Entry'!F25="","",IFERROR(MAX(0,MIN(10,ROUND(IF('Council Entry'!F$7="Decrease Risk",10-10*((IF('Council Entry'!F$4="Logarithm",LN(0.001+IF(AND(ISNUMBER('Council Entry'!F$8),ISNUMBER('Council Entry'!F$9)),MAX(MIN('Council Entry'!F25,'Council Entry'!F$9),'Council Entry'!F$8),'Council Entry'!F25)),IF('Council Entry'!F$4="Exponential",EXP(IF(AND(ISNUMBER('Council Entry'!F$8),ISNUMBER('Council Entry'!F$9)),MAX(MIN('Council Entry'!F25,'Council Entry'!F$9),'Council Entry'!F$8),'Council Entry'!F25)),IF(AND(ISNUMBER('Council Entry'!F$8),ISNUMBER('Council Entry'!F$9)),MAX(MIN('Council Entry'!F25,'Council Entry'!F$9),'Council Entry'!F$8),'Council Entry'!F25))))-'Council Entry'!F$5)/('Council Entry'!F$6-'Council Entry'!F$5),10*((IF('Council Entry'!F$4="Logarithm",LN(0.001+IF(AND(ISNUMBER('Council Entry'!F$8),ISNUMBER('Council Entry'!F$9)),MAX(MIN('Council Entry'!F25,'Council Entry'!F$9),'Council Entry'!F$8),'Council Entry'!F25)),IF('Council Entry'!F$4="Exponential",EXP(IF(AND(ISNUMBER('Council Entry'!F$8),ISNUMBER('Council Entry'!F$9)),MAX(MIN('Council Entry'!F25,'Council Entry'!F$9),'Council Entry'!F$8),'Council Entry'!F25)),IF(AND(ISNUMBER('Council Entry'!F$8),ISNUMBER('Council Entry'!F$9)),MAX(MIN('Council Entry'!F25,'Council Entry'!F$9),'Council Entry'!F$8),'Council Entry'!F25))))-'Council Entry'!F$5)/('Council Entry'!F$6-'Council Entry'!F$5)),1))),"No data"))</f>
        <v/>
      </c>
      <c r="G25" s="13">
        <f>IF('Council Entry'!G25="","",IFERROR(MAX(0,MIN(10,ROUND(IF('Council Entry'!G$7="Decrease Risk",10-10*((IF('Council Entry'!G$4="Logarithm",LN(0.001+IF(AND(ISNUMBER('Council Entry'!G$8),ISNUMBER('Council Entry'!G$9)),MAX(MIN('Council Entry'!G25,'Council Entry'!G$9),'Council Entry'!G$8),'Council Entry'!G25)),IF('Council Entry'!G$4="Exponential",EXP(IF(AND(ISNUMBER('Council Entry'!G$8),ISNUMBER('Council Entry'!G$9)),MAX(MIN('Council Entry'!G25,'Council Entry'!G$9),'Council Entry'!G$8),'Council Entry'!G25)),IF(AND(ISNUMBER('Council Entry'!G$8),ISNUMBER('Council Entry'!G$9)),MAX(MIN('Council Entry'!G25,'Council Entry'!G$9),'Council Entry'!G$8),'Council Entry'!G25))))-'Council Entry'!G$5)/('Council Entry'!G$6-'Council Entry'!G$5),10*((IF('Council Entry'!G$4="Logarithm",LN(0.001+IF(AND(ISNUMBER('Council Entry'!G$8),ISNUMBER('Council Entry'!G$9)),MAX(MIN('Council Entry'!G25,'Council Entry'!G$9),'Council Entry'!G$8),'Council Entry'!G25)),IF('Council Entry'!G$4="Exponential",EXP(IF(AND(ISNUMBER('Council Entry'!G$8),ISNUMBER('Council Entry'!G$9)),MAX(MIN('Council Entry'!G25,'Council Entry'!G$9),'Council Entry'!G$8),'Council Entry'!G25)),IF(AND(ISNUMBER('Council Entry'!G$8),ISNUMBER('Council Entry'!G$9)),MAX(MIN('Council Entry'!G25,'Council Entry'!G$9),'Council Entry'!G$8),'Council Entry'!G25))))-'Council Entry'!G$5)/('Council Entry'!G$6-'Council Entry'!G$5)),1))),"No data"))</f>
        <v/>
      </c>
      <c r="H25" s="13">
        <f>IF('Council Entry'!H25="","",IFERROR(MAX(0,MIN(10,ROUND(IF('Council Entry'!H$7="Decrease Risk",10-10*((IF('Council Entry'!H$4="Logarithm",LN(0.001+IF(AND(ISNUMBER('Council Entry'!H$8),ISNUMBER('Council Entry'!H$9)),MAX(MIN('Council Entry'!H25,'Council Entry'!H$9),'Council Entry'!H$8),'Council Entry'!H25)),IF('Council Entry'!H$4="Exponential",EXP(IF(AND(ISNUMBER('Council Entry'!H$8),ISNUMBER('Council Entry'!H$9)),MAX(MIN('Council Entry'!H25,'Council Entry'!H$9),'Council Entry'!H$8),'Council Entry'!H25)),IF(AND(ISNUMBER('Council Entry'!H$8),ISNUMBER('Council Entry'!H$9)),MAX(MIN('Council Entry'!H25,'Council Entry'!H$9),'Council Entry'!H$8),'Council Entry'!H25))))-'Council Entry'!H$5)/('Council Entry'!H$6-'Council Entry'!H$5),10*((IF('Council Entry'!H$4="Logarithm",LN(0.001+IF(AND(ISNUMBER('Council Entry'!H$8),ISNUMBER('Council Entry'!H$9)),MAX(MIN('Council Entry'!H25,'Council Entry'!H$9),'Council Entry'!H$8),'Council Entry'!H25)),IF('Council Entry'!H$4="Exponential",EXP(IF(AND(ISNUMBER('Council Entry'!H$8),ISNUMBER('Council Entry'!H$9)),MAX(MIN('Council Entry'!H25,'Council Entry'!H$9),'Council Entry'!H$8),'Council Entry'!H25)),IF(AND(ISNUMBER('Council Entry'!H$8),ISNUMBER('Council Entry'!H$9)),MAX(MIN('Council Entry'!H25,'Council Entry'!H$9),'Council Entry'!H$8),'Council Entry'!H25))))-'Council Entry'!H$5)/('Council Entry'!H$6-'Council Entry'!H$5)),1))),"No data"))</f>
        <v/>
      </c>
      <c r="I25" s="13">
        <f>IF('Council Entry'!I25="","",IFERROR(MAX(0,MIN(10,ROUND(IF('Council Entry'!I$7="Decrease Risk",10-10*((IF('Council Entry'!I$4="Logarithm",LN(0.001+IF(AND(ISNUMBER('Council Entry'!I$8),ISNUMBER('Council Entry'!I$9)),MAX(MIN('Council Entry'!I25,'Council Entry'!I$9),'Council Entry'!I$8),'Council Entry'!I25)),IF('Council Entry'!I$4="Exponential",EXP(IF(AND(ISNUMBER('Council Entry'!I$8),ISNUMBER('Council Entry'!I$9)),MAX(MIN('Council Entry'!I25,'Council Entry'!I$9),'Council Entry'!I$8),'Council Entry'!I25)),IF(AND(ISNUMBER('Council Entry'!I$8),ISNUMBER('Council Entry'!I$9)),MAX(MIN('Council Entry'!I25,'Council Entry'!I$9),'Council Entry'!I$8),'Council Entry'!I25))))-'Council Entry'!I$5)/('Council Entry'!I$6-'Council Entry'!I$5),10*((IF('Council Entry'!I$4="Logarithm",LN(0.001+IF(AND(ISNUMBER('Council Entry'!I$8),ISNUMBER('Council Entry'!I$9)),MAX(MIN('Council Entry'!I25,'Council Entry'!I$9),'Council Entry'!I$8),'Council Entry'!I25)),IF('Council Entry'!I$4="Exponential",EXP(IF(AND(ISNUMBER('Council Entry'!I$8),ISNUMBER('Council Entry'!I$9)),MAX(MIN('Council Entry'!I25,'Council Entry'!I$9),'Council Entry'!I$8),'Council Entry'!I25)),IF(AND(ISNUMBER('Council Entry'!I$8),ISNUMBER('Council Entry'!I$9)),MAX(MIN('Council Entry'!I25,'Council Entry'!I$9),'Council Entry'!I$8),'Council Entry'!I25))))-'Council Entry'!I$5)/('Council Entry'!I$6-'Council Entry'!I$5)),1))),"No data"))</f>
        <v/>
      </c>
      <c r="J25" s="13">
        <f>IF('Council Entry'!J25="","",IFERROR(MAX(0,MIN(10,ROUND(IF('Council Entry'!J$7="Decrease Risk",10-10*((IF('Council Entry'!J$4="Logarithm",LN(0.001+IF(AND(ISNUMBER('Council Entry'!J$8),ISNUMBER('Council Entry'!J$9)),MAX(MIN('Council Entry'!J25,'Council Entry'!J$9),'Council Entry'!J$8),'Council Entry'!J25)),IF('Council Entry'!J$4="Exponential",EXP(IF(AND(ISNUMBER('Council Entry'!J$8),ISNUMBER('Council Entry'!J$9)),MAX(MIN('Council Entry'!J25,'Council Entry'!J$9),'Council Entry'!J$8),'Council Entry'!J25)),IF(AND(ISNUMBER('Council Entry'!J$8),ISNUMBER('Council Entry'!J$9)),MAX(MIN('Council Entry'!J25,'Council Entry'!J$9),'Council Entry'!J$8),'Council Entry'!J25))))-'Council Entry'!J$5)/('Council Entry'!J$6-'Council Entry'!J$5),10*((IF('Council Entry'!J$4="Logarithm",LN(0.001+IF(AND(ISNUMBER('Council Entry'!J$8),ISNUMBER('Council Entry'!J$9)),MAX(MIN('Council Entry'!J25,'Council Entry'!J$9),'Council Entry'!J$8),'Council Entry'!J25)),IF('Council Entry'!J$4="Exponential",EXP(IF(AND(ISNUMBER('Council Entry'!J$8),ISNUMBER('Council Entry'!J$9)),MAX(MIN('Council Entry'!J25,'Council Entry'!J$9),'Council Entry'!J$8),'Council Entry'!J25)),IF(AND(ISNUMBER('Council Entry'!J$8),ISNUMBER('Council Entry'!J$9)),MAX(MIN('Council Entry'!J25,'Council Entry'!J$9),'Council Entry'!J$8),'Council Entry'!J25))))-'Council Entry'!J$5)/('Council Entry'!J$6-'Council Entry'!J$5)),1))),"No data"))</f>
        <v/>
      </c>
      <c r="K25" s="13">
        <f>IF('Council Entry'!K25="","",IFERROR(MAX(0,MIN(10,ROUND(IF('Council Entry'!K$7="Decrease Risk",10-10*((IF('Council Entry'!K$4="Logarithm",LN(0.001+IF(AND(ISNUMBER('Council Entry'!K$8),ISNUMBER('Council Entry'!K$9)),MAX(MIN('Council Entry'!K25,'Council Entry'!K$9),'Council Entry'!K$8),'Council Entry'!K25)),IF('Council Entry'!K$4="Exponential",EXP(IF(AND(ISNUMBER('Council Entry'!K$8),ISNUMBER('Council Entry'!K$9)),MAX(MIN('Council Entry'!K25,'Council Entry'!K$9),'Council Entry'!K$8),'Council Entry'!K25)),IF(AND(ISNUMBER('Council Entry'!K$8),ISNUMBER('Council Entry'!K$9)),MAX(MIN('Council Entry'!K25,'Council Entry'!K$9),'Council Entry'!K$8),'Council Entry'!K25))))-'Council Entry'!K$5)/('Council Entry'!K$6-'Council Entry'!K$5),10*((IF('Council Entry'!K$4="Logarithm",LN(0.001+IF(AND(ISNUMBER('Council Entry'!K$8),ISNUMBER('Council Entry'!K$9)),MAX(MIN('Council Entry'!K25,'Council Entry'!K$9),'Council Entry'!K$8),'Council Entry'!K25)),IF('Council Entry'!K$4="Exponential",EXP(IF(AND(ISNUMBER('Council Entry'!K$8),ISNUMBER('Council Entry'!K$9)),MAX(MIN('Council Entry'!K25,'Council Entry'!K$9),'Council Entry'!K$8),'Council Entry'!K25)),IF(AND(ISNUMBER('Council Entry'!K$8),ISNUMBER('Council Entry'!K$9)),MAX(MIN('Council Entry'!K25,'Council Entry'!K$9),'Council Entry'!K$8),'Council Entry'!K25))))-'Council Entry'!K$5)/('Council Entry'!K$6-'Council Entry'!K$5)),1))),"No data"))</f>
        <v/>
      </c>
      <c r="L25" s="13">
        <f>IF('Council Entry'!L25="","",IFERROR(MAX(0,MIN(10,ROUND(IF('Council Entry'!L$7="Decrease Risk",10-10*((IF('Council Entry'!L$4="Logarithm",LN(0.001+IF(AND(ISNUMBER('Council Entry'!L$8),ISNUMBER('Council Entry'!L$9)),MAX(MIN('Council Entry'!L25,'Council Entry'!L$9),'Council Entry'!L$8),'Council Entry'!L25)),IF('Council Entry'!L$4="Exponential",EXP(IF(AND(ISNUMBER('Council Entry'!L$8),ISNUMBER('Council Entry'!L$9)),MAX(MIN('Council Entry'!L25,'Council Entry'!L$9),'Council Entry'!L$8),'Council Entry'!L25)),IF(AND(ISNUMBER('Council Entry'!L$8),ISNUMBER('Council Entry'!L$9)),MAX(MIN('Council Entry'!L25,'Council Entry'!L$9),'Council Entry'!L$8),'Council Entry'!L25))))-'Council Entry'!L$5)/('Council Entry'!L$6-'Council Entry'!L$5),10*((IF('Council Entry'!L$4="Logarithm",LN(0.001+IF(AND(ISNUMBER('Council Entry'!L$8),ISNUMBER('Council Entry'!L$9)),MAX(MIN('Council Entry'!L25,'Council Entry'!L$9),'Council Entry'!L$8),'Council Entry'!L25)),IF('Council Entry'!L$4="Exponential",EXP(IF(AND(ISNUMBER('Council Entry'!L$8),ISNUMBER('Council Entry'!L$9)),MAX(MIN('Council Entry'!L25,'Council Entry'!L$9),'Council Entry'!L$8),'Council Entry'!L25)),IF(AND(ISNUMBER('Council Entry'!L$8),ISNUMBER('Council Entry'!L$9)),MAX(MIN('Council Entry'!L25,'Council Entry'!L$9),'Council Entry'!L$8),'Council Entry'!L25))))-'Council Entry'!L$5)/('Council Entry'!L$6-'Council Entry'!L$5)),1))),"No data"))</f>
        <v/>
      </c>
      <c r="M25" s="13">
        <f>IF('Council Entry'!M25="","",IFERROR(MAX(0,MIN(10,ROUND(IF('Council Entry'!M$7="Decrease Risk",10-10*((IF('Council Entry'!M$4="Logarithm",LN(0.001+IF(AND(ISNUMBER('Council Entry'!M$8),ISNUMBER('Council Entry'!M$9)),MAX(MIN('Council Entry'!M25,'Council Entry'!M$9),'Council Entry'!M$8),'Council Entry'!M25)),IF('Council Entry'!M$4="Exponential",EXP(IF(AND(ISNUMBER('Council Entry'!M$8),ISNUMBER('Council Entry'!M$9)),MAX(MIN('Council Entry'!M25,'Council Entry'!M$9),'Council Entry'!M$8),'Council Entry'!M25)),IF(AND(ISNUMBER('Council Entry'!M$8),ISNUMBER('Council Entry'!M$9)),MAX(MIN('Council Entry'!M25,'Council Entry'!M$9),'Council Entry'!M$8),'Council Entry'!M25))))-'Council Entry'!M$5)/('Council Entry'!M$6-'Council Entry'!M$5),10*((IF('Council Entry'!M$4="Logarithm",LN(0.001+IF(AND(ISNUMBER('Council Entry'!M$8),ISNUMBER('Council Entry'!M$9)),MAX(MIN('Council Entry'!M25,'Council Entry'!M$9),'Council Entry'!M$8),'Council Entry'!M25)),IF('Council Entry'!M$4="Exponential",EXP(IF(AND(ISNUMBER('Council Entry'!M$8),ISNUMBER('Council Entry'!M$9)),MAX(MIN('Council Entry'!M25,'Council Entry'!M$9),'Council Entry'!M$8),'Council Entry'!M25)),IF(AND(ISNUMBER('Council Entry'!M$8),ISNUMBER('Council Entry'!M$9)),MAX(MIN('Council Entry'!M25,'Council Entry'!M$9),'Council Entry'!M$8),'Council Entry'!M25))))-'Council Entry'!M$5)/('Council Entry'!M$6-'Council Entry'!M$5)),1))),"No data"))</f>
        <v/>
      </c>
      <c r="N25" s="13">
        <f>IF('Council Entry'!N25="","",IFERROR(MAX(0,MIN(10,ROUND(IF('Council Entry'!N$7="Decrease Risk",10-10*((IF('Council Entry'!N$4="Logarithm",LN(0.001+IF(AND(ISNUMBER('Council Entry'!N$8),ISNUMBER('Council Entry'!N$9)),MAX(MIN('Council Entry'!N25,'Council Entry'!N$9),'Council Entry'!N$8),'Council Entry'!N25)),IF('Council Entry'!N$4="Exponential",EXP(IF(AND(ISNUMBER('Council Entry'!N$8),ISNUMBER('Council Entry'!N$9)),MAX(MIN('Council Entry'!N25,'Council Entry'!N$9),'Council Entry'!N$8),'Council Entry'!N25)),IF(AND(ISNUMBER('Council Entry'!N$8),ISNUMBER('Council Entry'!N$9)),MAX(MIN('Council Entry'!N25,'Council Entry'!N$9),'Council Entry'!N$8),'Council Entry'!N25))))-'Council Entry'!N$5)/('Council Entry'!N$6-'Council Entry'!N$5),10*((IF('Council Entry'!N$4="Logarithm",LN(0.001+IF(AND(ISNUMBER('Council Entry'!N$8),ISNUMBER('Council Entry'!N$9)),MAX(MIN('Council Entry'!N25,'Council Entry'!N$9),'Council Entry'!N$8),'Council Entry'!N25)),IF('Council Entry'!N$4="Exponential",EXP(IF(AND(ISNUMBER('Council Entry'!N$8),ISNUMBER('Council Entry'!N$9)),MAX(MIN('Council Entry'!N25,'Council Entry'!N$9),'Council Entry'!N$8),'Council Entry'!N25)),IF(AND(ISNUMBER('Council Entry'!N$8),ISNUMBER('Council Entry'!N$9)),MAX(MIN('Council Entry'!N25,'Council Entry'!N$9),'Council Entry'!N$8),'Council Entry'!N25))))-'Council Entry'!N$5)/('Council Entry'!N$6-'Council Entry'!N$5)),1))),"No data"))</f>
        <v/>
      </c>
      <c r="O25" s="13">
        <f>IF('Council Entry'!O25="","",IFERROR(MAX(0,MIN(10,ROUND(IF('Council Entry'!O$7="Decrease Risk",10-10*((IF('Council Entry'!O$4="Logarithm",LN(0.001+IF(AND(ISNUMBER('Council Entry'!O$8),ISNUMBER('Council Entry'!O$9)),MAX(MIN('Council Entry'!O25,'Council Entry'!O$9),'Council Entry'!O$8),'Council Entry'!O25)),IF('Council Entry'!O$4="Exponential",EXP(IF(AND(ISNUMBER('Council Entry'!O$8),ISNUMBER('Council Entry'!O$9)),MAX(MIN('Council Entry'!O25,'Council Entry'!O$9),'Council Entry'!O$8),'Council Entry'!O25)),IF(AND(ISNUMBER('Council Entry'!O$8),ISNUMBER('Council Entry'!O$9)),MAX(MIN('Council Entry'!O25,'Council Entry'!O$9),'Council Entry'!O$8),'Council Entry'!O25))))-'Council Entry'!O$5)/('Council Entry'!O$6-'Council Entry'!O$5),10*((IF('Council Entry'!O$4="Logarithm",LN(0.001+IF(AND(ISNUMBER('Council Entry'!O$8),ISNUMBER('Council Entry'!O$9)),MAX(MIN('Council Entry'!O25,'Council Entry'!O$9),'Council Entry'!O$8),'Council Entry'!O25)),IF('Council Entry'!O$4="Exponential",EXP(IF(AND(ISNUMBER('Council Entry'!O$8),ISNUMBER('Council Entry'!O$9)),MAX(MIN('Council Entry'!O25,'Council Entry'!O$9),'Council Entry'!O$8),'Council Entry'!O25)),IF(AND(ISNUMBER('Council Entry'!O$8),ISNUMBER('Council Entry'!O$9)),MAX(MIN('Council Entry'!O25,'Council Entry'!O$9),'Council Entry'!O$8),'Council Entry'!O25))))-'Council Entry'!O$5)/('Council Entry'!O$6-'Council Entry'!O$5)),1))),"No data"))</f>
        <v/>
      </c>
      <c r="P25" s="13">
        <f>IF('Council Entry'!P25="","",IFERROR(MAX(0,MIN(10,ROUND(IF('Council Entry'!P$7="Decrease Risk",10-10*((IF('Council Entry'!P$4="Logarithm",LN(0.001+IF(AND(ISNUMBER('Council Entry'!P$8),ISNUMBER('Council Entry'!P$9)),MAX(MIN('Council Entry'!P25,'Council Entry'!P$9),'Council Entry'!P$8),'Council Entry'!P25)),IF('Council Entry'!P$4="Exponential",EXP(IF(AND(ISNUMBER('Council Entry'!P$8),ISNUMBER('Council Entry'!P$9)),MAX(MIN('Council Entry'!P25,'Council Entry'!P$9),'Council Entry'!P$8),'Council Entry'!P25)),IF(AND(ISNUMBER('Council Entry'!P$8),ISNUMBER('Council Entry'!P$9)),MAX(MIN('Council Entry'!P25,'Council Entry'!P$9),'Council Entry'!P$8),'Council Entry'!P25))))-'Council Entry'!P$5)/('Council Entry'!P$6-'Council Entry'!P$5),10*((IF('Council Entry'!P$4="Logarithm",LN(0.001+IF(AND(ISNUMBER('Council Entry'!P$8),ISNUMBER('Council Entry'!P$9)),MAX(MIN('Council Entry'!P25,'Council Entry'!P$9),'Council Entry'!P$8),'Council Entry'!P25)),IF('Council Entry'!P$4="Exponential",EXP(IF(AND(ISNUMBER('Council Entry'!P$8),ISNUMBER('Council Entry'!P$9)),MAX(MIN('Council Entry'!P25,'Council Entry'!P$9),'Council Entry'!P$8),'Council Entry'!P25)),IF(AND(ISNUMBER('Council Entry'!P$8),ISNUMBER('Council Entry'!P$9)),MAX(MIN('Council Entry'!P25,'Council Entry'!P$9),'Council Entry'!P$8),'Council Entry'!P25))))-'Council Entry'!P$5)/('Council Entry'!P$6-'Council Entry'!P$5)),1))),"No data"))</f>
        <v/>
      </c>
      <c r="Q25" s="13">
        <f>IF('Council Entry'!Q25="","",IFERROR(MAX(0,MIN(10,ROUND(IF('Council Entry'!Q$7="Decrease Risk",10-10*((IF('Council Entry'!Q$4="Logarithm",LN(0.001+IF(AND(ISNUMBER('Council Entry'!Q$8),ISNUMBER('Council Entry'!Q$9)),MAX(MIN('Council Entry'!Q25,'Council Entry'!Q$9),'Council Entry'!Q$8),'Council Entry'!Q25)),IF('Council Entry'!Q$4="Exponential",EXP(IF(AND(ISNUMBER('Council Entry'!Q$8),ISNUMBER('Council Entry'!Q$9)),MAX(MIN('Council Entry'!Q25,'Council Entry'!Q$9),'Council Entry'!Q$8),'Council Entry'!Q25)),IF(AND(ISNUMBER('Council Entry'!Q$8),ISNUMBER('Council Entry'!Q$9)),MAX(MIN('Council Entry'!Q25,'Council Entry'!Q$9),'Council Entry'!Q$8),'Council Entry'!Q25))))-'Council Entry'!Q$5)/('Council Entry'!Q$6-'Council Entry'!Q$5),10*((IF('Council Entry'!Q$4="Logarithm",LN(0.001+IF(AND(ISNUMBER('Council Entry'!Q$8),ISNUMBER('Council Entry'!Q$9)),MAX(MIN('Council Entry'!Q25,'Council Entry'!Q$9),'Council Entry'!Q$8),'Council Entry'!Q25)),IF('Council Entry'!Q$4="Exponential",EXP(IF(AND(ISNUMBER('Council Entry'!Q$8),ISNUMBER('Council Entry'!Q$9)),MAX(MIN('Council Entry'!Q25,'Council Entry'!Q$9),'Council Entry'!Q$8),'Council Entry'!Q25)),IF(AND(ISNUMBER('Council Entry'!Q$8),ISNUMBER('Council Entry'!Q$9)),MAX(MIN('Council Entry'!Q25,'Council Entry'!Q$9),'Council Entry'!Q$8),'Council Entry'!Q25))))-'Council Entry'!Q$5)/('Council Entry'!Q$6-'Council Entry'!Q$5)),1))),"No data"))</f>
        <v/>
      </c>
      <c r="R25" s="13">
        <f>IF('Council Entry'!R25="","",IFERROR(MAX(0,MIN(10,ROUND(IF('Council Entry'!R$7="Decrease Risk",10-10*((IF('Council Entry'!R$4="Logarithm",LN(0.001+IF(AND(ISNUMBER('Council Entry'!R$8),ISNUMBER('Council Entry'!R$9)),MAX(MIN('Council Entry'!R25,'Council Entry'!R$9),'Council Entry'!R$8),'Council Entry'!R25)),IF('Council Entry'!R$4="Exponential",EXP(IF(AND(ISNUMBER('Council Entry'!R$8),ISNUMBER('Council Entry'!R$9)),MAX(MIN('Council Entry'!R25,'Council Entry'!R$9),'Council Entry'!R$8),'Council Entry'!R25)),IF(AND(ISNUMBER('Council Entry'!R$8),ISNUMBER('Council Entry'!R$9)),MAX(MIN('Council Entry'!R25,'Council Entry'!R$9),'Council Entry'!R$8),'Council Entry'!R25))))-'Council Entry'!R$5)/('Council Entry'!R$6-'Council Entry'!R$5),10*((IF('Council Entry'!R$4="Logarithm",LN(0.001+IF(AND(ISNUMBER('Council Entry'!R$8),ISNUMBER('Council Entry'!R$9)),MAX(MIN('Council Entry'!R25,'Council Entry'!R$9),'Council Entry'!R$8),'Council Entry'!R25)),IF('Council Entry'!R$4="Exponential",EXP(IF(AND(ISNUMBER('Council Entry'!R$8),ISNUMBER('Council Entry'!R$9)),MAX(MIN('Council Entry'!R25,'Council Entry'!R$9),'Council Entry'!R$8),'Council Entry'!R25)),IF(AND(ISNUMBER('Council Entry'!R$8),ISNUMBER('Council Entry'!R$9)),MAX(MIN('Council Entry'!R25,'Council Entry'!R$9),'Council Entry'!R$8),'Council Entry'!R25))))-'Council Entry'!R$5)/('Council Entry'!R$6-'Council Entry'!R$5)),1))),"No data"))</f>
        <v/>
      </c>
      <c r="S25" s="13">
        <f>IF('Council Entry'!S25="","",IFERROR(MAX(0,MIN(10,ROUND(IF('Council Entry'!S$7="Decrease Risk",10-10*((IF('Council Entry'!S$4="Logarithm",LN(0.001+IF(AND(ISNUMBER('Council Entry'!S$8),ISNUMBER('Council Entry'!S$9)),MAX(MIN('Council Entry'!S25,'Council Entry'!S$9),'Council Entry'!S$8),'Council Entry'!S25)),IF('Council Entry'!S$4="Exponential",EXP(IF(AND(ISNUMBER('Council Entry'!S$8),ISNUMBER('Council Entry'!S$9)),MAX(MIN('Council Entry'!S25,'Council Entry'!S$9),'Council Entry'!S$8),'Council Entry'!S25)),IF(AND(ISNUMBER('Council Entry'!S$8),ISNUMBER('Council Entry'!S$9)),MAX(MIN('Council Entry'!S25,'Council Entry'!S$9),'Council Entry'!S$8),'Council Entry'!S25))))-'Council Entry'!S$5)/('Council Entry'!S$6-'Council Entry'!S$5),10*((IF('Council Entry'!S$4="Logarithm",LN(0.001+IF(AND(ISNUMBER('Council Entry'!S$8),ISNUMBER('Council Entry'!S$9)),MAX(MIN('Council Entry'!S25,'Council Entry'!S$9),'Council Entry'!S$8),'Council Entry'!S25)),IF('Council Entry'!S$4="Exponential",EXP(IF(AND(ISNUMBER('Council Entry'!S$8),ISNUMBER('Council Entry'!S$9)),MAX(MIN('Council Entry'!S25,'Council Entry'!S$9),'Council Entry'!S$8),'Council Entry'!S25)),IF(AND(ISNUMBER('Council Entry'!S$8),ISNUMBER('Council Entry'!S$9)),MAX(MIN('Council Entry'!S25,'Council Entry'!S$9),'Council Entry'!S$8),'Council Entry'!S25))))-'Council Entry'!S$5)/('Council Entry'!S$6-'Council Entry'!S$5)),1))),"No data"))</f>
        <v/>
      </c>
      <c r="T25" s="13">
        <f>IF('Council Entry'!T25="","",IFERROR(MAX(0,MIN(10,ROUND(IF('Council Entry'!T$7="Decrease Risk",10-10*((IF('Council Entry'!T$4="Logarithm",LN(0.001+IF(AND(ISNUMBER('Council Entry'!T$8),ISNUMBER('Council Entry'!T$9)),MAX(MIN('Council Entry'!T25,'Council Entry'!T$9),'Council Entry'!T$8),'Council Entry'!T25)),IF('Council Entry'!T$4="Exponential",EXP(IF(AND(ISNUMBER('Council Entry'!T$8),ISNUMBER('Council Entry'!T$9)),MAX(MIN('Council Entry'!T25,'Council Entry'!T$9),'Council Entry'!T$8),'Council Entry'!T25)),IF(AND(ISNUMBER('Council Entry'!T$8),ISNUMBER('Council Entry'!T$9)),MAX(MIN('Council Entry'!T25,'Council Entry'!T$9),'Council Entry'!T$8),'Council Entry'!T25))))-'Council Entry'!T$5)/('Council Entry'!T$6-'Council Entry'!T$5),10*((IF('Council Entry'!T$4="Logarithm",LN(0.001+IF(AND(ISNUMBER('Council Entry'!T$8),ISNUMBER('Council Entry'!T$9)),MAX(MIN('Council Entry'!T25,'Council Entry'!T$9),'Council Entry'!T$8),'Council Entry'!T25)),IF('Council Entry'!T$4="Exponential",EXP(IF(AND(ISNUMBER('Council Entry'!T$8),ISNUMBER('Council Entry'!T$9)),MAX(MIN('Council Entry'!T25,'Council Entry'!T$9),'Council Entry'!T$8),'Council Entry'!T25)),IF(AND(ISNUMBER('Council Entry'!T$8),ISNUMBER('Council Entry'!T$9)),MAX(MIN('Council Entry'!T25,'Council Entry'!T$9),'Council Entry'!T$8),'Council Entry'!T25))))-'Council Entry'!T$5)/('Council Entry'!T$6-'Council Entry'!T$5)),1))),"No data"))</f>
        <v/>
      </c>
      <c r="U25" s="13">
        <f>IF('Council Entry'!U25="","",IFERROR(MAX(0,MIN(10,ROUND(IF('Council Entry'!U$7="Decrease Risk",10-10*((IF('Council Entry'!U$4="Logarithm",LN(0.001+IF(AND(ISNUMBER('Council Entry'!U$8),ISNUMBER('Council Entry'!U$9)),MAX(MIN('Council Entry'!U25,'Council Entry'!U$9),'Council Entry'!U$8),'Council Entry'!U25)),IF('Council Entry'!U$4="Exponential",EXP(IF(AND(ISNUMBER('Council Entry'!U$8),ISNUMBER('Council Entry'!U$9)),MAX(MIN('Council Entry'!U25,'Council Entry'!U$9),'Council Entry'!U$8),'Council Entry'!U25)),IF(AND(ISNUMBER('Council Entry'!U$8),ISNUMBER('Council Entry'!U$9)),MAX(MIN('Council Entry'!U25,'Council Entry'!U$9),'Council Entry'!U$8),'Council Entry'!U25))))-'Council Entry'!U$5)/('Council Entry'!U$6-'Council Entry'!U$5),10*((IF('Council Entry'!U$4="Logarithm",LN(0.001+IF(AND(ISNUMBER('Council Entry'!U$8),ISNUMBER('Council Entry'!U$9)),MAX(MIN('Council Entry'!U25,'Council Entry'!U$9),'Council Entry'!U$8),'Council Entry'!U25)),IF('Council Entry'!U$4="Exponential",EXP(IF(AND(ISNUMBER('Council Entry'!U$8),ISNUMBER('Council Entry'!U$9)),MAX(MIN('Council Entry'!U25,'Council Entry'!U$9),'Council Entry'!U$8),'Council Entry'!U25)),IF(AND(ISNUMBER('Council Entry'!U$8),ISNUMBER('Council Entry'!U$9)),MAX(MIN('Council Entry'!U25,'Council Entry'!U$9),'Council Entry'!U$8),'Council Entry'!U25))))-'Council Entry'!U$5)/('Council Entry'!U$6-'Council Entry'!U$5)),1))),"No data"))</f>
        <v/>
      </c>
      <c r="V25" s="13">
        <f>IF('Council Entry'!V25="","",IFERROR(MAX(0,MIN(10,ROUND(IF('Council Entry'!V$7="Decrease Risk",10-10*((IF('Council Entry'!V$4="Logarithm",LN(0.001+IF(AND(ISNUMBER('Council Entry'!V$8),ISNUMBER('Council Entry'!V$9)),MAX(MIN('Council Entry'!V25,'Council Entry'!V$9),'Council Entry'!V$8),'Council Entry'!V25)),IF('Council Entry'!V$4="Exponential",EXP(IF(AND(ISNUMBER('Council Entry'!V$8),ISNUMBER('Council Entry'!V$9)),MAX(MIN('Council Entry'!V25,'Council Entry'!V$9),'Council Entry'!V$8),'Council Entry'!V25)),IF(AND(ISNUMBER('Council Entry'!V$8),ISNUMBER('Council Entry'!V$9)),MAX(MIN('Council Entry'!V25,'Council Entry'!V$9),'Council Entry'!V$8),'Council Entry'!V25))))-'Council Entry'!V$5)/('Council Entry'!V$6-'Council Entry'!V$5),10*((IF('Council Entry'!V$4="Logarithm",LN(0.001+IF(AND(ISNUMBER('Council Entry'!V$8),ISNUMBER('Council Entry'!V$9)),MAX(MIN('Council Entry'!V25,'Council Entry'!V$9),'Council Entry'!V$8),'Council Entry'!V25)),IF('Council Entry'!V$4="Exponential",EXP(IF(AND(ISNUMBER('Council Entry'!V$8),ISNUMBER('Council Entry'!V$9)),MAX(MIN('Council Entry'!V25,'Council Entry'!V$9),'Council Entry'!V$8),'Council Entry'!V25)),IF(AND(ISNUMBER('Council Entry'!V$8),ISNUMBER('Council Entry'!V$9)),MAX(MIN('Council Entry'!V25,'Council Entry'!V$9),'Council Entry'!V$8),'Council Entry'!V25))))-'Council Entry'!V$5)/('Council Entry'!V$6-'Council Entry'!V$5)),1))),"No data"))</f>
        <v/>
      </c>
      <c r="W25" s="13">
        <f>IF('Council Entry'!W25="","",IFERROR(MAX(0,MIN(10,ROUND(IF('Council Entry'!W$7="Decrease Risk",10-10*((IF('Council Entry'!W$4="Logarithm",LN(0.001+IF(AND(ISNUMBER('Council Entry'!W$8),ISNUMBER('Council Entry'!W$9)),MAX(MIN('Council Entry'!W25,'Council Entry'!W$9),'Council Entry'!W$8),'Council Entry'!W25)),IF('Council Entry'!W$4="Exponential",EXP(IF(AND(ISNUMBER('Council Entry'!W$8),ISNUMBER('Council Entry'!W$9)),MAX(MIN('Council Entry'!W25,'Council Entry'!W$9),'Council Entry'!W$8),'Council Entry'!W25)),IF(AND(ISNUMBER('Council Entry'!W$8),ISNUMBER('Council Entry'!W$9)),MAX(MIN('Council Entry'!W25,'Council Entry'!W$9),'Council Entry'!W$8),'Council Entry'!W25))))-'Council Entry'!W$5)/('Council Entry'!W$6-'Council Entry'!W$5),10*((IF('Council Entry'!W$4="Logarithm",LN(0.001+IF(AND(ISNUMBER('Council Entry'!W$8),ISNUMBER('Council Entry'!W$9)),MAX(MIN('Council Entry'!W25,'Council Entry'!W$9),'Council Entry'!W$8),'Council Entry'!W25)),IF('Council Entry'!W$4="Exponential",EXP(IF(AND(ISNUMBER('Council Entry'!W$8),ISNUMBER('Council Entry'!W$9)),MAX(MIN('Council Entry'!W25,'Council Entry'!W$9),'Council Entry'!W$8),'Council Entry'!W25)),IF(AND(ISNUMBER('Council Entry'!W$8),ISNUMBER('Council Entry'!W$9)),MAX(MIN('Council Entry'!W25,'Council Entry'!W$9),'Council Entry'!W$8),'Council Entry'!W25))))-'Council Entry'!W$5)/('Council Entry'!W$6-'Council Entry'!W$5)),1))),"No data"))</f>
        <v/>
      </c>
      <c r="X25" s="13">
        <f>IF('Council Entry'!X25="","",IFERROR(MAX(0,MIN(10,ROUND(IF('Council Entry'!X$7="Decrease Risk",10-10*((IF('Council Entry'!X$4="Logarithm",LN(0.001+IF(AND(ISNUMBER('Council Entry'!X$8),ISNUMBER('Council Entry'!X$9)),MAX(MIN('Council Entry'!X25,'Council Entry'!X$9),'Council Entry'!X$8),'Council Entry'!X25)),IF('Council Entry'!X$4="Exponential",EXP(IF(AND(ISNUMBER('Council Entry'!X$8),ISNUMBER('Council Entry'!X$9)),MAX(MIN('Council Entry'!X25,'Council Entry'!X$9),'Council Entry'!X$8),'Council Entry'!X25)),IF(AND(ISNUMBER('Council Entry'!X$8),ISNUMBER('Council Entry'!X$9)),MAX(MIN('Council Entry'!X25,'Council Entry'!X$9),'Council Entry'!X$8),'Council Entry'!X25))))-'Council Entry'!X$5)/('Council Entry'!X$6-'Council Entry'!X$5),10*((IF('Council Entry'!X$4="Logarithm",LN(0.001+IF(AND(ISNUMBER('Council Entry'!X$8),ISNUMBER('Council Entry'!X$9)),MAX(MIN('Council Entry'!X25,'Council Entry'!X$9),'Council Entry'!X$8),'Council Entry'!X25)),IF('Council Entry'!X$4="Exponential",EXP(IF(AND(ISNUMBER('Council Entry'!X$8),ISNUMBER('Council Entry'!X$9)),MAX(MIN('Council Entry'!X25,'Council Entry'!X$9),'Council Entry'!X$8),'Council Entry'!X25)),IF(AND(ISNUMBER('Council Entry'!X$8),ISNUMBER('Council Entry'!X$9)),MAX(MIN('Council Entry'!X25,'Council Entry'!X$9),'Council Entry'!X$8),'Council Entry'!X25))))-'Council Entry'!X$5)/('Council Entry'!X$6-'Council Entry'!X$5)),1))),"No data"))</f>
        <v/>
      </c>
      <c r="Y25" s="13">
        <f>IF('Council Entry'!Y25="","",IFERROR(MAX(0,MIN(10,ROUND(IF('Council Entry'!Y$7="Decrease Risk",10-10*((IF('Council Entry'!Y$4="Logarithm",LN(0.001+IF(AND(ISNUMBER('Council Entry'!Y$8),ISNUMBER('Council Entry'!Y$9)),MAX(MIN('Council Entry'!Y25,'Council Entry'!Y$9),'Council Entry'!Y$8),'Council Entry'!Y25)),IF('Council Entry'!Y$4="Exponential",EXP(IF(AND(ISNUMBER('Council Entry'!Y$8),ISNUMBER('Council Entry'!Y$9)),MAX(MIN('Council Entry'!Y25,'Council Entry'!Y$9),'Council Entry'!Y$8),'Council Entry'!Y25)),IF(AND(ISNUMBER('Council Entry'!Y$8),ISNUMBER('Council Entry'!Y$9)),MAX(MIN('Council Entry'!Y25,'Council Entry'!Y$9),'Council Entry'!Y$8),'Council Entry'!Y25))))-'Council Entry'!Y$5)/('Council Entry'!Y$6-'Council Entry'!Y$5),10*((IF('Council Entry'!Y$4="Logarithm",LN(0.001+IF(AND(ISNUMBER('Council Entry'!Y$8),ISNUMBER('Council Entry'!Y$9)),MAX(MIN('Council Entry'!Y25,'Council Entry'!Y$9),'Council Entry'!Y$8),'Council Entry'!Y25)),IF('Council Entry'!Y$4="Exponential",EXP(IF(AND(ISNUMBER('Council Entry'!Y$8),ISNUMBER('Council Entry'!Y$9)),MAX(MIN('Council Entry'!Y25,'Council Entry'!Y$9),'Council Entry'!Y$8),'Council Entry'!Y25)),IF(AND(ISNUMBER('Council Entry'!Y$8),ISNUMBER('Council Entry'!Y$9)),MAX(MIN('Council Entry'!Y25,'Council Entry'!Y$9),'Council Entry'!Y$8),'Council Entry'!Y25))))-'Council Entry'!Y$5)/('Council Entry'!Y$6-'Council Entry'!Y$5)),1))),"No data"))</f>
        <v/>
      </c>
      <c r="Z25" s="13">
        <f>IF('Council Entry'!Z25="","",IFERROR(MAX(0,MIN(10,ROUND(IF('Council Entry'!Z$7="Decrease Risk",10-10*((IF('Council Entry'!Z$4="Logarithm",LN(0.001+IF(AND(ISNUMBER('Council Entry'!Z$8),ISNUMBER('Council Entry'!Z$9)),MAX(MIN('Council Entry'!Z25,'Council Entry'!Z$9),'Council Entry'!Z$8),'Council Entry'!Z25)),IF('Council Entry'!Z$4="Exponential",EXP(IF(AND(ISNUMBER('Council Entry'!Z$8),ISNUMBER('Council Entry'!Z$9)),MAX(MIN('Council Entry'!Z25,'Council Entry'!Z$9),'Council Entry'!Z$8),'Council Entry'!Z25)),IF(AND(ISNUMBER('Council Entry'!Z$8),ISNUMBER('Council Entry'!Z$9)),MAX(MIN('Council Entry'!Z25,'Council Entry'!Z$9),'Council Entry'!Z$8),'Council Entry'!Z25))))-'Council Entry'!Z$5)/('Council Entry'!Z$6-'Council Entry'!Z$5),10*((IF('Council Entry'!Z$4="Logarithm",LN(0.001+IF(AND(ISNUMBER('Council Entry'!Z$8),ISNUMBER('Council Entry'!Z$9)),MAX(MIN('Council Entry'!Z25,'Council Entry'!Z$9),'Council Entry'!Z$8),'Council Entry'!Z25)),IF('Council Entry'!Z$4="Exponential",EXP(IF(AND(ISNUMBER('Council Entry'!Z$8),ISNUMBER('Council Entry'!Z$9)),MAX(MIN('Council Entry'!Z25,'Council Entry'!Z$9),'Council Entry'!Z$8),'Council Entry'!Z25)),IF(AND(ISNUMBER('Council Entry'!Z$8),ISNUMBER('Council Entry'!Z$9)),MAX(MIN('Council Entry'!Z25,'Council Entry'!Z$9),'Council Entry'!Z$8),'Council Entry'!Z25))))-'Council Entry'!Z$5)/('Council Entry'!Z$6-'Council Entry'!Z$5)),1))),"No data"))</f>
        <v/>
      </c>
      <c r="AA25" s="13">
        <f>IF('Council Entry'!AA25="","",IFERROR(MAX(0,MIN(10,ROUND(IF('Council Entry'!AA$7="Decrease Risk",10-10*((IF('Council Entry'!AA$4="Logarithm",LN(0.001+IF(AND(ISNUMBER('Council Entry'!AA$8),ISNUMBER('Council Entry'!AA$9)),MAX(MIN('Council Entry'!AA25,'Council Entry'!AA$9),'Council Entry'!AA$8),'Council Entry'!AA25)),IF('Council Entry'!AA$4="Exponential",EXP(IF(AND(ISNUMBER('Council Entry'!AA$8),ISNUMBER('Council Entry'!AA$9)),MAX(MIN('Council Entry'!AA25,'Council Entry'!AA$9),'Council Entry'!AA$8),'Council Entry'!AA25)),IF(AND(ISNUMBER('Council Entry'!AA$8),ISNUMBER('Council Entry'!AA$9)),MAX(MIN('Council Entry'!AA25,'Council Entry'!AA$9),'Council Entry'!AA$8),'Council Entry'!AA25))))-'Council Entry'!AA$5)/('Council Entry'!AA$6-'Council Entry'!AA$5),10*((IF('Council Entry'!AA$4="Logarithm",LN(0.001+IF(AND(ISNUMBER('Council Entry'!AA$8),ISNUMBER('Council Entry'!AA$9)),MAX(MIN('Council Entry'!AA25,'Council Entry'!AA$9),'Council Entry'!AA$8),'Council Entry'!AA25)),IF('Council Entry'!AA$4="Exponential",EXP(IF(AND(ISNUMBER('Council Entry'!AA$8),ISNUMBER('Council Entry'!AA$9)),MAX(MIN('Council Entry'!AA25,'Council Entry'!AA$9),'Council Entry'!AA$8),'Council Entry'!AA25)),IF(AND(ISNUMBER('Council Entry'!AA$8),ISNUMBER('Council Entry'!AA$9)),MAX(MIN('Council Entry'!AA25,'Council Entry'!AA$9),'Council Entry'!AA$8),'Council Entry'!AA25))))-'Council Entry'!AA$5)/('Council Entry'!AA$6-'Council Entry'!AA$5)),1))),"No data"))</f>
        <v/>
      </c>
      <c r="AB25" s="13">
        <f>IF('Council Entry'!AB25="","",IFERROR(MAX(0,MIN(10,ROUND(IF('Council Entry'!AB$7="Decrease Risk",10-10*((IF('Council Entry'!AB$4="Logarithm",LN(0.001+IF(AND(ISNUMBER('Council Entry'!AB$8),ISNUMBER('Council Entry'!AB$9)),MAX(MIN('Council Entry'!AB25,'Council Entry'!AB$9),'Council Entry'!AB$8),'Council Entry'!AB25)),IF('Council Entry'!AB$4="Exponential",EXP(IF(AND(ISNUMBER('Council Entry'!AB$8),ISNUMBER('Council Entry'!AB$9)),MAX(MIN('Council Entry'!AB25,'Council Entry'!AB$9),'Council Entry'!AB$8),'Council Entry'!AB25)),IF(AND(ISNUMBER('Council Entry'!AB$8),ISNUMBER('Council Entry'!AB$9)),MAX(MIN('Council Entry'!AB25,'Council Entry'!AB$9),'Council Entry'!AB$8),'Council Entry'!AB25))))-'Council Entry'!AB$5)/('Council Entry'!AB$6-'Council Entry'!AB$5),10*((IF('Council Entry'!AB$4="Logarithm",LN(0.001+IF(AND(ISNUMBER('Council Entry'!AB$8),ISNUMBER('Council Entry'!AB$9)),MAX(MIN('Council Entry'!AB25,'Council Entry'!AB$9),'Council Entry'!AB$8),'Council Entry'!AB25)),IF('Council Entry'!AB$4="Exponential",EXP(IF(AND(ISNUMBER('Council Entry'!AB$8),ISNUMBER('Council Entry'!AB$9)),MAX(MIN('Council Entry'!AB25,'Council Entry'!AB$9),'Council Entry'!AB$8),'Council Entry'!AB25)),IF(AND(ISNUMBER('Council Entry'!AB$8),ISNUMBER('Council Entry'!AB$9)),MAX(MIN('Council Entry'!AB25,'Council Entry'!AB$9),'Council Entry'!AB$8),'Council Entry'!AB25))))-'Council Entry'!AB$5)/('Council Entry'!AB$6-'Council Entry'!AB$5)),1))),"No data"))</f>
        <v/>
      </c>
      <c r="AC25" s="13">
        <f>IF('Council Entry'!AC25="","",IFERROR(MAX(0,MIN(10,ROUND(IF('Council Entry'!AC$7="Decrease Risk",10-10*((IF('Council Entry'!AC$4="Logarithm",LN(0.001+IF(AND(ISNUMBER('Council Entry'!AC$8),ISNUMBER('Council Entry'!AC$9)),MAX(MIN('Council Entry'!AC25,'Council Entry'!AC$9),'Council Entry'!AC$8),'Council Entry'!AC25)),IF('Council Entry'!AC$4="Exponential",EXP(IF(AND(ISNUMBER('Council Entry'!AC$8),ISNUMBER('Council Entry'!AC$9)),MAX(MIN('Council Entry'!AC25,'Council Entry'!AC$9),'Council Entry'!AC$8),'Council Entry'!AC25)),IF(AND(ISNUMBER('Council Entry'!AC$8),ISNUMBER('Council Entry'!AC$9)),MAX(MIN('Council Entry'!AC25,'Council Entry'!AC$9),'Council Entry'!AC$8),'Council Entry'!AC25))))-'Council Entry'!AC$5)/('Council Entry'!AC$6-'Council Entry'!AC$5),10*((IF('Council Entry'!AC$4="Logarithm",LN(0.001+IF(AND(ISNUMBER('Council Entry'!AC$8),ISNUMBER('Council Entry'!AC$9)),MAX(MIN('Council Entry'!AC25,'Council Entry'!AC$9),'Council Entry'!AC$8),'Council Entry'!AC25)),IF('Council Entry'!AC$4="Exponential",EXP(IF(AND(ISNUMBER('Council Entry'!AC$8),ISNUMBER('Council Entry'!AC$9)),MAX(MIN('Council Entry'!AC25,'Council Entry'!AC$9),'Council Entry'!AC$8),'Council Entry'!AC25)),IF(AND(ISNUMBER('Council Entry'!AC$8),ISNUMBER('Council Entry'!AC$9)),MAX(MIN('Council Entry'!AC25,'Council Entry'!AC$9),'Council Entry'!AC$8),'Council Entry'!AC25))))-'Council Entry'!AC$5)/('Council Entry'!AC$6-'Council Entry'!AC$5)),1))),"No data"))</f>
        <v/>
      </c>
      <c r="AD25" s="13">
        <f>IF('Council Entry'!AD25="","",IFERROR(MAX(0,MIN(10,ROUND(IF('Council Entry'!AD$7="Decrease Risk",10-10*((IF('Council Entry'!AD$4="Logarithm",LN(0.001+IF(AND(ISNUMBER('Council Entry'!AD$8),ISNUMBER('Council Entry'!AD$9)),MAX(MIN('Council Entry'!AD25,'Council Entry'!AD$9),'Council Entry'!AD$8),'Council Entry'!AD25)),IF('Council Entry'!AD$4="Exponential",EXP(IF(AND(ISNUMBER('Council Entry'!AD$8),ISNUMBER('Council Entry'!AD$9)),MAX(MIN('Council Entry'!AD25,'Council Entry'!AD$9),'Council Entry'!AD$8),'Council Entry'!AD25)),IF(AND(ISNUMBER('Council Entry'!AD$8),ISNUMBER('Council Entry'!AD$9)),MAX(MIN('Council Entry'!AD25,'Council Entry'!AD$9),'Council Entry'!AD$8),'Council Entry'!AD25))))-'Council Entry'!AD$5)/('Council Entry'!AD$6-'Council Entry'!AD$5),10*((IF('Council Entry'!AD$4="Logarithm",LN(0.001+IF(AND(ISNUMBER('Council Entry'!AD$8),ISNUMBER('Council Entry'!AD$9)),MAX(MIN('Council Entry'!AD25,'Council Entry'!AD$9),'Council Entry'!AD$8),'Council Entry'!AD25)),IF('Council Entry'!AD$4="Exponential",EXP(IF(AND(ISNUMBER('Council Entry'!AD$8),ISNUMBER('Council Entry'!AD$9)),MAX(MIN('Council Entry'!AD25,'Council Entry'!AD$9),'Council Entry'!AD$8),'Council Entry'!AD25)),IF(AND(ISNUMBER('Council Entry'!AD$8),ISNUMBER('Council Entry'!AD$9)),MAX(MIN('Council Entry'!AD25,'Council Entry'!AD$9),'Council Entry'!AD$8),'Council Entry'!AD25))))-'Council Entry'!AD$5)/('Council Entry'!AD$6-'Council Entry'!AD$5)),1))),"No data"))</f>
        <v/>
      </c>
      <c r="AE25" s="13">
        <f>IF('Council Entry'!AE25="","",IFERROR(MAX(0,MIN(10,ROUND(IF('Council Entry'!AE$7="Decrease Risk",10-10*((IF('Council Entry'!AE$4="Logarithm",LN(0.001+IF(AND(ISNUMBER('Council Entry'!AE$8),ISNUMBER('Council Entry'!AE$9)),MAX(MIN('Council Entry'!AE25,'Council Entry'!AE$9),'Council Entry'!AE$8),'Council Entry'!AE25)),IF('Council Entry'!AE$4="Exponential",EXP(IF(AND(ISNUMBER('Council Entry'!AE$8),ISNUMBER('Council Entry'!AE$9)),MAX(MIN('Council Entry'!AE25,'Council Entry'!AE$9),'Council Entry'!AE$8),'Council Entry'!AE25)),IF(AND(ISNUMBER('Council Entry'!AE$8),ISNUMBER('Council Entry'!AE$9)),MAX(MIN('Council Entry'!AE25,'Council Entry'!AE$9),'Council Entry'!AE$8),'Council Entry'!AE25))))-'Council Entry'!AE$5)/('Council Entry'!AE$6-'Council Entry'!AE$5),10*((IF('Council Entry'!AE$4="Logarithm",LN(0.001+IF(AND(ISNUMBER('Council Entry'!AE$8),ISNUMBER('Council Entry'!AE$9)),MAX(MIN('Council Entry'!AE25,'Council Entry'!AE$9),'Council Entry'!AE$8),'Council Entry'!AE25)),IF('Council Entry'!AE$4="Exponential",EXP(IF(AND(ISNUMBER('Council Entry'!AE$8),ISNUMBER('Council Entry'!AE$9)),MAX(MIN('Council Entry'!AE25,'Council Entry'!AE$9),'Council Entry'!AE$8),'Council Entry'!AE25)),IF(AND(ISNUMBER('Council Entry'!AE$8),ISNUMBER('Council Entry'!AE$9)),MAX(MIN('Council Entry'!AE25,'Council Entry'!AE$9),'Council Entry'!AE$8),'Council Entry'!AE25))))-'Council Entry'!AE$5)/('Council Entry'!AE$6-'Council Entry'!AE$5)),1))),"No data"))</f>
        <v/>
      </c>
      <c r="AF25" s="13">
        <f>IF('Council Entry'!AF25="","",IFERROR(MAX(0,MIN(10,ROUND(IF('Council Entry'!AF$7="Decrease Risk",10-10*((IF('Council Entry'!AF$4="Logarithm",LN(0.001+IF(AND(ISNUMBER('Council Entry'!AF$8),ISNUMBER('Council Entry'!AF$9)),MAX(MIN('Council Entry'!AF25,'Council Entry'!AF$9),'Council Entry'!AF$8),'Council Entry'!AF25)),IF('Council Entry'!AF$4="Exponential",EXP(IF(AND(ISNUMBER('Council Entry'!AF$8),ISNUMBER('Council Entry'!AF$9)),MAX(MIN('Council Entry'!AF25,'Council Entry'!AF$9),'Council Entry'!AF$8),'Council Entry'!AF25)),IF(AND(ISNUMBER('Council Entry'!AF$8),ISNUMBER('Council Entry'!AF$9)),MAX(MIN('Council Entry'!AF25,'Council Entry'!AF$9),'Council Entry'!AF$8),'Council Entry'!AF25))))-'Council Entry'!AF$5)/('Council Entry'!AF$6-'Council Entry'!AF$5),10*((IF('Council Entry'!AF$4="Logarithm",LN(0.001+IF(AND(ISNUMBER('Council Entry'!AF$8),ISNUMBER('Council Entry'!AF$9)),MAX(MIN('Council Entry'!AF25,'Council Entry'!AF$9),'Council Entry'!AF$8),'Council Entry'!AF25)),IF('Council Entry'!AF$4="Exponential",EXP(IF(AND(ISNUMBER('Council Entry'!AF$8),ISNUMBER('Council Entry'!AF$9)),MAX(MIN('Council Entry'!AF25,'Council Entry'!AF$9),'Council Entry'!AF$8),'Council Entry'!AF25)),IF(AND(ISNUMBER('Council Entry'!AF$8),ISNUMBER('Council Entry'!AF$9)),MAX(MIN('Council Entry'!AF25,'Council Entry'!AF$9),'Council Entry'!AF$8),'Council Entry'!AF25))))-'Council Entry'!AF$5)/('Council Entry'!AF$6-'Council Entry'!AF$5)),1))),"No data"))</f>
        <v/>
      </c>
      <c r="AG25" s="13">
        <f>IF('Council Entry'!AG25="","",IFERROR(MAX(0,MIN(10,ROUND(IF('Council Entry'!AG$7="Decrease Risk",10-10*((IF('Council Entry'!AG$4="Logarithm",LN(0.001+IF(AND(ISNUMBER('Council Entry'!AG$8),ISNUMBER('Council Entry'!AG$9)),MAX(MIN('Council Entry'!AG25,'Council Entry'!AG$9),'Council Entry'!AG$8),'Council Entry'!AG25)),IF('Council Entry'!AG$4="Exponential",EXP(IF(AND(ISNUMBER('Council Entry'!AG$8),ISNUMBER('Council Entry'!AG$9)),MAX(MIN('Council Entry'!AG25,'Council Entry'!AG$9),'Council Entry'!AG$8),'Council Entry'!AG25)),IF(AND(ISNUMBER('Council Entry'!AG$8),ISNUMBER('Council Entry'!AG$9)),MAX(MIN('Council Entry'!AG25,'Council Entry'!AG$9),'Council Entry'!AG$8),'Council Entry'!AG25))))-'Council Entry'!AG$5)/('Council Entry'!AG$6-'Council Entry'!AG$5),10*((IF('Council Entry'!AG$4="Logarithm",LN(0.001+IF(AND(ISNUMBER('Council Entry'!AG$8),ISNUMBER('Council Entry'!AG$9)),MAX(MIN('Council Entry'!AG25,'Council Entry'!AG$9),'Council Entry'!AG$8),'Council Entry'!AG25)),IF('Council Entry'!AG$4="Exponential",EXP(IF(AND(ISNUMBER('Council Entry'!AG$8),ISNUMBER('Council Entry'!AG$9)),MAX(MIN('Council Entry'!AG25,'Council Entry'!AG$9),'Council Entry'!AG$8),'Council Entry'!AG25)),IF(AND(ISNUMBER('Council Entry'!AG$8),ISNUMBER('Council Entry'!AG$9)),MAX(MIN('Council Entry'!AG25,'Council Entry'!AG$9),'Council Entry'!AG$8),'Council Entry'!AG25))))-'Council Entry'!AG$5)/('Council Entry'!AG$6-'Council Entry'!AG$5)),1))),"No data"))</f>
        <v/>
      </c>
      <c r="AH25" s="13">
        <f>IF('Council Entry'!AH25="","",IFERROR(MAX(0,MIN(10,ROUND(IF('Council Entry'!AH$7="Decrease Risk",10-10*((IF('Council Entry'!AH$4="Logarithm",LN(0.001+IF(AND(ISNUMBER('Council Entry'!AH$8),ISNUMBER('Council Entry'!AH$9)),MAX(MIN('Council Entry'!AH25,'Council Entry'!AH$9),'Council Entry'!AH$8),'Council Entry'!AH25)),IF('Council Entry'!AH$4="Exponential",EXP(IF(AND(ISNUMBER('Council Entry'!AH$8),ISNUMBER('Council Entry'!AH$9)),MAX(MIN('Council Entry'!AH25,'Council Entry'!AH$9),'Council Entry'!AH$8),'Council Entry'!AH25)),IF(AND(ISNUMBER('Council Entry'!AH$8),ISNUMBER('Council Entry'!AH$9)),MAX(MIN('Council Entry'!AH25,'Council Entry'!AH$9),'Council Entry'!AH$8),'Council Entry'!AH25))))-'Council Entry'!AH$5)/('Council Entry'!AH$6-'Council Entry'!AH$5),10*((IF('Council Entry'!AH$4="Logarithm",LN(0.001+IF(AND(ISNUMBER('Council Entry'!AH$8),ISNUMBER('Council Entry'!AH$9)),MAX(MIN('Council Entry'!AH25,'Council Entry'!AH$9),'Council Entry'!AH$8),'Council Entry'!AH25)),IF('Council Entry'!AH$4="Exponential",EXP(IF(AND(ISNUMBER('Council Entry'!AH$8),ISNUMBER('Council Entry'!AH$9)),MAX(MIN('Council Entry'!AH25,'Council Entry'!AH$9),'Council Entry'!AH$8),'Council Entry'!AH25)),IF(AND(ISNUMBER('Council Entry'!AH$8),ISNUMBER('Council Entry'!AH$9)),MAX(MIN('Council Entry'!AH25,'Council Entry'!AH$9),'Council Entry'!AH$8),'Council Entry'!AH25))))-'Council Entry'!AH$5)/('Council Entry'!AH$6-'Council Entry'!AH$5)),1))),"No data"))</f>
        <v/>
      </c>
      <c r="AI25" s="13">
        <f>IF('Council Entry'!AI25="","",IFERROR(MAX(0,MIN(10,ROUND(IF('Council Entry'!AI$7="Decrease Risk",10-10*((IF('Council Entry'!AI$4="Logarithm",LN(0.001+IF(AND(ISNUMBER('Council Entry'!AI$8),ISNUMBER('Council Entry'!AI$9)),MAX(MIN('Council Entry'!AI25,'Council Entry'!AI$9),'Council Entry'!AI$8),'Council Entry'!AI25)),IF('Council Entry'!AI$4="Exponential",EXP(IF(AND(ISNUMBER('Council Entry'!AI$8),ISNUMBER('Council Entry'!AI$9)),MAX(MIN('Council Entry'!AI25,'Council Entry'!AI$9),'Council Entry'!AI$8),'Council Entry'!AI25)),IF(AND(ISNUMBER('Council Entry'!AI$8),ISNUMBER('Council Entry'!AI$9)),MAX(MIN('Council Entry'!AI25,'Council Entry'!AI$9),'Council Entry'!AI$8),'Council Entry'!AI25))))-'Council Entry'!AI$5)/('Council Entry'!AI$6-'Council Entry'!AI$5),10*((IF('Council Entry'!AI$4="Logarithm",LN(0.001+IF(AND(ISNUMBER('Council Entry'!AI$8),ISNUMBER('Council Entry'!AI$9)),MAX(MIN('Council Entry'!AI25,'Council Entry'!AI$9),'Council Entry'!AI$8),'Council Entry'!AI25)),IF('Council Entry'!AI$4="Exponential",EXP(IF(AND(ISNUMBER('Council Entry'!AI$8),ISNUMBER('Council Entry'!AI$9)),MAX(MIN('Council Entry'!AI25,'Council Entry'!AI$9),'Council Entry'!AI$8),'Council Entry'!AI25)),IF(AND(ISNUMBER('Council Entry'!AI$8),ISNUMBER('Council Entry'!AI$9)),MAX(MIN('Council Entry'!AI25,'Council Entry'!AI$9),'Council Entry'!AI$8),'Council Entry'!AI25))))-'Council Entry'!AI$5)/('Council Entry'!AI$6-'Council Entry'!AI$5)),1))),"No data"))</f>
        <v/>
      </c>
      <c r="AJ25" s="13">
        <f>IF('Council Entry'!AJ25="","",IFERROR(MAX(0,MIN(10,ROUND(IF('Council Entry'!AJ$7="Decrease Risk",10-10*((IF('Council Entry'!AJ$4="Logarithm",LN(0.001+IF(AND(ISNUMBER('Council Entry'!AJ$8),ISNUMBER('Council Entry'!AJ$9)),MAX(MIN('Council Entry'!AJ25,'Council Entry'!AJ$9),'Council Entry'!AJ$8),'Council Entry'!AJ25)),IF('Council Entry'!AJ$4="Exponential",EXP(IF(AND(ISNUMBER('Council Entry'!AJ$8),ISNUMBER('Council Entry'!AJ$9)),MAX(MIN('Council Entry'!AJ25,'Council Entry'!AJ$9),'Council Entry'!AJ$8),'Council Entry'!AJ25)),IF(AND(ISNUMBER('Council Entry'!AJ$8),ISNUMBER('Council Entry'!AJ$9)),MAX(MIN('Council Entry'!AJ25,'Council Entry'!AJ$9),'Council Entry'!AJ$8),'Council Entry'!AJ25))))-'Council Entry'!AJ$5)/('Council Entry'!AJ$6-'Council Entry'!AJ$5),10*((IF('Council Entry'!AJ$4="Logarithm",LN(0.001+IF(AND(ISNUMBER('Council Entry'!AJ$8),ISNUMBER('Council Entry'!AJ$9)),MAX(MIN('Council Entry'!AJ25,'Council Entry'!AJ$9),'Council Entry'!AJ$8),'Council Entry'!AJ25)),IF('Council Entry'!AJ$4="Exponential",EXP(IF(AND(ISNUMBER('Council Entry'!AJ$8),ISNUMBER('Council Entry'!AJ$9)),MAX(MIN('Council Entry'!AJ25,'Council Entry'!AJ$9),'Council Entry'!AJ$8),'Council Entry'!AJ25)),IF(AND(ISNUMBER('Council Entry'!AJ$8),ISNUMBER('Council Entry'!AJ$9)),MAX(MIN('Council Entry'!AJ25,'Council Entry'!AJ$9),'Council Entry'!AJ$8),'Council Entry'!AJ25))))-'Council Entry'!AJ$5)/('Council Entry'!AJ$6-'Council Entry'!AJ$5)),1))),"No data"))</f>
        <v/>
      </c>
      <c r="AK25" s="13">
        <f>IF('Council Entry'!AK25="","",IFERROR(MAX(0,MIN(10,ROUND(IF('Council Entry'!AK$7="Decrease Risk",10-10*((IF('Council Entry'!AK$4="Logarithm",LN(0.001+IF(AND(ISNUMBER('Council Entry'!AK$8),ISNUMBER('Council Entry'!AK$9)),MAX(MIN('Council Entry'!AK25,'Council Entry'!AK$9),'Council Entry'!AK$8),'Council Entry'!AK25)),IF('Council Entry'!AK$4="Exponential",EXP(IF(AND(ISNUMBER('Council Entry'!AK$8),ISNUMBER('Council Entry'!AK$9)),MAX(MIN('Council Entry'!AK25,'Council Entry'!AK$9),'Council Entry'!AK$8),'Council Entry'!AK25)),IF(AND(ISNUMBER('Council Entry'!AK$8),ISNUMBER('Council Entry'!AK$9)),MAX(MIN('Council Entry'!AK25,'Council Entry'!AK$9),'Council Entry'!AK$8),'Council Entry'!AK25))))-'Council Entry'!AK$5)/('Council Entry'!AK$6-'Council Entry'!AK$5),10*((IF('Council Entry'!AK$4="Logarithm",LN(0.001+IF(AND(ISNUMBER('Council Entry'!AK$8),ISNUMBER('Council Entry'!AK$9)),MAX(MIN('Council Entry'!AK25,'Council Entry'!AK$9),'Council Entry'!AK$8),'Council Entry'!AK25)),IF('Council Entry'!AK$4="Exponential",EXP(IF(AND(ISNUMBER('Council Entry'!AK$8),ISNUMBER('Council Entry'!AK$9)),MAX(MIN('Council Entry'!AK25,'Council Entry'!AK$9),'Council Entry'!AK$8),'Council Entry'!AK25)),IF(AND(ISNUMBER('Council Entry'!AK$8),ISNUMBER('Council Entry'!AK$9)),MAX(MIN('Council Entry'!AK25,'Council Entry'!AK$9),'Council Entry'!AK$8),'Council Entry'!AK25))))-'Council Entry'!AK$5)/('Council Entry'!AK$6-'Council Entry'!AK$5)),1))),"No data"))</f>
        <v/>
      </c>
      <c r="AL25" s="13">
        <f>IF('Council Entry'!AL25="","",IFERROR(MAX(0,MIN(10,ROUND(IF('Council Entry'!AL$7="Decrease Risk",10-10*((IF('Council Entry'!AL$4="Logarithm",LN(0.001+IF(AND(ISNUMBER('Council Entry'!AL$8),ISNUMBER('Council Entry'!AL$9)),MAX(MIN('Council Entry'!AL25,'Council Entry'!AL$9),'Council Entry'!AL$8),'Council Entry'!AL25)),IF('Council Entry'!AL$4="Exponential",EXP(IF(AND(ISNUMBER('Council Entry'!AL$8),ISNUMBER('Council Entry'!AL$9)),MAX(MIN('Council Entry'!AL25,'Council Entry'!AL$9),'Council Entry'!AL$8),'Council Entry'!AL25)),IF(AND(ISNUMBER('Council Entry'!AL$8),ISNUMBER('Council Entry'!AL$9)),MAX(MIN('Council Entry'!AL25,'Council Entry'!AL$9),'Council Entry'!AL$8),'Council Entry'!AL25))))-'Council Entry'!AL$5)/('Council Entry'!AL$6-'Council Entry'!AL$5),10*((IF('Council Entry'!AL$4="Logarithm",LN(0.001+IF(AND(ISNUMBER('Council Entry'!AL$8),ISNUMBER('Council Entry'!AL$9)),MAX(MIN('Council Entry'!AL25,'Council Entry'!AL$9),'Council Entry'!AL$8),'Council Entry'!AL25)),IF('Council Entry'!AL$4="Exponential",EXP(IF(AND(ISNUMBER('Council Entry'!AL$8),ISNUMBER('Council Entry'!AL$9)),MAX(MIN('Council Entry'!AL25,'Council Entry'!AL$9),'Council Entry'!AL$8),'Council Entry'!AL25)),IF(AND(ISNUMBER('Council Entry'!AL$8),ISNUMBER('Council Entry'!AL$9)),MAX(MIN('Council Entry'!AL25,'Council Entry'!AL$9),'Council Entry'!AL$8),'Council Entry'!AL25))))-'Council Entry'!AL$5)/('Council Entry'!AL$6-'Council Entry'!AL$5)),1))),"No data"))</f>
        <v/>
      </c>
      <c r="AM25" s="13">
        <f>IF('Council Entry'!AM25="","",IFERROR(MAX(0,MIN(10,ROUND(IF('Council Entry'!AM$7="Decrease Risk",10-10*((IF('Council Entry'!AM$4="Logarithm",LN(0.001+IF(AND(ISNUMBER('Council Entry'!AM$8),ISNUMBER('Council Entry'!AM$9)),MAX(MIN('Council Entry'!AM25,'Council Entry'!AM$9),'Council Entry'!AM$8),'Council Entry'!AM25)),IF('Council Entry'!AM$4="Exponential",EXP(IF(AND(ISNUMBER('Council Entry'!AM$8),ISNUMBER('Council Entry'!AM$9)),MAX(MIN('Council Entry'!AM25,'Council Entry'!AM$9),'Council Entry'!AM$8),'Council Entry'!AM25)),IF(AND(ISNUMBER('Council Entry'!AM$8),ISNUMBER('Council Entry'!AM$9)),MAX(MIN('Council Entry'!AM25,'Council Entry'!AM$9),'Council Entry'!AM$8),'Council Entry'!AM25))))-'Council Entry'!AM$5)/('Council Entry'!AM$6-'Council Entry'!AM$5),10*((IF('Council Entry'!AM$4="Logarithm",LN(0.001+IF(AND(ISNUMBER('Council Entry'!AM$8),ISNUMBER('Council Entry'!AM$9)),MAX(MIN('Council Entry'!AM25,'Council Entry'!AM$9),'Council Entry'!AM$8),'Council Entry'!AM25)),IF('Council Entry'!AM$4="Exponential",EXP(IF(AND(ISNUMBER('Council Entry'!AM$8),ISNUMBER('Council Entry'!AM$9)),MAX(MIN('Council Entry'!AM25,'Council Entry'!AM$9),'Council Entry'!AM$8),'Council Entry'!AM25)),IF(AND(ISNUMBER('Council Entry'!AM$8),ISNUMBER('Council Entry'!AM$9)),MAX(MIN('Council Entry'!AM25,'Council Entry'!AM$9),'Council Entry'!AM$8),'Council Entry'!AM25))))-'Council Entry'!AM$5)/('Council Entry'!AM$6-'Council Entry'!AM$5)),1))),"No data"))</f>
        <v/>
      </c>
      <c r="AN25" s="13">
        <f>IF('Council Entry'!AN25="","",IFERROR(MAX(0,MIN(10,ROUND(IF('Council Entry'!AN$7="Decrease Risk",10-10*((IF('Council Entry'!AN$4="Logarithm",LN(0.001+IF(AND(ISNUMBER('Council Entry'!AN$8),ISNUMBER('Council Entry'!AN$9)),MAX(MIN('Council Entry'!AN25,'Council Entry'!AN$9),'Council Entry'!AN$8),'Council Entry'!AN25)),IF('Council Entry'!AN$4="Exponential",EXP(IF(AND(ISNUMBER('Council Entry'!AN$8),ISNUMBER('Council Entry'!AN$9)),MAX(MIN('Council Entry'!AN25,'Council Entry'!AN$9),'Council Entry'!AN$8),'Council Entry'!AN25)),IF(AND(ISNUMBER('Council Entry'!AN$8),ISNUMBER('Council Entry'!AN$9)),MAX(MIN('Council Entry'!AN25,'Council Entry'!AN$9),'Council Entry'!AN$8),'Council Entry'!AN25))))-'Council Entry'!AN$5)/('Council Entry'!AN$6-'Council Entry'!AN$5),10*((IF('Council Entry'!AN$4="Logarithm",LN(0.001+IF(AND(ISNUMBER('Council Entry'!AN$8),ISNUMBER('Council Entry'!AN$9)),MAX(MIN('Council Entry'!AN25,'Council Entry'!AN$9),'Council Entry'!AN$8),'Council Entry'!AN25)),IF('Council Entry'!AN$4="Exponential",EXP(IF(AND(ISNUMBER('Council Entry'!AN$8),ISNUMBER('Council Entry'!AN$9)),MAX(MIN('Council Entry'!AN25,'Council Entry'!AN$9),'Council Entry'!AN$8),'Council Entry'!AN25)),IF(AND(ISNUMBER('Council Entry'!AN$8),ISNUMBER('Council Entry'!AN$9)),MAX(MIN('Council Entry'!AN25,'Council Entry'!AN$9),'Council Entry'!AN$8),'Council Entry'!AN25))))-'Council Entry'!AN$5)/('Council Entry'!AN$6-'Council Entry'!AN$5)),1))),"No data"))</f>
        <v/>
      </c>
      <c r="AO25" s="13">
        <f>IF('Council Entry'!AO25="","",IFERROR(MAX(0,MIN(10,ROUND(IF('Council Entry'!AO$7="Decrease Risk",10-10*((IF('Council Entry'!AO$4="Logarithm",LN(0.001+IF(AND(ISNUMBER('Council Entry'!AO$8),ISNUMBER('Council Entry'!AO$9)),MAX(MIN('Council Entry'!AO25,'Council Entry'!AO$9),'Council Entry'!AO$8),'Council Entry'!AO25)),IF('Council Entry'!AO$4="Exponential",EXP(IF(AND(ISNUMBER('Council Entry'!AO$8),ISNUMBER('Council Entry'!AO$9)),MAX(MIN('Council Entry'!AO25,'Council Entry'!AO$9),'Council Entry'!AO$8),'Council Entry'!AO25)),IF(AND(ISNUMBER('Council Entry'!AO$8),ISNUMBER('Council Entry'!AO$9)),MAX(MIN('Council Entry'!AO25,'Council Entry'!AO$9),'Council Entry'!AO$8),'Council Entry'!AO25))))-'Council Entry'!AO$5)/('Council Entry'!AO$6-'Council Entry'!AO$5),10*((IF('Council Entry'!AO$4="Logarithm",LN(0.001+IF(AND(ISNUMBER('Council Entry'!AO$8),ISNUMBER('Council Entry'!AO$9)),MAX(MIN('Council Entry'!AO25,'Council Entry'!AO$9),'Council Entry'!AO$8),'Council Entry'!AO25)),IF('Council Entry'!AO$4="Exponential",EXP(IF(AND(ISNUMBER('Council Entry'!AO$8),ISNUMBER('Council Entry'!AO$9)),MAX(MIN('Council Entry'!AO25,'Council Entry'!AO$9),'Council Entry'!AO$8),'Council Entry'!AO25)),IF(AND(ISNUMBER('Council Entry'!AO$8),ISNUMBER('Council Entry'!AO$9)),MAX(MIN('Council Entry'!AO25,'Council Entry'!AO$9),'Council Entry'!AO$8),'Council Entry'!AO25))))-'Council Entry'!AO$5)/('Council Entry'!AO$6-'Council Entry'!AO$5)),1))),"No data"))</f>
        <v/>
      </c>
      <c r="AP25" s="13">
        <f>IF('Council Entry'!AP25="","",IFERROR(MAX(0,MIN(10,ROUND(IF('Council Entry'!AP$7="Decrease Risk",10-10*((IF('Council Entry'!AP$4="Logarithm",LN(0.001+IF(AND(ISNUMBER('Council Entry'!AP$8),ISNUMBER('Council Entry'!AP$9)),MAX(MIN('Council Entry'!AP25,'Council Entry'!AP$9),'Council Entry'!AP$8),'Council Entry'!AP25)),IF('Council Entry'!AP$4="Exponential",EXP(IF(AND(ISNUMBER('Council Entry'!AP$8),ISNUMBER('Council Entry'!AP$9)),MAX(MIN('Council Entry'!AP25,'Council Entry'!AP$9),'Council Entry'!AP$8),'Council Entry'!AP25)),IF(AND(ISNUMBER('Council Entry'!AP$8),ISNUMBER('Council Entry'!AP$9)),MAX(MIN('Council Entry'!AP25,'Council Entry'!AP$9),'Council Entry'!AP$8),'Council Entry'!AP25))))-'Council Entry'!AP$5)/('Council Entry'!AP$6-'Council Entry'!AP$5),10*((IF('Council Entry'!AP$4="Logarithm",LN(0.001+IF(AND(ISNUMBER('Council Entry'!AP$8),ISNUMBER('Council Entry'!AP$9)),MAX(MIN('Council Entry'!AP25,'Council Entry'!AP$9),'Council Entry'!AP$8),'Council Entry'!AP25)),IF('Council Entry'!AP$4="Exponential",EXP(IF(AND(ISNUMBER('Council Entry'!AP$8),ISNUMBER('Council Entry'!AP$9)),MAX(MIN('Council Entry'!AP25,'Council Entry'!AP$9),'Council Entry'!AP$8),'Council Entry'!AP25)),IF(AND(ISNUMBER('Council Entry'!AP$8),ISNUMBER('Council Entry'!AP$9)),MAX(MIN('Council Entry'!AP25,'Council Entry'!AP$9),'Council Entry'!AP$8),'Council Entry'!AP25))))-'Council Entry'!AP$5)/('Council Entry'!AP$6-'Council Entry'!AP$5)),1))),"No data"))</f>
        <v/>
      </c>
      <c r="AQ25" s="13">
        <f>IF('Council Entry'!AQ25="","",IFERROR(MAX(0,MIN(10,ROUND(IF('Council Entry'!AQ$7="Decrease Risk",10-10*((IF('Council Entry'!AQ$4="Logarithm",LN(0.001+IF(AND(ISNUMBER('Council Entry'!AQ$8),ISNUMBER('Council Entry'!AQ$9)),MAX(MIN('Council Entry'!AQ25,'Council Entry'!AQ$9),'Council Entry'!AQ$8),'Council Entry'!AQ25)),IF('Council Entry'!AQ$4="Exponential",EXP(IF(AND(ISNUMBER('Council Entry'!AQ$8),ISNUMBER('Council Entry'!AQ$9)),MAX(MIN('Council Entry'!AQ25,'Council Entry'!AQ$9),'Council Entry'!AQ$8),'Council Entry'!AQ25)),IF(AND(ISNUMBER('Council Entry'!AQ$8),ISNUMBER('Council Entry'!AQ$9)),MAX(MIN('Council Entry'!AQ25,'Council Entry'!AQ$9),'Council Entry'!AQ$8),'Council Entry'!AQ25))))-'Council Entry'!AQ$5)/('Council Entry'!AQ$6-'Council Entry'!AQ$5),10*((IF('Council Entry'!AQ$4="Logarithm",LN(0.001+IF(AND(ISNUMBER('Council Entry'!AQ$8),ISNUMBER('Council Entry'!AQ$9)),MAX(MIN('Council Entry'!AQ25,'Council Entry'!AQ$9),'Council Entry'!AQ$8),'Council Entry'!AQ25)),IF('Council Entry'!AQ$4="Exponential",EXP(IF(AND(ISNUMBER('Council Entry'!AQ$8),ISNUMBER('Council Entry'!AQ$9)),MAX(MIN('Council Entry'!AQ25,'Council Entry'!AQ$9),'Council Entry'!AQ$8),'Council Entry'!AQ25)),IF(AND(ISNUMBER('Council Entry'!AQ$8),ISNUMBER('Council Entry'!AQ$9)),MAX(MIN('Council Entry'!AQ25,'Council Entry'!AQ$9),'Council Entry'!AQ$8),'Council Entry'!AQ25))))-'Council Entry'!AQ$5)/('Council Entry'!AQ$6-'Council Entry'!AQ$5)),1))),"No data"))</f>
        <v/>
      </c>
      <c r="AR25" s="13">
        <f>IF('Council Entry'!AR25="","",IFERROR(MAX(0,MIN(10,ROUND(IF('Council Entry'!AR$7="Decrease Risk",10-10*((IF('Council Entry'!AR$4="Logarithm",LN(0.001+IF(AND(ISNUMBER('Council Entry'!AR$8),ISNUMBER('Council Entry'!AR$9)),MAX(MIN('Council Entry'!AR25,'Council Entry'!AR$9),'Council Entry'!AR$8),'Council Entry'!AR25)),IF('Council Entry'!AR$4="Exponential",EXP(IF(AND(ISNUMBER('Council Entry'!AR$8),ISNUMBER('Council Entry'!AR$9)),MAX(MIN('Council Entry'!AR25,'Council Entry'!AR$9),'Council Entry'!AR$8),'Council Entry'!AR25)),IF(AND(ISNUMBER('Council Entry'!AR$8),ISNUMBER('Council Entry'!AR$9)),MAX(MIN('Council Entry'!AR25,'Council Entry'!AR$9),'Council Entry'!AR$8),'Council Entry'!AR25))))-'Council Entry'!AR$5)/('Council Entry'!AR$6-'Council Entry'!AR$5),10*((IF('Council Entry'!AR$4="Logarithm",LN(0.001+IF(AND(ISNUMBER('Council Entry'!AR$8),ISNUMBER('Council Entry'!AR$9)),MAX(MIN('Council Entry'!AR25,'Council Entry'!AR$9),'Council Entry'!AR$8),'Council Entry'!AR25)),IF('Council Entry'!AR$4="Exponential",EXP(IF(AND(ISNUMBER('Council Entry'!AR$8),ISNUMBER('Council Entry'!AR$9)),MAX(MIN('Council Entry'!AR25,'Council Entry'!AR$9),'Council Entry'!AR$8),'Council Entry'!AR25)),IF(AND(ISNUMBER('Council Entry'!AR$8),ISNUMBER('Council Entry'!AR$9)),MAX(MIN('Council Entry'!AR25,'Council Entry'!AR$9),'Council Entry'!AR$8),'Council Entry'!AR25))))-'Council Entry'!AR$5)/('Council Entry'!AR$6-'Council Entry'!AR$5)),1))),"No data"))</f>
        <v/>
      </c>
      <c r="AS25" s="13">
        <f>IF('Council Entry'!AS25="","",IFERROR(MAX(0,MIN(10,ROUND(IF('Council Entry'!AS$7="Decrease Risk",10-10*((IF('Council Entry'!AS$4="Logarithm",LN(0.001+IF(AND(ISNUMBER('Council Entry'!AS$8),ISNUMBER('Council Entry'!AS$9)),MAX(MIN('Council Entry'!AS25,'Council Entry'!AS$9),'Council Entry'!AS$8),'Council Entry'!AS25)),IF('Council Entry'!AS$4="Exponential",EXP(IF(AND(ISNUMBER('Council Entry'!AS$8),ISNUMBER('Council Entry'!AS$9)),MAX(MIN('Council Entry'!AS25,'Council Entry'!AS$9),'Council Entry'!AS$8),'Council Entry'!AS25)),IF(AND(ISNUMBER('Council Entry'!AS$8),ISNUMBER('Council Entry'!AS$9)),MAX(MIN('Council Entry'!AS25,'Council Entry'!AS$9),'Council Entry'!AS$8),'Council Entry'!AS25))))-'Council Entry'!AS$5)/('Council Entry'!AS$6-'Council Entry'!AS$5),10*((IF('Council Entry'!AS$4="Logarithm",LN(0.001+IF(AND(ISNUMBER('Council Entry'!AS$8),ISNUMBER('Council Entry'!AS$9)),MAX(MIN('Council Entry'!AS25,'Council Entry'!AS$9),'Council Entry'!AS$8),'Council Entry'!AS25)),IF('Council Entry'!AS$4="Exponential",EXP(IF(AND(ISNUMBER('Council Entry'!AS$8),ISNUMBER('Council Entry'!AS$9)),MAX(MIN('Council Entry'!AS25,'Council Entry'!AS$9),'Council Entry'!AS$8),'Council Entry'!AS25)),IF(AND(ISNUMBER('Council Entry'!AS$8),ISNUMBER('Council Entry'!AS$9)),MAX(MIN('Council Entry'!AS25,'Council Entry'!AS$9),'Council Entry'!AS$8),'Council Entry'!AS25))))-'Council Entry'!AS$5)/('Council Entry'!AS$6-'Council Entry'!AS$5)),1))),"No data"))</f>
        <v/>
      </c>
      <c r="AT25" s="13">
        <f>IF('Council Entry'!AT25="","",IFERROR(MAX(0,MIN(10,ROUND(IF('Council Entry'!AT$7="Decrease Risk",10-10*((IF('Council Entry'!AT$4="Logarithm",LN(0.001+IF(AND(ISNUMBER('Council Entry'!AT$8),ISNUMBER('Council Entry'!AT$9)),MAX(MIN('Council Entry'!AT25,'Council Entry'!AT$9),'Council Entry'!AT$8),'Council Entry'!AT25)),IF('Council Entry'!AT$4="Exponential",EXP(IF(AND(ISNUMBER('Council Entry'!AT$8),ISNUMBER('Council Entry'!AT$9)),MAX(MIN('Council Entry'!AT25,'Council Entry'!AT$9),'Council Entry'!AT$8),'Council Entry'!AT25)),IF(AND(ISNUMBER('Council Entry'!AT$8),ISNUMBER('Council Entry'!AT$9)),MAX(MIN('Council Entry'!AT25,'Council Entry'!AT$9),'Council Entry'!AT$8),'Council Entry'!AT25))))-'Council Entry'!AT$5)/('Council Entry'!AT$6-'Council Entry'!AT$5),10*((IF('Council Entry'!AT$4="Logarithm",LN(0.001+IF(AND(ISNUMBER('Council Entry'!AT$8),ISNUMBER('Council Entry'!AT$9)),MAX(MIN('Council Entry'!AT25,'Council Entry'!AT$9),'Council Entry'!AT$8),'Council Entry'!AT25)),IF('Council Entry'!AT$4="Exponential",EXP(IF(AND(ISNUMBER('Council Entry'!AT$8),ISNUMBER('Council Entry'!AT$9)),MAX(MIN('Council Entry'!AT25,'Council Entry'!AT$9),'Council Entry'!AT$8),'Council Entry'!AT25)),IF(AND(ISNUMBER('Council Entry'!AT$8),ISNUMBER('Council Entry'!AT$9)),MAX(MIN('Council Entry'!AT25,'Council Entry'!AT$9),'Council Entry'!AT$8),'Council Entry'!AT25))))-'Council Entry'!AT$5)/('Council Entry'!AT$6-'Council Entry'!AT$5)),1))),"No data"))</f>
        <v/>
      </c>
      <c r="AU25" s="13">
        <f>IF('Council Entry'!AU25="","",IFERROR(MAX(0,MIN(10,ROUND(IF('Council Entry'!AU$7="Decrease Risk",10-10*((IF('Council Entry'!AU$4="Logarithm",LN(0.001+IF(AND(ISNUMBER('Council Entry'!AU$8),ISNUMBER('Council Entry'!AU$9)),MAX(MIN('Council Entry'!AU25,'Council Entry'!AU$9),'Council Entry'!AU$8),'Council Entry'!AU25)),IF('Council Entry'!AU$4="Exponential",EXP(IF(AND(ISNUMBER('Council Entry'!AU$8),ISNUMBER('Council Entry'!AU$9)),MAX(MIN('Council Entry'!AU25,'Council Entry'!AU$9),'Council Entry'!AU$8),'Council Entry'!AU25)),IF(AND(ISNUMBER('Council Entry'!AU$8),ISNUMBER('Council Entry'!AU$9)),MAX(MIN('Council Entry'!AU25,'Council Entry'!AU$9),'Council Entry'!AU$8),'Council Entry'!AU25))))-'Council Entry'!AU$5)/('Council Entry'!AU$6-'Council Entry'!AU$5),10*((IF('Council Entry'!AU$4="Logarithm",LN(0.001+IF(AND(ISNUMBER('Council Entry'!AU$8),ISNUMBER('Council Entry'!AU$9)),MAX(MIN('Council Entry'!AU25,'Council Entry'!AU$9),'Council Entry'!AU$8),'Council Entry'!AU25)),IF('Council Entry'!AU$4="Exponential",EXP(IF(AND(ISNUMBER('Council Entry'!AU$8),ISNUMBER('Council Entry'!AU$9)),MAX(MIN('Council Entry'!AU25,'Council Entry'!AU$9),'Council Entry'!AU$8),'Council Entry'!AU25)),IF(AND(ISNUMBER('Council Entry'!AU$8),ISNUMBER('Council Entry'!AU$9)),MAX(MIN('Council Entry'!AU25,'Council Entry'!AU$9),'Council Entry'!AU$8),'Council Entry'!AU25))))-'Council Entry'!AU$5)/('Council Entry'!AU$6-'Council Entry'!AU$5)),1))),"No data"))</f>
        <v/>
      </c>
      <c r="AV25" s="13">
        <f>IF('Council Entry'!AV25="","",IFERROR(MAX(0,MIN(10,ROUND(IF('Council Entry'!AV$7="Decrease Risk",10-10*((IF('Council Entry'!AV$4="Logarithm",LN(0.001+IF(AND(ISNUMBER('Council Entry'!AV$8),ISNUMBER('Council Entry'!AV$9)),MAX(MIN('Council Entry'!AV25,'Council Entry'!AV$9),'Council Entry'!AV$8),'Council Entry'!AV25)),IF('Council Entry'!AV$4="Exponential",EXP(IF(AND(ISNUMBER('Council Entry'!AV$8),ISNUMBER('Council Entry'!AV$9)),MAX(MIN('Council Entry'!AV25,'Council Entry'!AV$9),'Council Entry'!AV$8),'Council Entry'!AV25)),IF(AND(ISNUMBER('Council Entry'!AV$8),ISNUMBER('Council Entry'!AV$9)),MAX(MIN('Council Entry'!AV25,'Council Entry'!AV$9),'Council Entry'!AV$8),'Council Entry'!AV25))))-'Council Entry'!AV$5)/('Council Entry'!AV$6-'Council Entry'!AV$5),10*((IF('Council Entry'!AV$4="Logarithm",LN(0.001+IF(AND(ISNUMBER('Council Entry'!AV$8),ISNUMBER('Council Entry'!AV$9)),MAX(MIN('Council Entry'!AV25,'Council Entry'!AV$9),'Council Entry'!AV$8),'Council Entry'!AV25)),IF('Council Entry'!AV$4="Exponential",EXP(IF(AND(ISNUMBER('Council Entry'!AV$8),ISNUMBER('Council Entry'!AV$9)),MAX(MIN('Council Entry'!AV25,'Council Entry'!AV$9),'Council Entry'!AV$8),'Council Entry'!AV25)),IF(AND(ISNUMBER('Council Entry'!AV$8),ISNUMBER('Council Entry'!AV$9)),MAX(MIN('Council Entry'!AV25,'Council Entry'!AV$9),'Council Entry'!AV$8),'Council Entry'!AV25))))-'Council Entry'!AV$5)/('Council Entry'!AV$6-'Council Entry'!AV$5)),1))),"No data"))</f>
        <v/>
      </c>
      <c r="AW25" s="13">
        <f>IF('Council Entry'!AW25="","",IFERROR(MAX(0,MIN(10,ROUND(IF('Council Entry'!AW$7="Decrease Risk",10-10*((IF('Council Entry'!AW$4="Logarithm",LN(0.001+IF(AND(ISNUMBER('Council Entry'!AW$8),ISNUMBER('Council Entry'!AW$9)),MAX(MIN('Council Entry'!AW25,'Council Entry'!AW$9),'Council Entry'!AW$8),'Council Entry'!AW25)),IF('Council Entry'!AW$4="Exponential",EXP(IF(AND(ISNUMBER('Council Entry'!AW$8),ISNUMBER('Council Entry'!AW$9)),MAX(MIN('Council Entry'!AW25,'Council Entry'!AW$9),'Council Entry'!AW$8),'Council Entry'!AW25)),IF(AND(ISNUMBER('Council Entry'!AW$8),ISNUMBER('Council Entry'!AW$9)),MAX(MIN('Council Entry'!AW25,'Council Entry'!AW$9),'Council Entry'!AW$8),'Council Entry'!AW25))))-'Council Entry'!AW$5)/('Council Entry'!AW$6-'Council Entry'!AW$5),10*((IF('Council Entry'!AW$4="Logarithm",LN(0.001+IF(AND(ISNUMBER('Council Entry'!AW$8),ISNUMBER('Council Entry'!AW$9)),MAX(MIN('Council Entry'!AW25,'Council Entry'!AW$9),'Council Entry'!AW$8),'Council Entry'!AW25)),IF('Council Entry'!AW$4="Exponential",EXP(IF(AND(ISNUMBER('Council Entry'!AW$8),ISNUMBER('Council Entry'!AW$9)),MAX(MIN('Council Entry'!AW25,'Council Entry'!AW$9),'Council Entry'!AW$8),'Council Entry'!AW25)),IF(AND(ISNUMBER('Council Entry'!AW$8),ISNUMBER('Council Entry'!AW$9)),MAX(MIN('Council Entry'!AW25,'Council Entry'!AW$9),'Council Entry'!AW$8),'Council Entry'!AW25))))-'Council Entry'!AW$5)/('Council Entry'!AW$6-'Council Entry'!AW$5)),1))),"No data"))</f>
        <v/>
      </c>
      <c r="AX25" s="13">
        <f>IF('Council Entry'!AX25="","",IFERROR(MAX(0,MIN(10,ROUND(IF('Council Entry'!AX$7="Decrease Risk",10-10*((IF('Council Entry'!AX$4="Logarithm",LN(0.001+IF(AND(ISNUMBER('Council Entry'!AX$8),ISNUMBER('Council Entry'!AX$9)),MAX(MIN('Council Entry'!AX25,'Council Entry'!AX$9),'Council Entry'!AX$8),'Council Entry'!AX25)),IF('Council Entry'!AX$4="Exponential",EXP(IF(AND(ISNUMBER('Council Entry'!AX$8),ISNUMBER('Council Entry'!AX$9)),MAX(MIN('Council Entry'!AX25,'Council Entry'!AX$9),'Council Entry'!AX$8),'Council Entry'!AX25)),IF(AND(ISNUMBER('Council Entry'!AX$8),ISNUMBER('Council Entry'!AX$9)),MAX(MIN('Council Entry'!AX25,'Council Entry'!AX$9),'Council Entry'!AX$8),'Council Entry'!AX25))))-'Council Entry'!AX$5)/('Council Entry'!AX$6-'Council Entry'!AX$5),10*((IF('Council Entry'!AX$4="Logarithm",LN(0.001+IF(AND(ISNUMBER('Council Entry'!AX$8),ISNUMBER('Council Entry'!AX$9)),MAX(MIN('Council Entry'!AX25,'Council Entry'!AX$9),'Council Entry'!AX$8),'Council Entry'!AX25)),IF('Council Entry'!AX$4="Exponential",EXP(IF(AND(ISNUMBER('Council Entry'!AX$8),ISNUMBER('Council Entry'!AX$9)),MAX(MIN('Council Entry'!AX25,'Council Entry'!AX$9),'Council Entry'!AX$8),'Council Entry'!AX25)),IF(AND(ISNUMBER('Council Entry'!AX$8),ISNUMBER('Council Entry'!AX$9)),MAX(MIN('Council Entry'!AX25,'Council Entry'!AX$9),'Council Entry'!AX$8),'Council Entry'!AX25))))-'Council Entry'!AX$5)/('Council Entry'!AX$6-'Council Entry'!AX$5)),1))),"No data"))</f>
        <v/>
      </c>
      <c r="AY25" s="13">
        <f>IF('Council Entry'!AY25="","",IFERROR(MAX(0,MIN(10,ROUND(IF('Council Entry'!AY$7="Decrease Risk",10-10*((IF('Council Entry'!AY$4="Logarithm",LN(0.001+IF(AND(ISNUMBER('Council Entry'!AY$8),ISNUMBER('Council Entry'!AY$9)),MAX(MIN('Council Entry'!AY25,'Council Entry'!AY$9),'Council Entry'!AY$8),'Council Entry'!AY25)),IF('Council Entry'!AY$4="Exponential",EXP(IF(AND(ISNUMBER('Council Entry'!AY$8),ISNUMBER('Council Entry'!AY$9)),MAX(MIN('Council Entry'!AY25,'Council Entry'!AY$9),'Council Entry'!AY$8),'Council Entry'!AY25)),IF(AND(ISNUMBER('Council Entry'!AY$8),ISNUMBER('Council Entry'!AY$9)),MAX(MIN('Council Entry'!AY25,'Council Entry'!AY$9),'Council Entry'!AY$8),'Council Entry'!AY25))))-'Council Entry'!AY$5)/('Council Entry'!AY$6-'Council Entry'!AY$5),10*((IF('Council Entry'!AY$4="Logarithm",LN(0.001+IF(AND(ISNUMBER('Council Entry'!AY$8),ISNUMBER('Council Entry'!AY$9)),MAX(MIN('Council Entry'!AY25,'Council Entry'!AY$9),'Council Entry'!AY$8),'Council Entry'!AY25)),IF('Council Entry'!AY$4="Exponential",EXP(IF(AND(ISNUMBER('Council Entry'!AY$8),ISNUMBER('Council Entry'!AY$9)),MAX(MIN('Council Entry'!AY25,'Council Entry'!AY$9),'Council Entry'!AY$8),'Council Entry'!AY25)),IF(AND(ISNUMBER('Council Entry'!AY$8),ISNUMBER('Council Entry'!AY$9)),MAX(MIN('Council Entry'!AY25,'Council Entry'!AY$9),'Council Entry'!AY$8),'Council Entry'!AY25))))-'Council Entry'!AY$5)/('Council Entry'!AY$6-'Council Entry'!AY$5)),1))),"No data"))</f>
        <v/>
      </c>
      <c r="AZ25" s="13">
        <f>IF('Council Entry'!AZ25="","",IFERROR(MAX(0,MIN(10,ROUND(IF('Council Entry'!AZ$7="Decrease Risk",10-10*((IF('Council Entry'!AZ$4="Logarithm",LN(0.001+IF(AND(ISNUMBER('Council Entry'!AZ$8),ISNUMBER('Council Entry'!AZ$9)),MAX(MIN('Council Entry'!AZ25,'Council Entry'!AZ$9),'Council Entry'!AZ$8),'Council Entry'!AZ25)),IF('Council Entry'!AZ$4="Exponential",EXP(IF(AND(ISNUMBER('Council Entry'!AZ$8),ISNUMBER('Council Entry'!AZ$9)),MAX(MIN('Council Entry'!AZ25,'Council Entry'!AZ$9),'Council Entry'!AZ$8),'Council Entry'!AZ25)),IF(AND(ISNUMBER('Council Entry'!AZ$8),ISNUMBER('Council Entry'!AZ$9)),MAX(MIN('Council Entry'!AZ25,'Council Entry'!AZ$9),'Council Entry'!AZ$8),'Council Entry'!AZ25))))-'Council Entry'!AZ$5)/('Council Entry'!AZ$6-'Council Entry'!AZ$5),10*((IF('Council Entry'!AZ$4="Logarithm",LN(0.001+IF(AND(ISNUMBER('Council Entry'!AZ$8),ISNUMBER('Council Entry'!AZ$9)),MAX(MIN('Council Entry'!AZ25,'Council Entry'!AZ$9),'Council Entry'!AZ$8),'Council Entry'!AZ25)),IF('Council Entry'!AZ$4="Exponential",EXP(IF(AND(ISNUMBER('Council Entry'!AZ$8),ISNUMBER('Council Entry'!AZ$9)),MAX(MIN('Council Entry'!AZ25,'Council Entry'!AZ$9),'Council Entry'!AZ$8),'Council Entry'!AZ25)),IF(AND(ISNUMBER('Council Entry'!AZ$8),ISNUMBER('Council Entry'!AZ$9)),MAX(MIN('Council Entry'!AZ25,'Council Entry'!AZ$9),'Council Entry'!AZ$8),'Council Entry'!AZ25))))-'Council Entry'!AZ$5)/('Council Entry'!AZ$6-'Council Entry'!AZ$5)),1))),"No data"))</f>
        <v/>
      </c>
      <c r="BA25" s="13">
        <f>IF('Council Entry'!BA25="","",IFERROR(MAX(0,MIN(10,ROUND(IF('Council Entry'!BA$7="Decrease Risk",10-10*((IF('Council Entry'!BA$4="Logarithm",LN(0.001+IF(AND(ISNUMBER('Council Entry'!BA$8),ISNUMBER('Council Entry'!BA$9)),MAX(MIN('Council Entry'!BA25,'Council Entry'!BA$9),'Council Entry'!BA$8),'Council Entry'!BA25)),IF('Council Entry'!BA$4="Exponential",EXP(IF(AND(ISNUMBER('Council Entry'!BA$8),ISNUMBER('Council Entry'!BA$9)),MAX(MIN('Council Entry'!BA25,'Council Entry'!BA$9),'Council Entry'!BA$8),'Council Entry'!BA25)),IF(AND(ISNUMBER('Council Entry'!BA$8),ISNUMBER('Council Entry'!BA$9)),MAX(MIN('Council Entry'!BA25,'Council Entry'!BA$9),'Council Entry'!BA$8),'Council Entry'!BA25))))-'Council Entry'!BA$5)/('Council Entry'!BA$6-'Council Entry'!BA$5),10*((IF('Council Entry'!BA$4="Logarithm",LN(0.001+IF(AND(ISNUMBER('Council Entry'!BA$8),ISNUMBER('Council Entry'!BA$9)),MAX(MIN('Council Entry'!BA25,'Council Entry'!BA$9),'Council Entry'!BA$8),'Council Entry'!BA25)),IF('Council Entry'!BA$4="Exponential",EXP(IF(AND(ISNUMBER('Council Entry'!BA$8),ISNUMBER('Council Entry'!BA$9)),MAX(MIN('Council Entry'!BA25,'Council Entry'!BA$9),'Council Entry'!BA$8),'Council Entry'!BA25)),IF(AND(ISNUMBER('Council Entry'!BA$8),ISNUMBER('Council Entry'!BA$9)),MAX(MIN('Council Entry'!BA25,'Council Entry'!BA$9),'Council Entry'!BA$8),'Council Entry'!BA25))))-'Council Entry'!BA$5)/('Council Entry'!BA$6-'Council Entry'!BA$5)),1))),"No data"))</f>
        <v/>
      </c>
      <c r="BB25" s="13">
        <f>IF('Council Entry'!BB25="","",IFERROR(MAX(0,MIN(10,ROUND(IF('Council Entry'!BB$7="Decrease Risk",10-10*((IF('Council Entry'!BB$4="Logarithm",LN(0.001+IF(AND(ISNUMBER('Council Entry'!BB$8),ISNUMBER('Council Entry'!BB$9)),MAX(MIN('Council Entry'!BB25,'Council Entry'!BB$9),'Council Entry'!BB$8),'Council Entry'!BB25)),IF('Council Entry'!BB$4="Exponential",EXP(IF(AND(ISNUMBER('Council Entry'!BB$8),ISNUMBER('Council Entry'!BB$9)),MAX(MIN('Council Entry'!BB25,'Council Entry'!BB$9),'Council Entry'!BB$8),'Council Entry'!BB25)),IF(AND(ISNUMBER('Council Entry'!BB$8),ISNUMBER('Council Entry'!BB$9)),MAX(MIN('Council Entry'!BB25,'Council Entry'!BB$9),'Council Entry'!BB$8),'Council Entry'!BB25))))-'Council Entry'!BB$5)/('Council Entry'!BB$6-'Council Entry'!BB$5),10*((IF('Council Entry'!BB$4="Logarithm",LN(0.001+IF(AND(ISNUMBER('Council Entry'!BB$8),ISNUMBER('Council Entry'!BB$9)),MAX(MIN('Council Entry'!BB25,'Council Entry'!BB$9),'Council Entry'!BB$8),'Council Entry'!BB25)),IF('Council Entry'!BB$4="Exponential",EXP(IF(AND(ISNUMBER('Council Entry'!BB$8),ISNUMBER('Council Entry'!BB$9)),MAX(MIN('Council Entry'!BB25,'Council Entry'!BB$9),'Council Entry'!BB$8),'Council Entry'!BB25)),IF(AND(ISNUMBER('Council Entry'!BB$8),ISNUMBER('Council Entry'!BB$9)),MAX(MIN('Council Entry'!BB25,'Council Entry'!BB$9),'Council Entry'!BB$8),'Council Entry'!BB25))))-'Council Entry'!BB$5)/('Council Entry'!BB$6-'Council Entry'!BB$5)),1))),"No data"))</f>
        <v/>
      </c>
      <c r="BC25" s="13">
        <f>IF('Council Entry'!BC25="","",IFERROR(MAX(0,MIN(10,ROUND(IF('Council Entry'!BC$7="Decrease Risk",10-10*((IF('Council Entry'!BC$4="Logarithm",LN(0.001+IF(AND(ISNUMBER('Council Entry'!BC$8),ISNUMBER('Council Entry'!BC$9)),MAX(MIN('Council Entry'!BC25,'Council Entry'!BC$9),'Council Entry'!BC$8),'Council Entry'!BC25)),IF('Council Entry'!BC$4="Exponential",EXP(IF(AND(ISNUMBER('Council Entry'!BC$8),ISNUMBER('Council Entry'!BC$9)),MAX(MIN('Council Entry'!BC25,'Council Entry'!BC$9),'Council Entry'!BC$8),'Council Entry'!BC25)),IF(AND(ISNUMBER('Council Entry'!BC$8),ISNUMBER('Council Entry'!BC$9)),MAX(MIN('Council Entry'!BC25,'Council Entry'!BC$9),'Council Entry'!BC$8),'Council Entry'!BC25))))-'Council Entry'!BC$5)/('Council Entry'!BC$6-'Council Entry'!BC$5),10*((IF('Council Entry'!BC$4="Logarithm",LN(0.001+IF(AND(ISNUMBER('Council Entry'!BC$8),ISNUMBER('Council Entry'!BC$9)),MAX(MIN('Council Entry'!BC25,'Council Entry'!BC$9),'Council Entry'!BC$8),'Council Entry'!BC25)),IF('Council Entry'!BC$4="Exponential",EXP(IF(AND(ISNUMBER('Council Entry'!BC$8),ISNUMBER('Council Entry'!BC$9)),MAX(MIN('Council Entry'!BC25,'Council Entry'!BC$9),'Council Entry'!BC$8),'Council Entry'!BC25)),IF(AND(ISNUMBER('Council Entry'!BC$8),ISNUMBER('Council Entry'!BC$9)),MAX(MIN('Council Entry'!BC25,'Council Entry'!BC$9),'Council Entry'!BC$8),'Council Entry'!BC25))))-'Council Entry'!BC$5)/('Council Entry'!BC$6-'Council Entry'!BC$5)),1))),"No data"))</f>
        <v/>
      </c>
      <c r="BD25" s="13">
        <f>IF('Council Entry'!BD25="","",IFERROR(MAX(0,MIN(10,ROUND(IF('Council Entry'!BD$7="Decrease Risk",10-10*((IF('Council Entry'!BD$4="Logarithm",LN(0.001+IF(AND(ISNUMBER('Council Entry'!BD$8),ISNUMBER('Council Entry'!BD$9)),MAX(MIN('Council Entry'!BD25,'Council Entry'!BD$9),'Council Entry'!BD$8),'Council Entry'!BD25)),IF('Council Entry'!BD$4="Exponential",EXP(IF(AND(ISNUMBER('Council Entry'!BD$8),ISNUMBER('Council Entry'!BD$9)),MAX(MIN('Council Entry'!BD25,'Council Entry'!BD$9),'Council Entry'!BD$8),'Council Entry'!BD25)),IF(AND(ISNUMBER('Council Entry'!BD$8),ISNUMBER('Council Entry'!BD$9)),MAX(MIN('Council Entry'!BD25,'Council Entry'!BD$9),'Council Entry'!BD$8),'Council Entry'!BD25))))-'Council Entry'!BD$5)/('Council Entry'!BD$6-'Council Entry'!BD$5),10*((IF('Council Entry'!BD$4="Logarithm",LN(0.001+IF(AND(ISNUMBER('Council Entry'!BD$8),ISNUMBER('Council Entry'!BD$9)),MAX(MIN('Council Entry'!BD25,'Council Entry'!BD$9),'Council Entry'!BD$8),'Council Entry'!BD25)),IF('Council Entry'!BD$4="Exponential",EXP(IF(AND(ISNUMBER('Council Entry'!BD$8),ISNUMBER('Council Entry'!BD$9)),MAX(MIN('Council Entry'!BD25,'Council Entry'!BD$9),'Council Entry'!BD$8),'Council Entry'!BD25)),IF(AND(ISNUMBER('Council Entry'!BD$8),ISNUMBER('Council Entry'!BD$9)),MAX(MIN('Council Entry'!BD25,'Council Entry'!BD$9),'Council Entry'!BD$8),'Council Entry'!BD25))))-'Council Entry'!BD$5)/('Council Entry'!BD$6-'Council Entry'!BD$5)),1))),"No data"))</f>
        <v/>
      </c>
    </row>
    <row r="26">
      <c r="A26" t="inlineStr">
        <is>
          <t>Dodoma</t>
        </is>
      </c>
      <c r="B26" t="inlineStr">
        <is>
          <t>Dodoma City</t>
        </is>
      </c>
      <c r="C26" t="inlineStr">
        <is>
          <t>C006</t>
        </is>
      </c>
      <c r="D26" s="13">
        <f>IF('Council Entry'!D26="","",IFERROR(MAX(0,MIN(10,ROUND(IF('Council Entry'!D$7="Decrease Risk",10-10*((IF('Council Entry'!D$4="Logarithm",LN(0.001+IF(AND(ISNUMBER('Council Entry'!D$8),ISNUMBER('Council Entry'!D$9)),MAX(MIN('Council Entry'!D26,'Council Entry'!D$9),'Council Entry'!D$8),'Council Entry'!D26)),IF('Council Entry'!D$4="Exponential",EXP(IF(AND(ISNUMBER('Council Entry'!D$8),ISNUMBER('Council Entry'!D$9)),MAX(MIN('Council Entry'!D26,'Council Entry'!D$9),'Council Entry'!D$8),'Council Entry'!D26)),IF(AND(ISNUMBER('Council Entry'!D$8),ISNUMBER('Council Entry'!D$9)),MAX(MIN('Council Entry'!D26,'Council Entry'!D$9),'Council Entry'!D$8),'Council Entry'!D26))))-'Council Entry'!D$5)/('Council Entry'!D$6-'Council Entry'!D$5),10*((IF('Council Entry'!D$4="Logarithm",LN(0.001+IF(AND(ISNUMBER('Council Entry'!D$8),ISNUMBER('Council Entry'!D$9)),MAX(MIN('Council Entry'!D26,'Council Entry'!D$9),'Council Entry'!D$8),'Council Entry'!D26)),IF('Council Entry'!D$4="Exponential",EXP(IF(AND(ISNUMBER('Council Entry'!D$8),ISNUMBER('Council Entry'!D$9)),MAX(MIN('Council Entry'!D26,'Council Entry'!D$9),'Council Entry'!D$8),'Council Entry'!D26)),IF(AND(ISNUMBER('Council Entry'!D$8),ISNUMBER('Council Entry'!D$9)),MAX(MIN('Council Entry'!D26,'Council Entry'!D$9),'Council Entry'!D$8),'Council Entry'!D26))))-'Council Entry'!D$5)/('Council Entry'!D$6-'Council Entry'!D$5)),1))),"No data"))</f>
        <v/>
      </c>
      <c r="E26" s="13">
        <f>IF('Council Entry'!E26="","",IFERROR(MAX(0,MIN(10,ROUND(IF('Council Entry'!E$7="Decrease Risk",10-10*((IF('Council Entry'!E$4="Logarithm",LN(0.001+IF(AND(ISNUMBER('Council Entry'!E$8),ISNUMBER('Council Entry'!E$9)),MAX(MIN('Council Entry'!E26,'Council Entry'!E$9),'Council Entry'!E$8),'Council Entry'!E26)),IF('Council Entry'!E$4="Exponential",EXP(IF(AND(ISNUMBER('Council Entry'!E$8),ISNUMBER('Council Entry'!E$9)),MAX(MIN('Council Entry'!E26,'Council Entry'!E$9),'Council Entry'!E$8),'Council Entry'!E26)),IF(AND(ISNUMBER('Council Entry'!E$8),ISNUMBER('Council Entry'!E$9)),MAX(MIN('Council Entry'!E26,'Council Entry'!E$9),'Council Entry'!E$8),'Council Entry'!E26))))-'Council Entry'!E$5)/('Council Entry'!E$6-'Council Entry'!E$5),10*((IF('Council Entry'!E$4="Logarithm",LN(0.001+IF(AND(ISNUMBER('Council Entry'!E$8),ISNUMBER('Council Entry'!E$9)),MAX(MIN('Council Entry'!E26,'Council Entry'!E$9),'Council Entry'!E$8),'Council Entry'!E26)),IF('Council Entry'!E$4="Exponential",EXP(IF(AND(ISNUMBER('Council Entry'!E$8),ISNUMBER('Council Entry'!E$9)),MAX(MIN('Council Entry'!E26,'Council Entry'!E$9),'Council Entry'!E$8),'Council Entry'!E26)),IF(AND(ISNUMBER('Council Entry'!E$8),ISNUMBER('Council Entry'!E$9)),MAX(MIN('Council Entry'!E26,'Council Entry'!E$9),'Council Entry'!E$8),'Council Entry'!E26))))-'Council Entry'!E$5)/('Council Entry'!E$6-'Council Entry'!E$5)),1))),"No data"))</f>
        <v/>
      </c>
      <c r="F26" s="13">
        <f>IF('Council Entry'!F26="","",IFERROR(MAX(0,MIN(10,ROUND(IF('Council Entry'!F$7="Decrease Risk",10-10*((IF('Council Entry'!F$4="Logarithm",LN(0.001+IF(AND(ISNUMBER('Council Entry'!F$8),ISNUMBER('Council Entry'!F$9)),MAX(MIN('Council Entry'!F26,'Council Entry'!F$9),'Council Entry'!F$8),'Council Entry'!F26)),IF('Council Entry'!F$4="Exponential",EXP(IF(AND(ISNUMBER('Council Entry'!F$8),ISNUMBER('Council Entry'!F$9)),MAX(MIN('Council Entry'!F26,'Council Entry'!F$9),'Council Entry'!F$8),'Council Entry'!F26)),IF(AND(ISNUMBER('Council Entry'!F$8),ISNUMBER('Council Entry'!F$9)),MAX(MIN('Council Entry'!F26,'Council Entry'!F$9),'Council Entry'!F$8),'Council Entry'!F26))))-'Council Entry'!F$5)/('Council Entry'!F$6-'Council Entry'!F$5),10*((IF('Council Entry'!F$4="Logarithm",LN(0.001+IF(AND(ISNUMBER('Council Entry'!F$8),ISNUMBER('Council Entry'!F$9)),MAX(MIN('Council Entry'!F26,'Council Entry'!F$9),'Council Entry'!F$8),'Council Entry'!F26)),IF('Council Entry'!F$4="Exponential",EXP(IF(AND(ISNUMBER('Council Entry'!F$8),ISNUMBER('Council Entry'!F$9)),MAX(MIN('Council Entry'!F26,'Council Entry'!F$9),'Council Entry'!F$8),'Council Entry'!F26)),IF(AND(ISNUMBER('Council Entry'!F$8),ISNUMBER('Council Entry'!F$9)),MAX(MIN('Council Entry'!F26,'Council Entry'!F$9),'Council Entry'!F$8),'Council Entry'!F26))))-'Council Entry'!F$5)/('Council Entry'!F$6-'Council Entry'!F$5)),1))),"No data"))</f>
        <v/>
      </c>
      <c r="G26" s="13">
        <f>IF('Council Entry'!G26="","",IFERROR(MAX(0,MIN(10,ROUND(IF('Council Entry'!G$7="Decrease Risk",10-10*((IF('Council Entry'!G$4="Logarithm",LN(0.001+IF(AND(ISNUMBER('Council Entry'!G$8),ISNUMBER('Council Entry'!G$9)),MAX(MIN('Council Entry'!G26,'Council Entry'!G$9),'Council Entry'!G$8),'Council Entry'!G26)),IF('Council Entry'!G$4="Exponential",EXP(IF(AND(ISNUMBER('Council Entry'!G$8),ISNUMBER('Council Entry'!G$9)),MAX(MIN('Council Entry'!G26,'Council Entry'!G$9),'Council Entry'!G$8),'Council Entry'!G26)),IF(AND(ISNUMBER('Council Entry'!G$8),ISNUMBER('Council Entry'!G$9)),MAX(MIN('Council Entry'!G26,'Council Entry'!G$9),'Council Entry'!G$8),'Council Entry'!G26))))-'Council Entry'!G$5)/('Council Entry'!G$6-'Council Entry'!G$5),10*((IF('Council Entry'!G$4="Logarithm",LN(0.001+IF(AND(ISNUMBER('Council Entry'!G$8),ISNUMBER('Council Entry'!G$9)),MAX(MIN('Council Entry'!G26,'Council Entry'!G$9),'Council Entry'!G$8),'Council Entry'!G26)),IF('Council Entry'!G$4="Exponential",EXP(IF(AND(ISNUMBER('Council Entry'!G$8),ISNUMBER('Council Entry'!G$9)),MAX(MIN('Council Entry'!G26,'Council Entry'!G$9),'Council Entry'!G$8),'Council Entry'!G26)),IF(AND(ISNUMBER('Council Entry'!G$8),ISNUMBER('Council Entry'!G$9)),MAX(MIN('Council Entry'!G26,'Council Entry'!G$9),'Council Entry'!G$8),'Council Entry'!G26))))-'Council Entry'!G$5)/('Council Entry'!G$6-'Council Entry'!G$5)),1))),"No data"))</f>
        <v/>
      </c>
      <c r="H26" s="13">
        <f>IF('Council Entry'!H26="","",IFERROR(MAX(0,MIN(10,ROUND(IF('Council Entry'!H$7="Decrease Risk",10-10*((IF('Council Entry'!H$4="Logarithm",LN(0.001+IF(AND(ISNUMBER('Council Entry'!H$8),ISNUMBER('Council Entry'!H$9)),MAX(MIN('Council Entry'!H26,'Council Entry'!H$9),'Council Entry'!H$8),'Council Entry'!H26)),IF('Council Entry'!H$4="Exponential",EXP(IF(AND(ISNUMBER('Council Entry'!H$8),ISNUMBER('Council Entry'!H$9)),MAX(MIN('Council Entry'!H26,'Council Entry'!H$9),'Council Entry'!H$8),'Council Entry'!H26)),IF(AND(ISNUMBER('Council Entry'!H$8),ISNUMBER('Council Entry'!H$9)),MAX(MIN('Council Entry'!H26,'Council Entry'!H$9),'Council Entry'!H$8),'Council Entry'!H26))))-'Council Entry'!H$5)/('Council Entry'!H$6-'Council Entry'!H$5),10*((IF('Council Entry'!H$4="Logarithm",LN(0.001+IF(AND(ISNUMBER('Council Entry'!H$8),ISNUMBER('Council Entry'!H$9)),MAX(MIN('Council Entry'!H26,'Council Entry'!H$9),'Council Entry'!H$8),'Council Entry'!H26)),IF('Council Entry'!H$4="Exponential",EXP(IF(AND(ISNUMBER('Council Entry'!H$8),ISNUMBER('Council Entry'!H$9)),MAX(MIN('Council Entry'!H26,'Council Entry'!H$9),'Council Entry'!H$8),'Council Entry'!H26)),IF(AND(ISNUMBER('Council Entry'!H$8),ISNUMBER('Council Entry'!H$9)),MAX(MIN('Council Entry'!H26,'Council Entry'!H$9),'Council Entry'!H$8),'Council Entry'!H26))))-'Council Entry'!H$5)/('Council Entry'!H$6-'Council Entry'!H$5)),1))),"No data"))</f>
        <v/>
      </c>
      <c r="I26" s="13">
        <f>IF('Council Entry'!I26="","",IFERROR(MAX(0,MIN(10,ROUND(IF('Council Entry'!I$7="Decrease Risk",10-10*((IF('Council Entry'!I$4="Logarithm",LN(0.001+IF(AND(ISNUMBER('Council Entry'!I$8),ISNUMBER('Council Entry'!I$9)),MAX(MIN('Council Entry'!I26,'Council Entry'!I$9),'Council Entry'!I$8),'Council Entry'!I26)),IF('Council Entry'!I$4="Exponential",EXP(IF(AND(ISNUMBER('Council Entry'!I$8),ISNUMBER('Council Entry'!I$9)),MAX(MIN('Council Entry'!I26,'Council Entry'!I$9),'Council Entry'!I$8),'Council Entry'!I26)),IF(AND(ISNUMBER('Council Entry'!I$8),ISNUMBER('Council Entry'!I$9)),MAX(MIN('Council Entry'!I26,'Council Entry'!I$9),'Council Entry'!I$8),'Council Entry'!I26))))-'Council Entry'!I$5)/('Council Entry'!I$6-'Council Entry'!I$5),10*((IF('Council Entry'!I$4="Logarithm",LN(0.001+IF(AND(ISNUMBER('Council Entry'!I$8),ISNUMBER('Council Entry'!I$9)),MAX(MIN('Council Entry'!I26,'Council Entry'!I$9),'Council Entry'!I$8),'Council Entry'!I26)),IF('Council Entry'!I$4="Exponential",EXP(IF(AND(ISNUMBER('Council Entry'!I$8),ISNUMBER('Council Entry'!I$9)),MAX(MIN('Council Entry'!I26,'Council Entry'!I$9),'Council Entry'!I$8),'Council Entry'!I26)),IF(AND(ISNUMBER('Council Entry'!I$8),ISNUMBER('Council Entry'!I$9)),MAX(MIN('Council Entry'!I26,'Council Entry'!I$9),'Council Entry'!I$8),'Council Entry'!I26))))-'Council Entry'!I$5)/('Council Entry'!I$6-'Council Entry'!I$5)),1))),"No data"))</f>
        <v/>
      </c>
      <c r="J26" s="13">
        <f>IF('Council Entry'!J26="","",IFERROR(MAX(0,MIN(10,ROUND(IF('Council Entry'!J$7="Decrease Risk",10-10*((IF('Council Entry'!J$4="Logarithm",LN(0.001+IF(AND(ISNUMBER('Council Entry'!J$8),ISNUMBER('Council Entry'!J$9)),MAX(MIN('Council Entry'!J26,'Council Entry'!J$9),'Council Entry'!J$8),'Council Entry'!J26)),IF('Council Entry'!J$4="Exponential",EXP(IF(AND(ISNUMBER('Council Entry'!J$8),ISNUMBER('Council Entry'!J$9)),MAX(MIN('Council Entry'!J26,'Council Entry'!J$9),'Council Entry'!J$8),'Council Entry'!J26)),IF(AND(ISNUMBER('Council Entry'!J$8),ISNUMBER('Council Entry'!J$9)),MAX(MIN('Council Entry'!J26,'Council Entry'!J$9),'Council Entry'!J$8),'Council Entry'!J26))))-'Council Entry'!J$5)/('Council Entry'!J$6-'Council Entry'!J$5),10*((IF('Council Entry'!J$4="Logarithm",LN(0.001+IF(AND(ISNUMBER('Council Entry'!J$8),ISNUMBER('Council Entry'!J$9)),MAX(MIN('Council Entry'!J26,'Council Entry'!J$9),'Council Entry'!J$8),'Council Entry'!J26)),IF('Council Entry'!J$4="Exponential",EXP(IF(AND(ISNUMBER('Council Entry'!J$8),ISNUMBER('Council Entry'!J$9)),MAX(MIN('Council Entry'!J26,'Council Entry'!J$9),'Council Entry'!J$8),'Council Entry'!J26)),IF(AND(ISNUMBER('Council Entry'!J$8),ISNUMBER('Council Entry'!J$9)),MAX(MIN('Council Entry'!J26,'Council Entry'!J$9),'Council Entry'!J$8),'Council Entry'!J26))))-'Council Entry'!J$5)/('Council Entry'!J$6-'Council Entry'!J$5)),1))),"No data"))</f>
        <v/>
      </c>
      <c r="K26" s="13">
        <f>IF('Council Entry'!K26="","",IFERROR(MAX(0,MIN(10,ROUND(IF('Council Entry'!K$7="Decrease Risk",10-10*((IF('Council Entry'!K$4="Logarithm",LN(0.001+IF(AND(ISNUMBER('Council Entry'!K$8),ISNUMBER('Council Entry'!K$9)),MAX(MIN('Council Entry'!K26,'Council Entry'!K$9),'Council Entry'!K$8),'Council Entry'!K26)),IF('Council Entry'!K$4="Exponential",EXP(IF(AND(ISNUMBER('Council Entry'!K$8),ISNUMBER('Council Entry'!K$9)),MAX(MIN('Council Entry'!K26,'Council Entry'!K$9),'Council Entry'!K$8),'Council Entry'!K26)),IF(AND(ISNUMBER('Council Entry'!K$8),ISNUMBER('Council Entry'!K$9)),MAX(MIN('Council Entry'!K26,'Council Entry'!K$9),'Council Entry'!K$8),'Council Entry'!K26))))-'Council Entry'!K$5)/('Council Entry'!K$6-'Council Entry'!K$5),10*((IF('Council Entry'!K$4="Logarithm",LN(0.001+IF(AND(ISNUMBER('Council Entry'!K$8),ISNUMBER('Council Entry'!K$9)),MAX(MIN('Council Entry'!K26,'Council Entry'!K$9),'Council Entry'!K$8),'Council Entry'!K26)),IF('Council Entry'!K$4="Exponential",EXP(IF(AND(ISNUMBER('Council Entry'!K$8),ISNUMBER('Council Entry'!K$9)),MAX(MIN('Council Entry'!K26,'Council Entry'!K$9),'Council Entry'!K$8),'Council Entry'!K26)),IF(AND(ISNUMBER('Council Entry'!K$8),ISNUMBER('Council Entry'!K$9)),MAX(MIN('Council Entry'!K26,'Council Entry'!K$9),'Council Entry'!K$8),'Council Entry'!K26))))-'Council Entry'!K$5)/('Council Entry'!K$6-'Council Entry'!K$5)),1))),"No data"))</f>
        <v/>
      </c>
      <c r="L26" s="13">
        <f>IF('Council Entry'!L26="","",IFERROR(MAX(0,MIN(10,ROUND(IF('Council Entry'!L$7="Decrease Risk",10-10*((IF('Council Entry'!L$4="Logarithm",LN(0.001+IF(AND(ISNUMBER('Council Entry'!L$8),ISNUMBER('Council Entry'!L$9)),MAX(MIN('Council Entry'!L26,'Council Entry'!L$9),'Council Entry'!L$8),'Council Entry'!L26)),IF('Council Entry'!L$4="Exponential",EXP(IF(AND(ISNUMBER('Council Entry'!L$8),ISNUMBER('Council Entry'!L$9)),MAX(MIN('Council Entry'!L26,'Council Entry'!L$9),'Council Entry'!L$8),'Council Entry'!L26)),IF(AND(ISNUMBER('Council Entry'!L$8),ISNUMBER('Council Entry'!L$9)),MAX(MIN('Council Entry'!L26,'Council Entry'!L$9),'Council Entry'!L$8),'Council Entry'!L26))))-'Council Entry'!L$5)/('Council Entry'!L$6-'Council Entry'!L$5),10*((IF('Council Entry'!L$4="Logarithm",LN(0.001+IF(AND(ISNUMBER('Council Entry'!L$8),ISNUMBER('Council Entry'!L$9)),MAX(MIN('Council Entry'!L26,'Council Entry'!L$9),'Council Entry'!L$8),'Council Entry'!L26)),IF('Council Entry'!L$4="Exponential",EXP(IF(AND(ISNUMBER('Council Entry'!L$8),ISNUMBER('Council Entry'!L$9)),MAX(MIN('Council Entry'!L26,'Council Entry'!L$9),'Council Entry'!L$8),'Council Entry'!L26)),IF(AND(ISNUMBER('Council Entry'!L$8),ISNUMBER('Council Entry'!L$9)),MAX(MIN('Council Entry'!L26,'Council Entry'!L$9),'Council Entry'!L$8),'Council Entry'!L26))))-'Council Entry'!L$5)/('Council Entry'!L$6-'Council Entry'!L$5)),1))),"No data"))</f>
        <v/>
      </c>
      <c r="M26" s="13">
        <f>IF('Council Entry'!M26="","",IFERROR(MAX(0,MIN(10,ROUND(IF('Council Entry'!M$7="Decrease Risk",10-10*((IF('Council Entry'!M$4="Logarithm",LN(0.001+IF(AND(ISNUMBER('Council Entry'!M$8),ISNUMBER('Council Entry'!M$9)),MAX(MIN('Council Entry'!M26,'Council Entry'!M$9),'Council Entry'!M$8),'Council Entry'!M26)),IF('Council Entry'!M$4="Exponential",EXP(IF(AND(ISNUMBER('Council Entry'!M$8),ISNUMBER('Council Entry'!M$9)),MAX(MIN('Council Entry'!M26,'Council Entry'!M$9),'Council Entry'!M$8),'Council Entry'!M26)),IF(AND(ISNUMBER('Council Entry'!M$8),ISNUMBER('Council Entry'!M$9)),MAX(MIN('Council Entry'!M26,'Council Entry'!M$9),'Council Entry'!M$8),'Council Entry'!M26))))-'Council Entry'!M$5)/('Council Entry'!M$6-'Council Entry'!M$5),10*((IF('Council Entry'!M$4="Logarithm",LN(0.001+IF(AND(ISNUMBER('Council Entry'!M$8),ISNUMBER('Council Entry'!M$9)),MAX(MIN('Council Entry'!M26,'Council Entry'!M$9),'Council Entry'!M$8),'Council Entry'!M26)),IF('Council Entry'!M$4="Exponential",EXP(IF(AND(ISNUMBER('Council Entry'!M$8),ISNUMBER('Council Entry'!M$9)),MAX(MIN('Council Entry'!M26,'Council Entry'!M$9),'Council Entry'!M$8),'Council Entry'!M26)),IF(AND(ISNUMBER('Council Entry'!M$8),ISNUMBER('Council Entry'!M$9)),MAX(MIN('Council Entry'!M26,'Council Entry'!M$9),'Council Entry'!M$8),'Council Entry'!M26))))-'Council Entry'!M$5)/('Council Entry'!M$6-'Council Entry'!M$5)),1))),"No data"))</f>
        <v/>
      </c>
      <c r="N26" s="13">
        <f>IF('Council Entry'!N26="","",IFERROR(MAX(0,MIN(10,ROUND(IF('Council Entry'!N$7="Decrease Risk",10-10*((IF('Council Entry'!N$4="Logarithm",LN(0.001+IF(AND(ISNUMBER('Council Entry'!N$8),ISNUMBER('Council Entry'!N$9)),MAX(MIN('Council Entry'!N26,'Council Entry'!N$9),'Council Entry'!N$8),'Council Entry'!N26)),IF('Council Entry'!N$4="Exponential",EXP(IF(AND(ISNUMBER('Council Entry'!N$8),ISNUMBER('Council Entry'!N$9)),MAX(MIN('Council Entry'!N26,'Council Entry'!N$9),'Council Entry'!N$8),'Council Entry'!N26)),IF(AND(ISNUMBER('Council Entry'!N$8),ISNUMBER('Council Entry'!N$9)),MAX(MIN('Council Entry'!N26,'Council Entry'!N$9),'Council Entry'!N$8),'Council Entry'!N26))))-'Council Entry'!N$5)/('Council Entry'!N$6-'Council Entry'!N$5),10*((IF('Council Entry'!N$4="Logarithm",LN(0.001+IF(AND(ISNUMBER('Council Entry'!N$8),ISNUMBER('Council Entry'!N$9)),MAX(MIN('Council Entry'!N26,'Council Entry'!N$9),'Council Entry'!N$8),'Council Entry'!N26)),IF('Council Entry'!N$4="Exponential",EXP(IF(AND(ISNUMBER('Council Entry'!N$8),ISNUMBER('Council Entry'!N$9)),MAX(MIN('Council Entry'!N26,'Council Entry'!N$9),'Council Entry'!N$8),'Council Entry'!N26)),IF(AND(ISNUMBER('Council Entry'!N$8),ISNUMBER('Council Entry'!N$9)),MAX(MIN('Council Entry'!N26,'Council Entry'!N$9),'Council Entry'!N$8),'Council Entry'!N26))))-'Council Entry'!N$5)/('Council Entry'!N$6-'Council Entry'!N$5)),1))),"No data"))</f>
        <v/>
      </c>
      <c r="O26" s="13">
        <f>IF('Council Entry'!O26="","",IFERROR(MAX(0,MIN(10,ROUND(IF('Council Entry'!O$7="Decrease Risk",10-10*((IF('Council Entry'!O$4="Logarithm",LN(0.001+IF(AND(ISNUMBER('Council Entry'!O$8),ISNUMBER('Council Entry'!O$9)),MAX(MIN('Council Entry'!O26,'Council Entry'!O$9),'Council Entry'!O$8),'Council Entry'!O26)),IF('Council Entry'!O$4="Exponential",EXP(IF(AND(ISNUMBER('Council Entry'!O$8),ISNUMBER('Council Entry'!O$9)),MAX(MIN('Council Entry'!O26,'Council Entry'!O$9),'Council Entry'!O$8),'Council Entry'!O26)),IF(AND(ISNUMBER('Council Entry'!O$8),ISNUMBER('Council Entry'!O$9)),MAX(MIN('Council Entry'!O26,'Council Entry'!O$9),'Council Entry'!O$8),'Council Entry'!O26))))-'Council Entry'!O$5)/('Council Entry'!O$6-'Council Entry'!O$5),10*((IF('Council Entry'!O$4="Logarithm",LN(0.001+IF(AND(ISNUMBER('Council Entry'!O$8),ISNUMBER('Council Entry'!O$9)),MAX(MIN('Council Entry'!O26,'Council Entry'!O$9),'Council Entry'!O$8),'Council Entry'!O26)),IF('Council Entry'!O$4="Exponential",EXP(IF(AND(ISNUMBER('Council Entry'!O$8),ISNUMBER('Council Entry'!O$9)),MAX(MIN('Council Entry'!O26,'Council Entry'!O$9),'Council Entry'!O$8),'Council Entry'!O26)),IF(AND(ISNUMBER('Council Entry'!O$8),ISNUMBER('Council Entry'!O$9)),MAX(MIN('Council Entry'!O26,'Council Entry'!O$9),'Council Entry'!O$8),'Council Entry'!O26))))-'Council Entry'!O$5)/('Council Entry'!O$6-'Council Entry'!O$5)),1))),"No data"))</f>
        <v/>
      </c>
      <c r="P26" s="13">
        <f>IF('Council Entry'!P26="","",IFERROR(MAX(0,MIN(10,ROUND(IF('Council Entry'!P$7="Decrease Risk",10-10*((IF('Council Entry'!P$4="Logarithm",LN(0.001+IF(AND(ISNUMBER('Council Entry'!P$8),ISNUMBER('Council Entry'!P$9)),MAX(MIN('Council Entry'!P26,'Council Entry'!P$9),'Council Entry'!P$8),'Council Entry'!P26)),IF('Council Entry'!P$4="Exponential",EXP(IF(AND(ISNUMBER('Council Entry'!P$8),ISNUMBER('Council Entry'!P$9)),MAX(MIN('Council Entry'!P26,'Council Entry'!P$9),'Council Entry'!P$8),'Council Entry'!P26)),IF(AND(ISNUMBER('Council Entry'!P$8),ISNUMBER('Council Entry'!P$9)),MAX(MIN('Council Entry'!P26,'Council Entry'!P$9),'Council Entry'!P$8),'Council Entry'!P26))))-'Council Entry'!P$5)/('Council Entry'!P$6-'Council Entry'!P$5),10*((IF('Council Entry'!P$4="Logarithm",LN(0.001+IF(AND(ISNUMBER('Council Entry'!P$8),ISNUMBER('Council Entry'!P$9)),MAX(MIN('Council Entry'!P26,'Council Entry'!P$9),'Council Entry'!P$8),'Council Entry'!P26)),IF('Council Entry'!P$4="Exponential",EXP(IF(AND(ISNUMBER('Council Entry'!P$8),ISNUMBER('Council Entry'!P$9)),MAX(MIN('Council Entry'!P26,'Council Entry'!P$9),'Council Entry'!P$8),'Council Entry'!P26)),IF(AND(ISNUMBER('Council Entry'!P$8),ISNUMBER('Council Entry'!P$9)),MAX(MIN('Council Entry'!P26,'Council Entry'!P$9),'Council Entry'!P$8),'Council Entry'!P26))))-'Council Entry'!P$5)/('Council Entry'!P$6-'Council Entry'!P$5)),1))),"No data"))</f>
        <v/>
      </c>
      <c r="Q26" s="13">
        <f>IF('Council Entry'!Q26="","",IFERROR(MAX(0,MIN(10,ROUND(IF('Council Entry'!Q$7="Decrease Risk",10-10*((IF('Council Entry'!Q$4="Logarithm",LN(0.001+IF(AND(ISNUMBER('Council Entry'!Q$8),ISNUMBER('Council Entry'!Q$9)),MAX(MIN('Council Entry'!Q26,'Council Entry'!Q$9),'Council Entry'!Q$8),'Council Entry'!Q26)),IF('Council Entry'!Q$4="Exponential",EXP(IF(AND(ISNUMBER('Council Entry'!Q$8),ISNUMBER('Council Entry'!Q$9)),MAX(MIN('Council Entry'!Q26,'Council Entry'!Q$9),'Council Entry'!Q$8),'Council Entry'!Q26)),IF(AND(ISNUMBER('Council Entry'!Q$8),ISNUMBER('Council Entry'!Q$9)),MAX(MIN('Council Entry'!Q26,'Council Entry'!Q$9),'Council Entry'!Q$8),'Council Entry'!Q26))))-'Council Entry'!Q$5)/('Council Entry'!Q$6-'Council Entry'!Q$5),10*((IF('Council Entry'!Q$4="Logarithm",LN(0.001+IF(AND(ISNUMBER('Council Entry'!Q$8),ISNUMBER('Council Entry'!Q$9)),MAX(MIN('Council Entry'!Q26,'Council Entry'!Q$9),'Council Entry'!Q$8),'Council Entry'!Q26)),IF('Council Entry'!Q$4="Exponential",EXP(IF(AND(ISNUMBER('Council Entry'!Q$8),ISNUMBER('Council Entry'!Q$9)),MAX(MIN('Council Entry'!Q26,'Council Entry'!Q$9),'Council Entry'!Q$8),'Council Entry'!Q26)),IF(AND(ISNUMBER('Council Entry'!Q$8),ISNUMBER('Council Entry'!Q$9)),MAX(MIN('Council Entry'!Q26,'Council Entry'!Q$9),'Council Entry'!Q$8),'Council Entry'!Q26))))-'Council Entry'!Q$5)/('Council Entry'!Q$6-'Council Entry'!Q$5)),1))),"No data"))</f>
        <v/>
      </c>
      <c r="R26" s="13">
        <f>IF('Council Entry'!R26="","",IFERROR(MAX(0,MIN(10,ROUND(IF('Council Entry'!R$7="Decrease Risk",10-10*((IF('Council Entry'!R$4="Logarithm",LN(0.001+IF(AND(ISNUMBER('Council Entry'!R$8),ISNUMBER('Council Entry'!R$9)),MAX(MIN('Council Entry'!R26,'Council Entry'!R$9),'Council Entry'!R$8),'Council Entry'!R26)),IF('Council Entry'!R$4="Exponential",EXP(IF(AND(ISNUMBER('Council Entry'!R$8),ISNUMBER('Council Entry'!R$9)),MAX(MIN('Council Entry'!R26,'Council Entry'!R$9),'Council Entry'!R$8),'Council Entry'!R26)),IF(AND(ISNUMBER('Council Entry'!R$8),ISNUMBER('Council Entry'!R$9)),MAX(MIN('Council Entry'!R26,'Council Entry'!R$9),'Council Entry'!R$8),'Council Entry'!R26))))-'Council Entry'!R$5)/('Council Entry'!R$6-'Council Entry'!R$5),10*((IF('Council Entry'!R$4="Logarithm",LN(0.001+IF(AND(ISNUMBER('Council Entry'!R$8),ISNUMBER('Council Entry'!R$9)),MAX(MIN('Council Entry'!R26,'Council Entry'!R$9),'Council Entry'!R$8),'Council Entry'!R26)),IF('Council Entry'!R$4="Exponential",EXP(IF(AND(ISNUMBER('Council Entry'!R$8),ISNUMBER('Council Entry'!R$9)),MAX(MIN('Council Entry'!R26,'Council Entry'!R$9),'Council Entry'!R$8),'Council Entry'!R26)),IF(AND(ISNUMBER('Council Entry'!R$8),ISNUMBER('Council Entry'!R$9)),MAX(MIN('Council Entry'!R26,'Council Entry'!R$9),'Council Entry'!R$8),'Council Entry'!R26))))-'Council Entry'!R$5)/('Council Entry'!R$6-'Council Entry'!R$5)),1))),"No data"))</f>
        <v/>
      </c>
      <c r="S26" s="13">
        <f>IF('Council Entry'!S26="","",IFERROR(MAX(0,MIN(10,ROUND(IF('Council Entry'!S$7="Decrease Risk",10-10*((IF('Council Entry'!S$4="Logarithm",LN(0.001+IF(AND(ISNUMBER('Council Entry'!S$8),ISNUMBER('Council Entry'!S$9)),MAX(MIN('Council Entry'!S26,'Council Entry'!S$9),'Council Entry'!S$8),'Council Entry'!S26)),IF('Council Entry'!S$4="Exponential",EXP(IF(AND(ISNUMBER('Council Entry'!S$8),ISNUMBER('Council Entry'!S$9)),MAX(MIN('Council Entry'!S26,'Council Entry'!S$9),'Council Entry'!S$8),'Council Entry'!S26)),IF(AND(ISNUMBER('Council Entry'!S$8),ISNUMBER('Council Entry'!S$9)),MAX(MIN('Council Entry'!S26,'Council Entry'!S$9),'Council Entry'!S$8),'Council Entry'!S26))))-'Council Entry'!S$5)/('Council Entry'!S$6-'Council Entry'!S$5),10*((IF('Council Entry'!S$4="Logarithm",LN(0.001+IF(AND(ISNUMBER('Council Entry'!S$8),ISNUMBER('Council Entry'!S$9)),MAX(MIN('Council Entry'!S26,'Council Entry'!S$9),'Council Entry'!S$8),'Council Entry'!S26)),IF('Council Entry'!S$4="Exponential",EXP(IF(AND(ISNUMBER('Council Entry'!S$8),ISNUMBER('Council Entry'!S$9)),MAX(MIN('Council Entry'!S26,'Council Entry'!S$9),'Council Entry'!S$8),'Council Entry'!S26)),IF(AND(ISNUMBER('Council Entry'!S$8),ISNUMBER('Council Entry'!S$9)),MAX(MIN('Council Entry'!S26,'Council Entry'!S$9),'Council Entry'!S$8),'Council Entry'!S26))))-'Council Entry'!S$5)/('Council Entry'!S$6-'Council Entry'!S$5)),1))),"No data"))</f>
        <v/>
      </c>
      <c r="T26" s="13">
        <f>IF('Council Entry'!T26="","",IFERROR(MAX(0,MIN(10,ROUND(IF('Council Entry'!T$7="Decrease Risk",10-10*((IF('Council Entry'!T$4="Logarithm",LN(0.001+IF(AND(ISNUMBER('Council Entry'!T$8),ISNUMBER('Council Entry'!T$9)),MAX(MIN('Council Entry'!T26,'Council Entry'!T$9),'Council Entry'!T$8),'Council Entry'!T26)),IF('Council Entry'!T$4="Exponential",EXP(IF(AND(ISNUMBER('Council Entry'!T$8),ISNUMBER('Council Entry'!T$9)),MAX(MIN('Council Entry'!T26,'Council Entry'!T$9),'Council Entry'!T$8),'Council Entry'!T26)),IF(AND(ISNUMBER('Council Entry'!T$8),ISNUMBER('Council Entry'!T$9)),MAX(MIN('Council Entry'!T26,'Council Entry'!T$9),'Council Entry'!T$8),'Council Entry'!T26))))-'Council Entry'!T$5)/('Council Entry'!T$6-'Council Entry'!T$5),10*((IF('Council Entry'!T$4="Logarithm",LN(0.001+IF(AND(ISNUMBER('Council Entry'!T$8),ISNUMBER('Council Entry'!T$9)),MAX(MIN('Council Entry'!T26,'Council Entry'!T$9),'Council Entry'!T$8),'Council Entry'!T26)),IF('Council Entry'!T$4="Exponential",EXP(IF(AND(ISNUMBER('Council Entry'!T$8),ISNUMBER('Council Entry'!T$9)),MAX(MIN('Council Entry'!T26,'Council Entry'!T$9),'Council Entry'!T$8),'Council Entry'!T26)),IF(AND(ISNUMBER('Council Entry'!T$8),ISNUMBER('Council Entry'!T$9)),MAX(MIN('Council Entry'!T26,'Council Entry'!T$9),'Council Entry'!T$8),'Council Entry'!T26))))-'Council Entry'!T$5)/('Council Entry'!T$6-'Council Entry'!T$5)),1))),"No data"))</f>
        <v/>
      </c>
      <c r="U26" s="13">
        <f>IF('Council Entry'!U26="","",IFERROR(MAX(0,MIN(10,ROUND(IF('Council Entry'!U$7="Decrease Risk",10-10*((IF('Council Entry'!U$4="Logarithm",LN(0.001+IF(AND(ISNUMBER('Council Entry'!U$8),ISNUMBER('Council Entry'!U$9)),MAX(MIN('Council Entry'!U26,'Council Entry'!U$9),'Council Entry'!U$8),'Council Entry'!U26)),IF('Council Entry'!U$4="Exponential",EXP(IF(AND(ISNUMBER('Council Entry'!U$8),ISNUMBER('Council Entry'!U$9)),MAX(MIN('Council Entry'!U26,'Council Entry'!U$9),'Council Entry'!U$8),'Council Entry'!U26)),IF(AND(ISNUMBER('Council Entry'!U$8),ISNUMBER('Council Entry'!U$9)),MAX(MIN('Council Entry'!U26,'Council Entry'!U$9),'Council Entry'!U$8),'Council Entry'!U26))))-'Council Entry'!U$5)/('Council Entry'!U$6-'Council Entry'!U$5),10*((IF('Council Entry'!U$4="Logarithm",LN(0.001+IF(AND(ISNUMBER('Council Entry'!U$8),ISNUMBER('Council Entry'!U$9)),MAX(MIN('Council Entry'!U26,'Council Entry'!U$9),'Council Entry'!U$8),'Council Entry'!U26)),IF('Council Entry'!U$4="Exponential",EXP(IF(AND(ISNUMBER('Council Entry'!U$8),ISNUMBER('Council Entry'!U$9)),MAX(MIN('Council Entry'!U26,'Council Entry'!U$9),'Council Entry'!U$8),'Council Entry'!U26)),IF(AND(ISNUMBER('Council Entry'!U$8),ISNUMBER('Council Entry'!U$9)),MAX(MIN('Council Entry'!U26,'Council Entry'!U$9),'Council Entry'!U$8),'Council Entry'!U26))))-'Council Entry'!U$5)/('Council Entry'!U$6-'Council Entry'!U$5)),1))),"No data"))</f>
        <v/>
      </c>
      <c r="V26" s="13">
        <f>IF('Council Entry'!V26="","",IFERROR(MAX(0,MIN(10,ROUND(IF('Council Entry'!V$7="Decrease Risk",10-10*((IF('Council Entry'!V$4="Logarithm",LN(0.001+IF(AND(ISNUMBER('Council Entry'!V$8),ISNUMBER('Council Entry'!V$9)),MAX(MIN('Council Entry'!V26,'Council Entry'!V$9),'Council Entry'!V$8),'Council Entry'!V26)),IF('Council Entry'!V$4="Exponential",EXP(IF(AND(ISNUMBER('Council Entry'!V$8),ISNUMBER('Council Entry'!V$9)),MAX(MIN('Council Entry'!V26,'Council Entry'!V$9),'Council Entry'!V$8),'Council Entry'!V26)),IF(AND(ISNUMBER('Council Entry'!V$8),ISNUMBER('Council Entry'!V$9)),MAX(MIN('Council Entry'!V26,'Council Entry'!V$9),'Council Entry'!V$8),'Council Entry'!V26))))-'Council Entry'!V$5)/('Council Entry'!V$6-'Council Entry'!V$5),10*((IF('Council Entry'!V$4="Logarithm",LN(0.001+IF(AND(ISNUMBER('Council Entry'!V$8),ISNUMBER('Council Entry'!V$9)),MAX(MIN('Council Entry'!V26,'Council Entry'!V$9),'Council Entry'!V$8),'Council Entry'!V26)),IF('Council Entry'!V$4="Exponential",EXP(IF(AND(ISNUMBER('Council Entry'!V$8),ISNUMBER('Council Entry'!V$9)),MAX(MIN('Council Entry'!V26,'Council Entry'!V$9),'Council Entry'!V$8),'Council Entry'!V26)),IF(AND(ISNUMBER('Council Entry'!V$8),ISNUMBER('Council Entry'!V$9)),MAX(MIN('Council Entry'!V26,'Council Entry'!V$9),'Council Entry'!V$8),'Council Entry'!V26))))-'Council Entry'!V$5)/('Council Entry'!V$6-'Council Entry'!V$5)),1))),"No data"))</f>
        <v/>
      </c>
      <c r="W26" s="13">
        <f>IF('Council Entry'!W26="","",IFERROR(MAX(0,MIN(10,ROUND(IF('Council Entry'!W$7="Decrease Risk",10-10*((IF('Council Entry'!W$4="Logarithm",LN(0.001+IF(AND(ISNUMBER('Council Entry'!W$8),ISNUMBER('Council Entry'!W$9)),MAX(MIN('Council Entry'!W26,'Council Entry'!W$9),'Council Entry'!W$8),'Council Entry'!W26)),IF('Council Entry'!W$4="Exponential",EXP(IF(AND(ISNUMBER('Council Entry'!W$8),ISNUMBER('Council Entry'!W$9)),MAX(MIN('Council Entry'!W26,'Council Entry'!W$9),'Council Entry'!W$8),'Council Entry'!W26)),IF(AND(ISNUMBER('Council Entry'!W$8),ISNUMBER('Council Entry'!W$9)),MAX(MIN('Council Entry'!W26,'Council Entry'!W$9),'Council Entry'!W$8),'Council Entry'!W26))))-'Council Entry'!W$5)/('Council Entry'!W$6-'Council Entry'!W$5),10*((IF('Council Entry'!W$4="Logarithm",LN(0.001+IF(AND(ISNUMBER('Council Entry'!W$8),ISNUMBER('Council Entry'!W$9)),MAX(MIN('Council Entry'!W26,'Council Entry'!W$9),'Council Entry'!W$8),'Council Entry'!W26)),IF('Council Entry'!W$4="Exponential",EXP(IF(AND(ISNUMBER('Council Entry'!W$8),ISNUMBER('Council Entry'!W$9)),MAX(MIN('Council Entry'!W26,'Council Entry'!W$9),'Council Entry'!W$8),'Council Entry'!W26)),IF(AND(ISNUMBER('Council Entry'!W$8),ISNUMBER('Council Entry'!W$9)),MAX(MIN('Council Entry'!W26,'Council Entry'!W$9),'Council Entry'!W$8),'Council Entry'!W26))))-'Council Entry'!W$5)/('Council Entry'!W$6-'Council Entry'!W$5)),1))),"No data"))</f>
        <v/>
      </c>
      <c r="X26" s="13">
        <f>IF('Council Entry'!X26="","",IFERROR(MAX(0,MIN(10,ROUND(IF('Council Entry'!X$7="Decrease Risk",10-10*((IF('Council Entry'!X$4="Logarithm",LN(0.001+IF(AND(ISNUMBER('Council Entry'!X$8),ISNUMBER('Council Entry'!X$9)),MAX(MIN('Council Entry'!X26,'Council Entry'!X$9),'Council Entry'!X$8),'Council Entry'!X26)),IF('Council Entry'!X$4="Exponential",EXP(IF(AND(ISNUMBER('Council Entry'!X$8),ISNUMBER('Council Entry'!X$9)),MAX(MIN('Council Entry'!X26,'Council Entry'!X$9),'Council Entry'!X$8),'Council Entry'!X26)),IF(AND(ISNUMBER('Council Entry'!X$8),ISNUMBER('Council Entry'!X$9)),MAX(MIN('Council Entry'!X26,'Council Entry'!X$9),'Council Entry'!X$8),'Council Entry'!X26))))-'Council Entry'!X$5)/('Council Entry'!X$6-'Council Entry'!X$5),10*((IF('Council Entry'!X$4="Logarithm",LN(0.001+IF(AND(ISNUMBER('Council Entry'!X$8),ISNUMBER('Council Entry'!X$9)),MAX(MIN('Council Entry'!X26,'Council Entry'!X$9),'Council Entry'!X$8),'Council Entry'!X26)),IF('Council Entry'!X$4="Exponential",EXP(IF(AND(ISNUMBER('Council Entry'!X$8),ISNUMBER('Council Entry'!X$9)),MAX(MIN('Council Entry'!X26,'Council Entry'!X$9),'Council Entry'!X$8),'Council Entry'!X26)),IF(AND(ISNUMBER('Council Entry'!X$8),ISNUMBER('Council Entry'!X$9)),MAX(MIN('Council Entry'!X26,'Council Entry'!X$9),'Council Entry'!X$8),'Council Entry'!X26))))-'Council Entry'!X$5)/('Council Entry'!X$6-'Council Entry'!X$5)),1))),"No data"))</f>
        <v/>
      </c>
      <c r="Y26" s="13">
        <f>IF('Council Entry'!Y26="","",IFERROR(MAX(0,MIN(10,ROUND(IF('Council Entry'!Y$7="Decrease Risk",10-10*((IF('Council Entry'!Y$4="Logarithm",LN(0.001+IF(AND(ISNUMBER('Council Entry'!Y$8),ISNUMBER('Council Entry'!Y$9)),MAX(MIN('Council Entry'!Y26,'Council Entry'!Y$9),'Council Entry'!Y$8),'Council Entry'!Y26)),IF('Council Entry'!Y$4="Exponential",EXP(IF(AND(ISNUMBER('Council Entry'!Y$8),ISNUMBER('Council Entry'!Y$9)),MAX(MIN('Council Entry'!Y26,'Council Entry'!Y$9),'Council Entry'!Y$8),'Council Entry'!Y26)),IF(AND(ISNUMBER('Council Entry'!Y$8),ISNUMBER('Council Entry'!Y$9)),MAX(MIN('Council Entry'!Y26,'Council Entry'!Y$9),'Council Entry'!Y$8),'Council Entry'!Y26))))-'Council Entry'!Y$5)/('Council Entry'!Y$6-'Council Entry'!Y$5),10*((IF('Council Entry'!Y$4="Logarithm",LN(0.001+IF(AND(ISNUMBER('Council Entry'!Y$8),ISNUMBER('Council Entry'!Y$9)),MAX(MIN('Council Entry'!Y26,'Council Entry'!Y$9),'Council Entry'!Y$8),'Council Entry'!Y26)),IF('Council Entry'!Y$4="Exponential",EXP(IF(AND(ISNUMBER('Council Entry'!Y$8),ISNUMBER('Council Entry'!Y$9)),MAX(MIN('Council Entry'!Y26,'Council Entry'!Y$9),'Council Entry'!Y$8),'Council Entry'!Y26)),IF(AND(ISNUMBER('Council Entry'!Y$8),ISNUMBER('Council Entry'!Y$9)),MAX(MIN('Council Entry'!Y26,'Council Entry'!Y$9),'Council Entry'!Y$8),'Council Entry'!Y26))))-'Council Entry'!Y$5)/('Council Entry'!Y$6-'Council Entry'!Y$5)),1))),"No data"))</f>
        <v/>
      </c>
      <c r="Z26" s="13">
        <f>IF('Council Entry'!Z26="","",IFERROR(MAX(0,MIN(10,ROUND(IF('Council Entry'!Z$7="Decrease Risk",10-10*((IF('Council Entry'!Z$4="Logarithm",LN(0.001+IF(AND(ISNUMBER('Council Entry'!Z$8),ISNUMBER('Council Entry'!Z$9)),MAX(MIN('Council Entry'!Z26,'Council Entry'!Z$9),'Council Entry'!Z$8),'Council Entry'!Z26)),IF('Council Entry'!Z$4="Exponential",EXP(IF(AND(ISNUMBER('Council Entry'!Z$8),ISNUMBER('Council Entry'!Z$9)),MAX(MIN('Council Entry'!Z26,'Council Entry'!Z$9),'Council Entry'!Z$8),'Council Entry'!Z26)),IF(AND(ISNUMBER('Council Entry'!Z$8),ISNUMBER('Council Entry'!Z$9)),MAX(MIN('Council Entry'!Z26,'Council Entry'!Z$9),'Council Entry'!Z$8),'Council Entry'!Z26))))-'Council Entry'!Z$5)/('Council Entry'!Z$6-'Council Entry'!Z$5),10*((IF('Council Entry'!Z$4="Logarithm",LN(0.001+IF(AND(ISNUMBER('Council Entry'!Z$8),ISNUMBER('Council Entry'!Z$9)),MAX(MIN('Council Entry'!Z26,'Council Entry'!Z$9),'Council Entry'!Z$8),'Council Entry'!Z26)),IF('Council Entry'!Z$4="Exponential",EXP(IF(AND(ISNUMBER('Council Entry'!Z$8),ISNUMBER('Council Entry'!Z$9)),MAX(MIN('Council Entry'!Z26,'Council Entry'!Z$9),'Council Entry'!Z$8),'Council Entry'!Z26)),IF(AND(ISNUMBER('Council Entry'!Z$8),ISNUMBER('Council Entry'!Z$9)),MAX(MIN('Council Entry'!Z26,'Council Entry'!Z$9),'Council Entry'!Z$8),'Council Entry'!Z26))))-'Council Entry'!Z$5)/('Council Entry'!Z$6-'Council Entry'!Z$5)),1))),"No data"))</f>
        <v/>
      </c>
      <c r="AA26" s="13">
        <f>IF('Council Entry'!AA26="","",IFERROR(MAX(0,MIN(10,ROUND(IF('Council Entry'!AA$7="Decrease Risk",10-10*((IF('Council Entry'!AA$4="Logarithm",LN(0.001+IF(AND(ISNUMBER('Council Entry'!AA$8),ISNUMBER('Council Entry'!AA$9)),MAX(MIN('Council Entry'!AA26,'Council Entry'!AA$9),'Council Entry'!AA$8),'Council Entry'!AA26)),IF('Council Entry'!AA$4="Exponential",EXP(IF(AND(ISNUMBER('Council Entry'!AA$8),ISNUMBER('Council Entry'!AA$9)),MAX(MIN('Council Entry'!AA26,'Council Entry'!AA$9),'Council Entry'!AA$8),'Council Entry'!AA26)),IF(AND(ISNUMBER('Council Entry'!AA$8),ISNUMBER('Council Entry'!AA$9)),MAX(MIN('Council Entry'!AA26,'Council Entry'!AA$9),'Council Entry'!AA$8),'Council Entry'!AA26))))-'Council Entry'!AA$5)/('Council Entry'!AA$6-'Council Entry'!AA$5),10*((IF('Council Entry'!AA$4="Logarithm",LN(0.001+IF(AND(ISNUMBER('Council Entry'!AA$8),ISNUMBER('Council Entry'!AA$9)),MAX(MIN('Council Entry'!AA26,'Council Entry'!AA$9),'Council Entry'!AA$8),'Council Entry'!AA26)),IF('Council Entry'!AA$4="Exponential",EXP(IF(AND(ISNUMBER('Council Entry'!AA$8),ISNUMBER('Council Entry'!AA$9)),MAX(MIN('Council Entry'!AA26,'Council Entry'!AA$9),'Council Entry'!AA$8),'Council Entry'!AA26)),IF(AND(ISNUMBER('Council Entry'!AA$8),ISNUMBER('Council Entry'!AA$9)),MAX(MIN('Council Entry'!AA26,'Council Entry'!AA$9),'Council Entry'!AA$8),'Council Entry'!AA26))))-'Council Entry'!AA$5)/('Council Entry'!AA$6-'Council Entry'!AA$5)),1))),"No data"))</f>
        <v/>
      </c>
      <c r="AB26" s="13">
        <f>IF('Council Entry'!AB26="","",IFERROR(MAX(0,MIN(10,ROUND(IF('Council Entry'!AB$7="Decrease Risk",10-10*((IF('Council Entry'!AB$4="Logarithm",LN(0.001+IF(AND(ISNUMBER('Council Entry'!AB$8),ISNUMBER('Council Entry'!AB$9)),MAX(MIN('Council Entry'!AB26,'Council Entry'!AB$9),'Council Entry'!AB$8),'Council Entry'!AB26)),IF('Council Entry'!AB$4="Exponential",EXP(IF(AND(ISNUMBER('Council Entry'!AB$8),ISNUMBER('Council Entry'!AB$9)),MAX(MIN('Council Entry'!AB26,'Council Entry'!AB$9),'Council Entry'!AB$8),'Council Entry'!AB26)),IF(AND(ISNUMBER('Council Entry'!AB$8),ISNUMBER('Council Entry'!AB$9)),MAX(MIN('Council Entry'!AB26,'Council Entry'!AB$9),'Council Entry'!AB$8),'Council Entry'!AB26))))-'Council Entry'!AB$5)/('Council Entry'!AB$6-'Council Entry'!AB$5),10*((IF('Council Entry'!AB$4="Logarithm",LN(0.001+IF(AND(ISNUMBER('Council Entry'!AB$8),ISNUMBER('Council Entry'!AB$9)),MAX(MIN('Council Entry'!AB26,'Council Entry'!AB$9),'Council Entry'!AB$8),'Council Entry'!AB26)),IF('Council Entry'!AB$4="Exponential",EXP(IF(AND(ISNUMBER('Council Entry'!AB$8),ISNUMBER('Council Entry'!AB$9)),MAX(MIN('Council Entry'!AB26,'Council Entry'!AB$9),'Council Entry'!AB$8),'Council Entry'!AB26)),IF(AND(ISNUMBER('Council Entry'!AB$8),ISNUMBER('Council Entry'!AB$9)),MAX(MIN('Council Entry'!AB26,'Council Entry'!AB$9),'Council Entry'!AB$8),'Council Entry'!AB26))))-'Council Entry'!AB$5)/('Council Entry'!AB$6-'Council Entry'!AB$5)),1))),"No data"))</f>
        <v/>
      </c>
      <c r="AC26" s="13">
        <f>IF('Council Entry'!AC26="","",IFERROR(MAX(0,MIN(10,ROUND(IF('Council Entry'!AC$7="Decrease Risk",10-10*((IF('Council Entry'!AC$4="Logarithm",LN(0.001+IF(AND(ISNUMBER('Council Entry'!AC$8),ISNUMBER('Council Entry'!AC$9)),MAX(MIN('Council Entry'!AC26,'Council Entry'!AC$9),'Council Entry'!AC$8),'Council Entry'!AC26)),IF('Council Entry'!AC$4="Exponential",EXP(IF(AND(ISNUMBER('Council Entry'!AC$8),ISNUMBER('Council Entry'!AC$9)),MAX(MIN('Council Entry'!AC26,'Council Entry'!AC$9),'Council Entry'!AC$8),'Council Entry'!AC26)),IF(AND(ISNUMBER('Council Entry'!AC$8),ISNUMBER('Council Entry'!AC$9)),MAX(MIN('Council Entry'!AC26,'Council Entry'!AC$9),'Council Entry'!AC$8),'Council Entry'!AC26))))-'Council Entry'!AC$5)/('Council Entry'!AC$6-'Council Entry'!AC$5),10*((IF('Council Entry'!AC$4="Logarithm",LN(0.001+IF(AND(ISNUMBER('Council Entry'!AC$8),ISNUMBER('Council Entry'!AC$9)),MAX(MIN('Council Entry'!AC26,'Council Entry'!AC$9),'Council Entry'!AC$8),'Council Entry'!AC26)),IF('Council Entry'!AC$4="Exponential",EXP(IF(AND(ISNUMBER('Council Entry'!AC$8),ISNUMBER('Council Entry'!AC$9)),MAX(MIN('Council Entry'!AC26,'Council Entry'!AC$9),'Council Entry'!AC$8),'Council Entry'!AC26)),IF(AND(ISNUMBER('Council Entry'!AC$8),ISNUMBER('Council Entry'!AC$9)),MAX(MIN('Council Entry'!AC26,'Council Entry'!AC$9),'Council Entry'!AC$8),'Council Entry'!AC26))))-'Council Entry'!AC$5)/('Council Entry'!AC$6-'Council Entry'!AC$5)),1))),"No data"))</f>
        <v/>
      </c>
      <c r="AD26" s="13">
        <f>IF('Council Entry'!AD26="","",IFERROR(MAX(0,MIN(10,ROUND(IF('Council Entry'!AD$7="Decrease Risk",10-10*((IF('Council Entry'!AD$4="Logarithm",LN(0.001+IF(AND(ISNUMBER('Council Entry'!AD$8),ISNUMBER('Council Entry'!AD$9)),MAX(MIN('Council Entry'!AD26,'Council Entry'!AD$9),'Council Entry'!AD$8),'Council Entry'!AD26)),IF('Council Entry'!AD$4="Exponential",EXP(IF(AND(ISNUMBER('Council Entry'!AD$8),ISNUMBER('Council Entry'!AD$9)),MAX(MIN('Council Entry'!AD26,'Council Entry'!AD$9),'Council Entry'!AD$8),'Council Entry'!AD26)),IF(AND(ISNUMBER('Council Entry'!AD$8),ISNUMBER('Council Entry'!AD$9)),MAX(MIN('Council Entry'!AD26,'Council Entry'!AD$9),'Council Entry'!AD$8),'Council Entry'!AD26))))-'Council Entry'!AD$5)/('Council Entry'!AD$6-'Council Entry'!AD$5),10*((IF('Council Entry'!AD$4="Logarithm",LN(0.001+IF(AND(ISNUMBER('Council Entry'!AD$8),ISNUMBER('Council Entry'!AD$9)),MAX(MIN('Council Entry'!AD26,'Council Entry'!AD$9),'Council Entry'!AD$8),'Council Entry'!AD26)),IF('Council Entry'!AD$4="Exponential",EXP(IF(AND(ISNUMBER('Council Entry'!AD$8),ISNUMBER('Council Entry'!AD$9)),MAX(MIN('Council Entry'!AD26,'Council Entry'!AD$9),'Council Entry'!AD$8),'Council Entry'!AD26)),IF(AND(ISNUMBER('Council Entry'!AD$8),ISNUMBER('Council Entry'!AD$9)),MAX(MIN('Council Entry'!AD26,'Council Entry'!AD$9),'Council Entry'!AD$8),'Council Entry'!AD26))))-'Council Entry'!AD$5)/('Council Entry'!AD$6-'Council Entry'!AD$5)),1))),"No data"))</f>
        <v/>
      </c>
      <c r="AE26" s="13">
        <f>IF('Council Entry'!AE26="","",IFERROR(MAX(0,MIN(10,ROUND(IF('Council Entry'!AE$7="Decrease Risk",10-10*((IF('Council Entry'!AE$4="Logarithm",LN(0.001+IF(AND(ISNUMBER('Council Entry'!AE$8),ISNUMBER('Council Entry'!AE$9)),MAX(MIN('Council Entry'!AE26,'Council Entry'!AE$9),'Council Entry'!AE$8),'Council Entry'!AE26)),IF('Council Entry'!AE$4="Exponential",EXP(IF(AND(ISNUMBER('Council Entry'!AE$8),ISNUMBER('Council Entry'!AE$9)),MAX(MIN('Council Entry'!AE26,'Council Entry'!AE$9),'Council Entry'!AE$8),'Council Entry'!AE26)),IF(AND(ISNUMBER('Council Entry'!AE$8),ISNUMBER('Council Entry'!AE$9)),MAX(MIN('Council Entry'!AE26,'Council Entry'!AE$9),'Council Entry'!AE$8),'Council Entry'!AE26))))-'Council Entry'!AE$5)/('Council Entry'!AE$6-'Council Entry'!AE$5),10*((IF('Council Entry'!AE$4="Logarithm",LN(0.001+IF(AND(ISNUMBER('Council Entry'!AE$8),ISNUMBER('Council Entry'!AE$9)),MAX(MIN('Council Entry'!AE26,'Council Entry'!AE$9),'Council Entry'!AE$8),'Council Entry'!AE26)),IF('Council Entry'!AE$4="Exponential",EXP(IF(AND(ISNUMBER('Council Entry'!AE$8),ISNUMBER('Council Entry'!AE$9)),MAX(MIN('Council Entry'!AE26,'Council Entry'!AE$9),'Council Entry'!AE$8),'Council Entry'!AE26)),IF(AND(ISNUMBER('Council Entry'!AE$8),ISNUMBER('Council Entry'!AE$9)),MAX(MIN('Council Entry'!AE26,'Council Entry'!AE$9),'Council Entry'!AE$8),'Council Entry'!AE26))))-'Council Entry'!AE$5)/('Council Entry'!AE$6-'Council Entry'!AE$5)),1))),"No data"))</f>
        <v/>
      </c>
      <c r="AF26" s="13">
        <f>IF('Council Entry'!AF26="","",IFERROR(MAX(0,MIN(10,ROUND(IF('Council Entry'!AF$7="Decrease Risk",10-10*((IF('Council Entry'!AF$4="Logarithm",LN(0.001+IF(AND(ISNUMBER('Council Entry'!AF$8),ISNUMBER('Council Entry'!AF$9)),MAX(MIN('Council Entry'!AF26,'Council Entry'!AF$9),'Council Entry'!AF$8),'Council Entry'!AF26)),IF('Council Entry'!AF$4="Exponential",EXP(IF(AND(ISNUMBER('Council Entry'!AF$8),ISNUMBER('Council Entry'!AF$9)),MAX(MIN('Council Entry'!AF26,'Council Entry'!AF$9),'Council Entry'!AF$8),'Council Entry'!AF26)),IF(AND(ISNUMBER('Council Entry'!AF$8),ISNUMBER('Council Entry'!AF$9)),MAX(MIN('Council Entry'!AF26,'Council Entry'!AF$9),'Council Entry'!AF$8),'Council Entry'!AF26))))-'Council Entry'!AF$5)/('Council Entry'!AF$6-'Council Entry'!AF$5),10*((IF('Council Entry'!AF$4="Logarithm",LN(0.001+IF(AND(ISNUMBER('Council Entry'!AF$8),ISNUMBER('Council Entry'!AF$9)),MAX(MIN('Council Entry'!AF26,'Council Entry'!AF$9),'Council Entry'!AF$8),'Council Entry'!AF26)),IF('Council Entry'!AF$4="Exponential",EXP(IF(AND(ISNUMBER('Council Entry'!AF$8),ISNUMBER('Council Entry'!AF$9)),MAX(MIN('Council Entry'!AF26,'Council Entry'!AF$9),'Council Entry'!AF$8),'Council Entry'!AF26)),IF(AND(ISNUMBER('Council Entry'!AF$8),ISNUMBER('Council Entry'!AF$9)),MAX(MIN('Council Entry'!AF26,'Council Entry'!AF$9),'Council Entry'!AF$8),'Council Entry'!AF26))))-'Council Entry'!AF$5)/('Council Entry'!AF$6-'Council Entry'!AF$5)),1))),"No data"))</f>
        <v/>
      </c>
      <c r="AG26" s="13">
        <f>IF('Council Entry'!AG26="","",IFERROR(MAX(0,MIN(10,ROUND(IF('Council Entry'!AG$7="Decrease Risk",10-10*((IF('Council Entry'!AG$4="Logarithm",LN(0.001+IF(AND(ISNUMBER('Council Entry'!AG$8),ISNUMBER('Council Entry'!AG$9)),MAX(MIN('Council Entry'!AG26,'Council Entry'!AG$9),'Council Entry'!AG$8),'Council Entry'!AG26)),IF('Council Entry'!AG$4="Exponential",EXP(IF(AND(ISNUMBER('Council Entry'!AG$8),ISNUMBER('Council Entry'!AG$9)),MAX(MIN('Council Entry'!AG26,'Council Entry'!AG$9),'Council Entry'!AG$8),'Council Entry'!AG26)),IF(AND(ISNUMBER('Council Entry'!AG$8),ISNUMBER('Council Entry'!AG$9)),MAX(MIN('Council Entry'!AG26,'Council Entry'!AG$9),'Council Entry'!AG$8),'Council Entry'!AG26))))-'Council Entry'!AG$5)/('Council Entry'!AG$6-'Council Entry'!AG$5),10*((IF('Council Entry'!AG$4="Logarithm",LN(0.001+IF(AND(ISNUMBER('Council Entry'!AG$8),ISNUMBER('Council Entry'!AG$9)),MAX(MIN('Council Entry'!AG26,'Council Entry'!AG$9),'Council Entry'!AG$8),'Council Entry'!AG26)),IF('Council Entry'!AG$4="Exponential",EXP(IF(AND(ISNUMBER('Council Entry'!AG$8),ISNUMBER('Council Entry'!AG$9)),MAX(MIN('Council Entry'!AG26,'Council Entry'!AG$9),'Council Entry'!AG$8),'Council Entry'!AG26)),IF(AND(ISNUMBER('Council Entry'!AG$8),ISNUMBER('Council Entry'!AG$9)),MAX(MIN('Council Entry'!AG26,'Council Entry'!AG$9),'Council Entry'!AG$8),'Council Entry'!AG26))))-'Council Entry'!AG$5)/('Council Entry'!AG$6-'Council Entry'!AG$5)),1))),"No data"))</f>
        <v/>
      </c>
      <c r="AH26" s="13">
        <f>IF('Council Entry'!AH26="","",IFERROR(MAX(0,MIN(10,ROUND(IF('Council Entry'!AH$7="Decrease Risk",10-10*((IF('Council Entry'!AH$4="Logarithm",LN(0.001+IF(AND(ISNUMBER('Council Entry'!AH$8),ISNUMBER('Council Entry'!AH$9)),MAX(MIN('Council Entry'!AH26,'Council Entry'!AH$9),'Council Entry'!AH$8),'Council Entry'!AH26)),IF('Council Entry'!AH$4="Exponential",EXP(IF(AND(ISNUMBER('Council Entry'!AH$8),ISNUMBER('Council Entry'!AH$9)),MAX(MIN('Council Entry'!AH26,'Council Entry'!AH$9),'Council Entry'!AH$8),'Council Entry'!AH26)),IF(AND(ISNUMBER('Council Entry'!AH$8),ISNUMBER('Council Entry'!AH$9)),MAX(MIN('Council Entry'!AH26,'Council Entry'!AH$9),'Council Entry'!AH$8),'Council Entry'!AH26))))-'Council Entry'!AH$5)/('Council Entry'!AH$6-'Council Entry'!AH$5),10*((IF('Council Entry'!AH$4="Logarithm",LN(0.001+IF(AND(ISNUMBER('Council Entry'!AH$8),ISNUMBER('Council Entry'!AH$9)),MAX(MIN('Council Entry'!AH26,'Council Entry'!AH$9),'Council Entry'!AH$8),'Council Entry'!AH26)),IF('Council Entry'!AH$4="Exponential",EXP(IF(AND(ISNUMBER('Council Entry'!AH$8),ISNUMBER('Council Entry'!AH$9)),MAX(MIN('Council Entry'!AH26,'Council Entry'!AH$9),'Council Entry'!AH$8),'Council Entry'!AH26)),IF(AND(ISNUMBER('Council Entry'!AH$8),ISNUMBER('Council Entry'!AH$9)),MAX(MIN('Council Entry'!AH26,'Council Entry'!AH$9),'Council Entry'!AH$8),'Council Entry'!AH26))))-'Council Entry'!AH$5)/('Council Entry'!AH$6-'Council Entry'!AH$5)),1))),"No data"))</f>
        <v/>
      </c>
      <c r="AI26" s="13">
        <f>IF('Council Entry'!AI26="","",IFERROR(MAX(0,MIN(10,ROUND(IF('Council Entry'!AI$7="Decrease Risk",10-10*((IF('Council Entry'!AI$4="Logarithm",LN(0.001+IF(AND(ISNUMBER('Council Entry'!AI$8),ISNUMBER('Council Entry'!AI$9)),MAX(MIN('Council Entry'!AI26,'Council Entry'!AI$9),'Council Entry'!AI$8),'Council Entry'!AI26)),IF('Council Entry'!AI$4="Exponential",EXP(IF(AND(ISNUMBER('Council Entry'!AI$8),ISNUMBER('Council Entry'!AI$9)),MAX(MIN('Council Entry'!AI26,'Council Entry'!AI$9),'Council Entry'!AI$8),'Council Entry'!AI26)),IF(AND(ISNUMBER('Council Entry'!AI$8),ISNUMBER('Council Entry'!AI$9)),MAX(MIN('Council Entry'!AI26,'Council Entry'!AI$9),'Council Entry'!AI$8),'Council Entry'!AI26))))-'Council Entry'!AI$5)/('Council Entry'!AI$6-'Council Entry'!AI$5),10*((IF('Council Entry'!AI$4="Logarithm",LN(0.001+IF(AND(ISNUMBER('Council Entry'!AI$8),ISNUMBER('Council Entry'!AI$9)),MAX(MIN('Council Entry'!AI26,'Council Entry'!AI$9),'Council Entry'!AI$8),'Council Entry'!AI26)),IF('Council Entry'!AI$4="Exponential",EXP(IF(AND(ISNUMBER('Council Entry'!AI$8),ISNUMBER('Council Entry'!AI$9)),MAX(MIN('Council Entry'!AI26,'Council Entry'!AI$9),'Council Entry'!AI$8),'Council Entry'!AI26)),IF(AND(ISNUMBER('Council Entry'!AI$8),ISNUMBER('Council Entry'!AI$9)),MAX(MIN('Council Entry'!AI26,'Council Entry'!AI$9),'Council Entry'!AI$8),'Council Entry'!AI26))))-'Council Entry'!AI$5)/('Council Entry'!AI$6-'Council Entry'!AI$5)),1))),"No data"))</f>
        <v/>
      </c>
      <c r="AJ26" s="13">
        <f>IF('Council Entry'!AJ26="","",IFERROR(MAX(0,MIN(10,ROUND(IF('Council Entry'!AJ$7="Decrease Risk",10-10*((IF('Council Entry'!AJ$4="Logarithm",LN(0.001+IF(AND(ISNUMBER('Council Entry'!AJ$8),ISNUMBER('Council Entry'!AJ$9)),MAX(MIN('Council Entry'!AJ26,'Council Entry'!AJ$9),'Council Entry'!AJ$8),'Council Entry'!AJ26)),IF('Council Entry'!AJ$4="Exponential",EXP(IF(AND(ISNUMBER('Council Entry'!AJ$8),ISNUMBER('Council Entry'!AJ$9)),MAX(MIN('Council Entry'!AJ26,'Council Entry'!AJ$9),'Council Entry'!AJ$8),'Council Entry'!AJ26)),IF(AND(ISNUMBER('Council Entry'!AJ$8),ISNUMBER('Council Entry'!AJ$9)),MAX(MIN('Council Entry'!AJ26,'Council Entry'!AJ$9),'Council Entry'!AJ$8),'Council Entry'!AJ26))))-'Council Entry'!AJ$5)/('Council Entry'!AJ$6-'Council Entry'!AJ$5),10*((IF('Council Entry'!AJ$4="Logarithm",LN(0.001+IF(AND(ISNUMBER('Council Entry'!AJ$8),ISNUMBER('Council Entry'!AJ$9)),MAX(MIN('Council Entry'!AJ26,'Council Entry'!AJ$9),'Council Entry'!AJ$8),'Council Entry'!AJ26)),IF('Council Entry'!AJ$4="Exponential",EXP(IF(AND(ISNUMBER('Council Entry'!AJ$8),ISNUMBER('Council Entry'!AJ$9)),MAX(MIN('Council Entry'!AJ26,'Council Entry'!AJ$9),'Council Entry'!AJ$8),'Council Entry'!AJ26)),IF(AND(ISNUMBER('Council Entry'!AJ$8),ISNUMBER('Council Entry'!AJ$9)),MAX(MIN('Council Entry'!AJ26,'Council Entry'!AJ$9),'Council Entry'!AJ$8),'Council Entry'!AJ26))))-'Council Entry'!AJ$5)/('Council Entry'!AJ$6-'Council Entry'!AJ$5)),1))),"No data"))</f>
        <v/>
      </c>
      <c r="AK26" s="13">
        <f>IF('Council Entry'!AK26="","",IFERROR(MAX(0,MIN(10,ROUND(IF('Council Entry'!AK$7="Decrease Risk",10-10*((IF('Council Entry'!AK$4="Logarithm",LN(0.001+IF(AND(ISNUMBER('Council Entry'!AK$8),ISNUMBER('Council Entry'!AK$9)),MAX(MIN('Council Entry'!AK26,'Council Entry'!AK$9),'Council Entry'!AK$8),'Council Entry'!AK26)),IF('Council Entry'!AK$4="Exponential",EXP(IF(AND(ISNUMBER('Council Entry'!AK$8),ISNUMBER('Council Entry'!AK$9)),MAX(MIN('Council Entry'!AK26,'Council Entry'!AK$9),'Council Entry'!AK$8),'Council Entry'!AK26)),IF(AND(ISNUMBER('Council Entry'!AK$8),ISNUMBER('Council Entry'!AK$9)),MAX(MIN('Council Entry'!AK26,'Council Entry'!AK$9),'Council Entry'!AK$8),'Council Entry'!AK26))))-'Council Entry'!AK$5)/('Council Entry'!AK$6-'Council Entry'!AK$5),10*((IF('Council Entry'!AK$4="Logarithm",LN(0.001+IF(AND(ISNUMBER('Council Entry'!AK$8),ISNUMBER('Council Entry'!AK$9)),MAX(MIN('Council Entry'!AK26,'Council Entry'!AK$9),'Council Entry'!AK$8),'Council Entry'!AK26)),IF('Council Entry'!AK$4="Exponential",EXP(IF(AND(ISNUMBER('Council Entry'!AK$8),ISNUMBER('Council Entry'!AK$9)),MAX(MIN('Council Entry'!AK26,'Council Entry'!AK$9),'Council Entry'!AK$8),'Council Entry'!AK26)),IF(AND(ISNUMBER('Council Entry'!AK$8),ISNUMBER('Council Entry'!AK$9)),MAX(MIN('Council Entry'!AK26,'Council Entry'!AK$9),'Council Entry'!AK$8),'Council Entry'!AK26))))-'Council Entry'!AK$5)/('Council Entry'!AK$6-'Council Entry'!AK$5)),1))),"No data"))</f>
        <v/>
      </c>
      <c r="AL26" s="13">
        <f>IF('Council Entry'!AL26="","",IFERROR(MAX(0,MIN(10,ROUND(IF('Council Entry'!AL$7="Decrease Risk",10-10*((IF('Council Entry'!AL$4="Logarithm",LN(0.001+IF(AND(ISNUMBER('Council Entry'!AL$8),ISNUMBER('Council Entry'!AL$9)),MAX(MIN('Council Entry'!AL26,'Council Entry'!AL$9),'Council Entry'!AL$8),'Council Entry'!AL26)),IF('Council Entry'!AL$4="Exponential",EXP(IF(AND(ISNUMBER('Council Entry'!AL$8),ISNUMBER('Council Entry'!AL$9)),MAX(MIN('Council Entry'!AL26,'Council Entry'!AL$9),'Council Entry'!AL$8),'Council Entry'!AL26)),IF(AND(ISNUMBER('Council Entry'!AL$8),ISNUMBER('Council Entry'!AL$9)),MAX(MIN('Council Entry'!AL26,'Council Entry'!AL$9),'Council Entry'!AL$8),'Council Entry'!AL26))))-'Council Entry'!AL$5)/('Council Entry'!AL$6-'Council Entry'!AL$5),10*((IF('Council Entry'!AL$4="Logarithm",LN(0.001+IF(AND(ISNUMBER('Council Entry'!AL$8),ISNUMBER('Council Entry'!AL$9)),MAX(MIN('Council Entry'!AL26,'Council Entry'!AL$9),'Council Entry'!AL$8),'Council Entry'!AL26)),IF('Council Entry'!AL$4="Exponential",EXP(IF(AND(ISNUMBER('Council Entry'!AL$8),ISNUMBER('Council Entry'!AL$9)),MAX(MIN('Council Entry'!AL26,'Council Entry'!AL$9),'Council Entry'!AL$8),'Council Entry'!AL26)),IF(AND(ISNUMBER('Council Entry'!AL$8),ISNUMBER('Council Entry'!AL$9)),MAX(MIN('Council Entry'!AL26,'Council Entry'!AL$9),'Council Entry'!AL$8),'Council Entry'!AL26))))-'Council Entry'!AL$5)/('Council Entry'!AL$6-'Council Entry'!AL$5)),1))),"No data"))</f>
        <v/>
      </c>
      <c r="AM26" s="13">
        <f>IF('Council Entry'!AM26="","",IFERROR(MAX(0,MIN(10,ROUND(IF('Council Entry'!AM$7="Decrease Risk",10-10*((IF('Council Entry'!AM$4="Logarithm",LN(0.001+IF(AND(ISNUMBER('Council Entry'!AM$8),ISNUMBER('Council Entry'!AM$9)),MAX(MIN('Council Entry'!AM26,'Council Entry'!AM$9),'Council Entry'!AM$8),'Council Entry'!AM26)),IF('Council Entry'!AM$4="Exponential",EXP(IF(AND(ISNUMBER('Council Entry'!AM$8),ISNUMBER('Council Entry'!AM$9)),MAX(MIN('Council Entry'!AM26,'Council Entry'!AM$9),'Council Entry'!AM$8),'Council Entry'!AM26)),IF(AND(ISNUMBER('Council Entry'!AM$8),ISNUMBER('Council Entry'!AM$9)),MAX(MIN('Council Entry'!AM26,'Council Entry'!AM$9),'Council Entry'!AM$8),'Council Entry'!AM26))))-'Council Entry'!AM$5)/('Council Entry'!AM$6-'Council Entry'!AM$5),10*((IF('Council Entry'!AM$4="Logarithm",LN(0.001+IF(AND(ISNUMBER('Council Entry'!AM$8),ISNUMBER('Council Entry'!AM$9)),MAX(MIN('Council Entry'!AM26,'Council Entry'!AM$9),'Council Entry'!AM$8),'Council Entry'!AM26)),IF('Council Entry'!AM$4="Exponential",EXP(IF(AND(ISNUMBER('Council Entry'!AM$8),ISNUMBER('Council Entry'!AM$9)),MAX(MIN('Council Entry'!AM26,'Council Entry'!AM$9),'Council Entry'!AM$8),'Council Entry'!AM26)),IF(AND(ISNUMBER('Council Entry'!AM$8),ISNUMBER('Council Entry'!AM$9)),MAX(MIN('Council Entry'!AM26,'Council Entry'!AM$9),'Council Entry'!AM$8),'Council Entry'!AM26))))-'Council Entry'!AM$5)/('Council Entry'!AM$6-'Council Entry'!AM$5)),1))),"No data"))</f>
        <v/>
      </c>
      <c r="AN26" s="13">
        <f>IF('Council Entry'!AN26="","",IFERROR(MAX(0,MIN(10,ROUND(IF('Council Entry'!AN$7="Decrease Risk",10-10*((IF('Council Entry'!AN$4="Logarithm",LN(0.001+IF(AND(ISNUMBER('Council Entry'!AN$8),ISNUMBER('Council Entry'!AN$9)),MAX(MIN('Council Entry'!AN26,'Council Entry'!AN$9),'Council Entry'!AN$8),'Council Entry'!AN26)),IF('Council Entry'!AN$4="Exponential",EXP(IF(AND(ISNUMBER('Council Entry'!AN$8),ISNUMBER('Council Entry'!AN$9)),MAX(MIN('Council Entry'!AN26,'Council Entry'!AN$9),'Council Entry'!AN$8),'Council Entry'!AN26)),IF(AND(ISNUMBER('Council Entry'!AN$8),ISNUMBER('Council Entry'!AN$9)),MAX(MIN('Council Entry'!AN26,'Council Entry'!AN$9),'Council Entry'!AN$8),'Council Entry'!AN26))))-'Council Entry'!AN$5)/('Council Entry'!AN$6-'Council Entry'!AN$5),10*((IF('Council Entry'!AN$4="Logarithm",LN(0.001+IF(AND(ISNUMBER('Council Entry'!AN$8),ISNUMBER('Council Entry'!AN$9)),MAX(MIN('Council Entry'!AN26,'Council Entry'!AN$9),'Council Entry'!AN$8),'Council Entry'!AN26)),IF('Council Entry'!AN$4="Exponential",EXP(IF(AND(ISNUMBER('Council Entry'!AN$8),ISNUMBER('Council Entry'!AN$9)),MAX(MIN('Council Entry'!AN26,'Council Entry'!AN$9),'Council Entry'!AN$8),'Council Entry'!AN26)),IF(AND(ISNUMBER('Council Entry'!AN$8),ISNUMBER('Council Entry'!AN$9)),MAX(MIN('Council Entry'!AN26,'Council Entry'!AN$9),'Council Entry'!AN$8),'Council Entry'!AN26))))-'Council Entry'!AN$5)/('Council Entry'!AN$6-'Council Entry'!AN$5)),1))),"No data"))</f>
        <v/>
      </c>
      <c r="AO26" s="13">
        <f>IF('Council Entry'!AO26="","",IFERROR(MAX(0,MIN(10,ROUND(IF('Council Entry'!AO$7="Decrease Risk",10-10*((IF('Council Entry'!AO$4="Logarithm",LN(0.001+IF(AND(ISNUMBER('Council Entry'!AO$8),ISNUMBER('Council Entry'!AO$9)),MAX(MIN('Council Entry'!AO26,'Council Entry'!AO$9),'Council Entry'!AO$8),'Council Entry'!AO26)),IF('Council Entry'!AO$4="Exponential",EXP(IF(AND(ISNUMBER('Council Entry'!AO$8),ISNUMBER('Council Entry'!AO$9)),MAX(MIN('Council Entry'!AO26,'Council Entry'!AO$9),'Council Entry'!AO$8),'Council Entry'!AO26)),IF(AND(ISNUMBER('Council Entry'!AO$8),ISNUMBER('Council Entry'!AO$9)),MAX(MIN('Council Entry'!AO26,'Council Entry'!AO$9),'Council Entry'!AO$8),'Council Entry'!AO26))))-'Council Entry'!AO$5)/('Council Entry'!AO$6-'Council Entry'!AO$5),10*((IF('Council Entry'!AO$4="Logarithm",LN(0.001+IF(AND(ISNUMBER('Council Entry'!AO$8),ISNUMBER('Council Entry'!AO$9)),MAX(MIN('Council Entry'!AO26,'Council Entry'!AO$9),'Council Entry'!AO$8),'Council Entry'!AO26)),IF('Council Entry'!AO$4="Exponential",EXP(IF(AND(ISNUMBER('Council Entry'!AO$8),ISNUMBER('Council Entry'!AO$9)),MAX(MIN('Council Entry'!AO26,'Council Entry'!AO$9),'Council Entry'!AO$8),'Council Entry'!AO26)),IF(AND(ISNUMBER('Council Entry'!AO$8),ISNUMBER('Council Entry'!AO$9)),MAX(MIN('Council Entry'!AO26,'Council Entry'!AO$9),'Council Entry'!AO$8),'Council Entry'!AO26))))-'Council Entry'!AO$5)/('Council Entry'!AO$6-'Council Entry'!AO$5)),1))),"No data"))</f>
        <v/>
      </c>
      <c r="AP26" s="13">
        <f>IF('Council Entry'!AP26="","",IFERROR(MAX(0,MIN(10,ROUND(IF('Council Entry'!AP$7="Decrease Risk",10-10*((IF('Council Entry'!AP$4="Logarithm",LN(0.001+IF(AND(ISNUMBER('Council Entry'!AP$8),ISNUMBER('Council Entry'!AP$9)),MAX(MIN('Council Entry'!AP26,'Council Entry'!AP$9),'Council Entry'!AP$8),'Council Entry'!AP26)),IF('Council Entry'!AP$4="Exponential",EXP(IF(AND(ISNUMBER('Council Entry'!AP$8),ISNUMBER('Council Entry'!AP$9)),MAX(MIN('Council Entry'!AP26,'Council Entry'!AP$9),'Council Entry'!AP$8),'Council Entry'!AP26)),IF(AND(ISNUMBER('Council Entry'!AP$8),ISNUMBER('Council Entry'!AP$9)),MAX(MIN('Council Entry'!AP26,'Council Entry'!AP$9),'Council Entry'!AP$8),'Council Entry'!AP26))))-'Council Entry'!AP$5)/('Council Entry'!AP$6-'Council Entry'!AP$5),10*((IF('Council Entry'!AP$4="Logarithm",LN(0.001+IF(AND(ISNUMBER('Council Entry'!AP$8),ISNUMBER('Council Entry'!AP$9)),MAX(MIN('Council Entry'!AP26,'Council Entry'!AP$9),'Council Entry'!AP$8),'Council Entry'!AP26)),IF('Council Entry'!AP$4="Exponential",EXP(IF(AND(ISNUMBER('Council Entry'!AP$8),ISNUMBER('Council Entry'!AP$9)),MAX(MIN('Council Entry'!AP26,'Council Entry'!AP$9),'Council Entry'!AP$8),'Council Entry'!AP26)),IF(AND(ISNUMBER('Council Entry'!AP$8),ISNUMBER('Council Entry'!AP$9)),MAX(MIN('Council Entry'!AP26,'Council Entry'!AP$9),'Council Entry'!AP$8),'Council Entry'!AP26))))-'Council Entry'!AP$5)/('Council Entry'!AP$6-'Council Entry'!AP$5)),1))),"No data"))</f>
        <v/>
      </c>
      <c r="AQ26" s="13">
        <f>IF('Council Entry'!AQ26="","",IFERROR(MAX(0,MIN(10,ROUND(IF('Council Entry'!AQ$7="Decrease Risk",10-10*((IF('Council Entry'!AQ$4="Logarithm",LN(0.001+IF(AND(ISNUMBER('Council Entry'!AQ$8),ISNUMBER('Council Entry'!AQ$9)),MAX(MIN('Council Entry'!AQ26,'Council Entry'!AQ$9),'Council Entry'!AQ$8),'Council Entry'!AQ26)),IF('Council Entry'!AQ$4="Exponential",EXP(IF(AND(ISNUMBER('Council Entry'!AQ$8),ISNUMBER('Council Entry'!AQ$9)),MAX(MIN('Council Entry'!AQ26,'Council Entry'!AQ$9),'Council Entry'!AQ$8),'Council Entry'!AQ26)),IF(AND(ISNUMBER('Council Entry'!AQ$8),ISNUMBER('Council Entry'!AQ$9)),MAX(MIN('Council Entry'!AQ26,'Council Entry'!AQ$9),'Council Entry'!AQ$8),'Council Entry'!AQ26))))-'Council Entry'!AQ$5)/('Council Entry'!AQ$6-'Council Entry'!AQ$5),10*((IF('Council Entry'!AQ$4="Logarithm",LN(0.001+IF(AND(ISNUMBER('Council Entry'!AQ$8),ISNUMBER('Council Entry'!AQ$9)),MAX(MIN('Council Entry'!AQ26,'Council Entry'!AQ$9),'Council Entry'!AQ$8),'Council Entry'!AQ26)),IF('Council Entry'!AQ$4="Exponential",EXP(IF(AND(ISNUMBER('Council Entry'!AQ$8),ISNUMBER('Council Entry'!AQ$9)),MAX(MIN('Council Entry'!AQ26,'Council Entry'!AQ$9),'Council Entry'!AQ$8),'Council Entry'!AQ26)),IF(AND(ISNUMBER('Council Entry'!AQ$8),ISNUMBER('Council Entry'!AQ$9)),MAX(MIN('Council Entry'!AQ26,'Council Entry'!AQ$9),'Council Entry'!AQ$8),'Council Entry'!AQ26))))-'Council Entry'!AQ$5)/('Council Entry'!AQ$6-'Council Entry'!AQ$5)),1))),"No data"))</f>
        <v/>
      </c>
      <c r="AR26" s="13">
        <f>IF('Council Entry'!AR26="","",IFERROR(MAX(0,MIN(10,ROUND(IF('Council Entry'!AR$7="Decrease Risk",10-10*((IF('Council Entry'!AR$4="Logarithm",LN(0.001+IF(AND(ISNUMBER('Council Entry'!AR$8),ISNUMBER('Council Entry'!AR$9)),MAX(MIN('Council Entry'!AR26,'Council Entry'!AR$9),'Council Entry'!AR$8),'Council Entry'!AR26)),IF('Council Entry'!AR$4="Exponential",EXP(IF(AND(ISNUMBER('Council Entry'!AR$8),ISNUMBER('Council Entry'!AR$9)),MAX(MIN('Council Entry'!AR26,'Council Entry'!AR$9),'Council Entry'!AR$8),'Council Entry'!AR26)),IF(AND(ISNUMBER('Council Entry'!AR$8),ISNUMBER('Council Entry'!AR$9)),MAX(MIN('Council Entry'!AR26,'Council Entry'!AR$9),'Council Entry'!AR$8),'Council Entry'!AR26))))-'Council Entry'!AR$5)/('Council Entry'!AR$6-'Council Entry'!AR$5),10*((IF('Council Entry'!AR$4="Logarithm",LN(0.001+IF(AND(ISNUMBER('Council Entry'!AR$8),ISNUMBER('Council Entry'!AR$9)),MAX(MIN('Council Entry'!AR26,'Council Entry'!AR$9),'Council Entry'!AR$8),'Council Entry'!AR26)),IF('Council Entry'!AR$4="Exponential",EXP(IF(AND(ISNUMBER('Council Entry'!AR$8),ISNUMBER('Council Entry'!AR$9)),MAX(MIN('Council Entry'!AR26,'Council Entry'!AR$9),'Council Entry'!AR$8),'Council Entry'!AR26)),IF(AND(ISNUMBER('Council Entry'!AR$8),ISNUMBER('Council Entry'!AR$9)),MAX(MIN('Council Entry'!AR26,'Council Entry'!AR$9),'Council Entry'!AR$8),'Council Entry'!AR26))))-'Council Entry'!AR$5)/('Council Entry'!AR$6-'Council Entry'!AR$5)),1))),"No data"))</f>
        <v/>
      </c>
      <c r="AS26" s="13">
        <f>IF('Council Entry'!AS26="","",IFERROR(MAX(0,MIN(10,ROUND(IF('Council Entry'!AS$7="Decrease Risk",10-10*((IF('Council Entry'!AS$4="Logarithm",LN(0.001+IF(AND(ISNUMBER('Council Entry'!AS$8),ISNUMBER('Council Entry'!AS$9)),MAX(MIN('Council Entry'!AS26,'Council Entry'!AS$9),'Council Entry'!AS$8),'Council Entry'!AS26)),IF('Council Entry'!AS$4="Exponential",EXP(IF(AND(ISNUMBER('Council Entry'!AS$8),ISNUMBER('Council Entry'!AS$9)),MAX(MIN('Council Entry'!AS26,'Council Entry'!AS$9),'Council Entry'!AS$8),'Council Entry'!AS26)),IF(AND(ISNUMBER('Council Entry'!AS$8),ISNUMBER('Council Entry'!AS$9)),MAX(MIN('Council Entry'!AS26,'Council Entry'!AS$9),'Council Entry'!AS$8),'Council Entry'!AS26))))-'Council Entry'!AS$5)/('Council Entry'!AS$6-'Council Entry'!AS$5),10*((IF('Council Entry'!AS$4="Logarithm",LN(0.001+IF(AND(ISNUMBER('Council Entry'!AS$8),ISNUMBER('Council Entry'!AS$9)),MAX(MIN('Council Entry'!AS26,'Council Entry'!AS$9),'Council Entry'!AS$8),'Council Entry'!AS26)),IF('Council Entry'!AS$4="Exponential",EXP(IF(AND(ISNUMBER('Council Entry'!AS$8),ISNUMBER('Council Entry'!AS$9)),MAX(MIN('Council Entry'!AS26,'Council Entry'!AS$9),'Council Entry'!AS$8),'Council Entry'!AS26)),IF(AND(ISNUMBER('Council Entry'!AS$8),ISNUMBER('Council Entry'!AS$9)),MAX(MIN('Council Entry'!AS26,'Council Entry'!AS$9),'Council Entry'!AS$8),'Council Entry'!AS26))))-'Council Entry'!AS$5)/('Council Entry'!AS$6-'Council Entry'!AS$5)),1))),"No data"))</f>
        <v/>
      </c>
      <c r="AT26" s="13">
        <f>IF('Council Entry'!AT26="","",IFERROR(MAX(0,MIN(10,ROUND(IF('Council Entry'!AT$7="Decrease Risk",10-10*((IF('Council Entry'!AT$4="Logarithm",LN(0.001+IF(AND(ISNUMBER('Council Entry'!AT$8),ISNUMBER('Council Entry'!AT$9)),MAX(MIN('Council Entry'!AT26,'Council Entry'!AT$9),'Council Entry'!AT$8),'Council Entry'!AT26)),IF('Council Entry'!AT$4="Exponential",EXP(IF(AND(ISNUMBER('Council Entry'!AT$8),ISNUMBER('Council Entry'!AT$9)),MAX(MIN('Council Entry'!AT26,'Council Entry'!AT$9),'Council Entry'!AT$8),'Council Entry'!AT26)),IF(AND(ISNUMBER('Council Entry'!AT$8),ISNUMBER('Council Entry'!AT$9)),MAX(MIN('Council Entry'!AT26,'Council Entry'!AT$9),'Council Entry'!AT$8),'Council Entry'!AT26))))-'Council Entry'!AT$5)/('Council Entry'!AT$6-'Council Entry'!AT$5),10*((IF('Council Entry'!AT$4="Logarithm",LN(0.001+IF(AND(ISNUMBER('Council Entry'!AT$8),ISNUMBER('Council Entry'!AT$9)),MAX(MIN('Council Entry'!AT26,'Council Entry'!AT$9),'Council Entry'!AT$8),'Council Entry'!AT26)),IF('Council Entry'!AT$4="Exponential",EXP(IF(AND(ISNUMBER('Council Entry'!AT$8),ISNUMBER('Council Entry'!AT$9)),MAX(MIN('Council Entry'!AT26,'Council Entry'!AT$9),'Council Entry'!AT$8),'Council Entry'!AT26)),IF(AND(ISNUMBER('Council Entry'!AT$8),ISNUMBER('Council Entry'!AT$9)),MAX(MIN('Council Entry'!AT26,'Council Entry'!AT$9),'Council Entry'!AT$8),'Council Entry'!AT26))))-'Council Entry'!AT$5)/('Council Entry'!AT$6-'Council Entry'!AT$5)),1))),"No data"))</f>
        <v/>
      </c>
      <c r="AU26" s="13">
        <f>IF('Council Entry'!AU26="","",IFERROR(MAX(0,MIN(10,ROUND(IF('Council Entry'!AU$7="Decrease Risk",10-10*((IF('Council Entry'!AU$4="Logarithm",LN(0.001+IF(AND(ISNUMBER('Council Entry'!AU$8),ISNUMBER('Council Entry'!AU$9)),MAX(MIN('Council Entry'!AU26,'Council Entry'!AU$9),'Council Entry'!AU$8),'Council Entry'!AU26)),IF('Council Entry'!AU$4="Exponential",EXP(IF(AND(ISNUMBER('Council Entry'!AU$8),ISNUMBER('Council Entry'!AU$9)),MAX(MIN('Council Entry'!AU26,'Council Entry'!AU$9),'Council Entry'!AU$8),'Council Entry'!AU26)),IF(AND(ISNUMBER('Council Entry'!AU$8),ISNUMBER('Council Entry'!AU$9)),MAX(MIN('Council Entry'!AU26,'Council Entry'!AU$9),'Council Entry'!AU$8),'Council Entry'!AU26))))-'Council Entry'!AU$5)/('Council Entry'!AU$6-'Council Entry'!AU$5),10*((IF('Council Entry'!AU$4="Logarithm",LN(0.001+IF(AND(ISNUMBER('Council Entry'!AU$8),ISNUMBER('Council Entry'!AU$9)),MAX(MIN('Council Entry'!AU26,'Council Entry'!AU$9),'Council Entry'!AU$8),'Council Entry'!AU26)),IF('Council Entry'!AU$4="Exponential",EXP(IF(AND(ISNUMBER('Council Entry'!AU$8),ISNUMBER('Council Entry'!AU$9)),MAX(MIN('Council Entry'!AU26,'Council Entry'!AU$9),'Council Entry'!AU$8),'Council Entry'!AU26)),IF(AND(ISNUMBER('Council Entry'!AU$8),ISNUMBER('Council Entry'!AU$9)),MAX(MIN('Council Entry'!AU26,'Council Entry'!AU$9),'Council Entry'!AU$8),'Council Entry'!AU26))))-'Council Entry'!AU$5)/('Council Entry'!AU$6-'Council Entry'!AU$5)),1))),"No data"))</f>
        <v/>
      </c>
      <c r="AV26" s="13">
        <f>IF('Council Entry'!AV26="","",IFERROR(MAX(0,MIN(10,ROUND(IF('Council Entry'!AV$7="Decrease Risk",10-10*((IF('Council Entry'!AV$4="Logarithm",LN(0.001+IF(AND(ISNUMBER('Council Entry'!AV$8),ISNUMBER('Council Entry'!AV$9)),MAX(MIN('Council Entry'!AV26,'Council Entry'!AV$9),'Council Entry'!AV$8),'Council Entry'!AV26)),IF('Council Entry'!AV$4="Exponential",EXP(IF(AND(ISNUMBER('Council Entry'!AV$8),ISNUMBER('Council Entry'!AV$9)),MAX(MIN('Council Entry'!AV26,'Council Entry'!AV$9),'Council Entry'!AV$8),'Council Entry'!AV26)),IF(AND(ISNUMBER('Council Entry'!AV$8),ISNUMBER('Council Entry'!AV$9)),MAX(MIN('Council Entry'!AV26,'Council Entry'!AV$9),'Council Entry'!AV$8),'Council Entry'!AV26))))-'Council Entry'!AV$5)/('Council Entry'!AV$6-'Council Entry'!AV$5),10*((IF('Council Entry'!AV$4="Logarithm",LN(0.001+IF(AND(ISNUMBER('Council Entry'!AV$8),ISNUMBER('Council Entry'!AV$9)),MAX(MIN('Council Entry'!AV26,'Council Entry'!AV$9),'Council Entry'!AV$8),'Council Entry'!AV26)),IF('Council Entry'!AV$4="Exponential",EXP(IF(AND(ISNUMBER('Council Entry'!AV$8),ISNUMBER('Council Entry'!AV$9)),MAX(MIN('Council Entry'!AV26,'Council Entry'!AV$9),'Council Entry'!AV$8),'Council Entry'!AV26)),IF(AND(ISNUMBER('Council Entry'!AV$8),ISNUMBER('Council Entry'!AV$9)),MAX(MIN('Council Entry'!AV26,'Council Entry'!AV$9),'Council Entry'!AV$8),'Council Entry'!AV26))))-'Council Entry'!AV$5)/('Council Entry'!AV$6-'Council Entry'!AV$5)),1))),"No data"))</f>
        <v/>
      </c>
      <c r="AW26" s="13">
        <f>IF('Council Entry'!AW26="","",IFERROR(MAX(0,MIN(10,ROUND(IF('Council Entry'!AW$7="Decrease Risk",10-10*((IF('Council Entry'!AW$4="Logarithm",LN(0.001+IF(AND(ISNUMBER('Council Entry'!AW$8),ISNUMBER('Council Entry'!AW$9)),MAX(MIN('Council Entry'!AW26,'Council Entry'!AW$9),'Council Entry'!AW$8),'Council Entry'!AW26)),IF('Council Entry'!AW$4="Exponential",EXP(IF(AND(ISNUMBER('Council Entry'!AW$8),ISNUMBER('Council Entry'!AW$9)),MAX(MIN('Council Entry'!AW26,'Council Entry'!AW$9),'Council Entry'!AW$8),'Council Entry'!AW26)),IF(AND(ISNUMBER('Council Entry'!AW$8),ISNUMBER('Council Entry'!AW$9)),MAX(MIN('Council Entry'!AW26,'Council Entry'!AW$9),'Council Entry'!AW$8),'Council Entry'!AW26))))-'Council Entry'!AW$5)/('Council Entry'!AW$6-'Council Entry'!AW$5),10*((IF('Council Entry'!AW$4="Logarithm",LN(0.001+IF(AND(ISNUMBER('Council Entry'!AW$8),ISNUMBER('Council Entry'!AW$9)),MAX(MIN('Council Entry'!AW26,'Council Entry'!AW$9),'Council Entry'!AW$8),'Council Entry'!AW26)),IF('Council Entry'!AW$4="Exponential",EXP(IF(AND(ISNUMBER('Council Entry'!AW$8),ISNUMBER('Council Entry'!AW$9)),MAX(MIN('Council Entry'!AW26,'Council Entry'!AW$9),'Council Entry'!AW$8),'Council Entry'!AW26)),IF(AND(ISNUMBER('Council Entry'!AW$8),ISNUMBER('Council Entry'!AW$9)),MAX(MIN('Council Entry'!AW26,'Council Entry'!AW$9),'Council Entry'!AW$8),'Council Entry'!AW26))))-'Council Entry'!AW$5)/('Council Entry'!AW$6-'Council Entry'!AW$5)),1))),"No data"))</f>
        <v/>
      </c>
      <c r="AX26" s="13">
        <f>IF('Council Entry'!AX26="","",IFERROR(MAX(0,MIN(10,ROUND(IF('Council Entry'!AX$7="Decrease Risk",10-10*((IF('Council Entry'!AX$4="Logarithm",LN(0.001+IF(AND(ISNUMBER('Council Entry'!AX$8),ISNUMBER('Council Entry'!AX$9)),MAX(MIN('Council Entry'!AX26,'Council Entry'!AX$9),'Council Entry'!AX$8),'Council Entry'!AX26)),IF('Council Entry'!AX$4="Exponential",EXP(IF(AND(ISNUMBER('Council Entry'!AX$8),ISNUMBER('Council Entry'!AX$9)),MAX(MIN('Council Entry'!AX26,'Council Entry'!AX$9),'Council Entry'!AX$8),'Council Entry'!AX26)),IF(AND(ISNUMBER('Council Entry'!AX$8),ISNUMBER('Council Entry'!AX$9)),MAX(MIN('Council Entry'!AX26,'Council Entry'!AX$9),'Council Entry'!AX$8),'Council Entry'!AX26))))-'Council Entry'!AX$5)/('Council Entry'!AX$6-'Council Entry'!AX$5),10*((IF('Council Entry'!AX$4="Logarithm",LN(0.001+IF(AND(ISNUMBER('Council Entry'!AX$8),ISNUMBER('Council Entry'!AX$9)),MAX(MIN('Council Entry'!AX26,'Council Entry'!AX$9),'Council Entry'!AX$8),'Council Entry'!AX26)),IF('Council Entry'!AX$4="Exponential",EXP(IF(AND(ISNUMBER('Council Entry'!AX$8),ISNUMBER('Council Entry'!AX$9)),MAX(MIN('Council Entry'!AX26,'Council Entry'!AX$9),'Council Entry'!AX$8),'Council Entry'!AX26)),IF(AND(ISNUMBER('Council Entry'!AX$8),ISNUMBER('Council Entry'!AX$9)),MAX(MIN('Council Entry'!AX26,'Council Entry'!AX$9),'Council Entry'!AX$8),'Council Entry'!AX26))))-'Council Entry'!AX$5)/('Council Entry'!AX$6-'Council Entry'!AX$5)),1))),"No data"))</f>
        <v/>
      </c>
      <c r="AY26" s="13">
        <f>IF('Council Entry'!AY26="","",IFERROR(MAX(0,MIN(10,ROUND(IF('Council Entry'!AY$7="Decrease Risk",10-10*((IF('Council Entry'!AY$4="Logarithm",LN(0.001+IF(AND(ISNUMBER('Council Entry'!AY$8),ISNUMBER('Council Entry'!AY$9)),MAX(MIN('Council Entry'!AY26,'Council Entry'!AY$9),'Council Entry'!AY$8),'Council Entry'!AY26)),IF('Council Entry'!AY$4="Exponential",EXP(IF(AND(ISNUMBER('Council Entry'!AY$8),ISNUMBER('Council Entry'!AY$9)),MAX(MIN('Council Entry'!AY26,'Council Entry'!AY$9),'Council Entry'!AY$8),'Council Entry'!AY26)),IF(AND(ISNUMBER('Council Entry'!AY$8),ISNUMBER('Council Entry'!AY$9)),MAX(MIN('Council Entry'!AY26,'Council Entry'!AY$9),'Council Entry'!AY$8),'Council Entry'!AY26))))-'Council Entry'!AY$5)/('Council Entry'!AY$6-'Council Entry'!AY$5),10*((IF('Council Entry'!AY$4="Logarithm",LN(0.001+IF(AND(ISNUMBER('Council Entry'!AY$8),ISNUMBER('Council Entry'!AY$9)),MAX(MIN('Council Entry'!AY26,'Council Entry'!AY$9),'Council Entry'!AY$8),'Council Entry'!AY26)),IF('Council Entry'!AY$4="Exponential",EXP(IF(AND(ISNUMBER('Council Entry'!AY$8),ISNUMBER('Council Entry'!AY$9)),MAX(MIN('Council Entry'!AY26,'Council Entry'!AY$9),'Council Entry'!AY$8),'Council Entry'!AY26)),IF(AND(ISNUMBER('Council Entry'!AY$8),ISNUMBER('Council Entry'!AY$9)),MAX(MIN('Council Entry'!AY26,'Council Entry'!AY$9),'Council Entry'!AY$8),'Council Entry'!AY26))))-'Council Entry'!AY$5)/('Council Entry'!AY$6-'Council Entry'!AY$5)),1))),"No data"))</f>
        <v/>
      </c>
      <c r="AZ26" s="13">
        <f>IF('Council Entry'!AZ26="","",IFERROR(MAX(0,MIN(10,ROUND(IF('Council Entry'!AZ$7="Decrease Risk",10-10*((IF('Council Entry'!AZ$4="Logarithm",LN(0.001+IF(AND(ISNUMBER('Council Entry'!AZ$8),ISNUMBER('Council Entry'!AZ$9)),MAX(MIN('Council Entry'!AZ26,'Council Entry'!AZ$9),'Council Entry'!AZ$8),'Council Entry'!AZ26)),IF('Council Entry'!AZ$4="Exponential",EXP(IF(AND(ISNUMBER('Council Entry'!AZ$8),ISNUMBER('Council Entry'!AZ$9)),MAX(MIN('Council Entry'!AZ26,'Council Entry'!AZ$9),'Council Entry'!AZ$8),'Council Entry'!AZ26)),IF(AND(ISNUMBER('Council Entry'!AZ$8),ISNUMBER('Council Entry'!AZ$9)),MAX(MIN('Council Entry'!AZ26,'Council Entry'!AZ$9),'Council Entry'!AZ$8),'Council Entry'!AZ26))))-'Council Entry'!AZ$5)/('Council Entry'!AZ$6-'Council Entry'!AZ$5),10*((IF('Council Entry'!AZ$4="Logarithm",LN(0.001+IF(AND(ISNUMBER('Council Entry'!AZ$8),ISNUMBER('Council Entry'!AZ$9)),MAX(MIN('Council Entry'!AZ26,'Council Entry'!AZ$9),'Council Entry'!AZ$8),'Council Entry'!AZ26)),IF('Council Entry'!AZ$4="Exponential",EXP(IF(AND(ISNUMBER('Council Entry'!AZ$8),ISNUMBER('Council Entry'!AZ$9)),MAX(MIN('Council Entry'!AZ26,'Council Entry'!AZ$9),'Council Entry'!AZ$8),'Council Entry'!AZ26)),IF(AND(ISNUMBER('Council Entry'!AZ$8),ISNUMBER('Council Entry'!AZ$9)),MAX(MIN('Council Entry'!AZ26,'Council Entry'!AZ$9),'Council Entry'!AZ$8),'Council Entry'!AZ26))))-'Council Entry'!AZ$5)/('Council Entry'!AZ$6-'Council Entry'!AZ$5)),1))),"No data"))</f>
        <v/>
      </c>
      <c r="BA26" s="13">
        <f>IF('Council Entry'!BA26="","",IFERROR(MAX(0,MIN(10,ROUND(IF('Council Entry'!BA$7="Decrease Risk",10-10*((IF('Council Entry'!BA$4="Logarithm",LN(0.001+IF(AND(ISNUMBER('Council Entry'!BA$8),ISNUMBER('Council Entry'!BA$9)),MAX(MIN('Council Entry'!BA26,'Council Entry'!BA$9),'Council Entry'!BA$8),'Council Entry'!BA26)),IF('Council Entry'!BA$4="Exponential",EXP(IF(AND(ISNUMBER('Council Entry'!BA$8),ISNUMBER('Council Entry'!BA$9)),MAX(MIN('Council Entry'!BA26,'Council Entry'!BA$9),'Council Entry'!BA$8),'Council Entry'!BA26)),IF(AND(ISNUMBER('Council Entry'!BA$8),ISNUMBER('Council Entry'!BA$9)),MAX(MIN('Council Entry'!BA26,'Council Entry'!BA$9),'Council Entry'!BA$8),'Council Entry'!BA26))))-'Council Entry'!BA$5)/('Council Entry'!BA$6-'Council Entry'!BA$5),10*((IF('Council Entry'!BA$4="Logarithm",LN(0.001+IF(AND(ISNUMBER('Council Entry'!BA$8),ISNUMBER('Council Entry'!BA$9)),MAX(MIN('Council Entry'!BA26,'Council Entry'!BA$9),'Council Entry'!BA$8),'Council Entry'!BA26)),IF('Council Entry'!BA$4="Exponential",EXP(IF(AND(ISNUMBER('Council Entry'!BA$8),ISNUMBER('Council Entry'!BA$9)),MAX(MIN('Council Entry'!BA26,'Council Entry'!BA$9),'Council Entry'!BA$8),'Council Entry'!BA26)),IF(AND(ISNUMBER('Council Entry'!BA$8),ISNUMBER('Council Entry'!BA$9)),MAX(MIN('Council Entry'!BA26,'Council Entry'!BA$9),'Council Entry'!BA$8),'Council Entry'!BA26))))-'Council Entry'!BA$5)/('Council Entry'!BA$6-'Council Entry'!BA$5)),1))),"No data"))</f>
        <v/>
      </c>
      <c r="BB26" s="13">
        <f>IF('Council Entry'!BB26="","",IFERROR(MAX(0,MIN(10,ROUND(IF('Council Entry'!BB$7="Decrease Risk",10-10*((IF('Council Entry'!BB$4="Logarithm",LN(0.001+IF(AND(ISNUMBER('Council Entry'!BB$8),ISNUMBER('Council Entry'!BB$9)),MAX(MIN('Council Entry'!BB26,'Council Entry'!BB$9),'Council Entry'!BB$8),'Council Entry'!BB26)),IF('Council Entry'!BB$4="Exponential",EXP(IF(AND(ISNUMBER('Council Entry'!BB$8),ISNUMBER('Council Entry'!BB$9)),MAX(MIN('Council Entry'!BB26,'Council Entry'!BB$9),'Council Entry'!BB$8),'Council Entry'!BB26)),IF(AND(ISNUMBER('Council Entry'!BB$8),ISNUMBER('Council Entry'!BB$9)),MAX(MIN('Council Entry'!BB26,'Council Entry'!BB$9),'Council Entry'!BB$8),'Council Entry'!BB26))))-'Council Entry'!BB$5)/('Council Entry'!BB$6-'Council Entry'!BB$5),10*((IF('Council Entry'!BB$4="Logarithm",LN(0.001+IF(AND(ISNUMBER('Council Entry'!BB$8),ISNUMBER('Council Entry'!BB$9)),MAX(MIN('Council Entry'!BB26,'Council Entry'!BB$9),'Council Entry'!BB$8),'Council Entry'!BB26)),IF('Council Entry'!BB$4="Exponential",EXP(IF(AND(ISNUMBER('Council Entry'!BB$8),ISNUMBER('Council Entry'!BB$9)),MAX(MIN('Council Entry'!BB26,'Council Entry'!BB$9),'Council Entry'!BB$8),'Council Entry'!BB26)),IF(AND(ISNUMBER('Council Entry'!BB$8),ISNUMBER('Council Entry'!BB$9)),MAX(MIN('Council Entry'!BB26,'Council Entry'!BB$9),'Council Entry'!BB$8),'Council Entry'!BB26))))-'Council Entry'!BB$5)/('Council Entry'!BB$6-'Council Entry'!BB$5)),1))),"No data"))</f>
        <v/>
      </c>
      <c r="BC26" s="13">
        <f>IF('Council Entry'!BC26="","",IFERROR(MAX(0,MIN(10,ROUND(IF('Council Entry'!BC$7="Decrease Risk",10-10*((IF('Council Entry'!BC$4="Logarithm",LN(0.001+IF(AND(ISNUMBER('Council Entry'!BC$8),ISNUMBER('Council Entry'!BC$9)),MAX(MIN('Council Entry'!BC26,'Council Entry'!BC$9),'Council Entry'!BC$8),'Council Entry'!BC26)),IF('Council Entry'!BC$4="Exponential",EXP(IF(AND(ISNUMBER('Council Entry'!BC$8),ISNUMBER('Council Entry'!BC$9)),MAX(MIN('Council Entry'!BC26,'Council Entry'!BC$9),'Council Entry'!BC$8),'Council Entry'!BC26)),IF(AND(ISNUMBER('Council Entry'!BC$8),ISNUMBER('Council Entry'!BC$9)),MAX(MIN('Council Entry'!BC26,'Council Entry'!BC$9),'Council Entry'!BC$8),'Council Entry'!BC26))))-'Council Entry'!BC$5)/('Council Entry'!BC$6-'Council Entry'!BC$5),10*((IF('Council Entry'!BC$4="Logarithm",LN(0.001+IF(AND(ISNUMBER('Council Entry'!BC$8),ISNUMBER('Council Entry'!BC$9)),MAX(MIN('Council Entry'!BC26,'Council Entry'!BC$9),'Council Entry'!BC$8),'Council Entry'!BC26)),IF('Council Entry'!BC$4="Exponential",EXP(IF(AND(ISNUMBER('Council Entry'!BC$8),ISNUMBER('Council Entry'!BC$9)),MAX(MIN('Council Entry'!BC26,'Council Entry'!BC$9),'Council Entry'!BC$8),'Council Entry'!BC26)),IF(AND(ISNUMBER('Council Entry'!BC$8),ISNUMBER('Council Entry'!BC$9)),MAX(MIN('Council Entry'!BC26,'Council Entry'!BC$9),'Council Entry'!BC$8),'Council Entry'!BC26))))-'Council Entry'!BC$5)/('Council Entry'!BC$6-'Council Entry'!BC$5)),1))),"No data"))</f>
        <v/>
      </c>
      <c r="BD26" s="13">
        <f>IF('Council Entry'!BD26="","",IFERROR(MAX(0,MIN(10,ROUND(IF('Council Entry'!BD$7="Decrease Risk",10-10*((IF('Council Entry'!BD$4="Logarithm",LN(0.001+IF(AND(ISNUMBER('Council Entry'!BD$8),ISNUMBER('Council Entry'!BD$9)),MAX(MIN('Council Entry'!BD26,'Council Entry'!BD$9),'Council Entry'!BD$8),'Council Entry'!BD26)),IF('Council Entry'!BD$4="Exponential",EXP(IF(AND(ISNUMBER('Council Entry'!BD$8),ISNUMBER('Council Entry'!BD$9)),MAX(MIN('Council Entry'!BD26,'Council Entry'!BD$9),'Council Entry'!BD$8),'Council Entry'!BD26)),IF(AND(ISNUMBER('Council Entry'!BD$8),ISNUMBER('Council Entry'!BD$9)),MAX(MIN('Council Entry'!BD26,'Council Entry'!BD$9),'Council Entry'!BD$8),'Council Entry'!BD26))))-'Council Entry'!BD$5)/('Council Entry'!BD$6-'Council Entry'!BD$5),10*((IF('Council Entry'!BD$4="Logarithm",LN(0.001+IF(AND(ISNUMBER('Council Entry'!BD$8),ISNUMBER('Council Entry'!BD$9)),MAX(MIN('Council Entry'!BD26,'Council Entry'!BD$9),'Council Entry'!BD$8),'Council Entry'!BD26)),IF('Council Entry'!BD$4="Exponential",EXP(IF(AND(ISNUMBER('Council Entry'!BD$8),ISNUMBER('Council Entry'!BD$9)),MAX(MIN('Council Entry'!BD26,'Council Entry'!BD$9),'Council Entry'!BD$8),'Council Entry'!BD26)),IF(AND(ISNUMBER('Council Entry'!BD$8),ISNUMBER('Council Entry'!BD$9)),MAX(MIN('Council Entry'!BD26,'Council Entry'!BD$9),'Council Entry'!BD$8),'Council Entry'!BD26))))-'Council Entry'!BD$5)/('Council Entry'!BD$6-'Council Entry'!BD$5)),1))),"No data"))</f>
        <v/>
      </c>
    </row>
    <row r="27">
      <c r="A27" t="inlineStr">
        <is>
          <t>Dodoma</t>
        </is>
      </c>
      <c r="B27" t="inlineStr">
        <is>
          <t>Kondoa District</t>
        </is>
      </c>
      <c r="C27" t="inlineStr">
        <is>
          <t>C001</t>
        </is>
      </c>
      <c r="D27" s="13">
        <f>IF('Council Entry'!D27="","",IFERROR(MAX(0,MIN(10,ROUND(IF('Council Entry'!D$7="Decrease Risk",10-10*((IF('Council Entry'!D$4="Logarithm",LN(0.001+IF(AND(ISNUMBER('Council Entry'!D$8),ISNUMBER('Council Entry'!D$9)),MAX(MIN('Council Entry'!D27,'Council Entry'!D$9),'Council Entry'!D$8),'Council Entry'!D27)),IF('Council Entry'!D$4="Exponential",EXP(IF(AND(ISNUMBER('Council Entry'!D$8),ISNUMBER('Council Entry'!D$9)),MAX(MIN('Council Entry'!D27,'Council Entry'!D$9),'Council Entry'!D$8),'Council Entry'!D27)),IF(AND(ISNUMBER('Council Entry'!D$8),ISNUMBER('Council Entry'!D$9)),MAX(MIN('Council Entry'!D27,'Council Entry'!D$9),'Council Entry'!D$8),'Council Entry'!D27))))-'Council Entry'!D$5)/('Council Entry'!D$6-'Council Entry'!D$5),10*((IF('Council Entry'!D$4="Logarithm",LN(0.001+IF(AND(ISNUMBER('Council Entry'!D$8),ISNUMBER('Council Entry'!D$9)),MAX(MIN('Council Entry'!D27,'Council Entry'!D$9),'Council Entry'!D$8),'Council Entry'!D27)),IF('Council Entry'!D$4="Exponential",EXP(IF(AND(ISNUMBER('Council Entry'!D$8),ISNUMBER('Council Entry'!D$9)),MAX(MIN('Council Entry'!D27,'Council Entry'!D$9),'Council Entry'!D$8),'Council Entry'!D27)),IF(AND(ISNUMBER('Council Entry'!D$8),ISNUMBER('Council Entry'!D$9)),MAX(MIN('Council Entry'!D27,'Council Entry'!D$9),'Council Entry'!D$8),'Council Entry'!D27))))-'Council Entry'!D$5)/('Council Entry'!D$6-'Council Entry'!D$5)),1))),"No data"))</f>
        <v/>
      </c>
      <c r="E27" s="13">
        <f>IF('Council Entry'!E27="","",IFERROR(MAX(0,MIN(10,ROUND(IF('Council Entry'!E$7="Decrease Risk",10-10*((IF('Council Entry'!E$4="Logarithm",LN(0.001+IF(AND(ISNUMBER('Council Entry'!E$8),ISNUMBER('Council Entry'!E$9)),MAX(MIN('Council Entry'!E27,'Council Entry'!E$9),'Council Entry'!E$8),'Council Entry'!E27)),IF('Council Entry'!E$4="Exponential",EXP(IF(AND(ISNUMBER('Council Entry'!E$8),ISNUMBER('Council Entry'!E$9)),MAX(MIN('Council Entry'!E27,'Council Entry'!E$9),'Council Entry'!E$8),'Council Entry'!E27)),IF(AND(ISNUMBER('Council Entry'!E$8),ISNUMBER('Council Entry'!E$9)),MAX(MIN('Council Entry'!E27,'Council Entry'!E$9),'Council Entry'!E$8),'Council Entry'!E27))))-'Council Entry'!E$5)/('Council Entry'!E$6-'Council Entry'!E$5),10*((IF('Council Entry'!E$4="Logarithm",LN(0.001+IF(AND(ISNUMBER('Council Entry'!E$8),ISNUMBER('Council Entry'!E$9)),MAX(MIN('Council Entry'!E27,'Council Entry'!E$9),'Council Entry'!E$8),'Council Entry'!E27)),IF('Council Entry'!E$4="Exponential",EXP(IF(AND(ISNUMBER('Council Entry'!E$8),ISNUMBER('Council Entry'!E$9)),MAX(MIN('Council Entry'!E27,'Council Entry'!E$9),'Council Entry'!E$8),'Council Entry'!E27)),IF(AND(ISNUMBER('Council Entry'!E$8),ISNUMBER('Council Entry'!E$9)),MAX(MIN('Council Entry'!E27,'Council Entry'!E$9),'Council Entry'!E$8),'Council Entry'!E27))))-'Council Entry'!E$5)/('Council Entry'!E$6-'Council Entry'!E$5)),1))),"No data"))</f>
        <v/>
      </c>
      <c r="F27" s="13">
        <f>IF('Council Entry'!F27="","",IFERROR(MAX(0,MIN(10,ROUND(IF('Council Entry'!F$7="Decrease Risk",10-10*((IF('Council Entry'!F$4="Logarithm",LN(0.001+IF(AND(ISNUMBER('Council Entry'!F$8),ISNUMBER('Council Entry'!F$9)),MAX(MIN('Council Entry'!F27,'Council Entry'!F$9),'Council Entry'!F$8),'Council Entry'!F27)),IF('Council Entry'!F$4="Exponential",EXP(IF(AND(ISNUMBER('Council Entry'!F$8),ISNUMBER('Council Entry'!F$9)),MAX(MIN('Council Entry'!F27,'Council Entry'!F$9),'Council Entry'!F$8),'Council Entry'!F27)),IF(AND(ISNUMBER('Council Entry'!F$8),ISNUMBER('Council Entry'!F$9)),MAX(MIN('Council Entry'!F27,'Council Entry'!F$9),'Council Entry'!F$8),'Council Entry'!F27))))-'Council Entry'!F$5)/('Council Entry'!F$6-'Council Entry'!F$5),10*((IF('Council Entry'!F$4="Logarithm",LN(0.001+IF(AND(ISNUMBER('Council Entry'!F$8),ISNUMBER('Council Entry'!F$9)),MAX(MIN('Council Entry'!F27,'Council Entry'!F$9),'Council Entry'!F$8),'Council Entry'!F27)),IF('Council Entry'!F$4="Exponential",EXP(IF(AND(ISNUMBER('Council Entry'!F$8),ISNUMBER('Council Entry'!F$9)),MAX(MIN('Council Entry'!F27,'Council Entry'!F$9),'Council Entry'!F$8),'Council Entry'!F27)),IF(AND(ISNUMBER('Council Entry'!F$8),ISNUMBER('Council Entry'!F$9)),MAX(MIN('Council Entry'!F27,'Council Entry'!F$9),'Council Entry'!F$8),'Council Entry'!F27))))-'Council Entry'!F$5)/('Council Entry'!F$6-'Council Entry'!F$5)),1))),"No data"))</f>
        <v/>
      </c>
      <c r="G27" s="13">
        <f>IF('Council Entry'!G27="","",IFERROR(MAX(0,MIN(10,ROUND(IF('Council Entry'!G$7="Decrease Risk",10-10*((IF('Council Entry'!G$4="Logarithm",LN(0.001+IF(AND(ISNUMBER('Council Entry'!G$8),ISNUMBER('Council Entry'!G$9)),MAX(MIN('Council Entry'!G27,'Council Entry'!G$9),'Council Entry'!G$8),'Council Entry'!G27)),IF('Council Entry'!G$4="Exponential",EXP(IF(AND(ISNUMBER('Council Entry'!G$8),ISNUMBER('Council Entry'!G$9)),MAX(MIN('Council Entry'!G27,'Council Entry'!G$9),'Council Entry'!G$8),'Council Entry'!G27)),IF(AND(ISNUMBER('Council Entry'!G$8),ISNUMBER('Council Entry'!G$9)),MAX(MIN('Council Entry'!G27,'Council Entry'!G$9),'Council Entry'!G$8),'Council Entry'!G27))))-'Council Entry'!G$5)/('Council Entry'!G$6-'Council Entry'!G$5),10*((IF('Council Entry'!G$4="Logarithm",LN(0.001+IF(AND(ISNUMBER('Council Entry'!G$8),ISNUMBER('Council Entry'!G$9)),MAX(MIN('Council Entry'!G27,'Council Entry'!G$9),'Council Entry'!G$8),'Council Entry'!G27)),IF('Council Entry'!G$4="Exponential",EXP(IF(AND(ISNUMBER('Council Entry'!G$8),ISNUMBER('Council Entry'!G$9)),MAX(MIN('Council Entry'!G27,'Council Entry'!G$9),'Council Entry'!G$8),'Council Entry'!G27)),IF(AND(ISNUMBER('Council Entry'!G$8),ISNUMBER('Council Entry'!G$9)),MAX(MIN('Council Entry'!G27,'Council Entry'!G$9),'Council Entry'!G$8),'Council Entry'!G27))))-'Council Entry'!G$5)/('Council Entry'!G$6-'Council Entry'!G$5)),1))),"No data"))</f>
        <v/>
      </c>
      <c r="H27" s="13">
        <f>IF('Council Entry'!H27="","",IFERROR(MAX(0,MIN(10,ROUND(IF('Council Entry'!H$7="Decrease Risk",10-10*((IF('Council Entry'!H$4="Logarithm",LN(0.001+IF(AND(ISNUMBER('Council Entry'!H$8),ISNUMBER('Council Entry'!H$9)),MAX(MIN('Council Entry'!H27,'Council Entry'!H$9),'Council Entry'!H$8),'Council Entry'!H27)),IF('Council Entry'!H$4="Exponential",EXP(IF(AND(ISNUMBER('Council Entry'!H$8),ISNUMBER('Council Entry'!H$9)),MAX(MIN('Council Entry'!H27,'Council Entry'!H$9),'Council Entry'!H$8),'Council Entry'!H27)),IF(AND(ISNUMBER('Council Entry'!H$8),ISNUMBER('Council Entry'!H$9)),MAX(MIN('Council Entry'!H27,'Council Entry'!H$9),'Council Entry'!H$8),'Council Entry'!H27))))-'Council Entry'!H$5)/('Council Entry'!H$6-'Council Entry'!H$5),10*((IF('Council Entry'!H$4="Logarithm",LN(0.001+IF(AND(ISNUMBER('Council Entry'!H$8),ISNUMBER('Council Entry'!H$9)),MAX(MIN('Council Entry'!H27,'Council Entry'!H$9),'Council Entry'!H$8),'Council Entry'!H27)),IF('Council Entry'!H$4="Exponential",EXP(IF(AND(ISNUMBER('Council Entry'!H$8),ISNUMBER('Council Entry'!H$9)),MAX(MIN('Council Entry'!H27,'Council Entry'!H$9),'Council Entry'!H$8),'Council Entry'!H27)),IF(AND(ISNUMBER('Council Entry'!H$8),ISNUMBER('Council Entry'!H$9)),MAX(MIN('Council Entry'!H27,'Council Entry'!H$9),'Council Entry'!H$8),'Council Entry'!H27))))-'Council Entry'!H$5)/('Council Entry'!H$6-'Council Entry'!H$5)),1))),"No data"))</f>
        <v/>
      </c>
      <c r="I27" s="13">
        <f>IF('Council Entry'!I27="","",IFERROR(MAX(0,MIN(10,ROUND(IF('Council Entry'!I$7="Decrease Risk",10-10*((IF('Council Entry'!I$4="Logarithm",LN(0.001+IF(AND(ISNUMBER('Council Entry'!I$8),ISNUMBER('Council Entry'!I$9)),MAX(MIN('Council Entry'!I27,'Council Entry'!I$9),'Council Entry'!I$8),'Council Entry'!I27)),IF('Council Entry'!I$4="Exponential",EXP(IF(AND(ISNUMBER('Council Entry'!I$8),ISNUMBER('Council Entry'!I$9)),MAX(MIN('Council Entry'!I27,'Council Entry'!I$9),'Council Entry'!I$8),'Council Entry'!I27)),IF(AND(ISNUMBER('Council Entry'!I$8),ISNUMBER('Council Entry'!I$9)),MAX(MIN('Council Entry'!I27,'Council Entry'!I$9),'Council Entry'!I$8),'Council Entry'!I27))))-'Council Entry'!I$5)/('Council Entry'!I$6-'Council Entry'!I$5),10*((IF('Council Entry'!I$4="Logarithm",LN(0.001+IF(AND(ISNUMBER('Council Entry'!I$8),ISNUMBER('Council Entry'!I$9)),MAX(MIN('Council Entry'!I27,'Council Entry'!I$9),'Council Entry'!I$8),'Council Entry'!I27)),IF('Council Entry'!I$4="Exponential",EXP(IF(AND(ISNUMBER('Council Entry'!I$8),ISNUMBER('Council Entry'!I$9)),MAX(MIN('Council Entry'!I27,'Council Entry'!I$9),'Council Entry'!I$8),'Council Entry'!I27)),IF(AND(ISNUMBER('Council Entry'!I$8),ISNUMBER('Council Entry'!I$9)),MAX(MIN('Council Entry'!I27,'Council Entry'!I$9),'Council Entry'!I$8),'Council Entry'!I27))))-'Council Entry'!I$5)/('Council Entry'!I$6-'Council Entry'!I$5)),1))),"No data"))</f>
        <v/>
      </c>
      <c r="J27" s="13">
        <f>IF('Council Entry'!J27="","",IFERROR(MAX(0,MIN(10,ROUND(IF('Council Entry'!J$7="Decrease Risk",10-10*((IF('Council Entry'!J$4="Logarithm",LN(0.001+IF(AND(ISNUMBER('Council Entry'!J$8),ISNUMBER('Council Entry'!J$9)),MAX(MIN('Council Entry'!J27,'Council Entry'!J$9),'Council Entry'!J$8),'Council Entry'!J27)),IF('Council Entry'!J$4="Exponential",EXP(IF(AND(ISNUMBER('Council Entry'!J$8),ISNUMBER('Council Entry'!J$9)),MAX(MIN('Council Entry'!J27,'Council Entry'!J$9),'Council Entry'!J$8),'Council Entry'!J27)),IF(AND(ISNUMBER('Council Entry'!J$8),ISNUMBER('Council Entry'!J$9)),MAX(MIN('Council Entry'!J27,'Council Entry'!J$9),'Council Entry'!J$8),'Council Entry'!J27))))-'Council Entry'!J$5)/('Council Entry'!J$6-'Council Entry'!J$5),10*((IF('Council Entry'!J$4="Logarithm",LN(0.001+IF(AND(ISNUMBER('Council Entry'!J$8),ISNUMBER('Council Entry'!J$9)),MAX(MIN('Council Entry'!J27,'Council Entry'!J$9),'Council Entry'!J$8),'Council Entry'!J27)),IF('Council Entry'!J$4="Exponential",EXP(IF(AND(ISNUMBER('Council Entry'!J$8),ISNUMBER('Council Entry'!J$9)),MAX(MIN('Council Entry'!J27,'Council Entry'!J$9),'Council Entry'!J$8),'Council Entry'!J27)),IF(AND(ISNUMBER('Council Entry'!J$8),ISNUMBER('Council Entry'!J$9)),MAX(MIN('Council Entry'!J27,'Council Entry'!J$9),'Council Entry'!J$8),'Council Entry'!J27))))-'Council Entry'!J$5)/('Council Entry'!J$6-'Council Entry'!J$5)),1))),"No data"))</f>
        <v/>
      </c>
      <c r="K27" s="13">
        <f>IF('Council Entry'!K27="","",IFERROR(MAX(0,MIN(10,ROUND(IF('Council Entry'!K$7="Decrease Risk",10-10*((IF('Council Entry'!K$4="Logarithm",LN(0.001+IF(AND(ISNUMBER('Council Entry'!K$8),ISNUMBER('Council Entry'!K$9)),MAX(MIN('Council Entry'!K27,'Council Entry'!K$9),'Council Entry'!K$8),'Council Entry'!K27)),IF('Council Entry'!K$4="Exponential",EXP(IF(AND(ISNUMBER('Council Entry'!K$8),ISNUMBER('Council Entry'!K$9)),MAX(MIN('Council Entry'!K27,'Council Entry'!K$9),'Council Entry'!K$8),'Council Entry'!K27)),IF(AND(ISNUMBER('Council Entry'!K$8),ISNUMBER('Council Entry'!K$9)),MAX(MIN('Council Entry'!K27,'Council Entry'!K$9),'Council Entry'!K$8),'Council Entry'!K27))))-'Council Entry'!K$5)/('Council Entry'!K$6-'Council Entry'!K$5),10*((IF('Council Entry'!K$4="Logarithm",LN(0.001+IF(AND(ISNUMBER('Council Entry'!K$8),ISNUMBER('Council Entry'!K$9)),MAX(MIN('Council Entry'!K27,'Council Entry'!K$9),'Council Entry'!K$8),'Council Entry'!K27)),IF('Council Entry'!K$4="Exponential",EXP(IF(AND(ISNUMBER('Council Entry'!K$8),ISNUMBER('Council Entry'!K$9)),MAX(MIN('Council Entry'!K27,'Council Entry'!K$9),'Council Entry'!K$8),'Council Entry'!K27)),IF(AND(ISNUMBER('Council Entry'!K$8),ISNUMBER('Council Entry'!K$9)),MAX(MIN('Council Entry'!K27,'Council Entry'!K$9),'Council Entry'!K$8),'Council Entry'!K27))))-'Council Entry'!K$5)/('Council Entry'!K$6-'Council Entry'!K$5)),1))),"No data"))</f>
        <v/>
      </c>
      <c r="L27" s="13">
        <f>IF('Council Entry'!L27="","",IFERROR(MAX(0,MIN(10,ROUND(IF('Council Entry'!L$7="Decrease Risk",10-10*((IF('Council Entry'!L$4="Logarithm",LN(0.001+IF(AND(ISNUMBER('Council Entry'!L$8),ISNUMBER('Council Entry'!L$9)),MAX(MIN('Council Entry'!L27,'Council Entry'!L$9),'Council Entry'!L$8),'Council Entry'!L27)),IF('Council Entry'!L$4="Exponential",EXP(IF(AND(ISNUMBER('Council Entry'!L$8),ISNUMBER('Council Entry'!L$9)),MAX(MIN('Council Entry'!L27,'Council Entry'!L$9),'Council Entry'!L$8),'Council Entry'!L27)),IF(AND(ISNUMBER('Council Entry'!L$8),ISNUMBER('Council Entry'!L$9)),MAX(MIN('Council Entry'!L27,'Council Entry'!L$9),'Council Entry'!L$8),'Council Entry'!L27))))-'Council Entry'!L$5)/('Council Entry'!L$6-'Council Entry'!L$5),10*((IF('Council Entry'!L$4="Logarithm",LN(0.001+IF(AND(ISNUMBER('Council Entry'!L$8),ISNUMBER('Council Entry'!L$9)),MAX(MIN('Council Entry'!L27,'Council Entry'!L$9),'Council Entry'!L$8),'Council Entry'!L27)),IF('Council Entry'!L$4="Exponential",EXP(IF(AND(ISNUMBER('Council Entry'!L$8),ISNUMBER('Council Entry'!L$9)),MAX(MIN('Council Entry'!L27,'Council Entry'!L$9),'Council Entry'!L$8),'Council Entry'!L27)),IF(AND(ISNUMBER('Council Entry'!L$8),ISNUMBER('Council Entry'!L$9)),MAX(MIN('Council Entry'!L27,'Council Entry'!L$9),'Council Entry'!L$8),'Council Entry'!L27))))-'Council Entry'!L$5)/('Council Entry'!L$6-'Council Entry'!L$5)),1))),"No data"))</f>
        <v/>
      </c>
      <c r="M27" s="13">
        <f>IF('Council Entry'!M27="","",IFERROR(MAX(0,MIN(10,ROUND(IF('Council Entry'!M$7="Decrease Risk",10-10*((IF('Council Entry'!M$4="Logarithm",LN(0.001+IF(AND(ISNUMBER('Council Entry'!M$8),ISNUMBER('Council Entry'!M$9)),MAX(MIN('Council Entry'!M27,'Council Entry'!M$9),'Council Entry'!M$8),'Council Entry'!M27)),IF('Council Entry'!M$4="Exponential",EXP(IF(AND(ISNUMBER('Council Entry'!M$8),ISNUMBER('Council Entry'!M$9)),MAX(MIN('Council Entry'!M27,'Council Entry'!M$9),'Council Entry'!M$8),'Council Entry'!M27)),IF(AND(ISNUMBER('Council Entry'!M$8),ISNUMBER('Council Entry'!M$9)),MAX(MIN('Council Entry'!M27,'Council Entry'!M$9),'Council Entry'!M$8),'Council Entry'!M27))))-'Council Entry'!M$5)/('Council Entry'!M$6-'Council Entry'!M$5),10*((IF('Council Entry'!M$4="Logarithm",LN(0.001+IF(AND(ISNUMBER('Council Entry'!M$8),ISNUMBER('Council Entry'!M$9)),MAX(MIN('Council Entry'!M27,'Council Entry'!M$9),'Council Entry'!M$8),'Council Entry'!M27)),IF('Council Entry'!M$4="Exponential",EXP(IF(AND(ISNUMBER('Council Entry'!M$8),ISNUMBER('Council Entry'!M$9)),MAX(MIN('Council Entry'!M27,'Council Entry'!M$9),'Council Entry'!M$8),'Council Entry'!M27)),IF(AND(ISNUMBER('Council Entry'!M$8),ISNUMBER('Council Entry'!M$9)),MAX(MIN('Council Entry'!M27,'Council Entry'!M$9),'Council Entry'!M$8),'Council Entry'!M27))))-'Council Entry'!M$5)/('Council Entry'!M$6-'Council Entry'!M$5)),1))),"No data"))</f>
        <v/>
      </c>
      <c r="N27" s="13">
        <f>IF('Council Entry'!N27="","",IFERROR(MAX(0,MIN(10,ROUND(IF('Council Entry'!N$7="Decrease Risk",10-10*((IF('Council Entry'!N$4="Logarithm",LN(0.001+IF(AND(ISNUMBER('Council Entry'!N$8),ISNUMBER('Council Entry'!N$9)),MAX(MIN('Council Entry'!N27,'Council Entry'!N$9),'Council Entry'!N$8),'Council Entry'!N27)),IF('Council Entry'!N$4="Exponential",EXP(IF(AND(ISNUMBER('Council Entry'!N$8),ISNUMBER('Council Entry'!N$9)),MAX(MIN('Council Entry'!N27,'Council Entry'!N$9),'Council Entry'!N$8),'Council Entry'!N27)),IF(AND(ISNUMBER('Council Entry'!N$8),ISNUMBER('Council Entry'!N$9)),MAX(MIN('Council Entry'!N27,'Council Entry'!N$9),'Council Entry'!N$8),'Council Entry'!N27))))-'Council Entry'!N$5)/('Council Entry'!N$6-'Council Entry'!N$5),10*((IF('Council Entry'!N$4="Logarithm",LN(0.001+IF(AND(ISNUMBER('Council Entry'!N$8),ISNUMBER('Council Entry'!N$9)),MAX(MIN('Council Entry'!N27,'Council Entry'!N$9),'Council Entry'!N$8),'Council Entry'!N27)),IF('Council Entry'!N$4="Exponential",EXP(IF(AND(ISNUMBER('Council Entry'!N$8),ISNUMBER('Council Entry'!N$9)),MAX(MIN('Council Entry'!N27,'Council Entry'!N$9),'Council Entry'!N$8),'Council Entry'!N27)),IF(AND(ISNUMBER('Council Entry'!N$8),ISNUMBER('Council Entry'!N$9)),MAX(MIN('Council Entry'!N27,'Council Entry'!N$9),'Council Entry'!N$8),'Council Entry'!N27))))-'Council Entry'!N$5)/('Council Entry'!N$6-'Council Entry'!N$5)),1))),"No data"))</f>
        <v/>
      </c>
      <c r="O27" s="13">
        <f>IF('Council Entry'!O27="","",IFERROR(MAX(0,MIN(10,ROUND(IF('Council Entry'!O$7="Decrease Risk",10-10*((IF('Council Entry'!O$4="Logarithm",LN(0.001+IF(AND(ISNUMBER('Council Entry'!O$8),ISNUMBER('Council Entry'!O$9)),MAX(MIN('Council Entry'!O27,'Council Entry'!O$9),'Council Entry'!O$8),'Council Entry'!O27)),IF('Council Entry'!O$4="Exponential",EXP(IF(AND(ISNUMBER('Council Entry'!O$8),ISNUMBER('Council Entry'!O$9)),MAX(MIN('Council Entry'!O27,'Council Entry'!O$9),'Council Entry'!O$8),'Council Entry'!O27)),IF(AND(ISNUMBER('Council Entry'!O$8),ISNUMBER('Council Entry'!O$9)),MAX(MIN('Council Entry'!O27,'Council Entry'!O$9),'Council Entry'!O$8),'Council Entry'!O27))))-'Council Entry'!O$5)/('Council Entry'!O$6-'Council Entry'!O$5),10*((IF('Council Entry'!O$4="Logarithm",LN(0.001+IF(AND(ISNUMBER('Council Entry'!O$8),ISNUMBER('Council Entry'!O$9)),MAX(MIN('Council Entry'!O27,'Council Entry'!O$9),'Council Entry'!O$8),'Council Entry'!O27)),IF('Council Entry'!O$4="Exponential",EXP(IF(AND(ISNUMBER('Council Entry'!O$8),ISNUMBER('Council Entry'!O$9)),MAX(MIN('Council Entry'!O27,'Council Entry'!O$9),'Council Entry'!O$8),'Council Entry'!O27)),IF(AND(ISNUMBER('Council Entry'!O$8),ISNUMBER('Council Entry'!O$9)),MAX(MIN('Council Entry'!O27,'Council Entry'!O$9),'Council Entry'!O$8),'Council Entry'!O27))))-'Council Entry'!O$5)/('Council Entry'!O$6-'Council Entry'!O$5)),1))),"No data"))</f>
        <v/>
      </c>
      <c r="P27" s="13">
        <f>IF('Council Entry'!P27="","",IFERROR(MAX(0,MIN(10,ROUND(IF('Council Entry'!P$7="Decrease Risk",10-10*((IF('Council Entry'!P$4="Logarithm",LN(0.001+IF(AND(ISNUMBER('Council Entry'!P$8),ISNUMBER('Council Entry'!P$9)),MAX(MIN('Council Entry'!P27,'Council Entry'!P$9),'Council Entry'!P$8),'Council Entry'!P27)),IF('Council Entry'!P$4="Exponential",EXP(IF(AND(ISNUMBER('Council Entry'!P$8),ISNUMBER('Council Entry'!P$9)),MAX(MIN('Council Entry'!P27,'Council Entry'!P$9),'Council Entry'!P$8),'Council Entry'!P27)),IF(AND(ISNUMBER('Council Entry'!P$8),ISNUMBER('Council Entry'!P$9)),MAX(MIN('Council Entry'!P27,'Council Entry'!P$9),'Council Entry'!P$8),'Council Entry'!P27))))-'Council Entry'!P$5)/('Council Entry'!P$6-'Council Entry'!P$5),10*((IF('Council Entry'!P$4="Logarithm",LN(0.001+IF(AND(ISNUMBER('Council Entry'!P$8),ISNUMBER('Council Entry'!P$9)),MAX(MIN('Council Entry'!P27,'Council Entry'!P$9),'Council Entry'!P$8),'Council Entry'!P27)),IF('Council Entry'!P$4="Exponential",EXP(IF(AND(ISNUMBER('Council Entry'!P$8),ISNUMBER('Council Entry'!P$9)),MAX(MIN('Council Entry'!P27,'Council Entry'!P$9),'Council Entry'!P$8),'Council Entry'!P27)),IF(AND(ISNUMBER('Council Entry'!P$8),ISNUMBER('Council Entry'!P$9)),MAX(MIN('Council Entry'!P27,'Council Entry'!P$9),'Council Entry'!P$8),'Council Entry'!P27))))-'Council Entry'!P$5)/('Council Entry'!P$6-'Council Entry'!P$5)),1))),"No data"))</f>
        <v/>
      </c>
      <c r="Q27" s="13">
        <f>IF('Council Entry'!Q27="","",IFERROR(MAX(0,MIN(10,ROUND(IF('Council Entry'!Q$7="Decrease Risk",10-10*((IF('Council Entry'!Q$4="Logarithm",LN(0.001+IF(AND(ISNUMBER('Council Entry'!Q$8),ISNUMBER('Council Entry'!Q$9)),MAX(MIN('Council Entry'!Q27,'Council Entry'!Q$9),'Council Entry'!Q$8),'Council Entry'!Q27)),IF('Council Entry'!Q$4="Exponential",EXP(IF(AND(ISNUMBER('Council Entry'!Q$8),ISNUMBER('Council Entry'!Q$9)),MAX(MIN('Council Entry'!Q27,'Council Entry'!Q$9),'Council Entry'!Q$8),'Council Entry'!Q27)),IF(AND(ISNUMBER('Council Entry'!Q$8),ISNUMBER('Council Entry'!Q$9)),MAX(MIN('Council Entry'!Q27,'Council Entry'!Q$9),'Council Entry'!Q$8),'Council Entry'!Q27))))-'Council Entry'!Q$5)/('Council Entry'!Q$6-'Council Entry'!Q$5),10*((IF('Council Entry'!Q$4="Logarithm",LN(0.001+IF(AND(ISNUMBER('Council Entry'!Q$8),ISNUMBER('Council Entry'!Q$9)),MAX(MIN('Council Entry'!Q27,'Council Entry'!Q$9),'Council Entry'!Q$8),'Council Entry'!Q27)),IF('Council Entry'!Q$4="Exponential",EXP(IF(AND(ISNUMBER('Council Entry'!Q$8),ISNUMBER('Council Entry'!Q$9)),MAX(MIN('Council Entry'!Q27,'Council Entry'!Q$9),'Council Entry'!Q$8),'Council Entry'!Q27)),IF(AND(ISNUMBER('Council Entry'!Q$8),ISNUMBER('Council Entry'!Q$9)),MAX(MIN('Council Entry'!Q27,'Council Entry'!Q$9),'Council Entry'!Q$8),'Council Entry'!Q27))))-'Council Entry'!Q$5)/('Council Entry'!Q$6-'Council Entry'!Q$5)),1))),"No data"))</f>
        <v/>
      </c>
      <c r="R27" s="13">
        <f>IF('Council Entry'!R27="","",IFERROR(MAX(0,MIN(10,ROUND(IF('Council Entry'!R$7="Decrease Risk",10-10*((IF('Council Entry'!R$4="Logarithm",LN(0.001+IF(AND(ISNUMBER('Council Entry'!R$8),ISNUMBER('Council Entry'!R$9)),MAX(MIN('Council Entry'!R27,'Council Entry'!R$9),'Council Entry'!R$8),'Council Entry'!R27)),IF('Council Entry'!R$4="Exponential",EXP(IF(AND(ISNUMBER('Council Entry'!R$8),ISNUMBER('Council Entry'!R$9)),MAX(MIN('Council Entry'!R27,'Council Entry'!R$9),'Council Entry'!R$8),'Council Entry'!R27)),IF(AND(ISNUMBER('Council Entry'!R$8),ISNUMBER('Council Entry'!R$9)),MAX(MIN('Council Entry'!R27,'Council Entry'!R$9),'Council Entry'!R$8),'Council Entry'!R27))))-'Council Entry'!R$5)/('Council Entry'!R$6-'Council Entry'!R$5),10*((IF('Council Entry'!R$4="Logarithm",LN(0.001+IF(AND(ISNUMBER('Council Entry'!R$8),ISNUMBER('Council Entry'!R$9)),MAX(MIN('Council Entry'!R27,'Council Entry'!R$9),'Council Entry'!R$8),'Council Entry'!R27)),IF('Council Entry'!R$4="Exponential",EXP(IF(AND(ISNUMBER('Council Entry'!R$8),ISNUMBER('Council Entry'!R$9)),MAX(MIN('Council Entry'!R27,'Council Entry'!R$9),'Council Entry'!R$8),'Council Entry'!R27)),IF(AND(ISNUMBER('Council Entry'!R$8),ISNUMBER('Council Entry'!R$9)),MAX(MIN('Council Entry'!R27,'Council Entry'!R$9),'Council Entry'!R$8),'Council Entry'!R27))))-'Council Entry'!R$5)/('Council Entry'!R$6-'Council Entry'!R$5)),1))),"No data"))</f>
        <v/>
      </c>
      <c r="S27" s="13">
        <f>IF('Council Entry'!S27="","",IFERROR(MAX(0,MIN(10,ROUND(IF('Council Entry'!S$7="Decrease Risk",10-10*((IF('Council Entry'!S$4="Logarithm",LN(0.001+IF(AND(ISNUMBER('Council Entry'!S$8),ISNUMBER('Council Entry'!S$9)),MAX(MIN('Council Entry'!S27,'Council Entry'!S$9),'Council Entry'!S$8),'Council Entry'!S27)),IF('Council Entry'!S$4="Exponential",EXP(IF(AND(ISNUMBER('Council Entry'!S$8),ISNUMBER('Council Entry'!S$9)),MAX(MIN('Council Entry'!S27,'Council Entry'!S$9),'Council Entry'!S$8),'Council Entry'!S27)),IF(AND(ISNUMBER('Council Entry'!S$8),ISNUMBER('Council Entry'!S$9)),MAX(MIN('Council Entry'!S27,'Council Entry'!S$9),'Council Entry'!S$8),'Council Entry'!S27))))-'Council Entry'!S$5)/('Council Entry'!S$6-'Council Entry'!S$5),10*((IF('Council Entry'!S$4="Logarithm",LN(0.001+IF(AND(ISNUMBER('Council Entry'!S$8),ISNUMBER('Council Entry'!S$9)),MAX(MIN('Council Entry'!S27,'Council Entry'!S$9),'Council Entry'!S$8),'Council Entry'!S27)),IF('Council Entry'!S$4="Exponential",EXP(IF(AND(ISNUMBER('Council Entry'!S$8),ISNUMBER('Council Entry'!S$9)),MAX(MIN('Council Entry'!S27,'Council Entry'!S$9),'Council Entry'!S$8),'Council Entry'!S27)),IF(AND(ISNUMBER('Council Entry'!S$8),ISNUMBER('Council Entry'!S$9)),MAX(MIN('Council Entry'!S27,'Council Entry'!S$9),'Council Entry'!S$8),'Council Entry'!S27))))-'Council Entry'!S$5)/('Council Entry'!S$6-'Council Entry'!S$5)),1))),"No data"))</f>
        <v/>
      </c>
      <c r="T27" s="13">
        <f>IF('Council Entry'!T27="","",IFERROR(MAX(0,MIN(10,ROUND(IF('Council Entry'!T$7="Decrease Risk",10-10*((IF('Council Entry'!T$4="Logarithm",LN(0.001+IF(AND(ISNUMBER('Council Entry'!T$8),ISNUMBER('Council Entry'!T$9)),MAX(MIN('Council Entry'!T27,'Council Entry'!T$9),'Council Entry'!T$8),'Council Entry'!T27)),IF('Council Entry'!T$4="Exponential",EXP(IF(AND(ISNUMBER('Council Entry'!T$8),ISNUMBER('Council Entry'!T$9)),MAX(MIN('Council Entry'!T27,'Council Entry'!T$9),'Council Entry'!T$8),'Council Entry'!T27)),IF(AND(ISNUMBER('Council Entry'!T$8),ISNUMBER('Council Entry'!T$9)),MAX(MIN('Council Entry'!T27,'Council Entry'!T$9),'Council Entry'!T$8),'Council Entry'!T27))))-'Council Entry'!T$5)/('Council Entry'!T$6-'Council Entry'!T$5),10*((IF('Council Entry'!T$4="Logarithm",LN(0.001+IF(AND(ISNUMBER('Council Entry'!T$8),ISNUMBER('Council Entry'!T$9)),MAX(MIN('Council Entry'!T27,'Council Entry'!T$9),'Council Entry'!T$8),'Council Entry'!T27)),IF('Council Entry'!T$4="Exponential",EXP(IF(AND(ISNUMBER('Council Entry'!T$8),ISNUMBER('Council Entry'!T$9)),MAX(MIN('Council Entry'!T27,'Council Entry'!T$9),'Council Entry'!T$8),'Council Entry'!T27)),IF(AND(ISNUMBER('Council Entry'!T$8),ISNUMBER('Council Entry'!T$9)),MAX(MIN('Council Entry'!T27,'Council Entry'!T$9),'Council Entry'!T$8),'Council Entry'!T27))))-'Council Entry'!T$5)/('Council Entry'!T$6-'Council Entry'!T$5)),1))),"No data"))</f>
        <v/>
      </c>
      <c r="U27" s="13">
        <f>IF('Council Entry'!U27="","",IFERROR(MAX(0,MIN(10,ROUND(IF('Council Entry'!U$7="Decrease Risk",10-10*((IF('Council Entry'!U$4="Logarithm",LN(0.001+IF(AND(ISNUMBER('Council Entry'!U$8),ISNUMBER('Council Entry'!U$9)),MAX(MIN('Council Entry'!U27,'Council Entry'!U$9),'Council Entry'!U$8),'Council Entry'!U27)),IF('Council Entry'!U$4="Exponential",EXP(IF(AND(ISNUMBER('Council Entry'!U$8),ISNUMBER('Council Entry'!U$9)),MAX(MIN('Council Entry'!U27,'Council Entry'!U$9),'Council Entry'!U$8),'Council Entry'!U27)),IF(AND(ISNUMBER('Council Entry'!U$8),ISNUMBER('Council Entry'!U$9)),MAX(MIN('Council Entry'!U27,'Council Entry'!U$9),'Council Entry'!U$8),'Council Entry'!U27))))-'Council Entry'!U$5)/('Council Entry'!U$6-'Council Entry'!U$5),10*((IF('Council Entry'!U$4="Logarithm",LN(0.001+IF(AND(ISNUMBER('Council Entry'!U$8),ISNUMBER('Council Entry'!U$9)),MAX(MIN('Council Entry'!U27,'Council Entry'!U$9),'Council Entry'!U$8),'Council Entry'!U27)),IF('Council Entry'!U$4="Exponential",EXP(IF(AND(ISNUMBER('Council Entry'!U$8),ISNUMBER('Council Entry'!U$9)),MAX(MIN('Council Entry'!U27,'Council Entry'!U$9),'Council Entry'!U$8),'Council Entry'!U27)),IF(AND(ISNUMBER('Council Entry'!U$8),ISNUMBER('Council Entry'!U$9)),MAX(MIN('Council Entry'!U27,'Council Entry'!U$9),'Council Entry'!U$8),'Council Entry'!U27))))-'Council Entry'!U$5)/('Council Entry'!U$6-'Council Entry'!U$5)),1))),"No data"))</f>
        <v/>
      </c>
      <c r="V27" s="13">
        <f>IF('Council Entry'!V27="","",IFERROR(MAX(0,MIN(10,ROUND(IF('Council Entry'!V$7="Decrease Risk",10-10*((IF('Council Entry'!V$4="Logarithm",LN(0.001+IF(AND(ISNUMBER('Council Entry'!V$8),ISNUMBER('Council Entry'!V$9)),MAX(MIN('Council Entry'!V27,'Council Entry'!V$9),'Council Entry'!V$8),'Council Entry'!V27)),IF('Council Entry'!V$4="Exponential",EXP(IF(AND(ISNUMBER('Council Entry'!V$8),ISNUMBER('Council Entry'!V$9)),MAX(MIN('Council Entry'!V27,'Council Entry'!V$9),'Council Entry'!V$8),'Council Entry'!V27)),IF(AND(ISNUMBER('Council Entry'!V$8),ISNUMBER('Council Entry'!V$9)),MAX(MIN('Council Entry'!V27,'Council Entry'!V$9),'Council Entry'!V$8),'Council Entry'!V27))))-'Council Entry'!V$5)/('Council Entry'!V$6-'Council Entry'!V$5),10*((IF('Council Entry'!V$4="Logarithm",LN(0.001+IF(AND(ISNUMBER('Council Entry'!V$8),ISNUMBER('Council Entry'!V$9)),MAX(MIN('Council Entry'!V27,'Council Entry'!V$9),'Council Entry'!V$8),'Council Entry'!V27)),IF('Council Entry'!V$4="Exponential",EXP(IF(AND(ISNUMBER('Council Entry'!V$8),ISNUMBER('Council Entry'!V$9)),MAX(MIN('Council Entry'!V27,'Council Entry'!V$9),'Council Entry'!V$8),'Council Entry'!V27)),IF(AND(ISNUMBER('Council Entry'!V$8),ISNUMBER('Council Entry'!V$9)),MAX(MIN('Council Entry'!V27,'Council Entry'!V$9),'Council Entry'!V$8),'Council Entry'!V27))))-'Council Entry'!V$5)/('Council Entry'!V$6-'Council Entry'!V$5)),1))),"No data"))</f>
        <v/>
      </c>
      <c r="W27" s="13">
        <f>IF('Council Entry'!W27="","",IFERROR(MAX(0,MIN(10,ROUND(IF('Council Entry'!W$7="Decrease Risk",10-10*((IF('Council Entry'!W$4="Logarithm",LN(0.001+IF(AND(ISNUMBER('Council Entry'!W$8),ISNUMBER('Council Entry'!W$9)),MAX(MIN('Council Entry'!W27,'Council Entry'!W$9),'Council Entry'!W$8),'Council Entry'!W27)),IF('Council Entry'!W$4="Exponential",EXP(IF(AND(ISNUMBER('Council Entry'!W$8),ISNUMBER('Council Entry'!W$9)),MAX(MIN('Council Entry'!W27,'Council Entry'!W$9),'Council Entry'!W$8),'Council Entry'!W27)),IF(AND(ISNUMBER('Council Entry'!W$8),ISNUMBER('Council Entry'!W$9)),MAX(MIN('Council Entry'!W27,'Council Entry'!W$9),'Council Entry'!W$8),'Council Entry'!W27))))-'Council Entry'!W$5)/('Council Entry'!W$6-'Council Entry'!W$5),10*((IF('Council Entry'!W$4="Logarithm",LN(0.001+IF(AND(ISNUMBER('Council Entry'!W$8),ISNUMBER('Council Entry'!W$9)),MAX(MIN('Council Entry'!W27,'Council Entry'!W$9),'Council Entry'!W$8),'Council Entry'!W27)),IF('Council Entry'!W$4="Exponential",EXP(IF(AND(ISNUMBER('Council Entry'!W$8),ISNUMBER('Council Entry'!W$9)),MAX(MIN('Council Entry'!W27,'Council Entry'!W$9),'Council Entry'!W$8),'Council Entry'!W27)),IF(AND(ISNUMBER('Council Entry'!W$8),ISNUMBER('Council Entry'!W$9)),MAX(MIN('Council Entry'!W27,'Council Entry'!W$9),'Council Entry'!W$8),'Council Entry'!W27))))-'Council Entry'!W$5)/('Council Entry'!W$6-'Council Entry'!W$5)),1))),"No data"))</f>
        <v/>
      </c>
      <c r="X27" s="13">
        <f>IF('Council Entry'!X27="","",IFERROR(MAX(0,MIN(10,ROUND(IF('Council Entry'!X$7="Decrease Risk",10-10*((IF('Council Entry'!X$4="Logarithm",LN(0.001+IF(AND(ISNUMBER('Council Entry'!X$8),ISNUMBER('Council Entry'!X$9)),MAX(MIN('Council Entry'!X27,'Council Entry'!X$9),'Council Entry'!X$8),'Council Entry'!X27)),IF('Council Entry'!X$4="Exponential",EXP(IF(AND(ISNUMBER('Council Entry'!X$8),ISNUMBER('Council Entry'!X$9)),MAX(MIN('Council Entry'!X27,'Council Entry'!X$9),'Council Entry'!X$8),'Council Entry'!X27)),IF(AND(ISNUMBER('Council Entry'!X$8),ISNUMBER('Council Entry'!X$9)),MAX(MIN('Council Entry'!X27,'Council Entry'!X$9),'Council Entry'!X$8),'Council Entry'!X27))))-'Council Entry'!X$5)/('Council Entry'!X$6-'Council Entry'!X$5),10*((IF('Council Entry'!X$4="Logarithm",LN(0.001+IF(AND(ISNUMBER('Council Entry'!X$8),ISNUMBER('Council Entry'!X$9)),MAX(MIN('Council Entry'!X27,'Council Entry'!X$9),'Council Entry'!X$8),'Council Entry'!X27)),IF('Council Entry'!X$4="Exponential",EXP(IF(AND(ISNUMBER('Council Entry'!X$8),ISNUMBER('Council Entry'!X$9)),MAX(MIN('Council Entry'!X27,'Council Entry'!X$9),'Council Entry'!X$8),'Council Entry'!X27)),IF(AND(ISNUMBER('Council Entry'!X$8),ISNUMBER('Council Entry'!X$9)),MAX(MIN('Council Entry'!X27,'Council Entry'!X$9),'Council Entry'!X$8),'Council Entry'!X27))))-'Council Entry'!X$5)/('Council Entry'!X$6-'Council Entry'!X$5)),1))),"No data"))</f>
        <v/>
      </c>
      <c r="Y27" s="13">
        <f>IF('Council Entry'!Y27="","",IFERROR(MAX(0,MIN(10,ROUND(IF('Council Entry'!Y$7="Decrease Risk",10-10*((IF('Council Entry'!Y$4="Logarithm",LN(0.001+IF(AND(ISNUMBER('Council Entry'!Y$8),ISNUMBER('Council Entry'!Y$9)),MAX(MIN('Council Entry'!Y27,'Council Entry'!Y$9),'Council Entry'!Y$8),'Council Entry'!Y27)),IF('Council Entry'!Y$4="Exponential",EXP(IF(AND(ISNUMBER('Council Entry'!Y$8),ISNUMBER('Council Entry'!Y$9)),MAX(MIN('Council Entry'!Y27,'Council Entry'!Y$9),'Council Entry'!Y$8),'Council Entry'!Y27)),IF(AND(ISNUMBER('Council Entry'!Y$8),ISNUMBER('Council Entry'!Y$9)),MAX(MIN('Council Entry'!Y27,'Council Entry'!Y$9),'Council Entry'!Y$8),'Council Entry'!Y27))))-'Council Entry'!Y$5)/('Council Entry'!Y$6-'Council Entry'!Y$5),10*((IF('Council Entry'!Y$4="Logarithm",LN(0.001+IF(AND(ISNUMBER('Council Entry'!Y$8),ISNUMBER('Council Entry'!Y$9)),MAX(MIN('Council Entry'!Y27,'Council Entry'!Y$9),'Council Entry'!Y$8),'Council Entry'!Y27)),IF('Council Entry'!Y$4="Exponential",EXP(IF(AND(ISNUMBER('Council Entry'!Y$8),ISNUMBER('Council Entry'!Y$9)),MAX(MIN('Council Entry'!Y27,'Council Entry'!Y$9),'Council Entry'!Y$8),'Council Entry'!Y27)),IF(AND(ISNUMBER('Council Entry'!Y$8),ISNUMBER('Council Entry'!Y$9)),MAX(MIN('Council Entry'!Y27,'Council Entry'!Y$9),'Council Entry'!Y$8),'Council Entry'!Y27))))-'Council Entry'!Y$5)/('Council Entry'!Y$6-'Council Entry'!Y$5)),1))),"No data"))</f>
        <v/>
      </c>
      <c r="Z27" s="13">
        <f>IF('Council Entry'!Z27="","",IFERROR(MAX(0,MIN(10,ROUND(IF('Council Entry'!Z$7="Decrease Risk",10-10*((IF('Council Entry'!Z$4="Logarithm",LN(0.001+IF(AND(ISNUMBER('Council Entry'!Z$8),ISNUMBER('Council Entry'!Z$9)),MAX(MIN('Council Entry'!Z27,'Council Entry'!Z$9),'Council Entry'!Z$8),'Council Entry'!Z27)),IF('Council Entry'!Z$4="Exponential",EXP(IF(AND(ISNUMBER('Council Entry'!Z$8),ISNUMBER('Council Entry'!Z$9)),MAX(MIN('Council Entry'!Z27,'Council Entry'!Z$9),'Council Entry'!Z$8),'Council Entry'!Z27)),IF(AND(ISNUMBER('Council Entry'!Z$8),ISNUMBER('Council Entry'!Z$9)),MAX(MIN('Council Entry'!Z27,'Council Entry'!Z$9),'Council Entry'!Z$8),'Council Entry'!Z27))))-'Council Entry'!Z$5)/('Council Entry'!Z$6-'Council Entry'!Z$5),10*((IF('Council Entry'!Z$4="Logarithm",LN(0.001+IF(AND(ISNUMBER('Council Entry'!Z$8),ISNUMBER('Council Entry'!Z$9)),MAX(MIN('Council Entry'!Z27,'Council Entry'!Z$9),'Council Entry'!Z$8),'Council Entry'!Z27)),IF('Council Entry'!Z$4="Exponential",EXP(IF(AND(ISNUMBER('Council Entry'!Z$8),ISNUMBER('Council Entry'!Z$9)),MAX(MIN('Council Entry'!Z27,'Council Entry'!Z$9),'Council Entry'!Z$8),'Council Entry'!Z27)),IF(AND(ISNUMBER('Council Entry'!Z$8),ISNUMBER('Council Entry'!Z$9)),MAX(MIN('Council Entry'!Z27,'Council Entry'!Z$9),'Council Entry'!Z$8),'Council Entry'!Z27))))-'Council Entry'!Z$5)/('Council Entry'!Z$6-'Council Entry'!Z$5)),1))),"No data"))</f>
        <v/>
      </c>
      <c r="AA27" s="13">
        <f>IF('Council Entry'!AA27="","",IFERROR(MAX(0,MIN(10,ROUND(IF('Council Entry'!AA$7="Decrease Risk",10-10*((IF('Council Entry'!AA$4="Logarithm",LN(0.001+IF(AND(ISNUMBER('Council Entry'!AA$8),ISNUMBER('Council Entry'!AA$9)),MAX(MIN('Council Entry'!AA27,'Council Entry'!AA$9),'Council Entry'!AA$8),'Council Entry'!AA27)),IF('Council Entry'!AA$4="Exponential",EXP(IF(AND(ISNUMBER('Council Entry'!AA$8),ISNUMBER('Council Entry'!AA$9)),MAX(MIN('Council Entry'!AA27,'Council Entry'!AA$9),'Council Entry'!AA$8),'Council Entry'!AA27)),IF(AND(ISNUMBER('Council Entry'!AA$8),ISNUMBER('Council Entry'!AA$9)),MAX(MIN('Council Entry'!AA27,'Council Entry'!AA$9),'Council Entry'!AA$8),'Council Entry'!AA27))))-'Council Entry'!AA$5)/('Council Entry'!AA$6-'Council Entry'!AA$5),10*((IF('Council Entry'!AA$4="Logarithm",LN(0.001+IF(AND(ISNUMBER('Council Entry'!AA$8),ISNUMBER('Council Entry'!AA$9)),MAX(MIN('Council Entry'!AA27,'Council Entry'!AA$9),'Council Entry'!AA$8),'Council Entry'!AA27)),IF('Council Entry'!AA$4="Exponential",EXP(IF(AND(ISNUMBER('Council Entry'!AA$8),ISNUMBER('Council Entry'!AA$9)),MAX(MIN('Council Entry'!AA27,'Council Entry'!AA$9),'Council Entry'!AA$8),'Council Entry'!AA27)),IF(AND(ISNUMBER('Council Entry'!AA$8),ISNUMBER('Council Entry'!AA$9)),MAX(MIN('Council Entry'!AA27,'Council Entry'!AA$9),'Council Entry'!AA$8),'Council Entry'!AA27))))-'Council Entry'!AA$5)/('Council Entry'!AA$6-'Council Entry'!AA$5)),1))),"No data"))</f>
        <v/>
      </c>
      <c r="AB27" s="13">
        <f>IF('Council Entry'!AB27="","",IFERROR(MAX(0,MIN(10,ROUND(IF('Council Entry'!AB$7="Decrease Risk",10-10*((IF('Council Entry'!AB$4="Logarithm",LN(0.001+IF(AND(ISNUMBER('Council Entry'!AB$8),ISNUMBER('Council Entry'!AB$9)),MAX(MIN('Council Entry'!AB27,'Council Entry'!AB$9),'Council Entry'!AB$8),'Council Entry'!AB27)),IF('Council Entry'!AB$4="Exponential",EXP(IF(AND(ISNUMBER('Council Entry'!AB$8),ISNUMBER('Council Entry'!AB$9)),MAX(MIN('Council Entry'!AB27,'Council Entry'!AB$9),'Council Entry'!AB$8),'Council Entry'!AB27)),IF(AND(ISNUMBER('Council Entry'!AB$8),ISNUMBER('Council Entry'!AB$9)),MAX(MIN('Council Entry'!AB27,'Council Entry'!AB$9),'Council Entry'!AB$8),'Council Entry'!AB27))))-'Council Entry'!AB$5)/('Council Entry'!AB$6-'Council Entry'!AB$5),10*((IF('Council Entry'!AB$4="Logarithm",LN(0.001+IF(AND(ISNUMBER('Council Entry'!AB$8),ISNUMBER('Council Entry'!AB$9)),MAX(MIN('Council Entry'!AB27,'Council Entry'!AB$9),'Council Entry'!AB$8),'Council Entry'!AB27)),IF('Council Entry'!AB$4="Exponential",EXP(IF(AND(ISNUMBER('Council Entry'!AB$8),ISNUMBER('Council Entry'!AB$9)),MAX(MIN('Council Entry'!AB27,'Council Entry'!AB$9),'Council Entry'!AB$8),'Council Entry'!AB27)),IF(AND(ISNUMBER('Council Entry'!AB$8),ISNUMBER('Council Entry'!AB$9)),MAX(MIN('Council Entry'!AB27,'Council Entry'!AB$9),'Council Entry'!AB$8),'Council Entry'!AB27))))-'Council Entry'!AB$5)/('Council Entry'!AB$6-'Council Entry'!AB$5)),1))),"No data"))</f>
        <v/>
      </c>
      <c r="AC27" s="13">
        <f>IF('Council Entry'!AC27="","",IFERROR(MAX(0,MIN(10,ROUND(IF('Council Entry'!AC$7="Decrease Risk",10-10*((IF('Council Entry'!AC$4="Logarithm",LN(0.001+IF(AND(ISNUMBER('Council Entry'!AC$8),ISNUMBER('Council Entry'!AC$9)),MAX(MIN('Council Entry'!AC27,'Council Entry'!AC$9),'Council Entry'!AC$8),'Council Entry'!AC27)),IF('Council Entry'!AC$4="Exponential",EXP(IF(AND(ISNUMBER('Council Entry'!AC$8),ISNUMBER('Council Entry'!AC$9)),MAX(MIN('Council Entry'!AC27,'Council Entry'!AC$9),'Council Entry'!AC$8),'Council Entry'!AC27)),IF(AND(ISNUMBER('Council Entry'!AC$8),ISNUMBER('Council Entry'!AC$9)),MAX(MIN('Council Entry'!AC27,'Council Entry'!AC$9),'Council Entry'!AC$8),'Council Entry'!AC27))))-'Council Entry'!AC$5)/('Council Entry'!AC$6-'Council Entry'!AC$5),10*((IF('Council Entry'!AC$4="Logarithm",LN(0.001+IF(AND(ISNUMBER('Council Entry'!AC$8),ISNUMBER('Council Entry'!AC$9)),MAX(MIN('Council Entry'!AC27,'Council Entry'!AC$9),'Council Entry'!AC$8),'Council Entry'!AC27)),IF('Council Entry'!AC$4="Exponential",EXP(IF(AND(ISNUMBER('Council Entry'!AC$8),ISNUMBER('Council Entry'!AC$9)),MAX(MIN('Council Entry'!AC27,'Council Entry'!AC$9),'Council Entry'!AC$8),'Council Entry'!AC27)),IF(AND(ISNUMBER('Council Entry'!AC$8),ISNUMBER('Council Entry'!AC$9)),MAX(MIN('Council Entry'!AC27,'Council Entry'!AC$9),'Council Entry'!AC$8),'Council Entry'!AC27))))-'Council Entry'!AC$5)/('Council Entry'!AC$6-'Council Entry'!AC$5)),1))),"No data"))</f>
        <v/>
      </c>
      <c r="AD27" s="13">
        <f>IF('Council Entry'!AD27="","",IFERROR(MAX(0,MIN(10,ROUND(IF('Council Entry'!AD$7="Decrease Risk",10-10*((IF('Council Entry'!AD$4="Logarithm",LN(0.001+IF(AND(ISNUMBER('Council Entry'!AD$8),ISNUMBER('Council Entry'!AD$9)),MAX(MIN('Council Entry'!AD27,'Council Entry'!AD$9),'Council Entry'!AD$8),'Council Entry'!AD27)),IF('Council Entry'!AD$4="Exponential",EXP(IF(AND(ISNUMBER('Council Entry'!AD$8),ISNUMBER('Council Entry'!AD$9)),MAX(MIN('Council Entry'!AD27,'Council Entry'!AD$9),'Council Entry'!AD$8),'Council Entry'!AD27)),IF(AND(ISNUMBER('Council Entry'!AD$8),ISNUMBER('Council Entry'!AD$9)),MAX(MIN('Council Entry'!AD27,'Council Entry'!AD$9),'Council Entry'!AD$8),'Council Entry'!AD27))))-'Council Entry'!AD$5)/('Council Entry'!AD$6-'Council Entry'!AD$5),10*((IF('Council Entry'!AD$4="Logarithm",LN(0.001+IF(AND(ISNUMBER('Council Entry'!AD$8),ISNUMBER('Council Entry'!AD$9)),MAX(MIN('Council Entry'!AD27,'Council Entry'!AD$9),'Council Entry'!AD$8),'Council Entry'!AD27)),IF('Council Entry'!AD$4="Exponential",EXP(IF(AND(ISNUMBER('Council Entry'!AD$8),ISNUMBER('Council Entry'!AD$9)),MAX(MIN('Council Entry'!AD27,'Council Entry'!AD$9),'Council Entry'!AD$8),'Council Entry'!AD27)),IF(AND(ISNUMBER('Council Entry'!AD$8),ISNUMBER('Council Entry'!AD$9)),MAX(MIN('Council Entry'!AD27,'Council Entry'!AD$9),'Council Entry'!AD$8),'Council Entry'!AD27))))-'Council Entry'!AD$5)/('Council Entry'!AD$6-'Council Entry'!AD$5)),1))),"No data"))</f>
        <v/>
      </c>
      <c r="AE27" s="13">
        <f>IF('Council Entry'!AE27="","",IFERROR(MAX(0,MIN(10,ROUND(IF('Council Entry'!AE$7="Decrease Risk",10-10*((IF('Council Entry'!AE$4="Logarithm",LN(0.001+IF(AND(ISNUMBER('Council Entry'!AE$8),ISNUMBER('Council Entry'!AE$9)),MAX(MIN('Council Entry'!AE27,'Council Entry'!AE$9),'Council Entry'!AE$8),'Council Entry'!AE27)),IF('Council Entry'!AE$4="Exponential",EXP(IF(AND(ISNUMBER('Council Entry'!AE$8),ISNUMBER('Council Entry'!AE$9)),MAX(MIN('Council Entry'!AE27,'Council Entry'!AE$9),'Council Entry'!AE$8),'Council Entry'!AE27)),IF(AND(ISNUMBER('Council Entry'!AE$8),ISNUMBER('Council Entry'!AE$9)),MAX(MIN('Council Entry'!AE27,'Council Entry'!AE$9),'Council Entry'!AE$8),'Council Entry'!AE27))))-'Council Entry'!AE$5)/('Council Entry'!AE$6-'Council Entry'!AE$5),10*((IF('Council Entry'!AE$4="Logarithm",LN(0.001+IF(AND(ISNUMBER('Council Entry'!AE$8),ISNUMBER('Council Entry'!AE$9)),MAX(MIN('Council Entry'!AE27,'Council Entry'!AE$9),'Council Entry'!AE$8),'Council Entry'!AE27)),IF('Council Entry'!AE$4="Exponential",EXP(IF(AND(ISNUMBER('Council Entry'!AE$8),ISNUMBER('Council Entry'!AE$9)),MAX(MIN('Council Entry'!AE27,'Council Entry'!AE$9),'Council Entry'!AE$8),'Council Entry'!AE27)),IF(AND(ISNUMBER('Council Entry'!AE$8),ISNUMBER('Council Entry'!AE$9)),MAX(MIN('Council Entry'!AE27,'Council Entry'!AE$9),'Council Entry'!AE$8),'Council Entry'!AE27))))-'Council Entry'!AE$5)/('Council Entry'!AE$6-'Council Entry'!AE$5)),1))),"No data"))</f>
        <v/>
      </c>
      <c r="AF27" s="13">
        <f>IF('Council Entry'!AF27="","",IFERROR(MAX(0,MIN(10,ROUND(IF('Council Entry'!AF$7="Decrease Risk",10-10*((IF('Council Entry'!AF$4="Logarithm",LN(0.001+IF(AND(ISNUMBER('Council Entry'!AF$8),ISNUMBER('Council Entry'!AF$9)),MAX(MIN('Council Entry'!AF27,'Council Entry'!AF$9),'Council Entry'!AF$8),'Council Entry'!AF27)),IF('Council Entry'!AF$4="Exponential",EXP(IF(AND(ISNUMBER('Council Entry'!AF$8),ISNUMBER('Council Entry'!AF$9)),MAX(MIN('Council Entry'!AF27,'Council Entry'!AF$9),'Council Entry'!AF$8),'Council Entry'!AF27)),IF(AND(ISNUMBER('Council Entry'!AF$8),ISNUMBER('Council Entry'!AF$9)),MAX(MIN('Council Entry'!AF27,'Council Entry'!AF$9),'Council Entry'!AF$8),'Council Entry'!AF27))))-'Council Entry'!AF$5)/('Council Entry'!AF$6-'Council Entry'!AF$5),10*((IF('Council Entry'!AF$4="Logarithm",LN(0.001+IF(AND(ISNUMBER('Council Entry'!AF$8),ISNUMBER('Council Entry'!AF$9)),MAX(MIN('Council Entry'!AF27,'Council Entry'!AF$9),'Council Entry'!AF$8),'Council Entry'!AF27)),IF('Council Entry'!AF$4="Exponential",EXP(IF(AND(ISNUMBER('Council Entry'!AF$8),ISNUMBER('Council Entry'!AF$9)),MAX(MIN('Council Entry'!AF27,'Council Entry'!AF$9),'Council Entry'!AF$8),'Council Entry'!AF27)),IF(AND(ISNUMBER('Council Entry'!AF$8),ISNUMBER('Council Entry'!AF$9)),MAX(MIN('Council Entry'!AF27,'Council Entry'!AF$9),'Council Entry'!AF$8),'Council Entry'!AF27))))-'Council Entry'!AF$5)/('Council Entry'!AF$6-'Council Entry'!AF$5)),1))),"No data"))</f>
        <v/>
      </c>
      <c r="AG27" s="13">
        <f>IF('Council Entry'!AG27="","",IFERROR(MAX(0,MIN(10,ROUND(IF('Council Entry'!AG$7="Decrease Risk",10-10*((IF('Council Entry'!AG$4="Logarithm",LN(0.001+IF(AND(ISNUMBER('Council Entry'!AG$8),ISNUMBER('Council Entry'!AG$9)),MAX(MIN('Council Entry'!AG27,'Council Entry'!AG$9),'Council Entry'!AG$8),'Council Entry'!AG27)),IF('Council Entry'!AG$4="Exponential",EXP(IF(AND(ISNUMBER('Council Entry'!AG$8),ISNUMBER('Council Entry'!AG$9)),MAX(MIN('Council Entry'!AG27,'Council Entry'!AG$9),'Council Entry'!AG$8),'Council Entry'!AG27)),IF(AND(ISNUMBER('Council Entry'!AG$8),ISNUMBER('Council Entry'!AG$9)),MAX(MIN('Council Entry'!AG27,'Council Entry'!AG$9),'Council Entry'!AG$8),'Council Entry'!AG27))))-'Council Entry'!AG$5)/('Council Entry'!AG$6-'Council Entry'!AG$5),10*((IF('Council Entry'!AG$4="Logarithm",LN(0.001+IF(AND(ISNUMBER('Council Entry'!AG$8),ISNUMBER('Council Entry'!AG$9)),MAX(MIN('Council Entry'!AG27,'Council Entry'!AG$9),'Council Entry'!AG$8),'Council Entry'!AG27)),IF('Council Entry'!AG$4="Exponential",EXP(IF(AND(ISNUMBER('Council Entry'!AG$8),ISNUMBER('Council Entry'!AG$9)),MAX(MIN('Council Entry'!AG27,'Council Entry'!AG$9),'Council Entry'!AG$8),'Council Entry'!AG27)),IF(AND(ISNUMBER('Council Entry'!AG$8),ISNUMBER('Council Entry'!AG$9)),MAX(MIN('Council Entry'!AG27,'Council Entry'!AG$9),'Council Entry'!AG$8),'Council Entry'!AG27))))-'Council Entry'!AG$5)/('Council Entry'!AG$6-'Council Entry'!AG$5)),1))),"No data"))</f>
        <v/>
      </c>
      <c r="AH27" s="13">
        <f>IF('Council Entry'!AH27="","",IFERROR(MAX(0,MIN(10,ROUND(IF('Council Entry'!AH$7="Decrease Risk",10-10*((IF('Council Entry'!AH$4="Logarithm",LN(0.001+IF(AND(ISNUMBER('Council Entry'!AH$8),ISNUMBER('Council Entry'!AH$9)),MAX(MIN('Council Entry'!AH27,'Council Entry'!AH$9),'Council Entry'!AH$8),'Council Entry'!AH27)),IF('Council Entry'!AH$4="Exponential",EXP(IF(AND(ISNUMBER('Council Entry'!AH$8),ISNUMBER('Council Entry'!AH$9)),MAX(MIN('Council Entry'!AH27,'Council Entry'!AH$9),'Council Entry'!AH$8),'Council Entry'!AH27)),IF(AND(ISNUMBER('Council Entry'!AH$8),ISNUMBER('Council Entry'!AH$9)),MAX(MIN('Council Entry'!AH27,'Council Entry'!AH$9),'Council Entry'!AH$8),'Council Entry'!AH27))))-'Council Entry'!AH$5)/('Council Entry'!AH$6-'Council Entry'!AH$5),10*((IF('Council Entry'!AH$4="Logarithm",LN(0.001+IF(AND(ISNUMBER('Council Entry'!AH$8),ISNUMBER('Council Entry'!AH$9)),MAX(MIN('Council Entry'!AH27,'Council Entry'!AH$9),'Council Entry'!AH$8),'Council Entry'!AH27)),IF('Council Entry'!AH$4="Exponential",EXP(IF(AND(ISNUMBER('Council Entry'!AH$8),ISNUMBER('Council Entry'!AH$9)),MAX(MIN('Council Entry'!AH27,'Council Entry'!AH$9),'Council Entry'!AH$8),'Council Entry'!AH27)),IF(AND(ISNUMBER('Council Entry'!AH$8),ISNUMBER('Council Entry'!AH$9)),MAX(MIN('Council Entry'!AH27,'Council Entry'!AH$9),'Council Entry'!AH$8),'Council Entry'!AH27))))-'Council Entry'!AH$5)/('Council Entry'!AH$6-'Council Entry'!AH$5)),1))),"No data"))</f>
        <v/>
      </c>
      <c r="AI27" s="13">
        <f>IF('Council Entry'!AI27="","",IFERROR(MAX(0,MIN(10,ROUND(IF('Council Entry'!AI$7="Decrease Risk",10-10*((IF('Council Entry'!AI$4="Logarithm",LN(0.001+IF(AND(ISNUMBER('Council Entry'!AI$8),ISNUMBER('Council Entry'!AI$9)),MAX(MIN('Council Entry'!AI27,'Council Entry'!AI$9),'Council Entry'!AI$8),'Council Entry'!AI27)),IF('Council Entry'!AI$4="Exponential",EXP(IF(AND(ISNUMBER('Council Entry'!AI$8),ISNUMBER('Council Entry'!AI$9)),MAX(MIN('Council Entry'!AI27,'Council Entry'!AI$9),'Council Entry'!AI$8),'Council Entry'!AI27)),IF(AND(ISNUMBER('Council Entry'!AI$8),ISNUMBER('Council Entry'!AI$9)),MAX(MIN('Council Entry'!AI27,'Council Entry'!AI$9),'Council Entry'!AI$8),'Council Entry'!AI27))))-'Council Entry'!AI$5)/('Council Entry'!AI$6-'Council Entry'!AI$5),10*((IF('Council Entry'!AI$4="Logarithm",LN(0.001+IF(AND(ISNUMBER('Council Entry'!AI$8),ISNUMBER('Council Entry'!AI$9)),MAX(MIN('Council Entry'!AI27,'Council Entry'!AI$9),'Council Entry'!AI$8),'Council Entry'!AI27)),IF('Council Entry'!AI$4="Exponential",EXP(IF(AND(ISNUMBER('Council Entry'!AI$8),ISNUMBER('Council Entry'!AI$9)),MAX(MIN('Council Entry'!AI27,'Council Entry'!AI$9),'Council Entry'!AI$8),'Council Entry'!AI27)),IF(AND(ISNUMBER('Council Entry'!AI$8),ISNUMBER('Council Entry'!AI$9)),MAX(MIN('Council Entry'!AI27,'Council Entry'!AI$9),'Council Entry'!AI$8),'Council Entry'!AI27))))-'Council Entry'!AI$5)/('Council Entry'!AI$6-'Council Entry'!AI$5)),1))),"No data"))</f>
        <v/>
      </c>
      <c r="AJ27" s="13">
        <f>IF('Council Entry'!AJ27="","",IFERROR(MAX(0,MIN(10,ROUND(IF('Council Entry'!AJ$7="Decrease Risk",10-10*((IF('Council Entry'!AJ$4="Logarithm",LN(0.001+IF(AND(ISNUMBER('Council Entry'!AJ$8),ISNUMBER('Council Entry'!AJ$9)),MAX(MIN('Council Entry'!AJ27,'Council Entry'!AJ$9),'Council Entry'!AJ$8),'Council Entry'!AJ27)),IF('Council Entry'!AJ$4="Exponential",EXP(IF(AND(ISNUMBER('Council Entry'!AJ$8),ISNUMBER('Council Entry'!AJ$9)),MAX(MIN('Council Entry'!AJ27,'Council Entry'!AJ$9),'Council Entry'!AJ$8),'Council Entry'!AJ27)),IF(AND(ISNUMBER('Council Entry'!AJ$8),ISNUMBER('Council Entry'!AJ$9)),MAX(MIN('Council Entry'!AJ27,'Council Entry'!AJ$9),'Council Entry'!AJ$8),'Council Entry'!AJ27))))-'Council Entry'!AJ$5)/('Council Entry'!AJ$6-'Council Entry'!AJ$5),10*((IF('Council Entry'!AJ$4="Logarithm",LN(0.001+IF(AND(ISNUMBER('Council Entry'!AJ$8),ISNUMBER('Council Entry'!AJ$9)),MAX(MIN('Council Entry'!AJ27,'Council Entry'!AJ$9),'Council Entry'!AJ$8),'Council Entry'!AJ27)),IF('Council Entry'!AJ$4="Exponential",EXP(IF(AND(ISNUMBER('Council Entry'!AJ$8),ISNUMBER('Council Entry'!AJ$9)),MAX(MIN('Council Entry'!AJ27,'Council Entry'!AJ$9),'Council Entry'!AJ$8),'Council Entry'!AJ27)),IF(AND(ISNUMBER('Council Entry'!AJ$8),ISNUMBER('Council Entry'!AJ$9)),MAX(MIN('Council Entry'!AJ27,'Council Entry'!AJ$9),'Council Entry'!AJ$8),'Council Entry'!AJ27))))-'Council Entry'!AJ$5)/('Council Entry'!AJ$6-'Council Entry'!AJ$5)),1))),"No data"))</f>
        <v/>
      </c>
      <c r="AK27" s="13">
        <f>IF('Council Entry'!AK27="","",IFERROR(MAX(0,MIN(10,ROUND(IF('Council Entry'!AK$7="Decrease Risk",10-10*((IF('Council Entry'!AK$4="Logarithm",LN(0.001+IF(AND(ISNUMBER('Council Entry'!AK$8),ISNUMBER('Council Entry'!AK$9)),MAX(MIN('Council Entry'!AK27,'Council Entry'!AK$9),'Council Entry'!AK$8),'Council Entry'!AK27)),IF('Council Entry'!AK$4="Exponential",EXP(IF(AND(ISNUMBER('Council Entry'!AK$8),ISNUMBER('Council Entry'!AK$9)),MAX(MIN('Council Entry'!AK27,'Council Entry'!AK$9),'Council Entry'!AK$8),'Council Entry'!AK27)),IF(AND(ISNUMBER('Council Entry'!AK$8),ISNUMBER('Council Entry'!AK$9)),MAX(MIN('Council Entry'!AK27,'Council Entry'!AK$9),'Council Entry'!AK$8),'Council Entry'!AK27))))-'Council Entry'!AK$5)/('Council Entry'!AK$6-'Council Entry'!AK$5),10*((IF('Council Entry'!AK$4="Logarithm",LN(0.001+IF(AND(ISNUMBER('Council Entry'!AK$8),ISNUMBER('Council Entry'!AK$9)),MAX(MIN('Council Entry'!AK27,'Council Entry'!AK$9),'Council Entry'!AK$8),'Council Entry'!AK27)),IF('Council Entry'!AK$4="Exponential",EXP(IF(AND(ISNUMBER('Council Entry'!AK$8),ISNUMBER('Council Entry'!AK$9)),MAX(MIN('Council Entry'!AK27,'Council Entry'!AK$9),'Council Entry'!AK$8),'Council Entry'!AK27)),IF(AND(ISNUMBER('Council Entry'!AK$8),ISNUMBER('Council Entry'!AK$9)),MAX(MIN('Council Entry'!AK27,'Council Entry'!AK$9),'Council Entry'!AK$8),'Council Entry'!AK27))))-'Council Entry'!AK$5)/('Council Entry'!AK$6-'Council Entry'!AK$5)),1))),"No data"))</f>
        <v/>
      </c>
      <c r="AL27" s="13">
        <f>IF('Council Entry'!AL27="","",IFERROR(MAX(0,MIN(10,ROUND(IF('Council Entry'!AL$7="Decrease Risk",10-10*((IF('Council Entry'!AL$4="Logarithm",LN(0.001+IF(AND(ISNUMBER('Council Entry'!AL$8),ISNUMBER('Council Entry'!AL$9)),MAX(MIN('Council Entry'!AL27,'Council Entry'!AL$9),'Council Entry'!AL$8),'Council Entry'!AL27)),IF('Council Entry'!AL$4="Exponential",EXP(IF(AND(ISNUMBER('Council Entry'!AL$8),ISNUMBER('Council Entry'!AL$9)),MAX(MIN('Council Entry'!AL27,'Council Entry'!AL$9),'Council Entry'!AL$8),'Council Entry'!AL27)),IF(AND(ISNUMBER('Council Entry'!AL$8),ISNUMBER('Council Entry'!AL$9)),MAX(MIN('Council Entry'!AL27,'Council Entry'!AL$9),'Council Entry'!AL$8),'Council Entry'!AL27))))-'Council Entry'!AL$5)/('Council Entry'!AL$6-'Council Entry'!AL$5),10*((IF('Council Entry'!AL$4="Logarithm",LN(0.001+IF(AND(ISNUMBER('Council Entry'!AL$8),ISNUMBER('Council Entry'!AL$9)),MAX(MIN('Council Entry'!AL27,'Council Entry'!AL$9),'Council Entry'!AL$8),'Council Entry'!AL27)),IF('Council Entry'!AL$4="Exponential",EXP(IF(AND(ISNUMBER('Council Entry'!AL$8),ISNUMBER('Council Entry'!AL$9)),MAX(MIN('Council Entry'!AL27,'Council Entry'!AL$9),'Council Entry'!AL$8),'Council Entry'!AL27)),IF(AND(ISNUMBER('Council Entry'!AL$8),ISNUMBER('Council Entry'!AL$9)),MAX(MIN('Council Entry'!AL27,'Council Entry'!AL$9),'Council Entry'!AL$8),'Council Entry'!AL27))))-'Council Entry'!AL$5)/('Council Entry'!AL$6-'Council Entry'!AL$5)),1))),"No data"))</f>
        <v/>
      </c>
      <c r="AM27" s="13">
        <f>IF('Council Entry'!AM27="","",IFERROR(MAX(0,MIN(10,ROUND(IF('Council Entry'!AM$7="Decrease Risk",10-10*((IF('Council Entry'!AM$4="Logarithm",LN(0.001+IF(AND(ISNUMBER('Council Entry'!AM$8),ISNUMBER('Council Entry'!AM$9)),MAX(MIN('Council Entry'!AM27,'Council Entry'!AM$9),'Council Entry'!AM$8),'Council Entry'!AM27)),IF('Council Entry'!AM$4="Exponential",EXP(IF(AND(ISNUMBER('Council Entry'!AM$8),ISNUMBER('Council Entry'!AM$9)),MAX(MIN('Council Entry'!AM27,'Council Entry'!AM$9),'Council Entry'!AM$8),'Council Entry'!AM27)),IF(AND(ISNUMBER('Council Entry'!AM$8),ISNUMBER('Council Entry'!AM$9)),MAX(MIN('Council Entry'!AM27,'Council Entry'!AM$9),'Council Entry'!AM$8),'Council Entry'!AM27))))-'Council Entry'!AM$5)/('Council Entry'!AM$6-'Council Entry'!AM$5),10*((IF('Council Entry'!AM$4="Logarithm",LN(0.001+IF(AND(ISNUMBER('Council Entry'!AM$8),ISNUMBER('Council Entry'!AM$9)),MAX(MIN('Council Entry'!AM27,'Council Entry'!AM$9),'Council Entry'!AM$8),'Council Entry'!AM27)),IF('Council Entry'!AM$4="Exponential",EXP(IF(AND(ISNUMBER('Council Entry'!AM$8),ISNUMBER('Council Entry'!AM$9)),MAX(MIN('Council Entry'!AM27,'Council Entry'!AM$9),'Council Entry'!AM$8),'Council Entry'!AM27)),IF(AND(ISNUMBER('Council Entry'!AM$8),ISNUMBER('Council Entry'!AM$9)),MAX(MIN('Council Entry'!AM27,'Council Entry'!AM$9),'Council Entry'!AM$8),'Council Entry'!AM27))))-'Council Entry'!AM$5)/('Council Entry'!AM$6-'Council Entry'!AM$5)),1))),"No data"))</f>
        <v/>
      </c>
      <c r="AN27" s="13">
        <f>IF('Council Entry'!AN27="","",IFERROR(MAX(0,MIN(10,ROUND(IF('Council Entry'!AN$7="Decrease Risk",10-10*((IF('Council Entry'!AN$4="Logarithm",LN(0.001+IF(AND(ISNUMBER('Council Entry'!AN$8),ISNUMBER('Council Entry'!AN$9)),MAX(MIN('Council Entry'!AN27,'Council Entry'!AN$9),'Council Entry'!AN$8),'Council Entry'!AN27)),IF('Council Entry'!AN$4="Exponential",EXP(IF(AND(ISNUMBER('Council Entry'!AN$8),ISNUMBER('Council Entry'!AN$9)),MAX(MIN('Council Entry'!AN27,'Council Entry'!AN$9),'Council Entry'!AN$8),'Council Entry'!AN27)),IF(AND(ISNUMBER('Council Entry'!AN$8),ISNUMBER('Council Entry'!AN$9)),MAX(MIN('Council Entry'!AN27,'Council Entry'!AN$9),'Council Entry'!AN$8),'Council Entry'!AN27))))-'Council Entry'!AN$5)/('Council Entry'!AN$6-'Council Entry'!AN$5),10*((IF('Council Entry'!AN$4="Logarithm",LN(0.001+IF(AND(ISNUMBER('Council Entry'!AN$8),ISNUMBER('Council Entry'!AN$9)),MAX(MIN('Council Entry'!AN27,'Council Entry'!AN$9),'Council Entry'!AN$8),'Council Entry'!AN27)),IF('Council Entry'!AN$4="Exponential",EXP(IF(AND(ISNUMBER('Council Entry'!AN$8),ISNUMBER('Council Entry'!AN$9)),MAX(MIN('Council Entry'!AN27,'Council Entry'!AN$9),'Council Entry'!AN$8),'Council Entry'!AN27)),IF(AND(ISNUMBER('Council Entry'!AN$8),ISNUMBER('Council Entry'!AN$9)),MAX(MIN('Council Entry'!AN27,'Council Entry'!AN$9),'Council Entry'!AN$8),'Council Entry'!AN27))))-'Council Entry'!AN$5)/('Council Entry'!AN$6-'Council Entry'!AN$5)),1))),"No data"))</f>
        <v/>
      </c>
      <c r="AO27" s="13">
        <f>IF('Council Entry'!AO27="","",IFERROR(MAX(0,MIN(10,ROUND(IF('Council Entry'!AO$7="Decrease Risk",10-10*((IF('Council Entry'!AO$4="Logarithm",LN(0.001+IF(AND(ISNUMBER('Council Entry'!AO$8),ISNUMBER('Council Entry'!AO$9)),MAX(MIN('Council Entry'!AO27,'Council Entry'!AO$9),'Council Entry'!AO$8),'Council Entry'!AO27)),IF('Council Entry'!AO$4="Exponential",EXP(IF(AND(ISNUMBER('Council Entry'!AO$8),ISNUMBER('Council Entry'!AO$9)),MAX(MIN('Council Entry'!AO27,'Council Entry'!AO$9),'Council Entry'!AO$8),'Council Entry'!AO27)),IF(AND(ISNUMBER('Council Entry'!AO$8),ISNUMBER('Council Entry'!AO$9)),MAX(MIN('Council Entry'!AO27,'Council Entry'!AO$9),'Council Entry'!AO$8),'Council Entry'!AO27))))-'Council Entry'!AO$5)/('Council Entry'!AO$6-'Council Entry'!AO$5),10*((IF('Council Entry'!AO$4="Logarithm",LN(0.001+IF(AND(ISNUMBER('Council Entry'!AO$8),ISNUMBER('Council Entry'!AO$9)),MAX(MIN('Council Entry'!AO27,'Council Entry'!AO$9),'Council Entry'!AO$8),'Council Entry'!AO27)),IF('Council Entry'!AO$4="Exponential",EXP(IF(AND(ISNUMBER('Council Entry'!AO$8),ISNUMBER('Council Entry'!AO$9)),MAX(MIN('Council Entry'!AO27,'Council Entry'!AO$9),'Council Entry'!AO$8),'Council Entry'!AO27)),IF(AND(ISNUMBER('Council Entry'!AO$8),ISNUMBER('Council Entry'!AO$9)),MAX(MIN('Council Entry'!AO27,'Council Entry'!AO$9),'Council Entry'!AO$8),'Council Entry'!AO27))))-'Council Entry'!AO$5)/('Council Entry'!AO$6-'Council Entry'!AO$5)),1))),"No data"))</f>
        <v/>
      </c>
      <c r="AP27" s="13">
        <f>IF('Council Entry'!AP27="","",IFERROR(MAX(0,MIN(10,ROUND(IF('Council Entry'!AP$7="Decrease Risk",10-10*((IF('Council Entry'!AP$4="Logarithm",LN(0.001+IF(AND(ISNUMBER('Council Entry'!AP$8),ISNUMBER('Council Entry'!AP$9)),MAX(MIN('Council Entry'!AP27,'Council Entry'!AP$9),'Council Entry'!AP$8),'Council Entry'!AP27)),IF('Council Entry'!AP$4="Exponential",EXP(IF(AND(ISNUMBER('Council Entry'!AP$8),ISNUMBER('Council Entry'!AP$9)),MAX(MIN('Council Entry'!AP27,'Council Entry'!AP$9),'Council Entry'!AP$8),'Council Entry'!AP27)),IF(AND(ISNUMBER('Council Entry'!AP$8),ISNUMBER('Council Entry'!AP$9)),MAX(MIN('Council Entry'!AP27,'Council Entry'!AP$9),'Council Entry'!AP$8),'Council Entry'!AP27))))-'Council Entry'!AP$5)/('Council Entry'!AP$6-'Council Entry'!AP$5),10*((IF('Council Entry'!AP$4="Logarithm",LN(0.001+IF(AND(ISNUMBER('Council Entry'!AP$8),ISNUMBER('Council Entry'!AP$9)),MAX(MIN('Council Entry'!AP27,'Council Entry'!AP$9),'Council Entry'!AP$8),'Council Entry'!AP27)),IF('Council Entry'!AP$4="Exponential",EXP(IF(AND(ISNUMBER('Council Entry'!AP$8),ISNUMBER('Council Entry'!AP$9)),MAX(MIN('Council Entry'!AP27,'Council Entry'!AP$9),'Council Entry'!AP$8),'Council Entry'!AP27)),IF(AND(ISNUMBER('Council Entry'!AP$8),ISNUMBER('Council Entry'!AP$9)),MAX(MIN('Council Entry'!AP27,'Council Entry'!AP$9),'Council Entry'!AP$8),'Council Entry'!AP27))))-'Council Entry'!AP$5)/('Council Entry'!AP$6-'Council Entry'!AP$5)),1))),"No data"))</f>
        <v/>
      </c>
      <c r="AQ27" s="13">
        <f>IF('Council Entry'!AQ27="","",IFERROR(MAX(0,MIN(10,ROUND(IF('Council Entry'!AQ$7="Decrease Risk",10-10*((IF('Council Entry'!AQ$4="Logarithm",LN(0.001+IF(AND(ISNUMBER('Council Entry'!AQ$8),ISNUMBER('Council Entry'!AQ$9)),MAX(MIN('Council Entry'!AQ27,'Council Entry'!AQ$9),'Council Entry'!AQ$8),'Council Entry'!AQ27)),IF('Council Entry'!AQ$4="Exponential",EXP(IF(AND(ISNUMBER('Council Entry'!AQ$8),ISNUMBER('Council Entry'!AQ$9)),MAX(MIN('Council Entry'!AQ27,'Council Entry'!AQ$9),'Council Entry'!AQ$8),'Council Entry'!AQ27)),IF(AND(ISNUMBER('Council Entry'!AQ$8),ISNUMBER('Council Entry'!AQ$9)),MAX(MIN('Council Entry'!AQ27,'Council Entry'!AQ$9),'Council Entry'!AQ$8),'Council Entry'!AQ27))))-'Council Entry'!AQ$5)/('Council Entry'!AQ$6-'Council Entry'!AQ$5),10*((IF('Council Entry'!AQ$4="Logarithm",LN(0.001+IF(AND(ISNUMBER('Council Entry'!AQ$8),ISNUMBER('Council Entry'!AQ$9)),MAX(MIN('Council Entry'!AQ27,'Council Entry'!AQ$9),'Council Entry'!AQ$8),'Council Entry'!AQ27)),IF('Council Entry'!AQ$4="Exponential",EXP(IF(AND(ISNUMBER('Council Entry'!AQ$8),ISNUMBER('Council Entry'!AQ$9)),MAX(MIN('Council Entry'!AQ27,'Council Entry'!AQ$9),'Council Entry'!AQ$8),'Council Entry'!AQ27)),IF(AND(ISNUMBER('Council Entry'!AQ$8),ISNUMBER('Council Entry'!AQ$9)),MAX(MIN('Council Entry'!AQ27,'Council Entry'!AQ$9),'Council Entry'!AQ$8),'Council Entry'!AQ27))))-'Council Entry'!AQ$5)/('Council Entry'!AQ$6-'Council Entry'!AQ$5)),1))),"No data"))</f>
        <v/>
      </c>
      <c r="AR27" s="13">
        <f>IF('Council Entry'!AR27="","",IFERROR(MAX(0,MIN(10,ROUND(IF('Council Entry'!AR$7="Decrease Risk",10-10*((IF('Council Entry'!AR$4="Logarithm",LN(0.001+IF(AND(ISNUMBER('Council Entry'!AR$8),ISNUMBER('Council Entry'!AR$9)),MAX(MIN('Council Entry'!AR27,'Council Entry'!AR$9),'Council Entry'!AR$8),'Council Entry'!AR27)),IF('Council Entry'!AR$4="Exponential",EXP(IF(AND(ISNUMBER('Council Entry'!AR$8),ISNUMBER('Council Entry'!AR$9)),MAX(MIN('Council Entry'!AR27,'Council Entry'!AR$9),'Council Entry'!AR$8),'Council Entry'!AR27)),IF(AND(ISNUMBER('Council Entry'!AR$8),ISNUMBER('Council Entry'!AR$9)),MAX(MIN('Council Entry'!AR27,'Council Entry'!AR$9),'Council Entry'!AR$8),'Council Entry'!AR27))))-'Council Entry'!AR$5)/('Council Entry'!AR$6-'Council Entry'!AR$5),10*((IF('Council Entry'!AR$4="Logarithm",LN(0.001+IF(AND(ISNUMBER('Council Entry'!AR$8),ISNUMBER('Council Entry'!AR$9)),MAX(MIN('Council Entry'!AR27,'Council Entry'!AR$9),'Council Entry'!AR$8),'Council Entry'!AR27)),IF('Council Entry'!AR$4="Exponential",EXP(IF(AND(ISNUMBER('Council Entry'!AR$8),ISNUMBER('Council Entry'!AR$9)),MAX(MIN('Council Entry'!AR27,'Council Entry'!AR$9),'Council Entry'!AR$8),'Council Entry'!AR27)),IF(AND(ISNUMBER('Council Entry'!AR$8),ISNUMBER('Council Entry'!AR$9)),MAX(MIN('Council Entry'!AR27,'Council Entry'!AR$9),'Council Entry'!AR$8),'Council Entry'!AR27))))-'Council Entry'!AR$5)/('Council Entry'!AR$6-'Council Entry'!AR$5)),1))),"No data"))</f>
        <v/>
      </c>
      <c r="AS27" s="13">
        <f>IF('Council Entry'!AS27="","",IFERROR(MAX(0,MIN(10,ROUND(IF('Council Entry'!AS$7="Decrease Risk",10-10*((IF('Council Entry'!AS$4="Logarithm",LN(0.001+IF(AND(ISNUMBER('Council Entry'!AS$8),ISNUMBER('Council Entry'!AS$9)),MAX(MIN('Council Entry'!AS27,'Council Entry'!AS$9),'Council Entry'!AS$8),'Council Entry'!AS27)),IF('Council Entry'!AS$4="Exponential",EXP(IF(AND(ISNUMBER('Council Entry'!AS$8),ISNUMBER('Council Entry'!AS$9)),MAX(MIN('Council Entry'!AS27,'Council Entry'!AS$9),'Council Entry'!AS$8),'Council Entry'!AS27)),IF(AND(ISNUMBER('Council Entry'!AS$8),ISNUMBER('Council Entry'!AS$9)),MAX(MIN('Council Entry'!AS27,'Council Entry'!AS$9),'Council Entry'!AS$8),'Council Entry'!AS27))))-'Council Entry'!AS$5)/('Council Entry'!AS$6-'Council Entry'!AS$5),10*((IF('Council Entry'!AS$4="Logarithm",LN(0.001+IF(AND(ISNUMBER('Council Entry'!AS$8),ISNUMBER('Council Entry'!AS$9)),MAX(MIN('Council Entry'!AS27,'Council Entry'!AS$9),'Council Entry'!AS$8),'Council Entry'!AS27)),IF('Council Entry'!AS$4="Exponential",EXP(IF(AND(ISNUMBER('Council Entry'!AS$8),ISNUMBER('Council Entry'!AS$9)),MAX(MIN('Council Entry'!AS27,'Council Entry'!AS$9),'Council Entry'!AS$8),'Council Entry'!AS27)),IF(AND(ISNUMBER('Council Entry'!AS$8),ISNUMBER('Council Entry'!AS$9)),MAX(MIN('Council Entry'!AS27,'Council Entry'!AS$9),'Council Entry'!AS$8),'Council Entry'!AS27))))-'Council Entry'!AS$5)/('Council Entry'!AS$6-'Council Entry'!AS$5)),1))),"No data"))</f>
        <v/>
      </c>
      <c r="AT27" s="13">
        <f>IF('Council Entry'!AT27="","",IFERROR(MAX(0,MIN(10,ROUND(IF('Council Entry'!AT$7="Decrease Risk",10-10*((IF('Council Entry'!AT$4="Logarithm",LN(0.001+IF(AND(ISNUMBER('Council Entry'!AT$8),ISNUMBER('Council Entry'!AT$9)),MAX(MIN('Council Entry'!AT27,'Council Entry'!AT$9),'Council Entry'!AT$8),'Council Entry'!AT27)),IF('Council Entry'!AT$4="Exponential",EXP(IF(AND(ISNUMBER('Council Entry'!AT$8),ISNUMBER('Council Entry'!AT$9)),MAX(MIN('Council Entry'!AT27,'Council Entry'!AT$9),'Council Entry'!AT$8),'Council Entry'!AT27)),IF(AND(ISNUMBER('Council Entry'!AT$8),ISNUMBER('Council Entry'!AT$9)),MAX(MIN('Council Entry'!AT27,'Council Entry'!AT$9),'Council Entry'!AT$8),'Council Entry'!AT27))))-'Council Entry'!AT$5)/('Council Entry'!AT$6-'Council Entry'!AT$5),10*((IF('Council Entry'!AT$4="Logarithm",LN(0.001+IF(AND(ISNUMBER('Council Entry'!AT$8),ISNUMBER('Council Entry'!AT$9)),MAX(MIN('Council Entry'!AT27,'Council Entry'!AT$9),'Council Entry'!AT$8),'Council Entry'!AT27)),IF('Council Entry'!AT$4="Exponential",EXP(IF(AND(ISNUMBER('Council Entry'!AT$8),ISNUMBER('Council Entry'!AT$9)),MAX(MIN('Council Entry'!AT27,'Council Entry'!AT$9),'Council Entry'!AT$8),'Council Entry'!AT27)),IF(AND(ISNUMBER('Council Entry'!AT$8),ISNUMBER('Council Entry'!AT$9)),MAX(MIN('Council Entry'!AT27,'Council Entry'!AT$9),'Council Entry'!AT$8),'Council Entry'!AT27))))-'Council Entry'!AT$5)/('Council Entry'!AT$6-'Council Entry'!AT$5)),1))),"No data"))</f>
        <v/>
      </c>
      <c r="AU27" s="13">
        <f>IF('Council Entry'!AU27="","",IFERROR(MAX(0,MIN(10,ROUND(IF('Council Entry'!AU$7="Decrease Risk",10-10*((IF('Council Entry'!AU$4="Logarithm",LN(0.001+IF(AND(ISNUMBER('Council Entry'!AU$8),ISNUMBER('Council Entry'!AU$9)),MAX(MIN('Council Entry'!AU27,'Council Entry'!AU$9),'Council Entry'!AU$8),'Council Entry'!AU27)),IF('Council Entry'!AU$4="Exponential",EXP(IF(AND(ISNUMBER('Council Entry'!AU$8),ISNUMBER('Council Entry'!AU$9)),MAX(MIN('Council Entry'!AU27,'Council Entry'!AU$9),'Council Entry'!AU$8),'Council Entry'!AU27)),IF(AND(ISNUMBER('Council Entry'!AU$8),ISNUMBER('Council Entry'!AU$9)),MAX(MIN('Council Entry'!AU27,'Council Entry'!AU$9),'Council Entry'!AU$8),'Council Entry'!AU27))))-'Council Entry'!AU$5)/('Council Entry'!AU$6-'Council Entry'!AU$5),10*((IF('Council Entry'!AU$4="Logarithm",LN(0.001+IF(AND(ISNUMBER('Council Entry'!AU$8),ISNUMBER('Council Entry'!AU$9)),MAX(MIN('Council Entry'!AU27,'Council Entry'!AU$9),'Council Entry'!AU$8),'Council Entry'!AU27)),IF('Council Entry'!AU$4="Exponential",EXP(IF(AND(ISNUMBER('Council Entry'!AU$8),ISNUMBER('Council Entry'!AU$9)),MAX(MIN('Council Entry'!AU27,'Council Entry'!AU$9),'Council Entry'!AU$8),'Council Entry'!AU27)),IF(AND(ISNUMBER('Council Entry'!AU$8),ISNUMBER('Council Entry'!AU$9)),MAX(MIN('Council Entry'!AU27,'Council Entry'!AU$9),'Council Entry'!AU$8),'Council Entry'!AU27))))-'Council Entry'!AU$5)/('Council Entry'!AU$6-'Council Entry'!AU$5)),1))),"No data"))</f>
        <v/>
      </c>
      <c r="AV27" s="13">
        <f>IF('Council Entry'!AV27="","",IFERROR(MAX(0,MIN(10,ROUND(IF('Council Entry'!AV$7="Decrease Risk",10-10*((IF('Council Entry'!AV$4="Logarithm",LN(0.001+IF(AND(ISNUMBER('Council Entry'!AV$8),ISNUMBER('Council Entry'!AV$9)),MAX(MIN('Council Entry'!AV27,'Council Entry'!AV$9),'Council Entry'!AV$8),'Council Entry'!AV27)),IF('Council Entry'!AV$4="Exponential",EXP(IF(AND(ISNUMBER('Council Entry'!AV$8),ISNUMBER('Council Entry'!AV$9)),MAX(MIN('Council Entry'!AV27,'Council Entry'!AV$9),'Council Entry'!AV$8),'Council Entry'!AV27)),IF(AND(ISNUMBER('Council Entry'!AV$8),ISNUMBER('Council Entry'!AV$9)),MAX(MIN('Council Entry'!AV27,'Council Entry'!AV$9),'Council Entry'!AV$8),'Council Entry'!AV27))))-'Council Entry'!AV$5)/('Council Entry'!AV$6-'Council Entry'!AV$5),10*((IF('Council Entry'!AV$4="Logarithm",LN(0.001+IF(AND(ISNUMBER('Council Entry'!AV$8),ISNUMBER('Council Entry'!AV$9)),MAX(MIN('Council Entry'!AV27,'Council Entry'!AV$9),'Council Entry'!AV$8),'Council Entry'!AV27)),IF('Council Entry'!AV$4="Exponential",EXP(IF(AND(ISNUMBER('Council Entry'!AV$8),ISNUMBER('Council Entry'!AV$9)),MAX(MIN('Council Entry'!AV27,'Council Entry'!AV$9),'Council Entry'!AV$8),'Council Entry'!AV27)),IF(AND(ISNUMBER('Council Entry'!AV$8),ISNUMBER('Council Entry'!AV$9)),MAX(MIN('Council Entry'!AV27,'Council Entry'!AV$9),'Council Entry'!AV$8),'Council Entry'!AV27))))-'Council Entry'!AV$5)/('Council Entry'!AV$6-'Council Entry'!AV$5)),1))),"No data"))</f>
        <v/>
      </c>
      <c r="AW27" s="13">
        <f>IF('Council Entry'!AW27="","",IFERROR(MAX(0,MIN(10,ROUND(IF('Council Entry'!AW$7="Decrease Risk",10-10*((IF('Council Entry'!AW$4="Logarithm",LN(0.001+IF(AND(ISNUMBER('Council Entry'!AW$8),ISNUMBER('Council Entry'!AW$9)),MAX(MIN('Council Entry'!AW27,'Council Entry'!AW$9),'Council Entry'!AW$8),'Council Entry'!AW27)),IF('Council Entry'!AW$4="Exponential",EXP(IF(AND(ISNUMBER('Council Entry'!AW$8),ISNUMBER('Council Entry'!AW$9)),MAX(MIN('Council Entry'!AW27,'Council Entry'!AW$9),'Council Entry'!AW$8),'Council Entry'!AW27)),IF(AND(ISNUMBER('Council Entry'!AW$8),ISNUMBER('Council Entry'!AW$9)),MAX(MIN('Council Entry'!AW27,'Council Entry'!AW$9),'Council Entry'!AW$8),'Council Entry'!AW27))))-'Council Entry'!AW$5)/('Council Entry'!AW$6-'Council Entry'!AW$5),10*((IF('Council Entry'!AW$4="Logarithm",LN(0.001+IF(AND(ISNUMBER('Council Entry'!AW$8),ISNUMBER('Council Entry'!AW$9)),MAX(MIN('Council Entry'!AW27,'Council Entry'!AW$9),'Council Entry'!AW$8),'Council Entry'!AW27)),IF('Council Entry'!AW$4="Exponential",EXP(IF(AND(ISNUMBER('Council Entry'!AW$8),ISNUMBER('Council Entry'!AW$9)),MAX(MIN('Council Entry'!AW27,'Council Entry'!AW$9),'Council Entry'!AW$8),'Council Entry'!AW27)),IF(AND(ISNUMBER('Council Entry'!AW$8),ISNUMBER('Council Entry'!AW$9)),MAX(MIN('Council Entry'!AW27,'Council Entry'!AW$9),'Council Entry'!AW$8),'Council Entry'!AW27))))-'Council Entry'!AW$5)/('Council Entry'!AW$6-'Council Entry'!AW$5)),1))),"No data"))</f>
        <v/>
      </c>
      <c r="AX27" s="13">
        <f>IF('Council Entry'!AX27="","",IFERROR(MAX(0,MIN(10,ROUND(IF('Council Entry'!AX$7="Decrease Risk",10-10*((IF('Council Entry'!AX$4="Logarithm",LN(0.001+IF(AND(ISNUMBER('Council Entry'!AX$8),ISNUMBER('Council Entry'!AX$9)),MAX(MIN('Council Entry'!AX27,'Council Entry'!AX$9),'Council Entry'!AX$8),'Council Entry'!AX27)),IF('Council Entry'!AX$4="Exponential",EXP(IF(AND(ISNUMBER('Council Entry'!AX$8),ISNUMBER('Council Entry'!AX$9)),MAX(MIN('Council Entry'!AX27,'Council Entry'!AX$9),'Council Entry'!AX$8),'Council Entry'!AX27)),IF(AND(ISNUMBER('Council Entry'!AX$8),ISNUMBER('Council Entry'!AX$9)),MAX(MIN('Council Entry'!AX27,'Council Entry'!AX$9),'Council Entry'!AX$8),'Council Entry'!AX27))))-'Council Entry'!AX$5)/('Council Entry'!AX$6-'Council Entry'!AX$5),10*((IF('Council Entry'!AX$4="Logarithm",LN(0.001+IF(AND(ISNUMBER('Council Entry'!AX$8),ISNUMBER('Council Entry'!AX$9)),MAX(MIN('Council Entry'!AX27,'Council Entry'!AX$9),'Council Entry'!AX$8),'Council Entry'!AX27)),IF('Council Entry'!AX$4="Exponential",EXP(IF(AND(ISNUMBER('Council Entry'!AX$8),ISNUMBER('Council Entry'!AX$9)),MAX(MIN('Council Entry'!AX27,'Council Entry'!AX$9),'Council Entry'!AX$8),'Council Entry'!AX27)),IF(AND(ISNUMBER('Council Entry'!AX$8),ISNUMBER('Council Entry'!AX$9)),MAX(MIN('Council Entry'!AX27,'Council Entry'!AX$9),'Council Entry'!AX$8),'Council Entry'!AX27))))-'Council Entry'!AX$5)/('Council Entry'!AX$6-'Council Entry'!AX$5)),1))),"No data"))</f>
        <v/>
      </c>
      <c r="AY27" s="13">
        <f>IF('Council Entry'!AY27="","",IFERROR(MAX(0,MIN(10,ROUND(IF('Council Entry'!AY$7="Decrease Risk",10-10*((IF('Council Entry'!AY$4="Logarithm",LN(0.001+IF(AND(ISNUMBER('Council Entry'!AY$8),ISNUMBER('Council Entry'!AY$9)),MAX(MIN('Council Entry'!AY27,'Council Entry'!AY$9),'Council Entry'!AY$8),'Council Entry'!AY27)),IF('Council Entry'!AY$4="Exponential",EXP(IF(AND(ISNUMBER('Council Entry'!AY$8),ISNUMBER('Council Entry'!AY$9)),MAX(MIN('Council Entry'!AY27,'Council Entry'!AY$9),'Council Entry'!AY$8),'Council Entry'!AY27)),IF(AND(ISNUMBER('Council Entry'!AY$8),ISNUMBER('Council Entry'!AY$9)),MAX(MIN('Council Entry'!AY27,'Council Entry'!AY$9),'Council Entry'!AY$8),'Council Entry'!AY27))))-'Council Entry'!AY$5)/('Council Entry'!AY$6-'Council Entry'!AY$5),10*((IF('Council Entry'!AY$4="Logarithm",LN(0.001+IF(AND(ISNUMBER('Council Entry'!AY$8),ISNUMBER('Council Entry'!AY$9)),MAX(MIN('Council Entry'!AY27,'Council Entry'!AY$9),'Council Entry'!AY$8),'Council Entry'!AY27)),IF('Council Entry'!AY$4="Exponential",EXP(IF(AND(ISNUMBER('Council Entry'!AY$8),ISNUMBER('Council Entry'!AY$9)),MAX(MIN('Council Entry'!AY27,'Council Entry'!AY$9),'Council Entry'!AY$8),'Council Entry'!AY27)),IF(AND(ISNUMBER('Council Entry'!AY$8),ISNUMBER('Council Entry'!AY$9)),MAX(MIN('Council Entry'!AY27,'Council Entry'!AY$9),'Council Entry'!AY$8),'Council Entry'!AY27))))-'Council Entry'!AY$5)/('Council Entry'!AY$6-'Council Entry'!AY$5)),1))),"No data"))</f>
        <v/>
      </c>
      <c r="AZ27" s="13">
        <f>IF('Council Entry'!AZ27="","",IFERROR(MAX(0,MIN(10,ROUND(IF('Council Entry'!AZ$7="Decrease Risk",10-10*((IF('Council Entry'!AZ$4="Logarithm",LN(0.001+IF(AND(ISNUMBER('Council Entry'!AZ$8),ISNUMBER('Council Entry'!AZ$9)),MAX(MIN('Council Entry'!AZ27,'Council Entry'!AZ$9),'Council Entry'!AZ$8),'Council Entry'!AZ27)),IF('Council Entry'!AZ$4="Exponential",EXP(IF(AND(ISNUMBER('Council Entry'!AZ$8),ISNUMBER('Council Entry'!AZ$9)),MAX(MIN('Council Entry'!AZ27,'Council Entry'!AZ$9),'Council Entry'!AZ$8),'Council Entry'!AZ27)),IF(AND(ISNUMBER('Council Entry'!AZ$8),ISNUMBER('Council Entry'!AZ$9)),MAX(MIN('Council Entry'!AZ27,'Council Entry'!AZ$9),'Council Entry'!AZ$8),'Council Entry'!AZ27))))-'Council Entry'!AZ$5)/('Council Entry'!AZ$6-'Council Entry'!AZ$5),10*((IF('Council Entry'!AZ$4="Logarithm",LN(0.001+IF(AND(ISNUMBER('Council Entry'!AZ$8),ISNUMBER('Council Entry'!AZ$9)),MAX(MIN('Council Entry'!AZ27,'Council Entry'!AZ$9),'Council Entry'!AZ$8),'Council Entry'!AZ27)),IF('Council Entry'!AZ$4="Exponential",EXP(IF(AND(ISNUMBER('Council Entry'!AZ$8),ISNUMBER('Council Entry'!AZ$9)),MAX(MIN('Council Entry'!AZ27,'Council Entry'!AZ$9),'Council Entry'!AZ$8),'Council Entry'!AZ27)),IF(AND(ISNUMBER('Council Entry'!AZ$8),ISNUMBER('Council Entry'!AZ$9)),MAX(MIN('Council Entry'!AZ27,'Council Entry'!AZ$9),'Council Entry'!AZ$8),'Council Entry'!AZ27))))-'Council Entry'!AZ$5)/('Council Entry'!AZ$6-'Council Entry'!AZ$5)),1))),"No data"))</f>
        <v/>
      </c>
      <c r="BA27" s="13">
        <f>IF('Council Entry'!BA27="","",IFERROR(MAX(0,MIN(10,ROUND(IF('Council Entry'!BA$7="Decrease Risk",10-10*((IF('Council Entry'!BA$4="Logarithm",LN(0.001+IF(AND(ISNUMBER('Council Entry'!BA$8),ISNUMBER('Council Entry'!BA$9)),MAX(MIN('Council Entry'!BA27,'Council Entry'!BA$9),'Council Entry'!BA$8),'Council Entry'!BA27)),IF('Council Entry'!BA$4="Exponential",EXP(IF(AND(ISNUMBER('Council Entry'!BA$8),ISNUMBER('Council Entry'!BA$9)),MAX(MIN('Council Entry'!BA27,'Council Entry'!BA$9),'Council Entry'!BA$8),'Council Entry'!BA27)),IF(AND(ISNUMBER('Council Entry'!BA$8),ISNUMBER('Council Entry'!BA$9)),MAX(MIN('Council Entry'!BA27,'Council Entry'!BA$9),'Council Entry'!BA$8),'Council Entry'!BA27))))-'Council Entry'!BA$5)/('Council Entry'!BA$6-'Council Entry'!BA$5),10*((IF('Council Entry'!BA$4="Logarithm",LN(0.001+IF(AND(ISNUMBER('Council Entry'!BA$8),ISNUMBER('Council Entry'!BA$9)),MAX(MIN('Council Entry'!BA27,'Council Entry'!BA$9),'Council Entry'!BA$8),'Council Entry'!BA27)),IF('Council Entry'!BA$4="Exponential",EXP(IF(AND(ISNUMBER('Council Entry'!BA$8),ISNUMBER('Council Entry'!BA$9)),MAX(MIN('Council Entry'!BA27,'Council Entry'!BA$9),'Council Entry'!BA$8),'Council Entry'!BA27)),IF(AND(ISNUMBER('Council Entry'!BA$8),ISNUMBER('Council Entry'!BA$9)),MAX(MIN('Council Entry'!BA27,'Council Entry'!BA$9),'Council Entry'!BA$8),'Council Entry'!BA27))))-'Council Entry'!BA$5)/('Council Entry'!BA$6-'Council Entry'!BA$5)),1))),"No data"))</f>
        <v/>
      </c>
      <c r="BB27" s="13">
        <f>IF('Council Entry'!BB27="","",IFERROR(MAX(0,MIN(10,ROUND(IF('Council Entry'!BB$7="Decrease Risk",10-10*((IF('Council Entry'!BB$4="Logarithm",LN(0.001+IF(AND(ISNUMBER('Council Entry'!BB$8),ISNUMBER('Council Entry'!BB$9)),MAX(MIN('Council Entry'!BB27,'Council Entry'!BB$9),'Council Entry'!BB$8),'Council Entry'!BB27)),IF('Council Entry'!BB$4="Exponential",EXP(IF(AND(ISNUMBER('Council Entry'!BB$8),ISNUMBER('Council Entry'!BB$9)),MAX(MIN('Council Entry'!BB27,'Council Entry'!BB$9),'Council Entry'!BB$8),'Council Entry'!BB27)),IF(AND(ISNUMBER('Council Entry'!BB$8),ISNUMBER('Council Entry'!BB$9)),MAX(MIN('Council Entry'!BB27,'Council Entry'!BB$9),'Council Entry'!BB$8),'Council Entry'!BB27))))-'Council Entry'!BB$5)/('Council Entry'!BB$6-'Council Entry'!BB$5),10*((IF('Council Entry'!BB$4="Logarithm",LN(0.001+IF(AND(ISNUMBER('Council Entry'!BB$8),ISNUMBER('Council Entry'!BB$9)),MAX(MIN('Council Entry'!BB27,'Council Entry'!BB$9),'Council Entry'!BB$8),'Council Entry'!BB27)),IF('Council Entry'!BB$4="Exponential",EXP(IF(AND(ISNUMBER('Council Entry'!BB$8),ISNUMBER('Council Entry'!BB$9)),MAX(MIN('Council Entry'!BB27,'Council Entry'!BB$9),'Council Entry'!BB$8),'Council Entry'!BB27)),IF(AND(ISNUMBER('Council Entry'!BB$8),ISNUMBER('Council Entry'!BB$9)),MAX(MIN('Council Entry'!BB27,'Council Entry'!BB$9),'Council Entry'!BB$8),'Council Entry'!BB27))))-'Council Entry'!BB$5)/('Council Entry'!BB$6-'Council Entry'!BB$5)),1))),"No data"))</f>
        <v/>
      </c>
      <c r="BC27" s="13">
        <f>IF('Council Entry'!BC27="","",IFERROR(MAX(0,MIN(10,ROUND(IF('Council Entry'!BC$7="Decrease Risk",10-10*((IF('Council Entry'!BC$4="Logarithm",LN(0.001+IF(AND(ISNUMBER('Council Entry'!BC$8),ISNUMBER('Council Entry'!BC$9)),MAX(MIN('Council Entry'!BC27,'Council Entry'!BC$9),'Council Entry'!BC$8),'Council Entry'!BC27)),IF('Council Entry'!BC$4="Exponential",EXP(IF(AND(ISNUMBER('Council Entry'!BC$8),ISNUMBER('Council Entry'!BC$9)),MAX(MIN('Council Entry'!BC27,'Council Entry'!BC$9),'Council Entry'!BC$8),'Council Entry'!BC27)),IF(AND(ISNUMBER('Council Entry'!BC$8),ISNUMBER('Council Entry'!BC$9)),MAX(MIN('Council Entry'!BC27,'Council Entry'!BC$9),'Council Entry'!BC$8),'Council Entry'!BC27))))-'Council Entry'!BC$5)/('Council Entry'!BC$6-'Council Entry'!BC$5),10*((IF('Council Entry'!BC$4="Logarithm",LN(0.001+IF(AND(ISNUMBER('Council Entry'!BC$8),ISNUMBER('Council Entry'!BC$9)),MAX(MIN('Council Entry'!BC27,'Council Entry'!BC$9),'Council Entry'!BC$8),'Council Entry'!BC27)),IF('Council Entry'!BC$4="Exponential",EXP(IF(AND(ISNUMBER('Council Entry'!BC$8),ISNUMBER('Council Entry'!BC$9)),MAX(MIN('Council Entry'!BC27,'Council Entry'!BC$9),'Council Entry'!BC$8),'Council Entry'!BC27)),IF(AND(ISNUMBER('Council Entry'!BC$8),ISNUMBER('Council Entry'!BC$9)),MAX(MIN('Council Entry'!BC27,'Council Entry'!BC$9),'Council Entry'!BC$8),'Council Entry'!BC27))))-'Council Entry'!BC$5)/('Council Entry'!BC$6-'Council Entry'!BC$5)),1))),"No data"))</f>
        <v/>
      </c>
      <c r="BD27" s="13">
        <f>IF('Council Entry'!BD27="","",IFERROR(MAX(0,MIN(10,ROUND(IF('Council Entry'!BD$7="Decrease Risk",10-10*((IF('Council Entry'!BD$4="Logarithm",LN(0.001+IF(AND(ISNUMBER('Council Entry'!BD$8),ISNUMBER('Council Entry'!BD$9)),MAX(MIN('Council Entry'!BD27,'Council Entry'!BD$9),'Council Entry'!BD$8),'Council Entry'!BD27)),IF('Council Entry'!BD$4="Exponential",EXP(IF(AND(ISNUMBER('Council Entry'!BD$8),ISNUMBER('Council Entry'!BD$9)),MAX(MIN('Council Entry'!BD27,'Council Entry'!BD$9),'Council Entry'!BD$8),'Council Entry'!BD27)),IF(AND(ISNUMBER('Council Entry'!BD$8),ISNUMBER('Council Entry'!BD$9)),MAX(MIN('Council Entry'!BD27,'Council Entry'!BD$9),'Council Entry'!BD$8),'Council Entry'!BD27))))-'Council Entry'!BD$5)/('Council Entry'!BD$6-'Council Entry'!BD$5),10*((IF('Council Entry'!BD$4="Logarithm",LN(0.001+IF(AND(ISNUMBER('Council Entry'!BD$8),ISNUMBER('Council Entry'!BD$9)),MAX(MIN('Council Entry'!BD27,'Council Entry'!BD$9),'Council Entry'!BD$8),'Council Entry'!BD27)),IF('Council Entry'!BD$4="Exponential",EXP(IF(AND(ISNUMBER('Council Entry'!BD$8),ISNUMBER('Council Entry'!BD$9)),MAX(MIN('Council Entry'!BD27,'Council Entry'!BD$9),'Council Entry'!BD$8),'Council Entry'!BD27)),IF(AND(ISNUMBER('Council Entry'!BD$8),ISNUMBER('Council Entry'!BD$9)),MAX(MIN('Council Entry'!BD27,'Council Entry'!BD$9),'Council Entry'!BD$8),'Council Entry'!BD27))))-'Council Entry'!BD$5)/('Council Entry'!BD$6-'Council Entry'!BD$5)),1))),"No data"))</f>
        <v/>
      </c>
    </row>
    <row r="28">
      <c r="A28" t="inlineStr">
        <is>
          <t>Dodoma</t>
        </is>
      </c>
      <c r="B28" t="inlineStr">
        <is>
          <t>Kondoa Town</t>
        </is>
      </c>
      <c r="C28" t="inlineStr">
        <is>
          <t>C002</t>
        </is>
      </c>
      <c r="D28" s="13">
        <f>IF('Council Entry'!D28="","",IFERROR(MAX(0,MIN(10,ROUND(IF('Council Entry'!D$7="Decrease Risk",10-10*((IF('Council Entry'!D$4="Logarithm",LN(0.001+IF(AND(ISNUMBER('Council Entry'!D$8),ISNUMBER('Council Entry'!D$9)),MAX(MIN('Council Entry'!D28,'Council Entry'!D$9),'Council Entry'!D$8),'Council Entry'!D28)),IF('Council Entry'!D$4="Exponential",EXP(IF(AND(ISNUMBER('Council Entry'!D$8),ISNUMBER('Council Entry'!D$9)),MAX(MIN('Council Entry'!D28,'Council Entry'!D$9),'Council Entry'!D$8),'Council Entry'!D28)),IF(AND(ISNUMBER('Council Entry'!D$8),ISNUMBER('Council Entry'!D$9)),MAX(MIN('Council Entry'!D28,'Council Entry'!D$9),'Council Entry'!D$8),'Council Entry'!D28))))-'Council Entry'!D$5)/('Council Entry'!D$6-'Council Entry'!D$5),10*((IF('Council Entry'!D$4="Logarithm",LN(0.001+IF(AND(ISNUMBER('Council Entry'!D$8),ISNUMBER('Council Entry'!D$9)),MAX(MIN('Council Entry'!D28,'Council Entry'!D$9),'Council Entry'!D$8),'Council Entry'!D28)),IF('Council Entry'!D$4="Exponential",EXP(IF(AND(ISNUMBER('Council Entry'!D$8),ISNUMBER('Council Entry'!D$9)),MAX(MIN('Council Entry'!D28,'Council Entry'!D$9),'Council Entry'!D$8),'Council Entry'!D28)),IF(AND(ISNUMBER('Council Entry'!D$8),ISNUMBER('Council Entry'!D$9)),MAX(MIN('Council Entry'!D28,'Council Entry'!D$9),'Council Entry'!D$8),'Council Entry'!D28))))-'Council Entry'!D$5)/('Council Entry'!D$6-'Council Entry'!D$5)),1))),"No data"))</f>
        <v/>
      </c>
      <c r="E28" s="13">
        <f>IF('Council Entry'!E28="","",IFERROR(MAX(0,MIN(10,ROUND(IF('Council Entry'!E$7="Decrease Risk",10-10*((IF('Council Entry'!E$4="Logarithm",LN(0.001+IF(AND(ISNUMBER('Council Entry'!E$8),ISNUMBER('Council Entry'!E$9)),MAX(MIN('Council Entry'!E28,'Council Entry'!E$9),'Council Entry'!E$8),'Council Entry'!E28)),IF('Council Entry'!E$4="Exponential",EXP(IF(AND(ISNUMBER('Council Entry'!E$8),ISNUMBER('Council Entry'!E$9)),MAX(MIN('Council Entry'!E28,'Council Entry'!E$9),'Council Entry'!E$8),'Council Entry'!E28)),IF(AND(ISNUMBER('Council Entry'!E$8),ISNUMBER('Council Entry'!E$9)),MAX(MIN('Council Entry'!E28,'Council Entry'!E$9),'Council Entry'!E$8),'Council Entry'!E28))))-'Council Entry'!E$5)/('Council Entry'!E$6-'Council Entry'!E$5),10*((IF('Council Entry'!E$4="Logarithm",LN(0.001+IF(AND(ISNUMBER('Council Entry'!E$8),ISNUMBER('Council Entry'!E$9)),MAX(MIN('Council Entry'!E28,'Council Entry'!E$9),'Council Entry'!E$8),'Council Entry'!E28)),IF('Council Entry'!E$4="Exponential",EXP(IF(AND(ISNUMBER('Council Entry'!E$8),ISNUMBER('Council Entry'!E$9)),MAX(MIN('Council Entry'!E28,'Council Entry'!E$9),'Council Entry'!E$8),'Council Entry'!E28)),IF(AND(ISNUMBER('Council Entry'!E$8),ISNUMBER('Council Entry'!E$9)),MAX(MIN('Council Entry'!E28,'Council Entry'!E$9),'Council Entry'!E$8),'Council Entry'!E28))))-'Council Entry'!E$5)/('Council Entry'!E$6-'Council Entry'!E$5)),1))),"No data"))</f>
        <v/>
      </c>
      <c r="F28" s="13">
        <f>IF('Council Entry'!F28="","",IFERROR(MAX(0,MIN(10,ROUND(IF('Council Entry'!F$7="Decrease Risk",10-10*((IF('Council Entry'!F$4="Logarithm",LN(0.001+IF(AND(ISNUMBER('Council Entry'!F$8),ISNUMBER('Council Entry'!F$9)),MAX(MIN('Council Entry'!F28,'Council Entry'!F$9),'Council Entry'!F$8),'Council Entry'!F28)),IF('Council Entry'!F$4="Exponential",EXP(IF(AND(ISNUMBER('Council Entry'!F$8),ISNUMBER('Council Entry'!F$9)),MAX(MIN('Council Entry'!F28,'Council Entry'!F$9),'Council Entry'!F$8),'Council Entry'!F28)),IF(AND(ISNUMBER('Council Entry'!F$8),ISNUMBER('Council Entry'!F$9)),MAX(MIN('Council Entry'!F28,'Council Entry'!F$9),'Council Entry'!F$8),'Council Entry'!F28))))-'Council Entry'!F$5)/('Council Entry'!F$6-'Council Entry'!F$5),10*((IF('Council Entry'!F$4="Logarithm",LN(0.001+IF(AND(ISNUMBER('Council Entry'!F$8),ISNUMBER('Council Entry'!F$9)),MAX(MIN('Council Entry'!F28,'Council Entry'!F$9),'Council Entry'!F$8),'Council Entry'!F28)),IF('Council Entry'!F$4="Exponential",EXP(IF(AND(ISNUMBER('Council Entry'!F$8),ISNUMBER('Council Entry'!F$9)),MAX(MIN('Council Entry'!F28,'Council Entry'!F$9),'Council Entry'!F$8),'Council Entry'!F28)),IF(AND(ISNUMBER('Council Entry'!F$8),ISNUMBER('Council Entry'!F$9)),MAX(MIN('Council Entry'!F28,'Council Entry'!F$9),'Council Entry'!F$8),'Council Entry'!F28))))-'Council Entry'!F$5)/('Council Entry'!F$6-'Council Entry'!F$5)),1))),"No data"))</f>
        <v/>
      </c>
      <c r="G28" s="13">
        <f>IF('Council Entry'!G28="","",IFERROR(MAX(0,MIN(10,ROUND(IF('Council Entry'!G$7="Decrease Risk",10-10*((IF('Council Entry'!G$4="Logarithm",LN(0.001+IF(AND(ISNUMBER('Council Entry'!G$8),ISNUMBER('Council Entry'!G$9)),MAX(MIN('Council Entry'!G28,'Council Entry'!G$9),'Council Entry'!G$8),'Council Entry'!G28)),IF('Council Entry'!G$4="Exponential",EXP(IF(AND(ISNUMBER('Council Entry'!G$8),ISNUMBER('Council Entry'!G$9)),MAX(MIN('Council Entry'!G28,'Council Entry'!G$9),'Council Entry'!G$8),'Council Entry'!G28)),IF(AND(ISNUMBER('Council Entry'!G$8),ISNUMBER('Council Entry'!G$9)),MAX(MIN('Council Entry'!G28,'Council Entry'!G$9),'Council Entry'!G$8),'Council Entry'!G28))))-'Council Entry'!G$5)/('Council Entry'!G$6-'Council Entry'!G$5),10*((IF('Council Entry'!G$4="Logarithm",LN(0.001+IF(AND(ISNUMBER('Council Entry'!G$8),ISNUMBER('Council Entry'!G$9)),MAX(MIN('Council Entry'!G28,'Council Entry'!G$9),'Council Entry'!G$8),'Council Entry'!G28)),IF('Council Entry'!G$4="Exponential",EXP(IF(AND(ISNUMBER('Council Entry'!G$8),ISNUMBER('Council Entry'!G$9)),MAX(MIN('Council Entry'!G28,'Council Entry'!G$9),'Council Entry'!G$8),'Council Entry'!G28)),IF(AND(ISNUMBER('Council Entry'!G$8),ISNUMBER('Council Entry'!G$9)),MAX(MIN('Council Entry'!G28,'Council Entry'!G$9),'Council Entry'!G$8),'Council Entry'!G28))))-'Council Entry'!G$5)/('Council Entry'!G$6-'Council Entry'!G$5)),1))),"No data"))</f>
        <v/>
      </c>
      <c r="H28" s="13">
        <f>IF('Council Entry'!H28="","",IFERROR(MAX(0,MIN(10,ROUND(IF('Council Entry'!H$7="Decrease Risk",10-10*((IF('Council Entry'!H$4="Logarithm",LN(0.001+IF(AND(ISNUMBER('Council Entry'!H$8),ISNUMBER('Council Entry'!H$9)),MAX(MIN('Council Entry'!H28,'Council Entry'!H$9),'Council Entry'!H$8),'Council Entry'!H28)),IF('Council Entry'!H$4="Exponential",EXP(IF(AND(ISNUMBER('Council Entry'!H$8),ISNUMBER('Council Entry'!H$9)),MAX(MIN('Council Entry'!H28,'Council Entry'!H$9),'Council Entry'!H$8),'Council Entry'!H28)),IF(AND(ISNUMBER('Council Entry'!H$8),ISNUMBER('Council Entry'!H$9)),MAX(MIN('Council Entry'!H28,'Council Entry'!H$9),'Council Entry'!H$8),'Council Entry'!H28))))-'Council Entry'!H$5)/('Council Entry'!H$6-'Council Entry'!H$5),10*((IF('Council Entry'!H$4="Logarithm",LN(0.001+IF(AND(ISNUMBER('Council Entry'!H$8),ISNUMBER('Council Entry'!H$9)),MAX(MIN('Council Entry'!H28,'Council Entry'!H$9),'Council Entry'!H$8),'Council Entry'!H28)),IF('Council Entry'!H$4="Exponential",EXP(IF(AND(ISNUMBER('Council Entry'!H$8),ISNUMBER('Council Entry'!H$9)),MAX(MIN('Council Entry'!H28,'Council Entry'!H$9),'Council Entry'!H$8),'Council Entry'!H28)),IF(AND(ISNUMBER('Council Entry'!H$8),ISNUMBER('Council Entry'!H$9)),MAX(MIN('Council Entry'!H28,'Council Entry'!H$9),'Council Entry'!H$8),'Council Entry'!H28))))-'Council Entry'!H$5)/('Council Entry'!H$6-'Council Entry'!H$5)),1))),"No data"))</f>
        <v/>
      </c>
      <c r="I28" s="13">
        <f>IF('Council Entry'!I28="","",IFERROR(MAX(0,MIN(10,ROUND(IF('Council Entry'!I$7="Decrease Risk",10-10*((IF('Council Entry'!I$4="Logarithm",LN(0.001+IF(AND(ISNUMBER('Council Entry'!I$8),ISNUMBER('Council Entry'!I$9)),MAX(MIN('Council Entry'!I28,'Council Entry'!I$9),'Council Entry'!I$8),'Council Entry'!I28)),IF('Council Entry'!I$4="Exponential",EXP(IF(AND(ISNUMBER('Council Entry'!I$8),ISNUMBER('Council Entry'!I$9)),MAX(MIN('Council Entry'!I28,'Council Entry'!I$9),'Council Entry'!I$8),'Council Entry'!I28)),IF(AND(ISNUMBER('Council Entry'!I$8),ISNUMBER('Council Entry'!I$9)),MAX(MIN('Council Entry'!I28,'Council Entry'!I$9),'Council Entry'!I$8),'Council Entry'!I28))))-'Council Entry'!I$5)/('Council Entry'!I$6-'Council Entry'!I$5),10*((IF('Council Entry'!I$4="Logarithm",LN(0.001+IF(AND(ISNUMBER('Council Entry'!I$8),ISNUMBER('Council Entry'!I$9)),MAX(MIN('Council Entry'!I28,'Council Entry'!I$9),'Council Entry'!I$8),'Council Entry'!I28)),IF('Council Entry'!I$4="Exponential",EXP(IF(AND(ISNUMBER('Council Entry'!I$8),ISNUMBER('Council Entry'!I$9)),MAX(MIN('Council Entry'!I28,'Council Entry'!I$9),'Council Entry'!I$8),'Council Entry'!I28)),IF(AND(ISNUMBER('Council Entry'!I$8),ISNUMBER('Council Entry'!I$9)),MAX(MIN('Council Entry'!I28,'Council Entry'!I$9),'Council Entry'!I$8),'Council Entry'!I28))))-'Council Entry'!I$5)/('Council Entry'!I$6-'Council Entry'!I$5)),1))),"No data"))</f>
        <v/>
      </c>
      <c r="J28" s="13">
        <f>IF('Council Entry'!J28="","",IFERROR(MAX(0,MIN(10,ROUND(IF('Council Entry'!J$7="Decrease Risk",10-10*((IF('Council Entry'!J$4="Logarithm",LN(0.001+IF(AND(ISNUMBER('Council Entry'!J$8),ISNUMBER('Council Entry'!J$9)),MAX(MIN('Council Entry'!J28,'Council Entry'!J$9),'Council Entry'!J$8),'Council Entry'!J28)),IF('Council Entry'!J$4="Exponential",EXP(IF(AND(ISNUMBER('Council Entry'!J$8),ISNUMBER('Council Entry'!J$9)),MAX(MIN('Council Entry'!J28,'Council Entry'!J$9),'Council Entry'!J$8),'Council Entry'!J28)),IF(AND(ISNUMBER('Council Entry'!J$8),ISNUMBER('Council Entry'!J$9)),MAX(MIN('Council Entry'!J28,'Council Entry'!J$9),'Council Entry'!J$8),'Council Entry'!J28))))-'Council Entry'!J$5)/('Council Entry'!J$6-'Council Entry'!J$5),10*((IF('Council Entry'!J$4="Logarithm",LN(0.001+IF(AND(ISNUMBER('Council Entry'!J$8),ISNUMBER('Council Entry'!J$9)),MAX(MIN('Council Entry'!J28,'Council Entry'!J$9),'Council Entry'!J$8),'Council Entry'!J28)),IF('Council Entry'!J$4="Exponential",EXP(IF(AND(ISNUMBER('Council Entry'!J$8),ISNUMBER('Council Entry'!J$9)),MAX(MIN('Council Entry'!J28,'Council Entry'!J$9),'Council Entry'!J$8),'Council Entry'!J28)),IF(AND(ISNUMBER('Council Entry'!J$8),ISNUMBER('Council Entry'!J$9)),MAX(MIN('Council Entry'!J28,'Council Entry'!J$9),'Council Entry'!J$8),'Council Entry'!J28))))-'Council Entry'!J$5)/('Council Entry'!J$6-'Council Entry'!J$5)),1))),"No data"))</f>
        <v/>
      </c>
      <c r="K28" s="13">
        <f>IF('Council Entry'!K28="","",IFERROR(MAX(0,MIN(10,ROUND(IF('Council Entry'!K$7="Decrease Risk",10-10*((IF('Council Entry'!K$4="Logarithm",LN(0.001+IF(AND(ISNUMBER('Council Entry'!K$8),ISNUMBER('Council Entry'!K$9)),MAX(MIN('Council Entry'!K28,'Council Entry'!K$9),'Council Entry'!K$8),'Council Entry'!K28)),IF('Council Entry'!K$4="Exponential",EXP(IF(AND(ISNUMBER('Council Entry'!K$8),ISNUMBER('Council Entry'!K$9)),MAX(MIN('Council Entry'!K28,'Council Entry'!K$9),'Council Entry'!K$8),'Council Entry'!K28)),IF(AND(ISNUMBER('Council Entry'!K$8),ISNUMBER('Council Entry'!K$9)),MAX(MIN('Council Entry'!K28,'Council Entry'!K$9),'Council Entry'!K$8),'Council Entry'!K28))))-'Council Entry'!K$5)/('Council Entry'!K$6-'Council Entry'!K$5),10*((IF('Council Entry'!K$4="Logarithm",LN(0.001+IF(AND(ISNUMBER('Council Entry'!K$8),ISNUMBER('Council Entry'!K$9)),MAX(MIN('Council Entry'!K28,'Council Entry'!K$9),'Council Entry'!K$8),'Council Entry'!K28)),IF('Council Entry'!K$4="Exponential",EXP(IF(AND(ISNUMBER('Council Entry'!K$8),ISNUMBER('Council Entry'!K$9)),MAX(MIN('Council Entry'!K28,'Council Entry'!K$9),'Council Entry'!K$8),'Council Entry'!K28)),IF(AND(ISNUMBER('Council Entry'!K$8),ISNUMBER('Council Entry'!K$9)),MAX(MIN('Council Entry'!K28,'Council Entry'!K$9),'Council Entry'!K$8),'Council Entry'!K28))))-'Council Entry'!K$5)/('Council Entry'!K$6-'Council Entry'!K$5)),1))),"No data"))</f>
        <v/>
      </c>
      <c r="L28" s="13">
        <f>IF('Council Entry'!L28="","",IFERROR(MAX(0,MIN(10,ROUND(IF('Council Entry'!L$7="Decrease Risk",10-10*((IF('Council Entry'!L$4="Logarithm",LN(0.001+IF(AND(ISNUMBER('Council Entry'!L$8),ISNUMBER('Council Entry'!L$9)),MAX(MIN('Council Entry'!L28,'Council Entry'!L$9),'Council Entry'!L$8),'Council Entry'!L28)),IF('Council Entry'!L$4="Exponential",EXP(IF(AND(ISNUMBER('Council Entry'!L$8),ISNUMBER('Council Entry'!L$9)),MAX(MIN('Council Entry'!L28,'Council Entry'!L$9),'Council Entry'!L$8),'Council Entry'!L28)),IF(AND(ISNUMBER('Council Entry'!L$8),ISNUMBER('Council Entry'!L$9)),MAX(MIN('Council Entry'!L28,'Council Entry'!L$9),'Council Entry'!L$8),'Council Entry'!L28))))-'Council Entry'!L$5)/('Council Entry'!L$6-'Council Entry'!L$5),10*((IF('Council Entry'!L$4="Logarithm",LN(0.001+IF(AND(ISNUMBER('Council Entry'!L$8),ISNUMBER('Council Entry'!L$9)),MAX(MIN('Council Entry'!L28,'Council Entry'!L$9),'Council Entry'!L$8),'Council Entry'!L28)),IF('Council Entry'!L$4="Exponential",EXP(IF(AND(ISNUMBER('Council Entry'!L$8),ISNUMBER('Council Entry'!L$9)),MAX(MIN('Council Entry'!L28,'Council Entry'!L$9),'Council Entry'!L$8),'Council Entry'!L28)),IF(AND(ISNUMBER('Council Entry'!L$8),ISNUMBER('Council Entry'!L$9)),MAX(MIN('Council Entry'!L28,'Council Entry'!L$9),'Council Entry'!L$8),'Council Entry'!L28))))-'Council Entry'!L$5)/('Council Entry'!L$6-'Council Entry'!L$5)),1))),"No data"))</f>
        <v/>
      </c>
      <c r="M28" s="13">
        <f>IF('Council Entry'!M28="","",IFERROR(MAX(0,MIN(10,ROUND(IF('Council Entry'!M$7="Decrease Risk",10-10*((IF('Council Entry'!M$4="Logarithm",LN(0.001+IF(AND(ISNUMBER('Council Entry'!M$8),ISNUMBER('Council Entry'!M$9)),MAX(MIN('Council Entry'!M28,'Council Entry'!M$9),'Council Entry'!M$8),'Council Entry'!M28)),IF('Council Entry'!M$4="Exponential",EXP(IF(AND(ISNUMBER('Council Entry'!M$8),ISNUMBER('Council Entry'!M$9)),MAX(MIN('Council Entry'!M28,'Council Entry'!M$9),'Council Entry'!M$8),'Council Entry'!M28)),IF(AND(ISNUMBER('Council Entry'!M$8),ISNUMBER('Council Entry'!M$9)),MAX(MIN('Council Entry'!M28,'Council Entry'!M$9),'Council Entry'!M$8),'Council Entry'!M28))))-'Council Entry'!M$5)/('Council Entry'!M$6-'Council Entry'!M$5),10*((IF('Council Entry'!M$4="Logarithm",LN(0.001+IF(AND(ISNUMBER('Council Entry'!M$8),ISNUMBER('Council Entry'!M$9)),MAX(MIN('Council Entry'!M28,'Council Entry'!M$9),'Council Entry'!M$8),'Council Entry'!M28)),IF('Council Entry'!M$4="Exponential",EXP(IF(AND(ISNUMBER('Council Entry'!M$8),ISNUMBER('Council Entry'!M$9)),MAX(MIN('Council Entry'!M28,'Council Entry'!M$9),'Council Entry'!M$8),'Council Entry'!M28)),IF(AND(ISNUMBER('Council Entry'!M$8),ISNUMBER('Council Entry'!M$9)),MAX(MIN('Council Entry'!M28,'Council Entry'!M$9),'Council Entry'!M$8),'Council Entry'!M28))))-'Council Entry'!M$5)/('Council Entry'!M$6-'Council Entry'!M$5)),1))),"No data"))</f>
        <v/>
      </c>
      <c r="N28" s="13">
        <f>IF('Council Entry'!N28="","",IFERROR(MAX(0,MIN(10,ROUND(IF('Council Entry'!N$7="Decrease Risk",10-10*((IF('Council Entry'!N$4="Logarithm",LN(0.001+IF(AND(ISNUMBER('Council Entry'!N$8),ISNUMBER('Council Entry'!N$9)),MAX(MIN('Council Entry'!N28,'Council Entry'!N$9),'Council Entry'!N$8),'Council Entry'!N28)),IF('Council Entry'!N$4="Exponential",EXP(IF(AND(ISNUMBER('Council Entry'!N$8),ISNUMBER('Council Entry'!N$9)),MAX(MIN('Council Entry'!N28,'Council Entry'!N$9),'Council Entry'!N$8),'Council Entry'!N28)),IF(AND(ISNUMBER('Council Entry'!N$8),ISNUMBER('Council Entry'!N$9)),MAX(MIN('Council Entry'!N28,'Council Entry'!N$9),'Council Entry'!N$8),'Council Entry'!N28))))-'Council Entry'!N$5)/('Council Entry'!N$6-'Council Entry'!N$5),10*((IF('Council Entry'!N$4="Logarithm",LN(0.001+IF(AND(ISNUMBER('Council Entry'!N$8),ISNUMBER('Council Entry'!N$9)),MAX(MIN('Council Entry'!N28,'Council Entry'!N$9),'Council Entry'!N$8),'Council Entry'!N28)),IF('Council Entry'!N$4="Exponential",EXP(IF(AND(ISNUMBER('Council Entry'!N$8),ISNUMBER('Council Entry'!N$9)),MAX(MIN('Council Entry'!N28,'Council Entry'!N$9),'Council Entry'!N$8),'Council Entry'!N28)),IF(AND(ISNUMBER('Council Entry'!N$8),ISNUMBER('Council Entry'!N$9)),MAX(MIN('Council Entry'!N28,'Council Entry'!N$9),'Council Entry'!N$8),'Council Entry'!N28))))-'Council Entry'!N$5)/('Council Entry'!N$6-'Council Entry'!N$5)),1))),"No data"))</f>
        <v/>
      </c>
      <c r="O28" s="13">
        <f>IF('Council Entry'!O28="","",IFERROR(MAX(0,MIN(10,ROUND(IF('Council Entry'!O$7="Decrease Risk",10-10*((IF('Council Entry'!O$4="Logarithm",LN(0.001+IF(AND(ISNUMBER('Council Entry'!O$8),ISNUMBER('Council Entry'!O$9)),MAX(MIN('Council Entry'!O28,'Council Entry'!O$9),'Council Entry'!O$8),'Council Entry'!O28)),IF('Council Entry'!O$4="Exponential",EXP(IF(AND(ISNUMBER('Council Entry'!O$8),ISNUMBER('Council Entry'!O$9)),MAX(MIN('Council Entry'!O28,'Council Entry'!O$9),'Council Entry'!O$8),'Council Entry'!O28)),IF(AND(ISNUMBER('Council Entry'!O$8),ISNUMBER('Council Entry'!O$9)),MAX(MIN('Council Entry'!O28,'Council Entry'!O$9),'Council Entry'!O$8),'Council Entry'!O28))))-'Council Entry'!O$5)/('Council Entry'!O$6-'Council Entry'!O$5),10*((IF('Council Entry'!O$4="Logarithm",LN(0.001+IF(AND(ISNUMBER('Council Entry'!O$8),ISNUMBER('Council Entry'!O$9)),MAX(MIN('Council Entry'!O28,'Council Entry'!O$9),'Council Entry'!O$8),'Council Entry'!O28)),IF('Council Entry'!O$4="Exponential",EXP(IF(AND(ISNUMBER('Council Entry'!O$8),ISNUMBER('Council Entry'!O$9)),MAX(MIN('Council Entry'!O28,'Council Entry'!O$9),'Council Entry'!O$8),'Council Entry'!O28)),IF(AND(ISNUMBER('Council Entry'!O$8),ISNUMBER('Council Entry'!O$9)),MAX(MIN('Council Entry'!O28,'Council Entry'!O$9),'Council Entry'!O$8),'Council Entry'!O28))))-'Council Entry'!O$5)/('Council Entry'!O$6-'Council Entry'!O$5)),1))),"No data"))</f>
        <v/>
      </c>
      <c r="P28" s="13">
        <f>IF('Council Entry'!P28="","",IFERROR(MAX(0,MIN(10,ROUND(IF('Council Entry'!P$7="Decrease Risk",10-10*((IF('Council Entry'!P$4="Logarithm",LN(0.001+IF(AND(ISNUMBER('Council Entry'!P$8),ISNUMBER('Council Entry'!P$9)),MAX(MIN('Council Entry'!P28,'Council Entry'!P$9),'Council Entry'!P$8),'Council Entry'!P28)),IF('Council Entry'!P$4="Exponential",EXP(IF(AND(ISNUMBER('Council Entry'!P$8),ISNUMBER('Council Entry'!P$9)),MAX(MIN('Council Entry'!P28,'Council Entry'!P$9),'Council Entry'!P$8),'Council Entry'!P28)),IF(AND(ISNUMBER('Council Entry'!P$8),ISNUMBER('Council Entry'!P$9)),MAX(MIN('Council Entry'!P28,'Council Entry'!P$9),'Council Entry'!P$8),'Council Entry'!P28))))-'Council Entry'!P$5)/('Council Entry'!P$6-'Council Entry'!P$5),10*((IF('Council Entry'!P$4="Logarithm",LN(0.001+IF(AND(ISNUMBER('Council Entry'!P$8),ISNUMBER('Council Entry'!P$9)),MAX(MIN('Council Entry'!P28,'Council Entry'!P$9),'Council Entry'!P$8),'Council Entry'!P28)),IF('Council Entry'!P$4="Exponential",EXP(IF(AND(ISNUMBER('Council Entry'!P$8),ISNUMBER('Council Entry'!P$9)),MAX(MIN('Council Entry'!P28,'Council Entry'!P$9),'Council Entry'!P$8),'Council Entry'!P28)),IF(AND(ISNUMBER('Council Entry'!P$8),ISNUMBER('Council Entry'!P$9)),MAX(MIN('Council Entry'!P28,'Council Entry'!P$9),'Council Entry'!P$8),'Council Entry'!P28))))-'Council Entry'!P$5)/('Council Entry'!P$6-'Council Entry'!P$5)),1))),"No data"))</f>
        <v/>
      </c>
      <c r="Q28" s="13">
        <f>IF('Council Entry'!Q28="","",IFERROR(MAX(0,MIN(10,ROUND(IF('Council Entry'!Q$7="Decrease Risk",10-10*((IF('Council Entry'!Q$4="Logarithm",LN(0.001+IF(AND(ISNUMBER('Council Entry'!Q$8),ISNUMBER('Council Entry'!Q$9)),MAX(MIN('Council Entry'!Q28,'Council Entry'!Q$9),'Council Entry'!Q$8),'Council Entry'!Q28)),IF('Council Entry'!Q$4="Exponential",EXP(IF(AND(ISNUMBER('Council Entry'!Q$8),ISNUMBER('Council Entry'!Q$9)),MAX(MIN('Council Entry'!Q28,'Council Entry'!Q$9),'Council Entry'!Q$8),'Council Entry'!Q28)),IF(AND(ISNUMBER('Council Entry'!Q$8),ISNUMBER('Council Entry'!Q$9)),MAX(MIN('Council Entry'!Q28,'Council Entry'!Q$9),'Council Entry'!Q$8),'Council Entry'!Q28))))-'Council Entry'!Q$5)/('Council Entry'!Q$6-'Council Entry'!Q$5),10*((IF('Council Entry'!Q$4="Logarithm",LN(0.001+IF(AND(ISNUMBER('Council Entry'!Q$8),ISNUMBER('Council Entry'!Q$9)),MAX(MIN('Council Entry'!Q28,'Council Entry'!Q$9),'Council Entry'!Q$8),'Council Entry'!Q28)),IF('Council Entry'!Q$4="Exponential",EXP(IF(AND(ISNUMBER('Council Entry'!Q$8),ISNUMBER('Council Entry'!Q$9)),MAX(MIN('Council Entry'!Q28,'Council Entry'!Q$9),'Council Entry'!Q$8),'Council Entry'!Q28)),IF(AND(ISNUMBER('Council Entry'!Q$8),ISNUMBER('Council Entry'!Q$9)),MAX(MIN('Council Entry'!Q28,'Council Entry'!Q$9),'Council Entry'!Q$8),'Council Entry'!Q28))))-'Council Entry'!Q$5)/('Council Entry'!Q$6-'Council Entry'!Q$5)),1))),"No data"))</f>
        <v/>
      </c>
      <c r="R28" s="13">
        <f>IF('Council Entry'!R28="","",IFERROR(MAX(0,MIN(10,ROUND(IF('Council Entry'!R$7="Decrease Risk",10-10*((IF('Council Entry'!R$4="Logarithm",LN(0.001+IF(AND(ISNUMBER('Council Entry'!R$8),ISNUMBER('Council Entry'!R$9)),MAX(MIN('Council Entry'!R28,'Council Entry'!R$9),'Council Entry'!R$8),'Council Entry'!R28)),IF('Council Entry'!R$4="Exponential",EXP(IF(AND(ISNUMBER('Council Entry'!R$8),ISNUMBER('Council Entry'!R$9)),MAX(MIN('Council Entry'!R28,'Council Entry'!R$9),'Council Entry'!R$8),'Council Entry'!R28)),IF(AND(ISNUMBER('Council Entry'!R$8),ISNUMBER('Council Entry'!R$9)),MAX(MIN('Council Entry'!R28,'Council Entry'!R$9),'Council Entry'!R$8),'Council Entry'!R28))))-'Council Entry'!R$5)/('Council Entry'!R$6-'Council Entry'!R$5),10*((IF('Council Entry'!R$4="Logarithm",LN(0.001+IF(AND(ISNUMBER('Council Entry'!R$8),ISNUMBER('Council Entry'!R$9)),MAX(MIN('Council Entry'!R28,'Council Entry'!R$9),'Council Entry'!R$8),'Council Entry'!R28)),IF('Council Entry'!R$4="Exponential",EXP(IF(AND(ISNUMBER('Council Entry'!R$8),ISNUMBER('Council Entry'!R$9)),MAX(MIN('Council Entry'!R28,'Council Entry'!R$9),'Council Entry'!R$8),'Council Entry'!R28)),IF(AND(ISNUMBER('Council Entry'!R$8),ISNUMBER('Council Entry'!R$9)),MAX(MIN('Council Entry'!R28,'Council Entry'!R$9),'Council Entry'!R$8),'Council Entry'!R28))))-'Council Entry'!R$5)/('Council Entry'!R$6-'Council Entry'!R$5)),1))),"No data"))</f>
        <v/>
      </c>
      <c r="S28" s="13">
        <f>IF('Council Entry'!S28="","",IFERROR(MAX(0,MIN(10,ROUND(IF('Council Entry'!S$7="Decrease Risk",10-10*((IF('Council Entry'!S$4="Logarithm",LN(0.001+IF(AND(ISNUMBER('Council Entry'!S$8),ISNUMBER('Council Entry'!S$9)),MAX(MIN('Council Entry'!S28,'Council Entry'!S$9),'Council Entry'!S$8),'Council Entry'!S28)),IF('Council Entry'!S$4="Exponential",EXP(IF(AND(ISNUMBER('Council Entry'!S$8),ISNUMBER('Council Entry'!S$9)),MAX(MIN('Council Entry'!S28,'Council Entry'!S$9),'Council Entry'!S$8),'Council Entry'!S28)),IF(AND(ISNUMBER('Council Entry'!S$8),ISNUMBER('Council Entry'!S$9)),MAX(MIN('Council Entry'!S28,'Council Entry'!S$9),'Council Entry'!S$8),'Council Entry'!S28))))-'Council Entry'!S$5)/('Council Entry'!S$6-'Council Entry'!S$5),10*((IF('Council Entry'!S$4="Logarithm",LN(0.001+IF(AND(ISNUMBER('Council Entry'!S$8),ISNUMBER('Council Entry'!S$9)),MAX(MIN('Council Entry'!S28,'Council Entry'!S$9),'Council Entry'!S$8),'Council Entry'!S28)),IF('Council Entry'!S$4="Exponential",EXP(IF(AND(ISNUMBER('Council Entry'!S$8),ISNUMBER('Council Entry'!S$9)),MAX(MIN('Council Entry'!S28,'Council Entry'!S$9),'Council Entry'!S$8),'Council Entry'!S28)),IF(AND(ISNUMBER('Council Entry'!S$8),ISNUMBER('Council Entry'!S$9)),MAX(MIN('Council Entry'!S28,'Council Entry'!S$9),'Council Entry'!S$8),'Council Entry'!S28))))-'Council Entry'!S$5)/('Council Entry'!S$6-'Council Entry'!S$5)),1))),"No data"))</f>
        <v/>
      </c>
      <c r="T28" s="13">
        <f>IF('Council Entry'!T28="","",IFERROR(MAX(0,MIN(10,ROUND(IF('Council Entry'!T$7="Decrease Risk",10-10*((IF('Council Entry'!T$4="Logarithm",LN(0.001+IF(AND(ISNUMBER('Council Entry'!T$8),ISNUMBER('Council Entry'!T$9)),MAX(MIN('Council Entry'!T28,'Council Entry'!T$9),'Council Entry'!T$8),'Council Entry'!T28)),IF('Council Entry'!T$4="Exponential",EXP(IF(AND(ISNUMBER('Council Entry'!T$8),ISNUMBER('Council Entry'!T$9)),MAX(MIN('Council Entry'!T28,'Council Entry'!T$9),'Council Entry'!T$8),'Council Entry'!T28)),IF(AND(ISNUMBER('Council Entry'!T$8),ISNUMBER('Council Entry'!T$9)),MAX(MIN('Council Entry'!T28,'Council Entry'!T$9),'Council Entry'!T$8),'Council Entry'!T28))))-'Council Entry'!T$5)/('Council Entry'!T$6-'Council Entry'!T$5),10*((IF('Council Entry'!T$4="Logarithm",LN(0.001+IF(AND(ISNUMBER('Council Entry'!T$8),ISNUMBER('Council Entry'!T$9)),MAX(MIN('Council Entry'!T28,'Council Entry'!T$9),'Council Entry'!T$8),'Council Entry'!T28)),IF('Council Entry'!T$4="Exponential",EXP(IF(AND(ISNUMBER('Council Entry'!T$8),ISNUMBER('Council Entry'!T$9)),MAX(MIN('Council Entry'!T28,'Council Entry'!T$9),'Council Entry'!T$8),'Council Entry'!T28)),IF(AND(ISNUMBER('Council Entry'!T$8),ISNUMBER('Council Entry'!T$9)),MAX(MIN('Council Entry'!T28,'Council Entry'!T$9),'Council Entry'!T$8),'Council Entry'!T28))))-'Council Entry'!T$5)/('Council Entry'!T$6-'Council Entry'!T$5)),1))),"No data"))</f>
        <v/>
      </c>
      <c r="U28" s="13">
        <f>IF('Council Entry'!U28="","",IFERROR(MAX(0,MIN(10,ROUND(IF('Council Entry'!U$7="Decrease Risk",10-10*((IF('Council Entry'!U$4="Logarithm",LN(0.001+IF(AND(ISNUMBER('Council Entry'!U$8),ISNUMBER('Council Entry'!U$9)),MAX(MIN('Council Entry'!U28,'Council Entry'!U$9),'Council Entry'!U$8),'Council Entry'!U28)),IF('Council Entry'!U$4="Exponential",EXP(IF(AND(ISNUMBER('Council Entry'!U$8),ISNUMBER('Council Entry'!U$9)),MAX(MIN('Council Entry'!U28,'Council Entry'!U$9),'Council Entry'!U$8),'Council Entry'!U28)),IF(AND(ISNUMBER('Council Entry'!U$8),ISNUMBER('Council Entry'!U$9)),MAX(MIN('Council Entry'!U28,'Council Entry'!U$9),'Council Entry'!U$8),'Council Entry'!U28))))-'Council Entry'!U$5)/('Council Entry'!U$6-'Council Entry'!U$5),10*((IF('Council Entry'!U$4="Logarithm",LN(0.001+IF(AND(ISNUMBER('Council Entry'!U$8),ISNUMBER('Council Entry'!U$9)),MAX(MIN('Council Entry'!U28,'Council Entry'!U$9),'Council Entry'!U$8),'Council Entry'!U28)),IF('Council Entry'!U$4="Exponential",EXP(IF(AND(ISNUMBER('Council Entry'!U$8),ISNUMBER('Council Entry'!U$9)),MAX(MIN('Council Entry'!U28,'Council Entry'!U$9),'Council Entry'!U$8),'Council Entry'!U28)),IF(AND(ISNUMBER('Council Entry'!U$8),ISNUMBER('Council Entry'!U$9)),MAX(MIN('Council Entry'!U28,'Council Entry'!U$9),'Council Entry'!U$8),'Council Entry'!U28))))-'Council Entry'!U$5)/('Council Entry'!U$6-'Council Entry'!U$5)),1))),"No data"))</f>
        <v/>
      </c>
      <c r="V28" s="13">
        <f>IF('Council Entry'!V28="","",IFERROR(MAX(0,MIN(10,ROUND(IF('Council Entry'!V$7="Decrease Risk",10-10*((IF('Council Entry'!V$4="Logarithm",LN(0.001+IF(AND(ISNUMBER('Council Entry'!V$8),ISNUMBER('Council Entry'!V$9)),MAX(MIN('Council Entry'!V28,'Council Entry'!V$9),'Council Entry'!V$8),'Council Entry'!V28)),IF('Council Entry'!V$4="Exponential",EXP(IF(AND(ISNUMBER('Council Entry'!V$8),ISNUMBER('Council Entry'!V$9)),MAX(MIN('Council Entry'!V28,'Council Entry'!V$9),'Council Entry'!V$8),'Council Entry'!V28)),IF(AND(ISNUMBER('Council Entry'!V$8),ISNUMBER('Council Entry'!V$9)),MAX(MIN('Council Entry'!V28,'Council Entry'!V$9),'Council Entry'!V$8),'Council Entry'!V28))))-'Council Entry'!V$5)/('Council Entry'!V$6-'Council Entry'!V$5),10*((IF('Council Entry'!V$4="Logarithm",LN(0.001+IF(AND(ISNUMBER('Council Entry'!V$8),ISNUMBER('Council Entry'!V$9)),MAX(MIN('Council Entry'!V28,'Council Entry'!V$9),'Council Entry'!V$8),'Council Entry'!V28)),IF('Council Entry'!V$4="Exponential",EXP(IF(AND(ISNUMBER('Council Entry'!V$8),ISNUMBER('Council Entry'!V$9)),MAX(MIN('Council Entry'!V28,'Council Entry'!V$9),'Council Entry'!V$8),'Council Entry'!V28)),IF(AND(ISNUMBER('Council Entry'!V$8),ISNUMBER('Council Entry'!V$9)),MAX(MIN('Council Entry'!V28,'Council Entry'!V$9),'Council Entry'!V$8),'Council Entry'!V28))))-'Council Entry'!V$5)/('Council Entry'!V$6-'Council Entry'!V$5)),1))),"No data"))</f>
        <v/>
      </c>
      <c r="W28" s="13">
        <f>IF('Council Entry'!W28="","",IFERROR(MAX(0,MIN(10,ROUND(IF('Council Entry'!W$7="Decrease Risk",10-10*((IF('Council Entry'!W$4="Logarithm",LN(0.001+IF(AND(ISNUMBER('Council Entry'!W$8),ISNUMBER('Council Entry'!W$9)),MAX(MIN('Council Entry'!W28,'Council Entry'!W$9),'Council Entry'!W$8),'Council Entry'!W28)),IF('Council Entry'!W$4="Exponential",EXP(IF(AND(ISNUMBER('Council Entry'!W$8),ISNUMBER('Council Entry'!W$9)),MAX(MIN('Council Entry'!W28,'Council Entry'!W$9),'Council Entry'!W$8),'Council Entry'!W28)),IF(AND(ISNUMBER('Council Entry'!W$8),ISNUMBER('Council Entry'!W$9)),MAX(MIN('Council Entry'!W28,'Council Entry'!W$9),'Council Entry'!W$8),'Council Entry'!W28))))-'Council Entry'!W$5)/('Council Entry'!W$6-'Council Entry'!W$5),10*((IF('Council Entry'!W$4="Logarithm",LN(0.001+IF(AND(ISNUMBER('Council Entry'!W$8),ISNUMBER('Council Entry'!W$9)),MAX(MIN('Council Entry'!W28,'Council Entry'!W$9),'Council Entry'!W$8),'Council Entry'!W28)),IF('Council Entry'!W$4="Exponential",EXP(IF(AND(ISNUMBER('Council Entry'!W$8),ISNUMBER('Council Entry'!W$9)),MAX(MIN('Council Entry'!W28,'Council Entry'!W$9),'Council Entry'!W$8),'Council Entry'!W28)),IF(AND(ISNUMBER('Council Entry'!W$8),ISNUMBER('Council Entry'!W$9)),MAX(MIN('Council Entry'!W28,'Council Entry'!W$9),'Council Entry'!W$8),'Council Entry'!W28))))-'Council Entry'!W$5)/('Council Entry'!W$6-'Council Entry'!W$5)),1))),"No data"))</f>
        <v/>
      </c>
      <c r="X28" s="13">
        <f>IF('Council Entry'!X28="","",IFERROR(MAX(0,MIN(10,ROUND(IF('Council Entry'!X$7="Decrease Risk",10-10*((IF('Council Entry'!X$4="Logarithm",LN(0.001+IF(AND(ISNUMBER('Council Entry'!X$8),ISNUMBER('Council Entry'!X$9)),MAX(MIN('Council Entry'!X28,'Council Entry'!X$9),'Council Entry'!X$8),'Council Entry'!X28)),IF('Council Entry'!X$4="Exponential",EXP(IF(AND(ISNUMBER('Council Entry'!X$8),ISNUMBER('Council Entry'!X$9)),MAX(MIN('Council Entry'!X28,'Council Entry'!X$9),'Council Entry'!X$8),'Council Entry'!X28)),IF(AND(ISNUMBER('Council Entry'!X$8),ISNUMBER('Council Entry'!X$9)),MAX(MIN('Council Entry'!X28,'Council Entry'!X$9),'Council Entry'!X$8),'Council Entry'!X28))))-'Council Entry'!X$5)/('Council Entry'!X$6-'Council Entry'!X$5),10*((IF('Council Entry'!X$4="Logarithm",LN(0.001+IF(AND(ISNUMBER('Council Entry'!X$8),ISNUMBER('Council Entry'!X$9)),MAX(MIN('Council Entry'!X28,'Council Entry'!X$9),'Council Entry'!X$8),'Council Entry'!X28)),IF('Council Entry'!X$4="Exponential",EXP(IF(AND(ISNUMBER('Council Entry'!X$8),ISNUMBER('Council Entry'!X$9)),MAX(MIN('Council Entry'!X28,'Council Entry'!X$9),'Council Entry'!X$8),'Council Entry'!X28)),IF(AND(ISNUMBER('Council Entry'!X$8),ISNUMBER('Council Entry'!X$9)),MAX(MIN('Council Entry'!X28,'Council Entry'!X$9),'Council Entry'!X$8),'Council Entry'!X28))))-'Council Entry'!X$5)/('Council Entry'!X$6-'Council Entry'!X$5)),1))),"No data"))</f>
        <v/>
      </c>
      <c r="Y28" s="13">
        <f>IF('Council Entry'!Y28="","",IFERROR(MAX(0,MIN(10,ROUND(IF('Council Entry'!Y$7="Decrease Risk",10-10*((IF('Council Entry'!Y$4="Logarithm",LN(0.001+IF(AND(ISNUMBER('Council Entry'!Y$8),ISNUMBER('Council Entry'!Y$9)),MAX(MIN('Council Entry'!Y28,'Council Entry'!Y$9),'Council Entry'!Y$8),'Council Entry'!Y28)),IF('Council Entry'!Y$4="Exponential",EXP(IF(AND(ISNUMBER('Council Entry'!Y$8),ISNUMBER('Council Entry'!Y$9)),MAX(MIN('Council Entry'!Y28,'Council Entry'!Y$9),'Council Entry'!Y$8),'Council Entry'!Y28)),IF(AND(ISNUMBER('Council Entry'!Y$8),ISNUMBER('Council Entry'!Y$9)),MAX(MIN('Council Entry'!Y28,'Council Entry'!Y$9),'Council Entry'!Y$8),'Council Entry'!Y28))))-'Council Entry'!Y$5)/('Council Entry'!Y$6-'Council Entry'!Y$5),10*((IF('Council Entry'!Y$4="Logarithm",LN(0.001+IF(AND(ISNUMBER('Council Entry'!Y$8),ISNUMBER('Council Entry'!Y$9)),MAX(MIN('Council Entry'!Y28,'Council Entry'!Y$9),'Council Entry'!Y$8),'Council Entry'!Y28)),IF('Council Entry'!Y$4="Exponential",EXP(IF(AND(ISNUMBER('Council Entry'!Y$8),ISNUMBER('Council Entry'!Y$9)),MAX(MIN('Council Entry'!Y28,'Council Entry'!Y$9),'Council Entry'!Y$8),'Council Entry'!Y28)),IF(AND(ISNUMBER('Council Entry'!Y$8),ISNUMBER('Council Entry'!Y$9)),MAX(MIN('Council Entry'!Y28,'Council Entry'!Y$9),'Council Entry'!Y$8),'Council Entry'!Y28))))-'Council Entry'!Y$5)/('Council Entry'!Y$6-'Council Entry'!Y$5)),1))),"No data"))</f>
        <v/>
      </c>
      <c r="Z28" s="13">
        <f>IF('Council Entry'!Z28="","",IFERROR(MAX(0,MIN(10,ROUND(IF('Council Entry'!Z$7="Decrease Risk",10-10*((IF('Council Entry'!Z$4="Logarithm",LN(0.001+IF(AND(ISNUMBER('Council Entry'!Z$8),ISNUMBER('Council Entry'!Z$9)),MAX(MIN('Council Entry'!Z28,'Council Entry'!Z$9),'Council Entry'!Z$8),'Council Entry'!Z28)),IF('Council Entry'!Z$4="Exponential",EXP(IF(AND(ISNUMBER('Council Entry'!Z$8),ISNUMBER('Council Entry'!Z$9)),MAX(MIN('Council Entry'!Z28,'Council Entry'!Z$9),'Council Entry'!Z$8),'Council Entry'!Z28)),IF(AND(ISNUMBER('Council Entry'!Z$8),ISNUMBER('Council Entry'!Z$9)),MAX(MIN('Council Entry'!Z28,'Council Entry'!Z$9),'Council Entry'!Z$8),'Council Entry'!Z28))))-'Council Entry'!Z$5)/('Council Entry'!Z$6-'Council Entry'!Z$5),10*((IF('Council Entry'!Z$4="Logarithm",LN(0.001+IF(AND(ISNUMBER('Council Entry'!Z$8),ISNUMBER('Council Entry'!Z$9)),MAX(MIN('Council Entry'!Z28,'Council Entry'!Z$9),'Council Entry'!Z$8),'Council Entry'!Z28)),IF('Council Entry'!Z$4="Exponential",EXP(IF(AND(ISNUMBER('Council Entry'!Z$8),ISNUMBER('Council Entry'!Z$9)),MAX(MIN('Council Entry'!Z28,'Council Entry'!Z$9),'Council Entry'!Z$8),'Council Entry'!Z28)),IF(AND(ISNUMBER('Council Entry'!Z$8),ISNUMBER('Council Entry'!Z$9)),MAX(MIN('Council Entry'!Z28,'Council Entry'!Z$9),'Council Entry'!Z$8),'Council Entry'!Z28))))-'Council Entry'!Z$5)/('Council Entry'!Z$6-'Council Entry'!Z$5)),1))),"No data"))</f>
        <v/>
      </c>
      <c r="AA28" s="13">
        <f>IF('Council Entry'!AA28="","",IFERROR(MAX(0,MIN(10,ROUND(IF('Council Entry'!AA$7="Decrease Risk",10-10*((IF('Council Entry'!AA$4="Logarithm",LN(0.001+IF(AND(ISNUMBER('Council Entry'!AA$8),ISNUMBER('Council Entry'!AA$9)),MAX(MIN('Council Entry'!AA28,'Council Entry'!AA$9),'Council Entry'!AA$8),'Council Entry'!AA28)),IF('Council Entry'!AA$4="Exponential",EXP(IF(AND(ISNUMBER('Council Entry'!AA$8),ISNUMBER('Council Entry'!AA$9)),MAX(MIN('Council Entry'!AA28,'Council Entry'!AA$9),'Council Entry'!AA$8),'Council Entry'!AA28)),IF(AND(ISNUMBER('Council Entry'!AA$8),ISNUMBER('Council Entry'!AA$9)),MAX(MIN('Council Entry'!AA28,'Council Entry'!AA$9),'Council Entry'!AA$8),'Council Entry'!AA28))))-'Council Entry'!AA$5)/('Council Entry'!AA$6-'Council Entry'!AA$5),10*((IF('Council Entry'!AA$4="Logarithm",LN(0.001+IF(AND(ISNUMBER('Council Entry'!AA$8),ISNUMBER('Council Entry'!AA$9)),MAX(MIN('Council Entry'!AA28,'Council Entry'!AA$9),'Council Entry'!AA$8),'Council Entry'!AA28)),IF('Council Entry'!AA$4="Exponential",EXP(IF(AND(ISNUMBER('Council Entry'!AA$8),ISNUMBER('Council Entry'!AA$9)),MAX(MIN('Council Entry'!AA28,'Council Entry'!AA$9),'Council Entry'!AA$8),'Council Entry'!AA28)),IF(AND(ISNUMBER('Council Entry'!AA$8),ISNUMBER('Council Entry'!AA$9)),MAX(MIN('Council Entry'!AA28,'Council Entry'!AA$9),'Council Entry'!AA$8),'Council Entry'!AA28))))-'Council Entry'!AA$5)/('Council Entry'!AA$6-'Council Entry'!AA$5)),1))),"No data"))</f>
        <v/>
      </c>
      <c r="AB28" s="13">
        <f>IF('Council Entry'!AB28="","",IFERROR(MAX(0,MIN(10,ROUND(IF('Council Entry'!AB$7="Decrease Risk",10-10*((IF('Council Entry'!AB$4="Logarithm",LN(0.001+IF(AND(ISNUMBER('Council Entry'!AB$8),ISNUMBER('Council Entry'!AB$9)),MAX(MIN('Council Entry'!AB28,'Council Entry'!AB$9),'Council Entry'!AB$8),'Council Entry'!AB28)),IF('Council Entry'!AB$4="Exponential",EXP(IF(AND(ISNUMBER('Council Entry'!AB$8),ISNUMBER('Council Entry'!AB$9)),MAX(MIN('Council Entry'!AB28,'Council Entry'!AB$9),'Council Entry'!AB$8),'Council Entry'!AB28)),IF(AND(ISNUMBER('Council Entry'!AB$8),ISNUMBER('Council Entry'!AB$9)),MAX(MIN('Council Entry'!AB28,'Council Entry'!AB$9),'Council Entry'!AB$8),'Council Entry'!AB28))))-'Council Entry'!AB$5)/('Council Entry'!AB$6-'Council Entry'!AB$5),10*((IF('Council Entry'!AB$4="Logarithm",LN(0.001+IF(AND(ISNUMBER('Council Entry'!AB$8),ISNUMBER('Council Entry'!AB$9)),MAX(MIN('Council Entry'!AB28,'Council Entry'!AB$9),'Council Entry'!AB$8),'Council Entry'!AB28)),IF('Council Entry'!AB$4="Exponential",EXP(IF(AND(ISNUMBER('Council Entry'!AB$8),ISNUMBER('Council Entry'!AB$9)),MAX(MIN('Council Entry'!AB28,'Council Entry'!AB$9),'Council Entry'!AB$8),'Council Entry'!AB28)),IF(AND(ISNUMBER('Council Entry'!AB$8),ISNUMBER('Council Entry'!AB$9)),MAX(MIN('Council Entry'!AB28,'Council Entry'!AB$9),'Council Entry'!AB$8),'Council Entry'!AB28))))-'Council Entry'!AB$5)/('Council Entry'!AB$6-'Council Entry'!AB$5)),1))),"No data"))</f>
        <v/>
      </c>
      <c r="AC28" s="13">
        <f>IF('Council Entry'!AC28="","",IFERROR(MAX(0,MIN(10,ROUND(IF('Council Entry'!AC$7="Decrease Risk",10-10*((IF('Council Entry'!AC$4="Logarithm",LN(0.001+IF(AND(ISNUMBER('Council Entry'!AC$8),ISNUMBER('Council Entry'!AC$9)),MAX(MIN('Council Entry'!AC28,'Council Entry'!AC$9),'Council Entry'!AC$8),'Council Entry'!AC28)),IF('Council Entry'!AC$4="Exponential",EXP(IF(AND(ISNUMBER('Council Entry'!AC$8),ISNUMBER('Council Entry'!AC$9)),MAX(MIN('Council Entry'!AC28,'Council Entry'!AC$9),'Council Entry'!AC$8),'Council Entry'!AC28)),IF(AND(ISNUMBER('Council Entry'!AC$8),ISNUMBER('Council Entry'!AC$9)),MAX(MIN('Council Entry'!AC28,'Council Entry'!AC$9),'Council Entry'!AC$8),'Council Entry'!AC28))))-'Council Entry'!AC$5)/('Council Entry'!AC$6-'Council Entry'!AC$5),10*((IF('Council Entry'!AC$4="Logarithm",LN(0.001+IF(AND(ISNUMBER('Council Entry'!AC$8),ISNUMBER('Council Entry'!AC$9)),MAX(MIN('Council Entry'!AC28,'Council Entry'!AC$9),'Council Entry'!AC$8),'Council Entry'!AC28)),IF('Council Entry'!AC$4="Exponential",EXP(IF(AND(ISNUMBER('Council Entry'!AC$8),ISNUMBER('Council Entry'!AC$9)),MAX(MIN('Council Entry'!AC28,'Council Entry'!AC$9),'Council Entry'!AC$8),'Council Entry'!AC28)),IF(AND(ISNUMBER('Council Entry'!AC$8),ISNUMBER('Council Entry'!AC$9)),MAX(MIN('Council Entry'!AC28,'Council Entry'!AC$9),'Council Entry'!AC$8),'Council Entry'!AC28))))-'Council Entry'!AC$5)/('Council Entry'!AC$6-'Council Entry'!AC$5)),1))),"No data"))</f>
        <v/>
      </c>
      <c r="AD28" s="13">
        <f>IF('Council Entry'!AD28="","",IFERROR(MAX(0,MIN(10,ROUND(IF('Council Entry'!AD$7="Decrease Risk",10-10*((IF('Council Entry'!AD$4="Logarithm",LN(0.001+IF(AND(ISNUMBER('Council Entry'!AD$8),ISNUMBER('Council Entry'!AD$9)),MAX(MIN('Council Entry'!AD28,'Council Entry'!AD$9),'Council Entry'!AD$8),'Council Entry'!AD28)),IF('Council Entry'!AD$4="Exponential",EXP(IF(AND(ISNUMBER('Council Entry'!AD$8),ISNUMBER('Council Entry'!AD$9)),MAX(MIN('Council Entry'!AD28,'Council Entry'!AD$9),'Council Entry'!AD$8),'Council Entry'!AD28)),IF(AND(ISNUMBER('Council Entry'!AD$8),ISNUMBER('Council Entry'!AD$9)),MAX(MIN('Council Entry'!AD28,'Council Entry'!AD$9),'Council Entry'!AD$8),'Council Entry'!AD28))))-'Council Entry'!AD$5)/('Council Entry'!AD$6-'Council Entry'!AD$5),10*((IF('Council Entry'!AD$4="Logarithm",LN(0.001+IF(AND(ISNUMBER('Council Entry'!AD$8),ISNUMBER('Council Entry'!AD$9)),MAX(MIN('Council Entry'!AD28,'Council Entry'!AD$9),'Council Entry'!AD$8),'Council Entry'!AD28)),IF('Council Entry'!AD$4="Exponential",EXP(IF(AND(ISNUMBER('Council Entry'!AD$8),ISNUMBER('Council Entry'!AD$9)),MAX(MIN('Council Entry'!AD28,'Council Entry'!AD$9),'Council Entry'!AD$8),'Council Entry'!AD28)),IF(AND(ISNUMBER('Council Entry'!AD$8),ISNUMBER('Council Entry'!AD$9)),MAX(MIN('Council Entry'!AD28,'Council Entry'!AD$9),'Council Entry'!AD$8),'Council Entry'!AD28))))-'Council Entry'!AD$5)/('Council Entry'!AD$6-'Council Entry'!AD$5)),1))),"No data"))</f>
        <v/>
      </c>
      <c r="AE28" s="13">
        <f>IF('Council Entry'!AE28="","",IFERROR(MAX(0,MIN(10,ROUND(IF('Council Entry'!AE$7="Decrease Risk",10-10*((IF('Council Entry'!AE$4="Logarithm",LN(0.001+IF(AND(ISNUMBER('Council Entry'!AE$8),ISNUMBER('Council Entry'!AE$9)),MAX(MIN('Council Entry'!AE28,'Council Entry'!AE$9),'Council Entry'!AE$8),'Council Entry'!AE28)),IF('Council Entry'!AE$4="Exponential",EXP(IF(AND(ISNUMBER('Council Entry'!AE$8),ISNUMBER('Council Entry'!AE$9)),MAX(MIN('Council Entry'!AE28,'Council Entry'!AE$9),'Council Entry'!AE$8),'Council Entry'!AE28)),IF(AND(ISNUMBER('Council Entry'!AE$8),ISNUMBER('Council Entry'!AE$9)),MAX(MIN('Council Entry'!AE28,'Council Entry'!AE$9),'Council Entry'!AE$8),'Council Entry'!AE28))))-'Council Entry'!AE$5)/('Council Entry'!AE$6-'Council Entry'!AE$5),10*((IF('Council Entry'!AE$4="Logarithm",LN(0.001+IF(AND(ISNUMBER('Council Entry'!AE$8),ISNUMBER('Council Entry'!AE$9)),MAX(MIN('Council Entry'!AE28,'Council Entry'!AE$9),'Council Entry'!AE$8),'Council Entry'!AE28)),IF('Council Entry'!AE$4="Exponential",EXP(IF(AND(ISNUMBER('Council Entry'!AE$8),ISNUMBER('Council Entry'!AE$9)),MAX(MIN('Council Entry'!AE28,'Council Entry'!AE$9),'Council Entry'!AE$8),'Council Entry'!AE28)),IF(AND(ISNUMBER('Council Entry'!AE$8),ISNUMBER('Council Entry'!AE$9)),MAX(MIN('Council Entry'!AE28,'Council Entry'!AE$9),'Council Entry'!AE$8),'Council Entry'!AE28))))-'Council Entry'!AE$5)/('Council Entry'!AE$6-'Council Entry'!AE$5)),1))),"No data"))</f>
        <v/>
      </c>
      <c r="AF28" s="13">
        <f>IF('Council Entry'!AF28="","",IFERROR(MAX(0,MIN(10,ROUND(IF('Council Entry'!AF$7="Decrease Risk",10-10*((IF('Council Entry'!AF$4="Logarithm",LN(0.001+IF(AND(ISNUMBER('Council Entry'!AF$8),ISNUMBER('Council Entry'!AF$9)),MAX(MIN('Council Entry'!AF28,'Council Entry'!AF$9),'Council Entry'!AF$8),'Council Entry'!AF28)),IF('Council Entry'!AF$4="Exponential",EXP(IF(AND(ISNUMBER('Council Entry'!AF$8),ISNUMBER('Council Entry'!AF$9)),MAX(MIN('Council Entry'!AF28,'Council Entry'!AF$9),'Council Entry'!AF$8),'Council Entry'!AF28)),IF(AND(ISNUMBER('Council Entry'!AF$8),ISNUMBER('Council Entry'!AF$9)),MAX(MIN('Council Entry'!AF28,'Council Entry'!AF$9),'Council Entry'!AF$8),'Council Entry'!AF28))))-'Council Entry'!AF$5)/('Council Entry'!AF$6-'Council Entry'!AF$5),10*((IF('Council Entry'!AF$4="Logarithm",LN(0.001+IF(AND(ISNUMBER('Council Entry'!AF$8),ISNUMBER('Council Entry'!AF$9)),MAX(MIN('Council Entry'!AF28,'Council Entry'!AF$9),'Council Entry'!AF$8),'Council Entry'!AF28)),IF('Council Entry'!AF$4="Exponential",EXP(IF(AND(ISNUMBER('Council Entry'!AF$8),ISNUMBER('Council Entry'!AF$9)),MAX(MIN('Council Entry'!AF28,'Council Entry'!AF$9),'Council Entry'!AF$8),'Council Entry'!AF28)),IF(AND(ISNUMBER('Council Entry'!AF$8),ISNUMBER('Council Entry'!AF$9)),MAX(MIN('Council Entry'!AF28,'Council Entry'!AF$9),'Council Entry'!AF$8),'Council Entry'!AF28))))-'Council Entry'!AF$5)/('Council Entry'!AF$6-'Council Entry'!AF$5)),1))),"No data"))</f>
        <v/>
      </c>
      <c r="AG28" s="13">
        <f>IF('Council Entry'!AG28="","",IFERROR(MAX(0,MIN(10,ROUND(IF('Council Entry'!AG$7="Decrease Risk",10-10*((IF('Council Entry'!AG$4="Logarithm",LN(0.001+IF(AND(ISNUMBER('Council Entry'!AG$8),ISNUMBER('Council Entry'!AG$9)),MAX(MIN('Council Entry'!AG28,'Council Entry'!AG$9),'Council Entry'!AG$8),'Council Entry'!AG28)),IF('Council Entry'!AG$4="Exponential",EXP(IF(AND(ISNUMBER('Council Entry'!AG$8),ISNUMBER('Council Entry'!AG$9)),MAX(MIN('Council Entry'!AG28,'Council Entry'!AG$9),'Council Entry'!AG$8),'Council Entry'!AG28)),IF(AND(ISNUMBER('Council Entry'!AG$8),ISNUMBER('Council Entry'!AG$9)),MAX(MIN('Council Entry'!AG28,'Council Entry'!AG$9),'Council Entry'!AG$8),'Council Entry'!AG28))))-'Council Entry'!AG$5)/('Council Entry'!AG$6-'Council Entry'!AG$5),10*((IF('Council Entry'!AG$4="Logarithm",LN(0.001+IF(AND(ISNUMBER('Council Entry'!AG$8),ISNUMBER('Council Entry'!AG$9)),MAX(MIN('Council Entry'!AG28,'Council Entry'!AG$9),'Council Entry'!AG$8),'Council Entry'!AG28)),IF('Council Entry'!AG$4="Exponential",EXP(IF(AND(ISNUMBER('Council Entry'!AG$8),ISNUMBER('Council Entry'!AG$9)),MAX(MIN('Council Entry'!AG28,'Council Entry'!AG$9),'Council Entry'!AG$8),'Council Entry'!AG28)),IF(AND(ISNUMBER('Council Entry'!AG$8),ISNUMBER('Council Entry'!AG$9)),MAX(MIN('Council Entry'!AG28,'Council Entry'!AG$9),'Council Entry'!AG$8),'Council Entry'!AG28))))-'Council Entry'!AG$5)/('Council Entry'!AG$6-'Council Entry'!AG$5)),1))),"No data"))</f>
        <v/>
      </c>
      <c r="AH28" s="13">
        <f>IF('Council Entry'!AH28="","",IFERROR(MAX(0,MIN(10,ROUND(IF('Council Entry'!AH$7="Decrease Risk",10-10*((IF('Council Entry'!AH$4="Logarithm",LN(0.001+IF(AND(ISNUMBER('Council Entry'!AH$8),ISNUMBER('Council Entry'!AH$9)),MAX(MIN('Council Entry'!AH28,'Council Entry'!AH$9),'Council Entry'!AH$8),'Council Entry'!AH28)),IF('Council Entry'!AH$4="Exponential",EXP(IF(AND(ISNUMBER('Council Entry'!AH$8),ISNUMBER('Council Entry'!AH$9)),MAX(MIN('Council Entry'!AH28,'Council Entry'!AH$9),'Council Entry'!AH$8),'Council Entry'!AH28)),IF(AND(ISNUMBER('Council Entry'!AH$8),ISNUMBER('Council Entry'!AH$9)),MAX(MIN('Council Entry'!AH28,'Council Entry'!AH$9),'Council Entry'!AH$8),'Council Entry'!AH28))))-'Council Entry'!AH$5)/('Council Entry'!AH$6-'Council Entry'!AH$5),10*((IF('Council Entry'!AH$4="Logarithm",LN(0.001+IF(AND(ISNUMBER('Council Entry'!AH$8),ISNUMBER('Council Entry'!AH$9)),MAX(MIN('Council Entry'!AH28,'Council Entry'!AH$9),'Council Entry'!AH$8),'Council Entry'!AH28)),IF('Council Entry'!AH$4="Exponential",EXP(IF(AND(ISNUMBER('Council Entry'!AH$8),ISNUMBER('Council Entry'!AH$9)),MAX(MIN('Council Entry'!AH28,'Council Entry'!AH$9),'Council Entry'!AH$8),'Council Entry'!AH28)),IF(AND(ISNUMBER('Council Entry'!AH$8),ISNUMBER('Council Entry'!AH$9)),MAX(MIN('Council Entry'!AH28,'Council Entry'!AH$9),'Council Entry'!AH$8),'Council Entry'!AH28))))-'Council Entry'!AH$5)/('Council Entry'!AH$6-'Council Entry'!AH$5)),1))),"No data"))</f>
        <v/>
      </c>
      <c r="AI28" s="13">
        <f>IF('Council Entry'!AI28="","",IFERROR(MAX(0,MIN(10,ROUND(IF('Council Entry'!AI$7="Decrease Risk",10-10*((IF('Council Entry'!AI$4="Logarithm",LN(0.001+IF(AND(ISNUMBER('Council Entry'!AI$8),ISNUMBER('Council Entry'!AI$9)),MAX(MIN('Council Entry'!AI28,'Council Entry'!AI$9),'Council Entry'!AI$8),'Council Entry'!AI28)),IF('Council Entry'!AI$4="Exponential",EXP(IF(AND(ISNUMBER('Council Entry'!AI$8),ISNUMBER('Council Entry'!AI$9)),MAX(MIN('Council Entry'!AI28,'Council Entry'!AI$9),'Council Entry'!AI$8),'Council Entry'!AI28)),IF(AND(ISNUMBER('Council Entry'!AI$8),ISNUMBER('Council Entry'!AI$9)),MAX(MIN('Council Entry'!AI28,'Council Entry'!AI$9),'Council Entry'!AI$8),'Council Entry'!AI28))))-'Council Entry'!AI$5)/('Council Entry'!AI$6-'Council Entry'!AI$5),10*((IF('Council Entry'!AI$4="Logarithm",LN(0.001+IF(AND(ISNUMBER('Council Entry'!AI$8),ISNUMBER('Council Entry'!AI$9)),MAX(MIN('Council Entry'!AI28,'Council Entry'!AI$9),'Council Entry'!AI$8),'Council Entry'!AI28)),IF('Council Entry'!AI$4="Exponential",EXP(IF(AND(ISNUMBER('Council Entry'!AI$8),ISNUMBER('Council Entry'!AI$9)),MAX(MIN('Council Entry'!AI28,'Council Entry'!AI$9),'Council Entry'!AI$8),'Council Entry'!AI28)),IF(AND(ISNUMBER('Council Entry'!AI$8),ISNUMBER('Council Entry'!AI$9)),MAX(MIN('Council Entry'!AI28,'Council Entry'!AI$9),'Council Entry'!AI$8),'Council Entry'!AI28))))-'Council Entry'!AI$5)/('Council Entry'!AI$6-'Council Entry'!AI$5)),1))),"No data"))</f>
        <v/>
      </c>
      <c r="AJ28" s="13">
        <f>IF('Council Entry'!AJ28="","",IFERROR(MAX(0,MIN(10,ROUND(IF('Council Entry'!AJ$7="Decrease Risk",10-10*((IF('Council Entry'!AJ$4="Logarithm",LN(0.001+IF(AND(ISNUMBER('Council Entry'!AJ$8),ISNUMBER('Council Entry'!AJ$9)),MAX(MIN('Council Entry'!AJ28,'Council Entry'!AJ$9),'Council Entry'!AJ$8),'Council Entry'!AJ28)),IF('Council Entry'!AJ$4="Exponential",EXP(IF(AND(ISNUMBER('Council Entry'!AJ$8),ISNUMBER('Council Entry'!AJ$9)),MAX(MIN('Council Entry'!AJ28,'Council Entry'!AJ$9),'Council Entry'!AJ$8),'Council Entry'!AJ28)),IF(AND(ISNUMBER('Council Entry'!AJ$8),ISNUMBER('Council Entry'!AJ$9)),MAX(MIN('Council Entry'!AJ28,'Council Entry'!AJ$9),'Council Entry'!AJ$8),'Council Entry'!AJ28))))-'Council Entry'!AJ$5)/('Council Entry'!AJ$6-'Council Entry'!AJ$5),10*((IF('Council Entry'!AJ$4="Logarithm",LN(0.001+IF(AND(ISNUMBER('Council Entry'!AJ$8),ISNUMBER('Council Entry'!AJ$9)),MAX(MIN('Council Entry'!AJ28,'Council Entry'!AJ$9),'Council Entry'!AJ$8),'Council Entry'!AJ28)),IF('Council Entry'!AJ$4="Exponential",EXP(IF(AND(ISNUMBER('Council Entry'!AJ$8),ISNUMBER('Council Entry'!AJ$9)),MAX(MIN('Council Entry'!AJ28,'Council Entry'!AJ$9),'Council Entry'!AJ$8),'Council Entry'!AJ28)),IF(AND(ISNUMBER('Council Entry'!AJ$8),ISNUMBER('Council Entry'!AJ$9)),MAX(MIN('Council Entry'!AJ28,'Council Entry'!AJ$9),'Council Entry'!AJ$8),'Council Entry'!AJ28))))-'Council Entry'!AJ$5)/('Council Entry'!AJ$6-'Council Entry'!AJ$5)),1))),"No data"))</f>
        <v/>
      </c>
      <c r="AK28" s="13">
        <f>IF('Council Entry'!AK28="","",IFERROR(MAX(0,MIN(10,ROUND(IF('Council Entry'!AK$7="Decrease Risk",10-10*((IF('Council Entry'!AK$4="Logarithm",LN(0.001+IF(AND(ISNUMBER('Council Entry'!AK$8),ISNUMBER('Council Entry'!AK$9)),MAX(MIN('Council Entry'!AK28,'Council Entry'!AK$9),'Council Entry'!AK$8),'Council Entry'!AK28)),IF('Council Entry'!AK$4="Exponential",EXP(IF(AND(ISNUMBER('Council Entry'!AK$8),ISNUMBER('Council Entry'!AK$9)),MAX(MIN('Council Entry'!AK28,'Council Entry'!AK$9),'Council Entry'!AK$8),'Council Entry'!AK28)),IF(AND(ISNUMBER('Council Entry'!AK$8),ISNUMBER('Council Entry'!AK$9)),MAX(MIN('Council Entry'!AK28,'Council Entry'!AK$9),'Council Entry'!AK$8),'Council Entry'!AK28))))-'Council Entry'!AK$5)/('Council Entry'!AK$6-'Council Entry'!AK$5),10*((IF('Council Entry'!AK$4="Logarithm",LN(0.001+IF(AND(ISNUMBER('Council Entry'!AK$8),ISNUMBER('Council Entry'!AK$9)),MAX(MIN('Council Entry'!AK28,'Council Entry'!AK$9),'Council Entry'!AK$8),'Council Entry'!AK28)),IF('Council Entry'!AK$4="Exponential",EXP(IF(AND(ISNUMBER('Council Entry'!AK$8),ISNUMBER('Council Entry'!AK$9)),MAX(MIN('Council Entry'!AK28,'Council Entry'!AK$9),'Council Entry'!AK$8),'Council Entry'!AK28)),IF(AND(ISNUMBER('Council Entry'!AK$8),ISNUMBER('Council Entry'!AK$9)),MAX(MIN('Council Entry'!AK28,'Council Entry'!AK$9),'Council Entry'!AK$8),'Council Entry'!AK28))))-'Council Entry'!AK$5)/('Council Entry'!AK$6-'Council Entry'!AK$5)),1))),"No data"))</f>
        <v/>
      </c>
      <c r="AL28" s="13">
        <f>IF('Council Entry'!AL28="","",IFERROR(MAX(0,MIN(10,ROUND(IF('Council Entry'!AL$7="Decrease Risk",10-10*((IF('Council Entry'!AL$4="Logarithm",LN(0.001+IF(AND(ISNUMBER('Council Entry'!AL$8),ISNUMBER('Council Entry'!AL$9)),MAX(MIN('Council Entry'!AL28,'Council Entry'!AL$9),'Council Entry'!AL$8),'Council Entry'!AL28)),IF('Council Entry'!AL$4="Exponential",EXP(IF(AND(ISNUMBER('Council Entry'!AL$8),ISNUMBER('Council Entry'!AL$9)),MAX(MIN('Council Entry'!AL28,'Council Entry'!AL$9),'Council Entry'!AL$8),'Council Entry'!AL28)),IF(AND(ISNUMBER('Council Entry'!AL$8),ISNUMBER('Council Entry'!AL$9)),MAX(MIN('Council Entry'!AL28,'Council Entry'!AL$9),'Council Entry'!AL$8),'Council Entry'!AL28))))-'Council Entry'!AL$5)/('Council Entry'!AL$6-'Council Entry'!AL$5),10*((IF('Council Entry'!AL$4="Logarithm",LN(0.001+IF(AND(ISNUMBER('Council Entry'!AL$8),ISNUMBER('Council Entry'!AL$9)),MAX(MIN('Council Entry'!AL28,'Council Entry'!AL$9),'Council Entry'!AL$8),'Council Entry'!AL28)),IF('Council Entry'!AL$4="Exponential",EXP(IF(AND(ISNUMBER('Council Entry'!AL$8),ISNUMBER('Council Entry'!AL$9)),MAX(MIN('Council Entry'!AL28,'Council Entry'!AL$9),'Council Entry'!AL$8),'Council Entry'!AL28)),IF(AND(ISNUMBER('Council Entry'!AL$8),ISNUMBER('Council Entry'!AL$9)),MAX(MIN('Council Entry'!AL28,'Council Entry'!AL$9),'Council Entry'!AL$8),'Council Entry'!AL28))))-'Council Entry'!AL$5)/('Council Entry'!AL$6-'Council Entry'!AL$5)),1))),"No data"))</f>
        <v/>
      </c>
      <c r="AM28" s="13">
        <f>IF('Council Entry'!AM28="","",IFERROR(MAX(0,MIN(10,ROUND(IF('Council Entry'!AM$7="Decrease Risk",10-10*((IF('Council Entry'!AM$4="Logarithm",LN(0.001+IF(AND(ISNUMBER('Council Entry'!AM$8),ISNUMBER('Council Entry'!AM$9)),MAX(MIN('Council Entry'!AM28,'Council Entry'!AM$9),'Council Entry'!AM$8),'Council Entry'!AM28)),IF('Council Entry'!AM$4="Exponential",EXP(IF(AND(ISNUMBER('Council Entry'!AM$8),ISNUMBER('Council Entry'!AM$9)),MAX(MIN('Council Entry'!AM28,'Council Entry'!AM$9),'Council Entry'!AM$8),'Council Entry'!AM28)),IF(AND(ISNUMBER('Council Entry'!AM$8),ISNUMBER('Council Entry'!AM$9)),MAX(MIN('Council Entry'!AM28,'Council Entry'!AM$9),'Council Entry'!AM$8),'Council Entry'!AM28))))-'Council Entry'!AM$5)/('Council Entry'!AM$6-'Council Entry'!AM$5),10*((IF('Council Entry'!AM$4="Logarithm",LN(0.001+IF(AND(ISNUMBER('Council Entry'!AM$8),ISNUMBER('Council Entry'!AM$9)),MAX(MIN('Council Entry'!AM28,'Council Entry'!AM$9),'Council Entry'!AM$8),'Council Entry'!AM28)),IF('Council Entry'!AM$4="Exponential",EXP(IF(AND(ISNUMBER('Council Entry'!AM$8),ISNUMBER('Council Entry'!AM$9)),MAX(MIN('Council Entry'!AM28,'Council Entry'!AM$9),'Council Entry'!AM$8),'Council Entry'!AM28)),IF(AND(ISNUMBER('Council Entry'!AM$8),ISNUMBER('Council Entry'!AM$9)),MAX(MIN('Council Entry'!AM28,'Council Entry'!AM$9),'Council Entry'!AM$8),'Council Entry'!AM28))))-'Council Entry'!AM$5)/('Council Entry'!AM$6-'Council Entry'!AM$5)),1))),"No data"))</f>
        <v/>
      </c>
      <c r="AN28" s="13">
        <f>IF('Council Entry'!AN28="","",IFERROR(MAX(0,MIN(10,ROUND(IF('Council Entry'!AN$7="Decrease Risk",10-10*((IF('Council Entry'!AN$4="Logarithm",LN(0.001+IF(AND(ISNUMBER('Council Entry'!AN$8),ISNUMBER('Council Entry'!AN$9)),MAX(MIN('Council Entry'!AN28,'Council Entry'!AN$9),'Council Entry'!AN$8),'Council Entry'!AN28)),IF('Council Entry'!AN$4="Exponential",EXP(IF(AND(ISNUMBER('Council Entry'!AN$8),ISNUMBER('Council Entry'!AN$9)),MAX(MIN('Council Entry'!AN28,'Council Entry'!AN$9),'Council Entry'!AN$8),'Council Entry'!AN28)),IF(AND(ISNUMBER('Council Entry'!AN$8),ISNUMBER('Council Entry'!AN$9)),MAX(MIN('Council Entry'!AN28,'Council Entry'!AN$9),'Council Entry'!AN$8),'Council Entry'!AN28))))-'Council Entry'!AN$5)/('Council Entry'!AN$6-'Council Entry'!AN$5),10*((IF('Council Entry'!AN$4="Logarithm",LN(0.001+IF(AND(ISNUMBER('Council Entry'!AN$8),ISNUMBER('Council Entry'!AN$9)),MAX(MIN('Council Entry'!AN28,'Council Entry'!AN$9),'Council Entry'!AN$8),'Council Entry'!AN28)),IF('Council Entry'!AN$4="Exponential",EXP(IF(AND(ISNUMBER('Council Entry'!AN$8),ISNUMBER('Council Entry'!AN$9)),MAX(MIN('Council Entry'!AN28,'Council Entry'!AN$9),'Council Entry'!AN$8),'Council Entry'!AN28)),IF(AND(ISNUMBER('Council Entry'!AN$8),ISNUMBER('Council Entry'!AN$9)),MAX(MIN('Council Entry'!AN28,'Council Entry'!AN$9),'Council Entry'!AN$8),'Council Entry'!AN28))))-'Council Entry'!AN$5)/('Council Entry'!AN$6-'Council Entry'!AN$5)),1))),"No data"))</f>
        <v/>
      </c>
      <c r="AO28" s="13">
        <f>IF('Council Entry'!AO28="","",IFERROR(MAX(0,MIN(10,ROUND(IF('Council Entry'!AO$7="Decrease Risk",10-10*((IF('Council Entry'!AO$4="Logarithm",LN(0.001+IF(AND(ISNUMBER('Council Entry'!AO$8),ISNUMBER('Council Entry'!AO$9)),MAX(MIN('Council Entry'!AO28,'Council Entry'!AO$9),'Council Entry'!AO$8),'Council Entry'!AO28)),IF('Council Entry'!AO$4="Exponential",EXP(IF(AND(ISNUMBER('Council Entry'!AO$8),ISNUMBER('Council Entry'!AO$9)),MAX(MIN('Council Entry'!AO28,'Council Entry'!AO$9),'Council Entry'!AO$8),'Council Entry'!AO28)),IF(AND(ISNUMBER('Council Entry'!AO$8),ISNUMBER('Council Entry'!AO$9)),MAX(MIN('Council Entry'!AO28,'Council Entry'!AO$9),'Council Entry'!AO$8),'Council Entry'!AO28))))-'Council Entry'!AO$5)/('Council Entry'!AO$6-'Council Entry'!AO$5),10*((IF('Council Entry'!AO$4="Logarithm",LN(0.001+IF(AND(ISNUMBER('Council Entry'!AO$8),ISNUMBER('Council Entry'!AO$9)),MAX(MIN('Council Entry'!AO28,'Council Entry'!AO$9),'Council Entry'!AO$8),'Council Entry'!AO28)),IF('Council Entry'!AO$4="Exponential",EXP(IF(AND(ISNUMBER('Council Entry'!AO$8),ISNUMBER('Council Entry'!AO$9)),MAX(MIN('Council Entry'!AO28,'Council Entry'!AO$9),'Council Entry'!AO$8),'Council Entry'!AO28)),IF(AND(ISNUMBER('Council Entry'!AO$8),ISNUMBER('Council Entry'!AO$9)),MAX(MIN('Council Entry'!AO28,'Council Entry'!AO$9),'Council Entry'!AO$8),'Council Entry'!AO28))))-'Council Entry'!AO$5)/('Council Entry'!AO$6-'Council Entry'!AO$5)),1))),"No data"))</f>
        <v/>
      </c>
      <c r="AP28" s="13">
        <f>IF('Council Entry'!AP28="","",IFERROR(MAX(0,MIN(10,ROUND(IF('Council Entry'!AP$7="Decrease Risk",10-10*((IF('Council Entry'!AP$4="Logarithm",LN(0.001+IF(AND(ISNUMBER('Council Entry'!AP$8),ISNUMBER('Council Entry'!AP$9)),MAX(MIN('Council Entry'!AP28,'Council Entry'!AP$9),'Council Entry'!AP$8),'Council Entry'!AP28)),IF('Council Entry'!AP$4="Exponential",EXP(IF(AND(ISNUMBER('Council Entry'!AP$8),ISNUMBER('Council Entry'!AP$9)),MAX(MIN('Council Entry'!AP28,'Council Entry'!AP$9),'Council Entry'!AP$8),'Council Entry'!AP28)),IF(AND(ISNUMBER('Council Entry'!AP$8),ISNUMBER('Council Entry'!AP$9)),MAX(MIN('Council Entry'!AP28,'Council Entry'!AP$9),'Council Entry'!AP$8),'Council Entry'!AP28))))-'Council Entry'!AP$5)/('Council Entry'!AP$6-'Council Entry'!AP$5),10*((IF('Council Entry'!AP$4="Logarithm",LN(0.001+IF(AND(ISNUMBER('Council Entry'!AP$8),ISNUMBER('Council Entry'!AP$9)),MAX(MIN('Council Entry'!AP28,'Council Entry'!AP$9),'Council Entry'!AP$8),'Council Entry'!AP28)),IF('Council Entry'!AP$4="Exponential",EXP(IF(AND(ISNUMBER('Council Entry'!AP$8),ISNUMBER('Council Entry'!AP$9)),MAX(MIN('Council Entry'!AP28,'Council Entry'!AP$9),'Council Entry'!AP$8),'Council Entry'!AP28)),IF(AND(ISNUMBER('Council Entry'!AP$8),ISNUMBER('Council Entry'!AP$9)),MAX(MIN('Council Entry'!AP28,'Council Entry'!AP$9),'Council Entry'!AP$8),'Council Entry'!AP28))))-'Council Entry'!AP$5)/('Council Entry'!AP$6-'Council Entry'!AP$5)),1))),"No data"))</f>
        <v/>
      </c>
      <c r="AQ28" s="13">
        <f>IF('Council Entry'!AQ28="","",IFERROR(MAX(0,MIN(10,ROUND(IF('Council Entry'!AQ$7="Decrease Risk",10-10*((IF('Council Entry'!AQ$4="Logarithm",LN(0.001+IF(AND(ISNUMBER('Council Entry'!AQ$8),ISNUMBER('Council Entry'!AQ$9)),MAX(MIN('Council Entry'!AQ28,'Council Entry'!AQ$9),'Council Entry'!AQ$8),'Council Entry'!AQ28)),IF('Council Entry'!AQ$4="Exponential",EXP(IF(AND(ISNUMBER('Council Entry'!AQ$8),ISNUMBER('Council Entry'!AQ$9)),MAX(MIN('Council Entry'!AQ28,'Council Entry'!AQ$9),'Council Entry'!AQ$8),'Council Entry'!AQ28)),IF(AND(ISNUMBER('Council Entry'!AQ$8),ISNUMBER('Council Entry'!AQ$9)),MAX(MIN('Council Entry'!AQ28,'Council Entry'!AQ$9),'Council Entry'!AQ$8),'Council Entry'!AQ28))))-'Council Entry'!AQ$5)/('Council Entry'!AQ$6-'Council Entry'!AQ$5),10*((IF('Council Entry'!AQ$4="Logarithm",LN(0.001+IF(AND(ISNUMBER('Council Entry'!AQ$8),ISNUMBER('Council Entry'!AQ$9)),MAX(MIN('Council Entry'!AQ28,'Council Entry'!AQ$9),'Council Entry'!AQ$8),'Council Entry'!AQ28)),IF('Council Entry'!AQ$4="Exponential",EXP(IF(AND(ISNUMBER('Council Entry'!AQ$8),ISNUMBER('Council Entry'!AQ$9)),MAX(MIN('Council Entry'!AQ28,'Council Entry'!AQ$9),'Council Entry'!AQ$8),'Council Entry'!AQ28)),IF(AND(ISNUMBER('Council Entry'!AQ$8),ISNUMBER('Council Entry'!AQ$9)),MAX(MIN('Council Entry'!AQ28,'Council Entry'!AQ$9),'Council Entry'!AQ$8),'Council Entry'!AQ28))))-'Council Entry'!AQ$5)/('Council Entry'!AQ$6-'Council Entry'!AQ$5)),1))),"No data"))</f>
        <v/>
      </c>
      <c r="AR28" s="13">
        <f>IF('Council Entry'!AR28="","",IFERROR(MAX(0,MIN(10,ROUND(IF('Council Entry'!AR$7="Decrease Risk",10-10*((IF('Council Entry'!AR$4="Logarithm",LN(0.001+IF(AND(ISNUMBER('Council Entry'!AR$8),ISNUMBER('Council Entry'!AR$9)),MAX(MIN('Council Entry'!AR28,'Council Entry'!AR$9),'Council Entry'!AR$8),'Council Entry'!AR28)),IF('Council Entry'!AR$4="Exponential",EXP(IF(AND(ISNUMBER('Council Entry'!AR$8),ISNUMBER('Council Entry'!AR$9)),MAX(MIN('Council Entry'!AR28,'Council Entry'!AR$9),'Council Entry'!AR$8),'Council Entry'!AR28)),IF(AND(ISNUMBER('Council Entry'!AR$8),ISNUMBER('Council Entry'!AR$9)),MAX(MIN('Council Entry'!AR28,'Council Entry'!AR$9),'Council Entry'!AR$8),'Council Entry'!AR28))))-'Council Entry'!AR$5)/('Council Entry'!AR$6-'Council Entry'!AR$5),10*((IF('Council Entry'!AR$4="Logarithm",LN(0.001+IF(AND(ISNUMBER('Council Entry'!AR$8),ISNUMBER('Council Entry'!AR$9)),MAX(MIN('Council Entry'!AR28,'Council Entry'!AR$9),'Council Entry'!AR$8),'Council Entry'!AR28)),IF('Council Entry'!AR$4="Exponential",EXP(IF(AND(ISNUMBER('Council Entry'!AR$8),ISNUMBER('Council Entry'!AR$9)),MAX(MIN('Council Entry'!AR28,'Council Entry'!AR$9),'Council Entry'!AR$8),'Council Entry'!AR28)),IF(AND(ISNUMBER('Council Entry'!AR$8),ISNUMBER('Council Entry'!AR$9)),MAX(MIN('Council Entry'!AR28,'Council Entry'!AR$9),'Council Entry'!AR$8),'Council Entry'!AR28))))-'Council Entry'!AR$5)/('Council Entry'!AR$6-'Council Entry'!AR$5)),1))),"No data"))</f>
        <v/>
      </c>
      <c r="AS28" s="13">
        <f>IF('Council Entry'!AS28="","",IFERROR(MAX(0,MIN(10,ROUND(IF('Council Entry'!AS$7="Decrease Risk",10-10*((IF('Council Entry'!AS$4="Logarithm",LN(0.001+IF(AND(ISNUMBER('Council Entry'!AS$8),ISNUMBER('Council Entry'!AS$9)),MAX(MIN('Council Entry'!AS28,'Council Entry'!AS$9),'Council Entry'!AS$8),'Council Entry'!AS28)),IF('Council Entry'!AS$4="Exponential",EXP(IF(AND(ISNUMBER('Council Entry'!AS$8),ISNUMBER('Council Entry'!AS$9)),MAX(MIN('Council Entry'!AS28,'Council Entry'!AS$9),'Council Entry'!AS$8),'Council Entry'!AS28)),IF(AND(ISNUMBER('Council Entry'!AS$8),ISNUMBER('Council Entry'!AS$9)),MAX(MIN('Council Entry'!AS28,'Council Entry'!AS$9),'Council Entry'!AS$8),'Council Entry'!AS28))))-'Council Entry'!AS$5)/('Council Entry'!AS$6-'Council Entry'!AS$5),10*((IF('Council Entry'!AS$4="Logarithm",LN(0.001+IF(AND(ISNUMBER('Council Entry'!AS$8),ISNUMBER('Council Entry'!AS$9)),MAX(MIN('Council Entry'!AS28,'Council Entry'!AS$9),'Council Entry'!AS$8),'Council Entry'!AS28)),IF('Council Entry'!AS$4="Exponential",EXP(IF(AND(ISNUMBER('Council Entry'!AS$8),ISNUMBER('Council Entry'!AS$9)),MAX(MIN('Council Entry'!AS28,'Council Entry'!AS$9),'Council Entry'!AS$8),'Council Entry'!AS28)),IF(AND(ISNUMBER('Council Entry'!AS$8),ISNUMBER('Council Entry'!AS$9)),MAX(MIN('Council Entry'!AS28,'Council Entry'!AS$9),'Council Entry'!AS$8),'Council Entry'!AS28))))-'Council Entry'!AS$5)/('Council Entry'!AS$6-'Council Entry'!AS$5)),1))),"No data"))</f>
        <v/>
      </c>
      <c r="AT28" s="13">
        <f>IF('Council Entry'!AT28="","",IFERROR(MAX(0,MIN(10,ROUND(IF('Council Entry'!AT$7="Decrease Risk",10-10*((IF('Council Entry'!AT$4="Logarithm",LN(0.001+IF(AND(ISNUMBER('Council Entry'!AT$8),ISNUMBER('Council Entry'!AT$9)),MAX(MIN('Council Entry'!AT28,'Council Entry'!AT$9),'Council Entry'!AT$8),'Council Entry'!AT28)),IF('Council Entry'!AT$4="Exponential",EXP(IF(AND(ISNUMBER('Council Entry'!AT$8),ISNUMBER('Council Entry'!AT$9)),MAX(MIN('Council Entry'!AT28,'Council Entry'!AT$9),'Council Entry'!AT$8),'Council Entry'!AT28)),IF(AND(ISNUMBER('Council Entry'!AT$8),ISNUMBER('Council Entry'!AT$9)),MAX(MIN('Council Entry'!AT28,'Council Entry'!AT$9),'Council Entry'!AT$8),'Council Entry'!AT28))))-'Council Entry'!AT$5)/('Council Entry'!AT$6-'Council Entry'!AT$5),10*((IF('Council Entry'!AT$4="Logarithm",LN(0.001+IF(AND(ISNUMBER('Council Entry'!AT$8),ISNUMBER('Council Entry'!AT$9)),MAX(MIN('Council Entry'!AT28,'Council Entry'!AT$9),'Council Entry'!AT$8),'Council Entry'!AT28)),IF('Council Entry'!AT$4="Exponential",EXP(IF(AND(ISNUMBER('Council Entry'!AT$8),ISNUMBER('Council Entry'!AT$9)),MAX(MIN('Council Entry'!AT28,'Council Entry'!AT$9),'Council Entry'!AT$8),'Council Entry'!AT28)),IF(AND(ISNUMBER('Council Entry'!AT$8),ISNUMBER('Council Entry'!AT$9)),MAX(MIN('Council Entry'!AT28,'Council Entry'!AT$9),'Council Entry'!AT$8),'Council Entry'!AT28))))-'Council Entry'!AT$5)/('Council Entry'!AT$6-'Council Entry'!AT$5)),1))),"No data"))</f>
        <v/>
      </c>
      <c r="AU28" s="13">
        <f>IF('Council Entry'!AU28="","",IFERROR(MAX(0,MIN(10,ROUND(IF('Council Entry'!AU$7="Decrease Risk",10-10*((IF('Council Entry'!AU$4="Logarithm",LN(0.001+IF(AND(ISNUMBER('Council Entry'!AU$8),ISNUMBER('Council Entry'!AU$9)),MAX(MIN('Council Entry'!AU28,'Council Entry'!AU$9),'Council Entry'!AU$8),'Council Entry'!AU28)),IF('Council Entry'!AU$4="Exponential",EXP(IF(AND(ISNUMBER('Council Entry'!AU$8),ISNUMBER('Council Entry'!AU$9)),MAX(MIN('Council Entry'!AU28,'Council Entry'!AU$9),'Council Entry'!AU$8),'Council Entry'!AU28)),IF(AND(ISNUMBER('Council Entry'!AU$8),ISNUMBER('Council Entry'!AU$9)),MAX(MIN('Council Entry'!AU28,'Council Entry'!AU$9),'Council Entry'!AU$8),'Council Entry'!AU28))))-'Council Entry'!AU$5)/('Council Entry'!AU$6-'Council Entry'!AU$5),10*((IF('Council Entry'!AU$4="Logarithm",LN(0.001+IF(AND(ISNUMBER('Council Entry'!AU$8),ISNUMBER('Council Entry'!AU$9)),MAX(MIN('Council Entry'!AU28,'Council Entry'!AU$9),'Council Entry'!AU$8),'Council Entry'!AU28)),IF('Council Entry'!AU$4="Exponential",EXP(IF(AND(ISNUMBER('Council Entry'!AU$8),ISNUMBER('Council Entry'!AU$9)),MAX(MIN('Council Entry'!AU28,'Council Entry'!AU$9),'Council Entry'!AU$8),'Council Entry'!AU28)),IF(AND(ISNUMBER('Council Entry'!AU$8),ISNUMBER('Council Entry'!AU$9)),MAX(MIN('Council Entry'!AU28,'Council Entry'!AU$9),'Council Entry'!AU$8),'Council Entry'!AU28))))-'Council Entry'!AU$5)/('Council Entry'!AU$6-'Council Entry'!AU$5)),1))),"No data"))</f>
        <v/>
      </c>
      <c r="AV28" s="13">
        <f>IF('Council Entry'!AV28="","",IFERROR(MAX(0,MIN(10,ROUND(IF('Council Entry'!AV$7="Decrease Risk",10-10*((IF('Council Entry'!AV$4="Logarithm",LN(0.001+IF(AND(ISNUMBER('Council Entry'!AV$8),ISNUMBER('Council Entry'!AV$9)),MAX(MIN('Council Entry'!AV28,'Council Entry'!AV$9),'Council Entry'!AV$8),'Council Entry'!AV28)),IF('Council Entry'!AV$4="Exponential",EXP(IF(AND(ISNUMBER('Council Entry'!AV$8),ISNUMBER('Council Entry'!AV$9)),MAX(MIN('Council Entry'!AV28,'Council Entry'!AV$9),'Council Entry'!AV$8),'Council Entry'!AV28)),IF(AND(ISNUMBER('Council Entry'!AV$8),ISNUMBER('Council Entry'!AV$9)),MAX(MIN('Council Entry'!AV28,'Council Entry'!AV$9),'Council Entry'!AV$8),'Council Entry'!AV28))))-'Council Entry'!AV$5)/('Council Entry'!AV$6-'Council Entry'!AV$5),10*((IF('Council Entry'!AV$4="Logarithm",LN(0.001+IF(AND(ISNUMBER('Council Entry'!AV$8),ISNUMBER('Council Entry'!AV$9)),MAX(MIN('Council Entry'!AV28,'Council Entry'!AV$9),'Council Entry'!AV$8),'Council Entry'!AV28)),IF('Council Entry'!AV$4="Exponential",EXP(IF(AND(ISNUMBER('Council Entry'!AV$8),ISNUMBER('Council Entry'!AV$9)),MAX(MIN('Council Entry'!AV28,'Council Entry'!AV$9),'Council Entry'!AV$8),'Council Entry'!AV28)),IF(AND(ISNUMBER('Council Entry'!AV$8),ISNUMBER('Council Entry'!AV$9)),MAX(MIN('Council Entry'!AV28,'Council Entry'!AV$9),'Council Entry'!AV$8),'Council Entry'!AV28))))-'Council Entry'!AV$5)/('Council Entry'!AV$6-'Council Entry'!AV$5)),1))),"No data"))</f>
        <v/>
      </c>
      <c r="AW28" s="13">
        <f>IF('Council Entry'!AW28="","",IFERROR(MAX(0,MIN(10,ROUND(IF('Council Entry'!AW$7="Decrease Risk",10-10*((IF('Council Entry'!AW$4="Logarithm",LN(0.001+IF(AND(ISNUMBER('Council Entry'!AW$8),ISNUMBER('Council Entry'!AW$9)),MAX(MIN('Council Entry'!AW28,'Council Entry'!AW$9),'Council Entry'!AW$8),'Council Entry'!AW28)),IF('Council Entry'!AW$4="Exponential",EXP(IF(AND(ISNUMBER('Council Entry'!AW$8),ISNUMBER('Council Entry'!AW$9)),MAX(MIN('Council Entry'!AW28,'Council Entry'!AW$9),'Council Entry'!AW$8),'Council Entry'!AW28)),IF(AND(ISNUMBER('Council Entry'!AW$8),ISNUMBER('Council Entry'!AW$9)),MAX(MIN('Council Entry'!AW28,'Council Entry'!AW$9),'Council Entry'!AW$8),'Council Entry'!AW28))))-'Council Entry'!AW$5)/('Council Entry'!AW$6-'Council Entry'!AW$5),10*((IF('Council Entry'!AW$4="Logarithm",LN(0.001+IF(AND(ISNUMBER('Council Entry'!AW$8),ISNUMBER('Council Entry'!AW$9)),MAX(MIN('Council Entry'!AW28,'Council Entry'!AW$9),'Council Entry'!AW$8),'Council Entry'!AW28)),IF('Council Entry'!AW$4="Exponential",EXP(IF(AND(ISNUMBER('Council Entry'!AW$8),ISNUMBER('Council Entry'!AW$9)),MAX(MIN('Council Entry'!AW28,'Council Entry'!AW$9),'Council Entry'!AW$8),'Council Entry'!AW28)),IF(AND(ISNUMBER('Council Entry'!AW$8),ISNUMBER('Council Entry'!AW$9)),MAX(MIN('Council Entry'!AW28,'Council Entry'!AW$9),'Council Entry'!AW$8),'Council Entry'!AW28))))-'Council Entry'!AW$5)/('Council Entry'!AW$6-'Council Entry'!AW$5)),1))),"No data"))</f>
        <v/>
      </c>
      <c r="AX28" s="13">
        <f>IF('Council Entry'!AX28="","",IFERROR(MAX(0,MIN(10,ROUND(IF('Council Entry'!AX$7="Decrease Risk",10-10*((IF('Council Entry'!AX$4="Logarithm",LN(0.001+IF(AND(ISNUMBER('Council Entry'!AX$8),ISNUMBER('Council Entry'!AX$9)),MAX(MIN('Council Entry'!AX28,'Council Entry'!AX$9),'Council Entry'!AX$8),'Council Entry'!AX28)),IF('Council Entry'!AX$4="Exponential",EXP(IF(AND(ISNUMBER('Council Entry'!AX$8),ISNUMBER('Council Entry'!AX$9)),MAX(MIN('Council Entry'!AX28,'Council Entry'!AX$9),'Council Entry'!AX$8),'Council Entry'!AX28)),IF(AND(ISNUMBER('Council Entry'!AX$8),ISNUMBER('Council Entry'!AX$9)),MAX(MIN('Council Entry'!AX28,'Council Entry'!AX$9),'Council Entry'!AX$8),'Council Entry'!AX28))))-'Council Entry'!AX$5)/('Council Entry'!AX$6-'Council Entry'!AX$5),10*((IF('Council Entry'!AX$4="Logarithm",LN(0.001+IF(AND(ISNUMBER('Council Entry'!AX$8),ISNUMBER('Council Entry'!AX$9)),MAX(MIN('Council Entry'!AX28,'Council Entry'!AX$9),'Council Entry'!AX$8),'Council Entry'!AX28)),IF('Council Entry'!AX$4="Exponential",EXP(IF(AND(ISNUMBER('Council Entry'!AX$8),ISNUMBER('Council Entry'!AX$9)),MAX(MIN('Council Entry'!AX28,'Council Entry'!AX$9),'Council Entry'!AX$8),'Council Entry'!AX28)),IF(AND(ISNUMBER('Council Entry'!AX$8),ISNUMBER('Council Entry'!AX$9)),MAX(MIN('Council Entry'!AX28,'Council Entry'!AX$9),'Council Entry'!AX$8),'Council Entry'!AX28))))-'Council Entry'!AX$5)/('Council Entry'!AX$6-'Council Entry'!AX$5)),1))),"No data"))</f>
        <v/>
      </c>
      <c r="AY28" s="13">
        <f>IF('Council Entry'!AY28="","",IFERROR(MAX(0,MIN(10,ROUND(IF('Council Entry'!AY$7="Decrease Risk",10-10*((IF('Council Entry'!AY$4="Logarithm",LN(0.001+IF(AND(ISNUMBER('Council Entry'!AY$8),ISNUMBER('Council Entry'!AY$9)),MAX(MIN('Council Entry'!AY28,'Council Entry'!AY$9),'Council Entry'!AY$8),'Council Entry'!AY28)),IF('Council Entry'!AY$4="Exponential",EXP(IF(AND(ISNUMBER('Council Entry'!AY$8),ISNUMBER('Council Entry'!AY$9)),MAX(MIN('Council Entry'!AY28,'Council Entry'!AY$9),'Council Entry'!AY$8),'Council Entry'!AY28)),IF(AND(ISNUMBER('Council Entry'!AY$8),ISNUMBER('Council Entry'!AY$9)),MAX(MIN('Council Entry'!AY28,'Council Entry'!AY$9),'Council Entry'!AY$8),'Council Entry'!AY28))))-'Council Entry'!AY$5)/('Council Entry'!AY$6-'Council Entry'!AY$5),10*((IF('Council Entry'!AY$4="Logarithm",LN(0.001+IF(AND(ISNUMBER('Council Entry'!AY$8),ISNUMBER('Council Entry'!AY$9)),MAX(MIN('Council Entry'!AY28,'Council Entry'!AY$9),'Council Entry'!AY$8),'Council Entry'!AY28)),IF('Council Entry'!AY$4="Exponential",EXP(IF(AND(ISNUMBER('Council Entry'!AY$8),ISNUMBER('Council Entry'!AY$9)),MAX(MIN('Council Entry'!AY28,'Council Entry'!AY$9),'Council Entry'!AY$8),'Council Entry'!AY28)),IF(AND(ISNUMBER('Council Entry'!AY$8),ISNUMBER('Council Entry'!AY$9)),MAX(MIN('Council Entry'!AY28,'Council Entry'!AY$9),'Council Entry'!AY$8),'Council Entry'!AY28))))-'Council Entry'!AY$5)/('Council Entry'!AY$6-'Council Entry'!AY$5)),1))),"No data"))</f>
        <v/>
      </c>
      <c r="AZ28" s="13">
        <f>IF('Council Entry'!AZ28="","",IFERROR(MAX(0,MIN(10,ROUND(IF('Council Entry'!AZ$7="Decrease Risk",10-10*((IF('Council Entry'!AZ$4="Logarithm",LN(0.001+IF(AND(ISNUMBER('Council Entry'!AZ$8),ISNUMBER('Council Entry'!AZ$9)),MAX(MIN('Council Entry'!AZ28,'Council Entry'!AZ$9),'Council Entry'!AZ$8),'Council Entry'!AZ28)),IF('Council Entry'!AZ$4="Exponential",EXP(IF(AND(ISNUMBER('Council Entry'!AZ$8),ISNUMBER('Council Entry'!AZ$9)),MAX(MIN('Council Entry'!AZ28,'Council Entry'!AZ$9),'Council Entry'!AZ$8),'Council Entry'!AZ28)),IF(AND(ISNUMBER('Council Entry'!AZ$8),ISNUMBER('Council Entry'!AZ$9)),MAX(MIN('Council Entry'!AZ28,'Council Entry'!AZ$9),'Council Entry'!AZ$8),'Council Entry'!AZ28))))-'Council Entry'!AZ$5)/('Council Entry'!AZ$6-'Council Entry'!AZ$5),10*((IF('Council Entry'!AZ$4="Logarithm",LN(0.001+IF(AND(ISNUMBER('Council Entry'!AZ$8),ISNUMBER('Council Entry'!AZ$9)),MAX(MIN('Council Entry'!AZ28,'Council Entry'!AZ$9),'Council Entry'!AZ$8),'Council Entry'!AZ28)),IF('Council Entry'!AZ$4="Exponential",EXP(IF(AND(ISNUMBER('Council Entry'!AZ$8),ISNUMBER('Council Entry'!AZ$9)),MAX(MIN('Council Entry'!AZ28,'Council Entry'!AZ$9),'Council Entry'!AZ$8),'Council Entry'!AZ28)),IF(AND(ISNUMBER('Council Entry'!AZ$8),ISNUMBER('Council Entry'!AZ$9)),MAX(MIN('Council Entry'!AZ28,'Council Entry'!AZ$9),'Council Entry'!AZ$8),'Council Entry'!AZ28))))-'Council Entry'!AZ$5)/('Council Entry'!AZ$6-'Council Entry'!AZ$5)),1))),"No data"))</f>
        <v/>
      </c>
      <c r="BA28" s="13">
        <f>IF('Council Entry'!BA28="","",IFERROR(MAX(0,MIN(10,ROUND(IF('Council Entry'!BA$7="Decrease Risk",10-10*((IF('Council Entry'!BA$4="Logarithm",LN(0.001+IF(AND(ISNUMBER('Council Entry'!BA$8),ISNUMBER('Council Entry'!BA$9)),MAX(MIN('Council Entry'!BA28,'Council Entry'!BA$9),'Council Entry'!BA$8),'Council Entry'!BA28)),IF('Council Entry'!BA$4="Exponential",EXP(IF(AND(ISNUMBER('Council Entry'!BA$8),ISNUMBER('Council Entry'!BA$9)),MAX(MIN('Council Entry'!BA28,'Council Entry'!BA$9),'Council Entry'!BA$8),'Council Entry'!BA28)),IF(AND(ISNUMBER('Council Entry'!BA$8),ISNUMBER('Council Entry'!BA$9)),MAX(MIN('Council Entry'!BA28,'Council Entry'!BA$9),'Council Entry'!BA$8),'Council Entry'!BA28))))-'Council Entry'!BA$5)/('Council Entry'!BA$6-'Council Entry'!BA$5),10*((IF('Council Entry'!BA$4="Logarithm",LN(0.001+IF(AND(ISNUMBER('Council Entry'!BA$8),ISNUMBER('Council Entry'!BA$9)),MAX(MIN('Council Entry'!BA28,'Council Entry'!BA$9),'Council Entry'!BA$8),'Council Entry'!BA28)),IF('Council Entry'!BA$4="Exponential",EXP(IF(AND(ISNUMBER('Council Entry'!BA$8),ISNUMBER('Council Entry'!BA$9)),MAX(MIN('Council Entry'!BA28,'Council Entry'!BA$9),'Council Entry'!BA$8),'Council Entry'!BA28)),IF(AND(ISNUMBER('Council Entry'!BA$8),ISNUMBER('Council Entry'!BA$9)),MAX(MIN('Council Entry'!BA28,'Council Entry'!BA$9),'Council Entry'!BA$8),'Council Entry'!BA28))))-'Council Entry'!BA$5)/('Council Entry'!BA$6-'Council Entry'!BA$5)),1))),"No data"))</f>
        <v/>
      </c>
      <c r="BB28" s="13">
        <f>IF('Council Entry'!BB28="","",IFERROR(MAX(0,MIN(10,ROUND(IF('Council Entry'!BB$7="Decrease Risk",10-10*((IF('Council Entry'!BB$4="Logarithm",LN(0.001+IF(AND(ISNUMBER('Council Entry'!BB$8),ISNUMBER('Council Entry'!BB$9)),MAX(MIN('Council Entry'!BB28,'Council Entry'!BB$9),'Council Entry'!BB$8),'Council Entry'!BB28)),IF('Council Entry'!BB$4="Exponential",EXP(IF(AND(ISNUMBER('Council Entry'!BB$8),ISNUMBER('Council Entry'!BB$9)),MAX(MIN('Council Entry'!BB28,'Council Entry'!BB$9),'Council Entry'!BB$8),'Council Entry'!BB28)),IF(AND(ISNUMBER('Council Entry'!BB$8),ISNUMBER('Council Entry'!BB$9)),MAX(MIN('Council Entry'!BB28,'Council Entry'!BB$9),'Council Entry'!BB$8),'Council Entry'!BB28))))-'Council Entry'!BB$5)/('Council Entry'!BB$6-'Council Entry'!BB$5),10*((IF('Council Entry'!BB$4="Logarithm",LN(0.001+IF(AND(ISNUMBER('Council Entry'!BB$8),ISNUMBER('Council Entry'!BB$9)),MAX(MIN('Council Entry'!BB28,'Council Entry'!BB$9),'Council Entry'!BB$8),'Council Entry'!BB28)),IF('Council Entry'!BB$4="Exponential",EXP(IF(AND(ISNUMBER('Council Entry'!BB$8),ISNUMBER('Council Entry'!BB$9)),MAX(MIN('Council Entry'!BB28,'Council Entry'!BB$9),'Council Entry'!BB$8),'Council Entry'!BB28)),IF(AND(ISNUMBER('Council Entry'!BB$8),ISNUMBER('Council Entry'!BB$9)),MAX(MIN('Council Entry'!BB28,'Council Entry'!BB$9),'Council Entry'!BB$8),'Council Entry'!BB28))))-'Council Entry'!BB$5)/('Council Entry'!BB$6-'Council Entry'!BB$5)),1))),"No data"))</f>
        <v/>
      </c>
      <c r="BC28" s="13">
        <f>IF('Council Entry'!BC28="","",IFERROR(MAX(0,MIN(10,ROUND(IF('Council Entry'!BC$7="Decrease Risk",10-10*((IF('Council Entry'!BC$4="Logarithm",LN(0.001+IF(AND(ISNUMBER('Council Entry'!BC$8),ISNUMBER('Council Entry'!BC$9)),MAX(MIN('Council Entry'!BC28,'Council Entry'!BC$9),'Council Entry'!BC$8),'Council Entry'!BC28)),IF('Council Entry'!BC$4="Exponential",EXP(IF(AND(ISNUMBER('Council Entry'!BC$8),ISNUMBER('Council Entry'!BC$9)),MAX(MIN('Council Entry'!BC28,'Council Entry'!BC$9),'Council Entry'!BC$8),'Council Entry'!BC28)),IF(AND(ISNUMBER('Council Entry'!BC$8),ISNUMBER('Council Entry'!BC$9)),MAX(MIN('Council Entry'!BC28,'Council Entry'!BC$9),'Council Entry'!BC$8),'Council Entry'!BC28))))-'Council Entry'!BC$5)/('Council Entry'!BC$6-'Council Entry'!BC$5),10*((IF('Council Entry'!BC$4="Logarithm",LN(0.001+IF(AND(ISNUMBER('Council Entry'!BC$8),ISNUMBER('Council Entry'!BC$9)),MAX(MIN('Council Entry'!BC28,'Council Entry'!BC$9),'Council Entry'!BC$8),'Council Entry'!BC28)),IF('Council Entry'!BC$4="Exponential",EXP(IF(AND(ISNUMBER('Council Entry'!BC$8),ISNUMBER('Council Entry'!BC$9)),MAX(MIN('Council Entry'!BC28,'Council Entry'!BC$9),'Council Entry'!BC$8),'Council Entry'!BC28)),IF(AND(ISNUMBER('Council Entry'!BC$8),ISNUMBER('Council Entry'!BC$9)),MAX(MIN('Council Entry'!BC28,'Council Entry'!BC$9),'Council Entry'!BC$8),'Council Entry'!BC28))))-'Council Entry'!BC$5)/('Council Entry'!BC$6-'Council Entry'!BC$5)),1))),"No data"))</f>
        <v/>
      </c>
      <c r="BD28" s="13">
        <f>IF('Council Entry'!BD28="","",IFERROR(MAX(0,MIN(10,ROUND(IF('Council Entry'!BD$7="Decrease Risk",10-10*((IF('Council Entry'!BD$4="Logarithm",LN(0.001+IF(AND(ISNUMBER('Council Entry'!BD$8),ISNUMBER('Council Entry'!BD$9)),MAX(MIN('Council Entry'!BD28,'Council Entry'!BD$9),'Council Entry'!BD$8),'Council Entry'!BD28)),IF('Council Entry'!BD$4="Exponential",EXP(IF(AND(ISNUMBER('Council Entry'!BD$8),ISNUMBER('Council Entry'!BD$9)),MAX(MIN('Council Entry'!BD28,'Council Entry'!BD$9),'Council Entry'!BD$8),'Council Entry'!BD28)),IF(AND(ISNUMBER('Council Entry'!BD$8),ISNUMBER('Council Entry'!BD$9)),MAX(MIN('Council Entry'!BD28,'Council Entry'!BD$9),'Council Entry'!BD$8),'Council Entry'!BD28))))-'Council Entry'!BD$5)/('Council Entry'!BD$6-'Council Entry'!BD$5),10*((IF('Council Entry'!BD$4="Logarithm",LN(0.001+IF(AND(ISNUMBER('Council Entry'!BD$8),ISNUMBER('Council Entry'!BD$9)),MAX(MIN('Council Entry'!BD28,'Council Entry'!BD$9),'Council Entry'!BD$8),'Council Entry'!BD28)),IF('Council Entry'!BD$4="Exponential",EXP(IF(AND(ISNUMBER('Council Entry'!BD$8),ISNUMBER('Council Entry'!BD$9)),MAX(MIN('Council Entry'!BD28,'Council Entry'!BD$9),'Council Entry'!BD$8),'Council Entry'!BD28)),IF(AND(ISNUMBER('Council Entry'!BD$8),ISNUMBER('Council Entry'!BD$9)),MAX(MIN('Council Entry'!BD28,'Council Entry'!BD$9),'Council Entry'!BD$8),'Council Entry'!BD28))))-'Council Entry'!BD$5)/('Council Entry'!BD$6-'Council Entry'!BD$5)),1))),"No data"))</f>
        <v/>
      </c>
    </row>
    <row r="29">
      <c r="A29" t="inlineStr">
        <is>
          <t>Dodoma</t>
        </is>
      </c>
      <c r="B29" t="inlineStr">
        <is>
          <t>Kongwa District</t>
        </is>
      </c>
      <c r="C29" t="inlineStr">
        <is>
          <t>C004</t>
        </is>
      </c>
      <c r="D29" s="13">
        <f>IF('Council Entry'!D29="","",IFERROR(MAX(0,MIN(10,ROUND(IF('Council Entry'!D$7="Decrease Risk",10-10*((IF('Council Entry'!D$4="Logarithm",LN(0.001+IF(AND(ISNUMBER('Council Entry'!D$8),ISNUMBER('Council Entry'!D$9)),MAX(MIN('Council Entry'!D29,'Council Entry'!D$9),'Council Entry'!D$8),'Council Entry'!D29)),IF('Council Entry'!D$4="Exponential",EXP(IF(AND(ISNUMBER('Council Entry'!D$8),ISNUMBER('Council Entry'!D$9)),MAX(MIN('Council Entry'!D29,'Council Entry'!D$9),'Council Entry'!D$8),'Council Entry'!D29)),IF(AND(ISNUMBER('Council Entry'!D$8),ISNUMBER('Council Entry'!D$9)),MAX(MIN('Council Entry'!D29,'Council Entry'!D$9),'Council Entry'!D$8),'Council Entry'!D29))))-'Council Entry'!D$5)/('Council Entry'!D$6-'Council Entry'!D$5),10*((IF('Council Entry'!D$4="Logarithm",LN(0.001+IF(AND(ISNUMBER('Council Entry'!D$8),ISNUMBER('Council Entry'!D$9)),MAX(MIN('Council Entry'!D29,'Council Entry'!D$9),'Council Entry'!D$8),'Council Entry'!D29)),IF('Council Entry'!D$4="Exponential",EXP(IF(AND(ISNUMBER('Council Entry'!D$8),ISNUMBER('Council Entry'!D$9)),MAX(MIN('Council Entry'!D29,'Council Entry'!D$9),'Council Entry'!D$8),'Council Entry'!D29)),IF(AND(ISNUMBER('Council Entry'!D$8),ISNUMBER('Council Entry'!D$9)),MAX(MIN('Council Entry'!D29,'Council Entry'!D$9),'Council Entry'!D$8),'Council Entry'!D29))))-'Council Entry'!D$5)/('Council Entry'!D$6-'Council Entry'!D$5)),1))),"No data"))</f>
        <v/>
      </c>
      <c r="E29" s="13">
        <f>IF('Council Entry'!E29="","",IFERROR(MAX(0,MIN(10,ROUND(IF('Council Entry'!E$7="Decrease Risk",10-10*((IF('Council Entry'!E$4="Logarithm",LN(0.001+IF(AND(ISNUMBER('Council Entry'!E$8),ISNUMBER('Council Entry'!E$9)),MAX(MIN('Council Entry'!E29,'Council Entry'!E$9),'Council Entry'!E$8),'Council Entry'!E29)),IF('Council Entry'!E$4="Exponential",EXP(IF(AND(ISNUMBER('Council Entry'!E$8),ISNUMBER('Council Entry'!E$9)),MAX(MIN('Council Entry'!E29,'Council Entry'!E$9),'Council Entry'!E$8),'Council Entry'!E29)),IF(AND(ISNUMBER('Council Entry'!E$8),ISNUMBER('Council Entry'!E$9)),MAX(MIN('Council Entry'!E29,'Council Entry'!E$9),'Council Entry'!E$8),'Council Entry'!E29))))-'Council Entry'!E$5)/('Council Entry'!E$6-'Council Entry'!E$5),10*((IF('Council Entry'!E$4="Logarithm",LN(0.001+IF(AND(ISNUMBER('Council Entry'!E$8),ISNUMBER('Council Entry'!E$9)),MAX(MIN('Council Entry'!E29,'Council Entry'!E$9),'Council Entry'!E$8),'Council Entry'!E29)),IF('Council Entry'!E$4="Exponential",EXP(IF(AND(ISNUMBER('Council Entry'!E$8),ISNUMBER('Council Entry'!E$9)),MAX(MIN('Council Entry'!E29,'Council Entry'!E$9),'Council Entry'!E$8),'Council Entry'!E29)),IF(AND(ISNUMBER('Council Entry'!E$8),ISNUMBER('Council Entry'!E$9)),MAX(MIN('Council Entry'!E29,'Council Entry'!E$9),'Council Entry'!E$8),'Council Entry'!E29))))-'Council Entry'!E$5)/('Council Entry'!E$6-'Council Entry'!E$5)),1))),"No data"))</f>
        <v/>
      </c>
      <c r="F29" s="13">
        <f>IF('Council Entry'!F29="","",IFERROR(MAX(0,MIN(10,ROUND(IF('Council Entry'!F$7="Decrease Risk",10-10*((IF('Council Entry'!F$4="Logarithm",LN(0.001+IF(AND(ISNUMBER('Council Entry'!F$8),ISNUMBER('Council Entry'!F$9)),MAX(MIN('Council Entry'!F29,'Council Entry'!F$9),'Council Entry'!F$8),'Council Entry'!F29)),IF('Council Entry'!F$4="Exponential",EXP(IF(AND(ISNUMBER('Council Entry'!F$8),ISNUMBER('Council Entry'!F$9)),MAX(MIN('Council Entry'!F29,'Council Entry'!F$9),'Council Entry'!F$8),'Council Entry'!F29)),IF(AND(ISNUMBER('Council Entry'!F$8),ISNUMBER('Council Entry'!F$9)),MAX(MIN('Council Entry'!F29,'Council Entry'!F$9),'Council Entry'!F$8),'Council Entry'!F29))))-'Council Entry'!F$5)/('Council Entry'!F$6-'Council Entry'!F$5),10*((IF('Council Entry'!F$4="Logarithm",LN(0.001+IF(AND(ISNUMBER('Council Entry'!F$8),ISNUMBER('Council Entry'!F$9)),MAX(MIN('Council Entry'!F29,'Council Entry'!F$9),'Council Entry'!F$8),'Council Entry'!F29)),IF('Council Entry'!F$4="Exponential",EXP(IF(AND(ISNUMBER('Council Entry'!F$8),ISNUMBER('Council Entry'!F$9)),MAX(MIN('Council Entry'!F29,'Council Entry'!F$9),'Council Entry'!F$8),'Council Entry'!F29)),IF(AND(ISNUMBER('Council Entry'!F$8),ISNUMBER('Council Entry'!F$9)),MAX(MIN('Council Entry'!F29,'Council Entry'!F$9),'Council Entry'!F$8),'Council Entry'!F29))))-'Council Entry'!F$5)/('Council Entry'!F$6-'Council Entry'!F$5)),1))),"No data"))</f>
        <v/>
      </c>
      <c r="G29" s="13">
        <f>IF('Council Entry'!G29="","",IFERROR(MAX(0,MIN(10,ROUND(IF('Council Entry'!G$7="Decrease Risk",10-10*((IF('Council Entry'!G$4="Logarithm",LN(0.001+IF(AND(ISNUMBER('Council Entry'!G$8),ISNUMBER('Council Entry'!G$9)),MAX(MIN('Council Entry'!G29,'Council Entry'!G$9),'Council Entry'!G$8),'Council Entry'!G29)),IF('Council Entry'!G$4="Exponential",EXP(IF(AND(ISNUMBER('Council Entry'!G$8),ISNUMBER('Council Entry'!G$9)),MAX(MIN('Council Entry'!G29,'Council Entry'!G$9),'Council Entry'!G$8),'Council Entry'!G29)),IF(AND(ISNUMBER('Council Entry'!G$8),ISNUMBER('Council Entry'!G$9)),MAX(MIN('Council Entry'!G29,'Council Entry'!G$9),'Council Entry'!G$8),'Council Entry'!G29))))-'Council Entry'!G$5)/('Council Entry'!G$6-'Council Entry'!G$5),10*((IF('Council Entry'!G$4="Logarithm",LN(0.001+IF(AND(ISNUMBER('Council Entry'!G$8),ISNUMBER('Council Entry'!G$9)),MAX(MIN('Council Entry'!G29,'Council Entry'!G$9),'Council Entry'!G$8),'Council Entry'!G29)),IF('Council Entry'!G$4="Exponential",EXP(IF(AND(ISNUMBER('Council Entry'!G$8),ISNUMBER('Council Entry'!G$9)),MAX(MIN('Council Entry'!G29,'Council Entry'!G$9),'Council Entry'!G$8),'Council Entry'!G29)),IF(AND(ISNUMBER('Council Entry'!G$8),ISNUMBER('Council Entry'!G$9)),MAX(MIN('Council Entry'!G29,'Council Entry'!G$9),'Council Entry'!G$8),'Council Entry'!G29))))-'Council Entry'!G$5)/('Council Entry'!G$6-'Council Entry'!G$5)),1))),"No data"))</f>
        <v/>
      </c>
      <c r="H29" s="13">
        <f>IF('Council Entry'!H29="","",IFERROR(MAX(0,MIN(10,ROUND(IF('Council Entry'!H$7="Decrease Risk",10-10*((IF('Council Entry'!H$4="Logarithm",LN(0.001+IF(AND(ISNUMBER('Council Entry'!H$8),ISNUMBER('Council Entry'!H$9)),MAX(MIN('Council Entry'!H29,'Council Entry'!H$9),'Council Entry'!H$8),'Council Entry'!H29)),IF('Council Entry'!H$4="Exponential",EXP(IF(AND(ISNUMBER('Council Entry'!H$8),ISNUMBER('Council Entry'!H$9)),MAX(MIN('Council Entry'!H29,'Council Entry'!H$9),'Council Entry'!H$8),'Council Entry'!H29)),IF(AND(ISNUMBER('Council Entry'!H$8),ISNUMBER('Council Entry'!H$9)),MAX(MIN('Council Entry'!H29,'Council Entry'!H$9),'Council Entry'!H$8),'Council Entry'!H29))))-'Council Entry'!H$5)/('Council Entry'!H$6-'Council Entry'!H$5),10*((IF('Council Entry'!H$4="Logarithm",LN(0.001+IF(AND(ISNUMBER('Council Entry'!H$8),ISNUMBER('Council Entry'!H$9)),MAX(MIN('Council Entry'!H29,'Council Entry'!H$9),'Council Entry'!H$8),'Council Entry'!H29)),IF('Council Entry'!H$4="Exponential",EXP(IF(AND(ISNUMBER('Council Entry'!H$8),ISNUMBER('Council Entry'!H$9)),MAX(MIN('Council Entry'!H29,'Council Entry'!H$9),'Council Entry'!H$8),'Council Entry'!H29)),IF(AND(ISNUMBER('Council Entry'!H$8),ISNUMBER('Council Entry'!H$9)),MAX(MIN('Council Entry'!H29,'Council Entry'!H$9),'Council Entry'!H$8),'Council Entry'!H29))))-'Council Entry'!H$5)/('Council Entry'!H$6-'Council Entry'!H$5)),1))),"No data"))</f>
        <v/>
      </c>
      <c r="I29" s="13">
        <f>IF('Council Entry'!I29="","",IFERROR(MAX(0,MIN(10,ROUND(IF('Council Entry'!I$7="Decrease Risk",10-10*((IF('Council Entry'!I$4="Logarithm",LN(0.001+IF(AND(ISNUMBER('Council Entry'!I$8),ISNUMBER('Council Entry'!I$9)),MAX(MIN('Council Entry'!I29,'Council Entry'!I$9),'Council Entry'!I$8),'Council Entry'!I29)),IF('Council Entry'!I$4="Exponential",EXP(IF(AND(ISNUMBER('Council Entry'!I$8),ISNUMBER('Council Entry'!I$9)),MAX(MIN('Council Entry'!I29,'Council Entry'!I$9),'Council Entry'!I$8),'Council Entry'!I29)),IF(AND(ISNUMBER('Council Entry'!I$8),ISNUMBER('Council Entry'!I$9)),MAX(MIN('Council Entry'!I29,'Council Entry'!I$9),'Council Entry'!I$8),'Council Entry'!I29))))-'Council Entry'!I$5)/('Council Entry'!I$6-'Council Entry'!I$5),10*((IF('Council Entry'!I$4="Logarithm",LN(0.001+IF(AND(ISNUMBER('Council Entry'!I$8),ISNUMBER('Council Entry'!I$9)),MAX(MIN('Council Entry'!I29,'Council Entry'!I$9),'Council Entry'!I$8),'Council Entry'!I29)),IF('Council Entry'!I$4="Exponential",EXP(IF(AND(ISNUMBER('Council Entry'!I$8),ISNUMBER('Council Entry'!I$9)),MAX(MIN('Council Entry'!I29,'Council Entry'!I$9),'Council Entry'!I$8),'Council Entry'!I29)),IF(AND(ISNUMBER('Council Entry'!I$8),ISNUMBER('Council Entry'!I$9)),MAX(MIN('Council Entry'!I29,'Council Entry'!I$9),'Council Entry'!I$8),'Council Entry'!I29))))-'Council Entry'!I$5)/('Council Entry'!I$6-'Council Entry'!I$5)),1))),"No data"))</f>
        <v/>
      </c>
      <c r="J29" s="13">
        <f>IF('Council Entry'!J29="","",IFERROR(MAX(0,MIN(10,ROUND(IF('Council Entry'!J$7="Decrease Risk",10-10*((IF('Council Entry'!J$4="Logarithm",LN(0.001+IF(AND(ISNUMBER('Council Entry'!J$8),ISNUMBER('Council Entry'!J$9)),MAX(MIN('Council Entry'!J29,'Council Entry'!J$9),'Council Entry'!J$8),'Council Entry'!J29)),IF('Council Entry'!J$4="Exponential",EXP(IF(AND(ISNUMBER('Council Entry'!J$8),ISNUMBER('Council Entry'!J$9)),MAX(MIN('Council Entry'!J29,'Council Entry'!J$9),'Council Entry'!J$8),'Council Entry'!J29)),IF(AND(ISNUMBER('Council Entry'!J$8),ISNUMBER('Council Entry'!J$9)),MAX(MIN('Council Entry'!J29,'Council Entry'!J$9),'Council Entry'!J$8),'Council Entry'!J29))))-'Council Entry'!J$5)/('Council Entry'!J$6-'Council Entry'!J$5),10*((IF('Council Entry'!J$4="Logarithm",LN(0.001+IF(AND(ISNUMBER('Council Entry'!J$8),ISNUMBER('Council Entry'!J$9)),MAX(MIN('Council Entry'!J29,'Council Entry'!J$9),'Council Entry'!J$8),'Council Entry'!J29)),IF('Council Entry'!J$4="Exponential",EXP(IF(AND(ISNUMBER('Council Entry'!J$8),ISNUMBER('Council Entry'!J$9)),MAX(MIN('Council Entry'!J29,'Council Entry'!J$9),'Council Entry'!J$8),'Council Entry'!J29)),IF(AND(ISNUMBER('Council Entry'!J$8),ISNUMBER('Council Entry'!J$9)),MAX(MIN('Council Entry'!J29,'Council Entry'!J$9),'Council Entry'!J$8),'Council Entry'!J29))))-'Council Entry'!J$5)/('Council Entry'!J$6-'Council Entry'!J$5)),1))),"No data"))</f>
        <v/>
      </c>
      <c r="K29" s="13">
        <f>IF('Council Entry'!K29="","",IFERROR(MAX(0,MIN(10,ROUND(IF('Council Entry'!K$7="Decrease Risk",10-10*((IF('Council Entry'!K$4="Logarithm",LN(0.001+IF(AND(ISNUMBER('Council Entry'!K$8),ISNUMBER('Council Entry'!K$9)),MAX(MIN('Council Entry'!K29,'Council Entry'!K$9),'Council Entry'!K$8),'Council Entry'!K29)),IF('Council Entry'!K$4="Exponential",EXP(IF(AND(ISNUMBER('Council Entry'!K$8),ISNUMBER('Council Entry'!K$9)),MAX(MIN('Council Entry'!K29,'Council Entry'!K$9),'Council Entry'!K$8),'Council Entry'!K29)),IF(AND(ISNUMBER('Council Entry'!K$8),ISNUMBER('Council Entry'!K$9)),MAX(MIN('Council Entry'!K29,'Council Entry'!K$9),'Council Entry'!K$8),'Council Entry'!K29))))-'Council Entry'!K$5)/('Council Entry'!K$6-'Council Entry'!K$5),10*((IF('Council Entry'!K$4="Logarithm",LN(0.001+IF(AND(ISNUMBER('Council Entry'!K$8),ISNUMBER('Council Entry'!K$9)),MAX(MIN('Council Entry'!K29,'Council Entry'!K$9),'Council Entry'!K$8),'Council Entry'!K29)),IF('Council Entry'!K$4="Exponential",EXP(IF(AND(ISNUMBER('Council Entry'!K$8),ISNUMBER('Council Entry'!K$9)),MAX(MIN('Council Entry'!K29,'Council Entry'!K$9),'Council Entry'!K$8),'Council Entry'!K29)),IF(AND(ISNUMBER('Council Entry'!K$8),ISNUMBER('Council Entry'!K$9)),MAX(MIN('Council Entry'!K29,'Council Entry'!K$9),'Council Entry'!K$8),'Council Entry'!K29))))-'Council Entry'!K$5)/('Council Entry'!K$6-'Council Entry'!K$5)),1))),"No data"))</f>
        <v/>
      </c>
      <c r="L29" s="13">
        <f>IF('Council Entry'!L29="","",IFERROR(MAX(0,MIN(10,ROUND(IF('Council Entry'!L$7="Decrease Risk",10-10*((IF('Council Entry'!L$4="Logarithm",LN(0.001+IF(AND(ISNUMBER('Council Entry'!L$8),ISNUMBER('Council Entry'!L$9)),MAX(MIN('Council Entry'!L29,'Council Entry'!L$9),'Council Entry'!L$8),'Council Entry'!L29)),IF('Council Entry'!L$4="Exponential",EXP(IF(AND(ISNUMBER('Council Entry'!L$8),ISNUMBER('Council Entry'!L$9)),MAX(MIN('Council Entry'!L29,'Council Entry'!L$9),'Council Entry'!L$8),'Council Entry'!L29)),IF(AND(ISNUMBER('Council Entry'!L$8),ISNUMBER('Council Entry'!L$9)),MAX(MIN('Council Entry'!L29,'Council Entry'!L$9),'Council Entry'!L$8),'Council Entry'!L29))))-'Council Entry'!L$5)/('Council Entry'!L$6-'Council Entry'!L$5),10*((IF('Council Entry'!L$4="Logarithm",LN(0.001+IF(AND(ISNUMBER('Council Entry'!L$8),ISNUMBER('Council Entry'!L$9)),MAX(MIN('Council Entry'!L29,'Council Entry'!L$9),'Council Entry'!L$8),'Council Entry'!L29)),IF('Council Entry'!L$4="Exponential",EXP(IF(AND(ISNUMBER('Council Entry'!L$8),ISNUMBER('Council Entry'!L$9)),MAX(MIN('Council Entry'!L29,'Council Entry'!L$9),'Council Entry'!L$8),'Council Entry'!L29)),IF(AND(ISNUMBER('Council Entry'!L$8),ISNUMBER('Council Entry'!L$9)),MAX(MIN('Council Entry'!L29,'Council Entry'!L$9),'Council Entry'!L$8),'Council Entry'!L29))))-'Council Entry'!L$5)/('Council Entry'!L$6-'Council Entry'!L$5)),1))),"No data"))</f>
        <v/>
      </c>
      <c r="M29" s="13">
        <f>IF('Council Entry'!M29="","",IFERROR(MAX(0,MIN(10,ROUND(IF('Council Entry'!M$7="Decrease Risk",10-10*((IF('Council Entry'!M$4="Logarithm",LN(0.001+IF(AND(ISNUMBER('Council Entry'!M$8),ISNUMBER('Council Entry'!M$9)),MAX(MIN('Council Entry'!M29,'Council Entry'!M$9),'Council Entry'!M$8),'Council Entry'!M29)),IF('Council Entry'!M$4="Exponential",EXP(IF(AND(ISNUMBER('Council Entry'!M$8),ISNUMBER('Council Entry'!M$9)),MAX(MIN('Council Entry'!M29,'Council Entry'!M$9),'Council Entry'!M$8),'Council Entry'!M29)),IF(AND(ISNUMBER('Council Entry'!M$8),ISNUMBER('Council Entry'!M$9)),MAX(MIN('Council Entry'!M29,'Council Entry'!M$9),'Council Entry'!M$8),'Council Entry'!M29))))-'Council Entry'!M$5)/('Council Entry'!M$6-'Council Entry'!M$5),10*((IF('Council Entry'!M$4="Logarithm",LN(0.001+IF(AND(ISNUMBER('Council Entry'!M$8),ISNUMBER('Council Entry'!M$9)),MAX(MIN('Council Entry'!M29,'Council Entry'!M$9),'Council Entry'!M$8),'Council Entry'!M29)),IF('Council Entry'!M$4="Exponential",EXP(IF(AND(ISNUMBER('Council Entry'!M$8),ISNUMBER('Council Entry'!M$9)),MAX(MIN('Council Entry'!M29,'Council Entry'!M$9),'Council Entry'!M$8),'Council Entry'!M29)),IF(AND(ISNUMBER('Council Entry'!M$8),ISNUMBER('Council Entry'!M$9)),MAX(MIN('Council Entry'!M29,'Council Entry'!M$9),'Council Entry'!M$8),'Council Entry'!M29))))-'Council Entry'!M$5)/('Council Entry'!M$6-'Council Entry'!M$5)),1))),"No data"))</f>
        <v/>
      </c>
      <c r="N29" s="13">
        <f>IF('Council Entry'!N29="","",IFERROR(MAX(0,MIN(10,ROUND(IF('Council Entry'!N$7="Decrease Risk",10-10*((IF('Council Entry'!N$4="Logarithm",LN(0.001+IF(AND(ISNUMBER('Council Entry'!N$8),ISNUMBER('Council Entry'!N$9)),MAX(MIN('Council Entry'!N29,'Council Entry'!N$9),'Council Entry'!N$8),'Council Entry'!N29)),IF('Council Entry'!N$4="Exponential",EXP(IF(AND(ISNUMBER('Council Entry'!N$8),ISNUMBER('Council Entry'!N$9)),MAX(MIN('Council Entry'!N29,'Council Entry'!N$9),'Council Entry'!N$8),'Council Entry'!N29)),IF(AND(ISNUMBER('Council Entry'!N$8),ISNUMBER('Council Entry'!N$9)),MAX(MIN('Council Entry'!N29,'Council Entry'!N$9),'Council Entry'!N$8),'Council Entry'!N29))))-'Council Entry'!N$5)/('Council Entry'!N$6-'Council Entry'!N$5),10*((IF('Council Entry'!N$4="Logarithm",LN(0.001+IF(AND(ISNUMBER('Council Entry'!N$8),ISNUMBER('Council Entry'!N$9)),MAX(MIN('Council Entry'!N29,'Council Entry'!N$9),'Council Entry'!N$8),'Council Entry'!N29)),IF('Council Entry'!N$4="Exponential",EXP(IF(AND(ISNUMBER('Council Entry'!N$8),ISNUMBER('Council Entry'!N$9)),MAX(MIN('Council Entry'!N29,'Council Entry'!N$9),'Council Entry'!N$8),'Council Entry'!N29)),IF(AND(ISNUMBER('Council Entry'!N$8),ISNUMBER('Council Entry'!N$9)),MAX(MIN('Council Entry'!N29,'Council Entry'!N$9),'Council Entry'!N$8),'Council Entry'!N29))))-'Council Entry'!N$5)/('Council Entry'!N$6-'Council Entry'!N$5)),1))),"No data"))</f>
        <v/>
      </c>
      <c r="O29" s="13">
        <f>IF('Council Entry'!O29="","",IFERROR(MAX(0,MIN(10,ROUND(IF('Council Entry'!O$7="Decrease Risk",10-10*((IF('Council Entry'!O$4="Logarithm",LN(0.001+IF(AND(ISNUMBER('Council Entry'!O$8),ISNUMBER('Council Entry'!O$9)),MAX(MIN('Council Entry'!O29,'Council Entry'!O$9),'Council Entry'!O$8),'Council Entry'!O29)),IF('Council Entry'!O$4="Exponential",EXP(IF(AND(ISNUMBER('Council Entry'!O$8),ISNUMBER('Council Entry'!O$9)),MAX(MIN('Council Entry'!O29,'Council Entry'!O$9),'Council Entry'!O$8),'Council Entry'!O29)),IF(AND(ISNUMBER('Council Entry'!O$8),ISNUMBER('Council Entry'!O$9)),MAX(MIN('Council Entry'!O29,'Council Entry'!O$9),'Council Entry'!O$8),'Council Entry'!O29))))-'Council Entry'!O$5)/('Council Entry'!O$6-'Council Entry'!O$5),10*((IF('Council Entry'!O$4="Logarithm",LN(0.001+IF(AND(ISNUMBER('Council Entry'!O$8),ISNUMBER('Council Entry'!O$9)),MAX(MIN('Council Entry'!O29,'Council Entry'!O$9),'Council Entry'!O$8),'Council Entry'!O29)),IF('Council Entry'!O$4="Exponential",EXP(IF(AND(ISNUMBER('Council Entry'!O$8),ISNUMBER('Council Entry'!O$9)),MAX(MIN('Council Entry'!O29,'Council Entry'!O$9),'Council Entry'!O$8),'Council Entry'!O29)),IF(AND(ISNUMBER('Council Entry'!O$8),ISNUMBER('Council Entry'!O$9)),MAX(MIN('Council Entry'!O29,'Council Entry'!O$9),'Council Entry'!O$8),'Council Entry'!O29))))-'Council Entry'!O$5)/('Council Entry'!O$6-'Council Entry'!O$5)),1))),"No data"))</f>
        <v/>
      </c>
      <c r="P29" s="13">
        <f>IF('Council Entry'!P29="","",IFERROR(MAX(0,MIN(10,ROUND(IF('Council Entry'!P$7="Decrease Risk",10-10*((IF('Council Entry'!P$4="Logarithm",LN(0.001+IF(AND(ISNUMBER('Council Entry'!P$8),ISNUMBER('Council Entry'!P$9)),MAX(MIN('Council Entry'!P29,'Council Entry'!P$9),'Council Entry'!P$8),'Council Entry'!P29)),IF('Council Entry'!P$4="Exponential",EXP(IF(AND(ISNUMBER('Council Entry'!P$8),ISNUMBER('Council Entry'!P$9)),MAX(MIN('Council Entry'!P29,'Council Entry'!P$9),'Council Entry'!P$8),'Council Entry'!P29)),IF(AND(ISNUMBER('Council Entry'!P$8),ISNUMBER('Council Entry'!P$9)),MAX(MIN('Council Entry'!P29,'Council Entry'!P$9),'Council Entry'!P$8),'Council Entry'!P29))))-'Council Entry'!P$5)/('Council Entry'!P$6-'Council Entry'!P$5),10*((IF('Council Entry'!P$4="Logarithm",LN(0.001+IF(AND(ISNUMBER('Council Entry'!P$8),ISNUMBER('Council Entry'!P$9)),MAX(MIN('Council Entry'!P29,'Council Entry'!P$9),'Council Entry'!P$8),'Council Entry'!P29)),IF('Council Entry'!P$4="Exponential",EXP(IF(AND(ISNUMBER('Council Entry'!P$8),ISNUMBER('Council Entry'!P$9)),MAX(MIN('Council Entry'!P29,'Council Entry'!P$9),'Council Entry'!P$8),'Council Entry'!P29)),IF(AND(ISNUMBER('Council Entry'!P$8),ISNUMBER('Council Entry'!P$9)),MAX(MIN('Council Entry'!P29,'Council Entry'!P$9),'Council Entry'!P$8),'Council Entry'!P29))))-'Council Entry'!P$5)/('Council Entry'!P$6-'Council Entry'!P$5)),1))),"No data"))</f>
        <v/>
      </c>
      <c r="Q29" s="13">
        <f>IF('Council Entry'!Q29="","",IFERROR(MAX(0,MIN(10,ROUND(IF('Council Entry'!Q$7="Decrease Risk",10-10*((IF('Council Entry'!Q$4="Logarithm",LN(0.001+IF(AND(ISNUMBER('Council Entry'!Q$8),ISNUMBER('Council Entry'!Q$9)),MAX(MIN('Council Entry'!Q29,'Council Entry'!Q$9),'Council Entry'!Q$8),'Council Entry'!Q29)),IF('Council Entry'!Q$4="Exponential",EXP(IF(AND(ISNUMBER('Council Entry'!Q$8),ISNUMBER('Council Entry'!Q$9)),MAX(MIN('Council Entry'!Q29,'Council Entry'!Q$9),'Council Entry'!Q$8),'Council Entry'!Q29)),IF(AND(ISNUMBER('Council Entry'!Q$8),ISNUMBER('Council Entry'!Q$9)),MAX(MIN('Council Entry'!Q29,'Council Entry'!Q$9),'Council Entry'!Q$8),'Council Entry'!Q29))))-'Council Entry'!Q$5)/('Council Entry'!Q$6-'Council Entry'!Q$5),10*((IF('Council Entry'!Q$4="Logarithm",LN(0.001+IF(AND(ISNUMBER('Council Entry'!Q$8),ISNUMBER('Council Entry'!Q$9)),MAX(MIN('Council Entry'!Q29,'Council Entry'!Q$9),'Council Entry'!Q$8),'Council Entry'!Q29)),IF('Council Entry'!Q$4="Exponential",EXP(IF(AND(ISNUMBER('Council Entry'!Q$8),ISNUMBER('Council Entry'!Q$9)),MAX(MIN('Council Entry'!Q29,'Council Entry'!Q$9),'Council Entry'!Q$8),'Council Entry'!Q29)),IF(AND(ISNUMBER('Council Entry'!Q$8),ISNUMBER('Council Entry'!Q$9)),MAX(MIN('Council Entry'!Q29,'Council Entry'!Q$9),'Council Entry'!Q$8),'Council Entry'!Q29))))-'Council Entry'!Q$5)/('Council Entry'!Q$6-'Council Entry'!Q$5)),1))),"No data"))</f>
        <v/>
      </c>
      <c r="R29" s="13">
        <f>IF('Council Entry'!R29="","",IFERROR(MAX(0,MIN(10,ROUND(IF('Council Entry'!R$7="Decrease Risk",10-10*((IF('Council Entry'!R$4="Logarithm",LN(0.001+IF(AND(ISNUMBER('Council Entry'!R$8),ISNUMBER('Council Entry'!R$9)),MAX(MIN('Council Entry'!R29,'Council Entry'!R$9),'Council Entry'!R$8),'Council Entry'!R29)),IF('Council Entry'!R$4="Exponential",EXP(IF(AND(ISNUMBER('Council Entry'!R$8),ISNUMBER('Council Entry'!R$9)),MAX(MIN('Council Entry'!R29,'Council Entry'!R$9),'Council Entry'!R$8),'Council Entry'!R29)),IF(AND(ISNUMBER('Council Entry'!R$8),ISNUMBER('Council Entry'!R$9)),MAX(MIN('Council Entry'!R29,'Council Entry'!R$9),'Council Entry'!R$8),'Council Entry'!R29))))-'Council Entry'!R$5)/('Council Entry'!R$6-'Council Entry'!R$5),10*((IF('Council Entry'!R$4="Logarithm",LN(0.001+IF(AND(ISNUMBER('Council Entry'!R$8),ISNUMBER('Council Entry'!R$9)),MAX(MIN('Council Entry'!R29,'Council Entry'!R$9),'Council Entry'!R$8),'Council Entry'!R29)),IF('Council Entry'!R$4="Exponential",EXP(IF(AND(ISNUMBER('Council Entry'!R$8),ISNUMBER('Council Entry'!R$9)),MAX(MIN('Council Entry'!R29,'Council Entry'!R$9),'Council Entry'!R$8),'Council Entry'!R29)),IF(AND(ISNUMBER('Council Entry'!R$8),ISNUMBER('Council Entry'!R$9)),MAX(MIN('Council Entry'!R29,'Council Entry'!R$9),'Council Entry'!R$8),'Council Entry'!R29))))-'Council Entry'!R$5)/('Council Entry'!R$6-'Council Entry'!R$5)),1))),"No data"))</f>
        <v/>
      </c>
      <c r="S29" s="13">
        <f>IF('Council Entry'!S29="","",IFERROR(MAX(0,MIN(10,ROUND(IF('Council Entry'!S$7="Decrease Risk",10-10*((IF('Council Entry'!S$4="Logarithm",LN(0.001+IF(AND(ISNUMBER('Council Entry'!S$8),ISNUMBER('Council Entry'!S$9)),MAX(MIN('Council Entry'!S29,'Council Entry'!S$9),'Council Entry'!S$8),'Council Entry'!S29)),IF('Council Entry'!S$4="Exponential",EXP(IF(AND(ISNUMBER('Council Entry'!S$8),ISNUMBER('Council Entry'!S$9)),MAX(MIN('Council Entry'!S29,'Council Entry'!S$9),'Council Entry'!S$8),'Council Entry'!S29)),IF(AND(ISNUMBER('Council Entry'!S$8),ISNUMBER('Council Entry'!S$9)),MAX(MIN('Council Entry'!S29,'Council Entry'!S$9),'Council Entry'!S$8),'Council Entry'!S29))))-'Council Entry'!S$5)/('Council Entry'!S$6-'Council Entry'!S$5),10*((IF('Council Entry'!S$4="Logarithm",LN(0.001+IF(AND(ISNUMBER('Council Entry'!S$8),ISNUMBER('Council Entry'!S$9)),MAX(MIN('Council Entry'!S29,'Council Entry'!S$9),'Council Entry'!S$8),'Council Entry'!S29)),IF('Council Entry'!S$4="Exponential",EXP(IF(AND(ISNUMBER('Council Entry'!S$8),ISNUMBER('Council Entry'!S$9)),MAX(MIN('Council Entry'!S29,'Council Entry'!S$9),'Council Entry'!S$8),'Council Entry'!S29)),IF(AND(ISNUMBER('Council Entry'!S$8),ISNUMBER('Council Entry'!S$9)),MAX(MIN('Council Entry'!S29,'Council Entry'!S$9),'Council Entry'!S$8),'Council Entry'!S29))))-'Council Entry'!S$5)/('Council Entry'!S$6-'Council Entry'!S$5)),1))),"No data"))</f>
        <v/>
      </c>
      <c r="T29" s="13">
        <f>IF('Council Entry'!T29="","",IFERROR(MAX(0,MIN(10,ROUND(IF('Council Entry'!T$7="Decrease Risk",10-10*((IF('Council Entry'!T$4="Logarithm",LN(0.001+IF(AND(ISNUMBER('Council Entry'!T$8),ISNUMBER('Council Entry'!T$9)),MAX(MIN('Council Entry'!T29,'Council Entry'!T$9),'Council Entry'!T$8),'Council Entry'!T29)),IF('Council Entry'!T$4="Exponential",EXP(IF(AND(ISNUMBER('Council Entry'!T$8),ISNUMBER('Council Entry'!T$9)),MAX(MIN('Council Entry'!T29,'Council Entry'!T$9),'Council Entry'!T$8),'Council Entry'!T29)),IF(AND(ISNUMBER('Council Entry'!T$8),ISNUMBER('Council Entry'!T$9)),MAX(MIN('Council Entry'!T29,'Council Entry'!T$9),'Council Entry'!T$8),'Council Entry'!T29))))-'Council Entry'!T$5)/('Council Entry'!T$6-'Council Entry'!T$5),10*((IF('Council Entry'!T$4="Logarithm",LN(0.001+IF(AND(ISNUMBER('Council Entry'!T$8),ISNUMBER('Council Entry'!T$9)),MAX(MIN('Council Entry'!T29,'Council Entry'!T$9),'Council Entry'!T$8),'Council Entry'!T29)),IF('Council Entry'!T$4="Exponential",EXP(IF(AND(ISNUMBER('Council Entry'!T$8),ISNUMBER('Council Entry'!T$9)),MAX(MIN('Council Entry'!T29,'Council Entry'!T$9),'Council Entry'!T$8),'Council Entry'!T29)),IF(AND(ISNUMBER('Council Entry'!T$8),ISNUMBER('Council Entry'!T$9)),MAX(MIN('Council Entry'!T29,'Council Entry'!T$9),'Council Entry'!T$8),'Council Entry'!T29))))-'Council Entry'!T$5)/('Council Entry'!T$6-'Council Entry'!T$5)),1))),"No data"))</f>
        <v/>
      </c>
      <c r="U29" s="13">
        <f>IF('Council Entry'!U29="","",IFERROR(MAX(0,MIN(10,ROUND(IF('Council Entry'!U$7="Decrease Risk",10-10*((IF('Council Entry'!U$4="Logarithm",LN(0.001+IF(AND(ISNUMBER('Council Entry'!U$8),ISNUMBER('Council Entry'!U$9)),MAX(MIN('Council Entry'!U29,'Council Entry'!U$9),'Council Entry'!U$8),'Council Entry'!U29)),IF('Council Entry'!U$4="Exponential",EXP(IF(AND(ISNUMBER('Council Entry'!U$8),ISNUMBER('Council Entry'!U$9)),MAX(MIN('Council Entry'!U29,'Council Entry'!U$9),'Council Entry'!U$8),'Council Entry'!U29)),IF(AND(ISNUMBER('Council Entry'!U$8),ISNUMBER('Council Entry'!U$9)),MAX(MIN('Council Entry'!U29,'Council Entry'!U$9),'Council Entry'!U$8),'Council Entry'!U29))))-'Council Entry'!U$5)/('Council Entry'!U$6-'Council Entry'!U$5),10*((IF('Council Entry'!U$4="Logarithm",LN(0.001+IF(AND(ISNUMBER('Council Entry'!U$8),ISNUMBER('Council Entry'!U$9)),MAX(MIN('Council Entry'!U29,'Council Entry'!U$9),'Council Entry'!U$8),'Council Entry'!U29)),IF('Council Entry'!U$4="Exponential",EXP(IF(AND(ISNUMBER('Council Entry'!U$8),ISNUMBER('Council Entry'!U$9)),MAX(MIN('Council Entry'!U29,'Council Entry'!U$9),'Council Entry'!U$8),'Council Entry'!U29)),IF(AND(ISNUMBER('Council Entry'!U$8),ISNUMBER('Council Entry'!U$9)),MAX(MIN('Council Entry'!U29,'Council Entry'!U$9),'Council Entry'!U$8),'Council Entry'!U29))))-'Council Entry'!U$5)/('Council Entry'!U$6-'Council Entry'!U$5)),1))),"No data"))</f>
        <v/>
      </c>
      <c r="V29" s="13">
        <f>IF('Council Entry'!V29="","",IFERROR(MAX(0,MIN(10,ROUND(IF('Council Entry'!V$7="Decrease Risk",10-10*((IF('Council Entry'!V$4="Logarithm",LN(0.001+IF(AND(ISNUMBER('Council Entry'!V$8),ISNUMBER('Council Entry'!V$9)),MAX(MIN('Council Entry'!V29,'Council Entry'!V$9),'Council Entry'!V$8),'Council Entry'!V29)),IF('Council Entry'!V$4="Exponential",EXP(IF(AND(ISNUMBER('Council Entry'!V$8),ISNUMBER('Council Entry'!V$9)),MAX(MIN('Council Entry'!V29,'Council Entry'!V$9),'Council Entry'!V$8),'Council Entry'!V29)),IF(AND(ISNUMBER('Council Entry'!V$8),ISNUMBER('Council Entry'!V$9)),MAX(MIN('Council Entry'!V29,'Council Entry'!V$9),'Council Entry'!V$8),'Council Entry'!V29))))-'Council Entry'!V$5)/('Council Entry'!V$6-'Council Entry'!V$5),10*((IF('Council Entry'!V$4="Logarithm",LN(0.001+IF(AND(ISNUMBER('Council Entry'!V$8),ISNUMBER('Council Entry'!V$9)),MAX(MIN('Council Entry'!V29,'Council Entry'!V$9),'Council Entry'!V$8),'Council Entry'!V29)),IF('Council Entry'!V$4="Exponential",EXP(IF(AND(ISNUMBER('Council Entry'!V$8),ISNUMBER('Council Entry'!V$9)),MAX(MIN('Council Entry'!V29,'Council Entry'!V$9),'Council Entry'!V$8),'Council Entry'!V29)),IF(AND(ISNUMBER('Council Entry'!V$8),ISNUMBER('Council Entry'!V$9)),MAX(MIN('Council Entry'!V29,'Council Entry'!V$9),'Council Entry'!V$8),'Council Entry'!V29))))-'Council Entry'!V$5)/('Council Entry'!V$6-'Council Entry'!V$5)),1))),"No data"))</f>
        <v/>
      </c>
      <c r="W29" s="13">
        <f>IF('Council Entry'!W29="","",IFERROR(MAX(0,MIN(10,ROUND(IF('Council Entry'!W$7="Decrease Risk",10-10*((IF('Council Entry'!W$4="Logarithm",LN(0.001+IF(AND(ISNUMBER('Council Entry'!W$8),ISNUMBER('Council Entry'!W$9)),MAX(MIN('Council Entry'!W29,'Council Entry'!W$9),'Council Entry'!W$8),'Council Entry'!W29)),IF('Council Entry'!W$4="Exponential",EXP(IF(AND(ISNUMBER('Council Entry'!W$8),ISNUMBER('Council Entry'!W$9)),MAX(MIN('Council Entry'!W29,'Council Entry'!W$9),'Council Entry'!W$8),'Council Entry'!W29)),IF(AND(ISNUMBER('Council Entry'!W$8),ISNUMBER('Council Entry'!W$9)),MAX(MIN('Council Entry'!W29,'Council Entry'!W$9),'Council Entry'!W$8),'Council Entry'!W29))))-'Council Entry'!W$5)/('Council Entry'!W$6-'Council Entry'!W$5),10*((IF('Council Entry'!W$4="Logarithm",LN(0.001+IF(AND(ISNUMBER('Council Entry'!W$8),ISNUMBER('Council Entry'!W$9)),MAX(MIN('Council Entry'!W29,'Council Entry'!W$9),'Council Entry'!W$8),'Council Entry'!W29)),IF('Council Entry'!W$4="Exponential",EXP(IF(AND(ISNUMBER('Council Entry'!W$8),ISNUMBER('Council Entry'!W$9)),MAX(MIN('Council Entry'!W29,'Council Entry'!W$9),'Council Entry'!W$8),'Council Entry'!W29)),IF(AND(ISNUMBER('Council Entry'!W$8),ISNUMBER('Council Entry'!W$9)),MAX(MIN('Council Entry'!W29,'Council Entry'!W$9),'Council Entry'!W$8),'Council Entry'!W29))))-'Council Entry'!W$5)/('Council Entry'!W$6-'Council Entry'!W$5)),1))),"No data"))</f>
        <v/>
      </c>
      <c r="X29" s="13">
        <f>IF('Council Entry'!X29="","",IFERROR(MAX(0,MIN(10,ROUND(IF('Council Entry'!X$7="Decrease Risk",10-10*((IF('Council Entry'!X$4="Logarithm",LN(0.001+IF(AND(ISNUMBER('Council Entry'!X$8),ISNUMBER('Council Entry'!X$9)),MAX(MIN('Council Entry'!X29,'Council Entry'!X$9),'Council Entry'!X$8),'Council Entry'!X29)),IF('Council Entry'!X$4="Exponential",EXP(IF(AND(ISNUMBER('Council Entry'!X$8),ISNUMBER('Council Entry'!X$9)),MAX(MIN('Council Entry'!X29,'Council Entry'!X$9),'Council Entry'!X$8),'Council Entry'!X29)),IF(AND(ISNUMBER('Council Entry'!X$8),ISNUMBER('Council Entry'!X$9)),MAX(MIN('Council Entry'!X29,'Council Entry'!X$9),'Council Entry'!X$8),'Council Entry'!X29))))-'Council Entry'!X$5)/('Council Entry'!X$6-'Council Entry'!X$5),10*((IF('Council Entry'!X$4="Logarithm",LN(0.001+IF(AND(ISNUMBER('Council Entry'!X$8),ISNUMBER('Council Entry'!X$9)),MAX(MIN('Council Entry'!X29,'Council Entry'!X$9),'Council Entry'!X$8),'Council Entry'!X29)),IF('Council Entry'!X$4="Exponential",EXP(IF(AND(ISNUMBER('Council Entry'!X$8),ISNUMBER('Council Entry'!X$9)),MAX(MIN('Council Entry'!X29,'Council Entry'!X$9),'Council Entry'!X$8),'Council Entry'!X29)),IF(AND(ISNUMBER('Council Entry'!X$8),ISNUMBER('Council Entry'!X$9)),MAX(MIN('Council Entry'!X29,'Council Entry'!X$9),'Council Entry'!X$8),'Council Entry'!X29))))-'Council Entry'!X$5)/('Council Entry'!X$6-'Council Entry'!X$5)),1))),"No data"))</f>
        <v/>
      </c>
      <c r="Y29" s="13">
        <f>IF('Council Entry'!Y29="","",IFERROR(MAX(0,MIN(10,ROUND(IF('Council Entry'!Y$7="Decrease Risk",10-10*((IF('Council Entry'!Y$4="Logarithm",LN(0.001+IF(AND(ISNUMBER('Council Entry'!Y$8),ISNUMBER('Council Entry'!Y$9)),MAX(MIN('Council Entry'!Y29,'Council Entry'!Y$9),'Council Entry'!Y$8),'Council Entry'!Y29)),IF('Council Entry'!Y$4="Exponential",EXP(IF(AND(ISNUMBER('Council Entry'!Y$8),ISNUMBER('Council Entry'!Y$9)),MAX(MIN('Council Entry'!Y29,'Council Entry'!Y$9),'Council Entry'!Y$8),'Council Entry'!Y29)),IF(AND(ISNUMBER('Council Entry'!Y$8),ISNUMBER('Council Entry'!Y$9)),MAX(MIN('Council Entry'!Y29,'Council Entry'!Y$9),'Council Entry'!Y$8),'Council Entry'!Y29))))-'Council Entry'!Y$5)/('Council Entry'!Y$6-'Council Entry'!Y$5),10*((IF('Council Entry'!Y$4="Logarithm",LN(0.001+IF(AND(ISNUMBER('Council Entry'!Y$8),ISNUMBER('Council Entry'!Y$9)),MAX(MIN('Council Entry'!Y29,'Council Entry'!Y$9),'Council Entry'!Y$8),'Council Entry'!Y29)),IF('Council Entry'!Y$4="Exponential",EXP(IF(AND(ISNUMBER('Council Entry'!Y$8),ISNUMBER('Council Entry'!Y$9)),MAX(MIN('Council Entry'!Y29,'Council Entry'!Y$9),'Council Entry'!Y$8),'Council Entry'!Y29)),IF(AND(ISNUMBER('Council Entry'!Y$8),ISNUMBER('Council Entry'!Y$9)),MAX(MIN('Council Entry'!Y29,'Council Entry'!Y$9),'Council Entry'!Y$8),'Council Entry'!Y29))))-'Council Entry'!Y$5)/('Council Entry'!Y$6-'Council Entry'!Y$5)),1))),"No data"))</f>
        <v/>
      </c>
      <c r="Z29" s="13">
        <f>IF('Council Entry'!Z29="","",IFERROR(MAX(0,MIN(10,ROUND(IF('Council Entry'!Z$7="Decrease Risk",10-10*((IF('Council Entry'!Z$4="Logarithm",LN(0.001+IF(AND(ISNUMBER('Council Entry'!Z$8),ISNUMBER('Council Entry'!Z$9)),MAX(MIN('Council Entry'!Z29,'Council Entry'!Z$9),'Council Entry'!Z$8),'Council Entry'!Z29)),IF('Council Entry'!Z$4="Exponential",EXP(IF(AND(ISNUMBER('Council Entry'!Z$8),ISNUMBER('Council Entry'!Z$9)),MAX(MIN('Council Entry'!Z29,'Council Entry'!Z$9),'Council Entry'!Z$8),'Council Entry'!Z29)),IF(AND(ISNUMBER('Council Entry'!Z$8),ISNUMBER('Council Entry'!Z$9)),MAX(MIN('Council Entry'!Z29,'Council Entry'!Z$9),'Council Entry'!Z$8),'Council Entry'!Z29))))-'Council Entry'!Z$5)/('Council Entry'!Z$6-'Council Entry'!Z$5),10*((IF('Council Entry'!Z$4="Logarithm",LN(0.001+IF(AND(ISNUMBER('Council Entry'!Z$8),ISNUMBER('Council Entry'!Z$9)),MAX(MIN('Council Entry'!Z29,'Council Entry'!Z$9),'Council Entry'!Z$8),'Council Entry'!Z29)),IF('Council Entry'!Z$4="Exponential",EXP(IF(AND(ISNUMBER('Council Entry'!Z$8),ISNUMBER('Council Entry'!Z$9)),MAX(MIN('Council Entry'!Z29,'Council Entry'!Z$9),'Council Entry'!Z$8),'Council Entry'!Z29)),IF(AND(ISNUMBER('Council Entry'!Z$8),ISNUMBER('Council Entry'!Z$9)),MAX(MIN('Council Entry'!Z29,'Council Entry'!Z$9),'Council Entry'!Z$8),'Council Entry'!Z29))))-'Council Entry'!Z$5)/('Council Entry'!Z$6-'Council Entry'!Z$5)),1))),"No data"))</f>
        <v/>
      </c>
      <c r="AA29" s="13">
        <f>IF('Council Entry'!AA29="","",IFERROR(MAX(0,MIN(10,ROUND(IF('Council Entry'!AA$7="Decrease Risk",10-10*((IF('Council Entry'!AA$4="Logarithm",LN(0.001+IF(AND(ISNUMBER('Council Entry'!AA$8),ISNUMBER('Council Entry'!AA$9)),MAX(MIN('Council Entry'!AA29,'Council Entry'!AA$9),'Council Entry'!AA$8),'Council Entry'!AA29)),IF('Council Entry'!AA$4="Exponential",EXP(IF(AND(ISNUMBER('Council Entry'!AA$8),ISNUMBER('Council Entry'!AA$9)),MAX(MIN('Council Entry'!AA29,'Council Entry'!AA$9),'Council Entry'!AA$8),'Council Entry'!AA29)),IF(AND(ISNUMBER('Council Entry'!AA$8),ISNUMBER('Council Entry'!AA$9)),MAX(MIN('Council Entry'!AA29,'Council Entry'!AA$9),'Council Entry'!AA$8),'Council Entry'!AA29))))-'Council Entry'!AA$5)/('Council Entry'!AA$6-'Council Entry'!AA$5),10*((IF('Council Entry'!AA$4="Logarithm",LN(0.001+IF(AND(ISNUMBER('Council Entry'!AA$8),ISNUMBER('Council Entry'!AA$9)),MAX(MIN('Council Entry'!AA29,'Council Entry'!AA$9),'Council Entry'!AA$8),'Council Entry'!AA29)),IF('Council Entry'!AA$4="Exponential",EXP(IF(AND(ISNUMBER('Council Entry'!AA$8),ISNUMBER('Council Entry'!AA$9)),MAX(MIN('Council Entry'!AA29,'Council Entry'!AA$9),'Council Entry'!AA$8),'Council Entry'!AA29)),IF(AND(ISNUMBER('Council Entry'!AA$8),ISNUMBER('Council Entry'!AA$9)),MAX(MIN('Council Entry'!AA29,'Council Entry'!AA$9),'Council Entry'!AA$8),'Council Entry'!AA29))))-'Council Entry'!AA$5)/('Council Entry'!AA$6-'Council Entry'!AA$5)),1))),"No data"))</f>
        <v/>
      </c>
      <c r="AB29" s="13">
        <f>IF('Council Entry'!AB29="","",IFERROR(MAX(0,MIN(10,ROUND(IF('Council Entry'!AB$7="Decrease Risk",10-10*((IF('Council Entry'!AB$4="Logarithm",LN(0.001+IF(AND(ISNUMBER('Council Entry'!AB$8),ISNUMBER('Council Entry'!AB$9)),MAX(MIN('Council Entry'!AB29,'Council Entry'!AB$9),'Council Entry'!AB$8),'Council Entry'!AB29)),IF('Council Entry'!AB$4="Exponential",EXP(IF(AND(ISNUMBER('Council Entry'!AB$8),ISNUMBER('Council Entry'!AB$9)),MAX(MIN('Council Entry'!AB29,'Council Entry'!AB$9),'Council Entry'!AB$8),'Council Entry'!AB29)),IF(AND(ISNUMBER('Council Entry'!AB$8),ISNUMBER('Council Entry'!AB$9)),MAX(MIN('Council Entry'!AB29,'Council Entry'!AB$9),'Council Entry'!AB$8),'Council Entry'!AB29))))-'Council Entry'!AB$5)/('Council Entry'!AB$6-'Council Entry'!AB$5),10*((IF('Council Entry'!AB$4="Logarithm",LN(0.001+IF(AND(ISNUMBER('Council Entry'!AB$8),ISNUMBER('Council Entry'!AB$9)),MAX(MIN('Council Entry'!AB29,'Council Entry'!AB$9),'Council Entry'!AB$8),'Council Entry'!AB29)),IF('Council Entry'!AB$4="Exponential",EXP(IF(AND(ISNUMBER('Council Entry'!AB$8),ISNUMBER('Council Entry'!AB$9)),MAX(MIN('Council Entry'!AB29,'Council Entry'!AB$9),'Council Entry'!AB$8),'Council Entry'!AB29)),IF(AND(ISNUMBER('Council Entry'!AB$8),ISNUMBER('Council Entry'!AB$9)),MAX(MIN('Council Entry'!AB29,'Council Entry'!AB$9),'Council Entry'!AB$8),'Council Entry'!AB29))))-'Council Entry'!AB$5)/('Council Entry'!AB$6-'Council Entry'!AB$5)),1))),"No data"))</f>
        <v/>
      </c>
      <c r="AC29" s="13">
        <f>IF('Council Entry'!AC29="","",IFERROR(MAX(0,MIN(10,ROUND(IF('Council Entry'!AC$7="Decrease Risk",10-10*((IF('Council Entry'!AC$4="Logarithm",LN(0.001+IF(AND(ISNUMBER('Council Entry'!AC$8),ISNUMBER('Council Entry'!AC$9)),MAX(MIN('Council Entry'!AC29,'Council Entry'!AC$9),'Council Entry'!AC$8),'Council Entry'!AC29)),IF('Council Entry'!AC$4="Exponential",EXP(IF(AND(ISNUMBER('Council Entry'!AC$8),ISNUMBER('Council Entry'!AC$9)),MAX(MIN('Council Entry'!AC29,'Council Entry'!AC$9),'Council Entry'!AC$8),'Council Entry'!AC29)),IF(AND(ISNUMBER('Council Entry'!AC$8),ISNUMBER('Council Entry'!AC$9)),MAX(MIN('Council Entry'!AC29,'Council Entry'!AC$9),'Council Entry'!AC$8),'Council Entry'!AC29))))-'Council Entry'!AC$5)/('Council Entry'!AC$6-'Council Entry'!AC$5),10*((IF('Council Entry'!AC$4="Logarithm",LN(0.001+IF(AND(ISNUMBER('Council Entry'!AC$8),ISNUMBER('Council Entry'!AC$9)),MAX(MIN('Council Entry'!AC29,'Council Entry'!AC$9),'Council Entry'!AC$8),'Council Entry'!AC29)),IF('Council Entry'!AC$4="Exponential",EXP(IF(AND(ISNUMBER('Council Entry'!AC$8),ISNUMBER('Council Entry'!AC$9)),MAX(MIN('Council Entry'!AC29,'Council Entry'!AC$9),'Council Entry'!AC$8),'Council Entry'!AC29)),IF(AND(ISNUMBER('Council Entry'!AC$8),ISNUMBER('Council Entry'!AC$9)),MAX(MIN('Council Entry'!AC29,'Council Entry'!AC$9),'Council Entry'!AC$8),'Council Entry'!AC29))))-'Council Entry'!AC$5)/('Council Entry'!AC$6-'Council Entry'!AC$5)),1))),"No data"))</f>
        <v/>
      </c>
      <c r="AD29" s="13">
        <f>IF('Council Entry'!AD29="","",IFERROR(MAX(0,MIN(10,ROUND(IF('Council Entry'!AD$7="Decrease Risk",10-10*((IF('Council Entry'!AD$4="Logarithm",LN(0.001+IF(AND(ISNUMBER('Council Entry'!AD$8),ISNUMBER('Council Entry'!AD$9)),MAX(MIN('Council Entry'!AD29,'Council Entry'!AD$9),'Council Entry'!AD$8),'Council Entry'!AD29)),IF('Council Entry'!AD$4="Exponential",EXP(IF(AND(ISNUMBER('Council Entry'!AD$8),ISNUMBER('Council Entry'!AD$9)),MAX(MIN('Council Entry'!AD29,'Council Entry'!AD$9),'Council Entry'!AD$8),'Council Entry'!AD29)),IF(AND(ISNUMBER('Council Entry'!AD$8),ISNUMBER('Council Entry'!AD$9)),MAX(MIN('Council Entry'!AD29,'Council Entry'!AD$9),'Council Entry'!AD$8),'Council Entry'!AD29))))-'Council Entry'!AD$5)/('Council Entry'!AD$6-'Council Entry'!AD$5),10*((IF('Council Entry'!AD$4="Logarithm",LN(0.001+IF(AND(ISNUMBER('Council Entry'!AD$8),ISNUMBER('Council Entry'!AD$9)),MAX(MIN('Council Entry'!AD29,'Council Entry'!AD$9),'Council Entry'!AD$8),'Council Entry'!AD29)),IF('Council Entry'!AD$4="Exponential",EXP(IF(AND(ISNUMBER('Council Entry'!AD$8),ISNUMBER('Council Entry'!AD$9)),MAX(MIN('Council Entry'!AD29,'Council Entry'!AD$9),'Council Entry'!AD$8),'Council Entry'!AD29)),IF(AND(ISNUMBER('Council Entry'!AD$8),ISNUMBER('Council Entry'!AD$9)),MAX(MIN('Council Entry'!AD29,'Council Entry'!AD$9),'Council Entry'!AD$8),'Council Entry'!AD29))))-'Council Entry'!AD$5)/('Council Entry'!AD$6-'Council Entry'!AD$5)),1))),"No data"))</f>
        <v/>
      </c>
      <c r="AE29" s="13">
        <f>IF('Council Entry'!AE29="","",IFERROR(MAX(0,MIN(10,ROUND(IF('Council Entry'!AE$7="Decrease Risk",10-10*((IF('Council Entry'!AE$4="Logarithm",LN(0.001+IF(AND(ISNUMBER('Council Entry'!AE$8),ISNUMBER('Council Entry'!AE$9)),MAX(MIN('Council Entry'!AE29,'Council Entry'!AE$9),'Council Entry'!AE$8),'Council Entry'!AE29)),IF('Council Entry'!AE$4="Exponential",EXP(IF(AND(ISNUMBER('Council Entry'!AE$8),ISNUMBER('Council Entry'!AE$9)),MAX(MIN('Council Entry'!AE29,'Council Entry'!AE$9),'Council Entry'!AE$8),'Council Entry'!AE29)),IF(AND(ISNUMBER('Council Entry'!AE$8),ISNUMBER('Council Entry'!AE$9)),MAX(MIN('Council Entry'!AE29,'Council Entry'!AE$9),'Council Entry'!AE$8),'Council Entry'!AE29))))-'Council Entry'!AE$5)/('Council Entry'!AE$6-'Council Entry'!AE$5),10*((IF('Council Entry'!AE$4="Logarithm",LN(0.001+IF(AND(ISNUMBER('Council Entry'!AE$8),ISNUMBER('Council Entry'!AE$9)),MAX(MIN('Council Entry'!AE29,'Council Entry'!AE$9),'Council Entry'!AE$8),'Council Entry'!AE29)),IF('Council Entry'!AE$4="Exponential",EXP(IF(AND(ISNUMBER('Council Entry'!AE$8),ISNUMBER('Council Entry'!AE$9)),MAX(MIN('Council Entry'!AE29,'Council Entry'!AE$9),'Council Entry'!AE$8),'Council Entry'!AE29)),IF(AND(ISNUMBER('Council Entry'!AE$8),ISNUMBER('Council Entry'!AE$9)),MAX(MIN('Council Entry'!AE29,'Council Entry'!AE$9),'Council Entry'!AE$8),'Council Entry'!AE29))))-'Council Entry'!AE$5)/('Council Entry'!AE$6-'Council Entry'!AE$5)),1))),"No data"))</f>
        <v/>
      </c>
      <c r="AF29" s="13">
        <f>IF('Council Entry'!AF29="","",IFERROR(MAX(0,MIN(10,ROUND(IF('Council Entry'!AF$7="Decrease Risk",10-10*((IF('Council Entry'!AF$4="Logarithm",LN(0.001+IF(AND(ISNUMBER('Council Entry'!AF$8),ISNUMBER('Council Entry'!AF$9)),MAX(MIN('Council Entry'!AF29,'Council Entry'!AF$9),'Council Entry'!AF$8),'Council Entry'!AF29)),IF('Council Entry'!AF$4="Exponential",EXP(IF(AND(ISNUMBER('Council Entry'!AF$8),ISNUMBER('Council Entry'!AF$9)),MAX(MIN('Council Entry'!AF29,'Council Entry'!AF$9),'Council Entry'!AF$8),'Council Entry'!AF29)),IF(AND(ISNUMBER('Council Entry'!AF$8),ISNUMBER('Council Entry'!AF$9)),MAX(MIN('Council Entry'!AF29,'Council Entry'!AF$9),'Council Entry'!AF$8),'Council Entry'!AF29))))-'Council Entry'!AF$5)/('Council Entry'!AF$6-'Council Entry'!AF$5),10*((IF('Council Entry'!AF$4="Logarithm",LN(0.001+IF(AND(ISNUMBER('Council Entry'!AF$8),ISNUMBER('Council Entry'!AF$9)),MAX(MIN('Council Entry'!AF29,'Council Entry'!AF$9),'Council Entry'!AF$8),'Council Entry'!AF29)),IF('Council Entry'!AF$4="Exponential",EXP(IF(AND(ISNUMBER('Council Entry'!AF$8),ISNUMBER('Council Entry'!AF$9)),MAX(MIN('Council Entry'!AF29,'Council Entry'!AF$9),'Council Entry'!AF$8),'Council Entry'!AF29)),IF(AND(ISNUMBER('Council Entry'!AF$8),ISNUMBER('Council Entry'!AF$9)),MAX(MIN('Council Entry'!AF29,'Council Entry'!AF$9),'Council Entry'!AF$8),'Council Entry'!AF29))))-'Council Entry'!AF$5)/('Council Entry'!AF$6-'Council Entry'!AF$5)),1))),"No data"))</f>
        <v/>
      </c>
      <c r="AG29" s="13">
        <f>IF('Council Entry'!AG29="","",IFERROR(MAX(0,MIN(10,ROUND(IF('Council Entry'!AG$7="Decrease Risk",10-10*((IF('Council Entry'!AG$4="Logarithm",LN(0.001+IF(AND(ISNUMBER('Council Entry'!AG$8),ISNUMBER('Council Entry'!AG$9)),MAX(MIN('Council Entry'!AG29,'Council Entry'!AG$9),'Council Entry'!AG$8),'Council Entry'!AG29)),IF('Council Entry'!AG$4="Exponential",EXP(IF(AND(ISNUMBER('Council Entry'!AG$8),ISNUMBER('Council Entry'!AG$9)),MAX(MIN('Council Entry'!AG29,'Council Entry'!AG$9),'Council Entry'!AG$8),'Council Entry'!AG29)),IF(AND(ISNUMBER('Council Entry'!AG$8),ISNUMBER('Council Entry'!AG$9)),MAX(MIN('Council Entry'!AG29,'Council Entry'!AG$9),'Council Entry'!AG$8),'Council Entry'!AG29))))-'Council Entry'!AG$5)/('Council Entry'!AG$6-'Council Entry'!AG$5),10*((IF('Council Entry'!AG$4="Logarithm",LN(0.001+IF(AND(ISNUMBER('Council Entry'!AG$8),ISNUMBER('Council Entry'!AG$9)),MAX(MIN('Council Entry'!AG29,'Council Entry'!AG$9),'Council Entry'!AG$8),'Council Entry'!AG29)),IF('Council Entry'!AG$4="Exponential",EXP(IF(AND(ISNUMBER('Council Entry'!AG$8),ISNUMBER('Council Entry'!AG$9)),MAX(MIN('Council Entry'!AG29,'Council Entry'!AG$9),'Council Entry'!AG$8),'Council Entry'!AG29)),IF(AND(ISNUMBER('Council Entry'!AG$8),ISNUMBER('Council Entry'!AG$9)),MAX(MIN('Council Entry'!AG29,'Council Entry'!AG$9),'Council Entry'!AG$8),'Council Entry'!AG29))))-'Council Entry'!AG$5)/('Council Entry'!AG$6-'Council Entry'!AG$5)),1))),"No data"))</f>
        <v/>
      </c>
      <c r="AH29" s="13">
        <f>IF('Council Entry'!AH29="","",IFERROR(MAX(0,MIN(10,ROUND(IF('Council Entry'!AH$7="Decrease Risk",10-10*((IF('Council Entry'!AH$4="Logarithm",LN(0.001+IF(AND(ISNUMBER('Council Entry'!AH$8),ISNUMBER('Council Entry'!AH$9)),MAX(MIN('Council Entry'!AH29,'Council Entry'!AH$9),'Council Entry'!AH$8),'Council Entry'!AH29)),IF('Council Entry'!AH$4="Exponential",EXP(IF(AND(ISNUMBER('Council Entry'!AH$8),ISNUMBER('Council Entry'!AH$9)),MAX(MIN('Council Entry'!AH29,'Council Entry'!AH$9),'Council Entry'!AH$8),'Council Entry'!AH29)),IF(AND(ISNUMBER('Council Entry'!AH$8),ISNUMBER('Council Entry'!AH$9)),MAX(MIN('Council Entry'!AH29,'Council Entry'!AH$9),'Council Entry'!AH$8),'Council Entry'!AH29))))-'Council Entry'!AH$5)/('Council Entry'!AH$6-'Council Entry'!AH$5),10*((IF('Council Entry'!AH$4="Logarithm",LN(0.001+IF(AND(ISNUMBER('Council Entry'!AH$8),ISNUMBER('Council Entry'!AH$9)),MAX(MIN('Council Entry'!AH29,'Council Entry'!AH$9),'Council Entry'!AH$8),'Council Entry'!AH29)),IF('Council Entry'!AH$4="Exponential",EXP(IF(AND(ISNUMBER('Council Entry'!AH$8),ISNUMBER('Council Entry'!AH$9)),MAX(MIN('Council Entry'!AH29,'Council Entry'!AH$9),'Council Entry'!AH$8),'Council Entry'!AH29)),IF(AND(ISNUMBER('Council Entry'!AH$8),ISNUMBER('Council Entry'!AH$9)),MAX(MIN('Council Entry'!AH29,'Council Entry'!AH$9),'Council Entry'!AH$8),'Council Entry'!AH29))))-'Council Entry'!AH$5)/('Council Entry'!AH$6-'Council Entry'!AH$5)),1))),"No data"))</f>
        <v/>
      </c>
      <c r="AI29" s="13">
        <f>IF('Council Entry'!AI29="","",IFERROR(MAX(0,MIN(10,ROUND(IF('Council Entry'!AI$7="Decrease Risk",10-10*((IF('Council Entry'!AI$4="Logarithm",LN(0.001+IF(AND(ISNUMBER('Council Entry'!AI$8),ISNUMBER('Council Entry'!AI$9)),MAX(MIN('Council Entry'!AI29,'Council Entry'!AI$9),'Council Entry'!AI$8),'Council Entry'!AI29)),IF('Council Entry'!AI$4="Exponential",EXP(IF(AND(ISNUMBER('Council Entry'!AI$8),ISNUMBER('Council Entry'!AI$9)),MAX(MIN('Council Entry'!AI29,'Council Entry'!AI$9),'Council Entry'!AI$8),'Council Entry'!AI29)),IF(AND(ISNUMBER('Council Entry'!AI$8),ISNUMBER('Council Entry'!AI$9)),MAX(MIN('Council Entry'!AI29,'Council Entry'!AI$9),'Council Entry'!AI$8),'Council Entry'!AI29))))-'Council Entry'!AI$5)/('Council Entry'!AI$6-'Council Entry'!AI$5),10*((IF('Council Entry'!AI$4="Logarithm",LN(0.001+IF(AND(ISNUMBER('Council Entry'!AI$8),ISNUMBER('Council Entry'!AI$9)),MAX(MIN('Council Entry'!AI29,'Council Entry'!AI$9),'Council Entry'!AI$8),'Council Entry'!AI29)),IF('Council Entry'!AI$4="Exponential",EXP(IF(AND(ISNUMBER('Council Entry'!AI$8),ISNUMBER('Council Entry'!AI$9)),MAX(MIN('Council Entry'!AI29,'Council Entry'!AI$9),'Council Entry'!AI$8),'Council Entry'!AI29)),IF(AND(ISNUMBER('Council Entry'!AI$8),ISNUMBER('Council Entry'!AI$9)),MAX(MIN('Council Entry'!AI29,'Council Entry'!AI$9),'Council Entry'!AI$8),'Council Entry'!AI29))))-'Council Entry'!AI$5)/('Council Entry'!AI$6-'Council Entry'!AI$5)),1))),"No data"))</f>
        <v/>
      </c>
      <c r="AJ29" s="13">
        <f>IF('Council Entry'!AJ29="","",IFERROR(MAX(0,MIN(10,ROUND(IF('Council Entry'!AJ$7="Decrease Risk",10-10*((IF('Council Entry'!AJ$4="Logarithm",LN(0.001+IF(AND(ISNUMBER('Council Entry'!AJ$8),ISNUMBER('Council Entry'!AJ$9)),MAX(MIN('Council Entry'!AJ29,'Council Entry'!AJ$9),'Council Entry'!AJ$8),'Council Entry'!AJ29)),IF('Council Entry'!AJ$4="Exponential",EXP(IF(AND(ISNUMBER('Council Entry'!AJ$8),ISNUMBER('Council Entry'!AJ$9)),MAX(MIN('Council Entry'!AJ29,'Council Entry'!AJ$9),'Council Entry'!AJ$8),'Council Entry'!AJ29)),IF(AND(ISNUMBER('Council Entry'!AJ$8),ISNUMBER('Council Entry'!AJ$9)),MAX(MIN('Council Entry'!AJ29,'Council Entry'!AJ$9),'Council Entry'!AJ$8),'Council Entry'!AJ29))))-'Council Entry'!AJ$5)/('Council Entry'!AJ$6-'Council Entry'!AJ$5),10*((IF('Council Entry'!AJ$4="Logarithm",LN(0.001+IF(AND(ISNUMBER('Council Entry'!AJ$8),ISNUMBER('Council Entry'!AJ$9)),MAX(MIN('Council Entry'!AJ29,'Council Entry'!AJ$9),'Council Entry'!AJ$8),'Council Entry'!AJ29)),IF('Council Entry'!AJ$4="Exponential",EXP(IF(AND(ISNUMBER('Council Entry'!AJ$8),ISNUMBER('Council Entry'!AJ$9)),MAX(MIN('Council Entry'!AJ29,'Council Entry'!AJ$9),'Council Entry'!AJ$8),'Council Entry'!AJ29)),IF(AND(ISNUMBER('Council Entry'!AJ$8),ISNUMBER('Council Entry'!AJ$9)),MAX(MIN('Council Entry'!AJ29,'Council Entry'!AJ$9),'Council Entry'!AJ$8),'Council Entry'!AJ29))))-'Council Entry'!AJ$5)/('Council Entry'!AJ$6-'Council Entry'!AJ$5)),1))),"No data"))</f>
        <v/>
      </c>
      <c r="AK29" s="13">
        <f>IF('Council Entry'!AK29="","",IFERROR(MAX(0,MIN(10,ROUND(IF('Council Entry'!AK$7="Decrease Risk",10-10*((IF('Council Entry'!AK$4="Logarithm",LN(0.001+IF(AND(ISNUMBER('Council Entry'!AK$8),ISNUMBER('Council Entry'!AK$9)),MAX(MIN('Council Entry'!AK29,'Council Entry'!AK$9),'Council Entry'!AK$8),'Council Entry'!AK29)),IF('Council Entry'!AK$4="Exponential",EXP(IF(AND(ISNUMBER('Council Entry'!AK$8),ISNUMBER('Council Entry'!AK$9)),MAX(MIN('Council Entry'!AK29,'Council Entry'!AK$9),'Council Entry'!AK$8),'Council Entry'!AK29)),IF(AND(ISNUMBER('Council Entry'!AK$8),ISNUMBER('Council Entry'!AK$9)),MAX(MIN('Council Entry'!AK29,'Council Entry'!AK$9),'Council Entry'!AK$8),'Council Entry'!AK29))))-'Council Entry'!AK$5)/('Council Entry'!AK$6-'Council Entry'!AK$5),10*((IF('Council Entry'!AK$4="Logarithm",LN(0.001+IF(AND(ISNUMBER('Council Entry'!AK$8),ISNUMBER('Council Entry'!AK$9)),MAX(MIN('Council Entry'!AK29,'Council Entry'!AK$9),'Council Entry'!AK$8),'Council Entry'!AK29)),IF('Council Entry'!AK$4="Exponential",EXP(IF(AND(ISNUMBER('Council Entry'!AK$8),ISNUMBER('Council Entry'!AK$9)),MAX(MIN('Council Entry'!AK29,'Council Entry'!AK$9),'Council Entry'!AK$8),'Council Entry'!AK29)),IF(AND(ISNUMBER('Council Entry'!AK$8),ISNUMBER('Council Entry'!AK$9)),MAX(MIN('Council Entry'!AK29,'Council Entry'!AK$9),'Council Entry'!AK$8),'Council Entry'!AK29))))-'Council Entry'!AK$5)/('Council Entry'!AK$6-'Council Entry'!AK$5)),1))),"No data"))</f>
        <v/>
      </c>
      <c r="AL29" s="13">
        <f>IF('Council Entry'!AL29="","",IFERROR(MAX(0,MIN(10,ROUND(IF('Council Entry'!AL$7="Decrease Risk",10-10*((IF('Council Entry'!AL$4="Logarithm",LN(0.001+IF(AND(ISNUMBER('Council Entry'!AL$8),ISNUMBER('Council Entry'!AL$9)),MAX(MIN('Council Entry'!AL29,'Council Entry'!AL$9),'Council Entry'!AL$8),'Council Entry'!AL29)),IF('Council Entry'!AL$4="Exponential",EXP(IF(AND(ISNUMBER('Council Entry'!AL$8),ISNUMBER('Council Entry'!AL$9)),MAX(MIN('Council Entry'!AL29,'Council Entry'!AL$9),'Council Entry'!AL$8),'Council Entry'!AL29)),IF(AND(ISNUMBER('Council Entry'!AL$8),ISNUMBER('Council Entry'!AL$9)),MAX(MIN('Council Entry'!AL29,'Council Entry'!AL$9),'Council Entry'!AL$8),'Council Entry'!AL29))))-'Council Entry'!AL$5)/('Council Entry'!AL$6-'Council Entry'!AL$5),10*((IF('Council Entry'!AL$4="Logarithm",LN(0.001+IF(AND(ISNUMBER('Council Entry'!AL$8),ISNUMBER('Council Entry'!AL$9)),MAX(MIN('Council Entry'!AL29,'Council Entry'!AL$9),'Council Entry'!AL$8),'Council Entry'!AL29)),IF('Council Entry'!AL$4="Exponential",EXP(IF(AND(ISNUMBER('Council Entry'!AL$8),ISNUMBER('Council Entry'!AL$9)),MAX(MIN('Council Entry'!AL29,'Council Entry'!AL$9),'Council Entry'!AL$8),'Council Entry'!AL29)),IF(AND(ISNUMBER('Council Entry'!AL$8),ISNUMBER('Council Entry'!AL$9)),MAX(MIN('Council Entry'!AL29,'Council Entry'!AL$9),'Council Entry'!AL$8),'Council Entry'!AL29))))-'Council Entry'!AL$5)/('Council Entry'!AL$6-'Council Entry'!AL$5)),1))),"No data"))</f>
        <v/>
      </c>
      <c r="AM29" s="13">
        <f>IF('Council Entry'!AM29="","",IFERROR(MAX(0,MIN(10,ROUND(IF('Council Entry'!AM$7="Decrease Risk",10-10*((IF('Council Entry'!AM$4="Logarithm",LN(0.001+IF(AND(ISNUMBER('Council Entry'!AM$8),ISNUMBER('Council Entry'!AM$9)),MAX(MIN('Council Entry'!AM29,'Council Entry'!AM$9),'Council Entry'!AM$8),'Council Entry'!AM29)),IF('Council Entry'!AM$4="Exponential",EXP(IF(AND(ISNUMBER('Council Entry'!AM$8),ISNUMBER('Council Entry'!AM$9)),MAX(MIN('Council Entry'!AM29,'Council Entry'!AM$9),'Council Entry'!AM$8),'Council Entry'!AM29)),IF(AND(ISNUMBER('Council Entry'!AM$8),ISNUMBER('Council Entry'!AM$9)),MAX(MIN('Council Entry'!AM29,'Council Entry'!AM$9),'Council Entry'!AM$8),'Council Entry'!AM29))))-'Council Entry'!AM$5)/('Council Entry'!AM$6-'Council Entry'!AM$5),10*((IF('Council Entry'!AM$4="Logarithm",LN(0.001+IF(AND(ISNUMBER('Council Entry'!AM$8),ISNUMBER('Council Entry'!AM$9)),MAX(MIN('Council Entry'!AM29,'Council Entry'!AM$9),'Council Entry'!AM$8),'Council Entry'!AM29)),IF('Council Entry'!AM$4="Exponential",EXP(IF(AND(ISNUMBER('Council Entry'!AM$8),ISNUMBER('Council Entry'!AM$9)),MAX(MIN('Council Entry'!AM29,'Council Entry'!AM$9),'Council Entry'!AM$8),'Council Entry'!AM29)),IF(AND(ISNUMBER('Council Entry'!AM$8),ISNUMBER('Council Entry'!AM$9)),MAX(MIN('Council Entry'!AM29,'Council Entry'!AM$9),'Council Entry'!AM$8),'Council Entry'!AM29))))-'Council Entry'!AM$5)/('Council Entry'!AM$6-'Council Entry'!AM$5)),1))),"No data"))</f>
        <v/>
      </c>
      <c r="AN29" s="13">
        <f>IF('Council Entry'!AN29="","",IFERROR(MAX(0,MIN(10,ROUND(IF('Council Entry'!AN$7="Decrease Risk",10-10*((IF('Council Entry'!AN$4="Logarithm",LN(0.001+IF(AND(ISNUMBER('Council Entry'!AN$8),ISNUMBER('Council Entry'!AN$9)),MAX(MIN('Council Entry'!AN29,'Council Entry'!AN$9),'Council Entry'!AN$8),'Council Entry'!AN29)),IF('Council Entry'!AN$4="Exponential",EXP(IF(AND(ISNUMBER('Council Entry'!AN$8),ISNUMBER('Council Entry'!AN$9)),MAX(MIN('Council Entry'!AN29,'Council Entry'!AN$9),'Council Entry'!AN$8),'Council Entry'!AN29)),IF(AND(ISNUMBER('Council Entry'!AN$8),ISNUMBER('Council Entry'!AN$9)),MAX(MIN('Council Entry'!AN29,'Council Entry'!AN$9),'Council Entry'!AN$8),'Council Entry'!AN29))))-'Council Entry'!AN$5)/('Council Entry'!AN$6-'Council Entry'!AN$5),10*((IF('Council Entry'!AN$4="Logarithm",LN(0.001+IF(AND(ISNUMBER('Council Entry'!AN$8),ISNUMBER('Council Entry'!AN$9)),MAX(MIN('Council Entry'!AN29,'Council Entry'!AN$9),'Council Entry'!AN$8),'Council Entry'!AN29)),IF('Council Entry'!AN$4="Exponential",EXP(IF(AND(ISNUMBER('Council Entry'!AN$8),ISNUMBER('Council Entry'!AN$9)),MAX(MIN('Council Entry'!AN29,'Council Entry'!AN$9),'Council Entry'!AN$8),'Council Entry'!AN29)),IF(AND(ISNUMBER('Council Entry'!AN$8),ISNUMBER('Council Entry'!AN$9)),MAX(MIN('Council Entry'!AN29,'Council Entry'!AN$9),'Council Entry'!AN$8),'Council Entry'!AN29))))-'Council Entry'!AN$5)/('Council Entry'!AN$6-'Council Entry'!AN$5)),1))),"No data"))</f>
        <v/>
      </c>
      <c r="AO29" s="13">
        <f>IF('Council Entry'!AO29="","",IFERROR(MAX(0,MIN(10,ROUND(IF('Council Entry'!AO$7="Decrease Risk",10-10*((IF('Council Entry'!AO$4="Logarithm",LN(0.001+IF(AND(ISNUMBER('Council Entry'!AO$8),ISNUMBER('Council Entry'!AO$9)),MAX(MIN('Council Entry'!AO29,'Council Entry'!AO$9),'Council Entry'!AO$8),'Council Entry'!AO29)),IF('Council Entry'!AO$4="Exponential",EXP(IF(AND(ISNUMBER('Council Entry'!AO$8),ISNUMBER('Council Entry'!AO$9)),MAX(MIN('Council Entry'!AO29,'Council Entry'!AO$9),'Council Entry'!AO$8),'Council Entry'!AO29)),IF(AND(ISNUMBER('Council Entry'!AO$8),ISNUMBER('Council Entry'!AO$9)),MAX(MIN('Council Entry'!AO29,'Council Entry'!AO$9),'Council Entry'!AO$8),'Council Entry'!AO29))))-'Council Entry'!AO$5)/('Council Entry'!AO$6-'Council Entry'!AO$5),10*((IF('Council Entry'!AO$4="Logarithm",LN(0.001+IF(AND(ISNUMBER('Council Entry'!AO$8),ISNUMBER('Council Entry'!AO$9)),MAX(MIN('Council Entry'!AO29,'Council Entry'!AO$9),'Council Entry'!AO$8),'Council Entry'!AO29)),IF('Council Entry'!AO$4="Exponential",EXP(IF(AND(ISNUMBER('Council Entry'!AO$8),ISNUMBER('Council Entry'!AO$9)),MAX(MIN('Council Entry'!AO29,'Council Entry'!AO$9),'Council Entry'!AO$8),'Council Entry'!AO29)),IF(AND(ISNUMBER('Council Entry'!AO$8),ISNUMBER('Council Entry'!AO$9)),MAX(MIN('Council Entry'!AO29,'Council Entry'!AO$9),'Council Entry'!AO$8),'Council Entry'!AO29))))-'Council Entry'!AO$5)/('Council Entry'!AO$6-'Council Entry'!AO$5)),1))),"No data"))</f>
        <v/>
      </c>
      <c r="AP29" s="13">
        <f>IF('Council Entry'!AP29="","",IFERROR(MAX(0,MIN(10,ROUND(IF('Council Entry'!AP$7="Decrease Risk",10-10*((IF('Council Entry'!AP$4="Logarithm",LN(0.001+IF(AND(ISNUMBER('Council Entry'!AP$8),ISNUMBER('Council Entry'!AP$9)),MAX(MIN('Council Entry'!AP29,'Council Entry'!AP$9),'Council Entry'!AP$8),'Council Entry'!AP29)),IF('Council Entry'!AP$4="Exponential",EXP(IF(AND(ISNUMBER('Council Entry'!AP$8),ISNUMBER('Council Entry'!AP$9)),MAX(MIN('Council Entry'!AP29,'Council Entry'!AP$9),'Council Entry'!AP$8),'Council Entry'!AP29)),IF(AND(ISNUMBER('Council Entry'!AP$8),ISNUMBER('Council Entry'!AP$9)),MAX(MIN('Council Entry'!AP29,'Council Entry'!AP$9),'Council Entry'!AP$8),'Council Entry'!AP29))))-'Council Entry'!AP$5)/('Council Entry'!AP$6-'Council Entry'!AP$5),10*((IF('Council Entry'!AP$4="Logarithm",LN(0.001+IF(AND(ISNUMBER('Council Entry'!AP$8),ISNUMBER('Council Entry'!AP$9)),MAX(MIN('Council Entry'!AP29,'Council Entry'!AP$9),'Council Entry'!AP$8),'Council Entry'!AP29)),IF('Council Entry'!AP$4="Exponential",EXP(IF(AND(ISNUMBER('Council Entry'!AP$8),ISNUMBER('Council Entry'!AP$9)),MAX(MIN('Council Entry'!AP29,'Council Entry'!AP$9),'Council Entry'!AP$8),'Council Entry'!AP29)),IF(AND(ISNUMBER('Council Entry'!AP$8),ISNUMBER('Council Entry'!AP$9)),MAX(MIN('Council Entry'!AP29,'Council Entry'!AP$9),'Council Entry'!AP$8),'Council Entry'!AP29))))-'Council Entry'!AP$5)/('Council Entry'!AP$6-'Council Entry'!AP$5)),1))),"No data"))</f>
        <v/>
      </c>
      <c r="AQ29" s="13">
        <f>IF('Council Entry'!AQ29="","",IFERROR(MAX(0,MIN(10,ROUND(IF('Council Entry'!AQ$7="Decrease Risk",10-10*((IF('Council Entry'!AQ$4="Logarithm",LN(0.001+IF(AND(ISNUMBER('Council Entry'!AQ$8),ISNUMBER('Council Entry'!AQ$9)),MAX(MIN('Council Entry'!AQ29,'Council Entry'!AQ$9),'Council Entry'!AQ$8),'Council Entry'!AQ29)),IF('Council Entry'!AQ$4="Exponential",EXP(IF(AND(ISNUMBER('Council Entry'!AQ$8),ISNUMBER('Council Entry'!AQ$9)),MAX(MIN('Council Entry'!AQ29,'Council Entry'!AQ$9),'Council Entry'!AQ$8),'Council Entry'!AQ29)),IF(AND(ISNUMBER('Council Entry'!AQ$8),ISNUMBER('Council Entry'!AQ$9)),MAX(MIN('Council Entry'!AQ29,'Council Entry'!AQ$9),'Council Entry'!AQ$8),'Council Entry'!AQ29))))-'Council Entry'!AQ$5)/('Council Entry'!AQ$6-'Council Entry'!AQ$5),10*((IF('Council Entry'!AQ$4="Logarithm",LN(0.001+IF(AND(ISNUMBER('Council Entry'!AQ$8),ISNUMBER('Council Entry'!AQ$9)),MAX(MIN('Council Entry'!AQ29,'Council Entry'!AQ$9),'Council Entry'!AQ$8),'Council Entry'!AQ29)),IF('Council Entry'!AQ$4="Exponential",EXP(IF(AND(ISNUMBER('Council Entry'!AQ$8),ISNUMBER('Council Entry'!AQ$9)),MAX(MIN('Council Entry'!AQ29,'Council Entry'!AQ$9),'Council Entry'!AQ$8),'Council Entry'!AQ29)),IF(AND(ISNUMBER('Council Entry'!AQ$8),ISNUMBER('Council Entry'!AQ$9)),MAX(MIN('Council Entry'!AQ29,'Council Entry'!AQ$9),'Council Entry'!AQ$8),'Council Entry'!AQ29))))-'Council Entry'!AQ$5)/('Council Entry'!AQ$6-'Council Entry'!AQ$5)),1))),"No data"))</f>
        <v/>
      </c>
      <c r="AR29" s="13">
        <f>IF('Council Entry'!AR29="","",IFERROR(MAX(0,MIN(10,ROUND(IF('Council Entry'!AR$7="Decrease Risk",10-10*((IF('Council Entry'!AR$4="Logarithm",LN(0.001+IF(AND(ISNUMBER('Council Entry'!AR$8),ISNUMBER('Council Entry'!AR$9)),MAX(MIN('Council Entry'!AR29,'Council Entry'!AR$9),'Council Entry'!AR$8),'Council Entry'!AR29)),IF('Council Entry'!AR$4="Exponential",EXP(IF(AND(ISNUMBER('Council Entry'!AR$8),ISNUMBER('Council Entry'!AR$9)),MAX(MIN('Council Entry'!AR29,'Council Entry'!AR$9),'Council Entry'!AR$8),'Council Entry'!AR29)),IF(AND(ISNUMBER('Council Entry'!AR$8),ISNUMBER('Council Entry'!AR$9)),MAX(MIN('Council Entry'!AR29,'Council Entry'!AR$9),'Council Entry'!AR$8),'Council Entry'!AR29))))-'Council Entry'!AR$5)/('Council Entry'!AR$6-'Council Entry'!AR$5),10*((IF('Council Entry'!AR$4="Logarithm",LN(0.001+IF(AND(ISNUMBER('Council Entry'!AR$8),ISNUMBER('Council Entry'!AR$9)),MAX(MIN('Council Entry'!AR29,'Council Entry'!AR$9),'Council Entry'!AR$8),'Council Entry'!AR29)),IF('Council Entry'!AR$4="Exponential",EXP(IF(AND(ISNUMBER('Council Entry'!AR$8),ISNUMBER('Council Entry'!AR$9)),MAX(MIN('Council Entry'!AR29,'Council Entry'!AR$9),'Council Entry'!AR$8),'Council Entry'!AR29)),IF(AND(ISNUMBER('Council Entry'!AR$8),ISNUMBER('Council Entry'!AR$9)),MAX(MIN('Council Entry'!AR29,'Council Entry'!AR$9),'Council Entry'!AR$8),'Council Entry'!AR29))))-'Council Entry'!AR$5)/('Council Entry'!AR$6-'Council Entry'!AR$5)),1))),"No data"))</f>
        <v/>
      </c>
      <c r="AS29" s="13">
        <f>IF('Council Entry'!AS29="","",IFERROR(MAX(0,MIN(10,ROUND(IF('Council Entry'!AS$7="Decrease Risk",10-10*((IF('Council Entry'!AS$4="Logarithm",LN(0.001+IF(AND(ISNUMBER('Council Entry'!AS$8),ISNUMBER('Council Entry'!AS$9)),MAX(MIN('Council Entry'!AS29,'Council Entry'!AS$9),'Council Entry'!AS$8),'Council Entry'!AS29)),IF('Council Entry'!AS$4="Exponential",EXP(IF(AND(ISNUMBER('Council Entry'!AS$8),ISNUMBER('Council Entry'!AS$9)),MAX(MIN('Council Entry'!AS29,'Council Entry'!AS$9),'Council Entry'!AS$8),'Council Entry'!AS29)),IF(AND(ISNUMBER('Council Entry'!AS$8),ISNUMBER('Council Entry'!AS$9)),MAX(MIN('Council Entry'!AS29,'Council Entry'!AS$9),'Council Entry'!AS$8),'Council Entry'!AS29))))-'Council Entry'!AS$5)/('Council Entry'!AS$6-'Council Entry'!AS$5),10*((IF('Council Entry'!AS$4="Logarithm",LN(0.001+IF(AND(ISNUMBER('Council Entry'!AS$8),ISNUMBER('Council Entry'!AS$9)),MAX(MIN('Council Entry'!AS29,'Council Entry'!AS$9),'Council Entry'!AS$8),'Council Entry'!AS29)),IF('Council Entry'!AS$4="Exponential",EXP(IF(AND(ISNUMBER('Council Entry'!AS$8),ISNUMBER('Council Entry'!AS$9)),MAX(MIN('Council Entry'!AS29,'Council Entry'!AS$9),'Council Entry'!AS$8),'Council Entry'!AS29)),IF(AND(ISNUMBER('Council Entry'!AS$8),ISNUMBER('Council Entry'!AS$9)),MAX(MIN('Council Entry'!AS29,'Council Entry'!AS$9),'Council Entry'!AS$8),'Council Entry'!AS29))))-'Council Entry'!AS$5)/('Council Entry'!AS$6-'Council Entry'!AS$5)),1))),"No data"))</f>
        <v/>
      </c>
      <c r="AT29" s="13">
        <f>IF('Council Entry'!AT29="","",IFERROR(MAX(0,MIN(10,ROUND(IF('Council Entry'!AT$7="Decrease Risk",10-10*((IF('Council Entry'!AT$4="Logarithm",LN(0.001+IF(AND(ISNUMBER('Council Entry'!AT$8),ISNUMBER('Council Entry'!AT$9)),MAX(MIN('Council Entry'!AT29,'Council Entry'!AT$9),'Council Entry'!AT$8),'Council Entry'!AT29)),IF('Council Entry'!AT$4="Exponential",EXP(IF(AND(ISNUMBER('Council Entry'!AT$8),ISNUMBER('Council Entry'!AT$9)),MAX(MIN('Council Entry'!AT29,'Council Entry'!AT$9),'Council Entry'!AT$8),'Council Entry'!AT29)),IF(AND(ISNUMBER('Council Entry'!AT$8),ISNUMBER('Council Entry'!AT$9)),MAX(MIN('Council Entry'!AT29,'Council Entry'!AT$9),'Council Entry'!AT$8),'Council Entry'!AT29))))-'Council Entry'!AT$5)/('Council Entry'!AT$6-'Council Entry'!AT$5),10*((IF('Council Entry'!AT$4="Logarithm",LN(0.001+IF(AND(ISNUMBER('Council Entry'!AT$8),ISNUMBER('Council Entry'!AT$9)),MAX(MIN('Council Entry'!AT29,'Council Entry'!AT$9),'Council Entry'!AT$8),'Council Entry'!AT29)),IF('Council Entry'!AT$4="Exponential",EXP(IF(AND(ISNUMBER('Council Entry'!AT$8),ISNUMBER('Council Entry'!AT$9)),MAX(MIN('Council Entry'!AT29,'Council Entry'!AT$9),'Council Entry'!AT$8),'Council Entry'!AT29)),IF(AND(ISNUMBER('Council Entry'!AT$8),ISNUMBER('Council Entry'!AT$9)),MAX(MIN('Council Entry'!AT29,'Council Entry'!AT$9),'Council Entry'!AT$8),'Council Entry'!AT29))))-'Council Entry'!AT$5)/('Council Entry'!AT$6-'Council Entry'!AT$5)),1))),"No data"))</f>
        <v/>
      </c>
      <c r="AU29" s="13">
        <f>IF('Council Entry'!AU29="","",IFERROR(MAX(0,MIN(10,ROUND(IF('Council Entry'!AU$7="Decrease Risk",10-10*((IF('Council Entry'!AU$4="Logarithm",LN(0.001+IF(AND(ISNUMBER('Council Entry'!AU$8),ISNUMBER('Council Entry'!AU$9)),MAX(MIN('Council Entry'!AU29,'Council Entry'!AU$9),'Council Entry'!AU$8),'Council Entry'!AU29)),IF('Council Entry'!AU$4="Exponential",EXP(IF(AND(ISNUMBER('Council Entry'!AU$8),ISNUMBER('Council Entry'!AU$9)),MAX(MIN('Council Entry'!AU29,'Council Entry'!AU$9),'Council Entry'!AU$8),'Council Entry'!AU29)),IF(AND(ISNUMBER('Council Entry'!AU$8),ISNUMBER('Council Entry'!AU$9)),MAX(MIN('Council Entry'!AU29,'Council Entry'!AU$9),'Council Entry'!AU$8),'Council Entry'!AU29))))-'Council Entry'!AU$5)/('Council Entry'!AU$6-'Council Entry'!AU$5),10*((IF('Council Entry'!AU$4="Logarithm",LN(0.001+IF(AND(ISNUMBER('Council Entry'!AU$8),ISNUMBER('Council Entry'!AU$9)),MAX(MIN('Council Entry'!AU29,'Council Entry'!AU$9),'Council Entry'!AU$8),'Council Entry'!AU29)),IF('Council Entry'!AU$4="Exponential",EXP(IF(AND(ISNUMBER('Council Entry'!AU$8),ISNUMBER('Council Entry'!AU$9)),MAX(MIN('Council Entry'!AU29,'Council Entry'!AU$9),'Council Entry'!AU$8),'Council Entry'!AU29)),IF(AND(ISNUMBER('Council Entry'!AU$8),ISNUMBER('Council Entry'!AU$9)),MAX(MIN('Council Entry'!AU29,'Council Entry'!AU$9),'Council Entry'!AU$8),'Council Entry'!AU29))))-'Council Entry'!AU$5)/('Council Entry'!AU$6-'Council Entry'!AU$5)),1))),"No data"))</f>
        <v/>
      </c>
      <c r="AV29" s="13">
        <f>IF('Council Entry'!AV29="","",IFERROR(MAX(0,MIN(10,ROUND(IF('Council Entry'!AV$7="Decrease Risk",10-10*((IF('Council Entry'!AV$4="Logarithm",LN(0.001+IF(AND(ISNUMBER('Council Entry'!AV$8),ISNUMBER('Council Entry'!AV$9)),MAX(MIN('Council Entry'!AV29,'Council Entry'!AV$9),'Council Entry'!AV$8),'Council Entry'!AV29)),IF('Council Entry'!AV$4="Exponential",EXP(IF(AND(ISNUMBER('Council Entry'!AV$8),ISNUMBER('Council Entry'!AV$9)),MAX(MIN('Council Entry'!AV29,'Council Entry'!AV$9),'Council Entry'!AV$8),'Council Entry'!AV29)),IF(AND(ISNUMBER('Council Entry'!AV$8),ISNUMBER('Council Entry'!AV$9)),MAX(MIN('Council Entry'!AV29,'Council Entry'!AV$9),'Council Entry'!AV$8),'Council Entry'!AV29))))-'Council Entry'!AV$5)/('Council Entry'!AV$6-'Council Entry'!AV$5),10*((IF('Council Entry'!AV$4="Logarithm",LN(0.001+IF(AND(ISNUMBER('Council Entry'!AV$8),ISNUMBER('Council Entry'!AV$9)),MAX(MIN('Council Entry'!AV29,'Council Entry'!AV$9),'Council Entry'!AV$8),'Council Entry'!AV29)),IF('Council Entry'!AV$4="Exponential",EXP(IF(AND(ISNUMBER('Council Entry'!AV$8),ISNUMBER('Council Entry'!AV$9)),MAX(MIN('Council Entry'!AV29,'Council Entry'!AV$9),'Council Entry'!AV$8),'Council Entry'!AV29)),IF(AND(ISNUMBER('Council Entry'!AV$8),ISNUMBER('Council Entry'!AV$9)),MAX(MIN('Council Entry'!AV29,'Council Entry'!AV$9),'Council Entry'!AV$8),'Council Entry'!AV29))))-'Council Entry'!AV$5)/('Council Entry'!AV$6-'Council Entry'!AV$5)),1))),"No data"))</f>
        <v/>
      </c>
      <c r="AW29" s="13">
        <f>IF('Council Entry'!AW29="","",IFERROR(MAX(0,MIN(10,ROUND(IF('Council Entry'!AW$7="Decrease Risk",10-10*((IF('Council Entry'!AW$4="Logarithm",LN(0.001+IF(AND(ISNUMBER('Council Entry'!AW$8),ISNUMBER('Council Entry'!AW$9)),MAX(MIN('Council Entry'!AW29,'Council Entry'!AW$9),'Council Entry'!AW$8),'Council Entry'!AW29)),IF('Council Entry'!AW$4="Exponential",EXP(IF(AND(ISNUMBER('Council Entry'!AW$8),ISNUMBER('Council Entry'!AW$9)),MAX(MIN('Council Entry'!AW29,'Council Entry'!AW$9),'Council Entry'!AW$8),'Council Entry'!AW29)),IF(AND(ISNUMBER('Council Entry'!AW$8),ISNUMBER('Council Entry'!AW$9)),MAX(MIN('Council Entry'!AW29,'Council Entry'!AW$9),'Council Entry'!AW$8),'Council Entry'!AW29))))-'Council Entry'!AW$5)/('Council Entry'!AW$6-'Council Entry'!AW$5),10*((IF('Council Entry'!AW$4="Logarithm",LN(0.001+IF(AND(ISNUMBER('Council Entry'!AW$8),ISNUMBER('Council Entry'!AW$9)),MAX(MIN('Council Entry'!AW29,'Council Entry'!AW$9),'Council Entry'!AW$8),'Council Entry'!AW29)),IF('Council Entry'!AW$4="Exponential",EXP(IF(AND(ISNUMBER('Council Entry'!AW$8),ISNUMBER('Council Entry'!AW$9)),MAX(MIN('Council Entry'!AW29,'Council Entry'!AW$9),'Council Entry'!AW$8),'Council Entry'!AW29)),IF(AND(ISNUMBER('Council Entry'!AW$8),ISNUMBER('Council Entry'!AW$9)),MAX(MIN('Council Entry'!AW29,'Council Entry'!AW$9),'Council Entry'!AW$8),'Council Entry'!AW29))))-'Council Entry'!AW$5)/('Council Entry'!AW$6-'Council Entry'!AW$5)),1))),"No data"))</f>
        <v/>
      </c>
      <c r="AX29" s="13">
        <f>IF('Council Entry'!AX29="","",IFERROR(MAX(0,MIN(10,ROUND(IF('Council Entry'!AX$7="Decrease Risk",10-10*((IF('Council Entry'!AX$4="Logarithm",LN(0.001+IF(AND(ISNUMBER('Council Entry'!AX$8),ISNUMBER('Council Entry'!AX$9)),MAX(MIN('Council Entry'!AX29,'Council Entry'!AX$9),'Council Entry'!AX$8),'Council Entry'!AX29)),IF('Council Entry'!AX$4="Exponential",EXP(IF(AND(ISNUMBER('Council Entry'!AX$8),ISNUMBER('Council Entry'!AX$9)),MAX(MIN('Council Entry'!AX29,'Council Entry'!AX$9),'Council Entry'!AX$8),'Council Entry'!AX29)),IF(AND(ISNUMBER('Council Entry'!AX$8),ISNUMBER('Council Entry'!AX$9)),MAX(MIN('Council Entry'!AX29,'Council Entry'!AX$9),'Council Entry'!AX$8),'Council Entry'!AX29))))-'Council Entry'!AX$5)/('Council Entry'!AX$6-'Council Entry'!AX$5),10*((IF('Council Entry'!AX$4="Logarithm",LN(0.001+IF(AND(ISNUMBER('Council Entry'!AX$8),ISNUMBER('Council Entry'!AX$9)),MAX(MIN('Council Entry'!AX29,'Council Entry'!AX$9),'Council Entry'!AX$8),'Council Entry'!AX29)),IF('Council Entry'!AX$4="Exponential",EXP(IF(AND(ISNUMBER('Council Entry'!AX$8),ISNUMBER('Council Entry'!AX$9)),MAX(MIN('Council Entry'!AX29,'Council Entry'!AX$9),'Council Entry'!AX$8),'Council Entry'!AX29)),IF(AND(ISNUMBER('Council Entry'!AX$8),ISNUMBER('Council Entry'!AX$9)),MAX(MIN('Council Entry'!AX29,'Council Entry'!AX$9),'Council Entry'!AX$8),'Council Entry'!AX29))))-'Council Entry'!AX$5)/('Council Entry'!AX$6-'Council Entry'!AX$5)),1))),"No data"))</f>
        <v/>
      </c>
      <c r="AY29" s="13">
        <f>IF('Council Entry'!AY29="","",IFERROR(MAX(0,MIN(10,ROUND(IF('Council Entry'!AY$7="Decrease Risk",10-10*((IF('Council Entry'!AY$4="Logarithm",LN(0.001+IF(AND(ISNUMBER('Council Entry'!AY$8),ISNUMBER('Council Entry'!AY$9)),MAX(MIN('Council Entry'!AY29,'Council Entry'!AY$9),'Council Entry'!AY$8),'Council Entry'!AY29)),IF('Council Entry'!AY$4="Exponential",EXP(IF(AND(ISNUMBER('Council Entry'!AY$8),ISNUMBER('Council Entry'!AY$9)),MAX(MIN('Council Entry'!AY29,'Council Entry'!AY$9),'Council Entry'!AY$8),'Council Entry'!AY29)),IF(AND(ISNUMBER('Council Entry'!AY$8),ISNUMBER('Council Entry'!AY$9)),MAX(MIN('Council Entry'!AY29,'Council Entry'!AY$9),'Council Entry'!AY$8),'Council Entry'!AY29))))-'Council Entry'!AY$5)/('Council Entry'!AY$6-'Council Entry'!AY$5),10*((IF('Council Entry'!AY$4="Logarithm",LN(0.001+IF(AND(ISNUMBER('Council Entry'!AY$8),ISNUMBER('Council Entry'!AY$9)),MAX(MIN('Council Entry'!AY29,'Council Entry'!AY$9),'Council Entry'!AY$8),'Council Entry'!AY29)),IF('Council Entry'!AY$4="Exponential",EXP(IF(AND(ISNUMBER('Council Entry'!AY$8),ISNUMBER('Council Entry'!AY$9)),MAX(MIN('Council Entry'!AY29,'Council Entry'!AY$9),'Council Entry'!AY$8),'Council Entry'!AY29)),IF(AND(ISNUMBER('Council Entry'!AY$8),ISNUMBER('Council Entry'!AY$9)),MAX(MIN('Council Entry'!AY29,'Council Entry'!AY$9),'Council Entry'!AY$8),'Council Entry'!AY29))))-'Council Entry'!AY$5)/('Council Entry'!AY$6-'Council Entry'!AY$5)),1))),"No data"))</f>
        <v/>
      </c>
      <c r="AZ29" s="13">
        <f>IF('Council Entry'!AZ29="","",IFERROR(MAX(0,MIN(10,ROUND(IF('Council Entry'!AZ$7="Decrease Risk",10-10*((IF('Council Entry'!AZ$4="Logarithm",LN(0.001+IF(AND(ISNUMBER('Council Entry'!AZ$8),ISNUMBER('Council Entry'!AZ$9)),MAX(MIN('Council Entry'!AZ29,'Council Entry'!AZ$9),'Council Entry'!AZ$8),'Council Entry'!AZ29)),IF('Council Entry'!AZ$4="Exponential",EXP(IF(AND(ISNUMBER('Council Entry'!AZ$8),ISNUMBER('Council Entry'!AZ$9)),MAX(MIN('Council Entry'!AZ29,'Council Entry'!AZ$9),'Council Entry'!AZ$8),'Council Entry'!AZ29)),IF(AND(ISNUMBER('Council Entry'!AZ$8),ISNUMBER('Council Entry'!AZ$9)),MAX(MIN('Council Entry'!AZ29,'Council Entry'!AZ$9),'Council Entry'!AZ$8),'Council Entry'!AZ29))))-'Council Entry'!AZ$5)/('Council Entry'!AZ$6-'Council Entry'!AZ$5),10*((IF('Council Entry'!AZ$4="Logarithm",LN(0.001+IF(AND(ISNUMBER('Council Entry'!AZ$8),ISNUMBER('Council Entry'!AZ$9)),MAX(MIN('Council Entry'!AZ29,'Council Entry'!AZ$9),'Council Entry'!AZ$8),'Council Entry'!AZ29)),IF('Council Entry'!AZ$4="Exponential",EXP(IF(AND(ISNUMBER('Council Entry'!AZ$8),ISNUMBER('Council Entry'!AZ$9)),MAX(MIN('Council Entry'!AZ29,'Council Entry'!AZ$9),'Council Entry'!AZ$8),'Council Entry'!AZ29)),IF(AND(ISNUMBER('Council Entry'!AZ$8),ISNUMBER('Council Entry'!AZ$9)),MAX(MIN('Council Entry'!AZ29,'Council Entry'!AZ$9),'Council Entry'!AZ$8),'Council Entry'!AZ29))))-'Council Entry'!AZ$5)/('Council Entry'!AZ$6-'Council Entry'!AZ$5)),1))),"No data"))</f>
        <v/>
      </c>
      <c r="BA29" s="13">
        <f>IF('Council Entry'!BA29="","",IFERROR(MAX(0,MIN(10,ROUND(IF('Council Entry'!BA$7="Decrease Risk",10-10*((IF('Council Entry'!BA$4="Logarithm",LN(0.001+IF(AND(ISNUMBER('Council Entry'!BA$8),ISNUMBER('Council Entry'!BA$9)),MAX(MIN('Council Entry'!BA29,'Council Entry'!BA$9),'Council Entry'!BA$8),'Council Entry'!BA29)),IF('Council Entry'!BA$4="Exponential",EXP(IF(AND(ISNUMBER('Council Entry'!BA$8),ISNUMBER('Council Entry'!BA$9)),MAX(MIN('Council Entry'!BA29,'Council Entry'!BA$9),'Council Entry'!BA$8),'Council Entry'!BA29)),IF(AND(ISNUMBER('Council Entry'!BA$8),ISNUMBER('Council Entry'!BA$9)),MAX(MIN('Council Entry'!BA29,'Council Entry'!BA$9),'Council Entry'!BA$8),'Council Entry'!BA29))))-'Council Entry'!BA$5)/('Council Entry'!BA$6-'Council Entry'!BA$5),10*((IF('Council Entry'!BA$4="Logarithm",LN(0.001+IF(AND(ISNUMBER('Council Entry'!BA$8),ISNUMBER('Council Entry'!BA$9)),MAX(MIN('Council Entry'!BA29,'Council Entry'!BA$9),'Council Entry'!BA$8),'Council Entry'!BA29)),IF('Council Entry'!BA$4="Exponential",EXP(IF(AND(ISNUMBER('Council Entry'!BA$8),ISNUMBER('Council Entry'!BA$9)),MAX(MIN('Council Entry'!BA29,'Council Entry'!BA$9),'Council Entry'!BA$8),'Council Entry'!BA29)),IF(AND(ISNUMBER('Council Entry'!BA$8),ISNUMBER('Council Entry'!BA$9)),MAX(MIN('Council Entry'!BA29,'Council Entry'!BA$9),'Council Entry'!BA$8),'Council Entry'!BA29))))-'Council Entry'!BA$5)/('Council Entry'!BA$6-'Council Entry'!BA$5)),1))),"No data"))</f>
        <v/>
      </c>
      <c r="BB29" s="13">
        <f>IF('Council Entry'!BB29="","",IFERROR(MAX(0,MIN(10,ROUND(IF('Council Entry'!BB$7="Decrease Risk",10-10*((IF('Council Entry'!BB$4="Logarithm",LN(0.001+IF(AND(ISNUMBER('Council Entry'!BB$8),ISNUMBER('Council Entry'!BB$9)),MAX(MIN('Council Entry'!BB29,'Council Entry'!BB$9),'Council Entry'!BB$8),'Council Entry'!BB29)),IF('Council Entry'!BB$4="Exponential",EXP(IF(AND(ISNUMBER('Council Entry'!BB$8),ISNUMBER('Council Entry'!BB$9)),MAX(MIN('Council Entry'!BB29,'Council Entry'!BB$9),'Council Entry'!BB$8),'Council Entry'!BB29)),IF(AND(ISNUMBER('Council Entry'!BB$8),ISNUMBER('Council Entry'!BB$9)),MAX(MIN('Council Entry'!BB29,'Council Entry'!BB$9),'Council Entry'!BB$8),'Council Entry'!BB29))))-'Council Entry'!BB$5)/('Council Entry'!BB$6-'Council Entry'!BB$5),10*((IF('Council Entry'!BB$4="Logarithm",LN(0.001+IF(AND(ISNUMBER('Council Entry'!BB$8),ISNUMBER('Council Entry'!BB$9)),MAX(MIN('Council Entry'!BB29,'Council Entry'!BB$9),'Council Entry'!BB$8),'Council Entry'!BB29)),IF('Council Entry'!BB$4="Exponential",EXP(IF(AND(ISNUMBER('Council Entry'!BB$8),ISNUMBER('Council Entry'!BB$9)),MAX(MIN('Council Entry'!BB29,'Council Entry'!BB$9),'Council Entry'!BB$8),'Council Entry'!BB29)),IF(AND(ISNUMBER('Council Entry'!BB$8),ISNUMBER('Council Entry'!BB$9)),MAX(MIN('Council Entry'!BB29,'Council Entry'!BB$9),'Council Entry'!BB$8),'Council Entry'!BB29))))-'Council Entry'!BB$5)/('Council Entry'!BB$6-'Council Entry'!BB$5)),1))),"No data"))</f>
        <v/>
      </c>
      <c r="BC29" s="13">
        <f>IF('Council Entry'!BC29="","",IFERROR(MAX(0,MIN(10,ROUND(IF('Council Entry'!BC$7="Decrease Risk",10-10*((IF('Council Entry'!BC$4="Logarithm",LN(0.001+IF(AND(ISNUMBER('Council Entry'!BC$8),ISNUMBER('Council Entry'!BC$9)),MAX(MIN('Council Entry'!BC29,'Council Entry'!BC$9),'Council Entry'!BC$8),'Council Entry'!BC29)),IF('Council Entry'!BC$4="Exponential",EXP(IF(AND(ISNUMBER('Council Entry'!BC$8),ISNUMBER('Council Entry'!BC$9)),MAX(MIN('Council Entry'!BC29,'Council Entry'!BC$9),'Council Entry'!BC$8),'Council Entry'!BC29)),IF(AND(ISNUMBER('Council Entry'!BC$8),ISNUMBER('Council Entry'!BC$9)),MAX(MIN('Council Entry'!BC29,'Council Entry'!BC$9),'Council Entry'!BC$8),'Council Entry'!BC29))))-'Council Entry'!BC$5)/('Council Entry'!BC$6-'Council Entry'!BC$5),10*((IF('Council Entry'!BC$4="Logarithm",LN(0.001+IF(AND(ISNUMBER('Council Entry'!BC$8),ISNUMBER('Council Entry'!BC$9)),MAX(MIN('Council Entry'!BC29,'Council Entry'!BC$9),'Council Entry'!BC$8),'Council Entry'!BC29)),IF('Council Entry'!BC$4="Exponential",EXP(IF(AND(ISNUMBER('Council Entry'!BC$8),ISNUMBER('Council Entry'!BC$9)),MAX(MIN('Council Entry'!BC29,'Council Entry'!BC$9),'Council Entry'!BC$8),'Council Entry'!BC29)),IF(AND(ISNUMBER('Council Entry'!BC$8),ISNUMBER('Council Entry'!BC$9)),MAX(MIN('Council Entry'!BC29,'Council Entry'!BC$9),'Council Entry'!BC$8),'Council Entry'!BC29))))-'Council Entry'!BC$5)/('Council Entry'!BC$6-'Council Entry'!BC$5)),1))),"No data"))</f>
        <v/>
      </c>
      <c r="BD29" s="13">
        <f>IF('Council Entry'!BD29="","",IFERROR(MAX(0,MIN(10,ROUND(IF('Council Entry'!BD$7="Decrease Risk",10-10*((IF('Council Entry'!BD$4="Logarithm",LN(0.001+IF(AND(ISNUMBER('Council Entry'!BD$8),ISNUMBER('Council Entry'!BD$9)),MAX(MIN('Council Entry'!BD29,'Council Entry'!BD$9),'Council Entry'!BD$8),'Council Entry'!BD29)),IF('Council Entry'!BD$4="Exponential",EXP(IF(AND(ISNUMBER('Council Entry'!BD$8),ISNUMBER('Council Entry'!BD$9)),MAX(MIN('Council Entry'!BD29,'Council Entry'!BD$9),'Council Entry'!BD$8),'Council Entry'!BD29)),IF(AND(ISNUMBER('Council Entry'!BD$8),ISNUMBER('Council Entry'!BD$9)),MAX(MIN('Council Entry'!BD29,'Council Entry'!BD$9),'Council Entry'!BD$8),'Council Entry'!BD29))))-'Council Entry'!BD$5)/('Council Entry'!BD$6-'Council Entry'!BD$5),10*((IF('Council Entry'!BD$4="Logarithm",LN(0.001+IF(AND(ISNUMBER('Council Entry'!BD$8),ISNUMBER('Council Entry'!BD$9)),MAX(MIN('Council Entry'!BD29,'Council Entry'!BD$9),'Council Entry'!BD$8),'Council Entry'!BD29)),IF('Council Entry'!BD$4="Exponential",EXP(IF(AND(ISNUMBER('Council Entry'!BD$8),ISNUMBER('Council Entry'!BD$9)),MAX(MIN('Council Entry'!BD29,'Council Entry'!BD$9),'Council Entry'!BD$8),'Council Entry'!BD29)),IF(AND(ISNUMBER('Council Entry'!BD$8),ISNUMBER('Council Entry'!BD$9)),MAX(MIN('Council Entry'!BD29,'Council Entry'!BD$9),'Council Entry'!BD$8),'Council Entry'!BD29))))-'Council Entry'!BD$5)/('Council Entry'!BD$6-'Council Entry'!BD$5)),1))),"No data"))</f>
        <v/>
      </c>
    </row>
    <row r="30">
      <c r="A30" t="inlineStr">
        <is>
          <t>Dodoma</t>
        </is>
      </c>
      <c r="B30" t="inlineStr">
        <is>
          <t>Mpwapwa District</t>
        </is>
      </c>
      <c r="C30" t="inlineStr">
        <is>
          <t>C003</t>
        </is>
      </c>
      <c r="D30" s="13">
        <f>IF('Council Entry'!D30="","",IFERROR(MAX(0,MIN(10,ROUND(IF('Council Entry'!D$7="Decrease Risk",10-10*((IF('Council Entry'!D$4="Logarithm",LN(0.001+IF(AND(ISNUMBER('Council Entry'!D$8),ISNUMBER('Council Entry'!D$9)),MAX(MIN('Council Entry'!D30,'Council Entry'!D$9),'Council Entry'!D$8),'Council Entry'!D30)),IF('Council Entry'!D$4="Exponential",EXP(IF(AND(ISNUMBER('Council Entry'!D$8),ISNUMBER('Council Entry'!D$9)),MAX(MIN('Council Entry'!D30,'Council Entry'!D$9),'Council Entry'!D$8),'Council Entry'!D30)),IF(AND(ISNUMBER('Council Entry'!D$8),ISNUMBER('Council Entry'!D$9)),MAX(MIN('Council Entry'!D30,'Council Entry'!D$9),'Council Entry'!D$8),'Council Entry'!D30))))-'Council Entry'!D$5)/('Council Entry'!D$6-'Council Entry'!D$5),10*((IF('Council Entry'!D$4="Logarithm",LN(0.001+IF(AND(ISNUMBER('Council Entry'!D$8),ISNUMBER('Council Entry'!D$9)),MAX(MIN('Council Entry'!D30,'Council Entry'!D$9),'Council Entry'!D$8),'Council Entry'!D30)),IF('Council Entry'!D$4="Exponential",EXP(IF(AND(ISNUMBER('Council Entry'!D$8),ISNUMBER('Council Entry'!D$9)),MAX(MIN('Council Entry'!D30,'Council Entry'!D$9),'Council Entry'!D$8),'Council Entry'!D30)),IF(AND(ISNUMBER('Council Entry'!D$8),ISNUMBER('Council Entry'!D$9)),MAX(MIN('Council Entry'!D30,'Council Entry'!D$9),'Council Entry'!D$8),'Council Entry'!D30))))-'Council Entry'!D$5)/('Council Entry'!D$6-'Council Entry'!D$5)),1))),"No data"))</f>
        <v/>
      </c>
      <c r="E30" s="13">
        <f>IF('Council Entry'!E30="","",IFERROR(MAX(0,MIN(10,ROUND(IF('Council Entry'!E$7="Decrease Risk",10-10*((IF('Council Entry'!E$4="Logarithm",LN(0.001+IF(AND(ISNUMBER('Council Entry'!E$8),ISNUMBER('Council Entry'!E$9)),MAX(MIN('Council Entry'!E30,'Council Entry'!E$9),'Council Entry'!E$8),'Council Entry'!E30)),IF('Council Entry'!E$4="Exponential",EXP(IF(AND(ISNUMBER('Council Entry'!E$8),ISNUMBER('Council Entry'!E$9)),MAX(MIN('Council Entry'!E30,'Council Entry'!E$9),'Council Entry'!E$8),'Council Entry'!E30)),IF(AND(ISNUMBER('Council Entry'!E$8),ISNUMBER('Council Entry'!E$9)),MAX(MIN('Council Entry'!E30,'Council Entry'!E$9),'Council Entry'!E$8),'Council Entry'!E30))))-'Council Entry'!E$5)/('Council Entry'!E$6-'Council Entry'!E$5),10*((IF('Council Entry'!E$4="Logarithm",LN(0.001+IF(AND(ISNUMBER('Council Entry'!E$8),ISNUMBER('Council Entry'!E$9)),MAX(MIN('Council Entry'!E30,'Council Entry'!E$9),'Council Entry'!E$8),'Council Entry'!E30)),IF('Council Entry'!E$4="Exponential",EXP(IF(AND(ISNUMBER('Council Entry'!E$8),ISNUMBER('Council Entry'!E$9)),MAX(MIN('Council Entry'!E30,'Council Entry'!E$9),'Council Entry'!E$8),'Council Entry'!E30)),IF(AND(ISNUMBER('Council Entry'!E$8),ISNUMBER('Council Entry'!E$9)),MAX(MIN('Council Entry'!E30,'Council Entry'!E$9),'Council Entry'!E$8),'Council Entry'!E30))))-'Council Entry'!E$5)/('Council Entry'!E$6-'Council Entry'!E$5)),1))),"No data"))</f>
        <v/>
      </c>
      <c r="F30" s="13">
        <f>IF('Council Entry'!F30="","",IFERROR(MAX(0,MIN(10,ROUND(IF('Council Entry'!F$7="Decrease Risk",10-10*((IF('Council Entry'!F$4="Logarithm",LN(0.001+IF(AND(ISNUMBER('Council Entry'!F$8),ISNUMBER('Council Entry'!F$9)),MAX(MIN('Council Entry'!F30,'Council Entry'!F$9),'Council Entry'!F$8),'Council Entry'!F30)),IF('Council Entry'!F$4="Exponential",EXP(IF(AND(ISNUMBER('Council Entry'!F$8),ISNUMBER('Council Entry'!F$9)),MAX(MIN('Council Entry'!F30,'Council Entry'!F$9),'Council Entry'!F$8),'Council Entry'!F30)),IF(AND(ISNUMBER('Council Entry'!F$8),ISNUMBER('Council Entry'!F$9)),MAX(MIN('Council Entry'!F30,'Council Entry'!F$9),'Council Entry'!F$8),'Council Entry'!F30))))-'Council Entry'!F$5)/('Council Entry'!F$6-'Council Entry'!F$5),10*((IF('Council Entry'!F$4="Logarithm",LN(0.001+IF(AND(ISNUMBER('Council Entry'!F$8),ISNUMBER('Council Entry'!F$9)),MAX(MIN('Council Entry'!F30,'Council Entry'!F$9),'Council Entry'!F$8),'Council Entry'!F30)),IF('Council Entry'!F$4="Exponential",EXP(IF(AND(ISNUMBER('Council Entry'!F$8),ISNUMBER('Council Entry'!F$9)),MAX(MIN('Council Entry'!F30,'Council Entry'!F$9),'Council Entry'!F$8),'Council Entry'!F30)),IF(AND(ISNUMBER('Council Entry'!F$8),ISNUMBER('Council Entry'!F$9)),MAX(MIN('Council Entry'!F30,'Council Entry'!F$9),'Council Entry'!F$8),'Council Entry'!F30))))-'Council Entry'!F$5)/('Council Entry'!F$6-'Council Entry'!F$5)),1))),"No data"))</f>
        <v/>
      </c>
      <c r="G30" s="13">
        <f>IF('Council Entry'!G30="","",IFERROR(MAX(0,MIN(10,ROUND(IF('Council Entry'!G$7="Decrease Risk",10-10*((IF('Council Entry'!G$4="Logarithm",LN(0.001+IF(AND(ISNUMBER('Council Entry'!G$8),ISNUMBER('Council Entry'!G$9)),MAX(MIN('Council Entry'!G30,'Council Entry'!G$9),'Council Entry'!G$8),'Council Entry'!G30)),IF('Council Entry'!G$4="Exponential",EXP(IF(AND(ISNUMBER('Council Entry'!G$8),ISNUMBER('Council Entry'!G$9)),MAX(MIN('Council Entry'!G30,'Council Entry'!G$9),'Council Entry'!G$8),'Council Entry'!G30)),IF(AND(ISNUMBER('Council Entry'!G$8),ISNUMBER('Council Entry'!G$9)),MAX(MIN('Council Entry'!G30,'Council Entry'!G$9),'Council Entry'!G$8),'Council Entry'!G30))))-'Council Entry'!G$5)/('Council Entry'!G$6-'Council Entry'!G$5),10*((IF('Council Entry'!G$4="Logarithm",LN(0.001+IF(AND(ISNUMBER('Council Entry'!G$8),ISNUMBER('Council Entry'!G$9)),MAX(MIN('Council Entry'!G30,'Council Entry'!G$9),'Council Entry'!G$8),'Council Entry'!G30)),IF('Council Entry'!G$4="Exponential",EXP(IF(AND(ISNUMBER('Council Entry'!G$8),ISNUMBER('Council Entry'!G$9)),MAX(MIN('Council Entry'!G30,'Council Entry'!G$9),'Council Entry'!G$8),'Council Entry'!G30)),IF(AND(ISNUMBER('Council Entry'!G$8),ISNUMBER('Council Entry'!G$9)),MAX(MIN('Council Entry'!G30,'Council Entry'!G$9),'Council Entry'!G$8),'Council Entry'!G30))))-'Council Entry'!G$5)/('Council Entry'!G$6-'Council Entry'!G$5)),1))),"No data"))</f>
        <v/>
      </c>
      <c r="H30" s="13">
        <f>IF('Council Entry'!H30="","",IFERROR(MAX(0,MIN(10,ROUND(IF('Council Entry'!H$7="Decrease Risk",10-10*((IF('Council Entry'!H$4="Logarithm",LN(0.001+IF(AND(ISNUMBER('Council Entry'!H$8),ISNUMBER('Council Entry'!H$9)),MAX(MIN('Council Entry'!H30,'Council Entry'!H$9),'Council Entry'!H$8),'Council Entry'!H30)),IF('Council Entry'!H$4="Exponential",EXP(IF(AND(ISNUMBER('Council Entry'!H$8),ISNUMBER('Council Entry'!H$9)),MAX(MIN('Council Entry'!H30,'Council Entry'!H$9),'Council Entry'!H$8),'Council Entry'!H30)),IF(AND(ISNUMBER('Council Entry'!H$8),ISNUMBER('Council Entry'!H$9)),MAX(MIN('Council Entry'!H30,'Council Entry'!H$9),'Council Entry'!H$8),'Council Entry'!H30))))-'Council Entry'!H$5)/('Council Entry'!H$6-'Council Entry'!H$5),10*((IF('Council Entry'!H$4="Logarithm",LN(0.001+IF(AND(ISNUMBER('Council Entry'!H$8),ISNUMBER('Council Entry'!H$9)),MAX(MIN('Council Entry'!H30,'Council Entry'!H$9),'Council Entry'!H$8),'Council Entry'!H30)),IF('Council Entry'!H$4="Exponential",EXP(IF(AND(ISNUMBER('Council Entry'!H$8),ISNUMBER('Council Entry'!H$9)),MAX(MIN('Council Entry'!H30,'Council Entry'!H$9),'Council Entry'!H$8),'Council Entry'!H30)),IF(AND(ISNUMBER('Council Entry'!H$8),ISNUMBER('Council Entry'!H$9)),MAX(MIN('Council Entry'!H30,'Council Entry'!H$9),'Council Entry'!H$8),'Council Entry'!H30))))-'Council Entry'!H$5)/('Council Entry'!H$6-'Council Entry'!H$5)),1))),"No data"))</f>
        <v/>
      </c>
      <c r="I30" s="13">
        <f>IF('Council Entry'!I30="","",IFERROR(MAX(0,MIN(10,ROUND(IF('Council Entry'!I$7="Decrease Risk",10-10*((IF('Council Entry'!I$4="Logarithm",LN(0.001+IF(AND(ISNUMBER('Council Entry'!I$8),ISNUMBER('Council Entry'!I$9)),MAX(MIN('Council Entry'!I30,'Council Entry'!I$9),'Council Entry'!I$8),'Council Entry'!I30)),IF('Council Entry'!I$4="Exponential",EXP(IF(AND(ISNUMBER('Council Entry'!I$8),ISNUMBER('Council Entry'!I$9)),MAX(MIN('Council Entry'!I30,'Council Entry'!I$9),'Council Entry'!I$8),'Council Entry'!I30)),IF(AND(ISNUMBER('Council Entry'!I$8),ISNUMBER('Council Entry'!I$9)),MAX(MIN('Council Entry'!I30,'Council Entry'!I$9),'Council Entry'!I$8),'Council Entry'!I30))))-'Council Entry'!I$5)/('Council Entry'!I$6-'Council Entry'!I$5),10*((IF('Council Entry'!I$4="Logarithm",LN(0.001+IF(AND(ISNUMBER('Council Entry'!I$8),ISNUMBER('Council Entry'!I$9)),MAX(MIN('Council Entry'!I30,'Council Entry'!I$9),'Council Entry'!I$8),'Council Entry'!I30)),IF('Council Entry'!I$4="Exponential",EXP(IF(AND(ISNUMBER('Council Entry'!I$8),ISNUMBER('Council Entry'!I$9)),MAX(MIN('Council Entry'!I30,'Council Entry'!I$9),'Council Entry'!I$8),'Council Entry'!I30)),IF(AND(ISNUMBER('Council Entry'!I$8),ISNUMBER('Council Entry'!I$9)),MAX(MIN('Council Entry'!I30,'Council Entry'!I$9),'Council Entry'!I$8),'Council Entry'!I30))))-'Council Entry'!I$5)/('Council Entry'!I$6-'Council Entry'!I$5)),1))),"No data"))</f>
        <v/>
      </c>
      <c r="J30" s="13">
        <f>IF('Council Entry'!J30="","",IFERROR(MAX(0,MIN(10,ROUND(IF('Council Entry'!J$7="Decrease Risk",10-10*((IF('Council Entry'!J$4="Logarithm",LN(0.001+IF(AND(ISNUMBER('Council Entry'!J$8),ISNUMBER('Council Entry'!J$9)),MAX(MIN('Council Entry'!J30,'Council Entry'!J$9),'Council Entry'!J$8),'Council Entry'!J30)),IF('Council Entry'!J$4="Exponential",EXP(IF(AND(ISNUMBER('Council Entry'!J$8),ISNUMBER('Council Entry'!J$9)),MAX(MIN('Council Entry'!J30,'Council Entry'!J$9),'Council Entry'!J$8),'Council Entry'!J30)),IF(AND(ISNUMBER('Council Entry'!J$8),ISNUMBER('Council Entry'!J$9)),MAX(MIN('Council Entry'!J30,'Council Entry'!J$9),'Council Entry'!J$8),'Council Entry'!J30))))-'Council Entry'!J$5)/('Council Entry'!J$6-'Council Entry'!J$5),10*((IF('Council Entry'!J$4="Logarithm",LN(0.001+IF(AND(ISNUMBER('Council Entry'!J$8),ISNUMBER('Council Entry'!J$9)),MAX(MIN('Council Entry'!J30,'Council Entry'!J$9),'Council Entry'!J$8),'Council Entry'!J30)),IF('Council Entry'!J$4="Exponential",EXP(IF(AND(ISNUMBER('Council Entry'!J$8),ISNUMBER('Council Entry'!J$9)),MAX(MIN('Council Entry'!J30,'Council Entry'!J$9),'Council Entry'!J$8),'Council Entry'!J30)),IF(AND(ISNUMBER('Council Entry'!J$8),ISNUMBER('Council Entry'!J$9)),MAX(MIN('Council Entry'!J30,'Council Entry'!J$9),'Council Entry'!J$8),'Council Entry'!J30))))-'Council Entry'!J$5)/('Council Entry'!J$6-'Council Entry'!J$5)),1))),"No data"))</f>
        <v/>
      </c>
      <c r="K30" s="13">
        <f>IF('Council Entry'!K30="","",IFERROR(MAX(0,MIN(10,ROUND(IF('Council Entry'!K$7="Decrease Risk",10-10*((IF('Council Entry'!K$4="Logarithm",LN(0.001+IF(AND(ISNUMBER('Council Entry'!K$8),ISNUMBER('Council Entry'!K$9)),MAX(MIN('Council Entry'!K30,'Council Entry'!K$9),'Council Entry'!K$8),'Council Entry'!K30)),IF('Council Entry'!K$4="Exponential",EXP(IF(AND(ISNUMBER('Council Entry'!K$8),ISNUMBER('Council Entry'!K$9)),MAX(MIN('Council Entry'!K30,'Council Entry'!K$9),'Council Entry'!K$8),'Council Entry'!K30)),IF(AND(ISNUMBER('Council Entry'!K$8),ISNUMBER('Council Entry'!K$9)),MAX(MIN('Council Entry'!K30,'Council Entry'!K$9),'Council Entry'!K$8),'Council Entry'!K30))))-'Council Entry'!K$5)/('Council Entry'!K$6-'Council Entry'!K$5),10*((IF('Council Entry'!K$4="Logarithm",LN(0.001+IF(AND(ISNUMBER('Council Entry'!K$8),ISNUMBER('Council Entry'!K$9)),MAX(MIN('Council Entry'!K30,'Council Entry'!K$9),'Council Entry'!K$8),'Council Entry'!K30)),IF('Council Entry'!K$4="Exponential",EXP(IF(AND(ISNUMBER('Council Entry'!K$8),ISNUMBER('Council Entry'!K$9)),MAX(MIN('Council Entry'!K30,'Council Entry'!K$9),'Council Entry'!K$8),'Council Entry'!K30)),IF(AND(ISNUMBER('Council Entry'!K$8),ISNUMBER('Council Entry'!K$9)),MAX(MIN('Council Entry'!K30,'Council Entry'!K$9),'Council Entry'!K$8),'Council Entry'!K30))))-'Council Entry'!K$5)/('Council Entry'!K$6-'Council Entry'!K$5)),1))),"No data"))</f>
        <v/>
      </c>
      <c r="L30" s="13">
        <f>IF('Council Entry'!L30="","",IFERROR(MAX(0,MIN(10,ROUND(IF('Council Entry'!L$7="Decrease Risk",10-10*((IF('Council Entry'!L$4="Logarithm",LN(0.001+IF(AND(ISNUMBER('Council Entry'!L$8),ISNUMBER('Council Entry'!L$9)),MAX(MIN('Council Entry'!L30,'Council Entry'!L$9),'Council Entry'!L$8),'Council Entry'!L30)),IF('Council Entry'!L$4="Exponential",EXP(IF(AND(ISNUMBER('Council Entry'!L$8),ISNUMBER('Council Entry'!L$9)),MAX(MIN('Council Entry'!L30,'Council Entry'!L$9),'Council Entry'!L$8),'Council Entry'!L30)),IF(AND(ISNUMBER('Council Entry'!L$8),ISNUMBER('Council Entry'!L$9)),MAX(MIN('Council Entry'!L30,'Council Entry'!L$9),'Council Entry'!L$8),'Council Entry'!L30))))-'Council Entry'!L$5)/('Council Entry'!L$6-'Council Entry'!L$5),10*((IF('Council Entry'!L$4="Logarithm",LN(0.001+IF(AND(ISNUMBER('Council Entry'!L$8),ISNUMBER('Council Entry'!L$9)),MAX(MIN('Council Entry'!L30,'Council Entry'!L$9),'Council Entry'!L$8),'Council Entry'!L30)),IF('Council Entry'!L$4="Exponential",EXP(IF(AND(ISNUMBER('Council Entry'!L$8),ISNUMBER('Council Entry'!L$9)),MAX(MIN('Council Entry'!L30,'Council Entry'!L$9),'Council Entry'!L$8),'Council Entry'!L30)),IF(AND(ISNUMBER('Council Entry'!L$8),ISNUMBER('Council Entry'!L$9)),MAX(MIN('Council Entry'!L30,'Council Entry'!L$9),'Council Entry'!L$8),'Council Entry'!L30))))-'Council Entry'!L$5)/('Council Entry'!L$6-'Council Entry'!L$5)),1))),"No data"))</f>
        <v/>
      </c>
      <c r="M30" s="13">
        <f>IF('Council Entry'!M30="","",IFERROR(MAX(0,MIN(10,ROUND(IF('Council Entry'!M$7="Decrease Risk",10-10*((IF('Council Entry'!M$4="Logarithm",LN(0.001+IF(AND(ISNUMBER('Council Entry'!M$8),ISNUMBER('Council Entry'!M$9)),MAX(MIN('Council Entry'!M30,'Council Entry'!M$9),'Council Entry'!M$8),'Council Entry'!M30)),IF('Council Entry'!M$4="Exponential",EXP(IF(AND(ISNUMBER('Council Entry'!M$8),ISNUMBER('Council Entry'!M$9)),MAX(MIN('Council Entry'!M30,'Council Entry'!M$9),'Council Entry'!M$8),'Council Entry'!M30)),IF(AND(ISNUMBER('Council Entry'!M$8),ISNUMBER('Council Entry'!M$9)),MAX(MIN('Council Entry'!M30,'Council Entry'!M$9),'Council Entry'!M$8),'Council Entry'!M30))))-'Council Entry'!M$5)/('Council Entry'!M$6-'Council Entry'!M$5),10*((IF('Council Entry'!M$4="Logarithm",LN(0.001+IF(AND(ISNUMBER('Council Entry'!M$8),ISNUMBER('Council Entry'!M$9)),MAX(MIN('Council Entry'!M30,'Council Entry'!M$9),'Council Entry'!M$8),'Council Entry'!M30)),IF('Council Entry'!M$4="Exponential",EXP(IF(AND(ISNUMBER('Council Entry'!M$8),ISNUMBER('Council Entry'!M$9)),MAX(MIN('Council Entry'!M30,'Council Entry'!M$9),'Council Entry'!M$8),'Council Entry'!M30)),IF(AND(ISNUMBER('Council Entry'!M$8),ISNUMBER('Council Entry'!M$9)),MAX(MIN('Council Entry'!M30,'Council Entry'!M$9),'Council Entry'!M$8),'Council Entry'!M30))))-'Council Entry'!M$5)/('Council Entry'!M$6-'Council Entry'!M$5)),1))),"No data"))</f>
        <v/>
      </c>
      <c r="N30" s="13">
        <f>IF('Council Entry'!N30="","",IFERROR(MAX(0,MIN(10,ROUND(IF('Council Entry'!N$7="Decrease Risk",10-10*((IF('Council Entry'!N$4="Logarithm",LN(0.001+IF(AND(ISNUMBER('Council Entry'!N$8),ISNUMBER('Council Entry'!N$9)),MAX(MIN('Council Entry'!N30,'Council Entry'!N$9),'Council Entry'!N$8),'Council Entry'!N30)),IF('Council Entry'!N$4="Exponential",EXP(IF(AND(ISNUMBER('Council Entry'!N$8),ISNUMBER('Council Entry'!N$9)),MAX(MIN('Council Entry'!N30,'Council Entry'!N$9),'Council Entry'!N$8),'Council Entry'!N30)),IF(AND(ISNUMBER('Council Entry'!N$8),ISNUMBER('Council Entry'!N$9)),MAX(MIN('Council Entry'!N30,'Council Entry'!N$9),'Council Entry'!N$8),'Council Entry'!N30))))-'Council Entry'!N$5)/('Council Entry'!N$6-'Council Entry'!N$5),10*((IF('Council Entry'!N$4="Logarithm",LN(0.001+IF(AND(ISNUMBER('Council Entry'!N$8),ISNUMBER('Council Entry'!N$9)),MAX(MIN('Council Entry'!N30,'Council Entry'!N$9),'Council Entry'!N$8),'Council Entry'!N30)),IF('Council Entry'!N$4="Exponential",EXP(IF(AND(ISNUMBER('Council Entry'!N$8),ISNUMBER('Council Entry'!N$9)),MAX(MIN('Council Entry'!N30,'Council Entry'!N$9),'Council Entry'!N$8),'Council Entry'!N30)),IF(AND(ISNUMBER('Council Entry'!N$8),ISNUMBER('Council Entry'!N$9)),MAX(MIN('Council Entry'!N30,'Council Entry'!N$9),'Council Entry'!N$8),'Council Entry'!N30))))-'Council Entry'!N$5)/('Council Entry'!N$6-'Council Entry'!N$5)),1))),"No data"))</f>
        <v/>
      </c>
      <c r="O30" s="13">
        <f>IF('Council Entry'!O30="","",IFERROR(MAX(0,MIN(10,ROUND(IF('Council Entry'!O$7="Decrease Risk",10-10*((IF('Council Entry'!O$4="Logarithm",LN(0.001+IF(AND(ISNUMBER('Council Entry'!O$8),ISNUMBER('Council Entry'!O$9)),MAX(MIN('Council Entry'!O30,'Council Entry'!O$9),'Council Entry'!O$8),'Council Entry'!O30)),IF('Council Entry'!O$4="Exponential",EXP(IF(AND(ISNUMBER('Council Entry'!O$8),ISNUMBER('Council Entry'!O$9)),MAX(MIN('Council Entry'!O30,'Council Entry'!O$9),'Council Entry'!O$8),'Council Entry'!O30)),IF(AND(ISNUMBER('Council Entry'!O$8),ISNUMBER('Council Entry'!O$9)),MAX(MIN('Council Entry'!O30,'Council Entry'!O$9),'Council Entry'!O$8),'Council Entry'!O30))))-'Council Entry'!O$5)/('Council Entry'!O$6-'Council Entry'!O$5),10*((IF('Council Entry'!O$4="Logarithm",LN(0.001+IF(AND(ISNUMBER('Council Entry'!O$8),ISNUMBER('Council Entry'!O$9)),MAX(MIN('Council Entry'!O30,'Council Entry'!O$9),'Council Entry'!O$8),'Council Entry'!O30)),IF('Council Entry'!O$4="Exponential",EXP(IF(AND(ISNUMBER('Council Entry'!O$8),ISNUMBER('Council Entry'!O$9)),MAX(MIN('Council Entry'!O30,'Council Entry'!O$9),'Council Entry'!O$8),'Council Entry'!O30)),IF(AND(ISNUMBER('Council Entry'!O$8),ISNUMBER('Council Entry'!O$9)),MAX(MIN('Council Entry'!O30,'Council Entry'!O$9),'Council Entry'!O$8),'Council Entry'!O30))))-'Council Entry'!O$5)/('Council Entry'!O$6-'Council Entry'!O$5)),1))),"No data"))</f>
        <v/>
      </c>
      <c r="P30" s="13">
        <f>IF('Council Entry'!P30="","",IFERROR(MAX(0,MIN(10,ROUND(IF('Council Entry'!P$7="Decrease Risk",10-10*((IF('Council Entry'!P$4="Logarithm",LN(0.001+IF(AND(ISNUMBER('Council Entry'!P$8),ISNUMBER('Council Entry'!P$9)),MAX(MIN('Council Entry'!P30,'Council Entry'!P$9),'Council Entry'!P$8),'Council Entry'!P30)),IF('Council Entry'!P$4="Exponential",EXP(IF(AND(ISNUMBER('Council Entry'!P$8),ISNUMBER('Council Entry'!P$9)),MAX(MIN('Council Entry'!P30,'Council Entry'!P$9),'Council Entry'!P$8),'Council Entry'!P30)),IF(AND(ISNUMBER('Council Entry'!P$8),ISNUMBER('Council Entry'!P$9)),MAX(MIN('Council Entry'!P30,'Council Entry'!P$9),'Council Entry'!P$8),'Council Entry'!P30))))-'Council Entry'!P$5)/('Council Entry'!P$6-'Council Entry'!P$5),10*((IF('Council Entry'!P$4="Logarithm",LN(0.001+IF(AND(ISNUMBER('Council Entry'!P$8),ISNUMBER('Council Entry'!P$9)),MAX(MIN('Council Entry'!P30,'Council Entry'!P$9),'Council Entry'!P$8),'Council Entry'!P30)),IF('Council Entry'!P$4="Exponential",EXP(IF(AND(ISNUMBER('Council Entry'!P$8),ISNUMBER('Council Entry'!P$9)),MAX(MIN('Council Entry'!P30,'Council Entry'!P$9),'Council Entry'!P$8),'Council Entry'!P30)),IF(AND(ISNUMBER('Council Entry'!P$8),ISNUMBER('Council Entry'!P$9)),MAX(MIN('Council Entry'!P30,'Council Entry'!P$9),'Council Entry'!P$8),'Council Entry'!P30))))-'Council Entry'!P$5)/('Council Entry'!P$6-'Council Entry'!P$5)),1))),"No data"))</f>
        <v/>
      </c>
      <c r="Q30" s="13">
        <f>IF('Council Entry'!Q30="","",IFERROR(MAX(0,MIN(10,ROUND(IF('Council Entry'!Q$7="Decrease Risk",10-10*((IF('Council Entry'!Q$4="Logarithm",LN(0.001+IF(AND(ISNUMBER('Council Entry'!Q$8),ISNUMBER('Council Entry'!Q$9)),MAX(MIN('Council Entry'!Q30,'Council Entry'!Q$9),'Council Entry'!Q$8),'Council Entry'!Q30)),IF('Council Entry'!Q$4="Exponential",EXP(IF(AND(ISNUMBER('Council Entry'!Q$8),ISNUMBER('Council Entry'!Q$9)),MAX(MIN('Council Entry'!Q30,'Council Entry'!Q$9),'Council Entry'!Q$8),'Council Entry'!Q30)),IF(AND(ISNUMBER('Council Entry'!Q$8),ISNUMBER('Council Entry'!Q$9)),MAX(MIN('Council Entry'!Q30,'Council Entry'!Q$9),'Council Entry'!Q$8),'Council Entry'!Q30))))-'Council Entry'!Q$5)/('Council Entry'!Q$6-'Council Entry'!Q$5),10*((IF('Council Entry'!Q$4="Logarithm",LN(0.001+IF(AND(ISNUMBER('Council Entry'!Q$8),ISNUMBER('Council Entry'!Q$9)),MAX(MIN('Council Entry'!Q30,'Council Entry'!Q$9),'Council Entry'!Q$8),'Council Entry'!Q30)),IF('Council Entry'!Q$4="Exponential",EXP(IF(AND(ISNUMBER('Council Entry'!Q$8),ISNUMBER('Council Entry'!Q$9)),MAX(MIN('Council Entry'!Q30,'Council Entry'!Q$9),'Council Entry'!Q$8),'Council Entry'!Q30)),IF(AND(ISNUMBER('Council Entry'!Q$8),ISNUMBER('Council Entry'!Q$9)),MAX(MIN('Council Entry'!Q30,'Council Entry'!Q$9),'Council Entry'!Q$8),'Council Entry'!Q30))))-'Council Entry'!Q$5)/('Council Entry'!Q$6-'Council Entry'!Q$5)),1))),"No data"))</f>
        <v/>
      </c>
      <c r="R30" s="13">
        <f>IF('Council Entry'!R30="","",IFERROR(MAX(0,MIN(10,ROUND(IF('Council Entry'!R$7="Decrease Risk",10-10*((IF('Council Entry'!R$4="Logarithm",LN(0.001+IF(AND(ISNUMBER('Council Entry'!R$8),ISNUMBER('Council Entry'!R$9)),MAX(MIN('Council Entry'!R30,'Council Entry'!R$9),'Council Entry'!R$8),'Council Entry'!R30)),IF('Council Entry'!R$4="Exponential",EXP(IF(AND(ISNUMBER('Council Entry'!R$8),ISNUMBER('Council Entry'!R$9)),MAX(MIN('Council Entry'!R30,'Council Entry'!R$9),'Council Entry'!R$8),'Council Entry'!R30)),IF(AND(ISNUMBER('Council Entry'!R$8),ISNUMBER('Council Entry'!R$9)),MAX(MIN('Council Entry'!R30,'Council Entry'!R$9),'Council Entry'!R$8),'Council Entry'!R30))))-'Council Entry'!R$5)/('Council Entry'!R$6-'Council Entry'!R$5),10*((IF('Council Entry'!R$4="Logarithm",LN(0.001+IF(AND(ISNUMBER('Council Entry'!R$8),ISNUMBER('Council Entry'!R$9)),MAX(MIN('Council Entry'!R30,'Council Entry'!R$9),'Council Entry'!R$8),'Council Entry'!R30)),IF('Council Entry'!R$4="Exponential",EXP(IF(AND(ISNUMBER('Council Entry'!R$8),ISNUMBER('Council Entry'!R$9)),MAX(MIN('Council Entry'!R30,'Council Entry'!R$9),'Council Entry'!R$8),'Council Entry'!R30)),IF(AND(ISNUMBER('Council Entry'!R$8),ISNUMBER('Council Entry'!R$9)),MAX(MIN('Council Entry'!R30,'Council Entry'!R$9),'Council Entry'!R$8),'Council Entry'!R30))))-'Council Entry'!R$5)/('Council Entry'!R$6-'Council Entry'!R$5)),1))),"No data"))</f>
        <v/>
      </c>
      <c r="S30" s="13">
        <f>IF('Council Entry'!S30="","",IFERROR(MAX(0,MIN(10,ROUND(IF('Council Entry'!S$7="Decrease Risk",10-10*((IF('Council Entry'!S$4="Logarithm",LN(0.001+IF(AND(ISNUMBER('Council Entry'!S$8),ISNUMBER('Council Entry'!S$9)),MAX(MIN('Council Entry'!S30,'Council Entry'!S$9),'Council Entry'!S$8),'Council Entry'!S30)),IF('Council Entry'!S$4="Exponential",EXP(IF(AND(ISNUMBER('Council Entry'!S$8),ISNUMBER('Council Entry'!S$9)),MAX(MIN('Council Entry'!S30,'Council Entry'!S$9),'Council Entry'!S$8),'Council Entry'!S30)),IF(AND(ISNUMBER('Council Entry'!S$8),ISNUMBER('Council Entry'!S$9)),MAX(MIN('Council Entry'!S30,'Council Entry'!S$9),'Council Entry'!S$8),'Council Entry'!S30))))-'Council Entry'!S$5)/('Council Entry'!S$6-'Council Entry'!S$5),10*((IF('Council Entry'!S$4="Logarithm",LN(0.001+IF(AND(ISNUMBER('Council Entry'!S$8),ISNUMBER('Council Entry'!S$9)),MAX(MIN('Council Entry'!S30,'Council Entry'!S$9),'Council Entry'!S$8),'Council Entry'!S30)),IF('Council Entry'!S$4="Exponential",EXP(IF(AND(ISNUMBER('Council Entry'!S$8),ISNUMBER('Council Entry'!S$9)),MAX(MIN('Council Entry'!S30,'Council Entry'!S$9),'Council Entry'!S$8),'Council Entry'!S30)),IF(AND(ISNUMBER('Council Entry'!S$8),ISNUMBER('Council Entry'!S$9)),MAX(MIN('Council Entry'!S30,'Council Entry'!S$9),'Council Entry'!S$8),'Council Entry'!S30))))-'Council Entry'!S$5)/('Council Entry'!S$6-'Council Entry'!S$5)),1))),"No data"))</f>
        <v/>
      </c>
      <c r="T30" s="13">
        <f>IF('Council Entry'!T30="","",IFERROR(MAX(0,MIN(10,ROUND(IF('Council Entry'!T$7="Decrease Risk",10-10*((IF('Council Entry'!T$4="Logarithm",LN(0.001+IF(AND(ISNUMBER('Council Entry'!T$8),ISNUMBER('Council Entry'!T$9)),MAX(MIN('Council Entry'!T30,'Council Entry'!T$9),'Council Entry'!T$8),'Council Entry'!T30)),IF('Council Entry'!T$4="Exponential",EXP(IF(AND(ISNUMBER('Council Entry'!T$8),ISNUMBER('Council Entry'!T$9)),MAX(MIN('Council Entry'!T30,'Council Entry'!T$9),'Council Entry'!T$8),'Council Entry'!T30)),IF(AND(ISNUMBER('Council Entry'!T$8),ISNUMBER('Council Entry'!T$9)),MAX(MIN('Council Entry'!T30,'Council Entry'!T$9),'Council Entry'!T$8),'Council Entry'!T30))))-'Council Entry'!T$5)/('Council Entry'!T$6-'Council Entry'!T$5),10*((IF('Council Entry'!T$4="Logarithm",LN(0.001+IF(AND(ISNUMBER('Council Entry'!T$8),ISNUMBER('Council Entry'!T$9)),MAX(MIN('Council Entry'!T30,'Council Entry'!T$9),'Council Entry'!T$8),'Council Entry'!T30)),IF('Council Entry'!T$4="Exponential",EXP(IF(AND(ISNUMBER('Council Entry'!T$8),ISNUMBER('Council Entry'!T$9)),MAX(MIN('Council Entry'!T30,'Council Entry'!T$9),'Council Entry'!T$8),'Council Entry'!T30)),IF(AND(ISNUMBER('Council Entry'!T$8),ISNUMBER('Council Entry'!T$9)),MAX(MIN('Council Entry'!T30,'Council Entry'!T$9),'Council Entry'!T$8),'Council Entry'!T30))))-'Council Entry'!T$5)/('Council Entry'!T$6-'Council Entry'!T$5)),1))),"No data"))</f>
        <v/>
      </c>
      <c r="U30" s="13">
        <f>IF('Council Entry'!U30="","",IFERROR(MAX(0,MIN(10,ROUND(IF('Council Entry'!U$7="Decrease Risk",10-10*((IF('Council Entry'!U$4="Logarithm",LN(0.001+IF(AND(ISNUMBER('Council Entry'!U$8),ISNUMBER('Council Entry'!U$9)),MAX(MIN('Council Entry'!U30,'Council Entry'!U$9),'Council Entry'!U$8),'Council Entry'!U30)),IF('Council Entry'!U$4="Exponential",EXP(IF(AND(ISNUMBER('Council Entry'!U$8),ISNUMBER('Council Entry'!U$9)),MAX(MIN('Council Entry'!U30,'Council Entry'!U$9),'Council Entry'!U$8),'Council Entry'!U30)),IF(AND(ISNUMBER('Council Entry'!U$8),ISNUMBER('Council Entry'!U$9)),MAX(MIN('Council Entry'!U30,'Council Entry'!U$9),'Council Entry'!U$8),'Council Entry'!U30))))-'Council Entry'!U$5)/('Council Entry'!U$6-'Council Entry'!U$5),10*((IF('Council Entry'!U$4="Logarithm",LN(0.001+IF(AND(ISNUMBER('Council Entry'!U$8),ISNUMBER('Council Entry'!U$9)),MAX(MIN('Council Entry'!U30,'Council Entry'!U$9),'Council Entry'!U$8),'Council Entry'!U30)),IF('Council Entry'!U$4="Exponential",EXP(IF(AND(ISNUMBER('Council Entry'!U$8),ISNUMBER('Council Entry'!U$9)),MAX(MIN('Council Entry'!U30,'Council Entry'!U$9),'Council Entry'!U$8),'Council Entry'!U30)),IF(AND(ISNUMBER('Council Entry'!U$8),ISNUMBER('Council Entry'!U$9)),MAX(MIN('Council Entry'!U30,'Council Entry'!U$9),'Council Entry'!U$8),'Council Entry'!U30))))-'Council Entry'!U$5)/('Council Entry'!U$6-'Council Entry'!U$5)),1))),"No data"))</f>
        <v/>
      </c>
      <c r="V30" s="13">
        <f>IF('Council Entry'!V30="","",IFERROR(MAX(0,MIN(10,ROUND(IF('Council Entry'!V$7="Decrease Risk",10-10*((IF('Council Entry'!V$4="Logarithm",LN(0.001+IF(AND(ISNUMBER('Council Entry'!V$8),ISNUMBER('Council Entry'!V$9)),MAX(MIN('Council Entry'!V30,'Council Entry'!V$9),'Council Entry'!V$8),'Council Entry'!V30)),IF('Council Entry'!V$4="Exponential",EXP(IF(AND(ISNUMBER('Council Entry'!V$8),ISNUMBER('Council Entry'!V$9)),MAX(MIN('Council Entry'!V30,'Council Entry'!V$9),'Council Entry'!V$8),'Council Entry'!V30)),IF(AND(ISNUMBER('Council Entry'!V$8),ISNUMBER('Council Entry'!V$9)),MAX(MIN('Council Entry'!V30,'Council Entry'!V$9),'Council Entry'!V$8),'Council Entry'!V30))))-'Council Entry'!V$5)/('Council Entry'!V$6-'Council Entry'!V$5),10*((IF('Council Entry'!V$4="Logarithm",LN(0.001+IF(AND(ISNUMBER('Council Entry'!V$8),ISNUMBER('Council Entry'!V$9)),MAX(MIN('Council Entry'!V30,'Council Entry'!V$9),'Council Entry'!V$8),'Council Entry'!V30)),IF('Council Entry'!V$4="Exponential",EXP(IF(AND(ISNUMBER('Council Entry'!V$8),ISNUMBER('Council Entry'!V$9)),MAX(MIN('Council Entry'!V30,'Council Entry'!V$9),'Council Entry'!V$8),'Council Entry'!V30)),IF(AND(ISNUMBER('Council Entry'!V$8),ISNUMBER('Council Entry'!V$9)),MAX(MIN('Council Entry'!V30,'Council Entry'!V$9),'Council Entry'!V$8),'Council Entry'!V30))))-'Council Entry'!V$5)/('Council Entry'!V$6-'Council Entry'!V$5)),1))),"No data"))</f>
        <v/>
      </c>
      <c r="W30" s="13">
        <f>IF('Council Entry'!W30="","",IFERROR(MAX(0,MIN(10,ROUND(IF('Council Entry'!W$7="Decrease Risk",10-10*((IF('Council Entry'!W$4="Logarithm",LN(0.001+IF(AND(ISNUMBER('Council Entry'!W$8),ISNUMBER('Council Entry'!W$9)),MAX(MIN('Council Entry'!W30,'Council Entry'!W$9),'Council Entry'!W$8),'Council Entry'!W30)),IF('Council Entry'!W$4="Exponential",EXP(IF(AND(ISNUMBER('Council Entry'!W$8),ISNUMBER('Council Entry'!W$9)),MAX(MIN('Council Entry'!W30,'Council Entry'!W$9),'Council Entry'!W$8),'Council Entry'!W30)),IF(AND(ISNUMBER('Council Entry'!W$8),ISNUMBER('Council Entry'!W$9)),MAX(MIN('Council Entry'!W30,'Council Entry'!W$9),'Council Entry'!W$8),'Council Entry'!W30))))-'Council Entry'!W$5)/('Council Entry'!W$6-'Council Entry'!W$5),10*((IF('Council Entry'!W$4="Logarithm",LN(0.001+IF(AND(ISNUMBER('Council Entry'!W$8),ISNUMBER('Council Entry'!W$9)),MAX(MIN('Council Entry'!W30,'Council Entry'!W$9),'Council Entry'!W$8),'Council Entry'!W30)),IF('Council Entry'!W$4="Exponential",EXP(IF(AND(ISNUMBER('Council Entry'!W$8),ISNUMBER('Council Entry'!W$9)),MAX(MIN('Council Entry'!W30,'Council Entry'!W$9),'Council Entry'!W$8),'Council Entry'!W30)),IF(AND(ISNUMBER('Council Entry'!W$8),ISNUMBER('Council Entry'!W$9)),MAX(MIN('Council Entry'!W30,'Council Entry'!W$9),'Council Entry'!W$8),'Council Entry'!W30))))-'Council Entry'!W$5)/('Council Entry'!W$6-'Council Entry'!W$5)),1))),"No data"))</f>
        <v/>
      </c>
      <c r="X30" s="13">
        <f>IF('Council Entry'!X30="","",IFERROR(MAX(0,MIN(10,ROUND(IF('Council Entry'!X$7="Decrease Risk",10-10*((IF('Council Entry'!X$4="Logarithm",LN(0.001+IF(AND(ISNUMBER('Council Entry'!X$8),ISNUMBER('Council Entry'!X$9)),MAX(MIN('Council Entry'!X30,'Council Entry'!X$9),'Council Entry'!X$8),'Council Entry'!X30)),IF('Council Entry'!X$4="Exponential",EXP(IF(AND(ISNUMBER('Council Entry'!X$8),ISNUMBER('Council Entry'!X$9)),MAX(MIN('Council Entry'!X30,'Council Entry'!X$9),'Council Entry'!X$8),'Council Entry'!X30)),IF(AND(ISNUMBER('Council Entry'!X$8),ISNUMBER('Council Entry'!X$9)),MAX(MIN('Council Entry'!X30,'Council Entry'!X$9),'Council Entry'!X$8),'Council Entry'!X30))))-'Council Entry'!X$5)/('Council Entry'!X$6-'Council Entry'!X$5),10*((IF('Council Entry'!X$4="Logarithm",LN(0.001+IF(AND(ISNUMBER('Council Entry'!X$8),ISNUMBER('Council Entry'!X$9)),MAX(MIN('Council Entry'!X30,'Council Entry'!X$9),'Council Entry'!X$8),'Council Entry'!X30)),IF('Council Entry'!X$4="Exponential",EXP(IF(AND(ISNUMBER('Council Entry'!X$8),ISNUMBER('Council Entry'!X$9)),MAX(MIN('Council Entry'!X30,'Council Entry'!X$9),'Council Entry'!X$8),'Council Entry'!X30)),IF(AND(ISNUMBER('Council Entry'!X$8),ISNUMBER('Council Entry'!X$9)),MAX(MIN('Council Entry'!X30,'Council Entry'!X$9),'Council Entry'!X$8),'Council Entry'!X30))))-'Council Entry'!X$5)/('Council Entry'!X$6-'Council Entry'!X$5)),1))),"No data"))</f>
        <v/>
      </c>
      <c r="Y30" s="13">
        <f>IF('Council Entry'!Y30="","",IFERROR(MAX(0,MIN(10,ROUND(IF('Council Entry'!Y$7="Decrease Risk",10-10*((IF('Council Entry'!Y$4="Logarithm",LN(0.001+IF(AND(ISNUMBER('Council Entry'!Y$8),ISNUMBER('Council Entry'!Y$9)),MAX(MIN('Council Entry'!Y30,'Council Entry'!Y$9),'Council Entry'!Y$8),'Council Entry'!Y30)),IF('Council Entry'!Y$4="Exponential",EXP(IF(AND(ISNUMBER('Council Entry'!Y$8),ISNUMBER('Council Entry'!Y$9)),MAX(MIN('Council Entry'!Y30,'Council Entry'!Y$9),'Council Entry'!Y$8),'Council Entry'!Y30)),IF(AND(ISNUMBER('Council Entry'!Y$8),ISNUMBER('Council Entry'!Y$9)),MAX(MIN('Council Entry'!Y30,'Council Entry'!Y$9),'Council Entry'!Y$8),'Council Entry'!Y30))))-'Council Entry'!Y$5)/('Council Entry'!Y$6-'Council Entry'!Y$5),10*((IF('Council Entry'!Y$4="Logarithm",LN(0.001+IF(AND(ISNUMBER('Council Entry'!Y$8),ISNUMBER('Council Entry'!Y$9)),MAX(MIN('Council Entry'!Y30,'Council Entry'!Y$9),'Council Entry'!Y$8),'Council Entry'!Y30)),IF('Council Entry'!Y$4="Exponential",EXP(IF(AND(ISNUMBER('Council Entry'!Y$8),ISNUMBER('Council Entry'!Y$9)),MAX(MIN('Council Entry'!Y30,'Council Entry'!Y$9),'Council Entry'!Y$8),'Council Entry'!Y30)),IF(AND(ISNUMBER('Council Entry'!Y$8),ISNUMBER('Council Entry'!Y$9)),MAX(MIN('Council Entry'!Y30,'Council Entry'!Y$9),'Council Entry'!Y$8),'Council Entry'!Y30))))-'Council Entry'!Y$5)/('Council Entry'!Y$6-'Council Entry'!Y$5)),1))),"No data"))</f>
        <v/>
      </c>
      <c r="Z30" s="13">
        <f>IF('Council Entry'!Z30="","",IFERROR(MAX(0,MIN(10,ROUND(IF('Council Entry'!Z$7="Decrease Risk",10-10*((IF('Council Entry'!Z$4="Logarithm",LN(0.001+IF(AND(ISNUMBER('Council Entry'!Z$8),ISNUMBER('Council Entry'!Z$9)),MAX(MIN('Council Entry'!Z30,'Council Entry'!Z$9),'Council Entry'!Z$8),'Council Entry'!Z30)),IF('Council Entry'!Z$4="Exponential",EXP(IF(AND(ISNUMBER('Council Entry'!Z$8),ISNUMBER('Council Entry'!Z$9)),MAX(MIN('Council Entry'!Z30,'Council Entry'!Z$9),'Council Entry'!Z$8),'Council Entry'!Z30)),IF(AND(ISNUMBER('Council Entry'!Z$8),ISNUMBER('Council Entry'!Z$9)),MAX(MIN('Council Entry'!Z30,'Council Entry'!Z$9),'Council Entry'!Z$8),'Council Entry'!Z30))))-'Council Entry'!Z$5)/('Council Entry'!Z$6-'Council Entry'!Z$5),10*((IF('Council Entry'!Z$4="Logarithm",LN(0.001+IF(AND(ISNUMBER('Council Entry'!Z$8),ISNUMBER('Council Entry'!Z$9)),MAX(MIN('Council Entry'!Z30,'Council Entry'!Z$9),'Council Entry'!Z$8),'Council Entry'!Z30)),IF('Council Entry'!Z$4="Exponential",EXP(IF(AND(ISNUMBER('Council Entry'!Z$8),ISNUMBER('Council Entry'!Z$9)),MAX(MIN('Council Entry'!Z30,'Council Entry'!Z$9),'Council Entry'!Z$8),'Council Entry'!Z30)),IF(AND(ISNUMBER('Council Entry'!Z$8),ISNUMBER('Council Entry'!Z$9)),MAX(MIN('Council Entry'!Z30,'Council Entry'!Z$9),'Council Entry'!Z$8),'Council Entry'!Z30))))-'Council Entry'!Z$5)/('Council Entry'!Z$6-'Council Entry'!Z$5)),1))),"No data"))</f>
        <v/>
      </c>
      <c r="AA30" s="13">
        <f>IF('Council Entry'!AA30="","",IFERROR(MAX(0,MIN(10,ROUND(IF('Council Entry'!AA$7="Decrease Risk",10-10*((IF('Council Entry'!AA$4="Logarithm",LN(0.001+IF(AND(ISNUMBER('Council Entry'!AA$8),ISNUMBER('Council Entry'!AA$9)),MAX(MIN('Council Entry'!AA30,'Council Entry'!AA$9),'Council Entry'!AA$8),'Council Entry'!AA30)),IF('Council Entry'!AA$4="Exponential",EXP(IF(AND(ISNUMBER('Council Entry'!AA$8),ISNUMBER('Council Entry'!AA$9)),MAX(MIN('Council Entry'!AA30,'Council Entry'!AA$9),'Council Entry'!AA$8),'Council Entry'!AA30)),IF(AND(ISNUMBER('Council Entry'!AA$8),ISNUMBER('Council Entry'!AA$9)),MAX(MIN('Council Entry'!AA30,'Council Entry'!AA$9),'Council Entry'!AA$8),'Council Entry'!AA30))))-'Council Entry'!AA$5)/('Council Entry'!AA$6-'Council Entry'!AA$5),10*((IF('Council Entry'!AA$4="Logarithm",LN(0.001+IF(AND(ISNUMBER('Council Entry'!AA$8),ISNUMBER('Council Entry'!AA$9)),MAX(MIN('Council Entry'!AA30,'Council Entry'!AA$9),'Council Entry'!AA$8),'Council Entry'!AA30)),IF('Council Entry'!AA$4="Exponential",EXP(IF(AND(ISNUMBER('Council Entry'!AA$8),ISNUMBER('Council Entry'!AA$9)),MAX(MIN('Council Entry'!AA30,'Council Entry'!AA$9),'Council Entry'!AA$8),'Council Entry'!AA30)),IF(AND(ISNUMBER('Council Entry'!AA$8),ISNUMBER('Council Entry'!AA$9)),MAX(MIN('Council Entry'!AA30,'Council Entry'!AA$9),'Council Entry'!AA$8),'Council Entry'!AA30))))-'Council Entry'!AA$5)/('Council Entry'!AA$6-'Council Entry'!AA$5)),1))),"No data"))</f>
        <v/>
      </c>
      <c r="AB30" s="13">
        <f>IF('Council Entry'!AB30="","",IFERROR(MAX(0,MIN(10,ROUND(IF('Council Entry'!AB$7="Decrease Risk",10-10*((IF('Council Entry'!AB$4="Logarithm",LN(0.001+IF(AND(ISNUMBER('Council Entry'!AB$8),ISNUMBER('Council Entry'!AB$9)),MAX(MIN('Council Entry'!AB30,'Council Entry'!AB$9),'Council Entry'!AB$8),'Council Entry'!AB30)),IF('Council Entry'!AB$4="Exponential",EXP(IF(AND(ISNUMBER('Council Entry'!AB$8),ISNUMBER('Council Entry'!AB$9)),MAX(MIN('Council Entry'!AB30,'Council Entry'!AB$9),'Council Entry'!AB$8),'Council Entry'!AB30)),IF(AND(ISNUMBER('Council Entry'!AB$8),ISNUMBER('Council Entry'!AB$9)),MAX(MIN('Council Entry'!AB30,'Council Entry'!AB$9),'Council Entry'!AB$8),'Council Entry'!AB30))))-'Council Entry'!AB$5)/('Council Entry'!AB$6-'Council Entry'!AB$5),10*((IF('Council Entry'!AB$4="Logarithm",LN(0.001+IF(AND(ISNUMBER('Council Entry'!AB$8),ISNUMBER('Council Entry'!AB$9)),MAX(MIN('Council Entry'!AB30,'Council Entry'!AB$9),'Council Entry'!AB$8),'Council Entry'!AB30)),IF('Council Entry'!AB$4="Exponential",EXP(IF(AND(ISNUMBER('Council Entry'!AB$8),ISNUMBER('Council Entry'!AB$9)),MAX(MIN('Council Entry'!AB30,'Council Entry'!AB$9),'Council Entry'!AB$8),'Council Entry'!AB30)),IF(AND(ISNUMBER('Council Entry'!AB$8),ISNUMBER('Council Entry'!AB$9)),MAX(MIN('Council Entry'!AB30,'Council Entry'!AB$9),'Council Entry'!AB$8),'Council Entry'!AB30))))-'Council Entry'!AB$5)/('Council Entry'!AB$6-'Council Entry'!AB$5)),1))),"No data"))</f>
        <v/>
      </c>
      <c r="AC30" s="13">
        <f>IF('Council Entry'!AC30="","",IFERROR(MAX(0,MIN(10,ROUND(IF('Council Entry'!AC$7="Decrease Risk",10-10*((IF('Council Entry'!AC$4="Logarithm",LN(0.001+IF(AND(ISNUMBER('Council Entry'!AC$8),ISNUMBER('Council Entry'!AC$9)),MAX(MIN('Council Entry'!AC30,'Council Entry'!AC$9),'Council Entry'!AC$8),'Council Entry'!AC30)),IF('Council Entry'!AC$4="Exponential",EXP(IF(AND(ISNUMBER('Council Entry'!AC$8),ISNUMBER('Council Entry'!AC$9)),MAX(MIN('Council Entry'!AC30,'Council Entry'!AC$9),'Council Entry'!AC$8),'Council Entry'!AC30)),IF(AND(ISNUMBER('Council Entry'!AC$8),ISNUMBER('Council Entry'!AC$9)),MAX(MIN('Council Entry'!AC30,'Council Entry'!AC$9),'Council Entry'!AC$8),'Council Entry'!AC30))))-'Council Entry'!AC$5)/('Council Entry'!AC$6-'Council Entry'!AC$5),10*((IF('Council Entry'!AC$4="Logarithm",LN(0.001+IF(AND(ISNUMBER('Council Entry'!AC$8),ISNUMBER('Council Entry'!AC$9)),MAX(MIN('Council Entry'!AC30,'Council Entry'!AC$9),'Council Entry'!AC$8),'Council Entry'!AC30)),IF('Council Entry'!AC$4="Exponential",EXP(IF(AND(ISNUMBER('Council Entry'!AC$8),ISNUMBER('Council Entry'!AC$9)),MAX(MIN('Council Entry'!AC30,'Council Entry'!AC$9),'Council Entry'!AC$8),'Council Entry'!AC30)),IF(AND(ISNUMBER('Council Entry'!AC$8),ISNUMBER('Council Entry'!AC$9)),MAX(MIN('Council Entry'!AC30,'Council Entry'!AC$9),'Council Entry'!AC$8),'Council Entry'!AC30))))-'Council Entry'!AC$5)/('Council Entry'!AC$6-'Council Entry'!AC$5)),1))),"No data"))</f>
        <v/>
      </c>
      <c r="AD30" s="13">
        <f>IF('Council Entry'!AD30="","",IFERROR(MAX(0,MIN(10,ROUND(IF('Council Entry'!AD$7="Decrease Risk",10-10*((IF('Council Entry'!AD$4="Logarithm",LN(0.001+IF(AND(ISNUMBER('Council Entry'!AD$8),ISNUMBER('Council Entry'!AD$9)),MAX(MIN('Council Entry'!AD30,'Council Entry'!AD$9),'Council Entry'!AD$8),'Council Entry'!AD30)),IF('Council Entry'!AD$4="Exponential",EXP(IF(AND(ISNUMBER('Council Entry'!AD$8),ISNUMBER('Council Entry'!AD$9)),MAX(MIN('Council Entry'!AD30,'Council Entry'!AD$9),'Council Entry'!AD$8),'Council Entry'!AD30)),IF(AND(ISNUMBER('Council Entry'!AD$8),ISNUMBER('Council Entry'!AD$9)),MAX(MIN('Council Entry'!AD30,'Council Entry'!AD$9),'Council Entry'!AD$8),'Council Entry'!AD30))))-'Council Entry'!AD$5)/('Council Entry'!AD$6-'Council Entry'!AD$5),10*((IF('Council Entry'!AD$4="Logarithm",LN(0.001+IF(AND(ISNUMBER('Council Entry'!AD$8),ISNUMBER('Council Entry'!AD$9)),MAX(MIN('Council Entry'!AD30,'Council Entry'!AD$9),'Council Entry'!AD$8),'Council Entry'!AD30)),IF('Council Entry'!AD$4="Exponential",EXP(IF(AND(ISNUMBER('Council Entry'!AD$8),ISNUMBER('Council Entry'!AD$9)),MAX(MIN('Council Entry'!AD30,'Council Entry'!AD$9),'Council Entry'!AD$8),'Council Entry'!AD30)),IF(AND(ISNUMBER('Council Entry'!AD$8),ISNUMBER('Council Entry'!AD$9)),MAX(MIN('Council Entry'!AD30,'Council Entry'!AD$9),'Council Entry'!AD$8),'Council Entry'!AD30))))-'Council Entry'!AD$5)/('Council Entry'!AD$6-'Council Entry'!AD$5)),1))),"No data"))</f>
        <v/>
      </c>
      <c r="AE30" s="13">
        <f>IF('Council Entry'!AE30="","",IFERROR(MAX(0,MIN(10,ROUND(IF('Council Entry'!AE$7="Decrease Risk",10-10*((IF('Council Entry'!AE$4="Logarithm",LN(0.001+IF(AND(ISNUMBER('Council Entry'!AE$8),ISNUMBER('Council Entry'!AE$9)),MAX(MIN('Council Entry'!AE30,'Council Entry'!AE$9),'Council Entry'!AE$8),'Council Entry'!AE30)),IF('Council Entry'!AE$4="Exponential",EXP(IF(AND(ISNUMBER('Council Entry'!AE$8),ISNUMBER('Council Entry'!AE$9)),MAX(MIN('Council Entry'!AE30,'Council Entry'!AE$9),'Council Entry'!AE$8),'Council Entry'!AE30)),IF(AND(ISNUMBER('Council Entry'!AE$8),ISNUMBER('Council Entry'!AE$9)),MAX(MIN('Council Entry'!AE30,'Council Entry'!AE$9),'Council Entry'!AE$8),'Council Entry'!AE30))))-'Council Entry'!AE$5)/('Council Entry'!AE$6-'Council Entry'!AE$5),10*((IF('Council Entry'!AE$4="Logarithm",LN(0.001+IF(AND(ISNUMBER('Council Entry'!AE$8),ISNUMBER('Council Entry'!AE$9)),MAX(MIN('Council Entry'!AE30,'Council Entry'!AE$9),'Council Entry'!AE$8),'Council Entry'!AE30)),IF('Council Entry'!AE$4="Exponential",EXP(IF(AND(ISNUMBER('Council Entry'!AE$8),ISNUMBER('Council Entry'!AE$9)),MAX(MIN('Council Entry'!AE30,'Council Entry'!AE$9),'Council Entry'!AE$8),'Council Entry'!AE30)),IF(AND(ISNUMBER('Council Entry'!AE$8),ISNUMBER('Council Entry'!AE$9)),MAX(MIN('Council Entry'!AE30,'Council Entry'!AE$9),'Council Entry'!AE$8),'Council Entry'!AE30))))-'Council Entry'!AE$5)/('Council Entry'!AE$6-'Council Entry'!AE$5)),1))),"No data"))</f>
        <v/>
      </c>
      <c r="AF30" s="13">
        <f>IF('Council Entry'!AF30="","",IFERROR(MAX(0,MIN(10,ROUND(IF('Council Entry'!AF$7="Decrease Risk",10-10*((IF('Council Entry'!AF$4="Logarithm",LN(0.001+IF(AND(ISNUMBER('Council Entry'!AF$8),ISNUMBER('Council Entry'!AF$9)),MAX(MIN('Council Entry'!AF30,'Council Entry'!AF$9),'Council Entry'!AF$8),'Council Entry'!AF30)),IF('Council Entry'!AF$4="Exponential",EXP(IF(AND(ISNUMBER('Council Entry'!AF$8),ISNUMBER('Council Entry'!AF$9)),MAX(MIN('Council Entry'!AF30,'Council Entry'!AF$9),'Council Entry'!AF$8),'Council Entry'!AF30)),IF(AND(ISNUMBER('Council Entry'!AF$8),ISNUMBER('Council Entry'!AF$9)),MAX(MIN('Council Entry'!AF30,'Council Entry'!AF$9),'Council Entry'!AF$8),'Council Entry'!AF30))))-'Council Entry'!AF$5)/('Council Entry'!AF$6-'Council Entry'!AF$5),10*((IF('Council Entry'!AF$4="Logarithm",LN(0.001+IF(AND(ISNUMBER('Council Entry'!AF$8),ISNUMBER('Council Entry'!AF$9)),MAX(MIN('Council Entry'!AF30,'Council Entry'!AF$9),'Council Entry'!AF$8),'Council Entry'!AF30)),IF('Council Entry'!AF$4="Exponential",EXP(IF(AND(ISNUMBER('Council Entry'!AF$8),ISNUMBER('Council Entry'!AF$9)),MAX(MIN('Council Entry'!AF30,'Council Entry'!AF$9),'Council Entry'!AF$8),'Council Entry'!AF30)),IF(AND(ISNUMBER('Council Entry'!AF$8),ISNUMBER('Council Entry'!AF$9)),MAX(MIN('Council Entry'!AF30,'Council Entry'!AF$9),'Council Entry'!AF$8),'Council Entry'!AF30))))-'Council Entry'!AF$5)/('Council Entry'!AF$6-'Council Entry'!AF$5)),1))),"No data"))</f>
        <v/>
      </c>
      <c r="AG30" s="13">
        <f>IF('Council Entry'!AG30="","",IFERROR(MAX(0,MIN(10,ROUND(IF('Council Entry'!AG$7="Decrease Risk",10-10*((IF('Council Entry'!AG$4="Logarithm",LN(0.001+IF(AND(ISNUMBER('Council Entry'!AG$8),ISNUMBER('Council Entry'!AG$9)),MAX(MIN('Council Entry'!AG30,'Council Entry'!AG$9),'Council Entry'!AG$8),'Council Entry'!AG30)),IF('Council Entry'!AG$4="Exponential",EXP(IF(AND(ISNUMBER('Council Entry'!AG$8),ISNUMBER('Council Entry'!AG$9)),MAX(MIN('Council Entry'!AG30,'Council Entry'!AG$9),'Council Entry'!AG$8),'Council Entry'!AG30)),IF(AND(ISNUMBER('Council Entry'!AG$8),ISNUMBER('Council Entry'!AG$9)),MAX(MIN('Council Entry'!AG30,'Council Entry'!AG$9),'Council Entry'!AG$8),'Council Entry'!AG30))))-'Council Entry'!AG$5)/('Council Entry'!AG$6-'Council Entry'!AG$5),10*((IF('Council Entry'!AG$4="Logarithm",LN(0.001+IF(AND(ISNUMBER('Council Entry'!AG$8),ISNUMBER('Council Entry'!AG$9)),MAX(MIN('Council Entry'!AG30,'Council Entry'!AG$9),'Council Entry'!AG$8),'Council Entry'!AG30)),IF('Council Entry'!AG$4="Exponential",EXP(IF(AND(ISNUMBER('Council Entry'!AG$8),ISNUMBER('Council Entry'!AG$9)),MAX(MIN('Council Entry'!AG30,'Council Entry'!AG$9),'Council Entry'!AG$8),'Council Entry'!AG30)),IF(AND(ISNUMBER('Council Entry'!AG$8),ISNUMBER('Council Entry'!AG$9)),MAX(MIN('Council Entry'!AG30,'Council Entry'!AG$9),'Council Entry'!AG$8),'Council Entry'!AG30))))-'Council Entry'!AG$5)/('Council Entry'!AG$6-'Council Entry'!AG$5)),1))),"No data"))</f>
        <v/>
      </c>
      <c r="AH30" s="13">
        <f>IF('Council Entry'!AH30="","",IFERROR(MAX(0,MIN(10,ROUND(IF('Council Entry'!AH$7="Decrease Risk",10-10*((IF('Council Entry'!AH$4="Logarithm",LN(0.001+IF(AND(ISNUMBER('Council Entry'!AH$8),ISNUMBER('Council Entry'!AH$9)),MAX(MIN('Council Entry'!AH30,'Council Entry'!AH$9),'Council Entry'!AH$8),'Council Entry'!AH30)),IF('Council Entry'!AH$4="Exponential",EXP(IF(AND(ISNUMBER('Council Entry'!AH$8),ISNUMBER('Council Entry'!AH$9)),MAX(MIN('Council Entry'!AH30,'Council Entry'!AH$9),'Council Entry'!AH$8),'Council Entry'!AH30)),IF(AND(ISNUMBER('Council Entry'!AH$8),ISNUMBER('Council Entry'!AH$9)),MAX(MIN('Council Entry'!AH30,'Council Entry'!AH$9),'Council Entry'!AH$8),'Council Entry'!AH30))))-'Council Entry'!AH$5)/('Council Entry'!AH$6-'Council Entry'!AH$5),10*((IF('Council Entry'!AH$4="Logarithm",LN(0.001+IF(AND(ISNUMBER('Council Entry'!AH$8),ISNUMBER('Council Entry'!AH$9)),MAX(MIN('Council Entry'!AH30,'Council Entry'!AH$9),'Council Entry'!AH$8),'Council Entry'!AH30)),IF('Council Entry'!AH$4="Exponential",EXP(IF(AND(ISNUMBER('Council Entry'!AH$8),ISNUMBER('Council Entry'!AH$9)),MAX(MIN('Council Entry'!AH30,'Council Entry'!AH$9),'Council Entry'!AH$8),'Council Entry'!AH30)),IF(AND(ISNUMBER('Council Entry'!AH$8),ISNUMBER('Council Entry'!AH$9)),MAX(MIN('Council Entry'!AH30,'Council Entry'!AH$9),'Council Entry'!AH$8),'Council Entry'!AH30))))-'Council Entry'!AH$5)/('Council Entry'!AH$6-'Council Entry'!AH$5)),1))),"No data"))</f>
        <v/>
      </c>
      <c r="AI30" s="13">
        <f>IF('Council Entry'!AI30="","",IFERROR(MAX(0,MIN(10,ROUND(IF('Council Entry'!AI$7="Decrease Risk",10-10*((IF('Council Entry'!AI$4="Logarithm",LN(0.001+IF(AND(ISNUMBER('Council Entry'!AI$8),ISNUMBER('Council Entry'!AI$9)),MAX(MIN('Council Entry'!AI30,'Council Entry'!AI$9),'Council Entry'!AI$8),'Council Entry'!AI30)),IF('Council Entry'!AI$4="Exponential",EXP(IF(AND(ISNUMBER('Council Entry'!AI$8),ISNUMBER('Council Entry'!AI$9)),MAX(MIN('Council Entry'!AI30,'Council Entry'!AI$9),'Council Entry'!AI$8),'Council Entry'!AI30)),IF(AND(ISNUMBER('Council Entry'!AI$8),ISNUMBER('Council Entry'!AI$9)),MAX(MIN('Council Entry'!AI30,'Council Entry'!AI$9),'Council Entry'!AI$8),'Council Entry'!AI30))))-'Council Entry'!AI$5)/('Council Entry'!AI$6-'Council Entry'!AI$5),10*((IF('Council Entry'!AI$4="Logarithm",LN(0.001+IF(AND(ISNUMBER('Council Entry'!AI$8),ISNUMBER('Council Entry'!AI$9)),MAX(MIN('Council Entry'!AI30,'Council Entry'!AI$9),'Council Entry'!AI$8),'Council Entry'!AI30)),IF('Council Entry'!AI$4="Exponential",EXP(IF(AND(ISNUMBER('Council Entry'!AI$8),ISNUMBER('Council Entry'!AI$9)),MAX(MIN('Council Entry'!AI30,'Council Entry'!AI$9),'Council Entry'!AI$8),'Council Entry'!AI30)),IF(AND(ISNUMBER('Council Entry'!AI$8),ISNUMBER('Council Entry'!AI$9)),MAX(MIN('Council Entry'!AI30,'Council Entry'!AI$9),'Council Entry'!AI$8),'Council Entry'!AI30))))-'Council Entry'!AI$5)/('Council Entry'!AI$6-'Council Entry'!AI$5)),1))),"No data"))</f>
        <v/>
      </c>
      <c r="AJ30" s="13">
        <f>IF('Council Entry'!AJ30="","",IFERROR(MAX(0,MIN(10,ROUND(IF('Council Entry'!AJ$7="Decrease Risk",10-10*((IF('Council Entry'!AJ$4="Logarithm",LN(0.001+IF(AND(ISNUMBER('Council Entry'!AJ$8),ISNUMBER('Council Entry'!AJ$9)),MAX(MIN('Council Entry'!AJ30,'Council Entry'!AJ$9),'Council Entry'!AJ$8),'Council Entry'!AJ30)),IF('Council Entry'!AJ$4="Exponential",EXP(IF(AND(ISNUMBER('Council Entry'!AJ$8),ISNUMBER('Council Entry'!AJ$9)),MAX(MIN('Council Entry'!AJ30,'Council Entry'!AJ$9),'Council Entry'!AJ$8),'Council Entry'!AJ30)),IF(AND(ISNUMBER('Council Entry'!AJ$8),ISNUMBER('Council Entry'!AJ$9)),MAX(MIN('Council Entry'!AJ30,'Council Entry'!AJ$9),'Council Entry'!AJ$8),'Council Entry'!AJ30))))-'Council Entry'!AJ$5)/('Council Entry'!AJ$6-'Council Entry'!AJ$5),10*((IF('Council Entry'!AJ$4="Logarithm",LN(0.001+IF(AND(ISNUMBER('Council Entry'!AJ$8),ISNUMBER('Council Entry'!AJ$9)),MAX(MIN('Council Entry'!AJ30,'Council Entry'!AJ$9),'Council Entry'!AJ$8),'Council Entry'!AJ30)),IF('Council Entry'!AJ$4="Exponential",EXP(IF(AND(ISNUMBER('Council Entry'!AJ$8),ISNUMBER('Council Entry'!AJ$9)),MAX(MIN('Council Entry'!AJ30,'Council Entry'!AJ$9),'Council Entry'!AJ$8),'Council Entry'!AJ30)),IF(AND(ISNUMBER('Council Entry'!AJ$8),ISNUMBER('Council Entry'!AJ$9)),MAX(MIN('Council Entry'!AJ30,'Council Entry'!AJ$9),'Council Entry'!AJ$8),'Council Entry'!AJ30))))-'Council Entry'!AJ$5)/('Council Entry'!AJ$6-'Council Entry'!AJ$5)),1))),"No data"))</f>
        <v/>
      </c>
      <c r="AK30" s="13">
        <f>IF('Council Entry'!AK30="","",IFERROR(MAX(0,MIN(10,ROUND(IF('Council Entry'!AK$7="Decrease Risk",10-10*((IF('Council Entry'!AK$4="Logarithm",LN(0.001+IF(AND(ISNUMBER('Council Entry'!AK$8),ISNUMBER('Council Entry'!AK$9)),MAX(MIN('Council Entry'!AK30,'Council Entry'!AK$9),'Council Entry'!AK$8),'Council Entry'!AK30)),IF('Council Entry'!AK$4="Exponential",EXP(IF(AND(ISNUMBER('Council Entry'!AK$8),ISNUMBER('Council Entry'!AK$9)),MAX(MIN('Council Entry'!AK30,'Council Entry'!AK$9),'Council Entry'!AK$8),'Council Entry'!AK30)),IF(AND(ISNUMBER('Council Entry'!AK$8),ISNUMBER('Council Entry'!AK$9)),MAX(MIN('Council Entry'!AK30,'Council Entry'!AK$9),'Council Entry'!AK$8),'Council Entry'!AK30))))-'Council Entry'!AK$5)/('Council Entry'!AK$6-'Council Entry'!AK$5),10*((IF('Council Entry'!AK$4="Logarithm",LN(0.001+IF(AND(ISNUMBER('Council Entry'!AK$8),ISNUMBER('Council Entry'!AK$9)),MAX(MIN('Council Entry'!AK30,'Council Entry'!AK$9),'Council Entry'!AK$8),'Council Entry'!AK30)),IF('Council Entry'!AK$4="Exponential",EXP(IF(AND(ISNUMBER('Council Entry'!AK$8),ISNUMBER('Council Entry'!AK$9)),MAX(MIN('Council Entry'!AK30,'Council Entry'!AK$9),'Council Entry'!AK$8),'Council Entry'!AK30)),IF(AND(ISNUMBER('Council Entry'!AK$8),ISNUMBER('Council Entry'!AK$9)),MAX(MIN('Council Entry'!AK30,'Council Entry'!AK$9),'Council Entry'!AK$8),'Council Entry'!AK30))))-'Council Entry'!AK$5)/('Council Entry'!AK$6-'Council Entry'!AK$5)),1))),"No data"))</f>
        <v/>
      </c>
      <c r="AL30" s="13">
        <f>IF('Council Entry'!AL30="","",IFERROR(MAX(0,MIN(10,ROUND(IF('Council Entry'!AL$7="Decrease Risk",10-10*((IF('Council Entry'!AL$4="Logarithm",LN(0.001+IF(AND(ISNUMBER('Council Entry'!AL$8),ISNUMBER('Council Entry'!AL$9)),MAX(MIN('Council Entry'!AL30,'Council Entry'!AL$9),'Council Entry'!AL$8),'Council Entry'!AL30)),IF('Council Entry'!AL$4="Exponential",EXP(IF(AND(ISNUMBER('Council Entry'!AL$8),ISNUMBER('Council Entry'!AL$9)),MAX(MIN('Council Entry'!AL30,'Council Entry'!AL$9),'Council Entry'!AL$8),'Council Entry'!AL30)),IF(AND(ISNUMBER('Council Entry'!AL$8),ISNUMBER('Council Entry'!AL$9)),MAX(MIN('Council Entry'!AL30,'Council Entry'!AL$9),'Council Entry'!AL$8),'Council Entry'!AL30))))-'Council Entry'!AL$5)/('Council Entry'!AL$6-'Council Entry'!AL$5),10*((IF('Council Entry'!AL$4="Logarithm",LN(0.001+IF(AND(ISNUMBER('Council Entry'!AL$8),ISNUMBER('Council Entry'!AL$9)),MAX(MIN('Council Entry'!AL30,'Council Entry'!AL$9),'Council Entry'!AL$8),'Council Entry'!AL30)),IF('Council Entry'!AL$4="Exponential",EXP(IF(AND(ISNUMBER('Council Entry'!AL$8),ISNUMBER('Council Entry'!AL$9)),MAX(MIN('Council Entry'!AL30,'Council Entry'!AL$9),'Council Entry'!AL$8),'Council Entry'!AL30)),IF(AND(ISNUMBER('Council Entry'!AL$8),ISNUMBER('Council Entry'!AL$9)),MAX(MIN('Council Entry'!AL30,'Council Entry'!AL$9),'Council Entry'!AL$8),'Council Entry'!AL30))))-'Council Entry'!AL$5)/('Council Entry'!AL$6-'Council Entry'!AL$5)),1))),"No data"))</f>
        <v/>
      </c>
      <c r="AM30" s="13">
        <f>IF('Council Entry'!AM30="","",IFERROR(MAX(0,MIN(10,ROUND(IF('Council Entry'!AM$7="Decrease Risk",10-10*((IF('Council Entry'!AM$4="Logarithm",LN(0.001+IF(AND(ISNUMBER('Council Entry'!AM$8),ISNUMBER('Council Entry'!AM$9)),MAX(MIN('Council Entry'!AM30,'Council Entry'!AM$9),'Council Entry'!AM$8),'Council Entry'!AM30)),IF('Council Entry'!AM$4="Exponential",EXP(IF(AND(ISNUMBER('Council Entry'!AM$8),ISNUMBER('Council Entry'!AM$9)),MAX(MIN('Council Entry'!AM30,'Council Entry'!AM$9),'Council Entry'!AM$8),'Council Entry'!AM30)),IF(AND(ISNUMBER('Council Entry'!AM$8),ISNUMBER('Council Entry'!AM$9)),MAX(MIN('Council Entry'!AM30,'Council Entry'!AM$9),'Council Entry'!AM$8),'Council Entry'!AM30))))-'Council Entry'!AM$5)/('Council Entry'!AM$6-'Council Entry'!AM$5),10*((IF('Council Entry'!AM$4="Logarithm",LN(0.001+IF(AND(ISNUMBER('Council Entry'!AM$8),ISNUMBER('Council Entry'!AM$9)),MAX(MIN('Council Entry'!AM30,'Council Entry'!AM$9),'Council Entry'!AM$8),'Council Entry'!AM30)),IF('Council Entry'!AM$4="Exponential",EXP(IF(AND(ISNUMBER('Council Entry'!AM$8),ISNUMBER('Council Entry'!AM$9)),MAX(MIN('Council Entry'!AM30,'Council Entry'!AM$9),'Council Entry'!AM$8),'Council Entry'!AM30)),IF(AND(ISNUMBER('Council Entry'!AM$8),ISNUMBER('Council Entry'!AM$9)),MAX(MIN('Council Entry'!AM30,'Council Entry'!AM$9),'Council Entry'!AM$8),'Council Entry'!AM30))))-'Council Entry'!AM$5)/('Council Entry'!AM$6-'Council Entry'!AM$5)),1))),"No data"))</f>
        <v/>
      </c>
      <c r="AN30" s="13">
        <f>IF('Council Entry'!AN30="","",IFERROR(MAX(0,MIN(10,ROUND(IF('Council Entry'!AN$7="Decrease Risk",10-10*((IF('Council Entry'!AN$4="Logarithm",LN(0.001+IF(AND(ISNUMBER('Council Entry'!AN$8),ISNUMBER('Council Entry'!AN$9)),MAX(MIN('Council Entry'!AN30,'Council Entry'!AN$9),'Council Entry'!AN$8),'Council Entry'!AN30)),IF('Council Entry'!AN$4="Exponential",EXP(IF(AND(ISNUMBER('Council Entry'!AN$8),ISNUMBER('Council Entry'!AN$9)),MAX(MIN('Council Entry'!AN30,'Council Entry'!AN$9),'Council Entry'!AN$8),'Council Entry'!AN30)),IF(AND(ISNUMBER('Council Entry'!AN$8),ISNUMBER('Council Entry'!AN$9)),MAX(MIN('Council Entry'!AN30,'Council Entry'!AN$9),'Council Entry'!AN$8),'Council Entry'!AN30))))-'Council Entry'!AN$5)/('Council Entry'!AN$6-'Council Entry'!AN$5),10*((IF('Council Entry'!AN$4="Logarithm",LN(0.001+IF(AND(ISNUMBER('Council Entry'!AN$8),ISNUMBER('Council Entry'!AN$9)),MAX(MIN('Council Entry'!AN30,'Council Entry'!AN$9),'Council Entry'!AN$8),'Council Entry'!AN30)),IF('Council Entry'!AN$4="Exponential",EXP(IF(AND(ISNUMBER('Council Entry'!AN$8),ISNUMBER('Council Entry'!AN$9)),MAX(MIN('Council Entry'!AN30,'Council Entry'!AN$9),'Council Entry'!AN$8),'Council Entry'!AN30)),IF(AND(ISNUMBER('Council Entry'!AN$8),ISNUMBER('Council Entry'!AN$9)),MAX(MIN('Council Entry'!AN30,'Council Entry'!AN$9),'Council Entry'!AN$8),'Council Entry'!AN30))))-'Council Entry'!AN$5)/('Council Entry'!AN$6-'Council Entry'!AN$5)),1))),"No data"))</f>
        <v/>
      </c>
      <c r="AO30" s="13">
        <f>IF('Council Entry'!AO30="","",IFERROR(MAX(0,MIN(10,ROUND(IF('Council Entry'!AO$7="Decrease Risk",10-10*((IF('Council Entry'!AO$4="Logarithm",LN(0.001+IF(AND(ISNUMBER('Council Entry'!AO$8),ISNUMBER('Council Entry'!AO$9)),MAX(MIN('Council Entry'!AO30,'Council Entry'!AO$9),'Council Entry'!AO$8),'Council Entry'!AO30)),IF('Council Entry'!AO$4="Exponential",EXP(IF(AND(ISNUMBER('Council Entry'!AO$8),ISNUMBER('Council Entry'!AO$9)),MAX(MIN('Council Entry'!AO30,'Council Entry'!AO$9),'Council Entry'!AO$8),'Council Entry'!AO30)),IF(AND(ISNUMBER('Council Entry'!AO$8),ISNUMBER('Council Entry'!AO$9)),MAX(MIN('Council Entry'!AO30,'Council Entry'!AO$9),'Council Entry'!AO$8),'Council Entry'!AO30))))-'Council Entry'!AO$5)/('Council Entry'!AO$6-'Council Entry'!AO$5),10*((IF('Council Entry'!AO$4="Logarithm",LN(0.001+IF(AND(ISNUMBER('Council Entry'!AO$8),ISNUMBER('Council Entry'!AO$9)),MAX(MIN('Council Entry'!AO30,'Council Entry'!AO$9),'Council Entry'!AO$8),'Council Entry'!AO30)),IF('Council Entry'!AO$4="Exponential",EXP(IF(AND(ISNUMBER('Council Entry'!AO$8),ISNUMBER('Council Entry'!AO$9)),MAX(MIN('Council Entry'!AO30,'Council Entry'!AO$9),'Council Entry'!AO$8),'Council Entry'!AO30)),IF(AND(ISNUMBER('Council Entry'!AO$8),ISNUMBER('Council Entry'!AO$9)),MAX(MIN('Council Entry'!AO30,'Council Entry'!AO$9),'Council Entry'!AO$8),'Council Entry'!AO30))))-'Council Entry'!AO$5)/('Council Entry'!AO$6-'Council Entry'!AO$5)),1))),"No data"))</f>
        <v/>
      </c>
      <c r="AP30" s="13">
        <f>IF('Council Entry'!AP30="","",IFERROR(MAX(0,MIN(10,ROUND(IF('Council Entry'!AP$7="Decrease Risk",10-10*((IF('Council Entry'!AP$4="Logarithm",LN(0.001+IF(AND(ISNUMBER('Council Entry'!AP$8),ISNUMBER('Council Entry'!AP$9)),MAX(MIN('Council Entry'!AP30,'Council Entry'!AP$9),'Council Entry'!AP$8),'Council Entry'!AP30)),IF('Council Entry'!AP$4="Exponential",EXP(IF(AND(ISNUMBER('Council Entry'!AP$8),ISNUMBER('Council Entry'!AP$9)),MAX(MIN('Council Entry'!AP30,'Council Entry'!AP$9),'Council Entry'!AP$8),'Council Entry'!AP30)),IF(AND(ISNUMBER('Council Entry'!AP$8),ISNUMBER('Council Entry'!AP$9)),MAX(MIN('Council Entry'!AP30,'Council Entry'!AP$9),'Council Entry'!AP$8),'Council Entry'!AP30))))-'Council Entry'!AP$5)/('Council Entry'!AP$6-'Council Entry'!AP$5),10*((IF('Council Entry'!AP$4="Logarithm",LN(0.001+IF(AND(ISNUMBER('Council Entry'!AP$8),ISNUMBER('Council Entry'!AP$9)),MAX(MIN('Council Entry'!AP30,'Council Entry'!AP$9),'Council Entry'!AP$8),'Council Entry'!AP30)),IF('Council Entry'!AP$4="Exponential",EXP(IF(AND(ISNUMBER('Council Entry'!AP$8),ISNUMBER('Council Entry'!AP$9)),MAX(MIN('Council Entry'!AP30,'Council Entry'!AP$9),'Council Entry'!AP$8),'Council Entry'!AP30)),IF(AND(ISNUMBER('Council Entry'!AP$8),ISNUMBER('Council Entry'!AP$9)),MAX(MIN('Council Entry'!AP30,'Council Entry'!AP$9),'Council Entry'!AP$8),'Council Entry'!AP30))))-'Council Entry'!AP$5)/('Council Entry'!AP$6-'Council Entry'!AP$5)),1))),"No data"))</f>
        <v/>
      </c>
      <c r="AQ30" s="13">
        <f>IF('Council Entry'!AQ30="","",IFERROR(MAX(0,MIN(10,ROUND(IF('Council Entry'!AQ$7="Decrease Risk",10-10*((IF('Council Entry'!AQ$4="Logarithm",LN(0.001+IF(AND(ISNUMBER('Council Entry'!AQ$8),ISNUMBER('Council Entry'!AQ$9)),MAX(MIN('Council Entry'!AQ30,'Council Entry'!AQ$9),'Council Entry'!AQ$8),'Council Entry'!AQ30)),IF('Council Entry'!AQ$4="Exponential",EXP(IF(AND(ISNUMBER('Council Entry'!AQ$8),ISNUMBER('Council Entry'!AQ$9)),MAX(MIN('Council Entry'!AQ30,'Council Entry'!AQ$9),'Council Entry'!AQ$8),'Council Entry'!AQ30)),IF(AND(ISNUMBER('Council Entry'!AQ$8),ISNUMBER('Council Entry'!AQ$9)),MAX(MIN('Council Entry'!AQ30,'Council Entry'!AQ$9),'Council Entry'!AQ$8),'Council Entry'!AQ30))))-'Council Entry'!AQ$5)/('Council Entry'!AQ$6-'Council Entry'!AQ$5),10*((IF('Council Entry'!AQ$4="Logarithm",LN(0.001+IF(AND(ISNUMBER('Council Entry'!AQ$8),ISNUMBER('Council Entry'!AQ$9)),MAX(MIN('Council Entry'!AQ30,'Council Entry'!AQ$9),'Council Entry'!AQ$8),'Council Entry'!AQ30)),IF('Council Entry'!AQ$4="Exponential",EXP(IF(AND(ISNUMBER('Council Entry'!AQ$8),ISNUMBER('Council Entry'!AQ$9)),MAX(MIN('Council Entry'!AQ30,'Council Entry'!AQ$9),'Council Entry'!AQ$8),'Council Entry'!AQ30)),IF(AND(ISNUMBER('Council Entry'!AQ$8),ISNUMBER('Council Entry'!AQ$9)),MAX(MIN('Council Entry'!AQ30,'Council Entry'!AQ$9),'Council Entry'!AQ$8),'Council Entry'!AQ30))))-'Council Entry'!AQ$5)/('Council Entry'!AQ$6-'Council Entry'!AQ$5)),1))),"No data"))</f>
        <v/>
      </c>
      <c r="AR30" s="13">
        <f>IF('Council Entry'!AR30="","",IFERROR(MAX(0,MIN(10,ROUND(IF('Council Entry'!AR$7="Decrease Risk",10-10*((IF('Council Entry'!AR$4="Logarithm",LN(0.001+IF(AND(ISNUMBER('Council Entry'!AR$8),ISNUMBER('Council Entry'!AR$9)),MAX(MIN('Council Entry'!AR30,'Council Entry'!AR$9),'Council Entry'!AR$8),'Council Entry'!AR30)),IF('Council Entry'!AR$4="Exponential",EXP(IF(AND(ISNUMBER('Council Entry'!AR$8),ISNUMBER('Council Entry'!AR$9)),MAX(MIN('Council Entry'!AR30,'Council Entry'!AR$9),'Council Entry'!AR$8),'Council Entry'!AR30)),IF(AND(ISNUMBER('Council Entry'!AR$8),ISNUMBER('Council Entry'!AR$9)),MAX(MIN('Council Entry'!AR30,'Council Entry'!AR$9),'Council Entry'!AR$8),'Council Entry'!AR30))))-'Council Entry'!AR$5)/('Council Entry'!AR$6-'Council Entry'!AR$5),10*((IF('Council Entry'!AR$4="Logarithm",LN(0.001+IF(AND(ISNUMBER('Council Entry'!AR$8),ISNUMBER('Council Entry'!AR$9)),MAX(MIN('Council Entry'!AR30,'Council Entry'!AR$9),'Council Entry'!AR$8),'Council Entry'!AR30)),IF('Council Entry'!AR$4="Exponential",EXP(IF(AND(ISNUMBER('Council Entry'!AR$8),ISNUMBER('Council Entry'!AR$9)),MAX(MIN('Council Entry'!AR30,'Council Entry'!AR$9),'Council Entry'!AR$8),'Council Entry'!AR30)),IF(AND(ISNUMBER('Council Entry'!AR$8),ISNUMBER('Council Entry'!AR$9)),MAX(MIN('Council Entry'!AR30,'Council Entry'!AR$9),'Council Entry'!AR$8),'Council Entry'!AR30))))-'Council Entry'!AR$5)/('Council Entry'!AR$6-'Council Entry'!AR$5)),1))),"No data"))</f>
        <v/>
      </c>
      <c r="AS30" s="13">
        <f>IF('Council Entry'!AS30="","",IFERROR(MAX(0,MIN(10,ROUND(IF('Council Entry'!AS$7="Decrease Risk",10-10*((IF('Council Entry'!AS$4="Logarithm",LN(0.001+IF(AND(ISNUMBER('Council Entry'!AS$8),ISNUMBER('Council Entry'!AS$9)),MAX(MIN('Council Entry'!AS30,'Council Entry'!AS$9),'Council Entry'!AS$8),'Council Entry'!AS30)),IF('Council Entry'!AS$4="Exponential",EXP(IF(AND(ISNUMBER('Council Entry'!AS$8),ISNUMBER('Council Entry'!AS$9)),MAX(MIN('Council Entry'!AS30,'Council Entry'!AS$9),'Council Entry'!AS$8),'Council Entry'!AS30)),IF(AND(ISNUMBER('Council Entry'!AS$8),ISNUMBER('Council Entry'!AS$9)),MAX(MIN('Council Entry'!AS30,'Council Entry'!AS$9),'Council Entry'!AS$8),'Council Entry'!AS30))))-'Council Entry'!AS$5)/('Council Entry'!AS$6-'Council Entry'!AS$5),10*((IF('Council Entry'!AS$4="Logarithm",LN(0.001+IF(AND(ISNUMBER('Council Entry'!AS$8),ISNUMBER('Council Entry'!AS$9)),MAX(MIN('Council Entry'!AS30,'Council Entry'!AS$9),'Council Entry'!AS$8),'Council Entry'!AS30)),IF('Council Entry'!AS$4="Exponential",EXP(IF(AND(ISNUMBER('Council Entry'!AS$8),ISNUMBER('Council Entry'!AS$9)),MAX(MIN('Council Entry'!AS30,'Council Entry'!AS$9),'Council Entry'!AS$8),'Council Entry'!AS30)),IF(AND(ISNUMBER('Council Entry'!AS$8),ISNUMBER('Council Entry'!AS$9)),MAX(MIN('Council Entry'!AS30,'Council Entry'!AS$9),'Council Entry'!AS$8),'Council Entry'!AS30))))-'Council Entry'!AS$5)/('Council Entry'!AS$6-'Council Entry'!AS$5)),1))),"No data"))</f>
        <v/>
      </c>
      <c r="AT30" s="13">
        <f>IF('Council Entry'!AT30="","",IFERROR(MAX(0,MIN(10,ROUND(IF('Council Entry'!AT$7="Decrease Risk",10-10*((IF('Council Entry'!AT$4="Logarithm",LN(0.001+IF(AND(ISNUMBER('Council Entry'!AT$8),ISNUMBER('Council Entry'!AT$9)),MAX(MIN('Council Entry'!AT30,'Council Entry'!AT$9),'Council Entry'!AT$8),'Council Entry'!AT30)),IF('Council Entry'!AT$4="Exponential",EXP(IF(AND(ISNUMBER('Council Entry'!AT$8),ISNUMBER('Council Entry'!AT$9)),MAX(MIN('Council Entry'!AT30,'Council Entry'!AT$9),'Council Entry'!AT$8),'Council Entry'!AT30)),IF(AND(ISNUMBER('Council Entry'!AT$8),ISNUMBER('Council Entry'!AT$9)),MAX(MIN('Council Entry'!AT30,'Council Entry'!AT$9),'Council Entry'!AT$8),'Council Entry'!AT30))))-'Council Entry'!AT$5)/('Council Entry'!AT$6-'Council Entry'!AT$5),10*((IF('Council Entry'!AT$4="Logarithm",LN(0.001+IF(AND(ISNUMBER('Council Entry'!AT$8),ISNUMBER('Council Entry'!AT$9)),MAX(MIN('Council Entry'!AT30,'Council Entry'!AT$9),'Council Entry'!AT$8),'Council Entry'!AT30)),IF('Council Entry'!AT$4="Exponential",EXP(IF(AND(ISNUMBER('Council Entry'!AT$8),ISNUMBER('Council Entry'!AT$9)),MAX(MIN('Council Entry'!AT30,'Council Entry'!AT$9),'Council Entry'!AT$8),'Council Entry'!AT30)),IF(AND(ISNUMBER('Council Entry'!AT$8),ISNUMBER('Council Entry'!AT$9)),MAX(MIN('Council Entry'!AT30,'Council Entry'!AT$9),'Council Entry'!AT$8),'Council Entry'!AT30))))-'Council Entry'!AT$5)/('Council Entry'!AT$6-'Council Entry'!AT$5)),1))),"No data"))</f>
        <v/>
      </c>
      <c r="AU30" s="13">
        <f>IF('Council Entry'!AU30="","",IFERROR(MAX(0,MIN(10,ROUND(IF('Council Entry'!AU$7="Decrease Risk",10-10*((IF('Council Entry'!AU$4="Logarithm",LN(0.001+IF(AND(ISNUMBER('Council Entry'!AU$8),ISNUMBER('Council Entry'!AU$9)),MAX(MIN('Council Entry'!AU30,'Council Entry'!AU$9),'Council Entry'!AU$8),'Council Entry'!AU30)),IF('Council Entry'!AU$4="Exponential",EXP(IF(AND(ISNUMBER('Council Entry'!AU$8),ISNUMBER('Council Entry'!AU$9)),MAX(MIN('Council Entry'!AU30,'Council Entry'!AU$9),'Council Entry'!AU$8),'Council Entry'!AU30)),IF(AND(ISNUMBER('Council Entry'!AU$8),ISNUMBER('Council Entry'!AU$9)),MAX(MIN('Council Entry'!AU30,'Council Entry'!AU$9),'Council Entry'!AU$8),'Council Entry'!AU30))))-'Council Entry'!AU$5)/('Council Entry'!AU$6-'Council Entry'!AU$5),10*((IF('Council Entry'!AU$4="Logarithm",LN(0.001+IF(AND(ISNUMBER('Council Entry'!AU$8),ISNUMBER('Council Entry'!AU$9)),MAX(MIN('Council Entry'!AU30,'Council Entry'!AU$9),'Council Entry'!AU$8),'Council Entry'!AU30)),IF('Council Entry'!AU$4="Exponential",EXP(IF(AND(ISNUMBER('Council Entry'!AU$8),ISNUMBER('Council Entry'!AU$9)),MAX(MIN('Council Entry'!AU30,'Council Entry'!AU$9),'Council Entry'!AU$8),'Council Entry'!AU30)),IF(AND(ISNUMBER('Council Entry'!AU$8),ISNUMBER('Council Entry'!AU$9)),MAX(MIN('Council Entry'!AU30,'Council Entry'!AU$9),'Council Entry'!AU$8),'Council Entry'!AU30))))-'Council Entry'!AU$5)/('Council Entry'!AU$6-'Council Entry'!AU$5)),1))),"No data"))</f>
        <v/>
      </c>
      <c r="AV30" s="13">
        <f>IF('Council Entry'!AV30="","",IFERROR(MAX(0,MIN(10,ROUND(IF('Council Entry'!AV$7="Decrease Risk",10-10*((IF('Council Entry'!AV$4="Logarithm",LN(0.001+IF(AND(ISNUMBER('Council Entry'!AV$8),ISNUMBER('Council Entry'!AV$9)),MAX(MIN('Council Entry'!AV30,'Council Entry'!AV$9),'Council Entry'!AV$8),'Council Entry'!AV30)),IF('Council Entry'!AV$4="Exponential",EXP(IF(AND(ISNUMBER('Council Entry'!AV$8),ISNUMBER('Council Entry'!AV$9)),MAX(MIN('Council Entry'!AV30,'Council Entry'!AV$9),'Council Entry'!AV$8),'Council Entry'!AV30)),IF(AND(ISNUMBER('Council Entry'!AV$8),ISNUMBER('Council Entry'!AV$9)),MAX(MIN('Council Entry'!AV30,'Council Entry'!AV$9),'Council Entry'!AV$8),'Council Entry'!AV30))))-'Council Entry'!AV$5)/('Council Entry'!AV$6-'Council Entry'!AV$5),10*((IF('Council Entry'!AV$4="Logarithm",LN(0.001+IF(AND(ISNUMBER('Council Entry'!AV$8),ISNUMBER('Council Entry'!AV$9)),MAX(MIN('Council Entry'!AV30,'Council Entry'!AV$9),'Council Entry'!AV$8),'Council Entry'!AV30)),IF('Council Entry'!AV$4="Exponential",EXP(IF(AND(ISNUMBER('Council Entry'!AV$8),ISNUMBER('Council Entry'!AV$9)),MAX(MIN('Council Entry'!AV30,'Council Entry'!AV$9),'Council Entry'!AV$8),'Council Entry'!AV30)),IF(AND(ISNUMBER('Council Entry'!AV$8),ISNUMBER('Council Entry'!AV$9)),MAX(MIN('Council Entry'!AV30,'Council Entry'!AV$9),'Council Entry'!AV$8),'Council Entry'!AV30))))-'Council Entry'!AV$5)/('Council Entry'!AV$6-'Council Entry'!AV$5)),1))),"No data"))</f>
        <v/>
      </c>
      <c r="AW30" s="13">
        <f>IF('Council Entry'!AW30="","",IFERROR(MAX(0,MIN(10,ROUND(IF('Council Entry'!AW$7="Decrease Risk",10-10*((IF('Council Entry'!AW$4="Logarithm",LN(0.001+IF(AND(ISNUMBER('Council Entry'!AW$8),ISNUMBER('Council Entry'!AW$9)),MAX(MIN('Council Entry'!AW30,'Council Entry'!AW$9),'Council Entry'!AW$8),'Council Entry'!AW30)),IF('Council Entry'!AW$4="Exponential",EXP(IF(AND(ISNUMBER('Council Entry'!AW$8),ISNUMBER('Council Entry'!AW$9)),MAX(MIN('Council Entry'!AW30,'Council Entry'!AW$9),'Council Entry'!AW$8),'Council Entry'!AW30)),IF(AND(ISNUMBER('Council Entry'!AW$8),ISNUMBER('Council Entry'!AW$9)),MAX(MIN('Council Entry'!AW30,'Council Entry'!AW$9),'Council Entry'!AW$8),'Council Entry'!AW30))))-'Council Entry'!AW$5)/('Council Entry'!AW$6-'Council Entry'!AW$5),10*((IF('Council Entry'!AW$4="Logarithm",LN(0.001+IF(AND(ISNUMBER('Council Entry'!AW$8),ISNUMBER('Council Entry'!AW$9)),MAX(MIN('Council Entry'!AW30,'Council Entry'!AW$9),'Council Entry'!AW$8),'Council Entry'!AW30)),IF('Council Entry'!AW$4="Exponential",EXP(IF(AND(ISNUMBER('Council Entry'!AW$8),ISNUMBER('Council Entry'!AW$9)),MAX(MIN('Council Entry'!AW30,'Council Entry'!AW$9),'Council Entry'!AW$8),'Council Entry'!AW30)),IF(AND(ISNUMBER('Council Entry'!AW$8),ISNUMBER('Council Entry'!AW$9)),MAX(MIN('Council Entry'!AW30,'Council Entry'!AW$9),'Council Entry'!AW$8),'Council Entry'!AW30))))-'Council Entry'!AW$5)/('Council Entry'!AW$6-'Council Entry'!AW$5)),1))),"No data"))</f>
        <v/>
      </c>
      <c r="AX30" s="13">
        <f>IF('Council Entry'!AX30="","",IFERROR(MAX(0,MIN(10,ROUND(IF('Council Entry'!AX$7="Decrease Risk",10-10*((IF('Council Entry'!AX$4="Logarithm",LN(0.001+IF(AND(ISNUMBER('Council Entry'!AX$8),ISNUMBER('Council Entry'!AX$9)),MAX(MIN('Council Entry'!AX30,'Council Entry'!AX$9),'Council Entry'!AX$8),'Council Entry'!AX30)),IF('Council Entry'!AX$4="Exponential",EXP(IF(AND(ISNUMBER('Council Entry'!AX$8),ISNUMBER('Council Entry'!AX$9)),MAX(MIN('Council Entry'!AX30,'Council Entry'!AX$9),'Council Entry'!AX$8),'Council Entry'!AX30)),IF(AND(ISNUMBER('Council Entry'!AX$8),ISNUMBER('Council Entry'!AX$9)),MAX(MIN('Council Entry'!AX30,'Council Entry'!AX$9),'Council Entry'!AX$8),'Council Entry'!AX30))))-'Council Entry'!AX$5)/('Council Entry'!AX$6-'Council Entry'!AX$5),10*((IF('Council Entry'!AX$4="Logarithm",LN(0.001+IF(AND(ISNUMBER('Council Entry'!AX$8),ISNUMBER('Council Entry'!AX$9)),MAX(MIN('Council Entry'!AX30,'Council Entry'!AX$9),'Council Entry'!AX$8),'Council Entry'!AX30)),IF('Council Entry'!AX$4="Exponential",EXP(IF(AND(ISNUMBER('Council Entry'!AX$8),ISNUMBER('Council Entry'!AX$9)),MAX(MIN('Council Entry'!AX30,'Council Entry'!AX$9),'Council Entry'!AX$8),'Council Entry'!AX30)),IF(AND(ISNUMBER('Council Entry'!AX$8),ISNUMBER('Council Entry'!AX$9)),MAX(MIN('Council Entry'!AX30,'Council Entry'!AX$9),'Council Entry'!AX$8),'Council Entry'!AX30))))-'Council Entry'!AX$5)/('Council Entry'!AX$6-'Council Entry'!AX$5)),1))),"No data"))</f>
        <v/>
      </c>
      <c r="AY30" s="13">
        <f>IF('Council Entry'!AY30="","",IFERROR(MAX(0,MIN(10,ROUND(IF('Council Entry'!AY$7="Decrease Risk",10-10*((IF('Council Entry'!AY$4="Logarithm",LN(0.001+IF(AND(ISNUMBER('Council Entry'!AY$8),ISNUMBER('Council Entry'!AY$9)),MAX(MIN('Council Entry'!AY30,'Council Entry'!AY$9),'Council Entry'!AY$8),'Council Entry'!AY30)),IF('Council Entry'!AY$4="Exponential",EXP(IF(AND(ISNUMBER('Council Entry'!AY$8),ISNUMBER('Council Entry'!AY$9)),MAX(MIN('Council Entry'!AY30,'Council Entry'!AY$9),'Council Entry'!AY$8),'Council Entry'!AY30)),IF(AND(ISNUMBER('Council Entry'!AY$8),ISNUMBER('Council Entry'!AY$9)),MAX(MIN('Council Entry'!AY30,'Council Entry'!AY$9),'Council Entry'!AY$8),'Council Entry'!AY30))))-'Council Entry'!AY$5)/('Council Entry'!AY$6-'Council Entry'!AY$5),10*((IF('Council Entry'!AY$4="Logarithm",LN(0.001+IF(AND(ISNUMBER('Council Entry'!AY$8),ISNUMBER('Council Entry'!AY$9)),MAX(MIN('Council Entry'!AY30,'Council Entry'!AY$9),'Council Entry'!AY$8),'Council Entry'!AY30)),IF('Council Entry'!AY$4="Exponential",EXP(IF(AND(ISNUMBER('Council Entry'!AY$8),ISNUMBER('Council Entry'!AY$9)),MAX(MIN('Council Entry'!AY30,'Council Entry'!AY$9),'Council Entry'!AY$8),'Council Entry'!AY30)),IF(AND(ISNUMBER('Council Entry'!AY$8),ISNUMBER('Council Entry'!AY$9)),MAX(MIN('Council Entry'!AY30,'Council Entry'!AY$9),'Council Entry'!AY$8),'Council Entry'!AY30))))-'Council Entry'!AY$5)/('Council Entry'!AY$6-'Council Entry'!AY$5)),1))),"No data"))</f>
        <v/>
      </c>
      <c r="AZ30" s="13">
        <f>IF('Council Entry'!AZ30="","",IFERROR(MAX(0,MIN(10,ROUND(IF('Council Entry'!AZ$7="Decrease Risk",10-10*((IF('Council Entry'!AZ$4="Logarithm",LN(0.001+IF(AND(ISNUMBER('Council Entry'!AZ$8),ISNUMBER('Council Entry'!AZ$9)),MAX(MIN('Council Entry'!AZ30,'Council Entry'!AZ$9),'Council Entry'!AZ$8),'Council Entry'!AZ30)),IF('Council Entry'!AZ$4="Exponential",EXP(IF(AND(ISNUMBER('Council Entry'!AZ$8),ISNUMBER('Council Entry'!AZ$9)),MAX(MIN('Council Entry'!AZ30,'Council Entry'!AZ$9),'Council Entry'!AZ$8),'Council Entry'!AZ30)),IF(AND(ISNUMBER('Council Entry'!AZ$8),ISNUMBER('Council Entry'!AZ$9)),MAX(MIN('Council Entry'!AZ30,'Council Entry'!AZ$9),'Council Entry'!AZ$8),'Council Entry'!AZ30))))-'Council Entry'!AZ$5)/('Council Entry'!AZ$6-'Council Entry'!AZ$5),10*((IF('Council Entry'!AZ$4="Logarithm",LN(0.001+IF(AND(ISNUMBER('Council Entry'!AZ$8),ISNUMBER('Council Entry'!AZ$9)),MAX(MIN('Council Entry'!AZ30,'Council Entry'!AZ$9),'Council Entry'!AZ$8),'Council Entry'!AZ30)),IF('Council Entry'!AZ$4="Exponential",EXP(IF(AND(ISNUMBER('Council Entry'!AZ$8),ISNUMBER('Council Entry'!AZ$9)),MAX(MIN('Council Entry'!AZ30,'Council Entry'!AZ$9),'Council Entry'!AZ$8),'Council Entry'!AZ30)),IF(AND(ISNUMBER('Council Entry'!AZ$8),ISNUMBER('Council Entry'!AZ$9)),MAX(MIN('Council Entry'!AZ30,'Council Entry'!AZ$9),'Council Entry'!AZ$8),'Council Entry'!AZ30))))-'Council Entry'!AZ$5)/('Council Entry'!AZ$6-'Council Entry'!AZ$5)),1))),"No data"))</f>
        <v/>
      </c>
      <c r="BA30" s="13">
        <f>IF('Council Entry'!BA30="","",IFERROR(MAX(0,MIN(10,ROUND(IF('Council Entry'!BA$7="Decrease Risk",10-10*((IF('Council Entry'!BA$4="Logarithm",LN(0.001+IF(AND(ISNUMBER('Council Entry'!BA$8),ISNUMBER('Council Entry'!BA$9)),MAX(MIN('Council Entry'!BA30,'Council Entry'!BA$9),'Council Entry'!BA$8),'Council Entry'!BA30)),IF('Council Entry'!BA$4="Exponential",EXP(IF(AND(ISNUMBER('Council Entry'!BA$8),ISNUMBER('Council Entry'!BA$9)),MAX(MIN('Council Entry'!BA30,'Council Entry'!BA$9),'Council Entry'!BA$8),'Council Entry'!BA30)),IF(AND(ISNUMBER('Council Entry'!BA$8),ISNUMBER('Council Entry'!BA$9)),MAX(MIN('Council Entry'!BA30,'Council Entry'!BA$9),'Council Entry'!BA$8),'Council Entry'!BA30))))-'Council Entry'!BA$5)/('Council Entry'!BA$6-'Council Entry'!BA$5),10*((IF('Council Entry'!BA$4="Logarithm",LN(0.001+IF(AND(ISNUMBER('Council Entry'!BA$8),ISNUMBER('Council Entry'!BA$9)),MAX(MIN('Council Entry'!BA30,'Council Entry'!BA$9),'Council Entry'!BA$8),'Council Entry'!BA30)),IF('Council Entry'!BA$4="Exponential",EXP(IF(AND(ISNUMBER('Council Entry'!BA$8),ISNUMBER('Council Entry'!BA$9)),MAX(MIN('Council Entry'!BA30,'Council Entry'!BA$9),'Council Entry'!BA$8),'Council Entry'!BA30)),IF(AND(ISNUMBER('Council Entry'!BA$8),ISNUMBER('Council Entry'!BA$9)),MAX(MIN('Council Entry'!BA30,'Council Entry'!BA$9),'Council Entry'!BA$8),'Council Entry'!BA30))))-'Council Entry'!BA$5)/('Council Entry'!BA$6-'Council Entry'!BA$5)),1))),"No data"))</f>
        <v/>
      </c>
      <c r="BB30" s="13">
        <f>IF('Council Entry'!BB30="","",IFERROR(MAX(0,MIN(10,ROUND(IF('Council Entry'!BB$7="Decrease Risk",10-10*((IF('Council Entry'!BB$4="Logarithm",LN(0.001+IF(AND(ISNUMBER('Council Entry'!BB$8),ISNUMBER('Council Entry'!BB$9)),MAX(MIN('Council Entry'!BB30,'Council Entry'!BB$9),'Council Entry'!BB$8),'Council Entry'!BB30)),IF('Council Entry'!BB$4="Exponential",EXP(IF(AND(ISNUMBER('Council Entry'!BB$8),ISNUMBER('Council Entry'!BB$9)),MAX(MIN('Council Entry'!BB30,'Council Entry'!BB$9),'Council Entry'!BB$8),'Council Entry'!BB30)),IF(AND(ISNUMBER('Council Entry'!BB$8),ISNUMBER('Council Entry'!BB$9)),MAX(MIN('Council Entry'!BB30,'Council Entry'!BB$9),'Council Entry'!BB$8),'Council Entry'!BB30))))-'Council Entry'!BB$5)/('Council Entry'!BB$6-'Council Entry'!BB$5),10*((IF('Council Entry'!BB$4="Logarithm",LN(0.001+IF(AND(ISNUMBER('Council Entry'!BB$8),ISNUMBER('Council Entry'!BB$9)),MAX(MIN('Council Entry'!BB30,'Council Entry'!BB$9),'Council Entry'!BB$8),'Council Entry'!BB30)),IF('Council Entry'!BB$4="Exponential",EXP(IF(AND(ISNUMBER('Council Entry'!BB$8),ISNUMBER('Council Entry'!BB$9)),MAX(MIN('Council Entry'!BB30,'Council Entry'!BB$9),'Council Entry'!BB$8),'Council Entry'!BB30)),IF(AND(ISNUMBER('Council Entry'!BB$8),ISNUMBER('Council Entry'!BB$9)),MAX(MIN('Council Entry'!BB30,'Council Entry'!BB$9),'Council Entry'!BB$8),'Council Entry'!BB30))))-'Council Entry'!BB$5)/('Council Entry'!BB$6-'Council Entry'!BB$5)),1))),"No data"))</f>
        <v/>
      </c>
      <c r="BC30" s="13">
        <f>IF('Council Entry'!BC30="","",IFERROR(MAX(0,MIN(10,ROUND(IF('Council Entry'!BC$7="Decrease Risk",10-10*((IF('Council Entry'!BC$4="Logarithm",LN(0.001+IF(AND(ISNUMBER('Council Entry'!BC$8),ISNUMBER('Council Entry'!BC$9)),MAX(MIN('Council Entry'!BC30,'Council Entry'!BC$9),'Council Entry'!BC$8),'Council Entry'!BC30)),IF('Council Entry'!BC$4="Exponential",EXP(IF(AND(ISNUMBER('Council Entry'!BC$8),ISNUMBER('Council Entry'!BC$9)),MAX(MIN('Council Entry'!BC30,'Council Entry'!BC$9),'Council Entry'!BC$8),'Council Entry'!BC30)),IF(AND(ISNUMBER('Council Entry'!BC$8),ISNUMBER('Council Entry'!BC$9)),MAX(MIN('Council Entry'!BC30,'Council Entry'!BC$9),'Council Entry'!BC$8),'Council Entry'!BC30))))-'Council Entry'!BC$5)/('Council Entry'!BC$6-'Council Entry'!BC$5),10*((IF('Council Entry'!BC$4="Logarithm",LN(0.001+IF(AND(ISNUMBER('Council Entry'!BC$8),ISNUMBER('Council Entry'!BC$9)),MAX(MIN('Council Entry'!BC30,'Council Entry'!BC$9),'Council Entry'!BC$8),'Council Entry'!BC30)),IF('Council Entry'!BC$4="Exponential",EXP(IF(AND(ISNUMBER('Council Entry'!BC$8),ISNUMBER('Council Entry'!BC$9)),MAX(MIN('Council Entry'!BC30,'Council Entry'!BC$9),'Council Entry'!BC$8),'Council Entry'!BC30)),IF(AND(ISNUMBER('Council Entry'!BC$8),ISNUMBER('Council Entry'!BC$9)),MAX(MIN('Council Entry'!BC30,'Council Entry'!BC$9),'Council Entry'!BC$8),'Council Entry'!BC30))))-'Council Entry'!BC$5)/('Council Entry'!BC$6-'Council Entry'!BC$5)),1))),"No data"))</f>
        <v/>
      </c>
      <c r="BD30" s="13">
        <f>IF('Council Entry'!BD30="","",IFERROR(MAX(0,MIN(10,ROUND(IF('Council Entry'!BD$7="Decrease Risk",10-10*((IF('Council Entry'!BD$4="Logarithm",LN(0.001+IF(AND(ISNUMBER('Council Entry'!BD$8),ISNUMBER('Council Entry'!BD$9)),MAX(MIN('Council Entry'!BD30,'Council Entry'!BD$9),'Council Entry'!BD$8),'Council Entry'!BD30)),IF('Council Entry'!BD$4="Exponential",EXP(IF(AND(ISNUMBER('Council Entry'!BD$8),ISNUMBER('Council Entry'!BD$9)),MAX(MIN('Council Entry'!BD30,'Council Entry'!BD$9),'Council Entry'!BD$8),'Council Entry'!BD30)),IF(AND(ISNUMBER('Council Entry'!BD$8),ISNUMBER('Council Entry'!BD$9)),MAX(MIN('Council Entry'!BD30,'Council Entry'!BD$9),'Council Entry'!BD$8),'Council Entry'!BD30))))-'Council Entry'!BD$5)/('Council Entry'!BD$6-'Council Entry'!BD$5),10*((IF('Council Entry'!BD$4="Logarithm",LN(0.001+IF(AND(ISNUMBER('Council Entry'!BD$8),ISNUMBER('Council Entry'!BD$9)),MAX(MIN('Council Entry'!BD30,'Council Entry'!BD$9),'Council Entry'!BD$8),'Council Entry'!BD30)),IF('Council Entry'!BD$4="Exponential",EXP(IF(AND(ISNUMBER('Council Entry'!BD$8),ISNUMBER('Council Entry'!BD$9)),MAX(MIN('Council Entry'!BD30,'Council Entry'!BD$9),'Council Entry'!BD$8),'Council Entry'!BD30)),IF(AND(ISNUMBER('Council Entry'!BD$8),ISNUMBER('Council Entry'!BD$9)),MAX(MIN('Council Entry'!BD30,'Council Entry'!BD$9),'Council Entry'!BD$8),'Council Entry'!BD30))))-'Council Entry'!BD$5)/('Council Entry'!BD$6-'Council Entry'!BD$5)),1))),"No data"))</f>
        <v/>
      </c>
    </row>
    <row r="31">
      <c r="A31" t="inlineStr">
        <is>
          <t>Geita</t>
        </is>
      </c>
      <c r="B31" t="inlineStr">
        <is>
          <t>Bukombe District</t>
        </is>
      </c>
      <c r="C31" t="inlineStr">
        <is>
          <t>C178</t>
        </is>
      </c>
      <c r="D31" s="13">
        <f>IF('Council Entry'!D31="","",IFERROR(MAX(0,MIN(10,ROUND(IF('Council Entry'!D$7="Decrease Risk",10-10*((IF('Council Entry'!D$4="Logarithm",LN(0.001+IF(AND(ISNUMBER('Council Entry'!D$8),ISNUMBER('Council Entry'!D$9)),MAX(MIN('Council Entry'!D31,'Council Entry'!D$9),'Council Entry'!D$8),'Council Entry'!D31)),IF('Council Entry'!D$4="Exponential",EXP(IF(AND(ISNUMBER('Council Entry'!D$8),ISNUMBER('Council Entry'!D$9)),MAX(MIN('Council Entry'!D31,'Council Entry'!D$9),'Council Entry'!D$8),'Council Entry'!D31)),IF(AND(ISNUMBER('Council Entry'!D$8),ISNUMBER('Council Entry'!D$9)),MAX(MIN('Council Entry'!D31,'Council Entry'!D$9),'Council Entry'!D$8),'Council Entry'!D31))))-'Council Entry'!D$5)/('Council Entry'!D$6-'Council Entry'!D$5),10*((IF('Council Entry'!D$4="Logarithm",LN(0.001+IF(AND(ISNUMBER('Council Entry'!D$8),ISNUMBER('Council Entry'!D$9)),MAX(MIN('Council Entry'!D31,'Council Entry'!D$9),'Council Entry'!D$8),'Council Entry'!D31)),IF('Council Entry'!D$4="Exponential",EXP(IF(AND(ISNUMBER('Council Entry'!D$8),ISNUMBER('Council Entry'!D$9)),MAX(MIN('Council Entry'!D31,'Council Entry'!D$9),'Council Entry'!D$8),'Council Entry'!D31)),IF(AND(ISNUMBER('Council Entry'!D$8),ISNUMBER('Council Entry'!D$9)),MAX(MIN('Council Entry'!D31,'Council Entry'!D$9),'Council Entry'!D$8),'Council Entry'!D31))))-'Council Entry'!D$5)/('Council Entry'!D$6-'Council Entry'!D$5)),1))),"No data"))</f>
        <v/>
      </c>
      <c r="E31" s="13">
        <f>IF('Council Entry'!E31="","",IFERROR(MAX(0,MIN(10,ROUND(IF('Council Entry'!E$7="Decrease Risk",10-10*((IF('Council Entry'!E$4="Logarithm",LN(0.001+IF(AND(ISNUMBER('Council Entry'!E$8),ISNUMBER('Council Entry'!E$9)),MAX(MIN('Council Entry'!E31,'Council Entry'!E$9),'Council Entry'!E$8),'Council Entry'!E31)),IF('Council Entry'!E$4="Exponential",EXP(IF(AND(ISNUMBER('Council Entry'!E$8),ISNUMBER('Council Entry'!E$9)),MAX(MIN('Council Entry'!E31,'Council Entry'!E$9),'Council Entry'!E$8),'Council Entry'!E31)),IF(AND(ISNUMBER('Council Entry'!E$8),ISNUMBER('Council Entry'!E$9)),MAX(MIN('Council Entry'!E31,'Council Entry'!E$9),'Council Entry'!E$8),'Council Entry'!E31))))-'Council Entry'!E$5)/('Council Entry'!E$6-'Council Entry'!E$5),10*((IF('Council Entry'!E$4="Logarithm",LN(0.001+IF(AND(ISNUMBER('Council Entry'!E$8),ISNUMBER('Council Entry'!E$9)),MAX(MIN('Council Entry'!E31,'Council Entry'!E$9),'Council Entry'!E$8),'Council Entry'!E31)),IF('Council Entry'!E$4="Exponential",EXP(IF(AND(ISNUMBER('Council Entry'!E$8),ISNUMBER('Council Entry'!E$9)),MAX(MIN('Council Entry'!E31,'Council Entry'!E$9),'Council Entry'!E$8),'Council Entry'!E31)),IF(AND(ISNUMBER('Council Entry'!E$8),ISNUMBER('Council Entry'!E$9)),MAX(MIN('Council Entry'!E31,'Council Entry'!E$9),'Council Entry'!E$8),'Council Entry'!E31))))-'Council Entry'!E$5)/('Council Entry'!E$6-'Council Entry'!E$5)),1))),"No data"))</f>
        <v/>
      </c>
      <c r="F31" s="13">
        <f>IF('Council Entry'!F31="","",IFERROR(MAX(0,MIN(10,ROUND(IF('Council Entry'!F$7="Decrease Risk",10-10*((IF('Council Entry'!F$4="Logarithm",LN(0.001+IF(AND(ISNUMBER('Council Entry'!F$8),ISNUMBER('Council Entry'!F$9)),MAX(MIN('Council Entry'!F31,'Council Entry'!F$9),'Council Entry'!F$8),'Council Entry'!F31)),IF('Council Entry'!F$4="Exponential",EXP(IF(AND(ISNUMBER('Council Entry'!F$8),ISNUMBER('Council Entry'!F$9)),MAX(MIN('Council Entry'!F31,'Council Entry'!F$9),'Council Entry'!F$8),'Council Entry'!F31)),IF(AND(ISNUMBER('Council Entry'!F$8),ISNUMBER('Council Entry'!F$9)),MAX(MIN('Council Entry'!F31,'Council Entry'!F$9),'Council Entry'!F$8),'Council Entry'!F31))))-'Council Entry'!F$5)/('Council Entry'!F$6-'Council Entry'!F$5),10*((IF('Council Entry'!F$4="Logarithm",LN(0.001+IF(AND(ISNUMBER('Council Entry'!F$8),ISNUMBER('Council Entry'!F$9)),MAX(MIN('Council Entry'!F31,'Council Entry'!F$9),'Council Entry'!F$8),'Council Entry'!F31)),IF('Council Entry'!F$4="Exponential",EXP(IF(AND(ISNUMBER('Council Entry'!F$8),ISNUMBER('Council Entry'!F$9)),MAX(MIN('Council Entry'!F31,'Council Entry'!F$9),'Council Entry'!F$8),'Council Entry'!F31)),IF(AND(ISNUMBER('Council Entry'!F$8),ISNUMBER('Council Entry'!F$9)),MAX(MIN('Council Entry'!F31,'Council Entry'!F$9),'Council Entry'!F$8),'Council Entry'!F31))))-'Council Entry'!F$5)/('Council Entry'!F$6-'Council Entry'!F$5)),1))),"No data"))</f>
        <v/>
      </c>
      <c r="G31" s="13">
        <f>IF('Council Entry'!G31="","",IFERROR(MAX(0,MIN(10,ROUND(IF('Council Entry'!G$7="Decrease Risk",10-10*((IF('Council Entry'!G$4="Logarithm",LN(0.001+IF(AND(ISNUMBER('Council Entry'!G$8),ISNUMBER('Council Entry'!G$9)),MAX(MIN('Council Entry'!G31,'Council Entry'!G$9),'Council Entry'!G$8),'Council Entry'!G31)),IF('Council Entry'!G$4="Exponential",EXP(IF(AND(ISNUMBER('Council Entry'!G$8),ISNUMBER('Council Entry'!G$9)),MAX(MIN('Council Entry'!G31,'Council Entry'!G$9),'Council Entry'!G$8),'Council Entry'!G31)),IF(AND(ISNUMBER('Council Entry'!G$8),ISNUMBER('Council Entry'!G$9)),MAX(MIN('Council Entry'!G31,'Council Entry'!G$9),'Council Entry'!G$8),'Council Entry'!G31))))-'Council Entry'!G$5)/('Council Entry'!G$6-'Council Entry'!G$5),10*((IF('Council Entry'!G$4="Logarithm",LN(0.001+IF(AND(ISNUMBER('Council Entry'!G$8),ISNUMBER('Council Entry'!G$9)),MAX(MIN('Council Entry'!G31,'Council Entry'!G$9),'Council Entry'!G$8),'Council Entry'!G31)),IF('Council Entry'!G$4="Exponential",EXP(IF(AND(ISNUMBER('Council Entry'!G$8),ISNUMBER('Council Entry'!G$9)),MAX(MIN('Council Entry'!G31,'Council Entry'!G$9),'Council Entry'!G$8),'Council Entry'!G31)),IF(AND(ISNUMBER('Council Entry'!G$8),ISNUMBER('Council Entry'!G$9)),MAX(MIN('Council Entry'!G31,'Council Entry'!G$9),'Council Entry'!G$8),'Council Entry'!G31))))-'Council Entry'!G$5)/('Council Entry'!G$6-'Council Entry'!G$5)),1))),"No data"))</f>
        <v/>
      </c>
      <c r="H31" s="13">
        <f>IF('Council Entry'!H31="","",IFERROR(MAX(0,MIN(10,ROUND(IF('Council Entry'!H$7="Decrease Risk",10-10*((IF('Council Entry'!H$4="Logarithm",LN(0.001+IF(AND(ISNUMBER('Council Entry'!H$8),ISNUMBER('Council Entry'!H$9)),MAX(MIN('Council Entry'!H31,'Council Entry'!H$9),'Council Entry'!H$8),'Council Entry'!H31)),IF('Council Entry'!H$4="Exponential",EXP(IF(AND(ISNUMBER('Council Entry'!H$8),ISNUMBER('Council Entry'!H$9)),MAX(MIN('Council Entry'!H31,'Council Entry'!H$9),'Council Entry'!H$8),'Council Entry'!H31)),IF(AND(ISNUMBER('Council Entry'!H$8),ISNUMBER('Council Entry'!H$9)),MAX(MIN('Council Entry'!H31,'Council Entry'!H$9),'Council Entry'!H$8),'Council Entry'!H31))))-'Council Entry'!H$5)/('Council Entry'!H$6-'Council Entry'!H$5),10*((IF('Council Entry'!H$4="Logarithm",LN(0.001+IF(AND(ISNUMBER('Council Entry'!H$8),ISNUMBER('Council Entry'!H$9)),MAX(MIN('Council Entry'!H31,'Council Entry'!H$9),'Council Entry'!H$8),'Council Entry'!H31)),IF('Council Entry'!H$4="Exponential",EXP(IF(AND(ISNUMBER('Council Entry'!H$8),ISNUMBER('Council Entry'!H$9)),MAX(MIN('Council Entry'!H31,'Council Entry'!H$9),'Council Entry'!H$8),'Council Entry'!H31)),IF(AND(ISNUMBER('Council Entry'!H$8),ISNUMBER('Council Entry'!H$9)),MAX(MIN('Council Entry'!H31,'Council Entry'!H$9),'Council Entry'!H$8),'Council Entry'!H31))))-'Council Entry'!H$5)/('Council Entry'!H$6-'Council Entry'!H$5)),1))),"No data"))</f>
        <v/>
      </c>
      <c r="I31" s="13">
        <f>IF('Council Entry'!I31="","",IFERROR(MAX(0,MIN(10,ROUND(IF('Council Entry'!I$7="Decrease Risk",10-10*((IF('Council Entry'!I$4="Logarithm",LN(0.001+IF(AND(ISNUMBER('Council Entry'!I$8),ISNUMBER('Council Entry'!I$9)),MAX(MIN('Council Entry'!I31,'Council Entry'!I$9),'Council Entry'!I$8),'Council Entry'!I31)),IF('Council Entry'!I$4="Exponential",EXP(IF(AND(ISNUMBER('Council Entry'!I$8),ISNUMBER('Council Entry'!I$9)),MAX(MIN('Council Entry'!I31,'Council Entry'!I$9),'Council Entry'!I$8),'Council Entry'!I31)),IF(AND(ISNUMBER('Council Entry'!I$8),ISNUMBER('Council Entry'!I$9)),MAX(MIN('Council Entry'!I31,'Council Entry'!I$9),'Council Entry'!I$8),'Council Entry'!I31))))-'Council Entry'!I$5)/('Council Entry'!I$6-'Council Entry'!I$5),10*((IF('Council Entry'!I$4="Logarithm",LN(0.001+IF(AND(ISNUMBER('Council Entry'!I$8),ISNUMBER('Council Entry'!I$9)),MAX(MIN('Council Entry'!I31,'Council Entry'!I$9),'Council Entry'!I$8),'Council Entry'!I31)),IF('Council Entry'!I$4="Exponential",EXP(IF(AND(ISNUMBER('Council Entry'!I$8),ISNUMBER('Council Entry'!I$9)),MAX(MIN('Council Entry'!I31,'Council Entry'!I$9),'Council Entry'!I$8),'Council Entry'!I31)),IF(AND(ISNUMBER('Council Entry'!I$8),ISNUMBER('Council Entry'!I$9)),MAX(MIN('Council Entry'!I31,'Council Entry'!I$9),'Council Entry'!I$8),'Council Entry'!I31))))-'Council Entry'!I$5)/('Council Entry'!I$6-'Council Entry'!I$5)),1))),"No data"))</f>
        <v/>
      </c>
      <c r="J31" s="13">
        <f>IF('Council Entry'!J31="","",IFERROR(MAX(0,MIN(10,ROUND(IF('Council Entry'!J$7="Decrease Risk",10-10*((IF('Council Entry'!J$4="Logarithm",LN(0.001+IF(AND(ISNUMBER('Council Entry'!J$8),ISNUMBER('Council Entry'!J$9)),MAX(MIN('Council Entry'!J31,'Council Entry'!J$9),'Council Entry'!J$8),'Council Entry'!J31)),IF('Council Entry'!J$4="Exponential",EXP(IF(AND(ISNUMBER('Council Entry'!J$8),ISNUMBER('Council Entry'!J$9)),MAX(MIN('Council Entry'!J31,'Council Entry'!J$9),'Council Entry'!J$8),'Council Entry'!J31)),IF(AND(ISNUMBER('Council Entry'!J$8),ISNUMBER('Council Entry'!J$9)),MAX(MIN('Council Entry'!J31,'Council Entry'!J$9),'Council Entry'!J$8),'Council Entry'!J31))))-'Council Entry'!J$5)/('Council Entry'!J$6-'Council Entry'!J$5),10*((IF('Council Entry'!J$4="Logarithm",LN(0.001+IF(AND(ISNUMBER('Council Entry'!J$8),ISNUMBER('Council Entry'!J$9)),MAX(MIN('Council Entry'!J31,'Council Entry'!J$9),'Council Entry'!J$8),'Council Entry'!J31)),IF('Council Entry'!J$4="Exponential",EXP(IF(AND(ISNUMBER('Council Entry'!J$8),ISNUMBER('Council Entry'!J$9)),MAX(MIN('Council Entry'!J31,'Council Entry'!J$9),'Council Entry'!J$8),'Council Entry'!J31)),IF(AND(ISNUMBER('Council Entry'!J$8),ISNUMBER('Council Entry'!J$9)),MAX(MIN('Council Entry'!J31,'Council Entry'!J$9),'Council Entry'!J$8),'Council Entry'!J31))))-'Council Entry'!J$5)/('Council Entry'!J$6-'Council Entry'!J$5)),1))),"No data"))</f>
        <v/>
      </c>
      <c r="K31" s="13">
        <f>IF('Council Entry'!K31="","",IFERROR(MAX(0,MIN(10,ROUND(IF('Council Entry'!K$7="Decrease Risk",10-10*((IF('Council Entry'!K$4="Logarithm",LN(0.001+IF(AND(ISNUMBER('Council Entry'!K$8),ISNUMBER('Council Entry'!K$9)),MAX(MIN('Council Entry'!K31,'Council Entry'!K$9),'Council Entry'!K$8),'Council Entry'!K31)),IF('Council Entry'!K$4="Exponential",EXP(IF(AND(ISNUMBER('Council Entry'!K$8),ISNUMBER('Council Entry'!K$9)),MAX(MIN('Council Entry'!K31,'Council Entry'!K$9),'Council Entry'!K$8),'Council Entry'!K31)),IF(AND(ISNUMBER('Council Entry'!K$8),ISNUMBER('Council Entry'!K$9)),MAX(MIN('Council Entry'!K31,'Council Entry'!K$9),'Council Entry'!K$8),'Council Entry'!K31))))-'Council Entry'!K$5)/('Council Entry'!K$6-'Council Entry'!K$5),10*((IF('Council Entry'!K$4="Logarithm",LN(0.001+IF(AND(ISNUMBER('Council Entry'!K$8),ISNUMBER('Council Entry'!K$9)),MAX(MIN('Council Entry'!K31,'Council Entry'!K$9),'Council Entry'!K$8),'Council Entry'!K31)),IF('Council Entry'!K$4="Exponential",EXP(IF(AND(ISNUMBER('Council Entry'!K$8),ISNUMBER('Council Entry'!K$9)),MAX(MIN('Council Entry'!K31,'Council Entry'!K$9),'Council Entry'!K$8),'Council Entry'!K31)),IF(AND(ISNUMBER('Council Entry'!K$8),ISNUMBER('Council Entry'!K$9)),MAX(MIN('Council Entry'!K31,'Council Entry'!K$9),'Council Entry'!K$8),'Council Entry'!K31))))-'Council Entry'!K$5)/('Council Entry'!K$6-'Council Entry'!K$5)),1))),"No data"))</f>
        <v/>
      </c>
      <c r="L31" s="13">
        <f>IF('Council Entry'!L31="","",IFERROR(MAX(0,MIN(10,ROUND(IF('Council Entry'!L$7="Decrease Risk",10-10*((IF('Council Entry'!L$4="Logarithm",LN(0.001+IF(AND(ISNUMBER('Council Entry'!L$8),ISNUMBER('Council Entry'!L$9)),MAX(MIN('Council Entry'!L31,'Council Entry'!L$9),'Council Entry'!L$8),'Council Entry'!L31)),IF('Council Entry'!L$4="Exponential",EXP(IF(AND(ISNUMBER('Council Entry'!L$8),ISNUMBER('Council Entry'!L$9)),MAX(MIN('Council Entry'!L31,'Council Entry'!L$9),'Council Entry'!L$8),'Council Entry'!L31)),IF(AND(ISNUMBER('Council Entry'!L$8),ISNUMBER('Council Entry'!L$9)),MAX(MIN('Council Entry'!L31,'Council Entry'!L$9),'Council Entry'!L$8),'Council Entry'!L31))))-'Council Entry'!L$5)/('Council Entry'!L$6-'Council Entry'!L$5),10*((IF('Council Entry'!L$4="Logarithm",LN(0.001+IF(AND(ISNUMBER('Council Entry'!L$8),ISNUMBER('Council Entry'!L$9)),MAX(MIN('Council Entry'!L31,'Council Entry'!L$9),'Council Entry'!L$8),'Council Entry'!L31)),IF('Council Entry'!L$4="Exponential",EXP(IF(AND(ISNUMBER('Council Entry'!L$8),ISNUMBER('Council Entry'!L$9)),MAX(MIN('Council Entry'!L31,'Council Entry'!L$9),'Council Entry'!L$8),'Council Entry'!L31)),IF(AND(ISNUMBER('Council Entry'!L$8),ISNUMBER('Council Entry'!L$9)),MAX(MIN('Council Entry'!L31,'Council Entry'!L$9),'Council Entry'!L$8),'Council Entry'!L31))))-'Council Entry'!L$5)/('Council Entry'!L$6-'Council Entry'!L$5)),1))),"No data"))</f>
        <v/>
      </c>
      <c r="M31" s="13">
        <f>IF('Council Entry'!M31="","",IFERROR(MAX(0,MIN(10,ROUND(IF('Council Entry'!M$7="Decrease Risk",10-10*((IF('Council Entry'!M$4="Logarithm",LN(0.001+IF(AND(ISNUMBER('Council Entry'!M$8),ISNUMBER('Council Entry'!M$9)),MAX(MIN('Council Entry'!M31,'Council Entry'!M$9),'Council Entry'!M$8),'Council Entry'!M31)),IF('Council Entry'!M$4="Exponential",EXP(IF(AND(ISNUMBER('Council Entry'!M$8),ISNUMBER('Council Entry'!M$9)),MAX(MIN('Council Entry'!M31,'Council Entry'!M$9),'Council Entry'!M$8),'Council Entry'!M31)),IF(AND(ISNUMBER('Council Entry'!M$8),ISNUMBER('Council Entry'!M$9)),MAX(MIN('Council Entry'!M31,'Council Entry'!M$9),'Council Entry'!M$8),'Council Entry'!M31))))-'Council Entry'!M$5)/('Council Entry'!M$6-'Council Entry'!M$5),10*((IF('Council Entry'!M$4="Logarithm",LN(0.001+IF(AND(ISNUMBER('Council Entry'!M$8),ISNUMBER('Council Entry'!M$9)),MAX(MIN('Council Entry'!M31,'Council Entry'!M$9),'Council Entry'!M$8),'Council Entry'!M31)),IF('Council Entry'!M$4="Exponential",EXP(IF(AND(ISNUMBER('Council Entry'!M$8),ISNUMBER('Council Entry'!M$9)),MAX(MIN('Council Entry'!M31,'Council Entry'!M$9),'Council Entry'!M$8),'Council Entry'!M31)),IF(AND(ISNUMBER('Council Entry'!M$8),ISNUMBER('Council Entry'!M$9)),MAX(MIN('Council Entry'!M31,'Council Entry'!M$9),'Council Entry'!M$8),'Council Entry'!M31))))-'Council Entry'!M$5)/('Council Entry'!M$6-'Council Entry'!M$5)),1))),"No data"))</f>
        <v/>
      </c>
      <c r="N31" s="13">
        <f>IF('Council Entry'!N31="","",IFERROR(MAX(0,MIN(10,ROUND(IF('Council Entry'!N$7="Decrease Risk",10-10*((IF('Council Entry'!N$4="Logarithm",LN(0.001+IF(AND(ISNUMBER('Council Entry'!N$8),ISNUMBER('Council Entry'!N$9)),MAX(MIN('Council Entry'!N31,'Council Entry'!N$9),'Council Entry'!N$8),'Council Entry'!N31)),IF('Council Entry'!N$4="Exponential",EXP(IF(AND(ISNUMBER('Council Entry'!N$8),ISNUMBER('Council Entry'!N$9)),MAX(MIN('Council Entry'!N31,'Council Entry'!N$9),'Council Entry'!N$8),'Council Entry'!N31)),IF(AND(ISNUMBER('Council Entry'!N$8),ISNUMBER('Council Entry'!N$9)),MAX(MIN('Council Entry'!N31,'Council Entry'!N$9),'Council Entry'!N$8),'Council Entry'!N31))))-'Council Entry'!N$5)/('Council Entry'!N$6-'Council Entry'!N$5),10*((IF('Council Entry'!N$4="Logarithm",LN(0.001+IF(AND(ISNUMBER('Council Entry'!N$8),ISNUMBER('Council Entry'!N$9)),MAX(MIN('Council Entry'!N31,'Council Entry'!N$9),'Council Entry'!N$8),'Council Entry'!N31)),IF('Council Entry'!N$4="Exponential",EXP(IF(AND(ISNUMBER('Council Entry'!N$8),ISNUMBER('Council Entry'!N$9)),MAX(MIN('Council Entry'!N31,'Council Entry'!N$9),'Council Entry'!N$8),'Council Entry'!N31)),IF(AND(ISNUMBER('Council Entry'!N$8),ISNUMBER('Council Entry'!N$9)),MAX(MIN('Council Entry'!N31,'Council Entry'!N$9),'Council Entry'!N$8),'Council Entry'!N31))))-'Council Entry'!N$5)/('Council Entry'!N$6-'Council Entry'!N$5)),1))),"No data"))</f>
        <v/>
      </c>
      <c r="O31" s="13">
        <f>IF('Council Entry'!O31="","",IFERROR(MAX(0,MIN(10,ROUND(IF('Council Entry'!O$7="Decrease Risk",10-10*((IF('Council Entry'!O$4="Logarithm",LN(0.001+IF(AND(ISNUMBER('Council Entry'!O$8),ISNUMBER('Council Entry'!O$9)),MAX(MIN('Council Entry'!O31,'Council Entry'!O$9),'Council Entry'!O$8),'Council Entry'!O31)),IF('Council Entry'!O$4="Exponential",EXP(IF(AND(ISNUMBER('Council Entry'!O$8),ISNUMBER('Council Entry'!O$9)),MAX(MIN('Council Entry'!O31,'Council Entry'!O$9),'Council Entry'!O$8),'Council Entry'!O31)),IF(AND(ISNUMBER('Council Entry'!O$8),ISNUMBER('Council Entry'!O$9)),MAX(MIN('Council Entry'!O31,'Council Entry'!O$9),'Council Entry'!O$8),'Council Entry'!O31))))-'Council Entry'!O$5)/('Council Entry'!O$6-'Council Entry'!O$5),10*((IF('Council Entry'!O$4="Logarithm",LN(0.001+IF(AND(ISNUMBER('Council Entry'!O$8),ISNUMBER('Council Entry'!O$9)),MAX(MIN('Council Entry'!O31,'Council Entry'!O$9),'Council Entry'!O$8),'Council Entry'!O31)),IF('Council Entry'!O$4="Exponential",EXP(IF(AND(ISNUMBER('Council Entry'!O$8),ISNUMBER('Council Entry'!O$9)),MAX(MIN('Council Entry'!O31,'Council Entry'!O$9),'Council Entry'!O$8),'Council Entry'!O31)),IF(AND(ISNUMBER('Council Entry'!O$8),ISNUMBER('Council Entry'!O$9)),MAX(MIN('Council Entry'!O31,'Council Entry'!O$9),'Council Entry'!O$8),'Council Entry'!O31))))-'Council Entry'!O$5)/('Council Entry'!O$6-'Council Entry'!O$5)),1))),"No data"))</f>
        <v/>
      </c>
      <c r="P31" s="13">
        <f>IF('Council Entry'!P31="","",IFERROR(MAX(0,MIN(10,ROUND(IF('Council Entry'!P$7="Decrease Risk",10-10*((IF('Council Entry'!P$4="Logarithm",LN(0.001+IF(AND(ISNUMBER('Council Entry'!P$8),ISNUMBER('Council Entry'!P$9)),MAX(MIN('Council Entry'!P31,'Council Entry'!P$9),'Council Entry'!P$8),'Council Entry'!P31)),IF('Council Entry'!P$4="Exponential",EXP(IF(AND(ISNUMBER('Council Entry'!P$8),ISNUMBER('Council Entry'!P$9)),MAX(MIN('Council Entry'!P31,'Council Entry'!P$9),'Council Entry'!P$8),'Council Entry'!P31)),IF(AND(ISNUMBER('Council Entry'!P$8),ISNUMBER('Council Entry'!P$9)),MAX(MIN('Council Entry'!P31,'Council Entry'!P$9),'Council Entry'!P$8),'Council Entry'!P31))))-'Council Entry'!P$5)/('Council Entry'!P$6-'Council Entry'!P$5),10*((IF('Council Entry'!P$4="Logarithm",LN(0.001+IF(AND(ISNUMBER('Council Entry'!P$8),ISNUMBER('Council Entry'!P$9)),MAX(MIN('Council Entry'!P31,'Council Entry'!P$9),'Council Entry'!P$8),'Council Entry'!P31)),IF('Council Entry'!P$4="Exponential",EXP(IF(AND(ISNUMBER('Council Entry'!P$8),ISNUMBER('Council Entry'!P$9)),MAX(MIN('Council Entry'!P31,'Council Entry'!P$9),'Council Entry'!P$8),'Council Entry'!P31)),IF(AND(ISNUMBER('Council Entry'!P$8),ISNUMBER('Council Entry'!P$9)),MAX(MIN('Council Entry'!P31,'Council Entry'!P$9),'Council Entry'!P$8),'Council Entry'!P31))))-'Council Entry'!P$5)/('Council Entry'!P$6-'Council Entry'!P$5)),1))),"No data"))</f>
        <v/>
      </c>
      <c r="Q31" s="13">
        <f>IF('Council Entry'!Q31="","",IFERROR(MAX(0,MIN(10,ROUND(IF('Council Entry'!Q$7="Decrease Risk",10-10*((IF('Council Entry'!Q$4="Logarithm",LN(0.001+IF(AND(ISNUMBER('Council Entry'!Q$8),ISNUMBER('Council Entry'!Q$9)),MAX(MIN('Council Entry'!Q31,'Council Entry'!Q$9),'Council Entry'!Q$8),'Council Entry'!Q31)),IF('Council Entry'!Q$4="Exponential",EXP(IF(AND(ISNUMBER('Council Entry'!Q$8),ISNUMBER('Council Entry'!Q$9)),MAX(MIN('Council Entry'!Q31,'Council Entry'!Q$9),'Council Entry'!Q$8),'Council Entry'!Q31)),IF(AND(ISNUMBER('Council Entry'!Q$8),ISNUMBER('Council Entry'!Q$9)),MAX(MIN('Council Entry'!Q31,'Council Entry'!Q$9),'Council Entry'!Q$8),'Council Entry'!Q31))))-'Council Entry'!Q$5)/('Council Entry'!Q$6-'Council Entry'!Q$5),10*((IF('Council Entry'!Q$4="Logarithm",LN(0.001+IF(AND(ISNUMBER('Council Entry'!Q$8),ISNUMBER('Council Entry'!Q$9)),MAX(MIN('Council Entry'!Q31,'Council Entry'!Q$9),'Council Entry'!Q$8),'Council Entry'!Q31)),IF('Council Entry'!Q$4="Exponential",EXP(IF(AND(ISNUMBER('Council Entry'!Q$8),ISNUMBER('Council Entry'!Q$9)),MAX(MIN('Council Entry'!Q31,'Council Entry'!Q$9),'Council Entry'!Q$8),'Council Entry'!Q31)),IF(AND(ISNUMBER('Council Entry'!Q$8),ISNUMBER('Council Entry'!Q$9)),MAX(MIN('Council Entry'!Q31,'Council Entry'!Q$9),'Council Entry'!Q$8),'Council Entry'!Q31))))-'Council Entry'!Q$5)/('Council Entry'!Q$6-'Council Entry'!Q$5)),1))),"No data"))</f>
        <v/>
      </c>
      <c r="R31" s="13">
        <f>IF('Council Entry'!R31="","",IFERROR(MAX(0,MIN(10,ROUND(IF('Council Entry'!R$7="Decrease Risk",10-10*((IF('Council Entry'!R$4="Logarithm",LN(0.001+IF(AND(ISNUMBER('Council Entry'!R$8),ISNUMBER('Council Entry'!R$9)),MAX(MIN('Council Entry'!R31,'Council Entry'!R$9),'Council Entry'!R$8),'Council Entry'!R31)),IF('Council Entry'!R$4="Exponential",EXP(IF(AND(ISNUMBER('Council Entry'!R$8),ISNUMBER('Council Entry'!R$9)),MAX(MIN('Council Entry'!R31,'Council Entry'!R$9),'Council Entry'!R$8),'Council Entry'!R31)),IF(AND(ISNUMBER('Council Entry'!R$8),ISNUMBER('Council Entry'!R$9)),MAX(MIN('Council Entry'!R31,'Council Entry'!R$9),'Council Entry'!R$8),'Council Entry'!R31))))-'Council Entry'!R$5)/('Council Entry'!R$6-'Council Entry'!R$5),10*((IF('Council Entry'!R$4="Logarithm",LN(0.001+IF(AND(ISNUMBER('Council Entry'!R$8),ISNUMBER('Council Entry'!R$9)),MAX(MIN('Council Entry'!R31,'Council Entry'!R$9),'Council Entry'!R$8),'Council Entry'!R31)),IF('Council Entry'!R$4="Exponential",EXP(IF(AND(ISNUMBER('Council Entry'!R$8),ISNUMBER('Council Entry'!R$9)),MAX(MIN('Council Entry'!R31,'Council Entry'!R$9),'Council Entry'!R$8),'Council Entry'!R31)),IF(AND(ISNUMBER('Council Entry'!R$8),ISNUMBER('Council Entry'!R$9)),MAX(MIN('Council Entry'!R31,'Council Entry'!R$9),'Council Entry'!R$8),'Council Entry'!R31))))-'Council Entry'!R$5)/('Council Entry'!R$6-'Council Entry'!R$5)),1))),"No data"))</f>
        <v/>
      </c>
      <c r="S31" s="13">
        <f>IF('Council Entry'!S31="","",IFERROR(MAX(0,MIN(10,ROUND(IF('Council Entry'!S$7="Decrease Risk",10-10*((IF('Council Entry'!S$4="Logarithm",LN(0.001+IF(AND(ISNUMBER('Council Entry'!S$8),ISNUMBER('Council Entry'!S$9)),MAX(MIN('Council Entry'!S31,'Council Entry'!S$9),'Council Entry'!S$8),'Council Entry'!S31)),IF('Council Entry'!S$4="Exponential",EXP(IF(AND(ISNUMBER('Council Entry'!S$8),ISNUMBER('Council Entry'!S$9)),MAX(MIN('Council Entry'!S31,'Council Entry'!S$9),'Council Entry'!S$8),'Council Entry'!S31)),IF(AND(ISNUMBER('Council Entry'!S$8),ISNUMBER('Council Entry'!S$9)),MAX(MIN('Council Entry'!S31,'Council Entry'!S$9),'Council Entry'!S$8),'Council Entry'!S31))))-'Council Entry'!S$5)/('Council Entry'!S$6-'Council Entry'!S$5),10*((IF('Council Entry'!S$4="Logarithm",LN(0.001+IF(AND(ISNUMBER('Council Entry'!S$8),ISNUMBER('Council Entry'!S$9)),MAX(MIN('Council Entry'!S31,'Council Entry'!S$9),'Council Entry'!S$8),'Council Entry'!S31)),IF('Council Entry'!S$4="Exponential",EXP(IF(AND(ISNUMBER('Council Entry'!S$8),ISNUMBER('Council Entry'!S$9)),MAX(MIN('Council Entry'!S31,'Council Entry'!S$9),'Council Entry'!S$8),'Council Entry'!S31)),IF(AND(ISNUMBER('Council Entry'!S$8),ISNUMBER('Council Entry'!S$9)),MAX(MIN('Council Entry'!S31,'Council Entry'!S$9),'Council Entry'!S$8),'Council Entry'!S31))))-'Council Entry'!S$5)/('Council Entry'!S$6-'Council Entry'!S$5)),1))),"No data"))</f>
        <v/>
      </c>
      <c r="T31" s="13">
        <f>IF('Council Entry'!T31="","",IFERROR(MAX(0,MIN(10,ROUND(IF('Council Entry'!T$7="Decrease Risk",10-10*((IF('Council Entry'!T$4="Logarithm",LN(0.001+IF(AND(ISNUMBER('Council Entry'!T$8),ISNUMBER('Council Entry'!T$9)),MAX(MIN('Council Entry'!T31,'Council Entry'!T$9),'Council Entry'!T$8),'Council Entry'!T31)),IF('Council Entry'!T$4="Exponential",EXP(IF(AND(ISNUMBER('Council Entry'!T$8),ISNUMBER('Council Entry'!T$9)),MAX(MIN('Council Entry'!T31,'Council Entry'!T$9),'Council Entry'!T$8),'Council Entry'!T31)),IF(AND(ISNUMBER('Council Entry'!T$8),ISNUMBER('Council Entry'!T$9)),MAX(MIN('Council Entry'!T31,'Council Entry'!T$9),'Council Entry'!T$8),'Council Entry'!T31))))-'Council Entry'!T$5)/('Council Entry'!T$6-'Council Entry'!T$5),10*((IF('Council Entry'!T$4="Logarithm",LN(0.001+IF(AND(ISNUMBER('Council Entry'!T$8),ISNUMBER('Council Entry'!T$9)),MAX(MIN('Council Entry'!T31,'Council Entry'!T$9),'Council Entry'!T$8),'Council Entry'!T31)),IF('Council Entry'!T$4="Exponential",EXP(IF(AND(ISNUMBER('Council Entry'!T$8),ISNUMBER('Council Entry'!T$9)),MAX(MIN('Council Entry'!T31,'Council Entry'!T$9),'Council Entry'!T$8),'Council Entry'!T31)),IF(AND(ISNUMBER('Council Entry'!T$8),ISNUMBER('Council Entry'!T$9)),MAX(MIN('Council Entry'!T31,'Council Entry'!T$9),'Council Entry'!T$8),'Council Entry'!T31))))-'Council Entry'!T$5)/('Council Entry'!T$6-'Council Entry'!T$5)),1))),"No data"))</f>
        <v/>
      </c>
      <c r="U31" s="13">
        <f>IF('Council Entry'!U31="","",IFERROR(MAX(0,MIN(10,ROUND(IF('Council Entry'!U$7="Decrease Risk",10-10*((IF('Council Entry'!U$4="Logarithm",LN(0.001+IF(AND(ISNUMBER('Council Entry'!U$8),ISNUMBER('Council Entry'!U$9)),MAX(MIN('Council Entry'!U31,'Council Entry'!U$9),'Council Entry'!U$8),'Council Entry'!U31)),IF('Council Entry'!U$4="Exponential",EXP(IF(AND(ISNUMBER('Council Entry'!U$8),ISNUMBER('Council Entry'!U$9)),MAX(MIN('Council Entry'!U31,'Council Entry'!U$9),'Council Entry'!U$8),'Council Entry'!U31)),IF(AND(ISNUMBER('Council Entry'!U$8),ISNUMBER('Council Entry'!U$9)),MAX(MIN('Council Entry'!U31,'Council Entry'!U$9),'Council Entry'!U$8),'Council Entry'!U31))))-'Council Entry'!U$5)/('Council Entry'!U$6-'Council Entry'!U$5),10*((IF('Council Entry'!U$4="Logarithm",LN(0.001+IF(AND(ISNUMBER('Council Entry'!U$8),ISNUMBER('Council Entry'!U$9)),MAX(MIN('Council Entry'!U31,'Council Entry'!U$9),'Council Entry'!U$8),'Council Entry'!U31)),IF('Council Entry'!U$4="Exponential",EXP(IF(AND(ISNUMBER('Council Entry'!U$8),ISNUMBER('Council Entry'!U$9)),MAX(MIN('Council Entry'!U31,'Council Entry'!U$9),'Council Entry'!U$8),'Council Entry'!U31)),IF(AND(ISNUMBER('Council Entry'!U$8),ISNUMBER('Council Entry'!U$9)),MAX(MIN('Council Entry'!U31,'Council Entry'!U$9),'Council Entry'!U$8),'Council Entry'!U31))))-'Council Entry'!U$5)/('Council Entry'!U$6-'Council Entry'!U$5)),1))),"No data"))</f>
        <v/>
      </c>
      <c r="V31" s="13">
        <f>IF('Council Entry'!V31="","",IFERROR(MAX(0,MIN(10,ROUND(IF('Council Entry'!V$7="Decrease Risk",10-10*((IF('Council Entry'!V$4="Logarithm",LN(0.001+IF(AND(ISNUMBER('Council Entry'!V$8),ISNUMBER('Council Entry'!V$9)),MAX(MIN('Council Entry'!V31,'Council Entry'!V$9),'Council Entry'!V$8),'Council Entry'!V31)),IF('Council Entry'!V$4="Exponential",EXP(IF(AND(ISNUMBER('Council Entry'!V$8),ISNUMBER('Council Entry'!V$9)),MAX(MIN('Council Entry'!V31,'Council Entry'!V$9),'Council Entry'!V$8),'Council Entry'!V31)),IF(AND(ISNUMBER('Council Entry'!V$8),ISNUMBER('Council Entry'!V$9)),MAX(MIN('Council Entry'!V31,'Council Entry'!V$9),'Council Entry'!V$8),'Council Entry'!V31))))-'Council Entry'!V$5)/('Council Entry'!V$6-'Council Entry'!V$5),10*((IF('Council Entry'!V$4="Logarithm",LN(0.001+IF(AND(ISNUMBER('Council Entry'!V$8),ISNUMBER('Council Entry'!V$9)),MAX(MIN('Council Entry'!V31,'Council Entry'!V$9),'Council Entry'!V$8),'Council Entry'!V31)),IF('Council Entry'!V$4="Exponential",EXP(IF(AND(ISNUMBER('Council Entry'!V$8),ISNUMBER('Council Entry'!V$9)),MAX(MIN('Council Entry'!V31,'Council Entry'!V$9),'Council Entry'!V$8),'Council Entry'!V31)),IF(AND(ISNUMBER('Council Entry'!V$8),ISNUMBER('Council Entry'!V$9)),MAX(MIN('Council Entry'!V31,'Council Entry'!V$9),'Council Entry'!V$8),'Council Entry'!V31))))-'Council Entry'!V$5)/('Council Entry'!V$6-'Council Entry'!V$5)),1))),"No data"))</f>
        <v/>
      </c>
      <c r="W31" s="13">
        <f>IF('Council Entry'!W31="","",IFERROR(MAX(0,MIN(10,ROUND(IF('Council Entry'!W$7="Decrease Risk",10-10*((IF('Council Entry'!W$4="Logarithm",LN(0.001+IF(AND(ISNUMBER('Council Entry'!W$8),ISNUMBER('Council Entry'!W$9)),MAX(MIN('Council Entry'!W31,'Council Entry'!W$9),'Council Entry'!W$8),'Council Entry'!W31)),IF('Council Entry'!W$4="Exponential",EXP(IF(AND(ISNUMBER('Council Entry'!W$8),ISNUMBER('Council Entry'!W$9)),MAX(MIN('Council Entry'!W31,'Council Entry'!W$9),'Council Entry'!W$8),'Council Entry'!W31)),IF(AND(ISNUMBER('Council Entry'!W$8),ISNUMBER('Council Entry'!W$9)),MAX(MIN('Council Entry'!W31,'Council Entry'!W$9),'Council Entry'!W$8),'Council Entry'!W31))))-'Council Entry'!W$5)/('Council Entry'!W$6-'Council Entry'!W$5),10*((IF('Council Entry'!W$4="Logarithm",LN(0.001+IF(AND(ISNUMBER('Council Entry'!W$8),ISNUMBER('Council Entry'!W$9)),MAX(MIN('Council Entry'!W31,'Council Entry'!W$9),'Council Entry'!W$8),'Council Entry'!W31)),IF('Council Entry'!W$4="Exponential",EXP(IF(AND(ISNUMBER('Council Entry'!W$8),ISNUMBER('Council Entry'!W$9)),MAX(MIN('Council Entry'!W31,'Council Entry'!W$9),'Council Entry'!W$8),'Council Entry'!W31)),IF(AND(ISNUMBER('Council Entry'!W$8),ISNUMBER('Council Entry'!W$9)),MAX(MIN('Council Entry'!W31,'Council Entry'!W$9),'Council Entry'!W$8),'Council Entry'!W31))))-'Council Entry'!W$5)/('Council Entry'!W$6-'Council Entry'!W$5)),1))),"No data"))</f>
        <v/>
      </c>
      <c r="X31" s="13">
        <f>IF('Council Entry'!X31="","",IFERROR(MAX(0,MIN(10,ROUND(IF('Council Entry'!X$7="Decrease Risk",10-10*((IF('Council Entry'!X$4="Logarithm",LN(0.001+IF(AND(ISNUMBER('Council Entry'!X$8),ISNUMBER('Council Entry'!X$9)),MAX(MIN('Council Entry'!X31,'Council Entry'!X$9),'Council Entry'!X$8),'Council Entry'!X31)),IF('Council Entry'!X$4="Exponential",EXP(IF(AND(ISNUMBER('Council Entry'!X$8),ISNUMBER('Council Entry'!X$9)),MAX(MIN('Council Entry'!X31,'Council Entry'!X$9),'Council Entry'!X$8),'Council Entry'!X31)),IF(AND(ISNUMBER('Council Entry'!X$8),ISNUMBER('Council Entry'!X$9)),MAX(MIN('Council Entry'!X31,'Council Entry'!X$9),'Council Entry'!X$8),'Council Entry'!X31))))-'Council Entry'!X$5)/('Council Entry'!X$6-'Council Entry'!X$5),10*((IF('Council Entry'!X$4="Logarithm",LN(0.001+IF(AND(ISNUMBER('Council Entry'!X$8),ISNUMBER('Council Entry'!X$9)),MAX(MIN('Council Entry'!X31,'Council Entry'!X$9),'Council Entry'!X$8),'Council Entry'!X31)),IF('Council Entry'!X$4="Exponential",EXP(IF(AND(ISNUMBER('Council Entry'!X$8),ISNUMBER('Council Entry'!X$9)),MAX(MIN('Council Entry'!X31,'Council Entry'!X$9),'Council Entry'!X$8),'Council Entry'!X31)),IF(AND(ISNUMBER('Council Entry'!X$8),ISNUMBER('Council Entry'!X$9)),MAX(MIN('Council Entry'!X31,'Council Entry'!X$9),'Council Entry'!X$8),'Council Entry'!X31))))-'Council Entry'!X$5)/('Council Entry'!X$6-'Council Entry'!X$5)),1))),"No data"))</f>
        <v/>
      </c>
      <c r="Y31" s="13">
        <f>IF('Council Entry'!Y31="","",IFERROR(MAX(0,MIN(10,ROUND(IF('Council Entry'!Y$7="Decrease Risk",10-10*((IF('Council Entry'!Y$4="Logarithm",LN(0.001+IF(AND(ISNUMBER('Council Entry'!Y$8),ISNUMBER('Council Entry'!Y$9)),MAX(MIN('Council Entry'!Y31,'Council Entry'!Y$9),'Council Entry'!Y$8),'Council Entry'!Y31)),IF('Council Entry'!Y$4="Exponential",EXP(IF(AND(ISNUMBER('Council Entry'!Y$8),ISNUMBER('Council Entry'!Y$9)),MAX(MIN('Council Entry'!Y31,'Council Entry'!Y$9),'Council Entry'!Y$8),'Council Entry'!Y31)),IF(AND(ISNUMBER('Council Entry'!Y$8),ISNUMBER('Council Entry'!Y$9)),MAX(MIN('Council Entry'!Y31,'Council Entry'!Y$9),'Council Entry'!Y$8),'Council Entry'!Y31))))-'Council Entry'!Y$5)/('Council Entry'!Y$6-'Council Entry'!Y$5),10*((IF('Council Entry'!Y$4="Logarithm",LN(0.001+IF(AND(ISNUMBER('Council Entry'!Y$8),ISNUMBER('Council Entry'!Y$9)),MAX(MIN('Council Entry'!Y31,'Council Entry'!Y$9),'Council Entry'!Y$8),'Council Entry'!Y31)),IF('Council Entry'!Y$4="Exponential",EXP(IF(AND(ISNUMBER('Council Entry'!Y$8),ISNUMBER('Council Entry'!Y$9)),MAX(MIN('Council Entry'!Y31,'Council Entry'!Y$9),'Council Entry'!Y$8),'Council Entry'!Y31)),IF(AND(ISNUMBER('Council Entry'!Y$8),ISNUMBER('Council Entry'!Y$9)),MAX(MIN('Council Entry'!Y31,'Council Entry'!Y$9),'Council Entry'!Y$8),'Council Entry'!Y31))))-'Council Entry'!Y$5)/('Council Entry'!Y$6-'Council Entry'!Y$5)),1))),"No data"))</f>
        <v/>
      </c>
      <c r="Z31" s="13">
        <f>IF('Council Entry'!Z31="","",IFERROR(MAX(0,MIN(10,ROUND(IF('Council Entry'!Z$7="Decrease Risk",10-10*((IF('Council Entry'!Z$4="Logarithm",LN(0.001+IF(AND(ISNUMBER('Council Entry'!Z$8),ISNUMBER('Council Entry'!Z$9)),MAX(MIN('Council Entry'!Z31,'Council Entry'!Z$9),'Council Entry'!Z$8),'Council Entry'!Z31)),IF('Council Entry'!Z$4="Exponential",EXP(IF(AND(ISNUMBER('Council Entry'!Z$8),ISNUMBER('Council Entry'!Z$9)),MAX(MIN('Council Entry'!Z31,'Council Entry'!Z$9),'Council Entry'!Z$8),'Council Entry'!Z31)),IF(AND(ISNUMBER('Council Entry'!Z$8),ISNUMBER('Council Entry'!Z$9)),MAX(MIN('Council Entry'!Z31,'Council Entry'!Z$9),'Council Entry'!Z$8),'Council Entry'!Z31))))-'Council Entry'!Z$5)/('Council Entry'!Z$6-'Council Entry'!Z$5),10*((IF('Council Entry'!Z$4="Logarithm",LN(0.001+IF(AND(ISNUMBER('Council Entry'!Z$8),ISNUMBER('Council Entry'!Z$9)),MAX(MIN('Council Entry'!Z31,'Council Entry'!Z$9),'Council Entry'!Z$8),'Council Entry'!Z31)),IF('Council Entry'!Z$4="Exponential",EXP(IF(AND(ISNUMBER('Council Entry'!Z$8),ISNUMBER('Council Entry'!Z$9)),MAX(MIN('Council Entry'!Z31,'Council Entry'!Z$9),'Council Entry'!Z$8),'Council Entry'!Z31)),IF(AND(ISNUMBER('Council Entry'!Z$8),ISNUMBER('Council Entry'!Z$9)),MAX(MIN('Council Entry'!Z31,'Council Entry'!Z$9),'Council Entry'!Z$8),'Council Entry'!Z31))))-'Council Entry'!Z$5)/('Council Entry'!Z$6-'Council Entry'!Z$5)),1))),"No data"))</f>
        <v/>
      </c>
      <c r="AA31" s="13">
        <f>IF('Council Entry'!AA31="","",IFERROR(MAX(0,MIN(10,ROUND(IF('Council Entry'!AA$7="Decrease Risk",10-10*((IF('Council Entry'!AA$4="Logarithm",LN(0.001+IF(AND(ISNUMBER('Council Entry'!AA$8),ISNUMBER('Council Entry'!AA$9)),MAX(MIN('Council Entry'!AA31,'Council Entry'!AA$9),'Council Entry'!AA$8),'Council Entry'!AA31)),IF('Council Entry'!AA$4="Exponential",EXP(IF(AND(ISNUMBER('Council Entry'!AA$8),ISNUMBER('Council Entry'!AA$9)),MAX(MIN('Council Entry'!AA31,'Council Entry'!AA$9),'Council Entry'!AA$8),'Council Entry'!AA31)),IF(AND(ISNUMBER('Council Entry'!AA$8),ISNUMBER('Council Entry'!AA$9)),MAX(MIN('Council Entry'!AA31,'Council Entry'!AA$9),'Council Entry'!AA$8),'Council Entry'!AA31))))-'Council Entry'!AA$5)/('Council Entry'!AA$6-'Council Entry'!AA$5),10*((IF('Council Entry'!AA$4="Logarithm",LN(0.001+IF(AND(ISNUMBER('Council Entry'!AA$8),ISNUMBER('Council Entry'!AA$9)),MAX(MIN('Council Entry'!AA31,'Council Entry'!AA$9),'Council Entry'!AA$8),'Council Entry'!AA31)),IF('Council Entry'!AA$4="Exponential",EXP(IF(AND(ISNUMBER('Council Entry'!AA$8),ISNUMBER('Council Entry'!AA$9)),MAX(MIN('Council Entry'!AA31,'Council Entry'!AA$9),'Council Entry'!AA$8),'Council Entry'!AA31)),IF(AND(ISNUMBER('Council Entry'!AA$8),ISNUMBER('Council Entry'!AA$9)),MAX(MIN('Council Entry'!AA31,'Council Entry'!AA$9),'Council Entry'!AA$8),'Council Entry'!AA31))))-'Council Entry'!AA$5)/('Council Entry'!AA$6-'Council Entry'!AA$5)),1))),"No data"))</f>
        <v/>
      </c>
      <c r="AB31" s="13">
        <f>IF('Council Entry'!AB31="","",IFERROR(MAX(0,MIN(10,ROUND(IF('Council Entry'!AB$7="Decrease Risk",10-10*((IF('Council Entry'!AB$4="Logarithm",LN(0.001+IF(AND(ISNUMBER('Council Entry'!AB$8),ISNUMBER('Council Entry'!AB$9)),MAX(MIN('Council Entry'!AB31,'Council Entry'!AB$9),'Council Entry'!AB$8),'Council Entry'!AB31)),IF('Council Entry'!AB$4="Exponential",EXP(IF(AND(ISNUMBER('Council Entry'!AB$8),ISNUMBER('Council Entry'!AB$9)),MAX(MIN('Council Entry'!AB31,'Council Entry'!AB$9),'Council Entry'!AB$8),'Council Entry'!AB31)),IF(AND(ISNUMBER('Council Entry'!AB$8),ISNUMBER('Council Entry'!AB$9)),MAX(MIN('Council Entry'!AB31,'Council Entry'!AB$9),'Council Entry'!AB$8),'Council Entry'!AB31))))-'Council Entry'!AB$5)/('Council Entry'!AB$6-'Council Entry'!AB$5),10*((IF('Council Entry'!AB$4="Logarithm",LN(0.001+IF(AND(ISNUMBER('Council Entry'!AB$8),ISNUMBER('Council Entry'!AB$9)),MAX(MIN('Council Entry'!AB31,'Council Entry'!AB$9),'Council Entry'!AB$8),'Council Entry'!AB31)),IF('Council Entry'!AB$4="Exponential",EXP(IF(AND(ISNUMBER('Council Entry'!AB$8),ISNUMBER('Council Entry'!AB$9)),MAX(MIN('Council Entry'!AB31,'Council Entry'!AB$9),'Council Entry'!AB$8),'Council Entry'!AB31)),IF(AND(ISNUMBER('Council Entry'!AB$8),ISNUMBER('Council Entry'!AB$9)),MAX(MIN('Council Entry'!AB31,'Council Entry'!AB$9),'Council Entry'!AB$8),'Council Entry'!AB31))))-'Council Entry'!AB$5)/('Council Entry'!AB$6-'Council Entry'!AB$5)),1))),"No data"))</f>
        <v/>
      </c>
      <c r="AC31" s="13">
        <f>IF('Council Entry'!AC31="","",IFERROR(MAX(0,MIN(10,ROUND(IF('Council Entry'!AC$7="Decrease Risk",10-10*((IF('Council Entry'!AC$4="Logarithm",LN(0.001+IF(AND(ISNUMBER('Council Entry'!AC$8),ISNUMBER('Council Entry'!AC$9)),MAX(MIN('Council Entry'!AC31,'Council Entry'!AC$9),'Council Entry'!AC$8),'Council Entry'!AC31)),IF('Council Entry'!AC$4="Exponential",EXP(IF(AND(ISNUMBER('Council Entry'!AC$8),ISNUMBER('Council Entry'!AC$9)),MAX(MIN('Council Entry'!AC31,'Council Entry'!AC$9),'Council Entry'!AC$8),'Council Entry'!AC31)),IF(AND(ISNUMBER('Council Entry'!AC$8),ISNUMBER('Council Entry'!AC$9)),MAX(MIN('Council Entry'!AC31,'Council Entry'!AC$9),'Council Entry'!AC$8),'Council Entry'!AC31))))-'Council Entry'!AC$5)/('Council Entry'!AC$6-'Council Entry'!AC$5),10*((IF('Council Entry'!AC$4="Logarithm",LN(0.001+IF(AND(ISNUMBER('Council Entry'!AC$8),ISNUMBER('Council Entry'!AC$9)),MAX(MIN('Council Entry'!AC31,'Council Entry'!AC$9),'Council Entry'!AC$8),'Council Entry'!AC31)),IF('Council Entry'!AC$4="Exponential",EXP(IF(AND(ISNUMBER('Council Entry'!AC$8),ISNUMBER('Council Entry'!AC$9)),MAX(MIN('Council Entry'!AC31,'Council Entry'!AC$9),'Council Entry'!AC$8),'Council Entry'!AC31)),IF(AND(ISNUMBER('Council Entry'!AC$8),ISNUMBER('Council Entry'!AC$9)),MAX(MIN('Council Entry'!AC31,'Council Entry'!AC$9),'Council Entry'!AC$8),'Council Entry'!AC31))))-'Council Entry'!AC$5)/('Council Entry'!AC$6-'Council Entry'!AC$5)),1))),"No data"))</f>
        <v/>
      </c>
      <c r="AD31" s="13">
        <f>IF('Council Entry'!AD31="","",IFERROR(MAX(0,MIN(10,ROUND(IF('Council Entry'!AD$7="Decrease Risk",10-10*((IF('Council Entry'!AD$4="Logarithm",LN(0.001+IF(AND(ISNUMBER('Council Entry'!AD$8),ISNUMBER('Council Entry'!AD$9)),MAX(MIN('Council Entry'!AD31,'Council Entry'!AD$9),'Council Entry'!AD$8),'Council Entry'!AD31)),IF('Council Entry'!AD$4="Exponential",EXP(IF(AND(ISNUMBER('Council Entry'!AD$8),ISNUMBER('Council Entry'!AD$9)),MAX(MIN('Council Entry'!AD31,'Council Entry'!AD$9),'Council Entry'!AD$8),'Council Entry'!AD31)),IF(AND(ISNUMBER('Council Entry'!AD$8),ISNUMBER('Council Entry'!AD$9)),MAX(MIN('Council Entry'!AD31,'Council Entry'!AD$9),'Council Entry'!AD$8),'Council Entry'!AD31))))-'Council Entry'!AD$5)/('Council Entry'!AD$6-'Council Entry'!AD$5),10*((IF('Council Entry'!AD$4="Logarithm",LN(0.001+IF(AND(ISNUMBER('Council Entry'!AD$8),ISNUMBER('Council Entry'!AD$9)),MAX(MIN('Council Entry'!AD31,'Council Entry'!AD$9),'Council Entry'!AD$8),'Council Entry'!AD31)),IF('Council Entry'!AD$4="Exponential",EXP(IF(AND(ISNUMBER('Council Entry'!AD$8),ISNUMBER('Council Entry'!AD$9)),MAX(MIN('Council Entry'!AD31,'Council Entry'!AD$9),'Council Entry'!AD$8),'Council Entry'!AD31)),IF(AND(ISNUMBER('Council Entry'!AD$8),ISNUMBER('Council Entry'!AD$9)),MAX(MIN('Council Entry'!AD31,'Council Entry'!AD$9),'Council Entry'!AD$8),'Council Entry'!AD31))))-'Council Entry'!AD$5)/('Council Entry'!AD$6-'Council Entry'!AD$5)),1))),"No data"))</f>
        <v/>
      </c>
      <c r="AE31" s="13">
        <f>IF('Council Entry'!AE31="","",IFERROR(MAX(0,MIN(10,ROUND(IF('Council Entry'!AE$7="Decrease Risk",10-10*((IF('Council Entry'!AE$4="Logarithm",LN(0.001+IF(AND(ISNUMBER('Council Entry'!AE$8),ISNUMBER('Council Entry'!AE$9)),MAX(MIN('Council Entry'!AE31,'Council Entry'!AE$9),'Council Entry'!AE$8),'Council Entry'!AE31)),IF('Council Entry'!AE$4="Exponential",EXP(IF(AND(ISNUMBER('Council Entry'!AE$8),ISNUMBER('Council Entry'!AE$9)),MAX(MIN('Council Entry'!AE31,'Council Entry'!AE$9),'Council Entry'!AE$8),'Council Entry'!AE31)),IF(AND(ISNUMBER('Council Entry'!AE$8),ISNUMBER('Council Entry'!AE$9)),MAX(MIN('Council Entry'!AE31,'Council Entry'!AE$9),'Council Entry'!AE$8),'Council Entry'!AE31))))-'Council Entry'!AE$5)/('Council Entry'!AE$6-'Council Entry'!AE$5),10*((IF('Council Entry'!AE$4="Logarithm",LN(0.001+IF(AND(ISNUMBER('Council Entry'!AE$8),ISNUMBER('Council Entry'!AE$9)),MAX(MIN('Council Entry'!AE31,'Council Entry'!AE$9),'Council Entry'!AE$8),'Council Entry'!AE31)),IF('Council Entry'!AE$4="Exponential",EXP(IF(AND(ISNUMBER('Council Entry'!AE$8),ISNUMBER('Council Entry'!AE$9)),MAX(MIN('Council Entry'!AE31,'Council Entry'!AE$9),'Council Entry'!AE$8),'Council Entry'!AE31)),IF(AND(ISNUMBER('Council Entry'!AE$8),ISNUMBER('Council Entry'!AE$9)),MAX(MIN('Council Entry'!AE31,'Council Entry'!AE$9),'Council Entry'!AE$8),'Council Entry'!AE31))))-'Council Entry'!AE$5)/('Council Entry'!AE$6-'Council Entry'!AE$5)),1))),"No data"))</f>
        <v/>
      </c>
      <c r="AF31" s="13">
        <f>IF('Council Entry'!AF31="","",IFERROR(MAX(0,MIN(10,ROUND(IF('Council Entry'!AF$7="Decrease Risk",10-10*((IF('Council Entry'!AF$4="Logarithm",LN(0.001+IF(AND(ISNUMBER('Council Entry'!AF$8),ISNUMBER('Council Entry'!AF$9)),MAX(MIN('Council Entry'!AF31,'Council Entry'!AF$9),'Council Entry'!AF$8),'Council Entry'!AF31)),IF('Council Entry'!AF$4="Exponential",EXP(IF(AND(ISNUMBER('Council Entry'!AF$8),ISNUMBER('Council Entry'!AF$9)),MAX(MIN('Council Entry'!AF31,'Council Entry'!AF$9),'Council Entry'!AF$8),'Council Entry'!AF31)),IF(AND(ISNUMBER('Council Entry'!AF$8),ISNUMBER('Council Entry'!AF$9)),MAX(MIN('Council Entry'!AF31,'Council Entry'!AF$9),'Council Entry'!AF$8),'Council Entry'!AF31))))-'Council Entry'!AF$5)/('Council Entry'!AF$6-'Council Entry'!AF$5),10*((IF('Council Entry'!AF$4="Logarithm",LN(0.001+IF(AND(ISNUMBER('Council Entry'!AF$8),ISNUMBER('Council Entry'!AF$9)),MAX(MIN('Council Entry'!AF31,'Council Entry'!AF$9),'Council Entry'!AF$8),'Council Entry'!AF31)),IF('Council Entry'!AF$4="Exponential",EXP(IF(AND(ISNUMBER('Council Entry'!AF$8),ISNUMBER('Council Entry'!AF$9)),MAX(MIN('Council Entry'!AF31,'Council Entry'!AF$9),'Council Entry'!AF$8),'Council Entry'!AF31)),IF(AND(ISNUMBER('Council Entry'!AF$8),ISNUMBER('Council Entry'!AF$9)),MAX(MIN('Council Entry'!AF31,'Council Entry'!AF$9),'Council Entry'!AF$8),'Council Entry'!AF31))))-'Council Entry'!AF$5)/('Council Entry'!AF$6-'Council Entry'!AF$5)),1))),"No data"))</f>
        <v/>
      </c>
      <c r="AG31" s="13">
        <f>IF('Council Entry'!AG31="","",IFERROR(MAX(0,MIN(10,ROUND(IF('Council Entry'!AG$7="Decrease Risk",10-10*((IF('Council Entry'!AG$4="Logarithm",LN(0.001+IF(AND(ISNUMBER('Council Entry'!AG$8),ISNUMBER('Council Entry'!AG$9)),MAX(MIN('Council Entry'!AG31,'Council Entry'!AG$9),'Council Entry'!AG$8),'Council Entry'!AG31)),IF('Council Entry'!AG$4="Exponential",EXP(IF(AND(ISNUMBER('Council Entry'!AG$8),ISNUMBER('Council Entry'!AG$9)),MAX(MIN('Council Entry'!AG31,'Council Entry'!AG$9),'Council Entry'!AG$8),'Council Entry'!AG31)),IF(AND(ISNUMBER('Council Entry'!AG$8),ISNUMBER('Council Entry'!AG$9)),MAX(MIN('Council Entry'!AG31,'Council Entry'!AG$9),'Council Entry'!AG$8),'Council Entry'!AG31))))-'Council Entry'!AG$5)/('Council Entry'!AG$6-'Council Entry'!AG$5),10*((IF('Council Entry'!AG$4="Logarithm",LN(0.001+IF(AND(ISNUMBER('Council Entry'!AG$8),ISNUMBER('Council Entry'!AG$9)),MAX(MIN('Council Entry'!AG31,'Council Entry'!AG$9),'Council Entry'!AG$8),'Council Entry'!AG31)),IF('Council Entry'!AG$4="Exponential",EXP(IF(AND(ISNUMBER('Council Entry'!AG$8),ISNUMBER('Council Entry'!AG$9)),MAX(MIN('Council Entry'!AG31,'Council Entry'!AG$9),'Council Entry'!AG$8),'Council Entry'!AG31)),IF(AND(ISNUMBER('Council Entry'!AG$8),ISNUMBER('Council Entry'!AG$9)),MAX(MIN('Council Entry'!AG31,'Council Entry'!AG$9),'Council Entry'!AG$8),'Council Entry'!AG31))))-'Council Entry'!AG$5)/('Council Entry'!AG$6-'Council Entry'!AG$5)),1))),"No data"))</f>
        <v/>
      </c>
      <c r="AH31" s="13">
        <f>IF('Council Entry'!AH31="","",IFERROR(MAX(0,MIN(10,ROUND(IF('Council Entry'!AH$7="Decrease Risk",10-10*((IF('Council Entry'!AH$4="Logarithm",LN(0.001+IF(AND(ISNUMBER('Council Entry'!AH$8),ISNUMBER('Council Entry'!AH$9)),MAX(MIN('Council Entry'!AH31,'Council Entry'!AH$9),'Council Entry'!AH$8),'Council Entry'!AH31)),IF('Council Entry'!AH$4="Exponential",EXP(IF(AND(ISNUMBER('Council Entry'!AH$8),ISNUMBER('Council Entry'!AH$9)),MAX(MIN('Council Entry'!AH31,'Council Entry'!AH$9),'Council Entry'!AH$8),'Council Entry'!AH31)),IF(AND(ISNUMBER('Council Entry'!AH$8),ISNUMBER('Council Entry'!AH$9)),MAX(MIN('Council Entry'!AH31,'Council Entry'!AH$9),'Council Entry'!AH$8),'Council Entry'!AH31))))-'Council Entry'!AH$5)/('Council Entry'!AH$6-'Council Entry'!AH$5),10*((IF('Council Entry'!AH$4="Logarithm",LN(0.001+IF(AND(ISNUMBER('Council Entry'!AH$8),ISNUMBER('Council Entry'!AH$9)),MAX(MIN('Council Entry'!AH31,'Council Entry'!AH$9),'Council Entry'!AH$8),'Council Entry'!AH31)),IF('Council Entry'!AH$4="Exponential",EXP(IF(AND(ISNUMBER('Council Entry'!AH$8),ISNUMBER('Council Entry'!AH$9)),MAX(MIN('Council Entry'!AH31,'Council Entry'!AH$9),'Council Entry'!AH$8),'Council Entry'!AH31)),IF(AND(ISNUMBER('Council Entry'!AH$8),ISNUMBER('Council Entry'!AH$9)),MAX(MIN('Council Entry'!AH31,'Council Entry'!AH$9),'Council Entry'!AH$8),'Council Entry'!AH31))))-'Council Entry'!AH$5)/('Council Entry'!AH$6-'Council Entry'!AH$5)),1))),"No data"))</f>
        <v/>
      </c>
      <c r="AI31" s="13">
        <f>IF('Council Entry'!AI31="","",IFERROR(MAX(0,MIN(10,ROUND(IF('Council Entry'!AI$7="Decrease Risk",10-10*((IF('Council Entry'!AI$4="Logarithm",LN(0.001+IF(AND(ISNUMBER('Council Entry'!AI$8),ISNUMBER('Council Entry'!AI$9)),MAX(MIN('Council Entry'!AI31,'Council Entry'!AI$9),'Council Entry'!AI$8),'Council Entry'!AI31)),IF('Council Entry'!AI$4="Exponential",EXP(IF(AND(ISNUMBER('Council Entry'!AI$8),ISNUMBER('Council Entry'!AI$9)),MAX(MIN('Council Entry'!AI31,'Council Entry'!AI$9),'Council Entry'!AI$8),'Council Entry'!AI31)),IF(AND(ISNUMBER('Council Entry'!AI$8),ISNUMBER('Council Entry'!AI$9)),MAX(MIN('Council Entry'!AI31,'Council Entry'!AI$9),'Council Entry'!AI$8),'Council Entry'!AI31))))-'Council Entry'!AI$5)/('Council Entry'!AI$6-'Council Entry'!AI$5),10*((IF('Council Entry'!AI$4="Logarithm",LN(0.001+IF(AND(ISNUMBER('Council Entry'!AI$8),ISNUMBER('Council Entry'!AI$9)),MAX(MIN('Council Entry'!AI31,'Council Entry'!AI$9),'Council Entry'!AI$8),'Council Entry'!AI31)),IF('Council Entry'!AI$4="Exponential",EXP(IF(AND(ISNUMBER('Council Entry'!AI$8),ISNUMBER('Council Entry'!AI$9)),MAX(MIN('Council Entry'!AI31,'Council Entry'!AI$9),'Council Entry'!AI$8),'Council Entry'!AI31)),IF(AND(ISNUMBER('Council Entry'!AI$8),ISNUMBER('Council Entry'!AI$9)),MAX(MIN('Council Entry'!AI31,'Council Entry'!AI$9),'Council Entry'!AI$8),'Council Entry'!AI31))))-'Council Entry'!AI$5)/('Council Entry'!AI$6-'Council Entry'!AI$5)),1))),"No data"))</f>
        <v/>
      </c>
      <c r="AJ31" s="13">
        <f>IF('Council Entry'!AJ31="","",IFERROR(MAX(0,MIN(10,ROUND(IF('Council Entry'!AJ$7="Decrease Risk",10-10*((IF('Council Entry'!AJ$4="Logarithm",LN(0.001+IF(AND(ISNUMBER('Council Entry'!AJ$8),ISNUMBER('Council Entry'!AJ$9)),MAX(MIN('Council Entry'!AJ31,'Council Entry'!AJ$9),'Council Entry'!AJ$8),'Council Entry'!AJ31)),IF('Council Entry'!AJ$4="Exponential",EXP(IF(AND(ISNUMBER('Council Entry'!AJ$8),ISNUMBER('Council Entry'!AJ$9)),MAX(MIN('Council Entry'!AJ31,'Council Entry'!AJ$9),'Council Entry'!AJ$8),'Council Entry'!AJ31)),IF(AND(ISNUMBER('Council Entry'!AJ$8),ISNUMBER('Council Entry'!AJ$9)),MAX(MIN('Council Entry'!AJ31,'Council Entry'!AJ$9),'Council Entry'!AJ$8),'Council Entry'!AJ31))))-'Council Entry'!AJ$5)/('Council Entry'!AJ$6-'Council Entry'!AJ$5),10*((IF('Council Entry'!AJ$4="Logarithm",LN(0.001+IF(AND(ISNUMBER('Council Entry'!AJ$8),ISNUMBER('Council Entry'!AJ$9)),MAX(MIN('Council Entry'!AJ31,'Council Entry'!AJ$9),'Council Entry'!AJ$8),'Council Entry'!AJ31)),IF('Council Entry'!AJ$4="Exponential",EXP(IF(AND(ISNUMBER('Council Entry'!AJ$8),ISNUMBER('Council Entry'!AJ$9)),MAX(MIN('Council Entry'!AJ31,'Council Entry'!AJ$9),'Council Entry'!AJ$8),'Council Entry'!AJ31)),IF(AND(ISNUMBER('Council Entry'!AJ$8),ISNUMBER('Council Entry'!AJ$9)),MAX(MIN('Council Entry'!AJ31,'Council Entry'!AJ$9),'Council Entry'!AJ$8),'Council Entry'!AJ31))))-'Council Entry'!AJ$5)/('Council Entry'!AJ$6-'Council Entry'!AJ$5)),1))),"No data"))</f>
        <v/>
      </c>
      <c r="AK31" s="13">
        <f>IF('Council Entry'!AK31="","",IFERROR(MAX(0,MIN(10,ROUND(IF('Council Entry'!AK$7="Decrease Risk",10-10*((IF('Council Entry'!AK$4="Logarithm",LN(0.001+IF(AND(ISNUMBER('Council Entry'!AK$8),ISNUMBER('Council Entry'!AK$9)),MAX(MIN('Council Entry'!AK31,'Council Entry'!AK$9),'Council Entry'!AK$8),'Council Entry'!AK31)),IF('Council Entry'!AK$4="Exponential",EXP(IF(AND(ISNUMBER('Council Entry'!AK$8),ISNUMBER('Council Entry'!AK$9)),MAX(MIN('Council Entry'!AK31,'Council Entry'!AK$9),'Council Entry'!AK$8),'Council Entry'!AK31)),IF(AND(ISNUMBER('Council Entry'!AK$8),ISNUMBER('Council Entry'!AK$9)),MAX(MIN('Council Entry'!AK31,'Council Entry'!AK$9),'Council Entry'!AK$8),'Council Entry'!AK31))))-'Council Entry'!AK$5)/('Council Entry'!AK$6-'Council Entry'!AK$5),10*((IF('Council Entry'!AK$4="Logarithm",LN(0.001+IF(AND(ISNUMBER('Council Entry'!AK$8),ISNUMBER('Council Entry'!AK$9)),MAX(MIN('Council Entry'!AK31,'Council Entry'!AK$9),'Council Entry'!AK$8),'Council Entry'!AK31)),IF('Council Entry'!AK$4="Exponential",EXP(IF(AND(ISNUMBER('Council Entry'!AK$8),ISNUMBER('Council Entry'!AK$9)),MAX(MIN('Council Entry'!AK31,'Council Entry'!AK$9),'Council Entry'!AK$8),'Council Entry'!AK31)),IF(AND(ISNUMBER('Council Entry'!AK$8),ISNUMBER('Council Entry'!AK$9)),MAX(MIN('Council Entry'!AK31,'Council Entry'!AK$9),'Council Entry'!AK$8),'Council Entry'!AK31))))-'Council Entry'!AK$5)/('Council Entry'!AK$6-'Council Entry'!AK$5)),1))),"No data"))</f>
        <v/>
      </c>
      <c r="AL31" s="13">
        <f>IF('Council Entry'!AL31="","",IFERROR(MAX(0,MIN(10,ROUND(IF('Council Entry'!AL$7="Decrease Risk",10-10*((IF('Council Entry'!AL$4="Logarithm",LN(0.001+IF(AND(ISNUMBER('Council Entry'!AL$8),ISNUMBER('Council Entry'!AL$9)),MAX(MIN('Council Entry'!AL31,'Council Entry'!AL$9),'Council Entry'!AL$8),'Council Entry'!AL31)),IF('Council Entry'!AL$4="Exponential",EXP(IF(AND(ISNUMBER('Council Entry'!AL$8),ISNUMBER('Council Entry'!AL$9)),MAX(MIN('Council Entry'!AL31,'Council Entry'!AL$9),'Council Entry'!AL$8),'Council Entry'!AL31)),IF(AND(ISNUMBER('Council Entry'!AL$8),ISNUMBER('Council Entry'!AL$9)),MAX(MIN('Council Entry'!AL31,'Council Entry'!AL$9),'Council Entry'!AL$8),'Council Entry'!AL31))))-'Council Entry'!AL$5)/('Council Entry'!AL$6-'Council Entry'!AL$5),10*((IF('Council Entry'!AL$4="Logarithm",LN(0.001+IF(AND(ISNUMBER('Council Entry'!AL$8),ISNUMBER('Council Entry'!AL$9)),MAX(MIN('Council Entry'!AL31,'Council Entry'!AL$9),'Council Entry'!AL$8),'Council Entry'!AL31)),IF('Council Entry'!AL$4="Exponential",EXP(IF(AND(ISNUMBER('Council Entry'!AL$8),ISNUMBER('Council Entry'!AL$9)),MAX(MIN('Council Entry'!AL31,'Council Entry'!AL$9),'Council Entry'!AL$8),'Council Entry'!AL31)),IF(AND(ISNUMBER('Council Entry'!AL$8),ISNUMBER('Council Entry'!AL$9)),MAX(MIN('Council Entry'!AL31,'Council Entry'!AL$9),'Council Entry'!AL$8),'Council Entry'!AL31))))-'Council Entry'!AL$5)/('Council Entry'!AL$6-'Council Entry'!AL$5)),1))),"No data"))</f>
        <v/>
      </c>
      <c r="AM31" s="13">
        <f>IF('Council Entry'!AM31="","",IFERROR(MAX(0,MIN(10,ROUND(IF('Council Entry'!AM$7="Decrease Risk",10-10*((IF('Council Entry'!AM$4="Logarithm",LN(0.001+IF(AND(ISNUMBER('Council Entry'!AM$8),ISNUMBER('Council Entry'!AM$9)),MAX(MIN('Council Entry'!AM31,'Council Entry'!AM$9),'Council Entry'!AM$8),'Council Entry'!AM31)),IF('Council Entry'!AM$4="Exponential",EXP(IF(AND(ISNUMBER('Council Entry'!AM$8),ISNUMBER('Council Entry'!AM$9)),MAX(MIN('Council Entry'!AM31,'Council Entry'!AM$9),'Council Entry'!AM$8),'Council Entry'!AM31)),IF(AND(ISNUMBER('Council Entry'!AM$8),ISNUMBER('Council Entry'!AM$9)),MAX(MIN('Council Entry'!AM31,'Council Entry'!AM$9),'Council Entry'!AM$8),'Council Entry'!AM31))))-'Council Entry'!AM$5)/('Council Entry'!AM$6-'Council Entry'!AM$5),10*((IF('Council Entry'!AM$4="Logarithm",LN(0.001+IF(AND(ISNUMBER('Council Entry'!AM$8),ISNUMBER('Council Entry'!AM$9)),MAX(MIN('Council Entry'!AM31,'Council Entry'!AM$9),'Council Entry'!AM$8),'Council Entry'!AM31)),IF('Council Entry'!AM$4="Exponential",EXP(IF(AND(ISNUMBER('Council Entry'!AM$8),ISNUMBER('Council Entry'!AM$9)),MAX(MIN('Council Entry'!AM31,'Council Entry'!AM$9),'Council Entry'!AM$8),'Council Entry'!AM31)),IF(AND(ISNUMBER('Council Entry'!AM$8),ISNUMBER('Council Entry'!AM$9)),MAX(MIN('Council Entry'!AM31,'Council Entry'!AM$9),'Council Entry'!AM$8),'Council Entry'!AM31))))-'Council Entry'!AM$5)/('Council Entry'!AM$6-'Council Entry'!AM$5)),1))),"No data"))</f>
        <v/>
      </c>
      <c r="AN31" s="13">
        <f>IF('Council Entry'!AN31="","",IFERROR(MAX(0,MIN(10,ROUND(IF('Council Entry'!AN$7="Decrease Risk",10-10*((IF('Council Entry'!AN$4="Logarithm",LN(0.001+IF(AND(ISNUMBER('Council Entry'!AN$8),ISNUMBER('Council Entry'!AN$9)),MAX(MIN('Council Entry'!AN31,'Council Entry'!AN$9),'Council Entry'!AN$8),'Council Entry'!AN31)),IF('Council Entry'!AN$4="Exponential",EXP(IF(AND(ISNUMBER('Council Entry'!AN$8),ISNUMBER('Council Entry'!AN$9)),MAX(MIN('Council Entry'!AN31,'Council Entry'!AN$9),'Council Entry'!AN$8),'Council Entry'!AN31)),IF(AND(ISNUMBER('Council Entry'!AN$8),ISNUMBER('Council Entry'!AN$9)),MAX(MIN('Council Entry'!AN31,'Council Entry'!AN$9),'Council Entry'!AN$8),'Council Entry'!AN31))))-'Council Entry'!AN$5)/('Council Entry'!AN$6-'Council Entry'!AN$5),10*((IF('Council Entry'!AN$4="Logarithm",LN(0.001+IF(AND(ISNUMBER('Council Entry'!AN$8),ISNUMBER('Council Entry'!AN$9)),MAX(MIN('Council Entry'!AN31,'Council Entry'!AN$9),'Council Entry'!AN$8),'Council Entry'!AN31)),IF('Council Entry'!AN$4="Exponential",EXP(IF(AND(ISNUMBER('Council Entry'!AN$8),ISNUMBER('Council Entry'!AN$9)),MAX(MIN('Council Entry'!AN31,'Council Entry'!AN$9),'Council Entry'!AN$8),'Council Entry'!AN31)),IF(AND(ISNUMBER('Council Entry'!AN$8),ISNUMBER('Council Entry'!AN$9)),MAX(MIN('Council Entry'!AN31,'Council Entry'!AN$9),'Council Entry'!AN$8),'Council Entry'!AN31))))-'Council Entry'!AN$5)/('Council Entry'!AN$6-'Council Entry'!AN$5)),1))),"No data"))</f>
        <v/>
      </c>
      <c r="AO31" s="13">
        <f>IF('Council Entry'!AO31="","",IFERROR(MAX(0,MIN(10,ROUND(IF('Council Entry'!AO$7="Decrease Risk",10-10*((IF('Council Entry'!AO$4="Logarithm",LN(0.001+IF(AND(ISNUMBER('Council Entry'!AO$8),ISNUMBER('Council Entry'!AO$9)),MAX(MIN('Council Entry'!AO31,'Council Entry'!AO$9),'Council Entry'!AO$8),'Council Entry'!AO31)),IF('Council Entry'!AO$4="Exponential",EXP(IF(AND(ISNUMBER('Council Entry'!AO$8),ISNUMBER('Council Entry'!AO$9)),MAX(MIN('Council Entry'!AO31,'Council Entry'!AO$9),'Council Entry'!AO$8),'Council Entry'!AO31)),IF(AND(ISNUMBER('Council Entry'!AO$8),ISNUMBER('Council Entry'!AO$9)),MAX(MIN('Council Entry'!AO31,'Council Entry'!AO$9),'Council Entry'!AO$8),'Council Entry'!AO31))))-'Council Entry'!AO$5)/('Council Entry'!AO$6-'Council Entry'!AO$5),10*((IF('Council Entry'!AO$4="Logarithm",LN(0.001+IF(AND(ISNUMBER('Council Entry'!AO$8),ISNUMBER('Council Entry'!AO$9)),MAX(MIN('Council Entry'!AO31,'Council Entry'!AO$9),'Council Entry'!AO$8),'Council Entry'!AO31)),IF('Council Entry'!AO$4="Exponential",EXP(IF(AND(ISNUMBER('Council Entry'!AO$8),ISNUMBER('Council Entry'!AO$9)),MAX(MIN('Council Entry'!AO31,'Council Entry'!AO$9),'Council Entry'!AO$8),'Council Entry'!AO31)),IF(AND(ISNUMBER('Council Entry'!AO$8),ISNUMBER('Council Entry'!AO$9)),MAX(MIN('Council Entry'!AO31,'Council Entry'!AO$9),'Council Entry'!AO$8),'Council Entry'!AO31))))-'Council Entry'!AO$5)/('Council Entry'!AO$6-'Council Entry'!AO$5)),1))),"No data"))</f>
        <v/>
      </c>
      <c r="AP31" s="13">
        <f>IF('Council Entry'!AP31="","",IFERROR(MAX(0,MIN(10,ROUND(IF('Council Entry'!AP$7="Decrease Risk",10-10*((IF('Council Entry'!AP$4="Logarithm",LN(0.001+IF(AND(ISNUMBER('Council Entry'!AP$8),ISNUMBER('Council Entry'!AP$9)),MAX(MIN('Council Entry'!AP31,'Council Entry'!AP$9),'Council Entry'!AP$8),'Council Entry'!AP31)),IF('Council Entry'!AP$4="Exponential",EXP(IF(AND(ISNUMBER('Council Entry'!AP$8),ISNUMBER('Council Entry'!AP$9)),MAX(MIN('Council Entry'!AP31,'Council Entry'!AP$9),'Council Entry'!AP$8),'Council Entry'!AP31)),IF(AND(ISNUMBER('Council Entry'!AP$8),ISNUMBER('Council Entry'!AP$9)),MAX(MIN('Council Entry'!AP31,'Council Entry'!AP$9),'Council Entry'!AP$8),'Council Entry'!AP31))))-'Council Entry'!AP$5)/('Council Entry'!AP$6-'Council Entry'!AP$5),10*((IF('Council Entry'!AP$4="Logarithm",LN(0.001+IF(AND(ISNUMBER('Council Entry'!AP$8),ISNUMBER('Council Entry'!AP$9)),MAX(MIN('Council Entry'!AP31,'Council Entry'!AP$9),'Council Entry'!AP$8),'Council Entry'!AP31)),IF('Council Entry'!AP$4="Exponential",EXP(IF(AND(ISNUMBER('Council Entry'!AP$8),ISNUMBER('Council Entry'!AP$9)),MAX(MIN('Council Entry'!AP31,'Council Entry'!AP$9),'Council Entry'!AP$8),'Council Entry'!AP31)),IF(AND(ISNUMBER('Council Entry'!AP$8),ISNUMBER('Council Entry'!AP$9)),MAX(MIN('Council Entry'!AP31,'Council Entry'!AP$9),'Council Entry'!AP$8),'Council Entry'!AP31))))-'Council Entry'!AP$5)/('Council Entry'!AP$6-'Council Entry'!AP$5)),1))),"No data"))</f>
        <v/>
      </c>
      <c r="AQ31" s="13">
        <f>IF('Council Entry'!AQ31="","",IFERROR(MAX(0,MIN(10,ROUND(IF('Council Entry'!AQ$7="Decrease Risk",10-10*((IF('Council Entry'!AQ$4="Logarithm",LN(0.001+IF(AND(ISNUMBER('Council Entry'!AQ$8),ISNUMBER('Council Entry'!AQ$9)),MAX(MIN('Council Entry'!AQ31,'Council Entry'!AQ$9),'Council Entry'!AQ$8),'Council Entry'!AQ31)),IF('Council Entry'!AQ$4="Exponential",EXP(IF(AND(ISNUMBER('Council Entry'!AQ$8),ISNUMBER('Council Entry'!AQ$9)),MAX(MIN('Council Entry'!AQ31,'Council Entry'!AQ$9),'Council Entry'!AQ$8),'Council Entry'!AQ31)),IF(AND(ISNUMBER('Council Entry'!AQ$8),ISNUMBER('Council Entry'!AQ$9)),MAX(MIN('Council Entry'!AQ31,'Council Entry'!AQ$9),'Council Entry'!AQ$8),'Council Entry'!AQ31))))-'Council Entry'!AQ$5)/('Council Entry'!AQ$6-'Council Entry'!AQ$5),10*((IF('Council Entry'!AQ$4="Logarithm",LN(0.001+IF(AND(ISNUMBER('Council Entry'!AQ$8),ISNUMBER('Council Entry'!AQ$9)),MAX(MIN('Council Entry'!AQ31,'Council Entry'!AQ$9),'Council Entry'!AQ$8),'Council Entry'!AQ31)),IF('Council Entry'!AQ$4="Exponential",EXP(IF(AND(ISNUMBER('Council Entry'!AQ$8),ISNUMBER('Council Entry'!AQ$9)),MAX(MIN('Council Entry'!AQ31,'Council Entry'!AQ$9),'Council Entry'!AQ$8),'Council Entry'!AQ31)),IF(AND(ISNUMBER('Council Entry'!AQ$8),ISNUMBER('Council Entry'!AQ$9)),MAX(MIN('Council Entry'!AQ31,'Council Entry'!AQ$9),'Council Entry'!AQ$8),'Council Entry'!AQ31))))-'Council Entry'!AQ$5)/('Council Entry'!AQ$6-'Council Entry'!AQ$5)),1))),"No data"))</f>
        <v/>
      </c>
      <c r="AR31" s="13">
        <f>IF('Council Entry'!AR31="","",IFERROR(MAX(0,MIN(10,ROUND(IF('Council Entry'!AR$7="Decrease Risk",10-10*((IF('Council Entry'!AR$4="Logarithm",LN(0.001+IF(AND(ISNUMBER('Council Entry'!AR$8),ISNUMBER('Council Entry'!AR$9)),MAX(MIN('Council Entry'!AR31,'Council Entry'!AR$9),'Council Entry'!AR$8),'Council Entry'!AR31)),IF('Council Entry'!AR$4="Exponential",EXP(IF(AND(ISNUMBER('Council Entry'!AR$8),ISNUMBER('Council Entry'!AR$9)),MAX(MIN('Council Entry'!AR31,'Council Entry'!AR$9),'Council Entry'!AR$8),'Council Entry'!AR31)),IF(AND(ISNUMBER('Council Entry'!AR$8),ISNUMBER('Council Entry'!AR$9)),MAX(MIN('Council Entry'!AR31,'Council Entry'!AR$9),'Council Entry'!AR$8),'Council Entry'!AR31))))-'Council Entry'!AR$5)/('Council Entry'!AR$6-'Council Entry'!AR$5),10*((IF('Council Entry'!AR$4="Logarithm",LN(0.001+IF(AND(ISNUMBER('Council Entry'!AR$8),ISNUMBER('Council Entry'!AR$9)),MAX(MIN('Council Entry'!AR31,'Council Entry'!AR$9),'Council Entry'!AR$8),'Council Entry'!AR31)),IF('Council Entry'!AR$4="Exponential",EXP(IF(AND(ISNUMBER('Council Entry'!AR$8),ISNUMBER('Council Entry'!AR$9)),MAX(MIN('Council Entry'!AR31,'Council Entry'!AR$9),'Council Entry'!AR$8),'Council Entry'!AR31)),IF(AND(ISNUMBER('Council Entry'!AR$8),ISNUMBER('Council Entry'!AR$9)),MAX(MIN('Council Entry'!AR31,'Council Entry'!AR$9),'Council Entry'!AR$8),'Council Entry'!AR31))))-'Council Entry'!AR$5)/('Council Entry'!AR$6-'Council Entry'!AR$5)),1))),"No data"))</f>
        <v/>
      </c>
      <c r="AS31" s="13">
        <f>IF('Council Entry'!AS31="","",IFERROR(MAX(0,MIN(10,ROUND(IF('Council Entry'!AS$7="Decrease Risk",10-10*((IF('Council Entry'!AS$4="Logarithm",LN(0.001+IF(AND(ISNUMBER('Council Entry'!AS$8),ISNUMBER('Council Entry'!AS$9)),MAX(MIN('Council Entry'!AS31,'Council Entry'!AS$9),'Council Entry'!AS$8),'Council Entry'!AS31)),IF('Council Entry'!AS$4="Exponential",EXP(IF(AND(ISNUMBER('Council Entry'!AS$8),ISNUMBER('Council Entry'!AS$9)),MAX(MIN('Council Entry'!AS31,'Council Entry'!AS$9),'Council Entry'!AS$8),'Council Entry'!AS31)),IF(AND(ISNUMBER('Council Entry'!AS$8),ISNUMBER('Council Entry'!AS$9)),MAX(MIN('Council Entry'!AS31,'Council Entry'!AS$9),'Council Entry'!AS$8),'Council Entry'!AS31))))-'Council Entry'!AS$5)/('Council Entry'!AS$6-'Council Entry'!AS$5),10*((IF('Council Entry'!AS$4="Logarithm",LN(0.001+IF(AND(ISNUMBER('Council Entry'!AS$8),ISNUMBER('Council Entry'!AS$9)),MAX(MIN('Council Entry'!AS31,'Council Entry'!AS$9),'Council Entry'!AS$8),'Council Entry'!AS31)),IF('Council Entry'!AS$4="Exponential",EXP(IF(AND(ISNUMBER('Council Entry'!AS$8),ISNUMBER('Council Entry'!AS$9)),MAX(MIN('Council Entry'!AS31,'Council Entry'!AS$9),'Council Entry'!AS$8),'Council Entry'!AS31)),IF(AND(ISNUMBER('Council Entry'!AS$8),ISNUMBER('Council Entry'!AS$9)),MAX(MIN('Council Entry'!AS31,'Council Entry'!AS$9),'Council Entry'!AS$8),'Council Entry'!AS31))))-'Council Entry'!AS$5)/('Council Entry'!AS$6-'Council Entry'!AS$5)),1))),"No data"))</f>
        <v/>
      </c>
      <c r="AT31" s="13">
        <f>IF('Council Entry'!AT31="","",IFERROR(MAX(0,MIN(10,ROUND(IF('Council Entry'!AT$7="Decrease Risk",10-10*((IF('Council Entry'!AT$4="Logarithm",LN(0.001+IF(AND(ISNUMBER('Council Entry'!AT$8),ISNUMBER('Council Entry'!AT$9)),MAX(MIN('Council Entry'!AT31,'Council Entry'!AT$9),'Council Entry'!AT$8),'Council Entry'!AT31)),IF('Council Entry'!AT$4="Exponential",EXP(IF(AND(ISNUMBER('Council Entry'!AT$8),ISNUMBER('Council Entry'!AT$9)),MAX(MIN('Council Entry'!AT31,'Council Entry'!AT$9),'Council Entry'!AT$8),'Council Entry'!AT31)),IF(AND(ISNUMBER('Council Entry'!AT$8),ISNUMBER('Council Entry'!AT$9)),MAX(MIN('Council Entry'!AT31,'Council Entry'!AT$9),'Council Entry'!AT$8),'Council Entry'!AT31))))-'Council Entry'!AT$5)/('Council Entry'!AT$6-'Council Entry'!AT$5),10*((IF('Council Entry'!AT$4="Logarithm",LN(0.001+IF(AND(ISNUMBER('Council Entry'!AT$8),ISNUMBER('Council Entry'!AT$9)),MAX(MIN('Council Entry'!AT31,'Council Entry'!AT$9),'Council Entry'!AT$8),'Council Entry'!AT31)),IF('Council Entry'!AT$4="Exponential",EXP(IF(AND(ISNUMBER('Council Entry'!AT$8),ISNUMBER('Council Entry'!AT$9)),MAX(MIN('Council Entry'!AT31,'Council Entry'!AT$9),'Council Entry'!AT$8),'Council Entry'!AT31)),IF(AND(ISNUMBER('Council Entry'!AT$8),ISNUMBER('Council Entry'!AT$9)),MAX(MIN('Council Entry'!AT31,'Council Entry'!AT$9),'Council Entry'!AT$8),'Council Entry'!AT31))))-'Council Entry'!AT$5)/('Council Entry'!AT$6-'Council Entry'!AT$5)),1))),"No data"))</f>
        <v/>
      </c>
      <c r="AU31" s="13">
        <f>IF('Council Entry'!AU31="","",IFERROR(MAX(0,MIN(10,ROUND(IF('Council Entry'!AU$7="Decrease Risk",10-10*((IF('Council Entry'!AU$4="Logarithm",LN(0.001+IF(AND(ISNUMBER('Council Entry'!AU$8),ISNUMBER('Council Entry'!AU$9)),MAX(MIN('Council Entry'!AU31,'Council Entry'!AU$9),'Council Entry'!AU$8),'Council Entry'!AU31)),IF('Council Entry'!AU$4="Exponential",EXP(IF(AND(ISNUMBER('Council Entry'!AU$8),ISNUMBER('Council Entry'!AU$9)),MAX(MIN('Council Entry'!AU31,'Council Entry'!AU$9),'Council Entry'!AU$8),'Council Entry'!AU31)),IF(AND(ISNUMBER('Council Entry'!AU$8),ISNUMBER('Council Entry'!AU$9)),MAX(MIN('Council Entry'!AU31,'Council Entry'!AU$9),'Council Entry'!AU$8),'Council Entry'!AU31))))-'Council Entry'!AU$5)/('Council Entry'!AU$6-'Council Entry'!AU$5),10*((IF('Council Entry'!AU$4="Logarithm",LN(0.001+IF(AND(ISNUMBER('Council Entry'!AU$8),ISNUMBER('Council Entry'!AU$9)),MAX(MIN('Council Entry'!AU31,'Council Entry'!AU$9),'Council Entry'!AU$8),'Council Entry'!AU31)),IF('Council Entry'!AU$4="Exponential",EXP(IF(AND(ISNUMBER('Council Entry'!AU$8),ISNUMBER('Council Entry'!AU$9)),MAX(MIN('Council Entry'!AU31,'Council Entry'!AU$9),'Council Entry'!AU$8),'Council Entry'!AU31)),IF(AND(ISNUMBER('Council Entry'!AU$8),ISNUMBER('Council Entry'!AU$9)),MAX(MIN('Council Entry'!AU31,'Council Entry'!AU$9),'Council Entry'!AU$8),'Council Entry'!AU31))))-'Council Entry'!AU$5)/('Council Entry'!AU$6-'Council Entry'!AU$5)),1))),"No data"))</f>
        <v/>
      </c>
      <c r="AV31" s="13">
        <f>IF('Council Entry'!AV31="","",IFERROR(MAX(0,MIN(10,ROUND(IF('Council Entry'!AV$7="Decrease Risk",10-10*((IF('Council Entry'!AV$4="Logarithm",LN(0.001+IF(AND(ISNUMBER('Council Entry'!AV$8),ISNUMBER('Council Entry'!AV$9)),MAX(MIN('Council Entry'!AV31,'Council Entry'!AV$9),'Council Entry'!AV$8),'Council Entry'!AV31)),IF('Council Entry'!AV$4="Exponential",EXP(IF(AND(ISNUMBER('Council Entry'!AV$8),ISNUMBER('Council Entry'!AV$9)),MAX(MIN('Council Entry'!AV31,'Council Entry'!AV$9),'Council Entry'!AV$8),'Council Entry'!AV31)),IF(AND(ISNUMBER('Council Entry'!AV$8),ISNUMBER('Council Entry'!AV$9)),MAX(MIN('Council Entry'!AV31,'Council Entry'!AV$9),'Council Entry'!AV$8),'Council Entry'!AV31))))-'Council Entry'!AV$5)/('Council Entry'!AV$6-'Council Entry'!AV$5),10*((IF('Council Entry'!AV$4="Logarithm",LN(0.001+IF(AND(ISNUMBER('Council Entry'!AV$8),ISNUMBER('Council Entry'!AV$9)),MAX(MIN('Council Entry'!AV31,'Council Entry'!AV$9),'Council Entry'!AV$8),'Council Entry'!AV31)),IF('Council Entry'!AV$4="Exponential",EXP(IF(AND(ISNUMBER('Council Entry'!AV$8),ISNUMBER('Council Entry'!AV$9)),MAX(MIN('Council Entry'!AV31,'Council Entry'!AV$9),'Council Entry'!AV$8),'Council Entry'!AV31)),IF(AND(ISNUMBER('Council Entry'!AV$8),ISNUMBER('Council Entry'!AV$9)),MAX(MIN('Council Entry'!AV31,'Council Entry'!AV$9),'Council Entry'!AV$8),'Council Entry'!AV31))))-'Council Entry'!AV$5)/('Council Entry'!AV$6-'Council Entry'!AV$5)),1))),"No data"))</f>
        <v/>
      </c>
      <c r="AW31" s="13">
        <f>IF('Council Entry'!AW31="","",IFERROR(MAX(0,MIN(10,ROUND(IF('Council Entry'!AW$7="Decrease Risk",10-10*((IF('Council Entry'!AW$4="Logarithm",LN(0.001+IF(AND(ISNUMBER('Council Entry'!AW$8),ISNUMBER('Council Entry'!AW$9)),MAX(MIN('Council Entry'!AW31,'Council Entry'!AW$9),'Council Entry'!AW$8),'Council Entry'!AW31)),IF('Council Entry'!AW$4="Exponential",EXP(IF(AND(ISNUMBER('Council Entry'!AW$8),ISNUMBER('Council Entry'!AW$9)),MAX(MIN('Council Entry'!AW31,'Council Entry'!AW$9),'Council Entry'!AW$8),'Council Entry'!AW31)),IF(AND(ISNUMBER('Council Entry'!AW$8),ISNUMBER('Council Entry'!AW$9)),MAX(MIN('Council Entry'!AW31,'Council Entry'!AW$9),'Council Entry'!AW$8),'Council Entry'!AW31))))-'Council Entry'!AW$5)/('Council Entry'!AW$6-'Council Entry'!AW$5),10*((IF('Council Entry'!AW$4="Logarithm",LN(0.001+IF(AND(ISNUMBER('Council Entry'!AW$8),ISNUMBER('Council Entry'!AW$9)),MAX(MIN('Council Entry'!AW31,'Council Entry'!AW$9),'Council Entry'!AW$8),'Council Entry'!AW31)),IF('Council Entry'!AW$4="Exponential",EXP(IF(AND(ISNUMBER('Council Entry'!AW$8),ISNUMBER('Council Entry'!AW$9)),MAX(MIN('Council Entry'!AW31,'Council Entry'!AW$9),'Council Entry'!AW$8),'Council Entry'!AW31)),IF(AND(ISNUMBER('Council Entry'!AW$8),ISNUMBER('Council Entry'!AW$9)),MAX(MIN('Council Entry'!AW31,'Council Entry'!AW$9),'Council Entry'!AW$8),'Council Entry'!AW31))))-'Council Entry'!AW$5)/('Council Entry'!AW$6-'Council Entry'!AW$5)),1))),"No data"))</f>
        <v/>
      </c>
      <c r="AX31" s="13">
        <f>IF('Council Entry'!AX31="","",IFERROR(MAX(0,MIN(10,ROUND(IF('Council Entry'!AX$7="Decrease Risk",10-10*((IF('Council Entry'!AX$4="Logarithm",LN(0.001+IF(AND(ISNUMBER('Council Entry'!AX$8),ISNUMBER('Council Entry'!AX$9)),MAX(MIN('Council Entry'!AX31,'Council Entry'!AX$9),'Council Entry'!AX$8),'Council Entry'!AX31)),IF('Council Entry'!AX$4="Exponential",EXP(IF(AND(ISNUMBER('Council Entry'!AX$8),ISNUMBER('Council Entry'!AX$9)),MAX(MIN('Council Entry'!AX31,'Council Entry'!AX$9),'Council Entry'!AX$8),'Council Entry'!AX31)),IF(AND(ISNUMBER('Council Entry'!AX$8),ISNUMBER('Council Entry'!AX$9)),MAX(MIN('Council Entry'!AX31,'Council Entry'!AX$9),'Council Entry'!AX$8),'Council Entry'!AX31))))-'Council Entry'!AX$5)/('Council Entry'!AX$6-'Council Entry'!AX$5),10*((IF('Council Entry'!AX$4="Logarithm",LN(0.001+IF(AND(ISNUMBER('Council Entry'!AX$8),ISNUMBER('Council Entry'!AX$9)),MAX(MIN('Council Entry'!AX31,'Council Entry'!AX$9),'Council Entry'!AX$8),'Council Entry'!AX31)),IF('Council Entry'!AX$4="Exponential",EXP(IF(AND(ISNUMBER('Council Entry'!AX$8),ISNUMBER('Council Entry'!AX$9)),MAX(MIN('Council Entry'!AX31,'Council Entry'!AX$9),'Council Entry'!AX$8),'Council Entry'!AX31)),IF(AND(ISNUMBER('Council Entry'!AX$8),ISNUMBER('Council Entry'!AX$9)),MAX(MIN('Council Entry'!AX31,'Council Entry'!AX$9),'Council Entry'!AX$8),'Council Entry'!AX31))))-'Council Entry'!AX$5)/('Council Entry'!AX$6-'Council Entry'!AX$5)),1))),"No data"))</f>
        <v/>
      </c>
      <c r="AY31" s="13">
        <f>IF('Council Entry'!AY31="","",IFERROR(MAX(0,MIN(10,ROUND(IF('Council Entry'!AY$7="Decrease Risk",10-10*((IF('Council Entry'!AY$4="Logarithm",LN(0.001+IF(AND(ISNUMBER('Council Entry'!AY$8),ISNUMBER('Council Entry'!AY$9)),MAX(MIN('Council Entry'!AY31,'Council Entry'!AY$9),'Council Entry'!AY$8),'Council Entry'!AY31)),IF('Council Entry'!AY$4="Exponential",EXP(IF(AND(ISNUMBER('Council Entry'!AY$8),ISNUMBER('Council Entry'!AY$9)),MAX(MIN('Council Entry'!AY31,'Council Entry'!AY$9),'Council Entry'!AY$8),'Council Entry'!AY31)),IF(AND(ISNUMBER('Council Entry'!AY$8),ISNUMBER('Council Entry'!AY$9)),MAX(MIN('Council Entry'!AY31,'Council Entry'!AY$9),'Council Entry'!AY$8),'Council Entry'!AY31))))-'Council Entry'!AY$5)/('Council Entry'!AY$6-'Council Entry'!AY$5),10*((IF('Council Entry'!AY$4="Logarithm",LN(0.001+IF(AND(ISNUMBER('Council Entry'!AY$8),ISNUMBER('Council Entry'!AY$9)),MAX(MIN('Council Entry'!AY31,'Council Entry'!AY$9),'Council Entry'!AY$8),'Council Entry'!AY31)),IF('Council Entry'!AY$4="Exponential",EXP(IF(AND(ISNUMBER('Council Entry'!AY$8),ISNUMBER('Council Entry'!AY$9)),MAX(MIN('Council Entry'!AY31,'Council Entry'!AY$9),'Council Entry'!AY$8),'Council Entry'!AY31)),IF(AND(ISNUMBER('Council Entry'!AY$8),ISNUMBER('Council Entry'!AY$9)),MAX(MIN('Council Entry'!AY31,'Council Entry'!AY$9),'Council Entry'!AY$8),'Council Entry'!AY31))))-'Council Entry'!AY$5)/('Council Entry'!AY$6-'Council Entry'!AY$5)),1))),"No data"))</f>
        <v/>
      </c>
      <c r="AZ31" s="13">
        <f>IF('Council Entry'!AZ31="","",IFERROR(MAX(0,MIN(10,ROUND(IF('Council Entry'!AZ$7="Decrease Risk",10-10*((IF('Council Entry'!AZ$4="Logarithm",LN(0.001+IF(AND(ISNUMBER('Council Entry'!AZ$8),ISNUMBER('Council Entry'!AZ$9)),MAX(MIN('Council Entry'!AZ31,'Council Entry'!AZ$9),'Council Entry'!AZ$8),'Council Entry'!AZ31)),IF('Council Entry'!AZ$4="Exponential",EXP(IF(AND(ISNUMBER('Council Entry'!AZ$8),ISNUMBER('Council Entry'!AZ$9)),MAX(MIN('Council Entry'!AZ31,'Council Entry'!AZ$9),'Council Entry'!AZ$8),'Council Entry'!AZ31)),IF(AND(ISNUMBER('Council Entry'!AZ$8),ISNUMBER('Council Entry'!AZ$9)),MAX(MIN('Council Entry'!AZ31,'Council Entry'!AZ$9),'Council Entry'!AZ$8),'Council Entry'!AZ31))))-'Council Entry'!AZ$5)/('Council Entry'!AZ$6-'Council Entry'!AZ$5),10*((IF('Council Entry'!AZ$4="Logarithm",LN(0.001+IF(AND(ISNUMBER('Council Entry'!AZ$8),ISNUMBER('Council Entry'!AZ$9)),MAX(MIN('Council Entry'!AZ31,'Council Entry'!AZ$9),'Council Entry'!AZ$8),'Council Entry'!AZ31)),IF('Council Entry'!AZ$4="Exponential",EXP(IF(AND(ISNUMBER('Council Entry'!AZ$8),ISNUMBER('Council Entry'!AZ$9)),MAX(MIN('Council Entry'!AZ31,'Council Entry'!AZ$9),'Council Entry'!AZ$8),'Council Entry'!AZ31)),IF(AND(ISNUMBER('Council Entry'!AZ$8),ISNUMBER('Council Entry'!AZ$9)),MAX(MIN('Council Entry'!AZ31,'Council Entry'!AZ$9),'Council Entry'!AZ$8),'Council Entry'!AZ31))))-'Council Entry'!AZ$5)/('Council Entry'!AZ$6-'Council Entry'!AZ$5)),1))),"No data"))</f>
        <v/>
      </c>
      <c r="BA31" s="13">
        <f>IF('Council Entry'!BA31="","",IFERROR(MAX(0,MIN(10,ROUND(IF('Council Entry'!BA$7="Decrease Risk",10-10*((IF('Council Entry'!BA$4="Logarithm",LN(0.001+IF(AND(ISNUMBER('Council Entry'!BA$8),ISNUMBER('Council Entry'!BA$9)),MAX(MIN('Council Entry'!BA31,'Council Entry'!BA$9),'Council Entry'!BA$8),'Council Entry'!BA31)),IF('Council Entry'!BA$4="Exponential",EXP(IF(AND(ISNUMBER('Council Entry'!BA$8),ISNUMBER('Council Entry'!BA$9)),MAX(MIN('Council Entry'!BA31,'Council Entry'!BA$9),'Council Entry'!BA$8),'Council Entry'!BA31)),IF(AND(ISNUMBER('Council Entry'!BA$8),ISNUMBER('Council Entry'!BA$9)),MAX(MIN('Council Entry'!BA31,'Council Entry'!BA$9),'Council Entry'!BA$8),'Council Entry'!BA31))))-'Council Entry'!BA$5)/('Council Entry'!BA$6-'Council Entry'!BA$5),10*((IF('Council Entry'!BA$4="Logarithm",LN(0.001+IF(AND(ISNUMBER('Council Entry'!BA$8),ISNUMBER('Council Entry'!BA$9)),MAX(MIN('Council Entry'!BA31,'Council Entry'!BA$9),'Council Entry'!BA$8),'Council Entry'!BA31)),IF('Council Entry'!BA$4="Exponential",EXP(IF(AND(ISNUMBER('Council Entry'!BA$8),ISNUMBER('Council Entry'!BA$9)),MAX(MIN('Council Entry'!BA31,'Council Entry'!BA$9),'Council Entry'!BA$8),'Council Entry'!BA31)),IF(AND(ISNUMBER('Council Entry'!BA$8),ISNUMBER('Council Entry'!BA$9)),MAX(MIN('Council Entry'!BA31,'Council Entry'!BA$9),'Council Entry'!BA$8),'Council Entry'!BA31))))-'Council Entry'!BA$5)/('Council Entry'!BA$6-'Council Entry'!BA$5)),1))),"No data"))</f>
        <v/>
      </c>
      <c r="BB31" s="13">
        <f>IF('Council Entry'!BB31="","",IFERROR(MAX(0,MIN(10,ROUND(IF('Council Entry'!BB$7="Decrease Risk",10-10*((IF('Council Entry'!BB$4="Logarithm",LN(0.001+IF(AND(ISNUMBER('Council Entry'!BB$8),ISNUMBER('Council Entry'!BB$9)),MAX(MIN('Council Entry'!BB31,'Council Entry'!BB$9),'Council Entry'!BB$8),'Council Entry'!BB31)),IF('Council Entry'!BB$4="Exponential",EXP(IF(AND(ISNUMBER('Council Entry'!BB$8),ISNUMBER('Council Entry'!BB$9)),MAX(MIN('Council Entry'!BB31,'Council Entry'!BB$9),'Council Entry'!BB$8),'Council Entry'!BB31)),IF(AND(ISNUMBER('Council Entry'!BB$8),ISNUMBER('Council Entry'!BB$9)),MAX(MIN('Council Entry'!BB31,'Council Entry'!BB$9),'Council Entry'!BB$8),'Council Entry'!BB31))))-'Council Entry'!BB$5)/('Council Entry'!BB$6-'Council Entry'!BB$5),10*((IF('Council Entry'!BB$4="Logarithm",LN(0.001+IF(AND(ISNUMBER('Council Entry'!BB$8),ISNUMBER('Council Entry'!BB$9)),MAX(MIN('Council Entry'!BB31,'Council Entry'!BB$9),'Council Entry'!BB$8),'Council Entry'!BB31)),IF('Council Entry'!BB$4="Exponential",EXP(IF(AND(ISNUMBER('Council Entry'!BB$8),ISNUMBER('Council Entry'!BB$9)),MAX(MIN('Council Entry'!BB31,'Council Entry'!BB$9),'Council Entry'!BB$8),'Council Entry'!BB31)),IF(AND(ISNUMBER('Council Entry'!BB$8),ISNUMBER('Council Entry'!BB$9)),MAX(MIN('Council Entry'!BB31,'Council Entry'!BB$9),'Council Entry'!BB$8),'Council Entry'!BB31))))-'Council Entry'!BB$5)/('Council Entry'!BB$6-'Council Entry'!BB$5)),1))),"No data"))</f>
        <v/>
      </c>
      <c r="BC31" s="13">
        <f>IF('Council Entry'!BC31="","",IFERROR(MAX(0,MIN(10,ROUND(IF('Council Entry'!BC$7="Decrease Risk",10-10*((IF('Council Entry'!BC$4="Logarithm",LN(0.001+IF(AND(ISNUMBER('Council Entry'!BC$8),ISNUMBER('Council Entry'!BC$9)),MAX(MIN('Council Entry'!BC31,'Council Entry'!BC$9),'Council Entry'!BC$8),'Council Entry'!BC31)),IF('Council Entry'!BC$4="Exponential",EXP(IF(AND(ISNUMBER('Council Entry'!BC$8),ISNUMBER('Council Entry'!BC$9)),MAX(MIN('Council Entry'!BC31,'Council Entry'!BC$9),'Council Entry'!BC$8),'Council Entry'!BC31)),IF(AND(ISNUMBER('Council Entry'!BC$8),ISNUMBER('Council Entry'!BC$9)),MAX(MIN('Council Entry'!BC31,'Council Entry'!BC$9),'Council Entry'!BC$8),'Council Entry'!BC31))))-'Council Entry'!BC$5)/('Council Entry'!BC$6-'Council Entry'!BC$5),10*((IF('Council Entry'!BC$4="Logarithm",LN(0.001+IF(AND(ISNUMBER('Council Entry'!BC$8),ISNUMBER('Council Entry'!BC$9)),MAX(MIN('Council Entry'!BC31,'Council Entry'!BC$9),'Council Entry'!BC$8),'Council Entry'!BC31)),IF('Council Entry'!BC$4="Exponential",EXP(IF(AND(ISNUMBER('Council Entry'!BC$8),ISNUMBER('Council Entry'!BC$9)),MAX(MIN('Council Entry'!BC31,'Council Entry'!BC$9),'Council Entry'!BC$8),'Council Entry'!BC31)),IF(AND(ISNUMBER('Council Entry'!BC$8),ISNUMBER('Council Entry'!BC$9)),MAX(MIN('Council Entry'!BC31,'Council Entry'!BC$9),'Council Entry'!BC$8),'Council Entry'!BC31))))-'Council Entry'!BC$5)/('Council Entry'!BC$6-'Council Entry'!BC$5)),1))),"No data"))</f>
        <v/>
      </c>
      <c r="BD31" s="13">
        <f>IF('Council Entry'!BD31="","",IFERROR(MAX(0,MIN(10,ROUND(IF('Council Entry'!BD$7="Decrease Risk",10-10*((IF('Council Entry'!BD$4="Logarithm",LN(0.001+IF(AND(ISNUMBER('Council Entry'!BD$8),ISNUMBER('Council Entry'!BD$9)),MAX(MIN('Council Entry'!BD31,'Council Entry'!BD$9),'Council Entry'!BD$8),'Council Entry'!BD31)),IF('Council Entry'!BD$4="Exponential",EXP(IF(AND(ISNUMBER('Council Entry'!BD$8),ISNUMBER('Council Entry'!BD$9)),MAX(MIN('Council Entry'!BD31,'Council Entry'!BD$9),'Council Entry'!BD$8),'Council Entry'!BD31)),IF(AND(ISNUMBER('Council Entry'!BD$8),ISNUMBER('Council Entry'!BD$9)),MAX(MIN('Council Entry'!BD31,'Council Entry'!BD$9),'Council Entry'!BD$8),'Council Entry'!BD31))))-'Council Entry'!BD$5)/('Council Entry'!BD$6-'Council Entry'!BD$5),10*((IF('Council Entry'!BD$4="Logarithm",LN(0.001+IF(AND(ISNUMBER('Council Entry'!BD$8),ISNUMBER('Council Entry'!BD$9)),MAX(MIN('Council Entry'!BD31,'Council Entry'!BD$9),'Council Entry'!BD$8),'Council Entry'!BD31)),IF('Council Entry'!BD$4="Exponential",EXP(IF(AND(ISNUMBER('Council Entry'!BD$8),ISNUMBER('Council Entry'!BD$9)),MAX(MIN('Council Entry'!BD31,'Council Entry'!BD$9),'Council Entry'!BD$8),'Council Entry'!BD31)),IF(AND(ISNUMBER('Council Entry'!BD$8),ISNUMBER('Council Entry'!BD$9)),MAX(MIN('Council Entry'!BD31,'Council Entry'!BD$9),'Council Entry'!BD$8),'Council Entry'!BD31))))-'Council Entry'!BD$5)/('Council Entry'!BD$6-'Council Entry'!BD$5)),1))),"No data"))</f>
        <v/>
      </c>
    </row>
    <row r="32">
      <c r="A32" t="inlineStr">
        <is>
          <t>Geita</t>
        </is>
      </c>
      <c r="B32" t="inlineStr">
        <is>
          <t>Chato District</t>
        </is>
      </c>
      <c r="C32" t="inlineStr">
        <is>
          <t>C179</t>
        </is>
      </c>
      <c r="D32" s="13">
        <f>IF('Council Entry'!D32="","",IFERROR(MAX(0,MIN(10,ROUND(IF('Council Entry'!D$7="Decrease Risk",10-10*((IF('Council Entry'!D$4="Logarithm",LN(0.001+IF(AND(ISNUMBER('Council Entry'!D$8),ISNUMBER('Council Entry'!D$9)),MAX(MIN('Council Entry'!D32,'Council Entry'!D$9),'Council Entry'!D$8),'Council Entry'!D32)),IF('Council Entry'!D$4="Exponential",EXP(IF(AND(ISNUMBER('Council Entry'!D$8),ISNUMBER('Council Entry'!D$9)),MAX(MIN('Council Entry'!D32,'Council Entry'!D$9),'Council Entry'!D$8),'Council Entry'!D32)),IF(AND(ISNUMBER('Council Entry'!D$8),ISNUMBER('Council Entry'!D$9)),MAX(MIN('Council Entry'!D32,'Council Entry'!D$9),'Council Entry'!D$8),'Council Entry'!D32))))-'Council Entry'!D$5)/('Council Entry'!D$6-'Council Entry'!D$5),10*((IF('Council Entry'!D$4="Logarithm",LN(0.001+IF(AND(ISNUMBER('Council Entry'!D$8),ISNUMBER('Council Entry'!D$9)),MAX(MIN('Council Entry'!D32,'Council Entry'!D$9),'Council Entry'!D$8),'Council Entry'!D32)),IF('Council Entry'!D$4="Exponential",EXP(IF(AND(ISNUMBER('Council Entry'!D$8),ISNUMBER('Council Entry'!D$9)),MAX(MIN('Council Entry'!D32,'Council Entry'!D$9),'Council Entry'!D$8),'Council Entry'!D32)),IF(AND(ISNUMBER('Council Entry'!D$8),ISNUMBER('Council Entry'!D$9)),MAX(MIN('Council Entry'!D32,'Council Entry'!D$9),'Council Entry'!D$8),'Council Entry'!D32))))-'Council Entry'!D$5)/('Council Entry'!D$6-'Council Entry'!D$5)),1))),"No data"))</f>
        <v/>
      </c>
      <c r="E32" s="13">
        <f>IF('Council Entry'!E32="","",IFERROR(MAX(0,MIN(10,ROUND(IF('Council Entry'!E$7="Decrease Risk",10-10*((IF('Council Entry'!E$4="Logarithm",LN(0.001+IF(AND(ISNUMBER('Council Entry'!E$8),ISNUMBER('Council Entry'!E$9)),MAX(MIN('Council Entry'!E32,'Council Entry'!E$9),'Council Entry'!E$8),'Council Entry'!E32)),IF('Council Entry'!E$4="Exponential",EXP(IF(AND(ISNUMBER('Council Entry'!E$8),ISNUMBER('Council Entry'!E$9)),MAX(MIN('Council Entry'!E32,'Council Entry'!E$9),'Council Entry'!E$8),'Council Entry'!E32)),IF(AND(ISNUMBER('Council Entry'!E$8),ISNUMBER('Council Entry'!E$9)),MAX(MIN('Council Entry'!E32,'Council Entry'!E$9),'Council Entry'!E$8),'Council Entry'!E32))))-'Council Entry'!E$5)/('Council Entry'!E$6-'Council Entry'!E$5),10*((IF('Council Entry'!E$4="Logarithm",LN(0.001+IF(AND(ISNUMBER('Council Entry'!E$8),ISNUMBER('Council Entry'!E$9)),MAX(MIN('Council Entry'!E32,'Council Entry'!E$9),'Council Entry'!E$8),'Council Entry'!E32)),IF('Council Entry'!E$4="Exponential",EXP(IF(AND(ISNUMBER('Council Entry'!E$8),ISNUMBER('Council Entry'!E$9)),MAX(MIN('Council Entry'!E32,'Council Entry'!E$9),'Council Entry'!E$8),'Council Entry'!E32)),IF(AND(ISNUMBER('Council Entry'!E$8),ISNUMBER('Council Entry'!E$9)),MAX(MIN('Council Entry'!E32,'Council Entry'!E$9),'Council Entry'!E$8),'Council Entry'!E32))))-'Council Entry'!E$5)/('Council Entry'!E$6-'Council Entry'!E$5)),1))),"No data"))</f>
        <v/>
      </c>
      <c r="F32" s="13">
        <f>IF('Council Entry'!F32="","",IFERROR(MAX(0,MIN(10,ROUND(IF('Council Entry'!F$7="Decrease Risk",10-10*((IF('Council Entry'!F$4="Logarithm",LN(0.001+IF(AND(ISNUMBER('Council Entry'!F$8),ISNUMBER('Council Entry'!F$9)),MAX(MIN('Council Entry'!F32,'Council Entry'!F$9),'Council Entry'!F$8),'Council Entry'!F32)),IF('Council Entry'!F$4="Exponential",EXP(IF(AND(ISNUMBER('Council Entry'!F$8),ISNUMBER('Council Entry'!F$9)),MAX(MIN('Council Entry'!F32,'Council Entry'!F$9),'Council Entry'!F$8),'Council Entry'!F32)),IF(AND(ISNUMBER('Council Entry'!F$8),ISNUMBER('Council Entry'!F$9)),MAX(MIN('Council Entry'!F32,'Council Entry'!F$9),'Council Entry'!F$8),'Council Entry'!F32))))-'Council Entry'!F$5)/('Council Entry'!F$6-'Council Entry'!F$5),10*((IF('Council Entry'!F$4="Logarithm",LN(0.001+IF(AND(ISNUMBER('Council Entry'!F$8),ISNUMBER('Council Entry'!F$9)),MAX(MIN('Council Entry'!F32,'Council Entry'!F$9),'Council Entry'!F$8),'Council Entry'!F32)),IF('Council Entry'!F$4="Exponential",EXP(IF(AND(ISNUMBER('Council Entry'!F$8),ISNUMBER('Council Entry'!F$9)),MAX(MIN('Council Entry'!F32,'Council Entry'!F$9),'Council Entry'!F$8),'Council Entry'!F32)),IF(AND(ISNUMBER('Council Entry'!F$8),ISNUMBER('Council Entry'!F$9)),MAX(MIN('Council Entry'!F32,'Council Entry'!F$9),'Council Entry'!F$8),'Council Entry'!F32))))-'Council Entry'!F$5)/('Council Entry'!F$6-'Council Entry'!F$5)),1))),"No data"))</f>
        <v/>
      </c>
      <c r="G32" s="13">
        <f>IF('Council Entry'!G32="","",IFERROR(MAX(0,MIN(10,ROUND(IF('Council Entry'!G$7="Decrease Risk",10-10*((IF('Council Entry'!G$4="Logarithm",LN(0.001+IF(AND(ISNUMBER('Council Entry'!G$8),ISNUMBER('Council Entry'!G$9)),MAX(MIN('Council Entry'!G32,'Council Entry'!G$9),'Council Entry'!G$8),'Council Entry'!G32)),IF('Council Entry'!G$4="Exponential",EXP(IF(AND(ISNUMBER('Council Entry'!G$8),ISNUMBER('Council Entry'!G$9)),MAX(MIN('Council Entry'!G32,'Council Entry'!G$9),'Council Entry'!G$8),'Council Entry'!G32)),IF(AND(ISNUMBER('Council Entry'!G$8),ISNUMBER('Council Entry'!G$9)),MAX(MIN('Council Entry'!G32,'Council Entry'!G$9),'Council Entry'!G$8),'Council Entry'!G32))))-'Council Entry'!G$5)/('Council Entry'!G$6-'Council Entry'!G$5),10*((IF('Council Entry'!G$4="Logarithm",LN(0.001+IF(AND(ISNUMBER('Council Entry'!G$8),ISNUMBER('Council Entry'!G$9)),MAX(MIN('Council Entry'!G32,'Council Entry'!G$9),'Council Entry'!G$8),'Council Entry'!G32)),IF('Council Entry'!G$4="Exponential",EXP(IF(AND(ISNUMBER('Council Entry'!G$8),ISNUMBER('Council Entry'!G$9)),MAX(MIN('Council Entry'!G32,'Council Entry'!G$9),'Council Entry'!G$8),'Council Entry'!G32)),IF(AND(ISNUMBER('Council Entry'!G$8),ISNUMBER('Council Entry'!G$9)),MAX(MIN('Council Entry'!G32,'Council Entry'!G$9),'Council Entry'!G$8),'Council Entry'!G32))))-'Council Entry'!G$5)/('Council Entry'!G$6-'Council Entry'!G$5)),1))),"No data"))</f>
        <v/>
      </c>
      <c r="H32" s="13">
        <f>IF('Council Entry'!H32="","",IFERROR(MAX(0,MIN(10,ROUND(IF('Council Entry'!H$7="Decrease Risk",10-10*((IF('Council Entry'!H$4="Logarithm",LN(0.001+IF(AND(ISNUMBER('Council Entry'!H$8),ISNUMBER('Council Entry'!H$9)),MAX(MIN('Council Entry'!H32,'Council Entry'!H$9),'Council Entry'!H$8),'Council Entry'!H32)),IF('Council Entry'!H$4="Exponential",EXP(IF(AND(ISNUMBER('Council Entry'!H$8),ISNUMBER('Council Entry'!H$9)),MAX(MIN('Council Entry'!H32,'Council Entry'!H$9),'Council Entry'!H$8),'Council Entry'!H32)),IF(AND(ISNUMBER('Council Entry'!H$8),ISNUMBER('Council Entry'!H$9)),MAX(MIN('Council Entry'!H32,'Council Entry'!H$9),'Council Entry'!H$8),'Council Entry'!H32))))-'Council Entry'!H$5)/('Council Entry'!H$6-'Council Entry'!H$5),10*((IF('Council Entry'!H$4="Logarithm",LN(0.001+IF(AND(ISNUMBER('Council Entry'!H$8),ISNUMBER('Council Entry'!H$9)),MAX(MIN('Council Entry'!H32,'Council Entry'!H$9),'Council Entry'!H$8),'Council Entry'!H32)),IF('Council Entry'!H$4="Exponential",EXP(IF(AND(ISNUMBER('Council Entry'!H$8),ISNUMBER('Council Entry'!H$9)),MAX(MIN('Council Entry'!H32,'Council Entry'!H$9),'Council Entry'!H$8),'Council Entry'!H32)),IF(AND(ISNUMBER('Council Entry'!H$8),ISNUMBER('Council Entry'!H$9)),MAX(MIN('Council Entry'!H32,'Council Entry'!H$9),'Council Entry'!H$8),'Council Entry'!H32))))-'Council Entry'!H$5)/('Council Entry'!H$6-'Council Entry'!H$5)),1))),"No data"))</f>
        <v/>
      </c>
      <c r="I32" s="13">
        <f>IF('Council Entry'!I32="","",IFERROR(MAX(0,MIN(10,ROUND(IF('Council Entry'!I$7="Decrease Risk",10-10*((IF('Council Entry'!I$4="Logarithm",LN(0.001+IF(AND(ISNUMBER('Council Entry'!I$8),ISNUMBER('Council Entry'!I$9)),MAX(MIN('Council Entry'!I32,'Council Entry'!I$9),'Council Entry'!I$8),'Council Entry'!I32)),IF('Council Entry'!I$4="Exponential",EXP(IF(AND(ISNUMBER('Council Entry'!I$8),ISNUMBER('Council Entry'!I$9)),MAX(MIN('Council Entry'!I32,'Council Entry'!I$9),'Council Entry'!I$8),'Council Entry'!I32)),IF(AND(ISNUMBER('Council Entry'!I$8),ISNUMBER('Council Entry'!I$9)),MAX(MIN('Council Entry'!I32,'Council Entry'!I$9),'Council Entry'!I$8),'Council Entry'!I32))))-'Council Entry'!I$5)/('Council Entry'!I$6-'Council Entry'!I$5),10*((IF('Council Entry'!I$4="Logarithm",LN(0.001+IF(AND(ISNUMBER('Council Entry'!I$8),ISNUMBER('Council Entry'!I$9)),MAX(MIN('Council Entry'!I32,'Council Entry'!I$9),'Council Entry'!I$8),'Council Entry'!I32)),IF('Council Entry'!I$4="Exponential",EXP(IF(AND(ISNUMBER('Council Entry'!I$8),ISNUMBER('Council Entry'!I$9)),MAX(MIN('Council Entry'!I32,'Council Entry'!I$9),'Council Entry'!I$8),'Council Entry'!I32)),IF(AND(ISNUMBER('Council Entry'!I$8),ISNUMBER('Council Entry'!I$9)),MAX(MIN('Council Entry'!I32,'Council Entry'!I$9),'Council Entry'!I$8),'Council Entry'!I32))))-'Council Entry'!I$5)/('Council Entry'!I$6-'Council Entry'!I$5)),1))),"No data"))</f>
        <v/>
      </c>
      <c r="J32" s="13">
        <f>IF('Council Entry'!J32="","",IFERROR(MAX(0,MIN(10,ROUND(IF('Council Entry'!J$7="Decrease Risk",10-10*((IF('Council Entry'!J$4="Logarithm",LN(0.001+IF(AND(ISNUMBER('Council Entry'!J$8),ISNUMBER('Council Entry'!J$9)),MAX(MIN('Council Entry'!J32,'Council Entry'!J$9),'Council Entry'!J$8),'Council Entry'!J32)),IF('Council Entry'!J$4="Exponential",EXP(IF(AND(ISNUMBER('Council Entry'!J$8),ISNUMBER('Council Entry'!J$9)),MAX(MIN('Council Entry'!J32,'Council Entry'!J$9),'Council Entry'!J$8),'Council Entry'!J32)),IF(AND(ISNUMBER('Council Entry'!J$8),ISNUMBER('Council Entry'!J$9)),MAX(MIN('Council Entry'!J32,'Council Entry'!J$9),'Council Entry'!J$8),'Council Entry'!J32))))-'Council Entry'!J$5)/('Council Entry'!J$6-'Council Entry'!J$5),10*((IF('Council Entry'!J$4="Logarithm",LN(0.001+IF(AND(ISNUMBER('Council Entry'!J$8),ISNUMBER('Council Entry'!J$9)),MAX(MIN('Council Entry'!J32,'Council Entry'!J$9),'Council Entry'!J$8),'Council Entry'!J32)),IF('Council Entry'!J$4="Exponential",EXP(IF(AND(ISNUMBER('Council Entry'!J$8),ISNUMBER('Council Entry'!J$9)),MAX(MIN('Council Entry'!J32,'Council Entry'!J$9),'Council Entry'!J$8),'Council Entry'!J32)),IF(AND(ISNUMBER('Council Entry'!J$8),ISNUMBER('Council Entry'!J$9)),MAX(MIN('Council Entry'!J32,'Council Entry'!J$9),'Council Entry'!J$8),'Council Entry'!J32))))-'Council Entry'!J$5)/('Council Entry'!J$6-'Council Entry'!J$5)),1))),"No data"))</f>
        <v/>
      </c>
      <c r="K32" s="13">
        <f>IF('Council Entry'!K32="","",IFERROR(MAX(0,MIN(10,ROUND(IF('Council Entry'!K$7="Decrease Risk",10-10*((IF('Council Entry'!K$4="Logarithm",LN(0.001+IF(AND(ISNUMBER('Council Entry'!K$8),ISNUMBER('Council Entry'!K$9)),MAX(MIN('Council Entry'!K32,'Council Entry'!K$9),'Council Entry'!K$8),'Council Entry'!K32)),IF('Council Entry'!K$4="Exponential",EXP(IF(AND(ISNUMBER('Council Entry'!K$8),ISNUMBER('Council Entry'!K$9)),MAX(MIN('Council Entry'!K32,'Council Entry'!K$9),'Council Entry'!K$8),'Council Entry'!K32)),IF(AND(ISNUMBER('Council Entry'!K$8),ISNUMBER('Council Entry'!K$9)),MAX(MIN('Council Entry'!K32,'Council Entry'!K$9),'Council Entry'!K$8),'Council Entry'!K32))))-'Council Entry'!K$5)/('Council Entry'!K$6-'Council Entry'!K$5),10*((IF('Council Entry'!K$4="Logarithm",LN(0.001+IF(AND(ISNUMBER('Council Entry'!K$8),ISNUMBER('Council Entry'!K$9)),MAX(MIN('Council Entry'!K32,'Council Entry'!K$9),'Council Entry'!K$8),'Council Entry'!K32)),IF('Council Entry'!K$4="Exponential",EXP(IF(AND(ISNUMBER('Council Entry'!K$8),ISNUMBER('Council Entry'!K$9)),MAX(MIN('Council Entry'!K32,'Council Entry'!K$9),'Council Entry'!K$8),'Council Entry'!K32)),IF(AND(ISNUMBER('Council Entry'!K$8),ISNUMBER('Council Entry'!K$9)),MAX(MIN('Council Entry'!K32,'Council Entry'!K$9),'Council Entry'!K$8),'Council Entry'!K32))))-'Council Entry'!K$5)/('Council Entry'!K$6-'Council Entry'!K$5)),1))),"No data"))</f>
        <v/>
      </c>
      <c r="L32" s="13">
        <f>IF('Council Entry'!L32="","",IFERROR(MAX(0,MIN(10,ROUND(IF('Council Entry'!L$7="Decrease Risk",10-10*((IF('Council Entry'!L$4="Logarithm",LN(0.001+IF(AND(ISNUMBER('Council Entry'!L$8),ISNUMBER('Council Entry'!L$9)),MAX(MIN('Council Entry'!L32,'Council Entry'!L$9),'Council Entry'!L$8),'Council Entry'!L32)),IF('Council Entry'!L$4="Exponential",EXP(IF(AND(ISNUMBER('Council Entry'!L$8),ISNUMBER('Council Entry'!L$9)),MAX(MIN('Council Entry'!L32,'Council Entry'!L$9),'Council Entry'!L$8),'Council Entry'!L32)),IF(AND(ISNUMBER('Council Entry'!L$8),ISNUMBER('Council Entry'!L$9)),MAX(MIN('Council Entry'!L32,'Council Entry'!L$9),'Council Entry'!L$8),'Council Entry'!L32))))-'Council Entry'!L$5)/('Council Entry'!L$6-'Council Entry'!L$5),10*((IF('Council Entry'!L$4="Logarithm",LN(0.001+IF(AND(ISNUMBER('Council Entry'!L$8),ISNUMBER('Council Entry'!L$9)),MAX(MIN('Council Entry'!L32,'Council Entry'!L$9),'Council Entry'!L$8),'Council Entry'!L32)),IF('Council Entry'!L$4="Exponential",EXP(IF(AND(ISNUMBER('Council Entry'!L$8),ISNUMBER('Council Entry'!L$9)),MAX(MIN('Council Entry'!L32,'Council Entry'!L$9),'Council Entry'!L$8),'Council Entry'!L32)),IF(AND(ISNUMBER('Council Entry'!L$8),ISNUMBER('Council Entry'!L$9)),MAX(MIN('Council Entry'!L32,'Council Entry'!L$9),'Council Entry'!L$8),'Council Entry'!L32))))-'Council Entry'!L$5)/('Council Entry'!L$6-'Council Entry'!L$5)),1))),"No data"))</f>
        <v/>
      </c>
      <c r="M32" s="13">
        <f>IF('Council Entry'!M32="","",IFERROR(MAX(0,MIN(10,ROUND(IF('Council Entry'!M$7="Decrease Risk",10-10*((IF('Council Entry'!M$4="Logarithm",LN(0.001+IF(AND(ISNUMBER('Council Entry'!M$8),ISNUMBER('Council Entry'!M$9)),MAX(MIN('Council Entry'!M32,'Council Entry'!M$9),'Council Entry'!M$8),'Council Entry'!M32)),IF('Council Entry'!M$4="Exponential",EXP(IF(AND(ISNUMBER('Council Entry'!M$8),ISNUMBER('Council Entry'!M$9)),MAX(MIN('Council Entry'!M32,'Council Entry'!M$9),'Council Entry'!M$8),'Council Entry'!M32)),IF(AND(ISNUMBER('Council Entry'!M$8),ISNUMBER('Council Entry'!M$9)),MAX(MIN('Council Entry'!M32,'Council Entry'!M$9),'Council Entry'!M$8),'Council Entry'!M32))))-'Council Entry'!M$5)/('Council Entry'!M$6-'Council Entry'!M$5),10*((IF('Council Entry'!M$4="Logarithm",LN(0.001+IF(AND(ISNUMBER('Council Entry'!M$8),ISNUMBER('Council Entry'!M$9)),MAX(MIN('Council Entry'!M32,'Council Entry'!M$9),'Council Entry'!M$8),'Council Entry'!M32)),IF('Council Entry'!M$4="Exponential",EXP(IF(AND(ISNUMBER('Council Entry'!M$8),ISNUMBER('Council Entry'!M$9)),MAX(MIN('Council Entry'!M32,'Council Entry'!M$9),'Council Entry'!M$8),'Council Entry'!M32)),IF(AND(ISNUMBER('Council Entry'!M$8),ISNUMBER('Council Entry'!M$9)),MAX(MIN('Council Entry'!M32,'Council Entry'!M$9),'Council Entry'!M$8),'Council Entry'!M32))))-'Council Entry'!M$5)/('Council Entry'!M$6-'Council Entry'!M$5)),1))),"No data"))</f>
        <v/>
      </c>
      <c r="N32" s="13">
        <f>IF('Council Entry'!N32="","",IFERROR(MAX(0,MIN(10,ROUND(IF('Council Entry'!N$7="Decrease Risk",10-10*((IF('Council Entry'!N$4="Logarithm",LN(0.001+IF(AND(ISNUMBER('Council Entry'!N$8),ISNUMBER('Council Entry'!N$9)),MAX(MIN('Council Entry'!N32,'Council Entry'!N$9),'Council Entry'!N$8),'Council Entry'!N32)),IF('Council Entry'!N$4="Exponential",EXP(IF(AND(ISNUMBER('Council Entry'!N$8),ISNUMBER('Council Entry'!N$9)),MAX(MIN('Council Entry'!N32,'Council Entry'!N$9),'Council Entry'!N$8),'Council Entry'!N32)),IF(AND(ISNUMBER('Council Entry'!N$8),ISNUMBER('Council Entry'!N$9)),MAX(MIN('Council Entry'!N32,'Council Entry'!N$9),'Council Entry'!N$8),'Council Entry'!N32))))-'Council Entry'!N$5)/('Council Entry'!N$6-'Council Entry'!N$5),10*((IF('Council Entry'!N$4="Logarithm",LN(0.001+IF(AND(ISNUMBER('Council Entry'!N$8),ISNUMBER('Council Entry'!N$9)),MAX(MIN('Council Entry'!N32,'Council Entry'!N$9),'Council Entry'!N$8),'Council Entry'!N32)),IF('Council Entry'!N$4="Exponential",EXP(IF(AND(ISNUMBER('Council Entry'!N$8),ISNUMBER('Council Entry'!N$9)),MAX(MIN('Council Entry'!N32,'Council Entry'!N$9),'Council Entry'!N$8),'Council Entry'!N32)),IF(AND(ISNUMBER('Council Entry'!N$8),ISNUMBER('Council Entry'!N$9)),MAX(MIN('Council Entry'!N32,'Council Entry'!N$9),'Council Entry'!N$8),'Council Entry'!N32))))-'Council Entry'!N$5)/('Council Entry'!N$6-'Council Entry'!N$5)),1))),"No data"))</f>
        <v/>
      </c>
      <c r="O32" s="13">
        <f>IF('Council Entry'!O32="","",IFERROR(MAX(0,MIN(10,ROUND(IF('Council Entry'!O$7="Decrease Risk",10-10*((IF('Council Entry'!O$4="Logarithm",LN(0.001+IF(AND(ISNUMBER('Council Entry'!O$8),ISNUMBER('Council Entry'!O$9)),MAX(MIN('Council Entry'!O32,'Council Entry'!O$9),'Council Entry'!O$8),'Council Entry'!O32)),IF('Council Entry'!O$4="Exponential",EXP(IF(AND(ISNUMBER('Council Entry'!O$8),ISNUMBER('Council Entry'!O$9)),MAX(MIN('Council Entry'!O32,'Council Entry'!O$9),'Council Entry'!O$8),'Council Entry'!O32)),IF(AND(ISNUMBER('Council Entry'!O$8),ISNUMBER('Council Entry'!O$9)),MAX(MIN('Council Entry'!O32,'Council Entry'!O$9),'Council Entry'!O$8),'Council Entry'!O32))))-'Council Entry'!O$5)/('Council Entry'!O$6-'Council Entry'!O$5),10*((IF('Council Entry'!O$4="Logarithm",LN(0.001+IF(AND(ISNUMBER('Council Entry'!O$8),ISNUMBER('Council Entry'!O$9)),MAX(MIN('Council Entry'!O32,'Council Entry'!O$9),'Council Entry'!O$8),'Council Entry'!O32)),IF('Council Entry'!O$4="Exponential",EXP(IF(AND(ISNUMBER('Council Entry'!O$8),ISNUMBER('Council Entry'!O$9)),MAX(MIN('Council Entry'!O32,'Council Entry'!O$9),'Council Entry'!O$8),'Council Entry'!O32)),IF(AND(ISNUMBER('Council Entry'!O$8),ISNUMBER('Council Entry'!O$9)),MAX(MIN('Council Entry'!O32,'Council Entry'!O$9),'Council Entry'!O$8),'Council Entry'!O32))))-'Council Entry'!O$5)/('Council Entry'!O$6-'Council Entry'!O$5)),1))),"No data"))</f>
        <v/>
      </c>
      <c r="P32" s="13">
        <f>IF('Council Entry'!P32="","",IFERROR(MAX(0,MIN(10,ROUND(IF('Council Entry'!P$7="Decrease Risk",10-10*((IF('Council Entry'!P$4="Logarithm",LN(0.001+IF(AND(ISNUMBER('Council Entry'!P$8),ISNUMBER('Council Entry'!P$9)),MAX(MIN('Council Entry'!P32,'Council Entry'!P$9),'Council Entry'!P$8),'Council Entry'!P32)),IF('Council Entry'!P$4="Exponential",EXP(IF(AND(ISNUMBER('Council Entry'!P$8),ISNUMBER('Council Entry'!P$9)),MAX(MIN('Council Entry'!P32,'Council Entry'!P$9),'Council Entry'!P$8),'Council Entry'!P32)),IF(AND(ISNUMBER('Council Entry'!P$8),ISNUMBER('Council Entry'!P$9)),MAX(MIN('Council Entry'!P32,'Council Entry'!P$9),'Council Entry'!P$8),'Council Entry'!P32))))-'Council Entry'!P$5)/('Council Entry'!P$6-'Council Entry'!P$5),10*((IF('Council Entry'!P$4="Logarithm",LN(0.001+IF(AND(ISNUMBER('Council Entry'!P$8),ISNUMBER('Council Entry'!P$9)),MAX(MIN('Council Entry'!P32,'Council Entry'!P$9),'Council Entry'!P$8),'Council Entry'!P32)),IF('Council Entry'!P$4="Exponential",EXP(IF(AND(ISNUMBER('Council Entry'!P$8),ISNUMBER('Council Entry'!P$9)),MAX(MIN('Council Entry'!P32,'Council Entry'!P$9),'Council Entry'!P$8),'Council Entry'!P32)),IF(AND(ISNUMBER('Council Entry'!P$8),ISNUMBER('Council Entry'!P$9)),MAX(MIN('Council Entry'!P32,'Council Entry'!P$9),'Council Entry'!P$8),'Council Entry'!P32))))-'Council Entry'!P$5)/('Council Entry'!P$6-'Council Entry'!P$5)),1))),"No data"))</f>
        <v/>
      </c>
      <c r="Q32" s="13">
        <f>IF('Council Entry'!Q32="","",IFERROR(MAX(0,MIN(10,ROUND(IF('Council Entry'!Q$7="Decrease Risk",10-10*((IF('Council Entry'!Q$4="Logarithm",LN(0.001+IF(AND(ISNUMBER('Council Entry'!Q$8),ISNUMBER('Council Entry'!Q$9)),MAX(MIN('Council Entry'!Q32,'Council Entry'!Q$9),'Council Entry'!Q$8),'Council Entry'!Q32)),IF('Council Entry'!Q$4="Exponential",EXP(IF(AND(ISNUMBER('Council Entry'!Q$8),ISNUMBER('Council Entry'!Q$9)),MAX(MIN('Council Entry'!Q32,'Council Entry'!Q$9),'Council Entry'!Q$8),'Council Entry'!Q32)),IF(AND(ISNUMBER('Council Entry'!Q$8),ISNUMBER('Council Entry'!Q$9)),MAX(MIN('Council Entry'!Q32,'Council Entry'!Q$9),'Council Entry'!Q$8),'Council Entry'!Q32))))-'Council Entry'!Q$5)/('Council Entry'!Q$6-'Council Entry'!Q$5),10*((IF('Council Entry'!Q$4="Logarithm",LN(0.001+IF(AND(ISNUMBER('Council Entry'!Q$8),ISNUMBER('Council Entry'!Q$9)),MAX(MIN('Council Entry'!Q32,'Council Entry'!Q$9),'Council Entry'!Q$8),'Council Entry'!Q32)),IF('Council Entry'!Q$4="Exponential",EXP(IF(AND(ISNUMBER('Council Entry'!Q$8),ISNUMBER('Council Entry'!Q$9)),MAX(MIN('Council Entry'!Q32,'Council Entry'!Q$9),'Council Entry'!Q$8),'Council Entry'!Q32)),IF(AND(ISNUMBER('Council Entry'!Q$8),ISNUMBER('Council Entry'!Q$9)),MAX(MIN('Council Entry'!Q32,'Council Entry'!Q$9),'Council Entry'!Q$8),'Council Entry'!Q32))))-'Council Entry'!Q$5)/('Council Entry'!Q$6-'Council Entry'!Q$5)),1))),"No data"))</f>
        <v/>
      </c>
      <c r="R32" s="13">
        <f>IF('Council Entry'!R32="","",IFERROR(MAX(0,MIN(10,ROUND(IF('Council Entry'!R$7="Decrease Risk",10-10*((IF('Council Entry'!R$4="Logarithm",LN(0.001+IF(AND(ISNUMBER('Council Entry'!R$8),ISNUMBER('Council Entry'!R$9)),MAX(MIN('Council Entry'!R32,'Council Entry'!R$9),'Council Entry'!R$8),'Council Entry'!R32)),IF('Council Entry'!R$4="Exponential",EXP(IF(AND(ISNUMBER('Council Entry'!R$8),ISNUMBER('Council Entry'!R$9)),MAX(MIN('Council Entry'!R32,'Council Entry'!R$9),'Council Entry'!R$8),'Council Entry'!R32)),IF(AND(ISNUMBER('Council Entry'!R$8),ISNUMBER('Council Entry'!R$9)),MAX(MIN('Council Entry'!R32,'Council Entry'!R$9),'Council Entry'!R$8),'Council Entry'!R32))))-'Council Entry'!R$5)/('Council Entry'!R$6-'Council Entry'!R$5),10*((IF('Council Entry'!R$4="Logarithm",LN(0.001+IF(AND(ISNUMBER('Council Entry'!R$8),ISNUMBER('Council Entry'!R$9)),MAX(MIN('Council Entry'!R32,'Council Entry'!R$9),'Council Entry'!R$8),'Council Entry'!R32)),IF('Council Entry'!R$4="Exponential",EXP(IF(AND(ISNUMBER('Council Entry'!R$8),ISNUMBER('Council Entry'!R$9)),MAX(MIN('Council Entry'!R32,'Council Entry'!R$9),'Council Entry'!R$8),'Council Entry'!R32)),IF(AND(ISNUMBER('Council Entry'!R$8),ISNUMBER('Council Entry'!R$9)),MAX(MIN('Council Entry'!R32,'Council Entry'!R$9),'Council Entry'!R$8),'Council Entry'!R32))))-'Council Entry'!R$5)/('Council Entry'!R$6-'Council Entry'!R$5)),1))),"No data"))</f>
        <v/>
      </c>
      <c r="S32" s="13">
        <f>IF('Council Entry'!S32="","",IFERROR(MAX(0,MIN(10,ROUND(IF('Council Entry'!S$7="Decrease Risk",10-10*((IF('Council Entry'!S$4="Logarithm",LN(0.001+IF(AND(ISNUMBER('Council Entry'!S$8),ISNUMBER('Council Entry'!S$9)),MAX(MIN('Council Entry'!S32,'Council Entry'!S$9),'Council Entry'!S$8),'Council Entry'!S32)),IF('Council Entry'!S$4="Exponential",EXP(IF(AND(ISNUMBER('Council Entry'!S$8),ISNUMBER('Council Entry'!S$9)),MAX(MIN('Council Entry'!S32,'Council Entry'!S$9),'Council Entry'!S$8),'Council Entry'!S32)),IF(AND(ISNUMBER('Council Entry'!S$8),ISNUMBER('Council Entry'!S$9)),MAX(MIN('Council Entry'!S32,'Council Entry'!S$9),'Council Entry'!S$8),'Council Entry'!S32))))-'Council Entry'!S$5)/('Council Entry'!S$6-'Council Entry'!S$5),10*((IF('Council Entry'!S$4="Logarithm",LN(0.001+IF(AND(ISNUMBER('Council Entry'!S$8),ISNUMBER('Council Entry'!S$9)),MAX(MIN('Council Entry'!S32,'Council Entry'!S$9),'Council Entry'!S$8),'Council Entry'!S32)),IF('Council Entry'!S$4="Exponential",EXP(IF(AND(ISNUMBER('Council Entry'!S$8),ISNUMBER('Council Entry'!S$9)),MAX(MIN('Council Entry'!S32,'Council Entry'!S$9),'Council Entry'!S$8),'Council Entry'!S32)),IF(AND(ISNUMBER('Council Entry'!S$8),ISNUMBER('Council Entry'!S$9)),MAX(MIN('Council Entry'!S32,'Council Entry'!S$9),'Council Entry'!S$8),'Council Entry'!S32))))-'Council Entry'!S$5)/('Council Entry'!S$6-'Council Entry'!S$5)),1))),"No data"))</f>
        <v/>
      </c>
      <c r="T32" s="13">
        <f>IF('Council Entry'!T32="","",IFERROR(MAX(0,MIN(10,ROUND(IF('Council Entry'!T$7="Decrease Risk",10-10*((IF('Council Entry'!T$4="Logarithm",LN(0.001+IF(AND(ISNUMBER('Council Entry'!T$8),ISNUMBER('Council Entry'!T$9)),MAX(MIN('Council Entry'!T32,'Council Entry'!T$9),'Council Entry'!T$8),'Council Entry'!T32)),IF('Council Entry'!T$4="Exponential",EXP(IF(AND(ISNUMBER('Council Entry'!T$8),ISNUMBER('Council Entry'!T$9)),MAX(MIN('Council Entry'!T32,'Council Entry'!T$9),'Council Entry'!T$8),'Council Entry'!T32)),IF(AND(ISNUMBER('Council Entry'!T$8),ISNUMBER('Council Entry'!T$9)),MAX(MIN('Council Entry'!T32,'Council Entry'!T$9),'Council Entry'!T$8),'Council Entry'!T32))))-'Council Entry'!T$5)/('Council Entry'!T$6-'Council Entry'!T$5),10*((IF('Council Entry'!T$4="Logarithm",LN(0.001+IF(AND(ISNUMBER('Council Entry'!T$8),ISNUMBER('Council Entry'!T$9)),MAX(MIN('Council Entry'!T32,'Council Entry'!T$9),'Council Entry'!T$8),'Council Entry'!T32)),IF('Council Entry'!T$4="Exponential",EXP(IF(AND(ISNUMBER('Council Entry'!T$8),ISNUMBER('Council Entry'!T$9)),MAX(MIN('Council Entry'!T32,'Council Entry'!T$9),'Council Entry'!T$8),'Council Entry'!T32)),IF(AND(ISNUMBER('Council Entry'!T$8),ISNUMBER('Council Entry'!T$9)),MAX(MIN('Council Entry'!T32,'Council Entry'!T$9),'Council Entry'!T$8),'Council Entry'!T32))))-'Council Entry'!T$5)/('Council Entry'!T$6-'Council Entry'!T$5)),1))),"No data"))</f>
        <v/>
      </c>
      <c r="U32" s="13">
        <f>IF('Council Entry'!U32="","",IFERROR(MAX(0,MIN(10,ROUND(IF('Council Entry'!U$7="Decrease Risk",10-10*((IF('Council Entry'!U$4="Logarithm",LN(0.001+IF(AND(ISNUMBER('Council Entry'!U$8),ISNUMBER('Council Entry'!U$9)),MAX(MIN('Council Entry'!U32,'Council Entry'!U$9),'Council Entry'!U$8),'Council Entry'!U32)),IF('Council Entry'!U$4="Exponential",EXP(IF(AND(ISNUMBER('Council Entry'!U$8),ISNUMBER('Council Entry'!U$9)),MAX(MIN('Council Entry'!U32,'Council Entry'!U$9),'Council Entry'!U$8),'Council Entry'!U32)),IF(AND(ISNUMBER('Council Entry'!U$8),ISNUMBER('Council Entry'!U$9)),MAX(MIN('Council Entry'!U32,'Council Entry'!U$9),'Council Entry'!U$8),'Council Entry'!U32))))-'Council Entry'!U$5)/('Council Entry'!U$6-'Council Entry'!U$5),10*((IF('Council Entry'!U$4="Logarithm",LN(0.001+IF(AND(ISNUMBER('Council Entry'!U$8),ISNUMBER('Council Entry'!U$9)),MAX(MIN('Council Entry'!U32,'Council Entry'!U$9),'Council Entry'!U$8),'Council Entry'!U32)),IF('Council Entry'!U$4="Exponential",EXP(IF(AND(ISNUMBER('Council Entry'!U$8),ISNUMBER('Council Entry'!U$9)),MAX(MIN('Council Entry'!U32,'Council Entry'!U$9),'Council Entry'!U$8),'Council Entry'!U32)),IF(AND(ISNUMBER('Council Entry'!U$8),ISNUMBER('Council Entry'!U$9)),MAX(MIN('Council Entry'!U32,'Council Entry'!U$9),'Council Entry'!U$8),'Council Entry'!U32))))-'Council Entry'!U$5)/('Council Entry'!U$6-'Council Entry'!U$5)),1))),"No data"))</f>
        <v/>
      </c>
      <c r="V32" s="13">
        <f>IF('Council Entry'!V32="","",IFERROR(MAX(0,MIN(10,ROUND(IF('Council Entry'!V$7="Decrease Risk",10-10*((IF('Council Entry'!V$4="Logarithm",LN(0.001+IF(AND(ISNUMBER('Council Entry'!V$8),ISNUMBER('Council Entry'!V$9)),MAX(MIN('Council Entry'!V32,'Council Entry'!V$9),'Council Entry'!V$8),'Council Entry'!V32)),IF('Council Entry'!V$4="Exponential",EXP(IF(AND(ISNUMBER('Council Entry'!V$8),ISNUMBER('Council Entry'!V$9)),MAX(MIN('Council Entry'!V32,'Council Entry'!V$9),'Council Entry'!V$8),'Council Entry'!V32)),IF(AND(ISNUMBER('Council Entry'!V$8),ISNUMBER('Council Entry'!V$9)),MAX(MIN('Council Entry'!V32,'Council Entry'!V$9),'Council Entry'!V$8),'Council Entry'!V32))))-'Council Entry'!V$5)/('Council Entry'!V$6-'Council Entry'!V$5),10*((IF('Council Entry'!V$4="Logarithm",LN(0.001+IF(AND(ISNUMBER('Council Entry'!V$8),ISNUMBER('Council Entry'!V$9)),MAX(MIN('Council Entry'!V32,'Council Entry'!V$9),'Council Entry'!V$8),'Council Entry'!V32)),IF('Council Entry'!V$4="Exponential",EXP(IF(AND(ISNUMBER('Council Entry'!V$8),ISNUMBER('Council Entry'!V$9)),MAX(MIN('Council Entry'!V32,'Council Entry'!V$9),'Council Entry'!V$8),'Council Entry'!V32)),IF(AND(ISNUMBER('Council Entry'!V$8),ISNUMBER('Council Entry'!V$9)),MAX(MIN('Council Entry'!V32,'Council Entry'!V$9),'Council Entry'!V$8),'Council Entry'!V32))))-'Council Entry'!V$5)/('Council Entry'!V$6-'Council Entry'!V$5)),1))),"No data"))</f>
        <v/>
      </c>
      <c r="W32" s="13">
        <f>IF('Council Entry'!W32="","",IFERROR(MAX(0,MIN(10,ROUND(IF('Council Entry'!W$7="Decrease Risk",10-10*((IF('Council Entry'!W$4="Logarithm",LN(0.001+IF(AND(ISNUMBER('Council Entry'!W$8),ISNUMBER('Council Entry'!W$9)),MAX(MIN('Council Entry'!W32,'Council Entry'!W$9),'Council Entry'!W$8),'Council Entry'!W32)),IF('Council Entry'!W$4="Exponential",EXP(IF(AND(ISNUMBER('Council Entry'!W$8),ISNUMBER('Council Entry'!W$9)),MAX(MIN('Council Entry'!W32,'Council Entry'!W$9),'Council Entry'!W$8),'Council Entry'!W32)),IF(AND(ISNUMBER('Council Entry'!W$8),ISNUMBER('Council Entry'!W$9)),MAX(MIN('Council Entry'!W32,'Council Entry'!W$9),'Council Entry'!W$8),'Council Entry'!W32))))-'Council Entry'!W$5)/('Council Entry'!W$6-'Council Entry'!W$5),10*((IF('Council Entry'!W$4="Logarithm",LN(0.001+IF(AND(ISNUMBER('Council Entry'!W$8),ISNUMBER('Council Entry'!W$9)),MAX(MIN('Council Entry'!W32,'Council Entry'!W$9),'Council Entry'!W$8),'Council Entry'!W32)),IF('Council Entry'!W$4="Exponential",EXP(IF(AND(ISNUMBER('Council Entry'!W$8),ISNUMBER('Council Entry'!W$9)),MAX(MIN('Council Entry'!W32,'Council Entry'!W$9),'Council Entry'!W$8),'Council Entry'!W32)),IF(AND(ISNUMBER('Council Entry'!W$8),ISNUMBER('Council Entry'!W$9)),MAX(MIN('Council Entry'!W32,'Council Entry'!W$9),'Council Entry'!W$8),'Council Entry'!W32))))-'Council Entry'!W$5)/('Council Entry'!W$6-'Council Entry'!W$5)),1))),"No data"))</f>
        <v/>
      </c>
      <c r="X32" s="13">
        <f>IF('Council Entry'!X32="","",IFERROR(MAX(0,MIN(10,ROUND(IF('Council Entry'!X$7="Decrease Risk",10-10*((IF('Council Entry'!X$4="Logarithm",LN(0.001+IF(AND(ISNUMBER('Council Entry'!X$8),ISNUMBER('Council Entry'!X$9)),MAX(MIN('Council Entry'!X32,'Council Entry'!X$9),'Council Entry'!X$8),'Council Entry'!X32)),IF('Council Entry'!X$4="Exponential",EXP(IF(AND(ISNUMBER('Council Entry'!X$8),ISNUMBER('Council Entry'!X$9)),MAX(MIN('Council Entry'!X32,'Council Entry'!X$9),'Council Entry'!X$8),'Council Entry'!X32)),IF(AND(ISNUMBER('Council Entry'!X$8),ISNUMBER('Council Entry'!X$9)),MAX(MIN('Council Entry'!X32,'Council Entry'!X$9),'Council Entry'!X$8),'Council Entry'!X32))))-'Council Entry'!X$5)/('Council Entry'!X$6-'Council Entry'!X$5),10*((IF('Council Entry'!X$4="Logarithm",LN(0.001+IF(AND(ISNUMBER('Council Entry'!X$8),ISNUMBER('Council Entry'!X$9)),MAX(MIN('Council Entry'!X32,'Council Entry'!X$9),'Council Entry'!X$8),'Council Entry'!X32)),IF('Council Entry'!X$4="Exponential",EXP(IF(AND(ISNUMBER('Council Entry'!X$8),ISNUMBER('Council Entry'!X$9)),MAX(MIN('Council Entry'!X32,'Council Entry'!X$9),'Council Entry'!X$8),'Council Entry'!X32)),IF(AND(ISNUMBER('Council Entry'!X$8),ISNUMBER('Council Entry'!X$9)),MAX(MIN('Council Entry'!X32,'Council Entry'!X$9),'Council Entry'!X$8),'Council Entry'!X32))))-'Council Entry'!X$5)/('Council Entry'!X$6-'Council Entry'!X$5)),1))),"No data"))</f>
        <v/>
      </c>
      <c r="Y32" s="13">
        <f>IF('Council Entry'!Y32="","",IFERROR(MAX(0,MIN(10,ROUND(IF('Council Entry'!Y$7="Decrease Risk",10-10*((IF('Council Entry'!Y$4="Logarithm",LN(0.001+IF(AND(ISNUMBER('Council Entry'!Y$8),ISNUMBER('Council Entry'!Y$9)),MAX(MIN('Council Entry'!Y32,'Council Entry'!Y$9),'Council Entry'!Y$8),'Council Entry'!Y32)),IF('Council Entry'!Y$4="Exponential",EXP(IF(AND(ISNUMBER('Council Entry'!Y$8),ISNUMBER('Council Entry'!Y$9)),MAX(MIN('Council Entry'!Y32,'Council Entry'!Y$9),'Council Entry'!Y$8),'Council Entry'!Y32)),IF(AND(ISNUMBER('Council Entry'!Y$8),ISNUMBER('Council Entry'!Y$9)),MAX(MIN('Council Entry'!Y32,'Council Entry'!Y$9),'Council Entry'!Y$8),'Council Entry'!Y32))))-'Council Entry'!Y$5)/('Council Entry'!Y$6-'Council Entry'!Y$5),10*((IF('Council Entry'!Y$4="Logarithm",LN(0.001+IF(AND(ISNUMBER('Council Entry'!Y$8),ISNUMBER('Council Entry'!Y$9)),MAX(MIN('Council Entry'!Y32,'Council Entry'!Y$9),'Council Entry'!Y$8),'Council Entry'!Y32)),IF('Council Entry'!Y$4="Exponential",EXP(IF(AND(ISNUMBER('Council Entry'!Y$8),ISNUMBER('Council Entry'!Y$9)),MAX(MIN('Council Entry'!Y32,'Council Entry'!Y$9),'Council Entry'!Y$8),'Council Entry'!Y32)),IF(AND(ISNUMBER('Council Entry'!Y$8),ISNUMBER('Council Entry'!Y$9)),MAX(MIN('Council Entry'!Y32,'Council Entry'!Y$9),'Council Entry'!Y$8),'Council Entry'!Y32))))-'Council Entry'!Y$5)/('Council Entry'!Y$6-'Council Entry'!Y$5)),1))),"No data"))</f>
        <v/>
      </c>
      <c r="Z32" s="13">
        <f>IF('Council Entry'!Z32="","",IFERROR(MAX(0,MIN(10,ROUND(IF('Council Entry'!Z$7="Decrease Risk",10-10*((IF('Council Entry'!Z$4="Logarithm",LN(0.001+IF(AND(ISNUMBER('Council Entry'!Z$8),ISNUMBER('Council Entry'!Z$9)),MAX(MIN('Council Entry'!Z32,'Council Entry'!Z$9),'Council Entry'!Z$8),'Council Entry'!Z32)),IF('Council Entry'!Z$4="Exponential",EXP(IF(AND(ISNUMBER('Council Entry'!Z$8),ISNUMBER('Council Entry'!Z$9)),MAX(MIN('Council Entry'!Z32,'Council Entry'!Z$9),'Council Entry'!Z$8),'Council Entry'!Z32)),IF(AND(ISNUMBER('Council Entry'!Z$8),ISNUMBER('Council Entry'!Z$9)),MAX(MIN('Council Entry'!Z32,'Council Entry'!Z$9),'Council Entry'!Z$8),'Council Entry'!Z32))))-'Council Entry'!Z$5)/('Council Entry'!Z$6-'Council Entry'!Z$5),10*((IF('Council Entry'!Z$4="Logarithm",LN(0.001+IF(AND(ISNUMBER('Council Entry'!Z$8),ISNUMBER('Council Entry'!Z$9)),MAX(MIN('Council Entry'!Z32,'Council Entry'!Z$9),'Council Entry'!Z$8),'Council Entry'!Z32)),IF('Council Entry'!Z$4="Exponential",EXP(IF(AND(ISNUMBER('Council Entry'!Z$8),ISNUMBER('Council Entry'!Z$9)),MAX(MIN('Council Entry'!Z32,'Council Entry'!Z$9),'Council Entry'!Z$8),'Council Entry'!Z32)),IF(AND(ISNUMBER('Council Entry'!Z$8),ISNUMBER('Council Entry'!Z$9)),MAX(MIN('Council Entry'!Z32,'Council Entry'!Z$9),'Council Entry'!Z$8),'Council Entry'!Z32))))-'Council Entry'!Z$5)/('Council Entry'!Z$6-'Council Entry'!Z$5)),1))),"No data"))</f>
        <v/>
      </c>
      <c r="AA32" s="13">
        <f>IF('Council Entry'!AA32="","",IFERROR(MAX(0,MIN(10,ROUND(IF('Council Entry'!AA$7="Decrease Risk",10-10*((IF('Council Entry'!AA$4="Logarithm",LN(0.001+IF(AND(ISNUMBER('Council Entry'!AA$8),ISNUMBER('Council Entry'!AA$9)),MAX(MIN('Council Entry'!AA32,'Council Entry'!AA$9),'Council Entry'!AA$8),'Council Entry'!AA32)),IF('Council Entry'!AA$4="Exponential",EXP(IF(AND(ISNUMBER('Council Entry'!AA$8),ISNUMBER('Council Entry'!AA$9)),MAX(MIN('Council Entry'!AA32,'Council Entry'!AA$9),'Council Entry'!AA$8),'Council Entry'!AA32)),IF(AND(ISNUMBER('Council Entry'!AA$8),ISNUMBER('Council Entry'!AA$9)),MAX(MIN('Council Entry'!AA32,'Council Entry'!AA$9),'Council Entry'!AA$8),'Council Entry'!AA32))))-'Council Entry'!AA$5)/('Council Entry'!AA$6-'Council Entry'!AA$5),10*((IF('Council Entry'!AA$4="Logarithm",LN(0.001+IF(AND(ISNUMBER('Council Entry'!AA$8),ISNUMBER('Council Entry'!AA$9)),MAX(MIN('Council Entry'!AA32,'Council Entry'!AA$9),'Council Entry'!AA$8),'Council Entry'!AA32)),IF('Council Entry'!AA$4="Exponential",EXP(IF(AND(ISNUMBER('Council Entry'!AA$8),ISNUMBER('Council Entry'!AA$9)),MAX(MIN('Council Entry'!AA32,'Council Entry'!AA$9),'Council Entry'!AA$8),'Council Entry'!AA32)),IF(AND(ISNUMBER('Council Entry'!AA$8),ISNUMBER('Council Entry'!AA$9)),MAX(MIN('Council Entry'!AA32,'Council Entry'!AA$9),'Council Entry'!AA$8),'Council Entry'!AA32))))-'Council Entry'!AA$5)/('Council Entry'!AA$6-'Council Entry'!AA$5)),1))),"No data"))</f>
        <v/>
      </c>
      <c r="AB32" s="13">
        <f>IF('Council Entry'!AB32="","",IFERROR(MAX(0,MIN(10,ROUND(IF('Council Entry'!AB$7="Decrease Risk",10-10*((IF('Council Entry'!AB$4="Logarithm",LN(0.001+IF(AND(ISNUMBER('Council Entry'!AB$8),ISNUMBER('Council Entry'!AB$9)),MAX(MIN('Council Entry'!AB32,'Council Entry'!AB$9),'Council Entry'!AB$8),'Council Entry'!AB32)),IF('Council Entry'!AB$4="Exponential",EXP(IF(AND(ISNUMBER('Council Entry'!AB$8),ISNUMBER('Council Entry'!AB$9)),MAX(MIN('Council Entry'!AB32,'Council Entry'!AB$9),'Council Entry'!AB$8),'Council Entry'!AB32)),IF(AND(ISNUMBER('Council Entry'!AB$8),ISNUMBER('Council Entry'!AB$9)),MAX(MIN('Council Entry'!AB32,'Council Entry'!AB$9),'Council Entry'!AB$8),'Council Entry'!AB32))))-'Council Entry'!AB$5)/('Council Entry'!AB$6-'Council Entry'!AB$5),10*((IF('Council Entry'!AB$4="Logarithm",LN(0.001+IF(AND(ISNUMBER('Council Entry'!AB$8),ISNUMBER('Council Entry'!AB$9)),MAX(MIN('Council Entry'!AB32,'Council Entry'!AB$9),'Council Entry'!AB$8),'Council Entry'!AB32)),IF('Council Entry'!AB$4="Exponential",EXP(IF(AND(ISNUMBER('Council Entry'!AB$8),ISNUMBER('Council Entry'!AB$9)),MAX(MIN('Council Entry'!AB32,'Council Entry'!AB$9),'Council Entry'!AB$8),'Council Entry'!AB32)),IF(AND(ISNUMBER('Council Entry'!AB$8),ISNUMBER('Council Entry'!AB$9)),MAX(MIN('Council Entry'!AB32,'Council Entry'!AB$9),'Council Entry'!AB$8),'Council Entry'!AB32))))-'Council Entry'!AB$5)/('Council Entry'!AB$6-'Council Entry'!AB$5)),1))),"No data"))</f>
        <v/>
      </c>
      <c r="AC32" s="13">
        <f>IF('Council Entry'!AC32="","",IFERROR(MAX(0,MIN(10,ROUND(IF('Council Entry'!AC$7="Decrease Risk",10-10*((IF('Council Entry'!AC$4="Logarithm",LN(0.001+IF(AND(ISNUMBER('Council Entry'!AC$8),ISNUMBER('Council Entry'!AC$9)),MAX(MIN('Council Entry'!AC32,'Council Entry'!AC$9),'Council Entry'!AC$8),'Council Entry'!AC32)),IF('Council Entry'!AC$4="Exponential",EXP(IF(AND(ISNUMBER('Council Entry'!AC$8),ISNUMBER('Council Entry'!AC$9)),MAX(MIN('Council Entry'!AC32,'Council Entry'!AC$9),'Council Entry'!AC$8),'Council Entry'!AC32)),IF(AND(ISNUMBER('Council Entry'!AC$8),ISNUMBER('Council Entry'!AC$9)),MAX(MIN('Council Entry'!AC32,'Council Entry'!AC$9),'Council Entry'!AC$8),'Council Entry'!AC32))))-'Council Entry'!AC$5)/('Council Entry'!AC$6-'Council Entry'!AC$5),10*((IF('Council Entry'!AC$4="Logarithm",LN(0.001+IF(AND(ISNUMBER('Council Entry'!AC$8),ISNUMBER('Council Entry'!AC$9)),MAX(MIN('Council Entry'!AC32,'Council Entry'!AC$9),'Council Entry'!AC$8),'Council Entry'!AC32)),IF('Council Entry'!AC$4="Exponential",EXP(IF(AND(ISNUMBER('Council Entry'!AC$8),ISNUMBER('Council Entry'!AC$9)),MAX(MIN('Council Entry'!AC32,'Council Entry'!AC$9),'Council Entry'!AC$8),'Council Entry'!AC32)),IF(AND(ISNUMBER('Council Entry'!AC$8),ISNUMBER('Council Entry'!AC$9)),MAX(MIN('Council Entry'!AC32,'Council Entry'!AC$9),'Council Entry'!AC$8),'Council Entry'!AC32))))-'Council Entry'!AC$5)/('Council Entry'!AC$6-'Council Entry'!AC$5)),1))),"No data"))</f>
        <v/>
      </c>
      <c r="AD32" s="13">
        <f>IF('Council Entry'!AD32="","",IFERROR(MAX(0,MIN(10,ROUND(IF('Council Entry'!AD$7="Decrease Risk",10-10*((IF('Council Entry'!AD$4="Logarithm",LN(0.001+IF(AND(ISNUMBER('Council Entry'!AD$8),ISNUMBER('Council Entry'!AD$9)),MAX(MIN('Council Entry'!AD32,'Council Entry'!AD$9),'Council Entry'!AD$8),'Council Entry'!AD32)),IF('Council Entry'!AD$4="Exponential",EXP(IF(AND(ISNUMBER('Council Entry'!AD$8),ISNUMBER('Council Entry'!AD$9)),MAX(MIN('Council Entry'!AD32,'Council Entry'!AD$9),'Council Entry'!AD$8),'Council Entry'!AD32)),IF(AND(ISNUMBER('Council Entry'!AD$8),ISNUMBER('Council Entry'!AD$9)),MAX(MIN('Council Entry'!AD32,'Council Entry'!AD$9),'Council Entry'!AD$8),'Council Entry'!AD32))))-'Council Entry'!AD$5)/('Council Entry'!AD$6-'Council Entry'!AD$5),10*((IF('Council Entry'!AD$4="Logarithm",LN(0.001+IF(AND(ISNUMBER('Council Entry'!AD$8),ISNUMBER('Council Entry'!AD$9)),MAX(MIN('Council Entry'!AD32,'Council Entry'!AD$9),'Council Entry'!AD$8),'Council Entry'!AD32)),IF('Council Entry'!AD$4="Exponential",EXP(IF(AND(ISNUMBER('Council Entry'!AD$8),ISNUMBER('Council Entry'!AD$9)),MAX(MIN('Council Entry'!AD32,'Council Entry'!AD$9),'Council Entry'!AD$8),'Council Entry'!AD32)),IF(AND(ISNUMBER('Council Entry'!AD$8),ISNUMBER('Council Entry'!AD$9)),MAX(MIN('Council Entry'!AD32,'Council Entry'!AD$9),'Council Entry'!AD$8),'Council Entry'!AD32))))-'Council Entry'!AD$5)/('Council Entry'!AD$6-'Council Entry'!AD$5)),1))),"No data"))</f>
        <v/>
      </c>
      <c r="AE32" s="13">
        <f>IF('Council Entry'!AE32="","",IFERROR(MAX(0,MIN(10,ROUND(IF('Council Entry'!AE$7="Decrease Risk",10-10*((IF('Council Entry'!AE$4="Logarithm",LN(0.001+IF(AND(ISNUMBER('Council Entry'!AE$8),ISNUMBER('Council Entry'!AE$9)),MAX(MIN('Council Entry'!AE32,'Council Entry'!AE$9),'Council Entry'!AE$8),'Council Entry'!AE32)),IF('Council Entry'!AE$4="Exponential",EXP(IF(AND(ISNUMBER('Council Entry'!AE$8),ISNUMBER('Council Entry'!AE$9)),MAX(MIN('Council Entry'!AE32,'Council Entry'!AE$9),'Council Entry'!AE$8),'Council Entry'!AE32)),IF(AND(ISNUMBER('Council Entry'!AE$8),ISNUMBER('Council Entry'!AE$9)),MAX(MIN('Council Entry'!AE32,'Council Entry'!AE$9),'Council Entry'!AE$8),'Council Entry'!AE32))))-'Council Entry'!AE$5)/('Council Entry'!AE$6-'Council Entry'!AE$5),10*((IF('Council Entry'!AE$4="Logarithm",LN(0.001+IF(AND(ISNUMBER('Council Entry'!AE$8),ISNUMBER('Council Entry'!AE$9)),MAX(MIN('Council Entry'!AE32,'Council Entry'!AE$9),'Council Entry'!AE$8),'Council Entry'!AE32)),IF('Council Entry'!AE$4="Exponential",EXP(IF(AND(ISNUMBER('Council Entry'!AE$8),ISNUMBER('Council Entry'!AE$9)),MAX(MIN('Council Entry'!AE32,'Council Entry'!AE$9),'Council Entry'!AE$8),'Council Entry'!AE32)),IF(AND(ISNUMBER('Council Entry'!AE$8),ISNUMBER('Council Entry'!AE$9)),MAX(MIN('Council Entry'!AE32,'Council Entry'!AE$9),'Council Entry'!AE$8),'Council Entry'!AE32))))-'Council Entry'!AE$5)/('Council Entry'!AE$6-'Council Entry'!AE$5)),1))),"No data"))</f>
        <v/>
      </c>
      <c r="AF32" s="13">
        <f>IF('Council Entry'!AF32="","",IFERROR(MAX(0,MIN(10,ROUND(IF('Council Entry'!AF$7="Decrease Risk",10-10*((IF('Council Entry'!AF$4="Logarithm",LN(0.001+IF(AND(ISNUMBER('Council Entry'!AF$8),ISNUMBER('Council Entry'!AF$9)),MAX(MIN('Council Entry'!AF32,'Council Entry'!AF$9),'Council Entry'!AF$8),'Council Entry'!AF32)),IF('Council Entry'!AF$4="Exponential",EXP(IF(AND(ISNUMBER('Council Entry'!AF$8),ISNUMBER('Council Entry'!AF$9)),MAX(MIN('Council Entry'!AF32,'Council Entry'!AF$9),'Council Entry'!AF$8),'Council Entry'!AF32)),IF(AND(ISNUMBER('Council Entry'!AF$8),ISNUMBER('Council Entry'!AF$9)),MAX(MIN('Council Entry'!AF32,'Council Entry'!AF$9),'Council Entry'!AF$8),'Council Entry'!AF32))))-'Council Entry'!AF$5)/('Council Entry'!AF$6-'Council Entry'!AF$5),10*((IF('Council Entry'!AF$4="Logarithm",LN(0.001+IF(AND(ISNUMBER('Council Entry'!AF$8),ISNUMBER('Council Entry'!AF$9)),MAX(MIN('Council Entry'!AF32,'Council Entry'!AF$9),'Council Entry'!AF$8),'Council Entry'!AF32)),IF('Council Entry'!AF$4="Exponential",EXP(IF(AND(ISNUMBER('Council Entry'!AF$8),ISNUMBER('Council Entry'!AF$9)),MAX(MIN('Council Entry'!AF32,'Council Entry'!AF$9),'Council Entry'!AF$8),'Council Entry'!AF32)),IF(AND(ISNUMBER('Council Entry'!AF$8),ISNUMBER('Council Entry'!AF$9)),MAX(MIN('Council Entry'!AF32,'Council Entry'!AF$9),'Council Entry'!AF$8),'Council Entry'!AF32))))-'Council Entry'!AF$5)/('Council Entry'!AF$6-'Council Entry'!AF$5)),1))),"No data"))</f>
        <v/>
      </c>
      <c r="AG32" s="13">
        <f>IF('Council Entry'!AG32="","",IFERROR(MAX(0,MIN(10,ROUND(IF('Council Entry'!AG$7="Decrease Risk",10-10*((IF('Council Entry'!AG$4="Logarithm",LN(0.001+IF(AND(ISNUMBER('Council Entry'!AG$8),ISNUMBER('Council Entry'!AG$9)),MAX(MIN('Council Entry'!AG32,'Council Entry'!AG$9),'Council Entry'!AG$8),'Council Entry'!AG32)),IF('Council Entry'!AG$4="Exponential",EXP(IF(AND(ISNUMBER('Council Entry'!AG$8),ISNUMBER('Council Entry'!AG$9)),MAX(MIN('Council Entry'!AG32,'Council Entry'!AG$9),'Council Entry'!AG$8),'Council Entry'!AG32)),IF(AND(ISNUMBER('Council Entry'!AG$8),ISNUMBER('Council Entry'!AG$9)),MAX(MIN('Council Entry'!AG32,'Council Entry'!AG$9),'Council Entry'!AG$8),'Council Entry'!AG32))))-'Council Entry'!AG$5)/('Council Entry'!AG$6-'Council Entry'!AG$5),10*((IF('Council Entry'!AG$4="Logarithm",LN(0.001+IF(AND(ISNUMBER('Council Entry'!AG$8),ISNUMBER('Council Entry'!AG$9)),MAX(MIN('Council Entry'!AG32,'Council Entry'!AG$9),'Council Entry'!AG$8),'Council Entry'!AG32)),IF('Council Entry'!AG$4="Exponential",EXP(IF(AND(ISNUMBER('Council Entry'!AG$8),ISNUMBER('Council Entry'!AG$9)),MAX(MIN('Council Entry'!AG32,'Council Entry'!AG$9),'Council Entry'!AG$8),'Council Entry'!AG32)),IF(AND(ISNUMBER('Council Entry'!AG$8),ISNUMBER('Council Entry'!AG$9)),MAX(MIN('Council Entry'!AG32,'Council Entry'!AG$9),'Council Entry'!AG$8),'Council Entry'!AG32))))-'Council Entry'!AG$5)/('Council Entry'!AG$6-'Council Entry'!AG$5)),1))),"No data"))</f>
        <v/>
      </c>
      <c r="AH32" s="13">
        <f>IF('Council Entry'!AH32="","",IFERROR(MAX(0,MIN(10,ROUND(IF('Council Entry'!AH$7="Decrease Risk",10-10*((IF('Council Entry'!AH$4="Logarithm",LN(0.001+IF(AND(ISNUMBER('Council Entry'!AH$8),ISNUMBER('Council Entry'!AH$9)),MAX(MIN('Council Entry'!AH32,'Council Entry'!AH$9),'Council Entry'!AH$8),'Council Entry'!AH32)),IF('Council Entry'!AH$4="Exponential",EXP(IF(AND(ISNUMBER('Council Entry'!AH$8),ISNUMBER('Council Entry'!AH$9)),MAX(MIN('Council Entry'!AH32,'Council Entry'!AH$9),'Council Entry'!AH$8),'Council Entry'!AH32)),IF(AND(ISNUMBER('Council Entry'!AH$8),ISNUMBER('Council Entry'!AH$9)),MAX(MIN('Council Entry'!AH32,'Council Entry'!AH$9),'Council Entry'!AH$8),'Council Entry'!AH32))))-'Council Entry'!AH$5)/('Council Entry'!AH$6-'Council Entry'!AH$5),10*((IF('Council Entry'!AH$4="Logarithm",LN(0.001+IF(AND(ISNUMBER('Council Entry'!AH$8),ISNUMBER('Council Entry'!AH$9)),MAX(MIN('Council Entry'!AH32,'Council Entry'!AH$9),'Council Entry'!AH$8),'Council Entry'!AH32)),IF('Council Entry'!AH$4="Exponential",EXP(IF(AND(ISNUMBER('Council Entry'!AH$8),ISNUMBER('Council Entry'!AH$9)),MAX(MIN('Council Entry'!AH32,'Council Entry'!AH$9),'Council Entry'!AH$8),'Council Entry'!AH32)),IF(AND(ISNUMBER('Council Entry'!AH$8),ISNUMBER('Council Entry'!AH$9)),MAX(MIN('Council Entry'!AH32,'Council Entry'!AH$9),'Council Entry'!AH$8),'Council Entry'!AH32))))-'Council Entry'!AH$5)/('Council Entry'!AH$6-'Council Entry'!AH$5)),1))),"No data"))</f>
        <v/>
      </c>
      <c r="AI32" s="13">
        <f>IF('Council Entry'!AI32="","",IFERROR(MAX(0,MIN(10,ROUND(IF('Council Entry'!AI$7="Decrease Risk",10-10*((IF('Council Entry'!AI$4="Logarithm",LN(0.001+IF(AND(ISNUMBER('Council Entry'!AI$8),ISNUMBER('Council Entry'!AI$9)),MAX(MIN('Council Entry'!AI32,'Council Entry'!AI$9),'Council Entry'!AI$8),'Council Entry'!AI32)),IF('Council Entry'!AI$4="Exponential",EXP(IF(AND(ISNUMBER('Council Entry'!AI$8),ISNUMBER('Council Entry'!AI$9)),MAX(MIN('Council Entry'!AI32,'Council Entry'!AI$9),'Council Entry'!AI$8),'Council Entry'!AI32)),IF(AND(ISNUMBER('Council Entry'!AI$8),ISNUMBER('Council Entry'!AI$9)),MAX(MIN('Council Entry'!AI32,'Council Entry'!AI$9),'Council Entry'!AI$8),'Council Entry'!AI32))))-'Council Entry'!AI$5)/('Council Entry'!AI$6-'Council Entry'!AI$5),10*((IF('Council Entry'!AI$4="Logarithm",LN(0.001+IF(AND(ISNUMBER('Council Entry'!AI$8),ISNUMBER('Council Entry'!AI$9)),MAX(MIN('Council Entry'!AI32,'Council Entry'!AI$9),'Council Entry'!AI$8),'Council Entry'!AI32)),IF('Council Entry'!AI$4="Exponential",EXP(IF(AND(ISNUMBER('Council Entry'!AI$8),ISNUMBER('Council Entry'!AI$9)),MAX(MIN('Council Entry'!AI32,'Council Entry'!AI$9),'Council Entry'!AI$8),'Council Entry'!AI32)),IF(AND(ISNUMBER('Council Entry'!AI$8),ISNUMBER('Council Entry'!AI$9)),MAX(MIN('Council Entry'!AI32,'Council Entry'!AI$9),'Council Entry'!AI$8),'Council Entry'!AI32))))-'Council Entry'!AI$5)/('Council Entry'!AI$6-'Council Entry'!AI$5)),1))),"No data"))</f>
        <v/>
      </c>
      <c r="AJ32" s="13">
        <f>IF('Council Entry'!AJ32="","",IFERROR(MAX(0,MIN(10,ROUND(IF('Council Entry'!AJ$7="Decrease Risk",10-10*((IF('Council Entry'!AJ$4="Logarithm",LN(0.001+IF(AND(ISNUMBER('Council Entry'!AJ$8),ISNUMBER('Council Entry'!AJ$9)),MAX(MIN('Council Entry'!AJ32,'Council Entry'!AJ$9),'Council Entry'!AJ$8),'Council Entry'!AJ32)),IF('Council Entry'!AJ$4="Exponential",EXP(IF(AND(ISNUMBER('Council Entry'!AJ$8),ISNUMBER('Council Entry'!AJ$9)),MAX(MIN('Council Entry'!AJ32,'Council Entry'!AJ$9),'Council Entry'!AJ$8),'Council Entry'!AJ32)),IF(AND(ISNUMBER('Council Entry'!AJ$8),ISNUMBER('Council Entry'!AJ$9)),MAX(MIN('Council Entry'!AJ32,'Council Entry'!AJ$9),'Council Entry'!AJ$8),'Council Entry'!AJ32))))-'Council Entry'!AJ$5)/('Council Entry'!AJ$6-'Council Entry'!AJ$5),10*((IF('Council Entry'!AJ$4="Logarithm",LN(0.001+IF(AND(ISNUMBER('Council Entry'!AJ$8),ISNUMBER('Council Entry'!AJ$9)),MAX(MIN('Council Entry'!AJ32,'Council Entry'!AJ$9),'Council Entry'!AJ$8),'Council Entry'!AJ32)),IF('Council Entry'!AJ$4="Exponential",EXP(IF(AND(ISNUMBER('Council Entry'!AJ$8),ISNUMBER('Council Entry'!AJ$9)),MAX(MIN('Council Entry'!AJ32,'Council Entry'!AJ$9),'Council Entry'!AJ$8),'Council Entry'!AJ32)),IF(AND(ISNUMBER('Council Entry'!AJ$8),ISNUMBER('Council Entry'!AJ$9)),MAX(MIN('Council Entry'!AJ32,'Council Entry'!AJ$9),'Council Entry'!AJ$8),'Council Entry'!AJ32))))-'Council Entry'!AJ$5)/('Council Entry'!AJ$6-'Council Entry'!AJ$5)),1))),"No data"))</f>
        <v/>
      </c>
      <c r="AK32" s="13">
        <f>IF('Council Entry'!AK32="","",IFERROR(MAX(0,MIN(10,ROUND(IF('Council Entry'!AK$7="Decrease Risk",10-10*((IF('Council Entry'!AK$4="Logarithm",LN(0.001+IF(AND(ISNUMBER('Council Entry'!AK$8),ISNUMBER('Council Entry'!AK$9)),MAX(MIN('Council Entry'!AK32,'Council Entry'!AK$9),'Council Entry'!AK$8),'Council Entry'!AK32)),IF('Council Entry'!AK$4="Exponential",EXP(IF(AND(ISNUMBER('Council Entry'!AK$8),ISNUMBER('Council Entry'!AK$9)),MAX(MIN('Council Entry'!AK32,'Council Entry'!AK$9),'Council Entry'!AK$8),'Council Entry'!AK32)),IF(AND(ISNUMBER('Council Entry'!AK$8),ISNUMBER('Council Entry'!AK$9)),MAX(MIN('Council Entry'!AK32,'Council Entry'!AK$9),'Council Entry'!AK$8),'Council Entry'!AK32))))-'Council Entry'!AK$5)/('Council Entry'!AK$6-'Council Entry'!AK$5),10*((IF('Council Entry'!AK$4="Logarithm",LN(0.001+IF(AND(ISNUMBER('Council Entry'!AK$8),ISNUMBER('Council Entry'!AK$9)),MAX(MIN('Council Entry'!AK32,'Council Entry'!AK$9),'Council Entry'!AK$8),'Council Entry'!AK32)),IF('Council Entry'!AK$4="Exponential",EXP(IF(AND(ISNUMBER('Council Entry'!AK$8),ISNUMBER('Council Entry'!AK$9)),MAX(MIN('Council Entry'!AK32,'Council Entry'!AK$9),'Council Entry'!AK$8),'Council Entry'!AK32)),IF(AND(ISNUMBER('Council Entry'!AK$8),ISNUMBER('Council Entry'!AK$9)),MAX(MIN('Council Entry'!AK32,'Council Entry'!AK$9),'Council Entry'!AK$8),'Council Entry'!AK32))))-'Council Entry'!AK$5)/('Council Entry'!AK$6-'Council Entry'!AK$5)),1))),"No data"))</f>
        <v/>
      </c>
      <c r="AL32" s="13">
        <f>IF('Council Entry'!AL32="","",IFERROR(MAX(0,MIN(10,ROUND(IF('Council Entry'!AL$7="Decrease Risk",10-10*((IF('Council Entry'!AL$4="Logarithm",LN(0.001+IF(AND(ISNUMBER('Council Entry'!AL$8),ISNUMBER('Council Entry'!AL$9)),MAX(MIN('Council Entry'!AL32,'Council Entry'!AL$9),'Council Entry'!AL$8),'Council Entry'!AL32)),IF('Council Entry'!AL$4="Exponential",EXP(IF(AND(ISNUMBER('Council Entry'!AL$8),ISNUMBER('Council Entry'!AL$9)),MAX(MIN('Council Entry'!AL32,'Council Entry'!AL$9),'Council Entry'!AL$8),'Council Entry'!AL32)),IF(AND(ISNUMBER('Council Entry'!AL$8),ISNUMBER('Council Entry'!AL$9)),MAX(MIN('Council Entry'!AL32,'Council Entry'!AL$9),'Council Entry'!AL$8),'Council Entry'!AL32))))-'Council Entry'!AL$5)/('Council Entry'!AL$6-'Council Entry'!AL$5),10*((IF('Council Entry'!AL$4="Logarithm",LN(0.001+IF(AND(ISNUMBER('Council Entry'!AL$8),ISNUMBER('Council Entry'!AL$9)),MAX(MIN('Council Entry'!AL32,'Council Entry'!AL$9),'Council Entry'!AL$8),'Council Entry'!AL32)),IF('Council Entry'!AL$4="Exponential",EXP(IF(AND(ISNUMBER('Council Entry'!AL$8),ISNUMBER('Council Entry'!AL$9)),MAX(MIN('Council Entry'!AL32,'Council Entry'!AL$9),'Council Entry'!AL$8),'Council Entry'!AL32)),IF(AND(ISNUMBER('Council Entry'!AL$8),ISNUMBER('Council Entry'!AL$9)),MAX(MIN('Council Entry'!AL32,'Council Entry'!AL$9),'Council Entry'!AL$8),'Council Entry'!AL32))))-'Council Entry'!AL$5)/('Council Entry'!AL$6-'Council Entry'!AL$5)),1))),"No data"))</f>
        <v/>
      </c>
      <c r="AM32" s="13">
        <f>IF('Council Entry'!AM32="","",IFERROR(MAX(0,MIN(10,ROUND(IF('Council Entry'!AM$7="Decrease Risk",10-10*((IF('Council Entry'!AM$4="Logarithm",LN(0.001+IF(AND(ISNUMBER('Council Entry'!AM$8),ISNUMBER('Council Entry'!AM$9)),MAX(MIN('Council Entry'!AM32,'Council Entry'!AM$9),'Council Entry'!AM$8),'Council Entry'!AM32)),IF('Council Entry'!AM$4="Exponential",EXP(IF(AND(ISNUMBER('Council Entry'!AM$8),ISNUMBER('Council Entry'!AM$9)),MAX(MIN('Council Entry'!AM32,'Council Entry'!AM$9),'Council Entry'!AM$8),'Council Entry'!AM32)),IF(AND(ISNUMBER('Council Entry'!AM$8),ISNUMBER('Council Entry'!AM$9)),MAX(MIN('Council Entry'!AM32,'Council Entry'!AM$9),'Council Entry'!AM$8),'Council Entry'!AM32))))-'Council Entry'!AM$5)/('Council Entry'!AM$6-'Council Entry'!AM$5),10*((IF('Council Entry'!AM$4="Logarithm",LN(0.001+IF(AND(ISNUMBER('Council Entry'!AM$8),ISNUMBER('Council Entry'!AM$9)),MAX(MIN('Council Entry'!AM32,'Council Entry'!AM$9),'Council Entry'!AM$8),'Council Entry'!AM32)),IF('Council Entry'!AM$4="Exponential",EXP(IF(AND(ISNUMBER('Council Entry'!AM$8),ISNUMBER('Council Entry'!AM$9)),MAX(MIN('Council Entry'!AM32,'Council Entry'!AM$9),'Council Entry'!AM$8),'Council Entry'!AM32)),IF(AND(ISNUMBER('Council Entry'!AM$8),ISNUMBER('Council Entry'!AM$9)),MAX(MIN('Council Entry'!AM32,'Council Entry'!AM$9),'Council Entry'!AM$8),'Council Entry'!AM32))))-'Council Entry'!AM$5)/('Council Entry'!AM$6-'Council Entry'!AM$5)),1))),"No data"))</f>
        <v/>
      </c>
      <c r="AN32" s="13">
        <f>IF('Council Entry'!AN32="","",IFERROR(MAX(0,MIN(10,ROUND(IF('Council Entry'!AN$7="Decrease Risk",10-10*((IF('Council Entry'!AN$4="Logarithm",LN(0.001+IF(AND(ISNUMBER('Council Entry'!AN$8),ISNUMBER('Council Entry'!AN$9)),MAX(MIN('Council Entry'!AN32,'Council Entry'!AN$9),'Council Entry'!AN$8),'Council Entry'!AN32)),IF('Council Entry'!AN$4="Exponential",EXP(IF(AND(ISNUMBER('Council Entry'!AN$8),ISNUMBER('Council Entry'!AN$9)),MAX(MIN('Council Entry'!AN32,'Council Entry'!AN$9),'Council Entry'!AN$8),'Council Entry'!AN32)),IF(AND(ISNUMBER('Council Entry'!AN$8),ISNUMBER('Council Entry'!AN$9)),MAX(MIN('Council Entry'!AN32,'Council Entry'!AN$9),'Council Entry'!AN$8),'Council Entry'!AN32))))-'Council Entry'!AN$5)/('Council Entry'!AN$6-'Council Entry'!AN$5),10*((IF('Council Entry'!AN$4="Logarithm",LN(0.001+IF(AND(ISNUMBER('Council Entry'!AN$8),ISNUMBER('Council Entry'!AN$9)),MAX(MIN('Council Entry'!AN32,'Council Entry'!AN$9),'Council Entry'!AN$8),'Council Entry'!AN32)),IF('Council Entry'!AN$4="Exponential",EXP(IF(AND(ISNUMBER('Council Entry'!AN$8),ISNUMBER('Council Entry'!AN$9)),MAX(MIN('Council Entry'!AN32,'Council Entry'!AN$9),'Council Entry'!AN$8),'Council Entry'!AN32)),IF(AND(ISNUMBER('Council Entry'!AN$8),ISNUMBER('Council Entry'!AN$9)),MAX(MIN('Council Entry'!AN32,'Council Entry'!AN$9),'Council Entry'!AN$8),'Council Entry'!AN32))))-'Council Entry'!AN$5)/('Council Entry'!AN$6-'Council Entry'!AN$5)),1))),"No data"))</f>
        <v/>
      </c>
      <c r="AO32" s="13">
        <f>IF('Council Entry'!AO32="","",IFERROR(MAX(0,MIN(10,ROUND(IF('Council Entry'!AO$7="Decrease Risk",10-10*((IF('Council Entry'!AO$4="Logarithm",LN(0.001+IF(AND(ISNUMBER('Council Entry'!AO$8),ISNUMBER('Council Entry'!AO$9)),MAX(MIN('Council Entry'!AO32,'Council Entry'!AO$9),'Council Entry'!AO$8),'Council Entry'!AO32)),IF('Council Entry'!AO$4="Exponential",EXP(IF(AND(ISNUMBER('Council Entry'!AO$8),ISNUMBER('Council Entry'!AO$9)),MAX(MIN('Council Entry'!AO32,'Council Entry'!AO$9),'Council Entry'!AO$8),'Council Entry'!AO32)),IF(AND(ISNUMBER('Council Entry'!AO$8),ISNUMBER('Council Entry'!AO$9)),MAX(MIN('Council Entry'!AO32,'Council Entry'!AO$9),'Council Entry'!AO$8),'Council Entry'!AO32))))-'Council Entry'!AO$5)/('Council Entry'!AO$6-'Council Entry'!AO$5),10*((IF('Council Entry'!AO$4="Logarithm",LN(0.001+IF(AND(ISNUMBER('Council Entry'!AO$8),ISNUMBER('Council Entry'!AO$9)),MAX(MIN('Council Entry'!AO32,'Council Entry'!AO$9),'Council Entry'!AO$8),'Council Entry'!AO32)),IF('Council Entry'!AO$4="Exponential",EXP(IF(AND(ISNUMBER('Council Entry'!AO$8),ISNUMBER('Council Entry'!AO$9)),MAX(MIN('Council Entry'!AO32,'Council Entry'!AO$9),'Council Entry'!AO$8),'Council Entry'!AO32)),IF(AND(ISNUMBER('Council Entry'!AO$8),ISNUMBER('Council Entry'!AO$9)),MAX(MIN('Council Entry'!AO32,'Council Entry'!AO$9),'Council Entry'!AO$8),'Council Entry'!AO32))))-'Council Entry'!AO$5)/('Council Entry'!AO$6-'Council Entry'!AO$5)),1))),"No data"))</f>
        <v/>
      </c>
      <c r="AP32" s="13">
        <f>IF('Council Entry'!AP32="","",IFERROR(MAX(0,MIN(10,ROUND(IF('Council Entry'!AP$7="Decrease Risk",10-10*((IF('Council Entry'!AP$4="Logarithm",LN(0.001+IF(AND(ISNUMBER('Council Entry'!AP$8),ISNUMBER('Council Entry'!AP$9)),MAX(MIN('Council Entry'!AP32,'Council Entry'!AP$9),'Council Entry'!AP$8),'Council Entry'!AP32)),IF('Council Entry'!AP$4="Exponential",EXP(IF(AND(ISNUMBER('Council Entry'!AP$8),ISNUMBER('Council Entry'!AP$9)),MAX(MIN('Council Entry'!AP32,'Council Entry'!AP$9),'Council Entry'!AP$8),'Council Entry'!AP32)),IF(AND(ISNUMBER('Council Entry'!AP$8),ISNUMBER('Council Entry'!AP$9)),MAX(MIN('Council Entry'!AP32,'Council Entry'!AP$9),'Council Entry'!AP$8),'Council Entry'!AP32))))-'Council Entry'!AP$5)/('Council Entry'!AP$6-'Council Entry'!AP$5),10*((IF('Council Entry'!AP$4="Logarithm",LN(0.001+IF(AND(ISNUMBER('Council Entry'!AP$8),ISNUMBER('Council Entry'!AP$9)),MAX(MIN('Council Entry'!AP32,'Council Entry'!AP$9),'Council Entry'!AP$8),'Council Entry'!AP32)),IF('Council Entry'!AP$4="Exponential",EXP(IF(AND(ISNUMBER('Council Entry'!AP$8),ISNUMBER('Council Entry'!AP$9)),MAX(MIN('Council Entry'!AP32,'Council Entry'!AP$9),'Council Entry'!AP$8),'Council Entry'!AP32)),IF(AND(ISNUMBER('Council Entry'!AP$8),ISNUMBER('Council Entry'!AP$9)),MAX(MIN('Council Entry'!AP32,'Council Entry'!AP$9),'Council Entry'!AP$8),'Council Entry'!AP32))))-'Council Entry'!AP$5)/('Council Entry'!AP$6-'Council Entry'!AP$5)),1))),"No data"))</f>
        <v/>
      </c>
      <c r="AQ32" s="13">
        <f>IF('Council Entry'!AQ32="","",IFERROR(MAX(0,MIN(10,ROUND(IF('Council Entry'!AQ$7="Decrease Risk",10-10*((IF('Council Entry'!AQ$4="Logarithm",LN(0.001+IF(AND(ISNUMBER('Council Entry'!AQ$8),ISNUMBER('Council Entry'!AQ$9)),MAX(MIN('Council Entry'!AQ32,'Council Entry'!AQ$9),'Council Entry'!AQ$8),'Council Entry'!AQ32)),IF('Council Entry'!AQ$4="Exponential",EXP(IF(AND(ISNUMBER('Council Entry'!AQ$8),ISNUMBER('Council Entry'!AQ$9)),MAX(MIN('Council Entry'!AQ32,'Council Entry'!AQ$9),'Council Entry'!AQ$8),'Council Entry'!AQ32)),IF(AND(ISNUMBER('Council Entry'!AQ$8),ISNUMBER('Council Entry'!AQ$9)),MAX(MIN('Council Entry'!AQ32,'Council Entry'!AQ$9),'Council Entry'!AQ$8),'Council Entry'!AQ32))))-'Council Entry'!AQ$5)/('Council Entry'!AQ$6-'Council Entry'!AQ$5),10*((IF('Council Entry'!AQ$4="Logarithm",LN(0.001+IF(AND(ISNUMBER('Council Entry'!AQ$8),ISNUMBER('Council Entry'!AQ$9)),MAX(MIN('Council Entry'!AQ32,'Council Entry'!AQ$9),'Council Entry'!AQ$8),'Council Entry'!AQ32)),IF('Council Entry'!AQ$4="Exponential",EXP(IF(AND(ISNUMBER('Council Entry'!AQ$8),ISNUMBER('Council Entry'!AQ$9)),MAX(MIN('Council Entry'!AQ32,'Council Entry'!AQ$9),'Council Entry'!AQ$8),'Council Entry'!AQ32)),IF(AND(ISNUMBER('Council Entry'!AQ$8),ISNUMBER('Council Entry'!AQ$9)),MAX(MIN('Council Entry'!AQ32,'Council Entry'!AQ$9),'Council Entry'!AQ$8),'Council Entry'!AQ32))))-'Council Entry'!AQ$5)/('Council Entry'!AQ$6-'Council Entry'!AQ$5)),1))),"No data"))</f>
        <v/>
      </c>
      <c r="AR32" s="13">
        <f>IF('Council Entry'!AR32="","",IFERROR(MAX(0,MIN(10,ROUND(IF('Council Entry'!AR$7="Decrease Risk",10-10*((IF('Council Entry'!AR$4="Logarithm",LN(0.001+IF(AND(ISNUMBER('Council Entry'!AR$8),ISNUMBER('Council Entry'!AR$9)),MAX(MIN('Council Entry'!AR32,'Council Entry'!AR$9),'Council Entry'!AR$8),'Council Entry'!AR32)),IF('Council Entry'!AR$4="Exponential",EXP(IF(AND(ISNUMBER('Council Entry'!AR$8),ISNUMBER('Council Entry'!AR$9)),MAX(MIN('Council Entry'!AR32,'Council Entry'!AR$9),'Council Entry'!AR$8),'Council Entry'!AR32)),IF(AND(ISNUMBER('Council Entry'!AR$8),ISNUMBER('Council Entry'!AR$9)),MAX(MIN('Council Entry'!AR32,'Council Entry'!AR$9),'Council Entry'!AR$8),'Council Entry'!AR32))))-'Council Entry'!AR$5)/('Council Entry'!AR$6-'Council Entry'!AR$5),10*((IF('Council Entry'!AR$4="Logarithm",LN(0.001+IF(AND(ISNUMBER('Council Entry'!AR$8),ISNUMBER('Council Entry'!AR$9)),MAX(MIN('Council Entry'!AR32,'Council Entry'!AR$9),'Council Entry'!AR$8),'Council Entry'!AR32)),IF('Council Entry'!AR$4="Exponential",EXP(IF(AND(ISNUMBER('Council Entry'!AR$8),ISNUMBER('Council Entry'!AR$9)),MAX(MIN('Council Entry'!AR32,'Council Entry'!AR$9),'Council Entry'!AR$8),'Council Entry'!AR32)),IF(AND(ISNUMBER('Council Entry'!AR$8),ISNUMBER('Council Entry'!AR$9)),MAX(MIN('Council Entry'!AR32,'Council Entry'!AR$9),'Council Entry'!AR$8),'Council Entry'!AR32))))-'Council Entry'!AR$5)/('Council Entry'!AR$6-'Council Entry'!AR$5)),1))),"No data"))</f>
        <v/>
      </c>
      <c r="AS32" s="13">
        <f>IF('Council Entry'!AS32="","",IFERROR(MAX(0,MIN(10,ROUND(IF('Council Entry'!AS$7="Decrease Risk",10-10*((IF('Council Entry'!AS$4="Logarithm",LN(0.001+IF(AND(ISNUMBER('Council Entry'!AS$8),ISNUMBER('Council Entry'!AS$9)),MAX(MIN('Council Entry'!AS32,'Council Entry'!AS$9),'Council Entry'!AS$8),'Council Entry'!AS32)),IF('Council Entry'!AS$4="Exponential",EXP(IF(AND(ISNUMBER('Council Entry'!AS$8),ISNUMBER('Council Entry'!AS$9)),MAX(MIN('Council Entry'!AS32,'Council Entry'!AS$9),'Council Entry'!AS$8),'Council Entry'!AS32)),IF(AND(ISNUMBER('Council Entry'!AS$8),ISNUMBER('Council Entry'!AS$9)),MAX(MIN('Council Entry'!AS32,'Council Entry'!AS$9),'Council Entry'!AS$8),'Council Entry'!AS32))))-'Council Entry'!AS$5)/('Council Entry'!AS$6-'Council Entry'!AS$5),10*((IF('Council Entry'!AS$4="Logarithm",LN(0.001+IF(AND(ISNUMBER('Council Entry'!AS$8),ISNUMBER('Council Entry'!AS$9)),MAX(MIN('Council Entry'!AS32,'Council Entry'!AS$9),'Council Entry'!AS$8),'Council Entry'!AS32)),IF('Council Entry'!AS$4="Exponential",EXP(IF(AND(ISNUMBER('Council Entry'!AS$8),ISNUMBER('Council Entry'!AS$9)),MAX(MIN('Council Entry'!AS32,'Council Entry'!AS$9),'Council Entry'!AS$8),'Council Entry'!AS32)),IF(AND(ISNUMBER('Council Entry'!AS$8),ISNUMBER('Council Entry'!AS$9)),MAX(MIN('Council Entry'!AS32,'Council Entry'!AS$9),'Council Entry'!AS$8),'Council Entry'!AS32))))-'Council Entry'!AS$5)/('Council Entry'!AS$6-'Council Entry'!AS$5)),1))),"No data"))</f>
        <v/>
      </c>
      <c r="AT32" s="13">
        <f>IF('Council Entry'!AT32="","",IFERROR(MAX(0,MIN(10,ROUND(IF('Council Entry'!AT$7="Decrease Risk",10-10*((IF('Council Entry'!AT$4="Logarithm",LN(0.001+IF(AND(ISNUMBER('Council Entry'!AT$8),ISNUMBER('Council Entry'!AT$9)),MAX(MIN('Council Entry'!AT32,'Council Entry'!AT$9),'Council Entry'!AT$8),'Council Entry'!AT32)),IF('Council Entry'!AT$4="Exponential",EXP(IF(AND(ISNUMBER('Council Entry'!AT$8),ISNUMBER('Council Entry'!AT$9)),MAX(MIN('Council Entry'!AT32,'Council Entry'!AT$9),'Council Entry'!AT$8),'Council Entry'!AT32)),IF(AND(ISNUMBER('Council Entry'!AT$8),ISNUMBER('Council Entry'!AT$9)),MAX(MIN('Council Entry'!AT32,'Council Entry'!AT$9),'Council Entry'!AT$8),'Council Entry'!AT32))))-'Council Entry'!AT$5)/('Council Entry'!AT$6-'Council Entry'!AT$5),10*((IF('Council Entry'!AT$4="Logarithm",LN(0.001+IF(AND(ISNUMBER('Council Entry'!AT$8),ISNUMBER('Council Entry'!AT$9)),MAX(MIN('Council Entry'!AT32,'Council Entry'!AT$9),'Council Entry'!AT$8),'Council Entry'!AT32)),IF('Council Entry'!AT$4="Exponential",EXP(IF(AND(ISNUMBER('Council Entry'!AT$8),ISNUMBER('Council Entry'!AT$9)),MAX(MIN('Council Entry'!AT32,'Council Entry'!AT$9),'Council Entry'!AT$8),'Council Entry'!AT32)),IF(AND(ISNUMBER('Council Entry'!AT$8),ISNUMBER('Council Entry'!AT$9)),MAX(MIN('Council Entry'!AT32,'Council Entry'!AT$9),'Council Entry'!AT$8),'Council Entry'!AT32))))-'Council Entry'!AT$5)/('Council Entry'!AT$6-'Council Entry'!AT$5)),1))),"No data"))</f>
        <v/>
      </c>
      <c r="AU32" s="13">
        <f>IF('Council Entry'!AU32="","",IFERROR(MAX(0,MIN(10,ROUND(IF('Council Entry'!AU$7="Decrease Risk",10-10*((IF('Council Entry'!AU$4="Logarithm",LN(0.001+IF(AND(ISNUMBER('Council Entry'!AU$8),ISNUMBER('Council Entry'!AU$9)),MAX(MIN('Council Entry'!AU32,'Council Entry'!AU$9),'Council Entry'!AU$8),'Council Entry'!AU32)),IF('Council Entry'!AU$4="Exponential",EXP(IF(AND(ISNUMBER('Council Entry'!AU$8),ISNUMBER('Council Entry'!AU$9)),MAX(MIN('Council Entry'!AU32,'Council Entry'!AU$9),'Council Entry'!AU$8),'Council Entry'!AU32)),IF(AND(ISNUMBER('Council Entry'!AU$8),ISNUMBER('Council Entry'!AU$9)),MAX(MIN('Council Entry'!AU32,'Council Entry'!AU$9),'Council Entry'!AU$8),'Council Entry'!AU32))))-'Council Entry'!AU$5)/('Council Entry'!AU$6-'Council Entry'!AU$5),10*((IF('Council Entry'!AU$4="Logarithm",LN(0.001+IF(AND(ISNUMBER('Council Entry'!AU$8),ISNUMBER('Council Entry'!AU$9)),MAX(MIN('Council Entry'!AU32,'Council Entry'!AU$9),'Council Entry'!AU$8),'Council Entry'!AU32)),IF('Council Entry'!AU$4="Exponential",EXP(IF(AND(ISNUMBER('Council Entry'!AU$8),ISNUMBER('Council Entry'!AU$9)),MAX(MIN('Council Entry'!AU32,'Council Entry'!AU$9),'Council Entry'!AU$8),'Council Entry'!AU32)),IF(AND(ISNUMBER('Council Entry'!AU$8),ISNUMBER('Council Entry'!AU$9)),MAX(MIN('Council Entry'!AU32,'Council Entry'!AU$9),'Council Entry'!AU$8),'Council Entry'!AU32))))-'Council Entry'!AU$5)/('Council Entry'!AU$6-'Council Entry'!AU$5)),1))),"No data"))</f>
        <v/>
      </c>
      <c r="AV32" s="13">
        <f>IF('Council Entry'!AV32="","",IFERROR(MAX(0,MIN(10,ROUND(IF('Council Entry'!AV$7="Decrease Risk",10-10*((IF('Council Entry'!AV$4="Logarithm",LN(0.001+IF(AND(ISNUMBER('Council Entry'!AV$8),ISNUMBER('Council Entry'!AV$9)),MAX(MIN('Council Entry'!AV32,'Council Entry'!AV$9),'Council Entry'!AV$8),'Council Entry'!AV32)),IF('Council Entry'!AV$4="Exponential",EXP(IF(AND(ISNUMBER('Council Entry'!AV$8),ISNUMBER('Council Entry'!AV$9)),MAX(MIN('Council Entry'!AV32,'Council Entry'!AV$9),'Council Entry'!AV$8),'Council Entry'!AV32)),IF(AND(ISNUMBER('Council Entry'!AV$8),ISNUMBER('Council Entry'!AV$9)),MAX(MIN('Council Entry'!AV32,'Council Entry'!AV$9),'Council Entry'!AV$8),'Council Entry'!AV32))))-'Council Entry'!AV$5)/('Council Entry'!AV$6-'Council Entry'!AV$5),10*((IF('Council Entry'!AV$4="Logarithm",LN(0.001+IF(AND(ISNUMBER('Council Entry'!AV$8),ISNUMBER('Council Entry'!AV$9)),MAX(MIN('Council Entry'!AV32,'Council Entry'!AV$9),'Council Entry'!AV$8),'Council Entry'!AV32)),IF('Council Entry'!AV$4="Exponential",EXP(IF(AND(ISNUMBER('Council Entry'!AV$8),ISNUMBER('Council Entry'!AV$9)),MAX(MIN('Council Entry'!AV32,'Council Entry'!AV$9),'Council Entry'!AV$8),'Council Entry'!AV32)),IF(AND(ISNUMBER('Council Entry'!AV$8),ISNUMBER('Council Entry'!AV$9)),MAX(MIN('Council Entry'!AV32,'Council Entry'!AV$9),'Council Entry'!AV$8),'Council Entry'!AV32))))-'Council Entry'!AV$5)/('Council Entry'!AV$6-'Council Entry'!AV$5)),1))),"No data"))</f>
        <v/>
      </c>
      <c r="AW32" s="13">
        <f>IF('Council Entry'!AW32="","",IFERROR(MAX(0,MIN(10,ROUND(IF('Council Entry'!AW$7="Decrease Risk",10-10*((IF('Council Entry'!AW$4="Logarithm",LN(0.001+IF(AND(ISNUMBER('Council Entry'!AW$8),ISNUMBER('Council Entry'!AW$9)),MAX(MIN('Council Entry'!AW32,'Council Entry'!AW$9),'Council Entry'!AW$8),'Council Entry'!AW32)),IF('Council Entry'!AW$4="Exponential",EXP(IF(AND(ISNUMBER('Council Entry'!AW$8),ISNUMBER('Council Entry'!AW$9)),MAX(MIN('Council Entry'!AW32,'Council Entry'!AW$9),'Council Entry'!AW$8),'Council Entry'!AW32)),IF(AND(ISNUMBER('Council Entry'!AW$8),ISNUMBER('Council Entry'!AW$9)),MAX(MIN('Council Entry'!AW32,'Council Entry'!AW$9),'Council Entry'!AW$8),'Council Entry'!AW32))))-'Council Entry'!AW$5)/('Council Entry'!AW$6-'Council Entry'!AW$5),10*((IF('Council Entry'!AW$4="Logarithm",LN(0.001+IF(AND(ISNUMBER('Council Entry'!AW$8),ISNUMBER('Council Entry'!AW$9)),MAX(MIN('Council Entry'!AW32,'Council Entry'!AW$9),'Council Entry'!AW$8),'Council Entry'!AW32)),IF('Council Entry'!AW$4="Exponential",EXP(IF(AND(ISNUMBER('Council Entry'!AW$8),ISNUMBER('Council Entry'!AW$9)),MAX(MIN('Council Entry'!AW32,'Council Entry'!AW$9),'Council Entry'!AW$8),'Council Entry'!AW32)),IF(AND(ISNUMBER('Council Entry'!AW$8),ISNUMBER('Council Entry'!AW$9)),MAX(MIN('Council Entry'!AW32,'Council Entry'!AW$9),'Council Entry'!AW$8),'Council Entry'!AW32))))-'Council Entry'!AW$5)/('Council Entry'!AW$6-'Council Entry'!AW$5)),1))),"No data"))</f>
        <v/>
      </c>
      <c r="AX32" s="13">
        <f>IF('Council Entry'!AX32="","",IFERROR(MAX(0,MIN(10,ROUND(IF('Council Entry'!AX$7="Decrease Risk",10-10*((IF('Council Entry'!AX$4="Logarithm",LN(0.001+IF(AND(ISNUMBER('Council Entry'!AX$8),ISNUMBER('Council Entry'!AX$9)),MAX(MIN('Council Entry'!AX32,'Council Entry'!AX$9),'Council Entry'!AX$8),'Council Entry'!AX32)),IF('Council Entry'!AX$4="Exponential",EXP(IF(AND(ISNUMBER('Council Entry'!AX$8),ISNUMBER('Council Entry'!AX$9)),MAX(MIN('Council Entry'!AX32,'Council Entry'!AX$9),'Council Entry'!AX$8),'Council Entry'!AX32)),IF(AND(ISNUMBER('Council Entry'!AX$8),ISNUMBER('Council Entry'!AX$9)),MAX(MIN('Council Entry'!AX32,'Council Entry'!AX$9),'Council Entry'!AX$8),'Council Entry'!AX32))))-'Council Entry'!AX$5)/('Council Entry'!AX$6-'Council Entry'!AX$5),10*((IF('Council Entry'!AX$4="Logarithm",LN(0.001+IF(AND(ISNUMBER('Council Entry'!AX$8),ISNUMBER('Council Entry'!AX$9)),MAX(MIN('Council Entry'!AX32,'Council Entry'!AX$9),'Council Entry'!AX$8),'Council Entry'!AX32)),IF('Council Entry'!AX$4="Exponential",EXP(IF(AND(ISNUMBER('Council Entry'!AX$8),ISNUMBER('Council Entry'!AX$9)),MAX(MIN('Council Entry'!AX32,'Council Entry'!AX$9),'Council Entry'!AX$8),'Council Entry'!AX32)),IF(AND(ISNUMBER('Council Entry'!AX$8),ISNUMBER('Council Entry'!AX$9)),MAX(MIN('Council Entry'!AX32,'Council Entry'!AX$9),'Council Entry'!AX$8),'Council Entry'!AX32))))-'Council Entry'!AX$5)/('Council Entry'!AX$6-'Council Entry'!AX$5)),1))),"No data"))</f>
        <v/>
      </c>
      <c r="AY32" s="13">
        <f>IF('Council Entry'!AY32="","",IFERROR(MAX(0,MIN(10,ROUND(IF('Council Entry'!AY$7="Decrease Risk",10-10*((IF('Council Entry'!AY$4="Logarithm",LN(0.001+IF(AND(ISNUMBER('Council Entry'!AY$8),ISNUMBER('Council Entry'!AY$9)),MAX(MIN('Council Entry'!AY32,'Council Entry'!AY$9),'Council Entry'!AY$8),'Council Entry'!AY32)),IF('Council Entry'!AY$4="Exponential",EXP(IF(AND(ISNUMBER('Council Entry'!AY$8),ISNUMBER('Council Entry'!AY$9)),MAX(MIN('Council Entry'!AY32,'Council Entry'!AY$9),'Council Entry'!AY$8),'Council Entry'!AY32)),IF(AND(ISNUMBER('Council Entry'!AY$8),ISNUMBER('Council Entry'!AY$9)),MAX(MIN('Council Entry'!AY32,'Council Entry'!AY$9),'Council Entry'!AY$8),'Council Entry'!AY32))))-'Council Entry'!AY$5)/('Council Entry'!AY$6-'Council Entry'!AY$5),10*((IF('Council Entry'!AY$4="Logarithm",LN(0.001+IF(AND(ISNUMBER('Council Entry'!AY$8),ISNUMBER('Council Entry'!AY$9)),MAX(MIN('Council Entry'!AY32,'Council Entry'!AY$9),'Council Entry'!AY$8),'Council Entry'!AY32)),IF('Council Entry'!AY$4="Exponential",EXP(IF(AND(ISNUMBER('Council Entry'!AY$8),ISNUMBER('Council Entry'!AY$9)),MAX(MIN('Council Entry'!AY32,'Council Entry'!AY$9),'Council Entry'!AY$8),'Council Entry'!AY32)),IF(AND(ISNUMBER('Council Entry'!AY$8),ISNUMBER('Council Entry'!AY$9)),MAX(MIN('Council Entry'!AY32,'Council Entry'!AY$9),'Council Entry'!AY$8),'Council Entry'!AY32))))-'Council Entry'!AY$5)/('Council Entry'!AY$6-'Council Entry'!AY$5)),1))),"No data"))</f>
        <v/>
      </c>
      <c r="AZ32" s="13">
        <f>IF('Council Entry'!AZ32="","",IFERROR(MAX(0,MIN(10,ROUND(IF('Council Entry'!AZ$7="Decrease Risk",10-10*((IF('Council Entry'!AZ$4="Logarithm",LN(0.001+IF(AND(ISNUMBER('Council Entry'!AZ$8),ISNUMBER('Council Entry'!AZ$9)),MAX(MIN('Council Entry'!AZ32,'Council Entry'!AZ$9),'Council Entry'!AZ$8),'Council Entry'!AZ32)),IF('Council Entry'!AZ$4="Exponential",EXP(IF(AND(ISNUMBER('Council Entry'!AZ$8),ISNUMBER('Council Entry'!AZ$9)),MAX(MIN('Council Entry'!AZ32,'Council Entry'!AZ$9),'Council Entry'!AZ$8),'Council Entry'!AZ32)),IF(AND(ISNUMBER('Council Entry'!AZ$8),ISNUMBER('Council Entry'!AZ$9)),MAX(MIN('Council Entry'!AZ32,'Council Entry'!AZ$9),'Council Entry'!AZ$8),'Council Entry'!AZ32))))-'Council Entry'!AZ$5)/('Council Entry'!AZ$6-'Council Entry'!AZ$5),10*((IF('Council Entry'!AZ$4="Logarithm",LN(0.001+IF(AND(ISNUMBER('Council Entry'!AZ$8),ISNUMBER('Council Entry'!AZ$9)),MAX(MIN('Council Entry'!AZ32,'Council Entry'!AZ$9),'Council Entry'!AZ$8),'Council Entry'!AZ32)),IF('Council Entry'!AZ$4="Exponential",EXP(IF(AND(ISNUMBER('Council Entry'!AZ$8),ISNUMBER('Council Entry'!AZ$9)),MAX(MIN('Council Entry'!AZ32,'Council Entry'!AZ$9),'Council Entry'!AZ$8),'Council Entry'!AZ32)),IF(AND(ISNUMBER('Council Entry'!AZ$8),ISNUMBER('Council Entry'!AZ$9)),MAX(MIN('Council Entry'!AZ32,'Council Entry'!AZ$9),'Council Entry'!AZ$8),'Council Entry'!AZ32))))-'Council Entry'!AZ$5)/('Council Entry'!AZ$6-'Council Entry'!AZ$5)),1))),"No data"))</f>
        <v/>
      </c>
      <c r="BA32" s="13">
        <f>IF('Council Entry'!BA32="","",IFERROR(MAX(0,MIN(10,ROUND(IF('Council Entry'!BA$7="Decrease Risk",10-10*((IF('Council Entry'!BA$4="Logarithm",LN(0.001+IF(AND(ISNUMBER('Council Entry'!BA$8),ISNUMBER('Council Entry'!BA$9)),MAX(MIN('Council Entry'!BA32,'Council Entry'!BA$9),'Council Entry'!BA$8),'Council Entry'!BA32)),IF('Council Entry'!BA$4="Exponential",EXP(IF(AND(ISNUMBER('Council Entry'!BA$8),ISNUMBER('Council Entry'!BA$9)),MAX(MIN('Council Entry'!BA32,'Council Entry'!BA$9),'Council Entry'!BA$8),'Council Entry'!BA32)),IF(AND(ISNUMBER('Council Entry'!BA$8),ISNUMBER('Council Entry'!BA$9)),MAX(MIN('Council Entry'!BA32,'Council Entry'!BA$9),'Council Entry'!BA$8),'Council Entry'!BA32))))-'Council Entry'!BA$5)/('Council Entry'!BA$6-'Council Entry'!BA$5),10*((IF('Council Entry'!BA$4="Logarithm",LN(0.001+IF(AND(ISNUMBER('Council Entry'!BA$8),ISNUMBER('Council Entry'!BA$9)),MAX(MIN('Council Entry'!BA32,'Council Entry'!BA$9),'Council Entry'!BA$8),'Council Entry'!BA32)),IF('Council Entry'!BA$4="Exponential",EXP(IF(AND(ISNUMBER('Council Entry'!BA$8),ISNUMBER('Council Entry'!BA$9)),MAX(MIN('Council Entry'!BA32,'Council Entry'!BA$9),'Council Entry'!BA$8),'Council Entry'!BA32)),IF(AND(ISNUMBER('Council Entry'!BA$8),ISNUMBER('Council Entry'!BA$9)),MAX(MIN('Council Entry'!BA32,'Council Entry'!BA$9),'Council Entry'!BA$8),'Council Entry'!BA32))))-'Council Entry'!BA$5)/('Council Entry'!BA$6-'Council Entry'!BA$5)),1))),"No data"))</f>
        <v/>
      </c>
      <c r="BB32" s="13">
        <f>IF('Council Entry'!BB32="","",IFERROR(MAX(0,MIN(10,ROUND(IF('Council Entry'!BB$7="Decrease Risk",10-10*((IF('Council Entry'!BB$4="Logarithm",LN(0.001+IF(AND(ISNUMBER('Council Entry'!BB$8),ISNUMBER('Council Entry'!BB$9)),MAX(MIN('Council Entry'!BB32,'Council Entry'!BB$9),'Council Entry'!BB$8),'Council Entry'!BB32)),IF('Council Entry'!BB$4="Exponential",EXP(IF(AND(ISNUMBER('Council Entry'!BB$8),ISNUMBER('Council Entry'!BB$9)),MAX(MIN('Council Entry'!BB32,'Council Entry'!BB$9),'Council Entry'!BB$8),'Council Entry'!BB32)),IF(AND(ISNUMBER('Council Entry'!BB$8),ISNUMBER('Council Entry'!BB$9)),MAX(MIN('Council Entry'!BB32,'Council Entry'!BB$9),'Council Entry'!BB$8),'Council Entry'!BB32))))-'Council Entry'!BB$5)/('Council Entry'!BB$6-'Council Entry'!BB$5),10*((IF('Council Entry'!BB$4="Logarithm",LN(0.001+IF(AND(ISNUMBER('Council Entry'!BB$8),ISNUMBER('Council Entry'!BB$9)),MAX(MIN('Council Entry'!BB32,'Council Entry'!BB$9),'Council Entry'!BB$8),'Council Entry'!BB32)),IF('Council Entry'!BB$4="Exponential",EXP(IF(AND(ISNUMBER('Council Entry'!BB$8),ISNUMBER('Council Entry'!BB$9)),MAX(MIN('Council Entry'!BB32,'Council Entry'!BB$9),'Council Entry'!BB$8),'Council Entry'!BB32)),IF(AND(ISNUMBER('Council Entry'!BB$8),ISNUMBER('Council Entry'!BB$9)),MAX(MIN('Council Entry'!BB32,'Council Entry'!BB$9),'Council Entry'!BB$8),'Council Entry'!BB32))))-'Council Entry'!BB$5)/('Council Entry'!BB$6-'Council Entry'!BB$5)),1))),"No data"))</f>
        <v/>
      </c>
      <c r="BC32" s="13">
        <f>IF('Council Entry'!BC32="","",IFERROR(MAX(0,MIN(10,ROUND(IF('Council Entry'!BC$7="Decrease Risk",10-10*((IF('Council Entry'!BC$4="Logarithm",LN(0.001+IF(AND(ISNUMBER('Council Entry'!BC$8),ISNUMBER('Council Entry'!BC$9)),MAX(MIN('Council Entry'!BC32,'Council Entry'!BC$9),'Council Entry'!BC$8),'Council Entry'!BC32)),IF('Council Entry'!BC$4="Exponential",EXP(IF(AND(ISNUMBER('Council Entry'!BC$8),ISNUMBER('Council Entry'!BC$9)),MAX(MIN('Council Entry'!BC32,'Council Entry'!BC$9),'Council Entry'!BC$8),'Council Entry'!BC32)),IF(AND(ISNUMBER('Council Entry'!BC$8),ISNUMBER('Council Entry'!BC$9)),MAX(MIN('Council Entry'!BC32,'Council Entry'!BC$9),'Council Entry'!BC$8),'Council Entry'!BC32))))-'Council Entry'!BC$5)/('Council Entry'!BC$6-'Council Entry'!BC$5),10*((IF('Council Entry'!BC$4="Logarithm",LN(0.001+IF(AND(ISNUMBER('Council Entry'!BC$8),ISNUMBER('Council Entry'!BC$9)),MAX(MIN('Council Entry'!BC32,'Council Entry'!BC$9),'Council Entry'!BC$8),'Council Entry'!BC32)),IF('Council Entry'!BC$4="Exponential",EXP(IF(AND(ISNUMBER('Council Entry'!BC$8),ISNUMBER('Council Entry'!BC$9)),MAX(MIN('Council Entry'!BC32,'Council Entry'!BC$9),'Council Entry'!BC$8),'Council Entry'!BC32)),IF(AND(ISNUMBER('Council Entry'!BC$8),ISNUMBER('Council Entry'!BC$9)),MAX(MIN('Council Entry'!BC32,'Council Entry'!BC$9),'Council Entry'!BC$8),'Council Entry'!BC32))))-'Council Entry'!BC$5)/('Council Entry'!BC$6-'Council Entry'!BC$5)),1))),"No data"))</f>
        <v/>
      </c>
      <c r="BD32" s="13">
        <f>IF('Council Entry'!BD32="","",IFERROR(MAX(0,MIN(10,ROUND(IF('Council Entry'!BD$7="Decrease Risk",10-10*((IF('Council Entry'!BD$4="Logarithm",LN(0.001+IF(AND(ISNUMBER('Council Entry'!BD$8),ISNUMBER('Council Entry'!BD$9)),MAX(MIN('Council Entry'!BD32,'Council Entry'!BD$9),'Council Entry'!BD$8),'Council Entry'!BD32)),IF('Council Entry'!BD$4="Exponential",EXP(IF(AND(ISNUMBER('Council Entry'!BD$8),ISNUMBER('Council Entry'!BD$9)),MAX(MIN('Council Entry'!BD32,'Council Entry'!BD$9),'Council Entry'!BD$8),'Council Entry'!BD32)),IF(AND(ISNUMBER('Council Entry'!BD$8),ISNUMBER('Council Entry'!BD$9)),MAX(MIN('Council Entry'!BD32,'Council Entry'!BD$9),'Council Entry'!BD$8),'Council Entry'!BD32))))-'Council Entry'!BD$5)/('Council Entry'!BD$6-'Council Entry'!BD$5),10*((IF('Council Entry'!BD$4="Logarithm",LN(0.001+IF(AND(ISNUMBER('Council Entry'!BD$8),ISNUMBER('Council Entry'!BD$9)),MAX(MIN('Council Entry'!BD32,'Council Entry'!BD$9),'Council Entry'!BD$8),'Council Entry'!BD32)),IF('Council Entry'!BD$4="Exponential",EXP(IF(AND(ISNUMBER('Council Entry'!BD$8),ISNUMBER('Council Entry'!BD$9)),MAX(MIN('Council Entry'!BD32,'Council Entry'!BD$9),'Council Entry'!BD$8),'Council Entry'!BD32)),IF(AND(ISNUMBER('Council Entry'!BD$8),ISNUMBER('Council Entry'!BD$9)),MAX(MIN('Council Entry'!BD32,'Council Entry'!BD$9),'Council Entry'!BD$8),'Council Entry'!BD32))))-'Council Entry'!BD$5)/('Council Entry'!BD$6-'Council Entry'!BD$5)),1))),"No data"))</f>
        <v/>
      </c>
    </row>
    <row r="33">
      <c r="A33" t="inlineStr">
        <is>
          <t>Geita</t>
        </is>
      </c>
      <c r="B33" t="inlineStr">
        <is>
          <t>Geita District</t>
        </is>
      </c>
      <c r="C33" t="inlineStr">
        <is>
          <t>C174</t>
        </is>
      </c>
      <c r="D33" s="13">
        <f>IF('Council Entry'!D33="","",IFERROR(MAX(0,MIN(10,ROUND(IF('Council Entry'!D$7="Decrease Risk",10-10*((IF('Council Entry'!D$4="Logarithm",LN(0.001+IF(AND(ISNUMBER('Council Entry'!D$8),ISNUMBER('Council Entry'!D$9)),MAX(MIN('Council Entry'!D33,'Council Entry'!D$9),'Council Entry'!D$8),'Council Entry'!D33)),IF('Council Entry'!D$4="Exponential",EXP(IF(AND(ISNUMBER('Council Entry'!D$8),ISNUMBER('Council Entry'!D$9)),MAX(MIN('Council Entry'!D33,'Council Entry'!D$9),'Council Entry'!D$8),'Council Entry'!D33)),IF(AND(ISNUMBER('Council Entry'!D$8),ISNUMBER('Council Entry'!D$9)),MAX(MIN('Council Entry'!D33,'Council Entry'!D$9),'Council Entry'!D$8),'Council Entry'!D33))))-'Council Entry'!D$5)/('Council Entry'!D$6-'Council Entry'!D$5),10*((IF('Council Entry'!D$4="Logarithm",LN(0.001+IF(AND(ISNUMBER('Council Entry'!D$8),ISNUMBER('Council Entry'!D$9)),MAX(MIN('Council Entry'!D33,'Council Entry'!D$9),'Council Entry'!D$8),'Council Entry'!D33)),IF('Council Entry'!D$4="Exponential",EXP(IF(AND(ISNUMBER('Council Entry'!D$8),ISNUMBER('Council Entry'!D$9)),MAX(MIN('Council Entry'!D33,'Council Entry'!D$9),'Council Entry'!D$8),'Council Entry'!D33)),IF(AND(ISNUMBER('Council Entry'!D$8),ISNUMBER('Council Entry'!D$9)),MAX(MIN('Council Entry'!D33,'Council Entry'!D$9),'Council Entry'!D$8),'Council Entry'!D33))))-'Council Entry'!D$5)/('Council Entry'!D$6-'Council Entry'!D$5)),1))),"No data"))</f>
        <v/>
      </c>
      <c r="E33" s="13">
        <f>IF('Council Entry'!E33="","",IFERROR(MAX(0,MIN(10,ROUND(IF('Council Entry'!E$7="Decrease Risk",10-10*((IF('Council Entry'!E$4="Logarithm",LN(0.001+IF(AND(ISNUMBER('Council Entry'!E$8),ISNUMBER('Council Entry'!E$9)),MAX(MIN('Council Entry'!E33,'Council Entry'!E$9),'Council Entry'!E$8),'Council Entry'!E33)),IF('Council Entry'!E$4="Exponential",EXP(IF(AND(ISNUMBER('Council Entry'!E$8),ISNUMBER('Council Entry'!E$9)),MAX(MIN('Council Entry'!E33,'Council Entry'!E$9),'Council Entry'!E$8),'Council Entry'!E33)),IF(AND(ISNUMBER('Council Entry'!E$8),ISNUMBER('Council Entry'!E$9)),MAX(MIN('Council Entry'!E33,'Council Entry'!E$9),'Council Entry'!E$8),'Council Entry'!E33))))-'Council Entry'!E$5)/('Council Entry'!E$6-'Council Entry'!E$5),10*((IF('Council Entry'!E$4="Logarithm",LN(0.001+IF(AND(ISNUMBER('Council Entry'!E$8),ISNUMBER('Council Entry'!E$9)),MAX(MIN('Council Entry'!E33,'Council Entry'!E$9),'Council Entry'!E$8),'Council Entry'!E33)),IF('Council Entry'!E$4="Exponential",EXP(IF(AND(ISNUMBER('Council Entry'!E$8),ISNUMBER('Council Entry'!E$9)),MAX(MIN('Council Entry'!E33,'Council Entry'!E$9),'Council Entry'!E$8),'Council Entry'!E33)),IF(AND(ISNUMBER('Council Entry'!E$8),ISNUMBER('Council Entry'!E$9)),MAX(MIN('Council Entry'!E33,'Council Entry'!E$9),'Council Entry'!E$8),'Council Entry'!E33))))-'Council Entry'!E$5)/('Council Entry'!E$6-'Council Entry'!E$5)),1))),"No data"))</f>
        <v/>
      </c>
      <c r="F33" s="13">
        <f>IF('Council Entry'!F33="","",IFERROR(MAX(0,MIN(10,ROUND(IF('Council Entry'!F$7="Decrease Risk",10-10*((IF('Council Entry'!F$4="Logarithm",LN(0.001+IF(AND(ISNUMBER('Council Entry'!F$8),ISNUMBER('Council Entry'!F$9)),MAX(MIN('Council Entry'!F33,'Council Entry'!F$9),'Council Entry'!F$8),'Council Entry'!F33)),IF('Council Entry'!F$4="Exponential",EXP(IF(AND(ISNUMBER('Council Entry'!F$8),ISNUMBER('Council Entry'!F$9)),MAX(MIN('Council Entry'!F33,'Council Entry'!F$9),'Council Entry'!F$8),'Council Entry'!F33)),IF(AND(ISNUMBER('Council Entry'!F$8),ISNUMBER('Council Entry'!F$9)),MAX(MIN('Council Entry'!F33,'Council Entry'!F$9),'Council Entry'!F$8),'Council Entry'!F33))))-'Council Entry'!F$5)/('Council Entry'!F$6-'Council Entry'!F$5),10*((IF('Council Entry'!F$4="Logarithm",LN(0.001+IF(AND(ISNUMBER('Council Entry'!F$8),ISNUMBER('Council Entry'!F$9)),MAX(MIN('Council Entry'!F33,'Council Entry'!F$9),'Council Entry'!F$8),'Council Entry'!F33)),IF('Council Entry'!F$4="Exponential",EXP(IF(AND(ISNUMBER('Council Entry'!F$8),ISNUMBER('Council Entry'!F$9)),MAX(MIN('Council Entry'!F33,'Council Entry'!F$9),'Council Entry'!F$8),'Council Entry'!F33)),IF(AND(ISNUMBER('Council Entry'!F$8),ISNUMBER('Council Entry'!F$9)),MAX(MIN('Council Entry'!F33,'Council Entry'!F$9),'Council Entry'!F$8),'Council Entry'!F33))))-'Council Entry'!F$5)/('Council Entry'!F$6-'Council Entry'!F$5)),1))),"No data"))</f>
        <v/>
      </c>
      <c r="G33" s="13">
        <f>IF('Council Entry'!G33="","",IFERROR(MAX(0,MIN(10,ROUND(IF('Council Entry'!G$7="Decrease Risk",10-10*((IF('Council Entry'!G$4="Logarithm",LN(0.001+IF(AND(ISNUMBER('Council Entry'!G$8),ISNUMBER('Council Entry'!G$9)),MAX(MIN('Council Entry'!G33,'Council Entry'!G$9),'Council Entry'!G$8),'Council Entry'!G33)),IF('Council Entry'!G$4="Exponential",EXP(IF(AND(ISNUMBER('Council Entry'!G$8),ISNUMBER('Council Entry'!G$9)),MAX(MIN('Council Entry'!G33,'Council Entry'!G$9),'Council Entry'!G$8),'Council Entry'!G33)),IF(AND(ISNUMBER('Council Entry'!G$8),ISNUMBER('Council Entry'!G$9)),MAX(MIN('Council Entry'!G33,'Council Entry'!G$9),'Council Entry'!G$8),'Council Entry'!G33))))-'Council Entry'!G$5)/('Council Entry'!G$6-'Council Entry'!G$5),10*((IF('Council Entry'!G$4="Logarithm",LN(0.001+IF(AND(ISNUMBER('Council Entry'!G$8),ISNUMBER('Council Entry'!G$9)),MAX(MIN('Council Entry'!G33,'Council Entry'!G$9),'Council Entry'!G$8),'Council Entry'!G33)),IF('Council Entry'!G$4="Exponential",EXP(IF(AND(ISNUMBER('Council Entry'!G$8),ISNUMBER('Council Entry'!G$9)),MAX(MIN('Council Entry'!G33,'Council Entry'!G$9),'Council Entry'!G$8),'Council Entry'!G33)),IF(AND(ISNUMBER('Council Entry'!G$8),ISNUMBER('Council Entry'!G$9)),MAX(MIN('Council Entry'!G33,'Council Entry'!G$9),'Council Entry'!G$8),'Council Entry'!G33))))-'Council Entry'!G$5)/('Council Entry'!G$6-'Council Entry'!G$5)),1))),"No data"))</f>
        <v/>
      </c>
      <c r="H33" s="13">
        <f>IF('Council Entry'!H33="","",IFERROR(MAX(0,MIN(10,ROUND(IF('Council Entry'!H$7="Decrease Risk",10-10*((IF('Council Entry'!H$4="Logarithm",LN(0.001+IF(AND(ISNUMBER('Council Entry'!H$8),ISNUMBER('Council Entry'!H$9)),MAX(MIN('Council Entry'!H33,'Council Entry'!H$9),'Council Entry'!H$8),'Council Entry'!H33)),IF('Council Entry'!H$4="Exponential",EXP(IF(AND(ISNUMBER('Council Entry'!H$8),ISNUMBER('Council Entry'!H$9)),MAX(MIN('Council Entry'!H33,'Council Entry'!H$9),'Council Entry'!H$8),'Council Entry'!H33)),IF(AND(ISNUMBER('Council Entry'!H$8),ISNUMBER('Council Entry'!H$9)),MAX(MIN('Council Entry'!H33,'Council Entry'!H$9),'Council Entry'!H$8),'Council Entry'!H33))))-'Council Entry'!H$5)/('Council Entry'!H$6-'Council Entry'!H$5),10*((IF('Council Entry'!H$4="Logarithm",LN(0.001+IF(AND(ISNUMBER('Council Entry'!H$8),ISNUMBER('Council Entry'!H$9)),MAX(MIN('Council Entry'!H33,'Council Entry'!H$9),'Council Entry'!H$8),'Council Entry'!H33)),IF('Council Entry'!H$4="Exponential",EXP(IF(AND(ISNUMBER('Council Entry'!H$8),ISNUMBER('Council Entry'!H$9)),MAX(MIN('Council Entry'!H33,'Council Entry'!H$9),'Council Entry'!H$8),'Council Entry'!H33)),IF(AND(ISNUMBER('Council Entry'!H$8),ISNUMBER('Council Entry'!H$9)),MAX(MIN('Council Entry'!H33,'Council Entry'!H$9),'Council Entry'!H$8),'Council Entry'!H33))))-'Council Entry'!H$5)/('Council Entry'!H$6-'Council Entry'!H$5)),1))),"No data"))</f>
        <v/>
      </c>
      <c r="I33" s="13">
        <f>IF('Council Entry'!I33="","",IFERROR(MAX(0,MIN(10,ROUND(IF('Council Entry'!I$7="Decrease Risk",10-10*((IF('Council Entry'!I$4="Logarithm",LN(0.001+IF(AND(ISNUMBER('Council Entry'!I$8),ISNUMBER('Council Entry'!I$9)),MAX(MIN('Council Entry'!I33,'Council Entry'!I$9),'Council Entry'!I$8),'Council Entry'!I33)),IF('Council Entry'!I$4="Exponential",EXP(IF(AND(ISNUMBER('Council Entry'!I$8),ISNUMBER('Council Entry'!I$9)),MAX(MIN('Council Entry'!I33,'Council Entry'!I$9),'Council Entry'!I$8),'Council Entry'!I33)),IF(AND(ISNUMBER('Council Entry'!I$8),ISNUMBER('Council Entry'!I$9)),MAX(MIN('Council Entry'!I33,'Council Entry'!I$9),'Council Entry'!I$8),'Council Entry'!I33))))-'Council Entry'!I$5)/('Council Entry'!I$6-'Council Entry'!I$5),10*((IF('Council Entry'!I$4="Logarithm",LN(0.001+IF(AND(ISNUMBER('Council Entry'!I$8),ISNUMBER('Council Entry'!I$9)),MAX(MIN('Council Entry'!I33,'Council Entry'!I$9),'Council Entry'!I$8),'Council Entry'!I33)),IF('Council Entry'!I$4="Exponential",EXP(IF(AND(ISNUMBER('Council Entry'!I$8),ISNUMBER('Council Entry'!I$9)),MAX(MIN('Council Entry'!I33,'Council Entry'!I$9),'Council Entry'!I$8),'Council Entry'!I33)),IF(AND(ISNUMBER('Council Entry'!I$8),ISNUMBER('Council Entry'!I$9)),MAX(MIN('Council Entry'!I33,'Council Entry'!I$9),'Council Entry'!I$8),'Council Entry'!I33))))-'Council Entry'!I$5)/('Council Entry'!I$6-'Council Entry'!I$5)),1))),"No data"))</f>
        <v/>
      </c>
      <c r="J33" s="13">
        <f>IF('Council Entry'!J33="","",IFERROR(MAX(0,MIN(10,ROUND(IF('Council Entry'!J$7="Decrease Risk",10-10*((IF('Council Entry'!J$4="Logarithm",LN(0.001+IF(AND(ISNUMBER('Council Entry'!J$8),ISNUMBER('Council Entry'!J$9)),MAX(MIN('Council Entry'!J33,'Council Entry'!J$9),'Council Entry'!J$8),'Council Entry'!J33)),IF('Council Entry'!J$4="Exponential",EXP(IF(AND(ISNUMBER('Council Entry'!J$8),ISNUMBER('Council Entry'!J$9)),MAX(MIN('Council Entry'!J33,'Council Entry'!J$9),'Council Entry'!J$8),'Council Entry'!J33)),IF(AND(ISNUMBER('Council Entry'!J$8),ISNUMBER('Council Entry'!J$9)),MAX(MIN('Council Entry'!J33,'Council Entry'!J$9),'Council Entry'!J$8),'Council Entry'!J33))))-'Council Entry'!J$5)/('Council Entry'!J$6-'Council Entry'!J$5),10*((IF('Council Entry'!J$4="Logarithm",LN(0.001+IF(AND(ISNUMBER('Council Entry'!J$8),ISNUMBER('Council Entry'!J$9)),MAX(MIN('Council Entry'!J33,'Council Entry'!J$9),'Council Entry'!J$8),'Council Entry'!J33)),IF('Council Entry'!J$4="Exponential",EXP(IF(AND(ISNUMBER('Council Entry'!J$8),ISNUMBER('Council Entry'!J$9)),MAX(MIN('Council Entry'!J33,'Council Entry'!J$9),'Council Entry'!J$8),'Council Entry'!J33)),IF(AND(ISNUMBER('Council Entry'!J$8),ISNUMBER('Council Entry'!J$9)),MAX(MIN('Council Entry'!J33,'Council Entry'!J$9),'Council Entry'!J$8),'Council Entry'!J33))))-'Council Entry'!J$5)/('Council Entry'!J$6-'Council Entry'!J$5)),1))),"No data"))</f>
        <v/>
      </c>
      <c r="K33" s="13">
        <f>IF('Council Entry'!K33="","",IFERROR(MAX(0,MIN(10,ROUND(IF('Council Entry'!K$7="Decrease Risk",10-10*((IF('Council Entry'!K$4="Logarithm",LN(0.001+IF(AND(ISNUMBER('Council Entry'!K$8),ISNUMBER('Council Entry'!K$9)),MAX(MIN('Council Entry'!K33,'Council Entry'!K$9),'Council Entry'!K$8),'Council Entry'!K33)),IF('Council Entry'!K$4="Exponential",EXP(IF(AND(ISNUMBER('Council Entry'!K$8),ISNUMBER('Council Entry'!K$9)),MAX(MIN('Council Entry'!K33,'Council Entry'!K$9),'Council Entry'!K$8),'Council Entry'!K33)),IF(AND(ISNUMBER('Council Entry'!K$8),ISNUMBER('Council Entry'!K$9)),MAX(MIN('Council Entry'!K33,'Council Entry'!K$9),'Council Entry'!K$8),'Council Entry'!K33))))-'Council Entry'!K$5)/('Council Entry'!K$6-'Council Entry'!K$5),10*((IF('Council Entry'!K$4="Logarithm",LN(0.001+IF(AND(ISNUMBER('Council Entry'!K$8),ISNUMBER('Council Entry'!K$9)),MAX(MIN('Council Entry'!K33,'Council Entry'!K$9),'Council Entry'!K$8),'Council Entry'!K33)),IF('Council Entry'!K$4="Exponential",EXP(IF(AND(ISNUMBER('Council Entry'!K$8),ISNUMBER('Council Entry'!K$9)),MAX(MIN('Council Entry'!K33,'Council Entry'!K$9),'Council Entry'!K$8),'Council Entry'!K33)),IF(AND(ISNUMBER('Council Entry'!K$8),ISNUMBER('Council Entry'!K$9)),MAX(MIN('Council Entry'!K33,'Council Entry'!K$9),'Council Entry'!K$8),'Council Entry'!K33))))-'Council Entry'!K$5)/('Council Entry'!K$6-'Council Entry'!K$5)),1))),"No data"))</f>
        <v/>
      </c>
      <c r="L33" s="13">
        <f>IF('Council Entry'!L33="","",IFERROR(MAX(0,MIN(10,ROUND(IF('Council Entry'!L$7="Decrease Risk",10-10*((IF('Council Entry'!L$4="Logarithm",LN(0.001+IF(AND(ISNUMBER('Council Entry'!L$8),ISNUMBER('Council Entry'!L$9)),MAX(MIN('Council Entry'!L33,'Council Entry'!L$9),'Council Entry'!L$8),'Council Entry'!L33)),IF('Council Entry'!L$4="Exponential",EXP(IF(AND(ISNUMBER('Council Entry'!L$8),ISNUMBER('Council Entry'!L$9)),MAX(MIN('Council Entry'!L33,'Council Entry'!L$9),'Council Entry'!L$8),'Council Entry'!L33)),IF(AND(ISNUMBER('Council Entry'!L$8),ISNUMBER('Council Entry'!L$9)),MAX(MIN('Council Entry'!L33,'Council Entry'!L$9),'Council Entry'!L$8),'Council Entry'!L33))))-'Council Entry'!L$5)/('Council Entry'!L$6-'Council Entry'!L$5),10*((IF('Council Entry'!L$4="Logarithm",LN(0.001+IF(AND(ISNUMBER('Council Entry'!L$8),ISNUMBER('Council Entry'!L$9)),MAX(MIN('Council Entry'!L33,'Council Entry'!L$9),'Council Entry'!L$8),'Council Entry'!L33)),IF('Council Entry'!L$4="Exponential",EXP(IF(AND(ISNUMBER('Council Entry'!L$8),ISNUMBER('Council Entry'!L$9)),MAX(MIN('Council Entry'!L33,'Council Entry'!L$9),'Council Entry'!L$8),'Council Entry'!L33)),IF(AND(ISNUMBER('Council Entry'!L$8),ISNUMBER('Council Entry'!L$9)),MAX(MIN('Council Entry'!L33,'Council Entry'!L$9),'Council Entry'!L$8),'Council Entry'!L33))))-'Council Entry'!L$5)/('Council Entry'!L$6-'Council Entry'!L$5)),1))),"No data"))</f>
        <v/>
      </c>
      <c r="M33" s="13">
        <f>IF('Council Entry'!M33="","",IFERROR(MAX(0,MIN(10,ROUND(IF('Council Entry'!M$7="Decrease Risk",10-10*((IF('Council Entry'!M$4="Logarithm",LN(0.001+IF(AND(ISNUMBER('Council Entry'!M$8),ISNUMBER('Council Entry'!M$9)),MAX(MIN('Council Entry'!M33,'Council Entry'!M$9),'Council Entry'!M$8),'Council Entry'!M33)),IF('Council Entry'!M$4="Exponential",EXP(IF(AND(ISNUMBER('Council Entry'!M$8),ISNUMBER('Council Entry'!M$9)),MAX(MIN('Council Entry'!M33,'Council Entry'!M$9),'Council Entry'!M$8),'Council Entry'!M33)),IF(AND(ISNUMBER('Council Entry'!M$8),ISNUMBER('Council Entry'!M$9)),MAX(MIN('Council Entry'!M33,'Council Entry'!M$9),'Council Entry'!M$8),'Council Entry'!M33))))-'Council Entry'!M$5)/('Council Entry'!M$6-'Council Entry'!M$5),10*((IF('Council Entry'!M$4="Logarithm",LN(0.001+IF(AND(ISNUMBER('Council Entry'!M$8),ISNUMBER('Council Entry'!M$9)),MAX(MIN('Council Entry'!M33,'Council Entry'!M$9),'Council Entry'!M$8),'Council Entry'!M33)),IF('Council Entry'!M$4="Exponential",EXP(IF(AND(ISNUMBER('Council Entry'!M$8),ISNUMBER('Council Entry'!M$9)),MAX(MIN('Council Entry'!M33,'Council Entry'!M$9),'Council Entry'!M$8),'Council Entry'!M33)),IF(AND(ISNUMBER('Council Entry'!M$8),ISNUMBER('Council Entry'!M$9)),MAX(MIN('Council Entry'!M33,'Council Entry'!M$9),'Council Entry'!M$8),'Council Entry'!M33))))-'Council Entry'!M$5)/('Council Entry'!M$6-'Council Entry'!M$5)),1))),"No data"))</f>
        <v/>
      </c>
      <c r="N33" s="13">
        <f>IF('Council Entry'!N33="","",IFERROR(MAX(0,MIN(10,ROUND(IF('Council Entry'!N$7="Decrease Risk",10-10*((IF('Council Entry'!N$4="Logarithm",LN(0.001+IF(AND(ISNUMBER('Council Entry'!N$8),ISNUMBER('Council Entry'!N$9)),MAX(MIN('Council Entry'!N33,'Council Entry'!N$9),'Council Entry'!N$8),'Council Entry'!N33)),IF('Council Entry'!N$4="Exponential",EXP(IF(AND(ISNUMBER('Council Entry'!N$8),ISNUMBER('Council Entry'!N$9)),MAX(MIN('Council Entry'!N33,'Council Entry'!N$9),'Council Entry'!N$8),'Council Entry'!N33)),IF(AND(ISNUMBER('Council Entry'!N$8),ISNUMBER('Council Entry'!N$9)),MAX(MIN('Council Entry'!N33,'Council Entry'!N$9),'Council Entry'!N$8),'Council Entry'!N33))))-'Council Entry'!N$5)/('Council Entry'!N$6-'Council Entry'!N$5),10*((IF('Council Entry'!N$4="Logarithm",LN(0.001+IF(AND(ISNUMBER('Council Entry'!N$8),ISNUMBER('Council Entry'!N$9)),MAX(MIN('Council Entry'!N33,'Council Entry'!N$9),'Council Entry'!N$8),'Council Entry'!N33)),IF('Council Entry'!N$4="Exponential",EXP(IF(AND(ISNUMBER('Council Entry'!N$8),ISNUMBER('Council Entry'!N$9)),MAX(MIN('Council Entry'!N33,'Council Entry'!N$9),'Council Entry'!N$8),'Council Entry'!N33)),IF(AND(ISNUMBER('Council Entry'!N$8),ISNUMBER('Council Entry'!N$9)),MAX(MIN('Council Entry'!N33,'Council Entry'!N$9),'Council Entry'!N$8),'Council Entry'!N33))))-'Council Entry'!N$5)/('Council Entry'!N$6-'Council Entry'!N$5)),1))),"No data"))</f>
        <v/>
      </c>
      <c r="O33" s="13">
        <f>IF('Council Entry'!O33="","",IFERROR(MAX(0,MIN(10,ROUND(IF('Council Entry'!O$7="Decrease Risk",10-10*((IF('Council Entry'!O$4="Logarithm",LN(0.001+IF(AND(ISNUMBER('Council Entry'!O$8),ISNUMBER('Council Entry'!O$9)),MAX(MIN('Council Entry'!O33,'Council Entry'!O$9),'Council Entry'!O$8),'Council Entry'!O33)),IF('Council Entry'!O$4="Exponential",EXP(IF(AND(ISNUMBER('Council Entry'!O$8),ISNUMBER('Council Entry'!O$9)),MAX(MIN('Council Entry'!O33,'Council Entry'!O$9),'Council Entry'!O$8),'Council Entry'!O33)),IF(AND(ISNUMBER('Council Entry'!O$8),ISNUMBER('Council Entry'!O$9)),MAX(MIN('Council Entry'!O33,'Council Entry'!O$9),'Council Entry'!O$8),'Council Entry'!O33))))-'Council Entry'!O$5)/('Council Entry'!O$6-'Council Entry'!O$5),10*((IF('Council Entry'!O$4="Logarithm",LN(0.001+IF(AND(ISNUMBER('Council Entry'!O$8),ISNUMBER('Council Entry'!O$9)),MAX(MIN('Council Entry'!O33,'Council Entry'!O$9),'Council Entry'!O$8),'Council Entry'!O33)),IF('Council Entry'!O$4="Exponential",EXP(IF(AND(ISNUMBER('Council Entry'!O$8),ISNUMBER('Council Entry'!O$9)),MAX(MIN('Council Entry'!O33,'Council Entry'!O$9),'Council Entry'!O$8),'Council Entry'!O33)),IF(AND(ISNUMBER('Council Entry'!O$8),ISNUMBER('Council Entry'!O$9)),MAX(MIN('Council Entry'!O33,'Council Entry'!O$9),'Council Entry'!O$8),'Council Entry'!O33))))-'Council Entry'!O$5)/('Council Entry'!O$6-'Council Entry'!O$5)),1))),"No data"))</f>
        <v/>
      </c>
      <c r="P33" s="13">
        <f>IF('Council Entry'!P33="","",IFERROR(MAX(0,MIN(10,ROUND(IF('Council Entry'!P$7="Decrease Risk",10-10*((IF('Council Entry'!P$4="Logarithm",LN(0.001+IF(AND(ISNUMBER('Council Entry'!P$8),ISNUMBER('Council Entry'!P$9)),MAX(MIN('Council Entry'!P33,'Council Entry'!P$9),'Council Entry'!P$8),'Council Entry'!P33)),IF('Council Entry'!P$4="Exponential",EXP(IF(AND(ISNUMBER('Council Entry'!P$8),ISNUMBER('Council Entry'!P$9)),MAX(MIN('Council Entry'!P33,'Council Entry'!P$9),'Council Entry'!P$8),'Council Entry'!P33)),IF(AND(ISNUMBER('Council Entry'!P$8),ISNUMBER('Council Entry'!P$9)),MAX(MIN('Council Entry'!P33,'Council Entry'!P$9),'Council Entry'!P$8),'Council Entry'!P33))))-'Council Entry'!P$5)/('Council Entry'!P$6-'Council Entry'!P$5),10*((IF('Council Entry'!P$4="Logarithm",LN(0.001+IF(AND(ISNUMBER('Council Entry'!P$8),ISNUMBER('Council Entry'!P$9)),MAX(MIN('Council Entry'!P33,'Council Entry'!P$9),'Council Entry'!P$8),'Council Entry'!P33)),IF('Council Entry'!P$4="Exponential",EXP(IF(AND(ISNUMBER('Council Entry'!P$8),ISNUMBER('Council Entry'!P$9)),MAX(MIN('Council Entry'!P33,'Council Entry'!P$9),'Council Entry'!P$8),'Council Entry'!P33)),IF(AND(ISNUMBER('Council Entry'!P$8),ISNUMBER('Council Entry'!P$9)),MAX(MIN('Council Entry'!P33,'Council Entry'!P$9),'Council Entry'!P$8),'Council Entry'!P33))))-'Council Entry'!P$5)/('Council Entry'!P$6-'Council Entry'!P$5)),1))),"No data"))</f>
        <v/>
      </c>
      <c r="Q33" s="13">
        <f>IF('Council Entry'!Q33="","",IFERROR(MAX(0,MIN(10,ROUND(IF('Council Entry'!Q$7="Decrease Risk",10-10*((IF('Council Entry'!Q$4="Logarithm",LN(0.001+IF(AND(ISNUMBER('Council Entry'!Q$8),ISNUMBER('Council Entry'!Q$9)),MAX(MIN('Council Entry'!Q33,'Council Entry'!Q$9),'Council Entry'!Q$8),'Council Entry'!Q33)),IF('Council Entry'!Q$4="Exponential",EXP(IF(AND(ISNUMBER('Council Entry'!Q$8),ISNUMBER('Council Entry'!Q$9)),MAX(MIN('Council Entry'!Q33,'Council Entry'!Q$9),'Council Entry'!Q$8),'Council Entry'!Q33)),IF(AND(ISNUMBER('Council Entry'!Q$8),ISNUMBER('Council Entry'!Q$9)),MAX(MIN('Council Entry'!Q33,'Council Entry'!Q$9),'Council Entry'!Q$8),'Council Entry'!Q33))))-'Council Entry'!Q$5)/('Council Entry'!Q$6-'Council Entry'!Q$5),10*((IF('Council Entry'!Q$4="Logarithm",LN(0.001+IF(AND(ISNUMBER('Council Entry'!Q$8),ISNUMBER('Council Entry'!Q$9)),MAX(MIN('Council Entry'!Q33,'Council Entry'!Q$9),'Council Entry'!Q$8),'Council Entry'!Q33)),IF('Council Entry'!Q$4="Exponential",EXP(IF(AND(ISNUMBER('Council Entry'!Q$8),ISNUMBER('Council Entry'!Q$9)),MAX(MIN('Council Entry'!Q33,'Council Entry'!Q$9),'Council Entry'!Q$8),'Council Entry'!Q33)),IF(AND(ISNUMBER('Council Entry'!Q$8),ISNUMBER('Council Entry'!Q$9)),MAX(MIN('Council Entry'!Q33,'Council Entry'!Q$9),'Council Entry'!Q$8),'Council Entry'!Q33))))-'Council Entry'!Q$5)/('Council Entry'!Q$6-'Council Entry'!Q$5)),1))),"No data"))</f>
        <v/>
      </c>
      <c r="R33" s="13">
        <f>IF('Council Entry'!R33="","",IFERROR(MAX(0,MIN(10,ROUND(IF('Council Entry'!R$7="Decrease Risk",10-10*((IF('Council Entry'!R$4="Logarithm",LN(0.001+IF(AND(ISNUMBER('Council Entry'!R$8),ISNUMBER('Council Entry'!R$9)),MAX(MIN('Council Entry'!R33,'Council Entry'!R$9),'Council Entry'!R$8),'Council Entry'!R33)),IF('Council Entry'!R$4="Exponential",EXP(IF(AND(ISNUMBER('Council Entry'!R$8),ISNUMBER('Council Entry'!R$9)),MAX(MIN('Council Entry'!R33,'Council Entry'!R$9),'Council Entry'!R$8),'Council Entry'!R33)),IF(AND(ISNUMBER('Council Entry'!R$8),ISNUMBER('Council Entry'!R$9)),MAX(MIN('Council Entry'!R33,'Council Entry'!R$9),'Council Entry'!R$8),'Council Entry'!R33))))-'Council Entry'!R$5)/('Council Entry'!R$6-'Council Entry'!R$5),10*((IF('Council Entry'!R$4="Logarithm",LN(0.001+IF(AND(ISNUMBER('Council Entry'!R$8),ISNUMBER('Council Entry'!R$9)),MAX(MIN('Council Entry'!R33,'Council Entry'!R$9),'Council Entry'!R$8),'Council Entry'!R33)),IF('Council Entry'!R$4="Exponential",EXP(IF(AND(ISNUMBER('Council Entry'!R$8),ISNUMBER('Council Entry'!R$9)),MAX(MIN('Council Entry'!R33,'Council Entry'!R$9),'Council Entry'!R$8),'Council Entry'!R33)),IF(AND(ISNUMBER('Council Entry'!R$8),ISNUMBER('Council Entry'!R$9)),MAX(MIN('Council Entry'!R33,'Council Entry'!R$9),'Council Entry'!R$8),'Council Entry'!R33))))-'Council Entry'!R$5)/('Council Entry'!R$6-'Council Entry'!R$5)),1))),"No data"))</f>
        <v/>
      </c>
      <c r="S33" s="13">
        <f>IF('Council Entry'!S33="","",IFERROR(MAX(0,MIN(10,ROUND(IF('Council Entry'!S$7="Decrease Risk",10-10*((IF('Council Entry'!S$4="Logarithm",LN(0.001+IF(AND(ISNUMBER('Council Entry'!S$8),ISNUMBER('Council Entry'!S$9)),MAX(MIN('Council Entry'!S33,'Council Entry'!S$9),'Council Entry'!S$8),'Council Entry'!S33)),IF('Council Entry'!S$4="Exponential",EXP(IF(AND(ISNUMBER('Council Entry'!S$8),ISNUMBER('Council Entry'!S$9)),MAX(MIN('Council Entry'!S33,'Council Entry'!S$9),'Council Entry'!S$8),'Council Entry'!S33)),IF(AND(ISNUMBER('Council Entry'!S$8),ISNUMBER('Council Entry'!S$9)),MAX(MIN('Council Entry'!S33,'Council Entry'!S$9),'Council Entry'!S$8),'Council Entry'!S33))))-'Council Entry'!S$5)/('Council Entry'!S$6-'Council Entry'!S$5),10*((IF('Council Entry'!S$4="Logarithm",LN(0.001+IF(AND(ISNUMBER('Council Entry'!S$8),ISNUMBER('Council Entry'!S$9)),MAX(MIN('Council Entry'!S33,'Council Entry'!S$9),'Council Entry'!S$8),'Council Entry'!S33)),IF('Council Entry'!S$4="Exponential",EXP(IF(AND(ISNUMBER('Council Entry'!S$8),ISNUMBER('Council Entry'!S$9)),MAX(MIN('Council Entry'!S33,'Council Entry'!S$9),'Council Entry'!S$8),'Council Entry'!S33)),IF(AND(ISNUMBER('Council Entry'!S$8),ISNUMBER('Council Entry'!S$9)),MAX(MIN('Council Entry'!S33,'Council Entry'!S$9),'Council Entry'!S$8),'Council Entry'!S33))))-'Council Entry'!S$5)/('Council Entry'!S$6-'Council Entry'!S$5)),1))),"No data"))</f>
        <v/>
      </c>
      <c r="T33" s="13">
        <f>IF('Council Entry'!T33="","",IFERROR(MAX(0,MIN(10,ROUND(IF('Council Entry'!T$7="Decrease Risk",10-10*((IF('Council Entry'!T$4="Logarithm",LN(0.001+IF(AND(ISNUMBER('Council Entry'!T$8),ISNUMBER('Council Entry'!T$9)),MAX(MIN('Council Entry'!T33,'Council Entry'!T$9),'Council Entry'!T$8),'Council Entry'!T33)),IF('Council Entry'!T$4="Exponential",EXP(IF(AND(ISNUMBER('Council Entry'!T$8),ISNUMBER('Council Entry'!T$9)),MAX(MIN('Council Entry'!T33,'Council Entry'!T$9),'Council Entry'!T$8),'Council Entry'!T33)),IF(AND(ISNUMBER('Council Entry'!T$8),ISNUMBER('Council Entry'!T$9)),MAX(MIN('Council Entry'!T33,'Council Entry'!T$9),'Council Entry'!T$8),'Council Entry'!T33))))-'Council Entry'!T$5)/('Council Entry'!T$6-'Council Entry'!T$5),10*((IF('Council Entry'!T$4="Logarithm",LN(0.001+IF(AND(ISNUMBER('Council Entry'!T$8),ISNUMBER('Council Entry'!T$9)),MAX(MIN('Council Entry'!T33,'Council Entry'!T$9),'Council Entry'!T$8),'Council Entry'!T33)),IF('Council Entry'!T$4="Exponential",EXP(IF(AND(ISNUMBER('Council Entry'!T$8),ISNUMBER('Council Entry'!T$9)),MAX(MIN('Council Entry'!T33,'Council Entry'!T$9),'Council Entry'!T$8),'Council Entry'!T33)),IF(AND(ISNUMBER('Council Entry'!T$8),ISNUMBER('Council Entry'!T$9)),MAX(MIN('Council Entry'!T33,'Council Entry'!T$9),'Council Entry'!T$8),'Council Entry'!T33))))-'Council Entry'!T$5)/('Council Entry'!T$6-'Council Entry'!T$5)),1))),"No data"))</f>
        <v/>
      </c>
      <c r="U33" s="13">
        <f>IF('Council Entry'!U33="","",IFERROR(MAX(0,MIN(10,ROUND(IF('Council Entry'!U$7="Decrease Risk",10-10*((IF('Council Entry'!U$4="Logarithm",LN(0.001+IF(AND(ISNUMBER('Council Entry'!U$8),ISNUMBER('Council Entry'!U$9)),MAX(MIN('Council Entry'!U33,'Council Entry'!U$9),'Council Entry'!U$8),'Council Entry'!U33)),IF('Council Entry'!U$4="Exponential",EXP(IF(AND(ISNUMBER('Council Entry'!U$8),ISNUMBER('Council Entry'!U$9)),MAX(MIN('Council Entry'!U33,'Council Entry'!U$9),'Council Entry'!U$8),'Council Entry'!U33)),IF(AND(ISNUMBER('Council Entry'!U$8),ISNUMBER('Council Entry'!U$9)),MAX(MIN('Council Entry'!U33,'Council Entry'!U$9),'Council Entry'!U$8),'Council Entry'!U33))))-'Council Entry'!U$5)/('Council Entry'!U$6-'Council Entry'!U$5),10*((IF('Council Entry'!U$4="Logarithm",LN(0.001+IF(AND(ISNUMBER('Council Entry'!U$8),ISNUMBER('Council Entry'!U$9)),MAX(MIN('Council Entry'!U33,'Council Entry'!U$9),'Council Entry'!U$8),'Council Entry'!U33)),IF('Council Entry'!U$4="Exponential",EXP(IF(AND(ISNUMBER('Council Entry'!U$8),ISNUMBER('Council Entry'!U$9)),MAX(MIN('Council Entry'!U33,'Council Entry'!U$9),'Council Entry'!U$8),'Council Entry'!U33)),IF(AND(ISNUMBER('Council Entry'!U$8),ISNUMBER('Council Entry'!U$9)),MAX(MIN('Council Entry'!U33,'Council Entry'!U$9),'Council Entry'!U$8),'Council Entry'!U33))))-'Council Entry'!U$5)/('Council Entry'!U$6-'Council Entry'!U$5)),1))),"No data"))</f>
        <v/>
      </c>
      <c r="V33" s="13">
        <f>IF('Council Entry'!V33="","",IFERROR(MAX(0,MIN(10,ROUND(IF('Council Entry'!V$7="Decrease Risk",10-10*((IF('Council Entry'!V$4="Logarithm",LN(0.001+IF(AND(ISNUMBER('Council Entry'!V$8),ISNUMBER('Council Entry'!V$9)),MAX(MIN('Council Entry'!V33,'Council Entry'!V$9),'Council Entry'!V$8),'Council Entry'!V33)),IF('Council Entry'!V$4="Exponential",EXP(IF(AND(ISNUMBER('Council Entry'!V$8),ISNUMBER('Council Entry'!V$9)),MAX(MIN('Council Entry'!V33,'Council Entry'!V$9),'Council Entry'!V$8),'Council Entry'!V33)),IF(AND(ISNUMBER('Council Entry'!V$8),ISNUMBER('Council Entry'!V$9)),MAX(MIN('Council Entry'!V33,'Council Entry'!V$9),'Council Entry'!V$8),'Council Entry'!V33))))-'Council Entry'!V$5)/('Council Entry'!V$6-'Council Entry'!V$5),10*((IF('Council Entry'!V$4="Logarithm",LN(0.001+IF(AND(ISNUMBER('Council Entry'!V$8),ISNUMBER('Council Entry'!V$9)),MAX(MIN('Council Entry'!V33,'Council Entry'!V$9),'Council Entry'!V$8),'Council Entry'!V33)),IF('Council Entry'!V$4="Exponential",EXP(IF(AND(ISNUMBER('Council Entry'!V$8),ISNUMBER('Council Entry'!V$9)),MAX(MIN('Council Entry'!V33,'Council Entry'!V$9),'Council Entry'!V$8),'Council Entry'!V33)),IF(AND(ISNUMBER('Council Entry'!V$8),ISNUMBER('Council Entry'!V$9)),MAX(MIN('Council Entry'!V33,'Council Entry'!V$9),'Council Entry'!V$8),'Council Entry'!V33))))-'Council Entry'!V$5)/('Council Entry'!V$6-'Council Entry'!V$5)),1))),"No data"))</f>
        <v/>
      </c>
      <c r="W33" s="13">
        <f>IF('Council Entry'!W33="","",IFERROR(MAX(0,MIN(10,ROUND(IF('Council Entry'!W$7="Decrease Risk",10-10*((IF('Council Entry'!W$4="Logarithm",LN(0.001+IF(AND(ISNUMBER('Council Entry'!W$8),ISNUMBER('Council Entry'!W$9)),MAX(MIN('Council Entry'!W33,'Council Entry'!W$9),'Council Entry'!W$8),'Council Entry'!W33)),IF('Council Entry'!W$4="Exponential",EXP(IF(AND(ISNUMBER('Council Entry'!W$8),ISNUMBER('Council Entry'!W$9)),MAX(MIN('Council Entry'!W33,'Council Entry'!W$9),'Council Entry'!W$8),'Council Entry'!W33)),IF(AND(ISNUMBER('Council Entry'!W$8),ISNUMBER('Council Entry'!W$9)),MAX(MIN('Council Entry'!W33,'Council Entry'!W$9),'Council Entry'!W$8),'Council Entry'!W33))))-'Council Entry'!W$5)/('Council Entry'!W$6-'Council Entry'!W$5),10*((IF('Council Entry'!W$4="Logarithm",LN(0.001+IF(AND(ISNUMBER('Council Entry'!W$8),ISNUMBER('Council Entry'!W$9)),MAX(MIN('Council Entry'!W33,'Council Entry'!W$9),'Council Entry'!W$8),'Council Entry'!W33)),IF('Council Entry'!W$4="Exponential",EXP(IF(AND(ISNUMBER('Council Entry'!W$8),ISNUMBER('Council Entry'!W$9)),MAX(MIN('Council Entry'!W33,'Council Entry'!W$9),'Council Entry'!W$8),'Council Entry'!W33)),IF(AND(ISNUMBER('Council Entry'!W$8),ISNUMBER('Council Entry'!W$9)),MAX(MIN('Council Entry'!W33,'Council Entry'!W$9),'Council Entry'!W$8),'Council Entry'!W33))))-'Council Entry'!W$5)/('Council Entry'!W$6-'Council Entry'!W$5)),1))),"No data"))</f>
        <v/>
      </c>
      <c r="X33" s="13">
        <f>IF('Council Entry'!X33="","",IFERROR(MAX(0,MIN(10,ROUND(IF('Council Entry'!X$7="Decrease Risk",10-10*((IF('Council Entry'!X$4="Logarithm",LN(0.001+IF(AND(ISNUMBER('Council Entry'!X$8),ISNUMBER('Council Entry'!X$9)),MAX(MIN('Council Entry'!X33,'Council Entry'!X$9),'Council Entry'!X$8),'Council Entry'!X33)),IF('Council Entry'!X$4="Exponential",EXP(IF(AND(ISNUMBER('Council Entry'!X$8),ISNUMBER('Council Entry'!X$9)),MAX(MIN('Council Entry'!X33,'Council Entry'!X$9),'Council Entry'!X$8),'Council Entry'!X33)),IF(AND(ISNUMBER('Council Entry'!X$8),ISNUMBER('Council Entry'!X$9)),MAX(MIN('Council Entry'!X33,'Council Entry'!X$9),'Council Entry'!X$8),'Council Entry'!X33))))-'Council Entry'!X$5)/('Council Entry'!X$6-'Council Entry'!X$5),10*((IF('Council Entry'!X$4="Logarithm",LN(0.001+IF(AND(ISNUMBER('Council Entry'!X$8),ISNUMBER('Council Entry'!X$9)),MAX(MIN('Council Entry'!X33,'Council Entry'!X$9),'Council Entry'!X$8),'Council Entry'!X33)),IF('Council Entry'!X$4="Exponential",EXP(IF(AND(ISNUMBER('Council Entry'!X$8),ISNUMBER('Council Entry'!X$9)),MAX(MIN('Council Entry'!X33,'Council Entry'!X$9),'Council Entry'!X$8),'Council Entry'!X33)),IF(AND(ISNUMBER('Council Entry'!X$8),ISNUMBER('Council Entry'!X$9)),MAX(MIN('Council Entry'!X33,'Council Entry'!X$9),'Council Entry'!X$8),'Council Entry'!X33))))-'Council Entry'!X$5)/('Council Entry'!X$6-'Council Entry'!X$5)),1))),"No data"))</f>
        <v/>
      </c>
      <c r="Y33" s="13">
        <f>IF('Council Entry'!Y33="","",IFERROR(MAX(0,MIN(10,ROUND(IF('Council Entry'!Y$7="Decrease Risk",10-10*((IF('Council Entry'!Y$4="Logarithm",LN(0.001+IF(AND(ISNUMBER('Council Entry'!Y$8),ISNUMBER('Council Entry'!Y$9)),MAX(MIN('Council Entry'!Y33,'Council Entry'!Y$9),'Council Entry'!Y$8),'Council Entry'!Y33)),IF('Council Entry'!Y$4="Exponential",EXP(IF(AND(ISNUMBER('Council Entry'!Y$8),ISNUMBER('Council Entry'!Y$9)),MAX(MIN('Council Entry'!Y33,'Council Entry'!Y$9),'Council Entry'!Y$8),'Council Entry'!Y33)),IF(AND(ISNUMBER('Council Entry'!Y$8),ISNUMBER('Council Entry'!Y$9)),MAX(MIN('Council Entry'!Y33,'Council Entry'!Y$9),'Council Entry'!Y$8),'Council Entry'!Y33))))-'Council Entry'!Y$5)/('Council Entry'!Y$6-'Council Entry'!Y$5),10*((IF('Council Entry'!Y$4="Logarithm",LN(0.001+IF(AND(ISNUMBER('Council Entry'!Y$8),ISNUMBER('Council Entry'!Y$9)),MAX(MIN('Council Entry'!Y33,'Council Entry'!Y$9),'Council Entry'!Y$8),'Council Entry'!Y33)),IF('Council Entry'!Y$4="Exponential",EXP(IF(AND(ISNUMBER('Council Entry'!Y$8),ISNUMBER('Council Entry'!Y$9)),MAX(MIN('Council Entry'!Y33,'Council Entry'!Y$9),'Council Entry'!Y$8),'Council Entry'!Y33)),IF(AND(ISNUMBER('Council Entry'!Y$8),ISNUMBER('Council Entry'!Y$9)),MAX(MIN('Council Entry'!Y33,'Council Entry'!Y$9),'Council Entry'!Y$8),'Council Entry'!Y33))))-'Council Entry'!Y$5)/('Council Entry'!Y$6-'Council Entry'!Y$5)),1))),"No data"))</f>
        <v/>
      </c>
      <c r="Z33" s="13">
        <f>IF('Council Entry'!Z33="","",IFERROR(MAX(0,MIN(10,ROUND(IF('Council Entry'!Z$7="Decrease Risk",10-10*((IF('Council Entry'!Z$4="Logarithm",LN(0.001+IF(AND(ISNUMBER('Council Entry'!Z$8),ISNUMBER('Council Entry'!Z$9)),MAX(MIN('Council Entry'!Z33,'Council Entry'!Z$9),'Council Entry'!Z$8),'Council Entry'!Z33)),IF('Council Entry'!Z$4="Exponential",EXP(IF(AND(ISNUMBER('Council Entry'!Z$8),ISNUMBER('Council Entry'!Z$9)),MAX(MIN('Council Entry'!Z33,'Council Entry'!Z$9),'Council Entry'!Z$8),'Council Entry'!Z33)),IF(AND(ISNUMBER('Council Entry'!Z$8),ISNUMBER('Council Entry'!Z$9)),MAX(MIN('Council Entry'!Z33,'Council Entry'!Z$9),'Council Entry'!Z$8),'Council Entry'!Z33))))-'Council Entry'!Z$5)/('Council Entry'!Z$6-'Council Entry'!Z$5),10*((IF('Council Entry'!Z$4="Logarithm",LN(0.001+IF(AND(ISNUMBER('Council Entry'!Z$8),ISNUMBER('Council Entry'!Z$9)),MAX(MIN('Council Entry'!Z33,'Council Entry'!Z$9),'Council Entry'!Z$8),'Council Entry'!Z33)),IF('Council Entry'!Z$4="Exponential",EXP(IF(AND(ISNUMBER('Council Entry'!Z$8),ISNUMBER('Council Entry'!Z$9)),MAX(MIN('Council Entry'!Z33,'Council Entry'!Z$9),'Council Entry'!Z$8),'Council Entry'!Z33)),IF(AND(ISNUMBER('Council Entry'!Z$8),ISNUMBER('Council Entry'!Z$9)),MAX(MIN('Council Entry'!Z33,'Council Entry'!Z$9),'Council Entry'!Z$8),'Council Entry'!Z33))))-'Council Entry'!Z$5)/('Council Entry'!Z$6-'Council Entry'!Z$5)),1))),"No data"))</f>
        <v/>
      </c>
      <c r="AA33" s="13">
        <f>IF('Council Entry'!AA33="","",IFERROR(MAX(0,MIN(10,ROUND(IF('Council Entry'!AA$7="Decrease Risk",10-10*((IF('Council Entry'!AA$4="Logarithm",LN(0.001+IF(AND(ISNUMBER('Council Entry'!AA$8),ISNUMBER('Council Entry'!AA$9)),MAX(MIN('Council Entry'!AA33,'Council Entry'!AA$9),'Council Entry'!AA$8),'Council Entry'!AA33)),IF('Council Entry'!AA$4="Exponential",EXP(IF(AND(ISNUMBER('Council Entry'!AA$8),ISNUMBER('Council Entry'!AA$9)),MAX(MIN('Council Entry'!AA33,'Council Entry'!AA$9),'Council Entry'!AA$8),'Council Entry'!AA33)),IF(AND(ISNUMBER('Council Entry'!AA$8),ISNUMBER('Council Entry'!AA$9)),MAX(MIN('Council Entry'!AA33,'Council Entry'!AA$9),'Council Entry'!AA$8),'Council Entry'!AA33))))-'Council Entry'!AA$5)/('Council Entry'!AA$6-'Council Entry'!AA$5),10*((IF('Council Entry'!AA$4="Logarithm",LN(0.001+IF(AND(ISNUMBER('Council Entry'!AA$8),ISNUMBER('Council Entry'!AA$9)),MAX(MIN('Council Entry'!AA33,'Council Entry'!AA$9),'Council Entry'!AA$8),'Council Entry'!AA33)),IF('Council Entry'!AA$4="Exponential",EXP(IF(AND(ISNUMBER('Council Entry'!AA$8),ISNUMBER('Council Entry'!AA$9)),MAX(MIN('Council Entry'!AA33,'Council Entry'!AA$9),'Council Entry'!AA$8),'Council Entry'!AA33)),IF(AND(ISNUMBER('Council Entry'!AA$8),ISNUMBER('Council Entry'!AA$9)),MAX(MIN('Council Entry'!AA33,'Council Entry'!AA$9),'Council Entry'!AA$8),'Council Entry'!AA33))))-'Council Entry'!AA$5)/('Council Entry'!AA$6-'Council Entry'!AA$5)),1))),"No data"))</f>
        <v/>
      </c>
      <c r="AB33" s="13">
        <f>IF('Council Entry'!AB33="","",IFERROR(MAX(0,MIN(10,ROUND(IF('Council Entry'!AB$7="Decrease Risk",10-10*((IF('Council Entry'!AB$4="Logarithm",LN(0.001+IF(AND(ISNUMBER('Council Entry'!AB$8),ISNUMBER('Council Entry'!AB$9)),MAX(MIN('Council Entry'!AB33,'Council Entry'!AB$9),'Council Entry'!AB$8),'Council Entry'!AB33)),IF('Council Entry'!AB$4="Exponential",EXP(IF(AND(ISNUMBER('Council Entry'!AB$8),ISNUMBER('Council Entry'!AB$9)),MAX(MIN('Council Entry'!AB33,'Council Entry'!AB$9),'Council Entry'!AB$8),'Council Entry'!AB33)),IF(AND(ISNUMBER('Council Entry'!AB$8),ISNUMBER('Council Entry'!AB$9)),MAX(MIN('Council Entry'!AB33,'Council Entry'!AB$9),'Council Entry'!AB$8),'Council Entry'!AB33))))-'Council Entry'!AB$5)/('Council Entry'!AB$6-'Council Entry'!AB$5),10*((IF('Council Entry'!AB$4="Logarithm",LN(0.001+IF(AND(ISNUMBER('Council Entry'!AB$8),ISNUMBER('Council Entry'!AB$9)),MAX(MIN('Council Entry'!AB33,'Council Entry'!AB$9),'Council Entry'!AB$8),'Council Entry'!AB33)),IF('Council Entry'!AB$4="Exponential",EXP(IF(AND(ISNUMBER('Council Entry'!AB$8),ISNUMBER('Council Entry'!AB$9)),MAX(MIN('Council Entry'!AB33,'Council Entry'!AB$9),'Council Entry'!AB$8),'Council Entry'!AB33)),IF(AND(ISNUMBER('Council Entry'!AB$8),ISNUMBER('Council Entry'!AB$9)),MAX(MIN('Council Entry'!AB33,'Council Entry'!AB$9),'Council Entry'!AB$8),'Council Entry'!AB33))))-'Council Entry'!AB$5)/('Council Entry'!AB$6-'Council Entry'!AB$5)),1))),"No data"))</f>
        <v/>
      </c>
      <c r="AC33" s="13">
        <f>IF('Council Entry'!AC33="","",IFERROR(MAX(0,MIN(10,ROUND(IF('Council Entry'!AC$7="Decrease Risk",10-10*((IF('Council Entry'!AC$4="Logarithm",LN(0.001+IF(AND(ISNUMBER('Council Entry'!AC$8),ISNUMBER('Council Entry'!AC$9)),MAX(MIN('Council Entry'!AC33,'Council Entry'!AC$9),'Council Entry'!AC$8),'Council Entry'!AC33)),IF('Council Entry'!AC$4="Exponential",EXP(IF(AND(ISNUMBER('Council Entry'!AC$8),ISNUMBER('Council Entry'!AC$9)),MAX(MIN('Council Entry'!AC33,'Council Entry'!AC$9),'Council Entry'!AC$8),'Council Entry'!AC33)),IF(AND(ISNUMBER('Council Entry'!AC$8),ISNUMBER('Council Entry'!AC$9)),MAX(MIN('Council Entry'!AC33,'Council Entry'!AC$9),'Council Entry'!AC$8),'Council Entry'!AC33))))-'Council Entry'!AC$5)/('Council Entry'!AC$6-'Council Entry'!AC$5),10*((IF('Council Entry'!AC$4="Logarithm",LN(0.001+IF(AND(ISNUMBER('Council Entry'!AC$8),ISNUMBER('Council Entry'!AC$9)),MAX(MIN('Council Entry'!AC33,'Council Entry'!AC$9),'Council Entry'!AC$8),'Council Entry'!AC33)),IF('Council Entry'!AC$4="Exponential",EXP(IF(AND(ISNUMBER('Council Entry'!AC$8),ISNUMBER('Council Entry'!AC$9)),MAX(MIN('Council Entry'!AC33,'Council Entry'!AC$9),'Council Entry'!AC$8),'Council Entry'!AC33)),IF(AND(ISNUMBER('Council Entry'!AC$8),ISNUMBER('Council Entry'!AC$9)),MAX(MIN('Council Entry'!AC33,'Council Entry'!AC$9),'Council Entry'!AC$8),'Council Entry'!AC33))))-'Council Entry'!AC$5)/('Council Entry'!AC$6-'Council Entry'!AC$5)),1))),"No data"))</f>
        <v/>
      </c>
      <c r="AD33" s="13">
        <f>IF('Council Entry'!AD33="","",IFERROR(MAX(0,MIN(10,ROUND(IF('Council Entry'!AD$7="Decrease Risk",10-10*((IF('Council Entry'!AD$4="Logarithm",LN(0.001+IF(AND(ISNUMBER('Council Entry'!AD$8),ISNUMBER('Council Entry'!AD$9)),MAX(MIN('Council Entry'!AD33,'Council Entry'!AD$9),'Council Entry'!AD$8),'Council Entry'!AD33)),IF('Council Entry'!AD$4="Exponential",EXP(IF(AND(ISNUMBER('Council Entry'!AD$8),ISNUMBER('Council Entry'!AD$9)),MAX(MIN('Council Entry'!AD33,'Council Entry'!AD$9),'Council Entry'!AD$8),'Council Entry'!AD33)),IF(AND(ISNUMBER('Council Entry'!AD$8),ISNUMBER('Council Entry'!AD$9)),MAX(MIN('Council Entry'!AD33,'Council Entry'!AD$9),'Council Entry'!AD$8),'Council Entry'!AD33))))-'Council Entry'!AD$5)/('Council Entry'!AD$6-'Council Entry'!AD$5),10*((IF('Council Entry'!AD$4="Logarithm",LN(0.001+IF(AND(ISNUMBER('Council Entry'!AD$8),ISNUMBER('Council Entry'!AD$9)),MAX(MIN('Council Entry'!AD33,'Council Entry'!AD$9),'Council Entry'!AD$8),'Council Entry'!AD33)),IF('Council Entry'!AD$4="Exponential",EXP(IF(AND(ISNUMBER('Council Entry'!AD$8),ISNUMBER('Council Entry'!AD$9)),MAX(MIN('Council Entry'!AD33,'Council Entry'!AD$9),'Council Entry'!AD$8),'Council Entry'!AD33)),IF(AND(ISNUMBER('Council Entry'!AD$8),ISNUMBER('Council Entry'!AD$9)),MAX(MIN('Council Entry'!AD33,'Council Entry'!AD$9),'Council Entry'!AD$8),'Council Entry'!AD33))))-'Council Entry'!AD$5)/('Council Entry'!AD$6-'Council Entry'!AD$5)),1))),"No data"))</f>
        <v/>
      </c>
      <c r="AE33" s="13">
        <f>IF('Council Entry'!AE33="","",IFERROR(MAX(0,MIN(10,ROUND(IF('Council Entry'!AE$7="Decrease Risk",10-10*((IF('Council Entry'!AE$4="Logarithm",LN(0.001+IF(AND(ISNUMBER('Council Entry'!AE$8),ISNUMBER('Council Entry'!AE$9)),MAX(MIN('Council Entry'!AE33,'Council Entry'!AE$9),'Council Entry'!AE$8),'Council Entry'!AE33)),IF('Council Entry'!AE$4="Exponential",EXP(IF(AND(ISNUMBER('Council Entry'!AE$8),ISNUMBER('Council Entry'!AE$9)),MAX(MIN('Council Entry'!AE33,'Council Entry'!AE$9),'Council Entry'!AE$8),'Council Entry'!AE33)),IF(AND(ISNUMBER('Council Entry'!AE$8),ISNUMBER('Council Entry'!AE$9)),MAX(MIN('Council Entry'!AE33,'Council Entry'!AE$9),'Council Entry'!AE$8),'Council Entry'!AE33))))-'Council Entry'!AE$5)/('Council Entry'!AE$6-'Council Entry'!AE$5),10*((IF('Council Entry'!AE$4="Logarithm",LN(0.001+IF(AND(ISNUMBER('Council Entry'!AE$8),ISNUMBER('Council Entry'!AE$9)),MAX(MIN('Council Entry'!AE33,'Council Entry'!AE$9),'Council Entry'!AE$8),'Council Entry'!AE33)),IF('Council Entry'!AE$4="Exponential",EXP(IF(AND(ISNUMBER('Council Entry'!AE$8),ISNUMBER('Council Entry'!AE$9)),MAX(MIN('Council Entry'!AE33,'Council Entry'!AE$9),'Council Entry'!AE$8),'Council Entry'!AE33)),IF(AND(ISNUMBER('Council Entry'!AE$8),ISNUMBER('Council Entry'!AE$9)),MAX(MIN('Council Entry'!AE33,'Council Entry'!AE$9),'Council Entry'!AE$8),'Council Entry'!AE33))))-'Council Entry'!AE$5)/('Council Entry'!AE$6-'Council Entry'!AE$5)),1))),"No data"))</f>
        <v/>
      </c>
      <c r="AF33" s="13">
        <f>IF('Council Entry'!AF33="","",IFERROR(MAX(0,MIN(10,ROUND(IF('Council Entry'!AF$7="Decrease Risk",10-10*((IF('Council Entry'!AF$4="Logarithm",LN(0.001+IF(AND(ISNUMBER('Council Entry'!AF$8),ISNUMBER('Council Entry'!AF$9)),MAX(MIN('Council Entry'!AF33,'Council Entry'!AF$9),'Council Entry'!AF$8),'Council Entry'!AF33)),IF('Council Entry'!AF$4="Exponential",EXP(IF(AND(ISNUMBER('Council Entry'!AF$8),ISNUMBER('Council Entry'!AF$9)),MAX(MIN('Council Entry'!AF33,'Council Entry'!AF$9),'Council Entry'!AF$8),'Council Entry'!AF33)),IF(AND(ISNUMBER('Council Entry'!AF$8),ISNUMBER('Council Entry'!AF$9)),MAX(MIN('Council Entry'!AF33,'Council Entry'!AF$9),'Council Entry'!AF$8),'Council Entry'!AF33))))-'Council Entry'!AF$5)/('Council Entry'!AF$6-'Council Entry'!AF$5),10*((IF('Council Entry'!AF$4="Logarithm",LN(0.001+IF(AND(ISNUMBER('Council Entry'!AF$8),ISNUMBER('Council Entry'!AF$9)),MAX(MIN('Council Entry'!AF33,'Council Entry'!AF$9),'Council Entry'!AF$8),'Council Entry'!AF33)),IF('Council Entry'!AF$4="Exponential",EXP(IF(AND(ISNUMBER('Council Entry'!AF$8),ISNUMBER('Council Entry'!AF$9)),MAX(MIN('Council Entry'!AF33,'Council Entry'!AF$9),'Council Entry'!AF$8),'Council Entry'!AF33)),IF(AND(ISNUMBER('Council Entry'!AF$8),ISNUMBER('Council Entry'!AF$9)),MAX(MIN('Council Entry'!AF33,'Council Entry'!AF$9),'Council Entry'!AF$8),'Council Entry'!AF33))))-'Council Entry'!AF$5)/('Council Entry'!AF$6-'Council Entry'!AF$5)),1))),"No data"))</f>
        <v/>
      </c>
      <c r="AG33" s="13">
        <f>IF('Council Entry'!AG33="","",IFERROR(MAX(0,MIN(10,ROUND(IF('Council Entry'!AG$7="Decrease Risk",10-10*((IF('Council Entry'!AG$4="Logarithm",LN(0.001+IF(AND(ISNUMBER('Council Entry'!AG$8),ISNUMBER('Council Entry'!AG$9)),MAX(MIN('Council Entry'!AG33,'Council Entry'!AG$9),'Council Entry'!AG$8),'Council Entry'!AG33)),IF('Council Entry'!AG$4="Exponential",EXP(IF(AND(ISNUMBER('Council Entry'!AG$8),ISNUMBER('Council Entry'!AG$9)),MAX(MIN('Council Entry'!AG33,'Council Entry'!AG$9),'Council Entry'!AG$8),'Council Entry'!AG33)),IF(AND(ISNUMBER('Council Entry'!AG$8),ISNUMBER('Council Entry'!AG$9)),MAX(MIN('Council Entry'!AG33,'Council Entry'!AG$9),'Council Entry'!AG$8),'Council Entry'!AG33))))-'Council Entry'!AG$5)/('Council Entry'!AG$6-'Council Entry'!AG$5),10*((IF('Council Entry'!AG$4="Logarithm",LN(0.001+IF(AND(ISNUMBER('Council Entry'!AG$8),ISNUMBER('Council Entry'!AG$9)),MAX(MIN('Council Entry'!AG33,'Council Entry'!AG$9),'Council Entry'!AG$8),'Council Entry'!AG33)),IF('Council Entry'!AG$4="Exponential",EXP(IF(AND(ISNUMBER('Council Entry'!AG$8),ISNUMBER('Council Entry'!AG$9)),MAX(MIN('Council Entry'!AG33,'Council Entry'!AG$9),'Council Entry'!AG$8),'Council Entry'!AG33)),IF(AND(ISNUMBER('Council Entry'!AG$8),ISNUMBER('Council Entry'!AG$9)),MAX(MIN('Council Entry'!AG33,'Council Entry'!AG$9),'Council Entry'!AG$8),'Council Entry'!AG33))))-'Council Entry'!AG$5)/('Council Entry'!AG$6-'Council Entry'!AG$5)),1))),"No data"))</f>
        <v/>
      </c>
      <c r="AH33" s="13">
        <f>IF('Council Entry'!AH33="","",IFERROR(MAX(0,MIN(10,ROUND(IF('Council Entry'!AH$7="Decrease Risk",10-10*((IF('Council Entry'!AH$4="Logarithm",LN(0.001+IF(AND(ISNUMBER('Council Entry'!AH$8),ISNUMBER('Council Entry'!AH$9)),MAX(MIN('Council Entry'!AH33,'Council Entry'!AH$9),'Council Entry'!AH$8),'Council Entry'!AH33)),IF('Council Entry'!AH$4="Exponential",EXP(IF(AND(ISNUMBER('Council Entry'!AH$8),ISNUMBER('Council Entry'!AH$9)),MAX(MIN('Council Entry'!AH33,'Council Entry'!AH$9),'Council Entry'!AH$8),'Council Entry'!AH33)),IF(AND(ISNUMBER('Council Entry'!AH$8),ISNUMBER('Council Entry'!AH$9)),MAX(MIN('Council Entry'!AH33,'Council Entry'!AH$9),'Council Entry'!AH$8),'Council Entry'!AH33))))-'Council Entry'!AH$5)/('Council Entry'!AH$6-'Council Entry'!AH$5),10*((IF('Council Entry'!AH$4="Logarithm",LN(0.001+IF(AND(ISNUMBER('Council Entry'!AH$8),ISNUMBER('Council Entry'!AH$9)),MAX(MIN('Council Entry'!AH33,'Council Entry'!AH$9),'Council Entry'!AH$8),'Council Entry'!AH33)),IF('Council Entry'!AH$4="Exponential",EXP(IF(AND(ISNUMBER('Council Entry'!AH$8),ISNUMBER('Council Entry'!AH$9)),MAX(MIN('Council Entry'!AH33,'Council Entry'!AH$9),'Council Entry'!AH$8),'Council Entry'!AH33)),IF(AND(ISNUMBER('Council Entry'!AH$8),ISNUMBER('Council Entry'!AH$9)),MAX(MIN('Council Entry'!AH33,'Council Entry'!AH$9),'Council Entry'!AH$8),'Council Entry'!AH33))))-'Council Entry'!AH$5)/('Council Entry'!AH$6-'Council Entry'!AH$5)),1))),"No data"))</f>
        <v/>
      </c>
      <c r="AI33" s="13">
        <f>IF('Council Entry'!AI33="","",IFERROR(MAX(0,MIN(10,ROUND(IF('Council Entry'!AI$7="Decrease Risk",10-10*((IF('Council Entry'!AI$4="Logarithm",LN(0.001+IF(AND(ISNUMBER('Council Entry'!AI$8),ISNUMBER('Council Entry'!AI$9)),MAX(MIN('Council Entry'!AI33,'Council Entry'!AI$9),'Council Entry'!AI$8),'Council Entry'!AI33)),IF('Council Entry'!AI$4="Exponential",EXP(IF(AND(ISNUMBER('Council Entry'!AI$8),ISNUMBER('Council Entry'!AI$9)),MAX(MIN('Council Entry'!AI33,'Council Entry'!AI$9),'Council Entry'!AI$8),'Council Entry'!AI33)),IF(AND(ISNUMBER('Council Entry'!AI$8),ISNUMBER('Council Entry'!AI$9)),MAX(MIN('Council Entry'!AI33,'Council Entry'!AI$9),'Council Entry'!AI$8),'Council Entry'!AI33))))-'Council Entry'!AI$5)/('Council Entry'!AI$6-'Council Entry'!AI$5),10*((IF('Council Entry'!AI$4="Logarithm",LN(0.001+IF(AND(ISNUMBER('Council Entry'!AI$8),ISNUMBER('Council Entry'!AI$9)),MAX(MIN('Council Entry'!AI33,'Council Entry'!AI$9),'Council Entry'!AI$8),'Council Entry'!AI33)),IF('Council Entry'!AI$4="Exponential",EXP(IF(AND(ISNUMBER('Council Entry'!AI$8),ISNUMBER('Council Entry'!AI$9)),MAX(MIN('Council Entry'!AI33,'Council Entry'!AI$9),'Council Entry'!AI$8),'Council Entry'!AI33)),IF(AND(ISNUMBER('Council Entry'!AI$8),ISNUMBER('Council Entry'!AI$9)),MAX(MIN('Council Entry'!AI33,'Council Entry'!AI$9),'Council Entry'!AI$8),'Council Entry'!AI33))))-'Council Entry'!AI$5)/('Council Entry'!AI$6-'Council Entry'!AI$5)),1))),"No data"))</f>
        <v/>
      </c>
      <c r="AJ33" s="13">
        <f>IF('Council Entry'!AJ33="","",IFERROR(MAX(0,MIN(10,ROUND(IF('Council Entry'!AJ$7="Decrease Risk",10-10*((IF('Council Entry'!AJ$4="Logarithm",LN(0.001+IF(AND(ISNUMBER('Council Entry'!AJ$8),ISNUMBER('Council Entry'!AJ$9)),MAX(MIN('Council Entry'!AJ33,'Council Entry'!AJ$9),'Council Entry'!AJ$8),'Council Entry'!AJ33)),IF('Council Entry'!AJ$4="Exponential",EXP(IF(AND(ISNUMBER('Council Entry'!AJ$8),ISNUMBER('Council Entry'!AJ$9)),MAX(MIN('Council Entry'!AJ33,'Council Entry'!AJ$9),'Council Entry'!AJ$8),'Council Entry'!AJ33)),IF(AND(ISNUMBER('Council Entry'!AJ$8),ISNUMBER('Council Entry'!AJ$9)),MAX(MIN('Council Entry'!AJ33,'Council Entry'!AJ$9),'Council Entry'!AJ$8),'Council Entry'!AJ33))))-'Council Entry'!AJ$5)/('Council Entry'!AJ$6-'Council Entry'!AJ$5),10*((IF('Council Entry'!AJ$4="Logarithm",LN(0.001+IF(AND(ISNUMBER('Council Entry'!AJ$8),ISNUMBER('Council Entry'!AJ$9)),MAX(MIN('Council Entry'!AJ33,'Council Entry'!AJ$9),'Council Entry'!AJ$8),'Council Entry'!AJ33)),IF('Council Entry'!AJ$4="Exponential",EXP(IF(AND(ISNUMBER('Council Entry'!AJ$8),ISNUMBER('Council Entry'!AJ$9)),MAX(MIN('Council Entry'!AJ33,'Council Entry'!AJ$9),'Council Entry'!AJ$8),'Council Entry'!AJ33)),IF(AND(ISNUMBER('Council Entry'!AJ$8),ISNUMBER('Council Entry'!AJ$9)),MAX(MIN('Council Entry'!AJ33,'Council Entry'!AJ$9),'Council Entry'!AJ$8),'Council Entry'!AJ33))))-'Council Entry'!AJ$5)/('Council Entry'!AJ$6-'Council Entry'!AJ$5)),1))),"No data"))</f>
        <v/>
      </c>
      <c r="AK33" s="13">
        <f>IF('Council Entry'!AK33="","",IFERROR(MAX(0,MIN(10,ROUND(IF('Council Entry'!AK$7="Decrease Risk",10-10*((IF('Council Entry'!AK$4="Logarithm",LN(0.001+IF(AND(ISNUMBER('Council Entry'!AK$8),ISNUMBER('Council Entry'!AK$9)),MAX(MIN('Council Entry'!AK33,'Council Entry'!AK$9),'Council Entry'!AK$8),'Council Entry'!AK33)),IF('Council Entry'!AK$4="Exponential",EXP(IF(AND(ISNUMBER('Council Entry'!AK$8),ISNUMBER('Council Entry'!AK$9)),MAX(MIN('Council Entry'!AK33,'Council Entry'!AK$9),'Council Entry'!AK$8),'Council Entry'!AK33)),IF(AND(ISNUMBER('Council Entry'!AK$8),ISNUMBER('Council Entry'!AK$9)),MAX(MIN('Council Entry'!AK33,'Council Entry'!AK$9),'Council Entry'!AK$8),'Council Entry'!AK33))))-'Council Entry'!AK$5)/('Council Entry'!AK$6-'Council Entry'!AK$5),10*((IF('Council Entry'!AK$4="Logarithm",LN(0.001+IF(AND(ISNUMBER('Council Entry'!AK$8),ISNUMBER('Council Entry'!AK$9)),MAX(MIN('Council Entry'!AK33,'Council Entry'!AK$9),'Council Entry'!AK$8),'Council Entry'!AK33)),IF('Council Entry'!AK$4="Exponential",EXP(IF(AND(ISNUMBER('Council Entry'!AK$8),ISNUMBER('Council Entry'!AK$9)),MAX(MIN('Council Entry'!AK33,'Council Entry'!AK$9),'Council Entry'!AK$8),'Council Entry'!AK33)),IF(AND(ISNUMBER('Council Entry'!AK$8),ISNUMBER('Council Entry'!AK$9)),MAX(MIN('Council Entry'!AK33,'Council Entry'!AK$9),'Council Entry'!AK$8),'Council Entry'!AK33))))-'Council Entry'!AK$5)/('Council Entry'!AK$6-'Council Entry'!AK$5)),1))),"No data"))</f>
        <v/>
      </c>
      <c r="AL33" s="13">
        <f>IF('Council Entry'!AL33="","",IFERROR(MAX(0,MIN(10,ROUND(IF('Council Entry'!AL$7="Decrease Risk",10-10*((IF('Council Entry'!AL$4="Logarithm",LN(0.001+IF(AND(ISNUMBER('Council Entry'!AL$8),ISNUMBER('Council Entry'!AL$9)),MAX(MIN('Council Entry'!AL33,'Council Entry'!AL$9),'Council Entry'!AL$8),'Council Entry'!AL33)),IF('Council Entry'!AL$4="Exponential",EXP(IF(AND(ISNUMBER('Council Entry'!AL$8),ISNUMBER('Council Entry'!AL$9)),MAX(MIN('Council Entry'!AL33,'Council Entry'!AL$9),'Council Entry'!AL$8),'Council Entry'!AL33)),IF(AND(ISNUMBER('Council Entry'!AL$8),ISNUMBER('Council Entry'!AL$9)),MAX(MIN('Council Entry'!AL33,'Council Entry'!AL$9),'Council Entry'!AL$8),'Council Entry'!AL33))))-'Council Entry'!AL$5)/('Council Entry'!AL$6-'Council Entry'!AL$5),10*((IF('Council Entry'!AL$4="Logarithm",LN(0.001+IF(AND(ISNUMBER('Council Entry'!AL$8),ISNUMBER('Council Entry'!AL$9)),MAX(MIN('Council Entry'!AL33,'Council Entry'!AL$9),'Council Entry'!AL$8),'Council Entry'!AL33)),IF('Council Entry'!AL$4="Exponential",EXP(IF(AND(ISNUMBER('Council Entry'!AL$8),ISNUMBER('Council Entry'!AL$9)),MAX(MIN('Council Entry'!AL33,'Council Entry'!AL$9),'Council Entry'!AL$8),'Council Entry'!AL33)),IF(AND(ISNUMBER('Council Entry'!AL$8),ISNUMBER('Council Entry'!AL$9)),MAX(MIN('Council Entry'!AL33,'Council Entry'!AL$9),'Council Entry'!AL$8),'Council Entry'!AL33))))-'Council Entry'!AL$5)/('Council Entry'!AL$6-'Council Entry'!AL$5)),1))),"No data"))</f>
        <v/>
      </c>
      <c r="AM33" s="13">
        <f>IF('Council Entry'!AM33="","",IFERROR(MAX(0,MIN(10,ROUND(IF('Council Entry'!AM$7="Decrease Risk",10-10*((IF('Council Entry'!AM$4="Logarithm",LN(0.001+IF(AND(ISNUMBER('Council Entry'!AM$8),ISNUMBER('Council Entry'!AM$9)),MAX(MIN('Council Entry'!AM33,'Council Entry'!AM$9),'Council Entry'!AM$8),'Council Entry'!AM33)),IF('Council Entry'!AM$4="Exponential",EXP(IF(AND(ISNUMBER('Council Entry'!AM$8),ISNUMBER('Council Entry'!AM$9)),MAX(MIN('Council Entry'!AM33,'Council Entry'!AM$9),'Council Entry'!AM$8),'Council Entry'!AM33)),IF(AND(ISNUMBER('Council Entry'!AM$8),ISNUMBER('Council Entry'!AM$9)),MAX(MIN('Council Entry'!AM33,'Council Entry'!AM$9),'Council Entry'!AM$8),'Council Entry'!AM33))))-'Council Entry'!AM$5)/('Council Entry'!AM$6-'Council Entry'!AM$5),10*((IF('Council Entry'!AM$4="Logarithm",LN(0.001+IF(AND(ISNUMBER('Council Entry'!AM$8),ISNUMBER('Council Entry'!AM$9)),MAX(MIN('Council Entry'!AM33,'Council Entry'!AM$9),'Council Entry'!AM$8),'Council Entry'!AM33)),IF('Council Entry'!AM$4="Exponential",EXP(IF(AND(ISNUMBER('Council Entry'!AM$8),ISNUMBER('Council Entry'!AM$9)),MAX(MIN('Council Entry'!AM33,'Council Entry'!AM$9),'Council Entry'!AM$8),'Council Entry'!AM33)),IF(AND(ISNUMBER('Council Entry'!AM$8),ISNUMBER('Council Entry'!AM$9)),MAX(MIN('Council Entry'!AM33,'Council Entry'!AM$9),'Council Entry'!AM$8),'Council Entry'!AM33))))-'Council Entry'!AM$5)/('Council Entry'!AM$6-'Council Entry'!AM$5)),1))),"No data"))</f>
        <v/>
      </c>
      <c r="AN33" s="13">
        <f>IF('Council Entry'!AN33="","",IFERROR(MAX(0,MIN(10,ROUND(IF('Council Entry'!AN$7="Decrease Risk",10-10*((IF('Council Entry'!AN$4="Logarithm",LN(0.001+IF(AND(ISNUMBER('Council Entry'!AN$8),ISNUMBER('Council Entry'!AN$9)),MAX(MIN('Council Entry'!AN33,'Council Entry'!AN$9),'Council Entry'!AN$8),'Council Entry'!AN33)),IF('Council Entry'!AN$4="Exponential",EXP(IF(AND(ISNUMBER('Council Entry'!AN$8),ISNUMBER('Council Entry'!AN$9)),MAX(MIN('Council Entry'!AN33,'Council Entry'!AN$9),'Council Entry'!AN$8),'Council Entry'!AN33)),IF(AND(ISNUMBER('Council Entry'!AN$8),ISNUMBER('Council Entry'!AN$9)),MAX(MIN('Council Entry'!AN33,'Council Entry'!AN$9),'Council Entry'!AN$8),'Council Entry'!AN33))))-'Council Entry'!AN$5)/('Council Entry'!AN$6-'Council Entry'!AN$5),10*((IF('Council Entry'!AN$4="Logarithm",LN(0.001+IF(AND(ISNUMBER('Council Entry'!AN$8),ISNUMBER('Council Entry'!AN$9)),MAX(MIN('Council Entry'!AN33,'Council Entry'!AN$9),'Council Entry'!AN$8),'Council Entry'!AN33)),IF('Council Entry'!AN$4="Exponential",EXP(IF(AND(ISNUMBER('Council Entry'!AN$8),ISNUMBER('Council Entry'!AN$9)),MAX(MIN('Council Entry'!AN33,'Council Entry'!AN$9),'Council Entry'!AN$8),'Council Entry'!AN33)),IF(AND(ISNUMBER('Council Entry'!AN$8),ISNUMBER('Council Entry'!AN$9)),MAX(MIN('Council Entry'!AN33,'Council Entry'!AN$9),'Council Entry'!AN$8),'Council Entry'!AN33))))-'Council Entry'!AN$5)/('Council Entry'!AN$6-'Council Entry'!AN$5)),1))),"No data"))</f>
        <v/>
      </c>
      <c r="AO33" s="13">
        <f>IF('Council Entry'!AO33="","",IFERROR(MAX(0,MIN(10,ROUND(IF('Council Entry'!AO$7="Decrease Risk",10-10*((IF('Council Entry'!AO$4="Logarithm",LN(0.001+IF(AND(ISNUMBER('Council Entry'!AO$8),ISNUMBER('Council Entry'!AO$9)),MAX(MIN('Council Entry'!AO33,'Council Entry'!AO$9),'Council Entry'!AO$8),'Council Entry'!AO33)),IF('Council Entry'!AO$4="Exponential",EXP(IF(AND(ISNUMBER('Council Entry'!AO$8),ISNUMBER('Council Entry'!AO$9)),MAX(MIN('Council Entry'!AO33,'Council Entry'!AO$9),'Council Entry'!AO$8),'Council Entry'!AO33)),IF(AND(ISNUMBER('Council Entry'!AO$8),ISNUMBER('Council Entry'!AO$9)),MAX(MIN('Council Entry'!AO33,'Council Entry'!AO$9),'Council Entry'!AO$8),'Council Entry'!AO33))))-'Council Entry'!AO$5)/('Council Entry'!AO$6-'Council Entry'!AO$5),10*((IF('Council Entry'!AO$4="Logarithm",LN(0.001+IF(AND(ISNUMBER('Council Entry'!AO$8),ISNUMBER('Council Entry'!AO$9)),MAX(MIN('Council Entry'!AO33,'Council Entry'!AO$9),'Council Entry'!AO$8),'Council Entry'!AO33)),IF('Council Entry'!AO$4="Exponential",EXP(IF(AND(ISNUMBER('Council Entry'!AO$8),ISNUMBER('Council Entry'!AO$9)),MAX(MIN('Council Entry'!AO33,'Council Entry'!AO$9),'Council Entry'!AO$8),'Council Entry'!AO33)),IF(AND(ISNUMBER('Council Entry'!AO$8),ISNUMBER('Council Entry'!AO$9)),MAX(MIN('Council Entry'!AO33,'Council Entry'!AO$9),'Council Entry'!AO$8),'Council Entry'!AO33))))-'Council Entry'!AO$5)/('Council Entry'!AO$6-'Council Entry'!AO$5)),1))),"No data"))</f>
        <v/>
      </c>
      <c r="AP33" s="13">
        <f>IF('Council Entry'!AP33="","",IFERROR(MAX(0,MIN(10,ROUND(IF('Council Entry'!AP$7="Decrease Risk",10-10*((IF('Council Entry'!AP$4="Logarithm",LN(0.001+IF(AND(ISNUMBER('Council Entry'!AP$8),ISNUMBER('Council Entry'!AP$9)),MAX(MIN('Council Entry'!AP33,'Council Entry'!AP$9),'Council Entry'!AP$8),'Council Entry'!AP33)),IF('Council Entry'!AP$4="Exponential",EXP(IF(AND(ISNUMBER('Council Entry'!AP$8),ISNUMBER('Council Entry'!AP$9)),MAX(MIN('Council Entry'!AP33,'Council Entry'!AP$9),'Council Entry'!AP$8),'Council Entry'!AP33)),IF(AND(ISNUMBER('Council Entry'!AP$8),ISNUMBER('Council Entry'!AP$9)),MAX(MIN('Council Entry'!AP33,'Council Entry'!AP$9),'Council Entry'!AP$8),'Council Entry'!AP33))))-'Council Entry'!AP$5)/('Council Entry'!AP$6-'Council Entry'!AP$5),10*((IF('Council Entry'!AP$4="Logarithm",LN(0.001+IF(AND(ISNUMBER('Council Entry'!AP$8),ISNUMBER('Council Entry'!AP$9)),MAX(MIN('Council Entry'!AP33,'Council Entry'!AP$9),'Council Entry'!AP$8),'Council Entry'!AP33)),IF('Council Entry'!AP$4="Exponential",EXP(IF(AND(ISNUMBER('Council Entry'!AP$8),ISNUMBER('Council Entry'!AP$9)),MAX(MIN('Council Entry'!AP33,'Council Entry'!AP$9),'Council Entry'!AP$8),'Council Entry'!AP33)),IF(AND(ISNUMBER('Council Entry'!AP$8),ISNUMBER('Council Entry'!AP$9)),MAX(MIN('Council Entry'!AP33,'Council Entry'!AP$9),'Council Entry'!AP$8),'Council Entry'!AP33))))-'Council Entry'!AP$5)/('Council Entry'!AP$6-'Council Entry'!AP$5)),1))),"No data"))</f>
        <v/>
      </c>
      <c r="AQ33" s="13">
        <f>IF('Council Entry'!AQ33="","",IFERROR(MAX(0,MIN(10,ROUND(IF('Council Entry'!AQ$7="Decrease Risk",10-10*((IF('Council Entry'!AQ$4="Logarithm",LN(0.001+IF(AND(ISNUMBER('Council Entry'!AQ$8),ISNUMBER('Council Entry'!AQ$9)),MAX(MIN('Council Entry'!AQ33,'Council Entry'!AQ$9),'Council Entry'!AQ$8),'Council Entry'!AQ33)),IF('Council Entry'!AQ$4="Exponential",EXP(IF(AND(ISNUMBER('Council Entry'!AQ$8),ISNUMBER('Council Entry'!AQ$9)),MAX(MIN('Council Entry'!AQ33,'Council Entry'!AQ$9),'Council Entry'!AQ$8),'Council Entry'!AQ33)),IF(AND(ISNUMBER('Council Entry'!AQ$8),ISNUMBER('Council Entry'!AQ$9)),MAX(MIN('Council Entry'!AQ33,'Council Entry'!AQ$9),'Council Entry'!AQ$8),'Council Entry'!AQ33))))-'Council Entry'!AQ$5)/('Council Entry'!AQ$6-'Council Entry'!AQ$5),10*((IF('Council Entry'!AQ$4="Logarithm",LN(0.001+IF(AND(ISNUMBER('Council Entry'!AQ$8),ISNUMBER('Council Entry'!AQ$9)),MAX(MIN('Council Entry'!AQ33,'Council Entry'!AQ$9),'Council Entry'!AQ$8),'Council Entry'!AQ33)),IF('Council Entry'!AQ$4="Exponential",EXP(IF(AND(ISNUMBER('Council Entry'!AQ$8),ISNUMBER('Council Entry'!AQ$9)),MAX(MIN('Council Entry'!AQ33,'Council Entry'!AQ$9),'Council Entry'!AQ$8),'Council Entry'!AQ33)),IF(AND(ISNUMBER('Council Entry'!AQ$8),ISNUMBER('Council Entry'!AQ$9)),MAX(MIN('Council Entry'!AQ33,'Council Entry'!AQ$9),'Council Entry'!AQ$8),'Council Entry'!AQ33))))-'Council Entry'!AQ$5)/('Council Entry'!AQ$6-'Council Entry'!AQ$5)),1))),"No data"))</f>
        <v/>
      </c>
      <c r="AR33" s="13">
        <f>IF('Council Entry'!AR33="","",IFERROR(MAX(0,MIN(10,ROUND(IF('Council Entry'!AR$7="Decrease Risk",10-10*((IF('Council Entry'!AR$4="Logarithm",LN(0.001+IF(AND(ISNUMBER('Council Entry'!AR$8),ISNUMBER('Council Entry'!AR$9)),MAX(MIN('Council Entry'!AR33,'Council Entry'!AR$9),'Council Entry'!AR$8),'Council Entry'!AR33)),IF('Council Entry'!AR$4="Exponential",EXP(IF(AND(ISNUMBER('Council Entry'!AR$8),ISNUMBER('Council Entry'!AR$9)),MAX(MIN('Council Entry'!AR33,'Council Entry'!AR$9),'Council Entry'!AR$8),'Council Entry'!AR33)),IF(AND(ISNUMBER('Council Entry'!AR$8),ISNUMBER('Council Entry'!AR$9)),MAX(MIN('Council Entry'!AR33,'Council Entry'!AR$9),'Council Entry'!AR$8),'Council Entry'!AR33))))-'Council Entry'!AR$5)/('Council Entry'!AR$6-'Council Entry'!AR$5),10*((IF('Council Entry'!AR$4="Logarithm",LN(0.001+IF(AND(ISNUMBER('Council Entry'!AR$8),ISNUMBER('Council Entry'!AR$9)),MAX(MIN('Council Entry'!AR33,'Council Entry'!AR$9),'Council Entry'!AR$8),'Council Entry'!AR33)),IF('Council Entry'!AR$4="Exponential",EXP(IF(AND(ISNUMBER('Council Entry'!AR$8),ISNUMBER('Council Entry'!AR$9)),MAX(MIN('Council Entry'!AR33,'Council Entry'!AR$9),'Council Entry'!AR$8),'Council Entry'!AR33)),IF(AND(ISNUMBER('Council Entry'!AR$8),ISNUMBER('Council Entry'!AR$9)),MAX(MIN('Council Entry'!AR33,'Council Entry'!AR$9),'Council Entry'!AR$8),'Council Entry'!AR33))))-'Council Entry'!AR$5)/('Council Entry'!AR$6-'Council Entry'!AR$5)),1))),"No data"))</f>
        <v/>
      </c>
      <c r="AS33" s="13">
        <f>IF('Council Entry'!AS33="","",IFERROR(MAX(0,MIN(10,ROUND(IF('Council Entry'!AS$7="Decrease Risk",10-10*((IF('Council Entry'!AS$4="Logarithm",LN(0.001+IF(AND(ISNUMBER('Council Entry'!AS$8),ISNUMBER('Council Entry'!AS$9)),MAX(MIN('Council Entry'!AS33,'Council Entry'!AS$9),'Council Entry'!AS$8),'Council Entry'!AS33)),IF('Council Entry'!AS$4="Exponential",EXP(IF(AND(ISNUMBER('Council Entry'!AS$8),ISNUMBER('Council Entry'!AS$9)),MAX(MIN('Council Entry'!AS33,'Council Entry'!AS$9),'Council Entry'!AS$8),'Council Entry'!AS33)),IF(AND(ISNUMBER('Council Entry'!AS$8),ISNUMBER('Council Entry'!AS$9)),MAX(MIN('Council Entry'!AS33,'Council Entry'!AS$9),'Council Entry'!AS$8),'Council Entry'!AS33))))-'Council Entry'!AS$5)/('Council Entry'!AS$6-'Council Entry'!AS$5),10*((IF('Council Entry'!AS$4="Logarithm",LN(0.001+IF(AND(ISNUMBER('Council Entry'!AS$8),ISNUMBER('Council Entry'!AS$9)),MAX(MIN('Council Entry'!AS33,'Council Entry'!AS$9),'Council Entry'!AS$8),'Council Entry'!AS33)),IF('Council Entry'!AS$4="Exponential",EXP(IF(AND(ISNUMBER('Council Entry'!AS$8),ISNUMBER('Council Entry'!AS$9)),MAX(MIN('Council Entry'!AS33,'Council Entry'!AS$9),'Council Entry'!AS$8),'Council Entry'!AS33)),IF(AND(ISNUMBER('Council Entry'!AS$8),ISNUMBER('Council Entry'!AS$9)),MAX(MIN('Council Entry'!AS33,'Council Entry'!AS$9),'Council Entry'!AS$8),'Council Entry'!AS33))))-'Council Entry'!AS$5)/('Council Entry'!AS$6-'Council Entry'!AS$5)),1))),"No data"))</f>
        <v/>
      </c>
      <c r="AT33" s="13">
        <f>IF('Council Entry'!AT33="","",IFERROR(MAX(0,MIN(10,ROUND(IF('Council Entry'!AT$7="Decrease Risk",10-10*((IF('Council Entry'!AT$4="Logarithm",LN(0.001+IF(AND(ISNUMBER('Council Entry'!AT$8),ISNUMBER('Council Entry'!AT$9)),MAX(MIN('Council Entry'!AT33,'Council Entry'!AT$9),'Council Entry'!AT$8),'Council Entry'!AT33)),IF('Council Entry'!AT$4="Exponential",EXP(IF(AND(ISNUMBER('Council Entry'!AT$8),ISNUMBER('Council Entry'!AT$9)),MAX(MIN('Council Entry'!AT33,'Council Entry'!AT$9),'Council Entry'!AT$8),'Council Entry'!AT33)),IF(AND(ISNUMBER('Council Entry'!AT$8),ISNUMBER('Council Entry'!AT$9)),MAX(MIN('Council Entry'!AT33,'Council Entry'!AT$9),'Council Entry'!AT$8),'Council Entry'!AT33))))-'Council Entry'!AT$5)/('Council Entry'!AT$6-'Council Entry'!AT$5),10*((IF('Council Entry'!AT$4="Logarithm",LN(0.001+IF(AND(ISNUMBER('Council Entry'!AT$8),ISNUMBER('Council Entry'!AT$9)),MAX(MIN('Council Entry'!AT33,'Council Entry'!AT$9),'Council Entry'!AT$8),'Council Entry'!AT33)),IF('Council Entry'!AT$4="Exponential",EXP(IF(AND(ISNUMBER('Council Entry'!AT$8),ISNUMBER('Council Entry'!AT$9)),MAX(MIN('Council Entry'!AT33,'Council Entry'!AT$9),'Council Entry'!AT$8),'Council Entry'!AT33)),IF(AND(ISNUMBER('Council Entry'!AT$8),ISNUMBER('Council Entry'!AT$9)),MAX(MIN('Council Entry'!AT33,'Council Entry'!AT$9),'Council Entry'!AT$8),'Council Entry'!AT33))))-'Council Entry'!AT$5)/('Council Entry'!AT$6-'Council Entry'!AT$5)),1))),"No data"))</f>
        <v/>
      </c>
      <c r="AU33" s="13">
        <f>IF('Council Entry'!AU33="","",IFERROR(MAX(0,MIN(10,ROUND(IF('Council Entry'!AU$7="Decrease Risk",10-10*((IF('Council Entry'!AU$4="Logarithm",LN(0.001+IF(AND(ISNUMBER('Council Entry'!AU$8),ISNUMBER('Council Entry'!AU$9)),MAX(MIN('Council Entry'!AU33,'Council Entry'!AU$9),'Council Entry'!AU$8),'Council Entry'!AU33)),IF('Council Entry'!AU$4="Exponential",EXP(IF(AND(ISNUMBER('Council Entry'!AU$8),ISNUMBER('Council Entry'!AU$9)),MAX(MIN('Council Entry'!AU33,'Council Entry'!AU$9),'Council Entry'!AU$8),'Council Entry'!AU33)),IF(AND(ISNUMBER('Council Entry'!AU$8),ISNUMBER('Council Entry'!AU$9)),MAX(MIN('Council Entry'!AU33,'Council Entry'!AU$9),'Council Entry'!AU$8),'Council Entry'!AU33))))-'Council Entry'!AU$5)/('Council Entry'!AU$6-'Council Entry'!AU$5),10*((IF('Council Entry'!AU$4="Logarithm",LN(0.001+IF(AND(ISNUMBER('Council Entry'!AU$8),ISNUMBER('Council Entry'!AU$9)),MAX(MIN('Council Entry'!AU33,'Council Entry'!AU$9),'Council Entry'!AU$8),'Council Entry'!AU33)),IF('Council Entry'!AU$4="Exponential",EXP(IF(AND(ISNUMBER('Council Entry'!AU$8),ISNUMBER('Council Entry'!AU$9)),MAX(MIN('Council Entry'!AU33,'Council Entry'!AU$9),'Council Entry'!AU$8),'Council Entry'!AU33)),IF(AND(ISNUMBER('Council Entry'!AU$8),ISNUMBER('Council Entry'!AU$9)),MAX(MIN('Council Entry'!AU33,'Council Entry'!AU$9),'Council Entry'!AU$8),'Council Entry'!AU33))))-'Council Entry'!AU$5)/('Council Entry'!AU$6-'Council Entry'!AU$5)),1))),"No data"))</f>
        <v/>
      </c>
      <c r="AV33" s="13">
        <f>IF('Council Entry'!AV33="","",IFERROR(MAX(0,MIN(10,ROUND(IF('Council Entry'!AV$7="Decrease Risk",10-10*((IF('Council Entry'!AV$4="Logarithm",LN(0.001+IF(AND(ISNUMBER('Council Entry'!AV$8),ISNUMBER('Council Entry'!AV$9)),MAX(MIN('Council Entry'!AV33,'Council Entry'!AV$9),'Council Entry'!AV$8),'Council Entry'!AV33)),IF('Council Entry'!AV$4="Exponential",EXP(IF(AND(ISNUMBER('Council Entry'!AV$8),ISNUMBER('Council Entry'!AV$9)),MAX(MIN('Council Entry'!AV33,'Council Entry'!AV$9),'Council Entry'!AV$8),'Council Entry'!AV33)),IF(AND(ISNUMBER('Council Entry'!AV$8),ISNUMBER('Council Entry'!AV$9)),MAX(MIN('Council Entry'!AV33,'Council Entry'!AV$9),'Council Entry'!AV$8),'Council Entry'!AV33))))-'Council Entry'!AV$5)/('Council Entry'!AV$6-'Council Entry'!AV$5),10*((IF('Council Entry'!AV$4="Logarithm",LN(0.001+IF(AND(ISNUMBER('Council Entry'!AV$8),ISNUMBER('Council Entry'!AV$9)),MAX(MIN('Council Entry'!AV33,'Council Entry'!AV$9),'Council Entry'!AV$8),'Council Entry'!AV33)),IF('Council Entry'!AV$4="Exponential",EXP(IF(AND(ISNUMBER('Council Entry'!AV$8),ISNUMBER('Council Entry'!AV$9)),MAX(MIN('Council Entry'!AV33,'Council Entry'!AV$9),'Council Entry'!AV$8),'Council Entry'!AV33)),IF(AND(ISNUMBER('Council Entry'!AV$8),ISNUMBER('Council Entry'!AV$9)),MAX(MIN('Council Entry'!AV33,'Council Entry'!AV$9),'Council Entry'!AV$8),'Council Entry'!AV33))))-'Council Entry'!AV$5)/('Council Entry'!AV$6-'Council Entry'!AV$5)),1))),"No data"))</f>
        <v/>
      </c>
      <c r="AW33" s="13">
        <f>IF('Council Entry'!AW33="","",IFERROR(MAX(0,MIN(10,ROUND(IF('Council Entry'!AW$7="Decrease Risk",10-10*((IF('Council Entry'!AW$4="Logarithm",LN(0.001+IF(AND(ISNUMBER('Council Entry'!AW$8),ISNUMBER('Council Entry'!AW$9)),MAX(MIN('Council Entry'!AW33,'Council Entry'!AW$9),'Council Entry'!AW$8),'Council Entry'!AW33)),IF('Council Entry'!AW$4="Exponential",EXP(IF(AND(ISNUMBER('Council Entry'!AW$8),ISNUMBER('Council Entry'!AW$9)),MAX(MIN('Council Entry'!AW33,'Council Entry'!AW$9),'Council Entry'!AW$8),'Council Entry'!AW33)),IF(AND(ISNUMBER('Council Entry'!AW$8),ISNUMBER('Council Entry'!AW$9)),MAX(MIN('Council Entry'!AW33,'Council Entry'!AW$9),'Council Entry'!AW$8),'Council Entry'!AW33))))-'Council Entry'!AW$5)/('Council Entry'!AW$6-'Council Entry'!AW$5),10*((IF('Council Entry'!AW$4="Logarithm",LN(0.001+IF(AND(ISNUMBER('Council Entry'!AW$8),ISNUMBER('Council Entry'!AW$9)),MAX(MIN('Council Entry'!AW33,'Council Entry'!AW$9),'Council Entry'!AW$8),'Council Entry'!AW33)),IF('Council Entry'!AW$4="Exponential",EXP(IF(AND(ISNUMBER('Council Entry'!AW$8),ISNUMBER('Council Entry'!AW$9)),MAX(MIN('Council Entry'!AW33,'Council Entry'!AW$9),'Council Entry'!AW$8),'Council Entry'!AW33)),IF(AND(ISNUMBER('Council Entry'!AW$8),ISNUMBER('Council Entry'!AW$9)),MAX(MIN('Council Entry'!AW33,'Council Entry'!AW$9),'Council Entry'!AW$8),'Council Entry'!AW33))))-'Council Entry'!AW$5)/('Council Entry'!AW$6-'Council Entry'!AW$5)),1))),"No data"))</f>
        <v/>
      </c>
      <c r="AX33" s="13">
        <f>IF('Council Entry'!AX33="","",IFERROR(MAX(0,MIN(10,ROUND(IF('Council Entry'!AX$7="Decrease Risk",10-10*((IF('Council Entry'!AX$4="Logarithm",LN(0.001+IF(AND(ISNUMBER('Council Entry'!AX$8),ISNUMBER('Council Entry'!AX$9)),MAX(MIN('Council Entry'!AX33,'Council Entry'!AX$9),'Council Entry'!AX$8),'Council Entry'!AX33)),IF('Council Entry'!AX$4="Exponential",EXP(IF(AND(ISNUMBER('Council Entry'!AX$8),ISNUMBER('Council Entry'!AX$9)),MAX(MIN('Council Entry'!AX33,'Council Entry'!AX$9),'Council Entry'!AX$8),'Council Entry'!AX33)),IF(AND(ISNUMBER('Council Entry'!AX$8),ISNUMBER('Council Entry'!AX$9)),MAX(MIN('Council Entry'!AX33,'Council Entry'!AX$9),'Council Entry'!AX$8),'Council Entry'!AX33))))-'Council Entry'!AX$5)/('Council Entry'!AX$6-'Council Entry'!AX$5),10*((IF('Council Entry'!AX$4="Logarithm",LN(0.001+IF(AND(ISNUMBER('Council Entry'!AX$8),ISNUMBER('Council Entry'!AX$9)),MAX(MIN('Council Entry'!AX33,'Council Entry'!AX$9),'Council Entry'!AX$8),'Council Entry'!AX33)),IF('Council Entry'!AX$4="Exponential",EXP(IF(AND(ISNUMBER('Council Entry'!AX$8),ISNUMBER('Council Entry'!AX$9)),MAX(MIN('Council Entry'!AX33,'Council Entry'!AX$9),'Council Entry'!AX$8),'Council Entry'!AX33)),IF(AND(ISNUMBER('Council Entry'!AX$8),ISNUMBER('Council Entry'!AX$9)),MAX(MIN('Council Entry'!AX33,'Council Entry'!AX$9),'Council Entry'!AX$8),'Council Entry'!AX33))))-'Council Entry'!AX$5)/('Council Entry'!AX$6-'Council Entry'!AX$5)),1))),"No data"))</f>
        <v/>
      </c>
      <c r="AY33" s="13">
        <f>IF('Council Entry'!AY33="","",IFERROR(MAX(0,MIN(10,ROUND(IF('Council Entry'!AY$7="Decrease Risk",10-10*((IF('Council Entry'!AY$4="Logarithm",LN(0.001+IF(AND(ISNUMBER('Council Entry'!AY$8),ISNUMBER('Council Entry'!AY$9)),MAX(MIN('Council Entry'!AY33,'Council Entry'!AY$9),'Council Entry'!AY$8),'Council Entry'!AY33)),IF('Council Entry'!AY$4="Exponential",EXP(IF(AND(ISNUMBER('Council Entry'!AY$8),ISNUMBER('Council Entry'!AY$9)),MAX(MIN('Council Entry'!AY33,'Council Entry'!AY$9),'Council Entry'!AY$8),'Council Entry'!AY33)),IF(AND(ISNUMBER('Council Entry'!AY$8),ISNUMBER('Council Entry'!AY$9)),MAX(MIN('Council Entry'!AY33,'Council Entry'!AY$9),'Council Entry'!AY$8),'Council Entry'!AY33))))-'Council Entry'!AY$5)/('Council Entry'!AY$6-'Council Entry'!AY$5),10*((IF('Council Entry'!AY$4="Logarithm",LN(0.001+IF(AND(ISNUMBER('Council Entry'!AY$8),ISNUMBER('Council Entry'!AY$9)),MAX(MIN('Council Entry'!AY33,'Council Entry'!AY$9),'Council Entry'!AY$8),'Council Entry'!AY33)),IF('Council Entry'!AY$4="Exponential",EXP(IF(AND(ISNUMBER('Council Entry'!AY$8),ISNUMBER('Council Entry'!AY$9)),MAX(MIN('Council Entry'!AY33,'Council Entry'!AY$9),'Council Entry'!AY$8),'Council Entry'!AY33)),IF(AND(ISNUMBER('Council Entry'!AY$8),ISNUMBER('Council Entry'!AY$9)),MAX(MIN('Council Entry'!AY33,'Council Entry'!AY$9),'Council Entry'!AY$8),'Council Entry'!AY33))))-'Council Entry'!AY$5)/('Council Entry'!AY$6-'Council Entry'!AY$5)),1))),"No data"))</f>
        <v/>
      </c>
      <c r="AZ33" s="13">
        <f>IF('Council Entry'!AZ33="","",IFERROR(MAX(0,MIN(10,ROUND(IF('Council Entry'!AZ$7="Decrease Risk",10-10*((IF('Council Entry'!AZ$4="Logarithm",LN(0.001+IF(AND(ISNUMBER('Council Entry'!AZ$8),ISNUMBER('Council Entry'!AZ$9)),MAX(MIN('Council Entry'!AZ33,'Council Entry'!AZ$9),'Council Entry'!AZ$8),'Council Entry'!AZ33)),IF('Council Entry'!AZ$4="Exponential",EXP(IF(AND(ISNUMBER('Council Entry'!AZ$8),ISNUMBER('Council Entry'!AZ$9)),MAX(MIN('Council Entry'!AZ33,'Council Entry'!AZ$9),'Council Entry'!AZ$8),'Council Entry'!AZ33)),IF(AND(ISNUMBER('Council Entry'!AZ$8),ISNUMBER('Council Entry'!AZ$9)),MAX(MIN('Council Entry'!AZ33,'Council Entry'!AZ$9),'Council Entry'!AZ$8),'Council Entry'!AZ33))))-'Council Entry'!AZ$5)/('Council Entry'!AZ$6-'Council Entry'!AZ$5),10*((IF('Council Entry'!AZ$4="Logarithm",LN(0.001+IF(AND(ISNUMBER('Council Entry'!AZ$8),ISNUMBER('Council Entry'!AZ$9)),MAX(MIN('Council Entry'!AZ33,'Council Entry'!AZ$9),'Council Entry'!AZ$8),'Council Entry'!AZ33)),IF('Council Entry'!AZ$4="Exponential",EXP(IF(AND(ISNUMBER('Council Entry'!AZ$8),ISNUMBER('Council Entry'!AZ$9)),MAX(MIN('Council Entry'!AZ33,'Council Entry'!AZ$9),'Council Entry'!AZ$8),'Council Entry'!AZ33)),IF(AND(ISNUMBER('Council Entry'!AZ$8),ISNUMBER('Council Entry'!AZ$9)),MAX(MIN('Council Entry'!AZ33,'Council Entry'!AZ$9),'Council Entry'!AZ$8),'Council Entry'!AZ33))))-'Council Entry'!AZ$5)/('Council Entry'!AZ$6-'Council Entry'!AZ$5)),1))),"No data"))</f>
        <v/>
      </c>
      <c r="BA33" s="13">
        <f>IF('Council Entry'!BA33="","",IFERROR(MAX(0,MIN(10,ROUND(IF('Council Entry'!BA$7="Decrease Risk",10-10*((IF('Council Entry'!BA$4="Logarithm",LN(0.001+IF(AND(ISNUMBER('Council Entry'!BA$8),ISNUMBER('Council Entry'!BA$9)),MAX(MIN('Council Entry'!BA33,'Council Entry'!BA$9),'Council Entry'!BA$8),'Council Entry'!BA33)),IF('Council Entry'!BA$4="Exponential",EXP(IF(AND(ISNUMBER('Council Entry'!BA$8),ISNUMBER('Council Entry'!BA$9)),MAX(MIN('Council Entry'!BA33,'Council Entry'!BA$9),'Council Entry'!BA$8),'Council Entry'!BA33)),IF(AND(ISNUMBER('Council Entry'!BA$8),ISNUMBER('Council Entry'!BA$9)),MAX(MIN('Council Entry'!BA33,'Council Entry'!BA$9),'Council Entry'!BA$8),'Council Entry'!BA33))))-'Council Entry'!BA$5)/('Council Entry'!BA$6-'Council Entry'!BA$5),10*((IF('Council Entry'!BA$4="Logarithm",LN(0.001+IF(AND(ISNUMBER('Council Entry'!BA$8),ISNUMBER('Council Entry'!BA$9)),MAX(MIN('Council Entry'!BA33,'Council Entry'!BA$9),'Council Entry'!BA$8),'Council Entry'!BA33)),IF('Council Entry'!BA$4="Exponential",EXP(IF(AND(ISNUMBER('Council Entry'!BA$8),ISNUMBER('Council Entry'!BA$9)),MAX(MIN('Council Entry'!BA33,'Council Entry'!BA$9),'Council Entry'!BA$8),'Council Entry'!BA33)),IF(AND(ISNUMBER('Council Entry'!BA$8),ISNUMBER('Council Entry'!BA$9)),MAX(MIN('Council Entry'!BA33,'Council Entry'!BA$9),'Council Entry'!BA$8),'Council Entry'!BA33))))-'Council Entry'!BA$5)/('Council Entry'!BA$6-'Council Entry'!BA$5)),1))),"No data"))</f>
        <v/>
      </c>
      <c r="BB33" s="13">
        <f>IF('Council Entry'!BB33="","",IFERROR(MAX(0,MIN(10,ROUND(IF('Council Entry'!BB$7="Decrease Risk",10-10*((IF('Council Entry'!BB$4="Logarithm",LN(0.001+IF(AND(ISNUMBER('Council Entry'!BB$8),ISNUMBER('Council Entry'!BB$9)),MAX(MIN('Council Entry'!BB33,'Council Entry'!BB$9),'Council Entry'!BB$8),'Council Entry'!BB33)),IF('Council Entry'!BB$4="Exponential",EXP(IF(AND(ISNUMBER('Council Entry'!BB$8),ISNUMBER('Council Entry'!BB$9)),MAX(MIN('Council Entry'!BB33,'Council Entry'!BB$9),'Council Entry'!BB$8),'Council Entry'!BB33)),IF(AND(ISNUMBER('Council Entry'!BB$8),ISNUMBER('Council Entry'!BB$9)),MAX(MIN('Council Entry'!BB33,'Council Entry'!BB$9),'Council Entry'!BB$8),'Council Entry'!BB33))))-'Council Entry'!BB$5)/('Council Entry'!BB$6-'Council Entry'!BB$5),10*((IF('Council Entry'!BB$4="Logarithm",LN(0.001+IF(AND(ISNUMBER('Council Entry'!BB$8),ISNUMBER('Council Entry'!BB$9)),MAX(MIN('Council Entry'!BB33,'Council Entry'!BB$9),'Council Entry'!BB$8),'Council Entry'!BB33)),IF('Council Entry'!BB$4="Exponential",EXP(IF(AND(ISNUMBER('Council Entry'!BB$8),ISNUMBER('Council Entry'!BB$9)),MAX(MIN('Council Entry'!BB33,'Council Entry'!BB$9),'Council Entry'!BB$8),'Council Entry'!BB33)),IF(AND(ISNUMBER('Council Entry'!BB$8),ISNUMBER('Council Entry'!BB$9)),MAX(MIN('Council Entry'!BB33,'Council Entry'!BB$9),'Council Entry'!BB$8),'Council Entry'!BB33))))-'Council Entry'!BB$5)/('Council Entry'!BB$6-'Council Entry'!BB$5)),1))),"No data"))</f>
        <v/>
      </c>
      <c r="BC33" s="13">
        <f>IF('Council Entry'!BC33="","",IFERROR(MAX(0,MIN(10,ROUND(IF('Council Entry'!BC$7="Decrease Risk",10-10*((IF('Council Entry'!BC$4="Logarithm",LN(0.001+IF(AND(ISNUMBER('Council Entry'!BC$8),ISNUMBER('Council Entry'!BC$9)),MAX(MIN('Council Entry'!BC33,'Council Entry'!BC$9),'Council Entry'!BC$8),'Council Entry'!BC33)),IF('Council Entry'!BC$4="Exponential",EXP(IF(AND(ISNUMBER('Council Entry'!BC$8),ISNUMBER('Council Entry'!BC$9)),MAX(MIN('Council Entry'!BC33,'Council Entry'!BC$9),'Council Entry'!BC$8),'Council Entry'!BC33)),IF(AND(ISNUMBER('Council Entry'!BC$8),ISNUMBER('Council Entry'!BC$9)),MAX(MIN('Council Entry'!BC33,'Council Entry'!BC$9),'Council Entry'!BC$8),'Council Entry'!BC33))))-'Council Entry'!BC$5)/('Council Entry'!BC$6-'Council Entry'!BC$5),10*((IF('Council Entry'!BC$4="Logarithm",LN(0.001+IF(AND(ISNUMBER('Council Entry'!BC$8),ISNUMBER('Council Entry'!BC$9)),MAX(MIN('Council Entry'!BC33,'Council Entry'!BC$9),'Council Entry'!BC$8),'Council Entry'!BC33)),IF('Council Entry'!BC$4="Exponential",EXP(IF(AND(ISNUMBER('Council Entry'!BC$8),ISNUMBER('Council Entry'!BC$9)),MAX(MIN('Council Entry'!BC33,'Council Entry'!BC$9),'Council Entry'!BC$8),'Council Entry'!BC33)),IF(AND(ISNUMBER('Council Entry'!BC$8),ISNUMBER('Council Entry'!BC$9)),MAX(MIN('Council Entry'!BC33,'Council Entry'!BC$9),'Council Entry'!BC$8),'Council Entry'!BC33))))-'Council Entry'!BC$5)/('Council Entry'!BC$6-'Council Entry'!BC$5)),1))),"No data"))</f>
        <v/>
      </c>
      <c r="BD33" s="13">
        <f>IF('Council Entry'!BD33="","",IFERROR(MAX(0,MIN(10,ROUND(IF('Council Entry'!BD$7="Decrease Risk",10-10*((IF('Council Entry'!BD$4="Logarithm",LN(0.001+IF(AND(ISNUMBER('Council Entry'!BD$8),ISNUMBER('Council Entry'!BD$9)),MAX(MIN('Council Entry'!BD33,'Council Entry'!BD$9),'Council Entry'!BD$8),'Council Entry'!BD33)),IF('Council Entry'!BD$4="Exponential",EXP(IF(AND(ISNUMBER('Council Entry'!BD$8),ISNUMBER('Council Entry'!BD$9)),MAX(MIN('Council Entry'!BD33,'Council Entry'!BD$9),'Council Entry'!BD$8),'Council Entry'!BD33)),IF(AND(ISNUMBER('Council Entry'!BD$8),ISNUMBER('Council Entry'!BD$9)),MAX(MIN('Council Entry'!BD33,'Council Entry'!BD$9),'Council Entry'!BD$8),'Council Entry'!BD33))))-'Council Entry'!BD$5)/('Council Entry'!BD$6-'Council Entry'!BD$5),10*((IF('Council Entry'!BD$4="Logarithm",LN(0.001+IF(AND(ISNUMBER('Council Entry'!BD$8),ISNUMBER('Council Entry'!BD$9)),MAX(MIN('Council Entry'!BD33,'Council Entry'!BD$9),'Council Entry'!BD$8),'Council Entry'!BD33)),IF('Council Entry'!BD$4="Exponential",EXP(IF(AND(ISNUMBER('Council Entry'!BD$8),ISNUMBER('Council Entry'!BD$9)),MAX(MIN('Council Entry'!BD33,'Council Entry'!BD$9),'Council Entry'!BD$8),'Council Entry'!BD33)),IF(AND(ISNUMBER('Council Entry'!BD$8),ISNUMBER('Council Entry'!BD$9)),MAX(MIN('Council Entry'!BD33,'Council Entry'!BD$9),'Council Entry'!BD$8),'Council Entry'!BD33))))-'Council Entry'!BD$5)/('Council Entry'!BD$6-'Council Entry'!BD$5)),1))),"No data"))</f>
        <v/>
      </c>
    </row>
    <row r="34">
      <c r="A34" t="inlineStr">
        <is>
          <t>Geita</t>
        </is>
      </c>
      <c r="B34" t="inlineStr">
        <is>
          <t>Geita Town</t>
        </is>
      </c>
      <c r="C34" t="inlineStr">
        <is>
          <t>C175</t>
        </is>
      </c>
      <c r="D34" s="13">
        <f>IF('Council Entry'!D34="","",IFERROR(MAX(0,MIN(10,ROUND(IF('Council Entry'!D$7="Decrease Risk",10-10*((IF('Council Entry'!D$4="Logarithm",LN(0.001+IF(AND(ISNUMBER('Council Entry'!D$8),ISNUMBER('Council Entry'!D$9)),MAX(MIN('Council Entry'!D34,'Council Entry'!D$9),'Council Entry'!D$8),'Council Entry'!D34)),IF('Council Entry'!D$4="Exponential",EXP(IF(AND(ISNUMBER('Council Entry'!D$8),ISNUMBER('Council Entry'!D$9)),MAX(MIN('Council Entry'!D34,'Council Entry'!D$9),'Council Entry'!D$8),'Council Entry'!D34)),IF(AND(ISNUMBER('Council Entry'!D$8),ISNUMBER('Council Entry'!D$9)),MAX(MIN('Council Entry'!D34,'Council Entry'!D$9),'Council Entry'!D$8),'Council Entry'!D34))))-'Council Entry'!D$5)/('Council Entry'!D$6-'Council Entry'!D$5),10*((IF('Council Entry'!D$4="Logarithm",LN(0.001+IF(AND(ISNUMBER('Council Entry'!D$8),ISNUMBER('Council Entry'!D$9)),MAX(MIN('Council Entry'!D34,'Council Entry'!D$9),'Council Entry'!D$8),'Council Entry'!D34)),IF('Council Entry'!D$4="Exponential",EXP(IF(AND(ISNUMBER('Council Entry'!D$8),ISNUMBER('Council Entry'!D$9)),MAX(MIN('Council Entry'!D34,'Council Entry'!D$9),'Council Entry'!D$8),'Council Entry'!D34)),IF(AND(ISNUMBER('Council Entry'!D$8),ISNUMBER('Council Entry'!D$9)),MAX(MIN('Council Entry'!D34,'Council Entry'!D$9),'Council Entry'!D$8),'Council Entry'!D34))))-'Council Entry'!D$5)/('Council Entry'!D$6-'Council Entry'!D$5)),1))),"No data"))</f>
        <v/>
      </c>
      <c r="E34" s="13">
        <f>IF('Council Entry'!E34="","",IFERROR(MAX(0,MIN(10,ROUND(IF('Council Entry'!E$7="Decrease Risk",10-10*((IF('Council Entry'!E$4="Logarithm",LN(0.001+IF(AND(ISNUMBER('Council Entry'!E$8),ISNUMBER('Council Entry'!E$9)),MAX(MIN('Council Entry'!E34,'Council Entry'!E$9),'Council Entry'!E$8),'Council Entry'!E34)),IF('Council Entry'!E$4="Exponential",EXP(IF(AND(ISNUMBER('Council Entry'!E$8),ISNUMBER('Council Entry'!E$9)),MAX(MIN('Council Entry'!E34,'Council Entry'!E$9),'Council Entry'!E$8),'Council Entry'!E34)),IF(AND(ISNUMBER('Council Entry'!E$8),ISNUMBER('Council Entry'!E$9)),MAX(MIN('Council Entry'!E34,'Council Entry'!E$9),'Council Entry'!E$8),'Council Entry'!E34))))-'Council Entry'!E$5)/('Council Entry'!E$6-'Council Entry'!E$5),10*((IF('Council Entry'!E$4="Logarithm",LN(0.001+IF(AND(ISNUMBER('Council Entry'!E$8),ISNUMBER('Council Entry'!E$9)),MAX(MIN('Council Entry'!E34,'Council Entry'!E$9),'Council Entry'!E$8),'Council Entry'!E34)),IF('Council Entry'!E$4="Exponential",EXP(IF(AND(ISNUMBER('Council Entry'!E$8),ISNUMBER('Council Entry'!E$9)),MAX(MIN('Council Entry'!E34,'Council Entry'!E$9),'Council Entry'!E$8),'Council Entry'!E34)),IF(AND(ISNUMBER('Council Entry'!E$8),ISNUMBER('Council Entry'!E$9)),MAX(MIN('Council Entry'!E34,'Council Entry'!E$9),'Council Entry'!E$8),'Council Entry'!E34))))-'Council Entry'!E$5)/('Council Entry'!E$6-'Council Entry'!E$5)),1))),"No data"))</f>
        <v/>
      </c>
      <c r="F34" s="13">
        <f>IF('Council Entry'!F34="","",IFERROR(MAX(0,MIN(10,ROUND(IF('Council Entry'!F$7="Decrease Risk",10-10*((IF('Council Entry'!F$4="Logarithm",LN(0.001+IF(AND(ISNUMBER('Council Entry'!F$8),ISNUMBER('Council Entry'!F$9)),MAX(MIN('Council Entry'!F34,'Council Entry'!F$9),'Council Entry'!F$8),'Council Entry'!F34)),IF('Council Entry'!F$4="Exponential",EXP(IF(AND(ISNUMBER('Council Entry'!F$8),ISNUMBER('Council Entry'!F$9)),MAX(MIN('Council Entry'!F34,'Council Entry'!F$9),'Council Entry'!F$8),'Council Entry'!F34)),IF(AND(ISNUMBER('Council Entry'!F$8),ISNUMBER('Council Entry'!F$9)),MAX(MIN('Council Entry'!F34,'Council Entry'!F$9),'Council Entry'!F$8),'Council Entry'!F34))))-'Council Entry'!F$5)/('Council Entry'!F$6-'Council Entry'!F$5),10*((IF('Council Entry'!F$4="Logarithm",LN(0.001+IF(AND(ISNUMBER('Council Entry'!F$8),ISNUMBER('Council Entry'!F$9)),MAX(MIN('Council Entry'!F34,'Council Entry'!F$9),'Council Entry'!F$8),'Council Entry'!F34)),IF('Council Entry'!F$4="Exponential",EXP(IF(AND(ISNUMBER('Council Entry'!F$8),ISNUMBER('Council Entry'!F$9)),MAX(MIN('Council Entry'!F34,'Council Entry'!F$9),'Council Entry'!F$8),'Council Entry'!F34)),IF(AND(ISNUMBER('Council Entry'!F$8),ISNUMBER('Council Entry'!F$9)),MAX(MIN('Council Entry'!F34,'Council Entry'!F$9),'Council Entry'!F$8),'Council Entry'!F34))))-'Council Entry'!F$5)/('Council Entry'!F$6-'Council Entry'!F$5)),1))),"No data"))</f>
        <v/>
      </c>
      <c r="G34" s="13">
        <f>IF('Council Entry'!G34="","",IFERROR(MAX(0,MIN(10,ROUND(IF('Council Entry'!G$7="Decrease Risk",10-10*((IF('Council Entry'!G$4="Logarithm",LN(0.001+IF(AND(ISNUMBER('Council Entry'!G$8),ISNUMBER('Council Entry'!G$9)),MAX(MIN('Council Entry'!G34,'Council Entry'!G$9),'Council Entry'!G$8),'Council Entry'!G34)),IF('Council Entry'!G$4="Exponential",EXP(IF(AND(ISNUMBER('Council Entry'!G$8),ISNUMBER('Council Entry'!G$9)),MAX(MIN('Council Entry'!G34,'Council Entry'!G$9),'Council Entry'!G$8),'Council Entry'!G34)),IF(AND(ISNUMBER('Council Entry'!G$8),ISNUMBER('Council Entry'!G$9)),MAX(MIN('Council Entry'!G34,'Council Entry'!G$9),'Council Entry'!G$8),'Council Entry'!G34))))-'Council Entry'!G$5)/('Council Entry'!G$6-'Council Entry'!G$5),10*((IF('Council Entry'!G$4="Logarithm",LN(0.001+IF(AND(ISNUMBER('Council Entry'!G$8),ISNUMBER('Council Entry'!G$9)),MAX(MIN('Council Entry'!G34,'Council Entry'!G$9),'Council Entry'!G$8),'Council Entry'!G34)),IF('Council Entry'!G$4="Exponential",EXP(IF(AND(ISNUMBER('Council Entry'!G$8),ISNUMBER('Council Entry'!G$9)),MAX(MIN('Council Entry'!G34,'Council Entry'!G$9),'Council Entry'!G$8),'Council Entry'!G34)),IF(AND(ISNUMBER('Council Entry'!G$8),ISNUMBER('Council Entry'!G$9)),MAX(MIN('Council Entry'!G34,'Council Entry'!G$9),'Council Entry'!G$8),'Council Entry'!G34))))-'Council Entry'!G$5)/('Council Entry'!G$6-'Council Entry'!G$5)),1))),"No data"))</f>
        <v/>
      </c>
      <c r="H34" s="13">
        <f>IF('Council Entry'!H34="","",IFERROR(MAX(0,MIN(10,ROUND(IF('Council Entry'!H$7="Decrease Risk",10-10*((IF('Council Entry'!H$4="Logarithm",LN(0.001+IF(AND(ISNUMBER('Council Entry'!H$8),ISNUMBER('Council Entry'!H$9)),MAX(MIN('Council Entry'!H34,'Council Entry'!H$9),'Council Entry'!H$8),'Council Entry'!H34)),IF('Council Entry'!H$4="Exponential",EXP(IF(AND(ISNUMBER('Council Entry'!H$8),ISNUMBER('Council Entry'!H$9)),MAX(MIN('Council Entry'!H34,'Council Entry'!H$9),'Council Entry'!H$8),'Council Entry'!H34)),IF(AND(ISNUMBER('Council Entry'!H$8),ISNUMBER('Council Entry'!H$9)),MAX(MIN('Council Entry'!H34,'Council Entry'!H$9),'Council Entry'!H$8),'Council Entry'!H34))))-'Council Entry'!H$5)/('Council Entry'!H$6-'Council Entry'!H$5),10*((IF('Council Entry'!H$4="Logarithm",LN(0.001+IF(AND(ISNUMBER('Council Entry'!H$8),ISNUMBER('Council Entry'!H$9)),MAX(MIN('Council Entry'!H34,'Council Entry'!H$9),'Council Entry'!H$8),'Council Entry'!H34)),IF('Council Entry'!H$4="Exponential",EXP(IF(AND(ISNUMBER('Council Entry'!H$8),ISNUMBER('Council Entry'!H$9)),MAX(MIN('Council Entry'!H34,'Council Entry'!H$9),'Council Entry'!H$8),'Council Entry'!H34)),IF(AND(ISNUMBER('Council Entry'!H$8),ISNUMBER('Council Entry'!H$9)),MAX(MIN('Council Entry'!H34,'Council Entry'!H$9),'Council Entry'!H$8),'Council Entry'!H34))))-'Council Entry'!H$5)/('Council Entry'!H$6-'Council Entry'!H$5)),1))),"No data"))</f>
        <v/>
      </c>
      <c r="I34" s="13">
        <f>IF('Council Entry'!I34="","",IFERROR(MAX(0,MIN(10,ROUND(IF('Council Entry'!I$7="Decrease Risk",10-10*((IF('Council Entry'!I$4="Logarithm",LN(0.001+IF(AND(ISNUMBER('Council Entry'!I$8),ISNUMBER('Council Entry'!I$9)),MAX(MIN('Council Entry'!I34,'Council Entry'!I$9),'Council Entry'!I$8),'Council Entry'!I34)),IF('Council Entry'!I$4="Exponential",EXP(IF(AND(ISNUMBER('Council Entry'!I$8),ISNUMBER('Council Entry'!I$9)),MAX(MIN('Council Entry'!I34,'Council Entry'!I$9),'Council Entry'!I$8),'Council Entry'!I34)),IF(AND(ISNUMBER('Council Entry'!I$8),ISNUMBER('Council Entry'!I$9)),MAX(MIN('Council Entry'!I34,'Council Entry'!I$9),'Council Entry'!I$8),'Council Entry'!I34))))-'Council Entry'!I$5)/('Council Entry'!I$6-'Council Entry'!I$5),10*((IF('Council Entry'!I$4="Logarithm",LN(0.001+IF(AND(ISNUMBER('Council Entry'!I$8),ISNUMBER('Council Entry'!I$9)),MAX(MIN('Council Entry'!I34,'Council Entry'!I$9),'Council Entry'!I$8),'Council Entry'!I34)),IF('Council Entry'!I$4="Exponential",EXP(IF(AND(ISNUMBER('Council Entry'!I$8),ISNUMBER('Council Entry'!I$9)),MAX(MIN('Council Entry'!I34,'Council Entry'!I$9),'Council Entry'!I$8),'Council Entry'!I34)),IF(AND(ISNUMBER('Council Entry'!I$8),ISNUMBER('Council Entry'!I$9)),MAX(MIN('Council Entry'!I34,'Council Entry'!I$9),'Council Entry'!I$8),'Council Entry'!I34))))-'Council Entry'!I$5)/('Council Entry'!I$6-'Council Entry'!I$5)),1))),"No data"))</f>
        <v/>
      </c>
      <c r="J34" s="13">
        <f>IF('Council Entry'!J34="","",IFERROR(MAX(0,MIN(10,ROUND(IF('Council Entry'!J$7="Decrease Risk",10-10*((IF('Council Entry'!J$4="Logarithm",LN(0.001+IF(AND(ISNUMBER('Council Entry'!J$8),ISNUMBER('Council Entry'!J$9)),MAX(MIN('Council Entry'!J34,'Council Entry'!J$9),'Council Entry'!J$8),'Council Entry'!J34)),IF('Council Entry'!J$4="Exponential",EXP(IF(AND(ISNUMBER('Council Entry'!J$8),ISNUMBER('Council Entry'!J$9)),MAX(MIN('Council Entry'!J34,'Council Entry'!J$9),'Council Entry'!J$8),'Council Entry'!J34)),IF(AND(ISNUMBER('Council Entry'!J$8),ISNUMBER('Council Entry'!J$9)),MAX(MIN('Council Entry'!J34,'Council Entry'!J$9),'Council Entry'!J$8),'Council Entry'!J34))))-'Council Entry'!J$5)/('Council Entry'!J$6-'Council Entry'!J$5),10*((IF('Council Entry'!J$4="Logarithm",LN(0.001+IF(AND(ISNUMBER('Council Entry'!J$8),ISNUMBER('Council Entry'!J$9)),MAX(MIN('Council Entry'!J34,'Council Entry'!J$9),'Council Entry'!J$8),'Council Entry'!J34)),IF('Council Entry'!J$4="Exponential",EXP(IF(AND(ISNUMBER('Council Entry'!J$8),ISNUMBER('Council Entry'!J$9)),MAX(MIN('Council Entry'!J34,'Council Entry'!J$9),'Council Entry'!J$8),'Council Entry'!J34)),IF(AND(ISNUMBER('Council Entry'!J$8),ISNUMBER('Council Entry'!J$9)),MAX(MIN('Council Entry'!J34,'Council Entry'!J$9),'Council Entry'!J$8),'Council Entry'!J34))))-'Council Entry'!J$5)/('Council Entry'!J$6-'Council Entry'!J$5)),1))),"No data"))</f>
        <v/>
      </c>
      <c r="K34" s="13">
        <f>IF('Council Entry'!K34="","",IFERROR(MAX(0,MIN(10,ROUND(IF('Council Entry'!K$7="Decrease Risk",10-10*((IF('Council Entry'!K$4="Logarithm",LN(0.001+IF(AND(ISNUMBER('Council Entry'!K$8),ISNUMBER('Council Entry'!K$9)),MAX(MIN('Council Entry'!K34,'Council Entry'!K$9),'Council Entry'!K$8),'Council Entry'!K34)),IF('Council Entry'!K$4="Exponential",EXP(IF(AND(ISNUMBER('Council Entry'!K$8),ISNUMBER('Council Entry'!K$9)),MAX(MIN('Council Entry'!K34,'Council Entry'!K$9),'Council Entry'!K$8),'Council Entry'!K34)),IF(AND(ISNUMBER('Council Entry'!K$8),ISNUMBER('Council Entry'!K$9)),MAX(MIN('Council Entry'!K34,'Council Entry'!K$9),'Council Entry'!K$8),'Council Entry'!K34))))-'Council Entry'!K$5)/('Council Entry'!K$6-'Council Entry'!K$5),10*((IF('Council Entry'!K$4="Logarithm",LN(0.001+IF(AND(ISNUMBER('Council Entry'!K$8),ISNUMBER('Council Entry'!K$9)),MAX(MIN('Council Entry'!K34,'Council Entry'!K$9),'Council Entry'!K$8),'Council Entry'!K34)),IF('Council Entry'!K$4="Exponential",EXP(IF(AND(ISNUMBER('Council Entry'!K$8),ISNUMBER('Council Entry'!K$9)),MAX(MIN('Council Entry'!K34,'Council Entry'!K$9),'Council Entry'!K$8),'Council Entry'!K34)),IF(AND(ISNUMBER('Council Entry'!K$8),ISNUMBER('Council Entry'!K$9)),MAX(MIN('Council Entry'!K34,'Council Entry'!K$9),'Council Entry'!K$8),'Council Entry'!K34))))-'Council Entry'!K$5)/('Council Entry'!K$6-'Council Entry'!K$5)),1))),"No data"))</f>
        <v/>
      </c>
      <c r="L34" s="13">
        <f>IF('Council Entry'!L34="","",IFERROR(MAX(0,MIN(10,ROUND(IF('Council Entry'!L$7="Decrease Risk",10-10*((IF('Council Entry'!L$4="Logarithm",LN(0.001+IF(AND(ISNUMBER('Council Entry'!L$8),ISNUMBER('Council Entry'!L$9)),MAX(MIN('Council Entry'!L34,'Council Entry'!L$9),'Council Entry'!L$8),'Council Entry'!L34)),IF('Council Entry'!L$4="Exponential",EXP(IF(AND(ISNUMBER('Council Entry'!L$8),ISNUMBER('Council Entry'!L$9)),MAX(MIN('Council Entry'!L34,'Council Entry'!L$9),'Council Entry'!L$8),'Council Entry'!L34)),IF(AND(ISNUMBER('Council Entry'!L$8),ISNUMBER('Council Entry'!L$9)),MAX(MIN('Council Entry'!L34,'Council Entry'!L$9),'Council Entry'!L$8),'Council Entry'!L34))))-'Council Entry'!L$5)/('Council Entry'!L$6-'Council Entry'!L$5),10*((IF('Council Entry'!L$4="Logarithm",LN(0.001+IF(AND(ISNUMBER('Council Entry'!L$8),ISNUMBER('Council Entry'!L$9)),MAX(MIN('Council Entry'!L34,'Council Entry'!L$9),'Council Entry'!L$8),'Council Entry'!L34)),IF('Council Entry'!L$4="Exponential",EXP(IF(AND(ISNUMBER('Council Entry'!L$8),ISNUMBER('Council Entry'!L$9)),MAX(MIN('Council Entry'!L34,'Council Entry'!L$9),'Council Entry'!L$8),'Council Entry'!L34)),IF(AND(ISNUMBER('Council Entry'!L$8),ISNUMBER('Council Entry'!L$9)),MAX(MIN('Council Entry'!L34,'Council Entry'!L$9),'Council Entry'!L$8),'Council Entry'!L34))))-'Council Entry'!L$5)/('Council Entry'!L$6-'Council Entry'!L$5)),1))),"No data"))</f>
        <v/>
      </c>
      <c r="M34" s="13">
        <f>IF('Council Entry'!M34="","",IFERROR(MAX(0,MIN(10,ROUND(IF('Council Entry'!M$7="Decrease Risk",10-10*((IF('Council Entry'!M$4="Logarithm",LN(0.001+IF(AND(ISNUMBER('Council Entry'!M$8),ISNUMBER('Council Entry'!M$9)),MAX(MIN('Council Entry'!M34,'Council Entry'!M$9),'Council Entry'!M$8),'Council Entry'!M34)),IF('Council Entry'!M$4="Exponential",EXP(IF(AND(ISNUMBER('Council Entry'!M$8),ISNUMBER('Council Entry'!M$9)),MAX(MIN('Council Entry'!M34,'Council Entry'!M$9),'Council Entry'!M$8),'Council Entry'!M34)),IF(AND(ISNUMBER('Council Entry'!M$8),ISNUMBER('Council Entry'!M$9)),MAX(MIN('Council Entry'!M34,'Council Entry'!M$9),'Council Entry'!M$8),'Council Entry'!M34))))-'Council Entry'!M$5)/('Council Entry'!M$6-'Council Entry'!M$5),10*((IF('Council Entry'!M$4="Logarithm",LN(0.001+IF(AND(ISNUMBER('Council Entry'!M$8),ISNUMBER('Council Entry'!M$9)),MAX(MIN('Council Entry'!M34,'Council Entry'!M$9),'Council Entry'!M$8),'Council Entry'!M34)),IF('Council Entry'!M$4="Exponential",EXP(IF(AND(ISNUMBER('Council Entry'!M$8),ISNUMBER('Council Entry'!M$9)),MAX(MIN('Council Entry'!M34,'Council Entry'!M$9),'Council Entry'!M$8),'Council Entry'!M34)),IF(AND(ISNUMBER('Council Entry'!M$8),ISNUMBER('Council Entry'!M$9)),MAX(MIN('Council Entry'!M34,'Council Entry'!M$9),'Council Entry'!M$8),'Council Entry'!M34))))-'Council Entry'!M$5)/('Council Entry'!M$6-'Council Entry'!M$5)),1))),"No data"))</f>
        <v/>
      </c>
      <c r="N34" s="13">
        <f>IF('Council Entry'!N34="","",IFERROR(MAX(0,MIN(10,ROUND(IF('Council Entry'!N$7="Decrease Risk",10-10*((IF('Council Entry'!N$4="Logarithm",LN(0.001+IF(AND(ISNUMBER('Council Entry'!N$8),ISNUMBER('Council Entry'!N$9)),MAX(MIN('Council Entry'!N34,'Council Entry'!N$9),'Council Entry'!N$8),'Council Entry'!N34)),IF('Council Entry'!N$4="Exponential",EXP(IF(AND(ISNUMBER('Council Entry'!N$8),ISNUMBER('Council Entry'!N$9)),MAX(MIN('Council Entry'!N34,'Council Entry'!N$9),'Council Entry'!N$8),'Council Entry'!N34)),IF(AND(ISNUMBER('Council Entry'!N$8),ISNUMBER('Council Entry'!N$9)),MAX(MIN('Council Entry'!N34,'Council Entry'!N$9),'Council Entry'!N$8),'Council Entry'!N34))))-'Council Entry'!N$5)/('Council Entry'!N$6-'Council Entry'!N$5),10*((IF('Council Entry'!N$4="Logarithm",LN(0.001+IF(AND(ISNUMBER('Council Entry'!N$8),ISNUMBER('Council Entry'!N$9)),MAX(MIN('Council Entry'!N34,'Council Entry'!N$9),'Council Entry'!N$8),'Council Entry'!N34)),IF('Council Entry'!N$4="Exponential",EXP(IF(AND(ISNUMBER('Council Entry'!N$8),ISNUMBER('Council Entry'!N$9)),MAX(MIN('Council Entry'!N34,'Council Entry'!N$9),'Council Entry'!N$8),'Council Entry'!N34)),IF(AND(ISNUMBER('Council Entry'!N$8),ISNUMBER('Council Entry'!N$9)),MAX(MIN('Council Entry'!N34,'Council Entry'!N$9),'Council Entry'!N$8),'Council Entry'!N34))))-'Council Entry'!N$5)/('Council Entry'!N$6-'Council Entry'!N$5)),1))),"No data"))</f>
        <v/>
      </c>
      <c r="O34" s="13">
        <f>IF('Council Entry'!O34="","",IFERROR(MAX(0,MIN(10,ROUND(IF('Council Entry'!O$7="Decrease Risk",10-10*((IF('Council Entry'!O$4="Logarithm",LN(0.001+IF(AND(ISNUMBER('Council Entry'!O$8),ISNUMBER('Council Entry'!O$9)),MAX(MIN('Council Entry'!O34,'Council Entry'!O$9),'Council Entry'!O$8),'Council Entry'!O34)),IF('Council Entry'!O$4="Exponential",EXP(IF(AND(ISNUMBER('Council Entry'!O$8),ISNUMBER('Council Entry'!O$9)),MAX(MIN('Council Entry'!O34,'Council Entry'!O$9),'Council Entry'!O$8),'Council Entry'!O34)),IF(AND(ISNUMBER('Council Entry'!O$8),ISNUMBER('Council Entry'!O$9)),MAX(MIN('Council Entry'!O34,'Council Entry'!O$9),'Council Entry'!O$8),'Council Entry'!O34))))-'Council Entry'!O$5)/('Council Entry'!O$6-'Council Entry'!O$5),10*((IF('Council Entry'!O$4="Logarithm",LN(0.001+IF(AND(ISNUMBER('Council Entry'!O$8),ISNUMBER('Council Entry'!O$9)),MAX(MIN('Council Entry'!O34,'Council Entry'!O$9),'Council Entry'!O$8),'Council Entry'!O34)),IF('Council Entry'!O$4="Exponential",EXP(IF(AND(ISNUMBER('Council Entry'!O$8),ISNUMBER('Council Entry'!O$9)),MAX(MIN('Council Entry'!O34,'Council Entry'!O$9),'Council Entry'!O$8),'Council Entry'!O34)),IF(AND(ISNUMBER('Council Entry'!O$8),ISNUMBER('Council Entry'!O$9)),MAX(MIN('Council Entry'!O34,'Council Entry'!O$9),'Council Entry'!O$8),'Council Entry'!O34))))-'Council Entry'!O$5)/('Council Entry'!O$6-'Council Entry'!O$5)),1))),"No data"))</f>
        <v/>
      </c>
      <c r="P34" s="13">
        <f>IF('Council Entry'!P34="","",IFERROR(MAX(0,MIN(10,ROUND(IF('Council Entry'!P$7="Decrease Risk",10-10*((IF('Council Entry'!P$4="Logarithm",LN(0.001+IF(AND(ISNUMBER('Council Entry'!P$8),ISNUMBER('Council Entry'!P$9)),MAX(MIN('Council Entry'!P34,'Council Entry'!P$9),'Council Entry'!P$8),'Council Entry'!P34)),IF('Council Entry'!P$4="Exponential",EXP(IF(AND(ISNUMBER('Council Entry'!P$8),ISNUMBER('Council Entry'!P$9)),MAX(MIN('Council Entry'!P34,'Council Entry'!P$9),'Council Entry'!P$8),'Council Entry'!P34)),IF(AND(ISNUMBER('Council Entry'!P$8),ISNUMBER('Council Entry'!P$9)),MAX(MIN('Council Entry'!P34,'Council Entry'!P$9),'Council Entry'!P$8),'Council Entry'!P34))))-'Council Entry'!P$5)/('Council Entry'!P$6-'Council Entry'!P$5),10*((IF('Council Entry'!P$4="Logarithm",LN(0.001+IF(AND(ISNUMBER('Council Entry'!P$8),ISNUMBER('Council Entry'!P$9)),MAX(MIN('Council Entry'!P34,'Council Entry'!P$9),'Council Entry'!P$8),'Council Entry'!P34)),IF('Council Entry'!P$4="Exponential",EXP(IF(AND(ISNUMBER('Council Entry'!P$8),ISNUMBER('Council Entry'!P$9)),MAX(MIN('Council Entry'!P34,'Council Entry'!P$9),'Council Entry'!P$8),'Council Entry'!P34)),IF(AND(ISNUMBER('Council Entry'!P$8),ISNUMBER('Council Entry'!P$9)),MAX(MIN('Council Entry'!P34,'Council Entry'!P$9),'Council Entry'!P$8),'Council Entry'!P34))))-'Council Entry'!P$5)/('Council Entry'!P$6-'Council Entry'!P$5)),1))),"No data"))</f>
        <v/>
      </c>
      <c r="Q34" s="13">
        <f>IF('Council Entry'!Q34="","",IFERROR(MAX(0,MIN(10,ROUND(IF('Council Entry'!Q$7="Decrease Risk",10-10*((IF('Council Entry'!Q$4="Logarithm",LN(0.001+IF(AND(ISNUMBER('Council Entry'!Q$8),ISNUMBER('Council Entry'!Q$9)),MAX(MIN('Council Entry'!Q34,'Council Entry'!Q$9),'Council Entry'!Q$8),'Council Entry'!Q34)),IF('Council Entry'!Q$4="Exponential",EXP(IF(AND(ISNUMBER('Council Entry'!Q$8),ISNUMBER('Council Entry'!Q$9)),MAX(MIN('Council Entry'!Q34,'Council Entry'!Q$9),'Council Entry'!Q$8),'Council Entry'!Q34)),IF(AND(ISNUMBER('Council Entry'!Q$8),ISNUMBER('Council Entry'!Q$9)),MAX(MIN('Council Entry'!Q34,'Council Entry'!Q$9),'Council Entry'!Q$8),'Council Entry'!Q34))))-'Council Entry'!Q$5)/('Council Entry'!Q$6-'Council Entry'!Q$5),10*((IF('Council Entry'!Q$4="Logarithm",LN(0.001+IF(AND(ISNUMBER('Council Entry'!Q$8),ISNUMBER('Council Entry'!Q$9)),MAX(MIN('Council Entry'!Q34,'Council Entry'!Q$9),'Council Entry'!Q$8),'Council Entry'!Q34)),IF('Council Entry'!Q$4="Exponential",EXP(IF(AND(ISNUMBER('Council Entry'!Q$8),ISNUMBER('Council Entry'!Q$9)),MAX(MIN('Council Entry'!Q34,'Council Entry'!Q$9),'Council Entry'!Q$8),'Council Entry'!Q34)),IF(AND(ISNUMBER('Council Entry'!Q$8),ISNUMBER('Council Entry'!Q$9)),MAX(MIN('Council Entry'!Q34,'Council Entry'!Q$9),'Council Entry'!Q$8),'Council Entry'!Q34))))-'Council Entry'!Q$5)/('Council Entry'!Q$6-'Council Entry'!Q$5)),1))),"No data"))</f>
        <v/>
      </c>
      <c r="R34" s="13">
        <f>IF('Council Entry'!R34="","",IFERROR(MAX(0,MIN(10,ROUND(IF('Council Entry'!R$7="Decrease Risk",10-10*((IF('Council Entry'!R$4="Logarithm",LN(0.001+IF(AND(ISNUMBER('Council Entry'!R$8),ISNUMBER('Council Entry'!R$9)),MAX(MIN('Council Entry'!R34,'Council Entry'!R$9),'Council Entry'!R$8),'Council Entry'!R34)),IF('Council Entry'!R$4="Exponential",EXP(IF(AND(ISNUMBER('Council Entry'!R$8),ISNUMBER('Council Entry'!R$9)),MAX(MIN('Council Entry'!R34,'Council Entry'!R$9),'Council Entry'!R$8),'Council Entry'!R34)),IF(AND(ISNUMBER('Council Entry'!R$8),ISNUMBER('Council Entry'!R$9)),MAX(MIN('Council Entry'!R34,'Council Entry'!R$9),'Council Entry'!R$8),'Council Entry'!R34))))-'Council Entry'!R$5)/('Council Entry'!R$6-'Council Entry'!R$5),10*((IF('Council Entry'!R$4="Logarithm",LN(0.001+IF(AND(ISNUMBER('Council Entry'!R$8),ISNUMBER('Council Entry'!R$9)),MAX(MIN('Council Entry'!R34,'Council Entry'!R$9),'Council Entry'!R$8),'Council Entry'!R34)),IF('Council Entry'!R$4="Exponential",EXP(IF(AND(ISNUMBER('Council Entry'!R$8),ISNUMBER('Council Entry'!R$9)),MAX(MIN('Council Entry'!R34,'Council Entry'!R$9),'Council Entry'!R$8),'Council Entry'!R34)),IF(AND(ISNUMBER('Council Entry'!R$8),ISNUMBER('Council Entry'!R$9)),MAX(MIN('Council Entry'!R34,'Council Entry'!R$9),'Council Entry'!R$8),'Council Entry'!R34))))-'Council Entry'!R$5)/('Council Entry'!R$6-'Council Entry'!R$5)),1))),"No data"))</f>
        <v/>
      </c>
      <c r="S34" s="13">
        <f>IF('Council Entry'!S34="","",IFERROR(MAX(0,MIN(10,ROUND(IF('Council Entry'!S$7="Decrease Risk",10-10*((IF('Council Entry'!S$4="Logarithm",LN(0.001+IF(AND(ISNUMBER('Council Entry'!S$8),ISNUMBER('Council Entry'!S$9)),MAX(MIN('Council Entry'!S34,'Council Entry'!S$9),'Council Entry'!S$8),'Council Entry'!S34)),IF('Council Entry'!S$4="Exponential",EXP(IF(AND(ISNUMBER('Council Entry'!S$8),ISNUMBER('Council Entry'!S$9)),MAX(MIN('Council Entry'!S34,'Council Entry'!S$9),'Council Entry'!S$8),'Council Entry'!S34)),IF(AND(ISNUMBER('Council Entry'!S$8),ISNUMBER('Council Entry'!S$9)),MAX(MIN('Council Entry'!S34,'Council Entry'!S$9),'Council Entry'!S$8),'Council Entry'!S34))))-'Council Entry'!S$5)/('Council Entry'!S$6-'Council Entry'!S$5),10*((IF('Council Entry'!S$4="Logarithm",LN(0.001+IF(AND(ISNUMBER('Council Entry'!S$8),ISNUMBER('Council Entry'!S$9)),MAX(MIN('Council Entry'!S34,'Council Entry'!S$9),'Council Entry'!S$8),'Council Entry'!S34)),IF('Council Entry'!S$4="Exponential",EXP(IF(AND(ISNUMBER('Council Entry'!S$8),ISNUMBER('Council Entry'!S$9)),MAX(MIN('Council Entry'!S34,'Council Entry'!S$9),'Council Entry'!S$8),'Council Entry'!S34)),IF(AND(ISNUMBER('Council Entry'!S$8),ISNUMBER('Council Entry'!S$9)),MAX(MIN('Council Entry'!S34,'Council Entry'!S$9),'Council Entry'!S$8),'Council Entry'!S34))))-'Council Entry'!S$5)/('Council Entry'!S$6-'Council Entry'!S$5)),1))),"No data"))</f>
        <v/>
      </c>
      <c r="T34" s="13">
        <f>IF('Council Entry'!T34="","",IFERROR(MAX(0,MIN(10,ROUND(IF('Council Entry'!T$7="Decrease Risk",10-10*((IF('Council Entry'!T$4="Logarithm",LN(0.001+IF(AND(ISNUMBER('Council Entry'!T$8),ISNUMBER('Council Entry'!T$9)),MAX(MIN('Council Entry'!T34,'Council Entry'!T$9),'Council Entry'!T$8),'Council Entry'!T34)),IF('Council Entry'!T$4="Exponential",EXP(IF(AND(ISNUMBER('Council Entry'!T$8),ISNUMBER('Council Entry'!T$9)),MAX(MIN('Council Entry'!T34,'Council Entry'!T$9),'Council Entry'!T$8),'Council Entry'!T34)),IF(AND(ISNUMBER('Council Entry'!T$8),ISNUMBER('Council Entry'!T$9)),MAX(MIN('Council Entry'!T34,'Council Entry'!T$9),'Council Entry'!T$8),'Council Entry'!T34))))-'Council Entry'!T$5)/('Council Entry'!T$6-'Council Entry'!T$5),10*((IF('Council Entry'!T$4="Logarithm",LN(0.001+IF(AND(ISNUMBER('Council Entry'!T$8),ISNUMBER('Council Entry'!T$9)),MAX(MIN('Council Entry'!T34,'Council Entry'!T$9),'Council Entry'!T$8),'Council Entry'!T34)),IF('Council Entry'!T$4="Exponential",EXP(IF(AND(ISNUMBER('Council Entry'!T$8),ISNUMBER('Council Entry'!T$9)),MAX(MIN('Council Entry'!T34,'Council Entry'!T$9),'Council Entry'!T$8),'Council Entry'!T34)),IF(AND(ISNUMBER('Council Entry'!T$8),ISNUMBER('Council Entry'!T$9)),MAX(MIN('Council Entry'!T34,'Council Entry'!T$9),'Council Entry'!T$8),'Council Entry'!T34))))-'Council Entry'!T$5)/('Council Entry'!T$6-'Council Entry'!T$5)),1))),"No data"))</f>
        <v/>
      </c>
      <c r="U34" s="13">
        <f>IF('Council Entry'!U34="","",IFERROR(MAX(0,MIN(10,ROUND(IF('Council Entry'!U$7="Decrease Risk",10-10*((IF('Council Entry'!U$4="Logarithm",LN(0.001+IF(AND(ISNUMBER('Council Entry'!U$8),ISNUMBER('Council Entry'!U$9)),MAX(MIN('Council Entry'!U34,'Council Entry'!U$9),'Council Entry'!U$8),'Council Entry'!U34)),IF('Council Entry'!U$4="Exponential",EXP(IF(AND(ISNUMBER('Council Entry'!U$8),ISNUMBER('Council Entry'!U$9)),MAX(MIN('Council Entry'!U34,'Council Entry'!U$9),'Council Entry'!U$8),'Council Entry'!U34)),IF(AND(ISNUMBER('Council Entry'!U$8),ISNUMBER('Council Entry'!U$9)),MAX(MIN('Council Entry'!U34,'Council Entry'!U$9),'Council Entry'!U$8),'Council Entry'!U34))))-'Council Entry'!U$5)/('Council Entry'!U$6-'Council Entry'!U$5),10*((IF('Council Entry'!U$4="Logarithm",LN(0.001+IF(AND(ISNUMBER('Council Entry'!U$8),ISNUMBER('Council Entry'!U$9)),MAX(MIN('Council Entry'!U34,'Council Entry'!U$9),'Council Entry'!U$8),'Council Entry'!U34)),IF('Council Entry'!U$4="Exponential",EXP(IF(AND(ISNUMBER('Council Entry'!U$8),ISNUMBER('Council Entry'!U$9)),MAX(MIN('Council Entry'!U34,'Council Entry'!U$9),'Council Entry'!U$8),'Council Entry'!U34)),IF(AND(ISNUMBER('Council Entry'!U$8),ISNUMBER('Council Entry'!U$9)),MAX(MIN('Council Entry'!U34,'Council Entry'!U$9),'Council Entry'!U$8),'Council Entry'!U34))))-'Council Entry'!U$5)/('Council Entry'!U$6-'Council Entry'!U$5)),1))),"No data"))</f>
        <v/>
      </c>
      <c r="V34" s="13">
        <f>IF('Council Entry'!V34="","",IFERROR(MAX(0,MIN(10,ROUND(IF('Council Entry'!V$7="Decrease Risk",10-10*((IF('Council Entry'!V$4="Logarithm",LN(0.001+IF(AND(ISNUMBER('Council Entry'!V$8),ISNUMBER('Council Entry'!V$9)),MAX(MIN('Council Entry'!V34,'Council Entry'!V$9),'Council Entry'!V$8),'Council Entry'!V34)),IF('Council Entry'!V$4="Exponential",EXP(IF(AND(ISNUMBER('Council Entry'!V$8),ISNUMBER('Council Entry'!V$9)),MAX(MIN('Council Entry'!V34,'Council Entry'!V$9),'Council Entry'!V$8),'Council Entry'!V34)),IF(AND(ISNUMBER('Council Entry'!V$8),ISNUMBER('Council Entry'!V$9)),MAX(MIN('Council Entry'!V34,'Council Entry'!V$9),'Council Entry'!V$8),'Council Entry'!V34))))-'Council Entry'!V$5)/('Council Entry'!V$6-'Council Entry'!V$5),10*((IF('Council Entry'!V$4="Logarithm",LN(0.001+IF(AND(ISNUMBER('Council Entry'!V$8),ISNUMBER('Council Entry'!V$9)),MAX(MIN('Council Entry'!V34,'Council Entry'!V$9),'Council Entry'!V$8),'Council Entry'!V34)),IF('Council Entry'!V$4="Exponential",EXP(IF(AND(ISNUMBER('Council Entry'!V$8),ISNUMBER('Council Entry'!V$9)),MAX(MIN('Council Entry'!V34,'Council Entry'!V$9),'Council Entry'!V$8),'Council Entry'!V34)),IF(AND(ISNUMBER('Council Entry'!V$8),ISNUMBER('Council Entry'!V$9)),MAX(MIN('Council Entry'!V34,'Council Entry'!V$9),'Council Entry'!V$8),'Council Entry'!V34))))-'Council Entry'!V$5)/('Council Entry'!V$6-'Council Entry'!V$5)),1))),"No data"))</f>
        <v/>
      </c>
      <c r="W34" s="13">
        <f>IF('Council Entry'!W34="","",IFERROR(MAX(0,MIN(10,ROUND(IF('Council Entry'!W$7="Decrease Risk",10-10*((IF('Council Entry'!W$4="Logarithm",LN(0.001+IF(AND(ISNUMBER('Council Entry'!W$8),ISNUMBER('Council Entry'!W$9)),MAX(MIN('Council Entry'!W34,'Council Entry'!W$9),'Council Entry'!W$8),'Council Entry'!W34)),IF('Council Entry'!W$4="Exponential",EXP(IF(AND(ISNUMBER('Council Entry'!W$8),ISNUMBER('Council Entry'!W$9)),MAX(MIN('Council Entry'!W34,'Council Entry'!W$9),'Council Entry'!W$8),'Council Entry'!W34)),IF(AND(ISNUMBER('Council Entry'!W$8),ISNUMBER('Council Entry'!W$9)),MAX(MIN('Council Entry'!W34,'Council Entry'!W$9),'Council Entry'!W$8),'Council Entry'!W34))))-'Council Entry'!W$5)/('Council Entry'!W$6-'Council Entry'!W$5),10*((IF('Council Entry'!W$4="Logarithm",LN(0.001+IF(AND(ISNUMBER('Council Entry'!W$8),ISNUMBER('Council Entry'!W$9)),MAX(MIN('Council Entry'!W34,'Council Entry'!W$9),'Council Entry'!W$8),'Council Entry'!W34)),IF('Council Entry'!W$4="Exponential",EXP(IF(AND(ISNUMBER('Council Entry'!W$8),ISNUMBER('Council Entry'!W$9)),MAX(MIN('Council Entry'!W34,'Council Entry'!W$9),'Council Entry'!W$8),'Council Entry'!W34)),IF(AND(ISNUMBER('Council Entry'!W$8),ISNUMBER('Council Entry'!W$9)),MAX(MIN('Council Entry'!W34,'Council Entry'!W$9),'Council Entry'!W$8),'Council Entry'!W34))))-'Council Entry'!W$5)/('Council Entry'!W$6-'Council Entry'!W$5)),1))),"No data"))</f>
        <v/>
      </c>
      <c r="X34" s="13">
        <f>IF('Council Entry'!X34="","",IFERROR(MAX(0,MIN(10,ROUND(IF('Council Entry'!X$7="Decrease Risk",10-10*((IF('Council Entry'!X$4="Logarithm",LN(0.001+IF(AND(ISNUMBER('Council Entry'!X$8),ISNUMBER('Council Entry'!X$9)),MAX(MIN('Council Entry'!X34,'Council Entry'!X$9),'Council Entry'!X$8),'Council Entry'!X34)),IF('Council Entry'!X$4="Exponential",EXP(IF(AND(ISNUMBER('Council Entry'!X$8),ISNUMBER('Council Entry'!X$9)),MAX(MIN('Council Entry'!X34,'Council Entry'!X$9),'Council Entry'!X$8),'Council Entry'!X34)),IF(AND(ISNUMBER('Council Entry'!X$8),ISNUMBER('Council Entry'!X$9)),MAX(MIN('Council Entry'!X34,'Council Entry'!X$9),'Council Entry'!X$8),'Council Entry'!X34))))-'Council Entry'!X$5)/('Council Entry'!X$6-'Council Entry'!X$5),10*((IF('Council Entry'!X$4="Logarithm",LN(0.001+IF(AND(ISNUMBER('Council Entry'!X$8),ISNUMBER('Council Entry'!X$9)),MAX(MIN('Council Entry'!X34,'Council Entry'!X$9),'Council Entry'!X$8),'Council Entry'!X34)),IF('Council Entry'!X$4="Exponential",EXP(IF(AND(ISNUMBER('Council Entry'!X$8),ISNUMBER('Council Entry'!X$9)),MAX(MIN('Council Entry'!X34,'Council Entry'!X$9),'Council Entry'!X$8),'Council Entry'!X34)),IF(AND(ISNUMBER('Council Entry'!X$8),ISNUMBER('Council Entry'!X$9)),MAX(MIN('Council Entry'!X34,'Council Entry'!X$9),'Council Entry'!X$8),'Council Entry'!X34))))-'Council Entry'!X$5)/('Council Entry'!X$6-'Council Entry'!X$5)),1))),"No data"))</f>
        <v/>
      </c>
      <c r="Y34" s="13">
        <f>IF('Council Entry'!Y34="","",IFERROR(MAX(0,MIN(10,ROUND(IF('Council Entry'!Y$7="Decrease Risk",10-10*((IF('Council Entry'!Y$4="Logarithm",LN(0.001+IF(AND(ISNUMBER('Council Entry'!Y$8),ISNUMBER('Council Entry'!Y$9)),MAX(MIN('Council Entry'!Y34,'Council Entry'!Y$9),'Council Entry'!Y$8),'Council Entry'!Y34)),IF('Council Entry'!Y$4="Exponential",EXP(IF(AND(ISNUMBER('Council Entry'!Y$8),ISNUMBER('Council Entry'!Y$9)),MAX(MIN('Council Entry'!Y34,'Council Entry'!Y$9),'Council Entry'!Y$8),'Council Entry'!Y34)),IF(AND(ISNUMBER('Council Entry'!Y$8),ISNUMBER('Council Entry'!Y$9)),MAX(MIN('Council Entry'!Y34,'Council Entry'!Y$9),'Council Entry'!Y$8),'Council Entry'!Y34))))-'Council Entry'!Y$5)/('Council Entry'!Y$6-'Council Entry'!Y$5),10*((IF('Council Entry'!Y$4="Logarithm",LN(0.001+IF(AND(ISNUMBER('Council Entry'!Y$8),ISNUMBER('Council Entry'!Y$9)),MAX(MIN('Council Entry'!Y34,'Council Entry'!Y$9),'Council Entry'!Y$8),'Council Entry'!Y34)),IF('Council Entry'!Y$4="Exponential",EXP(IF(AND(ISNUMBER('Council Entry'!Y$8),ISNUMBER('Council Entry'!Y$9)),MAX(MIN('Council Entry'!Y34,'Council Entry'!Y$9),'Council Entry'!Y$8),'Council Entry'!Y34)),IF(AND(ISNUMBER('Council Entry'!Y$8),ISNUMBER('Council Entry'!Y$9)),MAX(MIN('Council Entry'!Y34,'Council Entry'!Y$9),'Council Entry'!Y$8),'Council Entry'!Y34))))-'Council Entry'!Y$5)/('Council Entry'!Y$6-'Council Entry'!Y$5)),1))),"No data"))</f>
        <v/>
      </c>
      <c r="Z34" s="13">
        <f>IF('Council Entry'!Z34="","",IFERROR(MAX(0,MIN(10,ROUND(IF('Council Entry'!Z$7="Decrease Risk",10-10*((IF('Council Entry'!Z$4="Logarithm",LN(0.001+IF(AND(ISNUMBER('Council Entry'!Z$8),ISNUMBER('Council Entry'!Z$9)),MAX(MIN('Council Entry'!Z34,'Council Entry'!Z$9),'Council Entry'!Z$8),'Council Entry'!Z34)),IF('Council Entry'!Z$4="Exponential",EXP(IF(AND(ISNUMBER('Council Entry'!Z$8),ISNUMBER('Council Entry'!Z$9)),MAX(MIN('Council Entry'!Z34,'Council Entry'!Z$9),'Council Entry'!Z$8),'Council Entry'!Z34)),IF(AND(ISNUMBER('Council Entry'!Z$8),ISNUMBER('Council Entry'!Z$9)),MAX(MIN('Council Entry'!Z34,'Council Entry'!Z$9),'Council Entry'!Z$8),'Council Entry'!Z34))))-'Council Entry'!Z$5)/('Council Entry'!Z$6-'Council Entry'!Z$5),10*((IF('Council Entry'!Z$4="Logarithm",LN(0.001+IF(AND(ISNUMBER('Council Entry'!Z$8),ISNUMBER('Council Entry'!Z$9)),MAX(MIN('Council Entry'!Z34,'Council Entry'!Z$9),'Council Entry'!Z$8),'Council Entry'!Z34)),IF('Council Entry'!Z$4="Exponential",EXP(IF(AND(ISNUMBER('Council Entry'!Z$8),ISNUMBER('Council Entry'!Z$9)),MAX(MIN('Council Entry'!Z34,'Council Entry'!Z$9),'Council Entry'!Z$8),'Council Entry'!Z34)),IF(AND(ISNUMBER('Council Entry'!Z$8),ISNUMBER('Council Entry'!Z$9)),MAX(MIN('Council Entry'!Z34,'Council Entry'!Z$9),'Council Entry'!Z$8),'Council Entry'!Z34))))-'Council Entry'!Z$5)/('Council Entry'!Z$6-'Council Entry'!Z$5)),1))),"No data"))</f>
        <v/>
      </c>
      <c r="AA34" s="13">
        <f>IF('Council Entry'!AA34="","",IFERROR(MAX(0,MIN(10,ROUND(IF('Council Entry'!AA$7="Decrease Risk",10-10*((IF('Council Entry'!AA$4="Logarithm",LN(0.001+IF(AND(ISNUMBER('Council Entry'!AA$8),ISNUMBER('Council Entry'!AA$9)),MAX(MIN('Council Entry'!AA34,'Council Entry'!AA$9),'Council Entry'!AA$8),'Council Entry'!AA34)),IF('Council Entry'!AA$4="Exponential",EXP(IF(AND(ISNUMBER('Council Entry'!AA$8),ISNUMBER('Council Entry'!AA$9)),MAX(MIN('Council Entry'!AA34,'Council Entry'!AA$9),'Council Entry'!AA$8),'Council Entry'!AA34)),IF(AND(ISNUMBER('Council Entry'!AA$8),ISNUMBER('Council Entry'!AA$9)),MAX(MIN('Council Entry'!AA34,'Council Entry'!AA$9),'Council Entry'!AA$8),'Council Entry'!AA34))))-'Council Entry'!AA$5)/('Council Entry'!AA$6-'Council Entry'!AA$5),10*((IF('Council Entry'!AA$4="Logarithm",LN(0.001+IF(AND(ISNUMBER('Council Entry'!AA$8),ISNUMBER('Council Entry'!AA$9)),MAX(MIN('Council Entry'!AA34,'Council Entry'!AA$9),'Council Entry'!AA$8),'Council Entry'!AA34)),IF('Council Entry'!AA$4="Exponential",EXP(IF(AND(ISNUMBER('Council Entry'!AA$8),ISNUMBER('Council Entry'!AA$9)),MAX(MIN('Council Entry'!AA34,'Council Entry'!AA$9),'Council Entry'!AA$8),'Council Entry'!AA34)),IF(AND(ISNUMBER('Council Entry'!AA$8),ISNUMBER('Council Entry'!AA$9)),MAX(MIN('Council Entry'!AA34,'Council Entry'!AA$9),'Council Entry'!AA$8),'Council Entry'!AA34))))-'Council Entry'!AA$5)/('Council Entry'!AA$6-'Council Entry'!AA$5)),1))),"No data"))</f>
        <v/>
      </c>
      <c r="AB34" s="13">
        <f>IF('Council Entry'!AB34="","",IFERROR(MAX(0,MIN(10,ROUND(IF('Council Entry'!AB$7="Decrease Risk",10-10*((IF('Council Entry'!AB$4="Logarithm",LN(0.001+IF(AND(ISNUMBER('Council Entry'!AB$8),ISNUMBER('Council Entry'!AB$9)),MAX(MIN('Council Entry'!AB34,'Council Entry'!AB$9),'Council Entry'!AB$8),'Council Entry'!AB34)),IF('Council Entry'!AB$4="Exponential",EXP(IF(AND(ISNUMBER('Council Entry'!AB$8),ISNUMBER('Council Entry'!AB$9)),MAX(MIN('Council Entry'!AB34,'Council Entry'!AB$9),'Council Entry'!AB$8),'Council Entry'!AB34)),IF(AND(ISNUMBER('Council Entry'!AB$8),ISNUMBER('Council Entry'!AB$9)),MAX(MIN('Council Entry'!AB34,'Council Entry'!AB$9),'Council Entry'!AB$8),'Council Entry'!AB34))))-'Council Entry'!AB$5)/('Council Entry'!AB$6-'Council Entry'!AB$5),10*((IF('Council Entry'!AB$4="Logarithm",LN(0.001+IF(AND(ISNUMBER('Council Entry'!AB$8),ISNUMBER('Council Entry'!AB$9)),MAX(MIN('Council Entry'!AB34,'Council Entry'!AB$9),'Council Entry'!AB$8),'Council Entry'!AB34)),IF('Council Entry'!AB$4="Exponential",EXP(IF(AND(ISNUMBER('Council Entry'!AB$8),ISNUMBER('Council Entry'!AB$9)),MAX(MIN('Council Entry'!AB34,'Council Entry'!AB$9),'Council Entry'!AB$8),'Council Entry'!AB34)),IF(AND(ISNUMBER('Council Entry'!AB$8),ISNUMBER('Council Entry'!AB$9)),MAX(MIN('Council Entry'!AB34,'Council Entry'!AB$9),'Council Entry'!AB$8),'Council Entry'!AB34))))-'Council Entry'!AB$5)/('Council Entry'!AB$6-'Council Entry'!AB$5)),1))),"No data"))</f>
        <v/>
      </c>
      <c r="AC34" s="13">
        <f>IF('Council Entry'!AC34="","",IFERROR(MAX(0,MIN(10,ROUND(IF('Council Entry'!AC$7="Decrease Risk",10-10*((IF('Council Entry'!AC$4="Logarithm",LN(0.001+IF(AND(ISNUMBER('Council Entry'!AC$8),ISNUMBER('Council Entry'!AC$9)),MAX(MIN('Council Entry'!AC34,'Council Entry'!AC$9),'Council Entry'!AC$8),'Council Entry'!AC34)),IF('Council Entry'!AC$4="Exponential",EXP(IF(AND(ISNUMBER('Council Entry'!AC$8),ISNUMBER('Council Entry'!AC$9)),MAX(MIN('Council Entry'!AC34,'Council Entry'!AC$9),'Council Entry'!AC$8),'Council Entry'!AC34)),IF(AND(ISNUMBER('Council Entry'!AC$8),ISNUMBER('Council Entry'!AC$9)),MAX(MIN('Council Entry'!AC34,'Council Entry'!AC$9),'Council Entry'!AC$8),'Council Entry'!AC34))))-'Council Entry'!AC$5)/('Council Entry'!AC$6-'Council Entry'!AC$5),10*((IF('Council Entry'!AC$4="Logarithm",LN(0.001+IF(AND(ISNUMBER('Council Entry'!AC$8),ISNUMBER('Council Entry'!AC$9)),MAX(MIN('Council Entry'!AC34,'Council Entry'!AC$9),'Council Entry'!AC$8),'Council Entry'!AC34)),IF('Council Entry'!AC$4="Exponential",EXP(IF(AND(ISNUMBER('Council Entry'!AC$8),ISNUMBER('Council Entry'!AC$9)),MAX(MIN('Council Entry'!AC34,'Council Entry'!AC$9),'Council Entry'!AC$8),'Council Entry'!AC34)),IF(AND(ISNUMBER('Council Entry'!AC$8),ISNUMBER('Council Entry'!AC$9)),MAX(MIN('Council Entry'!AC34,'Council Entry'!AC$9),'Council Entry'!AC$8),'Council Entry'!AC34))))-'Council Entry'!AC$5)/('Council Entry'!AC$6-'Council Entry'!AC$5)),1))),"No data"))</f>
        <v/>
      </c>
      <c r="AD34" s="13">
        <f>IF('Council Entry'!AD34="","",IFERROR(MAX(0,MIN(10,ROUND(IF('Council Entry'!AD$7="Decrease Risk",10-10*((IF('Council Entry'!AD$4="Logarithm",LN(0.001+IF(AND(ISNUMBER('Council Entry'!AD$8),ISNUMBER('Council Entry'!AD$9)),MAX(MIN('Council Entry'!AD34,'Council Entry'!AD$9),'Council Entry'!AD$8),'Council Entry'!AD34)),IF('Council Entry'!AD$4="Exponential",EXP(IF(AND(ISNUMBER('Council Entry'!AD$8),ISNUMBER('Council Entry'!AD$9)),MAX(MIN('Council Entry'!AD34,'Council Entry'!AD$9),'Council Entry'!AD$8),'Council Entry'!AD34)),IF(AND(ISNUMBER('Council Entry'!AD$8),ISNUMBER('Council Entry'!AD$9)),MAX(MIN('Council Entry'!AD34,'Council Entry'!AD$9),'Council Entry'!AD$8),'Council Entry'!AD34))))-'Council Entry'!AD$5)/('Council Entry'!AD$6-'Council Entry'!AD$5),10*((IF('Council Entry'!AD$4="Logarithm",LN(0.001+IF(AND(ISNUMBER('Council Entry'!AD$8),ISNUMBER('Council Entry'!AD$9)),MAX(MIN('Council Entry'!AD34,'Council Entry'!AD$9),'Council Entry'!AD$8),'Council Entry'!AD34)),IF('Council Entry'!AD$4="Exponential",EXP(IF(AND(ISNUMBER('Council Entry'!AD$8),ISNUMBER('Council Entry'!AD$9)),MAX(MIN('Council Entry'!AD34,'Council Entry'!AD$9),'Council Entry'!AD$8),'Council Entry'!AD34)),IF(AND(ISNUMBER('Council Entry'!AD$8),ISNUMBER('Council Entry'!AD$9)),MAX(MIN('Council Entry'!AD34,'Council Entry'!AD$9),'Council Entry'!AD$8),'Council Entry'!AD34))))-'Council Entry'!AD$5)/('Council Entry'!AD$6-'Council Entry'!AD$5)),1))),"No data"))</f>
        <v/>
      </c>
      <c r="AE34" s="13">
        <f>IF('Council Entry'!AE34="","",IFERROR(MAX(0,MIN(10,ROUND(IF('Council Entry'!AE$7="Decrease Risk",10-10*((IF('Council Entry'!AE$4="Logarithm",LN(0.001+IF(AND(ISNUMBER('Council Entry'!AE$8),ISNUMBER('Council Entry'!AE$9)),MAX(MIN('Council Entry'!AE34,'Council Entry'!AE$9),'Council Entry'!AE$8),'Council Entry'!AE34)),IF('Council Entry'!AE$4="Exponential",EXP(IF(AND(ISNUMBER('Council Entry'!AE$8),ISNUMBER('Council Entry'!AE$9)),MAX(MIN('Council Entry'!AE34,'Council Entry'!AE$9),'Council Entry'!AE$8),'Council Entry'!AE34)),IF(AND(ISNUMBER('Council Entry'!AE$8),ISNUMBER('Council Entry'!AE$9)),MAX(MIN('Council Entry'!AE34,'Council Entry'!AE$9),'Council Entry'!AE$8),'Council Entry'!AE34))))-'Council Entry'!AE$5)/('Council Entry'!AE$6-'Council Entry'!AE$5),10*((IF('Council Entry'!AE$4="Logarithm",LN(0.001+IF(AND(ISNUMBER('Council Entry'!AE$8),ISNUMBER('Council Entry'!AE$9)),MAX(MIN('Council Entry'!AE34,'Council Entry'!AE$9),'Council Entry'!AE$8),'Council Entry'!AE34)),IF('Council Entry'!AE$4="Exponential",EXP(IF(AND(ISNUMBER('Council Entry'!AE$8),ISNUMBER('Council Entry'!AE$9)),MAX(MIN('Council Entry'!AE34,'Council Entry'!AE$9),'Council Entry'!AE$8),'Council Entry'!AE34)),IF(AND(ISNUMBER('Council Entry'!AE$8),ISNUMBER('Council Entry'!AE$9)),MAX(MIN('Council Entry'!AE34,'Council Entry'!AE$9),'Council Entry'!AE$8),'Council Entry'!AE34))))-'Council Entry'!AE$5)/('Council Entry'!AE$6-'Council Entry'!AE$5)),1))),"No data"))</f>
        <v/>
      </c>
      <c r="AF34" s="13">
        <f>IF('Council Entry'!AF34="","",IFERROR(MAX(0,MIN(10,ROUND(IF('Council Entry'!AF$7="Decrease Risk",10-10*((IF('Council Entry'!AF$4="Logarithm",LN(0.001+IF(AND(ISNUMBER('Council Entry'!AF$8),ISNUMBER('Council Entry'!AF$9)),MAX(MIN('Council Entry'!AF34,'Council Entry'!AF$9),'Council Entry'!AF$8),'Council Entry'!AF34)),IF('Council Entry'!AF$4="Exponential",EXP(IF(AND(ISNUMBER('Council Entry'!AF$8),ISNUMBER('Council Entry'!AF$9)),MAX(MIN('Council Entry'!AF34,'Council Entry'!AF$9),'Council Entry'!AF$8),'Council Entry'!AF34)),IF(AND(ISNUMBER('Council Entry'!AF$8),ISNUMBER('Council Entry'!AF$9)),MAX(MIN('Council Entry'!AF34,'Council Entry'!AF$9),'Council Entry'!AF$8),'Council Entry'!AF34))))-'Council Entry'!AF$5)/('Council Entry'!AF$6-'Council Entry'!AF$5),10*((IF('Council Entry'!AF$4="Logarithm",LN(0.001+IF(AND(ISNUMBER('Council Entry'!AF$8),ISNUMBER('Council Entry'!AF$9)),MAX(MIN('Council Entry'!AF34,'Council Entry'!AF$9),'Council Entry'!AF$8),'Council Entry'!AF34)),IF('Council Entry'!AF$4="Exponential",EXP(IF(AND(ISNUMBER('Council Entry'!AF$8),ISNUMBER('Council Entry'!AF$9)),MAX(MIN('Council Entry'!AF34,'Council Entry'!AF$9),'Council Entry'!AF$8),'Council Entry'!AF34)),IF(AND(ISNUMBER('Council Entry'!AF$8),ISNUMBER('Council Entry'!AF$9)),MAX(MIN('Council Entry'!AF34,'Council Entry'!AF$9),'Council Entry'!AF$8),'Council Entry'!AF34))))-'Council Entry'!AF$5)/('Council Entry'!AF$6-'Council Entry'!AF$5)),1))),"No data"))</f>
        <v/>
      </c>
      <c r="AG34" s="13">
        <f>IF('Council Entry'!AG34="","",IFERROR(MAX(0,MIN(10,ROUND(IF('Council Entry'!AG$7="Decrease Risk",10-10*((IF('Council Entry'!AG$4="Logarithm",LN(0.001+IF(AND(ISNUMBER('Council Entry'!AG$8),ISNUMBER('Council Entry'!AG$9)),MAX(MIN('Council Entry'!AG34,'Council Entry'!AG$9),'Council Entry'!AG$8),'Council Entry'!AG34)),IF('Council Entry'!AG$4="Exponential",EXP(IF(AND(ISNUMBER('Council Entry'!AG$8),ISNUMBER('Council Entry'!AG$9)),MAX(MIN('Council Entry'!AG34,'Council Entry'!AG$9),'Council Entry'!AG$8),'Council Entry'!AG34)),IF(AND(ISNUMBER('Council Entry'!AG$8),ISNUMBER('Council Entry'!AG$9)),MAX(MIN('Council Entry'!AG34,'Council Entry'!AG$9),'Council Entry'!AG$8),'Council Entry'!AG34))))-'Council Entry'!AG$5)/('Council Entry'!AG$6-'Council Entry'!AG$5),10*((IF('Council Entry'!AG$4="Logarithm",LN(0.001+IF(AND(ISNUMBER('Council Entry'!AG$8),ISNUMBER('Council Entry'!AG$9)),MAX(MIN('Council Entry'!AG34,'Council Entry'!AG$9),'Council Entry'!AG$8),'Council Entry'!AG34)),IF('Council Entry'!AG$4="Exponential",EXP(IF(AND(ISNUMBER('Council Entry'!AG$8),ISNUMBER('Council Entry'!AG$9)),MAX(MIN('Council Entry'!AG34,'Council Entry'!AG$9),'Council Entry'!AG$8),'Council Entry'!AG34)),IF(AND(ISNUMBER('Council Entry'!AG$8),ISNUMBER('Council Entry'!AG$9)),MAX(MIN('Council Entry'!AG34,'Council Entry'!AG$9),'Council Entry'!AG$8),'Council Entry'!AG34))))-'Council Entry'!AG$5)/('Council Entry'!AG$6-'Council Entry'!AG$5)),1))),"No data"))</f>
        <v/>
      </c>
      <c r="AH34" s="13">
        <f>IF('Council Entry'!AH34="","",IFERROR(MAX(0,MIN(10,ROUND(IF('Council Entry'!AH$7="Decrease Risk",10-10*((IF('Council Entry'!AH$4="Logarithm",LN(0.001+IF(AND(ISNUMBER('Council Entry'!AH$8),ISNUMBER('Council Entry'!AH$9)),MAX(MIN('Council Entry'!AH34,'Council Entry'!AH$9),'Council Entry'!AH$8),'Council Entry'!AH34)),IF('Council Entry'!AH$4="Exponential",EXP(IF(AND(ISNUMBER('Council Entry'!AH$8),ISNUMBER('Council Entry'!AH$9)),MAX(MIN('Council Entry'!AH34,'Council Entry'!AH$9),'Council Entry'!AH$8),'Council Entry'!AH34)),IF(AND(ISNUMBER('Council Entry'!AH$8),ISNUMBER('Council Entry'!AH$9)),MAX(MIN('Council Entry'!AH34,'Council Entry'!AH$9),'Council Entry'!AH$8),'Council Entry'!AH34))))-'Council Entry'!AH$5)/('Council Entry'!AH$6-'Council Entry'!AH$5),10*((IF('Council Entry'!AH$4="Logarithm",LN(0.001+IF(AND(ISNUMBER('Council Entry'!AH$8),ISNUMBER('Council Entry'!AH$9)),MAX(MIN('Council Entry'!AH34,'Council Entry'!AH$9),'Council Entry'!AH$8),'Council Entry'!AH34)),IF('Council Entry'!AH$4="Exponential",EXP(IF(AND(ISNUMBER('Council Entry'!AH$8),ISNUMBER('Council Entry'!AH$9)),MAX(MIN('Council Entry'!AH34,'Council Entry'!AH$9),'Council Entry'!AH$8),'Council Entry'!AH34)),IF(AND(ISNUMBER('Council Entry'!AH$8),ISNUMBER('Council Entry'!AH$9)),MAX(MIN('Council Entry'!AH34,'Council Entry'!AH$9),'Council Entry'!AH$8),'Council Entry'!AH34))))-'Council Entry'!AH$5)/('Council Entry'!AH$6-'Council Entry'!AH$5)),1))),"No data"))</f>
        <v/>
      </c>
      <c r="AI34" s="13">
        <f>IF('Council Entry'!AI34="","",IFERROR(MAX(0,MIN(10,ROUND(IF('Council Entry'!AI$7="Decrease Risk",10-10*((IF('Council Entry'!AI$4="Logarithm",LN(0.001+IF(AND(ISNUMBER('Council Entry'!AI$8),ISNUMBER('Council Entry'!AI$9)),MAX(MIN('Council Entry'!AI34,'Council Entry'!AI$9),'Council Entry'!AI$8),'Council Entry'!AI34)),IF('Council Entry'!AI$4="Exponential",EXP(IF(AND(ISNUMBER('Council Entry'!AI$8),ISNUMBER('Council Entry'!AI$9)),MAX(MIN('Council Entry'!AI34,'Council Entry'!AI$9),'Council Entry'!AI$8),'Council Entry'!AI34)),IF(AND(ISNUMBER('Council Entry'!AI$8),ISNUMBER('Council Entry'!AI$9)),MAX(MIN('Council Entry'!AI34,'Council Entry'!AI$9),'Council Entry'!AI$8),'Council Entry'!AI34))))-'Council Entry'!AI$5)/('Council Entry'!AI$6-'Council Entry'!AI$5),10*((IF('Council Entry'!AI$4="Logarithm",LN(0.001+IF(AND(ISNUMBER('Council Entry'!AI$8),ISNUMBER('Council Entry'!AI$9)),MAX(MIN('Council Entry'!AI34,'Council Entry'!AI$9),'Council Entry'!AI$8),'Council Entry'!AI34)),IF('Council Entry'!AI$4="Exponential",EXP(IF(AND(ISNUMBER('Council Entry'!AI$8),ISNUMBER('Council Entry'!AI$9)),MAX(MIN('Council Entry'!AI34,'Council Entry'!AI$9),'Council Entry'!AI$8),'Council Entry'!AI34)),IF(AND(ISNUMBER('Council Entry'!AI$8),ISNUMBER('Council Entry'!AI$9)),MAX(MIN('Council Entry'!AI34,'Council Entry'!AI$9),'Council Entry'!AI$8),'Council Entry'!AI34))))-'Council Entry'!AI$5)/('Council Entry'!AI$6-'Council Entry'!AI$5)),1))),"No data"))</f>
        <v/>
      </c>
      <c r="AJ34" s="13">
        <f>IF('Council Entry'!AJ34="","",IFERROR(MAX(0,MIN(10,ROUND(IF('Council Entry'!AJ$7="Decrease Risk",10-10*((IF('Council Entry'!AJ$4="Logarithm",LN(0.001+IF(AND(ISNUMBER('Council Entry'!AJ$8),ISNUMBER('Council Entry'!AJ$9)),MAX(MIN('Council Entry'!AJ34,'Council Entry'!AJ$9),'Council Entry'!AJ$8),'Council Entry'!AJ34)),IF('Council Entry'!AJ$4="Exponential",EXP(IF(AND(ISNUMBER('Council Entry'!AJ$8),ISNUMBER('Council Entry'!AJ$9)),MAX(MIN('Council Entry'!AJ34,'Council Entry'!AJ$9),'Council Entry'!AJ$8),'Council Entry'!AJ34)),IF(AND(ISNUMBER('Council Entry'!AJ$8),ISNUMBER('Council Entry'!AJ$9)),MAX(MIN('Council Entry'!AJ34,'Council Entry'!AJ$9),'Council Entry'!AJ$8),'Council Entry'!AJ34))))-'Council Entry'!AJ$5)/('Council Entry'!AJ$6-'Council Entry'!AJ$5),10*((IF('Council Entry'!AJ$4="Logarithm",LN(0.001+IF(AND(ISNUMBER('Council Entry'!AJ$8),ISNUMBER('Council Entry'!AJ$9)),MAX(MIN('Council Entry'!AJ34,'Council Entry'!AJ$9),'Council Entry'!AJ$8),'Council Entry'!AJ34)),IF('Council Entry'!AJ$4="Exponential",EXP(IF(AND(ISNUMBER('Council Entry'!AJ$8),ISNUMBER('Council Entry'!AJ$9)),MAX(MIN('Council Entry'!AJ34,'Council Entry'!AJ$9),'Council Entry'!AJ$8),'Council Entry'!AJ34)),IF(AND(ISNUMBER('Council Entry'!AJ$8),ISNUMBER('Council Entry'!AJ$9)),MAX(MIN('Council Entry'!AJ34,'Council Entry'!AJ$9),'Council Entry'!AJ$8),'Council Entry'!AJ34))))-'Council Entry'!AJ$5)/('Council Entry'!AJ$6-'Council Entry'!AJ$5)),1))),"No data"))</f>
        <v/>
      </c>
      <c r="AK34" s="13">
        <f>IF('Council Entry'!AK34="","",IFERROR(MAX(0,MIN(10,ROUND(IF('Council Entry'!AK$7="Decrease Risk",10-10*((IF('Council Entry'!AK$4="Logarithm",LN(0.001+IF(AND(ISNUMBER('Council Entry'!AK$8),ISNUMBER('Council Entry'!AK$9)),MAX(MIN('Council Entry'!AK34,'Council Entry'!AK$9),'Council Entry'!AK$8),'Council Entry'!AK34)),IF('Council Entry'!AK$4="Exponential",EXP(IF(AND(ISNUMBER('Council Entry'!AK$8),ISNUMBER('Council Entry'!AK$9)),MAX(MIN('Council Entry'!AK34,'Council Entry'!AK$9),'Council Entry'!AK$8),'Council Entry'!AK34)),IF(AND(ISNUMBER('Council Entry'!AK$8),ISNUMBER('Council Entry'!AK$9)),MAX(MIN('Council Entry'!AK34,'Council Entry'!AK$9),'Council Entry'!AK$8),'Council Entry'!AK34))))-'Council Entry'!AK$5)/('Council Entry'!AK$6-'Council Entry'!AK$5),10*((IF('Council Entry'!AK$4="Logarithm",LN(0.001+IF(AND(ISNUMBER('Council Entry'!AK$8),ISNUMBER('Council Entry'!AK$9)),MAX(MIN('Council Entry'!AK34,'Council Entry'!AK$9),'Council Entry'!AK$8),'Council Entry'!AK34)),IF('Council Entry'!AK$4="Exponential",EXP(IF(AND(ISNUMBER('Council Entry'!AK$8),ISNUMBER('Council Entry'!AK$9)),MAX(MIN('Council Entry'!AK34,'Council Entry'!AK$9),'Council Entry'!AK$8),'Council Entry'!AK34)),IF(AND(ISNUMBER('Council Entry'!AK$8),ISNUMBER('Council Entry'!AK$9)),MAX(MIN('Council Entry'!AK34,'Council Entry'!AK$9),'Council Entry'!AK$8),'Council Entry'!AK34))))-'Council Entry'!AK$5)/('Council Entry'!AK$6-'Council Entry'!AK$5)),1))),"No data"))</f>
        <v/>
      </c>
      <c r="AL34" s="13">
        <f>IF('Council Entry'!AL34="","",IFERROR(MAX(0,MIN(10,ROUND(IF('Council Entry'!AL$7="Decrease Risk",10-10*((IF('Council Entry'!AL$4="Logarithm",LN(0.001+IF(AND(ISNUMBER('Council Entry'!AL$8),ISNUMBER('Council Entry'!AL$9)),MAX(MIN('Council Entry'!AL34,'Council Entry'!AL$9),'Council Entry'!AL$8),'Council Entry'!AL34)),IF('Council Entry'!AL$4="Exponential",EXP(IF(AND(ISNUMBER('Council Entry'!AL$8),ISNUMBER('Council Entry'!AL$9)),MAX(MIN('Council Entry'!AL34,'Council Entry'!AL$9),'Council Entry'!AL$8),'Council Entry'!AL34)),IF(AND(ISNUMBER('Council Entry'!AL$8),ISNUMBER('Council Entry'!AL$9)),MAX(MIN('Council Entry'!AL34,'Council Entry'!AL$9),'Council Entry'!AL$8),'Council Entry'!AL34))))-'Council Entry'!AL$5)/('Council Entry'!AL$6-'Council Entry'!AL$5),10*((IF('Council Entry'!AL$4="Logarithm",LN(0.001+IF(AND(ISNUMBER('Council Entry'!AL$8),ISNUMBER('Council Entry'!AL$9)),MAX(MIN('Council Entry'!AL34,'Council Entry'!AL$9),'Council Entry'!AL$8),'Council Entry'!AL34)),IF('Council Entry'!AL$4="Exponential",EXP(IF(AND(ISNUMBER('Council Entry'!AL$8),ISNUMBER('Council Entry'!AL$9)),MAX(MIN('Council Entry'!AL34,'Council Entry'!AL$9),'Council Entry'!AL$8),'Council Entry'!AL34)),IF(AND(ISNUMBER('Council Entry'!AL$8),ISNUMBER('Council Entry'!AL$9)),MAX(MIN('Council Entry'!AL34,'Council Entry'!AL$9),'Council Entry'!AL$8),'Council Entry'!AL34))))-'Council Entry'!AL$5)/('Council Entry'!AL$6-'Council Entry'!AL$5)),1))),"No data"))</f>
        <v/>
      </c>
      <c r="AM34" s="13">
        <f>IF('Council Entry'!AM34="","",IFERROR(MAX(0,MIN(10,ROUND(IF('Council Entry'!AM$7="Decrease Risk",10-10*((IF('Council Entry'!AM$4="Logarithm",LN(0.001+IF(AND(ISNUMBER('Council Entry'!AM$8),ISNUMBER('Council Entry'!AM$9)),MAX(MIN('Council Entry'!AM34,'Council Entry'!AM$9),'Council Entry'!AM$8),'Council Entry'!AM34)),IF('Council Entry'!AM$4="Exponential",EXP(IF(AND(ISNUMBER('Council Entry'!AM$8),ISNUMBER('Council Entry'!AM$9)),MAX(MIN('Council Entry'!AM34,'Council Entry'!AM$9),'Council Entry'!AM$8),'Council Entry'!AM34)),IF(AND(ISNUMBER('Council Entry'!AM$8),ISNUMBER('Council Entry'!AM$9)),MAX(MIN('Council Entry'!AM34,'Council Entry'!AM$9),'Council Entry'!AM$8),'Council Entry'!AM34))))-'Council Entry'!AM$5)/('Council Entry'!AM$6-'Council Entry'!AM$5),10*((IF('Council Entry'!AM$4="Logarithm",LN(0.001+IF(AND(ISNUMBER('Council Entry'!AM$8),ISNUMBER('Council Entry'!AM$9)),MAX(MIN('Council Entry'!AM34,'Council Entry'!AM$9),'Council Entry'!AM$8),'Council Entry'!AM34)),IF('Council Entry'!AM$4="Exponential",EXP(IF(AND(ISNUMBER('Council Entry'!AM$8),ISNUMBER('Council Entry'!AM$9)),MAX(MIN('Council Entry'!AM34,'Council Entry'!AM$9),'Council Entry'!AM$8),'Council Entry'!AM34)),IF(AND(ISNUMBER('Council Entry'!AM$8),ISNUMBER('Council Entry'!AM$9)),MAX(MIN('Council Entry'!AM34,'Council Entry'!AM$9),'Council Entry'!AM$8),'Council Entry'!AM34))))-'Council Entry'!AM$5)/('Council Entry'!AM$6-'Council Entry'!AM$5)),1))),"No data"))</f>
        <v/>
      </c>
      <c r="AN34" s="13">
        <f>IF('Council Entry'!AN34="","",IFERROR(MAX(0,MIN(10,ROUND(IF('Council Entry'!AN$7="Decrease Risk",10-10*((IF('Council Entry'!AN$4="Logarithm",LN(0.001+IF(AND(ISNUMBER('Council Entry'!AN$8),ISNUMBER('Council Entry'!AN$9)),MAX(MIN('Council Entry'!AN34,'Council Entry'!AN$9),'Council Entry'!AN$8),'Council Entry'!AN34)),IF('Council Entry'!AN$4="Exponential",EXP(IF(AND(ISNUMBER('Council Entry'!AN$8),ISNUMBER('Council Entry'!AN$9)),MAX(MIN('Council Entry'!AN34,'Council Entry'!AN$9),'Council Entry'!AN$8),'Council Entry'!AN34)),IF(AND(ISNUMBER('Council Entry'!AN$8),ISNUMBER('Council Entry'!AN$9)),MAX(MIN('Council Entry'!AN34,'Council Entry'!AN$9),'Council Entry'!AN$8),'Council Entry'!AN34))))-'Council Entry'!AN$5)/('Council Entry'!AN$6-'Council Entry'!AN$5),10*((IF('Council Entry'!AN$4="Logarithm",LN(0.001+IF(AND(ISNUMBER('Council Entry'!AN$8),ISNUMBER('Council Entry'!AN$9)),MAX(MIN('Council Entry'!AN34,'Council Entry'!AN$9),'Council Entry'!AN$8),'Council Entry'!AN34)),IF('Council Entry'!AN$4="Exponential",EXP(IF(AND(ISNUMBER('Council Entry'!AN$8),ISNUMBER('Council Entry'!AN$9)),MAX(MIN('Council Entry'!AN34,'Council Entry'!AN$9),'Council Entry'!AN$8),'Council Entry'!AN34)),IF(AND(ISNUMBER('Council Entry'!AN$8),ISNUMBER('Council Entry'!AN$9)),MAX(MIN('Council Entry'!AN34,'Council Entry'!AN$9),'Council Entry'!AN$8),'Council Entry'!AN34))))-'Council Entry'!AN$5)/('Council Entry'!AN$6-'Council Entry'!AN$5)),1))),"No data"))</f>
        <v/>
      </c>
      <c r="AO34" s="13">
        <f>IF('Council Entry'!AO34="","",IFERROR(MAX(0,MIN(10,ROUND(IF('Council Entry'!AO$7="Decrease Risk",10-10*((IF('Council Entry'!AO$4="Logarithm",LN(0.001+IF(AND(ISNUMBER('Council Entry'!AO$8),ISNUMBER('Council Entry'!AO$9)),MAX(MIN('Council Entry'!AO34,'Council Entry'!AO$9),'Council Entry'!AO$8),'Council Entry'!AO34)),IF('Council Entry'!AO$4="Exponential",EXP(IF(AND(ISNUMBER('Council Entry'!AO$8),ISNUMBER('Council Entry'!AO$9)),MAX(MIN('Council Entry'!AO34,'Council Entry'!AO$9),'Council Entry'!AO$8),'Council Entry'!AO34)),IF(AND(ISNUMBER('Council Entry'!AO$8),ISNUMBER('Council Entry'!AO$9)),MAX(MIN('Council Entry'!AO34,'Council Entry'!AO$9),'Council Entry'!AO$8),'Council Entry'!AO34))))-'Council Entry'!AO$5)/('Council Entry'!AO$6-'Council Entry'!AO$5),10*((IF('Council Entry'!AO$4="Logarithm",LN(0.001+IF(AND(ISNUMBER('Council Entry'!AO$8),ISNUMBER('Council Entry'!AO$9)),MAX(MIN('Council Entry'!AO34,'Council Entry'!AO$9),'Council Entry'!AO$8),'Council Entry'!AO34)),IF('Council Entry'!AO$4="Exponential",EXP(IF(AND(ISNUMBER('Council Entry'!AO$8),ISNUMBER('Council Entry'!AO$9)),MAX(MIN('Council Entry'!AO34,'Council Entry'!AO$9),'Council Entry'!AO$8),'Council Entry'!AO34)),IF(AND(ISNUMBER('Council Entry'!AO$8),ISNUMBER('Council Entry'!AO$9)),MAX(MIN('Council Entry'!AO34,'Council Entry'!AO$9),'Council Entry'!AO$8),'Council Entry'!AO34))))-'Council Entry'!AO$5)/('Council Entry'!AO$6-'Council Entry'!AO$5)),1))),"No data"))</f>
        <v/>
      </c>
      <c r="AP34" s="13">
        <f>IF('Council Entry'!AP34="","",IFERROR(MAX(0,MIN(10,ROUND(IF('Council Entry'!AP$7="Decrease Risk",10-10*((IF('Council Entry'!AP$4="Logarithm",LN(0.001+IF(AND(ISNUMBER('Council Entry'!AP$8),ISNUMBER('Council Entry'!AP$9)),MAX(MIN('Council Entry'!AP34,'Council Entry'!AP$9),'Council Entry'!AP$8),'Council Entry'!AP34)),IF('Council Entry'!AP$4="Exponential",EXP(IF(AND(ISNUMBER('Council Entry'!AP$8),ISNUMBER('Council Entry'!AP$9)),MAX(MIN('Council Entry'!AP34,'Council Entry'!AP$9),'Council Entry'!AP$8),'Council Entry'!AP34)),IF(AND(ISNUMBER('Council Entry'!AP$8),ISNUMBER('Council Entry'!AP$9)),MAX(MIN('Council Entry'!AP34,'Council Entry'!AP$9),'Council Entry'!AP$8),'Council Entry'!AP34))))-'Council Entry'!AP$5)/('Council Entry'!AP$6-'Council Entry'!AP$5),10*((IF('Council Entry'!AP$4="Logarithm",LN(0.001+IF(AND(ISNUMBER('Council Entry'!AP$8),ISNUMBER('Council Entry'!AP$9)),MAX(MIN('Council Entry'!AP34,'Council Entry'!AP$9),'Council Entry'!AP$8),'Council Entry'!AP34)),IF('Council Entry'!AP$4="Exponential",EXP(IF(AND(ISNUMBER('Council Entry'!AP$8),ISNUMBER('Council Entry'!AP$9)),MAX(MIN('Council Entry'!AP34,'Council Entry'!AP$9),'Council Entry'!AP$8),'Council Entry'!AP34)),IF(AND(ISNUMBER('Council Entry'!AP$8),ISNUMBER('Council Entry'!AP$9)),MAX(MIN('Council Entry'!AP34,'Council Entry'!AP$9),'Council Entry'!AP$8),'Council Entry'!AP34))))-'Council Entry'!AP$5)/('Council Entry'!AP$6-'Council Entry'!AP$5)),1))),"No data"))</f>
        <v/>
      </c>
      <c r="AQ34" s="13">
        <f>IF('Council Entry'!AQ34="","",IFERROR(MAX(0,MIN(10,ROUND(IF('Council Entry'!AQ$7="Decrease Risk",10-10*((IF('Council Entry'!AQ$4="Logarithm",LN(0.001+IF(AND(ISNUMBER('Council Entry'!AQ$8),ISNUMBER('Council Entry'!AQ$9)),MAX(MIN('Council Entry'!AQ34,'Council Entry'!AQ$9),'Council Entry'!AQ$8),'Council Entry'!AQ34)),IF('Council Entry'!AQ$4="Exponential",EXP(IF(AND(ISNUMBER('Council Entry'!AQ$8),ISNUMBER('Council Entry'!AQ$9)),MAX(MIN('Council Entry'!AQ34,'Council Entry'!AQ$9),'Council Entry'!AQ$8),'Council Entry'!AQ34)),IF(AND(ISNUMBER('Council Entry'!AQ$8),ISNUMBER('Council Entry'!AQ$9)),MAX(MIN('Council Entry'!AQ34,'Council Entry'!AQ$9),'Council Entry'!AQ$8),'Council Entry'!AQ34))))-'Council Entry'!AQ$5)/('Council Entry'!AQ$6-'Council Entry'!AQ$5),10*((IF('Council Entry'!AQ$4="Logarithm",LN(0.001+IF(AND(ISNUMBER('Council Entry'!AQ$8),ISNUMBER('Council Entry'!AQ$9)),MAX(MIN('Council Entry'!AQ34,'Council Entry'!AQ$9),'Council Entry'!AQ$8),'Council Entry'!AQ34)),IF('Council Entry'!AQ$4="Exponential",EXP(IF(AND(ISNUMBER('Council Entry'!AQ$8),ISNUMBER('Council Entry'!AQ$9)),MAX(MIN('Council Entry'!AQ34,'Council Entry'!AQ$9),'Council Entry'!AQ$8),'Council Entry'!AQ34)),IF(AND(ISNUMBER('Council Entry'!AQ$8),ISNUMBER('Council Entry'!AQ$9)),MAX(MIN('Council Entry'!AQ34,'Council Entry'!AQ$9),'Council Entry'!AQ$8),'Council Entry'!AQ34))))-'Council Entry'!AQ$5)/('Council Entry'!AQ$6-'Council Entry'!AQ$5)),1))),"No data"))</f>
        <v/>
      </c>
      <c r="AR34" s="13">
        <f>IF('Council Entry'!AR34="","",IFERROR(MAX(0,MIN(10,ROUND(IF('Council Entry'!AR$7="Decrease Risk",10-10*((IF('Council Entry'!AR$4="Logarithm",LN(0.001+IF(AND(ISNUMBER('Council Entry'!AR$8),ISNUMBER('Council Entry'!AR$9)),MAX(MIN('Council Entry'!AR34,'Council Entry'!AR$9),'Council Entry'!AR$8),'Council Entry'!AR34)),IF('Council Entry'!AR$4="Exponential",EXP(IF(AND(ISNUMBER('Council Entry'!AR$8),ISNUMBER('Council Entry'!AR$9)),MAX(MIN('Council Entry'!AR34,'Council Entry'!AR$9),'Council Entry'!AR$8),'Council Entry'!AR34)),IF(AND(ISNUMBER('Council Entry'!AR$8),ISNUMBER('Council Entry'!AR$9)),MAX(MIN('Council Entry'!AR34,'Council Entry'!AR$9),'Council Entry'!AR$8),'Council Entry'!AR34))))-'Council Entry'!AR$5)/('Council Entry'!AR$6-'Council Entry'!AR$5),10*((IF('Council Entry'!AR$4="Logarithm",LN(0.001+IF(AND(ISNUMBER('Council Entry'!AR$8),ISNUMBER('Council Entry'!AR$9)),MAX(MIN('Council Entry'!AR34,'Council Entry'!AR$9),'Council Entry'!AR$8),'Council Entry'!AR34)),IF('Council Entry'!AR$4="Exponential",EXP(IF(AND(ISNUMBER('Council Entry'!AR$8),ISNUMBER('Council Entry'!AR$9)),MAX(MIN('Council Entry'!AR34,'Council Entry'!AR$9),'Council Entry'!AR$8),'Council Entry'!AR34)),IF(AND(ISNUMBER('Council Entry'!AR$8),ISNUMBER('Council Entry'!AR$9)),MAX(MIN('Council Entry'!AR34,'Council Entry'!AR$9),'Council Entry'!AR$8),'Council Entry'!AR34))))-'Council Entry'!AR$5)/('Council Entry'!AR$6-'Council Entry'!AR$5)),1))),"No data"))</f>
        <v/>
      </c>
      <c r="AS34" s="13">
        <f>IF('Council Entry'!AS34="","",IFERROR(MAX(0,MIN(10,ROUND(IF('Council Entry'!AS$7="Decrease Risk",10-10*((IF('Council Entry'!AS$4="Logarithm",LN(0.001+IF(AND(ISNUMBER('Council Entry'!AS$8),ISNUMBER('Council Entry'!AS$9)),MAX(MIN('Council Entry'!AS34,'Council Entry'!AS$9),'Council Entry'!AS$8),'Council Entry'!AS34)),IF('Council Entry'!AS$4="Exponential",EXP(IF(AND(ISNUMBER('Council Entry'!AS$8),ISNUMBER('Council Entry'!AS$9)),MAX(MIN('Council Entry'!AS34,'Council Entry'!AS$9),'Council Entry'!AS$8),'Council Entry'!AS34)),IF(AND(ISNUMBER('Council Entry'!AS$8),ISNUMBER('Council Entry'!AS$9)),MAX(MIN('Council Entry'!AS34,'Council Entry'!AS$9),'Council Entry'!AS$8),'Council Entry'!AS34))))-'Council Entry'!AS$5)/('Council Entry'!AS$6-'Council Entry'!AS$5),10*((IF('Council Entry'!AS$4="Logarithm",LN(0.001+IF(AND(ISNUMBER('Council Entry'!AS$8),ISNUMBER('Council Entry'!AS$9)),MAX(MIN('Council Entry'!AS34,'Council Entry'!AS$9),'Council Entry'!AS$8),'Council Entry'!AS34)),IF('Council Entry'!AS$4="Exponential",EXP(IF(AND(ISNUMBER('Council Entry'!AS$8),ISNUMBER('Council Entry'!AS$9)),MAX(MIN('Council Entry'!AS34,'Council Entry'!AS$9),'Council Entry'!AS$8),'Council Entry'!AS34)),IF(AND(ISNUMBER('Council Entry'!AS$8),ISNUMBER('Council Entry'!AS$9)),MAX(MIN('Council Entry'!AS34,'Council Entry'!AS$9),'Council Entry'!AS$8),'Council Entry'!AS34))))-'Council Entry'!AS$5)/('Council Entry'!AS$6-'Council Entry'!AS$5)),1))),"No data"))</f>
        <v/>
      </c>
      <c r="AT34" s="13">
        <f>IF('Council Entry'!AT34="","",IFERROR(MAX(0,MIN(10,ROUND(IF('Council Entry'!AT$7="Decrease Risk",10-10*((IF('Council Entry'!AT$4="Logarithm",LN(0.001+IF(AND(ISNUMBER('Council Entry'!AT$8),ISNUMBER('Council Entry'!AT$9)),MAX(MIN('Council Entry'!AT34,'Council Entry'!AT$9),'Council Entry'!AT$8),'Council Entry'!AT34)),IF('Council Entry'!AT$4="Exponential",EXP(IF(AND(ISNUMBER('Council Entry'!AT$8),ISNUMBER('Council Entry'!AT$9)),MAX(MIN('Council Entry'!AT34,'Council Entry'!AT$9),'Council Entry'!AT$8),'Council Entry'!AT34)),IF(AND(ISNUMBER('Council Entry'!AT$8),ISNUMBER('Council Entry'!AT$9)),MAX(MIN('Council Entry'!AT34,'Council Entry'!AT$9),'Council Entry'!AT$8),'Council Entry'!AT34))))-'Council Entry'!AT$5)/('Council Entry'!AT$6-'Council Entry'!AT$5),10*((IF('Council Entry'!AT$4="Logarithm",LN(0.001+IF(AND(ISNUMBER('Council Entry'!AT$8),ISNUMBER('Council Entry'!AT$9)),MAX(MIN('Council Entry'!AT34,'Council Entry'!AT$9),'Council Entry'!AT$8),'Council Entry'!AT34)),IF('Council Entry'!AT$4="Exponential",EXP(IF(AND(ISNUMBER('Council Entry'!AT$8),ISNUMBER('Council Entry'!AT$9)),MAX(MIN('Council Entry'!AT34,'Council Entry'!AT$9),'Council Entry'!AT$8),'Council Entry'!AT34)),IF(AND(ISNUMBER('Council Entry'!AT$8),ISNUMBER('Council Entry'!AT$9)),MAX(MIN('Council Entry'!AT34,'Council Entry'!AT$9),'Council Entry'!AT$8),'Council Entry'!AT34))))-'Council Entry'!AT$5)/('Council Entry'!AT$6-'Council Entry'!AT$5)),1))),"No data"))</f>
        <v/>
      </c>
      <c r="AU34" s="13">
        <f>IF('Council Entry'!AU34="","",IFERROR(MAX(0,MIN(10,ROUND(IF('Council Entry'!AU$7="Decrease Risk",10-10*((IF('Council Entry'!AU$4="Logarithm",LN(0.001+IF(AND(ISNUMBER('Council Entry'!AU$8),ISNUMBER('Council Entry'!AU$9)),MAX(MIN('Council Entry'!AU34,'Council Entry'!AU$9),'Council Entry'!AU$8),'Council Entry'!AU34)),IF('Council Entry'!AU$4="Exponential",EXP(IF(AND(ISNUMBER('Council Entry'!AU$8),ISNUMBER('Council Entry'!AU$9)),MAX(MIN('Council Entry'!AU34,'Council Entry'!AU$9),'Council Entry'!AU$8),'Council Entry'!AU34)),IF(AND(ISNUMBER('Council Entry'!AU$8),ISNUMBER('Council Entry'!AU$9)),MAX(MIN('Council Entry'!AU34,'Council Entry'!AU$9),'Council Entry'!AU$8),'Council Entry'!AU34))))-'Council Entry'!AU$5)/('Council Entry'!AU$6-'Council Entry'!AU$5),10*((IF('Council Entry'!AU$4="Logarithm",LN(0.001+IF(AND(ISNUMBER('Council Entry'!AU$8),ISNUMBER('Council Entry'!AU$9)),MAX(MIN('Council Entry'!AU34,'Council Entry'!AU$9),'Council Entry'!AU$8),'Council Entry'!AU34)),IF('Council Entry'!AU$4="Exponential",EXP(IF(AND(ISNUMBER('Council Entry'!AU$8),ISNUMBER('Council Entry'!AU$9)),MAX(MIN('Council Entry'!AU34,'Council Entry'!AU$9),'Council Entry'!AU$8),'Council Entry'!AU34)),IF(AND(ISNUMBER('Council Entry'!AU$8),ISNUMBER('Council Entry'!AU$9)),MAX(MIN('Council Entry'!AU34,'Council Entry'!AU$9),'Council Entry'!AU$8),'Council Entry'!AU34))))-'Council Entry'!AU$5)/('Council Entry'!AU$6-'Council Entry'!AU$5)),1))),"No data"))</f>
        <v/>
      </c>
      <c r="AV34" s="13">
        <f>IF('Council Entry'!AV34="","",IFERROR(MAX(0,MIN(10,ROUND(IF('Council Entry'!AV$7="Decrease Risk",10-10*((IF('Council Entry'!AV$4="Logarithm",LN(0.001+IF(AND(ISNUMBER('Council Entry'!AV$8),ISNUMBER('Council Entry'!AV$9)),MAX(MIN('Council Entry'!AV34,'Council Entry'!AV$9),'Council Entry'!AV$8),'Council Entry'!AV34)),IF('Council Entry'!AV$4="Exponential",EXP(IF(AND(ISNUMBER('Council Entry'!AV$8),ISNUMBER('Council Entry'!AV$9)),MAX(MIN('Council Entry'!AV34,'Council Entry'!AV$9),'Council Entry'!AV$8),'Council Entry'!AV34)),IF(AND(ISNUMBER('Council Entry'!AV$8),ISNUMBER('Council Entry'!AV$9)),MAX(MIN('Council Entry'!AV34,'Council Entry'!AV$9),'Council Entry'!AV$8),'Council Entry'!AV34))))-'Council Entry'!AV$5)/('Council Entry'!AV$6-'Council Entry'!AV$5),10*((IF('Council Entry'!AV$4="Logarithm",LN(0.001+IF(AND(ISNUMBER('Council Entry'!AV$8),ISNUMBER('Council Entry'!AV$9)),MAX(MIN('Council Entry'!AV34,'Council Entry'!AV$9),'Council Entry'!AV$8),'Council Entry'!AV34)),IF('Council Entry'!AV$4="Exponential",EXP(IF(AND(ISNUMBER('Council Entry'!AV$8),ISNUMBER('Council Entry'!AV$9)),MAX(MIN('Council Entry'!AV34,'Council Entry'!AV$9),'Council Entry'!AV$8),'Council Entry'!AV34)),IF(AND(ISNUMBER('Council Entry'!AV$8),ISNUMBER('Council Entry'!AV$9)),MAX(MIN('Council Entry'!AV34,'Council Entry'!AV$9),'Council Entry'!AV$8),'Council Entry'!AV34))))-'Council Entry'!AV$5)/('Council Entry'!AV$6-'Council Entry'!AV$5)),1))),"No data"))</f>
        <v/>
      </c>
      <c r="AW34" s="13">
        <f>IF('Council Entry'!AW34="","",IFERROR(MAX(0,MIN(10,ROUND(IF('Council Entry'!AW$7="Decrease Risk",10-10*((IF('Council Entry'!AW$4="Logarithm",LN(0.001+IF(AND(ISNUMBER('Council Entry'!AW$8),ISNUMBER('Council Entry'!AW$9)),MAX(MIN('Council Entry'!AW34,'Council Entry'!AW$9),'Council Entry'!AW$8),'Council Entry'!AW34)),IF('Council Entry'!AW$4="Exponential",EXP(IF(AND(ISNUMBER('Council Entry'!AW$8),ISNUMBER('Council Entry'!AW$9)),MAX(MIN('Council Entry'!AW34,'Council Entry'!AW$9),'Council Entry'!AW$8),'Council Entry'!AW34)),IF(AND(ISNUMBER('Council Entry'!AW$8),ISNUMBER('Council Entry'!AW$9)),MAX(MIN('Council Entry'!AW34,'Council Entry'!AW$9),'Council Entry'!AW$8),'Council Entry'!AW34))))-'Council Entry'!AW$5)/('Council Entry'!AW$6-'Council Entry'!AW$5),10*((IF('Council Entry'!AW$4="Logarithm",LN(0.001+IF(AND(ISNUMBER('Council Entry'!AW$8),ISNUMBER('Council Entry'!AW$9)),MAX(MIN('Council Entry'!AW34,'Council Entry'!AW$9),'Council Entry'!AW$8),'Council Entry'!AW34)),IF('Council Entry'!AW$4="Exponential",EXP(IF(AND(ISNUMBER('Council Entry'!AW$8),ISNUMBER('Council Entry'!AW$9)),MAX(MIN('Council Entry'!AW34,'Council Entry'!AW$9),'Council Entry'!AW$8),'Council Entry'!AW34)),IF(AND(ISNUMBER('Council Entry'!AW$8),ISNUMBER('Council Entry'!AW$9)),MAX(MIN('Council Entry'!AW34,'Council Entry'!AW$9),'Council Entry'!AW$8),'Council Entry'!AW34))))-'Council Entry'!AW$5)/('Council Entry'!AW$6-'Council Entry'!AW$5)),1))),"No data"))</f>
        <v/>
      </c>
      <c r="AX34" s="13">
        <f>IF('Council Entry'!AX34="","",IFERROR(MAX(0,MIN(10,ROUND(IF('Council Entry'!AX$7="Decrease Risk",10-10*((IF('Council Entry'!AX$4="Logarithm",LN(0.001+IF(AND(ISNUMBER('Council Entry'!AX$8),ISNUMBER('Council Entry'!AX$9)),MAX(MIN('Council Entry'!AX34,'Council Entry'!AX$9),'Council Entry'!AX$8),'Council Entry'!AX34)),IF('Council Entry'!AX$4="Exponential",EXP(IF(AND(ISNUMBER('Council Entry'!AX$8),ISNUMBER('Council Entry'!AX$9)),MAX(MIN('Council Entry'!AX34,'Council Entry'!AX$9),'Council Entry'!AX$8),'Council Entry'!AX34)),IF(AND(ISNUMBER('Council Entry'!AX$8),ISNUMBER('Council Entry'!AX$9)),MAX(MIN('Council Entry'!AX34,'Council Entry'!AX$9),'Council Entry'!AX$8),'Council Entry'!AX34))))-'Council Entry'!AX$5)/('Council Entry'!AX$6-'Council Entry'!AX$5),10*((IF('Council Entry'!AX$4="Logarithm",LN(0.001+IF(AND(ISNUMBER('Council Entry'!AX$8),ISNUMBER('Council Entry'!AX$9)),MAX(MIN('Council Entry'!AX34,'Council Entry'!AX$9),'Council Entry'!AX$8),'Council Entry'!AX34)),IF('Council Entry'!AX$4="Exponential",EXP(IF(AND(ISNUMBER('Council Entry'!AX$8),ISNUMBER('Council Entry'!AX$9)),MAX(MIN('Council Entry'!AX34,'Council Entry'!AX$9),'Council Entry'!AX$8),'Council Entry'!AX34)),IF(AND(ISNUMBER('Council Entry'!AX$8),ISNUMBER('Council Entry'!AX$9)),MAX(MIN('Council Entry'!AX34,'Council Entry'!AX$9),'Council Entry'!AX$8),'Council Entry'!AX34))))-'Council Entry'!AX$5)/('Council Entry'!AX$6-'Council Entry'!AX$5)),1))),"No data"))</f>
        <v/>
      </c>
      <c r="AY34" s="13">
        <f>IF('Council Entry'!AY34="","",IFERROR(MAX(0,MIN(10,ROUND(IF('Council Entry'!AY$7="Decrease Risk",10-10*((IF('Council Entry'!AY$4="Logarithm",LN(0.001+IF(AND(ISNUMBER('Council Entry'!AY$8),ISNUMBER('Council Entry'!AY$9)),MAX(MIN('Council Entry'!AY34,'Council Entry'!AY$9),'Council Entry'!AY$8),'Council Entry'!AY34)),IF('Council Entry'!AY$4="Exponential",EXP(IF(AND(ISNUMBER('Council Entry'!AY$8),ISNUMBER('Council Entry'!AY$9)),MAX(MIN('Council Entry'!AY34,'Council Entry'!AY$9),'Council Entry'!AY$8),'Council Entry'!AY34)),IF(AND(ISNUMBER('Council Entry'!AY$8),ISNUMBER('Council Entry'!AY$9)),MAX(MIN('Council Entry'!AY34,'Council Entry'!AY$9),'Council Entry'!AY$8),'Council Entry'!AY34))))-'Council Entry'!AY$5)/('Council Entry'!AY$6-'Council Entry'!AY$5),10*((IF('Council Entry'!AY$4="Logarithm",LN(0.001+IF(AND(ISNUMBER('Council Entry'!AY$8),ISNUMBER('Council Entry'!AY$9)),MAX(MIN('Council Entry'!AY34,'Council Entry'!AY$9),'Council Entry'!AY$8),'Council Entry'!AY34)),IF('Council Entry'!AY$4="Exponential",EXP(IF(AND(ISNUMBER('Council Entry'!AY$8),ISNUMBER('Council Entry'!AY$9)),MAX(MIN('Council Entry'!AY34,'Council Entry'!AY$9),'Council Entry'!AY$8),'Council Entry'!AY34)),IF(AND(ISNUMBER('Council Entry'!AY$8),ISNUMBER('Council Entry'!AY$9)),MAX(MIN('Council Entry'!AY34,'Council Entry'!AY$9),'Council Entry'!AY$8),'Council Entry'!AY34))))-'Council Entry'!AY$5)/('Council Entry'!AY$6-'Council Entry'!AY$5)),1))),"No data"))</f>
        <v/>
      </c>
      <c r="AZ34" s="13">
        <f>IF('Council Entry'!AZ34="","",IFERROR(MAX(0,MIN(10,ROUND(IF('Council Entry'!AZ$7="Decrease Risk",10-10*((IF('Council Entry'!AZ$4="Logarithm",LN(0.001+IF(AND(ISNUMBER('Council Entry'!AZ$8),ISNUMBER('Council Entry'!AZ$9)),MAX(MIN('Council Entry'!AZ34,'Council Entry'!AZ$9),'Council Entry'!AZ$8),'Council Entry'!AZ34)),IF('Council Entry'!AZ$4="Exponential",EXP(IF(AND(ISNUMBER('Council Entry'!AZ$8),ISNUMBER('Council Entry'!AZ$9)),MAX(MIN('Council Entry'!AZ34,'Council Entry'!AZ$9),'Council Entry'!AZ$8),'Council Entry'!AZ34)),IF(AND(ISNUMBER('Council Entry'!AZ$8),ISNUMBER('Council Entry'!AZ$9)),MAX(MIN('Council Entry'!AZ34,'Council Entry'!AZ$9),'Council Entry'!AZ$8),'Council Entry'!AZ34))))-'Council Entry'!AZ$5)/('Council Entry'!AZ$6-'Council Entry'!AZ$5),10*((IF('Council Entry'!AZ$4="Logarithm",LN(0.001+IF(AND(ISNUMBER('Council Entry'!AZ$8),ISNUMBER('Council Entry'!AZ$9)),MAX(MIN('Council Entry'!AZ34,'Council Entry'!AZ$9),'Council Entry'!AZ$8),'Council Entry'!AZ34)),IF('Council Entry'!AZ$4="Exponential",EXP(IF(AND(ISNUMBER('Council Entry'!AZ$8),ISNUMBER('Council Entry'!AZ$9)),MAX(MIN('Council Entry'!AZ34,'Council Entry'!AZ$9),'Council Entry'!AZ$8),'Council Entry'!AZ34)),IF(AND(ISNUMBER('Council Entry'!AZ$8),ISNUMBER('Council Entry'!AZ$9)),MAX(MIN('Council Entry'!AZ34,'Council Entry'!AZ$9),'Council Entry'!AZ$8),'Council Entry'!AZ34))))-'Council Entry'!AZ$5)/('Council Entry'!AZ$6-'Council Entry'!AZ$5)),1))),"No data"))</f>
        <v/>
      </c>
      <c r="BA34" s="13">
        <f>IF('Council Entry'!BA34="","",IFERROR(MAX(0,MIN(10,ROUND(IF('Council Entry'!BA$7="Decrease Risk",10-10*((IF('Council Entry'!BA$4="Logarithm",LN(0.001+IF(AND(ISNUMBER('Council Entry'!BA$8),ISNUMBER('Council Entry'!BA$9)),MAX(MIN('Council Entry'!BA34,'Council Entry'!BA$9),'Council Entry'!BA$8),'Council Entry'!BA34)),IF('Council Entry'!BA$4="Exponential",EXP(IF(AND(ISNUMBER('Council Entry'!BA$8),ISNUMBER('Council Entry'!BA$9)),MAX(MIN('Council Entry'!BA34,'Council Entry'!BA$9),'Council Entry'!BA$8),'Council Entry'!BA34)),IF(AND(ISNUMBER('Council Entry'!BA$8),ISNUMBER('Council Entry'!BA$9)),MAX(MIN('Council Entry'!BA34,'Council Entry'!BA$9),'Council Entry'!BA$8),'Council Entry'!BA34))))-'Council Entry'!BA$5)/('Council Entry'!BA$6-'Council Entry'!BA$5),10*((IF('Council Entry'!BA$4="Logarithm",LN(0.001+IF(AND(ISNUMBER('Council Entry'!BA$8),ISNUMBER('Council Entry'!BA$9)),MAX(MIN('Council Entry'!BA34,'Council Entry'!BA$9),'Council Entry'!BA$8),'Council Entry'!BA34)),IF('Council Entry'!BA$4="Exponential",EXP(IF(AND(ISNUMBER('Council Entry'!BA$8),ISNUMBER('Council Entry'!BA$9)),MAX(MIN('Council Entry'!BA34,'Council Entry'!BA$9),'Council Entry'!BA$8),'Council Entry'!BA34)),IF(AND(ISNUMBER('Council Entry'!BA$8),ISNUMBER('Council Entry'!BA$9)),MAX(MIN('Council Entry'!BA34,'Council Entry'!BA$9),'Council Entry'!BA$8),'Council Entry'!BA34))))-'Council Entry'!BA$5)/('Council Entry'!BA$6-'Council Entry'!BA$5)),1))),"No data"))</f>
        <v/>
      </c>
      <c r="BB34" s="13">
        <f>IF('Council Entry'!BB34="","",IFERROR(MAX(0,MIN(10,ROUND(IF('Council Entry'!BB$7="Decrease Risk",10-10*((IF('Council Entry'!BB$4="Logarithm",LN(0.001+IF(AND(ISNUMBER('Council Entry'!BB$8),ISNUMBER('Council Entry'!BB$9)),MAX(MIN('Council Entry'!BB34,'Council Entry'!BB$9),'Council Entry'!BB$8),'Council Entry'!BB34)),IF('Council Entry'!BB$4="Exponential",EXP(IF(AND(ISNUMBER('Council Entry'!BB$8),ISNUMBER('Council Entry'!BB$9)),MAX(MIN('Council Entry'!BB34,'Council Entry'!BB$9),'Council Entry'!BB$8),'Council Entry'!BB34)),IF(AND(ISNUMBER('Council Entry'!BB$8),ISNUMBER('Council Entry'!BB$9)),MAX(MIN('Council Entry'!BB34,'Council Entry'!BB$9),'Council Entry'!BB$8),'Council Entry'!BB34))))-'Council Entry'!BB$5)/('Council Entry'!BB$6-'Council Entry'!BB$5),10*((IF('Council Entry'!BB$4="Logarithm",LN(0.001+IF(AND(ISNUMBER('Council Entry'!BB$8),ISNUMBER('Council Entry'!BB$9)),MAX(MIN('Council Entry'!BB34,'Council Entry'!BB$9),'Council Entry'!BB$8),'Council Entry'!BB34)),IF('Council Entry'!BB$4="Exponential",EXP(IF(AND(ISNUMBER('Council Entry'!BB$8),ISNUMBER('Council Entry'!BB$9)),MAX(MIN('Council Entry'!BB34,'Council Entry'!BB$9),'Council Entry'!BB$8),'Council Entry'!BB34)),IF(AND(ISNUMBER('Council Entry'!BB$8),ISNUMBER('Council Entry'!BB$9)),MAX(MIN('Council Entry'!BB34,'Council Entry'!BB$9),'Council Entry'!BB$8),'Council Entry'!BB34))))-'Council Entry'!BB$5)/('Council Entry'!BB$6-'Council Entry'!BB$5)),1))),"No data"))</f>
        <v/>
      </c>
      <c r="BC34" s="13">
        <f>IF('Council Entry'!BC34="","",IFERROR(MAX(0,MIN(10,ROUND(IF('Council Entry'!BC$7="Decrease Risk",10-10*((IF('Council Entry'!BC$4="Logarithm",LN(0.001+IF(AND(ISNUMBER('Council Entry'!BC$8),ISNUMBER('Council Entry'!BC$9)),MAX(MIN('Council Entry'!BC34,'Council Entry'!BC$9),'Council Entry'!BC$8),'Council Entry'!BC34)),IF('Council Entry'!BC$4="Exponential",EXP(IF(AND(ISNUMBER('Council Entry'!BC$8),ISNUMBER('Council Entry'!BC$9)),MAX(MIN('Council Entry'!BC34,'Council Entry'!BC$9),'Council Entry'!BC$8),'Council Entry'!BC34)),IF(AND(ISNUMBER('Council Entry'!BC$8),ISNUMBER('Council Entry'!BC$9)),MAX(MIN('Council Entry'!BC34,'Council Entry'!BC$9),'Council Entry'!BC$8),'Council Entry'!BC34))))-'Council Entry'!BC$5)/('Council Entry'!BC$6-'Council Entry'!BC$5),10*((IF('Council Entry'!BC$4="Logarithm",LN(0.001+IF(AND(ISNUMBER('Council Entry'!BC$8),ISNUMBER('Council Entry'!BC$9)),MAX(MIN('Council Entry'!BC34,'Council Entry'!BC$9),'Council Entry'!BC$8),'Council Entry'!BC34)),IF('Council Entry'!BC$4="Exponential",EXP(IF(AND(ISNUMBER('Council Entry'!BC$8),ISNUMBER('Council Entry'!BC$9)),MAX(MIN('Council Entry'!BC34,'Council Entry'!BC$9),'Council Entry'!BC$8),'Council Entry'!BC34)),IF(AND(ISNUMBER('Council Entry'!BC$8),ISNUMBER('Council Entry'!BC$9)),MAX(MIN('Council Entry'!BC34,'Council Entry'!BC$9),'Council Entry'!BC$8),'Council Entry'!BC34))))-'Council Entry'!BC$5)/('Council Entry'!BC$6-'Council Entry'!BC$5)),1))),"No data"))</f>
        <v/>
      </c>
      <c r="BD34" s="13">
        <f>IF('Council Entry'!BD34="","",IFERROR(MAX(0,MIN(10,ROUND(IF('Council Entry'!BD$7="Decrease Risk",10-10*((IF('Council Entry'!BD$4="Logarithm",LN(0.001+IF(AND(ISNUMBER('Council Entry'!BD$8),ISNUMBER('Council Entry'!BD$9)),MAX(MIN('Council Entry'!BD34,'Council Entry'!BD$9),'Council Entry'!BD$8),'Council Entry'!BD34)),IF('Council Entry'!BD$4="Exponential",EXP(IF(AND(ISNUMBER('Council Entry'!BD$8),ISNUMBER('Council Entry'!BD$9)),MAX(MIN('Council Entry'!BD34,'Council Entry'!BD$9),'Council Entry'!BD$8),'Council Entry'!BD34)),IF(AND(ISNUMBER('Council Entry'!BD$8),ISNUMBER('Council Entry'!BD$9)),MAX(MIN('Council Entry'!BD34,'Council Entry'!BD$9),'Council Entry'!BD$8),'Council Entry'!BD34))))-'Council Entry'!BD$5)/('Council Entry'!BD$6-'Council Entry'!BD$5),10*((IF('Council Entry'!BD$4="Logarithm",LN(0.001+IF(AND(ISNUMBER('Council Entry'!BD$8),ISNUMBER('Council Entry'!BD$9)),MAX(MIN('Council Entry'!BD34,'Council Entry'!BD$9),'Council Entry'!BD$8),'Council Entry'!BD34)),IF('Council Entry'!BD$4="Exponential",EXP(IF(AND(ISNUMBER('Council Entry'!BD$8),ISNUMBER('Council Entry'!BD$9)),MAX(MIN('Council Entry'!BD34,'Council Entry'!BD$9),'Council Entry'!BD$8),'Council Entry'!BD34)),IF(AND(ISNUMBER('Council Entry'!BD$8),ISNUMBER('Council Entry'!BD$9)),MAX(MIN('Council Entry'!BD34,'Council Entry'!BD$9),'Council Entry'!BD$8),'Council Entry'!BD34))))-'Council Entry'!BD$5)/('Council Entry'!BD$6-'Council Entry'!BD$5)),1))),"No data"))</f>
        <v/>
      </c>
    </row>
    <row r="35">
      <c r="A35" t="inlineStr">
        <is>
          <t>Geita</t>
        </is>
      </c>
      <c r="B35" t="inlineStr">
        <is>
          <t>Halmashuari Ya Wilaya Ya Mbogwe District</t>
        </is>
      </c>
      <c r="C35" t="inlineStr">
        <is>
          <t>C177</t>
        </is>
      </c>
      <c r="D35" s="13">
        <f>IF('Council Entry'!D35="","",IFERROR(MAX(0,MIN(10,ROUND(IF('Council Entry'!D$7="Decrease Risk",10-10*((IF('Council Entry'!D$4="Logarithm",LN(0.001+IF(AND(ISNUMBER('Council Entry'!D$8),ISNUMBER('Council Entry'!D$9)),MAX(MIN('Council Entry'!D35,'Council Entry'!D$9),'Council Entry'!D$8),'Council Entry'!D35)),IF('Council Entry'!D$4="Exponential",EXP(IF(AND(ISNUMBER('Council Entry'!D$8),ISNUMBER('Council Entry'!D$9)),MAX(MIN('Council Entry'!D35,'Council Entry'!D$9),'Council Entry'!D$8),'Council Entry'!D35)),IF(AND(ISNUMBER('Council Entry'!D$8),ISNUMBER('Council Entry'!D$9)),MAX(MIN('Council Entry'!D35,'Council Entry'!D$9),'Council Entry'!D$8),'Council Entry'!D35))))-'Council Entry'!D$5)/('Council Entry'!D$6-'Council Entry'!D$5),10*((IF('Council Entry'!D$4="Logarithm",LN(0.001+IF(AND(ISNUMBER('Council Entry'!D$8),ISNUMBER('Council Entry'!D$9)),MAX(MIN('Council Entry'!D35,'Council Entry'!D$9),'Council Entry'!D$8),'Council Entry'!D35)),IF('Council Entry'!D$4="Exponential",EXP(IF(AND(ISNUMBER('Council Entry'!D$8),ISNUMBER('Council Entry'!D$9)),MAX(MIN('Council Entry'!D35,'Council Entry'!D$9),'Council Entry'!D$8),'Council Entry'!D35)),IF(AND(ISNUMBER('Council Entry'!D$8),ISNUMBER('Council Entry'!D$9)),MAX(MIN('Council Entry'!D35,'Council Entry'!D$9),'Council Entry'!D$8),'Council Entry'!D35))))-'Council Entry'!D$5)/('Council Entry'!D$6-'Council Entry'!D$5)),1))),"No data"))</f>
        <v/>
      </c>
      <c r="E35" s="13">
        <f>IF('Council Entry'!E35="","",IFERROR(MAX(0,MIN(10,ROUND(IF('Council Entry'!E$7="Decrease Risk",10-10*((IF('Council Entry'!E$4="Logarithm",LN(0.001+IF(AND(ISNUMBER('Council Entry'!E$8),ISNUMBER('Council Entry'!E$9)),MAX(MIN('Council Entry'!E35,'Council Entry'!E$9),'Council Entry'!E$8),'Council Entry'!E35)),IF('Council Entry'!E$4="Exponential",EXP(IF(AND(ISNUMBER('Council Entry'!E$8),ISNUMBER('Council Entry'!E$9)),MAX(MIN('Council Entry'!E35,'Council Entry'!E$9),'Council Entry'!E$8),'Council Entry'!E35)),IF(AND(ISNUMBER('Council Entry'!E$8),ISNUMBER('Council Entry'!E$9)),MAX(MIN('Council Entry'!E35,'Council Entry'!E$9),'Council Entry'!E$8),'Council Entry'!E35))))-'Council Entry'!E$5)/('Council Entry'!E$6-'Council Entry'!E$5),10*((IF('Council Entry'!E$4="Logarithm",LN(0.001+IF(AND(ISNUMBER('Council Entry'!E$8),ISNUMBER('Council Entry'!E$9)),MAX(MIN('Council Entry'!E35,'Council Entry'!E$9),'Council Entry'!E$8),'Council Entry'!E35)),IF('Council Entry'!E$4="Exponential",EXP(IF(AND(ISNUMBER('Council Entry'!E$8),ISNUMBER('Council Entry'!E$9)),MAX(MIN('Council Entry'!E35,'Council Entry'!E$9),'Council Entry'!E$8),'Council Entry'!E35)),IF(AND(ISNUMBER('Council Entry'!E$8),ISNUMBER('Council Entry'!E$9)),MAX(MIN('Council Entry'!E35,'Council Entry'!E$9),'Council Entry'!E$8),'Council Entry'!E35))))-'Council Entry'!E$5)/('Council Entry'!E$6-'Council Entry'!E$5)),1))),"No data"))</f>
        <v/>
      </c>
      <c r="F35" s="13">
        <f>IF('Council Entry'!F35="","",IFERROR(MAX(0,MIN(10,ROUND(IF('Council Entry'!F$7="Decrease Risk",10-10*((IF('Council Entry'!F$4="Logarithm",LN(0.001+IF(AND(ISNUMBER('Council Entry'!F$8),ISNUMBER('Council Entry'!F$9)),MAX(MIN('Council Entry'!F35,'Council Entry'!F$9),'Council Entry'!F$8),'Council Entry'!F35)),IF('Council Entry'!F$4="Exponential",EXP(IF(AND(ISNUMBER('Council Entry'!F$8),ISNUMBER('Council Entry'!F$9)),MAX(MIN('Council Entry'!F35,'Council Entry'!F$9),'Council Entry'!F$8),'Council Entry'!F35)),IF(AND(ISNUMBER('Council Entry'!F$8),ISNUMBER('Council Entry'!F$9)),MAX(MIN('Council Entry'!F35,'Council Entry'!F$9),'Council Entry'!F$8),'Council Entry'!F35))))-'Council Entry'!F$5)/('Council Entry'!F$6-'Council Entry'!F$5),10*((IF('Council Entry'!F$4="Logarithm",LN(0.001+IF(AND(ISNUMBER('Council Entry'!F$8),ISNUMBER('Council Entry'!F$9)),MAX(MIN('Council Entry'!F35,'Council Entry'!F$9),'Council Entry'!F$8),'Council Entry'!F35)),IF('Council Entry'!F$4="Exponential",EXP(IF(AND(ISNUMBER('Council Entry'!F$8),ISNUMBER('Council Entry'!F$9)),MAX(MIN('Council Entry'!F35,'Council Entry'!F$9),'Council Entry'!F$8),'Council Entry'!F35)),IF(AND(ISNUMBER('Council Entry'!F$8),ISNUMBER('Council Entry'!F$9)),MAX(MIN('Council Entry'!F35,'Council Entry'!F$9),'Council Entry'!F$8),'Council Entry'!F35))))-'Council Entry'!F$5)/('Council Entry'!F$6-'Council Entry'!F$5)),1))),"No data"))</f>
        <v/>
      </c>
      <c r="G35" s="13">
        <f>IF('Council Entry'!G35="","",IFERROR(MAX(0,MIN(10,ROUND(IF('Council Entry'!G$7="Decrease Risk",10-10*((IF('Council Entry'!G$4="Logarithm",LN(0.001+IF(AND(ISNUMBER('Council Entry'!G$8),ISNUMBER('Council Entry'!G$9)),MAX(MIN('Council Entry'!G35,'Council Entry'!G$9),'Council Entry'!G$8),'Council Entry'!G35)),IF('Council Entry'!G$4="Exponential",EXP(IF(AND(ISNUMBER('Council Entry'!G$8),ISNUMBER('Council Entry'!G$9)),MAX(MIN('Council Entry'!G35,'Council Entry'!G$9),'Council Entry'!G$8),'Council Entry'!G35)),IF(AND(ISNUMBER('Council Entry'!G$8),ISNUMBER('Council Entry'!G$9)),MAX(MIN('Council Entry'!G35,'Council Entry'!G$9),'Council Entry'!G$8),'Council Entry'!G35))))-'Council Entry'!G$5)/('Council Entry'!G$6-'Council Entry'!G$5),10*((IF('Council Entry'!G$4="Logarithm",LN(0.001+IF(AND(ISNUMBER('Council Entry'!G$8),ISNUMBER('Council Entry'!G$9)),MAX(MIN('Council Entry'!G35,'Council Entry'!G$9),'Council Entry'!G$8),'Council Entry'!G35)),IF('Council Entry'!G$4="Exponential",EXP(IF(AND(ISNUMBER('Council Entry'!G$8),ISNUMBER('Council Entry'!G$9)),MAX(MIN('Council Entry'!G35,'Council Entry'!G$9),'Council Entry'!G$8),'Council Entry'!G35)),IF(AND(ISNUMBER('Council Entry'!G$8),ISNUMBER('Council Entry'!G$9)),MAX(MIN('Council Entry'!G35,'Council Entry'!G$9),'Council Entry'!G$8),'Council Entry'!G35))))-'Council Entry'!G$5)/('Council Entry'!G$6-'Council Entry'!G$5)),1))),"No data"))</f>
        <v/>
      </c>
      <c r="H35" s="13">
        <f>IF('Council Entry'!H35="","",IFERROR(MAX(0,MIN(10,ROUND(IF('Council Entry'!H$7="Decrease Risk",10-10*((IF('Council Entry'!H$4="Logarithm",LN(0.001+IF(AND(ISNUMBER('Council Entry'!H$8),ISNUMBER('Council Entry'!H$9)),MAX(MIN('Council Entry'!H35,'Council Entry'!H$9),'Council Entry'!H$8),'Council Entry'!H35)),IF('Council Entry'!H$4="Exponential",EXP(IF(AND(ISNUMBER('Council Entry'!H$8),ISNUMBER('Council Entry'!H$9)),MAX(MIN('Council Entry'!H35,'Council Entry'!H$9),'Council Entry'!H$8),'Council Entry'!H35)),IF(AND(ISNUMBER('Council Entry'!H$8),ISNUMBER('Council Entry'!H$9)),MAX(MIN('Council Entry'!H35,'Council Entry'!H$9),'Council Entry'!H$8),'Council Entry'!H35))))-'Council Entry'!H$5)/('Council Entry'!H$6-'Council Entry'!H$5),10*((IF('Council Entry'!H$4="Logarithm",LN(0.001+IF(AND(ISNUMBER('Council Entry'!H$8),ISNUMBER('Council Entry'!H$9)),MAX(MIN('Council Entry'!H35,'Council Entry'!H$9),'Council Entry'!H$8),'Council Entry'!H35)),IF('Council Entry'!H$4="Exponential",EXP(IF(AND(ISNUMBER('Council Entry'!H$8),ISNUMBER('Council Entry'!H$9)),MAX(MIN('Council Entry'!H35,'Council Entry'!H$9),'Council Entry'!H$8),'Council Entry'!H35)),IF(AND(ISNUMBER('Council Entry'!H$8),ISNUMBER('Council Entry'!H$9)),MAX(MIN('Council Entry'!H35,'Council Entry'!H$9),'Council Entry'!H$8),'Council Entry'!H35))))-'Council Entry'!H$5)/('Council Entry'!H$6-'Council Entry'!H$5)),1))),"No data"))</f>
        <v/>
      </c>
      <c r="I35" s="13">
        <f>IF('Council Entry'!I35="","",IFERROR(MAX(0,MIN(10,ROUND(IF('Council Entry'!I$7="Decrease Risk",10-10*((IF('Council Entry'!I$4="Logarithm",LN(0.001+IF(AND(ISNUMBER('Council Entry'!I$8),ISNUMBER('Council Entry'!I$9)),MAX(MIN('Council Entry'!I35,'Council Entry'!I$9),'Council Entry'!I$8),'Council Entry'!I35)),IF('Council Entry'!I$4="Exponential",EXP(IF(AND(ISNUMBER('Council Entry'!I$8),ISNUMBER('Council Entry'!I$9)),MAX(MIN('Council Entry'!I35,'Council Entry'!I$9),'Council Entry'!I$8),'Council Entry'!I35)),IF(AND(ISNUMBER('Council Entry'!I$8),ISNUMBER('Council Entry'!I$9)),MAX(MIN('Council Entry'!I35,'Council Entry'!I$9),'Council Entry'!I$8),'Council Entry'!I35))))-'Council Entry'!I$5)/('Council Entry'!I$6-'Council Entry'!I$5),10*((IF('Council Entry'!I$4="Logarithm",LN(0.001+IF(AND(ISNUMBER('Council Entry'!I$8),ISNUMBER('Council Entry'!I$9)),MAX(MIN('Council Entry'!I35,'Council Entry'!I$9),'Council Entry'!I$8),'Council Entry'!I35)),IF('Council Entry'!I$4="Exponential",EXP(IF(AND(ISNUMBER('Council Entry'!I$8),ISNUMBER('Council Entry'!I$9)),MAX(MIN('Council Entry'!I35,'Council Entry'!I$9),'Council Entry'!I$8),'Council Entry'!I35)),IF(AND(ISNUMBER('Council Entry'!I$8),ISNUMBER('Council Entry'!I$9)),MAX(MIN('Council Entry'!I35,'Council Entry'!I$9),'Council Entry'!I$8),'Council Entry'!I35))))-'Council Entry'!I$5)/('Council Entry'!I$6-'Council Entry'!I$5)),1))),"No data"))</f>
        <v/>
      </c>
      <c r="J35" s="13">
        <f>IF('Council Entry'!J35="","",IFERROR(MAX(0,MIN(10,ROUND(IF('Council Entry'!J$7="Decrease Risk",10-10*((IF('Council Entry'!J$4="Logarithm",LN(0.001+IF(AND(ISNUMBER('Council Entry'!J$8),ISNUMBER('Council Entry'!J$9)),MAX(MIN('Council Entry'!J35,'Council Entry'!J$9),'Council Entry'!J$8),'Council Entry'!J35)),IF('Council Entry'!J$4="Exponential",EXP(IF(AND(ISNUMBER('Council Entry'!J$8),ISNUMBER('Council Entry'!J$9)),MAX(MIN('Council Entry'!J35,'Council Entry'!J$9),'Council Entry'!J$8),'Council Entry'!J35)),IF(AND(ISNUMBER('Council Entry'!J$8),ISNUMBER('Council Entry'!J$9)),MAX(MIN('Council Entry'!J35,'Council Entry'!J$9),'Council Entry'!J$8),'Council Entry'!J35))))-'Council Entry'!J$5)/('Council Entry'!J$6-'Council Entry'!J$5),10*((IF('Council Entry'!J$4="Logarithm",LN(0.001+IF(AND(ISNUMBER('Council Entry'!J$8),ISNUMBER('Council Entry'!J$9)),MAX(MIN('Council Entry'!J35,'Council Entry'!J$9),'Council Entry'!J$8),'Council Entry'!J35)),IF('Council Entry'!J$4="Exponential",EXP(IF(AND(ISNUMBER('Council Entry'!J$8),ISNUMBER('Council Entry'!J$9)),MAX(MIN('Council Entry'!J35,'Council Entry'!J$9),'Council Entry'!J$8),'Council Entry'!J35)),IF(AND(ISNUMBER('Council Entry'!J$8),ISNUMBER('Council Entry'!J$9)),MAX(MIN('Council Entry'!J35,'Council Entry'!J$9),'Council Entry'!J$8),'Council Entry'!J35))))-'Council Entry'!J$5)/('Council Entry'!J$6-'Council Entry'!J$5)),1))),"No data"))</f>
        <v/>
      </c>
      <c r="K35" s="13">
        <f>IF('Council Entry'!K35="","",IFERROR(MAX(0,MIN(10,ROUND(IF('Council Entry'!K$7="Decrease Risk",10-10*((IF('Council Entry'!K$4="Logarithm",LN(0.001+IF(AND(ISNUMBER('Council Entry'!K$8),ISNUMBER('Council Entry'!K$9)),MAX(MIN('Council Entry'!K35,'Council Entry'!K$9),'Council Entry'!K$8),'Council Entry'!K35)),IF('Council Entry'!K$4="Exponential",EXP(IF(AND(ISNUMBER('Council Entry'!K$8),ISNUMBER('Council Entry'!K$9)),MAX(MIN('Council Entry'!K35,'Council Entry'!K$9),'Council Entry'!K$8),'Council Entry'!K35)),IF(AND(ISNUMBER('Council Entry'!K$8),ISNUMBER('Council Entry'!K$9)),MAX(MIN('Council Entry'!K35,'Council Entry'!K$9),'Council Entry'!K$8),'Council Entry'!K35))))-'Council Entry'!K$5)/('Council Entry'!K$6-'Council Entry'!K$5),10*((IF('Council Entry'!K$4="Logarithm",LN(0.001+IF(AND(ISNUMBER('Council Entry'!K$8),ISNUMBER('Council Entry'!K$9)),MAX(MIN('Council Entry'!K35,'Council Entry'!K$9),'Council Entry'!K$8),'Council Entry'!K35)),IF('Council Entry'!K$4="Exponential",EXP(IF(AND(ISNUMBER('Council Entry'!K$8),ISNUMBER('Council Entry'!K$9)),MAX(MIN('Council Entry'!K35,'Council Entry'!K$9),'Council Entry'!K$8),'Council Entry'!K35)),IF(AND(ISNUMBER('Council Entry'!K$8),ISNUMBER('Council Entry'!K$9)),MAX(MIN('Council Entry'!K35,'Council Entry'!K$9),'Council Entry'!K$8),'Council Entry'!K35))))-'Council Entry'!K$5)/('Council Entry'!K$6-'Council Entry'!K$5)),1))),"No data"))</f>
        <v/>
      </c>
      <c r="L35" s="13">
        <f>IF('Council Entry'!L35="","",IFERROR(MAX(0,MIN(10,ROUND(IF('Council Entry'!L$7="Decrease Risk",10-10*((IF('Council Entry'!L$4="Logarithm",LN(0.001+IF(AND(ISNUMBER('Council Entry'!L$8),ISNUMBER('Council Entry'!L$9)),MAX(MIN('Council Entry'!L35,'Council Entry'!L$9),'Council Entry'!L$8),'Council Entry'!L35)),IF('Council Entry'!L$4="Exponential",EXP(IF(AND(ISNUMBER('Council Entry'!L$8),ISNUMBER('Council Entry'!L$9)),MAX(MIN('Council Entry'!L35,'Council Entry'!L$9),'Council Entry'!L$8),'Council Entry'!L35)),IF(AND(ISNUMBER('Council Entry'!L$8),ISNUMBER('Council Entry'!L$9)),MAX(MIN('Council Entry'!L35,'Council Entry'!L$9),'Council Entry'!L$8),'Council Entry'!L35))))-'Council Entry'!L$5)/('Council Entry'!L$6-'Council Entry'!L$5),10*((IF('Council Entry'!L$4="Logarithm",LN(0.001+IF(AND(ISNUMBER('Council Entry'!L$8),ISNUMBER('Council Entry'!L$9)),MAX(MIN('Council Entry'!L35,'Council Entry'!L$9),'Council Entry'!L$8),'Council Entry'!L35)),IF('Council Entry'!L$4="Exponential",EXP(IF(AND(ISNUMBER('Council Entry'!L$8),ISNUMBER('Council Entry'!L$9)),MAX(MIN('Council Entry'!L35,'Council Entry'!L$9),'Council Entry'!L$8),'Council Entry'!L35)),IF(AND(ISNUMBER('Council Entry'!L$8),ISNUMBER('Council Entry'!L$9)),MAX(MIN('Council Entry'!L35,'Council Entry'!L$9),'Council Entry'!L$8),'Council Entry'!L35))))-'Council Entry'!L$5)/('Council Entry'!L$6-'Council Entry'!L$5)),1))),"No data"))</f>
        <v/>
      </c>
      <c r="M35" s="13">
        <f>IF('Council Entry'!M35="","",IFERROR(MAX(0,MIN(10,ROUND(IF('Council Entry'!M$7="Decrease Risk",10-10*((IF('Council Entry'!M$4="Logarithm",LN(0.001+IF(AND(ISNUMBER('Council Entry'!M$8),ISNUMBER('Council Entry'!M$9)),MAX(MIN('Council Entry'!M35,'Council Entry'!M$9),'Council Entry'!M$8),'Council Entry'!M35)),IF('Council Entry'!M$4="Exponential",EXP(IF(AND(ISNUMBER('Council Entry'!M$8),ISNUMBER('Council Entry'!M$9)),MAX(MIN('Council Entry'!M35,'Council Entry'!M$9),'Council Entry'!M$8),'Council Entry'!M35)),IF(AND(ISNUMBER('Council Entry'!M$8),ISNUMBER('Council Entry'!M$9)),MAX(MIN('Council Entry'!M35,'Council Entry'!M$9),'Council Entry'!M$8),'Council Entry'!M35))))-'Council Entry'!M$5)/('Council Entry'!M$6-'Council Entry'!M$5),10*((IF('Council Entry'!M$4="Logarithm",LN(0.001+IF(AND(ISNUMBER('Council Entry'!M$8),ISNUMBER('Council Entry'!M$9)),MAX(MIN('Council Entry'!M35,'Council Entry'!M$9),'Council Entry'!M$8),'Council Entry'!M35)),IF('Council Entry'!M$4="Exponential",EXP(IF(AND(ISNUMBER('Council Entry'!M$8),ISNUMBER('Council Entry'!M$9)),MAX(MIN('Council Entry'!M35,'Council Entry'!M$9),'Council Entry'!M$8),'Council Entry'!M35)),IF(AND(ISNUMBER('Council Entry'!M$8),ISNUMBER('Council Entry'!M$9)),MAX(MIN('Council Entry'!M35,'Council Entry'!M$9),'Council Entry'!M$8),'Council Entry'!M35))))-'Council Entry'!M$5)/('Council Entry'!M$6-'Council Entry'!M$5)),1))),"No data"))</f>
        <v/>
      </c>
      <c r="N35" s="13">
        <f>IF('Council Entry'!N35="","",IFERROR(MAX(0,MIN(10,ROUND(IF('Council Entry'!N$7="Decrease Risk",10-10*((IF('Council Entry'!N$4="Logarithm",LN(0.001+IF(AND(ISNUMBER('Council Entry'!N$8),ISNUMBER('Council Entry'!N$9)),MAX(MIN('Council Entry'!N35,'Council Entry'!N$9),'Council Entry'!N$8),'Council Entry'!N35)),IF('Council Entry'!N$4="Exponential",EXP(IF(AND(ISNUMBER('Council Entry'!N$8),ISNUMBER('Council Entry'!N$9)),MAX(MIN('Council Entry'!N35,'Council Entry'!N$9),'Council Entry'!N$8),'Council Entry'!N35)),IF(AND(ISNUMBER('Council Entry'!N$8),ISNUMBER('Council Entry'!N$9)),MAX(MIN('Council Entry'!N35,'Council Entry'!N$9),'Council Entry'!N$8),'Council Entry'!N35))))-'Council Entry'!N$5)/('Council Entry'!N$6-'Council Entry'!N$5),10*((IF('Council Entry'!N$4="Logarithm",LN(0.001+IF(AND(ISNUMBER('Council Entry'!N$8),ISNUMBER('Council Entry'!N$9)),MAX(MIN('Council Entry'!N35,'Council Entry'!N$9),'Council Entry'!N$8),'Council Entry'!N35)),IF('Council Entry'!N$4="Exponential",EXP(IF(AND(ISNUMBER('Council Entry'!N$8),ISNUMBER('Council Entry'!N$9)),MAX(MIN('Council Entry'!N35,'Council Entry'!N$9),'Council Entry'!N$8),'Council Entry'!N35)),IF(AND(ISNUMBER('Council Entry'!N$8),ISNUMBER('Council Entry'!N$9)),MAX(MIN('Council Entry'!N35,'Council Entry'!N$9),'Council Entry'!N$8),'Council Entry'!N35))))-'Council Entry'!N$5)/('Council Entry'!N$6-'Council Entry'!N$5)),1))),"No data"))</f>
        <v/>
      </c>
      <c r="O35" s="13">
        <f>IF('Council Entry'!O35="","",IFERROR(MAX(0,MIN(10,ROUND(IF('Council Entry'!O$7="Decrease Risk",10-10*((IF('Council Entry'!O$4="Logarithm",LN(0.001+IF(AND(ISNUMBER('Council Entry'!O$8),ISNUMBER('Council Entry'!O$9)),MAX(MIN('Council Entry'!O35,'Council Entry'!O$9),'Council Entry'!O$8),'Council Entry'!O35)),IF('Council Entry'!O$4="Exponential",EXP(IF(AND(ISNUMBER('Council Entry'!O$8),ISNUMBER('Council Entry'!O$9)),MAX(MIN('Council Entry'!O35,'Council Entry'!O$9),'Council Entry'!O$8),'Council Entry'!O35)),IF(AND(ISNUMBER('Council Entry'!O$8),ISNUMBER('Council Entry'!O$9)),MAX(MIN('Council Entry'!O35,'Council Entry'!O$9),'Council Entry'!O$8),'Council Entry'!O35))))-'Council Entry'!O$5)/('Council Entry'!O$6-'Council Entry'!O$5),10*((IF('Council Entry'!O$4="Logarithm",LN(0.001+IF(AND(ISNUMBER('Council Entry'!O$8),ISNUMBER('Council Entry'!O$9)),MAX(MIN('Council Entry'!O35,'Council Entry'!O$9),'Council Entry'!O$8),'Council Entry'!O35)),IF('Council Entry'!O$4="Exponential",EXP(IF(AND(ISNUMBER('Council Entry'!O$8),ISNUMBER('Council Entry'!O$9)),MAX(MIN('Council Entry'!O35,'Council Entry'!O$9),'Council Entry'!O$8),'Council Entry'!O35)),IF(AND(ISNUMBER('Council Entry'!O$8),ISNUMBER('Council Entry'!O$9)),MAX(MIN('Council Entry'!O35,'Council Entry'!O$9),'Council Entry'!O$8),'Council Entry'!O35))))-'Council Entry'!O$5)/('Council Entry'!O$6-'Council Entry'!O$5)),1))),"No data"))</f>
        <v/>
      </c>
      <c r="P35" s="13">
        <f>IF('Council Entry'!P35="","",IFERROR(MAX(0,MIN(10,ROUND(IF('Council Entry'!P$7="Decrease Risk",10-10*((IF('Council Entry'!P$4="Logarithm",LN(0.001+IF(AND(ISNUMBER('Council Entry'!P$8),ISNUMBER('Council Entry'!P$9)),MAX(MIN('Council Entry'!P35,'Council Entry'!P$9),'Council Entry'!P$8),'Council Entry'!P35)),IF('Council Entry'!P$4="Exponential",EXP(IF(AND(ISNUMBER('Council Entry'!P$8),ISNUMBER('Council Entry'!P$9)),MAX(MIN('Council Entry'!P35,'Council Entry'!P$9),'Council Entry'!P$8),'Council Entry'!P35)),IF(AND(ISNUMBER('Council Entry'!P$8),ISNUMBER('Council Entry'!P$9)),MAX(MIN('Council Entry'!P35,'Council Entry'!P$9),'Council Entry'!P$8),'Council Entry'!P35))))-'Council Entry'!P$5)/('Council Entry'!P$6-'Council Entry'!P$5),10*((IF('Council Entry'!P$4="Logarithm",LN(0.001+IF(AND(ISNUMBER('Council Entry'!P$8),ISNUMBER('Council Entry'!P$9)),MAX(MIN('Council Entry'!P35,'Council Entry'!P$9),'Council Entry'!P$8),'Council Entry'!P35)),IF('Council Entry'!P$4="Exponential",EXP(IF(AND(ISNUMBER('Council Entry'!P$8),ISNUMBER('Council Entry'!P$9)),MAX(MIN('Council Entry'!P35,'Council Entry'!P$9),'Council Entry'!P$8),'Council Entry'!P35)),IF(AND(ISNUMBER('Council Entry'!P$8),ISNUMBER('Council Entry'!P$9)),MAX(MIN('Council Entry'!P35,'Council Entry'!P$9),'Council Entry'!P$8),'Council Entry'!P35))))-'Council Entry'!P$5)/('Council Entry'!P$6-'Council Entry'!P$5)),1))),"No data"))</f>
        <v/>
      </c>
      <c r="Q35" s="13">
        <f>IF('Council Entry'!Q35="","",IFERROR(MAX(0,MIN(10,ROUND(IF('Council Entry'!Q$7="Decrease Risk",10-10*((IF('Council Entry'!Q$4="Logarithm",LN(0.001+IF(AND(ISNUMBER('Council Entry'!Q$8),ISNUMBER('Council Entry'!Q$9)),MAX(MIN('Council Entry'!Q35,'Council Entry'!Q$9),'Council Entry'!Q$8),'Council Entry'!Q35)),IF('Council Entry'!Q$4="Exponential",EXP(IF(AND(ISNUMBER('Council Entry'!Q$8),ISNUMBER('Council Entry'!Q$9)),MAX(MIN('Council Entry'!Q35,'Council Entry'!Q$9),'Council Entry'!Q$8),'Council Entry'!Q35)),IF(AND(ISNUMBER('Council Entry'!Q$8),ISNUMBER('Council Entry'!Q$9)),MAX(MIN('Council Entry'!Q35,'Council Entry'!Q$9),'Council Entry'!Q$8),'Council Entry'!Q35))))-'Council Entry'!Q$5)/('Council Entry'!Q$6-'Council Entry'!Q$5),10*((IF('Council Entry'!Q$4="Logarithm",LN(0.001+IF(AND(ISNUMBER('Council Entry'!Q$8),ISNUMBER('Council Entry'!Q$9)),MAX(MIN('Council Entry'!Q35,'Council Entry'!Q$9),'Council Entry'!Q$8),'Council Entry'!Q35)),IF('Council Entry'!Q$4="Exponential",EXP(IF(AND(ISNUMBER('Council Entry'!Q$8),ISNUMBER('Council Entry'!Q$9)),MAX(MIN('Council Entry'!Q35,'Council Entry'!Q$9),'Council Entry'!Q$8),'Council Entry'!Q35)),IF(AND(ISNUMBER('Council Entry'!Q$8),ISNUMBER('Council Entry'!Q$9)),MAX(MIN('Council Entry'!Q35,'Council Entry'!Q$9),'Council Entry'!Q$8),'Council Entry'!Q35))))-'Council Entry'!Q$5)/('Council Entry'!Q$6-'Council Entry'!Q$5)),1))),"No data"))</f>
        <v/>
      </c>
      <c r="R35" s="13">
        <f>IF('Council Entry'!R35="","",IFERROR(MAX(0,MIN(10,ROUND(IF('Council Entry'!R$7="Decrease Risk",10-10*((IF('Council Entry'!R$4="Logarithm",LN(0.001+IF(AND(ISNUMBER('Council Entry'!R$8),ISNUMBER('Council Entry'!R$9)),MAX(MIN('Council Entry'!R35,'Council Entry'!R$9),'Council Entry'!R$8),'Council Entry'!R35)),IF('Council Entry'!R$4="Exponential",EXP(IF(AND(ISNUMBER('Council Entry'!R$8),ISNUMBER('Council Entry'!R$9)),MAX(MIN('Council Entry'!R35,'Council Entry'!R$9),'Council Entry'!R$8),'Council Entry'!R35)),IF(AND(ISNUMBER('Council Entry'!R$8),ISNUMBER('Council Entry'!R$9)),MAX(MIN('Council Entry'!R35,'Council Entry'!R$9),'Council Entry'!R$8),'Council Entry'!R35))))-'Council Entry'!R$5)/('Council Entry'!R$6-'Council Entry'!R$5),10*((IF('Council Entry'!R$4="Logarithm",LN(0.001+IF(AND(ISNUMBER('Council Entry'!R$8),ISNUMBER('Council Entry'!R$9)),MAX(MIN('Council Entry'!R35,'Council Entry'!R$9),'Council Entry'!R$8),'Council Entry'!R35)),IF('Council Entry'!R$4="Exponential",EXP(IF(AND(ISNUMBER('Council Entry'!R$8),ISNUMBER('Council Entry'!R$9)),MAX(MIN('Council Entry'!R35,'Council Entry'!R$9),'Council Entry'!R$8),'Council Entry'!R35)),IF(AND(ISNUMBER('Council Entry'!R$8),ISNUMBER('Council Entry'!R$9)),MAX(MIN('Council Entry'!R35,'Council Entry'!R$9),'Council Entry'!R$8),'Council Entry'!R35))))-'Council Entry'!R$5)/('Council Entry'!R$6-'Council Entry'!R$5)),1))),"No data"))</f>
        <v/>
      </c>
      <c r="S35" s="13">
        <f>IF('Council Entry'!S35="","",IFERROR(MAX(0,MIN(10,ROUND(IF('Council Entry'!S$7="Decrease Risk",10-10*((IF('Council Entry'!S$4="Logarithm",LN(0.001+IF(AND(ISNUMBER('Council Entry'!S$8),ISNUMBER('Council Entry'!S$9)),MAX(MIN('Council Entry'!S35,'Council Entry'!S$9),'Council Entry'!S$8),'Council Entry'!S35)),IF('Council Entry'!S$4="Exponential",EXP(IF(AND(ISNUMBER('Council Entry'!S$8),ISNUMBER('Council Entry'!S$9)),MAX(MIN('Council Entry'!S35,'Council Entry'!S$9),'Council Entry'!S$8),'Council Entry'!S35)),IF(AND(ISNUMBER('Council Entry'!S$8),ISNUMBER('Council Entry'!S$9)),MAX(MIN('Council Entry'!S35,'Council Entry'!S$9),'Council Entry'!S$8),'Council Entry'!S35))))-'Council Entry'!S$5)/('Council Entry'!S$6-'Council Entry'!S$5),10*((IF('Council Entry'!S$4="Logarithm",LN(0.001+IF(AND(ISNUMBER('Council Entry'!S$8),ISNUMBER('Council Entry'!S$9)),MAX(MIN('Council Entry'!S35,'Council Entry'!S$9),'Council Entry'!S$8),'Council Entry'!S35)),IF('Council Entry'!S$4="Exponential",EXP(IF(AND(ISNUMBER('Council Entry'!S$8),ISNUMBER('Council Entry'!S$9)),MAX(MIN('Council Entry'!S35,'Council Entry'!S$9),'Council Entry'!S$8),'Council Entry'!S35)),IF(AND(ISNUMBER('Council Entry'!S$8),ISNUMBER('Council Entry'!S$9)),MAX(MIN('Council Entry'!S35,'Council Entry'!S$9),'Council Entry'!S$8),'Council Entry'!S35))))-'Council Entry'!S$5)/('Council Entry'!S$6-'Council Entry'!S$5)),1))),"No data"))</f>
        <v/>
      </c>
      <c r="T35" s="13">
        <f>IF('Council Entry'!T35="","",IFERROR(MAX(0,MIN(10,ROUND(IF('Council Entry'!T$7="Decrease Risk",10-10*((IF('Council Entry'!T$4="Logarithm",LN(0.001+IF(AND(ISNUMBER('Council Entry'!T$8),ISNUMBER('Council Entry'!T$9)),MAX(MIN('Council Entry'!T35,'Council Entry'!T$9),'Council Entry'!T$8),'Council Entry'!T35)),IF('Council Entry'!T$4="Exponential",EXP(IF(AND(ISNUMBER('Council Entry'!T$8),ISNUMBER('Council Entry'!T$9)),MAX(MIN('Council Entry'!T35,'Council Entry'!T$9),'Council Entry'!T$8),'Council Entry'!T35)),IF(AND(ISNUMBER('Council Entry'!T$8),ISNUMBER('Council Entry'!T$9)),MAX(MIN('Council Entry'!T35,'Council Entry'!T$9),'Council Entry'!T$8),'Council Entry'!T35))))-'Council Entry'!T$5)/('Council Entry'!T$6-'Council Entry'!T$5),10*((IF('Council Entry'!T$4="Logarithm",LN(0.001+IF(AND(ISNUMBER('Council Entry'!T$8),ISNUMBER('Council Entry'!T$9)),MAX(MIN('Council Entry'!T35,'Council Entry'!T$9),'Council Entry'!T$8),'Council Entry'!T35)),IF('Council Entry'!T$4="Exponential",EXP(IF(AND(ISNUMBER('Council Entry'!T$8),ISNUMBER('Council Entry'!T$9)),MAX(MIN('Council Entry'!T35,'Council Entry'!T$9),'Council Entry'!T$8),'Council Entry'!T35)),IF(AND(ISNUMBER('Council Entry'!T$8),ISNUMBER('Council Entry'!T$9)),MAX(MIN('Council Entry'!T35,'Council Entry'!T$9),'Council Entry'!T$8),'Council Entry'!T35))))-'Council Entry'!T$5)/('Council Entry'!T$6-'Council Entry'!T$5)),1))),"No data"))</f>
        <v/>
      </c>
      <c r="U35" s="13">
        <f>IF('Council Entry'!U35="","",IFERROR(MAX(0,MIN(10,ROUND(IF('Council Entry'!U$7="Decrease Risk",10-10*((IF('Council Entry'!U$4="Logarithm",LN(0.001+IF(AND(ISNUMBER('Council Entry'!U$8),ISNUMBER('Council Entry'!U$9)),MAX(MIN('Council Entry'!U35,'Council Entry'!U$9),'Council Entry'!U$8),'Council Entry'!U35)),IF('Council Entry'!U$4="Exponential",EXP(IF(AND(ISNUMBER('Council Entry'!U$8),ISNUMBER('Council Entry'!U$9)),MAX(MIN('Council Entry'!U35,'Council Entry'!U$9),'Council Entry'!U$8),'Council Entry'!U35)),IF(AND(ISNUMBER('Council Entry'!U$8),ISNUMBER('Council Entry'!U$9)),MAX(MIN('Council Entry'!U35,'Council Entry'!U$9),'Council Entry'!U$8),'Council Entry'!U35))))-'Council Entry'!U$5)/('Council Entry'!U$6-'Council Entry'!U$5),10*((IF('Council Entry'!U$4="Logarithm",LN(0.001+IF(AND(ISNUMBER('Council Entry'!U$8),ISNUMBER('Council Entry'!U$9)),MAX(MIN('Council Entry'!U35,'Council Entry'!U$9),'Council Entry'!U$8),'Council Entry'!U35)),IF('Council Entry'!U$4="Exponential",EXP(IF(AND(ISNUMBER('Council Entry'!U$8),ISNUMBER('Council Entry'!U$9)),MAX(MIN('Council Entry'!U35,'Council Entry'!U$9),'Council Entry'!U$8),'Council Entry'!U35)),IF(AND(ISNUMBER('Council Entry'!U$8),ISNUMBER('Council Entry'!U$9)),MAX(MIN('Council Entry'!U35,'Council Entry'!U$9),'Council Entry'!U$8),'Council Entry'!U35))))-'Council Entry'!U$5)/('Council Entry'!U$6-'Council Entry'!U$5)),1))),"No data"))</f>
        <v/>
      </c>
      <c r="V35" s="13">
        <f>IF('Council Entry'!V35="","",IFERROR(MAX(0,MIN(10,ROUND(IF('Council Entry'!V$7="Decrease Risk",10-10*((IF('Council Entry'!V$4="Logarithm",LN(0.001+IF(AND(ISNUMBER('Council Entry'!V$8),ISNUMBER('Council Entry'!V$9)),MAX(MIN('Council Entry'!V35,'Council Entry'!V$9),'Council Entry'!V$8),'Council Entry'!V35)),IF('Council Entry'!V$4="Exponential",EXP(IF(AND(ISNUMBER('Council Entry'!V$8),ISNUMBER('Council Entry'!V$9)),MAX(MIN('Council Entry'!V35,'Council Entry'!V$9),'Council Entry'!V$8),'Council Entry'!V35)),IF(AND(ISNUMBER('Council Entry'!V$8),ISNUMBER('Council Entry'!V$9)),MAX(MIN('Council Entry'!V35,'Council Entry'!V$9),'Council Entry'!V$8),'Council Entry'!V35))))-'Council Entry'!V$5)/('Council Entry'!V$6-'Council Entry'!V$5),10*((IF('Council Entry'!V$4="Logarithm",LN(0.001+IF(AND(ISNUMBER('Council Entry'!V$8),ISNUMBER('Council Entry'!V$9)),MAX(MIN('Council Entry'!V35,'Council Entry'!V$9),'Council Entry'!V$8),'Council Entry'!V35)),IF('Council Entry'!V$4="Exponential",EXP(IF(AND(ISNUMBER('Council Entry'!V$8),ISNUMBER('Council Entry'!V$9)),MAX(MIN('Council Entry'!V35,'Council Entry'!V$9),'Council Entry'!V$8),'Council Entry'!V35)),IF(AND(ISNUMBER('Council Entry'!V$8),ISNUMBER('Council Entry'!V$9)),MAX(MIN('Council Entry'!V35,'Council Entry'!V$9),'Council Entry'!V$8),'Council Entry'!V35))))-'Council Entry'!V$5)/('Council Entry'!V$6-'Council Entry'!V$5)),1))),"No data"))</f>
        <v/>
      </c>
      <c r="W35" s="13">
        <f>IF('Council Entry'!W35="","",IFERROR(MAX(0,MIN(10,ROUND(IF('Council Entry'!W$7="Decrease Risk",10-10*((IF('Council Entry'!W$4="Logarithm",LN(0.001+IF(AND(ISNUMBER('Council Entry'!W$8),ISNUMBER('Council Entry'!W$9)),MAX(MIN('Council Entry'!W35,'Council Entry'!W$9),'Council Entry'!W$8),'Council Entry'!W35)),IF('Council Entry'!W$4="Exponential",EXP(IF(AND(ISNUMBER('Council Entry'!W$8),ISNUMBER('Council Entry'!W$9)),MAX(MIN('Council Entry'!W35,'Council Entry'!W$9),'Council Entry'!W$8),'Council Entry'!W35)),IF(AND(ISNUMBER('Council Entry'!W$8),ISNUMBER('Council Entry'!W$9)),MAX(MIN('Council Entry'!W35,'Council Entry'!W$9),'Council Entry'!W$8),'Council Entry'!W35))))-'Council Entry'!W$5)/('Council Entry'!W$6-'Council Entry'!W$5),10*((IF('Council Entry'!W$4="Logarithm",LN(0.001+IF(AND(ISNUMBER('Council Entry'!W$8),ISNUMBER('Council Entry'!W$9)),MAX(MIN('Council Entry'!W35,'Council Entry'!W$9),'Council Entry'!W$8),'Council Entry'!W35)),IF('Council Entry'!W$4="Exponential",EXP(IF(AND(ISNUMBER('Council Entry'!W$8),ISNUMBER('Council Entry'!W$9)),MAX(MIN('Council Entry'!W35,'Council Entry'!W$9),'Council Entry'!W$8),'Council Entry'!W35)),IF(AND(ISNUMBER('Council Entry'!W$8),ISNUMBER('Council Entry'!W$9)),MAX(MIN('Council Entry'!W35,'Council Entry'!W$9),'Council Entry'!W$8),'Council Entry'!W35))))-'Council Entry'!W$5)/('Council Entry'!W$6-'Council Entry'!W$5)),1))),"No data"))</f>
        <v/>
      </c>
      <c r="X35" s="13">
        <f>IF('Council Entry'!X35="","",IFERROR(MAX(0,MIN(10,ROUND(IF('Council Entry'!X$7="Decrease Risk",10-10*((IF('Council Entry'!X$4="Logarithm",LN(0.001+IF(AND(ISNUMBER('Council Entry'!X$8),ISNUMBER('Council Entry'!X$9)),MAX(MIN('Council Entry'!X35,'Council Entry'!X$9),'Council Entry'!X$8),'Council Entry'!X35)),IF('Council Entry'!X$4="Exponential",EXP(IF(AND(ISNUMBER('Council Entry'!X$8),ISNUMBER('Council Entry'!X$9)),MAX(MIN('Council Entry'!X35,'Council Entry'!X$9),'Council Entry'!X$8),'Council Entry'!X35)),IF(AND(ISNUMBER('Council Entry'!X$8),ISNUMBER('Council Entry'!X$9)),MAX(MIN('Council Entry'!X35,'Council Entry'!X$9),'Council Entry'!X$8),'Council Entry'!X35))))-'Council Entry'!X$5)/('Council Entry'!X$6-'Council Entry'!X$5),10*((IF('Council Entry'!X$4="Logarithm",LN(0.001+IF(AND(ISNUMBER('Council Entry'!X$8),ISNUMBER('Council Entry'!X$9)),MAX(MIN('Council Entry'!X35,'Council Entry'!X$9),'Council Entry'!X$8),'Council Entry'!X35)),IF('Council Entry'!X$4="Exponential",EXP(IF(AND(ISNUMBER('Council Entry'!X$8),ISNUMBER('Council Entry'!X$9)),MAX(MIN('Council Entry'!X35,'Council Entry'!X$9),'Council Entry'!X$8),'Council Entry'!X35)),IF(AND(ISNUMBER('Council Entry'!X$8),ISNUMBER('Council Entry'!X$9)),MAX(MIN('Council Entry'!X35,'Council Entry'!X$9),'Council Entry'!X$8),'Council Entry'!X35))))-'Council Entry'!X$5)/('Council Entry'!X$6-'Council Entry'!X$5)),1))),"No data"))</f>
        <v/>
      </c>
      <c r="Y35" s="13">
        <f>IF('Council Entry'!Y35="","",IFERROR(MAX(0,MIN(10,ROUND(IF('Council Entry'!Y$7="Decrease Risk",10-10*((IF('Council Entry'!Y$4="Logarithm",LN(0.001+IF(AND(ISNUMBER('Council Entry'!Y$8),ISNUMBER('Council Entry'!Y$9)),MAX(MIN('Council Entry'!Y35,'Council Entry'!Y$9),'Council Entry'!Y$8),'Council Entry'!Y35)),IF('Council Entry'!Y$4="Exponential",EXP(IF(AND(ISNUMBER('Council Entry'!Y$8),ISNUMBER('Council Entry'!Y$9)),MAX(MIN('Council Entry'!Y35,'Council Entry'!Y$9),'Council Entry'!Y$8),'Council Entry'!Y35)),IF(AND(ISNUMBER('Council Entry'!Y$8),ISNUMBER('Council Entry'!Y$9)),MAX(MIN('Council Entry'!Y35,'Council Entry'!Y$9),'Council Entry'!Y$8),'Council Entry'!Y35))))-'Council Entry'!Y$5)/('Council Entry'!Y$6-'Council Entry'!Y$5),10*((IF('Council Entry'!Y$4="Logarithm",LN(0.001+IF(AND(ISNUMBER('Council Entry'!Y$8),ISNUMBER('Council Entry'!Y$9)),MAX(MIN('Council Entry'!Y35,'Council Entry'!Y$9),'Council Entry'!Y$8),'Council Entry'!Y35)),IF('Council Entry'!Y$4="Exponential",EXP(IF(AND(ISNUMBER('Council Entry'!Y$8),ISNUMBER('Council Entry'!Y$9)),MAX(MIN('Council Entry'!Y35,'Council Entry'!Y$9),'Council Entry'!Y$8),'Council Entry'!Y35)),IF(AND(ISNUMBER('Council Entry'!Y$8),ISNUMBER('Council Entry'!Y$9)),MAX(MIN('Council Entry'!Y35,'Council Entry'!Y$9),'Council Entry'!Y$8),'Council Entry'!Y35))))-'Council Entry'!Y$5)/('Council Entry'!Y$6-'Council Entry'!Y$5)),1))),"No data"))</f>
        <v/>
      </c>
      <c r="Z35" s="13">
        <f>IF('Council Entry'!Z35="","",IFERROR(MAX(0,MIN(10,ROUND(IF('Council Entry'!Z$7="Decrease Risk",10-10*((IF('Council Entry'!Z$4="Logarithm",LN(0.001+IF(AND(ISNUMBER('Council Entry'!Z$8),ISNUMBER('Council Entry'!Z$9)),MAX(MIN('Council Entry'!Z35,'Council Entry'!Z$9),'Council Entry'!Z$8),'Council Entry'!Z35)),IF('Council Entry'!Z$4="Exponential",EXP(IF(AND(ISNUMBER('Council Entry'!Z$8),ISNUMBER('Council Entry'!Z$9)),MAX(MIN('Council Entry'!Z35,'Council Entry'!Z$9),'Council Entry'!Z$8),'Council Entry'!Z35)),IF(AND(ISNUMBER('Council Entry'!Z$8),ISNUMBER('Council Entry'!Z$9)),MAX(MIN('Council Entry'!Z35,'Council Entry'!Z$9),'Council Entry'!Z$8),'Council Entry'!Z35))))-'Council Entry'!Z$5)/('Council Entry'!Z$6-'Council Entry'!Z$5),10*((IF('Council Entry'!Z$4="Logarithm",LN(0.001+IF(AND(ISNUMBER('Council Entry'!Z$8),ISNUMBER('Council Entry'!Z$9)),MAX(MIN('Council Entry'!Z35,'Council Entry'!Z$9),'Council Entry'!Z$8),'Council Entry'!Z35)),IF('Council Entry'!Z$4="Exponential",EXP(IF(AND(ISNUMBER('Council Entry'!Z$8),ISNUMBER('Council Entry'!Z$9)),MAX(MIN('Council Entry'!Z35,'Council Entry'!Z$9),'Council Entry'!Z$8),'Council Entry'!Z35)),IF(AND(ISNUMBER('Council Entry'!Z$8),ISNUMBER('Council Entry'!Z$9)),MAX(MIN('Council Entry'!Z35,'Council Entry'!Z$9),'Council Entry'!Z$8),'Council Entry'!Z35))))-'Council Entry'!Z$5)/('Council Entry'!Z$6-'Council Entry'!Z$5)),1))),"No data"))</f>
        <v/>
      </c>
      <c r="AA35" s="13">
        <f>IF('Council Entry'!AA35="","",IFERROR(MAX(0,MIN(10,ROUND(IF('Council Entry'!AA$7="Decrease Risk",10-10*((IF('Council Entry'!AA$4="Logarithm",LN(0.001+IF(AND(ISNUMBER('Council Entry'!AA$8),ISNUMBER('Council Entry'!AA$9)),MAX(MIN('Council Entry'!AA35,'Council Entry'!AA$9),'Council Entry'!AA$8),'Council Entry'!AA35)),IF('Council Entry'!AA$4="Exponential",EXP(IF(AND(ISNUMBER('Council Entry'!AA$8),ISNUMBER('Council Entry'!AA$9)),MAX(MIN('Council Entry'!AA35,'Council Entry'!AA$9),'Council Entry'!AA$8),'Council Entry'!AA35)),IF(AND(ISNUMBER('Council Entry'!AA$8),ISNUMBER('Council Entry'!AA$9)),MAX(MIN('Council Entry'!AA35,'Council Entry'!AA$9),'Council Entry'!AA$8),'Council Entry'!AA35))))-'Council Entry'!AA$5)/('Council Entry'!AA$6-'Council Entry'!AA$5),10*((IF('Council Entry'!AA$4="Logarithm",LN(0.001+IF(AND(ISNUMBER('Council Entry'!AA$8),ISNUMBER('Council Entry'!AA$9)),MAX(MIN('Council Entry'!AA35,'Council Entry'!AA$9),'Council Entry'!AA$8),'Council Entry'!AA35)),IF('Council Entry'!AA$4="Exponential",EXP(IF(AND(ISNUMBER('Council Entry'!AA$8),ISNUMBER('Council Entry'!AA$9)),MAX(MIN('Council Entry'!AA35,'Council Entry'!AA$9),'Council Entry'!AA$8),'Council Entry'!AA35)),IF(AND(ISNUMBER('Council Entry'!AA$8),ISNUMBER('Council Entry'!AA$9)),MAX(MIN('Council Entry'!AA35,'Council Entry'!AA$9),'Council Entry'!AA$8),'Council Entry'!AA35))))-'Council Entry'!AA$5)/('Council Entry'!AA$6-'Council Entry'!AA$5)),1))),"No data"))</f>
        <v/>
      </c>
      <c r="AB35" s="13">
        <f>IF('Council Entry'!AB35="","",IFERROR(MAX(0,MIN(10,ROUND(IF('Council Entry'!AB$7="Decrease Risk",10-10*((IF('Council Entry'!AB$4="Logarithm",LN(0.001+IF(AND(ISNUMBER('Council Entry'!AB$8),ISNUMBER('Council Entry'!AB$9)),MAX(MIN('Council Entry'!AB35,'Council Entry'!AB$9),'Council Entry'!AB$8),'Council Entry'!AB35)),IF('Council Entry'!AB$4="Exponential",EXP(IF(AND(ISNUMBER('Council Entry'!AB$8),ISNUMBER('Council Entry'!AB$9)),MAX(MIN('Council Entry'!AB35,'Council Entry'!AB$9),'Council Entry'!AB$8),'Council Entry'!AB35)),IF(AND(ISNUMBER('Council Entry'!AB$8),ISNUMBER('Council Entry'!AB$9)),MAX(MIN('Council Entry'!AB35,'Council Entry'!AB$9),'Council Entry'!AB$8),'Council Entry'!AB35))))-'Council Entry'!AB$5)/('Council Entry'!AB$6-'Council Entry'!AB$5),10*((IF('Council Entry'!AB$4="Logarithm",LN(0.001+IF(AND(ISNUMBER('Council Entry'!AB$8),ISNUMBER('Council Entry'!AB$9)),MAX(MIN('Council Entry'!AB35,'Council Entry'!AB$9),'Council Entry'!AB$8),'Council Entry'!AB35)),IF('Council Entry'!AB$4="Exponential",EXP(IF(AND(ISNUMBER('Council Entry'!AB$8),ISNUMBER('Council Entry'!AB$9)),MAX(MIN('Council Entry'!AB35,'Council Entry'!AB$9),'Council Entry'!AB$8),'Council Entry'!AB35)),IF(AND(ISNUMBER('Council Entry'!AB$8),ISNUMBER('Council Entry'!AB$9)),MAX(MIN('Council Entry'!AB35,'Council Entry'!AB$9),'Council Entry'!AB$8),'Council Entry'!AB35))))-'Council Entry'!AB$5)/('Council Entry'!AB$6-'Council Entry'!AB$5)),1))),"No data"))</f>
        <v/>
      </c>
      <c r="AC35" s="13">
        <f>IF('Council Entry'!AC35="","",IFERROR(MAX(0,MIN(10,ROUND(IF('Council Entry'!AC$7="Decrease Risk",10-10*((IF('Council Entry'!AC$4="Logarithm",LN(0.001+IF(AND(ISNUMBER('Council Entry'!AC$8),ISNUMBER('Council Entry'!AC$9)),MAX(MIN('Council Entry'!AC35,'Council Entry'!AC$9),'Council Entry'!AC$8),'Council Entry'!AC35)),IF('Council Entry'!AC$4="Exponential",EXP(IF(AND(ISNUMBER('Council Entry'!AC$8),ISNUMBER('Council Entry'!AC$9)),MAX(MIN('Council Entry'!AC35,'Council Entry'!AC$9),'Council Entry'!AC$8),'Council Entry'!AC35)),IF(AND(ISNUMBER('Council Entry'!AC$8),ISNUMBER('Council Entry'!AC$9)),MAX(MIN('Council Entry'!AC35,'Council Entry'!AC$9),'Council Entry'!AC$8),'Council Entry'!AC35))))-'Council Entry'!AC$5)/('Council Entry'!AC$6-'Council Entry'!AC$5),10*((IF('Council Entry'!AC$4="Logarithm",LN(0.001+IF(AND(ISNUMBER('Council Entry'!AC$8),ISNUMBER('Council Entry'!AC$9)),MAX(MIN('Council Entry'!AC35,'Council Entry'!AC$9),'Council Entry'!AC$8),'Council Entry'!AC35)),IF('Council Entry'!AC$4="Exponential",EXP(IF(AND(ISNUMBER('Council Entry'!AC$8),ISNUMBER('Council Entry'!AC$9)),MAX(MIN('Council Entry'!AC35,'Council Entry'!AC$9),'Council Entry'!AC$8),'Council Entry'!AC35)),IF(AND(ISNUMBER('Council Entry'!AC$8),ISNUMBER('Council Entry'!AC$9)),MAX(MIN('Council Entry'!AC35,'Council Entry'!AC$9),'Council Entry'!AC$8),'Council Entry'!AC35))))-'Council Entry'!AC$5)/('Council Entry'!AC$6-'Council Entry'!AC$5)),1))),"No data"))</f>
        <v/>
      </c>
      <c r="AD35" s="13">
        <f>IF('Council Entry'!AD35="","",IFERROR(MAX(0,MIN(10,ROUND(IF('Council Entry'!AD$7="Decrease Risk",10-10*((IF('Council Entry'!AD$4="Logarithm",LN(0.001+IF(AND(ISNUMBER('Council Entry'!AD$8),ISNUMBER('Council Entry'!AD$9)),MAX(MIN('Council Entry'!AD35,'Council Entry'!AD$9),'Council Entry'!AD$8),'Council Entry'!AD35)),IF('Council Entry'!AD$4="Exponential",EXP(IF(AND(ISNUMBER('Council Entry'!AD$8),ISNUMBER('Council Entry'!AD$9)),MAX(MIN('Council Entry'!AD35,'Council Entry'!AD$9),'Council Entry'!AD$8),'Council Entry'!AD35)),IF(AND(ISNUMBER('Council Entry'!AD$8),ISNUMBER('Council Entry'!AD$9)),MAX(MIN('Council Entry'!AD35,'Council Entry'!AD$9),'Council Entry'!AD$8),'Council Entry'!AD35))))-'Council Entry'!AD$5)/('Council Entry'!AD$6-'Council Entry'!AD$5),10*((IF('Council Entry'!AD$4="Logarithm",LN(0.001+IF(AND(ISNUMBER('Council Entry'!AD$8),ISNUMBER('Council Entry'!AD$9)),MAX(MIN('Council Entry'!AD35,'Council Entry'!AD$9),'Council Entry'!AD$8),'Council Entry'!AD35)),IF('Council Entry'!AD$4="Exponential",EXP(IF(AND(ISNUMBER('Council Entry'!AD$8),ISNUMBER('Council Entry'!AD$9)),MAX(MIN('Council Entry'!AD35,'Council Entry'!AD$9),'Council Entry'!AD$8),'Council Entry'!AD35)),IF(AND(ISNUMBER('Council Entry'!AD$8),ISNUMBER('Council Entry'!AD$9)),MAX(MIN('Council Entry'!AD35,'Council Entry'!AD$9),'Council Entry'!AD$8),'Council Entry'!AD35))))-'Council Entry'!AD$5)/('Council Entry'!AD$6-'Council Entry'!AD$5)),1))),"No data"))</f>
        <v/>
      </c>
      <c r="AE35" s="13">
        <f>IF('Council Entry'!AE35="","",IFERROR(MAX(0,MIN(10,ROUND(IF('Council Entry'!AE$7="Decrease Risk",10-10*((IF('Council Entry'!AE$4="Logarithm",LN(0.001+IF(AND(ISNUMBER('Council Entry'!AE$8),ISNUMBER('Council Entry'!AE$9)),MAX(MIN('Council Entry'!AE35,'Council Entry'!AE$9),'Council Entry'!AE$8),'Council Entry'!AE35)),IF('Council Entry'!AE$4="Exponential",EXP(IF(AND(ISNUMBER('Council Entry'!AE$8),ISNUMBER('Council Entry'!AE$9)),MAX(MIN('Council Entry'!AE35,'Council Entry'!AE$9),'Council Entry'!AE$8),'Council Entry'!AE35)),IF(AND(ISNUMBER('Council Entry'!AE$8),ISNUMBER('Council Entry'!AE$9)),MAX(MIN('Council Entry'!AE35,'Council Entry'!AE$9),'Council Entry'!AE$8),'Council Entry'!AE35))))-'Council Entry'!AE$5)/('Council Entry'!AE$6-'Council Entry'!AE$5),10*((IF('Council Entry'!AE$4="Logarithm",LN(0.001+IF(AND(ISNUMBER('Council Entry'!AE$8),ISNUMBER('Council Entry'!AE$9)),MAX(MIN('Council Entry'!AE35,'Council Entry'!AE$9),'Council Entry'!AE$8),'Council Entry'!AE35)),IF('Council Entry'!AE$4="Exponential",EXP(IF(AND(ISNUMBER('Council Entry'!AE$8),ISNUMBER('Council Entry'!AE$9)),MAX(MIN('Council Entry'!AE35,'Council Entry'!AE$9),'Council Entry'!AE$8),'Council Entry'!AE35)),IF(AND(ISNUMBER('Council Entry'!AE$8),ISNUMBER('Council Entry'!AE$9)),MAX(MIN('Council Entry'!AE35,'Council Entry'!AE$9),'Council Entry'!AE$8),'Council Entry'!AE35))))-'Council Entry'!AE$5)/('Council Entry'!AE$6-'Council Entry'!AE$5)),1))),"No data"))</f>
        <v/>
      </c>
      <c r="AF35" s="13">
        <f>IF('Council Entry'!AF35="","",IFERROR(MAX(0,MIN(10,ROUND(IF('Council Entry'!AF$7="Decrease Risk",10-10*((IF('Council Entry'!AF$4="Logarithm",LN(0.001+IF(AND(ISNUMBER('Council Entry'!AF$8),ISNUMBER('Council Entry'!AF$9)),MAX(MIN('Council Entry'!AF35,'Council Entry'!AF$9),'Council Entry'!AF$8),'Council Entry'!AF35)),IF('Council Entry'!AF$4="Exponential",EXP(IF(AND(ISNUMBER('Council Entry'!AF$8),ISNUMBER('Council Entry'!AF$9)),MAX(MIN('Council Entry'!AF35,'Council Entry'!AF$9),'Council Entry'!AF$8),'Council Entry'!AF35)),IF(AND(ISNUMBER('Council Entry'!AF$8),ISNUMBER('Council Entry'!AF$9)),MAX(MIN('Council Entry'!AF35,'Council Entry'!AF$9),'Council Entry'!AF$8),'Council Entry'!AF35))))-'Council Entry'!AF$5)/('Council Entry'!AF$6-'Council Entry'!AF$5),10*((IF('Council Entry'!AF$4="Logarithm",LN(0.001+IF(AND(ISNUMBER('Council Entry'!AF$8),ISNUMBER('Council Entry'!AF$9)),MAX(MIN('Council Entry'!AF35,'Council Entry'!AF$9),'Council Entry'!AF$8),'Council Entry'!AF35)),IF('Council Entry'!AF$4="Exponential",EXP(IF(AND(ISNUMBER('Council Entry'!AF$8),ISNUMBER('Council Entry'!AF$9)),MAX(MIN('Council Entry'!AF35,'Council Entry'!AF$9),'Council Entry'!AF$8),'Council Entry'!AF35)),IF(AND(ISNUMBER('Council Entry'!AF$8),ISNUMBER('Council Entry'!AF$9)),MAX(MIN('Council Entry'!AF35,'Council Entry'!AF$9),'Council Entry'!AF$8),'Council Entry'!AF35))))-'Council Entry'!AF$5)/('Council Entry'!AF$6-'Council Entry'!AF$5)),1))),"No data"))</f>
        <v/>
      </c>
      <c r="AG35" s="13">
        <f>IF('Council Entry'!AG35="","",IFERROR(MAX(0,MIN(10,ROUND(IF('Council Entry'!AG$7="Decrease Risk",10-10*((IF('Council Entry'!AG$4="Logarithm",LN(0.001+IF(AND(ISNUMBER('Council Entry'!AG$8),ISNUMBER('Council Entry'!AG$9)),MAX(MIN('Council Entry'!AG35,'Council Entry'!AG$9),'Council Entry'!AG$8),'Council Entry'!AG35)),IF('Council Entry'!AG$4="Exponential",EXP(IF(AND(ISNUMBER('Council Entry'!AG$8),ISNUMBER('Council Entry'!AG$9)),MAX(MIN('Council Entry'!AG35,'Council Entry'!AG$9),'Council Entry'!AG$8),'Council Entry'!AG35)),IF(AND(ISNUMBER('Council Entry'!AG$8),ISNUMBER('Council Entry'!AG$9)),MAX(MIN('Council Entry'!AG35,'Council Entry'!AG$9),'Council Entry'!AG$8),'Council Entry'!AG35))))-'Council Entry'!AG$5)/('Council Entry'!AG$6-'Council Entry'!AG$5),10*((IF('Council Entry'!AG$4="Logarithm",LN(0.001+IF(AND(ISNUMBER('Council Entry'!AG$8),ISNUMBER('Council Entry'!AG$9)),MAX(MIN('Council Entry'!AG35,'Council Entry'!AG$9),'Council Entry'!AG$8),'Council Entry'!AG35)),IF('Council Entry'!AG$4="Exponential",EXP(IF(AND(ISNUMBER('Council Entry'!AG$8),ISNUMBER('Council Entry'!AG$9)),MAX(MIN('Council Entry'!AG35,'Council Entry'!AG$9),'Council Entry'!AG$8),'Council Entry'!AG35)),IF(AND(ISNUMBER('Council Entry'!AG$8),ISNUMBER('Council Entry'!AG$9)),MAX(MIN('Council Entry'!AG35,'Council Entry'!AG$9),'Council Entry'!AG$8),'Council Entry'!AG35))))-'Council Entry'!AG$5)/('Council Entry'!AG$6-'Council Entry'!AG$5)),1))),"No data"))</f>
        <v/>
      </c>
      <c r="AH35" s="13">
        <f>IF('Council Entry'!AH35="","",IFERROR(MAX(0,MIN(10,ROUND(IF('Council Entry'!AH$7="Decrease Risk",10-10*((IF('Council Entry'!AH$4="Logarithm",LN(0.001+IF(AND(ISNUMBER('Council Entry'!AH$8),ISNUMBER('Council Entry'!AH$9)),MAX(MIN('Council Entry'!AH35,'Council Entry'!AH$9),'Council Entry'!AH$8),'Council Entry'!AH35)),IF('Council Entry'!AH$4="Exponential",EXP(IF(AND(ISNUMBER('Council Entry'!AH$8),ISNUMBER('Council Entry'!AH$9)),MAX(MIN('Council Entry'!AH35,'Council Entry'!AH$9),'Council Entry'!AH$8),'Council Entry'!AH35)),IF(AND(ISNUMBER('Council Entry'!AH$8),ISNUMBER('Council Entry'!AH$9)),MAX(MIN('Council Entry'!AH35,'Council Entry'!AH$9),'Council Entry'!AH$8),'Council Entry'!AH35))))-'Council Entry'!AH$5)/('Council Entry'!AH$6-'Council Entry'!AH$5),10*((IF('Council Entry'!AH$4="Logarithm",LN(0.001+IF(AND(ISNUMBER('Council Entry'!AH$8),ISNUMBER('Council Entry'!AH$9)),MAX(MIN('Council Entry'!AH35,'Council Entry'!AH$9),'Council Entry'!AH$8),'Council Entry'!AH35)),IF('Council Entry'!AH$4="Exponential",EXP(IF(AND(ISNUMBER('Council Entry'!AH$8),ISNUMBER('Council Entry'!AH$9)),MAX(MIN('Council Entry'!AH35,'Council Entry'!AH$9),'Council Entry'!AH$8),'Council Entry'!AH35)),IF(AND(ISNUMBER('Council Entry'!AH$8),ISNUMBER('Council Entry'!AH$9)),MAX(MIN('Council Entry'!AH35,'Council Entry'!AH$9),'Council Entry'!AH$8),'Council Entry'!AH35))))-'Council Entry'!AH$5)/('Council Entry'!AH$6-'Council Entry'!AH$5)),1))),"No data"))</f>
        <v/>
      </c>
      <c r="AI35" s="13">
        <f>IF('Council Entry'!AI35="","",IFERROR(MAX(0,MIN(10,ROUND(IF('Council Entry'!AI$7="Decrease Risk",10-10*((IF('Council Entry'!AI$4="Logarithm",LN(0.001+IF(AND(ISNUMBER('Council Entry'!AI$8),ISNUMBER('Council Entry'!AI$9)),MAX(MIN('Council Entry'!AI35,'Council Entry'!AI$9),'Council Entry'!AI$8),'Council Entry'!AI35)),IF('Council Entry'!AI$4="Exponential",EXP(IF(AND(ISNUMBER('Council Entry'!AI$8),ISNUMBER('Council Entry'!AI$9)),MAX(MIN('Council Entry'!AI35,'Council Entry'!AI$9),'Council Entry'!AI$8),'Council Entry'!AI35)),IF(AND(ISNUMBER('Council Entry'!AI$8),ISNUMBER('Council Entry'!AI$9)),MAX(MIN('Council Entry'!AI35,'Council Entry'!AI$9),'Council Entry'!AI$8),'Council Entry'!AI35))))-'Council Entry'!AI$5)/('Council Entry'!AI$6-'Council Entry'!AI$5),10*((IF('Council Entry'!AI$4="Logarithm",LN(0.001+IF(AND(ISNUMBER('Council Entry'!AI$8),ISNUMBER('Council Entry'!AI$9)),MAX(MIN('Council Entry'!AI35,'Council Entry'!AI$9),'Council Entry'!AI$8),'Council Entry'!AI35)),IF('Council Entry'!AI$4="Exponential",EXP(IF(AND(ISNUMBER('Council Entry'!AI$8),ISNUMBER('Council Entry'!AI$9)),MAX(MIN('Council Entry'!AI35,'Council Entry'!AI$9),'Council Entry'!AI$8),'Council Entry'!AI35)),IF(AND(ISNUMBER('Council Entry'!AI$8),ISNUMBER('Council Entry'!AI$9)),MAX(MIN('Council Entry'!AI35,'Council Entry'!AI$9),'Council Entry'!AI$8),'Council Entry'!AI35))))-'Council Entry'!AI$5)/('Council Entry'!AI$6-'Council Entry'!AI$5)),1))),"No data"))</f>
        <v/>
      </c>
      <c r="AJ35" s="13">
        <f>IF('Council Entry'!AJ35="","",IFERROR(MAX(0,MIN(10,ROUND(IF('Council Entry'!AJ$7="Decrease Risk",10-10*((IF('Council Entry'!AJ$4="Logarithm",LN(0.001+IF(AND(ISNUMBER('Council Entry'!AJ$8),ISNUMBER('Council Entry'!AJ$9)),MAX(MIN('Council Entry'!AJ35,'Council Entry'!AJ$9),'Council Entry'!AJ$8),'Council Entry'!AJ35)),IF('Council Entry'!AJ$4="Exponential",EXP(IF(AND(ISNUMBER('Council Entry'!AJ$8),ISNUMBER('Council Entry'!AJ$9)),MAX(MIN('Council Entry'!AJ35,'Council Entry'!AJ$9),'Council Entry'!AJ$8),'Council Entry'!AJ35)),IF(AND(ISNUMBER('Council Entry'!AJ$8),ISNUMBER('Council Entry'!AJ$9)),MAX(MIN('Council Entry'!AJ35,'Council Entry'!AJ$9),'Council Entry'!AJ$8),'Council Entry'!AJ35))))-'Council Entry'!AJ$5)/('Council Entry'!AJ$6-'Council Entry'!AJ$5),10*((IF('Council Entry'!AJ$4="Logarithm",LN(0.001+IF(AND(ISNUMBER('Council Entry'!AJ$8),ISNUMBER('Council Entry'!AJ$9)),MAX(MIN('Council Entry'!AJ35,'Council Entry'!AJ$9),'Council Entry'!AJ$8),'Council Entry'!AJ35)),IF('Council Entry'!AJ$4="Exponential",EXP(IF(AND(ISNUMBER('Council Entry'!AJ$8),ISNUMBER('Council Entry'!AJ$9)),MAX(MIN('Council Entry'!AJ35,'Council Entry'!AJ$9),'Council Entry'!AJ$8),'Council Entry'!AJ35)),IF(AND(ISNUMBER('Council Entry'!AJ$8),ISNUMBER('Council Entry'!AJ$9)),MAX(MIN('Council Entry'!AJ35,'Council Entry'!AJ$9),'Council Entry'!AJ$8),'Council Entry'!AJ35))))-'Council Entry'!AJ$5)/('Council Entry'!AJ$6-'Council Entry'!AJ$5)),1))),"No data"))</f>
        <v/>
      </c>
      <c r="AK35" s="13">
        <f>IF('Council Entry'!AK35="","",IFERROR(MAX(0,MIN(10,ROUND(IF('Council Entry'!AK$7="Decrease Risk",10-10*((IF('Council Entry'!AK$4="Logarithm",LN(0.001+IF(AND(ISNUMBER('Council Entry'!AK$8),ISNUMBER('Council Entry'!AK$9)),MAX(MIN('Council Entry'!AK35,'Council Entry'!AK$9),'Council Entry'!AK$8),'Council Entry'!AK35)),IF('Council Entry'!AK$4="Exponential",EXP(IF(AND(ISNUMBER('Council Entry'!AK$8),ISNUMBER('Council Entry'!AK$9)),MAX(MIN('Council Entry'!AK35,'Council Entry'!AK$9),'Council Entry'!AK$8),'Council Entry'!AK35)),IF(AND(ISNUMBER('Council Entry'!AK$8),ISNUMBER('Council Entry'!AK$9)),MAX(MIN('Council Entry'!AK35,'Council Entry'!AK$9),'Council Entry'!AK$8),'Council Entry'!AK35))))-'Council Entry'!AK$5)/('Council Entry'!AK$6-'Council Entry'!AK$5),10*((IF('Council Entry'!AK$4="Logarithm",LN(0.001+IF(AND(ISNUMBER('Council Entry'!AK$8),ISNUMBER('Council Entry'!AK$9)),MAX(MIN('Council Entry'!AK35,'Council Entry'!AK$9),'Council Entry'!AK$8),'Council Entry'!AK35)),IF('Council Entry'!AK$4="Exponential",EXP(IF(AND(ISNUMBER('Council Entry'!AK$8),ISNUMBER('Council Entry'!AK$9)),MAX(MIN('Council Entry'!AK35,'Council Entry'!AK$9),'Council Entry'!AK$8),'Council Entry'!AK35)),IF(AND(ISNUMBER('Council Entry'!AK$8),ISNUMBER('Council Entry'!AK$9)),MAX(MIN('Council Entry'!AK35,'Council Entry'!AK$9),'Council Entry'!AK$8),'Council Entry'!AK35))))-'Council Entry'!AK$5)/('Council Entry'!AK$6-'Council Entry'!AK$5)),1))),"No data"))</f>
        <v/>
      </c>
      <c r="AL35" s="13">
        <f>IF('Council Entry'!AL35="","",IFERROR(MAX(0,MIN(10,ROUND(IF('Council Entry'!AL$7="Decrease Risk",10-10*((IF('Council Entry'!AL$4="Logarithm",LN(0.001+IF(AND(ISNUMBER('Council Entry'!AL$8),ISNUMBER('Council Entry'!AL$9)),MAX(MIN('Council Entry'!AL35,'Council Entry'!AL$9),'Council Entry'!AL$8),'Council Entry'!AL35)),IF('Council Entry'!AL$4="Exponential",EXP(IF(AND(ISNUMBER('Council Entry'!AL$8),ISNUMBER('Council Entry'!AL$9)),MAX(MIN('Council Entry'!AL35,'Council Entry'!AL$9),'Council Entry'!AL$8),'Council Entry'!AL35)),IF(AND(ISNUMBER('Council Entry'!AL$8),ISNUMBER('Council Entry'!AL$9)),MAX(MIN('Council Entry'!AL35,'Council Entry'!AL$9),'Council Entry'!AL$8),'Council Entry'!AL35))))-'Council Entry'!AL$5)/('Council Entry'!AL$6-'Council Entry'!AL$5),10*((IF('Council Entry'!AL$4="Logarithm",LN(0.001+IF(AND(ISNUMBER('Council Entry'!AL$8),ISNUMBER('Council Entry'!AL$9)),MAX(MIN('Council Entry'!AL35,'Council Entry'!AL$9),'Council Entry'!AL$8),'Council Entry'!AL35)),IF('Council Entry'!AL$4="Exponential",EXP(IF(AND(ISNUMBER('Council Entry'!AL$8),ISNUMBER('Council Entry'!AL$9)),MAX(MIN('Council Entry'!AL35,'Council Entry'!AL$9),'Council Entry'!AL$8),'Council Entry'!AL35)),IF(AND(ISNUMBER('Council Entry'!AL$8),ISNUMBER('Council Entry'!AL$9)),MAX(MIN('Council Entry'!AL35,'Council Entry'!AL$9),'Council Entry'!AL$8),'Council Entry'!AL35))))-'Council Entry'!AL$5)/('Council Entry'!AL$6-'Council Entry'!AL$5)),1))),"No data"))</f>
        <v/>
      </c>
      <c r="AM35" s="13">
        <f>IF('Council Entry'!AM35="","",IFERROR(MAX(0,MIN(10,ROUND(IF('Council Entry'!AM$7="Decrease Risk",10-10*((IF('Council Entry'!AM$4="Logarithm",LN(0.001+IF(AND(ISNUMBER('Council Entry'!AM$8),ISNUMBER('Council Entry'!AM$9)),MAX(MIN('Council Entry'!AM35,'Council Entry'!AM$9),'Council Entry'!AM$8),'Council Entry'!AM35)),IF('Council Entry'!AM$4="Exponential",EXP(IF(AND(ISNUMBER('Council Entry'!AM$8),ISNUMBER('Council Entry'!AM$9)),MAX(MIN('Council Entry'!AM35,'Council Entry'!AM$9),'Council Entry'!AM$8),'Council Entry'!AM35)),IF(AND(ISNUMBER('Council Entry'!AM$8),ISNUMBER('Council Entry'!AM$9)),MAX(MIN('Council Entry'!AM35,'Council Entry'!AM$9),'Council Entry'!AM$8),'Council Entry'!AM35))))-'Council Entry'!AM$5)/('Council Entry'!AM$6-'Council Entry'!AM$5),10*((IF('Council Entry'!AM$4="Logarithm",LN(0.001+IF(AND(ISNUMBER('Council Entry'!AM$8),ISNUMBER('Council Entry'!AM$9)),MAX(MIN('Council Entry'!AM35,'Council Entry'!AM$9),'Council Entry'!AM$8),'Council Entry'!AM35)),IF('Council Entry'!AM$4="Exponential",EXP(IF(AND(ISNUMBER('Council Entry'!AM$8),ISNUMBER('Council Entry'!AM$9)),MAX(MIN('Council Entry'!AM35,'Council Entry'!AM$9),'Council Entry'!AM$8),'Council Entry'!AM35)),IF(AND(ISNUMBER('Council Entry'!AM$8),ISNUMBER('Council Entry'!AM$9)),MAX(MIN('Council Entry'!AM35,'Council Entry'!AM$9),'Council Entry'!AM$8),'Council Entry'!AM35))))-'Council Entry'!AM$5)/('Council Entry'!AM$6-'Council Entry'!AM$5)),1))),"No data"))</f>
        <v/>
      </c>
      <c r="AN35" s="13">
        <f>IF('Council Entry'!AN35="","",IFERROR(MAX(0,MIN(10,ROUND(IF('Council Entry'!AN$7="Decrease Risk",10-10*((IF('Council Entry'!AN$4="Logarithm",LN(0.001+IF(AND(ISNUMBER('Council Entry'!AN$8),ISNUMBER('Council Entry'!AN$9)),MAX(MIN('Council Entry'!AN35,'Council Entry'!AN$9),'Council Entry'!AN$8),'Council Entry'!AN35)),IF('Council Entry'!AN$4="Exponential",EXP(IF(AND(ISNUMBER('Council Entry'!AN$8),ISNUMBER('Council Entry'!AN$9)),MAX(MIN('Council Entry'!AN35,'Council Entry'!AN$9),'Council Entry'!AN$8),'Council Entry'!AN35)),IF(AND(ISNUMBER('Council Entry'!AN$8),ISNUMBER('Council Entry'!AN$9)),MAX(MIN('Council Entry'!AN35,'Council Entry'!AN$9),'Council Entry'!AN$8),'Council Entry'!AN35))))-'Council Entry'!AN$5)/('Council Entry'!AN$6-'Council Entry'!AN$5),10*((IF('Council Entry'!AN$4="Logarithm",LN(0.001+IF(AND(ISNUMBER('Council Entry'!AN$8),ISNUMBER('Council Entry'!AN$9)),MAX(MIN('Council Entry'!AN35,'Council Entry'!AN$9),'Council Entry'!AN$8),'Council Entry'!AN35)),IF('Council Entry'!AN$4="Exponential",EXP(IF(AND(ISNUMBER('Council Entry'!AN$8),ISNUMBER('Council Entry'!AN$9)),MAX(MIN('Council Entry'!AN35,'Council Entry'!AN$9),'Council Entry'!AN$8),'Council Entry'!AN35)),IF(AND(ISNUMBER('Council Entry'!AN$8),ISNUMBER('Council Entry'!AN$9)),MAX(MIN('Council Entry'!AN35,'Council Entry'!AN$9),'Council Entry'!AN$8),'Council Entry'!AN35))))-'Council Entry'!AN$5)/('Council Entry'!AN$6-'Council Entry'!AN$5)),1))),"No data"))</f>
        <v/>
      </c>
      <c r="AO35" s="13">
        <f>IF('Council Entry'!AO35="","",IFERROR(MAX(0,MIN(10,ROUND(IF('Council Entry'!AO$7="Decrease Risk",10-10*((IF('Council Entry'!AO$4="Logarithm",LN(0.001+IF(AND(ISNUMBER('Council Entry'!AO$8),ISNUMBER('Council Entry'!AO$9)),MAX(MIN('Council Entry'!AO35,'Council Entry'!AO$9),'Council Entry'!AO$8),'Council Entry'!AO35)),IF('Council Entry'!AO$4="Exponential",EXP(IF(AND(ISNUMBER('Council Entry'!AO$8),ISNUMBER('Council Entry'!AO$9)),MAX(MIN('Council Entry'!AO35,'Council Entry'!AO$9),'Council Entry'!AO$8),'Council Entry'!AO35)),IF(AND(ISNUMBER('Council Entry'!AO$8),ISNUMBER('Council Entry'!AO$9)),MAX(MIN('Council Entry'!AO35,'Council Entry'!AO$9),'Council Entry'!AO$8),'Council Entry'!AO35))))-'Council Entry'!AO$5)/('Council Entry'!AO$6-'Council Entry'!AO$5),10*((IF('Council Entry'!AO$4="Logarithm",LN(0.001+IF(AND(ISNUMBER('Council Entry'!AO$8),ISNUMBER('Council Entry'!AO$9)),MAX(MIN('Council Entry'!AO35,'Council Entry'!AO$9),'Council Entry'!AO$8),'Council Entry'!AO35)),IF('Council Entry'!AO$4="Exponential",EXP(IF(AND(ISNUMBER('Council Entry'!AO$8),ISNUMBER('Council Entry'!AO$9)),MAX(MIN('Council Entry'!AO35,'Council Entry'!AO$9),'Council Entry'!AO$8),'Council Entry'!AO35)),IF(AND(ISNUMBER('Council Entry'!AO$8),ISNUMBER('Council Entry'!AO$9)),MAX(MIN('Council Entry'!AO35,'Council Entry'!AO$9),'Council Entry'!AO$8),'Council Entry'!AO35))))-'Council Entry'!AO$5)/('Council Entry'!AO$6-'Council Entry'!AO$5)),1))),"No data"))</f>
        <v/>
      </c>
      <c r="AP35" s="13">
        <f>IF('Council Entry'!AP35="","",IFERROR(MAX(0,MIN(10,ROUND(IF('Council Entry'!AP$7="Decrease Risk",10-10*((IF('Council Entry'!AP$4="Logarithm",LN(0.001+IF(AND(ISNUMBER('Council Entry'!AP$8),ISNUMBER('Council Entry'!AP$9)),MAX(MIN('Council Entry'!AP35,'Council Entry'!AP$9),'Council Entry'!AP$8),'Council Entry'!AP35)),IF('Council Entry'!AP$4="Exponential",EXP(IF(AND(ISNUMBER('Council Entry'!AP$8),ISNUMBER('Council Entry'!AP$9)),MAX(MIN('Council Entry'!AP35,'Council Entry'!AP$9),'Council Entry'!AP$8),'Council Entry'!AP35)),IF(AND(ISNUMBER('Council Entry'!AP$8),ISNUMBER('Council Entry'!AP$9)),MAX(MIN('Council Entry'!AP35,'Council Entry'!AP$9),'Council Entry'!AP$8),'Council Entry'!AP35))))-'Council Entry'!AP$5)/('Council Entry'!AP$6-'Council Entry'!AP$5),10*((IF('Council Entry'!AP$4="Logarithm",LN(0.001+IF(AND(ISNUMBER('Council Entry'!AP$8),ISNUMBER('Council Entry'!AP$9)),MAX(MIN('Council Entry'!AP35,'Council Entry'!AP$9),'Council Entry'!AP$8),'Council Entry'!AP35)),IF('Council Entry'!AP$4="Exponential",EXP(IF(AND(ISNUMBER('Council Entry'!AP$8),ISNUMBER('Council Entry'!AP$9)),MAX(MIN('Council Entry'!AP35,'Council Entry'!AP$9),'Council Entry'!AP$8),'Council Entry'!AP35)),IF(AND(ISNUMBER('Council Entry'!AP$8),ISNUMBER('Council Entry'!AP$9)),MAX(MIN('Council Entry'!AP35,'Council Entry'!AP$9),'Council Entry'!AP$8),'Council Entry'!AP35))))-'Council Entry'!AP$5)/('Council Entry'!AP$6-'Council Entry'!AP$5)),1))),"No data"))</f>
        <v/>
      </c>
      <c r="AQ35" s="13">
        <f>IF('Council Entry'!AQ35="","",IFERROR(MAX(0,MIN(10,ROUND(IF('Council Entry'!AQ$7="Decrease Risk",10-10*((IF('Council Entry'!AQ$4="Logarithm",LN(0.001+IF(AND(ISNUMBER('Council Entry'!AQ$8),ISNUMBER('Council Entry'!AQ$9)),MAX(MIN('Council Entry'!AQ35,'Council Entry'!AQ$9),'Council Entry'!AQ$8),'Council Entry'!AQ35)),IF('Council Entry'!AQ$4="Exponential",EXP(IF(AND(ISNUMBER('Council Entry'!AQ$8),ISNUMBER('Council Entry'!AQ$9)),MAX(MIN('Council Entry'!AQ35,'Council Entry'!AQ$9),'Council Entry'!AQ$8),'Council Entry'!AQ35)),IF(AND(ISNUMBER('Council Entry'!AQ$8),ISNUMBER('Council Entry'!AQ$9)),MAX(MIN('Council Entry'!AQ35,'Council Entry'!AQ$9),'Council Entry'!AQ$8),'Council Entry'!AQ35))))-'Council Entry'!AQ$5)/('Council Entry'!AQ$6-'Council Entry'!AQ$5),10*((IF('Council Entry'!AQ$4="Logarithm",LN(0.001+IF(AND(ISNUMBER('Council Entry'!AQ$8),ISNUMBER('Council Entry'!AQ$9)),MAX(MIN('Council Entry'!AQ35,'Council Entry'!AQ$9),'Council Entry'!AQ$8),'Council Entry'!AQ35)),IF('Council Entry'!AQ$4="Exponential",EXP(IF(AND(ISNUMBER('Council Entry'!AQ$8),ISNUMBER('Council Entry'!AQ$9)),MAX(MIN('Council Entry'!AQ35,'Council Entry'!AQ$9),'Council Entry'!AQ$8),'Council Entry'!AQ35)),IF(AND(ISNUMBER('Council Entry'!AQ$8),ISNUMBER('Council Entry'!AQ$9)),MAX(MIN('Council Entry'!AQ35,'Council Entry'!AQ$9),'Council Entry'!AQ$8),'Council Entry'!AQ35))))-'Council Entry'!AQ$5)/('Council Entry'!AQ$6-'Council Entry'!AQ$5)),1))),"No data"))</f>
        <v/>
      </c>
      <c r="AR35" s="13">
        <f>IF('Council Entry'!AR35="","",IFERROR(MAX(0,MIN(10,ROUND(IF('Council Entry'!AR$7="Decrease Risk",10-10*((IF('Council Entry'!AR$4="Logarithm",LN(0.001+IF(AND(ISNUMBER('Council Entry'!AR$8),ISNUMBER('Council Entry'!AR$9)),MAX(MIN('Council Entry'!AR35,'Council Entry'!AR$9),'Council Entry'!AR$8),'Council Entry'!AR35)),IF('Council Entry'!AR$4="Exponential",EXP(IF(AND(ISNUMBER('Council Entry'!AR$8),ISNUMBER('Council Entry'!AR$9)),MAX(MIN('Council Entry'!AR35,'Council Entry'!AR$9),'Council Entry'!AR$8),'Council Entry'!AR35)),IF(AND(ISNUMBER('Council Entry'!AR$8),ISNUMBER('Council Entry'!AR$9)),MAX(MIN('Council Entry'!AR35,'Council Entry'!AR$9),'Council Entry'!AR$8),'Council Entry'!AR35))))-'Council Entry'!AR$5)/('Council Entry'!AR$6-'Council Entry'!AR$5),10*((IF('Council Entry'!AR$4="Logarithm",LN(0.001+IF(AND(ISNUMBER('Council Entry'!AR$8),ISNUMBER('Council Entry'!AR$9)),MAX(MIN('Council Entry'!AR35,'Council Entry'!AR$9),'Council Entry'!AR$8),'Council Entry'!AR35)),IF('Council Entry'!AR$4="Exponential",EXP(IF(AND(ISNUMBER('Council Entry'!AR$8),ISNUMBER('Council Entry'!AR$9)),MAX(MIN('Council Entry'!AR35,'Council Entry'!AR$9),'Council Entry'!AR$8),'Council Entry'!AR35)),IF(AND(ISNUMBER('Council Entry'!AR$8),ISNUMBER('Council Entry'!AR$9)),MAX(MIN('Council Entry'!AR35,'Council Entry'!AR$9),'Council Entry'!AR$8),'Council Entry'!AR35))))-'Council Entry'!AR$5)/('Council Entry'!AR$6-'Council Entry'!AR$5)),1))),"No data"))</f>
        <v/>
      </c>
      <c r="AS35" s="13">
        <f>IF('Council Entry'!AS35="","",IFERROR(MAX(0,MIN(10,ROUND(IF('Council Entry'!AS$7="Decrease Risk",10-10*((IF('Council Entry'!AS$4="Logarithm",LN(0.001+IF(AND(ISNUMBER('Council Entry'!AS$8),ISNUMBER('Council Entry'!AS$9)),MAX(MIN('Council Entry'!AS35,'Council Entry'!AS$9),'Council Entry'!AS$8),'Council Entry'!AS35)),IF('Council Entry'!AS$4="Exponential",EXP(IF(AND(ISNUMBER('Council Entry'!AS$8),ISNUMBER('Council Entry'!AS$9)),MAX(MIN('Council Entry'!AS35,'Council Entry'!AS$9),'Council Entry'!AS$8),'Council Entry'!AS35)),IF(AND(ISNUMBER('Council Entry'!AS$8),ISNUMBER('Council Entry'!AS$9)),MAX(MIN('Council Entry'!AS35,'Council Entry'!AS$9),'Council Entry'!AS$8),'Council Entry'!AS35))))-'Council Entry'!AS$5)/('Council Entry'!AS$6-'Council Entry'!AS$5),10*((IF('Council Entry'!AS$4="Logarithm",LN(0.001+IF(AND(ISNUMBER('Council Entry'!AS$8),ISNUMBER('Council Entry'!AS$9)),MAX(MIN('Council Entry'!AS35,'Council Entry'!AS$9),'Council Entry'!AS$8),'Council Entry'!AS35)),IF('Council Entry'!AS$4="Exponential",EXP(IF(AND(ISNUMBER('Council Entry'!AS$8),ISNUMBER('Council Entry'!AS$9)),MAX(MIN('Council Entry'!AS35,'Council Entry'!AS$9),'Council Entry'!AS$8),'Council Entry'!AS35)),IF(AND(ISNUMBER('Council Entry'!AS$8),ISNUMBER('Council Entry'!AS$9)),MAX(MIN('Council Entry'!AS35,'Council Entry'!AS$9),'Council Entry'!AS$8),'Council Entry'!AS35))))-'Council Entry'!AS$5)/('Council Entry'!AS$6-'Council Entry'!AS$5)),1))),"No data"))</f>
        <v/>
      </c>
      <c r="AT35" s="13">
        <f>IF('Council Entry'!AT35="","",IFERROR(MAX(0,MIN(10,ROUND(IF('Council Entry'!AT$7="Decrease Risk",10-10*((IF('Council Entry'!AT$4="Logarithm",LN(0.001+IF(AND(ISNUMBER('Council Entry'!AT$8),ISNUMBER('Council Entry'!AT$9)),MAX(MIN('Council Entry'!AT35,'Council Entry'!AT$9),'Council Entry'!AT$8),'Council Entry'!AT35)),IF('Council Entry'!AT$4="Exponential",EXP(IF(AND(ISNUMBER('Council Entry'!AT$8),ISNUMBER('Council Entry'!AT$9)),MAX(MIN('Council Entry'!AT35,'Council Entry'!AT$9),'Council Entry'!AT$8),'Council Entry'!AT35)),IF(AND(ISNUMBER('Council Entry'!AT$8),ISNUMBER('Council Entry'!AT$9)),MAX(MIN('Council Entry'!AT35,'Council Entry'!AT$9),'Council Entry'!AT$8),'Council Entry'!AT35))))-'Council Entry'!AT$5)/('Council Entry'!AT$6-'Council Entry'!AT$5),10*((IF('Council Entry'!AT$4="Logarithm",LN(0.001+IF(AND(ISNUMBER('Council Entry'!AT$8),ISNUMBER('Council Entry'!AT$9)),MAX(MIN('Council Entry'!AT35,'Council Entry'!AT$9),'Council Entry'!AT$8),'Council Entry'!AT35)),IF('Council Entry'!AT$4="Exponential",EXP(IF(AND(ISNUMBER('Council Entry'!AT$8),ISNUMBER('Council Entry'!AT$9)),MAX(MIN('Council Entry'!AT35,'Council Entry'!AT$9),'Council Entry'!AT$8),'Council Entry'!AT35)),IF(AND(ISNUMBER('Council Entry'!AT$8),ISNUMBER('Council Entry'!AT$9)),MAX(MIN('Council Entry'!AT35,'Council Entry'!AT$9),'Council Entry'!AT$8),'Council Entry'!AT35))))-'Council Entry'!AT$5)/('Council Entry'!AT$6-'Council Entry'!AT$5)),1))),"No data"))</f>
        <v/>
      </c>
      <c r="AU35" s="13">
        <f>IF('Council Entry'!AU35="","",IFERROR(MAX(0,MIN(10,ROUND(IF('Council Entry'!AU$7="Decrease Risk",10-10*((IF('Council Entry'!AU$4="Logarithm",LN(0.001+IF(AND(ISNUMBER('Council Entry'!AU$8),ISNUMBER('Council Entry'!AU$9)),MAX(MIN('Council Entry'!AU35,'Council Entry'!AU$9),'Council Entry'!AU$8),'Council Entry'!AU35)),IF('Council Entry'!AU$4="Exponential",EXP(IF(AND(ISNUMBER('Council Entry'!AU$8),ISNUMBER('Council Entry'!AU$9)),MAX(MIN('Council Entry'!AU35,'Council Entry'!AU$9),'Council Entry'!AU$8),'Council Entry'!AU35)),IF(AND(ISNUMBER('Council Entry'!AU$8),ISNUMBER('Council Entry'!AU$9)),MAX(MIN('Council Entry'!AU35,'Council Entry'!AU$9),'Council Entry'!AU$8),'Council Entry'!AU35))))-'Council Entry'!AU$5)/('Council Entry'!AU$6-'Council Entry'!AU$5),10*((IF('Council Entry'!AU$4="Logarithm",LN(0.001+IF(AND(ISNUMBER('Council Entry'!AU$8),ISNUMBER('Council Entry'!AU$9)),MAX(MIN('Council Entry'!AU35,'Council Entry'!AU$9),'Council Entry'!AU$8),'Council Entry'!AU35)),IF('Council Entry'!AU$4="Exponential",EXP(IF(AND(ISNUMBER('Council Entry'!AU$8),ISNUMBER('Council Entry'!AU$9)),MAX(MIN('Council Entry'!AU35,'Council Entry'!AU$9),'Council Entry'!AU$8),'Council Entry'!AU35)),IF(AND(ISNUMBER('Council Entry'!AU$8),ISNUMBER('Council Entry'!AU$9)),MAX(MIN('Council Entry'!AU35,'Council Entry'!AU$9),'Council Entry'!AU$8),'Council Entry'!AU35))))-'Council Entry'!AU$5)/('Council Entry'!AU$6-'Council Entry'!AU$5)),1))),"No data"))</f>
        <v/>
      </c>
      <c r="AV35" s="13">
        <f>IF('Council Entry'!AV35="","",IFERROR(MAX(0,MIN(10,ROUND(IF('Council Entry'!AV$7="Decrease Risk",10-10*((IF('Council Entry'!AV$4="Logarithm",LN(0.001+IF(AND(ISNUMBER('Council Entry'!AV$8),ISNUMBER('Council Entry'!AV$9)),MAX(MIN('Council Entry'!AV35,'Council Entry'!AV$9),'Council Entry'!AV$8),'Council Entry'!AV35)),IF('Council Entry'!AV$4="Exponential",EXP(IF(AND(ISNUMBER('Council Entry'!AV$8),ISNUMBER('Council Entry'!AV$9)),MAX(MIN('Council Entry'!AV35,'Council Entry'!AV$9),'Council Entry'!AV$8),'Council Entry'!AV35)),IF(AND(ISNUMBER('Council Entry'!AV$8),ISNUMBER('Council Entry'!AV$9)),MAX(MIN('Council Entry'!AV35,'Council Entry'!AV$9),'Council Entry'!AV$8),'Council Entry'!AV35))))-'Council Entry'!AV$5)/('Council Entry'!AV$6-'Council Entry'!AV$5),10*((IF('Council Entry'!AV$4="Logarithm",LN(0.001+IF(AND(ISNUMBER('Council Entry'!AV$8),ISNUMBER('Council Entry'!AV$9)),MAX(MIN('Council Entry'!AV35,'Council Entry'!AV$9),'Council Entry'!AV$8),'Council Entry'!AV35)),IF('Council Entry'!AV$4="Exponential",EXP(IF(AND(ISNUMBER('Council Entry'!AV$8),ISNUMBER('Council Entry'!AV$9)),MAX(MIN('Council Entry'!AV35,'Council Entry'!AV$9),'Council Entry'!AV$8),'Council Entry'!AV35)),IF(AND(ISNUMBER('Council Entry'!AV$8),ISNUMBER('Council Entry'!AV$9)),MAX(MIN('Council Entry'!AV35,'Council Entry'!AV$9),'Council Entry'!AV$8),'Council Entry'!AV35))))-'Council Entry'!AV$5)/('Council Entry'!AV$6-'Council Entry'!AV$5)),1))),"No data"))</f>
        <v/>
      </c>
      <c r="AW35" s="13">
        <f>IF('Council Entry'!AW35="","",IFERROR(MAX(0,MIN(10,ROUND(IF('Council Entry'!AW$7="Decrease Risk",10-10*((IF('Council Entry'!AW$4="Logarithm",LN(0.001+IF(AND(ISNUMBER('Council Entry'!AW$8),ISNUMBER('Council Entry'!AW$9)),MAX(MIN('Council Entry'!AW35,'Council Entry'!AW$9),'Council Entry'!AW$8),'Council Entry'!AW35)),IF('Council Entry'!AW$4="Exponential",EXP(IF(AND(ISNUMBER('Council Entry'!AW$8),ISNUMBER('Council Entry'!AW$9)),MAX(MIN('Council Entry'!AW35,'Council Entry'!AW$9),'Council Entry'!AW$8),'Council Entry'!AW35)),IF(AND(ISNUMBER('Council Entry'!AW$8),ISNUMBER('Council Entry'!AW$9)),MAX(MIN('Council Entry'!AW35,'Council Entry'!AW$9),'Council Entry'!AW$8),'Council Entry'!AW35))))-'Council Entry'!AW$5)/('Council Entry'!AW$6-'Council Entry'!AW$5),10*((IF('Council Entry'!AW$4="Logarithm",LN(0.001+IF(AND(ISNUMBER('Council Entry'!AW$8),ISNUMBER('Council Entry'!AW$9)),MAX(MIN('Council Entry'!AW35,'Council Entry'!AW$9),'Council Entry'!AW$8),'Council Entry'!AW35)),IF('Council Entry'!AW$4="Exponential",EXP(IF(AND(ISNUMBER('Council Entry'!AW$8),ISNUMBER('Council Entry'!AW$9)),MAX(MIN('Council Entry'!AW35,'Council Entry'!AW$9),'Council Entry'!AW$8),'Council Entry'!AW35)),IF(AND(ISNUMBER('Council Entry'!AW$8),ISNUMBER('Council Entry'!AW$9)),MAX(MIN('Council Entry'!AW35,'Council Entry'!AW$9),'Council Entry'!AW$8),'Council Entry'!AW35))))-'Council Entry'!AW$5)/('Council Entry'!AW$6-'Council Entry'!AW$5)),1))),"No data"))</f>
        <v/>
      </c>
      <c r="AX35" s="13">
        <f>IF('Council Entry'!AX35="","",IFERROR(MAX(0,MIN(10,ROUND(IF('Council Entry'!AX$7="Decrease Risk",10-10*((IF('Council Entry'!AX$4="Logarithm",LN(0.001+IF(AND(ISNUMBER('Council Entry'!AX$8),ISNUMBER('Council Entry'!AX$9)),MAX(MIN('Council Entry'!AX35,'Council Entry'!AX$9),'Council Entry'!AX$8),'Council Entry'!AX35)),IF('Council Entry'!AX$4="Exponential",EXP(IF(AND(ISNUMBER('Council Entry'!AX$8),ISNUMBER('Council Entry'!AX$9)),MAX(MIN('Council Entry'!AX35,'Council Entry'!AX$9),'Council Entry'!AX$8),'Council Entry'!AX35)),IF(AND(ISNUMBER('Council Entry'!AX$8),ISNUMBER('Council Entry'!AX$9)),MAX(MIN('Council Entry'!AX35,'Council Entry'!AX$9),'Council Entry'!AX$8),'Council Entry'!AX35))))-'Council Entry'!AX$5)/('Council Entry'!AX$6-'Council Entry'!AX$5),10*((IF('Council Entry'!AX$4="Logarithm",LN(0.001+IF(AND(ISNUMBER('Council Entry'!AX$8),ISNUMBER('Council Entry'!AX$9)),MAX(MIN('Council Entry'!AX35,'Council Entry'!AX$9),'Council Entry'!AX$8),'Council Entry'!AX35)),IF('Council Entry'!AX$4="Exponential",EXP(IF(AND(ISNUMBER('Council Entry'!AX$8),ISNUMBER('Council Entry'!AX$9)),MAX(MIN('Council Entry'!AX35,'Council Entry'!AX$9),'Council Entry'!AX$8),'Council Entry'!AX35)),IF(AND(ISNUMBER('Council Entry'!AX$8),ISNUMBER('Council Entry'!AX$9)),MAX(MIN('Council Entry'!AX35,'Council Entry'!AX$9),'Council Entry'!AX$8),'Council Entry'!AX35))))-'Council Entry'!AX$5)/('Council Entry'!AX$6-'Council Entry'!AX$5)),1))),"No data"))</f>
        <v/>
      </c>
      <c r="AY35" s="13">
        <f>IF('Council Entry'!AY35="","",IFERROR(MAX(0,MIN(10,ROUND(IF('Council Entry'!AY$7="Decrease Risk",10-10*((IF('Council Entry'!AY$4="Logarithm",LN(0.001+IF(AND(ISNUMBER('Council Entry'!AY$8),ISNUMBER('Council Entry'!AY$9)),MAX(MIN('Council Entry'!AY35,'Council Entry'!AY$9),'Council Entry'!AY$8),'Council Entry'!AY35)),IF('Council Entry'!AY$4="Exponential",EXP(IF(AND(ISNUMBER('Council Entry'!AY$8),ISNUMBER('Council Entry'!AY$9)),MAX(MIN('Council Entry'!AY35,'Council Entry'!AY$9),'Council Entry'!AY$8),'Council Entry'!AY35)),IF(AND(ISNUMBER('Council Entry'!AY$8),ISNUMBER('Council Entry'!AY$9)),MAX(MIN('Council Entry'!AY35,'Council Entry'!AY$9),'Council Entry'!AY$8),'Council Entry'!AY35))))-'Council Entry'!AY$5)/('Council Entry'!AY$6-'Council Entry'!AY$5),10*((IF('Council Entry'!AY$4="Logarithm",LN(0.001+IF(AND(ISNUMBER('Council Entry'!AY$8),ISNUMBER('Council Entry'!AY$9)),MAX(MIN('Council Entry'!AY35,'Council Entry'!AY$9),'Council Entry'!AY$8),'Council Entry'!AY35)),IF('Council Entry'!AY$4="Exponential",EXP(IF(AND(ISNUMBER('Council Entry'!AY$8),ISNUMBER('Council Entry'!AY$9)),MAX(MIN('Council Entry'!AY35,'Council Entry'!AY$9),'Council Entry'!AY$8),'Council Entry'!AY35)),IF(AND(ISNUMBER('Council Entry'!AY$8),ISNUMBER('Council Entry'!AY$9)),MAX(MIN('Council Entry'!AY35,'Council Entry'!AY$9),'Council Entry'!AY$8),'Council Entry'!AY35))))-'Council Entry'!AY$5)/('Council Entry'!AY$6-'Council Entry'!AY$5)),1))),"No data"))</f>
        <v/>
      </c>
      <c r="AZ35" s="13">
        <f>IF('Council Entry'!AZ35="","",IFERROR(MAX(0,MIN(10,ROUND(IF('Council Entry'!AZ$7="Decrease Risk",10-10*((IF('Council Entry'!AZ$4="Logarithm",LN(0.001+IF(AND(ISNUMBER('Council Entry'!AZ$8),ISNUMBER('Council Entry'!AZ$9)),MAX(MIN('Council Entry'!AZ35,'Council Entry'!AZ$9),'Council Entry'!AZ$8),'Council Entry'!AZ35)),IF('Council Entry'!AZ$4="Exponential",EXP(IF(AND(ISNUMBER('Council Entry'!AZ$8),ISNUMBER('Council Entry'!AZ$9)),MAX(MIN('Council Entry'!AZ35,'Council Entry'!AZ$9),'Council Entry'!AZ$8),'Council Entry'!AZ35)),IF(AND(ISNUMBER('Council Entry'!AZ$8),ISNUMBER('Council Entry'!AZ$9)),MAX(MIN('Council Entry'!AZ35,'Council Entry'!AZ$9),'Council Entry'!AZ$8),'Council Entry'!AZ35))))-'Council Entry'!AZ$5)/('Council Entry'!AZ$6-'Council Entry'!AZ$5),10*((IF('Council Entry'!AZ$4="Logarithm",LN(0.001+IF(AND(ISNUMBER('Council Entry'!AZ$8),ISNUMBER('Council Entry'!AZ$9)),MAX(MIN('Council Entry'!AZ35,'Council Entry'!AZ$9),'Council Entry'!AZ$8),'Council Entry'!AZ35)),IF('Council Entry'!AZ$4="Exponential",EXP(IF(AND(ISNUMBER('Council Entry'!AZ$8),ISNUMBER('Council Entry'!AZ$9)),MAX(MIN('Council Entry'!AZ35,'Council Entry'!AZ$9),'Council Entry'!AZ$8),'Council Entry'!AZ35)),IF(AND(ISNUMBER('Council Entry'!AZ$8),ISNUMBER('Council Entry'!AZ$9)),MAX(MIN('Council Entry'!AZ35,'Council Entry'!AZ$9),'Council Entry'!AZ$8),'Council Entry'!AZ35))))-'Council Entry'!AZ$5)/('Council Entry'!AZ$6-'Council Entry'!AZ$5)),1))),"No data"))</f>
        <v/>
      </c>
      <c r="BA35" s="13">
        <f>IF('Council Entry'!BA35="","",IFERROR(MAX(0,MIN(10,ROUND(IF('Council Entry'!BA$7="Decrease Risk",10-10*((IF('Council Entry'!BA$4="Logarithm",LN(0.001+IF(AND(ISNUMBER('Council Entry'!BA$8),ISNUMBER('Council Entry'!BA$9)),MAX(MIN('Council Entry'!BA35,'Council Entry'!BA$9),'Council Entry'!BA$8),'Council Entry'!BA35)),IF('Council Entry'!BA$4="Exponential",EXP(IF(AND(ISNUMBER('Council Entry'!BA$8),ISNUMBER('Council Entry'!BA$9)),MAX(MIN('Council Entry'!BA35,'Council Entry'!BA$9),'Council Entry'!BA$8),'Council Entry'!BA35)),IF(AND(ISNUMBER('Council Entry'!BA$8),ISNUMBER('Council Entry'!BA$9)),MAX(MIN('Council Entry'!BA35,'Council Entry'!BA$9),'Council Entry'!BA$8),'Council Entry'!BA35))))-'Council Entry'!BA$5)/('Council Entry'!BA$6-'Council Entry'!BA$5),10*((IF('Council Entry'!BA$4="Logarithm",LN(0.001+IF(AND(ISNUMBER('Council Entry'!BA$8),ISNUMBER('Council Entry'!BA$9)),MAX(MIN('Council Entry'!BA35,'Council Entry'!BA$9),'Council Entry'!BA$8),'Council Entry'!BA35)),IF('Council Entry'!BA$4="Exponential",EXP(IF(AND(ISNUMBER('Council Entry'!BA$8),ISNUMBER('Council Entry'!BA$9)),MAX(MIN('Council Entry'!BA35,'Council Entry'!BA$9),'Council Entry'!BA$8),'Council Entry'!BA35)),IF(AND(ISNUMBER('Council Entry'!BA$8),ISNUMBER('Council Entry'!BA$9)),MAX(MIN('Council Entry'!BA35,'Council Entry'!BA$9),'Council Entry'!BA$8),'Council Entry'!BA35))))-'Council Entry'!BA$5)/('Council Entry'!BA$6-'Council Entry'!BA$5)),1))),"No data"))</f>
        <v/>
      </c>
      <c r="BB35" s="13">
        <f>IF('Council Entry'!BB35="","",IFERROR(MAX(0,MIN(10,ROUND(IF('Council Entry'!BB$7="Decrease Risk",10-10*((IF('Council Entry'!BB$4="Logarithm",LN(0.001+IF(AND(ISNUMBER('Council Entry'!BB$8),ISNUMBER('Council Entry'!BB$9)),MAX(MIN('Council Entry'!BB35,'Council Entry'!BB$9),'Council Entry'!BB$8),'Council Entry'!BB35)),IF('Council Entry'!BB$4="Exponential",EXP(IF(AND(ISNUMBER('Council Entry'!BB$8),ISNUMBER('Council Entry'!BB$9)),MAX(MIN('Council Entry'!BB35,'Council Entry'!BB$9),'Council Entry'!BB$8),'Council Entry'!BB35)),IF(AND(ISNUMBER('Council Entry'!BB$8),ISNUMBER('Council Entry'!BB$9)),MAX(MIN('Council Entry'!BB35,'Council Entry'!BB$9),'Council Entry'!BB$8),'Council Entry'!BB35))))-'Council Entry'!BB$5)/('Council Entry'!BB$6-'Council Entry'!BB$5),10*((IF('Council Entry'!BB$4="Logarithm",LN(0.001+IF(AND(ISNUMBER('Council Entry'!BB$8),ISNUMBER('Council Entry'!BB$9)),MAX(MIN('Council Entry'!BB35,'Council Entry'!BB$9),'Council Entry'!BB$8),'Council Entry'!BB35)),IF('Council Entry'!BB$4="Exponential",EXP(IF(AND(ISNUMBER('Council Entry'!BB$8),ISNUMBER('Council Entry'!BB$9)),MAX(MIN('Council Entry'!BB35,'Council Entry'!BB$9),'Council Entry'!BB$8),'Council Entry'!BB35)),IF(AND(ISNUMBER('Council Entry'!BB$8),ISNUMBER('Council Entry'!BB$9)),MAX(MIN('Council Entry'!BB35,'Council Entry'!BB$9),'Council Entry'!BB$8),'Council Entry'!BB35))))-'Council Entry'!BB$5)/('Council Entry'!BB$6-'Council Entry'!BB$5)),1))),"No data"))</f>
        <v/>
      </c>
      <c r="BC35" s="13">
        <f>IF('Council Entry'!BC35="","",IFERROR(MAX(0,MIN(10,ROUND(IF('Council Entry'!BC$7="Decrease Risk",10-10*((IF('Council Entry'!BC$4="Logarithm",LN(0.001+IF(AND(ISNUMBER('Council Entry'!BC$8),ISNUMBER('Council Entry'!BC$9)),MAX(MIN('Council Entry'!BC35,'Council Entry'!BC$9),'Council Entry'!BC$8),'Council Entry'!BC35)),IF('Council Entry'!BC$4="Exponential",EXP(IF(AND(ISNUMBER('Council Entry'!BC$8),ISNUMBER('Council Entry'!BC$9)),MAX(MIN('Council Entry'!BC35,'Council Entry'!BC$9),'Council Entry'!BC$8),'Council Entry'!BC35)),IF(AND(ISNUMBER('Council Entry'!BC$8),ISNUMBER('Council Entry'!BC$9)),MAX(MIN('Council Entry'!BC35,'Council Entry'!BC$9),'Council Entry'!BC$8),'Council Entry'!BC35))))-'Council Entry'!BC$5)/('Council Entry'!BC$6-'Council Entry'!BC$5),10*((IF('Council Entry'!BC$4="Logarithm",LN(0.001+IF(AND(ISNUMBER('Council Entry'!BC$8),ISNUMBER('Council Entry'!BC$9)),MAX(MIN('Council Entry'!BC35,'Council Entry'!BC$9),'Council Entry'!BC$8),'Council Entry'!BC35)),IF('Council Entry'!BC$4="Exponential",EXP(IF(AND(ISNUMBER('Council Entry'!BC$8),ISNUMBER('Council Entry'!BC$9)),MAX(MIN('Council Entry'!BC35,'Council Entry'!BC$9),'Council Entry'!BC$8),'Council Entry'!BC35)),IF(AND(ISNUMBER('Council Entry'!BC$8),ISNUMBER('Council Entry'!BC$9)),MAX(MIN('Council Entry'!BC35,'Council Entry'!BC$9),'Council Entry'!BC$8),'Council Entry'!BC35))))-'Council Entry'!BC$5)/('Council Entry'!BC$6-'Council Entry'!BC$5)),1))),"No data"))</f>
        <v/>
      </c>
      <c r="BD35" s="13">
        <f>IF('Council Entry'!BD35="","",IFERROR(MAX(0,MIN(10,ROUND(IF('Council Entry'!BD$7="Decrease Risk",10-10*((IF('Council Entry'!BD$4="Logarithm",LN(0.001+IF(AND(ISNUMBER('Council Entry'!BD$8),ISNUMBER('Council Entry'!BD$9)),MAX(MIN('Council Entry'!BD35,'Council Entry'!BD$9),'Council Entry'!BD$8),'Council Entry'!BD35)),IF('Council Entry'!BD$4="Exponential",EXP(IF(AND(ISNUMBER('Council Entry'!BD$8),ISNUMBER('Council Entry'!BD$9)),MAX(MIN('Council Entry'!BD35,'Council Entry'!BD$9),'Council Entry'!BD$8),'Council Entry'!BD35)),IF(AND(ISNUMBER('Council Entry'!BD$8),ISNUMBER('Council Entry'!BD$9)),MAX(MIN('Council Entry'!BD35,'Council Entry'!BD$9),'Council Entry'!BD$8),'Council Entry'!BD35))))-'Council Entry'!BD$5)/('Council Entry'!BD$6-'Council Entry'!BD$5),10*((IF('Council Entry'!BD$4="Logarithm",LN(0.001+IF(AND(ISNUMBER('Council Entry'!BD$8),ISNUMBER('Council Entry'!BD$9)),MAX(MIN('Council Entry'!BD35,'Council Entry'!BD$9),'Council Entry'!BD$8),'Council Entry'!BD35)),IF('Council Entry'!BD$4="Exponential",EXP(IF(AND(ISNUMBER('Council Entry'!BD$8),ISNUMBER('Council Entry'!BD$9)),MAX(MIN('Council Entry'!BD35,'Council Entry'!BD$9),'Council Entry'!BD$8),'Council Entry'!BD35)),IF(AND(ISNUMBER('Council Entry'!BD$8),ISNUMBER('Council Entry'!BD$9)),MAX(MIN('Council Entry'!BD35,'Council Entry'!BD$9),'Council Entry'!BD$8),'Council Entry'!BD35))))-'Council Entry'!BD$5)/('Council Entry'!BD$6-'Council Entry'!BD$5)),1))),"No data"))</f>
        <v/>
      </c>
    </row>
    <row r="36">
      <c r="A36" t="inlineStr">
        <is>
          <t>Geita</t>
        </is>
      </c>
      <c r="B36" t="inlineStr">
        <is>
          <t>Nyang'Hwale District</t>
        </is>
      </c>
      <c r="C36" t="inlineStr">
        <is>
          <t>C176</t>
        </is>
      </c>
      <c r="D36" s="13">
        <f>IF('Council Entry'!D36="","",IFERROR(MAX(0,MIN(10,ROUND(IF('Council Entry'!D$7="Decrease Risk",10-10*((IF('Council Entry'!D$4="Logarithm",LN(0.001+IF(AND(ISNUMBER('Council Entry'!D$8),ISNUMBER('Council Entry'!D$9)),MAX(MIN('Council Entry'!D36,'Council Entry'!D$9),'Council Entry'!D$8),'Council Entry'!D36)),IF('Council Entry'!D$4="Exponential",EXP(IF(AND(ISNUMBER('Council Entry'!D$8),ISNUMBER('Council Entry'!D$9)),MAX(MIN('Council Entry'!D36,'Council Entry'!D$9),'Council Entry'!D$8),'Council Entry'!D36)),IF(AND(ISNUMBER('Council Entry'!D$8),ISNUMBER('Council Entry'!D$9)),MAX(MIN('Council Entry'!D36,'Council Entry'!D$9),'Council Entry'!D$8),'Council Entry'!D36))))-'Council Entry'!D$5)/('Council Entry'!D$6-'Council Entry'!D$5),10*((IF('Council Entry'!D$4="Logarithm",LN(0.001+IF(AND(ISNUMBER('Council Entry'!D$8),ISNUMBER('Council Entry'!D$9)),MAX(MIN('Council Entry'!D36,'Council Entry'!D$9),'Council Entry'!D$8),'Council Entry'!D36)),IF('Council Entry'!D$4="Exponential",EXP(IF(AND(ISNUMBER('Council Entry'!D$8),ISNUMBER('Council Entry'!D$9)),MAX(MIN('Council Entry'!D36,'Council Entry'!D$9),'Council Entry'!D$8),'Council Entry'!D36)),IF(AND(ISNUMBER('Council Entry'!D$8),ISNUMBER('Council Entry'!D$9)),MAX(MIN('Council Entry'!D36,'Council Entry'!D$9),'Council Entry'!D$8),'Council Entry'!D36))))-'Council Entry'!D$5)/('Council Entry'!D$6-'Council Entry'!D$5)),1))),"No data"))</f>
        <v/>
      </c>
      <c r="E36" s="13">
        <f>IF('Council Entry'!E36="","",IFERROR(MAX(0,MIN(10,ROUND(IF('Council Entry'!E$7="Decrease Risk",10-10*((IF('Council Entry'!E$4="Logarithm",LN(0.001+IF(AND(ISNUMBER('Council Entry'!E$8),ISNUMBER('Council Entry'!E$9)),MAX(MIN('Council Entry'!E36,'Council Entry'!E$9),'Council Entry'!E$8),'Council Entry'!E36)),IF('Council Entry'!E$4="Exponential",EXP(IF(AND(ISNUMBER('Council Entry'!E$8),ISNUMBER('Council Entry'!E$9)),MAX(MIN('Council Entry'!E36,'Council Entry'!E$9),'Council Entry'!E$8),'Council Entry'!E36)),IF(AND(ISNUMBER('Council Entry'!E$8),ISNUMBER('Council Entry'!E$9)),MAX(MIN('Council Entry'!E36,'Council Entry'!E$9),'Council Entry'!E$8),'Council Entry'!E36))))-'Council Entry'!E$5)/('Council Entry'!E$6-'Council Entry'!E$5),10*((IF('Council Entry'!E$4="Logarithm",LN(0.001+IF(AND(ISNUMBER('Council Entry'!E$8),ISNUMBER('Council Entry'!E$9)),MAX(MIN('Council Entry'!E36,'Council Entry'!E$9),'Council Entry'!E$8),'Council Entry'!E36)),IF('Council Entry'!E$4="Exponential",EXP(IF(AND(ISNUMBER('Council Entry'!E$8),ISNUMBER('Council Entry'!E$9)),MAX(MIN('Council Entry'!E36,'Council Entry'!E$9),'Council Entry'!E$8),'Council Entry'!E36)),IF(AND(ISNUMBER('Council Entry'!E$8),ISNUMBER('Council Entry'!E$9)),MAX(MIN('Council Entry'!E36,'Council Entry'!E$9),'Council Entry'!E$8),'Council Entry'!E36))))-'Council Entry'!E$5)/('Council Entry'!E$6-'Council Entry'!E$5)),1))),"No data"))</f>
        <v/>
      </c>
      <c r="F36" s="13">
        <f>IF('Council Entry'!F36="","",IFERROR(MAX(0,MIN(10,ROUND(IF('Council Entry'!F$7="Decrease Risk",10-10*((IF('Council Entry'!F$4="Logarithm",LN(0.001+IF(AND(ISNUMBER('Council Entry'!F$8),ISNUMBER('Council Entry'!F$9)),MAX(MIN('Council Entry'!F36,'Council Entry'!F$9),'Council Entry'!F$8),'Council Entry'!F36)),IF('Council Entry'!F$4="Exponential",EXP(IF(AND(ISNUMBER('Council Entry'!F$8),ISNUMBER('Council Entry'!F$9)),MAX(MIN('Council Entry'!F36,'Council Entry'!F$9),'Council Entry'!F$8),'Council Entry'!F36)),IF(AND(ISNUMBER('Council Entry'!F$8),ISNUMBER('Council Entry'!F$9)),MAX(MIN('Council Entry'!F36,'Council Entry'!F$9),'Council Entry'!F$8),'Council Entry'!F36))))-'Council Entry'!F$5)/('Council Entry'!F$6-'Council Entry'!F$5),10*((IF('Council Entry'!F$4="Logarithm",LN(0.001+IF(AND(ISNUMBER('Council Entry'!F$8),ISNUMBER('Council Entry'!F$9)),MAX(MIN('Council Entry'!F36,'Council Entry'!F$9),'Council Entry'!F$8),'Council Entry'!F36)),IF('Council Entry'!F$4="Exponential",EXP(IF(AND(ISNUMBER('Council Entry'!F$8),ISNUMBER('Council Entry'!F$9)),MAX(MIN('Council Entry'!F36,'Council Entry'!F$9),'Council Entry'!F$8),'Council Entry'!F36)),IF(AND(ISNUMBER('Council Entry'!F$8),ISNUMBER('Council Entry'!F$9)),MAX(MIN('Council Entry'!F36,'Council Entry'!F$9),'Council Entry'!F$8),'Council Entry'!F36))))-'Council Entry'!F$5)/('Council Entry'!F$6-'Council Entry'!F$5)),1))),"No data"))</f>
        <v/>
      </c>
      <c r="G36" s="13">
        <f>IF('Council Entry'!G36="","",IFERROR(MAX(0,MIN(10,ROUND(IF('Council Entry'!G$7="Decrease Risk",10-10*((IF('Council Entry'!G$4="Logarithm",LN(0.001+IF(AND(ISNUMBER('Council Entry'!G$8),ISNUMBER('Council Entry'!G$9)),MAX(MIN('Council Entry'!G36,'Council Entry'!G$9),'Council Entry'!G$8),'Council Entry'!G36)),IF('Council Entry'!G$4="Exponential",EXP(IF(AND(ISNUMBER('Council Entry'!G$8),ISNUMBER('Council Entry'!G$9)),MAX(MIN('Council Entry'!G36,'Council Entry'!G$9),'Council Entry'!G$8),'Council Entry'!G36)),IF(AND(ISNUMBER('Council Entry'!G$8),ISNUMBER('Council Entry'!G$9)),MAX(MIN('Council Entry'!G36,'Council Entry'!G$9),'Council Entry'!G$8),'Council Entry'!G36))))-'Council Entry'!G$5)/('Council Entry'!G$6-'Council Entry'!G$5),10*((IF('Council Entry'!G$4="Logarithm",LN(0.001+IF(AND(ISNUMBER('Council Entry'!G$8),ISNUMBER('Council Entry'!G$9)),MAX(MIN('Council Entry'!G36,'Council Entry'!G$9),'Council Entry'!G$8),'Council Entry'!G36)),IF('Council Entry'!G$4="Exponential",EXP(IF(AND(ISNUMBER('Council Entry'!G$8),ISNUMBER('Council Entry'!G$9)),MAX(MIN('Council Entry'!G36,'Council Entry'!G$9),'Council Entry'!G$8),'Council Entry'!G36)),IF(AND(ISNUMBER('Council Entry'!G$8),ISNUMBER('Council Entry'!G$9)),MAX(MIN('Council Entry'!G36,'Council Entry'!G$9),'Council Entry'!G$8),'Council Entry'!G36))))-'Council Entry'!G$5)/('Council Entry'!G$6-'Council Entry'!G$5)),1))),"No data"))</f>
        <v/>
      </c>
      <c r="H36" s="13">
        <f>IF('Council Entry'!H36="","",IFERROR(MAX(0,MIN(10,ROUND(IF('Council Entry'!H$7="Decrease Risk",10-10*((IF('Council Entry'!H$4="Logarithm",LN(0.001+IF(AND(ISNUMBER('Council Entry'!H$8),ISNUMBER('Council Entry'!H$9)),MAX(MIN('Council Entry'!H36,'Council Entry'!H$9),'Council Entry'!H$8),'Council Entry'!H36)),IF('Council Entry'!H$4="Exponential",EXP(IF(AND(ISNUMBER('Council Entry'!H$8),ISNUMBER('Council Entry'!H$9)),MAX(MIN('Council Entry'!H36,'Council Entry'!H$9),'Council Entry'!H$8),'Council Entry'!H36)),IF(AND(ISNUMBER('Council Entry'!H$8),ISNUMBER('Council Entry'!H$9)),MAX(MIN('Council Entry'!H36,'Council Entry'!H$9),'Council Entry'!H$8),'Council Entry'!H36))))-'Council Entry'!H$5)/('Council Entry'!H$6-'Council Entry'!H$5),10*((IF('Council Entry'!H$4="Logarithm",LN(0.001+IF(AND(ISNUMBER('Council Entry'!H$8),ISNUMBER('Council Entry'!H$9)),MAX(MIN('Council Entry'!H36,'Council Entry'!H$9),'Council Entry'!H$8),'Council Entry'!H36)),IF('Council Entry'!H$4="Exponential",EXP(IF(AND(ISNUMBER('Council Entry'!H$8),ISNUMBER('Council Entry'!H$9)),MAX(MIN('Council Entry'!H36,'Council Entry'!H$9),'Council Entry'!H$8),'Council Entry'!H36)),IF(AND(ISNUMBER('Council Entry'!H$8),ISNUMBER('Council Entry'!H$9)),MAX(MIN('Council Entry'!H36,'Council Entry'!H$9),'Council Entry'!H$8),'Council Entry'!H36))))-'Council Entry'!H$5)/('Council Entry'!H$6-'Council Entry'!H$5)),1))),"No data"))</f>
        <v/>
      </c>
      <c r="I36" s="13">
        <f>IF('Council Entry'!I36="","",IFERROR(MAX(0,MIN(10,ROUND(IF('Council Entry'!I$7="Decrease Risk",10-10*((IF('Council Entry'!I$4="Logarithm",LN(0.001+IF(AND(ISNUMBER('Council Entry'!I$8),ISNUMBER('Council Entry'!I$9)),MAX(MIN('Council Entry'!I36,'Council Entry'!I$9),'Council Entry'!I$8),'Council Entry'!I36)),IF('Council Entry'!I$4="Exponential",EXP(IF(AND(ISNUMBER('Council Entry'!I$8),ISNUMBER('Council Entry'!I$9)),MAX(MIN('Council Entry'!I36,'Council Entry'!I$9),'Council Entry'!I$8),'Council Entry'!I36)),IF(AND(ISNUMBER('Council Entry'!I$8),ISNUMBER('Council Entry'!I$9)),MAX(MIN('Council Entry'!I36,'Council Entry'!I$9),'Council Entry'!I$8),'Council Entry'!I36))))-'Council Entry'!I$5)/('Council Entry'!I$6-'Council Entry'!I$5),10*((IF('Council Entry'!I$4="Logarithm",LN(0.001+IF(AND(ISNUMBER('Council Entry'!I$8),ISNUMBER('Council Entry'!I$9)),MAX(MIN('Council Entry'!I36,'Council Entry'!I$9),'Council Entry'!I$8),'Council Entry'!I36)),IF('Council Entry'!I$4="Exponential",EXP(IF(AND(ISNUMBER('Council Entry'!I$8),ISNUMBER('Council Entry'!I$9)),MAX(MIN('Council Entry'!I36,'Council Entry'!I$9),'Council Entry'!I$8),'Council Entry'!I36)),IF(AND(ISNUMBER('Council Entry'!I$8),ISNUMBER('Council Entry'!I$9)),MAX(MIN('Council Entry'!I36,'Council Entry'!I$9),'Council Entry'!I$8),'Council Entry'!I36))))-'Council Entry'!I$5)/('Council Entry'!I$6-'Council Entry'!I$5)),1))),"No data"))</f>
        <v/>
      </c>
      <c r="J36" s="13">
        <f>IF('Council Entry'!J36="","",IFERROR(MAX(0,MIN(10,ROUND(IF('Council Entry'!J$7="Decrease Risk",10-10*((IF('Council Entry'!J$4="Logarithm",LN(0.001+IF(AND(ISNUMBER('Council Entry'!J$8),ISNUMBER('Council Entry'!J$9)),MAX(MIN('Council Entry'!J36,'Council Entry'!J$9),'Council Entry'!J$8),'Council Entry'!J36)),IF('Council Entry'!J$4="Exponential",EXP(IF(AND(ISNUMBER('Council Entry'!J$8),ISNUMBER('Council Entry'!J$9)),MAX(MIN('Council Entry'!J36,'Council Entry'!J$9),'Council Entry'!J$8),'Council Entry'!J36)),IF(AND(ISNUMBER('Council Entry'!J$8),ISNUMBER('Council Entry'!J$9)),MAX(MIN('Council Entry'!J36,'Council Entry'!J$9),'Council Entry'!J$8),'Council Entry'!J36))))-'Council Entry'!J$5)/('Council Entry'!J$6-'Council Entry'!J$5),10*((IF('Council Entry'!J$4="Logarithm",LN(0.001+IF(AND(ISNUMBER('Council Entry'!J$8),ISNUMBER('Council Entry'!J$9)),MAX(MIN('Council Entry'!J36,'Council Entry'!J$9),'Council Entry'!J$8),'Council Entry'!J36)),IF('Council Entry'!J$4="Exponential",EXP(IF(AND(ISNUMBER('Council Entry'!J$8),ISNUMBER('Council Entry'!J$9)),MAX(MIN('Council Entry'!J36,'Council Entry'!J$9),'Council Entry'!J$8),'Council Entry'!J36)),IF(AND(ISNUMBER('Council Entry'!J$8),ISNUMBER('Council Entry'!J$9)),MAX(MIN('Council Entry'!J36,'Council Entry'!J$9),'Council Entry'!J$8),'Council Entry'!J36))))-'Council Entry'!J$5)/('Council Entry'!J$6-'Council Entry'!J$5)),1))),"No data"))</f>
        <v/>
      </c>
      <c r="K36" s="13">
        <f>IF('Council Entry'!K36="","",IFERROR(MAX(0,MIN(10,ROUND(IF('Council Entry'!K$7="Decrease Risk",10-10*((IF('Council Entry'!K$4="Logarithm",LN(0.001+IF(AND(ISNUMBER('Council Entry'!K$8),ISNUMBER('Council Entry'!K$9)),MAX(MIN('Council Entry'!K36,'Council Entry'!K$9),'Council Entry'!K$8),'Council Entry'!K36)),IF('Council Entry'!K$4="Exponential",EXP(IF(AND(ISNUMBER('Council Entry'!K$8),ISNUMBER('Council Entry'!K$9)),MAX(MIN('Council Entry'!K36,'Council Entry'!K$9),'Council Entry'!K$8),'Council Entry'!K36)),IF(AND(ISNUMBER('Council Entry'!K$8),ISNUMBER('Council Entry'!K$9)),MAX(MIN('Council Entry'!K36,'Council Entry'!K$9),'Council Entry'!K$8),'Council Entry'!K36))))-'Council Entry'!K$5)/('Council Entry'!K$6-'Council Entry'!K$5),10*((IF('Council Entry'!K$4="Logarithm",LN(0.001+IF(AND(ISNUMBER('Council Entry'!K$8),ISNUMBER('Council Entry'!K$9)),MAX(MIN('Council Entry'!K36,'Council Entry'!K$9),'Council Entry'!K$8),'Council Entry'!K36)),IF('Council Entry'!K$4="Exponential",EXP(IF(AND(ISNUMBER('Council Entry'!K$8),ISNUMBER('Council Entry'!K$9)),MAX(MIN('Council Entry'!K36,'Council Entry'!K$9),'Council Entry'!K$8),'Council Entry'!K36)),IF(AND(ISNUMBER('Council Entry'!K$8),ISNUMBER('Council Entry'!K$9)),MAX(MIN('Council Entry'!K36,'Council Entry'!K$9),'Council Entry'!K$8),'Council Entry'!K36))))-'Council Entry'!K$5)/('Council Entry'!K$6-'Council Entry'!K$5)),1))),"No data"))</f>
        <v/>
      </c>
      <c r="L36" s="13">
        <f>IF('Council Entry'!L36="","",IFERROR(MAX(0,MIN(10,ROUND(IF('Council Entry'!L$7="Decrease Risk",10-10*((IF('Council Entry'!L$4="Logarithm",LN(0.001+IF(AND(ISNUMBER('Council Entry'!L$8),ISNUMBER('Council Entry'!L$9)),MAX(MIN('Council Entry'!L36,'Council Entry'!L$9),'Council Entry'!L$8),'Council Entry'!L36)),IF('Council Entry'!L$4="Exponential",EXP(IF(AND(ISNUMBER('Council Entry'!L$8),ISNUMBER('Council Entry'!L$9)),MAX(MIN('Council Entry'!L36,'Council Entry'!L$9),'Council Entry'!L$8),'Council Entry'!L36)),IF(AND(ISNUMBER('Council Entry'!L$8),ISNUMBER('Council Entry'!L$9)),MAX(MIN('Council Entry'!L36,'Council Entry'!L$9),'Council Entry'!L$8),'Council Entry'!L36))))-'Council Entry'!L$5)/('Council Entry'!L$6-'Council Entry'!L$5),10*((IF('Council Entry'!L$4="Logarithm",LN(0.001+IF(AND(ISNUMBER('Council Entry'!L$8),ISNUMBER('Council Entry'!L$9)),MAX(MIN('Council Entry'!L36,'Council Entry'!L$9),'Council Entry'!L$8),'Council Entry'!L36)),IF('Council Entry'!L$4="Exponential",EXP(IF(AND(ISNUMBER('Council Entry'!L$8),ISNUMBER('Council Entry'!L$9)),MAX(MIN('Council Entry'!L36,'Council Entry'!L$9),'Council Entry'!L$8),'Council Entry'!L36)),IF(AND(ISNUMBER('Council Entry'!L$8),ISNUMBER('Council Entry'!L$9)),MAX(MIN('Council Entry'!L36,'Council Entry'!L$9),'Council Entry'!L$8),'Council Entry'!L36))))-'Council Entry'!L$5)/('Council Entry'!L$6-'Council Entry'!L$5)),1))),"No data"))</f>
        <v/>
      </c>
      <c r="M36" s="13">
        <f>IF('Council Entry'!M36="","",IFERROR(MAX(0,MIN(10,ROUND(IF('Council Entry'!M$7="Decrease Risk",10-10*((IF('Council Entry'!M$4="Logarithm",LN(0.001+IF(AND(ISNUMBER('Council Entry'!M$8),ISNUMBER('Council Entry'!M$9)),MAX(MIN('Council Entry'!M36,'Council Entry'!M$9),'Council Entry'!M$8),'Council Entry'!M36)),IF('Council Entry'!M$4="Exponential",EXP(IF(AND(ISNUMBER('Council Entry'!M$8),ISNUMBER('Council Entry'!M$9)),MAX(MIN('Council Entry'!M36,'Council Entry'!M$9),'Council Entry'!M$8),'Council Entry'!M36)),IF(AND(ISNUMBER('Council Entry'!M$8),ISNUMBER('Council Entry'!M$9)),MAX(MIN('Council Entry'!M36,'Council Entry'!M$9),'Council Entry'!M$8),'Council Entry'!M36))))-'Council Entry'!M$5)/('Council Entry'!M$6-'Council Entry'!M$5),10*((IF('Council Entry'!M$4="Logarithm",LN(0.001+IF(AND(ISNUMBER('Council Entry'!M$8),ISNUMBER('Council Entry'!M$9)),MAX(MIN('Council Entry'!M36,'Council Entry'!M$9),'Council Entry'!M$8),'Council Entry'!M36)),IF('Council Entry'!M$4="Exponential",EXP(IF(AND(ISNUMBER('Council Entry'!M$8),ISNUMBER('Council Entry'!M$9)),MAX(MIN('Council Entry'!M36,'Council Entry'!M$9),'Council Entry'!M$8),'Council Entry'!M36)),IF(AND(ISNUMBER('Council Entry'!M$8),ISNUMBER('Council Entry'!M$9)),MAX(MIN('Council Entry'!M36,'Council Entry'!M$9),'Council Entry'!M$8),'Council Entry'!M36))))-'Council Entry'!M$5)/('Council Entry'!M$6-'Council Entry'!M$5)),1))),"No data"))</f>
        <v/>
      </c>
      <c r="N36" s="13">
        <f>IF('Council Entry'!N36="","",IFERROR(MAX(0,MIN(10,ROUND(IF('Council Entry'!N$7="Decrease Risk",10-10*((IF('Council Entry'!N$4="Logarithm",LN(0.001+IF(AND(ISNUMBER('Council Entry'!N$8),ISNUMBER('Council Entry'!N$9)),MAX(MIN('Council Entry'!N36,'Council Entry'!N$9),'Council Entry'!N$8),'Council Entry'!N36)),IF('Council Entry'!N$4="Exponential",EXP(IF(AND(ISNUMBER('Council Entry'!N$8),ISNUMBER('Council Entry'!N$9)),MAX(MIN('Council Entry'!N36,'Council Entry'!N$9),'Council Entry'!N$8),'Council Entry'!N36)),IF(AND(ISNUMBER('Council Entry'!N$8),ISNUMBER('Council Entry'!N$9)),MAX(MIN('Council Entry'!N36,'Council Entry'!N$9),'Council Entry'!N$8),'Council Entry'!N36))))-'Council Entry'!N$5)/('Council Entry'!N$6-'Council Entry'!N$5),10*((IF('Council Entry'!N$4="Logarithm",LN(0.001+IF(AND(ISNUMBER('Council Entry'!N$8),ISNUMBER('Council Entry'!N$9)),MAX(MIN('Council Entry'!N36,'Council Entry'!N$9),'Council Entry'!N$8),'Council Entry'!N36)),IF('Council Entry'!N$4="Exponential",EXP(IF(AND(ISNUMBER('Council Entry'!N$8),ISNUMBER('Council Entry'!N$9)),MAX(MIN('Council Entry'!N36,'Council Entry'!N$9),'Council Entry'!N$8),'Council Entry'!N36)),IF(AND(ISNUMBER('Council Entry'!N$8),ISNUMBER('Council Entry'!N$9)),MAX(MIN('Council Entry'!N36,'Council Entry'!N$9),'Council Entry'!N$8),'Council Entry'!N36))))-'Council Entry'!N$5)/('Council Entry'!N$6-'Council Entry'!N$5)),1))),"No data"))</f>
        <v/>
      </c>
      <c r="O36" s="13">
        <f>IF('Council Entry'!O36="","",IFERROR(MAX(0,MIN(10,ROUND(IF('Council Entry'!O$7="Decrease Risk",10-10*((IF('Council Entry'!O$4="Logarithm",LN(0.001+IF(AND(ISNUMBER('Council Entry'!O$8),ISNUMBER('Council Entry'!O$9)),MAX(MIN('Council Entry'!O36,'Council Entry'!O$9),'Council Entry'!O$8),'Council Entry'!O36)),IF('Council Entry'!O$4="Exponential",EXP(IF(AND(ISNUMBER('Council Entry'!O$8),ISNUMBER('Council Entry'!O$9)),MAX(MIN('Council Entry'!O36,'Council Entry'!O$9),'Council Entry'!O$8),'Council Entry'!O36)),IF(AND(ISNUMBER('Council Entry'!O$8),ISNUMBER('Council Entry'!O$9)),MAX(MIN('Council Entry'!O36,'Council Entry'!O$9),'Council Entry'!O$8),'Council Entry'!O36))))-'Council Entry'!O$5)/('Council Entry'!O$6-'Council Entry'!O$5),10*((IF('Council Entry'!O$4="Logarithm",LN(0.001+IF(AND(ISNUMBER('Council Entry'!O$8),ISNUMBER('Council Entry'!O$9)),MAX(MIN('Council Entry'!O36,'Council Entry'!O$9),'Council Entry'!O$8),'Council Entry'!O36)),IF('Council Entry'!O$4="Exponential",EXP(IF(AND(ISNUMBER('Council Entry'!O$8),ISNUMBER('Council Entry'!O$9)),MAX(MIN('Council Entry'!O36,'Council Entry'!O$9),'Council Entry'!O$8),'Council Entry'!O36)),IF(AND(ISNUMBER('Council Entry'!O$8),ISNUMBER('Council Entry'!O$9)),MAX(MIN('Council Entry'!O36,'Council Entry'!O$9),'Council Entry'!O$8),'Council Entry'!O36))))-'Council Entry'!O$5)/('Council Entry'!O$6-'Council Entry'!O$5)),1))),"No data"))</f>
        <v/>
      </c>
      <c r="P36" s="13">
        <f>IF('Council Entry'!P36="","",IFERROR(MAX(0,MIN(10,ROUND(IF('Council Entry'!P$7="Decrease Risk",10-10*((IF('Council Entry'!P$4="Logarithm",LN(0.001+IF(AND(ISNUMBER('Council Entry'!P$8),ISNUMBER('Council Entry'!P$9)),MAX(MIN('Council Entry'!P36,'Council Entry'!P$9),'Council Entry'!P$8),'Council Entry'!P36)),IF('Council Entry'!P$4="Exponential",EXP(IF(AND(ISNUMBER('Council Entry'!P$8),ISNUMBER('Council Entry'!P$9)),MAX(MIN('Council Entry'!P36,'Council Entry'!P$9),'Council Entry'!P$8),'Council Entry'!P36)),IF(AND(ISNUMBER('Council Entry'!P$8),ISNUMBER('Council Entry'!P$9)),MAX(MIN('Council Entry'!P36,'Council Entry'!P$9),'Council Entry'!P$8),'Council Entry'!P36))))-'Council Entry'!P$5)/('Council Entry'!P$6-'Council Entry'!P$5),10*((IF('Council Entry'!P$4="Logarithm",LN(0.001+IF(AND(ISNUMBER('Council Entry'!P$8),ISNUMBER('Council Entry'!P$9)),MAX(MIN('Council Entry'!P36,'Council Entry'!P$9),'Council Entry'!P$8),'Council Entry'!P36)),IF('Council Entry'!P$4="Exponential",EXP(IF(AND(ISNUMBER('Council Entry'!P$8),ISNUMBER('Council Entry'!P$9)),MAX(MIN('Council Entry'!P36,'Council Entry'!P$9),'Council Entry'!P$8),'Council Entry'!P36)),IF(AND(ISNUMBER('Council Entry'!P$8),ISNUMBER('Council Entry'!P$9)),MAX(MIN('Council Entry'!P36,'Council Entry'!P$9),'Council Entry'!P$8),'Council Entry'!P36))))-'Council Entry'!P$5)/('Council Entry'!P$6-'Council Entry'!P$5)),1))),"No data"))</f>
        <v/>
      </c>
      <c r="Q36" s="13">
        <f>IF('Council Entry'!Q36="","",IFERROR(MAX(0,MIN(10,ROUND(IF('Council Entry'!Q$7="Decrease Risk",10-10*((IF('Council Entry'!Q$4="Logarithm",LN(0.001+IF(AND(ISNUMBER('Council Entry'!Q$8),ISNUMBER('Council Entry'!Q$9)),MAX(MIN('Council Entry'!Q36,'Council Entry'!Q$9),'Council Entry'!Q$8),'Council Entry'!Q36)),IF('Council Entry'!Q$4="Exponential",EXP(IF(AND(ISNUMBER('Council Entry'!Q$8),ISNUMBER('Council Entry'!Q$9)),MAX(MIN('Council Entry'!Q36,'Council Entry'!Q$9),'Council Entry'!Q$8),'Council Entry'!Q36)),IF(AND(ISNUMBER('Council Entry'!Q$8),ISNUMBER('Council Entry'!Q$9)),MAX(MIN('Council Entry'!Q36,'Council Entry'!Q$9),'Council Entry'!Q$8),'Council Entry'!Q36))))-'Council Entry'!Q$5)/('Council Entry'!Q$6-'Council Entry'!Q$5),10*((IF('Council Entry'!Q$4="Logarithm",LN(0.001+IF(AND(ISNUMBER('Council Entry'!Q$8),ISNUMBER('Council Entry'!Q$9)),MAX(MIN('Council Entry'!Q36,'Council Entry'!Q$9),'Council Entry'!Q$8),'Council Entry'!Q36)),IF('Council Entry'!Q$4="Exponential",EXP(IF(AND(ISNUMBER('Council Entry'!Q$8),ISNUMBER('Council Entry'!Q$9)),MAX(MIN('Council Entry'!Q36,'Council Entry'!Q$9),'Council Entry'!Q$8),'Council Entry'!Q36)),IF(AND(ISNUMBER('Council Entry'!Q$8),ISNUMBER('Council Entry'!Q$9)),MAX(MIN('Council Entry'!Q36,'Council Entry'!Q$9),'Council Entry'!Q$8),'Council Entry'!Q36))))-'Council Entry'!Q$5)/('Council Entry'!Q$6-'Council Entry'!Q$5)),1))),"No data"))</f>
        <v/>
      </c>
      <c r="R36" s="13">
        <f>IF('Council Entry'!R36="","",IFERROR(MAX(0,MIN(10,ROUND(IF('Council Entry'!R$7="Decrease Risk",10-10*((IF('Council Entry'!R$4="Logarithm",LN(0.001+IF(AND(ISNUMBER('Council Entry'!R$8),ISNUMBER('Council Entry'!R$9)),MAX(MIN('Council Entry'!R36,'Council Entry'!R$9),'Council Entry'!R$8),'Council Entry'!R36)),IF('Council Entry'!R$4="Exponential",EXP(IF(AND(ISNUMBER('Council Entry'!R$8),ISNUMBER('Council Entry'!R$9)),MAX(MIN('Council Entry'!R36,'Council Entry'!R$9),'Council Entry'!R$8),'Council Entry'!R36)),IF(AND(ISNUMBER('Council Entry'!R$8),ISNUMBER('Council Entry'!R$9)),MAX(MIN('Council Entry'!R36,'Council Entry'!R$9),'Council Entry'!R$8),'Council Entry'!R36))))-'Council Entry'!R$5)/('Council Entry'!R$6-'Council Entry'!R$5),10*((IF('Council Entry'!R$4="Logarithm",LN(0.001+IF(AND(ISNUMBER('Council Entry'!R$8),ISNUMBER('Council Entry'!R$9)),MAX(MIN('Council Entry'!R36,'Council Entry'!R$9),'Council Entry'!R$8),'Council Entry'!R36)),IF('Council Entry'!R$4="Exponential",EXP(IF(AND(ISNUMBER('Council Entry'!R$8),ISNUMBER('Council Entry'!R$9)),MAX(MIN('Council Entry'!R36,'Council Entry'!R$9),'Council Entry'!R$8),'Council Entry'!R36)),IF(AND(ISNUMBER('Council Entry'!R$8),ISNUMBER('Council Entry'!R$9)),MAX(MIN('Council Entry'!R36,'Council Entry'!R$9),'Council Entry'!R$8),'Council Entry'!R36))))-'Council Entry'!R$5)/('Council Entry'!R$6-'Council Entry'!R$5)),1))),"No data"))</f>
        <v/>
      </c>
      <c r="S36" s="13">
        <f>IF('Council Entry'!S36="","",IFERROR(MAX(0,MIN(10,ROUND(IF('Council Entry'!S$7="Decrease Risk",10-10*((IF('Council Entry'!S$4="Logarithm",LN(0.001+IF(AND(ISNUMBER('Council Entry'!S$8),ISNUMBER('Council Entry'!S$9)),MAX(MIN('Council Entry'!S36,'Council Entry'!S$9),'Council Entry'!S$8),'Council Entry'!S36)),IF('Council Entry'!S$4="Exponential",EXP(IF(AND(ISNUMBER('Council Entry'!S$8),ISNUMBER('Council Entry'!S$9)),MAX(MIN('Council Entry'!S36,'Council Entry'!S$9),'Council Entry'!S$8),'Council Entry'!S36)),IF(AND(ISNUMBER('Council Entry'!S$8),ISNUMBER('Council Entry'!S$9)),MAX(MIN('Council Entry'!S36,'Council Entry'!S$9),'Council Entry'!S$8),'Council Entry'!S36))))-'Council Entry'!S$5)/('Council Entry'!S$6-'Council Entry'!S$5),10*((IF('Council Entry'!S$4="Logarithm",LN(0.001+IF(AND(ISNUMBER('Council Entry'!S$8),ISNUMBER('Council Entry'!S$9)),MAX(MIN('Council Entry'!S36,'Council Entry'!S$9),'Council Entry'!S$8),'Council Entry'!S36)),IF('Council Entry'!S$4="Exponential",EXP(IF(AND(ISNUMBER('Council Entry'!S$8),ISNUMBER('Council Entry'!S$9)),MAX(MIN('Council Entry'!S36,'Council Entry'!S$9),'Council Entry'!S$8),'Council Entry'!S36)),IF(AND(ISNUMBER('Council Entry'!S$8),ISNUMBER('Council Entry'!S$9)),MAX(MIN('Council Entry'!S36,'Council Entry'!S$9),'Council Entry'!S$8),'Council Entry'!S36))))-'Council Entry'!S$5)/('Council Entry'!S$6-'Council Entry'!S$5)),1))),"No data"))</f>
        <v/>
      </c>
      <c r="T36" s="13">
        <f>IF('Council Entry'!T36="","",IFERROR(MAX(0,MIN(10,ROUND(IF('Council Entry'!T$7="Decrease Risk",10-10*((IF('Council Entry'!T$4="Logarithm",LN(0.001+IF(AND(ISNUMBER('Council Entry'!T$8),ISNUMBER('Council Entry'!T$9)),MAX(MIN('Council Entry'!T36,'Council Entry'!T$9),'Council Entry'!T$8),'Council Entry'!T36)),IF('Council Entry'!T$4="Exponential",EXP(IF(AND(ISNUMBER('Council Entry'!T$8),ISNUMBER('Council Entry'!T$9)),MAX(MIN('Council Entry'!T36,'Council Entry'!T$9),'Council Entry'!T$8),'Council Entry'!T36)),IF(AND(ISNUMBER('Council Entry'!T$8),ISNUMBER('Council Entry'!T$9)),MAX(MIN('Council Entry'!T36,'Council Entry'!T$9),'Council Entry'!T$8),'Council Entry'!T36))))-'Council Entry'!T$5)/('Council Entry'!T$6-'Council Entry'!T$5),10*((IF('Council Entry'!T$4="Logarithm",LN(0.001+IF(AND(ISNUMBER('Council Entry'!T$8),ISNUMBER('Council Entry'!T$9)),MAX(MIN('Council Entry'!T36,'Council Entry'!T$9),'Council Entry'!T$8),'Council Entry'!T36)),IF('Council Entry'!T$4="Exponential",EXP(IF(AND(ISNUMBER('Council Entry'!T$8),ISNUMBER('Council Entry'!T$9)),MAX(MIN('Council Entry'!T36,'Council Entry'!T$9),'Council Entry'!T$8),'Council Entry'!T36)),IF(AND(ISNUMBER('Council Entry'!T$8),ISNUMBER('Council Entry'!T$9)),MAX(MIN('Council Entry'!T36,'Council Entry'!T$9),'Council Entry'!T$8),'Council Entry'!T36))))-'Council Entry'!T$5)/('Council Entry'!T$6-'Council Entry'!T$5)),1))),"No data"))</f>
        <v/>
      </c>
      <c r="U36" s="13">
        <f>IF('Council Entry'!U36="","",IFERROR(MAX(0,MIN(10,ROUND(IF('Council Entry'!U$7="Decrease Risk",10-10*((IF('Council Entry'!U$4="Logarithm",LN(0.001+IF(AND(ISNUMBER('Council Entry'!U$8),ISNUMBER('Council Entry'!U$9)),MAX(MIN('Council Entry'!U36,'Council Entry'!U$9),'Council Entry'!U$8),'Council Entry'!U36)),IF('Council Entry'!U$4="Exponential",EXP(IF(AND(ISNUMBER('Council Entry'!U$8),ISNUMBER('Council Entry'!U$9)),MAX(MIN('Council Entry'!U36,'Council Entry'!U$9),'Council Entry'!U$8),'Council Entry'!U36)),IF(AND(ISNUMBER('Council Entry'!U$8),ISNUMBER('Council Entry'!U$9)),MAX(MIN('Council Entry'!U36,'Council Entry'!U$9),'Council Entry'!U$8),'Council Entry'!U36))))-'Council Entry'!U$5)/('Council Entry'!U$6-'Council Entry'!U$5),10*((IF('Council Entry'!U$4="Logarithm",LN(0.001+IF(AND(ISNUMBER('Council Entry'!U$8),ISNUMBER('Council Entry'!U$9)),MAX(MIN('Council Entry'!U36,'Council Entry'!U$9),'Council Entry'!U$8),'Council Entry'!U36)),IF('Council Entry'!U$4="Exponential",EXP(IF(AND(ISNUMBER('Council Entry'!U$8),ISNUMBER('Council Entry'!U$9)),MAX(MIN('Council Entry'!U36,'Council Entry'!U$9),'Council Entry'!U$8),'Council Entry'!U36)),IF(AND(ISNUMBER('Council Entry'!U$8),ISNUMBER('Council Entry'!U$9)),MAX(MIN('Council Entry'!U36,'Council Entry'!U$9),'Council Entry'!U$8),'Council Entry'!U36))))-'Council Entry'!U$5)/('Council Entry'!U$6-'Council Entry'!U$5)),1))),"No data"))</f>
        <v/>
      </c>
      <c r="V36" s="13">
        <f>IF('Council Entry'!V36="","",IFERROR(MAX(0,MIN(10,ROUND(IF('Council Entry'!V$7="Decrease Risk",10-10*((IF('Council Entry'!V$4="Logarithm",LN(0.001+IF(AND(ISNUMBER('Council Entry'!V$8),ISNUMBER('Council Entry'!V$9)),MAX(MIN('Council Entry'!V36,'Council Entry'!V$9),'Council Entry'!V$8),'Council Entry'!V36)),IF('Council Entry'!V$4="Exponential",EXP(IF(AND(ISNUMBER('Council Entry'!V$8),ISNUMBER('Council Entry'!V$9)),MAX(MIN('Council Entry'!V36,'Council Entry'!V$9),'Council Entry'!V$8),'Council Entry'!V36)),IF(AND(ISNUMBER('Council Entry'!V$8),ISNUMBER('Council Entry'!V$9)),MAX(MIN('Council Entry'!V36,'Council Entry'!V$9),'Council Entry'!V$8),'Council Entry'!V36))))-'Council Entry'!V$5)/('Council Entry'!V$6-'Council Entry'!V$5),10*((IF('Council Entry'!V$4="Logarithm",LN(0.001+IF(AND(ISNUMBER('Council Entry'!V$8),ISNUMBER('Council Entry'!V$9)),MAX(MIN('Council Entry'!V36,'Council Entry'!V$9),'Council Entry'!V$8),'Council Entry'!V36)),IF('Council Entry'!V$4="Exponential",EXP(IF(AND(ISNUMBER('Council Entry'!V$8),ISNUMBER('Council Entry'!V$9)),MAX(MIN('Council Entry'!V36,'Council Entry'!V$9),'Council Entry'!V$8),'Council Entry'!V36)),IF(AND(ISNUMBER('Council Entry'!V$8),ISNUMBER('Council Entry'!V$9)),MAX(MIN('Council Entry'!V36,'Council Entry'!V$9),'Council Entry'!V$8),'Council Entry'!V36))))-'Council Entry'!V$5)/('Council Entry'!V$6-'Council Entry'!V$5)),1))),"No data"))</f>
        <v/>
      </c>
      <c r="W36" s="13">
        <f>IF('Council Entry'!W36="","",IFERROR(MAX(0,MIN(10,ROUND(IF('Council Entry'!W$7="Decrease Risk",10-10*((IF('Council Entry'!W$4="Logarithm",LN(0.001+IF(AND(ISNUMBER('Council Entry'!W$8),ISNUMBER('Council Entry'!W$9)),MAX(MIN('Council Entry'!W36,'Council Entry'!W$9),'Council Entry'!W$8),'Council Entry'!W36)),IF('Council Entry'!W$4="Exponential",EXP(IF(AND(ISNUMBER('Council Entry'!W$8),ISNUMBER('Council Entry'!W$9)),MAX(MIN('Council Entry'!W36,'Council Entry'!W$9),'Council Entry'!W$8),'Council Entry'!W36)),IF(AND(ISNUMBER('Council Entry'!W$8),ISNUMBER('Council Entry'!W$9)),MAX(MIN('Council Entry'!W36,'Council Entry'!W$9),'Council Entry'!W$8),'Council Entry'!W36))))-'Council Entry'!W$5)/('Council Entry'!W$6-'Council Entry'!W$5),10*((IF('Council Entry'!W$4="Logarithm",LN(0.001+IF(AND(ISNUMBER('Council Entry'!W$8),ISNUMBER('Council Entry'!W$9)),MAX(MIN('Council Entry'!W36,'Council Entry'!W$9),'Council Entry'!W$8),'Council Entry'!W36)),IF('Council Entry'!W$4="Exponential",EXP(IF(AND(ISNUMBER('Council Entry'!W$8),ISNUMBER('Council Entry'!W$9)),MAX(MIN('Council Entry'!W36,'Council Entry'!W$9),'Council Entry'!W$8),'Council Entry'!W36)),IF(AND(ISNUMBER('Council Entry'!W$8),ISNUMBER('Council Entry'!W$9)),MAX(MIN('Council Entry'!W36,'Council Entry'!W$9),'Council Entry'!W$8),'Council Entry'!W36))))-'Council Entry'!W$5)/('Council Entry'!W$6-'Council Entry'!W$5)),1))),"No data"))</f>
        <v/>
      </c>
      <c r="X36" s="13">
        <f>IF('Council Entry'!X36="","",IFERROR(MAX(0,MIN(10,ROUND(IF('Council Entry'!X$7="Decrease Risk",10-10*((IF('Council Entry'!X$4="Logarithm",LN(0.001+IF(AND(ISNUMBER('Council Entry'!X$8),ISNUMBER('Council Entry'!X$9)),MAX(MIN('Council Entry'!X36,'Council Entry'!X$9),'Council Entry'!X$8),'Council Entry'!X36)),IF('Council Entry'!X$4="Exponential",EXP(IF(AND(ISNUMBER('Council Entry'!X$8),ISNUMBER('Council Entry'!X$9)),MAX(MIN('Council Entry'!X36,'Council Entry'!X$9),'Council Entry'!X$8),'Council Entry'!X36)),IF(AND(ISNUMBER('Council Entry'!X$8),ISNUMBER('Council Entry'!X$9)),MAX(MIN('Council Entry'!X36,'Council Entry'!X$9),'Council Entry'!X$8),'Council Entry'!X36))))-'Council Entry'!X$5)/('Council Entry'!X$6-'Council Entry'!X$5),10*((IF('Council Entry'!X$4="Logarithm",LN(0.001+IF(AND(ISNUMBER('Council Entry'!X$8),ISNUMBER('Council Entry'!X$9)),MAX(MIN('Council Entry'!X36,'Council Entry'!X$9),'Council Entry'!X$8),'Council Entry'!X36)),IF('Council Entry'!X$4="Exponential",EXP(IF(AND(ISNUMBER('Council Entry'!X$8),ISNUMBER('Council Entry'!X$9)),MAX(MIN('Council Entry'!X36,'Council Entry'!X$9),'Council Entry'!X$8),'Council Entry'!X36)),IF(AND(ISNUMBER('Council Entry'!X$8),ISNUMBER('Council Entry'!X$9)),MAX(MIN('Council Entry'!X36,'Council Entry'!X$9),'Council Entry'!X$8),'Council Entry'!X36))))-'Council Entry'!X$5)/('Council Entry'!X$6-'Council Entry'!X$5)),1))),"No data"))</f>
        <v/>
      </c>
      <c r="Y36" s="13">
        <f>IF('Council Entry'!Y36="","",IFERROR(MAX(0,MIN(10,ROUND(IF('Council Entry'!Y$7="Decrease Risk",10-10*((IF('Council Entry'!Y$4="Logarithm",LN(0.001+IF(AND(ISNUMBER('Council Entry'!Y$8),ISNUMBER('Council Entry'!Y$9)),MAX(MIN('Council Entry'!Y36,'Council Entry'!Y$9),'Council Entry'!Y$8),'Council Entry'!Y36)),IF('Council Entry'!Y$4="Exponential",EXP(IF(AND(ISNUMBER('Council Entry'!Y$8),ISNUMBER('Council Entry'!Y$9)),MAX(MIN('Council Entry'!Y36,'Council Entry'!Y$9),'Council Entry'!Y$8),'Council Entry'!Y36)),IF(AND(ISNUMBER('Council Entry'!Y$8),ISNUMBER('Council Entry'!Y$9)),MAX(MIN('Council Entry'!Y36,'Council Entry'!Y$9),'Council Entry'!Y$8),'Council Entry'!Y36))))-'Council Entry'!Y$5)/('Council Entry'!Y$6-'Council Entry'!Y$5),10*((IF('Council Entry'!Y$4="Logarithm",LN(0.001+IF(AND(ISNUMBER('Council Entry'!Y$8),ISNUMBER('Council Entry'!Y$9)),MAX(MIN('Council Entry'!Y36,'Council Entry'!Y$9),'Council Entry'!Y$8),'Council Entry'!Y36)),IF('Council Entry'!Y$4="Exponential",EXP(IF(AND(ISNUMBER('Council Entry'!Y$8),ISNUMBER('Council Entry'!Y$9)),MAX(MIN('Council Entry'!Y36,'Council Entry'!Y$9),'Council Entry'!Y$8),'Council Entry'!Y36)),IF(AND(ISNUMBER('Council Entry'!Y$8),ISNUMBER('Council Entry'!Y$9)),MAX(MIN('Council Entry'!Y36,'Council Entry'!Y$9),'Council Entry'!Y$8),'Council Entry'!Y36))))-'Council Entry'!Y$5)/('Council Entry'!Y$6-'Council Entry'!Y$5)),1))),"No data"))</f>
        <v/>
      </c>
      <c r="Z36" s="13">
        <f>IF('Council Entry'!Z36="","",IFERROR(MAX(0,MIN(10,ROUND(IF('Council Entry'!Z$7="Decrease Risk",10-10*((IF('Council Entry'!Z$4="Logarithm",LN(0.001+IF(AND(ISNUMBER('Council Entry'!Z$8),ISNUMBER('Council Entry'!Z$9)),MAX(MIN('Council Entry'!Z36,'Council Entry'!Z$9),'Council Entry'!Z$8),'Council Entry'!Z36)),IF('Council Entry'!Z$4="Exponential",EXP(IF(AND(ISNUMBER('Council Entry'!Z$8),ISNUMBER('Council Entry'!Z$9)),MAX(MIN('Council Entry'!Z36,'Council Entry'!Z$9),'Council Entry'!Z$8),'Council Entry'!Z36)),IF(AND(ISNUMBER('Council Entry'!Z$8),ISNUMBER('Council Entry'!Z$9)),MAX(MIN('Council Entry'!Z36,'Council Entry'!Z$9),'Council Entry'!Z$8),'Council Entry'!Z36))))-'Council Entry'!Z$5)/('Council Entry'!Z$6-'Council Entry'!Z$5),10*((IF('Council Entry'!Z$4="Logarithm",LN(0.001+IF(AND(ISNUMBER('Council Entry'!Z$8),ISNUMBER('Council Entry'!Z$9)),MAX(MIN('Council Entry'!Z36,'Council Entry'!Z$9),'Council Entry'!Z$8),'Council Entry'!Z36)),IF('Council Entry'!Z$4="Exponential",EXP(IF(AND(ISNUMBER('Council Entry'!Z$8),ISNUMBER('Council Entry'!Z$9)),MAX(MIN('Council Entry'!Z36,'Council Entry'!Z$9),'Council Entry'!Z$8),'Council Entry'!Z36)),IF(AND(ISNUMBER('Council Entry'!Z$8),ISNUMBER('Council Entry'!Z$9)),MAX(MIN('Council Entry'!Z36,'Council Entry'!Z$9),'Council Entry'!Z$8),'Council Entry'!Z36))))-'Council Entry'!Z$5)/('Council Entry'!Z$6-'Council Entry'!Z$5)),1))),"No data"))</f>
        <v/>
      </c>
      <c r="AA36" s="13">
        <f>IF('Council Entry'!AA36="","",IFERROR(MAX(0,MIN(10,ROUND(IF('Council Entry'!AA$7="Decrease Risk",10-10*((IF('Council Entry'!AA$4="Logarithm",LN(0.001+IF(AND(ISNUMBER('Council Entry'!AA$8),ISNUMBER('Council Entry'!AA$9)),MAX(MIN('Council Entry'!AA36,'Council Entry'!AA$9),'Council Entry'!AA$8),'Council Entry'!AA36)),IF('Council Entry'!AA$4="Exponential",EXP(IF(AND(ISNUMBER('Council Entry'!AA$8),ISNUMBER('Council Entry'!AA$9)),MAX(MIN('Council Entry'!AA36,'Council Entry'!AA$9),'Council Entry'!AA$8),'Council Entry'!AA36)),IF(AND(ISNUMBER('Council Entry'!AA$8),ISNUMBER('Council Entry'!AA$9)),MAX(MIN('Council Entry'!AA36,'Council Entry'!AA$9),'Council Entry'!AA$8),'Council Entry'!AA36))))-'Council Entry'!AA$5)/('Council Entry'!AA$6-'Council Entry'!AA$5),10*((IF('Council Entry'!AA$4="Logarithm",LN(0.001+IF(AND(ISNUMBER('Council Entry'!AA$8),ISNUMBER('Council Entry'!AA$9)),MAX(MIN('Council Entry'!AA36,'Council Entry'!AA$9),'Council Entry'!AA$8),'Council Entry'!AA36)),IF('Council Entry'!AA$4="Exponential",EXP(IF(AND(ISNUMBER('Council Entry'!AA$8),ISNUMBER('Council Entry'!AA$9)),MAX(MIN('Council Entry'!AA36,'Council Entry'!AA$9),'Council Entry'!AA$8),'Council Entry'!AA36)),IF(AND(ISNUMBER('Council Entry'!AA$8),ISNUMBER('Council Entry'!AA$9)),MAX(MIN('Council Entry'!AA36,'Council Entry'!AA$9),'Council Entry'!AA$8),'Council Entry'!AA36))))-'Council Entry'!AA$5)/('Council Entry'!AA$6-'Council Entry'!AA$5)),1))),"No data"))</f>
        <v/>
      </c>
      <c r="AB36" s="13">
        <f>IF('Council Entry'!AB36="","",IFERROR(MAX(0,MIN(10,ROUND(IF('Council Entry'!AB$7="Decrease Risk",10-10*((IF('Council Entry'!AB$4="Logarithm",LN(0.001+IF(AND(ISNUMBER('Council Entry'!AB$8),ISNUMBER('Council Entry'!AB$9)),MAX(MIN('Council Entry'!AB36,'Council Entry'!AB$9),'Council Entry'!AB$8),'Council Entry'!AB36)),IF('Council Entry'!AB$4="Exponential",EXP(IF(AND(ISNUMBER('Council Entry'!AB$8),ISNUMBER('Council Entry'!AB$9)),MAX(MIN('Council Entry'!AB36,'Council Entry'!AB$9),'Council Entry'!AB$8),'Council Entry'!AB36)),IF(AND(ISNUMBER('Council Entry'!AB$8),ISNUMBER('Council Entry'!AB$9)),MAX(MIN('Council Entry'!AB36,'Council Entry'!AB$9),'Council Entry'!AB$8),'Council Entry'!AB36))))-'Council Entry'!AB$5)/('Council Entry'!AB$6-'Council Entry'!AB$5),10*((IF('Council Entry'!AB$4="Logarithm",LN(0.001+IF(AND(ISNUMBER('Council Entry'!AB$8),ISNUMBER('Council Entry'!AB$9)),MAX(MIN('Council Entry'!AB36,'Council Entry'!AB$9),'Council Entry'!AB$8),'Council Entry'!AB36)),IF('Council Entry'!AB$4="Exponential",EXP(IF(AND(ISNUMBER('Council Entry'!AB$8),ISNUMBER('Council Entry'!AB$9)),MAX(MIN('Council Entry'!AB36,'Council Entry'!AB$9),'Council Entry'!AB$8),'Council Entry'!AB36)),IF(AND(ISNUMBER('Council Entry'!AB$8),ISNUMBER('Council Entry'!AB$9)),MAX(MIN('Council Entry'!AB36,'Council Entry'!AB$9),'Council Entry'!AB$8),'Council Entry'!AB36))))-'Council Entry'!AB$5)/('Council Entry'!AB$6-'Council Entry'!AB$5)),1))),"No data"))</f>
        <v/>
      </c>
      <c r="AC36" s="13">
        <f>IF('Council Entry'!AC36="","",IFERROR(MAX(0,MIN(10,ROUND(IF('Council Entry'!AC$7="Decrease Risk",10-10*((IF('Council Entry'!AC$4="Logarithm",LN(0.001+IF(AND(ISNUMBER('Council Entry'!AC$8),ISNUMBER('Council Entry'!AC$9)),MAX(MIN('Council Entry'!AC36,'Council Entry'!AC$9),'Council Entry'!AC$8),'Council Entry'!AC36)),IF('Council Entry'!AC$4="Exponential",EXP(IF(AND(ISNUMBER('Council Entry'!AC$8),ISNUMBER('Council Entry'!AC$9)),MAX(MIN('Council Entry'!AC36,'Council Entry'!AC$9),'Council Entry'!AC$8),'Council Entry'!AC36)),IF(AND(ISNUMBER('Council Entry'!AC$8),ISNUMBER('Council Entry'!AC$9)),MAX(MIN('Council Entry'!AC36,'Council Entry'!AC$9),'Council Entry'!AC$8),'Council Entry'!AC36))))-'Council Entry'!AC$5)/('Council Entry'!AC$6-'Council Entry'!AC$5),10*((IF('Council Entry'!AC$4="Logarithm",LN(0.001+IF(AND(ISNUMBER('Council Entry'!AC$8),ISNUMBER('Council Entry'!AC$9)),MAX(MIN('Council Entry'!AC36,'Council Entry'!AC$9),'Council Entry'!AC$8),'Council Entry'!AC36)),IF('Council Entry'!AC$4="Exponential",EXP(IF(AND(ISNUMBER('Council Entry'!AC$8),ISNUMBER('Council Entry'!AC$9)),MAX(MIN('Council Entry'!AC36,'Council Entry'!AC$9),'Council Entry'!AC$8),'Council Entry'!AC36)),IF(AND(ISNUMBER('Council Entry'!AC$8),ISNUMBER('Council Entry'!AC$9)),MAX(MIN('Council Entry'!AC36,'Council Entry'!AC$9),'Council Entry'!AC$8),'Council Entry'!AC36))))-'Council Entry'!AC$5)/('Council Entry'!AC$6-'Council Entry'!AC$5)),1))),"No data"))</f>
        <v/>
      </c>
      <c r="AD36" s="13">
        <f>IF('Council Entry'!AD36="","",IFERROR(MAX(0,MIN(10,ROUND(IF('Council Entry'!AD$7="Decrease Risk",10-10*((IF('Council Entry'!AD$4="Logarithm",LN(0.001+IF(AND(ISNUMBER('Council Entry'!AD$8),ISNUMBER('Council Entry'!AD$9)),MAX(MIN('Council Entry'!AD36,'Council Entry'!AD$9),'Council Entry'!AD$8),'Council Entry'!AD36)),IF('Council Entry'!AD$4="Exponential",EXP(IF(AND(ISNUMBER('Council Entry'!AD$8),ISNUMBER('Council Entry'!AD$9)),MAX(MIN('Council Entry'!AD36,'Council Entry'!AD$9),'Council Entry'!AD$8),'Council Entry'!AD36)),IF(AND(ISNUMBER('Council Entry'!AD$8),ISNUMBER('Council Entry'!AD$9)),MAX(MIN('Council Entry'!AD36,'Council Entry'!AD$9),'Council Entry'!AD$8),'Council Entry'!AD36))))-'Council Entry'!AD$5)/('Council Entry'!AD$6-'Council Entry'!AD$5),10*((IF('Council Entry'!AD$4="Logarithm",LN(0.001+IF(AND(ISNUMBER('Council Entry'!AD$8),ISNUMBER('Council Entry'!AD$9)),MAX(MIN('Council Entry'!AD36,'Council Entry'!AD$9),'Council Entry'!AD$8),'Council Entry'!AD36)),IF('Council Entry'!AD$4="Exponential",EXP(IF(AND(ISNUMBER('Council Entry'!AD$8),ISNUMBER('Council Entry'!AD$9)),MAX(MIN('Council Entry'!AD36,'Council Entry'!AD$9),'Council Entry'!AD$8),'Council Entry'!AD36)),IF(AND(ISNUMBER('Council Entry'!AD$8),ISNUMBER('Council Entry'!AD$9)),MAX(MIN('Council Entry'!AD36,'Council Entry'!AD$9),'Council Entry'!AD$8),'Council Entry'!AD36))))-'Council Entry'!AD$5)/('Council Entry'!AD$6-'Council Entry'!AD$5)),1))),"No data"))</f>
        <v/>
      </c>
      <c r="AE36" s="13">
        <f>IF('Council Entry'!AE36="","",IFERROR(MAX(0,MIN(10,ROUND(IF('Council Entry'!AE$7="Decrease Risk",10-10*((IF('Council Entry'!AE$4="Logarithm",LN(0.001+IF(AND(ISNUMBER('Council Entry'!AE$8),ISNUMBER('Council Entry'!AE$9)),MAX(MIN('Council Entry'!AE36,'Council Entry'!AE$9),'Council Entry'!AE$8),'Council Entry'!AE36)),IF('Council Entry'!AE$4="Exponential",EXP(IF(AND(ISNUMBER('Council Entry'!AE$8),ISNUMBER('Council Entry'!AE$9)),MAX(MIN('Council Entry'!AE36,'Council Entry'!AE$9),'Council Entry'!AE$8),'Council Entry'!AE36)),IF(AND(ISNUMBER('Council Entry'!AE$8),ISNUMBER('Council Entry'!AE$9)),MAX(MIN('Council Entry'!AE36,'Council Entry'!AE$9),'Council Entry'!AE$8),'Council Entry'!AE36))))-'Council Entry'!AE$5)/('Council Entry'!AE$6-'Council Entry'!AE$5),10*((IF('Council Entry'!AE$4="Logarithm",LN(0.001+IF(AND(ISNUMBER('Council Entry'!AE$8),ISNUMBER('Council Entry'!AE$9)),MAX(MIN('Council Entry'!AE36,'Council Entry'!AE$9),'Council Entry'!AE$8),'Council Entry'!AE36)),IF('Council Entry'!AE$4="Exponential",EXP(IF(AND(ISNUMBER('Council Entry'!AE$8),ISNUMBER('Council Entry'!AE$9)),MAX(MIN('Council Entry'!AE36,'Council Entry'!AE$9),'Council Entry'!AE$8),'Council Entry'!AE36)),IF(AND(ISNUMBER('Council Entry'!AE$8),ISNUMBER('Council Entry'!AE$9)),MAX(MIN('Council Entry'!AE36,'Council Entry'!AE$9),'Council Entry'!AE$8),'Council Entry'!AE36))))-'Council Entry'!AE$5)/('Council Entry'!AE$6-'Council Entry'!AE$5)),1))),"No data"))</f>
        <v/>
      </c>
      <c r="AF36" s="13">
        <f>IF('Council Entry'!AF36="","",IFERROR(MAX(0,MIN(10,ROUND(IF('Council Entry'!AF$7="Decrease Risk",10-10*((IF('Council Entry'!AF$4="Logarithm",LN(0.001+IF(AND(ISNUMBER('Council Entry'!AF$8),ISNUMBER('Council Entry'!AF$9)),MAX(MIN('Council Entry'!AF36,'Council Entry'!AF$9),'Council Entry'!AF$8),'Council Entry'!AF36)),IF('Council Entry'!AF$4="Exponential",EXP(IF(AND(ISNUMBER('Council Entry'!AF$8),ISNUMBER('Council Entry'!AF$9)),MAX(MIN('Council Entry'!AF36,'Council Entry'!AF$9),'Council Entry'!AF$8),'Council Entry'!AF36)),IF(AND(ISNUMBER('Council Entry'!AF$8),ISNUMBER('Council Entry'!AF$9)),MAX(MIN('Council Entry'!AF36,'Council Entry'!AF$9),'Council Entry'!AF$8),'Council Entry'!AF36))))-'Council Entry'!AF$5)/('Council Entry'!AF$6-'Council Entry'!AF$5),10*((IF('Council Entry'!AF$4="Logarithm",LN(0.001+IF(AND(ISNUMBER('Council Entry'!AF$8),ISNUMBER('Council Entry'!AF$9)),MAX(MIN('Council Entry'!AF36,'Council Entry'!AF$9),'Council Entry'!AF$8),'Council Entry'!AF36)),IF('Council Entry'!AF$4="Exponential",EXP(IF(AND(ISNUMBER('Council Entry'!AF$8),ISNUMBER('Council Entry'!AF$9)),MAX(MIN('Council Entry'!AF36,'Council Entry'!AF$9),'Council Entry'!AF$8),'Council Entry'!AF36)),IF(AND(ISNUMBER('Council Entry'!AF$8),ISNUMBER('Council Entry'!AF$9)),MAX(MIN('Council Entry'!AF36,'Council Entry'!AF$9),'Council Entry'!AF$8),'Council Entry'!AF36))))-'Council Entry'!AF$5)/('Council Entry'!AF$6-'Council Entry'!AF$5)),1))),"No data"))</f>
        <v/>
      </c>
      <c r="AG36" s="13">
        <f>IF('Council Entry'!AG36="","",IFERROR(MAX(0,MIN(10,ROUND(IF('Council Entry'!AG$7="Decrease Risk",10-10*((IF('Council Entry'!AG$4="Logarithm",LN(0.001+IF(AND(ISNUMBER('Council Entry'!AG$8),ISNUMBER('Council Entry'!AG$9)),MAX(MIN('Council Entry'!AG36,'Council Entry'!AG$9),'Council Entry'!AG$8),'Council Entry'!AG36)),IF('Council Entry'!AG$4="Exponential",EXP(IF(AND(ISNUMBER('Council Entry'!AG$8),ISNUMBER('Council Entry'!AG$9)),MAX(MIN('Council Entry'!AG36,'Council Entry'!AG$9),'Council Entry'!AG$8),'Council Entry'!AG36)),IF(AND(ISNUMBER('Council Entry'!AG$8),ISNUMBER('Council Entry'!AG$9)),MAX(MIN('Council Entry'!AG36,'Council Entry'!AG$9),'Council Entry'!AG$8),'Council Entry'!AG36))))-'Council Entry'!AG$5)/('Council Entry'!AG$6-'Council Entry'!AG$5),10*((IF('Council Entry'!AG$4="Logarithm",LN(0.001+IF(AND(ISNUMBER('Council Entry'!AG$8),ISNUMBER('Council Entry'!AG$9)),MAX(MIN('Council Entry'!AG36,'Council Entry'!AG$9),'Council Entry'!AG$8),'Council Entry'!AG36)),IF('Council Entry'!AG$4="Exponential",EXP(IF(AND(ISNUMBER('Council Entry'!AG$8),ISNUMBER('Council Entry'!AG$9)),MAX(MIN('Council Entry'!AG36,'Council Entry'!AG$9),'Council Entry'!AG$8),'Council Entry'!AG36)),IF(AND(ISNUMBER('Council Entry'!AG$8),ISNUMBER('Council Entry'!AG$9)),MAX(MIN('Council Entry'!AG36,'Council Entry'!AG$9),'Council Entry'!AG$8),'Council Entry'!AG36))))-'Council Entry'!AG$5)/('Council Entry'!AG$6-'Council Entry'!AG$5)),1))),"No data"))</f>
        <v/>
      </c>
      <c r="AH36" s="13">
        <f>IF('Council Entry'!AH36="","",IFERROR(MAX(0,MIN(10,ROUND(IF('Council Entry'!AH$7="Decrease Risk",10-10*((IF('Council Entry'!AH$4="Logarithm",LN(0.001+IF(AND(ISNUMBER('Council Entry'!AH$8),ISNUMBER('Council Entry'!AH$9)),MAX(MIN('Council Entry'!AH36,'Council Entry'!AH$9),'Council Entry'!AH$8),'Council Entry'!AH36)),IF('Council Entry'!AH$4="Exponential",EXP(IF(AND(ISNUMBER('Council Entry'!AH$8),ISNUMBER('Council Entry'!AH$9)),MAX(MIN('Council Entry'!AH36,'Council Entry'!AH$9),'Council Entry'!AH$8),'Council Entry'!AH36)),IF(AND(ISNUMBER('Council Entry'!AH$8),ISNUMBER('Council Entry'!AH$9)),MAX(MIN('Council Entry'!AH36,'Council Entry'!AH$9),'Council Entry'!AH$8),'Council Entry'!AH36))))-'Council Entry'!AH$5)/('Council Entry'!AH$6-'Council Entry'!AH$5),10*((IF('Council Entry'!AH$4="Logarithm",LN(0.001+IF(AND(ISNUMBER('Council Entry'!AH$8),ISNUMBER('Council Entry'!AH$9)),MAX(MIN('Council Entry'!AH36,'Council Entry'!AH$9),'Council Entry'!AH$8),'Council Entry'!AH36)),IF('Council Entry'!AH$4="Exponential",EXP(IF(AND(ISNUMBER('Council Entry'!AH$8),ISNUMBER('Council Entry'!AH$9)),MAX(MIN('Council Entry'!AH36,'Council Entry'!AH$9),'Council Entry'!AH$8),'Council Entry'!AH36)),IF(AND(ISNUMBER('Council Entry'!AH$8),ISNUMBER('Council Entry'!AH$9)),MAX(MIN('Council Entry'!AH36,'Council Entry'!AH$9),'Council Entry'!AH$8),'Council Entry'!AH36))))-'Council Entry'!AH$5)/('Council Entry'!AH$6-'Council Entry'!AH$5)),1))),"No data"))</f>
        <v/>
      </c>
      <c r="AI36" s="13">
        <f>IF('Council Entry'!AI36="","",IFERROR(MAX(0,MIN(10,ROUND(IF('Council Entry'!AI$7="Decrease Risk",10-10*((IF('Council Entry'!AI$4="Logarithm",LN(0.001+IF(AND(ISNUMBER('Council Entry'!AI$8),ISNUMBER('Council Entry'!AI$9)),MAX(MIN('Council Entry'!AI36,'Council Entry'!AI$9),'Council Entry'!AI$8),'Council Entry'!AI36)),IF('Council Entry'!AI$4="Exponential",EXP(IF(AND(ISNUMBER('Council Entry'!AI$8),ISNUMBER('Council Entry'!AI$9)),MAX(MIN('Council Entry'!AI36,'Council Entry'!AI$9),'Council Entry'!AI$8),'Council Entry'!AI36)),IF(AND(ISNUMBER('Council Entry'!AI$8),ISNUMBER('Council Entry'!AI$9)),MAX(MIN('Council Entry'!AI36,'Council Entry'!AI$9),'Council Entry'!AI$8),'Council Entry'!AI36))))-'Council Entry'!AI$5)/('Council Entry'!AI$6-'Council Entry'!AI$5),10*((IF('Council Entry'!AI$4="Logarithm",LN(0.001+IF(AND(ISNUMBER('Council Entry'!AI$8),ISNUMBER('Council Entry'!AI$9)),MAX(MIN('Council Entry'!AI36,'Council Entry'!AI$9),'Council Entry'!AI$8),'Council Entry'!AI36)),IF('Council Entry'!AI$4="Exponential",EXP(IF(AND(ISNUMBER('Council Entry'!AI$8),ISNUMBER('Council Entry'!AI$9)),MAX(MIN('Council Entry'!AI36,'Council Entry'!AI$9),'Council Entry'!AI$8),'Council Entry'!AI36)),IF(AND(ISNUMBER('Council Entry'!AI$8),ISNUMBER('Council Entry'!AI$9)),MAX(MIN('Council Entry'!AI36,'Council Entry'!AI$9),'Council Entry'!AI$8),'Council Entry'!AI36))))-'Council Entry'!AI$5)/('Council Entry'!AI$6-'Council Entry'!AI$5)),1))),"No data"))</f>
        <v/>
      </c>
      <c r="AJ36" s="13">
        <f>IF('Council Entry'!AJ36="","",IFERROR(MAX(0,MIN(10,ROUND(IF('Council Entry'!AJ$7="Decrease Risk",10-10*((IF('Council Entry'!AJ$4="Logarithm",LN(0.001+IF(AND(ISNUMBER('Council Entry'!AJ$8),ISNUMBER('Council Entry'!AJ$9)),MAX(MIN('Council Entry'!AJ36,'Council Entry'!AJ$9),'Council Entry'!AJ$8),'Council Entry'!AJ36)),IF('Council Entry'!AJ$4="Exponential",EXP(IF(AND(ISNUMBER('Council Entry'!AJ$8),ISNUMBER('Council Entry'!AJ$9)),MAX(MIN('Council Entry'!AJ36,'Council Entry'!AJ$9),'Council Entry'!AJ$8),'Council Entry'!AJ36)),IF(AND(ISNUMBER('Council Entry'!AJ$8),ISNUMBER('Council Entry'!AJ$9)),MAX(MIN('Council Entry'!AJ36,'Council Entry'!AJ$9),'Council Entry'!AJ$8),'Council Entry'!AJ36))))-'Council Entry'!AJ$5)/('Council Entry'!AJ$6-'Council Entry'!AJ$5),10*((IF('Council Entry'!AJ$4="Logarithm",LN(0.001+IF(AND(ISNUMBER('Council Entry'!AJ$8),ISNUMBER('Council Entry'!AJ$9)),MAX(MIN('Council Entry'!AJ36,'Council Entry'!AJ$9),'Council Entry'!AJ$8),'Council Entry'!AJ36)),IF('Council Entry'!AJ$4="Exponential",EXP(IF(AND(ISNUMBER('Council Entry'!AJ$8),ISNUMBER('Council Entry'!AJ$9)),MAX(MIN('Council Entry'!AJ36,'Council Entry'!AJ$9),'Council Entry'!AJ$8),'Council Entry'!AJ36)),IF(AND(ISNUMBER('Council Entry'!AJ$8),ISNUMBER('Council Entry'!AJ$9)),MAX(MIN('Council Entry'!AJ36,'Council Entry'!AJ$9),'Council Entry'!AJ$8),'Council Entry'!AJ36))))-'Council Entry'!AJ$5)/('Council Entry'!AJ$6-'Council Entry'!AJ$5)),1))),"No data"))</f>
        <v/>
      </c>
      <c r="AK36" s="13">
        <f>IF('Council Entry'!AK36="","",IFERROR(MAX(0,MIN(10,ROUND(IF('Council Entry'!AK$7="Decrease Risk",10-10*((IF('Council Entry'!AK$4="Logarithm",LN(0.001+IF(AND(ISNUMBER('Council Entry'!AK$8),ISNUMBER('Council Entry'!AK$9)),MAX(MIN('Council Entry'!AK36,'Council Entry'!AK$9),'Council Entry'!AK$8),'Council Entry'!AK36)),IF('Council Entry'!AK$4="Exponential",EXP(IF(AND(ISNUMBER('Council Entry'!AK$8),ISNUMBER('Council Entry'!AK$9)),MAX(MIN('Council Entry'!AK36,'Council Entry'!AK$9),'Council Entry'!AK$8),'Council Entry'!AK36)),IF(AND(ISNUMBER('Council Entry'!AK$8),ISNUMBER('Council Entry'!AK$9)),MAX(MIN('Council Entry'!AK36,'Council Entry'!AK$9),'Council Entry'!AK$8),'Council Entry'!AK36))))-'Council Entry'!AK$5)/('Council Entry'!AK$6-'Council Entry'!AK$5),10*((IF('Council Entry'!AK$4="Logarithm",LN(0.001+IF(AND(ISNUMBER('Council Entry'!AK$8),ISNUMBER('Council Entry'!AK$9)),MAX(MIN('Council Entry'!AK36,'Council Entry'!AK$9),'Council Entry'!AK$8),'Council Entry'!AK36)),IF('Council Entry'!AK$4="Exponential",EXP(IF(AND(ISNUMBER('Council Entry'!AK$8),ISNUMBER('Council Entry'!AK$9)),MAX(MIN('Council Entry'!AK36,'Council Entry'!AK$9),'Council Entry'!AK$8),'Council Entry'!AK36)),IF(AND(ISNUMBER('Council Entry'!AK$8),ISNUMBER('Council Entry'!AK$9)),MAX(MIN('Council Entry'!AK36,'Council Entry'!AK$9),'Council Entry'!AK$8),'Council Entry'!AK36))))-'Council Entry'!AK$5)/('Council Entry'!AK$6-'Council Entry'!AK$5)),1))),"No data"))</f>
        <v/>
      </c>
      <c r="AL36" s="13">
        <f>IF('Council Entry'!AL36="","",IFERROR(MAX(0,MIN(10,ROUND(IF('Council Entry'!AL$7="Decrease Risk",10-10*((IF('Council Entry'!AL$4="Logarithm",LN(0.001+IF(AND(ISNUMBER('Council Entry'!AL$8),ISNUMBER('Council Entry'!AL$9)),MAX(MIN('Council Entry'!AL36,'Council Entry'!AL$9),'Council Entry'!AL$8),'Council Entry'!AL36)),IF('Council Entry'!AL$4="Exponential",EXP(IF(AND(ISNUMBER('Council Entry'!AL$8),ISNUMBER('Council Entry'!AL$9)),MAX(MIN('Council Entry'!AL36,'Council Entry'!AL$9),'Council Entry'!AL$8),'Council Entry'!AL36)),IF(AND(ISNUMBER('Council Entry'!AL$8),ISNUMBER('Council Entry'!AL$9)),MAX(MIN('Council Entry'!AL36,'Council Entry'!AL$9),'Council Entry'!AL$8),'Council Entry'!AL36))))-'Council Entry'!AL$5)/('Council Entry'!AL$6-'Council Entry'!AL$5),10*((IF('Council Entry'!AL$4="Logarithm",LN(0.001+IF(AND(ISNUMBER('Council Entry'!AL$8),ISNUMBER('Council Entry'!AL$9)),MAX(MIN('Council Entry'!AL36,'Council Entry'!AL$9),'Council Entry'!AL$8),'Council Entry'!AL36)),IF('Council Entry'!AL$4="Exponential",EXP(IF(AND(ISNUMBER('Council Entry'!AL$8),ISNUMBER('Council Entry'!AL$9)),MAX(MIN('Council Entry'!AL36,'Council Entry'!AL$9),'Council Entry'!AL$8),'Council Entry'!AL36)),IF(AND(ISNUMBER('Council Entry'!AL$8),ISNUMBER('Council Entry'!AL$9)),MAX(MIN('Council Entry'!AL36,'Council Entry'!AL$9),'Council Entry'!AL$8),'Council Entry'!AL36))))-'Council Entry'!AL$5)/('Council Entry'!AL$6-'Council Entry'!AL$5)),1))),"No data"))</f>
        <v/>
      </c>
      <c r="AM36" s="13">
        <f>IF('Council Entry'!AM36="","",IFERROR(MAX(0,MIN(10,ROUND(IF('Council Entry'!AM$7="Decrease Risk",10-10*((IF('Council Entry'!AM$4="Logarithm",LN(0.001+IF(AND(ISNUMBER('Council Entry'!AM$8),ISNUMBER('Council Entry'!AM$9)),MAX(MIN('Council Entry'!AM36,'Council Entry'!AM$9),'Council Entry'!AM$8),'Council Entry'!AM36)),IF('Council Entry'!AM$4="Exponential",EXP(IF(AND(ISNUMBER('Council Entry'!AM$8),ISNUMBER('Council Entry'!AM$9)),MAX(MIN('Council Entry'!AM36,'Council Entry'!AM$9),'Council Entry'!AM$8),'Council Entry'!AM36)),IF(AND(ISNUMBER('Council Entry'!AM$8),ISNUMBER('Council Entry'!AM$9)),MAX(MIN('Council Entry'!AM36,'Council Entry'!AM$9),'Council Entry'!AM$8),'Council Entry'!AM36))))-'Council Entry'!AM$5)/('Council Entry'!AM$6-'Council Entry'!AM$5),10*((IF('Council Entry'!AM$4="Logarithm",LN(0.001+IF(AND(ISNUMBER('Council Entry'!AM$8),ISNUMBER('Council Entry'!AM$9)),MAX(MIN('Council Entry'!AM36,'Council Entry'!AM$9),'Council Entry'!AM$8),'Council Entry'!AM36)),IF('Council Entry'!AM$4="Exponential",EXP(IF(AND(ISNUMBER('Council Entry'!AM$8),ISNUMBER('Council Entry'!AM$9)),MAX(MIN('Council Entry'!AM36,'Council Entry'!AM$9),'Council Entry'!AM$8),'Council Entry'!AM36)),IF(AND(ISNUMBER('Council Entry'!AM$8),ISNUMBER('Council Entry'!AM$9)),MAX(MIN('Council Entry'!AM36,'Council Entry'!AM$9),'Council Entry'!AM$8),'Council Entry'!AM36))))-'Council Entry'!AM$5)/('Council Entry'!AM$6-'Council Entry'!AM$5)),1))),"No data"))</f>
        <v/>
      </c>
      <c r="AN36" s="13">
        <f>IF('Council Entry'!AN36="","",IFERROR(MAX(0,MIN(10,ROUND(IF('Council Entry'!AN$7="Decrease Risk",10-10*((IF('Council Entry'!AN$4="Logarithm",LN(0.001+IF(AND(ISNUMBER('Council Entry'!AN$8),ISNUMBER('Council Entry'!AN$9)),MAX(MIN('Council Entry'!AN36,'Council Entry'!AN$9),'Council Entry'!AN$8),'Council Entry'!AN36)),IF('Council Entry'!AN$4="Exponential",EXP(IF(AND(ISNUMBER('Council Entry'!AN$8),ISNUMBER('Council Entry'!AN$9)),MAX(MIN('Council Entry'!AN36,'Council Entry'!AN$9),'Council Entry'!AN$8),'Council Entry'!AN36)),IF(AND(ISNUMBER('Council Entry'!AN$8),ISNUMBER('Council Entry'!AN$9)),MAX(MIN('Council Entry'!AN36,'Council Entry'!AN$9),'Council Entry'!AN$8),'Council Entry'!AN36))))-'Council Entry'!AN$5)/('Council Entry'!AN$6-'Council Entry'!AN$5),10*((IF('Council Entry'!AN$4="Logarithm",LN(0.001+IF(AND(ISNUMBER('Council Entry'!AN$8),ISNUMBER('Council Entry'!AN$9)),MAX(MIN('Council Entry'!AN36,'Council Entry'!AN$9),'Council Entry'!AN$8),'Council Entry'!AN36)),IF('Council Entry'!AN$4="Exponential",EXP(IF(AND(ISNUMBER('Council Entry'!AN$8),ISNUMBER('Council Entry'!AN$9)),MAX(MIN('Council Entry'!AN36,'Council Entry'!AN$9),'Council Entry'!AN$8),'Council Entry'!AN36)),IF(AND(ISNUMBER('Council Entry'!AN$8),ISNUMBER('Council Entry'!AN$9)),MAX(MIN('Council Entry'!AN36,'Council Entry'!AN$9),'Council Entry'!AN$8),'Council Entry'!AN36))))-'Council Entry'!AN$5)/('Council Entry'!AN$6-'Council Entry'!AN$5)),1))),"No data"))</f>
        <v/>
      </c>
      <c r="AO36" s="13">
        <f>IF('Council Entry'!AO36="","",IFERROR(MAX(0,MIN(10,ROUND(IF('Council Entry'!AO$7="Decrease Risk",10-10*((IF('Council Entry'!AO$4="Logarithm",LN(0.001+IF(AND(ISNUMBER('Council Entry'!AO$8),ISNUMBER('Council Entry'!AO$9)),MAX(MIN('Council Entry'!AO36,'Council Entry'!AO$9),'Council Entry'!AO$8),'Council Entry'!AO36)),IF('Council Entry'!AO$4="Exponential",EXP(IF(AND(ISNUMBER('Council Entry'!AO$8),ISNUMBER('Council Entry'!AO$9)),MAX(MIN('Council Entry'!AO36,'Council Entry'!AO$9),'Council Entry'!AO$8),'Council Entry'!AO36)),IF(AND(ISNUMBER('Council Entry'!AO$8),ISNUMBER('Council Entry'!AO$9)),MAX(MIN('Council Entry'!AO36,'Council Entry'!AO$9),'Council Entry'!AO$8),'Council Entry'!AO36))))-'Council Entry'!AO$5)/('Council Entry'!AO$6-'Council Entry'!AO$5),10*((IF('Council Entry'!AO$4="Logarithm",LN(0.001+IF(AND(ISNUMBER('Council Entry'!AO$8),ISNUMBER('Council Entry'!AO$9)),MAX(MIN('Council Entry'!AO36,'Council Entry'!AO$9),'Council Entry'!AO$8),'Council Entry'!AO36)),IF('Council Entry'!AO$4="Exponential",EXP(IF(AND(ISNUMBER('Council Entry'!AO$8),ISNUMBER('Council Entry'!AO$9)),MAX(MIN('Council Entry'!AO36,'Council Entry'!AO$9),'Council Entry'!AO$8),'Council Entry'!AO36)),IF(AND(ISNUMBER('Council Entry'!AO$8),ISNUMBER('Council Entry'!AO$9)),MAX(MIN('Council Entry'!AO36,'Council Entry'!AO$9),'Council Entry'!AO$8),'Council Entry'!AO36))))-'Council Entry'!AO$5)/('Council Entry'!AO$6-'Council Entry'!AO$5)),1))),"No data"))</f>
        <v/>
      </c>
      <c r="AP36" s="13">
        <f>IF('Council Entry'!AP36="","",IFERROR(MAX(0,MIN(10,ROUND(IF('Council Entry'!AP$7="Decrease Risk",10-10*((IF('Council Entry'!AP$4="Logarithm",LN(0.001+IF(AND(ISNUMBER('Council Entry'!AP$8),ISNUMBER('Council Entry'!AP$9)),MAX(MIN('Council Entry'!AP36,'Council Entry'!AP$9),'Council Entry'!AP$8),'Council Entry'!AP36)),IF('Council Entry'!AP$4="Exponential",EXP(IF(AND(ISNUMBER('Council Entry'!AP$8),ISNUMBER('Council Entry'!AP$9)),MAX(MIN('Council Entry'!AP36,'Council Entry'!AP$9),'Council Entry'!AP$8),'Council Entry'!AP36)),IF(AND(ISNUMBER('Council Entry'!AP$8),ISNUMBER('Council Entry'!AP$9)),MAX(MIN('Council Entry'!AP36,'Council Entry'!AP$9),'Council Entry'!AP$8),'Council Entry'!AP36))))-'Council Entry'!AP$5)/('Council Entry'!AP$6-'Council Entry'!AP$5),10*((IF('Council Entry'!AP$4="Logarithm",LN(0.001+IF(AND(ISNUMBER('Council Entry'!AP$8),ISNUMBER('Council Entry'!AP$9)),MAX(MIN('Council Entry'!AP36,'Council Entry'!AP$9),'Council Entry'!AP$8),'Council Entry'!AP36)),IF('Council Entry'!AP$4="Exponential",EXP(IF(AND(ISNUMBER('Council Entry'!AP$8),ISNUMBER('Council Entry'!AP$9)),MAX(MIN('Council Entry'!AP36,'Council Entry'!AP$9),'Council Entry'!AP$8),'Council Entry'!AP36)),IF(AND(ISNUMBER('Council Entry'!AP$8),ISNUMBER('Council Entry'!AP$9)),MAX(MIN('Council Entry'!AP36,'Council Entry'!AP$9),'Council Entry'!AP$8),'Council Entry'!AP36))))-'Council Entry'!AP$5)/('Council Entry'!AP$6-'Council Entry'!AP$5)),1))),"No data"))</f>
        <v/>
      </c>
      <c r="AQ36" s="13">
        <f>IF('Council Entry'!AQ36="","",IFERROR(MAX(0,MIN(10,ROUND(IF('Council Entry'!AQ$7="Decrease Risk",10-10*((IF('Council Entry'!AQ$4="Logarithm",LN(0.001+IF(AND(ISNUMBER('Council Entry'!AQ$8),ISNUMBER('Council Entry'!AQ$9)),MAX(MIN('Council Entry'!AQ36,'Council Entry'!AQ$9),'Council Entry'!AQ$8),'Council Entry'!AQ36)),IF('Council Entry'!AQ$4="Exponential",EXP(IF(AND(ISNUMBER('Council Entry'!AQ$8),ISNUMBER('Council Entry'!AQ$9)),MAX(MIN('Council Entry'!AQ36,'Council Entry'!AQ$9),'Council Entry'!AQ$8),'Council Entry'!AQ36)),IF(AND(ISNUMBER('Council Entry'!AQ$8),ISNUMBER('Council Entry'!AQ$9)),MAX(MIN('Council Entry'!AQ36,'Council Entry'!AQ$9),'Council Entry'!AQ$8),'Council Entry'!AQ36))))-'Council Entry'!AQ$5)/('Council Entry'!AQ$6-'Council Entry'!AQ$5),10*((IF('Council Entry'!AQ$4="Logarithm",LN(0.001+IF(AND(ISNUMBER('Council Entry'!AQ$8),ISNUMBER('Council Entry'!AQ$9)),MAX(MIN('Council Entry'!AQ36,'Council Entry'!AQ$9),'Council Entry'!AQ$8),'Council Entry'!AQ36)),IF('Council Entry'!AQ$4="Exponential",EXP(IF(AND(ISNUMBER('Council Entry'!AQ$8),ISNUMBER('Council Entry'!AQ$9)),MAX(MIN('Council Entry'!AQ36,'Council Entry'!AQ$9),'Council Entry'!AQ$8),'Council Entry'!AQ36)),IF(AND(ISNUMBER('Council Entry'!AQ$8),ISNUMBER('Council Entry'!AQ$9)),MAX(MIN('Council Entry'!AQ36,'Council Entry'!AQ$9),'Council Entry'!AQ$8),'Council Entry'!AQ36))))-'Council Entry'!AQ$5)/('Council Entry'!AQ$6-'Council Entry'!AQ$5)),1))),"No data"))</f>
        <v/>
      </c>
      <c r="AR36" s="13">
        <f>IF('Council Entry'!AR36="","",IFERROR(MAX(0,MIN(10,ROUND(IF('Council Entry'!AR$7="Decrease Risk",10-10*((IF('Council Entry'!AR$4="Logarithm",LN(0.001+IF(AND(ISNUMBER('Council Entry'!AR$8),ISNUMBER('Council Entry'!AR$9)),MAX(MIN('Council Entry'!AR36,'Council Entry'!AR$9),'Council Entry'!AR$8),'Council Entry'!AR36)),IF('Council Entry'!AR$4="Exponential",EXP(IF(AND(ISNUMBER('Council Entry'!AR$8),ISNUMBER('Council Entry'!AR$9)),MAX(MIN('Council Entry'!AR36,'Council Entry'!AR$9),'Council Entry'!AR$8),'Council Entry'!AR36)),IF(AND(ISNUMBER('Council Entry'!AR$8),ISNUMBER('Council Entry'!AR$9)),MAX(MIN('Council Entry'!AR36,'Council Entry'!AR$9),'Council Entry'!AR$8),'Council Entry'!AR36))))-'Council Entry'!AR$5)/('Council Entry'!AR$6-'Council Entry'!AR$5),10*((IF('Council Entry'!AR$4="Logarithm",LN(0.001+IF(AND(ISNUMBER('Council Entry'!AR$8),ISNUMBER('Council Entry'!AR$9)),MAX(MIN('Council Entry'!AR36,'Council Entry'!AR$9),'Council Entry'!AR$8),'Council Entry'!AR36)),IF('Council Entry'!AR$4="Exponential",EXP(IF(AND(ISNUMBER('Council Entry'!AR$8),ISNUMBER('Council Entry'!AR$9)),MAX(MIN('Council Entry'!AR36,'Council Entry'!AR$9),'Council Entry'!AR$8),'Council Entry'!AR36)),IF(AND(ISNUMBER('Council Entry'!AR$8),ISNUMBER('Council Entry'!AR$9)),MAX(MIN('Council Entry'!AR36,'Council Entry'!AR$9),'Council Entry'!AR$8),'Council Entry'!AR36))))-'Council Entry'!AR$5)/('Council Entry'!AR$6-'Council Entry'!AR$5)),1))),"No data"))</f>
        <v/>
      </c>
      <c r="AS36" s="13">
        <f>IF('Council Entry'!AS36="","",IFERROR(MAX(0,MIN(10,ROUND(IF('Council Entry'!AS$7="Decrease Risk",10-10*((IF('Council Entry'!AS$4="Logarithm",LN(0.001+IF(AND(ISNUMBER('Council Entry'!AS$8),ISNUMBER('Council Entry'!AS$9)),MAX(MIN('Council Entry'!AS36,'Council Entry'!AS$9),'Council Entry'!AS$8),'Council Entry'!AS36)),IF('Council Entry'!AS$4="Exponential",EXP(IF(AND(ISNUMBER('Council Entry'!AS$8),ISNUMBER('Council Entry'!AS$9)),MAX(MIN('Council Entry'!AS36,'Council Entry'!AS$9),'Council Entry'!AS$8),'Council Entry'!AS36)),IF(AND(ISNUMBER('Council Entry'!AS$8),ISNUMBER('Council Entry'!AS$9)),MAX(MIN('Council Entry'!AS36,'Council Entry'!AS$9),'Council Entry'!AS$8),'Council Entry'!AS36))))-'Council Entry'!AS$5)/('Council Entry'!AS$6-'Council Entry'!AS$5),10*((IF('Council Entry'!AS$4="Logarithm",LN(0.001+IF(AND(ISNUMBER('Council Entry'!AS$8),ISNUMBER('Council Entry'!AS$9)),MAX(MIN('Council Entry'!AS36,'Council Entry'!AS$9),'Council Entry'!AS$8),'Council Entry'!AS36)),IF('Council Entry'!AS$4="Exponential",EXP(IF(AND(ISNUMBER('Council Entry'!AS$8),ISNUMBER('Council Entry'!AS$9)),MAX(MIN('Council Entry'!AS36,'Council Entry'!AS$9),'Council Entry'!AS$8),'Council Entry'!AS36)),IF(AND(ISNUMBER('Council Entry'!AS$8),ISNUMBER('Council Entry'!AS$9)),MAX(MIN('Council Entry'!AS36,'Council Entry'!AS$9),'Council Entry'!AS$8),'Council Entry'!AS36))))-'Council Entry'!AS$5)/('Council Entry'!AS$6-'Council Entry'!AS$5)),1))),"No data"))</f>
        <v/>
      </c>
      <c r="AT36" s="13">
        <f>IF('Council Entry'!AT36="","",IFERROR(MAX(0,MIN(10,ROUND(IF('Council Entry'!AT$7="Decrease Risk",10-10*((IF('Council Entry'!AT$4="Logarithm",LN(0.001+IF(AND(ISNUMBER('Council Entry'!AT$8),ISNUMBER('Council Entry'!AT$9)),MAX(MIN('Council Entry'!AT36,'Council Entry'!AT$9),'Council Entry'!AT$8),'Council Entry'!AT36)),IF('Council Entry'!AT$4="Exponential",EXP(IF(AND(ISNUMBER('Council Entry'!AT$8),ISNUMBER('Council Entry'!AT$9)),MAX(MIN('Council Entry'!AT36,'Council Entry'!AT$9),'Council Entry'!AT$8),'Council Entry'!AT36)),IF(AND(ISNUMBER('Council Entry'!AT$8),ISNUMBER('Council Entry'!AT$9)),MAX(MIN('Council Entry'!AT36,'Council Entry'!AT$9),'Council Entry'!AT$8),'Council Entry'!AT36))))-'Council Entry'!AT$5)/('Council Entry'!AT$6-'Council Entry'!AT$5),10*((IF('Council Entry'!AT$4="Logarithm",LN(0.001+IF(AND(ISNUMBER('Council Entry'!AT$8),ISNUMBER('Council Entry'!AT$9)),MAX(MIN('Council Entry'!AT36,'Council Entry'!AT$9),'Council Entry'!AT$8),'Council Entry'!AT36)),IF('Council Entry'!AT$4="Exponential",EXP(IF(AND(ISNUMBER('Council Entry'!AT$8),ISNUMBER('Council Entry'!AT$9)),MAX(MIN('Council Entry'!AT36,'Council Entry'!AT$9),'Council Entry'!AT$8),'Council Entry'!AT36)),IF(AND(ISNUMBER('Council Entry'!AT$8),ISNUMBER('Council Entry'!AT$9)),MAX(MIN('Council Entry'!AT36,'Council Entry'!AT$9),'Council Entry'!AT$8),'Council Entry'!AT36))))-'Council Entry'!AT$5)/('Council Entry'!AT$6-'Council Entry'!AT$5)),1))),"No data"))</f>
        <v/>
      </c>
      <c r="AU36" s="13">
        <f>IF('Council Entry'!AU36="","",IFERROR(MAX(0,MIN(10,ROUND(IF('Council Entry'!AU$7="Decrease Risk",10-10*((IF('Council Entry'!AU$4="Logarithm",LN(0.001+IF(AND(ISNUMBER('Council Entry'!AU$8),ISNUMBER('Council Entry'!AU$9)),MAX(MIN('Council Entry'!AU36,'Council Entry'!AU$9),'Council Entry'!AU$8),'Council Entry'!AU36)),IF('Council Entry'!AU$4="Exponential",EXP(IF(AND(ISNUMBER('Council Entry'!AU$8),ISNUMBER('Council Entry'!AU$9)),MAX(MIN('Council Entry'!AU36,'Council Entry'!AU$9),'Council Entry'!AU$8),'Council Entry'!AU36)),IF(AND(ISNUMBER('Council Entry'!AU$8),ISNUMBER('Council Entry'!AU$9)),MAX(MIN('Council Entry'!AU36,'Council Entry'!AU$9),'Council Entry'!AU$8),'Council Entry'!AU36))))-'Council Entry'!AU$5)/('Council Entry'!AU$6-'Council Entry'!AU$5),10*((IF('Council Entry'!AU$4="Logarithm",LN(0.001+IF(AND(ISNUMBER('Council Entry'!AU$8),ISNUMBER('Council Entry'!AU$9)),MAX(MIN('Council Entry'!AU36,'Council Entry'!AU$9),'Council Entry'!AU$8),'Council Entry'!AU36)),IF('Council Entry'!AU$4="Exponential",EXP(IF(AND(ISNUMBER('Council Entry'!AU$8),ISNUMBER('Council Entry'!AU$9)),MAX(MIN('Council Entry'!AU36,'Council Entry'!AU$9),'Council Entry'!AU$8),'Council Entry'!AU36)),IF(AND(ISNUMBER('Council Entry'!AU$8),ISNUMBER('Council Entry'!AU$9)),MAX(MIN('Council Entry'!AU36,'Council Entry'!AU$9),'Council Entry'!AU$8),'Council Entry'!AU36))))-'Council Entry'!AU$5)/('Council Entry'!AU$6-'Council Entry'!AU$5)),1))),"No data"))</f>
        <v/>
      </c>
      <c r="AV36" s="13">
        <f>IF('Council Entry'!AV36="","",IFERROR(MAX(0,MIN(10,ROUND(IF('Council Entry'!AV$7="Decrease Risk",10-10*((IF('Council Entry'!AV$4="Logarithm",LN(0.001+IF(AND(ISNUMBER('Council Entry'!AV$8),ISNUMBER('Council Entry'!AV$9)),MAX(MIN('Council Entry'!AV36,'Council Entry'!AV$9),'Council Entry'!AV$8),'Council Entry'!AV36)),IF('Council Entry'!AV$4="Exponential",EXP(IF(AND(ISNUMBER('Council Entry'!AV$8),ISNUMBER('Council Entry'!AV$9)),MAX(MIN('Council Entry'!AV36,'Council Entry'!AV$9),'Council Entry'!AV$8),'Council Entry'!AV36)),IF(AND(ISNUMBER('Council Entry'!AV$8),ISNUMBER('Council Entry'!AV$9)),MAX(MIN('Council Entry'!AV36,'Council Entry'!AV$9),'Council Entry'!AV$8),'Council Entry'!AV36))))-'Council Entry'!AV$5)/('Council Entry'!AV$6-'Council Entry'!AV$5),10*((IF('Council Entry'!AV$4="Logarithm",LN(0.001+IF(AND(ISNUMBER('Council Entry'!AV$8),ISNUMBER('Council Entry'!AV$9)),MAX(MIN('Council Entry'!AV36,'Council Entry'!AV$9),'Council Entry'!AV$8),'Council Entry'!AV36)),IF('Council Entry'!AV$4="Exponential",EXP(IF(AND(ISNUMBER('Council Entry'!AV$8),ISNUMBER('Council Entry'!AV$9)),MAX(MIN('Council Entry'!AV36,'Council Entry'!AV$9),'Council Entry'!AV$8),'Council Entry'!AV36)),IF(AND(ISNUMBER('Council Entry'!AV$8),ISNUMBER('Council Entry'!AV$9)),MAX(MIN('Council Entry'!AV36,'Council Entry'!AV$9),'Council Entry'!AV$8),'Council Entry'!AV36))))-'Council Entry'!AV$5)/('Council Entry'!AV$6-'Council Entry'!AV$5)),1))),"No data"))</f>
        <v/>
      </c>
      <c r="AW36" s="13">
        <f>IF('Council Entry'!AW36="","",IFERROR(MAX(0,MIN(10,ROUND(IF('Council Entry'!AW$7="Decrease Risk",10-10*((IF('Council Entry'!AW$4="Logarithm",LN(0.001+IF(AND(ISNUMBER('Council Entry'!AW$8),ISNUMBER('Council Entry'!AW$9)),MAX(MIN('Council Entry'!AW36,'Council Entry'!AW$9),'Council Entry'!AW$8),'Council Entry'!AW36)),IF('Council Entry'!AW$4="Exponential",EXP(IF(AND(ISNUMBER('Council Entry'!AW$8),ISNUMBER('Council Entry'!AW$9)),MAX(MIN('Council Entry'!AW36,'Council Entry'!AW$9),'Council Entry'!AW$8),'Council Entry'!AW36)),IF(AND(ISNUMBER('Council Entry'!AW$8),ISNUMBER('Council Entry'!AW$9)),MAX(MIN('Council Entry'!AW36,'Council Entry'!AW$9),'Council Entry'!AW$8),'Council Entry'!AW36))))-'Council Entry'!AW$5)/('Council Entry'!AW$6-'Council Entry'!AW$5),10*((IF('Council Entry'!AW$4="Logarithm",LN(0.001+IF(AND(ISNUMBER('Council Entry'!AW$8),ISNUMBER('Council Entry'!AW$9)),MAX(MIN('Council Entry'!AW36,'Council Entry'!AW$9),'Council Entry'!AW$8),'Council Entry'!AW36)),IF('Council Entry'!AW$4="Exponential",EXP(IF(AND(ISNUMBER('Council Entry'!AW$8),ISNUMBER('Council Entry'!AW$9)),MAX(MIN('Council Entry'!AW36,'Council Entry'!AW$9),'Council Entry'!AW$8),'Council Entry'!AW36)),IF(AND(ISNUMBER('Council Entry'!AW$8),ISNUMBER('Council Entry'!AW$9)),MAX(MIN('Council Entry'!AW36,'Council Entry'!AW$9),'Council Entry'!AW$8),'Council Entry'!AW36))))-'Council Entry'!AW$5)/('Council Entry'!AW$6-'Council Entry'!AW$5)),1))),"No data"))</f>
        <v/>
      </c>
      <c r="AX36" s="13">
        <f>IF('Council Entry'!AX36="","",IFERROR(MAX(0,MIN(10,ROUND(IF('Council Entry'!AX$7="Decrease Risk",10-10*((IF('Council Entry'!AX$4="Logarithm",LN(0.001+IF(AND(ISNUMBER('Council Entry'!AX$8),ISNUMBER('Council Entry'!AX$9)),MAX(MIN('Council Entry'!AX36,'Council Entry'!AX$9),'Council Entry'!AX$8),'Council Entry'!AX36)),IF('Council Entry'!AX$4="Exponential",EXP(IF(AND(ISNUMBER('Council Entry'!AX$8),ISNUMBER('Council Entry'!AX$9)),MAX(MIN('Council Entry'!AX36,'Council Entry'!AX$9),'Council Entry'!AX$8),'Council Entry'!AX36)),IF(AND(ISNUMBER('Council Entry'!AX$8),ISNUMBER('Council Entry'!AX$9)),MAX(MIN('Council Entry'!AX36,'Council Entry'!AX$9),'Council Entry'!AX$8),'Council Entry'!AX36))))-'Council Entry'!AX$5)/('Council Entry'!AX$6-'Council Entry'!AX$5),10*((IF('Council Entry'!AX$4="Logarithm",LN(0.001+IF(AND(ISNUMBER('Council Entry'!AX$8),ISNUMBER('Council Entry'!AX$9)),MAX(MIN('Council Entry'!AX36,'Council Entry'!AX$9),'Council Entry'!AX$8),'Council Entry'!AX36)),IF('Council Entry'!AX$4="Exponential",EXP(IF(AND(ISNUMBER('Council Entry'!AX$8),ISNUMBER('Council Entry'!AX$9)),MAX(MIN('Council Entry'!AX36,'Council Entry'!AX$9),'Council Entry'!AX$8),'Council Entry'!AX36)),IF(AND(ISNUMBER('Council Entry'!AX$8),ISNUMBER('Council Entry'!AX$9)),MAX(MIN('Council Entry'!AX36,'Council Entry'!AX$9),'Council Entry'!AX$8),'Council Entry'!AX36))))-'Council Entry'!AX$5)/('Council Entry'!AX$6-'Council Entry'!AX$5)),1))),"No data"))</f>
        <v/>
      </c>
      <c r="AY36" s="13">
        <f>IF('Council Entry'!AY36="","",IFERROR(MAX(0,MIN(10,ROUND(IF('Council Entry'!AY$7="Decrease Risk",10-10*((IF('Council Entry'!AY$4="Logarithm",LN(0.001+IF(AND(ISNUMBER('Council Entry'!AY$8),ISNUMBER('Council Entry'!AY$9)),MAX(MIN('Council Entry'!AY36,'Council Entry'!AY$9),'Council Entry'!AY$8),'Council Entry'!AY36)),IF('Council Entry'!AY$4="Exponential",EXP(IF(AND(ISNUMBER('Council Entry'!AY$8),ISNUMBER('Council Entry'!AY$9)),MAX(MIN('Council Entry'!AY36,'Council Entry'!AY$9),'Council Entry'!AY$8),'Council Entry'!AY36)),IF(AND(ISNUMBER('Council Entry'!AY$8),ISNUMBER('Council Entry'!AY$9)),MAX(MIN('Council Entry'!AY36,'Council Entry'!AY$9),'Council Entry'!AY$8),'Council Entry'!AY36))))-'Council Entry'!AY$5)/('Council Entry'!AY$6-'Council Entry'!AY$5),10*((IF('Council Entry'!AY$4="Logarithm",LN(0.001+IF(AND(ISNUMBER('Council Entry'!AY$8),ISNUMBER('Council Entry'!AY$9)),MAX(MIN('Council Entry'!AY36,'Council Entry'!AY$9),'Council Entry'!AY$8),'Council Entry'!AY36)),IF('Council Entry'!AY$4="Exponential",EXP(IF(AND(ISNUMBER('Council Entry'!AY$8),ISNUMBER('Council Entry'!AY$9)),MAX(MIN('Council Entry'!AY36,'Council Entry'!AY$9),'Council Entry'!AY$8),'Council Entry'!AY36)),IF(AND(ISNUMBER('Council Entry'!AY$8),ISNUMBER('Council Entry'!AY$9)),MAX(MIN('Council Entry'!AY36,'Council Entry'!AY$9),'Council Entry'!AY$8),'Council Entry'!AY36))))-'Council Entry'!AY$5)/('Council Entry'!AY$6-'Council Entry'!AY$5)),1))),"No data"))</f>
        <v/>
      </c>
      <c r="AZ36" s="13">
        <f>IF('Council Entry'!AZ36="","",IFERROR(MAX(0,MIN(10,ROUND(IF('Council Entry'!AZ$7="Decrease Risk",10-10*((IF('Council Entry'!AZ$4="Logarithm",LN(0.001+IF(AND(ISNUMBER('Council Entry'!AZ$8),ISNUMBER('Council Entry'!AZ$9)),MAX(MIN('Council Entry'!AZ36,'Council Entry'!AZ$9),'Council Entry'!AZ$8),'Council Entry'!AZ36)),IF('Council Entry'!AZ$4="Exponential",EXP(IF(AND(ISNUMBER('Council Entry'!AZ$8),ISNUMBER('Council Entry'!AZ$9)),MAX(MIN('Council Entry'!AZ36,'Council Entry'!AZ$9),'Council Entry'!AZ$8),'Council Entry'!AZ36)),IF(AND(ISNUMBER('Council Entry'!AZ$8),ISNUMBER('Council Entry'!AZ$9)),MAX(MIN('Council Entry'!AZ36,'Council Entry'!AZ$9),'Council Entry'!AZ$8),'Council Entry'!AZ36))))-'Council Entry'!AZ$5)/('Council Entry'!AZ$6-'Council Entry'!AZ$5),10*((IF('Council Entry'!AZ$4="Logarithm",LN(0.001+IF(AND(ISNUMBER('Council Entry'!AZ$8),ISNUMBER('Council Entry'!AZ$9)),MAX(MIN('Council Entry'!AZ36,'Council Entry'!AZ$9),'Council Entry'!AZ$8),'Council Entry'!AZ36)),IF('Council Entry'!AZ$4="Exponential",EXP(IF(AND(ISNUMBER('Council Entry'!AZ$8),ISNUMBER('Council Entry'!AZ$9)),MAX(MIN('Council Entry'!AZ36,'Council Entry'!AZ$9),'Council Entry'!AZ$8),'Council Entry'!AZ36)),IF(AND(ISNUMBER('Council Entry'!AZ$8),ISNUMBER('Council Entry'!AZ$9)),MAX(MIN('Council Entry'!AZ36,'Council Entry'!AZ$9),'Council Entry'!AZ$8),'Council Entry'!AZ36))))-'Council Entry'!AZ$5)/('Council Entry'!AZ$6-'Council Entry'!AZ$5)),1))),"No data"))</f>
        <v/>
      </c>
      <c r="BA36" s="13">
        <f>IF('Council Entry'!BA36="","",IFERROR(MAX(0,MIN(10,ROUND(IF('Council Entry'!BA$7="Decrease Risk",10-10*((IF('Council Entry'!BA$4="Logarithm",LN(0.001+IF(AND(ISNUMBER('Council Entry'!BA$8),ISNUMBER('Council Entry'!BA$9)),MAX(MIN('Council Entry'!BA36,'Council Entry'!BA$9),'Council Entry'!BA$8),'Council Entry'!BA36)),IF('Council Entry'!BA$4="Exponential",EXP(IF(AND(ISNUMBER('Council Entry'!BA$8),ISNUMBER('Council Entry'!BA$9)),MAX(MIN('Council Entry'!BA36,'Council Entry'!BA$9),'Council Entry'!BA$8),'Council Entry'!BA36)),IF(AND(ISNUMBER('Council Entry'!BA$8),ISNUMBER('Council Entry'!BA$9)),MAX(MIN('Council Entry'!BA36,'Council Entry'!BA$9),'Council Entry'!BA$8),'Council Entry'!BA36))))-'Council Entry'!BA$5)/('Council Entry'!BA$6-'Council Entry'!BA$5),10*((IF('Council Entry'!BA$4="Logarithm",LN(0.001+IF(AND(ISNUMBER('Council Entry'!BA$8),ISNUMBER('Council Entry'!BA$9)),MAX(MIN('Council Entry'!BA36,'Council Entry'!BA$9),'Council Entry'!BA$8),'Council Entry'!BA36)),IF('Council Entry'!BA$4="Exponential",EXP(IF(AND(ISNUMBER('Council Entry'!BA$8),ISNUMBER('Council Entry'!BA$9)),MAX(MIN('Council Entry'!BA36,'Council Entry'!BA$9),'Council Entry'!BA$8),'Council Entry'!BA36)),IF(AND(ISNUMBER('Council Entry'!BA$8),ISNUMBER('Council Entry'!BA$9)),MAX(MIN('Council Entry'!BA36,'Council Entry'!BA$9),'Council Entry'!BA$8),'Council Entry'!BA36))))-'Council Entry'!BA$5)/('Council Entry'!BA$6-'Council Entry'!BA$5)),1))),"No data"))</f>
        <v/>
      </c>
      <c r="BB36" s="13">
        <f>IF('Council Entry'!BB36="","",IFERROR(MAX(0,MIN(10,ROUND(IF('Council Entry'!BB$7="Decrease Risk",10-10*((IF('Council Entry'!BB$4="Logarithm",LN(0.001+IF(AND(ISNUMBER('Council Entry'!BB$8),ISNUMBER('Council Entry'!BB$9)),MAX(MIN('Council Entry'!BB36,'Council Entry'!BB$9),'Council Entry'!BB$8),'Council Entry'!BB36)),IF('Council Entry'!BB$4="Exponential",EXP(IF(AND(ISNUMBER('Council Entry'!BB$8),ISNUMBER('Council Entry'!BB$9)),MAX(MIN('Council Entry'!BB36,'Council Entry'!BB$9),'Council Entry'!BB$8),'Council Entry'!BB36)),IF(AND(ISNUMBER('Council Entry'!BB$8),ISNUMBER('Council Entry'!BB$9)),MAX(MIN('Council Entry'!BB36,'Council Entry'!BB$9),'Council Entry'!BB$8),'Council Entry'!BB36))))-'Council Entry'!BB$5)/('Council Entry'!BB$6-'Council Entry'!BB$5),10*((IF('Council Entry'!BB$4="Logarithm",LN(0.001+IF(AND(ISNUMBER('Council Entry'!BB$8),ISNUMBER('Council Entry'!BB$9)),MAX(MIN('Council Entry'!BB36,'Council Entry'!BB$9),'Council Entry'!BB$8),'Council Entry'!BB36)),IF('Council Entry'!BB$4="Exponential",EXP(IF(AND(ISNUMBER('Council Entry'!BB$8),ISNUMBER('Council Entry'!BB$9)),MAX(MIN('Council Entry'!BB36,'Council Entry'!BB$9),'Council Entry'!BB$8),'Council Entry'!BB36)),IF(AND(ISNUMBER('Council Entry'!BB$8),ISNUMBER('Council Entry'!BB$9)),MAX(MIN('Council Entry'!BB36,'Council Entry'!BB$9),'Council Entry'!BB$8),'Council Entry'!BB36))))-'Council Entry'!BB$5)/('Council Entry'!BB$6-'Council Entry'!BB$5)),1))),"No data"))</f>
        <v/>
      </c>
      <c r="BC36" s="13">
        <f>IF('Council Entry'!BC36="","",IFERROR(MAX(0,MIN(10,ROUND(IF('Council Entry'!BC$7="Decrease Risk",10-10*((IF('Council Entry'!BC$4="Logarithm",LN(0.001+IF(AND(ISNUMBER('Council Entry'!BC$8),ISNUMBER('Council Entry'!BC$9)),MAX(MIN('Council Entry'!BC36,'Council Entry'!BC$9),'Council Entry'!BC$8),'Council Entry'!BC36)),IF('Council Entry'!BC$4="Exponential",EXP(IF(AND(ISNUMBER('Council Entry'!BC$8),ISNUMBER('Council Entry'!BC$9)),MAX(MIN('Council Entry'!BC36,'Council Entry'!BC$9),'Council Entry'!BC$8),'Council Entry'!BC36)),IF(AND(ISNUMBER('Council Entry'!BC$8),ISNUMBER('Council Entry'!BC$9)),MAX(MIN('Council Entry'!BC36,'Council Entry'!BC$9),'Council Entry'!BC$8),'Council Entry'!BC36))))-'Council Entry'!BC$5)/('Council Entry'!BC$6-'Council Entry'!BC$5),10*((IF('Council Entry'!BC$4="Logarithm",LN(0.001+IF(AND(ISNUMBER('Council Entry'!BC$8),ISNUMBER('Council Entry'!BC$9)),MAX(MIN('Council Entry'!BC36,'Council Entry'!BC$9),'Council Entry'!BC$8),'Council Entry'!BC36)),IF('Council Entry'!BC$4="Exponential",EXP(IF(AND(ISNUMBER('Council Entry'!BC$8),ISNUMBER('Council Entry'!BC$9)),MAX(MIN('Council Entry'!BC36,'Council Entry'!BC$9),'Council Entry'!BC$8),'Council Entry'!BC36)),IF(AND(ISNUMBER('Council Entry'!BC$8),ISNUMBER('Council Entry'!BC$9)),MAX(MIN('Council Entry'!BC36,'Council Entry'!BC$9),'Council Entry'!BC$8),'Council Entry'!BC36))))-'Council Entry'!BC$5)/('Council Entry'!BC$6-'Council Entry'!BC$5)),1))),"No data"))</f>
        <v/>
      </c>
      <c r="BD36" s="13">
        <f>IF('Council Entry'!BD36="","",IFERROR(MAX(0,MIN(10,ROUND(IF('Council Entry'!BD$7="Decrease Risk",10-10*((IF('Council Entry'!BD$4="Logarithm",LN(0.001+IF(AND(ISNUMBER('Council Entry'!BD$8),ISNUMBER('Council Entry'!BD$9)),MAX(MIN('Council Entry'!BD36,'Council Entry'!BD$9),'Council Entry'!BD$8),'Council Entry'!BD36)),IF('Council Entry'!BD$4="Exponential",EXP(IF(AND(ISNUMBER('Council Entry'!BD$8),ISNUMBER('Council Entry'!BD$9)),MAX(MIN('Council Entry'!BD36,'Council Entry'!BD$9),'Council Entry'!BD$8),'Council Entry'!BD36)),IF(AND(ISNUMBER('Council Entry'!BD$8),ISNUMBER('Council Entry'!BD$9)),MAX(MIN('Council Entry'!BD36,'Council Entry'!BD$9),'Council Entry'!BD$8),'Council Entry'!BD36))))-'Council Entry'!BD$5)/('Council Entry'!BD$6-'Council Entry'!BD$5),10*((IF('Council Entry'!BD$4="Logarithm",LN(0.001+IF(AND(ISNUMBER('Council Entry'!BD$8),ISNUMBER('Council Entry'!BD$9)),MAX(MIN('Council Entry'!BD36,'Council Entry'!BD$9),'Council Entry'!BD$8),'Council Entry'!BD36)),IF('Council Entry'!BD$4="Exponential",EXP(IF(AND(ISNUMBER('Council Entry'!BD$8),ISNUMBER('Council Entry'!BD$9)),MAX(MIN('Council Entry'!BD36,'Council Entry'!BD$9),'Council Entry'!BD$8),'Council Entry'!BD36)),IF(AND(ISNUMBER('Council Entry'!BD$8),ISNUMBER('Council Entry'!BD$9)),MAX(MIN('Council Entry'!BD36,'Council Entry'!BD$9),'Council Entry'!BD$8),'Council Entry'!BD36))))-'Council Entry'!BD$5)/('Council Entry'!BD$6-'Council Entry'!BD$5)),1))),"No data"))</f>
        <v/>
      </c>
    </row>
    <row r="37">
      <c r="A37" t="inlineStr">
        <is>
          <t>Iringa</t>
        </is>
      </c>
      <c r="B37" t="inlineStr">
        <is>
          <t>Iringa District</t>
        </is>
      </c>
      <c r="C37" t="inlineStr">
        <is>
          <t>C080</t>
        </is>
      </c>
      <c r="D37" s="13">
        <f>IF('Council Entry'!D37="","",IFERROR(MAX(0,MIN(10,ROUND(IF('Council Entry'!D$7="Decrease Risk",10-10*((IF('Council Entry'!D$4="Logarithm",LN(0.001+IF(AND(ISNUMBER('Council Entry'!D$8),ISNUMBER('Council Entry'!D$9)),MAX(MIN('Council Entry'!D37,'Council Entry'!D$9),'Council Entry'!D$8),'Council Entry'!D37)),IF('Council Entry'!D$4="Exponential",EXP(IF(AND(ISNUMBER('Council Entry'!D$8),ISNUMBER('Council Entry'!D$9)),MAX(MIN('Council Entry'!D37,'Council Entry'!D$9),'Council Entry'!D$8),'Council Entry'!D37)),IF(AND(ISNUMBER('Council Entry'!D$8),ISNUMBER('Council Entry'!D$9)),MAX(MIN('Council Entry'!D37,'Council Entry'!D$9),'Council Entry'!D$8),'Council Entry'!D37))))-'Council Entry'!D$5)/('Council Entry'!D$6-'Council Entry'!D$5),10*((IF('Council Entry'!D$4="Logarithm",LN(0.001+IF(AND(ISNUMBER('Council Entry'!D$8),ISNUMBER('Council Entry'!D$9)),MAX(MIN('Council Entry'!D37,'Council Entry'!D$9),'Council Entry'!D$8),'Council Entry'!D37)),IF('Council Entry'!D$4="Exponential",EXP(IF(AND(ISNUMBER('Council Entry'!D$8),ISNUMBER('Council Entry'!D$9)),MAX(MIN('Council Entry'!D37,'Council Entry'!D$9),'Council Entry'!D$8),'Council Entry'!D37)),IF(AND(ISNUMBER('Council Entry'!D$8),ISNUMBER('Council Entry'!D$9)),MAX(MIN('Council Entry'!D37,'Council Entry'!D$9),'Council Entry'!D$8),'Council Entry'!D37))))-'Council Entry'!D$5)/('Council Entry'!D$6-'Council Entry'!D$5)),1))),"No data"))</f>
        <v/>
      </c>
      <c r="E37" s="13">
        <f>IF('Council Entry'!E37="","",IFERROR(MAX(0,MIN(10,ROUND(IF('Council Entry'!E$7="Decrease Risk",10-10*((IF('Council Entry'!E$4="Logarithm",LN(0.001+IF(AND(ISNUMBER('Council Entry'!E$8),ISNUMBER('Council Entry'!E$9)),MAX(MIN('Council Entry'!E37,'Council Entry'!E$9),'Council Entry'!E$8),'Council Entry'!E37)),IF('Council Entry'!E$4="Exponential",EXP(IF(AND(ISNUMBER('Council Entry'!E$8),ISNUMBER('Council Entry'!E$9)),MAX(MIN('Council Entry'!E37,'Council Entry'!E$9),'Council Entry'!E$8),'Council Entry'!E37)),IF(AND(ISNUMBER('Council Entry'!E$8),ISNUMBER('Council Entry'!E$9)),MAX(MIN('Council Entry'!E37,'Council Entry'!E$9),'Council Entry'!E$8),'Council Entry'!E37))))-'Council Entry'!E$5)/('Council Entry'!E$6-'Council Entry'!E$5),10*((IF('Council Entry'!E$4="Logarithm",LN(0.001+IF(AND(ISNUMBER('Council Entry'!E$8),ISNUMBER('Council Entry'!E$9)),MAX(MIN('Council Entry'!E37,'Council Entry'!E$9),'Council Entry'!E$8),'Council Entry'!E37)),IF('Council Entry'!E$4="Exponential",EXP(IF(AND(ISNUMBER('Council Entry'!E$8),ISNUMBER('Council Entry'!E$9)),MAX(MIN('Council Entry'!E37,'Council Entry'!E$9),'Council Entry'!E$8),'Council Entry'!E37)),IF(AND(ISNUMBER('Council Entry'!E$8),ISNUMBER('Council Entry'!E$9)),MAX(MIN('Council Entry'!E37,'Council Entry'!E$9),'Council Entry'!E$8),'Council Entry'!E37))))-'Council Entry'!E$5)/('Council Entry'!E$6-'Council Entry'!E$5)),1))),"No data"))</f>
        <v/>
      </c>
      <c r="F37" s="13">
        <f>IF('Council Entry'!F37="","",IFERROR(MAX(0,MIN(10,ROUND(IF('Council Entry'!F$7="Decrease Risk",10-10*((IF('Council Entry'!F$4="Logarithm",LN(0.001+IF(AND(ISNUMBER('Council Entry'!F$8),ISNUMBER('Council Entry'!F$9)),MAX(MIN('Council Entry'!F37,'Council Entry'!F$9),'Council Entry'!F$8),'Council Entry'!F37)),IF('Council Entry'!F$4="Exponential",EXP(IF(AND(ISNUMBER('Council Entry'!F$8),ISNUMBER('Council Entry'!F$9)),MAX(MIN('Council Entry'!F37,'Council Entry'!F$9),'Council Entry'!F$8),'Council Entry'!F37)),IF(AND(ISNUMBER('Council Entry'!F$8),ISNUMBER('Council Entry'!F$9)),MAX(MIN('Council Entry'!F37,'Council Entry'!F$9),'Council Entry'!F$8),'Council Entry'!F37))))-'Council Entry'!F$5)/('Council Entry'!F$6-'Council Entry'!F$5),10*((IF('Council Entry'!F$4="Logarithm",LN(0.001+IF(AND(ISNUMBER('Council Entry'!F$8),ISNUMBER('Council Entry'!F$9)),MAX(MIN('Council Entry'!F37,'Council Entry'!F$9),'Council Entry'!F$8),'Council Entry'!F37)),IF('Council Entry'!F$4="Exponential",EXP(IF(AND(ISNUMBER('Council Entry'!F$8),ISNUMBER('Council Entry'!F$9)),MAX(MIN('Council Entry'!F37,'Council Entry'!F$9),'Council Entry'!F$8),'Council Entry'!F37)),IF(AND(ISNUMBER('Council Entry'!F$8),ISNUMBER('Council Entry'!F$9)),MAX(MIN('Council Entry'!F37,'Council Entry'!F$9),'Council Entry'!F$8),'Council Entry'!F37))))-'Council Entry'!F$5)/('Council Entry'!F$6-'Council Entry'!F$5)),1))),"No data"))</f>
        <v/>
      </c>
      <c r="G37" s="13">
        <f>IF('Council Entry'!G37="","",IFERROR(MAX(0,MIN(10,ROUND(IF('Council Entry'!G$7="Decrease Risk",10-10*((IF('Council Entry'!G$4="Logarithm",LN(0.001+IF(AND(ISNUMBER('Council Entry'!G$8),ISNUMBER('Council Entry'!G$9)),MAX(MIN('Council Entry'!G37,'Council Entry'!G$9),'Council Entry'!G$8),'Council Entry'!G37)),IF('Council Entry'!G$4="Exponential",EXP(IF(AND(ISNUMBER('Council Entry'!G$8),ISNUMBER('Council Entry'!G$9)),MAX(MIN('Council Entry'!G37,'Council Entry'!G$9),'Council Entry'!G$8),'Council Entry'!G37)),IF(AND(ISNUMBER('Council Entry'!G$8),ISNUMBER('Council Entry'!G$9)),MAX(MIN('Council Entry'!G37,'Council Entry'!G$9),'Council Entry'!G$8),'Council Entry'!G37))))-'Council Entry'!G$5)/('Council Entry'!G$6-'Council Entry'!G$5),10*((IF('Council Entry'!G$4="Logarithm",LN(0.001+IF(AND(ISNUMBER('Council Entry'!G$8),ISNUMBER('Council Entry'!G$9)),MAX(MIN('Council Entry'!G37,'Council Entry'!G$9),'Council Entry'!G$8),'Council Entry'!G37)),IF('Council Entry'!G$4="Exponential",EXP(IF(AND(ISNUMBER('Council Entry'!G$8),ISNUMBER('Council Entry'!G$9)),MAX(MIN('Council Entry'!G37,'Council Entry'!G$9),'Council Entry'!G$8),'Council Entry'!G37)),IF(AND(ISNUMBER('Council Entry'!G$8),ISNUMBER('Council Entry'!G$9)),MAX(MIN('Council Entry'!G37,'Council Entry'!G$9),'Council Entry'!G$8),'Council Entry'!G37))))-'Council Entry'!G$5)/('Council Entry'!G$6-'Council Entry'!G$5)),1))),"No data"))</f>
        <v/>
      </c>
      <c r="H37" s="13">
        <f>IF('Council Entry'!H37="","",IFERROR(MAX(0,MIN(10,ROUND(IF('Council Entry'!H$7="Decrease Risk",10-10*((IF('Council Entry'!H$4="Logarithm",LN(0.001+IF(AND(ISNUMBER('Council Entry'!H$8),ISNUMBER('Council Entry'!H$9)),MAX(MIN('Council Entry'!H37,'Council Entry'!H$9),'Council Entry'!H$8),'Council Entry'!H37)),IF('Council Entry'!H$4="Exponential",EXP(IF(AND(ISNUMBER('Council Entry'!H$8),ISNUMBER('Council Entry'!H$9)),MAX(MIN('Council Entry'!H37,'Council Entry'!H$9),'Council Entry'!H$8),'Council Entry'!H37)),IF(AND(ISNUMBER('Council Entry'!H$8),ISNUMBER('Council Entry'!H$9)),MAX(MIN('Council Entry'!H37,'Council Entry'!H$9),'Council Entry'!H$8),'Council Entry'!H37))))-'Council Entry'!H$5)/('Council Entry'!H$6-'Council Entry'!H$5),10*((IF('Council Entry'!H$4="Logarithm",LN(0.001+IF(AND(ISNUMBER('Council Entry'!H$8),ISNUMBER('Council Entry'!H$9)),MAX(MIN('Council Entry'!H37,'Council Entry'!H$9),'Council Entry'!H$8),'Council Entry'!H37)),IF('Council Entry'!H$4="Exponential",EXP(IF(AND(ISNUMBER('Council Entry'!H$8),ISNUMBER('Council Entry'!H$9)),MAX(MIN('Council Entry'!H37,'Council Entry'!H$9),'Council Entry'!H$8),'Council Entry'!H37)),IF(AND(ISNUMBER('Council Entry'!H$8),ISNUMBER('Council Entry'!H$9)),MAX(MIN('Council Entry'!H37,'Council Entry'!H$9),'Council Entry'!H$8),'Council Entry'!H37))))-'Council Entry'!H$5)/('Council Entry'!H$6-'Council Entry'!H$5)),1))),"No data"))</f>
        <v/>
      </c>
      <c r="I37" s="13">
        <f>IF('Council Entry'!I37="","",IFERROR(MAX(0,MIN(10,ROUND(IF('Council Entry'!I$7="Decrease Risk",10-10*((IF('Council Entry'!I$4="Logarithm",LN(0.001+IF(AND(ISNUMBER('Council Entry'!I$8),ISNUMBER('Council Entry'!I$9)),MAX(MIN('Council Entry'!I37,'Council Entry'!I$9),'Council Entry'!I$8),'Council Entry'!I37)),IF('Council Entry'!I$4="Exponential",EXP(IF(AND(ISNUMBER('Council Entry'!I$8),ISNUMBER('Council Entry'!I$9)),MAX(MIN('Council Entry'!I37,'Council Entry'!I$9),'Council Entry'!I$8),'Council Entry'!I37)),IF(AND(ISNUMBER('Council Entry'!I$8),ISNUMBER('Council Entry'!I$9)),MAX(MIN('Council Entry'!I37,'Council Entry'!I$9),'Council Entry'!I$8),'Council Entry'!I37))))-'Council Entry'!I$5)/('Council Entry'!I$6-'Council Entry'!I$5),10*((IF('Council Entry'!I$4="Logarithm",LN(0.001+IF(AND(ISNUMBER('Council Entry'!I$8),ISNUMBER('Council Entry'!I$9)),MAX(MIN('Council Entry'!I37,'Council Entry'!I$9),'Council Entry'!I$8),'Council Entry'!I37)),IF('Council Entry'!I$4="Exponential",EXP(IF(AND(ISNUMBER('Council Entry'!I$8),ISNUMBER('Council Entry'!I$9)),MAX(MIN('Council Entry'!I37,'Council Entry'!I$9),'Council Entry'!I$8),'Council Entry'!I37)),IF(AND(ISNUMBER('Council Entry'!I$8),ISNUMBER('Council Entry'!I$9)),MAX(MIN('Council Entry'!I37,'Council Entry'!I$9),'Council Entry'!I$8),'Council Entry'!I37))))-'Council Entry'!I$5)/('Council Entry'!I$6-'Council Entry'!I$5)),1))),"No data"))</f>
        <v/>
      </c>
      <c r="J37" s="13">
        <f>IF('Council Entry'!J37="","",IFERROR(MAX(0,MIN(10,ROUND(IF('Council Entry'!J$7="Decrease Risk",10-10*((IF('Council Entry'!J$4="Logarithm",LN(0.001+IF(AND(ISNUMBER('Council Entry'!J$8),ISNUMBER('Council Entry'!J$9)),MAX(MIN('Council Entry'!J37,'Council Entry'!J$9),'Council Entry'!J$8),'Council Entry'!J37)),IF('Council Entry'!J$4="Exponential",EXP(IF(AND(ISNUMBER('Council Entry'!J$8),ISNUMBER('Council Entry'!J$9)),MAX(MIN('Council Entry'!J37,'Council Entry'!J$9),'Council Entry'!J$8),'Council Entry'!J37)),IF(AND(ISNUMBER('Council Entry'!J$8),ISNUMBER('Council Entry'!J$9)),MAX(MIN('Council Entry'!J37,'Council Entry'!J$9),'Council Entry'!J$8),'Council Entry'!J37))))-'Council Entry'!J$5)/('Council Entry'!J$6-'Council Entry'!J$5),10*((IF('Council Entry'!J$4="Logarithm",LN(0.001+IF(AND(ISNUMBER('Council Entry'!J$8),ISNUMBER('Council Entry'!J$9)),MAX(MIN('Council Entry'!J37,'Council Entry'!J$9),'Council Entry'!J$8),'Council Entry'!J37)),IF('Council Entry'!J$4="Exponential",EXP(IF(AND(ISNUMBER('Council Entry'!J$8),ISNUMBER('Council Entry'!J$9)),MAX(MIN('Council Entry'!J37,'Council Entry'!J$9),'Council Entry'!J$8),'Council Entry'!J37)),IF(AND(ISNUMBER('Council Entry'!J$8),ISNUMBER('Council Entry'!J$9)),MAX(MIN('Council Entry'!J37,'Council Entry'!J$9),'Council Entry'!J$8),'Council Entry'!J37))))-'Council Entry'!J$5)/('Council Entry'!J$6-'Council Entry'!J$5)),1))),"No data"))</f>
        <v/>
      </c>
      <c r="K37" s="13">
        <f>IF('Council Entry'!K37="","",IFERROR(MAX(0,MIN(10,ROUND(IF('Council Entry'!K$7="Decrease Risk",10-10*((IF('Council Entry'!K$4="Logarithm",LN(0.001+IF(AND(ISNUMBER('Council Entry'!K$8),ISNUMBER('Council Entry'!K$9)),MAX(MIN('Council Entry'!K37,'Council Entry'!K$9),'Council Entry'!K$8),'Council Entry'!K37)),IF('Council Entry'!K$4="Exponential",EXP(IF(AND(ISNUMBER('Council Entry'!K$8),ISNUMBER('Council Entry'!K$9)),MAX(MIN('Council Entry'!K37,'Council Entry'!K$9),'Council Entry'!K$8),'Council Entry'!K37)),IF(AND(ISNUMBER('Council Entry'!K$8),ISNUMBER('Council Entry'!K$9)),MAX(MIN('Council Entry'!K37,'Council Entry'!K$9),'Council Entry'!K$8),'Council Entry'!K37))))-'Council Entry'!K$5)/('Council Entry'!K$6-'Council Entry'!K$5),10*((IF('Council Entry'!K$4="Logarithm",LN(0.001+IF(AND(ISNUMBER('Council Entry'!K$8),ISNUMBER('Council Entry'!K$9)),MAX(MIN('Council Entry'!K37,'Council Entry'!K$9),'Council Entry'!K$8),'Council Entry'!K37)),IF('Council Entry'!K$4="Exponential",EXP(IF(AND(ISNUMBER('Council Entry'!K$8),ISNUMBER('Council Entry'!K$9)),MAX(MIN('Council Entry'!K37,'Council Entry'!K$9),'Council Entry'!K$8),'Council Entry'!K37)),IF(AND(ISNUMBER('Council Entry'!K$8),ISNUMBER('Council Entry'!K$9)),MAX(MIN('Council Entry'!K37,'Council Entry'!K$9),'Council Entry'!K$8),'Council Entry'!K37))))-'Council Entry'!K$5)/('Council Entry'!K$6-'Council Entry'!K$5)),1))),"No data"))</f>
        <v/>
      </c>
      <c r="L37" s="13">
        <f>IF('Council Entry'!L37="","",IFERROR(MAX(0,MIN(10,ROUND(IF('Council Entry'!L$7="Decrease Risk",10-10*((IF('Council Entry'!L$4="Logarithm",LN(0.001+IF(AND(ISNUMBER('Council Entry'!L$8),ISNUMBER('Council Entry'!L$9)),MAX(MIN('Council Entry'!L37,'Council Entry'!L$9),'Council Entry'!L$8),'Council Entry'!L37)),IF('Council Entry'!L$4="Exponential",EXP(IF(AND(ISNUMBER('Council Entry'!L$8),ISNUMBER('Council Entry'!L$9)),MAX(MIN('Council Entry'!L37,'Council Entry'!L$9),'Council Entry'!L$8),'Council Entry'!L37)),IF(AND(ISNUMBER('Council Entry'!L$8),ISNUMBER('Council Entry'!L$9)),MAX(MIN('Council Entry'!L37,'Council Entry'!L$9),'Council Entry'!L$8),'Council Entry'!L37))))-'Council Entry'!L$5)/('Council Entry'!L$6-'Council Entry'!L$5),10*((IF('Council Entry'!L$4="Logarithm",LN(0.001+IF(AND(ISNUMBER('Council Entry'!L$8),ISNUMBER('Council Entry'!L$9)),MAX(MIN('Council Entry'!L37,'Council Entry'!L$9),'Council Entry'!L$8),'Council Entry'!L37)),IF('Council Entry'!L$4="Exponential",EXP(IF(AND(ISNUMBER('Council Entry'!L$8),ISNUMBER('Council Entry'!L$9)),MAX(MIN('Council Entry'!L37,'Council Entry'!L$9),'Council Entry'!L$8),'Council Entry'!L37)),IF(AND(ISNUMBER('Council Entry'!L$8),ISNUMBER('Council Entry'!L$9)),MAX(MIN('Council Entry'!L37,'Council Entry'!L$9),'Council Entry'!L$8),'Council Entry'!L37))))-'Council Entry'!L$5)/('Council Entry'!L$6-'Council Entry'!L$5)),1))),"No data"))</f>
        <v/>
      </c>
      <c r="M37" s="13">
        <f>IF('Council Entry'!M37="","",IFERROR(MAX(0,MIN(10,ROUND(IF('Council Entry'!M$7="Decrease Risk",10-10*((IF('Council Entry'!M$4="Logarithm",LN(0.001+IF(AND(ISNUMBER('Council Entry'!M$8),ISNUMBER('Council Entry'!M$9)),MAX(MIN('Council Entry'!M37,'Council Entry'!M$9),'Council Entry'!M$8),'Council Entry'!M37)),IF('Council Entry'!M$4="Exponential",EXP(IF(AND(ISNUMBER('Council Entry'!M$8),ISNUMBER('Council Entry'!M$9)),MAX(MIN('Council Entry'!M37,'Council Entry'!M$9),'Council Entry'!M$8),'Council Entry'!M37)),IF(AND(ISNUMBER('Council Entry'!M$8),ISNUMBER('Council Entry'!M$9)),MAX(MIN('Council Entry'!M37,'Council Entry'!M$9),'Council Entry'!M$8),'Council Entry'!M37))))-'Council Entry'!M$5)/('Council Entry'!M$6-'Council Entry'!M$5),10*((IF('Council Entry'!M$4="Logarithm",LN(0.001+IF(AND(ISNUMBER('Council Entry'!M$8),ISNUMBER('Council Entry'!M$9)),MAX(MIN('Council Entry'!M37,'Council Entry'!M$9),'Council Entry'!M$8),'Council Entry'!M37)),IF('Council Entry'!M$4="Exponential",EXP(IF(AND(ISNUMBER('Council Entry'!M$8),ISNUMBER('Council Entry'!M$9)),MAX(MIN('Council Entry'!M37,'Council Entry'!M$9),'Council Entry'!M$8),'Council Entry'!M37)),IF(AND(ISNUMBER('Council Entry'!M$8),ISNUMBER('Council Entry'!M$9)),MAX(MIN('Council Entry'!M37,'Council Entry'!M$9),'Council Entry'!M$8),'Council Entry'!M37))))-'Council Entry'!M$5)/('Council Entry'!M$6-'Council Entry'!M$5)),1))),"No data"))</f>
        <v/>
      </c>
      <c r="N37" s="13">
        <f>IF('Council Entry'!N37="","",IFERROR(MAX(0,MIN(10,ROUND(IF('Council Entry'!N$7="Decrease Risk",10-10*((IF('Council Entry'!N$4="Logarithm",LN(0.001+IF(AND(ISNUMBER('Council Entry'!N$8),ISNUMBER('Council Entry'!N$9)),MAX(MIN('Council Entry'!N37,'Council Entry'!N$9),'Council Entry'!N$8),'Council Entry'!N37)),IF('Council Entry'!N$4="Exponential",EXP(IF(AND(ISNUMBER('Council Entry'!N$8),ISNUMBER('Council Entry'!N$9)),MAX(MIN('Council Entry'!N37,'Council Entry'!N$9),'Council Entry'!N$8),'Council Entry'!N37)),IF(AND(ISNUMBER('Council Entry'!N$8),ISNUMBER('Council Entry'!N$9)),MAX(MIN('Council Entry'!N37,'Council Entry'!N$9),'Council Entry'!N$8),'Council Entry'!N37))))-'Council Entry'!N$5)/('Council Entry'!N$6-'Council Entry'!N$5),10*((IF('Council Entry'!N$4="Logarithm",LN(0.001+IF(AND(ISNUMBER('Council Entry'!N$8),ISNUMBER('Council Entry'!N$9)),MAX(MIN('Council Entry'!N37,'Council Entry'!N$9),'Council Entry'!N$8),'Council Entry'!N37)),IF('Council Entry'!N$4="Exponential",EXP(IF(AND(ISNUMBER('Council Entry'!N$8),ISNUMBER('Council Entry'!N$9)),MAX(MIN('Council Entry'!N37,'Council Entry'!N$9),'Council Entry'!N$8),'Council Entry'!N37)),IF(AND(ISNUMBER('Council Entry'!N$8),ISNUMBER('Council Entry'!N$9)),MAX(MIN('Council Entry'!N37,'Council Entry'!N$9),'Council Entry'!N$8),'Council Entry'!N37))))-'Council Entry'!N$5)/('Council Entry'!N$6-'Council Entry'!N$5)),1))),"No data"))</f>
        <v/>
      </c>
      <c r="O37" s="13">
        <f>IF('Council Entry'!O37="","",IFERROR(MAX(0,MIN(10,ROUND(IF('Council Entry'!O$7="Decrease Risk",10-10*((IF('Council Entry'!O$4="Logarithm",LN(0.001+IF(AND(ISNUMBER('Council Entry'!O$8),ISNUMBER('Council Entry'!O$9)),MAX(MIN('Council Entry'!O37,'Council Entry'!O$9),'Council Entry'!O$8),'Council Entry'!O37)),IF('Council Entry'!O$4="Exponential",EXP(IF(AND(ISNUMBER('Council Entry'!O$8),ISNUMBER('Council Entry'!O$9)),MAX(MIN('Council Entry'!O37,'Council Entry'!O$9),'Council Entry'!O$8),'Council Entry'!O37)),IF(AND(ISNUMBER('Council Entry'!O$8),ISNUMBER('Council Entry'!O$9)),MAX(MIN('Council Entry'!O37,'Council Entry'!O$9),'Council Entry'!O$8),'Council Entry'!O37))))-'Council Entry'!O$5)/('Council Entry'!O$6-'Council Entry'!O$5),10*((IF('Council Entry'!O$4="Logarithm",LN(0.001+IF(AND(ISNUMBER('Council Entry'!O$8),ISNUMBER('Council Entry'!O$9)),MAX(MIN('Council Entry'!O37,'Council Entry'!O$9),'Council Entry'!O$8),'Council Entry'!O37)),IF('Council Entry'!O$4="Exponential",EXP(IF(AND(ISNUMBER('Council Entry'!O$8),ISNUMBER('Council Entry'!O$9)),MAX(MIN('Council Entry'!O37,'Council Entry'!O$9),'Council Entry'!O$8),'Council Entry'!O37)),IF(AND(ISNUMBER('Council Entry'!O$8),ISNUMBER('Council Entry'!O$9)),MAX(MIN('Council Entry'!O37,'Council Entry'!O$9),'Council Entry'!O$8),'Council Entry'!O37))))-'Council Entry'!O$5)/('Council Entry'!O$6-'Council Entry'!O$5)),1))),"No data"))</f>
        <v/>
      </c>
      <c r="P37" s="13">
        <f>IF('Council Entry'!P37="","",IFERROR(MAX(0,MIN(10,ROUND(IF('Council Entry'!P$7="Decrease Risk",10-10*((IF('Council Entry'!P$4="Logarithm",LN(0.001+IF(AND(ISNUMBER('Council Entry'!P$8),ISNUMBER('Council Entry'!P$9)),MAX(MIN('Council Entry'!P37,'Council Entry'!P$9),'Council Entry'!P$8),'Council Entry'!P37)),IF('Council Entry'!P$4="Exponential",EXP(IF(AND(ISNUMBER('Council Entry'!P$8),ISNUMBER('Council Entry'!P$9)),MAX(MIN('Council Entry'!P37,'Council Entry'!P$9),'Council Entry'!P$8),'Council Entry'!P37)),IF(AND(ISNUMBER('Council Entry'!P$8),ISNUMBER('Council Entry'!P$9)),MAX(MIN('Council Entry'!P37,'Council Entry'!P$9),'Council Entry'!P$8),'Council Entry'!P37))))-'Council Entry'!P$5)/('Council Entry'!P$6-'Council Entry'!P$5),10*((IF('Council Entry'!P$4="Logarithm",LN(0.001+IF(AND(ISNUMBER('Council Entry'!P$8),ISNUMBER('Council Entry'!P$9)),MAX(MIN('Council Entry'!P37,'Council Entry'!P$9),'Council Entry'!P$8),'Council Entry'!P37)),IF('Council Entry'!P$4="Exponential",EXP(IF(AND(ISNUMBER('Council Entry'!P$8),ISNUMBER('Council Entry'!P$9)),MAX(MIN('Council Entry'!P37,'Council Entry'!P$9),'Council Entry'!P$8),'Council Entry'!P37)),IF(AND(ISNUMBER('Council Entry'!P$8),ISNUMBER('Council Entry'!P$9)),MAX(MIN('Council Entry'!P37,'Council Entry'!P$9),'Council Entry'!P$8),'Council Entry'!P37))))-'Council Entry'!P$5)/('Council Entry'!P$6-'Council Entry'!P$5)),1))),"No data"))</f>
        <v/>
      </c>
      <c r="Q37" s="13">
        <f>IF('Council Entry'!Q37="","",IFERROR(MAX(0,MIN(10,ROUND(IF('Council Entry'!Q$7="Decrease Risk",10-10*((IF('Council Entry'!Q$4="Logarithm",LN(0.001+IF(AND(ISNUMBER('Council Entry'!Q$8),ISNUMBER('Council Entry'!Q$9)),MAX(MIN('Council Entry'!Q37,'Council Entry'!Q$9),'Council Entry'!Q$8),'Council Entry'!Q37)),IF('Council Entry'!Q$4="Exponential",EXP(IF(AND(ISNUMBER('Council Entry'!Q$8),ISNUMBER('Council Entry'!Q$9)),MAX(MIN('Council Entry'!Q37,'Council Entry'!Q$9),'Council Entry'!Q$8),'Council Entry'!Q37)),IF(AND(ISNUMBER('Council Entry'!Q$8),ISNUMBER('Council Entry'!Q$9)),MAX(MIN('Council Entry'!Q37,'Council Entry'!Q$9),'Council Entry'!Q$8),'Council Entry'!Q37))))-'Council Entry'!Q$5)/('Council Entry'!Q$6-'Council Entry'!Q$5),10*((IF('Council Entry'!Q$4="Logarithm",LN(0.001+IF(AND(ISNUMBER('Council Entry'!Q$8),ISNUMBER('Council Entry'!Q$9)),MAX(MIN('Council Entry'!Q37,'Council Entry'!Q$9),'Council Entry'!Q$8),'Council Entry'!Q37)),IF('Council Entry'!Q$4="Exponential",EXP(IF(AND(ISNUMBER('Council Entry'!Q$8),ISNUMBER('Council Entry'!Q$9)),MAX(MIN('Council Entry'!Q37,'Council Entry'!Q$9),'Council Entry'!Q$8),'Council Entry'!Q37)),IF(AND(ISNUMBER('Council Entry'!Q$8),ISNUMBER('Council Entry'!Q$9)),MAX(MIN('Council Entry'!Q37,'Council Entry'!Q$9),'Council Entry'!Q$8),'Council Entry'!Q37))))-'Council Entry'!Q$5)/('Council Entry'!Q$6-'Council Entry'!Q$5)),1))),"No data"))</f>
        <v/>
      </c>
      <c r="R37" s="13">
        <f>IF('Council Entry'!R37="","",IFERROR(MAX(0,MIN(10,ROUND(IF('Council Entry'!R$7="Decrease Risk",10-10*((IF('Council Entry'!R$4="Logarithm",LN(0.001+IF(AND(ISNUMBER('Council Entry'!R$8),ISNUMBER('Council Entry'!R$9)),MAX(MIN('Council Entry'!R37,'Council Entry'!R$9),'Council Entry'!R$8),'Council Entry'!R37)),IF('Council Entry'!R$4="Exponential",EXP(IF(AND(ISNUMBER('Council Entry'!R$8),ISNUMBER('Council Entry'!R$9)),MAX(MIN('Council Entry'!R37,'Council Entry'!R$9),'Council Entry'!R$8),'Council Entry'!R37)),IF(AND(ISNUMBER('Council Entry'!R$8),ISNUMBER('Council Entry'!R$9)),MAX(MIN('Council Entry'!R37,'Council Entry'!R$9),'Council Entry'!R$8),'Council Entry'!R37))))-'Council Entry'!R$5)/('Council Entry'!R$6-'Council Entry'!R$5),10*((IF('Council Entry'!R$4="Logarithm",LN(0.001+IF(AND(ISNUMBER('Council Entry'!R$8),ISNUMBER('Council Entry'!R$9)),MAX(MIN('Council Entry'!R37,'Council Entry'!R$9),'Council Entry'!R$8),'Council Entry'!R37)),IF('Council Entry'!R$4="Exponential",EXP(IF(AND(ISNUMBER('Council Entry'!R$8),ISNUMBER('Council Entry'!R$9)),MAX(MIN('Council Entry'!R37,'Council Entry'!R$9),'Council Entry'!R$8),'Council Entry'!R37)),IF(AND(ISNUMBER('Council Entry'!R$8),ISNUMBER('Council Entry'!R$9)),MAX(MIN('Council Entry'!R37,'Council Entry'!R$9),'Council Entry'!R$8),'Council Entry'!R37))))-'Council Entry'!R$5)/('Council Entry'!R$6-'Council Entry'!R$5)),1))),"No data"))</f>
        <v/>
      </c>
      <c r="S37" s="13">
        <f>IF('Council Entry'!S37="","",IFERROR(MAX(0,MIN(10,ROUND(IF('Council Entry'!S$7="Decrease Risk",10-10*((IF('Council Entry'!S$4="Logarithm",LN(0.001+IF(AND(ISNUMBER('Council Entry'!S$8),ISNUMBER('Council Entry'!S$9)),MAX(MIN('Council Entry'!S37,'Council Entry'!S$9),'Council Entry'!S$8),'Council Entry'!S37)),IF('Council Entry'!S$4="Exponential",EXP(IF(AND(ISNUMBER('Council Entry'!S$8),ISNUMBER('Council Entry'!S$9)),MAX(MIN('Council Entry'!S37,'Council Entry'!S$9),'Council Entry'!S$8),'Council Entry'!S37)),IF(AND(ISNUMBER('Council Entry'!S$8),ISNUMBER('Council Entry'!S$9)),MAX(MIN('Council Entry'!S37,'Council Entry'!S$9),'Council Entry'!S$8),'Council Entry'!S37))))-'Council Entry'!S$5)/('Council Entry'!S$6-'Council Entry'!S$5),10*((IF('Council Entry'!S$4="Logarithm",LN(0.001+IF(AND(ISNUMBER('Council Entry'!S$8),ISNUMBER('Council Entry'!S$9)),MAX(MIN('Council Entry'!S37,'Council Entry'!S$9),'Council Entry'!S$8),'Council Entry'!S37)),IF('Council Entry'!S$4="Exponential",EXP(IF(AND(ISNUMBER('Council Entry'!S$8),ISNUMBER('Council Entry'!S$9)),MAX(MIN('Council Entry'!S37,'Council Entry'!S$9),'Council Entry'!S$8),'Council Entry'!S37)),IF(AND(ISNUMBER('Council Entry'!S$8),ISNUMBER('Council Entry'!S$9)),MAX(MIN('Council Entry'!S37,'Council Entry'!S$9),'Council Entry'!S$8),'Council Entry'!S37))))-'Council Entry'!S$5)/('Council Entry'!S$6-'Council Entry'!S$5)),1))),"No data"))</f>
        <v/>
      </c>
      <c r="T37" s="13">
        <f>IF('Council Entry'!T37="","",IFERROR(MAX(0,MIN(10,ROUND(IF('Council Entry'!T$7="Decrease Risk",10-10*((IF('Council Entry'!T$4="Logarithm",LN(0.001+IF(AND(ISNUMBER('Council Entry'!T$8),ISNUMBER('Council Entry'!T$9)),MAX(MIN('Council Entry'!T37,'Council Entry'!T$9),'Council Entry'!T$8),'Council Entry'!T37)),IF('Council Entry'!T$4="Exponential",EXP(IF(AND(ISNUMBER('Council Entry'!T$8),ISNUMBER('Council Entry'!T$9)),MAX(MIN('Council Entry'!T37,'Council Entry'!T$9),'Council Entry'!T$8),'Council Entry'!T37)),IF(AND(ISNUMBER('Council Entry'!T$8),ISNUMBER('Council Entry'!T$9)),MAX(MIN('Council Entry'!T37,'Council Entry'!T$9),'Council Entry'!T$8),'Council Entry'!T37))))-'Council Entry'!T$5)/('Council Entry'!T$6-'Council Entry'!T$5),10*((IF('Council Entry'!T$4="Logarithm",LN(0.001+IF(AND(ISNUMBER('Council Entry'!T$8),ISNUMBER('Council Entry'!T$9)),MAX(MIN('Council Entry'!T37,'Council Entry'!T$9),'Council Entry'!T$8),'Council Entry'!T37)),IF('Council Entry'!T$4="Exponential",EXP(IF(AND(ISNUMBER('Council Entry'!T$8),ISNUMBER('Council Entry'!T$9)),MAX(MIN('Council Entry'!T37,'Council Entry'!T$9),'Council Entry'!T$8),'Council Entry'!T37)),IF(AND(ISNUMBER('Council Entry'!T$8),ISNUMBER('Council Entry'!T$9)),MAX(MIN('Council Entry'!T37,'Council Entry'!T$9),'Council Entry'!T$8),'Council Entry'!T37))))-'Council Entry'!T$5)/('Council Entry'!T$6-'Council Entry'!T$5)),1))),"No data"))</f>
        <v/>
      </c>
      <c r="U37" s="13">
        <f>IF('Council Entry'!U37="","",IFERROR(MAX(0,MIN(10,ROUND(IF('Council Entry'!U$7="Decrease Risk",10-10*((IF('Council Entry'!U$4="Logarithm",LN(0.001+IF(AND(ISNUMBER('Council Entry'!U$8),ISNUMBER('Council Entry'!U$9)),MAX(MIN('Council Entry'!U37,'Council Entry'!U$9),'Council Entry'!U$8),'Council Entry'!U37)),IF('Council Entry'!U$4="Exponential",EXP(IF(AND(ISNUMBER('Council Entry'!U$8),ISNUMBER('Council Entry'!U$9)),MAX(MIN('Council Entry'!U37,'Council Entry'!U$9),'Council Entry'!U$8),'Council Entry'!U37)),IF(AND(ISNUMBER('Council Entry'!U$8),ISNUMBER('Council Entry'!U$9)),MAX(MIN('Council Entry'!U37,'Council Entry'!U$9),'Council Entry'!U$8),'Council Entry'!U37))))-'Council Entry'!U$5)/('Council Entry'!U$6-'Council Entry'!U$5),10*((IF('Council Entry'!U$4="Logarithm",LN(0.001+IF(AND(ISNUMBER('Council Entry'!U$8),ISNUMBER('Council Entry'!U$9)),MAX(MIN('Council Entry'!U37,'Council Entry'!U$9),'Council Entry'!U$8),'Council Entry'!U37)),IF('Council Entry'!U$4="Exponential",EXP(IF(AND(ISNUMBER('Council Entry'!U$8),ISNUMBER('Council Entry'!U$9)),MAX(MIN('Council Entry'!U37,'Council Entry'!U$9),'Council Entry'!U$8),'Council Entry'!U37)),IF(AND(ISNUMBER('Council Entry'!U$8),ISNUMBER('Council Entry'!U$9)),MAX(MIN('Council Entry'!U37,'Council Entry'!U$9),'Council Entry'!U$8),'Council Entry'!U37))))-'Council Entry'!U$5)/('Council Entry'!U$6-'Council Entry'!U$5)),1))),"No data"))</f>
        <v/>
      </c>
      <c r="V37" s="13">
        <f>IF('Council Entry'!V37="","",IFERROR(MAX(0,MIN(10,ROUND(IF('Council Entry'!V$7="Decrease Risk",10-10*((IF('Council Entry'!V$4="Logarithm",LN(0.001+IF(AND(ISNUMBER('Council Entry'!V$8),ISNUMBER('Council Entry'!V$9)),MAX(MIN('Council Entry'!V37,'Council Entry'!V$9),'Council Entry'!V$8),'Council Entry'!V37)),IF('Council Entry'!V$4="Exponential",EXP(IF(AND(ISNUMBER('Council Entry'!V$8),ISNUMBER('Council Entry'!V$9)),MAX(MIN('Council Entry'!V37,'Council Entry'!V$9),'Council Entry'!V$8),'Council Entry'!V37)),IF(AND(ISNUMBER('Council Entry'!V$8),ISNUMBER('Council Entry'!V$9)),MAX(MIN('Council Entry'!V37,'Council Entry'!V$9),'Council Entry'!V$8),'Council Entry'!V37))))-'Council Entry'!V$5)/('Council Entry'!V$6-'Council Entry'!V$5),10*((IF('Council Entry'!V$4="Logarithm",LN(0.001+IF(AND(ISNUMBER('Council Entry'!V$8),ISNUMBER('Council Entry'!V$9)),MAX(MIN('Council Entry'!V37,'Council Entry'!V$9),'Council Entry'!V$8),'Council Entry'!V37)),IF('Council Entry'!V$4="Exponential",EXP(IF(AND(ISNUMBER('Council Entry'!V$8),ISNUMBER('Council Entry'!V$9)),MAX(MIN('Council Entry'!V37,'Council Entry'!V$9),'Council Entry'!V$8),'Council Entry'!V37)),IF(AND(ISNUMBER('Council Entry'!V$8),ISNUMBER('Council Entry'!V$9)),MAX(MIN('Council Entry'!V37,'Council Entry'!V$9),'Council Entry'!V$8),'Council Entry'!V37))))-'Council Entry'!V$5)/('Council Entry'!V$6-'Council Entry'!V$5)),1))),"No data"))</f>
        <v/>
      </c>
      <c r="W37" s="13">
        <f>IF('Council Entry'!W37="","",IFERROR(MAX(0,MIN(10,ROUND(IF('Council Entry'!W$7="Decrease Risk",10-10*((IF('Council Entry'!W$4="Logarithm",LN(0.001+IF(AND(ISNUMBER('Council Entry'!W$8),ISNUMBER('Council Entry'!W$9)),MAX(MIN('Council Entry'!W37,'Council Entry'!W$9),'Council Entry'!W$8),'Council Entry'!W37)),IF('Council Entry'!W$4="Exponential",EXP(IF(AND(ISNUMBER('Council Entry'!W$8),ISNUMBER('Council Entry'!W$9)),MAX(MIN('Council Entry'!W37,'Council Entry'!W$9),'Council Entry'!W$8),'Council Entry'!W37)),IF(AND(ISNUMBER('Council Entry'!W$8),ISNUMBER('Council Entry'!W$9)),MAX(MIN('Council Entry'!W37,'Council Entry'!W$9),'Council Entry'!W$8),'Council Entry'!W37))))-'Council Entry'!W$5)/('Council Entry'!W$6-'Council Entry'!W$5),10*((IF('Council Entry'!W$4="Logarithm",LN(0.001+IF(AND(ISNUMBER('Council Entry'!W$8),ISNUMBER('Council Entry'!W$9)),MAX(MIN('Council Entry'!W37,'Council Entry'!W$9),'Council Entry'!W$8),'Council Entry'!W37)),IF('Council Entry'!W$4="Exponential",EXP(IF(AND(ISNUMBER('Council Entry'!W$8),ISNUMBER('Council Entry'!W$9)),MAX(MIN('Council Entry'!W37,'Council Entry'!W$9),'Council Entry'!W$8),'Council Entry'!W37)),IF(AND(ISNUMBER('Council Entry'!W$8),ISNUMBER('Council Entry'!W$9)),MAX(MIN('Council Entry'!W37,'Council Entry'!W$9),'Council Entry'!W$8),'Council Entry'!W37))))-'Council Entry'!W$5)/('Council Entry'!W$6-'Council Entry'!W$5)),1))),"No data"))</f>
        <v/>
      </c>
      <c r="X37" s="13">
        <f>IF('Council Entry'!X37="","",IFERROR(MAX(0,MIN(10,ROUND(IF('Council Entry'!X$7="Decrease Risk",10-10*((IF('Council Entry'!X$4="Logarithm",LN(0.001+IF(AND(ISNUMBER('Council Entry'!X$8),ISNUMBER('Council Entry'!X$9)),MAX(MIN('Council Entry'!X37,'Council Entry'!X$9),'Council Entry'!X$8),'Council Entry'!X37)),IF('Council Entry'!X$4="Exponential",EXP(IF(AND(ISNUMBER('Council Entry'!X$8),ISNUMBER('Council Entry'!X$9)),MAX(MIN('Council Entry'!X37,'Council Entry'!X$9),'Council Entry'!X$8),'Council Entry'!X37)),IF(AND(ISNUMBER('Council Entry'!X$8),ISNUMBER('Council Entry'!X$9)),MAX(MIN('Council Entry'!X37,'Council Entry'!X$9),'Council Entry'!X$8),'Council Entry'!X37))))-'Council Entry'!X$5)/('Council Entry'!X$6-'Council Entry'!X$5),10*((IF('Council Entry'!X$4="Logarithm",LN(0.001+IF(AND(ISNUMBER('Council Entry'!X$8),ISNUMBER('Council Entry'!X$9)),MAX(MIN('Council Entry'!X37,'Council Entry'!X$9),'Council Entry'!X$8),'Council Entry'!X37)),IF('Council Entry'!X$4="Exponential",EXP(IF(AND(ISNUMBER('Council Entry'!X$8),ISNUMBER('Council Entry'!X$9)),MAX(MIN('Council Entry'!X37,'Council Entry'!X$9),'Council Entry'!X$8),'Council Entry'!X37)),IF(AND(ISNUMBER('Council Entry'!X$8),ISNUMBER('Council Entry'!X$9)),MAX(MIN('Council Entry'!X37,'Council Entry'!X$9),'Council Entry'!X$8),'Council Entry'!X37))))-'Council Entry'!X$5)/('Council Entry'!X$6-'Council Entry'!X$5)),1))),"No data"))</f>
        <v/>
      </c>
      <c r="Y37" s="13">
        <f>IF('Council Entry'!Y37="","",IFERROR(MAX(0,MIN(10,ROUND(IF('Council Entry'!Y$7="Decrease Risk",10-10*((IF('Council Entry'!Y$4="Logarithm",LN(0.001+IF(AND(ISNUMBER('Council Entry'!Y$8),ISNUMBER('Council Entry'!Y$9)),MAX(MIN('Council Entry'!Y37,'Council Entry'!Y$9),'Council Entry'!Y$8),'Council Entry'!Y37)),IF('Council Entry'!Y$4="Exponential",EXP(IF(AND(ISNUMBER('Council Entry'!Y$8),ISNUMBER('Council Entry'!Y$9)),MAX(MIN('Council Entry'!Y37,'Council Entry'!Y$9),'Council Entry'!Y$8),'Council Entry'!Y37)),IF(AND(ISNUMBER('Council Entry'!Y$8),ISNUMBER('Council Entry'!Y$9)),MAX(MIN('Council Entry'!Y37,'Council Entry'!Y$9),'Council Entry'!Y$8),'Council Entry'!Y37))))-'Council Entry'!Y$5)/('Council Entry'!Y$6-'Council Entry'!Y$5),10*((IF('Council Entry'!Y$4="Logarithm",LN(0.001+IF(AND(ISNUMBER('Council Entry'!Y$8),ISNUMBER('Council Entry'!Y$9)),MAX(MIN('Council Entry'!Y37,'Council Entry'!Y$9),'Council Entry'!Y$8),'Council Entry'!Y37)),IF('Council Entry'!Y$4="Exponential",EXP(IF(AND(ISNUMBER('Council Entry'!Y$8),ISNUMBER('Council Entry'!Y$9)),MAX(MIN('Council Entry'!Y37,'Council Entry'!Y$9),'Council Entry'!Y$8),'Council Entry'!Y37)),IF(AND(ISNUMBER('Council Entry'!Y$8),ISNUMBER('Council Entry'!Y$9)),MAX(MIN('Council Entry'!Y37,'Council Entry'!Y$9),'Council Entry'!Y$8),'Council Entry'!Y37))))-'Council Entry'!Y$5)/('Council Entry'!Y$6-'Council Entry'!Y$5)),1))),"No data"))</f>
        <v/>
      </c>
      <c r="Z37" s="13">
        <f>IF('Council Entry'!Z37="","",IFERROR(MAX(0,MIN(10,ROUND(IF('Council Entry'!Z$7="Decrease Risk",10-10*((IF('Council Entry'!Z$4="Logarithm",LN(0.001+IF(AND(ISNUMBER('Council Entry'!Z$8),ISNUMBER('Council Entry'!Z$9)),MAX(MIN('Council Entry'!Z37,'Council Entry'!Z$9),'Council Entry'!Z$8),'Council Entry'!Z37)),IF('Council Entry'!Z$4="Exponential",EXP(IF(AND(ISNUMBER('Council Entry'!Z$8),ISNUMBER('Council Entry'!Z$9)),MAX(MIN('Council Entry'!Z37,'Council Entry'!Z$9),'Council Entry'!Z$8),'Council Entry'!Z37)),IF(AND(ISNUMBER('Council Entry'!Z$8),ISNUMBER('Council Entry'!Z$9)),MAX(MIN('Council Entry'!Z37,'Council Entry'!Z$9),'Council Entry'!Z$8),'Council Entry'!Z37))))-'Council Entry'!Z$5)/('Council Entry'!Z$6-'Council Entry'!Z$5),10*((IF('Council Entry'!Z$4="Logarithm",LN(0.001+IF(AND(ISNUMBER('Council Entry'!Z$8),ISNUMBER('Council Entry'!Z$9)),MAX(MIN('Council Entry'!Z37,'Council Entry'!Z$9),'Council Entry'!Z$8),'Council Entry'!Z37)),IF('Council Entry'!Z$4="Exponential",EXP(IF(AND(ISNUMBER('Council Entry'!Z$8),ISNUMBER('Council Entry'!Z$9)),MAX(MIN('Council Entry'!Z37,'Council Entry'!Z$9),'Council Entry'!Z$8),'Council Entry'!Z37)),IF(AND(ISNUMBER('Council Entry'!Z$8),ISNUMBER('Council Entry'!Z$9)),MAX(MIN('Council Entry'!Z37,'Council Entry'!Z$9),'Council Entry'!Z$8),'Council Entry'!Z37))))-'Council Entry'!Z$5)/('Council Entry'!Z$6-'Council Entry'!Z$5)),1))),"No data"))</f>
        <v/>
      </c>
      <c r="AA37" s="13">
        <f>IF('Council Entry'!AA37="","",IFERROR(MAX(0,MIN(10,ROUND(IF('Council Entry'!AA$7="Decrease Risk",10-10*((IF('Council Entry'!AA$4="Logarithm",LN(0.001+IF(AND(ISNUMBER('Council Entry'!AA$8),ISNUMBER('Council Entry'!AA$9)),MAX(MIN('Council Entry'!AA37,'Council Entry'!AA$9),'Council Entry'!AA$8),'Council Entry'!AA37)),IF('Council Entry'!AA$4="Exponential",EXP(IF(AND(ISNUMBER('Council Entry'!AA$8),ISNUMBER('Council Entry'!AA$9)),MAX(MIN('Council Entry'!AA37,'Council Entry'!AA$9),'Council Entry'!AA$8),'Council Entry'!AA37)),IF(AND(ISNUMBER('Council Entry'!AA$8),ISNUMBER('Council Entry'!AA$9)),MAX(MIN('Council Entry'!AA37,'Council Entry'!AA$9),'Council Entry'!AA$8),'Council Entry'!AA37))))-'Council Entry'!AA$5)/('Council Entry'!AA$6-'Council Entry'!AA$5),10*((IF('Council Entry'!AA$4="Logarithm",LN(0.001+IF(AND(ISNUMBER('Council Entry'!AA$8),ISNUMBER('Council Entry'!AA$9)),MAX(MIN('Council Entry'!AA37,'Council Entry'!AA$9),'Council Entry'!AA$8),'Council Entry'!AA37)),IF('Council Entry'!AA$4="Exponential",EXP(IF(AND(ISNUMBER('Council Entry'!AA$8),ISNUMBER('Council Entry'!AA$9)),MAX(MIN('Council Entry'!AA37,'Council Entry'!AA$9),'Council Entry'!AA$8),'Council Entry'!AA37)),IF(AND(ISNUMBER('Council Entry'!AA$8),ISNUMBER('Council Entry'!AA$9)),MAX(MIN('Council Entry'!AA37,'Council Entry'!AA$9),'Council Entry'!AA$8),'Council Entry'!AA37))))-'Council Entry'!AA$5)/('Council Entry'!AA$6-'Council Entry'!AA$5)),1))),"No data"))</f>
        <v/>
      </c>
      <c r="AB37" s="13">
        <f>IF('Council Entry'!AB37="","",IFERROR(MAX(0,MIN(10,ROUND(IF('Council Entry'!AB$7="Decrease Risk",10-10*((IF('Council Entry'!AB$4="Logarithm",LN(0.001+IF(AND(ISNUMBER('Council Entry'!AB$8),ISNUMBER('Council Entry'!AB$9)),MAX(MIN('Council Entry'!AB37,'Council Entry'!AB$9),'Council Entry'!AB$8),'Council Entry'!AB37)),IF('Council Entry'!AB$4="Exponential",EXP(IF(AND(ISNUMBER('Council Entry'!AB$8),ISNUMBER('Council Entry'!AB$9)),MAX(MIN('Council Entry'!AB37,'Council Entry'!AB$9),'Council Entry'!AB$8),'Council Entry'!AB37)),IF(AND(ISNUMBER('Council Entry'!AB$8),ISNUMBER('Council Entry'!AB$9)),MAX(MIN('Council Entry'!AB37,'Council Entry'!AB$9),'Council Entry'!AB$8),'Council Entry'!AB37))))-'Council Entry'!AB$5)/('Council Entry'!AB$6-'Council Entry'!AB$5),10*((IF('Council Entry'!AB$4="Logarithm",LN(0.001+IF(AND(ISNUMBER('Council Entry'!AB$8),ISNUMBER('Council Entry'!AB$9)),MAX(MIN('Council Entry'!AB37,'Council Entry'!AB$9),'Council Entry'!AB$8),'Council Entry'!AB37)),IF('Council Entry'!AB$4="Exponential",EXP(IF(AND(ISNUMBER('Council Entry'!AB$8),ISNUMBER('Council Entry'!AB$9)),MAX(MIN('Council Entry'!AB37,'Council Entry'!AB$9),'Council Entry'!AB$8),'Council Entry'!AB37)),IF(AND(ISNUMBER('Council Entry'!AB$8),ISNUMBER('Council Entry'!AB$9)),MAX(MIN('Council Entry'!AB37,'Council Entry'!AB$9),'Council Entry'!AB$8),'Council Entry'!AB37))))-'Council Entry'!AB$5)/('Council Entry'!AB$6-'Council Entry'!AB$5)),1))),"No data"))</f>
        <v/>
      </c>
      <c r="AC37" s="13">
        <f>IF('Council Entry'!AC37="","",IFERROR(MAX(0,MIN(10,ROUND(IF('Council Entry'!AC$7="Decrease Risk",10-10*((IF('Council Entry'!AC$4="Logarithm",LN(0.001+IF(AND(ISNUMBER('Council Entry'!AC$8),ISNUMBER('Council Entry'!AC$9)),MAX(MIN('Council Entry'!AC37,'Council Entry'!AC$9),'Council Entry'!AC$8),'Council Entry'!AC37)),IF('Council Entry'!AC$4="Exponential",EXP(IF(AND(ISNUMBER('Council Entry'!AC$8),ISNUMBER('Council Entry'!AC$9)),MAX(MIN('Council Entry'!AC37,'Council Entry'!AC$9),'Council Entry'!AC$8),'Council Entry'!AC37)),IF(AND(ISNUMBER('Council Entry'!AC$8),ISNUMBER('Council Entry'!AC$9)),MAX(MIN('Council Entry'!AC37,'Council Entry'!AC$9),'Council Entry'!AC$8),'Council Entry'!AC37))))-'Council Entry'!AC$5)/('Council Entry'!AC$6-'Council Entry'!AC$5),10*((IF('Council Entry'!AC$4="Logarithm",LN(0.001+IF(AND(ISNUMBER('Council Entry'!AC$8),ISNUMBER('Council Entry'!AC$9)),MAX(MIN('Council Entry'!AC37,'Council Entry'!AC$9),'Council Entry'!AC$8),'Council Entry'!AC37)),IF('Council Entry'!AC$4="Exponential",EXP(IF(AND(ISNUMBER('Council Entry'!AC$8),ISNUMBER('Council Entry'!AC$9)),MAX(MIN('Council Entry'!AC37,'Council Entry'!AC$9),'Council Entry'!AC$8),'Council Entry'!AC37)),IF(AND(ISNUMBER('Council Entry'!AC$8),ISNUMBER('Council Entry'!AC$9)),MAX(MIN('Council Entry'!AC37,'Council Entry'!AC$9),'Council Entry'!AC$8),'Council Entry'!AC37))))-'Council Entry'!AC$5)/('Council Entry'!AC$6-'Council Entry'!AC$5)),1))),"No data"))</f>
        <v/>
      </c>
      <c r="AD37" s="13">
        <f>IF('Council Entry'!AD37="","",IFERROR(MAX(0,MIN(10,ROUND(IF('Council Entry'!AD$7="Decrease Risk",10-10*((IF('Council Entry'!AD$4="Logarithm",LN(0.001+IF(AND(ISNUMBER('Council Entry'!AD$8),ISNUMBER('Council Entry'!AD$9)),MAX(MIN('Council Entry'!AD37,'Council Entry'!AD$9),'Council Entry'!AD$8),'Council Entry'!AD37)),IF('Council Entry'!AD$4="Exponential",EXP(IF(AND(ISNUMBER('Council Entry'!AD$8),ISNUMBER('Council Entry'!AD$9)),MAX(MIN('Council Entry'!AD37,'Council Entry'!AD$9),'Council Entry'!AD$8),'Council Entry'!AD37)),IF(AND(ISNUMBER('Council Entry'!AD$8),ISNUMBER('Council Entry'!AD$9)),MAX(MIN('Council Entry'!AD37,'Council Entry'!AD$9),'Council Entry'!AD$8),'Council Entry'!AD37))))-'Council Entry'!AD$5)/('Council Entry'!AD$6-'Council Entry'!AD$5),10*((IF('Council Entry'!AD$4="Logarithm",LN(0.001+IF(AND(ISNUMBER('Council Entry'!AD$8),ISNUMBER('Council Entry'!AD$9)),MAX(MIN('Council Entry'!AD37,'Council Entry'!AD$9),'Council Entry'!AD$8),'Council Entry'!AD37)),IF('Council Entry'!AD$4="Exponential",EXP(IF(AND(ISNUMBER('Council Entry'!AD$8),ISNUMBER('Council Entry'!AD$9)),MAX(MIN('Council Entry'!AD37,'Council Entry'!AD$9),'Council Entry'!AD$8),'Council Entry'!AD37)),IF(AND(ISNUMBER('Council Entry'!AD$8),ISNUMBER('Council Entry'!AD$9)),MAX(MIN('Council Entry'!AD37,'Council Entry'!AD$9),'Council Entry'!AD$8),'Council Entry'!AD37))))-'Council Entry'!AD$5)/('Council Entry'!AD$6-'Council Entry'!AD$5)),1))),"No data"))</f>
        <v/>
      </c>
      <c r="AE37" s="13">
        <f>IF('Council Entry'!AE37="","",IFERROR(MAX(0,MIN(10,ROUND(IF('Council Entry'!AE$7="Decrease Risk",10-10*((IF('Council Entry'!AE$4="Logarithm",LN(0.001+IF(AND(ISNUMBER('Council Entry'!AE$8),ISNUMBER('Council Entry'!AE$9)),MAX(MIN('Council Entry'!AE37,'Council Entry'!AE$9),'Council Entry'!AE$8),'Council Entry'!AE37)),IF('Council Entry'!AE$4="Exponential",EXP(IF(AND(ISNUMBER('Council Entry'!AE$8),ISNUMBER('Council Entry'!AE$9)),MAX(MIN('Council Entry'!AE37,'Council Entry'!AE$9),'Council Entry'!AE$8),'Council Entry'!AE37)),IF(AND(ISNUMBER('Council Entry'!AE$8),ISNUMBER('Council Entry'!AE$9)),MAX(MIN('Council Entry'!AE37,'Council Entry'!AE$9),'Council Entry'!AE$8),'Council Entry'!AE37))))-'Council Entry'!AE$5)/('Council Entry'!AE$6-'Council Entry'!AE$5),10*((IF('Council Entry'!AE$4="Logarithm",LN(0.001+IF(AND(ISNUMBER('Council Entry'!AE$8),ISNUMBER('Council Entry'!AE$9)),MAX(MIN('Council Entry'!AE37,'Council Entry'!AE$9),'Council Entry'!AE$8),'Council Entry'!AE37)),IF('Council Entry'!AE$4="Exponential",EXP(IF(AND(ISNUMBER('Council Entry'!AE$8),ISNUMBER('Council Entry'!AE$9)),MAX(MIN('Council Entry'!AE37,'Council Entry'!AE$9),'Council Entry'!AE$8),'Council Entry'!AE37)),IF(AND(ISNUMBER('Council Entry'!AE$8),ISNUMBER('Council Entry'!AE$9)),MAX(MIN('Council Entry'!AE37,'Council Entry'!AE$9),'Council Entry'!AE$8),'Council Entry'!AE37))))-'Council Entry'!AE$5)/('Council Entry'!AE$6-'Council Entry'!AE$5)),1))),"No data"))</f>
        <v/>
      </c>
      <c r="AF37" s="13">
        <f>IF('Council Entry'!AF37="","",IFERROR(MAX(0,MIN(10,ROUND(IF('Council Entry'!AF$7="Decrease Risk",10-10*((IF('Council Entry'!AF$4="Logarithm",LN(0.001+IF(AND(ISNUMBER('Council Entry'!AF$8),ISNUMBER('Council Entry'!AF$9)),MAX(MIN('Council Entry'!AF37,'Council Entry'!AF$9),'Council Entry'!AF$8),'Council Entry'!AF37)),IF('Council Entry'!AF$4="Exponential",EXP(IF(AND(ISNUMBER('Council Entry'!AF$8),ISNUMBER('Council Entry'!AF$9)),MAX(MIN('Council Entry'!AF37,'Council Entry'!AF$9),'Council Entry'!AF$8),'Council Entry'!AF37)),IF(AND(ISNUMBER('Council Entry'!AF$8),ISNUMBER('Council Entry'!AF$9)),MAX(MIN('Council Entry'!AF37,'Council Entry'!AF$9),'Council Entry'!AF$8),'Council Entry'!AF37))))-'Council Entry'!AF$5)/('Council Entry'!AF$6-'Council Entry'!AF$5),10*((IF('Council Entry'!AF$4="Logarithm",LN(0.001+IF(AND(ISNUMBER('Council Entry'!AF$8),ISNUMBER('Council Entry'!AF$9)),MAX(MIN('Council Entry'!AF37,'Council Entry'!AF$9),'Council Entry'!AF$8),'Council Entry'!AF37)),IF('Council Entry'!AF$4="Exponential",EXP(IF(AND(ISNUMBER('Council Entry'!AF$8),ISNUMBER('Council Entry'!AF$9)),MAX(MIN('Council Entry'!AF37,'Council Entry'!AF$9),'Council Entry'!AF$8),'Council Entry'!AF37)),IF(AND(ISNUMBER('Council Entry'!AF$8),ISNUMBER('Council Entry'!AF$9)),MAX(MIN('Council Entry'!AF37,'Council Entry'!AF$9),'Council Entry'!AF$8),'Council Entry'!AF37))))-'Council Entry'!AF$5)/('Council Entry'!AF$6-'Council Entry'!AF$5)),1))),"No data"))</f>
        <v/>
      </c>
      <c r="AG37" s="13">
        <f>IF('Council Entry'!AG37="","",IFERROR(MAX(0,MIN(10,ROUND(IF('Council Entry'!AG$7="Decrease Risk",10-10*((IF('Council Entry'!AG$4="Logarithm",LN(0.001+IF(AND(ISNUMBER('Council Entry'!AG$8),ISNUMBER('Council Entry'!AG$9)),MAX(MIN('Council Entry'!AG37,'Council Entry'!AG$9),'Council Entry'!AG$8),'Council Entry'!AG37)),IF('Council Entry'!AG$4="Exponential",EXP(IF(AND(ISNUMBER('Council Entry'!AG$8),ISNUMBER('Council Entry'!AG$9)),MAX(MIN('Council Entry'!AG37,'Council Entry'!AG$9),'Council Entry'!AG$8),'Council Entry'!AG37)),IF(AND(ISNUMBER('Council Entry'!AG$8),ISNUMBER('Council Entry'!AG$9)),MAX(MIN('Council Entry'!AG37,'Council Entry'!AG$9),'Council Entry'!AG$8),'Council Entry'!AG37))))-'Council Entry'!AG$5)/('Council Entry'!AG$6-'Council Entry'!AG$5),10*((IF('Council Entry'!AG$4="Logarithm",LN(0.001+IF(AND(ISNUMBER('Council Entry'!AG$8),ISNUMBER('Council Entry'!AG$9)),MAX(MIN('Council Entry'!AG37,'Council Entry'!AG$9),'Council Entry'!AG$8),'Council Entry'!AG37)),IF('Council Entry'!AG$4="Exponential",EXP(IF(AND(ISNUMBER('Council Entry'!AG$8),ISNUMBER('Council Entry'!AG$9)),MAX(MIN('Council Entry'!AG37,'Council Entry'!AG$9),'Council Entry'!AG$8),'Council Entry'!AG37)),IF(AND(ISNUMBER('Council Entry'!AG$8),ISNUMBER('Council Entry'!AG$9)),MAX(MIN('Council Entry'!AG37,'Council Entry'!AG$9),'Council Entry'!AG$8),'Council Entry'!AG37))))-'Council Entry'!AG$5)/('Council Entry'!AG$6-'Council Entry'!AG$5)),1))),"No data"))</f>
        <v/>
      </c>
      <c r="AH37" s="13">
        <f>IF('Council Entry'!AH37="","",IFERROR(MAX(0,MIN(10,ROUND(IF('Council Entry'!AH$7="Decrease Risk",10-10*((IF('Council Entry'!AH$4="Logarithm",LN(0.001+IF(AND(ISNUMBER('Council Entry'!AH$8),ISNUMBER('Council Entry'!AH$9)),MAX(MIN('Council Entry'!AH37,'Council Entry'!AH$9),'Council Entry'!AH$8),'Council Entry'!AH37)),IF('Council Entry'!AH$4="Exponential",EXP(IF(AND(ISNUMBER('Council Entry'!AH$8),ISNUMBER('Council Entry'!AH$9)),MAX(MIN('Council Entry'!AH37,'Council Entry'!AH$9),'Council Entry'!AH$8),'Council Entry'!AH37)),IF(AND(ISNUMBER('Council Entry'!AH$8),ISNUMBER('Council Entry'!AH$9)),MAX(MIN('Council Entry'!AH37,'Council Entry'!AH$9),'Council Entry'!AH$8),'Council Entry'!AH37))))-'Council Entry'!AH$5)/('Council Entry'!AH$6-'Council Entry'!AH$5),10*((IF('Council Entry'!AH$4="Logarithm",LN(0.001+IF(AND(ISNUMBER('Council Entry'!AH$8),ISNUMBER('Council Entry'!AH$9)),MAX(MIN('Council Entry'!AH37,'Council Entry'!AH$9),'Council Entry'!AH$8),'Council Entry'!AH37)),IF('Council Entry'!AH$4="Exponential",EXP(IF(AND(ISNUMBER('Council Entry'!AH$8),ISNUMBER('Council Entry'!AH$9)),MAX(MIN('Council Entry'!AH37,'Council Entry'!AH$9),'Council Entry'!AH$8),'Council Entry'!AH37)),IF(AND(ISNUMBER('Council Entry'!AH$8),ISNUMBER('Council Entry'!AH$9)),MAX(MIN('Council Entry'!AH37,'Council Entry'!AH$9),'Council Entry'!AH$8),'Council Entry'!AH37))))-'Council Entry'!AH$5)/('Council Entry'!AH$6-'Council Entry'!AH$5)),1))),"No data"))</f>
        <v/>
      </c>
      <c r="AI37" s="13">
        <f>IF('Council Entry'!AI37="","",IFERROR(MAX(0,MIN(10,ROUND(IF('Council Entry'!AI$7="Decrease Risk",10-10*((IF('Council Entry'!AI$4="Logarithm",LN(0.001+IF(AND(ISNUMBER('Council Entry'!AI$8),ISNUMBER('Council Entry'!AI$9)),MAX(MIN('Council Entry'!AI37,'Council Entry'!AI$9),'Council Entry'!AI$8),'Council Entry'!AI37)),IF('Council Entry'!AI$4="Exponential",EXP(IF(AND(ISNUMBER('Council Entry'!AI$8),ISNUMBER('Council Entry'!AI$9)),MAX(MIN('Council Entry'!AI37,'Council Entry'!AI$9),'Council Entry'!AI$8),'Council Entry'!AI37)),IF(AND(ISNUMBER('Council Entry'!AI$8),ISNUMBER('Council Entry'!AI$9)),MAX(MIN('Council Entry'!AI37,'Council Entry'!AI$9),'Council Entry'!AI$8),'Council Entry'!AI37))))-'Council Entry'!AI$5)/('Council Entry'!AI$6-'Council Entry'!AI$5),10*((IF('Council Entry'!AI$4="Logarithm",LN(0.001+IF(AND(ISNUMBER('Council Entry'!AI$8),ISNUMBER('Council Entry'!AI$9)),MAX(MIN('Council Entry'!AI37,'Council Entry'!AI$9),'Council Entry'!AI$8),'Council Entry'!AI37)),IF('Council Entry'!AI$4="Exponential",EXP(IF(AND(ISNUMBER('Council Entry'!AI$8),ISNUMBER('Council Entry'!AI$9)),MAX(MIN('Council Entry'!AI37,'Council Entry'!AI$9),'Council Entry'!AI$8),'Council Entry'!AI37)),IF(AND(ISNUMBER('Council Entry'!AI$8),ISNUMBER('Council Entry'!AI$9)),MAX(MIN('Council Entry'!AI37,'Council Entry'!AI$9),'Council Entry'!AI$8),'Council Entry'!AI37))))-'Council Entry'!AI$5)/('Council Entry'!AI$6-'Council Entry'!AI$5)),1))),"No data"))</f>
        <v/>
      </c>
      <c r="AJ37" s="13">
        <f>IF('Council Entry'!AJ37="","",IFERROR(MAX(0,MIN(10,ROUND(IF('Council Entry'!AJ$7="Decrease Risk",10-10*((IF('Council Entry'!AJ$4="Logarithm",LN(0.001+IF(AND(ISNUMBER('Council Entry'!AJ$8),ISNUMBER('Council Entry'!AJ$9)),MAX(MIN('Council Entry'!AJ37,'Council Entry'!AJ$9),'Council Entry'!AJ$8),'Council Entry'!AJ37)),IF('Council Entry'!AJ$4="Exponential",EXP(IF(AND(ISNUMBER('Council Entry'!AJ$8),ISNUMBER('Council Entry'!AJ$9)),MAX(MIN('Council Entry'!AJ37,'Council Entry'!AJ$9),'Council Entry'!AJ$8),'Council Entry'!AJ37)),IF(AND(ISNUMBER('Council Entry'!AJ$8),ISNUMBER('Council Entry'!AJ$9)),MAX(MIN('Council Entry'!AJ37,'Council Entry'!AJ$9),'Council Entry'!AJ$8),'Council Entry'!AJ37))))-'Council Entry'!AJ$5)/('Council Entry'!AJ$6-'Council Entry'!AJ$5),10*((IF('Council Entry'!AJ$4="Logarithm",LN(0.001+IF(AND(ISNUMBER('Council Entry'!AJ$8),ISNUMBER('Council Entry'!AJ$9)),MAX(MIN('Council Entry'!AJ37,'Council Entry'!AJ$9),'Council Entry'!AJ$8),'Council Entry'!AJ37)),IF('Council Entry'!AJ$4="Exponential",EXP(IF(AND(ISNUMBER('Council Entry'!AJ$8),ISNUMBER('Council Entry'!AJ$9)),MAX(MIN('Council Entry'!AJ37,'Council Entry'!AJ$9),'Council Entry'!AJ$8),'Council Entry'!AJ37)),IF(AND(ISNUMBER('Council Entry'!AJ$8),ISNUMBER('Council Entry'!AJ$9)),MAX(MIN('Council Entry'!AJ37,'Council Entry'!AJ$9),'Council Entry'!AJ$8),'Council Entry'!AJ37))))-'Council Entry'!AJ$5)/('Council Entry'!AJ$6-'Council Entry'!AJ$5)),1))),"No data"))</f>
        <v/>
      </c>
      <c r="AK37" s="13">
        <f>IF('Council Entry'!AK37="","",IFERROR(MAX(0,MIN(10,ROUND(IF('Council Entry'!AK$7="Decrease Risk",10-10*((IF('Council Entry'!AK$4="Logarithm",LN(0.001+IF(AND(ISNUMBER('Council Entry'!AK$8),ISNUMBER('Council Entry'!AK$9)),MAX(MIN('Council Entry'!AK37,'Council Entry'!AK$9),'Council Entry'!AK$8),'Council Entry'!AK37)),IF('Council Entry'!AK$4="Exponential",EXP(IF(AND(ISNUMBER('Council Entry'!AK$8),ISNUMBER('Council Entry'!AK$9)),MAX(MIN('Council Entry'!AK37,'Council Entry'!AK$9),'Council Entry'!AK$8),'Council Entry'!AK37)),IF(AND(ISNUMBER('Council Entry'!AK$8),ISNUMBER('Council Entry'!AK$9)),MAX(MIN('Council Entry'!AK37,'Council Entry'!AK$9),'Council Entry'!AK$8),'Council Entry'!AK37))))-'Council Entry'!AK$5)/('Council Entry'!AK$6-'Council Entry'!AK$5),10*((IF('Council Entry'!AK$4="Logarithm",LN(0.001+IF(AND(ISNUMBER('Council Entry'!AK$8),ISNUMBER('Council Entry'!AK$9)),MAX(MIN('Council Entry'!AK37,'Council Entry'!AK$9),'Council Entry'!AK$8),'Council Entry'!AK37)),IF('Council Entry'!AK$4="Exponential",EXP(IF(AND(ISNUMBER('Council Entry'!AK$8),ISNUMBER('Council Entry'!AK$9)),MAX(MIN('Council Entry'!AK37,'Council Entry'!AK$9),'Council Entry'!AK$8),'Council Entry'!AK37)),IF(AND(ISNUMBER('Council Entry'!AK$8),ISNUMBER('Council Entry'!AK$9)),MAX(MIN('Council Entry'!AK37,'Council Entry'!AK$9),'Council Entry'!AK$8),'Council Entry'!AK37))))-'Council Entry'!AK$5)/('Council Entry'!AK$6-'Council Entry'!AK$5)),1))),"No data"))</f>
        <v/>
      </c>
      <c r="AL37" s="13">
        <f>IF('Council Entry'!AL37="","",IFERROR(MAX(0,MIN(10,ROUND(IF('Council Entry'!AL$7="Decrease Risk",10-10*((IF('Council Entry'!AL$4="Logarithm",LN(0.001+IF(AND(ISNUMBER('Council Entry'!AL$8),ISNUMBER('Council Entry'!AL$9)),MAX(MIN('Council Entry'!AL37,'Council Entry'!AL$9),'Council Entry'!AL$8),'Council Entry'!AL37)),IF('Council Entry'!AL$4="Exponential",EXP(IF(AND(ISNUMBER('Council Entry'!AL$8),ISNUMBER('Council Entry'!AL$9)),MAX(MIN('Council Entry'!AL37,'Council Entry'!AL$9),'Council Entry'!AL$8),'Council Entry'!AL37)),IF(AND(ISNUMBER('Council Entry'!AL$8),ISNUMBER('Council Entry'!AL$9)),MAX(MIN('Council Entry'!AL37,'Council Entry'!AL$9),'Council Entry'!AL$8),'Council Entry'!AL37))))-'Council Entry'!AL$5)/('Council Entry'!AL$6-'Council Entry'!AL$5),10*((IF('Council Entry'!AL$4="Logarithm",LN(0.001+IF(AND(ISNUMBER('Council Entry'!AL$8),ISNUMBER('Council Entry'!AL$9)),MAX(MIN('Council Entry'!AL37,'Council Entry'!AL$9),'Council Entry'!AL$8),'Council Entry'!AL37)),IF('Council Entry'!AL$4="Exponential",EXP(IF(AND(ISNUMBER('Council Entry'!AL$8),ISNUMBER('Council Entry'!AL$9)),MAX(MIN('Council Entry'!AL37,'Council Entry'!AL$9),'Council Entry'!AL$8),'Council Entry'!AL37)),IF(AND(ISNUMBER('Council Entry'!AL$8),ISNUMBER('Council Entry'!AL$9)),MAX(MIN('Council Entry'!AL37,'Council Entry'!AL$9),'Council Entry'!AL$8),'Council Entry'!AL37))))-'Council Entry'!AL$5)/('Council Entry'!AL$6-'Council Entry'!AL$5)),1))),"No data"))</f>
        <v/>
      </c>
      <c r="AM37" s="13">
        <f>IF('Council Entry'!AM37="","",IFERROR(MAX(0,MIN(10,ROUND(IF('Council Entry'!AM$7="Decrease Risk",10-10*((IF('Council Entry'!AM$4="Logarithm",LN(0.001+IF(AND(ISNUMBER('Council Entry'!AM$8),ISNUMBER('Council Entry'!AM$9)),MAX(MIN('Council Entry'!AM37,'Council Entry'!AM$9),'Council Entry'!AM$8),'Council Entry'!AM37)),IF('Council Entry'!AM$4="Exponential",EXP(IF(AND(ISNUMBER('Council Entry'!AM$8),ISNUMBER('Council Entry'!AM$9)),MAX(MIN('Council Entry'!AM37,'Council Entry'!AM$9),'Council Entry'!AM$8),'Council Entry'!AM37)),IF(AND(ISNUMBER('Council Entry'!AM$8),ISNUMBER('Council Entry'!AM$9)),MAX(MIN('Council Entry'!AM37,'Council Entry'!AM$9),'Council Entry'!AM$8),'Council Entry'!AM37))))-'Council Entry'!AM$5)/('Council Entry'!AM$6-'Council Entry'!AM$5),10*((IF('Council Entry'!AM$4="Logarithm",LN(0.001+IF(AND(ISNUMBER('Council Entry'!AM$8),ISNUMBER('Council Entry'!AM$9)),MAX(MIN('Council Entry'!AM37,'Council Entry'!AM$9),'Council Entry'!AM$8),'Council Entry'!AM37)),IF('Council Entry'!AM$4="Exponential",EXP(IF(AND(ISNUMBER('Council Entry'!AM$8),ISNUMBER('Council Entry'!AM$9)),MAX(MIN('Council Entry'!AM37,'Council Entry'!AM$9),'Council Entry'!AM$8),'Council Entry'!AM37)),IF(AND(ISNUMBER('Council Entry'!AM$8),ISNUMBER('Council Entry'!AM$9)),MAX(MIN('Council Entry'!AM37,'Council Entry'!AM$9),'Council Entry'!AM$8),'Council Entry'!AM37))))-'Council Entry'!AM$5)/('Council Entry'!AM$6-'Council Entry'!AM$5)),1))),"No data"))</f>
        <v/>
      </c>
      <c r="AN37" s="13">
        <f>IF('Council Entry'!AN37="","",IFERROR(MAX(0,MIN(10,ROUND(IF('Council Entry'!AN$7="Decrease Risk",10-10*((IF('Council Entry'!AN$4="Logarithm",LN(0.001+IF(AND(ISNUMBER('Council Entry'!AN$8),ISNUMBER('Council Entry'!AN$9)),MAX(MIN('Council Entry'!AN37,'Council Entry'!AN$9),'Council Entry'!AN$8),'Council Entry'!AN37)),IF('Council Entry'!AN$4="Exponential",EXP(IF(AND(ISNUMBER('Council Entry'!AN$8),ISNUMBER('Council Entry'!AN$9)),MAX(MIN('Council Entry'!AN37,'Council Entry'!AN$9),'Council Entry'!AN$8),'Council Entry'!AN37)),IF(AND(ISNUMBER('Council Entry'!AN$8),ISNUMBER('Council Entry'!AN$9)),MAX(MIN('Council Entry'!AN37,'Council Entry'!AN$9),'Council Entry'!AN$8),'Council Entry'!AN37))))-'Council Entry'!AN$5)/('Council Entry'!AN$6-'Council Entry'!AN$5),10*((IF('Council Entry'!AN$4="Logarithm",LN(0.001+IF(AND(ISNUMBER('Council Entry'!AN$8),ISNUMBER('Council Entry'!AN$9)),MAX(MIN('Council Entry'!AN37,'Council Entry'!AN$9),'Council Entry'!AN$8),'Council Entry'!AN37)),IF('Council Entry'!AN$4="Exponential",EXP(IF(AND(ISNUMBER('Council Entry'!AN$8),ISNUMBER('Council Entry'!AN$9)),MAX(MIN('Council Entry'!AN37,'Council Entry'!AN$9),'Council Entry'!AN$8),'Council Entry'!AN37)),IF(AND(ISNUMBER('Council Entry'!AN$8),ISNUMBER('Council Entry'!AN$9)),MAX(MIN('Council Entry'!AN37,'Council Entry'!AN$9),'Council Entry'!AN$8),'Council Entry'!AN37))))-'Council Entry'!AN$5)/('Council Entry'!AN$6-'Council Entry'!AN$5)),1))),"No data"))</f>
        <v/>
      </c>
      <c r="AO37" s="13">
        <f>IF('Council Entry'!AO37="","",IFERROR(MAX(0,MIN(10,ROUND(IF('Council Entry'!AO$7="Decrease Risk",10-10*((IF('Council Entry'!AO$4="Logarithm",LN(0.001+IF(AND(ISNUMBER('Council Entry'!AO$8),ISNUMBER('Council Entry'!AO$9)),MAX(MIN('Council Entry'!AO37,'Council Entry'!AO$9),'Council Entry'!AO$8),'Council Entry'!AO37)),IF('Council Entry'!AO$4="Exponential",EXP(IF(AND(ISNUMBER('Council Entry'!AO$8),ISNUMBER('Council Entry'!AO$9)),MAX(MIN('Council Entry'!AO37,'Council Entry'!AO$9),'Council Entry'!AO$8),'Council Entry'!AO37)),IF(AND(ISNUMBER('Council Entry'!AO$8),ISNUMBER('Council Entry'!AO$9)),MAX(MIN('Council Entry'!AO37,'Council Entry'!AO$9),'Council Entry'!AO$8),'Council Entry'!AO37))))-'Council Entry'!AO$5)/('Council Entry'!AO$6-'Council Entry'!AO$5),10*((IF('Council Entry'!AO$4="Logarithm",LN(0.001+IF(AND(ISNUMBER('Council Entry'!AO$8),ISNUMBER('Council Entry'!AO$9)),MAX(MIN('Council Entry'!AO37,'Council Entry'!AO$9),'Council Entry'!AO$8),'Council Entry'!AO37)),IF('Council Entry'!AO$4="Exponential",EXP(IF(AND(ISNUMBER('Council Entry'!AO$8),ISNUMBER('Council Entry'!AO$9)),MAX(MIN('Council Entry'!AO37,'Council Entry'!AO$9),'Council Entry'!AO$8),'Council Entry'!AO37)),IF(AND(ISNUMBER('Council Entry'!AO$8),ISNUMBER('Council Entry'!AO$9)),MAX(MIN('Council Entry'!AO37,'Council Entry'!AO$9),'Council Entry'!AO$8),'Council Entry'!AO37))))-'Council Entry'!AO$5)/('Council Entry'!AO$6-'Council Entry'!AO$5)),1))),"No data"))</f>
        <v/>
      </c>
      <c r="AP37" s="13">
        <f>IF('Council Entry'!AP37="","",IFERROR(MAX(0,MIN(10,ROUND(IF('Council Entry'!AP$7="Decrease Risk",10-10*((IF('Council Entry'!AP$4="Logarithm",LN(0.001+IF(AND(ISNUMBER('Council Entry'!AP$8),ISNUMBER('Council Entry'!AP$9)),MAX(MIN('Council Entry'!AP37,'Council Entry'!AP$9),'Council Entry'!AP$8),'Council Entry'!AP37)),IF('Council Entry'!AP$4="Exponential",EXP(IF(AND(ISNUMBER('Council Entry'!AP$8),ISNUMBER('Council Entry'!AP$9)),MAX(MIN('Council Entry'!AP37,'Council Entry'!AP$9),'Council Entry'!AP$8),'Council Entry'!AP37)),IF(AND(ISNUMBER('Council Entry'!AP$8),ISNUMBER('Council Entry'!AP$9)),MAX(MIN('Council Entry'!AP37,'Council Entry'!AP$9),'Council Entry'!AP$8),'Council Entry'!AP37))))-'Council Entry'!AP$5)/('Council Entry'!AP$6-'Council Entry'!AP$5),10*((IF('Council Entry'!AP$4="Logarithm",LN(0.001+IF(AND(ISNUMBER('Council Entry'!AP$8),ISNUMBER('Council Entry'!AP$9)),MAX(MIN('Council Entry'!AP37,'Council Entry'!AP$9),'Council Entry'!AP$8),'Council Entry'!AP37)),IF('Council Entry'!AP$4="Exponential",EXP(IF(AND(ISNUMBER('Council Entry'!AP$8),ISNUMBER('Council Entry'!AP$9)),MAX(MIN('Council Entry'!AP37,'Council Entry'!AP$9),'Council Entry'!AP$8),'Council Entry'!AP37)),IF(AND(ISNUMBER('Council Entry'!AP$8),ISNUMBER('Council Entry'!AP$9)),MAX(MIN('Council Entry'!AP37,'Council Entry'!AP$9),'Council Entry'!AP$8),'Council Entry'!AP37))))-'Council Entry'!AP$5)/('Council Entry'!AP$6-'Council Entry'!AP$5)),1))),"No data"))</f>
        <v/>
      </c>
      <c r="AQ37" s="13">
        <f>IF('Council Entry'!AQ37="","",IFERROR(MAX(0,MIN(10,ROUND(IF('Council Entry'!AQ$7="Decrease Risk",10-10*((IF('Council Entry'!AQ$4="Logarithm",LN(0.001+IF(AND(ISNUMBER('Council Entry'!AQ$8),ISNUMBER('Council Entry'!AQ$9)),MAX(MIN('Council Entry'!AQ37,'Council Entry'!AQ$9),'Council Entry'!AQ$8),'Council Entry'!AQ37)),IF('Council Entry'!AQ$4="Exponential",EXP(IF(AND(ISNUMBER('Council Entry'!AQ$8),ISNUMBER('Council Entry'!AQ$9)),MAX(MIN('Council Entry'!AQ37,'Council Entry'!AQ$9),'Council Entry'!AQ$8),'Council Entry'!AQ37)),IF(AND(ISNUMBER('Council Entry'!AQ$8),ISNUMBER('Council Entry'!AQ$9)),MAX(MIN('Council Entry'!AQ37,'Council Entry'!AQ$9),'Council Entry'!AQ$8),'Council Entry'!AQ37))))-'Council Entry'!AQ$5)/('Council Entry'!AQ$6-'Council Entry'!AQ$5),10*((IF('Council Entry'!AQ$4="Logarithm",LN(0.001+IF(AND(ISNUMBER('Council Entry'!AQ$8),ISNUMBER('Council Entry'!AQ$9)),MAX(MIN('Council Entry'!AQ37,'Council Entry'!AQ$9),'Council Entry'!AQ$8),'Council Entry'!AQ37)),IF('Council Entry'!AQ$4="Exponential",EXP(IF(AND(ISNUMBER('Council Entry'!AQ$8),ISNUMBER('Council Entry'!AQ$9)),MAX(MIN('Council Entry'!AQ37,'Council Entry'!AQ$9),'Council Entry'!AQ$8),'Council Entry'!AQ37)),IF(AND(ISNUMBER('Council Entry'!AQ$8),ISNUMBER('Council Entry'!AQ$9)),MAX(MIN('Council Entry'!AQ37,'Council Entry'!AQ$9),'Council Entry'!AQ$8),'Council Entry'!AQ37))))-'Council Entry'!AQ$5)/('Council Entry'!AQ$6-'Council Entry'!AQ$5)),1))),"No data"))</f>
        <v/>
      </c>
      <c r="AR37" s="13">
        <f>IF('Council Entry'!AR37="","",IFERROR(MAX(0,MIN(10,ROUND(IF('Council Entry'!AR$7="Decrease Risk",10-10*((IF('Council Entry'!AR$4="Logarithm",LN(0.001+IF(AND(ISNUMBER('Council Entry'!AR$8),ISNUMBER('Council Entry'!AR$9)),MAX(MIN('Council Entry'!AR37,'Council Entry'!AR$9),'Council Entry'!AR$8),'Council Entry'!AR37)),IF('Council Entry'!AR$4="Exponential",EXP(IF(AND(ISNUMBER('Council Entry'!AR$8),ISNUMBER('Council Entry'!AR$9)),MAX(MIN('Council Entry'!AR37,'Council Entry'!AR$9),'Council Entry'!AR$8),'Council Entry'!AR37)),IF(AND(ISNUMBER('Council Entry'!AR$8),ISNUMBER('Council Entry'!AR$9)),MAX(MIN('Council Entry'!AR37,'Council Entry'!AR$9),'Council Entry'!AR$8),'Council Entry'!AR37))))-'Council Entry'!AR$5)/('Council Entry'!AR$6-'Council Entry'!AR$5),10*((IF('Council Entry'!AR$4="Logarithm",LN(0.001+IF(AND(ISNUMBER('Council Entry'!AR$8),ISNUMBER('Council Entry'!AR$9)),MAX(MIN('Council Entry'!AR37,'Council Entry'!AR$9),'Council Entry'!AR$8),'Council Entry'!AR37)),IF('Council Entry'!AR$4="Exponential",EXP(IF(AND(ISNUMBER('Council Entry'!AR$8),ISNUMBER('Council Entry'!AR$9)),MAX(MIN('Council Entry'!AR37,'Council Entry'!AR$9),'Council Entry'!AR$8),'Council Entry'!AR37)),IF(AND(ISNUMBER('Council Entry'!AR$8),ISNUMBER('Council Entry'!AR$9)),MAX(MIN('Council Entry'!AR37,'Council Entry'!AR$9),'Council Entry'!AR$8),'Council Entry'!AR37))))-'Council Entry'!AR$5)/('Council Entry'!AR$6-'Council Entry'!AR$5)),1))),"No data"))</f>
        <v/>
      </c>
      <c r="AS37" s="13">
        <f>IF('Council Entry'!AS37="","",IFERROR(MAX(0,MIN(10,ROUND(IF('Council Entry'!AS$7="Decrease Risk",10-10*((IF('Council Entry'!AS$4="Logarithm",LN(0.001+IF(AND(ISNUMBER('Council Entry'!AS$8),ISNUMBER('Council Entry'!AS$9)),MAX(MIN('Council Entry'!AS37,'Council Entry'!AS$9),'Council Entry'!AS$8),'Council Entry'!AS37)),IF('Council Entry'!AS$4="Exponential",EXP(IF(AND(ISNUMBER('Council Entry'!AS$8),ISNUMBER('Council Entry'!AS$9)),MAX(MIN('Council Entry'!AS37,'Council Entry'!AS$9),'Council Entry'!AS$8),'Council Entry'!AS37)),IF(AND(ISNUMBER('Council Entry'!AS$8),ISNUMBER('Council Entry'!AS$9)),MAX(MIN('Council Entry'!AS37,'Council Entry'!AS$9),'Council Entry'!AS$8),'Council Entry'!AS37))))-'Council Entry'!AS$5)/('Council Entry'!AS$6-'Council Entry'!AS$5),10*((IF('Council Entry'!AS$4="Logarithm",LN(0.001+IF(AND(ISNUMBER('Council Entry'!AS$8),ISNUMBER('Council Entry'!AS$9)),MAX(MIN('Council Entry'!AS37,'Council Entry'!AS$9),'Council Entry'!AS$8),'Council Entry'!AS37)),IF('Council Entry'!AS$4="Exponential",EXP(IF(AND(ISNUMBER('Council Entry'!AS$8),ISNUMBER('Council Entry'!AS$9)),MAX(MIN('Council Entry'!AS37,'Council Entry'!AS$9),'Council Entry'!AS$8),'Council Entry'!AS37)),IF(AND(ISNUMBER('Council Entry'!AS$8),ISNUMBER('Council Entry'!AS$9)),MAX(MIN('Council Entry'!AS37,'Council Entry'!AS$9),'Council Entry'!AS$8),'Council Entry'!AS37))))-'Council Entry'!AS$5)/('Council Entry'!AS$6-'Council Entry'!AS$5)),1))),"No data"))</f>
        <v/>
      </c>
      <c r="AT37" s="13">
        <f>IF('Council Entry'!AT37="","",IFERROR(MAX(0,MIN(10,ROUND(IF('Council Entry'!AT$7="Decrease Risk",10-10*((IF('Council Entry'!AT$4="Logarithm",LN(0.001+IF(AND(ISNUMBER('Council Entry'!AT$8),ISNUMBER('Council Entry'!AT$9)),MAX(MIN('Council Entry'!AT37,'Council Entry'!AT$9),'Council Entry'!AT$8),'Council Entry'!AT37)),IF('Council Entry'!AT$4="Exponential",EXP(IF(AND(ISNUMBER('Council Entry'!AT$8),ISNUMBER('Council Entry'!AT$9)),MAX(MIN('Council Entry'!AT37,'Council Entry'!AT$9),'Council Entry'!AT$8),'Council Entry'!AT37)),IF(AND(ISNUMBER('Council Entry'!AT$8),ISNUMBER('Council Entry'!AT$9)),MAX(MIN('Council Entry'!AT37,'Council Entry'!AT$9),'Council Entry'!AT$8),'Council Entry'!AT37))))-'Council Entry'!AT$5)/('Council Entry'!AT$6-'Council Entry'!AT$5),10*((IF('Council Entry'!AT$4="Logarithm",LN(0.001+IF(AND(ISNUMBER('Council Entry'!AT$8),ISNUMBER('Council Entry'!AT$9)),MAX(MIN('Council Entry'!AT37,'Council Entry'!AT$9),'Council Entry'!AT$8),'Council Entry'!AT37)),IF('Council Entry'!AT$4="Exponential",EXP(IF(AND(ISNUMBER('Council Entry'!AT$8),ISNUMBER('Council Entry'!AT$9)),MAX(MIN('Council Entry'!AT37,'Council Entry'!AT$9),'Council Entry'!AT$8),'Council Entry'!AT37)),IF(AND(ISNUMBER('Council Entry'!AT$8),ISNUMBER('Council Entry'!AT$9)),MAX(MIN('Council Entry'!AT37,'Council Entry'!AT$9),'Council Entry'!AT$8),'Council Entry'!AT37))))-'Council Entry'!AT$5)/('Council Entry'!AT$6-'Council Entry'!AT$5)),1))),"No data"))</f>
        <v/>
      </c>
      <c r="AU37" s="13">
        <f>IF('Council Entry'!AU37="","",IFERROR(MAX(0,MIN(10,ROUND(IF('Council Entry'!AU$7="Decrease Risk",10-10*((IF('Council Entry'!AU$4="Logarithm",LN(0.001+IF(AND(ISNUMBER('Council Entry'!AU$8),ISNUMBER('Council Entry'!AU$9)),MAX(MIN('Council Entry'!AU37,'Council Entry'!AU$9),'Council Entry'!AU$8),'Council Entry'!AU37)),IF('Council Entry'!AU$4="Exponential",EXP(IF(AND(ISNUMBER('Council Entry'!AU$8),ISNUMBER('Council Entry'!AU$9)),MAX(MIN('Council Entry'!AU37,'Council Entry'!AU$9),'Council Entry'!AU$8),'Council Entry'!AU37)),IF(AND(ISNUMBER('Council Entry'!AU$8),ISNUMBER('Council Entry'!AU$9)),MAX(MIN('Council Entry'!AU37,'Council Entry'!AU$9),'Council Entry'!AU$8),'Council Entry'!AU37))))-'Council Entry'!AU$5)/('Council Entry'!AU$6-'Council Entry'!AU$5),10*((IF('Council Entry'!AU$4="Logarithm",LN(0.001+IF(AND(ISNUMBER('Council Entry'!AU$8),ISNUMBER('Council Entry'!AU$9)),MAX(MIN('Council Entry'!AU37,'Council Entry'!AU$9),'Council Entry'!AU$8),'Council Entry'!AU37)),IF('Council Entry'!AU$4="Exponential",EXP(IF(AND(ISNUMBER('Council Entry'!AU$8),ISNUMBER('Council Entry'!AU$9)),MAX(MIN('Council Entry'!AU37,'Council Entry'!AU$9),'Council Entry'!AU$8),'Council Entry'!AU37)),IF(AND(ISNUMBER('Council Entry'!AU$8),ISNUMBER('Council Entry'!AU$9)),MAX(MIN('Council Entry'!AU37,'Council Entry'!AU$9),'Council Entry'!AU$8),'Council Entry'!AU37))))-'Council Entry'!AU$5)/('Council Entry'!AU$6-'Council Entry'!AU$5)),1))),"No data"))</f>
        <v/>
      </c>
      <c r="AV37" s="13">
        <f>IF('Council Entry'!AV37="","",IFERROR(MAX(0,MIN(10,ROUND(IF('Council Entry'!AV$7="Decrease Risk",10-10*((IF('Council Entry'!AV$4="Logarithm",LN(0.001+IF(AND(ISNUMBER('Council Entry'!AV$8),ISNUMBER('Council Entry'!AV$9)),MAX(MIN('Council Entry'!AV37,'Council Entry'!AV$9),'Council Entry'!AV$8),'Council Entry'!AV37)),IF('Council Entry'!AV$4="Exponential",EXP(IF(AND(ISNUMBER('Council Entry'!AV$8),ISNUMBER('Council Entry'!AV$9)),MAX(MIN('Council Entry'!AV37,'Council Entry'!AV$9),'Council Entry'!AV$8),'Council Entry'!AV37)),IF(AND(ISNUMBER('Council Entry'!AV$8),ISNUMBER('Council Entry'!AV$9)),MAX(MIN('Council Entry'!AV37,'Council Entry'!AV$9),'Council Entry'!AV$8),'Council Entry'!AV37))))-'Council Entry'!AV$5)/('Council Entry'!AV$6-'Council Entry'!AV$5),10*((IF('Council Entry'!AV$4="Logarithm",LN(0.001+IF(AND(ISNUMBER('Council Entry'!AV$8),ISNUMBER('Council Entry'!AV$9)),MAX(MIN('Council Entry'!AV37,'Council Entry'!AV$9),'Council Entry'!AV$8),'Council Entry'!AV37)),IF('Council Entry'!AV$4="Exponential",EXP(IF(AND(ISNUMBER('Council Entry'!AV$8),ISNUMBER('Council Entry'!AV$9)),MAX(MIN('Council Entry'!AV37,'Council Entry'!AV$9),'Council Entry'!AV$8),'Council Entry'!AV37)),IF(AND(ISNUMBER('Council Entry'!AV$8),ISNUMBER('Council Entry'!AV$9)),MAX(MIN('Council Entry'!AV37,'Council Entry'!AV$9),'Council Entry'!AV$8),'Council Entry'!AV37))))-'Council Entry'!AV$5)/('Council Entry'!AV$6-'Council Entry'!AV$5)),1))),"No data"))</f>
        <v/>
      </c>
      <c r="AW37" s="13">
        <f>IF('Council Entry'!AW37="","",IFERROR(MAX(0,MIN(10,ROUND(IF('Council Entry'!AW$7="Decrease Risk",10-10*((IF('Council Entry'!AW$4="Logarithm",LN(0.001+IF(AND(ISNUMBER('Council Entry'!AW$8),ISNUMBER('Council Entry'!AW$9)),MAX(MIN('Council Entry'!AW37,'Council Entry'!AW$9),'Council Entry'!AW$8),'Council Entry'!AW37)),IF('Council Entry'!AW$4="Exponential",EXP(IF(AND(ISNUMBER('Council Entry'!AW$8),ISNUMBER('Council Entry'!AW$9)),MAX(MIN('Council Entry'!AW37,'Council Entry'!AW$9),'Council Entry'!AW$8),'Council Entry'!AW37)),IF(AND(ISNUMBER('Council Entry'!AW$8),ISNUMBER('Council Entry'!AW$9)),MAX(MIN('Council Entry'!AW37,'Council Entry'!AW$9),'Council Entry'!AW$8),'Council Entry'!AW37))))-'Council Entry'!AW$5)/('Council Entry'!AW$6-'Council Entry'!AW$5),10*((IF('Council Entry'!AW$4="Logarithm",LN(0.001+IF(AND(ISNUMBER('Council Entry'!AW$8),ISNUMBER('Council Entry'!AW$9)),MAX(MIN('Council Entry'!AW37,'Council Entry'!AW$9),'Council Entry'!AW$8),'Council Entry'!AW37)),IF('Council Entry'!AW$4="Exponential",EXP(IF(AND(ISNUMBER('Council Entry'!AW$8),ISNUMBER('Council Entry'!AW$9)),MAX(MIN('Council Entry'!AW37,'Council Entry'!AW$9),'Council Entry'!AW$8),'Council Entry'!AW37)),IF(AND(ISNUMBER('Council Entry'!AW$8),ISNUMBER('Council Entry'!AW$9)),MAX(MIN('Council Entry'!AW37,'Council Entry'!AW$9),'Council Entry'!AW$8),'Council Entry'!AW37))))-'Council Entry'!AW$5)/('Council Entry'!AW$6-'Council Entry'!AW$5)),1))),"No data"))</f>
        <v/>
      </c>
      <c r="AX37" s="13">
        <f>IF('Council Entry'!AX37="","",IFERROR(MAX(0,MIN(10,ROUND(IF('Council Entry'!AX$7="Decrease Risk",10-10*((IF('Council Entry'!AX$4="Logarithm",LN(0.001+IF(AND(ISNUMBER('Council Entry'!AX$8),ISNUMBER('Council Entry'!AX$9)),MAX(MIN('Council Entry'!AX37,'Council Entry'!AX$9),'Council Entry'!AX$8),'Council Entry'!AX37)),IF('Council Entry'!AX$4="Exponential",EXP(IF(AND(ISNUMBER('Council Entry'!AX$8),ISNUMBER('Council Entry'!AX$9)),MAX(MIN('Council Entry'!AX37,'Council Entry'!AX$9),'Council Entry'!AX$8),'Council Entry'!AX37)),IF(AND(ISNUMBER('Council Entry'!AX$8),ISNUMBER('Council Entry'!AX$9)),MAX(MIN('Council Entry'!AX37,'Council Entry'!AX$9),'Council Entry'!AX$8),'Council Entry'!AX37))))-'Council Entry'!AX$5)/('Council Entry'!AX$6-'Council Entry'!AX$5),10*((IF('Council Entry'!AX$4="Logarithm",LN(0.001+IF(AND(ISNUMBER('Council Entry'!AX$8),ISNUMBER('Council Entry'!AX$9)),MAX(MIN('Council Entry'!AX37,'Council Entry'!AX$9),'Council Entry'!AX$8),'Council Entry'!AX37)),IF('Council Entry'!AX$4="Exponential",EXP(IF(AND(ISNUMBER('Council Entry'!AX$8),ISNUMBER('Council Entry'!AX$9)),MAX(MIN('Council Entry'!AX37,'Council Entry'!AX$9),'Council Entry'!AX$8),'Council Entry'!AX37)),IF(AND(ISNUMBER('Council Entry'!AX$8),ISNUMBER('Council Entry'!AX$9)),MAX(MIN('Council Entry'!AX37,'Council Entry'!AX$9),'Council Entry'!AX$8),'Council Entry'!AX37))))-'Council Entry'!AX$5)/('Council Entry'!AX$6-'Council Entry'!AX$5)),1))),"No data"))</f>
        <v/>
      </c>
      <c r="AY37" s="13">
        <f>IF('Council Entry'!AY37="","",IFERROR(MAX(0,MIN(10,ROUND(IF('Council Entry'!AY$7="Decrease Risk",10-10*((IF('Council Entry'!AY$4="Logarithm",LN(0.001+IF(AND(ISNUMBER('Council Entry'!AY$8),ISNUMBER('Council Entry'!AY$9)),MAX(MIN('Council Entry'!AY37,'Council Entry'!AY$9),'Council Entry'!AY$8),'Council Entry'!AY37)),IF('Council Entry'!AY$4="Exponential",EXP(IF(AND(ISNUMBER('Council Entry'!AY$8),ISNUMBER('Council Entry'!AY$9)),MAX(MIN('Council Entry'!AY37,'Council Entry'!AY$9),'Council Entry'!AY$8),'Council Entry'!AY37)),IF(AND(ISNUMBER('Council Entry'!AY$8),ISNUMBER('Council Entry'!AY$9)),MAX(MIN('Council Entry'!AY37,'Council Entry'!AY$9),'Council Entry'!AY$8),'Council Entry'!AY37))))-'Council Entry'!AY$5)/('Council Entry'!AY$6-'Council Entry'!AY$5),10*((IF('Council Entry'!AY$4="Logarithm",LN(0.001+IF(AND(ISNUMBER('Council Entry'!AY$8),ISNUMBER('Council Entry'!AY$9)),MAX(MIN('Council Entry'!AY37,'Council Entry'!AY$9),'Council Entry'!AY$8),'Council Entry'!AY37)),IF('Council Entry'!AY$4="Exponential",EXP(IF(AND(ISNUMBER('Council Entry'!AY$8),ISNUMBER('Council Entry'!AY$9)),MAX(MIN('Council Entry'!AY37,'Council Entry'!AY$9),'Council Entry'!AY$8),'Council Entry'!AY37)),IF(AND(ISNUMBER('Council Entry'!AY$8),ISNUMBER('Council Entry'!AY$9)),MAX(MIN('Council Entry'!AY37,'Council Entry'!AY$9),'Council Entry'!AY$8),'Council Entry'!AY37))))-'Council Entry'!AY$5)/('Council Entry'!AY$6-'Council Entry'!AY$5)),1))),"No data"))</f>
        <v/>
      </c>
      <c r="AZ37" s="13">
        <f>IF('Council Entry'!AZ37="","",IFERROR(MAX(0,MIN(10,ROUND(IF('Council Entry'!AZ$7="Decrease Risk",10-10*((IF('Council Entry'!AZ$4="Logarithm",LN(0.001+IF(AND(ISNUMBER('Council Entry'!AZ$8),ISNUMBER('Council Entry'!AZ$9)),MAX(MIN('Council Entry'!AZ37,'Council Entry'!AZ$9),'Council Entry'!AZ$8),'Council Entry'!AZ37)),IF('Council Entry'!AZ$4="Exponential",EXP(IF(AND(ISNUMBER('Council Entry'!AZ$8),ISNUMBER('Council Entry'!AZ$9)),MAX(MIN('Council Entry'!AZ37,'Council Entry'!AZ$9),'Council Entry'!AZ$8),'Council Entry'!AZ37)),IF(AND(ISNUMBER('Council Entry'!AZ$8),ISNUMBER('Council Entry'!AZ$9)),MAX(MIN('Council Entry'!AZ37,'Council Entry'!AZ$9),'Council Entry'!AZ$8),'Council Entry'!AZ37))))-'Council Entry'!AZ$5)/('Council Entry'!AZ$6-'Council Entry'!AZ$5),10*((IF('Council Entry'!AZ$4="Logarithm",LN(0.001+IF(AND(ISNUMBER('Council Entry'!AZ$8),ISNUMBER('Council Entry'!AZ$9)),MAX(MIN('Council Entry'!AZ37,'Council Entry'!AZ$9),'Council Entry'!AZ$8),'Council Entry'!AZ37)),IF('Council Entry'!AZ$4="Exponential",EXP(IF(AND(ISNUMBER('Council Entry'!AZ$8),ISNUMBER('Council Entry'!AZ$9)),MAX(MIN('Council Entry'!AZ37,'Council Entry'!AZ$9),'Council Entry'!AZ$8),'Council Entry'!AZ37)),IF(AND(ISNUMBER('Council Entry'!AZ$8),ISNUMBER('Council Entry'!AZ$9)),MAX(MIN('Council Entry'!AZ37,'Council Entry'!AZ$9),'Council Entry'!AZ$8),'Council Entry'!AZ37))))-'Council Entry'!AZ$5)/('Council Entry'!AZ$6-'Council Entry'!AZ$5)),1))),"No data"))</f>
        <v/>
      </c>
      <c r="BA37" s="13">
        <f>IF('Council Entry'!BA37="","",IFERROR(MAX(0,MIN(10,ROUND(IF('Council Entry'!BA$7="Decrease Risk",10-10*((IF('Council Entry'!BA$4="Logarithm",LN(0.001+IF(AND(ISNUMBER('Council Entry'!BA$8),ISNUMBER('Council Entry'!BA$9)),MAX(MIN('Council Entry'!BA37,'Council Entry'!BA$9),'Council Entry'!BA$8),'Council Entry'!BA37)),IF('Council Entry'!BA$4="Exponential",EXP(IF(AND(ISNUMBER('Council Entry'!BA$8),ISNUMBER('Council Entry'!BA$9)),MAX(MIN('Council Entry'!BA37,'Council Entry'!BA$9),'Council Entry'!BA$8),'Council Entry'!BA37)),IF(AND(ISNUMBER('Council Entry'!BA$8),ISNUMBER('Council Entry'!BA$9)),MAX(MIN('Council Entry'!BA37,'Council Entry'!BA$9),'Council Entry'!BA$8),'Council Entry'!BA37))))-'Council Entry'!BA$5)/('Council Entry'!BA$6-'Council Entry'!BA$5),10*((IF('Council Entry'!BA$4="Logarithm",LN(0.001+IF(AND(ISNUMBER('Council Entry'!BA$8),ISNUMBER('Council Entry'!BA$9)),MAX(MIN('Council Entry'!BA37,'Council Entry'!BA$9),'Council Entry'!BA$8),'Council Entry'!BA37)),IF('Council Entry'!BA$4="Exponential",EXP(IF(AND(ISNUMBER('Council Entry'!BA$8),ISNUMBER('Council Entry'!BA$9)),MAX(MIN('Council Entry'!BA37,'Council Entry'!BA$9),'Council Entry'!BA$8),'Council Entry'!BA37)),IF(AND(ISNUMBER('Council Entry'!BA$8),ISNUMBER('Council Entry'!BA$9)),MAX(MIN('Council Entry'!BA37,'Council Entry'!BA$9),'Council Entry'!BA$8),'Council Entry'!BA37))))-'Council Entry'!BA$5)/('Council Entry'!BA$6-'Council Entry'!BA$5)),1))),"No data"))</f>
        <v/>
      </c>
      <c r="BB37" s="13">
        <f>IF('Council Entry'!BB37="","",IFERROR(MAX(0,MIN(10,ROUND(IF('Council Entry'!BB$7="Decrease Risk",10-10*((IF('Council Entry'!BB$4="Logarithm",LN(0.001+IF(AND(ISNUMBER('Council Entry'!BB$8),ISNUMBER('Council Entry'!BB$9)),MAX(MIN('Council Entry'!BB37,'Council Entry'!BB$9),'Council Entry'!BB$8),'Council Entry'!BB37)),IF('Council Entry'!BB$4="Exponential",EXP(IF(AND(ISNUMBER('Council Entry'!BB$8),ISNUMBER('Council Entry'!BB$9)),MAX(MIN('Council Entry'!BB37,'Council Entry'!BB$9),'Council Entry'!BB$8),'Council Entry'!BB37)),IF(AND(ISNUMBER('Council Entry'!BB$8),ISNUMBER('Council Entry'!BB$9)),MAX(MIN('Council Entry'!BB37,'Council Entry'!BB$9),'Council Entry'!BB$8),'Council Entry'!BB37))))-'Council Entry'!BB$5)/('Council Entry'!BB$6-'Council Entry'!BB$5),10*((IF('Council Entry'!BB$4="Logarithm",LN(0.001+IF(AND(ISNUMBER('Council Entry'!BB$8),ISNUMBER('Council Entry'!BB$9)),MAX(MIN('Council Entry'!BB37,'Council Entry'!BB$9),'Council Entry'!BB$8),'Council Entry'!BB37)),IF('Council Entry'!BB$4="Exponential",EXP(IF(AND(ISNUMBER('Council Entry'!BB$8),ISNUMBER('Council Entry'!BB$9)),MAX(MIN('Council Entry'!BB37,'Council Entry'!BB$9),'Council Entry'!BB$8),'Council Entry'!BB37)),IF(AND(ISNUMBER('Council Entry'!BB$8),ISNUMBER('Council Entry'!BB$9)),MAX(MIN('Council Entry'!BB37,'Council Entry'!BB$9),'Council Entry'!BB$8),'Council Entry'!BB37))))-'Council Entry'!BB$5)/('Council Entry'!BB$6-'Council Entry'!BB$5)),1))),"No data"))</f>
        <v/>
      </c>
      <c r="BC37" s="13">
        <f>IF('Council Entry'!BC37="","",IFERROR(MAX(0,MIN(10,ROUND(IF('Council Entry'!BC$7="Decrease Risk",10-10*((IF('Council Entry'!BC$4="Logarithm",LN(0.001+IF(AND(ISNUMBER('Council Entry'!BC$8),ISNUMBER('Council Entry'!BC$9)),MAX(MIN('Council Entry'!BC37,'Council Entry'!BC$9),'Council Entry'!BC$8),'Council Entry'!BC37)),IF('Council Entry'!BC$4="Exponential",EXP(IF(AND(ISNUMBER('Council Entry'!BC$8),ISNUMBER('Council Entry'!BC$9)),MAX(MIN('Council Entry'!BC37,'Council Entry'!BC$9),'Council Entry'!BC$8),'Council Entry'!BC37)),IF(AND(ISNUMBER('Council Entry'!BC$8),ISNUMBER('Council Entry'!BC$9)),MAX(MIN('Council Entry'!BC37,'Council Entry'!BC$9),'Council Entry'!BC$8),'Council Entry'!BC37))))-'Council Entry'!BC$5)/('Council Entry'!BC$6-'Council Entry'!BC$5),10*((IF('Council Entry'!BC$4="Logarithm",LN(0.001+IF(AND(ISNUMBER('Council Entry'!BC$8),ISNUMBER('Council Entry'!BC$9)),MAX(MIN('Council Entry'!BC37,'Council Entry'!BC$9),'Council Entry'!BC$8),'Council Entry'!BC37)),IF('Council Entry'!BC$4="Exponential",EXP(IF(AND(ISNUMBER('Council Entry'!BC$8),ISNUMBER('Council Entry'!BC$9)),MAX(MIN('Council Entry'!BC37,'Council Entry'!BC$9),'Council Entry'!BC$8),'Council Entry'!BC37)),IF(AND(ISNUMBER('Council Entry'!BC$8),ISNUMBER('Council Entry'!BC$9)),MAX(MIN('Council Entry'!BC37,'Council Entry'!BC$9),'Council Entry'!BC$8),'Council Entry'!BC37))))-'Council Entry'!BC$5)/('Council Entry'!BC$6-'Council Entry'!BC$5)),1))),"No data"))</f>
        <v/>
      </c>
      <c r="BD37" s="13">
        <f>IF('Council Entry'!BD37="","",IFERROR(MAX(0,MIN(10,ROUND(IF('Council Entry'!BD$7="Decrease Risk",10-10*((IF('Council Entry'!BD$4="Logarithm",LN(0.001+IF(AND(ISNUMBER('Council Entry'!BD$8),ISNUMBER('Council Entry'!BD$9)),MAX(MIN('Council Entry'!BD37,'Council Entry'!BD$9),'Council Entry'!BD$8),'Council Entry'!BD37)),IF('Council Entry'!BD$4="Exponential",EXP(IF(AND(ISNUMBER('Council Entry'!BD$8),ISNUMBER('Council Entry'!BD$9)),MAX(MIN('Council Entry'!BD37,'Council Entry'!BD$9),'Council Entry'!BD$8),'Council Entry'!BD37)),IF(AND(ISNUMBER('Council Entry'!BD$8),ISNUMBER('Council Entry'!BD$9)),MAX(MIN('Council Entry'!BD37,'Council Entry'!BD$9),'Council Entry'!BD$8),'Council Entry'!BD37))))-'Council Entry'!BD$5)/('Council Entry'!BD$6-'Council Entry'!BD$5),10*((IF('Council Entry'!BD$4="Logarithm",LN(0.001+IF(AND(ISNUMBER('Council Entry'!BD$8),ISNUMBER('Council Entry'!BD$9)),MAX(MIN('Council Entry'!BD37,'Council Entry'!BD$9),'Council Entry'!BD$8),'Council Entry'!BD37)),IF('Council Entry'!BD$4="Exponential",EXP(IF(AND(ISNUMBER('Council Entry'!BD$8),ISNUMBER('Council Entry'!BD$9)),MAX(MIN('Council Entry'!BD37,'Council Entry'!BD$9),'Council Entry'!BD$8),'Council Entry'!BD37)),IF(AND(ISNUMBER('Council Entry'!BD$8),ISNUMBER('Council Entry'!BD$9)),MAX(MIN('Council Entry'!BD37,'Council Entry'!BD$9),'Council Entry'!BD$8),'Council Entry'!BD37))))-'Council Entry'!BD$5)/('Council Entry'!BD$6-'Council Entry'!BD$5)),1))),"No data"))</f>
        <v/>
      </c>
    </row>
    <row r="38">
      <c r="A38" t="inlineStr">
        <is>
          <t>Iringa</t>
        </is>
      </c>
      <c r="B38" t="inlineStr">
        <is>
          <t>Iringa Municipal</t>
        </is>
      </c>
      <c r="C38" t="inlineStr">
        <is>
          <t>C081</t>
        </is>
      </c>
      <c r="D38" s="13">
        <f>IF('Council Entry'!D38="","",IFERROR(MAX(0,MIN(10,ROUND(IF('Council Entry'!D$7="Decrease Risk",10-10*((IF('Council Entry'!D$4="Logarithm",LN(0.001+IF(AND(ISNUMBER('Council Entry'!D$8),ISNUMBER('Council Entry'!D$9)),MAX(MIN('Council Entry'!D38,'Council Entry'!D$9),'Council Entry'!D$8),'Council Entry'!D38)),IF('Council Entry'!D$4="Exponential",EXP(IF(AND(ISNUMBER('Council Entry'!D$8),ISNUMBER('Council Entry'!D$9)),MAX(MIN('Council Entry'!D38,'Council Entry'!D$9),'Council Entry'!D$8),'Council Entry'!D38)),IF(AND(ISNUMBER('Council Entry'!D$8),ISNUMBER('Council Entry'!D$9)),MAX(MIN('Council Entry'!D38,'Council Entry'!D$9),'Council Entry'!D$8),'Council Entry'!D38))))-'Council Entry'!D$5)/('Council Entry'!D$6-'Council Entry'!D$5),10*((IF('Council Entry'!D$4="Logarithm",LN(0.001+IF(AND(ISNUMBER('Council Entry'!D$8),ISNUMBER('Council Entry'!D$9)),MAX(MIN('Council Entry'!D38,'Council Entry'!D$9),'Council Entry'!D$8),'Council Entry'!D38)),IF('Council Entry'!D$4="Exponential",EXP(IF(AND(ISNUMBER('Council Entry'!D$8),ISNUMBER('Council Entry'!D$9)),MAX(MIN('Council Entry'!D38,'Council Entry'!D$9),'Council Entry'!D$8),'Council Entry'!D38)),IF(AND(ISNUMBER('Council Entry'!D$8),ISNUMBER('Council Entry'!D$9)),MAX(MIN('Council Entry'!D38,'Council Entry'!D$9),'Council Entry'!D$8),'Council Entry'!D38))))-'Council Entry'!D$5)/('Council Entry'!D$6-'Council Entry'!D$5)),1))),"No data"))</f>
        <v/>
      </c>
      <c r="E38" s="13">
        <f>IF('Council Entry'!E38="","",IFERROR(MAX(0,MIN(10,ROUND(IF('Council Entry'!E$7="Decrease Risk",10-10*((IF('Council Entry'!E$4="Logarithm",LN(0.001+IF(AND(ISNUMBER('Council Entry'!E$8),ISNUMBER('Council Entry'!E$9)),MAX(MIN('Council Entry'!E38,'Council Entry'!E$9),'Council Entry'!E$8),'Council Entry'!E38)),IF('Council Entry'!E$4="Exponential",EXP(IF(AND(ISNUMBER('Council Entry'!E$8),ISNUMBER('Council Entry'!E$9)),MAX(MIN('Council Entry'!E38,'Council Entry'!E$9),'Council Entry'!E$8),'Council Entry'!E38)),IF(AND(ISNUMBER('Council Entry'!E$8),ISNUMBER('Council Entry'!E$9)),MAX(MIN('Council Entry'!E38,'Council Entry'!E$9),'Council Entry'!E$8),'Council Entry'!E38))))-'Council Entry'!E$5)/('Council Entry'!E$6-'Council Entry'!E$5),10*((IF('Council Entry'!E$4="Logarithm",LN(0.001+IF(AND(ISNUMBER('Council Entry'!E$8),ISNUMBER('Council Entry'!E$9)),MAX(MIN('Council Entry'!E38,'Council Entry'!E$9),'Council Entry'!E$8),'Council Entry'!E38)),IF('Council Entry'!E$4="Exponential",EXP(IF(AND(ISNUMBER('Council Entry'!E$8),ISNUMBER('Council Entry'!E$9)),MAX(MIN('Council Entry'!E38,'Council Entry'!E$9),'Council Entry'!E$8),'Council Entry'!E38)),IF(AND(ISNUMBER('Council Entry'!E$8),ISNUMBER('Council Entry'!E$9)),MAX(MIN('Council Entry'!E38,'Council Entry'!E$9),'Council Entry'!E$8),'Council Entry'!E38))))-'Council Entry'!E$5)/('Council Entry'!E$6-'Council Entry'!E$5)),1))),"No data"))</f>
        <v/>
      </c>
      <c r="F38" s="13">
        <f>IF('Council Entry'!F38="","",IFERROR(MAX(0,MIN(10,ROUND(IF('Council Entry'!F$7="Decrease Risk",10-10*((IF('Council Entry'!F$4="Logarithm",LN(0.001+IF(AND(ISNUMBER('Council Entry'!F$8),ISNUMBER('Council Entry'!F$9)),MAX(MIN('Council Entry'!F38,'Council Entry'!F$9),'Council Entry'!F$8),'Council Entry'!F38)),IF('Council Entry'!F$4="Exponential",EXP(IF(AND(ISNUMBER('Council Entry'!F$8),ISNUMBER('Council Entry'!F$9)),MAX(MIN('Council Entry'!F38,'Council Entry'!F$9),'Council Entry'!F$8),'Council Entry'!F38)),IF(AND(ISNUMBER('Council Entry'!F$8),ISNUMBER('Council Entry'!F$9)),MAX(MIN('Council Entry'!F38,'Council Entry'!F$9),'Council Entry'!F$8),'Council Entry'!F38))))-'Council Entry'!F$5)/('Council Entry'!F$6-'Council Entry'!F$5),10*((IF('Council Entry'!F$4="Logarithm",LN(0.001+IF(AND(ISNUMBER('Council Entry'!F$8),ISNUMBER('Council Entry'!F$9)),MAX(MIN('Council Entry'!F38,'Council Entry'!F$9),'Council Entry'!F$8),'Council Entry'!F38)),IF('Council Entry'!F$4="Exponential",EXP(IF(AND(ISNUMBER('Council Entry'!F$8),ISNUMBER('Council Entry'!F$9)),MAX(MIN('Council Entry'!F38,'Council Entry'!F$9),'Council Entry'!F$8),'Council Entry'!F38)),IF(AND(ISNUMBER('Council Entry'!F$8),ISNUMBER('Council Entry'!F$9)),MAX(MIN('Council Entry'!F38,'Council Entry'!F$9),'Council Entry'!F$8),'Council Entry'!F38))))-'Council Entry'!F$5)/('Council Entry'!F$6-'Council Entry'!F$5)),1))),"No data"))</f>
        <v/>
      </c>
      <c r="G38" s="13">
        <f>IF('Council Entry'!G38="","",IFERROR(MAX(0,MIN(10,ROUND(IF('Council Entry'!G$7="Decrease Risk",10-10*((IF('Council Entry'!G$4="Logarithm",LN(0.001+IF(AND(ISNUMBER('Council Entry'!G$8),ISNUMBER('Council Entry'!G$9)),MAX(MIN('Council Entry'!G38,'Council Entry'!G$9),'Council Entry'!G$8),'Council Entry'!G38)),IF('Council Entry'!G$4="Exponential",EXP(IF(AND(ISNUMBER('Council Entry'!G$8),ISNUMBER('Council Entry'!G$9)),MAX(MIN('Council Entry'!G38,'Council Entry'!G$9),'Council Entry'!G$8),'Council Entry'!G38)),IF(AND(ISNUMBER('Council Entry'!G$8),ISNUMBER('Council Entry'!G$9)),MAX(MIN('Council Entry'!G38,'Council Entry'!G$9),'Council Entry'!G$8),'Council Entry'!G38))))-'Council Entry'!G$5)/('Council Entry'!G$6-'Council Entry'!G$5),10*((IF('Council Entry'!G$4="Logarithm",LN(0.001+IF(AND(ISNUMBER('Council Entry'!G$8),ISNUMBER('Council Entry'!G$9)),MAX(MIN('Council Entry'!G38,'Council Entry'!G$9),'Council Entry'!G$8),'Council Entry'!G38)),IF('Council Entry'!G$4="Exponential",EXP(IF(AND(ISNUMBER('Council Entry'!G$8),ISNUMBER('Council Entry'!G$9)),MAX(MIN('Council Entry'!G38,'Council Entry'!G$9),'Council Entry'!G$8),'Council Entry'!G38)),IF(AND(ISNUMBER('Council Entry'!G$8),ISNUMBER('Council Entry'!G$9)),MAX(MIN('Council Entry'!G38,'Council Entry'!G$9),'Council Entry'!G$8),'Council Entry'!G38))))-'Council Entry'!G$5)/('Council Entry'!G$6-'Council Entry'!G$5)),1))),"No data"))</f>
        <v/>
      </c>
      <c r="H38" s="13">
        <f>IF('Council Entry'!H38="","",IFERROR(MAX(0,MIN(10,ROUND(IF('Council Entry'!H$7="Decrease Risk",10-10*((IF('Council Entry'!H$4="Logarithm",LN(0.001+IF(AND(ISNUMBER('Council Entry'!H$8),ISNUMBER('Council Entry'!H$9)),MAX(MIN('Council Entry'!H38,'Council Entry'!H$9),'Council Entry'!H$8),'Council Entry'!H38)),IF('Council Entry'!H$4="Exponential",EXP(IF(AND(ISNUMBER('Council Entry'!H$8),ISNUMBER('Council Entry'!H$9)),MAX(MIN('Council Entry'!H38,'Council Entry'!H$9),'Council Entry'!H$8),'Council Entry'!H38)),IF(AND(ISNUMBER('Council Entry'!H$8),ISNUMBER('Council Entry'!H$9)),MAX(MIN('Council Entry'!H38,'Council Entry'!H$9),'Council Entry'!H$8),'Council Entry'!H38))))-'Council Entry'!H$5)/('Council Entry'!H$6-'Council Entry'!H$5),10*((IF('Council Entry'!H$4="Logarithm",LN(0.001+IF(AND(ISNUMBER('Council Entry'!H$8),ISNUMBER('Council Entry'!H$9)),MAX(MIN('Council Entry'!H38,'Council Entry'!H$9),'Council Entry'!H$8),'Council Entry'!H38)),IF('Council Entry'!H$4="Exponential",EXP(IF(AND(ISNUMBER('Council Entry'!H$8),ISNUMBER('Council Entry'!H$9)),MAX(MIN('Council Entry'!H38,'Council Entry'!H$9),'Council Entry'!H$8),'Council Entry'!H38)),IF(AND(ISNUMBER('Council Entry'!H$8),ISNUMBER('Council Entry'!H$9)),MAX(MIN('Council Entry'!H38,'Council Entry'!H$9),'Council Entry'!H$8),'Council Entry'!H38))))-'Council Entry'!H$5)/('Council Entry'!H$6-'Council Entry'!H$5)),1))),"No data"))</f>
        <v/>
      </c>
      <c r="I38" s="13">
        <f>IF('Council Entry'!I38="","",IFERROR(MAX(0,MIN(10,ROUND(IF('Council Entry'!I$7="Decrease Risk",10-10*((IF('Council Entry'!I$4="Logarithm",LN(0.001+IF(AND(ISNUMBER('Council Entry'!I$8),ISNUMBER('Council Entry'!I$9)),MAX(MIN('Council Entry'!I38,'Council Entry'!I$9),'Council Entry'!I$8),'Council Entry'!I38)),IF('Council Entry'!I$4="Exponential",EXP(IF(AND(ISNUMBER('Council Entry'!I$8),ISNUMBER('Council Entry'!I$9)),MAX(MIN('Council Entry'!I38,'Council Entry'!I$9),'Council Entry'!I$8),'Council Entry'!I38)),IF(AND(ISNUMBER('Council Entry'!I$8),ISNUMBER('Council Entry'!I$9)),MAX(MIN('Council Entry'!I38,'Council Entry'!I$9),'Council Entry'!I$8),'Council Entry'!I38))))-'Council Entry'!I$5)/('Council Entry'!I$6-'Council Entry'!I$5),10*((IF('Council Entry'!I$4="Logarithm",LN(0.001+IF(AND(ISNUMBER('Council Entry'!I$8),ISNUMBER('Council Entry'!I$9)),MAX(MIN('Council Entry'!I38,'Council Entry'!I$9),'Council Entry'!I$8),'Council Entry'!I38)),IF('Council Entry'!I$4="Exponential",EXP(IF(AND(ISNUMBER('Council Entry'!I$8),ISNUMBER('Council Entry'!I$9)),MAX(MIN('Council Entry'!I38,'Council Entry'!I$9),'Council Entry'!I$8),'Council Entry'!I38)),IF(AND(ISNUMBER('Council Entry'!I$8),ISNUMBER('Council Entry'!I$9)),MAX(MIN('Council Entry'!I38,'Council Entry'!I$9),'Council Entry'!I$8),'Council Entry'!I38))))-'Council Entry'!I$5)/('Council Entry'!I$6-'Council Entry'!I$5)),1))),"No data"))</f>
        <v/>
      </c>
      <c r="J38" s="13">
        <f>IF('Council Entry'!J38="","",IFERROR(MAX(0,MIN(10,ROUND(IF('Council Entry'!J$7="Decrease Risk",10-10*((IF('Council Entry'!J$4="Logarithm",LN(0.001+IF(AND(ISNUMBER('Council Entry'!J$8),ISNUMBER('Council Entry'!J$9)),MAX(MIN('Council Entry'!J38,'Council Entry'!J$9),'Council Entry'!J$8),'Council Entry'!J38)),IF('Council Entry'!J$4="Exponential",EXP(IF(AND(ISNUMBER('Council Entry'!J$8),ISNUMBER('Council Entry'!J$9)),MAX(MIN('Council Entry'!J38,'Council Entry'!J$9),'Council Entry'!J$8),'Council Entry'!J38)),IF(AND(ISNUMBER('Council Entry'!J$8),ISNUMBER('Council Entry'!J$9)),MAX(MIN('Council Entry'!J38,'Council Entry'!J$9),'Council Entry'!J$8),'Council Entry'!J38))))-'Council Entry'!J$5)/('Council Entry'!J$6-'Council Entry'!J$5),10*((IF('Council Entry'!J$4="Logarithm",LN(0.001+IF(AND(ISNUMBER('Council Entry'!J$8),ISNUMBER('Council Entry'!J$9)),MAX(MIN('Council Entry'!J38,'Council Entry'!J$9),'Council Entry'!J$8),'Council Entry'!J38)),IF('Council Entry'!J$4="Exponential",EXP(IF(AND(ISNUMBER('Council Entry'!J$8),ISNUMBER('Council Entry'!J$9)),MAX(MIN('Council Entry'!J38,'Council Entry'!J$9),'Council Entry'!J$8),'Council Entry'!J38)),IF(AND(ISNUMBER('Council Entry'!J$8),ISNUMBER('Council Entry'!J$9)),MAX(MIN('Council Entry'!J38,'Council Entry'!J$9),'Council Entry'!J$8),'Council Entry'!J38))))-'Council Entry'!J$5)/('Council Entry'!J$6-'Council Entry'!J$5)),1))),"No data"))</f>
        <v/>
      </c>
      <c r="K38" s="13">
        <f>IF('Council Entry'!K38="","",IFERROR(MAX(0,MIN(10,ROUND(IF('Council Entry'!K$7="Decrease Risk",10-10*((IF('Council Entry'!K$4="Logarithm",LN(0.001+IF(AND(ISNUMBER('Council Entry'!K$8),ISNUMBER('Council Entry'!K$9)),MAX(MIN('Council Entry'!K38,'Council Entry'!K$9),'Council Entry'!K$8),'Council Entry'!K38)),IF('Council Entry'!K$4="Exponential",EXP(IF(AND(ISNUMBER('Council Entry'!K$8),ISNUMBER('Council Entry'!K$9)),MAX(MIN('Council Entry'!K38,'Council Entry'!K$9),'Council Entry'!K$8),'Council Entry'!K38)),IF(AND(ISNUMBER('Council Entry'!K$8),ISNUMBER('Council Entry'!K$9)),MAX(MIN('Council Entry'!K38,'Council Entry'!K$9),'Council Entry'!K$8),'Council Entry'!K38))))-'Council Entry'!K$5)/('Council Entry'!K$6-'Council Entry'!K$5),10*((IF('Council Entry'!K$4="Logarithm",LN(0.001+IF(AND(ISNUMBER('Council Entry'!K$8),ISNUMBER('Council Entry'!K$9)),MAX(MIN('Council Entry'!K38,'Council Entry'!K$9),'Council Entry'!K$8),'Council Entry'!K38)),IF('Council Entry'!K$4="Exponential",EXP(IF(AND(ISNUMBER('Council Entry'!K$8),ISNUMBER('Council Entry'!K$9)),MAX(MIN('Council Entry'!K38,'Council Entry'!K$9),'Council Entry'!K$8),'Council Entry'!K38)),IF(AND(ISNUMBER('Council Entry'!K$8),ISNUMBER('Council Entry'!K$9)),MAX(MIN('Council Entry'!K38,'Council Entry'!K$9),'Council Entry'!K$8),'Council Entry'!K38))))-'Council Entry'!K$5)/('Council Entry'!K$6-'Council Entry'!K$5)),1))),"No data"))</f>
        <v/>
      </c>
      <c r="L38" s="13">
        <f>IF('Council Entry'!L38="","",IFERROR(MAX(0,MIN(10,ROUND(IF('Council Entry'!L$7="Decrease Risk",10-10*((IF('Council Entry'!L$4="Logarithm",LN(0.001+IF(AND(ISNUMBER('Council Entry'!L$8),ISNUMBER('Council Entry'!L$9)),MAX(MIN('Council Entry'!L38,'Council Entry'!L$9),'Council Entry'!L$8),'Council Entry'!L38)),IF('Council Entry'!L$4="Exponential",EXP(IF(AND(ISNUMBER('Council Entry'!L$8),ISNUMBER('Council Entry'!L$9)),MAX(MIN('Council Entry'!L38,'Council Entry'!L$9),'Council Entry'!L$8),'Council Entry'!L38)),IF(AND(ISNUMBER('Council Entry'!L$8),ISNUMBER('Council Entry'!L$9)),MAX(MIN('Council Entry'!L38,'Council Entry'!L$9),'Council Entry'!L$8),'Council Entry'!L38))))-'Council Entry'!L$5)/('Council Entry'!L$6-'Council Entry'!L$5),10*((IF('Council Entry'!L$4="Logarithm",LN(0.001+IF(AND(ISNUMBER('Council Entry'!L$8),ISNUMBER('Council Entry'!L$9)),MAX(MIN('Council Entry'!L38,'Council Entry'!L$9),'Council Entry'!L$8),'Council Entry'!L38)),IF('Council Entry'!L$4="Exponential",EXP(IF(AND(ISNUMBER('Council Entry'!L$8),ISNUMBER('Council Entry'!L$9)),MAX(MIN('Council Entry'!L38,'Council Entry'!L$9),'Council Entry'!L$8),'Council Entry'!L38)),IF(AND(ISNUMBER('Council Entry'!L$8),ISNUMBER('Council Entry'!L$9)),MAX(MIN('Council Entry'!L38,'Council Entry'!L$9),'Council Entry'!L$8),'Council Entry'!L38))))-'Council Entry'!L$5)/('Council Entry'!L$6-'Council Entry'!L$5)),1))),"No data"))</f>
        <v/>
      </c>
      <c r="M38" s="13">
        <f>IF('Council Entry'!M38="","",IFERROR(MAX(0,MIN(10,ROUND(IF('Council Entry'!M$7="Decrease Risk",10-10*((IF('Council Entry'!M$4="Logarithm",LN(0.001+IF(AND(ISNUMBER('Council Entry'!M$8),ISNUMBER('Council Entry'!M$9)),MAX(MIN('Council Entry'!M38,'Council Entry'!M$9),'Council Entry'!M$8),'Council Entry'!M38)),IF('Council Entry'!M$4="Exponential",EXP(IF(AND(ISNUMBER('Council Entry'!M$8),ISNUMBER('Council Entry'!M$9)),MAX(MIN('Council Entry'!M38,'Council Entry'!M$9),'Council Entry'!M$8),'Council Entry'!M38)),IF(AND(ISNUMBER('Council Entry'!M$8),ISNUMBER('Council Entry'!M$9)),MAX(MIN('Council Entry'!M38,'Council Entry'!M$9),'Council Entry'!M$8),'Council Entry'!M38))))-'Council Entry'!M$5)/('Council Entry'!M$6-'Council Entry'!M$5),10*((IF('Council Entry'!M$4="Logarithm",LN(0.001+IF(AND(ISNUMBER('Council Entry'!M$8),ISNUMBER('Council Entry'!M$9)),MAX(MIN('Council Entry'!M38,'Council Entry'!M$9),'Council Entry'!M$8),'Council Entry'!M38)),IF('Council Entry'!M$4="Exponential",EXP(IF(AND(ISNUMBER('Council Entry'!M$8),ISNUMBER('Council Entry'!M$9)),MAX(MIN('Council Entry'!M38,'Council Entry'!M$9),'Council Entry'!M$8),'Council Entry'!M38)),IF(AND(ISNUMBER('Council Entry'!M$8),ISNUMBER('Council Entry'!M$9)),MAX(MIN('Council Entry'!M38,'Council Entry'!M$9),'Council Entry'!M$8),'Council Entry'!M38))))-'Council Entry'!M$5)/('Council Entry'!M$6-'Council Entry'!M$5)),1))),"No data"))</f>
        <v/>
      </c>
      <c r="N38" s="13">
        <f>IF('Council Entry'!N38="","",IFERROR(MAX(0,MIN(10,ROUND(IF('Council Entry'!N$7="Decrease Risk",10-10*((IF('Council Entry'!N$4="Logarithm",LN(0.001+IF(AND(ISNUMBER('Council Entry'!N$8),ISNUMBER('Council Entry'!N$9)),MAX(MIN('Council Entry'!N38,'Council Entry'!N$9),'Council Entry'!N$8),'Council Entry'!N38)),IF('Council Entry'!N$4="Exponential",EXP(IF(AND(ISNUMBER('Council Entry'!N$8),ISNUMBER('Council Entry'!N$9)),MAX(MIN('Council Entry'!N38,'Council Entry'!N$9),'Council Entry'!N$8),'Council Entry'!N38)),IF(AND(ISNUMBER('Council Entry'!N$8),ISNUMBER('Council Entry'!N$9)),MAX(MIN('Council Entry'!N38,'Council Entry'!N$9),'Council Entry'!N$8),'Council Entry'!N38))))-'Council Entry'!N$5)/('Council Entry'!N$6-'Council Entry'!N$5),10*((IF('Council Entry'!N$4="Logarithm",LN(0.001+IF(AND(ISNUMBER('Council Entry'!N$8),ISNUMBER('Council Entry'!N$9)),MAX(MIN('Council Entry'!N38,'Council Entry'!N$9),'Council Entry'!N$8),'Council Entry'!N38)),IF('Council Entry'!N$4="Exponential",EXP(IF(AND(ISNUMBER('Council Entry'!N$8),ISNUMBER('Council Entry'!N$9)),MAX(MIN('Council Entry'!N38,'Council Entry'!N$9),'Council Entry'!N$8),'Council Entry'!N38)),IF(AND(ISNUMBER('Council Entry'!N$8),ISNUMBER('Council Entry'!N$9)),MAX(MIN('Council Entry'!N38,'Council Entry'!N$9),'Council Entry'!N$8),'Council Entry'!N38))))-'Council Entry'!N$5)/('Council Entry'!N$6-'Council Entry'!N$5)),1))),"No data"))</f>
        <v/>
      </c>
      <c r="O38" s="13">
        <f>IF('Council Entry'!O38="","",IFERROR(MAX(0,MIN(10,ROUND(IF('Council Entry'!O$7="Decrease Risk",10-10*((IF('Council Entry'!O$4="Logarithm",LN(0.001+IF(AND(ISNUMBER('Council Entry'!O$8),ISNUMBER('Council Entry'!O$9)),MAX(MIN('Council Entry'!O38,'Council Entry'!O$9),'Council Entry'!O$8),'Council Entry'!O38)),IF('Council Entry'!O$4="Exponential",EXP(IF(AND(ISNUMBER('Council Entry'!O$8),ISNUMBER('Council Entry'!O$9)),MAX(MIN('Council Entry'!O38,'Council Entry'!O$9),'Council Entry'!O$8),'Council Entry'!O38)),IF(AND(ISNUMBER('Council Entry'!O$8),ISNUMBER('Council Entry'!O$9)),MAX(MIN('Council Entry'!O38,'Council Entry'!O$9),'Council Entry'!O$8),'Council Entry'!O38))))-'Council Entry'!O$5)/('Council Entry'!O$6-'Council Entry'!O$5),10*((IF('Council Entry'!O$4="Logarithm",LN(0.001+IF(AND(ISNUMBER('Council Entry'!O$8),ISNUMBER('Council Entry'!O$9)),MAX(MIN('Council Entry'!O38,'Council Entry'!O$9),'Council Entry'!O$8),'Council Entry'!O38)),IF('Council Entry'!O$4="Exponential",EXP(IF(AND(ISNUMBER('Council Entry'!O$8),ISNUMBER('Council Entry'!O$9)),MAX(MIN('Council Entry'!O38,'Council Entry'!O$9),'Council Entry'!O$8),'Council Entry'!O38)),IF(AND(ISNUMBER('Council Entry'!O$8),ISNUMBER('Council Entry'!O$9)),MAX(MIN('Council Entry'!O38,'Council Entry'!O$9),'Council Entry'!O$8),'Council Entry'!O38))))-'Council Entry'!O$5)/('Council Entry'!O$6-'Council Entry'!O$5)),1))),"No data"))</f>
        <v/>
      </c>
      <c r="P38" s="13">
        <f>IF('Council Entry'!P38="","",IFERROR(MAX(0,MIN(10,ROUND(IF('Council Entry'!P$7="Decrease Risk",10-10*((IF('Council Entry'!P$4="Logarithm",LN(0.001+IF(AND(ISNUMBER('Council Entry'!P$8),ISNUMBER('Council Entry'!P$9)),MAX(MIN('Council Entry'!P38,'Council Entry'!P$9),'Council Entry'!P$8),'Council Entry'!P38)),IF('Council Entry'!P$4="Exponential",EXP(IF(AND(ISNUMBER('Council Entry'!P$8),ISNUMBER('Council Entry'!P$9)),MAX(MIN('Council Entry'!P38,'Council Entry'!P$9),'Council Entry'!P$8),'Council Entry'!P38)),IF(AND(ISNUMBER('Council Entry'!P$8),ISNUMBER('Council Entry'!P$9)),MAX(MIN('Council Entry'!P38,'Council Entry'!P$9),'Council Entry'!P$8),'Council Entry'!P38))))-'Council Entry'!P$5)/('Council Entry'!P$6-'Council Entry'!P$5),10*((IF('Council Entry'!P$4="Logarithm",LN(0.001+IF(AND(ISNUMBER('Council Entry'!P$8),ISNUMBER('Council Entry'!P$9)),MAX(MIN('Council Entry'!P38,'Council Entry'!P$9),'Council Entry'!P$8),'Council Entry'!P38)),IF('Council Entry'!P$4="Exponential",EXP(IF(AND(ISNUMBER('Council Entry'!P$8),ISNUMBER('Council Entry'!P$9)),MAX(MIN('Council Entry'!P38,'Council Entry'!P$9),'Council Entry'!P$8),'Council Entry'!P38)),IF(AND(ISNUMBER('Council Entry'!P$8),ISNUMBER('Council Entry'!P$9)),MAX(MIN('Council Entry'!P38,'Council Entry'!P$9),'Council Entry'!P$8),'Council Entry'!P38))))-'Council Entry'!P$5)/('Council Entry'!P$6-'Council Entry'!P$5)),1))),"No data"))</f>
        <v/>
      </c>
      <c r="Q38" s="13">
        <f>IF('Council Entry'!Q38="","",IFERROR(MAX(0,MIN(10,ROUND(IF('Council Entry'!Q$7="Decrease Risk",10-10*((IF('Council Entry'!Q$4="Logarithm",LN(0.001+IF(AND(ISNUMBER('Council Entry'!Q$8),ISNUMBER('Council Entry'!Q$9)),MAX(MIN('Council Entry'!Q38,'Council Entry'!Q$9),'Council Entry'!Q$8),'Council Entry'!Q38)),IF('Council Entry'!Q$4="Exponential",EXP(IF(AND(ISNUMBER('Council Entry'!Q$8),ISNUMBER('Council Entry'!Q$9)),MAX(MIN('Council Entry'!Q38,'Council Entry'!Q$9),'Council Entry'!Q$8),'Council Entry'!Q38)),IF(AND(ISNUMBER('Council Entry'!Q$8),ISNUMBER('Council Entry'!Q$9)),MAX(MIN('Council Entry'!Q38,'Council Entry'!Q$9),'Council Entry'!Q$8),'Council Entry'!Q38))))-'Council Entry'!Q$5)/('Council Entry'!Q$6-'Council Entry'!Q$5),10*((IF('Council Entry'!Q$4="Logarithm",LN(0.001+IF(AND(ISNUMBER('Council Entry'!Q$8),ISNUMBER('Council Entry'!Q$9)),MAX(MIN('Council Entry'!Q38,'Council Entry'!Q$9),'Council Entry'!Q$8),'Council Entry'!Q38)),IF('Council Entry'!Q$4="Exponential",EXP(IF(AND(ISNUMBER('Council Entry'!Q$8),ISNUMBER('Council Entry'!Q$9)),MAX(MIN('Council Entry'!Q38,'Council Entry'!Q$9),'Council Entry'!Q$8),'Council Entry'!Q38)),IF(AND(ISNUMBER('Council Entry'!Q$8),ISNUMBER('Council Entry'!Q$9)),MAX(MIN('Council Entry'!Q38,'Council Entry'!Q$9),'Council Entry'!Q$8),'Council Entry'!Q38))))-'Council Entry'!Q$5)/('Council Entry'!Q$6-'Council Entry'!Q$5)),1))),"No data"))</f>
        <v/>
      </c>
      <c r="R38" s="13">
        <f>IF('Council Entry'!R38="","",IFERROR(MAX(0,MIN(10,ROUND(IF('Council Entry'!R$7="Decrease Risk",10-10*((IF('Council Entry'!R$4="Logarithm",LN(0.001+IF(AND(ISNUMBER('Council Entry'!R$8),ISNUMBER('Council Entry'!R$9)),MAX(MIN('Council Entry'!R38,'Council Entry'!R$9),'Council Entry'!R$8),'Council Entry'!R38)),IF('Council Entry'!R$4="Exponential",EXP(IF(AND(ISNUMBER('Council Entry'!R$8),ISNUMBER('Council Entry'!R$9)),MAX(MIN('Council Entry'!R38,'Council Entry'!R$9),'Council Entry'!R$8),'Council Entry'!R38)),IF(AND(ISNUMBER('Council Entry'!R$8),ISNUMBER('Council Entry'!R$9)),MAX(MIN('Council Entry'!R38,'Council Entry'!R$9),'Council Entry'!R$8),'Council Entry'!R38))))-'Council Entry'!R$5)/('Council Entry'!R$6-'Council Entry'!R$5),10*((IF('Council Entry'!R$4="Logarithm",LN(0.001+IF(AND(ISNUMBER('Council Entry'!R$8),ISNUMBER('Council Entry'!R$9)),MAX(MIN('Council Entry'!R38,'Council Entry'!R$9),'Council Entry'!R$8),'Council Entry'!R38)),IF('Council Entry'!R$4="Exponential",EXP(IF(AND(ISNUMBER('Council Entry'!R$8),ISNUMBER('Council Entry'!R$9)),MAX(MIN('Council Entry'!R38,'Council Entry'!R$9),'Council Entry'!R$8),'Council Entry'!R38)),IF(AND(ISNUMBER('Council Entry'!R$8),ISNUMBER('Council Entry'!R$9)),MAX(MIN('Council Entry'!R38,'Council Entry'!R$9),'Council Entry'!R$8),'Council Entry'!R38))))-'Council Entry'!R$5)/('Council Entry'!R$6-'Council Entry'!R$5)),1))),"No data"))</f>
        <v/>
      </c>
      <c r="S38" s="13">
        <f>IF('Council Entry'!S38="","",IFERROR(MAX(0,MIN(10,ROUND(IF('Council Entry'!S$7="Decrease Risk",10-10*((IF('Council Entry'!S$4="Logarithm",LN(0.001+IF(AND(ISNUMBER('Council Entry'!S$8),ISNUMBER('Council Entry'!S$9)),MAX(MIN('Council Entry'!S38,'Council Entry'!S$9),'Council Entry'!S$8),'Council Entry'!S38)),IF('Council Entry'!S$4="Exponential",EXP(IF(AND(ISNUMBER('Council Entry'!S$8),ISNUMBER('Council Entry'!S$9)),MAX(MIN('Council Entry'!S38,'Council Entry'!S$9),'Council Entry'!S$8),'Council Entry'!S38)),IF(AND(ISNUMBER('Council Entry'!S$8),ISNUMBER('Council Entry'!S$9)),MAX(MIN('Council Entry'!S38,'Council Entry'!S$9),'Council Entry'!S$8),'Council Entry'!S38))))-'Council Entry'!S$5)/('Council Entry'!S$6-'Council Entry'!S$5),10*((IF('Council Entry'!S$4="Logarithm",LN(0.001+IF(AND(ISNUMBER('Council Entry'!S$8),ISNUMBER('Council Entry'!S$9)),MAX(MIN('Council Entry'!S38,'Council Entry'!S$9),'Council Entry'!S$8),'Council Entry'!S38)),IF('Council Entry'!S$4="Exponential",EXP(IF(AND(ISNUMBER('Council Entry'!S$8),ISNUMBER('Council Entry'!S$9)),MAX(MIN('Council Entry'!S38,'Council Entry'!S$9),'Council Entry'!S$8),'Council Entry'!S38)),IF(AND(ISNUMBER('Council Entry'!S$8),ISNUMBER('Council Entry'!S$9)),MAX(MIN('Council Entry'!S38,'Council Entry'!S$9),'Council Entry'!S$8),'Council Entry'!S38))))-'Council Entry'!S$5)/('Council Entry'!S$6-'Council Entry'!S$5)),1))),"No data"))</f>
        <v/>
      </c>
      <c r="T38" s="13">
        <f>IF('Council Entry'!T38="","",IFERROR(MAX(0,MIN(10,ROUND(IF('Council Entry'!T$7="Decrease Risk",10-10*((IF('Council Entry'!T$4="Logarithm",LN(0.001+IF(AND(ISNUMBER('Council Entry'!T$8),ISNUMBER('Council Entry'!T$9)),MAX(MIN('Council Entry'!T38,'Council Entry'!T$9),'Council Entry'!T$8),'Council Entry'!T38)),IF('Council Entry'!T$4="Exponential",EXP(IF(AND(ISNUMBER('Council Entry'!T$8),ISNUMBER('Council Entry'!T$9)),MAX(MIN('Council Entry'!T38,'Council Entry'!T$9),'Council Entry'!T$8),'Council Entry'!T38)),IF(AND(ISNUMBER('Council Entry'!T$8),ISNUMBER('Council Entry'!T$9)),MAX(MIN('Council Entry'!T38,'Council Entry'!T$9),'Council Entry'!T$8),'Council Entry'!T38))))-'Council Entry'!T$5)/('Council Entry'!T$6-'Council Entry'!T$5),10*((IF('Council Entry'!T$4="Logarithm",LN(0.001+IF(AND(ISNUMBER('Council Entry'!T$8),ISNUMBER('Council Entry'!T$9)),MAX(MIN('Council Entry'!T38,'Council Entry'!T$9),'Council Entry'!T$8),'Council Entry'!T38)),IF('Council Entry'!T$4="Exponential",EXP(IF(AND(ISNUMBER('Council Entry'!T$8),ISNUMBER('Council Entry'!T$9)),MAX(MIN('Council Entry'!T38,'Council Entry'!T$9),'Council Entry'!T$8),'Council Entry'!T38)),IF(AND(ISNUMBER('Council Entry'!T$8),ISNUMBER('Council Entry'!T$9)),MAX(MIN('Council Entry'!T38,'Council Entry'!T$9),'Council Entry'!T$8),'Council Entry'!T38))))-'Council Entry'!T$5)/('Council Entry'!T$6-'Council Entry'!T$5)),1))),"No data"))</f>
        <v/>
      </c>
      <c r="U38" s="13">
        <f>IF('Council Entry'!U38="","",IFERROR(MAX(0,MIN(10,ROUND(IF('Council Entry'!U$7="Decrease Risk",10-10*((IF('Council Entry'!U$4="Logarithm",LN(0.001+IF(AND(ISNUMBER('Council Entry'!U$8),ISNUMBER('Council Entry'!U$9)),MAX(MIN('Council Entry'!U38,'Council Entry'!U$9),'Council Entry'!U$8),'Council Entry'!U38)),IF('Council Entry'!U$4="Exponential",EXP(IF(AND(ISNUMBER('Council Entry'!U$8),ISNUMBER('Council Entry'!U$9)),MAX(MIN('Council Entry'!U38,'Council Entry'!U$9),'Council Entry'!U$8),'Council Entry'!U38)),IF(AND(ISNUMBER('Council Entry'!U$8),ISNUMBER('Council Entry'!U$9)),MAX(MIN('Council Entry'!U38,'Council Entry'!U$9),'Council Entry'!U$8),'Council Entry'!U38))))-'Council Entry'!U$5)/('Council Entry'!U$6-'Council Entry'!U$5),10*((IF('Council Entry'!U$4="Logarithm",LN(0.001+IF(AND(ISNUMBER('Council Entry'!U$8),ISNUMBER('Council Entry'!U$9)),MAX(MIN('Council Entry'!U38,'Council Entry'!U$9),'Council Entry'!U$8),'Council Entry'!U38)),IF('Council Entry'!U$4="Exponential",EXP(IF(AND(ISNUMBER('Council Entry'!U$8),ISNUMBER('Council Entry'!U$9)),MAX(MIN('Council Entry'!U38,'Council Entry'!U$9),'Council Entry'!U$8),'Council Entry'!U38)),IF(AND(ISNUMBER('Council Entry'!U$8),ISNUMBER('Council Entry'!U$9)),MAX(MIN('Council Entry'!U38,'Council Entry'!U$9),'Council Entry'!U$8),'Council Entry'!U38))))-'Council Entry'!U$5)/('Council Entry'!U$6-'Council Entry'!U$5)),1))),"No data"))</f>
        <v/>
      </c>
      <c r="V38" s="13">
        <f>IF('Council Entry'!V38="","",IFERROR(MAX(0,MIN(10,ROUND(IF('Council Entry'!V$7="Decrease Risk",10-10*((IF('Council Entry'!V$4="Logarithm",LN(0.001+IF(AND(ISNUMBER('Council Entry'!V$8),ISNUMBER('Council Entry'!V$9)),MAX(MIN('Council Entry'!V38,'Council Entry'!V$9),'Council Entry'!V$8),'Council Entry'!V38)),IF('Council Entry'!V$4="Exponential",EXP(IF(AND(ISNUMBER('Council Entry'!V$8),ISNUMBER('Council Entry'!V$9)),MAX(MIN('Council Entry'!V38,'Council Entry'!V$9),'Council Entry'!V$8),'Council Entry'!V38)),IF(AND(ISNUMBER('Council Entry'!V$8),ISNUMBER('Council Entry'!V$9)),MAX(MIN('Council Entry'!V38,'Council Entry'!V$9),'Council Entry'!V$8),'Council Entry'!V38))))-'Council Entry'!V$5)/('Council Entry'!V$6-'Council Entry'!V$5),10*((IF('Council Entry'!V$4="Logarithm",LN(0.001+IF(AND(ISNUMBER('Council Entry'!V$8),ISNUMBER('Council Entry'!V$9)),MAX(MIN('Council Entry'!V38,'Council Entry'!V$9),'Council Entry'!V$8),'Council Entry'!V38)),IF('Council Entry'!V$4="Exponential",EXP(IF(AND(ISNUMBER('Council Entry'!V$8),ISNUMBER('Council Entry'!V$9)),MAX(MIN('Council Entry'!V38,'Council Entry'!V$9),'Council Entry'!V$8),'Council Entry'!V38)),IF(AND(ISNUMBER('Council Entry'!V$8),ISNUMBER('Council Entry'!V$9)),MAX(MIN('Council Entry'!V38,'Council Entry'!V$9),'Council Entry'!V$8),'Council Entry'!V38))))-'Council Entry'!V$5)/('Council Entry'!V$6-'Council Entry'!V$5)),1))),"No data"))</f>
        <v/>
      </c>
      <c r="W38" s="13">
        <f>IF('Council Entry'!W38="","",IFERROR(MAX(0,MIN(10,ROUND(IF('Council Entry'!W$7="Decrease Risk",10-10*((IF('Council Entry'!W$4="Logarithm",LN(0.001+IF(AND(ISNUMBER('Council Entry'!W$8),ISNUMBER('Council Entry'!W$9)),MAX(MIN('Council Entry'!W38,'Council Entry'!W$9),'Council Entry'!W$8),'Council Entry'!W38)),IF('Council Entry'!W$4="Exponential",EXP(IF(AND(ISNUMBER('Council Entry'!W$8),ISNUMBER('Council Entry'!W$9)),MAX(MIN('Council Entry'!W38,'Council Entry'!W$9),'Council Entry'!W$8),'Council Entry'!W38)),IF(AND(ISNUMBER('Council Entry'!W$8),ISNUMBER('Council Entry'!W$9)),MAX(MIN('Council Entry'!W38,'Council Entry'!W$9),'Council Entry'!W$8),'Council Entry'!W38))))-'Council Entry'!W$5)/('Council Entry'!W$6-'Council Entry'!W$5),10*((IF('Council Entry'!W$4="Logarithm",LN(0.001+IF(AND(ISNUMBER('Council Entry'!W$8),ISNUMBER('Council Entry'!W$9)),MAX(MIN('Council Entry'!W38,'Council Entry'!W$9),'Council Entry'!W$8),'Council Entry'!W38)),IF('Council Entry'!W$4="Exponential",EXP(IF(AND(ISNUMBER('Council Entry'!W$8),ISNUMBER('Council Entry'!W$9)),MAX(MIN('Council Entry'!W38,'Council Entry'!W$9),'Council Entry'!W$8),'Council Entry'!W38)),IF(AND(ISNUMBER('Council Entry'!W$8),ISNUMBER('Council Entry'!W$9)),MAX(MIN('Council Entry'!W38,'Council Entry'!W$9),'Council Entry'!W$8),'Council Entry'!W38))))-'Council Entry'!W$5)/('Council Entry'!W$6-'Council Entry'!W$5)),1))),"No data"))</f>
        <v/>
      </c>
      <c r="X38" s="13">
        <f>IF('Council Entry'!X38="","",IFERROR(MAX(0,MIN(10,ROUND(IF('Council Entry'!X$7="Decrease Risk",10-10*((IF('Council Entry'!X$4="Logarithm",LN(0.001+IF(AND(ISNUMBER('Council Entry'!X$8),ISNUMBER('Council Entry'!X$9)),MAX(MIN('Council Entry'!X38,'Council Entry'!X$9),'Council Entry'!X$8),'Council Entry'!X38)),IF('Council Entry'!X$4="Exponential",EXP(IF(AND(ISNUMBER('Council Entry'!X$8),ISNUMBER('Council Entry'!X$9)),MAX(MIN('Council Entry'!X38,'Council Entry'!X$9),'Council Entry'!X$8),'Council Entry'!X38)),IF(AND(ISNUMBER('Council Entry'!X$8),ISNUMBER('Council Entry'!X$9)),MAX(MIN('Council Entry'!X38,'Council Entry'!X$9),'Council Entry'!X$8),'Council Entry'!X38))))-'Council Entry'!X$5)/('Council Entry'!X$6-'Council Entry'!X$5),10*((IF('Council Entry'!X$4="Logarithm",LN(0.001+IF(AND(ISNUMBER('Council Entry'!X$8),ISNUMBER('Council Entry'!X$9)),MAX(MIN('Council Entry'!X38,'Council Entry'!X$9),'Council Entry'!X$8),'Council Entry'!X38)),IF('Council Entry'!X$4="Exponential",EXP(IF(AND(ISNUMBER('Council Entry'!X$8),ISNUMBER('Council Entry'!X$9)),MAX(MIN('Council Entry'!X38,'Council Entry'!X$9),'Council Entry'!X$8),'Council Entry'!X38)),IF(AND(ISNUMBER('Council Entry'!X$8),ISNUMBER('Council Entry'!X$9)),MAX(MIN('Council Entry'!X38,'Council Entry'!X$9),'Council Entry'!X$8),'Council Entry'!X38))))-'Council Entry'!X$5)/('Council Entry'!X$6-'Council Entry'!X$5)),1))),"No data"))</f>
        <v/>
      </c>
      <c r="Y38" s="13">
        <f>IF('Council Entry'!Y38="","",IFERROR(MAX(0,MIN(10,ROUND(IF('Council Entry'!Y$7="Decrease Risk",10-10*((IF('Council Entry'!Y$4="Logarithm",LN(0.001+IF(AND(ISNUMBER('Council Entry'!Y$8),ISNUMBER('Council Entry'!Y$9)),MAX(MIN('Council Entry'!Y38,'Council Entry'!Y$9),'Council Entry'!Y$8),'Council Entry'!Y38)),IF('Council Entry'!Y$4="Exponential",EXP(IF(AND(ISNUMBER('Council Entry'!Y$8),ISNUMBER('Council Entry'!Y$9)),MAX(MIN('Council Entry'!Y38,'Council Entry'!Y$9),'Council Entry'!Y$8),'Council Entry'!Y38)),IF(AND(ISNUMBER('Council Entry'!Y$8),ISNUMBER('Council Entry'!Y$9)),MAX(MIN('Council Entry'!Y38,'Council Entry'!Y$9),'Council Entry'!Y$8),'Council Entry'!Y38))))-'Council Entry'!Y$5)/('Council Entry'!Y$6-'Council Entry'!Y$5),10*((IF('Council Entry'!Y$4="Logarithm",LN(0.001+IF(AND(ISNUMBER('Council Entry'!Y$8),ISNUMBER('Council Entry'!Y$9)),MAX(MIN('Council Entry'!Y38,'Council Entry'!Y$9),'Council Entry'!Y$8),'Council Entry'!Y38)),IF('Council Entry'!Y$4="Exponential",EXP(IF(AND(ISNUMBER('Council Entry'!Y$8),ISNUMBER('Council Entry'!Y$9)),MAX(MIN('Council Entry'!Y38,'Council Entry'!Y$9),'Council Entry'!Y$8),'Council Entry'!Y38)),IF(AND(ISNUMBER('Council Entry'!Y$8),ISNUMBER('Council Entry'!Y$9)),MAX(MIN('Council Entry'!Y38,'Council Entry'!Y$9),'Council Entry'!Y$8),'Council Entry'!Y38))))-'Council Entry'!Y$5)/('Council Entry'!Y$6-'Council Entry'!Y$5)),1))),"No data"))</f>
        <v/>
      </c>
      <c r="Z38" s="13">
        <f>IF('Council Entry'!Z38="","",IFERROR(MAX(0,MIN(10,ROUND(IF('Council Entry'!Z$7="Decrease Risk",10-10*((IF('Council Entry'!Z$4="Logarithm",LN(0.001+IF(AND(ISNUMBER('Council Entry'!Z$8),ISNUMBER('Council Entry'!Z$9)),MAX(MIN('Council Entry'!Z38,'Council Entry'!Z$9),'Council Entry'!Z$8),'Council Entry'!Z38)),IF('Council Entry'!Z$4="Exponential",EXP(IF(AND(ISNUMBER('Council Entry'!Z$8),ISNUMBER('Council Entry'!Z$9)),MAX(MIN('Council Entry'!Z38,'Council Entry'!Z$9),'Council Entry'!Z$8),'Council Entry'!Z38)),IF(AND(ISNUMBER('Council Entry'!Z$8),ISNUMBER('Council Entry'!Z$9)),MAX(MIN('Council Entry'!Z38,'Council Entry'!Z$9),'Council Entry'!Z$8),'Council Entry'!Z38))))-'Council Entry'!Z$5)/('Council Entry'!Z$6-'Council Entry'!Z$5),10*((IF('Council Entry'!Z$4="Logarithm",LN(0.001+IF(AND(ISNUMBER('Council Entry'!Z$8),ISNUMBER('Council Entry'!Z$9)),MAX(MIN('Council Entry'!Z38,'Council Entry'!Z$9),'Council Entry'!Z$8),'Council Entry'!Z38)),IF('Council Entry'!Z$4="Exponential",EXP(IF(AND(ISNUMBER('Council Entry'!Z$8),ISNUMBER('Council Entry'!Z$9)),MAX(MIN('Council Entry'!Z38,'Council Entry'!Z$9),'Council Entry'!Z$8),'Council Entry'!Z38)),IF(AND(ISNUMBER('Council Entry'!Z$8),ISNUMBER('Council Entry'!Z$9)),MAX(MIN('Council Entry'!Z38,'Council Entry'!Z$9),'Council Entry'!Z$8),'Council Entry'!Z38))))-'Council Entry'!Z$5)/('Council Entry'!Z$6-'Council Entry'!Z$5)),1))),"No data"))</f>
        <v/>
      </c>
      <c r="AA38" s="13">
        <f>IF('Council Entry'!AA38="","",IFERROR(MAX(0,MIN(10,ROUND(IF('Council Entry'!AA$7="Decrease Risk",10-10*((IF('Council Entry'!AA$4="Logarithm",LN(0.001+IF(AND(ISNUMBER('Council Entry'!AA$8),ISNUMBER('Council Entry'!AA$9)),MAX(MIN('Council Entry'!AA38,'Council Entry'!AA$9),'Council Entry'!AA$8),'Council Entry'!AA38)),IF('Council Entry'!AA$4="Exponential",EXP(IF(AND(ISNUMBER('Council Entry'!AA$8),ISNUMBER('Council Entry'!AA$9)),MAX(MIN('Council Entry'!AA38,'Council Entry'!AA$9),'Council Entry'!AA$8),'Council Entry'!AA38)),IF(AND(ISNUMBER('Council Entry'!AA$8),ISNUMBER('Council Entry'!AA$9)),MAX(MIN('Council Entry'!AA38,'Council Entry'!AA$9),'Council Entry'!AA$8),'Council Entry'!AA38))))-'Council Entry'!AA$5)/('Council Entry'!AA$6-'Council Entry'!AA$5),10*((IF('Council Entry'!AA$4="Logarithm",LN(0.001+IF(AND(ISNUMBER('Council Entry'!AA$8),ISNUMBER('Council Entry'!AA$9)),MAX(MIN('Council Entry'!AA38,'Council Entry'!AA$9),'Council Entry'!AA$8),'Council Entry'!AA38)),IF('Council Entry'!AA$4="Exponential",EXP(IF(AND(ISNUMBER('Council Entry'!AA$8),ISNUMBER('Council Entry'!AA$9)),MAX(MIN('Council Entry'!AA38,'Council Entry'!AA$9),'Council Entry'!AA$8),'Council Entry'!AA38)),IF(AND(ISNUMBER('Council Entry'!AA$8),ISNUMBER('Council Entry'!AA$9)),MAX(MIN('Council Entry'!AA38,'Council Entry'!AA$9),'Council Entry'!AA$8),'Council Entry'!AA38))))-'Council Entry'!AA$5)/('Council Entry'!AA$6-'Council Entry'!AA$5)),1))),"No data"))</f>
        <v/>
      </c>
      <c r="AB38" s="13">
        <f>IF('Council Entry'!AB38="","",IFERROR(MAX(0,MIN(10,ROUND(IF('Council Entry'!AB$7="Decrease Risk",10-10*((IF('Council Entry'!AB$4="Logarithm",LN(0.001+IF(AND(ISNUMBER('Council Entry'!AB$8),ISNUMBER('Council Entry'!AB$9)),MAX(MIN('Council Entry'!AB38,'Council Entry'!AB$9),'Council Entry'!AB$8),'Council Entry'!AB38)),IF('Council Entry'!AB$4="Exponential",EXP(IF(AND(ISNUMBER('Council Entry'!AB$8),ISNUMBER('Council Entry'!AB$9)),MAX(MIN('Council Entry'!AB38,'Council Entry'!AB$9),'Council Entry'!AB$8),'Council Entry'!AB38)),IF(AND(ISNUMBER('Council Entry'!AB$8),ISNUMBER('Council Entry'!AB$9)),MAX(MIN('Council Entry'!AB38,'Council Entry'!AB$9),'Council Entry'!AB$8),'Council Entry'!AB38))))-'Council Entry'!AB$5)/('Council Entry'!AB$6-'Council Entry'!AB$5),10*((IF('Council Entry'!AB$4="Logarithm",LN(0.001+IF(AND(ISNUMBER('Council Entry'!AB$8),ISNUMBER('Council Entry'!AB$9)),MAX(MIN('Council Entry'!AB38,'Council Entry'!AB$9),'Council Entry'!AB$8),'Council Entry'!AB38)),IF('Council Entry'!AB$4="Exponential",EXP(IF(AND(ISNUMBER('Council Entry'!AB$8),ISNUMBER('Council Entry'!AB$9)),MAX(MIN('Council Entry'!AB38,'Council Entry'!AB$9),'Council Entry'!AB$8),'Council Entry'!AB38)),IF(AND(ISNUMBER('Council Entry'!AB$8),ISNUMBER('Council Entry'!AB$9)),MAX(MIN('Council Entry'!AB38,'Council Entry'!AB$9),'Council Entry'!AB$8),'Council Entry'!AB38))))-'Council Entry'!AB$5)/('Council Entry'!AB$6-'Council Entry'!AB$5)),1))),"No data"))</f>
        <v/>
      </c>
      <c r="AC38" s="13">
        <f>IF('Council Entry'!AC38="","",IFERROR(MAX(0,MIN(10,ROUND(IF('Council Entry'!AC$7="Decrease Risk",10-10*((IF('Council Entry'!AC$4="Logarithm",LN(0.001+IF(AND(ISNUMBER('Council Entry'!AC$8),ISNUMBER('Council Entry'!AC$9)),MAX(MIN('Council Entry'!AC38,'Council Entry'!AC$9),'Council Entry'!AC$8),'Council Entry'!AC38)),IF('Council Entry'!AC$4="Exponential",EXP(IF(AND(ISNUMBER('Council Entry'!AC$8),ISNUMBER('Council Entry'!AC$9)),MAX(MIN('Council Entry'!AC38,'Council Entry'!AC$9),'Council Entry'!AC$8),'Council Entry'!AC38)),IF(AND(ISNUMBER('Council Entry'!AC$8),ISNUMBER('Council Entry'!AC$9)),MAX(MIN('Council Entry'!AC38,'Council Entry'!AC$9),'Council Entry'!AC$8),'Council Entry'!AC38))))-'Council Entry'!AC$5)/('Council Entry'!AC$6-'Council Entry'!AC$5),10*((IF('Council Entry'!AC$4="Logarithm",LN(0.001+IF(AND(ISNUMBER('Council Entry'!AC$8),ISNUMBER('Council Entry'!AC$9)),MAX(MIN('Council Entry'!AC38,'Council Entry'!AC$9),'Council Entry'!AC$8),'Council Entry'!AC38)),IF('Council Entry'!AC$4="Exponential",EXP(IF(AND(ISNUMBER('Council Entry'!AC$8),ISNUMBER('Council Entry'!AC$9)),MAX(MIN('Council Entry'!AC38,'Council Entry'!AC$9),'Council Entry'!AC$8),'Council Entry'!AC38)),IF(AND(ISNUMBER('Council Entry'!AC$8),ISNUMBER('Council Entry'!AC$9)),MAX(MIN('Council Entry'!AC38,'Council Entry'!AC$9),'Council Entry'!AC$8),'Council Entry'!AC38))))-'Council Entry'!AC$5)/('Council Entry'!AC$6-'Council Entry'!AC$5)),1))),"No data"))</f>
        <v/>
      </c>
      <c r="AD38" s="13">
        <f>IF('Council Entry'!AD38="","",IFERROR(MAX(0,MIN(10,ROUND(IF('Council Entry'!AD$7="Decrease Risk",10-10*((IF('Council Entry'!AD$4="Logarithm",LN(0.001+IF(AND(ISNUMBER('Council Entry'!AD$8),ISNUMBER('Council Entry'!AD$9)),MAX(MIN('Council Entry'!AD38,'Council Entry'!AD$9),'Council Entry'!AD$8),'Council Entry'!AD38)),IF('Council Entry'!AD$4="Exponential",EXP(IF(AND(ISNUMBER('Council Entry'!AD$8),ISNUMBER('Council Entry'!AD$9)),MAX(MIN('Council Entry'!AD38,'Council Entry'!AD$9),'Council Entry'!AD$8),'Council Entry'!AD38)),IF(AND(ISNUMBER('Council Entry'!AD$8),ISNUMBER('Council Entry'!AD$9)),MAX(MIN('Council Entry'!AD38,'Council Entry'!AD$9),'Council Entry'!AD$8),'Council Entry'!AD38))))-'Council Entry'!AD$5)/('Council Entry'!AD$6-'Council Entry'!AD$5),10*((IF('Council Entry'!AD$4="Logarithm",LN(0.001+IF(AND(ISNUMBER('Council Entry'!AD$8),ISNUMBER('Council Entry'!AD$9)),MAX(MIN('Council Entry'!AD38,'Council Entry'!AD$9),'Council Entry'!AD$8),'Council Entry'!AD38)),IF('Council Entry'!AD$4="Exponential",EXP(IF(AND(ISNUMBER('Council Entry'!AD$8),ISNUMBER('Council Entry'!AD$9)),MAX(MIN('Council Entry'!AD38,'Council Entry'!AD$9),'Council Entry'!AD$8),'Council Entry'!AD38)),IF(AND(ISNUMBER('Council Entry'!AD$8),ISNUMBER('Council Entry'!AD$9)),MAX(MIN('Council Entry'!AD38,'Council Entry'!AD$9),'Council Entry'!AD$8),'Council Entry'!AD38))))-'Council Entry'!AD$5)/('Council Entry'!AD$6-'Council Entry'!AD$5)),1))),"No data"))</f>
        <v/>
      </c>
      <c r="AE38" s="13">
        <f>IF('Council Entry'!AE38="","",IFERROR(MAX(0,MIN(10,ROUND(IF('Council Entry'!AE$7="Decrease Risk",10-10*((IF('Council Entry'!AE$4="Logarithm",LN(0.001+IF(AND(ISNUMBER('Council Entry'!AE$8),ISNUMBER('Council Entry'!AE$9)),MAX(MIN('Council Entry'!AE38,'Council Entry'!AE$9),'Council Entry'!AE$8),'Council Entry'!AE38)),IF('Council Entry'!AE$4="Exponential",EXP(IF(AND(ISNUMBER('Council Entry'!AE$8),ISNUMBER('Council Entry'!AE$9)),MAX(MIN('Council Entry'!AE38,'Council Entry'!AE$9),'Council Entry'!AE$8),'Council Entry'!AE38)),IF(AND(ISNUMBER('Council Entry'!AE$8),ISNUMBER('Council Entry'!AE$9)),MAX(MIN('Council Entry'!AE38,'Council Entry'!AE$9),'Council Entry'!AE$8),'Council Entry'!AE38))))-'Council Entry'!AE$5)/('Council Entry'!AE$6-'Council Entry'!AE$5),10*((IF('Council Entry'!AE$4="Logarithm",LN(0.001+IF(AND(ISNUMBER('Council Entry'!AE$8),ISNUMBER('Council Entry'!AE$9)),MAX(MIN('Council Entry'!AE38,'Council Entry'!AE$9),'Council Entry'!AE$8),'Council Entry'!AE38)),IF('Council Entry'!AE$4="Exponential",EXP(IF(AND(ISNUMBER('Council Entry'!AE$8),ISNUMBER('Council Entry'!AE$9)),MAX(MIN('Council Entry'!AE38,'Council Entry'!AE$9),'Council Entry'!AE$8),'Council Entry'!AE38)),IF(AND(ISNUMBER('Council Entry'!AE$8),ISNUMBER('Council Entry'!AE$9)),MAX(MIN('Council Entry'!AE38,'Council Entry'!AE$9),'Council Entry'!AE$8),'Council Entry'!AE38))))-'Council Entry'!AE$5)/('Council Entry'!AE$6-'Council Entry'!AE$5)),1))),"No data"))</f>
        <v/>
      </c>
      <c r="AF38" s="13">
        <f>IF('Council Entry'!AF38="","",IFERROR(MAX(0,MIN(10,ROUND(IF('Council Entry'!AF$7="Decrease Risk",10-10*((IF('Council Entry'!AF$4="Logarithm",LN(0.001+IF(AND(ISNUMBER('Council Entry'!AF$8),ISNUMBER('Council Entry'!AF$9)),MAX(MIN('Council Entry'!AF38,'Council Entry'!AF$9),'Council Entry'!AF$8),'Council Entry'!AF38)),IF('Council Entry'!AF$4="Exponential",EXP(IF(AND(ISNUMBER('Council Entry'!AF$8),ISNUMBER('Council Entry'!AF$9)),MAX(MIN('Council Entry'!AF38,'Council Entry'!AF$9),'Council Entry'!AF$8),'Council Entry'!AF38)),IF(AND(ISNUMBER('Council Entry'!AF$8),ISNUMBER('Council Entry'!AF$9)),MAX(MIN('Council Entry'!AF38,'Council Entry'!AF$9),'Council Entry'!AF$8),'Council Entry'!AF38))))-'Council Entry'!AF$5)/('Council Entry'!AF$6-'Council Entry'!AF$5),10*((IF('Council Entry'!AF$4="Logarithm",LN(0.001+IF(AND(ISNUMBER('Council Entry'!AF$8),ISNUMBER('Council Entry'!AF$9)),MAX(MIN('Council Entry'!AF38,'Council Entry'!AF$9),'Council Entry'!AF$8),'Council Entry'!AF38)),IF('Council Entry'!AF$4="Exponential",EXP(IF(AND(ISNUMBER('Council Entry'!AF$8),ISNUMBER('Council Entry'!AF$9)),MAX(MIN('Council Entry'!AF38,'Council Entry'!AF$9),'Council Entry'!AF$8),'Council Entry'!AF38)),IF(AND(ISNUMBER('Council Entry'!AF$8),ISNUMBER('Council Entry'!AF$9)),MAX(MIN('Council Entry'!AF38,'Council Entry'!AF$9),'Council Entry'!AF$8),'Council Entry'!AF38))))-'Council Entry'!AF$5)/('Council Entry'!AF$6-'Council Entry'!AF$5)),1))),"No data"))</f>
        <v/>
      </c>
      <c r="AG38" s="13">
        <f>IF('Council Entry'!AG38="","",IFERROR(MAX(0,MIN(10,ROUND(IF('Council Entry'!AG$7="Decrease Risk",10-10*((IF('Council Entry'!AG$4="Logarithm",LN(0.001+IF(AND(ISNUMBER('Council Entry'!AG$8),ISNUMBER('Council Entry'!AG$9)),MAX(MIN('Council Entry'!AG38,'Council Entry'!AG$9),'Council Entry'!AG$8),'Council Entry'!AG38)),IF('Council Entry'!AG$4="Exponential",EXP(IF(AND(ISNUMBER('Council Entry'!AG$8),ISNUMBER('Council Entry'!AG$9)),MAX(MIN('Council Entry'!AG38,'Council Entry'!AG$9),'Council Entry'!AG$8),'Council Entry'!AG38)),IF(AND(ISNUMBER('Council Entry'!AG$8),ISNUMBER('Council Entry'!AG$9)),MAX(MIN('Council Entry'!AG38,'Council Entry'!AG$9),'Council Entry'!AG$8),'Council Entry'!AG38))))-'Council Entry'!AG$5)/('Council Entry'!AG$6-'Council Entry'!AG$5),10*((IF('Council Entry'!AG$4="Logarithm",LN(0.001+IF(AND(ISNUMBER('Council Entry'!AG$8),ISNUMBER('Council Entry'!AG$9)),MAX(MIN('Council Entry'!AG38,'Council Entry'!AG$9),'Council Entry'!AG$8),'Council Entry'!AG38)),IF('Council Entry'!AG$4="Exponential",EXP(IF(AND(ISNUMBER('Council Entry'!AG$8),ISNUMBER('Council Entry'!AG$9)),MAX(MIN('Council Entry'!AG38,'Council Entry'!AG$9),'Council Entry'!AG$8),'Council Entry'!AG38)),IF(AND(ISNUMBER('Council Entry'!AG$8),ISNUMBER('Council Entry'!AG$9)),MAX(MIN('Council Entry'!AG38,'Council Entry'!AG$9),'Council Entry'!AG$8),'Council Entry'!AG38))))-'Council Entry'!AG$5)/('Council Entry'!AG$6-'Council Entry'!AG$5)),1))),"No data"))</f>
        <v/>
      </c>
      <c r="AH38" s="13">
        <f>IF('Council Entry'!AH38="","",IFERROR(MAX(0,MIN(10,ROUND(IF('Council Entry'!AH$7="Decrease Risk",10-10*((IF('Council Entry'!AH$4="Logarithm",LN(0.001+IF(AND(ISNUMBER('Council Entry'!AH$8),ISNUMBER('Council Entry'!AH$9)),MAX(MIN('Council Entry'!AH38,'Council Entry'!AH$9),'Council Entry'!AH$8),'Council Entry'!AH38)),IF('Council Entry'!AH$4="Exponential",EXP(IF(AND(ISNUMBER('Council Entry'!AH$8),ISNUMBER('Council Entry'!AH$9)),MAX(MIN('Council Entry'!AH38,'Council Entry'!AH$9),'Council Entry'!AH$8),'Council Entry'!AH38)),IF(AND(ISNUMBER('Council Entry'!AH$8),ISNUMBER('Council Entry'!AH$9)),MAX(MIN('Council Entry'!AH38,'Council Entry'!AH$9),'Council Entry'!AH$8),'Council Entry'!AH38))))-'Council Entry'!AH$5)/('Council Entry'!AH$6-'Council Entry'!AH$5),10*((IF('Council Entry'!AH$4="Logarithm",LN(0.001+IF(AND(ISNUMBER('Council Entry'!AH$8),ISNUMBER('Council Entry'!AH$9)),MAX(MIN('Council Entry'!AH38,'Council Entry'!AH$9),'Council Entry'!AH$8),'Council Entry'!AH38)),IF('Council Entry'!AH$4="Exponential",EXP(IF(AND(ISNUMBER('Council Entry'!AH$8),ISNUMBER('Council Entry'!AH$9)),MAX(MIN('Council Entry'!AH38,'Council Entry'!AH$9),'Council Entry'!AH$8),'Council Entry'!AH38)),IF(AND(ISNUMBER('Council Entry'!AH$8),ISNUMBER('Council Entry'!AH$9)),MAX(MIN('Council Entry'!AH38,'Council Entry'!AH$9),'Council Entry'!AH$8),'Council Entry'!AH38))))-'Council Entry'!AH$5)/('Council Entry'!AH$6-'Council Entry'!AH$5)),1))),"No data"))</f>
        <v/>
      </c>
      <c r="AI38" s="13">
        <f>IF('Council Entry'!AI38="","",IFERROR(MAX(0,MIN(10,ROUND(IF('Council Entry'!AI$7="Decrease Risk",10-10*((IF('Council Entry'!AI$4="Logarithm",LN(0.001+IF(AND(ISNUMBER('Council Entry'!AI$8),ISNUMBER('Council Entry'!AI$9)),MAX(MIN('Council Entry'!AI38,'Council Entry'!AI$9),'Council Entry'!AI$8),'Council Entry'!AI38)),IF('Council Entry'!AI$4="Exponential",EXP(IF(AND(ISNUMBER('Council Entry'!AI$8),ISNUMBER('Council Entry'!AI$9)),MAX(MIN('Council Entry'!AI38,'Council Entry'!AI$9),'Council Entry'!AI$8),'Council Entry'!AI38)),IF(AND(ISNUMBER('Council Entry'!AI$8),ISNUMBER('Council Entry'!AI$9)),MAX(MIN('Council Entry'!AI38,'Council Entry'!AI$9),'Council Entry'!AI$8),'Council Entry'!AI38))))-'Council Entry'!AI$5)/('Council Entry'!AI$6-'Council Entry'!AI$5),10*((IF('Council Entry'!AI$4="Logarithm",LN(0.001+IF(AND(ISNUMBER('Council Entry'!AI$8),ISNUMBER('Council Entry'!AI$9)),MAX(MIN('Council Entry'!AI38,'Council Entry'!AI$9),'Council Entry'!AI$8),'Council Entry'!AI38)),IF('Council Entry'!AI$4="Exponential",EXP(IF(AND(ISNUMBER('Council Entry'!AI$8),ISNUMBER('Council Entry'!AI$9)),MAX(MIN('Council Entry'!AI38,'Council Entry'!AI$9),'Council Entry'!AI$8),'Council Entry'!AI38)),IF(AND(ISNUMBER('Council Entry'!AI$8),ISNUMBER('Council Entry'!AI$9)),MAX(MIN('Council Entry'!AI38,'Council Entry'!AI$9),'Council Entry'!AI$8),'Council Entry'!AI38))))-'Council Entry'!AI$5)/('Council Entry'!AI$6-'Council Entry'!AI$5)),1))),"No data"))</f>
        <v/>
      </c>
      <c r="AJ38" s="13">
        <f>IF('Council Entry'!AJ38="","",IFERROR(MAX(0,MIN(10,ROUND(IF('Council Entry'!AJ$7="Decrease Risk",10-10*((IF('Council Entry'!AJ$4="Logarithm",LN(0.001+IF(AND(ISNUMBER('Council Entry'!AJ$8),ISNUMBER('Council Entry'!AJ$9)),MAX(MIN('Council Entry'!AJ38,'Council Entry'!AJ$9),'Council Entry'!AJ$8),'Council Entry'!AJ38)),IF('Council Entry'!AJ$4="Exponential",EXP(IF(AND(ISNUMBER('Council Entry'!AJ$8),ISNUMBER('Council Entry'!AJ$9)),MAX(MIN('Council Entry'!AJ38,'Council Entry'!AJ$9),'Council Entry'!AJ$8),'Council Entry'!AJ38)),IF(AND(ISNUMBER('Council Entry'!AJ$8),ISNUMBER('Council Entry'!AJ$9)),MAX(MIN('Council Entry'!AJ38,'Council Entry'!AJ$9),'Council Entry'!AJ$8),'Council Entry'!AJ38))))-'Council Entry'!AJ$5)/('Council Entry'!AJ$6-'Council Entry'!AJ$5),10*((IF('Council Entry'!AJ$4="Logarithm",LN(0.001+IF(AND(ISNUMBER('Council Entry'!AJ$8),ISNUMBER('Council Entry'!AJ$9)),MAX(MIN('Council Entry'!AJ38,'Council Entry'!AJ$9),'Council Entry'!AJ$8),'Council Entry'!AJ38)),IF('Council Entry'!AJ$4="Exponential",EXP(IF(AND(ISNUMBER('Council Entry'!AJ$8),ISNUMBER('Council Entry'!AJ$9)),MAX(MIN('Council Entry'!AJ38,'Council Entry'!AJ$9),'Council Entry'!AJ$8),'Council Entry'!AJ38)),IF(AND(ISNUMBER('Council Entry'!AJ$8),ISNUMBER('Council Entry'!AJ$9)),MAX(MIN('Council Entry'!AJ38,'Council Entry'!AJ$9),'Council Entry'!AJ$8),'Council Entry'!AJ38))))-'Council Entry'!AJ$5)/('Council Entry'!AJ$6-'Council Entry'!AJ$5)),1))),"No data"))</f>
        <v/>
      </c>
      <c r="AK38" s="13">
        <f>IF('Council Entry'!AK38="","",IFERROR(MAX(0,MIN(10,ROUND(IF('Council Entry'!AK$7="Decrease Risk",10-10*((IF('Council Entry'!AK$4="Logarithm",LN(0.001+IF(AND(ISNUMBER('Council Entry'!AK$8),ISNUMBER('Council Entry'!AK$9)),MAX(MIN('Council Entry'!AK38,'Council Entry'!AK$9),'Council Entry'!AK$8),'Council Entry'!AK38)),IF('Council Entry'!AK$4="Exponential",EXP(IF(AND(ISNUMBER('Council Entry'!AK$8),ISNUMBER('Council Entry'!AK$9)),MAX(MIN('Council Entry'!AK38,'Council Entry'!AK$9),'Council Entry'!AK$8),'Council Entry'!AK38)),IF(AND(ISNUMBER('Council Entry'!AK$8),ISNUMBER('Council Entry'!AK$9)),MAX(MIN('Council Entry'!AK38,'Council Entry'!AK$9),'Council Entry'!AK$8),'Council Entry'!AK38))))-'Council Entry'!AK$5)/('Council Entry'!AK$6-'Council Entry'!AK$5),10*((IF('Council Entry'!AK$4="Logarithm",LN(0.001+IF(AND(ISNUMBER('Council Entry'!AK$8),ISNUMBER('Council Entry'!AK$9)),MAX(MIN('Council Entry'!AK38,'Council Entry'!AK$9),'Council Entry'!AK$8),'Council Entry'!AK38)),IF('Council Entry'!AK$4="Exponential",EXP(IF(AND(ISNUMBER('Council Entry'!AK$8),ISNUMBER('Council Entry'!AK$9)),MAX(MIN('Council Entry'!AK38,'Council Entry'!AK$9),'Council Entry'!AK$8),'Council Entry'!AK38)),IF(AND(ISNUMBER('Council Entry'!AK$8),ISNUMBER('Council Entry'!AK$9)),MAX(MIN('Council Entry'!AK38,'Council Entry'!AK$9),'Council Entry'!AK$8),'Council Entry'!AK38))))-'Council Entry'!AK$5)/('Council Entry'!AK$6-'Council Entry'!AK$5)),1))),"No data"))</f>
        <v/>
      </c>
      <c r="AL38" s="13">
        <f>IF('Council Entry'!AL38="","",IFERROR(MAX(0,MIN(10,ROUND(IF('Council Entry'!AL$7="Decrease Risk",10-10*((IF('Council Entry'!AL$4="Logarithm",LN(0.001+IF(AND(ISNUMBER('Council Entry'!AL$8),ISNUMBER('Council Entry'!AL$9)),MAX(MIN('Council Entry'!AL38,'Council Entry'!AL$9),'Council Entry'!AL$8),'Council Entry'!AL38)),IF('Council Entry'!AL$4="Exponential",EXP(IF(AND(ISNUMBER('Council Entry'!AL$8),ISNUMBER('Council Entry'!AL$9)),MAX(MIN('Council Entry'!AL38,'Council Entry'!AL$9),'Council Entry'!AL$8),'Council Entry'!AL38)),IF(AND(ISNUMBER('Council Entry'!AL$8),ISNUMBER('Council Entry'!AL$9)),MAX(MIN('Council Entry'!AL38,'Council Entry'!AL$9),'Council Entry'!AL$8),'Council Entry'!AL38))))-'Council Entry'!AL$5)/('Council Entry'!AL$6-'Council Entry'!AL$5),10*((IF('Council Entry'!AL$4="Logarithm",LN(0.001+IF(AND(ISNUMBER('Council Entry'!AL$8),ISNUMBER('Council Entry'!AL$9)),MAX(MIN('Council Entry'!AL38,'Council Entry'!AL$9),'Council Entry'!AL$8),'Council Entry'!AL38)),IF('Council Entry'!AL$4="Exponential",EXP(IF(AND(ISNUMBER('Council Entry'!AL$8),ISNUMBER('Council Entry'!AL$9)),MAX(MIN('Council Entry'!AL38,'Council Entry'!AL$9),'Council Entry'!AL$8),'Council Entry'!AL38)),IF(AND(ISNUMBER('Council Entry'!AL$8),ISNUMBER('Council Entry'!AL$9)),MAX(MIN('Council Entry'!AL38,'Council Entry'!AL$9),'Council Entry'!AL$8),'Council Entry'!AL38))))-'Council Entry'!AL$5)/('Council Entry'!AL$6-'Council Entry'!AL$5)),1))),"No data"))</f>
        <v/>
      </c>
      <c r="AM38" s="13">
        <f>IF('Council Entry'!AM38="","",IFERROR(MAX(0,MIN(10,ROUND(IF('Council Entry'!AM$7="Decrease Risk",10-10*((IF('Council Entry'!AM$4="Logarithm",LN(0.001+IF(AND(ISNUMBER('Council Entry'!AM$8),ISNUMBER('Council Entry'!AM$9)),MAX(MIN('Council Entry'!AM38,'Council Entry'!AM$9),'Council Entry'!AM$8),'Council Entry'!AM38)),IF('Council Entry'!AM$4="Exponential",EXP(IF(AND(ISNUMBER('Council Entry'!AM$8),ISNUMBER('Council Entry'!AM$9)),MAX(MIN('Council Entry'!AM38,'Council Entry'!AM$9),'Council Entry'!AM$8),'Council Entry'!AM38)),IF(AND(ISNUMBER('Council Entry'!AM$8),ISNUMBER('Council Entry'!AM$9)),MAX(MIN('Council Entry'!AM38,'Council Entry'!AM$9),'Council Entry'!AM$8),'Council Entry'!AM38))))-'Council Entry'!AM$5)/('Council Entry'!AM$6-'Council Entry'!AM$5),10*((IF('Council Entry'!AM$4="Logarithm",LN(0.001+IF(AND(ISNUMBER('Council Entry'!AM$8),ISNUMBER('Council Entry'!AM$9)),MAX(MIN('Council Entry'!AM38,'Council Entry'!AM$9),'Council Entry'!AM$8),'Council Entry'!AM38)),IF('Council Entry'!AM$4="Exponential",EXP(IF(AND(ISNUMBER('Council Entry'!AM$8),ISNUMBER('Council Entry'!AM$9)),MAX(MIN('Council Entry'!AM38,'Council Entry'!AM$9),'Council Entry'!AM$8),'Council Entry'!AM38)),IF(AND(ISNUMBER('Council Entry'!AM$8),ISNUMBER('Council Entry'!AM$9)),MAX(MIN('Council Entry'!AM38,'Council Entry'!AM$9),'Council Entry'!AM$8),'Council Entry'!AM38))))-'Council Entry'!AM$5)/('Council Entry'!AM$6-'Council Entry'!AM$5)),1))),"No data"))</f>
        <v/>
      </c>
      <c r="AN38" s="13">
        <f>IF('Council Entry'!AN38="","",IFERROR(MAX(0,MIN(10,ROUND(IF('Council Entry'!AN$7="Decrease Risk",10-10*((IF('Council Entry'!AN$4="Logarithm",LN(0.001+IF(AND(ISNUMBER('Council Entry'!AN$8),ISNUMBER('Council Entry'!AN$9)),MAX(MIN('Council Entry'!AN38,'Council Entry'!AN$9),'Council Entry'!AN$8),'Council Entry'!AN38)),IF('Council Entry'!AN$4="Exponential",EXP(IF(AND(ISNUMBER('Council Entry'!AN$8),ISNUMBER('Council Entry'!AN$9)),MAX(MIN('Council Entry'!AN38,'Council Entry'!AN$9),'Council Entry'!AN$8),'Council Entry'!AN38)),IF(AND(ISNUMBER('Council Entry'!AN$8),ISNUMBER('Council Entry'!AN$9)),MAX(MIN('Council Entry'!AN38,'Council Entry'!AN$9),'Council Entry'!AN$8),'Council Entry'!AN38))))-'Council Entry'!AN$5)/('Council Entry'!AN$6-'Council Entry'!AN$5),10*((IF('Council Entry'!AN$4="Logarithm",LN(0.001+IF(AND(ISNUMBER('Council Entry'!AN$8),ISNUMBER('Council Entry'!AN$9)),MAX(MIN('Council Entry'!AN38,'Council Entry'!AN$9),'Council Entry'!AN$8),'Council Entry'!AN38)),IF('Council Entry'!AN$4="Exponential",EXP(IF(AND(ISNUMBER('Council Entry'!AN$8),ISNUMBER('Council Entry'!AN$9)),MAX(MIN('Council Entry'!AN38,'Council Entry'!AN$9),'Council Entry'!AN$8),'Council Entry'!AN38)),IF(AND(ISNUMBER('Council Entry'!AN$8),ISNUMBER('Council Entry'!AN$9)),MAX(MIN('Council Entry'!AN38,'Council Entry'!AN$9),'Council Entry'!AN$8),'Council Entry'!AN38))))-'Council Entry'!AN$5)/('Council Entry'!AN$6-'Council Entry'!AN$5)),1))),"No data"))</f>
        <v/>
      </c>
      <c r="AO38" s="13">
        <f>IF('Council Entry'!AO38="","",IFERROR(MAX(0,MIN(10,ROUND(IF('Council Entry'!AO$7="Decrease Risk",10-10*((IF('Council Entry'!AO$4="Logarithm",LN(0.001+IF(AND(ISNUMBER('Council Entry'!AO$8),ISNUMBER('Council Entry'!AO$9)),MAX(MIN('Council Entry'!AO38,'Council Entry'!AO$9),'Council Entry'!AO$8),'Council Entry'!AO38)),IF('Council Entry'!AO$4="Exponential",EXP(IF(AND(ISNUMBER('Council Entry'!AO$8),ISNUMBER('Council Entry'!AO$9)),MAX(MIN('Council Entry'!AO38,'Council Entry'!AO$9),'Council Entry'!AO$8),'Council Entry'!AO38)),IF(AND(ISNUMBER('Council Entry'!AO$8),ISNUMBER('Council Entry'!AO$9)),MAX(MIN('Council Entry'!AO38,'Council Entry'!AO$9),'Council Entry'!AO$8),'Council Entry'!AO38))))-'Council Entry'!AO$5)/('Council Entry'!AO$6-'Council Entry'!AO$5),10*((IF('Council Entry'!AO$4="Logarithm",LN(0.001+IF(AND(ISNUMBER('Council Entry'!AO$8),ISNUMBER('Council Entry'!AO$9)),MAX(MIN('Council Entry'!AO38,'Council Entry'!AO$9),'Council Entry'!AO$8),'Council Entry'!AO38)),IF('Council Entry'!AO$4="Exponential",EXP(IF(AND(ISNUMBER('Council Entry'!AO$8),ISNUMBER('Council Entry'!AO$9)),MAX(MIN('Council Entry'!AO38,'Council Entry'!AO$9),'Council Entry'!AO$8),'Council Entry'!AO38)),IF(AND(ISNUMBER('Council Entry'!AO$8),ISNUMBER('Council Entry'!AO$9)),MAX(MIN('Council Entry'!AO38,'Council Entry'!AO$9),'Council Entry'!AO$8),'Council Entry'!AO38))))-'Council Entry'!AO$5)/('Council Entry'!AO$6-'Council Entry'!AO$5)),1))),"No data"))</f>
        <v/>
      </c>
      <c r="AP38" s="13">
        <f>IF('Council Entry'!AP38="","",IFERROR(MAX(0,MIN(10,ROUND(IF('Council Entry'!AP$7="Decrease Risk",10-10*((IF('Council Entry'!AP$4="Logarithm",LN(0.001+IF(AND(ISNUMBER('Council Entry'!AP$8),ISNUMBER('Council Entry'!AP$9)),MAX(MIN('Council Entry'!AP38,'Council Entry'!AP$9),'Council Entry'!AP$8),'Council Entry'!AP38)),IF('Council Entry'!AP$4="Exponential",EXP(IF(AND(ISNUMBER('Council Entry'!AP$8),ISNUMBER('Council Entry'!AP$9)),MAX(MIN('Council Entry'!AP38,'Council Entry'!AP$9),'Council Entry'!AP$8),'Council Entry'!AP38)),IF(AND(ISNUMBER('Council Entry'!AP$8),ISNUMBER('Council Entry'!AP$9)),MAX(MIN('Council Entry'!AP38,'Council Entry'!AP$9),'Council Entry'!AP$8),'Council Entry'!AP38))))-'Council Entry'!AP$5)/('Council Entry'!AP$6-'Council Entry'!AP$5),10*((IF('Council Entry'!AP$4="Logarithm",LN(0.001+IF(AND(ISNUMBER('Council Entry'!AP$8),ISNUMBER('Council Entry'!AP$9)),MAX(MIN('Council Entry'!AP38,'Council Entry'!AP$9),'Council Entry'!AP$8),'Council Entry'!AP38)),IF('Council Entry'!AP$4="Exponential",EXP(IF(AND(ISNUMBER('Council Entry'!AP$8),ISNUMBER('Council Entry'!AP$9)),MAX(MIN('Council Entry'!AP38,'Council Entry'!AP$9),'Council Entry'!AP$8),'Council Entry'!AP38)),IF(AND(ISNUMBER('Council Entry'!AP$8),ISNUMBER('Council Entry'!AP$9)),MAX(MIN('Council Entry'!AP38,'Council Entry'!AP$9),'Council Entry'!AP$8),'Council Entry'!AP38))))-'Council Entry'!AP$5)/('Council Entry'!AP$6-'Council Entry'!AP$5)),1))),"No data"))</f>
        <v/>
      </c>
      <c r="AQ38" s="13">
        <f>IF('Council Entry'!AQ38="","",IFERROR(MAX(0,MIN(10,ROUND(IF('Council Entry'!AQ$7="Decrease Risk",10-10*((IF('Council Entry'!AQ$4="Logarithm",LN(0.001+IF(AND(ISNUMBER('Council Entry'!AQ$8),ISNUMBER('Council Entry'!AQ$9)),MAX(MIN('Council Entry'!AQ38,'Council Entry'!AQ$9),'Council Entry'!AQ$8),'Council Entry'!AQ38)),IF('Council Entry'!AQ$4="Exponential",EXP(IF(AND(ISNUMBER('Council Entry'!AQ$8),ISNUMBER('Council Entry'!AQ$9)),MAX(MIN('Council Entry'!AQ38,'Council Entry'!AQ$9),'Council Entry'!AQ$8),'Council Entry'!AQ38)),IF(AND(ISNUMBER('Council Entry'!AQ$8),ISNUMBER('Council Entry'!AQ$9)),MAX(MIN('Council Entry'!AQ38,'Council Entry'!AQ$9),'Council Entry'!AQ$8),'Council Entry'!AQ38))))-'Council Entry'!AQ$5)/('Council Entry'!AQ$6-'Council Entry'!AQ$5),10*((IF('Council Entry'!AQ$4="Logarithm",LN(0.001+IF(AND(ISNUMBER('Council Entry'!AQ$8),ISNUMBER('Council Entry'!AQ$9)),MAX(MIN('Council Entry'!AQ38,'Council Entry'!AQ$9),'Council Entry'!AQ$8),'Council Entry'!AQ38)),IF('Council Entry'!AQ$4="Exponential",EXP(IF(AND(ISNUMBER('Council Entry'!AQ$8),ISNUMBER('Council Entry'!AQ$9)),MAX(MIN('Council Entry'!AQ38,'Council Entry'!AQ$9),'Council Entry'!AQ$8),'Council Entry'!AQ38)),IF(AND(ISNUMBER('Council Entry'!AQ$8),ISNUMBER('Council Entry'!AQ$9)),MAX(MIN('Council Entry'!AQ38,'Council Entry'!AQ$9),'Council Entry'!AQ$8),'Council Entry'!AQ38))))-'Council Entry'!AQ$5)/('Council Entry'!AQ$6-'Council Entry'!AQ$5)),1))),"No data"))</f>
        <v/>
      </c>
      <c r="AR38" s="13">
        <f>IF('Council Entry'!AR38="","",IFERROR(MAX(0,MIN(10,ROUND(IF('Council Entry'!AR$7="Decrease Risk",10-10*((IF('Council Entry'!AR$4="Logarithm",LN(0.001+IF(AND(ISNUMBER('Council Entry'!AR$8),ISNUMBER('Council Entry'!AR$9)),MAX(MIN('Council Entry'!AR38,'Council Entry'!AR$9),'Council Entry'!AR$8),'Council Entry'!AR38)),IF('Council Entry'!AR$4="Exponential",EXP(IF(AND(ISNUMBER('Council Entry'!AR$8),ISNUMBER('Council Entry'!AR$9)),MAX(MIN('Council Entry'!AR38,'Council Entry'!AR$9),'Council Entry'!AR$8),'Council Entry'!AR38)),IF(AND(ISNUMBER('Council Entry'!AR$8),ISNUMBER('Council Entry'!AR$9)),MAX(MIN('Council Entry'!AR38,'Council Entry'!AR$9),'Council Entry'!AR$8),'Council Entry'!AR38))))-'Council Entry'!AR$5)/('Council Entry'!AR$6-'Council Entry'!AR$5),10*((IF('Council Entry'!AR$4="Logarithm",LN(0.001+IF(AND(ISNUMBER('Council Entry'!AR$8),ISNUMBER('Council Entry'!AR$9)),MAX(MIN('Council Entry'!AR38,'Council Entry'!AR$9),'Council Entry'!AR$8),'Council Entry'!AR38)),IF('Council Entry'!AR$4="Exponential",EXP(IF(AND(ISNUMBER('Council Entry'!AR$8),ISNUMBER('Council Entry'!AR$9)),MAX(MIN('Council Entry'!AR38,'Council Entry'!AR$9),'Council Entry'!AR$8),'Council Entry'!AR38)),IF(AND(ISNUMBER('Council Entry'!AR$8),ISNUMBER('Council Entry'!AR$9)),MAX(MIN('Council Entry'!AR38,'Council Entry'!AR$9),'Council Entry'!AR$8),'Council Entry'!AR38))))-'Council Entry'!AR$5)/('Council Entry'!AR$6-'Council Entry'!AR$5)),1))),"No data"))</f>
        <v/>
      </c>
      <c r="AS38" s="13">
        <f>IF('Council Entry'!AS38="","",IFERROR(MAX(0,MIN(10,ROUND(IF('Council Entry'!AS$7="Decrease Risk",10-10*((IF('Council Entry'!AS$4="Logarithm",LN(0.001+IF(AND(ISNUMBER('Council Entry'!AS$8),ISNUMBER('Council Entry'!AS$9)),MAX(MIN('Council Entry'!AS38,'Council Entry'!AS$9),'Council Entry'!AS$8),'Council Entry'!AS38)),IF('Council Entry'!AS$4="Exponential",EXP(IF(AND(ISNUMBER('Council Entry'!AS$8),ISNUMBER('Council Entry'!AS$9)),MAX(MIN('Council Entry'!AS38,'Council Entry'!AS$9),'Council Entry'!AS$8),'Council Entry'!AS38)),IF(AND(ISNUMBER('Council Entry'!AS$8),ISNUMBER('Council Entry'!AS$9)),MAX(MIN('Council Entry'!AS38,'Council Entry'!AS$9),'Council Entry'!AS$8),'Council Entry'!AS38))))-'Council Entry'!AS$5)/('Council Entry'!AS$6-'Council Entry'!AS$5),10*((IF('Council Entry'!AS$4="Logarithm",LN(0.001+IF(AND(ISNUMBER('Council Entry'!AS$8),ISNUMBER('Council Entry'!AS$9)),MAX(MIN('Council Entry'!AS38,'Council Entry'!AS$9),'Council Entry'!AS$8),'Council Entry'!AS38)),IF('Council Entry'!AS$4="Exponential",EXP(IF(AND(ISNUMBER('Council Entry'!AS$8),ISNUMBER('Council Entry'!AS$9)),MAX(MIN('Council Entry'!AS38,'Council Entry'!AS$9),'Council Entry'!AS$8),'Council Entry'!AS38)),IF(AND(ISNUMBER('Council Entry'!AS$8),ISNUMBER('Council Entry'!AS$9)),MAX(MIN('Council Entry'!AS38,'Council Entry'!AS$9),'Council Entry'!AS$8),'Council Entry'!AS38))))-'Council Entry'!AS$5)/('Council Entry'!AS$6-'Council Entry'!AS$5)),1))),"No data"))</f>
        <v/>
      </c>
      <c r="AT38" s="13">
        <f>IF('Council Entry'!AT38="","",IFERROR(MAX(0,MIN(10,ROUND(IF('Council Entry'!AT$7="Decrease Risk",10-10*((IF('Council Entry'!AT$4="Logarithm",LN(0.001+IF(AND(ISNUMBER('Council Entry'!AT$8),ISNUMBER('Council Entry'!AT$9)),MAX(MIN('Council Entry'!AT38,'Council Entry'!AT$9),'Council Entry'!AT$8),'Council Entry'!AT38)),IF('Council Entry'!AT$4="Exponential",EXP(IF(AND(ISNUMBER('Council Entry'!AT$8),ISNUMBER('Council Entry'!AT$9)),MAX(MIN('Council Entry'!AT38,'Council Entry'!AT$9),'Council Entry'!AT$8),'Council Entry'!AT38)),IF(AND(ISNUMBER('Council Entry'!AT$8),ISNUMBER('Council Entry'!AT$9)),MAX(MIN('Council Entry'!AT38,'Council Entry'!AT$9),'Council Entry'!AT$8),'Council Entry'!AT38))))-'Council Entry'!AT$5)/('Council Entry'!AT$6-'Council Entry'!AT$5),10*((IF('Council Entry'!AT$4="Logarithm",LN(0.001+IF(AND(ISNUMBER('Council Entry'!AT$8),ISNUMBER('Council Entry'!AT$9)),MAX(MIN('Council Entry'!AT38,'Council Entry'!AT$9),'Council Entry'!AT$8),'Council Entry'!AT38)),IF('Council Entry'!AT$4="Exponential",EXP(IF(AND(ISNUMBER('Council Entry'!AT$8),ISNUMBER('Council Entry'!AT$9)),MAX(MIN('Council Entry'!AT38,'Council Entry'!AT$9),'Council Entry'!AT$8),'Council Entry'!AT38)),IF(AND(ISNUMBER('Council Entry'!AT$8),ISNUMBER('Council Entry'!AT$9)),MAX(MIN('Council Entry'!AT38,'Council Entry'!AT$9),'Council Entry'!AT$8),'Council Entry'!AT38))))-'Council Entry'!AT$5)/('Council Entry'!AT$6-'Council Entry'!AT$5)),1))),"No data"))</f>
        <v/>
      </c>
      <c r="AU38" s="13">
        <f>IF('Council Entry'!AU38="","",IFERROR(MAX(0,MIN(10,ROUND(IF('Council Entry'!AU$7="Decrease Risk",10-10*((IF('Council Entry'!AU$4="Logarithm",LN(0.001+IF(AND(ISNUMBER('Council Entry'!AU$8),ISNUMBER('Council Entry'!AU$9)),MAX(MIN('Council Entry'!AU38,'Council Entry'!AU$9),'Council Entry'!AU$8),'Council Entry'!AU38)),IF('Council Entry'!AU$4="Exponential",EXP(IF(AND(ISNUMBER('Council Entry'!AU$8),ISNUMBER('Council Entry'!AU$9)),MAX(MIN('Council Entry'!AU38,'Council Entry'!AU$9),'Council Entry'!AU$8),'Council Entry'!AU38)),IF(AND(ISNUMBER('Council Entry'!AU$8),ISNUMBER('Council Entry'!AU$9)),MAX(MIN('Council Entry'!AU38,'Council Entry'!AU$9),'Council Entry'!AU$8),'Council Entry'!AU38))))-'Council Entry'!AU$5)/('Council Entry'!AU$6-'Council Entry'!AU$5),10*((IF('Council Entry'!AU$4="Logarithm",LN(0.001+IF(AND(ISNUMBER('Council Entry'!AU$8),ISNUMBER('Council Entry'!AU$9)),MAX(MIN('Council Entry'!AU38,'Council Entry'!AU$9),'Council Entry'!AU$8),'Council Entry'!AU38)),IF('Council Entry'!AU$4="Exponential",EXP(IF(AND(ISNUMBER('Council Entry'!AU$8),ISNUMBER('Council Entry'!AU$9)),MAX(MIN('Council Entry'!AU38,'Council Entry'!AU$9),'Council Entry'!AU$8),'Council Entry'!AU38)),IF(AND(ISNUMBER('Council Entry'!AU$8),ISNUMBER('Council Entry'!AU$9)),MAX(MIN('Council Entry'!AU38,'Council Entry'!AU$9),'Council Entry'!AU$8),'Council Entry'!AU38))))-'Council Entry'!AU$5)/('Council Entry'!AU$6-'Council Entry'!AU$5)),1))),"No data"))</f>
        <v/>
      </c>
      <c r="AV38" s="13">
        <f>IF('Council Entry'!AV38="","",IFERROR(MAX(0,MIN(10,ROUND(IF('Council Entry'!AV$7="Decrease Risk",10-10*((IF('Council Entry'!AV$4="Logarithm",LN(0.001+IF(AND(ISNUMBER('Council Entry'!AV$8),ISNUMBER('Council Entry'!AV$9)),MAX(MIN('Council Entry'!AV38,'Council Entry'!AV$9),'Council Entry'!AV$8),'Council Entry'!AV38)),IF('Council Entry'!AV$4="Exponential",EXP(IF(AND(ISNUMBER('Council Entry'!AV$8),ISNUMBER('Council Entry'!AV$9)),MAX(MIN('Council Entry'!AV38,'Council Entry'!AV$9),'Council Entry'!AV$8),'Council Entry'!AV38)),IF(AND(ISNUMBER('Council Entry'!AV$8),ISNUMBER('Council Entry'!AV$9)),MAX(MIN('Council Entry'!AV38,'Council Entry'!AV$9),'Council Entry'!AV$8),'Council Entry'!AV38))))-'Council Entry'!AV$5)/('Council Entry'!AV$6-'Council Entry'!AV$5),10*((IF('Council Entry'!AV$4="Logarithm",LN(0.001+IF(AND(ISNUMBER('Council Entry'!AV$8),ISNUMBER('Council Entry'!AV$9)),MAX(MIN('Council Entry'!AV38,'Council Entry'!AV$9),'Council Entry'!AV$8),'Council Entry'!AV38)),IF('Council Entry'!AV$4="Exponential",EXP(IF(AND(ISNUMBER('Council Entry'!AV$8),ISNUMBER('Council Entry'!AV$9)),MAX(MIN('Council Entry'!AV38,'Council Entry'!AV$9),'Council Entry'!AV$8),'Council Entry'!AV38)),IF(AND(ISNUMBER('Council Entry'!AV$8),ISNUMBER('Council Entry'!AV$9)),MAX(MIN('Council Entry'!AV38,'Council Entry'!AV$9),'Council Entry'!AV$8),'Council Entry'!AV38))))-'Council Entry'!AV$5)/('Council Entry'!AV$6-'Council Entry'!AV$5)),1))),"No data"))</f>
        <v/>
      </c>
      <c r="AW38" s="13">
        <f>IF('Council Entry'!AW38="","",IFERROR(MAX(0,MIN(10,ROUND(IF('Council Entry'!AW$7="Decrease Risk",10-10*((IF('Council Entry'!AW$4="Logarithm",LN(0.001+IF(AND(ISNUMBER('Council Entry'!AW$8),ISNUMBER('Council Entry'!AW$9)),MAX(MIN('Council Entry'!AW38,'Council Entry'!AW$9),'Council Entry'!AW$8),'Council Entry'!AW38)),IF('Council Entry'!AW$4="Exponential",EXP(IF(AND(ISNUMBER('Council Entry'!AW$8),ISNUMBER('Council Entry'!AW$9)),MAX(MIN('Council Entry'!AW38,'Council Entry'!AW$9),'Council Entry'!AW$8),'Council Entry'!AW38)),IF(AND(ISNUMBER('Council Entry'!AW$8),ISNUMBER('Council Entry'!AW$9)),MAX(MIN('Council Entry'!AW38,'Council Entry'!AW$9),'Council Entry'!AW$8),'Council Entry'!AW38))))-'Council Entry'!AW$5)/('Council Entry'!AW$6-'Council Entry'!AW$5),10*((IF('Council Entry'!AW$4="Logarithm",LN(0.001+IF(AND(ISNUMBER('Council Entry'!AW$8),ISNUMBER('Council Entry'!AW$9)),MAX(MIN('Council Entry'!AW38,'Council Entry'!AW$9),'Council Entry'!AW$8),'Council Entry'!AW38)),IF('Council Entry'!AW$4="Exponential",EXP(IF(AND(ISNUMBER('Council Entry'!AW$8),ISNUMBER('Council Entry'!AW$9)),MAX(MIN('Council Entry'!AW38,'Council Entry'!AW$9),'Council Entry'!AW$8),'Council Entry'!AW38)),IF(AND(ISNUMBER('Council Entry'!AW$8),ISNUMBER('Council Entry'!AW$9)),MAX(MIN('Council Entry'!AW38,'Council Entry'!AW$9),'Council Entry'!AW$8),'Council Entry'!AW38))))-'Council Entry'!AW$5)/('Council Entry'!AW$6-'Council Entry'!AW$5)),1))),"No data"))</f>
        <v/>
      </c>
      <c r="AX38" s="13">
        <f>IF('Council Entry'!AX38="","",IFERROR(MAX(0,MIN(10,ROUND(IF('Council Entry'!AX$7="Decrease Risk",10-10*((IF('Council Entry'!AX$4="Logarithm",LN(0.001+IF(AND(ISNUMBER('Council Entry'!AX$8),ISNUMBER('Council Entry'!AX$9)),MAX(MIN('Council Entry'!AX38,'Council Entry'!AX$9),'Council Entry'!AX$8),'Council Entry'!AX38)),IF('Council Entry'!AX$4="Exponential",EXP(IF(AND(ISNUMBER('Council Entry'!AX$8),ISNUMBER('Council Entry'!AX$9)),MAX(MIN('Council Entry'!AX38,'Council Entry'!AX$9),'Council Entry'!AX$8),'Council Entry'!AX38)),IF(AND(ISNUMBER('Council Entry'!AX$8),ISNUMBER('Council Entry'!AX$9)),MAX(MIN('Council Entry'!AX38,'Council Entry'!AX$9),'Council Entry'!AX$8),'Council Entry'!AX38))))-'Council Entry'!AX$5)/('Council Entry'!AX$6-'Council Entry'!AX$5),10*((IF('Council Entry'!AX$4="Logarithm",LN(0.001+IF(AND(ISNUMBER('Council Entry'!AX$8),ISNUMBER('Council Entry'!AX$9)),MAX(MIN('Council Entry'!AX38,'Council Entry'!AX$9),'Council Entry'!AX$8),'Council Entry'!AX38)),IF('Council Entry'!AX$4="Exponential",EXP(IF(AND(ISNUMBER('Council Entry'!AX$8),ISNUMBER('Council Entry'!AX$9)),MAX(MIN('Council Entry'!AX38,'Council Entry'!AX$9),'Council Entry'!AX$8),'Council Entry'!AX38)),IF(AND(ISNUMBER('Council Entry'!AX$8),ISNUMBER('Council Entry'!AX$9)),MAX(MIN('Council Entry'!AX38,'Council Entry'!AX$9),'Council Entry'!AX$8),'Council Entry'!AX38))))-'Council Entry'!AX$5)/('Council Entry'!AX$6-'Council Entry'!AX$5)),1))),"No data"))</f>
        <v/>
      </c>
      <c r="AY38" s="13">
        <f>IF('Council Entry'!AY38="","",IFERROR(MAX(0,MIN(10,ROUND(IF('Council Entry'!AY$7="Decrease Risk",10-10*((IF('Council Entry'!AY$4="Logarithm",LN(0.001+IF(AND(ISNUMBER('Council Entry'!AY$8),ISNUMBER('Council Entry'!AY$9)),MAX(MIN('Council Entry'!AY38,'Council Entry'!AY$9),'Council Entry'!AY$8),'Council Entry'!AY38)),IF('Council Entry'!AY$4="Exponential",EXP(IF(AND(ISNUMBER('Council Entry'!AY$8),ISNUMBER('Council Entry'!AY$9)),MAX(MIN('Council Entry'!AY38,'Council Entry'!AY$9),'Council Entry'!AY$8),'Council Entry'!AY38)),IF(AND(ISNUMBER('Council Entry'!AY$8),ISNUMBER('Council Entry'!AY$9)),MAX(MIN('Council Entry'!AY38,'Council Entry'!AY$9),'Council Entry'!AY$8),'Council Entry'!AY38))))-'Council Entry'!AY$5)/('Council Entry'!AY$6-'Council Entry'!AY$5),10*((IF('Council Entry'!AY$4="Logarithm",LN(0.001+IF(AND(ISNUMBER('Council Entry'!AY$8),ISNUMBER('Council Entry'!AY$9)),MAX(MIN('Council Entry'!AY38,'Council Entry'!AY$9),'Council Entry'!AY$8),'Council Entry'!AY38)),IF('Council Entry'!AY$4="Exponential",EXP(IF(AND(ISNUMBER('Council Entry'!AY$8),ISNUMBER('Council Entry'!AY$9)),MAX(MIN('Council Entry'!AY38,'Council Entry'!AY$9),'Council Entry'!AY$8),'Council Entry'!AY38)),IF(AND(ISNUMBER('Council Entry'!AY$8),ISNUMBER('Council Entry'!AY$9)),MAX(MIN('Council Entry'!AY38,'Council Entry'!AY$9),'Council Entry'!AY$8),'Council Entry'!AY38))))-'Council Entry'!AY$5)/('Council Entry'!AY$6-'Council Entry'!AY$5)),1))),"No data"))</f>
        <v/>
      </c>
      <c r="AZ38" s="13">
        <f>IF('Council Entry'!AZ38="","",IFERROR(MAX(0,MIN(10,ROUND(IF('Council Entry'!AZ$7="Decrease Risk",10-10*((IF('Council Entry'!AZ$4="Logarithm",LN(0.001+IF(AND(ISNUMBER('Council Entry'!AZ$8),ISNUMBER('Council Entry'!AZ$9)),MAX(MIN('Council Entry'!AZ38,'Council Entry'!AZ$9),'Council Entry'!AZ$8),'Council Entry'!AZ38)),IF('Council Entry'!AZ$4="Exponential",EXP(IF(AND(ISNUMBER('Council Entry'!AZ$8),ISNUMBER('Council Entry'!AZ$9)),MAX(MIN('Council Entry'!AZ38,'Council Entry'!AZ$9),'Council Entry'!AZ$8),'Council Entry'!AZ38)),IF(AND(ISNUMBER('Council Entry'!AZ$8),ISNUMBER('Council Entry'!AZ$9)),MAX(MIN('Council Entry'!AZ38,'Council Entry'!AZ$9),'Council Entry'!AZ$8),'Council Entry'!AZ38))))-'Council Entry'!AZ$5)/('Council Entry'!AZ$6-'Council Entry'!AZ$5),10*((IF('Council Entry'!AZ$4="Logarithm",LN(0.001+IF(AND(ISNUMBER('Council Entry'!AZ$8),ISNUMBER('Council Entry'!AZ$9)),MAX(MIN('Council Entry'!AZ38,'Council Entry'!AZ$9),'Council Entry'!AZ$8),'Council Entry'!AZ38)),IF('Council Entry'!AZ$4="Exponential",EXP(IF(AND(ISNUMBER('Council Entry'!AZ$8),ISNUMBER('Council Entry'!AZ$9)),MAX(MIN('Council Entry'!AZ38,'Council Entry'!AZ$9),'Council Entry'!AZ$8),'Council Entry'!AZ38)),IF(AND(ISNUMBER('Council Entry'!AZ$8),ISNUMBER('Council Entry'!AZ$9)),MAX(MIN('Council Entry'!AZ38,'Council Entry'!AZ$9),'Council Entry'!AZ$8),'Council Entry'!AZ38))))-'Council Entry'!AZ$5)/('Council Entry'!AZ$6-'Council Entry'!AZ$5)),1))),"No data"))</f>
        <v/>
      </c>
      <c r="BA38" s="13">
        <f>IF('Council Entry'!BA38="","",IFERROR(MAX(0,MIN(10,ROUND(IF('Council Entry'!BA$7="Decrease Risk",10-10*((IF('Council Entry'!BA$4="Logarithm",LN(0.001+IF(AND(ISNUMBER('Council Entry'!BA$8),ISNUMBER('Council Entry'!BA$9)),MAX(MIN('Council Entry'!BA38,'Council Entry'!BA$9),'Council Entry'!BA$8),'Council Entry'!BA38)),IF('Council Entry'!BA$4="Exponential",EXP(IF(AND(ISNUMBER('Council Entry'!BA$8),ISNUMBER('Council Entry'!BA$9)),MAX(MIN('Council Entry'!BA38,'Council Entry'!BA$9),'Council Entry'!BA$8),'Council Entry'!BA38)),IF(AND(ISNUMBER('Council Entry'!BA$8),ISNUMBER('Council Entry'!BA$9)),MAX(MIN('Council Entry'!BA38,'Council Entry'!BA$9),'Council Entry'!BA$8),'Council Entry'!BA38))))-'Council Entry'!BA$5)/('Council Entry'!BA$6-'Council Entry'!BA$5),10*((IF('Council Entry'!BA$4="Logarithm",LN(0.001+IF(AND(ISNUMBER('Council Entry'!BA$8),ISNUMBER('Council Entry'!BA$9)),MAX(MIN('Council Entry'!BA38,'Council Entry'!BA$9),'Council Entry'!BA$8),'Council Entry'!BA38)),IF('Council Entry'!BA$4="Exponential",EXP(IF(AND(ISNUMBER('Council Entry'!BA$8),ISNUMBER('Council Entry'!BA$9)),MAX(MIN('Council Entry'!BA38,'Council Entry'!BA$9),'Council Entry'!BA$8),'Council Entry'!BA38)),IF(AND(ISNUMBER('Council Entry'!BA$8),ISNUMBER('Council Entry'!BA$9)),MAX(MIN('Council Entry'!BA38,'Council Entry'!BA$9),'Council Entry'!BA$8),'Council Entry'!BA38))))-'Council Entry'!BA$5)/('Council Entry'!BA$6-'Council Entry'!BA$5)),1))),"No data"))</f>
        <v/>
      </c>
      <c r="BB38" s="13">
        <f>IF('Council Entry'!BB38="","",IFERROR(MAX(0,MIN(10,ROUND(IF('Council Entry'!BB$7="Decrease Risk",10-10*((IF('Council Entry'!BB$4="Logarithm",LN(0.001+IF(AND(ISNUMBER('Council Entry'!BB$8),ISNUMBER('Council Entry'!BB$9)),MAX(MIN('Council Entry'!BB38,'Council Entry'!BB$9),'Council Entry'!BB$8),'Council Entry'!BB38)),IF('Council Entry'!BB$4="Exponential",EXP(IF(AND(ISNUMBER('Council Entry'!BB$8),ISNUMBER('Council Entry'!BB$9)),MAX(MIN('Council Entry'!BB38,'Council Entry'!BB$9),'Council Entry'!BB$8),'Council Entry'!BB38)),IF(AND(ISNUMBER('Council Entry'!BB$8),ISNUMBER('Council Entry'!BB$9)),MAX(MIN('Council Entry'!BB38,'Council Entry'!BB$9),'Council Entry'!BB$8),'Council Entry'!BB38))))-'Council Entry'!BB$5)/('Council Entry'!BB$6-'Council Entry'!BB$5),10*((IF('Council Entry'!BB$4="Logarithm",LN(0.001+IF(AND(ISNUMBER('Council Entry'!BB$8),ISNUMBER('Council Entry'!BB$9)),MAX(MIN('Council Entry'!BB38,'Council Entry'!BB$9),'Council Entry'!BB$8),'Council Entry'!BB38)),IF('Council Entry'!BB$4="Exponential",EXP(IF(AND(ISNUMBER('Council Entry'!BB$8),ISNUMBER('Council Entry'!BB$9)),MAX(MIN('Council Entry'!BB38,'Council Entry'!BB$9),'Council Entry'!BB$8),'Council Entry'!BB38)),IF(AND(ISNUMBER('Council Entry'!BB$8),ISNUMBER('Council Entry'!BB$9)),MAX(MIN('Council Entry'!BB38,'Council Entry'!BB$9),'Council Entry'!BB$8),'Council Entry'!BB38))))-'Council Entry'!BB$5)/('Council Entry'!BB$6-'Council Entry'!BB$5)),1))),"No data"))</f>
        <v/>
      </c>
      <c r="BC38" s="13">
        <f>IF('Council Entry'!BC38="","",IFERROR(MAX(0,MIN(10,ROUND(IF('Council Entry'!BC$7="Decrease Risk",10-10*((IF('Council Entry'!BC$4="Logarithm",LN(0.001+IF(AND(ISNUMBER('Council Entry'!BC$8),ISNUMBER('Council Entry'!BC$9)),MAX(MIN('Council Entry'!BC38,'Council Entry'!BC$9),'Council Entry'!BC$8),'Council Entry'!BC38)),IF('Council Entry'!BC$4="Exponential",EXP(IF(AND(ISNUMBER('Council Entry'!BC$8),ISNUMBER('Council Entry'!BC$9)),MAX(MIN('Council Entry'!BC38,'Council Entry'!BC$9),'Council Entry'!BC$8),'Council Entry'!BC38)),IF(AND(ISNUMBER('Council Entry'!BC$8),ISNUMBER('Council Entry'!BC$9)),MAX(MIN('Council Entry'!BC38,'Council Entry'!BC$9),'Council Entry'!BC$8),'Council Entry'!BC38))))-'Council Entry'!BC$5)/('Council Entry'!BC$6-'Council Entry'!BC$5),10*((IF('Council Entry'!BC$4="Logarithm",LN(0.001+IF(AND(ISNUMBER('Council Entry'!BC$8),ISNUMBER('Council Entry'!BC$9)),MAX(MIN('Council Entry'!BC38,'Council Entry'!BC$9),'Council Entry'!BC$8),'Council Entry'!BC38)),IF('Council Entry'!BC$4="Exponential",EXP(IF(AND(ISNUMBER('Council Entry'!BC$8),ISNUMBER('Council Entry'!BC$9)),MAX(MIN('Council Entry'!BC38,'Council Entry'!BC$9),'Council Entry'!BC$8),'Council Entry'!BC38)),IF(AND(ISNUMBER('Council Entry'!BC$8),ISNUMBER('Council Entry'!BC$9)),MAX(MIN('Council Entry'!BC38,'Council Entry'!BC$9),'Council Entry'!BC$8),'Council Entry'!BC38))))-'Council Entry'!BC$5)/('Council Entry'!BC$6-'Council Entry'!BC$5)),1))),"No data"))</f>
        <v/>
      </c>
      <c r="BD38" s="13">
        <f>IF('Council Entry'!BD38="","",IFERROR(MAX(0,MIN(10,ROUND(IF('Council Entry'!BD$7="Decrease Risk",10-10*((IF('Council Entry'!BD$4="Logarithm",LN(0.001+IF(AND(ISNUMBER('Council Entry'!BD$8),ISNUMBER('Council Entry'!BD$9)),MAX(MIN('Council Entry'!BD38,'Council Entry'!BD$9),'Council Entry'!BD$8),'Council Entry'!BD38)),IF('Council Entry'!BD$4="Exponential",EXP(IF(AND(ISNUMBER('Council Entry'!BD$8),ISNUMBER('Council Entry'!BD$9)),MAX(MIN('Council Entry'!BD38,'Council Entry'!BD$9),'Council Entry'!BD$8),'Council Entry'!BD38)),IF(AND(ISNUMBER('Council Entry'!BD$8),ISNUMBER('Council Entry'!BD$9)),MAX(MIN('Council Entry'!BD38,'Council Entry'!BD$9),'Council Entry'!BD$8),'Council Entry'!BD38))))-'Council Entry'!BD$5)/('Council Entry'!BD$6-'Council Entry'!BD$5),10*((IF('Council Entry'!BD$4="Logarithm",LN(0.001+IF(AND(ISNUMBER('Council Entry'!BD$8),ISNUMBER('Council Entry'!BD$9)),MAX(MIN('Council Entry'!BD38,'Council Entry'!BD$9),'Council Entry'!BD$8),'Council Entry'!BD38)),IF('Council Entry'!BD$4="Exponential",EXP(IF(AND(ISNUMBER('Council Entry'!BD$8),ISNUMBER('Council Entry'!BD$9)),MAX(MIN('Council Entry'!BD38,'Council Entry'!BD$9),'Council Entry'!BD$8),'Council Entry'!BD38)),IF(AND(ISNUMBER('Council Entry'!BD$8),ISNUMBER('Council Entry'!BD$9)),MAX(MIN('Council Entry'!BD38,'Council Entry'!BD$9),'Council Entry'!BD$8),'Council Entry'!BD38))))-'Council Entry'!BD$5)/('Council Entry'!BD$6-'Council Entry'!BD$5)),1))),"No data"))</f>
        <v/>
      </c>
    </row>
    <row r="39">
      <c r="A39" t="inlineStr">
        <is>
          <t>Iringa</t>
        </is>
      </c>
      <c r="B39" t="inlineStr">
        <is>
          <t>Kilolo District</t>
        </is>
      </c>
      <c r="C39" t="inlineStr">
        <is>
          <t>C084</t>
        </is>
      </c>
      <c r="D39" s="13">
        <f>IF('Council Entry'!D39="","",IFERROR(MAX(0,MIN(10,ROUND(IF('Council Entry'!D$7="Decrease Risk",10-10*((IF('Council Entry'!D$4="Logarithm",LN(0.001+IF(AND(ISNUMBER('Council Entry'!D$8),ISNUMBER('Council Entry'!D$9)),MAX(MIN('Council Entry'!D39,'Council Entry'!D$9),'Council Entry'!D$8),'Council Entry'!D39)),IF('Council Entry'!D$4="Exponential",EXP(IF(AND(ISNUMBER('Council Entry'!D$8),ISNUMBER('Council Entry'!D$9)),MAX(MIN('Council Entry'!D39,'Council Entry'!D$9),'Council Entry'!D$8),'Council Entry'!D39)),IF(AND(ISNUMBER('Council Entry'!D$8),ISNUMBER('Council Entry'!D$9)),MAX(MIN('Council Entry'!D39,'Council Entry'!D$9),'Council Entry'!D$8),'Council Entry'!D39))))-'Council Entry'!D$5)/('Council Entry'!D$6-'Council Entry'!D$5),10*((IF('Council Entry'!D$4="Logarithm",LN(0.001+IF(AND(ISNUMBER('Council Entry'!D$8),ISNUMBER('Council Entry'!D$9)),MAX(MIN('Council Entry'!D39,'Council Entry'!D$9),'Council Entry'!D$8),'Council Entry'!D39)),IF('Council Entry'!D$4="Exponential",EXP(IF(AND(ISNUMBER('Council Entry'!D$8),ISNUMBER('Council Entry'!D$9)),MAX(MIN('Council Entry'!D39,'Council Entry'!D$9),'Council Entry'!D$8),'Council Entry'!D39)),IF(AND(ISNUMBER('Council Entry'!D$8),ISNUMBER('Council Entry'!D$9)),MAX(MIN('Council Entry'!D39,'Council Entry'!D$9),'Council Entry'!D$8),'Council Entry'!D39))))-'Council Entry'!D$5)/('Council Entry'!D$6-'Council Entry'!D$5)),1))),"No data"))</f>
        <v/>
      </c>
      <c r="E39" s="13">
        <f>IF('Council Entry'!E39="","",IFERROR(MAX(0,MIN(10,ROUND(IF('Council Entry'!E$7="Decrease Risk",10-10*((IF('Council Entry'!E$4="Logarithm",LN(0.001+IF(AND(ISNUMBER('Council Entry'!E$8),ISNUMBER('Council Entry'!E$9)),MAX(MIN('Council Entry'!E39,'Council Entry'!E$9),'Council Entry'!E$8),'Council Entry'!E39)),IF('Council Entry'!E$4="Exponential",EXP(IF(AND(ISNUMBER('Council Entry'!E$8),ISNUMBER('Council Entry'!E$9)),MAX(MIN('Council Entry'!E39,'Council Entry'!E$9),'Council Entry'!E$8),'Council Entry'!E39)),IF(AND(ISNUMBER('Council Entry'!E$8),ISNUMBER('Council Entry'!E$9)),MAX(MIN('Council Entry'!E39,'Council Entry'!E$9),'Council Entry'!E$8),'Council Entry'!E39))))-'Council Entry'!E$5)/('Council Entry'!E$6-'Council Entry'!E$5),10*((IF('Council Entry'!E$4="Logarithm",LN(0.001+IF(AND(ISNUMBER('Council Entry'!E$8),ISNUMBER('Council Entry'!E$9)),MAX(MIN('Council Entry'!E39,'Council Entry'!E$9),'Council Entry'!E$8),'Council Entry'!E39)),IF('Council Entry'!E$4="Exponential",EXP(IF(AND(ISNUMBER('Council Entry'!E$8),ISNUMBER('Council Entry'!E$9)),MAX(MIN('Council Entry'!E39,'Council Entry'!E$9),'Council Entry'!E$8),'Council Entry'!E39)),IF(AND(ISNUMBER('Council Entry'!E$8),ISNUMBER('Council Entry'!E$9)),MAX(MIN('Council Entry'!E39,'Council Entry'!E$9),'Council Entry'!E$8),'Council Entry'!E39))))-'Council Entry'!E$5)/('Council Entry'!E$6-'Council Entry'!E$5)),1))),"No data"))</f>
        <v/>
      </c>
      <c r="F39" s="13">
        <f>IF('Council Entry'!F39="","",IFERROR(MAX(0,MIN(10,ROUND(IF('Council Entry'!F$7="Decrease Risk",10-10*((IF('Council Entry'!F$4="Logarithm",LN(0.001+IF(AND(ISNUMBER('Council Entry'!F$8),ISNUMBER('Council Entry'!F$9)),MAX(MIN('Council Entry'!F39,'Council Entry'!F$9),'Council Entry'!F$8),'Council Entry'!F39)),IF('Council Entry'!F$4="Exponential",EXP(IF(AND(ISNUMBER('Council Entry'!F$8),ISNUMBER('Council Entry'!F$9)),MAX(MIN('Council Entry'!F39,'Council Entry'!F$9),'Council Entry'!F$8),'Council Entry'!F39)),IF(AND(ISNUMBER('Council Entry'!F$8),ISNUMBER('Council Entry'!F$9)),MAX(MIN('Council Entry'!F39,'Council Entry'!F$9),'Council Entry'!F$8),'Council Entry'!F39))))-'Council Entry'!F$5)/('Council Entry'!F$6-'Council Entry'!F$5),10*((IF('Council Entry'!F$4="Logarithm",LN(0.001+IF(AND(ISNUMBER('Council Entry'!F$8),ISNUMBER('Council Entry'!F$9)),MAX(MIN('Council Entry'!F39,'Council Entry'!F$9),'Council Entry'!F$8),'Council Entry'!F39)),IF('Council Entry'!F$4="Exponential",EXP(IF(AND(ISNUMBER('Council Entry'!F$8),ISNUMBER('Council Entry'!F$9)),MAX(MIN('Council Entry'!F39,'Council Entry'!F$9),'Council Entry'!F$8),'Council Entry'!F39)),IF(AND(ISNUMBER('Council Entry'!F$8),ISNUMBER('Council Entry'!F$9)),MAX(MIN('Council Entry'!F39,'Council Entry'!F$9),'Council Entry'!F$8),'Council Entry'!F39))))-'Council Entry'!F$5)/('Council Entry'!F$6-'Council Entry'!F$5)),1))),"No data"))</f>
        <v/>
      </c>
      <c r="G39" s="13">
        <f>IF('Council Entry'!G39="","",IFERROR(MAX(0,MIN(10,ROUND(IF('Council Entry'!G$7="Decrease Risk",10-10*((IF('Council Entry'!G$4="Logarithm",LN(0.001+IF(AND(ISNUMBER('Council Entry'!G$8),ISNUMBER('Council Entry'!G$9)),MAX(MIN('Council Entry'!G39,'Council Entry'!G$9),'Council Entry'!G$8),'Council Entry'!G39)),IF('Council Entry'!G$4="Exponential",EXP(IF(AND(ISNUMBER('Council Entry'!G$8),ISNUMBER('Council Entry'!G$9)),MAX(MIN('Council Entry'!G39,'Council Entry'!G$9),'Council Entry'!G$8),'Council Entry'!G39)),IF(AND(ISNUMBER('Council Entry'!G$8),ISNUMBER('Council Entry'!G$9)),MAX(MIN('Council Entry'!G39,'Council Entry'!G$9),'Council Entry'!G$8),'Council Entry'!G39))))-'Council Entry'!G$5)/('Council Entry'!G$6-'Council Entry'!G$5),10*((IF('Council Entry'!G$4="Logarithm",LN(0.001+IF(AND(ISNUMBER('Council Entry'!G$8),ISNUMBER('Council Entry'!G$9)),MAX(MIN('Council Entry'!G39,'Council Entry'!G$9),'Council Entry'!G$8),'Council Entry'!G39)),IF('Council Entry'!G$4="Exponential",EXP(IF(AND(ISNUMBER('Council Entry'!G$8),ISNUMBER('Council Entry'!G$9)),MAX(MIN('Council Entry'!G39,'Council Entry'!G$9),'Council Entry'!G$8),'Council Entry'!G39)),IF(AND(ISNUMBER('Council Entry'!G$8),ISNUMBER('Council Entry'!G$9)),MAX(MIN('Council Entry'!G39,'Council Entry'!G$9),'Council Entry'!G$8),'Council Entry'!G39))))-'Council Entry'!G$5)/('Council Entry'!G$6-'Council Entry'!G$5)),1))),"No data"))</f>
        <v/>
      </c>
      <c r="H39" s="13">
        <f>IF('Council Entry'!H39="","",IFERROR(MAX(0,MIN(10,ROUND(IF('Council Entry'!H$7="Decrease Risk",10-10*((IF('Council Entry'!H$4="Logarithm",LN(0.001+IF(AND(ISNUMBER('Council Entry'!H$8),ISNUMBER('Council Entry'!H$9)),MAX(MIN('Council Entry'!H39,'Council Entry'!H$9),'Council Entry'!H$8),'Council Entry'!H39)),IF('Council Entry'!H$4="Exponential",EXP(IF(AND(ISNUMBER('Council Entry'!H$8),ISNUMBER('Council Entry'!H$9)),MAX(MIN('Council Entry'!H39,'Council Entry'!H$9),'Council Entry'!H$8),'Council Entry'!H39)),IF(AND(ISNUMBER('Council Entry'!H$8),ISNUMBER('Council Entry'!H$9)),MAX(MIN('Council Entry'!H39,'Council Entry'!H$9),'Council Entry'!H$8),'Council Entry'!H39))))-'Council Entry'!H$5)/('Council Entry'!H$6-'Council Entry'!H$5),10*((IF('Council Entry'!H$4="Logarithm",LN(0.001+IF(AND(ISNUMBER('Council Entry'!H$8),ISNUMBER('Council Entry'!H$9)),MAX(MIN('Council Entry'!H39,'Council Entry'!H$9),'Council Entry'!H$8),'Council Entry'!H39)),IF('Council Entry'!H$4="Exponential",EXP(IF(AND(ISNUMBER('Council Entry'!H$8),ISNUMBER('Council Entry'!H$9)),MAX(MIN('Council Entry'!H39,'Council Entry'!H$9),'Council Entry'!H$8),'Council Entry'!H39)),IF(AND(ISNUMBER('Council Entry'!H$8),ISNUMBER('Council Entry'!H$9)),MAX(MIN('Council Entry'!H39,'Council Entry'!H$9),'Council Entry'!H$8),'Council Entry'!H39))))-'Council Entry'!H$5)/('Council Entry'!H$6-'Council Entry'!H$5)),1))),"No data"))</f>
        <v/>
      </c>
      <c r="I39" s="13">
        <f>IF('Council Entry'!I39="","",IFERROR(MAX(0,MIN(10,ROUND(IF('Council Entry'!I$7="Decrease Risk",10-10*((IF('Council Entry'!I$4="Logarithm",LN(0.001+IF(AND(ISNUMBER('Council Entry'!I$8),ISNUMBER('Council Entry'!I$9)),MAX(MIN('Council Entry'!I39,'Council Entry'!I$9),'Council Entry'!I$8),'Council Entry'!I39)),IF('Council Entry'!I$4="Exponential",EXP(IF(AND(ISNUMBER('Council Entry'!I$8),ISNUMBER('Council Entry'!I$9)),MAX(MIN('Council Entry'!I39,'Council Entry'!I$9),'Council Entry'!I$8),'Council Entry'!I39)),IF(AND(ISNUMBER('Council Entry'!I$8),ISNUMBER('Council Entry'!I$9)),MAX(MIN('Council Entry'!I39,'Council Entry'!I$9),'Council Entry'!I$8),'Council Entry'!I39))))-'Council Entry'!I$5)/('Council Entry'!I$6-'Council Entry'!I$5),10*((IF('Council Entry'!I$4="Logarithm",LN(0.001+IF(AND(ISNUMBER('Council Entry'!I$8),ISNUMBER('Council Entry'!I$9)),MAX(MIN('Council Entry'!I39,'Council Entry'!I$9),'Council Entry'!I$8),'Council Entry'!I39)),IF('Council Entry'!I$4="Exponential",EXP(IF(AND(ISNUMBER('Council Entry'!I$8),ISNUMBER('Council Entry'!I$9)),MAX(MIN('Council Entry'!I39,'Council Entry'!I$9),'Council Entry'!I$8),'Council Entry'!I39)),IF(AND(ISNUMBER('Council Entry'!I$8),ISNUMBER('Council Entry'!I$9)),MAX(MIN('Council Entry'!I39,'Council Entry'!I$9),'Council Entry'!I$8),'Council Entry'!I39))))-'Council Entry'!I$5)/('Council Entry'!I$6-'Council Entry'!I$5)),1))),"No data"))</f>
        <v/>
      </c>
      <c r="J39" s="13">
        <f>IF('Council Entry'!J39="","",IFERROR(MAX(0,MIN(10,ROUND(IF('Council Entry'!J$7="Decrease Risk",10-10*((IF('Council Entry'!J$4="Logarithm",LN(0.001+IF(AND(ISNUMBER('Council Entry'!J$8),ISNUMBER('Council Entry'!J$9)),MAX(MIN('Council Entry'!J39,'Council Entry'!J$9),'Council Entry'!J$8),'Council Entry'!J39)),IF('Council Entry'!J$4="Exponential",EXP(IF(AND(ISNUMBER('Council Entry'!J$8),ISNUMBER('Council Entry'!J$9)),MAX(MIN('Council Entry'!J39,'Council Entry'!J$9),'Council Entry'!J$8),'Council Entry'!J39)),IF(AND(ISNUMBER('Council Entry'!J$8),ISNUMBER('Council Entry'!J$9)),MAX(MIN('Council Entry'!J39,'Council Entry'!J$9),'Council Entry'!J$8),'Council Entry'!J39))))-'Council Entry'!J$5)/('Council Entry'!J$6-'Council Entry'!J$5),10*((IF('Council Entry'!J$4="Logarithm",LN(0.001+IF(AND(ISNUMBER('Council Entry'!J$8),ISNUMBER('Council Entry'!J$9)),MAX(MIN('Council Entry'!J39,'Council Entry'!J$9),'Council Entry'!J$8),'Council Entry'!J39)),IF('Council Entry'!J$4="Exponential",EXP(IF(AND(ISNUMBER('Council Entry'!J$8),ISNUMBER('Council Entry'!J$9)),MAX(MIN('Council Entry'!J39,'Council Entry'!J$9),'Council Entry'!J$8),'Council Entry'!J39)),IF(AND(ISNUMBER('Council Entry'!J$8),ISNUMBER('Council Entry'!J$9)),MAX(MIN('Council Entry'!J39,'Council Entry'!J$9),'Council Entry'!J$8),'Council Entry'!J39))))-'Council Entry'!J$5)/('Council Entry'!J$6-'Council Entry'!J$5)),1))),"No data"))</f>
        <v/>
      </c>
      <c r="K39" s="13">
        <f>IF('Council Entry'!K39="","",IFERROR(MAX(0,MIN(10,ROUND(IF('Council Entry'!K$7="Decrease Risk",10-10*((IF('Council Entry'!K$4="Logarithm",LN(0.001+IF(AND(ISNUMBER('Council Entry'!K$8),ISNUMBER('Council Entry'!K$9)),MAX(MIN('Council Entry'!K39,'Council Entry'!K$9),'Council Entry'!K$8),'Council Entry'!K39)),IF('Council Entry'!K$4="Exponential",EXP(IF(AND(ISNUMBER('Council Entry'!K$8),ISNUMBER('Council Entry'!K$9)),MAX(MIN('Council Entry'!K39,'Council Entry'!K$9),'Council Entry'!K$8),'Council Entry'!K39)),IF(AND(ISNUMBER('Council Entry'!K$8),ISNUMBER('Council Entry'!K$9)),MAX(MIN('Council Entry'!K39,'Council Entry'!K$9),'Council Entry'!K$8),'Council Entry'!K39))))-'Council Entry'!K$5)/('Council Entry'!K$6-'Council Entry'!K$5),10*((IF('Council Entry'!K$4="Logarithm",LN(0.001+IF(AND(ISNUMBER('Council Entry'!K$8),ISNUMBER('Council Entry'!K$9)),MAX(MIN('Council Entry'!K39,'Council Entry'!K$9),'Council Entry'!K$8),'Council Entry'!K39)),IF('Council Entry'!K$4="Exponential",EXP(IF(AND(ISNUMBER('Council Entry'!K$8),ISNUMBER('Council Entry'!K$9)),MAX(MIN('Council Entry'!K39,'Council Entry'!K$9),'Council Entry'!K$8),'Council Entry'!K39)),IF(AND(ISNUMBER('Council Entry'!K$8),ISNUMBER('Council Entry'!K$9)),MAX(MIN('Council Entry'!K39,'Council Entry'!K$9),'Council Entry'!K$8),'Council Entry'!K39))))-'Council Entry'!K$5)/('Council Entry'!K$6-'Council Entry'!K$5)),1))),"No data"))</f>
        <v/>
      </c>
      <c r="L39" s="13">
        <f>IF('Council Entry'!L39="","",IFERROR(MAX(0,MIN(10,ROUND(IF('Council Entry'!L$7="Decrease Risk",10-10*((IF('Council Entry'!L$4="Logarithm",LN(0.001+IF(AND(ISNUMBER('Council Entry'!L$8),ISNUMBER('Council Entry'!L$9)),MAX(MIN('Council Entry'!L39,'Council Entry'!L$9),'Council Entry'!L$8),'Council Entry'!L39)),IF('Council Entry'!L$4="Exponential",EXP(IF(AND(ISNUMBER('Council Entry'!L$8),ISNUMBER('Council Entry'!L$9)),MAX(MIN('Council Entry'!L39,'Council Entry'!L$9),'Council Entry'!L$8),'Council Entry'!L39)),IF(AND(ISNUMBER('Council Entry'!L$8),ISNUMBER('Council Entry'!L$9)),MAX(MIN('Council Entry'!L39,'Council Entry'!L$9),'Council Entry'!L$8),'Council Entry'!L39))))-'Council Entry'!L$5)/('Council Entry'!L$6-'Council Entry'!L$5),10*((IF('Council Entry'!L$4="Logarithm",LN(0.001+IF(AND(ISNUMBER('Council Entry'!L$8),ISNUMBER('Council Entry'!L$9)),MAX(MIN('Council Entry'!L39,'Council Entry'!L$9),'Council Entry'!L$8),'Council Entry'!L39)),IF('Council Entry'!L$4="Exponential",EXP(IF(AND(ISNUMBER('Council Entry'!L$8),ISNUMBER('Council Entry'!L$9)),MAX(MIN('Council Entry'!L39,'Council Entry'!L$9),'Council Entry'!L$8),'Council Entry'!L39)),IF(AND(ISNUMBER('Council Entry'!L$8),ISNUMBER('Council Entry'!L$9)),MAX(MIN('Council Entry'!L39,'Council Entry'!L$9),'Council Entry'!L$8),'Council Entry'!L39))))-'Council Entry'!L$5)/('Council Entry'!L$6-'Council Entry'!L$5)),1))),"No data"))</f>
        <v/>
      </c>
      <c r="M39" s="13">
        <f>IF('Council Entry'!M39="","",IFERROR(MAX(0,MIN(10,ROUND(IF('Council Entry'!M$7="Decrease Risk",10-10*((IF('Council Entry'!M$4="Logarithm",LN(0.001+IF(AND(ISNUMBER('Council Entry'!M$8),ISNUMBER('Council Entry'!M$9)),MAX(MIN('Council Entry'!M39,'Council Entry'!M$9),'Council Entry'!M$8),'Council Entry'!M39)),IF('Council Entry'!M$4="Exponential",EXP(IF(AND(ISNUMBER('Council Entry'!M$8),ISNUMBER('Council Entry'!M$9)),MAX(MIN('Council Entry'!M39,'Council Entry'!M$9),'Council Entry'!M$8),'Council Entry'!M39)),IF(AND(ISNUMBER('Council Entry'!M$8),ISNUMBER('Council Entry'!M$9)),MAX(MIN('Council Entry'!M39,'Council Entry'!M$9),'Council Entry'!M$8),'Council Entry'!M39))))-'Council Entry'!M$5)/('Council Entry'!M$6-'Council Entry'!M$5),10*((IF('Council Entry'!M$4="Logarithm",LN(0.001+IF(AND(ISNUMBER('Council Entry'!M$8),ISNUMBER('Council Entry'!M$9)),MAX(MIN('Council Entry'!M39,'Council Entry'!M$9),'Council Entry'!M$8),'Council Entry'!M39)),IF('Council Entry'!M$4="Exponential",EXP(IF(AND(ISNUMBER('Council Entry'!M$8),ISNUMBER('Council Entry'!M$9)),MAX(MIN('Council Entry'!M39,'Council Entry'!M$9),'Council Entry'!M$8),'Council Entry'!M39)),IF(AND(ISNUMBER('Council Entry'!M$8),ISNUMBER('Council Entry'!M$9)),MAX(MIN('Council Entry'!M39,'Council Entry'!M$9),'Council Entry'!M$8),'Council Entry'!M39))))-'Council Entry'!M$5)/('Council Entry'!M$6-'Council Entry'!M$5)),1))),"No data"))</f>
        <v/>
      </c>
      <c r="N39" s="13">
        <f>IF('Council Entry'!N39="","",IFERROR(MAX(0,MIN(10,ROUND(IF('Council Entry'!N$7="Decrease Risk",10-10*((IF('Council Entry'!N$4="Logarithm",LN(0.001+IF(AND(ISNUMBER('Council Entry'!N$8),ISNUMBER('Council Entry'!N$9)),MAX(MIN('Council Entry'!N39,'Council Entry'!N$9),'Council Entry'!N$8),'Council Entry'!N39)),IF('Council Entry'!N$4="Exponential",EXP(IF(AND(ISNUMBER('Council Entry'!N$8),ISNUMBER('Council Entry'!N$9)),MAX(MIN('Council Entry'!N39,'Council Entry'!N$9),'Council Entry'!N$8),'Council Entry'!N39)),IF(AND(ISNUMBER('Council Entry'!N$8),ISNUMBER('Council Entry'!N$9)),MAX(MIN('Council Entry'!N39,'Council Entry'!N$9),'Council Entry'!N$8),'Council Entry'!N39))))-'Council Entry'!N$5)/('Council Entry'!N$6-'Council Entry'!N$5),10*((IF('Council Entry'!N$4="Logarithm",LN(0.001+IF(AND(ISNUMBER('Council Entry'!N$8),ISNUMBER('Council Entry'!N$9)),MAX(MIN('Council Entry'!N39,'Council Entry'!N$9),'Council Entry'!N$8),'Council Entry'!N39)),IF('Council Entry'!N$4="Exponential",EXP(IF(AND(ISNUMBER('Council Entry'!N$8),ISNUMBER('Council Entry'!N$9)),MAX(MIN('Council Entry'!N39,'Council Entry'!N$9),'Council Entry'!N$8),'Council Entry'!N39)),IF(AND(ISNUMBER('Council Entry'!N$8),ISNUMBER('Council Entry'!N$9)),MAX(MIN('Council Entry'!N39,'Council Entry'!N$9),'Council Entry'!N$8),'Council Entry'!N39))))-'Council Entry'!N$5)/('Council Entry'!N$6-'Council Entry'!N$5)),1))),"No data"))</f>
        <v/>
      </c>
      <c r="O39" s="13">
        <f>IF('Council Entry'!O39="","",IFERROR(MAX(0,MIN(10,ROUND(IF('Council Entry'!O$7="Decrease Risk",10-10*((IF('Council Entry'!O$4="Logarithm",LN(0.001+IF(AND(ISNUMBER('Council Entry'!O$8),ISNUMBER('Council Entry'!O$9)),MAX(MIN('Council Entry'!O39,'Council Entry'!O$9),'Council Entry'!O$8),'Council Entry'!O39)),IF('Council Entry'!O$4="Exponential",EXP(IF(AND(ISNUMBER('Council Entry'!O$8),ISNUMBER('Council Entry'!O$9)),MAX(MIN('Council Entry'!O39,'Council Entry'!O$9),'Council Entry'!O$8),'Council Entry'!O39)),IF(AND(ISNUMBER('Council Entry'!O$8),ISNUMBER('Council Entry'!O$9)),MAX(MIN('Council Entry'!O39,'Council Entry'!O$9),'Council Entry'!O$8),'Council Entry'!O39))))-'Council Entry'!O$5)/('Council Entry'!O$6-'Council Entry'!O$5),10*((IF('Council Entry'!O$4="Logarithm",LN(0.001+IF(AND(ISNUMBER('Council Entry'!O$8),ISNUMBER('Council Entry'!O$9)),MAX(MIN('Council Entry'!O39,'Council Entry'!O$9),'Council Entry'!O$8),'Council Entry'!O39)),IF('Council Entry'!O$4="Exponential",EXP(IF(AND(ISNUMBER('Council Entry'!O$8),ISNUMBER('Council Entry'!O$9)),MAX(MIN('Council Entry'!O39,'Council Entry'!O$9),'Council Entry'!O$8),'Council Entry'!O39)),IF(AND(ISNUMBER('Council Entry'!O$8),ISNUMBER('Council Entry'!O$9)),MAX(MIN('Council Entry'!O39,'Council Entry'!O$9),'Council Entry'!O$8),'Council Entry'!O39))))-'Council Entry'!O$5)/('Council Entry'!O$6-'Council Entry'!O$5)),1))),"No data"))</f>
        <v/>
      </c>
      <c r="P39" s="13">
        <f>IF('Council Entry'!P39="","",IFERROR(MAX(0,MIN(10,ROUND(IF('Council Entry'!P$7="Decrease Risk",10-10*((IF('Council Entry'!P$4="Logarithm",LN(0.001+IF(AND(ISNUMBER('Council Entry'!P$8),ISNUMBER('Council Entry'!P$9)),MAX(MIN('Council Entry'!P39,'Council Entry'!P$9),'Council Entry'!P$8),'Council Entry'!P39)),IF('Council Entry'!P$4="Exponential",EXP(IF(AND(ISNUMBER('Council Entry'!P$8),ISNUMBER('Council Entry'!P$9)),MAX(MIN('Council Entry'!P39,'Council Entry'!P$9),'Council Entry'!P$8),'Council Entry'!P39)),IF(AND(ISNUMBER('Council Entry'!P$8),ISNUMBER('Council Entry'!P$9)),MAX(MIN('Council Entry'!P39,'Council Entry'!P$9),'Council Entry'!P$8),'Council Entry'!P39))))-'Council Entry'!P$5)/('Council Entry'!P$6-'Council Entry'!P$5),10*((IF('Council Entry'!P$4="Logarithm",LN(0.001+IF(AND(ISNUMBER('Council Entry'!P$8),ISNUMBER('Council Entry'!P$9)),MAX(MIN('Council Entry'!P39,'Council Entry'!P$9),'Council Entry'!P$8),'Council Entry'!P39)),IF('Council Entry'!P$4="Exponential",EXP(IF(AND(ISNUMBER('Council Entry'!P$8),ISNUMBER('Council Entry'!P$9)),MAX(MIN('Council Entry'!P39,'Council Entry'!P$9),'Council Entry'!P$8),'Council Entry'!P39)),IF(AND(ISNUMBER('Council Entry'!P$8),ISNUMBER('Council Entry'!P$9)),MAX(MIN('Council Entry'!P39,'Council Entry'!P$9),'Council Entry'!P$8),'Council Entry'!P39))))-'Council Entry'!P$5)/('Council Entry'!P$6-'Council Entry'!P$5)),1))),"No data"))</f>
        <v/>
      </c>
      <c r="Q39" s="13">
        <f>IF('Council Entry'!Q39="","",IFERROR(MAX(0,MIN(10,ROUND(IF('Council Entry'!Q$7="Decrease Risk",10-10*((IF('Council Entry'!Q$4="Logarithm",LN(0.001+IF(AND(ISNUMBER('Council Entry'!Q$8),ISNUMBER('Council Entry'!Q$9)),MAX(MIN('Council Entry'!Q39,'Council Entry'!Q$9),'Council Entry'!Q$8),'Council Entry'!Q39)),IF('Council Entry'!Q$4="Exponential",EXP(IF(AND(ISNUMBER('Council Entry'!Q$8),ISNUMBER('Council Entry'!Q$9)),MAX(MIN('Council Entry'!Q39,'Council Entry'!Q$9),'Council Entry'!Q$8),'Council Entry'!Q39)),IF(AND(ISNUMBER('Council Entry'!Q$8),ISNUMBER('Council Entry'!Q$9)),MAX(MIN('Council Entry'!Q39,'Council Entry'!Q$9),'Council Entry'!Q$8),'Council Entry'!Q39))))-'Council Entry'!Q$5)/('Council Entry'!Q$6-'Council Entry'!Q$5),10*((IF('Council Entry'!Q$4="Logarithm",LN(0.001+IF(AND(ISNUMBER('Council Entry'!Q$8),ISNUMBER('Council Entry'!Q$9)),MAX(MIN('Council Entry'!Q39,'Council Entry'!Q$9),'Council Entry'!Q$8),'Council Entry'!Q39)),IF('Council Entry'!Q$4="Exponential",EXP(IF(AND(ISNUMBER('Council Entry'!Q$8),ISNUMBER('Council Entry'!Q$9)),MAX(MIN('Council Entry'!Q39,'Council Entry'!Q$9),'Council Entry'!Q$8),'Council Entry'!Q39)),IF(AND(ISNUMBER('Council Entry'!Q$8),ISNUMBER('Council Entry'!Q$9)),MAX(MIN('Council Entry'!Q39,'Council Entry'!Q$9),'Council Entry'!Q$8),'Council Entry'!Q39))))-'Council Entry'!Q$5)/('Council Entry'!Q$6-'Council Entry'!Q$5)),1))),"No data"))</f>
        <v/>
      </c>
      <c r="R39" s="13">
        <f>IF('Council Entry'!R39="","",IFERROR(MAX(0,MIN(10,ROUND(IF('Council Entry'!R$7="Decrease Risk",10-10*((IF('Council Entry'!R$4="Logarithm",LN(0.001+IF(AND(ISNUMBER('Council Entry'!R$8),ISNUMBER('Council Entry'!R$9)),MAX(MIN('Council Entry'!R39,'Council Entry'!R$9),'Council Entry'!R$8),'Council Entry'!R39)),IF('Council Entry'!R$4="Exponential",EXP(IF(AND(ISNUMBER('Council Entry'!R$8),ISNUMBER('Council Entry'!R$9)),MAX(MIN('Council Entry'!R39,'Council Entry'!R$9),'Council Entry'!R$8),'Council Entry'!R39)),IF(AND(ISNUMBER('Council Entry'!R$8),ISNUMBER('Council Entry'!R$9)),MAX(MIN('Council Entry'!R39,'Council Entry'!R$9),'Council Entry'!R$8),'Council Entry'!R39))))-'Council Entry'!R$5)/('Council Entry'!R$6-'Council Entry'!R$5),10*((IF('Council Entry'!R$4="Logarithm",LN(0.001+IF(AND(ISNUMBER('Council Entry'!R$8),ISNUMBER('Council Entry'!R$9)),MAX(MIN('Council Entry'!R39,'Council Entry'!R$9),'Council Entry'!R$8),'Council Entry'!R39)),IF('Council Entry'!R$4="Exponential",EXP(IF(AND(ISNUMBER('Council Entry'!R$8),ISNUMBER('Council Entry'!R$9)),MAX(MIN('Council Entry'!R39,'Council Entry'!R$9),'Council Entry'!R$8),'Council Entry'!R39)),IF(AND(ISNUMBER('Council Entry'!R$8),ISNUMBER('Council Entry'!R$9)),MAX(MIN('Council Entry'!R39,'Council Entry'!R$9),'Council Entry'!R$8),'Council Entry'!R39))))-'Council Entry'!R$5)/('Council Entry'!R$6-'Council Entry'!R$5)),1))),"No data"))</f>
        <v/>
      </c>
      <c r="S39" s="13">
        <f>IF('Council Entry'!S39="","",IFERROR(MAX(0,MIN(10,ROUND(IF('Council Entry'!S$7="Decrease Risk",10-10*((IF('Council Entry'!S$4="Logarithm",LN(0.001+IF(AND(ISNUMBER('Council Entry'!S$8),ISNUMBER('Council Entry'!S$9)),MAX(MIN('Council Entry'!S39,'Council Entry'!S$9),'Council Entry'!S$8),'Council Entry'!S39)),IF('Council Entry'!S$4="Exponential",EXP(IF(AND(ISNUMBER('Council Entry'!S$8),ISNUMBER('Council Entry'!S$9)),MAX(MIN('Council Entry'!S39,'Council Entry'!S$9),'Council Entry'!S$8),'Council Entry'!S39)),IF(AND(ISNUMBER('Council Entry'!S$8),ISNUMBER('Council Entry'!S$9)),MAX(MIN('Council Entry'!S39,'Council Entry'!S$9),'Council Entry'!S$8),'Council Entry'!S39))))-'Council Entry'!S$5)/('Council Entry'!S$6-'Council Entry'!S$5),10*((IF('Council Entry'!S$4="Logarithm",LN(0.001+IF(AND(ISNUMBER('Council Entry'!S$8),ISNUMBER('Council Entry'!S$9)),MAX(MIN('Council Entry'!S39,'Council Entry'!S$9),'Council Entry'!S$8),'Council Entry'!S39)),IF('Council Entry'!S$4="Exponential",EXP(IF(AND(ISNUMBER('Council Entry'!S$8),ISNUMBER('Council Entry'!S$9)),MAX(MIN('Council Entry'!S39,'Council Entry'!S$9),'Council Entry'!S$8),'Council Entry'!S39)),IF(AND(ISNUMBER('Council Entry'!S$8),ISNUMBER('Council Entry'!S$9)),MAX(MIN('Council Entry'!S39,'Council Entry'!S$9),'Council Entry'!S$8),'Council Entry'!S39))))-'Council Entry'!S$5)/('Council Entry'!S$6-'Council Entry'!S$5)),1))),"No data"))</f>
        <v/>
      </c>
      <c r="T39" s="13">
        <f>IF('Council Entry'!T39="","",IFERROR(MAX(0,MIN(10,ROUND(IF('Council Entry'!T$7="Decrease Risk",10-10*((IF('Council Entry'!T$4="Logarithm",LN(0.001+IF(AND(ISNUMBER('Council Entry'!T$8),ISNUMBER('Council Entry'!T$9)),MAX(MIN('Council Entry'!T39,'Council Entry'!T$9),'Council Entry'!T$8),'Council Entry'!T39)),IF('Council Entry'!T$4="Exponential",EXP(IF(AND(ISNUMBER('Council Entry'!T$8),ISNUMBER('Council Entry'!T$9)),MAX(MIN('Council Entry'!T39,'Council Entry'!T$9),'Council Entry'!T$8),'Council Entry'!T39)),IF(AND(ISNUMBER('Council Entry'!T$8),ISNUMBER('Council Entry'!T$9)),MAX(MIN('Council Entry'!T39,'Council Entry'!T$9),'Council Entry'!T$8),'Council Entry'!T39))))-'Council Entry'!T$5)/('Council Entry'!T$6-'Council Entry'!T$5),10*((IF('Council Entry'!T$4="Logarithm",LN(0.001+IF(AND(ISNUMBER('Council Entry'!T$8),ISNUMBER('Council Entry'!T$9)),MAX(MIN('Council Entry'!T39,'Council Entry'!T$9),'Council Entry'!T$8),'Council Entry'!T39)),IF('Council Entry'!T$4="Exponential",EXP(IF(AND(ISNUMBER('Council Entry'!T$8),ISNUMBER('Council Entry'!T$9)),MAX(MIN('Council Entry'!T39,'Council Entry'!T$9),'Council Entry'!T$8),'Council Entry'!T39)),IF(AND(ISNUMBER('Council Entry'!T$8),ISNUMBER('Council Entry'!T$9)),MAX(MIN('Council Entry'!T39,'Council Entry'!T$9),'Council Entry'!T$8),'Council Entry'!T39))))-'Council Entry'!T$5)/('Council Entry'!T$6-'Council Entry'!T$5)),1))),"No data"))</f>
        <v/>
      </c>
      <c r="U39" s="13">
        <f>IF('Council Entry'!U39="","",IFERROR(MAX(0,MIN(10,ROUND(IF('Council Entry'!U$7="Decrease Risk",10-10*((IF('Council Entry'!U$4="Logarithm",LN(0.001+IF(AND(ISNUMBER('Council Entry'!U$8),ISNUMBER('Council Entry'!U$9)),MAX(MIN('Council Entry'!U39,'Council Entry'!U$9),'Council Entry'!U$8),'Council Entry'!U39)),IF('Council Entry'!U$4="Exponential",EXP(IF(AND(ISNUMBER('Council Entry'!U$8),ISNUMBER('Council Entry'!U$9)),MAX(MIN('Council Entry'!U39,'Council Entry'!U$9),'Council Entry'!U$8),'Council Entry'!U39)),IF(AND(ISNUMBER('Council Entry'!U$8),ISNUMBER('Council Entry'!U$9)),MAX(MIN('Council Entry'!U39,'Council Entry'!U$9),'Council Entry'!U$8),'Council Entry'!U39))))-'Council Entry'!U$5)/('Council Entry'!U$6-'Council Entry'!U$5),10*((IF('Council Entry'!U$4="Logarithm",LN(0.001+IF(AND(ISNUMBER('Council Entry'!U$8),ISNUMBER('Council Entry'!U$9)),MAX(MIN('Council Entry'!U39,'Council Entry'!U$9),'Council Entry'!U$8),'Council Entry'!U39)),IF('Council Entry'!U$4="Exponential",EXP(IF(AND(ISNUMBER('Council Entry'!U$8),ISNUMBER('Council Entry'!U$9)),MAX(MIN('Council Entry'!U39,'Council Entry'!U$9),'Council Entry'!U$8),'Council Entry'!U39)),IF(AND(ISNUMBER('Council Entry'!U$8),ISNUMBER('Council Entry'!U$9)),MAX(MIN('Council Entry'!U39,'Council Entry'!U$9),'Council Entry'!U$8),'Council Entry'!U39))))-'Council Entry'!U$5)/('Council Entry'!U$6-'Council Entry'!U$5)),1))),"No data"))</f>
        <v/>
      </c>
      <c r="V39" s="13">
        <f>IF('Council Entry'!V39="","",IFERROR(MAX(0,MIN(10,ROUND(IF('Council Entry'!V$7="Decrease Risk",10-10*((IF('Council Entry'!V$4="Logarithm",LN(0.001+IF(AND(ISNUMBER('Council Entry'!V$8),ISNUMBER('Council Entry'!V$9)),MAX(MIN('Council Entry'!V39,'Council Entry'!V$9),'Council Entry'!V$8),'Council Entry'!V39)),IF('Council Entry'!V$4="Exponential",EXP(IF(AND(ISNUMBER('Council Entry'!V$8),ISNUMBER('Council Entry'!V$9)),MAX(MIN('Council Entry'!V39,'Council Entry'!V$9),'Council Entry'!V$8),'Council Entry'!V39)),IF(AND(ISNUMBER('Council Entry'!V$8),ISNUMBER('Council Entry'!V$9)),MAX(MIN('Council Entry'!V39,'Council Entry'!V$9),'Council Entry'!V$8),'Council Entry'!V39))))-'Council Entry'!V$5)/('Council Entry'!V$6-'Council Entry'!V$5),10*((IF('Council Entry'!V$4="Logarithm",LN(0.001+IF(AND(ISNUMBER('Council Entry'!V$8),ISNUMBER('Council Entry'!V$9)),MAX(MIN('Council Entry'!V39,'Council Entry'!V$9),'Council Entry'!V$8),'Council Entry'!V39)),IF('Council Entry'!V$4="Exponential",EXP(IF(AND(ISNUMBER('Council Entry'!V$8),ISNUMBER('Council Entry'!V$9)),MAX(MIN('Council Entry'!V39,'Council Entry'!V$9),'Council Entry'!V$8),'Council Entry'!V39)),IF(AND(ISNUMBER('Council Entry'!V$8),ISNUMBER('Council Entry'!V$9)),MAX(MIN('Council Entry'!V39,'Council Entry'!V$9),'Council Entry'!V$8),'Council Entry'!V39))))-'Council Entry'!V$5)/('Council Entry'!V$6-'Council Entry'!V$5)),1))),"No data"))</f>
        <v/>
      </c>
      <c r="W39" s="13">
        <f>IF('Council Entry'!W39="","",IFERROR(MAX(0,MIN(10,ROUND(IF('Council Entry'!W$7="Decrease Risk",10-10*((IF('Council Entry'!W$4="Logarithm",LN(0.001+IF(AND(ISNUMBER('Council Entry'!W$8),ISNUMBER('Council Entry'!W$9)),MAX(MIN('Council Entry'!W39,'Council Entry'!W$9),'Council Entry'!W$8),'Council Entry'!W39)),IF('Council Entry'!W$4="Exponential",EXP(IF(AND(ISNUMBER('Council Entry'!W$8),ISNUMBER('Council Entry'!W$9)),MAX(MIN('Council Entry'!W39,'Council Entry'!W$9),'Council Entry'!W$8),'Council Entry'!W39)),IF(AND(ISNUMBER('Council Entry'!W$8),ISNUMBER('Council Entry'!W$9)),MAX(MIN('Council Entry'!W39,'Council Entry'!W$9),'Council Entry'!W$8),'Council Entry'!W39))))-'Council Entry'!W$5)/('Council Entry'!W$6-'Council Entry'!W$5),10*((IF('Council Entry'!W$4="Logarithm",LN(0.001+IF(AND(ISNUMBER('Council Entry'!W$8),ISNUMBER('Council Entry'!W$9)),MAX(MIN('Council Entry'!W39,'Council Entry'!W$9),'Council Entry'!W$8),'Council Entry'!W39)),IF('Council Entry'!W$4="Exponential",EXP(IF(AND(ISNUMBER('Council Entry'!W$8),ISNUMBER('Council Entry'!W$9)),MAX(MIN('Council Entry'!W39,'Council Entry'!W$9),'Council Entry'!W$8),'Council Entry'!W39)),IF(AND(ISNUMBER('Council Entry'!W$8),ISNUMBER('Council Entry'!W$9)),MAX(MIN('Council Entry'!W39,'Council Entry'!W$9),'Council Entry'!W$8),'Council Entry'!W39))))-'Council Entry'!W$5)/('Council Entry'!W$6-'Council Entry'!W$5)),1))),"No data"))</f>
        <v/>
      </c>
      <c r="X39" s="13">
        <f>IF('Council Entry'!X39="","",IFERROR(MAX(0,MIN(10,ROUND(IF('Council Entry'!X$7="Decrease Risk",10-10*((IF('Council Entry'!X$4="Logarithm",LN(0.001+IF(AND(ISNUMBER('Council Entry'!X$8),ISNUMBER('Council Entry'!X$9)),MAX(MIN('Council Entry'!X39,'Council Entry'!X$9),'Council Entry'!X$8),'Council Entry'!X39)),IF('Council Entry'!X$4="Exponential",EXP(IF(AND(ISNUMBER('Council Entry'!X$8),ISNUMBER('Council Entry'!X$9)),MAX(MIN('Council Entry'!X39,'Council Entry'!X$9),'Council Entry'!X$8),'Council Entry'!X39)),IF(AND(ISNUMBER('Council Entry'!X$8),ISNUMBER('Council Entry'!X$9)),MAX(MIN('Council Entry'!X39,'Council Entry'!X$9),'Council Entry'!X$8),'Council Entry'!X39))))-'Council Entry'!X$5)/('Council Entry'!X$6-'Council Entry'!X$5),10*((IF('Council Entry'!X$4="Logarithm",LN(0.001+IF(AND(ISNUMBER('Council Entry'!X$8),ISNUMBER('Council Entry'!X$9)),MAX(MIN('Council Entry'!X39,'Council Entry'!X$9),'Council Entry'!X$8),'Council Entry'!X39)),IF('Council Entry'!X$4="Exponential",EXP(IF(AND(ISNUMBER('Council Entry'!X$8),ISNUMBER('Council Entry'!X$9)),MAX(MIN('Council Entry'!X39,'Council Entry'!X$9),'Council Entry'!X$8),'Council Entry'!X39)),IF(AND(ISNUMBER('Council Entry'!X$8),ISNUMBER('Council Entry'!X$9)),MAX(MIN('Council Entry'!X39,'Council Entry'!X$9),'Council Entry'!X$8),'Council Entry'!X39))))-'Council Entry'!X$5)/('Council Entry'!X$6-'Council Entry'!X$5)),1))),"No data"))</f>
        <v/>
      </c>
      <c r="Y39" s="13">
        <f>IF('Council Entry'!Y39="","",IFERROR(MAX(0,MIN(10,ROUND(IF('Council Entry'!Y$7="Decrease Risk",10-10*((IF('Council Entry'!Y$4="Logarithm",LN(0.001+IF(AND(ISNUMBER('Council Entry'!Y$8),ISNUMBER('Council Entry'!Y$9)),MAX(MIN('Council Entry'!Y39,'Council Entry'!Y$9),'Council Entry'!Y$8),'Council Entry'!Y39)),IF('Council Entry'!Y$4="Exponential",EXP(IF(AND(ISNUMBER('Council Entry'!Y$8),ISNUMBER('Council Entry'!Y$9)),MAX(MIN('Council Entry'!Y39,'Council Entry'!Y$9),'Council Entry'!Y$8),'Council Entry'!Y39)),IF(AND(ISNUMBER('Council Entry'!Y$8),ISNUMBER('Council Entry'!Y$9)),MAX(MIN('Council Entry'!Y39,'Council Entry'!Y$9),'Council Entry'!Y$8),'Council Entry'!Y39))))-'Council Entry'!Y$5)/('Council Entry'!Y$6-'Council Entry'!Y$5),10*((IF('Council Entry'!Y$4="Logarithm",LN(0.001+IF(AND(ISNUMBER('Council Entry'!Y$8),ISNUMBER('Council Entry'!Y$9)),MAX(MIN('Council Entry'!Y39,'Council Entry'!Y$9),'Council Entry'!Y$8),'Council Entry'!Y39)),IF('Council Entry'!Y$4="Exponential",EXP(IF(AND(ISNUMBER('Council Entry'!Y$8),ISNUMBER('Council Entry'!Y$9)),MAX(MIN('Council Entry'!Y39,'Council Entry'!Y$9),'Council Entry'!Y$8),'Council Entry'!Y39)),IF(AND(ISNUMBER('Council Entry'!Y$8),ISNUMBER('Council Entry'!Y$9)),MAX(MIN('Council Entry'!Y39,'Council Entry'!Y$9),'Council Entry'!Y$8),'Council Entry'!Y39))))-'Council Entry'!Y$5)/('Council Entry'!Y$6-'Council Entry'!Y$5)),1))),"No data"))</f>
        <v/>
      </c>
      <c r="Z39" s="13">
        <f>IF('Council Entry'!Z39="","",IFERROR(MAX(0,MIN(10,ROUND(IF('Council Entry'!Z$7="Decrease Risk",10-10*((IF('Council Entry'!Z$4="Logarithm",LN(0.001+IF(AND(ISNUMBER('Council Entry'!Z$8),ISNUMBER('Council Entry'!Z$9)),MAX(MIN('Council Entry'!Z39,'Council Entry'!Z$9),'Council Entry'!Z$8),'Council Entry'!Z39)),IF('Council Entry'!Z$4="Exponential",EXP(IF(AND(ISNUMBER('Council Entry'!Z$8),ISNUMBER('Council Entry'!Z$9)),MAX(MIN('Council Entry'!Z39,'Council Entry'!Z$9),'Council Entry'!Z$8),'Council Entry'!Z39)),IF(AND(ISNUMBER('Council Entry'!Z$8),ISNUMBER('Council Entry'!Z$9)),MAX(MIN('Council Entry'!Z39,'Council Entry'!Z$9),'Council Entry'!Z$8),'Council Entry'!Z39))))-'Council Entry'!Z$5)/('Council Entry'!Z$6-'Council Entry'!Z$5),10*((IF('Council Entry'!Z$4="Logarithm",LN(0.001+IF(AND(ISNUMBER('Council Entry'!Z$8),ISNUMBER('Council Entry'!Z$9)),MAX(MIN('Council Entry'!Z39,'Council Entry'!Z$9),'Council Entry'!Z$8),'Council Entry'!Z39)),IF('Council Entry'!Z$4="Exponential",EXP(IF(AND(ISNUMBER('Council Entry'!Z$8),ISNUMBER('Council Entry'!Z$9)),MAX(MIN('Council Entry'!Z39,'Council Entry'!Z$9),'Council Entry'!Z$8),'Council Entry'!Z39)),IF(AND(ISNUMBER('Council Entry'!Z$8),ISNUMBER('Council Entry'!Z$9)),MAX(MIN('Council Entry'!Z39,'Council Entry'!Z$9),'Council Entry'!Z$8),'Council Entry'!Z39))))-'Council Entry'!Z$5)/('Council Entry'!Z$6-'Council Entry'!Z$5)),1))),"No data"))</f>
        <v/>
      </c>
      <c r="AA39" s="13">
        <f>IF('Council Entry'!AA39="","",IFERROR(MAX(0,MIN(10,ROUND(IF('Council Entry'!AA$7="Decrease Risk",10-10*((IF('Council Entry'!AA$4="Logarithm",LN(0.001+IF(AND(ISNUMBER('Council Entry'!AA$8),ISNUMBER('Council Entry'!AA$9)),MAX(MIN('Council Entry'!AA39,'Council Entry'!AA$9),'Council Entry'!AA$8),'Council Entry'!AA39)),IF('Council Entry'!AA$4="Exponential",EXP(IF(AND(ISNUMBER('Council Entry'!AA$8),ISNUMBER('Council Entry'!AA$9)),MAX(MIN('Council Entry'!AA39,'Council Entry'!AA$9),'Council Entry'!AA$8),'Council Entry'!AA39)),IF(AND(ISNUMBER('Council Entry'!AA$8),ISNUMBER('Council Entry'!AA$9)),MAX(MIN('Council Entry'!AA39,'Council Entry'!AA$9),'Council Entry'!AA$8),'Council Entry'!AA39))))-'Council Entry'!AA$5)/('Council Entry'!AA$6-'Council Entry'!AA$5),10*((IF('Council Entry'!AA$4="Logarithm",LN(0.001+IF(AND(ISNUMBER('Council Entry'!AA$8),ISNUMBER('Council Entry'!AA$9)),MAX(MIN('Council Entry'!AA39,'Council Entry'!AA$9),'Council Entry'!AA$8),'Council Entry'!AA39)),IF('Council Entry'!AA$4="Exponential",EXP(IF(AND(ISNUMBER('Council Entry'!AA$8),ISNUMBER('Council Entry'!AA$9)),MAX(MIN('Council Entry'!AA39,'Council Entry'!AA$9),'Council Entry'!AA$8),'Council Entry'!AA39)),IF(AND(ISNUMBER('Council Entry'!AA$8),ISNUMBER('Council Entry'!AA$9)),MAX(MIN('Council Entry'!AA39,'Council Entry'!AA$9),'Council Entry'!AA$8),'Council Entry'!AA39))))-'Council Entry'!AA$5)/('Council Entry'!AA$6-'Council Entry'!AA$5)),1))),"No data"))</f>
        <v/>
      </c>
      <c r="AB39" s="13">
        <f>IF('Council Entry'!AB39="","",IFERROR(MAX(0,MIN(10,ROUND(IF('Council Entry'!AB$7="Decrease Risk",10-10*((IF('Council Entry'!AB$4="Logarithm",LN(0.001+IF(AND(ISNUMBER('Council Entry'!AB$8),ISNUMBER('Council Entry'!AB$9)),MAX(MIN('Council Entry'!AB39,'Council Entry'!AB$9),'Council Entry'!AB$8),'Council Entry'!AB39)),IF('Council Entry'!AB$4="Exponential",EXP(IF(AND(ISNUMBER('Council Entry'!AB$8),ISNUMBER('Council Entry'!AB$9)),MAX(MIN('Council Entry'!AB39,'Council Entry'!AB$9),'Council Entry'!AB$8),'Council Entry'!AB39)),IF(AND(ISNUMBER('Council Entry'!AB$8),ISNUMBER('Council Entry'!AB$9)),MAX(MIN('Council Entry'!AB39,'Council Entry'!AB$9),'Council Entry'!AB$8),'Council Entry'!AB39))))-'Council Entry'!AB$5)/('Council Entry'!AB$6-'Council Entry'!AB$5),10*((IF('Council Entry'!AB$4="Logarithm",LN(0.001+IF(AND(ISNUMBER('Council Entry'!AB$8),ISNUMBER('Council Entry'!AB$9)),MAX(MIN('Council Entry'!AB39,'Council Entry'!AB$9),'Council Entry'!AB$8),'Council Entry'!AB39)),IF('Council Entry'!AB$4="Exponential",EXP(IF(AND(ISNUMBER('Council Entry'!AB$8),ISNUMBER('Council Entry'!AB$9)),MAX(MIN('Council Entry'!AB39,'Council Entry'!AB$9),'Council Entry'!AB$8),'Council Entry'!AB39)),IF(AND(ISNUMBER('Council Entry'!AB$8),ISNUMBER('Council Entry'!AB$9)),MAX(MIN('Council Entry'!AB39,'Council Entry'!AB$9),'Council Entry'!AB$8),'Council Entry'!AB39))))-'Council Entry'!AB$5)/('Council Entry'!AB$6-'Council Entry'!AB$5)),1))),"No data"))</f>
        <v/>
      </c>
      <c r="AC39" s="13">
        <f>IF('Council Entry'!AC39="","",IFERROR(MAX(0,MIN(10,ROUND(IF('Council Entry'!AC$7="Decrease Risk",10-10*((IF('Council Entry'!AC$4="Logarithm",LN(0.001+IF(AND(ISNUMBER('Council Entry'!AC$8),ISNUMBER('Council Entry'!AC$9)),MAX(MIN('Council Entry'!AC39,'Council Entry'!AC$9),'Council Entry'!AC$8),'Council Entry'!AC39)),IF('Council Entry'!AC$4="Exponential",EXP(IF(AND(ISNUMBER('Council Entry'!AC$8),ISNUMBER('Council Entry'!AC$9)),MAX(MIN('Council Entry'!AC39,'Council Entry'!AC$9),'Council Entry'!AC$8),'Council Entry'!AC39)),IF(AND(ISNUMBER('Council Entry'!AC$8),ISNUMBER('Council Entry'!AC$9)),MAX(MIN('Council Entry'!AC39,'Council Entry'!AC$9),'Council Entry'!AC$8),'Council Entry'!AC39))))-'Council Entry'!AC$5)/('Council Entry'!AC$6-'Council Entry'!AC$5),10*((IF('Council Entry'!AC$4="Logarithm",LN(0.001+IF(AND(ISNUMBER('Council Entry'!AC$8),ISNUMBER('Council Entry'!AC$9)),MAX(MIN('Council Entry'!AC39,'Council Entry'!AC$9),'Council Entry'!AC$8),'Council Entry'!AC39)),IF('Council Entry'!AC$4="Exponential",EXP(IF(AND(ISNUMBER('Council Entry'!AC$8),ISNUMBER('Council Entry'!AC$9)),MAX(MIN('Council Entry'!AC39,'Council Entry'!AC$9),'Council Entry'!AC$8),'Council Entry'!AC39)),IF(AND(ISNUMBER('Council Entry'!AC$8),ISNUMBER('Council Entry'!AC$9)),MAX(MIN('Council Entry'!AC39,'Council Entry'!AC$9),'Council Entry'!AC$8),'Council Entry'!AC39))))-'Council Entry'!AC$5)/('Council Entry'!AC$6-'Council Entry'!AC$5)),1))),"No data"))</f>
        <v/>
      </c>
      <c r="AD39" s="13">
        <f>IF('Council Entry'!AD39="","",IFERROR(MAX(0,MIN(10,ROUND(IF('Council Entry'!AD$7="Decrease Risk",10-10*((IF('Council Entry'!AD$4="Logarithm",LN(0.001+IF(AND(ISNUMBER('Council Entry'!AD$8),ISNUMBER('Council Entry'!AD$9)),MAX(MIN('Council Entry'!AD39,'Council Entry'!AD$9),'Council Entry'!AD$8),'Council Entry'!AD39)),IF('Council Entry'!AD$4="Exponential",EXP(IF(AND(ISNUMBER('Council Entry'!AD$8),ISNUMBER('Council Entry'!AD$9)),MAX(MIN('Council Entry'!AD39,'Council Entry'!AD$9),'Council Entry'!AD$8),'Council Entry'!AD39)),IF(AND(ISNUMBER('Council Entry'!AD$8),ISNUMBER('Council Entry'!AD$9)),MAX(MIN('Council Entry'!AD39,'Council Entry'!AD$9),'Council Entry'!AD$8),'Council Entry'!AD39))))-'Council Entry'!AD$5)/('Council Entry'!AD$6-'Council Entry'!AD$5),10*((IF('Council Entry'!AD$4="Logarithm",LN(0.001+IF(AND(ISNUMBER('Council Entry'!AD$8),ISNUMBER('Council Entry'!AD$9)),MAX(MIN('Council Entry'!AD39,'Council Entry'!AD$9),'Council Entry'!AD$8),'Council Entry'!AD39)),IF('Council Entry'!AD$4="Exponential",EXP(IF(AND(ISNUMBER('Council Entry'!AD$8),ISNUMBER('Council Entry'!AD$9)),MAX(MIN('Council Entry'!AD39,'Council Entry'!AD$9),'Council Entry'!AD$8),'Council Entry'!AD39)),IF(AND(ISNUMBER('Council Entry'!AD$8),ISNUMBER('Council Entry'!AD$9)),MAX(MIN('Council Entry'!AD39,'Council Entry'!AD$9),'Council Entry'!AD$8),'Council Entry'!AD39))))-'Council Entry'!AD$5)/('Council Entry'!AD$6-'Council Entry'!AD$5)),1))),"No data"))</f>
        <v/>
      </c>
      <c r="AE39" s="13">
        <f>IF('Council Entry'!AE39="","",IFERROR(MAX(0,MIN(10,ROUND(IF('Council Entry'!AE$7="Decrease Risk",10-10*((IF('Council Entry'!AE$4="Logarithm",LN(0.001+IF(AND(ISNUMBER('Council Entry'!AE$8),ISNUMBER('Council Entry'!AE$9)),MAX(MIN('Council Entry'!AE39,'Council Entry'!AE$9),'Council Entry'!AE$8),'Council Entry'!AE39)),IF('Council Entry'!AE$4="Exponential",EXP(IF(AND(ISNUMBER('Council Entry'!AE$8),ISNUMBER('Council Entry'!AE$9)),MAX(MIN('Council Entry'!AE39,'Council Entry'!AE$9),'Council Entry'!AE$8),'Council Entry'!AE39)),IF(AND(ISNUMBER('Council Entry'!AE$8),ISNUMBER('Council Entry'!AE$9)),MAX(MIN('Council Entry'!AE39,'Council Entry'!AE$9),'Council Entry'!AE$8),'Council Entry'!AE39))))-'Council Entry'!AE$5)/('Council Entry'!AE$6-'Council Entry'!AE$5),10*((IF('Council Entry'!AE$4="Logarithm",LN(0.001+IF(AND(ISNUMBER('Council Entry'!AE$8),ISNUMBER('Council Entry'!AE$9)),MAX(MIN('Council Entry'!AE39,'Council Entry'!AE$9),'Council Entry'!AE$8),'Council Entry'!AE39)),IF('Council Entry'!AE$4="Exponential",EXP(IF(AND(ISNUMBER('Council Entry'!AE$8),ISNUMBER('Council Entry'!AE$9)),MAX(MIN('Council Entry'!AE39,'Council Entry'!AE$9),'Council Entry'!AE$8),'Council Entry'!AE39)),IF(AND(ISNUMBER('Council Entry'!AE$8),ISNUMBER('Council Entry'!AE$9)),MAX(MIN('Council Entry'!AE39,'Council Entry'!AE$9),'Council Entry'!AE$8),'Council Entry'!AE39))))-'Council Entry'!AE$5)/('Council Entry'!AE$6-'Council Entry'!AE$5)),1))),"No data"))</f>
        <v/>
      </c>
      <c r="AF39" s="13">
        <f>IF('Council Entry'!AF39="","",IFERROR(MAX(0,MIN(10,ROUND(IF('Council Entry'!AF$7="Decrease Risk",10-10*((IF('Council Entry'!AF$4="Logarithm",LN(0.001+IF(AND(ISNUMBER('Council Entry'!AF$8),ISNUMBER('Council Entry'!AF$9)),MAX(MIN('Council Entry'!AF39,'Council Entry'!AF$9),'Council Entry'!AF$8),'Council Entry'!AF39)),IF('Council Entry'!AF$4="Exponential",EXP(IF(AND(ISNUMBER('Council Entry'!AF$8),ISNUMBER('Council Entry'!AF$9)),MAX(MIN('Council Entry'!AF39,'Council Entry'!AF$9),'Council Entry'!AF$8),'Council Entry'!AF39)),IF(AND(ISNUMBER('Council Entry'!AF$8),ISNUMBER('Council Entry'!AF$9)),MAX(MIN('Council Entry'!AF39,'Council Entry'!AF$9),'Council Entry'!AF$8),'Council Entry'!AF39))))-'Council Entry'!AF$5)/('Council Entry'!AF$6-'Council Entry'!AF$5),10*((IF('Council Entry'!AF$4="Logarithm",LN(0.001+IF(AND(ISNUMBER('Council Entry'!AF$8),ISNUMBER('Council Entry'!AF$9)),MAX(MIN('Council Entry'!AF39,'Council Entry'!AF$9),'Council Entry'!AF$8),'Council Entry'!AF39)),IF('Council Entry'!AF$4="Exponential",EXP(IF(AND(ISNUMBER('Council Entry'!AF$8),ISNUMBER('Council Entry'!AF$9)),MAX(MIN('Council Entry'!AF39,'Council Entry'!AF$9),'Council Entry'!AF$8),'Council Entry'!AF39)),IF(AND(ISNUMBER('Council Entry'!AF$8),ISNUMBER('Council Entry'!AF$9)),MAX(MIN('Council Entry'!AF39,'Council Entry'!AF$9),'Council Entry'!AF$8),'Council Entry'!AF39))))-'Council Entry'!AF$5)/('Council Entry'!AF$6-'Council Entry'!AF$5)),1))),"No data"))</f>
        <v/>
      </c>
      <c r="AG39" s="13">
        <f>IF('Council Entry'!AG39="","",IFERROR(MAX(0,MIN(10,ROUND(IF('Council Entry'!AG$7="Decrease Risk",10-10*((IF('Council Entry'!AG$4="Logarithm",LN(0.001+IF(AND(ISNUMBER('Council Entry'!AG$8),ISNUMBER('Council Entry'!AG$9)),MAX(MIN('Council Entry'!AG39,'Council Entry'!AG$9),'Council Entry'!AG$8),'Council Entry'!AG39)),IF('Council Entry'!AG$4="Exponential",EXP(IF(AND(ISNUMBER('Council Entry'!AG$8),ISNUMBER('Council Entry'!AG$9)),MAX(MIN('Council Entry'!AG39,'Council Entry'!AG$9),'Council Entry'!AG$8),'Council Entry'!AG39)),IF(AND(ISNUMBER('Council Entry'!AG$8),ISNUMBER('Council Entry'!AG$9)),MAX(MIN('Council Entry'!AG39,'Council Entry'!AG$9),'Council Entry'!AG$8),'Council Entry'!AG39))))-'Council Entry'!AG$5)/('Council Entry'!AG$6-'Council Entry'!AG$5),10*((IF('Council Entry'!AG$4="Logarithm",LN(0.001+IF(AND(ISNUMBER('Council Entry'!AG$8),ISNUMBER('Council Entry'!AG$9)),MAX(MIN('Council Entry'!AG39,'Council Entry'!AG$9),'Council Entry'!AG$8),'Council Entry'!AG39)),IF('Council Entry'!AG$4="Exponential",EXP(IF(AND(ISNUMBER('Council Entry'!AG$8),ISNUMBER('Council Entry'!AG$9)),MAX(MIN('Council Entry'!AG39,'Council Entry'!AG$9),'Council Entry'!AG$8),'Council Entry'!AG39)),IF(AND(ISNUMBER('Council Entry'!AG$8),ISNUMBER('Council Entry'!AG$9)),MAX(MIN('Council Entry'!AG39,'Council Entry'!AG$9),'Council Entry'!AG$8),'Council Entry'!AG39))))-'Council Entry'!AG$5)/('Council Entry'!AG$6-'Council Entry'!AG$5)),1))),"No data"))</f>
        <v/>
      </c>
      <c r="AH39" s="13">
        <f>IF('Council Entry'!AH39="","",IFERROR(MAX(0,MIN(10,ROUND(IF('Council Entry'!AH$7="Decrease Risk",10-10*((IF('Council Entry'!AH$4="Logarithm",LN(0.001+IF(AND(ISNUMBER('Council Entry'!AH$8),ISNUMBER('Council Entry'!AH$9)),MAX(MIN('Council Entry'!AH39,'Council Entry'!AH$9),'Council Entry'!AH$8),'Council Entry'!AH39)),IF('Council Entry'!AH$4="Exponential",EXP(IF(AND(ISNUMBER('Council Entry'!AH$8),ISNUMBER('Council Entry'!AH$9)),MAX(MIN('Council Entry'!AH39,'Council Entry'!AH$9),'Council Entry'!AH$8),'Council Entry'!AH39)),IF(AND(ISNUMBER('Council Entry'!AH$8),ISNUMBER('Council Entry'!AH$9)),MAX(MIN('Council Entry'!AH39,'Council Entry'!AH$9),'Council Entry'!AH$8),'Council Entry'!AH39))))-'Council Entry'!AH$5)/('Council Entry'!AH$6-'Council Entry'!AH$5),10*((IF('Council Entry'!AH$4="Logarithm",LN(0.001+IF(AND(ISNUMBER('Council Entry'!AH$8),ISNUMBER('Council Entry'!AH$9)),MAX(MIN('Council Entry'!AH39,'Council Entry'!AH$9),'Council Entry'!AH$8),'Council Entry'!AH39)),IF('Council Entry'!AH$4="Exponential",EXP(IF(AND(ISNUMBER('Council Entry'!AH$8),ISNUMBER('Council Entry'!AH$9)),MAX(MIN('Council Entry'!AH39,'Council Entry'!AH$9),'Council Entry'!AH$8),'Council Entry'!AH39)),IF(AND(ISNUMBER('Council Entry'!AH$8),ISNUMBER('Council Entry'!AH$9)),MAX(MIN('Council Entry'!AH39,'Council Entry'!AH$9),'Council Entry'!AH$8),'Council Entry'!AH39))))-'Council Entry'!AH$5)/('Council Entry'!AH$6-'Council Entry'!AH$5)),1))),"No data"))</f>
        <v/>
      </c>
      <c r="AI39" s="13">
        <f>IF('Council Entry'!AI39="","",IFERROR(MAX(0,MIN(10,ROUND(IF('Council Entry'!AI$7="Decrease Risk",10-10*((IF('Council Entry'!AI$4="Logarithm",LN(0.001+IF(AND(ISNUMBER('Council Entry'!AI$8),ISNUMBER('Council Entry'!AI$9)),MAX(MIN('Council Entry'!AI39,'Council Entry'!AI$9),'Council Entry'!AI$8),'Council Entry'!AI39)),IF('Council Entry'!AI$4="Exponential",EXP(IF(AND(ISNUMBER('Council Entry'!AI$8),ISNUMBER('Council Entry'!AI$9)),MAX(MIN('Council Entry'!AI39,'Council Entry'!AI$9),'Council Entry'!AI$8),'Council Entry'!AI39)),IF(AND(ISNUMBER('Council Entry'!AI$8),ISNUMBER('Council Entry'!AI$9)),MAX(MIN('Council Entry'!AI39,'Council Entry'!AI$9),'Council Entry'!AI$8),'Council Entry'!AI39))))-'Council Entry'!AI$5)/('Council Entry'!AI$6-'Council Entry'!AI$5),10*((IF('Council Entry'!AI$4="Logarithm",LN(0.001+IF(AND(ISNUMBER('Council Entry'!AI$8),ISNUMBER('Council Entry'!AI$9)),MAX(MIN('Council Entry'!AI39,'Council Entry'!AI$9),'Council Entry'!AI$8),'Council Entry'!AI39)),IF('Council Entry'!AI$4="Exponential",EXP(IF(AND(ISNUMBER('Council Entry'!AI$8),ISNUMBER('Council Entry'!AI$9)),MAX(MIN('Council Entry'!AI39,'Council Entry'!AI$9),'Council Entry'!AI$8),'Council Entry'!AI39)),IF(AND(ISNUMBER('Council Entry'!AI$8),ISNUMBER('Council Entry'!AI$9)),MAX(MIN('Council Entry'!AI39,'Council Entry'!AI$9),'Council Entry'!AI$8),'Council Entry'!AI39))))-'Council Entry'!AI$5)/('Council Entry'!AI$6-'Council Entry'!AI$5)),1))),"No data"))</f>
        <v/>
      </c>
      <c r="AJ39" s="13">
        <f>IF('Council Entry'!AJ39="","",IFERROR(MAX(0,MIN(10,ROUND(IF('Council Entry'!AJ$7="Decrease Risk",10-10*((IF('Council Entry'!AJ$4="Logarithm",LN(0.001+IF(AND(ISNUMBER('Council Entry'!AJ$8),ISNUMBER('Council Entry'!AJ$9)),MAX(MIN('Council Entry'!AJ39,'Council Entry'!AJ$9),'Council Entry'!AJ$8),'Council Entry'!AJ39)),IF('Council Entry'!AJ$4="Exponential",EXP(IF(AND(ISNUMBER('Council Entry'!AJ$8),ISNUMBER('Council Entry'!AJ$9)),MAX(MIN('Council Entry'!AJ39,'Council Entry'!AJ$9),'Council Entry'!AJ$8),'Council Entry'!AJ39)),IF(AND(ISNUMBER('Council Entry'!AJ$8),ISNUMBER('Council Entry'!AJ$9)),MAX(MIN('Council Entry'!AJ39,'Council Entry'!AJ$9),'Council Entry'!AJ$8),'Council Entry'!AJ39))))-'Council Entry'!AJ$5)/('Council Entry'!AJ$6-'Council Entry'!AJ$5),10*((IF('Council Entry'!AJ$4="Logarithm",LN(0.001+IF(AND(ISNUMBER('Council Entry'!AJ$8),ISNUMBER('Council Entry'!AJ$9)),MAX(MIN('Council Entry'!AJ39,'Council Entry'!AJ$9),'Council Entry'!AJ$8),'Council Entry'!AJ39)),IF('Council Entry'!AJ$4="Exponential",EXP(IF(AND(ISNUMBER('Council Entry'!AJ$8),ISNUMBER('Council Entry'!AJ$9)),MAX(MIN('Council Entry'!AJ39,'Council Entry'!AJ$9),'Council Entry'!AJ$8),'Council Entry'!AJ39)),IF(AND(ISNUMBER('Council Entry'!AJ$8),ISNUMBER('Council Entry'!AJ$9)),MAX(MIN('Council Entry'!AJ39,'Council Entry'!AJ$9),'Council Entry'!AJ$8),'Council Entry'!AJ39))))-'Council Entry'!AJ$5)/('Council Entry'!AJ$6-'Council Entry'!AJ$5)),1))),"No data"))</f>
        <v/>
      </c>
      <c r="AK39" s="13">
        <f>IF('Council Entry'!AK39="","",IFERROR(MAX(0,MIN(10,ROUND(IF('Council Entry'!AK$7="Decrease Risk",10-10*((IF('Council Entry'!AK$4="Logarithm",LN(0.001+IF(AND(ISNUMBER('Council Entry'!AK$8),ISNUMBER('Council Entry'!AK$9)),MAX(MIN('Council Entry'!AK39,'Council Entry'!AK$9),'Council Entry'!AK$8),'Council Entry'!AK39)),IF('Council Entry'!AK$4="Exponential",EXP(IF(AND(ISNUMBER('Council Entry'!AK$8),ISNUMBER('Council Entry'!AK$9)),MAX(MIN('Council Entry'!AK39,'Council Entry'!AK$9),'Council Entry'!AK$8),'Council Entry'!AK39)),IF(AND(ISNUMBER('Council Entry'!AK$8),ISNUMBER('Council Entry'!AK$9)),MAX(MIN('Council Entry'!AK39,'Council Entry'!AK$9),'Council Entry'!AK$8),'Council Entry'!AK39))))-'Council Entry'!AK$5)/('Council Entry'!AK$6-'Council Entry'!AK$5),10*((IF('Council Entry'!AK$4="Logarithm",LN(0.001+IF(AND(ISNUMBER('Council Entry'!AK$8),ISNUMBER('Council Entry'!AK$9)),MAX(MIN('Council Entry'!AK39,'Council Entry'!AK$9),'Council Entry'!AK$8),'Council Entry'!AK39)),IF('Council Entry'!AK$4="Exponential",EXP(IF(AND(ISNUMBER('Council Entry'!AK$8),ISNUMBER('Council Entry'!AK$9)),MAX(MIN('Council Entry'!AK39,'Council Entry'!AK$9),'Council Entry'!AK$8),'Council Entry'!AK39)),IF(AND(ISNUMBER('Council Entry'!AK$8),ISNUMBER('Council Entry'!AK$9)),MAX(MIN('Council Entry'!AK39,'Council Entry'!AK$9),'Council Entry'!AK$8),'Council Entry'!AK39))))-'Council Entry'!AK$5)/('Council Entry'!AK$6-'Council Entry'!AK$5)),1))),"No data"))</f>
        <v/>
      </c>
      <c r="AL39" s="13">
        <f>IF('Council Entry'!AL39="","",IFERROR(MAX(0,MIN(10,ROUND(IF('Council Entry'!AL$7="Decrease Risk",10-10*((IF('Council Entry'!AL$4="Logarithm",LN(0.001+IF(AND(ISNUMBER('Council Entry'!AL$8),ISNUMBER('Council Entry'!AL$9)),MAX(MIN('Council Entry'!AL39,'Council Entry'!AL$9),'Council Entry'!AL$8),'Council Entry'!AL39)),IF('Council Entry'!AL$4="Exponential",EXP(IF(AND(ISNUMBER('Council Entry'!AL$8),ISNUMBER('Council Entry'!AL$9)),MAX(MIN('Council Entry'!AL39,'Council Entry'!AL$9),'Council Entry'!AL$8),'Council Entry'!AL39)),IF(AND(ISNUMBER('Council Entry'!AL$8),ISNUMBER('Council Entry'!AL$9)),MAX(MIN('Council Entry'!AL39,'Council Entry'!AL$9),'Council Entry'!AL$8),'Council Entry'!AL39))))-'Council Entry'!AL$5)/('Council Entry'!AL$6-'Council Entry'!AL$5),10*((IF('Council Entry'!AL$4="Logarithm",LN(0.001+IF(AND(ISNUMBER('Council Entry'!AL$8),ISNUMBER('Council Entry'!AL$9)),MAX(MIN('Council Entry'!AL39,'Council Entry'!AL$9),'Council Entry'!AL$8),'Council Entry'!AL39)),IF('Council Entry'!AL$4="Exponential",EXP(IF(AND(ISNUMBER('Council Entry'!AL$8),ISNUMBER('Council Entry'!AL$9)),MAX(MIN('Council Entry'!AL39,'Council Entry'!AL$9),'Council Entry'!AL$8),'Council Entry'!AL39)),IF(AND(ISNUMBER('Council Entry'!AL$8),ISNUMBER('Council Entry'!AL$9)),MAX(MIN('Council Entry'!AL39,'Council Entry'!AL$9),'Council Entry'!AL$8),'Council Entry'!AL39))))-'Council Entry'!AL$5)/('Council Entry'!AL$6-'Council Entry'!AL$5)),1))),"No data"))</f>
        <v/>
      </c>
      <c r="AM39" s="13">
        <f>IF('Council Entry'!AM39="","",IFERROR(MAX(0,MIN(10,ROUND(IF('Council Entry'!AM$7="Decrease Risk",10-10*((IF('Council Entry'!AM$4="Logarithm",LN(0.001+IF(AND(ISNUMBER('Council Entry'!AM$8),ISNUMBER('Council Entry'!AM$9)),MAX(MIN('Council Entry'!AM39,'Council Entry'!AM$9),'Council Entry'!AM$8),'Council Entry'!AM39)),IF('Council Entry'!AM$4="Exponential",EXP(IF(AND(ISNUMBER('Council Entry'!AM$8),ISNUMBER('Council Entry'!AM$9)),MAX(MIN('Council Entry'!AM39,'Council Entry'!AM$9),'Council Entry'!AM$8),'Council Entry'!AM39)),IF(AND(ISNUMBER('Council Entry'!AM$8),ISNUMBER('Council Entry'!AM$9)),MAX(MIN('Council Entry'!AM39,'Council Entry'!AM$9),'Council Entry'!AM$8),'Council Entry'!AM39))))-'Council Entry'!AM$5)/('Council Entry'!AM$6-'Council Entry'!AM$5),10*((IF('Council Entry'!AM$4="Logarithm",LN(0.001+IF(AND(ISNUMBER('Council Entry'!AM$8),ISNUMBER('Council Entry'!AM$9)),MAX(MIN('Council Entry'!AM39,'Council Entry'!AM$9),'Council Entry'!AM$8),'Council Entry'!AM39)),IF('Council Entry'!AM$4="Exponential",EXP(IF(AND(ISNUMBER('Council Entry'!AM$8),ISNUMBER('Council Entry'!AM$9)),MAX(MIN('Council Entry'!AM39,'Council Entry'!AM$9),'Council Entry'!AM$8),'Council Entry'!AM39)),IF(AND(ISNUMBER('Council Entry'!AM$8),ISNUMBER('Council Entry'!AM$9)),MAX(MIN('Council Entry'!AM39,'Council Entry'!AM$9),'Council Entry'!AM$8),'Council Entry'!AM39))))-'Council Entry'!AM$5)/('Council Entry'!AM$6-'Council Entry'!AM$5)),1))),"No data"))</f>
        <v/>
      </c>
      <c r="AN39" s="13">
        <f>IF('Council Entry'!AN39="","",IFERROR(MAX(0,MIN(10,ROUND(IF('Council Entry'!AN$7="Decrease Risk",10-10*((IF('Council Entry'!AN$4="Logarithm",LN(0.001+IF(AND(ISNUMBER('Council Entry'!AN$8),ISNUMBER('Council Entry'!AN$9)),MAX(MIN('Council Entry'!AN39,'Council Entry'!AN$9),'Council Entry'!AN$8),'Council Entry'!AN39)),IF('Council Entry'!AN$4="Exponential",EXP(IF(AND(ISNUMBER('Council Entry'!AN$8),ISNUMBER('Council Entry'!AN$9)),MAX(MIN('Council Entry'!AN39,'Council Entry'!AN$9),'Council Entry'!AN$8),'Council Entry'!AN39)),IF(AND(ISNUMBER('Council Entry'!AN$8),ISNUMBER('Council Entry'!AN$9)),MAX(MIN('Council Entry'!AN39,'Council Entry'!AN$9),'Council Entry'!AN$8),'Council Entry'!AN39))))-'Council Entry'!AN$5)/('Council Entry'!AN$6-'Council Entry'!AN$5),10*((IF('Council Entry'!AN$4="Logarithm",LN(0.001+IF(AND(ISNUMBER('Council Entry'!AN$8),ISNUMBER('Council Entry'!AN$9)),MAX(MIN('Council Entry'!AN39,'Council Entry'!AN$9),'Council Entry'!AN$8),'Council Entry'!AN39)),IF('Council Entry'!AN$4="Exponential",EXP(IF(AND(ISNUMBER('Council Entry'!AN$8),ISNUMBER('Council Entry'!AN$9)),MAX(MIN('Council Entry'!AN39,'Council Entry'!AN$9),'Council Entry'!AN$8),'Council Entry'!AN39)),IF(AND(ISNUMBER('Council Entry'!AN$8),ISNUMBER('Council Entry'!AN$9)),MAX(MIN('Council Entry'!AN39,'Council Entry'!AN$9),'Council Entry'!AN$8),'Council Entry'!AN39))))-'Council Entry'!AN$5)/('Council Entry'!AN$6-'Council Entry'!AN$5)),1))),"No data"))</f>
        <v/>
      </c>
      <c r="AO39" s="13">
        <f>IF('Council Entry'!AO39="","",IFERROR(MAX(0,MIN(10,ROUND(IF('Council Entry'!AO$7="Decrease Risk",10-10*((IF('Council Entry'!AO$4="Logarithm",LN(0.001+IF(AND(ISNUMBER('Council Entry'!AO$8),ISNUMBER('Council Entry'!AO$9)),MAX(MIN('Council Entry'!AO39,'Council Entry'!AO$9),'Council Entry'!AO$8),'Council Entry'!AO39)),IF('Council Entry'!AO$4="Exponential",EXP(IF(AND(ISNUMBER('Council Entry'!AO$8),ISNUMBER('Council Entry'!AO$9)),MAX(MIN('Council Entry'!AO39,'Council Entry'!AO$9),'Council Entry'!AO$8),'Council Entry'!AO39)),IF(AND(ISNUMBER('Council Entry'!AO$8),ISNUMBER('Council Entry'!AO$9)),MAX(MIN('Council Entry'!AO39,'Council Entry'!AO$9),'Council Entry'!AO$8),'Council Entry'!AO39))))-'Council Entry'!AO$5)/('Council Entry'!AO$6-'Council Entry'!AO$5),10*((IF('Council Entry'!AO$4="Logarithm",LN(0.001+IF(AND(ISNUMBER('Council Entry'!AO$8),ISNUMBER('Council Entry'!AO$9)),MAX(MIN('Council Entry'!AO39,'Council Entry'!AO$9),'Council Entry'!AO$8),'Council Entry'!AO39)),IF('Council Entry'!AO$4="Exponential",EXP(IF(AND(ISNUMBER('Council Entry'!AO$8),ISNUMBER('Council Entry'!AO$9)),MAX(MIN('Council Entry'!AO39,'Council Entry'!AO$9),'Council Entry'!AO$8),'Council Entry'!AO39)),IF(AND(ISNUMBER('Council Entry'!AO$8),ISNUMBER('Council Entry'!AO$9)),MAX(MIN('Council Entry'!AO39,'Council Entry'!AO$9),'Council Entry'!AO$8),'Council Entry'!AO39))))-'Council Entry'!AO$5)/('Council Entry'!AO$6-'Council Entry'!AO$5)),1))),"No data"))</f>
        <v/>
      </c>
      <c r="AP39" s="13">
        <f>IF('Council Entry'!AP39="","",IFERROR(MAX(0,MIN(10,ROUND(IF('Council Entry'!AP$7="Decrease Risk",10-10*((IF('Council Entry'!AP$4="Logarithm",LN(0.001+IF(AND(ISNUMBER('Council Entry'!AP$8),ISNUMBER('Council Entry'!AP$9)),MAX(MIN('Council Entry'!AP39,'Council Entry'!AP$9),'Council Entry'!AP$8),'Council Entry'!AP39)),IF('Council Entry'!AP$4="Exponential",EXP(IF(AND(ISNUMBER('Council Entry'!AP$8),ISNUMBER('Council Entry'!AP$9)),MAX(MIN('Council Entry'!AP39,'Council Entry'!AP$9),'Council Entry'!AP$8),'Council Entry'!AP39)),IF(AND(ISNUMBER('Council Entry'!AP$8),ISNUMBER('Council Entry'!AP$9)),MAX(MIN('Council Entry'!AP39,'Council Entry'!AP$9),'Council Entry'!AP$8),'Council Entry'!AP39))))-'Council Entry'!AP$5)/('Council Entry'!AP$6-'Council Entry'!AP$5),10*((IF('Council Entry'!AP$4="Logarithm",LN(0.001+IF(AND(ISNUMBER('Council Entry'!AP$8),ISNUMBER('Council Entry'!AP$9)),MAX(MIN('Council Entry'!AP39,'Council Entry'!AP$9),'Council Entry'!AP$8),'Council Entry'!AP39)),IF('Council Entry'!AP$4="Exponential",EXP(IF(AND(ISNUMBER('Council Entry'!AP$8),ISNUMBER('Council Entry'!AP$9)),MAX(MIN('Council Entry'!AP39,'Council Entry'!AP$9),'Council Entry'!AP$8),'Council Entry'!AP39)),IF(AND(ISNUMBER('Council Entry'!AP$8),ISNUMBER('Council Entry'!AP$9)),MAX(MIN('Council Entry'!AP39,'Council Entry'!AP$9),'Council Entry'!AP$8),'Council Entry'!AP39))))-'Council Entry'!AP$5)/('Council Entry'!AP$6-'Council Entry'!AP$5)),1))),"No data"))</f>
        <v/>
      </c>
      <c r="AQ39" s="13">
        <f>IF('Council Entry'!AQ39="","",IFERROR(MAX(0,MIN(10,ROUND(IF('Council Entry'!AQ$7="Decrease Risk",10-10*((IF('Council Entry'!AQ$4="Logarithm",LN(0.001+IF(AND(ISNUMBER('Council Entry'!AQ$8),ISNUMBER('Council Entry'!AQ$9)),MAX(MIN('Council Entry'!AQ39,'Council Entry'!AQ$9),'Council Entry'!AQ$8),'Council Entry'!AQ39)),IF('Council Entry'!AQ$4="Exponential",EXP(IF(AND(ISNUMBER('Council Entry'!AQ$8),ISNUMBER('Council Entry'!AQ$9)),MAX(MIN('Council Entry'!AQ39,'Council Entry'!AQ$9),'Council Entry'!AQ$8),'Council Entry'!AQ39)),IF(AND(ISNUMBER('Council Entry'!AQ$8),ISNUMBER('Council Entry'!AQ$9)),MAX(MIN('Council Entry'!AQ39,'Council Entry'!AQ$9),'Council Entry'!AQ$8),'Council Entry'!AQ39))))-'Council Entry'!AQ$5)/('Council Entry'!AQ$6-'Council Entry'!AQ$5),10*((IF('Council Entry'!AQ$4="Logarithm",LN(0.001+IF(AND(ISNUMBER('Council Entry'!AQ$8),ISNUMBER('Council Entry'!AQ$9)),MAX(MIN('Council Entry'!AQ39,'Council Entry'!AQ$9),'Council Entry'!AQ$8),'Council Entry'!AQ39)),IF('Council Entry'!AQ$4="Exponential",EXP(IF(AND(ISNUMBER('Council Entry'!AQ$8),ISNUMBER('Council Entry'!AQ$9)),MAX(MIN('Council Entry'!AQ39,'Council Entry'!AQ$9),'Council Entry'!AQ$8),'Council Entry'!AQ39)),IF(AND(ISNUMBER('Council Entry'!AQ$8),ISNUMBER('Council Entry'!AQ$9)),MAX(MIN('Council Entry'!AQ39,'Council Entry'!AQ$9),'Council Entry'!AQ$8),'Council Entry'!AQ39))))-'Council Entry'!AQ$5)/('Council Entry'!AQ$6-'Council Entry'!AQ$5)),1))),"No data"))</f>
        <v/>
      </c>
      <c r="AR39" s="13">
        <f>IF('Council Entry'!AR39="","",IFERROR(MAX(0,MIN(10,ROUND(IF('Council Entry'!AR$7="Decrease Risk",10-10*((IF('Council Entry'!AR$4="Logarithm",LN(0.001+IF(AND(ISNUMBER('Council Entry'!AR$8),ISNUMBER('Council Entry'!AR$9)),MAX(MIN('Council Entry'!AR39,'Council Entry'!AR$9),'Council Entry'!AR$8),'Council Entry'!AR39)),IF('Council Entry'!AR$4="Exponential",EXP(IF(AND(ISNUMBER('Council Entry'!AR$8),ISNUMBER('Council Entry'!AR$9)),MAX(MIN('Council Entry'!AR39,'Council Entry'!AR$9),'Council Entry'!AR$8),'Council Entry'!AR39)),IF(AND(ISNUMBER('Council Entry'!AR$8),ISNUMBER('Council Entry'!AR$9)),MAX(MIN('Council Entry'!AR39,'Council Entry'!AR$9),'Council Entry'!AR$8),'Council Entry'!AR39))))-'Council Entry'!AR$5)/('Council Entry'!AR$6-'Council Entry'!AR$5),10*((IF('Council Entry'!AR$4="Logarithm",LN(0.001+IF(AND(ISNUMBER('Council Entry'!AR$8),ISNUMBER('Council Entry'!AR$9)),MAX(MIN('Council Entry'!AR39,'Council Entry'!AR$9),'Council Entry'!AR$8),'Council Entry'!AR39)),IF('Council Entry'!AR$4="Exponential",EXP(IF(AND(ISNUMBER('Council Entry'!AR$8),ISNUMBER('Council Entry'!AR$9)),MAX(MIN('Council Entry'!AR39,'Council Entry'!AR$9),'Council Entry'!AR$8),'Council Entry'!AR39)),IF(AND(ISNUMBER('Council Entry'!AR$8),ISNUMBER('Council Entry'!AR$9)),MAX(MIN('Council Entry'!AR39,'Council Entry'!AR$9),'Council Entry'!AR$8),'Council Entry'!AR39))))-'Council Entry'!AR$5)/('Council Entry'!AR$6-'Council Entry'!AR$5)),1))),"No data"))</f>
        <v/>
      </c>
      <c r="AS39" s="13">
        <f>IF('Council Entry'!AS39="","",IFERROR(MAX(0,MIN(10,ROUND(IF('Council Entry'!AS$7="Decrease Risk",10-10*((IF('Council Entry'!AS$4="Logarithm",LN(0.001+IF(AND(ISNUMBER('Council Entry'!AS$8),ISNUMBER('Council Entry'!AS$9)),MAX(MIN('Council Entry'!AS39,'Council Entry'!AS$9),'Council Entry'!AS$8),'Council Entry'!AS39)),IF('Council Entry'!AS$4="Exponential",EXP(IF(AND(ISNUMBER('Council Entry'!AS$8),ISNUMBER('Council Entry'!AS$9)),MAX(MIN('Council Entry'!AS39,'Council Entry'!AS$9),'Council Entry'!AS$8),'Council Entry'!AS39)),IF(AND(ISNUMBER('Council Entry'!AS$8),ISNUMBER('Council Entry'!AS$9)),MAX(MIN('Council Entry'!AS39,'Council Entry'!AS$9),'Council Entry'!AS$8),'Council Entry'!AS39))))-'Council Entry'!AS$5)/('Council Entry'!AS$6-'Council Entry'!AS$5),10*((IF('Council Entry'!AS$4="Logarithm",LN(0.001+IF(AND(ISNUMBER('Council Entry'!AS$8),ISNUMBER('Council Entry'!AS$9)),MAX(MIN('Council Entry'!AS39,'Council Entry'!AS$9),'Council Entry'!AS$8),'Council Entry'!AS39)),IF('Council Entry'!AS$4="Exponential",EXP(IF(AND(ISNUMBER('Council Entry'!AS$8),ISNUMBER('Council Entry'!AS$9)),MAX(MIN('Council Entry'!AS39,'Council Entry'!AS$9),'Council Entry'!AS$8),'Council Entry'!AS39)),IF(AND(ISNUMBER('Council Entry'!AS$8),ISNUMBER('Council Entry'!AS$9)),MAX(MIN('Council Entry'!AS39,'Council Entry'!AS$9),'Council Entry'!AS$8),'Council Entry'!AS39))))-'Council Entry'!AS$5)/('Council Entry'!AS$6-'Council Entry'!AS$5)),1))),"No data"))</f>
        <v/>
      </c>
      <c r="AT39" s="13">
        <f>IF('Council Entry'!AT39="","",IFERROR(MAX(0,MIN(10,ROUND(IF('Council Entry'!AT$7="Decrease Risk",10-10*((IF('Council Entry'!AT$4="Logarithm",LN(0.001+IF(AND(ISNUMBER('Council Entry'!AT$8),ISNUMBER('Council Entry'!AT$9)),MAX(MIN('Council Entry'!AT39,'Council Entry'!AT$9),'Council Entry'!AT$8),'Council Entry'!AT39)),IF('Council Entry'!AT$4="Exponential",EXP(IF(AND(ISNUMBER('Council Entry'!AT$8),ISNUMBER('Council Entry'!AT$9)),MAX(MIN('Council Entry'!AT39,'Council Entry'!AT$9),'Council Entry'!AT$8),'Council Entry'!AT39)),IF(AND(ISNUMBER('Council Entry'!AT$8),ISNUMBER('Council Entry'!AT$9)),MAX(MIN('Council Entry'!AT39,'Council Entry'!AT$9),'Council Entry'!AT$8),'Council Entry'!AT39))))-'Council Entry'!AT$5)/('Council Entry'!AT$6-'Council Entry'!AT$5),10*((IF('Council Entry'!AT$4="Logarithm",LN(0.001+IF(AND(ISNUMBER('Council Entry'!AT$8),ISNUMBER('Council Entry'!AT$9)),MAX(MIN('Council Entry'!AT39,'Council Entry'!AT$9),'Council Entry'!AT$8),'Council Entry'!AT39)),IF('Council Entry'!AT$4="Exponential",EXP(IF(AND(ISNUMBER('Council Entry'!AT$8),ISNUMBER('Council Entry'!AT$9)),MAX(MIN('Council Entry'!AT39,'Council Entry'!AT$9),'Council Entry'!AT$8),'Council Entry'!AT39)),IF(AND(ISNUMBER('Council Entry'!AT$8),ISNUMBER('Council Entry'!AT$9)),MAX(MIN('Council Entry'!AT39,'Council Entry'!AT$9),'Council Entry'!AT$8),'Council Entry'!AT39))))-'Council Entry'!AT$5)/('Council Entry'!AT$6-'Council Entry'!AT$5)),1))),"No data"))</f>
        <v/>
      </c>
      <c r="AU39" s="13">
        <f>IF('Council Entry'!AU39="","",IFERROR(MAX(0,MIN(10,ROUND(IF('Council Entry'!AU$7="Decrease Risk",10-10*((IF('Council Entry'!AU$4="Logarithm",LN(0.001+IF(AND(ISNUMBER('Council Entry'!AU$8),ISNUMBER('Council Entry'!AU$9)),MAX(MIN('Council Entry'!AU39,'Council Entry'!AU$9),'Council Entry'!AU$8),'Council Entry'!AU39)),IF('Council Entry'!AU$4="Exponential",EXP(IF(AND(ISNUMBER('Council Entry'!AU$8),ISNUMBER('Council Entry'!AU$9)),MAX(MIN('Council Entry'!AU39,'Council Entry'!AU$9),'Council Entry'!AU$8),'Council Entry'!AU39)),IF(AND(ISNUMBER('Council Entry'!AU$8),ISNUMBER('Council Entry'!AU$9)),MAX(MIN('Council Entry'!AU39,'Council Entry'!AU$9),'Council Entry'!AU$8),'Council Entry'!AU39))))-'Council Entry'!AU$5)/('Council Entry'!AU$6-'Council Entry'!AU$5),10*((IF('Council Entry'!AU$4="Logarithm",LN(0.001+IF(AND(ISNUMBER('Council Entry'!AU$8),ISNUMBER('Council Entry'!AU$9)),MAX(MIN('Council Entry'!AU39,'Council Entry'!AU$9),'Council Entry'!AU$8),'Council Entry'!AU39)),IF('Council Entry'!AU$4="Exponential",EXP(IF(AND(ISNUMBER('Council Entry'!AU$8),ISNUMBER('Council Entry'!AU$9)),MAX(MIN('Council Entry'!AU39,'Council Entry'!AU$9),'Council Entry'!AU$8),'Council Entry'!AU39)),IF(AND(ISNUMBER('Council Entry'!AU$8),ISNUMBER('Council Entry'!AU$9)),MAX(MIN('Council Entry'!AU39,'Council Entry'!AU$9),'Council Entry'!AU$8),'Council Entry'!AU39))))-'Council Entry'!AU$5)/('Council Entry'!AU$6-'Council Entry'!AU$5)),1))),"No data"))</f>
        <v/>
      </c>
      <c r="AV39" s="13">
        <f>IF('Council Entry'!AV39="","",IFERROR(MAX(0,MIN(10,ROUND(IF('Council Entry'!AV$7="Decrease Risk",10-10*((IF('Council Entry'!AV$4="Logarithm",LN(0.001+IF(AND(ISNUMBER('Council Entry'!AV$8),ISNUMBER('Council Entry'!AV$9)),MAX(MIN('Council Entry'!AV39,'Council Entry'!AV$9),'Council Entry'!AV$8),'Council Entry'!AV39)),IF('Council Entry'!AV$4="Exponential",EXP(IF(AND(ISNUMBER('Council Entry'!AV$8),ISNUMBER('Council Entry'!AV$9)),MAX(MIN('Council Entry'!AV39,'Council Entry'!AV$9),'Council Entry'!AV$8),'Council Entry'!AV39)),IF(AND(ISNUMBER('Council Entry'!AV$8),ISNUMBER('Council Entry'!AV$9)),MAX(MIN('Council Entry'!AV39,'Council Entry'!AV$9),'Council Entry'!AV$8),'Council Entry'!AV39))))-'Council Entry'!AV$5)/('Council Entry'!AV$6-'Council Entry'!AV$5),10*((IF('Council Entry'!AV$4="Logarithm",LN(0.001+IF(AND(ISNUMBER('Council Entry'!AV$8),ISNUMBER('Council Entry'!AV$9)),MAX(MIN('Council Entry'!AV39,'Council Entry'!AV$9),'Council Entry'!AV$8),'Council Entry'!AV39)),IF('Council Entry'!AV$4="Exponential",EXP(IF(AND(ISNUMBER('Council Entry'!AV$8),ISNUMBER('Council Entry'!AV$9)),MAX(MIN('Council Entry'!AV39,'Council Entry'!AV$9),'Council Entry'!AV$8),'Council Entry'!AV39)),IF(AND(ISNUMBER('Council Entry'!AV$8),ISNUMBER('Council Entry'!AV$9)),MAX(MIN('Council Entry'!AV39,'Council Entry'!AV$9),'Council Entry'!AV$8),'Council Entry'!AV39))))-'Council Entry'!AV$5)/('Council Entry'!AV$6-'Council Entry'!AV$5)),1))),"No data"))</f>
        <v/>
      </c>
      <c r="AW39" s="13">
        <f>IF('Council Entry'!AW39="","",IFERROR(MAX(0,MIN(10,ROUND(IF('Council Entry'!AW$7="Decrease Risk",10-10*((IF('Council Entry'!AW$4="Logarithm",LN(0.001+IF(AND(ISNUMBER('Council Entry'!AW$8),ISNUMBER('Council Entry'!AW$9)),MAX(MIN('Council Entry'!AW39,'Council Entry'!AW$9),'Council Entry'!AW$8),'Council Entry'!AW39)),IF('Council Entry'!AW$4="Exponential",EXP(IF(AND(ISNUMBER('Council Entry'!AW$8),ISNUMBER('Council Entry'!AW$9)),MAX(MIN('Council Entry'!AW39,'Council Entry'!AW$9),'Council Entry'!AW$8),'Council Entry'!AW39)),IF(AND(ISNUMBER('Council Entry'!AW$8),ISNUMBER('Council Entry'!AW$9)),MAX(MIN('Council Entry'!AW39,'Council Entry'!AW$9),'Council Entry'!AW$8),'Council Entry'!AW39))))-'Council Entry'!AW$5)/('Council Entry'!AW$6-'Council Entry'!AW$5),10*((IF('Council Entry'!AW$4="Logarithm",LN(0.001+IF(AND(ISNUMBER('Council Entry'!AW$8),ISNUMBER('Council Entry'!AW$9)),MAX(MIN('Council Entry'!AW39,'Council Entry'!AW$9),'Council Entry'!AW$8),'Council Entry'!AW39)),IF('Council Entry'!AW$4="Exponential",EXP(IF(AND(ISNUMBER('Council Entry'!AW$8),ISNUMBER('Council Entry'!AW$9)),MAX(MIN('Council Entry'!AW39,'Council Entry'!AW$9),'Council Entry'!AW$8),'Council Entry'!AW39)),IF(AND(ISNUMBER('Council Entry'!AW$8),ISNUMBER('Council Entry'!AW$9)),MAX(MIN('Council Entry'!AW39,'Council Entry'!AW$9),'Council Entry'!AW$8),'Council Entry'!AW39))))-'Council Entry'!AW$5)/('Council Entry'!AW$6-'Council Entry'!AW$5)),1))),"No data"))</f>
        <v/>
      </c>
      <c r="AX39" s="13">
        <f>IF('Council Entry'!AX39="","",IFERROR(MAX(0,MIN(10,ROUND(IF('Council Entry'!AX$7="Decrease Risk",10-10*((IF('Council Entry'!AX$4="Logarithm",LN(0.001+IF(AND(ISNUMBER('Council Entry'!AX$8),ISNUMBER('Council Entry'!AX$9)),MAX(MIN('Council Entry'!AX39,'Council Entry'!AX$9),'Council Entry'!AX$8),'Council Entry'!AX39)),IF('Council Entry'!AX$4="Exponential",EXP(IF(AND(ISNUMBER('Council Entry'!AX$8),ISNUMBER('Council Entry'!AX$9)),MAX(MIN('Council Entry'!AX39,'Council Entry'!AX$9),'Council Entry'!AX$8),'Council Entry'!AX39)),IF(AND(ISNUMBER('Council Entry'!AX$8),ISNUMBER('Council Entry'!AX$9)),MAX(MIN('Council Entry'!AX39,'Council Entry'!AX$9),'Council Entry'!AX$8),'Council Entry'!AX39))))-'Council Entry'!AX$5)/('Council Entry'!AX$6-'Council Entry'!AX$5),10*((IF('Council Entry'!AX$4="Logarithm",LN(0.001+IF(AND(ISNUMBER('Council Entry'!AX$8),ISNUMBER('Council Entry'!AX$9)),MAX(MIN('Council Entry'!AX39,'Council Entry'!AX$9),'Council Entry'!AX$8),'Council Entry'!AX39)),IF('Council Entry'!AX$4="Exponential",EXP(IF(AND(ISNUMBER('Council Entry'!AX$8),ISNUMBER('Council Entry'!AX$9)),MAX(MIN('Council Entry'!AX39,'Council Entry'!AX$9),'Council Entry'!AX$8),'Council Entry'!AX39)),IF(AND(ISNUMBER('Council Entry'!AX$8),ISNUMBER('Council Entry'!AX$9)),MAX(MIN('Council Entry'!AX39,'Council Entry'!AX$9),'Council Entry'!AX$8),'Council Entry'!AX39))))-'Council Entry'!AX$5)/('Council Entry'!AX$6-'Council Entry'!AX$5)),1))),"No data"))</f>
        <v/>
      </c>
      <c r="AY39" s="13">
        <f>IF('Council Entry'!AY39="","",IFERROR(MAX(0,MIN(10,ROUND(IF('Council Entry'!AY$7="Decrease Risk",10-10*((IF('Council Entry'!AY$4="Logarithm",LN(0.001+IF(AND(ISNUMBER('Council Entry'!AY$8),ISNUMBER('Council Entry'!AY$9)),MAX(MIN('Council Entry'!AY39,'Council Entry'!AY$9),'Council Entry'!AY$8),'Council Entry'!AY39)),IF('Council Entry'!AY$4="Exponential",EXP(IF(AND(ISNUMBER('Council Entry'!AY$8),ISNUMBER('Council Entry'!AY$9)),MAX(MIN('Council Entry'!AY39,'Council Entry'!AY$9),'Council Entry'!AY$8),'Council Entry'!AY39)),IF(AND(ISNUMBER('Council Entry'!AY$8),ISNUMBER('Council Entry'!AY$9)),MAX(MIN('Council Entry'!AY39,'Council Entry'!AY$9),'Council Entry'!AY$8),'Council Entry'!AY39))))-'Council Entry'!AY$5)/('Council Entry'!AY$6-'Council Entry'!AY$5),10*((IF('Council Entry'!AY$4="Logarithm",LN(0.001+IF(AND(ISNUMBER('Council Entry'!AY$8),ISNUMBER('Council Entry'!AY$9)),MAX(MIN('Council Entry'!AY39,'Council Entry'!AY$9),'Council Entry'!AY$8),'Council Entry'!AY39)),IF('Council Entry'!AY$4="Exponential",EXP(IF(AND(ISNUMBER('Council Entry'!AY$8),ISNUMBER('Council Entry'!AY$9)),MAX(MIN('Council Entry'!AY39,'Council Entry'!AY$9),'Council Entry'!AY$8),'Council Entry'!AY39)),IF(AND(ISNUMBER('Council Entry'!AY$8),ISNUMBER('Council Entry'!AY$9)),MAX(MIN('Council Entry'!AY39,'Council Entry'!AY$9),'Council Entry'!AY$8),'Council Entry'!AY39))))-'Council Entry'!AY$5)/('Council Entry'!AY$6-'Council Entry'!AY$5)),1))),"No data"))</f>
        <v/>
      </c>
      <c r="AZ39" s="13">
        <f>IF('Council Entry'!AZ39="","",IFERROR(MAX(0,MIN(10,ROUND(IF('Council Entry'!AZ$7="Decrease Risk",10-10*((IF('Council Entry'!AZ$4="Logarithm",LN(0.001+IF(AND(ISNUMBER('Council Entry'!AZ$8),ISNUMBER('Council Entry'!AZ$9)),MAX(MIN('Council Entry'!AZ39,'Council Entry'!AZ$9),'Council Entry'!AZ$8),'Council Entry'!AZ39)),IF('Council Entry'!AZ$4="Exponential",EXP(IF(AND(ISNUMBER('Council Entry'!AZ$8),ISNUMBER('Council Entry'!AZ$9)),MAX(MIN('Council Entry'!AZ39,'Council Entry'!AZ$9),'Council Entry'!AZ$8),'Council Entry'!AZ39)),IF(AND(ISNUMBER('Council Entry'!AZ$8),ISNUMBER('Council Entry'!AZ$9)),MAX(MIN('Council Entry'!AZ39,'Council Entry'!AZ$9),'Council Entry'!AZ$8),'Council Entry'!AZ39))))-'Council Entry'!AZ$5)/('Council Entry'!AZ$6-'Council Entry'!AZ$5),10*((IF('Council Entry'!AZ$4="Logarithm",LN(0.001+IF(AND(ISNUMBER('Council Entry'!AZ$8),ISNUMBER('Council Entry'!AZ$9)),MAX(MIN('Council Entry'!AZ39,'Council Entry'!AZ$9),'Council Entry'!AZ$8),'Council Entry'!AZ39)),IF('Council Entry'!AZ$4="Exponential",EXP(IF(AND(ISNUMBER('Council Entry'!AZ$8),ISNUMBER('Council Entry'!AZ$9)),MAX(MIN('Council Entry'!AZ39,'Council Entry'!AZ$9),'Council Entry'!AZ$8),'Council Entry'!AZ39)),IF(AND(ISNUMBER('Council Entry'!AZ$8),ISNUMBER('Council Entry'!AZ$9)),MAX(MIN('Council Entry'!AZ39,'Council Entry'!AZ$9),'Council Entry'!AZ$8),'Council Entry'!AZ39))))-'Council Entry'!AZ$5)/('Council Entry'!AZ$6-'Council Entry'!AZ$5)),1))),"No data"))</f>
        <v/>
      </c>
      <c r="BA39" s="13">
        <f>IF('Council Entry'!BA39="","",IFERROR(MAX(0,MIN(10,ROUND(IF('Council Entry'!BA$7="Decrease Risk",10-10*((IF('Council Entry'!BA$4="Logarithm",LN(0.001+IF(AND(ISNUMBER('Council Entry'!BA$8),ISNUMBER('Council Entry'!BA$9)),MAX(MIN('Council Entry'!BA39,'Council Entry'!BA$9),'Council Entry'!BA$8),'Council Entry'!BA39)),IF('Council Entry'!BA$4="Exponential",EXP(IF(AND(ISNUMBER('Council Entry'!BA$8),ISNUMBER('Council Entry'!BA$9)),MAX(MIN('Council Entry'!BA39,'Council Entry'!BA$9),'Council Entry'!BA$8),'Council Entry'!BA39)),IF(AND(ISNUMBER('Council Entry'!BA$8),ISNUMBER('Council Entry'!BA$9)),MAX(MIN('Council Entry'!BA39,'Council Entry'!BA$9),'Council Entry'!BA$8),'Council Entry'!BA39))))-'Council Entry'!BA$5)/('Council Entry'!BA$6-'Council Entry'!BA$5),10*((IF('Council Entry'!BA$4="Logarithm",LN(0.001+IF(AND(ISNUMBER('Council Entry'!BA$8),ISNUMBER('Council Entry'!BA$9)),MAX(MIN('Council Entry'!BA39,'Council Entry'!BA$9),'Council Entry'!BA$8),'Council Entry'!BA39)),IF('Council Entry'!BA$4="Exponential",EXP(IF(AND(ISNUMBER('Council Entry'!BA$8),ISNUMBER('Council Entry'!BA$9)),MAX(MIN('Council Entry'!BA39,'Council Entry'!BA$9),'Council Entry'!BA$8),'Council Entry'!BA39)),IF(AND(ISNUMBER('Council Entry'!BA$8),ISNUMBER('Council Entry'!BA$9)),MAX(MIN('Council Entry'!BA39,'Council Entry'!BA$9),'Council Entry'!BA$8),'Council Entry'!BA39))))-'Council Entry'!BA$5)/('Council Entry'!BA$6-'Council Entry'!BA$5)),1))),"No data"))</f>
        <v/>
      </c>
      <c r="BB39" s="13">
        <f>IF('Council Entry'!BB39="","",IFERROR(MAX(0,MIN(10,ROUND(IF('Council Entry'!BB$7="Decrease Risk",10-10*((IF('Council Entry'!BB$4="Logarithm",LN(0.001+IF(AND(ISNUMBER('Council Entry'!BB$8),ISNUMBER('Council Entry'!BB$9)),MAX(MIN('Council Entry'!BB39,'Council Entry'!BB$9),'Council Entry'!BB$8),'Council Entry'!BB39)),IF('Council Entry'!BB$4="Exponential",EXP(IF(AND(ISNUMBER('Council Entry'!BB$8),ISNUMBER('Council Entry'!BB$9)),MAX(MIN('Council Entry'!BB39,'Council Entry'!BB$9),'Council Entry'!BB$8),'Council Entry'!BB39)),IF(AND(ISNUMBER('Council Entry'!BB$8),ISNUMBER('Council Entry'!BB$9)),MAX(MIN('Council Entry'!BB39,'Council Entry'!BB$9),'Council Entry'!BB$8),'Council Entry'!BB39))))-'Council Entry'!BB$5)/('Council Entry'!BB$6-'Council Entry'!BB$5),10*((IF('Council Entry'!BB$4="Logarithm",LN(0.001+IF(AND(ISNUMBER('Council Entry'!BB$8),ISNUMBER('Council Entry'!BB$9)),MAX(MIN('Council Entry'!BB39,'Council Entry'!BB$9),'Council Entry'!BB$8),'Council Entry'!BB39)),IF('Council Entry'!BB$4="Exponential",EXP(IF(AND(ISNUMBER('Council Entry'!BB$8),ISNUMBER('Council Entry'!BB$9)),MAX(MIN('Council Entry'!BB39,'Council Entry'!BB$9),'Council Entry'!BB$8),'Council Entry'!BB39)),IF(AND(ISNUMBER('Council Entry'!BB$8),ISNUMBER('Council Entry'!BB$9)),MAX(MIN('Council Entry'!BB39,'Council Entry'!BB$9),'Council Entry'!BB$8),'Council Entry'!BB39))))-'Council Entry'!BB$5)/('Council Entry'!BB$6-'Council Entry'!BB$5)),1))),"No data"))</f>
        <v/>
      </c>
      <c r="BC39" s="13">
        <f>IF('Council Entry'!BC39="","",IFERROR(MAX(0,MIN(10,ROUND(IF('Council Entry'!BC$7="Decrease Risk",10-10*((IF('Council Entry'!BC$4="Logarithm",LN(0.001+IF(AND(ISNUMBER('Council Entry'!BC$8),ISNUMBER('Council Entry'!BC$9)),MAX(MIN('Council Entry'!BC39,'Council Entry'!BC$9),'Council Entry'!BC$8),'Council Entry'!BC39)),IF('Council Entry'!BC$4="Exponential",EXP(IF(AND(ISNUMBER('Council Entry'!BC$8),ISNUMBER('Council Entry'!BC$9)),MAX(MIN('Council Entry'!BC39,'Council Entry'!BC$9),'Council Entry'!BC$8),'Council Entry'!BC39)),IF(AND(ISNUMBER('Council Entry'!BC$8),ISNUMBER('Council Entry'!BC$9)),MAX(MIN('Council Entry'!BC39,'Council Entry'!BC$9),'Council Entry'!BC$8),'Council Entry'!BC39))))-'Council Entry'!BC$5)/('Council Entry'!BC$6-'Council Entry'!BC$5),10*((IF('Council Entry'!BC$4="Logarithm",LN(0.001+IF(AND(ISNUMBER('Council Entry'!BC$8),ISNUMBER('Council Entry'!BC$9)),MAX(MIN('Council Entry'!BC39,'Council Entry'!BC$9),'Council Entry'!BC$8),'Council Entry'!BC39)),IF('Council Entry'!BC$4="Exponential",EXP(IF(AND(ISNUMBER('Council Entry'!BC$8),ISNUMBER('Council Entry'!BC$9)),MAX(MIN('Council Entry'!BC39,'Council Entry'!BC$9),'Council Entry'!BC$8),'Council Entry'!BC39)),IF(AND(ISNUMBER('Council Entry'!BC$8),ISNUMBER('Council Entry'!BC$9)),MAX(MIN('Council Entry'!BC39,'Council Entry'!BC$9),'Council Entry'!BC$8),'Council Entry'!BC39))))-'Council Entry'!BC$5)/('Council Entry'!BC$6-'Council Entry'!BC$5)),1))),"No data"))</f>
        <v/>
      </c>
      <c r="BD39" s="13">
        <f>IF('Council Entry'!BD39="","",IFERROR(MAX(0,MIN(10,ROUND(IF('Council Entry'!BD$7="Decrease Risk",10-10*((IF('Council Entry'!BD$4="Logarithm",LN(0.001+IF(AND(ISNUMBER('Council Entry'!BD$8),ISNUMBER('Council Entry'!BD$9)),MAX(MIN('Council Entry'!BD39,'Council Entry'!BD$9),'Council Entry'!BD$8),'Council Entry'!BD39)),IF('Council Entry'!BD$4="Exponential",EXP(IF(AND(ISNUMBER('Council Entry'!BD$8),ISNUMBER('Council Entry'!BD$9)),MAX(MIN('Council Entry'!BD39,'Council Entry'!BD$9),'Council Entry'!BD$8),'Council Entry'!BD39)),IF(AND(ISNUMBER('Council Entry'!BD$8),ISNUMBER('Council Entry'!BD$9)),MAX(MIN('Council Entry'!BD39,'Council Entry'!BD$9),'Council Entry'!BD$8),'Council Entry'!BD39))))-'Council Entry'!BD$5)/('Council Entry'!BD$6-'Council Entry'!BD$5),10*((IF('Council Entry'!BD$4="Logarithm",LN(0.001+IF(AND(ISNUMBER('Council Entry'!BD$8),ISNUMBER('Council Entry'!BD$9)),MAX(MIN('Council Entry'!BD39,'Council Entry'!BD$9),'Council Entry'!BD$8),'Council Entry'!BD39)),IF('Council Entry'!BD$4="Exponential",EXP(IF(AND(ISNUMBER('Council Entry'!BD$8),ISNUMBER('Council Entry'!BD$9)),MAX(MIN('Council Entry'!BD39,'Council Entry'!BD$9),'Council Entry'!BD$8),'Council Entry'!BD39)),IF(AND(ISNUMBER('Council Entry'!BD$8),ISNUMBER('Council Entry'!BD$9)),MAX(MIN('Council Entry'!BD39,'Council Entry'!BD$9),'Council Entry'!BD$8),'Council Entry'!BD39))))-'Council Entry'!BD$5)/('Council Entry'!BD$6-'Council Entry'!BD$5)),1))),"No data"))</f>
        <v/>
      </c>
    </row>
    <row r="40">
      <c r="A40" t="inlineStr">
        <is>
          <t>Iringa</t>
        </is>
      </c>
      <c r="B40" t="inlineStr">
        <is>
          <t>Mafinga Town</t>
        </is>
      </c>
      <c r="C40" t="inlineStr">
        <is>
          <t>C082</t>
        </is>
      </c>
      <c r="D40" s="13">
        <f>IF('Council Entry'!D40="","",IFERROR(MAX(0,MIN(10,ROUND(IF('Council Entry'!D$7="Decrease Risk",10-10*((IF('Council Entry'!D$4="Logarithm",LN(0.001+IF(AND(ISNUMBER('Council Entry'!D$8),ISNUMBER('Council Entry'!D$9)),MAX(MIN('Council Entry'!D40,'Council Entry'!D$9),'Council Entry'!D$8),'Council Entry'!D40)),IF('Council Entry'!D$4="Exponential",EXP(IF(AND(ISNUMBER('Council Entry'!D$8),ISNUMBER('Council Entry'!D$9)),MAX(MIN('Council Entry'!D40,'Council Entry'!D$9),'Council Entry'!D$8),'Council Entry'!D40)),IF(AND(ISNUMBER('Council Entry'!D$8),ISNUMBER('Council Entry'!D$9)),MAX(MIN('Council Entry'!D40,'Council Entry'!D$9),'Council Entry'!D$8),'Council Entry'!D40))))-'Council Entry'!D$5)/('Council Entry'!D$6-'Council Entry'!D$5),10*((IF('Council Entry'!D$4="Logarithm",LN(0.001+IF(AND(ISNUMBER('Council Entry'!D$8),ISNUMBER('Council Entry'!D$9)),MAX(MIN('Council Entry'!D40,'Council Entry'!D$9),'Council Entry'!D$8),'Council Entry'!D40)),IF('Council Entry'!D$4="Exponential",EXP(IF(AND(ISNUMBER('Council Entry'!D$8),ISNUMBER('Council Entry'!D$9)),MAX(MIN('Council Entry'!D40,'Council Entry'!D$9),'Council Entry'!D$8),'Council Entry'!D40)),IF(AND(ISNUMBER('Council Entry'!D$8),ISNUMBER('Council Entry'!D$9)),MAX(MIN('Council Entry'!D40,'Council Entry'!D$9),'Council Entry'!D$8),'Council Entry'!D40))))-'Council Entry'!D$5)/('Council Entry'!D$6-'Council Entry'!D$5)),1))),"No data"))</f>
        <v/>
      </c>
      <c r="E40" s="13">
        <f>IF('Council Entry'!E40="","",IFERROR(MAX(0,MIN(10,ROUND(IF('Council Entry'!E$7="Decrease Risk",10-10*((IF('Council Entry'!E$4="Logarithm",LN(0.001+IF(AND(ISNUMBER('Council Entry'!E$8),ISNUMBER('Council Entry'!E$9)),MAX(MIN('Council Entry'!E40,'Council Entry'!E$9),'Council Entry'!E$8),'Council Entry'!E40)),IF('Council Entry'!E$4="Exponential",EXP(IF(AND(ISNUMBER('Council Entry'!E$8),ISNUMBER('Council Entry'!E$9)),MAX(MIN('Council Entry'!E40,'Council Entry'!E$9),'Council Entry'!E$8),'Council Entry'!E40)),IF(AND(ISNUMBER('Council Entry'!E$8),ISNUMBER('Council Entry'!E$9)),MAX(MIN('Council Entry'!E40,'Council Entry'!E$9),'Council Entry'!E$8),'Council Entry'!E40))))-'Council Entry'!E$5)/('Council Entry'!E$6-'Council Entry'!E$5),10*((IF('Council Entry'!E$4="Logarithm",LN(0.001+IF(AND(ISNUMBER('Council Entry'!E$8),ISNUMBER('Council Entry'!E$9)),MAX(MIN('Council Entry'!E40,'Council Entry'!E$9),'Council Entry'!E$8),'Council Entry'!E40)),IF('Council Entry'!E$4="Exponential",EXP(IF(AND(ISNUMBER('Council Entry'!E$8),ISNUMBER('Council Entry'!E$9)),MAX(MIN('Council Entry'!E40,'Council Entry'!E$9),'Council Entry'!E$8),'Council Entry'!E40)),IF(AND(ISNUMBER('Council Entry'!E$8),ISNUMBER('Council Entry'!E$9)),MAX(MIN('Council Entry'!E40,'Council Entry'!E$9),'Council Entry'!E$8),'Council Entry'!E40))))-'Council Entry'!E$5)/('Council Entry'!E$6-'Council Entry'!E$5)),1))),"No data"))</f>
        <v/>
      </c>
      <c r="F40" s="13">
        <f>IF('Council Entry'!F40="","",IFERROR(MAX(0,MIN(10,ROUND(IF('Council Entry'!F$7="Decrease Risk",10-10*((IF('Council Entry'!F$4="Logarithm",LN(0.001+IF(AND(ISNUMBER('Council Entry'!F$8),ISNUMBER('Council Entry'!F$9)),MAX(MIN('Council Entry'!F40,'Council Entry'!F$9),'Council Entry'!F$8),'Council Entry'!F40)),IF('Council Entry'!F$4="Exponential",EXP(IF(AND(ISNUMBER('Council Entry'!F$8),ISNUMBER('Council Entry'!F$9)),MAX(MIN('Council Entry'!F40,'Council Entry'!F$9),'Council Entry'!F$8),'Council Entry'!F40)),IF(AND(ISNUMBER('Council Entry'!F$8),ISNUMBER('Council Entry'!F$9)),MAX(MIN('Council Entry'!F40,'Council Entry'!F$9),'Council Entry'!F$8),'Council Entry'!F40))))-'Council Entry'!F$5)/('Council Entry'!F$6-'Council Entry'!F$5),10*((IF('Council Entry'!F$4="Logarithm",LN(0.001+IF(AND(ISNUMBER('Council Entry'!F$8),ISNUMBER('Council Entry'!F$9)),MAX(MIN('Council Entry'!F40,'Council Entry'!F$9),'Council Entry'!F$8),'Council Entry'!F40)),IF('Council Entry'!F$4="Exponential",EXP(IF(AND(ISNUMBER('Council Entry'!F$8),ISNUMBER('Council Entry'!F$9)),MAX(MIN('Council Entry'!F40,'Council Entry'!F$9),'Council Entry'!F$8),'Council Entry'!F40)),IF(AND(ISNUMBER('Council Entry'!F$8),ISNUMBER('Council Entry'!F$9)),MAX(MIN('Council Entry'!F40,'Council Entry'!F$9),'Council Entry'!F$8),'Council Entry'!F40))))-'Council Entry'!F$5)/('Council Entry'!F$6-'Council Entry'!F$5)),1))),"No data"))</f>
        <v/>
      </c>
      <c r="G40" s="13">
        <f>IF('Council Entry'!G40="","",IFERROR(MAX(0,MIN(10,ROUND(IF('Council Entry'!G$7="Decrease Risk",10-10*((IF('Council Entry'!G$4="Logarithm",LN(0.001+IF(AND(ISNUMBER('Council Entry'!G$8),ISNUMBER('Council Entry'!G$9)),MAX(MIN('Council Entry'!G40,'Council Entry'!G$9),'Council Entry'!G$8),'Council Entry'!G40)),IF('Council Entry'!G$4="Exponential",EXP(IF(AND(ISNUMBER('Council Entry'!G$8),ISNUMBER('Council Entry'!G$9)),MAX(MIN('Council Entry'!G40,'Council Entry'!G$9),'Council Entry'!G$8),'Council Entry'!G40)),IF(AND(ISNUMBER('Council Entry'!G$8),ISNUMBER('Council Entry'!G$9)),MAX(MIN('Council Entry'!G40,'Council Entry'!G$9),'Council Entry'!G$8),'Council Entry'!G40))))-'Council Entry'!G$5)/('Council Entry'!G$6-'Council Entry'!G$5),10*((IF('Council Entry'!G$4="Logarithm",LN(0.001+IF(AND(ISNUMBER('Council Entry'!G$8),ISNUMBER('Council Entry'!G$9)),MAX(MIN('Council Entry'!G40,'Council Entry'!G$9),'Council Entry'!G$8),'Council Entry'!G40)),IF('Council Entry'!G$4="Exponential",EXP(IF(AND(ISNUMBER('Council Entry'!G$8),ISNUMBER('Council Entry'!G$9)),MAX(MIN('Council Entry'!G40,'Council Entry'!G$9),'Council Entry'!G$8),'Council Entry'!G40)),IF(AND(ISNUMBER('Council Entry'!G$8),ISNUMBER('Council Entry'!G$9)),MAX(MIN('Council Entry'!G40,'Council Entry'!G$9),'Council Entry'!G$8),'Council Entry'!G40))))-'Council Entry'!G$5)/('Council Entry'!G$6-'Council Entry'!G$5)),1))),"No data"))</f>
        <v/>
      </c>
      <c r="H40" s="13">
        <f>IF('Council Entry'!H40="","",IFERROR(MAX(0,MIN(10,ROUND(IF('Council Entry'!H$7="Decrease Risk",10-10*((IF('Council Entry'!H$4="Logarithm",LN(0.001+IF(AND(ISNUMBER('Council Entry'!H$8),ISNUMBER('Council Entry'!H$9)),MAX(MIN('Council Entry'!H40,'Council Entry'!H$9),'Council Entry'!H$8),'Council Entry'!H40)),IF('Council Entry'!H$4="Exponential",EXP(IF(AND(ISNUMBER('Council Entry'!H$8),ISNUMBER('Council Entry'!H$9)),MAX(MIN('Council Entry'!H40,'Council Entry'!H$9),'Council Entry'!H$8),'Council Entry'!H40)),IF(AND(ISNUMBER('Council Entry'!H$8),ISNUMBER('Council Entry'!H$9)),MAX(MIN('Council Entry'!H40,'Council Entry'!H$9),'Council Entry'!H$8),'Council Entry'!H40))))-'Council Entry'!H$5)/('Council Entry'!H$6-'Council Entry'!H$5),10*((IF('Council Entry'!H$4="Logarithm",LN(0.001+IF(AND(ISNUMBER('Council Entry'!H$8),ISNUMBER('Council Entry'!H$9)),MAX(MIN('Council Entry'!H40,'Council Entry'!H$9),'Council Entry'!H$8),'Council Entry'!H40)),IF('Council Entry'!H$4="Exponential",EXP(IF(AND(ISNUMBER('Council Entry'!H$8),ISNUMBER('Council Entry'!H$9)),MAX(MIN('Council Entry'!H40,'Council Entry'!H$9),'Council Entry'!H$8),'Council Entry'!H40)),IF(AND(ISNUMBER('Council Entry'!H$8),ISNUMBER('Council Entry'!H$9)),MAX(MIN('Council Entry'!H40,'Council Entry'!H$9),'Council Entry'!H$8),'Council Entry'!H40))))-'Council Entry'!H$5)/('Council Entry'!H$6-'Council Entry'!H$5)),1))),"No data"))</f>
        <v/>
      </c>
      <c r="I40" s="13">
        <f>IF('Council Entry'!I40="","",IFERROR(MAX(0,MIN(10,ROUND(IF('Council Entry'!I$7="Decrease Risk",10-10*((IF('Council Entry'!I$4="Logarithm",LN(0.001+IF(AND(ISNUMBER('Council Entry'!I$8),ISNUMBER('Council Entry'!I$9)),MAX(MIN('Council Entry'!I40,'Council Entry'!I$9),'Council Entry'!I$8),'Council Entry'!I40)),IF('Council Entry'!I$4="Exponential",EXP(IF(AND(ISNUMBER('Council Entry'!I$8),ISNUMBER('Council Entry'!I$9)),MAX(MIN('Council Entry'!I40,'Council Entry'!I$9),'Council Entry'!I$8),'Council Entry'!I40)),IF(AND(ISNUMBER('Council Entry'!I$8),ISNUMBER('Council Entry'!I$9)),MAX(MIN('Council Entry'!I40,'Council Entry'!I$9),'Council Entry'!I$8),'Council Entry'!I40))))-'Council Entry'!I$5)/('Council Entry'!I$6-'Council Entry'!I$5),10*((IF('Council Entry'!I$4="Logarithm",LN(0.001+IF(AND(ISNUMBER('Council Entry'!I$8),ISNUMBER('Council Entry'!I$9)),MAX(MIN('Council Entry'!I40,'Council Entry'!I$9),'Council Entry'!I$8),'Council Entry'!I40)),IF('Council Entry'!I$4="Exponential",EXP(IF(AND(ISNUMBER('Council Entry'!I$8),ISNUMBER('Council Entry'!I$9)),MAX(MIN('Council Entry'!I40,'Council Entry'!I$9),'Council Entry'!I$8),'Council Entry'!I40)),IF(AND(ISNUMBER('Council Entry'!I$8),ISNUMBER('Council Entry'!I$9)),MAX(MIN('Council Entry'!I40,'Council Entry'!I$9),'Council Entry'!I$8),'Council Entry'!I40))))-'Council Entry'!I$5)/('Council Entry'!I$6-'Council Entry'!I$5)),1))),"No data"))</f>
        <v/>
      </c>
      <c r="J40" s="13">
        <f>IF('Council Entry'!J40="","",IFERROR(MAX(0,MIN(10,ROUND(IF('Council Entry'!J$7="Decrease Risk",10-10*((IF('Council Entry'!J$4="Logarithm",LN(0.001+IF(AND(ISNUMBER('Council Entry'!J$8),ISNUMBER('Council Entry'!J$9)),MAX(MIN('Council Entry'!J40,'Council Entry'!J$9),'Council Entry'!J$8),'Council Entry'!J40)),IF('Council Entry'!J$4="Exponential",EXP(IF(AND(ISNUMBER('Council Entry'!J$8),ISNUMBER('Council Entry'!J$9)),MAX(MIN('Council Entry'!J40,'Council Entry'!J$9),'Council Entry'!J$8),'Council Entry'!J40)),IF(AND(ISNUMBER('Council Entry'!J$8),ISNUMBER('Council Entry'!J$9)),MAX(MIN('Council Entry'!J40,'Council Entry'!J$9),'Council Entry'!J$8),'Council Entry'!J40))))-'Council Entry'!J$5)/('Council Entry'!J$6-'Council Entry'!J$5),10*((IF('Council Entry'!J$4="Logarithm",LN(0.001+IF(AND(ISNUMBER('Council Entry'!J$8),ISNUMBER('Council Entry'!J$9)),MAX(MIN('Council Entry'!J40,'Council Entry'!J$9),'Council Entry'!J$8),'Council Entry'!J40)),IF('Council Entry'!J$4="Exponential",EXP(IF(AND(ISNUMBER('Council Entry'!J$8),ISNUMBER('Council Entry'!J$9)),MAX(MIN('Council Entry'!J40,'Council Entry'!J$9),'Council Entry'!J$8),'Council Entry'!J40)),IF(AND(ISNUMBER('Council Entry'!J$8),ISNUMBER('Council Entry'!J$9)),MAX(MIN('Council Entry'!J40,'Council Entry'!J$9),'Council Entry'!J$8),'Council Entry'!J40))))-'Council Entry'!J$5)/('Council Entry'!J$6-'Council Entry'!J$5)),1))),"No data"))</f>
        <v/>
      </c>
      <c r="K40" s="13">
        <f>IF('Council Entry'!K40="","",IFERROR(MAX(0,MIN(10,ROUND(IF('Council Entry'!K$7="Decrease Risk",10-10*((IF('Council Entry'!K$4="Logarithm",LN(0.001+IF(AND(ISNUMBER('Council Entry'!K$8),ISNUMBER('Council Entry'!K$9)),MAX(MIN('Council Entry'!K40,'Council Entry'!K$9),'Council Entry'!K$8),'Council Entry'!K40)),IF('Council Entry'!K$4="Exponential",EXP(IF(AND(ISNUMBER('Council Entry'!K$8),ISNUMBER('Council Entry'!K$9)),MAX(MIN('Council Entry'!K40,'Council Entry'!K$9),'Council Entry'!K$8),'Council Entry'!K40)),IF(AND(ISNUMBER('Council Entry'!K$8),ISNUMBER('Council Entry'!K$9)),MAX(MIN('Council Entry'!K40,'Council Entry'!K$9),'Council Entry'!K$8),'Council Entry'!K40))))-'Council Entry'!K$5)/('Council Entry'!K$6-'Council Entry'!K$5),10*((IF('Council Entry'!K$4="Logarithm",LN(0.001+IF(AND(ISNUMBER('Council Entry'!K$8),ISNUMBER('Council Entry'!K$9)),MAX(MIN('Council Entry'!K40,'Council Entry'!K$9),'Council Entry'!K$8),'Council Entry'!K40)),IF('Council Entry'!K$4="Exponential",EXP(IF(AND(ISNUMBER('Council Entry'!K$8),ISNUMBER('Council Entry'!K$9)),MAX(MIN('Council Entry'!K40,'Council Entry'!K$9),'Council Entry'!K$8),'Council Entry'!K40)),IF(AND(ISNUMBER('Council Entry'!K$8),ISNUMBER('Council Entry'!K$9)),MAX(MIN('Council Entry'!K40,'Council Entry'!K$9),'Council Entry'!K$8),'Council Entry'!K40))))-'Council Entry'!K$5)/('Council Entry'!K$6-'Council Entry'!K$5)),1))),"No data"))</f>
        <v/>
      </c>
      <c r="L40" s="13">
        <f>IF('Council Entry'!L40="","",IFERROR(MAX(0,MIN(10,ROUND(IF('Council Entry'!L$7="Decrease Risk",10-10*((IF('Council Entry'!L$4="Logarithm",LN(0.001+IF(AND(ISNUMBER('Council Entry'!L$8),ISNUMBER('Council Entry'!L$9)),MAX(MIN('Council Entry'!L40,'Council Entry'!L$9),'Council Entry'!L$8),'Council Entry'!L40)),IF('Council Entry'!L$4="Exponential",EXP(IF(AND(ISNUMBER('Council Entry'!L$8),ISNUMBER('Council Entry'!L$9)),MAX(MIN('Council Entry'!L40,'Council Entry'!L$9),'Council Entry'!L$8),'Council Entry'!L40)),IF(AND(ISNUMBER('Council Entry'!L$8),ISNUMBER('Council Entry'!L$9)),MAX(MIN('Council Entry'!L40,'Council Entry'!L$9),'Council Entry'!L$8),'Council Entry'!L40))))-'Council Entry'!L$5)/('Council Entry'!L$6-'Council Entry'!L$5),10*((IF('Council Entry'!L$4="Logarithm",LN(0.001+IF(AND(ISNUMBER('Council Entry'!L$8),ISNUMBER('Council Entry'!L$9)),MAX(MIN('Council Entry'!L40,'Council Entry'!L$9),'Council Entry'!L$8),'Council Entry'!L40)),IF('Council Entry'!L$4="Exponential",EXP(IF(AND(ISNUMBER('Council Entry'!L$8),ISNUMBER('Council Entry'!L$9)),MAX(MIN('Council Entry'!L40,'Council Entry'!L$9),'Council Entry'!L$8),'Council Entry'!L40)),IF(AND(ISNUMBER('Council Entry'!L$8),ISNUMBER('Council Entry'!L$9)),MAX(MIN('Council Entry'!L40,'Council Entry'!L$9),'Council Entry'!L$8),'Council Entry'!L40))))-'Council Entry'!L$5)/('Council Entry'!L$6-'Council Entry'!L$5)),1))),"No data"))</f>
        <v/>
      </c>
      <c r="M40" s="13">
        <f>IF('Council Entry'!M40="","",IFERROR(MAX(0,MIN(10,ROUND(IF('Council Entry'!M$7="Decrease Risk",10-10*((IF('Council Entry'!M$4="Logarithm",LN(0.001+IF(AND(ISNUMBER('Council Entry'!M$8),ISNUMBER('Council Entry'!M$9)),MAX(MIN('Council Entry'!M40,'Council Entry'!M$9),'Council Entry'!M$8),'Council Entry'!M40)),IF('Council Entry'!M$4="Exponential",EXP(IF(AND(ISNUMBER('Council Entry'!M$8),ISNUMBER('Council Entry'!M$9)),MAX(MIN('Council Entry'!M40,'Council Entry'!M$9),'Council Entry'!M$8),'Council Entry'!M40)),IF(AND(ISNUMBER('Council Entry'!M$8),ISNUMBER('Council Entry'!M$9)),MAX(MIN('Council Entry'!M40,'Council Entry'!M$9),'Council Entry'!M$8),'Council Entry'!M40))))-'Council Entry'!M$5)/('Council Entry'!M$6-'Council Entry'!M$5),10*((IF('Council Entry'!M$4="Logarithm",LN(0.001+IF(AND(ISNUMBER('Council Entry'!M$8),ISNUMBER('Council Entry'!M$9)),MAX(MIN('Council Entry'!M40,'Council Entry'!M$9),'Council Entry'!M$8),'Council Entry'!M40)),IF('Council Entry'!M$4="Exponential",EXP(IF(AND(ISNUMBER('Council Entry'!M$8),ISNUMBER('Council Entry'!M$9)),MAX(MIN('Council Entry'!M40,'Council Entry'!M$9),'Council Entry'!M$8),'Council Entry'!M40)),IF(AND(ISNUMBER('Council Entry'!M$8),ISNUMBER('Council Entry'!M$9)),MAX(MIN('Council Entry'!M40,'Council Entry'!M$9),'Council Entry'!M$8),'Council Entry'!M40))))-'Council Entry'!M$5)/('Council Entry'!M$6-'Council Entry'!M$5)),1))),"No data"))</f>
        <v/>
      </c>
      <c r="N40" s="13">
        <f>IF('Council Entry'!N40="","",IFERROR(MAX(0,MIN(10,ROUND(IF('Council Entry'!N$7="Decrease Risk",10-10*((IF('Council Entry'!N$4="Logarithm",LN(0.001+IF(AND(ISNUMBER('Council Entry'!N$8),ISNUMBER('Council Entry'!N$9)),MAX(MIN('Council Entry'!N40,'Council Entry'!N$9),'Council Entry'!N$8),'Council Entry'!N40)),IF('Council Entry'!N$4="Exponential",EXP(IF(AND(ISNUMBER('Council Entry'!N$8),ISNUMBER('Council Entry'!N$9)),MAX(MIN('Council Entry'!N40,'Council Entry'!N$9),'Council Entry'!N$8),'Council Entry'!N40)),IF(AND(ISNUMBER('Council Entry'!N$8),ISNUMBER('Council Entry'!N$9)),MAX(MIN('Council Entry'!N40,'Council Entry'!N$9),'Council Entry'!N$8),'Council Entry'!N40))))-'Council Entry'!N$5)/('Council Entry'!N$6-'Council Entry'!N$5),10*((IF('Council Entry'!N$4="Logarithm",LN(0.001+IF(AND(ISNUMBER('Council Entry'!N$8),ISNUMBER('Council Entry'!N$9)),MAX(MIN('Council Entry'!N40,'Council Entry'!N$9),'Council Entry'!N$8),'Council Entry'!N40)),IF('Council Entry'!N$4="Exponential",EXP(IF(AND(ISNUMBER('Council Entry'!N$8),ISNUMBER('Council Entry'!N$9)),MAX(MIN('Council Entry'!N40,'Council Entry'!N$9),'Council Entry'!N$8),'Council Entry'!N40)),IF(AND(ISNUMBER('Council Entry'!N$8),ISNUMBER('Council Entry'!N$9)),MAX(MIN('Council Entry'!N40,'Council Entry'!N$9),'Council Entry'!N$8),'Council Entry'!N40))))-'Council Entry'!N$5)/('Council Entry'!N$6-'Council Entry'!N$5)),1))),"No data"))</f>
        <v/>
      </c>
      <c r="O40" s="13">
        <f>IF('Council Entry'!O40="","",IFERROR(MAX(0,MIN(10,ROUND(IF('Council Entry'!O$7="Decrease Risk",10-10*((IF('Council Entry'!O$4="Logarithm",LN(0.001+IF(AND(ISNUMBER('Council Entry'!O$8),ISNUMBER('Council Entry'!O$9)),MAX(MIN('Council Entry'!O40,'Council Entry'!O$9),'Council Entry'!O$8),'Council Entry'!O40)),IF('Council Entry'!O$4="Exponential",EXP(IF(AND(ISNUMBER('Council Entry'!O$8),ISNUMBER('Council Entry'!O$9)),MAX(MIN('Council Entry'!O40,'Council Entry'!O$9),'Council Entry'!O$8),'Council Entry'!O40)),IF(AND(ISNUMBER('Council Entry'!O$8),ISNUMBER('Council Entry'!O$9)),MAX(MIN('Council Entry'!O40,'Council Entry'!O$9),'Council Entry'!O$8),'Council Entry'!O40))))-'Council Entry'!O$5)/('Council Entry'!O$6-'Council Entry'!O$5),10*((IF('Council Entry'!O$4="Logarithm",LN(0.001+IF(AND(ISNUMBER('Council Entry'!O$8),ISNUMBER('Council Entry'!O$9)),MAX(MIN('Council Entry'!O40,'Council Entry'!O$9),'Council Entry'!O$8),'Council Entry'!O40)),IF('Council Entry'!O$4="Exponential",EXP(IF(AND(ISNUMBER('Council Entry'!O$8),ISNUMBER('Council Entry'!O$9)),MAX(MIN('Council Entry'!O40,'Council Entry'!O$9),'Council Entry'!O$8),'Council Entry'!O40)),IF(AND(ISNUMBER('Council Entry'!O$8),ISNUMBER('Council Entry'!O$9)),MAX(MIN('Council Entry'!O40,'Council Entry'!O$9),'Council Entry'!O$8),'Council Entry'!O40))))-'Council Entry'!O$5)/('Council Entry'!O$6-'Council Entry'!O$5)),1))),"No data"))</f>
        <v/>
      </c>
      <c r="P40" s="13">
        <f>IF('Council Entry'!P40="","",IFERROR(MAX(0,MIN(10,ROUND(IF('Council Entry'!P$7="Decrease Risk",10-10*((IF('Council Entry'!P$4="Logarithm",LN(0.001+IF(AND(ISNUMBER('Council Entry'!P$8),ISNUMBER('Council Entry'!P$9)),MAX(MIN('Council Entry'!P40,'Council Entry'!P$9),'Council Entry'!P$8),'Council Entry'!P40)),IF('Council Entry'!P$4="Exponential",EXP(IF(AND(ISNUMBER('Council Entry'!P$8),ISNUMBER('Council Entry'!P$9)),MAX(MIN('Council Entry'!P40,'Council Entry'!P$9),'Council Entry'!P$8),'Council Entry'!P40)),IF(AND(ISNUMBER('Council Entry'!P$8),ISNUMBER('Council Entry'!P$9)),MAX(MIN('Council Entry'!P40,'Council Entry'!P$9),'Council Entry'!P$8),'Council Entry'!P40))))-'Council Entry'!P$5)/('Council Entry'!P$6-'Council Entry'!P$5),10*((IF('Council Entry'!P$4="Logarithm",LN(0.001+IF(AND(ISNUMBER('Council Entry'!P$8),ISNUMBER('Council Entry'!P$9)),MAX(MIN('Council Entry'!P40,'Council Entry'!P$9),'Council Entry'!P$8),'Council Entry'!P40)),IF('Council Entry'!P$4="Exponential",EXP(IF(AND(ISNUMBER('Council Entry'!P$8),ISNUMBER('Council Entry'!P$9)),MAX(MIN('Council Entry'!P40,'Council Entry'!P$9),'Council Entry'!P$8),'Council Entry'!P40)),IF(AND(ISNUMBER('Council Entry'!P$8),ISNUMBER('Council Entry'!P$9)),MAX(MIN('Council Entry'!P40,'Council Entry'!P$9),'Council Entry'!P$8),'Council Entry'!P40))))-'Council Entry'!P$5)/('Council Entry'!P$6-'Council Entry'!P$5)),1))),"No data"))</f>
        <v/>
      </c>
      <c r="Q40" s="13">
        <f>IF('Council Entry'!Q40="","",IFERROR(MAX(0,MIN(10,ROUND(IF('Council Entry'!Q$7="Decrease Risk",10-10*((IF('Council Entry'!Q$4="Logarithm",LN(0.001+IF(AND(ISNUMBER('Council Entry'!Q$8),ISNUMBER('Council Entry'!Q$9)),MAX(MIN('Council Entry'!Q40,'Council Entry'!Q$9),'Council Entry'!Q$8),'Council Entry'!Q40)),IF('Council Entry'!Q$4="Exponential",EXP(IF(AND(ISNUMBER('Council Entry'!Q$8),ISNUMBER('Council Entry'!Q$9)),MAX(MIN('Council Entry'!Q40,'Council Entry'!Q$9),'Council Entry'!Q$8),'Council Entry'!Q40)),IF(AND(ISNUMBER('Council Entry'!Q$8),ISNUMBER('Council Entry'!Q$9)),MAX(MIN('Council Entry'!Q40,'Council Entry'!Q$9),'Council Entry'!Q$8),'Council Entry'!Q40))))-'Council Entry'!Q$5)/('Council Entry'!Q$6-'Council Entry'!Q$5),10*((IF('Council Entry'!Q$4="Logarithm",LN(0.001+IF(AND(ISNUMBER('Council Entry'!Q$8),ISNUMBER('Council Entry'!Q$9)),MAX(MIN('Council Entry'!Q40,'Council Entry'!Q$9),'Council Entry'!Q$8),'Council Entry'!Q40)),IF('Council Entry'!Q$4="Exponential",EXP(IF(AND(ISNUMBER('Council Entry'!Q$8),ISNUMBER('Council Entry'!Q$9)),MAX(MIN('Council Entry'!Q40,'Council Entry'!Q$9),'Council Entry'!Q$8),'Council Entry'!Q40)),IF(AND(ISNUMBER('Council Entry'!Q$8),ISNUMBER('Council Entry'!Q$9)),MAX(MIN('Council Entry'!Q40,'Council Entry'!Q$9),'Council Entry'!Q$8),'Council Entry'!Q40))))-'Council Entry'!Q$5)/('Council Entry'!Q$6-'Council Entry'!Q$5)),1))),"No data"))</f>
        <v/>
      </c>
      <c r="R40" s="13">
        <f>IF('Council Entry'!R40="","",IFERROR(MAX(0,MIN(10,ROUND(IF('Council Entry'!R$7="Decrease Risk",10-10*((IF('Council Entry'!R$4="Logarithm",LN(0.001+IF(AND(ISNUMBER('Council Entry'!R$8),ISNUMBER('Council Entry'!R$9)),MAX(MIN('Council Entry'!R40,'Council Entry'!R$9),'Council Entry'!R$8),'Council Entry'!R40)),IF('Council Entry'!R$4="Exponential",EXP(IF(AND(ISNUMBER('Council Entry'!R$8),ISNUMBER('Council Entry'!R$9)),MAX(MIN('Council Entry'!R40,'Council Entry'!R$9),'Council Entry'!R$8),'Council Entry'!R40)),IF(AND(ISNUMBER('Council Entry'!R$8),ISNUMBER('Council Entry'!R$9)),MAX(MIN('Council Entry'!R40,'Council Entry'!R$9),'Council Entry'!R$8),'Council Entry'!R40))))-'Council Entry'!R$5)/('Council Entry'!R$6-'Council Entry'!R$5),10*((IF('Council Entry'!R$4="Logarithm",LN(0.001+IF(AND(ISNUMBER('Council Entry'!R$8),ISNUMBER('Council Entry'!R$9)),MAX(MIN('Council Entry'!R40,'Council Entry'!R$9),'Council Entry'!R$8),'Council Entry'!R40)),IF('Council Entry'!R$4="Exponential",EXP(IF(AND(ISNUMBER('Council Entry'!R$8),ISNUMBER('Council Entry'!R$9)),MAX(MIN('Council Entry'!R40,'Council Entry'!R$9),'Council Entry'!R$8),'Council Entry'!R40)),IF(AND(ISNUMBER('Council Entry'!R$8),ISNUMBER('Council Entry'!R$9)),MAX(MIN('Council Entry'!R40,'Council Entry'!R$9),'Council Entry'!R$8),'Council Entry'!R40))))-'Council Entry'!R$5)/('Council Entry'!R$6-'Council Entry'!R$5)),1))),"No data"))</f>
        <v/>
      </c>
      <c r="S40" s="13">
        <f>IF('Council Entry'!S40="","",IFERROR(MAX(0,MIN(10,ROUND(IF('Council Entry'!S$7="Decrease Risk",10-10*((IF('Council Entry'!S$4="Logarithm",LN(0.001+IF(AND(ISNUMBER('Council Entry'!S$8),ISNUMBER('Council Entry'!S$9)),MAX(MIN('Council Entry'!S40,'Council Entry'!S$9),'Council Entry'!S$8),'Council Entry'!S40)),IF('Council Entry'!S$4="Exponential",EXP(IF(AND(ISNUMBER('Council Entry'!S$8),ISNUMBER('Council Entry'!S$9)),MAX(MIN('Council Entry'!S40,'Council Entry'!S$9),'Council Entry'!S$8),'Council Entry'!S40)),IF(AND(ISNUMBER('Council Entry'!S$8),ISNUMBER('Council Entry'!S$9)),MAX(MIN('Council Entry'!S40,'Council Entry'!S$9),'Council Entry'!S$8),'Council Entry'!S40))))-'Council Entry'!S$5)/('Council Entry'!S$6-'Council Entry'!S$5),10*((IF('Council Entry'!S$4="Logarithm",LN(0.001+IF(AND(ISNUMBER('Council Entry'!S$8),ISNUMBER('Council Entry'!S$9)),MAX(MIN('Council Entry'!S40,'Council Entry'!S$9),'Council Entry'!S$8),'Council Entry'!S40)),IF('Council Entry'!S$4="Exponential",EXP(IF(AND(ISNUMBER('Council Entry'!S$8),ISNUMBER('Council Entry'!S$9)),MAX(MIN('Council Entry'!S40,'Council Entry'!S$9),'Council Entry'!S$8),'Council Entry'!S40)),IF(AND(ISNUMBER('Council Entry'!S$8),ISNUMBER('Council Entry'!S$9)),MAX(MIN('Council Entry'!S40,'Council Entry'!S$9),'Council Entry'!S$8),'Council Entry'!S40))))-'Council Entry'!S$5)/('Council Entry'!S$6-'Council Entry'!S$5)),1))),"No data"))</f>
        <v/>
      </c>
      <c r="T40" s="13">
        <f>IF('Council Entry'!T40="","",IFERROR(MAX(0,MIN(10,ROUND(IF('Council Entry'!T$7="Decrease Risk",10-10*((IF('Council Entry'!T$4="Logarithm",LN(0.001+IF(AND(ISNUMBER('Council Entry'!T$8),ISNUMBER('Council Entry'!T$9)),MAX(MIN('Council Entry'!T40,'Council Entry'!T$9),'Council Entry'!T$8),'Council Entry'!T40)),IF('Council Entry'!T$4="Exponential",EXP(IF(AND(ISNUMBER('Council Entry'!T$8),ISNUMBER('Council Entry'!T$9)),MAX(MIN('Council Entry'!T40,'Council Entry'!T$9),'Council Entry'!T$8),'Council Entry'!T40)),IF(AND(ISNUMBER('Council Entry'!T$8),ISNUMBER('Council Entry'!T$9)),MAX(MIN('Council Entry'!T40,'Council Entry'!T$9),'Council Entry'!T$8),'Council Entry'!T40))))-'Council Entry'!T$5)/('Council Entry'!T$6-'Council Entry'!T$5),10*((IF('Council Entry'!T$4="Logarithm",LN(0.001+IF(AND(ISNUMBER('Council Entry'!T$8),ISNUMBER('Council Entry'!T$9)),MAX(MIN('Council Entry'!T40,'Council Entry'!T$9),'Council Entry'!T$8),'Council Entry'!T40)),IF('Council Entry'!T$4="Exponential",EXP(IF(AND(ISNUMBER('Council Entry'!T$8),ISNUMBER('Council Entry'!T$9)),MAX(MIN('Council Entry'!T40,'Council Entry'!T$9),'Council Entry'!T$8),'Council Entry'!T40)),IF(AND(ISNUMBER('Council Entry'!T$8),ISNUMBER('Council Entry'!T$9)),MAX(MIN('Council Entry'!T40,'Council Entry'!T$9),'Council Entry'!T$8),'Council Entry'!T40))))-'Council Entry'!T$5)/('Council Entry'!T$6-'Council Entry'!T$5)),1))),"No data"))</f>
        <v/>
      </c>
      <c r="U40" s="13">
        <f>IF('Council Entry'!U40="","",IFERROR(MAX(0,MIN(10,ROUND(IF('Council Entry'!U$7="Decrease Risk",10-10*((IF('Council Entry'!U$4="Logarithm",LN(0.001+IF(AND(ISNUMBER('Council Entry'!U$8),ISNUMBER('Council Entry'!U$9)),MAX(MIN('Council Entry'!U40,'Council Entry'!U$9),'Council Entry'!U$8),'Council Entry'!U40)),IF('Council Entry'!U$4="Exponential",EXP(IF(AND(ISNUMBER('Council Entry'!U$8),ISNUMBER('Council Entry'!U$9)),MAX(MIN('Council Entry'!U40,'Council Entry'!U$9),'Council Entry'!U$8),'Council Entry'!U40)),IF(AND(ISNUMBER('Council Entry'!U$8),ISNUMBER('Council Entry'!U$9)),MAX(MIN('Council Entry'!U40,'Council Entry'!U$9),'Council Entry'!U$8),'Council Entry'!U40))))-'Council Entry'!U$5)/('Council Entry'!U$6-'Council Entry'!U$5),10*((IF('Council Entry'!U$4="Logarithm",LN(0.001+IF(AND(ISNUMBER('Council Entry'!U$8),ISNUMBER('Council Entry'!U$9)),MAX(MIN('Council Entry'!U40,'Council Entry'!U$9),'Council Entry'!U$8),'Council Entry'!U40)),IF('Council Entry'!U$4="Exponential",EXP(IF(AND(ISNUMBER('Council Entry'!U$8),ISNUMBER('Council Entry'!U$9)),MAX(MIN('Council Entry'!U40,'Council Entry'!U$9),'Council Entry'!U$8),'Council Entry'!U40)),IF(AND(ISNUMBER('Council Entry'!U$8),ISNUMBER('Council Entry'!U$9)),MAX(MIN('Council Entry'!U40,'Council Entry'!U$9),'Council Entry'!U$8),'Council Entry'!U40))))-'Council Entry'!U$5)/('Council Entry'!U$6-'Council Entry'!U$5)),1))),"No data"))</f>
        <v/>
      </c>
      <c r="V40" s="13">
        <f>IF('Council Entry'!V40="","",IFERROR(MAX(0,MIN(10,ROUND(IF('Council Entry'!V$7="Decrease Risk",10-10*((IF('Council Entry'!V$4="Logarithm",LN(0.001+IF(AND(ISNUMBER('Council Entry'!V$8),ISNUMBER('Council Entry'!V$9)),MAX(MIN('Council Entry'!V40,'Council Entry'!V$9),'Council Entry'!V$8),'Council Entry'!V40)),IF('Council Entry'!V$4="Exponential",EXP(IF(AND(ISNUMBER('Council Entry'!V$8),ISNUMBER('Council Entry'!V$9)),MAX(MIN('Council Entry'!V40,'Council Entry'!V$9),'Council Entry'!V$8),'Council Entry'!V40)),IF(AND(ISNUMBER('Council Entry'!V$8),ISNUMBER('Council Entry'!V$9)),MAX(MIN('Council Entry'!V40,'Council Entry'!V$9),'Council Entry'!V$8),'Council Entry'!V40))))-'Council Entry'!V$5)/('Council Entry'!V$6-'Council Entry'!V$5),10*((IF('Council Entry'!V$4="Logarithm",LN(0.001+IF(AND(ISNUMBER('Council Entry'!V$8),ISNUMBER('Council Entry'!V$9)),MAX(MIN('Council Entry'!V40,'Council Entry'!V$9),'Council Entry'!V$8),'Council Entry'!V40)),IF('Council Entry'!V$4="Exponential",EXP(IF(AND(ISNUMBER('Council Entry'!V$8),ISNUMBER('Council Entry'!V$9)),MAX(MIN('Council Entry'!V40,'Council Entry'!V$9),'Council Entry'!V$8),'Council Entry'!V40)),IF(AND(ISNUMBER('Council Entry'!V$8),ISNUMBER('Council Entry'!V$9)),MAX(MIN('Council Entry'!V40,'Council Entry'!V$9),'Council Entry'!V$8),'Council Entry'!V40))))-'Council Entry'!V$5)/('Council Entry'!V$6-'Council Entry'!V$5)),1))),"No data"))</f>
        <v/>
      </c>
      <c r="W40" s="13">
        <f>IF('Council Entry'!W40="","",IFERROR(MAX(0,MIN(10,ROUND(IF('Council Entry'!W$7="Decrease Risk",10-10*((IF('Council Entry'!W$4="Logarithm",LN(0.001+IF(AND(ISNUMBER('Council Entry'!W$8),ISNUMBER('Council Entry'!W$9)),MAX(MIN('Council Entry'!W40,'Council Entry'!W$9),'Council Entry'!W$8),'Council Entry'!W40)),IF('Council Entry'!W$4="Exponential",EXP(IF(AND(ISNUMBER('Council Entry'!W$8),ISNUMBER('Council Entry'!W$9)),MAX(MIN('Council Entry'!W40,'Council Entry'!W$9),'Council Entry'!W$8),'Council Entry'!W40)),IF(AND(ISNUMBER('Council Entry'!W$8),ISNUMBER('Council Entry'!W$9)),MAX(MIN('Council Entry'!W40,'Council Entry'!W$9),'Council Entry'!W$8),'Council Entry'!W40))))-'Council Entry'!W$5)/('Council Entry'!W$6-'Council Entry'!W$5),10*((IF('Council Entry'!W$4="Logarithm",LN(0.001+IF(AND(ISNUMBER('Council Entry'!W$8),ISNUMBER('Council Entry'!W$9)),MAX(MIN('Council Entry'!W40,'Council Entry'!W$9),'Council Entry'!W$8),'Council Entry'!W40)),IF('Council Entry'!W$4="Exponential",EXP(IF(AND(ISNUMBER('Council Entry'!W$8),ISNUMBER('Council Entry'!W$9)),MAX(MIN('Council Entry'!W40,'Council Entry'!W$9),'Council Entry'!W$8),'Council Entry'!W40)),IF(AND(ISNUMBER('Council Entry'!W$8),ISNUMBER('Council Entry'!W$9)),MAX(MIN('Council Entry'!W40,'Council Entry'!W$9),'Council Entry'!W$8),'Council Entry'!W40))))-'Council Entry'!W$5)/('Council Entry'!W$6-'Council Entry'!W$5)),1))),"No data"))</f>
        <v/>
      </c>
      <c r="X40" s="13">
        <f>IF('Council Entry'!X40="","",IFERROR(MAX(0,MIN(10,ROUND(IF('Council Entry'!X$7="Decrease Risk",10-10*((IF('Council Entry'!X$4="Logarithm",LN(0.001+IF(AND(ISNUMBER('Council Entry'!X$8),ISNUMBER('Council Entry'!X$9)),MAX(MIN('Council Entry'!X40,'Council Entry'!X$9),'Council Entry'!X$8),'Council Entry'!X40)),IF('Council Entry'!X$4="Exponential",EXP(IF(AND(ISNUMBER('Council Entry'!X$8),ISNUMBER('Council Entry'!X$9)),MAX(MIN('Council Entry'!X40,'Council Entry'!X$9),'Council Entry'!X$8),'Council Entry'!X40)),IF(AND(ISNUMBER('Council Entry'!X$8),ISNUMBER('Council Entry'!X$9)),MAX(MIN('Council Entry'!X40,'Council Entry'!X$9),'Council Entry'!X$8),'Council Entry'!X40))))-'Council Entry'!X$5)/('Council Entry'!X$6-'Council Entry'!X$5),10*((IF('Council Entry'!X$4="Logarithm",LN(0.001+IF(AND(ISNUMBER('Council Entry'!X$8),ISNUMBER('Council Entry'!X$9)),MAX(MIN('Council Entry'!X40,'Council Entry'!X$9),'Council Entry'!X$8),'Council Entry'!X40)),IF('Council Entry'!X$4="Exponential",EXP(IF(AND(ISNUMBER('Council Entry'!X$8),ISNUMBER('Council Entry'!X$9)),MAX(MIN('Council Entry'!X40,'Council Entry'!X$9),'Council Entry'!X$8),'Council Entry'!X40)),IF(AND(ISNUMBER('Council Entry'!X$8),ISNUMBER('Council Entry'!X$9)),MAX(MIN('Council Entry'!X40,'Council Entry'!X$9),'Council Entry'!X$8),'Council Entry'!X40))))-'Council Entry'!X$5)/('Council Entry'!X$6-'Council Entry'!X$5)),1))),"No data"))</f>
        <v/>
      </c>
      <c r="Y40" s="13">
        <f>IF('Council Entry'!Y40="","",IFERROR(MAX(0,MIN(10,ROUND(IF('Council Entry'!Y$7="Decrease Risk",10-10*((IF('Council Entry'!Y$4="Logarithm",LN(0.001+IF(AND(ISNUMBER('Council Entry'!Y$8),ISNUMBER('Council Entry'!Y$9)),MAX(MIN('Council Entry'!Y40,'Council Entry'!Y$9),'Council Entry'!Y$8),'Council Entry'!Y40)),IF('Council Entry'!Y$4="Exponential",EXP(IF(AND(ISNUMBER('Council Entry'!Y$8),ISNUMBER('Council Entry'!Y$9)),MAX(MIN('Council Entry'!Y40,'Council Entry'!Y$9),'Council Entry'!Y$8),'Council Entry'!Y40)),IF(AND(ISNUMBER('Council Entry'!Y$8),ISNUMBER('Council Entry'!Y$9)),MAX(MIN('Council Entry'!Y40,'Council Entry'!Y$9),'Council Entry'!Y$8),'Council Entry'!Y40))))-'Council Entry'!Y$5)/('Council Entry'!Y$6-'Council Entry'!Y$5),10*((IF('Council Entry'!Y$4="Logarithm",LN(0.001+IF(AND(ISNUMBER('Council Entry'!Y$8),ISNUMBER('Council Entry'!Y$9)),MAX(MIN('Council Entry'!Y40,'Council Entry'!Y$9),'Council Entry'!Y$8),'Council Entry'!Y40)),IF('Council Entry'!Y$4="Exponential",EXP(IF(AND(ISNUMBER('Council Entry'!Y$8),ISNUMBER('Council Entry'!Y$9)),MAX(MIN('Council Entry'!Y40,'Council Entry'!Y$9),'Council Entry'!Y$8),'Council Entry'!Y40)),IF(AND(ISNUMBER('Council Entry'!Y$8),ISNUMBER('Council Entry'!Y$9)),MAX(MIN('Council Entry'!Y40,'Council Entry'!Y$9),'Council Entry'!Y$8),'Council Entry'!Y40))))-'Council Entry'!Y$5)/('Council Entry'!Y$6-'Council Entry'!Y$5)),1))),"No data"))</f>
        <v/>
      </c>
      <c r="Z40" s="13">
        <f>IF('Council Entry'!Z40="","",IFERROR(MAX(0,MIN(10,ROUND(IF('Council Entry'!Z$7="Decrease Risk",10-10*((IF('Council Entry'!Z$4="Logarithm",LN(0.001+IF(AND(ISNUMBER('Council Entry'!Z$8),ISNUMBER('Council Entry'!Z$9)),MAX(MIN('Council Entry'!Z40,'Council Entry'!Z$9),'Council Entry'!Z$8),'Council Entry'!Z40)),IF('Council Entry'!Z$4="Exponential",EXP(IF(AND(ISNUMBER('Council Entry'!Z$8),ISNUMBER('Council Entry'!Z$9)),MAX(MIN('Council Entry'!Z40,'Council Entry'!Z$9),'Council Entry'!Z$8),'Council Entry'!Z40)),IF(AND(ISNUMBER('Council Entry'!Z$8),ISNUMBER('Council Entry'!Z$9)),MAX(MIN('Council Entry'!Z40,'Council Entry'!Z$9),'Council Entry'!Z$8),'Council Entry'!Z40))))-'Council Entry'!Z$5)/('Council Entry'!Z$6-'Council Entry'!Z$5),10*((IF('Council Entry'!Z$4="Logarithm",LN(0.001+IF(AND(ISNUMBER('Council Entry'!Z$8),ISNUMBER('Council Entry'!Z$9)),MAX(MIN('Council Entry'!Z40,'Council Entry'!Z$9),'Council Entry'!Z$8),'Council Entry'!Z40)),IF('Council Entry'!Z$4="Exponential",EXP(IF(AND(ISNUMBER('Council Entry'!Z$8),ISNUMBER('Council Entry'!Z$9)),MAX(MIN('Council Entry'!Z40,'Council Entry'!Z$9),'Council Entry'!Z$8),'Council Entry'!Z40)),IF(AND(ISNUMBER('Council Entry'!Z$8),ISNUMBER('Council Entry'!Z$9)),MAX(MIN('Council Entry'!Z40,'Council Entry'!Z$9),'Council Entry'!Z$8),'Council Entry'!Z40))))-'Council Entry'!Z$5)/('Council Entry'!Z$6-'Council Entry'!Z$5)),1))),"No data"))</f>
        <v/>
      </c>
      <c r="AA40" s="13">
        <f>IF('Council Entry'!AA40="","",IFERROR(MAX(0,MIN(10,ROUND(IF('Council Entry'!AA$7="Decrease Risk",10-10*((IF('Council Entry'!AA$4="Logarithm",LN(0.001+IF(AND(ISNUMBER('Council Entry'!AA$8),ISNUMBER('Council Entry'!AA$9)),MAX(MIN('Council Entry'!AA40,'Council Entry'!AA$9),'Council Entry'!AA$8),'Council Entry'!AA40)),IF('Council Entry'!AA$4="Exponential",EXP(IF(AND(ISNUMBER('Council Entry'!AA$8),ISNUMBER('Council Entry'!AA$9)),MAX(MIN('Council Entry'!AA40,'Council Entry'!AA$9),'Council Entry'!AA$8),'Council Entry'!AA40)),IF(AND(ISNUMBER('Council Entry'!AA$8),ISNUMBER('Council Entry'!AA$9)),MAX(MIN('Council Entry'!AA40,'Council Entry'!AA$9),'Council Entry'!AA$8),'Council Entry'!AA40))))-'Council Entry'!AA$5)/('Council Entry'!AA$6-'Council Entry'!AA$5),10*((IF('Council Entry'!AA$4="Logarithm",LN(0.001+IF(AND(ISNUMBER('Council Entry'!AA$8),ISNUMBER('Council Entry'!AA$9)),MAX(MIN('Council Entry'!AA40,'Council Entry'!AA$9),'Council Entry'!AA$8),'Council Entry'!AA40)),IF('Council Entry'!AA$4="Exponential",EXP(IF(AND(ISNUMBER('Council Entry'!AA$8),ISNUMBER('Council Entry'!AA$9)),MAX(MIN('Council Entry'!AA40,'Council Entry'!AA$9),'Council Entry'!AA$8),'Council Entry'!AA40)),IF(AND(ISNUMBER('Council Entry'!AA$8),ISNUMBER('Council Entry'!AA$9)),MAX(MIN('Council Entry'!AA40,'Council Entry'!AA$9),'Council Entry'!AA$8),'Council Entry'!AA40))))-'Council Entry'!AA$5)/('Council Entry'!AA$6-'Council Entry'!AA$5)),1))),"No data"))</f>
        <v/>
      </c>
      <c r="AB40" s="13">
        <f>IF('Council Entry'!AB40="","",IFERROR(MAX(0,MIN(10,ROUND(IF('Council Entry'!AB$7="Decrease Risk",10-10*((IF('Council Entry'!AB$4="Logarithm",LN(0.001+IF(AND(ISNUMBER('Council Entry'!AB$8),ISNUMBER('Council Entry'!AB$9)),MAX(MIN('Council Entry'!AB40,'Council Entry'!AB$9),'Council Entry'!AB$8),'Council Entry'!AB40)),IF('Council Entry'!AB$4="Exponential",EXP(IF(AND(ISNUMBER('Council Entry'!AB$8),ISNUMBER('Council Entry'!AB$9)),MAX(MIN('Council Entry'!AB40,'Council Entry'!AB$9),'Council Entry'!AB$8),'Council Entry'!AB40)),IF(AND(ISNUMBER('Council Entry'!AB$8),ISNUMBER('Council Entry'!AB$9)),MAX(MIN('Council Entry'!AB40,'Council Entry'!AB$9),'Council Entry'!AB$8),'Council Entry'!AB40))))-'Council Entry'!AB$5)/('Council Entry'!AB$6-'Council Entry'!AB$5),10*((IF('Council Entry'!AB$4="Logarithm",LN(0.001+IF(AND(ISNUMBER('Council Entry'!AB$8),ISNUMBER('Council Entry'!AB$9)),MAX(MIN('Council Entry'!AB40,'Council Entry'!AB$9),'Council Entry'!AB$8),'Council Entry'!AB40)),IF('Council Entry'!AB$4="Exponential",EXP(IF(AND(ISNUMBER('Council Entry'!AB$8),ISNUMBER('Council Entry'!AB$9)),MAX(MIN('Council Entry'!AB40,'Council Entry'!AB$9),'Council Entry'!AB$8),'Council Entry'!AB40)),IF(AND(ISNUMBER('Council Entry'!AB$8),ISNUMBER('Council Entry'!AB$9)),MAX(MIN('Council Entry'!AB40,'Council Entry'!AB$9),'Council Entry'!AB$8),'Council Entry'!AB40))))-'Council Entry'!AB$5)/('Council Entry'!AB$6-'Council Entry'!AB$5)),1))),"No data"))</f>
        <v/>
      </c>
      <c r="AC40" s="13">
        <f>IF('Council Entry'!AC40="","",IFERROR(MAX(0,MIN(10,ROUND(IF('Council Entry'!AC$7="Decrease Risk",10-10*((IF('Council Entry'!AC$4="Logarithm",LN(0.001+IF(AND(ISNUMBER('Council Entry'!AC$8),ISNUMBER('Council Entry'!AC$9)),MAX(MIN('Council Entry'!AC40,'Council Entry'!AC$9),'Council Entry'!AC$8),'Council Entry'!AC40)),IF('Council Entry'!AC$4="Exponential",EXP(IF(AND(ISNUMBER('Council Entry'!AC$8),ISNUMBER('Council Entry'!AC$9)),MAX(MIN('Council Entry'!AC40,'Council Entry'!AC$9),'Council Entry'!AC$8),'Council Entry'!AC40)),IF(AND(ISNUMBER('Council Entry'!AC$8),ISNUMBER('Council Entry'!AC$9)),MAX(MIN('Council Entry'!AC40,'Council Entry'!AC$9),'Council Entry'!AC$8),'Council Entry'!AC40))))-'Council Entry'!AC$5)/('Council Entry'!AC$6-'Council Entry'!AC$5),10*((IF('Council Entry'!AC$4="Logarithm",LN(0.001+IF(AND(ISNUMBER('Council Entry'!AC$8),ISNUMBER('Council Entry'!AC$9)),MAX(MIN('Council Entry'!AC40,'Council Entry'!AC$9),'Council Entry'!AC$8),'Council Entry'!AC40)),IF('Council Entry'!AC$4="Exponential",EXP(IF(AND(ISNUMBER('Council Entry'!AC$8),ISNUMBER('Council Entry'!AC$9)),MAX(MIN('Council Entry'!AC40,'Council Entry'!AC$9),'Council Entry'!AC$8),'Council Entry'!AC40)),IF(AND(ISNUMBER('Council Entry'!AC$8),ISNUMBER('Council Entry'!AC$9)),MAX(MIN('Council Entry'!AC40,'Council Entry'!AC$9),'Council Entry'!AC$8),'Council Entry'!AC40))))-'Council Entry'!AC$5)/('Council Entry'!AC$6-'Council Entry'!AC$5)),1))),"No data"))</f>
        <v/>
      </c>
      <c r="AD40" s="13">
        <f>IF('Council Entry'!AD40="","",IFERROR(MAX(0,MIN(10,ROUND(IF('Council Entry'!AD$7="Decrease Risk",10-10*((IF('Council Entry'!AD$4="Logarithm",LN(0.001+IF(AND(ISNUMBER('Council Entry'!AD$8),ISNUMBER('Council Entry'!AD$9)),MAX(MIN('Council Entry'!AD40,'Council Entry'!AD$9),'Council Entry'!AD$8),'Council Entry'!AD40)),IF('Council Entry'!AD$4="Exponential",EXP(IF(AND(ISNUMBER('Council Entry'!AD$8),ISNUMBER('Council Entry'!AD$9)),MAX(MIN('Council Entry'!AD40,'Council Entry'!AD$9),'Council Entry'!AD$8),'Council Entry'!AD40)),IF(AND(ISNUMBER('Council Entry'!AD$8),ISNUMBER('Council Entry'!AD$9)),MAX(MIN('Council Entry'!AD40,'Council Entry'!AD$9),'Council Entry'!AD$8),'Council Entry'!AD40))))-'Council Entry'!AD$5)/('Council Entry'!AD$6-'Council Entry'!AD$5),10*((IF('Council Entry'!AD$4="Logarithm",LN(0.001+IF(AND(ISNUMBER('Council Entry'!AD$8),ISNUMBER('Council Entry'!AD$9)),MAX(MIN('Council Entry'!AD40,'Council Entry'!AD$9),'Council Entry'!AD$8),'Council Entry'!AD40)),IF('Council Entry'!AD$4="Exponential",EXP(IF(AND(ISNUMBER('Council Entry'!AD$8),ISNUMBER('Council Entry'!AD$9)),MAX(MIN('Council Entry'!AD40,'Council Entry'!AD$9),'Council Entry'!AD$8),'Council Entry'!AD40)),IF(AND(ISNUMBER('Council Entry'!AD$8),ISNUMBER('Council Entry'!AD$9)),MAX(MIN('Council Entry'!AD40,'Council Entry'!AD$9),'Council Entry'!AD$8),'Council Entry'!AD40))))-'Council Entry'!AD$5)/('Council Entry'!AD$6-'Council Entry'!AD$5)),1))),"No data"))</f>
        <v/>
      </c>
      <c r="AE40" s="13">
        <f>IF('Council Entry'!AE40="","",IFERROR(MAX(0,MIN(10,ROUND(IF('Council Entry'!AE$7="Decrease Risk",10-10*((IF('Council Entry'!AE$4="Logarithm",LN(0.001+IF(AND(ISNUMBER('Council Entry'!AE$8),ISNUMBER('Council Entry'!AE$9)),MAX(MIN('Council Entry'!AE40,'Council Entry'!AE$9),'Council Entry'!AE$8),'Council Entry'!AE40)),IF('Council Entry'!AE$4="Exponential",EXP(IF(AND(ISNUMBER('Council Entry'!AE$8),ISNUMBER('Council Entry'!AE$9)),MAX(MIN('Council Entry'!AE40,'Council Entry'!AE$9),'Council Entry'!AE$8),'Council Entry'!AE40)),IF(AND(ISNUMBER('Council Entry'!AE$8),ISNUMBER('Council Entry'!AE$9)),MAX(MIN('Council Entry'!AE40,'Council Entry'!AE$9),'Council Entry'!AE$8),'Council Entry'!AE40))))-'Council Entry'!AE$5)/('Council Entry'!AE$6-'Council Entry'!AE$5),10*((IF('Council Entry'!AE$4="Logarithm",LN(0.001+IF(AND(ISNUMBER('Council Entry'!AE$8),ISNUMBER('Council Entry'!AE$9)),MAX(MIN('Council Entry'!AE40,'Council Entry'!AE$9),'Council Entry'!AE$8),'Council Entry'!AE40)),IF('Council Entry'!AE$4="Exponential",EXP(IF(AND(ISNUMBER('Council Entry'!AE$8),ISNUMBER('Council Entry'!AE$9)),MAX(MIN('Council Entry'!AE40,'Council Entry'!AE$9),'Council Entry'!AE$8),'Council Entry'!AE40)),IF(AND(ISNUMBER('Council Entry'!AE$8),ISNUMBER('Council Entry'!AE$9)),MAX(MIN('Council Entry'!AE40,'Council Entry'!AE$9),'Council Entry'!AE$8),'Council Entry'!AE40))))-'Council Entry'!AE$5)/('Council Entry'!AE$6-'Council Entry'!AE$5)),1))),"No data"))</f>
        <v/>
      </c>
      <c r="AF40" s="13">
        <f>IF('Council Entry'!AF40="","",IFERROR(MAX(0,MIN(10,ROUND(IF('Council Entry'!AF$7="Decrease Risk",10-10*((IF('Council Entry'!AF$4="Logarithm",LN(0.001+IF(AND(ISNUMBER('Council Entry'!AF$8),ISNUMBER('Council Entry'!AF$9)),MAX(MIN('Council Entry'!AF40,'Council Entry'!AF$9),'Council Entry'!AF$8),'Council Entry'!AF40)),IF('Council Entry'!AF$4="Exponential",EXP(IF(AND(ISNUMBER('Council Entry'!AF$8),ISNUMBER('Council Entry'!AF$9)),MAX(MIN('Council Entry'!AF40,'Council Entry'!AF$9),'Council Entry'!AF$8),'Council Entry'!AF40)),IF(AND(ISNUMBER('Council Entry'!AF$8),ISNUMBER('Council Entry'!AF$9)),MAX(MIN('Council Entry'!AF40,'Council Entry'!AF$9),'Council Entry'!AF$8),'Council Entry'!AF40))))-'Council Entry'!AF$5)/('Council Entry'!AF$6-'Council Entry'!AF$5),10*((IF('Council Entry'!AF$4="Logarithm",LN(0.001+IF(AND(ISNUMBER('Council Entry'!AF$8),ISNUMBER('Council Entry'!AF$9)),MAX(MIN('Council Entry'!AF40,'Council Entry'!AF$9),'Council Entry'!AF$8),'Council Entry'!AF40)),IF('Council Entry'!AF$4="Exponential",EXP(IF(AND(ISNUMBER('Council Entry'!AF$8),ISNUMBER('Council Entry'!AF$9)),MAX(MIN('Council Entry'!AF40,'Council Entry'!AF$9),'Council Entry'!AF$8),'Council Entry'!AF40)),IF(AND(ISNUMBER('Council Entry'!AF$8),ISNUMBER('Council Entry'!AF$9)),MAX(MIN('Council Entry'!AF40,'Council Entry'!AF$9),'Council Entry'!AF$8),'Council Entry'!AF40))))-'Council Entry'!AF$5)/('Council Entry'!AF$6-'Council Entry'!AF$5)),1))),"No data"))</f>
        <v/>
      </c>
      <c r="AG40" s="13">
        <f>IF('Council Entry'!AG40="","",IFERROR(MAX(0,MIN(10,ROUND(IF('Council Entry'!AG$7="Decrease Risk",10-10*((IF('Council Entry'!AG$4="Logarithm",LN(0.001+IF(AND(ISNUMBER('Council Entry'!AG$8),ISNUMBER('Council Entry'!AG$9)),MAX(MIN('Council Entry'!AG40,'Council Entry'!AG$9),'Council Entry'!AG$8),'Council Entry'!AG40)),IF('Council Entry'!AG$4="Exponential",EXP(IF(AND(ISNUMBER('Council Entry'!AG$8),ISNUMBER('Council Entry'!AG$9)),MAX(MIN('Council Entry'!AG40,'Council Entry'!AG$9),'Council Entry'!AG$8),'Council Entry'!AG40)),IF(AND(ISNUMBER('Council Entry'!AG$8),ISNUMBER('Council Entry'!AG$9)),MAX(MIN('Council Entry'!AG40,'Council Entry'!AG$9),'Council Entry'!AG$8),'Council Entry'!AG40))))-'Council Entry'!AG$5)/('Council Entry'!AG$6-'Council Entry'!AG$5),10*((IF('Council Entry'!AG$4="Logarithm",LN(0.001+IF(AND(ISNUMBER('Council Entry'!AG$8),ISNUMBER('Council Entry'!AG$9)),MAX(MIN('Council Entry'!AG40,'Council Entry'!AG$9),'Council Entry'!AG$8),'Council Entry'!AG40)),IF('Council Entry'!AG$4="Exponential",EXP(IF(AND(ISNUMBER('Council Entry'!AG$8),ISNUMBER('Council Entry'!AG$9)),MAX(MIN('Council Entry'!AG40,'Council Entry'!AG$9),'Council Entry'!AG$8),'Council Entry'!AG40)),IF(AND(ISNUMBER('Council Entry'!AG$8),ISNUMBER('Council Entry'!AG$9)),MAX(MIN('Council Entry'!AG40,'Council Entry'!AG$9),'Council Entry'!AG$8),'Council Entry'!AG40))))-'Council Entry'!AG$5)/('Council Entry'!AG$6-'Council Entry'!AG$5)),1))),"No data"))</f>
        <v/>
      </c>
      <c r="AH40" s="13">
        <f>IF('Council Entry'!AH40="","",IFERROR(MAX(0,MIN(10,ROUND(IF('Council Entry'!AH$7="Decrease Risk",10-10*((IF('Council Entry'!AH$4="Logarithm",LN(0.001+IF(AND(ISNUMBER('Council Entry'!AH$8),ISNUMBER('Council Entry'!AH$9)),MAX(MIN('Council Entry'!AH40,'Council Entry'!AH$9),'Council Entry'!AH$8),'Council Entry'!AH40)),IF('Council Entry'!AH$4="Exponential",EXP(IF(AND(ISNUMBER('Council Entry'!AH$8),ISNUMBER('Council Entry'!AH$9)),MAX(MIN('Council Entry'!AH40,'Council Entry'!AH$9),'Council Entry'!AH$8),'Council Entry'!AH40)),IF(AND(ISNUMBER('Council Entry'!AH$8),ISNUMBER('Council Entry'!AH$9)),MAX(MIN('Council Entry'!AH40,'Council Entry'!AH$9),'Council Entry'!AH$8),'Council Entry'!AH40))))-'Council Entry'!AH$5)/('Council Entry'!AH$6-'Council Entry'!AH$5),10*((IF('Council Entry'!AH$4="Logarithm",LN(0.001+IF(AND(ISNUMBER('Council Entry'!AH$8),ISNUMBER('Council Entry'!AH$9)),MAX(MIN('Council Entry'!AH40,'Council Entry'!AH$9),'Council Entry'!AH$8),'Council Entry'!AH40)),IF('Council Entry'!AH$4="Exponential",EXP(IF(AND(ISNUMBER('Council Entry'!AH$8),ISNUMBER('Council Entry'!AH$9)),MAX(MIN('Council Entry'!AH40,'Council Entry'!AH$9),'Council Entry'!AH$8),'Council Entry'!AH40)),IF(AND(ISNUMBER('Council Entry'!AH$8),ISNUMBER('Council Entry'!AH$9)),MAX(MIN('Council Entry'!AH40,'Council Entry'!AH$9),'Council Entry'!AH$8),'Council Entry'!AH40))))-'Council Entry'!AH$5)/('Council Entry'!AH$6-'Council Entry'!AH$5)),1))),"No data"))</f>
        <v/>
      </c>
      <c r="AI40" s="13">
        <f>IF('Council Entry'!AI40="","",IFERROR(MAX(0,MIN(10,ROUND(IF('Council Entry'!AI$7="Decrease Risk",10-10*((IF('Council Entry'!AI$4="Logarithm",LN(0.001+IF(AND(ISNUMBER('Council Entry'!AI$8),ISNUMBER('Council Entry'!AI$9)),MAX(MIN('Council Entry'!AI40,'Council Entry'!AI$9),'Council Entry'!AI$8),'Council Entry'!AI40)),IF('Council Entry'!AI$4="Exponential",EXP(IF(AND(ISNUMBER('Council Entry'!AI$8),ISNUMBER('Council Entry'!AI$9)),MAX(MIN('Council Entry'!AI40,'Council Entry'!AI$9),'Council Entry'!AI$8),'Council Entry'!AI40)),IF(AND(ISNUMBER('Council Entry'!AI$8),ISNUMBER('Council Entry'!AI$9)),MAX(MIN('Council Entry'!AI40,'Council Entry'!AI$9),'Council Entry'!AI$8),'Council Entry'!AI40))))-'Council Entry'!AI$5)/('Council Entry'!AI$6-'Council Entry'!AI$5),10*((IF('Council Entry'!AI$4="Logarithm",LN(0.001+IF(AND(ISNUMBER('Council Entry'!AI$8),ISNUMBER('Council Entry'!AI$9)),MAX(MIN('Council Entry'!AI40,'Council Entry'!AI$9),'Council Entry'!AI$8),'Council Entry'!AI40)),IF('Council Entry'!AI$4="Exponential",EXP(IF(AND(ISNUMBER('Council Entry'!AI$8),ISNUMBER('Council Entry'!AI$9)),MAX(MIN('Council Entry'!AI40,'Council Entry'!AI$9),'Council Entry'!AI$8),'Council Entry'!AI40)),IF(AND(ISNUMBER('Council Entry'!AI$8),ISNUMBER('Council Entry'!AI$9)),MAX(MIN('Council Entry'!AI40,'Council Entry'!AI$9),'Council Entry'!AI$8),'Council Entry'!AI40))))-'Council Entry'!AI$5)/('Council Entry'!AI$6-'Council Entry'!AI$5)),1))),"No data"))</f>
        <v/>
      </c>
      <c r="AJ40" s="13">
        <f>IF('Council Entry'!AJ40="","",IFERROR(MAX(0,MIN(10,ROUND(IF('Council Entry'!AJ$7="Decrease Risk",10-10*((IF('Council Entry'!AJ$4="Logarithm",LN(0.001+IF(AND(ISNUMBER('Council Entry'!AJ$8),ISNUMBER('Council Entry'!AJ$9)),MAX(MIN('Council Entry'!AJ40,'Council Entry'!AJ$9),'Council Entry'!AJ$8),'Council Entry'!AJ40)),IF('Council Entry'!AJ$4="Exponential",EXP(IF(AND(ISNUMBER('Council Entry'!AJ$8),ISNUMBER('Council Entry'!AJ$9)),MAX(MIN('Council Entry'!AJ40,'Council Entry'!AJ$9),'Council Entry'!AJ$8),'Council Entry'!AJ40)),IF(AND(ISNUMBER('Council Entry'!AJ$8),ISNUMBER('Council Entry'!AJ$9)),MAX(MIN('Council Entry'!AJ40,'Council Entry'!AJ$9),'Council Entry'!AJ$8),'Council Entry'!AJ40))))-'Council Entry'!AJ$5)/('Council Entry'!AJ$6-'Council Entry'!AJ$5),10*((IF('Council Entry'!AJ$4="Logarithm",LN(0.001+IF(AND(ISNUMBER('Council Entry'!AJ$8),ISNUMBER('Council Entry'!AJ$9)),MAX(MIN('Council Entry'!AJ40,'Council Entry'!AJ$9),'Council Entry'!AJ$8),'Council Entry'!AJ40)),IF('Council Entry'!AJ$4="Exponential",EXP(IF(AND(ISNUMBER('Council Entry'!AJ$8),ISNUMBER('Council Entry'!AJ$9)),MAX(MIN('Council Entry'!AJ40,'Council Entry'!AJ$9),'Council Entry'!AJ$8),'Council Entry'!AJ40)),IF(AND(ISNUMBER('Council Entry'!AJ$8),ISNUMBER('Council Entry'!AJ$9)),MAX(MIN('Council Entry'!AJ40,'Council Entry'!AJ$9),'Council Entry'!AJ$8),'Council Entry'!AJ40))))-'Council Entry'!AJ$5)/('Council Entry'!AJ$6-'Council Entry'!AJ$5)),1))),"No data"))</f>
        <v/>
      </c>
      <c r="AK40" s="13">
        <f>IF('Council Entry'!AK40="","",IFERROR(MAX(0,MIN(10,ROUND(IF('Council Entry'!AK$7="Decrease Risk",10-10*((IF('Council Entry'!AK$4="Logarithm",LN(0.001+IF(AND(ISNUMBER('Council Entry'!AK$8),ISNUMBER('Council Entry'!AK$9)),MAX(MIN('Council Entry'!AK40,'Council Entry'!AK$9),'Council Entry'!AK$8),'Council Entry'!AK40)),IF('Council Entry'!AK$4="Exponential",EXP(IF(AND(ISNUMBER('Council Entry'!AK$8),ISNUMBER('Council Entry'!AK$9)),MAX(MIN('Council Entry'!AK40,'Council Entry'!AK$9),'Council Entry'!AK$8),'Council Entry'!AK40)),IF(AND(ISNUMBER('Council Entry'!AK$8),ISNUMBER('Council Entry'!AK$9)),MAX(MIN('Council Entry'!AK40,'Council Entry'!AK$9),'Council Entry'!AK$8),'Council Entry'!AK40))))-'Council Entry'!AK$5)/('Council Entry'!AK$6-'Council Entry'!AK$5),10*((IF('Council Entry'!AK$4="Logarithm",LN(0.001+IF(AND(ISNUMBER('Council Entry'!AK$8),ISNUMBER('Council Entry'!AK$9)),MAX(MIN('Council Entry'!AK40,'Council Entry'!AK$9),'Council Entry'!AK$8),'Council Entry'!AK40)),IF('Council Entry'!AK$4="Exponential",EXP(IF(AND(ISNUMBER('Council Entry'!AK$8),ISNUMBER('Council Entry'!AK$9)),MAX(MIN('Council Entry'!AK40,'Council Entry'!AK$9),'Council Entry'!AK$8),'Council Entry'!AK40)),IF(AND(ISNUMBER('Council Entry'!AK$8),ISNUMBER('Council Entry'!AK$9)),MAX(MIN('Council Entry'!AK40,'Council Entry'!AK$9),'Council Entry'!AK$8),'Council Entry'!AK40))))-'Council Entry'!AK$5)/('Council Entry'!AK$6-'Council Entry'!AK$5)),1))),"No data"))</f>
        <v/>
      </c>
      <c r="AL40" s="13">
        <f>IF('Council Entry'!AL40="","",IFERROR(MAX(0,MIN(10,ROUND(IF('Council Entry'!AL$7="Decrease Risk",10-10*((IF('Council Entry'!AL$4="Logarithm",LN(0.001+IF(AND(ISNUMBER('Council Entry'!AL$8),ISNUMBER('Council Entry'!AL$9)),MAX(MIN('Council Entry'!AL40,'Council Entry'!AL$9),'Council Entry'!AL$8),'Council Entry'!AL40)),IF('Council Entry'!AL$4="Exponential",EXP(IF(AND(ISNUMBER('Council Entry'!AL$8),ISNUMBER('Council Entry'!AL$9)),MAX(MIN('Council Entry'!AL40,'Council Entry'!AL$9),'Council Entry'!AL$8),'Council Entry'!AL40)),IF(AND(ISNUMBER('Council Entry'!AL$8),ISNUMBER('Council Entry'!AL$9)),MAX(MIN('Council Entry'!AL40,'Council Entry'!AL$9),'Council Entry'!AL$8),'Council Entry'!AL40))))-'Council Entry'!AL$5)/('Council Entry'!AL$6-'Council Entry'!AL$5),10*((IF('Council Entry'!AL$4="Logarithm",LN(0.001+IF(AND(ISNUMBER('Council Entry'!AL$8),ISNUMBER('Council Entry'!AL$9)),MAX(MIN('Council Entry'!AL40,'Council Entry'!AL$9),'Council Entry'!AL$8),'Council Entry'!AL40)),IF('Council Entry'!AL$4="Exponential",EXP(IF(AND(ISNUMBER('Council Entry'!AL$8),ISNUMBER('Council Entry'!AL$9)),MAX(MIN('Council Entry'!AL40,'Council Entry'!AL$9),'Council Entry'!AL$8),'Council Entry'!AL40)),IF(AND(ISNUMBER('Council Entry'!AL$8),ISNUMBER('Council Entry'!AL$9)),MAX(MIN('Council Entry'!AL40,'Council Entry'!AL$9),'Council Entry'!AL$8),'Council Entry'!AL40))))-'Council Entry'!AL$5)/('Council Entry'!AL$6-'Council Entry'!AL$5)),1))),"No data"))</f>
        <v/>
      </c>
      <c r="AM40" s="13">
        <f>IF('Council Entry'!AM40="","",IFERROR(MAX(0,MIN(10,ROUND(IF('Council Entry'!AM$7="Decrease Risk",10-10*((IF('Council Entry'!AM$4="Logarithm",LN(0.001+IF(AND(ISNUMBER('Council Entry'!AM$8),ISNUMBER('Council Entry'!AM$9)),MAX(MIN('Council Entry'!AM40,'Council Entry'!AM$9),'Council Entry'!AM$8),'Council Entry'!AM40)),IF('Council Entry'!AM$4="Exponential",EXP(IF(AND(ISNUMBER('Council Entry'!AM$8),ISNUMBER('Council Entry'!AM$9)),MAX(MIN('Council Entry'!AM40,'Council Entry'!AM$9),'Council Entry'!AM$8),'Council Entry'!AM40)),IF(AND(ISNUMBER('Council Entry'!AM$8),ISNUMBER('Council Entry'!AM$9)),MAX(MIN('Council Entry'!AM40,'Council Entry'!AM$9),'Council Entry'!AM$8),'Council Entry'!AM40))))-'Council Entry'!AM$5)/('Council Entry'!AM$6-'Council Entry'!AM$5),10*((IF('Council Entry'!AM$4="Logarithm",LN(0.001+IF(AND(ISNUMBER('Council Entry'!AM$8),ISNUMBER('Council Entry'!AM$9)),MAX(MIN('Council Entry'!AM40,'Council Entry'!AM$9),'Council Entry'!AM$8),'Council Entry'!AM40)),IF('Council Entry'!AM$4="Exponential",EXP(IF(AND(ISNUMBER('Council Entry'!AM$8),ISNUMBER('Council Entry'!AM$9)),MAX(MIN('Council Entry'!AM40,'Council Entry'!AM$9),'Council Entry'!AM$8),'Council Entry'!AM40)),IF(AND(ISNUMBER('Council Entry'!AM$8),ISNUMBER('Council Entry'!AM$9)),MAX(MIN('Council Entry'!AM40,'Council Entry'!AM$9),'Council Entry'!AM$8),'Council Entry'!AM40))))-'Council Entry'!AM$5)/('Council Entry'!AM$6-'Council Entry'!AM$5)),1))),"No data"))</f>
        <v/>
      </c>
      <c r="AN40" s="13">
        <f>IF('Council Entry'!AN40="","",IFERROR(MAX(0,MIN(10,ROUND(IF('Council Entry'!AN$7="Decrease Risk",10-10*((IF('Council Entry'!AN$4="Logarithm",LN(0.001+IF(AND(ISNUMBER('Council Entry'!AN$8),ISNUMBER('Council Entry'!AN$9)),MAX(MIN('Council Entry'!AN40,'Council Entry'!AN$9),'Council Entry'!AN$8),'Council Entry'!AN40)),IF('Council Entry'!AN$4="Exponential",EXP(IF(AND(ISNUMBER('Council Entry'!AN$8),ISNUMBER('Council Entry'!AN$9)),MAX(MIN('Council Entry'!AN40,'Council Entry'!AN$9),'Council Entry'!AN$8),'Council Entry'!AN40)),IF(AND(ISNUMBER('Council Entry'!AN$8),ISNUMBER('Council Entry'!AN$9)),MAX(MIN('Council Entry'!AN40,'Council Entry'!AN$9),'Council Entry'!AN$8),'Council Entry'!AN40))))-'Council Entry'!AN$5)/('Council Entry'!AN$6-'Council Entry'!AN$5),10*((IF('Council Entry'!AN$4="Logarithm",LN(0.001+IF(AND(ISNUMBER('Council Entry'!AN$8),ISNUMBER('Council Entry'!AN$9)),MAX(MIN('Council Entry'!AN40,'Council Entry'!AN$9),'Council Entry'!AN$8),'Council Entry'!AN40)),IF('Council Entry'!AN$4="Exponential",EXP(IF(AND(ISNUMBER('Council Entry'!AN$8),ISNUMBER('Council Entry'!AN$9)),MAX(MIN('Council Entry'!AN40,'Council Entry'!AN$9),'Council Entry'!AN$8),'Council Entry'!AN40)),IF(AND(ISNUMBER('Council Entry'!AN$8),ISNUMBER('Council Entry'!AN$9)),MAX(MIN('Council Entry'!AN40,'Council Entry'!AN$9),'Council Entry'!AN$8),'Council Entry'!AN40))))-'Council Entry'!AN$5)/('Council Entry'!AN$6-'Council Entry'!AN$5)),1))),"No data"))</f>
        <v/>
      </c>
      <c r="AO40" s="13">
        <f>IF('Council Entry'!AO40="","",IFERROR(MAX(0,MIN(10,ROUND(IF('Council Entry'!AO$7="Decrease Risk",10-10*((IF('Council Entry'!AO$4="Logarithm",LN(0.001+IF(AND(ISNUMBER('Council Entry'!AO$8),ISNUMBER('Council Entry'!AO$9)),MAX(MIN('Council Entry'!AO40,'Council Entry'!AO$9),'Council Entry'!AO$8),'Council Entry'!AO40)),IF('Council Entry'!AO$4="Exponential",EXP(IF(AND(ISNUMBER('Council Entry'!AO$8),ISNUMBER('Council Entry'!AO$9)),MAX(MIN('Council Entry'!AO40,'Council Entry'!AO$9),'Council Entry'!AO$8),'Council Entry'!AO40)),IF(AND(ISNUMBER('Council Entry'!AO$8),ISNUMBER('Council Entry'!AO$9)),MAX(MIN('Council Entry'!AO40,'Council Entry'!AO$9),'Council Entry'!AO$8),'Council Entry'!AO40))))-'Council Entry'!AO$5)/('Council Entry'!AO$6-'Council Entry'!AO$5),10*((IF('Council Entry'!AO$4="Logarithm",LN(0.001+IF(AND(ISNUMBER('Council Entry'!AO$8),ISNUMBER('Council Entry'!AO$9)),MAX(MIN('Council Entry'!AO40,'Council Entry'!AO$9),'Council Entry'!AO$8),'Council Entry'!AO40)),IF('Council Entry'!AO$4="Exponential",EXP(IF(AND(ISNUMBER('Council Entry'!AO$8),ISNUMBER('Council Entry'!AO$9)),MAX(MIN('Council Entry'!AO40,'Council Entry'!AO$9),'Council Entry'!AO$8),'Council Entry'!AO40)),IF(AND(ISNUMBER('Council Entry'!AO$8),ISNUMBER('Council Entry'!AO$9)),MAX(MIN('Council Entry'!AO40,'Council Entry'!AO$9),'Council Entry'!AO$8),'Council Entry'!AO40))))-'Council Entry'!AO$5)/('Council Entry'!AO$6-'Council Entry'!AO$5)),1))),"No data"))</f>
        <v/>
      </c>
      <c r="AP40" s="13">
        <f>IF('Council Entry'!AP40="","",IFERROR(MAX(0,MIN(10,ROUND(IF('Council Entry'!AP$7="Decrease Risk",10-10*((IF('Council Entry'!AP$4="Logarithm",LN(0.001+IF(AND(ISNUMBER('Council Entry'!AP$8),ISNUMBER('Council Entry'!AP$9)),MAX(MIN('Council Entry'!AP40,'Council Entry'!AP$9),'Council Entry'!AP$8),'Council Entry'!AP40)),IF('Council Entry'!AP$4="Exponential",EXP(IF(AND(ISNUMBER('Council Entry'!AP$8),ISNUMBER('Council Entry'!AP$9)),MAX(MIN('Council Entry'!AP40,'Council Entry'!AP$9),'Council Entry'!AP$8),'Council Entry'!AP40)),IF(AND(ISNUMBER('Council Entry'!AP$8),ISNUMBER('Council Entry'!AP$9)),MAX(MIN('Council Entry'!AP40,'Council Entry'!AP$9),'Council Entry'!AP$8),'Council Entry'!AP40))))-'Council Entry'!AP$5)/('Council Entry'!AP$6-'Council Entry'!AP$5),10*((IF('Council Entry'!AP$4="Logarithm",LN(0.001+IF(AND(ISNUMBER('Council Entry'!AP$8),ISNUMBER('Council Entry'!AP$9)),MAX(MIN('Council Entry'!AP40,'Council Entry'!AP$9),'Council Entry'!AP$8),'Council Entry'!AP40)),IF('Council Entry'!AP$4="Exponential",EXP(IF(AND(ISNUMBER('Council Entry'!AP$8),ISNUMBER('Council Entry'!AP$9)),MAX(MIN('Council Entry'!AP40,'Council Entry'!AP$9),'Council Entry'!AP$8),'Council Entry'!AP40)),IF(AND(ISNUMBER('Council Entry'!AP$8),ISNUMBER('Council Entry'!AP$9)),MAX(MIN('Council Entry'!AP40,'Council Entry'!AP$9),'Council Entry'!AP$8),'Council Entry'!AP40))))-'Council Entry'!AP$5)/('Council Entry'!AP$6-'Council Entry'!AP$5)),1))),"No data"))</f>
        <v/>
      </c>
      <c r="AQ40" s="13">
        <f>IF('Council Entry'!AQ40="","",IFERROR(MAX(0,MIN(10,ROUND(IF('Council Entry'!AQ$7="Decrease Risk",10-10*((IF('Council Entry'!AQ$4="Logarithm",LN(0.001+IF(AND(ISNUMBER('Council Entry'!AQ$8),ISNUMBER('Council Entry'!AQ$9)),MAX(MIN('Council Entry'!AQ40,'Council Entry'!AQ$9),'Council Entry'!AQ$8),'Council Entry'!AQ40)),IF('Council Entry'!AQ$4="Exponential",EXP(IF(AND(ISNUMBER('Council Entry'!AQ$8),ISNUMBER('Council Entry'!AQ$9)),MAX(MIN('Council Entry'!AQ40,'Council Entry'!AQ$9),'Council Entry'!AQ$8),'Council Entry'!AQ40)),IF(AND(ISNUMBER('Council Entry'!AQ$8),ISNUMBER('Council Entry'!AQ$9)),MAX(MIN('Council Entry'!AQ40,'Council Entry'!AQ$9),'Council Entry'!AQ$8),'Council Entry'!AQ40))))-'Council Entry'!AQ$5)/('Council Entry'!AQ$6-'Council Entry'!AQ$5),10*((IF('Council Entry'!AQ$4="Logarithm",LN(0.001+IF(AND(ISNUMBER('Council Entry'!AQ$8),ISNUMBER('Council Entry'!AQ$9)),MAX(MIN('Council Entry'!AQ40,'Council Entry'!AQ$9),'Council Entry'!AQ$8),'Council Entry'!AQ40)),IF('Council Entry'!AQ$4="Exponential",EXP(IF(AND(ISNUMBER('Council Entry'!AQ$8),ISNUMBER('Council Entry'!AQ$9)),MAX(MIN('Council Entry'!AQ40,'Council Entry'!AQ$9),'Council Entry'!AQ$8),'Council Entry'!AQ40)),IF(AND(ISNUMBER('Council Entry'!AQ$8),ISNUMBER('Council Entry'!AQ$9)),MAX(MIN('Council Entry'!AQ40,'Council Entry'!AQ$9),'Council Entry'!AQ$8),'Council Entry'!AQ40))))-'Council Entry'!AQ$5)/('Council Entry'!AQ$6-'Council Entry'!AQ$5)),1))),"No data"))</f>
        <v/>
      </c>
      <c r="AR40" s="13">
        <f>IF('Council Entry'!AR40="","",IFERROR(MAX(0,MIN(10,ROUND(IF('Council Entry'!AR$7="Decrease Risk",10-10*((IF('Council Entry'!AR$4="Logarithm",LN(0.001+IF(AND(ISNUMBER('Council Entry'!AR$8),ISNUMBER('Council Entry'!AR$9)),MAX(MIN('Council Entry'!AR40,'Council Entry'!AR$9),'Council Entry'!AR$8),'Council Entry'!AR40)),IF('Council Entry'!AR$4="Exponential",EXP(IF(AND(ISNUMBER('Council Entry'!AR$8),ISNUMBER('Council Entry'!AR$9)),MAX(MIN('Council Entry'!AR40,'Council Entry'!AR$9),'Council Entry'!AR$8),'Council Entry'!AR40)),IF(AND(ISNUMBER('Council Entry'!AR$8),ISNUMBER('Council Entry'!AR$9)),MAX(MIN('Council Entry'!AR40,'Council Entry'!AR$9),'Council Entry'!AR$8),'Council Entry'!AR40))))-'Council Entry'!AR$5)/('Council Entry'!AR$6-'Council Entry'!AR$5),10*((IF('Council Entry'!AR$4="Logarithm",LN(0.001+IF(AND(ISNUMBER('Council Entry'!AR$8),ISNUMBER('Council Entry'!AR$9)),MAX(MIN('Council Entry'!AR40,'Council Entry'!AR$9),'Council Entry'!AR$8),'Council Entry'!AR40)),IF('Council Entry'!AR$4="Exponential",EXP(IF(AND(ISNUMBER('Council Entry'!AR$8),ISNUMBER('Council Entry'!AR$9)),MAX(MIN('Council Entry'!AR40,'Council Entry'!AR$9),'Council Entry'!AR$8),'Council Entry'!AR40)),IF(AND(ISNUMBER('Council Entry'!AR$8),ISNUMBER('Council Entry'!AR$9)),MAX(MIN('Council Entry'!AR40,'Council Entry'!AR$9),'Council Entry'!AR$8),'Council Entry'!AR40))))-'Council Entry'!AR$5)/('Council Entry'!AR$6-'Council Entry'!AR$5)),1))),"No data"))</f>
        <v/>
      </c>
      <c r="AS40" s="13">
        <f>IF('Council Entry'!AS40="","",IFERROR(MAX(0,MIN(10,ROUND(IF('Council Entry'!AS$7="Decrease Risk",10-10*((IF('Council Entry'!AS$4="Logarithm",LN(0.001+IF(AND(ISNUMBER('Council Entry'!AS$8),ISNUMBER('Council Entry'!AS$9)),MAX(MIN('Council Entry'!AS40,'Council Entry'!AS$9),'Council Entry'!AS$8),'Council Entry'!AS40)),IF('Council Entry'!AS$4="Exponential",EXP(IF(AND(ISNUMBER('Council Entry'!AS$8),ISNUMBER('Council Entry'!AS$9)),MAX(MIN('Council Entry'!AS40,'Council Entry'!AS$9),'Council Entry'!AS$8),'Council Entry'!AS40)),IF(AND(ISNUMBER('Council Entry'!AS$8),ISNUMBER('Council Entry'!AS$9)),MAX(MIN('Council Entry'!AS40,'Council Entry'!AS$9),'Council Entry'!AS$8),'Council Entry'!AS40))))-'Council Entry'!AS$5)/('Council Entry'!AS$6-'Council Entry'!AS$5),10*((IF('Council Entry'!AS$4="Logarithm",LN(0.001+IF(AND(ISNUMBER('Council Entry'!AS$8),ISNUMBER('Council Entry'!AS$9)),MAX(MIN('Council Entry'!AS40,'Council Entry'!AS$9),'Council Entry'!AS$8),'Council Entry'!AS40)),IF('Council Entry'!AS$4="Exponential",EXP(IF(AND(ISNUMBER('Council Entry'!AS$8),ISNUMBER('Council Entry'!AS$9)),MAX(MIN('Council Entry'!AS40,'Council Entry'!AS$9),'Council Entry'!AS$8),'Council Entry'!AS40)),IF(AND(ISNUMBER('Council Entry'!AS$8),ISNUMBER('Council Entry'!AS$9)),MAX(MIN('Council Entry'!AS40,'Council Entry'!AS$9),'Council Entry'!AS$8),'Council Entry'!AS40))))-'Council Entry'!AS$5)/('Council Entry'!AS$6-'Council Entry'!AS$5)),1))),"No data"))</f>
        <v/>
      </c>
      <c r="AT40" s="13">
        <f>IF('Council Entry'!AT40="","",IFERROR(MAX(0,MIN(10,ROUND(IF('Council Entry'!AT$7="Decrease Risk",10-10*((IF('Council Entry'!AT$4="Logarithm",LN(0.001+IF(AND(ISNUMBER('Council Entry'!AT$8),ISNUMBER('Council Entry'!AT$9)),MAX(MIN('Council Entry'!AT40,'Council Entry'!AT$9),'Council Entry'!AT$8),'Council Entry'!AT40)),IF('Council Entry'!AT$4="Exponential",EXP(IF(AND(ISNUMBER('Council Entry'!AT$8),ISNUMBER('Council Entry'!AT$9)),MAX(MIN('Council Entry'!AT40,'Council Entry'!AT$9),'Council Entry'!AT$8),'Council Entry'!AT40)),IF(AND(ISNUMBER('Council Entry'!AT$8),ISNUMBER('Council Entry'!AT$9)),MAX(MIN('Council Entry'!AT40,'Council Entry'!AT$9),'Council Entry'!AT$8),'Council Entry'!AT40))))-'Council Entry'!AT$5)/('Council Entry'!AT$6-'Council Entry'!AT$5),10*((IF('Council Entry'!AT$4="Logarithm",LN(0.001+IF(AND(ISNUMBER('Council Entry'!AT$8),ISNUMBER('Council Entry'!AT$9)),MAX(MIN('Council Entry'!AT40,'Council Entry'!AT$9),'Council Entry'!AT$8),'Council Entry'!AT40)),IF('Council Entry'!AT$4="Exponential",EXP(IF(AND(ISNUMBER('Council Entry'!AT$8),ISNUMBER('Council Entry'!AT$9)),MAX(MIN('Council Entry'!AT40,'Council Entry'!AT$9),'Council Entry'!AT$8),'Council Entry'!AT40)),IF(AND(ISNUMBER('Council Entry'!AT$8),ISNUMBER('Council Entry'!AT$9)),MAX(MIN('Council Entry'!AT40,'Council Entry'!AT$9),'Council Entry'!AT$8),'Council Entry'!AT40))))-'Council Entry'!AT$5)/('Council Entry'!AT$6-'Council Entry'!AT$5)),1))),"No data"))</f>
        <v/>
      </c>
      <c r="AU40" s="13">
        <f>IF('Council Entry'!AU40="","",IFERROR(MAX(0,MIN(10,ROUND(IF('Council Entry'!AU$7="Decrease Risk",10-10*((IF('Council Entry'!AU$4="Logarithm",LN(0.001+IF(AND(ISNUMBER('Council Entry'!AU$8),ISNUMBER('Council Entry'!AU$9)),MAX(MIN('Council Entry'!AU40,'Council Entry'!AU$9),'Council Entry'!AU$8),'Council Entry'!AU40)),IF('Council Entry'!AU$4="Exponential",EXP(IF(AND(ISNUMBER('Council Entry'!AU$8),ISNUMBER('Council Entry'!AU$9)),MAX(MIN('Council Entry'!AU40,'Council Entry'!AU$9),'Council Entry'!AU$8),'Council Entry'!AU40)),IF(AND(ISNUMBER('Council Entry'!AU$8),ISNUMBER('Council Entry'!AU$9)),MAX(MIN('Council Entry'!AU40,'Council Entry'!AU$9),'Council Entry'!AU$8),'Council Entry'!AU40))))-'Council Entry'!AU$5)/('Council Entry'!AU$6-'Council Entry'!AU$5),10*((IF('Council Entry'!AU$4="Logarithm",LN(0.001+IF(AND(ISNUMBER('Council Entry'!AU$8),ISNUMBER('Council Entry'!AU$9)),MAX(MIN('Council Entry'!AU40,'Council Entry'!AU$9),'Council Entry'!AU$8),'Council Entry'!AU40)),IF('Council Entry'!AU$4="Exponential",EXP(IF(AND(ISNUMBER('Council Entry'!AU$8),ISNUMBER('Council Entry'!AU$9)),MAX(MIN('Council Entry'!AU40,'Council Entry'!AU$9),'Council Entry'!AU$8),'Council Entry'!AU40)),IF(AND(ISNUMBER('Council Entry'!AU$8),ISNUMBER('Council Entry'!AU$9)),MAX(MIN('Council Entry'!AU40,'Council Entry'!AU$9),'Council Entry'!AU$8),'Council Entry'!AU40))))-'Council Entry'!AU$5)/('Council Entry'!AU$6-'Council Entry'!AU$5)),1))),"No data"))</f>
        <v/>
      </c>
      <c r="AV40" s="13">
        <f>IF('Council Entry'!AV40="","",IFERROR(MAX(0,MIN(10,ROUND(IF('Council Entry'!AV$7="Decrease Risk",10-10*((IF('Council Entry'!AV$4="Logarithm",LN(0.001+IF(AND(ISNUMBER('Council Entry'!AV$8),ISNUMBER('Council Entry'!AV$9)),MAX(MIN('Council Entry'!AV40,'Council Entry'!AV$9),'Council Entry'!AV$8),'Council Entry'!AV40)),IF('Council Entry'!AV$4="Exponential",EXP(IF(AND(ISNUMBER('Council Entry'!AV$8),ISNUMBER('Council Entry'!AV$9)),MAX(MIN('Council Entry'!AV40,'Council Entry'!AV$9),'Council Entry'!AV$8),'Council Entry'!AV40)),IF(AND(ISNUMBER('Council Entry'!AV$8),ISNUMBER('Council Entry'!AV$9)),MAX(MIN('Council Entry'!AV40,'Council Entry'!AV$9),'Council Entry'!AV$8),'Council Entry'!AV40))))-'Council Entry'!AV$5)/('Council Entry'!AV$6-'Council Entry'!AV$5),10*((IF('Council Entry'!AV$4="Logarithm",LN(0.001+IF(AND(ISNUMBER('Council Entry'!AV$8),ISNUMBER('Council Entry'!AV$9)),MAX(MIN('Council Entry'!AV40,'Council Entry'!AV$9),'Council Entry'!AV$8),'Council Entry'!AV40)),IF('Council Entry'!AV$4="Exponential",EXP(IF(AND(ISNUMBER('Council Entry'!AV$8),ISNUMBER('Council Entry'!AV$9)),MAX(MIN('Council Entry'!AV40,'Council Entry'!AV$9),'Council Entry'!AV$8),'Council Entry'!AV40)),IF(AND(ISNUMBER('Council Entry'!AV$8),ISNUMBER('Council Entry'!AV$9)),MAX(MIN('Council Entry'!AV40,'Council Entry'!AV$9),'Council Entry'!AV$8),'Council Entry'!AV40))))-'Council Entry'!AV$5)/('Council Entry'!AV$6-'Council Entry'!AV$5)),1))),"No data"))</f>
        <v/>
      </c>
      <c r="AW40" s="13">
        <f>IF('Council Entry'!AW40="","",IFERROR(MAX(0,MIN(10,ROUND(IF('Council Entry'!AW$7="Decrease Risk",10-10*((IF('Council Entry'!AW$4="Logarithm",LN(0.001+IF(AND(ISNUMBER('Council Entry'!AW$8),ISNUMBER('Council Entry'!AW$9)),MAX(MIN('Council Entry'!AW40,'Council Entry'!AW$9),'Council Entry'!AW$8),'Council Entry'!AW40)),IF('Council Entry'!AW$4="Exponential",EXP(IF(AND(ISNUMBER('Council Entry'!AW$8),ISNUMBER('Council Entry'!AW$9)),MAX(MIN('Council Entry'!AW40,'Council Entry'!AW$9),'Council Entry'!AW$8),'Council Entry'!AW40)),IF(AND(ISNUMBER('Council Entry'!AW$8),ISNUMBER('Council Entry'!AW$9)),MAX(MIN('Council Entry'!AW40,'Council Entry'!AW$9),'Council Entry'!AW$8),'Council Entry'!AW40))))-'Council Entry'!AW$5)/('Council Entry'!AW$6-'Council Entry'!AW$5),10*((IF('Council Entry'!AW$4="Logarithm",LN(0.001+IF(AND(ISNUMBER('Council Entry'!AW$8),ISNUMBER('Council Entry'!AW$9)),MAX(MIN('Council Entry'!AW40,'Council Entry'!AW$9),'Council Entry'!AW$8),'Council Entry'!AW40)),IF('Council Entry'!AW$4="Exponential",EXP(IF(AND(ISNUMBER('Council Entry'!AW$8),ISNUMBER('Council Entry'!AW$9)),MAX(MIN('Council Entry'!AW40,'Council Entry'!AW$9),'Council Entry'!AW$8),'Council Entry'!AW40)),IF(AND(ISNUMBER('Council Entry'!AW$8),ISNUMBER('Council Entry'!AW$9)),MAX(MIN('Council Entry'!AW40,'Council Entry'!AW$9),'Council Entry'!AW$8),'Council Entry'!AW40))))-'Council Entry'!AW$5)/('Council Entry'!AW$6-'Council Entry'!AW$5)),1))),"No data"))</f>
        <v/>
      </c>
      <c r="AX40" s="13">
        <f>IF('Council Entry'!AX40="","",IFERROR(MAX(0,MIN(10,ROUND(IF('Council Entry'!AX$7="Decrease Risk",10-10*((IF('Council Entry'!AX$4="Logarithm",LN(0.001+IF(AND(ISNUMBER('Council Entry'!AX$8),ISNUMBER('Council Entry'!AX$9)),MAX(MIN('Council Entry'!AX40,'Council Entry'!AX$9),'Council Entry'!AX$8),'Council Entry'!AX40)),IF('Council Entry'!AX$4="Exponential",EXP(IF(AND(ISNUMBER('Council Entry'!AX$8),ISNUMBER('Council Entry'!AX$9)),MAX(MIN('Council Entry'!AX40,'Council Entry'!AX$9),'Council Entry'!AX$8),'Council Entry'!AX40)),IF(AND(ISNUMBER('Council Entry'!AX$8),ISNUMBER('Council Entry'!AX$9)),MAX(MIN('Council Entry'!AX40,'Council Entry'!AX$9),'Council Entry'!AX$8),'Council Entry'!AX40))))-'Council Entry'!AX$5)/('Council Entry'!AX$6-'Council Entry'!AX$5),10*((IF('Council Entry'!AX$4="Logarithm",LN(0.001+IF(AND(ISNUMBER('Council Entry'!AX$8),ISNUMBER('Council Entry'!AX$9)),MAX(MIN('Council Entry'!AX40,'Council Entry'!AX$9),'Council Entry'!AX$8),'Council Entry'!AX40)),IF('Council Entry'!AX$4="Exponential",EXP(IF(AND(ISNUMBER('Council Entry'!AX$8),ISNUMBER('Council Entry'!AX$9)),MAX(MIN('Council Entry'!AX40,'Council Entry'!AX$9),'Council Entry'!AX$8),'Council Entry'!AX40)),IF(AND(ISNUMBER('Council Entry'!AX$8),ISNUMBER('Council Entry'!AX$9)),MAX(MIN('Council Entry'!AX40,'Council Entry'!AX$9),'Council Entry'!AX$8),'Council Entry'!AX40))))-'Council Entry'!AX$5)/('Council Entry'!AX$6-'Council Entry'!AX$5)),1))),"No data"))</f>
        <v/>
      </c>
      <c r="AY40" s="13">
        <f>IF('Council Entry'!AY40="","",IFERROR(MAX(0,MIN(10,ROUND(IF('Council Entry'!AY$7="Decrease Risk",10-10*((IF('Council Entry'!AY$4="Logarithm",LN(0.001+IF(AND(ISNUMBER('Council Entry'!AY$8),ISNUMBER('Council Entry'!AY$9)),MAX(MIN('Council Entry'!AY40,'Council Entry'!AY$9),'Council Entry'!AY$8),'Council Entry'!AY40)),IF('Council Entry'!AY$4="Exponential",EXP(IF(AND(ISNUMBER('Council Entry'!AY$8),ISNUMBER('Council Entry'!AY$9)),MAX(MIN('Council Entry'!AY40,'Council Entry'!AY$9),'Council Entry'!AY$8),'Council Entry'!AY40)),IF(AND(ISNUMBER('Council Entry'!AY$8),ISNUMBER('Council Entry'!AY$9)),MAX(MIN('Council Entry'!AY40,'Council Entry'!AY$9),'Council Entry'!AY$8),'Council Entry'!AY40))))-'Council Entry'!AY$5)/('Council Entry'!AY$6-'Council Entry'!AY$5),10*((IF('Council Entry'!AY$4="Logarithm",LN(0.001+IF(AND(ISNUMBER('Council Entry'!AY$8),ISNUMBER('Council Entry'!AY$9)),MAX(MIN('Council Entry'!AY40,'Council Entry'!AY$9),'Council Entry'!AY$8),'Council Entry'!AY40)),IF('Council Entry'!AY$4="Exponential",EXP(IF(AND(ISNUMBER('Council Entry'!AY$8),ISNUMBER('Council Entry'!AY$9)),MAX(MIN('Council Entry'!AY40,'Council Entry'!AY$9),'Council Entry'!AY$8),'Council Entry'!AY40)),IF(AND(ISNUMBER('Council Entry'!AY$8),ISNUMBER('Council Entry'!AY$9)),MAX(MIN('Council Entry'!AY40,'Council Entry'!AY$9),'Council Entry'!AY$8),'Council Entry'!AY40))))-'Council Entry'!AY$5)/('Council Entry'!AY$6-'Council Entry'!AY$5)),1))),"No data"))</f>
        <v/>
      </c>
      <c r="AZ40" s="13">
        <f>IF('Council Entry'!AZ40="","",IFERROR(MAX(0,MIN(10,ROUND(IF('Council Entry'!AZ$7="Decrease Risk",10-10*((IF('Council Entry'!AZ$4="Logarithm",LN(0.001+IF(AND(ISNUMBER('Council Entry'!AZ$8),ISNUMBER('Council Entry'!AZ$9)),MAX(MIN('Council Entry'!AZ40,'Council Entry'!AZ$9),'Council Entry'!AZ$8),'Council Entry'!AZ40)),IF('Council Entry'!AZ$4="Exponential",EXP(IF(AND(ISNUMBER('Council Entry'!AZ$8),ISNUMBER('Council Entry'!AZ$9)),MAX(MIN('Council Entry'!AZ40,'Council Entry'!AZ$9),'Council Entry'!AZ$8),'Council Entry'!AZ40)),IF(AND(ISNUMBER('Council Entry'!AZ$8),ISNUMBER('Council Entry'!AZ$9)),MAX(MIN('Council Entry'!AZ40,'Council Entry'!AZ$9),'Council Entry'!AZ$8),'Council Entry'!AZ40))))-'Council Entry'!AZ$5)/('Council Entry'!AZ$6-'Council Entry'!AZ$5),10*((IF('Council Entry'!AZ$4="Logarithm",LN(0.001+IF(AND(ISNUMBER('Council Entry'!AZ$8),ISNUMBER('Council Entry'!AZ$9)),MAX(MIN('Council Entry'!AZ40,'Council Entry'!AZ$9),'Council Entry'!AZ$8),'Council Entry'!AZ40)),IF('Council Entry'!AZ$4="Exponential",EXP(IF(AND(ISNUMBER('Council Entry'!AZ$8),ISNUMBER('Council Entry'!AZ$9)),MAX(MIN('Council Entry'!AZ40,'Council Entry'!AZ$9),'Council Entry'!AZ$8),'Council Entry'!AZ40)),IF(AND(ISNUMBER('Council Entry'!AZ$8),ISNUMBER('Council Entry'!AZ$9)),MAX(MIN('Council Entry'!AZ40,'Council Entry'!AZ$9),'Council Entry'!AZ$8),'Council Entry'!AZ40))))-'Council Entry'!AZ$5)/('Council Entry'!AZ$6-'Council Entry'!AZ$5)),1))),"No data"))</f>
        <v/>
      </c>
      <c r="BA40" s="13">
        <f>IF('Council Entry'!BA40="","",IFERROR(MAX(0,MIN(10,ROUND(IF('Council Entry'!BA$7="Decrease Risk",10-10*((IF('Council Entry'!BA$4="Logarithm",LN(0.001+IF(AND(ISNUMBER('Council Entry'!BA$8),ISNUMBER('Council Entry'!BA$9)),MAX(MIN('Council Entry'!BA40,'Council Entry'!BA$9),'Council Entry'!BA$8),'Council Entry'!BA40)),IF('Council Entry'!BA$4="Exponential",EXP(IF(AND(ISNUMBER('Council Entry'!BA$8),ISNUMBER('Council Entry'!BA$9)),MAX(MIN('Council Entry'!BA40,'Council Entry'!BA$9),'Council Entry'!BA$8),'Council Entry'!BA40)),IF(AND(ISNUMBER('Council Entry'!BA$8),ISNUMBER('Council Entry'!BA$9)),MAX(MIN('Council Entry'!BA40,'Council Entry'!BA$9),'Council Entry'!BA$8),'Council Entry'!BA40))))-'Council Entry'!BA$5)/('Council Entry'!BA$6-'Council Entry'!BA$5),10*((IF('Council Entry'!BA$4="Logarithm",LN(0.001+IF(AND(ISNUMBER('Council Entry'!BA$8),ISNUMBER('Council Entry'!BA$9)),MAX(MIN('Council Entry'!BA40,'Council Entry'!BA$9),'Council Entry'!BA$8),'Council Entry'!BA40)),IF('Council Entry'!BA$4="Exponential",EXP(IF(AND(ISNUMBER('Council Entry'!BA$8),ISNUMBER('Council Entry'!BA$9)),MAX(MIN('Council Entry'!BA40,'Council Entry'!BA$9),'Council Entry'!BA$8),'Council Entry'!BA40)),IF(AND(ISNUMBER('Council Entry'!BA$8),ISNUMBER('Council Entry'!BA$9)),MAX(MIN('Council Entry'!BA40,'Council Entry'!BA$9),'Council Entry'!BA$8),'Council Entry'!BA40))))-'Council Entry'!BA$5)/('Council Entry'!BA$6-'Council Entry'!BA$5)),1))),"No data"))</f>
        <v/>
      </c>
      <c r="BB40" s="13">
        <f>IF('Council Entry'!BB40="","",IFERROR(MAX(0,MIN(10,ROUND(IF('Council Entry'!BB$7="Decrease Risk",10-10*((IF('Council Entry'!BB$4="Logarithm",LN(0.001+IF(AND(ISNUMBER('Council Entry'!BB$8),ISNUMBER('Council Entry'!BB$9)),MAX(MIN('Council Entry'!BB40,'Council Entry'!BB$9),'Council Entry'!BB$8),'Council Entry'!BB40)),IF('Council Entry'!BB$4="Exponential",EXP(IF(AND(ISNUMBER('Council Entry'!BB$8),ISNUMBER('Council Entry'!BB$9)),MAX(MIN('Council Entry'!BB40,'Council Entry'!BB$9),'Council Entry'!BB$8),'Council Entry'!BB40)),IF(AND(ISNUMBER('Council Entry'!BB$8),ISNUMBER('Council Entry'!BB$9)),MAX(MIN('Council Entry'!BB40,'Council Entry'!BB$9),'Council Entry'!BB$8),'Council Entry'!BB40))))-'Council Entry'!BB$5)/('Council Entry'!BB$6-'Council Entry'!BB$5),10*((IF('Council Entry'!BB$4="Logarithm",LN(0.001+IF(AND(ISNUMBER('Council Entry'!BB$8),ISNUMBER('Council Entry'!BB$9)),MAX(MIN('Council Entry'!BB40,'Council Entry'!BB$9),'Council Entry'!BB$8),'Council Entry'!BB40)),IF('Council Entry'!BB$4="Exponential",EXP(IF(AND(ISNUMBER('Council Entry'!BB$8),ISNUMBER('Council Entry'!BB$9)),MAX(MIN('Council Entry'!BB40,'Council Entry'!BB$9),'Council Entry'!BB$8),'Council Entry'!BB40)),IF(AND(ISNUMBER('Council Entry'!BB$8),ISNUMBER('Council Entry'!BB$9)),MAX(MIN('Council Entry'!BB40,'Council Entry'!BB$9),'Council Entry'!BB$8),'Council Entry'!BB40))))-'Council Entry'!BB$5)/('Council Entry'!BB$6-'Council Entry'!BB$5)),1))),"No data"))</f>
        <v/>
      </c>
      <c r="BC40" s="13">
        <f>IF('Council Entry'!BC40="","",IFERROR(MAX(0,MIN(10,ROUND(IF('Council Entry'!BC$7="Decrease Risk",10-10*((IF('Council Entry'!BC$4="Logarithm",LN(0.001+IF(AND(ISNUMBER('Council Entry'!BC$8),ISNUMBER('Council Entry'!BC$9)),MAX(MIN('Council Entry'!BC40,'Council Entry'!BC$9),'Council Entry'!BC$8),'Council Entry'!BC40)),IF('Council Entry'!BC$4="Exponential",EXP(IF(AND(ISNUMBER('Council Entry'!BC$8),ISNUMBER('Council Entry'!BC$9)),MAX(MIN('Council Entry'!BC40,'Council Entry'!BC$9),'Council Entry'!BC$8),'Council Entry'!BC40)),IF(AND(ISNUMBER('Council Entry'!BC$8),ISNUMBER('Council Entry'!BC$9)),MAX(MIN('Council Entry'!BC40,'Council Entry'!BC$9),'Council Entry'!BC$8),'Council Entry'!BC40))))-'Council Entry'!BC$5)/('Council Entry'!BC$6-'Council Entry'!BC$5),10*((IF('Council Entry'!BC$4="Logarithm",LN(0.001+IF(AND(ISNUMBER('Council Entry'!BC$8),ISNUMBER('Council Entry'!BC$9)),MAX(MIN('Council Entry'!BC40,'Council Entry'!BC$9),'Council Entry'!BC$8),'Council Entry'!BC40)),IF('Council Entry'!BC$4="Exponential",EXP(IF(AND(ISNUMBER('Council Entry'!BC$8),ISNUMBER('Council Entry'!BC$9)),MAX(MIN('Council Entry'!BC40,'Council Entry'!BC$9),'Council Entry'!BC$8),'Council Entry'!BC40)),IF(AND(ISNUMBER('Council Entry'!BC$8),ISNUMBER('Council Entry'!BC$9)),MAX(MIN('Council Entry'!BC40,'Council Entry'!BC$9),'Council Entry'!BC$8),'Council Entry'!BC40))))-'Council Entry'!BC$5)/('Council Entry'!BC$6-'Council Entry'!BC$5)),1))),"No data"))</f>
        <v/>
      </c>
      <c r="BD40" s="13">
        <f>IF('Council Entry'!BD40="","",IFERROR(MAX(0,MIN(10,ROUND(IF('Council Entry'!BD$7="Decrease Risk",10-10*((IF('Council Entry'!BD$4="Logarithm",LN(0.001+IF(AND(ISNUMBER('Council Entry'!BD$8),ISNUMBER('Council Entry'!BD$9)),MAX(MIN('Council Entry'!BD40,'Council Entry'!BD$9),'Council Entry'!BD$8),'Council Entry'!BD40)),IF('Council Entry'!BD$4="Exponential",EXP(IF(AND(ISNUMBER('Council Entry'!BD$8),ISNUMBER('Council Entry'!BD$9)),MAX(MIN('Council Entry'!BD40,'Council Entry'!BD$9),'Council Entry'!BD$8),'Council Entry'!BD40)),IF(AND(ISNUMBER('Council Entry'!BD$8),ISNUMBER('Council Entry'!BD$9)),MAX(MIN('Council Entry'!BD40,'Council Entry'!BD$9),'Council Entry'!BD$8),'Council Entry'!BD40))))-'Council Entry'!BD$5)/('Council Entry'!BD$6-'Council Entry'!BD$5),10*((IF('Council Entry'!BD$4="Logarithm",LN(0.001+IF(AND(ISNUMBER('Council Entry'!BD$8),ISNUMBER('Council Entry'!BD$9)),MAX(MIN('Council Entry'!BD40,'Council Entry'!BD$9),'Council Entry'!BD$8),'Council Entry'!BD40)),IF('Council Entry'!BD$4="Exponential",EXP(IF(AND(ISNUMBER('Council Entry'!BD$8),ISNUMBER('Council Entry'!BD$9)),MAX(MIN('Council Entry'!BD40,'Council Entry'!BD$9),'Council Entry'!BD$8),'Council Entry'!BD40)),IF(AND(ISNUMBER('Council Entry'!BD$8),ISNUMBER('Council Entry'!BD$9)),MAX(MIN('Council Entry'!BD40,'Council Entry'!BD$9),'Council Entry'!BD$8),'Council Entry'!BD40))))-'Council Entry'!BD$5)/('Council Entry'!BD$6-'Council Entry'!BD$5)),1))),"No data"))</f>
        <v/>
      </c>
    </row>
    <row r="41">
      <c r="A41" t="inlineStr">
        <is>
          <t>Iringa</t>
        </is>
      </c>
      <c r="B41" t="inlineStr">
        <is>
          <t>Mufindi District</t>
        </is>
      </c>
      <c r="C41" t="inlineStr">
        <is>
          <t>C083</t>
        </is>
      </c>
      <c r="D41" s="13">
        <f>IF('Council Entry'!D41="","",IFERROR(MAX(0,MIN(10,ROUND(IF('Council Entry'!D$7="Decrease Risk",10-10*((IF('Council Entry'!D$4="Logarithm",LN(0.001+IF(AND(ISNUMBER('Council Entry'!D$8),ISNUMBER('Council Entry'!D$9)),MAX(MIN('Council Entry'!D41,'Council Entry'!D$9),'Council Entry'!D$8),'Council Entry'!D41)),IF('Council Entry'!D$4="Exponential",EXP(IF(AND(ISNUMBER('Council Entry'!D$8),ISNUMBER('Council Entry'!D$9)),MAX(MIN('Council Entry'!D41,'Council Entry'!D$9),'Council Entry'!D$8),'Council Entry'!D41)),IF(AND(ISNUMBER('Council Entry'!D$8),ISNUMBER('Council Entry'!D$9)),MAX(MIN('Council Entry'!D41,'Council Entry'!D$9),'Council Entry'!D$8),'Council Entry'!D41))))-'Council Entry'!D$5)/('Council Entry'!D$6-'Council Entry'!D$5),10*((IF('Council Entry'!D$4="Logarithm",LN(0.001+IF(AND(ISNUMBER('Council Entry'!D$8),ISNUMBER('Council Entry'!D$9)),MAX(MIN('Council Entry'!D41,'Council Entry'!D$9),'Council Entry'!D$8),'Council Entry'!D41)),IF('Council Entry'!D$4="Exponential",EXP(IF(AND(ISNUMBER('Council Entry'!D$8),ISNUMBER('Council Entry'!D$9)),MAX(MIN('Council Entry'!D41,'Council Entry'!D$9),'Council Entry'!D$8),'Council Entry'!D41)),IF(AND(ISNUMBER('Council Entry'!D$8),ISNUMBER('Council Entry'!D$9)),MAX(MIN('Council Entry'!D41,'Council Entry'!D$9),'Council Entry'!D$8),'Council Entry'!D41))))-'Council Entry'!D$5)/('Council Entry'!D$6-'Council Entry'!D$5)),1))),"No data"))</f>
        <v/>
      </c>
      <c r="E41" s="13">
        <f>IF('Council Entry'!E41="","",IFERROR(MAX(0,MIN(10,ROUND(IF('Council Entry'!E$7="Decrease Risk",10-10*((IF('Council Entry'!E$4="Logarithm",LN(0.001+IF(AND(ISNUMBER('Council Entry'!E$8),ISNUMBER('Council Entry'!E$9)),MAX(MIN('Council Entry'!E41,'Council Entry'!E$9),'Council Entry'!E$8),'Council Entry'!E41)),IF('Council Entry'!E$4="Exponential",EXP(IF(AND(ISNUMBER('Council Entry'!E$8),ISNUMBER('Council Entry'!E$9)),MAX(MIN('Council Entry'!E41,'Council Entry'!E$9),'Council Entry'!E$8),'Council Entry'!E41)),IF(AND(ISNUMBER('Council Entry'!E$8),ISNUMBER('Council Entry'!E$9)),MAX(MIN('Council Entry'!E41,'Council Entry'!E$9),'Council Entry'!E$8),'Council Entry'!E41))))-'Council Entry'!E$5)/('Council Entry'!E$6-'Council Entry'!E$5),10*((IF('Council Entry'!E$4="Logarithm",LN(0.001+IF(AND(ISNUMBER('Council Entry'!E$8),ISNUMBER('Council Entry'!E$9)),MAX(MIN('Council Entry'!E41,'Council Entry'!E$9),'Council Entry'!E$8),'Council Entry'!E41)),IF('Council Entry'!E$4="Exponential",EXP(IF(AND(ISNUMBER('Council Entry'!E$8),ISNUMBER('Council Entry'!E$9)),MAX(MIN('Council Entry'!E41,'Council Entry'!E$9),'Council Entry'!E$8),'Council Entry'!E41)),IF(AND(ISNUMBER('Council Entry'!E$8),ISNUMBER('Council Entry'!E$9)),MAX(MIN('Council Entry'!E41,'Council Entry'!E$9),'Council Entry'!E$8),'Council Entry'!E41))))-'Council Entry'!E$5)/('Council Entry'!E$6-'Council Entry'!E$5)),1))),"No data"))</f>
        <v/>
      </c>
      <c r="F41" s="13">
        <f>IF('Council Entry'!F41="","",IFERROR(MAX(0,MIN(10,ROUND(IF('Council Entry'!F$7="Decrease Risk",10-10*((IF('Council Entry'!F$4="Logarithm",LN(0.001+IF(AND(ISNUMBER('Council Entry'!F$8),ISNUMBER('Council Entry'!F$9)),MAX(MIN('Council Entry'!F41,'Council Entry'!F$9),'Council Entry'!F$8),'Council Entry'!F41)),IF('Council Entry'!F$4="Exponential",EXP(IF(AND(ISNUMBER('Council Entry'!F$8),ISNUMBER('Council Entry'!F$9)),MAX(MIN('Council Entry'!F41,'Council Entry'!F$9),'Council Entry'!F$8),'Council Entry'!F41)),IF(AND(ISNUMBER('Council Entry'!F$8),ISNUMBER('Council Entry'!F$9)),MAX(MIN('Council Entry'!F41,'Council Entry'!F$9),'Council Entry'!F$8),'Council Entry'!F41))))-'Council Entry'!F$5)/('Council Entry'!F$6-'Council Entry'!F$5),10*((IF('Council Entry'!F$4="Logarithm",LN(0.001+IF(AND(ISNUMBER('Council Entry'!F$8),ISNUMBER('Council Entry'!F$9)),MAX(MIN('Council Entry'!F41,'Council Entry'!F$9),'Council Entry'!F$8),'Council Entry'!F41)),IF('Council Entry'!F$4="Exponential",EXP(IF(AND(ISNUMBER('Council Entry'!F$8),ISNUMBER('Council Entry'!F$9)),MAX(MIN('Council Entry'!F41,'Council Entry'!F$9),'Council Entry'!F$8),'Council Entry'!F41)),IF(AND(ISNUMBER('Council Entry'!F$8),ISNUMBER('Council Entry'!F$9)),MAX(MIN('Council Entry'!F41,'Council Entry'!F$9),'Council Entry'!F$8),'Council Entry'!F41))))-'Council Entry'!F$5)/('Council Entry'!F$6-'Council Entry'!F$5)),1))),"No data"))</f>
        <v/>
      </c>
      <c r="G41" s="13">
        <f>IF('Council Entry'!G41="","",IFERROR(MAX(0,MIN(10,ROUND(IF('Council Entry'!G$7="Decrease Risk",10-10*((IF('Council Entry'!G$4="Logarithm",LN(0.001+IF(AND(ISNUMBER('Council Entry'!G$8),ISNUMBER('Council Entry'!G$9)),MAX(MIN('Council Entry'!G41,'Council Entry'!G$9),'Council Entry'!G$8),'Council Entry'!G41)),IF('Council Entry'!G$4="Exponential",EXP(IF(AND(ISNUMBER('Council Entry'!G$8),ISNUMBER('Council Entry'!G$9)),MAX(MIN('Council Entry'!G41,'Council Entry'!G$9),'Council Entry'!G$8),'Council Entry'!G41)),IF(AND(ISNUMBER('Council Entry'!G$8),ISNUMBER('Council Entry'!G$9)),MAX(MIN('Council Entry'!G41,'Council Entry'!G$9),'Council Entry'!G$8),'Council Entry'!G41))))-'Council Entry'!G$5)/('Council Entry'!G$6-'Council Entry'!G$5),10*((IF('Council Entry'!G$4="Logarithm",LN(0.001+IF(AND(ISNUMBER('Council Entry'!G$8),ISNUMBER('Council Entry'!G$9)),MAX(MIN('Council Entry'!G41,'Council Entry'!G$9),'Council Entry'!G$8),'Council Entry'!G41)),IF('Council Entry'!G$4="Exponential",EXP(IF(AND(ISNUMBER('Council Entry'!G$8),ISNUMBER('Council Entry'!G$9)),MAX(MIN('Council Entry'!G41,'Council Entry'!G$9),'Council Entry'!G$8),'Council Entry'!G41)),IF(AND(ISNUMBER('Council Entry'!G$8),ISNUMBER('Council Entry'!G$9)),MAX(MIN('Council Entry'!G41,'Council Entry'!G$9),'Council Entry'!G$8),'Council Entry'!G41))))-'Council Entry'!G$5)/('Council Entry'!G$6-'Council Entry'!G$5)),1))),"No data"))</f>
        <v/>
      </c>
      <c r="H41" s="13">
        <f>IF('Council Entry'!H41="","",IFERROR(MAX(0,MIN(10,ROUND(IF('Council Entry'!H$7="Decrease Risk",10-10*((IF('Council Entry'!H$4="Logarithm",LN(0.001+IF(AND(ISNUMBER('Council Entry'!H$8),ISNUMBER('Council Entry'!H$9)),MAX(MIN('Council Entry'!H41,'Council Entry'!H$9),'Council Entry'!H$8),'Council Entry'!H41)),IF('Council Entry'!H$4="Exponential",EXP(IF(AND(ISNUMBER('Council Entry'!H$8),ISNUMBER('Council Entry'!H$9)),MAX(MIN('Council Entry'!H41,'Council Entry'!H$9),'Council Entry'!H$8),'Council Entry'!H41)),IF(AND(ISNUMBER('Council Entry'!H$8),ISNUMBER('Council Entry'!H$9)),MAX(MIN('Council Entry'!H41,'Council Entry'!H$9),'Council Entry'!H$8),'Council Entry'!H41))))-'Council Entry'!H$5)/('Council Entry'!H$6-'Council Entry'!H$5),10*((IF('Council Entry'!H$4="Logarithm",LN(0.001+IF(AND(ISNUMBER('Council Entry'!H$8),ISNUMBER('Council Entry'!H$9)),MAX(MIN('Council Entry'!H41,'Council Entry'!H$9),'Council Entry'!H$8),'Council Entry'!H41)),IF('Council Entry'!H$4="Exponential",EXP(IF(AND(ISNUMBER('Council Entry'!H$8),ISNUMBER('Council Entry'!H$9)),MAX(MIN('Council Entry'!H41,'Council Entry'!H$9),'Council Entry'!H$8),'Council Entry'!H41)),IF(AND(ISNUMBER('Council Entry'!H$8),ISNUMBER('Council Entry'!H$9)),MAX(MIN('Council Entry'!H41,'Council Entry'!H$9),'Council Entry'!H$8),'Council Entry'!H41))))-'Council Entry'!H$5)/('Council Entry'!H$6-'Council Entry'!H$5)),1))),"No data"))</f>
        <v/>
      </c>
      <c r="I41" s="13">
        <f>IF('Council Entry'!I41="","",IFERROR(MAX(0,MIN(10,ROUND(IF('Council Entry'!I$7="Decrease Risk",10-10*((IF('Council Entry'!I$4="Logarithm",LN(0.001+IF(AND(ISNUMBER('Council Entry'!I$8),ISNUMBER('Council Entry'!I$9)),MAX(MIN('Council Entry'!I41,'Council Entry'!I$9),'Council Entry'!I$8),'Council Entry'!I41)),IF('Council Entry'!I$4="Exponential",EXP(IF(AND(ISNUMBER('Council Entry'!I$8),ISNUMBER('Council Entry'!I$9)),MAX(MIN('Council Entry'!I41,'Council Entry'!I$9),'Council Entry'!I$8),'Council Entry'!I41)),IF(AND(ISNUMBER('Council Entry'!I$8),ISNUMBER('Council Entry'!I$9)),MAX(MIN('Council Entry'!I41,'Council Entry'!I$9),'Council Entry'!I$8),'Council Entry'!I41))))-'Council Entry'!I$5)/('Council Entry'!I$6-'Council Entry'!I$5),10*((IF('Council Entry'!I$4="Logarithm",LN(0.001+IF(AND(ISNUMBER('Council Entry'!I$8),ISNUMBER('Council Entry'!I$9)),MAX(MIN('Council Entry'!I41,'Council Entry'!I$9),'Council Entry'!I$8),'Council Entry'!I41)),IF('Council Entry'!I$4="Exponential",EXP(IF(AND(ISNUMBER('Council Entry'!I$8),ISNUMBER('Council Entry'!I$9)),MAX(MIN('Council Entry'!I41,'Council Entry'!I$9),'Council Entry'!I$8),'Council Entry'!I41)),IF(AND(ISNUMBER('Council Entry'!I$8),ISNUMBER('Council Entry'!I$9)),MAX(MIN('Council Entry'!I41,'Council Entry'!I$9),'Council Entry'!I$8),'Council Entry'!I41))))-'Council Entry'!I$5)/('Council Entry'!I$6-'Council Entry'!I$5)),1))),"No data"))</f>
        <v/>
      </c>
      <c r="J41" s="13">
        <f>IF('Council Entry'!J41="","",IFERROR(MAX(0,MIN(10,ROUND(IF('Council Entry'!J$7="Decrease Risk",10-10*((IF('Council Entry'!J$4="Logarithm",LN(0.001+IF(AND(ISNUMBER('Council Entry'!J$8),ISNUMBER('Council Entry'!J$9)),MAX(MIN('Council Entry'!J41,'Council Entry'!J$9),'Council Entry'!J$8),'Council Entry'!J41)),IF('Council Entry'!J$4="Exponential",EXP(IF(AND(ISNUMBER('Council Entry'!J$8),ISNUMBER('Council Entry'!J$9)),MAX(MIN('Council Entry'!J41,'Council Entry'!J$9),'Council Entry'!J$8),'Council Entry'!J41)),IF(AND(ISNUMBER('Council Entry'!J$8),ISNUMBER('Council Entry'!J$9)),MAX(MIN('Council Entry'!J41,'Council Entry'!J$9),'Council Entry'!J$8),'Council Entry'!J41))))-'Council Entry'!J$5)/('Council Entry'!J$6-'Council Entry'!J$5),10*((IF('Council Entry'!J$4="Logarithm",LN(0.001+IF(AND(ISNUMBER('Council Entry'!J$8),ISNUMBER('Council Entry'!J$9)),MAX(MIN('Council Entry'!J41,'Council Entry'!J$9),'Council Entry'!J$8),'Council Entry'!J41)),IF('Council Entry'!J$4="Exponential",EXP(IF(AND(ISNUMBER('Council Entry'!J$8),ISNUMBER('Council Entry'!J$9)),MAX(MIN('Council Entry'!J41,'Council Entry'!J$9),'Council Entry'!J$8),'Council Entry'!J41)),IF(AND(ISNUMBER('Council Entry'!J$8),ISNUMBER('Council Entry'!J$9)),MAX(MIN('Council Entry'!J41,'Council Entry'!J$9),'Council Entry'!J$8),'Council Entry'!J41))))-'Council Entry'!J$5)/('Council Entry'!J$6-'Council Entry'!J$5)),1))),"No data"))</f>
        <v/>
      </c>
      <c r="K41" s="13">
        <f>IF('Council Entry'!K41="","",IFERROR(MAX(0,MIN(10,ROUND(IF('Council Entry'!K$7="Decrease Risk",10-10*((IF('Council Entry'!K$4="Logarithm",LN(0.001+IF(AND(ISNUMBER('Council Entry'!K$8),ISNUMBER('Council Entry'!K$9)),MAX(MIN('Council Entry'!K41,'Council Entry'!K$9),'Council Entry'!K$8),'Council Entry'!K41)),IF('Council Entry'!K$4="Exponential",EXP(IF(AND(ISNUMBER('Council Entry'!K$8),ISNUMBER('Council Entry'!K$9)),MAX(MIN('Council Entry'!K41,'Council Entry'!K$9),'Council Entry'!K$8),'Council Entry'!K41)),IF(AND(ISNUMBER('Council Entry'!K$8),ISNUMBER('Council Entry'!K$9)),MAX(MIN('Council Entry'!K41,'Council Entry'!K$9),'Council Entry'!K$8),'Council Entry'!K41))))-'Council Entry'!K$5)/('Council Entry'!K$6-'Council Entry'!K$5),10*((IF('Council Entry'!K$4="Logarithm",LN(0.001+IF(AND(ISNUMBER('Council Entry'!K$8),ISNUMBER('Council Entry'!K$9)),MAX(MIN('Council Entry'!K41,'Council Entry'!K$9),'Council Entry'!K$8),'Council Entry'!K41)),IF('Council Entry'!K$4="Exponential",EXP(IF(AND(ISNUMBER('Council Entry'!K$8),ISNUMBER('Council Entry'!K$9)),MAX(MIN('Council Entry'!K41,'Council Entry'!K$9),'Council Entry'!K$8),'Council Entry'!K41)),IF(AND(ISNUMBER('Council Entry'!K$8),ISNUMBER('Council Entry'!K$9)),MAX(MIN('Council Entry'!K41,'Council Entry'!K$9),'Council Entry'!K$8),'Council Entry'!K41))))-'Council Entry'!K$5)/('Council Entry'!K$6-'Council Entry'!K$5)),1))),"No data"))</f>
        <v/>
      </c>
      <c r="L41" s="13">
        <f>IF('Council Entry'!L41="","",IFERROR(MAX(0,MIN(10,ROUND(IF('Council Entry'!L$7="Decrease Risk",10-10*((IF('Council Entry'!L$4="Logarithm",LN(0.001+IF(AND(ISNUMBER('Council Entry'!L$8),ISNUMBER('Council Entry'!L$9)),MAX(MIN('Council Entry'!L41,'Council Entry'!L$9),'Council Entry'!L$8),'Council Entry'!L41)),IF('Council Entry'!L$4="Exponential",EXP(IF(AND(ISNUMBER('Council Entry'!L$8),ISNUMBER('Council Entry'!L$9)),MAX(MIN('Council Entry'!L41,'Council Entry'!L$9),'Council Entry'!L$8),'Council Entry'!L41)),IF(AND(ISNUMBER('Council Entry'!L$8),ISNUMBER('Council Entry'!L$9)),MAX(MIN('Council Entry'!L41,'Council Entry'!L$9),'Council Entry'!L$8),'Council Entry'!L41))))-'Council Entry'!L$5)/('Council Entry'!L$6-'Council Entry'!L$5),10*((IF('Council Entry'!L$4="Logarithm",LN(0.001+IF(AND(ISNUMBER('Council Entry'!L$8),ISNUMBER('Council Entry'!L$9)),MAX(MIN('Council Entry'!L41,'Council Entry'!L$9),'Council Entry'!L$8),'Council Entry'!L41)),IF('Council Entry'!L$4="Exponential",EXP(IF(AND(ISNUMBER('Council Entry'!L$8),ISNUMBER('Council Entry'!L$9)),MAX(MIN('Council Entry'!L41,'Council Entry'!L$9),'Council Entry'!L$8),'Council Entry'!L41)),IF(AND(ISNUMBER('Council Entry'!L$8),ISNUMBER('Council Entry'!L$9)),MAX(MIN('Council Entry'!L41,'Council Entry'!L$9),'Council Entry'!L$8),'Council Entry'!L41))))-'Council Entry'!L$5)/('Council Entry'!L$6-'Council Entry'!L$5)),1))),"No data"))</f>
        <v/>
      </c>
      <c r="M41" s="13">
        <f>IF('Council Entry'!M41="","",IFERROR(MAX(0,MIN(10,ROUND(IF('Council Entry'!M$7="Decrease Risk",10-10*((IF('Council Entry'!M$4="Logarithm",LN(0.001+IF(AND(ISNUMBER('Council Entry'!M$8),ISNUMBER('Council Entry'!M$9)),MAX(MIN('Council Entry'!M41,'Council Entry'!M$9),'Council Entry'!M$8),'Council Entry'!M41)),IF('Council Entry'!M$4="Exponential",EXP(IF(AND(ISNUMBER('Council Entry'!M$8),ISNUMBER('Council Entry'!M$9)),MAX(MIN('Council Entry'!M41,'Council Entry'!M$9),'Council Entry'!M$8),'Council Entry'!M41)),IF(AND(ISNUMBER('Council Entry'!M$8),ISNUMBER('Council Entry'!M$9)),MAX(MIN('Council Entry'!M41,'Council Entry'!M$9),'Council Entry'!M$8),'Council Entry'!M41))))-'Council Entry'!M$5)/('Council Entry'!M$6-'Council Entry'!M$5),10*((IF('Council Entry'!M$4="Logarithm",LN(0.001+IF(AND(ISNUMBER('Council Entry'!M$8),ISNUMBER('Council Entry'!M$9)),MAX(MIN('Council Entry'!M41,'Council Entry'!M$9),'Council Entry'!M$8),'Council Entry'!M41)),IF('Council Entry'!M$4="Exponential",EXP(IF(AND(ISNUMBER('Council Entry'!M$8),ISNUMBER('Council Entry'!M$9)),MAX(MIN('Council Entry'!M41,'Council Entry'!M$9),'Council Entry'!M$8),'Council Entry'!M41)),IF(AND(ISNUMBER('Council Entry'!M$8),ISNUMBER('Council Entry'!M$9)),MAX(MIN('Council Entry'!M41,'Council Entry'!M$9),'Council Entry'!M$8),'Council Entry'!M41))))-'Council Entry'!M$5)/('Council Entry'!M$6-'Council Entry'!M$5)),1))),"No data"))</f>
        <v/>
      </c>
      <c r="N41" s="13">
        <f>IF('Council Entry'!N41="","",IFERROR(MAX(0,MIN(10,ROUND(IF('Council Entry'!N$7="Decrease Risk",10-10*((IF('Council Entry'!N$4="Logarithm",LN(0.001+IF(AND(ISNUMBER('Council Entry'!N$8),ISNUMBER('Council Entry'!N$9)),MAX(MIN('Council Entry'!N41,'Council Entry'!N$9),'Council Entry'!N$8),'Council Entry'!N41)),IF('Council Entry'!N$4="Exponential",EXP(IF(AND(ISNUMBER('Council Entry'!N$8),ISNUMBER('Council Entry'!N$9)),MAX(MIN('Council Entry'!N41,'Council Entry'!N$9),'Council Entry'!N$8),'Council Entry'!N41)),IF(AND(ISNUMBER('Council Entry'!N$8),ISNUMBER('Council Entry'!N$9)),MAX(MIN('Council Entry'!N41,'Council Entry'!N$9),'Council Entry'!N$8),'Council Entry'!N41))))-'Council Entry'!N$5)/('Council Entry'!N$6-'Council Entry'!N$5),10*((IF('Council Entry'!N$4="Logarithm",LN(0.001+IF(AND(ISNUMBER('Council Entry'!N$8),ISNUMBER('Council Entry'!N$9)),MAX(MIN('Council Entry'!N41,'Council Entry'!N$9),'Council Entry'!N$8),'Council Entry'!N41)),IF('Council Entry'!N$4="Exponential",EXP(IF(AND(ISNUMBER('Council Entry'!N$8),ISNUMBER('Council Entry'!N$9)),MAX(MIN('Council Entry'!N41,'Council Entry'!N$9),'Council Entry'!N$8),'Council Entry'!N41)),IF(AND(ISNUMBER('Council Entry'!N$8),ISNUMBER('Council Entry'!N$9)),MAX(MIN('Council Entry'!N41,'Council Entry'!N$9),'Council Entry'!N$8),'Council Entry'!N41))))-'Council Entry'!N$5)/('Council Entry'!N$6-'Council Entry'!N$5)),1))),"No data"))</f>
        <v/>
      </c>
      <c r="O41" s="13">
        <f>IF('Council Entry'!O41="","",IFERROR(MAX(0,MIN(10,ROUND(IF('Council Entry'!O$7="Decrease Risk",10-10*((IF('Council Entry'!O$4="Logarithm",LN(0.001+IF(AND(ISNUMBER('Council Entry'!O$8),ISNUMBER('Council Entry'!O$9)),MAX(MIN('Council Entry'!O41,'Council Entry'!O$9),'Council Entry'!O$8),'Council Entry'!O41)),IF('Council Entry'!O$4="Exponential",EXP(IF(AND(ISNUMBER('Council Entry'!O$8),ISNUMBER('Council Entry'!O$9)),MAX(MIN('Council Entry'!O41,'Council Entry'!O$9),'Council Entry'!O$8),'Council Entry'!O41)),IF(AND(ISNUMBER('Council Entry'!O$8),ISNUMBER('Council Entry'!O$9)),MAX(MIN('Council Entry'!O41,'Council Entry'!O$9),'Council Entry'!O$8),'Council Entry'!O41))))-'Council Entry'!O$5)/('Council Entry'!O$6-'Council Entry'!O$5),10*((IF('Council Entry'!O$4="Logarithm",LN(0.001+IF(AND(ISNUMBER('Council Entry'!O$8),ISNUMBER('Council Entry'!O$9)),MAX(MIN('Council Entry'!O41,'Council Entry'!O$9),'Council Entry'!O$8),'Council Entry'!O41)),IF('Council Entry'!O$4="Exponential",EXP(IF(AND(ISNUMBER('Council Entry'!O$8),ISNUMBER('Council Entry'!O$9)),MAX(MIN('Council Entry'!O41,'Council Entry'!O$9),'Council Entry'!O$8),'Council Entry'!O41)),IF(AND(ISNUMBER('Council Entry'!O$8),ISNUMBER('Council Entry'!O$9)),MAX(MIN('Council Entry'!O41,'Council Entry'!O$9),'Council Entry'!O$8),'Council Entry'!O41))))-'Council Entry'!O$5)/('Council Entry'!O$6-'Council Entry'!O$5)),1))),"No data"))</f>
        <v/>
      </c>
      <c r="P41" s="13">
        <f>IF('Council Entry'!P41="","",IFERROR(MAX(0,MIN(10,ROUND(IF('Council Entry'!P$7="Decrease Risk",10-10*((IF('Council Entry'!P$4="Logarithm",LN(0.001+IF(AND(ISNUMBER('Council Entry'!P$8),ISNUMBER('Council Entry'!P$9)),MAX(MIN('Council Entry'!P41,'Council Entry'!P$9),'Council Entry'!P$8),'Council Entry'!P41)),IF('Council Entry'!P$4="Exponential",EXP(IF(AND(ISNUMBER('Council Entry'!P$8),ISNUMBER('Council Entry'!P$9)),MAX(MIN('Council Entry'!P41,'Council Entry'!P$9),'Council Entry'!P$8),'Council Entry'!P41)),IF(AND(ISNUMBER('Council Entry'!P$8),ISNUMBER('Council Entry'!P$9)),MAX(MIN('Council Entry'!P41,'Council Entry'!P$9),'Council Entry'!P$8),'Council Entry'!P41))))-'Council Entry'!P$5)/('Council Entry'!P$6-'Council Entry'!P$5),10*((IF('Council Entry'!P$4="Logarithm",LN(0.001+IF(AND(ISNUMBER('Council Entry'!P$8),ISNUMBER('Council Entry'!P$9)),MAX(MIN('Council Entry'!P41,'Council Entry'!P$9),'Council Entry'!P$8),'Council Entry'!P41)),IF('Council Entry'!P$4="Exponential",EXP(IF(AND(ISNUMBER('Council Entry'!P$8),ISNUMBER('Council Entry'!P$9)),MAX(MIN('Council Entry'!P41,'Council Entry'!P$9),'Council Entry'!P$8),'Council Entry'!P41)),IF(AND(ISNUMBER('Council Entry'!P$8),ISNUMBER('Council Entry'!P$9)),MAX(MIN('Council Entry'!P41,'Council Entry'!P$9),'Council Entry'!P$8),'Council Entry'!P41))))-'Council Entry'!P$5)/('Council Entry'!P$6-'Council Entry'!P$5)),1))),"No data"))</f>
        <v/>
      </c>
      <c r="Q41" s="13">
        <f>IF('Council Entry'!Q41="","",IFERROR(MAX(0,MIN(10,ROUND(IF('Council Entry'!Q$7="Decrease Risk",10-10*((IF('Council Entry'!Q$4="Logarithm",LN(0.001+IF(AND(ISNUMBER('Council Entry'!Q$8),ISNUMBER('Council Entry'!Q$9)),MAX(MIN('Council Entry'!Q41,'Council Entry'!Q$9),'Council Entry'!Q$8),'Council Entry'!Q41)),IF('Council Entry'!Q$4="Exponential",EXP(IF(AND(ISNUMBER('Council Entry'!Q$8),ISNUMBER('Council Entry'!Q$9)),MAX(MIN('Council Entry'!Q41,'Council Entry'!Q$9),'Council Entry'!Q$8),'Council Entry'!Q41)),IF(AND(ISNUMBER('Council Entry'!Q$8),ISNUMBER('Council Entry'!Q$9)),MAX(MIN('Council Entry'!Q41,'Council Entry'!Q$9),'Council Entry'!Q$8),'Council Entry'!Q41))))-'Council Entry'!Q$5)/('Council Entry'!Q$6-'Council Entry'!Q$5),10*((IF('Council Entry'!Q$4="Logarithm",LN(0.001+IF(AND(ISNUMBER('Council Entry'!Q$8),ISNUMBER('Council Entry'!Q$9)),MAX(MIN('Council Entry'!Q41,'Council Entry'!Q$9),'Council Entry'!Q$8),'Council Entry'!Q41)),IF('Council Entry'!Q$4="Exponential",EXP(IF(AND(ISNUMBER('Council Entry'!Q$8),ISNUMBER('Council Entry'!Q$9)),MAX(MIN('Council Entry'!Q41,'Council Entry'!Q$9),'Council Entry'!Q$8),'Council Entry'!Q41)),IF(AND(ISNUMBER('Council Entry'!Q$8),ISNUMBER('Council Entry'!Q$9)),MAX(MIN('Council Entry'!Q41,'Council Entry'!Q$9),'Council Entry'!Q$8),'Council Entry'!Q41))))-'Council Entry'!Q$5)/('Council Entry'!Q$6-'Council Entry'!Q$5)),1))),"No data"))</f>
        <v/>
      </c>
      <c r="R41" s="13">
        <f>IF('Council Entry'!R41="","",IFERROR(MAX(0,MIN(10,ROUND(IF('Council Entry'!R$7="Decrease Risk",10-10*((IF('Council Entry'!R$4="Logarithm",LN(0.001+IF(AND(ISNUMBER('Council Entry'!R$8),ISNUMBER('Council Entry'!R$9)),MAX(MIN('Council Entry'!R41,'Council Entry'!R$9),'Council Entry'!R$8),'Council Entry'!R41)),IF('Council Entry'!R$4="Exponential",EXP(IF(AND(ISNUMBER('Council Entry'!R$8),ISNUMBER('Council Entry'!R$9)),MAX(MIN('Council Entry'!R41,'Council Entry'!R$9),'Council Entry'!R$8),'Council Entry'!R41)),IF(AND(ISNUMBER('Council Entry'!R$8),ISNUMBER('Council Entry'!R$9)),MAX(MIN('Council Entry'!R41,'Council Entry'!R$9),'Council Entry'!R$8),'Council Entry'!R41))))-'Council Entry'!R$5)/('Council Entry'!R$6-'Council Entry'!R$5),10*((IF('Council Entry'!R$4="Logarithm",LN(0.001+IF(AND(ISNUMBER('Council Entry'!R$8),ISNUMBER('Council Entry'!R$9)),MAX(MIN('Council Entry'!R41,'Council Entry'!R$9),'Council Entry'!R$8),'Council Entry'!R41)),IF('Council Entry'!R$4="Exponential",EXP(IF(AND(ISNUMBER('Council Entry'!R$8),ISNUMBER('Council Entry'!R$9)),MAX(MIN('Council Entry'!R41,'Council Entry'!R$9),'Council Entry'!R$8),'Council Entry'!R41)),IF(AND(ISNUMBER('Council Entry'!R$8),ISNUMBER('Council Entry'!R$9)),MAX(MIN('Council Entry'!R41,'Council Entry'!R$9),'Council Entry'!R$8),'Council Entry'!R41))))-'Council Entry'!R$5)/('Council Entry'!R$6-'Council Entry'!R$5)),1))),"No data"))</f>
        <v/>
      </c>
      <c r="S41" s="13">
        <f>IF('Council Entry'!S41="","",IFERROR(MAX(0,MIN(10,ROUND(IF('Council Entry'!S$7="Decrease Risk",10-10*((IF('Council Entry'!S$4="Logarithm",LN(0.001+IF(AND(ISNUMBER('Council Entry'!S$8),ISNUMBER('Council Entry'!S$9)),MAX(MIN('Council Entry'!S41,'Council Entry'!S$9),'Council Entry'!S$8),'Council Entry'!S41)),IF('Council Entry'!S$4="Exponential",EXP(IF(AND(ISNUMBER('Council Entry'!S$8),ISNUMBER('Council Entry'!S$9)),MAX(MIN('Council Entry'!S41,'Council Entry'!S$9),'Council Entry'!S$8),'Council Entry'!S41)),IF(AND(ISNUMBER('Council Entry'!S$8),ISNUMBER('Council Entry'!S$9)),MAX(MIN('Council Entry'!S41,'Council Entry'!S$9),'Council Entry'!S$8),'Council Entry'!S41))))-'Council Entry'!S$5)/('Council Entry'!S$6-'Council Entry'!S$5),10*((IF('Council Entry'!S$4="Logarithm",LN(0.001+IF(AND(ISNUMBER('Council Entry'!S$8),ISNUMBER('Council Entry'!S$9)),MAX(MIN('Council Entry'!S41,'Council Entry'!S$9),'Council Entry'!S$8),'Council Entry'!S41)),IF('Council Entry'!S$4="Exponential",EXP(IF(AND(ISNUMBER('Council Entry'!S$8),ISNUMBER('Council Entry'!S$9)),MAX(MIN('Council Entry'!S41,'Council Entry'!S$9),'Council Entry'!S$8),'Council Entry'!S41)),IF(AND(ISNUMBER('Council Entry'!S$8),ISNUMBER('Council Entry'!S$9)),MAX(MIN('Council Entry'!S41,'Council Entry'!S$9),'Council Entry'!S$8),'Council Entry'!S41))))-'Council Entry'!S$5)/('Council Entry'!S$6-'Council Entry'!S$5)),1))),"No data"))</f>
        <v/>
      </c>
      <c r="T41" s="13">
        <f>IF('Council Entry'!T41="","",IFERROR(MAX(0,MIN(10,ROUND(IF('Council Entry'!T$7="Decrease Risk",10-10*((IF('Council Entry'!T$4="Logarithm",LN(0.001+IF(AND(ISNUMBER('Council Entry'!T$8),ISNUMBER('Council Entry'!T$9)),MAX(MIN('Council Entry'!T41,'Council Entry'!T$9),'Council Entry'!T$8),'Council Entry'!T41)),IF('Council Entry'!T$4="Exponential",EXP(IF(AND(ISNUMBER('Council Entry'!T$8),ISNUMBER('Council Entry'!T$9)),MAX(MIN('Council Entry'!T41,'Council Entry'!T$9),'Council Entry'!T$8),'Council Entry'!T41)),IF(AND(ISNUMBER('Council Entry'!T$8),ISNUMBER('Council Entry'!T$9)),MAX(MIN('Council Entry'!T41,'Council Entry'!T$9),'Council Entry'!T$8),'Council Entry'!T41))))-'Council Entry'!T$5)/('Council Entry'!T$6-'Council Entry'!T$5),10*((IF('Council Entry'!T$4="Logarithm",LN(0.001+IF(AND(ISNUMBER('Council Entry'!T$8),ISNUMBER('Council Entry'!T$9)),MAX(MIN('Council Entry'!T41,'Council Entry'!T$9),'Council Entry'!T$8),'Council Entry'!T41)),IF('Council Entry'!T$4="Exponential",EXP(IF(AND(ISNUMBER('Council Entry'!T$8),ISNUMBER('Council Entry'!T$9)),MAX(MIN('Council Entry'!T41,'Council Entry'!T$9),'Council Entry'!T$8),'Council Entry'!T41)),IF(AND(ISNUMBER('Council Entry'!T$8),ISNUMBER('Council Entry'!T$9)),MAX(MIN('Council Entry'!T41,'Council Entry'!T$9),'Council Entry'!T$8),'Council Entry'!T41))))-'Council Entry'!T$5)/('Council Entry'!T$6-'Council Entry'!T$5)),1))),"No data"))</f>
        <v/>
      </c>
      <c r="U41" s="13">
        <f>IF('Council Entry'!U41="","",IFERROR(MAX(0,MIN(10,ROUND(IF('Council Entry'!U$7="Decrease Risk",10-10*((IF('Council Entry'!U$4="Logarithm",LN(0.001+IF(AND(ISNUMBER('Council Entry'!U$8),ISNUMBER('Council Entry'!U$9)),MAX(MIN('Council Entry'!U41,'Council Entry'!U$9),'Council Entry'!U$8),'Council Entry'!U41)),IF('Council Entry'!U$4="Exponential",EXP(IF(AND(ISNUMBER('Council Entry'!U$8),ISNUMBER('Council Entry'!U$9)),MAX(MIN('Council Entry'!U41,'Council Entry'!U$9),'Council Entry'!U$8),'Council Entry'!U41)),IF(AND(ISNUMBER('Council Entry'!U$8),ISNUMBER('Council Entry'!U$9)),MAX(MIN('Council Entry'!U41,'Council Entry'!U$9),'Council Entry'!U$8),'Council Entry'!U41))))-'Council Entry'!U$5)/('Council Entry'!U$6-'Council Entry'!U$5),10*((IF('Council Entry'!U$4="Logarithm",LN(0.001+IF(AND(ISNUMBER('Council Entry'!U$8),ISNUMBER('Council Entry'!U$9)),MAX(MIN('Council Entry'!U41,'Council Entry'!U$9),'Council Entry'!U$8),'Council Entry'!U41)),IF('Council Entry'!U$4="Exponential",EXP(IF(AND(ISNUMBER('Council Entry'!U$8),ISNUMBER('Council Entry'!U$9)),MAX(MIN('Council Entry'!U41,'Council Entry'!U$9),'Council Entry'!U$8),'Council Entry'!U41)),IF(AND(ISNUMBER('Council Entry'!U$8),ISNUMBER('Council Entry'!U$9)),MAX(MIN('Council Entry'!U41,'Council Entry'!U$9),'Council Entry'!U$8),'Council Entry'!U41))))-'Council Entry'!U$5)/('Council Entry'!U$6-'Council Entry'!U$5)),1))),"No data"))</f>
        <v/>
      </c>
      <c r="V41" s="13">
        <f>IF('Council Entry'!V41="","",IFERROR(MAX(0,MIN(10,ROUND(IF('Council Entry'!V$7="Decrease Risk",10-10*((IF('Council Entry'!V$4="Logarithm",LN(0.001+IF(AND(ISNUMBER('Council Entry'!V$8),ISNUMBER('Council Entry'!V$9)),MAX(MIN('Council Entry'!V41,'Council Entry'!V$9),'Council Entry'!V$8),'Council Entry'!V41)),IF('Council Entry'!V$4="Exponential",EXP(IF(AND(ISNUMBER('Council Entry'!V$8),ISNUMBER('Council Entry'!V$9)),MAX(MIN('Council Entry'!V41,'Council Entry'!V$9),'Council Entry'!V$8),'Council Entry'!V41)),IF(AND(ISNUMBER('Council Entry'!V$8),ISNUMBER('Council Entry'!V$9)),MAX(MIN('Council Entry'!V41,'Council Entry'!V$9),'Council Entry'!V$8),'Council Entry'!V41))))-'Council Entry'!V$5)/('Council Entry'!V$6-'Council Entry'!V$5),10*((IF('Council Entry'!V$4="Logarithm",LN(0.001+IF(AND(ISNUMBER('Council Entry'!V$8),ISNUMBER('Council Entry'!V$9)),MAX(MIN('Council Entry'!V41,'Council Entry'!V$9),'Council Entry'!V$8),'Council Entry'!V41)),IF('Council Entry'!V$4="Exponential",EXP(IF(AND(ISNUMBER('Council Entry'!V$8),ISNUMBER('Council Entry'!V$9)),MAX(MIN('Council Entry'!V41,'Council Entry'!V$9),'Council Entry'!V$8),'Council Entry'!V41)),IF(AND(ISNUMBER('Council Entry'!V$8),ISNUMBER('Council Entry'!V$9)),MAX(MIN('Council Entry'!V41,'Council Entry'!V$9),'Council Entry'!V$8),'Council Entry'!V41))))-'Council Entry'!V$5)/('Council Entry'!V$6-'Council Entry'!V$5)),1))),"No data"))</f>
        <v/>
      </c>
      <c r="W41" s="13">
        <f>IF('Council Entry'!W41="","",IFERROR(MAX(0,MIN(10,ROUND(IF('Council Entry'!W$7="Decrease Risk",10-10*((IF('Council Entry'!W$4="Logarithm",LN(0.001+IF(AND(ISNUMBER('Council Entry'!W$8),ISNUMBER('Council Entry'!W$9)),MAX(MIN('Council Entry'!W41,'Council Entry'!W$9),'Council Entry'!W$8),'Council Entry'!W41)),IF('Council Entry'!W$4="Exponential",EXP(IF(AND(ISNUMBER('Council Entry'!W$8),ISNUMBER('Council Entry'!W$9)),MAX(MIN('Council Entry'!W41,'Council Entry'!W$9),'Council Entry'!W$8),'Council Entry'!W41)),IF(AND(ISNUMBER('Council Entry'!W$8),ISNUMBER('Council Entry'!W$9)),MAX(MIN('Council Entry'!W41,'Council Entry'!W$9),'Council Entry'!W$8),'Council Entry'!W41))))-'Council Entry'!W$5)/('Council Entry'!W$6-'Council Entry'!W$5),10*((IF('Council Entry'!W$4="Logarithm",LN(0.001+IF(AND(ISNUMBER('Council Entry'!W$8),ISNUMBER('Council Entry'!W$9)),MAX(MIN('Council Entry'!W41,'Council Entry'!W$9),'Council Entry'!W$8),'Council Entry'!W41)),IF('Council Entry'!W$4="Exponential",EXP(IF(AND(ISNUMBER('Council Entry'!W$8),ISNUMBER('Council Entry'!W$9)),MAX(MIN('Council Entry'!W41,'Council Entry'!W$9),'Council Entry'!W$8),'Council Entry'!W41)),IF(AND(ISNUMBER('Council Entry'!W$8),ISNUMBER('Council Entry'!W$9)),MAX(MIN('Council Entry'!W41,'Council Entry'!W$9),'Council Entry'!W$8),'Council Entry'!W41))))-'Council Entry'!W$5)/('Council Entry'!W$6-'Council Entry'!W$5)),1))),"No data"))</f>
        <v/>
      </c>
      <c r="X41" s="13">
        <f>IF('Council Entry'!X41="","",IFERROR(MAX(0,MIN(10,ROUND(IF('Council Entry'!X$7="Decrease Risk",10-10*((IF('Council Entry'!X$4="Logarithm",LN(0.001+IF(AND(ISNUMBER('Council Entry'!X$8),ISNUMBER('Council Entry'!X$9)),MAX(MIN('Council Entry'!X41,'Council Entry'!X$9),'Council Entry'!X$8),'Council Entry'!X41)),IF('Council Entry'!X$4="Exponential",EXP(IF(AND(ISNUMBER('Council Entry'!X$8),ISNUMBER('Council Entry'!X$9)),MAX(MIN('Council Entry'!X41,'Council Entry'!X$9),'Council Entry'!X$8),'Council Entry'!X41)),IF(AND(ISNUMBER('Council Entry'!X$8),ISNUMBER('Council Entry'!X$9)),MAX(MIN('Council Entry'!X41,'Council Entry'!X$9),'Council Entry'!X$8),'Council Entry'!X41))))-'Council Entry'!X$5)/('Council Entry'!X$6-'Council Entry'!X$5),10*((IF('Council Entry'!X$4="Logarithm",LN(0.001+IF(AND(ISNUMBER('Council Entry'!X$8),ISNUMBER('Council Entry'!X$9)),MAX(MIN('Council Entry'!X41,'Council Entry'!X$9),'Council Entry'!X$8),'Council Entry'!X41)),IF('Council Entry'!X$4="Exponential",EXP(IF(AND(ISNUMBER('Council Entry'!X$8),ISNUMBER('Council Entry'!X$9)),MAX(MIN('Council Entry'!X41,'Council Entry'!X$9),'Council Entry'!X$8),'Council Entry'!X41)),IF(AND(ISNUMBER('Council Entry'!X$8),ISNUMBER('Council Entry'!X$9)),MAX(MIN('Council Entry'!X41,'Council Entry'!X$9),'Council Entry'!X$8),'Council Entry'!X41))))-'Council Entry'!X$5)/('Council Entry'!X$6-'Council Entry'!X$5)),1))),"No data"))</f>
        <v/>
      </c>
      <c r="Y41" s="13">
        <f>IF('Council Entry'!Y41="","",IFERROR(MAX(0,MIN(10,ROUND(IF('Council Entry'!Y$7="Decrease Risk",10-10*((IF('Council Entry'!Y$4="Logarithm",LN(0.001+IF(AND(ISNUMBER('Council Entry'!Y$8),ISNUMBER('Council Entry'!Y$9)),MAX(MIN('Council Entry'!Y41,'Council Entry'!Y$9),'Council Entry'!Y$8),'Council Entry'!Y41)),IF('Council Entry'!Y$4="Exponential",EXP(IF(AND(ISNUMBER('Council Entry'!Y$8),ISNUMBER('Council Entry'!Y$9)),MAX(MIN('Council Entry'!Y41,'Council Entry'!Y$9),'Council Entry'!Y$8),'Council Entry'!Y41)),IF(AND(ISNUMBER('Council Entry'!Y$8),ISNUMBER('Council Entry'!Y$9)),MAX(MIN('Council Entry'!Y41,'Council Entry'!Y$9),'Council Entry'!Y$8),'Council Entry'!Y41))))-'Council Entry'!Y$5)/('Council Entry'!Y$6-'Council Entry'!Y$5),10*((IF('Council Entry'!Y$4="Logarithm",LN(0.001+IF(AND(ISNUMBER('Council Entry'!Y$8),ISNUMBER('Council Entry'!Y$9)),MAX(MIN('Council Entry'!Y41,'Council Entry'!Y$9),'Council Entry'!Y$8),'Council Entry'!Y41)),IF('Council Entry'!Y$4="Exponential",EXP(IF(AND(ISNUMBER('Council Entry'!Y$8),ISNUMBER('Council Entry'!Y$9)),MAX(MIN('Council Entry'!Y41,'Council Entry'!Y$9),'Council Entry'!Y$8),'Council Entry'!Y41)),IF(AND(ISNUMBER('Council Entry'!Y$8),ISNUMBER('Council Entry'!Y$9)),MAX(MIN('Council Entry'!Y41,'Council Entry'!Y$9),'Council Entry'!Y$8),'Council Entry'!Y41))))-'Council Entry'!Y$5)/('Council Entry'!Y$6-'Council Entry'!Y$5)),1))),"No data"))</f>
        <v/>
      </c>
      <c r="Z41" s="13">
        <f>IF('Council Entry'!Z41="","",IFERROR(MAX(0,MIN(10,ROUND(IF('Council Entry'!Z$7="Decrease Risk",10-10*((IF('Council Entry'!Z$4="Logarithm",LN(0.001+IF(AND(ISNUMBER('Council Entry'!Z$8),ISNUMBER('Council Entry'!Z$9)),MAX(MIN('Council Entry'!Z41,'Council Entry'!Z$9),'Council Entry'!Z$8),'Council Entry'!Z41)),IF('Council Entry'!Z$4="Exponential",EXP(IF(AND(ISNUMBER('Council Entry'!Z$8),ISNUMBER('Council Entry'!Z$9)),MAX(MIN('Council Entry'!Z41,'Council Entry'!Z$9),'Council Entry'!Z$8),'Council Entry'!Z41)),IF(AND(ISNUMBER('Council Entry'!Z$8),ISNUMBER('Council Entry'!Z$9)),MAX(MIN('Council Entry'!Z41,'Council Entry'!Z$9),'Council Entry'!Z$8),'Council Entry'!Z41))))-'Council Entry'!Z$5)/('Council Entry'!Z$6-'Council Entry'!Z$5),10*((IF('Council Entry'!Z$4="Logarithm",LN(0.001+IF(AND(ISNUMBER('Council Entry'!Z$8),ISNUMBER('Council Entry'!Z$9)),MAX(MIN('Council Entry'!Z41,'Council Entry'!Z$9),'Council Entry'!Z$8),'Council Entry'!Z41)),IF('Council Entry'!Z$4="Exponential",EXP(IF(AND(ISNUMBER('Council Entry'!Z$8),ISNUMBER('Council Entry'!Z$9)),MAX(MIN('Council Entry'!Z41,'Council Entry'!Z$9),'Council Entry'!Z$8),'Council Entry'!Z41)),IF(AND(ISNUMBER('Council Entry'!Z$8),ISNUMBER('Council Entry'!Z$9)),MAX(MIN('Council Entry'!Z41,'Council Entry'!Z$9),'Council Entry'!Z$8),'Council Entry'!Z41))))-'Council Entry'!Z$5)/('Council Entry'!Z$6-'Council Entry'!Z$5)),1))),"No data"))</f>
        <v/>
      </c>
      <c r="AA41" s="13">
        <f>IF('Council Entry'!AA41="","",IFERROR(MAX(0,MIN(10,ROUND(IF('Council Entry'!AA$7="Decrease Risk",10-10*((IF('Council Entry'!AA$4="Logarithm",LN(0.001+IF(AND(ISNUMBER('Council Entry'!AA$8),ISNUMBER('Council Entry'!AA$9)),MAX(MIN('Council Entry'!AA41,'Council Entry'!AA$9),'Council Entry'!AA$8),'Council Entry'!AA41)),IF('Council Entry'!AA$4="Exponential",EXP(IF(AND(ISNUMBER('Council Entry'!AA$8),ISNUMBER('Council Entry'!AA$9)),MAX(MIN('Council Entry'!AA41,'Council Entry'!AA$9),'Council Entry'!AA$8),'Council Entry'!AA41)),IF(AND(ISNUMBER('Council Entry'!AA$8),ISNUMBER('Council Entry'!AA$9)),MAX(MIN('Council Entry'!AA41,'Council Entry'!AA$9),'Council Entry'!AA$8),'Council Entry'!AA41))))-'Council Entry'!AA$5)/('Council Entry'!AA$6-'Council Entry'!AA$5),10*((IF('Council Entry'!AA$4="Logarithm",LN(0.001+IF(AND(ISNUMBER('Council Entry'!AA$8),ISNUMBER('Council Entry'!AA$9)),MAX(MIN('Council Entry'!AA41,'Council Entry'!AA$9),'Council Entry'!AA$8),'Council Entry'!AA41)),IF('Council Entry'!AA$4="Exponential",EXP(IF(AND(ISNUMBER('Council Entry'!AA$8),ISNUMBER('Council Entry'!AA$9)),MAX(MIN('Council Entry'!AA41,'Council Entry'!AA$9),'Council Entry'!AA$8),'Council Entry'!AA41)),IF(AND(ISNUMBER('Council Entry'!AA$8),ISNUMBER('Council Entry'!AA$9)),MAX(MIN('Council Entry'!AA41,'Council Entry'!AA$9),'Council Entry'!AA$8),'Council Entry'!AA41))))-'Council Entry'!AA$5)/('Council Entry'!AA$6-'Council Entry'!AA$5)),1))),"No data"))</f>
        <v/>
      </c>
      <c r="AB41" s="13">
        <f>IF('Council Entry'!AB41="","",IFERROR(MAX(0,MIN(10,ROUND(IF('Council Entry'!AB$7="Decrease Risk",10-10*((IF('Council Entry'!AB$4="Logarithm",LN(0.001+IF(AND(ISNUMBER('Council Entry'!AB$8),ISNUMBER('Council Entry'!AB$9)),MAX(MIN('Council Entry'!AB41,'Council Entry'!AB$9),'Council Entry'!AB$8),'Council Entry'!AB41)),IF('Council Entry'!AB$4="Exponential",EXP(IF(AND(ISNUMBER('Council Entry'!AB$8),ISNUMBER('Council Entry'!AB$9)),MAX(MIN('Council Entry'!AB41,'Council Entry'!AB$9),'Council Entry'!AB$8),'Council Entry'!AB41)),IF(AND(ISNUMBER('Council Entry'!AB$8),ISNUMBER('Council Entry'!AB$9)),MAX(MIN('Council Entry'!AB41,'Council Entry'!AB$9),'Council Entry'!AB$8),'Council Entry'!AB41))))-'Council Entry'!AB$5)/('Council Entry'!AB$6-'Council Entry'!AB$5),10*((IF('Council Entry'!AB$4="Logarithm",LN(0.001+IF(AND(ISNUMBER('Council Entry'!AB$8),ISNUMBER('Council Entry'!AB$9)),MAX(MIN('Council Entry'!AB41,'Council Entry'!AB$9),'Council Entry'!AB$8),'Council Entry'!AB41)),IF('Council Entry'!AB$4="Exponential",EXP(IF(AND(ISNUMBER('Council Entry'!AB$8),ISNUMBER('Council Entry'!AB$9)),MAX(MIN('Council Entry'!AB41,'Council Entry'!AB$9),'Council Entry'!AB$8),'Council Entry'!AB41)),IF(AND(ISNUMBER('Council Entry'!AB$8),ISNUMBER('Council Entry'!AB$9)),MAX(MIN('Council Entry'!AB41,'Council Entry'!AB$9),'Council Entry'!AB$8),'Council Entry'!AB41))))-'Council Entry'!AB$5)/('Council Entry'!AB$6-'Council Entry'!AB$5)),1))),"No data"))</f>
        <v/>
      </c>
      <c r="AC41" s="13">
        <f>IF('Council Entry'!AC41="","",IFERROR(MAX(0,MIN(10,ROUND(IF('Council Entry'!AC$7="Decrease Risk",10-10*((IF('Council Entry'!AC$4="Logarithm",LN(0.001+IF(AND(ISNUMBER('Council Entry'!AC$8),ISNUMBER('Council Entry'!AC$9)),MAX(MIN('Council Entry'!AC41,'Council Entry'!AC$9),'Council Entry'!AC$8),'Council Entry'!AC41)),IF('Council Entry'!AC$4="Exponential",EXP(IF(AND(ISNUMBER('Council Entry'!AC$8),ISNUMBER('Council Entry'!AC$9)),MAX(MIN('Council Entry'!AC41,'Council Entry'!AC$9),'Council Entry'!AC$8),'Council Entry'!AC41)),IF(AND(ISNUMBER('Council Entry'!AC$8),ISNUMBER('Council Entry'!AC$9)),MAX(MIN('Council Entry'!AC41,'Council Entry'!AC$9),'Council Entry'!AC$8),'Council Entry'!AC41))))-'Council Entry'!AC$5)/('Council Entry'!AC$6-'Council Entry'!AC$5),10*((IF('Council Entry'!AC$4="Logarithm",LN(0.001+IF(AND(ISNUMBER('Council Entry'!AC$8),ISNUMBER('Council Entry'!AC$9)),MAX(MIN('Council Entry'!AC41,'Council Entry'!AC$9),'Council Entry'!AC$8),'Council Entry'!AC41)),IF('Council Entry'!AC$4="Exponential",EXP(IF(AND(ISNUMBER('Council Entry'!AC$8),ISNUMBER('Council Entry'!AC$9)),MAX(MIN('Council Entry'!AC41,'Council Entry'!AC$9),'Council Entry'!AC$8),'Council Entry'!AC41)),IF(AND(ISNUMBER('Council Entry'!AC$8),ISNUMBER('Council Entry'!AC$9)),MAX(MIN('Council Entry'!AC41,'Council Entry'!AC$9),'Council Entry'!AC$8),'Council Entry'!AC41))))-'Council Entry'!AC$5)/('Council Entry'!AC$6-'Council Entry'!AC$5)),1))),"No data"))</f>
        <v/>
      </c>
      <c r="AD41" s="13">
        <f>IF('Council Entry'!AD41="","",IFERROR(MAX(0,MIN(10,ROUND(IF('Council Entry'!AD$7="Decrease Risk",10-10*((IF('Council Entry'!AD$4="Logarithm",LN(0.001+IF(AND(ISNUMBER('Council Entry'!AD$8),ISNUMBER('Council Entry'!AD$9)),MAX(MIN('Council Entry'!AD41,'Council Entry'!AD$9),'Council Entry'!AD$8),'Council Entry'!AD41)),IF('Council Entry'!AD$4="Exponential",EXP(IF(AND(ISNUMBER('Council Entry'!AD$8),ISNUMBER('Council Entry'!AD$9)),MAX(MIN('Council Entry'!AD41,'Council Entry'!AD$9),'Council Entry'!AD$8),'Council Entry'!AD41)),IF(AND(ISNUMBER('Council Entry'!AD$8),ISNUMBER('Council Entry'!AD$9)),MAX(MIN('Council Entry'!AD41,'Council Entry'!AD$9),'Council Entry'!AD$8),'Council Entry'!AD41))))-'Council Entry'!AD$5)/('Council Entry'!AD$6-'Council Entry'!AD$5),10*((IF('Council Entry'!AD$4="Logarithm",LN(0.001+IF(AND(ISNUMBER('Council Entry'!AD$8),ISNUMBER('Council Entry'!AD$9)),MAX(MIN('Council Entry'!AD41,'Council Entry'!AD$9),'Council Entry'!AD$8),'Council Entry'!AD41)),IF('Council Entry'!AD$4="Exponential",EXP(IF(AND(ISNUMBER('Council Entry'!AD$8),ISNUMBER('Council Entry'!AD$9)),MAX(MIN('Council Entry'!AD41,'Council Entry'!AD$9),'Council Entry'!AD$8),'Council Entry'!AD41)),IF(AND(ISNUMBER('Council Entry'!AD$8),ISNUMBER('Council Entry'!AD$9)),MAX(MIN('Council Entry'!AD41,'Council Entry'!AD$9),'Council Entry'!AD$8),'Council Entry'!AD41))))-'Council Entry'!AD$5)/('Council Entry'!AD$6-'Council Entry'!AD$5)),1))),"No data"))</f>
        <v/>
      </c>
      <c r="AE41" s="13">
        <f>IF('Council Entry'!AE41="","",IFERROR(MAX(0,MIN(10,ROUND(IF('Council Entry'!AE$7="Decrease Risk",10-10*((IF('Council Entry'!AE$4="Logarithm",LN(0.001+IF(AND(ISNUMBER('Council Entry'!AE$8),ISNUMBER('Council Entry'!AE$9)),MAX(MIN('Council Entry'!AE41,'Council Entry'!AE$9),'Council Entry'!AE$8),'Council Entry'!AE41)),IF('Council Entry'!AE$4="Exponential",EXP(IF(AND(ISNUMBER('Council Entry'!AE$8),ISNUMBER('Council Entry'!AE$9)),MAX(MIN('Council Entry'!AE41,'Council Entry'!AE$9),'Council Entry'!AE$8),'Council Entry'!AE41)),IF(AND(ISNUMBER('Council Entry'!AE$8),ISNUMBER('Council Entry'!AE$9)),MAX(MIN('Council Entry'!AE41,'Council Entry'!AE$9),'Council Entry'!AE$8),'Council Entry'!AE41))))-'Council Entry'!AE$5)/('Council Entry'!AE$6-'Council Entry'!AE$5),10*((IF('Council Entry'!AE$4="Logarithm",LN(0.001+IF(AND(ISNUMBER('Council Entry'!AE$8),ISNUMBER('Council Entry'!AE$9)),MAX(MIN('Council Entry'!AE41,'Council Entry'!AE$9),'Council Entry'!AE$8),'Council Entry'!AE41)),IF('Council Entry'!AE$4="Exponential",EXP(IF(AND(ISNUMBER('Council Entry'!AE$8),ISNUMBER('Council Entry'!AE$9)),MAX(MIN('Council Entry'!AE41,'Council Entry'!AE$9),'Council Entry'!AE$8),'Council Entry'!AE41)),IF(AND(ISNUMBER('Council Entry'!AE$8),ISNUMBER('Council Entry'!AE$9)),MAX(MIN('Council Entry'!AE41,'Council Entry'!AE$9),'Council Entry'!AE$8),'Council Entry'!AE41))))-'Council Entry'!AE$5)/('Council Entry'!AE$6-'Council Entry'!AE$5)),1))),"No data"))</f>
        <v/>
      </c>
      <c r="AF41" s="13">
        <f>IF('Council Entry'!AF41="","",IFERROR(MAX(0,MIN(10,ROUND(IF('Council Entry'!AF$7="Decrease Risk",10-10*((IF('Council Entry'!AF$4="Logarithm",LN(0.001+IF(AND(ISNUMBER('Council Entry'!AF$8),ISNUMBER('Council Entry'!AF$9)),MAX(MIN('Council Entry'!AF41,'Council Entry'!AF$9),'Council Entry'!AF$8),'Council Entry'!AF41)),IF('Council Entry'!AF$4="Exponential",EXP(IF(AND(ISNUMBER('Council Entry'!AF$8),ISNUMBER('Council Entry'!AF$9)),MAX(MIN('Council Entry'!AF41,'Council Entry'!AF$9),'Council Entry'!AF$8),'Council Entry'!AF41)),IF(AND(ISNUMBER('Council Entry'!AF$8),ISNUMBER('Council Entry'!AF$9)),MAX(MIN('Council Entry'!AF41,'Council Entry'!AF$9),'Council Entry'!AF$8),'Council Entry'!AF41))))-'Council Entry'!AF$5)/('Council Entry'!AF$6-'Council Entry'!AF$5),10*((IF('Council Entry'!AF$4="Logarithm",LN(0.001+IF(AND(ISNUMBER('Council Entry'!AF$8),ISNUMBER('Council Entry'!AF$9)),MAX(MIN('Council Entry'!AF41,'Council Entry'!AF$9),'Council Entry'!AF$8),'Council Entry'!AF41)),IF('Council Entry'!AF$4="Exponential",EXP(IF(AND(ISNUMBER('Council Entry'!AF$8),ISNUMBER('Council Entry'!AF$9)),MAX(MIN('Council Entry'!AF41,'Council Entry'!AF$9),'Council Entry'!AF$8),'Council Entry'!AF41)),IF(AND(ISNUMBER('Council Entry'!AF$8),ISNUMBER('Council Entry'!AF$9)),MAX(MIN('Council Entry'!AF41,'Council Entry'!AF$9),'Council Entry'!AF$8),'Council Entry'!AF41))))-'Council Entry'!AF$5)/('Council Entry'!AF$6-'Council Entry'!AF$5)),1))),"No data"))</f>
        <v/>
      </c>
      <c r="AG41" s="13">
        <f>IF('Council Entry'!AG41="","",IFERROR(MAX(0,MIN(10,ROUND(IF('Council Entry'!AG$7="Decrease Risk",10-10*((IF('Council Entry'!AG$4="Logarithm",LN(0.001+IF(AND(ISNUMBER('Council Entry'!AG$8),ISNUMBER('Council Entry'!AG$9)),MAX(MIN('Council Entry'!AG41,'Council Entry'!AG$9),'Council Entry'!AG$8),'Council Entry'!AG41)),IF('Council Entry'!AG$4="Exponential",EXP(IF(AND(ISNUMBER('Council Entry'!AG$8),ISNUMBER('Council Entry'!AG$9)),MAX(MIN('Council Entry'!AG41,'Council Entry'!AG$9),'Council Entry'!AG$8),'Council Entry'!AG41)),IF(AND(ISNUMBER('Council Entry'!AG$8),ISNUMBER('Council Entry'!AG$9)),MAX(MIN('Council Entry'!AG41,'Council Entry'!AG$9),'Council Entry'!AG$8),'Council Entry'!AG41))))-'Council Entry'!AG$5)/('Council Entry'!AG$6-'Council Entry'!AG$5),10*((IF('Council Entry'!AG$4="Logarithm",LN(0.001+IF(AND(ISNUMBER('Council Entry'!AG$8),ISNUMBER('Council Entry'!AG$9)),MAX(MIN('Council Entry'!AG41,'Council Entry'!AG$9),'Council Entry'!AG$8),'Council Entry'!AG41)),IF('Council Entry'!AG$4="Exponential",EXP(IF(AND(ISNUMBER('Council Entry'!AG$8),ISNUMBER('Council Entry'!AG$9)),MAX(MIN('Council Entry'!AG41,'Council Entry'!AG$9),'Council Entry'!AG$8),'Council Entry'!AG41)),IF(AND(ISNUMBER('Council Entry'!AG$8),ISNUMBER('Council Entry'!AG$9)),MAX(MIN('Council Entry'!AG41,'Council Entry'!AG$9),'Council Entry'!AG$8),'Council Entry'!AG41))))-'Council Entry'!AG$5)/('Council Entry'!AG$6-'Council Entry'!AG$5)),1))),"No data"))</f>
        <v/>
      </c>
      <c r="AH41" s="13">
        <f>IF('Council Entry'!AH41="","",IFERROR(MAX(0,MIN(10,ROUND(IF('Council Entry'!AH$7="Decrease Risk",10-10*((IF('Council Entry'!AH$4="Logarithm",LN(0.001+IF(AND(ISNUMBER('Council Entry'!AH$8),ISNUMBER('Council Entry'!AH$9)),MAX(MIN('Council Entry'!AH41,'Council Entry'!AH$9),'Council Entry'!AH$8),'Council Entry'!AH41)),IF('Council Entry'!AH$4="Exponential",EXP(IF(AND(ISNUMBER('Council Entry'!AH$8),ISNUMBER('Council Entry'!AH$9)),MAX(MIN('Council Entry'!AH41,'Council Entry'!AH$9),'Council Entry'!AH$8),'Council Entry'!AH41)),IF(AND(ISNUMBER('Council Entry'!AH$8),ISNUMBER('Council Entry'!AH$9)),MAX(MIN('Council Entry'!AH41,'Council Entry'!AH$9),'Council Entry'!AH$8),'Council Entry'!AH41))))-'Council Entry'!AH$5)/('Council Entry'!AH$6-'Council Entry'!AH$5),10*((IF('Council Entry'!AH$4="Logarithm",LN(0.001+IF(AND(ISNUMBER('Council Entry'!AH$8),ISNUMBER('Council Entry'!AH$9)),MAX(MIN('Council Entry'!AH41,'Council Entry'!AH$9),'Council Entry'!AH$8),'Council Entry'!AH41)),IF('Council Entry'!AH$4="Exponential",EXP(IF(AND(ISNUMBER('Council Entry'!AH$8),ISNUMBER('Council Entry'!AH$9)),MAX(MIN('Council Entry'!AH41,'Council Entry'!AH$9),'Council Entry'!AH$8),'Council Entry'!AH41)),IF(AND(ISNUMBER('Council Entry'!AH$8),ISNUMBER('Council Entry'!AH$9)),MAX(MIN('Council Entry'!AH41,'Council Entry'!AH$9),'Council Entry'!AH$8),'Council Entry'!AH41))))-'Council Entry'!AH$5)/('Council Entry'!AH$6-'Council Entry'!AH$5)),1))),"No data"))</f>
        <v/>
      </c>
      <c r="AI41" s="13">
        <f>IF('Council Entry'!AI41="","",IFERROR(MAX(0,MIN(10,ROUND(IF('Council Entry'!AI$7="Decrease Risk",10-10*((IF('Council Entry'!AI$4="Logarithm",LN(0.001+IF(AND(ISNUMBER('Council Entry'!AI$8),ISNUMBER('Council Entry'!AI$9)),MAX(MIN('Council Entry'!AI41,'Council Entry'!AI$9),'Council Entry'!AI$8),'Council Entry'!AI41)),IF('Council Entry'!AI$4="Exponential",EXP(IF(AND(ISNUMBER('Council Entry'!AI$8),ISNUMBER('Council Entry'!AI$9)),MAX(MIN('Council Entry'!AI41,'Council Entry'!AI$9),'Council Entry'!AI$8),'Council Entry'!AI41)),IF(AND(ISNUMBER('Council Entry'!AI$8),ISNUMBER('Council Entry'!AI$9)),MAX(MIN('Council Entry'!AI41,'Council Entry'!AI$9),'Council Entry'!AI$8),'Council Entry'!AI41))))-'Council Entry'!AI$5)/('Council Entry'!AI$6-'Council Entry'!AI$5),10*((IF('Council Entry'!AI$4="Logarithm",LN(0.001+IF(AND(ISNUMBER('Council Entry'!AI$8),ISNUMBER('Council Entry'!AI$9)),MAX(MIN('Council Entry'!AI41,'Council Entry'!AI$9),'Council Entry'!AI$8),'Council Entry'!AI41)),IF('Council Entry'!AI$4="Exponential",EXP(IF(AND(ISNUMBER('Council Entry'!AI$8),ISNUMBER('Council Entry'!AI$9)),MAX(MIN('Council Entry'!AI41,'Council Entry'!AI$9),'Council Entry'!AI$8),'Council Entry'!AI41)),IF(AND(ISNUMBER('Council Entry'!AI$8),ISNUMBER('Council Entry'!AI$9)),MAX(MIN('Council Entry'!AI41,'Council Entry'!AI$9),'Council Entry'!AI$8),'Council Entry'!AI41))))-'Council Entry'!AI$5)/('Council Entry'!AI$6-'Council Entry'!AI$5)),1))),"No data"))</f>
        <v/>
      </c>
      <c r="AJ41" s="13">
        <f>IF('Council Entry'!AJ41="","",IFERROR(MAX(0,MIN(10,ROUND(IF('Council Entry'!AJ$7="Decrease Risk",10-10*((IF('Council Entry'!AJ$4="Logarithm",LN(0.001+IF(AND(ISNUMBER('Council Entry'!AJ$8),ISNUMBER('Council Entry'!AJ$9)),MAX(MIN('Council Entry'!AJ41,'Council Entry'!AJ$9),'Council Entry'!AJ$8),'Council Entry'!AJ41)),IF('Council Entry'!AJ$4="Exponential",EXP(IF(AND(ISNUMBER('Council Entry'!AJ$8),ISNUMBER('Council Entry'!AJ$9)),MAX(MIN('Council Entry'!AJ41,'Council Entry'!AJ$9),'Council Entry'!AJ$8),'Council Entry'!AJ41)),IF(AND(ISNUMBER('Council Entry'!AJ$8),ISNUMBER('Council Entry'!AJ$9)),MAX(MIN('Council Entry'!AJ41,'Council Entry'!AJ$9),'Council Entry'!AJ$8),'Council Entry'!AJ41))))-'Council Entry'!AJ$5)/('Council Entry'!AJ$6-'Council Entry'!AJ$5),10*((IF('Council Entry'!AJ$4="Logarithm",LN(0.001+IF(AND(ISNUMBER('Council Entry'!AJ$8),ISNUMBER('Council Entry'!AJ$9)),MAX(MIN('Council Entry'!AJ41,'Council Entry'!AJ$9),'Council Entry'!AJ$8),'Council Entry'!AJ41)),IF('Council Entry'!AJ$4="Exponential",EXP(IF(AND(ISNUMBER('Council Entry'!AJ$8),ISNUMBER('Council Entry'!AJ$9)),MAX(MIN('Council Entry'!AJ41,'Council Entry'!AJ$9),'Council Entry'!AJ$8),'Council Entry'!AJ41)),IF(AND(ISNUMBER('Council Entry'!AJ$8),ISNUMBER('Council Entry'!AJ$9)),MAX(MIN('Council Entry'!AJ41,'Council Entry'!AJ$9),'Council Entry'!AJ$8),'Council Entry'!AJ41))))-'Council Entry'!AJ$5)/('Council Entry'!AJ$6-'Council Entry'!AJ$5)),1))),"No data"))</f>
        <v/>
      </c>
      <c r="AK41" s="13">
        <f>IF('Council Entry'!AK41="","",IFERROR(MAX(0,MIN(10,ROUND(IF('Council Entry'!AK$7="Decrease Risk",10-10*((IF('Council Entry'!AK$4="Logarithm",LN(0.001+IF(AND(ISNUMBER('Council Entry'!AK$8),ISNUMBER('Council Entry'!AK$9)),MAX(MIN('Council Entry'!AK41,'Council Entry'!AK$9),'Council Entry'!AK$8),'Council Entry'!AK41)),IF('Council Entry'!AK$4="Exponential",EXP(IF(AND(ISNUMBER('Council Entry'!AK$8),ISNUMBER('Council Entry'!AK$9)),MAX(MIN('Council Entry'!AK41,'Council Entry'!AK$9),'Council Entry'!AK$8),'Council Entry'!AK41)),IF(AND(ISNUMBER('Council Entry'!AK$8),ISNUMBER('Council Entry'!AK$9)),MAX(MIN('Council Entry'!AK41,'Council Entry'!AK$9),'Council Entry'!AK$8),'Council Entry'!AK41))))-'Council Entry'!AK$5)/('Council Entry'!AK$6-'Council Entry'!AK$5),10*((IF('Council Entry'!AK$4="Logarithm",LN(0.001+IF(AND(ISNUMBER('Council Entry'!AK$8),ISNUMBER('Council Entry'!AK$9)),MAX(MIN('Council Entry'!AK41,'Council Entry'!AK$9),'Council Entry'!AK$8),'Council Entry'!AK41)),IF('Council Entry'!AK$4="Exponential",EXP(IF(AND(ISNUMBER('Council Entry'!AK$8),ISNUMBER('Council Entry'!AK$9)),MAX(MIN('Council Entry'!AK41,'Council Entry'!AK$9),'Council Entry'!AK$8),'Council Entry'!AK41)),IF(AND(ISNUMBER('Council Entry'!AK$8),ISNUMBER('Council Entry'!AK$9)),MAX(MIN('Council Entry'!AK41,'Council Entry'!AK$9),'Council Entry'!AK$8),'Council Entry'!AK41))))-'Council Entry'!AK$5)/('Council Entry'!AK$6-'Council Entry'!AK$5)),1))),"No data"))</f>
        <v/>
      </c>
      <c r="AL41" s="13">
        <f>IF('Council Entry'!AL41="","",IFERROR(MAX(0,MIN(10,ROUND(IF('Council Entry'!AL$7="Decrease Risk",10-10*((IF('Council Entry'!AL$4="Logarithm",LN(0.001+IF(AND(ISNUMBER('Council Entry'!AL$8),ISNUMBER('Council Entry'!AL$9)),MAX(MIN('Council Entry'!AL41,'Council Entry'!AL$9),'Council Entry'!AL$8),'Council Entry'!AL41)),IF('Council Entry'!AL$4="Exponential",EXP(IF(AND(ISNUMBER('Council Entry'!AL$8),ISNUMBER('Council Entry'!AL$9)),MAX(MIN('Council Entry'!AL41,'Council Entry'!AL$9),'Council Entry'!AL$8),'Council Entry'!AL41)),IF(AND(ISNUMBER('Council Entry'!AL$8),ISNUMBER('Council Entry'!AL$9)),MAX(MIN('Council Entry'!AL41,'Council Entry'!AL$9),'Council Entry'!AL$8),'Council Entry'!AL41))))-'Council Entry'!AL$5)/('Council Entry'!AL$6-'Council Entry'!AL$5),10*((IF('Council Entry'!AL$4="Logarithm",LN(0.001+IF(AND(ISNUMBER('Council Entry'!AL$8),ISNUMBER('Council Entry'!AL$9)),MAX(MIN('Council Entry'!AL41,'Council Entry'!AL$9),'Council Entry'!AL$8),'Council Entry'!AL41)),IF('Council Entry'!AL$4="Exponential",EXP(IF(AND(ISNUMBER('Council Entry'!AL$8),ISNUMBER('Council Entry'!AL$9)),MAX(MIN('Council Entry'!AL41,'Council Entry'!AL$9),'Council Entry'!AL$8),'Council Entry'!AL41)),IF(AND(ISNUMBER('Council Entry'!AL$8),ISNUMBER('Council Entry'!AL$9)),MAX(MIN('Council Entry'!AL41,'Council Entry'!AL$9),'Council Entry'!AL$8),'Council Entry'!AL41))))-'Council Entry'!AL$5)/('Council Entry'!AL$6-'Council Entry'!AL$5)),1))),"No data"))</f>
        <v/>
      </c>
      <c r="AM41" s="13">
        <f>IF('Council Entry'!AM41="","",IFERROR(MAX(0,MIN(10,ROUND(IF('Council Entry'!AM$7="Decrease Risk",10-10*((IF('Council Entry'!AM$4="Logarithm",LN(0.001+IF(AND(ISNUMBER('Council Entry'!AM$8),ISNUMBER('Council Entry'!AM$9)),MAX(MIN('Council Entry'!AM41,'Council Entry'!AM$9),'Council Entry'!AM$8),'Council Entry'!AM41)),IF('Council Entry'!AM$4="Exponential",EXP(IF(AND(ISNUMBER('Council Entry'!AM$8),ISNUMBER('Council Entry'!AM$9)),MAX(MIN('Council Entry'!AM41,'Council Entry'!AM$9),'Council Entry'!AM$8),'Council Entry'!AM41)),IF(AND(ISNUMBER('Council Entry'!AM$8),ISNUMBER('Council Entry'!AM$9)),MAX(MIN('Council Entry'!AM41,'Council Entry'!AM$9),'Council Entry'!AM$8),'Council Entry'!AM41))))-'Council Entry'!AM$5)/('Council Entry'!AM$6-'Council Entry'!AM$5),10*((IF('Council Entry'!AM$4="Logarithm",LN(0.001+IF(AND(ISNUMBER('Council Entry'!AM$8),ISNUMBER('Council Entry'!AM$9)),MAX(MIN('Council Entry'!AM41,'Council Entry'!AM$9),'Council Entry'!AM$8),'Council Entry'!AM41)),IF('Council Entry'!AM$4="Exponential",EXP(IF(AND(ISNUMBER('Council Entry'!AM$8),ISNUMBER('Council Entry'!AM$9)),MAX(MIN('Council Entry'!AM41,'Council Entry'!AM$9),'Council Entry'!AM$8),'Council Entry'!AM41)),IF(AND(ISNUMBER('Council Entry'!AM$8),ISNUMBER('Council Entry'!AM$9)),MAX(MIN('Council Entry'!AM41,'Council Entry'!AM$9),'Council Entry'!AM$8),'Council Entry'!AM41))))-'Council Entry'!AM$5)/('Council Entry'!AM$6-'Council Entry'!AM$5)),1))),"No data"))</f>
        <v/>
      </c>
      <c r="AN41" s="13">
        <f>IF('Council Entry'!AN41="","",IFERROR(MAX(0,MIN(10,ROUND(IF('Council Entry'!AN$7="Decrease Risk",10-10*((IF('Council Entry'!AN$4="Logarithm",LN(0.001+IF(AND(ISNUMBER('Council Entry'!AN$8),ISNUMBER('Council Entry'!AN$9)),MAX(MIN('Council Entry'!AN41,'Council Entry'!AN$9),'Council Entry'!AN$8),'Council Entry'!AN41)),IF('Council Entry'!AN$4="Exponential",EXP(IF(AND(ISNUMBER('Council Entry'!AN$8),ISNUMBER('Council Entry'!AN$9)),MAX(MIN('Council Entry'!AN41,'Council Entry'!AN$9),'Council Entry'!AN$8),'Council Entry'!AN41)),IF(AND(ISNUMBER('Council Entry'!AN$8),ISNUMBER('Council Entry'!AN$9)),MAX(MIN('Council Entry'!AN41,'Council Entry'!AN$9),'Council Entry'!AN$8),'Council Entry'!AN41))))-'Council Entry'!AN$5)/('Council Entry'!AN$6-'Council Entry'!AN$5),10*((IF('Council Entry'!AN$4="Logarithm",LN(0.001+IF(AND(ISNUMBER('Council Entry'!AN$8),ISNUMBER('Council Entry'!AN$9)),MAX(MIN('Council Entry'!AN41,'Council Entry'!AN$9),'Council Entry'!AN$8),'Council Entry'!AN41)),IF('Council Entry'!AN$4="Exponential",EXP(IF(AND(ISNUMBER('Council Entry'!AN$8),ISNUMBER('Council Entry'!AN$9)),MAX(MIN('Council Entry'!AN41,'Council Entry'!AN$9),'Council Entry'!AN$8),'Council Entry'!AN41)),IF(AND(ISNUMBER('Council Entry'!AN$8),ISNUMBER('Council Entry'!AN$9)),MAX(MIN('Council Entry'!AN41,'Council Entry'!AN$9),'Council Entry'!AN$8),'Council Entry'!AN41))))-'Council Entry'!AN$5)/('Council Entry'!AN$6-'Council Entry'!AN$5)),1))),"No data"))</f>
        <v/>
      </c>
      <c r="AO41" s="13">
        <f>IF('Council Entry'!AO41="","",IFERROR(MAX(0,MIN(10,ROUND(IF('Council Entry'!AO$7="Decrease Risk",10-10*((IF('Council Entry'!AO$4="Logarithm",LN(0.001+IF(AND(ISNUMBER('Council Entry'!AO$8),ISNUMBER('Council Entry'!AO$9)),MAX(MIN('Council Entry'!AO41,'Council Entry'!AO$9),'Council Entry'!AO$8),'Council Entry'!AO41)),IF('Council Entry'!AO$4="Exponential",EXP(IF(AND(ISNUMBER('Council Entry'!AO$8),ISNUMBER('Council Entry'!AO$9)),MAX(MIN('Council Entry'!AO41,'Council Entry'!AO$9),'Council Entry'!AO$8),'Council Entry'!AO41)),IF(AND(ISNUMBER('Council Entry'!AO$8),ISNUMBER('Council Entry'!AO$9)),MAX(MIN('Council Entry'!AO41,'Council Entry'!AO$9),'Council Entry'!AO$8),'Council Entry'!AO41))))-'Council Entry'!AO$5)/('Council Entry'!AO$6-'Council Entry'!AO$5),10*((IF('Council Entry'!AO$4="Logarithm",LN(0.001+IF(AND(ISNUMBER('Council Entry'!AO$8),ISNUMBER('Council Entry'!AO$9)),MAX(MIN('Council Entry'!AO41,'Council Entry'!AO$9),'Council Entry'!AO$8),'Council Entry'!AO41)),IF('Council Entry'!AO$4="Exponential",EXP(IF(AND(ISNUMBER('Council Entry'!AO$8),ISNUMBER('Council Entry'!AO$9)),MAX(MIN('Council Entry'!AO41,'Council Entry'!AO$9),'Council Entry'!AO$8),'Council Entry'!AO41)),IF(AND(ISNUMBER('Council Entry'!AO$8),ISNUMBER('Council Entry'!AO$9)),MAX(MIN('Council Entry'!AO41,'Council Entry'!AO$9),'Council Entry'!AO$8),'Council Entry'!AO41))))-'Council Entry'!AO$5)/('Council Entry'!AO$6-'Council Entry'!AO$5)),1))),"No data"))</f>
        <v/>
      </c>
      <c r="AP41" s="13">
        <f>IF('Council Entry'!AP41="","",IFERROR(MAX(0,MIN(10,ROUND(IF('Council Entry'!AP$7="Decrease Risk",10-10*((IF('Council Entry'!AP$4="Logarithm",LN(0.001+IF(AND(ISNUMBER('Council Entry'!AP$8),ISNUMBER('Council Entry'!AP$9)),MAX(MIN('Council Entry'!AP41,'Council Entry'!AP$9),'Council Entry'!AP$8),'Council Entry'!AP41)),IF('Council Entry'!AP$4="Exponential",EXP(IF(AND(ISNUMBER('Council Entry'!AP$8),ISNUMBER('Council Entry'!AP$9)),MAX(MIN('Council Entry'!AP41,'Council Entry'!AP$9),'Council Entry'!AP$8),'Council Entry'!AP41)),IF(AND(ISNUMBER('Council Entry'!AP$8),ISNUMBER('Council Entry'!AP$9)),MAX(MIN('Council Entry'!AP41,'Council Entry'!AP$9),'Council Entry'!AP$8),'Council Entry'!AP41))))-'Council Entry'!AP$5)/('Council Entry'!AP$6-'Council Entry'!AP$5),10*((IF('Council Entry'!AP$4="Logarithm",LN(0.001+IF(AND(ISNUMBER('Council Entry'!AP$8),ISNUMBER('Council Entry'!AP$9)),MAX(MIN('Council Entry'!AP41,'Council Entry'!AP$9),'Council Entry'!AP$8),'Council Entry'!AP41)),IF('Council Entry'!AP$4="Exponential",EXP(IF(AND(ISNUMBER('Council Entry'!AP$8),ISNUMBER('Council Entry'!AP$9)),MAX(MIN('Council Entry'!AP41,'Council Entry'!AP$9),'Council Entry'!AP$8),'Council Entry'!AP41)),IF(AND(ISNUMBER('Council Entry'!AP$8),ISNUMBER('Council Entry'!AP$9)),MAX(MIN('Council Entry'!AP41,'Council Entry'!AP$9),'Council Entry'!AP$8),'Council Entry'!AP41))))-'Council Entry'!AP$5)/('Council Entry'!AP$6-'Council Entry'!AP$5)),1))),"No data"))</f>
        <v/>
      </c>
      <c r="AQ41" s="13">
        <f>IF('Council Entry'!AQ41="","",IFERROR(MAX(0,MIN(10,ROUND(IF('Council Entry'!AQ$7="Decrease Risk",10-10*((IF('Council Entry'!AQ$4="Logarithm",LN(0.001+IF(AND(ISNUMBER('Council Entry'!AQ$8),ISNUMBER('Council Entry'!AQ$9)),MAX(MIN('Council Entry'!AQ41,'Council Entry'!AQ$9),'Council Entry'!AQ$8),'Council Entry'!AQ41)),IF('Council Entry'!AQ$4="Exponential",EXP(IF(AND(ISNUMBER('Council Entry'!AQ$8),ISNUMBER('Council Entry'!AQ$9)),MAX(MIN('Council Entry'!AQ41,'Council Entry'!AQ$9),'Council Entry'!AQ$8),'Council Entry'!AQ41)),IF(AND(ISNUMBER('Council Entry'!AQ$8),ISNUMBER('Council Entry'!AQ$9)),MAX(MIN('Council Entry'!AQ41,'Council Entry'!AQ$9),'Council Entry'!AQ$8),'Council Entry'!AQ41))))-'Council Entry'!AQ$5)/('Council Entry'!AQ$6-'Council Entry'!AQ$5),10*((IF('Council Entry'!AQ$4="Logarithm",LN(0.001+IF(AND(ISNUMBER('Council Entry'!AQ$8),ISNUMBER('Council Entry'!AQ$9)),MAX(MIN('Council Entry'!AQ41,'Council Entry'!AQ$9),'Council Entry'!AQ$8),'Council Entry'!AQ41)),IF('Council Entry'!AQ$4="Exponential",EXP(IF(AND(ISNUMBER('Council Entry'!AQ$8),ISNUMBER('Council Entry'!AQ$9)),MAX(MIN('Council Entry'!AQ41,'Council Entry'!AQ$9),'Council Entry'!AQ$8),'Council Entry'!AQ41)),IF(AND(ISNUMBER('Council Entry'!AQ$8),ISNUMBER('Council Entry'!AQ$9)),MAX(MIN('Council Entry'!AQ41,'Council Entry'!AQ$9),'Council Entry'!AQ$8),'Council Entry'!AQ41))))-'Council Entry'!AQ$5)/('Council Entry'!AQ$6-'Council Entry'!AQ$5)),1))),"No data"))</f>
        <v/>
      </c>
      <c r="AR41" s="13">
        <f>IF('Council Entry'!AR41="","",IFERROR(MAX(0,MIN(10,ROUND(IF('Council Entry'!AR$7="Decrease Risk",10-10*((IF('Council Entry'!AR$4="Logarithm",LN(0.001+IF(AND(ISNUMBER('Council Entry'!AR$8),ISNUMBER('Council Entry'!AR$9)),MAX(MIN('Council Entry'!AR41,'Council Entry'!AR$9),'Council Entry'!AR$8),'Council Entry'!AR41)),IF('Council Entry'!AR$4="Exponential",EXP(IF(AND(ISNUMBER('Council Entry'!AR$8),ISNUMBER('Council Entry'!AR$9)),MAX(MIN('Council Entry'!AR41,'Council Entry'!AR$9),'Council Entry'!AR$8),'Council Entry'!AR41)),IF(AND(ISNUMBER('Council Entry'!AR$8),ISNUMBER('Council Entry'!AR$9)),MAX(MIN('Council Entry'!AR41,'Council Entry'!AR$9),'Council Entry'!AR$8),'Council Entry'!AR41))))-'Council Entry'!AR$5)/('Council Entry'!AR$6-'Council Entry'!AR$5),10*((IF('Council Entry'!AR$4="Logarithm",LN(0.001+IF(AND(ISNUMBER('Council Entry'!AR$8),ISNUMBER('Council Entry'!AR$9)),MAX(MIN('Council Entry'!AR41,'Council Entry'!AR$9),'Council Entry'!AR$8),'Council Entry'!AR41)),IF('Council Entry'!AR$4="Exponential",EXP(IF(AND(ISNUMBER('Council Entry'!AR$8),ISNUMBER('Council Entry'!AR$9)),MAX(MIN('Council Entry'!AR41,'Council Entry'!AR$9),'Council Entry'!AR$8),'Council Entry'!AR41)),IF(AND(ISNUMBER('Council Entry'!AR$8),ISNUMBER('Council Entry'!AR$9)),MAX(MIN('Council Entry'!AR41,'Council Entry'!AR$9),'Council Entry'!AR$8),'Council Entry'!AR41))))-'Council Entry'!AR$5)/('Council Entry'!AR$6-'Council Entry'!AR$5)),1))),"No data"))</f>
        <v/>
      </c>
      <c r="AS41" s="13">
        <f>IF('Council Entry'!AS41="","",IFERROR(MAX(0,MIN(10,ROUND(IF('Council Entry'!AS$7="Decrease Risk",10-10*((IF('Council Entry'!AS$4="Logarithm",LN(0.001+IF(AND(ISNUMBER('Council Entry'!AS$8),ISNUMBER('Council Entry'!AS$9)),MAX(MIN('Council Entry'!AS41,'Council Entry'!AS$9),'Council Entry'!AS$8),'Council Entry'!AS41)),IF('Council Entry'!AS$4="Exponential",EXP(IF(AND(ISNUMBER('Council Entry'!AS$8),ISNUMBER('Council Entry'!AS$9)),MAX(MIN('Council Entry'!AS41,'Council Entry'!AS$9),'Council Entry'!AS$8),'Council Entry'!AS41)),IF(AND(ISNUMBER('Council Entry'!AS$8),ISNUMBER('Council Entry'!AS$9)),MAX(MIN('Council Entry'!AS41,'Council Entry'!AS$9),'Council Entry'!AS$8),'Council Entry'!AS41))))-'Council Entry'!AS$5)/('Council Entry'!AS$6-'Council Entry'!AS$5),10*((IF('Council Entry'!AS$4="Logarithm",LN(0.001+IF(AND(ISNUMBER('Council Entry'!AS$8),ISNUMBER('Council Entry'!AS$9)),MAX(MIN('Council Entry'!AS41,'Council Entry'!AS$9),'Council Entry'!AS$8),'Council Entry'!AS41)),IF('Council Entry'!AS$4="Exponential",EXP(IF(AND(ISNUMBER('Council Entry'!AS$8),ISNUMBER('Council Entry'!AS$9)),MAX(MIN('Council Entry'!AS41,'Council Entry'!AS$9),'Council Entry'!AS$8),'Council Entry'!AS41)),IF(AND(ISNUMBER('Council Entry'!AS$8),ISNUMBER('Council Entry'!AS$9)),MAX(MIN('Council Entry'!AS41,'Council Entry'!AS$9),'Council Entry'!AS$8),'Council Entry'!AS41))))-'Council Entry'!AS$5)/('Council Entry'!AS$6-'Council Entry'!AS$5)),1))),"No data"))</f>
        <v/>
      </c>
      <c r="AT41" s="13">
        <f>IF('Council Entry'!AT41="","",IFERROR(MAX(0,MIN(10,ROUND(IF('Council Entry'!AT$7="Decrease Risk",10-10*((IF('Council Entry'!AT$4="Logarithm",LN(0.001+IF(AND(ISNUMBER('Council Entry'!AT$8),ISNUMBER('Council Entry'!AT$9)),MAX(MIN('Council Entry'!AT41,'Council Entry'!AT$9),'Council Entry'!AT$8),'Council Entry'!AT41)),IF('Council Entry'!AT$4="Exponential",EXP(IF(AND(ISNUMBER('Council Entry'!AT$8),ISNUMBER('Council Entry'!AT$9)),MAX(MIN('Council Entry'!AT41,'Council Entry'!AT$9),'Council Entry'!AT$8),'Council Entry'!AT41)),IF(AND(ISNUMBER('Council Entry'!AT$8),ISNUMBER('Council Entry'!AT$9)),MAX(MIN('Council Entry'!AT41,'Council Entry'!AT$9),'Council Entry'!AT$8),'Council Entry'!AT41))))-'Council Entry'!AT$5)/('Council Entry'!AT$6-'Council Entry'!AT$5),10*((IF('Council Entry'!AT$4="Logarithm",LN(0.001+IF(AND(ISNUMBER('Council Entry'!AT$8),ISNUMBER('Council Entry'!AT$9)),MAX(MIN('Council Entry'!AT41,'Council Entry'!AT$9),'Council Entry'!AT$8),'Council Entry'!AT41)),IF('Council Entry'!AT$4="Exponential",EXP(IF(AND(ISNUMBER('Council Entry'!AT$8),ISNUMBER('Council Entry'!AT$9)),MAX(MIN('Council Entry'!AT41,'Council Entry'!AT$9),'Council Entry'!AT$8),'Council Entry'!AT41)),IF(AND(ISNUMBER('Council Entry'!AT$8),ISNUMBER('Council Entry'!AT$9)),MAX(MIN('Council Entry'!AT41,'Council Entry'!AT$9),'Council Entry'!AT$8),'Council Entry'!AT41))))-'Council Entry'!AT$5)/('Council Entry'!AT$6-'Council Entry'!AT$5)),1))),"No data"))</f>
        <v/>
      </c>
      <c r="AU41" s="13">
        <f>IF('Council Entry'!AU41="","",IFERROR(MAX(0,MIN(10,ROUND(IF('Council Entry'!AU$7="Decrease Risk",10-10*((IF('Council Entry'!AU$4="Logarithm",LN(0.001+IF(AND(ISNUMBER('Council Entry'!AU$8),ISNUMBER('Council Entry'!AU$9)),MAX(MIN('Council Entry'!AU41,'Council Entry'!AU$9),'Council Entry'!AU$8),'Council Entry'!AU41)),IF('Council Entry'!AU$4="Exponential",EXP(IF(AND(ISNUMBER('Council Entry'!AU$8),ISNUMBER('Council Entry'!AU$9)),MAX(MIN('Council Entry'!AU41,'Council Entry'!AU$9),'Council Entry'!AU$8),'Council Entry'!AU41)),IF(AND(ISNUMBER('Council Entry'!AU$8),ISNUMBER('Council Entry'!AU$9)),MAX(MIN('Council Entry'!AU41,'Council Entry'!AU$9),'Council Entry'!AU$8),'Council Entry'!AU41))))-'Council Entry'!AU$5)/('Council Entry'!AU$6-'Council Entry'!AU$5),10*((IF('Council Entry'!AU$4="Logarithm",LN(0.001+IF(AND(ISNUMBER('Council Entry'!AU$8),ISNUMBER('Council Entry'!AU$9)),MAX(MIN('Council Entry'!AU41,'Council Entry'!AU$9),'Council Entry'!AU$8),'Council Entry'!AU41)),IF('Council Entry'!AU$4="Exponential",EXP(IF(AND(ISNUMBER('Council Entry'!AU$8),ISNUMBER('Council Entry'!AU$9)),MAX(MIN('Council Entry'!AU41,'Council Entry'!AU$9),'Council Entry'!AU$8),'Council Entry'!AU41)),IF(AND(ISNUMBER('Council Entry'!AU$8),ISNUMBER('Council Entry'!AU$9)),MAX(MIN('Council Entry'!AU41,'Council Entry'!AU$9),'Council Entry'!AU$8),'Council Entry'!AU41))))-'Council Entry'!AU$5)/('Council Entry'!AU$6-'Council Entry'!AU$5)),1))),"No data"))</f>
        <v/>
      </c>
      <c r="AV41" s="13">
        <f>IF('Council Entry'!AV41="","",IFERROR(MAX(0,MIN(10,ROUND(IF('Council Entry'!AV$7="Decrease Risk",10-10*((IF('Council Entry'!AV$4="Logarithm",LN(0.001+IF(AND(ISNUMBER('Council Entry'!AV$8),ISNUMBER('Council Entry'!AV$9)),MAX(MIN('Council Entry'!AV41,'Council Entry'!AV$9),'Council Entry'!AV$8),'Council Entry'!AV41)),IF('Council Entry'!AV$4="Exponential",EXP(IF(AND(ISNUMBER('Council Entry'!AV$8),ISNUMBER('Council Entry'!AV$9)),MAX(MIN('Council Entry'!AV41,'Council Entry'!AV$9),'Council Entry'!AV$8),'Council Entry'!AV41)),IF(AND(ISNUMBER('Council Entry'!AV$8),ISNUMBER('Council Entry'!AV$9)),MAX(MIN('Council Entry'!AV41,'Council Entry'!AV$9),'Council Entry'!AV$8),'Council Entry'!AV41))))-'Council Entry'!AV$5)/('Council Entry'!AV$6-'Council Entry'!AV$5),10*((IF('Council Entry'!AV$4="Logarithm",LN(0.001+IF(AND(ISNUMBER('Council Entry'!AV$8),ISNUMBER('Council Entry'!AV$9)),MAX(MIN('Council Entry'!AV41,'Council Entry'!AV$9),'Council Entry'!AV$8),'Council Entry'!AV41)),IF('Council Entry'!AV$4="Exponential",EXP(IF(AND(ISNUMBER('Council Entry'!AV$8),ISNUMBER('Council Entry'!AV$9)),MAX(MIN('Council Entry'!AV41,'Council Entry'!AV$9),'Council Entry'!AV$8),'Council Entry'!AV41)),IF(AND(ISNUMBER('Council Entry'!AV$8),ISNUMBER('Council Entry'!AV$9)),MAX(MIN('Council Entry'!AV41,'Council Entry'!AV$9),'Council Entry'!AV$8),'Council Entry'!AV41))))-'Council Entry'!AV$5)/('Council Entry'!AV$6-'Council Entry'!AV$5)),1))),"No data"))</f>
        <v/>
      </c>
      <c r="AW41" s="13">
        <f>IF('Council Entry'!AW41="","",IFERROR(MAX(0,MIN(10,ROUND(IF('Council Entry'!AW$7="Decrease Risk",10-10*((IF('Council Entry'!AW$4="Logarithm",LN(0.001+IF(AND(ISNUMBER('Council Entry'!AW$8),ISNUMBER('Council Entry'!AW$9)),MAX(MIN('Council Entry'!AW41,'Council Entry'!AW$9),'Council Entry'!AW$8),'Council Entry'!AW41)),IF('Council Entry'!AW$4="Exponential",EXP(IF(AND(ISNUMBER('Council Entry'!AW$8),ISNUMBER('Council Entry'!AW$9)),MAX(MIN('Council Entry'!AW41,'Council Entry'!AW$9),'Council Entry'!AW$8),'Council Entry'!AW41)),IF(AND(ISNUMBER('Council Entry'!AW$8),ISNUMBER('Council Entry'!AW$9)),MAX(MIN('Council Entry'!AW41,'Council Entry'!AW$9),'Council Entry'!AW$8),'Council Entry'!AW41))))-'Council Entry'!AW$5)/('Council Entry'!AW$6-'Council Entry'!AW$5),10*((IF('Council Entry'!AW$4="Logarithm",LN(0.001+IF(AND(ISNUMBER('Council Entry'!AW$8),ISNUMBER('Council Entry'!AW$9)),MAX(MIN('Council Entry'!AW41,'Council Entry'!AW$9),'Council Entry'!AW$8),'Council Entry'!AW41)),IF('Council Entry'!AW$4="Exponential",EXP(IF(AND(ISNUMBER('Council Entry'!AW$8),ISNUMBER('Council Entry'!AW$9)),MAX(MIN('Council Entry'!AW41,'Council Entry'!AW$9),'Council Entry'!AW$8),'Council Entry'!AW41)),IF(AND(ISNUMBER('Council Entry'!AW$8),ISNUMBER('Council Entry'!AW$9)),MAX(MIN('Council Entry'!AW41,'Council Entry'!AW$9),'Council Entry'!AW$8),'Council Entry'!AW41))))-'Council Entry'!AW$5)/('Council Entry'!AW$6-'Council Entry'!AW$5)),1))),"No data"))</f>
        <v/>
      </c>
      <c r="AX41" s="13">
        <f>IF('Council Entry'!AX41="","",IFERROR(MAX(0,MIN(10,ROUND(IF('Council Entry'!AX$7="Decrease Risk",10-10*((IF('Council Entry'!AX$4="Logarithm",LN(0.001+IF(AND(ISNUMBER('Council Entry'!AX$8),ISNUMBER('Council Entry'!AX$9)),MAX(MIN('Council Entry'!AX41,'Council Entry'!AX$9),'Council Entry'!AX$8),'Council Entry'!AX41)),IF('Council Entry'!AX$4="Exponential",EXP(IF(AND(ISNUMBER('Council Entry'!AX$8),ISNUMBER('Council Entry'!AX$9)),MAX(MIN('Council Entry'!AX41,'Council Entry'!AX$9),'Council Entry'!AX$8),'Council Entry'!AX41)),IF(AND(ISNUMBER('Council Entry'!AX$8),ISNUMBER('Council Entry'!AX$9)),MAX(MIN('Council Entry'!AX41,'Council Entry'!AX$9),'Council Entry'!AX$8),'Council Entry'!AX41))))-'Council Entry'!AX$5)/('Council Entry'!AX$6-'Council Entry'!AX$5),10*((IF('Council Entry'!AX$4="Logarithm",LN(0.001+IF(AND(ISNUMBER('Council Entry'!AX$8),ISNUMBER('Council Entry'!AX$9)),MAX(MIN('Council Entry'!AX41,'Council Entry'!AX$9),'Council Entry'!AX$8),'Council Entry'!AX41)),IF('Council Entry'!AX$4="Exponential",EXP(IF(AND(ISNUMBER('Council Entry'!AX$8),ISNUMBER('Council Entry'!AX$9)),MAX(MIN('Council Entry'!AX41,'Council Entry'!AX$9),'Council Entry'!AX$8),'Council Entry'!AX41)),IF(AND(ISNUMBER('Council Entry'!AX$8),ISNUMBER('Council Entry'!AX$9)),MAX(MIN('Council Entry'!AX41,'Council Entry'!AX$9),'Council Entry'!AX$8),'Council Entry'!AX41))))-'Council Entry'!AX$5)/('Council Entry'!AX$6-'Council Entry'!AX$5)),1))),"No data"))</f>
        <v/>
      </c>
      <c r="AY41" s="13">
        <f>IF('Council Entry'!AY41="","",IFERROR(MAX(0,MIN(10,ROUND(IF('Council Entry'!AY$7="Decrease Risk",10-10*((IF('Council Entry'!AY$4="Logarithm",LN(0.001+IF(AND(ISNUMBER('Council Entry'!AY$8),ISNUMBER('Council Entry'!AY$9)),MAX(MIN('Council Entry'!AY41,'Council Entry'!AY$9),'Council Entry'!AY$8),'Council Entry'!AY41)),IF('Council Entry'!AY$4="Exponential",EXP(IF(AND(ISNUMBER('Council Entry'!AY$8),ISNUMBER('Council Entry'!AY$9)),MAX(MIN('Council Entry'!AY41,'Council Entry'!AY$9),'Council Entry'!AY$8),'Council Entry'!AY41)),IF(AND(ISNUMBER('Council Entry'!AY$8),ISNUMBER('Council Entry'!AY$9)),MAX(MIN('Council Entry'!AY41,'Council Entry'!AY$9),'Council Entry'!AY$8),'Council Entry'!AY41))))-'Council Entry'!AY$5)/('Council Entry'!AY$6-'Council Entry'!AY$5),10*((IF('Council Entry'!AY$4="Logarithm",LN(0.001+IF(AND(ISNUMBER('Council Entry'!AY$8),ISNUMBER('Council Entry'!AY$9)),MAX(MIN('Council Entry'!AY41,'Council Entry'!AY$9),'Council Entry'!AY$8),'Council Entry'!AY41)),IF('Council Entry'!AY$4="Exponential",EXP(IF(AND(ISNUMBER('Council Entry'!AY$8),ISNUMBER('Council Entry'!AY$9)),MAX(MIN('Council Entry'!AY41,'Council Entry'!AY$9),'Council Entry'!AY$8),'Council Entry'!AY41)),IF(AND(ISNUMBER('Council Entry'!AY$8),ISNUMBER('Council Entry'!AY$9)),MAX(MIN('Council Entry'!AY41,'Council Entry'!AY$9),'Council Entry'!AY$8),'Council Entry'!AY41))))-'Council Entry'!AY$5)/('Council Entry'!AY$6-'Council Entry'!AY$5)),1))),"No data"))</f>
        <v/>
      </c>
      <c r="AZ41" s="13">
        <f>IF('Council Entry'!AZ41="","",IFERROR(MAX(0,MIN(10,ROUND(IF('Council Entry'!AZ$7="Decrease Risk",10-10*((IF('Council Entry'!AZ$4="Logarithm",LN(0.001+IF(AND(ISNUMBER('Council Entry'!AZ$8),ISNUMBER('Council Entry'!AZ$9)),MAX(MIN('Council Entry'!AZ41,'Council Entry'!AZ$9),'Council Entry'!AZ$8),'Council Entry'!AZ41)),IF('Council Entry'!AZ$4="Exponential",EXP(IF(AND(ISNUMBER('Council Entry'!AZ$8),ISNUMBER('Council Entry'!AZ$9)),MAX(MIN('Council Entry'!AZ41,'Council Entry'!AZ$9),'Council Entry'!AZ$8),'Council Entry'!AZ41)),IF(AND(ISNUMBER('Council Entry'!AZ$8),ISNUMBER('Council Entry'!AZ$9)),MAX(MIN('Council Entry'!AZ41,'Council Entry'!AZ$9),'Council Entry'!AZ$8),'Council Entry'!AZ41))))-'Council Entry'!AZ$5)/('Council Entry'!AZ$6-'Council Entry'!AZ$5),10*((IF('Council Entry'!AZ$4="Logarithm",LN(0.001+IF(AND(ISNUMBER('Council Entry'!AZ$8),ISNUMBER('Council Entry'!AZ$9)),MAX(MIN('Council Entry'!AZ41,'Council Entry'!AZ$9),'Council Entry'!AZ$8),'Council Entry'!AZ41)),IF('Council Entry'!AZ$4="Exponential",EXP(IF(AND(ISNUMBER('Council Entry'!AZ$8),ISNUMBER('Council Entry'!AZ$9)),MAX(MIN('Council Entry'!AZ41,'Council Entry'!AZ$9),'Council Entry'!AZ$8),'Council Entry'!AZ41)),IF(AND(ISNUMBER('Council Entry'!AZ$8),ISNUMBER('Council Entry'!AZ$9)),MAX(MIN('Council Entry'!AZ41,'Council Entry'!AZ$9),'Council Entry'!AZ$8),'Council Entry'!AZ41))))-'Council Entry'!AZ$5)/('Council Entry'!AZ$6-'Council Entry'!AZ$5)),1))),"No data"))</f>
        <v/>
      </c>
      <c r="BA41" s="13">
        <f>IF('Council Entry'!BA41="","",IFERROR(MAX(0,MIN(10,ROUND(IF('Council Entry'!BA$7="Decrease Risk",10-10*((IF('Council Entry'!BA$4="Logarithm",LN(0.001+IF(AND(ISNUMBER('Council Entry'!BA$8),ISNUMBER('Council Entry'!BA$9)),MAX(MIN('Council Entry'!BA41,'Council Entry'!BA$9),'Council Entry'!BA$8),'Council Entry'!BA41)),IF('Council Entry'!BA$4="Exponential",EXP(IF(AND(ISNUMBER('Council Entry'!BA$8),ISNUMBER('Council Entry'!BA$9)),MAX(MIN('Council Entry'!BA41,'Council Entry'!BA$9),'Council Entry'!BA$8),'Council Entry'!BA41)),IF(AND(ISNUMBER('Council Entry'!BA$8),ISNUMBER('Council Entry'!BA$9)),MAX(MIN('Council Entry'!BA41,'Council Entry'!BA$9),'Council Entry'!BA$8),'Council Entry'!BA41))))-'Council Entry'!BA$5)/('Council Entry'!BA$6-'Council Entry'!BA$5),10*((IF('Council Entry'!BA$4="Logarithm",LN(0.001+IF(AND(ISNUMBER('Council Entry'!BA$8),ISNUMBER('Council Entry'!BA$9)),MAX(MIN('Council Entry'!BA41,'Council Entry'!BA$9),'Council Entry'!BA$8),'Council Entry'!BA41)),IF('Council Entry'!BA$4="Exponential",EXP(IF(AND(ISNUMBER('Council Entry'!BA$8),ISNUMBER('Council Entry'!BA$9)),MAX(MIN('Council Entry'!BA41,'Council Entry'!BA$9),'Council Entry'!BA$8),'Council Entry'!BA41)),IF(AND(ISNUMBER('Council Entry'!BA$8),ISNUMBER('Council Entry'!BA$9)),MAX(MIN('Council Entry'!BA41,'Council Entry'!BA$9),'Council Entry'!BA$8),'Council Entry'!BA41))))-'Council Entry'!BA$5)/('Council Entry'!BA$6-'Council Entry'!BA$5)),1))),"No data"))</f>
        <v/>
      </c>
      <c r="BB41" s="13">
        <f>IF('Council Entry'!BB41="","",IFERROR(MAX(0,MIN(10,ROUND(IF('Council Entry'!BB$7="Decrease Risk",10-10*((IF('Council Entry'!BB$4="Logarithm",LN(0.001+IF(AND(ISNUMBER('Council Entry'!BB$8),ISNUMBER('Council Entry'!BB$9)),MAX(MIN('Council Entry'!BB41,'Council Entry'!BB$9),'Council Entry'!BB$8),'Council Entry'!BB41)),IF('Council Entry'!BB$4="Exponential",EXP(IF(AND(ISNUMBER('Council Entry'!BB$8),ISNUMBER('Council Entry'!BB$9)),MAX(MIN('Council Entry'!BB41,'Council Entry'!BB$9),'Council Entry'!BB$8),'Council Entry'!BB41)),IF(AND(ISNUMBER('Council Entry'!BB$8),ISNUMBER('Council Entry'!BB$9)),MAX(MIN('Council Entry'!BB41,'Council Entry'!BB$9),'Council Entry'!BB$8),'Council Entry'!BB41))))-'Council Entry'!BB$5)/('Council Entry'!BB$6-'Council Entry'!BB$5),10*((IF('Council Entry'!BB$4="Logarithm",LN(0.001+IF(AND(ISNUMBER('Council Entry'!BB$8),ISNUMBER('Council Entry'!BB$9)),MAX(MIN('Council Entry'!BB41,'Council Entry'!BB$9),'Council Entry'!BB$8),'Council Entry'!BB41)),IF('Council Entry'!BB$4="Exponential",EXP(IF(AND(ISNUMBER('Council Entry'!BB$8),ISNUMBER('Council Entry'!BB$9)),MAX(MIN('Council Entry'!BB41,'Council Entry'!BB$9),'Council Entry'!BB$8),'Council Entry'!BB41)),IF(AND(ISNUMBER('Council Entry'!BB$8),ISNUMBER('Council Entry'!BB$9)),MAX(MIN('Council Entry'!BB41,'Council Entry'!BB$9),'Council Entry'!BB$8),'Council Entry'!BB41))))-'Council Entry'!BB$5)/('Council Entry'!BB$6-'Council Entry'!BB$5)),1))),"No data"))</f>
        <v/>
      </c>
      <c r="BC41" s="13">
        <f>IF('Council Entry'!BC41="","",IFERROR(MAX(0,MIN(10,ROUND(IF('Council Entry'!BC$7="Decrease Risk",10-10*((IF('Council Entry'!BC$4="Logarithm",LN(0.001+IF(AND(ISNUMBER('Council Entry'!BC$8),ISNUMBER('Council Entry'!BC$9)),MAX(MIN('Council Entry'!BC41,'Council Entry'!BC$9),'Council Entry'!BC$8),'Council Entry'!BC41)),IF('Council Entry'!BC$4="Exponential",EXP(IF(AND(ISNUMBER('Council Entry'!BC$8),ISNUMBER('Council Entry'!BC$9)),MAX(MIN('Council Entry'!BC41,'Council Entry'!BC$9),'Council Entry'!BC$8),'Council Entry'!BC41)),IF(AND(ISNUMBER('Council Entry'!BC$8),ISNUMBER('Council Entry'!BC$9)),MAX(MIN('Council Entry'!BC41,'Council Entry'!BC$9),'Council Entry'!BC$8),'Council Entry'!BC41))))-'Council Entry'!BC$5)/('Council Entry'!BC$6-'Council Entry'!BC$5),10*((IF('Council Entry'!BC$4="Logarithm",LN(0.001+IF(AND(ISNUMBER('Council Entry'!BC$8),ISNUMBER('Council Entry'!BC$9)),MAX(MIN('Council Entry'!BC41,'Council Entry'!BC$9),'Council Entry'!BC$8),'Council Entry'!BC41)),IF('Council Entry'!BC$4="Exponential",EXP(IF(AND(ISNUMBER('Council Entry'!BC$8),ISNUMBER('Council Entry'!BC$9)),MAX(MIN('Council Entry'!BC41,'Council Entry'!BC$9),'Council Entry'!BC$8),'Council Entry'!BC41)),IF(AND(ISNUMBER('Council Entry'!BC$8),ISNUMBER('Council Entry'!BC$9)),MAX(MIN('Council Entry'!BC41,'Council Entry'!BC$9),'Council Entry'!BC$8),'Council Entry'!BC41))))-'Council Entry'!BC$5)/('Council Entry'!BC$6-'Council Entry'!BC$5)),1))),"No data"))</f>
        <v/>
      </c>
      <c r="BD41" s="13">
        <f>IF('Council Entry'!BD41="","",IFERROR(MAX(0,MIN(10,ROUND(IF('Council Entry'!BD$7="Decrease Risk",10-10*((IF('Council Entry'!BD$4="Logarithm",LN(0.001+IF(AND(ISNUMBER('Council Entry'!BD$8),ISNUMBER('Council Entry'!BD$9)),MAX(MIN('Council Entry'!BD41,'Council Entry'!BD$9),'Council Entry'!BD$8),'Council Entry'!BD41)),IF('Council Entry'!BD$4="Exponential",EXP(IF(AND(ISNUMBER('Council Entry'!BD$8),ISNUMBER('Council Entry'!BD$9)),MAX(MIN('Council Entry'!BD41,'Council Entry'!BD$9),'Council Entry'!BD$8),'Council Entry'!BD41)),IF(AND(ISNUMBER('Council Entry'!BD$8),ISNUMBER('Council Entry'!BD$9)),MAX(MIN('Council Entry'!BD41,'Council Entry'!BD$9),'Council Entry'!BD$8),'Council Entry'!BD41))))-'Council Entry'!BD$5)/('Council Entry'!BD$6-'Council Entry'!BD$5),10*((IF('Council Entry'!BD$4="Logarithm",LN(0.001+IF(AND(ISNUMBER('Council Entry'!BD$8),ISNUMBER('Council Entry'!BD$9)),MAX(MIN('Council Entry'!BD41,'Council Entry'!BD$9),'Council Entry'!BD$8),'Council Entry'!BD41)),IF('Council Entry'!BD$4="Exponential",EXP(IF(AND(ISNUMBER('Council Entry'!BD$8),ISNUMBER('Council Entry'!BD$9)),MAX(MIN('Council Entry'!BD41,'Council Entry'!BD$9),'Council Entry'!BD$8),'Council Entry'!BD41)),IF(AND(ISNUMBER('Council Entry'!BD$8),ISNUMBER('Council Entry'!BD$9)),MAX(MIN('Council Entry'!BD41,'Council Entry'!BD$9),'Council Entry'!BD$8),'Council Entry'!BD41))))-'Council Entry'!BD$5)/('Council Entry'!BD$6-'Council Entry'!BD$5)),1))),"No data"))</f>
        <v/>
      </c>
    </row>
    <row r="42">
      <c r="A42" t="inlineStr">
        <is>
          <t>Kagera</t>
        </is>
      </c>
      <c r="B42" t="inlineStr">
        <is>
          <t>Biharamulo District</t>
        </is>
      </c>
      <c r="C42" t="inlineStr">
        <is>
          <t>C129</t>
        </is>
      </c>
      <c r="D42" s="13">
        <f>IF('Council Entry'!D42="","",IFERROR(MAX(0,MIN(10,ROUND(IF('Council Entry'!D$7="Decrease Risk",10-10*((IF('Council Entry'!D$4="Logarithm",LN(0.001+IF(AND(ISNUMBER('Council Entry'!D$8),ISNUMBER('Council Entry'!D$9)),MAX(MIN('Council Entry'!D42,'Council Entry'!D$9),'Council Entry'!D$8),'Council Entry'!D42)),IF('Council Entry'!D$4="Exponential",EXP(IF(AND(ISNUMBER('Council Entry'!D$8),ISNUMBER('Council Entry'!D$9)),MAX(MIN('Council Entry'!D42,'Council Entry'!D$9),'Council Entry'!D$8),'Council Entry'!D42)),IF(AND(ISNUMBER('Council Entry'!D$8),ISNUMBER('Council Entry'!D$9)),MAX(MIN('Council Entry'!D42,'Council Entry'!D$9),'Council Entry'!D$8),'Council Entry'!D42))))-'Council Entry'!D$5)/('Council Entry'!D$6-'Council Entry'!D$5),10*((IF('Council Entry'!D$4="Logarithm",LN(0.001+IF(AND(ISNUMBER('Council Entry'!D$8),ISNUMBER('Council Entry'!D$9)),MAX(MIN('Council Entry'!D42,'Council Entry'!D$9),'Council Entry'!D$8),'Council Entry'!D42)),IF('Council Entry'!D$4="Exponential",EXP(IF(AND(ISNUMBER('Council Entry'!D$8),ISNUMBER('Council Entry'!D$9)),MAX(MIN('Council Entry'!D42,'Council Entry'!D$9),'Council Entry'!D$8),'Council Entry'!D42)),IF(AND(ISNUMBER('Council Entry'!D$8),ISNUMBER('Council Entry'!D$9)),MAX(MIN('Council Entry'!D42,'Council Entry'!D$9),'Council Entry'!D$8),'Council Entry'!D42))))-'Council Entry'!D$5)/('Council Entry'!D$6-'Council Entry'!D$5)),1))),"No data"))</f>
        <v/>
      </c>
      <c r="E42" s="13">
        <f>IF('Council Entry'!E42="","",IFERROR(MAX(0,MIN(10,ROUND(IF('Council Entry'!E$7="Decrease Risk",10-10*((IF('Council Entry'!E$4="Logarithm",LN(0.001+IF(AND(ISNUMBER('Council Entry'!E$8),ISNUMBER('Council Entry'!E$9)),MAX(MIN('Council Entry'!E42,'Council Entry'!E$9),'Council Entry'!E$8),'Council Entry'!E42)),IF('Council Entry'!E$4="Exponential",EXP(IF(AND(ISNUMBER('Council Entry'!E$8),ISNUMBER('Council Entry'!E$9)),MAX(MIN('Council Entry'!E42,'Council Entry'!E$9),'Council Entry'!E$8),'Council Entry'!E42)),IF(AND(ISNUMBER('Council Entry'!E$8),ISNUMBER('Council Entry'!E$9)),MAX(MIN('Council Entry'!E42,'Council Entry'!E$9),'Council Entry'!E$8),'Council Entry'!E42))))-'Council Entry'!E$5)/('Council Entry'!E$6-'Council Entry'!E$5),10*((IF('Council Entry'!E$4="Logarithm",LN(0.001+IF(AND(ISNUMBER('Council Entry'!E$8),ISNUMBER('Council Entry'!E$9)),MAX(MIN('Council Entry'!E42,'Council Entry'!E$9),'Council Entry'!E$8),'Council Entry'!E42)),IF('Council Entry'!E$4="Exponential",EXP(IF(AND(ISNUMBER('Council Entry'!E$8),ISNUMBER('Council Entry'!E$9)),MAX(MIN('Council Entry'!E42,'Council Entry'!E$9),'Council Entry'!E$8),'Council Entry'!E42)),IF(AND(ISNUMBER('Council Entry'!E$8),ISNUMBER('Council Entry'!E$9)),MAX(MIN('Council Entry'!E42,'Council Entry'!E$9),'Council Entry'!E$8),'Council Entry'!E42))))-'Council Entry'!E$5)/('Council Entry'!E$6-'Council Entry'!E$5)),1))),"No data"))</f>
        <v/>
      </c>
      <c r="F42" s="13">
        <f>IF('Council Entry'!F42="","",IFERROR(MAX(0,MIN(10,ROUND(IF('Council Entry'!F$7="Decrease Risk",10-10*((IF('Council Entry'!F$4="Logarithm",LN(0.001+IF(AND(ISNUMBER('Council Entry'!F$8),ISNUMBER('Council Entry'!F$9)),MAX(MIN('Council Entry'!F42,'Council Entry'!F$9),'Council Entry'!F$8),'Council Entry'!F42)),IF('Council Entry'!F$4="Exponential",EXP(IF(AND(ISNUMBER('Council Entry'!F$8),ISNUMBER('Council Entry'!F$9)),MAX(MIN('Council Entry'!F42,'Council Entry'!F$9),'Council Entry'!F$8),'Council Entry'!F42)),IF(AND(ISNUMBER('Council Entry'!F$8),ISNUMBER('Council Entry'!F$9)),MAX(MIN('Council Entry'!F42,'Council Entry'!F$9),'Council Entry'!F$8),'Council Entry'!F42))))-'Council Entry'!F$5)/('Council Entry'!F$6-'Council Entry'!F$5),10*((IF('Council Entry'!F$4="Logarithm",LN(0.001+IF(AND(ISNUMBER('Council Entry'!F$8),ISNUMBER('Council Entry'!F$9)),MAX(MIN('Council Entry'!F42,'Council Entry'!F$9),'Council Entry'!F$8),'Council Entry'!F42)),IF('Council Entry'!F$4="Exponential",EXP(IF(AND(ISNUMBER('Council Entry'!F$8),ISNUMBER('Council Entry'!F$9)),MAX(MIN('Council Entry'!F42,'Council Entry'!F$9),'Council Entry'!F$8),'Council Entry'!F42)),IF(AND(ISNUMBER('Council Entry'!F$8),ISNUMBER('Council Entry'!F$9)),MAX(MIN('Council Entry'!F42,'Council Entry'!F$9),'Council Entry'!F$8),'Council Entry'!F42))))-'Council Entry'!F$5)/('Council Entry'!F$6-'Council Entry'!F$5)),1))),"No data"))</f>
        <v/>
      </c>
      <c r="G42" s="13">
        <f>IF('Council Entry'!G42="","",IFERROR(MAX(0,MIN(10,ROUND(IF('Council Entry'!G$7="Decrease Risk",10-10*((IF('Council Entry'!G$4="Logarithm",LN(0.001+IF(AND(ISNUMBER('Council Entry'!G$8),ISNUMBER('Council Entry'!G$9)),MAX(MIN('Council Entry'!G42,'Council Entry'!G$9),'Council Entry'!G$8),'Council Entry'!G42)),IF('Council Entry'!G$4="Exponential",EXP(IF(AND(ISNUMBER('Council Entry'!G$8),ISNUMBER('Council Entry'!G$9)),MAX(MIN('Council Entry'!G42,'Council Entry'!G$9),'Council Entry'!G$8),'Council Entry'!G42)),IF(AND(ISNUMBER('Council Entry'!G$8),ISNUMBER('Council Entry'!G$9)),MAX(MIN('Council Entry'!G42,'Council Entry'!G$9),'Council Entry'!G$8),'Council Entry'!G42))))-'Council Entry'!G$5)/('Council Entry'!G$6-'Council Entry'!G$5),10*((IF('Council Entry'!G$4="Logarithm",LN(0.001+IF(AND(ISNUMBER('Council Entry'!G$8),ISNUMBER('Council Entry'!G$9)),MAX(MIN('Council Entry'!G42,'Council Entry'!G$9),'Council Entry'!G$8),'Council Entry'!G42)),IF('Council Entry'!G$4="Exponential",EXP(IF(AND(ISNUMBER('Council Entry'!G$8),ISNUMBER('Council Entry'!G$9)),MAX(MIN('Council Entry'!G42,'Council Entry'!G$9),'Council Entry'!G$8),'Council Entry'!G42)),IF(AND(ISNUMBER('Council Entry'!G$8),ISNUMBER('Council Entry'!G$9)),MAX(MIN('Council Entry'!G42,'Council Entry'!G$9),'Council Entry'!G$8),'Council Entry'!G42))))-'Council Entry'!G$5)/('Council Entry'!G$6-'Council Entry'!G$5)),1))),"No data"))</f>
        <v/>
      </c>
      <c r="H42" s="13">
        <f>IF('Council Entry'!H42="","",IFERROR(MAX(0,MIN(10,ROUND(IF('Council Entry'!H$7="Decrease Risk",10-10*((IF('Council Entry'!H$4="Logarithm",LN(0.001+IF(AND(ISNUMBER('Council Entry'!H$8),ISNUMBER('Council Entry'!H$9)),MAX(MIN('Council Entry'!H42,'Council Entry'!H$9),'Council Entry'!H$8),'Council Entry'!H42)),IF('Council Entry'!H$4="Exponential",EXP(IF(AND(ISNUMBER('Council Entry'!H$8),ISNUMBER('Council Entry'!H$9)),MAX(MIN('Council Entry'!H42,'Council Entry'!H$9),'Council Entry'!H$8),'Council Entry'!H42)),IF(AND(ISNUMBER('Council Entry'!H$8),ISNUMBER('Council Entry'!H$9)),MAX(MIN('Council Entry'!H42,'Council Entry'!H$9),'Council Entry'!H$8),'Council Entry'!H42))))-'Council Entry'!H$5)/('Council Entry'!H$6-'Council Entry'!H$5),10*((IF('Council Entry'!H$4="Logarithm",LN(0.001+IF(AND(ISNUMBER('Council Entry'!H$8),ISNUMBER('Council Entry'!H$9)),MAX(MIN('Council Entry'!H42,'Council Entry'!H$9),'Council Entry'!H$8),'Council Entry'!H42)),IF('Council Entry'!H$4="Exponential",EXP(IF(AND(ISNUMBER('Council Entry'!H$8),ISNUMBER('Council Entry'!H$9)),MAX(MIN('Council Entry'!H42,'Council Entry'!H$9),'Council Entry'!H$8),'Council Entry'!H42)),IF(AND(ISNUMBER('Council Entry'!H$8),ISNUMBER('Council Entry'!H$9)),MAX(MIN('Council Entry'!H42,'Council Entry'!H$9),'Council Entry'!H$8),'Council Entry'!H42))))-'Council Entry'!H$5)/('Council Entry'!H$6-'Council Entry'!H$5)),1))),"No data"))</f>
        <v/>
      </c>
      <c r="I42" s="13">
        <f>IF('Council Entry'!I42="","",IFERROR(MAX(0,MIN(10,ROUND(IF('Council Entry'!I$7="Decrease Risk",10-10*((IF('Council Entry'!I$4="Logarithm",LN(0.001+IF(AND(ISNUMBER('Council Entry'!I$8),ISNUMBER('Council Entry'!I$9)),MAX(MIN('Council Entry'!I42,'Council Entry'!I$9),'Council Entry'!I$8),'Council Entry'!I42)),IF('Council Entry'!I$4="Exponential",EXP(IF(AND(ISNUMBER('Council Entry'!I$8),ISNUMBER('Council Entry'!I$9)),MAX(MIN('Council Entry'!I42,'Council Entry'!I$9),'Council Entry'!I$8),'Council Entry'!I42)),IF(AND(ISNUMBER('Council Entry'!I$8),ISNUMBER('Council Entry'!I$9)),MAX(MIN('Council Entry'!I42,'Council Entry'!I$9),'Council Entry'!I$8),'Council Entry'!I42))))-'Council Entry'!I$5)/('Council Entry'!I$6-'Council Entry'!I$5),10*((IF('Council Entry'!I$4="Logarithm",LN(0.001+IF(AND(ISNUMBER('Council Entry'!I$8),ISNUMBER('Council Entry'!I$9)),MAX(MIN('Council Entry'!I42,'Council Entry'!I$9),'Council Entry'!I$8),'Council Entry'!I42)),IF('Council Entry'!I$4="Exponential",EXP(IF(AND(ISNUMBER('Council Entry'!I$8),ISNUMBER('Council Entry'!I$9)),MAX(MIN('Council Entry'!I42,'Council Entry'!I$9),'Council Entry'!I$8),'Council Entry'!I42)),IF(AND(ISNUMBER('Council Entry'!I$8),ISNUMBER('Council Entry'!I$9)),MAX(MIN('Council Entry'!I42,'Council Entry'!I$9),'Council Entry'!I$8),'Council Entry'!I42))))-'Council Entry'!I$5)/('Council Entry'!I$6-'Council Entry'!I$5)),1))),"No data"))</f>
        <v/>
      </c>
      <c r="J42" s="13">
        <f>IF('Council Entry'!J42="","",IFERROR(MAX(0,MIN(10,ROUND(IF('Council Entry'!J$7="Decrease Risk",10-10*((IF('Council Entry'!J$4="Logarithm",LN(0.001+IF(AND(ISNUMBER('Council Entry'!J$8),ISNUMBER('Council Entry'!J$9)),MAX(MIN('Council Entry'!J42,'Council Entry'!J$9),'Council Entry'!J$8),'Council Entry'!J42)),IF('Council Entry'!J$4="Exponential",EXP(IF(AND(ISNUMBER('Council Entry'!J$8),ISNUMBER('Council Entry'!J$9)),MAX(MIN('Council Entry'!J42,'Council Entry'!J$9),'Council Entry'!J$8),'Council Entry'!J42)),IF(AND(ISNUMBER('Council Entry'!J$8),ISNUMBER('Council Entry'!J$9)),MAX(MIN('Council Entry'!J42,'Council Entry'!J$9),'Council Entry'!J$8),'Council Entry'!J42))))-'Council Entry'!J$5)/('Council Entry'!J$6-'Council Entry'!J$5),10*((IF('Council Entry'!J$4="Logarithm",LN(0.001+IF(AND(ISNUMBER('Council Entry'!J$8),ISNUMBER('Council Entry'!J$9)),MAX(MIN('Council Entry'!J42,'Council Entry'!J$9),'Council Entry'!J$8),'Council Entry'!J42)),IF('Council Entry'!J$4="Exponential",EXP(IF(AND(ISNUMBER('Council Entry'!J$8),ISNUMBER('Council Entry'!J$9)),MAX(MIN('Council Entry'!J42,'Council Entry'!J$9),'Council Entry'!J$8),'Council Entry'!J42)),IF(AND(ISNUMBER('Council Entry'!J$8),ISNUMBER('Council Entry'!J$9)),MAX(MIN('Council Entry'!J42,'Council Entry'!J$9),'Council Entry'!J$8),'Council Entry'!J42))))-'Council Entry'!J$5)/('Council Entry'!J$6-'Council Entry'!J$5)),1))),"No data"))</f>
        <v/>
      </c>
      <c r="K42" s="13">
        <f>IF('Council Entry'!K42="","",IFERROR(MAX(0,MIN(10,ROUND(IF('Council Entry'!K$7="Decrease Risk",10-10*((IF('Council Entry'!K$4="Logarithm",LN(0.001+IF(AND(ISNUMBER('Council Entry'!K$8),ISNUMBER('Council Entry'!K$9)),MAX(MIN('Council Entry'!K42,'Council Entry'!K$9),'Council Entry'!K$8),'Council Entry'!K42)),IF('Council Entry'!K$4="Exponential",EXP(IF(AND(ISNUMBER('Council Entry'!K$8),ISNUMBER('Council Entry'!K$9)),MAX(MIN('Council Entry'!K42,'Council Entry'!K$9),'Council Entry'!K$8),'Council Entry'!K42)),IF(AND(ISNUMBER('Council Entry'!K$8),ISNUMBER('Council Entry'!K$9)),MAX(MIN('Council Entry'!K42,'Council Entry'!K$9),'Council Entry'!K$8),'Council Entry'!K42))))-'Council Entry'!K$5)/('Council Entry'!K$6-'Council Entry'!K$5),10*((IF('Council Entry'!K$4="Logarithm",LN(0.001+IF(AND(ISNUMBER('Council Entry'!K$8),ISNUMBER('Council Entry'!K$9)),MAX(MIN('Council Entry'!K42,'Council Entry'!K$9),'Council Entry'!K$8),'Council Entry'!K42)),IF('Council Entry'!K$4="Exponential",EXP(IF(AND(ISNUMBER('Council Entry'!K$8),ISNUMBER('Council Entry'!K$9)),MAX(MIN('Council Entry'!K42,'Council Entry'!K$9),'Council Entry'!K$8),'Council Entry'!K42)),IF(AND(ISNUMBER('Council Entry'!K$8),ISNUMBER('Council Entry'!K$9)),MAX(MIN('Council Entry'!K42,'Council Entry'!K$9),'Council Entry'!K$8),'Council Entry'!K42))))-'Council Entry'!K$5)/('Council Entry'!K$6-'Council Entry'!K$5)),1))),"No data"))</f>
        <v/>
      </c>
      <c r="L42" s="13">
        <f>IF('Council Entry'!L42="","",IFERROR(MAX(0,MIN(10,ROUND(IF('Council Entry'!L$7="Decrease Risk",10-10*((IF('Council Entry'!L$4="Logarithm",LN(0.001+IF(AND(ISNUMBER('Council Entry'!L$8),ISNUMBER('Council Entry'!L$9)),MAX(MIN('Council Entry'!L42,'Council Entry'!L$9),'Council Entry'!L$8),'Council Entry'!L42)),IF('Council Entry'!L$4="Exponential",EXP(IF(AND(ISNUMBER('Council Entry'!L$8),ISNUMBER('Council Entry'!L$9)),MAX(MIN('Council Entry'!L42,'Council Entry'!L$9),'Council Entry'!L$8),'Council Entry'!L42)),IF(AND(ISNUMBER('Council Entry'!L$8),ISNUMBER('Council Entry'!L$9)),MAX(MIN('Council Entry'!L42,'Council Entry'!L$9),'Council Entry'!L$8),'Council Entry'!L42))))-'Council Entry'!L$5)/('Council Entry'!L$6-'Council Entry'!L$5),10*((IF('Council Entry'!L$4="Logarithm",LN(0.001+IF(AND(ISNUMBER('Council Entry'!L$8),ISNUMBER('Council Entry'!L$9)),MAX(MIN('Council Entry'!L42,'Council Entry'!L$9),'Council Entry'!L$8),'Council Entry'!L42)),IF('Council Entry'!L$4="Exponential",EXP(IF(AND(ISNUMBER('Council Entry'!L$8),ISNUMBER('Council Entry'!L$9)),MAX(MIN('Council Entry'!L42,'Council Entry'!L$9),'Council Entry'!L$8),'Council Entry'!L42)),IF(AND(ISNUMBER('Council Entry'!L$8),ISNUMBER('Council Entry'!L$9)),MAX(MIN('Council Entry'!L42,'Council Entry'!L$9),'Council Entry'!L$8),'Council Entry'!L42))))-'Council Entry'!L$5)/('Council Entry'!L$6-'Council Entry'!L$5)),1))),"No data"))</f>
        <v/>
      </c>
      <c r="M42" s="13">
        <f>IF('Council Entry'!M42="","",IFERROR(MAX(0,MIN(10,ROUND(IF('Council Entry'!M$7="Decrease Risk",10-10*((IF('Council Entry'!M$4="Logarithm",LN(0.001+IF(AND(ISNUMBER('Council Entry'!M$8),ISNUMBER('Council Entry'!M$9)),MAX(MIN('Council Entry'!M42,'Council Entry'!M$9),'Council Entry'!M$8),'Council Entry'!M42)),IF('Council Entry'!M$4="Exponential",EXP(IF(AND(ISNUMBER('Council Entry'!M$8),ISNUMBER('Council Entry'!M$9)),MAX(MIN('Council Entry'!M42,'Council Entry'!M$9),'Council Entry'!M$8),'Council Entry'!M42)),IF(AND(ISNUMBER('Council Entry'!M$8),ISNUMBER('Council Entry'!M$9)),MAX(MIN('Council Entry'!M42,'Council Entry'!M$9),'Council Entry'!M$8),'Council Entry'!M42))))-'Council Entry'!M$5)/('Council Entry'!M$6-'Council Entry'!M$5),10*((IF('Council Entry'!M$4="Logarithm",LN(0.001+IF(AND(ISNUMBER('Council Entry'!M$8),ISNUMBER('Council Entry'!M$9)),MAX(MIN('Council Entry'!M42,'Council Entry'!M$9),'Council Entry'!M$8),'Council Entry'!M42)),IF('Council Entry'!M$4="Exponential",EXP(IF(AND(ISNUMBER('Council Entry'!M$8),ISNUMBER('Council Entry'!M$9)),MAX(MIN('Council Entry'!M42,'Council Entry'!M$9),'Council Entry'!M$8),'Council Entry'!M42)),IF(AND(ISNUMBER('Council Entry'!M$8),ISNUMBER('Council Entry'!M$9)),MAX(MIN('Council Entry'!M42,'Council Entry'!M$9),'Council Entry'!M$8),'Council Entry'!M42))))-'Council Entry'!M$5)/('Council Entry'!M$6-'Council Entry'!M$5)),1))),"No data"))</f>
        <v/>
      </c>
      <c r="N42" s="13">
        <f>IF('Council Entry'!N42="","",IFERROR(MAX(0,MIN(10,ROUND(IF('Council Entry'!N$7="Decrease Risk",10-10*((IF('Council Entry'!N$4="Logarithm",LN(0.001+IF(AND(ISNUMBER('Council Entry'!N$8),ISNUMBER('Council Entry'!N$9)),MAX(MIN('Council Entry'!N42,'Council Entry'!N$9),'Council Entry'!N$8),'Council Entry'!N42)),IF('Council Entry'!N$4="Exponential",EXP(IF(AND(ISNUMBER('Council Entry'!N$8),ISNUMBER('Council Entry'!N$9)),MAX(MIN('Council Entry'!N42,'Council Entry'!N$9),'Council Entry'!N$8),'Council Entry'!N42)),IF(AND(ISNUMBER('Council Entry'!N$8),ISNUMBER('Council Entry'!N$9)),MAX(MIN('Council Entry'!N42,'Council Entry'!N$9),'Council Entry'!N$8),'Council Entry'!N42))))-'Council Entry'!N$5)/('Council Entry'!N$6-'Council Entry'!N$5),10*((IF('Council Entry'!N$4="Logarithm",LN(0.001+IF(AND(ISNUMBER('Council Entry'!N$8),ISNUMBER('Council Entry'!N$9)),MAX(MIN('Council Entry'!N42,'Council Entry'!N$9),'Council Entry'!N$8),'Council Entry'!N42)),IF('Council Entry'!N$4="Exponential",EXP(IF(AND(ISNUMBER('Council Entry'!N$8),ISNUMBER('Council Entry'!N$9)),MAX(MIN('Council Entry'!N42,'Council Entry'!N$9),'Council Entry'!N$8),'Council Entry'!N42)),IF(AND(ISNUMBER('Council Entry'!N$8),ISNUMBER('Council Entry'!N$9)),MAX(MIN('Council Entry'!N42,'Council Entry'!N$9),'Council Entry'!N$8),'Council Entry'!N42))))-'Council Entry'!N$5)/('Council Entry'!N$6-'Council Entry'!N$5)),1))),"No data"))</f>
        <v/>
      </c>
      <c r="O42" s="13">
        <f>IF('Council Entry'!O42="","",IFERROR(MAX(0,MIN(10,ROUND(IF('Council Entry'!O$7="Decrease Risk",10-10*((IF('Council Entry'!O$4="Logarithm",LN(0.001+IF(AND(ISNUMBER('Council Entry'!O$8),ISNUMBER('Council Entry'!O$9)),MAX(MIN('Council Entry'!O42,'Council Entry'!O$9),'Council Entry'!O$8),'Council Entry'!O42)),IF('Council Entry'!O$4="Exponential",EXP(IF(AND(ISNUMBER('Council Entry'!O$8),ISNUMBER('Council Entry'!O$9)),MAX(MIN('Council Entry'!O42,'Council Entry'!O$9),'Council Entry'!O$8),'Council Entry'!O42)),IF(AND(ISNUMBER('Council Entry'!O$8),ISNUMBER('Council Entry'!O$9)),MAX(MIN('Council Entry'!O42,'Council Entry'!O$9),'Council Entry'!O$8),'Council Entry'!O42))))-'Council Entry'!O$5)/('Council Entry'!O$6-'Council Entry'!O$5),10*((IF('Council Entry'!O$4="Logarithm",LN(0.001+IF(AND(ISNUMBER('Council Entry'!O$8),ISNUMBER('Council Entry'!O$9)),MAX(MIN('Council Entry'!O42,'Council Entry'!O$9),'Council Entry'!O$8),'Council Entry'!O42)),IF('Council Entry'!O$4="Exponential",EXP(IF(AND(ISNUMBER('Council Entry'!O$8),ISNUMBER('Council Entry'!O$9)),MAX(MIN('Council Entry'!O42,'Council Entry'!O$9),'Council Entry'!O$8),'Council Entry'!O42)),IF(AND(ISNUMBER('Council Entry'!O$8),ISNUMBER('Council Entry'!O$9)),MAX(MIN('Council Entry'!O42,'Council Entry'!O$9),'Council Entry'!O$8),'Council Entry'!O42))))-'Council Entry'!O$5)/('Council Entry'!O$6-'Council Entry'!O$5)),1))),"No data"))</f>
        <v/>
      </c>
      <c r="P42" s="13">
        <f>IF('Council Entry'!P42="","",IFERROR(MAX(0,MIN(10,ROUND(IF('Council Entry'!P$7="Decrease Risk",10-10*((IF('Council Entry'!P$4="Logarithm",LN(0.001+IF(AND(ISNUMBER('Council Entry'!P$8),ISNUMBER('Council Entry'!P$9)),MAX(MIN('Council Entry'!P42,'Council Entry'!P$9),'Council Entry'!P$8),'Council Entry'!P42)),IF('Council Entry'!P$4="Exponential",EXP(IF(AND(ISNUMBER('Council Entry'!P$8),ISNUMBER('Council Entry'!P$9)),MAX(MIN('Council Entry'!P42,'Council Entry'!P$9),'Council Entry'!P$8),'Council Entry'!P42)),IF(AND(ISNUMBER('Council Entry'!P$8),ISNUMBER('Council Entry'!P$9)),MAX(MIN('Council Entry'!P42,'Council Entry'!P$9),'Council Entry'!P$8),'Council Entry'!P42))))-'Council Entry'!P$5)/('Council Entry'!P$6-'Council Entry'!P$5),10*((IF('Council Entry'!P$4="Logarithm",LN(0.001+IF(AND(ISNUMBER('Council Entry'!P$8),ISNUMBER('Council Entry'!P$9)),MAX(MIN('Council Entry'!P42,'Council Entry'!P$9),'Council Entry'!P$8),'Council Entry'!P42)),IF('Council Entry'!P$4="Exponential",EXP(IF(AND(ISNUMBER('Council Entry'!P$8),ISNUMBER('Council Entry'!P$9)),MAX(MIN('Council Entry'!P42,'Council Entry'!P$9),'Council Entry'!P$8),'Council Entry'!P42)),IF(AND(ISNUMBER('Council Entry'!P$8),ISNUMBER('Council Entry'!P$9)),MAX(MIN('Council Entry'!P42,'Council Entry'!P$9),'Council Entry'!P$8),'Council Entry'!P42))))-'Council Entry'!P$5)/('Council Entry'!P$6-'Council Entry'!P$5)),1))),"No data"))</f>
        <v/>
      </c>
      <c r="Q42" s="13">
        <f>IF('Council Entry'!Q42="","",IFERROR(MAX(0,MIN(10,ROUND(IF('Council Entry'!Q$7="Decrease Risk",10-10*((IF('Council Entry'!Q$4="Logarithm",LN(0.001+IF(AND(ISNUMBER('Council Entry'!Q$8),ISNUMBER('Council Entry'!Q$9)),MAX(MIN('Council Entry'!Q42,'Council Entry'!Q$9),'Council Entry'!Q$8),'Council Entry'!Q42)),IF('Council Entry'!Q$4="Exponential",EXP(IF(AND(ISNUMBER('Council Entry'!Q$8),ISNUMBER('Council Entry'!Q$9)),MAX(MIN('Council Entry'!Q42,'Council Entry'!Q$9),'Council Entry'!Q$8),'Council Entry'!Q42)),IF(AND(ISNUMBER('Council Entry'!Q$8),ISNUMBER('Council Entry'!Q$9)),MAX(MIN('Council Entry'!Q42,'Council Entry'!Q$9),'Council Entry'!Q$8),'Council Entry'!Q42))))-'Council Entry'!Q$5)/('Council Entry'!Q$6-'Council Entry'!Q$5),10*((IF('Council Entry'!Q$4="Logarithm",LN(0.001+IF(AND(ISNUMBER('Council Entry'!Q$8),ISNUMBER('Council Entry'!Q$9)),MAX(MIN('Council Entry'!Q42,'Council Entry'!Q$9),'Council Entry'!Q$8),'Council Entry'!Q42)),IF('Council Entry'!Q$4="Exponential",EXP(IF(AND(ISNUMBER('Council Entry'!Q$8),ISNUMBER('Council Entry'!Q$9)),MAX(MIN('Council Entry'!Q42,'Council Entry'!Q$9),'Council Entry'!Q$8),'Council Entry'!Q42)),IF(AND(ISNUMBER('Council Entry'!Q$8),ISNUMBER('Council Entry'!Q$9)),MAX(MIN('Council Entry'!Q42,'Council Entry'!Q$9),'Council Entry'!Q$8),'Council Entry'!Q42))))-'Council Entry'!Q$5)/('Council Entry'!Q$6-'Council Entry'!Q$5)),1))),"No data"))</f>
        <v/>
      </c>
      <c r="R42" s="13">
        <f>IF('Council Entry'!R42="","",IFERROR(MAX(0,MIN(10,ROUND(IF('Council Entry'!R$7="Decrease Risk",10-10*((IF('Council Entry'!R$4="Logarithm",LN(0.001+IF(AND(ISNUMBER('Council Entry'!R$8),ISNUMBER('Council Entry'!R$9)),MAX(MIN('Council Entry'!R42,'Council Entry'!R$9),'Council Entry'!R$8),'Council Entry'!R42)),IF('Council Entry'!R$4="Exponential",EXP(IF(AND(ISNUMBER('Council Entry'!R$8),ISNUMBER('Council Entry'!R$9)),MAX(MIN('Council Entry'!R42,'Council Entry'!R$9),'Council Entry'!R$8),'Council Entry'!R42)),IF(AND(ISNUMBER('Council Entry'!R$8),ISNUMBER('Council Entry'!R$9)),MAX(MIN('Council Entry'!R42,'Council Entry'!R$9),'Council Entry'!R$8),'Council Entry'!R42))))-'Council Entry'!R$5)/('Council Entry'!R$6-'Council Entry'!R$5),10*((IF('Council Entry'!R$4="Logarithm",LN(0.001+IF(AND(ISNUMBER('Council Entry'!R$8),ISNUMBER('Council Entry'!R$9)),MAX(MIN('Council Entry'!R42,'Council Entry'!R$9),'Council Entry'!R$8),'Council Entry'!R42)),IF('Council Entry'!R$4="Exponential",EXP(IF(AND(ISNUMBER('Council Entry'!R$8),ISNUMBER('Council Entry'!R$9)),MAX(MIN('Council Entry'!R42,'Council Entry'!R$9),'Council Entry'!R$8),'Council Entry'!R42)),IF(AND(ISNUMBER('Council Entry'!R$8),ISNUMBER('Council Entry'!R$9)),MAX(MIN('Council Entry'!R42,'Council Entry'!R$9),'Council Entry'!R$8),'Council Entry'!R42))))-'Council Entry'!R$5)/('Council Entry'!R$6-'Council Entry'!R$5)),1))),"No data"))</f>
        <v/>
      </c>
      <c r="S42" s="13">
        <f>IF('Council Entry'!S42="","",IFERROR(MAX(0,MIN(10,ROUND(IF('Council Entry'!S$7="Decrease Risk",10-10*((IF('Council Entry'!S$4="Logarithm",LN(0.001+IF(AND(ISNUMBER('Council Entry'!S$8),ISNUMBER('Council Entry'!S$9)),MAX(MIN('Council Entry'!S42,'Council Entry'!S$9),'Council Entry'!S$8),'Council Entry'!S42)),IF('Council Entry'!S$4="Exponential",EXP(IF(AND(ISNUMBER('Council Entry'!S$8),ISNUMBER('Council Entry'!S$9)),MAX(MIN('Council Entry'!S42,'Council Entry'!S$9),'Council Entry'!S$8),'Council Entry'!S42)),IF(AND(ISNUMBER('Council Entry'!S$8),ISNUMBER('Council Entry'!S$9)),MAX(MIN('Council Entry'!S42,'Council Entry'!S$9),'Council Entry'!S$8),'Council Entry'!S42))))-'Council Entry'!S$5)/('Council Entry'!S$6-'Council Entry'!S$5),10*((IF('Council Entry'!S$4="Logarithm",LN(0.001+IF(AND(ISNUMBER('Council Entry'!S$8),ISNUMBER('Council Entry'!S$9)),MAX(MIN('Council Entry'!S42,'Council Entry'!S$9),'Council Entry'!S$8),'Council Entry'!S42)),IF('Council Entry'!S$4="Exponential",EXP(IF(AND(ISNUMBER('Council Entry'!S$8),ISNUMBER('Council Entry'!S$9)),MAX(MIN('Council Entry'!S42,'Council Entry'!S$9),'Council Entry'!S$8),'Council Entry'!S42)),IF(AND(ISNUMBER('Council Entry'!S$8),ISNUMBER('Council Entry'!S$9)),MAX(MIN('Council Entry'!S42,'Council Entry'!S$9),'Council Entry'!S$8),'Council Entry'!S42))))-'Council Entry'!S$5)/('Council Entry'!S$6-'Council Entry'!S$5)),1))),"No data"))</f>
        <v/>
      </c>
      <c r="T42" s="13">
        <f>IF('Council Entry'!T42="","",IFERROR(MAX(0,MIN(10,ROUND(IF('Council Entry'!T$7="Decrease Risk",10-10*((IF('Council Entry'!T$4="Logarithm",LN(0.001+IF(AND(ISNUMBER('Council Entry'!T$8),ISNUMBER('Council Entry'!T$9)),MAX(MIN('Council Entry'!T42,'Council Entry'!T$9),'Council Entry'!T$8),'Council Entry'!T42)),IF('Council Entry'!T$4="Exponential",EXP(IF(AND(ISNUMBER('Council Entry'!T$8),ISNUMBER('Council Entry'!T$9)),MAX(MIN('Council Entry'!T42,'Council Entry'!T$9),'Council Entry'!T$8),'Council Entry'!T42)),IF(AND(ISNUMBER('Council Entry'!T$8),ISNUMBER('Council Entry'!T$9)),MAX(MIN('Council Entry'!T42,'Council Entry'!T$9),'Council Entry'!T$8),'Council Entry'!T42))))-'Council Entry'!T$5)/('Council Entry'!T$6-'Council Entry'!T$5),10*((IF('Council Entry'!T$4="Logarithm",LN(0.001+IF(AND(ISNUMBER('Council Entry'!T$8),ISNUMBER('Council Entry'!T$9)),MAX(MIN('Council Entry'!T42,'Council Entry'!T$9),'Council Entry'!T$8),'Council Entry'!T42)),IF('Council Entry'!T$4="Exponential",EXP(IF(AND(ISNUMBER('Council Entry'!T$8),ISNUMBER('Council Entry'!T$9)),MAX(MIN('Council Entry'!T42,'Council Entry'!T$9),'Council Entry'!T$8),'Council Entry'!T42)),IF(AND(ISNUMBER('Council Entry'!T$8),ISNUMBER('Council Entry'!T$9)),MAX(MIN('Council Entry'!T42,'Council Entry'!T$9),'Council Entry'!T$8),'Council Entry'!T42))))-'Council Entry'!T$5)/('Council Entry'!T$6-'Council Entry'!T$5)),1))),"No data"))</f>
        <v/>
      </c>
      <c r="U42" s="13">
        <f>IF('Council Entry'!U42="","",IFERROR(MAX(0,MIN(10,ROUND(IF('Council Entry'!U$7="Decrease Risk",10-10*((IF('Council Entry'!U$4="Logarithm",LN(0.001+IF(AND(ISNUMBER('Council Entry'!U$8),ISNUMBER('Council Entry'!U$9)),MAX(MIN('Council Entry'!U42,'Council Entry'!U$9),'Council Entry'!U$8),'Council Entry'!U42)),IF('Council Entry'!U$4="Exponential",EXP(IF(AND(ISNUMBER('Council Entry'!U$8),ISNUMBER('Council Entry'!U$9)),MAX(MIN('Council Entry'!U42,'Council Entry'!U$9),'Council Entry'!U$8),'Council Entry'!U42)),IF(AND(ISNUMBER('Council Entry'!U$8),ISNUMBER('Council Entry'!U$9)),MAX(MIN('Council Entry'!U42,'Council Entry'!U$9),'Council Entry'!U$8),'Council Entry'!U42))))-'Council Entry'!U$5)/('Council Entry'!U$6-'Council Entry'!U$5),10*((IF('Council Entry'!U$4="Logarithm",LN(0.001+IF(AND(ISNUMBER('Council Entry'!U$8),ISNUMBER('Council Entry'!U$9)),MAX(MIN('Council Entry'!U42,'Council Entry'!U$9),'Council Entry'!U$8),'Council Entry'!U42)),IF('Council Entry'!U$4="Exponential",EXP(IF(AND(ISNUMBER('Council Entry'!U$8),ISNUMBER('Council Entry'!U$9)),MAX(MIN('Council Entry'!U42,'Council Entry'!U$9),'Council Entry'!U$8),'Council Entry'!U42)),IF(AND(ISNUMBER('Council Entry'!U$8),ISNUMBER('Council Entry'!U$9)),MAX(MIN('Council Entry'!U42,'Council Entry'!U$9),'Council Entry'!U$8),'Council Entry'!U42))))-'Council Entry'!U$5)/('Council Entry'!U$6-'Council Entry'!U$5)),1))),"No data"))</f>
        <v/>
      </c>
      <c r="V42" s="13">
        <f>IF('Council Entry'!V42="","",IFERROR(MAX(0,MIN(10,ROUND(IF('Council Entry'!V$7="Decrease Risk",10-10*((IF('Council Entry'!V$4="Logarithm",LN(0.001+IF(AND(ISNUMBER('Council Entry'!V$8),ISNUMBER('Council Entry'!V$9)),MAX(MIN('Council Entry'!V42,'Council Entry'!V$9),'Council Entry'!V$8),'Council Entry'!V42)),IF('Council Entry'!V$4="Exponential",EXP(IF(AND(ISNUMBER('Council Entry'!V$8),ISNUMBER('Council Entry'!V$9)),MAX(MIN('Council Entry'!V42,'Council Entry'!V$9),'Council Entry'!V$8),'Council Entry'!V42)),IF(AND(ISNUMBER('Council Entry'!V$8),ISNUMBER('Council Entry'!V$9)),MAX(MIN('Council Entry'!V42,'Council Entry'!V$9),'Council Entry'!V$8),'Council Entry'!V42))))-'Council Entry'!V$5)/('Council Entry'!V$6-'Council Entry'!V$5),10*((IF('Council Entry'!V$4="Logarithm",LN(0.001+IF(AND(ISNUMBER('Council Entry'!V$8),ISNUMBER('Council Entry'!V$9)),MAX(MIN('Council Entry'!V42,'Council Entry'!V$9),'Council Entry'!V$8),'Council Entry'!V42)),IF('Council Entry'!V$4="Exponential",EXP(IF(AND(ISNUMBER('Council Entry'!V$8),ISNUMBER('Council Entry'!V$9)),MAX(MIN('Council Entry'!V42,'Council Entry'!V$9),'Council Entry'!V$8),'Council Entry'!V42)),IF(AND(ISNUMBER('Council Entry'!V$8),ISNUMBER('Council Entry'!V$9)),MAX(MIN('Council Entry'!V42,'Council Entry'!V$9),'Council Entry'!V$8),'Council Entry'!V42))))-'Council Entry'!V$5)/('Council Entry'!V$6-'Council Entry'!V$5)),1))),"No data"))</f>
        <v/>
      </c>
      <c r="W42" s="13">
        <f>IF('Council Entry'!W42="","",IFERROR(MAX(0,MIN(10,ROUND(IF('Council Entry'!W$7="Decrease Risk",10-10*((IF('Council Entry'!W$4="Logarithm",LN(0.001+IF(AND(ISNUMBER('Council Entry'!W$8),ISNUMBER('Council Entry'!W$9)),MAX(MIN('Council Entry'!W42,'Council Entry'!W$9),'Council Entry'!W$8),'Council Entry'!W42)),IF('Council Entry'!W$4="Exponential",EXP(IF(AND(ISNUMBER('Council Entry'!W$8),ISNUMBER('Council Entry'!W$9)),MAX(MIN('Council Entry'!W42,'Council Entry'!W$9),'Council Entry'!W$8),'Council Entry'!W42)),IF(AND(ISNUMBER('Council Entry'!W$8),ISNUMBER('Council Entry'!W$9)),MAX(MIN('Council Entry'!W42,'Council Entry'!W$9),'Council Entry'!W$8),'Council Entry'!W42))))-'Council Entry'!W$5)/('Council Entry'!W$6-'Council Entry'!W$5),10*((IF('Council Entry'!W$4="Logarithm",LN(0.001+IF(AND(ISNUMBER('Council Entry'!W$8),ISNUMBER('Council Entry'!W$9)),MAX(MIN('Council Entry'!W42,'Council Entry'!W$9),'Council Entry'!W$8),'Council Entry'!W42)),IF('Council Entry'!W$4="Exponential",EXP(IF(AND(ISNUMBER('Council Entry'!W$8),ISNUMBER('Council Entry'!W$9)),MAX(MIN('Council Entry'!W42,'Council Entry'!W$9),'Council Entry'!W$8),'Council Entry'!W42)),IF(AND(ISNUMBER('Council Entry'!W$8),ISNUMBER('Council Entry'!W$9)),MAX(MIN('Council Entry'!W42,'Council Entry'!W$9),'Council Entry'!W$8),'Council Entry'!W42))))-'Council Entry'!W$5)/('Council Entry'!W$6-'Council Entry'!W$5)),1))),"No data"))</f>
        <v/>
      </c>
      <c r="X42" s="13">
        <f>IF('Council Entry'!X42="","",IFERROR(MAX(0,MIN(10,ROUND(IF('Council Entry'!X$7="Decrease Risk",10-10*((IF('Council Entry'!X$4="Logarithm",LN(0.001+IF(AND(ISNUMBER('Council Entry'!X$8),ISNUMBER('Council Entry'!X$9)),MAX(MIN('Council Entry'!X42,'Council Entry'!X$9),'Council Entry'!X$8),'Council Entry'!X42)),IF('Council Entry'!X$4="Exponential",EXP(IF(AND(ISNUMBER('Council Entry'!X$8),ISNUMBER('Council Entry'!X$9)),MAX(MIN('Council Entry'!X42,'Council Entry'!X$9),'Council Entry'!X$8),'Council Entry'!X42)),IF(AND(ISNUMBER('Council Entry'!X$8),ISNUMBER('Council Entry'!X$9)),MAX(MIN('Council Entry'!X42,'Council Entry'!X$9),'Council Entry'!X$8),'Council Entry'!X42))))-'Council Entry'!X$5)/('Council Entry'!X$6-'Council Entry'!X$5),10*((IF('Council Entry'!X$4="Logarithm",LN(0.001+IF(AND(ISNUMBER('Council Entry'!X$8),ISNUMBER('Council Entry'!X$9)),MAX(MIN('Council Entry'!X42,'Council Entry'!X$9),'Council Entry'!X$8),'Council Entry'!X42)),IF('Council Entry'!X$4="Exponential",EXP(IF(AND(ISNUMBER('Council Entry'!X$8),ISNUMBER('Council Entry'!X$9)),MAX(MIN('Council Entry'!X42,'Council Entry'!X$9),'Council Entry'!X$8),'Council Entry'!X42)),IF(AND(ISNUMBER('Council Entry'!X$8),ISNUMBER('Council Entry'!X$9)),MAX(MIN('Council Entry'!X42,'Council Entry'!X$9),'Council Entry'!X$8),'Council Entry'!X42))))-'Council Entry'!X$5)/('Council Entry'!X$6-'Council Entry'!X$5)),1))),"No data"))</f>
        <v/>
      </c>
      <c r="Y42" s="13">
        <f>IF('Council Entry'!Y42="","",IFERROR(MAX(0,MIN(10,ROUND(IF('Council Entry'!Y$7="Decrease Risk",10-10*((IF('Council Entry'!Y$4="Logarithm",LN(0.001+IF(AND(ISNUMBER('Council Entry'!Y$8),ISNUMBER('Council Entry'!Y$9)),MAX(MIN('Council Entry'!Y42,'Council Entry'!Y$9),'Council Entry'!Y$8),'Council Entry'!Y42)),IF('Council Entry'!Y$4="Exponential",EXP(IF(AND(ISNUMBER('Council Entry'!Y$8),ISNUMBER('Council Entry'!Y$9)),MAX(MIN('Council Entry'!Y42,'Council Entry'!Y$9),'Council Entry'!Y$8),'Council Entry'!Y42)),IF(AND(ISNUMBER('Council Entry'!Y$8),ISNUMBER('Council Entry'!Y$9)),MAX(MIN('Council Entry'!Y42,'Council Entry'!Y$9),'Council Entry'!Y$8),'Council Entry'!Y42))))-'Council Entry'!Y$5)/('Council Entry'!Y$6-'Council Entry'!Y$5),10*((IF('Council Entry'!Y$4="Logarithm",LN(0.001+IF(AND(ISNUMBER('Council Entry'!Y$8),ISNUMBER('Council Entry'!Y$9)),MAX(MIN('Council Entry'!Y42,'Council Entry'!Y$9),'Council Entry'!Y$8),'Council Entry'!Y42)),IF('Council Entry'!Y$4="Exponential",EXP(IF(AND(ISNUMBER('Council Entry'!Y$8),ISNUMBER('Council Entry'!Y$9)),MAX(MIN('Council Entry'!Y42,'Council Entry'!Y$9),'Council Entry'!Y$8),'Council Entry'!Y42)),IF(AND(ISNUMBER('Council Entry'!Y$8),ISNUMBER('Council Entry'!Y$9)),MAX(MIN('Council Entry'!Y42,'Council Entry'!Y$9),'Council Entry'!Y$8),'Council Entry'!Y42))))-'Council Entry'!Y$5)/('Council Entry'!Y$6-'Council Entry'!Y$5)),1))),"No data"))</f>
        <v/>
      </c>
      <c r="Z42" s="13">
        <f>IF('Council Entry'!Z42="","",IFERROR(MAX(0,MIN(10,ROUND(IF('Council Entry'!Z$7="Decrease Risk",10-10*((IF('Council Entry'!Z$4="Logarithm",LN(0.001+IF(AND(ISNUMBER('Council Entry'!Z$8),ISNUMBER('Council Entry'!Z$9)),MAX(MIN('Council Entry'!Z42,'Council Entry'!Z$9),'Council Entry'!Z$8),'Council Entry'!Z42)),IF('Council Entry'!Z$4="Exponential",EXP(IF(AND(ISNUMBER('Council Entry'!Z$8),ISNUMBER('Council Entry'!Z$9)),MAX(MIN('Council Entry'!Z42,'Council Entry'!Z$9),'Council Entry'!Z$8),'Council Entry'!Z42)),IF(AND(ISNUMBER('Council Entry'!Z$8),ISNUMBER('Council Entry'!Z$9)),MAX(MIN('Council Entry'!Z42,'Council Entry'!Z$9),'Council Entry'!Z$8),'Council Entry'!Z42))))-'Council Entry'!Z$5)/('Council Entry'!Z$6-'Council Entry'!Z$5),10*((IF('Council Entry'!Z$4="Logarithm",LN(0.001+IF(AND(ISNUMBER('Council Entry'!Z$8),ISNUMBER('Council Entry'!Z$9)),MAX(MIN('Council Entry'!Z42,'Council Entry'!Z$9),'Council Entry'!Z$8),'Council Entry'!Z42)),IF('Council Entry'!Z$4="Exponential",EXP(IF(AND(ISNUMBER('Council Entry'!Z$8),ISNUMBER('Council Entry'!Z$9)),MAX(MIN('Council Entry'!Z42,'Council Entry'!Z$9),'Council Entry'!Z$8),'Council Entry'!Z42)),IF(AND(ISNUMBER('Council Entry'!Z$8),ISNUMBER('Council Entry'!Z$9)),MAX(MIN('Council Entry'!Z42,'Council Entry'!Z$9),'Council Entry'!Z$8),'Council Entry'!Z42))))-'Council Entry'!Z$5)/('Council Entry'!Z$6-'Council Entry'!Z$5)),1))),"No data"))</f>
        <v/>
      </c>
      <c r="AA42" s="13">
        <f>IF('Council Entry'!AA42="","",IFERROR(MAX(0,MIN(10,ROUND(IF('Council Entry'!AA$7="Decrease Risk",10-10*((IF('Council Entry'!AA$4="Logarithm",LN(0.001+IF(AND(ISNUMBER('Council Entry'!AA$8),ISNUMBER('Council Entry'!AA$9)),MAX(MIN('Council Entry'!AA42,'Council Entry'!AA$9),'Council Entry'!AA$8),'Council Entry'!AA42)),IF('Council Entry'!AA$4="Exponential",EXP(IF(AND(ISNUMBER('Council Entry'!AA$8),ISNUMBER('Council Entry'!AA$9)),MAX(MIN('Council Entry'!AA42,'Council Entry'!AA$9),'Council Entry'!AA$8),'Council Entry'!AA42)),IF(AND(ISNUMBER('Council Entry'!AA$8),ISNUMBER('Council Entry'!AA$9)),MAX(MIN('Council Entry'!AA42,'Council Entry'!AA$9),'Council Entry'!AA$8),'Council Entry'!AA42))))-'Council Entry'!AA$5)/('Council Entry'!AA$6-'Council Entry'!AA$5),10*((IF('Council Entry'!AA$4="Logarithm",LN(0.001+IF(AND(ISNUMBER('Council Entry'!AA$8),ISNUMBER('Council Entry'!AA$9)),MAX(MIN('Council Entry'!AA42,'Council Entry'!AA$9),'Council Entry'!AA$8),'Council Entry'!AA42)),IF('Council Entry'!AA$4="Exponential",EXP(IF(AND(ISNUMBER('Council Entry'!AA$8),ISNUMBER('Council Entry'!AA$9)),MAX(MIN('Council Entry'!AA42,'Council Entry'!AA$9),'Council Entry'!AA$8),'Council Entry'!AA42)),IF(AND(ISNUMBER('Council Entry'!AA$8),ISNUMBER('Council Entry'!AA$9)),MAX(MIN('Council Entry'!AA42,'Council Entry'!AA$9),'Council Entry'!AA$8),'Council Entry'!AA42))))-'Council Entry'!AA$5)/('Council Entry'!AA$6-'Council Entry'!AA$5)),1))),"No data"))</f>
        <v/>
      </c>
      <c r="AB42" s="13">
        <f>IF('Council Entry'!AB42="","",IFERROR(MAX(0,MIN(10,ROUND(IF('Council Entry'!AB$7="Decrease Risk",10-10*((IF('Council Entry'!AB$4="Logarithm",LN(0.001+IF(AND(ISNUMBER('Council Entry'!AB$8),ISNUMBER('Council Entry'!AB$9)),MAX(MIN('Council Entry'!AB42,'Council Entry'!AB$9),'Council Entry'!AB$8),'Council Entry'!AB42)),IF('Council Entry'!AB$4="Exponential",EXP(IF(AND(ISNUMBER('Council Entry'!AB$8),ISNUMBER('Council Entry'!AB$9)),MAX(MIN('Council Entry'!AB42,'Council Entry'!AB$9),'Council Entry'!AB$8),'Council Entry'!AB42)),IF(AND(ISNUMBER('Council Entry'!AB$8),ISNUMBER('Council Entry'!AB$9)),MAX(MIN('Council Entry'!AB42,'Council Entry'!AB$9),'Council Entry'!AB$8),'Council Entry'!AB42))))-'Council Entry'!AB$5)/('Council Entry'!AB$6-'Council Entry'!AB$5),10*((IF('Council Entry'!AB$4="Logarithm",LN(0.001+IF(AND(ISNUMBER('Council Entry'!AB$8),ISNUMBER('Council Entry'!AB$9)),MAX(MIN('Council Entry'!AB42,'Council Entry'!AB$9),'Council Entry'!AB$8),'Council Entry'!AB42)),IF('Council Entry'!AB$4="Exponential",EXP(IF(AND(ISNUMBER('Council Entry'!AB$8),ISNUMBER('Council Entry'!AB$9)),MAX(MIN('Council Entry'!AB42,'Council Entry'!AB$9),'Council Entry'!AB$8),'Council Entry'!AB42)),IF(AND(ISNUMBER('Council Entry'!AB$8),ISNUMBER('Council Entry'!AB$9)),MAX(MIN('Council Entry'!AB42,'Council Entry'!AB$9),'Council Entry'!AB$8),'Council Entry'!AB42))))-'Council Entry'!AB$5)/('Council Entry'!AB$6-'Council Entry'!AB$5)),1))),"No data"))</f>
        <v/>
      </c>
      <c r="AC42" s="13">
        <f>IF('Council Entry'!AC42="","",IFERROR(MAX(0,MIN(10,ROUND(IF('Council Entry'!AC$7="Decrease Risk",10-10*((IF('Council Entry'!AC$4="Logarithm",LN(0.001+IF(AND(ISNUMBER('Council Entry'!AC$8),ISNUMBER('Council Entry'!AC$9)),MAX(MIN('Council Entry'!AC42,'Council Entry'!AC$9),'Council Entry'!AC$8),'Council Entry'!AC42)),IF('Council Entry'!AC$4="Exponential",EXP(IF(AND(ISNUMBER('Council Entry'!AC$8),ISNUMBER('Council Entry'!AC$9)),MAX(MIN('Council Entry'!AC42,'Council Entry'!AC$9),'Council Entry'!AC$8),'Council Entry'!AC42)),IF(AND(ISNUMBER('Council Entry'!AC$8),ISNUMBER('Council Entry'!AC$9)),MAX(MIN('Council Entry'!AC42,'Council Entry'!AC$9),'Council Entry'!AC$8),'Council Entry'!AC42))))-'Council Entry'!AC$5)/('Council Entry'!AC$6-'Council Entry'!AC$5),10*((IF('Council Entry'!AC$4="Logarithm",LN(0.001+IF(AND(ISNUMBER('Council Entry'!AC$8),ISNUMBER('Council Entry'!AC$9)),MAX(MIN('Council Entry'!AC42,'Council Entry'!AC$9),'Council Entry'!AC$8),'Council Entry'!AC42)),IF('Council Entry'!AC$4="Exponential",EXP(IF(AND(ISNUMBER('Council Entry'!AC$8),ISNUMBER('Council Entry'!AC$9)),MAX(MIN('Council Entry'!AC42,'Council Entry'!AC$9),'Council Entry'!AC$8),'Council Entry'!AC42)),IF(AND(ISNUMBER('Council Entry'!AC$8),ISNUMBER('Council Entry'!AC$9)),MAX(MIN('Council Entry'!AC42,'Council Entry'!AC$9),'Council Entry'!AC$8),'Council Entry'!AC42))))-'Council Entry'!AC$5)/('Council Entry'!AC$6-'Council Entry'!AC$5)),1))),"No data"))</f>
        <v/>
      </c>
      <c r="AD42" s="13">
        <f>IF('Council Entry'!AD42="","",IFERROR(MAX(0,MIN(10,ROUND(IF('Council Entry'!AD$7="Decrease Risk",10-10*((IF('Council Entry'!AD$4="Logarithm",LN(0.001+IF(AND(ISNUMBER('Council Entry'!AD$8),ISNUMBER('Council Entry'!AD$9)),MAX(MIN('Council Entry'!AD42,'Council Entry'!AD$9),'Council Entry'!AD$8),'Council Entry'!AD42)),IF('Council Entry'!AD$4="Exponential",EXP(IF(AND(ISNUMBER('Council Entry'!AD$8),ISNUMBER('Council Entry'!AD$9)),MAX(MIN('Council Entry'!AD42,'Council Entry'!AD$9),'Council Entry'!AD$8),'Council Entry'!AD42)),IF(AND(ISNUMBER('Council Entry'!AD$8),ISNUMBER('Council Entry'!AD$9)),MAX(MIN('Council Entry'!AD42,'Council Entry'!AD$9),'Council Entry'!AD$8),'Council Entry'!AD42))))-'Council Entry'!AD$5)/('Council Entry'!AD$6-'Council Entry'!AD$5),10*((IF('Council Entry'!AD$4="Logarithm",LN(0.001+IF(AND(ISNUMBER('Council Entry'!AD$8),ISNUMBER('Council Entry'!AD$9)),MAX(MIN('Council Entry'!AD42,'Council Entry'!AD$9),'Council Entry'!AD$8),'Council Entry'!AD42)),IF('Council Entry'!AD$4="Exponential",EXP(IF(AND(ISNUMBER('Council Entry'!AD$8),ISNUMBER('Council Entry'!AD$9)),MAX(MIN('Council Entry'!AD42,'Council Entry'!AD$9),'Council Entry'!AD$8),'Council Entry'!AD42)),IF(AND(ISNUMBER('Council Entry'!AD$8),ISNUMBER('Council Entry'!AD$9)),MAX(MIN('Council Entry'!AD42,'Council Entry'!AD$9),'Council Entry'!AD$8),'Council Entry'!AD42))))-'Council Entry'!AD$5)/('Council Entry'!AD$6-'Council Entry'!AD$5)),1))),"No data"))</f>
        <v/>
      </c>
      <c r="AE42" s="13">
        <f>IF('Council Entry'!AE42="","",IFERROR(MAX(0,MIN(10,ROUND(IF('Council Entry'!AE$7="Decrease Risk",10-10*((IF('Council Entry'!AE$4="Logarithm",LN(0.001+IF(AND(ISNUMBER('Council Entry'!AE$8),ISNUMBER('Council Entry'!AE$9)),MAX(MIN('Council Entry'!AE42,'Council Entry'!AE$9),'Council Entry'!AE$8),'Council Entry'!AE42)),IF('Council Entry'!AE$4="Exponential",EXP(IF(AND(ISNUMBER('Council Entry'!AE$8),ISNUMBER('Council Entry'!AE$9)),MAX(MIN('Council Entry'!AE42,'Council Entry'!AE$9),'Council Entry'!AE$8),'Council Entry'!AE42)),IF(AND(ISNUMBER('Council Entry'!AE$8),ISNUMBER('Council Entry'!AE$9)),MAX(MIN('Council Entry'!AE42,'Council Entry'!AE$9),'Council Entry'!AE$8),'Council Entry'!AE42))))-'Council Entry'!AE$5)/('Council Entry'!AE$6-'Council Entry'!AE$5),10*((IF('Council Entry'!AE$4="Logarithm",LN(0.001+IF(AND(ISNUMBER('Council Entry'!AE$8),ISNUMBER('Council Entry'!AE$9)),MAX(MIN('Council Entry'!AE42,'Council Entry'!AE$9),'Council Entry'!AE$8),'Council Entry'!AE42)),IF('Council Entry'!AE$4="Exponential",EXP(IF(AND(ISNUMBER('Council Entry'!AE$8),ISNUMBER('Council Entry'!AE$9)),MAX(MIN('Council Entry'!AE42,'Council Entry'!AE$9),'Council Entry'!AE$8),'Council Entry'!AE42)),IF(AND(ISNUMBER('Council Entry'!AE$8),ISNUMBER('Council Entry'!AE$9)),MAX(MIN('Council Entry'!AE42,'Council Entry'!AE$9),'Council Entry'!AE$8),'Council Entry'!AE42))))-'Council Entry'!AE$5)/('Council Entry'!AE$6-'Council Entry'!AE$5)),1))),"No data"))</f>
        <v/>
      </c>
      <c r="AF42" s="13">
        <f>IF('Council Entry'!AF42="","",IFERROR(MAX(0,MIN(10,ROUND(IF('Council Entry'!AF$7="Decrease Risk",10-10*((IF('Council Entry'!AF$4="Logarithm",LN(0.001+IF(AND(ISNUMBER('Council Entry'!AF$8),ISNUMBER('Council Entry'!AF$9)),MAX(MIN('Council Entry'!AF42,'Council Entry'!AF$9),'Council Entry'!AF$8),'Council Entry'!AF42)),IF('Council Entry'!AF$4="Exponential",EXP(IF(AND(ISNUMBER('Council Entry'!AF$8),ISNUMBER('Council Entry'!AF$9)),MAX(MIN('Council Entry'!AF42,'Council Entry'!AF$9),'Council Entry'!AF$8),'Council Entry'!AF42)),IF(AND(ISNUMBER('Council Entry'!AF$8),ISNUMBER('Council Entry'!AF$9)),MAX(MIN('Council Entry'!AF42,'Council Entry'!AF$9),'Council Entry'!AF$8),'Council Entry'!AF42))))-'Council Entry'!AF$5)/('Council Entry'!AF$6-'Council Entry'!AF$5),10*((IF('Council Entry'!AF$4="Logarithm",LN(0.001+IF(AND(ISNUMBER('Council Entry'!AF$8),ISNUMBER('Council Entry'!AF$9)),MAX(MIN('Council Entry'!AF42,'Council Entry'!AF$9),'Council Entry'!AF$8),'Council Entry'!AF42)),IF('Council Entry'!AF$4="Exponential",EXP(IF(AND(ISNUMBER('Council Entry'!AF$8),ISNUMBER('Council Entry'!AF$9)),MAX(MIN('Council Entry'!AF42,'Council Entry'!AF$9),'Council Entry'!AF$8),'Council Entry'!AF42)),IF(AND(ISNUMBER('Council Entry'!AF$8),ISNUMBER('Council Entry'!AF$9)),MAX(MIN('Council Entry'!AF42,'Council Entry'!AF$9),'Council Entry'!AF$8),'Council Entry'!AF42))))-'Council Entry'!AF$5)/('Council Entry'!AF$6-'Council Entry'!AF$5)),1))),"No data"))</f>
        <v/>
      </c>
      <c r="AG42" s="13">
        <f>IF('Council Entry'!AG42="","",IFERROR(MAX(0,MIN(10,ROUND(IF('Council Entry'!AG$7="Decrease Risk",10-10*((IF('Council Entry'!AG$4="Logarithm",LN(0.001+IF(AND(ISNUMBER('Council Entry'!AG$8),ISNUMBER('Council Entry'!AG$9)),MAX(MIN('Council Entry'!AG42,'Council Entry'!AG$9),'Council Entry'!AG$8),'Council Entry'!AG42)),IF('Council Entry'!AG$4="Exponential",EXP(IF(AND(ISNUMBER('Council Entry'!AG$8),ISNUMBER('Council Entry'!AG$9)),MAX(MIN('Council Entry'!AG42,'Council Entry'!AG$9),'Council Entry'!AG$8),'Council Entry'!AG42)),IF(AND(ISNUMBER('Council Entry'!AG$8),ISNUMBER('Council Entry'!AG$9)),MAX(MIN('Council Entry'!AG42,'Council Entry'!AG$9),'Council Entry'!AG$8),'Council Entry'!AG42))))-'Council Entry'!AG$5)/('Council Entry'!AG$6-'Council Entry'!AG$5),10*((IF('Council Entry'!AG$4="Logarithm",LN(0.001+IF(AND(ISNUMBER('Council Entry'!AG$8),ISNUMBER('Council Entry'!AG$9)),MAX(MIN('Council Entry'!AG42,'Council Entry'!AG$9),'Council Entry'!AG$8),'Council Entry'!AG42)),IF('Council Entry'!AG$4="Exponential",EXP(IF(AND(ISNUMBER('Council Entry'!AG$8),ISNUMBER('Council Entry'!AG$9)),MAX(MIN('Council Entry'!AG42,'Council Entry'!AG$9),'Council Entry'!AG$8),'Council Entry'!AG42)),IF(AND(ISNUMBER('Council Entry'!AG$8),ISNUMBER('Council Entry'!AG$9)),MAX(MIN('Council Entry'!AG42,'Council Entry'!AG$9),'Council Entry'!AG$8),'Council Entry'!AG42))))-'Council Entry'!AG$5)/('Council Entry'!AG$6-'Council Entry'!AG$5)),1))),"No data"))</f>
        <v/>
      </c>
      <c r="AH42" s="13">
        <f>IF('Council Entry'!AH42="","",IFERROR(MAX(0,MIN(10,ROUND(IF('Council Entry'!AH$7="Decrease Risk",10-10*((IF('Council Entry'!AH$4="Logarithm",LN(0.001+IF(AND(ISNUMBER('Council Entry'!AH$8),ISNUMBER('Council Entry'!AH$9)),MAX(MIN('Council Entry'!AH42,'Council Entry'!AH$9),'Council Entry'!AH$8),'Council Entry'!AH42)),IF('Council Entry'!AH$4="Exponential",EXP(IF(AND(ISNUMBER('Council Entry'!AH$8),ISNUMBER('Council Entry'!AH$9)),MAX(MIN('Council Entry'!AH42,'Council Entry'!AH$9),'Council Entry'!AH$8),'Council Entry'!AH42)),IF(AND(ISNUMBER('Council Entry'!AH$8),ISNUMBER('Council Entry'!AH$9)),MAX(MIN('Council Entry'!AH42,'Council Entry'!AH$9),'Council Entry'!AH$8),'Council Entry'!AH42))))-'Council Entry'!AH$5)/('Council Entry'!AH$6-'Council Entry'!AH$5),10*((IF('Council Entry'!AH$4="Logarithm",LN(0.001+IF(AND(ISNUMBER('Council Entry'!AH$8),ISNUMBER('Council Entry'!AH$9)),MAX(MIN('Council Entry'!AH42,'Council Entry'!AH$9),'Council Entry'!AH$8),'Council Entry'!AH42)),IF('Council Entry'!AH$4="Exponential",EXP(IF(AND(ISNUMBER('Council Entry'!AH$8),ISNUMBER('Council Entry'!AH$9)),MAX(MIN('Council Entry'!AH42,'Council Entry'!AH$9),'Council Entry'!AH$8),'Council Entry'!AH42)),IF(AND(ISNUMBER('Council Entry'!AH$8),ISNUMBER('Council Entry'!AH$9)),MAX(MIN('Council Entry'!AH42,'Council Entry'!AH$9),'Council Entry'!AH$8),'Council Entry'!AH42))))-'Council Entry'!AH$5)/('Council Entry'!AH$6-'Council Entry'!AH$5)),1))),"No data"))</f>
        <v/>
      </c>
      <c r="AI42" s="13">
        <f>IF('Council Entry'!AI42="","",IFERROR(MAX(0,MIN(10,ROUND(IF('Council Entry'!AI$7="Decrease Risk",10-10*((IF('Council Entry'!AI$4="Logarithm",LN(0.001+IF(AND(ISNUMBER('Council Entry'!AI$8),ISNUMBER('Council Entry'!AI$9)),MAX(MIN('Council Entry'!AI42,'Council Entry'!AI$9),'Council Entry'!AI$8),'Council Entry'!AI42)),IF('Council Entry'!AI$4="Exponential",EXP(IF(AND(ISNUMBER('Council Entry'!AI$8),ISNUMBER('Council Entry'!AI$9)),MAX(MIN('Council Entry'!AI42,'Council Entry'!AI$9),'Council Entry'!AI$8),'Council Entry'!AI42)),IF(AND(ISNUMBER('Council Entry'!AI$8),ISNUMBER('Council Entry'!AI$9)),MAX(MIN('Council Entry'!AI42,'Council Entry'!AI$9),'Council Entry'!AI$8),'Council Entry'!AI42))))-'Council Entry'!AI$5)/('Council Entry'!AI$6-'Council Entry'!AI$5),10*((IF('Council Entry'!AI$4="Logarithm",LN(0.001+IF(AND(ISNUMBER('Council Entry'!AI$8),ISNUMBER('Council Entry'!AI$9)),MAX(MIN('Council Entry'!AI42,'Council Entry'!AI$9),'Council Entry'!AI$8),'Council Entry'!AI42)),IF('Council Entry'!AI$4="Exponential",EXP(IF(AND(ISNUMBER('Council Entry'!AI$8),ISNUMBER('Council Entry'!AI$9)),MAX(MIN('Council Entry'!AI42,'Council Entry'!AI$9),'Council Entry'!AI$8),'Council Entry'!AI42)),IF(AND(ISNUMBER('Council Entry'!AI$8),ISNUMBER('Council Entry'!AI$9)),MAX(MIN('Council Entry'!AI42,'Council Entry'!AI$9),'Council Entry'!AI$8),'Council Entry'!AI42))))-'Council Entry'!AI$5)/('Council Entry'!AI$6-'Council Entry'!AI$5)),1))),"No data"))</f>
        <v/>
      </c>
      <c r="AJ42" s="13">
        <f>IF('Council Entry'!AJ42="","",IFERROR(MAX(0,MIN(10,ROUND(IF('Council Entry'!AJ$7="Decrease Risk",10-10*((IF('Council Entry'!AJ$4="Logarithm",LN(0.001+IF(AND(ISNUMBER('Council Entry'!AJ$8),ISNUMBER('Council Entry'!AJ$9)),MAX(MIN('Council Entry'!AJ42,'Council Entry'!AJ$9),'Council Entry'!AJ$8),'Council Entry'!AJ42)),IF('Council Entry'!AJ$4="Exponential",EXP(IF(AND(ISNUMBER('Council Entry'!AJ$8),ISNUMBER('Council Entry'!AJ$9)),MAX(MIN('Council Entry'!AJ42,'Council Entry'!AJ$9),'Council Entry'!AJ$8),'Council Entry'!AJ42)),IF(AND(ISNUMBER('Council Entry'!AJ$8),ISNUMBER('Council Entry'!AJ$9)),MAX(MIN('Council Entry'!AJ42,'Council Entry'!AJ$9),'Council Entry'!AJ$8),'Council Entry'!AJ42))))-'Council Entry'!AJ$5)/('Council Entry'!AJ$6-'Council Entry'!AJ$5),10*((IF('Council Entry'!AJ$4="Logarithm",LN(0.001+IF(AND(ISNUMBER('Council Entry'!AJ$8),ISNUMBER('Council Entry'!AJ$9)),MAX(MIN('Council Entry'!AJ42,'Council Entry'!AJ$9),'Council Entry'!AJ$8),'Council Entry'!AJ42)),IF('Council Entry'!AJ$4="Exponential",EXP(IF(AND(ISNUMBER('Council Entry'!AJ$8),ISNUMBER('Council Entry'!AJ$9)),MAX(MIN('Council Entry'!AJ42,'Council Entry'!AJ$9),'Council Entry'!AJ$8),'Council Entry'!AJ42)),IF(AND(ISNUMBER('Council Entry'!AJ$8),ISNUMBER('Council Entry'!AJ$9)),MAX(MIN('Council Entry'!AJ42,'Council Entry'!AJ$9),'Council Entry'!AJ$8),'Council Entry'!AJ42))))-'Council Entry'!AJ$5)/('Council Entry'!AJ$6-'Council Entry'!AJ$5)),1))),"No data"))</f>
        <v/>
      </c>
      <c r="AK42" s="13">
        <f>IF('Council Entry'!AK42="","",IFERROR(MAX(0,MIN(10,ROUND(IF('Council Entry'!AK$7="Decrease Risk",10-10*((IF('Council Entry'!AK$4="Logarithm",LN(0.001+IF(AND(ISNUMBER('Council Entry'!AK$8),ISNUMBER('Council Entry'!AK$9)),MAX(MIN('Council Entry'!AK42,'Council Entry'!AK$9),'Council Entry'!AK$8),'Council Entry'!AK42)),IF('Council Entry'!AK$4="Exponential",EXP(IF(AND(ISNUMBER('Council Entry'!AK$8),ISNUMBER('Council Entry'!AK$9)),MAX(MIN('Council Entry'!AK42,'Council Entry'!AK$9),'Council Entry'!AK$8),'Council Entry'!AK42)),IF(AND(ISNUMBER('Council Entry'!AK$8),ISNUMBER('Council Entry'!AK$9)),MAX(MIN('Council Entry'!AK42,'Council Entry'!AK$9),'Council Entry'!AK$8),'Council Entry'!AK42))))-'Council Entry'!AK$5)/('Council Entry'!AK$6-'Council Entry'!AK$5),10*((IF('Council Entry'!AK$4="Logarithm",LN(0.001+IF(AND(ISNUMBER('Council Entry'!AK$8),ISNUMBER('Council Entry'!AK$9)),MAX(MIN('Council Entry'!AK42,'Council Entry'!AK$9),'Council Entry'!AK$8),'Council Entry'!AK42)),IF('Council Entry'!AK$4="Exponential",EXP(IF(AND(ISNUMBER('Council Entry'!AK$8),ISNUMBER('Council Entry'!AK$9)),MAX(MIN('Council Entry'!AK42,'Council Entry'!AK$9),'Council Entry'!AK$8),'Council Entry'!AK42)),IF(AND(ISNUMBER('Council Entry'!AK$8),ISNUMBER('Council Entry'!AK$9)),MAX(MIN('Council Entry'!AK42,'Council Entry'!AK$9),'Council Entry'!AK$8),'Council Entry'!AK42))))-'Council Entry'!AK$5)/('Council Entry'!AK$6-'Council Entry'!AK$5)),1))),"No data"))</f>
        <v/>
      </c>
      <c r="AL42" s="13">
        <f>IF('Council Entry'!AL42="","",IFERROR(MAX(0,MIN(10,ROUND(IF('Council Entry'!AL$7="Decrease Risk",10-10*((IF('Council Entry'!AL$4="Logarithm",LN(0.001+IF(AND(ISNUMBER('Council Entry'!AL$8),ISNUMBER('Council Entry'!AL$9)),MAX(MIN('Council Entry'!AL42,'Council Entry'!AL$9),'Council Entry'!AL$8),'Council Entry'!AL42)),IF('Council Entry'!AL$4="Exponential",EXP(IF(AND(ISNUMBER('Council Entry'!AL$8),ISNUMBER('Council Entry'!AL$9)),MAX(MIN('Council Entry'!AL42,'Council Entry'!AL$9),'Council Entry'!AL$8),'Council Entry'!AL42)),IF(AND(ISNUMBER('Council Entry'!AL$8),ISNUMBER('Council Entry'!AL$9)),MAX(MIN('Council Entry'!AL42,'Council Entry'!AL$9),'Council Entry'!AL$8),'Council Entry'!AL42))))-'Council Entry'!AL$5)/('Council Entry'!AL$6-'Council Entry'!AL$5),10*((IF('Council Entry'!AL$4="Logarithm",LN(0.001+IF(AND(ISNUMBER('Council Entry'!AL$8),ISNUMBER('Council Entry'!AL$9)),MAX(MIN('Council Entry'!AL42,'Council Entry'!AL$9),'Council Entry'!AL$8),'Council Entry'!AL42)),IF('Council Entry'!AL$4="Exponential",EXP(IF(AND(ISNUMBER('Council Entry'!AL$8),ISNUMBER('Council Entry'!AL$9)),MAX(MIN('Council Entry'!AL42,'Council Entry'!AL$9),'Council Entry'!AL$8),'Council Entry'!AL42)),IF(AND(ISNUMBER('Council Entry'!AL$8),ISNUMBER('Council Entry'!AL$9)),MAX(MIN('Council Entry'!AL42,'Council Entry'!AL$9),'Council Entry'!AL$8),'Council Entry'!AL42))))-'Council Entry'!AL$5)/('Council Entry'!AL$6-'Council Entry'!AL$5)),1))),"No data"))</f>
        <v/>
      </c>
      <c r="AM42" s="13">
        <f>IF('Council Entry'!AM42="","",IFERROR(MAX(0,MIN(10,ROUND(IF('Council Entry'!AM$7="Decrease Risk",10-10*((IF('Council Entry'!AM$4="Logarithm",LN(0.001+IF(AND(ISNUMBER('Council Entry'!AM$8),ISNUMBER('Council Entry'!AM$9)),MAX(MIN('Council Entry'!AM42,'Council Entry'!AM$9),'Council Entry'!AM$8),'Council Entry'!AM42)),IF('Council Entry'!AM$4="Exponential",EXP(IF(AND(ISNUMBER('Council Entry'!AM$8),ISNUMBER('Council Entry'!AM$9)),MAX(MIN('Council Entry'!AM42,'Council Entry'!AM$9),'Council Entry'!AM$8),'Council Entry'!AM42)),IF(AND(ISNUMBER('Council Entry'!AM$8),ISNUMBER('Council Entry'!AM$9)),MAX(MIN('Council Entry'!AM42,'Council Entry'!AM$9),'Council Entry'!AM$8),'Council Entry'!AM42))))-'Council Entry'!AM$5)/('Council Entry'!AM$6-'Council Entry'!AM$5),10*((IF('Council Entry'!AM$4="Logarithm",LN(0.001+IF(AND(ISNUMBER('Council Entry'!AM$8),ISNUMBER('Council Entry'!AM$9)),MAX(MIN('Council Entry'!AM42,'Council Entry'!AM$9),'Council Entry'!AM$8),'Council Entry'!AM42)),IF('Council Entry'!AM$4="Exponential",EXP(IF(AND(ISNUMBER('Council Entry'!AM$8),ISNUMBER('Council Entry'!AM$9)),MAX(MIN('Council Entry'!AM42,'Council Entry'!AM$9),'Council Entry'!AM$8),'Council Entry'!AM42)),IF(AND(ISNUMBER('Council Entry'!AM$8),ISNUMBER('Council Entry'!AM$9)),MAX(MIN('Council Entry'!AM42,'Council Entry'!AM$9),'Council Entry'!AM$8),'Council Entry'!AM42))))-'Council Entry'!AM$5)/('Council Entry'!AM$6-'Council Entry'!AM$5)),1))),"No data"))</f>
        <v/>
      </c>
      <c r="AN42" s="13">
        <f>IF('Council Entry'!AN42="","",IFERROR(MAX(0,MIN(10,ROUND(IF('Council Entry'!AN$7="Decrease Risk",10-10*((IF('Council Entry'!AN$4="Logarithm",LN(0.001+IF(AND(ISNUMBER('Council Entry'!AN$8),ISNUMBER('Council Entry'!AN$9)),MAX(MIN('Council Entry'!AN42,'Council Entry'!AN$9),'Council Entry'!AN$8),'Council Entry'!AN42)),IF('Council Entry'!AN$4="Exponential",EXP(IF(AND(ISNUMBER('Council Entry'!AN$8),ISNUMBER('Council Entry'!AN$9)),MAX(MIN('Council Entry'!AN42,'Council Entry'!AN$9),'Council Entry'!AN$8),'Council Entry'!AN42)),IF(AND(ISNUMBER('Council Entry'!AN$8),ISNUMBER('Council Entry'!AN$9)),MAX(MIN('Council Entry'!AN42,'Council Entry'!AN$9),'Council Entry'!AN$8),'Council Entry'!AN42))))-'Council Entry'!AN$5)/('Council Entry'!AN$6-'Council Entry'!AN$5),10*((IF('Council Entry'!AN$4="Logarithm",LN(0.001+IF(AND(ISNUMBER('Council Entry'!AN$8),ISNUMBER('Council Entry'!AN$9)),MAX(MIN('Council Entry'!AN42,'Council Entry'!AN$9),'Council Entry'!AN$8),'Council Entry'!AN42)),IF('Council Entry'!AN$4="Exponential",EXP(IF(AND(ISNUMBER('Council Entry'!AN$8),ISNUMBER('Council Entry'!AN$9)),MAX(MIN('Council Entry'!AN42,'Council Entry'!AN$9),'Council Entry'!AN$8),'Council Entry'!AN42)),IF(AND(ISNUMBER('Council Entry'!AN$8),ISNUMBER('Council Entry'!AN$9)),MAX(MIN('Council Entry'!AN42,'Council Entry'!AN$9),'Council Entry'!AN$8),'Council Entry'!AN42))))-'Council Entry'!AN$5)/('Council Entry'!AN$6-'Council Entry'!AN$5)),1))),"No data"))</f>
        <v/>
      </c>
      <c r="AO42" s="13">
        <f>IF('Council Entry'!AO42="","",IFERROR(MAX(0,MIN(10,ROUND(IF('Council Entry'!AO$7="Decrease Risk",10-10*((IF('Council Entry'!AO$4="Logarithm",LN(0.001+IF(AND(ISNUMBER('Council Entry'!AO$8),ISNUMBER('Council Entry'!AO$9)),MAX(MIN('Council Entry'!AO42,'Council Entry'!AO$9),'Council Entry'!AO$8),'Council Entry'!AO42)),IF('Council Entry'!AO$4="Exponential",EXP(IF(AND(ISNUMBER('Council Entry'!AO$8),ISNUMBER('Council Entry'!AO$9)),MAX(MIN('Council Entry'!AO42,'Council Entry'!AO$9),'Council Entry'!AO$8),'Council Entry'!AO42)),IF(AND(ISNUMBER('Council Entry'!AO$8),ISNUMBER('Council Entry'!AO$9)),MAX(MIN('Council Entry'!AO42,'Council Entry'!AO$9),'Council Entry'!AO$8),'Council Entry'!AO42))))-'Council Entry'!AO$5)/('Council Entry'!AO$6-'Council Entry'!AO$5),10*((IF('Council Entry'!AO$4="Logarithm",LN(0.001+IF(AND(ISNUMBER('Council Entry'!AO$8),ISNUMBER('Council Entry'!AO$9)),MAX(MIN('Council Entry'!AO42,'Council Entry'!AO$9),'Council Entry'!AO$8),'Council Entry'!AO42)),IF('Council Entry'!AO$4="Exponential",EXP(IF(AND(ISNUMBER('Council Entry'!AO$8),ISNUMBER('Council Entry'!AO$9)),MAX(MIN('Council Entry'!AO42,'Council Entry'!AO$9),'Council Entry'!AO$8),'Council Entry'!AO42)),IF(AND(ISNUMBER('Council Entry'!AO$8),ISNUMBER('Council Entry'!AO$9)),MAX(MIN('Council Entry'!AO42,'Council Entry'!AO$9),'Council Entry'!AO$8),'Council Entry'!AO42))))-'Council Entry'!AO$5)/('Council Entry'!AO$6-'Council Entry'!AO$5)),1))),"No data"))</f>
        <v/>
      </c>
      <c r="AP42" s="13">
        <f>IF('Council Entry'!AP42="","",IFERROR(MAX(0,MIN(10,ROUND(IF('Council Entry'!AP$7="Decrease Risk",10-10*((IF('Council Entry'!AP$4="Logarithm",LN(0.001+IF(AND(ISNUMBER('Council Entry'!AP$8),ISNUMBER('Council Entry'!AP$9)),MAX(MIN('Council Entry'!AP42,'Council Entry'!AP$9),'Council Entry'!AP$8),'Council Entry'!AP42)),IF('Council Entry'!AP$4="Exponential",EXP(IF(AND(ISNUMBER('Council Entry'!AP$8),ISNUMBER('Council Entry'!AP$9)),MAX(MIN('Council Entry'!AP42,'Council Entry'!AP$9),'Council Entry'!AP$8),'Council Entry'!AP42)),IF(AND(ISNUMBER('Council Entry'!AP$8),ISNUMBER('Council Entry'!AP$9)),MAX(MIN('Council Entry'!AP42,'Council Entry'!AP$9),'Council Entry'!AP$8),'Council Entry'!AP42))))-'Council Entry'!AP$5)/('Council Entry'!AP$6-'Council Entry'!AP$5),10*((IF('Council Entry'!AP$4="Logarithm",LN(0.001+IF(AND(ISNUMBER('Council Entry'!AP$8),ISNUMBER('Council Entry'!AP$9)),MAX(MIN('Council Entry'!AP42,'Council Entry'!AP$9),'Council Entry'!AP$8),'Council Entry'!AP42)),IF('Council Entry'!AP$4="Exponential",EXP(IF(AND(ISNUMBER('Council Entry'!AP$8),ISNUMBER('Council Entry'!AP$9)),MAX(MIN('Council Entry'!AP42,'Council Entry'!AP$9),'Council Entry'!AP$8),'Council Entry'!AP42)),IF(AND(ISNUMBER('Council Entry'!AP$8),ISNUMBER('Council Entry'!AP$9)),MAX(MIN('Council Entry'!AP42,'Council Entry'!AP$9),'Council Entry'!AP$8),'Council Entry'!AP42))))-'Council Entry'!AP$5)/('Council Entry'!AP$6-'Council Entry'!AP$5)),1))),"No data"))</f>
        <v/>
      </c>
      <c r="AQ42" s="13">
        <f>IF('Council Entry'!AQ42="","",IFERROR(MAX(0,MIN(10,ROUND(IF('Council Entry'!AQ$7="Decrease Risk",10-10*((IF('Council Entry'!AQ$4="Logarithm",LN(0.001+IF(AND(ISNUMBER('Council Entry'!AQ$8),ISNUMBER('Council Entry'!AQ$9)),MAX(MIN('Council Entry'!AQ42,'Council Entry'!AQ$9),'Council Entry'!AQ$8),'Council Entry'!AQ42)),IF('Council Entry'!AQ$4="Exponential",EXP(IF(AND(ISNUMBER('Council Entry'!AQ$8),ISNUMBER('Council Entry'!AQ$9)),MAX(MIN('Council Entry'!AQ42,'Council Entry'!AQ$9),'Council Entry'!AQ$8),'Council Entry'!AQ42)),IF(AND(ISNUMBER('Council Entry'!AQ$8),ISNUMBER('Council Entry'!AQ$9)),MAX(MIN('Council Entry'!AQ42,'Council Entry'!AQ$9),'Council Entry'!AQ$8),'Council Entry'!AQ42))))-'Council Entry'!AQ$5)/('Council Entry'!AQ$6-'Council Entry'!AQ$5),10*((IF('Council Entry'!AQ$4="Logarithm",LN(0.001+IF(AND(ISNUMBER('Council Entry'!AQ$8),ISNUMBER('Council Entry'!AQ$9)),MAX(MIN('Council Entry'!AQ42,'Council Entry'!AQ$9),'Council Entry'!AQ$8),'Council Entry'!AQ42)),IF('Council Entry'!AQ$4="Exponential",EXP(IF(AND(ISNUMBER('Council Entry'!AQ$8),ISNUMBER('Council Entry'!AQ$9)),MAX(MIN('Council Entry'!AQ42,'Council Entry'!AQ$9),'Council Entry'!AQ$8),'Council Entry'!AQ42)),IF(AND(ISNUMBER('Council Entry'!AQ$8),ISNUMBER('Council Entry'!AQ$9)),MAX(MIN('Council Entry'!AQ42,'Council Entry'!AQ$9),'Council Entry'!AQ$8),'Council Entry'!AQ42))))-'Council Entry'!AQ$5)/('Council Entry'!AQ$6-'Council Entry'!AQ$5)),1))),"No data"))</f>
        <v/>
      </c>
      <c r="AR42" s="13">
        <f>IF('Council Entry'!AR42="","",IFERROR(MAX(0,MIN(10,ROUND(IF('Council Entry'!AR$7="Decrease Risk",10-10*((IF('Council Entry'!AR$4="Logarithm",LN(0.001+IF(AND(ISNUMBER('Council Entry'!AR$8),ISNUMBER('Council Entry'!AR$9)),MAX(MIN('Council Entry'!AR42,'Council Entry'!AR$9),'Council Entry'!AR$8),'Council Entry'!AR42)),IF('Council Entry'!AR$4="Exponential",EXP(IF(AND(ISNUMBER('Council Entry'!AR$8),ISNUMBER('Council Entry'!AR$9)),MAX(MIN('Council Entry'!AR42,'Council Entry'!AR$9),'Council Entry'!AR$8),'Council Entry'!AR42)),IF(AND(ISNUMBER('Council Entry'!AR$8),ISNUMBER('Council Entry'!AR$9)),MAX(MIN('Council Entry'!AR42,'Council Entry'!AR$9),'Council Entry'!AR$8),'Council Entry'!AR42))))-'Council Entry'!AR$5)/('Council Entry'!AR$6-'Council Entry'!AR$5),10*((IF('Council Entry'!AR$4="Logarithm",LN(0.001+IF(AND(ISNUMBER('Council Entry'!AR$8),ISNUMBER('Council Entry'!AR$9)),MAX(MIN('Council Entry'!AR42,'Council Entry'!AR$9),'Council Entry'!AR$8),'Council Entry'!AR42)),IF('Council Entry'!AR$4="Exponential",EXP(IF(AND(ISNUMBER('Council Entry'!AR$8),ISNUMBER('Council Entry'!AR$9)),MAX(MIN('Council Entry'!AR42,'Council Entry'!AR$9),'Council Entry'!AR$8),'Council Entry'!AR42)),IF(AND(ISNUMBER('Council Entry'!AR$8),ISNUMBER('Council Entry'!AR$9)),MAX(MIN('Council Entry'!AR42,'Council Entry'!AR$9),'Council Entry'!AR$8),'Council Entry'!AR42))))-'Council Entry'!AR$5)/('Council Entry'!AR$6-'Council Entry'!AR$5)),1))),"No data"))</f>
        <v/>
      </c>
      <c r="AS42" s="13">
        <f>IF('Council Entry'!AS42="","",IFERROR(MAX(0,MIN(10,ROUND(IF('Council Entry'!AS$7="Decrease Risk",10-10*((IF('Council Entry'!AS$4="Logarithm",LN(0.001+IF(AND(ISNUMBER('Council Entry'!AS$8),ISNUMBER('Council Entry'!AS$9)),MAX(MIN('Council Entry'!AS42,'Council Entry'!AS$9),'Council Entry'!AS$8),'Council Entry'!AS42)),IF('Council Entry'!AS$4="Exponential",EXP(IF(AND(ISNUMBER('Council Entry'!AS$8),ISNUMBER('Council Entry'!AS$9)),MAX(MIN('Council Entry'!AS42,'Council Entry'!AS$9),'Council Entry'!AS$8),'Council Entry'!AS42)),IF(AND(ISNUMBER('Council Entry'!AS$8),ISNUMBER('Council Entry'!AS$9)),MAX(MIN('Council Entry'!AS42,'Council Entry'!AS$9),'Council Entry'!AS$8),'Council Entry'!AS42))))-'Council Entry'!AS$5)/('Council Entry'!AS$6-'Council Entry'!AS$5),10*((IF('Council Entry'!AS$4="Logarithm",LN(0.001+IF(AND(ISNUMBER('Council Entry'!AS$8),ISNUMBER('Council Entry'!AS$9)),MAX(MIN('Council Entry'!AS42,'Council Entry'!AS$9),'Council Entry'!AS$8),'Council Entry'!AS42)),IF('Council Entry'!AS$4="Exponential",EXP(IF(AND(ISNUMBER('Council Entry'!AS$8),ISNUMBER('Council Entry'!AS$9)),MAX(MIN('Council Entry'!AS42,'Council Entry'!AS$9),'Council Entry'!AS$8),'Council Entry'!AS42)),IF(AND(ISNUMBER('Council Entry'!AS$8),ISNUMBER('Council Entry'!AS$9)),MAX(MIN('Council Entry'!AS42,'Council Entry'!AS$9),'Council Entry'!AS$8),'Council Entry'!AS42))))-'Council Entry'!AS$5)/('Council Entry'!AS$6-'Council Entry'!AS$5)),1))),"No data"))</f>
        <v/>
      </c>
      <c r="AT42" s="13">
        <f>IF('Council Entry'!AT42="","",IFERROR(MAX(0,MIN(10,ROUND(IF('Council Entry'!AT$7="Decrease Risk",10-10*((IF('Council Entry'!AT$4="Logarithm",LN(0.001+IF(AND(ISNUMBER('Council Entry'!AT$8),ISNUMBER('Council Entry'!AT$9)),MAX(MIN('Council Entry'!AT42,'Council Entry'!AT$9),'Council Entry'!AT$8),'Council Entry'!AT42)),IF('Council Entry'!AT$4="Exponential",EXP(IF(AND(ISNUMBER('Council Entry'!AT$8),ISNUMBER('Council Entry'!AT$9)),MAX(MIN('Council Entry'!AT42,'Council Entry'!AT$9),'Council Entry'!AT$8),'Council Entry'!AT42)),IF(AND(ISNUMBER('Council Entry'!AT$8),ISNUMBER('Council Entry'!AT$9)),MAX(MIN('Council Entry'!AT42,'Council Entry'!AT$9),'Council Entry'!AT$8),'Council Entry'!AT42))))-'Council Entry'!AT$5)/('Council Entry'!AT$6-'Council Entry'!AT$5),10*((IF('Council Entry'!AT$4="Logarithm",LN(0.001+IF(AND(ISNUMBER('Council Entry'!AT$8),ISNUMBER('Council Entry'!AT$9)),MAX(MIN('Council Entry'!AT42,'Council Entry'!AT$9),'Council Entry'!AT$8),'Council Entry'!AT42)),IF('Council Entry'!AT$4="Exponential",EXP(IF(AND(ISNUMBER('Council Entry'!AT$8),ISNUMBER('Council Entry'!AT$9)),MAX(MIN('Council Entry'!AT42,'Council Entry'!AT$9),'Council Entry'!AT$8),'Council Entry'!AT42)),IF(AND(ISNUMBER('Council Entry'!AT$8),ISNUMBER('Council Entry'!AT$9)),MAX(MIN('Council Entry'!AT42,'Council Entry'!AT$9),'Council Entry'!AT$8),'Council Entry'!AT42))))-'Council Entry'!AT$5)/('Council Entry'!AT$6-'Council Entry'!AT$5)),1))),"No data"))</f>
        <v/>
      </c>
      <c r="AU42" s="13">
        <f>IF('Council Entry'!AU42="","",IFERROR(MAX(0,MIN(10,ROUND(IF('Council Entry'!AU$7="Decrease Risk",10-10*((IF('Council Entry'!AU$4="Logarithm",LN(0.001+IF(AND(ISNUMBER('Council Entry'!AU$8),ISNUMBER('Council Entry'!AU$9)),MAX(MIN('Council Entry'!AU42,'Council Entry'!AU$9),'Council Entry'!AU$8),'Council Entry'!AU42)),IF('Council Entry'!AU$4="Exponential",EXP(IF(AND(ISNUMBER('Council Entry'!AU$8),ISNUMBER('Council Entry'!AU$9)),MAX(MIN('Council Entry'!AU42,'Council Entry'!AU$9),'Council Entry'!AU$8),'Council Entry'!AU42)),IF(AND(ISNUMBER('Council Entry'!AU$8),ISNUMBER('Council Entry'!AU$9)),MAX(MIN('Council Entry'!AU42,'Council Entry'!AU$9),'Council Entry'!AU$8),'Council Entry'!AU42))))-'Council Entry'!AU$5)/('Council Entry'!AU$6-'Council Entry'!AU$5),10*((IF('Council Entry'!AU$4="Logarithm",LN(0.001+IF(AND(ISNUMBER('Council Entry'!AU$8),ISNUMBER('Council Entry'!AU$9)),MAX(MIN('Council Entry'!AU42,'Council Entry'!AU$9),'Council Entry'!AU$8),'Council Entry'!AU42)),IF('Council Entry'!AU$4="Exponential",EXP(IF(AND(ISNUMBER('Council Entry'!AU$8),ISNUMBER('Council Entry'!AU$9)),MAX(MIN('Council Entry'!AU42,'Council Entry'!AU$9),'Council Entry'!AU$8),'Council Entry'!AU42)),IF(AND(ISNUMBER('Council Entry'!AU$8),ISNUMBER('Council Entry'!AU$9)),MAX(MIN('Council Entry'!AU42,'Council Entry'!AU$9),'Council Entry'!AU$8),'Council Entry'!AU42))))-'Council Entry'!AU$5)/('Council Entry'!AU$6-'Council Entry'!AU$5)),1))),"No data"))</f>
        <v/>
      </c>
      <c r="AV42" s="13">
        <f>IF('Council Entry'!AV42="","",IFERROR(MAX(0,MIN(10,ROUND(IF('Council Entry'!AV$7="Decrease Risk",10-10*((IF('Council Entry'!AV$4="Logarithm",LN(0.001+IF(AND(ISNUMBER('Council Entry'!AV$8),ISNUMBER('Council Entry'!AV$9)),MAX(MIN('Council Entry'!AV42,'Council Entry'!AV$9),'Council Entry'!AV$8),'Council Entry'!AV42)),IF('Council Entry'!AV$4="Exponential",EXP(IF(AND(ISNUMBER('Council Entry'!AV$8),ISNUMBER('Council Entry'!AV$9)),MAX(MIN('Council Entry'!AV42,'Council Entry'!AV$9),'Council Entry'!AV$8),'Council Entry'!AV42)),IF(AND(ISNUMBER('Council Entry'!AV$8),ISNUMBER('Council Entry'!AV$9)),MAX(MIN('Council Entry'!AV42,'Council Entry'!AV$9),'Council Entry'!AV$8),'Council Entry'!AV42))))-'Council Entry'!AV$5)/('Council Entry'!AV$6-'Council Entry'!AV$5),10*((IF('Council Entry'!AV$4="Logarithm",LN(0.001+IF(AND(ISNUMBER('Council Entry'!AV$8),ISNUMBER('Council Entry'!AV$9)),MAX(MIN('Council Entry'!AV42,'Council Entry'!AV$9),'Council Entry'!AV$8),'Council Entry'!AV42)),IF('Council Entry'!AV$4="Exponential",EXP(IF(AND(ISNUMBER('Council Entry'!AV$8),ISNUMBER('Council Entry'!AV$9)),MAX(MIN('Council Entry'!AV42,'Council Entry'!AV$9),'Council Entry'!AV$8),'Council Entry'!AV42)),IF(AND(ISNUMBER('Council Entry'!AV$8),ISNUMBER('Council Entry'!AV$9)),MAX(MIN('Council Entry'!AV42,'Council Entry'!AV$9),'Council Entry'!AV$8),'Council Entry'!AV42))))-'Council Entry'!AV$5)/('Council Entry'!AV$6-'Council Entry'!AV$5)),1))),"No data"))</f>
        <v/>
      </c>
      <c r="AW42" s="13">
        <f>IF('Council Entry'!AW42="","",IFERROR(MAX(0,MIN(10,ROUND(IF('Council Entry'!AW$7="Decrease Risk",10-10*((IF('Council Entry'!AW$4="Logarithm",LN(0.001+IF(AND(ISNUMBER('Council Entry'!AW$8),ISNUMBER('Council Entry'!AW$9)),MAX(MIN('Council Entry'!AW42,'Council Entry'!AW$9),'Council Entry'!AW$8),'Council Entry'!AW42)),IF('Council Entry'!AW$4="Exponential",EXP(IF(AND(ISNUMBER('Council Entry'!AW$8),ISNUMBER('Council Entry'!AW$9)),MAX(MIN('Council Entry'!AW42,'Council Entry'!AW$9),'Council Entry'!AW$8),'Council Entry'!AW42)),IF(AND(ISNUMBER('Council Entry'!AW$8),ISNUMBER('Council Entry'!AW$9)),MAX(MIN('Council Entry'!AW42,'Council Entry'!AW$9),'Council Entry'!AW$8),'Council Entry'!AW42))))-'Council Entry'!AW$5)/('Council Entry'!AW$6-'Council Entry'!AW$5),10*((IF('Council Entry'!AW$4="Logarithm",LN(0.001+IF(AND(ISNUMBER('Council Entry'!AW$8),ISNUMBER('Council Entry'!AW$9)),MAX(MIN('Council Entry'!AW42,'Council Entry'!AW$9),'Council Entry'!AW$8),'Council Entry'!AW42)),IF('Council Entry'!AW$4="Exponential",EXP(IF(AND(ISNUMBER('Council Entry'!AW$8),ISNUMBER('Council Entry'!AW$9)),MAX(MIN('Council Entry'!AW42,'Council Entry'!AW$9),'Council Entry'!AW$8),'Council Entry'!AW42)),IF(AND(ISNUMBER('Council Entry'!AW$8),ISNUMBER('Council Entry'!AW$9)),MAX(MIN('Council Entry'!AW42,'Council Entry'!AW$9),'Council Entry'!AW$8),'Council Entry'!AW42))))-'Council Entry'!AW$5)/('Council Entry'!AW$6-'Council Entry'!AW$5)),1))),"No data"))</f>
        <v/>
      </c>
      <c r="AX42" s="13">
        <f>IF('Council Entry'!AX42="","",IFERROR(MAX(0,MIN(10,ROUND(IF('Council Entry'!AX$7="Decrease Risk",10-10*((IF('Council Entry'!AX$4="Logarithm",LN(0.001+IF(AND(ISNUMBER('Council Entry'!AX$8),ISNUMBER('Council Entry'!AX$9)),MAX(MIN('Council Entry'!AX42,'Council Entry'!AX$9),'Council Entry'!AX$8),'Council Entry'!AX42)),IF('Council Entry'!AX$4="Exponential",EXP(IF(AND(ISNUMBER('Council Entry'!AX$8),ISNUMBER('Council Entry'!AX$9)),MAX(MIN('Council Entry'!AX42,'Council Entry'!AX$9),'Council Entry'!AX$8),'Council Entry'!AX42)),IF(AND(ISNUMBER('Council Entry'!AX$8),ISNUMBER('Council Entry'!AX$9)),MAX(MIN('Council Entry'!AX42,'Council Entry'!AX$9),'Council Entry'!AX$8),'Council Entry'!AX42))))-'Council Entry'!AX$5)/('Council Entry'!AX$6-'Council Entry'!AX$5),10*((IF('Council Entry'!AX$4="Logarithm",LN(0.001+IF(AND(ISNUMBER('Council Entry'!AX$8),ISNUMBER('Council Entry'!AX$9)),MAX(MIN('Council Entry'!AX42,'Council Entry'!AX$9),'Council Entry'!AX$8),'Council Entry'!AX42)),IF('Council Entry'!AX$4="Exponential",EXP(IF(AND(ISNUMBER('Council Entry'!AX$8),ISNUMBER('Council Entry'!AX$9)),MAX(MIN('Council Entry'!AX42,'Council Entry'!AX$9),'Council Entry'!AX$8),'Council Entry'!AX42)),IF(AND(ISNUMBER('Council Entry'!AX$8),ISNUMBER('Council Entry'!AX$9)),MAX(MIN('Council Entry'!AX42,'Council Entry'!AX$9),'Council Entry'!AX$8),'Council Entry'!AX42))))-'Council Entry'!AX$5)/('Council Entry'!AX$6-'Council Entry'!AX$5)),1))),"No data"))</f>
        <v/>
      </c>
      <c r="AY42" s="13">
        <f>IF('Council Entry'!AY42="","",IFERROR(MAX(0,MIN(10,ROUND(IF('Council Entry'!AY$7="Decrease Risk",10-10*((IF('Council Entry'!AY$4="Logarithm",LN(0.001+IF(AND(ISNUMBER('Council Entry'!AY$8),ISNUMBER('Council Entry'!AY$9)),MAX(MIN('Council Entry'!AY42,'Council Entry'!AY$9),'Council Entry'!AY$8),'Council Entry'!AY42)),IF('Council Entry'!AY$4="Exponential",EXP(IF(AND(ISNUMBER('Council Entry'!AY$8),ISNUMBER('Council Entry'!AY$9)),MAX(MIN('Council Entry'!AY42,'Council Entry'!AY$9),'Council Entry'!AY$8),'Council Entry'!AY42)),IF(AND(ISNUMBER('Council Entry'!AY$8),ISNUMBER('Council Entry'!AY$9)),MAX(MIN('Council Entry'!AY42,'Council Entry'!AY$9),'Council Entry'!AY$8),'Council Entry'!AY42))))-'Council Entry'!AY$5)/('Council Entry'!AY$6-'Council Entry'!AY$5),10*((IF('Council Entry'!AY$4="Logarithm",LN(0.001+IF(AND(ISNUMBER('Council Entry'!AY$8),ISNUMBER('Council Entry'!AY$9)),MAX(MIN('Council Entry'!AY42,'Council Entry'!AY$9),'Council Entry'!AY$8),'Council Entry'!AY42)),IF('Council Entry'!AY$4="Exponential",EXP(IF(AND(ISNUMBER('Council Entry'!AY$8),ISNUMBER('Council Entry'!AY$9)),MAX(MIN('Council Entry'!AY42,'Council Entry'!AY$9),'Council Entry'!AY$8),'Council Entry'!AY42)),IF(AND(ISNUMBER('Council Entry'!AY$8),ISNUMBER('Council Entry'!AY$9)),MAX(MIN('Council Entry'!AY42,'Council Entry'!AY$9),'Council Entry'!AY$8),'Council Entry'!AY42))))-'Council Entry'!AY$5)/('Council Entry'!AY$6-'Council Entry'!AY$5)),1))),"No data"))</f>
        <v/>
      </c>
      <c r="AZ42" s="13">
        <f>IF('Council Entry'!AZ42="","",IFERROR(MAX(0,MIN(10,ROUND(IF('Council Entry'!AZ$7="Decrease Risk",10-10*((IF('Council Entry'!AZ$4="Logarithm",LN(0.001+IF(AND(ISNUMBER('Council Entry'!AZ$8),ISNUMBER('Council Entry'!AZ$9)),MAX(MIN('Council Entry'!AZ42,'Council Entry'!AZ$9),'Council Entry'!AZ$8),'Council Entry'!AZ42)),IF('Council Entry'!AZ$4="Exponential",EXP(IF(AND(ISNUMBER('Council Entry'!AZ$8),ISNUMBER('Council Entry'!AZ$9)),MAX(MIN('Council Entry'!AZ42,'Council Entry'!AZ$9),'Council Entry'!AZ$8),'Council Entry'!AZ42)),IF(AND(ISNUMBER('Council Entry'!AZ$8),ISNUMBER('Council Entry'!AZ$9)),MAX(MIN('Council Entry'!AZ42,'Council Entry'!AZ$9),'Council Entry'!AZ$8),'Council Entry'!AZ42))))-'Council Entry'!AZ$5)/('Council Entry'!AZ$6-'Council Entry'!AZ$5),10*((IF('Council Entry'!AZ$4="Logarithm",LN(0.001+IF(AND(ISNUMBER('Council Entry'!AZ$8),ISNUMBER('Council Entry'!AZ$9)),MAX(MIN('Council Entry'!AZ42,'Council Entry'!AZ$9),'Council Entry'!AZ$8),'Council Entry'!AZ42)),IF('Council Entry'!AZ$4="Exponential",EXP(IF(AND(ISNUMBER('Council Entry'!AZ$8),ISNUMBER('Council Entry'!AZ$9)),MAX(MIN('Council Entry'!AZ42,'Council Entry'!AZ$9),'Council Entry'!AZ$8),'Council Entry'!AZ42)),IF(AND(ISNUMBER('Council Entry'!AZ$8),ISNUMBER('Council Entry'!AZ$9)),MAX(MIN('Council Entry'!AZ42,'Council Entry'!AZ$9),'Council Entry'!AZ$8),'Council Entry'!AZ42))))-'Council Entry'!AZ$5)/('Council Entry'!AZ$6-'Council Entry'!AZ$5)),1))),"No data"))</f>
        <v/>
      </c>
      <c r="BA42" s="13">
        <f>IF('Council Entry'!BA42="","",IFERROR(MAX(0,MIN(10,ROUND(IF('Council Entry'!BA$7="Decrease Risk",10-10*((IF('Council Entry'!BA$4="Logarithm",LN(0.001+IF(AND(ISNUMBER('Council Entry'!BA$8),ISNUMBER('Council Entry'!BA$9)),MAX(MIN('Council Entry'!BA42,'Council Entry'!BA$9),'Council Entry'!BA$8),'Council Entry'!BA42)),IF('Council Entry'!BA$4="Exponential",EXP(IF(AND(ISNUMBER('Council Entry'!BA$8),ISNUMBER('Council Entry'!BA$9)),MAX(MIN('Council Entry'!BA42,'Council Entry'!BA$9),'Council Entry'!BA$8),'Council Entry'!BA42)),IF(AND(ISNUMBER('Council Entry'!BA$8),ISNUMBER('Council Entry'!BA$9)),MAX(MIN('Council Entry'!BA42,'Council Entry'!BA$9),'Council Entry'!BA$8),'Council Entry'!BA42))))-'Council Entry'!BA$5)/('Council Entry'!BA$6-'Council Entry'!BA$5),10*((IF('Council Entry'!BA$4="Logarithm",LN(0.001+IF(AND(ISNUMBER('Council Entry'!BA$8),ISNUMBER('Council Entry'!BA$9)),MAX(MIN('Council Entry'!BA42,'Council Entry'!BA$9),'Council Entry'!BA$8),'Council Entry'!BA42)),IF('Council Entry'!BA$4="Exponential",EXP(IF(AND(ISNUMBER('Council Entry'!BA$8),ISNUMBER('Council Entry'!BA$9)),MAX(MIN('Council Entry'!BA42,'Council Entry'!BA$9),'Council Entry'!BA$8),'Council Entry'!BA42)),IF(AND(ISNUMBER('Council Entry'!BA$8),ISNUMBER('Council Entry'!BA$9)),MAX(MIN('Council Entry'!BA42,'Council Entry'!BA$9),'Council Entry'!BA$8),'Council Entry'!BA42))))-'Council Entry'!BA$5)/('Council Entry'!BA$6-'Council Entry'!BA$5)),1))),"No data"))</f>
        <v/>
      </c>
      <c r="BB42" s="13">
        <f>IF('Council Entry'!BB42="","",IFERROR(MAX(0,MIN(10,ROUND(IF('Council Entry'!BB$7="Decrease Risk",10-10*((IF('Council Entry'!BB$4="Logarithm",LN(0.001+IF(AND(ISNUMBER('Council Entry'!BB$8),ISNUMBER('Council Entry'!BB$9)),MAX(MIN('Council Entry'!BB42,'Council Entry'!BB$9),'Council Entry'!BB$8),'Council Entry'!BB42)),IF('Council Entry'!BB$4="Exponential",EXP(IF(AND(ISNUMBER('Council Entry'!BB$8),ISNUMBER('Council Entry'!BB$9)),MAX(MIN('Council Entry'!BB42,'Council Entry'!BB$9),'Council Entry'!BB$8),'Council Entry'!BB42)),IF(AND(ISNUMBER('Council Entry'!BB$8),ISNUMBER('Council Entry'!BB$9)),MAX(MIN('Council Entry'!BB42,'Council Entry'!BB$9),'Council Entry'!BB$8),'Council Entry'!BB42))))-'Council Entry'!BB$5)/('Council Entry'!BB$6-'Council Entry'!BB$5),10*((IF('Council Entry'!BB$4="Logarithm",LN(0.001+IF(AND(ISNUMBER('Council Entry'!BB$8),ISNUMBER('Council Entry'!BB$9)),MAX(MIN('Council Entry'!BB42,'Council Entry'!BB$9),'Council Entry'!BB$8),'Council Entry'!BB42)),IF('Council Entry'!BB$4="Exponential",EXP(IF(AND(ISNUMBER('Council Entry'!BB$8),ISNUMBER('Council Entry'!BB$9)),MAX(MIN('Council Entry'!BB42,'Council Entry'!BB$9),'Council Entry'!BB$8),'Council Entry'!BB42)),IF(AND(ISNUMBER('Council Entry'!BB$8),ISNUMBER('Council Entry'!BB$9)),MAX(MIN('Council Entry'!BB42,'Council Entry'!BB$9),'Council Entry'!BB$8),'Council Entry'!BB42))))-'Council Entry'!BB$5)/('Council Entry'!BB$6-'Council Entry'!BB$5)),1))),"No data"))</f>
        <v/>
      </c>
      <c r="BC42" s="13">
        <f>IF('Council Entry'!BC42="","",IFERROR(MAX(0,MIN(10,ROUND(IF('Council Entry'!BC$7="Decrease Risk",10-10*((IF('Council Entry'!BC$4="Logarithm",LN(0.001+IF(AND(ISNUMBER('Council Entry'!BC$8),ISNUMBER('Council Entry'!BC$9)),MAX(MIN('Council Entry'!BC42,'Council Entry'!BC$9),'Council Entry'!BC$8),'Council Entry'!BC42)),IF('Council Entry'!BC$4="Exponential",EXP(IF(AND(ISNUMBER('Council Entry'!BC$8),ISNUMBER('Council Entry'!BC$9)),MAX(MIN('Council Entry'!BC42,'Council Entry'!BC$9),'Council Entry'!BC$8),'Council Entry'!BC42)),IF(AND(ISNUMBER('Council Entry'!BC$8),ISNUMBER('Council Entry'!BC$9)),MAX(MIN('Council Entry'!BC42,'Council Entry'!BC$9),'Council Entry'!BC$8),'Council Entry'!BC42))))-'Council Entry'!BC$5)/('Council Entry'!BC$6-'Council Entry'!BC$5),10*((IF('Council Entry'!BC$4="Logarithm",LN(0.001+IF(AND(ISNUMBER('Council Entry'!BC$8),ISNUMBER('Council Entry'!BC$9)),MAX(MIN('Council Entry'!BC42,'Council Entry'!BC$9),'Council Entry'!BC$8),'Council Entry'!BC42)),IF('Council Entry'!BC$4="Exponential",EXP(IF(AND(ISNUMBER('Council Entry'!BC$8),ISNUMBER('Council Entry'!BC$9)),MAX(MIN('Council Entry'!BC42,'Council Entry'!BC$9),'Council Entry'!BC$8),'Council Entry'!BC42)),IF(AND(ISNUMBER('Council Entry'!BC$8),ISNUMBER('Council Entry'!BC$9)),MAX(MIN('Council Entry'!BC42,'Council Entry'!BC$9),'Council Entry'!BC$8),'Council Entry'!BC42))))-'Council Entry'!BC$5)/('Council Entry'!BC$6-'Council Entry'!BC$5)),1))),"No data"))</f>
        <v/>
      </c>
      <c r="BD42" s="13">
        <f>IF('Council Entry'!BD42="","",IFERROR(MAX(0,MIN(10,ROUND(IF('Council Entry'!BD$7="Decrease Risk",10-10*((IF('Council Entry'!BD$4="Logarithm",LN(0.001+IF(AND(ISNUMBER('Council Entry'!BD$8),ISNUMBER('Council Entry'!BD$9)),MAX(MIN('Council Entry'!BD42,'Council Entry'!BD$9),'Council Entry'!BD$8),'Council Entry'!BD42)),IF('Council Entry'!BD$4="Exponential",EXP(IF(AND(ISNUMBER('Council Entry'!BD$8),ISNUMBER('Council Entry'!BD$9)),MAX(MIN('Council Entry'!BD42,'Council Entry'!BD$9),'Council Entry'!BD$8),'Council Entry'!BD42)),IF(AND(ISNUMBER('Council Entry'!BD$8),ISNUMBER('Council Entry'!BD$9)),MAX(MIN('Council Entry'!BD42,'Council Entry'!BD$9),'Council Entry'!BD$8),'Council Entry'!BD42))))-'Council Entry'!BD$5)/('Council Entry'!BD$6-'Council Entry'!BD$5),10*((IF('Council Entry'!BD$4="Logarithm",LN(0.001+IF(AND(ISNUMBER('Council Entry'!BD$8),ISNUMBER('Council Entry'!BD$9)),MAX(MIN('Council Entry'!BD42,'Council Entry'!BD$9),'Council Entry'!BD$8),'Council Entry'!BD42)),IF('Council Entry'!BD$4="Exponential",EXP(IF(AND(ISNUMBER('Council Entry'!BD$8),ISNUMBER('Council Entry'!BD$9)),MAX(MIN('Council Entry'!BD42,'Council Entry'!BD$9),'Council Entry'!BD$8),'Council Entry'!BD42)),IF(AND(ISNUMBER('Council Entry'!BD$8),ISNUMBER('Council Entry'!BD$9)),MAX(MIN('Council Entry'!BD42,'Council Entry'!BD$9),'Council Entry'!BD$8),'Council Entry'!BD42))))-'Council Entry'!BD$5)/('Council Entry'!BD$6-'Council Entry'!BD$5)),1))),"No data"))</f>
        <v/>
      </c>
    </row>
    <row r="43">
      <c r="A43" t="inlineStr">
        <is>
          <t>Kagera</t>
        </is>
      </c>
      <c r="B43" t="inlineStr">
        <is>
          <t>Bukoba District</t>
        </is>
      </c>
      <c r="C43" t="inlineStr">
        <is>
          <t>C126</t>
        </is>
      </c>
      <c r="D43" s="13">
        <f>IF('Council Entry'!D43="","",IFERROR(MAX(0,MIN(10,ROUND(IF('Council Entry'!D$7="Decrease Risk",10-10*((IF('Council Entry'!D$4="Logarithm",LN(0.001+IF(AND(ISNUMBER('Council Entry'!D$8),ISNUMBER('Council Entry'!D$9)),MAX(MIN('Council Entry'!D43,'Council Entry'!D$9),'Council Entry'!D$8),'Council Entry'!D43)),IF('Council Entry'!D$4="Exponential",EXP(IF(AND(ISNUMBER('Council Entry'!D$8),ISNUMBER('Council Entry'!D$9)),MAX(MIN('Council Entry'!D43,'Council Entry'!D$9),'Council Entry'!D$8),'Council Entry'!D43)),IF(AND(ISNUMBER('Council Entry'!D$8),ISNUMBER('Council Entry'!D$9)),MAX(MIN('Council Entry'!D43,'Council Entry'!D$9),'Council Entry'!D$8),'Council Entry'!D43))))-'Council Entry'!D$5)/('Council Entry'!D$6-'Council Entry'!D$5),10*((IF('Council Entry'!D$4="Logarithm",LN(0.001+IF(AND(ISNUMBER('Council Entry'!D$8),ISNUMBER('Council Entry'!D$9)),MAX(MIN('Council Entry'!D43,'Council Entry'!D$9),'Council Entry'!D$8),'Council Entry'!D43)),IF('Council Entry'!D$4="Exponential",EXP(IF(AND(ISNUMBER('Council Entry'!D$8),ISNUMBER('Council Entry'!D$9)),MAX(MIN('Council Entry'!D43,'Council Entry'!D$9),'Council Entry'!D$8),'Council Entry'!D43)),IF(AND(ISNUMBER('Council Entry'!D$8),ISNUMBER('Council Entry'!D$9)),MAX(MIN('Council Entry'!D43,'Council Entry'!D$9),'Council Entry'!D$8),'Council Entry'!D43))))-'Council Entry'!D$5)/('Council Entry'!D$6-'Council Entry'!D$5)),1))),"No data"))</f>
        <v/>
      </c>
      <c r="E43" s="13">
        <f>IF('Council Entry'!E43="","",IFERROR(MAX(0,MIN(10,ROUND(IF('Council Entry'!E$7="Decrease Risk",10-10*((IF('Council Entry'!E$4="Logarithm",LN(0.001+IF(AND(ISNUMBER('Council Entry'!E$8),ISNUMBER('Council Entry'!E$9)),MAX(MIN('Council Entry'!E43,'Council Entry'!E$9),'Council Entry'!E$8),'Council Entry'!E43)),IF('Council Entry'!E$4="Exponential",EXP(IF(AND(ISNUMBER('Council Entry'!E$8),ISNUMBER('Council Entry'!E$9)),MAX(MIN('Council Entry'!E43,'Council Entry'!E$9),'Council Entry'!E$8),'Council Entry'!E43)),IF(AND(ISNUMBER('Council Entry'!E$8),ISNUMBER('Council Entry'!E$9)),MAX(MIN('Council Entry'!E43,'Council Entry'!E$9),'Council Entry'!E$8),'Council Entry'!E43))))-'Council Entry'!E$5)/('Council Entry'!E$6-'Council Entry'!E$5),10*((IF('Council Entry'!E$4="Logarithm",LN(0.001+IF(AND(ISNUMBER('Council Entry'!E$8),ISNUMBER('Council Entry'!E$9)),MAX(MIN('Council Entry'!E43,'Council Entry'!E$9),'Council Entry'!E$8),'Council Entry'!E43)),IF('Council Entry'!E$4="Exponential",EXP(IF(AND(ISNUMBER('Council Entry'!E$8),ISNUMBER('Council Entry'!E$9)),MAX(MIN('Council Entry'!E43,'Council Entry'!E$9),'Council Entry'!E$8),'Council Entry'!E43)),IF(AND(ISNUMBER('Council Entry'!E$8),ISNUMBER('Council Entry'!E$9)),MAX(MIN('Council Entry'!E43,'Council Entry'!E$9),'Council Entry'!E$8),'Council Entry'!E43))))-'Council Entry'!E$5)/('Council Entry'!E$6-'Council Entry'!E$5)),1))),"No data"))</f>
        <v/>
      </c>
      <c r="F43" s="13">
        <f>IF('Council Entry'!F43="","",IFERROR(MAX(0,MIN(10,ROUND(IF('Council Entry'!F$7="Decrease Risk",10-10*((IF('Council Entry'!F$4="Logarithm",LN(0.001+IF(AND(ISNUMBER('Council Entry'!F$8),ISNUMBER('Council Entry'!F$9)),MAX(MIN('Council Entry'!F43,'Council Entry'!F$9),'Council Entry'!F$8),'Council Entry'!F43)),IF('Council Entry'!F$4="Exponential",EXP(IF(AND(ISNUMBER('Council Entry'!F$8),ISNUMBER('Council Entry'!F$9)),MAX(MIN('Council Entry'!F43,'Council Entry'!F$9),'Council Entry'!F$8),'Council Entry'!F43)),IF(AND(ISNUMBER('Council Entry'!F$8),ISNUMBER('Council Entry'!F$9)),MAX(MIN('Council Entry'!F43,'Council Entry'!F$9),'Council Entry'!F$8),'Council Entry'!F43))))-'Council Entry'!F$5)/('Council Entry'!F$6-'Council Entry'!F$5),10*((IF('Council Entry'!F$4="Logarithm",LN(0.001+IF(AND(ISNUMBER('Council Entry'!F$8),ISNUMBER('Council Entry'!F$9)),MAX(MIN('Council Entry'!F43,'Council Entry'!F$9),'Council Entry'!F$8),'Council Entry'!F43)),IF('Council Entry'!F$4="Exponential",EXP(IF(AND(ISNUMBER('Council Entry'!F$8),ISNUMBER('Council Entry'!F$9)),MAX(MIN('Council Entry'!F43,'Council Entry'!F$9),'Council Entry'!F$8),'Council Entry'!F43)),IF(AND(ISNUMBER('Council Entry'!F$8),ISNUMBER('Council Entry'!F$9)),MAX(MIN('Council Entry'!F43,'Council Entry'!F$9),'Council Entry'!F$8),'Council Entry'!F43))))-'Council Entry'!F$5)/('Council Entry'!F$6-'Council Entry'!F$5)),1))),"No data"))</f>
        <v/>
      </c>
      <c r="G43" s="13">
        <f>IF('Council Entry'!G43="","",IFERROR(MAX(0,MIN(10,ROUND(IF('Council Entry'!G$7="Decrease Risk",10-10*((IF('Council Entry'!G$4="Logarithm",LN(0.001+IF(AND(ISNUMBER('Council Entry'!G$8),ISNUMBER('Council Entry'!G$9)),MAX(MIN('Council Entry'!G43,'Council Entry'!G$9),'Council Entry'!G$8),'Council Entry'!G43)),IF('Council Entry'!G$4="Exponential",EXP(IF(AND(ISNUMBER('Council Entry'!G$8),ISNUMBER('Council Entry'!G$9)),MAX(MIN('Council Entry'!G43,'Council Entry'!G$9),'Council Entry'!G$8),'Council Entry'!G43)),IF(AND(ISNUMBER('Council Entry'!G$8),ISNUMBER('Council Entry'!G$9)),MAX(MIN('Council Entry'!G43,'Council Entry'!G$9),'Council Entry'!G$8),'Council Entry'!G43))))-'Council Entry'!G$5)/('Council Entry'!G$6-'Council Entry'!G$5),10*((IF('Council Entry'!G$4="Logarithm",LN(0.001+IF(AND(ISNUMBER('Council Entry'!G$8),ISNUMBER('Council Entry'!G$9)),MAX(MIN('Council Entry'!G43,'Council Entry'!G$9),'Council Entry'!G$8),'Council Entry'!G43)),IF('Council Entry'!G$4="Exponential",EXP(IF(AND(ISNUMBER('Council Entry'!G$8),ISNUMBER('Council Entry'!G$9)),MAX(MIN('Council Entry'!G43,'Council Entry'!G$9),'Council Entry'!G$8),'Council Entry'!G43)),IF(AND(ISNUMBER('Council Entry'!G$8),ISNUMBER('Council Entry'!G$9)),MAX(MIN('Council Entry'!G43,'Council Entry'!G$9),'Council Entry'!G$8),'Council Entry'!G43))))-'Council Entry'!G$5)/('Council Entry'!G$6-'Council Entry'!G$5)),1))),"No data"))</f>
        <v/>
      </c>
      <c r="H43" s="13">
        <f>IF('Council Entry'!H43="","",IFERROR(MAX(0,MIN(10,ROUND(IF('Council Entry'!H$7="Decrease Risk",10-10*((IF('Council Entry'!H$4="Logarithm",LN(0.001+IF(AND(ISNUMBER('Council Entry'!H$8),ISNUMBER('Council Entry'!H$9)),MAX(MIN('Council Entry'!H43,'Council Entry'!H$9),'Council Entry'!H$8),'Council Entry'!H43)),IF('Council Entry'!H$4="Exponential",EXP(IF(AND(ISNUMBER('Council Entry'!H$8),ISNUMBER('Council Entry'!H$9)),MAX(MIN('Council Entry'!H43,'Council Entry'!H$9),'Council Entry'!H$8),'Council Entry'!H43)),IF(AND(ISNUMBER('Council Entry'!H$8),ISNUMBER('Council Entry'!H$9)),MAX(MIN('Council Entry'!H43,'Council Entry'!H$9),'Council Entry'!H$8),'Council Entry'!H43))))-'Council Entry'!H$5)/('Council Entry'!H$6-'Council Entry'!H$5),10*((IF('Council Entry'!H$4="Logarithm",LN(0.001+IF(AND(ISNUMBER('Council Entry'!H$8),ISNUMBER('Council Entry'!H$9)),MAX(MIN('Council Entry'!H43,'Council Entry'!H$9),'Council Entry'!H$8),'Council Entry'!H43)),IF('Council Entry'!H$4="Exponential",EXP(IF(AND(ISNUMBER('Council Entry'!H$8),ISNUMBER('Council Entry'!H$9)),MAX(MIN('Council Entry'!H43,'Council Entry'!H$9),'Council Entry'!H$8),'Council Entry'!H43)),IF(AND(ISNUMBER('Council Entry'!H$8),ISNUMBER('Council Entry'!H$9)),MAX(MIN('Council Entry'!H43,'Council Entry'!H$9),'Council Entry'!H$8),'Council Entry'!H43))))-'Council Entry'!H$5)/('Council Entry'!H$6-'Council Entry'!H$5)),1))),"No data"))</f>
        <v/>
      </c>
      <c r="I43" s="13">
        <f>IF('Council Entry'!I43="","",IFERROR(MAX(0,MIN(10,ROUND(IF('Council Entry'!I$7="Decrease Risk",10-10*((IF('Council Entry'!I$4="Logarithm",LN(0.001+IF(AND(ISNUMBER('Council Entry'!I$8),ISNUMBER('Council Entry'!I$9)),MAX(MIN('Council Entry'!I43,'Council Entry'!I$9),'Council Entry'!I$8),'Council Entry'!I43)),IF('Council Entry'!I$4="Exponential",EXP(IF(AND(ISNUMBER('Council Entry'!I$8),ISNUMBER('Council Entry'!I$9)),MAX(MIN('Council Entry'!I43,'Council Entry'!I$9),'Council Entry'!I$8),'Council Entry'!I43)),IF(AND(ISNUMBER('Council Entry'!I$8),ISNUMBER('Council Entry'!I$9)),MAX(MIN('Council Entry'!I43,'Council Entry'!I$9),'Council Entry'!I$8),'Council Entry'!I43))))-'Council Entry'!I$5)/('Council Entry'!I$6-'Council Entry'!I$5),10*((IF('Council Entry'!I$4="Logarithm",LN(0.001+IF(AND(ISNUMBER('Council Entry'!I$8),ISNUMBER('Council Entry'!I$9)),MAX(MIN('Council Entry'!I43,'Council Entry'!I$9),'Council Entry'!I$8),'Council Entry'!I43)),IF('Council Entry'!I$4="Exponential",EXP(IF(AND(ISNUMBER('Council Entry'!I$8),ISNUMBER('Council Entry'!I$9)),MAX(MIN('Council Entry'!I43,'Council Entry'!I$9),'Council Entry'!I$8),'Council Entry'!I43)),IF(AND(ISNUMBER('Council Entry'!I$8),ISNUMBER('Council Entry'!I$9)),MAX(MIN('Council Entry'!I43,'Council Entry'!I$9),'Council Entry'!I$8),'Council Entry'!I43))))-'Council Entry'!I$5)/('Council Entry'!I$6-'Council Entry'!I$5)),1))),"No data"))</f>
        <v/>
      </c>
      <c r="J43" s="13">
        <f>IF('Council Entry'!J43="","",IFERROR(MAX(0,MIN(10,ROUND(IF('Council Entry'!J$7="Decrease Risk",10-10*((IF('Council Entry'!J$4="Logarithm",LN(0.001+IF(AND(ISNUMBER('Council Entry'!J$8),ISNUMBER('Council Entry'!J$9)),MAX(MIN('Council Entry'!J43,'Council Entry'!J$9),'Council Entry'!J$8),'Council Entry'!J43)),IF('Council Entry'!J$4="Exponential",EXP(IF(AND(ISNUMBER('Council Entry'!J$8),ISNUMBER('Council Entry'!J$9)),MAX(MIN('Council Entry'!J43,'Council Entry'!J$9),'Council Entry'!J$8),'Council Entry'!J43)),IF(AND(ISNUMBER('Council Entry'!J$8),ISNUMBER('Council Entry'!J$9)),MAX(MIN('Council Entry'!J43,'Council Entry'!J$9),'Council Entry'!J$8),'Council Entry'!J43))))-'Council Entry'!J$5)/('Council Entry'!J$6-'Council Entry'!J$5),10*((IF('Council Entry'!J$4="Logarithm",LN(0.001+IF(AND(ISNUMBER('Council Entry'!J$8),ISNUMBER('Council Entry'!J$9)),MAX(MIN('Council Entry'!J43,'Council Entry'!J$9),'Council Entry'!J$8),'Council Entry'!J43)),IF('Council Entry'!J$4="Exponential",EXP(IF(AND(ISNUMBER('Council Entry'!J$8),ISNUMBER('Council Entry'!J$9)),MAX(MIN('Council Entry'!J43,'Council Entry'!J$9),'Council Entry'!J$8),'Council Entry'!J43)),IF(AND(ISNUMBER('Council Entry'!J$8),ISNUMBER('Council Entry'!J$9)),MAX(MIN('Council Entry'!J43,'Council Entry'!J$9),'Council Entry'!J$8),'Council Entry'!J43))))-'Council Entry'!J$5)/('Council Entry'!J$6-'Council Entry'!J$5)),1))),"No data"))</f>
        <v/>
      </c>
      <c r="K43" s="13">
        <f>IF('Council Entry'!K43="","",IFERROR(MAX(0,MIN(10,ROUND(IF('Council Entry'!K$7="Decrease Risk",10-10*((IF('Council Entry'!K$4="Logarithm",LN(0.001+IF(AND(ISNUMBER('Council Entry'!K$8),ISNUMBER('Council Entry'!K$9)),MAX(MIN('Council Entry'!K43,'Council Entry'!K$9),'Council Entry'!K$8),'Council Entry'!K43)),IF('Council Entry'!K$4="Exponential",EXP(IF(AND(ISNUMBER('Council Entry'!K$8),ISNUMBER('Council Entry'!K$9)),MAX(MIN('Council Entry'!K43,'Council Entry'!K$9),'Council Entry'!K$8),'Council Entry'!K43)),IF(AND(ISNUMBER('Council Entry'!K$8),ISNUMBER('Council Entry'!K$9)),MAX(MIN('Council Entry'!K43,'Council Entry'!K$9),'Council Entry'!K$8),'Council Entry'!K43))))-'Council Entry'!K$5)/('Council Entry'!K$6-'Council Entry'!K$5),10*((IF('Council Entry'!K$4="Logarithm",LN(0.001+IF(AND(ISNUMBER('Council Entry'!K$8),ISNUMBER('Council Entry'!K$9)),MAX(MIN('Council Entry'!K43,'Council Entry'!K$9),'Council Entry'!K$8),'Council Entry'!K43)),IF('Council Entry'!K$4="Exponential",EXP(IF(AND(ISNUMBER('Council Entry'!K$8),ISNUMBER('Council Entry'!K$9)),MAX(MIN('Council Entry'!K43,'Council Entry'!K$9),'Council Entry'!K$8),'Council Entry'!K43)),IF(AND(ISNUMBER('Council Entry'!K$8),ISNUMBER('Council Entry'!K$9)),MAX(MIN('Council Entry'!K43,'Council Entry'!K$9),'Council Entry'!K$8),'Council Entry'!K43))))-'Council Entry'!K$5)/('Council Entry'!K$6-'Council Entry'!K$5)),1))),"No data"))</f>
        <v/>
      </c>
      <c r="L43" s="13">
        <f>IF('Council Entry'!L43="","",IFERROR(MAX(0,MIN(10,ROUND(IF('Council Entry'!L$7="Decrease Risk",10-10*((IF('Council Entry'!L$4="Logarithm",LN(0.001+IF(AND(ISNUMBER('Council Entry'!L$8),ISNUMBER('Council Entry'!L$9)),MAX(MIN('Council Entry'!L43,'Council Entry'!L$9),'Council Entry'!L$8),'Council Entry'!L43)),IF('Council Entry'!L$4="Exponential",EXP(IF(AND(ISNUMBER('Council Entry'!L$8),ISNUMBER('Council Entry'!L$9)),MAX(MIN('Council Entry'!L43,'Council Entry'!L$9),'Council Entry'!L$8),'Council Entry'!L43)),IF(AND(ISNUMBER('Council Entry'!L$8),ISNUMBER('Council Entry'!L$9)),MAX(MIN('Council Entry'!L43,'Council Entry'!L$9),'Council Entry'!L$8),'Council Entry'!L43))))-'Council Entry'!L$5)/('Council Entry'!L$6-'Council Entry'!L$5),10*((IF('Council Entry'!L$4="Logarithm",LN(0.001+IF(AND(ISNUMBER('Council Entry'!L$8),ISNUMBER('Council Entry'!L$9)),MAX(MIN('Council Entry'!L43,'Council Entry'!L$9),'Council Entry'!L$8),'Council Entry'!L43)),IF('Council Entry'!L$4="Exponential",EXP(IF(AND(ISNUMBER('Council Entry'!L$8),ISNUMBER('Council Entry'!L$9)),MAX(MIN('Council Entry'!L43,'Council Entry'!L$9),'Council Entry'!L$8),'Council Entry'!L43)),IF(AND(ISNUMBER('Council Entry'!L$8),ISNUMBER('Council Entry'!L$9)),MAX(MIN('Council Entry'!L43,'Council Entry'!L$9),'Council Entry'!L$8),'Council Entry'!L43))))-'Council Entry'!L$5)/('Council Entry'!L$6-'Council Entry'!L$5)),1))),"No data"))</f>
        <v/>
      </c>
      <c r="M43" s="13">
        <f>IF('Council Entry'!M43="","",IFERROR(MAX(0,MIN(10,ROUND(IF('Council Entry'!M$7="Decrease Risk",10-10*((IF('Council Entry'!M$4="Logarithm",LN(0.001+IF(AND(ISNUMBER('Council Entry'!M$8),ISNUMBER('Council Entry'!M$9)),MAX(MIN('Council Entry'!M43,'Council Entry'!M$9),'Council Entry'!M$8),'Council Entry'!M43)),IF('Council Entry'!M$4="Exponential",EXP(IF(AND(ISNUMBER('Council Entry'!M$8),ISNUMBER('Council Entry'!M$9)),MAX(MIN('Council Entry'!M43,'Council Entry'!M$9),'Council Entry'!M$8),'Council Entry'!M43)),IF(AND(ISNUMBER('Council Entry'!M$8),ISNUMBER('Council Entry'!M$9)),MAX(MIN('Council Entry'!M43,'Council Entry'!M$9),'Council Entry'!M$8),'Council Entry'!M43))))-'Council Entry'!M$5)/('Council Entry'!M$6-'Council Entry'!M$5),10*((IF('Council Entry'!M$4="Logarithm",LN(0.001+IF(AND(ISNUMBER('Council Entry'!M$8),ISNUMBER('Council Entry'!M$9)),MAX(MIN('Council Entry'!M43,'Council Entry'!M$9),'Council Entry'!M$8),'Council Entry'!M43)),IF('Council Entry'!M$4="Exponential",EXP(IF(AND(ISNUMBER('Council Entry'!M$8),ISNUMBER('Council Entry'!M$9)),MAX(MIN('Council Entry'!M43,'Council Entry'!M$9),'Council Entry'!M$8),'Council Entry'!M43)),IF(AND(ISNUMBER('Council Entry'!M$8),ISNUMBER('Council Entry'!M$9)),MAX(MIN('Council Entry'!M43,'Council Entry'!M$9),'Council Entry'!M$8),'Council Entry'!M43))))-'Council Entry'!M$5)/('Council Entry'!M$6-'Council Entry'!M$5)),1))),"No data"))</f>
        <v/>
      </c>
      <c r="N43" s="13">
        <f>IF('Council Entry'!N43="","",IFERROR(MAX(0,MIN(10,ROUND(IF('Council Entry'!N$7="Decrease Risk",10-10*((IF('Council Entry'!N$4="Logarithm",LN(0.001+IF(AND(ISNUMBER('Council Entry'!N$8),ISNUMBER('Council Entry'!N$9)),MAX(MIN('Council Entry'!N43,'Council Entry'!N$9),'Council Entry'!N$8),'Council Entry'!N43)),IF('Council Entry'!N$4="Exponential",EXP(IF(AND(ISNUMBER('Council Entry'!N$8),ISNUMBER('Council Entry'!N$9)),MAX(MIN('Council Entry'!N43,'Council Entry'!N$9),'Council Entry'!N$8),'Council Entry'!N43)),IF(AND(ISNUMBER('Council Entry'!N$8),ISNUMBER('Council Entry'!N$9)),MAX(MIN('Council Entry'!N43,'Council Entry'!N$9),'Council Entry'!N$8),'Council Entry'!N43))))-'Council Entry'!N$5)/('Council Entry'!N$6-'Council Entry'!N$5),10*((IF('Council Entry'!N$4="Logarithm",LN(0.001+IF(AND(ISNUMBER('Council Entry'!N$8),ISNUMBER('Council Entry'!N$9)),MAX(MIN('Council Entry'!N43,'Council Entry'!N$9),'Council Entry'!N$8),'Council Entry'!N43)),IF('Council Entry'!N$4="Exponential",EXP(IF(AND(ISNUMBER('Council Entry'!N$8),ISNUMBER('Council Entry'!N$9)),MAX(MIN('Council Entry'!N43,'Council Entry'!N$9),'Council Entry'!N$8),'Council Entry'!N43)),IF(AND(ISNUMBER('Council Entry'!N$8),ISNUMBER('Council Entry'!N$9)),MAX(MIN('Council Entry'!N43,'Council Entry'!N$9),'Council Entry'!N$8),'Council Entry'!N43))))-'Council Entry'!N$5)/('Council Entry'!N$6-'Council Entry'!N$5)),1))),"No data"))</f>
        <v/>
      </c>
      <c r="O43" s="13">
        <f>IF('Council Entry'!O43="","",IFERROR(MAX(0,MIN(10,ROUND(IF('Council Entry'!O$7="Decrease Risk",10-10*((IF('Council Entry'!O$4="Logarithm",LN(0.001+IF(AND(ISNUMBER('Council Entry'!O$8),ISNUMBER('Council Entry'!O$9)),MAX(MIN('Council Entry'!O43,'Council Entry'!O$9),'Council Entry'!O$8),'Council Entry'!O43)),IF('Council Entry'!O$4="Exponential",EXP(IF(AND(ISNUMBER('Council Entry'!O$8),ISNUMBER('Council Entry'!O$9)),MAX(MIN('Council Entry'!O43,'Council Entry'!O$9),'Council Entry'!O$8),'Council Entry'!O43)),IF(AND(ISNUMBER('Council Entry'!O$8),ISNUMBER('Council Entry'!O$9)),MAX(MIN('Council Entry'!O43,'Council Entry'!O$9),'Council Entry'!O$8),'Council Entry'!O43))))-'Council Entry'!O$5)/('Council Entry'!O$6-'Council Entry'!O$5),10*((IF('Council Entry'!O$4="Logarithm",LN(0.001+IF(AND(ISNUMBER('Council Entry'!O$8),ISNUMBER('Council Entry'!O$9)),MAX(MIN('Council Entry'!O43,'Council Entry'!O$9),'Council Entry'!O$8),'Council Entry'!O43)),IF('Council Entry'!O$4="Exponential",EXP(IF(AND(ISNUMBER('Council Entry'!O$8),ISNUMBER('Council Entry'!O$9)),MAX(MIN('Council Entry'!O43,'Council Entry'!O$9),'Council Entry'!O$8),'Council Entry'!O43)),IF(AND(ISNUMBER('Council Entry'!O$8),ISNUMBER('Council Entry'!O$9)),MAX(MIN('Council Entry'!O43,'Council Entry'!O$9),'Council Entry'!O$8),'Council Entry'!O43))))-'Council Entry'!O$5)/('Council Entry'!O$6-'Council Entry'!O$5)),1))),"No data"))</f>
        <v/>
      </c>
      <c r="P43" s="13">
        <f>IF('Council Entry'!P43="","",IFERROR(MAX(0,MIN(10,ROUND(IF('Council Entry'!P$7="Decrease Risk",10-10*((IF('Council Entry'!P$4="Logarithm",LN(0.001+IF(AND(ISNUMBER('Council Entry'!P$8),ISNUMBER('Council Entry'!P$9)),MAX(MIN('Council Entry'!P43,'Council Entry'!P$9),'Council Entry'!P$8),'Council Entry'!P43)),IF('Council Entry'!P$4="Exponential",EXP(IF(AND(ISNUMBER('Council Entry'!P$8),ISNUMBER('Council Entry'!P$9)),MAX(MIN('Council Entry'!P43,'Council Entry'!P$9),'Council Entry'!P$8),'Council Entry'!P43)),IF(AND(ISNUMBER('Council Entry'!P$8),ISNUMBER('Council Entry'!P$9)),MAX(MIN('Council Entry'!P43,'Council Entry'!P$9),'Council Entry'!P$8),'Council Entry'!P43))))-'Council Entry'!P$5)/('Council Entry'!P$6-'Council Entry'!P$5),10*((IF('Council Entry'!P$4="Logarithm",LN(0.001+IF(AND(ISNUMBER('Council Entry'!P$8),ISNUMBER('Council Entry'!P$9)),MAX(MIN('Council Entry'!P43,'Council Entry'!P$9),'Council Entry'!P$8),'Council Entry'!P43)),IF('Council Entry'!P$4="Exponential",EXP(IF(AND(ISNUMBER('Council Entry'!P$8),ISNUMBER('Council Entry'!P$9)),MAX(MIN('Council Entry'!P43,'Council Entry'!P$9),'Council Entry'!P$8),'Council Entry'!P43)),IF(AND(ISNUMBER('Council Entry'!P$8),ISNUMBER('Council Entry'!P$9)),MAX(MIN('Council Entry'!P43,'Council Entry'!P$9),'Council Entry'!P$8),'Council Entry'!P43))))-'Council Entry'!P$5)/('Council Entry'!P$6-'Council Entry'!P$5)),1))),"No data"))</f>
        <v/>
      </c>
      <c r="Q43" s="13">
        <f>IF('Council Entry'!Q43="","",IFERROR(MAX(0,MIN(10,ROUND(IF('Council Entry'!Q$7="Decrease Risk",10-10*((IF('Council Entry'!Q$4="Logarithm",LN(0.001+IF(AND(ISNUMBER('Council Entry'!Q$8),ISNUMBER('Council Entry'!Q$9)),MAX(MIN('Council Entry'!Q43,'Council Entry'!Q$9),'Council Entry'!Q$8),'Council Entry'!Q43)),IF('Council Entry'!Q$4="Exponential",EXP(IF(AND(ISNUMBER('Council Entry'!Q$8),ISNUMBER('Council Entry'!Q$9)),MAX(MIN('Council Entry'!Q43,'Council Entry'!Q$9),'Council Entry'!Q$8),'Council Entry'!Q43)),IF(AND(ISNUMBER('Council Entry'!Q$8),ISNUMBER('Council Entry'!Q$9)),MAX(MIN('Council Entry'!Q43,'Council Entry'!Q$9),'Council Entry'!Q$8),'Council Entry'!Q43))))-'Council Entry'!Q$5)/('Council Entry'!Q$6-'Council Entry'!Q$5),10*((IF('Council Entry'!Q$4="Logarithm",LN(0.001+IF(AND(ISNUMBER('Council Entry'!Q$8),ISNUMBER('Council Entry'!Q$9)),MAX(MIN('Council Entry'!Q43,'Council Entry'!Q$9),'Council Entry'!Q$8),'Council Entry'!Q43)),IF('Council Entry'!Q$4="Exponential",EXP(IF(AND(ISNUMBER('Council Entry'!Q$8),ISNUMBER('Council Entry'!Q$9)),MAX(MIN('Council Entry'!Q43,'Council Entry'!Q$9),'Council Entry'!Q$8),'Council Entry'!Q43)),IF(AND(ISNUMBER('Council Entry'!Q$8),ISNUMBER('Council Entry'!Q$9)),MAX(MIN('Council Entry'!Q43,'Council Entry'!Q$9),'Council Entry'!Q$8),'Council Entry'!Q43))))-'Council Entry'!Q$5)/('Council Entry'!Q$6-'Council Entry'!Q$5)),1))),"No data"))</f>
        <v/>
      </c>
      <c r="R43" s="13">
        <f>IF('Council Entry'!R43="","",IFERROR(MAX(0,MIN(10,ROUND(IF('Council Entry'!R$7="Decrease Risk",10-10*((IF('Council Entry'!R$4="Logarithm",LN(0.001+IF(AND(ISNUMBER('Council Entry'!R$8),ISNUMBER('Council Entry'!R$9)),MAX(MIN('Council Entry'!R43,'Council Entry'!R$9),'Council Entry'!R$8),'Council Entry'!R43)),IF('Council Entry'!R$4="Exponential",EXP(IF(AND(ISNUMBER('Council Entry'!R$8),ISNUMBER('Council Entry'!R$9)),MAX(MIN('Council Entry'!R43,'Council Entry'!R$9),'Council Entry'!R$8),'Council Entry'!R43)),IF(AND(ISNUMBER('Council Entry'!R$8),ISNUMBER('Council Entry'!R$9)),MAX(MIN('Council Entry'!R43,'Council Entry'!R$9),'Council Entry'!R$8),'Council Entry'!R43))))-'Council Entry'!R$5)/('Council Entry'!R$6-'Council Entry'!R$5),10*((IF('Council Entry'!R$4="Logarithm",LN(0.001+IF(AND(ISNUMBER('Council Entry'!R$8),ISNUMBER('Council Entry'!R$9)),MAX(MIN('Council Entry'!R43,'Council Entry'!R$9),'Council Entry'!R$8),'Council Entry'!R43)),IF('Council Entry'!R$4="Exponential",EXP(IF(AND(ISNUMBER('Council Entry'!R$8),ISNUMBER('Council Entry'!R$9)),MAX(MIN('Council Entry'!R43,'Council Entry'!R$9),'Council Entry'!R$8),'Council Entry'!R43)),IF(AND(ISNUMBER('Council Entry'!R$8),ISNUMBER('Council Entry'!R$9)),MAX(MIN('Council Entry'!R43,'Council Entry'!R$9),'Council Entry'!R$8),'Council Entry'!R43))))-'Council Entry'!R$5)/('Council Entry'!R$6-'Council Entry'!R$5)),1))),"No data"))</f>
        <v/>
      </c>
      <c r="S43" s="13">
        <f>IF('Council Entry'!S43="","",IFERROR(MAX(0,MIN(10,ROUND(IF('Council Entry'!S$7="Decrease Risk",10-10*((IF('Council Entry'!S$4="Logarithm",LN(0.001+IF(AND(ISNUMBER('Council Entry'!S$8),ISNUMBER('Council Entry'!S$9)),MAX(MIN('Council Entry'!S43,'Council Entry'!S$9),'Council Entry'!S$8),'Council Entry'!S43)),IF('Council Entry'!S$4="Exponential",EXP(IF(AND(ISNUMBER('Council Entry'!S$8),ISNUMBER('Council Entry'!S$9)),MAX(MIN('Council Entry'!S43,'Council Entry'!S$9),'Council Entry'!S$8),'Council Entry'!S43)),IF(AND(ISNUMBER('Council Entry'!S$8),ISNUMBER('Council Entry'!S$9)),MAX(MIN('Council Entry'!S43,'Council Entry'!S$9),'Council Entry'!S$8),'Council Entry'!S43))))-'Council Entry'!S$5)/('Council Entry'!S$6-'Council Entry'!S$5),10*((IF('Council Entry'!S$4="Logarithm",LN(0.001+IF(AND(ISNUMBER('Council Entry'!S$8),ISNUMBER('Council Entry'!S$9)),MAX(MIN('Council Entry'!S43,'Council Entry'!S$9),'Council Entry'!S$8),'Council Entry'!S43)),IF('Council Entry'!S$4="Exponential",EXP(IF(AND(ISNUMBER('Council Entry'!S$8),ISNUMBER('Council Entry'!S$9)),MAX(MIN('Council Entry'!S43,'Council Entry'!S$9),'Council Entry'!S$8),'Council Entry'!S43)),IF(AND(ISNUMBER('Council Entry'!S$8),ISNUMBER('Council Entry'!S$9)),MAX(MIN('Council Entry'!S43,'Council Entry'!S$9),'Council Entry'!S$8),'Council Entry'!S43))))-'Council Entry'!S$5)/('Council Entry'!S$6-'Council Entry'!S$5)),1))),"No data"))</f>
        <v/>
      </c>
      <c r="T43" s="13">
        <f>IF('Council Entry'!T43="","",IFERROR(MAX(0,MIN(10,ROUND(IF('Council Entry'!T$7="Decrease Risk",10-10*((IF('Council Entry'!T$4="Logarithm",LN(0.001+IF(AND(ISNUMBER('Council Entry'!T$8),ISNUMBER('Council Entry'!T$9)),MAX(MIN('Council Entry'!T43,'Council Entry'!T$9),'Council Entry'!T$8),'Council Entry'!T43)),IF('Council Entry'!T$4="Exponential",EXP(IF(AND(ISNUMBER('Council Entry'!T$8),ISNUMBER('Council Entry'!T$9)),MAX(MIN('Council Entry'!T43,'Council Entry'!T$9),'Council Entry'!T$8),'Council Entry'!T43)),IF(AND(ISNUMBER('Council Entry'!T$8),ISNUMBER('Council Entry'!T$9)),MAX(MIN('Council Entry'!T43,'Council Entry'!T$9),'Council Entry'!T$8),'Council Entry'!T43))))-'Council Entry'!T$5)/('Council Entry'!T$6-'Council Entry'!T$5),10*((IF('Council Entry'!T$4="Logarithm",LN(0.001+IF(AND(ISNUMBER('Council Entry'!T$8),ISNUMBER('Council Entry'!T$9)),MAX(MIN('Council Entry'!T43,'Council Entry'!T$9),'Council Entry'!T$8),'Council Entry'!T43)),IF('Council Entry'!T$4="Exponential",EXP(IF(AND(ISNUMBER('Council Entry'!T$8),ISNUMBER('Council Entry'!T$9)),MAX(MIN('Council Entry'!T43,'Council Entry'!T$9),'Council Entry'!T$8),'Council Entry'!T43)),IF(AND(ISNUMBER('Council Entry'!T$8),ISNUMBER('Council Entry'!T$9)),MAX(MIN('Council Entry'!T43,'Council Entry'!T$9),'Council Entry'!T$8),'Council Entry'!T43))))-'Council Entry'!T$5)/('Council Entry'!T$6-'Council Entry'!T$5)),1))),"No data"))</f>
        <v/>
      </c>
      <c r="U43" s="13">
        <f>IF('Council Entry'!U43="","",IFERROR(MAX(0,MIN(10,ROUND(IF('Council Entry'!U$7="Decrease Risk",10-10*((IF('Council Entry'!U$4="Logarithm",LN(0.001+IF(AND(ISNUMBER('Council Entry'!U$8),ISNUMBER('Council Entry'!U$9)),MAX(MIN('Council Entry'!U43,'Council Entry'!U$9),'Council Entry'!U$8),'Council Entry'!U43)),IF('Council Entry'!U$4="Exponential",EXP(IF(AND(ISNUMBER('Council Entry'!U$8),ISNUMBER('Council Entry'!U$9)),MAX(MIN('Council Entry'!U43,'Council Entry'!U$9),'Council Entry'!U$8),'Council Entry'!U43)),IF(AND(ISNUMBER('Council Entry'!U$8),ISNUMBER('Council Entry'!U$9)),MAX(MIN('Council Entry'!U43,'Council Entry'!U$9),'Council Entry'!U$8),'Council Entry'!U43))))-'Council Entry'!U$5)/('Council Entry'!U$6-'Council Entry'!U$5),10*((IF('Council Entry'!U$4="Logarithm",LN(0.001+IF(AND(ISNUMBER('Council Entry'!U$8),ISNUMBER('Council Entry'!U$9)),MAX(MIN('Council Entry'!U43,'Council Entry'!U$9),'Council Entry'!U$8),'Council Entry'!U43)),IF('Council Entry'!U$4="Exponential",EXP(IF(AND(ISNUMBER('Council Entry'!U$8),ISNUMBER('Council Entry'!U$9)),MAX(MIN('Council Entry'!U43,'Council Entry'!U$9),'Council Entry'!U$8),'Council Entry'!U43)),IF(AND(ISNUMBER('Council Entry'!U$8),ISNUMBER('Council Entry'!U$9)),MAX(MIN('Council Entry'!U43,'Council Entry'!U$9),'Council Entry'!U$8),'Council Entry'!U43))))-'Council Entry'!U$5)/('Council Entry'!U$6-'Council Entry'!U$5)),1))),"No data"))</f>
        <v/>
      </c>
      <c r="V43" s="13">
        <f>IF('Council Entry'!V43="","",IFERROR(MAX(0,MIN(10,ROUND(IF('Council Entry'!V$7="Decrease Risk",10-10*((IF('Council Entry'!V$4="Logarithm",LN(0.001+IF(AND(ISNUMBER('Council Entry'!V$8),ISNUMBER('Council Entry'!V$9)),MAX(MIN('Council Entry'!V43,'Council Entry'!V$9),'Council Entry'!V$8),'Council Entry'!V43)),IF('Council Entry'!V$4="Exponential",EXP(IF(AND(ISNUMBER('Council Entry'!V$8),ISNUMBER('Council Entry'!V$9)),MAX(MIN('Council Entry'!V43,'Council Entry'!V$9),'Council Entry'!V$8),'Council Entry'!V43)),IF(AND(ISNUMBER('Council Entry'!V$8),ISNUMBER('Council Entry'!V$9)),MAX(MIN('Council Entry'!V43,'Council Entry'!V$9),'Council Entry'!V$8),'Council Entry'!V43))))-'Council Entry'!V$5)/('Council Entry'!V$6-'Council Entry'!V$5),10*((IF('Council Entry'!V$4="Logarithm",LN(0.001+IF(AND(ISNUMBER('Council Entry'!V$8),ISNUMBER('Council Entry'!V$9)),MAX(MIN('Council Entry'!V43,'Council Entry'!V$9),'Council Entry'!V$8),'Council Entry'!V43)),IF('Council Entry'!V$4="Exponential",EXP(IF(AND(ISNUMBER('Council Entry'!V$8),ISNUMBER('Council Entry'!V$9)),MAX(MIN('Council Entry'!V43,'Council Entry'!V$9),'Council Entry'!V$8),'Council Entry'!V43)),IF(AND(ISNUMBER('Council Entry'!V$8),ISNUMBER('Council Entry'!V$9)),MAX(MIN('Council Entry'!V43,'Council Entry'!V$9),'Council Entry'!V$8),'Council Entry'!V43))))-'Council Entry'!V$5)/('Council Entry'!V$6-'Council Entry'!V$5)),1))),"No data"))</f>
        <v/>
      </c>
      <c r="W43" s="13">
        <f>IF('Council Entry'!W43="","",IFERROR(MAX(0,MIN(10,ROUND(IF('Council Entry'!W$7="Decrease Risk",10-10*((IF('Council Entry'!W$4="Logarithm",LN(0.001+IF(AND(ISNUMBER('Council Entry'!W$8),ISNUMBER('Council Entry'!W$9)),MAX(MIN('Council Entry'!W43,'Council Entry'!W$9),'Council Entry'!W$8),'Council Entry'!W43)),IF('Council Entry'!W$4="Exponential",EXP(IF(AND(ISNUMBER('Council Entry'!W$8),ISNUMBER('Council Entry'!W$9)),MAX(MIN('Council Entry'!W43,'Council Entry'!W$9),'Council Entry'!W$8),'Council Entry'!W43)),IF(AND(ISNUMBER('Council Entry'!W$8),ISNUMBER('Council Entry'!W$9)),MAX(MIN('Council Entry'!W43,'Council Entry'!W$9),'Council Entry'!W$8),'Council Entry'!W43))))-'Council Entry'!W$5)/('Council Entry'!W$6-'Council Entry'!W$5),10*((IF('Council Entry'!W$4="Logarithm",LN(0.001+IF(AND(ISNUMBER('Council Entry'!W$8),ISNUMBER('Council Entry'!W$9)),MAX(MIN('Council Entry'!W43,'Council Entry'!W$9),'Council Entry'!W$8),'Council Entry'!W43)),IF('Council Entry'!W$4="Exponential",EXP(IF(AND(ISNUMBER('Council Entry'!W$8),ISNUMBER('Council Entry'!W$9)),MAX(MIN('Council Entry'!W43,'Council Entry'!W$9),'Council Entry'!W$8),'Council Entry'!W43)),IF(AND(ISNUMBER('Council Entry'!W$8),ISNUMBER('Council Entry'!W$9)),MAX(MIN('Council Entry'!W43,'Council Entry'!W$9),'Council Entry'!W$8),'Council Entry'!W43))))-'Council Entry'!W$5)/('Council Entry'!W$6-'Council Entry'!W$5)),1))),"No data"))</f>
        <v/>
      </c>
      <c r="X43" s="13">
        <f>IF('Council Entry'!X43="","",IFERROR(MAX(0,MIN(10,ROUND(IF('Council Entry'!X$7="Decrease Risk",10-10*((IF('Council Entry'!X$4="Logarithm",LN(0.001+IF(AND(ISNUMBER('Council Entry'!X$8),ISNUMBER('Council Entry'!X$9)),MAX(MIN('Council Entry'!X43,'Council Entry'!X$9),'Council Entry'!X$8),'Council Entry'!X43)),IF('Council Entry'!X$4="Exponential",EXP(IF(AND(ISNUMBER('Council Entry'!X$8),ISNUMBER('Council Entry'!X$9)),MAX(MIN('Council Entry'!X43,'Council Entry'!X$9),'Council Entry'!X$8),'Council Entry'!X43)),IF(AND(ISNUMBER('Council Entry'!X$8),ISNUMBER('Council Entry'!X$9)),MAX(MIN('Council Entry'!X43,'Council Entry'!X$9),'Council Entry'!X$8),'Council Entry'!X43))))-'Council Entry'!X$5)/('Council Entry'!X$6-'Council Entry'!X$5),10*((IF('Council Entry'!X$4="Logarithm",LN(0.001+IF(AND(ISNUMBER('Council Entry'!X$8),ISNUMBER('Council Entry'!X$9)),MAX(MIN('Council Entry'!X43,'Council Entry'!X$9),'Council Entry'!X$8),'Council Entry'!X43)),IF('Council Entry'!X$4="Exponential",EXP(IF(AND(ISNUMBER('Council Entry'!X$8),ISNUMBER('Council Entry'!X$9)),MAX(MIN('Council Entry'!X43,'Council Entry'!X$9),'Council Entry'!X$8),'Council Entry'!X43)),IF(AND(ISNUMBER('Council Entry'!X$8),ISNUMBER('Council Entry'!X$9)),MAX(MIN('Council Entry'!X43,'Council Entry'!X$9),'Council Entry'!X$8),'Council Entry'!X43))))-'Council Entry'!X$5)/('Council Entry'!X$6-'Council Entry'!X$5)),1))),"No data"))</f>
        <v/>
      </c>
      <c r="Y43" s="13">
        <f>IF('Council Entry'!Y43="","",IFERROR(MAX(0,MIN(10,ROUND(IF('Council Entry'!Y$7="Decrease Risk",10-10*((IF('Council Entry'!Y$4="Logarithm",LN(0.001+IF(AND(ISNUMBER('Council Entry'!Y$8),ISNUMBER('Council Entry'!Y$9)),MAX(MIN('Council Entry'!Y43,'Council Entry'!Y$9),'Council Entry'!Y$8),'Council Entry'!Y43)),IF('Council Entry'!Y$4="Exponential",EXP(IF(AND(ISNUMBER('Council Entry'!Y$8),ISNUMBER('Council Entry'!Y$9)),MAX(MIN('Council Entry'!Y43,'Council Entry'!Y$9),'Council Entry'!Y$8),'Council Entry'!Y43)),IF(AND(ISNUMBER('Council Entry'!Y$8),ISNUMBER('Council Entry'!Y$9)),MAX(MIN('Council Entry'!Y43,'Council Entry'!Y$9),'Council Entry'!Y$8),'Council Entry'!Y43))))-'Council Entry'!Y$5)/('Council Entry'!Y$6-'Council Entry'!Y$5),10*((IF('Council Entry'!Y$4="Logarithm",LN(0.001+IF(AND(ISNUMBER('Council Entry'!Y$8),ISNUMBER('Council Entry'!Y$9)),MAX(MIN('Council Entry'!Y43,'Council Entry'!Y$9),'Council Entry'!Y$8),'Council Entry'!Y43)),IF('Council Entry'!Y$4="Exponential",EXP(IF(AND(ISNUMBER('Council Entry'!Y$8),ISNUMBER('Council Entry'!Y$9)),MAX(MIN('Council Entry'!Y43,'Council Entry'!Y$9),'Council Entry'!Y$8),'Council Entry'!Y43)),IF(AND(ISNUMBER('Council Entry'!Y$8),ISNUMBER('Council Entry'!Y$9)),MAX(MIN('Council Entry'!Y43,'Council Entry'!Y$9),'Council Entry'!Y$8),'Council Entry'!Y43))))-'Council Entry'!Y$5)/('Council Entry'!Y$6-'Council Entry'!Y$5)),1))),"No data"))</f>
        <v/>
      </c>
      <c r="Z43" s="13">
        <f>IF('Council Entry'!Z43="","",IFERROR(MAX(0,MIN(10,ROUND(IF('Council Entry'!Z$7="Decrease Risk",10-10*((IF('Council Entry'!Z$4="Logarithm",LN(0.001+IF(AND(ISNUMBER('Council Entry'!Z$8),ISNUMBER('Council Entry'!Z$9)),MAX(MIN('Council Entry'!Z43,'Council Entry'!Z$9),'Council Entry'!Z$8),'Council Entry'!Z43)),IF('Council Entry'!Z$4="Exponential",EXP(IF(AND(ISNUMBER('Council Entry'!Z$8),ISNUMBER('Council Entry'!Z$9)),MAX(MIN('Council Entry'!Z43,'Council Entry'!Z$9),'Council Entry'!Z$8),'Council Entry'!Z43)),IF(AND(ISNUMBER('Council Entry'!Z$8),ISNUMBER('Council Entry'!Z$9)),MAX(MIN('Council Entry'!Z43,'Council Entry'!Z$9),'Council Entry'!Z$8),'Council Entry'!Z43))))-'Council Entry'!Z$5)/('Council Entry'!Z$6-'Council Entry'!Z$5),10*((IF('Council Entry'!Z$4="Logarithm",LN(0.001+IF(AND(ISNUMBER('Council Entry'!Z$8),ISNUMBER('Council Entry'!Z$9)),MAX(MIN('Council Entry'!Z43,'Council Entry'!Z$9),'Council Entry'!Z$8),'Council Entry'!Z43)),IF('Council Entry'!Z$4="Exponential",EXP(IF(AND(ISNUMBER('Council Entry'!Z$8),ISNUMBER('Council Entry'!Z$9)),MAX(MIN('Council Entry'!Z43,'Council Entry'!Z$9),'Council Entry'!Z$8),'Council Entry'!Z43)),IF(AND(ISNUMBER('Council Entry'!Z$8),ISNUMBER('Council Entry'!Z$9)),MAX(MIN('Council Entry'!Z43,'Council Entry'!Z$9),'Council Entry'!Z$8),'Council Entry'!Z43))))-'Council Entry'!Z$5)/('Council Entry'!Z$6-'Council Entry'!Z$5)),1))),"No data"))</f>
        <v/>
      </c>
      <c r="AA43" s="13">
        <f>IF('Council Entry'!AA43="","",IFERROR(MAX(0,MIN(10,ROUND(IF('Council Entry'!AA$7="Decrease Risk",10-10*((IF('Council Entry'!AA$4="Logarithm",LN(0.001+IF(AND(ISNUMBER('Council Entry'!AA$8),ISNUMBER('Council Entry'!AA$9)),MAX(MIN('Council Entry'!AA43,'Council Entry'!AA$9),'Council Entry'!AA$8),'Council Entry'!AA43)),IF('Council Entry'!AA$4="Exponential",EXP(IF(AND(ISNUMBER('Council Entry'!AA$8),ISNUMBER('Council Entry'!AA$9)),MAX(MIN('Council Entry'!AA43,'Council Entry'!AA$9),'Council Entry'!AA$8),'Council Entry'!AA43)),IF(AND(ISNUMBER('Council Entry'!AA$8),ISNUMBER('Council Entry'!AA$9)),MAX(MIN('Council Entry'!AA43,'Council Entry'!AA$9),'Council Entry'!AA$8),'Council Entry'!AA43))))-'Council Entry'!AA$5)/('Council Entry'!AA$6-'Council Entry'!AA$5),10*((IF('Council Entry'!AA$4="Logarithm",LN(0.001+IF(AND(ISNUMBER('Council Entry'!AA$8),ISNUMBER('Council Entry'!AA$9)),MAX(MIN('Council Entry'!AA43,'Council Entry'!AA$9),'Council Entry'!AA$8),'Council Entry'!AA43)),IF('Council Entry'!AA$4="Exponential",EXP(IF(AND(ISNUMBER('Council Entry'!AA$8),ISNUMBER('Council Entry'!AA$9)),MAX(MIN('Council Entry'!AA43,'Council Entry'!AA$9),'Council Entry'!AA$8),'Council Entry'!AA43)),IF(AND(ISNUMBER('Council Entry'!AA$8),ISNUMBER('Council Entry'!AA$9)),MAX(MIN('Council Entry'!AA43,'Council Entry'!AA$9),'Council Entry'!AA$8),'Council Entry'!AA43))))-'Council Entry'!AA$5)/('Council Entry'!AA$6-'Council Entry'!AA$5)),1))),"No data"))</f>
        <v/>
      </c>
      <c r="AB43" s="13">
        <f>IF('Council Entry'!AB43="","",IFERROR(MAX(0,MIN(10,ROUND(IF('Council Entry'!AB$7="Decrease Risk",10-10*((IF('Council Entry'!AB$4="Logarithm",LN(0.001+IF(AND(ISNUMBER('Council Entry'!AB$8),ISNUMBER('Council Entry'!AB$9)),MAX(MIN('Council Entry'!AB43,'Council Entry'!AB$9),'Council Entry'!AB$8),'Council Entry'!AB43)),IF('Council Entry'!AB$4="Exponential",EXP(IF(AND(ISNUMBER('Council Entry'!AB$8),ISNUMBER('Council Entry'!AB$9)),MAX(MIN('Council Entry'!AB43,'Council Entry'!AB$9),'Council Entry'!AB$8),'Council Entry'!AB43)),IF(AND(ISNUMBER('Council Entry'!AB$8),ISNUMBER('Council Entry'!AB$9)),MAX(MIN('Council Entry'!AB43,'Council Entry'!AB$9),'Council Entry'!AB$8),'Council Entry'!AB43))))-'Council Entry'!AB$5)/('Council Entry'!AB$6-'Council Entry'!AB$5),10*((IF('Council Entry'!AB$4="Logarithm",LN(0.001+IF(AND(ISNUMBER('Council Entry'!AB$8),ISNUMBER('Council Entry'!AB$9)),MAX(MIN('Council Entry'!AB43,'Council Entry'!AB$9),'Council Entry'!AB$8),'Council Entry'!AB43)),IF('Council Entry'!AB$4="Exponential",EXP(IF(AND(ISNUMBER('Council Entry'!AB$8),ISNUMBER('Council Entry'!AB$9)),MAX(MIN('Council Entry'!AB43,'Council Entry'!AB$9),'Council Entry'!AB$8),'Council Entry'!AB43)),IF(AND(ISNUMBER('Council Entry'!AB$8),ISNUMBER('Council Entry'!AB$9)),MAX(MIN('Council Entry'!AB43,'Council Entry'!AB$9),'Council Entry'!AB$8),'Council Entry'!AB43))))-'Council Entry'!AB$5)/('Council Entry'!AB$6-'Council Entry'!AB$5)),1))),"No data"))</f>
        <v/>
      </c>
      <c r="AC43" s="13">
        <f>IF('Council Entry'!AC43="","",IFERROR(MAX(0,MIN(10,ROUND(IF('Council Entry'!AC$7="Decrease Risk",10-10*((IF('Council Entry'!AC$4="Logarithm",LN(0.001+IF(AND(ISNUMBER('Council Entry'!AC$8),ISNUMBER('Council Entry'!AC$9)),MAX(MIN('Council Entry'!AC43,'Council Entry'!AC$9),'Council Entry'!AC$8),'Council Entry'!AC43)),IF('Council Entry'!AC$4="Exponential",EXP(IF(AND(ISNUMBER('Council Entry'!AC$8),ISNUMBER('Council Entry'!AC$9)),MAX(MIN('Council Entry'!AC43,'Council Entry'!AC$9),'Council Entry'!AC$8),'Council Entry'!AC43)),IF(AND(ISNUMBER('Council Entry'!AC$8),ISNUMBER('Council Entry'!AC$9)),MAX(MIN('Council Entry'!AC43,'Council Entry'!AC$9),'Council Entry'!AC$8),'Council Entry'!AC43))))-'Council Entry'!AC$5)/('Council Entry'!AC$6-'Council Entry'!AC$5),10*((IF('Council Entry'!AC$4="Logarithm",LN(0.001+IF(AND(ISNUMBER('Council Entry'!AC$8),ISNUMBER('Council Entry'!AC$9)),MAX(MIN('Council Entry'!AC43,'Council Entry'!AC$9),'Council Entry'!AC$8),'Council Entry'!AC43)),IF('Council Entry'!AC$4="Exponential",EXP(IF(AND(ISNUMBER('Council Entry'!AC$8),ISNUMBER('Council Entry'!AC$9)),MAX(MIN('Council Entry'!AC43,'Council Entry'!AC$9),'Council Entry'!AC$8),'Council Entry'!AC43)),IF(AND(ISNUMBER('Council Entry'!AC$8),ISNUMBER('Council Entry'!AC$9)),MAX(MIN('Council Entry'!AC43,'Council Entry'!AC$9),'Council Entry'!AC$8),'Council Entry'!AC43))))-'Council Entry'!AC$5)/('Council Entry'!AC$6-'Council Entry'!AC$5)),1))),"No data"))</f>
        <v/>
      </c>
      <c r="AD43" s="13">
        <f>IF('Council Entry'!AD43="","",IFERROR(MAX(0,MIN(10,ROUND(IF('Council Entry'!AD$7="Decrease Risk",10-10*((IF('Council Entry'!AD$4="Logarithm",LN(0.001+IF(AND(ISNUMBER('Council Entry'!AD$8),ISNUMBER('Council Entry'!AD$9)),MAX(MIN('Council Entry'!AD43,'Council Entry'!AD$9),'Council Entry'!AD$8),'Council Entry'!AD43)),IF('Council Entry'!AD$4="Exponential",EXP(IF(AND(ISNUMBER('Council Entry'!AD$8),ISNUMBER('Council Entry'!AD$9)),MAX(MIN('Council Entry'!AD43,'Council Entry'!AD$9),'Council Entry'!AD$8),'Council Entry'!AD43)),IF(AND(ISNUMBER('Council Entry'!AD$8),ISNUMBER('Council Entry'!AD$9)),MAX(MIN('Council Entry'!AD43,'Council Entry'!AD$9),'Council Entry'!AD$8),'Council Entry'!AD43))))-'Council Entry'!AD$5)/('Council Entry'!AD$6-'Council Entry'!AD$5),10*((IF('Council Entry'!AD$4="Logarithm",LN(0.001+IF(AND(ISNUMBER('Council Entry'!AD$8),ISNUMBER('Council Entry'!AD$9)),MAX(MIN('Council Entry'!AD43,'Council Entry'!AD$9),'Council Entry'!AD$8),'Council Entry'!AD43)),IF('Council Entry'!AD$4="Exponential",EXP(IF(AND(ISNUMBER('Council Entry'!AD$8),ISNUMBER('Council Entry'!AD$9)),MAX(MIN('Council Entry'!AD43,'Council Entry'!AD$9),'Council Entry'!AD$8),'Council Entry'!AD43)),IF(AND(ISNUMBER('Council Entry'!AD$8),ISNUMBER('Council Entry'!AD$9)),MAX(MIN('Council Entry'!AD43,'Council Entry'!AD$9),'Council Entry'!AD$8),'Council Entry'!AD43))))-'Council Entry'!AD$5)/('Council Entry'!AD$6-'Council Entry'!AD$5)),1))),"No data"))</f>
        <v/>
      </c>
      <c r="AE43" s="13">
        <f>IF('Council Entry'!AE43="","",IFERROR(MAX(0,MIN(10,ROUND(IF('Council Entry'!AE$7="Decrease Risk",10-10*((IF('Council Entry'!AE$4="Logarithm",LN(0.001+IF(AND(ISNUMBER('Council Entry'!AE$8),ISNUMBER('Council Entry'!AE$9)),MAX(MIN('Council Entry'!AE43,'Council Entry'!AE$9),'Council Entry'!AE$8),'Council Entry'!AE43)),IF('Council Entry'!AE$4="Exponential",EXP(IF(AND(ISNUMBER('Council Entry'!AE$8),ISNUMBER('Council Entry'!AE$9)),MAX(MIN('Council Entry'!AE43,'Council Entry'!AE$9),'Council Entry'!AE$8),'Council Entry'!AE43)),IF(AND(ISNUMBER('Council Entry'!AE$8),ISNUMBER('Council Entry'!AE$9)),MAX(MIN('Council Entry'!AE43,'Council Entry'!AE$9),'Council Entry'!AE$8),'Council Entry'!AE43))))-'Council Entry'!AE$5)/('Council Entry'!AE$6-'Council Entry'!AE$5),10*((IF('Council Entry'!AE$4="Logarithm",LN(0.001+IF(AND(ISNUMBER('Council Entry'!AE$8),ISNUMBER('Council Entry'!AE$9)),MAX(MIN('Council Entry'!AE43,'Council Entry'!AE$9),'Council Entry'!AE$8),'Council Entry'!AE43)),IF('Council Entry'!AE$4="Exponential",EXP(IF(AND(ISNUMBER('Council Entry'!AE$8),ISNUMBER('Council Entry'!AE$9)),MAX(MIN('Council Entry'!AE43,'Council Entry'!AE$9),'Council Entry'!AE$8),'Council Entry'!AE43)),IF(AND(ISNUMBER('Council Entry'!AE$8),ISNUMBER('Council Entry'!AE$9)),MAX(MIN('Council Entry'!AE43,'Council Entry'!AE$9),'Council Entry'!AE$8),'Council Entry'!AE43))))-'Council Entry'!AE$5)/('Council Entry'!AE$6-'Council Entry'!AE$5)),1))),"No data"))</f>
        <v/>
      </c>
      <c r="AF43" s="13">
        <f>IF('Council Entry'!AF43="","",IFERROR(MAX(0,MIN(10,ROUND(IF('Council Entry'!AF$7="Decrease Risk",10-10*((IF('Council Entry'!AF$4="Logarithm",LN(0.001+IF(AND(ISNUMBER('Council Entry'!AF$8),ISNUMBER('Council Entry'!AF$9)),MAX(MIN('Council Entry'!AF43,'Council Entry'!AF$9),'Council Entry'!AF$8),'Council Entry'!AF43)),IF('Council Entry'!AF$4="Exponential",EXP(IF(AND(ISNUMBER('Council Entry'!AF$8),ISNUMBER('Council Entry'!AF$9)),MAX(MIN('Council Entry'!AF43,'Council Entry'!AF$9),'Council Entry'!AF$8),'Council Entry'!AF43)),IF(AND(ISNUMBER('Council Entry'!AF$8),ISNUMBER('Council Entry'!AF$9)),MAX(MIN('Council Entry'!AF43,'Council Entry'!AF$9),'Council Entry'!AF$8),'Council Entry'!AF43))))-'Council Entry'!AF$5)/('Council Entry'!AF$6-'Council Entry'!AF$5),10*((IF('Council Entry'!AF$4="Logarithm",LN(0.001+IF(AND(ISNUMBER('Council Entry'!AF$8),ISNUMBER('Council Entry'!AF$9)),MAX(MIN('Council Entry'!AF43,'Council Entry'!AF$9),'Council Entry'!AF$8),'Council Entry'!AF43)),IF('Council Entry'!AF$4="Exponential",EXP(IF(AND(ISNUMBER('Council Entry'!AF$8),ISNUMBER('Council Entry'!AF$9)),MAX(MIN('Council Entry'!AF43,'Council Entry'!AF$9),'Council Entry'!AF$8),'Council Entry'!AF43)),IF(AND(ISNUMBER('Council Entry'!AF$8),ISNUMBER('Council Entry'!AF$9)),MAX(MIN('Council Entry'!AF43,'Council Entry'!AF$9),'Council Entry'!AF$8),'Council Entry'!AF43))))-'Council Entry'!AF$5)/('Council Entry'!AF$6-'Council Entry'!AF$5)),1))),"No data"))</f>
        <v/>
      </c>
      <c r="AG43" s="13">
        <f>IF('Council Entry'!AG43="","",IFERROR(MAX(0,MIN(10,ROUND(IF('Council Entry'!AG$7="Decrease Risk",10-10*((IF('Council Entry'!AG$4="Logarithm",LN(0.001+IF(AND(ISNUMBER('Council Entry'!AG$8),ISNUMBER('Council Entry'!AG$9)),MAX(MIN('Council Entry'!AG43,'Council Entry'!AG$9),'Council Entry'!AG$8),'Council Entry'!AG43)),IF('Council Entry'!AG$4="Exponential",EXP(IF(AND(ISNUMBER('Council Entry'!AG$8),ISNUMBER('Council Entry'!AG$9)),MAX(MIN('Council Entry'!AG43,'Council Entry'!AG$9),'Council Entry'!AG$8),'Council Entry'!AG43)),IF(AND(ISNUMBER('Council Entry'!AG$8),ISNUMBER('Council Entry'!AG$9)),MAX(MIN('Council Entry'!AG43,'Council Entry'!AG$9),'Council Entry'!AG$8),'Council Entry'!AG43))))-'Council Entry'!AG$5)/('Council Entry'!AG$6-'Council Entry'!AG$5),10*((IF('Council Entry'!AG$4="Logarithm",LN(0.001+IF(AND(ISNUMBER('Council Entry'!AG$8),ISNUMBER('Council Entry'!AG$9)),MAX(MIN('Council Entry'!AG43,'Council Entry'!AG$9),'Council Entry'!AG$8),'Council Entry'!AG43)),IF('Council Entry'!AG$4="Exponential",EXP(IF(AND(ISNUMBER('Council Entry'!AG$8),ISNUMBER('Council Entry'!AG$9)),MAX(MIN('Council Entry'!AG43,'Council Entry'!AG$9),'Council Entry'!AG$8),'Council Entry'!AG43)),IF(AND(ISNUMBER('Council Entry'!AG$8),ISNUMBER('Council Entry'!AG$9)),MAX(MIN('Council Entry'!AG43,'Council Entry'!AG$9),'Council Entry'!AG$8),'Council Entry'!AG43))))-'Council Entry'!AG$5)/('Council Entry'!AG$6-'Council Entry'!AG$5)),1))),"No data"))</f>
        <v/>
      </c>
      <c r="AH43" s="13">
        <f>IF('Council Entry'!AH43="","",IFERROR(MAX(0,MIN(10,ROUND(IF('Council Entry'!AH$7="Decrease Risk",10-10*((IF('Council Entry'!AH$4="Logarithm",LN(0.001+IF(AND(ISNUMBER('Council Entry'!AH$8),ISNUMBER('Council Entry'!AH$9)),MAX(MIN('Council Entry'!AH43,'Council Entry'!AH$9),'Council Entry'!AH$8),'Council Entry'!AH43)),IF('Council Entry'!AH$4="Exponential",EXP(IF(AND(ISNUMBER('Council Entry'!AH$8),ISNUMBER('Council Entry'!AH$9)),MAX(MIN('Council Entry'!AH43,'Council Entry'!AH$9),'Council Entry'!AH$8),'Council Entry'!AH43)),IF(AND(ISNUMBER('Council Entry'!AH$8),ISNUMBER('Council Entry'!AH$9)),MAX(MIN('Council Entry'!AH43,'Council Entry'!AH$9),'Council Entry'!AH$8),'Council Entry'!AH43))))-'Council Entry'!AH$5)/('Council Entry'!AH$6-'Council Entry'!AH$5),10*((IF('Council Entry'!AH$4="Logarithm",LN(0.001+IF(AND(ISNUMBER('Council Entry'!AH$8),ISNUMBER('Council Entry'!AH$9)),MAX(MIN('Council Entry'!AH43,'Council Entry'!AH$9),'Council Entry'!AH$8),'Council Entry'!AH43)),IF('Council Entry'!AH$4="Exponential",EXP(IF(AND(ISNUMBER('Council Entry'!AH$8),ISNUMBER('Council Entry'!AH$9)),MAX(MIN('Council Entry'!AH43,'Council Entry'!AH$9),'Council Entry'!AH$8),'Council Entry'!AH43)),IF(AND(ISNUMBER('Council Entry'!AH$8),ISNUMBER('Council Entry'!AH$9)),MAX(MIN('Council Entry'!AH43,'Council Entry'!AH$9),'Council Entry'!AH$8),'Council Entry'!AH43))))-'Council Entry'!AH$5)/('Council Entry'!AH$6-'Council Entry'!AH$5)),1))),"No data"))</f>
        <v/>
      </c>
      <c r="AI43" s="13">
        <f>IF('Council Entry'!AI43="","",IFERROR(MAX(0,MIN(10,ROUND(IF('Council Entry'!AI$7="Decrease Risk",10-10*((IF('Council Entry'!AI$4="Logarithm",LN(0.001+IF(AND(ISNUMBER('Council Entry'!AI$8),ISNUMBER('Council Entry'!AI$9)),MAX(MIN('Council Entry'!AI43,'Council Entry'!AI$9),'Council Entry'!AI$8),'Council Entry'!AI43)),IF('Council Entry'!AI$4="Exponential",EXP(IF(AND(ISNUMBER('Council Entry'!AI$8),ISNUMBER('Council Entry'!AI$9)),MAX(MIN('Council Entry'!AI43,'Council Entry'!AI$9),'Council Entry'!AI$8),'Council Entry'!AI43)),IF(AND(ISNUMBER('Council Entry'!AI$8),ISNUMBER('Council Entry'!AI$9)),MAX(MIN('Council Entry'!AI43,'Council Entry'!AI$9),'Council Entry'!AI$8),'Council Entry'!AI43))))-'Council Entry'!AI$5)/('Council Entry'!AI$6-'Council Entry'!AI$5),10*((IF('Council Entry'!AI$4="Logarithm",LN(0.001+IF(AND(ISNUMBER('Council Entry'!AI$8),ISNUMBER('Council Entry'!AI$9)),MAX(MIN('Council Entry'!AI43,'Council Entry'!AI$9),'Council Entry'!AI$8),'Council Entry'!AI43)),IF('Council Entry'!AI$4="Exponential",EXP(IF(AND(ISNUMBER('Council Entry'!AI$8),ISNUMBER('Council Entry'!AI$9)),MAX(MIN('Council Entry'!AI43,'Council Entry'!AI$9),'Council Entry'!AI$8),'Council Entry'!AI43)),IF(AND(ISNUMBER('Council Entry'!AI$8),ISNUMBER('Council Entry'!AI$9)),MAX(MIN('Council Entry'!AI43,'Council Entry'!AI$9),'Council Entry'!AI$8),'Council Entry'!AI43))))-'Council Entry'!AI$5)/('Council Entry'!AI$6-'Council Entry'!AI$5)),1))),"No data"))</f>
        <v/>
      </c>
      <c r="AJ43" s="13">
        <f>IF('Council Entry'!AJ43="","",IFERROR(MAX(0,MIN(10,ROUND(IF('Council Entry'!AJ$7="Decrease Risk",10-10*((IF('Council Entry'!AJ$4="Logarithm",LN(0.001+IF(AND(ISNUMBER('Council Entry'!AJ$8),ISNUMBER('Council Entry'!AJ$9)),MAX(MIN('Council Entry'!AJ43,'Council Entry'!AJ$9),'Council Entry'!AJ$8),'Council Entry'!AJ43)),IF('Council Entry'!AJ$4="Exponential",EXP(IF(AND(ISNUMBER('Council Entry'!AJ$8),ISNUMBER('Council Entry'!AJ$9)),MAX(MIN('Council Entry'!AJ43,'Council Entry'!AJ$9),'Council Entry'!AJ$8),'Council Entry'!AJ43)),IF(AND(ISNUMBER('Council Entry'!AJ$8),ISNUMBER('Council Entry'!AJ$9)),MAX(MIN('Council Entry'!AJ43,'Council Entry'!AJ$9),'Council Entry'!AJ$8),'Council Entry'!AJ43))))-'Council Entry'!AJ$5)/('Council Entry'!AJ$6-'Council Entry'!AJ$5),10*((IF('Council Entry'!AJ$4="Logarithm",LN(0.001+IF(AND(ISNUMBER('Council Entry'!AJ$8),ISNUMBER('Council Entry'!AJ$9)),MAX(MIN('Council Entry'!AJ43,'Council Entry'!AJ$9),'Council Entry'!AJ$8),'Council Entry'!AJ43)),IF('Council Entry'!AJ$4="Exponential",EXP(IF(AND(ISNUMBER('Council Entry'!AJ$8),ISNUMBER('Council Entry'!AJ$9)),MAX(MIN('Council Entry'!AJ43,'Council Entry'!AJ$9),'Council Entry'!AJ$8),'Council Entry'!AJ43)),IF(AND(ISNUMBER('Council Entry'!AJ$8),ISNUMBER('Council Entry'!AJ$9)),MAX(MIN('Council Entry'!AJ43,'Council Entry'!AJ$9),'Council Entry'!AJ$8),'Council Entry'!AJ43))))-'Council Entry'!AJ$5)/('Council Entry'!AJ$6-'Council Entry'!AJ$5)),1))),"No data"))</f>
        <v/>
      </c>
      <c r="AK43" s="13">
        <f>IF('Council Entry'!AK43="","",IFERROR(MAX(0,MIN(10,ROUND(IF('Council Entry'!AK$7="Decrease Risk",10-10*((IF('Council Entry'!AK$4="Logarithm",LN(0.001+IF(AND(ISNUMBER('Council Entry'!AK$8),ISNUMBER('Council Entry'!AK$9)),MAX(MIN('Council Entry'!AK43,'Council Entry'!AK$9),'Council Entry'!AK$8),'Council Entry'!AK43)),IF('Council Entry'!AK$4="Exponential",EXP(IF(AND(ISNUMBER('Council Entry'!AK$8),ISNUMBER('Council Entry'!AK$9)),MAX(MIN('Council Entry'!AK43,'Council Entry'!AK$9),'Council Entry'!AK$8),'Council Entry'!AK43)),IF(AND(ISNUMBER('Council Entry'!AK$8),ISNUMBER('Council Entry'!AK$9)),MAX(MIN('Council Entry'!AK43,'Council Entry'!AK$9),'Council Entry'!AK$8),'Council Entry'!AK43))))-'Council Entry'!AK$5)/('Council Entry'!AK$6-'Council Entry'!AK$5),10*((IF('Council Entry'!AK$4="Logarithm",LN(0.001+IF(AND(ISNUMBER('Council Entry'!AK$8),ISNUMBER('Council Entry'!AK$9)),MAX(MIN('Council Entry'!AK43,'Council Entry'!AK$9),'Council Entry'!AK$8),'Council Entry'!AK43)),IF('Council Entry'!AK$4="Exponential",EXP(IF(AND(ISNUMBER('Council Entry'!AK$8),ISNUMBER('Council Entry'!AK$9)),MAX(MIN('Council Entry'!AK43,'Council Entry'!AK$9),'Council Entry'!AK$8),'Council Entry'!AK43)),IF(AND(ISNUMBER('Council Entry'!AK$8),ISNUMBER('Council Entry'!AK$9)),MAX(MIN('Council Entry'!AK43,'Council Entry'!AK$9),'Council Entry'!AK$8),'Council Entry'!AK43))))-'Council Entry'!AK$5)/('Council Entry'!AK$6-'Council Entry'!AK$5)),1))),"No data"))</f>
        <v/>
      </c>
      <c r="AL43" s="13">
        <f>IF('Council Entry'!AL43="","",IFERROR(MAX(0,MIN(10,ROUND(IF('Council Entry'!AL$7="Decrease Risk",10-10*((IF('Council Entry'!AL$4="Logarithm",LN(0.001+IF(AND(ISNUMBER('Council Entry'!AL$8),ISNUMBER('Council Entry'!AL$9)),MAX(MIN('Council Entry'!AL43,'Council Entry'!AL$9),'Council Entry'!AL$8),'Council Entry'!AL43)),IF('Council Entry'!AL$4="Exponential",EXP(IF(AND(ISNUMBER('Council Entry'!AL$8),ISNUMBER('Council Entry'!AL$9)),MAX(MIN('Council Entry'!AL43,'Council Entry'!AL$9),'Council Entry'!AL$8),'Council Entry'!AL43)),IF(AND(ISNUMBER('Council Entry'!AL$8),ISNUMBER('Council Entry'!AL$9)),MAX(MIN('Council Entry'!AL43,'Council Entry'!AL$9),'Council Entry'!AL$8),'Council Entry'!AL43))))-'Council Entry'!AL$5)/('Council Entry'!AL$6-'Council Entry'!AL$5),10*((IF('Council Entry'!AL$4="Logarithm",LN(0.001+IF(AND(ISNUMBER('Council Entry'!AL$8),ISNUMBER('Council Entry'!AL$9)),MAX(MIN('Council Entry'!AL43,'Council Entry'!AL$9),'Council Entry'!AL$8),'Council Entry'!AL43)),IF('Council Entry'!AL$4="Exponential",EXP(IF(AND(ISNUMBER('Council Entry'!AL$8),ISNUMBER('Council Entry'!AL$9)),MAX(MIN('Council Entry'!AL43,'Council Entry'!AL$9),'Council Entry'!AL$8),'Council Entry'!AL43)),IF(AND(ISNUMBER('Council Entry'!AL$8),ISNUMBER('Council Entry'!AL$9)),MAX(MIN('Council Entry'!AL43,'Council Entry'!AL$9),'Council Entry'!AL$8),'Council Entry'!AL43))))-'Council Entry'!AL$5)/('Council Entry'!AL$6-'Council Entry'!AL$5)),1))),"No data"))</f>
        <v/>
      </c>
      <c r="AM43" s="13">
        <f>IF('Council Entry'!AM43="","",IFERROR(MAX(0,MIN(10,ROUND(IF('Council Entry'!AM$7="Decrease Risk",10-10*((IF('Council Entry'!AM$4="Logarithm",LN(0.001+IF(AND(ISNUMBER('Council Entry'!AM$8),ISNUMBER('Council Entry'!AM$9)),MAX(MIN('Council Entry'!AM43,'Council Entry'!AM$9),'Council Entry'!AM$8),'Council Entry'!AM43)),IF('Council Entry'!AM$4="Exponential",EXP(IF(AND(ISNUMBER('Council Entry'!AM$8),ISNUMBER('Council Entry'!AM$9)),MAX(MIN('Council Entry'!AM43,'Council Entry'!AM$9),'Council Entry'!AM$8),'Council Entry'!AM43)),IF(AND(ISNUMBER('Council Entry'!AM$8),ISNUMBER('Council Entry'!AM$9)),MAX(MIN('Council Entry'!AM43,'Council Entry'!AM$9),'Council Entry'!AM$8),'Council Entry'!AM43))))-'Council Entry'!AM$5)/('Council Entry'!AM$6-'Council Entry'!AM$5),10*((IF('Council Entry'!AM$4="Logarithm",LN(0.001+IF(AND(ISNUMBER('Council Entry'!AM$8),ISNUMBER('Council Entry'!AM$9)),MAX(MIN('Council Entry'!AM43,'Council Entry'!AM$9),'Council Entry'!AM$8),'Council Entry'!AM43)),IF('Council Entry'!AM$4="Exponential",EXP(IF(AND(ISNUMBER('Council Entry'!AM$8),ISNUMBER('Council Entry'!AM$9)),MAX(MIN('Council Entry'!AM43,'Council Entry'!AM$9),'Council Entry'!AM$8),'Council Entry'!AM43)),IF(AND(ISNUMBER('Council Entry'!AM$8),ISNUMBER('Council Entry'!AM$9)),MAX(MIN('Council Entry'!AM43,'Council Entry'!AM$9),'Council Entry'!AM$8),'Council Entry'!AM43))))-'Council Entry'!AM$5)/('Council Entry'!AM$6-'Council Entry'!AM$5)),1))),"No data"))</f>
        <v/>
      </c>
      <c r="AN43" s="13">
        <f>IF('Council Entry'!AN43="","",IFERROR(MAX(0,MIN(10,ROUND(IF('Council Entry'!AN$7="Decrease Risk",10-10*((IF('Council Entry'!AN$4="Logarithm",LN(0.001+IF(AND(ISNUMBER('Council Entry'!AN$8),ISNUMBER('Council Entry'!AN$9)),MAX(MIN('Council Entry'!AN43,'Council Entry'!AN$9),'Council Entry'!AN$8),'Council Entry'!AN43)),IF('Council Entry'!AN$4="Exponential",EXP(IF(AND(ISNUMBER('Council Entry'!AN$8),ISNUMBER('Council Entry'!AN$9)),MAX(MIN('Council Entry'!AN43,'Council Entry'!AN$9),'Council Entry'!AN$8),'Council Entry'!AN43)),IF(AND(ISNUMBER('Council Entry'!AN$8),ISNUMBER('Council Entry'!AN$9)),MAX(MIN('Council Entry'!AN43,'Council Entry'!AN$9),'Council Entry'!AN$8),'Council Entry'!AN43))))-'Council Entry'!AN$5)/('Council Entry'!AN$6-'Council Entry'!AN$5),10*((IF('Council Entry'!AN$4="Logarithm",LN(0.001+IF(AND(ISNUMBER('Council Entry'!AN$8),ISNUMBER('Council Entry'!AN$9)),MAX(MIN('Council Entry'!AN43,'Council Entry'!AN$9),'Council Entry'!AN$8),'Council Entry'!AN43)),IF('Council Entry'!AN$4="Exponential",EXP(IF(AND(ISNUMBER('Council Entry'!AN$8),ISNUMBER('Council Entry'!AN$9)),MAX(MIN('Council Entry'!AN43,'Council Entry'!AN$9),'Council Entry'!AN$8),'Council Entry'!AN43)),IF(AND(ISNUMBER('Council Entry'!AN$8),ISNUMBER('Council Entry'!AN$9)),MAX(MIN('Council Entry'!AN43,'Council Entry'!AN$9),'Council Entry'!AN$8),'Council Entry'!AN43))))-'Council Entry'!AN$5)/('Council Entry'!AN$6-'Council Entry'!AN$5)),1))),"No data"))</f>
        <v/>
      </c>
      <c r="AO43" s="13">
        <f>IF('Council Entry'!AO43="","",IFERROR(MAX(0,MIN(10,ROUND(IF('Council Entry'!AO$7="Decrease Risk",10-10*((IF('Council Entry'!AO$4="Logarithm",LN(0.001+IF(AND(ISNUMBER('Council Entry'!AO$8),ISNUMBER('Council Entry'!AO$9)),MAX(MIN('Council Entry'!AO43,'Council Entry'!AO$9),'Council Entry'!AO$8),'Council Entry'!AO43)),IF('Council Entry'!AO$4="Exponential",EXP(IF(AND(ISNUMBER('Council Entry'!AO$8),ISNUMBER('Council Entry'!AO$9)),MAX(MIN('Council Entry'!AO43,'Council Entry'!AO$9),'Council Entry'!AO$8),'Council Entry'!AO43)),IF(AND(ISNUMBER('Council Entry'!AO$8),ISNUMBER('Council Entry'!AO$9)),MAX(MIN('Council Entry'!AO43,'Council Entry'!AO$9),'Council Entry'!AO$8),'Council Entry'!AO43))))-'Council Entry'!AO$5)/('Council Entry'!AO$6-'Council Entry'!AO$5),10*((IF('Council Entry'!AO$4="Logarithm",LN(0.001+IF(AND(ISNUMBER('Council Entry'!AO$8),ISNUMBER('Council Entry'!AO$9)),MAX(MIN('Council Entry'!AO43,'Council Entry'!AO$9),'Council Entry'!AO$8),'Council Entry'!AO43)),IF('Council Entry'!AO$4="Exponential",EXP(IF(AND(ISNUMBER('Council Entry'!AO$8),ISNUMBER('Council Entry'!AO$9)),MAX(MIN('Council Entry'!AO43,'Council Entry'!AO$9),'Council Entry'!AO$8),'Council Entry'!AO43)),IF(AND(ISNUMBER('Council Entry'!AO$8),ISNUMBER('Council Entry'!AO$9)),MAX(MIN('Council Entry'!AO43,'Council Entry'!AO$9),'Council Entry'!AO$8),'Council Entry'!AO43))))-'Council Entry'!AO$5)/('Council Entry'!AO$6-'Council Entry'!AO$5)),1))),"No data"))</f>
        <v/>
      </c>
      <c r="AP43" s="13">
        <f>IF('Council Entry'!AP43="","",IFERROR(MAX(0,MIN(10,ROUND(IF('Council Entry'!AP$7="Decrease Risk",10-10*((IF('Council Entry'!AP$4="Logarithm",LN(0.001+IF(AND(ISNUMBER('Council Entry'!AP$8),ISNUMBER('Council Entry'!AP$9)),MAX(MIN('Council Entry'!AP43,'Council Entry'!AP$9),'Council Entry'!AP$8),'Council Entry'!AP43)),IF('Council Entry'!AP$4="Exponential",EXP(IF(AND(ISNUMBER('Council Entry'!AP$8),ISNUMBER('Council Entry'!AP$9)),MAX(MIN('Council Entry'!AP43,'Council Entry'!AP$9),'Council Entry'!AP$8),'Council Entry'!AP43)),IF(AND(ISNUMBER('Council Entry'!AP$8),ISNUMBER('Council Entry'!AP$9)),MAX(MIN('Council Entry'!AP43,'Council Entry'!AP$9),'Council Entry'!AP$8),'Council Entry'!AP43))))-'Council Entry'!AP$5)/('Council Entry'!AP$6-'Council Entry'!AP$5),10*((IF('Council Entry'!AP$4="Logarithm",LN(0.001+IF(AND(ISNUMBER('Council Entry'!AP$8),ISNUMBER('Council Entry'!AP$9)),MAX(MIN('Council Entry'!AP43,'Council Entry'!AP$9),'Council Entry'!AP$8),'Council Entry'!AP43)),IF('Council Entry'!AP$4="Exponential",EXP(IF(AND(ISNUMBER('Council Entry'!AP$8),ISNUMBER('Council Entry'!AP$9)),MAX(MIN('Council Entry'!AP43,'Council Entry'!AP$9),'Council Entry'!AP$8),'Council Entry'!AP43)),IF(AND(ISNUMBER('Council Entry'!AP$8),ISNUMBER('Council Entry'!AP$9)),MAX(MIN('Council Entry'!AP43,'Council Entry'!AP$9),'Council Entry'!AP$8),'Council Entry'!AP43))))-'Council Entry'!AP$5)/('Council Entry'!AP$6-'Council Entry'!AP$5)),1))),"No data"))</f>
        <v/>
      </c>
      <c r="AQ43" s="13">
        <f>IF('Council Entry'!AQ43="","",IFERROR(MAX(0,MIN(10,ROUND(IF('Council Entry'!AQ$7="Decrease Risk",10-10*((IF('Council Entry'!AQ$4="Logarithm",LN(0.001+IF(AND(ISNUMBER('Council Entry'!AQ$8),ISNUMBER('Council Entry'!AQ$9)),MAX(MIN('Council Entry'!AQ43,'Council Entry'!AQ$9),'Council Entry'!AQ$8),'Council Entry'!AQ43)),IF('Council Entry'!AQ$4="Exponential",EXP(IF(AND(ISNUMBER('Council Entry'!AQ$8),ISNUMBER('Council Entry'!AQ$9)),MAX(MIN('Council Entry'!AQ43,'Council Entry'!AQ$9),'Council Entry'!AQ$8),'Council Entry'!AQ43)),IF(AND(ISNUMBER('Council Entry'!AQ$8),ISNUMBER('Council Entry'!AQ$9)),MAX(MIN('Council Entry'!AQ43,'Council Entry'!AQ$9),'Council Entry'!AQ$8),'Council Entry'!AQ43))))-'Council Entry'!AQ$5)/('Council Entry'!AQ$6-'Council Entry'!AQ$5),10*((IF('Council Entry'!AQ$4="Logarithm",LN(0.001+IF(AND(ISNUMBER('Council Entry'!AQ$8),ISNUMBER('Council Entry'!AQ$9)),MAX(MIN('Council Entry'!AQ43,'Council Entry'!AQ$9),'Council Entry'!AQ$8),'Council Entry'!AQ43)),IF('Council Entry'!AQ$4="Exponential",EXP(IF(AND(ISNUMBER('Council Entry'!AQ$8),ISNUMBER('Council Entry'!AQ$9)),MAX(MIN('Council Entry'!AQ43,'Council Entry'!AQ$9),'Council Entry'!AQ$8),'Council Entry'!AQ43)),IF(AND(ISNUMBER('Council Entry'!AQ$8),ISNUMBER('Council Entry'!AQ$9)),MAX(MIN('Council Entry'!AQ43,'Council Entry'!AQ$9),'Council Entry'!AQ$8),'Council Entry'!AQ43))))-'Council Entry'!AQ$5)/('Council Entry'!AQ$6-'Council Entry'!AQ$5)),1))),"No data"))</f>
        <v/>
      </c>
      <c r="AR43" s="13">
        <f>IF('Council Entry'!AR43="","",IFERROR(MAX(0,MIN(10,ROUND(IF('Council Entry'!AR$7="Decrease Risk",10-10*((IF('Council Entry'!AR$4="Logarithm",LN(0.001+IF(AND(ISNUMBER('Council Entry'!AR$8),ISNUMBER('Council Entry'!AR$9)),MAX(MIN('Council Entry'!AR43,'Council Entry'!AR$9),'Council Entry'!AR$8),'Council Entry'!AR43)),IF('Council Entry'!AR$4="Exponential",EXP(IF(AND(ISNUMBER('Council Entry'!AR$8),ISNUMBER('Council Entry'!AR$9)),MAX(MIN('Council Entry'!AR43,'Council Entry'!AR$9),'Council Entry'!AR$8),'Council Entry'!AR43)),IF(AND(ISNUMBER('Council Entry'!AR$8),ISNUMBER('Council Entry'!AR$9)),MAX(MIN('Council Entry'!AR43,'Council Entry'!AR$9),'Council Entry'!AR$8),'Council Entry'!AR43))))-'Council Entry'!AR$5)/('Council Entry'!AR$6-'Council Entry'!AR$5),10*((IF('Council Entry'!AR$4="Logarithm",LN(0.001+IF(AND(ISNUMBER('Council Entry'!AR$8),ISNUMBER('Council Entry'!AR$9)),MAX(MIN('Council Entry'!AR43,'Council Entry'!AR$9),'Council Entry'!AR$8),'Council Entry'!AR43)),IF('Council Entry'!AR$4="Exponential",EXP(IF(AND(ISNUMBER('Council Entry'!AR$8),ISNUMBER('Council Entry'!AR$9)),MAX(MIN('Council Entry'!AR43,'Council Entry'!AR$9),'Council Entry'!AR$8),'Council Entry'!AR43)),IF(AND(ISNUMBER('Council Entry'!AR$8),ISNUMBER('Council Entry'!AR$9)),MAX(MIN('Council Entry'!AR43,'Council Entry'!AR$9),'Council Entry'!AR$8),'Council Entry'!AR43))))-'Council Entry'!AR$5)/('Council Entry'!AR$6-'Council Entry'!AR$5)),1))),"No data"))</f>
        <v/>
      </c>
      <c r="AS43" s="13">
        <f>IF('Council Entry'!AS43="","",IFERROR(MAX(0,MIN(10,ROUND(IF('Council Entry'!AS$7="Decrease Risk",10-10*((IF('Council Entry'!AS$4="Logarithm",LN(0.001+IF(AND(ISNUMBER('Council Entry'!AS$8),ISNUMBER('Council Entry'!AS$9)),MAX(MIN('Council Entry'!AS43,'Council Entry'!AS$9),'Council Entry'!AS$8),'Council Entry'!AS43)),IF('Council Entry'!AS$4="Exponential",EXP(IF(AND(ISNUMBER('Council Entry'!AS$8),ISNUMBER('Council Entry'!AS$9)),MAX(MIN('Council Entry'!AS43,'Council Entry'!AS$9),'Council Entry'!AS$8),'Council Entry'!AS43)),IF(AND(ISNUMBER('Council Entry'!AS$8),ISNUMBER('Council Entry'!AS$9)),MAX(MIN('Council Entry'!AS43,'Council Entry'!AS$9),'Council Entry'!AS$8),'Council Entry'!AS43))))-'Council Entry'!AS$5)/('Council Entry'!AS$6-'Council Entry'!AS$5),10*((IF('Council Entry'!AS$4="Logarithm",LN(0.001+IF(AND(ISNUMBER('Council Entry'!AS$8),ISNUMBER('Council Entry'!AS$9)),MAX(MIN('Council Entry'!AS43,'Council Entry'!AS$9),'Council Entry'!AS$8),'Council Entry'!AS43)),IF('Council Entry'!AS$4="Exponential",EXP(IF(AND(ISNUMBER('Council Entry'!AS$8),ISNUMBER('Council Entry'!AS$9)),MAX(MIN('Council Entry'!AS43,'Council Entry'!AS$9),'Council Entry'!AS$8),'Council Entry'!AS43)),IF(AND(ISNUMBER('Council Entry'!AS$8),ISNUMBER('Council Entry'!AS$9)),MAX(MIN('Council Entry'!AS43,'Council Entry'!AS$9),'Council Entry'!AS$8),'Council Entry'!AS43))))-'Council Entry'!AS$5)/('Council Entry'!AS$6-'Council Entry'!AS$5)),1))),"No data"))</f>
        <v/>
      </c>
      <c r="AT43" s="13">
        <f>IF('Council Entry'!AT43="","",IFERROR(MAX(0,MIN(10,ROUND(IF('Council Entry'!AT$7="Decrease Risk",10-10*((IF('Council Entry'!AT$4="Logarithm",LN(0.001+IF(AND(ISNUMBER('Council Entry'!AT$8),ISNUMBER('Council Entry'!AT$9)),MAX(MIN('Council Entry'!AT43,'Council Entry'!AT$9),'Council Entry'!AT$8),'Council Entry'!AT43)),IF('Council Entry'!AT$4="Exponential",EXP(IF(AND(ISNUMBER('Council Entry'!AT$8),ISNUMBER('Council Entry'!AT$9)),MAX(MIN('Council Entry'!AT43,'Council Entry'!AT$9),'Council Entry'!AT$8),'Council Entry'!AT43)),IF(AND(ISNUMBER('Council Entry'!AT$8),ISNUMBER('Council Entry'!AT$9)),MAX(MIN('Council Entry'!AT43,'Council Entry'!AT$9),'Council Entry'!AT$8),'Council Entry'!AT43))))-'Council Entry'!AT$5)/('Council Entry'!AT$6-'Council Entry'!AT$5),10*((IF('Council Entry'!AT$4="Logarithm",LN(0.001+IF(AND(ISNUMBER('Council Entry'!AT$8),ISNUMBER('Council Entry'!AT$9)),MAX(MIN('Council Entry'!AT43,'Council Entry'!AT$9),'Council Entry'!AT$8),'Council Entry'!AT43)),IF('Council Entry'!AT$4="Exponential",EXP(IF(AND(ISNUMBER('Council Entry'!AT$8),ISNUMBER('Council Entry'!AT$9)),MAX(MIN('Council Entry'!AT43,'Council Entry'!AT$9),'Council Entry'!AT$8),'Council Entry'!AT43)),IF(AND(ISNUMBER('Council Entry'!AT$8),ISNUMBER('Council Entry'!AT$9)),MAX(MIN('Council Entry'!AT43,'Council Entry'!AT$9),'Council Entry'!AT$8),'Council Entry'!AT43))))-'Council Entry'!AT$5)/('Council Entry'!AT$6-'Council Entry'!AT$5)),1))),"No data"))</f>
        <v/>
      </c>
      <c r="AU43" s="13">
        <f>IF('Council Entry'!AU43="","",IFERROR(MAX(0,MIN(10,ROUND(IF('Council Entry'!AU$7="Decrease Risk",10-10*((IF('Council Entry'!AU$4="Logarithm",LN(0.001+IF(AND(ISNUMBER('Council Entry'!AU$8),ISNUMBER('Council Entry'!AU$9)),MAX(MIN('Council Entry'!AU43,'Council Entry'!AU$9),'Council Entry'!AU$8),'Council Entry'!AU43)),IF('Council Entry'!AU$4="Exponential",EXP(IF(AND(ISNUMBER('Council Entry'!AU$8),ISNUMBER('Council Entry'!AU$9)),MAX(MIN('Council Entry'!AU43,'Council Entry'!AU$9),'Council Entry'!AU$8),'Council Entry'!AU43)),IF(AND(ISNUMBER('Council Entry'!AU$8),ISNUMBER('Council Entry'!AU$9)),MAX(MIN('Council Entry'!AU43,'Council Entry'!AU$9),'Council Entry'!AU$8),'Council Entry'!AU43))))-'Council Entry'!AU$5)/('Council Entry'!AU$6-'Council Entry'!AU$5),10*((IF('Council Entry'!AU$4="Logarithm",LN(0.001+IF(AND(ISNUMBER('Council Entry'!AU$8),ISNUMBER('Council Entry'!AU$9)),MAX(MIN('Council Entry'!AU43,'Council Entry'!AU$9),'Council Entry'!AU$8),'Council Entry'!AU43)),IF('Council Entry'!AU$4="Exponential",EXP(IF(AND(ISNUMBER('Council Entry'!AU$8),ISNUMBER('Council Entry'!AU$9)),MAX(MIN('Council Entry'!AU43,'Council Entry'!AU$9),'Council Entry'!AU$8),'Council Entry'!AU43)),IF(AND(ISNUMBER('Council Entry'!AU$8),ISNUMBER('Council Entry'!AU$9)),MAX(MIN('Council Entry'!AU43,'Council Entry'!AU$9),'Council Entry'!AU$8),'Council Entry'!AU43))))-'Council Entry'!AU$5)/('Council Entry'!AU$6-'Council Entry'!AU$5)),1))),"No data"))</f>
        <v/>
      </c>
      <c r="AV43" s="13">
        <f>IF('Council Entry'!AV43="","",IFERROR(MAX(0,MIN(10,ROUND(IF('Council Entry'!AV$7="Decrease Risk",10-10*((IF('Council Entry'!AV$4="Logarithm",LN(0.001+IF(AND(ISNUMBER('Council Entry'!AV$8),ISNUMBER('Council Entry'!AV$9)),MAX(MIN('Council Entry'!AV43,'Council Entry'!AV$9),'Council Entry'!AV$8),'Council Entry'!AV43)),IF('Council Entry'!AV$4="Exponential",EXP(IF(AND(ISNUMBER('Council Entry'!AV$8),ISNUMBER('Council Entry'!AV$9)),MAX(MIN('Council Entry'!AV43,'Council Entry'!AV$9),'Council Entry'!AV$8),'Council Entry'!AV43)),IF(AND(ISNUMBER('Council Entry'!AV$8),ISNUMBER('Council Entry'!AV$9)),MAX(MIN('Council Entry'!AV43,'Council Entry'!AV$9),'Council Entry'!AV$8),'Council Entry'!AV43))))-'Council Entry'!AV$5)/('Council Entry'!AV$6-'Council Entry'!AV$5),10*((IF('Council Entry'!AV$4="Logarithm",LN(0.001+IF(AND(ISNUMBER('Council Entry'!AV$8),ISNUMBER('Council Entry'!AV$9)),MAX(MIN('Council Entry'!AV43,'Council Entry'!AV$9),'Council Entry'!AV$8),'Council Entry'!AV43)),IF('Council Entry'!AV$4="Exponential",EXP(IF(AND(ISNUMBER('Council Entry'!AV$8),ISNUMBER('Council Entry'!AV$9)),MAX(MIN('Council Entry'!AV43,'Council Entry'!AV$9),'Council Entry'!AV$8),'Council Entry'!AV43)),IF(AND(ISNUMBER('Council Entry'!AV$8),ISNUMBER('Council Entry'!AV$9)),MAX(MIN('Council Entry'!AV43,'Council Entry'!AV$9),'Council Entry'!AV$8),'Council Entry'!AV43))))-'Council Entry'!AV$5)/('Council Entry'!AV$6-'Council Entry'!AV$5)),1))),"No data"))</f>
        <v/>
      </c>
      <c r="AW43" s="13">
        <f>IF('Council Entry'!AW43="","",IFERROR(MAX(0,MIN(10,ROUND(IF('Council Entry'!AW$7="Decrease Risk",10-10*((IF('Council Entry'!AW$4="Logarithm",LN(0.001+IF(AND(ISNUMBER('Council Entry'!AW$8),ISNUMBER('Council Entry'!AW$9)),MAX(MIN('Council Entry'!AW43,'Council Entry'!AW$9),'Council Entry'!AW$8),'Council Entry'!AW43)),IF('Council Entry'!AW$4="Exponential",EXP(IF(AND(ISNUMBER('Council Entry'!AW$8),ISNUMBER('Council Entry'!AW$9)),MAX(MIN('Council Entry'!AW43,'Council Entry'!AW$9),'Council Entry'!AW$8),'Council Entry'!AW43)),IF(AND(ISNUMBER('Council Entry'!AW$8),ISNUMBER('Council Entry'!AW$9)),MAX(MIN('Council Entry'!AW43,'Council Entry'!AW$9),'Council Entry'!AW$8),'Council Entry'!AW43))))-'Council Entry'!AW$5)/('Council Entry'!AW$6-'Council Entry'!AW$5),10*((IF('Council Entry'!AW$4="Logarithm",LN(0.001+IF(AND(ISNUMBER('Council Entry'!AW$8),ISNUMBER('Council Entry'!AW$9)),MAX(MIN('Council Entry'!AW43,'Council Entry'!AW$9),'Council Entry'!AW$8),'Council Entry'!AW43)),IF('Council Entry'!AW$4="Exponential",EXP(IF(AND(ISNUMBER('Council Entry'!AW$8),ISNUMBER('Council Entry'!AW$9)),MAX(MIN('Council Entry'!AW43,'Council Entry'!AW$9),'Council Entry'!AW$8),'Council Entry'!AW43)),IF(AND(ISNUMBER('Council Entry'!AW$8),ISNUMBER('Council Entry'!AW$9)),MAX(MIN('Council Entry'!AW43,'Council Entry'!AW$9),'Council Entry'!AW$8),'Council Entry'!AW43))))-'Council Entry'!AW$5)/('Council Entry'!AW$6-'Council Entry'!AW$5)),1))),"No data"))</f>
        <v/>
      </c>
      <c r="AX43" s="13">
        <f>IF('Council Entry'!AX43="","",IFERROR(MAX(0,MIN(10,ROUND(IF('Council Entry'!AX$7="Decrease Risk",10-10*((IF('Council Entry'!AX$4="Logarithm",LN(0.001+IF(AND(ISNUMBER('Council Entry'!AX$8),ISNUMBER('Council Entry'!AX$9)),MAX(MIN('Council Entry'!AX43,'Council Entry'!AX$9),'Council Entry'!AX$8),'Council Entry'!AX43)),IF('Council Entry'!AX$4="Exponential",EXP(IF(AND(ISNUMBER('Council Entry'!AX$8),ISNUMBER('Council Entry'!AX$9)),MAX(MIN('Council Entry'!AX43,'Council Entry'!AX$9),'Council Entry'!AX$8),'Council Entry'!AX43)),IF(AND(ISNUMBER('Council Entry'!AX$8),ISNUMBER('Council Entry'!AX$9)),MAX(MIN('Council Entry'!AX43,'Council Entry'!AX$9),'Council Entry'!AX$8),'Council Entry'!AX43))))-'Council Entry'!AX$5)/('Council Entry'!AX$6-'Council Entry'!AX$5),10*((IF('Council Entry'!AX$4="Logarithm",LN(0.001+IF(AND(ISNUMBER('Council Entry'!AX$8),ISNUMBER('Council Entry'!AX$9)),MAX(MIN('Council Entry'!AX43,'Council Entry'!AX$9),'Council Entry'!AX$8),'Council Entry'!AX43)),IF('Council Entry'!AX$4="Exponential",EXP(IF(AND(ISNUMBER('Council Entry'!AX$8),ISNUMBER('Council Entry'!AX$9)),MAX(MIN('Council Entry'!AX43,'Council Entry'!AX$9),'Council Entry'!AX$8),'Council Entry'!AX43)),IF(AND(ISNUMBER('Council Entry'!AX$8),ISNUMBER('Council Entry'!AX$9)),MAX(MIN('Council Entry'!AX43,'Council Entry'!AX$9),'Council Entry'!AX$8),'Council Entry'!AX43))))-'Council Entry'!AX$5)/('Council Entry'!AX$6-'Council Entry'!AX$5)),1))),"No data"))</f>
        <v/>
      </c>
      <c r="AY43" s="13">
        <f>IF('Council Entry'!AY43="","",IFERROR(MAX(0,MIN(10,ROUND(IF('Council Entry'!AY$7="Decrease Risk",10-10*((IF('Council Entry'!AY$4="Logarithm",LN(0.001+IF(AND(ISNUMBER('Council Entry'!AY$8),ISNUMBER('Council Entry'!AY$9)),MAX(MIN('Council Entry'!AY43,'Council Entry'!AY$9),'Council Entry'!AY$8),'Council Entry'!AY43)),IF('Council Entry'!AY$4="Exponential",EXP(IF(AND(ISNUMBER('Council Entry'!AY$8),ISNUMBER('Council Entry'!AY$9)),MAX(MIN('Council Entry'!AY43,'Council Entry'!AY$9),'Council Entry'!AY$8),'Council Entry'!AY43)),IF(AND(ISNUMBER('Council Entry'!AY$8),ISNUMBER('Council Entry'!AY$9)),MAX(MIN('Council Entry'!AY43,'Council Entry'!AY$9),'Council Entry'!AY$8),'Council Entry'!AY43))))-'Council Entry'!AY$5)/('Council Entry'!AY$6-'Council Entry'!AY$5),10*((IF('Council Entry'!AY$4="Logarithm",LN(0.001+IF(AND(ISNUMBER('Council Entry'!AY$8),ISNUMBER('Council Entry'!AY$9)),MAX(MIN('Council Entry'!AY43,'Council Entry'!AY$9),'Council Entry'!AY$8),'Council Entry'!AY43)),IF('Council Entry'!AY$4="Exponential",EXP(IF(AND(ISNUMBER('Council Entry'!AY$8),ISNUMBER('Council Entry'!AY$9)),MAX(MIN('Council Entry'!AY43,'Council Entry'!AY$9),'Council Entry'!AY$8),'Council Entry'!AY43)),IF(AND(ISNUMBER('Council Entry'!AY$8),ISNUMBER('Council Entry'!AY$9)),MAX(MIN('Council Entry'!AY43,'Council Entry'!AY$9),'Council Entry'!AY$8),'Council Entry'!AY43))))-'Council Entry'!AY$5)/('Council Entry'!AY$6-'Council Entry'!AY$5)),1))),"No data"))</f>
        <v/>
      </c>
      <c r="AZ43" s="13">
        <f>IF('Council Entry'!AZ43="","",IFERROR(MAX(0,MIN(10,ROUND(IF('Council Entry'!AZ$7="Decrease Risk",10-10*((IF('Council Entry'!AZ$4="Logarithm",LN(0.001+IF(AND(ISNUMBER('Council Entry'!AZ$8),ISNUMBER('Council Entry'!AZ$9)),MAX(MIN('Council Entry'!AZ43,'Council Entry'!AZ$9),'Council Entry'!AZ$8),'Council Entry'!AZ43)),IF('Council Entry'!AZ$4="Exponential",EXP(IF(AND(ISNUMBER('Council Entry'!AZ$8),ISNUMBER('Council Entry'!AZ$9)),MAX(MIN('Council Entry'!AZ43,'Council Entry'!AZ$9),'Council Entry'!AZ$8),'Council Entry'!AZ43)),IF(AND(ISNUMBER('Council Entry'!AZ$8),ISNUMBER('Council Entry'!AZ$9)),MAX(MIN('Council Entry'!AZ43,'Council Entry'!AZ$9),'Council Entry'!AZ$8),'Council Entry'!AZ43))))-'Council Entry'!AZ$5)/('Council Entry'!AZ$6-'Council Entry'!AZ$5),10*((IF('Council Entry'!AZ$4="Logarithm",LN(0.001+IF(AND(ISNUMBER('Council Entry'!AZ$8),ISNUMBER('Council Entry'!AZ$9)),MAX(MIN('Council Entry'!AZ43,'Council Entry'!AZ$9),'Council Entry'!AZ$8),'Council Entry'!AZ43)),IF('Council Entry'!AZ$4="Exponential",EXP(IF(AND(ISNUMBER('Council Entry'!AZ$8),ISNUMBER('Council Entry'!AZ$9)),MAX(MIN('Council Entry'!AZ43,'Council Entry'!AZ$9),'Council Entry'!AZ$8),'Council Entry'!AZ43)),IF(AND(ISNUMBER('Council Entry'!AZ$8),ISNUMBER('Council Entry'!AZ$9)),MAX(MIN('Council Entry'!AZ43,'Council Entry'!AZ$9),'Council Entry'!AZ$8),'Council Entry'!AZ43))))-'Council Entry'!AZ$5)/('Council Entry'!AZ$6-'Council Entry'!AZ$5)),1))),"No data"))</f>
        <v/>
      </c>
      <c r="BA43" s="13">
        <f>IF('Council Entry'!BA43="","",IFERROR(MAX(0,MIN(10,ROUND(IF('Council Entry'!BA$7="Decrease Risk",10-10*((IF('Council Entry'!BA$4="Logarithm",LN(0.001+IF(AND(ISNUMBER('Council Entry'!BA$8),ISNUMBER('Council Entry'!BA$9)),MAX(MIN('Council Entry'!BA43,'Council Entry'!BA$9),'Council Entry'!BA$8),'Council Entry'!BA43)),IF('Council Entry'!BA$4="Exponential",EXP(IF(AND(ISNUMBER('Council Entry'!BA$8),ISNUMBER('Council Entry'!BA$9)),MAX(MIN('Council Entry'!BA43,'Council Entry'!BA$9),'Council Entry'!BA$8),'Council Entry'!BA43)),IF(AND(ISNUMBER('Council Entry'!BA$8),ISNUMBER('Council Entry'!BA$9)),MAX(MIN('Council Entry'!BA43,'Council Entry'!BA$9),'Council Entry'!BA$8),'Council Entry'!BA43))))-'Council Entry'!BA$5)/('Council Entry'!BA$6-'Council Entry'!BA$5),10*((IF('Council Entry'!BA$4="Logarithm",LN(0.001+IF(AND(ISNUMBER('Council Entry'!BA$8),ISNUMBER('Council Entry'!BA$9)),MAX(MIN('Council Entry'!BA43,'Council Entry'!BA$9),'Council Entry'!BA$8),'Council Entry'!BA43)),IF('Council Entry'!BA$4="Exponential",EXP(IF(AND(ISNUMBER('Council Entry'!BA$8),ISNUMBER('Council Entry'!BA$9)),MAX(MIN('Council Entry'!BA43,'Council Entry'!BA$9),'Council Entry'!BA$8),'Council Entry'!BA43)),IF(AND(ISNUMBER('Council Entry'!BA$8),ISNUMBER('Council Entry'!BA$9)),MAX(MIN('Council Entry'!BA43,'Council Entry'!BA$9),'Council Entry'!BA$8),'Council Entry'!BA43))))-'Council Entry'!BA$5)/('Council Entry'!BA$6-'Council Entry'!BA$5)),1))),"No data"))</f>
        <v/>
      </c>
      <c r="BB43" s="13">
        <f>IF('Council Entry'!BB43="","",IFERROR(MAX(0,MIN(10,ROUND(IF('Council Entry'!BB$7="Decrease Risk",10-10*((IF('Council Entry'!BB$4="Logarithm",LN(0.001+IF(AND(ISNUMBER('Council Entry'!BB$8),ISNUMBER('Council Entry'!BB$9)),MAX(MIN('Council Entry'!BB43,'Council Entry'!BB$9),'Council Entry'!BB$8),'Council Entry'!BB43)),IF('Council Entry'!BB$4="Exponential",EXP(IF(AND(ISNUMBER('Council Entry'!BB$8),ISNUMBER('Council Entry'!BB$9)),MAX(MIN('Council Entry'!BB43,'Council Entry'!BB$9),'Council Entry'!BB$8),'Council Entry'!BB43)),IF(AND(ISNUMBER('Council Entry'!BB$8),ISNUMBER('Council Entry'!BB$9)),MAX(MIN('Council Entry'!BB43,'Council Entry'!BB$9),'Council Entry'!BB$8),'Council Entry'!BB43))))-'Council Entry'!BB$5)/('Council Entry'!BB$6-'Council Entry'!BB$5),10*((IF('Council Entry'!BB$4="Logarithm",LN(0.001+IF(AND(ISNUMBER('Council Entry'!BB$8),ISNUMBER('Council Entry'!BB$9)),MAX(MIN('Council Entry'!BB43,'Council Entry'!BB$9),'Council Entry'!BB$8),'Council Entry'!BB43)),IF('Council Entry'!BB$4="Exponential",EXP(IF(AND(ISNUMBER('Council Entry'!BB$8),ISNUMBER('Council Entry'!BB$9)),MAX(MIN('Council Entry'!BB43,'Council Entry'!BB$9),'Council Entry'!BB$8),'Council Entry'!BB43)),IF(AND(ISNUMBER('Council Entry'!BB$8),ISNUMBER('Council Entry'!BB$9)),MAX(MIN('Council Entry'!BB43,'Council Entry'!BB$9),'Council Entry'!BB$8),'Council Entry'!BB43))))-'Council Entry'!BB$5)/('Council Entry'!BB$6-'Council Entry'!BB$5)),1))),"No data"))</f>
        <v/>
      </c>
      <c r="BC43" s="13">
        <f>IF('Council Entry'!BC43="","",IFERROR(MAX(0,MIN(10,ROUND(IF('Council Entry'!BC$7="Decrease Risk",10-10*((IF('Council Entry'!BC$4="Logarithm",LN(0.001+IF(AND(ISNUMBER('Council Entry'!BC$8),ISNUMBER('Council Entry'!BC$9)),MAX(MIN('Council Entry'!BC43,'Council Entry'!BC$9),'Council Entry'!BC$8),'Council Entry'!BC43)),IF('Council Entry'!BC$4="Exponential",EXP(IF(AND(ISNUMBER('Council Entry'!BC$8),ISNUMBER('Council Entry'!BC$9)),MAX(MIN('Council Entry'!BC43,'Council Entry'!BC$9),'Council Entry'!BC$8),'Council Entry'!BC43)),IF(AND(ISNUMBER('Council Entry'!BC$8),ISNUMBER('Council Entry'!BC$9)),MAX(MIN('Council Entry'!BC43,'Council Entry'!BC$9),'Council Entry'!BC$8),'Council Entry'!BC43))))-'Council Entry'!BC$5)/('Council Entry'!BC$6-'Council Entry'!BC$5),10*((IF('Council Entry'!BC$4="Logarithm",LN(0.001+IF(AND(ISNUMBER('Council Entry'!BC$8),ISNUMBER('Council Entry'!BC$9)),MAX(MIN('Council Entry'!BC43,'Council Entry'!BC$9),'Council Entry'!BC$8),'Council Entry'!BC43)),IF('Council Entry'!BC$4="Exponential",EXP(IF(AND(ISNUMBER('Council Entry'!BC$8),ISNUMBER('Council Entry'!BC$9)),MAX(MIN('Council Entry'!BC43,'Council Entry'!BC$9),'Council Entry'!BC$8),'Council Entry'!BC43)),IF(AND(ISNUMBER('Council Entry'!BC$8),ISNUMBER('Council Entry'!BC$9)),MAX(MIN('Council Entry'!BC43,'Council Entry'!BC$9),'Council Entry'!BC$8),'Council Entry'!BC43))))-'Council Entry'!BC$5)/('Council Entry'!BC$6-'Council Entry'!BC$5)),1))),"No data"))</f>
        <v/>
      </c>
      <c r="BD43" s="13">
        <f>IF('Council Entry'!BD43="","",IFERROR(MAX(0,MIN(10,ROUND(IF('Council Entry'!BD$7="Decrease Risk",10-10*((IF('Council Entry'!BD$4="Logarithm",LN(0.001+IF(AND(ISNUMBER('Council Entry'!BD$8),ISNUMBER('Council Entry'!BD$9)),MAX(MIN('Council Entry'!BD43,'Council Entry'!BD$9),'Council Entry'!BD$8),'Council Entry'!BD43)),IF('Council Entry'!BD$4="Exponential",EXP(IF(AND(ISNUMBER('Council Entry'!BD$8),ISNUMBER('Council Entry'!BD$9)),MAX(MIN('Council Entry'!BD43,'Council Entry'!BD$9),'Council Entry'!BD$8),'Council Entry'!BD43)),IF(AND(ISNUMBER('Council Entry'!BD$8),ISNUMBER('Council Entry'!BD$9)),MAX(MIN('Council Entry'!BD43,'Council Entry'!BD$9),'Council Entry'!BD$8),'Council Entry'!BD43))))-'Council Entry'!BD$5)/('Council Entry'!BD$6-'Council Entry'!BD$5),10*((IF('Council Entry'!BD$4="Logarithm",LN(0.001+IF(AND(ISNUMBER('Council Entry'!BD$8),ISNUMBER('Council Entry'!BD$9)),MAX(MIN('Council Entry'!BD43,'Council Entry'!BD$9),'Council Entry'!BD$8),'Council Entry'!BD43)),IF('Council Entry'!BD$4="Exponential",EXP(IF(AND(ISNUMBER('Council Entry'!BD$8),ISNUMBER('Council Entry'!BD$9)),MAX(MIN('Council Entry'!BD43,'Council Entry'!BD$9),'Council Entry'!BD$8),'Council Entry'!BD43)),IF(AND(ISNUMBER('Council Entry'!BD$8),ISNUMBER('Council Entry'!BD$9)),MAX(MIN('Council Entry'!BD43,'Council Entry'!BD$9),'Council Entry'!BD$8),'Council Entry'!BD43))))-'Council Entry'!BD$5)/('Council Entry'!BD$6-'Council Entry'!BD$5)),1))),"No data"))</f>
        <v/>
      </c>
    </row>
    <row r="44">
      <c r="A44" t="inlineStr">
        <is>
          <t>Kagera</t>
        </is>
      </c>
      <c r="B44" t="inlineStr">
        <is>
          <t>Bukoba Municipal</t>
        </is>
      </c>
      <c r="C44" t="inlineStr">
        <is>
          <t>C127</t>
        </is>
      </c>
      <c r="D44" s="13">
        <f>IF('Council Entry'!D44="","",IFERROR(MAX(0,MIN(10,ROUND(IF('Council Entry'!D$7="Decrease Risk",10-10*((IF('Council Entry'!D$4="Logarithm",LN(0.001+IF(AND(ISNUMBER('Council Entry'!D$8),ISNUMBER('Council Entry'!D$9)),MAX(MIN('Council Entry'!D44,'Council Entry'!D$9),'Council Entry'!D$8),'Council Entry'!D44)),IF('Council Entry'!D$4="Exponential",EXP(IF(AND(ISNUMBER('Council Entry'!D$8),ISNUMBER('Council Entry'!D$9)),MAX(MIN('Council Entry'!D44,'Council Entry'!D$9),'Council Entry'!D$8),'Council Entry'!D44)),IF(AND(ISNUMBER('Council Entry'!D$8),ISNUMBER('Council Entry'!D$9)),MAX(MIN('Council Entry'!D44,'Council Entry'!D$9),'Council Entry'!D$8),'Council Entry'!D44))))-'Council Entry'!D$5)/('Council Entry'!D$6-'Council Entry'!D$5),10*((IF('Council Entry'!D$4="Logarithm",LN(0.001+IF(AND(ISNUMBER('Council Entry'!D$8),ISNUMBER('Council Entry'!D$9)),MAX(MIN('Council Entry'!D44,'Council Entry'!D$9),'Council Entry'!D$8),'Council Entry'!D44)),IF('Council Entry'!D$4="Exponential",EXP(IF(AND(ISNUMBER('Council Entry'!D$8),ISNUMBER('Council Entry'!D$9)),MAX(MIN('Council Entry'!D44,'Council Entry'!D$9),'Council Entry'!D$8),'Council Entry'!D44)),IF(AND(ISNUMBER('Council Entry'!D$8),ISNUMBER('Council Entry'!D$9)),MAX(MIN('Council Entry'!D44,'Council Entry'!D$9),'Council Entry'!D$8),'Council Entry'!D44))))-'Council Entry'!D$5)/('Council Entry'!D$6-'Council Entry'!D$5)),1))),"No data"))</f>
        <v/>
      </c>
      <c r="E44" s="13">
        <f>IF('Council Entry'!E44="","",IFERROR(MAX(0,MIN(10,ROUND(IF('Council Entry'!E$7="Decrease Risk",10-10*((IF('Council Entry'!E$4="Logarithm",LN(0.001+IF(AND(ISNUMBER('Council Entry'!E$8),ISNUMBER('Council Entry'!E$9)),MAX(MIN('Council Entry'!E44,'Council Entry'!E$9),'Council Entry'!E$8),'Council Entry'!E44)),IF('Council Entry'!E$4="Exponential",EXP(IF(AND(ISNUMBER('Council Entry'!E$8),ISNUMBER('Council Entry'!E$9)),MAX(MIN('Council Entry'!E44,'Council Entry'!E$9),'Council Entry'!E$8),'Council Entry'!E44)),IF(AND(ISNUMBER('Council Entry'!E$8),ISNUMBER('Council Entry'!E$9)),MAX(MIN('Council Entry'!E44,'Council Entry'!E$9),'Council Entry'!E$8),'Council Entry'!E44))))-'Council Entry'!E$5)/('Council Entry'!E$6-'Council Entry'!E$5),10*((IF('Council Entry'!E$4="Logarithm",LN(0.001+IF(AND(ISNUMBER('Council Entry'!E$8),ISNUMBER('Council Entry'!E$9)),MAX(MIN('Council Entry'!E44,'Council Entry'!E$9),'Council Entry'!E$8),'Council Entry'!E44)),IF('Council Entry'!E$4="Exponential",EXP(IF(AND(ISNUMBER('Council Entry'!E$8),ISNUMBER('Council Entry'!E$9)),MAX(MIN('Council Entry'!E44,'Council Entry'!E$9),'Council Entry'!E$8),'Council Entry'!E44)),IF(AND(ISNUMBER('Council Entry'!E$8),ISNUMBER('Council Entry'!E$9)),MAX(MIN('Council Entry'!E44,'Council Entry'!E$9),'Council Entry'!E$8),'Council Entry'!E44))))-'Council Entry'!E$5)/('Council Entry'!E$6-'Council Entry'!E$5)),1))),"No data"))</f>
        <v/>
      </c>
      <c r="F44" s="13">
        <f>IF('Council Entry'!F44="","",IFERROR(MAX(0,MIN(10,ROUND(IF('Council Entry'!F$7="Decrease Risk",10-10*((IF('Council Entry'!F$4="Logarithm",LN(0.001+IF(AND(ISNUMBER('Council Entry'!F$8),ISNUMBER('Council Entry'!F$9)),MAX(MIN('Council Entry'!F44,'Council Entry'!F$9),'Council Entry'!F$8),'Council Entry'!F44)),IF('Council Entry'!F$4="Exponential",EXP(IF(AND(ISNUMBER('Council Entry'!F$8),ISNUMBER('Council Entry'!F$9)),MAX(MIN('Council Entry'!F44,'Council Entry'!F$9),'Council Entry'!F$8),'Council Entry'!F44)),IF(AND(ISNUMBER('Council Entry'!F$8),ISNUMBER('Council Entry'!F$9)),MAX(MIN('Council Entry'!F44,'Council Entry'!F$9),'Council Entry'!F$8),'Council Entry'!F44))))-'Council Entry'!F$5)/('Council Entry'!F$6-'Council Entry'!F$5),10*((IF('Council Entry'!F$4="Logarithm",LN(0.001+IF(AND(ISNUMBER('Council Entry'!F$8),ISNUMBER('Council Entry'!F$9)),MAX(MIN('Council Entry'!F44,'Council Entry'!F$9),'Council Entry'!F$8),'Council Entry'!F44)),IF('Council Entry'!F$4="Exponential",EXP(IF(AND(ISNUMBER('Council Entry'!F$8),ISNUMBER('Council Entry'!F$9)),MAX(MIN('Council Entry'!F44,'Council Entry'!F$9),'Council Entry'!F$8),'Council Entry'!F44)),IF(AND(ISNUMBER('Council Entry'!F$8),ISNUMBER('Council Entry'!F$9)),MAX(MIN('Council Entry'!F44,'Council Entry'!F$9),'Council Entry'!F$8),'Council Entry'!F44))))-'Council Entry'!F$5)/('Council Entry'!F$6-'Council Entry'!F$5)),1))),"No data"))</f>
        <v/>
      </c>
      <c r="G44" s="13">
        <f>IF('Council Entry'!G44="","",IFERROR(MAX(0,MIN(10,ROUND(IF('Council Entry'!G$7="Decrease Risk",10-10*((IF('Council Entry'!G$4="Logarithm",LN(0.001+IF(AND(ISNUMBER('Council Entry'!G$8),ISNUMBER('Council Entry'!G$9)),MAX(MIN('Council Entry'!G44,'Council Entry'!G$9),'Council Entry'!G$8),'Council Entry'!G44)),IF('Council Entry'!G$4="Exponential",EXP(IF(AND(ISNUMBER('Council Entry'!G$8),ISNUMBER('Council Entry'!G$9)),MAX(MIN('Council Entry'!G44,'Council Entry'!G$9),'Council Entry'!G$8),'Council Entry'!G44)),IF(AND(ISNUMBER('Council Entry'!G$8),ISNUMBER('Council Entry'!G$9)),MAX(MIN('Council Entry'!G44,'Council Entry'!G$9),'Council Entry'!G$8),'Council Entry'!G44))))-'Council Entry'!G$5)/('Council Entry'!G$6-'Council Entry'!G$5),10*((IF('Council Entry'!G$4="Logarithm",LN(0.001+IF(AND(ISNUMBER('Council Entry'!G$8),ISNUMBER('Council Entry'!G$9)),MAX(MIN('Council Entry'!G44,'Council Entry'!G$9),'Council Entry'!G$8),'Council Entry'!G44)),IF('Council Entry'!G$4="Exponential",EXP(IF(AND(ISNUMBER('Council Entry'!G$8),ISNUMBER('Council Entry'!G$9)),MAX(MIN('Council Entry'!G44,'Council Entry'!G$9),'Council Entry'!G$8),'Council Entry'!G44)),IF(AND(ISNUMBER('Council Entry'!G$8),ISNUMBER('Council Entry'!G$9)),MAX(MIN('Council Entry'!G44,'Council Entry'!G$9),'Council Entry'!G$8),'Council Entry'!G44))))-'Council Entry'!G$5)/('Council Entry'!G$6-'Council Entry'!G$5)),1))),"No data"))</f>
        <v/>
      </c>
      <c r="H44" s="13">
        <f>IF('Council Entry'!H44="","",IFERROR(MAX(0,MIN(10,ROUND(IF('Council Entry'!H$7="Decrease Risk",10-10*((IF('Council Entry'!H$4="Logarithm",LN(0.001+IF(AND(ISNUMBER('Council Entry'!H$8),ISNUMBER('Council Entry'!H$9)),MAX(MIN('Council Entry'!H44,'Council Entry'!H$9),'Council Entry'!H$8),'Council Entry'!H44)),IF('Council Entry'!H$4="Exponential",EXP(IF(AND(ISNUMBER('Council Entry'!H$8),ISNUMBER('Council Entry'!H$9)),MAX(MIN('Council Entry'!H44,'Council Entry'!H$9),'Council Entry'!H$8),'Council Entry'!H44)),IF(AND(ISNUMBER('Council Entry'!H$8),ISNUMBER('Council Entry'!H$9)),MAX(MIN('Council Entry'!H44,'Council Entry'!H$9),'Council Entry'!H$8),'Council Entry'!H44))))-'Council Entry'!H$5)/('Council Entry'!H$6-'Council Entry'!H$5),10*((IF('Council Entry'!H$4="Logarithm",LN(0.001+IF(AND(ISNUMBER('Council Entry'!H$8),ISNUMBER('Council Entry'!H$9)),MAX(MIN('Council Entry'!H44,'Council Entry'!H$9),'Council Entry'!H$8),'Council Entry'!H44)),IF('Council Entry'!H$4="Exponential",EXP(IF(AND(ISNUMBER('Council Entry'!H$8),ISNUMBER('Council Entry'!H$9)),MAX(MIN('Council Entry'!H44,'Council Entry'!H$9),'Council Entry'!H$8),'Council Entry'!H44)),IF(AND(ISNUMBER('Council Entry'!H$8),ISNUMBER('Council Entry'!H$9)),MAX(MIN('Council Entry'!H44,'Council Entry'!H$9),'Council Entry'!H$8),'Council Entry'!H44))))-'Council Entry'!H$5)/('Council Entry'!H$6-'Council Entry'!H$5)),1))),"No data"))</f>
        <v/>
      </c>
      <c r="I44" s="13">
        <f>IF('Council Entry'!I44="","",IFERROR(MAX(0,MIN(10,ROUND(IF('Council Entry'!I$7="Decrease Risk",10-10*((IF('Council Entry'!I$4="Logarithm",LN(0.001+IF(AND(ISNUMBER('Council Entry'!I$8),ISNUMBER('Council Entry'!I$9)),MAX(MIN('Council Entry'!I44,'Council Entry'!I$9),'Council Entry'!I$8),'Council Entry'!I44)),IF('Council Entry'!I$4="Exponential",EXP(IF(AND(ISNUMBER('Council Entry'!I$8),ISNUMBER('Council Entry'!I$9)),MAX(MIN('Council Entry'!I44,'Council Entry'!I$9),'Council Entry'!I$8),'Council Entry'!I44)),IF(AND(ISNUMBER('Council Entry'!I$8),ISNUMBER('Council Entry'!I$9)),MAX(MIN('Council Entry'!I44,'Council Entry'!I$9),'Council Entry'!I$8),'Council Entry'!I44))))-'Council Entry'!I$5)/('Council Entry'!I$6-'Council Entry'!I$5),10*((IF('Council Entry'!I$4="Logarithm",LN(0.001+IF(AND(ISNUMBER('Council Entry'!I$8),ISNUMBER('Council Entry'!I$9)),MAX(MIN('Council Entry'!I44,'Council Entry'!I$9),'Council Entry'!I$8),'Council Entry'!I44)),IF('Council Entry'!I$4="Exponential",EXP(IF(AND(ISNUMBER('Council Entry'!I$8),ISNUMBER('Council Entry'!I$9)),MAX(MIN('Council Entry'!I44,'Council Entry'!I$9),'Council Entry'!I$8),'Council Entry'!I44)),IF(AND(ISNUMBER('Council Entry'!I$8),ISNUMBER('Council Entry'!I$9)),MAX(MIN('Council Entry'!I44,'Council Entry'!I$9),'Council Entry'!I$8),'Council Entry'!I44))))-'Council Entry'!I$5)/('Council Entry'!I$6-'Council Entry'!I$5)),1))),"No data"))</f>
        <v/>
      </c>
      <c r="J44" s="13">
        <f>IF('Council Entry'!J44="","",IFERROR(MAX(0,MIN(10,ROUND(IF('Council Entry'!J$7="Decrease Risk",10-10*((IF('Council Entry'!J$4="Logarithm",LN(0.001+IF(AND(ISNUMBER('Council Entry'!J$8),ISNUMBER('Council Entry'!J$9)),MAX(MIN('Council Entry'!J44,'Council Entry'!J$9),'Council Entry'!J$8),'Council Entry'!J44)),IF('Council Entry'!J$4="Exponential",EXP(IF(AND(ISNUMBER('Council Entry'!J$8),ISNUMBER('Council Entry'!J$9)),MAX(MIN('Council Entry'!J44,'Council Entry'!J$9),'Council Entry'!J$8),'Council Entry'!J44)),IF(AND(ISNUMBER('Council Entry'!J$8),ISNUMBER('Council Entry'!J$9)),MAX(MIN('Council Entry'!J44,'Council Entry'!J$9),'Council Entry'!J$8),'Council Entry'!J44))))-'Council Entry'!J$5)/('Council Entry'!J$6-'Council Entry'!J$5),10*((IF('Council Entry'!J$4="Logarithm",LN(0.001+IF(AND(ISNUMBER('Council Entry'!J$8),ISNUMBER('Council Entry'!J$9)),MAX(MIN('Council Entry'!J44,'Council Entry'!J$9),'Council Entry'!J$8),'Council Entry'!J44)),IF('Council Entry'!J$4="Exponential",EXP(IF(AND(ISNUMBER('Council Entry'!J$8),ISNUMBER('Council Entry'!J$9)),MAX(MIN('Council Entry'!J44,'Council Entry'!J$9),'Council Entry'!J$8),'Council Entry'!J44)),IF(AND(ISNUMBER('Council Entry'!J$8),ISNUMBER('Council Entry'!J$9)),MAX(MIN('Council Entry'!J44,'Council Entry'!J$9),'Council Entry'!J$8),'Council Entry'!J44))))-'Council Entry'!J$5)/('Council Entry'!J$6-'Council Entry'!J$5)),1))),"No data"))</f>
        <v/>
      </c>
      <c r="K44" s="13">
        <f>IF('Council Entry'!K44="","",IFERROR(MAX(0,MIN(10,ROUND(IF('Council Entry'!K$7="Decrease Risk",10-10*((IF('Council Entry'!K$4="Logarithm",LN(0.001+IF(AND(ISNUMBER('Council Entry'!K$8),ISNUMBER('Council Entry'!K$9)),MAX(MIN('Council Entry'!K44,'Council Entry'!K$9),'Council Entry'!K$8),'Council Entry'!K44)),IF('Council Entry'!K$4="Exponential",EXP(IF(AND(ISNUMBER('Council Entry'!K$8),ISNUMBER('Council Entry'!K$9)),MAX(MIN('Council Entry'!K44,'Council Entry'!K$9),'Council Entry'!K$8),'Council Entry'!K44)),IF(AND(ISNUMBER('Council Entry'!K$8),ISNUMBER('Council Entry'!K$9)),MAX(MIN('Council Entry'!K44,'Council Entry'!K$9),'Council Entry'!K$8),'Council Entry'!K44))))-'Council Entry'!K$5)/('Council Entry'!K$6-'Council Entry'!K$5),10*((IF('Council Entry'!K$4="Logarithm",LN(0.001+IF(AND(ISNUMBER('Council Entry'!K$8),ISNUMBER('Council Entry'!K$9)),MAX(MIN('Council Entry'!K44,'Council Entry'!K$9),'Council Entry'!K$8),'Council Entry'!K44)),IF('Council Entry'!K$4="Exponential",EXP(IF(AND(ISNUMBER('Council Entry'!K$8),ISNUMBER('Council Entry'!K$9)),MAX(MIN('Council Entry'!K44,'Council Entry'!K$9),'Council Entry'!K$8),'Council Entry'!K44)),IF(AND(ISNUMBER('Council Entry'!K$8),ISNUMBER('Council Entry'!K$9)),MAX(MIN('Council Entry'!K44,'Council Entry'!K$9),'Council Entry'!K$8),'Council Entry'!K44))))-'Council Entry'!K$5)/('Council Entry'!K$6-'Council Entry'!K$5)),1))),"No data"))</f>
        <v/>
      </c>
      <c r="L44" s="13">
        <f>IF('Council Entry'!L44="","",IFERROR(MAX(0,MIN(10,ROUND(IF('Council Entry'!L$7="Decrease Risk",10-10*((IF('Council Entry'!L$4="Logarithm",LN(0.001+IF(AND(ISNUMBER('Council Entry'!L$8),ISNUMBER('Council Entry'!L$9)),MAX(MIN('Council Entry'!L44,'Council Entry'!L$9),'Council Entry'!L$8),'Council Entry'!L44)),IF('Council Entry'!L$4="Exponential",EXP(IF(AND(ISNUMBER('Council Entry'!L$8),ISNUMBER('Council Entry'!L$9)),MAX(MIN('Council Entry'!L44,'Council Entry'!L$9),'Council Entry'!L$8),'Council Entry'!L44)),IF(AND(ISNUMBER('Council Entry'!L$8),ISNUMBER('Council Entry'!L$9)),MAX(MIN('Council Entry'!L44,'Council Entry'!L$9),'Council Entry'!L$8),'Council Entry'!L44))))-'Council Entry'!L$5)/('Council Entry'!L$6-'Council Entry'!L$5),10*((IF('Council Entry'!L$4="Logarithm",LN(0.001+IF(AND(ISNUMBER('Council Entry'!L$8),ISNUMBER('Council Entry'!L$9)),MAX(MIN('Council Entry'!L44,'Council Entry'!L$9),'Council Entry'!L$8),'Council Entry'!L44)),IF('Council Entry'!L$4="Exponential",EXP(IF(AND(ISNUMBER('Council Entry'!L$8),ISNUMBER('Council Entry'!L$9)),MAX(MIN('Council Entry'!L44,'Council Entry'!L$9),'Council Entry'!L$8),'Council Entry'!L44)),IF(AND(ISNUMBER('Council Entry'!L$8),ISNUMBER('Council Entry'!L$9)),MAX(MIN('Council Entry'!L44,'Council Entry'!L$9),'Council Entry'!L$8),'Council Entry'!L44))))-'Council Entry'!L$5)/('Council Entry'!L$6-'Council Entry'!L$5)),1))),"No data"))</f>
        <v/>
      </c>
      <c r="M44" s="13">
        <f>IF('Council Entry'!M44="","",IFERROR(MAX(0,MIN(10,ROUND(IF('Council Entry'!M$7="Decrease Risk",10-10*((IF('Council Entry'!M$4="Logarithm",LN(0.001+IF(AND(ISNUMBER('Council Entry'!M$8),ISNUMBER('Council Entry'!M$9)),MAX(MIN('Council Entry'!M44,'Council Entry'!M$9),'Council Entry'!M$8),'Council Entry'!M44)),IF('Council Entry'!M$4="Exponential",EXP(IF(AND(ISNUMBER('Council Entry'!M$8),ISNUMBER('Council Entry'!M$9)),MAX(MIN('Council Entry'!M44,'Council Entry'!M$9),'Council Entry'!M$8),'Council Entry'!M44)),IF(AND(ISNUMBER('Council Entry'!M$8),ISNUMBER('Council Entry'!M$9)),MAX(MIN('Council Entry'!M44,'Council Entry'!M$9),'Council Entry'!M$8),'Council Entry'!M44))))-'Council Entry'!M$5)/('Council Entry'!M$6-'Council Entry'!M$5),10*((IF('Council Entry'!M$4="Logarithm",LN(0.001+IF(AND(ISNUMBER('Council Entry'!M$8),ISNUMBER('Council Entry'!M$9)),MAX(MIN('Council Entry'!M44,'Council Entry'!M$9),'Council Entry'!M$8),'Council Entry'!M44)),IF('Council Entry'!M$4="Exponential",EXP(IF(AND(ISNUMBER('Council Entry'!M$8),ISNUMBER('Council Entry'!M$9)),MAX(MIN('Council Entry'!M44,'Council Entry'!M$9),'Council Entry'!M$8),'Council Entry'!M44)),IF(AND(ISNUMBER('Council Entry'!M$8),ISNUMBER('Council Entry'!M$9)),MAX(MIN('Council Entry'!M44,'Council Entry'!M$9),'Council Entry'!M$8),'Council Entry'!M44))))-'Council Entry'!M$5)/('Council Entry'!M$6-'Council Entry'!M$5)),1))),"No data"))</f>
        <v/>
      </c>
      <c r="N44" s="13">
        <f>IF('Council Entry'!N44="","",IFERROR(MAX(0,MIN(10,ROUND(IF('Council Entry'!N$7="Decrease Risk",10-10*((IF('Council Entry'!N$4="Logarithm",LN(0.001+IF(AND(ISNUMBER('Council Entry'!N$8),ISNUMBER('Council Entry'!N$9)),MAX(MIN('Council Entry'!N44,'Council Entry'!N$9),'Council Entry'!N$8),'Council Entry'!N44)),IF('Council Entry'!N$4="Exponential",EXP(IF(AND(ISNUMBER('Council Entry'!N$8),ISNUMBER('Council Entry'!N$9)),MAX(MIN('Council Entry'!N44,'Council Entry'!N$9),'Council Entry'!N$8),'Council Entry'!N44)),IF(AND(ISNUMBER('Council Entry'!N$8),ISNUMBER('Council Entry'!N$9)),MAX(MIN('Council Entry'!N44,'Council Entry'!N$9),'Council Entry'!N$8),'Council Entry'!N44))))-'Council Entry'!N$5)/('Council Entry'!N$6-'Council Entry'!N$5),10*((IF('Council Entry'!N$4="Logarithm",LN(0.001+IF(AND(ISNUMBER('Council Entry'!N$8),ISNUMBER('Council Entry'!N$9)),MAX(MIN('Council Entry'!N44,'Council Entry'!N$9),'Council Entry'!N$8),'Council Entry'!N44)),IF('Council Entry'!N$4="Exponential",EXP(IF(AND(ISNUMBER('Council Entry'!N$8),ISNUMBER('Council Entry'!N$9)),MAX(MIN('Council Entry'!N44,'Council Entry'!N$9),'Council Entry'!N$8),'Council Entry'!N44)),IF(AND(ISNUMBER('Council Entry'!N$8),ISNUMBER('Council Entry'!N$9)),MAX(MIN('Council Entry'!N44,'Council Entry'!N$9),'Council Entry'!N$8),'Council Entry'!N44))))-'Council Entry'!N$5)/('Council Entry'!N$6-'Council Entry'!N$5)),1))),"No data"))</f>
        <v/>
      </c>
      <c r="O44" s="13">
        <f>IF('Council Entry'!O44="","",IFERROR(MAX(0,MIN(10,ROUND(IF('Council Entry'!O$7="Decrease Risk",10-10*((IF('Council Entry'!O$4="Logarithm",LN(0.001+IF(AND(ISNUMBER('Council Entry'!O$8),ISNUMBER('Council Entry'!O$9)),MAX(MIN('Council Entry'!O44,'Council Entry'!O$9),'Council Entry'!O$8),'Council Entry'!O44)),IF('Council Entry'!O$4="Exponential",EXP(IF(AND(ISNUMBER('Council Entry'!O$8),ISNUMBER('Council Entry'!O$9)),MAX(MIN('Council Entry'!O44,'Council Entry'!O$9),'Council Entry'!O$8),'Council Entry'!O44)),IF(AND(ISNUMBER('Council Entry'!O$8),ISNUMBER('Council Entry'!O$9)),MAX(MIN('Council Entry'!O44,'Council Entry'!O$9),'Council Entry'!O$8),'Council Entry'!O44))))-'Council Entry'!O$5)/('Council Entry'!O$6-'Council Entry'!O$5),10*((IF('Council Entry'!O$4="Logarithm",LN(0.001+IF(AND(ISNUMBER('Council Entry'!O$8),ISNUMBER('Council Entry'!O$9)),MAX(MIN('Council Entry'!O44,'Council Entry'!O$9),'Council Entry'!O$8),'Council Entry'!O44)),IF('Council Entry'!O$4="Exponential",EXP(IF(AND(ISNUMBER('Council Entry'!O$8),ISNUMBER('Council Entry'!O$9)),MAX(MIN('Council Entry'!O44,'Council Entry'!O$9),'Council Entry'!O$8),'Council Entry'!O44)),IF(AND(ISNUMBER('Council Entry'!O$8),ISNUMBER('Council Entry'!O$9)),MAX(MIN('Council Entry'!O44,'Council Entry'!O$9),'Council Entry'!O$8),'Council Entry'!O44))))-'Council Entry'!O$5)/('Council Entry'!O$6-'Council Entry'!O$5)),1))),"No data"))</f>
        <v/>
      </c>
      <c r="P44" s="13">
        <f>IF('Council Entry'!P44="","",IFERROR(MAX(0,MIN(10,ROUND(IF('Council Entry'!P$7="Decrease Risk",10-10*((IF('Council Entry'!P$4="Logarithm",LN(0.001+IF(AND(ISNUMBER('Council Entry'!P$8),ISNUMBER('Council Entry'!P$9)),MAX(MIN('Council Entry'!P44,'Council Entry'!P$9),'Council Entry'!P$8),'Council Entry'!P44)),IF('Council Entry'!P$4="Exponential",EXP(IF(AND(ISNUMBER('Council Entry'!P$8),ISNUMBER('Council Entry'!P$9)),MAX(MIN('Council Entry'!P44,'Council Entry'!P$9),'Council Entry'!P$8),'Council Entry'!P44)),IF(AND(ISNUMBER('Council Entry'!P$8),ISNUMBER('Council Entry'!P$9)),MAX(MIN('Council Entry'!P44,'Council Entry'!P$9),'Council Entry'!P$8),'Council Entry'!P44))))-'Council Entry'!P$5)/('Council Entry'!P$6-'Council Entry'!P$5),10*((IF('Council Entry'!P$4="Logarithm",LN(0.001+IF(AND(ISNUMBER('Council Entry'!P$8),ISNUMBER('Council Entry'!P$9)),MAX(MIN('Council Entry'!P44,'Council Entry'!P$9),'Council Entry'!P$8),'Council Entry'!P44)),IF('Council Entry'!P$4="Exponential",EXP(IF(AND(ISNUMBER('Council Entry'!P$8),ISNUMBER('Council Entry'!P$9)),MAX(MIN('Council Entry'!P44,'Council Entry'!P$9),'Council Entry'!P$8),'Council Entry'!P44)),IF(AND(ISNUMBER('Council Entry'!P$8),ISNUMBER('Council Entry'!P$9)),MAX(MIN('Council Entry'!P44,'Council Entry'!P$9),'Council Entry'!P$8),'Council Entry'!P44))))-'Council Entry'!P$5)/('Council Entry'!P$6-'Council Entry'!P$5)),1))),"No data"))</f>
        <v/>
      </c>
      <c r="Q44" s="13">
        <f>IF('Council Entry'!Q44="","",IFERROR(MAX(0,MIN(10,ROUND(IF('Council Entry'!Q$7="Decrease Risk",10-10*((IF('Council Entry'!Q$4="Logarithm",LN(0.001+IF(AND(ISNUMBER('Council Entry'!Q$8),ISNUMBER('Council Entry'!Q$9)),MAX(MIN('Council Entry'!Q44,'Council Entry'!Q$9),'Council Entry'!Q$8),'Council Entry'!Q44)),IF('Council Entry'!Q$4="Exponential",EXP(IF(AND(ISNUMBER('Council Entry'!Q$8),ISNUMBER('Council Entry'!Q$9)),MAX(MIN('Council Entry'!Q44,'Council Entry'!Q$9),'Council Entry'!Q$8),'Council Entry'!Q44)),IF(AND(ISNUMBER('Council Entry'!Q$8),ISNUMBER('Council Entry'!Q$9)),MAX(MIN('Council Entry'!Q44,'Council Entry'!Q$9),'Council Entry'!Q$8),'Council Entry'!Q44))))-'Council Entry'!Q$5)/('Council Entry'!Q$6-'Council Entry'!Q$5),10*((IF('Council Entry'!Q$4="Logarithm",LN(0.001+IF(AND(ISNUMBER('Council Entry'!Q$8),ISNUMBER('Council Entry'!Q$9)),MAX(MIN('Council Entry'!Q44,'Council Entry'!Q$9),'Council Entry'!Q$8),'Council Entry'!Q44)),IF('Council Entry'!Q$4="Exponential",EXP(IF(AND(ISNUMBER('Council Entry'!Q$8),ISNUMBER('Council Entry'!Q$9)),MAX(MIN('Council Entry'!Q44,'Council Entry'!Q$9),'Council Entry'!Q$8),'Council Entry'!Q44)),IF(AND(ISNUMBER('Council Entry'!Q$8),ISNUMBER('Council Entry'!Q$9)),MAX(MIN('Council Entry'!Q44,'Council Entry'!Q$9),'Council Entry'!Q$8),'Council Entry'!Q44))))-'Council Entry'!Q$5)/('Council Entry'!Q$6-'Council Entry'!Q$5)),1))),"No data"))</f>
        <v/>
      </c>
      <c r="R44" s="13">
        <f>IF('Council Entry'!R44="","",IFERROR(MAX(0,MIN(10,ROUND(IF('Council Entry'!R$7="Decrease Risk",10-10*((IF('Council Entry'!R$4="Logarithm",LN(0.001+IF(AND(ISNUMBER('Council Entry'!R$8),ISNUMBER('Council Entry'!R$9)),MAX(MIN('Council Entry'!R44,'Council Entry'!R$9),'Council Entry'!R$8),'Council Entry'!R44)),IF('Council Entry'!R$4="Exponential",EXP(IF(AND(ISNUMBER('Council Entry'!R$8),ISNUMBER('Council Entry'!R$9)),MAX(MIN('Council Entry'!R44,'Council Entry'!R$9),'Council Entry'!R$8),'Council Entry'!R44)),IF(AND(ISNUMBER('Council Entry'!R$8),ISNUMBER('Council Entry'!R$9)),MAX(MIN('Council Entry'!R44,'Council Entry'!R$9),'Council Entry'!R$8),'Council Entry'!R44))))-'Council Entry'!R$5)/('Council Entry'!R$6-'Council Entry'!R$5),10*((IF('Council Entry'!R$4="Logarithm",LN(0.001+IF(AND(ISNUMBER('Council Entry'!R$8),ISNUMBER('Council Entry'!R$9)),MAX(MIN('Council Entry'!R44,'Council Entry'!R$9),'Council Entry'!R$8),'Council Entry'!R44)),IF('Council Entry'!R$4="Exponential",EXP(IF(AND(ISNUMBER('Council Entry'!R$8),ISNUMBER('Council Entry'!R$9)),MAX(MIN('Council Entry'!R44,'Council Entry'!R$9),'Council Entry'!R$8),'Council Entry'!R44)),IF(AND(ISNUMBER('Council Entry'!R$8),ISNUMBER('Council Entry'!R$9)),MAX(MIN('Council Entry'!R44,'Council Entry'!R$9),'Council Entry'!R$8),'Council Entry'!R44))))-'Council Entry'!R$5)/('Council Entry'!R$6-'Council Entry'!R$5)),1))),"No data"))</f>
        <v/>
      </c>
      <c r="S44" s="13">
        <f>IF('Council Entry'!S44="","",IFERROR(MAX(0,MIN(10,ROUND(IF('Council Entry'!S$7="Decrease Risk",10-10*((IF('Council Entry'!S$4="Logarithm",LN(0.001+IF(AND(ISNUMBER('Council Entry'!S$8),ISNUMBER('Council Entry'!S$9)),MAX(MIN('Council Entry'!S44,'Council Entry'!S$9),'Council Entry'!S$8),'Council Entry'!S44)),IF('Council Entry'!S$4="Exponential",EXP(IF(AND(ISNUMBER('Council Entry'!S$8),ISNUMBER('Council Entry'!S$9)),MAX(MIN('Council Entry'!S44,'Council Entry'!S$9),'Council Entry'!S$8),'Council Entry'!S44)),IF(AND(ISNUMBER('Council Entry'!S$8),ISNUMBER('Council Entry'!S$9)),MAX(MIN('Council Entry'!S44,'Council Entry'!S$9),'Council Entry'!S$8),'Council Entry'!S44))))-'Council Entry'!S$5)/('Council Entry'!S$6-'Council Entry'!S$5),10*((IF('Council Entry'!S$4="Logarithm",LN(0.001+IF(AND(ISNUMBER('Council Entry'!S$8),ISNUMBER('Council Entry'!S$9)),MAX(MIN('Council Entry'!S44,'Council Entry'!S$9),'Council Entry'!S$8),'Council Entry'!S44)),IF('Council Entry'!S$4="Exponential",EXP(IF(AND(ISNUMBER('Council Entry'!S$8),ISNUMBER('Council Entry'!S$9)),MAX(MIN('Council Entry'!S44,'Council Entry'!S$9),'Council Entry'!S$8),'Council Entry'!S44)),IF(AND(ISNUMBER('Council Entry'!S$8),ISNUMBER('Council Entry'!S$9)),MAX(MIN('Council Entry'!S44,'Council Entry'!S$9),'Council Entry'!S$8),'Council Entry'!S44))))-'Council Entry'!S$5)/('Council Entry'!S$6-'Council Entry'!S$5)),1))),"No data"))</f>
        <v/>
      </c>
      <c r="T44" s="13">
        <f>IF('Council Entry'!T44="","",IFERROR(MAX(0,MIN(10,ROUND(IF('Council Entry'!T$7="Decrease Risk",10-10*((IF('Council Entry'!T$4="Logarithm",LN(0.001+IF(AND(ISNUMBER('Council Entry'!T$8),ISNUMBER('Council Entry'!T$9)),MAX(MIN('Council Entry'!T44,'Council Entry'!T$9),'Council Entry'!T$8),'Council Entry'!T44)),IF('Council Entry'!T$4="Exponential",EXP(IF(AND(ISNUMBER('Council Entry'!T$8),ISNUMBER('Council Entry'!T$9)),MAX(MIN('Council Entry'!T44,'Council Entry'!T$9),'Council Entry'!T$8),'Council Entry'!T44)),IF(AND(ISNUMBER('Council Entry'!T$8),ISNUMBER('Council Entry'!T$9)),MAX(MIN('Council Entry'!T44,'Council Entry'!T$9),'Council Entry'!T$8),'Council Entry'!T44))))-'Council Entry'!T$5)/('Council Entry'!T$6-'Council Entry'!T$5),10*((IF('Council Entry'!T$4="Logarithm",LN(0.001+IF(AND(ISNUMBER('Council Entry'!T$8),ISNUMBER('Council Entry'!T$9)),MAX(MIN('Council Entry'!T44,'Council Entry'!T$9),'Council Entry'!T$8),'Council Entry'!T44)),IF('Council Entry'!T$4="Exponential",EXP(IF(AND(ISNUMBER('Council Entry'!T$8),ISNUMBER('Council Entry'!T$9)),MAX(MIN('Council Entry'!T44,'Council Entry'!T$9),'Council Entry'!T$8),'Council Entry'!T44)),IF(AND(ISNUMBER('Council Entry'!T$8),ISNUMBER('Council Entry'!T$9)),MAX(MIN('Council Entry'!T44,'Council Entry'!T$9),'Council Entry'!T$8),'Council Entry'!T44))))-'Council Entry'!T$5)/('Council Entry'!T$6-'Council Entry'!T$5)),1))),"No data"))</f>
        <v/>
      </c>
      <c r="U44" s="13">
        <f>IF('Council Entry'!U44="","",IFERROR(MAX(0,MIN(10,ROUND(IF('Council Entry'!U$7="Decrease Risk",10-10*((IF('Council Entry'!U$4="Logarithm",LN(0.001+IF(AND(ISNUMBER('Council Entry'!U$8),ISNUMBER('Council Entry'!U$9)),MAX(MIN('Council Entry'!U44,'Council Entry'!U$9),'Council Entry'!U$8),'Council Entry'!U44)),IF('Council Entry'!U$4="Exponential",EXP(IF(AND(ISNUMBER('Council Entry'!U$8),ISNUMBER('Council Entry'!U$9)),MAX(MIN('Council Entry'!U44,'Council Entry'!U$9),'Council Entry'!U$8),'Council Entry'!U44)),IF(AND(ISNUMBER('Council Entry'!U$8),ISNUMBER('Council Entry'!U$9)),MAX(MIN('Council Entry'!U44,'Council Entry'!U$9),'Council Entry'!U$8),'Council Entry'!U44))))-'Council Entry'!U$5)/('Council Entry'!U$6-'Council Entry'!U$5),10*((IF('Council Entry'!U$4="Logarithm",LN(0.001+IF(AND(ISNUMBER('Council Entry'!U$8),ISNUMBER('Council Entry'!U$9)),MAX(MIN('Council Entry'!U44,'Council Entry'!U$9),'Council Entry'!U$8),'Council Entry'!U44)),IF('Council Entry'!U$4="Exponential",EXP(IF(AND(ISNUMBER('Council Entry'!U$8),ISNUMBER('Council Entry'!U$9)),MAX(MIN('Council Entry'!U44,'Council Entry'!U$9),'Council Entry'!U$8),'Council Entry'!U44)),IF(AND(ISNUMBER('Council Entry'!U$8),ISNUMBER('Council Entry'!U$9)),MAX(MIN('Council Entry'!U44,'Council Entry'!U$9),'Council Entry'!U$8),'Council Entry'!U44))))-'Council Entry'!U$5)/('Council Entry'!U$6-'Council Entry'!U$5)),1))),"No data"))</f>
        <v/>
      </c>
      <c r="V44" s="13">
        <f>IF('Council Entry'!V44="","",IFERROR(MAX(0,MIN(10,ROUND(IF('Council Entry'!V$7="Decrease Risk",10-10*((IF('Council Entry'!V$4="Logarithm",LN(0.001+IF(AND(ISNUMBER('Council Entry'!V$8),ISNUMBER('Council Entry'!V$9)),MAX(MIN('Council Entry'!V44,'Council Entry'!V$9),'Council Entry'!V$8),'Council Entry'!V44)),IF('Council Entry'!V$4="Exponential",EXP(IF(AND(ISNUMBER('Council Entry'!V$8),ISNUMBER('Council Entry'!V$9)),MAX(MIN('Council Entry'!V44,'Council Entry'!V$9),'Council Entry'!V$8),'Council Entry'!V44)),IF(AND(ISNUMBER('Council Entry'!V$8),ISNUMBER('Council Entry'!V$9)),MAX(MIN('Council Entry'!V44,'Council Entry'!V$9),'Council Entry'!V$8),'Council Entry'!V44))))-'Council Entry'!V$5)/('Council Entry'!V$6-'Council Entry'!V$5),10*((IF('Council Entry'!V$4="Logarithm",LN(0.001+IF(AND(ISNUMBER('Council Entry'!V$8),ISNUMBER('Council Entry'!V$9)),MAX(MIN('Council Entry'!V44,'Council Entry'!V$9),'Council Entry'!V$8),'Council Entry'!V44)),IF('Council Entry'!V$4="Exponential",EXP(IF(AND(ISNUMBER('Council Entry'!V$8),ISNUMBER('Council Entry'!V$9)),MAX(MIN('Council Entry'!V44,'Council Entry'!V$9),'Council Entry'!V$8),'Council Entry'!V44)),IF(AND(ISNUMBER('Council Entry'!V$8),ISNUMBER('Council Entry'!V$9)),MAX(MIN('Council Entry'!V44,'Council Entry'!V$9),'Council Entry'!V$8),'Council Entry'!V44))))-'Council Entry'!V$5)/('Council Entry'!V$6-'Council Entry'!V$5)),1))),"No data"))</f>
        <v/>
      </c>
      <c r="W44" s="13">
        <f>IF('Council Entry'!W44="","",IFERROR(MAX(0,MIN(10,ROUND(IF('Council Entry'!W$7="Decrease Risk",10-10*((IF('Council Entry'!W$4="Logarithm",LN(0.001+IF(AND(ISNUMBER('Council Entry'!W$8),ISNUMBER('Council Entry'!W$9)),MAX(MIN('Council Entry'!W44,'Council Entry'!W$9),'Council Entry'!W$8),'Council Entry'!W44)),IF('Council Entry'!W$4="Exponential",EXP(IF(AND(ISNUMBER('Council Entry'!W$8),ISNUMBER('Council Entry'!W$9)),MAX(MIN('Council Entry'!W44,'Council Entry'!W$9),'Council Entry'!W$8),'Council Entry'!W44)),IF(AND(ISNUMBER('Council Entry'!W$8),ISNUMBER('Council Entry'!W$9)),MAX(MIN('Council Entry'!W44,'Council Entry'!W$9),'Council Entry'!W$8),'Council Entry'!W44))))-'Council Entry'!W$5)/('Council Entry'!W$6-'Council Entry'!W$5),10*((IF('Council Entry'!W$4="Logarithm",LN(0.001+IF(AND(ISNUMBER('Council Entry'!W$8),ISNUMBER('Council Entry'!W$9)),MAX(MIN('Council Entry'!W44,'Council Entry'!W$9),'Council Entry'!W$8),'Council Entry'!W44)),IF('Council Entry'!W$4="Exponential",EXP(IF(AND(ISNUMBER('Council Entry'!W$8),ISNUMBER('Council Entry'!W$9)),MAX(MIN('Council Entry'!W44,'Council Entry'!W$9),'Council Entry'!W$8),'Council Entry'!W44)),IF(AND(ISNUMBER('Council Entry'!W$8),ISNUMBER('Council Entry'!W$9)),MAX(MIN('Council Entry'!W44,'Council Entry'!W$9),'Council Entry'!W$8),'Council Entry'!W44))))-'Council Entry'!W$5)/('Council Entry'!W$6-'Council Entry'!W$5)),1))),"No data"))</f>
        <v/>
      </c>
      <c r="X44" s="13">
        <f>IF('Council Entry'!X44="","",IFERROR(MAX(0,MIN(10,ROUND(IF('Council Entry'!X$7="Decrease Risk",10-10*((IF('Council Entry'!X$4="Logarithm",LN(0.001+IF(AND(ISNUMBER('Council Entry'!X$8),ISNUMBER('Council Entry'!X$9)),MAX(MIN('Council Entry'!X44,'Council Entry'!X$9),'Council Entry'!X$8),'Council Entry'!X44)),IF('Council Entry'!X$4="Exponential",EXP(IF(AND(ISNUMBER('Council Entry'!X$8),ISNUMBER('Council Entry'!X$9)),MAX(MIN('Council Entry'!X44,'Council Entry'!X$9),'Council Entry'!X$8),'Council Entry'!X44)),IF(AND(ISNUMBER('Council Entry'!X$8),ISNUMBER('Council Entry'!X$9)),MAX(MIN('Council Entry'!X44,'Council Entry'!X$9),'Council Entry'!X$8),'Council Entry'!X44))))-'Council Entry'!X$5)/('Council Entry'!X$6-'Council Entry'!X$5),10*((IF('Council Entry'!X$4="Logarithm",LN(0.001+IF(AND(ISNUMBER('Council Entry'!X$8),ISNUMBER('Council Entry'!X$9)),MAX(MIN('Council Entry'!X44,'Council Entry'!X$9),'Council Entry'!X$8),'Council Entry'!X44)),IF('Council Entry'!X$4="Exponential",EXP(IF(AND(ISNUMBER('Council Entry'!X$8),ISNUMBER('Council Entry'!X$9)),MAX(MIN('Council Entry'!X44,'Council Entry'!X$9),'Council Entry'!X$8),'Council Entry'!X44)),IF(AND(ISNUMBER('Council Entry'!X$8),ISNUMBER('Council Entry'!X$9)),MAX(MIN('Council Entry'!X44,'Council Entry'!X$9),'Council Entry'!X$8),'Council Entry'!X44))))-'Council Entry'!X$5)/('Council Entry'!X$6-'Council Entry'!X$5)),1))),"No data"))</f>
        <v/>
      </c>
      <c r="Y44" s="13">
        <f>IF('Council Entry'!Y44="","",IFERROR(MAX(0,MIN(10,ROUND(IF('Council Entry'!Y$7="Decrease Risk",10-10*((IF('Council Entry'!Y$4="Logarithm",LN(0.001+IF(AND(ISNUMBER('Council Entry'!Y$8),ISNUMBER('Council Entry'!Y$9)),MAX(MIN('Council Entry'!Y44,'Council Entry'!Y$9),'Council Entry'!Y$8),'Council Entry'!Y44)),IF('Council Entry'!Y$4="Exponential",EXP(IF(AND(ISNUMBER('Council Entry'!Y$8),ISNUMBER('Council Entry'!Y$9)),MAX(MIN('Council Entry'!Y44,'Council Entry'!Y$9),'Council Entry'!Y$8),'Council Entry'!Y44)),IF(AND(ISNUMBER('Council Entry'!Y$8),ISNUMBER('Council Entry'!Y$9)),MAX(MIN('Council Entry'!Y44,'Council Entry'!Y$9),'Council Entry'!Y$8),'Council Entry'!Y44))))-'Council Entry'!Y$5)/('Council Entry'!Y$6-'Council Entry'!Y$5),10*((IF('Council Entry'!Y$4="Logarithm",LN(0.001+IF(AND(ISNUMBER('Council Entry'!Y$8),ISNUMBER('Council Entry'!Y$9)),MAX(MIN('Council Entry'!Y44,'Council Entry'!Y$9),'Council Entry'!Y$8),'Council Entry'!Y44)),IF('Council Entry'!Y$4="Exponential",EXP(IF(AND(ISNUMBER('Council Entry'!Y$8),ISNUMBER('Council Entry'!Y$9)),MAX(MIN('Council Entry'!Y44,'Council Entry'!Y$9),'Council Entry'!Y$8),'Council Entry'!Y44)),IF(AND(ISNUMBER('Council Entry'!Y$8),ISNUMBER('Council Entry'!Y$9)),MAX(MIN('Council Entry'!Y44,'Council Entry'!Y$9),'Council Entry'!Y$8),'Council Entry'!Y44))))-'Council Entry'!Y$5)/('Council Entry'!Y$6-'Council Entry'!Y$5)),1))),"No data"))</f>
        <v/>
      </c>
      <c r="Z44" s="13">
        <f>IF('Council Entry'!Z44="","",IFERROR(MAX(0,MIN(10,ROUND(IF('Council Entry'!Z$7="Decrease Risk",10-10*((IF('Council Entry'!Z$4="Logarithm",LN(0.001+IF(AND(ISNUMBER('Council Entry'!Z$8),ISNUMBER('Council Entry'!Z$9)),MAX(MIN('Council Entry'!Z44,'Council Entry'!Z$9),'Council Entry'!Z$8),'Council Entry'!Z44)),IF('Council Entry'!Z$4="Exponential",EXP(IF(AND(ISNUMBER('Council Entry'!Z$8),ISNUMBER('Council Entry'!Z$9)),MAX(MIN('Council Entry'!Z44,'Council Entry'!Z$9),'Council Entry'!Z$8),'Council Entry'!Z44)),IF(AND(ISNUMBER('Council Entry'!Z$8),ISNUMBER('Council Entry'!Z$9)),MAX(MIN('Council Entry'!Z44,'Council Entry'!Z$9),'Council Entry'!Z$8),'Council Entry'!Z44))))-'Council Entry'!Z$5)/('Council Entry'!Z$6-'Council Entry'!Z$5),10*((IF('Council Entry'!Z$4="Logarithm",LN(0.001+IF(AND(ISNUMBER('Council Entry'!Z$8),ISNUMBER('Council Entry'!Z$9)),MAX(MIN('Council Entry'!Z44,'Council Entry'!Z$9),'Council Entry'!Z$8),'Council Entry'!Z44)),IF('Council Entry'!Z$4="Exponential",EXP(IF(AND(ISNUMBER('Council Entry'!Z$8),ISNUMBER('Council Entry'!Z$9)),MAX(MIN('Council Entry'!Z44,'Council Entry'!Z$9),'Council Entry'!Z$8),'Council Entry'!Z44)),IF(AND(ISNUMBER('Council Entry'!Z$8),ISNUMBER('Council Entry'!Z$9)),MAX(MIN('Council Entry'!Z44,'Council Entry'!Z$9),'Council Entry'!Z$8),'Council Entry'!Z44))))-'Council Entry'!Z$5)/('Council Entry'!Z$6-'Council Entry'!Z$5)),1))),"No data"))</f>
        <v/>
      </c>
      <c r="AA44" s="13">
        <f>IF('Council Entry'!AA44="","",IFERROR(MAX(0,MIN(10,ROUND(IF('Council Entry'!AA$7="Decrease Risk",10-10*((IF('Council Entry'!AA$4="Logarithm",LN(0.001+IF(AND(ISNUMBER('Council Entry'!AA$8),ISNUMBER('Council Entry'!AA$9)),MAX(MIN('Council Entry'!AA44,'Council Entry'!AA$9),'Council Entry'!AA$8),'Council Entry'!AA44)),IF('Council Entry'!AA$4="Exponential",EXP(IF(AND(ISNUMBER('Council Entry'!AA$8),ISNUMBER('Council Entry'!AA$9)),MAX(MIN('Council Entry'!AA44,'Council Entry'!AA$9),'Council Entry'!AA$8),'Council Entry'!AA44)),IF(AND(ISNUMBER('Council Entry'!AA$8),ISNUMBER('Council Entry'!AA$9)),MAX(MIN('Council Entry'!AA44,'Council Entry'!AA$9),'Council Entry'!AA$8),'Council Entry'!AA44))))-'Council Entry'!AA$5)/('Council Entry'!AA$6-'Council Entry'!AA$5),10*((IF('Council Entry'!AA$4="Logarithm",LN(0.001+IF(AND(ISNUMBER('Council Entry'!AA$8),ISNUMBER('Council Entry'!AA$9)),MAX(MIN('Council Entry'!AA44,'Council Entry'!AA$9),'Council Entry'!AA$8),'Council Entry'!AA44)),IF('Council Entry'!AA$4="Exponential",EXP(IF(AND(ISNUMBER('Council Entry'!AA$8),ISNUMBER('Council Entry'!AA$9)),MAX(MIN('Council Entry'!AA44,'Council Entry'!AA$9),'Council Entry'!AA$8),'Council Entry'!AA44)),IF(AND(ISNUMBER('Council Entry'!AA$8),ISNUMBER('Council Entry'!AA$9)),MAX(MIN('Council Entry'!AA44,'Council Entry'!AA$9),'Council Entry'!AA$8),'Council Entry'!AA44))))-'Council Entry'!AA$5)/('Council Entry'!AA$6-'Council Entry'!AA$5)),1))),"No data"))</f>
        <v/>
      </c>
      <c r="AB44" s="13">
        <f>IF('Council Entry'!AB44="","",IFERROR(MAX(0,MIN(10,ROUND(IF('Council Entry'!AB$7="Decrease Risk",10-10*((IF('Council Entry'!AB$4="Logarithm",LN(0.001+IF(AND(ISNUMBER('Council Entry'!AB$8),ISNUMBER('Council Entry'!AB$9)),MAX(MIN('Council Entry'!AB44,'Council Entry'!AB$9),'Council Entry'!AB$8),'Council Entry'!AB44)),IF('Council Entry'!AB$4="Exponential",EXP(IF(AND(ISNUMBER('Council Entry'!AB$8),ISNUMBER('Council Entry'!AB$9)),MAX(MIN('Council Entry'!AB44,'Council Entry'!AB$9),'Council Entry'!AB$8),'Council Entry'!AB44)),IF(AND(ISNUMBER('Council Entry'!AB$8),ISNUMBER('Council Entry'!AB$9)),MAX(MIN('Council Entry'!AB44,'Council Entry'!AB$9),'Council Entry'!AB$8),'Council Entry'!AB44))))-'Council Entry'!AB$5)/('Council Entry'!AB$6-'Council Entry'!AB$5),10*((IF('Council Entry'!AB$4="Logarithm",LN(0.001+IF(AND(ISNUMBER('Council Entry'!AB$8),ISNUMBER('Council Entry'!AB$9)),MAX(MIN('Council Entry'!AB44,'Council Entry'!AB$9),'Council Entry'!AB$8),'Council Entry'!AB44)),IF('Council Entry'!AB$4="Exponential",EXP(IF(AND(ISNUMBER('Council Entry'!AB$8),ISNUMBER('Council Entry'!AB$9)),MAX(MIN('Council Entry'!AB44,'Council Entry'!AB$9),'Council Entry'!AB$8),'Council Entry'!AB44)),IF(AND(ISNUMBER('Council Entry'!AB$8),ISNUMBER('Council Entry'!AB$9)),MAX(MIN('Council Entry'!AB44,'Council Entry'!AB$9),'Council Entry'!AB$8),'Council Entry'!AB44))))-'Council Entry'!AB$5)/('Council Entry'!AB$6-'Council Entry'!AB$5)),1))),"No data"))</f>
        <v/>
      </c>
      <c r="AC44" s="13">
        <f>IF('Council Entry'!AC44="","",IFERROR(MAX(0,MIN(10,ROUND(IF('Council Entry'!AC$7="Decrease Risk",10-10*((IF('Council Entry'!AC$4="Logarithm",LN(0.001+IF(AND(ISNUMBER('Council Entry'!AC$8),ISNUMBER('Council Entry'!AC$9)),MAX(MIN('Council Entry'!AC44,'Council Entry'!AC$9),'Council Entry'!AC$8),'Council Entry'!AC44)),IF('Council Entry'!AC$4="Exponential",EXP(IF(AND(ISNUMBER('Council Entry'!AC$8),ISNUMBER('Council Entry'!AC$9)),MAX(MIN('Council Entry'!AC44,'Council Entry'!AC$9),'Council Entry'!AC$8),'Council Entry'!AC44)),IF(AND(ISNUMBER('Council Entry'!AC$8),ISNUMBER('Council Entry'!AC$9)),MAX(MIN('Council Entry'!AC44,'Council Entry'!AC$9),'Council Entry'!AC$8),'Council Entry'!AC44))))-'Council Entry'!AC$5)/('Council Entry'!AC$6-'Council Entry'!AC$5),10*((IF('Council Entry'!AC$4="Logarithm",LN(0.001+IF(AND(ISNUMBER('Council Entry'!AC$8),ISNUMBER('Council Entry'!AC$9)),MAX(MIN('Council Entry'!AC44,'Council Entry'!AC$9),'Council Entry'!AC$8),'Council Entry'!AC44)),IF('Council Entry'!AC$4="Exponential",EXP(IF(AND(ISNUMBER('Council Entry'!AC$8),ISNUMBER('Council Entry'!AC$9)),MAX(MIN('Council Entry'!AC44,'Council Entry'!AC$9),'Council Entry'!AC$8),'Council Entry'!AC44)),IF(AND(ISNUMBER('Council Entry'!AC$8),ISNUMBER('Council Entry'!AC$9)),MAX(MIN('Council Entry'!AC44,'Council Entry'!AC$9),'Council Entry'!AC$8),'Council Entry'!AC44))))-'Council Entry'!AC$5)/('Council Entry'!AC$6-'Council Entry'!AC$5)),1))),"No data"))</f>
        <v/>
      </c>
      <c r="AD44" s="13">
        <f>IF('Council Entry'!AD44="","",IFERROR(MAX(0,MIN(10,ROUND(IF('Council Entry'!AD$7="Decrease Risk",10-10*((IF('Council Entry'!AD$4="Logarithm",LN(0.001+IF(AND(ISNUMBER('Council Entry'!AD$8),ISNUMBER('Council Entry'!AD$9)),MAX(MIN('Council Entry'!AD44,'Council Entry'!AD$9),'Council Entry'!AD$8),'Council Entry'!AD44)),IF('Council Entry'!AD$4="Exponential",EXP(IF(AND(ISNUMBER('Council Entry'!AD$8),ISNUMBER('Council Entry'!AD$9)),MAX(MIN('Council Entry'!AD44,'Council Entry'!AD$9),'Council Entry'!AD$8),'Council Entry'!AD44)),IF(AND(ISNUMBER('Council Entry'!AD$8),ISNUMBER('Council Entry'!AD$9)),MAX(MIN('Council Entry'!AD44,'Council Entry'!AD$9),'Council Entry'!AD$8),'Council Entry'!AD44))))-'Council Entry'!AD$5)/('Council Entry'!AD$6-'Council Entry'!AD$5),10*((IF('Council Entry'!AD$4="Logarithm",LN(0.001+IF(AND(ISNUMBER('Council Entry'!AD$8),ISNUMBER('Council Entry'!AD$9)),MAX(MIN('Council Entry'!AD44,'Council Entry'!AD$9),'Council Entry'!AD$8),'Council Entry'!AD44)),IF('Council Entry'!AD$4="Exponential",EXP(IF(AND(ISNUMBER('Council Entry'!AD$8),ISNUMBER('Council Entry'!AD$9)),MAX(MIN('Council Entry'!AD44,'Council Entry'!AD$9),'Council Entry'!AD$8),'Council Entry'!AD44)),IF(AND(ISNUMBER('Council Entry'!AD$8),ISNUMBER('Council Entry'!AD$9)),MAX(MIN('Council Entry'!AD44,'Council Entry'!AD$9),'Council Entry'!AD$8),'Council Entry'!AD44))))-'Council Entry'!AD$5)/('Council Entry'!AD$6-'Council Entry'!AD$5)),1))),"No data"))</f>
        <v/>
      </c>
      <c r="AE44" s="13">
        <f>IF('Council Entry'!AE44="","",IFERROR(MAX(0,MIN(10,ROUND(IF('Council Entry'!AE$7="Decrease Risk",10-10*((IF('Council Entry'!AE$4="Logarithm",LN(0.001+IF(AND(ISNUMBER('Council Entry'!AE$8),ISNUMBER('Council Entry'!AE$9)),MAX(MIN('Council Entry'!AE44,'Council Entry'!AE$9),'Council Entry'!AE$8),'Council Entry'!AE44)),IF('Council Entry'!AE$4="Exponential",EXP(IF(AND(ISNUMBER('Council Entry'!AE$8),ISNUMBER('Council Entry'!AE$9)),MAX(MIN('Council Entry'!AE44,'Council Entry'!AE$9),'Council Entry'!AE$8),'Council Entry'!AE44)),IF(AND(ISNUMBER('Council Entry'!AE$8),ISNUMBER('Council Entry'!AE$9)),MAX(MIN('Council Entry'!AE44,'Council Entry'!AE$9),'Council Entry'!AE$8),'Council Entry'!AE44))))-'Council Entry'!AE$5)/('Council Entry'!AE$6-'Council Entry'!AE$5),10*((IF('Council Entry'!AE$4="Logarithm",LN(0.001+IF(AND(ISNUMBER('Council Entry'!AE$8),ISNUMBER('Council Entry'!AE$9)),MAX(MIN('Council Entry'!AE44,'Council Entry'!AE$9),'Council Entry'!AE$8),'Council Entry'!AE44)),IF('Council Entry'!AE$4="Exponential",EXP(IF(AND(ISNUMBER('Council Entry'!AE$8),ISNUMBER('Council Entry'!AE$9)),MAX(MIN('Council Entry'!AE44,'Council Entry'!AE$9),'Council Entry'!AE$8),'Council Entry'!AE44)),IF(AND(ISNUMBER('Council Entry'!AE$8),ISNUMBER('Council Entry'!AE$9)),MAX(MIN('Council Entry'!AE44,'Council Entry'!AE$9),'Council Entry'!AE$8),'Council Entry'!AE44))))-'Council Entry'!AE$5)/('Council Entry'!AE$6-'Council Entry'!AE$5)),1))),"No data"))</f>
        <v/>
      </c>
      <c r="AF44" s="13">
        <f>IF('Council Entry'!AF44="","",IFERROR(MAX(0,MIN(10,ROUND(IF('Council Entry'!AF$7="Decrease Risk",10-10*((IF('Council Entry'!AF$4="Logarithm",LN(0.001+IF(AND(ISNUMBER('Council Entry'!AF$8),ISNUMBER('Council Entry'!AF$9)),MAX(MIN('Council Entry'!AF44,'Council Entry'!AF$9),'Council Entry'!AF$8),'Council Entry'!AF44)),IF('Council Entry'!AF$4="Exponential",EXP(IF(AND(ISNUMBER('Council Entry'!AF$8),ISNUMBER('Council Entry'!AF$9)),MAX(MIN('Council Entry'!AF44,'Council Entry'!AF$9),'Council Entry'!AF$8),'Council Entry'!AF44)),IF(AND(ISNUMBER('Council Entry'!AF$8),ISNUMBER('Council Entry'!AF$9)),MAX(MIN('Council Entry'!AF44,'Council Entry'!AF$9),'Council Entry'!AF$8),'Council Entry'!AF44))))-'Council Entry'!AF$5)/('Council Entry'!AF$6-'Council Entry'!AF$5),10*((IF('Council Entry'!AF$4="Logarithm",LN(0.001+IF(AND(ISNUMBER('Council Entry'!AF$8),ISNUMBER('Council Entry'!AF$9)),MAX(MIN('Council Entry'!AF44,'Council Entry'!AF$9),'Council Entry'!AF$8),'Council Entry'!AF44)),IF('Council Entry'!AF$4="Exponential",EXP(IF(AND(ISNUMBER('Council Entry'!AF$8),ISNUMBER('Council Entry'!AF$9)),MAX(MIN('Council Entry'!AF44,'Council Entry'!AF$9),'Council Entry'!AF$8),'Council Entry'!AF44)),IF(AND(ISNUMBER('Council Entry'!AF$8),ISNUMBER('Council Entry'!AF$9)),MAX(MIN('Council Entry'!AF44,'Council Entry'!AF$9),'Council Entry'!AF$8),'Council Entry'!AF44))))-'Council Entry'!AF$5)/('Council Entry'!AF$6-'Council Entry'!AF$5)),1))),"No data"))</f>
        <v/>
      </c>
      <c r="AG44" s="13">
        <f>IF('Council Entry'!AG44="","",IFERROR(MAX(0,MIN(10,ROUND(IF('Council Entry'!AG$7="Decrease Risk",10-10*((IF('Council Entry'!AG$4="Logarithm",LN(0.001+IF(AND(ISNUMBER('Council Entry'!AG$8),ISNUMBER('Council Entry'!AG$9)),MAX(MIN('Council Entry'!AG44,'Council Entry'!AG$9),'Council Entry'!AG$8),'Council Entry'!AG44)),IF('Council Entry'!AG$4="Exponential",EXP(IF(AND(ISNUMBER('Council Entry'!AG$8),ISNUMBER('Council Entry'!AG$9)),MAX(MIN('Council Entry'!AG44,'Council Entry'!AG$9),'Council Entry'!AG$8),'Council Entry'!AG44)),IF(AND(ISNUMBER('Council Entry'!AG$8),ISNUMBER('Council Entry'!AG$9)),MAX(MIN('Council Entry'!AG44,'Council Entry'!AG$9),'Council Entry'!AG$8),'Council Entry'!AG44))))-'Council Entry'!AG$5)/('Council Entry'!AG$6-'Council Entry'!AG$5),10*((IF('Council Entry'!AG$4="Logarithm",LN(0.001+IF(AND(ISNUMBER('Council Entry'!AG$8),ISNUMBER('Council Entry'!AG$9)),MAX(MIN('Council Entry'!AG44,'Council Entry'!AG$9),'Council Entry'!AG$8),'Council Entry'!AG44)),IF('Council Entry'!AG$4="Exponential",EXP(IF(AND(ISNUMBER('Council Entry'!AG$8),ISNUMBER('Council Entry'!AG$9)),MAX(MIN('Council Entry'!AG44,'Council Entry'!AG$9),'Council Entry'!AG$8),'Council Entry'!AG44)),IF(AND(ISNUMBER('Council Entry'!AG$8),ISNUMBER('Council Entry'!AG$9)),MAX(MIN('Council Entry'!AG44,'Council Entry'!AG$9),'Council Entry'!AG$8),'Council Entry'!AG44))))-'Council Entry'!AG$5)/('Council Entry'!AG$6-'Council Entry'!AG$5)),1))),"No data"))</f>
        <v/>
      </c>
      <c r="AH44" s="13">
        <f>IF('Council Entry'!AH44="","",IFERROR(MAX(0,MIN(10,ROUND(IF('Council Entry'!AH$7="Decrease Risk",10-10*((IF('Council Entry'!AH$4="Logarithm",LN(0.001+IF(AND(ISNUMBER('Council Entry'!AH$8),ISNUMBER('Council Entry'!AH$9)),MAX(MIN('Council Entry'!AH44,'Council Entry'!AH$9),'Council Entry'!AH$8),'Council Entry'!AH44)),IF('Council Entry'!AH$4="Exponential",EXP(IF(AND(ISNUMBER('Council Entry'!AH$8),ISNUMBER('Council Entry'!AH$9)),MAX(MIN('Council Entry'!AH44,'Council Entry'!AH$9),'Council Entry'!AH$8),'Council Entry'!AH44)),IF(AND(ISNUMBER('Council Entry'!AH$8),ISNUMBER('Council Entry'!AH$9)),MAX(MIN('Council Entry'!AH44,'Council Entry'!AH$9),'Council Entry'!AH$8),'Council Entry'!AH44))))-'Council Entry'!AH$5)/('Council Entry'!AH$6-'Council Entry'!AH$5),10*((IF('Council Entry'!AH$4="Logarithm",LN(0.001+IF(AND(ISNUMBER('Council Entry'!AH$8),ISNUMBER('Council Entry'!AH$9)),MAX(MIN('Council Entry'!AH44,'Council Entry'!AH$9),'Council Entry'!AH$8),'Council Entry'!AH44)),IF('Council Entry'!AH$4="Exponential",EXP(IF(AND(ISNUMBER('Council Entry'!AH$8),ISNUMBER('Council Entry'!AH$9)),MAX(MIN('Council Entry'!AH44,'Council Entry'!AH$9),'Council Entry'!AH$8),'Council Entry'!AH44)),IF(AND(ISNUMBER('Council Entry'!AH$8),ISNUMBER('Council Entry'!AH$9)),MAX(MIN('Council Entry'!AH44,'Council Entry'!AH$9),'Council Entry'!AH$8),'Council Entry'!AH44))))-'Council Entry'!AH$5)/('Council Entry'!AH$6-'Council Entry'!AH$5)),1))),"No data"))</f>
        <v/>
      </c>
      <c r="AI44" s="13">
        <f>IF('Council Entry'!AI44="","",IFERROR(MAX(0,MIN(10,ROUND(IF('Council Entry'!AI$7="Decrease Risk",10-10*((IF('Council Entry'!AI$4="Logarithm",LN(0.001+IF(AND(ISNUMBER('Council Entry'!AI$8),ISNUMBER('Council Entry'!AI$9)),MAX(MIN('Council Entry'!AI44,'Council Entry'!AI$9),'Council Entry'!AI$8),'Council Entry'!AI44)),IF('Council Entry'!AI$4="Exponential",EXP(IF(AND(ISNUMBER('Council Entry'!AI$8),ISNUMBER('Council Entry'!AI$9)),MAX(MIN('Council Entry'!AI44,'Council Entry'!AI$9),'Council Entry'!AI$8),'Council Entry'!AI44)),IF(AND(ISNUMBER('Council Entry'!AI$8),ISNUMBER('Council Entry'!AI$9)),MAX(MIN('Council Entry'!AI44,'Council Entry'!AI$9),'Council Entry'!AI$8),'Council Entry'!AI44))))-'Council Entry'!AI$5)/('Council Entry'!AI$6-'Council Entry'!AI$5),10*((IF('Council Entry'!AI$4="Logarithm",LN(0.001+IF(AND(ISNUMBER('Council Entry'!AI$8),ISNUMBER('Council Entry'!AI$9)),MAX(MIN('Council Entry'!AI44,'Council Entry'!AI$9),'Council Entry'!AI$8),'Council Entry'!AI44)),IF('Council Entry'!AI$4="Exponential",EXP(IF(AND(ISNUMBER('Council Entry'!AI$8),ISNUMBER('Council Entry'!AI$9)),MAX(MIN('Council Entry'!AI44,'Council Entry'!AI$9),'Council Entry'!AI$8),'Council Entry'!AI44)),IF(AND(ISNUMBER('Council Entry'!AI$8),ISNUMBER('Council Entry'!AI$9)),MAX(MIN('Council Entry'!AI44,'Council Entry'!AI$9),'Council Entry'!AI$8),'Council Entry'!AI44))))-'Council Entry'!AI$5)/('Council Entry'!AI$6-'Council Entry'!AI$5)),1))),"No data"))</f>
        <v/>
      </c>
      <c r="AJ44" s="13">
        <f>IF('Council Entry'!AJ44="","",IFERROR(MAX(0,MIN(10,ROUND(IF('Council Entry'!AJ$7="Decrease Risk",10-10*((IF('Council Entry'!AJ$4="Logarithm",LN(0.001+IF(AND(ISNUMBER('Council Entry'!AJ$8),ISNUMBER('Council Entry'!AJ$9)),MAX(MIN('Council Entry'!AJ44,'Council Entry'!AJ$9),'Council Entry'!AJ$8),'Council Entry'!AJ44)),IF('Council Entry'!AJ$4="Exponential",EXP(IF(AND(ISNUMBER('Council Entry'!AJ$8),ISNUMBER('Council Entry'!AJ$9)),MAX(MIN('Council Entry'!AJ44,'Council Entry'!AJ$9),'Council Entry'!AJ$8),'Council Entry'!AJ44)),IF(AND(ISNUMBER('Council Entry'!AJ$8),ISNUMBER('Council Entry'!AJ$9)),MAX(MIN('Council Entry'!AJ44,'Council Entry'!AJ$9),'Council Entry'!AJ$8),'Council Entry'!AJ44))))-'Council Entry'!AJ$5)/('Council Entry'!AJ$6-'Council Entry'!AJ$5),10*((IF('Council Entry'!AJ$4="Logarithm",LN(0.001+IF(AND(ISNUMBER('Council Entry'!AJ$8),ISNUMBER('Council Entry'!AJ$9)),MAX(MIN('Council Entry'!AJ44,'Council Entry'!AJ$9),'Council Entry'!AJ$8),'Council Entry'!AJ44)),IF('Council Entry'!AJ$4="Exponential",EXP(IF(AND(ISNUMBER('Council Entry'!AJ$8),ISNUMBER('Council Entry'!AJ$9)),MAX(MIN('Council Entry'!AJ44,'Council Entry'!AJ$9),'Council Entry'!AJ$8),'Council Entry'!AJ44)),IF(AND(ISNUMBER('Council Entry'!AJ$8),ISNUMBER('Council Entry'!AJ$9)),MAX(MIN('Council Entry'!AJ44,'Council Entry'!AJ$9),'Council Entry'!AJ$8),'Council Entry'!AJ44))))-'Council Entry'!AJ$5)/('Council Entry'!AJ$6-'Council Entry'!AJ$5)),1))),"No data"))</f>
        <v/>
      </c>
      <c r="AK44" s="13">
        <f>IF('Council Entry'!AK44="","",IFERROR(MAX(0,MIN(10,ROUND(IF('Council Entry'!AK$7="Decrease Risk",10-10*((IF('Council Entry'!AK$4="Logarithm",LN(0.001+IF(AND(ISNUMBER('Council Entry'!AK$8),ISNUMBER('Council Entry'!AK$9)),MAX(MIN('Council Entry'!AK44,'Council Entry'!AK$9),'Council Entry'!AK$8),'Council Entry'!AK44)),IF('Council Entry'!AK$4="Exponential",EXP(IF(AND(ISNUMBER('Council Entry'!AK$8),ISNUMBER('Council Entry'!AK$9)),MAX(MIN('Council Entry'!AK44,'Council Entry'!AK$9),'Council Entry'!AK$8),'Council Entry'!AK44)),IF(AND(ISNUMBER('Council Entry'!AK$8),ISNUMBER('Council Entry'!AK$9)),MAX(MIN('Council Entry'!AK44,'Council Entry'!AK$9),'Council Entry'!AK$8),'Council Entry'!AK44))))-'Council Entry'!AK$5)/('Council Entry'!AK$6-'Council Entry'!AK$5),10*((IF('Council Entry'!AK$4="Logarithm",LN(0.001+IF(AND(ISNUMBER('Council Entry'!AK$8),ISNUMBER('Council Entry'!AK$9)),MAX(MIN('Council Entry'!AK44,'Council Entry'!AK$9),'Council Entry'!AK$8),'Council Entry'!AK44)),IF('Council Entry'!AK$4="Exponential",EXP(IF(AND(ISNUMBER('Council Entry'!AK$8),ISNUMBER('Council Entry'!AK$9)),MAX(MIN('Council Entry'!AK44,'Council Entry'!AK$9),'Council Entry'!AK$8),'Council Entry'!AK44)),IF(AND(ISNUMBER('Council Entry'!AK$8),ISNUMBER('Council Entry'!AK$9)),MAX(MIN('Council Entry'!AK44,'Council Entry'!AK$9),'Council Entry'!AK$8),'Council Entry'!AK44))))-'Council Entry'!AK$5)/('Council Entry'!AK$6-'Council Entry'!AK$5)),1))),"No data"))</f>
        <v/>
      </c>
      <c r="AL44" s="13">
        <f>IF('Council Entry'!AL44="","",IFERROR(MAX(0,MIN(10,ROUND(IF('Council Entry'!AL$7="Decrease Risk",10-10*((IF('Council Entry'!AL$4="Logarithm",LN(0.001+IF(AND(ISNUMBER('Council Entry'!AL$8),ISNUMBER('Council Entry'!AL$9)),MAX(MIN('Council Entry'!AL44,'Council Entry'!AL$9),'Council Entry'!AL$8),'Council Entry'!AL44)),IF('Council Entry'!AL$4="Exponential",EXP(IF(AND(ISNUMBER('Council Entry'!AL$8),ISNUMBER('Council Entry'!AL$9)),MAX(MIN('Council Entry'!AL44,'Council Entry'!AL$9),'Council Entry'!AL$8),'Council Entry'!AL44)),IF(AND(ISNUMBER('Council Entry'!AL$8),ISNUMBER('Council Entry'!AL$9)),MAX(MIN('Council Entry'!AL44,'Council Entry'!AL$9),'Council Entry'!AL$8),'Council Entry'!AL44))))-'Council Entry'!AL$5)/('Council Entry'!AL$6-'Council Entry'!AL$5),10*((IF('Council Entry'!AL$4="Logarithm",LN(0.001+IF(AND(ISNUMBER('Council Entry'!AL$8),ISNUMBER('Council Entry'!AL$9)),MAX(MIN('Council Entry'!AL44,'Council Entry'!AL$9),'Council Entry'!AL$8),'Council Entry'!AL44)),IF('Council Entry'!AL$4="Exponential",EXP(IF(AND(ISNUMBER('Council Entry'!AL$8),ISNUMBER('Council Entry'!AL$9)),MAX(MIN('Council Entry'!AL44,'Council Entry'!AL$9),'Council Entry'!AL$8),'Council Entry'!AL44)),IF(AND(ISNUMBER('Council Entry'!AL$8),ISNUMBER('Council Entry'!AL$9)),MAX(MIN('Council Entry'!AL44,'Council Entry'!AL$9),'Council Entry'!AL$8),'Council Entry'!AL44))))-'Council Entry'!AL$5)/('Council Entry'!AL$6-'Council Entry'!AL$5)),1))),"No data"))</f>
        <v/>
      </c>
      <c r="AM44" s="13">
        <f>IF('Council Entry'!AM44="","",IFERROR(MAX(0,MIN(10,ROUND(IF('Council Entry'!AM$7="Decrease Risk",10-10*((IF('Council Entry'!AM$4="Logarithm",LN(0.001+IF(AND(ISNUMBER('Council Entry'!AM$8),ISNUMBER('Council Entry'!AM$9)),MAX(MIN('Council Entry'!AM44,'Council Entry'!AM$9),'Council Entry'!AM$8),'Council Entry'!AM44)),IF('Council Entry'!AM$4="Exponential",EXP(IF(AND(ISNUMBER('Council Entry'!AM$8),ISNUMBER('Council Entry'!AM$9)),MAX(MIN('Council Entry'!AM44,'Council Entry'!AM$9),'Council Entry'!AM$8),'Council Entry'!AM44)),IF(AND(ISNUMBER('Council Entry'!AM$8),ISNUMBER('Council Entry'!AM$9)),MAX(MIN('Council Entry'!AM44,'Council Entry'!AM$9),'Council Entry'!AM$8),'Council Entry'!AM44))))-'Council Entry'!AM$5)/('Council Entry'!AM$6-'Council Entry'!AM$5),10*((IF('Council Entry'!AM$4="Logarithm",LN(0.001+IF(AND(ISNUMBER('Council Entry'!AM$8),ISNUMBER('Council Entry'!AM$9)),MAX(MIN('Council Entry'!AM44,'Council Entry'!AM$9),'Council Entry'!AM$8),'Council Entry'!AM44)),IF('Council Entry'!AM$4="Exponential",EXP(IF(AND(ISNUMBER('Council Entry'!AM$8),ISNUMBER('Council Entry'!AM$9)),MAX(MIN('Council Entry'!AM44,'Council Entry'!AM$9),'Council Entry'!AM$8),'Council Entry'!AM44)),IF(AND(ISNUMBER('Council Entry'!AM$8),ISNUMBER('Council Entry'!AM$9)),MAX(MIN('Council Entry'!AM44,'Council Entry'!AM$9),'Council Entry'!AM$8),'Council Entry'!AM44))))-'Council Entry'!AM$5)/('Council Entry'!AM$6-'Council Entry'!AM$5)),1))),"No data"))</f>
        <v/>
      </c>
      <c r="AN44" s="13">
        <f>IF('Council Entry'!AN44="","",IFERROR(MAX(0,MIN(10,ROUND(IF('Council Entry'!AN$7="Decrease Risk",10-10*((IF('Council Entry'!AN$4="Logarithm",LN(0.001+IF(AND(ISNUMBER('Council Entry'!AN$8),ISNUMBER('Council Entry'!AN$9)),MAX(MIN('Council Entry'!AN44,'Council Entry'!AN$9),'Council Entry'!AN$8),'Council Entry'!AN44)),IF('Council Entry'!AN$4="Exponential",EXP(IF(AND(ISNUMBER('Council Entry'!AN$8),ISNUMBER('Council Entry'!AN$9)),MAX(MIN('Council Entry'!AN44,'Council Entry'!AN$9),'Council Entry'!AN$8),'Council Entry'!AN44)),IF(AND(ISNUMBER('Council Entry'!AN$8),ISNUMBER('Council Entry'!AN$9)),MAX(MIN('Council Entry'!AN44,'Council Entry'!AN$9),'Council Entry'!AN$8),'Council Entry'!AN44))))-'Council Entry'!AN$5)/('Council Entry'!AN$6-'Council Entry'!AN$5),10*((IF('Council Entry'!AN$4="Logarithm",LN(0.001+IF(AND(ISNUMBER('Council Entry'!AN$8),ISNUMBER('Council Entry'!AN$9)),MAX(MIN('Council Entry'!AN44,'Council Entry'!AN$9),'Council Entry'!AN$8),'Council Entry'!AN44)),IF('Council Entry'!AN$4="Exponential",EXP(IF(AND(ISNUMBER('Council Entry'!AN$8),ISNUMBER('Council Entry'!AN$9)),MAX(MIN('Council Entry'!AN44,'Council Entry'!AN$9),'Council Entry'!AN$8),'Council Entry'!AN44)),IF(AND(ISNUMBER('Council Entry'!AN$8),ISNUMBER('Council Entry'!AN$9)),MAX(MIN('Council Entry'!AN44,'Council Entry'!AN$9),'Council Entry'!AN$8),'Council Entry'!AN44))))-'Council Entry'!AN$5)/('Council Entry'!AN$6-'Council Entry'!AN$5)),1))),"No data"))</f>
        <v/>
      </c>
      <c r="AO44" s="13">
        <f>IF('Council Entry'!AO44="","",IFERROR(MAX(0,MIN(10,ROUND(IF('Council Entry'!AO$7="Decrease Risk",10-10*((IF('Council Entry'!AO$4="Logarithm",LN(0.001+IF(AND(ISNUMBER('Council Entry'!AO$8),ISNUMBER('Council Entry'!AO$9)),MAX(MIN('Council Entry'!AO44,'Council Entry'!AO$9),'Council Entry'!AO$8),'Council Entry'!AO44)),IF('Council Entry'!AO$4="Exponential",EXP(IF(AND(ISNUMBER('Council Entry'!AO$8),ISNUMBER('Council Entry'!AO$9)),MAX(MIN('Council Entry'!AO44,'Council Entry'!AO$9),'Council Entry'!AO$8),'Council Entry'!AO44)),IF(AND(ISNUMBER('Council Entry'!AO$8),ISNUMBER('Council Entry'!AO$9)),MAX(MIN('Council Entry'!AO44,'Council Entry'!AO$9),'Council Entry'!AO$8),'Council Entry'!AO44))))-'Council Entry'!AO$5)/('Council Entry'!AO$6-'Council Entry'!AO$5),10*((IF('Council Entry'!AO$4="Logarithm",LN(0.001+IF(AND(ISNUMBER('Council Entry'!AO$8),ISNUMBER('Council Entry'!AO$9)),MAX(MIN('Council Entry'!AO44,'Council Entry'!AO$9),'Council Entry'!AO$8),'Council Entry'!AO44)),IF('Council Entry'!AO$4="Exponential",EXP(IF(AND(ISNUMBER('Council Entry'!AO$8),ISNUMBER('Council Entry'!AO$9)),MAX(MIN('Council Entry'!AO44,'Council Entry'!AO$9),'Council Entry'!AO$8),'Council Entry'!AO44)),IF(AND(ISNUMBER('Council Entry'!AO$8),ISNUMBER('Council Entry'!AO$9)),MAX(MIN('Council Entry'!AO44,'Council Entry'!AO$9),'Council Entry'!AO$8),'Council Entry'!AO44))))-'Council Entry'!AO$5)/('Council Entry'!AO$6-'Council Entry'!AO$5)),1))),"No data"))</f>
        <v/>
      </c>
      <c r="AP44" s="13">
        <f>IF('Council Entry'!AP44="","",IFERROR(MAX(0,MIN(10,ROUND(IF('Council Entry'!AP$7="Decrease Risk",10-10*((IF('Council Entry'!AP$4="Logarithm",LN(0.001+IF(AND(ISNUMBER('Council Entry'!AP$8),ISNUMBER('Council Entry'!AP$9)),MAX(MIN('Council Entry'!AP44,'Council Entry'!AP$9),'Council Entry'!AP$8),'Council Entry'!AP44)),IF('Council Entry'!AP$4="Exponential",EXP(IF(AND(ISNUMBER('Council Entry'!AP$8),ISNUMBER('Council Entry'!AP$9)),MAX(MIN('Council Entry'!AP44,'Council Entry'!AP$9),'Council Entry'!AP$8),'Council Entry'!AP44)),IF(AND(ISNUMBER('Council Entry'!AP$8),ISNUMBER('Council Entry'!AP$9)),MAX(MIN('Council Entry'!AP44,'Council Entry'!AP$9),'Council Entry'!AP$8),'Council Entry'!AP44))))-'Council Entry'!AP$5)/('Council Entry'!AP$6-'Council Entry'!AP$5),10*((IF('Council Entry'!AP$4="Logarithm",LN(0.001+IF(AND(ISNUMBER('Council Entry'!AP$8),ISNUMBER('Council Entry'!AP$9)),MAX(MIN('Council Entry'!AP44,'Council Entry'!AP$9),'Council Entry'!AP$8),'Council Entry'!AP44)),IF('Council Entry'!AP$4="Exponential",EXP(IF(AND(ISNUMBER('Council Entry'!AP$8),ISNUMBER('Council Entry'!AP$9)),MAX(MIN('Council Entry'!AP44,'Council Entry'!AP$9),'Council Entry'!AP$8),'Council Entry'!AP44)),IF(AND(ISNUMBER('Council Entry'!AP$8),ISNUMBER('Council Entry'!AP$9)),MAX(MIN('Council Entry'!AP44,'Council Entry'!AP$9),'Council Entry'!AP$8),'Council Entry'!AP44))))-'Council Entry'!AP$5)/('Council Entry'!AP$6-'Council Entry'!AP$5)),1))),"No data"))</f>
        <v/>
      </c>
      <c r="AQ44" s="13">
        <f>IF('Council Entry'!AQ44="","",IFERROR(MAX(0,MIN(10,ROUND(IF('Council Entry'!AQ$7="Decrease Risk",10-10*((IF('Council Entry'!AQ$4="Logarithm",LN(0.001+IF(AND(ISNUMBER('Council Entry'!AQ$8),ISNUMBER('Council Entry'!AQ$9)),MAX(MIN('Council Entry'!AQ44,'Council Entry'!AQ$9),'Council Entry'!AQ$8),'Council Entry'!AQ44)),IF('Council Entry'!AQ$4="Exponential",EXP(IF(AND(ISNUMBER('Council Entry'!AQ$8),ISNUMBER('Council Entry'!AQ$9)),MAX(MIN('Council Entry'!AQ44,'Council Entry'!AQ$9),'Council Entry'!AQ$8),'Council Entry'!AQ44)),IF(AND(ISNUMBER('Council Entry'!AQ$8),ISNUMBER('Council Entry'!AQ$9)),MAX(MIN('Council Entry'!AQ44,'Council Entry'!AQ$9),'Council Entry'!AQ$8),'Council Entry'!AQ44))))-'Council Entry'!AQ$5)/('Council Entry'!AQ$6-'Council Entry'!AQ$5),10*((IF('Council Entry'!AQ$4="Logarithm",LN(0.001+IF(AND(ISNUMBER('Council Entry'!AQ$8),ISNUMBER('Council Entry'!AQ$9)),MAX(MIN('Council Entry'!AQ44,'Council Entry'!AQ$9),'Council Entry'!AQ$8),'Council Entry'!AQ44)),IF('Council Entry'!AQ$4="Exponential",EXP(IF(AND(ISNUMBER('Council Entry'!AQ$8),ISNUMBER('Council Entry'!AQ$9)),MAX(MIN('Council Entry'!AQ44,'Council Entry'!AQ$9),'Council Entry'!AQ$8),'Council Entry'!AQ44)),IF(AND(ISNUMBER('Council Entry'!AQ$8),ISNUMBER('Council Entry'!AQ$9)),MAX(MIN('Council Entry'!AQ44,'Council Entry'!AQ$9),'Council Entry'!AQ$8),'Council Entry'!AQ44))))-'Council Entry'!AQ$5)/('Council Entry'!AQ$6-'Council Entry'!AQ$5)),1))),"No data"))</f>
        <v/>
      </c>
      <c r="AR44" s="13">
        <f>IF('Council Entry'!AR44="","",IFERROR(MAX(0,MIN(10,ROUND(IF('Council Entry'!AR$7="Decrease Risk",10-10*((IF('Council Entry'!AR$4="Logarithm",LN(0.001+IF(AND(ISNUMBER('Council Entry'!AR$8),ISNUMBER('Council Entry'!AR$9)),MAX(MIN('Council Entry'!AR44,'Council Entry'!AR$9),'Council Entry'!AR$8),'Council Entry'!AR44)),IF('Council Entry'!AR$4="Exponential",EXP(IF(AND(ISNUMBER('Council Entry'!AR$8),ISNUMBER('Council Entry'!AR$9)),MAX(MIN('Council Entry'!AR44,'Council Entry'!AR$9),'Council Entry'!AR$8),'Council Entry'!AR44)),IF(AND(ISNUMBER('Council Entry'!AR$8),ISNUMBER('Council Entry'!AR$9)),MAX(MIN('Council Entry'!AR44,'Council Entry'!AR$9),'Council Entry'!AR$8),'Council Entry'!AR44))))-'Council Entry'!AR$5)/('Council Entry'!AR$6-'Council Entry'!AR$5),10*((IF('Council Entry'!AR$4="Logarithm",LN(0.001+IF(AND(ISNUMBER('Council Entry'!AR$8),ISNUMBER('Council Entry'!AR$9)),MAX(MIN('Council Entry'!AR44,'Council Entry'!AR$9),'Council Entry'!AR$8),'Council Entry'!AR44)),IF('Council Entry'!AR$4="Exponential",EXP(IF(AND(ISNUMBER('Council Entry'!AR$8),ISNUMBER('Council Entry'!AR$9)),MAX(MIN('Council Entry'!AR44,'Council Entry'!AR$9),'Council Entry'!AR$8),'Council Entry'!AR44)),IF(AND(ISNUMBER('Council Entry'!AR$8),ISNUMBER('Council Entry'!AR$9)),MAX(MIN('Council Entry'!AR44,'Council Entry'!AR$9),'Council Entry'!AR$8),'Council Entry'!AR44))))-'Council Entry'!AR$5)/('Council Entry'!AR$6-'Council Entry'!AR$5)),1))),"No data"))</f>
        <v/>
      </c>
      <c r="AS44" s="13">
        <f>IF('Council Entry'!AS44="","",IFERROR(MAX(0,MIN(10,ROUND(IF('Council Entry'!AS$7="Decrease Risk",10-10*((IF('Council Entry'!AS$4="Logarithm",LN(0.001+IF(AND(ISNUMBER('Council Entry'!AS$8),ISNUMBER('Council Entry'!AS$9)),MAX(MIN('Council Entry'!AS44,'Council Entry'!AS$9),'Council Entry'!AS$8),'Council Entry'!AS44)),IF('Council Entry'!AS$4="Exponential",EXP(IF(AND(ISNUMBER('Council Entry'!AS$8),ISNUMBER('Council Entry'!AS$9)),MAX(MIN('Council Entry'!AS44,'Council Entry'!AS$9),'Council Entry'!AS$8),'Council Entry'!AS44)),IF(AND(ISNUMBER('Council Entry'!AS$8),ISNUMBER('Council Entry'!AS$9)),MAX(MIN('Council Entry'!AS44,'Council Entry'!AS$9),'Council Entry'!AS$8),'Council Entry'!AS44))))-'Council Entry'!AS$5)/('Council Entry'!AS$6-'Council Entry'!AS$5),10*((IF('Council Entry'!AS$4="Logarithm",LN(0.001+IF(AND(ISNUMBER('Council Entry'!AS$8),ISNUMBER('Council Entry'!AS$9)),MAX(MIN('Council Entry'!AS44,'Council Entry'!AS$9),'Council Entry'!AS$8),'Council Entry'!AS44)),IF('Council Entry'!AS$4="Exponential",EXP(IF(AND(ISNUMBER('Council Entry'!AS$8),ISNUMBER('Council Entry'!AS$9)),MAX(MIN('Council Entry'!AS44,'Council Entry'!AS$9),'Council Entry'!AS$8),'Council Entry'!AS44)),IF(AND(ISNUMBER('Council Entry'!AS$8),ISNUMBER('Council Entry'!AS$9)),MAX(MIN('Council Entry'!AS44,'Council Entry'!AS$9),'Council Entry'!AS$8),'Council Entry'!AS44))))-'Council Entry'!AS$5)/('Council Entry'!AS$6-'Council Entry'!AS$5)),1))),"No data"))</f>
        <v/>
      </c>
      <c r="AT44" s="13">
        <f>IF('Council Entry'!AT44="","",IFERROR(MAX(0,MIN(10,ROUND(IF('Council Entry'!AT$7="Decrease Risk",10-10*((IF('Council Entry'!AT$4="Logarithm",LN(0.001+IF(AND(ISNUMBER('Council Entry'!AT$8),ISNUMBER('Council Entry'!AT$9)),MAX(MIN('Council Entry'!AT44,'Council Entry'!AT$9),'Council Entry'!AT$8),'Council Entry'!AT44)),IF('Council Entry'!AT$4="Exponential",EXP(IF(AND(ISNUMBER('Council Entry'!AT$8),ISNUMBER('Council Entry'!AT$9)),MAX(MIN('Council Entry'!AT44,'Council Entry'!AT$9),'Council Entry'!AT$8),'Council Entry'!AT44)),IF(AND(ISNUMBER('Council Entry'!AT$8),ISNUMBER('Council Entry'!AT$9)),MAX(MIN('Council Entry'!AT44,'Council Entry'!AT$9),'Council Entry'!AT$8),'Council Entry'!AT44))))-'Council Entry'!AT$5)/('Council Entry'!AT$6-'Council Entry'!AT$5),10*((IF('Council Entry'!AT$4="Logarithm",LN(0.001+IF(AND(ISNUMBER('Council Entry'!AT$8),ISNUMBER('Council Entry'!AT$9)),MAX(MIN('Council Entry'!AT44,'Council Entry'!AT$9),'Council Entry'!AT$8),'Council Entry'!AT44)),IF('Council Entry'!AT$4="Exponential",EXP(IF(AND(ISNUMBER('Council Entry'!AT$8),ISNUMBER('Council Entry'!AT$9)),MAX(MIN('Council Entry'!AT44,'Council Entry'!AT$9),'Council Entry'!AT$8),'Council Entry'!AT44)),IF(AND(ISNUMBER('Council Entry'!AT$8),ISNUMBER('Council Entry'!AT$9)),MAX(MIN('Council Entry'!AT44,'Council Entry'!AT$9),'Council Entry'!AT$8),'Council Entry'!AT44))))-'Council Entry'!AT$5)/('Council Entry'!AT$6-'Council Entry'!AT$5)),1))),"No data"))</f>
        <v/>
      </c>
      <c r="AU44" s="13">
        <f>IF('Council Entry'!AU44="","",IFERROR(MAX(0,MIN(10,ROUND(IF('Council Entry'!AU$7="Decrease Risk",10-10*((IF('Council Entry'!AU$4="Logarithm",LN(0.001+IF(AND(ISNUMBER('Council Entry'!AU$8),ISNUMBER('Council Entry'!AU$9)),MAX(MIN('Council Entry'!AU44,'Council Entry'!AU$9),'Council Entry'!AU$8),'Council Entry'!AU44)),IF('Council Entry'!AU$4="Exponential",EXP(IF(AND(ISNUMBER('Council Entry'!AU$8),ISNUMBER('Council Entry'!AU$9)),MAX(MIN('Council Entry'!AU44,'Council Entry'!AU$9),'Council Entry'!AU$8),'Council Entry'!AU44)),IF(AND(ISNUMBER('Council Entry'!AU$8),ISNUMBER('Council Entry'!AU$9)),MAX(MIN('Council Entry'!AU44,'Council Entry'!AU$9),'Council Entry'!AU$8),'Council Entry'!AU44))))-'Council Entry'!AU$5)/('Council Entry'!AU$6-'Council Entry'!AU$5),10*((IF('Council Entry'!AU$4="Logarithm",LN(0.001+IF(AND(ISNUMBER('Council Entry'!AU$8),ISNUMBER('Council Entry'!AU$9)),MAX(MIN('Council Entry'!AU44,'Council Entry'!AU$9),'Council Entry'!AU$8),'Council Entry'!AU44)),IF('Council Entry'!AU$4="Exponential",EXP(IF(AND(ISNUMBER('Council Entry'!AU$8),ISNUMBER('Council Entry'!AU$9)),MAX(MIN('Council Entry'!AU44,'Council Entry'!AU$9),'Council Entry'!AU$8),'Council Entry'!AU44)),IF(AND(ISNUMBER('Council Entry'!AU$8),ISNUMBER('Council Entry'!AU$9)),MAX(MIN('Council Entry'!AU44,'Council Entry'!AU$9),'Council Entry'!AU$8),'Council Entry'!AU44))))-'Council Entry'!AU$5)/('Council Entry'!AU$6-'Council Entry'!AU$5)),1))),"No data"))</f>
        <v/>
      </c>
      <c r="AV44" s="13">
        <f>IF('Council Entry'!AV44="","",IFERROR(MAX(0,MIN(10,ROUND(IF('Council Entry'!AV$7="Decrease Risk",10-10*((IF('Council Entry'!AV$4="Logarithm",LN(0.001+IF(AND(ISNUMBER('Council Entry'!AV$8),ISNUMBER('Council Entry'!AV$9)),MAX(MIN('Council Entry'!AV44,'Council Entry'!AV$9),'Council Entry'!AV$8),'Council Entry'!AV44)),IF('Council Entry'!AV$4="Exponential",EXP(IF(AND(ISNUMBER('Council Entry'!AV$8),ISNUMBER('Council Entry'!AV$9)),MAX(MIN('Council Entry'!AV44,'Council Entry'!AV$9),'Council Entry'!AV$8),'Council Entry'!AV44)),IF(AND(ISNUMBER('Council Entry'!AV$8),ISNUMBER('Council Entry'!AV$9)),MAX(MIN('Council Entry'!AV44,'Council Entry'!AV$9),'Council Entry'!AV$8),'Council Entry'!AV44))))-'Council Entry'!AV$5)/('Council Entry'!AV$6-'Council Entry'!AV$5),10*((IF('Council Entry'!AV$4="Logarithm",LN(0.001+IF(AND(ISNUMBER('Council Entry'!AV$8),ISNUMBER('Council Entry'!AV$9)),MAX(MIN('Council Entry'!AV44,'Council Entry'!AV$9),'Council Entry'!AV$8),'Council Entry'!AV44)),IF('Council Entry'!AV$4="Exponential",EXP(IF(AND(ISNUMBER('Council Entry'!AV$8),ISNUMBER('Council Entry'!AV$9)),MAX(MIN('Council Entry'!AV44,'Council Entry'!AV$9),'Council Entry'!AV$8),'Council Entry'!AV44)),IF(AND(ISNUMBER('Council Entry'!AV$8),ISNUMBER('Council Entry'!AV$9)),MAX(MIN('Council Entry'!AV44,'Council Entry'!AV$9),'Council Entry'!AV$8),'Council Entry'!AV44))))-'Council Entry'!AV$5)/('Council Entry'!AV$6-'Council Entry'!AV$5)),1))),"No data"))</f>
        <v/>
      </c>
      <c r="AW44" s="13">
        <f>IF('Council Entry'!AW44="","",IFERROR(MAX(0,MIN(10,ROUND(IF('Council Entry'!AW$7="Decrease Risk",10-10*((IF('Council Entry'!AW$4="Logarithm",LN(0.001+IF(AND(ISNUMBER('Council Entry'!AW$8),ISNUMBER('Council Entry'!AW$9)),MAX(MIN('Council Entry'!AW44,'Council Entry'!AW$9),'Council Entry'!AW$8),'Council Entry'!AW44)),IF('Council Entry'!AW$4="Exponential",EXP(IF(AND(ISNUMBER('Council Entry'!AW$8),ISNUMBER('Council Entry'!AW$9)),MAX(MIN('Council Entry'!AW44,'Council Entry'!AW$9),'Council Entry'!AW$8),'Council Entry'!AW44)),IF(AND(ISNUMBER('Council Entry'!AW$8),ISNUMBER('Council Entry'!AW$9)),MAX(MIN('Council Entry'!AW44,'Council Entry'!AW$9),'Council Entry'!AW$8),'Council Entry'!AW44))))-'Council Entry'!AW$5)/('Council Entry'!AW$6-'Council Entry'!AW$5),10*((IF('Council Entry'!AW$4="Logarithm",LN(0.001+IF(AND(ISNUMBER('Council Entry'!AW$8),ISNUMBER('Council Entry'!AW$9)),MAX(MIN('Council Entry'!AW44,'Council Entry'!AW$9),'Council Entry'!AW$8),'Council Entry'!AW44)),IF('Council Entry'!AW$4="Exponential",EXP(IF(AND(ISNUMBER('Council Entry'!AW$8),ISNUMBER('Council Entry'!AW$9)),MAX(MIN('Council Entry'!AW44,'Council Entry'!AW$9),'Council Entry'!AW$8),'Council Entry'!AW44)),IF(AND(ISNUMBER('Council Entry'!AW$8),ISNUMBER('Council Entry'!AW$9)),MAX(MIN('Council Entry'!AW44,'Council Entry'!AW$9),'Council Entry'!AW$8),'Council Entry'!AW44))))-'Council Entry'!AW$5)/('Council Entry'!AW$6-'Council Entry'!AW$5)),1))),"No data"))</f>
        <v/>
      </c>
      <c r="AX44" s="13">
        <f>IF('Council Entry'!AX44="","",IFERROR(MAX(0,MIN(10,ROUND(IF('Council Entry'!AX$7="Decrease Risk",10-10*((IF('Council Entry'!AX$4="Logarithm",LN(0.001+IF(AND(ISNUMBER('Council Entry'!AX$8),ISNUMBER('Council Entry'!AX$9)),MAX(MIN('Council Entry'!AX44,'Council Entry'!AX$9),'Council Entry'!AX$8),'Council Entry'!AX44)),IF('Council Entry'!AX$4="Exponential",EXP(IF(AND(ISNUMBER('Council Entry'!AX$8),ISNUMBER('Council Entry'!AX$9)),MAX(MIN('Council Entry'!AX44,'Council Entry'!AX$9),'Council Entry'!AX$8),'Council Entry'!AX44)),IF(AND(ISNUMBER('Council Entry'!AX$8),ISNUMBER('Council Entry'!AX$9)),MAX(MIN('Council Entry'!AX44,'Council Entry'!AX$9),'Council Entry'!AX$8),'Council Entry'!AX44))))-'Council Entry'!AX$5)/('Council Entry'!AX$6-'Council Entry'!AX$5),10*((IF('Council Entry'!AX$4="Logarithm",LN(0.001+IF(AND(ISNUMBER('Council Entry'!AX$8),ISNUMBER('Council Entry'!AX$9)),MAX(MIN('Council Entry'!AX44,'Council Entry'!AX$9),'Council Entry'!AX$8),'Council Entry'!AX44)),IF('Council Entry'!AX$4="Exponential",EXP(IF(AND(ISNUMBER('Council Entry'!AX$8),ISNUMBER('Council Entry'!AX$9)),MAX(MIN('Council Entry'!AX44,'Council Entry'!AX$9),'Council Entry'!AX$8),'Council Entry'!AX44)),IF(AND(ISNUMBER('Council Entry'!AX$8),ISNUMBER('Council Entry'!AX$9)),MAX(MIN('Council Entry'!AX44,'Council Entry'!AX$9),'Council Entry'!AX$8),'Council Entry'!AX44))))-'Council Entry'!AX$5)/('Council Entry'!AX$6-'Council Entry'!AX$5)),1))),"No data"))</f>
        <v/>
      </c>
      <c r="AY44" s="13">
        <f>IF('Council Entry'!AY44="","",IFERROR(MAX(0,MIN(10,ROUND(IF('Council Entry'!AY$7="Decrease Risk",10-10*((IF('Council Entry'!AY$4="Logarithm",LN(0.001+IF(AND(ISNUMBER('Council Entry'!AY$8),ISNUMBER('Council Entry'!AY$9)),MAX(MIN('Council Entry'!AY44,'Council Entry'!AY$9),'Council Entry'!AY$8),'Council Entry'!AY44)),IF('Council Entry'!AY$4="Exponential",EXP(IF(AND(ISNUMBER('Council Entry'!AY$8),ISNUMBER('Council Entry'!AY$9)),MAX(MIN('Council Entry'!AY44,'Council Entry'!AY$9),'Council Entry'!AY$8),'Council Entry'!AY44)),IF(AND(ISNUMBER('Council Entry'!AY$8),ISNUMBER('Council Entry'!AY$9)),MAX(MIN('Council Entry'!AY44,'Council Entry'!AY$9),'Council Entry'!AY$8),'Council Entry'!AY44))))-'Council Entry'!AY$5)/('Council Entry'!AY$6-'Council Entry'!AY$5),10*((IF('Council Entry'!AY$4="Logarithm",LN(0.001+IF(AND(ISNUMBER('Council Entry'!AY$8),ISNUMBER('Council Entry'!AY$9)),MAX(MIN('Council Entry'!AY44,'Council Entry'!AY$9),'Council Entry'!AY$8),'Council Entry'!AY44)),IF('Council Entry'!AY$4="Exponential",EXP(IF(AND(ISNUMBER('Council Entry'!AY$8),ISNUMBER('Council Entry'!AY$9)),MAX(MIN('Council Entry'!AY44,'Council Entry'!AY$9),'Council Entry'!AY$8),'Council Entry'!AY44)),IF(AND(ISNUMBER('Council Entry'!AY$8),ISNUMBER('Council Entry'!AY$9)),MAX(MIN('Council Entry'!AY44,'Council Entry'!AY$9),'Council Entry'!AY$8),'Council Entry'!AY44))))-'Council Entry'!AY$5)/('Council Entry'!AY$6-'Council Entry'!AY$5)),1))),"No data"))</f>
        <v/>
      </c>
      <c r="AZ44" s="13">
        <f>IF('Council Entry'!AZ44="","",IFERROR(MAX(0,MIN(10,ROUND(IF('Council Entry'!AZ$7="Decrease Risk",10-10*((IF('Council Entry'!AZ$4="Logarithm",LN(0.001+IF(AND(ISNUMBER('Council Entry'!AZ$8),ISNUMBER('Council Entry'!AZ$9)),MAX(MIN('Council Entry'!AZ44,'Council Entry'!AZ$9),'Council Entry'!AZ$8),'Council Entry'!AZ44)),IF('Council Entry'!AZ$4="Exponential",EXP(IF(AND(ISNUMBER('Council Entry'!AZ$8),ISNUMBER('Council Entry'!AZ$9)),MAX(MIN('Council Entry'!AZ44,'Council Entry'!AZ$9),'Council Entry'!AZ$8),'Council Entry'!AZ44)),IF(AND(ISNUMBER('Council Entry'!AZ$8),ISNUMBER('Council Entry'!AZ$9)),MAX(MIN('Council Entry'!AZ44,'Council Entry'!AZ$9),'Council Entry'!AZ$8),'Council Entry'!AZ44))))-'Council Entry'!AZ$5)/('Council Entry'!AZ$6-'Council Entry'!AZ$5),10*((IF('Council Entry'!AZ$4="Logarithm",LN(0.001+IF(AND(ISNUMBER('Council Entry'!AZ$8),ISNUMBER('Council Entry'!AZ$9)),MAX(MIN('Council Entry'!AZ44,'Council Entry'!AZ$9),'Council Entry'!AZ$8),'Council Entry'!AZ44)),IF('Council Entry'!AZ$4="Exponential",EXP(IF(AND(ISNUMBER('Council Entry'!AZ$8),ISNUMBER('Council Entry'!AZ$9)),MAX(MIN('Council Entry'!AZ44,'Council Entry'!AZ$9),'Council Entry'!AZ$8),'Council Entry'!AZ44)),IF(AND(ISNUMBER('Council Entry'!AZ$8),ISNUMBER('Council Entry'!AZ$9)),MAX(MIN('Council Entry'!AZ44,'Council Entry'!AZ$9),'Council Entry'!AZ$8),'Council Entry'!AZ44))))-'Council Entry'!AZ$5)/('Council Entry'!AZ$6-'Council Entry'!AZ$5)),1))),"No data"))</f>
        <v/>
      </c>
      <c r="BA44" s="13">
        <f>IF('Council Entry'!BA44="","",IFERROR(MAX(0,MIN(10,ROUND(IF('Council Entry'!BA$7="Decrease Risk",10-10*((IF('Council Entry'!BA$4="Logarithm",LN(0.001+IF(AND(ISNUMBER('Council Entry'!BA$8),ISNUMBER('Council Entry'!BA$9)),MAX(MIN('Council Entry'!BA44,'Council Entry'!BA$9),'Council Entry'!BA$8),'Council Entry'!BA44)),IF('Council Entry'!BA$4="Exponential",EXP(IF(AND(ISNUMBER('Council Entry'!BA$8),ISNUMBER('Council Entry'!BA$9)),MAX(MIN('Council Entry'!BA44,'Council Entry'!BA$9),'Council Entry'!BA$8),'Council Entry'!BA44)),IF(AND(ISNUMBER('Council Entry'!BA$8),ISNUMBER('Council Entry'!BA$9)),MAX(MIN('Council Entry'!BA44,'Council Entry'!BA$9),'Council Entry'!BA$8),'Council Entry'!BA44))))-'Council Entry'!BA$5)/('Council Entry'!BA$6-'Council Entry'!BA$5),10*((IF('Council Entry'!BA$4="Logarithm",LN(0.001+IF(AND(ISNUMBER('Council Entry'!BA$8),ISNUMBER('Council Entry'!BA$9)),MAX(MIN('Council Entry'!BA44,'Council Entry'!BA$9),'Council Entry'!BA$8),'Council Entry'!BA44)),IF('Council Entry'!BA$4="Exponential",EXP(IF(AND(ISNUMBER('Council Entry'!BA$8),ISNUMBER('Council Entry'!BA$9)),MAX(MIN('Council Entry'!BA44,'Council Entry'!BA$9),'Council Entry'!BA$8),'Council Entry'!BA44)),IF(AND(ISNUMBER('Council Entry'!BA$8),ISNUMBER('Council Entry'!BA$9)),MAX(MIN('Council Entry'!BA44,'Council Entry'!BA$9),'Council Entry'!BA$8),'Council Entry'!BA44))))-'Council Entry'!BA$5)/('Council Entry'!BA$6-'Council Entry'!BA$5)),1))),"No data"))</f>
        <v/>
      </c>
      <c r="BB44" s="13">
        <f>IF('Council Entry'!BB44="","",IFERROR(MAX(0,MIN(10,ROUND(IF('Council Entry'!BB$7="Decrease Risk",10-10*((IF('Council Entry'!BB$4="Logarithm",LN(0.001+IF(AND(ISNUMBER('Council Entry'!BB$8),ISNUMBER('Council Entry'!BB$9)),MAX(MIN('Council Entry'!BB44,'Council Entry'!BB$9),'Council Entry'!BB$8),'Council Entry'!BB44)),IF('Council Entry'!BB$4="Exponential",EXP(IF(AND(ISNUMBER('Council Entry'!BB$8),ISNUMBER('Council Entry'!BB$9)),MAX(MIN('Council Entry'!BB44,'Council Entry'!BB$9),'Council Entry'!BB$8),'Council Entry'!BB44)),IF(AND(ISNUMBER('Council Entry'!BB$8),ISNUMBER('Council Entry'!BB$9)),MAX(MIN('Council Entry'!BB44,'Council Entry'!BB$9),'Council Entry'!BB$8),'Council Entry'!BB44))))-'Council Entry'!BB$5)/('Council Entry'!BB$6-'Council Entry'!BB$5),10*((IF('Council Entry'!BB$4="Logarithm",LN(0.001+IF(AND(ISNUMBER('Council Entry'!BB$8),ISNUMBER('Council Entry'!BB$9)),MAX(MIN('Council Entry'!BB44,'Council Entry'!BB$9),'Council Entry'!BB$8),'Council Entry'!BB44)),IF('Council Entry'!BB$4="Exponential",EXP(IF(AND(ISNUMBER('Council Entry'!BB$8),ISNUMBER('Council Entry'!BB$9)),MAX(MIN('Council Entry'!BB44,'Council Entry'!BB$9),'Council Entry'!BB$8),'Council Entry'!BB44)),IF(AND(ISNUMBER('Council Entry'!BB$8),ISNUMBER('Council Entry'!BB$9)),MAX(MIN('Council Entry'!BB44,'Council Entry'!BB$9),'Council Entry'!BB$8),'Council Entry'!BB44))))-'Council Entry'!BB$5)/('Council Entry'!BB$6-'Council Entry'!BB$5)),1))),"No data"))</f>
        <v/>
      </c>
      <c r="BC44" s="13">
        <f>IF('Council Entry'!BC44="","",IFERROR(MAX(0,MIN(10,ROUND(IF('Council Entry'!BC$7="Decrease Risk",10-10*((IF('Council Entry'!BC$4="Logarithm",LN(0.001+IF(AND(ISNUMBER('Council Entry'!BC$8),ISNUMBER('Council Entry'!BC$9)),MAX(MIN('Council Entry'!BC44,'Council Entry'!BC$9),'Council Entry'!BC$8),'Council Entry'!BC44)),IF('Council Entry'!BC$4="Exponential",EXP(IF(AND(ISNUMBER('Council Entry'!BC$8),ISNUMBER('Council Entry'!BC$9)),MAX(MIN('Council Entry'!BC44,'Council Entry'!BC$9),'Council Entry'!BC$8),'Council Entry'!BC44)),IF(AND(ISNUMBER('Council Entry'!BC$8),ISNUMBER('Council Entry'!BC$9)),MAX(MIN('Council Entry'!BC44,'Council Entry'!BC$9),'Council Entry'!BC$8),'Council Entry'!BC44))))-'Council Entry'!BC$5)/('Council Entry'!BC$6-'Council Entry'!BC$5),10*((IF('Council Entry'!BC$4="Logarithm",LN(0.001+IF(AND(ISNUMBER('Council Entry'!BC$8),ISNUMBER('Council Entry'!BC$9)),MAX(MIN('Council Entry'!BC44,'Council Entry'!BC$9),'Council Entry'!BC$8),'Council Entry'!BC44)),IF('Council Entry'!BC$4="Exponential",EXP(IF(AND(ISNUMBER('Council Entry'!BC$8),ISNUMBER('Council Entry'!BC$9)),MAX(MIN('Council Entry'!BC44,'Council Entry'!BC$9),'Council Entry'!BC$8),'Council Entry'!BC44)),IF(AND(ISNUMBER('Council Entry'!BC$8),ISNUMBER('Council Entry'!BC$9)),MAX(MIN('Council Entry'!BC44,'Council Entry'!BC$9),'Council Entry'!BC$8),'Council Entry'!BC44))))-'Council Entry'!BC$5)/('Council Entry'!BC$6-'Council Entry'!BC$5)),1))),"No data"))</f>
        <v/>
      </c>
      <c r="BD44" s="13">
        <f>IF('Council Entry'!BD44="","",IFERROR(MAX(0,MIN(10,ROUND(IF('Council Entry'!BD$7="Decrease Risk",10-10*((IF('Council Entry'!BD$4="Logarithm",LN(0.001+IF(AND(ISNUMBER('Council Entry'!BD$8),ISNUMBER('Council Entry'!BD$9)),MAX(MIN('Council Entry'!BD44,'Council Entry'!BD$9),'Council Entry'!BD$8),'Council Entry'!BD44)),IF('Council Entry'!BD$4="Exponential",EXP(IF(AND(ISNUMBER('Council Entry'!BD$8),ISNUMBER('Council Entry'!BD$9)),MAX(MIN('Council Entry'!BD44,'Council Entry'!BD$9),'Council Entry'!BD$8),'Council Entry'!BD44)),IF(AND(ISNUMBER('Council Entry'!BD$8),ISNUMBER('Council Entry'!BD$9)),MAX(MIN('Council Entry'!BD44,'Council Entry'!BD$9),'Council Entry'!BD$8),'Council Entry'!BD44))))-'Council Entry'!BD$5)/('Council Entry'!BD$6-'Council Entry'!BD$5),10*((IF('Council Entry'!BD$4="Logarithm",LN(0.001+IF(AND(ISNUMBER('Council Entry'!BD$8),ISNUMBER('Council Entry'!BD$9)),MAX(MIN('Council Entry'!BD44,'Council Entry'!BD$9),'Council Entry'!BD$8),'Council Entry'!BD44)),IF('Council Entry'!BD$4="Exponential",EXP(IF(AND(ISNUMBER('Council Entry'!BD$8),ISNUMBER('Council Entry'!BD$9)),MAX(MIN('Council Entry'!BD44,'Council Entry'!BD$9),'Council Entry'!BD$8),'Council Entry'!BD44)),IF(AND(ISNUMBER('Council Entry'!BD$8),ISNUMBER('Council Entry'!BD$9)),MAX(MIN('Council Entry'!BD44,'Council Entry'!BD$9),'Council Entry'!BD$8),'Council Entry'!BD44))))-'Council Entry'!BD$5)/('Council Entry'!BD$6-'Council Entry'!BD$5)),1))),"No data"))</f>
        <v/>
      </c>
    </row>
    <row r="45">
      <c r="A45" t="inlineStr">
        <is>
          <t>Kagera</t>
        </is>
      </c>
      <c r="B45" t="inlineStr">
        <is>
          <t>Karagwe District</t>
        </is>
      </c>
      <c r="C45" t="inlineStr">
        <is>
          <t>C125</t>
        </is>
      </c>
      <c r="D45" s="13">
        <f>IF('Council Entry'!D45="","",IFERROR(MAX(0,MIN(10,ROUND(IF('Council Entry'!D$7="Decrease Risk",10-10*((IF('Council Entry'!D$4="Logarithm",LN(0.001+IF(AND(ISNUMBER('Council Entry'!D$8),ISNUMBER('Council Entry'!D$9)),MAX(MIN('Council Entry'!D45,'Council Entry'!D$9),'Council Entry'!D$8),'Council Entry'!D45)),IF('Council Entry'!D$4="Exponential",EXP(IF(AND(ISNUMBER('Council Entry'!D$8),ISNUMBER('Council Entry'!D$9)),MAX(MIN('Council Entry'!D45,'Council Entry'!D$9),'Council Entry'!D$8),'Council Entry'!D45)),IF(AND(ISNUMBER('Council Entry'!D$8),ISNUMBER('Council Entry'!D$9)),MAX(MIN('Council Entry'!D45,'Council Entry'!D$9),'Council Entry'!D$8),'Council Entry'!D45))))-'Council Entry'!D$5)/('Council Entry'!D$6-'Council Entry'!D$5),10*((IF('Council Entry'!D$4="Logarithm",LN(0.001+IF(AND(ISNUMBER('Council Entry'!D$8),ISNUMBER('Council Entry'!D$9)),MAX(MIN('Council Entry'!D45,'Council Entry'!D$9),'Council Entry'!D$8),'Council Entry'!D45)),IF('Council Entry'!D$4="Exponential",EXP(IF(AND(ISNUMBER('Council Entry'!D$8),ISNUMBER('Council Entry'!D$9)),MAX(MIN('Council Entry'!D45,'Council Entry'!D$9),'Council Entry'!D$8),'Council Entry'!D45)),IF(AND(ISNUMBER('Council Entry'!D$8),ISNUMBER('Council Entry'!D$9)),MAX(MIN('Council Entry'!D45,'Council Entry'!D$9),'Council Entry'!D$8),'Council Entry'!D45))))-'Council Entry'!D$5)/('Council Entry'!D$6-'Council Entry'!D$5)),1))),"No data"))</f>
        <v/>
      </c>
      <c r="E45" s="13">
        <f>IF('Council Entry'!E45="","",IFERROR(MAX(0,MIN(10,ROUND(IF('Council Entry'!E$7="Decrease Risk",10-10*((IF('Council Entry'!E$4="Logarithm",LN(0.001+IF(AND(ISNUMBER('Council Entry'!E$8),ISNUMBER('Council Entry'!E$9)),MAX(MIN('Council Entry'!E45,'Council Entry'!E$9),'Council Entry'!E$8),'Council Entry'!E45)),IF('Council Entry'!E$4="Exponential",EXP(IF(AND(ISNUMBER('Council Entry'!E$8),ISNUMBER('Council Entry'!E$9)),MAX(MIN('Council Entry'!E45,'Council Entry'!E$9),'Council Entry'!E$8),'Council Entry'!E45)),IF(AND(ISNUMBER('Council Entry'!E$8),ISNUMBER('Council Entry'!E$9)),MAX(MIN('Council Entry'!E45,'Council Entry'!E$9),'Council Entry'!E$8),'Council Entry'!E45))))-'Council Entry'!E$5)/('Council Entry'!E$6-'Council Entry'!E$5),10*((IF('Council Entry'!E$4="Logarithm",LN(0.001+IF(AND(ISNUMBER('Council Entry'!E$8),ISNUMBER('Council Entry'!E$9)),MAX(MIN('Council Entry'!E45,'Council Entry'!E$9),'Council Entry'!E$8),'Council Entry'!E45)),IF('Council Entry'!E$4="Exponential",EXP(IF(AND(ISNUMBER('Council Entry'!E$8),ISNUMBER('Council Entry'!E$9)),MAX(MIN('Council Entry'!E45,'Council Entry'!E$9),'Council Entry'!E$8),'Council Entry'!E45)),IF(AND(ISNUMBER('Council Entry'!E$8),ISNUMBER('Council Entry'!E$9)),MAX(MIN('Council Entry'!E45,'Council Entry'!E$9),'Council Entry'!E$8),'Council Entry'!E45))))-'Council Entry'!E$5)/('Council Entry'!E$6-'Council Entry'!E$5)),1))),"No data"))</f>
        <v/>
      </c>
      <c r="F45" s="13">
        <f>IF('Council Entry'!F45="","",IFERROR(MAX(0,MIN(10,ROUND(IF('Council Entry'!F$7="Decrease Risk",10-10*((IF('Council Entry'!F$4="Logarithm",LN(0.001+IF(AND(ISNUMBER('Council Entry'!F$8),ISNUMBER('Council Entry'!F$9)),MAX(MIN('Council Entry'!F45,'Council Entry'!F$9),'Council Entry'!F$8),'Council Entry'!F45)),IF('Council Entry'!F$4="Exponential",EXP(IF(AND(ISNUMBER('Council Entry'!F$8),ISNUMBER('Council Entry'!F$9)),MAX(MIN('Council Entry'!F45,'Council Entry'!F$9),'Council Entry'!F$8),'Council Entry'!F45)),IF(AND(ISNUMBER('Council Entry'!F$8),ISNUMBER('Council Entry'!F$9)),MAX(MIN('Council Entry'!F45,'Council Entry'!F$9),'Council Entry'!F$8),'Council Entry'!F45))))-'Council Entry'!F$5)/('Council Entry'!F$6-'Council Entry'!F$5),10*((IF('Council Entry'!F$4="Logarithm",LN(0.001+IF(AND(ISNUMBER('Council Entry'!F$8),ISNUMBER('Council Entry'!F$9)),MAX(MIN('Council Entry'!F45,'Council Entry'!F$9),'Council Entry'!F$8),'Council Entry'!F45)),IF('Council Entry'!F$4="Exponential",EXP(IF(AND(ISNUMBER('Council Entry'!F$8),ISNUMBER('Council Entry'!F$9)),MAX(MIN('Council Entry'!F45,'Council Entry'!F$9),'Council Entry'!F$8),'Council Entry'!F45)),IF(AND(ISNUMBER('Council Entry'!F$8),ISNUMBER('Council Entry'!F$9)),MAX(MIN('Council Entry'!F45,'Council Entry'!F$9),'Council Entry'!F$8),'Council Entry'!F45))))-'Council Entry'!F$5)/('Council Entry'!F$6-'Council Entry'!F$5)),1))),"No data"))</f>
        <v/>
      </c>
      <c r="G45" s="13">
        <f>IF('Council Entry'!G45="","",IFERROR(MAX(0,MIN(10,ROUND(IF('Council Entry'!G$7="Decrease Risk",10-10*((IF('Council Entry'!G$4="Logarithm",LN(0.001+IF(AND(ISNUMBER('Council Entry'!G$8),ISNUMBER('Council Entry'!G$9)),MAX(MIN('Council Entry'!G45,'Council Entry'!G$9),'Council Entry'!G$8),'Council Entry'!G45)),IF('Council Entry'!G$4="Exponential",EXP(IF(AND(ISNUMBER('Council Entry'!G$8),ISNUMBER('Council Entry'!G$9)),MAX(MIN('Council Entry'!G45,'Council Entry'!G$9),'Council Entry'!G$8),'Council Entry'!G45)),IF(AND(ISNUMBER('Council Entry'!G$8),ISNUMBER('Council Entry'!G$9)),MAX(MIN('Council Entry'!G45,'Council Entry'!G$9),'Council Entry'!G$8),'Council Entry'!G45))))-'Council Entry'!G$5)/('Council Entry'!G$6-'Council Entry'!G$5),10*((IF('Council Entry'!G$4="Logarithm",LN(0.001+IF(AND(ISNUMBER('Council Entry'!G$8),ISNUMBER('Council Entry'!G$9)),MAX(MIN('Council Entry'!G45,'Council Entry'!G$9),'Council Entry'!G$8),'Council Entry'!G45)),IF('Council Entry'!G$4="Exponential",EXP(IF(AND(ISNUMBER('Council Entry'!G$8),ISNUMBER('Council Entry'!G$9)),MAX(MIN('Council Entry'!G45,'Council Entry'!G$9),'Council Entry'!G$8),'Council Entry'!G45)),IF(AND(ISNUMBER('Council Entry'!G$8),ISNUMBER('Council Entry'!G$9)),MAX(MIN('Council Entry'!G45,'Council Entry'!G$9),'Council Entry'!G$8),'Council Entry'!G45))))-'Council Entry'!G$5)/('Council Entry'!G$6-'Council Entry'!G$5)),1))),"No data"))</f>
        <v/>
      </c>
      <c r="H45" s="13">
        <f>IF('Council Entry'!H45="","",IFERROR(MAX(0,MIN(10,ROUND(IF('Council Entry'!H$7="Decrease Risk",10-10*((IF('Council Entry'!H$4="Logarithm",LN(0.001+IF(AND(ISNUMBER('Council Entry'!H$8),ISNUMBER('Council Entry'!H$9)),MAX(MIN('Council Entry'!H45,'Council Entry'!H$9),'Council Entry'!H$8),'Council Entry'!H45)),IF('Council Entry'!H$4="Exponential",EXP(IF(AND(ISNUMBER('Council Entry'!H$8),ISNUMBER('Council Entry'!H$9)),MAX(MIN('Council Entry'!H45,'Council Entry'!H$9),'Council Entry'!H$8),'Council Entry'!H45)),IF(AND(ISNUMBER('Council Entry'!H$8),ISNUMBER('Council Entry'!H$9)),MAX(MIN('Council Entry'!H45,'Council Entry'!H$9),'Council Entry'!H$8),'Council Entry'!H45))))-'Council Entry'!H$5)/('Council Entry'!H$6-'Council Entry'!H$5),10*((IF('Council Entry'!H$4="Logarithm",LN(0.001+IF(AND(ISNUMBER('Council Entry'!H$8),ISNUMBER('Council Entry'!H$9)),MAX(MIN('Council Entry'!H45,'Council Entry'!H$9),'Council Entry'!H$8),'Council Entry'!H45)),IF('Council Entry'!H$4="Exponential",EXP(IF(AND(ISNUMBER('Council Entry'!H$8),ISNUMBER('Council Entry'!H$9)),MAX(MIN('Council Entry'!H45,'Council Entry'!H$9),'Council Entry'!H$8),'Council Entry'!H45)),IF(AND(ISNUMBER('Council Entry'!H$8),ISNUMBER('Council Entry'!H$9)),MAX(MIN('Council Entry'!H45,'Council Entry'!H$9),'Council Entry'!H$8),'Council Entry'!H45))))-'Council Entry'!H$5)/('Council Entry'!H$6-'Council Entry'!H$5)),1))),"No data"))</f>
        <v/>
      </c>
      <c r="I45" s="13">
        <f>IF('Council Entry'!I45="","",IFERROR(MAX(0,MIN(10,ROUND(IF('Council Entry'!I$7="Decrease Risk",10-10*((IF('Council Entry'!I$4="Logarithm",LN(0.001+IF(AND(ISNUMBER('Council Entry'!I$8),ISNUMBER('Council Entry'!I$9)),MAX(MIN('Council Entry'!I45,'Council Entry'!I$9),'Council Entry'!I$8),'Council Entry'!I45)),IF('Council Entry'!I$4="Exponential",EXP(IF(AND(ISNUMBER('Council Entry'!I$8),ISNUMBER('Council Entry'!I$9)),MAX(MIN('Council Entry'!I45,'Council Entry'!I$9),'Council Entry'!I$8),'Council Entry'!I45)),IF(AND(ISNUMBER('Council Entry'!I$8),ISNUMBER('Council Entry'!I$9)),MAX(MIN('Council Entry'!I45,'Council Entry'!I$9),'Council Entry'!I$8),'Council Entry'!I45))))-'Council Entry'!I$5)/('Council Entry'!I$6-'Council Entry'!I$5),10*((IF('Council Entry'!I$4="Logarithm",LN(0.001+IF(AND(ISNUMBER('Council Entry'!I$8),ISNUMBER('Council Entry'!I$9)),MAX(MIN('Council Entry'!I45,'Council Entry'!I$9),'Council Entry'!I$8),'Council Entry'!I45)),IF('Council Entry'!I$4="Exponential",EXP(IF(AND(ISNUMBER('Council Entry'!I$8),ISNUMBER('Council Entry'!I$9)),MAX(MIN('Council Entry'!I45,'Council Entry'!I$9),'Council Entry'!I$8),'Council Entry'!I45)),IF(AND(ISNUMBER('Council Entry'!I$8),ISNUMBER('Council Entry'!I$9)),MAX(MIN('Council Entry'!I45,'Council Entry'!I$9),'Council Entry'!I$8),'Council Entry'!I45))))-'Council Entry'!I$5)/('Council Entry'!I$6-'Council Entry'!I$5)),1))),"No data"))</f>
        <v/>
      </c>
      <c r="J45" s="13">
        <f>IF('Council Entry'!J45="","",IFERROR(MAX(0,MIN(10,ROUND(IF('Council Entry'!J$7="Decrease Risk",10-10*((IF('Council Entry'!J$4="Logarithm",LN(0.001+IF(AND(ISNUMBER('Council Entry'!J$8),ISNUMBER('Council Entry'!J$9)),MAX(MIN('Council Entry'!J45,'Council Entry'!J$9),'Council Entry'!J$8),'Council Entry'!J45)),IF('Council Entry'!J$4="Exponential",EXP(IF(AND(ISNUMBER('Council Entry'!J$8),ISNUMBER('Council Entry'!J$9)),MAX(MIN('Council Entry'!J45,'Council Entry'!J$9),'Council Entry'!J$8),'Council Entry'!J45)),IF(AND(ISNUMBER('Council Entry'!J$8),ISNUMBER('Council Entry'!J$9)),MAX(MIN('Council Entry'!J45,'Council Entry'!J$9),'Council Entry'!J$8),'Council Entry'!J45))))-'Council Entry'!J$5)/('Council Entry'!J$6-'Council Entry'!J$5),10*((IF('Council Entry'!J$4="Logarithm",LN(0.001+IF(AND(ISNUMBER('Council Entry'!J$8),ISNUMBER('Council Entry'!J$9)),MAX(MIN('Council Entry'!J45,'Council Entry'!J$9),'Council Entry'!J$8),'Council Entry'!J45)),IF('Council Entry'!J$4="Exponential",EXP(IF(AND(ISNUMBER('Council Entry'!J$8),ISNUMBER('Council Entry'!J$9)),MAX(MIN('Council Entry'!J45,'Council Entry'!J$9),'Council Entry'!J$8),'Council Entry'!J45)),IF(AND(ISNUMBER('Council Entry'!J$8),ISNUMBER('Council Entry'!J$9)),MAX(MIN('Council Entry'!J45,'Council Entry'!J$9),'Council Entry'!J$8),'Council Entry'!J45))))-'Council Entry'!J$5)/('Council Entry'!J$6-'Council Entry'!J$5)),1))),"No data"))</f>
        <v/>
      </c>
      <c r="K45" s="13">
        <f>IF('Council Entry'!K45="","",IFERROR(MAX(0,MIN(10,ROUND(IF('Council Entry'!K$7="Decrease Risk",10-10*((IF('Council Entry'!K$4="Logarithm",LN(0.001+IF(AND(ISNUMBER('Council Entry'!K$8),ISNUMBER('Council Entry'!K$9)),MAX(MIN('Council Entry'!K45,'Council Entry'!K$9),'Council Entry'!K$8),'Council Entry'!K45)),IF('Council Entry'!K$4="Exponential",EXP(IF(AND(ISNUMBER('Council Entry'!K$8),ISNUMBER('Council Entry'!K$9)),MAX(MIN('Council Entry'!K45,'Council Entry'!K$9),'Council Entry'!K$8),'Council Entry'!K45)),IF(AND(ISNUMBER('Council Entry'!K$8),ISNUMBER('Council Entry'!K$9)),MAX(MIN('Council Entry'!K45,'Council Entry'!K$9),'Council Entry'!K$8),'Council Entry'!K45))))-'Council Entry'!K$5)/('Council Entry'!K$6-'Council Entry'!K$5),10*((IF('Council Entry'!K$4="Logarithm",LN(0.001+IF(AND(ISNUMBER('Council Entry'!K$8),ISNUMBER('Council Entry'!K$9)),MAX(MIN('Council Entry'!K45,'Council Entry'!K$9),'Council Entry'!K$8),'Council Entry'!K45)),IF('Council Entry'!K$4="Exponential",EXP(IF(AND(ISNUMBER('Council Entry'!K$8),ISNUMBER('Council Entry'!K$9)),MAX(MIN('Council Entry'!K45,'Council Entry'!K$9),'Council Entry'!K$8),'Council Entry'!K45)),IF(AND(ISNUMBER('Council Entry'!K$8),ISNUMBER('Council Entry'!K$9)),MAX(MIN('Council Entry'!K45,'Council Entry'!K$9),'Council Entry'!K$8),'Council Entry'!K45))))-'Council Entry'!K$5)/('Council Entry'!K$6-'Council Entry'!K$5)),1))),"No data"))</f>
        <v/>
      </c>
      <c r="L45" s="13">
        <f>IF('Council Entry'!L45="","",IFERROR(MAX(0,MIN(10,ROUND(IF('Council Entry'!L$7="Decrease Risk",10-10*((IF('Council Entry'!L$4="Logarithm",LN(0.001+IF(AND(ISNUMBER('Council Entry'!L$8),ISNUMBER('Council Entry'!L$9)),MAX(MIN('Council Entry'!L45,'Council Entry'!L$9),'Council Entry'!L$8),'Council Entry'!L45)),IF('Council Entry'!L$4="Exponential",EXP(IF(AND(ISNUMBER('Council Entry'!L$8),ISNUMBER('Council Entry'!L$9)),MAX(MIN('Council Entry'!L45,'Council Entry'!L$9),'Council Entry'!L$8),'Council Entry'!L45)),IF(AND(ISNUMBER('Council Entry'!L$8),ISNUMBER('Council Entry'!L$9)),MAX(MIN('Council Entry'!L45,'Council Entry'!L$9),'Council Entry'!L$8),'Council Entry'!L45))))-'Council Entry'!L$5)/('Council Entry'!L$6-'Council Entry'!L$5),10*((IF('Council Entry'!L$4="Logarithm",LN(0.001+IF(AND(ISNUMBER('Council Entry'!L$8),ISNUMBER('Council Entry'!L$9)),MAX(MIN('Council Entry'!L45,'Council Entry'!L$9),'Council Entry'!L$8),'Council Entry'!L45)),IF('Council Entry'!L$4="Exponential",EXP(IF(AND(ISNUMBER('Council Entry'!L$8),ISNUMBER('Council Entry'!L$9)),MAX(MIN('Council Entry'!L45,'Council Entry'!L$9),'Council Entry'!L$8),'Council Entry'!L45)),IF(AND(ISNUMBER('Council Entry'!L$8),ISNUMBER('Council Entry'!L$9)),MAX(MIN('Council Entry'!L45,'Council Entry'!L$9),'Council Entry'!L$8),'Council Entry'!L45))))-'Council Entry'!L$5)/('Council Entry'!L$6-'Council Entry'!L$5)),1))),"No data"))</f>
        <v/>
      </c>
      <c r="M45" s="13">
        <f>IF('Council Entry'!M45="","",IFERROR(MAX(0,MIN(10,ROUND(IF('Council Entry'!M$7="Decrease Risk",10-10*((IF('Council Entry'!M$4="Logarithm",LN(0.001+IF(AND(ISNUMBER('Council Entry'!M$8),ISNUMBER('Council Entry'!M$9)),MAX(MIN('Council Entry'!M45,'Council Entry'!M$9),'Council Entry'!M$8),'Council Entry'!M45)),IF('Council Entry'!M$4="Exponential",EXP(IF(AND(ISNUMBER('Council Entry'!M$8),ISNUMBER('Council Entry'!M$9)),MAX(MIN('Council Entry'!M45,'Council Entry'!M$9),'Council Entry'!M$8),'Council Entry'!M45)),IF(AND(ISNUMBER('Council Entry'!M$8),ISNUMBER('Council Entry'!M$9)),MAX(MIN('Council Entry'!M45,'Council Entry'!M$9),'Council Entry'!M$8),'Council Entry'!M45))))-'Council Entry'!M$5)/('Council Entry'!M$6-'Council Entry'!M$5),10*((IF('Council Entry'!M$4="Logarithm",LN(0.001+IF(AND(ISNUMBER('Council Entry'!M$8),ISNUMBER('Council Entry'!M$9)),MAX(MIN('Council Entry'!M45,'Council Entry'!M$9),'Council Entry'!M$8),'Council Entry'!M45)),IF('Council Entry'!M$4="Exponential",EXP(IF(AND(ISNUMBER('Council Entry'!M$8),ISNUMBER('Council Entry'!M$9)),MAX(MIN('Council Entry'!M45,'Council Entry'!M$9),'Council Entry'!M$8),'Council Entry'!M45)),IF(AND(ISNUMBER('Council Entry'!M$8),ISNUMBER('Council Entry'!M$9)),MAX(MIN('Council Entry'!M45,'Council Entry'!M$9),'Council Entry'!M$8),'Council Entry'!M45))))-'Council Entry'!M$5)/('Council Entry'!M$6-'Council Entry'!M$5)),1))),"No data"))</f>
        <v/>
      </c>
      <c r="N45" s="13">
        <f>IF('Council Entry'!N45="","",IFERROR(MAX(0,MIN(10,ROUND(IF('Council Entry'!N$7="Decrease Risk",10-10*((IF('Council Entry'!N$4="Logarithm",LN(0.001+IF(AND(ISNUMBER('Council Entry'!N$8),ISNUMBER('Council Entry'!N$9)),MAX(MIN('Council Entry'!N45,'Council Entry'!N$9),'Council Entry'!N$8),'Council Entry'!N45)),IF('Council Entry'!N$4="Exponential",EXP(IF(AND(ISNUMBER('Council Entry'!N$8),ISNUMBER('Council Entry'!N$9)),MAX(MIN('Council Entry'!N45,'Council Entry'!N$9),'Council Entry'!N$8),'Council Entry'!N45)),IF(AND(ISNUMBER('Council Entry'!N$8),ISNUMBER('Council Entry'!N$9)),MAX(MIN('Council Entry'!N45,'Council Entry'!N$9),'Council Entry'!N$8),'Council Entry'!N45))))-'Council Entry'!N$5)/('Council Entry'!N$6-'Council Entry'!N$5),10*((IF('Council Entry'!N$4="Logarithm",LN(0.001+IF(AND(ISNUMBER('Council Entry'!N$8),ISNUMBER('Council Entry'!N$9)),MAX(MIN('Council Entry'!N45,'Council Entry'!N$9),'Council Entry'!N$8),'Council Entry'!N45)),IF('Council Entry'!N$4="Exponential",EXP(IF(AND(ISNUMBER('Council Entry'!N$8),ISNUMBER('Council Entry'!N$9)),MAX(MIN('Council Entry'!N45,'Council Entry'!N$9),'Council Entry'!N$8),'Council Entry'!N45)),IF(AND(ISNUMBER('Council Entry'!N$8),ISNUMBER('Council Entry'!N$9)),MAX(MIN('Council Entry'!N45,'Council Entry'!N$9),'Council Entry'!N$8),'Council Entry'!N45))))-'Council Entry'!N$5)/('Council Entry'!N$6-'Council Entry'!N$5)),1))),"No data"))</f>
        <v/>
      </c>
      <c r="O45" s="13">
        <f>IF('Council Entry'!O45="","",IFERROR(MAX(0,MIN(10,ROUND(IF('Council Entry'!O$7="Decrease Risk",10-10*((IF('Council Entry'!O$4="Logarithm",LN(0.001+IF(AND(ISNUMBER('Council Entry'!O$8),ISNUMBER('Council Entry'!O$9)),MAX(MIN('Council Entry'!O45,'Council Entry'!O$9),'Council Entry'!O$8),'Council Entry'!O45)),IF('Council Entry'!O$4="Exponential",EXP(IF(AND(ISNUMBER('Council Entry'!O$8),ISNUMBER('Council Entry'!O$9)),MAX(MIN('Council Entry'!O45,'Council Entry'!O$9),'Council Entry'!O$8),'Council Entry'!O45)),IF(AND(ISNUMBER('Council Entry'!O$8),ISNUMBER('Council Entry'!O$9)),MAX(MIN('Council Entry'!O45,'Council Entry'!O$9),'Council Entry'!O$8),'Council Entry'!O45))))-'Council Entry'!O$5)/('Council Entry'!O$6-'Council Entry'!O$5),10*((IF('Council Entry'!O$4="Logarithm",LN(0.001+IF(AND(ISNUMBER('Council Entry'!O$8),ISNUMBER('Council Entry'!O$9)),MAX(MIN('Council Entry'!O45,'Council Entry'!O$9),'Council Entry'!O$8),'Council Entry'!O45)),IF('Council Entry'!O$4="Exponential",EXP(IF(AND(ISNUMBER('Council Entry'!O$8),ISNUMBER('Council Entry'!O$9)),MAX(MIN('Council Entry'!O45,'Council Entry'!O$9),'Council Entry'!O$8),'Council Entry'!O45)),IF(AND(ISNUMBER('Council Entry'!O$8),ISNUMBER('Council Entry'!O$9)),MAX(MIN('Council Entry'!O45,'Council Entry'!O$9),'Council Entry'!O$8),'Council Entry'!O45))))-'Council Entry'!O$5)/('Council Entry'!O$6-'Council Entry'!O$5)),1))),"No data"))</f>
        <v/>
      </c>
      <c r="P45" s="13">
        <f>IF('Council Entry'!P45="","",IFERROR(MAX(0,MIN(10,ROUND(IF('Council Entry'!P$7="Decrease Risk",10-10*((IF('Council Entry'!P$4="Logarithm",LN(0.001+IF(AND(ISNUMBER('Council Entry'!P$8),ISNUMBER('Council Entry'!P$9)),MAX(MIN('Council Entry'!P45,'Council Entry'!P$9),'Council Entry'!P$8),'Council Entry'!P45)),IF('Council Entry'!P$4="Exponential",EXP(IF(AND(ISNUMBER('Council Entry'!P$8),ISNUMBER('Council Entry'!P$9)),MAX(MIN('Council Entry'!P45,'Council Entry'!P$9),'Council Entry'!P$8),'Council Entry'!P45)),IF(AND(ISNUMBER('Council Entry'!P$8),ISNUMBER('Council Entry'!P$9)),MAX(MIN('Council Entry'!P45,'Council Entry'!P$9),'Council Entry'!P$8),'Council Entry'!P45))))-'Council Entry'!P$5)/('Council Entry'!P$6-'Council Entry'!P$5),10*((IF('Council Entry'!P$4="Logarithm",LN(0.001+IF(AND(ISNUMBER('Council Entry'!P$8),ISNUMBER('Council Entry'!P$9)),MAX(MIN('Council Entry'!P45,'Council Entry'!P$9),'Council Entry'!P$8),'Council Entry'!P45)),IF('Council Entry'!P$4="Exponential",EXP(IF(AND(ISNUMBER('Council Entry'!P$8),ISNUMBER('Council Entry'!P$9)),MAX(MIN('Council Entry'!P45,'Council Entry'!P$9),'Council Entry'!P$8),'Council Entry'!P45)),IF(AND(ISNUMBER('Council Entry'!P$8),ISNUMBER('Council Entry'!P$9)),MAX(MIN('Council Entry'!P45,'Council Entry'!P$9),'Council Entry'!P$8),'Council Entry'!P45))))-'Council Entry'!P$5)/('Council Entry'!P$6-'Council Entry'!P$5)),1))),"No data"))</f>
        <v/>
      </c>
      <c r="Q45" s="13">
        <f>IF('Council Entry'!Q45="","",IFERROR(MAX(0,MIN(10,ROUND(IF('Council Entry'!Q$7="Decrease Risk",10-10*((IF('Council Entry'!Q$4="Logarithm",LN(0.001+IF(AND(ISNUMBER('Council Entry'!Q$8),ISNUMBER('Council Entry'!Q$9)),MAX(MIN('Council Entry'!Q45,'Council Entry'!Q$9),'Council Entry'!Q$8),'Council Entry'!Q45)),IF('Council Entry'!Q$4="Exponential",EXP(IF(AND(ISNUMBER('Council Entry'!Q$8),ISNUMBER('Council Entry'!Q$9)),MAX(MIN('Council Entry'!Q45,'Council Entry'!Q$9),'Council Entry'!Q$8),'Council Entry'!Q45)),IF(AND(ISNUMBER('Council Entry'!Q$8),ISNUMBER('Council Entry'!Q$9)),MAX(MIN('Council Entry'!Q45,'Council Entry'!Q$9),'Council Entry'!Q$8),'Council Entry'!Q45))))-'Council Entry'!Q$5)/('Council Entry'!Q$6-'Council Entry'!Q$5),10*((IF('Council Entry'!Q$4="Logarithm",LN(0.001+IF(AND(ISNUMBER('Council Entry'!Q$8),ISNUMBER('Council Entry'!Q$9)),MAX(MIN('Council Entry'!Q45,'Council Entry'!Q$9),'Council Entry'!Q$8),'Council Entry'!Q45)),IF('Council Entry'!Q$4="Exponential",EXP(IF(AND(ISNUMBER('Council Entry'!Q$8),ISNUMBER('Council Entry'!Q$9)),MAX(MIN('Council Entry'!Q45,'Council Entry'!Q$9),'Council Entry'!Q$8),'Council Entry'!Q45)),IF(AND(ISNUMBER('Council Entry'!Q$8),ISNUMBER('Council Entry'!Q$9)),MAX(MIN('Council Entry'!Q45,'Council Entry'!Q$9),'Council Entry'!Q$8),'Council Entry'!Q45))))-'Council Entry'!Q$5)/('Council Entry'!Q$6-'Council Entry'!Q$5)),1))),"No data"))</f>
        <v/>
      </c>
      <c r="R45" s="13">
        <f>IF('Council Entry'!R45="","",IFERROR(MAX(0,MIN(10,ROUND(IF('Council Entry'!R$7="Decrease Risk",10-10*((IF('Council Entry'!R$4="Logarithm",LN(0.001+IF(AND(ISNUMBER('Council Entry'!R$8),ISNUMBER('Council Entry'!R$9)),MAX(MIN('Council Entry'!R45,'Council Entry'!R$9),'Council Entry'!R$8),'Council Entry'!R45)),IF('Council Entry'!R$4="Exponential",EXP(IF(AND(ISNUMBER('Council Entry'!R$8),ISNUMBER('Council Entry'!R$9)),MAX(MIN('Council Entry'!R45,'Council Entry'!R$9),'Council Entry'!R$8),'Council Entry'!R45)),IF(AND(ISNUMBER('Council Entry'!R$8),ISNUMBER('Council Entry'!R$9)),MAX(MIN('Council Entry'!R45,'Council Entry'!R$9),'Council Entry'!R$8),'Council Entry'!R45))))-'Council Entry'!R$5)/('Council Entry'!R$6-'Council Entry'!R$5),10*((IF('Council Entry'!R$4="Logarithm",LN(0.001+IF(AND(ISNUMBER('Council Entry'!R$8),ISNUMBER('Council Entry'!R$9)),MAX(MIN('Council Entry'!R45,'Council Entry'!R$9),'Council Entry'!R$8),'Council Entry'!R45)),IF('Council Entry'!R$4="Exponential",EXP(IF(AND(ISNUMBER('Council Entry'!R$8),ISNUMBER('Council Entry'!R$9)),MAX(MIN('Council Entry'!R45,'Council Entry'!R$9),'Council Entry'!R$8),'Council Entry'!R45)),IF(AND(ISNUMBER('Council Entry'!R$8),ISNUMBER('Council Entry'!R$9)),MAX(MIN('Council Entry'!R45,'Council Entry'!R$9),'Council Entry'!R$8),'Council Entry'!R45))))-'Council Entry'!R$5)/('Council Entry'!R$6-'Council Entry'!R$5)),1))),"No data"))</f>
        <v/>
      </c>
      <c r="S45" s="13">
        <f>IF('Council Entry'!S45="","",IFERROR(MAX(0,MIN(10,ROUND(IF('Council Entry'!S$7="Decrease Risk",10-10*((IF('Council Entry'!S$4="Logarithm",LN(0.001+IF(AND(ISNUMBER('Council Entry'!S$8),ISNUMBER('Council Entry'!S$9)),MAX(MIN('Council Entry'!S45,'Council Entry'!S$9),'Council Entry'!S$8),'Council Entry'!S45)),IF('Council Entry'!S$4="Exponential",EXP(IF(AND(ISNUMBER('Council Entry'!S$8),ISNUMBER('Council Entry'!S$9)),MAX(MIN('Council Entry'!S45,'Council Entry'!S$9),'Council Entry'!S$8),'Council Entry'!S45)),IF(AND(ISNUMBER('Council Entry'!S$8),ISNUMBER('Council Entry'!S$9)),MAX(MIN('Council Entry'!S45,'Council Entry'!S$9),'Council Entry'!S$8),'Council Entry'!S45))))-'Council Entry'!S$5)/('Council Entry'!S$6-'Council Entry'!S$5),10*((IF('Council Entry'!S$4="Logarithm",LN(0.001+IF(AND(ISNUMBER('Council Entry'!S$8),ISNUMBER('Council Entry'!S$9)),MAX(MIN('Council Entry'!S45,'Council Entry'!S$9),'Council Entry'!S$8),'Council Entry'!S45)),IF('Council Entry'!S$4="Exponential",EXP(IF(AND(ISNUMBER('Council Entry'!S$8),ISNUMBER('Council Entry'!S$9)),MAX(MIN('Council Entry'!S45,'Council Entry'!S$9),'Council Entry'!S$8),'Council Entry'!S45)),IF(AND(ISNUMBER('Council Entry'!S$8),ISNUMBER('Council Entry'!S$9)),MAX(MIN('Council Entry'!S45,'Council Entry'!S$9),'Council Entry'!S$8),'Council Entry'!S45))))-'Council Entry'!S$5)/('Council Entry'!S$6-'Council Entry'!S$5)),1))),"No data"))</f>
        <v/>
      </c>
      <c r="T45" s="13">
        <f>IF('Council Entry'!T45="","",IFERROR(MAX(0,MIN(10,ROUND(IF('Council Entry'!T$7="Decrease Risk",10-10*((IF('Council Entry'!T$4="Logarithm",LN(0.001+IF(AND(ISNUMBER('Council Entry'!T$8),ISNUMBER('Council Entry'!T$9)),MAX(MIN('Council Entry'!T45,'Council Entry'!T$9),'Council Entry'!T$8),'Council Entry'!T45)),IF('Council Entry'!T$4="Exponential",EXP(IF(AND(ISNUMBER('Council Entry'!T$8),ISNUMBER('Council Entry'!T$9)),MAX(MIN('Council Entry'!T45,'Council Entry'!T$9),'Council Entry'!T$8),'Council Entry'!T45)),IF(AND(ISNUMBER('Council Entry'!T$8),ISNUMBER('Council Entry'!T$9)),MAX(MIN('Council Entry'!T45,'Council Entry'!T$9),'Council Entry'!T$8),'Council Entry'!T45))))-'Council Entry'!T$5)/('Council Entry'!T$6-'Council Entry'!T$5),10*((IF('Council Entry'!T$4="Logarithm",LN(0.001+IF(AND(ISNUMBER('Council Entry'!T$8),ISNUMBER('Council Entry'!T$9)),MAX(MIN('Council Entry'!T45,'Council Entry'!T$9),'Council Entry'!T$8),'Council Entry'!T45)),IF('Council Entry'!T$4="Exponential",EXP(IF(AND(ISNUMBER('Council Entry'!T$8),ISNUMBER('Council Entry'!T$9)),MAX(MIN('Council Entry'!T45,'Council Entry'!T$9),'Council Entry'!T$8),'Council Entry'!T45)),IF(AND(ISNUMBER('Council Entry'!T$8),ISNUMBER('Council Entry'!T$9)),MAX(MIN('Council Entry'!T45,'Council Entry'!T$9),'Council Entry'!T$8),'Council Entry'!T45))))-'Council Entry'!T$5)/('Council Entry'!T$6-'Council Entry'!T$5)),1))),"No data"))</f>
        <v/>
      </c>
      <c r="U45" s="13">
        <f>IF('Council Entry'!U45="","",IFERROR(MAX(0,MIN(10,ROUND(IF('Council Entry'!U$7="Decrease Risk",10-10*((IF('Council Entry'!U$4="Logarithm",LN(0.001+IF(AND(ISNUMBER('Council Entry'!U$8),ISNUMBER('Council Entry'!U$9)),MAX(MIN('Council Entry'!U45,'Council Entry'!U$9),'Council Entry'!U$8),'Council Entry'!U45)),IF('Council Entry'!U$4="Exponential",EXP(IF(AND(ISNUMBER('Council Entry'!U$8),ISNUMBER('Council Entry'!U$9)),MAX(MIN('Council Entry'!U45,'Council Entry'!U$9),'Council Entry'!U$8),'Council Entry'!U45)),IF(AND(ISNUMBER('Council Entry'!U$8),ISNUMBER('Council Entry'!U$9)),MAX(MIN('Council Entry'!U45,'Council Entry'!U$9),'Council Entry'!U$8),'Council Entry'!U45))))-'Council Entry'!U$5)/('Council Entry'!U$6-'Council Entry'!U$5),10*((IF('Council Entry'!U$4="Logarithm",LN(0.001+IF(AND(ISNUMBER('Council Entry'!U$8),ISNUMBER('Council Entry'!U$9)),MAX(MIN('Council Entry'!U45,'Council Entry'!U$9),'Council Entry'!U$8),'Council Entry'!U45)),IF('Council Entry'!U$4="Exponential",EXP(IF(AND(ISNUMBER('Council Entry'!U$8),ISNUMBER('Council Entry'!U$9)),MAX(MIN('Council Entry'!U45,'Council Entry'!U$9),'Council Entry'!U$8),'Council Entry'!U45)),IF(AND(ISNUMBER('Council Entry'!U$8),ISNUMBER('Council Entry'!U$9)),MAX(MIN('Council Entry'!U45,'Council Entry'!U$9),'Council Entry'!U$8),'Council Entry'!U45))))-'Council Entry'!U$5)/('Council Entry'!U$6-'Council Entry'!U$5)),1))),"No data"))</f>
        <v/>
      </c>
      <c r="V45" s="13">
        <f>IF('Council Entry'!V45="","",IFERROR(MAX(0,MIN(10,ROUND(IF('Council Entry'!V$7="Decrease Risk",10-10*((IF('Council Entry'!V$4="Logarithm",LN(0.001+IF(AND(ISNUMBER('Council Entry'!V$8),ISNUMBER('Council Entry'!V$9)),MAX(MIN('Council Entry'!V45,'Council Entry'!V$9),'Council Entry'!V$8),'Council Entry'!V45)),IF('Council Entry'!V$4="Exponential",EXP(IF(AND(ISNUMBER('Council Entry'!V$8),ISNUMBER('Council Entry'!V$9)),MAX(MIN('Council Entry'!V45,'Council Entry'!V$9),'Council Entry'!V$8),'Council Entry'!V45)),IF(AND(ISNUMBER('Council Entry'!V$8),ISNUMBER('Council Entry'!V$9)),MAX(MIN('Council Entry'!V45,'Council Entry'!V$9),'Council Entry'!V$8),'Council Entry'!V45))))-'Council Entry'!V$5)/('Council Entry'!V$6-'Council Entry'!V$5),10*((IF('Council Entry'!V$4="Logarithm",LN(0.001+IF(AND(ISNUMBER('Council Entry'!V$8),ISNUMBER('Council Entry'!V$9)),MAX(MIN('Council Entry'!V45,'Council Entry'!V$9),'Council Entry'!V$8),'Council Entry'!V45)),IF('Council Entry'!V$4="Exponential",EXP(IF(AND(ISNUMBER('Council Entry'!V$8),ISNUMBER('Council Entry'!V$9)),MAX(MIN('Council Entry'!V45,'Council Entry'!V$9),'Council Entry'!V$8),'Council Entry'!V45)),IF(AND(ISNUMBER('Council Entry'!V$8),ISNUMBER('Council Entry'!V$9)),MAX(MIN('Council Entry'!V45,'Council Entry'!V$9),'Council Entry'!V$8),'Council Entry'!V45))))-'Council Entry'!V$5)/('Council Entry'!V$6-'Council Entry'!V$5)),1))),"No data"))</f>
        <v/>
      </c>
      <c r="W45" s="13">
        <f>IF('Council Entry'!W45="","",IFERROR(MAX(0,MIN(10,ROUND(IF('Council Entry'!W$7="Decrease Risk",10-10*((IF('Council Entry'!W$4="Logarithm",LN(0.001+IF(AND(ISNUMBER('Council Entry'!W$8),ISNUMBER('Council Entry'!W$9)),MAX(MIN('Council Entry'!W45,'Council Entry'!W$9),'Council Entry'!W$8),'Council Entry'!W45)),IF('Council Entry'!W$4="Exponential",EXP(IF(AND(ISNUMBER('Council Entry'!W$8),ISNUMBER('Council Entry'!W$9)),MAX(MIN('Council Entry'!W45,'Council Entry'!W$9),'Council Entry'!W$8),'Council Entry'!W45)),IF(AND(ISNUMBER('Council Entry'!W$8),ISNUMBER('Council Entry'!W$9)),MAX(MIN('Council Entry'!W45,'Council Entry'!W$9),'Council Entry'!W$8),'Council Entry'!W45))))-'Council Entry'!W$5)/('Council Entry'!W$6-'Council Entry'!W$5),10*((IF('Council Entry'!W$4="Logarithm",LN(0.001+IF(AND(ISNUMBER('Council Entry'!W$8),ISNUMBER('Council Entry'!W$9)),MAX(MIN('Council Entry'!W45,'Council Entry'!W$9),'Council Entry'!W$8),'Council Entry'!W45)),IF('Council Entry'!W$4="Exponential",EXP(IF(AND(ISNUMBER('Council Entry'!W$8),ISNUMBER('Council Entry'!W$9)),MAX(MIN('Council Entry'!W45,'Council Entry'!W$9),'Council Entry'!W$8),'Council Entry'!W45)),IF(AND(ISNUMBER('Council Entry'!W$8),ISNUMBER('Council Entry'!W$9)),MAX(MIN('Council Entry'!W45,'Council Entry'!W$9),'Council Entry'!W$8),'Council Entry'!W45))))-'Council Entry'!W$5)/('Council Entry'!W$6-'Council Entry'!W$5)),1))),"No data"))</f>
        <v/>
      </c>
      <c r="X45" s="13">
        <f>IF('Council Entry'!X45="","",IFERROR(MAX(0,MIN(10,ROUND(IF('Council Entry'!X$7="Decrease Risk",10-10*((IF('Council Entry'!X$4="Logarithm",LN(0.001+IF(AND(ISNUMBER('Council Entry'!X$8),ISNUMBER('Council Entry'!X$9)),MAX(MIN('Council Entry'!X45,'Council Entry'!X$9),'Council Entry'!X$8),'Council Entry'!X45)),IF('Council Entry'!X$4="Exponential",EXP(IF(AND(ISNUMBER('Council Entry'!X$8),ISNUMBER('Council Entry'!X$9)),MAX(MIN('Council Entry'!X45,'Council Entry'!X$9),'Council Entry'!X$8),'Council Entry'!X45)),IF(AND(ISNUMBER('Council Entry'!X$8),ISNUMBER('Council Entry'!X$9)),MAX(MIN('Council Entry'!X45,'Council Entry'!X$9),'Council Entry'!X$8),'Council Entry'!X45))))-'Council Entry'!X$5)/('Council Entry'!X$6-'Council Entry'!X$5),10*((IF('Council Entry'!X$4="Logarithm",LN(0.001+IF(AND(ISNUMBER('Council Entry'!X$8),ISNUMBER('Council Entry'!X$9)),MAX(MIN('Council Entry'!X45,'Council Entry'!X$9),'Council Entry'!X$8),'Council Entry'!X45)),IF('Council Entry'!X$4="Exponential",EXP(IF(AND(ISNUMBER('Council Entry'!X$8),ISNUMBER('Council Entry'!X$9)),MAX(MIN('Council Entry'!X45,'Council Entry'!X$9),'Council Entry'!X$8),'Council Entry'!X45)),IF(AND(ISNUMBER('Council Entry'!X$8),ISNUMBER('Council Entry'!X$9)),MAX(MIN('Council Entry'!X45,'Council Entry'!X$9),'Council Entry'!X$8),'Council Entry'!X45))))-'Council Entry'!X$5)/('Council Entry'!X$6-'Council Entry'!X$5)),1))),"No data"))</f>
        <v/>
      </c>
      <c r="Y45" s="13">
        <f>IF('Council Entry'!Y45="","",IFERROR(MAX(0,MIN(10,ROUND(IF('Council Entry'!Y$7="Decrease Risk",10-10*((IF('Council Entry'!Y$4="Logarithm",LN(0.001+IF(AND(ISNUMBER('Council Entry'!Y$8),ISNUMBER('Council Entry'!Y$9)),MAX(MIN('Council Entry'!Y45,'Council Entry'!Y$9),'Council Entry'!Y$8),'Council Entry'!Y45)),IF('Council Entry'!Y$4="Exponential",EXP(IF(AND(ISNUMBER('Council Entry'!Y$8),ISNUMBER('Council Entry'!Y$9)),MAX(MIN('Council Entry'!Y45,'Council Entry'!Y$9),'Council Entry'!Y$8),'Council Entry'!Y45)),IF(AND(ISNUMBER('Council Entry'!Y$8),ISNUMBER('Council Entry'!Y$9)),MAX(MIN('Council Entry'!Y45,'Council Entry'!Y$9),'Council Entry'!Y$8),'Council Entry'!Y45))))-'Council Entry'!Y$5)/('Council Entry'!Y$6-'Council Entry'!Y$5),10*((IF('Council Entry'!Y$4="Logarithm",LN(0.001+IF(AND(ISNUMBER('Council Entry'!Y$8),ISNUMBER('Council Entry'!Y$9)),MAX(MIN('Council Entry'!Y45,'Council Entry'!Y$9),'Council Entry'!Y$8),'Council Entry'!Y45)),IF('Council Entry'!Y$4="Exponential",EXP(IF(AND(ISNUMBER('Council Entry'!Y$8),ISNUMBER('Council Entry'!Y$9)),MAX(MIN('Council Entry'!Y45,'Council Entry'!Y$9),'Council Entry'!Y$8),'Council Entry'!Y45)),IF(AND(ISNUMBER('Council Entry'!Y$8),ISNUMBER('Council Entry'!Y$9)),MAX(MIN('Council Entry'!Y45,'Council Entry'!Y$9),'Council Entry'!Y$8),'Council Entry'!Y45))))-'Council Entry'!Y$5)/('Council Entry'!Y$6-'Council Entry'!Y$5)),1))),"No data"))</f>
        <v/>
      </c>
      <c r="Z45" s="13">
        <f>IF('Council Entry'!Z45="","",IFERROR(MAX(0,MIN(10,ROUND(IF('Council Entry'!Z$7="Decrease Risk",10-10*((IF('Council Entry'!Z$4="Logarithm",LN(0.001+IF(AND(ISNUMBER('Council Entry'!Z$8),ISNUMBER('Council Entry'!Z$9)),MAX(MIN('Council Entry'!Z45,'Council Entry'!Z$9),'Council Entry'!Z$8),'Council Entry'!Z45)),IF('Council Entry'!Z$4="Exponential",EXP(IF(AND(ISNUMBER('Council Entry'!Z$8),ISNUMBER('Council Entry'!Z$9)),MAX(MIN('Council Entry'!Z45,'Council Entry'!Z$9),'Council Entry'!Z$8),'Council Entry'!Z45)),IF(AND(ISNUMBER('Council Entry'!Z$8),ISNUMBER('Council Entry'!Z$9)),MAX(MIN('Council Entry'!Z45,'Council Entry'!Z$9),'Council Entry'!Z$8),'Council Entry'!Z45))))-'Council Entry'!Z$5)/('Council Entry'!Z$6-'Council Entry'!Z$5),10*((IF('Council Entry'!Z$4="Logarithm",LN(0.001+IF(AND(ISNUMBER('Council Entry'!Z$8),ISNUMBER('Council Entry'!Z$9)),MAX(MIN('Council Entry'!Z45,'Council Entry'!Z$9),'Council Entry'!Z$8),'Council Entry'!Z45)),IF('Council Entry'!Z$4="Exponential",EXP(IF(AND(ISNUMBER('Council Entry'!Z$8),ISNUMBER('Council Entry'!Z$9)),MAX(MIN('Council Entry'!Z45,'Council Entry'!Z$9),'Council Entry'!Z$8),'Council Entry'!Z45)),IF(AND(ISNUMBER('Council Entry'!Z$8),ISNUMBER('Council Entry'!Z$9)),MAX(MIN('Council Entry'!Z45,'Council Entry'!Z$9),'Council Entry'!Z$8),'Council Entry'!Z45))))-'Council Entry'!Z$5)/('Council Entry'!Z$6-'Council Entry'!Z$5)),1))),"No data"))</f>
        <v/>
      </c>
      <c r="AA45" s="13">
        <f>IF('Council Entry'!AA45="","",IFERROR(MAX(0,MIN(10,ROUND(IF('Council Entry'!AA$7="Decrease Risk",10-10*((IF('Council Entry'!AA$4="Logarithm",LN(0.001+IF(AND(ISNUMBER('Council Entry'!AA$8),ISNUMBER('Council Entry'!AA$9)),MAX(MIN('Council Entry'!AA45,'Council Entry'!AA$9),'Council Entry'!AA$8),'Council Entry'!AA45)),IF('Council Entry'!AA$4="Exponential",EXP(IF(AND(ISNUMBER('Council Entry'!AA$8),ISNUMBER('Council Entry'!AA$9)),MAX(MIN('Council Entry'!AA45,'Council Entry'!AA$9),'Council Entry'!AA$8),'Council Entry'!AA45)),IF(AND(ISNUMBER('Council Entry'!AA$8),ISNUMBER('Council Entry'!AA$9)),MAX(MIN('Council Entry'!AA45,'Council Entry'!AA$9),'Council Entry'!AA$8),'Council Entry'!AA45))))-'Council Entry'!AA$5)/('Council Entry'!AA$6-'Council Entry'!AA$5),10*((IF('Council Entry'!AA$4="Logarithm",LN(0.001+IF(AND(ISNUMBER('Council Entry'!AA$8),ISNUMBER('Council Entry'!AA$9)),MAX(MIN('Council Entry'!AA45,'Council Entry'!AA$9),'Council Entry'!AA$8),'Council Entry'!AA45)),IF('Council Entry'!AA$4="Exponential",EXP(IF(AND(ISNUMBER('Council Entry'!AA$8),ISNUMBER('Council Entry'!AA$9)),MAX(MIN('Council Entry'!AA45,'Council Entry'!AA$9),'Council Entry'!AA$8),'Council Entry'!AA45)),IF(AND(ISNUMBER('Council Entry'!AA$8),ISNUMBER('Council Entry'!AA$9)),MAX(MIN('Council Entry'!AA45,'Council Entry'!AA$9),'Council Entry'!AA$8),'Council Entry'!AA45))))-'Council Entry'!AA$5)/('Council Entry'!AA$6-'Council Entry'!AA$5)),1))),"No data"))</f>
        <v/>
      </c>
      <c r="AB45" s="13">
        <f>IF('Council Entry'!AB45="","",IFERROR(MAX(0,MIN(10,ROUND(IF('Council Entry'!AB$7="Decrease Risk",10-10*((IF('Council Entry'!AB$4="Logarithm",LN(0.001+IF(AND(ISNUMBER('Council Entry'!AB$8),ISNUMBER('Council Entry'!AB$9)),MAX(MIN('Council Entry'!AB45,'Council Entry'!AB$9),'Council Entry'!AB$8),'Council Entry'!AB45)),IF('Council Entry'!AB$4="Exponential",EXP(IF(AND(ISNUMBER('Council Entry'!AB$8),ISNUMBER('Council Entry'!AB$9)),MAX(MIN('Council Entry'!AB45,'Council Entry'!AB$9),'Council Entry'!AB$8),'Council Entry'!AB45)),IF(AND(ISNUMBER('Council Entry'!AB$8),ISNUMBER('Council Entry'!AB$9)),MAX(MIN('Council Entry'!AB45,'Council Entry'!AB$9),'Council Entry'!AB$8),'Council Entry'!AB45))))-'Council Entry'!AB$5)/('Council Entry'!AB$6-'Council Entry'!AB$5),10*((IF('Council Entry'!AB$4="Logarithm",LN(0.001+IF(AND(ISNUMBER('Council Entry'!AB$8),ISNUMBER('Council Entry'!AB$9)),MAX(MIN('Council Entry'!AB45,'Council Entry'!AB$9),'Council Entry'!AB$8),'Council Entry'!AB45)),IF('Council Entry'!AB$4="Exponential",EXP(IF(AND(ISNUMBER('Council Entry'!AB$8),ISNUMBER('Council Entry'!AB$9)),MAX(MIN('Council Entry'!AB45,'Council Entry'!AB$9),'Council Entry'!AB$8),'Council Entry'!AB45)),IF(AND(ISNUMBER('Council Entry'!AB$8),ISNUMBER('Council Entry'!AB$9)),MAX(MIN('Council Entry'!AB45,'Council Entry'!AB$9),'Council Entry'!AB$8),'Council Entry'!AB45))))-'Council Entry'!AB$5)/('Council Entry'!AB$6-'Council Entry'!AB$5)),1))),"No data"))</f>
        <v/>
      </c>
      <c r="AC45" s="13">
        <f>IF('Council Entry'!AC45="","",IFERROR(MAX(0,MIN(10,ROUND(IF('Council Entry'!AC$7="Decrease Risk",10-10*((IF('Council Entry'!AC$4="Logarithm",LN(0.001+IF(AND(ISNUMBER('Council Entry'!AC$8),ISNUMBER('Council Entry'!AC$9)),MAX(MIN('Council Entry'!AC45,'Council Entry'!AC$9),'Council Entry'!AC$8),'Council Entry'!AC45)),IF('Council Entry'!AC$4="Exponential",EXP(IF(AND(ISNUMBER('Council Entry'!AC$8),ISNUMBER('Council Entry'!AC$9)),MAX(MIN('Council Entry'!AC45,'Council Entry'!AC$9),'Council Entry'!AC$8),'Council Entry'!AC45)),IF(AND(ISNUMBER('Council Entry'!AC$8),ISNUMBER('Council Entry'!AC$9)),MAX(MIN('Council Entry'!AC45,'Council Entry'!AC$9),'Council Entry'!AC$8),'Council Entry'!AC45))))-'Council Entry'!AC$5)/('Council Entry'!AC$6-'Council Entry'!AC$5),10*((IF('Council Entry'!AC$4="Logarithm",LN(0.001+IF(AND(ISNUMBER('Council Entry'!AC$8),ISNUMBER('Council Entry'!AC$9)),MAX(MIN('Council Entry'!AC45,'Council Entry'!AC$9),'Council Entry'!AC$8),'Council Entry'!AC45)),IF('Council Entry'!AC$4="Exponential",EXP(IF(AND(ISNUMBER('Council Entry'!AC$8),ISNUMBER('Council Entry'!AC$9)),MAX(MIN('Council Entry'!AC45,'Council Entry'!AC$9),'Council Entry'!AC$8),'Council Entry'!AC45)),IF(AND(ISNUMBER('Council Entry'!AC$8),ISNUMBER('Council Entry'!AC$9)),MAX(MIN('Council Entry'!AC45,'Council Entry'!AC$9),'Council Entry'!AC$8),'Council Entry'!AC45))))-'Council Entry'!AC$5)/('Council Entry'!AC$6-'Council Entry'!AC$5)),1))),"No data"))</f>
        <v/>
      </c>
      <c r="AD45" s="13">
        <f>IF('Council Entry'!AD45="","",IFERROR(MAX(0,MIN(10,ROUND(IF('Council Entry'!AD$7="Decrease Risk",10-10*((IF('Council Entry'!AD$4="Logarithm",LN(0.001+IF(AND(ISNUMBER('Council Entry'!AD$8),ISNUMBER('Council Entry'!AD$9)),MAX(MIN('Council Entry'!AD45,'Council Entry'!AD$9),'Council Entry'!AD$8),'Council Entry'!AD45)),IF('Council Entry'!AD$4="Exponential",EXP(IF(AND(ISNUMBER('Council Entry'!AD$8),ISNUMBER('Council Entry'!AD$9)),MAX(MIN('Council Entry'!AD45,'Council Entry'!AD$9),'Council Entry'!AD$8),'Council Entry'!AD45)),IF(AND(ISNUMBER('Council Entry'!AD$8),ISNUMBER('Council Entry'!AD$9)),MAX(MIN('Council Entry'!AD45,'Council Entry'!AD$9),'Council Entry'!AD$8),'Council Entry'!AD45))))-'Council Entry'!AD$5)/('Council Entry'!AD$6-'Council Entry'!AD$5),10*((IF('Council Entry'!AD$4="Logarithm",LN(0.001+IF(AND(ISNUMBER('Council Entry'!AD$8),ISNUMBER('Council Entry'!AD$9)),MAX(MIN('Council Entry'!AD45,'Council Entry'!AD$9),'Council Entry'!AD$8),'Council Entry'!AD45)),IF('Council Entry'!AD$4="Exponential",EXP(IF(AND(ISNUMBER('Council Entry'!AD$8),ISNUMBER('Council Entry'!AD$9)),MAX(MIN('Council Entry'!AD45,'Council Entry'!AD$9),'Council Entry'!AD$8),'Council Entry'!AD45)),IF(AND(ISNUMBER('Council Entry'!AD$8),ISNUMBER('Council Entry'!AD$9)),MAX(MIN('Council Entry'!AD45,'Council Entry'!AD$9),'Council Entry'!AD$8),'Council Entry'!AD45))))-'Council Entry'!AD$5)/('Council Entry'!AD$6-'Council Entry'!AD$5)),1))),"No data"))</f>
        <v/>
      </c>
      <c r="AE45" s="13">
        <f>IF('Council Entry'!AE45="","",IFERROR(MAX(0,MIN(10,ROUND(IF('Council Entry'!AE$7="Decrease Risk",10-10*((IF('Council Entry'!AE$4="Logarithm",LN(0.001+IF(AND(ISNUMBER('Council Entry'!AE$8),ISNUMBER('Council Entry'!AE$9)),MAX(MIN('Council Entry'!AE45,'Council Entry'!AE$9),'Council Entry'!AE$8),'Council Entry'!AE45)),IF('Council Entry'!AE$4="Exponential",EXP(IF(AND(ISNUMBER('Council Entry'!AE$8),ISNUMBER('Council Entry'!AE$9)),MAX(MIN('Council Entry'!AE45,'Council Entry'!AE$9),'Council Entry'!AE$8),'Council Entry'!AE45)),IF(AND(ISNUMBER('Council Entry'!AE$8),ISNUMBER('Council Entry'!AE$9)),MAX(MIN('Council Entry'!AE45,'Council Entry'!AE$9),'Council Entry'!AE$8),'Council Entry'!AE45))))-'Council Entry'!AE$5)/('Council Entry'!AE$6-'Council Entry'!AE$5),10*((IF('Council Entry'!AE$4="Logarithm",LN(0.001+IF(AND(ISNUMBER('Council Entry'!AE$8),ISNUMBER('Council Entry'!AE$9)),MAX(MIN('Council Entry'!AE45,'Council Entry'!AE$9),'Council Entry'!AE$8),'Council Entry'!AE45)),IF('Council Entry'!AE$4="Exponential",EXP(IF(AND(ISNUMBER('Council Entry'!AE$8),ISNUMBER('Council Entry'!AE$9)),MAX(MIN('Council Entry'!AE45,'Council Entry'!AE$9),'Council Entry'!AE$8),'Council Entry'!AE45)),IF(AND(ISNUMBER('Council Entry'!AE$8),ISNUMBER('Council Entry'!AE$9)),MAX(MIN('Council Entry'!AE45,'Council Entry'!AE$9),'Council Entry'!AE$8),'Council Entry'!AE45))))-'Council Entry'!AE$5)/('Council Entry'!AE$6-'Council Entry'!AE$5)),1))),"No data"))</f>
        <v/>
      </c>
      <c r="AF45" s="13">
        <f>IF('Council Entry'!AF45="","",IFERROR(MAX(0,MIN(10,ROUND(IF('Council Entry'!AF$7="Decrease Risk",10-10*((IF('Council Entry'!AF$4="Logarithm",LN(0.001+IF(AND(ISNUMBER('Council Entry'!AF$8),ISNUMBER('Council Entry'!AF$9)),MAX(MIN('Council Entry'!AF45,'Council Entry'!AF$9),'Council Entry'!AF$8),'Council Entry'!AF45)),IF('Council Entry'!AF$4="Exponential",EXP(IF(AND(ISNUMBER('Council Entry'!AF$8),ISNUMBER('Council Entry'!AF$9)),MAX(MIN('Council Entry'!AF45,'Council Entry'!AF$9),'Council Entry'!AF$8),'Council Entry'!AF45)),IF(AND(ISNUMBER('Council Entry'!AF$8),ISNUMBER('Council Entry'!AF$9)),MAX(MIN('Council Entry'!AF45,'Council Entry'!AF$9),'Council Entry'!AF$8),'Council Entry'!AF45))))-'Council Entry'!AF$5)/('Council Entry'!AF$6-'Council Entry'!AF$5),10*((IF('Council Entry'!AF$4="Logarithm",LN(0.001+IF(AND(ISNUMBER('Council Entry'!AF$8),ISNUMBER('Council Entry'!AF$9)),MAX(MIN('Council Entry'!AF45,'Council Entry'!AF$9),'Council Entry'!AF$8),'Council Entry'!AF45)),IF('Council Entry'!AF$4="Exponential",EXP(IF(AND(ISNUMBER('Council Entry'!AF$8),ISNUMBER('Council Entry'!AF$9)),MAX(MIN('Council Entry'!AF45,'Council Entry'!AF$9),'Council Entry'!AF$8),'Council Entry'!AF45)),IF(AND(ISNUMBER('Council Entry'!AF$8),ISNUMBER('Council Entry'!AF$9)),MAX(MIN('Council Entry'!AF45,'Council Entry'!AF$9),'Council Entry'!AF$8),'Council Entry'!AF45))))-'Council Entry'!AF$5)/('Council Entry'!AF$6-'Council Entry'!AF$5)),1))),"No data"))</f>
        <v/>
      </c>
      <c r="AG45" s="13">
        <f>IF('Council Entry'!AG45="","",IFERROR(MAX(0,MIN(10,ROUND(IF('Council Entry'!AG$7="Decrease Risk",10-10*((IF('Council Entry'!AG$4="Logarithm",LN(0.001+IF(AND(ISNUMBER('Council Entry'!AG$8),ISNUMBER('Council Entry'!AG$9)),MAX(MIN('Council Entry'!AG45,'Council Entry'!AG$9),'Council Entry'!AG$8),'Council Entry'!AG45)),IF('Council Entry'!AG$4="Exponential",EXP(IF(AND(ISNUMBER('Council Entry'!AG$8),ISNUMBER('Council Entry'!AG$9)),MAX(MIN('Council Entry'!AG45,'Council Entry'!AG$9),'Council Entry'!AG$8),'Council Entry'!AG45)),IF(AND(ISNUMBER('Council Entry'!AG$8),ISNUMBER('Council Entry'!AG$9)),MAX(MIN('Council Entry'!AG45,'Council Entry'!AG$9),'Council Entry'!AG$8),'Council Entry'!AG45))))-'Council Entry'!AG$5)/('Council Entry'!AG$6-'Council Entry'!AG$5),10*((IF('Council Entry'!AG$4="Logarithm",LN(0.001+IF(AND(ISNUMBER('Council Entry'!AG$8),ISNUMBER('Council Entry'!AG$9)),MAX(MIN('Council Entry'!AG45,'Council Entry'!AG$9),'Council Entry'!AG$8),'Council Entry'!AG45)),IF('Council Entry'!AG$4="Exponential",EXP(IF(AND(ISNUMBER('Council Entry'!AG$8),ISNUMBER('Council Entry'!AG$9)),MAX(MIN('Council Entry'!AG45,'Council Entry'!AG$9),'Council Entry'!AG$8),'Council Entry'!AG45)),IF(AND(ISNUMBER('Council Entry'!AG$8),ISNUMBER('Council Entry'!AG$9)),MAX(MIN('Council Entry'!AG45,'Council Entry'!AG$9),'Council Entry'!AG$8),'Council Entry'!AG45))))-'Council Entry'!AG$5)/('Council Entry'!AG$6-'Council Entry'!AG$5)),1))),"No data"))</f>
        <v/>
      </c>
      <c r="AH45" s="13">
        <f>IF('Council Entry'!AH45="","",IFERROR(MAX(0,MIN(10,ROUND(IF('Council Entry'!AH$7="Decrease Risk",10-10*((IF('Council Entry'!AH$4="Logarithm",LN(0.001+IF(AND(ISNUMBER('Council Entry'!AH$8),ISNUMBER('Council Entry'!AH$9)),MAX(MIN('Council Entry'!AH45,'Council Entry'!AH$9),'Council Entry'!AH$8),'Council Entry'!AH45)),IF('Council Entry'!AH$4="Exponential",EXP(IF(AND(ISNUMBER('Council Entry'!AH$8),ISNUMBER('Council Entry'!AH$9)),MAX(MIN('Council Entry'!AH45,'Council Entry'!AH$9),'Council Entry'!AH$8),'Council Entry'!AH45)),IF(AND(ISNUMBER('Council Entry'!AH$8),ISNUMBER('Council Entry'!AH$9)),MAX(MIN('Council Entry'!AH45,'Council Entry'!AH$9),'Council Entry'!AH$8),'Council Entry'!AH45))))-'Council Entry'!AH$5)/('Council Entry'!AH$6-'Council Entry'!AH$5),10*((IF('Council Entry'!AH$4="Logarithm",LN(0.001+IF(AND(ISNUMBER('Council Entry'!AH$8),ISNUMBER('Council Entry'!AH$9)),MAX(MIN('Council Entry'!AH45,'Council Entry'!AH$9),'Council Entry'!AH$8),'Council Entry'!AH45)),IF('Council Entry'!AH$4="Exponential",EXP(IF(AND(ISNUMBER('Council Entry'!AH$8),ISNUMBER('Council Entry'!AH$9)),MAX(MIN('Council Entry'!AH45,'Council Entry'!AH$9),'Council Entry'!AH$8),'Council Entry'!AH45)),IF(AND(ISNUMBER('Council Entry'!AH$8),ISNUMBER('Council Entry'!AH$9)),MAX(MIN('Council Entry'!AH45,'Council Entry'!AH$9),'Council Entry'!AH$8),'Council Entry'!AH45))))-'Council Entry'!AH$5)/('Council Entry'!AH$6-'Council Entry'!AH$5)),1))),"No data"))</f>
        <v/>
      </c>
      <c r="AI45" s="13">
        <f>IF('Council Entry'!AI45="","",IFERROR(MAX(0,MIN(10,ROUND(IF('Council Entry'!AI$7="Decrease Risk",10-10*((IF('Council Entry'!AI$4="Logarithm",LN(0.001+IF(AND(ISNUMBER('Council Entry'!AI$8),ISNUMBER('Council Entry'!AI$9)),MAX(MIN('Council Entry'!AI45,'Council Entry'!AI$9),'Council Entry'!AI$8),'Council Entry'!AI45)),IF('Council Entry'!AI$4="Exponential",EXP(IF(AND(ISNUMBER('Council Entry'!AI$8),ISNUMBER('Council Entry'!AI$9)),MAX(MIN('Council Entry'!AI45,'Council Entry'!AI$9),'Council Entry'!AI$8),'Council Entry'!AI45)),IF(AND(ISNUMBER('Council Entry'!AI$8),ISNUMBER('Council Entry'!AI$9)),MAX(MIN('Council Entry'!AI45,'Council Entry'!AI$9),'Council Entry'!AI$8),'Council Entry'!AI45))))-'Council Entry'!AI$5)/('Council Entry'!AI$6-'Council Entry'!AI$5),10*((IF('Council Entry'!AI$4="Logarithm",LN(0.001+IF(AND(ISNUMBER('Council Entry'!AI$8),ISNUMBER('Council Entry'!AI$9)),MAX(MIN('Council Entry'!AI45,'Council Entry'!AI$9),'Council Entry'!AI$8),'Council Entry'!AI45)),IF('Council Entry'!AI$4="Exponential",EXP(IF(AND(ISNUMBER('Council Entry'!AI$8),ISNUMBER('Council Entry'!AI$9)),MAX(MIN('Council Entry'!AI45,'Council Entry'!AI$9),'Council Entry'!AI$8),'Council Entry'!AI45)),IF(AND(ISNUMBER('Council Entry'!AI$8),ISNUMBER('Council Entry'!AI$9)),MAX(MIN('Council Entry'!AI45,'Council Entry'!AI$9),'Council Entry'!AI$8),'Council Entry'!AI45))))-'Council Entry'!AI$5)/('Council Entry'!AI$6-'Council Entry'!AI$5)),1))),"No data"))</f>
        <v/>
      </c>
      <c r="AJ45" s="13">
        <f>IF('Council Entry'!AJ45="","",IFERROR(MAX(0,MIN(10,ROUND(IF('Council Entry'!AJ$7="Decrease Risk",10-10*((IF('Council Entry'!AJ$4="Logarithm",LN(0.001+IF(AND(ISNUMBER('Council Entry'!AJ$8),ISNUMBER('Council Entry'!AJ$9)),MAX(MIN('Council Entry'!AJ45,'Council Entry'!AJ$9),'Council Entry'!AJ$8),'Council Entry'!AJ45)),IF('Council Entry'!AJ$4="Exponential",EXP(IF(AND(ISNUMBER('Council Entry'!AJ$8),ISNUMBER('Council Entry'!AJ$9)),MAX(MIN('Council Entry'!AJ45,'Council Entry'!AJ$9),'Council Entry'!AJ$8),'Council Entry'!AJ45)),IF(AND(ISNUMBER('Council Entry'!AJ$8),ISNUMBER('Council Entry'!AJ$9)),MAX(MIN('Council Entry'!AJ45,'Council Entry'!AJ$9),'Council Entry'!AJ$8),'Council Entry'!AJ45))))-'Council Entry'!AJ$5)/('Council Entry'!AJ$6-'Council Entry'!AJ$5),10*((IF('Council Entry'!AJ$4="Logarithm",LN(0.001+IF(AND(ISNUMBER('Council Entry'!AJ$8),ISNUMBER('Council Entry'!AJ$9)),MAX(MIN('Council Entry'!AJ45,'Council Entry'!AJ$9),'Council Entry'!AJ$8),'Council Entry'!AJ45)),IF('Council Entry'!AJ$4="Exponential",EXP(IF(AND(ISNUMBER('Council Entry'!AJ$8),ISNUMBER('Council Entry'!AJ$9)),MAX(MIN('Council Entry'!AJ45,'Council Entry'!AJ$9),'Council Entry'!AJ$8),'Council Entry'!AJ45)),IF(AND(ISNUMBER('Council Entry'!AJ$8),ISNUMBER('Council Entry'!AJ$9)),MAX(MIN('Council Entry'!AJ45,'Council Entry'!AJ$9),'Council Entry'!AJ$8),'Council Entry'!AJ45))))-'Council Entry'!AJ$5)/('Council Entry'!AJ$6-'Council Entry'!AJ$5)),1))),"No data"))</f>
        <v/>
      </c>
      <c r="AK45" s="13">
        <f>IF('Council Entry'!AK45="","",IFERROR(MAX(0,MIN(10,ROUND(IF('Council Entry'!AK$7="Decrease Risk",10-10*((IF('Council Entry'!AK$4="Logarithm",LN(0.001+IF(AND(ISNUMBER('Council Entry'!AK$8),ISNUMBER('Council Entry'!AK$9)),MAX(MIN('Council Entry'!AK45,'Council Entry'!AK$9),'Council Entry'!AK$8),'Council Entry'!AK45)),IF('Council Entry'!AK$4="Exponential",EXP(IF(AND(ISNUMBER('Council Entry'!AK$8),ISNUMBER('Council Entry'!AK$9)),MAX(MIN('Council Entry'!AK45,'Council Entry'!AK$9),'Council Entry'!AK$8),'Council Entry'!AK45)),IF(AND(ISNUMBER('Council Entry'!AK$8),ISNUMBER('Council Entry'!AK$9)),MAX(MIN('Council Entry'!AK45,'Council Entry'!AK$9),'Council Entry'!AK$8),'Council Entry'!AK45))))-'Council Entry'!AK$5)/('Council Entry'!AK$6-'Council Entry'!AK$5),10*((IF('Council Entry'!AK$4="Logarithm",LN(0.001+IF(AND(ISNUMBER('Council Entry'!AK$8),ISNUMBER('Council Entry'!AK$9)),MAX(MIN('Council Entry'!AK45,'Council Entry'!AK$9),'Council Entry'!AK$8),'Council Entry'!AK45)),IF('Council Entry'!AK$4="Exponential",EXP(IF(AND(ISNUMBER('Council Entry'!AK$8),ISNUMBER('Council Entry'!AK$9)),MAX(MIN('Council Entry'!AK45,'Council Entry'!AK$9),'Council Entry'!AK$8),'Council Entry'!AK45)),IF(AND(ISNUMBER('Council Entry'!AK$8),ISNUMBER('Council Entry'!AK$9)),MAX(MIN('Council Entry'!AK45,'Council Entry'!AK$9),'Council Entry'!AK$8),'Council Entry'!AK45))))-'Council Entry'!AK$5)/('Council Entry'!AK$6-'Council Entry'!AK$5)),1))),"No data"))</f>
        <v/>
      </c>
      <c r="AL45" s="13">
        <f>IF('Council Entry'!AL45="","",IFERROR(MAX(0,MIN(10,ROUND(IF('Council Entry'!AL$7="Decrease Risk",10-10*((IF('Council Entry'!AL$4="Logarithm",LN(0.001+IF(AND(ISNUMBER('Council Entry'!AL$8),ISNUMBER('Council Entry'!AL$9)),MAX(MIN('Council Entry'!AL45,'Council Entry'!AL$9),'Council Entry'!AL$8),'Council Entry'!AL45)),IF('Council Entry'!AL$4="Exponential",EXP(IF(AND(ISNUMBER('Council Entry'!AL$8),ISNUMBER('Council Entry'!AL$9)),MAX(MIN('Council Entry'!AL45,'Council Entry'!AL$9),'Council Entry'!AL$8),'Council Entry'!AL45)),IF(AND(ISNUMBER('Council Entry'!AL$8),ISNUMBER('Council Entry'!AL$9)),MAX(MIN('Council Entry'!AL45,'Council Entry'!AL$9),'Council Entry'!AL$8),'Council Entry'!AL45))))-'Council Entry'!AL$5)/('Council Entry'!AL$6-'Council Entry'!AL$5),10*((IF('Council Entry'!AL$4="Logarithm",LN(0.001+IF(AND(ISNUMBER('Council Entry'!AL$8),ISNUMBER('Council Entry'!AL$9)),MAX(MIN('Council Entry'!AL45,'Council Entry'!AL$9),'Council Entry'!AL$8),'Council Entry'!AL45)),IF('Council Entry'!AL$4="Exponential",EXP(IF(AND(ISNUMBER('Council Entry'!AL$8),ISNUMBER('Council Entry'!AL$9)),MAX(MIN('Council Entry'!AL45,'Council Entry'!AL$9),'Council Entry'!AL$8),'Council Entry'!AL45)),IF(AND(ISNUMBER('Council Entry'!AL$8),ISNUMBER('Council Entry'!AL$9)),MAX(MIN('Council Entry'!AL45,'Council Entry'!AL$9),'Council Entry'!AL$8),'Council Entry'!AL45))))-'Council Entry'!AL$5)/('Council Entry'!AL$6-'Council Entry'!AL$5)),1))),"No data"))</f>
        <v/>
      </c>
      <c r="AM45" s="13">
        <f>IF('Council Entry'!AM45="","",IFERROR(MAX(0,MIN(10,ROUND(IF('Council Entry'!AM$7="Decrease Risk",10-10*((IF('Council Entry'!AM$4="Logarithm",LN(0.001+IF(AND(ISNUMBER('Council Entry'!AM$8),ISNUMBER('Council Entry'!AM$9)),MAX(MIN('Council Entry'!AM45,'Council Entry'!AM$9),'Council Entry'!AM$8),'Council Entry'!AM45)),IF('Council Entry'!AM$4="Exponential",EXP(IF(AND(ISNUMBER('Council Entry'!AM$8),ISNUMBER('Council Entry'!AM$9)),MAX(MIN('Council Entry'!AM45,'Council Entry'!AM$9),'Council Entry'!AM$8),'Council Entry'!AM45)),IF(AND(ISNUMBER('Council Entry'!AM$8),ISNUMBER('Council Entry'!AM$9)),MAX(MIN('Council Entry'!AM45,'Council Entry'!AM$9),'Council Entry'!AM$8),'Council Entry'!AM45))))-'Council Entry'!AM$5)/('Council Entry'!AM$6-'Council Entry'!AM$5),10*((IF('Council Entry'!AM$4="Logarithm",LN(0.001+IF(AND(ISNUMBER('Council Entry'!AM$8),ISNUMBER('Council Entry'!AM$9)),MAX(MIN('Council Entry'!AM45,'Council Entry'!AM$9),'Council Entry'!AM$8),'Council Entry'!AM45)),IF('Council Entry'!AM$4="Exponential",EXP(IF(AND(ISNUMBER('Council Entry'!AM$8),ISNUMBER('Council Entry'!AM$9)),MAX(MIN('Council Entry'!AM45,'Council Entry'!AM$9),'Council Entry'!AM$8),'Council Entry'!AM45)),IF(AND(ISNUMBER('Council Entry'!AM$8),ISNUMBER('Council Entry'!AM$9)),MAX(MIN('Council Entry'!AM45,'Council Entry'!AM$9),'Council Entry'!AM$8),'Council Entry'!AM45))))-'Council Entry'!AM$5)/('Council Entry'!AM$6-'Council Entry'!AM$5)),1))),"No data"))</f>
        <v/>
      </c>
      <c r="AN45" s="13">
        <f>IF('Council Entry'!AN45="","",IFERROR(MAX(0,MIN(10,ROUND(IF('Council Entry'!AN$7="Decrease Risk",10-10*((IF('Council Entry'!AN$4="Logarithm",LN(0.001+IF(AND(ISNUMBER('Council Entry'!AN$8),ISNUMBER('Council Entry'!AN$9)),MAX(MIN('Council Entry'!AN45,'Council Entry'!AN$9),'Council Entry'!AN$8),'Council Entry'!AN45)),IF('Council Entry'!AN$4="Exponential",EXP(IF(AND(ISNUMBER('Council Entry'!AN$8),ISNUMBER('Council Entry'!AN$9)),MAX(MIN('Council Entry'!AN45,'Council Entry'!AN$9),'Council Entry'!AN$8),'Council Entry'!AN45)),IF(AND(ISNUMBER('Council Entry'!AN$8),ISNUMBER('Council Entry'!AN$9)),MAX(MIN('Council Entry'!AN45,'Council Entry'!AN$9),'Council Entry'!AN$8),'Council Entry'!AN45))))-'Council Entry'!AN$5)/('Council Entry'!AN$6-'Council Entry'!AN$5),10*((IF('Council Entry'!AN$4="Logarithm",LN(0.001+IF(AND(ISNUMBER('Council Entry'!AN$8),ISNUMBER('Council Entry'!AN$9)),MAX(MIN('Council Entry'!AN45,'Council Entry'!AN$9),'Council Entry'!AN$8),'Council Entry'!AN45)),IF('Council Entry'!AN$4="Exponential",EXP(IF(AND(ISNUMBER('Council Entry'!AN$8),ISNUMBER('Council Entry'!AN$9)),MAX(MIN('Council Entry'!AN45,'Council Entry'!AN$9),'Council Entry'!AN$8),'Council Entry'!AN45)),IF(AND(ISNUMBER('Council Entry'!AN$8),ISNUMBER('Council Entry'!AN$9)),MAX(MIN('Council Entry'!AN45,'Council Entry'!AN$9),'Council Entry'!AN$8),'Council Entry'!AN45))))-'Council Entry'!AN$5)/('Council Entry'!AN$6-'Council Entry'!AN$5)),1))),"No data"))</f>
        <v/>
      </c>
      <c r="AO45" s="13">
        <f>IF('Council Entry'!AO45="","",IFERROR(MAX(0,MIN(10,ROUND(IF('Council Entry'!AO$7="Decrease Risk",10-10*((IF('Council Entry'!AO$4="Logarithm",LN(0.001+IF(AND(ISNUMBER('Council Entry'!AO$8),ISNUMBER('Council Entry'!AO$9)),MAX(MIN('Council Entry'!AO45,'Council Entry'!AO$9),'Council Entry'!AO$8),'Council Entry'!AO45)),IF('Council Entry'!AO$4="Exponential",EXP(IF(AND(ISNUMBER('Council Entry'!AO$8),ISNUMBER('Council Entry'!AO$9)),MAX(MIN('Council Entry'!AO45,'Council Entry'!AO$9),'Council Entry'!AO$8),'Council Entry'!AO45)),IF(AND(ISNUMBER('Council Entry'!AO$8),ISNUMBER('Council Entry'!AO$9)),MAX(MIN('Council Entry'!AO45,'Council Entry'!AO$9),'Council Entry'!AO$8),'Council Entry'!AO45))))-'Council Entry'!AO$5)/('Council Entry'!AO$6-'Council Entry'!AO$5),10*((IF('Council Entry'!AO$4="Logarithm",LN(0.001+IF(AND(ISNUMBER('Council Entry'!AO$8),ISNUMBER('Council Entry'!AO$9)),MAX(MIN('Council Entry'!AO45,'Council Entry'!AO$9),'Council Entry'!AO$8),'Council Entry'!AO45)),IF('Council Entry'!AO$4="Exponential",EXP(IF(AND(ISNUMBER('Council Entry'!AO$8),ISNUMBER('Council Entry'!AO$9)),MAX(MIN('Council Entry'!AO45,'Council Entry'!AO$9),'Council Entry'!AO$8),'Council Entry'!AO45)),IF(AND(ISNUMBER('Council Entry'!AO$8),ISNUMBER('Council Entry'!AO$9)),MAX(MIN('Council Entry'!AO45,'Council Entry'!AO$9),'Council Entry'!AO$8),'Council Entry'!AO45))))-'Council Entry'!AO$5)/('Council Entry'!AO$6-'Council Entry'!AO$5)),1))),"No data"))</f>
        <v/>
      </c>
      <c r="AP45" s="13">
        <f>IF('Council Entry'!AP45="","",IFERROR(MAX(0,MIN(10,ROUND(IF('Council Entry'!AP$7="Decrease Risk",10-10*((IF('Council Entry'!AP$4="Logarithm",LN(0.001+IF(AND(ISNUMBER('Council Entry'!AP$8),ISNUMBER('Council Entry'!AP$9)),MAX(MIN('Council Entry'!AP45,'Council Entry'!AP$9),'Council Entry'!AP$8),'Council Entry'!AP45)),IF('Council Entry'!AP$4="Exponential",EXP(IF(AND(ISNUMBER('Council Entry'!AP$8),ISNUMBER('Council Entry'!AP$9)),MAX(MIN('Council Entry'!AP45,'Council Entry'!AP$9),'Council Entry'!AP$8),'Council Entry'!AP45)),IF(AND(ISNUMBER('Council Entry'!AP$8),ISNUMBER('Council Entry'!AP$9)),MAX(MIN('Council Entry'!AP45,'Council Entry'!AP$9),'Council Entry'!AP$8),'Council Entry'!AP45))))-'Council Entry'!AP$5)/('Council Entry'!AP$6-'Council Entry'!AP$5),10*((IF('Council Entry'!AP$4="Logarithm",LN(0.001+IF(AND(ISNUMBER('Council Entry'!AP$8),ISNUMBER('Council Entry'!AP$9)),MAX(MIN('Council Entry'!AP45,'Council Entry'!AP$9),'Council Entry'!AP$8),'Council Entry'!AP45)),IF('Council Entry'!AP$4="Exponential",EXP(IF(AND(ISNUMBER('Council Entry'!AP$8),ISNUMBER('Council Entry'!AP$9)),MAX(MIN('Council Entry'!AP45,'Council Entry'!AP$9),'Council Entry'!AP$8),'Council Entry'!AP45)),IF(AND(ISNUMBER('Council Entry'!AP$8),ISNUMBER('Council Entry'!AP$9)),MAX(MIN('Council Entry'!AP45,'Council Entry'!AP$9),'Council Entry'!AP$8),'Council Entry'!AP45))))-'Council Entry'!AP$5)/('Council Entry'!AP$6-'Council Entry'!AP$5)),1))),"No data"))</f>
        <v/>
      </c>
      <c r="AQ45" s="13">
        <f>IF('Council Entry'!AQ45="","",IFERROR(MAX(0,MIN(10,ROUND(IF('Council Entry'!AQ$7="Decrease Risk",10-10*((IF('Council Entry'!AQ$4="Logarithm",LN(0.001+IF(AND(ISNUMBER('Council Entry'!AQ$8),ISNUMBER('Council Entry'!AQ$9)),MAX(MIN('Council Entry'!AQ45,'Council Entry'!AQ$9),'Council Entry'!AQ$8),'Council Entry'!AQ45)),IF('Council Entry'!AQ$4="Exponential",EXP(IF(AND(ISNUMBER('Council Entry'!AQ$8),ISNUMBER('Council Entry'!AQ$9)),MAX(MIN('Council Entry'!AQ45,'Council Entry'!AQ$9),'Council Entry'!AQ$8),'Council Entry'!AQ45)),IF(AND(ISNUMBER('Council Entry'!AQ$8),ISNUMBER('Council Entry'!AQ$9)),MAX(MIN('Council Entry'!AQ45,'Council Entry'!AQ$9),'Council Entry'!AQ$8),'Council Entry'!AQ45))))-'Council Entry'!AQ$5)/('Council Entry'!AQ$6-'Council Entry'!AQ$5),10*((IF('Council Entry'!AQ$4="Logarithm",LN(0.001+IF(AND(ISNUMBER('Council Entry'!AQ$8),ISNUMBER('Council Entry'!AQ$9)),MAX(MIN('Council Entry'!AQ45,'Council Entry'!AQ$9),'Council Entry'!AQ$8),'Council Entry'!AQ45)),IF('Council Entry'!AQ$4="Exponential",EXP(IF(AND(ISNUMBER('Council Entry'!AQ$8),ISNUMBER('Council Entry'!AQ$9)),MAX(MIN('Council Entry'!AQ45,'Council Entry'!AQ$9),'Council Entry'!AQ$8),'Council Entry'!AQ45)),IF(AND(ISNUMBER('Council Entry'!AQ$8),ISNUMBER('Council Entry'!AQ$9)),MAX(MIN('Council Entry'!AQ45,'Council Entry'!AQ$9),'Council Entry'!AQ$8),'Council Entry'!AQ45))))-'Council Entry'!AQ$5)/('Council Entry'!AQ$6-'Council Entry'!AQ$5)),1))),"No data"))</f>
        <v/>
      </c>
      <c r="AR45" s="13">
        <f>IF('Council Entry'!AR45="","",IFERROR(MAX(0,MIN(10,ROUND(IF('Council Entry'!AR$7="Decrease Risk",10-10*((IF('Council Entry'!AR$4="Logarithm",LN(0.001+IF(AND(ISNUMBER('Council Entry'!AR$8),ISNUMBER('Council Entry'!AR$9)),MAX(MIN('Council Entry'!AR45,'Council Entry'!AR$9),'Council Entry'!AR$8),'Council Entry'!AR45)),IF('Council Entry'!AR$4="Exponential",EXP(IF(AND(ISNUMBER('Council Entry'!AR$8),ISNUMBER('Council Entry'!AR$9)),MAX(MIN('Council Entry'!AR45,'Council Entry'!AR$9),'Council Entry'!AR$8),'Council Entry'!AR45)),IF(AND(ISNUMBER('Council Entry'!AR$8),ISNUMBER('Council Entry'!AR$9)),MAX(MIN('Council Entry'!AR45,'Council Entry'!AR$9),'Council Entry'!AR$8),'Council Entry'!AR45))))-'Council Entry'!AR$5)/('Council Entry'!AR$6-'Council Entry'!AR$5),10*((IF('Council Entry'!AR$4="Logarithm",LN(0.001+IF(AND(ISNUMBER('Council Entry'!AR$8),ISNUMBER('Council Entry'!AR$9)),MAX(MIN('Council Entry'!AR45,'Council Entry'!AR$9),'Council Entry'!AR$8),'Council Entry'!AR45)),IF('Council Entry'!AR$4="Exponential",EXP(IF(AND(ISNUMBER('Council Entry'!AR$8),ISNUMBER('Council Entry'!AR$9)),MAX(MIN('Council Entry'!AR45,'Council Entry'!AR$9),'Council Entry'!AR$8),'Council Entry'!AR45)),IF(AND(ISNUMBER('Council Entry'!AR$8),ISNUMBER('Council Entry'!AR$9)),MAX(MIN('Council Entry'!AR45,'Council Entry'!AR$9),'Council Entry'!AR$8),'Council Entry'!AR45))))-'Council Entry'!AR$5)/('Council Entry'!AR$6-'Council Entry'!AR$5)),1))),"No data"))</f>
        <v/>
      </c>
      <c r="AS45" s="13">
        <f>IF('Council Entry'!AS45="","",IFERROR(MAX(0,MIN(10,ROUND(IF('Council Entry'!AS$7="Decrease Risk",10-10*((IF('Council Entry'!AS$4="Logarithm",LN(0.001+IF(AND(ISNUMBER('Council Entry'!AS$8),ISNUMBER('Council Entry'!AS$9)),MAX(MIN('Council Entry'!AS45,'Council Entry'!AS$9),'Council Entry'!AS$8),'Council Entry'!AS45)),IF('Council Entry'!AS$4="Exponential",EXP(IF(AND(ISNUMBER('Council Entry'!AS$8),ISNUMBER('Council Entry'!AS$9)),MAX(MIN('Council Entry'!AS45,'Council Entry'!AS$9),'Council Entry'!AS$8),'Council Entry'!AS45)),IF(AND(ISNUMBER('Council Entry'!AS$8),ISNUMBER('Council Entry'!AS$9)),MAX(MIN('Council Entry'!AS45,'Council Entry'!AS$9),'Council Entry'!AS$8),'Council Entry'!AS45))))-'Council Entry'!AS$5)/('Council Entry'!AS$6-'Council Entry'!AS$5),10*((IF('Council Entry'!AS$4="Logarithm",LN(0.001+IF(AND(ISNUMBER('Council Entry'!AS$8),ISNUMBER('Council Entry'!AS$9)),MAX(MIN('Council Entry'!AS45,'Council Entry'!AS$9),'Council Entry'!AS$8),'Council Entry'!AS45)),IF('Council Entry'!AS$4="Exponential",EXP(IF(AND(ISNUMBER('Council Entry'!AS$8),ISNUMBER('Council Entry'!AS$9)),MAX(MIN('Council Entry'!AS45,'Council Entry'!AS$9),'Council Entry'!AS$8),'Council Entry'!AS45)),IF(AND(ISNUMBER('Council Entry'!AS$8),ISNUMBER('Council Entry'!AS$9)),MAX(MIN('Council Entry'!AS45,'Council Entry'!AS$9),'Council Entry'!AS$8),'Council Entry'!AS45))))-'Council Entry'!AS$5)/('Council Entry'!AS$6-'Council Entry'!AS$5)),1))),"No data"))</f>
        <v/>
      </c>
      <c r="AT45" s="13">
        <f>IF('Council Entry'!AT45="","",IFERROR(MAX(0,MIN(10,ROUND(IF('Council Entry'!AT$7="Decrease Risk",10-10*((IF('Council Entry'!AT$4="Logarithm",LN(0.001+IF(AND(ISNUMBER('Council Entry'!AT$8),ISNUMBER('Council Entry'!AT$9)),MAX(MIN('Council Entry'!AT45,'Council Entry'!AT$9),'Council Entry'!AT$8),'Council Entry'!AT45)),IF('Council Entry'!AT$4="Exponential",EXP(IF(AND(ISNUMBER('Council Entry'!AT$8),ISNUMBER('Council Entry'!AT$9)),MAX(MIN('Council Entry'!AT45,'Council Entry'!AT$9),'Council Entry'!AT$8),'Council Entry'!AT45)),IF(AND(ISNUMBER('Council Entry'!AT$8),ISNUMBER('Council Entry'!AT$9)),MAX(MIN('Council Entry'!AT45,'Council Entry'!AT$9),'Council Entry'!AT$8),'Council Entry'!AT45))))-'Council Entry'!AT$5)/('Council Entry'!AT$6-'Council Entry'!AT$5),10*((IF('Council Entry'!AT$4="Logarithm",LN(0.001+IF(AND(ISNUMBER('Council Entry'!AT$8),ISNUMBER('Council Entry'!AT$9)),MAX(MIN('Council Entry'!AT45,'Council Entry'!AT$9),'Council Entry'!AT$8),'Council Entry'!AT45)),IF('Council Entry'!AT$4="Exponential",EXP(IF(AND(ISNUMBER('Council Entry'!AT$8),ISNUMBER('Council Entry'!AT$9)),MAX(MIN('Council Entry'!AT45,'Council Entry'!AT$9),'Council Entry'!AT$8),'Council Entry'!AT45)),IF(AND(ISNUMBER('Council Entry'!AT$8),ISNUMBER('Council Entry'!AT$9)),MAX(MIN('Council Entry'!AT45,'Council Entry'!AT$9),'Council Entry'!AT$8),'Council Entry'!AT45))))-'Council Entry'!AT$5)/('Council Entry'!AT$6-'Council Entry'!AT$5)),1))),"No data"))</f>
        <v/>
      </c>
      <c r="AU45" s="13">
        <f>IF('Council Entry'!AU45="","",IFERROR(MAX(0,MIN(10,ROUND(IF('Council Entry'!AU$7="Decrease Risk",10-10*((IF('Council Entry'!AU$4="Logarithm",LN(0.001+IF(AND(ISNUMBER('Council Entry'!AU$8),ISNUMBER('Council Entry'!AU$9)),MAX(MIN('Council Entry'!AU45,'Council Entry'!AU$9),'Council Entry'!AU$8),'Council Entry'!AU45)),IF('Council Entry'!AU$4="Exponential",EXP(IF(AND(ISNUMBER('Council Entry'!AU$8),ISNUMBER('Council Entry'!AU$9)),MAX(MIN('Council Entry'!AU45,'Council Entry'!AU$9),'Council Entry'!AU$8),'Council Entry'!AU45)),IF(AND(ISNUMBER('Council Entry'!AU$8),ISNUMBER('Council Entry'!AU$9)),MAX(MIN('Council Entry'!AU45,'Council Entry'!AU$9),'Council Entry'!AU$8),'Council Entry'!AU45))))-'Council Entry'!AU$5)/('Council Entry'!AU$6-'Council Entry'!AU$5),10*((IF('Council Entry'!AU$4="Logarithm",LN(0.001+IF(AND(ISNUMBER('Council Entry'!AU$8),ISNUMBER('Council Entry'!AU$9)),MAX(MIN('Council Entry'!AU45,'Council Entry'!AU$9),'Council Entry'!AU$8),'Council Entry'!AU45)),IF('Council Entry'!AU$4="Exponential",EXP(IF(AND(ISNUMBER('Council Entry'!AU$8),ISNUMBER('Council Entry'!AU$9)),MAX(MIN('Council Entry'!AU45,'Council Entry'!AU$9),'Council Entry'!AU$8),'Council Entry'!AU45)),IF(AND(ISNUMBER('Council Entry'!AU$8),ISNUMBER('Council Entry'!AU$9)),MAX(MIN('Council Entry'!AU45,'Council Entry'!AU$9),'Council Entry'!AU$8),'Council Entry'!AU45))))-'Council Entry'!AU$5)/('Council Entry'!AU$6-'Council Entry'!AU$5)),1))),"No data"))</f>
        <v/>
      </c>
      <c r="AV45" s="13">
        <f>IF('Council Entry'!AV45="","",IFERROR(MAX(0,MIN(10,ROUND(IF('Council Entry'!AV$7="Decrease Risk",10-10*((IF('Council Entry'!AV$4="Logarithm",LN(0.001+IF(AND(ISNUMBER('Council Entry'!AV$8),ISNUMBER('Council Entry'!AV$9)),MAX(MIN('Council Entry'!AV45,'Council Entry'!AV$9),'Council Entry'!AV$8),'Council Entry'!AV45)),IF('Council Entry'!AV$4="Exponential",EXP(IF(AND(ISNUMBER('Council Entry'!AV$8),ISNUMBER('Council Entry'!AV$9)),MAX(MIN('Council Entry'!AV45,'Council Entry'!AV$9),'Council Entry'!AV$8),'Council Entry'!AV45)),IF(AND(ISNUMBER('Council Entry'!AV$8),ISNUMBER('Council Entry'!AV$9)),MAX(MIN('Council Entry'!AV45,'Council Entry'!AV$9),'Council Entry'!AV$8),'Council Entry'!AV45))))-'Council Entry'!AV$5)/('Council Entry'!AV$6-'Council Entry'!AV$5),10*((IF('Council Entry'!AV$4="Logarithm",LN(0.001+IF(AND(ISNUMBER('Council Entry'!AV$8),ISNUMBER('Council Entry'!AV$9)),MAX(MIN('Council Entry'!AV45,'Council Entry'!AV$9),'Council Entry'!AV$8),'Council Entry'!AV45)),IF('Council Entry'!AV$4="Exponential",EXP(IF(AND(ISNUMBER('Council Entry'!AV$8),ISNUMBER('Council Entry'!AV$9)),MAX(MIN('Council Entry'!AV45,'Council Entry'!AV$9),'Council Entry'!AV$8),'Council Entry'!AV45)),IF(AND(ISNUMBER('Council Entry'!AV$8),ISNUMBER('Council Entry'!AV$9)),MAX(MIN('Council Entry'!AV45,'Council Entry'!AV$9),'Council Entry'!AV$8),'Council Entry'!AV45))))-'Council Entry'!AV$5)/('Council Entry'!AV$6-'Council Entry'!AV$5)),1))),"No data"))</f>
        <v/>
      </c>
      <c r="AW45" s="13">
        <f>IF('Council Entry'!AW45="","",IFERROR(MAX(0,MIN(10,ROUND(IF('Council Entry'!AW$7="Decrease Risk",10-10*((IF('Council Entry'!AW$4="Logarithm",LN(0.001+IF(AND(ISNUMBER('Council Entry'!AW$8),ISNUMBER('Council Entry'!AW$9)),MAX(MIN('Council Entry'!AW45,'Council Entry'!AW$9),'Council Entry'!AW$8),'Council Entry'!AW45)),IF('Council Entry'!AW$4="Exponential",EXP(IF(AND(ISNUMBER('Council Entry'!AW$8),ISNUMBER('Council Entry'!AW$9)),MAX(MIN('Council Entry'!AW45,'Council Entry'!AW$9),'Council Entry'!AW$8),'Council Entry'!AW45)),IF(AND(ISNUMBER('Council Entry'!AW$8),ISNUMBER('Council Entry'!AW$9)),MAX(MIN('Council Entry'!AW45,'Council Entry'!AW$9),'Council Entry'!AW$8),'Council Entry'!AW45))))-'Council Entry'!AW$5)/('Council Entry'!AW$6-'Council Entry'!AW$5),10*((IF('Council Entry'!AW$4="Logarithm",LN(0.001+IF(AND(ISNUMBER('Council Entry'!AW$8),ISNUMBER('Council Entry'!AW$9)),MAX(MIN('Council Entry'!AW45,'Council Entry'!AW$9),'Council Entry'!AW$8),'Council Entry'!AW45)),IF('Council Entry'!AW$4="Exponential",EXP(IF(AND(ISNUMBER('Council Entry'!AW$8),ISNUMBER('Council Entry'!AW$9)),MAX(MIN('Council Entry'!AW45,'Council Entry'!AW$9),'Council Entry'!AW$8),'Council Entry'!AW45)),IF(AND(ISNUMBER('Council Entry'!AW$8),ISNUMBER('Council Entry'!AW$9)),MAX(MIN('Council Entry'!AW45,'Council Entry'!AW$9),'Council Entry'!AW$8),'Council Entry'!AW45))))-'Council Entry'!AW$5)/('Council Entry'!AW$6-'Council Entry'!AW$5)),1))),"No data"))</f>
        <v/>
      </c>
      <c r="AX45" s="13">
        <f>IF('Council Entry'!AX45="","",IFERROR(MAX(0,MIN(10,ROUND(IF('Council Entry'!AX$7="Decrease Risk",10-10*((IF('Council Entry'!AX$4="Logarithm",LN(0.001+IF(AND(ISNUMBER('Council Entry'!AX$8),ISNUMBER('Council Entry'!AX$9)),MAX(MIN('Council Entry'!AX45,'Council Entry'!AX$9),'Council Entry'!AX$8),'Council Entry'!AX45)),IF('Council Entry'!AX$4="Exponential",EXP(IF(AND(ISNUMBER('Council Entry'!AX$8),ISNUMBER('Council Entry'!AX$9)),MAX(MIN('Council Entry'!AX45,'Council Entry'!AX$9),'Council Entry'!AX$8),'Council Entry'!AX45)),IF(AND(ISNUMBER('Council Entry'!AX$8),ISNUMBER('Council Entry'!AX$9)),MAX(MIN('Council Entry'!AX45,'Council Entry'!AX$9),'Council Entry'!AX$8),'Council Entry'!AX45))))-'Council Entry'!AX$5)/('Council Entry'!AX$6-'Council Entry'!AX$5),10*((IF('Council Entry'!AX$4="Logarithm",LN(0.001+IF(AND(ISNUMBER('Council Entry'!AX$8),ISNUMBER('Council Entry'!AX$9)),MAX(MIN('Council Entry'!AX45,'Council Entry'!AX$9),'Council Entry'!AX$8),'Council Entry'!AX45)),IF('Council Entry'!AX$4="Exponential",EXP(IF(AND(ISNUMBER('Council Entry'!AX$8),ISNUMBER('Council Entry'!AX$9)),MAX(MIN('Council Entry'!AX45,'Council Entry'!AX$9),'Council Entry'!AX$8),'Council Entry'!AX45)),IF(AND(ISNUMBER('Council Entry'!AX$8),ISNUMBER('Council Entry'!AX$9)),MAX(MIN('Council Entry'!AX45,'Council Entry'!AX$9),'Council Entry'!AX$8),'Council Entry'!AX45))))-'Council Entry'!AX$5)/('Council Entry'!AX$6-'Council Entry'!AX$5)),1))),"No data"))</f>
        <v/>
      </c>
      <c r="AY45" s="13">
        <f>IF('Council Entry'!AY45="","",IFERROR(MAX(0,MIN(10,ROUND(IF('Council Entry'!AY$7="Decrease Risk",10-10*((IF('Council Entry'!AY$4="Logarithm",LN(0.001+IF(AND(ISNUMBER('Council Entry'!AY$8),ISNUMBER('Council Entry'!AY$9)),MAX(MIN('Council Entry'!AY45,'Council Entry'!AY$9),'Council Entry'!AY$8),'Council Entry'!AY45)),IF('Council Entry'!AY$4="Exponential",EXP(IF(AND(ISNUMBER('Council Entry'!AY$8),ISNUMBER('Council Entry'!AY$9)),MAX(MIN('Council Entry'!AY45,'Council Entry'!AY$9),'Council Entry'!AY$8),'Council Entry'!AY45)),IF(AND(ISNUMBER('Council Entry'!AY$8),ISNUMBER('Council Entry'!AY$9)),MAX(MIN('Council Entry'!AY45,'Council Entry'!AY$9),'Council Entry'!AY$8),'Council Entry'!AY45))))-'Council Entry'!AY$5)/('Council Entry'!AY$6-'Council Entry'!AY$5),10*((IF('Council Entry'!AY$4="Logarithm",LN(0.001+IF(AND(ISNUMBER('Council Entry'!AY$8),ISNUMBER('Council Entry'!AY$9)),MAX(MIN('Council Entry'!AY45,'Council Entry'!AY$9),'Council Entry'!AY$8),'Council Entry'!AY45)),IF('Council Entry'!AY$4="Exponential",EXP(IF(AND(ISNUMBER('Council Entry'!AY$8),ISNUMBER('Council Entry'!AY$9)),MAX(MIN('Council Entry'!AY45,'Council Entry'!AY$9),'Council Entry'!AY$8),'Council Entry'!AY45)),IF(AND(ISNUMBER('Council Entry'!AY$8),ISNUMBER('Council Entry'!AY$9)),MAX(MIN('Council Entry'!AY45,'Council Entry'!AY$9),'Council Entry'!AY$8),'Council Entry'!AY45))))-'Council Entry'!AY$5)/('Council Entry'!AY$6-'Council Entry'!AY$5)),1))),"No data"))</f>
        <v/>
      </c>
      <c r="AZ45" s="13">
        <f>IF('Council Entry'!AZ45="","",IFERROR(MAX(0,MIN(10,ROUND(IF('Council Entry'!AZ$7="Decrease Risk",10-10*((IF('Council Entry'!AZ$4="Logarithm",LN(0.001+IF(AND(ISNUMBER('Council Entry'!AZ$8),ISNUMBER('Council Entry'!AZ$9)),MAX(MIN('Council Entry'!AZ45,'Council Entry'!AZ$9),'Council Entry'!AZ$8),'Council Entry'!AZ45)),IF('Council Entry'!AZ$4="Exponential",EXP(IF(AND(ISNUMBER('Council Entry'!AZ$8),ISNUMBER('Council Entry'!AZ$9)),MAX(MIN('Council Entry'!AZ45,'Council Entry'!AZ$9),'Council Entry'!AZ$8),'Council Entry'!AZ45)),IF(AND(ISNUMBER('Council Entry'!AZ$8),ISNUMBER('Council Entry'!AZ$9)),MAX(MIN('Council Entry'!AZ45,'Council Entry'!AZ$9),'Council Entry'!AZ$8),'Council Entry'!AZ45))))-'Council Entry'!AZ$5)/('Council Entry'!AZ$6-'Council Entry'!AZ$5),10*((IF('Council Entry'!AZ$4="Logarithm",LN(0.001+IF(AND(ISNUMBER('Council Entry'!AZ$8),ISNUMBER('Council Entry'!AZ$9)),MAX(MIN('Council Entry'!AZ45,'Council Entry'!AZ$9),'Council Entry'!AZ$8),'Council Entry'!AZ45)),IF('Council Entry'!AZ$4="Exponential",EXP(IF(AND(ISNUMBER('Council Entry'!AZ$8),ISNUMBER('Council Entry'!AZ$9)),MAX(MIN('Council Entry'!AZ45,'Council Entry'!AZ$9),'Council Entry'!AZ$8),'Council Entry'!AZ45)),IF(AND(ISNUMBER('Council Entry'!AZ$8),ISNUMBER('Council Entry'!AZ$9)),MAX(MIN('Council Entry'!AZ45,'Council Entry'!AZ$9),'Council Entry'!AZ$8),'Council Entry'!AZ45))))-'Council Entry'!AZ$5)/('Council Entry'!AZ$6-'Council Entry'!AZ$5)),1))),"No data"))</f>
        <v/>
      </c>
      <c r="BA45" s="13">
        <f>IF('Council Entry'!BA45="","",IFERROR(MAX(0,MIN(10,ROUND(IF('Council Entry'!BA$7="Decrease Risk",10-10*((IF('Council Entry'!BA$4="Logarithm",LN(0.001+IF(AND(ISNUMBER('Council Entry'!BA$8),ISNUMBER('Council Entry'!BA$9)),MAX(MIN('Council Entry'!BA45,'Council Entry'!BA$9),'Council Entry'!BA$8),'Council Entry'!BA45)),IF('Council Entry'!BA$4="Exponential",EXP(IF(AND(ISNUMBER('Council Entry'!BA$8),ISNUMBER('Council Entry'!BA$9)),MAX(MIN('Council Entry'!BA45,'Council Entry'!BA$9),'Council Entry'!BA$8),'Council Entry'!BA45)),IF(AND(ISNUMBER('Council Entry'!BA$8),ISNUMBER('Council Entry'!BA$9)),MAX(MIN('Council Entry'!BA45,'Council Entry'!BA$9),'Council Entry'!BA$8),'Council Entry'!BA45))))-'Council Entry'!BA$5)/('Council Entry'!BA$6-'Council Entry'!BA$5),10*((IF('Council Entry'!BA$4="Logarithm",LN(0.001+IF(AND(ISNUMBER('Council Entry'!BA$8),ISNUMBER('Council Entry'!BA$9)),MAX(MIN('Council Entry'!BA45,'Council Entry'!BA$9),'Council Entry'!BA$8),'Council Entry'!BA45)),IF('Council Entry'!BA$4="Exponential",EXP(IF(AND(ISNUMBER('Council Entry'!BA$8),ISNUMBER('Council Entry'!BA$9)),MAX(MIN('Council Entry'!BA45,'Council Entry'!BA$9),'Council Entry'!BA$8),'Council Entry'!BA45)),IF(AND(ISNUMBER('Council Entry'!BA$8),ISNUMBER('Council Entry'!BA$9)),MAX(MIN('Council Entry'!BA45,'Council Entry'!BA$9),'Council Entry'!BA$8),'Council Entry'!BA45))))-'Council Entry'!BA$5)/('Council Entry'!BA$6-'Council Entry'!BA$5)),1))),"No data"))</f>
        <v/>
      </c>
      <c r="BB45" s="13">
        <f>IF('Council Entry'!BB45="","",IFERROR(MAX(0,MIN(10,ROUND(IF('Council Entry'!BB$7="Decrease Risk",10-10*((IF('Council Entry'!BB$4="Logarithm",LN(0.001+IF(AND(ISNUMBER('Council Entry'!BB$8),ISNUMBER('Council Entry'!BB$9)),MAX(MIN('Council Entry'!BB45,'Council Entry'!BB$9),'Council Entry'!BB$8),'Council Entry'!BB45)),IF('Council Entry'!BB$4="Exponential",EXP(IF(AND(ISNUMBER('Council Entry'!BB$8),ISNUMBER('Council Entry'!BB$9)),MAX(MIN('Council Entry'!BB45,'Council Entry'!BB$9),'Council Entry'!BB$8),'Council Entry'!BB45)),IF(AND(ISNUMBER('Council Entry'!BB$8),ISNUMBER('Council Entry'!BB$9)),MAX(MIN('Council Entry'!BB45,'Council Entry'!BB$9),'Council Entry'!BB$8),'Council Entry'!BB45))))-'Council Entry'!BB$5)/('Council Entry'!BB$6-'Council Entry'!BB$5),10*((IF('Council Entry'!BB$4="Logarithm",LN(0.001+IF(AND(ISNUMBER('Council Entry'!BB$8),ISNUMBER('Council Entry'!BB$9)),MAX(MIN('Council Entry'!BB45,'Council Entry'!BB$9),'Council Entry'!BB$8),'Council Entry'!BB45)),IF('Council Entry'!BB$4="Exponential",EXP(IF(AND(ISNUMBER('Council Entry'!BB$8),ISNUMBER('Council Entry'!BB$9)),MAX(MIN('Council Entry'!BB45,'Council Entry'!BB$9),'Council Entry'!BB$8),'Council Entry'!BB45)),IF(AND(ISNUMBER('Council Entry'!BB$8),ISNUMBER('Council Entry'!BB$9)),MAX(MIN('Council Entry'!BB45,'Council Entry'!BB$9),'Council Entry'!BB$8),'Council Entry'!BB45))))-'Council Entry'!BB$5)/('Council Entry'!BB$6-'Council Entry'!BB$5)),1))),"No data"))</f>
        <v/>
      </c>
      <c r="BC45" s="13">
        <f>IF('Council Entry'!BC45="","",IFERROR(MAX(0,MIN(10,ROUND(IF('Council Entry'!BC$7="Decrease Risk",10-10*((IF('Council Entry'!BC$4="Logarithm",LN(0.001+IF(AND(ISNUMBER('Council Entry'!BC$8),ISNUMBER('Council Entry'!BC$9)),MAX(MIN('Council Entry'!BC45,'Council Entry'!BC$9),'Council Entry'!BC$8),'Council Entry'!BC45)),IF('Council Entry'!BC$4="Exponential",EXP(IF(AND(ISNUMBER('Council Entry'!BC$8),ISNUMBER('Council Entry'!BC$9)),MAX(MIN('Council Entry'!BC45,'Council Entry'!BC$9),'Council Entry'!BC$8),'Council Entry'!BC45)),IF(AND(ISNUMBER('Council Entry'!BC$8),ISNUMBER('Council Entry'!BC$9)),MAX(MIN('Council Entry'!BC45,'Council Entry'!BC$9),'Council Entry'!BC$8),'Council Entry'!BC45))))-'Council Entry'!BC$5)/('Council Entry'!BC$6-'Council Entry'!BC$5),10*((IF('Council Entry'!BC$4="Logarithm",LN(0.001+IF(AND(ISNUMBER('Council Entry'!BC$8),ISNUMBER('Council Entry'!BC$9)),MAX(MIN('Council Entry'!BC45,'Council Entry'!BC$9),'Council Entry'!BC$8),'Council Entry'!BC45)),IF('Council Entry'!BC$4="Exponential",EXP(IF(AND(ISNUMBER('Council Entry'!BC$8),ISNUMBER('Council Entry'!BC$9)),MAX(MIN('Council Entry'!BC45,'Council Entry'!BC$9),'Council Entry'!BC$8),'Council Entry'!BC45)),IF(AND(ISNUMBER('Council Entry'!BC$8),ISNUMBER('Council Entry'!BC$9)),MAX(MIN('Council Entry'!BC45,'Council Entry'!BC$9),'Council Entry'!BC$8),'Council Entry'!BC45))))-'Council Entry'!BC$5)/('Council Entry'!BC$6-'Council Entry'!BC$5)),1))),"No data"))</f>
        <v/>
      </c>
      <c r="BD45" s="13">
        <f>IF('Council Entry'!BD45="","",IFERROR(MAX(0,MIN(10,ROUND(IF('Council Entry'!BD$7="Decrease Risk",10-10*((IF('Council Entry'!BD$4="Logarithm",LN(0.001+IF(AND(ISNUMBER('Council Entry'!BD$8),ISNUMBER('Council Entry'!BD$9)),MAX(MIN('Council Entry'!BD45,'Council Entry'!BD$9),'Council Entry'!BD$8),'Council Entry'!BD45)),IF('Council Entry'!BD$4="Exponential",EXP(IF(AND(ISNUMBER('Council Entry'!BD$8),ISNUMBER('Council Entry'!BD$9)),MAX(MIN('Council Entry'!BD45,'Council Entry'!BD$9),'Council Entry'!BD$8),'Council Entry'!BD45)),IF(AND(ISNUMBER('Council Entry'!BD$8),ISNUMBER('Council Entry'!BD$9)),MAX(MIN('Council Entry'!BD45,'Council Entry'!BD$9),'Council Entry'!BD$8),'Council Entry'!BD45))))-'Council Entry'!BD$5)/('Council Entry'!BD$6-'Council Entry'!BD$5),10*((IF('Council Entry'!BD$4="Logarithm",LN(0.001+IF(AND(ISNUMBER('Council Entry'!BD$8),ISNUMBER('Council Entry'!BD$9)),MAX(MIN('Council Entry'!BD45,'Council Entry'!BD$9),'Council Entry'!BD$8),'Council Entry'!BD45)),IF('Council Entry'!BD$4="Exponential",EXP(IF(AND(ISNUMBER('Council Entry'!BD$8),ISNUMBER('Council Entry'!BD$9)),MAX(MIN('Council Entry'!BD45,'Council Entry'!BD$9),'Council Entry'!BD$8),'Council Entry'!BD45)),IF(AND(ISNUMBER('Council Entry'!BD$8),ISNUMBER('Council Entry'!BD$9)),MAX(MIN('Council Entry'!BD45,'Council Entry'!BD$9),'Council Entry'!BD$8),'Council Entry'!BD45))))-'Council Entry'!BD$5)/('Council Entry'!BD$6-'Council Entry'!BD$5)),1))),"No data"))</f>
        <v/>
      </c>
    </row>
    <row r="46">
      <c r="A46" t="inlineStr">
        <is>
          <t>Kagera</t>
        </is>
      </c>
      <c r="B46" t="inlineStr">
        <is>
          <t>Kyerwa District</t>
        </is>
      </c>
      <c r="C46" t="inlineStr">
        <is>
          <t>C131</t>
        </is>
      </c>
      <c r="D46" s="13">
        <f>IF('Council Entry'!D46="","",IFERROR(MAX(0,MIN(10,ROUND(IF('Council Entry'!D$7="Decrease Risk",10-10*((IF('Council Entry'!D$4="Logarithm",LN(0.001+IF(AND(ISNUMBER('Council Entry'!D$8),ISNUMBER('Council Entry'!D$9)),MAX(MIN('Council Entry'!D46,'Council Entry'!D$9),'Council Entry'!D$8),'Council Entry'!D46)),IF('Council Entry'!D$4="Exponential",EXP(IF(AND(ISNUMBER('Council Entry'!D$8),ISNUMBER('Council Entry'!D$9)),MAX(MIN('Council Entry'!D46,'Council Entry'!D$9),'Council Entry'!D$8),'Council Entry'!D46)),IF(AND(ISNUMBER('Council Entry'!D$8),ISNUMBER('Council Entry'!D$9)),MAX(MIN('Council Entry'!D46,'Council Entry'!D$9),'Council Entry'!D$8),'Council Entry'!D46))))-'Council Entry'!D$5)/('Council Entry'!D$6-'Council Entry'!D$5),10*((IF('Council Entry'!D$4="Logarithm",LN(0.001+IF(AND(ISNUMBER('Council Entry'!D$8),ISNUMBER('Council Entry'!D$9)),MAX(MIN('Council Entry'!D46,'Council Entry'!D$9),'Council Entry'!D$8),'Council Entry'!D46)),IF('Council Entry'!D$4="Exponential",EXP(IF(AND(ISNUMBER('Council Entry'!D$8),ISNUMBER('Council Entry'!D$9)),MAX(MIN('Council Entry'!D46,'Council Entry'!D$9),'Council Entry'!D$8),'Council Entry'!D46)),IF(AND(ISNUMBER('Council Entry'!D$8),ISNUMBER('Council Entry'!D$9)),MAX(MIN('Council Entry'!D46,'Council Entry'!D$9),'Council Entry'!D$8),'Council Entry'!D46))))-'Council Entry'!D$5)/('Council Entry'!D$6-'Council Entry'!D$5)),1))),"No data"))</f>
        <v/>
      </c>
      <c r="E46" s="13">
        <f>IF('Council Entry'!E46="","",IFERROR(MAX(0,MIN(10,ROUND(IF('Council Entry'!E$7="Decrease Risk",10-10*((IF('Council Entry'!E$4="Logarithm",LN(0.001+IF(AND(ISNUMBER('Council Entry'!E$8),ISNUMBER('Council Entry'!E$9)),MAX(MIN('Council Entry'!E46,'Council Entry'!E$9),'Council Entry'!E$8),'Council Entry'!E46)),IF('Council Entry'!E$4="Exponential",EXP(IF(AND(ISNUMBER('Council Entry'!E$8),ISNUMBER('Council Entry'!E$9)),MAX(MIN('Council Entry'!E46,'Council Entry'!E$9),'Council Entry'!E$8),'Council Entry'!E46)),IF(AND(ISNUMBER('Council Entry'!E$8),ISNUMBER('Council Entry'!E$9)),MAX(MIN('Council Entry'!E46,'Council Entry'!E$9),'Council Entry'!E$8),'Council Entry'!E46))))-'Council Entry'!E$5)/('Council Entry'!E$6-'Council Entry'!E$5),10*((IF('Council Entry'!E$4="Logarithm",LN(0.001+IF(AND(ISNUMBER('Council Entry'!E$8),ISNUMBER('Council Entry'!E$9)),MAX(MIN('Council Entry'!E46,'Council Entry'!E$9),'Council Entry'!E$8),'Council Entry'!E46)),IF('Council Entry'!E$4="Exponential",EXP(IF(AND(ISNUMBER('Council Entry'!E$8),ISNUMBER('Council Entry'!E$9)),MAX(MIN('Council Entry'!E46,'Council Entry'!E$9),'Council Entry'!E$8),'Council Entry'!E46)),IF(AND(ISNUMBER('Council Entry'!E$8),ISNUMBER('Council Entry'!E$9)),MAX(MIN('Council Entry'!E46,'Council Entry'!E$9),'Council Entry'!E$8),'Council Entry'!E46))))-'Council Entry'!E$5)/('Council Entry'!E$6-'Council Entry'!E$5)),1))),"No data"))</f>
        <v/>
      </c>
      <c r="F46" s="13">
        <f>IF('Council Entry'!F46="","",IFERROR(MAX(0,MIN(10,ROUND(IF('Council Entry'!F$7="Decrease Risk",10-10*((IF('Council Entry'!F$4="Logarithm",LN(0.001+IF(AND(ISNUMBER('Council Entry'!F$8),ISNUMBER('Council Entry'!F$9)),MAX(MIN('Council Entry'!F46,'Council Entry'!F$9),'Council Entry'!F$8),'Council Entry'!F46)),IF('Council Entry'!F$4="Exponential",EXP(IF(AND(ISNUMBER('Council Entry'!F$8),ISNUMBER('Council Entry'!F$9)),MAX(MIN('Council Entry'!F46,'Council Entry'!F$9),'Council Entry'!F$8),'Council Entry'!F46)),IF(AND(ISNUMBER('Council Entry'!F$8),ISNUMBER('Council Entry'!F$9)),MAX(MIN('Council Entry'!F46,'Council Entry'!F$9),'Council Entry'!F$8),'Council Entry'!F46))))-'Council Entry'!F$5)/('Council Entry'!F$6-'Council Entry'!F$5),10*((IF('Council Entry'!F$4="Logarithm",LN(0.001+IF(AND(ISNUMBER('Council Entry'!F$8),ISNUMBER('Council Entry'!F$9)),MAX(MIN('Council Entry'!F46,'Council Entry'!F$9),'Council Entry'!F$8),'Council Entry'!F46)),IF('Council Entry'!F$4="Exponential",EXP(IF(AND(ISNUMBER('Council Entry'!F$8),ISNUMBER('Council Entry'!F$9)),MAX(MIN('Council Entry'!F46,'Council Entry'!F$9),'Council Entry'!F$8),'Council Entry'!F46)),IF(AND(ISNUMBER('Council Entry'!F$8),ISNUMBER('Council Entry'!F$9)),MAX(MIN('Council Entry'!F46,'Council Entry'!F$9),'Council Entry'!F$8),'Council Entry'!F46))))-'Council Entry'!F$5)/('Council Entry'!F$6-'Council Entry'!F$5)),1))),"No data"))</f>
        <v/>
      </c>
      <c r="G46" s="13">
        <f>IF('Council Entry'!G46="","",IFERROR(MAX(0,MIN(10,ROUND(IF('Council Entry'!G$7="Decrease Risk",10-10*((IF('Council Entry'!G$4="Logarithm",LN(0.001+IF(AND(ISNUMBER('Council Entry'!G$8),ISNUMBER('Council Entry'!G$9)),MAX(MIN('Council Entry'!G46,'Council Entry'!G$9),'Council Entry'!G$8),'Council Entry'!G46)),IF('Council Entry'!G$4="Exponential",EXP(IF(AND(ISNUMBER('Council Entry'!G$8),ISNUMBER('Council Entry'!G$9)),MAX(MIN('Council Entry'!G46,'Council Entry'!G$9),'Council Entry'!G$8),'Council Entry'!G46)),IF(AND(ISNUMBER('Council Entry'!G$8),ISNUMBER('Council Entry'!G$9)),MAX(MIN('Council Entry'!G46,'Council Entry'!G$9),'Council Entry'!G$8),'Council Entry'!G46))))-'Council Entry'!G$5)/('Council Entry'!G$6-'Council Entry'!G$5),10*((IF('Council Entry'!G$4="Logarithm",LN(0.001+IF(AND(ISNUMBER('Council Entry'!G$8),ISNUMBER('Council Entry'!G$9)),MAX(MIN('Council Entry'!G46,'Council Entry'!G$9),'Council Entry'!G$8),'Council Entry'!G46)),IF('Council Entry'!G$4="Exponential",EXP(IF(AND(ISNUMBER('Council Entry'!G$8),ISNUMBER('Council Entry'!G$9)),MAX(MIN('Council Entry'!G46,'Council Entry'!G$9),'Council Entry'!G$8),'Council Entry'!G46)),IF(AND(ISNUMBER('Council Entry'!G$8),ISNUMBER('Council Entry'!G$9)),MAX(MIN('Council Entry'!G46,'Council Entry'!G$9),'Council Entry'!G$8),'Council Entry'!G46))))-'Council Entry'!G$5)/('Council Entry'!G$6-'Council Entry'!G$5)),1))),"No data"))</f>
        <v/>
      </c>
      <c r="H46" s="13">
        <f>IF('Council Entry'!H46="","",IFERROR(MAX(0,MIN(10,ROUND(IF('Council Entry'!H$7="Decrease Risk",10-10*((IF('Council Entry'!H$4="Logarithm",LN(0.001+IF(AND(ISNUMBER('Council Entry'!H$8),ISNUMBER('Council Entry'!H$9)),MAX(MIN('Council Entry'!H46,'Council Entry'!H$9),'Council Entry'!H$8),'Council Entry'!H46)),IF('Council Entry'!H$4="Exponential",EXP(IF(AND(ISNUMBER('Council Entry'!H$8),ISNUMBER('Council Entry'!H$9)),MAX(MIN('Council Entry'!H46,'Council Entry'!H$9),'Council Entry'!H$8),'Council Entry'!H46)),IF(AND(ISNUMBER('Council Entry'!H$8),ISNUMBER('Council Entry'!H$9)),MAX(MIN('Council Entry'!H46,'Council Entry'!H$9),'Council Entry'!H$8),'Council Entry'!H46))))-'Council Entry'!H$5)/('Council Entry'!H$6-'Council Entry'!H$5),10*((IF('Council Entry'!H$4="Logarithm",LN(0.001+IF(AND(ISNUMBER('Council Entry'!H$8),ISNUMBER('Council Entry'!H$9)),MAX(MIN('Council Entry'!H46,'Council Entry'!H$9),'Council Entry'!H$8),'Council Entry'!H46)),IF('Council Entry'!H$4="Exponential",EXP(IF(AND(ISNUMBER('Council Entry'!H$8),ISNUMBER('Council Entry'!H$9)),MAX(MIN('Council Entry'!H46,'Council Entry'!H$9),'Council Entry'!H$8),'Council Entry'!H46)),IF(AND(ISNUMBER('Council Entry'!H$8),ISNUMBER('Council Entry'!H$9)),MAX(MIN('Council Entry'!H46,'Council Entry'!H$9),'Council Entry'!H$8),'Council Entry'!H46))))-'Council Entry'!H$5)/('Council Entry'!H$6-'Council Entry'!H$5)),1))),"No data"))</f>
        <v/>
      </c>
      <c r="I46" s="13">
        <f>IF('Council Entry'!I46="","",IFERROR(MAX(0,MIN(10,ROUND(IF('Council Entry'!I$7="Decrease Risk",10-10*((IF('Council Entry'!I$4="Logarithm",LN(0.001+IF(AND(ISNUMBER('Council Entry'!I$8),ISNUMBER('Council Entry'!I$9)),MAX(MIN('Council Entry'!I46,'Council Entry'!I$9),'Council Entry'!I$8),'Council Entry'!I46)),IF('Council Entry'!I$4="Exponential",EXP(IF(AND(ISNUMBER('Council Entry'!I$8),ISNUMBER('Council Entry'!I$9)),MAX(MIN('Council Entry'!I46,'Council Entry'!I$9),'Council Entry'!I$8),'Council Entry'!I46)),IF(AND(ISNUMBER('Council Entry'!I$8),ISNUMBER('Council Entry'!I$9)),MAX(MIN('Council Entry'!I46,'Council Entry'!I$9),'Council Entry'!I$8),'Council Entry'!I46))))-'Council Entry'!I$5)/('Council Entry'!I$6-'Council Entry'!I$5),10*((IF('Council Entry'!I$4="Logarithm",LN(0.001+IF(AND(ISNUMBER('Council Entry'!I$8),ISNUMBER('Council Entry'!I$9)),MAX(MIN('Council Entry'!I46,'Council Entry'!I$9),'Council Entry'!I$8),'Council Entry'!I46)),IF('Council Entry'!I$4="Exponential",EXP(IF(AND(ISNUMBER('Council Entry'!I$8),ISNUMBER('Council Entry'!I$9)),MAX(MIN('Council Entry'!I46,'Council Entry'!I$9),'Council Entry'!I$8),'Council Entry'!I46)),IF(AND(ISNUMBER('Council Entry'!I$8),ISNUMBER('Council Entry'!I$9)),MAX(MIN('Council Entry'!I46,'Council Entry'!I$9),'Council Entry'!I$8),'Council Entry'!I46))))-'Council Entry'!I$5)/('Council Entry'!I$6-'Council Entry'!I$5)),1))),"No data"))</f>
        <v/>
      </c>
      <c r="J46" s="13">
        <f>IF('Council Entry'!J46="","",IFERROR(MAX(0,MIN(10,ROUND(IF('Council Entry'!J$7="Decrease Risk",10-10*((IF('Council Entry'!J$4="Logarithm",LN(0.001+IF(AND(ISNUMBER('Council Entry'!J$8),ISNUMBER('Council Entry'!J$9)),MAX(MIN('Council Entry'!J46,'Council Entry'!J$9),'Council Entry'!J$8),'Council Entry'!J46)),IF('Council Entry'!J$4="Exponential",EXP(IF(AND(ISNUMBER('Council Entry'!J$8),ISNUMBER('Council Entry'!J$9)),MAX(MIN('Council Entry'!J46,'Council Entry'!J$9),'Council Entry'!J$8),'Council Entry'!J46)),IF(AND(ISNUMBER('Council Entry'!J$8),ISNUMBER('Council Entry'!J$9)),MAX(MIN('Council Entry'!J46,'Council Entry'!J$9),'Council Entry'!J$8),'Council Entry'!J46))))-'Council Entry'!J$5)/('Council Entry'!J$6-'Council Entry'!J$5),10*((IF('Council Entry'!J$4="Logarithm",LN(0.001+IF(AND(ISNUMBER('Council Entry'!J$8),ISNUMBER('Council Entry'!J$9)),MAX(MIN('Council Entry'!J46,'Council Entry'!J$9),'Council Entry'!J$8),'Council Entry'!J46)),IF('Council Entry'!J$4="Exponential",EXP(IF(AND(ISNUMBER('Council Entry'!J$8),ISNUMBER('Council Entry'!J$9)),MAX(MIN('Council Entry'!J46,'Council Entry'!J$9),'Council Entry'!J$8),'Council Entry'!J46)),IF(AND(ISNUMBER('Council Entry'!J$8),ISNUMBER('Council Entry'!J$9)),MAX(MIN('Council Entry'!J46,'Council Entry'!J$9),'Council Entry'!J$8),'Council Entry'!J46))))-'Council Entry'!J$5)/('Council Entry'!J$6-'Council Entry'!J$5)),1))),"No data"))</f>
        <v/>
      </c>
      <c r="K46" s="13">
        <f>IF('Council Entry'!K46="","",IFERROR(MAX(0,MIN(10,ROUND(IF('Council Entry'!K$7="Decrease Risk",10-10*((IF('Council Entry'!K$4="Logarithm",LN(0.001+IF(AND(ISNUMBER('Council Entry'!K$8),ISNUMBER('Council Entry'!K$9)),MAX(MIN('Council Entry'!K46,'Council Entry'!K$9),'Council Entry'!K$8),'Council Entry'!K46)),IF('Council Entry'!K$4="Exponential",EXP(IF(AND(ISNUMBER('Council Entry'!K$8),ISNUMBER('Council Entry'!K$9)),MAX(MIN('Council Entry'!K46,'Council Entry'!K$9),'Council Entry'!K$8),'Council Entry'!K46)),IF(AND(ISNUMBER('Council Entry'!K$8),ISNUMBER('Council Entry'!K$9)),MAX(MIN('Council Entry'!K46,'Council Entry'!K$9),'Council Entry'!K$8),'Council Entry'!K46))))-'Council Entry'!K$5)/('Council Entry'!K$6-'Council Entry'!K$5),10*((IF('Council Entry'!K$4="Logarithm",LN(0.001+IF(AND(ISNUMBER('Council Entry'!K$8),ISNUMBER('Council Entry'!K$9)),MAX(MIN('Council Entry'!K46,'Council Entry'!K$9),'Council Entry'!K$8),'Council Entry'!K46)),IF('Council Entry'!K$4="Exponential",EXP(IF(AND(ISNUMBER('Council Entry'!K$8),ISNUMBER('Council Entry'!K$9)),MAX(MIN('Council Entry'!K46,'Council Entry'!K$9),'Council Entry'!K$8),'Council Entry'!K46)),IF(AND(ISNUMBER('Council Entry'!K$8),ISNUMBER('Council Entry'!K$9)),MAX(MIN('Council Entry'!K46,'Council Entry'!K$9),'Council Entry'!K$8),'Council Entry'!K46))))-'Council Entry'!K$5)/('Council Entry'!K$6-'Council Entry'!K$5)),1))),"No data"))</f>
        <v/>
      </c>
      <c r="L46" s="13">
        <f>IF('Council Entry'!L46="","",IFERROR(MAX(0,MIN(10,ROUND(IF('Council Entry'!L$7="Decrease Risk",10-10*((IF('Council Entry'!L$4="Logarithm",LN(0.001+IF(AND(ISNUMBER('Council Entry'!L$8),ISNUMBER('Council Entry'!L$9)),MAX(MIN('Council Entry'!L46,'Council Entry'!L$9),'Council Entry'!L$8),'Council Entry'!L46)),IF('Council Entry'!L$4="Exponential",EXP(IF(AND(ISNUMBER('Council Entry'!L$8),ISNUMBER('Council Entry'!L$9)),MAX(MIN('Council Entry'!L46,'Council Entry'!L$9),'Council Entry'!L$8),'Council Entry'!L46)),IF(AND(ISNUMBER('Council Entry'!L$8),ISNUMBER('Council Entry'!L$9)),MAX(MIN('Council Entry'!L46,'Council Entry'!L$9),'Council Entry'!L$8),'Council Entry'!L46))))-'Council Entry'!L$5)/('Council Entry'!L$6-'Council Entry'!L$5),10*((IF('Council Entry'!L$4="Logarithm",LN(0.001+IF(AND(ISNUMBER('Council Entry'!L$8),ISNUMBER('Council Entry'!L$9)),MAX(MIN('Council Entry'!L46,'Council Entry'!L$9),'Council Entry'!L$8),'Council Entry'!L46)),IF('Council Entry'!L$4="Exponential",EXP(IF(AND(ISNUMBER('Council Entry'!L$8),ISNUMBER('Council Entry'!L$9)),MAX(MIN('Council Entry'!L46,'Council Entry'!L$9),'Council Entry'!L$8),'Council Entry'!L46)),IF(AND(ISNUMBER('Council Entry'!L$8),ISNUMBER('Council Entry'!L$9)),MAX(MIN('Council Entry'!L46,'Council Entry'!L$9),'Council Entry'!L$8),'Council Entry'!L46))))-'Council Entry'!L$5)/('Council Entry'!L$6-'Council Entry'!L$5)),1))),"No data"))</f>
        <v/>
      </c>
      <c r="M46" s="13">
        <f>IF('Council Entry'!M46="","",IFERROR(MAX(0,MIN(10,ROUND(IF('Council Entry'!M$7="Decrease Risk",10-10*((IF('Council Entry'!M$4="Logarithm",LN(0.001+IF(AND(ISNUMBER('Council Entry'!M$8),ISNUMBER('Council Entry'!M$9)),MAX(MIN('Council Entry'!M46,'Council Entry'!M$9),'Council Entry'!M$8),'Council Entry'!M46)),IF('Council Entry'!M$4="Exponential",EXP(IF(AND(ISNUMBER('Council Entry'!M$8),ISNUMBER('Council Entry'!M$9)),MAX(MIN('Council Entry'!M46,'Council Entry'!M$9),'Council Entry'!M$8),'Council Entry'!M46)),IF(AND(ISNUMBER('Council Entry'!M$8),ISNUMBER('Council Entry'!M$9)),MAX(MIN('Council Entry'!M46,'Council Entry'!M$9),'Council Entry'!M$8),'Council Entry'!M46))))-'Council Entry'!M$5)/('Council Entry'!M$6-'Council Entry'!M$5),10*((IF('Council Entry'!M$4="Logarithm",LN(0.001+IF(AND(ISNUMBER('Council Entry'!M$8),ISNUMBER('Council Entry'!M$9)),MAX(MIN('Council Entry'!M46,'Council Entry'!M$9),'Council Entry'!M$8),'Council Entry'!M46)),IF('Council Entry'!M$4="Exponential",EXP(IF(AND(ISNUMBER('Council Entry'!M$8),ISNUMBER('Council Entry'!M$9)),MAX(MIN('Council Entry'!M46,'Council Entry'!M$9),'Council Entry'!M$8),'Council Entry'!M46)),IF(AND(ISNUMBER('Council Entry'!M$8),ISNUMBER('Council Entry'!M$9)),MAX(MIN('Council Entry'!M46,'Council Entry'!M$9),'Council Entry'!M$8),'Council Entry'!M46))))-'Council Entry'!M$5)/('Council Entry'!M$6-'Council Entry'!M$5)),1))),"No data"))</f>
        <v/>
      </c>
      <c r="N46" s="13">
        <f>IF('Council Entry'!N46="","",IFERROR(MAX(0,MIN(10,ROUND(IF('Council Entry'!N$7="Decrease Risk",10-10*((IF('Council Entry'!N$4="Logarithm",LN(0.001+IF(AND(ISNUMBER('Council Entry'!N$8),ISNUMBER('Council Entry'!N$9)),MAX(MIN('Council Entry'!N46,'Council Entry'!N$9),'Council Entry'!N$8),'Council Entry'!N46)),IF('Council Entry'!N$4="Exponential",EXP(IF(AND(ISNUMBER('Council Entry'!N$8),ISNUMBER('Council Entry'!N$9)),MAX(MIN('Council Entry'!N46,'Council Entry'!N$9),'Council Entry'!N$8),'Council Entry'!N46)),IF(AND(ISNUMBER('Council Entry'!N$8),ISNUMBER('Council Entry'!N$9)),MAX(MIN('Council Entry'!N46,'Council Entry'!N$9),'Council Entry'!N$8),'Council Entry'!N46))))-'Council Entry'!N$5)/('Council Entry'!N$6-'Council Entry'!N$5),10*((IF('Council Entry'!N$4="Logarithm",LN(0.001+IF(AND(ISNUMBER('Council Entry'!N$8),ISNUMBER('Council Entry'!N$9)),MAX(MIN('Council Entry'!N46,'Council Entry'!N$9),'Council Entry'!N$8),'Council Entry'!N46)),IF('Council Entry'!N$4="Exponential",EXP(IF(AND(ISNUMBER('Council Entry'!N$8),ISNUMBER('Council Entry'!N$9)),MAX(MIN('Council Entry'!N46,'Council Entry'!N$9),'Council Entry'!N$8),'Council Entry'!N46)),IF(AND(ISNUMBER('Council Entry'!N$8),ISNUMBER('Council Entry'!N$9)),MAX(MIN('Council Entry'!N46,'Council Entry'!N$9),'Council Entry'!N$8),'Council Entry'!N46))))-'Council Entry'!N$5)/('Council Entry'!N$6-'Council Entry'!N$5)),1))),"No data"))</f>
        <v/>
      </c>
      <c r="O46" s="13">
        <f>IF('Council Entry'!O46="","",IFERROR(MAX(0,MIN(10,ROUND(IF('Council Entry'!O$7="Decrease Risk",10-10*((IF('Council Entry'!O$4="Logarithm",LN(0.001+IF(AND(ISNUMBER('Council Entry'!O$8),ISNUMBER('Council Entry'!O$9)),MAX(MIN('Council Entry'!O46,'Council Entry'!O$9),'Council Entry'!O$8),'Council Entry'!O46)),IF('Council Entry'!O$4="Exponential",EXP(IF(AND(ISNUMBER('Council Entry'!O$8),ISNUMBER('Council Entry'!O$9)),MAX(MIN('Council Entry'!O46,'Council Entry'!O$9),'Council Entry'!O$8),'Council Entry'!O46)),IF(AND(ISNUMBER('Council Entry'!O$8),ISNUMBER('Council Entry'!O$9)),MAX(MIN('Council Entry'!O46,'Council Entry'!O$9),'Council Entry'!O$8),'Council Entry'!O46))))-'Council Entry'!O$5)/('Council Entry'!O$6-'Council Entry'!O$5),10*((IF('Council Entry'!O$4="Logarithm",LN(0.001+IF(AND(ISNUMBER('Council Entry'!O$8),ISNUMBER('Council Entry'!O$9)),MAX(MIN('Council Entry'!O46,'Council Entry'!O$9),'Council Entry'!O$8),'Council Entry'!O46)),IF('Council Entry'!O$4="Exponential",EXP(IF(AND(ISNUMBER('Council Entry'!O$8),ISNUMBER('Council Entry'!O$9)),MAX(MIN('Council Entry'!O46,'Council Entry'!O$9),'Council Entry'!O$8),'Council Entry'!O46)),IF(AND(ISNUMBER('Council Entry'!O$8),ISNUMBER('Council Entry'!O$9)),MAX(MIN('Council Entry'!O46,'Council Entry'!O$9),'Council Entry'!O$8),'Council Entry'!O46))))-'Council Entry'!O$5)/('Council Entry'!O$6-'Council Entry'!O$5)),1))),"No data"))</f>
        <v/>
      </c>
      <c r="P46" s="13">
        <f>IF('Council Entry'!P46="","",IFERROR(MAX(0,MIN(10,ROUND(IF('Council Entry'!P$7="Decrease Risk",10-10*((IF('Council Entry'!P$4="Logarithm",LN(0.001+IF(AND(ISNUMBER('Council Entry'!P$8),ISNUMBER('Council Entry'!P$9)),MAX(MIN('Council Entry'!P46,'Council Entry'!P$9),'Council Entry'!P$8),'Council Entry'!P46)),IF('Council Entry'!P$4="Exponential",EXP(IF(AND(ISNUMBER('Council Entry'!P$8),ISNUMBER('Council Entry'!P$9)),MAX(MIN('Council Entry'!P46,'Council Entry'!P$9),'Council Entry'!P$8),'Council Entry'!P46)),IF(AND(ISNUMBER('Council Entry'!P$8),ISNUMBER('Council Entry'!P$9)),MAX(MIN('Council Entry'!P46,'Council Entry'!P$9),'Council Entry'!P$8),'Council Entry'!P46))))-'Council Entry'!P$5)/('Council Entry'!P$6-'Council Entry'!P$5),10*((IF('Council Entry'!P$4="Logarithm",LN(0.001+IF(AND(ISNUMBER('Council Entry'!P$8),ISNUMBER('Council Entry'!P$9)),MAX(MIN('Council Entry'!P46,'Council Entry'!P$9),'Council Entry'!P$8),'Council Entry'!P46)),IF('Council Entry'!P$4="Exponential",EXP(IF(AND(ISNUMBER('Council Entry'!P$8),ISNUMBER('Council Entry'!P$9)),MAX(MIN('Council Entry'!P46,'Council Entry'!P$9),'Council Entry'!P$8),'Council Entry'!P46)),IF(AND(ISNUMBER('Council Entry'!P$8),ISNUMBER('Council Entry'!P$9)),MAX(MIN('Council Entry'!P46,'Council Entry'!P$9),'Council Entry'!P$8),'Council Entry'!P46))))-'Council Entry'!P$5)/('Council Entry'!P$6-'Council Entry'!P$5)),1))),"No data"))</f>
        <v/>
      </c>
      <c r="Q46" s="13">
        <f>IF('Council Entry'!Q46="","",IFERROR(MAX(0,MIN(10,ROUND(IF('Council Entry'!Q$7="Decrease Risk",10-10*((IF('Council Entry'!Q$4="Logarithm",LN(0.001+IF(AND(ISNUMBER('Council Entry'!Q$8),ISNUMBER('Council Entry'!Q$9)),MAX(MIN('Council Entry'!Q46,'Council Entry'!Q$9),'Council Entry'!Q$8),'Council Entry'!Q46)),IF('Council Entry'!Q$4="Exponential",EXP(IF(AND(ISNUMBER('Council Entry'!Q$8),ISNUMBER('Council Entry'!Q$9)),MAX(MIN('Council Entry'!Q46,'Council Entry'!Q$9),'Council Entry'!Q$8),'Council Entry'!Q46)),IF(AND(ISNUMBER('Council Entry'!Q$8),ISNUMBER('Council Entry'!Q$9)),MAX(MIN('Council Entry'!Q46,'Council Entry'!Q$9),'Council Entry'!Q$8),'Council Entry'!Q46))))-'Council Entry'!Q$5)/('Council Entry'!Q$6-'Council Entry'!Q$5),10*((IF('Council Entry'!Q$4="Logarithm",LN(0.001+IF(AND(ISNUMBER('Council Entry'!Q$8),ISNUMBER('Council Entry'!Q$9)),MAX(MIN('Council Entry'!Q46,'Council Entry'!Q$9),'Council Entry'!Q$8),'Council Entry'!Q46)),IF('Council Entry'!Q$4="Exponential",EXP(IF(AND(ISNUMBER('Council Entry'!Q$8),ISNUMBER('Council Entry'!Q$9)),MAX(MIN('Council Entry'!Q46,'Council Entry'!Q$9),'Council Entry'!Q$8),'Council Entry'!Q46)),IF(AND(ISNUMBER('Council Entry'!Q$8),ISNUMBER('Council Entry'!Q$9)),MAX(MIN('Council Entry'!Q46,'Council Entry'!Q$9),'Council Entry'!Q$8),'Council Entry'!Q46))))-'Council Entry'!Q$5)/('Council Entry'!Q$6-'Council Entry'!Q$5)),1))),"No data"))</f>
        <v/>
      </c>
      <c r="R46" s="13">
        <f>IF('Council Entry'!R46="","",IFERROR(MAX(0,MIN(10,ROUND(IF('Council Entry'!R$7="Decrease Risk",10-10*((IF('Council Entry'!R$4="Logarithm",LN(0.001+IF(AND(ISNUMBER('Council Entry'!R$8),ISNUMBER('Council Entry'!R$9)),MAX(MIN('Council Entry'!R46,'Council Entry'!R$9),'Council Entry'!R$8),'Council Entry'!R46)),IF('Council Entry'!R$4="Exponential",EXP(IF(AND(ISNUMBER('Council Entry'!R$8),ISNUMBER('Council Entry'!R$9)),MAX(MIN('Council Entry'!R46,'Council Entry'!R$9),'Council Entry'!R$8),'Council Entry'!R46)),IF(AND(ISNUMBER('Council Entry'!R$8),ISNUMBER('Council Entry'!R$9)),MAX(MIN('Council Entry'!R46,'Council Entry'!R$9),'Council Entry'!R$8),'Council Entry'!R46))))-'Council Entry'!R$5)/('Council Entry'!R$6-'Council Entry'!R$5),10*((IF('Council Entry'!R$4="Logarithm",LN(0.001+IF(AND(ISNUMBER('Council Entry'!R$8),ISNUMBER('Council Entry'!R$9)),MAX(MIN('Council Entry'!R46,'Council Entry'!R$9),'Council Entry'!R$8),'Council Entry'!R46)),IF('Council Entry'!R$4="Exponential",EXP(IF(AND(ISNUMBER('Council Entry'!R$8),ISNUMBER('Council Entry'!R$9)),MAX(MIN('Council Entry'!R46,'Council Entry'!R$9),'Council Entry'!R$8),'Council Entry'!R46)),IF(AND(ISNUMBER('Council Entry'!R$8),ISNUMBER('Council Entry'!R$9)),MAX(MIN('Council Entry'!R46,'Council Entry'!R$9),'Council Entry'!R$8),'Council Entry'!R46))))-'Council Entry'!R$5)/('Council Entry'!R$6-'Council Entry'!R$5)),1))),"No data"))</f>
        <v/>
      </c>
      <c r="S46" s="13">
        <f>IF('Council Entry'!S46="","",IFERROR(MAX(0,MIN(10,ROUND(IF('Council Entry'!S$7="Decrease Risk",10-10*((IF('Council Entry'!S$4="Logarithm",LN(0.001+IF(AND(ISNUMBER('Council Entry'!S$8),ISNUMBER('Council Entry'!S$9)),MAX(MIN('Council Entry'!S46,'Council Entry'!S$9),'Council Entry'!S$8),'Council Entry'!S46)),IF('Council Entry'!S$4="Exponential",EXP(IF(AND(ISNUMBER('Council Entry'!S$8),ISNUMBER('Council Entry'!S$9)),MAX(MIN('Council Entry'!S46,'Council Entry'!S$9),'Council Entry'!S$8),'Council Entry'!S46)),IF(AND(ISNUMBER('Council Entry'!S$8),ISNUMBER('Council Entry'!S$9)),MAX(MIN('Council Entry'!S46,'Council Entry'!S$9),'Council Entry'!S$8),'Council Entry'!S46))))-'Council Entry'!S$5)/('Council Entry'!S$6-'Council Entry'!S$5),10*((IF('Council Entry'!S$4="Logarithm",LN(0.001+IF(AND(ISNUMBER('Council Entry'!S$8),ISNUMBER('Council Entry'!S$9)),MAX(MIN('Council Entry'!S46,'Council Entry'!S$9),'Council Entry'!S$8),'Council Entry'!S46)),IF('Council Entry'!S$4="Exponential",EXP(IF(AND(ISNUMBER('Council Entry'!S$8),ISNUMBER('Council Entry'!S$9)),MAX(MIN('Council Entry'!S46,'Council Entry'!S$9),'Council Entry'!S$8),'Council Entry'!S46)),IF(AND(ISNUMBER('Council Entry'!S$8),ISNUMBER('Council Entry'!S$9)),MAX(MIN('Council Entry'!S46,'Council Entry'!S$9),'Council Entry'!S$8),'Council Entry'!S46))))-'Council Entry'!S$5)/('Council Entry'!S$6-'Council Entry'!S$5)),1))),"No data"))</f>
        <v/>
      </c>
      <c r="T46" s="13">
        <f>IF('Council Entry'!T46="","",IFERROR(MAX(0,MIN(10,ROUND(IF('Council Entry'!T$7="Decrease Risk",10-10*((IF('Council Entry'!T$4="Logarithm",LN(0.001+IF(AND(ISNUMBER('Council Entry'!T$8),ISNUMBER('Council Entry'!T$9)),MAX(MIN('Council Entry'!T46,'Council Entry'!T$9),'Council Entry'!T$8),'Council Entry'!T46)),IF('Council Entry'!T$4="Exponential",EXP(IF(AND(ISNUMBER('Council Entry'!T$8),ISNUMBER('Council Entry'!T$9)),MAX(MIN('Council Entry'!T46,'Council Entry'!T$9),'Council Entry'!T$8),'Council Entry'!T46)),IF(AND(ISNUMBER('Council Entry'!T$8),ISNUMBER('Council Entry'!T$9)),MAX(MIN('Council Entry'!T46,'Council Entry'!T$9),'Council Entry'!T$8),'Council Entry'!T46))))-'Council Entry'!T$5)/('Council Entry'!T$6-'Council Entry'!T$5),10*((IF('Council Entry'!T$4="Logarithm",LN(0.001+IF(AND(ISNUMBER('Council Entry'!T$8),ISNUMBER('Council Entry'!T$9)),MAX(MIN('Council Entry'!T46,'Council Entry'!T$9),'Council Entry'!T$8),'Council Entry'!T46)),IF('Council Entry'!T$4="Exponential",EXP(IF(AND(ISNUMBER('Council Entry'!T$8),ISNUMBER('Council Entry'!T$9)),MAX(MIN('Council Entry'!T46,'Council Entry'!T$9),'Council Entry'!T$8),'Council Entry'!T46)),IF(AND(ISNUMBER('Council Entry'!T$8),ISNUMBER('Council Entry'!T$9)),MAX(MIN('Council Entry'!T46,'Council Entry'!T$9),'Council Entry'!T$8),'Council Entry'!T46))))-'Council Entry'!T$5)/('Council Entry'!T$6-'Council Entry'!T$5)),1))),"No data"))</f>
        <v/>
      </c>
      <c r="U46" s="13">
        <f>IF('Council Entry'!U46="","",IFERROR(MAX(0,MIN(10,ROUND(IF('Council Entry'!U$7="Decrease Risk",10-10*((IF('Council Entry'!U$4="Logarithm",LN(0.001+IF(AND(ISNUMBER('Council Entry'!U$8),ISNUMBER('Council Entry'!U$9)),MAX(MIN('Council Entry'!U46,'Council Entry'!U$9),'Council Entry'!U$8),'Council Entry'!U46)),IF('Council Entry'!U$4="Exponential",EXP(IF(AND(ISNUMBER('Council Entry'!U$8),ISNUMBER('Council Entry'!U$9)),MAX(MIN('Council Entry'!U46,'Council Entry'!U$9),'Council Entry'!U$8),'Council Entry'!U46)),IF(AND(ISNUMBER('Council Entry'!U$8),ISNUMBER('Council Entry'!U$9)),MAX(MIN('Council Entry'!U46,'Council Entry'!U$9),'Council Entry'!U$8),'Council Entry'!U46))))-'Council Entry'!U$5)/('Council Entry'!U$6-'Council Entry'!U$5),10*((IF('Council Entry'!U$4="Logarithm",LN(0.001+IF(AND(ISNUMBER('Council Entry'!U$8),ISNUMBER('Council Entry'!U$9)),MAX(MIN('Council Entry'!U46,'Council Entry'!U$9),'Council Entry'!U$8),'Council Entry'!U46)),IF('Council Entry'!U$4="Exponential",EXP(IF(AND(ISNUMBER('Council Entry'!U$8),ISNUMBER('Council Entry'!U$9)),MAX(MIN('Council Entry'!U46,'Council Entry'!U$9),'Council Entry'!U$8),'Council Entry'!U46)),IF(AND(ISNUMBER('Council Entry'!U$8),ISNUMBER('Council Entry'!U$9)),MAX(MIN('Council Entry'!U46,'Council Entry'!U$9),'Council Entry'!U$8),'Council Entry'!U46))))-'Council Entry'!U$5)/('Council Entry'!U$6-'Council Entry'!U$5)),1))),"No data"))</f>
        <v/>
      </c>
      <c r="V46" s="13">
        <f>IF('Council Entry'!V46="","",IFERROR(MAX(0,MIN(10,ROUND(IF('Council Entry'!V$7="Decrease Risk",10-10*((IF('Council Entry'!V$4="Logarithm",LN(0.001+IF(AND(ISNUMBER('Council Entry'!V$8),ISNUMBER('Council Entry'!V$9)),MAX(MIN('Council Entry'!V46,'Council Entry'!V$9),'Council Entry'!V$8),'Council Entry'!V46)),IF('Council Entry'!V$4="Exponential",EXP(IF(AND(ISNUMBER('Council Entry'!V$8),ISNUMBER('Council Entry'!V$9)),MAX(MIN('Council Entry'!V46,'Council Entry'!V$9),'Council Entry'!V$8),'Council Entry'!V46)),IF(AND(ISNUMBER('Council Entry'!V$8),ISNUMBER('Council Entry'!V$9)),MAX(MIN('Council Entry'!V46,'Council Entry'!V$9),'Council Entry'!V$8),'Council Entry'!V46))))-'Council Entry'!V$5)/('Council Entry'!V$6-'Council Entry'!V$5),10*((IF('Council Entry'!V$4="Logarithm",LN(0.001+IF(AND(ISNUMBER('Council Entry'!V$8),ISNUMBER('Council Entry'!V$9)),MAX(MIN('Council Entry'!V46,'Council Entry'!V$9),'Council Entry'!V$8),'Council Entry'!V46)),IF('Council Entry'!V$4="Exponential",EXP(IF(AND(ISNUMBER('Council Entry'!V$8),ISNUMBER('Council Entry'!V$9)),MAX(MIN('Council Entry'!V46,'Council Entry'!V$9),'Council Entry'!V$8),'Council Entry'!V46)),IF(AND(ISNUMBER('Council Entry'!V$8),ISNUMBER('Council Entry'!V$9)),MAX(MIN('Council Entry'!V46,'Council Entry'!V$9),'Council Entry'!V$8),'Council Entry'!V46))))-'Council Entry'!V$5)/('Council Entry'!V$6-'Council Entry'!V$5)),1))),"No data"))</f>
        <v/>
      </c>
      <c r="W46" s="13">
        <f>IF('Council Entry'!W46="","",IFERROR(MAX(0,MIN(10,ROUND(IF('Council Entry'!W$7="Decrease Risk",10-10*((IF('Council Entry'!W$4="Logarithm",LN(0.001+IF(AND(ISNUMBER('Council Entry'!W$8),ISNUMBER('Council Entry'!W$9)),MAX(MIN('Council Entry'!W46,'Council Entry'!W$9),'Council Entry'!W$8),'Council Entry'!W46)),IF('Council Entry'!W$4="Exponential",EXP(IF(AND(ISNUMBER('Council Entry'!W$8),ISNUMBER('Council Entry'!W$9)),MAX(MIN('Council Entry'!W46,'Council Entry'!W$9),'Council Entry'!W$8),'Council Entry'!W46)),IF(AND(ISNUMBER('Council Entry'!W$8),ISNUMBER('Council Entry'!W$9)),MAX(MIN('Council Entry'!W46,'Council Entry'!W$9),'Council Entry'!W$8),'Council Entry'!W46))))-'Council Entry'!W$5)/('Council Entry'!W$6-'Council Entry'!W$5),10*((IF('Council Entry'!W$4="Logarithm",LN(0.001+IF(AND(ISNUMBER('Council Entry'!W$8),ISNUMBER('Council Entry'!W$9)),MAX(MIN('Council Entry'!W46,'Council Entry'!W$9),'Council Entry'!W$8),'Council Entry'!W46)),IF('Council Entry'!W$4="Exponential",EXP(IF(AND(ISNUMBER('Council Entry'!W$8),ISNUMBER('Council Entry'!W$9)),MAX(MIN('Council Entry'!W46,'Council Entry'!W$9),'Council Entry'!W$8),'Council Entry'!W46)),IF(AND(ISNUMBER('Council Entry'!W$8),ISNUMBER('Council Entry'!W$9)),MAX(MIN('Council Entry'!W46,'Council Entry'!W$9),'Council Entry'!W$8),'Council Entry'!W46))))-'Council Entry'!W$5)/('Council Entry'!W$6-'Council Entry'!W$5)),1))),"No data"))</f>
        <v/>
      </c>
      <c r="X46" s="13">
        <f>IF('Council Entry'!X46="","",IFERROR(MAX(0,MIN(10,ROUND(IF('Council Entry'!X$7="Decrease Risk",10-10*((IF('Council Entry'!X$4="Logarithm",LN(0.001+IF(AND(ISNUMBER('Council Entry'!X$8),ISNUMBER('Council Entry'!X$9)),MAX(MIN('Council Entry'!X46,'Council Entry'!X$9),'Council Entry'!X$8),'Council Entry'!X46)),IF('Council Entry'!X$4="Exponential",EXP(IF(AND(ISNUMBER('Council Entry'!X$8),ISNUMBER('Council Entry'!X$9)),MAX(MIN('Council Entry'!X46,'Council Entry'!X$9),'Council Entry'!X$8),'Council Entry'!X46)),IF(AND(ISNUMBER('Council Entry'!X$8),ISNUMBER('Council Entry'!X$9)),MAX(MIN('Council Entry'!X46,'Council Entry'!X$9),'Council Entry'!X$8),'Council Entry'!X46))))-'Council Entry'!X$5)/('Council Entry'!X$6-'Council Entry'!X$5),10*((IF('Council Entry'!X$4="Logarithm",LN(0.001+IF(AND(ISNUMBER('Council Entry'!X$8),ISNUMBER('Council Entry'!X$9)),MAX(MIN('Council Entry'!X46,'Council Entry'!X$9),'Council Entry'!X$8),'Council Entry'!X46)),IF('Council Entry'!X$4="Exponential",EXP(IF(AND(ISNUMBER('Council Entry'!X$8),ISNUMBER('Council Entry'!X$9)),MAX(MIN('Council Entry'!X46,'Council Entry'!X$9),'Council Entry'!X$8),'Council Entry'!X46)),IF(AND(ISNUMBER('Council Entry'!X$8),ISNUMBER('Council Entry'!X$9)),MAX(MIN('Council Entry'!X46,'Council Entry'!X$9),'Council Entry'!X$8),'Council Entry'!X46))))-'Council Entry'!X$5)/('Council Entry'!X$6-'Council Entry'!X$5)),1))),"No data"))</f>
        <v/>
      </c>
      <c r="Y46" s="13">
        <f>IF('Council Entry'!Y46="","",IFERROR(MAX(0,MIN(10,ROUND(IF('Council Entry'!Y$7="Decrease Risk",10-10*((IF('Council Entry'!Y$4="Logarithm",LN(0.001+IF(AND(ISNUMBER('Council Entry'!Y$8),ISNUMBER('Council Entry'!Y$9)),MAX(MIN('Council Entry'!Y46,'Council Entry'!Y$9),'Council Entry'!Y$8),'Council Entry'!Y46)),IF('Council Entry'!Y$4="Exponential",EXP(IF(AND(ISNUMBER('Council Entry'!Y$8),ISNUMBER('Council Entry'!Y$9)),MAX(MIN('Council Entry'!Y46,'Council Entry'!Y$9),'Council Entry'!Y$8),'Council Entry'!Y46)),IF(AND(ISNUMBER('Council Entry'!Y$8),ISNUMBER('Council Entry'!Y$9)),MAX(MIN('Council Entry'!Y46,'Council Entry'!Y$9),'Council Entry'!Y$8),'Council Entry'!Y46))))-'Council Entry'!Y$5)/('Council Entry'!Y$6-'Council Entry'!Y$5),10*((IF('Council Entry'!Y$4="Logarithm",LN(0.001+IF(AND(ISNUMBER('Council Entry'!Y$8),ISNUMBER('Council Entry'!Y$9)),MAX(MIN('Council Entry'!Y46,'Council Entry'!Y$9),'Council Entry'!Y$8),'Council Entry'!Y46)),IF('Council Entry'!Y$4="Exponential",EXP(IF(AND(ISNUMBER('Council Entry'!Y$8),ISNUMBER('Council Entry'!Y$9)),MAX(MIN('Council Entry'!Y46,'Council Entry'!Y$9),'Council Entry'!Y$8),'Council Entry'!Y46)),IF(AND(ISNUMBER('Council Entry'!Y$8),ISNUMBER('Council Entry'!Y$9)),MAX(MIN('Council Entry'!Y46,'Council Entry'!Y$9),'Council Entry'!Y$8),'Council Entry'!Y46))))-'Council Entry'!Y$5)/('Council Entry'!Y$6-'Council Entry'!Y$5)),1))),"No data"))</f>
        <v/>
      </c>
      <c r="Z46" s="13">
        <f>IF('Council Entry'!Z46="","",IFERROR(MAX(0,MIN(10,ROUND(IF('Council Entry'!Z$7="Decrease Risk",10-10*((IF('Council Entry'!Z$4="Logarithm",LN(0.001+IF(AND(ISNUMBER('Council Entry'!Z$8),ISNUMBER('Council Entry'!Z$9)),MAX(MIN('Council Entry'!Z46,'Council Entry'!Z$9),'Council Entry'!Z$8),'Council Entry'!Z46)),IF('Council Entry'!Z$4="Exponential",EXP(IF(AND(ISNUMBER('Council Entry'!Z$8),ISNUMBER('Council Entry'!Z$9)),MAX(MIN('Council Entry'!Z46,'Council Entry'!Z$9),'Council Entry'!Z$8),'Council Entry'!Z46)),IF(AND(ISNUMBER('Council Entry'!Z$8),ISNUMBER('Council Entry'!Z$9)),MAX(MIN('Council Entry'!Z46,'Council Entry'!Z$9),'Council Entry'!Z$8),'Council Entry'!Z46))))-'Council Entry'!Z$5)/('Council Entry'!Z$6-'Council Entry'!Z$5),10*((IF('Council Entry'!Z$4="Logarithm",LN(0.001+IF(AND(ISNUMBER('Council Entry'!Z$8),ISNUMBER('Council Entry'!Z$9)),MAX(MIN('Council Entry'!Z46,'Council Entry'!Z$9),'Council Entry'!Z$8),'Council Entry'!Z46)),IF('Council Entry'!Z$4="Exponential",EXP(IF(AND(ISNUMBER('Council Entry'!Z$8),ISNUMBER('Council Entry'!Z$9)),MAX(MIN('Council Entry'!Z46,'Council Entry'!Z$9),'Council Entry'!Z$8),'Council Entry'!Z46)),IF(AND(ISNUMBER('Council Entry'!Z$8),ISNUMBER('Council Entry'!Z$9)),MAX(MIN('Council Entry'!Z46,'Council Entry'!Z$9),'Council Entry'!Z$8),'Council Entry'!Z46))))-'Council Entry'!Z$5)/('Council Entry'!Z$6-'Council Entry'!Z$5)),1))),"No data"))</f>
        <v/>
      </c>
      <c r="AA46" s="13">
        <f>IF('Council Entry'!AA46="","",IFERROR(MAX(0,MIN(10,ROUND(IF('Council Entry'!AA$7="Decrease Risk",10-10*((IF('Council Entry'!AA$4="Logarithm",LN(0.001+IF(AND(ISNUMBER('Council Entry'!AA$8),ISNUMBER('Council Entry'!AA$9)),MAX(MIN('Council Entry'!AA46,'Council Entry'!AA$9),'Council Entry'!AA$8),'Council Entry'!AA46)),IF('Council Entry'!AA$4="Exponential",EXP(IF(AND(ISNUMBER('Council Entry'!AA$8),ISNUMBER('Council Entry'!AA$9)),MAX(MIN('Council Entry'!AA46,'Council Entry'!AA$9),'Council Entry'!AA$8),'Council Entry'!AA46)),IF(AND(ISNUMBER('Council Entry'!AA$8),ISNUMBER('Council Entry'!AA$9)),MAX(MIN('Council Entry'!AA46,'Council Entry'!AA$9),'Council Entry'!AA$8),'Council Entry'!AA46))))-'Council Entry'!AA$5)/('Council Entry'!AA$6-'Council Entry'!AA$5),10*((IF('Council Entry'!AA$4="Logarithm",LN(0.001+IF(AND(ISNUMBER('Council Entry'!AA$8),ISNUMBER('Council Entry'!AA$9)),MAX(MIN('Council Entry'!AA46,'Council Entry'!AA$9),'Council Entry'!AA$8),'Council Entry'!AA46)),IF('Council Entry'!AA$4="Exponential",EXP(IF(AND(ISNUMBER('Council Entry'!AA$8),ISNUMBER('Council Entry'!AA$9)),MAX(MIN('Council Entry'!AA46,'Council Entry'!AA$9),'Council Entry'!AA$8),'Council Entry'!AA46)),IF(AND(ISNUMBER('Council Entry'!AA$8),ISNUMBER('Council Entry'!AA$9)),MAX(MIN('Council Entry'!AA46,'Council Entry'!AA$9),'Council Entry'!AA$8),'Council Entry'!AA46))))-'Council Entry'!AA$5)/('Council Entry'!AA$6-'Council Entry'!AA$5)),1))),"No data"))</f>
        <v/>
      </c>
      <c r="AB46" s="13">
        <f>IF('Council Entry'!AB46="","",IFERROR(MAX(0,MIN(10,ROUND(IF('Council Entry'!AB$7="Decrease Risk",10-10*((IF('Council Entry'!AB$4="Logarithm",LN(0.001+IF(AND(ISNUMBER('Council Entry'!AB$8),ISNUMBER('Council Entry'!AB$9)),MAX(MIN('Council Entry'!AB46,'Council Entry'!AB$9),'Council Entry'!AB$8),'Council Entry'!AB46)),IF('Council Entry'!AB$4="Exponential",EXP(IF(AND(ISNUMBER('Council Entry'!AB$8),ISNUMBER('Council Entry'!AB$9)),MAX(MIN('Council Entry'!AB46,'Council Entry'!AB$9),'Council Entry'!AB$8),'Council Entry'!AB46)),IF(AND(ISNUMBER('Council Entry'!AB$8),ISNUMBER('Council Entry'!AB$9)),MAX(MIN('Council Entry'!AB46,'Council Entry'!AB$9),'Council Entry'!AB$8),'Council Entry'!AB46))))-'Council Entry'!AB$5)/('Council Entry'!AB$6-'Council Entry'!AB$5),10*((IF('Council Entry'!AB$4="Logarithm",LN(0.001+IF(AND(ISNUMBER('Council Entry'!AB$8),ISNUMBER('Council Entry'!AB$9)),MAX(MIN('Council Entry'!AB46,'Council Entry'!AB$9),'Council Entry'!AB$8),'Council Entry'!AB46)),IF('Council Entry'!AB$4="Exponential",EXP(IF(AND(ISNUMBER('Council Entry'!AB$8),ISNUMBER('Council Entry'!AB$9)),MAX(MIN('Council Entry'!AB46,'Council Entry'!AB$9),'Council Entry'!AB$8),'Council Entry'!AB46)),IF(AND(ISNUMBER('Council Entry'!AB$8),ISNUMBER('Council Entry'!AB$9)),MAX(MIN('Council Entry'!AB46,'Council Entry'!AB$9),'Council Entry'!AB$8),'Council Entry'!AB46))))-'Council Entry'!AB$5)/('Council Entry'!AB$6-'Council Entry'!AB$5)),1))),"No data"))</f>
        <v/>
      </c>
      <c r="AC46" s="13">
        <f>IF('Council Entry'!AC46="","",IFERROR(MAX(0,MIN(10,ROUND(IF('Council Entry'!AC$7="Decrease Risk",10-10*((IF('Council Entry'!AC$4="Logarithm",LN(0.001+IF(AND(ISNUMBER('Council Entry'!AC$8),ISNUMBER('Council Entry'!AC$9)),MAX(MIN('Council Entry'!AC46,'Council Entry'!AC$9),'Council Entry'!AC$8),'Council Entry'!AC46)),IF('Council Entry'!AC$4="Exponential",EXP(IF(AND(ISNUMBER('Council Entry'!AC$8),ISNUMBER('Council Entry'!AC$9)),MAX(MIN('Council Entry'!AC46,'Council Entry'!AC$9),'Council Entry'!AC$8),'Council Entry'!AC46)),IF(AND(ISNUMBER('Council Entry'!AC$8),ISNUMBER('Council Entry'!AC$9)),MAX(MIN('Council Entry'!AC46,'Council Entry'!AC$9),'Council Entry'!AC$8),'Council Entry'!AC46))))-'Council Entry'!AC$5)/('Council Entry'!AC$6-'Council Entry'!AC$5),10*((IF('Council Entry'!AC$4="Logarithm",LN(0.001+IF(AND(ISNUMBER('Council Entry'!AC$8),ISNUMBER('Council Entry'!AC$9)),MAX(MIN('Council Entry'!AC46,'Council Entry'!AC$9),'Council Entry'!AC$8),'Council Entry'!AC46)),IF('Council Entry'!AC$4="Exponential",EXP(IF(AND(ISNUMBER('Council Entry'!AC$8),ISNUMBER('Council Entry'!AC$9)),MAX(MIN('Council Entry'!AC46,'Council Entry'!AC$9),'Council Entry'!AC$8),'Council Entry'!AC46)),IF(AND(ISNUMBER('Council Entry'!AC$8),ISNUMBER('Council Entry'!AC$9)),MAX(MIN('Council Entry'!AC46,'Council Entry'!AC$9),'Council Entry'!AC$8),'Council Entry'!AC46))))-'Council Entry'!AC$5)/('Council Entry'!AC$6-'Council Entry'!AC$5)),1))),"No data"))</f>
        <v/>
      </c>
      <c r="AD46" s="13">
        <f>IF('Council Entry'!AD46="","",IFERROR(MAX(0,MIN(10,ROUND(IF('Council Entry'!AD$7="Decrease Risk",10-10*((IF('Council Entry'!AD$4="Logarithm",LN(0.001+IF(AND(ISNUMBER('Council Entry'!AD$8),ISNUMBER('Council Entry'!AD$9)),MAX(MIN('Council Entry'!AD46,'Council Entry'!AD$9),'Council Entry'!AD$8),'Council Entry'!AD46)),IF('Council Entry'!AD$4="Exponential",EXP(IF(AND(ISNUMBER('Council Entry'!AD$8),ISNUMBER('Council Entry'!AD$9)),MAX(MIN('Council Entry'!AD46,'Council Entry'!AD$9),'Council Entry'!AD$8),'Council Entry'!AD46)),IF(AND(ISNUMBER('Council Entry'!AD$8),ISNUMBER('Council Entry'!AD$9)),MAX(MIN('Council Entry'!AD46,'Council Entry'!AD$9),'Council Entry'!AD$8),'Council Entry'!AD46))))-'Council Entry'!AD$5)/('Council Entry'!AD$6-'Council Entry'!AD$5),10*((IF('Council Entry'!AD$4="Logarithm",LN(0.001+IF(AND(ISNUMBER('Council Entry'!AD$8),ISNUMBER('Council Entry'!AD$9)),MAX(MIN('Council Entry'!AD46,'Council Entry'!AD$9),'Council Entry'!AD$8),'Council Entry'!AD46)),IF('Council Entry'!AD$4="Exponential",EXP(IF(AND(ISNUMBER('Council Entry'!AD$8),ISNUMBER('Council Entry'!AD$9)),MAX(MIN('Council Entry'!AD46,'Council Entry'!AD$9),'Council Entry'!AD$8),'Council Entry'!AD46)),IF(AND(ISNUMBER('Council Entry'!AD$8),ISNUMBER('Council Entry'!AD$9)),MAX(MIN('Council Entry'!AD46,'Council Entry'!AD$9),'Council Entry'!AD$8),'Council Entry'!AD46))))-'Council Entry'!AD$5)/('Council Entry'!AD$6-'Council Entry'!AD$5)),1))),"No data"))</f>
        <v/>
      </c>
      <c r="AE46" s="13">
        <f>IF('Council Entry'!AE46="","",IFERROR(MAX(0,MIN(10,ROUND(IF('Council Entry'!AE$7="Decrease Risk",10-10*((IF('Council Entry'!AE$4="Logarithm",LN(0.001+IF(AND(ISNUMBER('Council Entry'!AE$8),ISNUMBER('Council Entry'!AE$9)),MAX(MIN('Council Entry'!AE46,'Council Entry'!AE$9),'Council Entry'!AE$8),'Council Entry'!AE46)),IF('Council Entry'!AE$4="Exponential",EXP(IF(AND(ISNUMBER('Council Entry'!AE$8),ISNUMBER('Council Entry'!AE$9)),MAX(MIN('Council Entry'!AE46,'Council Entry'!AE$9),'Council Entry'!AE$8),'Council Entry'!AE46)),IF(AND(ISNUMBER('Council Entry'!AE$8),ISNUMBER('Council Entry'!AE$9)),MAX(MIN('Council Entry'!AE46,'Council Entry'!AE$9),'Council Entry'!AE$8),'Council Entry'!AE46))))-'Council Entry'!AE$5)/('Council Entry'!AE$6-'Council Entry'!AE$5),10*((IF('Council Entry'!AE$4="Logarithm",LN(0.001+IF(AND(ISNUMBER('Council Entry'!AE$8),ISNUMBER('Council Entry'!AE$9)),MAX(MIN('Council Entry'!AE46,'Council Entry'!AE$9),'Council Entry'!AE$8),'Council Entry'!AE46)),IF('Council Entry'!AE$4="Exponential",EXP(IF(AND(ISNUMBER('Council Entry'!AE$8),ISNUMBER('Council Entry'!AE$9)),MAX(MIN('Council Entry'!AE46,'Council Entry'!AE$9),'Council Entry'!AE$8),'Council Entry'!AE46)),IF(AND(ISNUMBER('Council Entry'!AE$8),ISNUMBER('Council Entry'!AE$9)),MAX(MIN('Council Entry'!AE46,'Council Entry'!AE$9),'Council Entry'!AE$8),'Council Entry'!AE46))))-'Council Entry'!AE$5)/('Council Entry'!AE$6-'Council Entry'!AE$5)),1))),"No data"))</f>
        <v/>
      </c>
      <c r="AF46" s="13">
        <f>IF('Council Entry'!AF46="","",IFERROR(MAX(0,MIN(10,ROUND(IF('Council Entry'!AF$7="Decrease Risk",10-10*((IF('Council Entry'!AF$4="Logarithm",LN(0.001+IF(AND(ISNUMBER('Council Entry'!AF$8),ISNUMBER('Council Entry'!AF$9)),MAX(MIN('Council Entry'!AF46,'Council Entry'!AF$9),'Council Entry'!AF$8),'Council Entry'!AF46)),IF('Council Entry'!AF$4="Exponential",EXP(IF(AND(ISNUMBER('Council Entry'!AF$8),ISNUMBER('Council Entry'!AF$9)),MAX(MIN('Council Entry'!AF46,'Council Entry'!AF$9),'Council Entry'!AF$8),'Council Entry'!AF46)),IF(AND(ISNUMBER('Council Entry'!AF$8),ISNUMBER('Council Entry'!AF$9)),MAX(MIN('Council Entry'!AF46,'Council Entry'!AF$9),'Council Entry'!AF$8),'Council Entry'!AF46))))-'Council Entry'!AF$5)/('Council Entry'!AF$6-'Council Entry'!AF$5),10*((IF('Council Entry'!AF$4="Logarithm",LN(0.001+IF(AND(ISNUMBER('Council Entry'!AF$8),ISNUMBER('Council Entry'!AF$9)),MAX(MIN('Council Entry'!AF46,'Council Entry'!AF$9),'Council Entry'!AF$8),'Council Entry'!AF46)),IF('Council Entry'!AF$4="Exponential",EXP(IF(AND(ISNUMBER('Council Entry'!AF$8),ISNUMBER('Council Entry'!AF$9)),MAX(MIN('Council Entry'!AF46,'Council Entry'!AF$9),'Council Entry'!AF$8),'Council Entry'!AF46)),IF(AND(ISNUMBER('Council Entry'!AF$8),ISNUMBER('Council Entry'!AF$9)),MAX(MIN('Council Entry'!AF46,'Council Entry'!AF$9),'Council Entry'!AF$8),'Council Entry'!AF46))))-'Council Entry'!AF$5)/('Council Entry'!AF$6-'Council Entry'!AF$5)),1))),"No data"))</f>
        <v/>
      </c>
      <c r="AG46" s="13">
        <f>IF('Council Entry'!AG46="","",IFERROR(MAX(0,MIN(10,ROUND(IF('Council Entry'!AG$7="Decrease Risk",10-10*((IF('Council Entry'!AG$4="Logarithm",LN(0.001+IF(AND(ISNUMBER('Council Entry'!AG$8),ISNUMBER('Council Entry'!AG$9)),MAX(MIN('Council Entry'!AG46,'Council Entry'!AG$9),'Council Entry'!AG$8),'Council Entry'!AG46)),IF('Council Entry'!AG$4="Exponential",EXP(IF(AND(ISNUMBER('Council Entry'!AG$8),ISNUMBER('Council Entry'!AG$9)),MAX(MIN('Council Entry'!AG46,'Council Entry'!AG$9),'Council Entry'!AG$8),'Council Entry'!AG46)),IF(AND(ISNUMBER('Council Entry'!AG$8),ISNUMBER('Council Entry'!AG$9)),MAX(MIN('Council Entry'!AG46,'Council Entry'!AG$9),'Council Entry'!AG$8),'Council Entry'!AG46))))-'Council Entry'!AG$5)/('Council Entry'!AG$6-'Council Entry'!AG$5),10*((IF('Council Entry'!AG$4="Logarithm",LN(0.001+IF(AND(ISNUMBER('Council Entry'!AG$8),ISNUMBER('Council Entry'!AG$9)),MAX(MIN('Council Entry'!AG46,'Council Entry'!AG$9),'Council Entry'!AG$8),'Council Entry'!AG46)),IF('Council Entry'!AG$4="Exponential",EXP(IF(AND(ISNUMBER('Council Entry'!AG$8),ISNUMBER('Council Entry'!AG$9)),MAX(MIN('Council Entry'!AG46,'Council Entry'!AG$9),'Council Entry'!AG$8),'Council Entry'!AG46)),IF(AND(ISNUMBER('Council Entry'!AG$8),ISNUMBER('Council Entry'!AG$9)),MAX(MIN('Council Entry'!AG46,'Council Entry'!AG$9),'Council Entry'!AG$8),'Council Entry'!AG46))))-'Council Entry'!AG$5)/('Council Entry'!AG$6-'Council Entry'!AG$5)),1))),"No data"))</f>
        <v/>
      </c>
      <c r="AH46" s="13">
        <f>IF('Council Entry'!AH46="","",IFERROR(MAX(0,MIN(10,ROUND(IF('Council Entry'!AH$7="Decrease Risk",10-10*((IF('Council Entry'!AH$4="Logarithm",LN(0.001+IF(AND(ISNUMBER('Council Entry'!AH$8),ISNUMBER('Council Entry'!AH$9)),MAX(MIN('Council Entry'!AH46,'Council Entry'!AH$9),'Council Entry'!AH$8),'Council Entry'!AH46)),IF('Council Entry'!AH$4="Exponential",EXP(IF(AND(ISNUMBER('Council Entry'!AH$8),ISNUMBER('Council Entry'!AH$9)),MAX(MIN('Council Entry'!AH46,'Council Entry'!AH$9),'Council Entry'!AH$8),'Council Entry'!AH46)),IF(AND(ISNUMBER('Council Entry'!AH$8),ISNUMBER('Council Entry'!AH$9)),MAX(MIN('Council Entry'!AH46,'Council Entry'!AH$9),'Council Entry'!AH$8),'Council Entry'!AH46))))-'Council Entry'!AH$5)/('Council Entry'!AH$6-'Council Entry'!AH$5),10*((IF('Council Entry'!AH$4="Logarithm",LN(0.001+IF(AND(ISNUMBER('Council Entry'!AH$8),ISNUMBER('Council Entry'!AH$9)),MAX(MIN('Council Entry'!AH46,'Council Entry'!AH$9),'Council Entry'!AH$8),'Council Entry'!AH46)),IF('Council Entry'!AH$4="Exponential",EXP(IF(AND(ISNUMBER('Council Entry'!AH$8),ISNUMBER('Council Entry'!AH$9)),MAX(MIN('Council Entry'!AH46,'Council Entry'!AH$9),'Council Entry'!AH$8),'Council Entry'!AH46)),IF(AND(ISNUMBER('Council Entry'!AH$8),ISNUMBER('Council Entry'!AH$9)),MAX(MIN('Council Entry'!AH46,'Council Entry'!AH$9),'Council Entry'!AH$8),'Council Entry'!AH46))))-'Council Entry'!AH$5)/('Council Entry'!AH$6-'Council Entry'!AH$5)),1))),"No data"))</f>
        <v/>
      </c>
      <c r="AI46" s="13">
        <f>IF('Council Entry'!AI46="","",IFERROR(MAX(0,MIN(10,ROUND(IF('Council Entry'!AI$7="Decrease Risk",10-10*((IF('Council Entry'!AI$4="Logarithm",LN(0.001+IF(AND(ISNUMBER('Council Entry'!AI$8),ISNUMBER('Council Entry'!AI$9)),MAX(MIN('Council Entry'!AI46,'Council Entry'!AI$9),'Council Entry'!AI$8),'Council Entry'!AI46)),IF('Council Entry'!AI$4="Exponential",EXP(IF(AND(ISNUMBER('Council Entry'!AI$8),ISNUMBER('Council Entry'!AI$9)),MAX(MIN('Council Entry'!AI46,'Council Entry'!AI$9),'Council Entry'!AI$8),'Council Entry'!AI46)),IF(AND(ISNUMBER('Council Entry'!AI$8),ISNUMBER('Council Entry'!AI$9)),MAX(MIN('Council Entry'!AI46,'Council Entry'!AI$9),'Council Entry'!AI$8),'Council Entry'!AI46))))-'Council Entry'!AI$5)/('Council Entry'!AI$6-'Council Entry'!AI$5),10*((IF('Council Entry'!AI$4="Logarithm",LN(0.001+IF(AND(ISNUMBER('Council Entry'!AI$8),ISNUMBER('Council Entry'!AI$9)),MAX(MIN('Council Entry'!AI46,'Council Entry'!AI$9),'Council Entry'!AI$8),'Council Entry'!AI46)),IF('Council Entry'!AI$4="Exponential",EXP(IF(AND(ISNUMBER('Council Entry'!AI$8),ISNUMBER('Council Entry'!AI$9)),MAX(MIN('Council Entry'!AI46,'Council Entry'!AI$9),'Council Entry'!AI$8),'Council Entry'!AI46)),IF(AND(ISNUMBER('Council Entry'!AI$8),ISNUMBER('Council Entry'!AI$9)),MAX(MIN('Council Entry'!AI46,'Council Entry'!AI$9),'Council Entry'!AI$8),'Council Entry'!AI46))))-'Council Entry'!AI$5)/('Council Entry'!AI$6-'Council Entry'!AI$5)),1))),"No data"))</f>
        <v/>
      </c>
      <c r="AJ46" s="13">
        <f>IF('Council Entry'!AJ46="","",IFERROR(MAX(0,MIN(10,ROUND(IF('Council Entry'!AJ$7="Decrease Risk",10-10*((IF('Council Entry'!AJ$4="Logarithm",LN(0.001+IF(AND(ISNUMBER('Council Entry'!AJ$8),ISNUMBER('Council Entry'!AJ$9)),MAX(MIN('Council Entry'!AJ46,'Council Entry'!AJ$9),'Council Entry'!AJ$8),'Council Entry'!AJ46)),IF('Council Entry'!AJ$4="Exponential",EXP(IF(AND(ISNUMBER('Council Entry'!AJ$8),ISNUMBER('Council Entry'!AJ$9)),MAX(MIN('Council Entry'!AJ46,'Council Entry'!AJ$9),'Council Entry'!AJ$8),'Council Entry'!AJ46)),IF(AND(ISNUMBER('Council Entry'!AJ$8),ISNUMBER('Council Entry'!AJ$9)),MAX(MIN('Council Entry'!AJ46,'Council Entry'!AJ$9),'Council Entry'!AJ$8),'Council Entry'!AJ46))))-'Council Entry'!AJ$5)/('Council Entry'!AJ$6-'Council Entry'!AJ$5),10*((IF('Council Entry'!AJ$4="Logarithm",LN(0.001+IF(AND(ISNUMBER('Council Entry'!AJ$8),ISNUMBER('Council Entry'!AJ$9)),MAX(MIN('Council Entry'!AJ46,'Council Entry'!AJ$9),'Council Entry'!AJ$8),'Council Entry'!AJ46)),IF('Council Entry'!AJ$4="Exponential",EXP(IF(AND(ISNUMBER('Council Entry'!AJ$8),ISNUMBER('Council Entry'!AJ$9)),MAX(MIN('Council Entry'!AJ46,'Council Entry'!AJ$9),'Council Entry'!AJ$8),'Council Entry'!AJ46)),IF(AND(ISNUMBER('Council Entry'!AJ$8),ISNUMBER('Council Entry'!AJ$9)),MAX(MIN('Council Entry'!AJ46,'Council Entry'!AJ$9),'Council Entry'!AJ$8),'Council Entry'!AJ46))))-'Council Entry'!AJ$5)/('Council Entry'!AJ$6-'Council Entry'!AJ$5)),1))),"No data"))</f>
        <v/>
      </c>
      <c r="AK46" s="13">
        <f>IF('Council Entry'!AK46="","",IFERROR(MAX(0,MIN(10,ROUND(IF('Council Entry'!AK$7="Decrease Risk",10-10*((IF('Council Entry'!AK$4="Logarithm",LN(0.001+IF(AND(ISNUMBER('Council Entry'!AK$8),ISNUMBER('Council Entry'!AK$9)),MAX(MIN('Council Entry'!AK46,'Council Entry'!AK$9),'Council Entry'!AK$8),'Council Entry'!AK46)),IF('Council Entry'!AK$4="Exponential",EXP(IF(AND(ISNUMBER('Council Entry'!AK$8),ISNUMBER('Council Entry'!AK$9)),MAX(MIN('Council Entry'!AK46,'Council Entry'!AK$9),'Council Entry'!AK$8),'Council Entry'!AK46)),IF(AND(ISNUMBER('Council Entry'!AK$8),ISNUMBER('Council Entry'!AK$9)),MAX(MIN('Council Entry'!AK46,'Council Entry'!AK$9),'Council Entry'!AK$8),'Council Entry'!AK46))))-'Council Entry'!AK$5)/('Council Entry'!AK$6-'Council Entry'!AK$5),10*((IF('Council Entry'!AK$4="Logarithm",LN(0.001+IF(AND(ISNUMBER('Council Entry'!AK$8),ISNUMBER('Council Entry'!AK$9)),MAX(MIN('Council Entry'!AK46,'Council Entry'!AK$9),'Council Entry'!AK$8),'Council Entry'!AK46)),IF('Council Entry'!AK$4="Exponential",EXP(IF(AND(ISNUMBER('Council Entry'!AK$8),ISNUMBER('Council Entry'!AK$9)),MAX(MIN('Council Entry'!AK46,'Council Entry'!AK$9),'Council Entry'!AK$8),'Council Entry'!AK46)),IF(AND(ISNUMBER('Council Entry'!AK$8),ISNUMBER('Council Entry'!AK$9)),MAX(MIN('Council Entry'!AK46,'Council Entry'!AK$9),'Council Entry'!AK$8),'Council Entry'!AK46))))-'Council Entry'!AK$5)/('Council Entry'!AK$6-'Council Entry'!AK$5)),1))),"No data"))</f>
        <v/>
      </c>
      <c r="AL46" s="13">
        <f>IF('Council Entry'!AL46="","",IFERROR(MAX(0,MIN(10,ROUND(IF('Council Entry'!AL$7="Decrease Risk",10-10*((IF('Council Entry'!AL$4="Logarithm",LN(0.001+IF(AND(ISNUMBER('Council Entry'!AL$8),ISNUMBER('Council Entry'!AL$9)),MAX(MIN('Council Entry'!AL46,'Council Entry'!AL$9),'Council Entry'!AL$8),'Council Entry'!AL46)),IF('Council Entry'!AL$4="Exponential",EXP(IF(AND(ISNUMBER('Council Entry'!AL$8),ISNUMBER('Council Entry'!AL$9)),MAX(MIN('Council Entry'!AL46,'Council Entry'!AL$9),'Council Entry'!AL$8),'Council Entry'!AL46)),IF(AND(ISNUMBER('Council Entry'!AL$8),ISNUMBER('Council Entry'!AL$9)),MAX(MIN('Council Entry'!AL46,'Council Entry'!AL$9),'Council Entry'!AL$8),'Council Entry'!AL46))))-'Council Entry'!AL$5)/('Council Entry'!AL$6-'Council Entry'!AL$5),10*((IF('Council Entry'!AL$4="Logarithm",LN(0.001+IF(AND(ISNUMBER('Council Entry'!AL$8),ISNUMBER('Council Entry'!AL$9)),MAX(MIN('Council Entry'!AL46,'Council Entry'!AL$9),'Council Entry'!AL$8),'Council Entry'!AL46)),IF('Council Entry'!AL$4="Exponential",EXP(IF(AND(ISNUMBER('Council Entry'!AL$8),ISNUMBER('Council Entry'!AL$9)),MAX(MIN('Council Entry'!AL46,'Council Entry'!AL$9),'Council Entry'!AL$8),'Council Entry'!AL46)),IF(AND(ISNUMBER('Council Entry'!AL$8),ISNUMBER('Council Entry'!AL$9)),MAX(MIN('Council Entry'!AL46,'Council Entry'!AL$9),'Council Entry'!AL$8),'Council Entry'!AL46))))-'Council Entry'!AL$5)/('Council Entry'!AL$6-'Council Entry'!AL$5)),1))),"No data"))</f>
        <v/>
      </c>
      <c r="AM46" s="13">
        <f>IF('Council Entry'!AM46="","",IFERROR(MAX(0,MIN(10,ROUND(IF('Council Entry'!AM$7="Decrease Risk",10-10*((IF('Council Entry'!AM$4="Logarithm",LN(0.001+IF(AND(ISNUMBER('Council Entry'!AM$8),ISNUMBER('Council Entry'!AM$9)),MAX(MIN('Council Entry'!AM46,'Council Entry'!AM$9),'Council Entry'!AM$8),'Council Entry'!AM46)),IF('Council Entry'!AM$4="Exponential",EXP(IF(AND(ISNUMBER('Council Entry'!AM$8),ISNUMBER('Council Entry'!AM$9)),MAX(MIN('Council Entry'!AM46,'Council Entry'!AM$9),'Council Entry'!AM$8),'Council Entry'!AM46)),IF(AND(ISNUMBER('Council Entry'!AM$8),ISNUMBER('Council Entry'!AM$9)),MAX(MIN('Council Entry'!AM46,'Council Entry'!AM$9),'Council Entry'!AM$8),'Council Entry'!AM46))))-'Council Entry'!AM$5)/('Council Entry'!AM$6-'Council Entry'!AM$5),10*((IF('Council Entry'!AM$4="Logarithm",LN(0.001+IF(AND(ISNUMBER('Council Entry'!AM$8),ISNUMBER('Council Entry'!AM$9)),MAX(MIN('Council Entry'!AM46,'Council Entry'!AM$9),'Council Entry'!AM$8),'Council Entry'!AM46)),IF('Council Entry'!AM$4="Exponential",EXP(IF(AND(ISNUMBER('Council Entry'!AM$8),ISNUMBER('Council Entry'!AM$9)),MAX(MIN('Council Entry'!AM46,'Council Entry'!AM$9),'Council Entry'!AM$8),'Council Entry'!AM46)),IF(AND(ISNUMBER('Council Entry'!AM$8),ISNUMBER('Council Entry'!AM$9)),MAX(MIN('Council Entry'!AM46,'Council Entry'!AM$9),'Council Entry'!AM$8),'Council Entry'!AM46))))-'Council Entry'!AM$5)/('Council Entry'!AM$6-'Council Entry'!AM$5)),1))),"No data"))</f>
        <v/>
      </c>
      <c r="AN46" s="13">
        <f>IF('Council Entry'!AN46="","",IFERROR(MAX(0,MIN(10,ROUND(IF('Council Entry'!AN$7="Decrease Risk",10-10*((IF('Council Entry'!AN$4="Logarithm",LN(0.001+IF(AND(ISNUMBER('Council Entry'!AN$8),ISNUMBER('Council Entry'!AN$9)),MAX(MIN('Council Entry'!AN46,'Council Entry'!AN$9),'Council Entry'!AN$8),'Council Entry'!AN46)),IF('Council Entry'!AN$4="Exponential",EXP(IF(AND(ISNUMBER('Council Entry'!AN$8),ISNUMBER('Council Entry'!AN$9)),MAX(MIN('Council Entry'!AN46,'Council Entry'!AN$9),'Council Entry'!AN$8),'Council Entry'!AN46)),IF(AND(ISNUMBER('Council Entry'!AN$8),ISNUMBER('Council Entry'!AN$9)),MAX(MIN('Council Entry'!AN46,'Council Entry'!AN$9),'Council Entry'!AN$8),'Council Entry'!AN46))))-'Council Entry'!AN$5)/('Council Entry'!AN$6-'Council Entry'!AN$5),10*((IF('Council Entry'!AN$4="Logarithm",LN(0.001+IF(AND(ISNUMBER('Council Entry'!AN$8),ISNUMBER('Council Entry'!AN$9)),MAX(MIN('Council Entry'!AN46,'Council Entry'!AN$9),'Council Entry'!AN$8),'Council Entry'!AN46)),IF('Council Entry'!AN$4="Exponential",EXP(IF(AND(ISNUMBER('Council Entry'!AN$8),ISNUMBER('Council Entry'!AN$9)),MAX(MIN('Council Entry'!AN46,'Council Entry'!AN$9),'Council Entry'!AN$8),'Council Entry'!AN46)),IF(AND(ISNUMBER('Council Entry'!AN$8),ISNUMBER('Council Entry'!AN$9)),MAX(MIN('Council Entry'!AN46,'Council Entry'!AN$9),'Council Entry'!AN$8),'Council Entry'!AN46))))-'Council Entry'!AN$5)/('Council Entry'!AN$6-'Council Entry'!AN$5)),1))),"No data"))</f>
        <v/>
      </c>
      <c r="AO46" s="13">
        <f>IF('Council Entry'!AO46="","",IFERROR(MAX(0,MIN(10,ROUND(IF('Council Entry'!AO$7="Decrease Risk",10-10*((IF('Council Entry'!AO$4="Logarithm",LN(0.001+IF(AND(ISNUMBER('Council Entry'!AO$8),ISNUMBER('Council Entry'!AO$9)),MAX(MIN('Council Entry'!AO46,'Council Entry'!AO$9),'Council Entry'!AO$8),'Council Entry'!AO46)),IF('Council Entry'!AO$4="Exponential",EXP(IF(AND(ISNUMBER('Council Entry'!AO$8),ISNUMBER('Council Entry'!AO$9)),MAX(MIN('Council Entry'!AO46,'Council Entry'!AO$9),'Council Entry'!AO$8),'Council Entry'!AO46)),IF(AND(ISNUMBER('Council Entry'!AO$8),ISNUMBER('Council Entry'!AO$9)),MAX(MIN('Council Entry'!AO46,'Council Entry'!AO$9),'Council Entry'!AO$8),'Council Entry'!AO46))))-'Council Entry'!AO$5)/('Council Entry'!AO$6-'Council Entry'!AO$5),10*((IF('Council Entry'!AO$4="Logarithm",LN(0.001+IF(AND(ISNUMBER('Council Entry'!AO$8),ISNUMBER('Council Entry'!AO$9)),MAX(MIN('Council Entry'!AO46,'Council Entry'!AO$9),'Council Entry'!AO$8),'Council Entry'!AO46)),IF('Council Entry'!AO$4="Exponential",EXP(IF(AND(ISNUMBER('Council Entry'!AO$8),ISNUMBER('Council Entry'!AO$9)),MAX(MIN('Council Entry'!AO46,'Council Entry'!AO$9),'Council Entry'!AO$8),'Council Entry'!AO46)),IF(AND(ISNUMBER('Council Entry'!AO$8),ISNUMBER('Council Entry'!AO$9)),MAX(MIN('Council Entry'!AO46,'Council Entry'!AO$9),'Council Entry'!AO$8),'Council Entry'!AO46))))-'Council Entry'!AO$5)/('Council Entry'!AO$6-'Council Entry'!AO$5)),1))),"No data"))</f>
        <v/>
      </c>
      <c r="AP46" s="13">
        <f>IF('Council Entry'!AP46="","",IFERROR(MAX(0,MIN(10,ROUND(IF('Council Entry'!AP$7="Decrease Risk",10-10*((IF('Council Entry'!AP$4="Logarithm",LN(0.001+IF(AND(ISNUMBER('Council Entry'!AP$8),ISNUMBER('Council Entry'!AP$9)),MAX(MIN('Council Entry'!AP46,'Council Entry'!AP$9),'Council Entry'!AP$8),'Council Entry'!AP46)),IF('Council Entry'!AP$4="Exponential",EXP(IF(AND(ISNUMBER('Council Entry'!AP$8),ISNUMBER('Council Entry'!AP$9)),MAX(MIN('Council Entry'!AP46,'Council Entry'!AP$9),'Council Entry'!AP$8),'Council Entry'!AP46)),IF(AND(ISNUMBER('Council Entry'!AP$8),ISNUMBER('Council Entry'!AP$9)),MAX(MIN('Council Entry'!AP46,'Council Entry'!AP$9),'Council Entry'!AP$8),'Council Entry'!AP46))))-'Council Entry'!AP$5)/('Council Entry'!AP$6-'Council Entry'!AP$5),10*((IF('Council Entry'!AP$4="Logarithm",LN(0.001+IF(AND(ISNUMBER('Council Entry'!AP$8),ISNUMBER('Council Entry'!AP$9)),MAX(MIN('Council Entry'!AP46,'Council Entry'!AP$9),'Council Entry'!AP$8),'Council Entry'!AP46)),IF('Council Entry'!AP$4="Exponential",EXP(IF(AND(ISNUMBER('Council Entry'!AP$8),ISNUMBER('Council Entry'!AP$9)),MAX(MIN('Council Entry'!AP46,'Council Entry'!AP$9),'Council Entry'!AP$8),'Council Entry'!AP46)),IF(AND(ISNUMBER('Council Entry'!AP$8),ISNUMBER('Council Entry'!AP$9)),MAX(MIN('Council Entry'!AP46,'Council Entry'!AP$9),'Council Entry'!AP$8),'Council Entry'!AP46))))-'Council Entry'!AP$5)/('Council Entry'!AP$6-'Council Entry'!AP$5)),1))),"No data"))</f>
        <v/>
      </c>
      <c r="AQ46" s="13">
        <f>IF('Council Entry'!AQ46="","",IFERROR(MAX(0,MIN(10,ROUND(IF('Council Entry'!AQ$7="Decrease Risk",10-10*((IF('Council Entry'!AQ$4="Logarithm",LN(0.001+IF(AND(ISNUMBER('Council Entry'!AQ$8),ISNUMBER('Council Entry'!AQ$9)),MAX(MIN('Council Entry'!AQ46,'Council Entry'!AQ$9),'Council Entry'!AQ$8),'Council Entry'!AQ46)),IF('Council Entry'!AQ$4="Exponential",EXP(IF(AND(ISNUMBER('Council Entry'!AQ$8),ISNUMBER('Council Entry'!AQ$9)),MAX(MIN('Council Entry'!AQ46,'Council Entry'!AQ$9),'Council Entry'!AQ$8),'Council Entry'!AQ46)),IF(AND(ISNUMBER('Council Entry'!AQ$8),ISNUMBER('Council Entry'!AQ$9)),MAX(MIN('Council Entry'!AQ46,'Council Entry'!AQ$9),'Council Entry'!AQ$8),'Council Entry'!AQ46))))-'Council Entry'!AQ$5)/('Council Entry'!AQ$6-'Council Entry'!AQ$5),10*((IF('Council Entry'!AQ$4="Logarithm",LN(0.001+IF(AND(ISNUMBER('Council Entry'!AQ$8),ISNUMBER('Council Entry'!AQ$9)),MAX(MIN('Council Entry'!AQ46,'Council Entry'!AQ$9),'Council Entry'!AQ$8),'Council Entry'!AQ46)),IF('Council Entry'!AQ$4="Exponential",EXP(IF(AND(ISNUMBER('Council Entry'!AQ$8),ISNUMBER('Council Entry'!AQ$9)),MAX(MIN('Council Entry'!AQ46,'Council Entry'!AQ$9),'Council Entry'!AQ$8),'Council Entry'!AQ46)),IF(AND(ISNUMBER('Council Entry'!AQ$8),ISNUMBER('Council Entry'!AQ$9)),MAX(MIN('Council Entry'!AQ46,'Council Entry'!AQ$9),'Council Entry'!AQ$8),'Council Entry'!AQ46))))-'Council Entry'!AQ$5)/('Council Entry'!AQ$6-'Council Entry'!AQ$5)),1))),"No data"))</f>
        <v/>
      </c>
      <c r="AR46" s="13">
        <f>IF('Council Entry'!AR46="","",IFERROR(MAX(0,MIN(10,ROUND(IF('Council Entry'!AR$7="Decrease Risk",10-10*((IF('Council Entry'!AR$4="Logarithm",LN(0.001+IF(AND(ISNUMBER('Council Entry'!AR$8),ISNUMBER('Council Entry'!AR$9)),MAX(MIN('Council Entry'!AR46,'Council Entry'!AR$9),'Council Entry'!AR$8),'Council Entry'!AR46)),IF('Council Entry'!AR$4="Exponential",EXP(IF(AND(ISNUMBER('Council Entry'!AR$8),ISNUMBER('Council Entry'!AR$9)),MAX(MIN('Council Entry'!AR46,'Council Entry'!AR$9),'Council Entry'!AR$8),'Council Entry'!AR46)),IF(AND(ISNUMBER('Council Entry'!AR$8),ISNUMBER('Council Entry'!AR$9)),MAX(MIN('Council Entry'!AR46,'Council Entry'!AR$9),'Council Entry'!AR$8),'Council Entry'!AR46))))-'Council Entry'!AR$5)/('Council Entry'!AR$6-'Council Entry'!AR$5),10*((IF('Council Entry'!AR$4="Logarithm",LN(0.001+IF(AND(ISNUMBER('Council Entry'!AR$8),ISNUMBER('Council Entry'!AR$9)),MAX(MIN('Council Entry'!AR46,'Council Entry'!AR$9),'Council Entry'!AR$8),'Council Entry'!AR46)),IF('Council Entry'!AR$4="Exponential",EXP(IF(AND(ISNUMBER('Council Entry'!AR$8),ISNUMBER('Council Entry'!AR$9)),MAX(MIN('Council Entry'!AR46,'Council Entry'!AR$9),'Council Entry'!AR$8),'Council Entry'!AR46)),IF(AND(ISNUMBER('Council Entry'!AR$8),ISNUMBER('Council Entry'!AR$9)),MAX(MIN('Council Entry'!AR46,'Council Entry'!AR$9),'Council Entry'!AR$8),'Council Entry'!AR46))))-'Council Entry'!AR$5)/('Council Entry'!AR$6-'Council Entry'!AR$5)),1))),"No data"))</f>
        <v/>
      </c>
      <c r="AS46" s="13">
        <f>IF('Council Entry'!AS46="","",IFERROR(MAX(0,MIN(10,ROUND(IF('Council Entry'!AS$7="Decrease Risk",10-10*((IF('Council Entry'!AS$4="Logarithm",LN(0.001+IF(AND(ISNUMBER('Council Entry'!AS$8),ISNUMBER('Council Entry'!AS$9)),MAX(MIN('Council Entry'!AS46,'Council Entry'!AS$9),'Council Entry'!AS$8),'Council Entry'!AS46)),IF('Council Entry'!AS$4="Exponential",EXP(IF(AND(ISNUMBER('Council Entry'!AS$8),ISNUMBER('Council Entry'!AS$9)),MAX(MIN('Council Entry'!AS46,'Council Entry'!AS$9),'Council Entry'!AS$8),'Council Entry'!AS46)),IF(AND(ISNUMBER('Council Entry'!AS$8),ISNUMBER('Council Entry'!AS$9)),MAX(MIN('Council Entry'!AS46,'Council Entry'!AS$9),'Council Entry'!AS$8),'Council Entry'!AS46))))-'Council Entry'!AS$5)/('Council Entry'!AS$6-'Council Entry'!AS$5),10*((IF('Council Entry'!AS$4="Logarithm",LN(0.001+IF(AND(ISNUMBER('Council Entry'!AS$8),ISNUMBER('Council Entry'!AS$9)),MAX(MIN('Council Entry'!AS46,'Council Entry'!AS$9),'Council Entry'!AS$8),'Council Entry'!AS46)),IF('Council Entry'!AS$4="Exponential",EXP(IF(AND(ISNUMBER('Council Entry'!AS$8),ISNUMBER('Council Entry'!AS$9)),MAX(MIN('Council Entry'!AS46,'Council Entry'!AS$9),'Council Entry'!AS$8),'Council Entry'!AS46)),IF(AND(ISNUMBER('Council Entry'!AS$8),ISNUMBER('Council Entry'!AS$9)),MAX(MIN('Council Entry'!AS46,'Council Entry'!AS$9),'Council Entry'!AS$8),'Council Entry'!AS46))))-'Council Entry'!AS$5)/('Council Entry'!AS$6-'Council Entry'!AS$5)),1))),"No data"))</f>
        <v/>
      </c>
      <c r="AT46" s="13">
        <f>IF('Council Entry'!AT46="","",IFERROR(MAX(0,MIN(10,ROUND(IF('Council Entry'!AT$7="Decrease Risk",10-10*((IF('Council Entry'!AT$4="Logarithm",LN(0.001+IF(AND(ISNUMBER('Council Entry'!AT$8),ISNUMBER('Council Entry'!AT$9)),MAX(MIN('Council Entry'!AT46,'Council Entry'!AT$9),'Council Entry'!AT$8),'Council Entry'!AT46)),IF('Council Entry'!AT$4="Exponential",EXP(IF(AND(ISNUMBER('Council Entry'!AT$8),ISNUMBER('Council Entry'!AT$9)),MAX(MIN('Council Entry'!AT46,'Council Entry'!AT$9),'Council Entry'!AT$8),'Council Entry'!AT46)),IF(AND(ISNUMBER('Council Entry'!AT$8),ISNUMBER('Council Entry'!AT$9)),MAX(MIN('Council Entry'!AT46,'Council Entry'!AT$9),'Council Entry'!AT$8),'Council Entry'!AT46))))-'Council Entry'!AT$5)/('Council Entry'!AT$6-'Council Entry'!AT$5),10*((IF('Council Entry'!AT$4="Logarithm",LN(0.001+IF(AND(ISNUMBER('Council Entry'!AT$8),ISNUMBER('Council Entry'!AT$9)),MAX(MIN('Council Entry'!AT46,'Council Entry'!AT$9),'Council Entry'!AT$8),'Council Entry'!AT46)),IF('Council Entry'!AT$4="Exponential",EXP(IF(AND(ISNUMBER('Council Entry'!AT$8),ISNUMBER('Council Entry'!AT$9)),MAX(MIN('Council Entry'!AT46,'Council Entry'!AT$9),'Council Entry'!AT$8),'Council Entry'!AT46)),IF(AND(ISNUMBER('Council Entry'!AT$8),ISNUMBER('Council Entry'!AT$9)),MAX(MIN('Council Entry'!AT46,'Council Entry'!AT$9),'Council Entry'!AT$8),'Council Entry'!AT46))))-'Council Entry'!AT$5)/('Council Entry'!AT$6-'Council Entry'!AT$5)),1))),"No data"))</f>
        <v/>
      </c>
      <c r="AU46" s="13">
        <f>IF('Council Entry'!AU46="","",IFERROR(MAX(0,MIN(10,ROUND(IF('Council Entry'!AU$7="Decrease Risk",10-10*((IF('Council Entry'!AU$4="Logarithm",LN(0.001+IF(AND(ISNUMBER('Council Entry'!AU$8),ISNUMBER('Council Entry'!AU$9)),MAX(MIN('Council Entry'!AU46,'Council Entry'!AU$9),'Council Entry'!AU$8),'Council Entry'!AU46)),IF('Council Entry'!AU$4="Exponential",EXP(IF(AND(ISNUMBER('Council Entry'!AU$8),ISNUMBER('Council Entry'!AU$9)),MAX(MIN('Council Entry'!AU46,'Council Entry'!AU$9),'Council Entry'!AU$8),'Council Entry'!AU46)),IF(AND(ISNUMBER('Council Entry'!AU$8),ISNUMBER('Council Entry'!AU$9)),MAX(MIN('Council Entry'!AU46,'Council Entry'!AU$9),'Council Entry'!AU$8),'Council Entry'!AU46))))-'Council Entry'!AU$5)/('Council Entry'!AU$6-'Council Entry'!AU$5),10*((IF('Council Entry'!AU$4="Logarithm",LN(0.001+IF(AND(ISNUMBER('Council Entry'!AU$8),ISNUMBER('Council Entry'!AU$9)),MAX(MIN('Council Entry'!AU46,'Council Entry'!AU$9),'Council Entry'!AU$8),'Council Entry'!AU46)),IF('Council Entry'!AU$4="Exponential",EXP(IF(AND(ISNUMBER('Council Entry'!AU$8),ISNUMBER('Council Entry'!AU$9)),MAX(MIN('Council Entry'!AU46,'Council Entry'!AU$9),'Council Entry'!AU$8),'Council Entry'!AU46)),IF(AND(ISNUMBER('Council Entry'!AU$8),ISNUMBER('Council Entry'!AU$9)),MAX(MIN('Council Entry'!AU46,'Council Entry'!AU$9),'Council Entry'!AU$8),'Council Entry'!AU46))))-'Council Entry'!AU$5)/('Council Entry'!AU$6-'Council Entry'!AU$5)),1))),"No data"))</f>
        <v/>
      </c>
      <c r="AV46" s="13">
        <f>IF('Council Entry'!AV46="","",IFERROR(MAX(0,MIN(10,ROUND(IF('Council Entry'!AV$7="Decrease Risk",10-10*((IF('Council Entry'!AV$4="Logarithm",LN(0.001+IF(AND(ISNUMBER('Council Entry'!AV$8),ISNUMBER('Council Entry'!AV$9)),MAX(MIN('Council Entry'!AV46,'Council Entry'!AV$9),'Council Entry'!AV$8),'Council Entry'!AV46)),IF('Council Entry'!AV$4="Exponential",EXP(IF(AND(ISNUMBER('Council Entry'!AV$8),ISNUMBER('Council Entry'!AV$9)),MAX(MIN('Council Entry'!AV46,'Council Entry'!AV$9),'Council Entry'!AV$8),'Council Entry'!AV46)),IF(AND(ISNUMBER('Council Entry'!AV$8),ISNUMBER('Council Entry'!AV$9)),MAX(MIN('Council Entry'!AV46,'Council Entry'!AV$9),'Council Entry'!AV$8),'Council Entry'!AV46))))-'Council Entry'!AV$5)/('Council Entry'!AV$6-'Council Entry'!AV$5),10*((IF('Council Entry'!AV$4="Logarithm",LN(0.001+IF(AND(ISNUMBER('Council Entry'!AV$8),ISNUMBER('Council Entry'!AV$9)),MAX(MIN('Council Entry'!AV46,'Council Entry'!AV$9),'Council Entry'!AV$8),'Council Entry'!AV46)),IF('Council Entry'!AV$4="Exponential",EXP(IF(AND(ISNUMBER('Council Entry'!AV$8),ISNUMBER('Council Entry'!AV$9)),MAX(MIN('Council Entry'!AV46,'Council Entry'!AV$9),'Council Entry'!AV$8),'Council Entry'!AV46)),IF(AND(ISNUMBER('Council Entry'!AV$8),ISNUMBER('Council Entry'!AV$9)),MAX(MIN('Council Entry'!AV46,'Council Entry'!AV$9),'Council Entry'!AV$8),'Council Entry'!AV46))))-'Council Entry'!AV$5)/('Council Entry'!AV$6-'Council Entry'!AV$5)),1))),"No data"))</f>
        <v/>
      </c>
      <c r="AW46" s="13">
        <f>IF('Council Entry'!AW46="","",IFERROR(MAX(0,MIN(10,ROUND(IF('Council Entry'!AW$7="Decrease Risk",10-10*((IF('Council Entry'!AW$4="Logarithm",LN(0.001+IF(AND(ISNUMBER('Council Entry'!AW$8),ISNUMBER('Council Entry'!AW$9)),MAX(MIN('Council Entry'!AW46,'Council Entry'!AW$9),'Council Entry'!AW$8),'Council Entry'!AW46)),IF('Council Entry'!AW$4="Exponential",EXP(IF(AND(ISNUMBER('Council Entry'!AW$8),ISNUMBER('Council Entry'!AW$9)),MAX(MIN('Council Entry'!AW46,'Council Entry'!AW$9),'Council Entry'!AW$8),'Council Entry'!AW46)),IF(AND(ISNUMBER('Council Entry'!AW$8),ISNUMBER('Council Entry'!AW$9)),MAX(MIN('Council Entry'!AW46,'Council Entry'!AW$9),'Council Entry'!AW$8),'Council Entry'!AW46))))-'Council Entry'!AW$5)/('Council Entry'!AW$6-'Council Entry'!AW$5),10*((IF('Council Entry'!AW$4="Logarithm",LN(0.001+IF(AND(ISNUMBER('Council Entry'!AW$8),ISNUMBER('Council Entry'!AW$9)),MAX(MIN('Council Entry'!AW46,'Council Entry'!AW$9),'Council Entry'!AW$8),'Council Entry'!AW46)),IF('Council Entry'!AW$4="Exponential",EXP(IF(AND(ISNUMBER('Council Entry'!AW$8),ISNUMBER('Council Entry'!AW$9)),MAX(MIN('Council Entry'!AW46,'Council Entry'!AW$9),'Council Entry'!AW$8),'Council Entry'!AW46)),IF(AND(ISNUMBER('Council Entry'!AW$8),ISNUMBER('Council Entry'!AW$9)),MAX(MIN('Council Entry'!AW46,'Council Entry'!AW$9),'Council Entry'!AW$8),'Council Entry'!AW46))))-'Council Entry'!AW$5)/('Council Entry'!AW$6-'Council Entry'!AW$5)),1))),"No data"))</f>
        <v/>
      </c>
      <c r="AX46" s="13">
        <f>IF('Council Entry'!AX46="","",IFERROR(MAX(0,MIN(10,ROUND(IF('Council Entry'!AX$7="Decrease Risk",10-10*((IF('Council Entry'!AX$4="Logarithm",LN(0.001+IF(AND(ISNUMBER('Council Entry'!AX$8),ISNUMBER('Council Entry'!AX$9)),MAX(MIN('Council Entry'!AX46,'Council Entry'!AX$9),'Council Entry'!AX$8),'Council Entry'!AX46)),IF('Council Entry'!AX$4="Exponential",EXP(IF(AND(ISNUMBER('Council Entry'!AX$8),ISNUMBER('Council Entry'!AX$9)),MAX(MIN('Council Entry'!AX46,'Council Entry'!AX$9),'Council Entry'!AX$8),'Council Entry'!AX46)),IF(AND(ISNUMBER('Council Entry'!AX$8),ISNUMBER('Council Entry'!AX$9)),MAX(MIN('Council Entry'!AX46,'Council Entry'!AX$9),'Council Entry'!AX$8),'Council Entry'!AX46))))-'Council Entry'!AX$5)/('Council Entry'!AX$6-'Council Entry'!AX$5),10*((IF('Council Entry'!AX$4="Logarithm",LN(0.001+IF(AND(ISNUMBER('Council Entry'!AX$8),ISNUMBER('Council Entry'!AX$9)),MAX(MIN('Council Entry'!AX46,'Council Entry'!AX$9),'Council Entry'!AX$8),'Council Entry'!AX46)),IF('Council Entry'!AX$4="Exponential",EXP(IF(AND(ISNUMBER('Council Entry'!AX$8),ISNUMBER('Council Entry'!AX$9)),MAX(MIN('Council Entry'!AX46,'Council Entry'!AX$9),'Council Entry'!AX$8),'Council Entry'!AX46)),IF(AND(ISNUMBER('Council Entry'!AX$8),ISNUMBER('Council Entry'!AX$9)),MAX(MIN('Council Entry'!AX46,'Council Entry'!AX$9),'Council Entry'!AX$8),'Council Entry'!AX46))))-'Council Entry'!AX$5)/('Council Entry'!AX$6-'Council Entry'!AX$5)),1))),"No data"))</f>
        <v/>
      </c>
      <c r="AY46" s="13">
        <f>IF('Council Entry'!AY46="","",IFERROR(MAX(0,MIN(10,ROUND(IF('Council Entry'!AY$7="Decrease Risk",10-10*((IF('Council Entry'!AY$4="Logarithm",LN(0.001+IF(AND(ISNUMBER('Council Entry'!AY$8),ISNUMBER('Council Entry'!AY$9)),MAX(MIN('Council Entry'!AY46,'Council Entry'!AY$9),'Council Entry'!AY$8),'Council Entry'!AY46)),IF('Council Entry'!AY$4="Exponential",EXP(IF(AND(ISNUMBER('Council Entry'!AY$8),ISNUMBER('Council Entry'!AY$9)),MAX(MIN('Council Entry'!AY46,'Council Entry'!AY$9),'Council Entry'!AY$8),'Council Entry'!AY46)),IF(AND(ISNUMBER('Council Entry'!AY$8),ISNUMBER('Council Entry'!AY$9)),MAX(MIN('Council Entry'!AY46,'Council Entry'!AY$9),'Council Entry'!AY$8),'Council Entry'!AY46))))-'Council Entry'!AY$5)/('Council Entry'!AY$6-'Council Entry'!AY$5),10*((IF('Council Entry'!AY$4="Logarithm",LN(0.001+IF(AND(ISNUMBER('Council Entry'!AY$8),ISNUMBER('Council Entry'!AY$9)),MAX(MIN('Council Entry'!AY46,'Council Entry'!AY$9),'Council Entry'!AY$8),'Council Entry'!AY46)),IF('Council Entry'!AY$4="Exponential",EXP(IF(AND(ISNUMBER('Council Entry'!AY$8),ISNUMBER('Council Entry'!AY$9)),MAX(MIN('Council Entry'!AY46,'Council Entry'!AY$9),'Council Entry'!AY$8),'Council Entry'!AY46)),IF(AND(ISNUMBER('Council Entry'!AY$8),ISNUMBER('Council Entry'!AY$9)),MAX(MIN('Council Entry'!AY46,'Council Entry'!AY$9),'Council Entry'!AY$8),'Council Entry'!AY46))))-'Council Entry'!AY$5)/('Council Entry'!AY$6-'Council Entry'!AY$5)),1))),"No data"))</f>
        <v/>
      </c>
      <c r="AZ46" s="13">
        <f>IF('Council Entry'!AZ46="","",IFERROR(MAX(0,MIN(10,ROUND(IF('Council Entry'!AZ$7="Decrease Risk",10-10*((IF('Council Entry'!AZ$4="Logarithm",LN(0.001+IF(AND(ISNUMBER('Council Entry'!AZ$8),ISNUMBER('Council Entry'!AZ$9)),MAX(MIN('Council Entry'!AZ46,'Council Entry'!AZ$9),'Council Entry'!AZ$8),'Council Entry'!AZ46)),IF('Council Entry'!AZ$4="Exponential",EXP(IF(AND(ISNUMBER('Council Entry'!AZ$8),ISNUMBER('Council Entry'!AZ$9)),MAX(MIN('Council Entry'!AZ46,'Council Entry'!AZ$9),'Council Entry'!AZ$8),'Council Entry'!AZ46)),IF(AND(ISNUMBER('Council Entry'!AZ$8),ISNUMBER('Council Entry'!AZ$9)),MAX(MIN('Council Entry'!AZ46,'Council Entry'!AZ$9),'Council Entry'!AZ$8),'Council Entry'!AZ46))))-'Council Entry'!AZ$5)/('Council Entry'!AZ$6-'Council Entry'!AZ$5),10*((IF('Council Entry'!AZ$4="Logarithm",LN(0.001+IF(AND(ISNUMBER('Council Entry'!AZ$8),ISNUMBER('Council Entry'!AZ$9)),MAX(MIN('Council Entry'!AZ46,'Council Entry'!AZ$9),'Council Entry'!AZ$8),'Council Entry'!AZ46)),IF('Council Entry'!AZ$4="Exponential",EXP(IF(AND(ISNUMBER('Council Entry'!AZ$8),ISNUMBER('Council Entry'!AZ$9)),MAX(MIN('Council Entry'!AZ46,'Council Entry'!AZ$9),'Council Entry'!AZ$8),'Council Entry'!AZ46)),IF(AND(ISNUMBER('Council Entry'!AZ$8),ISNUMBER('Council Entry'!AZ$9)),MAX(MIN('Council Entry'!AZ46,'Council Entry'!AZ$9),'Council Entry'!AZ$8),'Council Entry'!AZ46))))-'Council Entry'!AZ$5)/('Council Entry'!AZ$6-'Council Entry'!AZ$5)),1))),"No data"))</f>
        <v/>
      </c>
      <c r="BA46" s="13">
        <f>IF('Council Entry'!BA46="","",IFERROR(MAX(0,MIN(10,ROUND(IF('Council Entry'!BA$7="Decrease Risk",10-10*((IF('Council Entry'!BA$4="Logarithm",LN(0.001+IF(AND(ISNUMBER('Council Entry'!BA$8),ISNUMBER('Council Entry'!BA$9)),MAX(MIN('Council Entry'!BA46,'Council Entry'!BA$9),'Council Entry'!BA$8),'Council Entry'!BA46)),IF('Council Entry'!BA$4="Exponential",EXP(IF(AND(ISNUMBER('Council Entry'!BA$8),ISNUMBER('Council Entry'!BA$9)),MAX(MIN('Council Entry'!BA46,'Council Entry'!BA$9),'Council Entry'!BA$8),'Council Entry'!BA46)),IF(AND(ISNUMBER('Council Entry'!BA$8),ISNUMBER('Council Entry'!BA$9)),MAX(MIN('Council Entry'!BA46,'Council Entry'!BA$9),'Council Entry'!BA$8),'Council Entry'!BA46))))-'Council Entry'!BA$5)/('Council Entry'!BA$6-'Council Entry'!BA$5),10*((IF('Council Entry'!BA$4="Logarithm",LN(0.001+IF(AND(ISNUMBER('Council Entry'!BA$8),ISNUMBER('Council Entry'!BA$9)),MAX(MIN('Council Entry'!BA46,'Council Entry'!BA$9),'Council Entry'!BA$8),'Council Entry'!BA46)),IF('Council Entry'!BA$4="Exponential",EXP(IF(AND(ISNUMBER('Council Entry'!BA$8),ISNUMBER('Council Entry'!BA$9)),MAX(MIN('Council Entry'!BA46,'Council Entry'!BA$9),'Council Entry'!BA$8),'Council Entry'!BA46)),IF(AND(ISNUMBER('Council Entry'!BA$8),ISNUMBER('Council Entry'!BA$9)),MAX(MIN('Council Entry'!BA46,'Council Entry'!BA$9),'Council Entry'!BA$8),'Council Entry'!BA46))))-'Council Entry'!BA$5)/('Council Entry'!BA$6-'Council Entry'!BA$5)),1))),"No data"))</f>
        <v/>
      </c>
      <c r="BB46" s="13">
        <f>IF('Council Entry'!BB46="","",IFERROR(MAX(0,MIN(10,ROUND(IF('Council Entry'!BB$7="Decrease Risk",10-10*((IF('Council Entry'!BB$4="Logarithm",LN(0.001+IF(AND(ISNUMBER('Council Entry'!BB$8),ISNUMBER('Council Entry'!BB$9)),MAX(MIN('Council Entry'!BB46,'Council Entry'!BB$9),'Council Entry'!BB$8),'Council Entry'!BB46)),IF('Council Entry'!BB$4="Exponential",EXP(IF(AND(ISNUMBER('Council Entry'!BB$8),ISNUMBER('Council Entry'!BB$9)),MAX(MIN('Council Entry'!BB46,'Council Entry'!BB$9),'Council Entry'!BB$8),'Council Entry'!BB46)),IF(AND(ISNUMBER('Council Entry'!BB$8),ISNUMBER('Council Entry'!BB$9)),MAX(MIN('Council Entry'!BB46,'Council Entry'!BB$9),'Council Entry'!BB$8),'Council Entry'!BB46))))-'Council Entry'!BB$5)/('Council Entry'!BB$6-'Council Entry'!BB$5),10*((IF('Council Entry'!BB$4="Logarithm",LN(0.001+IF(AND(ISNUMBER('Council Entry'!BB$8),ISNUMBER('Council Entry'!BB$9)),MAX(MIN('Council Entry'!BB46,'Council Entry'!BB$9),'Council Entry'!BB$8),'Council Entry'!BB46)),IF('Council Entry'!BB$4="Exponential",EXP(IF(AND(ISNUMBER('Council Entry'!BB$8),ISNUMBER('Council Entry'!BB$9)),MAX(MIN('Council Entry'!BB46,'Council Entry'!BB$9),'Council Entry'!BB$8),'Council Entry'!BB46)),IF(AND(ISNUMBER('Council Entry'!BB$8),ISNUMBER('Council Entry'!BB$9)),MAX(MIN('Council Entry'!BB46,'Council Entry'!BB$9),'Council Entry'!BB$8),'Council Entry'!BB46))))-'Council Entry'!BB$5)/('Council Entry'!BB$6-'Council Entry'!BB$5)),1))),"No data"))</f>
        <v/>
      </c>
      <c r="BC46" s="13">
        <f>IF('Council Entry'!BC46="","",IFERROR(MAX(0,MIN(10,ROUND(IF('Council Entry'!BC$7="Decrease Risk",10-10*((IF('Council Entry'!BC$4="Logarithm",LN(0.001+IF(AND(ISNUMBER('Council Entry'!BC$8),ISNUMBER('Council Entry'!BC$9)),MAX(MIN('Council Entry'!BC46,'Council Entry'!BC$9),'Council Entry'!BC$8),'Council Entry'!BC46)),IF('Council Entry'!BC$4="Exponential",EXP(IF(AND(ISNUMBER('Council Entry'!BC$8),ISNUMBER('Council Entry'!BC$9)),MAX(MIN('Council Entry'!BC46,'Council Entry'!BC$9),'Council Entry'!BC$8),'Council Entry'!BC46)),IF(AND(ISNUMBER('Council Entry'!BC$8),ISNUMBER('Council Entry'!BC$9)),MAX(MIN('Council Entry'!BC46,'Council Entry'!BC$9),'Council Entry'!BC$8),'Council Entry'!BC46))))-'Council Entry'!BC$5)/('Council Entry'!BC$6-'Council Entry'!BC$5),10*((IF('Council Entry'!BC$4="Logarithm",LN(0.001+IF(AND(ISNUMBER('Council Entry'!BC$8),ISNUMBER('Council Entry'!BC$9)),MAX(MIN('Council Entry'!BC46,'Council Entry'!BC$9),'Council Entry'!BC$8),'Council Entry'!BC46)),IF('Council Entry'!BC$4="Exponential",EXP(IF(AND(ISNUMBER('Council Entry'!BC$8),ISNUMBER('Council Entry'!BC$9)),MAX(MIN('Council Entry'!BC46,'Council Entry'!BC$9),'Council Entry'!BC$8),'Council Entry'!BC46)),IF(AND(ISNUMBER('Council Entry'!BC$8),ISNUMBER('Council Entry'!BC$9)),MAX(MIN('Council Entry'!BC46,'Council Entry'!BC$9),'Council Entry'!BC$8),'Council Entry'!BC46))))-'Council Entry'!BC$5)/('Council Entry'!BC$6-'Council Entry'!BC$5)),1))),"No data"))</f>
        <v/>
      </c>
      <c r="BD46" s="13">
        <f>IF('Council Entry'!BD46="","",IFERROR(MAX(0,MIN(10,ROUND(IF('Council Entry'!BD$7="Decrease Risk",10-10*((IF('Council Entry'!BD$4="Logarithm",LN(0.001+IF(AND(ISNUMBER('Council Entry'!BD$8),ISNUMBER('Council Entry'!BD$9)),MAX(MIN('Council Entry'!BD46,'Council Entry'!BD$9),'Council Entry'!BD$8),'Council Entry'!BD46)),IF('Council Entry'!BD$4="Exponential",EXP(IF(AND(ISNUMBER('Council Entry'!BD$8),ISNUMBER('Council Entry'!BD$9)),MAX(MIN('Council Entry'!BD46,'Council Entry'!BD$9),'Council Entry'!BD$8),'Council Entry'!BD46)),IF(AND(ISNUMBER('Council Entry'!BD$8),ISNUMBER('Council Entry'!BD$9)),MAX(MIN('Council Entry'!BD46,'Council Entry'!BD$9),'Council Entry'!BD$8),'Council Entry'!BD46))))-'Council Entry'!BD$5)/('Council Entry'!BD$6-'Council Entry'!BD$5),10*((IF('Council Entry'!BD$4="Logarithm",LN(0.001+IF(AND(ISNUMBER('Council Entry'!BD$8),ISNUMBER('Council Entry'!BD$9)),MAX(MIN('Council Entry'!BD46,'Council Entry'!BD$9),'Council Entry'!BD$8),'Council Entry'!BD46)),IF('Council Entry'!BD$4="Exponential",EXP(IF(AND(ISNUMBER('Council Entry'!BD$8),ISNUMBER('Council Entry'!BD$9)),MAX(MIN('Council Entry'!BD46,'Council Entry'!BD$9),'Council Entry'!BD$8),'Council Entry'!BD46)),IF(AND(ISNUMBER('Council Entry'!BD$8),ISNUMBER('Council Entry'!BD$9)),MAX(MIN('Council Entry'!BD46,'Council Entry'!BD$9),'Council Entry'!BD$8),'Council Entry'!BD46))))-'Council Entry'!BD$5)/('Council Entry'!BD$6-'Council Entry'!BD$5)),1))),"No data"))</f>
        <v/>
      </c>
    </row>
    <row r="47">
      <c r="A47" t="inlineStr">
        <is>
          <t>Kagera</t>
        </is>
      </c>
      <c r="B47" t="inlineStr">
        <is>
          <t>Missenyi District</t>
        </is>
      </c>
      <c r="C47" t="inlineStr">
        <is>
          <t>C132</t>
        </is>
      </c>
      <c r="D47" s="13">
        <f>IF('Council Entry'!D47="","",IFERROR(MAX(0,MIN(10,ROUND(IF('Council Entry'!D$7="Decrease Risk",10-10*((IF('Council Entry'!D$4="Logarithm",LN(0.001+IF(AND(ISNUMBER('Council Entry'!D$8),ISNUMBER('Council Entry'!D$9)),MAX(MIN('Council Entry'!D47,'Council Entry'!D$9),'Council Entry'!D$8),'Council Entry'!D47)),IF('Council Entry'!D$4="Exponential",EXP(IF(AND(ISNUMBER('Council Entry'!D$8),ISNUMBER('Council Entry'!D$9)),MAX(MIN('Council Entry'!D47,'Council Entry'!D$9),'Council Entry'!D$8),'Council Entry'!D47)),IF(AND(ISNUMBER('Council Entry'!D$8),ISNUMBER('Council Entry'!D$9)),MAX(MIN('Council Entry'!D47,'Council Entry'!D$9),'Council Entry'!D$8),'Council Entry'!D47))))-'Council Entry'!D$5)/('Council Entry'!D$6-'Council Entry'!D$5),10*((IF('Council Entry'!D$4="Logarithm",LN(0.001+IF(AND(ISNUMBER('Council Entry'!D$8),ISNUMBER('Council Entry'!D$9)),MAX(MIN('Council Entry'!D47,'Council Entry'!D$9),'Council Entry'!D$8),'Council Entry'!D47)),IF('Council Entry'!D$4="Exponential",EXP(IF(AND(ISNUMBER('Council Entry'!D$8),ISNUMBER('Council Entry'!D$9)),MAX(MIN('Council Entry'!D47,'Council Entry'!D$9),'Council Entry'!D$8),'Council Entry'!D47)),IF(AND(ISNUMBER('Council Entry'!D$8),ISNUMBER('Council Entry'!D$9)),MAX(MIN('Council Entry'!D47,'Council Entry'!D$9),'Council Entry'!D$8),'Council Entry'!D47))))-'Council Entry'!D$5)/('Council Entry'!D$6-'Council Entry'!D$5)),1))),"No data"))</f>
        <v/>
      </c>
      <c r="E47" s="13">
        <f>IF('Council Entry'!E47="","",IFERROR(MAX(0,MIN(10,ROUND(IF('Council Entry'!E$7="Decrease Risk",10-10*((IF('Council Entry'!E$4="Logarithm",LN(0.001+IF(AND(ISNUMBER('Council Entry'!E$8),ISNUMBER('Council Entry'!E$9)),MAX(MIN('Council Entry'!E47,'Council Entry'!E$9),'Council Entry'!E$8),'Council Entry'!E47)),IF('Council Entry'!E$4="Exponential",EXP(IF(AND(ISNUMBER('Council Entry'!E$8),ISNUMBER('Council Entry'!E$9)),MAX(MIN('Council Entry'!E47,'Council Entry'!E$9),'Council Entry'!E$8),'Council Entry'!E47)),IF(AND(ISNUMBER('Council Entry'!E$8),ISNUMBER('Council Entry'!E$9)),MAX(MIN('Council Entry'!E47,'Council Entry'!E$9),'Council Entry'!E$8),'Council Entry'!E47))))-'Council Entry'!E$5)/('Council Entry'!E$6-'Council Entry'!E$5),10*((IF('Council Entry'!E$4="Logarithm",LN(0.001+IF(AND(ISNUMBER('Council Entry'!E$8),ISNUMBER('Council Entry'!E$9)),MAX(MIN('Council Entry'!E47,'Council Entry'!E$9),'Council Entry'!E$8),'Council Entry'!E47)),IF('Council Entry'!E$4="Exponential",EXP(IF(AND(ISNUMBER('Council Entry'!E$8),ISNUMBER('Council Entry'!E$9)),MAX(MIN('Council Entry'!E47,'Council Entry'!E$9),'Council Entry'!E$8),'Council Entry'!E47)),IF(AND(ISNUMBER('Council Entry'!E$8),ISNUMBER('Council Entry'!E$9)),MAX(MIN('Council Entry'!E47,'Council Entry'!E$9),'Council Entry'!E$8),'Council Entry'!E47))))-'Council Entry'!E$5)/('Council Entry'!E$6-'Council Entry'!E$5)),1))),"No data"))</f>
        <v/>
      </c>
      <c r="F47" s="13">
        <f>IF('Council Entry'!F47="","",IFERROR(MAX(0,MIN(10,ROUND(IF('Council Entry'!F$7="Decrease Risk",10-10*((IF('Council Entry'!F$4="Logarithm",LN(0.001+IF(AND(ISNUMBER('Council Entry'!F$8),ISNUMBER('Council Entry'!F$9)),MAX(MIN('Council Entry'!F47,'Council Entry'!F$9),'Council Entry'!F$8),'Council Entry'!F47)),IF('Council Entry'!F$4="Exponential",EXP(IF(AND(ISNUMBER('Council Entry'!F$8),ISNUMBER('Council Entry'!F$9)),MAX(MIN('Council Entry'!F47,'Council Entry'!F$9),'Council Entry'!F$8),'Council Entry'!F47)),IF(AND(ISNUMBER('Council Entry'!F$8),ISNUMBER('Council Entry'!F$9)),MAX(MIN('Council Entry'!F47,'Council Entry'!F$9),'Council Entry'!F$8),'Council Entry'!F47))))-'Council Entry'!F$5)/('Council Entry'!F$6-'Council Entry'!F$5),10*((IF('Council Entry'!F$4="Logarithm",LN(0.001+IF(AND(ISNUMBER('Council Entry'!F$8),ISNUMBER('Council Entry'!F$9)),MAX(MIN('Council Entry'!F47,'Council Entry'!F$9),'Council Entry'!F$8),'Council Entry'!F47)),IF('Council Entry'!F$4="Exponential",EXP(IF(AND(ISNUMBER('Council Entry'!F$8),ISNUMBER('Council Entry'!F$9)),MAX(MIN('Council Entry'!F47,'Council Entry'!F$9),'Council Entry'!F$8),'Council Entry'!F47)),IF(AND(ISNUMBER('Council Entry'!F$8),ISNUMBER('Council Entry'!F$9)),MAX(MIN('Council Entry'!F47,'Council Entry'!F$9),'Council Entry'!F$8),'Council Entry'!F47))))-'Council Entry'!F$5)/('Council Entry'!F$6-'Council Entry'!F$5)),1))),"No data"))</f>
        <v/>
      </c>
      <c r="G47" s="13">
        <f>IF('Council Entry'!G47="","",IFERROR(MAX(0,MIN(10,ROUND(IF('Council Entry'!G$7="Decrease Risk",10-10*((IF('Council Entry'!G$4="Logarithm",LN(0.001+IF(AND(ISNUMBER('Council Entry'!G$8),ISNUMBER('Council Entry'!G$9)),MAX(MIN('Council Entry'!G47,'Council Entry'!G$9),'Council Entry'!G$8),'Council Entry'!G47)),IF('Council Entry'!G$4="Exponential",EXP(IF(AND(ISNUMBER('Council Entry'!G$8),ISNUMBER('Council Entry'!G$9)),MAX(MIN('Council Entry'!G47,'Council Entry'!G$9),'Council Entry'!G$8),'Council Entry'!G47)),IF(AND(ISNUMBER('Council Entry'!G$8),ISNUMBER('Council Entry'!G$9)),MAX(MIN('Council Entry'!G47,'Council Entry'!G$9),'Council Entry'!G$8),'Council Entry'!G47))))-'Council Entry'!G$5)/('Council Entry'!G$6-'Council Entry'!G$5),10*((IF('Council Entry'!G$4="Logarithm",LN(0.001+IF(AND(ISNUMBER('Council Entry'!G$8),ISNUMBER('Council Entry'!G$9)),MAX(MIN('Council Entry'!G47,'Council Entry'!G$9),'Council Entry'!G$8),'Council Entry'!G47)),IF('Council Entry'!G$4="Exponential",EXP(IF(AND(ISNUMBER('Council Entry'!G$8),ISNUMBER('Council Entry'!G$9)),MAX(MIN('Council Entry'!G47,'Council Entry'!G$9),'Council Entry'!G$8),'Council Entry'!G47)),IF(AND(ISNUMBER('Council Entry'!G$8),ISNUMBER('Council Entry'!G$9)),MAX(MIN('Council Entry'!G47,'Council Entry'!G$9),'Council Entry'!G$8),'Council Entry'!G47))))-'Council Entry'!G$5)/('Council Entry'!G$6-'Council Entry'!G$5)),1))),"No data"))</f>
        <v/>
      </c>
      <c r="H47" s="13">
        <f>IF('Council Entry'!H47="","",IFERROR(MAX(0,MIN(10,ROUND(IF('Council Entry'!H$7="Decrease Risk",10-10*((IF('Council Entry'!H$4="Logarithm",LN(0.001+IF(AND(ISNUMBER('Council Entry'!H$8),ISNUMBER('Council Entry'!H$9)),MAX(MIN('Council Entry'!H47,'Council Entry'!H$9),'Council Entry'!H$8),'Council Entry'!H47)),IF('Council Entry'!H$4="Exponential",EXP(IF(AND(ISNUMBER('Council Entry'!H$8),ISNUMBER('Council Entry'!H$9)),MAX(MIN('Council Entry'!H47,'Council Entry'!H$9),'Council Entry'!H$8),'Council Entry'!H47)),IF(AND(ISNUMBER('Council Entry'!H$8),ISNUMBER('Council Entry'!H$9)),MAX(MIN('Council Entry'!H47,'Council Entry'!H$9),'Council Entry'!H$8),'Council Entry'!H47))))-'Council Entry'!H$5)/('Council Entry'!H$6-'Council Entry'!H$5),10*((IF('Council Entry'!H$4="Logarithm",LN(0.001+IF(AND(ISNUMBER('Council Entry'!H$8),ISNUMBER('Council Entry'!H$9)),MAX(MIN('Council Entry'!H47,'Council Entry'!H$9),'Council Entry'!H$8),'Council Entry'!H47)),IF('Council Entry'!H$4="Exponential",EXP(IF(AND(ISNUMBER('Council Entry'!H$8),ISNUMBER('Council Entry'!H$9)),MAX(MIN('Council Entry'!H47,'Council Entry'!H$9),'Council Entry'!H$8),'Council Entry'!H47)),IF(AND(ISNUMBER('Council Entry'!H$8),ISNUMBER('Council Entry'!H$9)),MAX(MIN('Council Entry'!H47,'Council Entry'!H$9),'Council Entry'!H$8),'Council Entry'!H47))))-'Council Entry'!H$5)/('Council Entry'!H$6-'Council Entry'!H$5)),1))),"No data"))</f>
        <v/>
      </c>
      <c r="I47" s="13">
        <f>IF('Council Entry'!I47="","",IFERROR(MAX(0,MIN(10,ROUND(IF('Council Entry'!I$7="Decrease Risk",10-10*((IF('Council Entry'!I$4="Logarithm",LN(0.001+IF(AND(ISNUMBER('Council Entry'!I$8),ISNUMBER('Council Entry'!I$9)),MAX(MIN('Council Entry'!I47,'Council Entry'!I$9),'Council Entry'!I$8),'Council Entry'!I47)),IF('Council Entry'!I$4="Exponential",EXP(IF(AND(ISNUMBER('Council Entry'!I$8),ISNUMBER('Council Entry'!I$9)),MAX(MIN('Council Entry'!I47,'Council Entry'!I$9),'Council Entry'!I$8),'Council Entry'!I47)),IF(AND(ISNUMBER('Council Entry'!I$8),ISNUMBER('Council Entry'!I$9)),MAX(MIN('Council Entry'!I47,'Council Entry'!I$9),'Council Entry'!I$8),'Council Entry'!I47))))-'Council Entry'!I$5)/('Council Entry'!I$6-'Council Entry'!I$5),10*((IF('Council Entry'!I$4="Logarithm",LN(0.001+IF(AND(ISNUMBER('Council Entry'!I$8),ISNUMBER('Council Entry'!I$9)),MAX(MIN('Council Entry'!I47,'Council Entry'!I$9),'Council Entry'!I$8),'Council Entry'!I47)),IF('Council Entry'!I$4="Exponential",EXP(IF(AND(ISNUMBER('Council Entry'!I$8),ISNUMBER('Council Entry'!I$9)),MAX(MIN('Council Entry'!I47,'Council Entry'!I$9),'Council Entry'!I$8),'Council Entry'!I47)),IF(AND(ISNUMBER('Council Entry'!I$8),ISNUMBER('Council Entry'!I$9)),MAX(MIN('Council Entry'!I47,'Council Entry'!I$9),'Council Entry'!I$8),'Council Entry'!I47))))-'Council Entry'!I$5)/('Council Entry'!I$6-'Council Entry'!I$5)),1))),"No data"))</f>
        <v/>
      </c>
      <c r="J47" s="13">
        <f>IF('Council Entry'!J47="","",IFERROR(MAX(0,MIN(10,ROUND(IF('Council Entry'!J$7="Decrease Risk",10-10*((IF('Council Entry'!J$4="Logarithm",LN(0.001+IF(AND(ISNUMBER('Council Entry'!J$8),ISNUMBER('Council Entry'!J$9)),MAX(MIN('Council Entry'!J47,'Council Entry'!J$9),'Council Entry'!J$8),'Council Entry'!J47)),IF('Council Entry'!J$4="Exponential",EXP(IF(AND(ISNUMBER('Council Entry'!J$8),ISNUMBER('Council Entry'!J$9)),MAX(MIN('Council Entry'!J47,'Council Entry'!J$9),'Council Entry'!J$8),'Council Entry'!J47)),IF(AND(ISNUMBER('Council Entry'!J$8),ISNUMBER('Council Entry'!J$9)),MAX(MIN('Council Entry'!J47,'Council Entry'!J$9),'Council Entry'!J$8),'Council Entry'!J47))))-'Council Entry'!J$5)/('Council Entry'!J$6-'Council Entry'!J$5),10*((IF('Council Entry'!J$4="Logarithm",LN(0.001+IF(AND(ISNUMBER('Council Entry'!J$8),ISNUMBER('Council Entry'!J$9)),MAX(MIN('Council Entry'!J47,'Council Entry'!J$9),'Council Entry'!J$8),'Council Entry'!J47)),IF('Council Entry'!J$4="Exponential",EXP(IF(AND(ISNUMBER('Council Entry'!J$8),ISNUMBER('Council Entry'!J$9)),MAX(MIN('Council Entry'!J47,'Council Entry'!J$9),'Council Entry'!J$8),'Council Entry'!J47)),IF(AND(ISNUMBER('Council Entry'!J$8),ISNUMBER('Council Entry'!J$9)),MAX(MIN('Council Entry'!J47,'Council Entry'!J$9),'Council Entry'!J$8),'Council Entry'!J47))))-'Council Entry'!J$5)/('Council Entry'!J$6-'Council Entry'!J$5)),1))),"No data"))</f>
        <v/>
      </c>
      <c r="K47" s="13">
        <f>IF('Council Entry'!K47="","",IFERROR(MAX(0,MIN(10,ROUND(IF('Council Entry'!K$7="Decrease Risk",10-10*((IF('Council Entry'!K$4="Logarithm",LN(0.001+IF(AND(ISNUMBER('Council Entry'!K$8),ISNUMBER('Council Entry'!K$9)),MAX(MIN('Council Entry'!K47,'Council Entry'!K$9),'Council Entry'!K$8),'Council Entry'!K47)),IF('Council Entry'!K$4="Exponential",EXP(IF(AND(ISNUMBER('Council Entry'!K$8),ISNUMBER('Council Entry'!K$9)),MAX(MIN('Council Entry'!K47,'Council Entry'!K$9),'Council Entry'!K$8),'Council Entry'!K47)),IF(AND(ISNUMBER('Council Entry'!K$8),ISNUMBER('Council Entry'!K$9)),MAX(MIN('Council Entry'!K47,'Council Entry'!K$9),'Council Entry'!K$8),'Council Entry'!K47))))-'Council Entry'!K$5)/('Council Entry'!K$6-'Council Entry'!K$5),10*((IF('Council Entry'!K$4="Logarithm",LN(0.001+IF(AND(ISNUMBER('Council Entry'!K$8),ISNUMBER('Council Entry'!K$9)),MAX(MIN('Council Entry'!K47,'Council Entry'!K$9),'Council Entry'!K$8),'Council Entry'!K47)),IF('Council Entry'!K$4="Exponential",EXP(IF(AND(ISNUMBER('Council Entry'!K$8),ISNUMBER('Council Entry'!K$9)),MAX(MIN('Council Entry'!K47,'Council Entry'!K$9),'Council Entry'!K$8),'Council Entry'!K47)),IF(AND(ISNUMBER('Council Entry'!K$8),ISNUMBER('Council Entry'!K$9)),MAX(MIN('Council Entry'!K47,'Council Entry'!K$9),'Council Entry'!K$8),'Council Entry'!K47))))-'Council Entry'!K$5)/('Council Entry'!K$6-'Council Entry'!K$5)),1))),"No data"))</f>
        <v/>
      </c>
      <c r="L47" s="13">
        <f>IF('Council Entry'!L47="","",IFERROR(MAX(0,MIN(10,ROUND(IF('Council Entry'!L$7="Decrease Risk",10-10*((IF('Council Entry'!L$4="Logarithm",LN(0.001+IF(AND(ISNUMBER('Council Entry'!L$8),ISNUMBER('Council Entry'!L$9)),MAX(MIN('Council Entry'!L47,'Council Entry'!L$9),'Council Entry'!L$8),'Council Entry'!L47)),IF('Council Entry'!L$4="Exponential",EXP(IF(AND(ISNUMBER('Council Entry'!L$8),ISNUMBER('Council Entry'!L$9)),MAX(MIN('Council Entry'!L47,'Council Entry'!L$9),'Council Entry'!L$8),'Council Entry'!L47)),IF(AND(ISNUMBER('Council Entry'!L$8),ISNUMBER('Council Entry'!L$9)),MAX(MIN('Council Entry'!L47,'Council Entry'!L$9),'Council Entry'!L$8),'Council Entry'!L47))))-'Council Entry'!L$5)/('Council Entry'!L$6-'Council Entry'!L$5),10*((IF('Council Entry'!L$4="Logarithm",LN(0.001+IF(AND(ISNUMBER('Council Entry'!L$8),ISNUMBER('Council Entry'!L$9)),MAX(MIN('Council Entry'!L47,'Council Entry'!L$9),'Council Entry'!L$8),'Council Entry'!L47)),IF('Council Entry'!L$4="Exponential",EXP(IF(AND(ISNUMBER('Council Entry'!L$8),ISNUMBER('Council Entry'!L$9)),MAX(MIN('Council Entry'!L47,'Council Entry'!L$9),'Council Entry'!L$8),'Council Entry'!L47)),IF(AND(ISNUMBER('Council Entry'!L$8),ISNUMBER('Council Entry'!L$9)),MAX(MIN('Council Entry'!L47,'Council Entry'!L$9),'Council Entry'!L$8),'Council Entry'!L47))))-'Council Entry'!L$5)/('Council Entry'!L$6-'Council Entry'!L$5)),1))),"No data"))</f>
        <v/>
      </c>
      <c r="M47" s="13">
        <f>IF('Council Entry'!M47="","",IFERROR(MAX(0,MIN(10,ROUND(IF('Council Entry'!M$7="Decrease Risk",10-10*((IF('Council Entry'!M$4="Logarithm",LN(0.001+IF(AND(ISNUMBER('Council Entry'!M$8),ISNUMBER('Council Entry'!M$9)),MAX(MIN('Council Entry'!M47,'Council Entry'!M$9),'Council Entry'!M$8),'Council Entry'!M47)),IF('Council Entry'!M$4="Exponential",EXP(IF(AND(ISNUMBER('Council Entry'!M$8),ISNUMBER('Council Entry'!M$9)),MAX(MIN('Council Entry'!M47,'Council Entry'!M$9),'Council Entry'!M$8),'Council Entry'!M47)),IF(AND(ISNUMBER('Council Entry'!M$8),ISNUMBER('Council Entry'!M$9)),MAX(MIN('Council Entry'!M47,'Council Entry'!M$9),'Council Entry'!M$8),'Council Entry'!M47))))-'Council Entry'!M$5)/('Council Entry'!M$6-'Council Entry'!M$5),10*((IF('Council Entry'!M$4="Logarithm",LN(0.001+IF(AND(ISNUMBER('Council Entry'!M$8),ISNUMBER('Council Entry'!M$9)),MAX(MIN('Council Entry'!M47,'Council Entry'!M$9),'Council Entry'!M$8),'Council Entry'!M47)),IF('Council Entry'!M$4="Exponential",EXP(IF(AND(ISNUMBER('Council Entry'!M$8),ISNUMBER('Council Entry'!M$9)),MAX(MIN('Council Entry'!M47,'Council Entry'!M$9),'Council Entry'!M$8),'Council Entry'!M47)),IF(AND(ISNUMBER('Council Entry'!M$8),ISNUMBER('Council Entry'!M$9)),MAX(MIN('Council Entry'!M47,'Council Entry'!M$9),'Council Entry'!M$8),'Council Entry'!M47))))-'Council Entry'!M$5)/('Council Entry'!M$6-'Council Entry'!M$5)),1))),"No data"))</f>
        <v/>
      </c>
      <c r="N47" s="13">
        <f>IF('Council Entry'!N47="","",IFERROR(MAX(0,MIN(10,ROUND(IF('Council Entry'!N$7="Decrease Risk",10-10*((IF('Council Entry'!N$4="Logarithm",LN(0.001+IF(AND(ISNUMBER('Council Entry'!N$8),ISNUMBER('Council Entry'!N$9)),MAX(MIN('Council Entry'!N47,'Council Entry'!N$9),'Council Entry'!N$8),'Council Entry'!N47)),IF('Council Entry'!N$4="Exponential",EXP(IF(AND(ISNUMBER('Council Entry'!N$8),ISNUMBER('Council Entry'!N$9)),MAX(MIN('Council Entry'!N47,'Council Entry'!N$9),'Council Entry'!N$8),'Council Entry'!N47)),IF(AND(ISNUMBER('Council Entry'!N$8),ISNUMBER('Council Entry'!N$9)),MAX(MIN('Council Entry'!N47,'Council Entry'!N$9),'Council Entry'!N$8),'Council Entry'!N47))))-'Council Entry'!N$5)/('Council Entry'!N$6-'Council Entry'!N$5),10*((IF('Council Entry'!N$4="Logarithm",LN(0.001+IF(AND(ISNUMBER('Council Entry'!N$8),ISNUMBER('Council Entry'!N$9)),MAX(MIN('Council Entry'!N47,'Council Entry'!N$9),'Council Entry'!N$8),'Council Entry'!N47)),IF('Council Entry'!N$4="Exponential",EXP(IF(AND(ISNUMBER('Council Entry'!N$8),ISNUMBER('Council Entry'!N$9)),MAX(MIN('Council Entry'!N47,'Council Entry'!N$9),'Council Entry'!N$8),'Council Entry'!N47)),IF(AND(ISNUMBER('Council Entry'!N$8),ISNUMBER('Council Entry'!N$9)),MAX(MIN('Council Entry'!N47,'Council Entry'!N$9),'Council Entry'!N$8),'Council Entry'!N47))))-'Council Entry'!N$5)/('Council Entry'!N$6-'Council Entry'!N$5)),1))),"No data"))</f>
        <v/>
      </c>
      <c r="O47" s="13">
        <f>IF('Council Entry'!O47="","",IFERROR(MAX(0,MIN(10,ROUND(IF('Council Entry'!O$7="Decrease Risk",10-10*((IF('Council Entry'!O$4="Logarithm",LN(0.001+IF(AND(ISNUMBER('Council Entry'!O$8),ISNUMBER('Council Entry'!O$9)),MAX(MIN('Council Entry'!O47,'Council Entry'!O$9),'Council Entry'!O$8),'Council Entry'!O47)),IF('Council Entry'!O$4="Exponential",EXP(IF(AND(ISNUMBER('Council Entry'!O$8),ISNUMBER('Council Entry'!O$9)),MAX(MIN('Council Entry'!O47,'Council Entry'!O$9),'Council Entry'!O$8),'Council Entry'!O47)),IF(AND(ISNUMBER('Council Entry'!O$8),ISNUMBER('Council Entry'!O$9)),MAX(MIN('Council Entry'!O47,'Council Entry'!O$9),'Council Entry'!O$8),'Council Entry'!O47))))-'Council Entry'!O$5)/('Council Entry'!O$6-'Council Entry'!O$5),10*((IF('Council Entry'!O$4="Logarithm",LN(0.001+IF(AND(ISNUMBER('Council Entry'!O$8),ISNUMBER('Council Entry'!O$9)),MAX(MIN('Council Entry'!O47,'Council Entry'!O$9),'Council Entry'!O$8),'Council Entry'!O47)),IF('Council Entry'!O$4="Exponential",EXP(IF(AND(ISNUMBER('Council Entry'!O$8),ISNUMBER('Council Entry'!O$9)),MAX(MIN('Council Entry'!O47,'Council Entry'!O$9),'Council Entry'!O$8),'Council Entry'!O47)),IF(AND(ISNUMBER('Council Entry'!O$8),ISNUMBER('Council Entry'!O$9)),MAX(MIN('Council Entry'!O47,'Council Entry'!O$9),'Council Entry'!O$8),'Council Entry'!O47))))-'Council Entry'!O$5)/('Council Entry'!O$6-'Council Entry'!O$5)),1))),"No data"))</f>
        <v/>
      </c>
      <c r="P47" s="13">
        <f>IF('Council Entry'!P47="","",IFERROR(MAX(0,MIN(10,ROUND(IF('Council Entry'!P$7="Decrease Risk",10-10*((IF('Council Entry'!P$4="Logarithm",LN(0.001+IF(AND(ISNUMBER('Council Entry'!P$8),ISNUMBER('Council Entry'!P$9)),MAX(MIN('Council Entry'!P47,'Council Entry'!P$9),'Council Entry'!P$8),'Council Entry'!P47)),IF('Council Entry'!P$4="Exponential",EXP(IF(AND(ISNUMBER('Council Entry'!P$8),ISNUMBER('Council Entry'!P$9)),MAX(MIN('Council Entry'!P47,'Council Entry'!P$9),'Council Entry'!P$8),'Council Entry'!P47)),IF(AND(ISNUMBER('Council Entry'!P$8),ISNUMBER('Council Entry'!P$9)),MAX(MIN('Council Entry'!P47,'Council Entry'!P$9),'Council Entry'!P$8),'Council Entry'!P47))))-'Council Entry'!P$5)/('Council Entry'!P$6-'Council Entry'!P$5),10*((IF('Council Entry'!P$4="Logarithm",LN(0.001+IF(AND(ISNUMBER('Council Entry'!P$8),ISNUMBER('Council Entry'!P$9)),MAX(MIN('Council Entry'!P47,'Council Entry'!P$9),'Council Entry'!P$8),'Council Entry'!P47)),IF('Council Entry'!P$4="Exponential",EXP(IF(AND(ISNUMBER('Council Entry'!P$8),ISNUMBER('Council Entry'!P$9)),MAX(MIN('Council Entry'!P47,'Council Entry'!P$9),'Council Entry'!P$8),'Council Entry'!P47)),IF(AND(ISNUMBER('Council Entry'!P$8),ISNUMBER('Council Entry'!P$9)),MAX(MIN('Council Entry'!P47,'Council Entry'!P$9),'Council Entry'!P$8),'Council Entry'!P47))))-'Council Entry'!P$5)/('Council Entry'!P$6-'Council Entry'!P$5)),1))),"No data"))</f>
        <v/>
      </c>
      <c r="Q47" s="13">
        <f>IF('Council Entry'!Q47="","",IFERROR(MAX(0,MIN(10,ROUND(IF('Council Entry'!Q$7="Decrease Risk",10-10*((IF('Council Entry'!Q$4="Logarithm",LN(0.001+IF(AND(ISNUMBER('Council Entry'!Q$8),ISNUMBER('Council Entry'!Q$9)),MAX(MIN('Council Entry'!Q47,'Council Entry'!Q$9),'Council Entry'!Q$8),'Council Entry'!Q47)),IF('Council Entry'!Q$4="Exponential",EXP(IF(AND(ISNUMBER('Council Entry'!Q$8),ISNUMBER('Council Entry'!Q$9)),MAX(MIN('Council Entry'!Q47,'Council Entry'!Q$9),'Council Entry'!Q$8),'Council Entry'!Q47)),IF(AND(ISNUMBER('Council Entry'!Q$8),ISNUMBER('Council Entry'!Q$9)),MAX(MIN('Council Entry'!Q47,'Council Entry'!Q$9),'Council Entry'!Q$8),'Council Entry'!Q47))))-'Council Entry'!Q$5)/('Council Entry'!Q$6-'Council Entry'!Q$5),10*((IF('Council Entry'!Q$4="Logarithm",LN(0.001+IF(AND(ISNUMBER('Council Entry'!Q$8),ISNUMBER('Council Entry'!Q$9)),MAX(MIN('Council Entry'!Q47,'Council Entry'!Q$9),'Council Entry'!Q$8),'Council Entry'!Q47)),IF('Council Entry'!Q$4="Exponential",EXP(IF(AND(ISNUMBER('Council Entry'!Q$8),ISNUMBER('Council Entry'!Q$9)),MAX(MIN('Council Entry'!Q47,'Council Entry'!Q$9),'Council Entry'!Q$8),'Council Entry'!Q47)),IF(AND(ISNUMBER('Council Entry'!Q$8),ISNUMBER('Council Entry'!Q$9)),MAX(MIN('Council Entry'!Q47,'Council Entry'!Q$9),'Council Entry'!Q$8),'Council Entry'!Q47))))-'Council Entry'!Q$5)/('Council Entry'!Q$6-'Council Entry'!Q$5)),1))),"No data"))</f>
        <v/>
      </c>
      <c r="R47" s="13">
        <f>IF('Council Entry'!R47="","",IFERROR(MAX(0,MIN(10,ROUND(IF('Council Entry'!R$7="Decrease Risk",10-10*((IF('Council Entry'!R$4="Logarithm",LN(0.001+IF(AND(ISNUMBER('Council Entry'!R$8),ISNUMBER('Council Entry'!R$9)),MAX(MIN('Council Entry'!R47,'Council Entry'!R$9),'Council Entry'!R$8),'Council Entry'!R47)),IF('Council Entry'!R$4="Exponential",EXP(IF(AND(ISNUMBER('Council Entry'!R$8),ISNUMBER('Council Entry'!R$9)),MAX(MIN('Council Entry'!R47,'Council Entry'!R$9),'Council Entry'!R$8),'Council Entry'!R47)),IF(AND(ISNUMBER('Council Entry'!R$8),ISNUMBER('Council Entry'!R$9)),MAX(MIN('Council Entry'!R47,'Council Entry'!R$9),'Council Entry'!R$8),'Council Entry'!R47))))-'Council Entry'!R$5)/('Council Entry'!R$6-'Council Entry'!R$5),10*((IF('Council Entry'!R$4="Logarithm",LN(0.001+IF(AND(ISNUMBER('Council Entry'!R$8),ISNUMBER('Council Entry'!R$9)),MAX(MIN('Council Entry'!R47,'Council Entry'!R$9),'Council Entry'!R$8),'Council Entry'!R47)),IF('Council Entry'!R$4="Exponential",EXP(IF(AND(ISNUMBER('Council Entry'!R$8),ISNUMBER('Council Entry'!R$9)),MAX(MIN('Council Entry'!R47,'Council Entry'!R$9),'Council Entry'!R$8),'Council Entry'!R47)),IF(AND(ISNUMBER('Council Entry'!R$8),ISNUMBER('Council Entry'!R$9)),MAX(MIN('Council Entry'!R47,'Council Entry'!R$9),'Council Entry'!R$8),'Council Entry'!R47))))-'Council Entry'!R$5)/('Council Entry'!R$6-'Council Entry'!R$5)),1))),"No data"))</f>
        <v/>
      </c>
      <c r="S47" s="13">
        <f>IF('Council Entry'!S47="","",IFERROR(MAX(0,MIN(10,ROUND(IF('Council Entry'!S$7="Decrease Risk",10-10*((IF('Council Entry'!S$4="Logarithm",LN(0.001+IF(AND(ISNUMBER('Council Entry'!S$8),ISNUMBER('Council Entry'!S$9)),MAX(MIN('Council Entry'!S47,'Council Entry'!S$9),'Council Entry'!S$8),'Council Entry'!S47)),IF('Council Entry'!S$4="Exponential",EXP(IF(AND(ISNUMBER('Council Entry'!S$8),ISNUMBER('Council Entry'!S$9)),MAX(MIN('Council Entry'!S47,'Council Entry'!S$9),'Council Entry'!S$8),'Council Entry'!S47)),IF(AND(ISNUMBER('Council Entry'!S$8),ISNUMBER('Council Entry'!S$9)),MAX(MIN('Council Entry'!S47,'Council Entry'!S$9),'Council Entry'!S$8),'Council Entry'!S47))))-'Council Entry'!S$5)/('Council Entry'!S$6-'Council Entry'!S$5),10*((IF('Council Entry'!S$4="Logarithm",LN(0.001+IF(AND(ISNUMBER('Council Entry'!S$8),ISNUMBER('Council Entry'!S$9)),MAX(MIN('Council Entry'!S47,'Council Entry'!S$9),'Council Entry'!S$8),'Council Entry'!S47)),IF('Council Entry'!S$4="Exponential",EXP(IF(AND(ISNUMBER('Council Entry'!S$8),ISNUMBER('Council Entry'!S$9)),MAX(MIN('Council Entry'!S47,'Council Entry'!S$9),'Council Entry'!S$8),'Council Entry'!S47)),IF(AND(ISNUMBER('Council Entry'!S$8),ISNUMBER('Council Entry'!S$9)),MAX(MIN('Council Entry'!S47,'Council Entry'!S$9),'Council Entry'!S$8),'Council Entry'!S47))))-'Council Entry'!S$5)/('Council Entry'!S$6-'Council Entry'!S$5)),1))),"No data"))</f>
        <v/>
      </c>
      <c r="T47" s="13">
        <f>IF('Council Entry'!T47="","",IFERROR(MAX(0,MIN(10,ROUND(IF('Council Entry'!T$7="Decrease Risk",10-10*((IF('Council Entry'!T$4="Logarithm",LN(0.001+IF(AND(ISNUMBER('Council Entry'!T$8),ISNUMBER('Council Entry'!T$9)),MAX(MIN('Council Entry'!T47,'Council Entry'!T$9),'Council Entry'!T$8),'Council Entry'!T47)),IF('Council Entry'!T$4="Exponential",EXP(IF(AND(ISNUMBER('Council Entry'!T$8),ISNUMBER('Council Entry'!T$9)),MAX(MIN('Council Entry'!T47,'Council Entry'!T$9),'Council Entry'!T$8),'Council Entry'!T47)),IF(AND(ISNUMBER('Council Entry'!T$8),ISNUMBER('Council Entry'!T$9)),MAX(MIN('Council Entry'!T47,'Council Entry'!T$9),'Council Entry'!T$8),'Council Entry'!T47))))-'Council Entry'!T$5)/('Council Entry'!T$6-'Council Entry'!T$5),10*((IF('Council Entry'!T$4="Logarithm",LN(0.001+IF(AND(ISNUMBER('Council Entry'!T$8),ISNUMBER('Council Entry'!T$9)),MAX(MIN('Council Entry'!T47,'Council Entry'!T$9),'Council Entry'!T$8),'Council Entry'!T47)),IF('Council Entry'!T$4="Exponential",EXP(IF(AND(ISNUMBER('Council Entry'!T$8),ISNUMBER('Council Entry'!T$9)),MAX(MIN('Council Entry'!T47,'Council Entry'!T$9),'Council Entry'!T$8),'Council Entry'!T47)),IF(AND(ISNUMBER('Council Entry'!T$8),ISNUMBER('Council Entry'!T$9)),MAX(MIN('Council Entry'!T47,'Council Entry'!T$9),'Council Entry'!T$8),'Council Entry'!T47))))-'Council Entry'!T$5)/('Council Entry'!T$6-'Council Entry'!T$5)),1))),"No data"))</f>
        <v/>
      </c>
      <c r="U47" s="13">
        <f>IF('Council Entry'!U47="","",IFERROR(MAX(0,MIN(10,ROUND(IF('Council Entry'!U$7="Decrease Risk",10-10*((IF('Council Entry'!U$4="Logarithm",LN(0.001+IF(AND(ISNUMBER('Council Entry'!U$8),ISNUMBER('Council Entry'!U$9)),MAX(MIN('Council Entry'!U47,'Council Entry'!U$9),'Council Entry'!U$8),'Council Entry'!U47)),IF('Council Entry'!U$4="Exponential",EXP(IF(AND(ISNUMBER('Council Entry'!U$8),ISNUMBER('Council Entry'!U$9)),MAX(MIN('Council Entry'!U47,'Council Entry'!U$9),'Council Entry'!U$8),'Council Entry'!U47)),IF(AND(ISNUMBER('Council Entry'!U$8),ISNUMBER('Council Entry'!U$9)),MAX(MIN('Council Entry'!U47,'Council Entry'!U$9),'Council Entry'!U$8),'Council Entry'!U47))))-'Council Entry'!U$5)/('Council Entry'!U$6-'Council Entry'!U$5),10*((IF('Council Entry'!U$4="Logarithm",LN(0.001+IF(AND(ISNUMBER('Council Entry'!U$8),ISNUMBER('Council Entry'!U$9)),MAX(MIN('Council Entry'!U47,'Council Entry'!U$9),'Council Entry'!U$8),'Council Entry'!U47)),IF('Council Entry'!U$4="Exponential",EXP(IF(AND(ISNUMBER('Council Entry'!U$8),ISNUMBER('Council Entry'!U$9)),MAX(MIN('Council Entry'!U47,'Council Entry'!U$9),'Council Entry'!U$8),'Council Entry'!U47)),IF(AND(ISNUMBER('Council Entry'!U$8),ISNUMBER('Council Entry'!U$9)),MAX(MIN('Council Entry'!U47,'Council Entry'!U$9),'Council Entry'!U$8),'Council Entry'!U47))))-'Council Entry'!U$5)/('Council Entry'!U$6-'Council Entry'!U$5)),1))),"No data"))</f>
        <v/>
      </c>
      <c r="V47" s="13">
        <f>IF('Council Entry'!V47="","",IFERROR(MAX(0,MIN(10,ROUND(IF('Council Entry'!V$7="Decrease Risk",10-10*((IF('Council Entry'!V$4="Logarithm",LN(0.001+IF(AND(ISNUMBER('Council Entry'!V$8),ISNUMBER('Council Entry'!V$9)),MAX(MIN('Council Entry'!V47,'Council Entry'!V$9),'Council Entry'!V$8),'Council Entry'!V47)),IF('Council Entry'!V$4="Exponential",EXP(IF(AND(ISNUMBER('Council Entry'!V$8),ISNUMBER('Council Entry'!V$9)),MAX(MIN('Council Entry'!V47,'Council Entry'!V$9),'Council Entry'!V$8),'Council Entry'!V47)),IF(AND(ISNUMBER('Council Entry'!V$8),ISNUMBER('Council Entry'!V$9)),MAX(MIN('Council Entry'!V47,'Council Entry'!V$9),'Council Entry'!V$8),'Council Entry'!V47))))-'Council Entry'!V$5)/('Council Entry'!V$6-'Council Entry'!V$5),10*((IF('Council Entry'!V$4="Logarithm",LN(0.001+IF(AND(ISNUMBER('Council Entry'!V$8),ISNUMBER('Council Entry'!V$9)),MAX(MIN('Council Entry'!V47,'Council Entry'!V$9),'Council Entry'!V$8),'Council Entry'!V47)),IF('Council Entry'!V$4="Exponential",EXP(IF(AND(ISNUMBER('Council Entry'!V$8),ISNUMBER('Council Entry'!V$9)),MAX(MIN('Council Entry'!V47,'Council Entry'!V$9),'Council Entry'!V$8),'Council Entry'!V47)),IF(AND(ISNUMBER('Council Entry'!V$8),ISNUMBER('Council Entry'!V$9)),MAX(MIN('Council Entry'!V47,'Council Entry'!V$9),'Council Entry'!V$8),'Council Entry'!V47))))-'Council Entry'!V$5)/('Council Entry'!V$6-'Council Entry'!V$5)),1))),"No data"))</f>
        <v/>
      </c>
      <c r="W47" s="13">
        <f>IF('Council Entry'!W47="","",IFERROR(MAX(0,MIN(10,ROUND(IF('Council Entry'!W$7="Decrease Risk",10-10*((IF('Council Entry'!W$4="Logarithm",LN(0.001+IF(AND(ISNUMBER('Council Entry'!W$8),ISNUMBER('Council Entry'!W$9)),MAX(MIN('Council Entry'!W47,'Council Entry'!W$9),'Council Entry'!W$8),'Council Entry'!W47)),IF('Council Entry'!W$4="Exponential",EXP(IF(AND(ISNUMBER('Council Entry'!W$8),ISNUMBER('Council Entry'!W$9)),MAX(MIN('Council Entry'!W47,'Council Entry'!W$9),'Council Entry'!W$8),'Council Entry'!W47)),IF(AND(ISNUMBER('Council Entry'!W$8),ISNUMBER('Council Entry'!W$9)),MAX(MIN('Council Entry'!W47,'Council Entry'!W$9),'Council Entry'!W$8),'Council Entry'!W47))))-'Council Entry'!W$5)/('Council Entry'!W$6-'Council Entry'!W$5),10*((IF('Council Entry'!W$4="Logarithm",LN(0.001+IF(AND(ISNUMBER('Council Entry'!W$8),ISNUMBER('Council Entry'!W$9)),MAX(MIN('Council Entry'!W47,'Council Entry'!W$9),'Council Entry'!W$8),'Council Entry'!W47)),IF('Council Entry'!W$4="Exponential",EXP(IF(AND(ISNUMBER('Council Entry'!W$8),ISNUMBER('Council Entry'!W$9)),MAX(MIN('Council Entry'!W47,'Council Entry'!W$9),'Council Entry'!W$8),'Council Entry'!W47)),IF(AND(ISNUMBER('Council Entry'!W$8),ISNUMBER('Council Entry'!W$9)),MAX(MIN('Council Entry'!W47,'Council Entry'!W$9),'Council Entry'!W$8),'Council Entry'!W47))))-'Council Entry'!W$5)/('Council Entry'!W$6-'Council Entry'!W$5)),1))),"No data"))</f>
        <v/>
      </c>
      <c r="X47" s="13">
        <f>IF('Council Entry'!X47="","",IFERROR(MAX(0,MIN(10,ROUND(IF('Council Entry'!X$7="Decrease Risk",10-10*((IF('Council Entry'!X$4="Logarithm",LN(0.001+IF(AND(ISNUMBER('Council Entry'!X$8),ISNUMBER('Council Entry'!X$9)),MAX(MIN('Council Entry'!X47,'Council Entry'!X$9),'Council Entry'!X$8),'Council Entry'!X47)),IF('Council Entry'!X$4="Exponential",EXP(IF(AND(ISNUMBER('Council Entry'!X$8),ISNUMBER('Council Entry'!X$9)),MAX(MIN('Council Entry'!X47,'Council Entry'!X$9),'Council Entry'!X$8),'Council Entry'!X47)),IF(AND(ISNUMBER('Council Entry'!X$8),ISNUMBER('Council Entry'!X$9)),MAX(MIN('Council Entry'!X47,'Council Entry'!X$9),'Council Entry'!X$8),'Council Entry'!X47))))-'Council Entry'!X$5)/('Council Entry'!X$6-'Council Entry'!X$5),10*((IF('Council Entry'!X$4="Logarithm",LN(0.001+IF(AND(ISNUMBER('Council Entry'!X$8),ISNUMBER('Council Entry'!X$9)),MAX(MIN('Council Entry'!X47,'Council Entry'!X$9),'Council Entry'!X$8),'Council Entry'!X47)),IF('Council Entry'!X$4="Exponential",EXP(IF(AND(ISNUMBER('Council Entry'!X$8),ISNUMBER('Council Entry'!X$9)),MAX(MIN('Council Entry'!X47,'Council Entry'!X$9),'Council Entry'!X$8),'Council Entry'!X47)),IF(AND(ISNUMBER('Council Entry'!X$8),ISNUMBER('Council Entry'!X$9)),MAX(MIN('Council Entry'!X47,'Council Entry'!X$9),'Council Entry'!X$8),'Council Entry'!X47))))-'Council Entry'!X$5)/('Council Entry'!X$6-'Council Entry'!X$5)),1))),"No data"))</f>
        <v/>
      </c>
      <c r="Y47" s="13">
        <f>IF('Council Entry'!Y47="","",IFERROR(MAX(0,MIN(10,ROUND(IF('Council Entry'!Y$7="Decrease Risk",10-10*((IF('Council Entry'!Y$4="Logarithm",LN(0.001+IF(AND(ISNUMBER('Council Entry'!Y$8),ISNUMBER('Council Entry'!Y$9)),MAX(MIN('Council Entry'!Y47,'Council Entry'!Y$9),'Council Entry'!Y$8),'Council Entry'!Y47)),IF('Council Entry'!Y$4="Exponential",EXP(IF(AND(ISNUMBER('Council Entry'!Y$8),ISNUMBER('Council Entry'!Y$9)),MAX(MIN('Council Entry'!Y47,'Council Entry'!Y$9),'Council Entry'!Y$8),'Council Entry'!Y47)),IF(AND(ISNUMBER('Council Entry'!Y$8),ISNUMBER('Council Entry'!Y$9)),MAX(MIN('Council Entry'!Y47,'Council Entry'!Y$9),'Council Entry'!Y$8),'Council Entry'!Y47))))-'Council Entry'!Y$5)/('Council Entry'!Y$6-'Council Entry'!Y$5),10*((IF('Council Entry'!Y$4="Logarithm",LN(0.001+IF(AND(ISNUMBER('Council Entry'!Y$8),ISNUMBER('Council Entry'!Y$9)),MAX(MIN('Council Entry'!Y47,'Council Entry'!Y$9),'Council Entry'!Y$8),'Council Entry'!Y47)),IF('Council Entry'!Y$4="Exponential",EXP(IF(AND(ISNUMBER('Council Entry'!Y$8),ISNUMBER('Council Entry'!Y$9)),MAX(MIN('Council Entry'!Y47,'Council Entry'!Y$9),'Council Entry'!Y$8),'Council Entry'!Y47)),IF(AND(ISNUMBER('Council Entry'!Y$8),ISNUMBER('Council Entry'!Y$9)),MAX(MIN('Council Entry'!Y47,'Council Entry'!Y$9),'Council Entry'!Y$8),'Council Entry'!Y47))))-'Council Entry'!Y$5)/('Council Entry'!Y$6-'Council Entry'!Y$5)),1))),"No data"))</f>
        <v/>
      </c>
      <c r="Z47" s="13">
        <f>IF('Council Entry'!Z47="","",IFERROR(MAX(0,MIN(10,ROUND(IF('Council Entry'!Z$7="Decrease Risk",10-10*((IF('Council Entry'!Z$4="Logarithm",LN(0.001+IF(AND(ISNUMBER('Council Entry'!Z$8),ISNUMBER('Council Entry'!Z$9)),MAX(MIN('Council Entry'!Z47,'Council Entry'!Z$9),'Council Entry'!Z$8),'Council Entry'!Z47)),IF('Council Entry'!Z$4="Exponential",EXP(IF(AND(ISNUMBER('Council Entry'!Z$8),ISNUMBER('Council Entry'!Z$9)),MAX(MIN('Council Entry'!Z47,'Council Entry'!Z$9),'Council Entry'!Z$8),'Council Entry'!Z47)),IF(AND(ISNUMBER('Council Entry'!Z$8),ISNUMBER('Council Entry'!Z$9)),MAX(MIN('Council Entry'!Z47,'Council Entry'!Z$9),'Council Entry'!Z$8),'Council Entry'!Z47))))-'Council Entry'!Z$5)/('Council Entry'!Z$6-'Council Entry'!Z$5),10*((IF('Council Entry'!Z$4="Logarithm",LN(0.001+IF(AND(ISNUMBER('Council Entry'!Z$8),ISNUMBER('Council Entry'!Z$9)),MAX(MIN('Council Entry'!Z47,'Council Entry'!Z$9),'Council Entry'!Z$8),'Council Entry'!Z47)),IF('Council Entry'!Z$4="Exponential",EXP(IF(AND(ISNUMBER('Council Entry'!Z$8),ISNUMBER('Council Entry'!Z$9)),MAX(MIN('Council Entry'!Z47,'Council Entry'!Z$9),'Council Entry'!Z$8),'Council Entry'!Z47)),IF(AND(ISNUMBER('Council Entry'!Z$8),ISNUMBER('Council Entry'!Z$9)),MAX(MIN('Council Entry'!Z47,'Council Entry'!Z$9),'Council Entry'!Z$8),'Council Entry'!Z47))))-'Council Entry'!Z$5)/('Council Entry'!Z$6-'Council Entry'!Z$5)),1))),"No data"))</f>
        <v/>
      </c>
      <c r="AA47" s="13">
        <f>IF('Council Entry'!AA47="","",IFERROR(MAX(0,MIN(10,ROUND(IF('Council Entry'!AA$7="Decrease Risk",10-10*((IF('Council Entry'!AA$4="Logarithm",LN(0.001+IF(AND(ISNUMBER('Council Entry'!AA$8),ISNUMBER('Council Entry'!AA$9)),MAX(MIN('Council Entry'!AA47,'Council Entry'!AA$9),'Council Entry'!AA$8),'Council Entry'!AA47)),IF('Council Entry'!AA$4="Exponential",EXP(IF(AND(ISNUMBER('Council Entry'!AA$8),ISNUMBER('Council Entry'!AA$9)),MAX(MIN('Council Entry'!AA47,'Council Entry'!AA$9),'Council Entry'!AA$8),'Council Entry'!AA47)),IF(AND(ISNUMBER('Council Entry'!AA$8),ISNUMBER('Council Entry'!AA$9)),MAX(MIN('Council Entry'!AA47,'Council Entry'!AA$9),'Council Entry'!AA$8),'Council Entry'!AA47))))-'Council Entry'!AA$5)/('Council Entry'!AA$6-'Council Entry'!AA$5),10*((IF('Council Entry'!AA$4="Logarithm",LN(0.001+IF(AND(ISNUMBER('Council Entry'!AA$8),ISNUMBER('Council Entry'!AA$9)),MAX(MIN('Council Entry'!AA47,'Council Entry'!AA$9),'Council Entry'!AA$8),'Council Entry'!AA47)),IF('Council Entry'!AA$4="Exponential",EXP(IF(AND(ISNUMBER('Council Entry'!AA$8),ISNUMBER('Council Entry'!AA$9)),MAX(MIN('Council Entry'!AA47,'Council Entry'!AA$9),'Council Entry'!AA$8),'Council Entry'!AA47)),IF(AND(ISNUMBER('Council Entry'!AA$8),ISNUMBER('Council Entry'!AA$9)),MAX(MIN('Council Entry'!AA47,'Council Entry'!AA$9),'Council Entry'!AA$8),'Council Entry'!AA47))))-'Council Entry'!AA$5)/('Council Entry'!AA$6-'Council Entry'!AA$5)),1))),"No data"))</f>
        <v/>
      </c>
      <c r="AB47" s="13">
        <f>IF('Council Entry'!AB47="","",IFERROR(MAX(0,MIN(10,ROUND(IF('Council Entry'!AB$7="Decrease Risk",10-10*((IF('Council Entry'!AB$4="Logarithm",LN(0.001+IF(AND(ISNUMBER('Council Entry'!AB$8),ISNUMBER('Council Entry'!AB$9)),MAX(MIN('Council Entry'!AB47,'Council Entry'!AB$9),'Council Entry'!AB$8),'Council Entry'!AB47)),IF('Council Entry'!AB$4="Exponential",EXP(IF(AND(ISNUMBER('Council Entry'!AB$8),ISNUMBER('Council Entry'!AB$9)),MAX(MIN('Council Entry'!AB47,'Council Entry'!AB$9),'Council Entry'!AB$8),'Council Entry'!AB47)),IF(AND(ISNUMBER('Council Entry'!AB$8),ISNUMBER('Council Entry'!AB$9)),MAX(MIN('Council Entry'!AB47,'Council Entry'!AB$9),'Council Entry'!AB$8),'Council Entry'!AB47))))-'Council Entry'!AB$5)/('Council Entry'!AB$6-'Council Entry'!AB$5),10*((IF('Council Entry'!AB$4="Logarithm",LN(0.001+IF(AND(ISNUMBER('Council Entry'!AB$8),ISNUMBER('Council Entry'!AB$9)),MAX(MIN('Council Entry'!AB47,'Council Entry'!AB$9),'Council Entry'!AB$8),'Council Entry'!AB47)),IF('Council Entry'!AB$4="Exponential",EXP(IF(AND(ISNUMBER('Council Entry'!AB$8),ISNUMBER('Council Entry'!AB$9)),MAX(MIN('Council Entry'!AB47,'Council Entry'!AB$9),'Council Entry'!AB$8),'Council Entry'!AB47)),IF(AND(ISNUMBER('Council Entry'!AB$8),ISNUMBER('Council Entry'!AB$9)),MAX(MIN('Council Entry'!AB47,'Council Entry'!AB$9),'Council Entry'!AB$8),'Council Entry'!AB47))))-'Council Entry'!AB$5)/('Council Entry'!AB$6-'Council Entry'!AB$5)),1))),"No data"))</f>
        <v/>
      </c>
      <c r="AC47" s="13">
        <f>IF('Council Entry'!AC47="","",IFERROR(MAX(0,MIN(10,ROUND(IF('Council Entry'!AC$7="Decrease Risk",10-10*((IF('Council Entry'!AC$4="Logarithm",LN(0.001+IF(AND(ISNUMBER('Council Entry'!AC$8),ISNUMBER('Council Entry'!AC$9)),MAX(MIN('Council Entry'!AC47,'Council Entry'!AC$9),'Council Entry'!AC$8),'Council Entry'!AC47)),IF('Council Entry'!AC$4="Exponential",EXP(IF(AND(ISNUMBER('Council Entry'!AC$8),ISNUMBER('Council Entry'!AC$9)),MAX(MIN('Council Entry'!AC47,'Council Entry'!AC$9),'Council Entry'!AC$8),'Council Entry'!AC47)),IF(AND(ISNUMBER('Council Entry'!AC$8),ISNUMBER('Council Entry'!AC$9)),MAX(MIN('Council Entry'!AC47,'Council Entry'!AC$9),'Council Entry'!AC$8),'Council Entry'!AC47))))-'Council Entry'!AC$5)/('Council Entry'!AC$6-'Council Entry'!AC$5),10*((IF('Council Entry'!AC$4="Logarithm",LN(0.001+IF(AND(ISNUMBER('Council Entry'!AC$8),ISNUMBER('Council Entry'!AC$9)),MAX(MIN('Council Entry'!AC47,'Council Entry'!AC$9),'Council Entry'!AC$8),'Council Entry'!AC47)),IF('Council Entry'!AC$4="Exponential",EXP(IF(AND(ISNUMBER('Council Entry'!AC$8),ISNUMBER('Council Entry'!AC$9)),MAX(MIN('Council Entry'!AC47,'Council Entry'!AC$9),'Council Entry'!AC$8),'Council Entry'!AC47)),IF(AND(ISNUMBER('Council Entry'!AC$8),ISNUMBER('Council Entry'!AC$9)),MAX(MIN('Council Entry'!AC47,'Council Entry'!AC$9),'Council Entry'!AC$8),'Council Entry'!AC47))))-'Council Entry'!AC$5)/('Council Entry'!AC$6-'Council Entry'!AC$5)),1))),"No data"))</f>
        <v/>
      </c>
      <c r="AD47" s="13">
        <f>IF('Council Entry'!AD47="","",IFERROR(MAX(0,MIN(10,ROUND(IF('Council Entry'!AD$7="Decrease Risk",10-10*((IF('Council Entry'!AD$4="Logarithm",LN(0.001+IF(AND(ISNUMBER('Council Entry'!AD$8),ISNUMBER('Council Entry'!AD$9)),MAX(MIN('Council Entry'!AD47,'Council Entry'!AD$9),'Council Entry'!AD$8),'Council Entry'!AD47)),IF('Council Entry'!AD$4="Exponential",EXP(IF(AND(ISNUMBER('Council Entry'!AD$8),ISNUMBER('Council Entry'!AD$9)),MAX(MIN('Council Entry'!AD47,'Council Entry'!AD$9),'Council Entry'!AD$8),'Council Entry'!AD47)),IF(AND(ISNUMBER('Council Entry'!AD$8),ISNUMBER('Council Entry'!AD$9)),MAX(MIN('Council Entry'!AD47,'Council Entry'!AD$9),'Council Entry'!AD$8),'Council Entry'!AD47))))-'Council Entry'!AD$5)/('Council Entry'!AD$6-'Council Entry'!AD$5),10*((IF('Council Entry'!AD$4="Logarithm",LN(0.001+IF(AND(ISNUMBER('Council Entry'!AD$8),ISNUMBER('Council Entry'!AD$9)),MAX(MIN('Council Entry'!AD47,'Council Entry'!AD$9),'Council Entry'!AD$8),'Council Entry'!AD47)),IF('Council Entry'!AD$4="Exponential",EXP(IF(AND(ISNUMBER('Council Entry'!AD$8),ISNUMBER('Council Entry'!AD$9)),MAX(MIN('Council Entry'!AD47,'Council Entry'!AD$9),'Council Entry'!AD$8),'Council Entry'!AD47)),IF(AND(ISNUMBER('Council Entry'!AD$8),ISNUMBER('Council Entry'!AD$9)),MAX(MIN('Council Entry'!AD47,'Council Entry'!AD$9),'Council Entry'!AD$8),'Council Entry'!AD47))))-'Council Entry'!AD$5)/('Council Entry'!AD$6-'Council Entry'!AD$5)),1))),"No data"))</f>
        <v/>
      </c>
      <c r="AE47" s="13">
        <f>IF('Council Entry'!AE47="","",IFERROR(MAX(0,MIN(10,ROUND(IF('Council Entry'!AE$7="Decrease Risk",10-10*((IF('Council Entry'!AE$4="Logarithm",LN(0.001+IF(AND(ISNUMBER('Council Entry'!AE$8),ISNUMBER('Council Entry'!AE$9)),MAX(MIN('Council Entry'!AE47,'Council Entry'!AE$9),'Council Entry'!AE$8),'Council Entry'!AE47)),IF('Council Entry'!AE$4="Exponential",EXP(IF(AND(ISNUMBER('Council Entry'!AE$8),ISNUMBER('Council Entry'!AE$9)),MAX(MIN('Council Entry'!AE47,'Council Entry'!AE$9),'Council Entry'!AE$8),'Council Entry'!AE47)),IF(AND(ISNUMBER('Council Entry'!AE$8),ISNUMBER('Council Entry'!AE$9)),MAX(MIN('Council Entry'!AE47,'Council Entry'!AE$9),'Council Entry'!AE$8),'Council Entry'!AE47))))-'Council Entry'!AE$5)/('Council Entry'!AE$6-'Council Entry'!AE$5),10*((IF('Council Entry'!AE$4="Logarithm",LN(0.001+IF(AND(ISNUMBER('Council Entry'!AE$8),ISNUMBER('Council Entry'!AE$9)),MAX(MIN('Council Entry'!AE47,'Council Entry'!AE$9),'Council Entry'!AE$8),'Council Entry'!AE47)),IF('Council Entry'!AE$4="Exponential",EXP(IF(AND(ISNUMBER('Council Entry'!AE$8),ISNUMBER('Council Entry'!AE$9)),MAX(MIN('Council Entry'!AE47,'Council Entry'!AE$9),'Council Entry'!AE$8),'Council Entry'!AE47)),IF(AND(ISNUMBER('Council Entry'!AE$8),ISNUMBER('Council Entry'!AE$9)),MAX(MIN('Council Entry'!AE47,'Council Entry'!AE$9),'Council Entry'!AE$8),'Council Entry'!AE47))))-'Council Entry'!AE$5)/('Council Entry'!AE$6-'Council Entry'!AE$5)),1))),"No data"))</f>
        <v/>
      </c>
      <c r="AF47" s="13">
        <f>IF('Council Entry'!AF47="","",IFERROR(MAX(0,MIN(10,ROUND(IF('Council Entry'!AF$7="Decrease Risk",10-10*((IF('Council Entry'!AF$4="Logarithm",LN(0.001+IF(AND(ISNUMBER('Council Entry'!AF$8),ISNUMBER('Council Entry'!AF$9)),MAX(MIN('Council Entry'!AF47,'Council Entry'!AF$9),'Council Entry'!AF$8),'Council Entry'!AF47)),IF('Council Entry'!AF$4="Exponential",EXP(IF(AND(ISNUMBER('Council Entry'!AF$8),ISNUMBER('Council Entry'!AF$9)),MAX(MIN('Council Entry'!AF47,'Council Entry'!AF$9),'Council Entry'!AF$8),'Council Entry'!AF47)),IF(AND(ISNUMBER('Council Entry'!AF$8),ISNUMBER('Council Entry'!AF$9)),MAX(MIN('Council Entry'!AF47,'Council Entry'!AF$9),'Council Entry'!AF$8),'Council Entry'!AF47))))-'Council Entry'!AF$5)/('Council Entry'!AF$6-'Council Entry'!AF$5),10*((IF('Council Entry'!AF$4="Logarithm",LN(0.001+IF(AND(ISNUMBER('Council Entry'!AF$8),ISNUMBER('Council Entry'!AF$9)),MAX(MIN('Council Entry'!AF47,'Council Entry'!AF$9),'Council Entry'!AF$8),'Council Entry'!AF47)),IF('Council Entry'!AF$4="Exponential",EXP(IF(AND(ISNUMBER('Council Entry'!AF$8),ISNUMBER('Council Entry'!AF$9)),MAX(MIN('Council Entry'!AF47,'Council Entry'!AF$9),'Council Entry'!AF$8),'Council Entry'!AF47)),IF(AND(ISNUMBER('Council Entry'!AF$8),ISNUMBER('Council Entry'!AF$9)),MAX(MIN('Council Entry'!AF47,'Council Entry'!AF$9),'Council Entry'!AF$8),'Council Entry'!AF47))))-'Council Entry'!AF$5)/('Council Entry'!AF$6-'Council Entry'!AF$5)),1))),"No data"))</f>
        <v/>
      </c>
      <c r="AG47" s="13">
        <f>IF('Council Entry'!AG47="","",IFERROR(MAX(0,MIN(10,ROUND(IF('Council Entry'!AG$7="Decrease Risk",10-10*((IF('Council Entry'!AG$4="Logarithm",LN(0.001+IF(AND(ISNUMBER('Council Entry'!AG$8),ISNUMBER('Council Entry'!AG$9)),MAX(MIN('Council Entry'!AG47,'Council Entry'!AG$9),'Council Entry'!AG$8),'Council Entry'!AG47)),IF('Council Entry'!AG$4="Exponential",EXP(IF(AND(ISNUMBER('Council Entry'!AG$8),ISNUMBER('Council Entry'!AG$9)),MAX(MIN('Council Entry'!AG47,'Council Entry'!AG$9),'Council Entry'!AG$8),'Council Entry'!AG47)),IF(AND(ISNUMBER('Council Entry'!AG$8),ISNUMBER('Council Entry'!AG$9)),MAX(MIN('Council Entry'!AG47,'Council Entry'!AG$9),'Council Entry'!AG$8),'Council Entry'!AG47))))-'Council Entry'!AG$5)/('Council Entry'!AG$6-'Council Entry'!AG$5),10*((IF('Council Entry'!AG$4="Logarithm",LN(0.001+IF(AND(ISNUMBER('Council Entry'!AG$8),ISNUMBER('Council Entry'!AG$9)),MAX(MIN('Council Entry'!AG47,'Council Entry'!AG$9),'Council Entry'!AG$8),'Council Entry'!AG47)),IF('Council Entry'!AG$4="Exponential",EXP(IF(AND(ISNUMBER('Council Entry'!AG$8),ISNUMBER('Council Entry'!AG$9)),MAX(MIN('Council Entry'!AG47,'Council Entry'!AG$9),'Council Entry'!AG$8),'Council Entry'!AG47)),IF(AND(ISNUMBER('Council Entry'!AG$8),ISNUMBER('Council Entry'!AG$9)),MAX(MIN('Council Entry'!AG47,'Council Entry'!AG$9),'Council Entry'!AG$8),'Council Entry'!AG47))))-'Council Entry'!AG$5)/('Council Entry'!AG$6-'Council Entry'!AG$5)),1))),"No data"))</f>
        <v/>
      </c>
      <c r="AH47" s="13">
        <f>IF('Council Entry'!AH47="","",IFERROR(MAX(0,MIN(10,ROUND(IF('Council Entry'!AH$7="Decrease Risk",10-10*((IF('Council Entry'!AH$4="Logarithm",LN(0.001+IF(AND(ISNUMBER('Council Entry'!AH$8),ISNUMBER('Council Entry'!AH$9)),MAX(MIN('Council Entry'!AH47,'Council Entry'!AH$9),'Council Entry'!AH$8),'Council Entry'!AH47)),IF('Council Entry'!AH$4="Exponential",EXP(IF(AND(ISNUMBER('Council Entry'!AH$8),ISNUMBER('Council Entry'!AH$9)),MAX(MIN('Council Entry'!AH47,'Council Entry'!AH$9),'Council Entry'!AH$8),'Council Entry'!AH47)),IF(AND(ISNUMBER('Council Entry'!AH$8),ISNUMBER('Council Entry'!AH$9)),MAX(MIN('Council Entry'!AH47,'Council Entry'!AH$9),'Council Entry'!AH$8),'Council Entry'!AH47))))-'Council Entry'!AH$5)/('Council Entry'!AH$6-'Council Entry'!AH$5),10*((IF('Council Entry'!AH$4="Logarithm",LN(0.001+IF(AND(ISNUMBER('Council Entry'!AH$8),ISNUMBER('Council Entry'!AH$9)),MAX(MIN('Council Entry'!AH47,'Council Entry'!AH$9),'Council Entry'!AH$8),'Council Entry'!AH47)),IF('Council Entry'!AH$4="Exponential",EXP(IF(AND(ISNUMBER('Council Entry'!AH$8),ISNUMBER('Council Entry'!AH$9)),MAX(MIN('Council Entry'!AH47,'Council Entry'!AH$9),'Council Entry'!AH$8),'Council Entry'!AH47)),IF(AND(ISNUMBER('Council Entry'!AH$8),ISNUMBER('Council Entry'!AH$9)),MAX(MIN('Council Entry'!AH47,'Council Entry'!AH$9),'Council Entry'!AH$8),'Council Entry'!AH47))))-'Council Entry'!AH$5)/('Council Entry'!AH$6-'Council Entry'!AH$5)),1))),"No data"))</f>
        <v/>
      </c>
      <c r="AI47" s="13">
        <f>IF('Council Entry'!AI47="","",IFERROR(MAX(0,MIN(10,ROUND(IF('Council Entry'!AI$7="Decrease Risk",10-10*((IF('Council Entry'!AI$4="Logarithm",LN(0.001+IF(AND(ISNUMBER('Council Entry'!AI$8),ISNUMBER('Council Entry'!AI$9)),MAX(MIN('Council Entry'!AI47,'Council Entry'!AI$9),'Council Entry'!AI$8),'Council Entry'!AI47)),IF('Council Entry'!AI$4="Exponential",EXP(IF(AND(ISNUMBER('Council Entry'!AI$8),ISNUMBER('Council Entry'!AI$9)),MAX(MIN('Council Entry'!AI47,'Council Entry'!AI$9),'Council Entry'!AI$8),'Council Entry'!AI47)),IF(AND(ISNUMBER('Council Entry'!AI$8),ISNUMBER('Council Entry'!AI$9)),MAX(MIN('Council Entry'!AI47,'Council Entry'!AI$9),'Council Entry'!AI$8),'Council Entry'!AI47))))-'Council Entry'!AI$5)/('Council Entry'!AI$6-'Council Entry'!AI$5),10*((IF('Council Entry'!AI$4="Logarithm",LN(0.001+IF(AND(ISNUMBER('Council Entry'!AI$8),ISNUMBER('Council Entry'!AI$9)),MAX(MIN('Council Entry'!AI47,'Council Entry'!AI$9),'Council Entry'!AI$8),'Council Entry'!AI47)),IF('Council Entry'!AI$4="Exponential",EXP(IF(AND(ISNUMBER('Council Entry'!AI$8),ISNUMBER('Council Entry'!AI$9)),MAX(MIN('Council Entry'!AI47,'Council Entry'!AI$9),'Council Entry'!AI$8),'Council Entry'!AI47)),IF(AND(ISNUMBER('Council Entry'!AI$8),ISNUMBER('Council Entry'!AI$9)),MAX(MIN('Council Entry'!AI47,'Council Entry'!AI$9),'Council Entry'!AI$8),'Council Entry'!AI47))))-'Council Entry'!AI$5)/('Council Entry'!AI$6-'Council Entry'!AI$5)),1))),"No data"))</f>
        <v/>
      </c>
      <c r="AJ47" s="13">
        <f>IF('Council Entry'!AJ47="","",IFERROR(MAX(0,MIN(10,ROUND(IF('Council Entry'!AJ$7="Decrease Risk",10-10*((IF('Council Entry'!AJ$4="Logarithm",LN(0.001+IF(AND(ISNUMBER('Council Entry'!AJ$8),ISNUMBER('Council Entry'!AJ$9)),MAX(MIN('Council Entry'!AJ47,'Council Entry'!AJ$9),'Council Entry'!AJ$8),'Council Entry'!AJ47)),IF('Council Entry'!AJ$4="Exponential",EXP(IF(AND(ISNUMBER('Council Entry'!AJ$8),ISNUMBER('Council Entry'!AJ$9)),MAX(MIN('Council Entry'!AJ47,'Council Entry'!AJ$9),'Council Entry'!AJ$8),'Council Entry'!AJ47)),IF(AND(ISNUMBER('Council Entry'!AJ$8),ISNUMBER('Council Entry'!AJ$9)),MAX(MIN('Council Entry'!AJ47,'Council Entry'!AJ$9),'Council Entry'!AJ$8),'Council Entry'!AJ47))))-'Council Entry'!AJ$5)/('Council Entry'!AJ$6-'Council Entry'!AJ$5),10*((IF('Council Entry'!AJ$4="Logarithm",LN(0.001+IF(AND(ISNUMBER('Council Entry'!AJ$8),ISNUMBER('Council Entry'!AJ$9)),MAX(MIN('Council Entry'!AJ47,'Council Entry'!AJ$9),'Council Entry'!AJ$8),'Council Entry'!AJ47)),IF('Council Entry'!AJ$4="Exponential",EXP(IF(AND(ISNUMBER('Council Entry'!AJ$8),ISNUMBER('Council Entry'!AJ$9)),MAX(MIN('Council Entry'!AJ47,'Council Entry'!AJ$9),'Council Entry'!AJ$8),'Council Entry'!AJ47)),IF(AND(ISNUMBER('Council Entry'!AJ$8),ISNUMBER('Council Entry'!AJ$9)),MAX(MIN('Council Entry'!AJ47,'Council Entry'!AJ$9),'Council Entry'!AJ$8),'Council Entry'!AJ47))))-'Council Entry'!AJ$5)/('Council Entry'!AJ$6-'Council Entry'!AJ$5)),1))),"No data"))</f>
        <v/>
      </c>
      <c r="AK47" s="13">
        <f>IF('Council Entry'!AK47="","",IFERROR(MAX(0,MIN(10,ROUND(IF('Council Entry'!AK$7="Decrease Risk",10-10*((IF('Council Entry'!AK$4="Logarithm",LN(0.001+IF(AND(ISNUMBER('Council Entry'!AK$8),ISNUMBER('Council Entry'!AK$9)),MAX(MIN('Council Entry'!AK47,'Council Entry'!AK$9),'Council Entry'!AK$8),'Council Entry'!AK47)),IF('Council Entry'!AK$4="Exponential",EXP(IF(AND(ISNUMBER('Council Entry'!AK$8),ISNUMBER('Council Entry'!AK$9)),MAX(MIN('Council Entry'!AK47,'Council Entry'!AK$9),'Council Entry'!AK$8),'Council Entry'!AK47)),IF(AND(ISNUMBER('Council Entry'!AK$8),ISNUMBER('Council Entry'!AK$9)),MAX(MIN('Council Entry'!AK47,'Council Entry'!AK$9),'Council Entry'!AK$8),'Council Entry'!AK47))))-'Council Entry'!AK$5)/('Council Entry'!AK$6-'Council Entry'!AK$5),10*((IF('Council Entry'!AK$4="Logarithm",LN(0.001+IF(AND(ISNUMBER('Council Entry'!AK$8),ISNUMBER('Council Entry'!AK$9)),MAX(MIN('Council Entry'!AK47,'Council Entry'!AK$9),'Council Entry'!AK$8),'Council Entry'!AK47)),IF('Council Entry'!AK$4="Exponential",EXP(IF(AND(ISNUMBER('Council Entry'!AK$8),ISNUMBER('Council Entry'!AK$9)),MAX(MIN('Council Entry'!AK47,'Council Entry'!AK$9),'Council Entry'!AK$8),'Council Entry'!AK47)),IF(AND(ISNUMBER('Council Entry'!AK$8),ISNUMBER('Council Entry'!AK$9)),MAX(MIN('Council Entry'!AK47,'Council Entry'!AK$9),'Council Entry'!AK$8),'Council Entry'!AK47))))-'Council Entry'!AK$5)/('Council Entry'!AK$6-'Council Entry'!AK$5)),1))),"No data"))</f>
        <v/>
      </c>
      <c r="AL47" s="13">
        <f>IF('Council Entry'!AL47="","",IFERROR(MAX(0,MIN(10,ROUND(IF('Council Entry'!AL$7="Decrease Risk",10-10*((IF('Council Entry'!AL$4="Logarithm",LN(0.001+IF(AND(ISNUMBER('Council Entry'!AL$8),ISNUMBER('Council Entry'!AL$9)),MAX(MIN('Council Entry'!AL47,'Council Entry'!AL$9),'Council Entry'!AL$8),'Council Entry'!AL47)),IF('Council Entry'!AL$4="Exponential",EXP(IF(AND(ISNUMBER('Council Entry'!AL$8),ISNUMBER('Council Entry'!AL$9)),MAX(MIN('Council Entry'!AL47,'Council Entry'!AL$9),'Council Entry'!AL$8),'Council Entry'!AL47)),IF(AND(ISNUMBER('Council Entry'!AL$8),ISNUMBER('Council Entry'!AL$9)),MAX(MIN('Council Entry'!AL47,'Council Entry'!AL$9),'Council Entry'!AL$8),'Council Entry'!AL47))))-'Council Entry'!AL$5)/('Council Entry'!AL$6-'Council Entry'!AL$5),10*((IF('Council Entry'!AL$4="Logarithm",LN(0.001+IF(AND(ISNUMBER('Council Entry'!AL$8),ISNUMBER('Council Entry'!AL$9)),MAX(MIN('Council Entry'!AL47,'Council Entry'!AL$9),'Council Entry'!AL$8),'Council Entry'!AL47)),IF('Council Entry'!AL$4="Exponential",EXP(IF(AND(ISNUMBER('Council Entry'!AL$8),ISNUMBER('Council Entry'!AL$9)),MAX(MIN('Council Entry'!AL47,'Council Entry'!AL$9),'Council Entry'!AL$8),'Council Entry'!AL47)),IF(AND(ISNUMBER('Council Entry'!AL$8),ISNUMBER('Council Entry'!AL$9)),MAX(MIN('Council Entry'!AL47,'Council Entry'!AL$9),'Council Entry'!AL$8),'Council Entry'!AL47))))-'Council Entry'!AL$5)/('Council Entry'!AL$6-'Council Entry'!AL$5)),1))),"No data"))</f>
        <v/>
      </c>
      <c r="AM47" s="13">
        <f>IF('Council Entry'!AM47="","",IFERROR(MAX(0,MIN(10,ROUND(IF('Council Entry'!AM$7="Decrease Risk",10-10*((IF('Council Entry'!AM$4="Logarithm",LN(0.001+IF(AND(ISNUMBER('Council Entry'!AM$8),ISNUMBER('Council Entry'!AM$9)),MAX(MIN('Council Entry'!AM47,'Council Entry'!AM$9),'Council Entry'!AM$8),'Council Entry'!AM47)),IF('Council Entry'!AM$4="Exponential",EXP(IF(AND(ISNUMBER('Council Entry'!AM$8),ISNUMBER('Council Entry'!AM$9)),MAX(MIN('Council Entry'!AM47,'Council Entry'!AM$9),'Council Entry'!AM$8),'Council Entry'!AM47)),IF(AND(ISNUMBER('Council Entry'!AM$8),ISNUMBER('Council Entry'!AM$9)),MAX(MIN('Council Entry'!AM47,'Council Entry'!AM$9),'Council Entry'!AM$8),'Council Entry'!AM47))))-'Council Entry'!AM$5)/('Council Entry'!AM$6-'Council Entry'!AM$5),10*((IF('Council Entry'!AM$4="Logarithm",LN(0.001+IF(AND(ISNUMBER('Council Entry'!AM$8),ISNUMBER('Council Entry'!AM$9)),MAX(MIN('Council Entry'!AM47,'Council Entry'!AM$9),'Council Entry'!AM$8),'Council Entry'!AM47)),IF('Council Entry'!AM$4="Exponential",EXP(IF(AND(ISNUMBER('Council Entry'!AM$8),ISNUMBER('Council Entry'!AM$9)),MAX(MIN('Council Entry'!AM47,'Council Entry'!AM$9),'Council Entry'!AM$8),'Council Entry'!AM47)),IF(AND(ISNUMBER('Council Entry'!AM$8),ISNUMBER('Council Entry'!AM$9)),MAX(MIN('Council Entry'!AM47,'Council Entry'!AM$9),'Council Entry'!AM$8),'Council Entry'!AM47))))-'Council Entry'!AM$5)/('Council Entry'!AM$6-'Council Entry'!AM$5)),1))),"No data"))</f>
        <v/>
      </c>
      <c r="AN47" s="13">
        <f>IF('Council Entry'!AN47="","",IFERROR(MAX(0,MIN(10,ROUND(IF('Council Entry'!AN$7="Decrease Risk",10-10*((IF('Council Entry'!AN$4="Logarithm",LN(0.001+IF(AND(ISNUMBER('Council Entry'!AN$8),ISNUMBER('Council Entry'!AN$9)),MAX(MIN('Council Entry'!AN47,'Council Entry'!AN$9),'Council Entry'!AN$8),'Council Entry'!AN47)),IF('Council Entry'!AN$4="Exponential",EXP(IF(AND(ISNUMBER('Council Entry'!AN$8),ISNUMBER('Council Entry'!AN$9)),MAX(MIN('Council Entry'!AN47,'Council Entry'!AN$9),'Council Entry'!AN$8),'Council Entry'!AN47)),IF(AND(ISNUMBER('Council Entry'!AN$8),ISNUMBER('Council Entry'!AN$9)),MAX(MIN('Council Entry'!AN47,'Council Entry'!AN$9),'Council Entry'!AN$8),'Council Entry'!AN47))))-'Council Entry'!AN$5)/('Council Entry'!AN$6-'Council Entry'!AN$5),10*((IF('Council Entry'!AN$4="Logarithm",LN(0.001+IF(AND(ISNUMBER('Council Entry'!AN$8),ISNUMBER('Council Entry'!AN$9)),MAX(MIN('Council Entry'!AN47,'Council Entry'!AN$9),'Council Entry'!AN$8),'Council Entry'!AN47)),IF('Council Entry'!AN$4="Exponential",EXP(IF(AND(ISNUMBER('Council Entry'!AN$8),ISNUMBER('Council Entry'!AN$9)),MAX(MIN('Council Entry'!AN47,'Council Entry'!AN$9),'Council Entry'!AN$8),'Council Entry'!AN47)),IF(AND(ISNUMBER('Council Entry'!AN$8),ISNUMBER('Council Entry'!AN$9)),MAX(MIN('Council Entry'!AN47,'Council Entry'!AN$9),'Council Entry'!AN$8),'Council Entry'!AN47))))-'Council Entry'!AN$5)/('Council Entry'!AN$6-'Council Entry'!AN$5)),1))),"No data"))</f>
        <v/>
      </c>
      <c r="AO47" s="13">
        <f>IF('Council Entry'!AO47="","",IFERROR(MAX(0,MIN(10,ROUND(IF('Council Entry'!AO$7="Decrease Risk",10-10*((IF('Council Entry'!AO$4="Logarithm",LN(0.001+IF(AND(ISNUMBER('Council Entry'!AO$8),ISNUMBER('Council Entry'!AO$9)),MAX(MIN('Council Entry'!AO47,'Council Entry'!AO$9),'Council Entry'!AO$8),'Council Entry'!AO47)),IF('Council Entry'!AO$4="Exponential",EXP(IF(AND(ISNUMBER('Council Entry'!AO$8),ISNUMBER('Council Entry'!AO$9)),MAX(MIN('Council Entry'!AO47,'Council Entry'!AO$9),'Council Entry'!AO$8),'Council Entry'!AO47)),IF(AND(ISNUMBER('Council Entry'!AO$8),ISNUMBER('Council Entry'!AO$9)),MAX(MIN('Council Entry'!AO47,'Council Entry'!AO$9),'Council Entry'!AO$8),'Council Entry'!AO47))))-'Council Entry'!AO$5)/('Council Entry'!AO$6-'Council Entry'!AO$5),10*((IF('Council Entry'!AO$4="Logarithm",LN(0.001+IF(AND(ISNUMBER('Council Entry'!AO$8),ISNUMBER('Council Entry'!AO$9)),MAX(MIN('Council Entry'!AO47,'Council Entry'!AO$9),'Council Entry'!AO$8),'Council Entry'!AO47)),IF('Council Entry'!AO$4="Exponential",EXP(IF(AND(ISNUMBER('Council Entry'!AO$8),ISNUMBER('Council Entry'!AO$9)),MAX(MIN('Council Entry'!AO47,'Council Entry'!AO$9),'Council Entry'!AO$8),'Council Entry'!AO47)),IF(AND(ISNUMBER('Council Entry'!AO$8),ISNUMBER('Council Entry'!AO$9)),MAX(MIN('Council Entry'!AO47,'Council Entry'!AO$9),'Council Entry'!AO$8),'Council Entry'!AO47))))-'Council Entry'!AO$5)/('Council Entry'!AO$6-'Council Entry'!AO$5)),1))),"No data"))</f>
        <v/>
      </c>
      <c r="AP47" s="13">
        <f>IF('Council Entry'!AP47="","",IFERROR(MAX(0,MIN(10,ROUND(IF('Council Entry'!AP$7="Decrease Risk",10-10*((IF('Council Entry'!AP$4="Logarithm",LN(0.001+IF(AND(ISNUMBER('Council Entry'!AP$8),ISNUMBER('Council Entry'!AP$9)),MAX(MIN('Council Entry'!AP47,'Council Entry'!AP$9),'Council Entry'!AP$8),'Council Entry'!AP47)),IF('Council Entry'!AP$4="Exponential",EXP(IF(AND(ISNUMBER('Council Entry'!AP$8),ISNUMBER('Council Entry'!AP$9)),MAX(MIN('Council Entry'!AP47,'Council Entry'!AP$9),'Council Entry'!AP$8),'Council Entry'!AP47)),IF(AND(ISNUMBER('Council Entry'!AP$8),ISNUMBER('Council Entry'!AP$9)),MAX(MIN('Council Entry'!AP47,'Council Entry'!AP$9),'Council Entry'!AP$8),'Council Entry'!AP47))))-'Council Entry'!AP$5)/('Council Entry'!AP$6-'Council Entry'!AP$5),10*((IF('Council Entry'!AP$4="Logarithm",LN(0.001+IF(AND(ISNUMBER('Council Entry'!AP$8),ISNUMBER('Council Entry'!AP$9)),MAX(MIN('Council Entry'!AP47,'Council Entry'!AP$9),'Council Entry'!AP$8),'Council Entry'!AP47)),IF('Council Entry'!AP$4="Exponential",EXP(IF(AND(ISNUMBER('Council Entry'!AP$8),ISNUMBER('Council Entry'!AP$9)),MAX(MIN('Council Entry'!AP47,'Council Entry'!AP$9),'Council Entry'!AP$8),'Council Entry'!AP47)),IF(AND(ISNUMBER('Council Entry'!AP$8),ISNUMBER('Council Entry'!AP$9)),MAX(MIN('Council Entry'!AP47,'Council Entry'!AP$9),'Council Entry'!AP$8),'Council Entry'!AP47))))-'Council Entry'!AP$5)/('Council Entry'!AP$6-'Council Entry'!AP$5)),1))),"No data"))</f>
        <v/>
      </c>
      <c r="AQ47" s="13">
        <f>IF('Council Entry'!AQ47="","",IFERROR(MAX(0,MIN(10,ROUND(IF('Council Entry'!AQ$7="Decrease Risk",10-10*((IF('Council Entry'!AQ$4="Logarithm",LN(0.001+IF(AND(ISNUMBER('Council Entry'!AQ$8),ISNUMBER('Council Entry'!AQ$9)),MAX(MIN('Council Entry'!AQ47,'Council Entry'!AQ$9),'Council Entry'!AQ$8),'Council Entry'!AQ47)),IF('Council Entry'!AQ$4="Exponential",EXP(IF(AND(ISNUMBER('Council Entry'!AQ$8),ISNUMBER('Council Entry'!AQ$9)),MAX(MIN('Council Entry'!AQ47,'Council Entry'!AQ$9),'Council Entry'!AQ$8),'Council Entry'!AQ47)),IF(AND(ISNUMBER('Council Entry'!AQ$8),ISNUMBER('Council Entry'!AQ$9)),MAX(MIN('Council Entry'!AQ47,'Council Entry'!AQ$9),'Council Entry'!AQ$8),'Council Entry'!AQ47))))-'Council Entry'!AQ$5)/('Council Entry'!AQ$6-'Council Entry'!AQ$5),10*((IF('Council Entry'!AQ$4="Logarithm",LN(0.001+IF(AND(ISNUMBER('Council Entry'!AQ$8),ISNUMBER('Council Entry'!AQ$9)),MAX(MIN('Council Entry'!AQ47,'Council Entry'!AQ$9),'Council Entry'!AQ$8),'Council Entry'!AQ47)),IF('Council Entry'!AQ$4="Exponential",EXP(IF(AND(ISNUMBER('Council Entry'!AQ$8),ISNUMBER('Council Entry'!AQ$9)),MAX(MIN('Council Entry'!AQ47,'Council Entry'!AQ$9),'Council Entry'!AQ$8),'Council Entry'!AQ47)),IF(AND(ISNUMBER('Council Entry'!AQ$8),ISNUMBER('Council Entry'!AQ$9)),MAX(MIN('Council Entry'!AQ47,'Council Entry'!AQ$9),'Council Entry'!AQ$8),'Council Entry'!AQ47))))-'Council Entry'!AQ$5)/('Council Entry'!AQ$6-'Council Entry'!AQ$5)),1))),"No data"))</f>
        <v/>
      </c>
      <c r="AR47" s="13">
        <f>IF('Council Entry'!AR47="","",IFERROR(MAX(0,MIN(10,ROUND(IF('Council Entry'!AR$7="Decrease Risk",10-10*((IF('Council Entry'!AR$4="Logarithm",LN(0.001+IF(AND(ISNUMBER('Council Entry'!AR$8),ISNUMBER('Council Entry'!AR$9)),MAX(MIN('Council Entry'!AR47,'Council Entry'!AR$9),'Council Entry'!AR$8),'Council Entry'!AR47)),IF('Council Entry'!AR$4="Exponential",EXP(IF(AND(ISNUMBER('Council Entry'!AR$8),ISNUMBER('Council Entry'!AR$9)),MAX(MIN('Council Entry'!AR47,'Council Entry'!AR$9),'Council Entry'!AR$8),'Council Entry'!AR47)),IF(AND(ISNUMBER('Council Entry'!AR$8),ISNUMBER('Council Entry'!AR$9)),MAX(MIN('Council Entry'!AR47,'Council Entry'!AR$9),'Council Entry'!AR$8),'Council Entry'!AR47))))-'Council Entry'!AR$5)/('Council Entry'!AR$6-'Council Entry'!AR$5),10*((IF('Council Entry'!AR$4="Logarithm",LN(0.001+IF(AND(ISNUMBER('Council Entry'!AR$8),ISNUMBER('Council Entry'!AR$9)),MAX(MIN('Council Entry'!AR47,'Council Entry'!AR$9),'Council Entry'!AR$8),'Council Entry'!AR47)),IF('Council Entry'!AR$4="Exponential",EXP(IF(AND(ISNUMBER('Council Entry'!AR$8),ISNUMBER('Council Entry'!AR$9)),MAX(MIN('Council Entry'!AR47,'Council Entry'!AR$9),'Council Entry'!AR$8),'Council Entry'!AR47)),IF(AND(ISNUMBER('Council Entry'!AR$8),ISNUMBER('Council Entry'!AR$9)),MAX(MIN('Council Entry'!AR47,'Council Entry'!AR$9),'Council Entry'!AR$8),'Council Entry'!AR47))))-'Council Entry'!AR$5)/('Council Entry'!AR$6-'Council Entry'!AR$5)),1))),"No data"))</f>
        <v/>
      </c>
      <c r="AS47" s="13">
        <f>IF('Council Entry'!AS47="","",IFERROR(MAX(0,MIN(10,ROUND(IF('Council Entry'!AS$7="Decrease Risk",10-10*((IF('Council Entry'!AS$4="Logarithm",LN(0.001+IF(AND(ISNUMBER('Council Entry'!AS$8),ISNUMBER('Council Entry'!AS$9)),MAX(MIN('Council Entry'!AS47,'Council Entry'!AS$9),'Council Entry'!AS$8),'Council Entry'!AS47)),IF('Council Entry'!AS$4="Exponential",EXP(IF(AND(ISNUMBER('Council Entry'!AS$8),ISNUMBER('Council Entry'!AS$9)),MAX(MIN('Council Entry'!AS47,'Council Entry'!AS$9),'Council Entry'!AS$8),'Council Entry'!AS47)),IF(AND(ISNUMBER('Council Entry'!AS$8),ISNUMBER('Council Entry'!AS$9)),MAX(MIN('Council Entry'!AS47,'Council Entry'!AS$9),'Council Entry'!AS$8),'Council Entry'!AS47))))-'Council Entry'!AS$5)/('Council Entry'!AS$6-'Council Entry'!AS$5),10*((IF('Council Entry'!AS$4="Logarithm",LN(0.001+IF(AND(ISNUMBER('Council Entry'!AS$8),ISNUMBER('Council Entry'!AS$9)),MAX(MIN('Council Entry'!AS47,'Council Entry'!AS$9),'Council Entry'!AS$8),'Council Entry'!AS47)),IF('Council Entry'!AS$4="Exponential",EXP(IF(AND(ISNUMBER('Council Entry'!AS$8),ISNUMBER('Council Entry'!AS$9)),MAX(MIN('Council Entry'!AS47,'Council Entry'!AS$9),'Council Entry'!AS$8),'Council Entry'!AS47)),IF(AND(ISNUMBER('Council Entry'!AS$8),ISNUMBER('Council Entry'!AS$9)),MAX(MIN('Council Entry'!AS47,'Council Entry'!AS$9),'Council Entry'!AS$8),'Council Entry'!AS47))))-'Council Entry'!AS$5)/('Council Entry'!AS$6-'Council Entry'!AS$5)),1))),"No data"))</f>
        <v/>
      </c>
      <c r="AT47" s="13">
        <f>IF('Council Entry'!AT47="","",IFERROR(MAX(0,MIN(10,ROUND(IF('Council Entry'!AT$7="Decrease Risk",10-10*((IF('Council Entry'!AT$4="Logarithm",LN(0.001+IF(AND(ISNUMBER('Council Entry'!AT$8),ISNUMBER('Council Entry'!AT$9)),MAX(MIN('Council Entry'!AT47,'Council Entry'!AT$9),'Council Entry'!AT$8),'Council Entry'!AT47)),IF('Council Entry'!AT$4="Exponential",EXP(IF(AND(ISNUMBER('Council Entry'!AT$8),ISNUMBER('Council Entry'!AT$9)),MAX(MIN('Council Entry'!AT47,'Council Entry'!AT$9),'Council Entry'!AT$8),'Council Entry'!AT47)),IF(AND(ISNUMBER('Council Entry'!AT$8),ISNUMBER('Council Entry'!AT$9)),MAX(MIN('Council Entry'!AT47,'Council Entry'!AT$9),'Council Entry'!AT$8),'Council Entry'!AT47))))-'Council Entry'!AT$5)/('Council Entry'!AT$6-'Council Entry'!AT$5),10*((IF('Council Entry'!AT$4="Logarithm",LN(0.001+IF(AND(ISNUMBER('Council Entry'!AT$8),ISNUMBER('Council Entry'!AT$9)),MAX(MIN('Council Entry'!AT47,'Council Entry'!AT$9),'Council Entry'!AT$8),'Council Entry'!AT47)),IF('Council Entry'!AT$4="Exponential",EXP(IF(AND(ISNUMBER('Council Entry'!AT$8),ISNUMBER('Council Entry'!AT$9)),MAX(MIN('Council Entry'!AT47,'Council Entry'!AT$9),'Council Entry'!AT$8),'Council Entry'!AT47)),IF(AND(ISNUMBER('Council Entry'!AT$8),ISNUMBER('Council Entry'!AT$9)),MAX(MIN('Council Entry'!AT47,'Council Entry'!AT$9),'Council Entry'!AT$8),'Council Entry'!AT47))))-'Council Entry'!AT$5)/('Council Entry'!AT$6-'Council Entry'!AT$5)),1))),"No data"))</f>
        <v/>
      </c>
      <c r="AU47" s="13">
        <f>IF('Council Entry'!AU47="","",IFERROR(MAX(0,MIN(10,ROUND(IF('Council Entry'!AU$7="Decrease Risk",10-10*((IF('Council Entry'!AU$4="Logarithm",LN(0.001+IF(AND(ISNUMBER('Council Entry'!AU$8),ISNUMBER('Council Entry'!AU$9)),MAX(MIN('Council Entry'!AU47,'Council Entry'!AU$9),'Council Entry'!AU$8),'Council Entry'!AU47)),IF('Council Entry'!AU$4="Exponential",EXP(IF(AND(ISNUMBER('Council Entry'!AU$8),ISNUMBER('Council Entry'!AU$9)),MAX(MIN('Council Entry'!AU47,'Council Entry'!AU$9),'Council Entry'!AU$8),'Council Entry'!AU47)),IF(AND(ISNUMBER('Council Entry'!AU$8),ISNUMBER('Council Entry'!AU$9)),MAX(MIN('Council Entry'!AU47,'Council Entry'!AU$9),'Council Entry'!AU$8),'Council Entry'!AU47))))-'Council Entry'!AU$5)/('Council Entry'!AU$6-'Council Entry'!AU$5),10*((IF('Council Entry'!AU$4="Logarithm",LN(0.001+IF(AND(ISNUMBER('Council Entry'!AU$8),ISNUMBER('Council Entry'!AU$9)),MAX(MIN('Council Entry'!AU47,'Council Entry'!AU$9),'Council Entry'!AU$8),'Council Entry'!AU47)),IF('Council Entry'!AU$4="Exponential",EXP(IF(AND(ISNUMBER('Council Entry'!AU$8),ISNUMBER('Council Entry'!AU$9)),MAX(MIN('Council Entry'!AU47,'Council Entry'!AU$9),'Council Entry'!AU$8),'Council Entry'!AU47)),IF(AND(ISNUMBER('Council Entry'!AU$8),ISNUMBER('Council Entry'!AU$9)),MAX(MIN('Council Entry'!AU47,'Council Entry'!AU$9),'Council Entry'!AU$8),'Council Entry'!AU47))))-'Council Entry'!AU$5)/('Council Entry'!AU$6-'Council Entry'!AU$5)),1))),"No data"))</f>
        <v/>
      </c>
      <c r="AV47" s="13">
        <f>IF('Council Entry'!AV47="","",IFERROR(MAX(0,MIN(10,ROUND(IF('Council Entry'!AV$7="Decrease Risk",10-10*((IF('Council Entry'!AV$4="Logarithm",LN(0.001+IF(AND(ISNUMBER('Council Entry'!AV$8),ISNUMBER('Council Entry'!AV$9)),MAX(MIN('Council Entry'!AV47,'Council Entry'!AV$9),'Council Entry'!AV$8),'Council Entry'!AV47)),IF('Council Entry'!AV$4="Exponential",EXP(IF(AND(ISNUMBER('Council Entry'!AV$8),ISNUMBER('Council Entry'!AV$9)),MAX(MIN('Council Entry'!AV47,'Council Entry'!AV$9),'Council Entry'!AV$8),'Council Entry'!AV47)),IF(AND(ISNUMBER('Council Entry'!AV$8),ISNUMBER('Council Entry'!AV$9)),MAX(MIN('Council Entry'!AV47,'Council Entry'!AV$9),'Council Entry'!AV$8),'Council Entry'!AV47))))-'Council Entry'!AV$5)/('Council Entry'!AV$6-'Council Entry'!AV$5),10*((IF('Council Entry'!AV$4="Logarithm",LN(0.001+IF(AND(ISNUMBER('Council Entry'!AV$8),ISNUMBER('Council Entry'!AV$9)),MAX(MIN('Council Entry'!AV47,'Council Entry'!AV$9),'Council Entry'!AV$8),'Council Entry'!AV47)),IF('Council Entry'!AV$4="Exponential",EXP(IF(AND(ISNUMBER('Council Entry'!AV$8),ISNUMBER('Council Entry'!AV$9)),MAX(MIN('Council Entry'!AV47,'Council Entry'!AV$9),'Council Entry'!AV$8),'Council Entry'!AV47)),IF(AND(ISNUMBER('Council Entry'!AV$8),ISNUMBER('Council Entry'!AV$9)),MAX(MIN('Council Entry'!AV47,'Council Entry'!AV$9),'Council Entry'!AV$8),'Council Entry'!AV47))))-'Council Entry'!AV$5)/('Council Entry'!AV$6-'Council Entry'!AV$5)),1))),"No data"))</f>
        <v/>
      </c>
      <c r="AW47" s="13">
        <f>IF('Council Entry'!AW47="","",IFERROR(MAX(0,MIN(10,ROUND(IF('Council Entry'!AW$7="Decrease Risk",10-10*((IF('Council Entry'!AW$4="Logarithm",LN(0.001+IF(AND(ISNUMBER('Council Entry'!AW$8),ISNUMBER('Council Entry'!AW$9)),MAX(MIN('Council Entry'!AW47,'Council Entry'!AW$9),'Council Entry'!AW$8),'Council Entry'!AW47)),IF('Council Entry'!AW$4="Exponential",EXP(IF(AND(ISNUMBER('Council Entry'!AW$8),ISNUMBER('Council Entry'!AW$9)),MAX(MIN('Council Entry'!AW47,'Council Entry'!AW$9),'Council Entry'!AW$8),'Council Entry'!AW47)),IF(AND(ISNUMBER('Council Entry'!AW$8),ISNUMBER('Council Entry'!AW$9)),MAX(MIN('Council Entry'!AW47,'Council Entry'!AW$9),'Council Entry'!AW$8),'Council Entry'!AW47))))-'Council Entry'!AW$5)/('Council Entry'!AW$6-'Council Entry'!AW$5),10*((IF('Council Entry'!AW$4="Logarithm",LN(0.001+IF(AND(ISNUMBER('Council Entry'!AW$8),ISNUMBER('Council Entry'!AW$9)),MAX(MIN('Council Entry'!AW47,'Council Entry'!AW$9),'Council Entry'!AW$8),'Council Entry'!AW47)),IF('Council Entry'!AW$4="Exponential",EXP(IF(AND(ISNUMBER('Council Entry'!AW$8),ISNUMBER('Council Entry'!AW$9)),MAX(MIN('Council Entry'!AW47,'Council Entry'!AW$9),'Council Entry'!AW$8),'Council Entry'!AW47)),IF(AND(ISNUMBER('Council Entry'!AW$8),ISNUMBER('Council Entry'!AW$9)),MAX(MIN('Council Entry'!AW47,'Council Entry'!AW$9),'Council Entry'!AW$8),'Council Entry'!AW47))))-'Council Entry'!AW$5)/('Council Entry'!AW$6-'Council Entry'!AW$5)),1))),"No data"))</f>
        <v/>
      </c>
      <c r="AX47" s="13">
        <f>IF('Council Entry'!AX47="","",IFERROR(MAX(0,MIN(10,ROUND(IF('Council Entry'!AX$7="Decrease Risk",10-10*((IF('Council Entry'!AX$4="Logarithm",LN(0.001+IF(AND(ISNUMBER('Council Entry'!AX$8),ISNUMBER('Council Entry'!AX$9)),MAX(MIN('Council Entry'!AX47,'Council Entry'!AX$9),'Council Entry'!AX$8),'Council Entry'!AX47)),IF('Council Entry'!AX$4="Exponential",EXP(IF(AND(ISNUMBER('Council Entry'!AX$8),ISNUMBER('Council Entry'!AX$9)),MAX(MIN('Council Entry'!AX47,'Council Entry'!AX$9),'Council Entry'!AX$8),'Council Entry'!AX47)),IF(AND(ISNUMBER('Council Entry'!AX$8),ISNUMBER('Council Entry'!AX$9)),MAX(MIN('Council Entry'!AX47,'Council Entry'!AX$9),'Council Entry'!AX$8),'Council Entry'!AX47))))-'Council Entry'!AX$5)/('Council Entry'!AX$6-'Council Entry'!AX$5),10*((IF('Council Entry'!AX$4="Logarithm",LN(0.001+IF(AND(ISNUMBER('Council Entry'!AX$8),ISNUMBER('Council Entry'!AX$9)),MAX(MIN('Council Entry'!AX47,'Council Entry'!AX$9),'Council Entry'!AX$8),'Council Entry'!AX47)),IF('Council Entry'!AX$4="Exponential",EXP(IF(AND(ISNUMBER('Council Entry'!AX$8),ISNUMBER('Council Entry'!AX$9)),MAX(MIN('Council Entry'!AX47,'Council Entry'!AX$9),'Council Entry'!AX$8),'Council Entry'!AX47)),IF(AND(ISNUMBER('Council Entry'!AX$8),ISNUMBER('Council Entry'!AX$9)),MAX(MIN('Council Entry'!AX47,'Council Entry'!AX$9),'Council Entry'!AX$8),'Council Entry'!AX47))))-'Council Entry'!AX$5)/('Council Entry'!AX$6-'Council Entry'!AX$5)),1))),"No data"))</f>
        <v/>
      </c>
      <c r="AY47" s="13">
        <f>IF('Council Entry'!AY47="","",IFERROR(MAX(0,MIN(10,ROUND(IF('Council Entry'!AY$7="Decrease Risk",10-10*((IF('Council Entry'!AY$4="Logarithm",LN(0.001+IF(AND(ISNUMBER('Council Entry'!AY$8),ISNUMBER('Council Entry'!AY$9)),MAX(MIN('Council Entry'!AY47,'Council Entry'!AY$9),'Council Entry'!AY$8),'Council Entry'!AY47)),IF('Council Entry'!AY$4="Exponential",EXP(IF(AND(ISNUMBER('Council Entry'!AY$8),ISNUMBER('Council Entry'!AY$9)),MAX(MIN('Council Entry'!AY47,'Council Entry'!AY$9),'Council Entry'!AY$8),'Council Entry'!AY47)),IF(AND(ISNUMBER('Council Entry'!AY$8),ISNUMBER('Council Entry'!AY$9)),MAX(MIN('Council Entry'!AY47,'Council Entry'!AY$9),'Council Entry'!AY$8),'Council Entry'!AY47))))-'Council Entry'!AY$5)/('Council Entry'!AY$6-'Council Entry'!AY$5),10*((IF('Council Entry'!AY$4="Logarithm",LN(0.001+IF(AND(ISNUMBER('Council Entry'!AY$8),ISNUMBER('Council Entry'!AY$9)),MAX(MIN('Council Entry'!AY47,'Council Entry'!AY$9),'Council Entry'!AY$8),'Council Entry'!AY47)),IF('Council Entry'!AY$4="Exponential",EXP(IF(AND(ISNUMBER('Council Entry'!AY$8),ISNUMBER('Council Entry'!AY$9)),MAX(MIN('Council Entry'!AY47,'Council Entry'!AY$9),'Council Entry'!AY$8),'Council Entry'!AY47)),IF(AND(ISNUMBER('Council Entry'!AY$8),ISNUMBER('Council Entry'!AY$9)),MAX(MIN('Council Entry'!AY47,'Council Entry'!AY$9),'Council Entry'!AY$8),'Council Entry'!AY47))))-'Council Entry'!AY$5)/('Council Entry'!AY$6-'Council Entry'!AY$5)),1))),"No data"))</f>
        <v/>
      </c>
      <c r="AZ47" s="13">
        <f>IF('Council Entry'!AZ47="","",IFERROR(MAX(0,MIN(10,ROUND(IF('Council Entry'!AZ$7="Decrease Risk",10-10*((IF('Council Entry'!AZ$4="Logarithm",LN(0.001+IF(AND(ISNUMBER('Council Entry'!AZ$8),ISNUMBER('Council Entry'!AZ$9)),MAX(MIN('Council Entry'!AZ47,'Council Entry'!AZ$9),'Council Entry'!AZ$8),'Council Entry'!AZ47)),IF('Council Entry'!AZ$4="Exponential",EXP(IF(AND(ISNUMBER('Council Entry'!AZ$8),ISNUMBER('Council Entry'!AZ$9)),MAX(MIN('Council Entry'!AZ47,'Council Entry'!AZ$9),'Council Entry'!AZ$8),'Council Entry'!AZ47)),IF(AND(ISNUMBER('Council Entry'!AZ$8),ISNUMBER('Council Entry'!AZ$9)),MAX(MIN('Council Entry'!AZ47,'Council Entry'!AZ$9),'Council Entry'!AZ$8),'Council Entry'!AZ47))))-'Council Entry'!AZ$5)/('Council Entry'!AZ$6-'Council Entry'!AZ$5),10*((IF('Council Entry'!AZ$4="Logarithm",LN(0.001+IF(AND(ISNUMBER('Council Entry'!AZ$8),ISNUMBER('Council Entry'!AZ$9)),MAX(MIN('Council Entry'!AZ47,'Council Entry'!AZ$9),'Council Entry'!AZ$8),'Council Entry'!AZ47)),IF('Council Entry'!AZ$4="Exponential",EXP(IF(AND(ISNUMBER('Council Entry'!AZ$8),ISNUMBER('Council Entry'!AZ$9)),MAX(MIN('Council Entry'!AZ47,'Council Entry'!AZ$9),'Council Entry'!AZ$8),'Council Entry'!AZ47)),IF(AND(ISNUMBER('Council Entry'!AZ$8),ISNUMBER('Council Entry'!AZ$9)),MAX(MIN('Council Entry'!AZ47,'Council Entry'!AZ$9),'Council Entry'!AZ$8),'Council Entry'!AZ47))))-'Council Entry'!AZ$5)/('Council Entry'!AZ$6-'Council Entry'!AZ$5)),1))),"No data"))</f>
        <v/>
      </c>
      <c r="BA47" s="13">
        <f>IF('Council Entry'!BA47="","",IFERROR(MAX(0,MIN(10,ROUND(IF('Council Entry'!BA$7="Decrease Risk",10-10*((IF('Council Entry'!BA$4="Logarithm",LN(0.001+IF(AND(ISNUMBER('Council Entry'!BA$8),ISNUMBER('Council Entry'!BA$9)),MAX(MIN('Council Entry'!BA47,'Council Entry'!BA$9),'Council Entry'!BA$8),'Council Entry'!BA47)),IF('Council Entry'!BA$4="Exponential",EXP(IF(AND(ISNUMBER('Council Entry'!BA$8),ISNUMBER('Council Entry'!BA$9)),MAX(MIN('Council Entry'!BA47,'Council Entry'!BA$9),'Council Entry'!BA$8),'Council Entry'!BA47)),IF(AND(ISNUMBER('Council Entry'!BA$8),ISNUMBER('Council Entry'!BA$9)),MAX(MIN('Council Entry'!BA47,'Council Entry'!BA$9),'Council Entry'!BA$8),'Council Entry'!BA47))))-'Council Entry'!BA$5)/('Council Entry'!BA$6-'Council Entry'!BA$5),10*((IF('Council Entry'!BA$4="Logarithm",LN(0.001+IF(AND(ISNUMBER('Council Entry'!BA$8),ISNUMBER('Council Entry'!BA$9)),MAX(MIN('Council Entry'!BA47,'Council Entry'!BA$9),'Council Entry'!BA$8),'Council Entry'!BA47)),IF('Council Entry'!BA$4="Exponential",EXP(IF(AND(ISNUMBER('Council Entry'!BA$8),ISNUMBER('Council Entry'!BA$9)),MAX(MIN('Council Entry'!BA47,'Council Entry'!BA$9),'Council Entry'!BA$8),'Council Entry'!BA47)),IF(AND(ISNUMBER('Council Entry'!BA$8),ISNUMBER('Council Entry'!BA$9)),MAX(MIN('Council Entry'!BA47,'Council Entry'!BA$9),'Council Entry'!BA$8),'Council Entry'!BA47))))-'Council Entry'!BA$5)/('Council Entry'!BA$6-'Council Entry'!BA$5)),1))),"No data"))</f>
        <v/>
      </c>
      <c r="BB47" s="13">
        <f>IF('Council Entry'!BB47="","",IFERROR(MAX(0,MIN(10,ROUND(IF('Council Entry'!BB$7="Decrease Risk",10-10*((IF('Council Entry'!BB$4="Logarithm",LN(0.001+IF(AND(ISNUMBER('Council Entry'!BB$8),ISNUMBER('Council Entry'!BB$9)),MAX(MIN('Council Entry'!BB47,'Council Entry'!BB$9),'Council Entry'!BB$8),'Council Entry'!BB47)),IF('Council Entry'!BB$4="Exponential",EXP(IF(AND(ISNUMBER('Council Entry'!BB$8),ISNUMBER('Council Entry'!BB$9)),MAX(MIN('Council Entry'!BB47,'Council Entry'!BB$9),'Council Entry'!BB$8),'Council Entry'!BB47)),IF(AND(ISNUMBER('Council Entry'!BB$8),ISNUMBER('Council Entry'!BB$9)),MAX(MIN('Council Entry'!BB47,'Council Entry'!BB$9),'Council Entry'!BB$8),'Council Entry'!BB47))))-'Council Entry'!BB$5)/('Council Entry'!BB$6-'Council Entry'!BB$5),10*((IF('Council Entry'!BB$4="Logarithm",LN(0.001+IF(AND(ISNUMBER('Council Entry'!BB$8),ISNUMBER('Council Entry'!BB$9)),MAX(MIN('Council Entry'!BB47,'Council Entry'!BB$9),'Council Entry'!BB$8),'Council Entry'!BB47)),IF('Council Entry'!BB$4="Exponential",EXP(IF(AND(ISNUMBER('Council Entry'!BB$8),ISNUMBER('Council Entry'!BB$9)),MAX(MIN('Council Entry'!BB47,'Council Entry'!BB$9),'Council Entry'!BB$8),'Council Entry'!BB47)),IF(AND(ISNUMBER('Council Entry'!BB$8),ISNUMBER('Council Entry'!BB$9)),MAX(MIN('Council Entry'!BB47,'Council Entry'!BB$9),'Council Entry'!BB$8),'Council Entry'!BB47))))-'Council Entry'!BB$5)/('Council Entry'!BB$6-'Council Entry'!BB$5)),1))),"No data"))</f>
        <v/>
      </c>
      <c r="BC47" s="13">
        <f>IF('Council Entry'!BC47="","",IFERROR(MAX(0,MIN(10,ROUND(IF('Council Entry'!BC$7="Decrease Risk",10-10*((IF('Council Entry'!BC$4="Logarithm",LN(0.001+IF(AND(ISNUMBER('Council Entry'!BC$8),ISNUMBER('Council Entry'!BC$9)),MAX(MIN('Council Entry'!BC47,'Council Entry'!BC$9),'Council Entry'!BC$8),'Council Entry'!BC47)),IF('Council Entry'!BC$4="Exponential",EXP(IF(AND(ISNUMBER('Council Entry'!BC$8),ISNUMBER('Council Entry'!BC$9)),MAX(MIN('Council Entry'!BC47,'Council Entry'!BC$9),'Council Entry'!BC$8),'Council Entry'!BC47)),IF(AND(ISNUMBER('Council Entry'!BC$8),ISNUMBER('Council Entry'!BC$9)),MAX(MIN('Council Entry'!BC47,'Council Entry'!BC$9),'Council Entry'!BC$8),'Council Entry'!BC47))))-'Council Entry'!BC$5)/('Council Entry'!BC$6-'Council Entry'!BC$5),10*((IF('Council Entry'!BC$4="Logarithm",LN(0.001+IF(AND(ISNUMBER('Council Entry'!BC$8),ISNUMBER('Council Entry'!BC$9)),MAX(MIN('Council Entry'!BC47,'Council Entry'!BC$9),'Council Entry'!BC$8),'Council Entry'!BC47)),IF('Council Entry'!BC$4="Exponential",EXP(IF(AND(ISNUMBER('Council Entry'!BC$8),ISNUMBER('Council Entry'!BC$9)),MAX(MIN('Council Entry'!BC47,'Council Entry'!BC$9),'Council Entry'!BC$8),'Council Entry'!BC47)),IF(AND(ISNUMBER('Council Entry'!BC$8),ISNUMBER('Council Entry'!BC$9)),MAX(MIN('Council Entry'!BC47,'Council Entry'!BC$9),'Council Entry'!BC$8),'Council Entry'!BC47))))-'Council Entry'!BC$5)/('Council Entry'!BC$6-'Council Entry'!BC$5)),1))),"No data"))</f>
        <v/>
      </c>
      <c r="BD47" s="13">
        <f>IF('Council Entry'!BD47="","",IFERROR(MAX(0,MIN(10,ROUND(IF('Council Entry'!BD$7="Decrease Risk",10-10*((IF('Council Entry'!BD$4="Logarithm",LN(0.001+IF(AND(ISNUMBER('Council Entry'!BD$8),ISNUMBER('Council Entry'!BD$9)),MAX(MIN('Council Entry'!BD47,'Council Entry'!BD$9),'Council Entry'!BD$8),'Council Entry'!BD47)),IF('Council Entry'!BD$4="Exponential",EXP(IF(AND(ISNUMBER('Council Entry'!BD$8),ISNUMBER('Council Entry'!BD$9)),MAX(MIN('Council Entry'!BD47,'Council Entry'!BD$9),'Council Entry'!BD$8),'Council Entry'!BD47)),IF(AND(ISNUMBER('Council Entry'!BD$8),ISNUMBER('Council Entry'!BD$9)),MAX(MIN('Council Entry'!BD47,'Council Entry'!BD$9),'Council Entry'!BD$8),'Council Entry'!BD47))))-'Council Entry'!BD$5)/('Council Entry'!BD$6-'Council Entry'!BD$5),10*((IF('Council Entry'!BD$4="Logarithm",LN(0.001+IF(AND(ISNUMBER('Council Entry'!BD$8),ISNUMBER('Council Entry'!BD$9)),MAX(MIN('Council Entry'!BD47,'Council Entry'!BD$9),'Council Entry'!BD$8),'Council Entry'!BD47)),IF('Council Entry'!BD$4="Exponential",EXP(IF(AND(ISNUMBER('Council Entry'!BD$8),ISNUMBER('Council Entry'!BD$9)),MAX(MIN('Council Entry'!BD47,'Council Entry'!BD$9),'Council Entry'!BD$8),'Council Entry'!BD47)),IF(AND(ISNUMBER('Council Entry'!BD$8),ISNUMBER('Council Entry'!BD$9)),MAX(MIN('Council Entry'!BD47,'Council Entry'!BD$9),'Council Entry'!BD$8),'Council Entry'!BD47))))-'Council Entry'!BD$5)/('Council Entry'!BD$6-'Council Entry'!BD$5)),1))),"No data"))</f>
        <v/>
      </c>
    </row>
    <row r="48">
      <c r="A48" t="inlineStr">
        <is>
          <t>Kagera</t>
        </is>
      </c>
      <c r="B48" t="inlineStr">
        <is>
          <t>Muleba District</t>
        </is>
      </c>
      <c r="C48" t="inlineStr">
        <is>
          <t>C128</t>
        </is>
      </c>
      <c r="D48" s="13">
        <f>IF('Council Entry'!D48="","",IFERROR(MAX(0,MIN(10,ROUND(IF('Council Entry'!D$7="Decrease Risk",10-10*((IF('Council Entry'!D$4="Logarithm",LN(0.001+IF(AND(ISNUMBER('Council Entry'!D$8),ISNUMBER('Council Entry'!D$9)),MAX(MIN('Council Entry'!D48,'Council Entry'!D$9),'Council Entry'!D$8),'Council Entry'!D48)),IF('Council Entry'!D$4="Exponential",EXP(IF(AND(ISNUMBER('Council Entry'!D$8),ISNUMBER('Council Entry'!D$9)),MAX(MIN('Council Entry'!D48,'Council Entry'!D$9),'Council Entry'!D$8),'Council Entry'!D48)),IF(AND(ISNUMBER('Council Entry'!D$8),ISNUMBER('Council Entry'!D$9)),MAX(MIN('Council Entry'!D48,'Council Entry'!D$9),'Council Entry'!D$8),'Council Entry'!D48))))-'Council Entry'!D$5)/('Council Entry'!D$6-'Council Entry'!D$5),10*((IF('Council Entry'!D$4="Logarithm",LN(0.001+IF(AND(ISNUMBER('Council Entry'!D$8),ISNUMBER('Council Entry'!D$9)),MAX(MIN('Council Entry'!D48,'Council Entry'!D$9),'Council Entry'!D$8),'Council Entry'!D48)),IF('Council Entry'!D$4="Exponential",EXP(IF(AND(ISNUMBER('Council Entry'!D$8),ISNUMBER('Council Entry'!D$9)),MAX(MIN('Council Entry'!D48,'Council Entry'!D$9),'Council Entry'!D$8),'Council Entry'!D48)),IF(AND(ISNUMBER('Council Entry'!D$8),ISNUMBER('Council Entry'!D$9)),MAX(MIN('Council Entry'!D48,'Council Entry'!D$9),'Council Entry'!D$8),'Council Entry'!D48))))-'Council Entry'!D$5)/('Council Entry'!D$6-'Council Entry'!D$5)),1))),"No data"))</f>
        <v/>
      </c>
      <c r="E48" s="13">
        <f>IF('Council Entry'!E48="","",IFERROR(MAX(0,MIN(10,ROUND(IF('Council Entry'!E$7="Decrease Risk",10-10*((IF('Council Entry'!E$4="Logarithm",LN(0.001+IF(AND(ISNUMBER('Council Entry'!E$8),ISNUMBER('Council Entry'!E$9)),MAX(MIN('Council Entry'!E48,'Council Entry'!E$9),'Council Entry'!E$8),'Council Entry'!E48)),IF('Council Entry'!E$4="Exponential",EXP(IF(AND(ISNUMBER('Council Entry'!E$8),ISNUMBER('Council Entry'!E$9)),MAX(MIN('Council Entry'!E48,'Council Entry'!E$9),'Council Entry'!E$8),'Council Entry'!E48)),IF(AND(ISNUMBER('Council Entry'!E$8),ISNUMBER('Council Entry'!E$9)),MAX(MIN('Council Entry'!E48,'Council Entry'!E$9),'Council Entry'!E$8),'Council Entry'!E48))))-'Council Entry'!E$5)/('Council Entry'!E$6-'Council Entry'!E$5),10*((IF('Council Entry'!E$4="Logarithm",LN(0.001+IF(AND(ISNUMBER('Council Entry'!E$8),ISNUMBER('Council Entry'!E$9)),MAX(MIN('Council Entry'!E48,'Council Entry'!E$9),'Council Entry'!E$8),'Council Entry'!E48)),IF('Council Entry'!E$4="Exponential",EXP(IF(AND(ISNUMBER('Council Entry'!E$8),ISNUMBER('Council Entry'!E$9)),MAX(MIN('Council Entry'!E48,'Council Entry'!E$9),'Council Entry'!E$8),'Council Entry'!E48)),IF(AND(ISNUMBER('Council Entry'!E$8),ISNUMBER('Council Entry'!E$9)),MAX(MIN('Council Entry'!E48,'Council Entry'!E$9),'Council Entry'!E$8),'Council Entry'!E48))))-'Council Entry'!E$5)/('Council Entry'!E$6-'Council Entry'!E$5)),1))),"No data"))</f>
        <v/>
      </c>
      <c r="F48" s="13">
        <f>IF('Council Entry'!F48="","",IFERROR(MAX(0,MIN(10,ROUND(IF('Council Entry'!F$7="Decrease Risk",10-10*((IF('Council Entry'!F$4="Logarithm",LN(0.001+IF(AND(ISNUMBER('Council Entry'!F$8),ISNUMBER('Council Entry'!F$9)),MAX(MIN('Council Entry'!F48,'Council Entry'!F$9),'Council Entry'!F$8),'Council Entry'!F48)),IF('Council Entry'!F$4="Exponential",EXP(IF(AND(ISNUMBER('Council Entry'!F$8),ISNUMBER('Council Entry'!F$9)),MAX(MIN('Council Entry'!F48,'Council Entry'!F$9),'Council Entry'!F$8),'Council Entry'!F48)),IF(AND(ISNUMBER('Council Entry'!F$8),ISNUMBER('Council Entry'!F$9)),MAX(MIN('Council Entry'!F48,'Council Entry'!F$9),'Council Entry'!F$8),'Council Entry'!F48))))-'Council Entry'!F$5)/('Council Entry'!F$6-'Council Entry'!F$5),10*((IF('Council Entry'!F$4="Logarithm",LN(0.001+IF(AND(ISNUMBER('Council Entry'!F$8),ISNUMBER('Council Entry'!F$9)),MAX(MIN('Council Entry'!F48,'Council Entry'!F$9),'Council Entry'!F$8),'Council Entry'!F48)),IF('Council Entry'!F$4="Exponential",EXP(IF(AND(ISNUMBER('Council Entry'!F$8),ISNUMBER('Council Entry'!F$9)),MAX(MIN('Council Entry'!F48,'Council Entry'!F$9),'Council Entry'!F$8),'Council Entry'!F48)),IF(AND(ISNUMBER('Council Entry'!F$8),ISNUMBER('Council Entry'!F$9)),MAX(MIN('Council Entry'!F48,'Council Entry'!F$9),'Council Entry'!F$8),'Council Entry'!F48))))-'Council Entry'!F$5)/('Council Entry'!F$6-'Council Entry'!F$5)),1))),"No data"))</f>
        <v/>
      </c>
      <c r="G48" s="13">
        <f>IF('Council Entry'!G48="","",IFERROR(MAX(0,MIN(10,ROUND(IF('Council Entry'!G$7="Decrease Risk",10-10*((IF('Council Entry'!G$4="Logarithm",LN(0.001+IF(AND(ISNUMBER('Council Entry'!G$8),ISNUMBER('Council Entry'!G$9)),MAX(MIN('Council Entry'!G48,'Council Entry'!G$9),'Council Entry'!G$8),'Council Entry'!G48)),IF('Council Entry'!G$4="Exponential",EXP(IF(AND(ISNUMBER('Council Entry'!G$8),ISNUMBER('Council Entry'!G$9)),MAX(MIN('Council Entry'!G48,'Council Entry'!G$9),'Council Entry'!G$8),'Council Entry'!G48)),IF(AND(ISNUMBER('Council Entry'!G$8),ISNUMBER('Council Entry'!G$9)),MAX(MIN('Council Entry'!G48,'Council Entry'!G$9),'Council Entry'!G$8),'Council Entry'!G48))))-'Council Entry'!G$5)/('Council Entry'!G$6-'Council Entry'!G$5),10*((IF('Council Entry'!G$4="Logarithm",LN(0.001+IF(AND(ISNUMBER('Council Entry'!G$8),ISNUMBER('Council Entry'!G$9)),MAX(MIN('Council Entry'!G48,'Council Entry'!G$9),'Council Entry'!G$8),'Council Entry'!G48)),IF('Council Entry'!G$4="Exponential",EXP(IF(AND(ISNUMBER('Council Entry'!G$8),ISNUMBER('Council Entry'!G$9)),MAX(MIN('Council Entry'!G48,'Council Entry'!G$9),'Council Entry'!G$8),'Council Entry'!G48)),IF(AND(ISNUMBER('Council Entry'!G$8),ISNUMBER('Council Entry'!G$9)),MAX(MIN('Council Entry'!G48,'Council Entry'!G$9),'Council Entry'!G$8),'Council Entry'!G48))))-'Council Entry'!G$5)/('Council Entry'!G$6-'Council Entry'!G$5)),1))),"No data"))</f>
        <v/>
      </c>
      <c r="H48" s="13">
        <f>IF('Council Entry'!H48="","",IFERROR(MAX(0,MIN(10,ROUND(IF('Council Entry'!H$7="Decrease Risk",10-10*((IF('Council Entry'!H$4="Logarithm",LN(0.001+IF(AND(ISNUMBER('Council Entry'!H$8),ISNUMBER('Council Entry'!H$9)),MAX(MIN('Council Entry'!H48,'Council Entry'!H$9),'Council Entry'!H$8),'Council Entry'!H48)),IF('Council Entry'!H$4="Exponential",EXP(IF(AND(ISNUMBER('Council Entry'!H$8),ISNUMBER('Council Entry'!H$9)),MAX(MIN('Council Entry'!H48,'Council Entry'!H$9),'Council Entry'!H$8),'Council Entry'!H48)),IF(AND(ISNUMBER('Council Entry'!H$8),ISNUMBER('Council Entry'!H$9)),MAX(MIN('Council Entry'!H48,'Council Entry'!H$9),'Council Entry'!H$8),'Council Entry'!H48))))-'Council Entry'!H$5)/('Council Entry'!H$6-'Council Entry'!H$5),10*((IF('Council Entry'!H$4="Logarithm",LN(0.001+IF(AND(ISNUMBER('Council Entry'!H$8),ISNUMBER('Council Entry'!H$9)),MAX(MIN('Council Entry'!H48,'Council Entry'!H$9),'Council Entry'!H$8),'Council Entry'!H48)),IF('Council Entry'!H$4="Exponential",EXP(IF(AND(ISNUMBER('Council Entry'!H$8),ISNUMBER('Council Entry'!H$9)),MAX(MIN('Council Entry'!H48,'Council Entry'!H$9),'Council Entry'!H$8),'Council Entry'!H48)),IF(AND(ISNUMBER('Council Entry'!H$8),ISNUMBER('Council Entry'!H$9)),MAX(MIN('Council Entry'!H48,'Council Entry'!H$9),'Council Entry'!H$8),'Council Entry'!H48))))-'Council Entry'!H$5)/('Council Entry'!H$6-'Council Entry'!H$5)),1))),"No data"))</f>
        <v/>
      </c>
      <c r="I48" s="13">
        <f>IF('Council Entry'!I48="","",IFERROR(MAX(0,MIN(10,ROUND(IF('Council Entry'!I$7="Decrease Risk",10-10*((IF('Council Entry'!I$4="Logarithm",LN(0.001+IF(AND(ISNUMBER('Council Entry'!I$8),ISNUMBER('Council Entry'!I$9)),MAX(MIN('Council Entry'!I48,'Council Entry'!I$9),'Council Entry'!I$8),'Council Entry'!I48)),IF('Council Entry'!I$4="Exponential",EXP(IF(AND(ISNUMBER('Council Entry'!I$8),ISNUMBER('Council Entry'!I$9)),MAX(MIN('Council Entry'!I48,'Council Entry'!I$9),'Council Entry'!I$8),'Council Entry'!I48)),IF(AND(ISNUMBER('Council Entry'!I$8),ISNUMBER('Council Entry'!I$9)),MAX(MIN('Council Entry'!I48,'Council Entry'!I$9),'Council Entry'!I$8),'Council Entry'!I48))))-'Council Entry'!I$5)/('Council Entry'!I$6-'Council Entry'!I$5),10*((IF('Council Entry'!I$4="Logarithm",LN(0.001+IF(AND(ISNUMBER('Council Entry'!I$8),ISNUMBER('Council Entry'!I$9)),MAX(MIN('Council Entry'!I48,'Council Entry'!I$9),'Council Entry'!I$8),'Council Entry'!I48)),IF('Council Entry'!I$4="Exponential",EXP(IF(AND(ISNUMBER('Council Entry'!I$8),ISNUMBER('Council Entry'!I$9)),MAX(MIN('Council Entry'!I48,'Council Entry'!I$9),'Council Entry'!I$8),'Council Entry'!I48)),IF(AND(ISNUMBER('Council Entry'!I$8),ISNUMBER('Council Entry'!I$9)),MAX(MIN('Council Entry'!I48,'Council Entry'!I$9),'Council Entry'!I$8),'Council Entry'!I48))))-'Council Entry'!I$5)/('Council Entry'!I$6-'Council Entry'!I$5)),1))),"No data"))</f>
        <v/>
      </c>
      <c r="J48" s="13">
        <f>IF('Council Entry'!J48="","",IFERROR(MAX(0,MIN(10,ROUND(IF('Council Entry'!J$7="Decrease Risk",10-10*((IF('Council Entry'!J$4="Logarithm",LN(0.001+IF(AND(ISNUMBER('Council Entry'!J$8),ISNUMBER('Council Entry'!J$9)),MAX(MIN('Council Entry'!J48,'Council Entry'!J$9),'Council Entry'!J$8),'Council Entry'!J48)),IF('Council Entry'!J$4="Exponential",EXP(IF(AND(ISNUMBER('Council Entry'!J$8),ISNUMBER('Council Entry'!J$9)),MAX(MIN('Council Entry'!J48,'Council Entry'!J$9),'Council Entry'!J$8),'Council Entry'!J48)),IF(AND(ISNUMBER('Council Entry'!J$8),ISNUMBER('Council Entry'!J$9)),MAX(MIN('Council Entry'!J48,'Council Entry'!J$9),'Council Entry'!J$8),'Council Entry'!J48))))-'Council Entry'!J$5)/('Council Entry'!J$6-'Council Entry'!J$5),10*((IF('Council Entry'!J$4="Logarithm",LN(0.001+IF(AND(ISNUMBER('Council Entry'!J$8),ISNUMBER('Council Entry'!J$9)),MAX(MIN('Council Entry'!J48,'Council Entry'!J$9),'Council Entry'!J$8),'Council Entry'!J48)),IF('Council Entry'!J$4="Exponential",EXP(IF(AND(ISNUMBER('Council Entry'!J$8),ISNUMBER('Council Entry'!J$9)),MAX(MIN('Council Entry'!J48,'Council Entry'!J$9),'Council Entry'!J$8),'Council Entry'!J48)),IF(AND(ISNUMBER('Council Entry'!J$8),ISNUMBER('Council Entry'!J$9)),MAX(MIN('Council Entry'!J48,'Council Entry'!J$9),'Council Entry'!J$8),'Council Entry'!J48))))-'Council Entry'!J$5)/('Council Entry'!J$6-'Council Entry'!J$5)),1))),"No data"))</f>
        <v/>
      </c>
      <c r="K48" s="13">
        <f>IF('Council Entry'!K48="","",IFERROR(MAX(0,MIN(10,ROUND(IF('Council Entry'!K$7="Decrease Risk",10-10*((IF('Council Entry'!K$4="Logarithm",LN(0.001+IF(AND(ISNUMBER('Council Entry'!K$8),ISNUMBER('Council Entry'!K$9)),MAX(MIN('Council Entry'!K48,'Council Entry'!K$9),'Council Entry'!K$8),'Council Entry'!K48)),IF('Council Entry'!K$4="Exponential",EXP(IF(AND(ISNUMBER('Council Entry'!K$8),ISNUMBER('Council Entry'!K$9)),MAX(MIN('Council Entry'!K48,'Council Entry'!K$9),'Council Entry'!K$8),'Council Entry'!K48)),IF(AND(ISNUMBER('Council Entry'!K$8),ISNUMBER('Council Entry'!K$9)),MAX(MIN('Council Entry'!K48,'Council Entry'!K$9),'Council Entry'!K$8),'Council Entry'!K48))))-'Council Entry'!K$5)/('Council Entry'!K$6-'Council Entry'!K$5),10*((IF('Council Entry'!K$4="Logarithm",LN(0.001+IF(AND(ISNUMBER('Council Entry'!K$8),ISNUMBER('Council Entry'!K$9)),MAX(MIN('Council Entry'!K48,'Council Entry'!K$9),'Council Entry'!K$8),'Council Entry'!K48)),IF('Council Entry'!K$4="Exponential",EXP(IF(AND(ISNUMBER('Council Entry'!K$8),ISNUMBER('Council Entry'!K$9)),MAX(MIN('Council Entry'!K48,'Council Entry'!K$9),'Council Entry'!K$8),'Council Entry'!K48)),IF(AND(ISNUMBER('Council Entry'!K$8),ISNUMBER('Council Entry'!K$9)),MAX(MIN('Council Entry'!K48,'Council Entry'!K$9),'Council Entry'!K$8),'Council Entry'!K48))))-'Council Entry'!K$5)/('Council Entry'!K$6-'Council Entry'!K$5)),1))),"No data"))</f>
        <v/>
      </c>
      <c r="L48" s="13">
        <f>IF('Council Entry'!L48="","",IFERROR(MAX(0,MIN(10,ROUND(IF('Council Entry'!L$7="Decrease Risk",10-10*((IF('Council Entry'!L$4="Logarithm",LN(0.001+IF(AND(ISNUMBER('Council Entry'!L$8),ISNUMBER('Council Entry'!L$9)),MAX(MIN('Council Entry'!L48,'Council Entry'!L$9),'Council Entry'!L$8),'Council Entry'!L48)),IF('Council Entry'!L$4="Exponential",EXP(IF(AND(ISNUMBER('Council Entry'!L$8),ISNUMBER('Council Entry'!L$9)),MAX(MIN('Council Entry'!L48,'Council Entry'!L$9),'Council Entry'!L$8),'Council Entry'!L48)),IF(AND(ISNUMBER('Council Entry'!L$8),ISNUMBER('Council Entry'!L$9)),MAX(MIN('Council Entry'!L48,'Council Entry'!L$9),'Council Entry'!L$8),'Council Entry'!L48))))-'Council Entry'!L$5)/('Council Entry'!L$6-'Council Entry'!L$5),10*((IF('Council Entry'!L$4="Logarithm",LN(0.001+IF(AND(ISNUMBER('Council Entry'!L$8),ISNUMBER('Council Entry'!L$9)),MAX(MIN('Council Entry'!L48,'Council Entry'!L$9),'Council Entry'!L$8),'Council Entry'!L48)),IF('Council Entry'!L$4="Exponential",EXP(IF(AND(ISNUMBER('Council Entry'!L$8),ISNUMBER('Council Entry'!L$9)),MAX(MIN('Council Entry'!L48,'Council Entry'!L$9),'Council Entry'!L$8),'Council Entry'!L48)),IF(AND(ISNUMBER('Council Entry'!L$8),ISNUMBER('Council Entry'!L$9)),MAX(MIN('Council Entry'!L48,'Council Entry'!L$9),'Council Entry'!L$8),'Council Entry'!L48))))-'Council Entry'!L$5)/('Council Entry'!L$6-'Council Entry'!L$5)),1))),"No data"))</f>
        <v/>
      </c>
      <c r="M48" s="13">
        <f>IF('Council Entry'!M48="","",IFERROR(MAX(0,MIN(10,ROUND(IF('Council Entry'!M$7="Decrease Risk",10-10*((IF('Council Entry'!M$4="Logarithm",LN(0.001+IF(AND(ISNUMBER('Council Entry'!M$8),ISNUMBER('Council Entry'!M$9)),MAX(MIN('Council Entry'!M48,'Council Entry'!M$9),'Council Entry'!M$8),'Council Entry'!M48)),IF('Council Entry'!M$4="Exponential",EXP(IF(AND(ISNUMBER('Council Entry'!M$8),ISNUMBER('Council Entry'!M$9)),MAX(MIN('Council Entry'!M48,'Council Entry'!M$9),'Council Entry'!M$8),'Council Entry'!M48)),IF(AND(ISNUMBER('Council Entry'!M$8),ISNUMBER('Council Entry'!M$9)),MAX(MIN('Council Entry'!M48,'Council Entry'!M$9),'Council Entry'!M$8),'Council Entry'!M48))))-'Council Entry'!M$5)/('Council Entry'!M$6-'Council Entry'!M$5),10*((IF('Council Entry'!M$4="Logarithm",LN(0.001+IF(AND(ISNUMBER('Council Entry'!M$8),ISNUMBER('Council Entry'!M$9)),MAX(MIN('Council Entry'!M48,'Council Entry'!M$9),'Council Entry'!M$8),'Council Entry'!M48)),IF('Council Entry'!M$4="Exponential",EXP(IF(AND(ISNUMBER('Council Entry'!M$8),ISNUMBER('Council Entry'!M$9)),MAX(MIN('Council Entry'!M48,'Council Entry'!M$9),'Council Entry'!M$8),'Council Entry'!M48)),IF(AND(ISNUMBER('Council Entry'!M$8),ISNUMBER('Council Entry'!M$9)),MAX(MIN('Council Entry'!M48,'Council Entry'!M$9),'Council Entry'!M$8),'Council Entry'!M48))))-'Council Entry'!M$5)/('Council Entry'!M$6-'Council Entry'!M$5)),1))),"No data"))</f>
        <v/>
      </c>
      <c r="N48" s="13">
        <f>IF('Council Entry'!N48="","",IFERROR(MAX(0,MIN(10,ROUND(IF('Council Entry'!N$7="Decrease Risk",10-10*((IF('Council Entry'!N$4="Logarithm",LN(0.001+IF(AND(ISNUMBER('Council Entry'!N$8),ISNUMBER('Council Entry'!N$9)),MAX(MIN('Council Entry'!N48,'Council Entry'!N$9),'Council Entry'!N$8),'Council Entry'!N48)),IF('Council Entry'!N$4="Exponential",EXP(IF(AND(ISNUMBER('Council Entry'!N$8),ISNUMBER('Council Entry'!N$9)),MAX(MIN('Council Entry'!N48,'Council Entry'!N$9),'Council Entry'!N$8),'Council Entry'!N48)),IF(AND(ISNUMBER('Council Entry'!N$8),ISNUMBER('Council Entry'!N$9)),MAX(MIN('Council Entry'!N48,'Council Entry'!N$9),'Council Entry'!N$8),'Council Entry'!N48))))-'Council Entry'!N$5)/('Council Entry'!N$6-'Council Entry'!N$5),10*((IF('Council Entry'!N$4="Logarithm",LN(0.001+IF(AND(ISNUMBER('Council Entry'!N$8),ISNUMBER('Council Entry'!N$9)),MAX(MIN('Council Entry'!N48,'Council Entry'!N$9),'Council Entry'!N$8),'Council Entry'!N48)),IF('Council Entry'!N$4="Exponential",EXP(IF(AND(ISNUMBER('Council Entry'!N$8),ISNUMBER('Council Entry'!N$9)),MAX(MIN('Council Entry'!N48,'Council Entry'!N$9),'Council Entry'!N$8),'Council Entry'!N48)),IF(AND(ISNUMBER('Council Entry'!N$8),ISNUMBER('Council Entry'!N$9)),MAX(MIN('Council Entry'!N48,'Council Entry'!N$9),'Council Entry'!N$8),'Council Entry'!N48))))-'Council Entry'!N$5)/('Council Entry'!N$6-'Council Entry'!N$5)),1))),"No data"))</f>
        <v/>
      </c>
      <c r="O48" s="13">
        <f>IF('Council Entry'!O48="","",IFERROR(MAX(0,MIN(10,ROUND(IF('Council Entry'!O$7="Decrease Risk",10-10*((IF('Council Entry'!O$4="Logarithm",LN(0.001+IF(AND(ISNUMBER('Council Entry'!O$8),ISNUMBER('Council Entry'!O$9)),MAX(MIN('Council Entry'!O48,'Council Entry'!O$9),'Council Entry'!O$8),'Council Entry'!O48)),IF('Council Entry'!O$4="Exponential",EXP(IF(AND(ISNUMBER('Council Entry'!O$8),ISNUMBER('Council Entry'!O$9)),MAX(MIN('Council Entry'!O48,'Council Entry'!O$9),'Council Entry'!O$8),'Council Entry'!O48)),IF(AND(ISNUMBER('Council Entry'!O$8),ISNUMBER('Council Entry'!O$9)),MAX(MIN('Council Entry'!O48,'Council Entry'!O$9),'Council Entry'!O$8),'Council Entry'!O48))))-'Council Entry'!O$5)/('Council Entry'!O$6-'Council Entry'!O$5),10*((IF('Council Entry'!O$4="Logarithm",LN(0.001+IF(AND(ISNUMBER('Council Entry'!O$8),ISNUMBER('Council Entry'!O$9)),MAX(MIN('Council Entry'!O48,'Council Entry'!O$9),'Council Entry'!O$8),'Council Entry'!O48)),IF('Council Entry'!O$4="Exponential",EXP(IF(AND(ISNUMBER('Council Entry'!O$8),ISNUMBER('Council Entry'!O$9)),MAX(MIN('Council Entry'!O48,'Council Entry'!O$9),'Council Entry'!O$8),'Council Entry'!O48)),IF(AND(ISNUMBER('Council Entry'!O$8),ISNUMBER('Council Entry'!O$9)),MAX(MIN('Council Entry'!O48,'Council Entry'!O$9),'Council Entry'!O$8),'Council Entry'!O48))))-'Council Entry'!O$5)/('Council Entry'!O$6-'Council Entry'!O$5)),1))),"No data"))</f>
        <v/>
      </c>
      <c r="P48" s="13">
        <f>IF('Council Entry'!P48="","",IFERROR(MAX(0,MIN(10,ROUND(IF('Council Entry'!P$7="Decrease Risk",10-10*((IF('Council Entry'!P$4="Logarithm",LN(0.001+IF(AND(ISNUMBER('Council Entry'!P$8),ISNUMBER('Council Entry'!P$9)),MAX(MIN('Council Entry'!P48,'Council Entry'!P$9),'Council Entry'!P$8),'Council Entry'!P48)),IF('Council Entry'!P$4="Exponential",EXP(IF(AND(ISNUMBER('Council Entry'!P$8),ISNUMBER('Council Entry'!P$9)),MAX(MIN('Council Entry'!P48,'Council Entry'!P$9),'Council Entry'!P$8),'Council Entry'!P48)),IF(AND(ISNUMBER('Council Entry'!P$8),ISNUMBER('Council Entry'!P$9)),MAX(MIN('Council Entry'!P48,'Council Entry'!P$9),'Council Entry'!P$8),'Council Entry'!P48))))-'Council Entry'!P$5)/('Council Entry'!P$6-'Council Entry'!P$5),10*((IF('Council Entry'!P$4="Logarithm",LN(0.001+IF(AND(ISNUMBER('Council Entry'!P$8),ISNUMBER('Council Entry'!P$9)),MAX(MIN('Council Entry'!P48,'Council Entry'!P$9),'Council Entry'!P$8),'Council Entry'!P48)),IF('Council Entry'!P$4="Exponential",EXP(IF(AND(ISNUMBER('Council Entry'!P$8),ISNUMBER('Council Entry'!P$9)),MAX(MIN('Council Entry'!P48,'Council Entry'!P$9),'Council Entry'!P$8),'Council Entry'!P48)),IF(AND(ISNUMBER('Council Entry'!P$8),ISNUMBER('Council Entry'!P$9)),MAX(MIN('Council Entry'!P48,'Council Entry'!P$9),'Council Entry'!P$8),'Council Entry'!P48))))-'Council Entry'!P$5)/('Council Entry'!P$6-'Council Entry'!P$5)),1))),"No data"))</f>
        <v/>
      </c>
      <c r="Q48" s="13">
        <f>IF('Council Entry'!Q48="","",IFERROR(MAX(0,MIN(10,ROUND(IF('Council Entry'!Q$7="Decrease Risk",10-10*((IF('Council Entry'!Q$4="Logarithm",LN(0.001+IF(AND(ISNUMBER('Council Entry'!Q$8),ISNUMBER('Council Entry'!Q$9)),MAX(MIN('Council Entry'!Q48,'Council Entry'!Q$9),'Council Entry'!Q$8),'Council Entry'!Q48)),IF('Council Entry'!Q$4="Exponential",EXP(IF(AND(ISNUMBER('Council Entry'!Q$8),ISNUMBER('Council Entry'!Q$9)),MAX(MIN('Council Entry'!Q48,'Council Entry'!Q$9),'Council Entry'!Q$8),'Council Entry'!Q48)),IF(AND(ISNUMBER('Council Entry'!Q$8),ISNUMBER('Council Entry'!Q$9)),MAX(MIN('Council Entry'!Q48,'Council Entry'!Q$9),'Council Entry'!Q$8),'Council Entry'!Q48))))-'Council Entry'!Q$5)/('Council Entry'!Q$6-'Council Entry'!Q$5),10*((IF('Council Entry'!Q$4="Logarithm",LN(0.001+IF(AND(ISNUMBER('Council Entry'!Q$8),ISNUMBER('Council Entry'!Q$9)),MAX(MIN('Council Entry'!Q48,'Council Entry'!Q$9),'Council Entry'!Q$8),'Council Entry'!Q48)),IF('Council Entry'!Q$4="Exponential",EXP(IF(AND(ISNUMBER('Council Entry'!Q$8),ISNUMBER('Council Entry'!Q$9)),MAX(MIN('Council Entry'!Q48,'Council Entry'!Q$9),'Council Entry'!Q$8),'Council Entry'!Q48)),IF(AND(ISNUMBER('Council Entry'!Q$8),ISNUMBER('Council Entry'!Q$9)),MAX(MIN('Council Entry'!Q48,'Council Entry'!Q$9),'Council Entry'!Q$8),'Council Entry'!Q48))))-'Council Entry'!Q$5)/('Council Entry'!Q$6-'Council Entry'!Q$5)),1))),"No data"))</f>
        <v/>
      </c>
      <c r="R48" s="13">
        <f>IF('Council Entry'!R48="","",IFERROR(MAX(0,MIN(10,ROUND(IF('Council Entry'!R$7="Decrease Risk",10-10*((IF('Council Entry'!R$4="Logarithm",LN(0.001+IF(AND(ISNUMBER('Council Entry'!R$8),ISNUMBER('Council Entry'!R$9)),MAX(MIN('Council Entry'!R48,'Council Entry'!R$9),'Council Entry'!R$8),'Council Entry'!R48)),IF('Council Entry'!R$4="Exponential",EXP(IF(AND(ISNUMBER('Council Entry'!R$8),ISNUMBER('Council Entry'!R$9)),MAX(MIN('Council Entry'!R48,'Council Entry'!R$9),'Council Entry'!R$8),'Council Entry'!R48)),IF(AND(ISNUMBER('Council Entry'!R$8),ISNUMBER('Council Entry'!R$9)),MAX(MIN('Council Entry'!R48,'Council Entry'!R$9),'Council Entry'!R$8),'Council Entry'!R48))))-'Council Entry'!R$5)/('Council Entry'!R$6-'Council Entry'!R$5),10*((IF('Council Entry'!R$4="Logarithm",LN(0.001+IF(AND(ISNUMBER('Council Entry'!R$8),ISNUMBER('Council Entry'!R$9)),MAX(MIN('Council Entry'!R48,'Council Entry'!R$9),'Council Entry'!R$8),'Council Entry'!R48)),IF('Council Entry'!R$4="Exponential",EXP(IF(AND(ISNUMBER('Council Entry'!R$8),ISNUMBER('Council Entry'!R$9)),MAX(MIN('Council Entry'!R48,'Council Entry'!R$9),'Council Entry'!R$8),'Council Entry'!R48)),IF(AND(ISNUMBER('Council Entry'!R$8),ISNUMBER('Council Entry'!R$9)),MAX(MIN('Council Entry'!R48,'Council Entry'!R$9),'Council Entry'!R$8),'Council Entry'!R48))))-'Council Entry'!R$5)/('Council Entry'!R$6-'Council Entry'!R$5)),1))),"No data"))</f>
        <v/>
      </c>
      <c r="S48" s="13">
        <f>IF('Council Entry'!S48="","",IFERROR(MAX(0,MIN(10,ROUND(IF('Council Entry'!S$7="Decrease Risk",10-10*((IF('Council Entry'!S$4="Logarithm",LN(0.001+IF(AND(ISNUMBER('Council Entry'!S$8),ISNUMBER('Council Entry'!S$9)),MAX(MIN('Council Entry'!S48,'Council Entry'!S$9),'Council Entry'!S$8),'Council Entry'!S48)),IF('Council Entry'!S$4="Exponential",EXP(IF(AND(ISNUMBER('Council Entry'!S$8),ISNUMBER('Council Entry'!S$9)),MAX(MIN('Council Entry'!S48,'Council Entry'!S$9),'Council Entry'!S$8),'Council Entry'!S48)),IF(AND(ISNUMBER('Council Entry'!S$8),ISNUMBER('Council Entry'!S$9)),MAX(MIN('Council Entry'!S48,'Council Entry'!S$9),'Council Entry'!S$8),'Council Entry'!S48))))-'Council Entry'!S$5)/('Council Entry'!S$6-'Council Entry'!S$5),10*((IF('Council Entry'!S$4="Logarithm",LN(0.001+IF(AND(ISNUMBER('Council Entry'!S$8),ISNUMBER('Council Entry'!S$9)),MAX(MIN('Council Entry'!S48,'Council Entry'!S$9),'Council Entry'!S$8),'Council Entry'!S48)),IF('Council Entry'!S$4="Exponential",EXP(IF(AND(ISNUMBER('Council Entry'!S$8),ISNUMBER('Council Entry'!S$9)),MAX(MIN('Council Entry'!S48,'Council Entry'!S$9),'Council Entry'!S$8),'Council Entry'!S48)),IF(AND(ISNUMBER('Council Entry'!S$8),ISNUMBER('Council Entry'!S$9)),MAX(MIN('Council Entry'!S48,'Council Entry'!S$9),'Council Entry'!S$8),'Council Entry'!S48))))-'Council Entry'!S$5)/('Council Entry'!S$6-'Council Entry'!S$5)),1))),"No data"))</f>
        <v/>
      </c>
      <c r="T48" s="13">
        <f>IF('Council Entry'!T48="","",IFERROR(MAX(0,MIN(10,ROUND(IF('Council Entry'!T$7="Decrease Risk",10-10*((IF('Council Entry'!T$4="Logarithm",LN(0.001+IF(AND(ISNUMBER('Council Entry'!T$8),ISNUMBER('Council Entry'!T$9)),MAX(MIN('Council Entry'!T48,'Council Entry'!T$9),'Council Entry'!T$8),'Council Entry'!T48)),IF('Council Entry'!T$4="Exponential",EXP(IF(AND(ISNUMBER('Council Entry'!T$8),ISNUMBER('Council Entry'!T$9)),MAX(MIN('Council Entry'!T48,'Council Entry'!T$9),'Council Entry'!T$8),'Council Entry'!T48)),IF(AND(ISNUMBER('Council Entry'!T$8),ISNUMBER('Council Entry'!T$9)),MAX(MIN('Council Entry'!T48,'Council Entry'!T$9),'Council Entry'!T$8),'Council Entry'!T48))))-'Council Entry'!T$5)/('Council Entry'!T$6-'Council Entry'!T$5),10*((IF('Council Entry'!T$4="Logarithm",LN(0.001+IF(AND(ISNUMBER('Council Entry'!T$8),ISNUMBER('Council Entry'!T$9)),MAX(MIN('Council Entry'!T48,'Council Entry'!T$9),'Council Entry'!T$8),'Council Entry'!T48)),IF('Council Entry'!T$4="Exponential",EXP(IF(AND(ISNUMBER('Council Entry'!T$8),ISNUMBER('Council Entry'!T$9)),MAX(MIN('Council Entry'!T48,'Council Entry'!T$9),'Council Entry'!T$8),'Council Entry'!T48)),IF(AND(ISNUMBER('Council Entry'!T$8),ISNUMBER('Council Entry'!T$9)),MAX(MIN('Council Entry'!T48,'Council Entry'!T$9),'Council Entry'!T$8),'Council Entry'!T48))))-'Council Entry'!T$5)/('Council Entry'!T$6-'Council Entry'!T$5)),1))),"No data"))</f>
        <v/>
      </c>
      <c r="U48" s="13">
        <f>IF('Council Entry'!U48="","",IFERROR(MAX(0,MIN(10,ROUND(IF('Council Entry'!U$7="Decrease Risk",10-10*((IF('Council Entry'!U$4="Logarithm",LN(0.001+IF(AND(ISNUMBER('Council Entry'!U$8),ISNUMBER('Council Entry'!U$9)),MAX(MIN('Council Entry'!U48,'Council Entry'!U$9),'Council Entry'!U$8),'Council Entry'!U48)),IF('Council Entry'!U$4="Exponential",EXP(IF(AND(ISNUMBER('Council Entry'!U$8),ISNUMBER('Council Entry'!U$9)),MAX(MIN('Council Entry'!U48,'Council Entry'!U$9),'Council Entry'!U$8),'Council Entry'!U48)),IF(AND(ISNUMBER('Council Entry'!U$8),ISNUMBER('Council Entry'!U$9)),MAX(MIN('Council Entry'!U48,'Council Entry'!U$9),'Council Entry'!U$8),'Council Entry'!U48))))-'Council Entry'!U$5)/('Council Entry'!U$6-'Council Entry'!U$5),10*((IF('Council Entry'!U$4="Logarithm",LN(0.001+IF(AND(ISNUMBER('Council Entry'!U$8),ISNUMBER('Council Entry'!U$9)),MAX(MIN('Council Entry'!U48,'Council Entry'!U$9),'Council Entry'!U$8),'Council Entry'!U48)),IF('Council Entry'!U$4="Exponential",EXP(IF(AND(ISNUMBER('Council Entry'!U$8),ISNUMBER('Council Entry'!U$9)),MAX(MIN('Council Entry'!U48,'Council Entry'!U$9),'Council Entry'!U$8),'Council Entry'!U48)),IF(AND(ISNUMBER('Council Entry'!U$8),ISNUMBER('Council Entry'!U$9)),MAX(MIN('Council Entry'!U48,'Council Entry'!U$9),'Council Entry'!U$8),'Council Entry'!U48))))-'Council Entry'!U$5)/('Council Entry'!U$6-'Council Entry'!U$5)),1))),"No data"))</f>
        <v/>
      </c>
      <c r="V48" s="13">
        <f>IF('Council Entry'!V48="","",IFERROR(MAX(0,MIN(10,ROUND(IF('Council Entry'!V$7="Decrease Risk",10-10*((IF('Council Entry'!V$4="Logarithm",LN(0.001+IF(AND(ISNUMBER('Council Entry'!V$8),ISNUMBER('Council Entry'!V$9)),MAX(MIN('Council Entry'!V48,'Council Entry'!V$9),'Council Entry'!V$8),'Council Entry'!V48)),IF('Council Entry'!V$4="Exponential",EXP(IF(AND(ISNUMBER('Council Entry'!V$8),ISNUMBER('Council Entry'!V$9)),MAX(MIN('Council Entry'!V48,'Council Entry'!V$9),'Council Entry'!V$8),'Council Entry'!V48)),IF(AND(ISNUMBER('Council Entry'!V$8),ISNUMBER('Council Entry'!V$9)),MAX(MIN('Council Entry'!V48,'Council Entry'!V$9),'Council Entry'!V$8),'Council Entry'!V48))))-'Council Entry'!V$5)/('Council Entry'!V$6-'Council Entry'!V$5),10*((IF('Council Entry'!V$4="Logarithm",LN(0.001+IF(AND(ISNUMBER('Council Entry'!V$8),ISNUMBER('Council Entry'!V$9)),MAX(MIN('Council Entry'!V48,'Council Entry'!V$9),'Council Entry'!V$8),'Council Entry'!V48)),IF('Council Entry'!V$4="Exponential",EXP(IF(AND(ISNUMBER('Council Entry'!V$8),ISNUMBER('Council Entry'!V$9)),MAX(MIN('Council Entry'!V48,'Council Entry'!V$9),'Council Entry'!V$8),'Council Entry'!V48)),IF(AND(ISNUMBER('Council Entry'!V$8),ISNUMBER('Council Entry'!V$9)),MAX(MIN('Council Entry'!V48,'Council Entry'!V$9),'Council Entry'!V$8),'Council Entry'!V48))))-'Council Entry'!V$5)/('Council Entry'!V$6-'Council Entry'!V$5)),1))),"No data"))</f>
        <v/>
      </c>
      <c r="W48" s="13">
        <f>IF('Council Entry'!W48="","",IFERROR(MAX(0,MIN(10,ROUND(IF('Council Entry'!W$7="Decrease Risk",10-10*((IF('Council Entry'!W$4="Logarithm",LN(0.001+IF(AND(ISNUMBER('Council Entry'!W$8),ISNUMBER('Council Entry'!W$9)),MAX(MIN('Council Entry'!W48,'Council Entry'!W$9),'Council Entry'!W$8),'Council Entry'!W48)),IF('Council Entry'!W$4="Exponential",EXP(IF(AND(ISNUMBER('Council Entry'!W$8),ISNUMBER('Council Entry'!W$9)),MAX(MIN('Council Entry'!W48,'Council Entry'!W$9),'Council Entry'!W$8),'Council Entry'!W48)),IF(AND(ISNUMBER('Council Entry'!W$8),ISNUMBER('Council Entry'!W$9)),MAX(MIN('Council Entry'!W48,'Council Entry'!W$9),'Council Entry'!W$8),'Council Entry'!W48))))-'Council Entry'!W$5)/('Council Entry'!W$6-'Council Entry'!W$5),10*((IF('Council Entry'!W$4="Logarithm",LN(0.001+IF(AND(ISNUMBER('Council Entry'!W$8),ISNUMBER('Council Entry'!W$9)),MAX(MIN('Council Entry'!W48,'Council Entry'!W$9),'Council Entry'!W$8),'Council Entry'!W48)),IF('Council Entry'!W$4="Exponential",EXP(IF(AND(ISNUMBER('Council Entry'!W$8),ISNUMBER('Council Entry'!W$9)),MAX(MIN('Council Entry'!W48,'Council Entry'!W$9),'Council Entry'!W$8),'Council Entry'!W48)),IF(AND(ISNUMBER('Council Entry'!W$8),ISNUMBER('Council Entry'!W$9)),MAX(MIN('Council Entry'!W48,'Council Entry'!W$9),'Council Entry'!W$8),'Council Entry'!W48))))-'Council Entry'!W$5)/('Council Entry'!W$6-'Council Entry'!W$5)),1))),"No data"))</f>
        <v/>
      </c>
      <c r="X48" s="13">
        <f>IF('Council Entry'!X48="","",IFERROR(MAX(0,MIN(10,ROUND(IF('Council Entry'!X$7="Decrease Risk",10-10*((IF('Council Entry'!X$4="Logarithm",LN(0.001+IF(AND(ISNUMBER('Council Entry'!X$8),ISNUMBER('Council Entry'!X$9)),MAX(MIN('Council Entry'!X48,'Council Entry'!X$9),'Council Entry'!X$8),'Council Entry'!X48)),IF('Council Entry'!X$4="Exponential",EXP(IF(AND(ISNUMBER('Council Entry'!X$8),ISNUMBER('Council Entry'!X$9)),MAX(MIN('Council Entry'!X48,'Council Entry'!X$9),'Council Entry'!X$8),'Council Entry'!X48)),IF(AND(ISNUMBER('Council Entry'!X$8),ISNUMBER('Council Entry'!X$9)),MAX(MIN('Council Entry'!X48,'Council Entry'!X$9),'Council Entry'!X$8),'Council Entry'!X48))))-'Council Entry'!X$5)/('Council Entry'!X$6-'Council Entry'!X$5),10*((IF('Council Entry'!X$4="Logarithm",LN(0.001+IF(AND(ISNUMBER('Council Entry'!X$8),ISNUMBER('Council Entry'!X$9)),MAX(MIN('Council Entry'!X48,'Council Entry'!X$9),'Council Entry'!X$8),'Council Entry'!X48)),IF('Council Entry'!X$4="Exponential",EXP(IF(AND(ISNUMBER('Council Entry'!X$8),ISNUMBER('Council Entry'!X$9)),MAX(MIN('Council Entry'!X48,'Council Entry'!X$9),'Council Entry'!X$8),'Council Entry'!X48)),IF(AND(ISNUMBER('Council Entry'!X$8),ISNUMBER('Council Entry'!X$9)),MAX(MIN('Council Entry'!X48,'Council Entry'!X$9),'Council Entry'!X$8),'Council Entry'!X48))))-'Council Entry'!X$5)/('Council Entry'!X$6-'Council Entry'!X$5)),1))),"No data"))</f>
        <v/>
      </c>
      <c r="Y48" s="13">
        <f>IF('Council Entry'!Y48="","",IFERROR(MAX(0,MIN(10,ROUND(IF('Council Entry'!Y$7="Decrease Risk",10-10*((IF('Council Entry'!Y$4="Logarithm",LN(0.001+IF(AND(ISNUMBER('Council Entry'!Y$8),ISNUMBER('Council Entry'!Y$9)),MAX(MIN('Council Entry'!Y48,'Council Entry'!Y$9),'Council Entry'!Y$8),'Council Entry'!Y48)),IF('Council Entry'!Y$4="Exponential",EXP(IF(AND(ISNUMBER('Council Entry'!Y$8),ISNUMBER('Council Entry'!Y$9)),MAX(MIN('Council Entry'!Y48,'Council Entry'!Y$9),'Council Entry'!Y$8),'Council Entry'!Y48)),IF(AND(ISNUMBER('Council Entry'!Y$8),ISNUMBER('Council Entry'!Y$9)),MAX(MIN('Council Entry'!Y48,'Council Entry'!Y$9),'Council Entry'!Y$8),'Council Entry'!Y48))))-'Council Entry'!Y$5)/('Council Entry'!Y$6-'Council Entry'!Y$5),10*((IF('Council Entry'!Y$4="Logarithm",LN(0.001+IF(AND(ISNUMBER('Council Entry'!Y$8),ISNUMBER('Council Entry'!Y$9)),MAX(MIN('Council Entry'!Y48,'Council Entry'!Y$9),'Council Entry'!Y$8),'Council Entry'!Y48)),IF('Council Entry'!Y$4="Exponential",EXP(IF(AND(ISNUMBER('Council Entry'!Y$8),ISNUMBER('Council Entry'!Y$9)),MAX(MIN('Council Entry'!Y48,'Council Entry'!Y$9),'Council Entry'!Y$8),'Council Entry'!Y48)),IF(AND(ISNUMBER('Council Entry'!Y$8),ISNUMBER('Council Entry'!Y$9)),MAX(MIN('Council Entry'!Y48,'Council Entry'!Y$9),'Council Entry'!Y$8),'Council Entry'!Y48))))-'Council Entry'!Y$5)/('Council Entry'!Y$6-'Council Entry'!Y$5)),1))),"No data"))</f>
        <v/>
      </c>
      <c r="Z48" s="13">
        <f>IF('Council Entry'!Z48="","",IFERROR(MAX(0,MIN(10,ROUND(IF('Council Entry'!Z$7="Decrease Risk",10-10*((IF('Council Entry'!Z$4="Logarithm",LN(0.001+IF(AND(ISNUMBER('Council Entry'!Z$8),ISNUMBER('Council Entry'!Z$9)),MAX(MIN('Council Entry'!Z48,'Council Entry'!Z$9),'Council Entry'!Z$8),'Council Entry'!Z48)),IF('Council Entry'!Z$4="Exponential",EXP(IF(AND(ISNUMBER('Council Entry'!Z$8),ISNUMBER('Council Entry'!Z$9)),MAX(MIN('Council Entry'!Z48,'Council Entry'!Z$9),'Council Entry'!Z$8),'Council Entry'!Z48)),IF(AND(ISNUMBER('Council Entry'!Z$8),ISNUMBER('Council Entry'!Z$9)),MAX(MIN('Council Entry'!Z48,'Council Entry'!Z$9),'Council Entry'!Z$8),'Council Entry'!Z48))))-'Council Entry'!Z$5)/('Council Entry'!Z$6-'Council Entry'!Z$5),10*((IF('Council Entry'!Z$4="Logarithm",LN(0.001+IF(AND(ISNUMBER('Council Entry'!Z$8),ISNUMBER('Council Entry'!Z$9)),MAX(MIN('Council Entry'!Z48,'Council Entry'!Z$9),'Council Entry'!Z$8),'Council Entry'!Z48)),IF('Council Entry'!Z$4="Exponential",EXP(IF(AND(ISNUMBER('Council Entry'!Z$8),ISNUMBER('Council Entry'!Z$9)),MAX(MIN('Council Entry'!Z48,'Council Entry'!Z$9),'Council Entry'!Z$8),'Council Entry'!Z48)),IF(AND(ISNUMBER('Council Entry'!Z$8),ISNUMBER('Council Entry'!Z$9)),MAX(MIN('Council Entry'!Z48,'Council Entry'!Z$9),'Council Entry'!Z$8),'Council Entry'!Z48))))-'Council Entry'!Z$5)/('Council Entry'!Z$6-'Council Entry'!Z$5)),1))),"No data"))</f>
        <v/>
      </c>
      <c r="AA48" s="13">
        <f>IF('Council Entry'!AA48="","",IFERROR(MAX(0,MIN(10,ROUND(IF('Council Entry'!AA$7="Decrease Risk",10-10*((IF('Council Entry'!AA$4="Logarithm",LN(0.001+IF(AND(ISNUMBER('Council Entry'!AA$8),ISNUMBER('Council Entry'!AA$9)),MAX(MIN('Council Entry'!AA48,'Council Entry'!AA$9),'Council Entry'!AA$8),'Council Entry'!AA48)),IF('Council Entry'!AA$4="Exponential",EXP(IF(AND(ISNUMBER('Council Entry'!AA$8),ISNUMBER('Council Entry'!AA$9)),MAX(MIN('Council Entry'!AA48,'Council Entry'!AA$9),'Council Entry'!AA$8),'Council Entry'!AA48)),IF(AND(ISNUMBER('Council Entry'!AA$8),ISNUMBER('Council Entry'!AA$9)),MAX(MIN('Council Entry'!AA48,'Council Entry'!AA$9),'Council Entry'!AA$8),'Council Entry'!AA48))))-'Council Entry'!AA$5)/('Council Entry'!AA$6-'Council Entry'!AA$5),10*((IF('Council Entry'!AA$4="Logarithm",LN(0.001+IF(AND(ISNUMBER('Council Entry'!AA$8),ISNUMBER('Council Entry'!AA$9)),MAX(MIN('Council Entry'!AA48,'Council Entry'!AA$9),'Council Entry'!AA$8),'Council Entry'!AA48)),IF('Council Entry'!AA$4="Exponential",EXP(IF(AND(ISNUMBER('Council Entry'!AA$8),ISNUMBER('Council Entry'!AA$9)),MAX(MIN('Council Entry'!AA48,'Council Entry'!AA$9),'Council Entry'!AA$8),'Council Entry'!AA48)),IF(AND(ISNUMBER('Council Entry'!AA$8),ISNUMBER('Council Entry'!AA$9)),MAX(MIN('Council Entry'!AA48,'Council Entry'!AA$9),'Council Entry'!AA$8),'Council Entry'!AA48))))-'Council Entry'!AA$5)/('Council Entry'!AA$6-'Council Entry'!AA$5)),1))),"No data"))</f>
        <v/>
      </c>
      <c r="AB48" s="13">
        <f>IF('Council Entry'!AB48="","",IFERROR(MAX(0,MIN(10,ROUND(IF('Council Entry'!AB$7="Decrease Risk",10-10*((IF('Council Entry'!AB$4="Logarithm",LN(0.001+IF(AND(ISNUMBER('Council Entry'!AB$8),ISNUMBER('Council Entry'!AB$9)),MAX(MIN('Council Entry'!AB48,'Council Entry'!AB$9),'Council Entry'!AB$8),'Council Entry'!AB48)),IF('Council Entry'!AB$4="Exponential",EXP(IF(AND(ISNUMBER('Council Entry'!AB$8),ISNUMBER('Council Entry'!AB$9)),MAX(MIN('Council Entry'!AB48,'Council Entry'!AB$9),'Council Entry'!AB$8),'Council Entry'!AB48)),IF(AND(ISNUMBER('Council Entry'!AB$8),ISNUMBER('Council Entry'!AB$9)),MAX(MIN('Council Entry'!AB48,'Council Entry'!AB$9),'Council Entry'!AB$8),'Council Entry'!AB48))))-'Council Entry'!AB$5)/('Council Entry'!AB$6-'Council Entry'!AB$5),10*((IF('Council Entry'!AB$4="Logarithm",LN(0.001+IF(AND(ISNUMBER('Council Entry'!AB$8),ISNUMBER('Council Entry'!AB$9)),MAX(MIN('Council Entry'!AB48,'Council Entry'!AB$9),'Council Entry'!AB$8),'Council Entry'!AB48)),IF('Council Entry'!AB$4="Exponential",EXP(IF(AND(ISNUMBER('Council Entry'!AB$8),ISNUMBER('Council Entry'!AB$9)),MAX(MIN('Council Entry'!AB48,'Council Entry'!AB$9),'Council Entry'!AB$8),'Council Entry'!AB48)),IF(AND(ISNUMBER('Council Entry'!AB$8),ISNUMBER('Council Entry'!AB$9)),MAX(MIN('Council Entry'!AB48,'Council Entry'!AB$9),'Council Entry'!AB$8),'Council Entry'!AB48))))-'Council Entry'!AB$5)/('Council Entry'!AB$6-'Council Entry'!AB$5)),1))),"No data"))</f>
        <v/>
      </c>
      <c r="AC48" s="13">
        <f>IF('Council Entry'!AC48="","",IFERROR(MAX(0,MIN(10,ROUND(IF('Council Entry'!AC$7="Decrease Risk",10-10*((IF('Council Entry'!AC$4="Logarithm",LN(0.001+IF(AND(ISNUMBER('Council Entry'!AC$8),ISNUMBER('Council Entry'!AC$9)),MAX(MIN('Council Entry'!AC48,'Council Entry'!AC$9),'Council Entry'!AC$8),'Council Entry'!AC48)),IF('Council Entry'!AC$4="Exponential",EXP(IF(AND(ISNUMBER('Council Entry'!AC$8),ISNUMBER('Council Entry'!AC$9)),MAX(MIN('Council Entry'!AC48,'Council Entry'!AC$9),'Council Entry'!AC$8),'Council Entry'!AC48)),IF(AND(ISNUMBER('Council Entry'!AC$8),ISNUMBER('Council Entry'!AC$9)),MAX(MIN('Council Entry'!AC48,'Council Entry'!AC$9),'Council Entry'!AC$8),'Council Entry'!AC48))))-'Council Entry'!AC$5)/('Council Entry'!AC$6-'Council Entry'!AC$5),10*((IF('Council Entry'!AC$4="Logarithm",LN(0.001+IF(AND(ISNUMBER('Council Entry'!AC$8),ISNUMBER('Council Entry'!AC$9)),MAX(MIN('Council Entry'!AC48,'Council Entry'!AC$9),'Council Entry'!AC$8),'Council Entry'!AC48)),IF('Council Entry'!AC$4="Exponential",EXP(IF(AND(ISNUMBER('Council Entry'!AC$8),ISNUMBER('Council Entry'!AC$9)),MAX(MIN('Council Entry'!AC48,'Council Entry'!AC$9),'Council Entry'!AC$8),'Council Entry'!AC48)),IF(AND(ISNUMBER('Council Entry'!AC$8),ISNUMBER('Council Entry'!AC$9)),MAX(MIN('Council Entry'!AC48,'Council Entry'!AC$9),'Council Entry'!AC$8),'Council Entry'!AC48))))-'Council Entry'!AC$5)/('Council Entry'!AC$6-'Council Entry'!AC$5)),1))),"No data"))</f>
        <v/>
      </c>
      <c r="AD48" s="13">
        <f>IF('Council Entry'!AD48="","",IFERROR(MAX(0,MIN(10,ROUND(IF('Council Entry'!AD$7="Decrease Risk",10-10*((IF('Council Entry'!AD$4="Logarithm",LN(0.001+IF(AND(ISNUMBER('Council Entry'!AD$8),ISNUMBER('Council Entry'!AD$9)),MAX(MIN('Council Entry'!AD48,'Council Entry'!AD$9),'Council Entry'!AD$8),'Council Entry'!AD48)),IF('Council Entry'!AD$4="Exponential",EXP(IF(AND(ISNUMBER('Council Entry'!AD$8),ISNUMBER('Council Entry'!AD$9)),MAX(MIN('Council Entry'!AD48,'Council Entry'!AD$9),'Council Entry'!AD$8),'Council Entry'!AD48)),IF(AND(ISNUMBER('Council Entry'!AD$8),ISNUMBER('Council Entry'!AD$9)),MAX(MIN('Council Entry'!AD48,'Council Entry'!AD$9),'Council Entry'!AD$8),'Council Entry'!AD48))))-'Council Entry'!AD$5)/('Council Entry'!AD$6-'Council Entry'!AD$5),10*((IF('Council Entry'!AD$4="Logarithm",LN(0.001+IF(AND(ISNUMBER('Council Entry'!AD$8),ISNUMBER('Council Entry'!AD$9)),MAX(MIN('Council Entry'!AD48,'Council Entry'!AD$9),'Council Entry'!AD$8),'Council Entry'!AD48)),IF('Council Entry'!AD$4="Exponential",EXP(IF(AND(ISNUMBER('Council Entry'!AD$8),ISNUMBER('Council Entry'!AD$9)),MAX(MIN('Council Entry'!AD48,'Council Entry'!AD$9),'Council Entry'!AD$8),'Council Entry'!AD48)),IF(AND(ISNUMBER('Council Entry'!AD$8),ISNUMBER('Council Entry'!AD$9)),MAX(MIN('Council Entry'!AD48,'Council Entry'!AD$9),'Council Entry'!AD$8),'Council Entry'!AD48))))-'Council Entry'!AD$5)/('Council Entry'!AD$6-'Council Entry'!AD$5)),1))),"No data"))</f>
        <v/>
      </c>
      <c r="AE48" s="13">
        <f>IF('Council Entry'!AE48="","",IFERROR(MAX(0,MIN(10,ROUND(IF('Council Entry'!AE$7="Decrease Risk",10-10*((IF('Council Entry'!AE$4="Logarithm",LN(0.001+IF(AND(ISNUMBER('Council Entry'!AE$8),ISNUMBER('Council Entry'!AE$9)),MAX(MIN('Council Entry'!AE48,'Council Entry'!AE$9),'Council Entry'!AE$8),'Council Entry'!AE48)),IF('Council Entry'!AE$4="Exponential",EXP(IF(AND(ISNUMBER('Council Entry'!AE$8),ISNUMBER('Council Entry'!AE$9)),MAX(MIN('Council Entry'!AE48,'Council Entry'!AE$9),'Council Entry'!AE$8),'Council Entry'!AE48)),IF(AND(ISNUMBER('Council Entry'!AE$8),ISNUMBER('Council Entry'!AE$9)),MAX(MIN('Council Entry'!AE48,'Council Entry'!AE$9),'Council Entry'!AE$8),'Council Entry'!AE48))))-'Council Entry'!AE$5)/('Council Entry'!AE$6-'Council Entry'!AE$5),10*((IF('Council Entry'!AE$4="Logarithm",LN(0.001+IF(AND(ISNUMBER('Council Entry'!AE$8),ISNUMBER('Council Entry'!AE$9)),MAX(MIN('Council Entry'!AE48,'Council Entry'!AE$9),'Council Entry'!AE$8),'Council Entry'!AE48)),IF('Council Entry'!AE$4="Exponential",EXP(IF(AND(ISNUMBER('Council Entry'!AE$8),ISNUMBER('Council Entry'!AE$9)),MAX(MIN('Council Entry'!AE48,'Council Entry'!AE$9),'Council Entry'!AE$8),'Council Entry'!AE48)),IF(AND(ISNUMBER('Council Entry'!AE$8),ISNUMBER('Council Entry'!AE$9)),MAX(MIN('Council Entry'!AE48,'Council Entry'!AE$9),'Council Entry'!AE$8),'Council Entry'!AE48))))-'Council Entry'!AE$5)/('Council Entry'!AE$6-'Council Entry'!AE$5)),1))),"No data"))</f>
        <v/>
      </c>
      <c r="AF48" s="13">
        <f>IF('Council Entry'!AF48="","",IFERROR(MAX(0,MIN(10,ROUND(IF('Council Entry'!AF$7="Decrease Risk",10-10*((IF('Council Entry'!AF$4="Logarithm",LN(0.001+IF(AND(ISNUMBER('Council Entry'!AF$8),ISNUMBER('Council Entry'!AF$9)),MAX(MIN('Council Entry'!AF48,'Council Entry'!AF$9),'Council Entry'!AF$8),'Council Entry'!AF48)),IF('Council Entry'!AF$4="Exponential",EXP(IF(AND(ISNUMBER('Council Entry'!AF$8),ISNUMBER('Council Entry'!AF$9)),MAX(MIN('Council Entry'!AF48,'Council Entry'!AF$9),'Council Entry'!AF$8),'Council Entry'!AF48)),IF(AND(ISNUMBER('Council Entry'!AF$8),ISNUMBER('Council Entry'!AF$9)),MAX(MIN('Council Entry'!AF48,'Council Entry'!AF$9),'Council Entry'!AF$8),'Council Entry'!AF48))))-'Council Entry'!AF$5)/('Council Entry'!AF$6-'Council Entry'!AF$5),10*((IF('Council Entry'!AF$4="Logarithm",LN(0.001+IF(AND(ISNUMBER('Council Entry'!AF$8),ISNUMBER('Council Entry'!AF$9)),MAX(MIN('Council Entry'!AF48,'Council Entry'!AF$9),'Council Entry'!AF$8),'Council Entry'!AF48)),IF('Council Entry'!AF$4="Exponential",EXP(IF(AND(ISNUMBER('Council Entry'!AF$8),ISNUMBER('Council Entry'!AF$9)),MAX(MIN('Council Entry'!AF48,'Council Entry'!AF$9),'Council Entry'!AF$8),'Council Entry'!AF48)),IF(AND(ISNUMBER('Council Entry'!AF$8),ISNUMBER('Council Entry'!AF$9)),MAX(MIN('Council Entry'!AF48,'Council Entry'!AF$9),'Council Entry'!AF$8),'Council Entry'!AF48))))-'Council Entry'!AF$5)/('Council Entry'!AF$6-'Council Entry'!AF$5)),1))),"No data"))</f>
        <v/>
      </c>
      <c r="AG48" s="13">
        <f>IF('Council Entry'!AG48="","",IFERROR(MAX(0,MIN(10,ROUND(IF('Council Entry'!AG$7="Decrease Risk",10-10*((IF('Council Entry'!AG$4="Logarithm",LN(0.001+IF(AND(ISNUMBER('Council Entry'!AG$8),ISNUMBER('Council Entry'!AG$9)),MAX(MIN('Council Entry'!AG48,'Council Entry'!AG$9),'Council Entry'!AG$8),'Council Entry'!AG48)),IF('Council Entry'!AG$4="Exponential",EXP(IF(AND(ISNUMBER('Council Entry'!AG$8),ISNUMBER('Council Entry'!AG$9)),MAX(MIN('Council Entry'!AG48,'Council Entry'!AG$9),'Council Entry'!AG$8),'Council Entry'!AG48)),IF(AND(ISNUMBER('Council Entry'!AG$8),ISNUMBER('Council Entry'!AG$9)),MAX(MIN('Council Entry'!AG48,'Council Entry'!AG$9),'Council Entry'!AG$8),'Council Entry'!AG48))))-'Council Entry'!AG$5)/('Council Entry'!AG$6-'Council Entry'!AG$5),10*((IF('Council Entry'!AG$4="Logarithm",LN(0.001+IF(AND(ISNUMBER('Council Entry'!AG$8),ISNUMBER('Council Entry'!AG$9)),MAX(MIN('Council Entry'!AG48,'Council Entry'!AG$9),'Council Entry'!AG$8),'Council Entry'!AG48)),IF('Council Entry'!AG$4="Exponential",EXP(IF(AND(ISNUMBER('Council Entry'!AG$8),ISNUMBER('Council Entry'!AG$9)),MAX(MIN('Council Entry'!AG48,'Council Entry'!AG$9),'Council Entry'!AG$8),'Council Entry'!AG48)),IF(AND(ISNUMBER('Council Entry'!AG$8),ISNUMBER('Council Entry'!AG$9)),MAX(MIN('Council Entry'!AG48,'Council Entry'!AG$9),'Council Entry'!AG$8),'Council Entry'!AG48))))-'Council Entry'!AG$5)/('Council Entry'!AG$6-'Council Entry'!AG$5)),1))),"No data"))</f>
        <v/>
      </c>
      <c r="AH48" s="13">
        <f>IF('Council Entry'!AH48="","",IFERROR(MAX(0,MIN(10,ROUND(IF('Council Entry'!AH$7="Decrease Risk",10-10*((IF('Council Entry'!AH$4="Logarithm",LN(0.001+IF(AND(ISNUMBER('Council Entry'!AH$8),ISNUMBER('Council Entry'!AH$9)),MAX(MIN('Council Entry'!AH48,'Council Entry'!AH$9),'Council Entry'!AH$8),'Council Entry'!AH48)),IF('Council Entry'!AH$4="Exponential",EXP(IF(AND(ISNUMBER('Council Entry'!AH$8),ISNUMBER('Council Entry'!AH$9)),MAX(MIN('Council Entry'!AH48,'Council Entry'!AH$9),'Council Entry'!AH$8),'Council Entry'!AH48)),IF(AND(ISNUMBER('Council Entry'!AH$8),ISNUMBER('Council Entry'!AH$9)),MAX(MIN('Council Entry'!AH48,'Council Entry'!AH$9),'Council Entry'!AH$8),'Council Entry'!AH48))))-'Council Entry'!AH$5)/('Council Entry'!AH$6-'Council Entry'!AH$5),10*((IF('Council Entry'!AH$4="Logarithm",LN(0.001+IF(AND(ISNUMBER('Council Entry'!AH$8),ISNUMBER('Council Entry'!AH$9)),MAX(MIN('Council Entry'!AH48,'Council Entry'!AH$9),'Council Entry'!AH$8),'Council Entry'!AH48)),IF('Council Entry'!AH$4="Exponential",EXP(IF(AND(ISNUMBER('Council Entry'!AH$8),ISNUMBER('Council Entry'!AH$9)),MAX(MIN('Council Entry'!AH48,'Council Entry'!AH$9),'Council Entry'!AH$8),'Council Entry'!AH48)),IF(AND(ISNUMBER('Council Entry'!AH$8),ISNUMBER('Council Entry'!AH$9)),MAX(MIN('Council Entry'!AH48,'Council Entry'!AH$9),'Council Entry'!AH$8),'Council Entry'!AH48))))-'Council Entry'!AH$5)/('Council Entry'!AH$6-'Council Entry'!AH$5)),1))),"No data"))</f>
        <v/>
      </c>
      <c r="AI48" s="13">
        <f>IF('Council Entry'!AI48="","",IFERROR(MAX(0,MIN(10,ROUND(IF('Council Entry'!AI$7="Decrease Risk",10-10*((IF('Council Entry'!AI$4="Logarithm",LN(0.001+IF(AND(ISNUMBER('Council Entry'!AI$8),ISNUMBER('Council Entry'!AI$9)),MAX(MIN('Council Entry'!AI48,'Council Entry'!AI$9),'Council Entry'!AI$8),'Council Entry'!AI48)),IF('Council Entry'!AI$4="Exponential",EXP(IF(AND(ISNUMBER('Council Entry'!AI$8),ISNUMBER('Council Entry'!AI$9)),MAX(MIN('Council Entry'!AI48,'Council Entry'!AI$9),'Council Entry'!AI$8),'Council Entry'!AI48)),IF(AND(ISNUMBER('Council Entry'!AI$8),ISNUMBER('Council Entry'!AI$9)),MAX(MIN('Council Entry'!AI48,'Council Entry'!AI$9),'Council Entry'!AI$8),'Council Entry'!AI48))))-'Council Entry'!AI$5)/('Council Entry'!AI$6-'Council Entry'!AI$5),10*((IF('Council Entry'!AI$4="Logarithm",LN(0.001+IF(AND(ISNUMBER('Council Entry'!AI$8),ISNUMBER('Council Entry'!AI$9)),MAX(MIN('Council Entry'!AI48,'Council Entry'!AI$9),'Council Entry'!AI$8),'Council Entry'!AI48)),IF('Council Entry'!AI$4="Exponential",EXP(IF(AND(ISNUMBER('Council Entry'!AI$8),ISNUMBER('Council Entry'!AI$9)),MAX(MIN('Council Entry'!AI48,'Council Entry'!AI$9),'Council Entry'!AI$8),'Council Entry'!AI48)),IF(AND(ISNUMBER('Council Entry'!AI$8),ISNUMBER('Council Entry'!AI$9)),MAX(MIN('Council Entry'!AI48,'Council Entry'!AI$9),'Council Entry'!AI$8),'Council Entry'!AI48))))-'Council Entry'!AI$5)/('Council Entry'!AI$6-'Council Entry'!AI$5)),1))),"No data"))</f>
        <v/>
      </c>
      <c r="AJ48" s="13">
        <f>IF('Council Entry'!AJ48="","",IFERROR(MAX(0,MIN(10,ROUND(IF('Council Entry'!AJ$7="Decrease Risk",10-10*((IF('Council Entry'!AJ$4="Logarithm",LN(0.001+IF(AND(ISNUMBER('Council Entry'!AJ$8),ISNUMBER('Council Entry'!AJ$9)),MAX(MIN('Council Entry'!AJ48,'Council Entry'!AJ$9),'Council Entry'!AJ$8),'Council Entry'!AJ48)),IF('Council Entry'!AJ$4="Exponential",EXP(IF(AND(ISNUMBER('Council Entry'!AJ$8),ISNUMBER('Council Entry'!AJ$9)),MAX(MIN('Council Entry'!AJ48,'Council Entry'!AJ$9),'Council Entry'!AJ$8),'Council Entry'!AJ48)),IF(AND(ISNUMBER('Council Entry'!AJ$8),ISNUMBER('Council Entry'!AJ$9)),MAX(MIN('Council Entry'!AJ48,'Council Entry'!AJ$9),'Council Entry'!AJ$8),'Council Entry'!AJ48))))-'Council Entry'!AJ$5)/('Council Entry'!AJ$6-'Council Entry'!AJ$5),10*((IF('Council Entry'!AJ$4="Logarithm",LN(0.001+IF(AND(ISNUMBER('Council Entry'!AJ$8),ISNUMBER('Council Entry'!AJ$9)),MAX(MIN('Council Entry'!AJ48,'Council Entry'!AJ$9),'Council Entry'!AJ$8),'Council Entry'!AJ48)),IF('Council Entry'!AJ$4="Exponential",EXP(IF(AND(ISNUMBER('Council Entry'!AJ$8),ISNUMBER('Council Entry'!AJ$9)),MAX(MIN('Council Entry'!AJ48,'Council Entry'!AJ$9),'Council Entry'!AJ$8),'Council Entry'!AJ48)),IF(AND(ISNUMBER('Council Entry'!AJ$8),ISNUMBER('Council Entry'!AJ$9)),MAX(MIN('Council Entry'!AJ48,'Council Entry'!AJ$9),'Council Entry'!AJ$8),'Council Entry'!AJ48))))-'Council Entry'!AJ$5)/('Council Entry'!AJ$6-'Council Entry'!AJ$5)),1))),"No data"))</f>
        <v/>
      </c>
      <c r="AK48" s="13">
        <f>IF('Council Entry'!AK48="","",IFERROR(MAX(0,MIN(10,ROUND(IF('Council Entry'!AK$7="Decrease Risk",10-10*((IF('Council Entry'!AK$4="Logarithm",LN(0.001+IF(AND(ISNUMBER('Council Entry'!AK$8),ISNUMBER('Council Entry'!AK$9)),MAX(MIN('Council Entry'!AK48,'Council Entry'!AK$9),'Council Entry'!AK$8),'Council Entry'!AK48)),IF('Council Entry'!AK$4="Exponential",EXP(IF(AND(ISNUMBER('Council Entry'!AK$8),ISNUMBER('Council Entry'!AK$9)),MAX(MIN('Council Entry'!AK48,'Council Entry'!AK$9),'Council Entry'!AK$8),'Council Entry'!AK48)),IF(AND(ISNUMBER('Council Entry'!AK$8),ISNUMBER('Council Entry'!AK$9)),MAX(MIN('Council Entry'!AK48,'Council Entry'!AK$9),'Council Entry'!AK$8),'Council Entry'!AK48))))-'Council Entry'!AK$5)/('Council Entry'!AK$6-'Council Entry'!AK$5),10*((IF('Council Entry'!AK$4="Logarithm",LN(0.001+IF(AND(ISNUMBER('Council Entry'!AK$8),ISNUMBER('Council Entry'!AK$9)),MAX(MIN('Council Entry'!AK48,'Council Entry'!AK$9),'Council Entry'!AK$8),'Council Entry'!AK48)),IF('Council Entry'!AK$4="Exponential",EXP(IF(AND(ISNUMBER('Council Entry'!AK$8),ISNUMBER('Council Entry'!AK$9)),MAX(MIN('Council Entry'!AK48,'Council Entry'!AK$9),'Council Entry'!AK$8),'Council Entry'!AK48)),IF(AND(ISNUMBER('Council Entry'!AK$8),ISNUMBER('Council Entry'!AK$9)),MAX(MIN('Council Entry'!AK48,'Council Entry'!AK$9),'Council Entry'!AK$8),'Council Entry'!AK48))))-'Council Entry'!AK$5)/('Council Entry'!AK$6-'Council Entry'!AK$5)),1))),"No data"))</f>
        <v/>
      </c>
      <c r="AL48" s="13">
        <f>IF('Council Entry'!AL48="","",IFERROR(MAX(0,MIN(10,ROUND(IF('Council Entry'!AL$7="Decrease Risk",10-10*((IF('Council Entry'!AL$4="Logarithm",LN(0.001+IF(AND(ISNUMBER('Council Entry'!AL$8),ISNUMBER('Council Entry'!AL$9)),MAX(MIN('Council Entry'!AL48,'Council Entry'!AL$9),'Council Entry'!AL$8),'Council Entry'!AL48)),IF('Council Entry'!AL$4="Exponential",EXP(IF(AND(ISNUMBER('Council Entry'!AL$8),ISNUMBER('Council Entry'!AL$9)),MAX(MIN('Council Entry'!AL48,'Council Entry'!AL$9),'Council Entry'!AL$8),'Council Entry'!AL48)),IF(AND(ISNUMBER('Council Entry'!AL$8),ISNUMBER('Council Entry'!AL$9)),MAX(MIN('Council Entry'!AL48,'Council Entry'!AL$9),'Council Entry'!AL$8),'Council Entry'!AL48))))-'Council Entry'!AL$5)/('Council Entry'!AL$6-'Council Entry'!AL$5),10*((IF('Council Entry'!AL$4="Logarithm",LN(0.001+IF(AND(ISNUMBER('Council Entry'!AL$8),ISNUMBER('Council Entry'!AL$9)),MAX(MIN('Council Entry'!AL48,'Council Entry'!AL$9),'Council Entry'!AL$8),'Council Entry'!AL48)),IF('Council Entry'!AL$4="Exponential",EXP(IF(AND(ISNUMBER('Council Entry'!AL$8),ISNUMBER('Council Entry'!AL$9)),MAX(MIN('Council Entry'!AL48,'Council Entry'!AL$9),'Council Entry'!AL$8),'Council Entry'!AL48)),IF(AND(ISNUMBER('Council Entry'!AL$8),ISNUMBER('Council Entry'!AL$9)),MAX(MIN('Council Entry'!AL48,'Council Entry'!AL$9),'Council Entry'!AL$8),'Council Entry'!AL48))))-'Council Entry'!AL$5)/('Council Entry'!AL$6-'Council Entry'!AL$5)),1))),"No data"))</f>
        <v/>
      </c>
      <c r="AM48" s="13">
        <f>IF('Council Entry'!AM48="","",IFERROR(MAX(0,MIN(10,ROUND(IF('Council Entry'!AM$7="Decrease Risk",10-10*((IF('Council Entry'!AM$4="Logarithm",LN(0.001+IF(AND(ISNUMBER('Council Entry'!AM$8),ISNUMBER('Council Entry'!AM$9)),MAX(MIN('Council Entry'!AM48,'Council Entry'!AM$9),'Council Entry'!AM$8),'Council Entry'!AM48)),IF('Council Entry'!AM$4="Exponential",EXP(IF(AND(ISNUMBER('Council Entry'!AM$8),ISNUMBER('Council Entry'!AM$9)),MAX(MIN('Council Entry'!AM48,'Council Entry'!AM$9),'Council Entry'!AM$8),'Council Entry'!AM48)),IF(AND(ISNUMBER('Council Entry'!AM$8),ISNUMBER('Council Entry'!AM$9)),MAX(MIN('Council Entry'!AM48,'Council Entry'!AM$9),'Council Entry'!AM$8),'Council Entry'!AM48))))-'Council Entry'!AM$5)/('Council Entry'!AM$6-'Council Entry'!AM$5),10*((IF('Council Entry'!AM$4="Logarithm",LN(0.001+IF(AND(ISNUMBER('Council Entry'!AM$8),ISNUMBER('Council Entry'!AM$9)),MAX(MIN('Council Entry'!AM48,'Council Entry'!AM$9),'Council Entry'!AM$8),'Council Entry'!AM48)),IF('Council Entry'!AM$4="Exponential",EXP(IF(AND(ISNUMBER('Council Entry'!AM$8),ISNUMBER('Council Entry'!AM$9)),MAX(MIN('Council Entry'!AM48,'Council Entry'!AM$9),'Council Entry'!AM$8),'Council Entry'!AM48)),IF(AND(ISNUMBER('Council Entry'!AM$8),ISNUMBER('Council Entry'!AM$9)),MAX(MIN('Council Entry'!AM48,'Council Entry'!AM$9),'Council Entry'!AM$8),'Council Entry'!AM48))))-'Council Entry'!AM$5)/('Council Entry'!AM$6-'Council Entry'!AM$5)),1))),"No data"))</f>
        <v/>
      </c>
      <c r="AN48" s="13">
        <f>IF('Council Entry'!AN48="","",IFERROR(MAX(0,MIN(10,ROUND(IF('Council Entry'!AN$7="Decrease Risk",10-10*((IF('Council Entry'!AN$4="Logarithm",LN(0.001+IF(AND(ISNUMBER('Council Entry'!AN$8),ISNUMBER('Council Entry'!AN$9)),MAX(MIN('Council Entry'!AN48,'Council Entry'!AN$9),'Council Entry'!AN$8),'Council Entry'!AN48)),IF('Council Entry'!AN$4="Exponential",EXP(IF(AND(ISNUMBER('Council Entry'!AN$8),ISNUMBER('Council Entry'!AN$9)),MAX(MIN('Council Entry'!AN48,'Council Entry'!AN$9),'Council Entry'!AN$8),'Council Entry'!AN48)),IF(AND(ISNUMBER('Council Entry'!AN$8),ISNUMBER('Council Entry'!AN$9)),MAX(MIN('Council Entry'!AN48,'Council Entry'!AN$9),'Council Entry'!AN$8),'Council Entry'!AN48))))-'Council Entry'!AN$5)/('Council Entry'!AN$6-'Council Entry'!AN$5),10*((IF('Council Entry'!AN$4="Logarithm",LN(0.001+IF(AND(ISNUMBER('Council Entry'!AN$8),ISNUMBER('Council Entry'!AN$9)),MAX(MIN('Council Entry'!AN48,'Council Entry'!AN$9),'Council Entry'!AN$8),'Council Entry'!AN48)),IF('Council Entry'!AN$4="Exponential",EXP(IF(AND(ISNUMBER('Council Entry'!AN$8),ISNUMBER('Council Entry'!AN$9)),MAX(MIN('Council Entry'!AN48,'Council Entry'!AN$9),'Council Entry'!AN$8),'Council Entry'!AN48)),IF(AND(ISNUMBER('Council Entry'!AN$8),ISNUMBER('Council Entry'!AN$9)),MAX(MIN('Council Entry'!AN48,'Council Entry'!AN$9),'Council Entry'!AN$8),'Council Entry'!AN48))))-'Council Entry'!AN$5)/('Council Entry'!AN$6-'Council Entry'!AN$5)),1))),"No data"))</f>
        <v/>
      </c>
      <c r="AO48" s="13">
        <f>IF('Council Entry'!AO48="","",IFERROR(MAX(0,MIN(10,ROUND(IF('Council Entry'!AO$7="Decrease Risk",10-10*((IF('Council Entry'!AO$4="Logarithm",LN(0.001+IF(AND(ISNUMBER('Council Entry'!AO$8),ISNUMBER('Council Entry'!AO$9)),MAX(MIN('Council Entry'!AO48,'Council Entry'!AO$9),'Council Entry'!AO$8),'Council Entry'!AO48)),IF('Council Entry'!AO$4="Exponential",EXP(IF(AND(ISNUMBER('Council Entry'!AO$8),ISNUMBER('Council Entry'!AO$9)),MAX(MIN('Council Entry'!AO48,'Council Entry'!AO$9),'Council Entry'!AO$8),'Council Entry'!AO48)),IF(AND(ISNUMBER('Council Entry'!AO$8),ISNUMBER('Council Entry'!AO$9)),MAX(MIN('Council Entry'!AO48,'Council Entry'!AO$9),'Council Entry'!AO$8),'Council Entry'!AO48))))-'Council Entry'!AO$5)/('Council Entry'!AO$6-'Council Entry'!AO$5),10*((IF('Council Entry'!AO$4="Logarithm",LN(0.001+IF(AND(ISNUMBER('Council Entry'!AO$8),ISNUMBER('Council Entry'!AO$9)),MAX(MIN('Council Entry'!AO48,'Council Entry'!AO$9),'Council Entry'!AO$8),'Council Entry'!AO48)),IF('Council Entry'!AO$4="Exponential",EXP(IF(AND(ISNUMBER('Council Entry'!AO$8),ISNUMBER('Council Entry'!AO$9)),MAX(MIN('Council Entry'!AO48,'Council Entry'!AO$9),'Council Entry'!AO$8),'Council Entry'!AO48)),IF(AND(ISNUMBER('Council Entry'!AO$8),ISNUMBER('Council Entry'!AO$9)),MAX(MIN('Council Entry'!AO48,'Council Entry'!AO$9),'Council Entry'!AO$8),'Council Entry'!AO48))))-'Council Entry'!AO$5)/('Council Entry'!AO$6-'Council Entry'!AO$5)),1))),"No data"))</f>
        <v/>
      </c>
      <c r="AP48" s="13">
        <f>IF('Council Entry'!AP48="","",IFERROR(MAX(0,MIN(10,ROUND(IF('Council Entry'!AP$7="Decrease Risk",10-10*((IF('Council Entry'!AP$4="Logarithm",LN(0.001+IF(AND(ISNUMBER('Council Entry'!AP$8),ISNUMBER('Council Entry'!AP$9)),MAX(MIN('Council Entry'!AP48,'Council Entry'!AP$9),'Council Entry'!AP$8),'Council Entry'!AP48)),IF('Council Entry'!AP$4="Exponential",EXP(IF(AND(ISNUMBER('Council Entry'!AP$8),ISNUMBER('Council Entry'!AP$9)),MAX(MIN('Council Entry'!AP48,'Council Entry'!AP$9),'Council Entry'!AP$8),'Council Entry'!AP48)),IF(AND(ISNUMBER('Council Entry'!AP$8),ISNUMBER('Council Entry'!AP$9)),MAX(MIN('Council Entry'!AP48,'Council Entry'!AP$9),'Council Entry'!AP$8),'Council Entry'!AP48))))-'Council Entry'!AP$5)/('Council Entry'!AP$6-'Council Entry'!AP$5),10*((IF('Council Entry'!AP$4="Logarithm",LN(0.001+IF(AND(ISNUMBER('Council Entry'!AP$8),ISNUMBER('Council Entry'!AP$9)),MAX(MIN('Council Entry'!AP48,'Council Entry'!AP$9),'Council Entry'!AP$8),'Council Entry'!AP48)),IF('Council Entry'!AP$4="Exponential",EXP(IF(AND(ISNUMBER('Council Entry'!AP$8),ISNUMBER('Council Entry'!AP$9)),MAX(MIN('Council Entry'!AP48,'Council Entry'!AP$9),'Council Entry'!AP$8),'Council Entry'!AP48)),IF(AND(ISNUMBER('Council Entry'!AP$8),ISNUMBER('Council Entry'!AP$9)),MAX(MIN('Council Entry'!AP48,'Council Entry'!AP$9),'Council Entry'!AP$8),'Council Entry'!AP48))))-'Council Entry'!AP$5)/('Council Entry'!AP$6-'Council Entry'!AP$5)),1))),"No data"))</f>
        <v/>
      </c>
      <c r="AQ48" s="13">
        <f>IF('Council Entry'!AQ48="","",IFERROR(MAX(0,MIN(10,ROUND(IF('Council Entry'!AQ$7="Decrease Risk",10-10*((IF('Council Entry'!AQ$4="Logarithm",LN(0.001+IF(AND(ISNUMBER('Council Entry'!AQ$8),ISNUMBER('Council Entry'!AQ$9)),MAX(MIN('Council Entry'!AQ48,'Council Entry'!AQ$9),'Council Entry'!AQ$8),'Council Entry'!AQ48)),IF('Council Entry'!AQ$4="Exponential",EXP(IF(AND(ISNUMBER('Council Entry'!AQ$8),ISNUMBER('Council Entry'!AQ$9)),MAX(MIN('Council Entry'!AQ48,'Council Entry'!AQ$9),'Council Entry'!AQ$8),'Council Entry'!AQ48)),IF(AND(ISNUMBER('Council Entry'!AQ$8),ISNUMBER('Council Entry'!AQ$9)),MAX(MIN('Council Entry'!AQ48,'Council Entry'!AQ$9),'Council Entry'!AQ$8),'Council Entry'!AQ48))))-'Council Entry'!AQ$5)/('Council Entry'!AQ$6-'Council Entry'!AQ$5),10*((IF('Council Entry'!AQ$4="Logarithm",LN(0.001+IF(AND(ISNUMBER('Council Entry'!AQ$8),ISNUMBER('Council Entry'!AQ$9)),MAX(MIN('Council Entry'!AQ48,'Council Entry'!AQ$9),'Council Entry'!AQ$8),'Council Entry'!AQ48)),IF('Council Entry'!AQ$4="Exponential",EXP(IF(AND(ISNUMBER('Council Entry'!AQ$8),ISNUMBER('Council Entry'!AQ$9)),MAX(MIN('Council Entry'!AQ48,'Council Entry'!AQ$9),'Council Entry'!AQ$8),'Council Entry'!AQ48)),IF(AND(ISNUMBER('Council Entry'!AQ$8),ISNUMBER('Council Entry'!AQ$9)),MAX(MIN('Council Entry'!AQ48,'Council Entry'!AQ$9),'Council Entry'!AQ$8),'Council Entry'!AQ48))))-'Council Entry'!AQ$5)/('Council Entry'!AQ$6-'Council Entry'!AQ$5)),1))),"No data"))</f>
        <v/>
      </c>
      <c r="AR48" s="13">
        <f>IF('Council Entry'!AR48="","",IFERROR(MAX(0,MIN(10,ROUND(IF('Council Entry'!AR$7="Decrease Risk",10-10*((IF('Council Entry'!AR$4="Logarithm",LN(0.001+IF(AND(ISNUMBER('Council Entry'!AR$8),ISNUMBER('Council Entry'!AR$9)),MAX(MIN('Council Entry'!AR48,'Council Entry'!AR$9),'Council Entry'!AR$8),'Council Entry'!AR48)),IF('Council Entry'!AR$4="Exponential",EXP(IF(AND(ISNUMBER('Council Entry'!AR$8),ISNUMBER('Council Entry'!AR$9)),MAX(MIN('Council Entry'!AR48,'Council Entry'!AR$9),'Council Entry'!AR$8),'Council Entry'!AR48)),IF(AND(ISNUMBER('Council Entry'!AR$8),ISNUMBER('Council Entry'!AR$9)),MAX(MIN('Council Entry'!AR48,'Council Entry'!AR$9),'Council Entry'!AR$8),'Council Entry'!AR48))))-'Council Entry'!AR$5)/('Council Entry'!AR$6-'Council Entry'!AR$5),10*((IF('Council Entry'!AR$4="Logarithm",LN(0.001+IF(AND(ISNUMBER('Council Entry'!AR$8),ISNUMBER('Council Entry'!AR$9)),MAX(MIN('Council Entry'!AR48,'Council Entry'!AR$9),'Council Entry'!AR$8),'Council Entry'!AR48)),IF('Council Entry'!AR$4="Exponential",EXP(IF(AND(ISNUMBER('Council Entry'!AR$8),ISNUMBER('Council Entry'!AR$9)),MAX(MIN('Council Entry'!AR48,'Council Entry'!AR$9),'Council Entry'!AR$8),'Council Entry'!AR48)),IF(AND(ISNUMBER('Council Entry'!AR$8),ISNUMBER('Council Entry'!AR$9)),MAX(MIN('Council Entry'!AR48,'Council Entry'!AR$9),'Council Entry'!AR$8),'Council Entry'!AR48))))-'Council Entry'!AR$5)/('Council Entry'!AR$6-'Council Entry'!AR$5)),1))),"No data"))</f>
        <v/>
      </c>
      <c r="AS48" s="13">
        <f>IF('Council Entry'!AS48="","",IFERROR(MAX(0,MIN(10,ROUND(IF('Council Entry'!AS$7="Decrease Risk",10-10*((IF('Council Entry'!AS$4="Logarithm",LN(0.001+IF(AND(ISNUMBER('Council Entry'!AS$8),ISNUMBER('Council Entry'!AS$9)),MAX(MIN('Council Entry'!AS48,'Council Entry'!AS$9),'Council Entry'!AS$8),'Council Entry'!AS48)),IF('Council Entry'!AS$4="Exponential",EXP(IF(AND(ISNUMBER('Council Entry'!AS$8),ISNUMBER('Council Entry'!AS$9)),MAX(MIN('Council Entry'!AS48,'Council Entry'!AS$9),'Council Entry'!AS$8),'Council Entry'!AS48)),IF(AND(ISNUMBER('Council Entry'!AS$8),ISNUMBER('Council Entry'!AS$9)),MAX(MIN('Council Entry'!AS48,'Council Entry'!AS$9),'Council Entry'!AS$8),'Council Entry'!AS48))))-'Council Entry'!AS$5)/('Council Entry'!AS$6-'Council Entry'!AS$5),10*((IF('Council Entry'!AS$4="Logarithm",LN(0.001+IF(AND(ISNUMBER('Council Entry'!AS$8),ISNUMBER('Council Entry'!AS$9)),MAX(MIN('Council Entry'!AS48,'Council Entry'!AS$9),'Council Entry'!AS$8),'Council Entry'!AS48)),IF('Council Entry'!AS$4="Exponential",EXP(IF(AND(ISNUMBER('Council Entry'!AS$8),ISNUMBER('Council Entry'!AS$9)),MAX(MIN('Council Entry'!AS48,'Council Entry'!AS$9),'Council Entry'!AS$8),'Council Entry'!AS48)),IF(AND(ISNUMBER('Council Entry'!AS$8),ISNUMBER('Council Entry'!AS$9)),MAX(MIN('Council Entry'!AS48,'Council Entry'!AS$9),'Council Entry'!AS$8),'Council Entry'!AS48))))-'Council Entry'!AS$5)/('Council Entry'!AS$6-'Council Entry'!AS$5)),1))),"No data"))</f>
        <v/>
      </c>
      <c r="AT48" s="13">
        <f>IF('Council Entry'!AT48="","",IFERROR(MAX(0,MIN(10,ROUND(IF('Council Entry'!AT$7="Decrease Risk",10-10*((IF('Council Entry'!AT$4="Logarithm",LN(0.001+IF(AND(ISNUMBER('Council Entry'!AT$8),ISNUMBER('Council Entry'!AT$9)),MAX(MIN('Council Entry'!AT48,'Council Entry'!AT$9),'Council Entry'!AT$8),'Council Entry'!AT48)),IF('Council Entry'!AT$4="Exponential",EXP(IF(AND(ISNUMBER('Council Entry'!AT$8),ISNUMBER('Council Entry'!AT$9)),MAX(MIN('Council Entry'!AT48,'Council Entry'!AT$9),'Council Entry'!AT$8),'Council Entry'!AT48)),IF(AND(ISNUMBER('Council Entry'!AT$8),ISNUMBER('Council Entry'!AT$9)),MAX(MIN('Council Entry'!AT48,'Council Entry'!AT$9),'Council Entry'!AT$8),'Council Entry'!AT48))))-'Council Entry'!AT$5)/('Council Entry'!AT$6-'Council Entry'!AT$5),10*((IF('Council Entry'!AT$4="Logarithm",LN(0.001+IF(AND(ISNUMBER('Council Entry'!AT$8),ISNUMBER('Council Entry'!AT$9)),MAX(MIN('Council Entry'!AT48,'Council Entry'!AT$9),'Council Entry'!AT$8),'Council Entry'!AT48)),IF('Council Entry'!AT$4="Exponential",EXP(IF(AND(ISNUMBER('Council Entry'!AT$8),ISNUMBER('Council Entry'!AT$9)),MAX(MIN('Council Entry'!AT48,'Council Entry'!AT$9),'Council Entry'!AT$8),'Council Entry'!AT48)),IF(AND(ISNUMBER('Council Entry'!AT$8),ISNUMBER('Council Entry'!AT$9)),MAX(MIN('Council Entry'!AT48,'Council Entry'!AT$9),'Council Entry'!AT$8),'Council Entry'!AT48))))-'Council Entry'!AT$5)/('Council Entry'!AT$6-'Council Entry'!AT$5)),1))),"No data"))</f>
        <v/>
      </c>
      <c r="AU48" s="13">
        <f>IF('Council Entry'!AU48="","",IFERROR(MAX(0,MIN(10,ROUND(IF('Council Entry'!AU$7="Decrease Risk",10-10*((IF('Council Entry'!AU$4="Logarithm",LN(0.001+IF(AND(ISNUMBER('Council Entry'!AU$8),ISNUMBER('Council Entry'!AU$9)),MAX(MIN('Council Entry'!AU48,'Council Entry'!AU$9),'Council Entry'!AU$8),'Council Entry'!AU48)),IF('Council Entry'!AU$4="Exponential",EXP(IF(AND(ISNUMBER('Council Entry'!AU$8),ISNUMBER('Council Entry'!AU$9)),MAX(MIN('Council Entry'!AU48,'Council Entry'!AU$9),'Council Entry'!AU$8),'Council Entry'!AU48)),IF(AND(ISNUMBER('Council Entry'!AU$8),ISNUMBER('Council Entry'!AU$9)),MAX(MIN('Council Entry'!AU48,'Council Entry'!AU$9),'Council Entry'!AU$8),'Council Entry'!AU48))))-'Council Entry'!AU$5)/('Council Entry'!AU$6-'Council Entry'!AU$5),10*((IF('Council Entry'!AU$4="Logarithm",LN(0.001+IF(AND(ISNUMBER('Council Entry'!AU$8),ISNUMBER('Council Entry'!AU$9)),MAX(MIN('Council Entry'!AU48,'Council Entry'!AU$9),'Council Entry'!AU$8),'Council Entry'!AU48)),IF('Council Entry'!AU$4="Exponential",EXP(IF(AND(ISNUMBER('Council Entry'!AU$8),ISNUMBER('Council Entry'!AU$9)),MAX(MIN('Council Entry'!AU48,'Council Entry'!AU$9),'Council Entry'!AU$8),'Council Entry'!AU48)),IF(AND(ISNUMBER('Council Entry'!AU$8),ISNUMBER('Council Entry'!AU$9)),MAX(MIN('Council Entry'!AU48,'Council Entry'!AU$9),'Council Entry'!AU$8),'Council Entry'!AU48))))-'Council Entry'!AU$5)/('Council Entry'!AU$6-'Council Entry'!AU$5)),1))),"No data"))</f>
        <v/>
      </c>
      <c r="AV48" s="13">
        <f>IF('Council Entry'!AV48="","",IFERROR(MAX(0,MIN(10,ROUND(IF('Council Entry'!AV$7="Decrease Risk",10-10*((IF('Council Entry'!AV$4="Logarithm",LN(0.001+IF(AND(ISNUMBER('Council Entry'!AV$8),ISNUMBER('Council Entry'!AV$9)),MAX(MIN('Council Entry'!AV48,'Council Entry'!AV$9),'Council Entry'!AV$8),'Council Entry'!AV48)),IF('Council Entry'!AV$4="Exponential",EXP(IF(AND(ISNUMBER('Council Entry'!AV$8),ISNUMBER('Council Entry'!AV$9)),MAX(MIN('Council Entry'!AV48,'Council Entry'!AV$9),'Council Entry'!AV$8),'Council Entry'!AV48)),IF(AND(ISNUMBER('Council Entry'!AV$8),ISNUMBER('Council Entry'!AV$9)),MAX(MIN('Council Entry'!AV48,'Council Entry'!AV$9),'Council Entry'!AV$8),'Council Entry'!AV48))))-'Council Entry'!AV$5)/('Council Entry'!AV$6-'Council Entry'!AV$5),10*((IF('Council Entry'!AV$4="Logarithm",LN(0.001+IF(AND(ISNUMBER('Council Entry'!AV$8),ISNUMBER('Council Entry'!AV$9)),MAX(MIN('Council Entry'!AV48,'Council Entry'!AV$9),'Council Entry'!AV$8),'Council Entry'!AV48)),IF('Council Entry'!AV$4="Exponential",EXP(IF(AND(ISNUMBER('Council Entry'!AV$8),ISNUMBER('Council Entry'!AV$9)),MAX(MIN('Council Entry'!AV48,'Council Entry'!AV$9),'Council Entry'!AV$8),'Council Entry'!AV48)),IF(AND(ISNUMBER('Council Entry'!AV$8),ISNUMBER('Council Entry'!AV$9)),MAX(MIN('Council Entry'!AV48,'Council Entry'!AV$9),'Council Entry'!AV$8),'Council Entry'!AV48))))-'Council Entry'!AV$5)/('Council Entry'!AV$6-'Council Entry'!AV$5)),1))),"No data"))</f>
        <v/>
      </c>
      <c r="AW48" s="13">
        <f>IF('Council Entry'!AW48="","",IFERROR(MAX(0,MIN(10,ROUND(IF('Council Entry'!AW$7="Decrease Risk",10-10*((IF('Council Entry'!AW$4="Logarithm",LN(0.001+IF(AND(ISNUMBER('Council Entry'!AW$8),ISNUMBER('Council Entry'!AW$9)),MAX(MIN('Council Entry'!AW48,'Council Entry'!AW$9),'Council Entry'!AW$8),'Council Entry'!AW48)),IF('Council Entry'!AW$4="Exponential",EXP(IF(AND(ISNUMBER('Council Entry'!AW$8),ISNUMBER('Council Entry'!AW$9)),MAX(MIN('Council Entry'!AW48,'Council Entry'!AW$9),'Council Entry'!AW$8),'Council Entry'!AW48)),IF(AND(ISNUMBER('Council Entry'!AW$8),ISNUMBER('Council Entry'!AW$9)),MAX(MIN('Council Entry'!AW48,'Council Entry'!AW$9),'Council Entry'!AW$8),'Council Entry'!AW48))))-'Council Entry'!AW$5)/('Council Entry'!AW$6-'Council Entry'!AW$5),10*((IF('Council Entry'!AW$4="Logarithm",LN(0.001+IF(AND(ISNUMBER('Council Entry'!AW$8),ISNUMBER('Council Entry'!AW$9)),MAX(MIN('Council Entry'!AW48,'Council Entry'!AW$9),'Council Entry'!AW$8),'Council Entry'!AW48)),IF('Council Entry'!AW$4="Exponential",EXP(IF(AND(ISNUMBER('Council Entry'!AW$8),ISNUMBER('Council Entry'!AW$9)),MAX(MIN('Council Entry'!AW48,'Council Entry'!AW$9),'Council Entry'!AW$8),'Council Entry'!AW48)),IF(AND(ISNUMBER('Council Entry'!AW$8),ISNUMBER('Council Entry'!AW$9)),MAX(MIN('Council Entry'!AW48,'Council Entry'!AW$9),'Council Entry'!AW$8),'Council Entry'!AW48))))-'Council Entry'!AW$5)/('Council Entry'!AW$6-'Council Entry'!AW$5)),1))),"No data"))</f>
        <v/>
      </c>
      <c r="AX48" s="13">
        <f>IF('Council Entry'!AX48="","",IFERROR(MAX(0,MIN(10,ROUND(IF('Council Entry'!AX$7="Decrease Risk",10-10*((IF('Council Entry'!AX$4="Logarithm",LN(0.001+IF(AND(ISNUMBER('Council Entry'!AX$8),ISNUMBER('Council Entry'!AX$9)),MAX(MIN('Council Entry'!AX48,'Council Entry'!AX$9),'Council Entry'!AX$8),'Council Entry'!AX48)),IF('Council Entry'!AX$4="Exponential",EXP(IF(AND(ISNUMBER('Council Entry'!AX$8),ISNUMBER('Council Entry'!AX$9)),MAX(MIN('Council Entry'!AX48,'Council Entry'!AX$9),'Council Entry'!AX$8),'Council Entry'!AX48)),IF(AND(ISNUMBER('Council Entry'!AX$8),ISNUMBER('Council Entry'!AX$9)),MAX(MIN('Council Entry'!AX48,'Council Entry'!AX$9),'Council Entry'!AX$8),'Council Entry'!AX48))))-'Council Entry'!AX$5)/('Council Entry'!AX$6-'Council Entry'!AX$5),10*((IF('Council Entry'!AX$4="Logarithm",LN(0.001+IF(AND(ISNUMBER('Council Entry'!AX$8),ISNUMBER('Council Entry'!AX$9)),MAX(MIN('Council Entry'!AX48,'Council Entry'!AX$9),'Council Entry'!AX$8),'Council Entry'!AX48)),IF('Council Entry'!AX$4="Exponential",EXP(IF(AND(ISNUMBER('Council Entry'!AX$8),ISNUMBER('Council Entry'!AX$9)),MAX(MIN('Council Entry'!AX48,'Council Entry'!AX$9),'Council Entry'!AX$8),'Council Entry'!AX48)),IF(AND(ISNUMBER('Council Entry'!AX$8),ISNUMBER('Council Entry'!AX$9)),MAX(MIN('Council Entry'!AX48,'Council Entry'!AX$9),'Council Entry'!AX$8),'Council Entry'!AX48))))-'Council Entry'!AX$5)/('Council Entry'!AX$6-'Council Entry'!AX$5)),1))),"No data"))</f>
        <v/>
      </c>
      <c r="AY48" s="13">
        <f>IF('Council Entry'!AY48="","",IFERROR(MAX(0,MIN(10,ROUND(IF('Council Entry'!AY$7="Decrease Risk",10-10*((IF('Council Entry'!AY$4="Logarithm",LN(0.001+IF(AND(ISNUMBER('Council Entry'!AY$8),ISNUMBER('Council Entry'!AY$9)),MAX(MIN('Council Entry'!AY48,'Council Entry'!AY$9),'Council Entry'!AY$8),'Council Entry'!AY48)),IF('Council Entry'!AY$4="Exponential",EXP(IF(AND(ISNUMBER('Council Entry'!AY$8),ISNUMBER('Council Entry'!AY$9)),MAX(MIN('Council Entry'!AY48,'Council Entry'!AY$9),'Council Entry'!AY$8),'Council Entry'!AY48)),IF(AND(ISNUMBER('Council Entry'!AY$8),ISNUMBER('Council Entry'!AY$9)),MAX(MIN('Council Entry'!AY48,'Council Entry'!AY$9),'Council Entry'!AY$8),'Council Entry'!AY48))))-'Council Entry'!AY$5)/('Council Entry'!AY$6-'Council Entry'!AY$5),10*((IF('Council Entry'!AY$4="Logarithm",LN(0.001+IF(AND(ISNUMBER('Council Entry'!AY$8),ISNUMBER('Council Entry'!AY$9)),MAX(MIN('Council Entry'!AY48,'Council Entry'!AY$9),'Council Entry'!AY$8),'Council Entry'!AY48)),IF('Council Entry'!AY$4="Exponential",EXP(IF(AND(ISNUMBER('Council Entry'!AY$8),ISNUMBER('Council Entry'!AY$9)),MAX(MIN('Council Entry'!AY48,'Council Entry'!AY$9),'Council Entry'!AY$8),'Council Entry'!AY48)),IF(AND(ISNUMBER('Council Entry'!AY$8),ISNUMBER('Council Entry'!AY$9)),MAX(MIN('Council Entry'!AY48,'Council Entry'!AY$9),'Council Entry'!AY$8),'Council Entry'!AY48))))-'Council Entry'!AY$5)/('Council Entry'!AY$6-'Council Entry'!AY$5)),1))),"No data"))</f>
        <v/>
      </c>
      <c r="AZ48" s="13">
        <f>IF('Council Entry'!AZ48="","",IFERROR(MAX(0,MIN(10,ROUND(IF('Council Entry'!AZ$7="Decrease Risk",10-10*((IF('Council Entry'!AZ$4="Logarithm",LN(0.001+IF(AND(ISNUMBER('Council Entry'!AZ$8),ISNUMBER('Council Entry'!AZ$9)),MAX(MIN('Council Entry'!AZ48,'Council Entry'!AZ$9),'Council Entry'!AZ$8),'Council Entry'!AZ48)),IF('Council Entry'!AZ$4="Exponential",EXP(IF(AND(ISNUMBER('Council Entry'!AZ$8),ISNUMBER('Council Entry'!AZ$9)),MAX(MIN('Council Entry'!AZ48,'Council Entry'!AZ$9),'Council Entry'!AZ$8),'Council Entry'!AZ48)),IF(AND(ISNUMBER('Council Entry'!AZ$8),ISNUMBER('Council Entry'!AZ$9)),MAX(MIN('Council Entry'!AZ48,'Council Entry'!AZ$9),'Council Entry'!AZ$8),'Council Entry'!AZ48))))-'Council Entry'!AZ$5)/('Council Entry'!AZ$6-'Council Entry'!AZ$5),10*((IF('Council Entry'!AZ$4="Logarithm",LN(0.001+IF(AND(ISNUMBER('Council Entry'!AZ$8),ISNUMBER('Council Entry'!AZ$9)),MAX(MIN('Council Entry'!AZ48,'Council Entry'!AZ$9),'Council Entry'!AZ$8),'Council Entry'!AZ48)),IF('Council Entry'!AZ$4="Exponential",EXP(IF(AND(ISNUMBER('Council Entry'!AZ$8),ISNUMBER('Council Entry'!AZ$9)),MAX(MIN('Council Entry'!AZ48,'Council Entry'!AZ$9),'Council Entry'!AZ$8),'Council Entry'!AZ48)),IF(AND(ISNUMBER('Council Entry'!AZ$8),ISNUMBER('Council Entry'!AZ$9)),MAX(MIN('Council Entry'!AZ48,'Council Entry'!AZ$9),'Council Entry'!AZ$8),'Council Entry'!AZ48))))-'Council Entry'!AZ$5)/('Council Entry'!AZ$6-'Council Entry'!AZ$5)),1))),"No data"))</f>
        <v/>
      </c>
      <c r="BA48" s="13">
        <f>IF('Council Entry'!BA48="","",IFERROR(MAX(0,MIN(10,ROUND(IF('Council Entry'!BA$7="Decrease Risk",10-10*((IF('Council Entry'!BA$4="Logarithm",LN(0.001+IF(AND(ISNUMBER('Council Entry'!BA$8),ISNUMBER('Council Entry'!BA$9)),MAX(MIN('Council Entry'!BA48,'Council Entry'!BA$9),'Council Entry'!BA$8),'Council Entry'!BA48)),IF('Council Entry'!BA$4="Exponential",EXP(IF(AND(ISNUMBER('Council Entry'!BA$8),ISNUMBER('Council Entry'!BA$9)),MAX(MIN('Council Entry'!BA48,'Council Entry'!BA$9),'Council Entry'!BA$8),'Council Entry'!BA48)),IF(AND(ISNUMBER('Council Entry'!BA$8),ISNUMBER('Council Entry'!BA$9)),MAX(MIN('Council Entry'!BA48,'Council Entry'!BA$9),'Council Entry'!BA$8),'Council Entry'!BA48))))-'Council Entry'!BA$5)/('Council Entry'!BA$6-'Council Entry'!BA$5),10*((IF('Council Entry'!BA$4="Logarithm",LN(0.001+IF(AND(ISNUMBER('Council Entry'!BA$8),ISNUMBER('Council Entry'!BA$9)),MAX(MIN('Council Entry'!BA48,'Council Entry'!BA$9),'Council Entry'!BA$8),'Council Entry'!BA48)),IF('Council Entry'!BA$4="Exponential",EXP(IF(AND(ISNUMBER('Council Entry'!BA$8),ISNUMBER('Council Entry'!BA$9)),MAX(MIN('Council Entry'!BA48,'Council Entry'!BA$9),'Council Entry'!BA$8),'Council Entry'!BA48)),IF(AND(ISNUMBER('Council Entry'!BA$8),ISNUMBER('Council Entry'!BA$9)),MAX(MIN('Council Entry'!BA48,'Council Entry'!BA$9),'Council Entry'!BA$8),'Council Entry'!BA48))))-'Council Entry'!BA$5)/('Council Entry'!BA$6-'Council Entry'!BA$5)),1))),"No data"))</f>
        <v/>
      </c>
      <c r="BB48" s="13">
        <f>IF('Council Entry'!BB48="","",IFERROR(MAX(0,MIN(10,ROUND(IF('Council Entry'!BB$7="Decrease Risk",10-10*((IF('Council Entry'!BB$4="Logarithm",LN(0.001+IF(AND(ISNUMBER('Council Entry'!BB$8),ISNUMBER('Council Entry'!BB$9)),MAX(MIN('Council Entry'!BB48,'Council Entry'!BB$9),'Council Entry'!BB$8),'Council Entry'!BB48)),IF('Council Entry'!BB$4="Exponential",EXP(IF(AND(ISNUMBER('Council Entry'!BB$8),ISNUMBER('Council Entry'!BB$9)),MAX(MIN('Council Entry'!BB48,'Council Entry'!BB$9),'Council Entry'!BB$8),'Council Entry'!BB48)),IF(AND(ISNUMBER('Council Entry'!BB$8),ISNUMBER('Council Entry'!BB$9)),MAX(MIN('Council Entry'!BB48,'Council Entry'!BB$9),'Council Entry'!BB$8),'Council Entry'!BB48))))-'Council Entry'!BB$5)/('Council Entry'!BB$6-'Council Entry'!BB$5),10*((IF('Council Entry'!BB$4="Logarithm",LN(0.001+IF(AND(ISNUMBER('Council Entry'!BB$8),ISNUMBER('Council Entry'!BB$9)),MAX(MIN('Council Entry'!BB48,'Council Entry'!BB$9),'Council Entry'!BB$8),'Council Entry'!BB48)),IF('Council Entry'!BB$4="Exponential",EXP(IF(AND(ISNUMBER('Council Entry'!BB$8),ISNUMBER('Council Entry'!BB$9)),MAX(MIN('Council Entry'!BB48,'Council Entry'!BB$9),'Council Entry'!BB$8),'Council Entry'!BB48)),IF(AND(ISNUMBER('Council Entry'!BB$8),ISNUMBER('Council Entry'!BB$9)),MAX(MIN('Council Entry'!BB48,'Council Entry'!BB$9),'Council Entry'!BB$8),'Council Entry'!BB48))))-'Council Entry'!BB$5)/('Council Entry'!BB$6-'Council Entry'!BB$5)),1))),"No data"))</f>
        <v/>
      </c>
      <c r="BC48" s="13">
        <f>IF('Council Entry'!BC48="","",IFERROR(MAX(0,MIN(10,ROUND(IF('Council Entry'!BC$7="Decrease Risk",10-10*((IF('Council Entry'!BC$4="Logarithm",LN(0.001+IF(AND(ISNUMBER('Council Entry'!BC$8),ISNUMBER('Council Entry'!BC$9)),MAX(MIN('Council Entry'!BC48,'Council Entry'!BC$9),'Council Entry'!BC$8),'Council Entry'!BC48)),IF('Council Entry'!BC$4="Exponential",EXP(IF(AND(ISNUMBER('Council Entry'!BC$8),ISNUMBER('Council Entry'!BC$9)),MAX(MIN('Council Entry'!BC48,'Council Entry'!BC$9),'Council Entry'!BC$8),'Council Entry'!BC48)),IF(AND(ISNUMBER('Council Entry'!BC$8),ISNUMBER('Council Entry'!BC$9)),MAX(MIN('Council Entry'!BC48,'Council Entry'!BC$9),'Council Entry'!BC$8),'Council Entry'!BC48))))-'Council Entry'!BC$5)/('Council Entry'!BC$6-'Council Entry'!BC$5),10*((IF('Council Entry'!BC$4="Logarithm",LN(0.001+IF(AND(ISNUMBER('Council Entry'!BC$8),ISNUMBER('Council Entry'!BC$9)),MAX(MIN('Council Entry'!BC48,'Council Entry'!BC$9),'Council Entry'!BC$8),'Council Entry'!BC48)),IF('Council Entry'!BC$4="Exponential",EXP(IF(AND(ISNUMBER('Council Entry'!BC$8),ISNUMBER('Council Entry'!BC$9)),MAX(MIN('Council Entry'!BC48,'Council Entry'!BC$9),'Council Entry'!BC$8),'Council Entry'!BC48)),IF(AND(ISNUMBER('Council Entry'!BC$8),ISNUMBER('Council Entry'!BC$9)),MAX(MIN('Council Entry'!BC48,'Council Entry'!BC$9),'Council Entry'!BC$8),'Council Entry'!BC48))))-'Council Entry'!BC$5)/('Council Entry'!BC$6-'Council Entry'!BC$5)),1))),"No data"))</f>
        <v/>
      </c>
      <c r="BD48" s="13">
        <f>IF('Council Entry'!BD48="","",IFERROR(MAX(0,MIN(10,ROUND(IF('Council Entry'!BD$7="Decrease Risk",10-10*((IF('Council Entry'!BD$4="Logarithm",LN(0.001+IF(AND(ISNUMBER('Council Entry'!BD$8),ISNUMBER('Council Entry'!BD$9)),MAX(MIN('Council Entry'!BD48,'Council Entry'!BD$9),'Council Entry'!BD$8),'Council Entry'!BD48)),IF('Council Entry'!BD$4="Exponential",EXP(IF(AND(ISNUMBER('Council Entry'!BD$8),ISNUMBER('Council Entry'!BD$9)),MAX(MIN('Council Entry'!BD48,'Council Entry'!BD$9),'Council Entry'!BD$8),'Council Entry'!BD48)),IF(AND(ISNUMBER('Council Entry'!BD$8),ISNUMBER('Council Entry'!BD$9)),MAX(MIN('Council Entry'!BD48,'Council Entry'!BD$9),'Council Entry'!BD$8),'Council Entry'!BD48))))-'Council Entry'!BD$5)/('Council Entry'!BD$6-'Council Entry'!BD$5),10*((IF('Council Entry'!BD$4="Logarithm",LN(0.001+IF(AND(ISNUMBER('Council Entry'!BD$8),ISNUMBER('Council Entry'!BD$9)),MAX(MIN('Council Entry'!BD48,'Council Entry'!BD$9),'Council Entry'!BD$8),'Council Entry'!BD48)),IF('Council Entry'!BD$4="Exponential",EXP(IF(AND(ISNUMBER('Council Entry'!BD$8),ISNUMBER('Council Entry'!BD$9)),MAX(MIN('Council Entry'!BD48,'Council Entry'!BD$9),'Council Entry'!BD$8),'Council Entry'!BD48)),IF(AND(ISNUMBER('Council Entry'!BD$8),ISNUMBER('Council Entry'!BD$9)),MAX(MIN('Council Entry'!BD48,'Council Entry'!BD$9),'Council Entry'!BD$8),'Council Entry'!BD48))))-'Council Entry'!BD$5)/('Council Entry'!BD$6-'Council Entry'!BD$5)),1))),"No data"))</f>
        <v/>
      </c>
    </row>
    <row r="49">
      <c r="A49" t="inlineStr">
        <is>
          <t>Kagera</t>
        </is>
      </c>
      <c r="B49" t="inlineStr">
        <is>
          <t>Ngara District</t>
        </is>
      </c>
      <c r="C49" t="inlineStr">
        <is>
          <t>C130</t>
        </is>
      </c>
      <c r="D49" s="13">
        <f>IF('Council Entry'!D49="","",IFERROR(MAX(0,MIN(10,ROUND(IF('Council Entry'!D$7="Decrease Risk",10-10*((IF('Council Entry'!D$4="Logarithm",LN(0.001+IF(AND(ISNUMBER('Council Entry'!D$8),ISNUMBER('Council Entry'!D$9)),MAX(MIN('Council Entry'!D49,'Council Entry'!D$9),'Council Entry'!D$8),'Council Entry'!D49)),IF('Council Entry'!D$4="Exponential",EXP(IF(AND(ISNUMBER('Council Entry'!D$8),ISNUMBER('Council Entry'!D$9)),MAX(MIN('Council Entry'!D49,'Council Entry'!D$9),'Council Entry'!D$8),'Council Entry'!D49)),IF(AND(ISNUMBER('Council Entry'!D$8),ISNUMBER('Council Entry'!D$9)),MAX(MIN('Council Entry'!D49,'Council Entry'!D$9),'Council Entry'!D$8),'Council Entry'!D49))))-'Council Entry'!D$5)/('Council Entry'!D$6-'Council Entry'!D$5),10*((IF('Council Entry'!D$4="Logarithm",LN(0.001+IF(AND(ISNUMBER('Council Entry'!D$8),ISNUMBER('Council Entry'!D$9)),MAX(MIN('Council Entry'!D49,'Council Entry'!D$9),'Council Entry'!D$8),'Council Entry'!D49)),IF('Council Entry'!D$4="Exponential",EXP(IF(AND(ISNUMBER('Council Entry'!D$8),ISNUMBER('Council Entry'!D$9)),MAX(MIN('Council Entry'!D49,'Council Entry'!D$9),'Council Entry'!D$8),'Council Entry'!D49)),IF(AND(ISNUMBER('Council Entry'!D$8),ISNUMBER('Council Entry'!D$9)),MAX(MIN('Council Entry'!D49,'Council Entry'!D$9),'Council Entry'!D$8),'Council Entry'!D49))))-'Council Entry'!D$5)/('Council Entry'!D$6-'Council Entry'!D$5)),1))),"No data"))</f>
        <v/>
      </c>
      <c r="E49" s="13">
        <f>IF('Council Entry'!E49="","",IFERROR(MAX(0,MIN(10,ROUND(IF('Council Entry'!E$7="Decrease Risk",10-10*((IF('Council Entry'!E$4="Logarithm",LN(0.001+IF(AND(ISNUMBER('Council Entry'!E$8),ISNUMBER('Council Entry'!E$9)),MAX(MIN('Council Entry'!E49,'Council Entry'!E$9),'Council Entry'!E$8),'Council Entry'!E49)),IF('Council Entry'!E$4="Exponential",EXP(IF(AND(ISNUMBER('Council Entry'!E$8),ISNUMBER('Council Entry'!E$9)),MAX(MIN('Council Entry'!E49,'Council Entry'!E$9),'Council Entry'!E$8),'Council Entry'!E49)),IF(AND(ISNUMBER('Council Entry'!E$8),ISNUMBER('Council Entry'!E$9)),MAX(MIN('Council Entry'!E49,'Council Entry'!E$9),'Council Entry'!E$8),'Council Entry'!E49))))-'Council Entry'!E$5)/('Council Entry'!E$6-'Council Entry'!E$5),10*((IF('Council Entry'!E$4="Logarithm",LN(0.001+IF(AND(ISNUMBER('Council Entry'!E$8),ISNUMBER('Council Entry'!E$9)),MAX(MIN('Council Entry'!E49,'Council Entry'!E$9),'Council Entry'!E$8),'Council Entry'!E49)),IF('Council Entry'!E$4="Exponential",EXP(IF(AND(ISNUMBER('Council Entry'!E$8),ISNUMBER('Council Entry'!E$9)),MAX(MIN('Council Entry'!E49,'Council Entry'!E$9),'Council Entry'!E$8),'Council Entry'!E49)),IF(AND(ISNUMBER('Council Entry'!E$8),ISNUMBER('Council Entry'!E$9)),MAX(MIN('Council Entry'!E49,'Council Entry'!E$9),'Council Entry'!E$8),'Council Entry'!E49))))-'Council Entry'!E$5)/('Council Entry'!E$6-'Council Entry'!E$5)),1))),"No data"))</f>
        <v/>
      </c>
      <c r="F49" s="13">
        <f>IF('Council Entry'!F49="","",IFERROR(MAX(0,MIN(10,ROUND(IF('Council Entry'!F$7="Decrease Risk",10-10*((IF('Council Entry'!F$4="Logarithm",LN(0.001+IF(AND(ISNUMBER('Council Entry'!F$8),ISNUMBER('Council Entry'!F$9)),MAX(MIN('Council Entry'!F49,'Council Entry'!F$9),'Council Entry'!F$8),'Council Entry'!F49)),IF('Council Entry'!F$4="Exponential",EXP(IF(AND(ISNUMBER('Council Entry'!F$8),ISNUMBER('Council Entry'!F$9)),MAX(MIN('Council Entry'!F49,'Council Entry'!F$9),'Council Entry'!F$8),'Council Entry'!F49)),IF(AND(ISNUMBER('Council Entry'!F$8),ISNUMBER('Council Entry'!F$9)),MAX(MIN('Council Entry'!F49,'Council Entry'!F$9),'Council Entry'!F$8),'Council Entry'!F49))))-'Council Entry'!F$5)/('Council Entry'!F$6-'Council Entry'!F$5),10*((IF('Council Entry'!F$4="Logarithm",LN(0.001+IF(AND(ISNUMBER('Council Entry'!F$8),ISNUMBER('Council Entry'!F$9)),MAX(MIN('Council Entry'!F49,'Council Entry'!F$9),'Council Entry'!F$8),'Council Entry'!F49)),IF('Council Entry'!F$4="Exponential",EXP(IF(AND(ISNUMBER('Council Entry'!F$8),ISNUMBER('Council Entry'!F$9)),MAX(MIN('Council Entry'!F49,'Council Entry'!F$9),'Council Entry'!F$8),'Council Entry'!F49)),IF(AND(ISNUMBER('Council Entry'!F$8),ISNUMBER('Council Entry'!F$9)),MAX(MIN('Council Entry'!F49,'Council Entry'!F$9),'Council Entry'!F$8),'Council Entry'!F49))))-'Council Entry'!F$5)/('Council Entry'!F$6-'Council Entry'!F$5)),1))),"No data"))</f>
        <v/>
      </c>
      <c r="G49" s="13">
        <f>IF('Council Entry'!G49="","",IFERROR(MAX(0,MIN(10,ROUND(IF('Council Entry'!G$7="Decrease Risk",10-10*((IF('Council Entry'!G$4="Logarithm",LN(0.001+IF(AND(ISNUMBER('Council Entry'!G$8),ISNUMBER('Council Entry'!G$9)),MAX(MIN('Council Entry'!G49,'Council Entry'!G$9),'Council Entry'!G$8),'Council Entry'!G49)),IF('Council Entry'!G$4="Exponential",EXP(IF(AND(ISNUMBER('Council Entry'!G$8),ISNUMBER('Council Entry'!G$9)),MAX(MIN('Council Entry'!G49,'Council Entry'!G$9),'Council Entry'!G$8),'Council Entry'!G49)),IF(AND(ISNUMBER('Council Entry'!G$8),ISNUMBER('Council Entry'!G$9)),MAX(MIN('Council Entry'!G49,'Council Entry'!G$9),'Council Entry'!G$8),'Council Entry'!G49))))-'Council Entry'!G$5)/('Council Entry'!G$6-'Council Entry'!G$5),10*((IF('Council Entry'!G$4="Logarithm",LN(0.001+IF(AND(ISNUMBER('Council Entry'!G$8),ISNUMBER('Council Entry'!G$9)),MAX(MIN('Council Entry'!G49,'Council Entry'!G$9),'Council Entry'!G$8),'Council Entry'!G49)),IF('Council Entry'!G$4="Exponential",EXP(IF(AND(ISNUMBER('Council Entry'!G$8),ISNUMBER('Council Entry'!G$9)),MAX(MIN('Council Entry'!G49,'Council Entry'!G$9),'Council Entry'!G$8),'Council Entry'!G49)),IF(AND(ISNUMBER('Council Entry'!G$8),ISNUMBER('Council Entry'!G$9)),MAX(MIN('Council Entry'!G49,'Council Entry'!G$9),'Council Entry'!G$8),'Council Entry'!G49))))-'Council Entry'!G$5)/('Council Entry'!G$6-'Council Entry'!G$5)),1))),"No data"))</f>
        <v/>
      </c>
      <c r="H49" s="13">
        <f>IF('Council Entry'!H49="","",IFERROR(MAX(0,MIN(10,ROUND(IF('Council Entry'!H$7="Decrease Risk",10-10*((IF('Council Entry'!H$4="Logarithm",LN(0.001+IF(AND(ISNUMBER('Council Entry'!H$8),ISNUMBER('Council Entry'!H$9)),MAX(MIN('Council Entry'!H49,'Council Entry'!H$9),'Council Entry'!H$8),'Council Entry'!H49)),IF('Council Entry'!H$4="Exponential",EXP(IF(AND(ISNUMBER('Council Entry'!H$8),ISNUMBER('Council Entry'!H$9)),MAX(MIN('Council Entry'!H49,'Council Entry'!H$9),'Council Entry'!H$8),'Council Entry'!H49)),IF(AND(ISNUMBER('Council Entry'!H$8),ISNUMBER('Council Entry'!H$9)),MAX(MIN('Council Entry'!H49,'Council Entry'!H$9),'Council Entry'!H$8),'Council Entry'!H49))))-'Council Entry'!H$5)/('Council Entry'!H$6-'Council Entry'!H$5),10*((IF('Council Entry'!H$4="Logarithm",LN(0.001+IF(AND(ISNUMBER('Council Entry'!H$8),ISNUMBER('Council Entry'!H$9)),MAX(MIN('Council Entry'!H49,'Council Entry'!H$9),'Council Entry'!H$8),'Council Entry'!H49)),IF('Council Entry'!H$4="Exponential",EXP(IF(AND(ISNUMBER('Council Entry'!H$8),ISNUMBER('Council Entry'!H$9)),MAX(MIN('Council Entry'!H49,'Council Entry'!H$9),'Council Entry'!H$8),'Council Entry'!H49)),IF(AND(ISNUMBER('Council Entry'!H$8),ISNUMBER('Council Entry'!H$9)),MAX(MIN('Council Entry'!H49,'Council Entry'!H$9),'Council Entry'!H$8),'Council Entry'!H49))))-'Council Entry'!H$5)/('Council Entry'!H$6-'Council Entry'!H$5)),1))),"No data"))</f>
        <v/>
      </c>
      <c r="I49" s="13">
        <f>IF('Council Entry'!I49="","",IFERROR(MAX(0,MIN(10,ROUND(IF('Council Entry'!I$7="Decrease Risk",10-10*((IF('Council Entry'!I$4="Logarithm",LN(0.001+IF(AND(ISNUMBER('Council Entry'!I$8),ISNUMBER('Council Entry'!I$9)),MAX(MIN('Council Entry'!I49,'Council Entry'!I$9),'Council Entry'!I$8),'Council Entry'!I49)),IF('Council Entry'!I$4="Exponential",EXP(IF(AND(ISNUMBER('Council Entry'!I$8),ISNUMBER('Council Entry'!I$9)),MAX(MIN('Council Entry'!I49,'Council Entry'!I$9),'Council Entry'!I$8),'Council Entry'!I49)),IF(AND(ISNUMBER('Council Entry'!I$8),ISNUMBER('Council Entry'!I$9)),MAX(MIN('Council Entry'!I49,'Council Entry'!I$9),'Council Entry'!I$8),'Council Entry'!I49))))-'Council Entry'!I$5)/('Council Entry'!I$6-'Council Entry'!I$5),10*((IF('Council Entry'!I$4="Logarithm",LN(0.001+IF(AND(ISNUMBER('Council Entry'!I$8),ISNUMBER('Council Entry'!I$9)),MAX(MIN('Council Entry'!I49,'Council Entry'!I$9),'Council Entry'!I$8),'Council Entry'!I49)),IF('Council Entry'!I$4="Exponential",EXP(IF(AND(ISNUMBER('Council Entry'!I$8),ISNUMBER('Council Entry'!I$9)),MAX(MIN('Council Entry'!I49,'Council Entry'!I$9),'Council Entry'!I$8),'Council Entry'!I49)),IF(AND(ISNUMBER('Council Entry'!I$8),ISNUMBER('Council Entry'!I$9)),MAX(MIN('Council Entry'!I49,'Council Entry'!I$9),'Council Entry'!I$8),'Council Entry'!I49))))-'Council Entry'!I$5)/('Council Entry'!I$6-'Council Entry'!I$5)),1))),"No data"))</f>
        <v/>
      </c>
      <c r="J49" s="13">
        <f>IF('Council Entry'!J49="","",IFERROR(MAX(0,MIN(10,ROUND(IF('Council Entry'!J$7="Decrease Risk",10-10*((IF('Council Entry'!J$4="Logarithm",LN(0.001+IF(AND(ISNUMBER('Council Entry'!J$8),ISNUMBER('Council Entry'!J$9)),MAX(MIN('Council Entry'!J49,'Council Entry'!J$9),'Council Entry'!J$8),'Council Entry'!J49)),IF('Council Entry'!J$4="Exponential",EXP(IF(AND(ISNUMBER('Council Entry'!J$8),ISNUMBER('Council Entry'!J$9)),MAX(MIN('Council Entry'!J49,'Council Entry'!J$9),'Council Entry'!J$8),'Council Entry'!J49)),IF(AND(ISNUMBER('Council Entry'!J$8),ISNUMBER('Council Entry'!J$9)),MAX(MIN('Council Entry'!J49,'Council Entry'!J$9),'Council Entry'!J$8),'Council Entry'!J49))))-'Council Entry'!J$5)/('Council Entry'!J$6-'Council Entry'!J$5),10*((IF('Council Entry'!J$4="Logarithm",LN(0.001+IF(AND(ISNUMBER('Council Entry'!J$8),ISNUMBER('Council Entry'!J$9)),MAX(MIN('Council Entry'!J49,'Council Entry'!J$9),'Council Entry'!J$8),'Council Entry'!J49)),IF('Council Entry'!J$4="Exponential",EXP(IF(AND(ISNUMBER('Council Entry'!J$8),ISNUMBER('Council Entry'!J$9)),MAX(MIN('Council Entry'!J49,'Council Entry'!J$9),'Council Entry'!J$8),'Council Entry'!J49)),IF(AND(ISNUMBER('Council Entry'!J$8),ISNUMBER('Council Entry'!J$9)),MAX(MIN('Council Entry'!J49,'Council Entry'!J$9),'Council Entry'!J$8),'Council Entry'!J49))))-'Council Entry'!J$5)/('Council Entry'!J$6-'Council Entry'!J$5)),1))),"No data"))</f>
        <v/>
      </c>
      <c r="K49" s="13">
        <f>IF('Council Entry'!K49="","",IFERROR(MAX(0,MIN(10,ROUND(IF('Council Entry'!K$7="Decrease Risk",10-10*((IF('Council Entry'!K$4="Logarithm",LN(0.001+IF(AND(ISNUMBER('Council Entry'!K$8),ISNUMBER('Council Entry'!K$9)),MAX(MIN('Council Entry'!K49,'Council Entry'!K$9),'Council Entry'!K$8),'Council Entry'!K49)),IF('Council Entry'!K$4="Exponential",EXP(IF(AND(ISNUMBER('Council Entry'!K$8),ISNUMBER('Council Entry'!K$9)),MAX(MIN('Council Entry'!K49,'Council Entry'!K$9),'Council Entry'!K$8),'Council Entry'!K49)),IF(AND(ISNUMBER('Council Entry'!K$8),ISNUMBER('Council Entry'!K$9)),MAX(MIN('Council Entry'!K49,'Council Entry'!K$9),'Council Entry'!K$8),'Council Entry'!K49))))-'Council Entry'!K$5)/('Council Entry'!K$6-'Council Entry'!K$5),10*((IF('Council Entry'!K$4="Logarithm",LN(0.001+IF(AND(ISNUMBER('Council Entry'!K$8),ISNUMBER('Council Entry'!K$9)),MAX(MIN('Council Entry'!K49,'Council Entry'!K$9),'Council Entry'!K$8),'Council Entry'!K49)),IF('Council Entry'!K$4="Exponential",EXP(IF(AND(ISNUMBER('Council Entry'!K$8),ISNUMBER('Council Entry'!K$9)),MAX(MIN('Council Entry'!K49,'Council Entry'!K$9),'Council Entry'!K$8),'Council Entry'!K49)),IF(AND(ISNUMBER('Council Entry'!K$8),ISNUMBER('Council Entry'!K$9)),MAX(MIN('Council Entry'!K49,'Council Entry'!K$9),'Council Entry'!K$8),'Council Entry'!K49))))-'Council Entry'!K$5)/('Council Entry'!K$6-'Council Entry'!K$5)),1))),"No data"))</f>
        <v/>
      </c>
      <c r="L49" s="13">
        <f>IF('Council Entry'!L49="","",IFERROR(MAX(0,MIN(10,ROUND(IF('Council Entry'!L$7="Decrease Risk",10-10*((IF('Council Entry'!L$4="Logarithm",LN(0.001+IF(AND(ISNUMBER('Council Entry'!L$8),ISNUMBER('Council Entry'!L$9)),MAX(MIN('Council Entry'!L49,'Council Entry'!L$9),'Council Entry'!L$8),'Council Entry'!L49)),IF('Council Entry'!L$4="Exponential",EXP(IF(AND(ISNUMBER('Council Entry'!L$8),ISNUMBER('Council Entry'!L$9)),MAX(MIN('Council Entry'!L49,'Council Entry'!L$9),'Council Entry'!L$8),'Council Entry'!L49)),IF(AND(ISNUMBER('Council Entry'!L$8),ISNUMBER('Council Entry'!L$9)),MAX(MIN('Council Entry'!L49,'Council Entry'!L$9),'Council Entry'!L$8),'Council Entry'!L49))))-'Council Entry'!L$5)/('Council Entry'!L$6-'Council Entry'!L$5),10*((IF('Council Entry'!L$4="Logarithm",LN(0.001+IF(AND(ISNUMBER('Council Entry'!L$8),ISNUMBER('Council Entry'!L$9)),MAX(MIN('Council Entry'!L49,'Council Entry'!L$9),'Council Entry'!L$8),'Council Entry'!L49)),IF('Council Entry'!L$4="Exponential",EXP(IF(AND(ISNUMBER('Council Entry'!L$8),ISNUMBER('Council Entry'!L$9)),MAX(MIN('Council Entry'!L49,'Council Entry'!L$9),'Council Entry'!L$8),'Council Entry'!L49)),IF(AND(ISNUMBER('Council Entry'!L$8),ISNUMBER('Council Entry'!L$9)),MAX(MIN('Council Entry'!L49,'Council Entry'!L$9),'Council Entry'!L$8),'Council Entry'!L49))))-'Council Entry'!L$5)/('Council Entry'!L$6-'Council Entry'!L$5)),1))),"No data"))</f>
        <v/>
      </c>
      <c r="M49" s="13">
        <f>IF('Council Entry'!M49="","",IFERROR(MAX(0,MIN(10,ROUND(IF('Council Entry'!M$7="Decrease Risk",10-10*((IF('Council Entry'!M$4="Logarithm",LN(0.001+IF(AND(ISNUMBER('Council Entry'!M$8),ISNUMBER('Council Entry'!M$9)),MAX(MIN('Council Entry'!M49,'Council Entry'!M$9),'Council Entry'!M$8),'Council Entry'!M49)),IF('Council Entry'!M$4="Exponential",EXP(IF(AND(ISNUMBER('Council Entry'!M$8),ISNUMBER('Council Entry'!M$9)),MAX(MIN('Council Entry'!M49,'Council Entry'!M$9),'Council Entry'!M$8),'Council Entry'!M49)),IF(AND(ISNUMBER('Council Entry'!M$8),ISNUMBER('Council Entry'!M$9)),MAX(MIN('Council Entry'!M49,'Council Entry'!M$9),'Council Entry'!M$8),'Council Entry'!M49))))-'Council Entry'!M$5)/('Council Entry'!M$6-'Council Entry'!M$5),10*((IF('Council Entry'!M$4="Logarithm",LN(0.001+IF(AND(ISNUMBER('Council Entry'!M$8),ISNUMBER('Council Entry'!M$9)),MAX(MIN('Council Entry'!M49,'Council Entry'!M$9),'Council Entry'!M$8),'Council Entry'!M49)),IF('Council Entry'!M$4="Exponential",EXP(IF(AND(ISNUMBER('Council Entry'!M$8),ISNUMBER('Council Entry'!M$9)),MAX(MIN('Council Entry'!M49,'Council Entry'!M$9),'Council Entry'!M$8),'Council Entry'!M49)),IF(AND(ISNUMBER('Council Entry'!M$8),ISNUMBER('Council Entry'!M$9)),MAX(MIN('Council Entry'!M49,'Council Entry'!M$9),'Council Entry'!M$8),'Council Entry'!M49))))-'Council Entry'!M$5)/('Council Entry'!M$6-'Council Entry'!M$5)),1))),"No data"))</f>
        <v/>
      </c>
      <c r="N49" s="13">
        <f>IF('Council Entry'!N49="","",IFERROR(MAX(0,MIN(10,ROUND(IF('Council Entry'!N$7="Decrease Risk",10-10*((IF('Council Entry'!N$4="Logarithm",LN(0.001+IF(AND(ISNUMBER('Council Entry'!N$8),ISNUMBER('Council Entry'!N$9)),MAX(MIN('Council Entry'!N49,'Council Entry'!N$9),'Council Entry'!N$8),'Council Entry'!N49)),IF('Council Entry'!N$4="Exponential",EXP(IF(AND(ISNUMBER('Council Entry'!N$8),ISNUMBER('Council Entry'!N$9)),MAX(MIN('Council Entry'!N49,'Council Entry'!N$9),'Council Entry'!N$8),'Council Entry'!N49)),IF(AND(ISNUMBER('Council Entry'!N$8),ISNUMBER('Council Entry'!N$9)),MAX(MIN('Council Entry'!N49,'Council Entry'!N$9),'Council Entry'!N$8),'Council Entry'!N49))))-'Council Entry'!N$5)/('Council Entry'!N$6-'Council Entry'!N$5),10*((IF('Council Entry'!N$4="Logarithm",LN(0.001+IF(AND(ISNUMBER('Council Entry'!N$8),ISNUMBER('Council Entry'!N$9)),MAX(MIN('Council Entry'!N49,'Council Entry'!N$9),'Council Entry'!N$8),'Council Entry'!N49)),IF('Council Entry'!N$4="Exponential",EXP(IF(AND(ISNUMBER('Council Entry'!N$8),ISNUMBER('Council Entry'!N$9)),MAX(MIN('Council Entry'!N49,'Council Entry'!N$9),'Council Entry'!N$8),'Council Entry'!N49)),IF(AND(ISNUMBER('Council Entry'!N$8),ISNUMBER('Council Entry'!N$9)),MAX(MIN('Council Entry'!N49,'Council Entry'!N$9),'Council Entry'!N$8),'Council Entry'!N49))))-'Council Entry'!N$5)/('Council Entry'!N$6-'Council Entry'!N$5)),1))),"No data"))</f>
        <v/>
      </c>
      <c r="O49" s="13">
        <f>IF('Council Entry'!O49="","",IFERROR(MAX(0,MIN(10,ROUND(IF('Council Entry'!O$7="Decrease Risk",10-10*((IF('Council Entry'!O$4="Logarithm",LN(0.001+IF(AND(ISNUMBER('Council Entry'!O$8),ISNUMBER('Council Entry'!O$9)),MAX(MIN('Council Entry'!O49,'Council Entry'!O$9),'Council Entry'!O$8),'Council Entry'!O49)),IF('Council Entry'!O$4="Exponential",EXP(IF(AND(ISNUMBER('Council Entry'!O$8),ISNUMBER('Council Entry'!O$9)),MAX(MIN('Council Entry'!O49,'Council Entry'!O$9),'Council Entry'!O$8),'Council Entry'!O49)),IF(AND(ISNUMBER('Council Entry'!O$8),ISNUMBER('Council Entry'!O$9)),MAX(MIN('Council Entry'!O49,'Council Entry'!O$9),'Council Entry'!O$8),'Council Entry'!O49))))-'Council Entry'!O$5)/('Council Entry'!O$6-'Council Entry'!O$5),10*((IF('Council Entry'!O$4="Logarithm",LN(0.001+IF(AND(ISNUMBER('Council Entry'!O$8),ISNUMBER('Council Entry'!O$9)),MAX(MIN('Council Entry'!O49,'Council Entry'!O$9),'Council Entry'!O$8),'Council Entry'!O49)),IF('Council Entry'!O$4="Exponential",EXP(IF(AND(ISNUMBER('Council Entry'!O$8),ISNUMBER('Council Entry'!O$9)),MAX(MIN('Council Entry'!O49,'Council Entry'!O$9),'Council Entry'!O$8),'Council Entry'!O49)),IF(AND(ISNUMBER('Council Entry'!O$8),ISNUMBER('Council Entry'!O$9)),MAX(MIN('Council Entry'!O49,'Council Entry'!O$9),'Council Entry'!O$8),'Council Entry'!O49))))-'Council Entry'!O$5)/('Council Entry'!O$6-'Council Entry'!O$5)),1))),"No data"))</f>
        <v/>
      </c>
      <c r="P49" s="13">
        <f>IF('Council Entry'!P49="","",IFERROR(MAX(0,MIN(10,ROUND(IF('Council Entry'!P$7="Decrease Risk",10-10*((IF('Council Entry'!P$4="Logarithm",LN(0.001+IF(AND(ISNUMBER('Council Entry'!P$8),ISNUMBER('Council Entry'!P$9)),MAX(MIN('Council Entry'!P49,'Council Entry'!P$9),'Council Entry'!P$8),'Council Entry'!P49)),IF('Council Entry'!P$4="Exponential",EXP(IF(AND(ISNUMBER('Council Entry'!P$8),ISNUMBER('Council Entry'!P$9)),MAX(MIN('Council Entry'!P49,'Council Entry'!P$9),'Council Entry'!P$8),'Council Entry'!P49)),IF(AND(ISNUMBER('Council Entry'!P$8),ISNUMBER('Council Entry'!P$9)),MAX(MIN('Council Entry'!P49,'Council Entry'!P$9),'Council Entry'!P$8),'Council Entry'!P49))))-'Council Entry'!P$5)/('Council Entry'!P$6-'Council Entry'!P$5),10*((IF('Council Entry'!P$4="Logarithm",LN(0.001+IF(AND(ISNUMBER('Council Entry'!P$8),ISNUMBER('Council Entry'!P$9)),MAX(MIN('Council Entry'!P49,'Council Entry'!P$9),'Council Entry'!P$8),'Council Entry'!P49)),IF('Council Entry'!P$4="Exponential",EXP(IF(AND(ISNUMBER('Council Entry'!P$8),ISNUMBER('Council Entry'!P$9)),MAX(MIN('Council Entry'!P49,'Council Entry'!P$9),'Council Entry'!P$8),'Council Entry'!P49)),IF(AND(ISNUMBER('Council Entry'!P$8),ISNUMBER('Council Entry'!P$9)),MAX(MIN('Council Entry'!P49,'Council Entry'!P$9),'Council Entry'!P$8),'Council Entry'!P49))))-'Council Entry'!P$5)/('Council Entry'!P$6-'Council Entry'!P$5)),1))),"No data"))</f>
        <v/>
      </c>
      <c r="Q49" s="13">
        <f>IF('Council Entry'!Q49="","",IFERROR(MAX(0,MIN(10,ROUND(IF('Council Entry'!Q$7="Decrease Risk",10-10*((IF('Council Entry'!Q$4="Logarithm",LN(0.001+IF(AND(ISNUMBER('Council Entry'!Q$8),ISNUMBER('Council Entry'!Q$9)),MAX(MIN('Council Entry'!Q49,'Council Entry'!Q$9),'Council Entry'!Q$8),'Council Entry'!Q49)),IF('Council Entry'!Q$4="Exponential",EXP(IF(AND(ISNUMBER('Council Entry'!Q$8),ISNUMBER('Council Entry'!Q$9)),MAX(MIN('Council Entry'!Q49,'Council Entry'!Q$9),'Council Entry'!Q$8),'Council Entry'!Q49)),IF(AND(ISNUMBER('Council Entry'!Q$8),ISNUMBER('Council Entry'!Q$9)),MAX(MIN('Council Entry'!Q49,'Council Entry'!Q$9),'Council Entry'!Q$8),'Council Entry'!Q49))))-'Council Entry'!Q$5)/('Council Entry'!Q$6-'Council Entry'!Q$5),10*((IF('Council Entry'!Q$4="Logarithm",LN(0.001+IF(AND(ISNUMBER('Council Entry'!Q$8),ISNUMBER('Council Entry'!Q$9)),MAX(MIN('Council Entry'!Q49,'Council Entry'!Q$9),'Council Entry'!Q$8),'Council Entry'!Q49)),IF('Council Entry'!Q$4="Exponential",EXP(IF(AND(ISNUMBER('Council Entry'!Q$8),ISNUMBER('Council Entry'!Q$9)),MAX(MIN('Council Entry'!Q49,'Council Entry'!Q$9),'Council Entry'!Q$8),'Council Entry'!Q49)),IF(AND(ISNUMBER('Council Entry'!Q$8),ISNUMBER('Council Entry'!Q$9)),MAX(MIN('Council Entry'!Q49,'Council Entry'!Q$9),'Council Entry'!Q$8),'Council Entry'!Q49))))-'Council Entry'!Q$5)/('Council Entry'!Q$6-'Council Entry'!Q$5)),1))),"No data"))</f>
        <v/>
      </c>
      <c r="R49" s="13">
        <f>IF('Council Entry'!R49="","",IFERROR(MAX(0,MIN(10,ROUND(IF('Council Entry'!R$7="Decrease Risk",10-10*((IF('Council Entry'!R$4="Logarithm",LN(0.001+IF(AND(ISNUMBER('Council Entry'!R$8),ISNUMBER('Council Entry'!R$9)),MAX(MIN('Council Entry'!R49,'Council Entry'!R$9),'Council Entry'!R$8),'Council Entry'!R49)),IF('Council Entry'!R$4="Exponential",EXP(IF(AND(ISNUMBER('Council Entry'!R$8),ISNUMBER('Council Entry'!R$9)),MAX(MIN('Council Entry'!R49,'Council Entry'!R$9),'Council Entry'!R$8),'Council Entry'!R49)),IF(AND(ISNUMBER('Council Entry'!R$8),ISNUMBER('Council Entry'!R$9)),MAX(MIN('Council Entry'!R49,'Council Entry'!R$9),'Council Entry'!R$8),'Council Entry'!R49))))-'Council Entry'!R$5)/('Council Entry'!R$6-'Council Entry'!R$5),10*((IF('Council Entry'!R$4="Logarithm",LN(0.001+IF(AND(ISNUMBER('Council Entry'!R$8),ISNUMBER('Council Entry'!R$9)),MAX(MIN('Council Entry'!R49,'Council Entry'!R$9),'Council Entry'!R$8),'Council Entry'!R49)),IF('Council Entry'!R$4="Exponential",EXP(IF(AND(ISNUMBER('Council Entry'!R$8),ISNUMBER('Council Entry'!R$9)),MAX(MIN('Council Entry'!R49,'Council Entry'!R$9),'Council Entry'!R$8),'Council Entry'!R49)),IF(AND(ISNUMBER('Council Entry'!R$8),ISNUMBER('Council Entry'!R$9)),MAX(MIN('Council Entry'!R49,'Council Entry'!R$9),'Council Entry'!R$8),'Council Entry'!R49))))-'Council Entry'!R$5)/('Council Entry'!R$6-'Council Entry'!R$5)),1))),"No data"))</f>
        <v/>
      </c>
      <c r="S49" s="13">
        <f>IF('Council Entry'!S49="","",IFERROR(MAX(0,MIN(10,ROUND(IF('Council Entry'!S$7="Decrease Risk",10-10*((IF('Council Entry'!S$4="Logarithm",LN(0.001+IF(AND(ISNUMBER('Council Entry'!S$8),ISNUMBER('Council Entry'!S$9)),MAX(MIN('Council Entry'!S49,'Council Entry'!S$9),'Council Entry'!S$8),'Council Entry'!S49)),IF('Council Entry'!S$4="Exponential",EXP(IF(AND(ISNUMBER('Council Entry'!S$8),ISNUMBER('Council Entry'!S$9)),MAX(MIN('Council Entry'!S49,'Council Entry'!S$9),'Council Entry'!S$8),'Council Entry'!S49)),IF(AND(ISNUMBER('Council Entry'!S$8),ISNUMBER('Council Entry'!S$9)),MAX(MIN('Council Entry'!S49,'Council Entry'!S$9),'Council Entry'!S$8),'Council Entry'!S49))))-'Council Entry'!S$5)/('Council Entry'!S$6-'Council Entry'!S$5),10*((IF('Council Entry'!S$4="Logarithm",LN(0.001+IF(AND(ISNUMBER('Council Entry'!S$8),ISNUMBER('Council Entry'!S$9)),MAX(MIN('Council Entry'!S49,'Council Entry'!S$9),'Council Entry'!S$8),'Council Entry'!S49)),IF('Council Entry'!S$4="Exponential",EXP(IF(AND(ISNUMBER('Council Entry'!S$8),ISNUMBER('Council Entry'!S$9)),MAX(MIN('Council Entry'!S49,'Council Entry'!S$9),'Council Entry'!S$8),'Council Entry'!S49)),IF(AND(ISNUMBER('Council Entry'!S$8),ISNUMBER('Council Entry'!S$9)),MAX(MIN('Council Entry'!S49,'Council Entry'!S$9),'Council Entry'!S$8),'Council Entry'!S49))))-'Council Entry'!S$5)/('Council Entry'!S$6-'Council Entry'!S$5)),1))),"No data"))</f>
        <v/>
      </c>
      <c r="T49" s="13">
        <f>IF('Council Entry'!T49="","",IFERROR(MAX(0,MIN(10,ROUND(IF('Council Entry'!T$7="Decrease Risk",10-10*((IF('Council Entry'!T$4="Logarithm",LN(0.001+IF(AND(ISNUMBER('Council Entry'!T$8),ISNUMBER('Council Entry'!T$9)),MAX(MIN('Council Entry'!T49,'Council Entry'!T$9),'Council Entry'!T$8),'Council Entry'!T49)),IF('Council Entry'!T$4="Exponential",EXP(IF(AND(ISNUMBER('Council Entry'!T$8),ISNUMBER('Council Entry'!T$9)),MAX(MIN('Council Entry'!T49,'Council Entry'!T$9),'Council Entry'!T$8),'Council Entry'!T49)),IF(AND(ISNUMBER('Council Entry'!T$8),ISNUMBER('Council Entry'!T$9)),MAX(MIN('Council Entry'!T49,'Council Entry'!T$9),'Council Entry'!T$8),'Council Entry'!T49))))-'Council Entry'!T$5)/('Council Entry'!T$6-'Council Entry'!T$5),10*((IF('Council Entry'!T$4="Logarithm",LN(0.001+IF(AND(ISNUMBER('Council Entry'!T$8),ISNUMBER('Council Entry'!T$9)),MAX(MIN('Council Entry'!T49,'Council Entry'!T$9),'Council Entry'!T$8),'Council Entry'!T49)),IF('Council Entry'!T$4="Exponential",EXP(IF(AND(ISNUMBER('Council Entry'!T$8),ISNUMBER('Council Entry'!T$9)),MAX(MIN('Council Entry'!T49,'Council Entry'!T$9),'Council Entry'!T$8),'Council Entry'!T49)),IF(AND(ISNUMBER('Council Entry'!T$8),ISNUMBER('Council Entry'!T$9)),MAX(MIN('Council Entry'!T49,'Council Entry'!T$9),'Council Entry'!T$8),'Council Entry'!T49))))-'Council Entry'!T$5)/('Council Entry'!T$6-'Council Entry'!T$5)),1))),"No data"))</f>
        <v/>
      </c>
      <c r="U49" s="13">
        <f>IF('Council Entry'!U49="","",IFERROR(MAX(0,MIN(10,ROUND(IF('Council Entry'!U$7="Decrease Risk",10-10*((IF('Council Entry'!U$4="Logarithm",LN(0.001+IF(AND(ISNUMBER('Council Entry'!U$8),ISNUMBER('Council Entry'!U$9)),MAX(MIN('Council Entry'!U49,'Council Entry'!U$9),'Council Entry'!U$8),'Council Entry'!U49)),IF('Council Entry'!U$4="Exponential",EXP(IF(AND(ISNUMBER('Council Entry'!U$8),ISNUMBER('Council Entry'!U$9)),MAX(MIN('Council Entry'!U49,'Council Entry'!U$9),'Council Entry'!U$8),'Council Entry'!U49)),IF(AND(ISNUMBER('Council Entry'!U$8),ISNUMBER('Council Entry'!U$9)),MAX(MIN('Council Entry'!U49,'Council Entry'!U$9),'Council Entry'!U$8),'Council Entry'!U49))))-'Council Entry'!U$5)/('Council Entry'!U$6-'Council Entry'!U$5),10*((IF('Council Entry'!U$4="Logarithm",LN(0.001+IF(AND(ISNUMBER('Council Entry'!U$8),ISNUMBER('Council Entry'!U$9)),MAX(MIN('Council Entry'!U49,'Council Entry'!U$9),'Council Entry'!U$8),'Council Entry'!U49)),IF('Council Entry'!U$4="Exponential",EXP(IF(AND(ISNUMBER('Council Entry'!U$8),ISNUMBER('Council Entry'!U$9)),MAX(MIN('Council Entry'!U49,'Council Entry'!U$9),'Council Entry'!U$8),'Council Entry'!U49)),IF(AND(ISNUMBER('Council Entry'!U$8),ISNUMBER('Council Entry'!U$9)),MAX(MIN('Council Entry'!U49,'Council Entry'!U$9),'Council Entry'!U$8),'Council Entry'!U49))))-'Council Entry'!U$5)/('Council Entry'!U$6-'Council Entry'!U$5)),1))),"No data"))</f>
        <v/>
      </c>
      <c r="V49" s="13">
        <f>IF('Council Entry'!V49="","",IFERROR(MAX(0,MIN(10,ROUND(IF('Council Entry'!V$7="Decrease Risk",10-10*((IF('Council Entry'!V$4="Logarithm",LN(0.001+IF(AND(ISNUMBER('Council Entry'!V$8),ISNUMBER('Council Entry'!V$9)),MAX(MIN('Council Entry'!V49,'Council Entry'!V$9),'Council Entry'!V$8),'Council Entry'!V49)),IF('Council Entry'!V$4="Exponential",EXP(IF(AND(ISNUMBER('Council Entry'!V$8),ISNUMBER('Council Entry'!V$9)),MAX(MIN('Council Entry'!V49,'Council Entry'!V$9),'Council Entry'!V$8),'Council Entry'!V49)),IF(AND(ISNUMBER('Council Entry'!V$8),ISNUMBER('Council Entry'!V$9)),MAX(MIN('Council Entry'!V49,'Council Entry'!V$9),'Council Entry'!V$8),'Council Entry'!V49))))-'Council Entry'!V$5)/('Council Entry'!V$6-'Council Entry'!V$5),10*((IF('Council Entry'!V$4="Logarithm",LN(0.001+IF(AND(ISNUMBER('Council Entry'!V$8),ISNUMBER('Council Entry'!V$9)),MAX(MIN('Council Entry'!V49,'Council Entry'!V$9),'Council Entry'!V$8),'Council Entry'!V49)),IF('Council Entry'!V$4="Exponential",EXP(IF(AND(ISNUMBER('Council Entry'!V$8),ISNUMBER('Council Entry'!V$9)),MAX(MIN('Council Entry'!V49,'Council Entry'!V$9),'Council Entry'!V$8),'Council Entry'!V49)),IF(AND(ISNUMBER('Council Entry'!V$8),ISNUMBER('Council Entry'!V$9)),MAX(MIN('Council Entry'!V49,'Council Entry'!V$9),'Council Entry'!V$8),'Council Entry'!V49))))-'Council Entry'!V$5)/('Council Entry'!V$6-'Council Entry'!V$5)),1))),"No data"))</f>
        <v/>
      </c>
      <c r="W49" s="13">
        <f>IF('Council Entry'!W49="","",IFERROR(MAX(0,MIN(10,ROUND(IF('Council Entry'!W$7="Decrease Risk",10-10*((IF('Council Entry'!W$4="Logarithm",LN(0.001+IF(AND(ISNUMBER('Council Entry'!W$8),ISNUMBER('Council Entry'!W$9)),MAX(MIN('Council Entry'!W49,'Council Entry'!W$9),'Council Entry'!W$8),'Council Entry'!W49)),IF('Council Entry'!W$4="Exponential",EXP(IF(AND(ISNUMBER('Council Entry'!W$8),ISNUMBER('Council Entry'!W$9)),MAX(MIN('Council Entry'!W49,'Council Entry'!W$9),'Council Entry'!W$8),'Council Entry'!W49)),IF(AND(ISNUMBER('Council Entry'!W$8),ISNUMBER('Council Entry'!W$9)),MAX(MIN('Council Entry'!W49,'Council Entry'!W$9),'Council Entry'!W$8),'Council Entry'!W49))))-'Council Entry'!W$5)/('Council Entry'!W$6-'Council Entry'!W$5),10*((IF('Council Entry'!W$4="Logarithm",LN(0.001+IF(AND(ISNUMBER('Council Entry'!W$8),ISNUMBER('Council Entry'!W$9)),MAX(MIN('Council Entry'!W49,'Council Entry'!W$9),'Council Entry'!W$8),'Council Entry'!W49)),IF('Council Entry'!W$4="Exponential",EXP(IF(AND(ISNUMBER('Council Entry'!W$8),ISNUMBER('Council Entry'!W$9)),MAX(MIN('Council Entry'!W49,'Council Entry'!W$9),'Council Entry'!W$8),'Council Entry'!W49)),IF(AND(ISNUMBER('Council Entry'!W$8),ISNUMBER('Council Entry'!W$9)),MAX(MIN('Council Entry'!W49,'Council Entry'!W$9),'Council Entry'!W$8),'Council Entry'!W49))))-'Council Entry'!W$5)/('Council Entry'!W$6-'Council Entry'!W$5)),1))),"No data"))</f>
        <v/>
      </c>
      <c r="X49" s="13">
        <f>IF('Council Entry'!X49="","",IFERROR(MAX(0,MIN(10,ROUND(IF('Council Entry'!X$7="Decrease Risk",10-10*((IF('Council Entry'!X$4="Logarithm",LN(0.001+IF(AND(ISNUMBER('Council Entry'!X$8),ISNUMBER('Council Entry'!X$9)),MAX(MIN('Council Entry'!X49,'Council Entry'!X$9),'Council Entry'!X$8),'Council Entry'!X49)),IF('Council Entry'!X$4="Exponential",EXP(IF(AND(ISNUMBER('Council Entry'!X$8),ISNUMBER('Council Entry'!X$9)),MAX(MIN('Council Entry'!X49,'Council Entry'!X$9),'Council Entry'!X$8),'Council Entry'!X49)),IF(AND(ISNUMBER('Council Entry'!X$8),ISNUMBER('Council Entry'!X$9)),MAX(MIN('Council Entry'!X49,'Council Entry'!X$9),'Council Entry'!X$8),'Council Entry'!X49))))-'Council Entry'!X$5)/('Council Entry'!X$6-'Council Entry'!X$5),10*((IF('Council Entry'!X$4="Logarithm",LN(0.001+IF(AND(ISNUMBER('Council Entry'!X$8),ISNUMBER('Council Entry'!X$9)),MAX(MIN('Council Entry'!X49,'Council Entry'!X$9),'Council Entry'!X$8),'Council Entry'!X49)),IF('Council Entry'!X$4="Exponential",EXP(IF(AND(ISNUMBER('Council Entry'!X$8),ISNUMBER('Council Entry'!X$9)),MAX(MIN('Council Entry'!X49,'Council Entry'!X$9),'Council Entry'!X$8),'Council Entry'!X49)),IF(AND(ISNUMBER('Council Entry'!X$8),ISNUMBER('Council Entry'!X$9)),MAX(MIN('Council Entry'!X49,'Council Entry'!X$9),'Council Entry'!X$8),'Council Entry'!X49))))-'Council Entry'!X$5)/('Council Entry'!X$6-'Council Entry'!X$5)),1))),"No data"))</f>
        <v/>
      </c>
      <c r="Y49" s="13">
        <f>IF('Council Entry'!Y49="","",IFERROR(MAX(0,MIN(10,ROUND(IF('Council Entry'!Y$7="Decrease Risk",10-10*((IF('Council Entry'!Y$4="Logarithm",LN(0.001+IF(AND(ISNUMBER('Council Entry'!Y$8),ISNUMBER('Council Entry'!Y$9)),MAX(MIN('Council Entry'!Y49,'Council Entry'!Y$9),'Council Entry'!Y$8),'Council Entry'!Y49)),IF('Council Entry'!Y$4="Exponential",EXP(IF(AND(ISNUMBER('Council Entry'!Y$8),ISNUMBER('Council Entry'!Y$9)),MAX(MIN('Council Entry'!Y49,'Council Entry'!Y$9),'Council Entry'!Y$8),'Council Entry'!Y49)),IF(AND(ISNUMBER('Council Entry'!Y$8),ISNUMBER('Council Entry'!Y$9)),MAX(MIN('Council Entry'!Y49,'Council Entry'!Y$9),'Council Entry'!Y$8),'Council Entry'!Y49))))-'Council Entry'!Y$5)/('Council Entry'!Y$6-'Council Entry'!Y$5),10*((IF('Council Entry'!Y$4="Logarithm",LN(0.001+IF(AND(ISNUMBER('Council Entry'!Y$8),ISNUMBER('Council Entry'!Y$9)),MAX(MIN('Council Entry'!Y49,'Council Entry'!Y$9),'Council Entry'!Y$8),'Council Entry'!Y49)),IF('Council Entry'!Y$4="Exponential",EXP(IF(AND(ISNUMBER('Council Entry'!Y$8),ISNUMBER('Council Entry'!Y$9)),MAX(MIN('Council Entry'!Y49,'Council Entry'!Y$9),'Council Entry'!Y$8),'Council Entry'!Y49)),IF(AND(ISNUMBER('Council Entry'!Y$8),ISNUMBER('Council Entry'!Y$9)),MAX(MIN('Council Entry'!Y49,'Council Entry'!Y$9),'Council Entry'!Y$8),'Council Entry'!Y49))))-'Council Entry'!Y$5)/('Council Entry'!Y$6-'Council Entry'!Y$5)),1))),"No data"))</f>
        <v/>
      </c>
      <c r="Z49" s="13">
        <f>IF('Council Entry'!Z49="","",IFERROR(MAX(0,MIN(10,ROUND(IF('Council Entry'!Z$7="Decrease Risk",10-10*((IF('Council Entry'!Z$4="Logarithm",LN(0.001+IF(AND(ISNUMBER('Council Entry'!Z$8),ISNUMBER('Council Entry'!Z$9)),MAX(MIN('Council Entry'!Z49,'Council Entry'!Z$9),'Council Entry'!Z$8),'Council Entry'!Z49)),IF('Council Entry'!Z$4="Exponential",EXP(IF(AND(ISNUMBER('Council Entry'!Z$8),ISNUMBER('Council Entry'!Z$9)),MAX(MIN('Council Entry'!Z49,'Council Entry'!Z$9),'Council Entry'!Z$8),'Council Entry'!Z49)),IF(AND(ISNUMBER('Council Entry'!Z$8),ISNUMBER('Council Entry'!Z$9)),MAX(MIN('Council Entry'!Z49,'Council Entry'!Z$9),'Council Entry'!Z$8),'Council Entry'!Z49))))-'Council Entry'!Z$5)/('Council Entry'!Z$6-'Council Entry'!Z$5),10*((IF('Council Entry'!Z$4="Logarithm",LN(0.001+IF(AND(ISNUMBER('Council Entry'!Z$8),ISNUMBER('Council Entry'!Z$9)),MAX(MIN('Council Entry'!Z49,'Council Entry'!Z$9),'Council Entry'!Z$8),'Council Entry'!Z49)),IF('Council Entry'!Z$4="Exponential",EXP(IF(AND(ISNUMBER('Council Entry'!Z$8),ISNUMBER('Council Entry'!Z$9)),MAX(MIN('Council Entry'!Z49,'Council Entry'!Z$9),'Council Entry'!Z$8),'Council Entry'!Z49)),IF(AND(ISNUMBER('Council Entry'!Z$8),ISNUMBER('Council Entry'!Z$9)),MAX(MIN('Council Entry'!Z49,'Council Entry'!Z$9),'Council Entry'!Z$8),'Council Entry'!Z49))))-'Council Entry'!Z$5)/('Council Entry'!Z$6-'Council Entry'!Z$5)),1))),"No data"))</f>
        <v/>
      </c>
      <c r="AA49" s="13">
        <f>IF('Council Entry'!AA49="","",IFERROR(MAX(0,MIN(10,ROUND(IF('Council Entry'!AA$7="Decrease Risk",10-10*((IF('Council Entry'!AA$4="Logarithm",LN(0.001+IF(AND(ISNUMBER('Council Entry'!AA$8),ISNUMBER('Council Entry'!AA$9)),MAX(MIN('Council Entry'!AA49,'Council Entry'!AA$9),'Council Entry'!AA$8),'Council Entry'!AA49)),IF('Council Entry'!AA$4="Exponential",EXP(IF(AND(ISNUMBER('Council Entry'!AA$8),ISNUMBER('Council Entry'!AA$9)),MAX(MIN('Council Entry'!AA49,'Council Entry'!AA$9),'Council Entry'!AA$8),'Council Entry'!AA49)),IF(AND(ISNUMBER('Council Entry'!AA$8),ISNUMBER('Council Entry'!AA$9)),MAX(MIN('Council Entry'!AA49,'Council Entry'!AA$9),'Council Entry'!AA$8),'Council Entry'!AA49))))-'Council Entry'!AA$5)/('Council Entry'!AA$6-'Council Entry'!AA$5),10*((IF('Council Entry'!AA$4="Logarithm",LN(0.001+IF(AND(ISNUMBER('Council Entry'!AA$8),ISNUMBER('Council Entry'!AA$9)),MAX(MIN('Council Entry'!AA49,'Council Entry'!AA$9),'Council Entry'!AA$8),'Council Entry'!AA49)),IF('Council Entry'!AA$4="Exponential",EXP(IF(AND(ISNUMBER('Council Entry'!AA$8),ISNUMBER('Council Entry'!AA$9)),MAX(MIN('Council Entry'!AA49,'Council Entry'!AA$9),'Council Entry'!AA$8),'Council Entry'!AA49)),IF(AND(ISNUMBER('Council Entry'!AA$8),ISNUMBER('Council Entry'!AA$9)),MAX(MIN('Council Entry'!AA49,'Council Entry'!AA$9),'Council Entry'!AA$8),'Council Entry'!AA49))))-'Council Entry'!AA$5)/('Council Entry'!AA$6-'Council Entry'!AA$5)),1))),"No data"))</f>
        <v/>
      </c>
      <c r="AB49" s="13">
        <f>IF('Council Entry'!AB49="","",IFERROR(MAX(0,MIN(10,ROUND(IF('Council Entry'!AB$7="Decrease Risk",10-10*((IF('Council Entry'!AB$4="Logarithm",LN(0.001+IF(AND(ISNUMBER('Council Entry'!AB$8),ISNUMBER('Council Entry'!AB$9)),MAX(MIN('Council Entry'!AB49,'Council Entry'!AB$9),'Council Entry'!AB$8),'Council Entry'!AB49)),IF('Council Entry'!AB$4="Exponential",EXP(IF(AND(ISNUMBER('Council Entry'!AB$8),ISNUMBER('Council Entry'!AB$9)),MAX(MIN('Council Entry'!AB49,'Council Entry'!AB$9),'Council Entry'!AB$8),'Council Entry'!AB49)),IF(AND(ISNUMBER('Council Entry'!AB$8),ISNUMBER('Council Entry'!AB$9)),MAX(MIN('Council Entry'!AB49,'Council Entry'!AB$9),'Council Entry'!AB$8),'Council Entry'!AB49))))-'Council Entry'!AB$5)/('Council Entry'!AB$6-'Council Entry'!AB$5),10*((IF('Council Entry'!AB$4="Logarithm",LN(0.001+IF(AND(ISNUMBER('Council Entry'!AB$8),ISNUMBER('Council Entry'!AB$9)),MAX(MIN('Council Entry'!AB49,'Council Entry'!AB$9),'Council Entry'!AB$8),'Council Entry'!AB49)),IF('Council Entry'!AB$4="Exponential",EXP(IF(AND(ISNUMBER('Council Entry'!AB$8),ISNUMBER('Council Entry'!AB$9)),MAX(MIN('Council Entry'!AB49,'Council Entry'!AB$9),'Council Entry'!AB$8),'Council Entry'!AB49)),IF(AND(ISNUMBER('Council Entry'!AB$8),ISNUMBER('Council Entry'!AB$9)),MAX(MIN('Council Entry'!AB49,'Council Entry'!AB$9),'Council Entry'!AB$8),'Council Entry'!AB49))))-'Council Entry'!AB$5)/('Council Entry'!AB$6-'Council Entry'!AB$5)),1))),"No data"))</f>
        <v/>
      </c>
      <c r="AC49" s="13">
        <f>IF('Council Entry'!AC49="","",IFERROR(MAX(0,MIN(10,ROUND(IF('Council Entry'!AC$7="Decrease Risk",10-10*((IF('Council Entry'!AC$4="Logarithm",LN(0.001+IF(AND(ISNUMBER('Council Entry'!AC$8),ISNUMBER('Council Entry'!AC$9)),MAX(MIN('Council Entry'!AC49,'Council Entry'!AC$9),'Council Entry'!AC$8),'Council Entry'!AC49)),IF('Council Entry'!AC$4="Exponential",EXP(IF(AND(ISNUMBER('Council Entry'!AC$8),ISNUMBER('Council Entry'!AC$9)),MAX(MIN('Council Entry'!AC49,'Council Entry'!AC$9),'Council Entry'!AC$8),'Council Entry'!AC49)),IF(AND(ISNUMBER('Council Entry'!AC$8),ISNUMBER('Council Entry'!AC$9)),MAX(MIN('Council Entry'!AC49,'Council Entry'!AC$9),'Council Entry'!AC$8),'Council Entry'!AC49))))-'Council Entry'!AC$5)/('Council Entry'!AC$6-'Council Entry'!AC$5),10*((IF('Council Entry'!AC$4="Logarithm",LN(0.001+IF(AND(ISNUMBER('Council Entry'!AC$8),ISNUMBER('Council Entry'!AC$9)),MAX(MIN('Council Entry'!AC49,'Council Entry'!AC$9),'Council Entry'!AC$8),'Council Entry'!AC49)),IF('Council Entry'!AC$4="Exponential",EXP(IF(AND(ISNUMBER('Council Entry'!AC$8),ISNUMBER('Council Entry'!AC$9)),MAX(MIN('Council Entry'!AC49,'Council Entry'!AC$9),'Council Entry'!AC$8),'Council Entry'!AC49)),IF(AND(ISNUMBER('Council Entry'!AC$8),ISNUMBER('Council Entry'!AC$9)),MAX(MIN('Council Entry'!AC49,'Council Entry'!AC$9),'Council Entry'!AC$8),'Council Entry'!AC49))))-'Council Entry'!AC$5)/('Council Entry'!AC$6-'Council Entry'!AC$5)),1))),"No data"))</f>
        <v/>
      </c>
      <c r="AD49" s="13">
        <f>IF('Council Entry'!AD49="","",IFERROR(MAX(0,MIN(10,ROUND(IF('Council Entry'!AD$7="Decrease Risk",10-10*((IF('Council Entry'!AD$4="Logarithm",LN(0.001+IF(AND(ISNUMBER('Council Entry'!AD$8),ISNUMBER('Council Entry'!AD$9)),MAX(MIN('Council Entry'!AD49,'Council Entry'!AD$9),'Council Entry'!AD$8),'Council Entry'!AD49)),IF('Council Entry'!AD$4="Exponential",EXP(IF(AND(ISNUMBER('Council Entry'!AD$8),ISNUMBER('Council Entry'!AD$9)),MAX(MIN('Council Entry'!AD49,'Council Entry'!AD$9),'Council Entry'!AD$8),'Council Entry'!AD49)),IF(AND(ISNUMBER('Council Entry'!AD$8),ISNUMBER('Council Entry'!AD$9)),MAX(MIN('Council Entry'!AD49,'Council Entry'!AD$9),'Council Entry'!AD$8),'Council Entry'!AD49))))-'Council Entry'!AD$5)/('Council Entry'!AD$6-'Council Entry'!AD$5),10*((IF('Council Entry'!AD$4="Logarithm",LN(0.001+IF(AND(ISNUMBER('Council Entry'!AD$8),ISNUMBER('Council Entry'!AD$9)),MAX(MIN('Council Entry'!AD49,'Council Entry'!AD$9),'Council Entry'!AD$8),'Council Entry'!AD49)),IF('Council Entry'!AD$4="Exponential",EXP(IF(AND(ISNUMBER('Council Entry'!AD$8),ISNUMBER('Council Entry'!AD$9)),MAX(MIN('Council Entry'!AD49,'Council Entry'!AD$9),'Council Entry'!AD$8),'Council Entry'!AD49)),IF(AND(ISNUMBER('Council Entry'!AD$8),ISNUMBER('Council Entry'!AD$9)),MAX(MIN('Council Entry'!AD49,'Council Entry'!AD$9),'Council Entry'!AD$8),'Council Entry'!AD49))))-'Council Entry'!AD$5)/('Council Entry'!AD$6-'Council Entry'!AD$5)),1))),"No data"))</f>
        <v/>
      </c>
      <c r="AE49" s="13">
        <f>IF('Council Entry'!AE49="","",IFERROR(MAX(0,MIN(10,ROUND(IF('Council Entry'!AE$7="Decrease Risk",10-10*((IF('Council Entry'!AE$4="Logarithm",LN(0.001+IF(AND(ISNUMBER('Council Entry'!AE$8),ISNUMBER('Council Entry'!AE$9)),MAX(MIN('Council Entry'!AE49,'Council Entry'!AE$9),'Council Entry'!AE$8),'Council Entry'!AE49)),IF('Council Entry'!AE$4="Exponential",EXP(IF(AND(ISNUMBER('Council Entry'!AE$8),ISNUMBER('Council Entry'!AE$9)),MAX(MIN('Council Entry'!AE49,'Council Entry'!AE$9),'Council Entry'!AE$8),'Council Entry'!AE49)),IF(AND(ISNUMBER('Council Entry'!AE$8),ISNUMBER('Council Entry'!AE$9)),MAX(MIN('Council Entry'!AE49,'Council Entry'!AE$9),'Council Entry'!AE$8),'Council Entry'!AE49))))-'Council Entry'!AE$5)/('Council Entry'!AE$6-'Council Entry'!AE$5),10*((IF('Council Entry'!AE$4="Logarithm",LN(0.001+IF(AND(ISNUMBER('Council Entry'!AE$8),ISNUMBER('Council Entry'!AE$9)),MAX(MIN('Council Entry'!AE49,'Council Entry'!AE$9),'Council Entry'!AE$8),'Council Entry'!AE49)),IF('Council Entry'!AE$4="Exponential",EXP(IF(AND(ISNUMBER('Council Entry'!AE$8),ISNUMBER('Council Entry'!AE$9)),MAX(MIN('Council Entry'!AE49,'Council Entry'!AE$9),'Council Entry'!AE$8),'Council Entry'!AE49)),IF(AND(ISNUMBER('Council Entry'!AE$8),ISNUMBER('Council Entry'!AE$9)),MAX(MIN('Council Entry'!AE49,'Council Entry'!AE$9),'Council Entry'!AE$8),'Council Entry'!AE49))))-'Council Entry'!AE$5)/('Council Entry'!AE$6-'Council Entry'!AE$5)),1))),"No data"))</f>
        <v/>
      </c>
      <c r="AF49" s="13">
        <f>IF('Council Entry'!AF49="","",IFERROR(MAX(0,MIN(10,ROUND(IF('Council Entry'!AF$7="Decrease Risk",10-10*((IF('Council Entry'!AF$4="Logarithm",LN(0.001+IF(AND(ISNUMBER('Council Entry'!AF$8),ISNUMBER('Council Entry'!AF$9)),MAX(MIN('Council Entry'!AF49,'Council Entry'!AF$9),'Council Entry'!AF$8),'Council Entry'!AF49)),IF('Council Entry'!AF$4="Exponential",EXP(IF(AND(ISNUMBER('Council Entry'!AF$8),ISNUMBER('Council Entry'!AF$9)),MAX(MIN('Council Entry'!AF49,'Council Entry'!AF$9),'Council Entry'!AF$8),'Council Entry'!AF49)),IF(AND(ISNUMBER('Council Entry'!AF$8),ISNUMBER('Council Entry'!AF$9)),MAX(MIN('Council Entry'!AF49,'Council Entry'!AF$9),'Council Entry'!AF$8),'Council Entry'!AF49))))-'Council Entry'!AF$5)/('Council Entry'!AF$6-'Council Entry'!AF$5),10*((IF('Council Entry'!AF$4="Logarithm",LN(0.001+IF(AND(ISNUMBER('Council Entry'!AF$8),ISNUMBER('Council Entry'!AF$9)),MAX(MIN('Council Entry'!AF49,'Council Entry'!AF$9),'Council Entry'!AF$8),'Council Entry'!AF49)),IF('Council Entry'!AF$4="Exponential",EXP(IF(AND(ISNUMBER('Council Entry'!AF$8),ISNUMBER('Council Entry'!AF$9)),MAX(MIN('Council Entry'!AF49,'Council Entry'!AF$9),'Council Entry'!AF$8),'Council Entry'!AF49)),IF(AND(ISNUMBER('Council Entry'!AF$8),ISNUMBER('Council Entry'!AF$9)),MAX(MIN('Council Entry'!AF49,'Council Entry'!AF$9),'Council Entry'!AF$8),'Council Entry'!AF49))))-'Council Entry'!AF$5)/('Council Entry'!AF$6-'Council Entry'!AF$5)),1))),"No data"))</f>
        <v/>
      </c>
      <c r="AG49" s="13">
        <f>IF('Council Entry'!AG49="","",IFERROR(MAX(0,MIN(10,ROUND(IF('Council Entry'!AG$7="Decrease Risk",10-10*((IF('Council Entry'!AG$4="Logarithm",LN(0.001+IF(AND(ISNUMBER('Council Entry'!AG$8),ISNUMBER('Council Entry'!AG$9)),MAX(MIN('Council Entry'!AG49,'Council Entry'!AG$9),'Council Entry'!AG$8),'Council Entry'!AG49)),IF('Council Entry'!AG$4="Exponential",EXP(IF(AND(ISNUMBER('Council Entry'!AG$8),ISNUMBER('Council Entry'!AG$9)),MAX(MIN('Council Entry'!AG49,'Council Entry'!AG$9),'Council Entry'!AG$8),'Council Entry'!AG49)),IF(AND(ISNUMBER('Council Entry'!AG$8),ISNUMBER('Council Entry'!AG$9)),MAX(MIN('Council Entry'!AG49,'Council Entry'!AG$9),'Council Entry'!AG$8),'Council Entry'!AG49))))-'Council Entry'!AG$5)/('Council Entry'!AG$6-'Council Entry'!AG$5),10*((IF('Council Entry'!AG$4="Logarithm",LN(0.001+IF(AND(ISNUMBER('Council Entry'!AG$8),ISNUMBER('Council Entry'!AG$9)),MAX(MIN('Council Entry'!AG49,'Council Entry'!AG$9),'Council Entry'!AG$8),'Council Entry'!AG49)),IF('Council Entry'!AG$4="Exponential",EXP(IF(AND(ISNUMBER('Council Entry'!AG$8),ISNUMBER('Council Entry'!AG$9)),MAX(MIN('Council Entry'!AG49,'Council Entry'!AG$9),'Council Entry'!AG$8),'Council Entry'!AG49)),IF(AND(ISNUMBER('Council Entry'!AG$8),ISNUMBER('Council Entry'!AG$9)),MAX(MIN('Council Entry'!AG49,'Council Entry'!AG$9),'Council Entry'!AG$8),'Council Entry'!AG49))))-'Council Entry'!AG$5)/('Council Entry'!AG$6-'Council Entry'!AG$5)),1))),"No data"))</f>
        <v/>
      </c>
      <c r="AH49" s="13">
        <f>IF('Council Entry'!AH49="","",IFERROR(MAX(0,MIN(10,ROUND(IF('Council Entry'!AH$7="Decrease Risk",10-10*((IF('Council Entry'!AH$4="Logarithm",LN(0.001+IF(AND(ISNUMBER('Council Entry'!AH$8),ISNUMBER('Council Entry'!AH$9)),MAX(MIN('Council Entry'!AH49,'Council Entry'!AH$9),'Council Entry'!AH$8),'Council Entry'!AH49)),IF('Council Entry'!AH$4="Exponential",EXP(IF(AND(ISNUMBER('Council Entry'!AH$8),ISNUMBER('Council Entry'!AH$9)),MAX(MIN('Council Entry'!AH49,'Council Entry'!AH$9),'Council Entry'!AH$8),'Council Entry'!AH49)),IF(AND(ISNUMBER('Council Entry'!AH$8),ISNUMBER('Council Entry'!AH$9)),MAX(MIN('Council Entry'!AH49,'Council Entry'!AH$9),'Council Entry'!AH$8),'Council Entry'!AH49))))-'Council Entry'!AH$5)/('Council Entry'!AH$6-'Council Entry'!AH$5),10*((IF('Council Entry'!AH$4="Logarithm",LN(0.001+IF(AND(ISNUMBER('Council Entry'!AH$8),ISNUMBER('Council Entry'!AH$9)),MAX(MIN('Council Entry'!AH49,'Council Entry'!AH$9),'Council Entry'!AH$8),'Council Entry'!AH49)),IF('Council Entry'!AH$4="Exponential",EXP(IF(AND(ISNUMBER('Council Entry'!AH$8),ISNUMBER('Council Entry'!AH$9)),MAX(MIN('Council Entry'!AH49,'Council Entry'!AH$9),'Council Entry'!AH$8),'Council Entry'!AH49)),IF(AND(ISNUMBER('Council Entry'!AH$8),ISNUMBER('Council Entry'!AH$9)),MAX(MIN('Council Entry'!AH49,'Council Entry'!AH$9),'Council Entry'!AH$8),'Council Entry'!AH49))))-'Council Entry'!AH$5)/('Council Entry'!AH$6-'Council Entry'!AH$5)),1))),"No data"))</f>
        <v/>
      </c>
      <c r="AI49" s="13">
        <f>IF('Council Entry'!AI49="","",IFERROR(MAX(0,MIN(10,ROUND(IF('Council Entry'!AI$7="Decrease Risk",10-10*((IF('Council Entry'!AI$4="Logarithm",LN(0.001+IF(AND(ISNUMBER('Council Entry'!AI$8),ISNUMBER('Council Entry'!AI$9)),MAX(MIN('Council Entry'!AI49,'Council Entry'!AI$9),'Council Entry'!AI$8),'Council Entry'!AI49)),IF('Council Entry'!AI$4="Exponential",EXP(IF(AND(ISNUMBER('Council Entry'!AI$8),ISNUMBER('Council Entry'!AI$9)),MAX(MIN('Council Entry'!AI49,'Council Entry'!AI$9),'Council Entry'!AI$8),'Council Entry'!AI49)),IF(AND(ISNUMBER('Council Entry'!AI$8),ISNUMBER('Council Entry'!AI$9)),MAX(MIN('Council Entry'!AI49,'Council Entry'!AI$9),'Council Entry'!AI$8),'Council Entry'!AI49))))-'Council Entry'!AI$5)/('Council Entry'!AI$6-'Council Entry'!AI$5),10*((IF('Council Entry'!AI$4="Logarithm",LN(0.001+IF(AND(ISNUMBER('Council Entry'!AI$8),ISNUMBER('Council Entry'!AI$9)),MAX(MIN('Council Entry'!AI49,'Council Entry'!AI$9),'Council Entry'!AI$8),'Council Entry'!AI49)),IF('Council Entry'!AI$4="Exponential",EXP(IF(AND(ISNUMBER('Council Entry'!AI$8),ISNUMBER('Council Entry'!AI$9)),MAX(MIN('Council Entry'!AI49,'Council Entry'!AI$9),'Council Entry'!AI$8),'Council Entry'!AI49)),IF(AND(ISNUMBER('Council Entry'!AI$8),ISNUMBER('Council Entry'!AI$9)),MAX(MIN('Council Entry'!AI49,'Council Entry'!AI$9),'Council Entry'!AI$8),'Council Entry'!AI49))))-'Council Entry'!AI$5)/('Council Entry'!AI$6-'Council Entry'!AI$5)),1))),"No data"))</f>
        <v/>
      </c>
      <c r="AJ49" s="13">
        <f>IF('Council Entry'!AJ49="","",IFERROR(MAX(0,MIN(10,ROUND(IF('Council Entry'!AJ$7="Decrease Risk",10-10*((IF('Council Entry'!AJ$4="Logarithm",LN(0.001+IF(AND(ISNUMBER('Council Entry'!AJ$8),ISNUMBER('Council Entry'!AJ$9)),MAX(MIN('Council Entry'!AJ49,'Council Entry'!AJ$9),'Council Entry'!AJ$8),'Council Entry'!AJ49)),IF('Council Entry'!AJ$4="Exponential",EXP(IF(AND(ISNUMBER('Council Entry'!AJ$8),ISNUMBER('Council Entry'!AJ$9)),MAX(MIN('Council Entry'!AJ49,'Council Entry'!AJ$9),'Council Entry'!AJ$8),'Council Entry'!AJ49)),IF(AND(ISNUMBER('Council Entry'!AJ$8),ISNUMBER('Council Entry'!AJ$9)),MAX(MIN('Council Entry'!AJ49,'Council Entry'!AJ$9),'Council Entry'!AJ$8),'Council Entry'!AJ49))))-'Council Entry'!AJ$5)/('Council Entry'!AJ$6-'Council Entry'!AJ$5),10*((IF('Council Entry'!AJ$4="Logarithm",LN(0.001+IF(AND(ISNUMBER('Council Entry'!AJ$8),ISNUMBER('Council Entry'!AJ$9)),MAX(MIN('Council Entry'!AJ49,'Council Entry'!AJ$9),'Council Entry'!AJ$8),'Council Entry'!AJ49)),IF('Council Entry'!AJ$4="Exponential",EXP(IF(AND(ISNUMBER('Council Entry'!AJ$8),ISNUMBER('Council Entry'!AJ$9)),MAX(MIN('Council Entry'!AJ49,'Council Entry'!AJ$9),'Council Entry'!AJ$8),'Council Entry'!AJ49)),IF(AND(ISNUMBER('Council Entry'!AJ$8),ISNUMBER('Council Entry'!AJ$9)),MAX(MIN('Council Entry'!AJ49,'Council Entry'!AJ$9),'Council Entry'!AJ$8),'Council Entry'!AJ49))))-'Council Entry'!AJ$5)/('Council Entry'!AJ$6-'Council Entry'!AJ$5)),1))),"No data"))</f>
        <v/>
      </c>
      <c r="AK49" s="13">
        <f>IF('Council Entry'!AK49="","",IFERROR(MAX(0,MIN(10,ROUND(IF('Council Entry'!AK$7="Decrease Risk",10-10*((IF('Council Entry'!AK$4="Logarithm",LN(0.001+IF(AND(ISNUMBER('Council Entry'!AK$8),ISNUMBER('Council Entry'!AK$9)),MAX(MIN('Council Entry'!AK49,'Council Entry'!AK$9),'Council Entry'!AK$8),'Council Entry'!AK49)),IF('Council Entry'!AK$4="Exponential",EXP(IF(AND(ISNUMBER('Council Entry'!AK$8),ISNUMBER('Council Entry'!AK$9)),MAX(MIN('Council Entry'!AK49,'Council Entry'!AK$9),'Council Entry'!AK$8),'Council Entry'!AK49)),IF(AND(ISNUMBER('Council Entry'!AK$8),ISNUMBER('Council Entry'!AK$9)),MAX(MIN('Council Entry'!AK49,'Council Entry'!AK$9),'Council Entry'!AK$8),'Council Entry'!AK49))))-'Council Entry'!AK$5)/('Council Entry'!AK$6-'Council Entry'!AK$5),10*((IF('Council Entry'!AK$4="Logarithm",LN(0.001+IF(AND(ISNUMBER('Council Entry'!AK$8),ISNUMBER('Council Entry'!AK$9)),MAX(MIN('Council Entry'!AK49,'Council Entry'!AK$9),'Council Entry'!AK$8),'Council Entry'!AK49)),IF('Council Entry'!AK$4="Exponential",EXP(IF(AND(ISNUMBER('Council Entry'!AK$8),ISNUMBER('Council Entry'!AK$9)),MAX(MIN('Council Entry'!AK49,'Council Entry'!AK$9),'Council Entry'!AK$8),'Council Entry'!AK49)),IF(AND(ISNUMBER('Council Entry'!AK$8),ISNUMBER('Council Entry'!AK$9)),MAX(MIN('Council Entry'!AK49,'Council Entry'!AK$9),'Council Entry'!AK$8),'Council Entry'!AK49))))-'Council Entry'!AK$5)/('Council Entry'!AK$6-'Council Entry'!AK$5)),1))),"No data"))</f>
        <v/>
      </c>
      <c r="AL49" s="13">
        <f>IF('Council Entry'!AL49="","",IFERROR(MAX(0,MIN(10,ROUND(IF('Council Entry'!AL$7="Decrease Risk",10-10*((IF('Council Entry'!AL$4="Logarithm",LN(0.001+IF(AND(ISNUMBER('Council Entry'!AL$8),ISNUMBER('Council Entry'!AL$9)),MAX(MIN('Council Entry'!AL49,'Council Entry'!AL$9),'Council Entry'!AL$8),'Council Entry'!AL49)),IF('Council Entry'!AL$4="Exponential",EXP(IF(AND(ISNUMBER('Council Entry'!AL$8),ISNUMBER('Council Entry'!AL$9)),MAX(MIN('Council Entry'!AL49,'Council Entry'!AL$9),'Council Entry'!AL$8),'Council Entry'!AL49)),IF(AND(ISNUMBER('Council Entry'!AL$8),ISNUMBER('Council Entry'!AL$9)),MAX(MIN('Council Entry'!AL49,'Council Entry'!AL$9),'Council Entry'!AL$8),'Council Entry'!AL49))))-'Council Entry'!AL$5)/('Council Entry'!AL$6-'Council Entry'!AL$5),10*((IF('Council Entry'!AL$4="Logarithm",LN(0.001+IF(AND(ISNUMBER('Council Entry'!AL$8),ISNUMBER('Council Entry'!AL$9)),MAX(MIN('Council Entry'!AL49,'Council Entry'!AL$9),'Council Entry'!AL$8),'Council Entry'!AL49)),IF('Council Entry'!AL$4="Exponential",EXP(IF(AND(ISNUMBER('Council Entry'!AL$8),ISNUMBER('Council Entry'!AL$9)),MAX(MIN('Council Entry'!AL49,'Council Entry'!AL$9),'Council Entry'!AL$8),'Council Entry'!AL49)),IF(AND(ISNUMBER('Council Entry'!AL$8),ISNUMBER('Council Entry'!AL$9)),MAX(MIN('Council Entry'!AL49,'Council Entry'!AL$9),'Council Entry'!AL$8),'Council Entry'!AL49))))-'Council Entry'!AL$5)/('Council Entry'!AL$6-'Council Entry'!AL$5)),1))),"No data"))</f>
        <v/>
      </c>
      <c r="AM49" s="13">
        <f>IF('Council Entry'!AM49="","",IFERROR(MAX(0,MIN(10,ROUND(IF('Council Entry'!AM$7="Decrease Risk",10-10*((IF('Council Entry'!AM$4="Logarithm",LN(0.001+IF(AND(ISNUMBER('Council Entry'!AM$8),ISNUMBER('Council Entry'!AM$9)),MAX(MIN('Council Entry'!AM49,'Council Entry'!AM$9),'Council Entry'!AM$8),'Council Entry'!AM49)),IF('Council Entry'!AM$4="Exponential",EXP(IF(AND(ISNUMBER('Council Entry'!AM$8),ISNUMBER('Council Entry'!AM$9)),MAX(MIN('Council Entry'!AM49,'Council Entry'!AM$9),'Council Entry'!AM$8),'Council Entry'!AM49)),IF(AND(ISNUMBER('Council Entry'!AM$8),ISNUMBER('Council Entry'!AM$9)),MAX(MIN('Council Entry'!AM49,'Council Entry'!AM$9),'Council Entry'!AM$8),'Council Entry'!AM49))))-'Council Entry'!AM$5)/('Council Entry'!AM$6-'Council Entry'!AM$5),10*((IF('Council Entry'!AM$4="Logarithm",LN(0.001+IF(AND(ISNUMBER('Council Entry'!AM$8),ISNUMBER('Council Entry'!AM$9)),MAX(MIN('Council Entry'!AM49,'Council Entry'!AM$9),'Council Entry'!AM$8),'Council Entry'!AM49)),IF('Council Entry'!AM$4="Exponential",EXP(IF(AND(ISNUMBER('Council Entry'!AM$8),ISNUMBER('Council Entry'!AM$9)),MAX(MIN('Council Entry'!AM49,'Council Entry'!AM$9),'Council Entry'!AM$8),'Council Entry'!AM49)),IF(AND(ISNUMBER('Council Entry'!AM$8),ISNUMBER('Council Entry'!AM$9)),MAX(MIN('Council Entry'!AM49,'Council Entry'!AM$9),'Council Entry'!AM$8),'Council Entry'!AM49))))-'Council Entry'!AM$5)/('Council Entry'!AM$6-'Council Entry'!AM$5)),1))),"No data"))</f>
        <v/>
      </c>
      <c r="AN49" s="13">
        <f>IF('Council Entry'!AN49="","",IFERROR(MAX(0,MIN(10,ROUND(IF('Council Entry'!AN$7="Decrease Risk",10-10*((IF('Council Entry'!AN$4="Logarithm",LN(0.001+IF(AND(ISNUMBER('Council Entry'!AN$8),ISNUMBER('Council Entry'!AN$9)),MAX(MIN('Council Entry'!AN49,'Council Entry'!AN$9),'Council Entry'!AN$8),'Council Entry'!AN49)),IF('Council Entry'!AN$4="Exponential",EXP(IF(AND(ISNUMBER('Council Entry'!AN$8),ISNUMBER('Council Entry'!AN$9)),MAX(MIN('Council Entry'!AN49,'Council Entry'!AN$9),'Council Entry'!AN$8),'Council Entry'!AN49)),IF(AND(ISNUMBER('Council Entry'!AN$8),ISNUMBER('Council Entry'!AN$9)),MAX(MIN('Council Entry'!AN49,'Council Entry'!AN$9),'Council Entry'!AN$8),'Council Entry'!AN49))))-'Council Entry'!AN$5)/('Council Entry'!AN$6-'Council Entry'!AN$5),10*((IF('Council Entry'!AN$4="Logarithm",LN(0.001+IF(AND(ISNUMBER('Council Entry'!AN$8),ISNUMBER('Council Entry'!AN$9)),MAX(MIN('Council Entry'!AN49,'Council Entry'!AN$9),'Council Entry'!AN$8),'Council Entry'!AN49)),IF('Council Entry'!AN$4="Exponential",EXP(IF(AND(ISNUMBER('Council Entry'!AN$8),ISNUMBER('Council Entry'!AN$9)),MAX(MIN('Council Entry'!AN49,'Council Entry'!AN$9),'Council Entry'!AN$8),'Council Entry'!AN49)),IF(AND(ISNUMBER('Council Entry'!AN$8),ISNUMBER('Council Entry'!AN$9)),MAX(MIN('Council Entry'!AN49,'Council Entry'!AN$9),'Council Entry'!AN$8),'Council Entry'!AN49))))-'Council Entry'!AN$5)/('Council Entry'!AN$6-'Council Entry'!AN$5)),1))),"No data"))</f>
        <v/>
      </c>
      <c r="AO49" s="13">
        <f>IF('Council Entry'!AO49="","",IFERROR(MAX(0,MIN(10,ROUND(IF('Council Entry'!AO$7="Decrease Risk",10-10*((IF('Council Entry'!AO$4="Logarithm",LN(0.001+IF(AND(ISNUMBER('Council Entry'!AO$8),ISNUMBER('Council Entry'!AO$9)),MAX(MIN('Council Entry'!AO49,'Council Entry'!AO$9),'Council Entry'!AO$8),'Council Entry'!AO49)),IF('Council Entry'!AO$4="Exponential",EXP(IF(AND(ISNUMBER('Council Entry'!AO$8),ISNUMBER('Council Entry'!AO$9)),MAX(MIN('Council Entry'!AO49,'Council Entry'!AO$9),'Council Entry'!AO$8),'Council Entry'!AO49)),IF(AND(ISNUMBER('Council Entry'!AO$8),ISNUMBER('Council Entry'!AO$9)),MAX(MIN('Council Entry'!AO49,'Council Entry'!AO$9),'Council Entry'!AO$8),'Council Entry'!AO49))))-'Council Entry'!AO$5)/('Council Entry'!AO$6-'Council Entry'!AO$5),10*((IF('Council Entry'!AO$4="Logarithm",LN(0.001+IF(AND(ISNUMBER('Council Entry'!AO$8),ISNUMBER('Council Entry'!AO$9)),MAX(MIN('Council Entry'!AO49,'Council Entry'!AO$9),'Council Entry'!AO$8),'Council Entry'!AO49)),IF('Council Entry'!AO$4="Exponential",EXP(IF(AND(ISNUMBER('Council Entry'!AO$8),ISNUMBER('Council Entry'!AO$9)),MAX(MIN('Council Entry'!AO49,'Council Entry'!AO$9),'Council Entry'!AO$8),'Council Entry'!AO49)),IF(AND(ISNUMBER('Council Entry'!AO$8),ISNUMBER('Council Entry'!AO$9)),MAX(MIN('Council Entry'!AO49,'Council Entry'!AO$9),'Council Entry'!AO$8),'Council Entry'!AO49))))-'Council Entry'!AO$5)/('Council Entry'!AO$6-'Council Entry'!AO$5)),1))),"No data"))</f>
        <v/>
      </c>
      <c r="AP49" s="13">
        <f>IF('Council Entry'!AP49="","",IFERROR(MAX(0,MIN(10,ROUND(IF('Council Entry'!AP$7="Decrease Risk",10-10*((IF('Council Entry'!AP$4="Logarithm",LN(0.001+IF(AND(ISNUMBER('Council Entry'!AP$8),ISNUMBER('Council Entry'!AP$9)),MAX(MIN('Council Entry'!AP49,'Council Entry'!AP$9),'Council Entry'!AP$8),'Council Entry'!AP49)),IF('Council Entry'!AP$4="Exponential",EXP(IF(AND(ISNUMBER('Council Entry'!AP$8),ISNUMBER('Council Entry'!AP$9)),MAX(MIN('Council Entry'!AP49,'Council Entry'!AP$9),'Council Entry'!AP$8),'Council Entry'!AP49)),IF(AND(ISNUMBER('Council Entry'!AP$8),ISNUMBER('Council Entry'!AP$9)),MAX(MIN('Council Entry'!AP49,'Council Entry'!AP$9),'Council Entry'!AP$8),'Council Entry'!AP49))))-'Council Entry'!AP$5)/('Council Entry'!AP$6-'Council Entry'!AP$5),10*((IF('Council Entry'!AP$4="Logarithm",LN(0.001+IF(AND(ISNUMBER('Council Entry'!AP$8),ISNUMBER('Council Entry'!AP$9)),MAX(MIN('Council Entry'!AP49,'Council Entry'!AP$9),'Council Entry'!AP$8),'Council Entry'!AP49)),IF('Council Entry'!AP$4="Exponential",EXP(IF(AND(ISNUMBER('Council Entry'!AP$8),ISNUMBER('Council Entry'!AP$9)),MAX(MIN('Council Entry'!AP49,'Council Entry'!AP$9),'Council Entry'!AP$8),'Council Entry'!AP49)),IF(AND(ISNUMBER('Council Entry'!AP$8),ISNUMBER('Council Entry'!AP$9)),MAX(MIN('Council Entry'!AP49,'Council Entry'!AP$9),'Council Entry'!AP$8),'Council Entry'!AP49))))-'Council Entry'!AP$5)/('Council Entry'!AP$6-'Council Entry'!AP$5)),1))),"No data"))</f>
        <v/>
      </c>
      <c r="AQ49" s="13">
        <f>IF('Council Entry'!AQ49="","",IFERROR(MAX(0,MIN(10,ROUND(IF('Council Entry'!AQ$7="Decrease Risk",10-10*((IF('Council Entry'!AQ$4="Logarithm",LN(0.001+IF(AND(ISNUMBER('Council Entry'!AQ$8),ISNUMBER('Council Entry'!AQ$9)),MAX(MIN('Council Entry'!AQ49,'Council Entry'!AQ$9),'Council Entry'!AQ$8),'Council Entry'!AQ49)),IF('Council Entry'!AQ$4="Exponential",EXP(IF(AND(ISNUMBER('Council Entry'!AQ$8),ISNUMBER('Council Entry'!AQ$9)),MAX(MIN('Council Entry'!AQ49,'Council Entry'!AQ$9),'Council Entry'!AQ$8),'Council Entry'!AQ49)),IF(AND(ISNUMBER('Council Entry'!AQ$8),ISNUMBER('Council Entry'!AQ$9)),MAX(MIN('Council Entry'!AQ49,'Council Entry'!AQ$9),'Council Entry'!AQ$8),'Council Entry'!AQ49))))-'Council Entry'!AQ$5)/('Council Entry'!AQ$6-'Council Entry'!AQ$5),10*((IF('Council Entry'!AQ$4="Logarithm",LN(0.001+IF(AND(ISNUMBER('Council Entry'!AQ$8),ISNUMBER('Council Entry'!AQ$9)),MAX(MIN('Council Entry'!AQ49,'Council Entry'!AQ$9),'Council Entry'!AQ$8),'Council Entry'!AQ49)),IF('Council Entry'!AQ$4="Exponential",EXP(IF(AND(ISNUMBER('Council Entry'!AQ$8),ISNUMBER('Council Entry'!AQ$9)),MAX(MIN('Council Entry'!AQ49,'Council Entry'!AQ$9),'Council Entry'!AQ$8),'Council Entry'!AQ49)),IF(AND(ISNUMBER('Council Entry'!AQ$8),ISNUMBER('Council Entry'!AQ$9)),MAX(MIN('Council Entry'!AQ49,'Council Entry'!AQ$9),'Council Entry'!AQ$8),'Council Entry'!AQ49))))-'Council Entry'!AQ$5)/('Council Entry'!AQ$6-'Council Entry'!AQ$5)),1))),"No data"))</f>
        <v/>
      </c>
      <c r="AR49" s="13">
        <f>IF('Council Entry'!AR49="","",IFERROR(MAX(0,MIN(10,ROUND(IF('Council Entry'!AR$7="Decrease Risk",10-10*((IF('Council Entry'!AR$4="Logarithm",LN(0.001+IF(AND(ISNUMBER('Council Entry'!AR$8),ISNUMBER('Council Entry'!AR$9)),MAX(MIN('Council Entry'!AR49,'Council Entry'!AR$9),'Council Entry'!AR$8),'Council Entry'!AR49)),IF('Council Entry'!AR$4="Exponential",EXP(IF(AND(ISNUMBER('Council Entry'!AR$8),ISNUMBER('Council Entry'!AR$9)),MAX(MIN('Council Entry'!AR49,'Council Entry'!AR$9),'Council Entry'!AR$8),'Council Entry'!AR49)),IF(AND(ISNUMBER('Council Entry'!AR$8),ISNUMBER('Council Entry'!AR$9)),MAX(MIN('Council Entry'!AR49,'Council Entry'!AR$9),'Council Entry'!AR$8),'Council Entry'!AR49))))-'Council Entry'!AR$5)/('Council Entry'!AR$6-'Council Entry'!AR$5),10*((IF('Council Entry'!AR$4="Logarithm",LN(0.001+IF(AND(ISNUMBER('Council Entry'!AR$8),ISNUMBER('Council Entry'!AR$9)),MAX(MIN('Council Entry'!AR49,'Council Entry'!AR$9),'Council Entry'!AR$8),'Council Entry'!AR49)),IF('Council Entry'!AR$4="Exponential",EXP(IF(AND(ISNUMBER('Council Entry'!AR$8),ISNUMBER('Council Entry'!AR$9)),MAX(MIN('Council Entry'!AR49,'Council Entry'!AR$9),'Council Entry'!AR$8),'Council Entry'!AR49)),IF(AND(ISNUMBER('Council Entry'!AR$8),ISNUMBER('Council Entry'!AR$9)),MAX(MIN('Council Entry'!AR49,'Council Entry'!AR$9),'Council Entry'!AR$8),'Council Entry'!AR49))))-'Council Entry'!AR$5)/('Council Entry'!AR$6-'Council Entry'!AR$5)),1))),"No data"))</f>
        <v/>
      </c>
      <c r="AS49" s="13">
        <f>IF('Council Entry'!AS49="","",IFERROR(MAX(0,MIN(10,ROUND(IF('Council Entry'!AS$7="Decrease Risk",10-10*((IF('Council Entry'!AS$4="Logarithm",LN(0.001+IF(AND(ISNUMBER('Council Entry'!AS$8),ISNUMBER('Council Entry'!AS$9)),MAX(MIN('Council Entry'!AS49,'Council Entry'!AS$9),'Council Entry'!AS$8),'Council Entry'!AS49)),IF('Council Entry'!AS$4="Exponential",EXP(IF(AND(ISNUMBER('Council Entry'!AS$8),ISNUMBER('Council Entry'!AS$9)),MAX(MIN('Council Entry'!AS49,'Council Entry'!AS$9),'Council Entry'!AS$8),'Council Entry'!AS49)),IF(AND(ISNUMBER('Council Entry'!AS$8),ISNUMBER('Council Entry'!AS$9)),MAX(MIN('Council Entry'!AS49,'Council Entry'!AS$9),'Council Entry'!AS$8),'Council Entry'!AS49))))-'Council Entry'!AS$5)/('Council Entry'!AS$6-'Council Entry'!AS$5),10*((IF('Council Entry'!AS$4="Logarithm",LN(0.001+IF(AND(ISNUMBER('Council Entry'!AS$8),ISNUMBER('Council Entry'!AS$9)),MAX(MIN('Council Entry'!AS49,'Council Entry'!AS$9),'Council Entry'!AS$8),'Council Entry'!AS49)),IF('Council Entry'!AS$4="Exponential",EXP(IF(AND(ISNUMBER('Council Entry'!AS$8),ISNUMBER('Council Entry'!AS$9)),MAX(MIN('Council Entry'!AS49,'Council Entry'!AS$9),'Council Entry'!AS$8),'Council Entry'!AS49)),IF(AND(ISNUMBER('Council Entry'!AS$8),ISNUMBER('Council Entry'!AS$9)),MAX(MIN('Council Entry'!AS49,'Council Entry'!AS$9),'Council Entry'!AS$8),'Council Entry'!AS49))))-'Council Entry'!AS$5)/('Council Entry'!AS$6-'Council Entry'!AS$5)),1))),"No data"))</f>
        <v/>
      </c>
      <c r="AT49" s="13">
        <f>IF('Council Entry'!AT49="","",IFERROR(MAX(0,MIN(10,ROUND(IF('Council Entry'!AT$7="Decrease Risk",10-10*((IF('Council Entry'!AT$4="Logarithm",LN(0.001+IF(AND(ISNUMBER('Council Entry'!AT$8),ISNUMBER('Council Entry'!AT$9)),MAX(MIN('Council Entry'!AT49,'Council Entry'!AT$9),'Council Entry'!AT$8),'Council Entry'!AT49)),IF('Council Entry'!AT$4="Exponential",EXP(IF(AND(ISNUMBER('Council Entry'!AT$8),ISNUMBER('Council Entry'!AT$9)),MAX(MIN('Council Entry'!AT49,'Council Entry'!AT$9),'Council Entry'!AT$8),'Council Entry'!AT49)),IF(AND(ISNUMBER('Council Entry'!AT$8),ISNUMBER('Council Entry'!AT$9)),MAX(MIN('Council Entry'!AT49,'Council Entry'!AT$9),'Council Entry'!AT$8),'Council Entry'!AT49))))-'Council Entry'!AT$5)/('Council Entry'!AT$6-'Council Entry'!AT$5),10*((IF('Council Entry'!AT$4="Logarithm",LN(0.001+IF(AND(ISNUMBER('Council Entry'!AT$8),ISNUMBER('Council Entry'!AT$9)),MAX(MIN('Council Entry'!AT49,'Council Entry'!AT$9),'Council Entry'!AT$8),'Council Entry'!AT49)),IF('Council Entry'!AT$4="Exponential",EXP(IF(AND(ISNUMBER('Council Entry'!AT$8),ISNUMBER('Council Entry'!AT$9)),MAX(MIN('Council Entry'!AT49,'Council Entry'!AT$9),'Council Entry'!AT$8),'Council Entry'!AT49)),IF(AND(ISNUMBER('Council Entry'!AT$8),ISNUMBER('Council Entry'!AT$9)),MAX(MIN('Council Entry'!AT49,'Council Entry'!AT$9),'Council Entry'!AT$8),'Council Entry'!AT49))))-'Council Entry'!AT$5)/('Council Entry'!AT$6-'Council Entry'!AT$5)),1))),"No data"))</f>
        <v/>
      </c>
      <c r="AU49" s="13">
        <f>IF('Council Entry'!AU49="","",IFERROR(MAX(0,MIN(10,ROUND(IF('Council Entry'!AU$7="Decrease Risk",10-10*((IF('Council Entry'!AU$4="Logarithm",LN(0.001+IF(AND(ISNUMBER('Council Entry'!AU$8),ISNUMBER('Council Entry'!AU$9)),MAX(MIN('Council Entry'!AU49,'Council Entry'!AU$9),'Council Entry'!AU$8),'Council Entry'!AU49)),IF('Council Entry'!AU$4="Exponential",EXP(IF(AND(ISNUMBER('Council Entry'!AU$8),ISNUMBER('Council Entry'!AU$9)),MAX(MIN('Council Entry'!AU49,'Council Entry'!AU$9),'Council Entry'!AU$8),'Council Entry'!AU49)),IF(AND(ISNUMBER('Council Entry'!AU$8),ISNUMBER('Council Entry'!AU$9)),MAX(MIN('Council Entry'!AU49,'Council Entry'!AU$9),'Council Entry'!AU$8),'Council Entry'!AU49))))-'Council Entry'!AU$5)/('Council Entry'!AU$6-'Council Entry'!AU$5),10*((IF('Council Entry'!AU$4="Logarithm",LN(0.001+IF(AND(ISNUMBER('Council Entry'!AU$8),ISNUMBER('Council Entry'!AU$9)),MAX(MIN('Council Entry'!AU49,'Council Entry'!AU$9),'Council Entry'!AU$8),'Council Entry'!AU49)),IF('Council Entry'!AU$4="Exponential",EXP(IF(AND(ISNUMBER('Council Entry'!AU$8),ISNUMBER('Council Entry'!AU$9)),MAX(MIN('Council Entry'!AU49,'Council Entry'!AU$9),'Council Entry'!AU$8),'Council Entry'!AU49)),IF(AND(ISNUMBER('Council Entry'!AU$8),ISNUMBER('Council Entry'!AU$9)),MAX(MIN('Council Entry'!AU49,'Council Entry'!AU$9),'Council Entry'!AU$8),'Council Entry'!AU49))))-'Council Entry'!AU$5)/('Council Entry'!AU$6-'Council Entry'!AU$5)),1))),"No data"))</f>
        <v/>
      </c>
      <c r="AV49" s="13">
        <f>IF('Council Entry'!AV49="","",IFERROR(MAX(0,MIN(10,ROUND(IF('Council Entry'!AV$7="Decrease Risk",10-10*((IF('Council Entry'!AV$4="Logarithm",LN(0.001+IF(AND(ISNUMBER('Council Entry'!AV$8),ISNUMBER('Council Entry'!AV$9)),MAX(MIN('Council Entry'!AV49,'Council Entry'!AV$9),'Council Entry'!AV$8),'Council Entry'!AV49)),IF('Council Entry'!AV$4="Exponential",EXP(IF(AND(ISNUMBER('Council Entry'!AV$8),ISNUMBER('Council Entry'!AV$9)),MAX(MIN('Council Entry'!AV49,'Council Entry'!AV$9),'Council Entry'!AV$8),'Council Entry'!AV49)),IF(AND(ISNUMBER('Council Entry'!AV$8),ISNUMBER('Council Entry'!AV$9)),MAX(MIN('Council Entry'!AV49,'Council Entry'!AV$9),'Council Entry'!AV$8),'Council Entry'!AV49))))-'Council Entry'!AV$5)/('Council Entry'!AV$6-'Council Entry'!AV$5),10*((IF('Council Entry'!AV$4="Logarithm",LN(0.001+IF(AND(ISNUMBER('Council Entry'!AV$8),ISNUMBER('Council Entry'!AV$9)),MAX(MIN('Council Entry'!AV49,'Council Entry'!AV$9),'Council Entry'!AV$8),'Council Entry'!AV49)),IF('Council Entry'!AV$4="Exponential",EXP(IF(AND(ISNUMBER('Council Entry'!AV$8),ISNUMBER('Council Entry'!AV$9)),MAX(MIN('Council Entry'!AV49,'Council Entry'!AV$9),'Council Entry'!AV$8),'Council Entry'!AV49)),IF(AND(ISNUMBER('Council Entry'!AV$8),ISNUMBER('Council Entry'!AV$9)),MAX(MIN('Council Entry'!AV49,'Council Entry'!AV$9),'Council Entry'!AV$8),'Council Entry'!AV49))))-'Council Entry'!AV$5)/('Council Entry'!AV$6-'Council Entry'!AV$5)),1))),"No data"))</f>
        <v/>
      </c>
      <c r="AW49" s="13">
        <f>IF('Council Entry'!AW49="","",IFERROR(MAX(0,MIN(10,ROUND(IF('Council Entry'!AW$7="Decrease Risk",10-10*((IF('Council Entry'!AW$4="Logarithm",LN(0.001+IF(AND(ISNUMBER('Council Entry'!AW$8),ISNUMBER('Council Entry'!AW$9)),MAX(MIN('Council Entry'!AW49,'Council Entry'!AW$9),'Council Entry'!AW$8),'Council Entry'!AW49)),IF('Council Entry'!AW$4="Exponential",EXP(IF(AND(ISNUMBER('Council Entry'!AW$8),ISNUMBER('Council Entry'!AW$9)),MAX(MIN('Council Entry'!AW49,'Council Entry'!AW$9),'Council Entry'!AW$8),'Council Entry'!AW49)),IF(AND(ISNUMBER('Council Entry'!AW$8),ISNUMBER('Council Entry'!AW$9)),MAX(MIN('Council Entry'!AW49,'Council Entry'!AW$9),'Council Entry'!AW$8),'Council Entry'!AW49))))-'Council Entry'!AW$5)/('Council Entry'!AW$6-'Council Entry'!AW$5),10*((IF('Council Entry'!AW$4="Logarithm",LN(0.001+IF(AND(ISNUMBER('Council Entry'!AW$8),ISNUMBER('Council Entry'!AW$9)),MAX(MIN('Council Entry'!AW49,'Council Entry'!AW$9),'Council Entry'!AW$8),'Council Entry'!AW49)),IF('Council Entry'!AW$4="Exponential",EXP(IF(AND(ISNUMBER('Council Entry'!AW$8),ISNUMBER('Council Entry'!AW$9)),MAX(MIN('Council Entry'!AW49,'Council Entry'!AW$9),'Council Entry'!AW$8),'Council Entry'!AW49)),IF(AND(ISNUMBER('Council Entry'!AW$8),ISNUMBER('Council Entry'!AW$9)),MAX(MIN('Council Entry'!AW49,'Council Entry'!AW$9),'Council Entry'!AW$8),'Council Entry'!AW49))))-'Council Entry'!AW$5)/('Council Entry'!AW$6-'Council Entry'!AW$5)),1))),"No data"))</f>
        <v/>
      </c>
      <c r="AX49" s="13">
        <f>IF('Council Entry'!AX49="","",IFERROR(MAX(0,MIN(10,ROUND(IF('Council Entry'!AX$7="Decrease Risk",10-10*((IF('Council Entry'!AX$4="Logarithm",LN(0.001+IF(AND(ISNUMBER('Council Entry'!AX$8),ISNUMBER('Council Entry'!AX$9)),MAX(MIN('Council Entry'!AX49,'Council Entry'!AX$9),'Council Entry'!AX$8),'Council Entry'!AX49)),IF('Council Entry'!AX$4="Exponential",EXP(IF(AND(ISNUMBER('Council Entry'!AX$8),ISNUMBER('Council Entry'!AX$9)),MAX(MIN('Council Entry'!AX49,'Council Entry'!AX$9),'Council Entry'!AX$8),'Council Entry'!AX49)),IF(AND(ISNUMBER('Council Entry'!AX$8),ISNUMBER('Council Entry'!AX$9)),MAX(MIN('Council Entry'!AX49,'Council Entry'!AX$9),'Council Entry'!AX$8),'Council Entry'!AX49))))-'Council Entry'!AX$5)/('Council Entry'!AX$6-'Council Entry'!AX$5),10*((IF('Council Entry'!AX$4="Logarithm",LN(0.001+IF(AND(ISNUMBER('Council Entry'!AX$8),ISNUMBER('Council Entry'!AX$9)),MAX(MIN('Council Entry'!AX49,'Council Entry'!AX$9),'Council Entry'!AX$8),'Council Entry'!AX49)),IF('Council Entry'!AX$4="Exponential",EXP(IF(AND(ISNUMBER('Council Entry'!AX$8),ISNUMBER('Council Entry'!AX$9)),MAX(MIN('Council Entry'!AX49,'Council Entry'!AX$9),'Council Entry'!AX$8),'Council Entry'!AX49)),IF(AND(ISNUMBER('Council Entry'!AX$8),ISNUMBER('Council Entry'!AX$9)),MAX(MIN('Council Entry'!AX49,'Council Entry'!AX$9),'Council Entry'!AX$8),'Council Entry'!AX49))))-'Council Entry'!AX$5)/('Council Entry'!AX$6-'Council Entry'!AX$5)),1))),"No data"))</f>
        <v/>
      </c>
      <c r="AY49" s="13">
        <f>IF('Council Entry'!AY49="","",IFERROR(MAX(0,MIN(10,ROUND(IF('Council Entry'!AY$7="Decrease Risk",10-10*((IF('Council Entry'!AY$4="Logarithm",LN(0.001+IF(AND(ISNUMBER('Council Entry'!AY$8),ISNUMBER('Council Entry'!AY$9)),MAX(MIN('Council Entry'!AY49,'Council Entry'!AY$9),'Council Entry'!AY$8),'Council Entry'!AY49)),IF('Council Entry'!AY$4="Exponential",EXP(IF(AND(ISNUMBER('Council Entry'!AY$8),ISNUMBER('Council Entry'!AY$9)),MAX(MIN('Council Entry'!AY49,'Council Entry'!AY$9),'Council Entry'!AY$8),'Council Entry'!AY49)),IF(AND(ISNUMBER('Council Entry'!AY$8),ISNUMBER('Council Entry'!AY$9)),MAX(MIN('Council Entry'!AY49,'Council Entry'!AY$9),'Council Entry'!AY$8),'Council Entry'!AY49))))-'Council Entry'!AY$5)/('Council Entry'!AY$6-'Council Entry'!AY$5),10*((IF('Council Entry'!AY$4="Logarithm",LN(0.001+IF(AND(ISNUMBER('Council Entry'!AY$8),ISNUMBER('Council Entry'!AY$9)),MAX(MIN('Council Entry'!AY49,'Council Entry'!AY$9),'Council Entry'!AY$8),'Council Entry'!AY49)),IF('Council Entry'!AY$4="Exponential",EXP(IF(AND(ISNUMBER('Council Entry'!AY$8),ISNUMBER('Council Entry'!AY$9)),MAX(MIN('Council Entry'!AY49,'Council Entry'!AY$9),'Council Entry'!AY$8),'Council Entry'!AY49)),IF(AND(ISNUMBER('Council Entry'!AY$8),ISNUMBER('Council Entry'!AY$9)),MAX(MIN('Council Entry'!AY49,'Council Entry'!AY$9),'Council Entry'!AY$8),'Council Entry'!AY49))))-'Council Entry'!AY$5)/('Council Entry'!AY$6-'Council Entry'!AY$5)),1))),"No data"))</f>
        <v/>
      </c>
      <c r="AZ49" s="13">
        <f>IF('Council Entry'!AZ49="","",IFERROR(MAX(0,MIN(10,ROUND(IF('Council Entry'!AZ$7="Decrease Risk",10-10*((IF('Council Entry'!AZ$4="Logarithm",LN(0.001+IF(AND(ISNUMBER('Council Entry'!AZ$8),ISNUMBER('Council Entry'!AZ$9)),MAX(MIN('Council Entry'!AZ49,'Council Entry'!AZ$9),'Council Entry'!AZ$8),'Council Entry'!AZ49)),IF('Council Entry'!AZ$4="Exponential",EXP(IF(AND(ISNUMBER('Council Entry'!AZ$8),ISNUMBER('Council Entry'!AZ$9)),MAX(MIN('Council Entry'!AZ49,'Council Entry'!AZ$9),'Council Entry'!AZ$8),'Council Entry'!AZ49)),IF(AND(ISNUMBER('Council Entry'!AZ$8),ISNUMBER('Council Entry'!AZ$9)),MAX(MIN('Council Entry'!AZ49,'Council Entry'!AZ$9),'Council Entry'!AZ$8),'Council Entry'!AZ49))))-'Council Entry'!AZ$5)/('Council Entry'!AZ$6-'Council Entry'!AZ$5),10*((IF('Council Entry'!AZ$4="Logarithm",LN(0.001+IF(AND(ISNUMBER('Council Entry'!AZ$8),ISNUMBER('Council Entry'!AZ$9)),MAX(MIN('Council Entry'!AZ49,'Council Entry'!AZ$9),'Council Entry'!AZ$8),'Council Entry'!AZ49)),IF('Council Entry'!AZ$4="Exponential",EXP(IF(AND(ISNUMBER('Council Entry'!AZ$8),ISNUMBER('Council Entry'!AZ$9)),MAX(MIN('Council Entry'!AZ49,'Council Entry'!AZ$9),'Council Entry'!AZ$8),'Council Entry'!AZ49)),IF(AND(ISNUMBER('Council Entry'!AZ$8),ISNUMBER('Council Entry'!AZ$9)),MAX(MIN('Council Entry'!AZ49,'Council Entry'!AZ$9),'Council Entry'!AZ$8),'Council Entry'!AZ49))))-'Council Entry'!AZ$5)/('Council Entry'!AZ$6-'Council Entry'!AZ$5)),1))),"No data"))</f>
        <v/>
      </c>
      <c r="BA49" s="13">
        <f>IF('Council Entry'!BA49="","",IFERROR(MAX(0,MIN(10,ROUND(IF('Council Entry'!BA$7="Decrease Risk",10-10*((IF('Council Entry'!BA$4="Logarithm",LN(0.001+IF(AND(ISNUMBER('Council Entry'!BA$8),ISNUMBER('Council Entry'!BA$9)),MAX(MIN('Council Entry'!BA49,'Council Entry'!BA$9),'Council Entry'!BA$8),'Council Entry'!BA49)),IF('Council Entry'!BA$4="Exponential",EXP(IF(AND(ISNUMBER('Council Entry'!BA$8),ISNUMBER('Council Entry'!BA$9)),MAX(MIN('Council Entry'!BA49,'Council Entry'!BA$9),'Council Entry'!BA$8),'Council Entry'!BA49)),IF(AND(ISNUMBER('Council Entry'!BA$8),ISNUMBER('Council Entry'!BA$9)),MAX(MIN('Council Entry'!BA49,'Council Entry'!BA$9),'Council Entry'!BA$8),'Council Entry'!BA49))))-'Council Entry'!BA$5)/('Council Entry'!BA$6-'Council Entry'!BA$5),10*((IF('Council Entry'!BA$4="Logarithm",LN(0.001+IF(AND(ISNUMBER('Council Entry'!BA$8),ISNUMBER('Council Entry'!BA$9)),MAX(MIN('Council Entry'!BA49,'Council Entry'!BA$9),'Council Entry'!BA$8),'Council Entry'!BA49)),IF('Council Entry'!BA$4="Exponential",EXP(IF(AND(ISNUMBER('Council Entry'!BA$8),ISNUMBER('Council Entry'!BA$9)),MAX(MIN('Council Entry'!BA49,'Council Entry'!BA$9),'Council Entry'!BA$8),'Council Entry'!BA49)),IF(AND(ISNUMBER('Council Entry'!BA$8),ISNUMBER('Council Entry'!BA$9)),MAX(MIN('Council Entry'!BA49,'Council Entry'!BA$9),'Council Entry'!BA$8),'Council Entry'!BA49))))-'Council Entry'!BA$5)/('Council Entry'!BA$6-'Council Entry'!BA$5)),1))),"No data"))</f>
        <v/>
      </c>
      <c r="BB49" s="13">
        <f>IF('Council Entry'!BB49="","",IFERROR(MAX(0,MIN(10,ROUND(IF('Council Entry'!BB$7="Decrease Risk",10-10*((IF('Council Entry'!BB$4="Logarithm",LN(0.001+IF(AND(ISNUMBER('Council Entry'!BB$8),ISNUMBER('Council Entry'!BB$9)),MAX(MIN('Council Entry'!BB49,'Council Entry'!BB$9),'Council Entry'!BB$8),'Council Entry'!BB49)),IF('Council Entry'!BB$4="Exponential",EXP(IF(AND(ISNUMBER('Council Entry'!BB$8),ISNUMBER('Council Entry'!BB$9)),MAX(MIN('Council Entry'!BB49,'Council Entry'!BB$9),'Council Entry'!BB$8),'Council Entry'!BB49)),IF(AND(ISNUMBER('Council Entry'!BB$8),ISNUMBER('Council Entry'!BB$9)),MAX(MIN('Council Entry'!BB49,'Council Entry'!BB$9),'Council Entry'!BB$8),'Council Entry'!BB49))))-'Council Entry'!BB$5)/('Council Entry'!BB$6-'Council Entry'!BB$5),10*((IF('Council Entry'!BB$4="Logarithm",LN(0.001+IF(AND(ISNUMBER('Council Entry'!BB$8),ISNUMBER('Council Entry'!BB$9)),MAX(MIN('Council Entry'!BB49,'Council Entry'!BB$9),'Council Entry'!BB$8),'Council Entry'!BB49)),IF('Council Entry'!BB$4="Exponential",EXP(IF(AND(ISNUMBER('Council Entry'!BB$8),ISNUMBER('Council Entry'!BB$9)),MAX(MIN('Council Entry'!BB49,'Council Entry'!BB$9),'Council Entry'!BB$8),'Council Entry'!BB49)),IF(AND(ISNUMBER('Council Entry'!BB$8),ISNUMBER('Council Entry'!BB$9)),MAX(MIN('Council Entry'!BB49,'Council Entry'!BB$9),'Council Entry'!BB$8),'Council Entry'!BB49))))-'Council Entry'!BB$5)/('Council Entry'!BB$6-'Council Entry'!BB$5)),1))),"No data"))</f>
        <v/>
      </c>
      <c r="BC49" s="13">
        <f>IF('Council Entry'!BC49="","",IFERROR(MAX(0,MIN(10,ROUND(IF('Council Entry'!BC$7="Decrease Risk",10-10*((IF('Council Entry'!BC$4="Logarithm",LN(0.001+IF(AND(ISNUMBER('Council Entry'!BC$8),ISNUMBER('Council Entry'!BC$9)),MAX(MIN('Council Entry'!BC49,'Council Entry'!BC$9),'Council Entry'!BC$8),'Council Entry'!BC49)),IF('Council Entry'!BC$4="Exponential",EXP(IF(AND(ISNUMBER('Council Entry'!BC$8),ISNUMBER('Council Entry'!BC$9)),MAX(MIN('Council Entry'!BC49,'Council Entry'!BC$9),'Council Entry'!BC$8),'Council Entry'!BC49)),IF(AND(ISNUMBER('Council Entry'!BC$8),ISNUMBER('Council Entry'!BC$9)),MAX(MIN('Council Entry'!BC49,'Council Entry'!BC$9),'Council Entry'!BC$8),'Council Entry'!BC49))))-'Council Entry'!BC$5)/('Council Entry'!BC$6-'Council Entry'!BC$5),10*((IF('Council Entry'!BC$4="Logarithm",LN(0.001+IF(AND(ISNUMBER('Council Entry'!BC$8),ISNUMBER('Council Entry'!BC$9)),MAX(MIN('Council Entry'!BC49,'Council Entry'!BC$9),'Council Entry'!BC$8),'Council Entry'!BC49)),IF('Council Entry'!BC$4="Exponential",EXP(IF(AND(ISNUMBER('Council Entry'!BC$8),ISNUMBER('Council Entry'!BC$9)),MAX(MIN('Council Entry'!BC49,'Council Entry'!BC$9),'Council Entry'!BC$8),'Council Entry'!BC49)),IF(AND(ISNUMBER('Council Entry'!BC$8),ISNUMBER('Council Entry'!BC$9)),MAX(MIN('Council Entry'!BC49,'Council Entry'!BC$9),'Council Entry'!BC$8),'Council Entry'!BC49))))-'Council Entry'!BC$5)/('Council Entry'!BC$6-'Council Entry'!BC$5)),1))),"No data"))</f>
        <v/>
      </c>
      <c r="BD49" s="13">
        <f>IF('Council Entry'!BD49="","",IFERROR(MAX(0,MIN(10,ROUND(IF('Council Entry'!BD$7="Decrease Risk",10-10*((IF('Council Entry'!BD$4="Logarithm",LN(0.001+IF(AND(ISNUMBER('Council Entry'!BD$8),ISNUMBER('Council Entry'!BD$9)),MAX(MIN('Council Entry'!BD49,'Council Entry'!BD$9),'Council Entry'!BD$8),'Council Entry'!BD49)),IF('Council Entry'!BD$4="Exponential",EXP(IF(AND(ISNUMBER('Council Entry'!BD$8),ISNUMBER('Council Entry'!BD$9)),MAX(MIN('Council Entry'!BD49,'Council Entry'!BD$9),'Council Entry'!BD$8),'Council Entry'!BD49)),IF(AND(ISNUMBER('Council Entry'!BD$8),ISNUMBER('Council Entry'!BD$9)),MAX(MIN('Council Entry'!BD49,'Council Entry'!BD$9),'Council Entry'!BD$8),'Council Entry'!BD49))))-'Council Entry'!BD$5)/('Council Entry'!BD$6-'Council Entry'!BD$5),10*((IF('Council Entry'!BD$4="Logarithm",LN(0.001+IF(AND(ISNUMBER('Council Entry'!BD$8),ISNUMBER('Council Entry'!BD$9)),MAX(MIN('Council Entry'!BD49,'Council Entry'!BD$9),'Council Entry'!BD$8),'Council Entry'!BD49)),IF('Council Entry'!BD$4="Exponential",EXP(IF(AND(ISNUMBER('Council Entry'!BD$8),ISNUMBER('Council Entry'!BD$9)),MAX(MIN('Council Entry'!BD49,'Council Entry'!BD$9),'Council Entry'!BD$8),'Council Entry'!BD49)),IF(AND(ISNUMBER('Council Entry'!BD$8),ISNUMBER('Council Entry'!BD$9)),MAX(MIN('Council Entry'!BD49,'Council Entry'!BD$9),'Council Entry'!BD$8),'Council Entry'!BD49))))-'Council Entry'!BD$5)/('Council Entry'!BD$6-'Council Entry'!BD$5)),1))),"No data"))</f>
        <v/>
      </c>
    </row>
    <row r="50">
      <c r="A50" t="inlineStr">
        <is>
          <t>Kaskazini Pemba</t>
        </is>
      </c>
      <c r="B50" t="inlineStr">
        <is>
          <t>Micheweni District</t>
        </is>
      </c>
      <c r="C50" t="inlineStr">
        <is>
          <t>C193</t>
        </is>
      </c>
      <c r="D50" s="13">
        <f>IF('Council Entry'!D50="","",IFERROR(MAX(0,MIN(10,ROUND(IF('Council Entry'!D$7="Decrease Risk",10-10*((IF('Council Entry'!D$4="Logarithm",LN(0.001+IF(AND(ISNUMBER('Council Entry'!D$8),ISNUMBER('Council Entry'!D$9)),MAX(MIN('Council Entry'!D50,'Council Entry'!D$9),'Council Entry'!D$8),'Council Entry'!D50)),IF('Council Entry'!D$4="Exponential",EXP(IF(AND(ISNUMBER('Council Entry'!D$8),ISNUMBER('Council Entry'!D$9)),MAX(MIN('Council Entry'!D50,'Council Entry'!D$9),'Council Entry'!D$8),'Council Entry'!D50)),IF(AND(ISNUMBER('Council Entry'!D$8),ISNUMBER('Council Entry'!D$9)),MAX(MIN('Council Entry'!D50,'Council Entry'!D$9),'Council Entry'!D$8),'Council Entry'!D50))))-'Council Entry'!D$5)/('Council Entry'!D$6-'Council Entry'!D$5),10*((IF('Council Entry'!D$4="Logarithm",LN(0.001+IF(AND(ISNUMBER('Council Entry'!D$8),ISNUMBER('Council Entry'!D$9)),MAX(MIN('Council Entry'!D50,'Council Entry'!D$9),'Council Entry'!D$8),'Council Entry'!D50)),IF('Council Entry'!D$4="Exponential",EXP(IF(AND(ISNUMBER('Council Entry'!D$8),ISNUMBER('Council Entry'!D$9)),MAX(MIN('Council Entry'!D50,'Council Entry'!D$9),'Council Entry'!D$8),'Council Entry'!D50)),IF(AND(ISNUMBER('Council Entry'!D$8),ISNUMBER('Council Entry'!D$9)),MAX(MIN('Council Entry'!D50,'Council Entry'!D$9),'Council Entry'!D$8),'Council Entry'!D50))))-'Council Entry'!D$5)/('Council Entry'!D$6-'Council Entry'!D$5)),1))),"No data"))</f>
        <v/>
      </c>
      <c r="E50" s="13">
        <f>IF('Council Entry'!E50="","",IFERROR(MAX(0,MIN(10,ROUND(IF('Council Entry'!E$7="Decrease Risk",10-10*((IF('Council Entry'!E$4="Logarithm",LN(0.001+IF(AND(ISNUMBER('Council Entry'!E$8),ISNUMBER('Council Entry'!E$9)),MAX(MIN('Council Entry'!E50,'Council Entry'!E$9),'Council Entry'!E$8),'Council Entry'!E50)),IF('Council Entry'!E$4="Exponential",EXP(IF(AND(ISNUMBER('Council Entry'!E$8),ISNUMBER('Council Entry'!E$9)),MAX(MIN('Council Entry'!E50,'Council Entry'!E$9),'Council Entry'!E$8),'Council Entry'!E50)),IF(AND(ISNUMBER('Council Entry'!E$8),ISNUMBER('Council Entry'!E$9)),MAX(MIN('Council Entry'!E50,'Council Entry'!E$9),'Council Entry'!E$8),'Council Entry'!E50))))-'Council Entry'!E$5)/('Council Entry'!E$6-'Council Entry'!E$5),10*((IF('Council Entry'!E$4="Logarithm",LN(0.001+IF(AND(ISNUMBER('Council Entry'!E$8),ISNUMBER('Council Entry'!E$9)),MAX(MIN('Council Entry'!E50,'Council Entry'!E$9),'Council Entry'!E$8),'Council Entry'!E50)),IF('Council Entry'!E$4="Exponential",EXP(IF(AND(ISNUMBER('Council Entry'!E$8),ISNUMBER('Council Entry'!E$9)),MAX(MIN('Council Entry'!E50,'Council Entry'!E$9),'Council Entry'!E$8),'Council Entry'!E50)),IF(AND(ISNUMBER('Council Entry'!E$8),ISNUMBER('Council Entry'!E$9)),MAX(MIN('Council Entry'!E50,'Council Entry'!E$9),'Council Entry'!E$8),'Council Entry'!E50))))-'Council Entry'!E$5)/('Council Entry'!E$6-'Council Entry'!E$5)),1))),"No data"))</f>
        <v/>
      </c>
      <c r="F50" s="13">
        <f>IF('Council Entry'!F50="","",IFERROR(MAX(0,MIN(10,ROUND(IF('Council Entry'!F$7="Decrease Risk",10-10*((IF('Council Entry'!F$4="Logarithm",LN(0.001+IF(AND(ISNUMBER('Council Entry'!F$8),ISNUMBER('Council Entry'!F$9)),MAX(MIN('Council Entry'!F50,'Council Entry'!F$9),'Council Entry'!F$8),'Council Entry'!F50)),IF('Council Entry'!F$4="Exponential",EXP(IF(AND(ISNUMBER('Council Entry'!F$8),ISNUMBER('Council Entry'!F$9)),MAX(MIN('Council Entry'!F50,'Council Entry'!F$9),'Council Entry'!F$8),'Council Entry'!F50)),IF(AND(ISNUMBER('Council Entry'!F$8),ISNUMBER('Council Entry'!F$9)),MAX(MIN('Council Entry'!F50,'Council Entry'!F$9),'Council Entry'!F$8),'Council Entry'!F50))))-'Council Entry'!F$5)/('Council Entry'!F$6-'Council Entry'!F$5),10*((IF('Council Entry'!F$4="Logarithm",LN(0.001+IF(AND(ISNUMBER('Council Entry'!F$8),ISNUMBER('Council Entry'!F$9)),MAX(MIN('Council Entry'!F50,'Council Entry'!F$9),'Council Entry'!F$8),'Council Entry'!F50)),IF('Council Entry'!F$4="Exponential",EXP(IF(AND(ISNUMBER('Council Entry'!F$8),ISNUMBER('Council Entry'!F$9)),MAX(MIN('Council Entry'!F50,'Council Entry'!F$9),'Council Entry'!F$8),'Council Entry'!F50)),IF(AND(ISNUMBER('Council Entry'!F$8),ISNUMBER('Council Entry'!F$9)),MAX(MIN('Council Entry'!F50,'Council Entry'!F$9),'Council Entry'!F$8),'Council Entry'!F50))))-'Council Entry'!F$5)/('Council Entry'!F$6-'Council Entry'!F$5)),1))),"No data"))</f>
        <v/>
      </c>
      <c r="G50" s="13">
        <f>IF('Council Entry'!G50="","",IFERROR(MAX(0,MIN(10,ROUND(IF('Council Entry'!G$7="Decrease Risk",10-10*((IF('Council Entry'!G$4="Logarithm",LN(0.001+IF(AND(ISNUMBER('Council Entry'!G$8),ISNUMBER('Council Entry'!G$9)),MAX(MIN('Council Entry'!G50,'Council Entry'!G$9),'Council Entry'!G$8),'Council Entry'!G50)),IF('Council Entry'!G$4="Exponential",EXP(IF(AND(ISNUMBER('Council Entry'!G$8),ISNUMBER('Council Entry'!G$9)),MAX(MIN('Council Entry'!G50,'Council Entry'!G$9),'Council Entry'!G$8),'Council Entry'!G50)),IF(AND(ISNUMBER('Council Entry'!G$8),ISNUMBER('Council Entry'!G$9)),MAX(MIN('Council Entry'!G50,'Council Entry'!G$9),'Council Entry'!G$8),'Council Entry'!G50))))-'Council Entry'!G$5)/('Council Entry'!G$6-'Council Entry'!G$5),10*((IF('Council Entry'!G$4="Logarithm",LN(0.001+IF(AND(ISNUMBER('Council Entry'!G$8),ISNUMBER('Council Entry'!G$9)),MAX(MIN('Council Entry'!G50,'Council Entry'!G$9),'Council Entry'!G$8),'Council Entry'!G50)),IF('Council Entry'!G$4="Exponential",EXP(IF(AND(ISNUMBER('Council Entry'!G$8),ISNUMBER('Council Entry'!G$9)),MAX(MIN('Council Entry'!G50,'Council Entry'!G$9),'Council Entry'!G$8),'Council Entry'!G50)),IF(AND(ISNUMBER('Council Entry'!G$8),ISNUMBER('Council Entry'!G$9)),MAX(MIN('Council Entry'!G50,'Council Entry'!G$9),'Council Entry'!G$8),'Council Entry'!G50))))-'Council Entry'!G$5)/('Council Entry'!G$6-'Council Entry'!G$5)),1))),"No data"))</f>
        <v/>
      </c>
      <c r="H50" s="13">
        <f>IF('Council Entry'!H50="","",IFERROR(MAX(0,MIN(10,ROUND(IF('Council Entry'!H$7="Decrease Risk",10-10*((IF('Council Entry'!H$4="Logarithm",LN(0.001+IF(AND(ISNUMBER('Council Entry'!H$8),ISNUMBER('Council Entry'!H$9)),MAX(MIN('Council Entry'!H50,'Council Entry'!H$9),'Council Entry'!H$8),'Council Entry'!H50)),IF('Council Entry'!H$4="Exponential",EXP(IF(AND(ISNUMBER('Council Entry'!H$8),ISNUMBER('Council Entry'!H$9)),MAX(MIN('Council Entry'!H50,'Council Entry'!H$9),'Council Entry'!H$8),'Council Entry'!H50)),IF(AND(ISNUMBER('Council Entry'!H$8),ISNUMBER('Council Entry'!H$9)),MAX(MIN('Council Entry'!H50,'Council Entry'!H$9),'Council Entry'!H$8),'Council Entry'!H50))))-'Council Entry'!H$5)/('Council Entry'!H$6-'Council Entry'!H$5),10*((IF('Council Entry'!H$4="Logarithm",LN(0.001+IF(AND(ISNUMBER('Council Entry'!H$8),ISNUMBER('Council Entry'!H$9)),MAX(MIN('Council Entry'!H50,'Council Entry'!H$9),'Council Entry'!H$8),'Council Entry'!H50)),IF('Council Entry'!H$4="Exponential",EXP(IF(AND(ISNUMBER('Council Entry'!H$8),ISNUMBER('Council Entry'!H$9)),MAX(MIN('Council Entry'!H50,'Council Entry'!H$9),'Council Entry'!H$8),'Council Entry'!H50)),IF(AND(ISNUMBER('Council Entry'!H$8),ISNUMBER('Council Entry'!H$9)),MAX(MIN('Council Entry'!H50,'Council Entry'!H$9),'Council Entry'!H$8),'Council Entry'!H50))))-'Council Entry'!H$5)/('Council Entry'!H$6-'Council Entry'!H$5)),1))),"No data"))</f>
        <v/>
      </c>
      <c r="I50" s="13">
        <f>IF('Council Entry'!I50="","",IFERROR(MAX(0,MIN(10,ROUND(IF('Council Entry'!I$7="Decrease Risk",10-10*((IF('Council Entry'!I$4="Logarithm",LN(0.001+IF(AND(ISNUMBER('Council Entry'!I$8),ISNUMBER('Council Entry'!I$9)),MAX(MIN('Council Entry'!I50,'Council Entry'!I$9),'Council Entry'!I$8),'Council Entry'!I50)),IF('Council Entry'!I$4="Exponential",EXP(IF(AND(ISNUMBER('Council Entry'!I$8),ISNUMBER('Council Entry'!I$9)),MAX(MIN('Council Entry'!I50,'Council Entry'!I$9),'Council Entry'!I$8),'Council Entry'!I50)),IF(AND(ISNUMBER('Council Entry'!I$8),ISNUMBER('Council Entry'!I$9)),MAX(MIN('Council Entry'!I50,'Council Entry'!I$9),'Council Entry'!I$8),'Council Entry'!I50))))-'Council Entry'!I$5)/('Council Entry'!I$6-'Council Entry'!I$5),10*((IF('Council Entry'!I$4="Logarithm",LN(0.001+IF(AND(ISNUMBER('Council Entry'!I$8),ISNUMBER('Council Entry'!I$9)),MAX(MIN('Council Entry'!I50,'Council Entry'!I$9),'Council Entry'!I$8),'Council Entry'!I50)),IF('Council Entry'!I$4="Exponential",EXP(IF(AND(ISNUMBER('Council Entry'!I$8),ISNUMBER('Council Entry'!I$9)),MAX(MIN('Council Entry'!I50,'Council Entry'!I$9),'Council Entry'!I$8),'Council Entry'!I50)),IF(AND(ISNUMBER('Council Entry'!I$8),ISNUMBER('Council Entry'!I$9)),MAX(MIN('Council Entry'!I50,'Council Entry'!I$9),'Council Entry'!I$8),'Council Entry'!I50))))-'Council Entry'!I$5)/('Council Entry'!I$6-'Council Entry'!I$5)),1))),"No data"))</f>
        <v/>
      </c>
      <c r="J50" s="13">
        <f>IF('Council Entry'!J50="","",IFERROR(MAX(0,MIN(10,ROUND(IF('Council Entry'!J$7="Decrease Risk",10-10*((IF('Council Entry'!J$4="Logarithm",LN(0.001+IF(AND(ISNUMBER('Council Entry'!J$8),ISNUMBER('Council Entry'!J$9)),MAX(MIN('Council Entry'!J50,'Council Entry'!J$9),'Council Entry'!J$8),'Council Entry'!J50)),IF('Council Entry'!J$4="Exponential",EXP(IF(AND(ISNUMBER('Council Entry'!J$8),ISNUMBER('Council Entry'!J$9)),MAX(MIN('Council Entry'!J50,'Council Entry'!J$9),'Council Entry'!J$8),'Council Entry'!J50)),IF(AND(ISNUMBER('Council Entry'!J$8),ISNUMBER('Council Entry'!J$9)),MAX(MIN('Council Entry'!J50,'Council Entry'!J$9),'Council Entry'!J$8),'Council Entry'!J50))))-'Council Entry'!J$5)/('Council Entry'!J$6-'Council Entry'!J$5),10*((IF('Council Entry'!J$4="Logarithm",LN(0.001+IF(AND(ISNUMBER('Council Entry'!J$8),ISNUMBER('Council Entry'!J$9)),MAX(MIN('Council Entry'!J50,'Council Entry'!J$9),'Council Entry'!J$8),'Council Entry'!J50)),IF('Council Entry'!J$4="Exponential",EXP(IF(AND(ISNUMBER('Council Entry'!J$8),ISNUMBER('Council Entry'!J$9)),MAX(MIN('Council Entry'!J50,'Council Entry'!J$9),'Council Entry'!J$8),'Council Entry'!J50)),IF(AND(ISNUMBER('Council Entry'!J$8),ISNUMBER('Council Entry'!J$9)),MAX(MIN('Council Entry'!J50,'Council Entry'!J$9),'Council Entry'!J$8),'Council Entry'!J50))))-'Council Entry'!J$5)/('Council Entry'!J$6-'Council Entry'!J$5)),1))),"No data"))</f>
        <v/>
      </c>
      <c r="K50" s="13">
        <f>IF('Council Entry'!K50="","",IFERROR(MAX(0,MIN(10,ROUND(IF('Council Entry'!K$7="Decrease Risk",10-10*((IF('Council Entry'!K$4="Logarithm",LN(0.001+IF(AND(ISNUMBER('Council Entry'!K$8),ISNUMBER('Council Entry'!K$9)),MAX(MIN('Council Entry'!K50,'Council Entry'!K$9),'Council Entry'!K$8),'Council Entry'!K50)),IF('Council Entry'!K$4="Exponential",EXP(IF(AND(ISNUMBER('Council Entry'!K$8),ISNUMBER('Council Entry'!K$9)),MAX(MIN('Council Entry'!K50,'Council Entry'!K$9),'Council Entry'!K$8),'Council Entry'!K50)),IF(AND(ISNUMBER('Council Entry'!K$8),ISNUMBER('Council Entry'!K$9)),MAX(MIN('Council Entry'!K50,'Council Entry'!K$9),'Council Entry'!K$8),'Council Entry'!K50))))-'Council Entry'!K$5)/('Council Entry'!K$6-'Council Entry'!K$5),10*((IF('Council Entry'!K$4="Logarithm",LN(0.001+IF(AND(ISNUMBER('Council Entry'!K$8),ISNUMBER('Council Entry'!K$9)),MAX(MIN('Council Entry'!K50,'Council Entry'!K$9),'Council Entry'!K$8),'Council Entry'!K50)),IF('Council Entry'!K$4="Exponential",EXP(IF(AND(ISNUMBER('Council Entry'!K$8),ISNUMBER('Council Entry'!K$9)),MAX(MIN('Council Entry'!K50,'Council Entry'!K$9),'Council Entry'!K$8),'Council Entry'!K50)),IF(AND(ISNUMBER('Council Entry'!K$8),ISNUMBER('Council Entry'!K$9)),MAX(MIN('Council Entry'!K50,'Council Entry'!K$9),'Council Entry'!K$8),'Council Entry'!K50))))-'Council Entry'!K$5)/('Council Entry'!K$6-'Council Entry'!K$5)),1))),"No data"))</f>
        <v/>
      </c>
      <c r="L50" s="13">
        <f>IF('Council Entry'!L50="","",IFERROR(MAX(0,MIN(10,ROUND(IF('Council Entry'!L$7="Decrease Risk",10-10*((IF('Council Entry'!L$4="Logarithm",LN(0.001+IF(AND(ISNUMBER('Council Entry'!L$8),ISNUMBER('Council Entry'!L$9)),MAX(MIN('Council Entry'!L50,'Council Entry'!L$9),'Council Entry'!L$8),'Council Entry'!L50)),IF('Council Entry'!L$4="Exponential",EXP(IF(AND(ISNUMBER('Council Entry'!L$8),ISNUMBER('Council Entry'!L$9)),MAX(MIN('Council Entry'!L50,'Council Entry'!L$9),'Council Entry'!L$8),'Council Entry'!L50)),IF(AND(ISNUMBER('Council Entry'!L$8),ISNUMBER('Council Entry'!L$9)),MAX(MIN('Council Entry'!L50,'Council Entry'!L$9),'Council Entry'!L$8),'Council Entry'!L50))))-'Council Entry'!L$5)/('Council Entry'!L$6-'Council Entry'!L$5),10*((IF('Council Entry'!L$4="Logarithm",LN(0.001+IF(AND(ISNUMBER('Council Entry'!L$8),ISNUMBER('Council Entry'!L$9)),MAX(MIN('Council Entry'!L50,'Council Entry'!L$9),'Council Entry'!L$8),'Council Entry'!L50)),IF('Council Entry'!L$4="Exponential",EXP(IF(AND(ISNUMBER('Council Entry'!L$8),ISNUMBER('Council Entry'!L$9)),MAX(MIN('Council Entry'!L50,'Council Entry'!L$9),'Council Entry'!L$8),'Council Entry'!L50)),IF(AND(ISNUMBER('Council Entry'!L$8),ISNUMBER('Council Entry'!L$9)),MAX(MIN('Council Entry'!L50,'Council Entry'!L$9),'Council Entry'!L$8),'Council Entry'!L50))))-'Council Entry'!L$5)/('Council Entry'!L$6-'Council Entry'!L$5)),1))),"No data"))</f>
        <v/>
      </c>
      <c r="M50" s="13">
        <f>IF('Council Entry'!M50="","",IFERROR(MAX(0,MIN(10,ROUND(IF('Council Entry'!M$7="Decrease Risk",10-10*((IF('Council Entry'!M$4="Logarithm",LN(0.001+IF(AND(ISNUMBER('Council Entry'!M$8),ISNUMBER('Council Entry'!M$9)),MAX(MIN('Council Entry'!M50,'Council Entry'!M$9),'Council Entry'!M$8),'Council Entry'!M50)),IF('Council Entry'!M$4="Exponential",EXP(IF(AND(ISNUMBER('Council Entry'!M$8),ISNUMBER('Council Entry'!M$9)),MAX(MIN('Council Entry'!M50,'Council Entry'!M$9),'Council Entry'!M$8),'Council Entry'!M50)),IF(AND(ISNUMBER('Council Entry'!M$8),ISNUMBER('Council Entry'!M$9)),MAX(MIN('Council Entry'!M50,'Council Entry'!M$9),'Council Entry'!M$8),'Council Entry'!M50))))-'Council Entry'!M$5)/('Council Entry'!M$6-'Council Entry'!M$5),10*((IF('Council Entry'!M$4="Logarithm",LN(0.001+IF(AND(ISNUMBER('Council Entry'!M$8),ISNUMBER('Council Entry'!M$9)),MAX(MIN('Council Entry'!M50,'Council Entry'!M$9),'Council Entry'!M$8),'Council Entry'!M50)),IF('Council Entry'!M$4="Exponential",EXP(IF(AND(ISNUMBER('Council Entry'!M$8),ISNUMBER('Council Entry'!M$9)),MAX(MIN('Council Entry'!M50,'Council Entry'!M$9),'Council Entry'!M$8),'Council Entry'!M50)),IF(AND(ISNUMBER('Council Entry'!M$8),ISNUMBER('Council Entry'!M$9)),MAX(MIN('Council Entry'!M50,'Council Entry'!M$9),'Council Entry'!M$8),'Council Entry'!M50))))-'Council Entry'!M$5)/('Council Entry'!M$6-'Council Entry'!M$5)),1))),"No data"))</f>
        <v/>
      </c>
      <c r="N50" s="13">
        <f>IF('Council Entry'!N50="","",IFERROR(MAX(0,MIN(10,ROUND(IF('Council Entry'!N$7="Decrease Risk",10-10*((IF('Council Entry'!N$4="Logarithm",LN(0.001+IF(AND(ISNUMBER('Council Entry'!N$8),ISNUMBER('Council Entry'!N$9)),MAX(MIN('Council Entry'!N50,'Council Entry'!N$9),'Council Entry'!N$8),'Council Entry'!N50)),IF('Council Entry'!N$4="Exponential",EXP(IF(AND(ISNUMBER('Council Entry'!N$8),ISNUMBER('Council Entry'!N$9)),MAX(MIN('Council Entry'!N50,'Council Entry'!N$9),'Council Entry'!N$8),'Council Entry'!N50)),IF(AND(ISNUMBER('Council Entry'!N$8),ISNUMBER('Council Entry'!N$9)),MAX(MIN('Council Entry'!N50,'Council Entry'!N$9),'Council Entry'!N$8),'Council Entry'!N50))))-'Council Entry'!N$5)/('Council Entry'!N$6-'Council Entry'!N$5),10*((IF('Council Entry'!N$4="Logarithm",LN(0.001+IF(AND(ISNUMBER('Council Entry'!N$8),ISNUMBER('Council Entry'!N$9)),MAX(MIN('Council Entry'!N50,'Council Entry'!N$9),'Council Entry'!N$8),'Council Entry'!N50)),IF('Council Entry'!N$4="Exponential",EXP(IF(AND(ISNUMBER('Council Entry'!N$8),ISNUMBER('Council Entry'!N$9)),MAX(MIN('Council Entry'!N50,'Council Entry'!N$9),'Council Entry'!N$8),'Council Entry'!N50)),IF(AND(ISNUMBER('Council Entry'!N$8),ISNUMBER('Council Entry'!N$9)),MAX(MIN('Council Entry'!N50,'Council Entry'!N$9),'Council Entry'!N$8),'Council Entry'!N50))))-'Council Entry'!N$5)/('Council Entry'!N$6-'Council Entry'!N$5)),1))),"No data"))</f>
        <v/>
      </c>
      <c r="O50" s="13">
        <f>IF('Council Entry'!O50="","",IFERROR(MAX(0,MIN(10,ROUND(IF('Council Entry'!O$7="Decrease Risk",10-10*((IF('Council Entry'!O$4="Logarithm",LN(0.001+IF(AND(ISNUMBER('Council Entry'!O$8),ISNUMBER('Council Entry'!O$9)),MAX(MIN('Council Entry'!O50,'Council Entry'!O$9),'Council Entry'!O$8),'Council Entry'!O50)),IF('Council Entry'!O$4="Exponential",EXP(IF(AND(ISNUMBER('Council Entry'!O$8),ISNUMBER('Council Entry'!O$9)),MAX(MIN('Council Entry'!O50,'Council Entry'!O$9),'Council Entry'!O$8),'Council Entry'!O50)),IF(AND(ISNUMBER('Council Entry'!O$8),ISNUMBER('Council Entry'!O$9)),MAX(MIN('Council Entry'!O50,'Council Entry'!O$9),'Council Entry'!O$8),'Council Entry'!O50))))-'Council Entry'!O$5)/('Council Entry'!O$6-'Council Entry'!O$5),10*((IF('Council Entry'!O$4="Logarithm",LN(0.001+IF(AND(ISNUMBER('Council Entry'!O$8),ISNUMBER('Council Entry'!O$9)),MAX(MIN('Council Entry'!O50,'Council Entry'!O$9),'Council Entry'!O$8),'Council Entry'!O50)),IF('Council Entry'!O$4="Exponential",EXP(IF(AND(ISNUMBER('Council Entry'!O$8),ISNUMBER('Council Entry'!O$9)),MAX(MIN('Council Entry'!O50,'Council Entry'!O$9),'Council Entry'!O$8),'Council Entry'!O50)),IF(AND(ISNUMBER('Council Entry'!O$8),ISNUMBER('Council Entry'!O$9)),MAX(MIN('Council Entry'!O50,'Council Entry'!O$9),'Council Entry'!O$8),'Council Entry'!O50))))-'Council Entry'!O$5)/('Council Entry'!O$6-'Council Entry'!O$5)),1))),"No data"))</f>
        <v/>
      </c>
      <c r="P50" s="13">
        <f>IF('Council Entry'!P50="","",IFERROR(MAX(0,MIN(10,ROUND(IF('Council Entry'!P$7="Decrease Risk",10-10*((IF('Council Entry'!P$4="Logarithm",LN(0.001+IF(AND(ISNUMBER('Council Entry'!P$8),ISNUMBER('Council Entry'!P$9)),MAX(MIN('Council Entry'!P50,'Council Entry'!P$9),'Council Entry'!P$8),'Council Entry'!P50)),IF('Council Entry'!P$4="Exponential",EXP(IF(AND(ISNUMBER('Council Entry'!P$8),ISNUMBER('Council Entry'!P$9)),MAX(MIN('Council Entry'!P50,'Council Entry'!P$9),'Council Entry'!P$8),'Council Entry'!P50)),IF(AND(ISNUMBER('Council Entry'!P$8),ISNUMBER('Council Entry'!P$9)),MAX(MIN('Council Entry'!P50,'Council Entry'!P$9),'Council Entry'!P$8),'Council Entry'!P50))))-'Council Entry'!P$5)/('Council Entry'!P$6-'Council Entry'!P$5),10*((IF('Council Entry'!P$4="Logarithm",LN(0.001+IF(AND(ISNUMBER('Council Entry'!P$8),ISNUMBER('Council Entry'!P$9)),MAX(MIN('Council Entry'!P50,'Council Entry'!P$9),'Council Entry'!P$8),'Council Entry'!P50)),IF('Council Entry'!P$4="Exponential",EXP(IF(AND(ISNUMBER('Council Entry'!P$8),ISNUMBER('Council Entry'!P$9)),MAX(MIN('Council Entry'!P50,'Council Entry'!P$9),'Council Entry'!P$8),'Council Entry'!P50)),IF(AND(ISNUMBER('Council Entry'!P$8),ISNUMBER('Council Entry'!P$9)),MAX(MIN('Council Entry'!P50,'Council Entry'!P$9),'Council Entry'!P$8),'Council Entry'!P50))))-'Council Entry'!P$5)/('Council Entry'!P$6-'Council Entry'!P$5)),1))),"No data"))</f>
        <v/>
      </c>
      <c r="Q50" s="13">
        <f>IF('Council Entry'!Q50="","",IFERROR(MAX(0,MIN(10,ROUND(IF('Council Entry'!Q$7="Decrease Risk",10-10*((IF('Council Entry'!Q$4="Logarithm",LN(0.001+IF(AND(ISNUMBER('Council Entry'!Q$8),ISNUMBER('Council Entry'!Q$9)),MAX(MIN('Council Entry'!Q50,'Council Entry'!Q$9),'Council Entry'!Q$8),'Council Entry'!Q50)),IF('Council Entry'!Q$4="Exponential",EXP(IF(AND(ISNUMBER('Council Entry'!Q$8),ISNUMBER('Council Entry'!Q$9)),MAX(MIN('Council Entry'!Q50,'Council Entry'!Q$9),'Council Entry'!Q$8),'Council Entry'!Q50)),IF(AND(ISNUMBER('Council Entry'!Q$8),ISNUMBER('Council Entry'!Q$9)),MAX(MIN('Council Entry'!Q50,'Council Entry'!Q$9),'Council Entry'!Q$8),'Council Entry'!Q50))))-'Council Entry'!Q$5)/('Council Entry'!Q$6-'Council Entry'!Q$5),10*((IF('Council Entry'!Q$4="Logarithm",LN(0.001+IF(AND(ISNUMBER('Council Entry'!Q$8),ISNUMBER('Council Entry'!Q$9)),MAX(MIN('Council Entry'!Q50,'Council Entry'!Q$9),'Council Entry'!Q$8),'Council Entry'!Q50)),IF('Council Entry'!Q$4="Exponential",EXP(IF(AND(ISNUMBER('Council Entry'!Q$8),ISNUMBER('Council Entry'!Q$9)),MAX(MIN('Council Entry'!Q50,'Council Entry'!Q$9),'Council Entry'!Q$8),'Council Entry'!Q50)),IF(AND(ISNUMBER('Council Entry'!Q$8),ISNUMBER('Council Entry'!Q$9)),MAX(MIN('Council Entry'!Q50,'Council Entry'!Q$9),'Council Entry'!Q$8),'Council Entry'!Q50))))-'Council Entry'!Q$5)/('Council Entry'!Q$6-'Council Entry'!Q$5)),1))),"No data"))</f>
        <v/>
      </c>
      <c r="R50" s="13">
        <f>IF('Council Entry'!R50="","",IFERROR(MAX(0,MIN(10,ROUND(IF('Council Entry'!R$7="Decrease Risk",10-10*((IF('Council Entry'!R$4="Logarithm",LN(0.001+IF(AND(ISNUMBER('Council Entry'!R$8),ISNUMBER('Council Entry'!R$9)),MAX(MIN('Council Entry'!R50,'Council Entry'!R$9),'Council Entry'!R$8),'Council Entry'!R50)),IF('Council Entry'!R$4="Exponential",EXP(IF(AND(ISNUMBER('Council Entry'!R$8),ISNUMBER('Council Entry'!R$9)),MAX(MIN('Council Entry'!R50,'Council Entry'!R$9),'Council Entry'!R$8),'Council Entry'!R50)),IF(AND(ISNUMBER('Council Entry'!R$8),ISNUMBER('Council Entry'!R$9)),MAX(MIN('Council Entry'!R50,'Council Entry'!R$9),'Council Entry'!R$8),'Council Entry'!R50))))-'Council Entry'!R$5)/('Council Entry'!R$6-'Council Entry'!R$5),10*((IF('Council Entry'!R$4="Logarithm",LN(0.001+IF(AND(ISNUMBER('Council Entry'!R$8),ISNUMBER('Council Entry'!R$9)),MAX(MIN('Council Entry'!R50,'Council Entry'!R$9),'Council Entry'!R$8),'Council Entry'!R50)),IF('Council Entry'!R$4="Exponential",EXP(IF(AND(ISNUMBER('Council Entry'!R$8),ISNUMBER('Council Entry'!R$9)),MAX(MIN('Council Entry'!R50,'Council Entry'!R$9),'Council Entry'!R$8),'Council Entry'!R50)),IF(AND(ISNUMBER('Council Entry'!R$8),ISNUMBER('Council Entry'!R$9)),MAX(MIN('Council Entry'!R50,'Council Entry'!R$9),'Council Entry'!R$8),'Council Entry'!R50))))-'Council Entry'!R$5)/('Council Entry'!R$6-'Council Entry'!R$5)),1))),"No data"))</f>
        <v/>
      </c>
      <c r="S50" s="13">
        <f>IF('Council Entry'!S50="","",IFERROR(MAX(0,MIN(10,ROUND(IF('Council Entry'!S$7="Decrease Risk",10-10*((IF('Council Entry'!S$4="Logarithm",LN(0.001+IF(AND(ISNUMBER('Council Entry'!S$8),ISNUMBER('Council Entry'!S$9)),MAX(MIN('Council Entry'!S50,'Council Entry'!S$9),'Council Entry'!S$8),'Council Entry'!S50)),IF('Council Entry'!S$4="Exponential",EXP(IF(AND(ISNUMBER('Council Entry'!S$8),ISNUMBER('Council Entry'!S$9)),MAX(MIN('Council Entry'!S50,'Council Entry'!S$9),'Council Entry'!S$8),'Council Entry'!S50)),IF(AND(ISNUMBER('Council Entry'!S$8),ISNUMBER('Council Entry'!S$9)),MAX(MIN('Council Entry'!S50,'Council Entry'!S$9),'Council Entry'!S$8),'Council Entry'!S50))))-'Council Entry'!S$5)/('Council Entry'!S$6-'Council Entry'!S$5),10*((IF('Council Entry'!S$4="Logarithm",LN(0.001+IF(AND(ISNUMBER('Council Entry'!S$8),ISNUMBER('Council Entry'!S$9)),MAX(MIN('Council Entry'!S50,'Council Entry'!S$9),'Council Entry'!S$8),'Council Entry'!S50)),IF('Council Entry'!S$4="Exponential",EXP(IF(AND(ISNUMBER('Council Entry'!S$8),ISNUMBER('Council Entry'!S$9)),MAX(MIN('Council Entry'!S50,'Council Entry'!S$9),'Council Entry'!S$8),'Council Entry'!S50)),IF(AND(ISNUMBER('Council Entry'!S$8),ISNUMBER('Council Entry'!S$9)),MAX(MIN('Council Entry'!S50,'Council Entry'!S$9),'Council Entry'!S$8),'Council Entry'!S50))))-'Council Entry'!S$5)/('Council Entry'!S$6-'Council Entry'!S$5)),1))),"No data"))</f>
        <v/>
      </c>
      <c r="T50" s="13">
        <f>IF('Council Entry'!T50="","",IFERROR(MAX(0,MIN(10,ROUND(IF('Council Entry'!T$7="Decrease Risk",10-10*((IF('Council Entry'!T$4="Logarithm",LN(0.001+IF(AND(ISNUMBER('Council Entry'!T$8),ISNUMBER('Council Entry'!T$9)),MAX(MIN('Council Entry'!T50,'Council Entry'!T$9),'Council Entry'!T$8),'Council Entry'!T50)),IF('Council Entry'!T$4="Exponential",EXP(IF(AND(ISNUMBER('Council Entry'!T$8),ISNUMBER('Council Entry'!T$9)),MAX(MIN('Council Entry'!T50,'Council Entry'!T$9),'Council Entry'!T$8),'Council Entry'!T50)),IF(AND(ISNUMBER('Council Entry'!T$8),ISNUMBER('Council Entry'!T$9)),MAX(MIN('Council Entry'!T50,'Council Entry'!T$9),'Council Entry'!T$8),'Council Entry'!T50))))-'Council Entry'!T$5)/('Council Entry'!T$6-'Council Entry'!T$5),10*((IF('Council Entry'!T$4="Logarithm",LN(0.001+IF(AND(ISNUMBER('Council Entry'!T$8),ISNUMBER('Council Entry'!T$9)),MAX(MIN('Council Entry'!T50,'Council Entry'!T$9),'Council Entry'!T$8),'Council Entry'!T50)),IF('Council Entry'!T$4="Exponential",EXP(IF(AND(ISNUMBER('Council Entry'!T$8),ISNUMBER('Council Entry'!T$9)),MAX(MIN('Council Entry'!T50,'Council Entry'!T$9),'Council Entry'!T$8),'Council Entry'!T50)),IF(AND(ISNUMBER('Council Entry'!T$8),ISNUMBER('Council Entry'!T$9)),MAX(MIN('Council Entry'!T50,'Council Entry'!T$9),'Council Entry'!T$8),'Council Entry'!T50))))-'Council Entry'!T$5)/('Council Entry'!T$6-'Council Entry'!T$5)),1))),"No data"))</f>
        <v/>
      </c>
      <c r="U50" s="13">
        <f>IF('Council Entry'!U50="","",IFERROR(MAX(0,MIN(10,ROUND(IF('Council Entry'!U$7="Decrease Risk",10-10*((IF('Council Entry'!U$4="Logarithm",LN(0.001+IF(AND(ISNUMBER('Council Entry'!U$8),ISNUMBER('Council Entry'!U$9)),MAX(MIN('Council Entry'!U50,'Council Entry'!U$9),'Council Entry'!U$8),'Council Entry'!U50)),IF('Council Entry'!U$4="Exponential",EXP(IF(AND(ISNUMBER('Council Entry'!U$8),ISNUMBER('Council Entry'!U$9)),MAX(MIN('Council Entry'!U50,'Council Entry'!U$9),'Council Entry'!U$8),'Council Entry'!U50)),IF(AND(ISNUMBER('Council Entry'!U$8),ISNUMBER('Council Entry'!U$9)),MAX(MIN('Council Entry'!U50,'Council Entry'!U$9),'Council Entry'!U$8),'Council Entry'!U50))))-'Council Entry'!U$5)/('Council Entry'!U$6-'Council Entry'!U$5),10*((IF('Council Entry'!U$4="Logarithm",LN(0.001+IF(AND(ISNUMBER('Council Entry'!U$8),ISNUMBER('Council Entry'!U$9)),MAX(MIN('Council Entry'!U50,'Council Entry'!U$9),'Council Entry'!U$8),'Council Entry'!U50)),IF('Council Entry'!U$4="Exponential",EXP(IF(AND(ISNUMBER('Council Entry'!U$8),ISNUMBER('Council Entry'!U$9)),MAX(MIN('Council Entry'!U50,'Council Entry'!U$9),'Council Entry'!U$8),'Council Entry'!U50)),IF(AND(ISNUMBER('Council Entry'!U$8),ISNUMBER('Council Entry'!U$9)),MAX(MIN('Council Entry'!U50,'Council Entry'!U$9),'Council Entry'!U$8),'Council Entry'!U50))))-'Council Entry'!U$5)/('Council Entry'!U$6-'Council Entry'!U$5)),1))),"No data"))</f>
        <v/>
      </c>
      <c r="V50" s="13">
        <f>IF('Council Entry'!V50="","",IFERROR(MAX(0,MIN(10,ROUND(IF('Council Entry'!V$7="Decrease Risk",10-10*((IF('Council Entry'!V$4="Logarithm",LN(0.001+IF(AND(ISNUMBER('Council Entry'!V$8),ISNUMBER('Council Entry'!V$9)),MAX(MIN('Council Entry'!V50,'Council Entry'!V$9),'Council Entry'!V$8),'Council Entry'!V50)),IF('Council Entry'!V$4="Exponential",EXP(IF(AND(ISNUMBER('Council Entry'!V$8),ISNUMBER('Council Entry'!V$9)),MAX(MIN('Council Entry'!V50,'Council Entry'!V$9),'Council Entry'!V$8),'Council Entry'!V50)),IF(AND(ISNUMBER('Council Entry'!V$8),ISNUMBER('Council Entry'!V$9)),MAX(MIN('Council Entry'!V50,'Council Entry'!V$9),'Council Entry'!V$8),'Council Entry'!V50))))-'Council Entry'!V$5)/('Council Entry'!V$6-'Council Entry'!V$5),10*((IF('Council Entry'!V$4="Logarithm",LN(0.001+IF(AND(ISNUMBER('Council Entry'!V$8),ISNUMBER('Council Entry'!V$9)),MAX(MIN('Council Entry'!V50,'Council Entry'!V$9),'Council Entry'!V$8),'Council Entry'!V50)),IF('Council Entry'!V$4="Exponential",EXP(IF(AND(ISNUMBER('Council Entry'!V$8),ISNUMBER('Council Entry'!V$9)),MAX(MIN('Council Entry'!V50,'Council Entry'!V$9),'Council Entry'!V$8),'Council Entry'!V50)),IF(AND(ISNUMBER('Council Entry'!V$8),ISNUMBER('Council Entry'!V$9)),MAX(MIN('Council Entry'!V50,'Council Entry'!V$9),'Council Entry'!V$8),'Council Entry'!V50))))-'Council Entry'!V$5)/('Council Entry'!V$6-'Council Entry'!V$5)),1))),"No data"))</f>
        <v/>
      </c>
      <c r="W50" s="13">
        <f>IF('Council Entry'!W50="","",IFERROR(MAX(0,MIN(10,ROUND(IF('Council Entry'!W$7="Decrease Risk",10-10*((IF('Council Entry'!W$4="Logarithm",LN(0.001+IF(AND(ISNUMBER('Council Entry'!W$8),ISNUMBER('Council Entry'!W$9)),MAX(MIN('Council Entry'!W50,'Council Entry'!W$9),'Council Entry'!W$8),'Council Entry'!W50)),IF('Council Entry'!W$4="Exponential",EXP(IF(AND(ISNUMBER('Council Entry'!W$8),ISNUMBER('Council Entry'!W$9)),MAX(MIN('Council Entry'!W50,'Council Entry'!W$9),'Council Entry'!W$8),'Council Entry'!W50)),IF(AND(ISNUMBER('Council Entry'!W$8),ISNUMBER('Council Entry'!W$9)),MAX(MIN('Council Entry'!W50,'Council Entry'!W$9),'Council Entry'!W$8),'Council Entry'!W50))))-'Council Entry'!W$5)/('Council Entry'!W$6-'Council Entry'!W$5),10*((IF('Council Entry'!W$4="Logarithm",LN(0.001+IF(AND(ISNUMBER('Council Entry'!W$8),ISNUMBER('Council Entry'!W$9)),MAX(MIN('Council Entry'!W50,'Council Entry'!W$9),'Council Entry'!W$8),'Council Entry'!W50)),IF('Council Entry'!W$4="Exponential",EXP(IF(AND(ISNUMBER('Council Entry'!W$8),ISNUMBER('Council Entry'!W$9)),MAX(MIN('Council Entry'!W50,'Council Entry'!W$9),'Council Entry'!W$8),'Council Entry'!W50)),IF(AND(ISNUMBER('Council Entry'!W$8),ISNUMBER('Council Entry'!W$9)),MAX(MIN('Council Entry'!W50,'Council Entry'!W$9),'Council Entry'!W$8),'Council Entry'!W50))))-'Council Entry'!W$5)/('Council Entry'!W$6-'Council Entry'!W$5)),1))),"No data"))</f>
        <v/>
      </c>
      <c r="X50" s="13">
        <f>IF('Council Entry'!X50="","",IFERROR(MAX(0,MIN(10,ROUND(IF('Council Entry'!X$7="Decrease Risk",10-10*((IF('Council Entry'!X$4="Logarithm",LN(0.001+IF(AND(ISNUMBER('Council Entry'!X$8),ISNUMBER('Council Entry'!X$9)),MAX(MIN('Council Entry'!X50,'Council Entry'!X$9),'Council Entry'!X$8),'Council Entry'!X50)),IF('Council Entry'!X$4="Exponential",EXP(IF(AND(ISNUMBER('Council Entry'!X$8),ISNUMBER('Council Entry'!X$9)),MAX(MIN('Council Entry'!X50,'Council Entry'!X$9),'Council Entry'!X$8),'Council Entry'!X50)),IF(AND(ISNUMBER('Council Entry'!X$8),ISNUMBER('Council Entry'!X$9)),MAX(MIN('Council Entry'!X50,'Council Entry'!X$9),'Council Entry'!X$8),'Council Entry'!X50))))-'Council Entry'!X$5)/('Council Entry'!X$6-'Council Entry'!X$5),10*((IF('Council Entry'!X$4="Logarithm",LN(0.001+IF(AND(ISNUMBER('Council Entry'!X$8),ISNUMBER('Council Entry'!X$9)),MAX(MIN('Council Entry'!X50,'Council Entry'!X$9),'Council Entry'!X$8),'Council Entry'!X50)),IF('Council Entry'!X$4="Exponential",EXP(IF(AND(ISNUMBER('Council Entry'!X$8),ISNUMBER('Council Entry'!X$9)),MAX(MIN('Council Entry'!X50,'Council Entry'!X$9),'Council Entry'!X$8),'Council Entry'!X50)),IF(AND(ISNUMBER('Council Entry'!X$8),ISNUMBER('Council Entry'!X$9)),MAX(MIN('Council Entry'!X50,'Council Entry'!X$9),'Council Entry'!X$8),'Council Entry'!X50))))-'Council Entry'!X$5)/('Council Entry'!X$6-'Council Entry'!X$5)),1))),"No data"))</f>
        <v/>
      </c>
      <c r="Y50" s="13">
        <f>IF('Council Entry'!Y50="","",IFERROR(MAX(0,MIN(10,ROUND(IF('Council Entry'!Y$7="Decrease Risk",10-10*((IF('Council Entry'!Y$4="Logarithm",LN(0.001+IF(AND(ISNUMBER('Council Entry'!Y$8),ISNUMBER('Council Entry'!Y$9)),MAX(MIN('Council Entry'!Y50,'Council Entry'!Y$9),'Council Entry'!Y$8),'Council Entry'!Y50)),IF('Council Entry'!Y$4="Exponential",EXP(IF(AND(ISNUMBER('Council Entry'!Y$8),ISNUMBER('Council Entry'!Y$9)),MAX(MIN('Council Entry'!Y50,'Council Entry'!Y$9),'Council Entry'!Y$8),'Council Entry'!Y50)),IF(AND(ISNUMBER('Council Entry'!Y$8),ISNUMBER('Council Entry'!Y$9)),MAX(MIN('Council Entry'!Y50,'Council Entry'!Y$9),'Council Entry'!Y$8),'Council Entry'!Y50))))-'Council Entry'!Y$5)/('Council Entry'!Y$6-'Council Entry'!Y$5),10*((IF('Council Entry'!Y$4="Logarithm",LN(0.001+IF(AND(ISNUMBER('Council Entry'!Y$8),ISNUMBER('Council Entry'!Y$9)),MAX(MIN('Council Entry'!Y50,'Council Entry'!Y$9),'Council Entry'!Y$8),'Council Entry'!Y50)),IF('Council Entry'!Y$4="Exponential",EXP(IF(AND(ISNUMBER('Council Entry'!Y$8),ISNUMBER('Council Entry'!Y$9)),MAX(MIN('Council Entry'!Y50,'Council Entry'!Y$9),'Council Entry'!Y$8),'Council Entry'!Y50)),IF(AND(ISNUMBER('Council Entry'!Y$8),ISNUMBER('Council Entry'!Y$9)),MAX(MIN('Council Entry'!Y50,'Council Entry'!Y$9),'Council Entry'!Y$8),'Council Entry'!Y50))))-'Council Entry'!Y$5)/('Council Entry'!Y$6-'Council Entry'!Y$5)),1))),"No data"))</f>
        <v/>
      </c>
      <c r="Z50" s="13">
        <f>IF('Council Entry'!Z50="","",IFERROR(MAX(0,MIN(10,ROUND(IF('Council Entry'!Z$7="Decrease Risk",10-10*((IF('Council Entry'!Z$4="Logarithm",LN(0.001+IF(AND(ISNUMBER('Council Entry'!Z$8),ISNUMBER('Council Entry'!Z$9)),MAX(MIN('Council Entry'!Z50,'Council Entry'!Z$9),'Council Entry'!Z$8),'Council Entry'!Z50)),IF('Council Entry'!Z$4="Exponential",EXP(IF(AND(ISNUMBER('Council Entry'!Z$8),ISNUMBER('Council Entry'!Z$9)),MAX(MIN('Council Entry'!Z50,'Council Entry'!Z$9),'Council Entry'!Z$8),'Council Entry'!Z50)),IF(AND(ISNUMBER('Council Entry'!Z$8),ISNUMBER('Council Entry'!Z$9)),MAX(MIN('Council Entry'!Z50,'Council Entry'!Z$9),'Council Entry'!Z$8),'Council Entry'!Z50))))-'Council Entry'!Z$5)/('Council Entry'!Z$6-'Council Entry'!Z$5),10*((IF('Council Entry'!Z$4="Logarithm",LN(0.001+IF(AND(ISNUMBER('Council Entry'!Z$8),ISNUMBER('Council Entry'!Z$9)),MAX(MIN('Council Entry'!Z50,'Council Entry'!Z$9),'Council Entry'!Z$8),'Council Entry'!Z50)),IF('Council Entry'!Z$4="Exponential",EXP(IF(AND(ISNUMBER('Council Entry'!Z$8),ISNUMBER('Council Entry'!Z$9)),MAX(MIN('Council Entry'!Z50,'Council Entry'!Z$9),'Council Entry'!Z$8),'Council Entry'!Z50)),IF(AND(ISNUMBER('Council Entry'!Z$8),ISNUMBER('Council Entry'!Z$9)),MAX(MIN('Council Entry'!Z50,'Council Entry'!Z$9),'Council Entry'!Z$8),'Council Entry'!Z50))))-'Council Entry'!Z$5)/('Council Entry'!Z$6-'Council Entry'!Z$5)),1))),"No data"))</f>
        <v/>
      </c>
      <c r="AA50" s="13">
        <f>IF('Council Entry'!AA50="","",IFERROR(MAX(0,MIN(10,ROUND(IF('Council Entry'!AA$7="Decrease Risk",10-10*((IF('Council Entry'!AA$4="Logarithm",LN(0.001+IF(AND(ISNUMBER('Council Entry'!AA$8),ISNUMBER('Council Entry'!AA$9)),MAX(MIN('Council Entry'!AA50,'Council Entry'!AA$9),'Council Entry'!AA$8),'Council Entry'!AA50)),IF('Council Entry'!AA$4="Exponential",EXP(IF(AND(ISNUMBER('Council Entry'!AA$8),ISNUMBER('Council Entry'!AA$9)),MAX(MIN('Council Entry'!AA50,'Council Entry'!AA$9),'Council Entry'!AA$8),'Council Entry'!AA50)),IF(AND(ISNUMBER('Council Entry'!AA$8),ISNUMBER('Council Entry'!AA$9)),MAX(MIN('Council Entry'!AA50,'Council Entry'!AA$9),'Council Entry'!AA$8),'Council Entry'!AA50))))-'Council Entry'!AA$5)/('Council Entry'!AA$6-'Council Entry'!AA$5),10*((IF('Council Entry'!AA$4="Logarithm",LN(0.001+IF(AND(ISNUMBER('Council Entry'!AA$8),ISNUMBER('Council Entry'!AA$9)),MAX(MIN('Council Entry'!AA50,'Council Entry'!AA$9),'Council Entry'!AA$8),'Council Entry'!AA50)),IF('Council Entry'!AA$4="Exponential",EXP(IF(AND(ISNUMBER('Council Entry'!AA$8),ISNUMBER('Council Entry'!AA$9)),MAX(MIN('Council Entry'!AA50,'Council Entry'!AA$9),'Council Entry'!AA$8),'Council Entry'!AA50)),IF(AND(ISNUMBER('Council Entry'!AA$8),ISNUMBER('Council Entry'!AA$9)),MAX(MIN('Council Entry'!AA50,'Council Entry'!AA$9),'Council Entry'!AA$8),'Council Entry'!AA50))))-'Council Entry'!AA$5)/('Council Entry'!AA$6-'Council Entry'!AA$5)),1))),"No data"))</f>
        <v/>
      </c>
      <c r="AB50" s="13">
        <f>IF('Council Entry'!AB50="","",IFERROR(MAX(0,MIN(10,ROUND(IF('Council Entry'!AB$7="Decrease Risk",10-10*((IF('Council Entry'!AB$4="Logarithm",LN(0.001+IF(AND(ISNUMBER('Council Entry'!AB$8),ISNUMBER('Council Entry'!AB$9)),MAX(MIN('Council Entry'!AB50,'Council Entry'!AB$9),'Council Entry'!AB$8),'Council Entry'!AB50)),IF('Council Entry'!AB$4="Exponential",EXP(IF(AND(ISNUMBER('Council Entry'!AB$8),ISNUMBER('Council Entry'!AB$9)),MAX(MIN('Council Entry'!AB50,'Council Entry'!AB$9),'Council Entry'!AB$8),'Council Entry'!AB50)),IF(AND(ISNUMBER('Council Entry'!AB$8),ISNUMBER('Council Entry'!AB$9)),MAX(MIN('Council Entry'!AB50,'Council Entry'!AB$9),'Council Entry'!AB$8),'Council Entry'!AB50))))-'Council Entry'!AB$5)/('Council Entry'!AB$6-'Council Entry'!AB$5),10*((IF('Council Entry'!AB$4="Logarithm",LN(0.001+IF(AND(ISNUMBER('Council Entry'!AB$8),ISNUMBER('Council Entry'!AB$9)),MAX(MIN('Council Entry'!AB50,'Council Entry'!AB$9),'Council Entry'!AB$8),'Council Entry'!AB50)),IF('Council Entry'!AB$4="Exponential",EXP(IF(AND(ISNUMBER('Council Entry'!AB$8),ISNUMBER('Council Entry'!AB$9)),MAX(MIN('Council Entry'!AB50,'Council Entry'!AB$9),'Council Entry'!AB$8),'Council Entry'!AB50)),IF(AND(ISNUMBER('Council Entry'!AB$8),ISNUMBER('Council Entry'!AB$9)),MAX(MIN('Council Entry'!AB50,'Council Entry'!AB$9),'Council Entry'!AB$8),'Council Entry'!AB50))))-'Council Entry'!AB$5)/('Council Entry'!AB$6-'Council Entry'!AB$5)),1))),"No data"))</f>
        <v/>
      </c>
      <c r="AC50" s="13">
        <f>IF('Council Entry'!AC50="","",IFERROR(MAX(0,MIN(10,ROUND(IF('Council Entry'!AC$7="Decrease Risk",10-10*((IF('Council Entry'!AC$4="Logarithm",LN(0.001+IF(AND(ISNUMBER('Council Entry'!AC$8),ISNUMBER('Council Entry'!AC$9)),MAX(MIN('Council Entry'!AC50,'Council Entry'!AC$9),'Council Entry'!AC$8),'Council Entry'!AC50)),IF('Council Entry'!AC$4="Exponential",EXP(IF(AND(ISNUMBER('Council Entry'!AC$8),ISNUMBER('Council Entry'!AC$9)),MAX(MIN('Council Entry'!AC50,'Council Entry'!AC$9),'Council Entry'!AC$8),'Council Entry'!AC50)),IF(AND(ISNUMBER('Council Entry'!AC$8),ISNUMBER('Council Entry'!AC$9)),MAX(MIN('Council Entry'!AC50,'Council Entry'!AC$9),'Council Entry'!AC$8),'Council Entry'!AC50))))-'Council Entry'!AC$5)/('Council Entry'!AC$6-'Council Entry'!AC$5),10*((IF('Council Entry'!AC$4="Logarithm",LN(0.001+IF(AND(ISNUMBER('Council Entry'!AC$8),ISNUMBER('Council Entry'!AC$9)),MAX(MIN('Council Entry'!AC50,'Council Entry'!AC$9),'Council Entry'!AC$8),'Council Entry'!AC50)),IF('Council Entry'!AC$4="Exponential",EXP(IF(AND(ISNUMBER('Council Entry'!AC$8),ISNUMBER('Council Entry'!AC$9)),MAX(MIN('Council Entry'!AC50,'Council Entry'!AC$9),'Council Entry'!AC$8),'Council Entry'!AC50)),IF(AND(ISNUMBER('Council Entry'!AC$8),ISNUMBER('Council Entry'!AC$9)),MAX(MIN('Council Entry'!AC50,'Council Entry'!AC$9),'Council Entry'!AC$8),'Council Entry'!AC50))))-'Council Entry'!AC$5)/('Council Entry'!AC$6-'Council Entry'!AC$5)),1))),"No data"))</f>
        <v/>
      </c>
      <c r="AD50" s="13">
        <f>IF('Council Entry'!AD50="","",IFERROR(MAX(0,MIN(10,ROUND(IF('Council Entry'!AD$7="Decrease Risk",10-10*((IF('Council Entry'!AD$4="Logarithm",LN(0.001+IF(AND(ISNUMBER('Council Entry'!AD$8),ISNUMBER('Council Entry'!AD$9)),MAX(MIN('Council Entry'!AD50,'Council Entry'!AD$9),'Council Entry'!AD$8),'Council Entry'!AD50)),IF('Council Entry'!AD$4="Exponential",EXP(IF(AND(ISNUMBER('Council Entry'!AD$8),ISNUMBER('Council Entry'!AD$9)),MAX(MIN('Council Entry'!AD50,'Council Entry'!AD$9),'Council Entry'!AD$8),'Council Entry'!AD50)),IF(AND(ISNUMBER('Council Entry'!AD$8),ISNUMBER('Council Entry'!AD$9)),MAX(MIN('Council Entry'!AD50,'Council Entry'!AD$9),'Council Entry'!AD$8),'Council Entry'!AD50))))-'Council Entry'!AD$5)/('Council Entry'!AD$6-'Council Entry'!AD$5),10*((IF('Council Entry'!AD$4="Logarithm",LN(0.001+IF(AND(ISNUMBER('Council Entry'!AD$8),ISNUMBER('Council Entry'!AD$9)),MAX(MIN('Council Entry'!AD50,'Council Entry'!AD$9),'Council Entry'!AD$8),'Council Entry'!AD50)),IF('Council Entry'!AD$4="Exponential",EXP(IF(AND(ISNUMBER('Council Entry'!AD$8),ISNUMBER('Council Entry'!AD$9)),MAX(MIN('Council Entry'!AD50,'Council Entry'!AD$9),'Council Entry'!AD$8),'Council Entry'!AD50)),IF(AND(ISNUMBER('Council Entry'!AD$8),ISNUMBER('Council Entry'!AD$9)),MAX(MIN('Council Entry'!AD50,'Council Entry'!AD$9),'Council Entry'!AD$8),'Council Entry'!AD50))))-'Council Entry'!AD$5)/('Council Entry'!AD$6-'Council Entry'!AD$5)),1))),"No data"))</f>
        <v/>
      </c>
      <c r="AE50" s="13">
        <f>IF('Council Entry'!AE50="","",IFERROR(MAX(0,MIN(10,ROUND(IF('Council Entry'!AE$7="Decrease Risk",10-10*((IF('Council Entry'!AE$4="Logarithm",LN(0.001+IF(AND(ISNUMBER('Council Entry'!AE$8),ISNUMBER('Council Entry'!AE$9)),MAX(MIN('Council Entry'!AE50,'Council Entry'!AE$9),'Council Entry'!AE$8),'Council Entry'!AE50)),IF('Council Entry'!AE$4="Exponential",EXP(IF(AND(ISNUMBER('Council Entry'!AE$8),ISNUMBER('Council Entry'!AE$9)),MAX(MIN('Council Entry'!AE50,'Council Entry'!AE$9),'Council Entry'!AE$8),'Council Entry'!AE50)),IF(AND(ISNUMBER('Council Entry'!AE$8),ISNUMBER('Council Entry'!AE$9)),MAX(MIN('Council Entry'!AE50,'Council Entry'!AE$9),'Council Entry'!AE$8),'Council Entry'!AE50))))-'Council Entry'!AE$5)/('Council Entry'!AE$6-'Council Entry'!AE$5),10*((IF('Council Entry'!AE$4="Logarithm",LN(0.001+IF(AND(ISNUMBER('Council Entry'!AE$8),ISNUMBER('Council Entry'!AE$9)),MAX(MIN('Council Entry'!AE50,'Council Entry'!AE$9),'Council Entry'!AE$8),'Council Entry'!AE50)),IF('Council Entry'!AE$4="Exponential",EXP(IF(AND(ISNUMBER('Council Entry'!AE$8),ISNUMBER('Council Entry'!AE$9)),MAX(MIN('Council Entry'!AE50,'Council Entry'!AE$9),'Council Entry'!AE$8),'Council Entry'!AE50)),IF(AND(ISNUMBER('Council Entry'!AE$8),ISNUMBER('Council Entry'!AE$9)),MAX(MIN('Council Entry'!AE50,'Council Entry'!AE$9),'Council Entry'!AE$8),'Council Entry'!AE50))))-'Council Entry'!AE$5)/('Council Entry'!AE$6-'Council Entry'!AE$5)),1))),"No data"))</f>
        <v/>
      </c>
      <c r="AF50" s="13">
        <f>IF('Council Entry'!AF50="","",IFERROR(MAX(0,MIN(10,ROUND(IF('Council Entry'!AF$7="Decrease Risk",10-10*((IF('Council Entry'!AF$4="Logarithm",LN(0.001+IF(AND(ISNUMBER('Council Entry'!AF$8),ISNUMBER('Council Entry'!AF$9)),MAX(MIN('Council Entry'!AF50,'Council Entry'!AF$9),'Council Entry'!AF$8),'Council Entry'!AF50)),IF('Council Entry'!AF$4="Exponential",EXP(IF(AND(ISNUMBER('Council Entry'!AF$8),ISNUMBER('Council Entry'!AF$9)),MAX(MIN('Council Entry'!AF50,'Council Entry'!AF$9),'Council Entry'!AF$8),'Council Entry'!AF50)),IF(AND(ISNUMBER('Council Entry'!AF$8),ISNUMBER('Council Entry'!AF$9)),MAX(MIN('Council Entry'!AF50,'Council Entry'!AF$9),'Council Entry'!AF$8),'Council Entry'!AF50))))-'Council Entry'!AF$5)/('Council Entry'!AF$6-'Council Entry'!AF$5),10*((IF('Council Entry'!AF$4="Logarithm",LN(0.001+IF(AND(ISNUMBER('Council Entry'!AF$8),ISNUMBER('Council Entry'!AF$9)),MAX(MIN('Council Entry'!AF50,'Council Entry'!AF$9),'Council Entry'!AF$8),'Council Entry'!AF50)),IF('Council Entry'!AF$4="Exponential",EXP(IF(AND(ISNUMBER('Council Entry'!AF$8),ISNUMBER('Council Entry'!AF$9)),MAX(MIN('Council Entry'!AF50,'Council Entry'!AF$9),'Council Entry'!AF$8),'Council Entry'!AF50)),IF(AND(ISNUMBER('Council Entry'!AF$8),ISNUMBER('Council Entry'!AF$9)),MAX(MIN('Council Entry'!AF50,'Council Entry'!AF$9),'Council Entry'!AF$8),'Council Entry'!AF50))))-'Council Entry'!AF$5)/('Council Entry'!AF$6-'Council Entry'!AF$5)),1))),"No data"))</f>
        <v/>
      </c>
      <c r="AG50" s="13">
        <f>IF('Council Entry'!AG50="","",IFERROR(MAX(0,MIN(10,ROUND(IF('Council Entry'!AG$7="Decrease Risk",10-10*((IF('Council Entry'!AG$4="Logarithm",LN(0.001+IF(AND(ISNUMBER('Council Entry'!AG$8),ISNUMBER('Council Entry'!AG$9)),MAX(MIN('Council Entry'!AG50,'Council Entry'!AG$9),'Council Entry'!AG$8),'Council Entry'!AG50)),IF('Council Entry'!AG$4="Exponential",EXP(IF(AND(ISNUMBER('Council Entry'!AG$8),ISNUMBER('Council Entry'!AG$9)),MAX(MIN('Council Entry'!AG50,'Council Entry'!AG$9),'Council Entry'!AG$8),'Council Entry'!AG50)),IF(AND(ISNUMBER('Council Entry'!AG$8),ISNUMBER('Council Entry'!AG$9)),MAX(MIN('Council Entry'!AG50,'Council Entry'!AG$9),'Council Entry'!AG$8),'Council Entry'!AG50))))-'Council Entry'!AG$5)/('Council Entry'!AG$6-'Council Entry'!AG$5),10*((IF('Council Entry'!AG$4="Logarithm",LN(0.001+IF(AND(ISNUMBER('Council Entry'!AG$8),ISNUMBER('Council Entry'!AG$9)),MAX(MIN('Council Entry'!AG50,'Council Entry'!AG$9),'Council Entry'!AG$8),'Council Entry'!AG50)),IF('Council Entry'!AG$4="Exponential",EXP(IF(AND(ISNUMBER('Council Entry'!AG$8),ISNUMBER('Council Entry'!AG$9)),MAX(MIN('Council Entry'!AG50,'Council Entry'!AG$9),'Council Entry'!AG$8),'Council Entry'!AG50)),IF(AND(ISNUMBER('Council Entry'!AG$8),ISNUMBER('Council Entry'!AG$9)),MAX(MIN('Council Entry'!AG50,'Council Entry'!AG$9),'Council Entry'!AG$8),'Council Entry'!AG50))))-'Council Entry'!AG$5)/('Council Entry'!AG$6-'Council Entry'!AG$5)),1))),"No data"))</f>
        <v/>
      </c>
      <c r="AH50" s="13">
        <f>IF('Council Entry'!AH50="","",IFERROR(MAX(0,MIN(10,ROUND(IF('Council Entry'!AH$7="Decrease Risk",10-10*((IF('Council Entry'!AH$4="Logarithm",LN(0.001+IF(AND(ISNUMBER('Council Entry'!AH$8),ISNUMBER('Council Entry'!AH$9)),MAX(MIN('Council Entry'!AH50,'Council Entry'!AH$9),'Council Entry'!AH$8),'Council Entry'!AH50)),IF('Council Entry'!AH$4="Exponential",EXP(IF(AND(ISNUMBER('Council Entry'!AH$8),ISNUMBER('Council Entry'!AH$9)),MAX(MIN('Council Entry'!AH50,'Council Entry'!AH$9),'Council Entry'!AH$8),'Council Entry'!AH50)),IF(AND(ISNUMBER('Council Entry'!AH$8),ISNUMBER('Council Entry'!AH$9)),MAX(MIN('Council Entry'!AH50,'Council Entry'!AH$9),'Council Entry'!AH$8),'Council Entry'!AH50))))-'Council Entry'!AH$5)/('Council Entry'!AH$6-'Council Entry'!AH$5),10*((IF('Council Entry'!AH$4="Logarithm",LN(0.001+IF(AND(ISNUMBER('Council Entry'!AH$8),ISNUMBER('Council Entry'!AH$9)),MAX(MIN('Council Entry'!AH50,'Council Entry'!AH$9),'Council Entry'!AH$8),'Council Entry'!AH50)),IF('Council Entry'!AH$4="Exponential",EXP(IF(AND(ISNUMBER('Council Entry'!AH$8),ISNUMBER('Council Entry'!AH$9)),MAX(MIN('Council Entry'!AH50,'Council Entry'!AH$9),'Council Entry'!AH$8),'Council Entry'!AH50)),IF(AND(ISNUMBER('Council Entry'!AH$8),ISNUMBER('Council Entry'!AH$9)),MAX(MIN('Council Entry'!AH50,'Council Entry'!AH$9),'Council Entry'!AH$8),'Council Entry'!AH50))))-'Council Entry'!AH$5)/('Council Entry'!AH$6-'Council Entry'!AH$5)),1))),"No data"))</f>
        <v/>
      </c>
      <c r="AI50" s="13">
        <f>IF('Council Entry'!AI50="","",IFERROR(MAX(0,MIN(10,ROUND(IF('Council Entry'!AI$7="Decrease Risk",10-10*((IF('Council Entry'!AI$4="Logarithm",LN(0.001+IF(AND(ISNUMBER('Council Entry'!AI$8),ISNUMBER('Council Entry'!AI$9)),MAX(MIN('Council Entry'!AI50,'Council Entry'!AI$9),'Council Entry'!AI$8),'Council Entry'!AI50)),IF('Council Entry'!AI$4="Exponential",EXP(IF(AND(ISNUMBER('Council Entry'!AI$8),ISNUMBER('Council Entry'!AI$9)),MAX(MIN('Council Entry'!AI50,'Council Entry'!AI$9),'Council Entry'!AI$8),'Council Entry'!AI50)),IF(AND(ISNUMBER('Council Entry'!AI$8),ISNUMBER('Council Entry'!AI$9)),MAX(MIN('Council Entry'!AI50,'Council Entry'!AI$9),'Council Entry'!AI$8),'Council Entry'!AI50))))-'Council Entry'!AI$5)/('Council Entry'!AI$6-'Council Entry'!AI$5),10*((IF('Council Entry'!AI$4="Logarithm",LN(0.001+IF(AND(ISNUMBER('Council Entry'!AI$8),ISNUMBER('Council Entry'!AI$9)),MAX(MIN('Council Entry'!AI50,'Council Entry'!AI$9),'Council Entry'!AI$8),'Council Entry'!AI50)),IF('Council Entry'!AI$4="Exponential",EXP(IF(AND(ISNUMBER('Council Entry'!AI$8),ISNUMBER('Council Entry'!AI$9)),MAX(MIN('Council Entry'!AI50,'Council Entry'!AI$9),'Council Entry'!AI$8),'Council Entry'!AI50)),IF(AND(ISNUMBER('Council Entry'!AI$8),ISNUMBER('Council Entry'!AI$9)),MAX(MIN('Council Entry'!AI50,'Council Entry'!AI$9),'Council Entry'!AI$8),'Council Entry'!AI50))))-'Council Entry'!AI$5)/('Council Entry'!AI$6-'Council Entry'!AI$5)),1))),"No data"))</f>
        <v/>
      </c>
      <c r="AJ50" s="13">
        <f>IF('Council Entry'!AJ50="","",IFERROR(MAX(0,MIN(10,ROUND(IF('Council Entry'!AJ$7="Decrease Risk",10-10*((IF('Council Entry'!AJ$4="Logarithm",LN(0.001+IF(AND(ISNUMBER('Council Entry'!AJ$8),ISNUMBER('Council Entry'!AJ$9)),MAX(MIN('Council Entry'!AJ50,'Council Entry'!AJ$9),'Council Entry'!AJ$8),'Council Entry'!AJ50)),IF('Council Entry'!AJ$4="Exponential",EXP(IF(AND(ISNUMBER('Council Entry'!AJ$8),ISNUMBER('Council Entry'!AJ$9)),MAX(MIN('Council Entry'!AJ50,'Council Entry'!AJ$9),'Council Entry'!AJ$8),'Council Entry'!AJ50)),IF(AND(ISNUMBER('Council Entry'!AJ$8),ISNUMBER('Council Entry'!AJ$9)),MAX(MIN('Council Entry'!AJ50,'Council Entry'!AJ$9),'Council Entry'!AJ$8),'Council Entry'!AJ50))))-'Council Entry'!AJ$5)/('Council Entry'!AJ$6-'Council Entry'!AJ$5),10*((IF('Council Entry'!AJ$4="Logarithm",LN(0.001+IF(AND(ISNUMBER('Council Entry'!AJ$8),ISNUMBER('Council Entry'!AJ$9)),MAX(MIN('Council Entry'!AJ50,'Council Entry'!AJ$9),'Council Entry'!AJ$8),'Council Entry'!AJ50)),IF('Council Entry'!AJ$4="Exponential",EXP(IF(AND(ISNUMBER('Council Entry'!AJ$8),ISNUMBER('Council Entry'!AJ$9)),MAX(MIN('Council Entry'!AJ50,'Council Entry'!AJ$9),'Council Entry'!AJ$8),'Council Entry'!AJ50)),IF(AND(ISNUMBER('Council Entry'!AJ$8),ISNUMBER('Council Entry'!AJ$9)),MAX(MIN('Council Entry'!AJ50,'Council Entry'!AJ$9),'Council Entry'!AJ$8),'Council Entry'!AJ50))))-'Council Entry'!AJ$5)/('Council Entry'!AJ$6-'Council Entry'!AJ$5)),1))),"No data"))</f>
        <v/>
      </c>
      <c r="AK50" s="13">
        <f>IF('Council Entry'!AK50="","",IFERROR(MAX(0,MIN(10,ROUND(IF('Council Entry'!AK$7="Decrease Risk",10-10*((IF('Council Entry'!AK$4="Logarithm",LN(0.001+IF(AND(ISNUMBER('Council Entry'!AK$8),ISNUMBER('Council Entry'!AK$9)),MAX(MIN('Council Entry'!AK50,'Council Entry'!AK$9),'Council Entry'!AK$8),'Council Entry'!AK50)),IF('Council Entry'!AK$4="Exponential",EXP(IF(AND(ISNUMBER('Council Entry'!AK$8),ISNUMBER('Council Entry'!AK$9)),MAX(MIN('Council Entry'!AK50,'Council Entry'!AK$9),'Council Entry'!AK$8),'Council Entry'!AK50)),IF(AND(ISNUMBER('Council Entry'!AK$8),ISNUMBER('Council Entry'!AK$9)),MAX(MIN('Council Entry'!AK50,'Council Entry'!AK$9),'Council Entry'!AK$8),'Council Entry'!AK50))))-'Council Entry'!AK$5)/('Council Entry'!AK$6-'Council Entry'!AK$5),10*((IF('Council Entry'!AK$4="Logarithm",LN(0.001+IF(AND(ISNUMBER('Council Entry'!AK$8),ISNUMBER('Council Entry'!AK$9)),MAX(MIN('Council Entry'!AK50,'Council Entry'!AK$9),'Council Entry'!AK$8),'Council Entry'!AK50)),IF('Council Entry'!AK$4="Exponential",EXP(IF(AND(ISNUMBER('Council Entry'!AK$8),ISNUMBER('Council Entry'!AK$9)),MAX(MIN('Council Entry'!AK50,'Council Entry'!AK$9),'Council Entry'!AK$8),'Council Entry'!AK50)),IF(AND(ISNUMBER('Council Entry'!AK$8),ISNUMBER('Council Entry'!AK$9)),MAX(MIN('Council Entry'!AK50,'Council Entry'!AK$9),'Council Entry'!AK$8),'Council Entry'!AK50))))-'Council Entry'!AK$5)/('Council Entry'!AK$6-'Council Entry'!AK$5)),1))),"No data"))</f>
        <v/>
      </c>
      <c r="AL50" s="13">
        <f>IF('Council Entry'!AL50="","",IFERROR(MAX(0,MIN(10,ROUND(IF('Council Entry'!AL$7="Decrease Risk",10-10*((IF('Council Entry'!AL$4="Logarithm",LN(0.001+IF(AND(ISNUMBER('Council Entry'!AL$8),ISNUMBER('Council Entry'!AL$9)),MAX(MIN('Council Entry'!AL50,'Council Entry'!AL$9),'Council Entry'!AL$8),'Council Entry'!AL50)),IF('Council Entry'!AL$4="Exponential",EXP(IF(AND(ISNUMBER('Council Entry'!AL$8),ISNUMBER('Council Entry'!AL$9)),MAX(MIN('Council Entry'!AL50,'Council Entry'!AL$9),'Council Entry'!AL$8),'Council Entry'!AL50)),IF(AND(ISNUMBER('Council Entry'!AL$8),ISNUMBER('Council Entry'!AL$9)),MAX(MIN('Council Entry'!AL50,'Council Entry'!AL$9),'Council Entry'!AL$8),'Council Entry'!AL50))))-'Council Entry'!AL$5)/('Council Entry'!AL$6-'Council Entry'!AL$5),10*((IF('Council Entry'!AL$4="Logarithm",LN(0.001+IF(AND(ISNUMBER('Council Entry'!AL$8),ISNUMBER('Council Entry'!AL$9)),MAX(MIN('Council Entry'!AL50,'Council Entry'!AL$9),'Council Entry'!AL$8),'Council Entry'!AL50)),IF('Council Entry'!AL$4="Exponential",EXP(IF(AND(ISNUMBER('Council Entry'!AL$8),ISNUMBER('Council Entry'!AL$9)),MAX(MIN('Council Entry'!AL50,'Council Entry'!AL$9),'Council Entry'!AL$8),'Council Entry'!AL50)),IF(AND(ISNUMBER('Council Entry'!AL$8),ISNUMBER('Council Entry'!AL$9)),MAX(MIN('Council Entry'!AL50,'Council Entry'!AL$9),'Council Entry'!AL$8),'Council Entry'!AL50))))-'Council Entry'!AL$5)/('Council Entry'!AL$6-'Council Entry'!AL$5)),1))),"No data"))</f>
        <v/>
      </c>
      <c r="AM50" s="13">
        <f>IF('Council Entry'!AM50="","",IFERROR(MAX(0,MIN(10,ROUND(IF('Council Entry'!AM$7="Decrease Risk",10-10*((IF('Council Entry'!AM$4="Logarithm",LN(0.001+IF(AND(ISNUMBER('Council Entry'!AM$8),ISNUMBER('Council Entry'!AM$9)),MAX(MIN('Council Entry'!AM50,'Council Entry'!AM$9),'Council Entry'!AM$8),'Council Entry'!AM50)),IF('Council Entry'!AM$4="Exponential",EXP(IF(AND(ISNUMBER('Council Entry'!AM$8),ISNUMBER('Council Entry'!AM$9)),MAX(MIN('Council Entry'!AM50,'Council Entry'!AM$9),'Council Entry'!AM$8),'Council Entry'!AM50)),IF(AND(ISNUMBER('Council Entry'!AM$8),ISNUMBER('Council Entry'!AM$9)),MAX(MIN('Council Entry'!AM50,'Council Entry'!AM$9),'Council Entry'!AM$8),'Council Entry'!AM50))))-'Council Entry'!AM$5)/('Council Entry'!AM$6-'Council Entry'!AM$5),10*((IF('Council Entry'!AM$4="Logarithm",LN(0.001+IF(AND(ISNUMBER('Council Entry'!AM$8),ISNUMBER('Council Entry'!AM$9)),MAX(MIN('Council Entry'!AM50,'Council Entry'!AM$9),'Council Entry'!AM$8),'Council Entry'!AM50)),IF('Council Entry'!AM$4="Exponential",EXP(IF(AND(ISNUMBER('Council Entry'!AM$8),ISNUMBER('Council Entry'!AM$9)),MAX(MIN('Council Entry'!AM50,'Council Entry'!AM$9),'Council Entry'!AM$8),'Council Entry'!AM50)),IF(AND(ISNUMBER('Council Entry'!AM$8),ISNUMBER('Council Entry'!AM$9)),MAX(MIN('Council Entry'!AM50,'Council Entry'!AM$9),'Council Entry'!AM$8),'Council Entry'!AM50))))-'Council Entry'!AM$5)/('Council Entry'!AM$6-'Council Entry'!AM$5)),1))),"No data"))</f>
        <v/>
      </c>
      <c r="AN50" s="13">
        <f>IF('Council Entry'!AN50="","",IFERROR(MAX(0,MIN(10,ROUND(IF('Council Entry'!AN$7="Decrease Risk",10-10*((IF('Council Entry'!AN$4="Logarithm",LN(0.001+IF(AND(ISNUMBER('Council Entry'!AN$8),ISNUMBER('Council Entry'!AN$9)),MAX(MIN('Council Entry'!AN50,'Council Entry'!AN$9),'Council Entry'!AN$8),'Council Entry'!AN50)),IF('Council Entry'!AN$4="Exponential",EXP(IF(AND(ISNUMBER('Council Entry'!AN$8),ISNUMBER('Council Entry'!AN$9)),MAX(MIN('Council Entry'!AN50,'Council Entry'!AN$9),'Council Entry'!AN$8),'Council Entry'!AN50)),IF(AND(ISNUMBER('Council Entry'!AN$8),ISNUMBER('Council Entry'!AN$9)),MAX(MIN('Council Entry'!AN50,'Council Entry'!AN$9),'Council Entry'!AN$8),'Council Entry'!AN50))))-'Council Entry'!AN$5)/('Council Entry'!AN$6-'Council Entry'!AN$5),10*((IF('Council Entry'!AN$4="Logarithm",LN(0.001+IF(AND(ISNUMBER('Council Entry'!AN$8),ISNUMBER('Council Entry'!AN$9)),MAX(MIN('Council Entry'!AN50,'Council Entry'!AN$9),'Council Entry'!AN$8),'Council Entry'!AN50)),IF('Council Entry'!AN$4="Exponential",EXP(IF(AND(ISNUMBER('Council Entry'!AN$8),ISNUMBER('Council Entry'!AN$9)),MAX(MIN('Council Entry'!AN50,'Council Entry'!AN$9),'Council Entry'!AN$8),'Council Entry'!AN50)),IF(AND(ISNUMBER('Council Entry'!AN$8),ISNUMBER('Council Entry'!AN$9)),MAX(MIN('Council Entry'!AN50,'Council Entry'!AN$9),'Council Entry'!AN$8),'Council Entry'!AN50))))-'Council Entry'!AN$5)/('Council Entry'!AN$6-'Council Entry'!AN$5)),1))),"No data"))</f>
        <v/>
      </c>
      <c r="AO50" s="13">
        <f>IF('Council Entry'!AO50="","",IFERROR(MAX(0,MIN(10,ROUND(IF('Council Entry'!AO$7="Decrease Risk",10-10*((IF('Council Entry'!AO$4="Logarithm",LN(0.001+IF(AND(ISNUMBER('Council Entry'!AO$8),ISNUMBER('Council Entry'!AO$9)),MAX(MIN('Council Entry'!AO50,'Council Entry'!AO$9),'Council Entry'!AO$8),'Council Entry'!AO50)),IF('Council Entry'!AO$4="Exponential",EXP(IF(AND(ISNUMBER('Council Entry'!AO$8),ISNUMBER('Council Entry'!AO$9)),MAX(MIN('Council Entry'!AO50,'Council Entry'!AO$9),'Council Entry'!AO$8),'Council Entry'!AO50)),IF(AND(ISNUMBER('Council Entry'!AO$8),ISNUMBER('Council Entry'!AO$9)),MAX(MIN('Council Entry'!AO50,'Council Entry'!AO$9),'Council Entry'!AO$8),'Council Entry'!AO50))))-'Council Entry'!AO$5)/('Council Entry'!AO$6-'Council Entry'!AO$5),10*((IF('Council Entry'!AO$4="Logarithm",LN(0.001+IF(AND(ISNUMBER('Council Entry'!AO$8),ISNUMBER('Council Entry'!AO$9)),MAX(MIN('Council Entry'!AO50,'Council Entry'!AO$9),'Council Entry'!AO$8),'Council Entry'!AO50)),IF('Council Entry'!AO$4="Exponential",EXP(IF(AND(ISNUMBER('Council Entry'!AO$8),ISNUMBER('Council Entry'!AO$9)),MAX(MIN('Council Entry'!AO50,'Council Entry'!AO$9),'Council Entry'!AO$8),'Council Entry'!AO50)),IF(AND(ISNUMBER('Council Entry'!AO$8),ISNUMBER('Council Entry'!AO$9)),MAX(MIN('Council Entry'!AO50,'Council Entry'!AO$9),'Council Entry'!AO$8),'Council Entry'!AO50))))-'Council Entry'!AO$5)/('Council Entry'!AO$6-'Council Entry'!AO$5)),1))),"No data"))</f>
        <v/>
      </c>
      <c r="AP50" s="13">
        <f>IF('Council Entry'!AP50="","",IFERROR(MAX(0,MIN(10,ROUND(IF('Council Entry'!AP$7="Decrease Risk",10-10*((IF('Council Entry'!AP$4="Logarithm",LN(0.001+IF(AND(ISNUMBER('Council Entry'!AP$8),ISNUMBER('Council Entry'!AP$9)),MAX(MIN('Council Entry'!AP50,'Council Entry'!AP$9),'Council Entry'!AP$8),'Council Entry'!AP50)),IF('Council Entry'!AP$4="Exponential",EXP(IF(AND(ISNUMBER('Council Entry'!AP$8),ISNUMBER('Council Entry'!AP$9)),MAX(MIN('Council Entry'!AP50,'Council Entry'!AP$9),'Council Entry'!AP$8),'Council Entry'!AP50)),IF(AND(ISNUMBER('Council Entry'!AP$8),ISNUMBER('Council Entry'!AP$9)),MAX(MIN('Council Entry'!AP50,'Council Entry'!AP$9),'Council Entry'!AP$8),'Council Entry'!AP50))))-'Council Entry'!AP$5)/('Council Entry'!AP$6-'Council Entry'!AP$5),10*((IF('Council Entry'!AP$4="Logarithm",LN(0.001+IF(AND(ISNUMBER('Council Entry'!AP$8),ISNUMBER('Council Entry'!AP$9)),MAX(MIN('Council Entry'!AP50,'Council Entry'!AP$9),'Council Entry'!AP$8),'Council Entry'!AP50)),IF('Council Entry'!AP$4="Exponential",EXP(IF(AND(ISNUMBER('Council Entry'!AP$8),ISNUMBER('Council Entry'!AP$9)),MAX(MIN('Council Entry'!AP50,'Council Entry'!AP$9),'Council Entry'!AP$8),'Council Entry'!AP50)),IF(AND(ISNUMBER('Council Entry'!AP$8),ISNUMBER('Council Entry'!AP$9)),MAX(MIN('Council Entry'!AP50,'Council Entry'!AP$9),'Council Entry'!AP$8),'Council Entry'!AP50))))-'Council Entry'!AP$5)/('Council Entry'!AP$6-'Council Entry'!AP$5)),1))),"No data"))</f>
        <v/>
      </c>
      <c r="AQ50" s="13">
        <f>IF('Council Entry'!AQ50="","",IFERROR(MAX(0,MIN(10,ROUND(IF('Council Entry'!AQ$7="Decrease Risk",10-10*((IF('Council Entry'!AQ$4="Logarithm",LN(0.001+IF(AND(ISNUMBER('Council Entry'!AQ$8),ISNUMBER('Council Entry'!AQ$9)),MAX(MIN('Council Entry'!AQ50,'Council Entry'!AQ$9),'Council Entry'!AQ$8),'Council Entry'!AQ50)),IF('Council Entry'!AQ$4="Exponential",EXP(IF(AND(ISNUMBER('Council Entry'!AQ$8),ISNUMBER('Council Entry'!AQ$9)),MAX(MIN('Council Entry'!AQ50,'Council Entry'!AQ$9),'Council Entry'!AQ$8),'Council Entry'!AQ50)),IF(AND(ISNUMBER('Council Entry'!AQ$8),ISNUMBER('Council Entry'!AQ$9)),MAX(MIN('Council Entry'!AQ50,'Council Entry'!AQ$9),'Council Entry'!AQ$8),'Council Entry'!AQ50))))-'Council Entry'!AQ$5)/('Council Entry'!AQ$6-'Council Entry'!AQ$5),10*((IF('Council Entry'!AQ$4="Logarithm",LN(0.001+IF(AND(ISNUMBER('Council Entry'!AQ$8),ISNUMBER('Council Entry'!AQ$9)),MAX(MIN('Council Entry'!AQ50,'Council Entry'!AQ$9),'Council Entry'!AQ$8),'Council Entry'!AQ50)),IF('Council Entry'!AQ$4="Exponential",EXP(IF(AND(ISNUMBER('Council Entry'!AQ$8),ISNUMBER('Council Entry'!AQ$9)),MAX(MIN('Council Entry'!AQ50,'Council Entry'!AQ$9),'Council Entry'!AQ$8),'Council Entry'!AQ50)),IF(AND(ISNUMBER('Council Entry'!AQ$8),ISNUMBER('Council Entry'!AQ$9)),MAX(MIN('Council Entry'!AQ50,'Council Entry'!AQ$9),'Council Entry'!AQ$8),'Council Entry'!AQ50))))-'Council Entry'!AQ$5)/('Council Entry'!AQ$6-'Council Entry'!AQ$5)),1))),"No data"))</f>
        <v/>
      </c>
      <c r="AR50" s="13">
        <f>IF('Council Entry'!AR50="","",IFERROR(MAX(0,MIN(10,ROUND(IF('Council Entry'!AR$7="Decrease Risk",10-10*((IF('Council Entry'!AR$4="Logarithm",LN(0.001+IF(AND(ISNUMBER('Council Entry'!AR$8),ISNUMBER('Council Entry'!AR$9)),MAX(MIN('Council Entry'!AR50,'Council Entry'!AR$9),'Council Entry'!AR$8),'Council Entry'!AR50)),IF('Council Entry'!AR$4="Exponential",EXP(IF(AND(ISNUMBER('Council Entry'!AR$8),ISNUMBER('Council Entry'!AR$9)),MAX(MIN('Council Entry'!AR50,'Council Entry'!AR$9),'Council Entry'!AR$8),'Council Entry'!AR50)),IF(AND(ISNUMBER('Council Entry'!AR$8),ISNUMBER('Council Entry'!AR$9)),MAX(MIN('Council Entry'!AR50,'Council Entry'!AR$9),'Council Entry'!AR$8),'Council Entry'!AR50))))-'Council Entry'!AR$5)/('Council Entry'!AR$6-'Council Entry'!AR$5),10*((IF('Council Entry'!AR$4="Logarithm",LN(0.001+IF(AND(ISNUMBER('Council Entry'!AR$8),ISNUMBER('Council Entry'!AR$9)),MAX(MIN('Council Entry'!AR50,'Council Entry'!AR$9),'Council Entry'!AR$8),'Council Entry'!AR50)),IF('Council Entry'!AR$4="Exponential",EXP(IF(AND(ISNUMBER('Council Entry'!AR$8),ISNUMBER('Council Entry'!AR$9)),MAX(MIN('Council Entry'!AR50,'Council Entry'!AR$9),'Council Entry'!AR$8),'Council Entry'!AR50)),IF(AND(ISNUMBER('Council Entry'!AR$8),ISNUMBER('Council Entry'!AR$9)),MAX(MIN('Council Entry'!AR50,'Council Entry'!AR$9),'Council Entry'!AR$8),'Council Entry'!AR50))))-'Council Entry'!AR$5)/('Council Entry'!AR$6-'Council Entry'!AR$5)),1))),"No data"))</f>
        <v/>
      </c>
      <c r="AS50" s="13">
        <f>IF('Council Entry'!AS50="","",IFERROR(MAX(0,MIN(10,ROUND(IF('Council Entry'!AS$7="Decrease Risk",10-10*((IF('Council Entry'!AS$4="Logarithm",LN(0.001+IF(AND(ISNUMBER('Council Entry'!AS$8),ISNUMBER('Council Entry'!AS$9)),MAX(MIN('Council Entry'!AS50,'Council Entry'!AS$9),'Council Entry'!AS$8),'Council Entry'!AS50)),IF('Council Entry'!AS$4="Exponential",EXP(IF(AND(ISNUMBER('Council Entry'!AS$8),ISNUMBER('Council Entry'!AS$9)),MAX(MIN('Council Entry'!AS50,'Council Entry'!AS$9),'Council Entry'!AS$8),'Council Entry'!AS50)),IF(AND(ISNUMBER('Council Entry'!AS$8),ISNUMBER('Council Entry'!AS$9)),MAX(MIN('Council Entry'!AS50,'Council Entry'!AS$9),'Council Entry'!AS$8),'Council Entry'!AS50))))-'Council Entry'!AS$5)/('Council Entry'!AS$6-'Council Entry'!AS$5),10*((IF('Council Entry'!AS$4="Logarithm",LN(0.001+IF(AND(ISNUMBER('Council Entry'!AS$8),ISNUMBER('Council Entry'!AS$9)),MAX(MIN('Council Entry'!AS50,'Council Entry'!AS$9),'Council Entry'!AS$8),'Council Entry'!AS50)),IF('Council Entry'!AS$4="Exponential",EXP(IF(AND(ISNUMBER('Council Entry'!AS$8),ISNUMBER('Council Entry'!AS$9)),MAX(MIN('Council Entry'!AS50,'Council Entry'!AS$9),'Council Entry'!AS$8),'Council Entry'!AS50)),IF(AND(ISNUMBER('Council Entry'!AS$8),ISNUMBER('Council Entry'!AS$9)),MAX(MIN('Council Entry'!AS50,'Council Entry'!AS$9),'Council Entry'!AS$8),'Council Entry'!AS50))))-'Council Entry'!AS$5)/('Council Entry'!AS$6-'Council Entry'!AS$5)),1))),"No data"))</f>
        <v/>
      </c>
      <c r="AT50" s="13">
        <f>IF('Council Entry'!AT50="","",IFERROR(MAX(0,MIN(10,ROUND(IF('Council Entry'!AT$7="Decrease Risk",10-10*((IF('Council Entry'!AT$4="Logarithm",LN(0.001+IF(AND(ISNUMBER('Council Entry'!AT$8),ISNUMBER('Council Entry'!AT$9)),MAX(MIN('Council Entry'!AT50,'Council Entry'!AT$9),'Council Entry'!AT$8),'Council Entry'!AT50)),IF('Council Entry'!AT$4="Exponential",EXP(IF(AND(ISNUMBER('Council Entry'!AT$8),ISNUMBER('Council Entry'!AT$9)),MAX(MIN('Council Entry'!AT50,'Council Entry'!AT$9),'Council Entry'!AT$8),'Council Entry'!AT50)),IF(AND(ISNUMBER('Council Entry'!AT$8),ISNUMBER('Council Entry'!AT$9)),MAX(MIN('Council Entry'!AT50,'Council Entry'!AT$9),'Council Entry'!AT$8),'Council Entry'!AT50))))-'Council Entry'!AT$5)/('Council Entry'!AT$6-'Council Entry'!AT$5),10*((IF('Council Entry'!AT$4="Logarithm",LN(0.001+IF(AND(ISNUMBER('Council Entry'!AT$8),ISNUMBER('Council Entry'!AT$9)),MAX(MIN('Council Entry'!AT50,'Council Entry'!AT$9),'Council Entry'!AT$8),'Council Entry'!AT50)),IF('Council Entry'!AT$4="Exponential",EXP(IF(AND(ISNUMBER('Council Entry'!AT$8),ISNUMBER('Council Entry'!AT$9)),MAX(MIN('Council Entry'!AT50,'Council Entry'!AT$9),'Council Entry'!AT$8),'Council Entry'!AT50)),IF(AND(ISNUMBER('Council Entry'!AT$8),ISNUMBER('Council Entry'!AT$9)),MAX(MIN('Council Entry'!AT50,'Council Entry'!AT$9),'Council Entry'!AT$8),'Council Entry'!AT50))))-'Council Entry'!AT$5)/('Council Entry'!AT$6-'Council Entry'!AT$5)),1))),"No data"))</f>
        <v/>
      </c>
      <c r="AU50" s="13">
        <f>IF('Council Entry'!AU50="","",IFERROR(MAX(0,MIN(10,ROUND(IF('Council Entry'!AU$7="Decrease Risk",10-10*((IF('Council Entry'!AU$4="Logarithm",LN(0.001+IF(AND(ISNUMBER('Council Entry'!AU$8),ISNUMBER('Council Entry'!AU$9)),MAX(MIN('Council Entry'!AU50,'Council Entry'!AU$9),'Council Entry'!AU$8),'Council Entry'!AU50)),IF('Council Entry'!AU$4="Exponential",EXP(IF(AND(ISNUMBER('Council Entry'!AU$8),ISNUMBER('Council Entry'!AU$9)),MAX(MIN('Council Entry'!AU50,'Council Entry'!AU$9),'Council Entry'!AU$8),'Council Entry'!AU50)),IF(AND(ISNUMBER('Council Entry'!AU$8),ISNUMBER('Council Entry'!AU$9)),MAX(MIN('Council Entry'!AU50,'Council Entry'!AU$9),'Council Entry'!AU$8),'Council Entry'!AU50))))-'Council Entry'!AU$5)/('Council Entry'!AU$6-'Council Entry'!AU$5),10*((IF('Council Entry'!AU$4="Logarithm",LN(0.001+IF(AND(ISNUMBER('Council Entry'!AU$8),ISNUMBER('Council Entry'!AU$9)),MAX(MIN('Council Entry'!AU50,'Council Entry'!AU$9),'Council Entry'!AU$8),'Council Entry'!AU50)),IF('Council Entry'!AU$4="Exponential",EXP(IF(AND(ISNUMBER('Council Entry'!AU$8),ISNUMBER('Council Entry'!AU$9)),MAX(MIN('Council Entry'!AU50,'Council Entry'!AU$9),'Council Entry'!AU$8),'Council Entry'!AU50)),IF(AND(ISNUMBER('Council Entry'!AU$8),ISNUMBER('Council Entry'!AU$9)),MAX(MIN('Council Entry'!AU50,'Council Entry'!AU$9),'Council Entry'!AU$8),'Council Entry'!AU50))))-'Council Entry'!AU$5)/('Council Entry'!AU$6-'Council Entry'!AU$5)),1))),"No data"))</f>
        <v/>
      </c>
      <c r="AV50" s="13">
        <f>IF('Council Entry'!AV50="","",IFERROR(MAX(0,MIN(10,ROUND(IF('Council Entry'!AV$7="Decrease Risk",10-10*((IF('Council Entry'!AV$4="Logarithm",LN(0.001+IF(AND(ISNUMBER('Council Entry'!AV$8),ISNUMBER('Council Entry'!AV$9)),MAX(MIN('Council Entry'!AV50,'Council Entry'!AV$9),'Council Entry'!AV$8),'Council Entry'!AV50)),IF('Council Entry'!AV$4="Exponential",EXP(IF(AND(ISNUMBER('Council Entry'!AV$8),ISNUMBER('Council Entry'!AV$9)),MAX(MIN('Council Entry'!AV50,'Council Entry'!AV$9),'Council Entry'!AV$8),'Council Entry'!AV50)),IF(AND(ISNUMBER('Council Entry'!AV$8),ISNUMBER('Council Entry'!AV$9)),MAX(MIN('Council Entry'!AV50,'Council Entry'!AV$9),'Council Entry'!AV$8),'Council Entry'!AV50))))-'Council Entry'!AV$5)/('Council Entry'!AV$6-'Council Entry'!AV$5),10*((IF('Council Entry'!AV$4="Logarithm",LN(0.001+IF(AND(ISNUMBER('Council Entry'!AV$8),ISNUMBER('Council Entry'!AV$9)),MAX(MIN('Council Entry'!AV50,'Council Entry'!AV$9),'Council Entry'!AV$8),'Council Entry'!AV50)),IF('Council Entry'!AV$4="Exponential",EXP(IF(AND(ISNUMBER('Council Entry'!AV$8),ISNUMBER('Council Entry'!AV$9)),MAX(MIN('Council Entry'!AV50,'Council Entry'!AV$9),'Council Entry'!AV$8),'Council Entry'!AV50)),IF(AND(ISNUMBER('Council Entry'!AV$8),ISNUMBER('Council Entry'!AV$9)),MAX(MIN('Council Entry'!AV50,'Council Entry'!AV$9),'Council Entry'!AV$8),'Council Entry'!AV50))))-'Council Entry'!AV$5)/('Council Entry'!AV$6-'Council Entry'!AV$5)),1))),"No data"))</f>
        <v/>
      </c>
      <c r="AW50" s="13">
        <f>IF('Council Entry'!AW50="","",IFERROR(MAX(0,MIN(10,ROUND(IF('Council Entry'!AW$7="Decrease Risk",10-10*((IF('Council Entry'!AW$4="Logarithm",LN(0.001+IF(AND(ISNUMBER('Council Entry'!AW$8),ISNUMBER('Council Entry'!AW$9)),MAX(MIN('Council Entry'!AW50,'Council Entry'!AW$9),'Council Entry'!AW$8),'Council Entry'!AW50)),IF('Council Entry'!AW$4="Exponential",EXP(IF(AND(ISNUMBER('Council Entry'!AW$8),ISNUMBER('Council Entry'!AW$9)),MAX(MIN('Council Entry'!AW50,'Council Entry'!AW$9),'Council Entry'!AW$8),'Council Entry'!AW50)),IF(AND(ISNUMBER('Council Entry'!AW$8),ISNUMBER('Council Entry'!AW$9)),MAX(MIN('Council Entry'!AW50,'Council Entry'!AW$9),'Council Entry'!AW$8),'Council Entry'!AW50))))-'Council Entry'!AW$5)/('Council Entry'!AW$6-'Council Entry'!AW$5),10*((IF('Council Entry'!AW$4="Logarithm",LN(0.001+IF(AND(ISNUMBER('Council Entry'!AW$8),ISNUMBER('Council Entry'!AW$9)),MAX(MIN('Council Entry'!AW50,'Council Entry'!AW$9),'Council Entry'!AW$8),'Council Entry'!AW50)),IF('Council Entry'!AW$4="Exponential",EXP(IF(AND(ISNUMBER('Council Entry'!AW$8),ISNUMBER('Council Entry'!AW$9)),MAX(MIN('Council Entry'!AW50,'Council Entry'!AW$9),'Council Entry'!AW$8),'Council Entry'!AW50)),IF(AND(ISNUMBER('Council Entry'!AW$8),ISNUMBER('Council Entry'!AW$9)),MAX(MIN('Council Entry'!AW50,'Council Entry'!AW$9),'Council Entry'!AW$8),'Council Entry'!AW50))))-'Council Entry'!AW$5)/('Council Entry'!AW$6-'Council Entry'!AW$5)),1))),"No data"))</f>
        <v/>
      </c>
      <c r="AX50" s="13">
        <f>IF('Council Entry'!AX50="","",IFERROR(MAX(0,MIN(10,ROUND(IF('Council Entry'!AX$7="Decrease Risk",10-10*((IF('Council Entry'!AX$4="Logarithm",LN(0.001+IF(AND(ISNUMBER('Council Entry'!AX$8),ISNUMBER('Council Entry'!AX$9)),MAX(MIN('Council Entry'!AX50,'Council Entry'!AX$9),'Council Entry'!AX$8),'Council Entry'!AX50)),IF('Council Entry'!AX$4="Exponential",EXP(IF(AND(ISNUMBER('Council Entry'!AX$8),ISNUMBER('Council Entry'!AX$9)),MAX(MIN('Council Entry'!AX50,'Council Entry'!AX$9),'Council Entry'!AX$8),'Council Entry'!AX50)),IF(AND(ISNUMBER('Council Entry'!AX$8),ISNUMBER('Council Entry'!AX$9)),MAX(MIN('Council Entry'!AX50,'Council Entry'!AX$9),'Council Entry'!AX$8),'Council Entry'!AX50))))-'Council Entry'!AX$5)/('Council Entry'!AX$6-'Council Entry'!AX$5),10*((IF('Council Entry'!AX$4="Logarithm",LN(0.001+IF(AND(ISNUMBER('Council Entry'!AX$8),ISNUMBER('Council Entry'!AX$9)),MAX(MIN('Council Entry'!AX50,'Council Entry'!AX$9),'Council Entry'!AX$8),'Council Entry'!AX50)),IF('Council Entry'!AX$4="Exponential",EXP(IF(AND(ISNUMBER('Council Entry'!AX$8),ISNUMBER('Council Entry'!AX$9)),MAX(MIN('Council Entry'!AX50,'Council Entry'!AX$9),'Council Entry'!AX$8),'Council Entry'!AX50)),IF(AND(ISNUMBER('Council Entry'!AX$8),ISNUMBER('Council Entry'!AX$9)),MAX(MIN('Council Entry'!AX50,'Council Entry'!AX$9),'Council Entry'!AX$8),'Council Entry'!AX50))))-'Council Entry'!AX$5)/('Council Entry'!AX$6-'Council Entry'!AX$5)),1))),"No data"))</f>
        <v/>
      </c>
      <c r="AY50" s="13">
        <f>IF('Council Entry'!AY50="","",IFERROR(MAX(0,MIN(10,ROUND(IF('Council Entry'!AY$7="Decrease Risk",10-10*((IF('Council Entry'!AY$4="Logarithm",LN(0.001+IF(AND(ISNUMBER('Council Entry'!AY$8),ISNUMBER('Council Entry'!AY$9)),MAX(MIN('Council Entry'!AY50,'Council Entry'!AY$9),'Council Entry'!AY$8),'Council Entry'!AY50)),IF('Council Entry'!AY$4="Exponential",EXP(IF(AND(ISNUMBER('Council Entry'!AY$8),ISNUMBER('Council Entry'!AY$9)),MAX(MIN('Council Entry'!AY50,'Council Entry'!AY$9),'Council Entry'!AY$8),'Council Entry'!AY50)),IF(AND(ISNUMBER('Council Entry'!AY$8),ISNUMBER('Council Entry'!AY$9)),MAX(MIN('Council Entry'!AY50,'Council Entry'!AY$9),'Council Entry'!AY$8),'Council Entry'!AY50))))-'Council Entry'!AY$5)/('Council Entry'!AY$6-'Council Entry'!AY$5),10*((IF('Council Entry'!AY$4="Logarithm",LN(0.001+IF(AND(ISNUMBER('Council Entry'!AY$8),ISNUMBER('Council Entry'!AY$9)),MAX(MIN('Council Entry'!AY50,'Council Entry'!AY$9),'Council Entry'!AY$8),'Council Entry'!AY50)),IF('Council Entry'!AY$4="Exponential",EXP(IF(AND(ISNUMBER('Council Entry'!AY$8),ISNUMBER('Council Entry'!AY$9)),MAX(MIN('Council Entry'!AY50,'Council Entry'!AY$9),'Council Entry'!AY$8),'Council Entry'!AY50)),IF(AND(ISNUMBER('Council Entry'!AY$8),ISNUMBER('Council Entry'!AY$9)),MAX(MIN('Council Entry'!AY50,'Council Entry'!AY$9),'Council Entry'!AY$8),'Council Entry'!AY50))))-'Council Entry'!AY$5)/('Council Entry'!AY$6-'Council Entry'!AY$5)),1))),"No data"))</f>
        <v/>
      </c>
      <c r="AZ50" s="13">
        <f>IF('Council Entry'!AZ50="","",IFERROR(MAX(0,MIN(10,ROUND(IF('Council Entry'!AZ$7="Decrease Risk",10-10*((IF('Council Entry'!AZ$4="Logarithm",LN(0.001+IF(AND(ISNUMBER('Council Entry'!AZ$8),ISNUMBER('Council Entry'!AZ$9)),MAX(MIN('Council Entry'!AZ50,'Council Entry'!AZ$9),'Council Entry'!AZ$8),'Council Entry'!AZ50)),IF('Council Entry'!AZ$4="Exponential",EXP(IF(AND(ISNUMBER('Council Entry'!AZ$8),ISNUMBER('Council Entry'!AZ$9)),MAX(MIN('Council Entry'!AZ50,'Council Entry'!AZ$9),'Council Entry'!AZ$8),'Council Entry'!AZ50)),IF(AND(ISNUMBER('Council Entry'!AZ$8),ISNUMBER('Council Entry'!AZ$9)),MAX(MIN('Council Entry'!AZ50,'Council Entry'!AZ$9),'Council Entry'!AZ$8),'Council Entry'!AZ50))))-'Council Entry'!AZ$5)/('Council Entry'!AZ$6-'Council Entry'!AZ$5),10*((IF('Council Entry'!AZ$4="Logarithm",LN(0.001+IF(AND(ISNUMBER('Council Entry'!AZ$8),ISNUMBER('Council Entry'!AZ$9)),MAX(MIN('Council Entry'!AZ50,'Council Entry'!AZ$9),'Council Entry'!AZ$8),'Council Entry'!AZ50)),IF('Council Entry'!AZ$4="Exponential",EXP(IF(AND(ISNUMBER('Council Entry'!AZ$8),ISNUMBER('Council Entry'!AZ$9)),MAX(MIN('Council Entry'!AZ50,'Council Entry'!AZ$9),'Council Entry'!AZ$8),'Council Entry'!AZ50)),IF(AND(ISNUMBER('Council Entry'!AZ$8),ISNUMBER('Council Entry'!AZ$9)),MAX(MIN('Council Entry'!AZ50,'Council Entry'!AZ$9),'Council Entry'!AZ$8),'Council Entry'!AZ50))))-'Council Entry'!AZ$5)/('Council Entry'!AZ$6-'Council Entry'!AZ$5)),1))),"No data"))</f>
        <v/>
      </c>
      <c r="BA50" s="13">
        <f>IF('Council Entry'!BA50="","",IFERROR(MAX(0,MIN(10,ROUND(IF('Council Entry'!BA$7="Decrease Risk",10-10*((IF('Council Entry'!BA$4="Logarithm",LN(0.001+IF(AND(ISNUMBER('Council Entry'!BA$8),ISNUMBER('Council Entry'!BA$9)),MAX(MIN('Council Entry'!BA50,'Council Entry'!BA$9),'Council Entry'!BA$8),'Council Entry'!BA50)),IF('Council Entry'!BA$4="Exponential",EXP(IF(AND(ISNUMBER('Council Entry'!BA$8),ISNUMBER('Council Entry'!BA$9)),MAX(MIN('Council Entry'!BA50,'Council Entry'!BA$9),'Council Entry'!BA$8),'Council Entry'!BA50)),IF(AND(ISNUMBER('Council Entry'!BA$8),ISNUMBER('Council Entry'!BA$9)),MAX(MIN('Council Entry'!BA50,'Council Entry'!BA$9),'Council Entry'!BA$8),'Council Entry'!BA50))))-'Council Entry'!BA$5)/('Council Entry'!BA$6-'Council Entry'!BA$5),10*((IF('Council Entry'!BA$4="Logarithm",LN(0.001+IF(AND(ISNUMBER('Council Entry'!BA$8),ISNUMBER('Council Entry'!BA$9)),MAX(MIN('Council Entry'!BA50,'Council Entry'!BA$9),'Council Entry'!BA$8),'Council Entry'!BA50)),IF('Council Entry'!BA$4="Exponential",EXP(IF(AND(ISNUMBER('Council Entry'!BA$8),ISNUMBER('Council Entry'!BA$9)),MAX(MIN('Council Entry'!BA50,'Council Entry'!BA$9),'Council Entry'!BA$8),'Council Entry'!BA50)),IF(AND(ISNUMBER('Council Entry'!BA$8),ISNUMBER('Council Entry'!BA$9)),MAX(MIN('Council Entry'!BA50,'Council Entry'!BA$9),'Council Entry'!BA$8),'Council Entry'!BA50))))-'Council Entry'!BA$5)/('Council Entry'!BA$6-'Council Entry'!BA$5)),1))),"No data"))</f>
        <v/>
      </c>
      <c r="BB50" s="13">
        <f>IF('Council Entry'!BB50="","",IFERROR(MAX(0,MIN(10,ROUND(IF('Council Entry'!BB$7="Decrease Risk",10-10*((IF('Council Entry'!BB$4="Logarithm",LN(0.001+IF(AND(ISNUMBER('Council Entry'!BB$8),ISNUMBER('Council Entry'!BB$9)),MAX(MIN('Council Entry'!BB50,'Council Entry'!BB$9),'Council Entry'!BB$8),'Council Entry'!BB50)),IF('Council Entry'!BB$4="Exponential",EXP(IF(AND(ISNUMBER('Council Entry'!BB$8),ISNUMBER('Council Entry'!BB$9)),MAX(MIN('Council Entry'!BB50,'Council Entry'!BB$9),'Council Entry'!BB$8),'Council Entry'!BB50)),IF(AND(ISNUMBER('Council Entry'!BB$8),ISNUMBER('Council Entry'!BB$9)),MAX(MIN('Council Entry'!BB50,'Council Entry'!BB$9),'Council Entry'!BB$8),'Council Entry'!BB50))))-'Council Entry'!BB$5)/('Council Entry'!BB$6-'Council Entry'!BB$5),10*((IF('Council Entry'!BB$4="Logarithm",LN(0.001+IF(AND(ISNUMBER('Council Entry'!BB$8),ISNUMBER('Council Entry'!BB$9)),MAX(MIN('Council Entry'!BB50,'Council Entry'!BB$9),'Council Entry'!BB$8),'Council Entry'!BB50)),IF('Council Entry'!BB$4="Exponential",EXP(IF(AND(ISNUMBER('Council Entry'!BB$8),ISNUMBER('Council Entry'!BB$9)),MAX(MIN('Council Entry'!BB50,'Council Entry'!BB$9),'Council Entry'!BB$8),'Council Entry'!BB50)),IF(AND(ISNUMBER('Council Entry'!BB$8),ISNUMBER('Council Entry'!BB$9)),MAX(MIN('Council Entry'!BB50,'Council Entry'!BB$9),'Council Entry'!BB$8),'Council Entry'!BB50))))-'Council Entry'!BB$5)/('Council Entry'!BB$6-'Council Entry'!BB$5)),1))),"No data"))</f>
        <v/>
      </c>
      <c r="BC50" s="13">
        <f>IF('Council Entry'!BC50="","",IFERROR(MAX(0,MIN(10,ROUND(IF('Council Entry'!BC$7="Decrease Risk",10-10*((IF('Council Entry'!BC$4="Logarithm",LN(0.001+IF(AND(ISNUMBER('Council Entry'!BC$8),ISNUMBER('Council Entry'!BC$9)),MAX(MIN('Council Entry'!BC50,'Council Entry'!BC$9),'Council Entry'!BC$8),'Council Entry'!BC50)),IF('Council Entry'!BC$4="Exponential",EXP(IF(AND(ISNUMBER('Council Entry'!BC$8),ISNUMBER('Council Entry'!BC$9)),MAX(MIN('Council Entry'!BC50,'Council Entry'!BC$9),'Council Entry'!BC$8),'Council Entry'!BC50)),IF(AND(ISNUMBER('Council Entry'!BC$8),ISNUMBER('Council Entry'!BC$9)),MAX(MIN('Council Entry'!BC50,'Council Entry'!BC$9),'Council Entry'!BC$8),'Council Entry'!BC50))))-'Council Entry'!BC$5)/('Council Entry'!BC$6-'Council Entry'!BC$5),10*((IF('Council Entry'!BC$4="Logarithm",LN(0.001+IF(AND(ISNUMBER('Council Entry'!BC$8),ISNUMBER('Council Entry'!BC$9)),MAX(MIN('Council Entry'!BC50,'Council Entry'!BC$9),'Council Entry'!BC$8),'Council Entry'!BC50)),IF('Council Entry'!BC$4="Exponential",EXP(IF(AND(ISNUMBER('Council Entry'!BC$8),ISNUMBER('Council Entry'!BC$9)),MAX(MIN('Council Entry'!BC50,'Council Entry'!BC$9),'Council Entry'!BC$8),'Council Entry'!BC50)),IF(AND(ISNUMBER('Council Entry'!BC$8),ISNUMBER('Council Entry'!BC$9)),MAX(MIN('Council Entry'!BC50,'Council Entry'!BC$9),'Council Entry'!BC$8),'Council Entry'!BC50))))-'Council Entry'!BC$5)/('Council Entry'!BC$6-'Council Entry'!BC$5)),1))),"No data"))</f>
        <v/>
      </c>
      <c r="BD50" s="13">
        <f>IF('Council Entry'!BD50="","",IFERROR(MAX(0,MIN(10,ROUND(IF('Council Entry'!BD$7="Decrease Risk",10-10*((IF('Council Entry'!BD$4="Logarithm",LN(0.001+IF(AND(ISNUMBER('Council Entry'!BD$8),ISNUMBER('Council Entry'!BD$9)),MAX(MIN('Council Entry'!BD50,'Council Entry'!BD$9),'Council Entry'!BD$8),'Council Entry'!BD50)),IF('Council Entry'!BD$4="Exponential",EXP(IF(AND(ISNUMBER('Council Entry'!BD$8),ISNUMBER('Council Entry'!BD$9)),MAX(MIN('Council Entry'!BD50,'Council Entry'!BD$9),'Council Entry'!BD$8),'Council Entry'!BD50)),IF(AND(ISNUMBER('Council Entry'!BD$8),ISNUMBER('Council Entry'!BD$9)),MAX(MIN('Council Entry'!BD50,'Council Entry'!BD$9),'Council Entry'!BD$8),'Council Entry'!BD50))))-'Council Entry'!BD$5)/('Council Entry'!BD$6-'Council Entry'!BD$5),10*((IF('Council Entry'!BD$4="Logarithm",LN(0.001+IF(AND(ISNUMBER('Council Entry'!BD$8),ISNUMBER('Council Entry'!BD$9)),MAX(MIN('Council Entry'!BD50,'Council Entry'!BD$9),'Council Entry'!BD$8),'Council Entry'!BD50)),IF('Council Entry'!BD$4="Exponential",EXP(IF(AND(ISNUMBER('Council Entry'!BD$8),ISNUMBER('Council Entry'!BD$9)),MAX(MIN('Council Entry'!BD50,'Council Entry'!BD$9),'Council Entry'!BD$8),'Council Entry'!BD50)),IF(AND(ISNUMBER('Council Entry'!BD$8),ISNUMBER('Council Entry'!BD$9)),MAX(MIN('Council Entry'!BD50,'Council Entry'!BD$9),'Council Entry'!BD$8),'Council Entry'!BD50))))-'Council Entry'!BD$5)/('Council Entry'!BD$6-'Council Entry'!BD$5)),1))),"No data"))</f>
        <v/>
      </c>
    </row>
    <row r="51">
      <c r="A51" t="inlineStr">
        <is>
          <t>Kaskazini Pemba</t>
        </is>
      </c>
      <c r="B51" t="inlineStr">
        <is>
          <t>Wete Town</t>
        </is>
      </c>
      <c r="C51" t="inlineStr">
        <is>
          <t>C192</t>
        </is>
      </c>
      <c r="D51" s="13">
        <f>IF('Council Entry'!D51="","",IFERROR(MAX(0,MIN(10,ROUND(IF('Council Entry'!D$7="Decrease Risk",10-10*((IF('Council Entry'!D$4="Logarithm",LN(0.001+IF(AND(ISNUMBER('Council Entry'!D$8),ISNUMBER('Council Entry'!D$9)),MAX(MIN('Council Entry'!D51,'Council Entry'!D$9),'Council Entry'!D$8),'Council Entry'!D51)),IF('Council Entry'!D$4="Exponential",EXP(IF(AND(ISNUMBER('Council Entry'!D$8),ISNUMBER('Council Entry'!D$9)),MAX(MIN('Council Entry'!D51,'Council Entry'!D$9),'Council Entry'!D$8),'Council Entry'!D51)),IF(AND(ISNUMBER('Council Entry'!D$8),ISNUMBER('Council Entry'!D$9)),MAX(MIN('Council Entry'!D51,'Council Entry'!D$9),'Council Entry'!D$8),'Council Entry'!D51))))-'Council Entry'!D$5)/('Council Entry'!D$6-'Council Entry'!D$5),10*((IF('Council Entry'!D$4="Logarithm",LN(0.001+IF(AND(ISNUMBER('Council Entry'!D$8),ISNUMBER('Council Entry'!D$9)),MAX(MIN('Council Entry'!D51,'Council Entry'!D$9),'Council Entry'!D$8),'Council Entry'!D51)),IF('Council Entry'!D$4="Exponential",EXP(IF(AND(ISNUMBER('Council Entry'!D$8),ISNUMBER('Council Entry'!D$9)),MAX(MIN('Council Entry'!D51,'Council Entry'!D$9),'Council Entry'!D$8),'Council Entry'!D51)),IF(AND(ISNUMBER('Council Entry'!D$8),ISNUMBER('Council Entry'!D$9)),MAX(MIN('Council Entry'!D51,'Council Entry'!D$9),'Council Entry'!D$8),'Council Entry'!D51))))-'Council Entry'!D$5)/('Council Entry'!D$6-'Council Entry'!D$5)),1))),"No data"))</f>
        <v/>
      </c>
      <c r="E51" s="13">
        <f>IF('Council Entry'!E51="","",IFERROR(MAX(0,MIN(10,ROUND(IF('Council Entry'!E$7="Decrease Risk",10-10*((IF('Council Entry'!E$4="Logarithm",LN(0.001+IF(AND(ISNUMBER('Council Entry'!E$8),ISNUMBER('Council Entry'!E$9)),MAX(MIN('Council Entry'!E51,'Council Entry'!E$9),'Council Entry'!E$8),'Council Entry'!E51)),IF('Council Entry'!E$4="Exponential",EXP(IF(AND(ISNUMBER('Council Entry'!E$8),ISNUMBER('Council Entry'!E$9)),MAX(MIN('Council Entry'!E51,'Council Entry'!E$9),'Council Entry'!E$8),'Council Entry'!E51)),IF(AND(ISNUMBER('Council Entry'!E$8),ISNUMBER('Council Entry'!E$9)),MAX(MIN('Council Entry'!E51,'Council Entry'!E$9),'Council Entry'!E$8),'Council Entry'!E51))))-'Council Entry'!E$5)/('Council Entry'!E$6-'Council Entry'!E$5),10*((IF('Council Entry'!E$4="Logarithm",LN(0.001+IF(AND(ISNUMBER('Council Entry'!E$8),ISNUMBER('Council Entry'!E$9)),MAX(MIN('Council Entry'!E51,'Council Entry'!E$9),'Council Entry'!E$8),'Council Entry'!E51)),IF('Council Entry'!E$4="Exponential",EXP(IF(AND(ISNUMBER('Council Entry'!E$8),ISNUMBER('Council Entry'!E$9)),MAX(MIN('Council Entry'!E51,'Council Entry'!E$9),'Council Entry'!E$8),'Council Entry'!E51)),IF(AND(ISNUMBER('Council Entry'!E$8),ISNUMBER('Council Entry'!E$9)),MAX(MIN('Council Entry'!E51,'Council Entry'!E$9),'Council Entry'!E$8),'Council Entry'!E51))))-'Council Entry'!E$5)/('Council Entry'!E$6-'Council Entry'!E$5)),1))),"No data"))</f>
        <v/>
      </c>
      <c r="F51" s="13">
        <f>IF('Council Entry'!F51="","",IFERROR(MAX(0,MIN(10,ROUND(IF('Council Entry'!F$7="Decrease Risk",10-10*((IF('Council Entry'!F$4="Logarithm",LN(0.001+IF(AND(ISNUMBER('Council Entry'!F$8),ISNUMBER('Council Entry'!F$9)),MAX(MIN('Council Entry'!F51,'Council Entry'!F$9),'Council Entry'!F$8),'Council Entry'!F51)),IF('Council Entry'!F$4="Exponential",EXP(IF(AND(ISNUMBER('Council Entry'!F$8),ISNUMBER('Council Entry'!F$9)),MAX(MIN('Council Entry'!F51,'Council Entry'!F$9),'Council Entry'!F$8),'Council Entry'!F51)),IF(AND(ISNUMBER('Council Entry'!F$8),ISNUMBER('Council Entry'!F$9)),MAX(MIN('Council Entry'!F51,'Council Entry'!F$9),'Council Entry'!F$8),'Council Entry'!F51))))-'Council Entry'!F$5)/('Council Entry'!F$6-'Council Entry'!F$5),10*((IF('Council Entry'!F$4="Logarithm",LN(0.001+IF(AND(ISNUMBER('Council Entry'!F$8),ISNUMBER('Council Entry'!F$9)),MAX(MIN('Council Entry'!F51,'Council Entry'!F$9),'Council Entry'!F$8),'Council Entry'!F51)),IF('Council Entry'!F$4="Exponential",EXP(IF(AND(ISNUMBER('Council Entry'!F$8),ISNUMBER('Council Entry'!F$9)),MAX(MIN('Council Entry'!F51,'Council Entry'!F$9),'Council Entry'!F$8),'Council Entry'!F51)),IF(AND(ISNUMBER('Council Entry'!F$8),ISNUMBER('Council Entry'!F$9)),MAX(MIN('Council Entry'!F51,'Council Entry'!F$9),'Council Entry'!F$8),'Council Entry'!F51))))-'Council Entry'!F$5)/('Council Entry'!F$6-'Council Entry'!F$5)),1))),"No data"))</f>
        <v/>
      </c>
      <c r="G51" s="13">
        <f>IF('Council Entry'!G51="","",IFERROR(MAX(0,MIN(10,ROUND(IF('Council Entry'!G$7="Decrease Risk",10-10*((IF('Council Entry'!G$4="Logarithm",LN(0.001+IF(AND(ISNUMBER('Council Entry'!G$8),ISNUMBER('Council Entry'!G$9)),MAX(MIN('Council Entry'!G51,'Council Entry'!G$9),'Council Entry'!G$8),'Council Entry'!G51)),IF('Council Entry'!G$4="Exponential",EXP(IF(AND(ISNUMBER('Council Entry'!G$8),ISNUMBER('Council Entry'!G$9)),MAX(MIN('Council Entry'!G51,'Council Entry'!G$9),'Council Entry'!G$8),'Council Entry'!G51)),IF(AND(ISNUMBER('Council Entry'!G$8),ISNUMBER('Council Entry'!G$9)),MAX(MIN('Council Entry'!G51,'Council Entry'!G$9),'Council Entry'!G$8),'Council Entry'!G51))))-'Council Entry'!G$5)/('Council Entry'!G$6-'Council Entry'!G$5),10*((IF('Council Entry'!G$4="Logarithm",LN(0.001+IF(AND(ISNUMBER('Council Entry'!G$8),ISNUMBER('Council Entry'!G$9)),MAX(MIN('Council Entry'!G51,'Council Entry'!G$9),'Council Entry'!G$8),'Council Entry'!G51)),IF('Council Entry'!G$4="Exponential",EXP(IF(AND(ISNUMBER('Council Entry'!G$8),ISNUMBER('Council Entry'!G$9)),MAX(MIN('Council Entry'!G51,'Council Entry'!G$9),'Council Entry'!G$8),'Council Entry'!G51)),IF(AND(ISNUMBER('Council Entry'!G$8),ISNUMBER('Council Entry'!G$9)),MAX(MIN('Council Entry'!G51,'Council Entry'!G$9),'Council Entry'!G$8),'Council Entry'!G51))))-'Council Entry'!G$5)/('Council Entry'!G$6-'Council Entry'!G$5)),1))),"No data"))</f>
        <v/>
      </c>
      <c r="H51" s="13">
        <f>IF('Council Entry'!H51="","",IFERROR(MAX(0,MIN(10,ROUND(IF('Council Entry'!H$7="Decrease Risk",10-10*((IF('Council Entry'!H$4="Logarithm",LN(0.001+IF(AND(ISNUMBER('Council Entry'!H$8),ISNUMBER('Council Entry'!H$9)),MAX(MIN('Council Entry'!H51,'Council Entry'!H$9),'Council Entry'!H$8),'Council Entry'!H51)),IF('Council Entry'!H$4="Exponential",EXP(IF(AND(ISNUMBER('Council Entry'!H$8),ISNUMBER('Council Entry'!H$9)),MAX(MIN('Council Entry'!H51,'Council Entry'!H$9),'Council Entry'!H$8),'Council Entry'!H51)),IF(AND(ISNUMBER('Council Entry'!H$8),ISNUMBER('Council Entry'!H$9)),MAX(MIN('Council Entry'!H51,'Council Entry'!H$9),'Council Entry'!H$8),'Council Entry'!H51))))-'Council Entry'!H$5)/('Council Entry'!H$6-'Council Entry'!H$5),10*((IF('Council Entry'!H$4="Logarithm",LN(0.001+IF(AND(ISNUMBER('Council Entry'!H$8),ISNUMBER('Council Entry'!H$9)),MAX(MIN('Council Entry'!H51,'Council Entry'!H$9),'Council Entry'!H$8),'Council Entry'!H51)),IF('Council Entry'!H$4="Exponential",EXP(IF(AND(ISNUMBER('Council Entry'!H$8),ISNUMBER('Council Entry'!H$9)),MAX(MIN('Council Entry'!H51,'Council Entry'!H$9),'Council Entry'!H$8),'Council Entry'!H51)),IF(AND(ISNUMBER('Council Entry'!H$8),ISNUMBER('Council Entry'!H$9)),MAX(MIN('Council Entry'!H51,'Council Entry'!H$9),'Council Entry'!H$8),'Council Entry'!H51))))-'Council Entry'!H$5)/('Council Entry'!H$6-'Council Entry'!H$5)),1))),"No data"))</f>
        <v/>
      </c>
      <c r="I51" s="13">
        <f>IF('Council Entry'!I51="","",IFERROR(MAX(0,MIN(10,ROUND(IF('Council Entry'!I$7="Decrease Risk",10-10*((IF('Council Entry'!I$4="Logarithm",LN(0.001+IF(AND(ISNUMBER('Council Entry'!I$8),ISNUMBER('Council Entry'!I$9)),MAX(MIN('Council Entry'!I51,'Council Entry'!I$9),'Council Entry'!I$8),'Council Entry'!I51)),IF('Council Entry'!I$4="Exponential",EXP(IF(AND(ISNUMBER('Council Entry'!I$8),ISNUMBER('Council Entry'!I$9)),MAX(MIN('Council Entry'!I51,'Council Entry'!I$9),'Council Entry'!I$8),'Council Entry'!I51)),IF(AND(ISNUMBER('Council Entry'!I$8),ISNUMBER('Council Entry'!I$9)),MAX(MIN('Council Entry'!I51,'Council Entry'!I$9),'Council Entry'!I$8),'Council Entry'!I51))))-'Council Entry'!I$5)/('Council Entry'!I$6-'Council Entry'!I$5),10*((IF('Council Entry'!I$4="Logarithm",LN(0.001+IF(AND(ISNUMBER('Council Entry'!I$8),ISNUMBER('Council Entry'!I$9)),MAX(MIN('Council Entry'!I51,'Council Entry'!I$9),'Council Entry'!I$8),'Council Entry'!I51)),IF('Council Entry'!I$4="Exponential",EXP(IF(AND(ISNUMBER('Council Entry'!I$8),ISNUMBER('Council Entry'!I$9)),MAX(MIN('Council Entry'!I51,'Council Entry'!I$9),'Council Entry'!I$8),'Council Entry'!I51)),IF(AND(ISNUMBER('Council Entry'!I$8),ISNUMBER('Council Entry'!I$9)),MAX(MIN('Council Entry'!I51,'Council Entry'!I$9),'Council Entry'!I$8),'Council Entry'!I51))))-'Council Entry'!I$5)/('Council Entry'!I$6-'Council Entry'!I$5)),1))),"No data"))</f>
        <v/>
      </c>
      <c r="J51" s="13">
        <f>IF('Council Entry'!J51="","",IFERROR(MAX(0,MIN(10,ROUND(IF('Council Entry'!J$7="Decrease Risk",10-10*((IF('Council Entry'!J$4="Logarithm",LN(0.001+IF(AND(ISNUMBER('Council Entry'!J$8),ISNUMBER('Council Entry'!J$9)),MAX(MIN('Council Entry'!J51,'Council Entry'!J$9),'Council Entry'!J$8),'Council Entry'!J51)),IF('Council Entry'!J$4="Exponential",EXP(IF(AND(ISNUMBER('Council Entry'!J$8),ISNUMBER('Council Entry'!J$9)),MAX(MIN('Council Entry'!J51,'Council Entry'!J$9),'Council Entry'!J$8),'Council Entry'!J51)),IF(AND(ISNUMBER('Council Entry'!J$8),ISNUMBER('Council Entry'!J$9)),MAX(MIN('Council Entry'!J51,'Council Entry'!J$9),'Council Entry'!J$8),'Council Entry'!J51))))-'Council Entry'!J$5)/('Council Entry'!J$6-'Council Entry'!J$5),10*((IF('Council Entry'!J$4="Logarithm",LN(0.001+IF(AND(ISNUMBER('Council Entry'!J$8),ISNUMBER('Council Entry'!J$9)),MAX(MIN('Council Entry'!J51,'Council Entry'!J$9),'Council Entry'!J$8),'Council Entry'!J51)),IF('Council Entry'!J$4="Exponential",EXP(IF(AND(ISNUMBER('Council Entry'!J$8),ISNUMBER('Council Entry'!J$9)),MAX(MIN('Council Entry'!J51,'Council Entry'!J$9),'Council Entry'!J$8),'Council Entry'!J51)),IF(AND(ISNUMBER('Council Entry'!J$8),ISNUMBER('Council Entry'!J$9)),MAX(MIN('Council Entry'!J51,'Council Entry'!J$9),'Council Entry'!J$8),'Council Entry'!J51))))-'Council Entry'!J$5)/('Council Entry'!J$6-'Council Entry'!J$5)),1))),"No data"))</f>
        <v/>
      </c>
      <c r="K51" s="13">
        <f>IF('Council Entry'!K51="","",IFERROR(MAX(0,MIN(10,ROUND(IF('Council Entry'!K$7="Decrease Risk",10-10*((IF('Council Entry'!K$4="Logarithm",LN(0.001+IF(AND(ISNUMBER('Council Entry'!K$8),ISNUMBER('Council Entry'!K$9)),MAX(MIN('Council Entry'!K51,'Council Entry'!K$9),'Council Entry'!K$8),'Council Entry'!K51)),IF('Council Entry'!K$4="Exponential",EXP(IF(AND(ISNUMBER('Council Entry'!K$8),ISNUMBER('Council Entry'!K$9)),MAX(MIN('Council Entry'!K51,'Council Entry'!K$9),'Council Entry'!K$8),'Council Entry'!K51)),IF(AND(ISNUMBER('Council Entry'!K$8),ISNUMBER('Council Entry'!K$9)),MAX(MIN('Council Entry'!K51,'Council Entry'!K$9),'Council Entry'!K$8),'Council Entry'!K51))))-'Council Entry'!K$5)/('Council Entry'!K$6-'Council Entry'!K$5),10*((IF('Council Entry'!K$4="Logarithm",LN(0.001+IF(AND(ISNUMBER('Council Entry'!K$8),ISNUMBER('Council Entry'!K$9)),MAX(MIN('Council Entry'!K51,'Council Entry'!K$9),'Council Entry'!K$8),'Council Entry'!K51)),IF('Council Entry'!K$4="Exponential",EXP(IF(AND(ISNUMBER('Council Entry'!K$8),ISNUMBER('Council Entry'!K$9)),MAX(MIN('Council Entry'!K51,'Council Entry'!K$9),'Council Entry'!K$8),'Council Entry'!K51)),IF(AND(ISNUMBER('Council Entry'!K$8),ISNUMBER('Council Entry'!K$9)),MAX(MIN('Council Entry'!K51,'Council Entry'!K$9),'Council Entry'!K$8),'Council Entry'!K51))))-'Council Entry'!K$5)/('Council Entry'!K$6-'Council Entry'!K$5)),1))),"No data"))</f>
        <v/>
      </c>
      <c r="L51" s="13">
        <f>IF('Council Entry'!L51="","",IFERROR(MAX(0,MIN(10,ROUND(IF('Council Entry'!L$7="Decrease Risk",10-10*((IF('Council Entry'!L$4="Logarithm",LN(0.001+IF(AND(ISNUMBER('Council Entry'!L$8),ISNUMBER('Council Entry'!L$9)),MAX(MIN('Council Entry'!L51,'Council Entry'!L$9),'Council Entry'!L$8),'Council Entry'!L51)),IF('Council Entry'!L$4="Exponential",EXP(IF(AND(ISNUMBER('Council Entry'!L$8),ISNUMBER('Council Entry'!L$9)),MAX(MIN('Council Entry'!L51,'Council Entry'!L$9),'Council Entry'!L$8),'Council Entry'!L51)),IF(AND(ISNUMBER('Council Entry'!L$8),ISNUMBER('Council Entry'!L$9)),MAX(MIN('Council Entry'!L51,'Council Entry'!L$9),'Council Entry'!L$8),'Council Entry'!L51))))-'Council Entry'!L$5)/('Council Entry'!L$6-'Council Entry'!L$5),10*((IF('Council Entry'!L$4="Logarithm",LN(0.001+IF(AND(ISNUMBER('Council Entry'!L$8),ISNUMBER('Council Entry'!L$9)),MAX(MIN('Council Entry'!L51,'Council Entry'!L$9),'Council Entry'!L$8),'Council Entry'!L51)),IF('Council Entry'!L$4="Exponential",EXP(IF(AND(ISNUMBER('Council Entry'!L$8),ISNUMBER('Council Entry'!L$9)),MAX(MIN('Council Entry'!L51,'Council Entry'!L$9),'Council Entry'!L$8),'Council Entry'!L51)),IF(AND(ISNUMBER('Council Entry'!L$8),ISNUMBER('Council Entry'!L$9)),MAX(MIN('Council Entry'!L51,'Council Entry'!L$9),'Council Entry'!L$8),'Council Entry'!L51))))-'Council Entry'!L$5)/('Council Entry'!L$6-'Council Entry'!L$5)),1))),"No data"))</f>
        <v/>
      </c>
      <c r="M51" s="13">
        <f>IF('Council Entry'!M51="","",IFERROR(MAX(0,MIN(10,ROUND(IF('Council Entry'!M$7="Decrease Risk",10-10*((IF('Council Entry'!M$4="Logarithm",LN(0.001+IF(AND(ISNUMBER('Council Entry'!M$8),ISNUMBER('Council Entry'!M$9)),MAX(MIN('Council Entry'!M51,'Council Entry'!M$9),'Council Entry'!M$8),'Council Entry'!M51)),IF('Council Entry'!M$4="Exponential",EXP(IF(AND(ISNUMBER('Council Entry'!M$8),ISNUMBER('Council Entry'!M$9)),MAX(MIN('Council Entry'!M51,'Council Entry'!M$9),'Council Entry'!M$8),'Council Entry'!M51)),IF(AND(ISNUMBER('Council Entry'!M$8),ISNUMBER('Council Entry'!M$9)),MAX(MIN('Council Entry'!M51,'Council Entry'!M$9),'Council Entry'!M$8),'Council Entry'!M51))))-'Council Entry'!M$5)/('Council Entry'!M$6-'Council Entry'!M$5),10*((IF('Council Entry'!M$4="Logarithm",LN(0.001+IF(AND(ISNUMBER('Council Entry'!M$8),ISNUMBER('Council Entry'!M$9)),MAX(MIN('Council Entry'!M51,'Council Entry'!M$9),'Council Entry'!M$8),'Council Entry'!M51)),IF('Council Entry'!M$4="Exponential",EXP(IF(AND(ISNUMBER('Council Entry'!M$8),ISNUMBER('Council Entry'!M$9)),MAX(MIN('Council Entry'!M51,'Council Entry'!M$9),'Council Entry'!M$8),'Council Entry'!M51)),IF(AND(ISNUMBER('Council Entry'!M$8),ISNUMBER('Council Entry'!M$9)),MAX(MIN('Council Entry'!M51,'Council Entry'!M$9),'Council Entry'!M$8),'Council Entry'!M51))))-'Council Entry'!M$5)/('Council Entry'!M$6-'Council Entry'!M$5)),1))),"No data"))</f>
        <v/>
      </c>
      <c r="N51" s="13">
        <f>IF('Council Entry'!N51="","",IFERROR(MAX(0,MIN(10,ROUND(IF('Council Entry'!N$7="Decrease Risk",10-10*((IF('Council Entry'!N$4="Logarithm",LN(0.001+IF(AND(ISNUMBER('Council Entry'!N$8),ISNUMBER('Council Entry'!N$9)),MAX(MIN('Council Entry'!N51,'Council Entry'!N$9),'Council Entry'!N$8),'Council Entry'!N51)),IF('Council Entry'!N$4="Exponential",EXP(IF(AND(ISNUMBER('Council Entry'!N$8),ISNUMBER('Council Entry'!N$9)),MAX(MIN('Council Entry'!N51,'Council Entry'!N$9),'Council Entry'!N$8),'Council Entry'!N51)),IF(AND(ISNUMBER('Council Entry'!N$8),ISNUMBER('Council Entry'!N$9)),MAX(MIN('Council Entry'!N51,'Council Entry'!N$9),'Council Entry'!N$8),'Council Entry'!N51))))-'Council Entry'!N$5)/('Council Entry'!N$6-'Council Entry'!N$5),10*((IF('Council Entry'!N$4="Logarithm",LN(0.001+IF(AND(ISNUMBER('Council Entry'!N$8),ISNUMBER('Council Entry'!N$9)),MAX(MIN('Council Entry'!N51,'Council Entry'!N$9),'Council Entry'!N$8),'Council Entry'!N51)),IF('Council Entry'!N$4="Exponential",EXP(IF(AND(ISNUMBER('Council Entry'!N$8),ISNUMBER('Council Entry'!N$9)),MAX(MIN('Council Entry'!N51,'Council Entry'!N$9),'Council Entry'!N$8),'Council Entry'!N51)),IF(AND(ISNUMBER('Council Entry'!N$8),ISNUMBER('Council Entry'!N$9)),MAX(MIN('Council Entry'!N51,'Council Entry'!N$9),'Council Entry'!N$8),'Council Entry'!N51))))-'Council Entry'!N$5)/('Council Entry'!N$6-'Council Entry'!N$5)),1))),"No data"))</f>
        <v/>
      </c>
      <c r="O51" s="13">
        <f>IF('Council Entry'!O51="","",IFERROR(MAX(0,MIN(10,ROUND(IF('Council Entry'!O$7="Decrease Risk",10-10*((IF('Council Entry'!O$4="Logarithm",LN(0.001+IF(AND(ISNUMBER('Council Entry'!O$8),ISNUMBER('Council Entry'!O$9)),MAX(MIN('Council Entry'!O51,'Council Entry'!O$9),'Council Entry'!O$8),'Council Entry'!O51)),IF('Council Entry'!O$4="Exponential",EXP(IF(AND(ISNUMBER('Council Entry'!O$8),ISNUMBER('Council Entry'!O$9)),MAX(MIN('Council Entry'!O51,'Council Entry'!O$9),'Council Entry'!O$8),'Council Entry'!O51)),IF(AND(ISNUMBER('Council Entry'!O$8),ISNUMBER('Council Entry'!O$9)),MAX(MIN('Council Entry'!O51,'Council Entry'!O$9),'Council Entry'!O$8),'Council Entry'!O51))))-'Council Entry'!O$5)/('Council Entry'!O$6-'Council Entry'!O$5),10*((IF('Council Entry'!O$4="Logarithm",LN(0.001+IF(AND(ISNUMBER('Council Entry'!O$8),ISNUMBER('Council Entry'!O$9)),MAX(MIN('Council Entry'!O51,'Council Entry'!O$9),'Council Entry'!O$8),'Council Entry'!O51)),IF('Council Entry'!O$4="Exponential",EXP(IF(AND(ISNUMBER('Council Entry'!O$8),ISNUMBER('Council Entry'!O$9)),MAX(MIN('Council Entry'!O51,'Council Entry'!O$9),'Council Entry'!O$8),'Council Entry'!O51)),IF(AND(ISNUMBER('Council Entry'!O$8),ISNUMBER('Council Entry'!O$9)),MAX(MIN('Council Entry'!O51,'Council Entry'!O$9),'Council Entry'!O$8),'Council Entry'!O51))))-'Council Entry'!O$5)/('Council Entry'!O$6-'Council Entry'!O$5)),1))),"No data"))</f>
        <v/>
      </c>
      <c r="P51" s="13">
        <f>IF('Council Entry'!P51="","",IFERROR(MAX(0,MIN(10,ROUND(IF('Council Entry'!P$7="Decrease Risk",10-10*((IF('Council Entry'!P$4="Logarithm",LN(0.001+IF(AND(ISNUMBER('Council Entry'!P$8),ISNUMBER('Council Entry'!P$9)),MAX(MIN('Council Entry'!P51,'Council Entry'!P$9),'Council Entry'!P$8),'Council Entry'!P51)),IF('Council Entry'!P$4="Exponential",EXP(IF(AND(ISNUMBER('Council Entry'!P$8),ISNUMBER('Council Entry'!P$9)),MAX(MIN('Council Entry'!P51,'Council Entry'!P$9),'Council Entry'!P$8),'Council Entry'!P51)),IF(AND(ISNUMBER('Council Entry'!P$8),ISNUMBER('Council Entry'!P$9)),MAX(MIN('Council Entry'!P51,'Council Entry'!P$9),'Council Entry'!P$8),'Council Entry'!P51))))-'Council Entry'!P$5)/('Council Entry'!P$6-'Council Entry'!P$5),10*((IF('Council Entry'!P$4="Logarithm",LN(0.001+IF(AND(ISNUMBER('Council Entry'!P$8),ISNUMBER('Council Entry'!P$9)),MAX(MIN('Council Entry'!P51,'Council Entry'!P$9),'Council Entry'!P$8),'Council Entry'!P51)),IF('Council Entry'!P$4="Exponential",EXP(IF(AND(ISNUMBER('Council Entry'!P$8),ISNUMBER('Council Entry'!P$9)),MAX(MIN('Council Entry'!P51,'Council Entry'!P$9),'Council Entry'!P$8),'Council Entry'!P51)),IF(AND(ISNUMBER('Council Entry'!P$8),ISNUMBER('Council Entry'!P$9)),MAX(MIN('Council Entry'!P51,'Council Entry'!P$9),'Council Entry'!P$8),'Council Entry'!P51))))-'Council Entry'!P$5)/('Council Entry'!P$6-'Council Entry'!P$5)),1))),"No data"))</f>
        <v/>
      </c>
      <c r="Q51" s="13">
        <f>IF('Council Entry'!Q51="","",IFERROR(MAX(0,MIN(10,ROUND(IF('Council Entry'!Q$7="Decrease Risk",10-10*((IF('Council Entry'!Q$4="Logarithm",LN(0.001+IF(AND(ISNUMBER('Council Entry'!Q$8),ISNUMBER('Council Entry'!Q$9)),MAX(MIN('Council Entry'!Q51,'Council Entry'!Q$9),'Council Entry'!Q$8),'Council Entry'!Q51)),IF('Council Entry'!Q$4="Exponential",EXP(IF(AND(ISNUMBER('Council Entry'!Q$8),ISNUMBER('Council Entry'!Q$9)),MAX(MIN('Council Entry'!Q51,'Council Entry'!Q$9),'Council Entry'!Q$8),'Council Entry'!Q51)),IF(AND(ISNUMBER('Council Entry'!Q$8),ISNUMBER('Council Entry'!Q$9)),MAX(MIN('Council Entry'!Q51,'Council Entry'!Q$9),'Council Entry'!Q$8),'Council Entry'!Q51))))-'Council Entry'!Q$5)/('Council Entry'!Q$6-'Council Entry'!Q$5),10*((IF('Council Entry'!Q$4="Logarithm",LN(0.001+IF(AND(ISNUMBER('Council Entry'!Q$8),ISNUMBER('Council Entry'!Q$9)),MAX(MIN('Council Entry'!Q51,'Council Entry'!Q$9),'Council Entry'!Q$8),'Council Entry'!Q51)),IF('Council Entry'!Q$4="Exponential",EXP(IF(AND(ISNUMBER('Council Entry'!Q$8),ISNUMBER('Council Entry'!Q$9)),MAX(MIN('Council Entry'!Q51,'Council Entry'!Q$9),'Council Entry'!Q$8),'Council Entry'!Q51)),IF(AND(ISNUMBER('Council Entry'!Q$8),ISNUMBER('Council Entry'!Q$9)),MAX(MIN('Council Entry'!Q51,'Council Entry'!Q$9),'Council Entry'!Q$8),'Council Entry'!Q51))))-'Council Entry'!Q$5)/('Council Entry'!Q$6-'Council Entry'!Q$5)),1))),"No data"))</f>
        <v/>
      </c>
      <c r="R51" s="13">
        <f>IF('Council Entry'!R51="","",IFERROR(MAX(0,MIN(10,ROUND(IF('Council Entry'!R$7="Decrease Risk",10-10*((IF('Council Entry'!R$4="Logarithm",LN(0.001+IF(AND(ISNUMBER('Council Entry'!R$8),ISNUMBER('Council Entry'!R$9)),MAX(MIN('Council Entry'!R51,'Council Entry'!R$9),'Council Entry'!R$8),'Council Entry'!R51)),IF('Council Entry'!R$4="Exponential",EXP(IF(AND(ISNUMBER('Council Entry'!R$8),ISNUMBER('Council Entry'!R$9)),MAX(MIN('Council Entry'!R51,'Council Entry'!R$9),'Council Entry'!R$8),'Council Entry'!R51)),IF(AND(ISNUMBER('Council Entry'!R$8),ISNUMBER('Council Entry'!R$9)),MAX(MIN('Council Entry'!R51,'Council Entry'!R$9),'Council Entry'!R$8),'Council Entry'!R51))))-'Council Entry'!R$5)/('Council Entry'!R$6-'Council Entry'!R$5),10*((IF('Council Entry'!R$4="Logarithm",LN(0.001+IF(AND(ISNUMBER('Council Entry'!R$8),ISNUMBER('Council Entry'!R$9)),MAX(MIN('Council Entry'!R51,'Council Entry'!R$9),'Council Entry'!R$8),'Council Entry'!R51)),IF('Council Entry'!R$4="Exponential",EXP(IF(AND(ISNUMBER('Council Entry'!R$8),ISNUMBER('Council Entry'!R$9)),MAX(MIN('Council Entry'!R51,'Council Entry'!R$9),'Council Entry'!R$8),'Council Entry'!R51)),IF(AND(ISNUMBER('Council Entry'!R$8),ISNUMBER('Council Entry'!R$9)),MAX(MIN('Council Entry'!R51,'Council Entry'!R$9),'Council Entry'!R$8),'Council Entry'!R51))))-'Council Entry'!R$5)/('Council Entry'!R$6-'Council Entry'!R$5)),1))),"No data"))</f>
        <v/>
      </c>
      <c r="S51" s="13">
        <f>IF('Council Entry'!S51="","",IFERROR(MAX(0,MIN(10,ROUND(IF('Council Entry'!S$7="Decrease Risk",10-10*((IF('Council Entry'!S$4="Logarithm",LN(0.001+IF(AND(ISNUMBER('Council Entry'!S$8),ISNUMBER('Council Entry'!S$9)),MAX(MIN('Council Entry'!S51,'Council Entry'!S$9),'Council Entry'!S$8),'Council Entry'!S51)),IF('Council Entry'!S$4="Exponential",EXP(IF(AND(ISNUMBER('Council Entry'!S$8),ISNUMBER('Council Entry'!S$9)),MAX(MIN('Council Entry'!S51,'Council Entry'!S$9),'Council Entry'!S$8),'Council Entry'!S51)),IF(AND(ISNUMBER('Council Entry'!S$8),ISNUMBER('Council Entry'!S$9)),MAX(MIN('Council Entry'!S51,'Council Entry'!S$9),'Council Entry'!S$8),'Council Entry'!S51))))-'Council Entry'!S$5)/('Council Entry'!S$6-'Council Entry'!S$5),10*((IF('Council Entry'!S$4="Logarithm",LN(0.001+IF(AND(ISNUMBER('Council Entry'!S$8),ISNUMBER('Council Entry'!S$9)),MAX(MIN('Council Entry'!S51,'Council Entry'!S$9),'Council Entry'!S$8),'Council Entry'!S51)),IF('Council Entry'!S$4="Exponential",EXP(IF(AND(ISNUMBER('Council Entry'!S$8),ISNUMBER('Council Entry'!S$9)),MAX(MIN('Council Entry'!S51,'Council Entry'!S$9),'Council Entry'!S$8),'Council Entry'!S51)),IF(AND(ISNUMBER('Council Entry'!S$8),ISNUMBER('Council Entry'!S$9)),MAX(MIN('Council Entry'!S51,'Council Entry'!S$9),'Council Entry'!S$8),'Council Entry'!S51))))-'Council Entry'!S$5)/('Council Entry'!S$6-'Council Entry'!S$5)),1))),"No data"))</f>
        <v/>
      </c>
      <c r="T51" s="13">
        <f>IF('Council Entry'!T51="","",IFERROR(MAX(0,MIN(10,ROUND(IF('Council Entry'!T$7="Decrease Risk",10-10*((IF('Council Entry'!T$4="Logarithm",LN(0.001+IF(AND(ISNUMBER('Council Entry'!T$8),ISNUMBER('Council Entry'!T$9)),MAX(MIN('Council Entry'!T51,'Council Entry'!T$9),'Council Entry'!T$8),'Council Entry'!T51)),IF('Council Entry'!T$4="Exponential",EXP(IF(AND(ISNUMBER('Council Entry'!T$8),ISNUMBER('Council Entry'!T$9)),MAX(MIN('Council Entry'!T51,'Council Entry'!T$9),'Council Entry'!T$8),'Council Entry'!T51)),IF(AND(ISNUMBER('Council Entry'!T$8),ISNUMBER('Council Entry'!T$9)),MAX(MIN('Council Entry'!T51,'Council Entry'!T$9),'Council Entry'!T$8),'Council Entry'!T51))))-'Council Entry'!T$5)/('Council Entry'!T$6-'Council Entry'!T$5),10*((IF('Council Entry'!T$4="Logarithm",LN(0.001+IF(AND(ISNUMBER('Council Entry'!T$8),ISNUMBER('Council Entry'!T$9)),MAX(MIN('Council Entry'!T51,'Council Entry'!T$9),'Council Entry'!T$8),'Council Entry'!T51)),IF('Council Entry'!T$4="Exponential",EXP(IF(AND(ISNUMBER('Council Entry'!T$8),ISNUMBER('Council Entry'!T$9)),MAX(MIN('Council Entry'!T51,'Council Entry'!T$9),'Council Entry'!T$8),'Council Entry'!T51)),IF(AND(ISNUMBER('Council Entry'!T$8),ISNUMBER('Council Entry'!T$9)),MAX(MIN('Council Entry'!T51,'Council Entry'!T$9),'Council Entry'!T$8),'Council Entry'!T51))))-'Council Entry'!T$5)/('Council Entry'!T$6-'Council Entry'!T$5)),1))),"No data"))</f>
        <v/>
      </c>
      <c r="U51" s="13">
        <f>IF('Council Entry'!U51="","",IFERROR(MAX(0,MIN(10,ROUND(IF('Council Entry'!U$7="Decrease Risk",10-10*((IF('Council Entry'!U$4="Logarithm",LN(0.001+IF(AND(ISNUMBER('Council Entry'!U$8),ISNUMBER('Council Entry'!U$9)),MAX(MIN('Council Entry'!U51,'Council Entry'!U$9),'Council Entry'!U$8),'Council Entry'!U51)),IF('Council Entry'!U$4="Exponential",EXP(IF(AND(ISNUMBER('Council Entry'!U$8),ISNUMBER('Council Entry'!U$9)),MAX(MIN('Council Entry'!U51,'Council Entry'!U$9),'Council Entry'!U$8),'Council Entry'!U51)),IF(AND(ISNUMBER('Council Entry'!U$8),ISNUMBER('Council Entry'!U$9)),MAX(MIN('Council Entry'!U51,'Council Entry'!U$9),'Council Entry'!U$8),'Council Entry'!U51))))-'Council Entry'!U$5)/('Council Entry'!U$6-'Council Entry'!U$5),10*((IF('Council Entry'!U$4="Logarithm",LN(0.001+IF(AND(ISNUMBER('Council Entry'!U$8),ISNUMBER('Council Entry'!U$9)),MAX(MIN('Council Entry'!U51,'Council Entry'!U$9),'Council Entry'!U$8),'Council Entry'!U51)),IF('Council Entry'!U$4="Exponential",EXP(IF(AND(ISNUMBER('Council Entry'!U$8),ISNUMBER('Council Entry'!U$9)),MAX(MIN('Council Entry'!U51,'Council Entry'!U$9),'Council Entry'!U$8),'Council Entry'!U51)),IF(AND(ISNUMBER('Council Entry'!U$8),ISNUMBER('Council Entry'!U$9)),MAX(MIN('Council Entry'!U51,'Council Entry'!U$9),'Council Entry'!U$8),'Council Entry'!U51))))-'Council Entry'!U$5)/('Council Entry'!U$6-'Council Entry'!U$5)),1))),"No data"))</f>
        <v/>
      </c>
      <c r="V51" s="13">
        <f>IF('Council Entry'!V51="","",IFERROR(MAX(0,MIN(10,ROUND(IF('Council Entry'!V$7="Decrease Risk",10-10*((IF('Council Entry'!V$4="Logarithm",LN(0.001+IF(AND(ISNUMBER('Council Entry'!V$8),ISNUMBER('Council Entry'!V$9)),MAX(MIN('Council Entry'!V51,'Council Entry'!V$9),'Council Entry'!V$8),'Council Entry'!V51)),IF('Council Entry'!V$4="Exponential",EXP(IF(AND(ISNUMBER('Council Entry'!V$8),ISNUMBER('Council Entry'!V$9)),MAX(MIN('Council Entry'!V51,'Council Entry'!V$9),'Council Entry'!V$8),'Council Entry'!V51)),IF(AND(ISNUMBER('Council Entry'!V$8),ISNUMBER('Council Entry'!V$9)),MAX(MIN('Council Entry'!V51,'Council Entry'!V$9),'Council Entry'!V$8),'Council Entry'!V51))))-'Council Entry'!V$5)/('Council Entry'!V$6-'Council Entry'!V$5),10*((IF('Council Entry'!V$4="Logarithm",LN(0.001+IF(AND(ISNUMBER('Council Entry'!V$8),ISNUMBER('Council Entry'!V$9)),MAX(MIN('Council Entry'!V51,'Council Entry'!V$9),'Council Entry'!V$8),'Council Entry'!V51)),IF('Council Entry'!V$4="Exponential",EXP(IF(AND(ISNUMBER('Council Entry'!V$8),ISNUMBER('Council Entry'!V$9)),MAX(MIN('Council Entry'!V51,'Council Entry'!V$9),'Council Entry'!V$8),'Council Entry'!V51)),IF(AND(ISNUMBER('Council Entry'!V$8),ISNUMBER('Council Entry'!V$9)),MAX(MIN('Council Entry'!V51,'Council Entry'!V$9),'Council Entry'!V$8),'Council Entry'!V51))))-'Council Entry'!V$5)/('Council Entry'!V$6-'Council Entry'!V$5)),1))),"No data"))</f>
        <v/>
      </c>
      <c r="W51" s="13">
        <f>IF('Council Entry'!W51="","",IFERROR(MAX(0,MIN(10,ROUND(IF('Council Entry'!W$7="Decrease Risk",10-10*((IF('Council Entry'!W$4="Logarithm",LN(0.001+IF(AND(ISNUMBER('Council Entry'!W$8),ISNUMBER('Council Entry'!W$9)),MAX(MIN('Council Entry'!W51,'Council Entry'!W$9),'Council Entry'!W$8),'Council Entry'!W51)),IF('Council Entry'!W$4="Exponential",EXP(IF(AND(ISNUMBER('Council Entry'!W$8),ISNUMBER('Council Entry'!W$9)),MAX(MIN('Council Entry'!W51,'Council Entry'!W$9),'Council Entry'!W$8),'Council Entry'!W51)),IF(AND(ISNUMBER('Council Entry'!W$8),ISNUMBER('Council Entry'!W$9)),MAX(MIN('Council Entry'!W51,'Council Entry'!W$9),'Council Entry'!W$8),'Council Entry'!W51))))-'Council Entry'!W$5)/('Council Entry'!W$6-'Council Entry'!W$5),10*((IF('Council Entry'!W$4="Logarithm",LN(0.001+IF(AND(ISNUMBER('Council Entry'!W$8),ISNUMBER('Council Entry'!W$9)),MAX(MIN('Council Entry'!W51,'Council Entry'!W$9),'Council Entry'!W$8),'Council Entry'!W51)),IF('Council Entry'!W$4="Exponential",EXP(IF(AND(ISNUMBER('Council Entry'!W$8),ISNUMBER('Council Entry'!W$9)),MAX(MIN('Council Entry'!W51,'Council Entry'!W$9),'Council Entry'!W$8),'Council Entry'!W51)),IF(AND(ISNUMBER('Council Entry'!W$8),ISNUMBER('Council Entry'!W$9)),MAX(MIN('Council Entry'!W51,'Council Entry'!W$9),'Council Entry'!W$8),'Council Entry'!W51))))-'Council Entry'!W$5)/('Council Entry'!W$6-'Council Entry'!W$5)),1))),"No data"))</f>
        <v/>
      </c>
      <c r="X51" s="13">
        <f>IF('Council Entry'!X51="","",IFERROR(MAX(0,MIN(10,ROUND(IF('Council Entry'!X$7="Decrease Risk",10-10*((IF('Council Entry'!X$4="Logarithm",LN(0.001+IF(AND(ISNUMBER('Council Entry'!X$8),ISNUMBER('Council Entry'!X$9)),MAX(MIN('Council Entry'!X51,'Council Entry'!X$9),'Council Entry'!X$8),'Council Entry'!X51)),IF('Council Entry'!X$4="Exponential",EXP(IF(AND(ISNUMBER('Council Entry'!X$8),ISNUMBER('Council Entry'!X$9)),MAX(MIN('Council Entry'!X51,'Council Entry'!X$9),'Council Entry'!X$8),'Council Entry'!X51)),IF(AND(ISNUMBER('Council Entry'!X$8),ISNUMBER('Council Entry'!X$9)),MAX(MIN('Council Entry'!X51,'Council Entry'!X$9),'Council Entry'!X$8),'Council Entry'!X51))))-'Council Entry'!X$5)/('Council Entry'!X$6-'Council Entry'!X$5),10*((IF('Council Entry'!X$4="Logarithm",LN(0.001+IF(AND(ISNUMBER('Council Entry'!X$8),ISNUMBER('Council Entry'!X$9)),MAX(MIN('Council Entry'!X51,'Council Entry'!X$9),'Council Entry'!X$8),'Council Entry'!X51)),IF('Council Entry'!X$4="Exponential",EXP(IF(AND(ISNUMBER('Council Entry'!X$8),ISNUMBER('Council Entry'!X$9)),MAX(MIN('Council Entry'!X51,'Council Entry'!X$9),'Council Entry'!X$8),'Council Entry'!X51)),IF(AND(ISNUMBER('Council Entry'!X$8),ISNUMBER('Council Entry'!X$9)),MAX(MIN('Council Entry'!X51,'Council Entry'!X$9),'Council Entry'!X$8),'Council Entry'!X51))))-'Council Entry'!X$5)/('Council Entry'!X$6-'Council Entry'!X$5)),1))),"No data"))</f>
        <v/>
      </c>
      <c r="Y51" s="13">
        <f>IF('Council Entry'!Y51="","",IFERROR(MAX(0,MIN(10,ROUND(IF('Council Entry'!Y$7="Decrease Risk",10-10*((IF('Council Entry'!Y$4="Logarithm",LN(0.001+IF(AND(ISNUMBER('Council Entry'!Y$8),ISNUMBER('Council Entry'!Y$9)),MAX(MIN('Council Entry'!Y51,'Council Entry'!Y$9),'Council Entry'!Y$8),'Council Entry'!Y51)),IF('Council Entry'!Y$4="Exponential",EXP(IF(AND(ISNUMBER('Council Entry'!Y$8),ISNUMBER('Council Entry'!Y$9)),MAX(MIN('Council Entry'!Y51,'Council Entry'!Y$9),'Council Entry'!Y$8),'Council Entry'!Y51)),IF(AND(ISNUMBER('Council Entry'!Y$8),ISNUMBER('Council Entry'!Y$9)),MAX(MIN('Council Entry'!Y51,'Council Entry'!Y$9),'Council Entry'!Y$8),'Council Entry'!Y51))))-'Council Entry'!Y$5)/('Council Entry'!Y$6-'Council Entry'!Y$5),10*((IF('Council Entry'!Y$4="Logarithm",LN(0.001+IF(AND(ISNUMBER('Council Entry'!Y$8),ISNUMBER('Council Entry'!Y$9)),MAX(MIN('Council Entry'!Y51,'Council Entry'!Y$9),'Council Entry'!Y$8),'Council Entry'!Y51)),IF('Council Entry'!Y$4="Exponential",EXP(IF(AND(ISNUMBER('Council Entry'!Y$8),ISNUMBER('Council Entry'!Y$9)),MAX(MIN('Council Entry'!Y51,'Council Entry'!Y$9),'Council Entry'!Y$8),'Council Entry'!Y51)),IF(AND(ISNUMBER('Council Entry'!Y$8),ISNUMBER('Council Entry'!Y$9)),MAX(MIN('Council Entry'!Y51,'Council Entry'!Y$9),'Council Entry'!Y$8),'Council Entry'!Y51))))-'Council Entry'!Y$5)/('Council Entry'!Y$6-'Council Entry'!Y$5)),1))),"No data"))</f>
        <v/>
      </c>
      <c r="Z51" s="13">
        <f>IF('Council Entry'!Z51="","",IFERROR(MAX(0,MIN(10,ROUND(IF('Council Entry'!Z$7="Decrease Risk",10-10*((IF('Council Entry'!Z$4="Logarithm",LN(0.001+IF(AND(ISNUMBER('Council Entry'!Z$8),ISNUMBER('Council Entry'!Z$9)),MAX(MIN('Council Entry'!Z51,'Council Entry'!Z$9),'Council Entry'!Z$8),'Council Entry'!Z51)),IF('Council Entry'!Z$4="Exponential",EXP(IF(AND(ISNUMBER('Council Entry'!Z$8),ISNUMBER('Council Entry'!Z$9)),MAX(MIN('Council Entry'!Z51,'Council Entry'!Z$9),'Council Entry'!Z$8),'Council Entry'!Z51)),IF(AND(ISNUMBER('Council Entry'!Z$8),ISNUMBER('Council Entry'!Z$9)),MAX(MIN('Council Entry'!Z51,'Council Entry'!Z$9),'Council Entry'!Z$8),'Council Entry'!Z51))))-'Council Entry'!Z$5)/('Council Entry'!Z$6-'Council Entry'!Z$5),10*((IF('Council Entry'!Z$4="Logarithm",LN(0.001+IF(AND(ISNUMBER('Council Entry'!Z$8),ISNUMBER('Council Entry'!Z$9)),MAX(MIN('Council Entry'!Z51,'Council Entry'!Z$9),'Council Entry'!Z$8),'Council Entry'!Z51)),IF('Council Entry'!Z$4="Exponential",EXP(IF(AND(ISNUMBER('Council Entry'!Z$8),ISNUMBER('Council Entry'!Z$9)),MAX(MIN('Council Entry'!Z51,'Council Entry'!Z$9),'Council Entry'!Z$8),'Council Entry'!Z51)),IF(AND(ISNUMBER('Council Entry'!Z$8),ISNUMBER('Council Entry'!Z$9)),MAX(MIN('Council Entry'!Z51,'Council Entry'!Z$9),'Council Entry'!Z$8),'Council Entry'!Z51))))-'Council Entry'!Z$5)/('Council Entry'!Z$6-'Council Entry'!Z$5)),1))),"No data"))</f>
        <v/>
      </c>
      <c r="AA51" s="13">
        <f>IF('Council Entry'!AA51="","",IFERROR(MAX(0,MIN(10,ROUND(IF('Council Entry'!AA$7="Decrease Risk",10-10*((IF('Council Entry'!AA$4="Logarithm",LN(0.001+IF(AND(ISNUMBER('Council Entry'!AA$8),ISNUMBER('Council Entry'!AA$9)),MAX(MIN('Council Entry'!AA51,'Council Entry'!AA$9),'Council Entry'!AA$8),'Council Entry'!AA51)),IF('Council Entry'!AA$4="Exponential",EXP(IF(AND(ISNUMBER('Council Entry'!AA$8),ISNUMBER('Council Entry'!AA$9)),MAX(MIN('Council Entry'!AA51,'Council Entry'!AA$9),'Council Entry'!AA$8),'Council Entry'!AA51)),IF(AND(ISNUMBER('Council Entry'!AA$8),ISNUMBER('Council Entry'!AA$9)),MAX(MIN('Council Entry'!AA51,'Council Entry'!AA$9),'Council Entry'!AA$8),'Council Entry'!AA51))))-'Council Entry'!AA$5)/('Council Entry'!AA$6-'Council Entry'!AA$5),10*((IF('Council Entry'!AA$4="Logarithm",LN(0.001+IF(AND(ISNUMBER('Council Entry'!AA$8),ISNUMBER('Council Entry'!AA$9)),MAX(MIN('Council Entry'!AA51,'Council Entry'!AA$9),'Council Entry'!AA$8),'Council Entry'!AA51)),IF('Council Entry'!AA$4="Exponential",EXP(IF(AND(ISNUMBER('Council Entry'!AA$8),ISNUMBER('Council Entry'!AA$9)),MAX(MIN('Council Entry'!AA51,'Council Entry'!AA$9),'Council Entry'!AA$8),'Council Entry'!AA51)),IF(AND(ISNUMBER('Council Entry'!AA$8),ISNUMBER('Council Entry'!AA$9)),MAX(MIN('Council Entry'!AA51,'Council Entry'!AA$9),'Council Entry'!AA$8),'Council Entry'!AA51))))-'Council Entry'!AA$5)/('Council Entry'!AA$6-'Council Entry'!AA$5)),1))),"No data"))</f>
        <v/>
      </c>
      <c r="AB51" s="13">
        <f>IF('Council Entry'!AB51="","",IFERROR(MAX(0,MIN(10,ROUND(IF('Council Entry'!AB$7="Decrease Risk",10-10*((IF('Council Entry'!AB$4="Logarithm",LN(0.001+IF(AND(ISNUMBER('Council Entry'!AB$8),ISNUMBER('Council Entry'!AB$9)),MAX(MIN('Council Entry'!AB51,'Council Entry'!AB$9),'Council Entry'!AB$8),'Council Entry'!AB51)),IF('Council Entry'!AB$4="Exponential",EXP(IF(AND(ISNUMBER('Council Entry'!AB$8),ISNUMBER('Council Entry'!AB$9)),MAX(MIN('Council Entry'!AB51,'Council Entry'!AB$9),'Council Entry'!AB$8),'Council Entry'!AB51)),IF(AND(ISNUMBER('Council Entry'!AB$8),ISNUMBER('Council Entry'!AB$9)),MAX(MIN('Council Entry'!AB51,'Council Entry'!AB$9),'Council Entry'!AB$8),'Council Entry'!AB51))))-'Council Entry'!AB$5)/('Council Entry'!AB$6-'Council Entry'!AB$5),10*((IF('Council Entry'!AB$4="Logarithm",LN(0.001+IF(AND(ISNUMBER('Council Entry'!AB$8),ISNUMBER('Council Entry'!AB$9)),MAX(MIN('Council Entry'!AB51,'Council Entry'!AB$9),'Council Entry'!AB$8),'Council Entry'!AB51)),IF('Council Entry'!AB$4="Exponential",EXP(IF(AND(ISNUMBER('Council Entry'!AB$8),ISNUMBER('Council Entry'!AB$9)),MAX(MIN('Council Entry'!AB51,'Council Entry'!AB$9),'Council Entry'!AB$8),'Council Entry'!AB51)),IF(AND(ISNUMBER('Council Entry'!AB$8),ISNUMBER('Council Entry'!AB$9)),MAX(MIN('Council Entry'!AB51,'Council Entry'!AB$9),'Council Entry'!AB$8),'Council Entry'!AB51))))-'Council Entry'!AB$5)/('Council Entry'!AB$6-'Council Entry'!AB$5)),1))),"No data"))</f>
        <v/>
      </c>
      <c r="AC51" s="13">
        <f>IF('Council Entry'!AC51="","",IFERROR(MAX(0,MIN(10,ROUND(IF('Council Entry'!AC$7="Decrease Risk",10-10*((IF('Council Entry'!AC$4="Logarithm",LN(0.001+IF(AND(ISNUMBER('Council Entry'!AC$8),ISNUMBER('Council Entry'!AC$9)),MAX(MIN('Council Entry'!AC51,'Council Entry'!AC$9),'Council Entry'!AC$8),'Council Entry'!AC51)),IF('Council Entry'!AC$4="Exponential",EXP(IF(AND(ISNUMBER('Council Entry'!AC$8),ISNUMBER('Council Entry'!AC$9)),MAX(MIN('Council Entry'!AC51,'Council Entry'!AC$9),'Council Entry'!AC$8),'Council Entry'!AC51)),IF(AND(ISNUMBER('Council Entry'!AC$8),ISNUMBER('Council Entry'!AC$9)),MAX(MIN('Council Entry'!AC51,'Council Entry'!AC$9),'Council Entry'!AC$8),'Council Entry'!AC51))))-'Council Entry'!AC$5)/('Council Entry'!AC$6-'Council Entry'!AC$5),10*((IF('Council Entry'!AC$4="Logarithm",LN(0.001+IF(AND(ISNUMBER('Council Entry'!AC$8),ISNUMBER('Council Entry'!AC$9)),MAX(MIN('Council Entry'!AC51,'Council Entry'!AC$9),'Council Entry'!AC$8),'Council Entry'!AC51)),IF('Council Entry'!AC$4="Exponential",EXP(IF(AND(ISNUMBER('Council Entry'!AC$8),ISNUMBER('Council Entry'!AC$9)),MAX(MIN('Council Entry'!AC51,'Council Entry'!AC$9),'Council Entry'!AC$8),'Council Entry'!AC51)),IF(AND(ISNUMBER('Council Entry'!AC$8),ISNUMBER('Council Entry'!AC$9)),MAX(MIN('Council Entry'!AC51,'Council Entry'!AC$9),'Council Entry'!AC$8),'Council Entry'!AC51))))-'Council Entry'!AC$5)/('Council Entry'!AC$6-'Council Entry'!AC$5)),1))),"No data"))</f>
        <v/>
      </c>
      <c r="AD51" s="13">
        <f>IF('Council Entry'!AD51="","",IFERROR(MAX(0,MIN(10,ROUND(IF('Council Entry'!AD$7="Decrease Risk",10-10*((IF('Council Entry'!AD$4="Logarithm",LN(0.001+IF(AND(ISNUMBER('Council Entry'!AD$8),ISNUMBER('Council Entry'!AD$9)),MAX(MIN('Council Entry'!AD51,'Council Entry'!AD$9),'Council Entry'!AD$8),'Council Entry'!AD51)),IF('Council Entry'!AD$4="Exponential",EXP(IF(AND(ISNUMBER('Council Entry'!AD$8),ISNUMBER('Council Entry'!AD$9)),MAX(MIN('Council Entry'!AD51,'Council Entry'!AD$9),'Council Entry'!AD$8),'Council Entry'!AD51)),IF(AND(ISNUMBER('Council Entry'!AD$8),ISNUMBER('Council Entry'!AD$9)),MAX(MIN('Council Entry'!AD51,'Council Entry'!AD$9),'Council Entry'!AD$8),'Council Entry'!AD51))))-'Council Entry'!AD$5)/('Council Entry'!AD$6-'Council Entry'!AD$5),10*((IF('Council Entry'!AD$4="Logarithm",LN(0.001+IF(AND(ISNUMBER('Council Entry'!AD$8),ISNUMBER('Council Entry'!AD$9)),MAX(MIN('Council Entry'!AD51,'Council Entry'!AD$9),'Council Entry'!AD$8),'Council Entry'!AD51)),IF('Council Entry'!AD$4="Exponential",EXP(IF(AND(ISNUMBER('Council Entry'!AD$8),ISNUMBER('Council Entry'!AD$9)),MAX(MIN('Council Entry'!AD51,'Council Entry'!AD$9),'Council Entry'!AD$8),'Council Entry'!AD51)),IF(AND(ISNUMBER('Council Entry'!AD$8),ISNUMBER('Council Entry'!AD$9)),MAX(MIN('Council Entry'!AD51,'Council Entry'!AD$9),'Council Entry'!AD$8),'Council Entry'!AD51))))-'Council Entry'!AD$5)/('Council Entry'!AD$6-'Council Entry'!AD$5)),1))),"No data"))</f>
        <v/>
      </c>
      <c r="AE51" s="13">
        <f>IF('Council Entry'!AE51="","",IFERROR(MAX(0,MIN(10,ROUND(IF('Council Entry'!AE$7="Decrease Risk",10-10*((IF('Council Entry'!AE$4="Logarithm",LN(0.001+IF(AND(ISNUMBER('Council Entry'!AE$8),ISNUMBER('Council Entry'!AE$9)),MAX(MIN('Council Entry'!AE51,'Council Entry'!AE$9),'Council Entry'!AE$8),'Council Entry'!AE51)),IF('Council Entry'!AE$4="Exponential",EXP(IF(AND(ISNUMBER('Council Entry'!AE$8),ISNUMBER('Council Entry'!AE$9)),MAX(MIN('Council Entry'!AE51,'Council Entry'!AE$9),'Council Entry'!AE$8),'Council Entry'!AE51)),IF(AND(ISNUMBER('Council Entry'!AE$8),ISNUMBER('Council Entry'!AE$9)),MAX(MIN('Council Entry'!AE51,'Council Entry'!AE$9),'Council Entry'!AE$8),'Council Entry'!AE51))))-'Council Entry'!AE$5)/('Council Entry'!AE$6-'Council Entry'!AE$5),10*((IF('Council Entry'!AE$4="Logarithm",LN(0.001+IF(AND(ISNUMBER('Council Entry'!AE$8),ISNUMBER('Council Entry'!AE$9)),MAX(MIN('Council Entry'!AE51,'Council Entry'!AE$9),'Council Entry'!AE$8),'Council Entry'!AE51)),IF('Council Entry'!AE$4="Exponential",EXP(IF(AND(ISNUMBER('Council Entry'!AE$8),ISNUMBER('Council Entry'!AE$9)),MAX(MIN('Council Entry'!AE51,'Council Entry'!AE$9),'Council Entry'!AE$8),'Council Entry'!AE51)),IF(AND(ISNUMBER('Council Entry'!AE$8),ISNUMBER('Council Entry'!AE$9)),MAX(MIN('Council Entry'!AE51,'Council Entry'!AE$9),'Council Entry'!AE$8),'Council Entry'!AE51))))-'Council Entry'!AE$5)/('Council Entry'!AE$6-'Council Entry'!AE$5)),1))),"No data"))</f>
        <v/>
      </c>
      <c r="AF51" s="13">
        <f>IF('Council Entry'!AF51="","",IFERROR(MAX(0,MIN(10,ROUND(IF('Council Entry'!AF$7="Decrease Risk",10-10*((IF('Council Entry'!AF$4="Logarithm",LN(0.001+IF(AND(ISNUMBER('Council Entry'!AF$8),ISNUMBER('Council Entry'!AF$9)),MAX(MIN('Council Entry'!AF51,'Council Entry'!AF$9),'Council Entry'!AF$8),'Council Entry'!AF51)),IF('Council Entry'!AF$4="Exponential",EXP(IF(AND(ISNUMBER('Council Entry'!AF$8),ISNUMBER('Council Entry'!AF$9)),MAX(MIN('Council Entry'!AF51,'Council Entry'!AF$9),'Council Entry'!AF$8),'Council Entry'!AF51)),IF(AND(ISNUMBER('Council Entry'!AF$8),ISNUMBER('Council Entry'!AF$9)),MAX(MIN('Council Entry'!AF51,'Council Entry'!AF$9),'Council Entry'!AF$8),'Council Entry'!AF51))))-'Council Entry'!AF$5)/('Council Entry'!AF$6-'Council Entry'!AF$5),10*((IF('Council Entry'!AF$4="Logarithm",LN(0.001+IF(AND(ISNUMBER('Council Entry'!AF$8),ISNUMBER('Council Entry'!AF$9)),MAX(MIN('Council Entry'!AF51,'Council Entry'!AF$9),'Council Entry'!AF$8),'Council Entry'!AF51)),IF('Council Entry'!AF$4="Exponential",EXP(IF(AND(ISNUMBER('Council Entry'!AF$8),ISNUMBER('Council Entry'!AF$9)),MAX(MIN('Council Entry'!AF51,'Council Entry'!AF$9),'Council Entry'!AF$8),'Council Entry'!AF51)),IF(AND(ISNUMBER('Council Entry'!AF$8),ISNUMBER('Council Entry'!AF$9)),MAX(MIN('Council Entry'!AF51,'Council Entry'!AF$9),'Council Entry'!AF$8),'Council Entry'!AF51))))-'Council Entry'!AF$5)/('Council Entry'!AF$6-'Council Entry'!AF$5)),1))),"No data"))</f>
        <v/>
      </c>
      <c r="AG51" s="13">
        <f>IF('Council Entry'!AG51="","",IFERROR(MAX(0,MIN(10,ROUND(IF('Council Entry'!AG$7="Decrease Risk",10-10*((IF('Council Entry'!AG$4="Logarithm",LN(0.001+IF(AND(ISNUMBER('Council Entry'!AG$8),ISNUMBER('Council Entry'!AG$9)),MAX(MIN('Council Entry'!AG51,'Council Entry'!AG$9),'Council Entry'!AG$8),'Council Entry'!AG51)),IF('Council Entry'!AG$4="Exponential",EXP(IF(AND(ISNUMBER('Council Entry'!AG$8),ISNUMBER('Council Entry'!AG$9)),MAX(MIN('Council Entry'!AG51,'Council Entry'!AG$9),'Council Entry'!AG$8),'Council Entry'!AG51)),IF(AND(ISNUMBER('Council Entry'!AG$8),ISNUMBER('Council Entry'!AG$9)),MAX(MIN('Council Entry'!AG51,'Council Entry'!AG$9),'Council Entry'!AG$8),'Council Entry'!AG51))))-'Council Entry'!AG$5)/('Council Entry'!AG$6-'Council Entry'!AG$5),10*((IF('Council Entry'!AG$4="Logarithm",LN(0.001+IF(AND(ISNUMBER('Council Entry'!AG$8),ISNUMBER('Council Entry'!AG$9)),MAX(MIN('Council Entry'!AG51,'Council Entry'!AG$9),'Council Entry'!AG$8),'Council Entry'!AG51)),IF('Council Entry'!AG$4="Exponential",EXP(IF(AND(ISNUMBER('Council Entry'!AG$8),ISNUMBER('Council Entry'!AG$9)),MAX(MIN('Council Entry'!AG51,'Council Entry'!AG$9),'Council Entry'!AG$8),'Council Entry'!AG51)),IF(AND(ISNUMBER('Council Entry'!AG$8),ISNUMBER('Council Entry'!AG$9)),MAX(MIN('Council Entry'!AG51,'Council Entry'!AG$9),'Council Entry'!AG$8),'Council Entry'!AG51))))-'Council Entry'!AG$5)/('Council Entry'!AG$6-'Council Entry'!AG$5)),1))),"No data"))</f>
        <v/>
      </c>
      <c r="AH51" s="13">
        <f>IF('Council Entry'!AH51="","",IFERROR(MAX(0,MIN(10,ROUND(IF('Council Entry'!AH$7="Decrease Risk",10-10*((IF('Council Entry'!AH$4="Logarithm",LN(0.001+IF(AND(ISNUMBER('Council Entry'!AH$8),ISNUMBER('Council Entry'!AH$9)),MAX(MIN('Council Entry'!AH51,'Council Entry'!AH$9),'Council Entry'!AH$8),'Council Entry'!AH51)),IF('Council Entry'!AH$4="Exponential",EXP(IF(AND(ISNUMBER('Council Entry'!AH$8),ISNUMBER('Council Entry'!AH$9)),MAX(MIN('Council Entry'!AH51,'Council Entry'!AH$9),'Council Entry'!AH$8),'Council Entry'!AH51)),IF(AND(ISNUMBER('Council Entry'!AH$8),ISNUMBER('Council Entry'!AH$9)),MAX(MIN('Council Entry'!AH51,'Council Entry'!AH$9),'Council Entry'!AH$8),'Council Entry'!AH51))))-'Council Entry'!AH$5)/('Council Entry'!AH$6-'Council Entry'!AH$5),10*((IF('Council Entry'!AH$4="Logarithm",LN(0.001+IF(AND(ISNUMBER('Council Entry'!AH$8),ISNUMBER('Council Entry'!AH$9)),MAX(MIN('Council Entry'!AH51,'Council Entry'!AH$9),'Council Entry'!AH$8),'Council Entry'!AH51)),IF('Council Entry'!AH$4="Exponential",EXP(IF(AND(ISNUMBER('Council Entry'!AH$8),ISNUMBER('Council Entry'!AH$9)),MAX(MIN('Council Entry'!AH51,'Council Entry'!AH$9),'Council Entry'!AH$8),'Council Entry'!AH51)),IF(AND(ISNUMBER('Council Entry'!AH$8),ISNUMBER('Council Entry'!AH$9)),MAX(MIN('Council Entry'!AH51,'Council Entry'!AH$9),'Council Entry'!AH$8),'Council Entry'!AH51))))-'Council Entry'!AH$5)/('Council Entry'!AH$6-'Council Entry'!AH$5)),1))),"No data"))</f>
        <v/>
      </c>
      <c r="AI51" s="13">
        <f>IF('Council Entry'!AI51="","",IFERROR(MAX(0,MIN(10,ROUND(IF('Council Entry'!AI$7="Decrease Risk",10-10*((IF('Council Entry'!AI$4="Logarithm",LN(0.001+IF(AND(ISNUMBER('Council Entry'!AI$8),ISNUMBER('Council Entry'!AI$9)),MAX(MIN('Council Entry'!AI51,'Council Entry'!AI$9),'Council Entry'!AI$8),'Council Entry'!AI51)),IF('Council Entry'!AI$4="Exponential",EXP(IF(AND(ISNUMBER('Council Entry'!AI$8),ISNUMBER('Council Entry'!AI$9)),MAX(MIN('Council Entry'!AI51,'Council Entry'!AI$9),'Council Entry'!AI$8),'Council Entry'!AI51)),IF(AND(ISNUMBER('Council Entry'!AI$8),ISNUMBER('Council Entry'!AI$9)),MAX(MIN('Council Entry'!AI51,'Council Entry'!AI$9),'Council Entry'!AI$8),'Council Entry'!AI51))))-'Council Entry'!AI$5)/('Council Entry'!AI$6-'Council Entry'!AI$5),10*((IF('Council Entry'!AI$4="Logarithm",LN(0.001+IF(AND(ISNUMBER('Council Entry'!AI$8),ISNUMBER('Council Entry'!AI$9)),MAX(MIN('Council Entry'!AI51,'Council Entry'!AI$9),'Council Entry'!AI$8),'Council Entry'!AI51)),IF('Council Entry'!AI$4="Exponential",EXP(IF(AND(ISNUMBER('Council Entry'!AI$8),ISNUMBER('Council Entry'!AI$9)),MAX(MIN('Council Entry'!AI51,'Council Entry'!AI$9),'Council Entry'!AI$8),'Council Entry'!AI51)),IF(AND(ISNUMBER('Council Entry'!AI$8),ISNUMBER('Council Entry'!AI$9)),MAX(MIN('Council Entry'!AI51,'Council Entry'!AI$9),'Council Entry'!AI$8),'Council Entry'!AI51))))-'Council Entry'!AI$5)/('Council Entry'!AI$6-'Council Entry'!AI$5)),1))),"No data"))</f>
        <v/>
      </c>
      <c r="AJ51" s="13">
        <f>IF('Council Entry'!AJ51="","",IFERROR(MAX(0,MIN(10,ROUND(IF('Council Entry'!AJ$7="Decrease Risk",10-10*((IF('Council Entry'!AJ$4="Logarithm",LN(0.001+IF(AND(ISNUMBER('Council Entry'!AJ$8),ISNUMBER('Council Entry'!AJ$9)),MAX(MIN('Council Entry'!AJ51,'Council Entry'!AJ$9),'Council Entry'!AJ$8),'Council Entry'!AJ51)),IF('Council Entry'!AJ$4="Exponential",EXP(IF(AND(ISNUMBER('Council Entry'!AJ$8),ISNUMBER('Council Entry'!AJ$9)),MAX(MIN('Council Entry'!AJ51,'Council Entry'!AJ$9),'Council Entry'!AJ$8),'Council Entry'!AJ51)),IF(AND(ISNUMBER('Council Entry'!AJ$8),ISNUMBER('Council Entry'!AJ$9)),MAX(MIN('Council Entry'!AJ51,'Council Entry'!AJ$9),'Council Entry'!AJ$8),'Council Entry'!AJ51))))-'Council Entry'!AJ$5)/('Council Entry'!AJ$6-'Council Entry'!AJ$5),10*((IF('Council Entry'!AJ$4="Logarithm",LN(0.001+IF(AND(ISNUMBER('Council Entry'!AJ$8),ISNUMBER('Council Entry'!AJ$9)),MAX(MIN('Council Entry'!AJ51,'Council Entry'!AJ$9),'Council Entry'!AJ$8),'Council Entry'!AJ51)),IF('Council Entry'!AJ$4="Exponential",EXP(IF(AND(ISNUMBER('Council Entry'!AJ$8),ISNUMBER('Council Entry'!AJ$9)),MAX(MIN('Council Entry'!AJ51,'Council Entry'!AJ$9),'Council Entry'!AJ$8),'Council Entry'!AJ51)),IF(AND(ISNUMBER('Council Entry'!AJ$8),ISNUMBER('Council Entry'!AJ$9)),MAX(MIN('Council Entry'!AJ51,'Council Entry'!AJ$9),'Council Entry'!AJ$8),'Council Entry'!AJ51))))-'Council Entry'!AJ$5)/('Council Entry'!AJ$6-'Council Entry'!AJ$5)),1))),"No data"))</f>
        <v/>
      </c>
      <c r="AK51" s="13">
        <f>IF('Council Entry'!AK51="","",IFERROR(MAX(0,MIN(10,ROUND(IF('Council Entry'!AK$7="Decrease Risk",10-10*((IF('Council Entry'!AK$4="Logarithm",LN(0.001+IF(AND(ISNUMBER('Council Entry'!AK$8),ISNUMBER('Council Entry'!AK$9)),MAX(MIN('Council Entry'!AK51,'Council Entry'!AK$9),'Council Entry'!AK$8),'Council Entry'!AK51)),IF('Council Entry'!AK$4="Exponential",EXP(IF(AND(ISNUMBER('Council Entry'!AK$8),ISNUMBER('Council Entry'!AK$9)),MAX(MIN('Council Entry'!AK51,'Council Entry'!AK$9),'Council Entry'!AK$8),'Council Entry'!AK51)),IF(AND(ISNUMBER('Council Entry'!AK$8),ISNUMBER('Council Entry'!AK$9)),MAX(MIN('Council Entry'!AK51,'Council Entry'!AK$9),'Council Entry'!AK$8),'Council Entry'!AK51))))-'Council Entry'!AK$5)/('Council Entry'!AK$6-'Council Entry'!AK$5),10*((IF('Council Entry'!AK$4="Logarithm",LN(0.001+IF(AND(ISNUMBER('Council Entry'!AK$8),ISNUMBER('Council Entry'!AK$9)),MAX(MIN('Council Entry'!AK51,'Council Entry'!AK$9),'Council Entry'!AK$8),'Council Entry'!AK51)),IF('Council Entry'!AK$4="Exponential",EXP(IF(AND(ISNUMBER('Council Entry'!AK$8),ISNUMBER('Council Entry'!AK$9)),MAX(MIN('Council Entry'!AK51,'Council Entry'!AK$9),'Council Entry'!AK$8),'Council Entry'!AK51)),IF(AND(ISNUMBER('Council Entry'!AK$8),ISNUMBER('Council Entry'!AK$9)),MAX(MIN('Council Entry'!AK51,'Council Entry'!AK$9),'Council Entry'!AK$8),'Council Entry'!AK51))))-'Council Entry'!AK$5)/('Council Entry'!AK$6-'Council Entry'!AK$5)),1))),"No data"))</f>
        <v/>
      </c>
      <c r="AL51" s="13">
        <f>IF('Council Entry'!AL51="","",IFERROR(MAX(0,MIN(10,ROUND(IF('Council Entry'!AL$7="Decrease Risk",10-10*((IF('Council Entry'!AL$4="Logarithm",LN(0.001+IF(AND(ISNUMBER('Council Entry'!AL$8),ISNUMBER('Council Entry'!AL$9)),MAX(MIN('Council Entry'!AL51,'Council Entry'!AL$9),'Council Entry'!AL$8),'Council Entry'!AL51)),IF('Council Entry'!AL$4="Exponential",EXP(IF(AND(ISNUMBER('Council Entry'!AL$8),ISNUMBER('Council Entry'!AL$9)),MAX(MIN('Council Entry'!AL51,'Council Entry'!AL$9),'Council Entry'!AL$8),'Council Entry'!AL51)),IF(AND(ISNUMBER('Council Entry'!AL$8),ISNUMBER('Council Entry'!AL$9)),MAX(MIN('Council Entry'!AL51,'Council Entry'!AL$9),'Council Entry'!AL$8),'Council Entry'!AL51))))-'Council Entry'!AL$5)/('Council Entry'!AL$6-'Council Entry'!AL$5),10*((IF('Council Entry'!AL$4="Logarithm",LN(0.001+IF(AND(ISNUMBER('Council Entry'!AL$8),ISNUMBER('Council Entry'!AL$9)),MAX(MIN('Council Entry'!AL51,'Council Entry'!AL$9),'Council Entry'!AL$8),'Council Entry'!AL51)),IF('Council Entry'!AL$4="Exponential",EXP(IF(AND(ISNUMBER('Council Entry'!AL$8),ISNUMBER('Council Entry'!AL$9)),MAX(MIN('Council Entry'!AL51,'Council Entry'!AL$9),'Council Entry'!AL$8),'Council Entry'!AL51)),IF(AND(ISNUMBER('Council Entry'!AL$8),ISNUMBER('Council Entry'!AL$9)),MAX(MIN('Council Entry'!AL51,'Council Entry'!AL$9),'Council Entry'!AL$8),'Council Entry'!AL51))))-'Council Entry'!AL$5)/('Council Entry'!AL$6-'Council Entry'!AL$5)),1))),"No data"))</f>
        <v/>
      </c>
      <c r="AM51" s="13">
        <f>IF('Council Entry'!AM51="","",IFERROR(MAX(0,MIN(10,ROUND(IF('Council Entry'!AM$7="Decrease Risk",10-10*((IF('Council Entry'!AM$4="Logarithm",LN(0.001+IF(AND(ISNUMBER('Council Entry'!AM$8),ISNUMBER('Council Entry'!AM$9)),MAX(MIN('Council Entry'!AM51,'Council Entry'!AM$9),'Council Entry'!AM$8),'Council Entry'!AM51)),IF('Council Entry'!AM$4="Exponential",EXP(IF(AND(ISNUMBER('Council Entry'!AM$8),ISNUMBER('Council Entry'!AM$9)),MAX(MIN('Council Entry'!AM51,'Council Entry'!AM$9),'Council Entry'!AM$8),'Council Entry'!AM51)),IF(AND(ISNUMBER('Council Entry'!AM$8),ISNUMBER('Council Entry'!AM$9)),MAX(MIN('Council Entry'!AM51,'Council Entry'!AM$9),'Council Entry'!AM$8),'Council Entry'!AM51))))-'Council Entry'!AM$5)/('Council Entry'!AM$6-'Council Entry'!AM$5),10*((IF('Council Entry'!AM$4="Logarithm",LN(0.001+IF(AND(ISNUMBER('Council Entry'!AM$8),ISNUMBER('Council Entry'!AM$9)),MAX(MIN('Council Entry'!AM51,'Council Entry'!AM$9),'Council Entry'!AM$8),'Council Entry'!AM51)),IF('Council Entry'!AM$4="Exponential",EXP(IF(AND(ISNUMBER('Council Entry'!AM$8),ISNUMBER('Council Entry'!AM$9)),MAX(MIN('Council Entry'!AM51,'Council Entry'!AM$9),'Council Entry'!AM$8),'Council Entry'!AM51)),IF(AND(ISNUMBER('Council Entry'!AM$8),ISNUMBER('Council Entry'!AM$9)),MAX(MIN('Council Entry'!AM51,'Council Entry'!AM$9),'Council Entry'!AM$8),'Council Entry'!AM51))))-'Council Entry'!AM$5)/('Council Entry'!AM$6-'Council Entry'!AM$5)),1))),"No data"))</f>
        <v/>
      </c>
      <c r="AN51" s="13">
        <f>IF('Council Entry'!AN51="","",IFERROR(MAX(0,MIN(10,ROUND(IF('Council Entry'!AN$7="Decrease Risk",10-10*((IF('Council Entry'!AN$4="Logarithm",LN(0.001+IF(AND(ISNUMBER('Council Entry'!AN$8),ISNUMBER('Council Entry'!AN$9)),MAX(MIN('Council Entry'!AN51,'Council Entry'!AN$9),'Council Entry'!AN$8),'Council Entry'!AN51)),IF('Council Entry'!AN$4="Exponential",EXP(IF(AND(ISNUMBER('Council Entry'!AN$8),ISNUMBER('Council Entry'!AN$9)),MAX(MIN('Council Entry'!AN51,'Council Entry'!AN$9),'Council Entry'!AN$8),'Council Entry'!AN51)),IF(AND(ISNUMBER('Council Entry'!AN$8),ISNUMBER('Council Entry'!AN$9)),MAX(MIN('Council Entry'!AN51,'Council Entry'!AN$9),'Council Entry'!AN$8),'Council Entry'!AN51))))-'Council Entry'!AN$5)/('Council Entry'!AN$6-'Council Entry'!AN$5),10*((IF('Council Entry'!AN$4="Logarithm",LN(0.001+IF(AND(ISNUMBER('Council Entry'!AN$8),ISNUMBER('Council Entry'!AN$9)),MAX(MIN('Council Entry'!AN51,'Council Entry'!AN$9),'Council Entry'!AN$8),'Council Entry'!AN51)),IF('Council Entry'!AN$4="Exponential",EXP(IF(AND(ISNUMBER('Council Entry'!AN$8),ISNUMBER('Council Entry'!AN$9)),MAX(MIN('Council Entry'!AN51,'Council Entry'!AN$9),'Council Entry'!AN$8),'Council Entry'!AN51)),IF(AND(ISNUMBER('Council Entry'!AN$8),ISNUMBER('Council Entry'!AN$9)),MAX(MIN('Council Entry'!AN51,'Council Entry'!AN$9),'Council Entry'!AN$8),'Council Entry'!AN51))))-'Council Entry'!AN$5)/('Council Entry'!AN$6-'Council Entry'!AN$5)),1))),"No data"))</f>
        <v/>
      </c>
      <c r="AO51" s="13">
        <f>IF('Council Entry'!AO51="","",IFERROR(MAX(0,MIN(10,ROUND(IF('Council Entry'!AO$7="Decrease Risk",10-10*((IF('Council Entry'!AO$4="Logarithm",LN(0.001+IF(AND(ISNUMBER('Council Entry'!AO$8),ISNUMBER('Council Entry'!AO$9)),MAX(MIN('Council Entry'!AO51,'Council Entry'!AO$9),'Council Entry'!AO$8),'Council Entry'!AO51)),IF('Council Entry'!AO$4="Exponential",EXP(IF(AND(ISNUMBER('Council Entry'!AO$8),ISNUMBER('Council Entry'!AO$9)),MAX(MIN('Council Entry'!AO51,'Council Entry'!AO$9),'Council Entry'!AO$8),'Council Entry'!AO51)),IF(AND(ISNUMBER('Council Entry'!AO$8),ISNUMBER('Council Entry'!AO$9)),MAX(MIN('Council Entry'!AO51,'Council Entry'!AO$9),'Council Entry'!AO$8),'Council Entry'!AO51))))-'Council Entry'!AO$5)/('Council Entry'!AO$6-'Council Entry'!AO$5),10*((IF('Council Entry'!AO$4="Logarithm",LN(0.001+IF(AND(ISNUMBER('Council Entry'!AO$8),ISNUMBER('Council Entry'!AO$9)),MAX(MIN('Council Entry'!AO51,'Council Entry'!AO$9),'Council Entry'!AO$8),'Council Entry'!AO51)),IF('Council Entry'!AO$4="Exponential",EXP(IF(AND(ISNUMBER('Council Entry'!AO$8),ISNUMBER('Council Entry'!AO$9)),MAX(MIN('Council Entry'!AO51,'Council Entry'!AO$9),'Council Entry'!AO$8),'Council Entry'!AO51)),IF(AND(ISNUMBER('Council Entry'!AO$8),ISNUMBER('Council Entry'!AO$9)),MAX(MIN('Council Entry'!AO51,'Council Entry'!AO$9),'Council Entry'!AO$8),'Council Entry'!AO51))))-'Council Entry'!AO$5)/('Council Entry'!AO$6-'Council Entry'!AO$5)),1))),"No data"))</f>
        <v/>
      </c>
      <c r="AP51" s="13">
        <f>IF('Council Entry'!AP51="","",IFERROR(MAX(0,MIN(10,ROUND(IF('Council Entry'!AP$7="Decrease Risk",10-10*((IF('Council Entry'!AP$4="Logarithm",LN(0.001+IF(AND(ISNUMBER('Council Entry'!AP$8),ISNUMBER('Council Entry'!AP$9)),MAX(MIN('Council Entry'!AP51,'Council Entry'!AP$9),'Council Entry'!AP$8),'Council Entry'!AP51)),IF('Council Entry'!AP$4="Exponential",EXP(IF(AND(ISNUMBER('Council Entry'!AP$8),ISNUMBER('Council Entry'!AP$9)),MAX(MIN('Council Entry'!AP51,'Council Entry'!AP$9),'Council Entry'!AP$8),'Council Entry'!AP51)),IF(AND(ISNUMBER('Council Entry'!AP$8),ISNUMBER('Council Entry'!AP$9)),MAX(MIN('Council Entry'!AP51,'Council Entry'!AP$9),'Council Entry'!AP$8),'Council Entry'!AP51))))-'Council Entry'!AP$5)/('Council Entry'!AP$6-'Council Entry'!AP$5),10*((IF('Council Entry'!AP$4="Logarithm",LN(0.001+IF(AND(ISNUMBER('Council Entry'!AP$8),ISNUMBER('Council Entry'!AP$9)),MAX(MIN('Council Entry'!AP51,'Council Entry'!AP$9),'Council Entry'!AP$8),'Council Entry'!AP51)),IF('Council Entry'!AP$4="Exponential",EXP(IF(AND(ISNUMBER('Council Entry'!AP$8),ISNUMBER('Council Entry'!AP$9)),MAX(MIN('Council Entry'!AP51,'Council Entry'!AP$9),'Council Entry'!AP$8),'Council Entry'!AP51)),IF(AND(ISNUMBER('Council Entry'!AP$8),ISNUMBER('Council Entry'!AP$9)),MAX(MIN('Council Entry'!AP51,'Council Entry'!AP$9),'Council Entry'!AP$8),'Council Entry'!AP51))))-'Council Entry'!AP$5)/('Council Entry'!AP$6-'Council Entry'!AP$5)),1))),"No data"))</f>
        <v/>
      </c>
      <c r="AQ51" s="13">
        <f>IF('Council Entry'!AQ51="","",IFERROR(MAX(0,MIN(10,ROUND(IF('Council Entry'!AQ$7="Decrease Risk",10-10*((IF('Council Entry'!AQ$4="Logarithm",LN(0.001+IF(AND(ISNUMBER('Council Entry'!AQ$8),ISNUMBER('Council Entry'!AQ$9)),MAX(MIN('Council Entry'!AQ51,'Council Entry'!AQ$9),'Council Entry'!AQ$8),'Council Entry'!AQ51)),IF('Council Entry'!AQ$4="Exponential",EXP(IF(AND(ISNUMBER('Council Entry'!AQ$8),ISNUMBER('Council Entry'!AQ$9)),MAX(MIN('Council Entry'!AQ51,'Council Entry'!AQ$9),'Council Entry'!AQ$8),'Council Entry'!AQ51)),IF(AND(ISNUMBER('Council Entry'!AQ$8),ISNUMBER('Council Entry'!AQ$9)),MAX(MIN('Council Entry'!AQ51,'Council Entry'!AQ$9),'Council Entry'!AQ$8),'Council Entry'!AQ51))))-'Council Entry'!AQ$5)/('Council Entry'!AQ$6-'Council Entry'!AQ$5),10*((IF('Council Entry'!AQ$4="Logarithm",LN(0.001+IF(AND(ISNUMBER('Council Entry'!AQ$8),ISNUMBER('Council Entry'!AQ$9)),MAX(MIN('Council Entry'!AQ51,'Council Entry'!AQ$9),'Council Entry'!AQ$8),'Council Entry'!AQ51)),IF('Council Entry'!AQ$4="Exponential",EXP(IF(AND(ISNUMBER('Council Entry'!AQ$8),ISNUMBER('Council Entry'!AQ$9)),MAX(MIN('Council Entry'!AQ51,'Council Entry'!AQ$9),'Council Entry'!AQ$8),'Council Entry'!AQ51)),IF(AND(ISNUMBER('Council Entry'!AQ$8),ISNUMBER('Council Entry'!AQ$9)),MAX(MIN('Council Entry'!AQ51,'Council Entry'!AQ$9),'Council Entry'!AQ$8),'Council Entry'!AQ51))))-'Council Entry'!AQ$5)/('Council Entry'!AQ$6-'Council Entry'!AQ$5)),1))),"No data"))</f>
        <v/>
      </c>
      <c r="AR51" s="13">
        <f>IF('Council Entry'!AR51="","",IFERROR(MAX(0,MIN(10,ROUND(IF('Council Entry'!AR$7="Decrease Risk",10-10*((IF('Council Entry'!AR$4="Logarithm",LN(0.001+IF(AND(ISNUMBER('Council Entry'!AR$8),ISNUMBER('Council Entry'!AR$9)),MAX(MIN('Council Entry'!AR51,'Council Entry'!AR$9),'Council Entry'!AR$8),'Council Entry'!AR51)),IF('Council Entry'!AR$4="Exponential",EXP(IF(AND(ISNUMBER('Council Entry'!AR$8),ISNUMBER('Council Entry'!AR$9)),MAX(MIN('Council Entry'!AR51,'Council Entry'!AR$9),'Council Entry'!AR$8),'Council Entry'!AR51)),IF(AND(ISNUMBER('Council Entry'!AR$8),ISNUMBER('Council Entry'!AR$9)),MAX(MIN('Council Entry'!AR51,'Council Entry'!AR$9),'Council Entry'!AR$8),'Council Entry'!AR51))))-'Council Entry'!AR$5)/('Council Entry'!AR$6-'Council Entry'!AR$5),10*((IF('Council Entry'!AR$4="Logarithm",LN(0.001+IF(AND(ISNUMBER('Council Entry'!AR$8),ISNUMBER('Council Entry'!AR$9)),MAX(MIN('Council Entry'!AR51,'Council Entry'!AR$9),'Council Entry'!AR$8),'Council Entry'!AR51)),IF('Council Entry'!AR$4="Exponential",EXP(IF(AND(ISNUMBER('Council Entry'!AR$8),ISNUMBER('Council Entry'!AR$9)),MAX(MIN('Council Entry'!AR51,'Council Entry'!AR$9),'Council Entry'!AR$8),'Council Entry'!AR51)),IF(AND(ISNUMBER('Council Entry'!AR$8),ISNUMBER('Council Entry'!AR$9)),MAX(MIN('Council Entry'!AR51,'Council Entry'!AR$9),'Council Entry'!AR$8),'Council Entry'!AR51))))-'Council Entry'!AR$5)/('Council Entry'!AR$6-'Council Entry'!AR$5)),1))),"No data"))</f>
        <v/>
      </c>
      <c r="AS51" s="13">
        <f>IF('Council Entry'!AS51="","",IFERROR(MAX(0,MIN(10,ROUND(IF('Council Entry'!AS$7="Decrease Risk",10-10*((IF('Council Entry'!AS$4="Logarithm",LN(0.001+IF(AND(ISNUMBER('Council Entry'!AS$8),ISNUMBER('Council Entry'!AS$9)),MAX(MIN('Council Entry'!AS51,'Council Entry'!AS$9),'Council Entry'!AS$8),'Council Entry'!AS51)),IF('Council Entry'!AS$4="Exponential",EXP(IF(AND(ISNUMBER('Council Entry'!AS$8),ISNUMBER('Council Entry'!AS$9)),MAX(MIN('Council Entry'!AS51,'Council Entry'!AS$9),'Council Entry'!AS$8),'Council Entry'!AS51)),IF(AND(ISNUMBER('Council Entry'!AS$8),ISNUMBER('Council Entry'!AS$9)),MAX(MIN('Council Entry'!AS51,'Council Entry'!AS$9),'Council Entry'!AS$8),'Council Entry'!AS51))))-'Council Entry'!AS$5)/('Council Entry'!AS$6-'Council Entry'!AS$5),10*((IF('Council Entry'!AS$4="Logarithm",LN(0.001+IF(AND(ISNUMBER('Council Entry'!AS$8),ISNUMBER('Council Entry'!AS$9)),MAX(MIN('Council Entry'!AS51,'Council Entry'!AS$9),'Council Entry'!AS$8),'Council Entry'!AS51)),IF('Council Entry'!AS$4="Exponential",EXP(IF(AND(ISNUMBER('Council Entry'!AS$8),ISNUMBER('Council Entry'!AS$9)),MAX(MIN('Council Entry'!AS51,'Council Entry'!AS$9),'Council Entry'!AS$8),'Council Entry'!AS51)),IF(AND(ISNUMBER('Council Entry'!AS$8),ISNUMBER('Council Entry'!AS$9)),MAX(MIN('Council Entry'!AS51,'Council Entry'!AS$9),'Council Entry'!AS$8),'Council Entry'!AS51))))-'Council Entry'!AS$5)/('Council Entry'!AS$6-'Council Entry'!AS$5)),1))),"No data"))</f>
        <v/>
      </c>
      <c r="AT51" s="13">
        <f>IF('Council Entry'!AT51="","",IFERROR(MAX(0,MIN(10,ROUND(IF('Council Entry'!AT$7="Decrease Risk",10-10*((IF('Council Entry'!AT$4="Logarithm",LN(0.001+IF(AND(ISNUMBER('Council Entry'!AT$8),ISNUMBER('Council Entry'!AT$9)),MAX(MIN('Council Entry'!AT51,'Council Entry'!AT$9),'Council Entry'!AT$8),'Council Entry'!AT51)),IF('Council Entry'!AT$4="Exponential",EXP(IF(AND(ISNUMBER('Council Entry'!AT$8),ISNUMBER('Council Entry'!AT$9)),MAX(MIN('Council Entry'!AT51,'Council Entry'!AT$9),'Council Entry'!AT$8),'Council Entry'!AT51)),IF(AND(ISNUMBER('Council Entry'!AT$8),ISNUMBER('Council Entry'!AT$9)),MAX(MIN('Council Entry'!AT51,'Council Entry'!AT$9),'Council Entry'!AT$8),'Council Entry'!AT51))))-'Council Entry'!AT$5)/('Council Entry'!AT$6-'Council Entry'!AT$5),10*((IF('Council Entry'!AT$4="Logarithm",LN(0.001+IF(AND(ISNUMBER('Council Entry'!AT$8),ISNUMBER('Council Entry'!AT$9)),MAX(MIN('Council Entry'!AT51,'Council Entry'!AT$9),'Council Entry'!AT$8),'Council Entry'!AT51)),IF('Council Entry'!AT$4="Exponential",EXP(IF(AND(ISNUMBER('Council Entry'!AT$8),ISNUMBER('Council Entry'!AT$9)),MAX(MIN('Council Entry'!AT51,'Council Entry'!AT$9),'Council Entry'!AT$8),'Council Entry'!AT51)),IF(AND(ISNUMBER('Council Entry'!AT$8),ISNUMBER('Council Entry'!AT$9)),MAX(MIN('Council Entry'!AT51,'Council Entry'!AT$9),'Council Entry'!AT$8),'Council Entry'!AT51))))-'Council Entry'!AT$5)/('Council Entry'!AT$6-'Council Entry'!AT$5)),1))),"No data"))</f>
        <v/>
      </c>
      <c r="AU51" s="13">
        <f>IF('Council Entry'!AU51="","",IFERROR(MAX(0,MIN(10,ROUND(IF('Council Entry'!AU$7="Decrease Risk",10-10*((IF('Council Entry'!AU$4="Logarithm",LN(0.001+IF(AND(ISNUMBER('Council Entry'!AU$8),ISNUMBER('Council Entry'!AU$9)),MAX(MIN('Council Entry'!AU51,'Council Entry'!AU$9),'Council Entry'!AU$8),'Council Entry'!AU51)),IF('Council Entry'!AU$4="Exponential",EXP(IF(AND(ISNUMBER('Council Entry'!AU$8),ISNUMBER('Council Entry'!AU$9)),MAX(MIN('Council Entry'!AU51,'Council Entry'!AU$9),'Council Entry'!AU$8),'Council Entry'!AU51)),IF(AND(ISNUMBER('Council Entry'!AU$8),ISNUMBER('Council Entry'!AU$9)),MAX(MIN('Council Entry'!AU51,'Council Entry'!AU$9),'Council Entry'!AU$8),'Council Entry'!AU51))))-'Council Entry'!AU$5)/('Council Entry'!AU$6-'Council Entry'!AU$5),10*((IF('Council Entry'!AU$4="Logarithm",LN(0.001+IF(AND(ISNUMBER('Council Entry'!AU$8),ISNUMBER('Council Entry'!AU$9)),MAX(MIN('Council Entry'!AU51,'Council Entry'!AU$9),'Council Entry'!AU$8),'Council Entry'!AU51)),IF('Council Entry'!AU$4="Exponential",EXP(IF(AND(ISNUMBER('Council Entry'!AU$8),ISNUMBER('Council Entry'!AU$9)),MAX(MIN('Council Entry'!AU51,'Council Entry'!AU$9),'Council Entry'!AU$8),'Council Entry'!AU51)),IF(AND(ISNUMBER('Council Entry'!AU$8),ISNUMBER('Council Entry'!AU$9)),MAX(MIN('Council Entry'!AU51,'Council Entry'!AU$9),'Council Entry'!AU$8),'Council Entry'!AU51))))-'Council Entry'!AU$5)/('Council Entry'!AU$6-'Council Entry'!AU$5)),1))),"No data"))</f>
        <v/>
      </c>
      <c r="AV51" s="13">
        <f>IF('Council Entry'!AV51="","",IFERROR(MAX(0,MIN(10,ROUND(IF('Council Entry'!AV$7="Decrease Risk",10-10*((IF('Council Entry'!AV$4="Logarithm",LN(0.001+IF(AND(ISNUMBER('Council Entry'!AV$8),ISNUMBER('Council Entry'!AV$9)),MAX(MIN('Council Entry'!AV51,'Council Entry'!AV$9),'Council Entry'!AV$8),'Council Entry'!AV51)),IF('Council Entry'!AV$4="Exponential",EXP(IF(AND(ISNUMBER('Council Entry'!AV$8),ISNUMBER('Council Entry'!AV$9)),MAX(MIN('Council Entry'!AV51,'Council Entry'!AV$9),'Council Entry'!AV$8),'Council Entry'!AV51)),IF(AND(ISNUMBER('Council Entry'!AV$8),ISNUMBER('Council Entry'!AV$9)),MAX(MIN('Council Entry'!AV51,'Council Entry'!AV$9),'Council Entry'!AV$8),'Council Entry'!AV51))))-'Council Entry'!AV$5)/('Council Entry'!AV$6-'Council Entry'!AV$5),10*((IF('Council Entry'!AV$4="Logarithm",LN(0.001+IF(AND(ISNUMBER('Council Entry'!AV$8),ISNUMBER('Council Entry'!AV$9)),MAX(MIN('Council Entry'!AV51,'Council Entry'!AV$9),'Council Entry'!AV$8),'Council Entry'!AV51)),IF('Council Entry'!AV$4="Exponential",EXP(IF(AND(ISNUMBER('Council Entry'!AV$8),ISNUMBER('Council Entry'!AV$9)),MAX(MIN('Council Entry'!AV51,'Council Entry'!AV$9),'Council Entry'!AV$8),'Council Entry'!AV51)),IF(AND(ISNUMBER('Council Entry'!AV$8),ISNUMBER('Council Entry'!AV$9)),MAX(MIN('Council Entry'!AV51,'Council Entry'!AV$9),'Council Entry'!AV$8),'Council Entry'!AV51))))-'Council Entry'!AV$5)/('Council Entry'!AV$6-'Council Entry'!AV$5)),1))),"No data"))</f>
        <v/>
      </c>
      <c r="AW51" s="13">
        <f>IF('Council Entry'!AW51="","",IFERROR(MAX(0,MIN(10,ROUND(IF('Council Entry'!AW$7="Decrease Risk",10-10*((IF('Council Entry'!AW$4="Logarithm",LN(0.001+IF(AND(ISNUMBER('Council Entry'!AW$8),ISNUMBER('Council Entry'!AW$9)),MAX(MIN('Council Entry'!AW51,'Council Entry'!AW$9),'Council Entry'!AW$8),'Council Entry'!AW51)),IF('Council Entry'!AW$4="Exponential",EXP(IF(AND(ISNUMBER('Council Entry'!AW$8),ISNUMBER('Council Entry'!AW$9)),MAX(MIN('Council Entry'!AW51,'Council Entry'!AW$9),'Council Entry'!AW$8),'Council Entry'!AW51)),IF(AND(ISNUMBER('Council Entry'!AW$8),ISNUMBER('Council Entry'!AW$9)),MAX(MIN('Council Entry'!AW51,'Council Entry'!AW$9),'Council Entry'!AW$8),'Council Entry'!AW51))))-'Council Entry'!AW$5)/('Council Entry'!AW$6-'Council Entry'!AW$5),10*((IF('Council Entry'!AW$4="Logarithm",LN(0.001+IF(AND(ISNUMBER('Council Entry'!AW$8),ISNUMBER('Council Entry'!AW$9)),MAX(MIN('Council Entry'!AW51,'Council Entry'!AW$9),'Council Entry'!AW$8),'Council Entry'!AW51)),IF('Council Entry'!AW$4="Exponential",EXP(IF(AND(ISNUMBER('Council Entry'!AW$8),ISNUMBER('Council Entry'!AW$9)),MAX(MIN('Council Entry'!AW51,'Council Entry'!AW$9),'Council Entry'!AW$8),'Council Entry'!AW51)),IF(AND(ISNUMBER('Council Entry'!AW$8),ISNUMBER('Council Entry'!AW$9)),MAX(MIN('Council Entry'!AW51,'Council Entry'!AW$9),'Council Entry'!AW$8),'Council Entry'!AW51))))-'Council Entry'!AW$5)/('Council Entry'!AW$6-'Council Entry'!AW$5)),1))),"No data"))</f>
        <v/>
      </c>
      <c r="AX51" s="13">
        <f>IF('Council Entry'!AX51="","",IFERROR(MAX(0,MIN(10,ROUND(IF('Council Entry'!AX$7="Decrease Risk",10-10*((IF('Council Entry'!AX$4="Logarithm",LN(0.001+IF(AND(ISNUMBER('Council Entry'!AX$8),ISNUMBER('Council Entry'!AX$9)),MAX(MIN('Council Entry'!AX51,'Council Entry'!AX$9),'Council Entry'!AX$8),'Council Entry'!AX51)),IF('Council Entry'!AX$4="Exponential",EXP(IF(AND(ISNUMBER('Council Entry'!AX$8),ISNUMBER('Council Entry'!AX$9)),MAX(MIN('Council Entry'!AX51,'Council Entry'!AX$9),'Council Entry'!AX$8),'Council Entry'!AX51)),IF(AND(ISNUMBER('Council Entry'!AX$8),ISNUMBER('Council Entry'!AX$9)),MAX(MIN('Council Entry'!AX51,'Council Entry'!AX$9),'Council Entry'!AX$8),'Council Entry'!AX51))))-'Council Entry'!AX$5)/('Council Entry'!AX$6-'Council Entry'!AX$5),10*((IF('Council Entry'!AX$4="Logarithm",LN(0.001+IF(AND(ISNUMBER('Council Entry'!AX$8),ISNUMBER('Council Entry'!AX$9)),MAX(MIN('Council Entry'!AX51,'Council Entry'!AX$9),'Council Entry'!AX$8),'Council Entry'!AX51)),IF('Council Entry'!AX$4="Exponential",EXP(IF(AND(ISNUMBER('Council Entry'!AX$8),ISNUMBER('Council Entry'!AX$9)),MAX(MIN('Council Entry'!AX51,'Council Entry'!AX$9),'Council Entry'!AX$8),'Council Entry'!AX51)),IF(AND(ISNUMBER('Council Entry'!AX$8),ISNUMBER('Council Entry'!AX$9)),MAX(MIN('Council Entry'!AX51,'Council Entry'!AX$9),'Council Entry'!AX$8),'Council Entry'!AX51))))-'Council Entry'!AX$5)/('Council Entry'!AX$6-'Council Entry'!AX$5)),1))),"No data"))</f>
        <v/>
      </c>
      <c r="AY51" s="13">
        <f>IF('Council Entry'!AY51="","",IFERROR(MAX(0,MIN(10,ROUND(IF('Council Entry'!AY$7="Decrease Risk",10-10*((IF('Council Entry'!AY$4="Logarithm",LN(0.001+IF(AND(ISNUMBER('Council Entry'!AY$8),ISNUMBER('Council Entry'!AY$9)),MAX(MIN('Council Entry'!AY51,'Council Entry'!AY$9),'Council Entry'!AY$8),'Council Entry'!AY51)),IF('Council Entry'!AY$4="Exponential",EXP(IF(AND(ISNUMBER('Council Entry'!AY$8),ISNUMBER('Council Entry'!AY$9)),MAX(MIN('Council Entry'!AY51,'Council Entry'!AY$9),'Council Entry'!AY$8),'Council Entry'!AY51)),IF(AND(ISNUMBER('Council Entry'!AY$8),ISNUMBER('Council Entry'!AY$9)),MAX(MIN('Council Entry'!AY51,'Council Entry'!AY$9),'Council Entry'!AY$8),'Council Entry'!AY51))))-'Council Entry'!AY$5)/('Council Entry'!AY$6-'Council Entry'!AY$5),10*((IF('Council Entry'!AY$4="Logarithm",LN(0.001+IF(AND(ISNUMBER('Council Entry'!AY$8),ISNUMBER('Council Entry'!AY$9)),MAX(MIN('Council Entry'!AY51,'Council Entry'!AY$9),'Council Entry'!AY$8),'Council Entry'!AY51)),IF('Council Entry'!AY$4="Exponential",EXP(IF(AND(ISNUMBER('Council Entry'!AY$8),ISNUMBER('Council Entry'!AY$9)),MAX(MIN('Council Entry'!AY51,'Council Entry'!AY$9),'Council Entry'!AY$8),'Council Entry'!AY51)),IF(AND(ISNUMBER('Council Entry'!AY$8),ISNUMBER('Council Entry'!AY$9)),MAX(MIN('Council Entry'!AY51,'Council Entry'!AY$9),'Council Entry'!AY$8),'Council Entry'!AY51))))-'Council Entry'!AY$5)/('Council Entry'!AY$6-'Council Entry'!AY$5)),1))),"No data"))</f>
        <v/>
      </c>
      <c r="AZ51" s="13">
        <f>IF('Council Entry'!AZ51="","",IFERROR(MAX(0,MIN(10,ROUND(IF('Council Entry'!AZ$7="Decrease Risk",10-10*((IF('Council Entry'!AZ$4="Logarithm",LN(0.001+IF(AND(ISNUMBER('Council Entry'!AZ$8),ISNUMBER('Council Entry'!AZ$9)),MAX(MIN('Council Entry'!AZ51,'Council Entry'!AZ$9),'Council Entry'!AZ$8),'Council Entry'!AZ51)),IF('Council Entry'!AZ$4="Exponential",EXP(IF(AND(ISNUMBER('Council Entry'!AZ$8),ISNUMBER('Council Entry'!AZ$9)),MAX(MIN('Council Entry'!AZ51,'Council Entry'!AZ$9),'Council Entry'!AZ$8),'Council Entry'!AZ51)),IF(AND(ISNUMBER('Council Entry'!AZ$8),ISNUMBER('Council Entry'!AZ$9)),MAX(MIN('Council Entry'!AZ51,'Council Entry'!AZ$9),'Council Entry'!AZ$8),'Council Entry'!AZ51))))-'Council Entry'!AZ$5)/('Council Entry'!AZ$6-'Council Entry'!AZ$5),10*((IF('Council Entry'!AZ$4="Logarithm",LN(0.001+IF(AND(ISNUMBER('Council Entry'!AZ$8),ISNUMBER('Council Entry'!AZ$9)),MAX(MIN('Council Entry'!AZ51,'Council Entry'!AZ$9),'Council Entry'!AZ$8),'Council Entry'!AZ51)),IF('Council Entry'!AZ$4="Exponential",EXP(IF(AND(ISNUMBER('Council Entry'!AZ$8),ISNUMBER('Council Entry'!AZ$9)),MAX(MIN('Council Entry'!AZ51,'Council Entry'!AZ$9),'Council Entry'!AZ$8),'Council Entry'!AZ51)),IF(AND(ISNUMBER('Council Entry'!AZ$8),ISNUMBER('Council Entry'!AZ$9)),MAX(MIN('Council Entry'!AZ51,'Council Entry'!AZ$9),'Council Entry'!AZ$8),'Council Entry'!AZ51))))-'Council Entry'!AZ$5)/('Council Entry'!AZ$6-'Council Entry'!AZ$5)),1))),"No data"))</f>
        <v/>
      </c>
      <c r="BA51" s="13">
        <f>IF('Council Entry'!BA51="","",IFERROR(MAX(0,MIN(10,ROUND(IF('Council Entry'!BA$7="Decrease Risk",10-10*((IF('Council Entry'!BA$4="Logarithm",LN(0.001+IF(AND(ISNUMBER('Council Entry'!BA$8),ISNUMBER('Council Entry'!BA$9)),MAX(MIN('Council Entry'!BA51,'Council Entry'!BA$9),'Council Entry'!BA$8),'Council Entry'!BA51)),IF('Council Entry'!BA$4="Exponential",EXP(IF(AND(ISNUMBER('Council Entry'!BA$8),ISNUMBER('Council Entry'!BA$9)),MAX(MIN('Council Entry'!BA51,'Council Entry'!BA$9),'Council Entry'!BA$8),'Council Entry'!BA51)),IF(AND(ISNUMBER('Council Entry'!BA$8),ISNUMBER('Council Entry'!BA$9)),MAX(MIN('Council Entry'!BA51,'Council Entry'!BA$9),'Council Entry'!BA$8),'Council Entry'!BA51))))-'Council Entry'!BA$5)/('Council Entry'!BA$6-'Council Entry'!BA$5),10*((IF('Council Entry'!BA$4="Logarithm",LN(0.001+IF(AND(ISNUMBER('Council Entry'!BA$8),ISNUMBER('Council Entry'!BA$9)),MAX(MIN('Council Entry'!BA51,'Council Entry'!BA$9),'Council Entry'!BA$8),'Council Entry'!BA51)),IF('Council Entry'!BA$4="Exponential",EXP(IF(AND(ISNUMBER('Council Entry'!BA$8),ISNUMBER('Council Entry'!BA$9)),MAX(MIN('Council Entry'!BA51,'Council Entry'!BA$9),'Council Entry'!BA$8),'Council Entry'!BA51)),IF(AND(ISNUMBER('Council Entry'!BA$8),ISNUMBER('Council Entry'!BA$9)),MAX(MIN('Council Entry'!BA51,'Council Entry'!BA$9),'Council Entry'!BA$8),'Council Entry'!BA51))))-'Council Entry'!BA$5)/('Council Entry'!BA$6-'Council Entry'!BA$5)),1))),"No data"))</f>
        <v/>
      </c>
      <c r="BB51" s="13">
        <f>IF('Council Entry'!BB51="","",IFERROR(MAX(0,MIN(10,ROUND(IF('Council Entry'!BB$7="Decrease Risk",10-10*((IF('Council Entry'!BB$4="Logarithm",LN(0.001+IF(AND(ISNUMBER('Council Entry'!BB$8),ISNUMBER('Council Entry'!BB$9)),MAX(MIN('Council Entry'!BB51,'Council Entry'!BB$9),'Council Entry'!BB$8),'Council Entry'!BB51)),IF('Council Entry'!BB$4="Exponential",EXP(IF(AND(ISNUMBER('Council Entry'!BB$8),ISNUMBER('Council Entry'!BB$9)),MAX(MIN('Council Entry'!BB51,'Council Entry'!BB$9),'Council Entry'!BB$8),'Council Entry'!BB51)),IF(AND(ISNUMBER('Council Entry'!BB$8),ISNUMBER('Council Entry'!BB$9)),MAX(MIN('Council Entry'!BB51,'Council Entry'!BB$9),'Council Entry'!BB$8),'Council Entry'!BB51))))-'Council Entry'!BB$5)/('Council Entry'!BB$6-'Council Entry'!BB$5),10*((IF('Council Entry'!BB$4="Logarithm",LN(0.001+IF(AND(ISNUMBER('Council Entry'!BB$8),ISNUMBER('Council Entry'!BB$9)),MAX(MIN('Council Entry'!BB51,'Council Entry'!BB$9),'Council Entry'!BB$8),'Council Entry'!BB51)),IF('Council Entry'!BB$4="Exponential",EXP(IF(AND(ISNUMBER('Council Entry'!BB$8),ISNUMBER('Council Entry'!BB$9)),MAX(MIN('Council Entry'!BB51,'Council Entry'!BB$9),'Council Entry'!BB$8),'Council Entry'!BB51)),IF(AND(ISNUMBER('Council Entry'!BB$8),ISNUMBER('Council Entry'!BB$9)),MAX(MIN('Council Entry'!BB51,'Council Entry'!BB$9),'Council Entry'!BB$8),'Council Entry'!BB51))))-'Council Entry'!BB$5)/('Council Entry'!BB$6-'Council Entry'!BB$5)),1))),"No data"))</f>
        <v/>
      </c>
      <c r="BC51" s="13">
        <f>IF('Council Entry'!BC51="","",IFERROR(MAX(0,MIN(10,ROUND(IF('Council Entry'!BC$7="Decrease Risk",10-10*((IF('Council Entry'!BC$4="Logarithm",LN(0.001+IF(AND(ISNUMBER('Council Entry'!BC$8),ISNUMBER('Council Entry'!BC$9)),MAX(MIN('Council Entry'!BC51,'Council Entry'!BC$9),'Council Entry'!BC$8),'Council Entry'!BC51)),IF('Council Entry'!BC$4="Exponential",EXP(IF(AND(ISNUMBER('Council Entry'!BC$8),ISNUMBER('Council Entry'!BC$9)),MAX(MIN('Council Entry'!BC51,'Council Entry'!BC$9),'Council Entry'!BC$8),'Council Entry'!BC51)),IF(AND(ISNUMBER('Council Entry'!BC$8),ISNUMBER('Council Entry'!BC$9)),MAX(MIN('Council Entry'!BC51,'Council Entry'!BC$9),'Council Entry'!BC$8),'Council Entry'!BC51))))-'Council Entry'!BC$5)/('Council Entry'!BC$6-'Council Entry'!BC$5),10*((IF('Council Entry'!BC$4="Logarithm",LN(0.001+IF(AND(ISNUMBER('Council Entry'!BC$8),ISNUMBER('Council Entry'!BC$9)),MAX(MIN('Council Entry'!BC51,'Council Entry'!BC$9),'Council Entry'!BC$8),'Council Entry'!BC51)),IF('Council Entry'!BC$4="Exponential",EXP(IF(AND(ISNUMBER('Council Entry'!BC$8),ISNUMBER('Council Entry'!BC$9)),MAX(MIN('Council Entry'!BC51,'Council Entry'!BC$9),'Council Entry'!BC$8),'Council Entry'!BC51)),IF(AND(ISNUMBER('Council Entry'!BC$8),ISNUMBER('Council Entry'!BC$9)),MAX(MIN('Council Entry'!BC51,'Council Entry'!BC$9),'Council Entry'!BC$8),'Council Entry'!BC51))))-'Council Entry'!BC$5)/('Council Entry'!BC$6-'Council Entry'!BC$5)),1))),"No data"))</f>
        <v/>
      </c>
      <c r="BD51" s="13">
        <f>IF('Council Entry'!BD51="","",IFERROR(MAX(0,MIN(10,ROUND(IF('Council Entry'!BD$7="Decrease Risk",10-10*((IF('Council Entry'!BD$4="Logarithm",LN(0.001+IF(AND(ISNUMBER('Council Entry'!BD$8),ISNUMBER('Council Entry'!BD$9)),MAX(MIN('Council Entry'!BD51,'Council Entry'!BD$9),'Council Entry'!BD$8),'Council Entry'!BD51)),IF('Council Entry'!BD$4="Exponential",EXP(IF(AND(ISNUMBER('Council Entry'!BD$8),ISNUMBER('Council Entry'!BD$9)),MAX(MIN('Council Entry'!BD51,'Council Entry'!BD$9),'Council Entry'!BD$8),'Council Entry'!BD51)),IF(AND(ISNUMBER('Council Entry'!BD$8),ISNUMBER('Council Entry'!BD$9)),MAX(MIN('Council Entry'!BD51,'Council Entry'!BD$9),'Council Entry'!BD$8),'Council Entry'!BD51))))-'Council Entry'!BD$5)/('Council Entry'!BD$6-'Council Entry'!BD$5),10*((IF('Council Entry'!BD$4="Logarithm",LN(0.001+IF(AND(ISNUMBER('Council Entry'!BD$8),ISNUMBER('Council Entry'!BD$9)),MAX(MIN('Council Entry'!BD51,'Council Entry'!BD$9),'Council Entry'!BD$8),'Council Entry'!BD51)),IF('Council Entry'!BD$4="Exponential",EXP(IF(AND(ISNUMBER('Council Entry'!BD$8),ISNUMBER('Council Entry'!BD$9)),MAX(MIN('Council Entry'!BD51,'Council Entry'!BD$9),'Council Entry'!BD$8),'Council Entry'!BD51)),IF(AND(ISNUMBER('Council Entry'!BD$8),ISNUMBER('Council Entry'!BD$9)),MAX(MIN('Council Entry'!BD51,'Council Entry'!BD$9),'Council Entry'!BD$8),'Council Entry'!BD51))))-'Council Entry'!BD$5)/('Council Entry'!BD$6-'Council Entry'!BD$5)),1))),"No data"))</f>
        <v/>
      </c>
    </row>
    <row r="52">
      <c r="A52" t="inlineStr">
        <is>
          <t>Kaskazini Unguja</t>
        </is>
      </c>
      <c r="B52" t="inlineStr">
        <is>
          <t>Kaskazini A Town</t>
        </is>
      </c>
      <c r="C52" t="inlineStr">
        <is>
          <t>C185</t>
        </is>
      </c>
      <c r="D52" s="13">
        <f>IF('Council Entry'!D52="","",IFERROR(MAX(0,MIN(10,ROUND(IF('Council Entry'!D$7="Decrease Risk",10-10*((IF('Council Entry'!D$4="Logarithm",LN(0.001+IF(AND(ISNUMBER('Council Entry'!D$8),ISNUMBER('Council Entry'!D$9)),MAX(MIN('Council Entry'!D52,'Council Entry'!D$9),'Council Entry'!D$8),'Council Entry'!D52)),IF('Council Entry'!D$4="Exponential",EXP(IF(AND(ISNUMBER('Council Entry'!D$8),ISNUMBER('Council Entry'!D$9)),MAX(MIN('Council Entry'!D52,'Council Entry'!D$9),'Council Entry'!D$8),'Council Entry'!D52)),IF(AND(ISNUMBER('Council Entry'!D$8),ISNUMBER('Council Entry'!D$9)),MAX(MIN('Council Entry'!D52,'Council Entry'!D$9),'Council Entry'!D$8),'Council Entry'!D52))))-'Council Entry'!D$5)/('Council Entry'!D$6-'Council Entry'!D$5),10*((IF('Council Entry'!D$4="Logarithm",LN(0.001+IF(AND(ISNUMBER('Council Entry'!D$8),ISNUMBER('Council Entry'!D$9)),MAX(MIN('Council Entry'!D52,'Council Entry'!D$9),'Council Entry'!D$8),'Council Entry'!D52)),IF('Council Entry'!D$4="Exponential",EXP(IF(AND(ISNUMBER('Council Entry'!D$8),ISNUMBER('Council Entry'!D$9)),MAX(MIN('Council Entry'!D52,'Council Entry'!D$9),'Council Entry'!D$8),'Council Entry'!D52)),IF(AND(ISNUMBER('Council Entry'!D$8),ISNUMBER('Council Entry'!D$9)),MAX(MIN('Council Entry'!D52,'Council Entry'!D$9),'Council Entry'!D$8),'Council Entry'!D52))))-'Council Entry'!D$5)/('Council Entry'!D$6-'Council Entry'!D$5)),1))),"No data"))</f>
        <v/>
      </c>
      <c r="E52" s="13">
        <f>IF('Council Entry'!E52="","",IFERROR(MAX(0,MIN(10,ROUND(IF('Council Entry'!E$7="Decrease Risk",10-10*((IF('Council Entry'!E$4="Logarithm",LN(0.001+IF(AND(ISNUMBER('Council Entry'!E$8),ISNUMBER('Council Entry'!E$9)),MAX(MIN('Council Entry'!E52,'Council Entry'!E$9),'Council Entry'!E$8),'Council Entry'!E52)),IF('Council Entry'!E$4="Exponential",EXP(IF(AND(ISNUMBER('Council Entry'!E$8),ISNUMBER('Council Entry'!E$9)),MAX(MIN('Council Entry'!E52,'Council Entry'!E$9),'Council Entry'!E$8),'Council Entry'!E52)),IF(AND(ISNUMBER('Council Entry'!E$8),ISNUMBER('Council Entry'!E$9)),MAX(MIN('Council Entry'!E52,'Council Entry'!E$9),'Council Entry'!E$8),'Council Entry'!E52))))-'Council Entry'!E$5)/('Council Entry'!E$6-'Council Entry'!E$5),10*((IF('Council Entry'!E$4="Logarithm",LN(0.001+IF(AND(ISNUMBER('Council Entry'!E$8),ISNUMBER('Council Entry'!E$9)),MAX(MIN('Council Entry'!E52,'Council Entry'!E$9),'Council Entry'!E$8),'Council Entry'!E52)),IF('Council Entry'!E$4="Exponential",EXP(IF(AND(ISNUMBER('Council Entry'!E$8),ISNUMBER('Council Entry'!E$9)),MAX(MIN('Council Entry'!E52,'Council Entry'!E$9),'Council Entry'!E$8),'Council Entry'!E52)),IF(AND(ISNUMBER('Council Entry'!E$8),ISNUMBER('Council Entry'!E$9)),MAX(MIN('Council Entry'!E52,'Council Entry'!E$9),'Council Entry'!E$8),'Council Entry'!E52))))-'Council Entry'!E$5)/('Council Entry'!E$6-'Council Entry'!E$5)),1))),"No data"))</f>
        <v/>
      </c>
      <c r="F52" s="13">
        <f>IF('Council Entry'!F52="","",IFERROR(MAX(0,MIN(10,ROUND(IF('Council Entry'!F$7="Decrease Risk",10-10*((IF('Council Entry'!F$4="Logarithm",LN(0.001+IF(AND(ISNUMBER('Council Entry'!F$8),ISNUMBER('Council Entry'!F$9)),MAX(MIN('Council Entry'!F52,'Council Entry'!F$9),'Council Entry'!F$8),'Council Entry'!F52)),IF('Council Entry'!F$4="Exponential",EXP(IF(AND(ISNUMBER('Council Entry'!F$8),ISNUMBER('Council Entry'!F$9)),MAX(MIN('Council Entry'!F52,'Council Entry'!F$9),'Council Entry'!F$8),'Council Entry'!F52)),IF(AND(ISNUMBER('Council Entry'!F$8),ISNUMBER('Council Entry'!F$9)),MAX(MIN('Council Entry'!F52,'Council Entry'!F$9),'Council Entry'!F$8),'Council Entry'!F52))))-'Council Entry'!F$5)/('Council Entry'!F$6-'Council Entry'!F$5),10*((IF('Council Entry'!F$4="Logarithm",LN(0.001+IF(AND(ISNUMBER('Council Entry'!F$8),ISNUMBER('Council Entry'!F$9)),MAX(MIN('Council Entry'!F52,'Council Entry'!F$9),'Council Entry'!F$8),'Council Entry'!F52)),IF('Council Entry'!F$4="Exponential",EXP(IF(AND(ISNUMBER('Council Entry'!F$8),ISNUMBER('Council Entry'!F$9)),MAX(MIN('Council Entry'!F52,'Council Entry'!F$9),'Council Entry'!F$8),'Council Entry'!F52)),IF(AND(ISNUMBER('Council Entry'!F$8),ISNUMBER('Council Entry'!F$9)),MAX(MIN('Council Entry'!F52,'Council Entry'!F$9),'Council Entry'!F$8),'Council Entry'!F52))))-'Council Entry'!F$5)/('Council Entry'!F$6-'Council Entry'!F$5)),1))),"No data"))</f>
        <v/>
      </c>
      <c r="G52" s="13">
        <f>IF('Council Entry'!G52="","",IFERROR(MAX(0,MIN(10,ROUND(IF('Council Entry'!G$7="Decrease Risk",10-10*((IF('Council Entry'!G$4="Logarithm",LN(0.001+IF(AND(ISNUMBER('Council Entry'!G$8),ISNUMBER('Council Entry'!G$9)),MAX(MIN('Council Entry'!G52,'Council Entry'!G$9),'Council Entry'!G$8),'Council Entry'!G52)),IF('Council Entry'!G$4="Exponential",EXP(IF(AND(ISNUMBER('Council Entry'!G$8),ISNUMBER('Council Entry'!G$9)),MAX(MIN('Council Entry'!G52,'Council Entry'!G$9),'Council Entry'!G$8),'Council Entry'!G52)),IF(AND(ISNUMBER('Council Entry'!G$8),ISNUMBER('Council Entry'!G$9)),MAX(MIN('Council Entry'!G52,'Council Entry'!G$9),'Council Entry'!G$8),'Council Entry'!G52))))-'Council Entry'!G$5)/('Council Entry'!G$6-'Council Entry'!G$5),10*((IF('Council Entry'!G$4="Logarithm",LN(0.001+IF(AND(ISNUMBER('Council Entry'!G$8),ISNUMBER('Council Entry'!G$9)),MAX(MIN('Council Entry'!G52,'Council Entry'!G$9),'Council Entry'!G$8),'Council Entry'!G52)),IF('Council Entry'!G$4="Exponential",EXP(IF(AND(ISNUMBER('Council Entry'!G$8),ISNUMBER('Council Entry'!G$9)),MAX(MIN('Council Entry'!G52,'Council Entry'!G$9),'Council Entry'!G$8),'Council Entry'!G52)),IF(AND(ISNUMBER('Council Entry'!G$8),ISNUMBER('Council Entry'!G$9)),MAX(MIN('Council Entry'!G52,'Council Entry'!G$9),'Council Entry'!G$8),'Council Entry'!G52))))-'Council Entry'!G$5)/('Council Entry'!G$6-'Council Entry'!G$5)),1))),"No data"))</f>
        <v/>
      </c>
      <c r="H52" s="13">
        <f>IF('Council Entry'!H52="","",IFERROR(MAX(0,MIN(10,ROUND(IF('Council Entry'!H$7="Decrease Risk",10-10*((IF('Council Entry'!H$4="Logarithm",LN(0.001+IF(AND(ISNUMBER('Council Entry'!H$8),ISNUMBER('Council Entry'!H$9)),MAX(MIN('Council Entry'!H52,'Council Entry'!H$9),'Council Entry'!H$8),'Council Entry'!H52)),IF('Council Entry'!H$4="Exponential",EXP(IF(AND(ISNUMBER('Council Entry'!H$8),ISNUMBER('Council Entry'!H$9)),MAX(MIN('Council Entry'!H52,'Council Entry'!H$9),'Council Entry'!H$8),'Council Entry'!H52)),IF(AND(ISNUMBER('Council Entry'!H$8),ISNUMBER('Council Entry'!H$9)),MAX(MIN('Council Entry'!H52,'Council Entry'!H$9),'Council Entry'!H$8),'Council Entry'!H52))))-'Council Entry'!H$5)/('Council Entry'!H$6-'Council Entry'!H$5),10*((IF('Council Entry'!H$4="Logarithm",LN(0.001+IF(AND(ISNUMBER('Council Entry'!H$8),ISNUMBER('Council Entry'!H$9)),MAX(MIN('Council Entry'!H52,'Council Entry'!H$9),'Council Entry'!H$8),'Council Entry'!H52)),IF('Council Entry'!H$4="Exponential",EXP(IF(AND(ISNUMBER('Council Entry'!H$8),ISNUMBER('Council Entry'!H$9)),MAX(MIN('Council Entry'!H52,'Council Entry'!H$9),'Council Entry'!H$8),'Council Entry'!H52)),IF(AND(ISNUMBER('Council Entry'!H$8),ISNUMBER('Council Entry'!H$9)),MAX(MIN('Council Entry'!H52,'Council Entry'!H$9),'Council Entry'!H$8),'Council Entry'!H52))))-'Council Entry'!H$5)/('Council Entry'!H$6-'Council Entry'!H$5)),1))),"No data"))</f>
        <v/>
      </c>
      <c r="I52" s="13">
        <f>IF('Council Entry'!I52="","",IFERROR(MAX(0,MIN(10,ROUND(IF('Council Entry'!I$7="Decrease Risk",10-10*((IF('Council Entry'!I$4="Logarithm",LN(0.001+IF(AND(ISNUMBER('Council Entry'!I$8),ISNUMBER('Council Entry'!I$9)),MAX(MIN('Council Entry'!I52,'Council Entry'!I$9),'Council Entry'!I$8),'Council Entry'!I52)),IF('Council Entry'!I$4="Exponential",EXP(IF(AND(ISNUMBER('Council Entry'!I$8),ISNUMBER('Council Entry'!I$9)),MAX(MIN('Council Entry'!I52,'Council Entry'!I$9),'Council Entry'!I$8),'Council Entry'!I52)),IF(AND(ISNUMBER('Council Entry'!I$8),ISNUMBER('Council Entry'!I$9)),MAX(MIN('Council Entry'!I52,'Council Entry'!I$9),'Council Entry'!I$8),'Council Entry'!I52))))-'Council Entry'!I$5)/('Council Entry'!I$6-'Council Entry'!I$5),10*((IF('Council Entry'!I$4="Logarithm",LN(0.001+IF(AND(ISNUMBER('Council Entry'!I$8),ISNUMBER('Council Entry'!I$9)),MAX(MIN('Council Entry'!I52,'Council Entry'!I$9),'Council Entry'!I$8),'Council Entry'!I52)),IF('Council Entry'!I$4="Exponential",EXP(IF(AND(ISNUMBER('Council Entry'!I$8),ISNUMBER('Council Entry'!I$9)),MAX(MIN('Council Entry'!I52,'Council Entry'!I$9),'Council Entry'!I$8),'Council Entry'!I52)),IF(AND(ISNUMBER('Council Entry'!I$8),ISNUMBER('Council Entry'!I$9)),MAX(MIN('Council Entry'!I52,'Council Entry'!I$9),'Council Entry'!I$8),'Council Entry'!I52))))-'Council Entry'!I$5)/('Council Entry'!I$6-'Council Entry'!I$5)),1))),"No data"))</f>
        <v/>
      </c>
      <c r="J52" s="13">
        <f>IF('Council Entry'!J52="","",IFERROR(MAX(0,MIN(10,ROUND(IF('Council Entry'!J$7="Decrease Risk",10-10*((IF('Council Entry'!J$4="Logarithm",LN(0.001+IF(AND(ISNUMBER('Council Entry'!J$8),ISNUMBER('Council Entry'!J$9)),MAX(MIN('Council Entry'!J52,'Council Entry'!J$9),'Council Entry'!J$8),'Council Entry'!J52)),IF('Council Entry'!J$4="Exponential",EXP(IF(AND(ISNUMBER('Council Entry'!J$8),ISNUMBER('Council Entry'!J$9)),MAX(MIN('Council Entry'!J52,'Council Entry'!J$9),'Council Entry'!J$8),'Council Entry'!J52)),IF(AND(ISNUMBER('Council Entry'!J$8),ISNUMBER('Council Entry'!J$9)),MAX(MIN('Council Entry'!J52,'Council Entry'!J$9),'Council Entry'!J$8),'Council Entry'!J52))))-'Council Entry'!J$5)/('Council Entry'!J$6-'Council Entry'!J$5),10*((IF('Council Entry'!J$4="Logarithm",LN(0.001+IF(AND(ISNUMBER('Council Entry'!J$8),ISNUMBER('Council Entry'!J$9)),MAX(MIN('Council Entry'!J52,'Council Entry'!J$9),'Council Entry'!J$8),'Council Entry'!J52)),IF('Council Entry'!J$4="Exponential",EXP(IF(AND(ISNUMBER('Council Entry'!J$8),ISNUMBER('Council Entry'!J$9)),MAX(MIN('Council Entry'!J52,'Council Entry'!J$9),'Council Entry'!J$8),'Council Entry'!J52)),IF(AND(ISNUMBER('Council Entry'!J$8),ISNUMBER('Council Entry'!J$9)),MAX(MIN('Council Entry'!J52,'Council Entry'!J$9),'Council Entry'!J$8),'Council Entry'!J52))))-'Council Entry'!J$5)/('Council Entry'!J$6-'Council Entry'!J$5)),1))),"No data"))</f>
        <v/>
      </c>
      <c r="K52" s="13">
        <f>IF('Council Entry'!K52="","",IFERROR(MAX(0,MIN(10,ROUND(IF('Council Entry'!K$7="Decrease Risk",10-10*((IF('Council Entry'!K$4="Logarithm",LN(0.001+IF(AND(ISNUMBER('Council Entry'!K$8),ISNUMBER('Council Entry'!K$9)),MAX(MIN('Council Entry'!K52,'Council Entry'!K$9),'Council Entry'!K$8),'Council Entry'!K52)),IF('Council Entry'!K$4="Exponential",EXP(IF(AND(ISNUMBER('Council Entry'!K$8),ISNUMBER('Council Entry'!K$9)),MAX(MIN('Council Entry'!K52,'Council Entry'!K$9),'Council Entry'!K$8),'Council Entry'!K52)),IF(AND(ISNUMBER('Council Entry'!K$8),ISNUMBER('Council Entry'!K$9)),MAX(MIN('Council Entry'!K52,'Council Entry'!K$9),'Council Entry'!K$8),'Council Entry'!K52))))-'Council Entry'!K$5)/('Council Entry'!K$6-'Council Entry'!K$5),10*((IF('Council Entry'!K$4="Logarithm",LN(0.001+IF(AND(ISNUMBER('Council Entry'!K$8),ISNUMBER('Council Entry'!K$9)),MAX(MIN('Council Entry'!K52,'Council Entry'!K$9),'Council Entry'!K$8),'Council Entry'!K52)),IF('Council Entry'!K$4="Exponential",EXP(IF(AND(ISNUMBER('Council Entry'!K$8),ISNUMBER('Council Entry'!K$9)),MAX(MIN('Council Entry'!K52,'Council Entry'!K$9),'Council Entry'!K$8),'Council Entry'!K52)),IF(AND(ISNUMBER('Council Entry'!K$8),ISNUMBER('Council Entry'!K$9)),MAX(MIN('Council Entry'!K52,'Council Entry'!K$9),'Council Entry'!K$8),'Council Entry'!K52))))-'Council Entry'!K$5)/('Council Entry'!K$6-'Council Entry'!K$5)),1))),"No data"))</f>
        <v/>
      </c>
      <c r="L52" s="13">
        <f>IF('Council Entry'!L52="","",IFERROR(MAX(0,MIN(10,ROUND(IF('Council Entry'!L$7="Decrease Risk",10-10*((IF('Council Entry'!L$4="Logarithm",LN(0.001+IF(AND(ISNUMBER('Council Entry'!L$8),ISNUMBER('Council Entry'!L$9)),MAX(MIN('Council Entry'!L52,'Council Entry'!L$9),'Council Entry'!L$8),'Council Entry'!L52)),IF('Council Entry'!L$4="Exponential",EXP(IF(AND(ISNUMBER('Council Entry'!L$8),ISNUMBER('Council Entry'!L$9)),MAX(MIN('Council Entry'!L52,'Council Entry'!L$9),'Council Entry'!L$8),'Council Entry'!L52)),IF(AND(ISNUMBER('Council Entry'!L$8),ISNUMBER('Council Entry'!L$9)),MAX(MIN('Council Entry'!L52,'Council Entry'!L$9),'Council Entry'!L$8),'Council Entry'!L52))))-'Council Entry'!L$5)/('Council Entry'!L$6-'Council Entry'!L$5),10*((IF('Council Entry'!L$4="Logarithm",LN(0.001+IF(AND(ISNUMBER('Council Entry'!L$8),ISNUMBER('Council Entry'!L$9)),MAX(MIN('Council Entry'!L52,'Council Entry'!L$9),'Council Entry'!L$8),'Council Entry'!L52)),IF('Council Entry'!L$4="Exponential",EXP(IF(AND(ISNUMBER('Council Entry'!L$8),ISNUMBER('Council Entry'!L$9)),MAX(MIN('Council Entry'!L52,'Council Entry'!L$9),'Council Entry'!L$8),'Council Entry'!L52)),IF(AND(ISNUMBER('Council Entry'!L$8),ISNUMBER('Council Entry'!L$9)),MAX(MIN('Council Entry'!L52,'Council Entry'!L$9),'Council Entry'!L$8),'Council Entry'!L52))))-'Council Entry'!L$5)/('Council Entry'!L$6-'Council Entry'!L$5)),1))),"No data"))</f>
        <v/>
      </c>
      <c r="M52" s="13">
        <f>IF('Council Entry'!M52="","",IFERROR(MAX(0,MIN(10,ROUND(IF('Council Entry'!M$7="Decrease Risk",10-10*((IF('Council Entry'!M$4="Logarithm",LN(0.001+IF(AND(ISNUMBER('Council Entry'!M$8),ISNUMBER('Council Entry'!M$9)),MAX(MIN('Council Entry'!M52,'Council Entry'!M$9),'Council Entry'!M$8),'Council Entry'!M52)),IF('Council Entry'!M$4="Exponential",EXP(IF(AND(ISNUMBER('Council Entry'!M$8),ISNUMBER('Council Entry'!M$9)),MAX(MIN('Council Entry'!M52,'Council Entry'!M$9),'Council Entry'!M$8),'Council Entry'!M52)),IF(AND(ISNUMBER('Council Entry'!M$8),ISNUMBER('Council Entry'!M$9)),MAX(MIN('Council Entry'!M52,'Council Entry'!M$9),'Council Entry'!M$8),'Council Entry'!M52))))-'Council Entry'!M$5)/('Council Entry'!M$6-'Council Entry'!M$5),10*((IF('Council Entry'!M$4="Logarithm",LN(0.001+IF(AND(ISNUMBER('Council Entry'!M$8),ISNUMBER('Council Entry'!M$9)),MAX(MIN('Council Entry'!M52,'Council Entry'!M$9),'Council Entry'!M$8),'Council Entry'!M52)),IF('Council Entry'!M$4="Exponential",EXP(IF(AND(ISNUMBER('Council Entry'!M$8),ISNUMBER('Council Entry'!M$9)),MAX(MIN('Council Entry'!M52,'Council Entry'!M$9),'Council Entry'!M$8),'Council Entry'!M52)),IF(AND(ISNUMBER('Council Entry'!M$8),ISNUMBER('Council Entry'!M$9)),MAX(MIN('Council Entry'!M52,'Council Entry'!M$9),'Council Entry'!M$8),'Council Entry'!M52))))-'Council Entry'!M$5)/('Council Entry'!M$6-'Council Entry'!M$5)),1))),"No data"))</f>
        <v/>
      </c>
      <c r="N52" s="13">
        <f>IF('Council Entry'!N52="","",IFERROR(MAX(0,MIN(10,ROUND(IF('Council Entry'!N$7="Decrease Risk",10-10*((IF('Council Entry'!N$4="Logarithm",LN(0.001+IF(AND(ISNUMBER('Council Entry'!N$8),ISNUMBER('Council Entry'!N$9)),MAX(MIN('Council Entry'!N52,'Council Entry'!N$9),'Council Entry'!N$8),'Council Entry'!N52)),IF('Council Entry'!N$4="Exponential",EXP(IF(AND(ISNUMBER('Council Entry'!N$8),ISNUMBER('Council Entry'!N$9)),MAX(MIN('Council Entry'!N52,'Council Entry'!N$9),'Council Entry'!N$8),'Council Entry'!N52)),IF(AND(ISNUMBER('Council Entry'!N$8),ISNUMBER('Council Entry'!N$9)),MAX(MIN('Council Entry'!N52,'Council Entry'!N$9),'Council Entry'!N$8),'Council Entry'!N52))))-'Council Entry'!N$5)/('Council Entry'!N$6-'Council Entry'!N$5),10*((IF('Council Entry'!N$4="Logarithm",LN(0.001+IF(AND(ISNUMBER('Council Entry'!N$8),ISNUMBER('Council Entry'!N$9)),MAX(MIN('Council Entry'!N52,'Council Entry'!N$9),'Council Entry'!N$8),'Council Entry'!N52)),IF('Council Entry'!N$4="Exponential",EXP(IF(AND(ISNUMBER('Council Entry'!N$8),ISNUMBER('Council Entry'!N$9)),MAX(MIN('Council Entry'!N52,'Council Entry'!N$9),'Council Entry'!N$8),'Council Entry'!N52)),IF(AND(ISNUMBER('Council Entry'!N$8),ISNUMBER('Council Entry'!N$9)),MAX(MIN('Council Entry'!N52,'Council Entry'!N$9),'Council Entry'!N$8),'Council Entry'!N52))))-'Council Entry'!N$5)/('Council Entry'!N$6-'Council Entry'!N$5)),1))),"No data"))</f>
        <v/>
      </c>
      <c r="O52" s="13">
        <f>IF('Council Entry'!O52="","",IFERROR(MAX(0,MIN(10,ROUND(IF('Council Entry'!O$7="Decrease Risk",10-10*((IF('Council Entry'!O$4="Logarithm",LN(0.001+IF(AND(ISNUMBER('Council Entry'!O$8),ISNUMBER('Council Entry'!O$9)),MAX(MIN('Council Entry'!O52,'Council Entry'!O$9),'Council Entry'!O$8),'Council Entry'!O52)),IF('Council Entry'!O$4="Exponential",EXP(IF(AND(ISNUMBER('Council Entry'!O$8),ISNUMBER('Council Entry'!O$9)),MAX(MIN('Council Entry'!O52,'Council Entry'!O$9),'Council Entry'!O$8),'Council Entry'!O52)),IF(AND(ISNUMBER('Council Entry'!O$8),ISNUMBER('Council Entry'!O$9)),MAX(MIN('Council Entry'!O52,'Council Entry'!O$9),'Council Entry'!O$8),'Council Entry'!O52))))-'Council Entry'!O$5)/('Council Entry'!O$6-'Council Entry'!O$5),10*((IF('Council Entry'!O$4="Logarithm",LN(0.001+IF(AND(ISNUMBER('Council Entry'!O$8),ISNUMBER('Council Entry'!O$9)),MAX(MIN('Council Entry'!O52,'Council Entry'!O$9),'Council Entry'!O$8),'Council Entry'!O52)),IF('Council Entry'!O$4="Exponential",EXP(IF(AND(ISNUMBER('Council Entry'!O$8),ISNUMBER('Council Entry'!O$9)),MAX(MIN('Council Entry'!O52,'Council Entry'!O$9),'Council Entry'!O$8),'Council Entry'!O52)),IF(AND(ISNUMBER('Council Entry'!O$8),ISNUMBER('Council Entry'!O$9)),MAX(MIN('Council Entry'!O52,'Council Entry'!O$9),'Council Entry'!O$8),'Council Entry'!O52))))-'Council Entry'!O$5)/('Council Entry'!O$6-'Council Entry'!O$5)),1))),"No data"))</f>
        <v/>
      </c>
      <c r="P52" s="13">
        <f>IF('Council Entry'!P52="","",IFERROR(MAX(0,MIN(10,ROUND(IF('Council Entry'!P$7="Decrease Risk",10-10*((IF('Council Entry'!P$4="Logarithm",LN(0.001+IF(AND(ISNUMBER('Council Entry'!P$8),ISNUMBER('Council Entry'!P$9)),MAX(MIN('Council Entry'!P52,'Council Entry'!P$9),'Council Entry'!P$8),'Council Entry'!P52)),IF('Council Entry'!P$4="Exponential",EXP(IF(AND(ISNUMBER('Council Entry'!P$8),ISNUMBER('Council Entry'!P$9)),MAX(MIN('Council Entry'!P52,'Council Entry'!P$9),'Council Entry'!P$8),'Council Entry'!P52)),IF(AND(ISNUMBER('Council Entry'!P$8),ISNUMBER('Council Entry'!P$9)),MAX(MIN('Council Entry'!P52,'Council Entry'!P$9),'Council Entry'!P$8),'Council Entry'!P52))))-'Council Entry'!P$5)/('Council Entry'!P$6-'Council Entry'!P$5),10*((IF('Council Entry'!P$4="Logarithm",LN(0.001+IF(AND(ISNUMBER('Council Entry'!P$8),ISNUMBER('Council Entry'!P$9)),MAX(MIN('Council Entry'!P52,'Council Entry'!P$9),'Council Entry'!P$8),'Council Entry'!P52)),IF('Council Entry'!P$4="Exponential",EXP(IF(AND(ISNUMBER('Council Entry'!P$8),ISNUMBER('Council Entry'!P$9)),MAX(MIN('Council Entry'!P52,'Council Entry'!P$9),'Council Entry'!P$8),'Council Entry'!P52)),IF(AND(ISNUMBER('Council Entry'!P$8),ISNUMBER('Council Entry'!P$9)),MAX(MIN('Council Entry'!P52,'Council Entry'!P$9),'Council Entry'!P$8),'Council Entry'!P52))))-'Council Entry'!P$5)/('Council Entry'!P$6-'Council Entry'!P$5)),1))),"No data"))</f>
        <v/>
      </c>
      <c r="Q52" s="13">
        <f>IF('Council Entry'!Q52="","",IFERROR(MAX(0,MIN(10,ROUND(IF('Council Entry'!Q$7="Decrease Risk",10-10*((IF('Council Entry'!Q$4="Logarithm",LN(0.001+IF(AND(ISNUMBER('Council Entry'!Q$8),ISNUMBER('Council Entry'!Q$9)),MAX(MIN('Council Entry'!Q52,'Council Entry'!Q$9),'Council Entry'!Q$8),'Council Entry'!Q52)),IF('Council Entry'!Q$4="Exponential",EXP(IF(AND(ISNUMBER('Council Entry'!Q$8),ISNUMBER('Council Entry'!Q$9)),MAX(MIN('Council Entry'!Q52,'Council Entry'!Q$9),'Council Entry'!Q$8),'Council Entry'!Q52)),IF(AND(ISNUMBER('Council Entry'!Q$8),ISNUMBER('Council Entry'!Q$9)),MAX(MIN('Council Entry'!Q52,'Council Entry'!Q$9),'Council Entry'!Q$8),'Council Entry'!Q52))))-'Council Entry'!Q$5)/('Council Entry'!Q$6-'Council Entry'!Q$5),10*((IF('Council Entry'!Q$4="Logarithm",LN(0.001+IF(AND(ISNUMBER('Council Entry'!Q$8),ISNUMBER('Council Entry'!Q$9)),MAX(MIN('Council Entry'!Q52,'Council Entry'!Q$9),'Council Entry'!Q$8),'Council Entry'!Q52)),IF('Council Entry'!Q$4="Exponential",EXP(IF(AND(ISNUMBER('Council Entry'!Q$8),ISNUMBER('Council Entry'!Q$9)),MAX(MIN('Council Entry'!Q52,'Council Entry'!Q$9),'Council Entry'!Q$8),'Council Entry'!Q52)),IF(AND(ISNUMBER('Council Entry'!Q$8),ISNUMBER('Council Entry'!Q$9)),MAX(MIN('Council Entry'!Q52,'Council Entry'!Q$9),'Council Entry'!Q$8),'Council Entry'!Q52))))-'Council Entry'!Q$5)/('Council Entry'!Q$6-'Council Entry'!Q$5)),1))),"No data"))</f>
        <v/>
      </c>
      <c r="R52" s="13">
        <f>IF('Council Entry'!R52="","",IFERROR(MAX(0,MIN(10,ROUND(IF('Council Entry'!R$7="Decrease Risk",10-10*((IF('Council Entry'!R$4="Logarithm",LN(0.001+IF(AND(ISNUMBER('Council Entry'!R$8),ISNUMBER('Council Entry'!R$9)),MAX(MIN('Council Entry'!R52,'Council Entry'!R$9),'Council Entry'!R$8),'Council Entry'!R52)),IF('Council Entry'!R$4="Exponential",EXP(IF(AND(ISNUMBER('Council Entry'!R$8),ISNUMBER('Council Entry'!R$9)),MAX(MIN('Council Entry'!R52,'Council Entry'!R$9),'Council Entry'!R$8),'Council Entry'!R52)),IF(AND(ISNUMBER('Council Entry'!R$8),ISNUMBER('Council Entry'!R$9)),MAX(MIN('Council Entry'!R52,'Council Entry'!R$9),'Council Entry'!R$8),'Council Entry'!R52))))-'Council Entry'!R$5)/('Council Entry'!R$6-'Council Entry'!R$5),10*((IF('Council Entry'!R$4="Logarithm",LN(0.001+IF(AND(ISNUMBER('Council Entry'!R$8),ISNUMBER('Council Entry'!R$9)),MAX(MIN('Council Entry'!R52,'Council Entry'!R$9),'Council Entry'!R$8),'Council Entry'!R52)),IF('Council Entry'!R$4="Exponential",EXP(IF(AND(ISNUMBER('Council Entry'!R$8),ISNUMBER('Council Entry'!R$9)),MAX(MIN('Council Entry'!R52,'Council Entry'!R$9),'Council Entry'!R$8),'Council Entry'!R52)),IF(AND(ISNUMBER('Council Entry'!R$8),ISNUMBER('Council Entry'!R$9)),MAX(MIN('Council Entry'!R52,'Council Entry'!R$9),'Council Entry'!R$8),'Council Entry'!R52))))-'Council Entry'!R$5)/('Council Entry'!R$6-'Council Entry'!R$5)),1))),"No data"))</f>
        <v/>
      </c>
      <c r="S52" s="13">
        <f>IF('Council Entry'!S52="","",IFERROR(MAX(0,MIN(10,ROUND(IF('Council Entry'!S$7="Decrease Risk",10-10*((IF('Council Entry'!S$4="Logarithm",LN(0.001+IF(AND(ISNUMBER('Council Entry'!S$8),ISNUMBER('Council Entry'!S$9)),MAX(MIN('Council Entry'!S52,'Council Entry'!S$9),'Council Entry'!S$8),'Council Entry'!S52)),IF('Council Entry'!S$4="Exponential",EXP(IF(AND(ISNUMBER('Council Entry'!S$8),ISNUMBER('Council Entry'!S$9)),MAX(MIN('Council Entry'!S52,'Council Entry'!S$9),'Council Entry'!S$8),'Council Entry'!S52)),IF(AND(ISNUMBER('Council Entry'!S$8),ISNUMBER('Council Entry'!S$9)),MAX(MIN('Council Entry'!S52,'Council Entry'!S$9),'Council Entry'!S$8),'Council Entry'!S52))))-'Council Entry'!S$5)/('Council Entry'!S$6-'Council Entry'!S$5),10*((IF('Council Entry'!S$4="Logarithm",LN(0.001+IF(AND(ISNUMBER('Council Entry'!S$8),ISNUMBER('Council Entry'!S$9)),MAX(MIN('Council Entry'!S52,'Council Entry'!S$9),'Council Entry'!S$8),'Council Entry'!S52)),IF('Council Entry'!S$4="Exponential",EXP(IF(AND(ISNUMBER('Council Entry'!S$8),ISNUMBER('Council Entry'!S$9)),MAX(MIN('Council Entry'!S52,'Council Entry'!S$9),'Council Entry'!S$8),'Council Entry'!S52)),IF(AND(ISNUMBER('Council Entry'!S$8),ISNUMBER('Council Entry'!S$9)),MAX(MIN('Council Entry'!S52,'Council Entry'!S$9),'Council Entry'!S$8),'Council Entry'!S52))))-'Council Entry'!S$5)/('Council Entry'!S$6-'Council Entry'!S$5)),1))),"No data"))</f>
        <v/>
      </c>
      <c r="T52" s="13">
        <f>IF('Council Entry'!T52="","",IFERROR(MAX(0,MIN(10,ROUND(IF('Council Entry'!T$7="Decrease Risk",10-10*((IF('Council Entry'!T$4="Logarithm",LN(0.001+IF(AND(ISNUMBER('Council Entry'!T$8),ISNUMBER('Council Entry'!T$9)),MAX(MIN('Council Entry'!T52,'Council Entry'!T$9),'Council Entry'!T$8),'Council Entry'!T52)),IF('Council Entry'!T$4="Exponential",EXP(IF(AND(ISNUMBER('Council Entry'!T$8),ISNUMBER('Council Entry'!T$9)),MAX(MIN('Council Entry'!T52,'Council Entry'!T$9),'Council Entry'!T$8),'Council Entry'!T52)),IF(AND(ISNUMBER('Council Entry'!T$8),ISNUMBER('Council Entry'!T$9)),MAX(MIN('Council Entry'!T52,'Council Entry'!T$9),'Council Entry'!T$8),'Council Entry'!T52))))-'Council Entry'!T$5)/('Council Entry'!T$6-'Council Entry'!T$5),10*((IF('Council Entry'!T$4="Logarithm",LN(0.001+IF(AND(ISNUMBER('Council Entry'!T$8),ISNUMBER('Council Entry'!T$9)),MAX(MIN('Council Entry'!T52,'Council Entry'!T$9),'Council Entry'!T$8),'Council Entry'!T52)),IF('Council Entry'!T$4="Exponential",EXP(IF(AND(ISNUMBER('Council Entry'!T$8),ISNUMBER('Council Entry'!T$9)),MAX(MIN('Council Entry'!T52,'Council Entry'!T$9),'Council Entry'!T$8),'Council Entry'!T52)),IF(AND(ISNUMBER('Council Entry'!T$8),ISNUMBER('Council Entry'!T$9)),MAX(MIN('Council Entry'!T52,'Council Entry'!T$9),'Council Entry'!T$8),'Council Entry'!T52))))-'Council Entry'!T$5)/('Council Entry'!T$6-'Council Entry'!T$5)),1))),"No data"))</f>
        <v/>
      </c>
      <c r="U52" s="13">
        <f>IF('Council Entry'!U52="","",IFERROR(MAX(0,MIN(10,ROUND(IF('Council Entry'!U$7="Decrease Risk",10-10*((IF('Council Entry'!U$4="Logarithm",LN(0.001+IF(AND(ISNUMBER('Council Entry'!U$8),ISNUMBER('Council Entry'!U$9)),MAX(MIN('Council Entry'!U52,'Council Entry'!U$9),'Council Entry'!U$8),'Council Entry'!U52)),IF('Council Entry'!U$4="Exponential",EXP(IF(AND(ISNUMBER('Council Entry'!U$8),ISNUMBER('Council Entry'!U$9)),MAX(MIN('Council Entry'!U52,'Council Entry'!U$9),'Council Entry'!U$8),'Council Entry'!U52)),IF(AND(ISNUMBER('Council Entry'!U$8),ISNUMBER('Council Entry'!U$9)),MAX(MIN('Council Entry'!U52,'Council Entry'!U$9),'Council Entry'!U$8),'Council Entry'!U52))))-'Council Entry'!U$5)/('Council Entry'!U$6-'Council Entry'!U$5),10*((IF('Council Entry'!U$4="Logarithm",LN(0.001+IF(AND(ISNUMBER('Council Entry'!U$8),ISNUMBER('Council Entry'!U$9)),MAX(MIN('Council Entry'!U52,'Council Entry'!U$9),'Council Entry'!U$8),'Council Entry'!U52)),IF('Council Entry'!U$4="Exponential",EXP(IF(AND(ISNUMBER('Council Entry'!U$8),ISNUMBER('Council Entry'!U$9)),MAX(MIN('Council Entry'!U52,'Council Entry'!U$9),'Council Entry'!U$8),'Council Entry'!U52)),IF(AND(ISNUMBER('Council Entry'!U$8),ISNUMBER('Council Entry'!U$9)),MAX(MIN('Council Entry'!U52,'Council Entry'!U$9),'Council Entry'!U$8),'Council Entry'!U52))))-'Council Entry'!U$5)/('Council Entry'!U$6-'Council Entry'!U$5)),1))),"No data"))</f>
        <v/>
      </c>
      <c r="V52" s="13">
        <f>IF('Council Entry'!V52="","",IFERROR(MAX(0,MIN(10,ROUND(IF('Council Entry'!V$7="Decrease Risk",10-10*((IF('Council Entry'!V$4="Logarithm",LN(0.001+IF(AND(ISNUMBER('Council Entry'!V$8),ISNUMBER('Council Entry'!V$9)),MAX(MIN('Council Entry'!V52,'Council Entry'!V$9),'Council Entry'!V$8),'Council Entry'!V52)),IF('Council Entry'!V$4="Exponential",EXP(IF(AND(ISNUMBER('Council Entry'!V$8),ISNUMBER('Council Entry'!V$9)),MAX(MIN('Council Entry'!V52,'Council Entry'!V$9),'Council Entry'!V$8),'Council Entry'!V52)),IF(AND(ISNUMBER('Council Entry'!V$8),ISNUMBER('Council Entry'!V$9)),MAX(MIN('Council Entry'!V52,'Council Entry'!V$9),'Council Entry'!V$8),'Council Entry'!V52))))-'Council Entry'!V$5)/('Council Entry'!V$6-'Council Entry'!V$5),10*((IF('Council Entry'!V$4="Logarithm",LN(0.001+IF(AND(ISNUMBER('Council Entry'!V$8),ISNUMBER('Council Entry'!V$9)),MAX(MIN('Council Entry'!V52,'Council Entry'!V$9),'Council Entry'!V$8),'Council Entry'!V52)),IF('Council Entry'!V$4="Exponential",EXP(IF(AND(ISNUMBER('Council Entry'!V$8),ISNUMBER('Council Entry'!V$9)),MAX(MIN('Council Entry'!V52,'Council Entry'!V$9),'Council Entry'!V$8),'Council Entry'!V52)),IF(AND(ISNUMBER('Council Entry'!V$8),ISNUMBER('Council Entry'!V$9)),MAX(MIN('Council Entry'!V52,'Council Entry'!V$9),'Council Entry'!V$8),'Council Entry'!V52))))-'Council Entry'!V$5)/('Council Entry'!V$6-'Council Entry'!V$5)),1))),"No data"))</f>
        <v/>
      </c>
      <c r="W52" s="13">
        <f>IF('Council Entry'!W52="","",IFERROR(MAX(0,MIN(10,ROUND(IF('Council Entry'!W$7="Decrease Risk",10-10*((IF('Council Entry'!W$4="Logarithm",LN(0.001+IF(AND(ISNUMBER('Council Entry'!W$8),ISNUMBER('Council Entry'!W$9)),MAX(MIN('Council Entry'!W52,'Council Entry'!W$9),'Council Entry'!W$8),'Council Entry'!W52)),IF('Council Entry'!W$4="Exponential",EXP(IF(AND(ISNUMBER('Council Entry'!W$8),ISNUMBER('Council Entry'!W$9)),MAX(MIN('Council Entry'!W52,'Council Entry'!W$9),'Council Entry'!W$8),'Council Entry'!W52)),IF(AND(ISNUMBER('Council Entry'!W$8),ISNUMBER('Council Entry'!W$9)),MAX(MIN('Council Entry'!W52,'Council Entry'!W$9),'Council Entry'!W$8),'Council Entry'!W52))))-'Council Entry'!W$5)/('Council Entry'!W$6-'Council Entry'!W$5),10*((IF('Council Entry'!W$4="Logarithm",LN(0.001+IF(AND(ISNUMBER('Council Entry'!W$8),ISNUMBER('Council Entry'!W$9)),MAX(MIN('Council Entry'!W52,'Council Entry'!W$9),'Council Entry'!W$8),'Council Entry'!W52)),IF('Council Entry'!W$4="Exponential",EXP(IF(AND(ISNUMBER('Council Entry'!W$8),ISNUMBER('Council Entry'!W$9)),MAX(MIN('Council Entry'!W52,'Council Entry'!W$9),'Council Entry'!W$8),'Council Entry'!W52)),IF(AND(ISNUMBER('Council Entry'!W$8),ISNUMBER('Council Entry'!W$9)),MAX(MIN('Council Entry'!W52,'Council Entry'!W$9),'Council Entry'!W$8),'Council Entry'!W52))))-'Council Entry'!W$5)/('Council Entry'!W$6-'Council Entry'!W$5)),1))),"No data"))</f>
        <v/>
      </c>
      <c r="X52" s="13">
        <f>IF('Council Entry'!X52="","",IFERROR(MAX(0,MIN(10,ROUND(IF('Council Entry'!X$7="Decrease Risk",10-10*((IF('Council Entry'!X$4="Logarithm",LN(0.001+IF(AND(ISNUMBER('Council Entry'!X$8),ISNUMBER('Council Entry'!X$9)),MAX(MIN('Council Entry'!X52,'Council Entry'!X$9),'Council Entry'!X$8),'Council Entry'!X52)),IF('Council Entry'!X$4="Exponential",EXP(IF(AND(ISNUMBER('Council Entry'!X$8),ISNUMBER('Council Entry'!X$9)),MAX(MIN('Council Entry'!X52,'Council Entry'!X$9),'Council Entry'!X$8),'Council Entry'!X52)),IF(AND(ISNUMBER('Council Entry'!X$8),ISNUMBER('Council Entry'!X$9)),MAX(MIN('Council Entry'!X52,'Council Entry'!X$9),'Council Entry'!X$8),'Council Entry'!X52))))-'Council Entry'!X$5)/('Council Entry'!X$6-'Council Entry'!X$5),10*((IF('Council Entry'!X$4="Logarithm",LN(0.001+IF(AND(ISNUMBER('Council Entry'!X$8),ISNUMBER('Council Entry'!X$9)),MAX(MIN('Council Entry'!X52,'Council Entry'!X$9),'Council Entry'!X$8),'Council Entry'!X52)),IF('Council Entry'!X$4="Exponential",EXP(IF(AND(ISNUMBER('Council Entry'!X$8),ISNUMBER('Council Entry'!X$9)),MAX(MIN('Council Entry'!X52,'Council Entry'!X$9),'Council Entry'!X$8),'Council Entry'!X52)),IF(AND(ISNUMBER('Council Entry'!X$8),ISNUMBER('Council Entry'!X$9)),MAX(MIN('Council Entry'!X52,'Council Entry'!X$9),'Council Entry'!X$8),'Council Entry'!X52))))-'Council Entry'!X$5)/('Council Entry'!X$6-'Council Entry'!X$5)),1))),"No data"))</f>
        <v/>
      </c>
      <c r="Y52" s="13">
        <f>IF('Council Entry'!Y52="","",IFERROR(MAX(0,MIN(10,ROUND(IF('Council Entry'!Y$7="Decrease Risk",10-10*((IF('Council Entry'!Y$4="Logarithm",LN(0.001+IF(AND(ISNUMBER('Council Entry'!Y$8),ISNUMBER('Council Entry'!Y$9)),MAX(MIN('Council Entry'!Y52,'Council Entry'!Y$9),'Council Entry'!Y$8),'Council Entry'!Y52)),IF('Council Entry'!Y$4="Exponential",EXP(IF(AND(ISNUMBER('Council Entry'!Y$8),ISNUMBER('Council Entry'!Y$9)),MAX(MIN('Council Entry'!Y52,'Council Entry'!Y$9),'Council Entry'!Y$8),'Council Entry'!Y52)),IF(AND(ISNUMBER('Council Entry'!Y$8),ISNUMBER('Council Entry'!Y$9)),MAX(MIN('Council Entry'!Y52,'Council Entry'!Y$9),'Council Entry'!Y$8),'Council Entry'!Y52))))-'Council Entry'!Y$5)/('Council Entry'!Y$6-'Council Entry'!Y$5),10*((IF('Council Entry'!Y$4="Logarithm",LN(0.001+IF(AND(ISNUMBER('Council Entry'!Y$8),ISNUMBER('Council Entry'!Y$9)),MAX(MIN('Council Entry'!Y52,'Council Entry'!Y$9),'Council Entry'!Y$8),'Council Entry'!Y52)),IF('Council Entry'!Y$4="Exponential",EXP(IF(AND(ISNUMBER('Council Entry'!Y$8),ISNUMBER('Council Entry'!Y$9)),MAX(MIN('Council Entry'!Y52,'Council Entry'!Y$9),'Council Entry'!Y$8),'Council Entry'!Y52)),IF(AND(ISNUMBER('Council Entry'!Y$8),ISNUMBER('Council Entry'!Y$9)),MAX(MIN('Council Entry'!Y52,'Council Entry'!Y$9),'Council Entry'!Y$8),'Council Entry'!Y52))))-'Council Entry'!Y$5)/('Council Entry'!Y$6-'Council Entry'!Y$5)),1))),"No data"))</f>
        <v/>
      </c>
      <c r="Z52" s="13">
        <f>IF('Council Entry'!Z52="","",IFERROR(MAX(0,MIN(10,ROUND(IF('Council Entry'!Z$7="Decrease Risk",10-10*((IF('Council Entry'!Z$4="Logarithm",LN(0.001+IF(AND(ISNUMBER('Council Entry'!Z$8),ISNUMBER('Council Entry'!Z$9)),MAX(MIN('Council Entry'!Z52,'Council Entry'!Z$9),'Council Entry'!Z$8),'Council Entry'!Z52)),IF('Council Entry'!Z$4="Exponential",EXP(IF(AND(ISNUMBER('Council Entry'!Z$8),ISNUMBER('Council Entry'!Z$9)),MAX(MIN('Council Entry'!Z52,'Council Entry'!Z$9),'Council Entry'!Z$8),'Council Entry'!Z52)),IF(AND(ISNUMBER('Council Entry'!Z$8),ISNUMBER('Council Entry'!Z$9)),MAX(MIN('Council Entry'!Z52,'Council Entry'!Z$9),'Council Entry'!Z$8),'Council Entry'!Z52))))-'Council Entry'!Z$5)/('Council Entry'!Z$6-'Council Entry'!Z$5),10*((IF('Council Entry'!Z$4="Logarithm",LN(0.001+IF(AND(ISNUMBER('Council Entry'!Z$8),ISNUMBER('Council Entry'!Z$9)),MAX(MIN('Council Entry'!Z52,'Council Entry'!Z$9),'Council Entry'!Z$8),'Council Entry'!Z52)),IF('Council Entry'!Z$4="Exponential",EXP(IF(AND(ISNUMBER('Council Entry'!Z$8),ISNUMBER('Council Entry'!Z$9)),MAX(MIN('Council Entry'!Z52,'Council Entry'!Z$9),'Council Entry'!Z$8),'Council Entry'!Z52)),IF(AND(ISNUMBER('Council Entry'!Z$8),ISNUMBER('Council Entry'!Z$9)),MAX(MIN('Council Entry'!Z52,'Council Entry'!Z$9),'Council Entry'!Z$8),'Council Entry'!Z52))))-'Council Entry'!Z$5)/('Council Entry'!Z$6-'Council Entry'!Z$5)),1))),"No data"))</f>
        <v/>
      </c>
      <c r="AA52" s="13">
        <f>IF('Council Entry'!AA52="","",IFERROR(MAX(0,MIN(10,ROUND(IF('Council Entry'!AA$7="Decrease Risk",10-10*((IF('Council Entry'!AA$4="Logarithm",LN(0.001+IF(AND(ISNUMBER('Council Entry'!AA$8),ISNUMBER('Council Entry'!AA$9)),MAX(MIN('Council Entry'!AA52,'Council Entry'!AA$9),'Council Entry'!AA$8),'Council Entry'!AA52)),IF('Council Entry'!AA$4="Exponential",EXP(IF(AND(ISNUMBER('Council Entry'!AA$8),ISNUMBER('Council Entry'!AA$9)),MAX(MIN('Council Entry'!AA52,'Council Entry'!AA$9),'Council Entry'!AA$8),'Council Entry'!AA52)),IF(AND(ISNUMBER('Council Entry'!AA$8),ISNUMBER('Council Entry'!AA$9)),MAX(MIN('Council Entry'!AA52,'Council Entry'!AA$9),'Council Entry'!AA$8),'Council Entry'!AA52))))-'Council Entry'!AA$5)/('Council Entry'!AA$6-'Council Entry'!AA$5),10*((IF('Council Entry'!AA$4="Logarithm",LN(0.001+IF(AND(ISNUMBER('Council Entry'!AA$8),ISNUMBER('Council Entry'!AA$9)),MAX(MIN('Council Entry'!AA52,'Council Entry'!AA$9),'Council Entry'!AA$8),'Council Entry'!AA52)),IF('Council Entry'!AA$4="Exponential",EXP(IF(AND(ISNUMBER('Council Entry'!AA$8),ISNUMBER('Council Entry'!AA$9)),MAX(MIN('Council Entry'!AA52,'Council Entry'!AA$9),'Council Entry'!AA$8),'Council Entry'!AA52)),IF(AND(ISNUMBER('Council Entry'!AA$8),ISNUMBER('Council Entry'!AA$9)),MAX(MIN('Council Entry'!AA52,'Council Entry'!AA$9),'Council Entry'!AA$8),'Council Entry'!AA52))))-'Council Entry'!AA$5)/('Council Entry'!AA$6-'Council Entry'!AA$5)),1))),"No data"))</f>
        <v/>
      </c>
      <c r="AB52" s="13">
        <f>IF('Council Entry'!AB52="","",IFERROR(MAX(0,MIN(10,ROUND(IF('Council Entry'!AB$7="Decrease Risk",10-10*((IF('Council Entry'!AB$4="Logarithm",LN(0.001+IF(AND(ISNUMBER('Council Entry'!AB$8),ISNUMBER('Council Entry'!AB$9)),MAX(MIN('Council Entry'!AB52,'Council Entry'!AB$9),'Council Entry'!AB$8),'Council Entry'!AB52)),IF('Council Entry'!AB$4="Exponential",EXP(IF(AND(ISNUMBER('Council Entry'!AB$8),ISNUMBER('Council Entry'!AB$9)),MAX(MIN('Council Entry'!AB52,'Council Entry'!AB$9),'Council Entry'!AB$8),'Council Entry'!AB52)),IF(AND(ISNUMBER('Council Entry'!AB$8),ISNUMBER('Council Entry'!AB$9)),MAX(MIN('Council Entry'!AB52,'Council Entry'!AB$9),'Council Entry'!AB$8),'Council Entry'!AB52))))-'Council Entry'!AB$5)/('Council Entry'!AB$6-'Council Entry'!AB$5),10*((IF('Council Entry'!AB$4="Logarithm",LN(0.001+IF(AND(ISNUMBER('Council Entry'!AB$8),ISNUMBER('Council Entry'!AB$9)),MAX(MIN('Council Entry'!AB52,'Council Entry'!AB$9),'Council Entry'!AB$8),'Council Entry'!AB52)),IF('Council Entry'!AB$4="Exponential",EXP(IF(AND(ISNUMBER('Council Entry'!AB$8),ISNUMBER('Council Entry'!AB$9)),MAX(MIN('Council Entry'!AB52,'Council Entry'!AB$9),'Council Entry'!AB$8),'Council Entry'!AB52)),IF(AND(ISNUMBER('Council Entry'!AB$8),ISNUMBER('Council Entry'!AB$9)),MAX(MIN('Council Entry'!AB52,'Council Entry'!AB$9),'Council Entry'!AB$8),'Council Entry'!AB52))))-'Council Entry'!AB$5)/('Council Entry'!AB$6-'Council Entry'!AB$5)),1))),"No data"))</f>
        <v/>
      </c>
      <c r="AC52" s="13">
        <f>IF('Council Entry'!AC52="","",IFERROR(MAX(0,MIN(10,ROUND(IF('Council Entry'!AC$7="Decrease Risk",10-10*((IF('Council Entry'!AC$4="Logarithm",LN(0.001+IF(AND(ISNUMBER('Council Entry'!AC$8),ISNUMBER('Council Entry'!AC$9)),MAX(MIN('Council Entry'!AC52,'Council Entry'!AC$9),'Council Entry'!AC$8),'Council Entry'!AC52)),IF('Council Entry'!AC$4="Exponential",EXP(IF(AND(ISNUMBER('Council Entry'!AC$8),ISNUMBER('Council Entry'!AC$9)),MAX(MIN('Council Entry'!AC52,'Council Entry'!AC$9),'Council Entry'!AC$8),'Council Entry'!AC52)),IF(AND(ISNUMBER('Council Entry'!AC$8),ISNUMBER('Council Entry'!AC$9)),MAX(MIN('Council Entry'!AC52,'Council Entry'!AC$9),'Council Entry'!AC$8),'Council Entry'!AC52))))-'Council Entry'!AC$5)/('Council Entry'!AC$6-'Council Entry'!AC$5),10*((IF('Council Entry'!AC$4="Logarithm",LN(0.001+IF(AND(ISNUMBER('Council Entry'!AC$8),ISNUMBER('Council Entry'!AC$9)),MAX(MIN('Council Entry'!AC52,'Council Entry'!AC$9),'Council Entry'!AC$8),'Council Entry'!AC52)),IF('Council Entry'!AC$4="Exponential",EXP(IF(AND(ISNUMBER('Council Entry'!AC$8),ISNUMBER('Council Entry'!AC$9)),MAX(MIN('Council Entry'!AC52,'Council Entry'!AC$9),'Council Entry'!AC$8),'Council Entry'!AC52)),IF(AND(ISNUMBER('Council Entry'!AC$8),ISNUMBER('Council Entry'!AC$9)),MAX(MIN('Council Entry'!AC52,'Council Entry'!AC$9),'Council Entry'!AC$8),'Council Entry'!AC52))))-'Council Entry'!AC$5)/('Council Entry'!AC$6-'Council Entry'!AC$5)),1))),"No data"))</f>
        <v/>
      </c>
      <c r="AD52" s="13">
        <f>IF('Council Entry'!AD52="","",IFERROR(MAX(0,MIN(10,ROUND(IF('Council Entry'!AD$7="Decrease Risk",10-10*((IF('Council Entry'!AD$4="Logarithm",LN(0.001+IF(AND(ISNUMBER('Council Entry'!AD$8),ISNUMBER('Council Entry'!AD$9)),MAX(MIN('Council Entry'!AD52,'Council Entry'!AD$9),'Council Entry'!AD$8),'Council Entry'!AD52)),IF('Council Entry'!AD$4="Exponential",EXP(IF(AND(ISNUMBER('Council Entry'!AD$8),ISNUMBER('Council Entry'!AD$9)),MAX(MIN('Council Entry'!AD52,'Council Entry'!AD$9),'Council Entry'!AD$8),'Council Entry'!AD52)),IF(AND(ISNUMBER('Council Entry'!AD$8),ISNUMBER('Council Entry'!AD$9)),MAX(MIN('Council Entry'!AD52,'Council Entry'!AD$9),'Council Entry'!AD$8),'Council Entry'!AD52))))-'Council Entry'!AD$5)/('Council Entry'!AD$6-'Council Entry'!AD$5),10*((IF('Council Entry'!AD$4="Logarithm",LN(0.001+IF(AND(ISNUMBER('Council Entry'!AD$8),ISNUMBER('Council Entry'!AD$9)),MAX(MIN('Council Entry'!AD52,'Council Entry'!AD$9),'Council Entry'!AD$8),'Council Entry'!AD52)),IF('Council Entry'!AD$4="Exponential",EXP(IF(AND(ISNUMBER('Council Entry'!AD$8),ISNUMBER('Council Entry'!AD$9)),MAX(MIN('Council Entry'!AD52,'Council Entry'!AD$9),'Council Entry'!AD$8),'Council Entry'!AD52)),IF(AND(ISNUMBER('Council Entry'!AD$8),ISNUMBER('Council Entry'!AD$9)),MAX(MIN('Council Entry'!AD52,'Council Entry'!AD$9),'Council Entry'!AD$8),'Council Entry'!AD52))))-'Council Entry'!AD$5)/('Council Entry'!AD$6-'Council Entry'!AD$5)),1))),"No data"))</f>
        <v/>
      </c>
      <c r="AE52" s="13">
        <f>IF('Council Entry'!AE52="","",IFERROR(MAX(0,MIN(10,ROUND(IF('Council Entry'!AE$7="Decrease Risk",10-10*((IF('Council Entry'!AE$4="Logarithm",LN(0.001+IF(AND(ISNUMBER('Council Entry'!AE$8),ISNUMBER('Council Entry'!AE$9)),MAX(MIN('Council Entry'!AE52,'Council Entry'!AE$9),'Council Entry'!AE$8),'Council Entry'!AE52)),IF('Council Entry'!AE$4="Exponential",EXP(IF(AND(ISNUMBER('Council Entry'!AE$8),ISNUMBER('Council Entry'!AE$9)),MAX(MIN('Council Entry'!AE52,'Council Entry'!AE$9),'Council Entry'!AE$8),'Council Entry'!AE52)),IF(AND(ISNUMBER('Council Entry'!AE$8),ISNUMBER('Council Entry'!AE$9)),MAX(MIN('Council Entry'!AE52,'Council Entry'!AE$9),'Council Entry'!AE$8),'Council Entry'!AE52))))-'Council Entry'!AE$5)/('Council Entry'!AE$6-'Council Entry'!AE$5),10*((IF('Council Entry'!AE$4="Logarithm",LN(0.001+IF(AND(ISNUMBER('Council Entry'!AE$8),ISNUMBER('Council Entry'!AE$9)),MAX(MIN('Council Entry'!AE52,'Council Entry'!AE$9),'Council Entry'!AE$8),'Council Entry'!AE52)),IF('Council Entry'!AE$4="Exponential",EXP(IF(AND(ISNUMBER('Council Entry'!AE$8),ISNUMBER('Council Entry'!AE$9)),MAX(MIN('Council Entry'!AE52,'Council Entry'!AE$9),'Council Entry'!AE$8),'Council Entry'!AE52)),IF(AND(ISNUMBER('Council Entry'!AE$8),ISNUMBER('Council Entry'!AE$9)),MAX(MIN('Council Entry'!AE52,'Council Entry'!AE$9),'Council Entry'!AE$8),'Council Entry'!AE52))))-'Council Entry'!AE$5)/('Council Entry'!AE$6-'Council Entry'!AE$5)),1))),"No data"))</f>
        <v/>
      </c>
      <c r="AF52" s="13">
        <f>IF('Council Entry'!AF52="","",IFERROR(MAX(0,MIN(10,ROUND(IF('Council Entry'!AF$7="Decrease Risk",10-10*((IF('Council Entry'!AF$4="Logarithm",LN(0.001+IF(AND(ISNUMBER('Council Entry'!AF$8),ISNUMBER('Council Entry'!AF$9)),MAX(MIN('Council Entry'!AF52,'Council Entry'!AF$9),'Council Entry'!AF$8),'Council Entry'!AF52)),IF('Council Entry'!AF$4="Exponential",EXP(IF(AND(ISNUMBER('Council Entry'!AF$8),ISNUMBER('Council Entry'!AF$9)),MAX(MIN('Council Entry'!AF52,'Council Entry'!AF$9),'Council Entry'!AF$8),'Council Entry'!AF52)),IF(AND(ISNUMBER('Council Entry'!AF$8),ISNUMBER('Council Entry'!AF$9)),MAX(MIN('Council Entry'!AF52,'Council Entry'!AF$9),'Council Entry'!AF$8),'Council Entry'!AF52))))-'Council Entry'!AF$5)/('Council Entry'!AF$6-'Council Entry'!AF$5),10*((IF('Council Entry'!AF$4="Logarithm",LN(0.001+IF(AND(ISNUMBER('Council Entry'!AF$8),ISNUMBER('Council Entry'!AF$9)),MAX(MIN('Council Entry'!AF52,'Council Entry'!AF$9),'Council Entry'!AF$8),'Council Entry'!AF52)),IF('Council Entry'!AF$4="Exponential",EXP(IF(AND(ISNUMBER('Council Entry'!AF$8),ISNUMBER('Council Entry'!AF$9)),MAX(MIN('Council Entry'!AF52,'Council Entry'!AF$9),'Council Entry'!AF$8),'Council Entry'!AF52)),IF(AND(ISNUMBER('Council Entry'!AF$8),ISNUMBER('Council Entry'!AF$9)),MAX(MIN('Council Entry'!AF52,'Council Entry'!AF$9),'Council Entry'!AF$8),'Council Entry'!AF52))))-'Council Entry'!AF$5)/('Council Entry'!AF$6-'Council Entry'!AF$5)),1))),"No data"))</f>
        <v/>
      </c>
      <c r="AG52" s="13">
        <f>IF('Council Entry'!AG52="","",IFERROR(MAX(0,MIN(10,ROUND(IF('Council Entry'!AG$7="Decrease Risk",10-10*((IF('Council Entry'!AG$4="Logarithm",LN(0.001+IF(AND(ISNUMBER('Council Entry'!AG$8),ISNUMBER('Council Entry'!AG$9)),MAX(MIN('Council Entry'!AG52,'Council Entry'!AG$9),'Council Entry'!AG$8),'Council Entry'!AG52)),IF('Council Entry'!AG$4="Exponential",EXP(IF(AND(ISNUMBER('Council Entry'!AG$8),ISNUMBER('Council Entry'!AG$9)),MAX(MIN('Council Entry'!AG52,'Council Entry'!AG$9),'Council Entry'!AG$8),'Council Entry'!AG52)),IF(AND(ISNUMBER('Council Entry'!AG$8),ISNUMBER('Council Entry'!AG$9)),MAX(MIN('Council Entry'!AG52,'Council Entry'!AG$9),'Council Entry'!AG$8),'Council Entry'!AG52))))-'Council Entry'!AG$5)/('Council Entry'!AG$6-'Council Entry'!AG$5),10*((IF('Council Entry'!AG$4="Logarithm",LN(0.001+IF(AND(ISNUMBER('Council Entry'!AG$8),ISNUMBER('Council Entry'!AG$9)),MAX(MIN('Council Entry'!AG52,'Council Entry'!AG$9),'Council Entry'!AG$8),'Council Entry'!AG52)),IF('Council Entry'!AG$4="Exponential",EXP(IF(AND(ISNUMBER('Council Entry'!AG$8),ISNUMBER('Council Entry'!AG$9)),MAX(MIN('Council Entry'!AG52,'Council Entry'!AG$9),'Council Entry'!AG$8),'Council Entry'!AG52)),IF(AND(ISNUMBER('Council Entry'!AG$8),ISNUMBER('Council Entry'!AG$9)),MAX(MIN('Council Entry'!AG52,'Council Entry'!AG$9),'Council Entry'!AG$8),'Council Entry'!AG52))))-'Council Entry'!AG$5)/('Council Entry'!AG$6-'Council Entry'!AG$5)),1))),"No data"))</f>
        <v/>
      </c>
      <c r="AH52" s="13">
        <f>IF('Council Entry'!AH52="","",IFERROR(MAX(0,MIN(10,ROUND(IF('Council Entry'!AH$7="Decrease Risk",10-10*((IF('Council Entry'!AH$4="Logarithm",LN(0.001+IF(AND(ISNUMBER('Council Entry'!AH$8),ISNUMBER('Council Entry'!AH$9)),MAX(MIN('Council Entry'!AH52,'Council Entry'!AH$9),'Council Entry'!AH$8),'Council Entry'!AH52)),IF('Council Entry'!AH$4="Exponential",EXP(IF(AND(ISNUMBER('Council Entry'!AH$8),ISNUMBER('Council Entry'!AH$9)),MAX(MIN('Council Entry'!AH52,'Council Entry'!AH$9),'Council Entry'!AH$8),'Council Entry'!AH52)),IF(AND(ISNUMBER('Council Entry'!AH$8),ISNUMBER('Council Entry'!AH$9)),MAX(MIN('Council Entry'!AH52,'Council Entry'!AH$9),'Council Entry'!AH$8),'Council Entry'!AH52))))-'Council Entry'!AH$5)/('Council Entry'!AH$6-'Council Entry'!AH$5),10*((IF('Council Entry'!AH$4="Logarithm",LN(0.001+IF(AND(ISNUMBER('Council Entry'!AH$8),ISNUMBER('Council Entry'!AH$9)),MAX(MIN('Council Entry'!AH52,'Council Entry'!AH$9),'Council Entry'!AH$8),'Council Entry'!AH52)),IF('Council Entry'!AH$4="Exponential",EXP(IF(AND(ISNUMBER('Council Entry'!AH$8),ISNUMBER('Council Entry'!AH$9)),MAX(MIN('Council Entry'!AH52,'Council Entry'!AH$9),'Council Entry'!AH$8),'Council Entry'!AH52)),IF(AND(ISNUMBER('Council Entry'!AH$8),ISNUMBER('Council Entry'!AH$9)),MAX(MIN('Council Entry'!AH52,'Council Entry'!AH$9),'Council Entry'!AH$8),'Council Entry'!AH52))))-'Council Entry'!AH$5)/('Council Entry'!AH$6-'Council Entry'!AH$5)),1))),"No data"))</f>
        <v/>
      </c>
      <c r="AI52" s="13">
        <f>IF('Council Entry'!AI52="","",IFERROR(MAX(0,MIN(10,ROUND(IF('Council Entry'!AI$7="Decrease Risk",10-10*((IF('Council Entry'!AI$4="Logarithm",LN(0.001+IF(AND(ISNUMBER('Council Entry'!AI$8),ISNUMBER('Council Entry'!AI$9)),MAX(MIN('Council Entry'!AI52,'Council Entry'!AI$9),'Council Entry'!AI$8),'Council Entry'!AI52)),IF('Council Entry'!AI$4="Exponential",EXP(IF(AND(ISNUMBER('Council Entry'!AI$8),ISNUMBER('Council Entry'!AI$9)),MAX(MIN('Council Entry'!AI52,'Council Entry'!AI$9),'Council Entry'!AI$8),'Council Entry'!AI52)),IF(AND(ISNUMBER('Council Entry'!AI$8),ISNUMBER('Council Entry'!AI$9)),MAX(MIN('Council Entry'!AI52,'Council Entry'!AI$9),'Council Entry'!AI$8),'Council Entry'!AI52))))-'Council Entry'!AI$5)/('Council Entry'!AI$6-'Council Entry'!AI$5),10*((IF('Council Entry'!AI$4="Logarithm",LN(0.001+IF(AND(ISNUMBER('Council Entry'!AI$8),ISNUMBER('Council Entry'!AI$9)),MAX(MIN('Council Entry'!AI52,'Council Entry'!AI$9),'Council Entry'!AI$8),'Council Entry'!AI52)),IF('Council Entry'!AI$4="Exponential",EXP(IF(AND(ISNUMBER('Council Entry'!AI$8),ISNUMBER('Council Entry'!AI$9)),MAX(MIN('Council Entry'!AI52,'Council Entry'!AI$9),'Council Entry'!AI$8),'Council Entry'!AI52)),IF(AND(ISNUMBER('Council Entry'!AI$8),ISNUMBER('Council Entry'!AI$9)),MAX(MIN('Council Entry'!AI52,'Council Entry'!AI$9),'Council Entry'!AI$8),'Council Entry'!AI52))))-'Council Entry'!AI$5)/('Council Entry'!AI$6-'Council Entry'!AI$5)),1))),"No data"))</f>
        <v/>
      </c>
      <c r="AJ52" s="13">
        <f>IF('Council Entry'!AJ52="","",IFERROR(MAX(0,MIN(10,ROUND(IF('Council Entry'!AJ$7="Decrease Risk",10-10*((IF('Council Entry'!AJ$4="Logarithm",LN(0.001+IF(AND(ISNUMBER('Council Entry'!AJ$8),ISNUMBER('Council Entry'!AJ$9)),MAX(MIN('Council Entry'!AJ52,'Council Entry'!AJ$9),'Council Entry'!AJ$8),'Council Entry'!AJ52)),IF('Council Entry'!AJ$4="Exponential",EXP(IF(AND(ISNUMBER('Council Entry'!AJ$8),ISNUMBER('Council Entry'!AJ$9)),MAX(MIN('Council Entry'!AJ52,'Council Entry'!AJ$9),'Council Entry'!AJ$8),'Council Entry'!AJ52)),IF(AND(ISNUMBER('Council Entry'!AJ$8),ISNUMBER('Council Entry'!AJ$9)),MAX(MIN('Council Entry'!AJ52,'Council Entry'!AJ$9),'Council Entry'!AJ$8),'Council Entry'!AJ52))))-'Council Entry'!AJ$5)/('Council Entry'!AJ$6-'Council Entry'!AJ$5),10*((IF('Council Entry'!AJ$4="Logarithm",LN(0.001+IF(AND(ISNUMBER('Council Entry'!AJ$8),ISNUMBER('Council Entry'!AJ$9)),MAX(MIN('Council Entry'!AJ52,'Council Entry'!AJ$9),'Council Entry'!AJ$8),'Council Entry'!AJ52)),IF('Council Entry'!AJ$4="Exponential",EXP(IF(AND(ISNUMBER('Council Entry'!AJ$8),ISNUMBER('Council Entry'!AJ$9)),MAX(MIN('Council Entry'!AJ52,'Council Entry'!AJ$9),'Council Entry'!AJ$8),'Council Entry'!AJ52)),IF(AND(ISNUMBER('Council Entry'!AJ$8),ISNUMBER('Council Entry'!AJ$9)),MAX(MIN('Council Entry'!AJ52,'Council Entry'!AJ$9),'Council Entry'!AJ$8),'Council Entry'!AJ52))))-'Council Entry'!AJ$5)/('Council Entry'!AJ$6-'Council Entry'!AJ$5)),1))),"No data"))</f>
        <v/>
      </c>
      <c r="AK52" s="13">
        <f>IF('Council Entry'!AK52="","",IFERROR(MAX(0,MIN(10,ROUND(IF('Council Entry'!AK$7="Decrease Risk",10-10*((IF('Council Entry'!AK$4="Logarithm",LN(0.001+IF(AND(ISNUMBER('Council Entry'!AK$8),ISNUMBER('Council Entry'!AK$9)),MAX(MIN('Council Entry'!AK52,'Council Entry'!AK$9),'Council Entry'!AK$8),'Council Entry'!AK52)),IF('Council Entry'!AK$4="Exponential",EXP(IF(AND(ISNUMBER('Council Entry'!AK$8),ISNUMBER('Council Entry'!AK$9)),MAX(MIN('Council Entry'!AK52,'Council Entry'!AK$9),'Council Entry'!AK$8),'Council Entry'!AK52)),IF(AND(ISNUMBER('Council Entry'!AK$8),ISNUMBER('Council Entry'!AK$9)),MAX(MIN('Council Entry'!AK52,'Council Entry'!AK$9),'Council Entry'!AK$8),'Council Entry'!AK52))))-'Council Entry'!AK$5)/('Council Entry'!AK$6-'Council Entry'!AK$5),10*((IF('Council Entry'!AK$4="Logarithm",LN(0.001+IF(AND(ISNUMBER('Council Entry'!AK$8),ISNUMBER('Council Entry'!AK$9)),MAX(MIN('Council Entry'!AK52,'Council Entry'!AK$9),'Council Entry'!AK$8),'Council Entry'!AK52)),IF('Council Entry'!AK$4="Exponential",EXP(IF(AND(ISNUMBER('Council Entry'!AK$8),ISNUMBER('Council Entry'!AK$9)),MAX(MIN('Council Entry'!AK52,'Council Entry'!AK$9),'Council Entry'!AK$8),'Council Entry'!AK52)),IF(AND(ISNUMBER('Council Entry'!AK$8),ISNUMBER('Council Entry'!AK$9)),MAX(MIN('Council Entry'!AK52,'Council Entry'!AK$9),'Council Entry'!AK$8),'Council Entry'!AK52))))-'Council Entry'!AK$5)/('Council Entry'!AK$6-'Council Entry'!AK$5)),1))),"No data"))</f>
        <v/>
      </c>
      <c r="AL52" s="13">
        <f>IF('Council Entry'!AL52="","",IFERROR(MAX(0,MIN(10,ROUND(IF('Council Entry'!AL$7="Decrease Risk",10-10*((IF('Council Entry'!AL$4="Logarithm",LN(0.001+IF(AND(ISNUMBER('Council Entry'!AL$8),ISNUMBER('Council Entry'!AL$9)),MAX(MIN('Council Entry'!AL52,'Council Entry'!AL$9),'Council Entry'!AL$8),'Council Entry'!AL52)),IF('Council Entry'!AL$4="Exponential",EXP(IF(AND(ISNUMBER('Council Entry'!AL$8),ISNUMBER('Council Entry'!AL$9)),MAX(MIN('Council Entry'!AL52,'Council Entry'!AL$9),'Council Entry'!AL$8),'Council Entry'!AL52)),IF(AND(ISNUMBER('Council Entry'!AL$8),ISNUMBER('Council Entry'!AL$9)),MAX(MIN('Council Entry'!AL52,'Council Entry'!AL$9),'Council Entry'!AL$8),'Council Entry'!AL52))))-'Council Entry'!AL$5)/('Council Entry'!AL$6-'Council Entry'!AL$5),10*((IF('Council Entry'!AL$4="Logarithm",LN(0.001+IF(AND(ISNUMBER('Council Entry'!AL$8),ISNUMBER('Council Entry'!AL$9)),MAX(MIN('Council Entry'!AL52,'Council Entry'!AL$9),'Council Entry'!AL$8),'Council Entry'!AL52)),IF('Council Entry'!AL$4="Exponential",EXP(IF(AND(ISNUMBER('Council Entry'!AL$8),ISNUMBER('Council Entry'!AL$9)),MAX(MIN('Council Entry'!AL52,'Council Entry'!AL$9),'Council Entry'!AL$8),'Council Entry'!AL52)),IF(AND(ISNUMBER('Council Entry'!AL$8),ISNUMBER('Council Entry'!AL$9)),MAX(MIN('Council Entry'!AL52,'Council Entry'!AL$9),'Council Entry'!AL$8),'Council Entry'!AL52))))-'Council Entry'!AL$5)/('Council Entry'!AL$6-'Council Entry'!AL$5)),1))),"No data"))</f>
        <v/>
      </c>
      <c r="AM52" s="13">
        <f>IF('Council Entry'!AM52="","",IFERROR(MAX(0,MIN(10,ROUND(IF('Council Entry'!AM$7="Decrease Risk",10-10*((IF('Council Entry'!AM$4="Logarithm",LN(0.001+IF(AND(ISNUMBER('Council Entry'!AM$8),ISNUMBER('Council Entry'!AM$9)),MAX(MIN('Council Entry'!AM52,'Council Entry'!AM$9),'Council Entry'!AM$8),'Council Entry'!AM52)),IF('Council Entry'!AM$4="Exponential",EXP(IF(AND(ISNUMBER('Council Entry'!AM$8),ISNUMBER('Council Entry'!AM$9)),MAX(MIN('Council Entry'!AM52,'Council Entry'!AM$9),'Council Entry'!AM$8),'Council Entry'!AM52)),IF(AND(ISNUMBER('Council Entry'!AM$8),ISNUMBER('Council Entry'!AM$9)),MAX(MIN('Council Entry'!AM52,'Council Entry'!AM$9),'Council Entry'!AM$8),'Council Entry'!AM52))))-'Council Entry'!AM$5)/('Council Entry'!AM$6-'Council Entry'!AM$5),10*((IF('Council Entry'!AM$4="Logarithm",LN(0.001+IF(AND(ISNUMBER('Council Entry'!AM$8),ISNUMBER('Council Entry'!AM$9)),MAX(MIN('Council Entry'!AM52,'Council Entry'!AM$9),'Council Entry'!AM$8),'Council Entry'!AM52)),IF('Council Entry'!AM$4="Exponential",EXP(IF(AND(ISNUMBER('Council Entry'!AM$8),ISNUMBER('Council Entry'!AM$9)),MAX(MIN('Council Entry'!AM52,'Council Entry'!AM$9),'Council Entry'!AM$8),'Council Entry'!AM52)),IF(AND(ISNUMBER('Council Entry'!AM$8),ISNUMBER('Council Entry'!AM$9)),MAX(MIN('Council Entry'!AM52,'Council Entry'!AM$9),'Council Entry'!AM$8),'Council Entry'!AM52))))-'Council Entry'!AM$5)/('Council Entry'!AM$6-'Council Entry'!AM$5)),1))),"No data"))</f>
        <v/>
      </c>
      <c r="AN52" s="13">
        <f>IF('Council Entry'!AN52="","",IFERROR(MAX(0,MIN(10,ROUND(IF('Council Entry'!AN$7="Decrease Risk",10-10*((IF('Council Entry'!AN$4="Logarithm",LN(0.001+IF(AND(ISNUMBER('Council Entry'!AN$8),ISNUMBER('Council Entry'!AN$9)),MAX(MIN('Council Entry'!AN52,'Council Entry'!AN$9),'Council Entry'!AN$8),'Council Entry'!AN52)),IF('Council Entry'!AN$4="Exponential",EXP(IF(AND(ISNUMBER('Council Entry'!AN$8),ISNUMBER('Council Entry'!AN$9)),MAX(MIN('Council Entry'!AN52,'Council Entry'!AN$9),'Council Entry'!AN$8),'Council Entry'!AN52)),IF(AND(ISNUMBER('Council Entry'!AN$8),ISNUMBER('Council Entry'!AN$9)),MAX(MIN('Council Entry'!AN52,'Council Entry'!AN$9),'Council Entry'!AN$8),'Council Entry'!AN52))))-'Council Entry'!AN$5)/('Council Entry'!AN$6-'Council Entry'!AN$5),10*((IF('Council Entry'!AN$4="Logarithm",LN(0.001+IF(AND(ISNUMBER('Council Entry'!AN$8),ISNUMBER('Council Entry'!AN$9)),MAX(MIN('Council Entry'!AN52,'Council Entry'!AN$9),'Council Entry'!AN$8),'Council Entry'!AN52)),IF('Council Entry'!AN$4="Exponential",EXP(IF(AND(ISNUMBER('Council Entry'!AN$8),ISNUMBER('Council Entry'!AN$9)),MAX(MIN('Council Entry'!AN52,'Council Entry'!AN$9),'Council Entry'!AN$8),'Council Entry'!AN52)),IF(AND(ISNUMBER('Council Entry'!AN$8),ISNUMBER('Council Entry'!AN$9)),MAX(MIN('Council Entry'!AN52,'Council Entry'!AN$9),'Council Entry'!AN$8),'Council Entry'!AN52))))-'Council Entry'!AN$5)/('Council Entry'!AN$6-'Council Entry'!AN$5)),1))),"No data"))</f>
        <v/>
      </c>
      <c r="AO52" s="13">
        <f>IF('Council Entry'!AO52="","",IFERROR(MAX(0,MIN(10,ROUND(IF('Council Entry'!AO$7="Decrease Risk",10-10*((IF('Council Entry'!AO$4="Logarithm",LN(0.001+IF(AND(ISNUMBER('Council Entry'!AO$8),ISNUMBER('Council Entry'!AO$9)),MAX(MIN('Council Entry'!AO52,'Council Entry'!AO$9),'Council Entry'!AO$8),'Council Entry'!AO52)),IF('Council Entry'!AO$4="Exponential",EXP(IF(AND(ISNUMBER('Council Entry'!AO$8),ISNUMBER('Council Entry'!AO$9)),MAX(MIN('Council Entry'!AO52,'Council Entry'!AO$9),'Council Entry'!AO$8),'Council Entry'!AO52)),IF(AND(ISNUMBER('Council Entry'!AO$8),ISNUMBER('Council Entry'!AO$9)),MAX(MIN('Council Entry'!AO52,'Council Entry'!AO$9),'Council Entry'!AO$8),'Council Entry'!AO52))))-'Council Entry'!AO$5)/('Council Entry'!AO$6-'Council Entry'!AO$5),10*((IF('Council Entry'!AO$4="Logarithm",LN(0.001+IF(AND(ISNUMBER('Council Entry'!AO$8),ISNUMBER('Council Entry'!AO$9)),MAX(MIN('Council Entry'!AO52,'Council Entry'!AO$9),'Council Entry'!AO$8),'Council Entry'!AO52)),IF('Council Entry'!AO$4="Exponential",EXP(IF(AND(ISNUMBER('Council Entry'!AO$8),ISNUMBER('Council Entry'!AO$9)),MAX(MIN('Council Entry'!AO52,'Council Entry'!AO$9),'Council Entry'!AO$8),'Council Entry'!AO52)),IF(AND(ISNUMBER('Council Entry'!AO$8),ISNUMBER('Council Entry'!AO$9)),MAX(MIN('Council Entry'!AO52,'Council Entry'!AO$9),'Council Entry'!AO$8),'Council Entry'!AO52))))-'Council Entry'!AO$5)/('Council Entry'!AO$6-'Council Entry'!AO$5)),1))),"No data"))</f>
        <v/>
      </c>
      <c r="AP52" s="13">
        <f>IF('Council Entry'!AP52="","",IFERROR(MAX(0,MIN(10,ROUND(IF('Council Entry'!AP$7="Decrease Risk",10-10*((IF('Council Entry'!AP$4="Logarithm",LN(0.001+IF(AND(ISNUMBER('Council Entry'!AP$8),ISNUMBER('Council Entry'!AP$9)),MAX(MIN('Council Entry'!AP52,'Council Entry'!AP$9),'Council Entry'!AP$8),'Council Entry'!AP52)),IF('Council Entry'!AP$4="Exponential",EXP(IF(AND(ISNUMBER('Council Entry'!AP$8),ISNUMBER('Council Entry'!AP$9)),MAX(MIN('Council Entry'!AP52,'Council Entry'!AP$9),'Council Entry'!AP$8),'Council Entry'!AP52)),IF(AND(ISNUMBER('Council Entry'!AP$8),ISNUMBER('Council Entry'!AP$9)),MAX(MIN('Council Entry'!AP52,'Council Entry'!AP$9),'Council Entry'!AP$8),'Council Entry'!AP52))))-'Council Entry'!AP$5)/('Council Entry'!AP$6-'Council Entry'!AP$5),10*((IF('Council Entry'!AP$4="Logarithm",LN(0.001+IF(AND(ISNUMBER('Council Entry'!AP$8),ISNUMBER('Council Entry'!AP$9)),MAX(MIN('Council Entry'!AP52,'Council Entry'!AP$9),'Council Entry'!AP$8),'Council Entry'!AP52)),IF('Council Entry'!AP$4="Exponential",EXP(IF(AND(ISNUMBER('Council Entry'!AP$8),ISNUMBER('Council Entry'!AP$9)),MAX(MIN('Council Entry'!AP52,'Council Entry'!AP$9),'Council Entry'!AP$8),'Council Entry'!AP52)),IF(AND(ISNUMBER('Council Entry'!AP$8),ISNUMBER('Council Entry'!AP$9)),MAX(MIN('Council Entry'!AP52,'Council Entry'!AP$9),'Council Entry'!AP$8),'Council Entry'!AP52))))-'Council Entry'!AP$5)/('Council Entry'!AP$6-'Council Entry'!AP$5)),1))),"No data"))</f>
        <v/>
      </c>
      <c r="AQ52" s="13">
        <f>IF('Council Entry'!AQ52="","",IFERROR(MAX(0,MIN(10,ROUND(IF('Council Entry'!AQ$7="Decrease Risk",10-10*((IF('Council Entry'!AQ$4="Logarithm",LN(0.001+IF(AND(ISNUMBER('Council Entry'!AQ$8),ISNUMBER('Council Entry'!AQ$9)),MAX(MIN('Council Entry'!AQ52,'Council Entry'!AQ$9),'Council Entry'!AQ$8),'Council Entry'!AQ52)),IF('Council Entry'!AQ$4="Exponential",EXP(IF(AND(ISNUMBER('Council Entry'!AQ$8),ISNUMBER('Council Entry'!AQ$9)),MAX(MIN('Council Entry'!AQ52,'Council Entry'!AQ$9),'Council Entry'!AQ$8),'Council Entry'!AQ52)),IF(AND(ISNUMBER('Council Entry'!AQ$8),ISNUMBER('Council Entry'!AQ$9)),MAX(MIN('Council Entry'!AQ52,'Council Entry'!AQ$9),'Council Entry'!AQ$8),'Council Entry'!AQ52))))-'Council Entry'!AQ$5)/('Council Entry'!AQ$6-'Council Entry'!AQ$5),10*((IF('Council Entry'!AQ$4="Logarithm",LN(0.001+IF(AND(ISNUMBER('Council Entry'!AQ$8),ISNUMBER('Council Entry'!AQ$9)),MAX(MIN('Council Entry'!AQ52,'Council Entry'!AQ$9),'Council Entry'!AQ$8),'Council Entry'!AQ52)),IF('Council Entry'!AQ$4="Exponential",EXP(IF(AND(ISNUMBER('Council Entry'!AQ$8),ISNUMBER('Council Entry'!AQ$9)),MAX(MIN('Council Entry'!AQ52,'Council Entry'!AQ$9),'Council Entry'!AQ$8),'Council Entry'!AQ52)),IF(AND(ISNUMBER('Council Entry'!AQ$8),ISNUMBER('Council Entry'!AQ$9)),MAX(MIN('Council Entry'!AQ52,'Council Entry'!AQ$9),'Council Entry'!AQ$8),'Council Entry'!AQ52))))-'Council Entry'!AQ$5)/('Council Entry'!AQ$6-'Council Entry'!AQ$5)),1))),"No data"))</f>
        <v/>
      </c>
      <c r="AR52" s="13">
        <f>IF('Council Entry'!AR52="","",IFERROR(MAX(0,MIN(10,ROUND(IF('Council Entry'!AR$7="Decrease Risk",10-10*((IF('Council Entry'!AR$4="Logarithm",LN(0.001+IF(AND(ISNUMBER('Council Entry'!AR$8),ISNUMBER('Council Entry'!AR$9)),MAX(MIN('Council Entry'!AR52,'Council Entry'!AR$9),'Council Entry'!AR$8),'Council Entry'!AR52)),IF('Council Entry'!AR$4="Exponential",EXP(IF(AND(ISNUMBER('Council Entry'!AR$8),ISNUMBER('Council Entry'!AR$9)),MAX(MIN('Council Entry'!AR52,'Council Entry'!AR$9),'Council Entry'!AR$8),'Council Entry'!AR52)),IF(AND(ISNUMBER('Council Entry'!AR$8),ISNUMBER('Council Entry'!AR$9)),MAX(MIN('Council Entry'!AR52,'Council Entry'!AR$9),'Council Entry'!AR$8),'Council Entry'!AR52))))-'Council Entry'!AR$5)/('Council Entry'!AR$6-'Council Entry'!AR$5),10*((IF('Council Entry'!AR$4="Logarithm",LN(0.001+IF(AND(ISNUMBER('Council Entry'!AR$8),ISNUMBER('Council Entry'!AR$9)),MAX(MIN('Council Entry'!AR52,'Council Entry'!AR$9),'Council Entry'!AR$8),'Council Entry'!AR52)),IF('Council Entry'!AR$4="Exponential",EXP(IF(AND(ISNUMBER('Council Entry'!AR$8),ISNUMBER('Council Entry'!AR$9)),MAX(MIN('Council Entry'!AR52,'Council Entry'!AR$9),'Council Entry'!AR$8),'Council Entry'!AR52)),IF(AND(ISNUMBER('Council Entry'!AR$8),ISNUMBER('Council Entry'!AR$9)),MAX(MIN('Council Entry'!AR52,'Council Entry'!AR$9),'Council Entry'!AR$8),'Council Entry'!AR52))))-'Council Entry'!AR$5)/('Council Entry'!AR$6-'Council Entry'!AR$5)),1))),"No data"))</f>
        <v/>
      </c>
      <c r="AS52" s="13">
        <f>IF('Council Entry'!AS52="","",IFERROR(MAX(0,MIN(10,ROUND(IF('Council Entry'!AS$7="Decrease Risk",10-10*((IF('Council Entry'!AS$4="Logarithm",LN(0.001+IF(AND(ISNUMBER('Council Entry'!AS$8),ISNUMBER('Council Entry'!AS$9)),MAX(MIN('Council Entry'!AS52,'Council Entry'!AS$9),'Council Entry'!AS$8),'Council Entry'!AS52)),IF('Council Entry'!AS$4="Exponential",EXP(IF(AND(ISNUMBER('Council Entry'!AS$8),ISNUMBER('Council Entry'!AS$9)),MAX(MIN('Council Entry'!AS52,'Council Entry'!AS$9),'Council Entry'!AS$8),'Council Entry'!AS52)),IF(AND(ISNUMBER('Council Entry'!AS$8),ISNUMBER('Council Entry'!AS$9)),MAX(MIN('Council Entry'!AS52,'Council Entry'!AS$9),'Council Entry'!AS$8),'Council Entry'!AS52))))-'Council Entry'!AS$5)/('Council Entry'!AS$6-'Council Entry'!AS$5),10*((IF('Council Entry'!AS$4="Logarithm",LN(0.001+IF(AND(ISNUMBER('Council Entry'!AS$8),ISNUMBER('Council Entry'!AS$9)),MAX(MIN('Council Entry'!AS52,'Council Entry'!AS$9),'Council Entry'!AS$8),'Council Entry'!AS52)),IF('Council Entry'!AS$4="Exponential",EXP(IF(AND(ISNUMBER('Council Entry'!AS$8),ISNUMBER('Council Entry'!AS$9)),MAX(MIN('Council Entry'!AS52,'Council Entry'!AS$9),'Council Entry'!AS$8),'Council Entry'!AS52)),IF(AND(ISNUMBER('Council Entry'!AS$8),ISNUMBER('Council Entry'!AS$9)),MAX(MIN('Council Entry'!AS52,'Council Entry'!AS$9),'Council Entry'!AS$8),'Council Entry'!AS52))))-'Council Entry'!AS$5)/('Council Entry'!AS$6-'Council Entry'!AS$5)),1))),"No data"))</f>
        <v/>
      </c>
      <c r="AT52" s="13">
        <f>IF('Council Entry'!AT52="","",IFERROR(MAX(0,MIN(10,ROUND(IF('Council Entry'!AT$7="Decrease Risk",10-10*((IF('Council Entry'!AT$4="Logarithm",LN(0.001+IF(AND(ISNUMBER('Council Entry'!AT$8),ISNUMBER('Council Entry'!AT$9)),MAX(MIN('Council Entry'!AT52,'Council Entry'!AT$9),'Council Entry'!AT$8),'Council Entry'!AT52)),IF('Council Entry'!AT$4="Exponential",EXP(IF(AND(ISNUMBER('Council Entry'!AT$8),ISNUMBER('Council Entry'!AT$9)),MAX(MIN('Council Entry'!AT52,'Council Entry'!AT$9),'Council Entry'!AT$8),'Council Entry'!AT52)),IF(AND(ISNUMBER('Council Entry'!AT$8),ISNUMBER('Council Entry'!AT$9)),MAX(MIN('Council Entry'!AT52,'Council Entry'!AT$9),'Council Entry'!AT$8),'Council Entry'!AT52))))-'Council Entry'!AT$5)/('Council Entry'!AT$6-'Council Entry'!AT$5),10*((IF('Council Entry'!AT$4="Logarithm",LN(0.001+IF(AND(ISNUMBER('Council Entry'!AT$8),ISNUMBER('Council Entry'!AT$9)),MAX(MIN('Council Entry'!AT52,'Council Entry'!AT$9),'Council Entry'!AT$8),'Council Entry'!AT52)),IF('Council Entry'!AT$4="Exponential",EXP(IF(AND(ISNUMBER('Council Entry'!AT$8),ISNUMBER('Council Entry'!AT$9)),MAX(MIN('Council Entry'!AT52,'Council Entry'!AT$9),'Council Entry'!AT$8),'Council Entry'!AT52)),IF(AND(ISNUMBER('Council Entry'!AT$8),ISNUMBER('Council Entry'!AT$9)),MAX(MIN('Council Entry'!AT52,'Council Entry'!AT$9),'Council Entry'!AT$8),'Council Entry'!AT52))))-'Council Entry'!AT$5)/('Council Entry'!AT$6-'Council Entry'!AT$5)),1))),"No data"))</f>
        <v/>
      </c>
      <c r="AU52" s="13">
        <f>IF('Council Entry'!AU52="","",IFERROR(MAX(0,MIN(10,ROUND(IF('Council Entry'!AU$7="Decrease Risk",10-10*((IF('Council Entry'!AU$4="Logarithm",LN(0.001+IF(AND(ISNUMBER('Council Entry'!AU$8),ISNUMBER('Council Entry'!AU$9)),MAX(MIN('Council Entry'!AU52,'Council Entry'!AU$9),'Council Entry'!AU$8),'Council Entry'!AU52)),IF('Council Entry'!AU$4="Exponential",EXP(IF(AND(ISNUMBER('Council Entry'!AU$8),ISNUMBER('Council Entry'!AU$9)),MAX(MIN('Council Entry'!AU52,'Council Entry'!AU$9),'Council Entry'!AU$8),'Council Entry'!AU52)),IF(AND(ISNUMBER('Council Entry'!AU$8),ISNUMBER('Council Entry'!AU$9)),MAX(MIN('Council Entry'!AU52,'Council Entry'!AU$9),'Council Entry'!AU$8),'Council Entry'!AU52))))-'Council Entry'!AU$5)/('Council Entry'!AU$6-'Council Entry'!AU$5),10*((IF('Council Entry'!AU$4="Logarithm",LN(0.001+IF(AND(ISNUMBER('Council Entry'!AU$8),ISNUMBER('Council Entry'!AU$9)),MAX(MIN('Council Entry'!AU52,'Council Entry'!AU$9),'Council Entry'!AU$8),'Council Entry'!AU52)),IF('Council Entry'!AU$4="Exponential",EXP(IF(AND(ISNUMBER('Council Entry'!AU$8),ISNUMBER('Council Entry'!AU$9)),MAX(MIN('Council Entry'!AU52,'Council Entry'!AU$9),'Council Entry'!AU$8),'Council Entry'!AU52)),IF(AND(ISNUMBER('Council Entry'!AU$8),ISNUMBER('Council Entry'!AU$9)),MAX(MIN('Council Entry'!AU52,'Council Entry'!AU$9),'Council Entry'!AU$8),'Council Entry'!AU52))))-'Council Entry'!AU$5)/('Council Entry'!AU$6-'Council Entry'!AU$5)),1))),"No data"))</f>
        <v/>
      </c>
      <c r="AV52" s="13">
        <f>IF('Council Entry'!AV52="","",IFERROR(MAX(0,MIN(10,ROUND(IF('Council Entry'!AV$7="Decrease Risk",10-10*((IF('Council Entry'!AV$4="Logarithm",LN(0.001+IF(AND(ISNUMBER('Council Entry'!AV$8),ISNUMBER('Council Entry'!AV$9)),MAX(MIN('Council Entry'!AV52,'Council Entry'!AV$9),'Council Entry'!AV$8),'Council Entry'!AV52)),IF('Council Entry'!AV$4="Exponential",EXP(IF(AND(ISNUMBER('Council Entry'!AV$8),ISNUMBER('Council Entry'!AV$9)),MAX(MIN('Council Entry'!AV52,'Council Entry'!AV$9),'Council Entry'!AV$8),'Council Entry'!AV52)),IF(AND(ISNUMBER('Council Entry'!AV$8),ISNUMBER('Council Entry'!AV$9)),MAX(MIN('Council Entry'!AV52,'Council Entry'!AV$9),'Council Entry'!AV$8),'Council Entry'!AV52))))-'Council Entry'!AV$5)/('Council Entry'!AV$6-'Council Entry'!AV$5),10*((IF('Council Entry'!AV$4="Logarithm",LN(0.001+IF(AND(ISNUMBER('Council Entry'!AV$8),ISNUMBER('Council Entry'!AV$9)),MAX(MIN('Council Entry'!AV52,'Council Entry'!AV$9),'Council Entry'!AV$8),'Council Entry'!AV52)),IF('Council Entry'!AV$4="Exponential",EXP(IF(AND(ISNUMBER('Council Entry'!AV$8),ISNUMBER('Council Entry'!AV$9)),MAX(MIN('Council Entry'!AV52,'Council Entry'!AV$9),'Council Entry'!AV$8),'Council Entry'!AV52)),IF(AND(ISNUMBER('Council Entry'!AV$8),ISNUMBER('Council Entry'!AV$9)),MAX(MIN('Council Entry'!AV52,'Council Entry'!AV$9),'Council Entry'!AV$8),'Council Entry'!AV52))))-'Council Entry'!AV$5)/('Council Entry'!AV$6-'Council Entry'!AV$5)),1))),"No data"))</f>
        <v/>
      </c>
      <c r="AW52" s="13">
        <f>IF('Council Entry'!AW52="","",IFERROR(MAX(0,MIN(10,ROUND(IF('Council Entry'!AW$7="Decrease Risk",10-10*((IF('Council Entry'!AW$4="Logarithm",LN(0.001+IF(AND(ISNUMBER('Council Entry'!AW$8),ISNUMBER('Council Entry'!AW$9)),MAX(MIN('Council Entry'!AW52,'Council Entry'!AW$9),'Council Entry'!AW$8),'Council Entry'!AW52)),IF('Council Entry'!AW$4="Exponential",EXP(IF(AND(ISNUMBER('Council Entry'!AW$8),ISNUMBER('Council Entry'!AW$9)),MAX(MIN('Council Entry'!AW52,'Council Entry'!AW$9),'Council Entry'!AW$8),'Council Entry'!AW52)),IF(AND(ISNUMBER('Council Entry'!AW$8),ISNUMBER('Council Entry'!AW$9)),MAX(MIN('Council Entry'!AW52,'Council Entry'!AW$9),'Council Entry'!AW$8),'Council Entry'!AW52))))-'Council Entry'!AW$5)/('Council Entry'!AW$6-'Council Entry'!AW$5),10*((IF('Council Entry'!AW$4="Logarithm",LN(0.001+IF(AND(ISNUMBER('Council Entry'!AW$8),ISNUMBER('Council Entry'!AW$9)),MAX(MIN('Council Entry'!AW52,'Council Entry'!AW$9),'Council Entry'!AW$8),'Council Entry'!AW52)),IF('Council Entry'!AW$4="Exponential",EXP(IF(AND(ISNUMBER('Council Entry'!AW$8),ISNUMBER('Council Entry'!AW$9)),MAX(MIN('Council Entry'!AW52,'Council Entry'!AW$9),'Council Entry'!AW$8),'Council Entry'!AW52)),IF(AND(ISNUMBER('Council Entry'!AW$8),ISNUMBER('Council Entry'!AW$9)),MAX(MIN('Council Entry'!AW52,'Council Entry'!AW$9),'Council Entry'!AW$8),'Council Entry'!AW52))))-'Council Entry'!AW$5)/('Council Entry'!AW$6-'Council Entry'!AW$5)),1))),"No data"))</f>
        <v/>
      </c>
      <c r="AX52" s="13">
        <f>IF('Council Entry'!AX52="","",IFERROR(MAX(0,MIN(10,ROUND(IF('Council Entry'!AX$7="Decrease Risk",10-10*((IF('Council Entry'!AX$4="Logarithm",LN(0.001+IF(AND(ISNUMBER('Council Entry'!AX$8),ISNUMBER('Council Entry'!AX$9)),MAX(MIN('Council Entry'!AX52,'Council Entry'!AX$9),'Council Entry'!AX$8),'Council Entry'!AX52)),IF('Council Entry'!AX$4="Exponential",EXP(IF(AND(ISNUMBER('Council Entry'!AX$8),ISNUMBER('Council Entry'!AX$9)),MAX(MIN('Council Entry'!AX52,'Council Entry'!AX$9),'Council Entry'!AX$8),'Council Entry'!AX52)),IF(AND(ISNUMBER('Council Entry'!AX$8),ISNUMBER('Council Entry'!AX$9)),MAX(MIN('Council Entry'!AX52,'Council Entry'!AX$9),'Council Entry'!AX$8),'Council Entry'!AX52))))-'Council Entry'!AX$5)/('Council Entry'!AX$6-'Council Entry'!AX$5),10*((IF('Council Entry'!AX$4="Logarithm",LN(0.001+IF(AND(ISNUMBER('Council Entry'!AX$8),ISNUMBER('Council Entry'!AX$9)),MAX(MIN('Council Entry'!AX52,'Council Entry'!AX$9),'Council Entry'!AX$8),'Council Entry'!AX52)),IF('Council Entry'!AX$4="Exponential",EXP(IF(AND(ISNUMBER('Council Entry'!AX$8),ISNUMBER('Council Entry'!AX$9)),MAX(MIN('Council Entry'!AX52,'Council Entry'!AX$9),'Council Entry'!AX$8),'Council Entry'!AX52)),IF(AND(ISNUMBER('Council Entry'!AX$8),ISNUMBER('Council Entry'!AX$9)),MAX(MIN('Council Entry'!AX52,'Council Entry'!AX$9),'Council Entry'!AX$8),'Council Entry'!AX52))))-'Council Entry'!AX$5)/('Council Entry'!AX$6-'Council Entry'!AX$5)),1))),"No data"))</f>
        <v/>
      </c>
      <c r="AY52" s="13">
        <f>IF('Council Entry'!AY52="","",IFERROR(MAX(0,MIN(10,ROUND(IF('Council Entry'!AY$7="Decrease Risk",10-10*((IF('Council Entry'!AY$4="Logarithm",LN(0.001+IF(AND(ISNUMBER('Council Entry'!AY$8),ISNUMBER('Council Entry'!AY$9)),MAX(MIN('Council Entry'!AY52,'Council Entry'!AY$9),'Council Entry'!AY$8),'Council Entry'!AY52)),IF('Council Entry'!AY$4="Exponential",EXP(IF(AND(ISNUMBER('Council Entry'!AY$8),ISNUMBER('Council Entry'!AY$9)),MAX(MIN('Council Entry'!AY52,'Council Entry'!AY$9),'Council Entry'!AY$8),'Council Entry'!AY52)),IF(AND(ISNUMBER('Council Entry'!AY$8),ISNUMBER('Council Entry'!AY$9)),MAX(MIN('Council Entry'!AY52,'Council Entry'!AY$9),'Council Entry'!AY$8),'Council Entry'!AY52))))-'Council Entry'!AY$5)/('Council Entry'!AY$6-'Council Entry'!AY$5),10*((IF('Council Entry'!AY$4="Logarithm",LN(0.001+IF(AND(ISNUMBER('Council Entry'!AY$8),ISNUMBER('Council Entry'!AY$9)),MAX(MIN('Council Entry'!AY52,'Council Entry'!AY$9),'Council Entry'!AY$8),'Council Entry'!AY52)),IF('Council Entry'!AY$4="Exponential",EXP(IF(AND(ISNUMBER('Council Entry'!AY$8),ISNUMBER('Council Entry'!AY$9)),MAX(MIN('Council Entry'!AY52,'Council Entry'!AY$9),'Council Entry'!AY$8),'Council Entry'!AY52)),IF(AND(ISNUMBER('Council Entry'!AY$8),ISNUMBER('Council Entry'!AY$9)),MAX(MIN('Council Entry'!AY52,'Council Entry'!AY$9),'Council Entry'!AY$8),'Council Entry'!AY52))))-'Council Entry'!AY$5)/('Council Entry'!AY$6-'Council Entry'!AY$5)),1))),"No data"))</f>
        <v/>
      </c>
      <c r="AZ52" s="13">
        <f>IF('Council Entry'!AZ52="","",IFERROR(MAX(0,MIN(10,ROUND(IF('Council Entry'!AZ$7="Decrease Risk",10-10*((IF('Council Entry'!AZ$4="Logarithm",LN(0.001+IF(AND(ISNUMBER('Council Entry'!AZ$8),ISNUMBER('Council Entry'!AZ$9)),MAX(MIN('Council Entry'!AZ52,'Council Entry'!AZ$9),'Council Entry'!AZ$8),'Council Entry'!AZ52)),IF('Council Entry'!AZ$4="Exponential",EXP(IF(AND(ISNUMBER('Council Entry'!AZ$8),ISNUMBER('Council Entry'!AZ$9)),MAX(MIN('Council Entry'!AZ52,'Council Entry'!AZ$9),'Council Entry'!AZ$8),'Council Entry'!AZ52)),IF(AND(ISNUMBER('Council Entry'!AZ$8),ISNUMBER('Council Entry'!AZ$9)),MAX(MIN('Council Entry'!AZ52,'Council Entry'!AZ$9),'Council Entry'!AZ$8),'Council Entry'!AZ52))))-'Council Entry'!AZ$5)/('Council Entry'!AZ$6-'Council Entry'!AZ$5),10*((IF('Council Entry'!AZ$4="Logarithm",LN(0.001+IF(AND(ISNUMBER('Council Entry'!AZ$8),ISNUMBER('Council Entry'!AZ$9)),MAX(MIN('Council Entry'!AZ52,'Council Entry'!AZ$9),'Council Entry'!AZ$8),'Council Entry'!AZ52)),IF('Council Entry'!AZ$4="Exponential",EXP(IF(AND(ISNUMBER('Council Entry'!AZ$8),ISNUMBER('Council Entry'!AZ$9)),MAX(MIN('Council Entry'!AZ52,'Council Entry'!AZ$9),'Council Entry'!AZ$8),'Council Entry'!AZ52)),IF(AND(ISNUMBER('Council Entry'!AZ$8),ISNUMBER('Council Entry'!AZ$9)),MAX(MIN('Council Entry'!AZ52,'Council Entry'!AZ$9),'Council Entry'!AZ$8),'Council Entry'!AZ52))))-'Council Entry'!AZ$5)/('Council Entry'!AZ$6-'Council Entry'!AZ$5)),1))),"No data"))</f>
        <v/>
      </c>
      <c r="BA52" s="13">
        <f>IF('Council Entry'!BA52="","",IFERROR(MAX(0,MIN(10,ROUND(IF('Council Entry'!BA$7="Decrease Risk",10-10*((IF('Council Entry'!BA$4="Logarithm",LN(0.001+IF(AND(ISNUMBER('Council Entry'!BA$8),ISNUMBER('Council Entry'!BA$9)),MAX(MIN('Council Entry'!BA52,'Council Entry'!BA$9),'Council Entry'!BA$8),'Council Entry'!BA52)),IF('Council Entry'!BA$4="Exponential",EXP(IF(AND(ISNUMBER('Council Entry'!BA$8),ISNUMBER('Council Entry'!BA$9)),MAX(MIN('Council Entry'!BA52,'Council Entry'!BA$9),'Council Entry'!BA$8),'Council Entry'!BA52)),IF(AND(ISNUMBER('Council Entry'!BA$8),ISNUMBER('Council Entry'!BA$9)),MAX(MIN('Council Entry'!BA52,'Council Entry'!BA$9),'Council Entry'!BA$8),'Council Entry'!BA52))))-'Council Entry'!BA$5)/('Council Entry'!BA$6-'Council Entry'!BA$5),10*((IF('Council Entry'!BA$4="Logarithm",LN(0.001+IF(AND(ISNUMBER('Council Entry'!BA$8),ISNUMBER('Council Entry'!BA$9)),MAX(MIN('Council Entry'!BA52,'Council Entry'!BA$9),'Council Entry'!BA$8),'Council Entry'!BA52)),IF('Council Entry'!BA$4="Exponential",EXP(IF(AND(ISNUMBER('Council Entry'!BA$8),ISNUMBER('Council Entry'!BA$9)),MAX(MIN('Council Entry'!BA52,'Council Entry'!BA$9),'Council Entry'!BA$8),'Council Entry'!BA52)),IF(AND(ISNUMBER('Council Entry'!BA$8),ISNUMBER('Council Entry'!BA$9)),MAX(MIN('Council Entry'!BA52,'Council Entry'!BA$9),'Council Entry'!BA$8),'Council Entry'!BA52))))-'Council Entry'!BA$5)/('Council Entry'!BA$6-'Council Entry'!BA$5)),1))),"No data"))</f>
        <v/>
      </c>
      <c r="BB52" s="13">
        <f>IF('Council Entry'!BB52="","",IFERROR(MAX(0,MIN(10,ROUND(IF('Council Entry'!BB$7="Decrease Risk",10-10*((IF('Council Entry'!BB$4="Logarithm",LN(0.001+IF(AND(ISNUMBER('Council Entry'!BB$8),ISNUMBER('Council Entry'!BB$9)),MAX(MIN('Council Entry'!BB52,'Council Entry'!BB$9),'Council Entry'!BB$8),'Council Entry'!BB52)),IF('Council Entry'!BB$4="Exponential",EXP(IF(AND(ISNUMBER('Council Entry'!BB$8),ISNUMBER('Council Entry'!BB$9)),MAX(MIN('Council Entry'!BB52,'Council Entry'!BB$9),'Council Entry'!BB$8),'Council Entry'!BB52)),IF(AND(ISNUMBER('Council Entry'!BB$8),ISNUMBER('Council Entry'!BB$9)),MAX(MIN('Council Entry'!BB52,'Council Entry'!BB$9),'Council Entry'!BB$8),'Council Entry'!BB52))))-'Council Entry'!BB$5)/('Council Entry'!BB$6-'Council Entry'!BB$5),10*((IF('Council Entry'!BB$4="Logarithm",LN(0.001+IF(AND(ISNUMBER('Council Entry'!BB$8),ISNUMBER('Council Entry'!BB$9)),MAX(MIN('Council Entry'!BB52,'Council Entry'!BB$9),'Council Entry'!BB$8),'Council Entry'!BB52)),IF('Council Entry'!BB$4="Exponential",EXP(IF(AND(ISNUMBER('Council Entry'!BB$8),ISNUMBER('Council Entry'!BB$9)),MAX(MIN('Council Entry'!BB52,'Council Entry'!BB$9),'Council Entry'!BB$8),'Council Entry'!BB52)),IF(AND(ISNUMBER('Council Entry'!BB$8),ISNUMBER('Council Entry'!BB$9)),MAX(MIN('Council Entry'!BB52,'Council Entry'!BB$9),'Council Entry'!BB$8),'Council Entry'!BB52))))-'Council Entry'!BB$5)/('Council Entry'!BB$6-'Council Entry'!BB$5)),1))),"No data"))</f>
        <v/>
      </c>
      <c r="BC52" s="13">
        <f>IF('Council Entry'!BC52="","",IFERROR(MAX(0,MIN(10,ROUND(IF('Council Entry'!BC$7="Decrease Risk",10-10*((IF('Council Entry'!BC$4="Logarithm",LN(0.001+IF(AND(ISNUMBER('Council Entry'!BC$8),ISNUMBER('Council Entry'!BC$9)),MAX(MIN('Council Entry'!BC52,'Council Entry'!BC$9),'Council Entry'!BC$8),'Council Entry'!BC52)),IF('Council Entry'!BC$4="Exponential",EXP(IF(AND(ISNUMBER('Council Entry'!BC$8),ISNUMBER('Council Entry'!BC$9)),MAX(MIN('Council Entry'!BC52,'Council Entry'!BC$9),'Council Entry'!BC$8),'Council Entry'!BC52)),IF(AND(ISNUMBER('Council Entry'!BC$8),ISNUMBER('Council Entry'!BC$9)),MAX(MIN('Council Entry'!BC52,'Council Entry'!BC$9),'Council Entry'!BC$8),'Council Entry'!BC52))))-'Council Entry'!BC$5)/('Council Entry'!BC$6-'Council Entry'!BC$5),10*((IF('Council Entry'!BC$4="Logarithm",LN(0.001+IF(AND(ISNUMBER('Council Entry'!BC$8),ISNUMBER('Council Entry'!BC$9)),MAX(MIN('Council Entry'!BC52,'Council Entry'!BC$9),'Council Entry'!BC$8),'Council Entry'!BC52)),IF('Council Entry'!BC$4="Exponential",EXP(IF(AND(ISNUMBER('Council Entry'!BC$8),ISNUMBER('Council Entry'!BC$9)),MAX(MIN('Council Entry'!BC52,'Council Entry'!BC$9),'Council Entry'!BC$8),'Council Entry'!BC52)),IF(AND(ISNUMBER('Council Entry'!BC$8),ISNUMBER('Council Entry'!BC$9)),MAX(MIN('Council Entry'!BC52,'Council Entry'!BC$9),'Council Entry'!BC$8),'Council Entry'!BC52))))-'Council Entry'!BC$5)/('Council Entry'!BC$6-'Council Entry'!BC$5)),1))),"No data"))</f>
        <v/>
      </c>
      <c r="BD52" s="13">
        <f>IF('Council Entry'!BD52="","",IFERROR(MAX(0,MIN(10,ROUND(IF('Council Entry'!BD$7="Decrease Risk",10-10*((IF('Council Entry'!BD$4="Logarithm",LN(0.001+IF(AND(ISNUMBER('Council Entry'!BD$8),ISNUMBER('Council Entry'!BD$9)),MAX(MIN('Council Entry'!BD52,'Council Entry'!BD$9),'Council Entry'!BD$8),'Council Entry'!BD52)),IF('Council Entry'!BD$4="Exponential",EXP(IF(AND(ISNUMBER('Council Entry'!BD$8),ISNUMBER('Council Entry'!BD$9)),MAX(MIN('Council Entry'!BD52,'Council Entry'!BD$9),'Council Entry'!BD$8),'Council Entry'!BD52)),IF(AND(ISNUMBER('Council Entry'!BD$8),ISNUMBER('Council Entry'!BD$9)),MAX(MIN('Council Entry'!BD52,'Council Entry'!BD$9),'Council Entry'!BD$8),'Council Entry'!BD52))))-'Council Entry'!BD$5)/('Council Entry'!BD$6-'Council Entry'!BD$5),10*((IF('Council Entry'!BD$4="Logarithm",LN(0.001+IF(AND(ISNUMBER('Council Entry'!BD$8),ISNUMBER('Council Entry'!BD$9)),MAX(MIN('Council Entry'!BD52,'Council Entry'!BD$9),'Council Entry'!BD$8),'Council Entry'!BD52)),IF('Council Entry'!BD$4="Exponential",EXP(IF(AND(ISNUMBER('Council Entry'!BD$8),ISNUMBER('Council Entry'!BD$9)),MAX(MIN('Council Entry'!BD52,'Council Entry'!BD$9),'Council Entry'!BD$8),'Council Entry'!BD52)),IF(AND(ISNUMBER('Council Entry'!BD$8),ISNUMBER('Council Entry'!BD$9)),MAX(MIN('Council Entry'!BD52,'Council Entry'!BD$9),'Council Entry'!BD$8),'Council Entry'!BD52))))-'Council Entry'!BD$5)/('Council Entry'!BD$6-'Council Entry'!BD$5)),1))),"No data"))</f>
        <v/>
      </c>
    </row>
    <row r="53">
      <c r="A53" t="inlineStr">
        <is>
          <t>Kaskazini Unguja</t>
        </is>
      </c>
      <c r="B53" t="inlineStr">
        <is>
          <t>Kaskazini B Town</t>
        </is>
      </c>
      <c r="C53" t="inlineStr">
        <is>
          <t>C186</t>
        </is>
      </c>
      <c r="D53" s="13">
        <f>IF('Council Entry'!D53="","",IFERROR(MAX(0,MIN(10,ROUND(IF('Council Entry'!D$7="Decrease Risk",10-10*((IF('Council Entry'!D$4="Logarithm",LN(0.001+IF(AND(ISNUMBER('Council Entry'!D$8),ISNUMBER('Council Entry'!D$9)),MAX(MIN('Council Entry'!D53,'Council Entry'!D$9),'Council Entry'!D$8),'Council Entry'!D53)),IF('Council Entry'!D$4="Exponential",EXP(IF(AND(ISNUMBER('Council Entry'!D$8),ISNUMBER('Council Entry'!D$9)),MAX(MIN('Council Entry'!D53,'Council Entry'!D$9),'Council Entry'!D$8),'Council Entry'!D53)),IF(AND(ISNUMBER('Council Entry'!D$8),ISNUMBER('Council Entry'!D$9)),MAX(MIN('Council Entry'!D53,'Council Entry'!D$9),'Council Entry'!D$8),'Council Entry'!D53))))-'Council Entry'!D$5)/('Council Entry'!D$6-'Council Entry'!D$5),10*((IF('Council Entry'!D$4="Logarithm",LN(0.001+IF(AND(ISNUMBER('Council Entry'!D$8),ISNUMBER('Council Entry'!D$9)),MAX(MIN('Council Entry'!D53,'Council Entry'!D$9),'Council Entry'!D$8),'Council Entry'!D53)),IF('Council Entry'!D$4="Exponential",EXP(IF(AND(ISNUMBER('Council Entry'!D$8),ISNUMBER('Council Entry'!D$9)),MAX(MIN('Council Entry'!D53,'Council Entry'!D$9),'Council Entry'!D$8),'Council Entry'!D53)),IF(AND(ISNUMBER('Council Entry'!D$8),ISNUMBER('Council Entry'!D$9)),MAX(MIN('Council Entry'!D53,'Council Entry'!D$9),'Council Entry'!D$8),'Council Entry'!D53))))-'Council Entry'!D$5)/('Council Entry'!D$6-'Council Entry'!D$5)),1))),"No data"))</f>
        <v/>
      </c>
      <c r="E53" s="13">
        <f>IF('Council Entry'!E53="","",IFERROR(MAX(0,MIN(10,ROUND(IF('Council Entry'!E$7="Decrease Risk",10-10*((IF('Council Entry'!E$4="Logarithm",LN(0.001+IF(AND(ISNUMBER('Council Entry'!E$8),ISNUMBER('Council Entry'!E$9)),MAX(MIN('Council Entry'!E53,'Council Entry'!E$9),'Council Entry'!E$8),'Council Entry'!E53)),IF('Council Entry'!E$4="Exponential",EXP(IF(AND(ISNUMBER('Council Entry'!E$8),ISNUMBER('Council Entry'!E$9)),MAX(MIN('Council Entry'!E53,'Council Entry'!E$9),'Council Entry'!E$8),'Council Entry'!E53)),IF(AND(ISNUMBER('Council Entry'!E$8),ISNUMBER('Council Entry'!E$9)),MAX(MIN('Council Entry'!E53,'Council Entry'!E$9),'Council Entry'!E$8),'Council Entry'!E53))))-'Council Entry'!E$5)/('Council Entry'!E$6-'Council Entry'!E$5),10*((IF('Council Entry'!E$4="Logarithm",LN(0.001+IF(AND(ISNUMBER('Council Entry'!E$8),ISNUMBER('Council Entry'!E$9)),MAX(MIN('Council Entry'!E53,'Council Entry'!E$9),'Council Entry'!E$8),'Council Entry'!E53)),IF('Council Entry'!E$4="Exponential",EXP(IF(AND(ISNUMBER('Council Entry'!E$8),ISNUMBER('Council Entry'!E$9)),MAX(MIN('Council Entry'!E53,'Council Entry'!E$9),'Council Entry'!E$8),'Council Entry'!E53)),IF(AND(ISNUMBER('Council Entry'!E$8),ISNUMBER('Council Entry'!E$9)),MAX(MIN('Council Entry'!E53,'Council Entry'!E$9),'Council Entry'!E$8),'Council Entry'!E53))))-'Council Entry'!E$5)/('Council Entry'!E$6-'Council Entry'!E$5)),1))),"No data"))</f>
        <v/>
      </c>
      <c r="F53" s="13">
        <f>IF('Council Entry'!F53="","",IFERROR(MAX(0,MIN(10,ROUND(IF('Council Entry'!F$7="Decrease Risk",10-10*((IF('Council Entry'!F$4="Logarithm",LN(0.001+IF(AND(ISNUMBER('Council Entry'!F$8),ISNUMBER('Council Entry'!F$9)),MAX(MIN('Council Entry'!F53,'Council Entry'!F$9),'Council Entry'!F$8),'Council Entry'!F53)),IF('Council Entry'!F$4="Exponential",EXP(IF(AND(ISNUMBER('Council Entry'!F$8),ISNUMBER('Council Entry'!F$9)),MAX(MIN('Council Entry'!F53,'Council Entry'!F$9),'Council Entry'!F$8),'Council Entry'!F53)),IF(AND(ISNUMBER('Council Entry'!F$8),ISNUMBER('Council Entry'!F$9)),MAX(MIN('Council Entry'!F53,'Council Entry'!F$9),'Council Entry'!F$8),'Council Entry'!F53))))-'Council Entry'!F$5)/('Council Entry'!F$6-'Council Entry'!F$5),10*((IF('Council Entry'!F$4="Logarithm",LN(0.001+IF(AND(ISNUMBER('Council Entry'!F$8),ISNUMBER('Council Entry'!F$9)),MAX(MIN('Council Entry'!F53,'Council Entry'!F$9),'Council Entry'!F$8),'Council Entry'!F53)),IF('Council Entry'!F$4="Exponential",EXP(IF(AND(ISNUMBER('Council Entry'!F$8),ISNUMBER('Council Entry'!F$9)),MAX(MIN('Council Entry'!F53,'Council Entry'!F$9),'Council Entry'!F$8),'Council Entry'!F53)),IF(AND(ISNUMBER('Council Entry'!F$8),ISNUMBER('Council Entry'!F$9)),MAX(MIN('Council Entry'!F53,'Council Entry'!F$9),'Council Entry'!F$8),'Council Entry'!F53))))-'Council Entry'!F$5)/('Council Entry'!F$6-'Council Entry'!F$5)),1))),"No data"))</f>
        <v/>
      </c>
      <c r="G53" s="13">
        <f>IF('Council Entry'!G53="","",IFERROR(MAX(0,MIN(10,ROUND(IF('Council Entry'!G$7="Decrease Risk",10-10*((IF('Council Entry'!G$4="Logarithm",LN(0.001+IF(AND(ISNUMBER('Council Entry'!G$8),ISNUMBER('Council Entry'!G$9)),MAX(MIN('Council Entry'!G53,'Council Entry'!G$9),'Council Entry'!G$8),'Council Entry'!G53)),IF('Council Entry'!G$4="Exponential",EXP(IF(AND(ISNUMBER('Council Entry'!G$8),ISNUMBER('Council Entry'!G$9)),MAX(MIN('Council Entry'!G53,'Council Entry'!G$9),'Council Entry'!G$8),'Council Entry'!G53)),IF(AND(ISNUMBER('Council Entry'!G$8),ISNUMBER('Council Entry'!G$9)),MAX(MIN('Council Entry'!G53,'Council Entry'!G$9),'Council Entry'!G$8),'Council Entry'!G53))))-'Council Entry'!G$5)/('Council Entry'!G$6-'Council Entry'!G$5),10*((IF('Council Entry'!G$4="Logarithm",LN(0.001+IF(AND(ISNUMBER('Council Entry'!G$8),ISNUMBER('Council Entry'!G$9)),MAX(MIN('Council Entry'!G53,'Council Entry'!G$9),'Council Entry'!G$8),'Council Entry'!G53)),IF('Council Entry'!G$4="Exponential",EXP(IF(AND(ISNUMBER('Council Entry'!G$8),ISNUMBER('Council Entry'!G$9)),MAX(MIN('Council Entry'!G53,'Council Entry'!G$9),'Council Entry'!G$8),'Council Entry'!G53)),IF(AND(ISNUMBER('Council Entry'!G$8),ISNUMBER('Council Entry'!G$9)),MAX(MIN('Council Entry'!G53,'Council Entry'!G$9),'Council Entry'!G$8),'Council Entry'!G53))))-'Council Entry'!G$5)/('Council Entry'!G$6-'Council Entry'!G$5)),1))),"No data"))</f>
        <v/>
      </c>
      <c r="H53" s="13">
        <f>IF('Council Entry'!H53="","",IFERROR(MAX(0,MIN(10,ROUND(IF('Council Entry'!H$7="Decrease Risk",10-10*((IF('Council Entry'!H$4="Logarithm",LN(0.001+IF(AND(ISNUMBER('Council Entry'!H$8),ISNUMBER('Council Entry'!H$9)),MAX(MIN('Council Entry'!H53,'Council Entry'!H$9),'Council Entry'!H$8),'Council Entry'!H53)),IF('Council Entry'!H$4="Exponential",EXP(IF(AND(ISNUMBER('Council Entry'!H$8),ISNUMBER('Council Entry'!H$9)),MAX(MIN('Council Entry'!H53,'Council Entry'!H$9),'Council Entry'!H$8),'Council Entry'!H53)),IF(AND(ISNUMBER('Council Entry'!H$8),ISNUMBER('Council Entry'!H$9)),MAX(MIN('Council Entry'!H53,'Council Entry'!H$9),'Council Entry'!H$8),'Council Entry'!H53))))-'Council Entry'!H$5)/('Council Entry'!H$6-'Council Entry'!H$5),10*((IF('Council Entry'!H$4="Logarithm",LN(0.001+IF(AND(ISNUMBER('Council Entry'!H$8),ISNUMBER('Council Entry'!H$9)),MAX(MIN('Council Entry'!H53,'Council Entry'!H$9),'Council Entry'!H$8),'Council Entry'!H53)),IF('Council Entry'!H$4="Exponential",EXP(IF(AND(ISNUMBER('Council Entry'!H$8),ISNUMBER('Council Entry'!H$9)),MAX(MIN('Council Entry'!H53,'Council Entry'!H$9),'Council Entry'!H$8),'Council Entry'!H53)),IF(AND(ISNUMBER('Council Entry'!H$8),ISNUMBER('Council Entry'!H$9)),MAX(MIN('Council Entry'!H53,'Council Entry'!H$9),'Council Entry'!H$8),'Council Entry'!H53))))-'Council Entry'!H$5)/('Council Entry'!H$6-'Council Entry'!H$5)),1))),"No data"))</f>
        <v/>
      </c>
      <c r="I53" s="13">
        <f>IF('Council Entry'!I53="","",IFERROR(MAX(0,MIN(10,ROUND(IF('Council Entry'!I$7="Decrease Risk",10-10*((IF('Council Entry'!I$4="Logarithm",LN(0.001+IF(AND(ISNUMBER('Council Entry'!I$8),ISNUMBER('Council Entry'!I$9)),MAX(MIN('Council Entry'!I53,'Council Entry'!I$9),'Council Entry'!I$8),'Council Entry'!I53)),IF('Council Entry'!I$4="Exponential",EXP(IF(AND(ISNUMBER('Council Entry'!I$8),ISNUMBER('Council Entry'!I$9)),MAX(MIN('Council Entry'!I53,'Council Entry'!I$9),'Council Entry'!I$8),'Council Entry'!I53)),IF(AND(ISNUMBER('Council Entry'!I$8),ISNUMBER('Council Entry'!I$9)),MAX(MIN('Council Entry'!I53,'Council Entry'!I$9),'Council Entry'!I$8),'Council Entry'!I53))))-'Council Entry'!I$5)/('Council Entry'!I$6-'Council Entry'!I$5),10*((IF('Council Entry'!I$4="Logarithm",LN(0.001+IF(AND(ISNUMBER('Council Entry'!I$8),ISNUMBER('Council Entry'!I$9)),MAX(MIN('Council Entry'!I53,'Council Entry'!I$9),'Council Entry'!I$8),'Council Entry'!I53)),IF('Council Entry'!I$4="Exponential",EXP(IF(AND(ISNUMBER('Council Entry'!I$8),ISNUMBER('Council Entry'!I$9)),MAX(MIN('Council Entry'!I53,'Council Entry'!I$9),'Council Entry'!I$8),'Council Entry'!I53)),IF(AND(ISNUMBER('Council Entry'!I$8),ISNUMBER('Council Entry'!I$9)),MAX(MIN('Council Entry'!I53,'Council Entry'!I$9),'Council Entry'!I$8),'Council Entry'!I53))))-'Council Entry'!I$5)/('Council Entry'!I$6-'Council Entry'!I$5)),1))),"No data"))</f>
        <v/>
      </c>
      <c r="J53" s="13">
        <f>IF('Council Entry'!J53="","",IFERROR(MAX(0,MIN(10,ROUND(IF('Council Entry'!J$7="Decrease Risk",10-10*((IF('Council Entry'!J$4="Logarithm",LN(0.001+IF(AND(ISNUMBER('Council Entry'!J$8),ISNUMBER('Council Entry'!J$9)),MAX(MIN('Council Entry'!J53,'Council Entry'!J$9),'Council Entry'!J$8),'Council Entry'!J53)),IF('Council Entry'!J$4="Exponential",EXP(IF(AND(ISNUMBER('Council Entry'!J$8),ISNUMBER('Council Entry'!J$9)),MAX(MIN('Council Entry'!J53,'Council Entry'!J$9),'Council Entry'!J$8),'Council Entry'!J53)),IF(AND(ISNUMBER('Council Entry'!J$8),ISNUMBER('Council Entry'!J$9)),MAX(MIN('Council Entry'!J53,'Council Entry'!J$9),'Council Entry'!J$8),'Council Entry'!J53))))-'Council Entry'!J$5)/('Council Entry'!J$6-'Council Entry'!J$5),10*((IF('Council Entry'!J$4="Logarithm",LN(0.001+IF(AND(ISNUMBER('Council Entry'!J$8),ISNUMBER('Council Entry'!J$9)),MAX(MIN('Council Entry'!J53,'Council Entry'!J$9),'Council Entry'!J$8),'Council Entry'!J53)),IF('Council Entry'!J$4="Exponential",EXP(IF(AND(ISNUMBER('Council Entry'!J$8),ISNUMBER('Council Entry'!J$9)),MAX(MIN('Council Entry'!J53,'Council Entry'!J$9),'Council Entry'!J$8),'Council Entry'!J53)),IF(AND(ISNUMBER('Council Entry'!J$8),ISNUMBER('Council Entry'!J$9)),MAX(MIN('Council Entry'!J53,'Council Entry'!J$9),'Council Entry'!J$8),'Council Entry'!J53))))-'Council Entry'!J$5)/('Council Entry'!J$6-'Council Entry'!J$5)),1))),"No data"))</f>
        <v/>
      </c>
      <c r="K53" s="13">
        <f>IF('Council Entry'!K53="","",IFERROR(MAX(0,MIN(10,ROUND(IF('Council Entry'!K$7="Decrease Risk",10-10*((IF('Council Entry'!K$4="Logarithm",LN(0.001+IF(AND(ISNUMBER('Council Entry'!K$8),ISNUMBER('Council Entry'!K$9)),MAX(MIN('Council Entry'!K53,'Council Entry'!K$9),'Council Entry'!K$8),'Council Entry'!K53)),IF('Council Entry'!K$4="Exponential",EXP(IF(AND(ISNUMBER('Council Entry'!K$8),ISNUMBER('Council Entry'!K$9)),MAX(MIN('Council Entry'!K53,'Council Entry'!K$9),'Council Entry'!K$8),'Council Entry'!K53)),IF(AND(ISNUMBER('Council Entry'!K$8),ISNUMBER('Council Entry'!K$9)),MAX(MIN('Council Entry'!K53,'Council Entry'!K$9),'Council Entry'!K$8),'Council Entry'!K53))))-'Council Entry'!K$5)/('Council Entry'!K$6-'Council Entry'!K$5),10*((IF('Council Entry'!K$4="Logarithm",LN(0.001+IF(AND(ISNUMBER('Council Entry'!K$8),ISNUMBER('Council Entry'!K$9)),MAX(MIN('Council Entry'!K53,'Council Entry'!K$9),'Council Entry'!K$8),'Council Entry'!K53)),IF('Council Entry'!K$4="Exponential",EXP(IF(AND(ISNUMBER('Council Entry'!K$8),ISNUMBER('Council Entry'!K$9)),MAX(MIN('Council Entry'!K53,'Council Entry'!K$9),'Council Entry'!K$8),'Council Entry'!K53)),IF(AND(ISNUMBER('Council Entry'!K$8),ISNUMBER('Council Entry'!K$9)),MAX(MIN('Council Entry'!K53,'Council Entry'!K$9),'Council Entry'!K$8),'Council Entry'!K53))))-'Council Entry'!K$5)/('Council Entry'!K$6-'Council Entry'!K$5)),1))),"No data"))</f>
        <v/>
      </c>
      <c r="L53" s="13">
        <f>IF('Council Entry'!L53="","",IFERROR(MAX(0,MIN(10,ROUND(IF('Council Entry'!L$7="Decrease Risk",10-10*((IF('Council Entry'!L$4="Logarithm",LN(0.001+IF(AND(ISNUMBER('Council Entry'!L$8),ISNUMBER('Council Entry'!L$9)),MAX(MIN('Council Entry'!L53,'Council Entry'!L$9),'Council Entry'!L$8),'Council Entry'!L53)),IF('Council Entry'!L$4="Exponential",EXP(IF(AND(ISNUMBER('Council Entry'!L$8),ISNUMBER('Council Entry'!L$9)),MAX(MIN('Council Entry'!L53,'Council Entry'!L$9),'Council Entry'!L$8),'Council Entry'!L53)),IF(AND(ISNUMBER('Council Entry'!L$8),ISNUMBER('Council Entry'!L$9)),MAX(MIN('Council Entry'!L53,'Council Entry'!L$9),'Council Entry'!L$8),'Council Entry'!L53))))-'Council Entry'!L$5)/('Council Entry'!L$6-'Council Entry'!L$5),10*((IF('Council Entry'!L$4="Logarithm",LN(0.001+IF(AND(ISNUMBER('Council Entry'!L$8),ISNUMBER('Council Entry'!L$9)),MAX(MIN('Council Entry'!L53,'Council Entry'!L$9),'Council Entry'!L$8),'Council Entry'!L53)),IF('Council Entry'!L$4="Exponential",EXP(IF(AND(ISNUMBER('Council Entry'!L$8),ISNUMBER('Council Entry'!L$9)),MAX(MIN('Council Entry'!L53,'Council Entry'!L$9),'Council Entry'!L$8),'Council Entry'!L53)),IF(AND(ISNUMBER('Council Entry'!L$8),ISNUMBER('Council Entry'!L$9)),MAX(MIN('Council Entry'!L53,'Council Entry'!L$9),'Council Entry'!L$8),'Council Entry'!L53))))-'Council Entry'!L$5)/('Council Entry'!L$6-'Council Entry'!L$5)),1))),"No data"))</f>
        <v/>
      </c>
      <c r="M53" s="13">
        <f>IF('Council Entry'!M53="","",IFERROR(MAX(0,MIN(10,ROUND(IF('Council Entry'!M$7="Decrease Risk",10-10*((IF('Council Entry'!M$4="Logarithm",LN(0.001+IF(AND(ISNUMBER('Council Entry'!M$8),ISNUMBER('Council Entry'!M$9)),MAX(MIN('Council Entry'!M53,'Council Entry'!M$9),'Council Entry'!M$8),'Council Entry'!M53)),IF('Council Entry'!M$4="Exponential",EXP(IF(AND(ISNUMBER('Council Entry'!M$8),ISNUMBER('Council Entry'!M$9)),MAX(MIN('Council Entry'!M53,'Council Entry'!M$9),'Council Entry'!M$8),'Council Entry'!M53)),IF(AND(ISNUMBER('Council Entry'!M$8),ISNUMBER('Council Entry'!M$9)),MAX(MIN('Council Entry'!M53,'Council Entry'!M$9),'Council Entry'!M$8),'Council Entry'!M53))))-'Council Entry'!M$5)/('Council Entry'!M$6-'Council Entry'!M$5),10*((IF('Council Entry'!M$4="Logarithm",LN(0.001+IF(AND(ISNUMBER('Council Entry'!M$8),ISNUMBER('Council Entry'!M$9)),MAX(MIN('Council Entry'!M53,'Council Entry'!M$9),'Council Entry'!M$8),'Council Entry'!M53)),IF('Council Entry'!M$4="Exponential",EXP(IF(AND(ISNUMBER('Council Entry'!M$8),ISNUMBER('Council Entry'!M$9)),MAX(MIN('Council Entry'!M53,'Council Entry'!M$9),'Council Entry'!M$8),'Council Entry'!M53)),IF(AND(ISNUMBER('Council Entry'!M$8),ISNUMBER('Council Entry'!M$9)),MAX(MIN('Council Entry'!M53,'Council Entry'!M$9),'Council Entry'!M$8),'Council Entry'!M53))))-'Council Entry'!M$5)/('Council Entry'!M$6-'Council Entry'!M$5)),1))),"No data"))</f>
        <v/>
      </c>
      <c r="N53" s="13">
        <f>IF('Council Entry'!N53="","",IFERROR(MAX(0,MIN(10,ROUND(IF('Council Entry'!N$7="Decrease Risk",10-10*((IF('Council Entry'!N$4="Logarithm",LN(0.001+IF(AND(ISNUMBER('Council Entry'!N$8),ISNUMBER('Council Entry'!N$9)),MAX(MIN('Council Entry'!N53,'Council Entry'!N$9),'Council Entry'!N$8),'Council Entry'!N53)),IF('Council Entry'!N$4="Exponential",EXP(IF(AND(ISNUMBER('Council Entry'!N$8),ISNUMBER('Council Entry'!N$9)),MAX(MIN('Council Entry'!N53,'Council Entry'!N$9),'Council Entry'!N$8),'Council Entry'!N53)),IF(AND(ISNUMBER('Council Entry'!N$8),ISNUMBER('Council Entry'!N$9)),MAX(MIN('Council Entry'!N53,'Council Entry'!N$9),'Council Entry'!N$8),'Council Entry'!N53))))-'Council Entry'!N$5)/('Council Entry'!N$6-'Council Entry'!N$5),10*((IF('Council Entry'!N$4="Logarithm",LN(0.001+IF(AND(ISNUMBER('Council Entry'!N$8),ISNUMBER('Council Entry'!N$9)),MAX(MIN('Council Entry'!N53,'Council Entry'!N$9),'Council Entry'!N$8),'Council Entry'!N53)),IF('Council Entry'!N$4="Exponential",EXP(IF(AND(ISNUMBER('Council Entry'!N$8),ISNUMBER('Council Entry'!N$9)),MAX(MIN('Council Entry'!N53,'Council Entry'!N$9),'Council Entry'!N$8),'Council Entry'!N53)),IF(AND(ISNUMBER('Council Entry'!N$8),ISNUMBER('Council Entry'!N$9)),MAX(MIN('Council Entry'!N53,'Council Entry'!N$9),'Council Entry'!N$8),'Council Entry'!N53))))-'Council Entry'!N$5)/('Council Entry'!N$6-'Council Entry'!N$5)),1))),"No data"))</f>
        <v/>
      </c>
      <c r="O53" s="13">
        <f>IF('Council Entry'!O53="","",IFERROR(MAX(0,MIN(10,ROUND(IF('Council Entry'!O$7="Decrease Risk",10-10*((IF('Council Entry'!O$4="Logarithm",LN(0.001+IF(AND(ISNUMBER('Council Entry'!O$8),ISNUMBER('Council Entry'!O$9)),MAX(MIN('Council Entry'!O53,'Council Entry'!O$9),'Council Entry'!O$8),'Council Entry'!O53)),IF('Council Entry'!O$4="Exponential",EXP(IF(AND(ISNUMBER('Council Entry'!O$8),ISNUMBER('Council Entry'!O$9)),MAX(MIN('Council Entry'!O53,'Council Entry'!O$9),'Council Entry'!O$8),'Council Entry'!O53)),IF(AND(ISNUMBER('Council Entry'!O$8),ISNUMBER('Council Entry'!O$9)),MAX(MIN('Council Entry'!O53,'Council Entry'!O$9),'Council Entry'!O$8),'Council Entry'!O53))))-'Council Entry'!O$5)/('Council Entry'!O$6-'Council Entry'!O$5),10*((IF('Council Entry'!O$4="Logarithm",LN(0.001+IF(AND(ISNUMBER('Council Entry'!O$8),ISNUMBER('Council Entry'!O$9)),MAX(MIN('Council Entry'!O53,'Council Entry'!O$9),'Council Entry'!O$8),'Council Entry'!O53)),IF('Council Entry'!O$4="Exponential",EXP(IF(AND(ISNUMBER('Council Entry'!O$8),ISNUMBER('Council Entry'!O$9)),MAX(MIN('Council Entry'!O53,'Council Entry'!O$9),'Council Entry'!O$8),'Council Entry'!O53)),IF(AND(ISNUMBER('Council Entry'!O$8),ISNUMBER('Council Entry'!O$9)),MAX(MIN('Council Entry'!O53,'Council Entry'!O$9),'Council Entry'!O$8),'Council Entry'!O53))))-'Council Entry'!O$5)/('Council Entry'!O$6-'Council Entry'!O$5)),1))),"No data"))</f>
        <v/>
      </c>
      <c r="P53" s="13">
        <f>IF('Council Entry'!P53="","",IFERROR(MAX(0,MIN(10,ROUND(IF('Council Entry'!P$7="Decrease Risk",10-10*((IF('Council Entry'!P$4="Logarithm",LN(0.001+IF(AND(ISNUMBER('Council Entry'!P$8),ISNUMBER('Council Entry'!P$9)),MAX(MIN('Council Entry'!P53,'Council Entry'!P$9),'Council Entry'!P$8),'Council Entry'!P53)),IF('Council Entry'!P$4="Exponential",EXP(IF(AND(ISNUMBER('Council Entry'!P$8),ISNUMBER('Council Entry'!P$9)),MAX(MIN('Council Entry'!P53,'Council Entry'!P$9),'Council Entry'!P$8),'Council Entry'!P53)),IF(AND(ISNUMBER('Council Entry'!P$8),ISNUMBER('Council Entry'!P$9)),MAX(MIN('Council Entry'!P53,'Council Entry'!P$9),'Council Entry'!P$8),'Council Entry'!P53))))-'Council Entry'!P$5)/('Council Entry'!P$6-'Council Entry'!P$5),10*((IF('Council Entry'!P$4="Logarithm",LN(0.001+IF(AND(ISNUMBER('Council Entry'!P$8),ISNUMBER('Council Entry'!P$9)),MAX(MIN('Council Entry'!P53,'Council Entry'!P$9),'Council Entry'!P$8),'Council Entry'!P53)),IF('Council Entry'!P$4="Exponential",EXP(IF(AND(ISNUMBER('Council Entry'!P$8),ISNUMBER('Council Entry'!P$9)),MAX(MIN('Council Entry'!P53,'Council Entry'!P$9),'Council Entry'!P$8),'Council Entry'!P53)),IF(AND(ISNUMBER('Council Entry'!P$8),ISNUMBER('Council Entry'!P$9)),MAX(MIN('Council Entry'!P53,'Council Entry'!P$9),'Council Entry'!P$8),'Council Entry'!P53))))-'Council Entry'!P$5)/('Council Entry'!P$6-'Council Entry'!P$5)),1))),"No data"))</f>
        <v/>
      </c>
      <c r="Q53" s="13">
        <f>IF('Council Entry'!Q53="","",IFERROR(MAX(0,MIN(10,ROUND(IF('Council Entry'!Q$7="Decrease Risk",10-10*((IF('Council Entry'!Q$4="Logarithm",LN(0.001+IF(AND(ISNUMBER('Council Entry'!Q$8),ISNUMBER('Council Entry'!Q$9)),MAX(MIN('Council Entry'!Q53,'Council Entry'!Q$9),'Council Entry'!Q$8),'Council Entry'!Q53)),IF('Council Entry'!Q$4="Exponential",EXP(IF(AND(ISNUMBER('Council Entry'!Q$8),ISNUMBER('Council Entry'!Q$9)),MAX(MIN('Council Entry'!Q53,'Council Entry'!Q$9),'Council Entry'!Q$8),'Council Entry'!Q53)),IF(AND(ISNUMBER('Council Entry'!Q$8),ISNUMBER('Council Entry'!Q$9)),MAX(MIN('Council Entry'!Q53,'Council Entry'!Q$9),'Council Entry'!Q$8),'Council Entry'!Q53))))-'Council Entry'!Q$5)/('Council Entry'!Q$6-'Council Entry'!Q$5),10*((IF('Council Entry'!Q$4="Logarithm",LN(0.001+IF(AND(ISNUMBER('Council Entry'!Q$8),ISNUMBER('Council Entry'!Q$9)),MAX(MIN('Council Entry'!Q53,'Council Entry'!Q$9),'Council Entry'!Q$8),'Council Entry'!Q53)),IF('Council Entry'!Q$4="Exponential",EXP(IF(AND(ISNUMBER('Council Entry'!Q$8),ISNUMBER('Council Entry'!Q$9)),MAX(MIN('Council Entry'!Q53,'Council Entry'!Q$9),'Council Entry'!Q$8),'Council Entry'!Q53)),IF(AND(ISNUMBER('Council Entry'!Q$8),ISNUMBER('Council Entry'!Q$9)),MAX(MIN('Council Entry'!Q53,'Council Entry'!Q$9),'Council Entry'!Q$8),'Council Entry'!Q53))))-'Council Entry'!Q$5)/('Council Entry'!Q$6-'Council Entry'!Q$5)),1))),"No data"))</f>
        <v/>
      </c>
      <c r="R53" s="13">
        <f>IF('Council Entry'!R53="","",IFERROR(MAX(0,MIN(10,ROUND(IF('Council Entry'!R$7="Decrease Risk",10-10*((IF('Council Entry'!R$4="Logarithm",LN(0.001+IF(AND(ISNUMBER('Council Entry'!R$8),ISNUMBER('Council Entry'!R$9)),MAX(MIN('Council Entry'!R53,'Council Entry'!R$9),'Council Entry'!R$8),'Council Entry'!R53)),IF('Council Entry'!R$4="Exponential",EXP(IF(AND(ISNUMBER('Council Entry'!R$8),ISNUMBER('Council Entry'!R$9)),MAX(MIN('Council Entry'!R53,'Council Entry'!R$9),'Council Entry'!R$8),'Council Entry'!R53)),IF(AND(ISNUMBER('Council Entry'!R$8),ISNUMBER('Council Entry'!R$9)),MAX(MIN('Council Entry'!R53,'Council Entry'!R$9),'Council Entry'!R$8),'Council Entry'!R53))))-'Council Entry'!R$5)/('Council Entry'!R$6-'Council Entry'!R$5),10*((IF('Council Entry'!R$4="Logarithm",LN(0.001+IF(AND(ISNUMBER('Council Entry'!R$8),ISNUMBER('Council Entry'!R$9)),MAX(MIN('Council Entry'!R53,'Council Entry'!R$9),'Council Entry'!R$8),'Council Entry'!R53)),IF('Council Entry'!R$4="Exponential",EXP(IF(AND(ISNUMBER('Council Entry'!R$8),ISNUMBER('Council Entry'!R$9)),MAX(MIN('Council Entry'!R53,'Council Entry'!R$9),'Council Entry'!R$8),'Council Entry'!R53)),IF(AND(ISNUMBER('Council Entry'!R$8),ISNUMBER('Council Entry'!R$9)),MAX(MIN('Council Entry'!R53,'Council Entry'!R$9),'Council Entry'!R$8),'Council Entry'!R53))))-'Council Entry'!R$5)/('Council Entry'!R$6-'Council Entry'!R$5)),1))),"No data"))</f>
        <v/>
      </c>
      <c r="S53" s="13">
        <f>IF('Council Entry'!S53="","",IFERROR(MAX(0,MIN(10,ROUND(IF('Council Entry'!S$7="Decrease Risk",10-10*((IF('Council Entry'!S$4="Logarithm",LN(0.001+IF(AND(ISNUMBER('Council Entry'!S$8),ISNUMBER('Council Entry'!S$9)),MAX(MIN('Council Entry'!S53,'Council Entry'!S$9),'Council Entry'!S$8),'Council Entry'!S53)),IF('Council Entry'!S$4="Exponential",EXP(IF(AND(ISNUMBER('Council Entry'!S$8),ISNUMBER('Council Entry'!S$9)),MAX(MIN('Council Entry'!S53,'Council Entry'!S$9),'Council Entry'!S$8),'Council Entry'!S53)),IF(AND(ISNUMBER('Council Entry'!S$8),ISNUMBER('Council Entry'!S$9)),MAX(MIN('Council Entry'!S53,'Council Entry'!S$9),'Council Entry'!S$8),'Council Entry'!S53))))-'Council Entry'!S$5)/('Council Entry'!S$6-'Council Entry'!S$5),10*((IF('Council Entry'!S$4="Logarithm",LN(0.001+IF(AND(ISNUMBER('Council Entry'!S$8),ISNUMBER('Council Entry'!S$9)),MAX(MIN('Council Entry'!S53,'Council Entry'!S$9),'Council Entry'!S$8),'Council Entry'!S53)),IF('Council Entry'!S$4="Exponential",EXP(IF(AND(ISNUMBER('Council Entry'!S$8),ISNUMBER('Council Entry'!S$9)),MAX(MIN('Council Entry'!S53,'Council Entry'!S$9),'Council Entry'!S$8),'Council Entry'!S53)),IF(AND(ISNUMBER('Council Entry'!S$8),ISNUMBER('Council Entry'!S$9)),MAX(MIN('Council Entry'!S53,'Council Entry'!S$9),'Council Entry'!S$8),'Council Entry'!S53))))-'Council Entry'!S$5)/('Council Entry'!S$6-'Council Entry'!S$5)),1))),"No data"))</f>
        <v/>
      </c>
      <c r="T53" s="13">
        <f>IF('Council Entry'!T53="","",IFERROR(MAX(0,MIN(10,ROUND(IF('Council Entry'!T$7="Decrease Risk",10-10*((IF('Council Entry'!T$4="Logarithm",LN(0.001+IF(AND(ISNUMBER('Council Entry'!T$8),ISNUMBER('Council Entry'!T$9)),MAX(MIN('Council Entry'!T53,'Council Entry'!T$9),'Council Entry'!T$8),'Council Entry'!T53)),IF('Council Entry'!T$4="Exponential",EXP(IF(AND(ISNUMBER('Council Entry'!T$8),ISNUMBER('Council Entry'!T$9)),MAX(MIN('Council Entry'!T53,'Council Entry'!T$9),'Council Entry'!T$8),'Council Entry'!T53)),IF(AND(ISNUMBER('Council Entry'!T$8),ISNUMBER('Council Entry'!T$9)),MAX(MIN('Council Entry'!T53,'Council Entry'!T$9),'Council Entry'!T$8),'Council Entry'!T53))))-'Council Entry'!T$5)/('Council Entry'!T$6-'Council Entry'!T$5),10*((IF('Council Entry'!T$4="Logarithm",LN(0.001+IF(AND(ISNUMBER('Council Entry'!T$8),ISNUMBER('Council Entry'!T$9)),MAX(MIN('Council Entry'!T53,'Council Entry'!T$9),'Council Entry'!T$8),'Council Entry'!T53)),IF('Council Entry'!T$4="Exponential",EXP(IF(AND(ISNUMBER('Council Entry'!T$8),ISNUMBER('Council Entry'!T$9)),MAX(MIN('Council Entry'!T53,'Council Entry'!T$9),'Council Entry'!T$8),'Council Entry'!T53)),IF(AND(ISNUMBER('Council Entry'!T$8),ISNUMBER('Council Entry'!T$9)),MAX(MIN('Council Entry'!T53,'Council Entry'!T$9),'Council Entry'!T$8),'Council Entry'!T53))))-'Council Entry'!T$5)/('Council Entry'!T$6-'Council Entry'!T$5)),1))),"No data"))</f>
        <v/>
      </c>
      <c r="U53" s="13">
        <f>IF('Council Entry'!U53="","",IFERROR(MAX(0,MIN(10,ROUND(IF('Council Entry'!U$7="Decrease Risk",10-10*((IF('Council Entry'!U$4="Logarithm",LN(0.001+IF(AND(ISNUMBER('Council Entry'!U$8),ISNUMBER('Council Entry'!U$9)),MAX(MIN('Council Entry'!U53,'Council Entry'!U$9),'Council Entry'!U$8),'Council Entry'!U53)),IF('Council Entry'!U$4="Exponential",EXP(IF(AND(ISNUMBER('Council Entry'!U$8),ISNUMBER('Council Entry'!U$9)),MAX(MIN('Council Entry'!U53,'Council Entry'!U$9),'Council Entry'!U$8),'Council Entry'!U53)),IF(AND(ISNUMBER('Council Entry'!U$8),ISNUMBER('Council Entry'!U$9)),MAX(MIN('Council Entry'!U53,'Council Entry'!U$9),'Council Entry'!U$8),'Council Entry'!U53))))-'Council Entry'!U$5)/('Council Entry'!U$6-'Council Entry'!U$5),10*((IF('Council Entry'!U$4="Logarithm",LN(0.001+IF(AND(ISNUMBER('Council Entry'!U$8),ISNUMBER('Council Entry'!U$9)),MAX(MIN('Council Entry'!U53,'Council Entry'!U$9),'Council Entry'!U$8),'Council Entry'!U53)),IF('Council Entry'!U$4="Exponential",EXP(IF(AND(ISNUMBER('Council Entry'!U$8),ISNUMBER('Council Entry'!U$9)),MAX(MIN('Council Entry'!U53,'Council Entry'!U$9),'Council Entry'!U$8),'Council Entry'!U53)),IF(AND(ISNUMBER('Council Entry'!U$8),ISNUMBER('Council Entry'!U$9)),MAX(MIN('Council Entry'!U53,'Council Entry'!U$9),'Council Entry'!U$8),'Council Entry'!U53))))-'Council Entry'!U$5)/('Council Entry'!U$6-'Council Entry'!U$5)),1))),"No data"))</f>
        <v/>
      </c>
      <c r="V53" s="13">
        <f>IF('Council Entry'!V53="","",IFERROR(MAX(0,MIN(10,ROUND(IF('Council Entry'!V$7="Decrease Risk",10-10*((IF('Council Entry'!V$4="Logarithm",LN(0.001+IF(AND(ISNUMBER('Council Entry'!V$8),ISNUMBER('Council Entry'!V$9)),MAX(MIN('Council Entry'!V53,'Council Entry'!V$9),'Council Entry'!V$8),'Council Entry'!V53)),IF('Council Entry'!V$4="Exponential",EXP(IF(AND(ISNUMBER('Council Entry'!V$8),ISNUMBER('Council Entry'!V$9)),MAX(MIN('Council Entry'!V53,'Council Entry'!V$9),'Council Entry'!V$8),'Council Entry'!V53)),IF(AND(ISNUMBER('Council Entry'!V$8),ISNUMBER('Council Entry'!V$9)),MAX(MIN('Council Entry'!V53,'Council Entry'!V$9),'Council Entry'!V$8),'Council Entry'!V53))))-'Council Entry'!V$5)/('Council Entry'!V$6-'Council Entry'!V$5),10*((IF('Council Entry'!V$4="Logarithm",LN(0.001+IF(AND(ISNUMBER('Council Entry'!V$8),ISNUMBER('Council Entry'!V$9)),MAX(MIN('Council Entry'!V53,'Council Entry'!V$9),'Council Entry'!V$8),'Council Entry'!V53)),IF('Council Entry'!V$4="Exponential",EXP(IF(AND(ISNUMBER('Council Entry'!V$8),ISNUMBER('Council Entry'!V$9)),MAX(MIN('Council Entry'!V53,'Council Entry'!V$9),'Council Entry'!V$8),'Council Entry'!V53)),IF(AND(ISNUMBER('Council Entry'!V$8),ISNUMBER('Council Entry'!V$9)),MAX(MIN('Council Entry'!V53,'Council Entry'!V$9),'Council Entry'!V$8),'Council Entry'!V53))))-'Council Entry'!V$5)/('Council Entry'!V$6-'Council Entry'!V$5)),1))),"No data"))</f>
        <v/>
      </c>
      <c r="W53" s="13">
        <f>IF('Council Entry'!W53="","",IFERROR(MAX(0,MIN(10,ROUND(IF('Council Entry'!W$7="Decrease Risk",10-10*((IF('Council Entry'!W$4="Logarithm",LN(0.001+IF(AND(ISNUMBER('Council Entry'!W$8),ISNUMBER('Council Entry'!W$9)),MAX(MIN('Council Entry'!W53,'Council Entry'!W$9),'Council Entry'!W$8),'Council Entry'!W53)),IF('Council Entry'!W$4="Exponential",EXP(IF(AND(ISNUMBER('Council Entry'!W$8),ISNUMBER('Council Entry'!W$9)),MAX(MIN('Council Entry'!W53,'Council Entry'!W$9),'Council Entry'!W$8),'Council Entry'!W53)),IF(AND(ISNUMBER('Council Entry'!W$8),ISNUMBER('Council Entry'!W$9)),MAX(MIN('Council Entry'!W53,'Council Entry'!W$9),'Council Entry'!W$8),'Council Entry'!W53))))-'Council Entry'!W$5)/('Council Entry'!W$6-'Council Entry'!W$5),10*((IF('Council Entry'!W$4="Logarithm",LN(0.001+IF(AND(ISNUMBER('Council Entry'!W$8),ISNUMBER('Council Entry'!W$9)),MAX(MIN('Council Entry'!W53,'Council Entry'!W$9),'Council Entry'!W$8),'Council Entry'!W53)),IF('Council Entry'!W$4="Exponential",EXP(IF(AND(ISNUMBER('Council Entry'!W$8),ISNUMBER('Council Entry'!W$9)),MAX(MIN('Council Entry'!W53,'Council Entry'!W$9),'Council Entry'!W$8),'Council Entry'!W53)),IF(AND(ISNUMBER('Council Entry'!W$8),ISNUMBER('Council Entry'!W$9)),MAX(MIN('Council Entry'!W53,'Council Entry'!W$9),'Council Entry'!W$8),'Council Entry'!W53))))-'Council Entry'!W$5)/('Council Entry'!W$6-'Council Entry'!W$5)),1))),"No data"))</f>
        <v/>
      </c>
      <c r="X53" s="13">
        <f>IF('Council Entry'!X53="","",IFERROR(MAX(0,MIN(10,ROUND(IF('Council Entry'!X$7="Decrease Risk",10-10*((IF('Council Entry'!X$4="Logarithm",LN(0.001+IF(AND(ISNUMBER('Council Entry'!X$8),ISNUMBER('Council Entry'!X$9)),MAX(MIN('Council Entry'!X53,'Council Entry'!X$9),'Council Entry'!X$8),'Council Entry'!X53)),IF('Council Entry'!X$4="Exponential",EXP(IF(AND(ISNUMBER('Council Entry'!X$8),ISNUMBER('Council Entry'!X$9)),MAX(MIN('Council Entry'!X53,'Council Entry'!X$9),'Council Entry'!X$8),'Council Entry'!X53)),IF(AND(ISNUMBER('Council Entry'!X$8),ISNUMBER('Council Entry'!X$9)),MAX(MIN('Council Entry'!X53,'Council Entry'!X$9),'Council Entry'!X$8),'Council Entry'!X53))))-'Council Entry'!X$5)/('Council Entry'!X$6-'Council Entry'!X$5),10*((IF('Council Entry'!X$4="Logarithm",LN(0.001+IF(AND(ISNUMBER('Council Entry'!X$8),ISNUMBER('Council Entry'!X$9)),MAX(MIN('Council Entry'!X53,'Council Entry'!X$9),'Council Entry'!X$8),'Council Entry'!X53)),IF('Council Entry'!X$4="Exponential",EXP(IF(AND(ISNUMBER('Council Entry'!X$8),ISNUMBER('Council Entry'!X$9)),MAX(MIN('Council Entry'!X53,'Council Entry'!X$9),'Council Entry'!X$8),'Council Entry'!X53)),IF(AND(ISNUMBER('Council Entry'!X$8),ISNUMBER('Council Entry'!X$9)),MAX(MIN('Council Entry'!X53,'Council Entry'!X$9),'Council Entry'!X$8),'Council Entry'!X53))))-'Council Entry'!X$5)/('Council Entry'!X$6-'Council Entry'!X$5)),1))),"No data"))</f>
        <v/>
      </c>
      <c r="Y53" s="13">
        <f>IF('Council Entry'!Y53="","",IFERROR(MAX(0,MIN(10,ROUND(IF('Council Entry'!Y$7="Decrease Risk",10-10*((IF('Council Entry'!Y$4="Logarithm",LN(0.001+IF(AND(ISNUMBER('Council Entry'!Y$8),ISNUMBER('Council Entry'!Y$9)),MAX(MIN('Council Entry'!Y53,'Council Entry'!Y$9),'Council Entry'!Y$8),'Council Entry'!Y53)),IF('Council Entry'!Y$4="Exponential",EXP(IF(AND(ISNUMBER('Council Entry'!Y$8),ISNUMBER('Council Entry'!Y$9)),MAX(MIN('Council Entry'!Y53,'Council Entry'!Y$9),'Council Entry'!Y$8),'Council Entry'!Y53)),IF(AND(ISNUMBER('Council Entry'!Y$8),ISNUMBER('Council Entry'!Y$9)),MAX(MIN('Council Entry'!Y53,'Council Entry'!Y$9),'Council Entry'!Y$8),'Council Entry'!Y53))))-'Council Entry'!Y$5)/('Council Entry'!Y$6-'Council Entry'!Y$5),10*((IF('Council Entry'!Y$4="Logarithm",LN(0.001+IF(AND(ISNUMBER('Council Entry'!Y$8),ISNUMBER('Council Entry'!Y$9)),MAX(MIN('Council Entry'!Y53,'Council Entry'!Y$9),'Council Entry'!Y$8),'Council Entry'!Y53)),IF('Council Entry'!Y$4="Exponential",EXP(IF(AND(ISNUMBER('Council Entry'!Y$8),ISNUMBER('Council Entry'!Y$9)),MAX(MIN('Council Entry'!Y53,'Council Entry'!Y$9),'Council Entry'!Y$8),'Council Entry'!Y53)),IF(AND(ISNUMBER('Council Entry'!Y$8),ISNUMBER('Council Entry'!Y$9)),MAX(MIN('Council Entry'!Y53,'Council Entry'!Y$9),'Council Entry'!Y$8),'Council Entry'!Y53))))-'Council Entry'!Y$5)/('Council Entry'!Y$6-'Council Entry'!Y$5)),1))),"No data"))</f>
        <v/>
      </c>
      <c r="Z53" s="13">
        <f>IF('Council Entry'!Z53="","",IFERROR(MAX(0,MIN(10,ROUND(IF('Council Entry'!Z$7="Decrease Risk",10-10*((IF('Council Entry'!Z$4="Logarithm",LN(0.001+IF(AND(ISNUMBER('Council Entry'!Z$8),ISNUMBER('Council Entry'!Z$9)),MAX(MIN('Council Entry'!Z53,'Council Entry'!Z$9),'Council Entry'!Z$8),'Council Entry'!Z53)),IF('Council Entry'!Z$4="Exponential",EXP(IF(AND(ISNUMBER('Council Entry'!Z$8),ISNUMBER('Council Entry'!Z$9)),MAX(MIN('Council Entry'!Z53,'Council Entry'!Z$9),'Council Entry'!Z$8),'Council Entry'!Z53)),IF(AND(ISNUMBER('Council Entry'!Z$8),ISNUMBER('Council Entry'!Z$9)),MAX(MIN('Council Entry'!Z53,'Council Entry'!Z$9),'Council Entry'!Z$8),'Council Entry'!Z53))))-'Council Entry'!Z$5)/('Council Entry'!Z$6-'Council Entry'!Z$5),10*((IF('Council Entry'!Z$4="Logarithm",LN(0.001+IF(AND(ISNUMBER('Council Entry'!Z$8),ISNUMBER('Council Entry'!Z$9)),MAX(MIN('Council Entry'!Z53,'Council Entry'!Z$9),'Council Entry'!Z$8),'Council Entry'!Z53)),IF('Council Entry'!Z$4="Exponential",EXP(IF(AND(ISNUMBER('Council Entry'!Z$8),ISNUMBER('Council Entry'!Z$9)),MAX(MIN('Council Entry'!Z53,'Council Entry'!Z$9),'Council Entry'!Z$8),'Council Entry'!Z53)),IF(AND(ISNUMBER('Council Entry'!Z$8),ISNUMBER('Council Entry'!Z$9)),MAX(MIN('Council Entry'!Z53,'Council Entry'!Z$9),'Council Entry'!Z$8),'Council Entry'!Z53))))-'Council Entry'!Z$5)/('Council Entry'!Z$6-'Council Entry'!Z$5)),1))),"No data"))</f>
        <v/>
      </c>
      <c r="AA53" s="13">
        <f>IF('Council Entry'!AA53="","",IFERROR(MAX(0,MIN(10,ROUND(IF('Council Entry'!AA$7="Decrease Risk",10-10*((IF('Council Entry'!AA$4="Logarithm",LN(0.001+IF(AND(ISNUMBER('Council Entry'!AA$8),ISNUMBER('Council Entry'!AA$9)),MAX(MIN('Council Entry'!AA53,'Council Entry'!AA$9),'Council Entry'!AA$8),'Council Entry'!AA53)),IF('Council Entry'!AA$4="Exponential",EXP(IF(AND(ISNUMBER('Council Entry'!AA$8),ISNUMBER('Council Entry'!AA$9)),MAX(MIN('Council Entry'!AA53,'Council Entry'!AA$9),'Council Entry'!AA$8),'Council Entry'!AA53)),IF(AND(ISNUMBER('Council Entry'!AA$8),ISNUMBER('Council Entry'!AA$9)),MAX(MIN('Council Entry'!AA53,'Council Entry'!AA$9),'Council Entry'!AA$8),'Council Entry'!AA53))))-'Council Entry'!AA$5)/('Council Entry'!AA$6-'Council Entry'!AA$5),10*((IF('Council Entry'!AA$4="Logarithm",LN(0.001+IF(AND(ISNUMBER('Council Entry'!AA$8),ISNUMBER('Council Entry'!AA$9)),MAX(MIN('Council Entry'!AA53,'Council Entry'!AA$9),'Council Entry'!AA$8),'Council Entry'!AA53)),IF('Council Entry'!AA$4="Exponential",EXP(IF(AND(ISNUMBER('Council Entry'!AA$8),ISNUMBER('Council Entry'!AA$9)),MAX(MIN('Council Entry'!AA53,'Council Entry'!AA$9),'Council Entry'!AA$8),'Council Entry'!AA53)),IF(AND(ISNUMBER('Council Entry'!AA$8),ISNUMBER('Council Entry'!AA$9)),MAX(MIN('Council Entry'!AA53,'Council Entry'!AA$9),'Council Entry'!AA$8),'Council Entry'!AA53))))-'Council Entry'!AA$5)/('Council Entry'!AA$6-'Council Entry'!AA$5)),1))),"No data"))</f>
        <v/>
      </c>
      <c r="AB53" s="13">
        <f>IF('Council Entry'!AB53="","",IFERROR(MAX(0,MIN(10,ROUND(IF('Council Entry'!AB$7="Decrease Risk",10-10*((IF('Council Entry'!AB$4="Logarithm",LN(0.001+IF(AND(ISNUMBER('Council Entry'!AB$8),ISNUMBER('Council Entry'!AB$9)),MAX(MIN('Council Entry'!AB53,'Council Entry'!AB$9),'Council Entry'!AB$8),'Council Entry'!AB53)),IF('Council Entry'!AB$4="Exponential",EXP(IF(AND(ISNUMBER('Council Entry'!AB$8),ISNUMBER('Council Entry'!AB$9)),MAX(MIN('Council Entry'!AB53,'Council Entry'!AB$9),'Council Entry'!AB$8),'Council Entry'!AB53)),IF(AND(ISNUMBER('Council Entry'!AB$8),ISNUMBER('Council Entry'!AB$9)),MAX(MIN('Council Entry'!AB53,'Council Entry'!AB$9),'Council Entry'!AB$8),'Council Entry'!AB53))))-'Council Entry'!AB$5)/('Council Entry'!AB$6-'Council Entry'!AB$5),10*((IF('Council Entry'!AB$4="Logarithm",LN(0.001+IF(AND(ISNUMBER('Council Entry'!AB$8),ISNUMBER('Council Entry'!AB$9)),MAX(MIN('Council Entry'!AB53,'Council Entry'!AB$9),'Council Entry'!AB$8),'Council Entry'!AB53)),IF('Council Entry'!AB$4="Exponential",EXP(IF(AND(ISNUMBER('Council Entry'!AB$8),ISNUMBER('Council Entry'!AB$9)),MAX(MIN('Council Entry'!AB53,'Council Entry'!AB$9),'Council Entry'!AB$8),'Council Entry'!AB53)),IF(AND(ISNUMBER('Council Entry'!AB$8),ISNUMBER('Council Entry'!AB$9)),MAX(MIN('Council Entry'!AB53,'Council Entry'!AB$9),'Council Entry'!AB$8),'Council Entry'!AB53))))-'Council Entry'!AB$5)/('Council Entry'!AB$6-'Council Entry'!AB$5)),1))),"No data"))</f>
        <v/>
      </c>
      <c r="AC53" s="13">
        <f>IF('Council Entry'!AC53="","",IFERROR(MAX(0,MIN(10,ROUND(IF('Council Entry'!AC$7="Decrease Risk",10-10*((IF('Council Entry'!AC$4="Logarithm",LN(0.001+IF(AND(ISNUMBER('Council Entry'!AC$8),ISNUMBER('Council Entry'!AC$9)),MAX(MIN('Council Entry'!AC53,'Council Entry'!AC$9),'Council Entry'!AC$8),'Council Entry'!AC53)),IF('Council Entry'!AC$4="Exponential",EXP(IF(AND(ISNUMBER('Council Entry'!AC$8),ISNUMBER('Council Entry'!AC$9)),MAX(MIN('Council Entry'!AC53,'Council Entry'!AC$9),'Council Entry'!AC$8),'Council Entry'!AC53)),IF(AND(ISNUMBER('Council Entry'!AC$8),ISNUMBER('Council Entry'!AC$9)),MAX(MIN('Council Entry'!AC53,'Council Entry'!AC$9),'Council Entry'!AC$8),'Council Entry'!AC53))))-'Council Entry'!AC$5)/('Council Entry'!AC$6-'Council Entry'!AC$5),10*((IF('Council Entry'!AC$4="Logarithm",LN(0.001+IF(AND(ISNUMBER('Council Entry'!AC$8),ISNUMBER('Council Entry'!AC$9)),MAX(MIN('Council Entry'!AC53,'Council Entry'!AC$9),'Council Entry'!AC$8),'Council Entry'!AC53)),IF('Council Entry'!AC$4="Exponential",EXP(IF(AND(ISNUMBER('Council Entry'!AC$8),ISNUMBER('Council Entry'!AC$9)),MAX(MIN('Council Entry'!AC53,'Council Entry'!AC$9),'Council Entry'!AC$8),'Council Entry'!AC53)),IF(AND(ISNUMBER('Council Entry'!AC$8),ISNUMBER('Council Entry'!AC$9)),MAX(MIN('Council Entry'!AC53,'Council Entry'!AC$9),'Council Entry'!AC$8),'Council Entry'!AC53))))-'Council Entry'!AC$5)/('Council Entry'!AC$6-'Council Entry'!AC$5)),1))),"No data"))</f>
        <v/>
      </c>
      <c r="AD53" s="13">
        <f>IF('Council Entry'!AD53="","",IFERROR(MAX(0,MIN(10,ROUND(IF('Council Entry'!AD$7="Decrease Risk",10-10*((IF('Council Entry'!AD$4="Logarithm",LN(0.001+IF(AND(ISNUMBER('Council Entry'!AD$8),ISNUMBER('Council Entry'!AD$9)),MAX(MIN('Council Entry'!AD53,'Council Entry'!AD$9),'Council Entry'!AD$8),'Council Entry'!AD53)),IF('Council Entry'!AD$4="Exponential",EXP(IF(AND(ISNUMBER('Council Entry'!AD$8),ISNUMBER('Council Entry'!AD$9)),MAX(MIN('Council Entry'!AD53,'Council Entry'!AD$9),'Council Entry'!AD$8),'Council Entry'!AD53)),IF(AND(ISNUMBER('Council Entry'!AD$8),ISNUMBER('Council Entry'!AD$9)),MAX(MIN('Council Entry'!AD53,'Council Entry'!AD$9),'Council Entry'!AD$8),'Council Entry'!AD53))))-'Council Entry'!AD$5)/('Council Entry'!AD$6-'Council Entry'!AD$5),10*((IF('Council Entry'!AD$4="Logarithm",LN(0.001+IF(AND(ISNUMBER('Council Entry'!AD$8),ISNUMBER('Council Entry'!AD$9)),MAX(MIN('Council Entry'!AD53,'Council Entry'!AD$9),'Council Entry'!AD$8),'Council Entry'!AD53)),IF('Council Entry'!AD$4="Exponential",EXP(IF(AND(ISNUMBER('Council Entry'!AD$8),ISNUMBER('Council Entry'!AD$9)),MAX(MIN('Council Entry'!AD53,'Council Entry'!AD$9),'Council Entry'!AD$8),'Council Entry'!AD53)),IF(AND(ISNUMBER('Council Entry'!AD$8),ISNUMBER('Council Entry'!AD$9)),MAX(MIN('Council Entry'!AD53,'Council Entry'!AD$9),'Council Entry'!AD$8),'Council Entry'!AD53))))-'Council Entry'!AD$5)/('Council Entry'!AD$6-'Council Entry'!AD$5)),1))),"No data"))</f>
        <v/>
      </c>
      <c r="AE53" s="13">
        <f>IF('Council Entry'!AE53="","",IFERROR(MAX(0,MIN(10,ROUND(IF('Council Entry'!AE$7="Decrease Risk",10-10*((IF('Council Entry'!AE$4="Logarithm",LN(0.001+IF(AND(ISNUMBER('Council Entry'!AE$8),ISNUMBER('Council Entry'!AE$9)),MAX(MIN('Council Entry'!AE53,'Council Entry'!AE$9),'Council Entry'!AE$8),'Council Entry'!AE53)),IF('Council Entry'!AE$4="Exponential",EXP(IF(AND(ISNUMBER('Council Entry'!AE$8),ISNUMBER('Council Entry'!AE$9)),MAX(MIN('Council Entry'!AE53,'Council Entry'!AE$9),'Council Entry'!AE$8),'Council Entry'!AE53)),IF(AND(ISNUMBER('Council Entry'!AE$8),ISNUMBER('Council Entry'!AE$9)),MAX(MIN('Council Entry'!AE53,'Council Entry'!AE$9),'Council Entry'!AE$8),'Council Entry'!AE53))))-'Council Entry'!AE$5)/('Council Entry'!AE$6-'Council Entry'!AE$5),10*((IF('Council Entry'!AE$4="Logarithm",LN(0.001+IF(AND(ISNUMBER('Council Entry'!AE$8),ISNUMBER('Council Entry'!AE$9)),MAX(MIN('Council Entry'!AE53,'Council Entry'!AE$9),'Council Entry'!AE$8),'Council Entry'!AE53)),IF('Council Entry'!AE$4="Exponential",EXP(IF(AND(ISNUMBER('Council Entry'!AE$8),ISNUMBER('Council Entry'!AE$9)),MAX(MIN('Council Entry'!AE53,'Council Entry'!AE$9),'Council Entry'!AE$8),'Council Entry'!AE53)),IF(AND(ISNUMBER('Council Entry'!AE$8),ISNUMBER('Council Entry'!AE$9)),MAX(MIN('Council Entry'!AE53,'Council Entry'!AE$9),'Council Entry'!AE$8),'Council Entry'!AE53))))-'Council Entry'!AE$5)/('Council Entry'!AE$6-'Council Entry'!AE$5)),1))),"No data"))</f>
        <v/>
      </c>
      <c r="AF53" s="13">
        <f>IF('Council Entry'!AF53="","",IFERROR(MAX(0,MIN(10,ROUND(IF('Council Entry'!AF$7="Decrease Risk",10-10*((IF('Council Entry'!AF$4="Logarithm",LN(0.001+IF(AND(ISNUMBER('Council Entry'!AF$8),ISNUMBER('Council Entry'!AF$9)),MAX(MIN('Council Entry'!AF53,'Council Entry'!AF$9),'Council Entry'!AF$8),'Council Entry'!AF53)),IF('Council Entry'!AF$4="Exponential",EXP(IF(AND(ISNUMBER('Council Entry'!AF$8),ISNUMBER('Council Entry'!AF$9)),MAX(MIN('Council Entry'!AF53,'Council Entry'!AF$9),'Council Entry'!AF$8),'Council Entry'!AF53)),IF(AND(ISNUMBER('Council Entry'!AF$8),ISNUMBER('Council Entry'!AF$9)),MAX(MIN('Council Entry'!AF53,'Council Entry'!AF$9),'Council Entry'!AF$8),'Council Entry'!AF53))))-'Council Entry'!AF$5)/('Council Entry'!AF$6-'Council Entry'!AF$5),10*((IF('Council Entry'!AF$4="Logarithm",LN(0.001+IF(AND(ISNUMBER('Council Entry'!AF$8),ISNUMBER('Council Entry'!AF$9)),MAX(MIN('Council Entry'!AF53,'Council Entry'!AF$9),'Council Entry'!AF$8),'Council Entry'!AF53)),IF('Council Entry'!AF$4="Exponential",EXP(IF(AND(ISNUMBER('Council Entry'!AF$8),ISNUMBER('Council Entry'!AF$9)),MAX(MIN('Council Entry'!AF53,'Council Entry'!AF$9),'Council Entry'!AF$8),'Council Entry'!AF53)),IF(AND(ISNUMBER('Council Entry'!AF$8),ISNUMBER('Council Entry'!AF$9)),MAX(MIN('Council Entry'!AF53,'Council Entry'!AF$9),'Council Entry'!AF$8),'Council Entry'!AF53))))-'Council Entry'!AF$5)/('Council Entry'!AF$6-'Council Entry'!AF$5)),1))),"No data"))</f>
        <v/>
      </c>
      <c r="AG53" s="13">
        <f>IF('Council Entry'!AG53="","",IFERROR(MAX(0,MIN(10,ROUND(IF('Council Entry'!AG$7="Decrease Risk",10-10*((IF('Council Entry'!AG$4="Logarithm",LN(0.001+IF(AND(ISNUMBER('Council Entry'!AG$8),ISNUMBER('Council Entry'!AG$9)),MAX(MIN('Council Entry'!AG53,'Council Entry'!AG$9),'Council Entry'!AG$8),'Council Entry'!AG53)),IF('Council Entry'!AG$4="Exponential",EXP(IF(AND(ISNUMBER('Council Entry'!AG$8),ISNUMBER('Council Entry'!AG$9)),MAX(MIN('Council Entry'!AG53,'Council Entry'!AG$9),'Council Entry'!AG$8),'Council Entry'!AG53)),IF(AND(ISNUMBER('Council Entry'!AG$8),ISNUMBER('Council Entry'!AG$9)),MAX(MIN('Council Entry'!AG53,'Council Entry'!AG$9),'Council Entry'!AG$8),'Council Entry'!AG53))))-'Council Entry'!AG$5)/('Council Entry'!AG$6-'Council Entry'!AG$5),10*((IF('Council Entry'!AG$4="Logarithm",LN(0.001+IF(AND(ISNUMBER('Council Entry'!AG$8),ISNUMBER('Council Entry'!AG$9)),MAX(MIN('Council Entry'!AG53,'Council Entry'!AG$9),'Council Entry'!AG$8),'Council Entry'!AG53)),IF('Council Entry'!AG$4="Exponential",EXP(IF(AND(ISNUMBER('Council Entry'!AG$8),ISNUMBER('Council Entry'!AG$9)),MAX(MIN('Council Entry'!AG53,'Council Entry'!AG$9),'Council Entry'!AG$8),'Council Entry'!AG53)),IF(AND(ISNUMBER('Council Entry'!AG$8),ISNUMBER('Council Entry'!AG$9)),MAX(MIN('Council Entry'!AG53,'Council Entry'!AG$9),'Council Entry'!AG$8),'Council Entry'!AG53))))-'Council Entry'!AG$5)/('Council Entry'!AG$6-'Council Entry'!AG$5)),1))),"No data"))</f>
        <v/>
      </c>
      <c r="AH53" s="13">
        <f>IF('Council Entry'!AH53="","",IFERROR(MAX(0,MIN(10,ROUND(IF('Council Entry'!AH$7="Decrease Risk",10-10*((IF('Council Entry'!AH$4="Logarithm",LN(0.001+IF(AND(ISNUMBER('Council Entry'!AH$8),ISNUMBER('Council Entry'!AH$9)),MAX(MIN('Council Entry'!AH53,'Council Entry'!AH$9),'Council Entry'!AH$8),'Council Entry'!AH53)),IF('Council Entry'!AH$4="Exponential",EXP(IF(AND(ISNUMBER('Council Entry'!AH$8),ISNUMBER('Council Entry'!AH$9)),MAX(MIN('Council Entry'!AH53,'Council Entry'!AH$9),'Council Entry'!AH$8),'Council Entry'!AH53)),IF(AND(ISNUMBER('Council Entry'!AH$8),ISNUMBER('Council Entry'!AH$9)),MAX(MIN('Council Entry'!AH53,'Council Entry'!AH$9),'Council Entry'!AH$8),'Council Entry'!AH53))))-'Council Entry'!AH$5)/('Council Entry'!AH$6-'Council Entry'!AH$5),10*((IF('Council Entry'!AH$4="Logarithm",LN(0.001+IF(AND(ISNUMBER('Council Entry'!AH$8),ISNUMBER('Council Entry'!AH$9)),MAX(MIN('Council Entry'!AH53,'Council Entry'!AH$9),'Council Entry'!AH$8),'Council Entry'!AH53)),IF('Council Entry'!AH$4="Exponential",EXP(IF(AND(ISNUMBER('Council Entry'!AH$8),ISNUMBER('Council Entry'!AH$9)),MAX(MIN('Council Entry'!AH53,'Council Entry'!AH$9),'Council Entry'!AH$8),'Council Entry'!AH53)),IF(AND(ISNUMBER('Council Entry'!AH$8),ISNUMBER('Council Entry'!AH$9)),MAX(MIN('Council Entry'!AH53,'Council Entry'!AH$9),'Council Entry'!AH$8),'Council Entry'!AH53))))-'Council Entry'!AH$5)/('Council Entry'!AH$6-'Council Entry'!AH$5)),1))),"No data"))</f>
        <v/>
      </c>
      <c r="AI53" s="13">
        <f>IF('Council Entry'!AI53="","",IFERROR(MAX(0,MIN(10,ROUND(IF('Council Entry'!AI$7="Decrease Risk",10-10*((IF('Council Entry'!AI$4="Logarithm",LN(0.001+IF(AND(ISNUMBER('Council Entry'!AI$8),ISNUMBER('Council Entry'!AI$9)),MAX(MIN('Council Entry'!AI53,'Council Entry'!AI$9),'Council Entry'!AI$8),'Council Entry'!AI53)),IF('Council Entry'!AI$4="Exponential",EXP(IF(AND(ISNUMBER('Council Entry'!AI$8),ISNUMBER('Council Entry'!AI$9)),MAX(MIN('Council Entry'!AI53,'Council Entry'!AI$9),'Council Entry'!AI$8),'Council Entry'!AI53)),IF(AND(ISNUMBER('Council Entry'!AI$8),ISNUMBER('Council Entry'!AI$9)),MAX(MIN('Council Entry'!AI53,'Council Entry'!AI$9),'Council Entry'!AI$8),'Council Entry'!AI53))))-'Council Entry'!AI$5)/('Council Entry'!AI$6-'Council Entry'!AI$5),10*((IF('Council Entry'!AI$4="Logarithm",LN(0.001+IF(AND(ISNUMBER('Council Entry'!AI$8),ISNUMBER('Council Entry'!AI$9)),MAX(MIN('Council Entry'!AI53,'Council Entry'!AI$9),'Council Entry'!AI$8),'Council Entry'!AI53)),IF('Council Entry'!AI$4="Exponential",EXP(IF(AND(ISNUMBER('Council Entry'!AI$8),ISNUMBER('Council Entry'!AI$9)),MAX(MIN('Council Entry'!AI53,'Council Entry'!AI$9),'Council Entry'!AI$8),'Council Entry'!AI53)),IF(AND(ISNUMBER('Council Entry'!AI$8),ISNUMBER('Council Entry'!AI$9)),MAX(MIN('Council Entry'!AI53,'Council Entry'!AI$9),'Council Entry'!AI$8),'Council Entry'!AI53))))-'Council Entry'!AI$5)/('Council Entry'!AI$6-'Council Entry'!AI$5)),1))),"No data"))</f>
        <v/>
      </c>
      <c r="AJ53" s="13">
        <f>IF('Council Entry'!AJ53="","",IFERROR(MAX(0,MIN(10,ROUND(IF('Council Entry'!AJ$7="Decrease Risk",10-10*((IF('Council Entry'!AJ$4="Logarithm",LN(0.001+IF(AND(ISNUMBER('Council Entry'!AJ$8),ISNUMBER('Council Entry'!AJ$9)),MAX(MIN('Council Entry'!AJ53,'Council Entry'!AJ$9),'Council Entry'!AJ$8),'Council Entry'!AJ53)),IF('Council Entry'!AJ$4="Exponential",EXP(IF(AND(ISNUMBER('Council Entry'!AJ$8),ISNUMBER('Council Entry'!AJ$9)),MAX(MIN('Council Entry'!AJ53,'Council Entry'!AJ$9),'Council Entry'!AJ$8),'Council Entry'!AJ53)),IF(AND(ISNUMBER('Council Entry'!AJ$8),ISNUMBER('Council Entry'!AJ$9)),MAX(MIN('Council Entry'!AJ53,'Council Entry'!AJ$9),'Council Entry'!AJ$8),'Council Entry'!AJ53))))-'Council Entry'!AJ$5)/('Council Entry'!AJ$6-'Council Entry'!AJ$5),10*((IF('Council Entry'!AJ$4="Logarithm",LN(0.001+IF(AND(ISNUMBER('Council Entry'!AJ$8),ISNUMBER('Council Entry'!AJ$9)),MAX(MIN('Council Entry'!AJ53,'Council Entry'!AJ$9),'Council Entry'!AJ$8),'Council Entry'!AJ53)),IF('Council Entry'!AJ$4="Exponential",EXP(IF(AND(ISNUMBER('Council Entry'!AJ$8),ISNUMBER('Council Entry'!AJ$9)),MAX(MIN('Council Entry'!AJ53,'Council Entry'!AJ$9),'Council Entry'!AJ$8),'Council Entry'!AJ53)),IF(AND(ISNUMBER('Council Entry'!AJ$8),ISNUMBER('Council Entry'!AJ$9)),MAX(MIN('Council Entry'!AJ53,'Council Entry'!AJ$9),'Council Entry'!AJ$8),'Council Entry'!AJ53))))-'Council Entry'!AJ$5)/('Council Entry'!AJ$6-'Council Entry'!AJ$5)),1))),"No data"))</f>
        <v/>
      </c>
      <c r="AK53" s="13">
        <f>IF('Council Entry'!AK53="","",IFERROR(MAX(0,MIN(10,ROUND(IF('Council Entry'!AK$7="Decrease Risk",10-10*((IF('Council Entry'!AK$4="Logarithm",LN(0.001+IF(AND(ISNUMBER('Council Entry'!AK$8),ISNUMBER('Council Entry'!AK$9)),MAX(MIN('Council Entry'!AK53,'Council Entry'!AK$9),'Council Entry'!AK$8),'Council Entry'!AK53)),IF('Council Entry'!AK$4="Exponential",EXP(IF(AND(ISNUMBER('Council Entry'!AK$8),ISNUMBER('Council Entry'!AK$9)),MAX(MIN('Council Entry'!AK53,'Council Entry'!AK$9),'Council Entry'!AK$8),'Council Entry'!AK53)),IF(AND(ISNUMBER('Council Entry'!AK$8),ISNUMBER('Council Entry'!AK$9)),MAX(MIN('Council Entry'!AK53,'Council Entry'!AK$9),'Council Entry'!AK$8),'Council Entry'!AK53))))-'Council Entry'!AK$5)/('Council Entry'!AK$6-'Council Entry'!AK$5),10*((IF('Council Entry'!AK$4="Logarithm",LN(0.001+IF(AND(ISNUMBER('Council Entry'!AK$8),ISNUMBER('Council Entry'!AK$9)),MAX(MIN('Council Entry'!AK53,'Council Entry'!AK$9),'Council Entry'!AK$8),'Council Entry'!AK53)),IF('Council Entry'!AK$4="Exponential",EXP(IF(AND(ISNUMBER('Council Entry'!AK$8),ISNUMBER('Council Entry'!AK$9)),MAX(MIN('Council Entry'!AK53,'Council Entry'!AK$9),'Council Entry'!AK$8),'Council Entry'!AK53)),IF(AND(ISNUMBER('Council Entry'!AK$8),ISNUMBER('Council Entry'!AK$9)),MAX(MIN('Council Entry'!AK53,'Council Entry'!AK$9),'Council Entry'!AK$8),'Council Entry'!AK53))))-'Council Entry'!AK$5)/('Council Entry'!AK$6-'Council Entry'!AK$5)),1))),"No data"))</f>
        <v/>
      </c>
      <c r="AL53" s="13">
        <f>IF('Council Entry'!AL53="","",IFERROR(MAX(0,MIN(10,ROUND(IF('Council Entry'!AL$7="Decrease Risk",10-10*((IF('Council Entry'!AL$4="Logarithm",LN(0.001+IF(AND(ISNUMBER('Council Entry'!AL$8),ISNUMBER('Council Entry'!AL$9)),MAX(MIN('Council Entry'!AL53,'Council Entry'!AL$9),'Council Entry'!AL$8),'Council Entry'!AL53)),IF('Council Entry'!AL$4="Exponential",EXP(IF(AND(ISNUMBER('Council Entry'!AL$8),ISNUMBER('Council Entry'!AL$9)),MAX(MIN('Council Entry'!AL53,'Council Entry'!AL$9),'Council Entry'!AL$8),'Council Entry'!AL53)),IF(AND(ISNUMBER('Council Entry'!AL$8),ISNUMBER('Council Entry'!AL$9)),MAX(MIN('Council Entry'!AL53,'Council Entry'!AL$9),'Council Entry'!AL$8),'Council Entry'!AL53))))-'Council Entry'!AL$5)/('Council Entry'!AL$6-'Council Entry'!AL$5),10*((IF('Council Entry'!AL$4="Logarithm",LN(0.001+IF(AND(ISNUMBER('Council Entry'!AL$8),ISNUMBER('Council Entry'!AL$9)),MAX(MIN('Council Entry'!AL53,'Council Entry'!AL$9),'Council Entry'!AL$8),'Council Entry'!AL53)),IF('Council Entry'!AL$4="Exponential",EXP(IF(AND(ISNUMBER('Council Entry'!AL$8),ISNUMBER('Council Entry'!AL$9)),MAX(MIN('Council Entry'!AL53,'Council Entry'!AL$9),'Council Entry'!AL$8),'Council Entry'!AL53)),IF(AND(ISNUMBER('Council Entry'!AL$8),ISNUMBER('Council Entry'!AL$9)),MAX(MIN('Council Entry'!AL53,'Council Entry'!AL$9),'Council Entry'!AL$8),'Council Entry'!AL53))))-'Council Entry'!AL$5)/('Council Entry'!AL$6-'Council Entry'!AL$5)),1))),"No data"))</f>
        <v/>
      </c>
      <c r="AM53" s="13">
        <f>IF('Council Entry'!AM53="","",IFERROR(MAX(0,MIN(10,ROUND(IF('Council Entry'!AM$7="Decrease Risk",10-10*((IF('Council Entry'!AM$4="Logarithm",LN(0.001+IF(AND(ISNUMBER('Council Entry'!AM$8),ISNUMBER('Council Entry'!AM$9)),MAX(MIN('Council Entry'!AM53,'Council Entry'!AM$9),'Council Entry'!AM$8),'Council Entry'!AM53)),IF('Council Entry'!AM$4="Exponential",EXP(IF(AND(ISNUMBER('Council Entry'!AM$8),ISNUMBER('Council Entry'!AM$9)),MAX(MIN('Council Entry'!AM53,'Council Entry'!AM$9),'Council Entry'!AM$8),'Council Entry'!AM53)),IF(AND(ISNUMBER('Council Entry'!AM$8),ISNUMBER('Council Entry'!AM$9)),MAX(MIN('Council Entry'!AM53,'Council Entry'!AM$9),'Council Entry'!AM$8),'Council Entry'!AM53))))-'Council Entry'!AM$5)/('Council Entry'!AM$6-'Council Entry'!AM$5),10*((IF('Council Entry'!AM$4="Logarithm",LN(0.001+IF(AND(ISNUMBER('Council Entry'!AM$8),ISNUMBER('Council Entry'!AM$9)),MAX(MIN('Council Entry'!AM53,'Council Entry'!AM$9),'Council Entry'!AM$8),'Council Entry'!AM53)),IF('Council Entry'!AM$4="Exponential",EXP(IF(AND(ISNUMBER('Council Entry'!AM$8),ISNUMBER('Council Entry'!AM$9)),MAX(MIN('Council Entry'!AM53,'Council Entry'!AM$9),'Council Entry'!AM$8),'Council Entry'!AM53)),IF(AND(ISNUMBER('Council Entry'!AM$8),ISNUMBER('Council Entry'!AM$9)),MAX(MIN('Council Entry'!AM53,'Council Entry'!AM$9),'Council Entry'!AM$8),'Council Entry'!AM53))))-'Council Entry'!AM$5)/('Council Entry'!AM$6-'Council Entry'!AM$5)),1))),"No data"))</f>
        <v/>
      </c>
      <c r="AN53" s="13">
        <f>IF('Council Entry'!AN53="","",IFERROR(MAX(0,MIN(10,ROUND(IF('Council Entry'!AN$7="Decrease Risk",10-10*((IF('Council Entry'!AN$4="Logarithm",LN(0.001+IF(AND(ISNUMBER('Council Entry'!AN$8),ISNUMBER('Council Entry'!AN$9)),MAX(MIN('Council Entry'!AN53,'Council Entry'!AN$9),'Council Entry'!AN$8),'Council Entry'!AN53)),IF('Council Entry'!AN$4="Exponential",EXP(IF(AND(ISNUMBER('Council Entry'!AN$8),ISNUMBER('Council Entry'!AN$9)),MAX(MIN('Council Entry'!AN53,'Council Entry'!AN$9),'Council Entry'!AN$8),'Council Entry'!AN53)),IF(AND(ISNUMBER('Council Entry'!AN$8),ISNUMBER('Council Entry'!AN$9)),MAX(MIN('Council Entry'!AN53,'Council Entry'!AN$9),'Council Entry'!AN$8),'Council Entry'!AN53))))-'Council Entry'!AN$5)/('Council Entry'!AN$6-'Council Entry'!AN$5),10*((IF('Council Entry'!AN$4="Logarithm",LN(0.001+IF(AND(ISNUMBER('Council Entry'!AN$8),ISNUMBER('Council Entry'!AN$9)),MAX(MIN('Council Entry'!AN53,'Council Entry'!AN$9),'Council Entry'!AN$8),'Council Entry'!AN53)),IF('Council Entry'!AN$4="Exponential",EXP(IF(AND(ISNUMBER('Council Entry'!AN$8),ISNUMBER('Council Entry'!AN$9)),MAX(MIN('Council Entry'!AN53,'Council Entry'!AN$9),'Council Entry'!AN$8),'Council Entry'!AN53)),IF(AND(ISNUMBER('Council Entry'!AN$8),ISNUMBER('Council Entry'!AN$9)),MAX(MIN('Council Entry'!AN53,'Council Entry'!AN$9),'Council Entry'!AN$8),'Council Entry'!AN53))))-'Council Entry'!AN$5)/('Council Entry'!AN$6-'Council Entry'!AN$5)),1))),"No data"))</f>
        <v/>
      </c>
      <c r="AO53" s="13">
        <f>IF('Council Entry'!AO53="","",IFERROR(MAX(0,MIN(10,ROUND(IF('Council Entry'!AO$7="Decrease Risk",10-10*((IF('Council Entry'!AO$4="Logarithm",LN(0.001+IF(AND(ISNUMBER('Council Entry'!AO$8),ISNUMBER('Council Entry'!AO$9)),MAX(MIN('Council Entry'!AO53,'Council Entry'!AO$9),'Council Entry'!AO$8),'Council Entry'!AO53)),IF('Council Entry'!AO$4="Exponential",EXP(IF(AND(ISNUMBER('Council Entry'!AO$8),ISNUMBER('Council Entry'!AO$9)),MAX(MIN('Council Entry'!AO53,'Council Entry'!AO$9),'Council Entry'!AO$8),'Council Entry'!AO53)),IF(AND(ISNUMBER('Council Entry'!AO$8),ISNUMBER('Council Entry'!AO$9)),MAX(MIN('Council Entry'!AO53,'Council Entry'!AO$9),'Council Entry'!AO$8),'Council Entry'!AO53))))-'Council Entry'!AO$5)/('Council Entry'!AO$6-'Council Entry'!AO$5),10*((IF('Council Entry'!AO$4="Logarithm",LN(0.001+IF(AND(ISNUMBER('Council Entry'!AO$8),ISNUMBER('Council Entry'!AO$9)),MAX(MIN('Council Entry'!AO53,'Council Entry'!AO$9),'Council Entry'!AO$8),'Council Entry'!AO53)),IF('Council Entry'!AO$4="Exponential",EXP(IF(AND(ISNUMBER('Council Entry'!AO$8),ISNUMBER('Council Entry'!AO$9)),MAX(MIN('Council Entry'!AO53,'Council Entry'!AO$9),'Council Entry'!AO$8),'Council Entry'!AO53)),IF(AND(ISNUMBER('Council Entry'!AO$8),ISNUMBER('Council Entry'!AO$9)),MAX(MIN('Council Entry'!AO53,'Council Entry'!AO$9),'Council Entry'!AO$8),'Council Entry'!AO53))))-'Council Entry'!AO$5)/('Council Entry'!AO$6-'Council Entry'!AO$5)),1))),"No data"))</f>
        <v/>
      </c>
      <c r="AP53" s="13">
        <f>IF('Council Entry'!AP53="","",IFERROR(MAX(0,MIN(10,ROUND(IF('Council Entry'!AP$7="Decrease Risk",10-10*((IF('Council Entry'!AP$4="Logarithm",LN(0.001+IF(AND(ISNUMBER('Council Entry'!AP$8),ISNUMBER('Council Entry'!AP$9)),MAX(MIN('Council Entry'!AP53,'Council Entry'!AP$9),'Council Entry'!AP$8),'Council Entry'!AP53)),IF('Council Entry'!AP$4="Exponential",EXP(IF(AND(ISNUMBER('Council Entry'!AP$8),ISNUMBER('Council Entry'!AP$9)),MAX(MIN('Council Entry'!AP53,'Council Entry'!AP$9),'Council Entry'!AP$8),'Council Entry'!AP53)),IF(AND(ISNUMBER('Council Entry'!AP$8),ISNUMBER('Council Entry'!AP$9)),MAX(MIN('Council Entry'!AP53,'Council Entry'!AP$9),'Council Entry'!AP$8),'Council Entry'!AP53))))-'Council Entry'!AP$5)/('Council Entry'!AP$6-'Council Entry'!AP$5),10*((IF('Council Entry'!AP$4="Logarithm",LN(0.001+IF(AND(ISNUMBER('Council Entry'!AP$8),ISNUMBER('Council Entry'!AP$9)),MAX(MIN('Council Entry'!AP53,'Council Entry'!AP$9),'Council Entry'!AP$8),'Council Entry'!AP53)),IF('Council Entry'!AP$4="Exponential",EXP(IF(AND(ISNUMBER('Council Entry'!AP$8),ISNUMBER('Council Entry'!AP$9)),MAX(MIN('Council Entry'!AP53,'Council Entry'!AP$9),'Council Entry'!AP$8),'Council Entry'!AP53)),IF(AND(ISNUMBER('Council Entry'!AP$8),ISNUMBER('Council Entry'!AP$9)),MAX(MIN('Council Entry'!AP53,'Council Entry'!AP$9),'Council Entry'!AP$8),'Council Entry'!AP53))))-'Council Entry'!AP$5)/('Council Entry'!AP$6-'Council Entry'!AP$5)),1))),"No data"))</f>
        <v/>
      </c>
      <c r="AQ53" s="13">
        <f>IF('Council Entry'!AQ53="","",IFERROR(MAX(0,MIN(10,ROUND(IF('Council Entry'!AQ$7="Decrease Risk",10-10*((IF('Council Entry'!AQ$4="Logarithm",LN(0.001+IF(AND(ISNUMBER('Council Entry'!AQ$8),ISNUMBER('Council Entry'!AQ$9)),MAX(MIN('Council Entry'!AQ53,'Council Entry'!AQ$9),'Council Entry'!AQ$8),'Council Entry'!AQ53)),IF('Council Entry'!AQ$4="Exponential",EXP(IF(AND(ISNUMBER('Council Entry'!AQ$8),ISNUMBER('Council Entry'!AQ$9)),MAX(MIN('Council Entry'!AQ53,'Council Entry'!AQ$9),'Council Entry'!AQ$8),'Council Entry'!AQ53)),IF(AND(ISNUMBER('Council Entry'!AQ$8),ISNUMBER('Council Entry'!AQ$9)),MAX(MIN('Council Entry'!AQ53,'Council Entry'!AQ$9),'Council Entry'!AQ$8),'Council Entry'!AQ53))))-'Council Entry'!AQ$5)/('Council Entry'!AQ$6-'Council Entry'!AQ$5),10*((IF('Council Entry'!AQ$4="Logarithm",LN(0.001+IF(AND(ISNUMBER('Council Entry'!AQ$8),ISNUMBER('Council Entry'!AQ$9)),MAX(MIN('Council Entry'!AQ53,'Council Entry'!AQ$9),'Council Entry'!AQ$8),'Council Entry'!AQ53)),IF('Council Entry'!AQ$4="Exponential",EXP(IF(AND(ISNUMBER('Council Entry'!AQ$8),ISNUMBER('Council Entry'!AQ$9)),MAX(MIN('Council Entry'!AQ53,'Council Entry'!AQ$9),'Council Entry'!AQ$8),'Council Entry'!AQ53)),IF(AND(ISNUMBER('Council Entry'!AQ$8),ISNUMBER('Council Entry'!AQ$9)),MAX(MIN('Council Entry'!AQ53,'Council Entry'!AQ$9),'Council Entry'!AQ$8),'Council Entry'!AQ53))))-'Council Entry'!AQ$5)/('Council Entry'!AQ$6-'Council Entry'!AQ$5)),1))),"No data"))</f>
        <v/>
      </c>
      <c r="AR53" s="13">
        <f>IF('Council Entry'!AR53="","",IFERROR(MAX(0,MIN(10,ROUND(IF('Council Entry'!AR$7="Decrease Risk",10-10*((IF('Council Entry'!AR$4="Logarithm",LN(0.001+IF(AND(ISNUMBER('Council Entry'!AR$8),ISNUMBER('Council Entry'!AR$9)),MAX(MIN('Council Entry'!AR53,'Council Entry'!AR$9),'Council Entry'!AR$8),'Council Entry'!AR53)),IF('Council Entry'!AR$4="Exponential",EXP(IF(AND(ISNUMBER('Council Entry'!AR$8),ISNUMBER('Council Entry'!AR$9)),MAX(MIN('Council Entry'!AR53,'Council Entry'!AR$9),'Council Entry'!AR$8),'Council Entry'!AR53)),IF(AND(ISNUMBER('Council Entry'!AR$8),ISNUMBER('Council Entry'!AR$9)),MAX(MIN('Council Entry'!AR53,'Council Entry'!AR$9),'Council Entry'!AR$8),'Council Entry'!AR53))))-'Council Entry'!AR$5)/('Council Entry'!AR$6-'Council Entry'!AR$5),10*((IF('Council Entry'!AR$4="Logarithm",LN(0.001+IF(AND(ISNUMBER('Council Entry'!AR$8),ISNUMBER('Council Entry'!AR$9)),MAX(MIN('Council Entry'!AR53,'Council Entry'!AR$9),'Council Entry'!AR$8),'Council Entry'!AR53)),IF('Council Entry'!AR$4="Exponential",EXP(IF(AND(ISNUMBER('Council Entry'!AR$8),ISNUMBER('Council Entry'!AR$9)),MAX(MIN('Council Entry'!AR53,'Council Entry'!AR$9),'Council Entry'!AR$8),'Council Entry'!AR53)),IF(AND(ISNUMBER('Council Entry'!AR$8),ISNUMBER('Council Entry'!AR$9)),MAX(MIN('Council Entry'!AR53,'Council Entry'!AR$9),'Council Entry'!AR$8),'Council Entry'!AR53))))-'Council Entry'!AR$5)/('Council Entry'!AR$6-'Council Entry'!AR$5)),1))),"No data"))</f>
        <v/>
      </c>
      <c r="AS53" s="13">
        <f>IF('Council Entry'!AS53="","",IFERROR(MAX(0,MIN(10,ROUND(IF('Council Entry'!AS$7="Decrease Risk",10-10*((IF('Council Entry'!AS$4="Logarithm",LN(0.001+IF(AND(ISNUMBER('Council Entry'!AS$8),ISNUMBER('Council Entry'!AS$9)),MAX(MIN('Council Entry'!AS53,'Council Entry'!AS$9),'Council Entry'!AS$8),'Council Entry'!AS53)),IF('Council Entry'!AS$4="Exponential",EXP(IF(AND(ISNUMBER('Council Entry'!AS$8),ISNUMBER('Council Entry'!AS$9)),MAX(MIN('Council Entry'!AS53,'Council Entry'!AS$9),'Council Entry'!AS$8),'Council Entry'!AS53)),IF(AND(ISNUMBER('Council Entry'!AS$8),ISNUMBER('Council Entry'!AS$9)),MAX(MIN('Council Entry'!AS53,'Council Entry'!AS$9),'Council Entry'!AS$8),'Council Entry'!AS53))))-'Council Entry'!AS$5)/('Council Entry'!AS$6-'Council Entry'!AS$5),10*((IF('Council Entry'!AS$4="Logarithm",LN(0.001+IF(AND(ISNUMBER('Council Entry'!AS$8),ISNUMBER('Council Entry'!AS$9)),MAX(MIN('Council Entry'!AS53,'Council Entry'!AS$9),'Council Entry'!AS$8),'Council Entry'!AS53)),IF('Council Entry'!AS$4="Exponential",EXP(IF(AND(ISNUMBER('Council Entry'!AS$8),ISNUMBER('Council Entry'!AS$9)),MAX(MIN('Council Entry'!AS53,'Council Entry'!AS$9),'Council Entry'!AS$8),'Council Entry'!AS53)),IF(AND(ISNUMBER('Council Entry'!AS$8),ISNUMBER('Council Entry'!AS$9)),MAX(MIN('Council Entry'!AS53,'Council Entry'!AS$9),'Council Entry'!AS$8),'Council Entry'!AS53))))-'Council Entry'!AS$5)/('Council Entry'!AS$6-'Council Entry'!AS$5)),1))),"No data"))</f>
        <v/>
      </c>
      <c r="AT53" s="13">
        <f>IF('Council Entry'!AT53="","",IFERROR(MAX(0,MIN(10,ROUND(IF('Council Entry'!AT$7="Decrease Risk",10-10*((IF('Council Entry'!AT$4="Logarithm",LN(0.001+IF(AND(ISNUMBER('Council Entry'!AT$8),ISNUMBER('Council Entry'!AT$9)),MAX(MIN('Council Entry'!AT53,'Council Entry'!AT$9),'Council Entry'!AT$8),'Council Entry'!AT53)),IF('Council Entry'!AT$4="Exponential",EXP(IF(AND(ISNUMBER('Council Entry'!AT$8),ISNUMBER('Council Entry'!AT$9)),MAX(MIN('Council Entry'!AT53,'Council Entry'!AT$9),'Council Entry'!AT$8),'Council Entry'!AT53)),IF(AND(ISNUMBER('Council Entry'!AT$8),ISNUMBER('Council Entry'!AT$9)),MAX(MIN('Council Entry'!AT53,'Council Entry'!AT$9),'Council Entry'!AT$8),'Council Entry'!AT53))))-'Council Entry'!AT$5)/('Council Entry'!AT$6-'Council Entry'!AT$5),10*((IF('Council Entry'!AT$4="Logarithm",LN(0.001+IF(AND(ISNUMBER('Council Entry'!AT$8),ISNUMBER('Council Entry'!AT$9)),MAX(MIN('Council Entry'!AT53,'Council Entry'!AT$9),'Council Entry'!AT$8),'Council Entry'!AT53)),IF('Council Entry'!AT$4="Exponential",EXP(IF(AND(ISNUMBER('Council Entry'!AT$8),ISNUMBER('Council Entry'!AT$9)),MAX(MIN('Council Entry'!AT53,'Council Entry'!AT$9),'Council Entry'!AT$8),'Council Entry'!AT53)),IF(AND(ISNUMBER('Council Entry'!AT$8),ISNUMBER('Council Entry'!AT$9)),MAX(MIN('Council Entry'!AT53,'Council Entry'!AT$9),'Council Entry'!AT$8),'Council Entry'!AT53))))-'Council Entry'!AT$5)/('Council Entry'!AT$6-'Council Entry'!AT$5)),1))),"No data"))</f>
        <v/>
      </c>
      <c r="AU53" s="13">
        <f>IF('Council Entry'!AU53="","",IFERROR(MAX(0,MIN(10,ROUND(IF('Council Entry'!AU$7="Decrease Risk",10-10*((IF('Council Entry'!AU$4="Logarithm",LN(0.001+IF(AND(ISNUMBER('Council Entry'!AU$8),ISNUMBER('Council Entry'!AU$9)),MAX(MIN('Council Entry'!AU53,'Council Entry'!AU$9),'Council Entry'!AU$8),'Council Entry'!AU53)),IF('Council Entry'!AU$4="Exponential",EXP(IF(AND(ISNUMBER('Council Entry'!AU$8),ISNUMBER('Council Entry'!AU$9)),MAX(MIN('Council Entry'!AU53,'Council Entry'!AU$9),'Council Entry'!AU$8),'Council Entry'!AU53)),IF(AND(ISNUMBER('Council Entry'!AU$8),ISNUMBER('Council Entry'!AU$9)),MAX(MIN('Council Entry'!AU53,'Council Entry'!AU$9),'Council Entry'!AU$8),'Council Entry'!AU53))))-'Council Entry'!AU$5)/('Council Entry'!AU$6-'Council Entry'!AU$5),10*((IF('Council Entry'!AU$4="Logarithm",LN(0.001+IF(AND(ISNUMBER('Council Entry'!AU$8),ISNUMBER('Council Entry'!AU$9)),MAX(MIN('Council Entry'!AU53,'Council Entry'!AU$9),'Council Entry'!AU$8),'Council Entry'!AU53)),IF('Council Entry'!AU$4="Exponential",EXP(IF(AND(ISNUMBER('Council Entry'!AU$8),ISNUMBER('Council Entry'!AU$9)),MAX(MIN('Council Entry'!AU53,'Council Entry'!AU$9),'Council Entry'!AU$8),'Council Entry'!AU53)),IF(AND(ISNUMBER('Council Entry'!AU$8),ISNUMBER('Council Entry'!AU$9)),MAX(MIN('Council Entry'!AU53,'Council Entry'!AU$9),'Council Entry'!AU$8),'Council Entry'!AU53))))-'Council Entry'!AU$5)/('Council Entry'!AU$6-'Council Entry'!AU$5)),1))),"No data"))</f>
        <v/>
      </c>
      <c r="AV53" s="13">
        <f>IF('Council Entry'!AV53="","",IFERROR(MAX(0,MIN(10,ROUND(IF('Council Entry'!AV$7="Decrease Risk",10-10*((IF('Council Entry'!AV$4="Logarithm",LN(0.001+IF(AND(ISNUMBER('Council Entry'!AV$8),ISNUMBER('Council Entry'!AV$9)),MAX(MIN('Council Entry'!AV53,'Council Entry'!AV$9),'Council Entry'!AV$8),'Council Entry'!AV53)),IF('Council Entry'!AV$4="Exponential",EXP(IF(AND(ISNUMBER('Council Entry'!AV$8),ISNUMBER('Council Entry'!AV$9)),MAX(MIN('Council Entry'!AV53,'Council Entry'!AV$9),'Council Entry'!AV$8),'Council Entry'!AV53)),IF(AND(ISNUMBER('Council Entry'!AV$8),ISNUMBER('Council Entry'!AV$9)),MAX(MIN('Council Entry'!AV53,'Council Entry'!AV$9),'Council Entry'!AV$8),'Council Entry'!AV53))))-'Council Entry'!AV$5)/('Council Entry'!AV$6-'Council Entry'!AV$5),10*((IF('Council Entry'!AV$4="Logarithm",LN(0.001+IF(AND(ISNUMBER('Council Entry'!AV$8),ISNUMBER('Council Entry'!AV$9)),MAX(MIN('Council Entry'!AV53,'Council Entry'!AV$9),'Council Entry'!AV$8),'Council Entry'!AV53)),IF('Council Entry'!AV$4="Exponential",EXP(IF(AND(ISNUMBER('Council Entry'!AV$8),ISNUMBER('Council Entry'!AV$9)),MAX(MIN('Council Entry'!AV53,'Council Entry'!AV$9),'Council Entry'!AV$8),'Council Entry'!AV53)),IF(AND(ISNUMBER('Council Entry'!AV$8),ISNUMBER('Council Entry'!AV$9)),MAX(MIN('Council Entry'!AV53,'Council Entry'!AV$9),'Council Entry'!AV$8),'Council Entry'!AV53))))-'Council Entry'!AV$5)/('Council Entry'!AV$6-'Council Entry'!AV$5)),1))),"No data"))</f>
        <v/>
      </c>
      <c r="AW53" s="13">
        <f>IF('Council Entry'!AW53="","",IFERROR(MAX(0,MIN(10,ROUND(IF('Council Entry'!AW$7="Decrease Risk",10-10*((IF('Council Entry'!AW$4="Logarithm",LN(0.001+IF(AND(ISNUMBER('Council Entry'!AW$8),ISNUMBER('Council Entry'!AW$9)),MAX(MIN('Council Entry'!AW53,'Council Entry'!AW$9),'Council Entry'!AW$8),'Council Entry'!AW53)),IF('Council Entry'!AW$4="Exponential",EXP(IF(AND(ISNUMBER('Council Entry'!AW$8),ISNUMBER('Council Entry'!AW$9)),MAX(MIN('Council Entry'!AW53,'Council Entry'!AW$9),'Council Entry'!AW$8),'Council Entry'!AW53)),IF(AND(ISNUMBER('Council Entry'!AW$8),ISNUMBER('Council Entry'!AW$9)),MAX(MIN('Council Entry'!AW53,'Council Entry'!AW$9),'Council Entry'!AW$8),'Council Entry'!AW53))))-'Council Entry'!AW$5)/('Council Entry'!AW$6-'Council Entry'!AW$5),10*((IF('Council Entry'!AW$4="Logarithm",LN(0.001+IF(AND(ISNUMBER('Council Entry'!AW$8),ISNUMBER('Council Entry'!AW$9)),MAX(MIN('Council Entry'!AW53,'Council Entry'!AW$9),'Council Entry'!AW$8),'Council Entry'!AW53)),IF('Council Entry'!AW$4="Exponential",EXP(IF(AND(ISNUMBER('Council Entry'!AW$8),ISNUMBER('Council Entry'!AW$9)),MAX(MIN('Council Entry'!AW53,'Council Entry'!AW$9),'Council Entry'!AW$8),'Council Entry'!AW53)),IF(AND(ISNUMBER('Council Entry'!AW$8),ISNUMBER('Council Entry'!AW$9)),MAX(MIN('Council Entry'!AW53,'Council Entry'!AW$9),'Council Entry'!AW$8),'Council Entry'!AW53))))-'Council Entry'!AW$5)/('Council Entry'!AW$6-'Council Entry'!AW$5)),1))),"No data"))</f>
        <v/>
      </c>
      <c r="AX53" s="13">
        <f>IF('Council Entry'!AX53="","",IFERROR(MAX(0,MIN(10,ROUND(IF('Council Entry'!AX$7="Decrease Risk",10-10*((IF('Council Entry'!AX$4="Logarithm",LN(0.001+IF(AND(ISNUMBER('Council Entry'!AX$8),ISNUMBER('Council Entry'!AX$9)),MAX(MIN('Council Entry'!AX53,'Council Entry'!AX$9),'Council Entry'!AX$8),'Council Entry'!AX53)),IF('Council Entry'!AX$4="Exponential",EXP(IF(AND(ISNUMBER('Council Entry'!AX$8),ISNUMBER('Council Entry'!AX$9)),MAX(MIN('Council Entry'!AX53,'Council Entry'!AX$9),'Council Entry'!AX$8),'Council Entry'!AX53)),IF(AND(ISNUMBER('Council Entry'!AX$8),ISNUMBER('Council Entry'!AX$9)),MAX(MIN('Council Entry'!AX53,'Council Entry'!AX$9),'Council Entry'!AX$8),'Council Entry'!AX53))))-'Council Entry'!AX$5)/('Council Entry'!AX$6-'Council Entry'!AX$5),10*((IF('Council Entry'!AX$4="Logarithm",LN(0.001+IF(AND(ISNUMBER('Council Entry'!AX$8),ISNUMBER('Council Entry'!AX$9)),MAX(MIN('Council Entry'!AX53,'Council Entry'!AX$9),'Council Entry'!AX$8),'Council Entry'!AX53)),IF('Council Entry'!AX$4="Exponential",EXP(IF(AND(ISNUMBER('Council Entry'!AX$8),ISNUMBER('Council Entry'!AX$9)),MAX(MIN('Council Entry'!AX53,'Council Entry'!AX$9),'Council Entry'!AX$8),'Council Entry'!AX53)),IF(AND(ISNUMBER('Council Entry'!AX$8),ISNUMBER('Council Entry'!AX$9)),MAX(MIN('Council Entry'!AX53,'Council Entry'!AX$9),'Council Entry'!AX$8),'Council Entry'!AX53))))-'Council Entry'!AX$5)/('Council Entry'!AX$6-'Council Entry'!AX$5)),1))),"No data"))</f>
        <v/>
      </c>
      <c r="AY53" s="13">
        <f>IF('Council Entry'!AY53="","",IFERROR(MAX(0,MIN(10,ROUND(IF('Council Entry'!AY$7="Decrease Risk",10-10*((IF('Council Entry'!AY$4="Logarithm",LN(0.001+IF(AND(ISNUMBER('Council Entry'!AY$8),ISNUMBER('Council Entry'!AY$9)),MAX(MIN('Council Entry'!AY53,'Council Entry'!AY$9),'Council Entry'!AY$8),'Council Entry'!AY53)),IF('Council Entry'!AY$4="Exponential",EXP(IF(AND(ISNUMBER('Council Entry'!AY$8),ISNUMBER('Council Entry'!AY$9)),MAX(MIN('Council Entry'!AY53,'Council Entry'!AY$9),'Council Entry'!AY$8),'Council Entry'!AY53)),IF(AND(ISNUMBER('Council Entry'!AY$8),ISNUMBER('Council Entry'!AY$9)),MAX(MIN('Council Entry'!AY53,'Council Entry'!AY$9),'Council Entry'!AY$8),'Council Entry'!AY53))))-'Council Entry'!AY$5)/('Council Entry'!AY$6-'Council Entry'!AY$5),10*((IF('Council Entry'!AY$4="Logarithm",LN(0.001+IF(AND(ISNUMBER('Council Entry'!AY$8),ISNUMBER('Council Entry'!AY$9)),MAX(MIN('Council Entry'!AY53,'Council Entry'!AY$9),'Council Entry'!AY$8),'Council Entry'!AY53)),IF('Council Entry'!AY$4="Exponential",EXP(IF(AND(ISNUMBER('Council Entry'!AY$8),ISNUMBER('Council Entry'!AY$9)),MAX(MIN('Council Entry'!AY53,'Council Entry'!AY$9),'Council Entry'!AY$8),'Council Entry'!AY53)),IF(AND(ISNUMBER('Council Entry'!AY$8),ISNUMBER('Council Entry'!AY$9)),MAX(MIN('Council Entry'!AY53,'Council Entry'!AY$9),'Council Entry'!AY$8),'Council Entry'!AY53))))-'Council Entry'!AY$5)/('Council Entry'!AY$6-'Council Entry'!AY$5)),1))),"No data"))</f>
        <v/>
      </c>
      <c r="AZ53" s="13">
        <f>IF('Council Entry'!AZ53="","",IFERROR(MAX(0,MIN(10,ROUND(IF('Council Entry'!AZ$7="Decrease Risk",10-10*((IF('Council Entry'!AZ$4="Logarithm",LN(0.001+IF(AND(ISNUMBER('Council Entry'!AZ$8),ISNUMBER('Council Entry'!AZ$9)),MAX(MIN('Council Entry'!AZ53,'Council Entry'!AZ$9),'Council Entry'!AZ$8),'Council Entry'!AZ53)),IF('Council Entry'!AZ$4="Exponential",EXP(IF(AND(ISNUMBER('Council Entry'!AZ$8),ISNUMBER('Council Entry'!AZ$9)),MAX(MIN('Council Entry'!AZ53,'Council Entry'!AZ$9),'Council Entry'!AZ$8),'Council Entry'!AZ53)),IF(AND(ISNUMBER('Council Entry'!AZ$8),ISNUMBER('Council Entry'!AZ$9)),MAX(MIN('Council Entry'!AZ53,'Council Entry'!AZ$9),'Council Entry'!AZ$8),'Council Entry'!AZ53))))-'Council Entry'!AZ$5)/('Council Entry'!AZ$6-'Council Entry'!AZ$5),10*((IF('Council Entry'!AZ$4="Logarithm",LN(0.001+IF(AND(ISNUMBER('Council Entry'!AZ$8),ISNUMBER('Council Entry'!AZ$9)),MAX(MIN('Council Entry'!AZ53,'Council Entry'!AZ$9),'Council Entry'!AZ$8),'Council Entry'!AZ53)),IF('Council Entry'!AZ$4="Exponential",EXP(IF(AND(ISNUMBER('Council Entry'!AZ$8),ISNUMBER('Council Entry'!AZ$9)),MAX(MIN('Council Entry'!AZ53,'Council Entry'!AZ$9),'Council Entry'!AZ$8),'Council Entry'!AZ53)),IF(AND(ISNUMBER('Council Entry'!AZ$8),ISNUMBER('Council Entry'!AZ$9)),MAX(MIN('Council Entry'!AZ53,'Council Entry'!AZ$9),'Council Entry'!AZ$8),'Council Entry'!AZ53))))-'Council Entry'!AZ$5)/('Council Entry'!AZ$6-'Council Entry'!AZ$5)),1))),"No data"))</f>
        <v/>
      </c>
      <c r="BA53" s="13">
        <f>IF('Council Entry'!BA53="","",IFERROR(MAX(0,MIN(10,ROUND(IF('Council Entry'!BA$7="Decrease Risk",10-10*((IF('Council Entry'!BA$4="Logarithm",LN(0.001+IF(AND(ISNUMBER('Council Entry'!BA$8),ISNUMBER('Council Entry'!BA$9)),MAX(MIN('Council Entry'!BA53,'Council Entry'!BA$9),'Council Entry'!BA$8),'Council Entry'!BA53)),IF('Council Entry'!BA$4="Exponential",EXP(IF(AND(ISNUMBER('Council Entry'!BA$8),ISNUMBER('Council Entry'!BA$9)),MAX(MIN('Council Entry'!BA53,'Council Entry'!BA$9),'Council Entry'!BA$8),'Council Entry'!BA53)),IF(AND(ISNUMBER('Council Entry'!BA$8),ISNUMBER('Council Entry'!BA$9)),MAX(MIN('Council Entry'!BA53,'Council Entry'!BA$9),'Council Entry'!BA$8),'Council Entry'!BA53))))-'Council Entry'!BA$5)/('Council Entry'!BA$6-'Council Entry'!BA$5),10*((IF('Council Entry'!BA$4="Logarithm",LN(0.001+IF(AND(ISNUMBER('Council Entry'!BA$8),ISNUMBER('Council Entry'!BA$9)),MAX(MIN('Council Entry'!BA53,'Council Entry'!BA$9),'Council Entry'!BA$8),'Council Entry'!BA53)),IF('Council Entry'!BA$4="Exponential",EXP(IF(AND(ISNUMBER('Council Entry'!BA$8),ISNUMBER('Council Entry'!BA$9)),MAX(MIN('Council Entry'!BA53,'Council Entry'!BA$9),'Council Entry'!BA$8),'Council Entry'!BA53)),IF(AND(ISNUMBER('Council Entry'!BA$8),ISNUMBER('Council Entry'!BA$9)),MAX(MIN('Council Entry'!BA53,'Council Entry'!BA$9),'Council Entry'!BA$8),'Council Entry'!BA53))))-'Council Entry'!BA$5)/('Council Entry'!BA$6-'Council Entry'!BA$5)),1))),"No data"))</f>
        <v/>
      </c>
      <c r="BB53" s="13">
        <f>IF('Council Entry'!BB53="","",IFERROR(MAX(0,MIN(10,ROUND(IF('Council Entry'!BB$7="Decrease Risk",10-10*((IF('Council Entry'!BB$4="Logarithm",LN(0.001+IF(AND(ISNUMBER('Council Entry'!BB$8),ISNUMBER('Council Entry'!BB$9)),MAX(MIN('Council Entry'!BB53,'Council Entry'!BB$9),'Council Entry'!BB$8),'Council Entry'!BB53)),IF('Council Entry'!BB$4="Exponential",EXP(IF(AND(ISNUMBER('Council Entry'!BB$8),ISNUMBER('Council Entry'!BB$9)),MAX(MIN('Council Entry'!BB53,'Council Entry'!BB$9),'Council Entry'!BB$8),'Council Entry'!BB53)),IF(AND(ISNUMBER('Council Entry'!BB$8),ISNUMBER('Council Entry'!BB$9)),MAX(MIN('Council Entry'!BB53,'Council Entry'!BB$9),'Council Entry'!BB$8),'Council Entry'!BB53))))-'Council Entry'!BB$5)/('Council Entry'!BB$6-'Council Entry'!BB$5),10*((IF('Council Entry'!BB$4="Logarithm",LN(0.001+IF(AND(ISNUMBER('Council Entry'!BB$8),ISNUMBER('Council Entry'!BB$9)),MAX(MIN('Council Entry'!BB53,'Council Entry'!BB$9),'Council Entry'!BB$8),'Council Entry'!BB53)),IF('Council Entry'!BB$4="Exponential",EXP(IF(AND(ISNUMBER('Council Entry'!BB$8),ISNUMBER('Council Entry'!BB$9)),MAX(MIN('Council Entry'!BB53,'Council Entry'!BB$9),'Council Entry'!BB$8),'Council Entry'!BB53)),IF(AND(ISNUMBER('Council Entry'!BB$8),ISNUMBER('Council Entry'!BB$9)),MAX(MIN('Council Entry'!BB53,'Council Entry'!BB$9),'Council Entry'!BB$8),'Council Entry'!BB53))))-'Council Entry'!BB$5)/('Council Entry'!BB$6-'Council Entry'!BB$5)),1))),"No data"))</f>
        <v/>
      </c>
      <c r="BC53" s="13">
        <f>IF('Council Entry'!BC53="","",IFERROR(MAX(0,MIN(10,ROUND(IF('Council Entry'!BC$7="Decrease Risk",10-10*((IF('Council Entry'!BC$4="Logarithm",LN(0.001+IF(AND(ISNUMBER('Council Entry'!BC$8),ISNUMBER('Council Entry'!BC$9)),MAX(MIN('Council Entry'!BC53,'Council Entry'!BC$9),'Council Entry'!BC$8),'Council Entry'!BC53)),IF('Council Entry'!BC$4="Exponential",EXP(IF(AND(ISNUMBER('Council Entry'!BC$8),ISNUMBER('Council Entry'!BC$9)),MAX(MIN('Council Entry'!BC53,'Council Entry'!BC$9),'Council Entry'!BC$8),'Council Entry'!BC53)),IF(AND(ISNUMBER('Council Entry'!BC$8),ISNUMBER('Council Entry'!BC$9)),MAX(MIN('Council Entry'!BC53,'Council Entry'!BC$9),'Council Entry'!BC$8),'Council Entry'!BC53))))-'Council Entry'!BC$5)/('Council Entry'!BC$6-'Council Entry'!BC$5),10*((IF('Council Entry'!BC$4="Logarithm",LN(0.001+IF(AND(ISNUMBER('Council Entry'!BC$8),ISNUMBER('Council Entry'!BC$9)),MAX(MIN('Council Entry'!BC53,'Council Entry'!BC$9),'Council Entry'!BC$8),'Council Entry'!BC53)),IF('Council Entry'!BC$4="Exponential",EXP(IF(AND(ISNUMBER('Council Entry'!BC$8),ISNUMBER('Council Entry'!BC$9)),MAX(MIN('Council Entry'!BC53,'Council Entry'!BC$9),'Council Entry'!BC$8),'Council Entry'!BC53)),IF(AND(ISNUMBER('Council Entry'!BC$8),ISNUMBER('Council Entry'!BC$9)),MAX(MIN('Council Entry'!BC53,'Council Entry'!BC$9),'Council Entry'!BC$8),'Council Entry'!BC53))))-'Council Entry'!BC$5)/('Council Entry'!BC$6-'Council Entry'!BC$5)),1))),"No data"))</f>
        <v/>
      </c>
      <c r="BD53" s="13">
        <f>IF('Council Entry'!BD53="","",IFERROR(MAX(0,MIN(10,ROUND(IF('Council Entry'!BD$7="Decrease Risk",10-10*((IF('Council Entry'!BD$4="Logarithm",LN(0.001+IF(AND(ISNUMBER('Council Entry'!BD$8),ISNUMBER('Council Entry'!BD$9)),MAX(MIN('Council Entry'!BD53,'Council Entry'!BD$9),'Council Entry'!BD$8),'Council Entry'!BD53)),IF('Council Entry'!BD$4="Exponential",EXP(IF(AND(ISNUMBER('Council Entry'!BD$8),ISNUMBER('Council Entry'!BD$9)),MAX(MIN('Council Entry'!BD53,'Council Entry'!BD$9),'Council Entry'!BD$8),'Council Entry'!BD53)),IF(AND(ISNUMBER('Council Entry'!BD$8),ISNUMBER('Council Entry'!BD$9)),MAX(MIN('Council Entry'!BD53,'Council Entry'!BD$9),'Council Entry'!BD$8),'Council Entry'!BD53))))-'Council Entry'!BD$5)/('Council Entry'!BD$6-'Council Entry'!BD$5),10*((IF('Council Entry'!BD$4="Logarithm",LN(0.001+IF(AND(ISNUMBER('Council Entry'!BD$8),ISNUMBER('Council Entry'!BD$9)),MAX(MIN('Council Entry'!BD53,'Council Entry'!BD$9),'Council Entry'!BD$8),'Council Entry'!BD53)),IF('Council Entry'!BD$4="Exponential",EXP(IF(AND(ISNUMBER('Council Entry'!BD$8),ISNUMBER('Council Entry'!BD$9)),MAX(MIN('Council Entry'!BD53,'Council Entry'!BD$9),'Council Entry'!BD$8),'Council Entry'!BD53)),IF(AND(ISNUMBER('Council Entry'!BD$8),ISNUMBER('Council Entry'!BD$9)),MAX(MIN('Council Entry'!BD53,'Council Entry'!BD$9),'Council Entry'!BD$8),'Council Entry'!BD53))))-'Council Entry'!BD$5)/('Council Entry'!BD$6-'Council Entry'!BD$5)),1))),"No data"))</f>
        <v/>
      </c>
    </row>
    <row r="54">
      <c r="A54" t="inlineStr">
        <is>
          <t>Katavi</t>
        </is>
      </c>
      <c r="B54" t="inlineStr">
        <is>
          <t>Mlele District</t>
        </is>
      </c>
      <c r="C54" t="inlineStr">
        <is>
          <t>C166</t>
        </is>
      </c>
      <c r="D54" s="13">
        <f>IF('Council Entry'!D54="","",IFERROR(MAX(0,MIN(10,ROUND(IF('Council Entry'!D$7="Decrease Risk",10-10*((IF('Council Entry'!D$4="Logarithm",LN(0.001+IF(AND(ISNUMBER('Council Entry'!D$8),ISNUMBER('Council Entry'!D$9)),MAX(MIN('Council Entry'!D54,'Council Entry'!D$9),'Council Entry'!D$8),'Council Entry'!D54)),IF('Council Entry'!D$4="Exponential",EXP(IF(AND(ISNUMBER('Council Entry'!D$8),ISNUMBER('Council Entry'!D$9)),MAX(MIN('Council Entry'!D54,'Council Entry'!D$9),'Council Entry'!D$8),'Council Entry'!D54)),IF(AND(ISNUMBER('Council Entry'!D$8),ISNUMBER('Council Entry'!D$9)),MAX(MIN('Council Entry'!D54,'Council Entry'!D$9),'Council Entry'!D$8),'Council Entry'!D54))))-'Council Entry'!D$5)/('Council Entry'!D$6-'Council Entry'!D$5),10*((IF('Council Entry'!D$4="Logarithm",LN(0.001+IF(AND(ISNUMBER('Council Entry'!D$8),ISNUMBER('Council Entry'!D$9)),MAX(MIN('Council Entry'!D54,'Council Entry'!D$9),'Council Entry'!D$8),'Council Entry'!D54)),IF('Council Entry'!D$4="Exponential",EXP(IF(AND(ISNUMBER('Council Entry'!D$8),ISNUMBER('Council Entry'!D$9)),MAX(MIN('Council Entry'!D54,'Council Entry'!D$9),'Council Entry'!D$8),'Council Entry'!D54)),IF(AND(ISNUMBER('Council Entry'!D$8),ISNUMBER('Council Entry'!D$9)),MAX(MIN('Council Entry'!D54,'Council Entry'!D$9),'Council Entry'!D$8),'Council Entry'!D54))))-'Council Entry'!D$5)/('Council Entry'!D$6-'Council Entry'!D$5)),1))),"No data"))</f>
        <v/>
      </c>
      <c r="E54" s="13">
        <f>IF('Council Entry'!E54="","",IFERROR(MAX(0,MIN(10,ROUND(IF('Council Entry'!E$7="Decrease Risk",10-10*((IF('Council Entry'!E$4="Logarithm",LN(0.001+IF(AND(ISNUMBER('Council Entry'!E$8),ISNUMBER('Council Entry'!E$9)),MAX(MIN('Council Entry'!E54,'Council Entry'!E$9),'Council Entry'!E$8),'Council Entry'!E54)),IF('Council Entry'!E$4="Exponential",EXP(IF(AND(ISNUMBER('Council Entry'!E$8),ISNUMBER('Council Entry'!E$9)),MAX(MIN('Council Entry'!E54,'Council Entry'!E$9),'Council Entry'!E$8),'Council Entry'!E54)),IF(AND(ISNUMBER('Council Entry'!E$8),ISNUMBER('Council Entry'!E$9)),MAX(MIN('Council Entry'!E54,'Council Entry'!E$9),'Council Entry'!E$8),'Council Entry'!E54))))-'Council Entry'!E$5)/('Council Entry'!E$6-'Council Entry'!E$5),10*((IF('Council Entry'!E$4="Logarithm",LN(0.001+IF(AND(ISNUMBER('Council Entry'!E$8),ISNUMBER('Council Entry'!E$9)),MAX(MIN('Council Entry'!E54,'Council Entry'!E$9),'Council Entry'!E$8),'Council Entry'!E54)),IF('Council Entry'!E$4="Exponential",EXP(IF(AND(ISNUMBER('Council Entry'!E$8),ISNUMBER('Council Entry'!E$9)),MAX(MIN('Council Entry'!E54,'Council Entry'!E$9),'Council Entry'!E$8),'Council Entry'!E54)),IF(AND(ISNUMBER('Council Entry'!E$8),ISNUMBER('Council Entry'!E$9)),MAX(MIN('Council Entry'!E54,'Council Entry'!E$9),'Council Entry'!E$8),'Council Entry'!E54))))-'Council Entry'!E$5)/('Council Entry'!E$6-'Council Entry'!E$5)),1))),"No data"))</f>
        <v/>
      </c>
      <c r="F54" s="13">
        <f>IF('Council Entry'!F54="","",IFERROR(MAX(0,MIN(10,ROUND(IF('Council Entry'!F$7="Decrease Risk",10-10*((IF('Council Entry'!F$4="Logarithm",LN(0.001+IF(AND(ISNUMBER('Council Entry'!F$8),ISNUMBER('Council Entry'!F$9)),MAX(MIN('Council Entry'!F54,'Council Entry'!F$9),'Council Entry'!F$8),'Council Entry'!F54)),IF('Council Entry'!F$4="Exponential",EXP(IF(AND(ISNUMBER('Council Entry'!F$8),ISNUMBER('Council Entry'!F$9)),MAX(MIN('Council Entry'!F54,'Council Entry'!F$9),'Council Entry'!F$8),'Council Entry'!F54)),IF(AND(ISNUMBER('Council Entry'!F$8),ISNUMBER('Council Entry'!F$9)),MAX(MIN('Council Entry'!F54,'Council Entry'!F$9),'Council Entry'!F$8),'Council Entry'!F54))))-'Council Entry'!F$5)/('Council Entry'!F$6-'Council Entry'!F$5),10*((IF('Council Entry'!F$4="Logarithm",LN(0.001+IF(AND(ISNUMBER('Council Entry'!F$8),ISNUMBER('Council Entry'!F$9)),MAX(MIN('Council Entry'!F54,'Council Entry'!F$9),'Council Entry'!F$8),'Council Entry'!F54)),IF('Council Entry'!F$4="Exponential",EXP(IF(AND(ISNUMBER('Council Entry'!F$8),ISNUMBER('Council Entry'!F$9)),MAX(MIN('Council Entry'!F54,'Council Entry'!F$9),'Council Entry'!F$8),'Council Entry'!F54)),IF(AND(ISNUMBER('Council Entry'!F$8),ISNUMBER('Council Entry'!F$9)),MAX(MIN('Council Entry'!F54,'Council Entry'!F$9),'Council Entry'!F$8),'Council Entry'!F54))))-'Council Entry'!F$5)/('Council Entry'!F$6-'Council Entry'!F$5)),1))),"No data"))</f>
        <v/>
      </c>
      <c r="G54" s="13">
        <f>IF('Council Entry'!G54="","",IFERROR(MAX(0,MIN(10,ROUND(IF('Council Entry'!G$7="Decrease Risk",10-10*((IF('Council Entry'!G$4="Logarithm",LN(0.001+IF(AND(ISNUMBER('Council Entry'!G$8),ISNUMBER('Council Entry'!G$9)),MAX(MIN('Council Entry'!G54,'Council Entry'!G$9),'Council Entry'!G$8),'Council Entry'!G54)),IF('Council Entry'!G$4="Exponential",EXP(IF(AND(ISNUMBER('Council Entry'!G$8),ISNUMBER('Council Entry'!G$9)),MAX(MIN('Council Entry'!G54,'Council Entry'!G$9),'Council Entry'!G$8),'Council Entry'!G54)),IF(AND(ISNUMBER('Council Entry'!G$8),ISNUMBER('Council Entry'!G$9)),MAX(MIN('Council Entry'!G54,'Council Entry'!G$9),'Council Entry'!G$8),'Council Entry'!G54))))-'Council Entry'!G$5)/('Council Entry'!G$6-'Council Entry'!G$5),10*((IF('Council Entry'!G$4="Logarithm",LN(0.001+IF(AND(ISNUMBER('Council Entry'!G$8),ISNUMBER('Council Entry'!G$9)),MAX(MIN('Council Entry'!G54,'Council Entry'!G$9),'Council Entry'!G$8),'Council Entry'!G54)),IF('Council Entry'!G$4="Exponential",EXP(IF(AND(ISNUMBER('Council Entry'!G$8),ISNUMBER('Council Entry'!G$9)),MAX(MIN('Council Entry'!G54,'Council Entry'!G$9),'Council Entry'!G$8),'Council Entry'!G54)),IF(AND(ISNUMBER('Council Entry'!G$8),ISNUMBER('Council Entry'!G$9)),MAX(MIN('Council Entry'!G54,'Council Entry'!G$9),'Council Entry'!G$8),'Council Entry'!G54))))-'Council Entry'!G$5)/('Council Entry'!G$6-'Council Entry'!G$5)),1))),"No data"))</f>
        <v/>
      </c>
      <c r="H54" s="13">
        <f>IF('Council Entry'!H54="","",IFERROR(MAX(0,MIN(10,ROUND(IF('Council Entry'!H$7="Decrease Risk",10-10*((IF('Council Entry'!H$4="Logarithm",LN(0.001+IF(AND(ISNUMBER('Council Entry'!H$8),ISNUMBER('Council Entry'!H$9)),MAX(MIN('Council Entry'!H54,'Council Entry'!H$9),'Council Entry'!H$8),'Council Entry'!H54)),IF('Council Entry'!H$4="Exponential",EXP(IF(AND(ISNUMBER('Council Entry'!H$8),ISNUMBER('Council Entry'!H$9)),MAX(MIN('Council Entry'!H54,'Council Entry'!H$9),'Council Entry'!H$8),'Council Entry'!H54)),IF(AND(ISNUMBER('Council Entry'!H$8),ISNUMBER('Council Entry'!H$9)),MAX(MIN('Council Entry'!H54,'Council Entry'!H$9),'Council Entry'!H$8),'Council Entry'!H54))))-'Council Entry'!H$5)/('Council Entry'!H$6-'Council Entry'!H$5),10*((IF('Council Entry'!H$4="Logarithm",LN(0.001+IF(AND(ISNUMBER('Council Entry'!H$8),ISNUMBER('Council Entry'!H$9)),MAX(MIN('Council Entry'!H54,'Council Entry'!H$9),'Council Entry'!H$8),'Council Entry'!H54)),IF('Council Entry'!H$4="Exponential",EXP(IF(AND(ISNUMBER('Council Entry'!H$8),ISNUMBER('Council Entry'!H$9)),MAX(MIN('Council Entry'!H54,'Council Entry'!H$9),'Council Entry'!H$8),'Council Entry'!H54)),IF(AND(ISNUMBER('Council Entry'!H$8),ISNUMBER('Council Entry'!H$9)),MAX(MIN('Council Entry'!H54,'Council Entry'!H$9),'Council Entry'!H$8),'Council Entry'!H54))))-'Council Entry'!H$5)/('Council Entry'!H$6-'Council Entry'!H$5)),1))),"No data"))</f>
        <v/>
      </c>
      <c r="I54" s="13">
        <f>IF('Council Entry'!I54="","",IFERROR(MAX(0,MIN(10,ROUND(IF('Council Entry'!I$7="Decrease Risk",10-10*((IF('Council Entry'!I$4="Logarithm",LN(0.001+IF(AND(ISNUMBER('Council Entry'!I$8),ISNUMBER('Council Entry'!I$9)),MAX(MIN('Council Entry'!I54,'Council Entry'!I$9),'Council Entry'!I$8),'Council Entry'!I54)),IF('Council Entry'!I$4="Exponential",EXP(IF(AND(ISNUMBER('Council Entry'!I$8),ISNUMBER('Council Entry'!I$9)),MAX(MIN('Council Entry'!I54,'Council Entry'!I$9),'Council Entry'!I$8),'Council Entry'!I54)),IF(AND(ISNUMBER('Council Entry'!I$8),ISNUMBER('Council Entry'!I$9)),MAX(MIN('Council Entry'!I54,'Council Entry'!I$9),'Council Entry'!I$8),'Council Entry'!I54))))-'Council Entry'!I$5)/('Council Entry'!I$6-'Council Entry'!I$5),10*((IF('Council Entry'!I$4="Logarithm",LN(0.001+IF(AND(ISNUMBER('Council Entry'!I$8),ISNUMBER('Council Entry'!I$9)),MAX(MIN('Council Entry'!I54,'Council Entry'!I$9),'Council Entry'!I$8),'Council Entry'!I54)),IF('Council Entry'!I$4="Exponential",EXP(IF(AND(ISNUMBER('Council Entry'!I$8),ISNUMBER('Council Entry'!I$9)),MAX(MIN('Council Entry'!I54,'Council Entry'!I$9),'Council Entry'!I$8),'Council Entry'!I54)),IF(AND(ISNUMBER('Council Entry'!I$8),ISNUMBER('Council Entry'!I$9)),MAX(MIN('Council Entry'!I54,'Council Entry'!I$9),'Council Entry'!I$8),'Council Entry'!I54))))-'Council Entry'!I$5)/('Council Entry'!I$6-'Council Entry'!I$5)),1))),"No data"))</f>
        <v/>
      </c>
      <c r="J54" s="13">
        <f>IF('Council Entry'!J54="","",IFERROR(MAX(0,MIN(10,ROUND(IF('Council Entry'!J$7="Decrease Risk",10-10*((IF('Council Entry'!J$4="Logarithm",LN(0.001+IF(AND(ISNUMBER('Council Entry'!J$8),ISNUMBER('Council Entry'!J$9)),MAX(MIN('Council Entry'!J54,'Council Entry'!J$9),'Council Entry'!J$8),'Council Entry'!J54)),IF('Council Entry'!J$4="Exponential",EXP(IF(AND(ISNUMBER('Council Entry'!J$8),ISNUMBER('Council Entry'!J$9)),MAX(MIN('Council Entry'!J54,'Council Entry'!J$9),'Council Entry'!J$8),'Council Entry'!J54)),IF(AND(ISNUMBER('Council Entry'!J$8),ISNUMBER('Council Entry'!J$9)),MAX(MIN('Council Entry'!J54,'Council Entry'!J$9),'Council Entry'!J$8),'Council Entry'!J54))))-'Council Entry'!J$5)/('Council Entry'!J$6-'Council Entry'!J$5),10*((IF('Council Entry'!J$4="Logarithm",LN(0.001+IF(AND(ISNUMBER('Council Entry'!J$8),ISNUMBER('Council Entry'!J$9)),MAX(MIN('Council Entry'!J54,'Council Entry'!J$9),'Council Entry'!J$8),'Council Entry'!J54)),IF('Council Entry'!J$4="Exponential",EXP(IF(AND(ISNUMBER('Council Entry'!J$8),ISNUMBER('Council Entry'!J$9)),MAX(MIN('Council Entry'!J54,'Council Entry'!J$9),'Council Entry'!J$8),'Council Entry'!J54)),IF(AND(ISNUMBER('Council Entry'!J$8),ISNUMBER('Council Entry'!J$9)),MAX(MIN('Council Entry'!J54,'Council Entry'!J$9),'Council Entry'!J$8),'Council Entry'!J54))))-'Council Entry'!J$5)/('Council Entry'!J$6-'Council Entry'!J$5)),1))),"No data"))</f>
        <v/>
      </c>
      <c r="K54" s="13">
        <f>IF('Council Entry'!K54="","",IFERROR(MAX(0,MIN(10,ROUND(IF('Council Entry'!K$7="Decrease Risk",10-10*((IF('Council Entry'!K$4="Logarithm",LN(0.001+IF(AND(ISNUMBER('Council Entry'!K$8),ISNUMBER('Council Entry'!K$9)),MAX(MIN('Council Entry'!K54,'Council Entry'!K$9),'Council Entry'!K$8),'Council Entry'!K54)),IF('Council Entry'!K$4="Exponential",EXP(IF(AND(ISNUMBER('Council Entry'!K$8),ISNUMBER('Council Entry'!K$9)),MAX(MIN('Council Entry'!K54,'Council Entry'!K$9),'Council Entry'!K$8),'Council Entry'!K54)),IF(AND(ISNUMBER('Council Entry'!K$8),ISNUMBER('Council Entry'!K$9)),MAX(MIN('Council Entry'!K54,'Council Entry'!K$9),'Council Entry'!K$8),'Council Entry'!K54))))-'Council Entry'!K$5)/('Council Entry'!K$6-'Council Entry'!K$5),10*((IF('Council Entry'!K$4="Logarithm",LN(0.001+IF(AND(ISNUMBER('Council Entry'!K$8),ISNUMBER('Council Entry'!K$9)),MAX(MIN('Council Entry'!K54,'Council Entry'!K$9),'Council Entry'!K$8),'Council Entry'!K54)),IF('Council Entry'!K$4="Exponential",EXP(IF(AND(ISNUMBER('Council Entry'!K$8),ISNUMBER('Council Entry'!K$9)),MAX(MIN('Council Entry'!K54,'Council Entry'!K$9),'Council Entry'!K$8),'Council Entry'!K54)),IF(AND(ISNUMBER('Council Entry'!K$8),ISNUMBER('Council Entry'!K$9)),MAX(MIN('Council Entry'!K54,'Council Entry'!K$9),'Council Entry'!K$8),'Council Entry'!K54))))-'Council Entry'!K$5)/('Council Entry'!K$6-'Council Entry'!K$5)),1))),"No data"))</f>
        <v/>
      </c>
      <c r="L54" s="13">
        <f>IF('Council Entry'!L54="","",IFERROR(MAX(0,MIN(10,ROUND(IF('Council Entry'!L$7="Decrease Risk",10-10*((IF('Council Entry'!L$4="Logarithm",LN(0.001+IF(AND(ISNUMBER('Council Entry'!L$8),ISNUMBER('Council Entry'!L$9)),MAX(MIN('Council Entry'!L54,'Council Entry'!L$9),'Council Entry'!L$8),'Council Entry'!L54)),IF('Council Entry'!L$4="Exponential",EXP(IF(AND(ISNUMBER('Council Entry'!L$8),ISNUMBER('Council Entry'!L$9)),MAX(MIN('Council Entry'!L54,'Council Entry'!L$9),'Council Entry'!L$8),'Council Entry'!L54)),IF(AND(ISNUMBER('Council Entry'!L$8),ISNUMBER('Council Entry'!L$9)),MAX(MIN('Council Entry'!L54,'Council Entry'!L$9),'Council Entry'!L$8),'Council Entry'!L54))))-'Council Entry'!L$5)/('Council Entry'!L$6-'Council Entry'!L$5),10*((IF('Council Entry'!L$4="Logarithm",LN(0.001+IF(AND(ISNUMBER('Council Entry'!L$8),ISNUMBER('Council Entry'!L$9)),MAX(MIN('Council Entry'!L54,'Council Entry'!L$9),'Council Entry'!L$8),'Council Entry'!L54)),IF('Council Entry'!L$4="Exponential",EXP(IF(AND(ISNUMBER('Council Entry'!L$8),ISNUMBER('Council Entry'!L$9)),MAX(MIN('Council Entry'!L54,'Council Entry'!L$9),'Council Entry'!L$8),'Council Entry'!L54)),IF(AND(ISNUMBER('Council Entry'!L$8),ISNUMBER('Council Entry'!L$9)),MAX(MIN('Council Entry'!L54,'Council Entry'!L$9),'Council Entry'!L$8),'Council Entry'!L54))))-'Council Entry'!L$5)/('Council Entry'!L$6-'Council Entry'!L$5)),1))),"No data"))</f>
        <v/>
      </c>
      <c r="M54" s="13">
        <f>IF('Council Entry'!M54="","",IFERROR(MAX(0,MIN(10,ROUND(IF('Council Entry'!M$7="Decrease Risk",10-10*((IF('Council Entry'!M$4="Logarithm",LN(0.001+IF(AND(ISNUMBER('Council Entry'!M$8),ISNUMBER('Council Entry'!M$9)),MAX(MIN('Council Entry'!M54,'Council Entry'!M$9),'Council Entry'!M$8),'Council Entry'!M54)),IF('Council Entry'!M$4="Exponential",EXP(IF(AND(ISNUMBER('Council Entry'!M$8),ISNUMBER('Council Entry'!M$9)),MAX(MIN('Council Entry'!M54,'Council Entry'!M$9),'Council Entry'!M$8),'Council Entry'!M54)),IF(AND(ISNUMBER('Council Entry'!M$8),ISNUMBER('Council Entry'!M$9)),MAX(MIN('Council Entry'!M54,'Council Entry'!M$9),'Council Entry'!M$8),'Council Entry'!M54))))-'Council Entry'!M$5)/('Council Entry'!M$6-'Council Entry'!M$5),10*((IF('Council Entry'!M$4="Logarithm",LN(0.001+IF(AND(ISNUMBER('Council Entry'!M$8),ISNUMBER('Council Entry'!M$9)),MAX(MIN('Council Entry'!M54,'Council Entry'!M$9),'Council Entry'!M$8),'Council Entry'!M54)),IF('Council Entry'!M$4="Exponential",EXP(IF(AND(ISNUMBER('Council Entry'!M$8),ISNUMBER('Council Entry'!M$9)),MAX(MIN('Council Entry'!M54,'Council Entry'!M$9),'Council Entry'!M$8),'Council Entry'!M54)),IF(AND(ISNUMBER('Council Entry'!M$8),ISNUMBER('Council Entry'!M$9)),MAX(MIN('Council Entry'!M54,'Council Entry'!M$9),'Council Entry'!M$8),'Council Entry'!M54))))-'Council Entry'!M$5)/('Council Entry'!M$6-'Council Entry'!M$5)),1))),"No data"))</f>
        <v/>
      </c>
      <c r="N54" s="13">
        <f>IF('Council Entry'!N54="","",IFERROR(MAX(0,MIN(10,ROUND(IF('Council Entry'!N$7="Decrease Risk",10-10*((IF('Council Entry'!N$4="Logarithm",LN(0.001+IF(AND(ISNUMBER('Council Entry'!N$8),ISNUMBER('Council Entry'!N$9)),MAX(MIN('Council Entry'!N54,'Council Entry'!N$9),'Council Entry'!N$8),'Council Entry'!N54)),IF('Council Entry'!N$4="Exponential",EXP(IF(AND(ISNUMBER('Council Entry'!N$8),ISNUMBER('Council Entry'!N$9)),MAX(MIN('Council Entry'!N54,'Council Entry'!N$9),'Council Entry'!N$8),'Council Entry'!N54)),IF(AND(ISNUMBER('Council Entry'!N$8),ISNUMBER('Council Entry'!N$9)),MAX(MIN('Council Entry'!N54,'Council Entry'!N$9),'Council Entry'!N$8),'Council Entry'!N54))))-'Council Entry'!N$5)/('Council Entry'!N$6-'Council Entry'!N$5),10*((IF('Council Entry'!N$4="Logarithm",LN(0.001+IF(AND(ISNUMBER('Council Entry'!N$8),ISNUMBER('Council Entry'!N$9)),MAX(MIN('Council Entry'!N54,'Council Entry'!N$9),'Council Entry'!N$8),'Council Entry'!N54)),IF('Council Entry'!N$4="Exponential",EXP(IF(AND(ISNUMBER('Council Entry'!N$8),ISNUMBER('Council Entry'!N$9)),MAX(MIN('Council Entry'!N54,'Council Entry'!N$9),'Council Entry'!N$8),'Council Entry'!N54)),IF(AND(ISNUMBER('Council Entry'!N$8),ISNUMBER('Council Entry'!N$9)),MAX(MIN('Council Entry'!N54,'Council Entry'!N$9),'Council Entry'!N$8),'Council Entry'!N54))))-'Council Entry'!N$5)/('Council Entry'!N$6-'Council Entry'!N$5)),1))),"No data"))</f>
        <v/>
      </c>
      <c r="O54" s="13">
        <f>IF('Council Entry'!O54="","",IFERROR(MAX(0,MIN(10,ROUND(IF('Council Entry'!O$7="Decrease Risk",10-10*((IF('Council Entry'!O$4="Logarithm",LN(0.001+IF(AND(ISNUMBER('Council Entry'!O$8),ISNUMBER('Council Entry'!O$9)),MAX(MIN('Council Entry'!O54,'Council Entry'!O$9),'Council Entry'!O$8),'Council Entry'!O54)),IF('Council Entry'!O$4="Exponential",EXP(IF(AND(ISNUMBER('Council Entry'!O$8),ISNUMBER('Council Entry'!O$9)),MAX(MIN('Council Entry'!O54,'Council Entry'!O$9),'Council Entry'!O$8),'Council Entry'!O54)),IF(AND(ISNUMBER('Council Entry'!O$8),ISNUMBER('Council Entry'!O$9)),MAX(MIN('Council Entry'!O54,'Council Entry'!O$9),'Council Entry'!O$8),'Council Entry'!O54))))-'Council Entry'!O$5)/('Council Entry'!O$6-'Council Entry'!O$5),10*((IF('Council Entry'!O$4="Logarithm",LN(0.001+IF(AND(ISNUMBER('Council Entry'!O$8),ISNUMBER('Council Entry'!O$9)),MAX(MIN('Council Entry'!O54,'Council Entry'!O$9),'Council Entry'!O$8),'Council Entry'!O54)),IF('Council Entry'!O$4="Exponential",EXP(IF(AND(ISNUMBER('Council Entry'!O$8),ISNUMBER('Council Entry'!O$9)),MAX(MIN('Council Entry'!O54,'Council Entry'!O$9),'Council Entry'!O$8),'Council Entry'!O54)),IF(AND(ISNUMBER('Council Entry'!O$8),ISNUMBER('Council Entry'!O$9)),MAX(MIN('Council Entry'!O54,'Council Entry'!O$9),'Council Entry'!O$8),'Council Entry'!O54))))-'Council Entry'!O$5)/('Council Entry'!O$6-'Council Entry'!O$5)),1))),"No data"))</f>
        <v/>
      </c>
      <c r="P54" s="13">
        <f>IF('Council Entry'!P54="","",IFERROR(MAX(0,MIN(10,ROUND(IF('Council Entry'!P$7="Decrease Risk",10-10*((IF('Council Entry'!P$4="Logarithm",LN(0.001+IF(AND(ISNUMBER('Council Entry'!P$8),ISNUMBER('Council Entry'!P$9)),MAX(MIN('Council Entry'!P54,'Council Entry'!P$9),'Council Entry'!P$8),'Council Entry'!P54)),IF('Council Entry'!P$4="Exponential",EXP(IF(AND(ISNUMBER('Council Entry'!P$8),ISNUMBER('Council Entry'!P$9)),MAX(MIN('Council Entry'!P54,'Council Entry'!P$9),'Council Entry'!P$8),'Council Entry'!P54)),IF(AND(ISNUMBER('Council Entry'!P$8),ISNUMBER('Council Entry'!P$9)),MAX(MIN('Council Entry'!P54,'Council Entry'!P$9),'Council Entry'!P$8),'Council Entry'!P54))))-'Council Entry'!P$5)/('Council Entry'!P$6-'Council Entry'!P$5),10*((IF('Council Entry'!P$4="Logarithm",LN(0.001+IF(AND(ISNUMBER('Council Entry'!P$8),ISNUMBER('Council Entry'!P$9)),MAX(MIN('Council Entry'!P54,'Council Entry'!P$9),'Council Entry'!P$8),'Council Entry'!P54)),IF('Council Entry'!P$4="Exponential",EXP(IF(AND(ISNUMBER('Council Entry'!P$8),ISNUMBER('Council Entry'!P$9)),MAX(MIN('Council Entry'!P54,'Council Entry'!P$9),'Council Entry'!P$8),'Council Entry'!P54)),IF(AND(ISNUMBER('Council Entry'!P$8),ISNUMBER('Council Entry'!P$9)),MAX(MIN('Council Entry'!P54,'Council Entry'!P$9),'Council Entry'!P$8),'Council Entry'!P54))))-'Council Entry'!P$5)/('Council Entry'!P$6-'Council Entry'!P$5)),1))),"No data"))</f>
        <v/>
      </c>
      <c r="Q54" s="13">
        <f>IF('Council Entry'!Q54="","",IFERROR(MAX(0,MIN(10,ROUND(IF('Council Entry'!Q$7="Decrease Risk",10-10*((IF('Council Entry'!Q$4="Logarithm",LN(0.001+IF(AND(ISNUMBER('Council Entry'!Q$8),ISNUMBER('Council Entry'!Q$9)),MAX(MIN('Council Entry'!Q54,'Council Entry'!Q$9),'Council Entry'!Q$8),'Council Entry'!Q54)),IF('Council Entry'!Q$4="Exponential",EXP(IF(AND(ISNUMBER('Council Entry'!Q$8),ISNUMBER('Council Entry'!Q$9)),MAX(MIN('Council Entry'!Q54,'Council Entry'!Q$9),'Council Entry'!Q$8),'Council Entry'!Q54)),IF(AND(ISNUMBER('Council Entry'!Q$8),ISNUMBER('Council Entry'!Q$9)),MAX(MIN('Council Entry'!Q54,'Council Entry'!Q$9),'Council Entry'!Q$8),'Council Entry'!Q54))))-'Council Entry'!Q$5)/('Council Entry'!Q$6-'Council Entry'!Q$5),10*((IF('Council Entry'!Q$4="Logarithm",LN(0.001+IF(AND(ISNUMBER('Council Entry'!Q$8),ISNUMBER('Council Entry'!Q$9)),MAX(MIN('Council Entry'!Q54,'Council Entry'!Q$9),'Council Entry'!Q$8),'Council Entry'!Q54)),IF('Council Entry'!Q$4="Exponential",EXP(IF(AND(ISNUMBER('Council Entry'!Q$8),ISNUMBER('Council Entry'!Q$9)),MAX(MIN('Council Entry'!Q54,'Council Entry'!Q$9),'Council Entry'!Q$8),'Council Entry'!Q54)),IF(AND(ISNUMBER('Council Entry'!Q$8),ISNUMBER('Council Entry'!Q$9)),MAX(MIN('Council Entry'!Q54,'Council Entry'!Q$9),'Council Entry'!Q$8),'Council Entry'!Q54))))-'Council Entry'!Q$5)/('Council Entry'!Q$6-'Council Entry'!Q$5)),1))),"No data"))</f>
        <v/>
      </c>
      <c r="R54" s="13">
        <f>IF('Council Entry'!R54="","",IFERROR(MAX(0,MIN(10,ROUND(IF('Council Entry'!R$7="Decrease Risk",10-10*((IF('Council Entry'!R$4="Logarithm",LN(0.001+IF(AND(ISNUMBER('Council Entry'!R$8),ISNUMBER('Council Entry'!R$9)),MAX(MIN('Council Entry'!R54,'Council Entry'!R$9),'Council Entry'!R$8),'Council Entry'!R54)),IF('Council Entry'!R$4="Exponential",EXP(IF(AND(ISNUMBER('Council Entry'!R$8),ISNUMBER('Council Entry'!R$9)),MAX(MIN('Council Entry'!R54,'Council Entry'!R$9),'Council Entry'!R$8),'Council Entry'!R54)),IF(AND(ISNUMBER('Council Entry'!R$8),ISNUMBER('Council Entry'!R$9)),MAX(MIN('Council Entry'!R54,'Council Entry'!R$9),'Council Entry'!R$8),'Council Entry'!R54))))-'Council Entry'!R$5)/('Council Entry'!R$6-'Council Entry'!R$5),10*((IF('Council Entry'!R$4="Logarithm",LN(0.001+IF(AND(ISNUMBER('Council Entry'!R$8),ISNUMBER('Council Entry'!R$9)),MAX(MIN('Council Entry'!R54,'Council Entry'!R$9),'Council Entry'!R$8),'Council Entry'!R54)),IF('Council Entry'!R$4="Exponential",EXP(IF(AND(ISNUMBER('Council Entry'!R$8),ISNUMBER('Council Entry'!R$9)),MAX(MIN('Council Entry'!R54,'Council Entry'!R$9),'Council Entry'!R$8),'Council Entry'!R54)),IF(AND(ISNUMBER('Council Entry'!R$8),ISNUMBER('Council Entry'!R$9)),MAX(MIN('Council Entry'!R54,'Council Entry'!R$9),'Council Entry'!R$8),'Council Entry'!R54))))-'Council Entry'!R$5)/('Council Entry'!R$6-'Council Entry'!R$5)),1))),"No data"))</f>
        <v/>
      </c>
      <c r="S54" s="13">
        <f>IF('Council Entry'!S54="","",IFERROR(MAX(0,MIN(10,ROUND(IF('Council Entry'!S$7="Decrease Risk",10-10*((IF('Council Entry'!S$4="Logarithm",LN(0.001+IF(AND(ISNUMBER('Council Entry'!S$8),ISNUMBER('Council Entry'!S$9)),MAX(MIN('Council Entry'!S54,'Council Entry'!S$9),'Council Entry'!S$8),'Council Entry'!S54)),IF('Council Entry'!S$4="Exponential",EXP(IF(AND(ISNUMBER('Council Entry'!S$8),ISNUMBER('Council Entry'!S$9)),MAX(MIN('Council Entry'!S54,'Council Entry'!S$9),'Council Entry'!S$8),'Council Entry'!S54)),IF(AND(ISNUMBER('Council Entry'!S$8),ISNUMBER('Council Entry'!S$9)),MAX(MIN('Council Entry'!S54,'Council Entry'!S$9),'Council Entry'!S$8),'Council Entry'!S54))))-'Council Entry'!S$5)/('Council Entry'!S$6-'Council Entry'!S$5),10*((IF('Council Entry'!S$4="Logarithm",LN(0.001+IF(AND(ISNUMBER('Council Entry'!S$8),ISNUMBER('Council Entry'!S$9)),MAX(MIN('Council Entry'!S54,'Council Entry'!S$9),'Council Entry'!S$8),'Council Entry'!S54)),IF('Council Entry'!S$4="Exponential",EXP(IF(AND(ISNUMBER('Council Entry'!S$8),ISNUMBER('Council Entry'!S$9)),MAX(MIN('Council Entry'!S54,'Council Entry'!S$9),'Council Entry'!S$8),'Council Entry'!S54)),IF(AND(ISNUMBER('Council Entry'!S$8),ISNUMBER('Council Entry'!S$9)),MAX(MIN('Council Entry'!S54,'Council Entry'!S$9),'Council Entry'!S$8),'Council Entry'!S54))))-'Council Entry'!S$5)/('Council Entry'!S$6-'Council Entry'!S$5)),1))),"No data"))</f>
        <v/>
      </c>
      <c r="T54" s="13">
        <f>IF('Council Entry'!T54="","",IFERROR(MAX(0,MIN(10,ROUND(IF('Council Entry'!T$7="Decrease Risk",10-10*((IF('Council Entry'!T$4="Logarithm",LN(0.001+IF(AND(ISNUMBER('Council Entry'!T$8),ISNUMBER('Council Entry'!T$9)),MAX(MIN('Council Entry'!T54,'Council Entry'!T$9),'Council Entry'!T$8),'Council Entry'!T54)),IF('Council Entry'!T$4="Exponential",EXP(IF(AND(ISNUMBER('Council Entry'!T$8),ISNUMBER('Council Entry'!T$9)),MAX(MIN('Council Entry'!T54,'Council Entry'!T$9),'Council Entry'!T$8),'Council Entry'!T54)),IF(AND(ISNUMBER('Council Entry'!T$8),ISNUMBER('Council Entry'!T$9)),MAX(MIN('Council Entry'!T54,'Council Entry'!T$9),'Council Entry'!T$8),'Council Entry'!T54))))-'Council Entry'!T$5)/('Council Entry'!T$6-'Council Entry'!T$5),10*((IF('Council Entry'!T$4="Logarithm",LN(0.001+IF(AND(ISNUMBER('Council Entry'!T$8),ISNUMBER('Council Entry'!T$9)),MAX(MIN('Council Entry'!T54,'Council Entry'!T$9),'Council Entry'!T$8),'Council Entry'!T54)),IF('Council Entry'!T$4="Exponential",EXP(IF(AND(ISNUMBER('Council Entry'!T$8),ISNUMBER('Council Entry'!T$9)),MAX(MIN('Council Entry'!T54,'Council Entry'!T$9),'Council Entry'!T$8),'Council Entry'!T54)),IF(AND(ISNUMBER('Council Entry'!T$8),ISNUMBER('Council Entry'!T$9)),MAX(MIN('Council Entry'!T54,'Council Entry'!T$9),'Council Entry'!T$8),'Council Entry'!T54))))-'Council Entry'!T$5)/('Council Entry'!T$6-'Council Entry'!T$5)),1))),"No data"))</f>
        <v/>
      </c>
      <c r="U54" s="13">
        <f>IF('Council Entry'!U54="","",IFERROR(MAX(0,MIN(10,ROUND(IF('Council Entry'!U$7="Decrease Risk",10-10*((IF('Council Entry'!U$4="Logarithm",LN(0.001+IF(AND(ISNUMBER('Council Entry'!U$8),ISNUMBER('Council Entry'!U$9)),MAX(MIN('Council Entry'!U54,'Council Entry'!U$9),'Council Entry'!U$8),'Council Entry'!U54)),IF('Council Entry'!U$4="Exponential",EXP(IF(AND(ISNUMBER('Council Entry'!U$8),ISNUMBER('Council Entry'!U$9)),MAX(MIN('Council Entry'!U54,'Council Entry'!U$9),'Council Entry'!U$8),'Council Entry'!U54)),IF(AND(ISNUMBER('Council Entry'!U$8),ISNUMBER('Council Entry'!U$9)),MAX(MIN('Council Entry'!U54,'Council Entry'!U$9),'Council Entry'!U$8),'Council Entry'!U54))))-'Council Entry'!U$5)/('Council Entry'!U$6-'Council Entry'!U$5),10*((IF('Council Entry'!U$4="Logarithm",LN(0.001+IF(AND(ISNUMBER('Council Entry'!U$8),ISNUMBER('Council Entry'!U$9)),MAX(MIN('Council Entry'!U54,'Council Entry'!U$9),'Council Entry'!U$8),'Council Entry'!U54)),IF('Council Entry'!U$4="Exponential",EXP(IF(AND(ISNUMBER('Council Entry'!U$8),ISNUMBER('Council Entry'!U$9)),MAX(MIN('Council Entry'!U54,'Council Entry'!U$9),'Council Entry'!U$8),'Council Entry'!U54)),IF(AND(ISNUMBER('Council Entry'!U$8),ISNUMBER('Council Entry'!U$9)),MAX(MIN('Council Entry'!U54,'Council Entry'!U$9),'Council Entry'!U$8),'Council Entry'!U54))))-'Council Entry'!U$5)/('Council Entry'!U$6-'Council Entry'!U$5)),1))),"No data"))</f>
        <v/>
      </c>
      <c r="V54" s="13">
        <f>IF('Council Entry'!V54="","",IFERROR(MAX(0,MIN(10,ROUND(IF('Council Entry'!V$7="Decrease Risk",10-10*((IF('Council Entry'!V$4="Logarithm",LN(0.001+IF(AND(ISNUMBER('Council Entry'!V$8),ISNUMBER('Council Entry'!V$9)),MAX(MIN('Council Entry'!V54,'Council Entry'!V$9),'Council Entry'!V$8),'Council Entry'!V54)),IF('Council Entry'!V$4="Exponential",EXP(IF(AND(ISNUMBER('Council Entry'!V$8),ISNUMBER('Council Entry'!V$9)),MAX(MIN('Council Entry'!V54,'Council Entry'!V$9),'Council Entry'!V$8),'Council Entry'!V54)),IF(AND(ISNUMBER('Council Entry'!V$8),ISNUMBER('Council Entry'!V$9)),MAX(MIN('Council Entry'!V54,'Council Entry'!V$9),'Council Entry'!V$8),'Council Entry'!V54))))-'Council Entry'!V$5)/('Council Entry'!V$6-'Council Entry'!V$5),10*((IF('Council Entry'!V$4="Logarithm",LN(0.001+IF(AND(ISNUMBER('Council Entry'!V$8),ISNUMBER('Council Entry'!V$9)),MAX(MIN('Council Entry'!V54,'Council Entry'!V$9),'Council Entry'!V$8),'Council Entry'!V54)),IF('Council Entry'!V$4="Exponential",EXP(IF(AND(ISNUMBER('Council Entry'!V$8),ISNUMBER('Council Entry'!V$9)),MAX(MIN('Council Entry'!V54,'Council Entry'!V$9),'Council Entry'!V$8),'Council Entry'!V54)),IF(AND(ISNUMBER('Council Entry'!V$8),ISNUMBER('Council Entry'!V$9)),MAX(MIN('Council Entry'!V54,'Council Entry'!V$9),'Council Entry'!V$8),'Council Entry'!V54))))-'Council Entry'!V$5)/('Council Entry'!V$6-'Council Entry'!V$5)),1))),"No data"))</f>
        <v/>
      </c>
      <c r="W54" s="13">
        <f>IF('Council Entry'!W54="","",IFERROR(MAX(0,MIN(10,ROUND(IF('Council Entry'!W$7="Decrease Risk",10-10*((IF('Council Entry'!W$4="Logarithm",LN(0.001+IF(AND(ISNUMBER('Council Entry'!W$8),ISNUMBER('Council Entry'!W$9)),MAX(MIN('Council Entry'!W54,'Council Entry'!W$9),'Council Entry'!W$8),'Council Entry'!W54)),IF('Council Entry'!W$4="Exponential",EXP(IF(AND(ISNUMBER('Council Entry'!W$8),ISNUMBER('Council Entry'!W$9)),MAX(MIN('Council Entry'!W54,'Council Entry'!W$9),'Council Entry'!W$8),'Council Entry'!W54)),IF(AND(ISNUMBER('Council Entry'!W$8),ISNUMBER('Council Entry'!W$9)),MAX(MIN('Council Entry'!W54,'Council Entry'!W$9),'Council Entry'!W$8),'Council Entry'!W54))))-'Council Entry'!W$5)/('Council Entry'!W$6-'Council Entry'!W$5),10*((IF('Council Entry'!W$4="Logarithm",LN(0.001+IF(AND(ISNUMBER('Council Entry'!W$8),ISNUMBER('Council Entry'!W$9)),MAX(MIN('Council Entry'!W54,'Council Entry'!W$9),'Council Entry'!W$8),'Council Entry'!W54)),IF('Council Entry'!W$4="Exponential",EXP(IF(AND(ISNUMBER('Council Entry'!W$8),ISNUMBER('Council Entry'!W$9)),MAX(MIN('Council Entry'!W54,'Council Entry'!W$9),'Council Entry'!W$8),'Council Entry'!W54)),IF(AND(ISNUMBER('Council Entry'!W$8),ISNUMBER('Council Entry'!W$9)),MAX(MIN('Council Entry'!W54,'Council Entry'!W$9),'Council Entry'!W$8),'Council Entry'!W54))))-'Council Entry'!W$5)/('Council Entry'!W$6-'Council Entry'!W$5)),1))),"No data"))</f>
        <v/>
      </c>
      <c r="X54" s="13">
        <f>IF('Council Entry'!X54="","",IFERROR(MAX(0,MIN(10,ROUND(IF('Council Entry'!X$7="Decrease Risk",10-10*((IF('Council Entry'!X$4="Logarithm",LN(0.001+IF(AND(ISNUMBER('Council Entry'!X$8),ISNUMBER('Council Entry'!X$9)),MAX(MIN('Council Entry'!X54,'Council Entry'!X$9),'Council Entry'!X$8),'Council Entry'!X54)),IF('Council Entry'!X$4="Exponential",EXP(IF(AND(ISNUMBER('Council Entry'!X$8),ISNUMBER('Council Entry'!X$9)),MAX(MIN('Council Entry'!X54,'Council Entry'!X$9),'Council Entry'!X$8),'Council Entry'!X54)),IF(AND(ISNUMBER('Council Entry'!X$8),ISNUMBER('Council Entry'!X$9)),MAX(MIN('Council Entry'!X54,'Council Entry'!X$9),'Council Entry'!X$8),'Council Entry'!X54))))-'Council Entry'!X$5)/('Council Entry'!X$6-'Council Entry'!X$5),10*((IF('Council Entry'!X$4="Logarithm",LN(0.001+IF(AND(ISNUMBER('Council Entry'!X$8),ISNUMBER('Council Entry'!X$9)),MAX(MIN('Council Entry'!X54,'Council Entry'!X$9),'Council Entry'!X$8),'Council Entry'!X54)),IF('Council Entry'!X$4="Exponential",EXP(IF(AND(ISNUMBER('Council Entry'!X$8),ISNUMBER('Council Entry'!X$9)),MAX(MIN('Council Entry'!X54,'Council Entry'!X$9),'Council Entry'!X$8),'Council Entry'!X54)),IF(AND(ISNUMBER('Council Entry'!X$8),ISNUMBER('Council Entry'!X$9)),MAX(MIN('Council Entry'!X54,'Council Entry'!X$9),'Council Entry'!X$8),'Council Entry'!X54))))-'Council Entry'!X$5)/('Council Entry'!X$6-'Council Entry'!X$5)),1))),"No data"))</f>
        <v/>
      </c>
      <c r="Y54" s="13">
        <f>IF('Council Entry'!Y54="","",IFERROR(MAX(0,MIN(10,ROUND(IF('Council Entry'!Y$7="Decrease Risk",10-10*((IF('Council Entry'!Y$4="Logarithm",LN(0.001+IF(AND(ISNUMBER('Council Entry'!Y$8),ISNUMBER('Council Entry'!Y$9)),MAX(MIN('Council Entry'!Y54,'Council Entry'!Y$9),'Council Entry'!Y$8),'Council Entry'!Y54)),IF('Council Entry'!Y$4="Exponential",EXP(IF(AND(ISNUMBER('Council Entry'!Y$8),ISNUMBER('Council Entry'!Y$9)),MAX(MIN('Council Entry'!Y54,'Council Entry'!Y$9),'Council Entry'!Y$8),'Council Entry'!Y54)),IF(AND(ISNUMBER('Council Entry'!Y$8),ISNUMBER('Council Entry'!Y$9)),MAX(MIN('Council Entry'!Y54,'Council Entry'!Y$9),'Council Entry'!Y$8),'Council Entry'!Y54))))-'Council Entry'!Y$5)/('Council Entry'!Y$6-'Council Entry'!Y$5),10*((IF('Council Entry'!Y$4="Logarithm",LN(0.001+IF(AND(ISNUMBER('Council Entry'!Y$8),ISNUMBER('Council Entry'!Y$9)),MAX(MIN('Council Entry'!Y54,'Council Entry'!Y$9),'Council Entry'!Y$8),'Council Entry'!Y54)),IF('Council Entry'!Y$4="Exponential",EXP(IF(AND(ISNUMBER('Council Entry'!Y$8),ISNUMBER('Council Entry'!Y$9)),MAX(MIN('Council Entry'!Y54,'Council Entry'!Y$9),'Council Entry'!Y$8),'Council Entry'!Y54)),IF(AND(ISNUMBER('Council Entry'!Y$8),ISNUMBER('Council Entry'!Y$9)),MAX(MIN('Council Entry'!Y54,'Council Entry'!Y$9),'Council Entry'!Y$8),'Council Entry'!Y54))))-'Council Entry'!Y$5)/('Council Entry'!Y$6-'Council Entry'!Y$5)),1))),"No data"))</f>
        <v/>
      </c>
      <c r="Z54" s="13">
        <f>IF('Council Entry'!Z54="","",IFERROR(MAX(0,MIN(10,ROUND(IF('Council Entry'!Z$7="Decrease Risk",10-10*((IF('Council Entry'!Z$4="Logarithm",LN(0.001+IF(AND(ISNUMBER('Council Entry'!Z$8),ISNUMBER('Council Entry'!Z$9)),MAX(MIN('Council Entry'!Z54,'Council Entry'!Z$9),'Council Entry'!Z$8),'Council Entry'!Z54)),IF('Council Entry'!Z$4="Exponential",EXP(IF(AND(ISNUMBER('Council Entry'!Z$8),ISNUMBER('Council Entry'!Z$9)),MAX(MIN('Council Entry'!Z54,'Council Entry'!Z$9),'Council Entry'!Z$8),'Council Entry'!Z54)),IF(AND(ISNUMBER('Council Entry'!Z$8),ISNUMBER('Council Entry'!Z$9)),MAX(MIN('Council Entry'!Z54,'Council Entry'!Z$9),'Council Entry'!Z$8),'Council Entry'!Z54))))-'Council Entry'!Z$5)/('Council Entry'!Z$6-'Council Entry'!Z$5),10*((IF('Council Entry'!Z$4="Logarithm",LN(0.001+IF(AND(ISNUMBER('Council Entry'!Z$8),ISNUMBER('Council Entry'!Z$9)),MAX(MIN('Council Entry'!Z54,'Council Entry'!Z$9),'Council Entry'!Z$8),'Council Entry'!Z54)),IF('Council Entry'!Z$4="Exponential",EXP(IF(AND(ISNUMBER('Council Entry'!Z$8),ISNUMBER('Council Entry'!Z$9)),MAX(MIN('Council Entry'!Z54,'Council Entry'!Z$9),'Council Entry'!Z$8),'Council Entry'!Z54)),IF(AND(ISNUMBER('Council Entry'!Z$8),ISNUMBER('Council Entry'!Z$9)),MAX(MIN('Council Entry'!Z54,'Council Entry'!Z$9),'Council Entry'!Z$8),'Council Entry'!Z54))))-'Council Entry'!Z$5)/('Council Entry'!Z$6-'Council Entry'!Z$5)),1))),"No data"))</f>
        <v/>
      </c>
      <c r="AA54" s="13">
        <f>IF('Council Entry'!AA54="","",IFERROR(MAX(0,MIN(10,ROUND(IF('Council Entry'!AA$7="Decrease Risk",10-10*((IF('Council Entry'!AA$4="Logarithm",LN(0.001+IF(AND(ISNUMBER('Council Entry'!AA$8),ISNUMBER('Council Entry'!AA$9)),MAX(MIN('Council Entry'!AA54,'Council Entry'!AA$9),'Council Entry'!AA$8),'Council Entry'!AA54)),IF('Council Entry'!AA$4="Exponential",EXP(IF(AND(ISNUMBER('Council Entry'!AA$8),ISNUMBER('Council Entry'!AA$9)),MAX(MIN('Council Entry'!AA54,'Council Entry'!AA$9),'Council Entry'!AA$8),'Council Entry'!AA54)),IF(AND(ISNUMBER('Council Entry'!AA$8),ISNUMBER('Council Entry'!AA$9)),MAX(MIN('Council Entry'!AA54,'Council Entry'!AA$9),'Council Entry'!AA$8),'Council Entry'!AA54))))-'Council Entry'!AA$5)/('Council Entry'!AA$6-'Council Entry'!AA$5),10*((IF('Council Entry'!AA$4="Logarithm",LN(0.001+IF(AND(ISNUMBER('Council Entry'!AA$8),ISNUMBER('Council Entry'!AA$9)),MAX(MIN('Council Entry'!AA54,'Council Entry'!AA$9),'Council Entry'!AA$8),'Council Entry'!AA54)),IF('Council Entry'!AA$4="Exponential",EXP(IF(AND(ISNUMBER('Council Entry'!AA$8),ISNUMBER('Council Entry'!AA$9)),MAX(MIN('Council Entry'!AA54,'Council Entry'!AA$9),'Council Entry'!AA$8),'Council Entry'!AA54)),IF(AND(ISNUMBER('Council Entry'!AA$8),ISNUMBER('Council Entry'!AA$9)),MAX(MIN('Council Entry'!AA54,'Council Entry'!AA$9),'Council Entry'!AA$8),'Council Entry'!AA54))))-'Council Entry'!AA$5)/('Council Entry'!AA$6-'Council Entry'!AA$5)),1))),"No data"))</f>
        <v/>
      </c>
      <c r="AB54" s="13">
        <f>IF('Council Entry'!AB54="","",IFERROR(MAX(0,MIN(10,ROUND(IF('Council Entry'!AB$7="Decrease Risk",10-10*((IF('Council Entry'!AB$4="Logarithm",LN(0.001+IF(AND(ISNUMBER('Council Entry'!AB$8),ISNUMBER('Council Entry'!AB$9)),MAX(MIN('Council Entry'!AB54,'Council Entry'!AB$9),'Council Entry'!AB$8),'Council Entry'!AB54)),IF('Council Entry'!AB$4="Exponential",EXP(IF(AND(ISNUMBER('Council Entry'!AB$8),ISNUMBER('Council Entry'!AB$9)),MAX(MIN('Council Entry'!AB54,'Council Entry'!AB$9),'Council Entry'!AB$8),'Council Entry'!AB54)),IF(AND(ISNUMBER('Council Entry'!AB$8),ISNUMBER('Council Entry'!AB$9)),MAX(MIN('Council Entry'!AB54,'Council Entry'!AB$9),'Council Entry'!AB$8),'Council Entry'!AB54))))-'Council Entry'!AB$5)/('Council Entry'!AB$6-'Council Entry'!AB$5),10*((IF('Council Entry'!AB$4="Logarithm",LN(0.001+IF(AND(ISNUMBER('Council Entry'!AB$8),ISNUMBER('Council Entry'!AB$9)),MAX(MIN('Council Entry'!AB54,'Council Entry'!AB$9),'Council Entry'!AB$8),'Council Entry'!AB54)),IF('Council Entry'!AB$4="Exponential",EXP(IF(AND(ISNUMBER('Council Entry'!AB$8),ISNUMBER('Council Entry'!AB$9)),MAX(MIN('Council Entry'!AB54,'Council Entry'!AB$9),'Council Entry'!AB$8),'Council Entry'!AB54)),IF(AND(ISNUMBER('Council Entry'!AB$8),ISNUMBER('Council Entry'!AB$9)),MAX(MIN('Council Entry'!AB54,'Council Entry'!AB$9),'Council Entry'!AB$8),'Council Entry'!AB54))))-'Council Entry'!AB$5)/('Council Entry'!AB$6-'Council Entry'!AB$5)),1))),"No data"))</f>
        <v/>
      </c>
      <c r="AC54" s="13">
        <f>IF('Council Entry'!AC54="","",IFERROR(MAX(0,MIN(10,ROUND(IF('Council Entry'!AC$7="Decrease Risk",10-10*((IF('Council Entry'!AC$4="Logarithm",LN(0.001+IF(AND(ISNUMBER('Council Entry'!AC$8),ISNUMBER('Council Entry'!AC$9)),MAX(MIN('Council Entry'!AC54,'Council Entry'!AC$9),'Council Entry'!AC$8),'Council Entry'!AC54)),IF('Council Entry'!AC$4="Exponential",EXP(IF(AND(ISNUMBER('Council Entry'!AC$8),ISNUMBER('Council Entry'!AC$9)),MAX(MIN('Council Entry'!AC54,'Council Entry'!AC$9),'Council Entry'!AC$8),'Council Entry'!AC54)),IF(AND(ISNUMBER('Council Entry'!AC$8),ISNUMBER('Council Entry'!AC$9)),MAX(MIN('Council Entry'!AC54,'Council Entry'!AC$9),'Council Entry'!AC$8),'Council Entry'!AC54))))-'Council Entry'!AC$5)/('Council Entry'!AC$6-'Council Entry'!AC$5),10*((IF('Council Entry'!AC$4="Logarithm",LN(0.001+IF(AND(ISNUMBER('Council Entry'!AC$8),ISNUMBER('Council Entry'!AC$9)),MAX(MIN('Council Entry'!AC54,'Council Entry'!AC$9),'Council Entry'!AC$8),'Council Entry'!AC54)),IF('Council Entry'!AC$4="Exponential",EXP(IF(AND(ISNUMBER('Council Entry'!AC$8),ISNUMBER('Council Entry'!AC$9)),MAX(MIN('Council Entry'!AC54,'Council Entry'!AC$9),'Council Entry'!AC$8),'Council Entry'!AC54)),IF(AND(ISNUMBER('Council Entry'!AC$8),ISNUMBER('Council Entry'!AC$9)),MAX(MIN('Council Entry'!AC54,'Council Entry'!AC$9),'Council Entry'!AC$8),'Council Entry'!AC54))))-'Council Entry'!AC$5)/('Council Entry'!AC$6-'Council Entry'!AC$5)),1))),"No data"))</f>
        <v/>
      </c>
      <c r="AD54" s="13">
        <f>IF('Council Entry'!AD54="","",IFERROR(MAX(0,MIN(10,ROUND(IF('Council Entry'!AD$7="Decrease Risk",10-10*((IF('Council Entry'!AD$4="Logarithm",LN(0.001+IF(AND(ISNUMBER('Council Entry'!AD$8),ISNUMBER('Council Entry'!AD$9)),MAX(MIN('Council Entry'!AD54,'Council Entry'!AD$9),'Council Entry'!AD$8),'Council Entry'!AD54)),IF('Council Entry'!AD$4="Exponential",EXP(IF(AND(ISNUMBER('Council Entry'!AD$8),ISNUMBER('Council Entry'!AD$9)),MAX(MIN('Council Entry'!AD54,'Council Entry'!AD$9),'Council Entry'!AD$8),'Council Entry'!AD54)),IF(AND(ISNUMBER('Council Entry'!AD$8),ISNUMBER('Council Entry'!AD$9)),MAX(MIN('Council Entry'!AD54,'Council Entry'!AD$9),'Council Entry'!AD$8),'Council Entry'!AD54))))-'Council Entry'!AD$5)/('Council Entry'!AD$6-'Council Entry'!AD$5),10*((IF('Council Entry'!AD$4="Logarithm",LN(0.001+IF(AND(ISNUMBER('Council Entry'!AD$8),ISNUMBER('Council Entry'!AD$9)),MAX(MIN('Council Entry'!AD54,'Council Entry'!AD$9),'Council Entry'!AD$8),'Council Entry'!AD54)),IF('Council Entry'!AD$4="Exponential",EXP(IF(AND(ISNUMBER('Council Entry'!AD$8),ISNUMBER('Council Entry'!AD$9)),MAX(MIN('Council Entry'!AD54,'Council Entry'!AD$9),'Council Entry'!AD$8),'Council Entry'!AD54)),IF(AND(ISNUMBER('Council Entry'!AD$8),ISNUMBER('Council Entry'!AD$9)),MAX(MIN('Council Entry'!AD54,'Council Entry'!AD$9),'Council Entry'!AD$8),'Council Entry'!AD54))))-'Council Entry'!AD$5)/('Council Entry'!AD$6-'Council Entry'!AD$5)),1))),"No data"))</f>
        <v/>
      </c>
      <c r="AE54" s="13">
        <f>IF('Council Entry'!AE54="","",IFERROR(MAX(0,MIN(10,ROUND(IF('Council Entry'!AE$7="Decrease Risk",10-10*((IF('Council Entry'!AE$4="Logarithm",LN(0.001+IF(AND(ISNUMBER('Council Entry'!AE$8),ISNUMBER('Council Entry'!AE$9)),MAX(MIN('Council Entry'!AE54,'Council Entry'!AE$9),'Council Entry'!AE$8),'Council Entry'!AE54)),IF('Council Entry'!AE$4="Exponential",EXP(IF(AND(ISNUMBER('Council Entry'!AE$8),ISNUMBER('Council Entry'!AE$9)),MAX(MIN('Council Entry'!AE54,'Council Entry'!AE$9),'Council Entry'!AE$8),'Council Entry'!AE54)),IF(AND(ISNUMBER('Council Entry'!AE$8),ISNUMBER('Council Entry'!AE$9)),MAX(MIN('Council Entry'!AE54,'Council Entry'!AE$9),'Council Entry'!AE$8),'Council Entry'!AE54))))-'Council Entry'!AE$5)/('Council Entry'!AE$6-'Council Entry'!AE$5),10*((IF('Council Entry'!AE$4="Logarithm",LN(0.001+IF(AND(ISNUMBER('Council Entry'!AE$8),ISNUMBER('Council Entry'!AE$9)),MAX(MIN('Council Entry'!AE54,'Council Entry'!AE$9),'Council Entry'!AE$8),'Council Entry'!AE54)),IF('Council Entry'!AE$4="Exponential",EXP(IF(AND(ISNUMBER('Council Entry'!AE$8),ISNUMBER('Council Entry'!AE$9)),MAX(MIN('Council Entry'!AE54,'Council Entry'!AE$9),'Council Entry'!AE$8),'Council Entry'!AE54)),IF(AND(ISNUMBER('Council Entry'!AE$8),ISNUMBER('Council Entry'!AE$9)),MAX(MIN('Council Entry'!AE54,'Council Entry'!AE$9),'Council Entry'!AE$8),'Council Entry'!AE54))))-'Council Entry'!AE$5)/('Council Entry'!AE$6-'Council Entry'!AE$5)),1))),"No data"))</f>
        <v/>
      </c>
      <c r="AF54" s="13">
        <f>IF('Council Entry'!AF54="","",IFERROR(MAX(0,MIN(10,ROUND(IF('Council Entry'!AF$7="Decrease Risk",10-10*((IF('Council Entry'!AF$4="Logarithm",LN(0.001+IF(AND(ISNUMBER('Council Entry'!AF$8),ISNUMBER('Council Entry'!AF$9)),MAX(MIN('Council Entry'!AF54,'Council Entry'!AF$9),'Council Entry'!AF$8),'Council Entry'!AF54)),IF('Council Entry'!AF$4="Exponential",EXP(IF(AND(ISNUMBER('Council Entry'!AF$8),ISNUMBER('Council Entry'!AF$9)),MAX(MIN('Council Entry'!AF54,'Council Entry'!AF$9),'Council Entry'!AF$8),'Council Entry'!AF54)),IF(AND(ISNUMBER('Council Entry'!AF$8),ISNUMBER('Council Entry'!AF$9)),MAX(MIN('Council Entry'!AF54,'Council Entry'!AF$9),'Council Entry'!AF$8),'Council Entry'!AF54))))-'Council Entry'!AF$5)/('Council Entry'!AF$6-'Council Entry'!AF$5),10*((IF('Council Entry'!AF$4="Logarithm",LN(0.001+IF(AND(ISNUMBER('Council Entry'!AF$8),ISNUMBER('Council Entry'!AF$9)),MAX(MIN('Council Entry'!AF54,'Council Entry'!AF$9),'Council Entry'!AF$8),'Council Entry'!AF54)),IF('Council Entry'!AF$4="Exponential",EXP(IF(AND(ISNUMBER('Council Entry'!AF$8),ISNUMBER('Council Entry'!AF$9)),MAX(MIN('Council Entry'!AF54,'Council Entry'!AF$9),'Council Entry'!AF$8),'Council Entry'!AF54)),IF(AND(ISNUMBER('Council Entry'!AF$8),ISNUMBER('Council Entry'!AF$9)),MAX(MIN('Council Entry'!AF54,'Council Entry'!AF$9),'Council Entry'!AF$8),'Council Entry'!AF54))))-'Council Entry'!AF$5)/('Council Entry'!AF$6-'Council Entry'!AF$5)),1))),"No data"))</f>
        <v/>
      </c>
      <c r="AG54" s="13">
        <f>IF('Council Entry'!AG54="","",IFERROR(MAX(0,MIN(10,ROUND(IF('Council Entry'!AG$7="Decrease Risk",10-10*((IF('Council Entry'!AG$4="Logarithm",LN(0.001+IF(AND(ISNUMBER('Council Entry'!AG$8),ISNUMBER('Council Entry'!AG$9)),MAX(MIN('Council Entry'!AG54,'Council Entry'!AG$9),'Council Entry'!AG$8),'Council Entry'!AG54)),IF('Council Entry'!AG$4="Exponential",EXP(IF(AND(ISNUMBER('Council Entry'!AG$8),ISNUMBER('Council Entry'!AG$9)),MAX(MIN('Council Entry'!AG54,'Council Entry'!AG$9),'Council Entry'!AG$8),'Council Entry'!AG54)),IF(AND(ISNUMBER('Council Entry'!AG$8),ISNUMBER('Council Entry'!AG$9)),MAX(MIN('Council Entry'!AG54,'Council Entry'!AG$9),'Council Entry'!AG$8),'Council Entry'!AG54))))-'Council Entry'!AG$5)/('Council Entry'!AG$6-'Council Entry'!AG$5),10*((IF('Council Entry'!AG$4="Logarithm",LN(0.001+IF(AND(ISNUMBER('Council Entry'!AG$8),ISNUMBER('Council Entry'!AG$9)),MAX(MIN('Council Entry'!AG54,'Council Entry'!AG$9),'Council Entry'!AG$8),'Council Entry'!AG54)),IF('Council Entry'!AG$4="Exponential",EXP(IF(AND(ISNUMBER('Council Entry'!AG$8),ISNUMBER('Council Entry'!AG$9)),MAX(MIN('Council Entry'!AG54,'Council Entry'!AG$9),'Council Entry'!AG$8),'Council Entry'!AG54)),IF(AND(ISNUMBER('Council Entry'!AG$8),ISNUMBER('Council Entry'!AG$9)),MAX(MIN('Council Entry'!AG54,'Council Entry'!AG$9),'Council Entry'!AG$8),'Council Entry'!AG54))))-'Council Entry'!AG$5)/('Council Entry'!AG$6-'Council Entry'!AG$5)),1))),"No data"))</f>
        <v/>
      </c>
      <c r="AH54" s="13">
        <f>IF('Council Entry'!AH54="","",IFERROR(MAX(0,MIN(10,ROUND(IF('Council Entry'!AH$7="Decrease Risk",10-10*((IF('Council Entry'!AH$4="Logarithm",LN(0.001+IF(AND(ISNUMBER('Council Entry'!AH$8),ISNUMBER('Council Entry'!AH$9)),MAX(MIN('Council Entry'!AH54,'Council Entry'!AH$9),'Council Entry'!AH$8),'Council Entry'!AH54)),IF('Council Entry'!AH$4="Exponential",EXP(IF(AND(ISNUMBER('Council Entry'!AH$8),ISNUMBER('Council Entry'!AH$9)),MAX(MIN('Council Entry'!AH54,'Council Entry'!AH$9),'Council Entry'!AH$8),'Council Entry'!AH54)),IF(AND(ISNUMBER('Council Entry'!AH$8),ISNUMBER('Council Entry'!AH$9)),MAX(MIN('Council Entry'!AH54,'Council Entry'!AH$9),'Council Entry'!AH$8),'Council Entry'!AH54))))-'Council Entry'!AH$5)/('Council Entry'!AH$6-'Council Entry'!AH$5),10*((IF('Council Entry'!AH$4="Logarithm",LN(0.001+IF(AND(ISNUMBER('Council Entry'!AH$8),ISNUMBER('Council Entry'!AH$9)),MAX(MIN('Council Entry'!AH54,'Council Entry'!AH$9),'Council Entry'!AH$8),'Council Entry'!AH54)),IF('Council Entry'!AH$4="Exponential",EXP(IF(AND(ISNUMBER('Council Entry'!AH$8),ISNUMBER('Council Entry'!AH$9)),MAX(MIN('Council Entry'!AH54,'Council Entry'!AH$9),'Council Entry'!AH$8),'Council Entry'!AH54)),IF(AND(ISNUMBER('Council Entry'!AH$8),ISNUMBER('Council Entry'!AH$9)),MAX(MIN('Council Entry'!AH54,'Council Entry'!AH$9),'Council Entry'!AH$8),'Council Entry'!AH54))))-'Council Entry'!AH$5)/('Council Entry'!AH$6-'Council Entry'!AH$5)),1))),"No data"))</f>
        <v/>
      </c>
      <c r="AI54" s="13">
        <f>IF('Council Entry'!AI54="","",IFERROR(MAX(0,MIN(10,ROUND(IF('Council Entry'!AI$7="Decrease Risk",10-10*((IF('Council Entry'!AI$4="Logarithm",LN(0.001+IF(AND(ISNUMBER('Council Entry'!AI$8),ISNUMBER('Council Entry'!AI$9)),MAX(MIN('Council Entry'!AI54,'Council Entry'!AI$9),'Council Entry'!AI$8),'Council Entry'!AI54)),IF('Council Entry'!AI$4="Exponential",EXP(IF(AND(ISNUMBER('Council Entry'!AI$8),ISNUMBER('Council Entry'!AI$9)),MAX(MIN('Council Entry'!AI54,'Council Entry'!AI$9),'Council Entry'!AI$8),'Council Entry'!AI54)),IF(AND(ISNUMBER('Council Entry'!AI$8),ISNUMBER('Council Entry'!AI$9)),MAX(MIN('Council Entry'!AI54,'Council Entry'!AI$9),'Council Entry'!AI$8),'Council Entry'!AI54))))-'Council Entry'!AI$5)/('Council Entry'!AI$6-'Council Entry'!AI$5),10*((IF('Council Entry'!AI$4="Logarithm",LN(0.001+IF(AND(ISNUMBER('Council Entry'!AI$8),ISNUMBER('Council Entry'!AI$9)),MAX(MIN('Council Entry'!AI54,'Council Entry'!AI$9),'Council Entry'!AI$8),'Council Entry'!AI54)),IF('Council Entry'!AI$4="Exponential",EXP(IF(AND(ISNUMBER('Council Entry'!AI$8),ISNUMBER('Council Entry'!AI$9)),MAX(MIN('Council Entry'!AI54,'Council Entry'!AI$9),'Council Entry'!AI$8),'Council Entry'!AI54)),IF(AND(ISNUMBER('Council Entry'!AI$8),ISNUMBER('Council Entry'!AI$9)),MAX(MIN('Council Entry'!AI54,'Council Entry'!AI$9),'Council Entry'!AI$8),'Council Entry'!AI54))))-'Council Entry'!AI$5)/('Council Entry'!AI$6-'Council Entry'!AI$5)),1))),"No data"))</f>
        <v/>
      </c>
      <c r="AJ54" s="13">
        <f>IF('Council Entry'!AJ54="","",IFERROR(MAX(0,MIN(10,ROUND(IF('Council Entry'!AJ$7="Decrease Risk",10-10*((IF('Council Entry'!AJ$4="Logarithm",LN(0.001+IF(AND(ISNUMBER('Council Entry'!AJ$8),ISNUMBER('Council Entry'!AJ$9)),MAX(MIN('Council Entry'!AJ54,'Council Entry'!AJ$9),'Council Entry'!AJ$8),'Council Entry'!AJ54)),IF('Council Entry'!AJ$4="Exponential",EXP(IF(AND(ISNUMBER('Council Entry'!AJ$8),ISNUMBER('Council Entry'!AJ$9)),MAX(MIN('Council Entry'!AJ54,'Council Entry'!AJ$9),'Council Entry'!AJ$8),'Council Entry'!AJ54)),IF(AND(ISNUMBER('Council Entry'!AJ$8),ISNUMBER('Council Entry'!AJ$9)),MAX(MIN('Council Entry'!AJ54,'Council Entry'!AJ$9),'Council Entry'!AJ$8),'Council Entry'!AJ54))))-'Council Entry'!AJ$5)/('Council Entry'!AJ$6-'Council Entry'!AJ$5),10*((IF('Council Entry'!AJ$4="Logarithm",LN(0.001+IF(AND(ISNUMBER('Council Entry'!AJ$8),ISNUMBER('Council Entry'!AJ$9)),MAX(MIN('Council Entry'!AJ54,'Council Entry'!AJ$9),'Council Entry'!AJ$8),'Council Entry'!AJ54)),IF('Council Entry'!AJ$4="Exponential",EXP(IF(AND(ISNUMBER('Council Entry'!AJ$8),ISNUMBER('Council Entry'!AJ$9)),MAX(MIN('Council Entry'!AJ54,'Council Entry'!AJ$9),'Council Entry'!AJ$8),'Council Entry'!AJ54)),IF(AND(ISNUMBER('Council Entry'!AJ$8),ISNUMBER('Council Entry'!AJ$9)),MAX(MIN('Council Entry'!AJ54,'Council Entry'!AJ$9),'Council Entry'!AJ$8),'Council Entry'!AJ54))))-'Council Entry'!AJ$5)/('Council Entry'!AJ$6-'Council Entry'!AJ$5)),1))),"No data"))</f>
        <v/>
      </c>
      <c r="AK54" s="13">
        <f>IF('Council Entry'!AK54="","",IFERROR(MAX(0,MIN(10,ROUND(IF('Council Entry'!AK$7="Decrease Risk",10-10*((IF('Council Entry'!AK$4="Logarithm",LN(0.001+IF(AND(ISNUMBER('Council Entry'!AK$8),ISNUMBER('Council Entry'!AK$9)),MAX(MIN('Council Entry'!AK54,'Council Entry'!AK$9),'Council Entry'!AK$8),'Council Entry'!AK54)),IF('Council Entry'!AK$4="Exponential",EXP(IF(AND(ISNUMBER('Council Entry'!AK$8),ISNUMBER('Council Entry'!AK$9)),MAX(MIN('Council Entry'!AK54,'Council Entry'!AK$9),'Council Entry'!AK$8),'Council Entry'!AK54)),IF(AND(ISNUMBER('Council Entry'!AK$8),ISNUMBER('Council Entry'!AK$9)),MAX(MIN('Council Entry'!AK54,'Council Entry'!AK$9),'Council Entry'!AK$8),'Council Entry'!AK54))))-'Council Entry'!AK$5)/('Council Entry'!AK$6-'Council Entry'!AK$5),10*((IF('Council Entry'!AK$4="Logarithm",LN(0.001+IF(AND(ISNUMBER('Council Entry'!AK$8),ISNUMBER('Council Entry'!AK$9)),MAX(MIN('Council Entry'!AK54,'Council Entry'!AK$9),'Council Entry'!AK$8),'Council Entry'!AK54)),IF('Council Entry'!AK$4="Exponential",EXP(IF(AND(ISNUMBER('Council Entry'!AK$8),ISNUMBER('Council Entry'!AK$9)),MAX(MIN('Council Entry'!AK54,'Council Entry'!AK$9),'Council Entry'!AK$8),'Council Entry'!AK54)),IF(AND(ISNUMBER('Council Entry'!AK$8),ISNUMBER('Council Entry'!AK$9)),MAX(MIN('Council Entry'!AK54,'Council Entry'!AK$9),'Council Entry'!AK$8),'Council Entry'!AK54))))-'Council Entry'!AK$5)/('Council Entry'!AK$6-'Council Entry'!AK$5)),1))),"No data"))</f>
        <v/>
      </c>
      <c r="AL54" s="13">
        <f>IF('Council Entry'!AL54="","",IFERROR(MAX(0,MIN(10,ROUND(IF('Council Entry'!AL$7="Decrease Risk",10-10*((IF('Council Entry'!AL$4="Logarithm",LN(0.001+IF(AND(ISNUMBER('Council Entry'!AL$8),ISNUMBER('Council Entry'!AL$9)),MAX(MIN('Council Entry'!AL54,'Council Entry'!AL$9),'Council Entry'!AL$8),'Council Entry'!AL54)),IF('Council Entry'!AL$4="Exponential",EXP(IF(AND(ISNUMBER('Council Entry'!AL$8),ISNUMBER('Council Entry'!AL$9)),MAX(MIN('Council Entry'!AL54,'Council Entry'!AL$9),'Council Entry'!AL$8),'Council Entry'!AL54)),IF(AND(ISNUMBER('Council Entry'!AL$8),ISNUMBER('Council Entry'!AL$9)),MAX(MIN('Council Entry'!AL54,'Council Entry'!AL$9),'Council Entry'!AL$8),'Council Entry'!AL54))))-'Council Entry'!AL$5)/('Council Entry'!AL$6-'Council Entry'!AL$5),10*((IF('Council Entry'!AL$4="Logarithm",LN(0.001+IF(AND(ISNUMBER('Council Entry'!AL$8),ISNUMBER('Council Entry'!AL$9)),MAX(MIN('Council Entry'!AL54,'Council Entry'!AL$9),'Council Entry'!AL$8),'Council Entry'!AL54)),IF('Council Entry'!AL$4="Exponential",EXP(IF(AND(ISNUMBER('Council Entry'!AL$8),ISNUMBER('Council Entry'!AL$9)),MAX(MIN('Council Entry'!AL54,'Council Entry'!AL$9),'Council Entry'!AL$8),'Council Entry'!AL54)),IF(AND(ISNUMBER('Council Entry'!AL$8),ISNUMBER('Council Entry'!AL$9)),MAX(MIN('Council Entry'!AL54,'Council Entry'!AL$9),'Council Entry'!AL$8),'Council Entry'!AL54))))-'Council Entry'!AL$5)/('Council Entry'!AL$6-'Council Entry'!AL$5)),1))),"No data"))</f>
        <v/>
      </c>
      <c r="AM54" s="13">
        <f>IF('Council Entry'!AM54="","",IFERROR(MAX(0,MIN(10,ROUND(IF('Council Entry'!AM$7="Decrease Risk",10-10*((IF('Council Entry'!AM$4="Logarithm",LN(0.001+IF(AND(ISNUMBER('Council Entry'!AM$8),ISNUMBER('Council Entry'!AM$9)),MAX(MIN('Council Entry'!AM54,'Council Entry'!AM$9),'Council Entry'!AM$8),'Council Entry'!AM54)),IF('Council Entry'!AM$4="Exponential",EXP(IF(AND(ISNUMBER('Council Entry'!AM$8),ISNUMBER('Council Entry'!AM$9)),MAX(MIN('Council Entry'!AM54,'Council Entry'!AM$9),'Council Entry'!AM$8),'Council Entry'!AM54)),IF(AND(ISNUMBER('Council Entry'!AM$8),ISNUMBER('Council Entry'!AM$9)),MAX(MIN('Council Entry'!AM54,'Council Entry'!AM$9),'Council Entry'!AM$8),'Council Entry'!AM54))))-'Council Entry'!AM$5)/('Council Entry'!AM$6-'Council Entry'!AM$5),10*((IF('Council Entry'!AM$4="Logarithm",LN(0.001+IF(AND(ISNUMBER('Council Entry'!AM$8),ISNUMBER('Council Entry'!AM$9)),MAX(MIN('Council Entry'!AM54,'Council Entry'!AM$9),'Council Entry'!AM$8),'Council Entry'!AM54)),IF('Council Entry'!AM$4="Exponential",EXP(IF(AND(ISNUMBER('Council Entry'!AM$8),ISNUMBER('Council Entry'!AM$9)),MAX(MIN('Council Entry'!AM54,'Council Entry'!AM$9),'Council Entry'!AM$8),'Council Entry'!AM54)),IF(AND(ISNUMBER('Council Entry'!AM$8),ISNUMBER('Council Entry'!AM$9)),MAX(MIN('Council Entry'!AM54,'Council Entry'!AM$9),'Council Entry'!AM$8),'Council Entry'!AM54))))-'Council Entry'!AM$5)/('Council Entry'!AM$6-'Council Entry'!AM$5)),1))),"No data"))</f>
        <v/>
      </c>
      <c r="AN54" s="13">
        <f>IF('Council Entry'!AN54="","",IFERROR(MAX(0,MIN(10,ROUND(IF('Council Entry'!AN$7="Decrease Risk",10-10*((IF('Council Entry'!AN$4="Logarithm",LN(0.001+IF(AND(ISNUMBER('Council Entry'!AN$8),ISNUMBER('Council Entry'!AN$9)),MAX(MIN('Council Entry'!AN54,'Council Entry'!AN$9),'Council Entry'!AN$8),'Council Entry'!AN54)),IF('Council Entry'!AN$4="Exponential",EXP(IF(AND(ISNUMBER('Council Entry'!AN$8),ISNUMBER('Council Entry'!AN$9)),MAX(MIN('Council Entry'!AN54,'Council Entry'!AN$9),'Council Entry'!AN$8),'Council Entry'!AN54)),IF(AND(ISNUMBER('Council Entry'!AN$8),ISNUMBER('Council Entry'!AN$9)),MAX(MIN('Council Entry'!AN54,'Council Entry'!AN$9),'Council Entry'!AN$8),'Council Entry'!AN54))))-'Council Entry'!AN$5)/('Council Entry'!AN$6-'Council Entry'!AN$5),10*((IF('Council Entry'!AN$4="Logarithm",LN(0.001+IF(AND(ISNUMBER('Council Entry'!AN$8),ISNUMBER('Council Entry'!AN$9)),MAX(MIN('Council Entry'!AN54,'Council Entry'!AN$9),'Council Entry'!AN$8),'Council Entry'!AN54)),IF('Council Entry'!AN$4="Exponential",EXP(IF(AND(ISNUMBER('Council Entry'!AN$8),ISNUMBER('Council Entry'!AN$9)),MAX(MIN('Council Entry'!AN54,'Council Entry'!AN$9),'Council Entry'!AN$8),'Council Entry'!AN54)),IF(AND(ISNUMBER('Council Entry'!AN$8),ISNUMBER('Council Entry'!AN$9)),MAX(MIN('Council Entry'!AN54,'Council Entry'!AN$9),'Council Entry'!AN$8),'Council Entry'!AN54))))-'Council Entry'!AN$5)/('Council Entry'!AN$6-'Council Entry'!AN$5)),1))),"No data"))</f>
        <v/>
      </c>
      <c r="AO54" s="13">
        <f>IF('Council Entry'!AO54="","",IFERROR(MAX(0,MIN(10,ROUND(IF('Council Entry'!AO$7="Decrease Risk",10-10*((IF('Council Entry'!AO$4="Logarithm",LN(0.001+IF(AND(ISNUMBER('Council Entry'!AO$8),ISNUMBER('Council Entry'!AO$9)),MAX(MIN('Council Entry'!AO54,'Council Entry'!AO$9),'Council Entry'!AO$8),'Council Entry'!AO54)),IF('Council Entry'!AO$4="Exponential",EXP(IF(AND(ISNUMBER('Council Entry'!AO$8),ISNUMBER('Council Entry'!AO$9)),MAX(MIN('Council Entry'!AO54,'Council Entry'!AO$9),'Council Entry'!AO$8),'Council Entry'!AO54)),IF(AND(ISNUMBER('Council Entry'!AO$8),ISNUMBER('Council Entry'!AO$9)),MAX(MIN('Council Entry'!AO54,'Council Entry'!AO$9),'Council Entry'!AO$8),'Council Entry'!AO54))))-'Council Entry'!AO$5)/('Council Entry'!AO$6-'Council Entry'!AO$5),10*((IF('Council Entry'!AO$4="Logarithm",LN(0.001+IF(AND(ISNUMBER('Council Entry'!AO$8),ISNUMBER('Council Entry'!AO$9)),MAX(MIN('Council Entry'!AO54,'Council Entry'!AO$9),'Council Entry'!AO$8),'Council Entry'!AO54)),IF('Council Entry'!AO$4="Exponential",EXP(IF(AND(ISNUMBER('Council Entry'!AO$8),ISNUMBER('Council Entry'!AO$9)),MAX(MIN('Council Entry'!AO54,'Council Entry'!AO$9),'Council Entry'!AO$8),'Council Entry'!AO54)),IF(AND(ISNUMBER('Council Entry'!AO$8),ISNUMBER('Council Entry'!AO$9)),MAX(MIN('Council Entry'!AO54,'Council Entry'!AO$9),'Council Entry'!AO$8),'Council Entry'!AO54))))-'Council Entry'!AO$5)/('Council Entry'!AO$6-'Council Entry'!AO$5)),1))),"No data"))</f>
        <v/>
      </c>
      <c r="AP54" s="13">
        <f>IF('Council Entry'!AP54="","",IFERROR(MAX(0,MIN(10,ROUND(IF('Council Entry'!AP$7="Decrease Risk",10-10*((IF('Council Entry'!AP$4="Logarithm",LN(0.001+IF(AND(ISNUMBER('Council Entry'!AP$8),ISNUMBER('Council Entry'!AP$9)),MAX(MIN('Council Entry'!AP54,'Council Entry'!AP$9),'Council Entry'!AP$8),'Council Entry'!AP54)),IF('Council Entry'!AP$4="Exponential",EXP(IF(AND(ISNUMBER('Council Entry'!AP$8),ISNUMBER('Council Entry'!AP$9)),MAX(MIN('Council Entry'!AP54,'Council Entry'!AP$9),'Council Entry'!AP$8),'Council Entry'!AP54)),IF(AND(ISNUMBER('Council Entry'!AP$8),ISNUMBER('Council Entry'!AP$9)),MAX(MIN('Council Entry'!AP54,'Council Entry'!AP$9),'Council Entry'!AP$8),'Council Entry'!AP54))))-'Council Entry'!AP$5)/('Council Entry'!AP$6-'Council Entry'!AP$5),10*((IF('Council Entry'!AP$4="Logarithm",LN(0.001+IF(AND(ISNUMBER('Council Entry'!AP$8),ISNUMBER('Council Entry'!AP$9)),MAX(MIN('Council Entry'!AP54,'Council Entry'!AP$9),'Council Entry'!AP$8),'Council Entry'!AP54)),IF('Council Entry'!AP$4="Exponential",EXP(IF(AND(ISNUMBER('Council Entry'!AP$8),ISNUMBER('Council Entry'!AP$9)),MAX(MIN('Council Entry'!AP54,'Council Entry'!AP$9),'Council Entry'!AP$8),'Council Entry'!AP54)),IF(AND(ISNUMBER('Council Entry'!AP$8),ISNUMBER('Council Entry'!AP$9)),MAX(MIN('Council Entry'!AP54,'Council Entry'!AP$9),'Council Entry'!AP$8),'Council Entry'!AP54))))-'Council Entry'!AP$5)/('Council Entry'!AP$6-'Council Entry'!AP$5)),1))),"No data"))</f>
        <v/>
      </c>
      <c r="AQ54" s="13">
        <f>IF('Council Entry'!AQ54="","",IFERROR(MAX(0,MIN(10,ROUND(IF('Council Entry'!AQ$7="Decrease Risk",10-10*((IF('Council Entry'!AQ$4="Logarithm",LN(0.001+IF(AND(ISNUMBER('Council Entry'!AQ$8),ISNUMBER('Council Entry'!AQ$9)),MAX(MIN('Council Entry'!AQ54,'Council Entry'!AQ$9),'Council Entry'!AQ$8),'Council Entry'!AQ54)),IF('Council Entry'!AQ$4="Exponential",EXP(IF(AND(ISNUMBER('Council Entry'!AQ$8),ISNUMBER('Council Entry'!AQ$9)),MAX(MIN('Council Entry'!AQ54,'Council Entry'!AQ$9),'Council Entry'!AQ$8),'Council Entry'!AQ54)),IF(AND(ISNUMBER('Council Entry'!AQ$8),ISNUMBER('Council Entry'!AQ$9)),MAX(MIN('Council Entry'!AQ54,'Council Entry'!AQ$9),'Council Entry'!AQ$8),'Council Entry'!AQ54))))-'Council Entry'!AQ$5)/('Council Entry'!AQ$6-'Council Entry'!AQ$5),10*((IF('Council Entry'!AQ$4="Logarithm",LN(0.001+IF(AND(ISNUMBER('Council Entry'!AQ$8),ISNUMBER('Council Entry'!AQ$9)),MAX(MIN('Council Entry'!AQ54,'Council Entry'!AQ$9),'Council Entry'!AQ$8),'Council Entry'!AQ54)),IF('Council Entry'!AQ$4="Exponential",EXP(IF(AND(ISNUMBER('Council Entry'!AQ$8),ISNUMBER('Council Entry'!AQ$9)),MAX(MIN('Council Entry'!AQ54,'Council Entry'!AQ$9),'Council Entry'!AQ$8),'Council Entry'!AQ54)),IF(AND(ISNUMBER('Council Entry'!AQ$8),ISNUMBER('Council Entry'!AQ$9)),MAX(MIN('Council Entry'!AQ54,'Council Entry'!AQ$9),'Council Entry'!AQ$8),'Council Entry'!AQ54))))-'Council Entry'!AQ$5)/('Council Entry'!AQ$6-'Council Entry'!AQ$5)),1))),"No data"))</f>
        <v/>
      </c>
      <c r="AR54" s="13">
        <f>IF('Council Entry'!AR54="","",IFERROR(MAX(0,MIN(10,ROUND(IF('Council Entry'!AR$7="Decrease Risk",10-10*((IF('Council Entry'!AR$4="Logarithm",LN(0.001+IF(AND(ISNUMBER('Council Entry'!AR$8),ISNUMBER('Council Entry'!AR$9)),MAX(MIN('Council Entry'!AR54,'Council Entry'!AR$9),'Council Entry'!AR$8),'Council Entry'!AR54)),IF('Council Entry'!AR$4="Exponential",EXP(IF(AND(ISNUMBER('Council Entry'!AR$8),ISNUMBER('Council Entry'!AR$9)),MAX(MIN('Council Entry'!AR54,'Council Entry'!AR$9),'Council Entry'!AR$8),'Council Entry'!AR54)),IF(AND(ISNUMBER('Council Entry'!AR$8),ISNUMBER('Council Entry'!AR$9)),MAX(MIN('Council Entry'!AR54,'Council Entry'!AR$9),'Council Entry'!AR$8),'Council Entry'!AR54))))-'Council Entry'!AR$5)/('Council Entry'!AR$6-'Council Entry'!AR$5),10*((IF('Council Entry'!AR$4="Logarithm",LN(0.001+IF(AND(ISNUMBER('Council Entry'!AR$8),ISNUMBER('Council Entry'!AR$9)),MAX(MIN('Council Entry'!AR54,'Council Entry'!AR$9),'Council Entry'!AR$8),'Council Entry'!AR54)),IF('Council Entry'!AR$4="Exponential",EXP(IF(AND(ISNUMBER('Council Entry'!AR$8),ISNUMBER('Council Entry'!AR$9)),MAX(MIN('Council Entry'!AR54,'Council Entry'!AR$9),'Council Entry'!AR$8),'Council Entry'!AR54)),IF(AND(ISNUMBER('Council Entry'!AR$8),ISNUMBER('Council Entry'!AR$9)),MAX(MIN('Council Entry'!AR54,'Council Entry'!AR$9),'Council Entry'!AR$8),'Council Entry'!AR54))))-'Council Entry'!AR$5)/('Council Entry'!AR$6-'Council Entry'!AR$5)),1))),"No data"))</f>
        <v/>
      </c>
      <c r="AS54" s="13">
        <f>IF('Council Entry'!AS54="","",IFERROR(MAX(0,MIN(10,ROUND(IF('Council Entry'!AS$7="Decrease Risk",10-10*((IF('Council Entry'!AS$4="Logarithm",LN(0.001+IF(AND(ISNUMBER('Council Entry'!AS$8),ISNUMBER('Council Entry'!AS$9)),MAX(MIN('Council Entry'!AS54,'Council Entry'!AS$9),'Council Entry'!AS$8),'Council Entry'!AS54)),IF('Council Entry'!AS$4="Exponential",EXP(IF(AND(ISNUMBER('Council Entry'!AS$8),ISNUMBER('Council Entry'!AS$9)),MAX(MIN('Council Entry'!AS54,'Council Entry'!AS$9),'Council Entry'!AS$8),'Council Entry'!AS54)),IF(AND(ISNUMBER('Council Entry'!AS$8),ISNUMBER('Council Entry'!AS$9)),MAX(MIN('Council Entry'!AS54,'Council Entry'!AS$9),'Council Entry'!AS$8),'Council Entry'!AS54))))-'Council Entry'!AS$5)/('Council Entry'!AS$6-'Council Entry'!AS$5),10*((IF('Council Entry'!AS$4="Logarithm",LN(0.001+IF(AND(ISNUMBER('Council Entry'!AS$8),ISNUMBER('Council Entry'!AS$9)),MAX(MIN('Council Entry'!AS54,'Council Entry'!AS$9),'Council Entry'!AS$8),'Council Entry'!AS54)),IF('Council Entry'!AS$4="Exponential",EXP(IF(AND(ISNUMBER('Council Entry'!AS$8),ISNUMBER('Council Entry'!AS$9)),MAX(MIN('Council Entry'!AS54,'Council Entry'!AS$9),'Council Entry'!AS$8),'Council Entry'!AS54)),IF(AND(ISNUMBER('Council Entry'!AS$8),ISNUMBER('Council Entry'!AS$9)),MAX(MIN('Council Entry'!AS54,'Council Entry'!AS$9),'Council Entry'!AS$8),'Council Entry'!AS54))))-'Council Entry'!AS$5)/('Council Entry'!AS$6-'Council Entry'!AS$5)),1))),"No data"))</f>
        <v/>
      </c>
      <c r="AT54" s="13">
        <f>IF('Council Entry'!AT54="","",IFERROR(MAX(0,MIN(10,ROUND(IF('Council Entry'!AT$7="Decrease Risk",10-10*((IF('Council Entry'!AT$4="Logarithm",LN(0.001+IF(AND(ISNUMBER('Council Entry'!AT$8),ISNUMBER('Council Entry'!AT$9)),MAX(MIN('Council Entry'!AT54,'Council Entry'!AT$9),'Council Entry'!AT$8),'Council Entry'!AT54)),IF('Council Entry'!AT$4="Exponential",EXP(IF(AND(ISNUMBER('Council Entry'!AT$8),ISNUMBER('Council Entry'!AT$9)),MAX(MIN('Council Entry'!AT54,'Council Entry'!AT$9),'Council Entry'!AT$8),'Council Entry'!AT54)),IF(AND(ISNUMBER('Council Entry'!AT$8),ISNUMBER('Council Entry'!AT$9)),MAX(MIN('Council Entry'!AT54,'Council Entry'!AT$9),'Council Entry'!AT$8),'Council Entry'!AT54))))-'Council Entry'!AT$5)/('Council Entry'!AT$6-'Council Entry'!AT$5),10*((IF('Council Entry'!AT$4="Logarithm",LN(0.001+IF(AND(ISNUMBER('Council Entry'!AT$8),ISNUMBER('Council Entry'!AT$9)),MAX(MIN('Council Entry'!AT54,'Council Entry'!AT$9),'Council Entry'!AT$8),'Council Entry'!AT54)),IF('Council Entry'!AT$4="Exponential",EXP(IF(AND(ISNUMBER('Council Entry'!AT$8),ISNUMBER('Council Entry'!AT$9)),MAX(MIN('Council Entry'!AT54,'Council Entry'!AT$9),'Council Entry'!AT$8),'Council Entry'!AT54)),IF(AND(ISNUMBER('Council Entry'!AT$8),ISNUMBER('Council Entry'!AT$9)),MAX(MIN('Council Entry'!AT54,'Council Entry'!AT$9),'Council Entry'!AT$8),'Council Entry'!AT54))))-'Council Entry'!AT$5)/('Council Entry'!AT$6-'Council Entry'!AT$5)),1))),"No data"))</f>
        <v/>
      </c>
      <c r="AU54" s="13">
        <f>IF('Council Entry'!AU54="","",IFERROR(MAX(0,MIN(10,ROUND(IF('Council Entry'!AU$7="Decrease Risk",10-10*((IF('Council Entry'!AU$4="Logarithm",LN(0.001+IF(AND(ISNUMBER('Council Entry'!AU$8),ISNUMBER('Council Entry'!AU$9)),MAX(MIN('Council Entry'!AU54,'Council Entry'!AU$9),'Council Entry'!AU$8),'Council Entry'!AU54)),IF('Council Entry'!AU$4="Exponential",EXP(IF(AND(ISNUMBER('Council Entry'!AU$8),ISNUMBER('Council Entry'!AU$9)),MAX(MIN('Council Entry'!AU54,'Council Entry'!AU$9),'Council Entry'!AU$8),'Council Entry'!AU54)),IF(AND(ISNUMBER('Council Entry'!AU$8),ISNUMBER('Council Entry'!AU$9)),MAX(MIN('Council Entry'!AU54,'Council Entry'!AU$9),'Council Entry'!AU$8),'Council Entry'!AU54))))-'Council Entry'!AU$5)/('Council Entry'!AU$6-'Council Entry'!AU$5),10*((IF('Council Entry'!AU$4="Logarithm",LN(0.001+IF(AND(ISNUMBER('Council Entry'!AU$8),ISNUMBER('Council Entry'!AU$9)),MAX(MIN('Council Entry'!AU54,'Council Entry'!AU$9),'Council Entry'!AU$8),'Council Entry'!AU54)),IF('Council Entry'!AU$4="Exponential",EXP(IF(AND(ISNUMBER('Council Entry'!AU$8),ISNUMBER('Council Entry'!AU$9)),MAX(MIN('Council Entry'!AU54,'Council Entry'!AU$9),'Council Entry'!AU$8),'Council Entry'!AU54)),IF(AND(ISNUMBER('Council Entry'!AU$8),ISNUMBER('Council Entry'!AU$9)),MAX(MIN('Council Entry'!AU54,'Council Entry'!AU$9),'Council Entry'!AU$8),'Council Entry'!AU54))))-'Council Entry'!AU$5)/('Council Entry'!AU$6-'Council Entry'!AU$5)),1))),"No data"))</f>
        <v/>
      </c>
      <c r="AV54" s="13">
        <f>IF('Council Entry'!AV54="","",IFERROR(MAX(0,MIN(10,ROUND(IF('Council Entry'!AV$7="Decrease Risk",10-10*((IF('Council Entry'!AV$4="Logarithm",LN(0.001+IF(AND(ISNUMBER('Council Entry'!AV$8),ISNUMBER('Council Entry'!AV$9)),MAX(MIN('Council Entry'!AV54,'Council Entry'!AV$9),'Council Entry'!AV$8),'Council Entry'!AV54)),IF('Council Entry'!AV$4="Exponential",EXP(IF(AND(ISNUMBER('Council Entry'!AV$8),ISNUMBER('Council Entry'!AV$9)),MAX(MIN('Council Entry'!AV54,'Council Entry'!AV$9),'Council Entry'!AV$8),'Council Entry'!AV54)),IF(AND(ISNUMBER('Council Entry'!AV$8),ISNUMBER('Council Entry'!AV$9)),MAX(MIN('Council Entry'!AV54,'Council Entry'!AV$9),'Council Entry'!AV$8),'Council Entry'!AV54))))-'Council Entry'!AV$5)/('Council Entry'!AV$6-'Council Entry'!AV$5),10*((IF('Council Entry'!AV$4="Logarithm",LN(0.001+IF(AND(ISNUMBER('Council Entry'!AV$8),ISNUMBER('Council Entry'!AV$9)),MAX(MIN('Council Entry'!AV54,'Council Entry'!AV$9),'Council Entry'!AV$8),'Council Entry'!AV54)),IF('Council Entry'!AV$4="Exponential",EXP(IF(AND(ISNUMBER('Council Entry'!AV$8),ISNUMBER('Council Entry'!AV$9)),MAX(MIN('Council Entry'!AV54,'Council Entry'!AV$9),'Council Entry'!AV$8),'Council Entry'!AV54)),IF(AND(ISNUMBER('Council Entry'!AV$8),ISNUMBER('Council Entry'!AV$9)),MAX(MIN('Council Entry'!AV54,'Council Entry'!AV$9),'Council Entry'!AV$8),'Council Entry'!AV54))))-'Council Entry'!AV$5)/('Council Entry'!AV$6-'Council Entry'!AV$5)),1))),"No data"))</f>
        <v/>
      </c>
      <c r="AW54" s="13">
        <f>IF('Council Entry'!AW54="","",IFERROR(MAX(0,MIN(10,ROUND(IF('Council Entry'!AW$7="Decrease Risk",10-10*((IF('Council Entry'!AW$4="Logarithm",LN(0.001+IF(AND(ISNUMBER('Council Entry'!AW$8),ISNUMBER('Council Entry'!AW$9)),MAX(MIN('Council Entry'!AW54,'Council Entry'!AW$9),'Council Entry'!AW$8),'Council Entry'!AW54)),IF('Council Entry'!AW$4="Exponential",EXP(IF(AND(ISNUMBER('Council Entry'!AW$8),ISNUMBER('Council Entry'!AW$9)),MAX(MIN('Council Entry'!AW54,'Council Entry'!AW$9),'Council Entry'!AW$8),'Council Entry'!AW54)),IF(AND(ISNUMBER('Council Entry'!AW$8),ISNUMBER('Council Entry'!AW$9)),MAX(MIN('Council Entry'!AW54,'Council Entry'!AW$9),'Council Entry'!AW$8),'Council Entry'!AW54))))-'Council Entry'!AW$5)/('Council Entry'!AW$6-'Council Entry'!AW$5),10*((IF('Council Entry'!AW$4="Logarithm",LN(0.001+IF(AND(ISNUMBER('Council Entry'!AW$8),ISNUMBER('Council Entry'!AW$9)),MAX(MIN('Council Entry'!AW54,'Council Entry'!AW$9),'Council Entry'!AW$8),'Council Entry'!AW54)),IF('Council Entry'!AW$4="Exponential",EXP(IF(AND(ISNUMBER('Council Entry'!AW$8),ISNUMBER('Council Entry'!AW$9)),MAX(MIN('Council Entry'!AW54,'Council Entry'!AW$9),'Council Entry'!AW$8),'Council Entry'!AW54)),IF(AND(ISNUMBER('Council Entry'!AW$8),ISNUMBER('Council Entry'!AW$9)),MAX(MIN('Council Entry'!AW54,'Council Entry'!AW$9),'Council Entry'!AW$8),'Council Entry'!AW54))))-'Council Entry'!AW$5)/('Council Entry'!AW$6-'Council Entry'!AW$5)),1))),"No data"))</f>
        <v/>
      </c>
      <c r="AX54" s="13">
        <f>IF('Council Entry'!AX54="","",IFERROR(MAX(0,MIN(10,ROUND(IF('Council Entry'!AX$7="Decrease Risk",10-10*((IF('Council Entry'!AX$4="Logarithm",LN(0.001+IF(AND(ISNUMBER('Council Entry'!AX$8),ISNUMBER('Council Entry'!AX$9)),MAX(MIN('Council Entry'!AX54,'Council Entry'!AX$9),'Council Entry'!AX$8),'Council Entry'!AX54)),IF('Council Entry'!AX$4="Exponential",EXP(IF(AND(ISNUMBER('Council Entry'!AX$8),ISNUMBER('Council Entry'!AX$9)),MAX(MIN('Council Entry'!AX54,'Council Entry'!AX$9),'Council Entry'!AX$8),'Council Entry'!AX54)),IF(AND(ISNUMBER('Council Entry'!AX$8),ISNUMBER('Council Entry'!AX$9)),MAX(MIN('Council Entry'!AX54,'Council Entry'!AX$9),'Council Entry'!AX$8),'Council Entry'!AX54))))-'Council Entry'!AX$5)/('Council Entry'!AX$6-'Council Entry'!AX$5),10*((IF('Council Entry'!AX$4="Logarithm",LN(0.001+IF(AND(ISNUMBER('Council Entry'!AX$8),ISNUMBER('Council Entry'!AX$9)),MAX(MIN('Council Entry'!AX54,'Council Entry'!AX$9),'Council Entry'!AX$8),'Council Entry'!AX54)),IF('Council Entry'!AX$4="Exponential",EXP(IF(AND(ISNUMBER('Council Entry'!AX$8),ISNUMBER('Council Entry'!AX$9)),MAX(MIN('Council Entry'!AX54,'Council Entry'!AX$9),'Council Entry'!AX$8),'Council Entry'!AX54)),IF(AND(ISNUMBER('Council Entry'!AX$8),ISNUMBER('Council Entry'!AX$9)),MAX(MIN('Council Entry'!AX54,'Council Entry'!AX$9),'Council Entry'!AX$8),'Council Entry'!AX54))))-'Council Entry'!AX$5)/('Council Entry'!AX$6-'Council Entry'!AX$5)),1))),"No data"))</f>
        <v/>
      </c>
      <c r="AY54" s="13">
        <f>IF('Council Entry'!AY54="","",IFERROR(MAX(0,MIN(10,ROUND(IF('Council Entry'!AY$7="Decrease Risk",10-10*((IF('Council Entry'!AY$4="Logarithm",LN(0.001+IF(AND(ISNUMBER('Council Entry'!AY$8),ISNUMBER('Council Entry'!AY$9)),MAX(MIN('Council Entry'!AY54,'Council Entry'!AY$9),'Council Entry'!AY$8),'Council Entry'!AY54)),IF('Council Entry'!AY$4="Exponential",EXP(IF(AND(ISNUMBER('Council Entry'!AY$8),ISNUMBER('Council Entry'!AY$9)),MAX(MIN('Council Entry'!AY54,'Council Entry'!AY$9),'Council Entry'!AY$8),'Council Entry'!AY54)),IF(AND(ISNUMBER('Council Entry'!AY$8),ISNUMBER('Council Entry'!AY$9)),MAX(MIN('Council Entry'!AY54,'Council Entry'!AY$9),'Council Entry'!AY$8),'Council Entry'!AY54))))-'Council Entry'!AY$5)/('Council Entry'!AY$6-'Council Entry'!AY$5),10*((IF('Council Entry'!AY$4="Logarithm",LN(0.001+IF(AND(ISNUMBER('Council Entry'!AY$8),ISNUMBER('Council Entry'!AY$9)),MAX(MIN('Council Entry'!AY54,'Council Entry'!AY$9),'Council Entry'!AY$8),'Council Entry'!AY54)),IF('Council Entry'!AY$4="Exponential",EXP(IF(AND(ISNUMBER('Council Entry'!AY$8),ISNUMBER('Council Entry'!AY$9)),MAX(MIN('Council Entry'!AY54,'Council Entry'!AY$9),'Council Entry'!AY$8),'Council Entry'!AY54)),IF(AND(ISNUMBER('Council Entry'!AY$8),ISNUMBER('Council Entry'!AY$9)),MAX(MIN('Council Entry'!AY54,'Council Entry'!AY$9),'Council Entry'!AY$8),'Council Entry'!AY54))))-'Council Entry'!AY$5)/('Council Entry'!AY$6-'Council Entry'!AY$5)),1))),"No data"))</f>
        <v/>
      </c>
      <c r="AZ54" s="13">
        <f>IF('Council Entry'!AZ54="","",IFERROR(MAX(0,MIN(10,ROUND(IF('Council Entry'!AZ$7="Decrease Risk",10-10*((IF('Council Entry'!AZ$4="Logarithm",LN(0.001+IF(AND(ISNUMBER('Council Entry'!AZ$8),ISNUMBER('Council Entry'!AZ$9)),MAX(MIN('Council Entry'!AZ54,'Council Entry'!AZ$9),'Council Entry'!AZ$8),'Council Entry'!AZ54)),IF('Council Entry'!AZ$4="Exponential",EXP(IF(AND(ISNUMBER('Council Entry'!AZ$8),ISNUMBER('Council Entry'!AZ$9)),MAX(MIN('Council Entry'!AZ54,'Council Entry'!AZ$9),'Council Entry'!AZ$8),'Council Entry'!AZ54)),IF(AND(ISNUMBER('Council Entry'!AZ$8),ISNUMBER('Council Entry'!AZ$9)),MAX(MIN('Council Entry'!AZ54,'Council Entry'!AZ$9),'Council Entry'!AZ$8),'Council Entry'!AZ54))))-'Council Entry'!AZ$5)/('Council Entry'!AZ$6-'Council Entry'!AZ$5),10*((IF('Council Entry'!AZ$4="Logarithm",LN(0.001+IF(AND(ISNUMBER('Council Entry'!AZ$8),ISNUMBER('Council Entry'!AZ$9)),MAX(MIN('Council Entry'!AZ54,'Council Entry'!AZ$9),'Council Entry'!AZ$8),'Council Entry'!AZ54)),IF('Council Entry'!AZ$4="Exponential",EXP(IF(AND(ISNUMBER('Council Entry'!AZ$8),ISNUMBER('Council Entry'!AZ$9)),MAX(MIN('Council Entry'!AZ54,'Council Entry'!AZ$9),'Council Entry'!AZ$8),'Council Entry'!AZ54)),IF(AND(ISNUMBER('Council Entry'!AZ$8),ISNUMBER('Council Entry'!AZ$9)),MAX(MIN('Council Entry'!AZ54,'Council Entry'!AZ$9),'Council Entry'!AZ$8),'Council Entry'!AZ54))))-'Council Entry'!AZ$5)/('Council Entry'!AZ$6-'Council Entry'!AZ$5)),1))),"No data"))</f>
        <v/>
      </c>
      <c r="BA54" s="13">
        <f>IF('Council Entry'!BA54="","",IFERROR(MAX(0,MIN(10,ROUND(IF('Council Entry'!BA$7="Decrease Risk",10-10*((IF('Council Entry'!BA$4="Logarithm",LN(0.001+IF(AND(ISNUMBER('Council Entry'!BA$8),ISNUMBER('Council Entry'!BA$9)),MAX(MIN('Council Entry'!BA54,'Council Entry'!BA$9),'Council Entry'!BA$8),'Council Entry'!BA54)),IF('Council Entry'!BA$4="Exponential",EXP(IF(AND(ISNUMBER('Council Entry'!BA$8),ISNUMBER('Council Entry'!BA$9)),MAX(MIN('Council Entry'!BA54,'Council Entry'!BA$9),'Council Entry'!BA$8),'Council Entry'!BA54)),IF(AND(ISNUMBER('Council Entry'!BA$8),ISNUMBER('Council Entry'!BA$9)),MAX(MIN('Council Entry'!BA54,'Council Entry'!BA$9),'Council Entry'!BA$8),'Council Entry'!BA54))))-'Council Entry'!BA$5)/('Council Entry'!BA$6-'Council Entry'!BA$5),10*((IF('Council Entry'!BA$4="Logarithm",LN(0.001+IF(AND(ISNUMBER('Council Entry'!BA$8),ISNUMBER('Council Entry'!BA$9)),MAX(MIN('Council Entry'!BA54,'Council Entry'!BA$9),'Council Entry'!BA$8),'Council Entry'!BA54)),IF('Council Entry'!BA$4="Exponential",EXP(IF(AND(ISNUMBER('Council Entry'!BA$8),ISNUMBER('Council Entry'!BA$9)),MAX(MIN('Council Entry'!BA54,'Council Entry'!BA$9),'Council Entry'!BA$8),'Council Entry'!BA54)),IF(AND(ISNUMBER('Council Entry'!BA$8),ISNUMBER('Council Entry'!BA$9)),MAX(MIN('Council Entry'!BA54,'Council Entry'!BA$9),'Council Entry'!BA$8),'Council Entry'!BA54))))-'Council Entry'!BA$5)/('Council Entry'!BA$6-'Council Entry'!BA$5)),1))),"No data"))</f>
        <v/>
      </c>
      <c r="BB54" s="13">
        <f>IF('Council Entry'!BB54="","",IFERROR(MAX(0,MIN(10,ROUND(IF('Council Entry'!BB$7="Decrease Risk",10-10*((IF('Council Entry'!BB$4="Logarithm",LN(0.001+IF(AND(ISNUMBER('Council Entry'!BB$8),ISNUMBER('Council Entry'!BB$9)),MAX(MIN('Council Entry'!BB54,'Council Entry'!BB$9),'Council Entry'!BB$8),'Council Entry'!BB54)),IF('Council Entry'!BB$4="Exponential",EXP(IF(AND(ISNUMBER('Council Entry'!BB$8),ISNUMBER('Council Entry'!BB$9)),MAX(MIN('Council Entry'!BB54,'Council Entry'!BB$9),'Council Entry'!BB$8),'Council Entry'!BB54)),IF(AND(ISNUMBER('Council Entry'!BB$8),ISNUMBER('Council Entry'!BB$9)),MAX(MIN('Council Entry'!BB54,'Council Entry'!BB$9),'Council Entry'!BB$8),'Council Entry'!BB54))))-'Council Entry'!BB$5)/('Council Entry'!BB$6-'Council Entry'!BB$5),10*((IF('Council Entry'!BB$4="Logarithm",LN(0.001+IF(AND(ISNUMBER('Council Entry'!BB$8),ISNUMBER('Council Entry'!BB$9)),MAX(MIN('Council Entry'!BB54,'Council Entry'!BB$9),'Council Entry'!BB$8),'Council Entry'!BB54)),IF('Council Entry'!BB$4="Exponential",EXP(IF(AND(ISNUMBER('Council Entry'!BB$8),ISNUMBER('Council Entry'!BB$9)),MAX(MIN('Council Entry'!BB54,'Council Entry'!BB$9),'Council Entry'!BB$8),'Council Entry'!BB54)),IF(AND(ISNUMBER('Council Entry'!BB$8),ISNUMBER('Council Entry'!BB$9)),MAX(MIN('Council Entry'!BB54,'Council Entry'!BB$9),'Council Entry'!BB$8),'Council Entry'!BB54))))-'Council Entry'!BB$5)/('Council Entry'!BB$6-'Council Entry'!BB$5)),1))),"No data"))</f>
        <v/>
      </c>
      <c r="BC54" s="13">
        <f>IF('Council Entry'!BC54="","",IFERROR(MAX(0,MIN(10,ROUND(IF('Council Entry'!BC$7="Decrease Risk",10-10*((IF('Council Entry'!BC$4="Logarithm",LN(0.001+IF(AND(ISNUMBER('Council Entry'!BC$8),ISNUMBER('Council Entry'!BC$9)),MAX(MIN('Council Entry'!BC54,'Council Entry'!BC$9),'Council Entry'!BC$8),'Council Entry'!BC54)),IF('Council Entry'!BC$4="Exponential",EXP(IF(AND(ISNUMBER('Council Entry'!BC$8),ISNUMBER('Council Entry'!BC$9)),MAX(MIN('Council Entry'!BC54,'Council Entry'!BC$9),'Council Entry'!BC$8),'Council Entry'!BC54)),IF(AND(ISNUMBER('Council Entry'!BC$8),ISNUMBER('Council Entry'!BC$9)),MAX(MIN('Council Entry'!BC54,'Council Entry'!BC$9),'Council Entry'!BC$8),'Council Entry'!BC54))))-'Council Entry'!BC$5)/('Council Entry'!BC$6-'Council Entry'!BC$5),10*((IF('Council Entry'!BC$4="Logarithm",LN(0.001+IF(AND(ISNUMBER('Council Entry'!BC$8),ISNUMBER('Council Entry'!BC$9)),MAX(MIN('Council Entry'!BC54,'Council Entry'!BC$9),'Council Entry'!BC$8),'Council Entry'!BC54)),IF('Council Entry'!BC$4="Exponential",EXP(IF(AND(ISNUMBER('Council Entry'!BC$8),ISNUMBER('Council Entry'!BC$9)),MAX(MIN('Council Entry'!BC54,'Council Entry'!BC$9),'Council Entry'!BC$8),'Council Entry'!BC54)),IF(AND(ISNUMBER('Council Entry'!BC$8),ISNUMBER('Council Entry'!BC$9)),MAX(MIN('Council Entry'!BC54,'Council Entry'!BC$9),'Council Entry'!BC$8),'Council Entry'!BC54))))-'Council Entry'!BC$5)/('Council Entry'!BC$6-'Council Entry'!BC$5)),1))),"No data"))</f>
        <v/>
      </c>
      <c r="BD54" s="13">
        <f>IF('Council Entry'!BD54="","",IFERROR(MAX(0,MIN(10,ROUND(IF('Council Entry'!BD$7="Decrease Risk",10-10*((IF('Council Entry'!BD$4="Logarithm",LN(0.001+IF(AND(ISNUMBER('Council Entry'!BD$8),ISNUMBER('Council Entry'!BD$9)),MAX(MIN('Council Entry'!BD54,'Council Entry'!BD$9),'Council Entry'!BD$8),'Council Entry'!BD54)),IF('Council Entry'!BD$4="Exponential",EXP(IF(AND(ISNUMBER('Council Entry'!BD$8),ISNUMBER('Council Entry'!BD$9)),MAX(MIN('Council Entry'!BD54,'Council Entry'!BD$9),'Council Entry'!BD$8),'Council Entry'!BD54)),IF(AND(ISNUMBER('Council Entry'!BD$8),ISNUMBER('Council Entry'!BD$9)),MAX(MIN('Council Entry'!BD54,'Council Entry'!BD$9),'Council Entry'!BD$8),'Council Entry'!BD54))))-'Council Entry'!BD$5)/('Council Entry'!BD$6-'Council Entry'!BD$5),10*((IF('Council Entry'!BD$4="Logarithm",LN(0.001+IF(AND(ISNUMBER('Council Entry'!BD$8),ISNUMBER('Council Entry'!BD$9)),MAX(MIN('Council Entry'!BD54,'Council Entry'!BD$9),'Council Entry'!BD$8),'Council Entry'!BD54)),IF('Council Entry'!BD$4="Exponential",EXP(IF(AND(ISNUMBER('Council Entry'!BD$8),ISNUMBER('Council Entry'!BD$9)),MAX(MIN('Council Entry'!BD54,'Council Entry'!BD$9),'Council Entry'!BD$8),'Council Entry'!BD54)),IF(AND(ISNUMBER('Council Entry'!BD$8),ISNUMBER('Council Entry'!BD$9)),MAX(MIN('Council Entry'!BD54,'Council Entry'!BD$9),'Council Entry'!BD$8),'Council Entry'!BD54))))-'Council Entry'!BD$5)/('Council Entry'!BD$6-'Council Entry'!BD$5)),1))),"No data"))</f>
        <v/>
      </c>
    </row>
    <row r="55">
      <c r="A55" t="inlineStr">
        <is>
          <t>Katavi</t>
        </is>
      </c>
      <c r="B55" t="inlineStr">
        <is>
          <t>Mpanda Municipal</t>
        </is>
      </c>
      <c r="C55" t="inlineStr">
        <is>
          <t>C163</t>
        </is>
      </c>
      <c r="D55" s="13">
        <f>IF('Council Entry'!D55="","",IFERROR(MAX(0,MIN(10,ROUND(IF('Council Entry'!D$7="Decrease Risk",10-10*((IF('Council Entry'!D$4="Logarithm",LN(0.001+IF(AND(ISNUMBER('Council Entry'!D$8),ISNUMBER('Council Entry'!D$9)),MAX(MIN('Council Entry'!D55,'Council Entry'!D$9),'Council Entry'!D$8),'Council Entry'!D55)),IF('Council Entry'!D$4="Exponential",EXP(IF(AND(ISNUMBER('Council Entry'!D$8),ISNUMBER('Council Entry'!D$9)),MAX(MIN('Council Entry'!D55,'Council Entry'!D$9),'Council Entry'!D$8),'Council Entry'!D55)),IF(AND(ISNUMBER('Council Entry'!D$8),ISNUMBER('Council Entry'!D$9)),MAX(MIN('Council Entry'!D55,'Council Entry'!D$9),'Council Entry'!D$8),'Council Entry'!D55))))-'Council Entry'!D$5)/('Council Entry'!D$6-'Council Entry'!D$5),10*((IF('Council Entry'!D$4="Logarithm",LN(0.001+IF(AND(ISNUMBER('Council Entry'!D$8),ISNUMBER('Council Entry'!D$9)),MAX(MIN('Council Entry'!D55,'Council Entry'!D$9),'Council Entry'!D$8),'Council Entry'!D55)),IF('Council Entry'!D$4="Exponential",EXP(IF(AND(ISNUMBER('Council Entry'!D$8),ISNUMBER('Council Entry'!D$9)),MAX(MIN('Council Entry'!D55,'Council Entry'!D$9),'Council Entry'!D$8),'Council Entry'!D55)),IF(AND(ISNUMBER('Council Entry'!D$8),ISNUMBER('Council Entry'!D$9)),MAX(MIN('Council Entry'!D55,'Council Entry'!D$9),'Council Entry'!D$8),'Council Entry'!D55))))-'Council Entry'!D$5)/('Council Entry'!D$6-'Council Entry'!D$5)),1))),"No data"))</f>
        <v/>
      </c>
      <c r="E55" s="13">
        <f>IF('Council Entry'!E55="","",IFERROR(MAX(0,MIN(10,ROUND(IF('Council Entry'!E$7="Decrease Risk",10-10*((IF('Council Entry'!E$4="Logarithm",LN(0.001+IF(AND(ISNUMBER('Council Entry'!E$8),ISNUMBER('Council Entry'!E$9)),MAX(MIN('Council Entry'!E55,'Council Entry'!E$9),'Council Entry'!E$8),'Council Entry'!E55)),IF('Council Entry'!E$4="Exponential",EXP(IF(AND(ISNUMBER('Council Entry'!E$8),ISNUMBER('Council Entry'!E$9)),MAX(MIN('Council Entry'!E55,'Council Entry'!E$9),'Council Entry'!E$8),'Council Entry'!E55)),IF(AND(ISNUMBER('Council Entry'!E$8),ISNUMBER('Council Entry'!E$9)),MAX(MIN('Council Entry'!E55,'Council Entry'!E$9),'Council Entry'!E$8),'Council Entry'!E55))))-'Council Entry'!E$5)/('Council Entry'!E$6-'Council Entry'!E$5),10*((IF('Council Entry'!E$4="Logarithm",LN(0.001+IF(AND(ISNUMBER('Council Entry'!E$8),ISNUMBER('Council Entry'!E$9)),MAX(MIN('Council Entry'!E55,'Council Entry'!E$9),'Council Entry'!E$8),'Council Entry'!E55)),IF('Council Entry'!E$4="Exponential",EXP(IF(AND(ISNUMBER('Council Entry'!E$8),ISNUMBER('Council Entry'!E$9)),MAX(MIN('Council Entry'!E55,'Council Entry'!E$9),'Council Entry'!E$8),'Council Entry'!E55)),IF(AND(ISNUMBER('Council Entry'!E$8),ISNUMBER('Council Entry'!E$9)),MAX(MIN('Council Entry'!E55,'Council Entry'!E$9),'Council Entry'!E$8),'Council Entry'!E55))))-'Council Entry'!E$5)/('Council Entry'!E$6-'Council Entry'!E$5)),1))),"No data"))</f>
        <v/>
      </c>
      <c r="F55" s="13">
        <f>IF('Council Entry'!F55="","",IFERROR(MAX(0,MIN(10,ROUND(IF('Council Entry'!F$7="Decrease Risk",10-10*((IF('Council Entry'!F$4="Logarithm",LN(0.001+IF(AND(ISNUMBER('Council Entry'!F$8),ISNUMBER('Council Entry'!F$9)),MAX(MIN('Council Entry'!F55,'Council Entry'!F$9),'Council Entry'!F$8),'Council Entry'!F55)),IF('Council Entry'!F$4="Exponential",EXP(IF(AND(ISNUMBER('Council Entry'!F$8),ISNUMBER('Council Entry'!F$9)),MAX(MIN('Council Entry'!F55,'Council Entry'!F$9),'Council Entry'!F$8),'Council Entry'!F55)),IF(AND(ISNUMBER('Council Entry'!F$8),ISNUMBER('Council Entry'!F$9)),MAX(MIN('Council Entry'!F55,'Council Entry'!F$9),'Council Entry'!F$8),'Council Entry'!F55))))-'Council Entry'!F$5)/('Council Entry'!F$6-'Council Entry'!F$5),10*((IF('Council Entry'!F$4="Logarithm",LN(0.001+IF(AND(ISNUMBER('Council Entry'!F$8),ISNUMBER('Council Entry'!F$9)),MAX(MIN('Council Entry'!F55,'Council Entry'!F$9),'Council Entry'!F$8),'Council Entry'!F55)),IF('Council Entry'!F$4="Exponential",EXP(IF(AND(ISNUMBER('Council Entry'!F$8),ISNUMBER('Council Entry'!F$9)),MAX(MIN('Council Entry'!F55,'Council Entry'!F$9),'Council Entry'!F$8),'Council Entry'!F55)),IF(AND(ISNUMBER('Council Entry'!F$8),ISNUMBER('Council Entry'!F$9)),MAX(MIN('Council Entry'!F55,'Council Entry'!F$9),'Council Entry'!F$8),'Council Entry'!F55))))-'Council Entry'!F$5)/('Council Entry'!F$6-'Council Entry'!F$5)),1))),"No data"))</f>
        <v/>
      </c>
      <c r="G55" s="13">
        <f>IF('Council Entry'!G55="","",IFERROR(MAX(0,MIN(10,ROUND(IF('Council Entry'!G$7="Decrease Risk",10-10*((IF('Council Entry'!G$4="Logarithm",LN(0.001+IF(AND(ISNUMBER('Council Entry'!G$8),ISNUMBER('Council Entry'!G$9)),MAX(MIN('Council Entry'!G55,'Council Entry'!G$9),'Council Entry'!G$8),'Council Entry'!G55)),IF('Council Entry'!G$4="Exponential",EXP(IF(AND(ISNUMBER('Council Entry'!G$8),ISNUMBER('Council Entry'!G$9)),MAX(MIN('Council Entry'!G55,'Council Entry'!G$9),'Council Entry'!G$8),'Council Entry'!G55)),IF(AND(ISNUMBER('Council Entry'!G$8),ISNUMBER('Council Entry'!G$9)),MAX(MIN('Council Entry'!G55,'Council Entry'!G$9),'Council Entry'!G$8),'Council Entry'!G55))))-'Council Entry'!G$5)/('Council Entry'!G$6-'Council Entry'!G$5),10*((IF('Council Entry'!G$4="Logarithm",LN(0.001+IF(AND(ISNUMBER('Council Entry'!G$8),ISNUMBER('Council Entry'!G$9)),MAX(MIN('Council Entry'!G55,'Council Entry'!G$9),'Council Entry'!G$8),'Council Entry'!G55)),IF('Council Entry'!G$4="Exponential",EXP(IF(AND(ISNUMBER('Council Entry'!G$8),ISNUMBER('Council Entry'!G$9)),MAX(MIN('Council Entry'!G55,'Council Entry'!G$9),'Council Entry'!G$8),'Council Entry'!G55)),IF(AND(ISNUMBER('Council Entry'!G$8),ISNUMBER('Council Entry'!G$9)),MAX(MIN('Council Entry'!G55,'Council Entry'!G$9),'Council Entry'!G$8),'Council Entry'!G55))))-'Council Entry'!G$5)/('Council Entry'!G$6-'Council Entry'!G$5)),1))),"No data"))</f>
        <v/>
      </c>
      <c r="H55" s="13">
        <f>IF('Council Entry'!H55="","",IFERROR(MAX(0,MIN(10,ROUND(IF('Council Entry'!H$7="Decrease Risk",10-10*((IF('Council Entry'!H$4="Logarithm",LN(0.001+IF(AND(ISNUMBER('Council Entry'!H$8),ISNUMBER('Council Entry'!H$9)),MAX(MIN('Council Entry'!H55,'Council Entry'!H$9),'Council Entry'!H$8),'Council Entry'!H55)),IF('Council Entry'!H$4="Exponential",EXP(IF(AND(ISNUMBER('Council Entry'!H$8),ISNUMBER('Council Entry'!H$9)),MAX(MIN('Council Entry'!H55,'Council Entry'!H$9),'Council Entry'!H$8),'Council Entry'!H55)),IF(AND(ISNUMBER('Council Entry'!H$8),ISNUMBER('Council Entry'!H$9)),MAX(MIN('Council Entry'!H55,'Council Entry'!H$9),'Council Entry'!H$8),'Council Entry'!H55))))-'Council Entry'!H$5)/('Council Entry'!H$6-'Council Entry'!H$5),10*((IF('Council Entry'!H$4="Logarithm",LN(0.001+IF(AND(ISNUMBER('Council Entry'!H$8),ISNUMBER('Council Entry'!H$9)),MAX(MIN('Council Entry'!H55,'Council Entry'!H$9),'Council Entry'!H$8),'Council Entry'!H55)),IF('Council Entry'!H$4="Exponential",EXP(IF(AND(ISNUMBER('Council Entry'!H$8),ISNUMBER('Council Entry'!H$9)),MAX(MIN('Council Entry'!H55,'Council Entry'!H$9),'Council Entry'!H$8),'Council Entry'!H55)),IF(AND(ISNUMBER('Council Entry'!H$8),ISNUMBER('Council Entry'!H$9)),MAX(MIN('Council Entry'!H55,'Council Entry'!H$9),'Council Entry'!H$8),'Council Entry'!H55))))-'Council Entry'!H$5)/('Council Entry'!H$6-'Council Entry'!H$5)),1))),"No data"))</f>
        <v/>
      </c>
      <c r="I55" s="13">
        <f>IF('Council Entry'!I55="","",IFERROR(MAX(0,MIN(10,ROUND(IF('Council Entry'!I$7="Decrease Risk",10-10*((IF('Council Entry'!I$4="Logarithm",LN(0.001+IF(AND(ISNUMBER('Council Entry'!I$8),ISNUMBER('Council Entry'!I$9)),MAX(MIN('Council Entry'!I55,'Council Entry'!I$9),'Council Entry'!I$8),'Council Entry'!I55)),IF('Council Entry'!I$4="Exponential",EXP(IF(AND(ISNUMBER('Council Entry'!I$8),ISNUMBER('Council Entry'!I$9)),MAX(MIN('Council Entry'!I55,'Council Entry'!I$9),'Council Entry'!I$8),'Council Entry'!I55)),IF(AND(ISNUMBER('Council Entry'!I$8),ISNUMBER('Council Entry'!I$9)),MAX(MIN('Council Entry'!I55,'Council Entry'!I$9),'Council Entry'!I$8),'Council Entry'!I55))))-'Council Entry'!I$5)/('Council Entry'!I$6-'Council Entry'!I$5),10*((IF('Council Entry'!I$4="Logarithm",LN(0.001+IF(AND(ISNUMBER('Council Entry'!I$8),ISNUMBER('Council Entry'!I$9)),MAX(MIN('Council Entry'!I55,'Council Entry'!I$9),'Council Entry'!I$8),'Council Entry'!I55)),IF('Council Entry'!I$4="Exponential",EXP(IF(AND(ISNUMBER('Council Entry'!I$8),ISNUMBER('Council Entry'!I$9)),MAX(MIN('Council Entry'!I55,'Council Entry'!I$9),'Council Entry'!I$8),'Council Entry'!I55)),IF(AND(ISNUMBER('Council Entry'!I$8),ISNUMBER('Council Entry'!I$9)),MAX(MIN('Council Entry'!I55,'Council Entry'!I$9),'Council Entry'!I$8),'Council Entry'!I55))))-'Council Entry'!I$5)/('Council Entry'!I$6-'Council Entry'!I$5)),1))),"No data"))</f>
        <v/>
      </c>
      <c r="J55" s="13">
        <f>IF('Council Entry'!J55="","",IFERROR(MAX(0,MIN(10,ROUND(IF('Council Entry'!J$7="Decrease Risk",10-10*((IF('Council Entry'!J$4="Logarithm",LN(0.001+IF(AND(ISNUMBER('Council Entry'!J$8),ISNUMBER('Council Entry'!J$9)),MAX(MIN('Council Entry'!J55,'Council Entry'!J$9),'Council Entry'!J$8),'Council Entry'!J55)),IF('Council Entry'!J$4="Exponential",EXP(IF(AND(ISNUMBER('Council Entry'!J$8),ISNUMBER('Council Entry'!J$9)),MAX(MIN('Council Entry'!J55,'Council Entry'!J$9),'Council Entry'!J$8),'Council Entry'!J55)),IF(AND(ISNUMBER('Council Entry'!J$8),ISNUMBER('Council Entry'!J$9)),MAX(MIN('Council Entry'!J55,'Council Entry'!J$9),'Council Entry'!J$8),'Council Entry'!J55))))-'Council Entry'!J$5)/('Council Entry'!J$6-'Council Entry'!J$5),10*((IF('Council Entry'!J$4="Logarithm",LN(0.001+IF(AND(ISNUMBER('Council Entry'!J$8),ISNUMBER('Council Entry'!J$9)),MAX(MIN('Council Entry'!J55,'Council Entry'!J$9),'Council Entry'!J$8),'Council Entry'!J55)),IF('Council Entry'!J$4="Exponential",EXP(IF(AND(ISNUMBER('Council Entry'!J$8),ISNUMBER('Council Entry'!J$9)),MAX(MIN('Council Entry'!J55,'Council Entry'!J$9),'Council Entry'!J$8),'Council Entry'!J55)),IF(AND(ISNUMBER('Council Entry'!J$8),ISNUMBER('Council Entry'!J$9)),MAX(MIN('Council Entry'!J55,'Council Entry'!J$9),'Council Entry'!J$8),'Council Entry'!J55))))-'Council Entry'!J$5)/('Council Entry'!J$6-'Council Entry'!J$5)),1))),"No data"))</f>
        <v/>
      </c>
      <c r="K55" s="13">
        <f>IF('Council Entry'!K55="","",IFERROR(MAX(0,MIN(10,ROUND(IF('Council Entry'!K$7="Decrease Risk",10-10*((IF('Council Entry'!K$4="Logarithm",LN(0.001+IF(AND(ISNUMBER('Council Entry'!K$8),ISNUMBER('Council Entry'!K$9)),MAX(MIN('Council Entry'!K55,'Council Entry'!K$9),'Council Entry'!K$8),'Council Entry'!K55)),IF('Council Entry'!K$4="Exponential",EXP(IF(AND(ISNUMBER('Council Entry'!K$8),ISNUMBER('Council Entry'!K$9)),MAX(MIN('Council Entry'!K55,'Council Entry'!K$9),'Council Entry'!K$8),'Council Entry'!K55)),IF(AND(ISNUMBER('Council Entry'!K$8),ISNUMBER('Council Entry'!K$9)),MAX(MIN('Council Entry'!K55,'Council Entry'!K$9),'Council Entry'!K$8),'Council Entry'!K55))))-'Council Entry'!K$5)/('Council Entry'!K$6-'Council Entry'!K$5),10*((IF('Council Entry'!K$4="Logarithm",LN(0.001+IF(AND(ISNUMBER('Council Entry'!K$8),ISNUMBER('Council Entry'!K$9)),MAX(MIN('Council Entry'!K55,'Council Entry'!K$9),'Council Entry'!K$8),'Council Entry'!K55)),IF('Council Entry'!K$4="Exponential",EXP(IF(AND(ISNUMBER('Council Entry'!K$8),ISNUMBER('Council Entry'!K$9)),MAX(MIN('Council Entry'!K55,'Council Entry'!K$9),'Council Entry'!K$8),'Council Entry'!K55)),IF(AND(ISNUMBER('Council Entry'!K$8),ISNUMBER('Council Entry'!K$9)),MAX(MIN('Council Entry'!K55,'Council Entry'!K$9),'Council Entry'!K$8),'Council Entry'!K55))))-'Council Entry'!K$5)/('Council Entry'!K$6-'Council Entry'!K$5)),1))),"No data"))</f>
        <v/>
      </c>
      <c r="L55" s="13">
        <f>IF('Council Entry'!L55="","",IFERROR(MAX(0,MIN(10,ROUND(IF('Council Entry'!L$7="Decrease Risk",10-10*((IF('Council Entry'!L$4="Logarithm",LN(0.001+IF(AND(ISNUMBER('Council Entry'!L$8),ISNUMBER('Council Entry'!L$9)),MAX(MIN('Council Entry'!L55,'Council Entry'!L$9),'Council Entry'!L$8),'Council Entry'!L55)),IF('Council Entry'!L$4="Exponential",EXP(IF(AND(ISNUMBER('Council Entry'!L$8),ISNUMBER('Council Entry'!L$9)),MAX(MIN('Council Entry'!L55,'Council Entry'!L$9),'Council Entry'!L$8),'Council Entry'!L55)),IF(AND(ISNUMBER('Council Entry'!L$8),ISNUMBER('Council Entry'!L$9)),MAX(MIN('Council Entry'!L55,'Council Entry'!L$9),'Council Entry'!L$8),'Council Entry'!L55))))-'Council Entry'!L$5)/('Council Entry'!L$6-'Council Entry'!L$5),10*((IF('Council Entry'!L$4="Logarithm",LN(0.001+IF(AND(ISNUMBER('Council Entry'!L$8),ISNUMBER('Council Entry'!L$9)),MAX(MIN('Council Entry'!L55,'Council Entry'!L$9),'Council Entry'!L$8),'Council Entry'!L55)),IF('Council Entry'!L$4="Exponential",EXP(IF(AND(ISNUMBER('Council Entry'!L$8),ISNUMBER('Council Entry'!L$9)),MAX(MIN('Council Entry'!L55,'Council Entry'!L$9),'Council Entry'!L$8),'Council Entry'!L55)),IF(AND(ISNUMBER('Council Entry'!L$8),ISNUMBER('Council Entry'!L$9)),MAX(MIN('Council Entry'!L55,'Council Entry'!L$9),'Council Entry'!L$8),'Council Entry'!L55))))-'Council Entry'!L$5)/('Council Entry'!L$6-'Council Entry'!L$5)),1))),"No data"))</f>
        <v/>
      </c>
      <c r="M55" s="13">
        <f>IF('Council Entry'!M55="","",IFERROR(MAX(0,MIN(10,ROUND(IF('Council Entry'!M$7="Decrease Risk",10-10*((IF('Council Entry'!M$4="Logarithm",LN(0.001+IF(AND(ISNUMBER('Council Entry'!M$8),ISNUMBER('Council Entry'!M$9)),MAX(MIN('Council Entry'!M55,'Council Entry'!M$9),'Council Entry'!M$8),'Council Entry'!M55)),IF('Council Entry'!M$4="Exponential",EXP(IF(AND(ISNUMBER('Council Entry'!M$8),ISNUMBER('Council Entry'!M$9)),MAX(MIN('Council Entry'!M55,'Council Entry'!M$9),'Council Entry'!M$8),'Council Entry'!M55)),IF(AND(ISNUMBER('Council Entry'!M$8),ISNUMBER('Council Entry'!M$9)),MAX(MIN('Council Entry'!M55,'Council Entry'!M$9),'Council Entry'!M$8),'Council Entry'!M55))))-'Council Entry'!M$5)/('Council Entry'!M$6-'Council Entry'!M$5),10*((IF('Council Entry'!M$4="Logarithm",LN(0.001+IF(AND(ISNUMBER('Council Entry'!M$8),ISNUMBER('Council Entry'!M$9)),MAX(MIN('Council Entry'!M55,'Council Entry'!M$9),'Council Entry'!M$8),'Council Entry'!M55)),IF('Council Entry'!M$4="Exponential",EXP(IF(AND(ISNUMBER('Council Entry'!M$8),ISNUMBER('Council Entry'!M$9)),MAX(MIN('Council Entry'!M55,'Council Entry'!M$9),'Council Entry'!M$8),'Council Entry'!M55)),IF(AND(ISNUMBER('Council Entry'!M$8),ISNUMBER('Council Entry'!M$9)),MAX(MIN('Council Entry'!M55,'Council Entry'!M$9),'Council Entry'!M$8),'Council Entry'!M55))))-'Council Entry'!M$5)/('Council Entry'!M$6-'Council Entry'!M$5)),1))),"No data"))</f>
        <v/>
      </c>
      <c r="N55" s="13">
        <f>IF('Council Entry'!N55="","",IFERROR(MAX(0,MIN(10,ROUND(IF('Council Entry'!N$7="Decrease Risk",10-10*((IF('Council Entry'!N$4="Logarithm",LN(0.001+IF(AND(ISNUMBER('Council Entry'!N$8),ISNUMBER('Council Entry'!N$9)),MAX(MIN('Council Entry'!N55,'Council Entry'!N$9),'Council Entry'!N$8),'Council Entry'!N55)),IF('Council Entry'!N$4="Exponential",EXP(IF(AND(ISNUMBER('Council Entry'!N$8),ISNUMBER('Council Entry'!N$9)),MAX(MIN('Council Entry'!N55,'Council Entry'!N$9),'Council Entry'!N$8),'Council Entry'!N55)),IF(AND(ISNUMBER('Council Entry'!N$8),ISNUMBER('Council Entry'!N$9)),MAX(MIN('Council Entry'!N55,'Council Entry'!N$9),'Council Entry'!N$8),'Council Entry'!N55))))-'Council Entry'!N$5)/('Council Entry'!N$6-'Council Entry'!N$5),10*((IF('Council Entry'!N$4="Logarithm",LN(0.001+IF(AND(ISNUMBER('Council Entry'!N$8),ISNUMBER('Council Entry'!N$9)),MAX(MIN('Council Entry'!N55,'Council Entry'!N$9),'Council Entry'!N$8),'Council Entry'!N55)),IF('Council Entry'!N$4="Exponential",EXP(IF(AND(ISNUMBER('Council Entry'!N$8),ISNUMBER('Council Entry'!N$9)),MAX(MIN('Council Entry'!N55,'Council Entry'!N$9),'Council Entry'!N$8),'Council Entry'!N55)),IF(AND(ISNUMBER('Council Entry'!N$8),ISNUMBER('Council Entry'!N$9)),MAX(MIN('Council Entry'!N55,'Council Entry'!N$9),'Council Entry'!N$8),'Council Entry'!N55))))-'Council Entry'!N$5)/('Council Entry'!N$6-'Council Entry'!N$5)),1))),"No data"))</f>
        <v/>
      </c>
      <c r="O55" s="13">
        <f>IF('Council Entry'!O55="","",IFERROR(MAX(0,MIN(10,ROUND(IF('Council Entry'!O$7="Decrease Risk",10-10*((IF('Council Entry'!O$4="Logarithm",LN(0.001+IF(AND(ISNUMBER('Council Entry'!O$8),ISNUMBER('Council Entry'!O$9)),MAX(MIN('Council Entry'!O55,'Council Entry'!O$9),'Council Entry'!O$8),'Council Entry'!O55)),IF('Council Entry'!O$4="Exponential",EXP(IF(AND(ISNUMBER('Council Entry'!O$8),ISNUMBER('Council Entry'!O$9)),MAX(MIN('Council Entry'!O55,'Council Entry'!O$9),'Council Entry'!O$8),'Council Entry'!O55)),IF(AND(ISNUMBER('Council Entry'!O$8),ISNUMBER('Council Entry'!O$9)),MAX(MIN('Council Entry'!O55,'Council Entry'!O$9),'Council Entry'!O$8),'Council Entry'!O55))))-'Council Entry'!O$5)/('Council Entry'!O$6-'Council Entry'!O$5),10*((IF('Council Entry'!O$4="Logarithm",LN(0.001+IF(AND(ISNUMBER('Council Entry'!O$8),ISNUMBER('Council Entry'!O$9)),MAX(MIN('Council Entry'!O55,'Council Entry'!O$9),'Council Entry'!O$8),'Council Entry'!O55)),IF('Council Entry'!O$4="Exponential",EXP(IF(AND(ISNUMBER('Council Entry'!O$8),ISNUMBER('Council Entry'!O$9)),MAX(MIN('Council Entry'!O55,'Council Entry'!O$9),'Council Entry'!O$8),'Council Entry'!O55)),IF(AND(ISNUMBER('Council Entry'!O$8),ISNUMBER('Council Entry'!O$9)),MAX(MIN('Council Entry'!O55,'Council Entry'!O$9),'Council Entry'!O$8),'Council Entry'!O55))))-'Council Entry'!O$5)/('Council Entry'!O$6-'Council Entry'!O$5)),1))),"No data"))</f>
        <v/>
      </c>
      <c r="P55" s="13">
        <f>IF('Council Entry'!P55="","",IFERROR(MAX(0,MIN(10,ROUND(IF('Council Entry'!P$7="Decrease Risk",10-10*((IF('Council Entry'!P$4="Logarithm",LN(0.001+IF(AND(ISNUMBER('Council Entry'!P$8),ISNUMBER('Council Entry'!P$9)),MAX(MIN('Council Entry'!P55,'Council Entry'!P$9),'Council Entry'!P$8),'Council Entry'!P55)),IF('Council Entry'!P$4="Exponential",EXP(IF(AND(ISNUMBER('Council Entry'!P$8),ISNUMBER('Council Entry'!P$9)),MAX(MIN('Council Entry'!P55,'Council Entry'!P$9),'Council Entry'!P$8),'Council Entry'!P55)),IF(AND(ISNUMBER('Council Entry'!P$8),ISNUMBER('Council Entry'!P$9)),MAX(MIN('Council Entry'!P55,'Council Entry'!P$9),'Council Entry'!P$8),'Council Entry'!P55))))-'Council Entry'!P$5)/('Council Entry'!P$6-'Council Entry'!P$5),10*((IF('Council Entry'!P$4="Logarithm",LN(0.001+IF(AND(ISNUMBER('Council Entry'!P$8),ISNUMBER('Council Entry'!P$9)),MAX(MIN('Council Entry'!P55,'Council Entry'!P$9),'Council Entry'!P$8),'Council Entry'!P55)),IF('Council Entry'!P$4="Exponential",EXP(IF(AND(ISNUMBER('Council Entry'!P$8),ISNUMBER('Council Entry'!P$9)),MAX(MIN('Council Entry'!P55,'Council Entry'!P$9),'Council Entry'!P$8),'Council Entry'!P55)),IF(AND(ISNUMBER('Council Entry'!P$8),ISNUMBER('Council Entry'!P$9)),MAX(MIN('Council Entry'!P55,'Council Entry'!P$9),'Council Entry'!P$8),'Council Entry'!P55))))-'Council Entry'!P$5)/('Council Entry'!P$6-'Council Entry'!P$5)),1))),"No data"))</f>
        <v/>
      </c>
      <c r="Q55" s="13">
        <f>IF('Council Entry'!Q55="","",IFERROR(MAX(0,MIN(10,ROUND(IF('Council Entry'!Q$7="Decrease Risk",10-10*((IF('Council Entry'!Q$4="Logarithm",LN(0.001+IF(AND(ISNUMBER('Council Entry'!Q$8),ISNUMBER('Council Entry'!Q$9)),MAX(MIN('Council Entry'!Q55,'Council Entry'!Q$9),'Council Entry'!Q$8),'Council Entry'!Q55)),IF('Council Entry'!Q$4="Exponential",EXP(IF(AND(ISNUMBER('Council Entry'!Q$8),ISNUMBER('Council Entry'!Q$9)),MAX(MIN('Council Entry'!Q55,'Council Entry'!Q$9),'Council Entry'!Q$8),'Council Entry'!Q55)),IF(AND(ISNUMBER('Council Entry'!Q$8),ISNUMBER('Council Entry'!Q$9)),MAX(MIN('Council Entry'!Q55,'Council Entry'!Q$9),'Council Entry'!Q$8),'Council Entry'!Q55))))-'Council Entry'!Q$5)/('Council Entry'!Q$6-'Council Entry'!Q$5),10*((IF('Council Entry'!Q$4="Logarithm",LN(0.001+IF(AND(ISNUMBER('Council Entry'!Q$8),ISNUMBER('Council Entry'!Q$9)),MAX(MIN('Council Entry'!Q55,'Council Entry'!Q$9),'Council Entry'!Q$8),'Council Entry'!Q55)),IF('Council Entry'!Q$4="Exponential",EXP(IF(AND(ISNUMBER('Council Entry'!Q$8),ISNUMBER('Council Entry'!Q$9)),MAX(MIN('Council Entry'!Q55,'Council Entry'!Q$9),'Council Entry'!Q$8),'Council Entry'!Q55)),IF(AND(ISNUMBER('Council Entry'!Q$8),ISNUMBER('Council Entry'!Q$9)),MAX(MIN('Council Entry'!Q55,'Council Entry'!Q$9),'Council Entry'!Q$8),'Council Entry'!Q55))))-'Council Entry'!Q$5)/('Council Entry'!Q$6-'Council Entry'!Q$5)),1))),"No data"))</f>
        <v/>
      </c>
      <c r="R55" s="13">
        <f>IF('Council Entry'!R55="","",IFERROR(MAX(0,MIN(10,ROUND(IF('Council Entry'!R$7="Decrease Risk",10-10*((IF('Council Entry'!R$4="Logarithm",LN(0.001+IF(AND(ISNUMBER('Council Entry'!R$8),ISNUMBER('Council Entry'!R$9)),MAX(MIN('Council Entry'!R55,'Council Entry'!R$9),'Council Entry'!R$8),'Council Entry'!R55)),IF('Council Entry'!R$4="Exponential",EXP(IF(AND(ISNUMBER('Council Entry'!R$8),ISNUMBER('Council Entry'!R$9)),MAX(MIN('Council Entry'!R55,'Council Entry'!R$9),'Council Entry'!R$8),'Council Entry'!R55)),IF(AND(ISNUMBER('Council Entry'!R$8),ISNUMBER('Council Entry'!R$9)),MAX(MIN('Council Entry'!R55,'Council Entry'!R$9),'Council Entry'!R$8),'Council Entry'!R55))))-'Council Entry'!R$5)/('Council Entry'!R$6-'Council Entry'!R$5),10*((IF('Council Entry'!R$4="Logarithm",LN(0.001+IF(AND(ISNUMBER('Council Entry'!R$8),ISNUMBER('Council Entry'!R$9)),MAX(MIN('Council Entry'!R55,'Council Entry'!R$9),'Council Entry'!R$8),'Council Entry'!R55)),IF('Council Entry'!R$4="Exponential",EXP(IF(AND(ISNUMBER('Council Entry'!R$8),ISNUMBER('Council Entry'!R$9)),MAX(MIN('Council Entry'!R55,'Council Entry'!R$9),'Council Entry'!R$8),'Council Entry'!R55)),IF(AND(ISNUMBER('Council Entry'!R$8),ISNUMBER('Council Entry'!R$9)),MAX(MIN('Council Entry'!R55,'Council Entry'!R$9),'Council Entry'!R$8),'Council Entry'!R55))))-'Council Entry'!R$5)/('Council Entry'!R$6-'Council Entry'!R$5)),1))),"No data"))</f>
        <v/>
      </c>
      <c r="S55" s="13">
        <f>IF('Council Entry'!S55="","",IFERROR(MAX(0,MIN(10,ROUND(IF('Council Entry'!S$7="Decrease Risk",10-10*((IF('Council Entry'!S$4="Logarithm",LN(0.001+IF(AND(ISNUMBER('Council Entry'!S$8),ISNUMBER('Council Entry'!S$9)),MAX(MIN('Council Entry'!S55,'Council Entry'!S$9),'Council Entry'!S$8),'Council Entry'!S55)),IF('Council Entry'!S$4="Exponential",EXP(IF(AND(ISNUMBER('Council Entry'!S$8),ISNUMBER('Council Entry'!S$9)),MAX(MIN('Council Entry'!S55,'Council Entry'!S$9),'Council Entry'!S$8),'Council Entry'!S55)),IF(AND(ISNUMBER('Council Entry'!S$8),ISNUMBER('Council Entry'!S$9)),MAX(MIN('Council Entry'!S55,'Council Entry'!S$9),'Council Entry'!S$8),'Council Entry'!S55))))-'Council Entry'!S$5)/('Council Entry'!S$6-'Council Entry'!S$5),10*((IF('Council Entry'!S$4="Logarithm",LN(0.001+IF(AND(ISNUMBER('Council Entry'!S$8),ISNUMBER('Council Entry'!S$9)),MAX(MIN('Council Entry'!S55,'Council Entry'!S$9),'Council Entry'!S$8),'Council Entry'!S55)),IF('Council Entry'!S$4="Exponential",EXP(IF(AND(ISNUMBER('Council Entry'!S$8),ISNUMBER('Council Entry'!S$9)),MAX(MIN('Council Entry'!S55,'Council Entry'!S$9),'Council Entry'!S$8),'Council Entry'!S55)),IF(AND(ISNUMBER('Council Entry'!S$8),ISNUMBER('Council Entry'!S$9)),MAX(MIN('Council Entry'!S55,'Council Entry'!S$9),'Council Entry'!S$8),'Council Entry'!S55))))-'Council Entry'!S$5)/('Council Entry'!S$6-'Council Entry'!S$5)),1))),"No data"))</f>
        <v/>
      </c>
      <c r="T55" s="13">
        <f>IF('Council Entry'!T55="","",IFERROR(MAX(0,MIN(10,ROUND(IF('Council Entry'!T$7="Decrease Risk",10-10*((IF('Council Entry'!T$4="Logarithm",LN(0.001+IF(AND(ISNUMBER('Council Entry'!T$8),ISNUMBER('Council Entry'!T$9)),MAX(MIN('Council Entry'!T55,'Council Entry'!T$9),'Council Entry'!T$8),'Council Entry'!T55)),IF('Council Entry'!T$4="Exponential",EXP(IF(AND(ISNUMBER('Council Entry'!T$8),ISNUMBER('Council Entry'!T$9)),MAX(MIN('Council Entry'!T55,'Council Entry'!T$9),'Council Entry'!T$8),'Council Entry'!T55)),IF(AND(ISNUMBER('Council Entry'!T$8),ISNUMBER('Council Entry'!T$9)),MAX(MIN('Council Entry'!T55,'Council Entry'!T$9),'Council Entry'!T$8),'Council Entry'!T55))))-'Council Entry'!T$5)/('Council Entry'!T$6-'Council Entry'!T$5),10*((IF('Council Entry'!T$4="Logarithm",LN(0.001+IF(AND(ISNUMBER('Council Entry'!T$8),ISNUMBER('Council Entry'!T$9)),MAX(MIN('Council Entry'!T55,'Council Entry'!T$9),'Council Entry'!T$8),'Council Entry'!T55)),IF('Council Entry'!T$4="Exponential",EXP(IF(AND(ISNUMBER('Council Entry'!T$8),ISNUMBER('Council Entry'!T$9)),MAX(MIN('Council Entry'!T55,'Council Entry'!T$9),'Council Entry'!T$8),'Council Entry'!T55)),IF(AND(ISNUMBER('Council Entry'!T$8),ISNUMBER('Council Entry'!T$9)),MAX(MIN('Council Entry'!T55,'Council Entry'!T$9),'Council Entry'!T$8),'Council Entry'!T55))))-'Council Entry'!T$5)/('Council Entry'!T$6-'Council Entry'!T$5)),1))),"No data"))</f>
        <v/>
      </c>
      <c r="U55" s="13">
        <f>IF('Council Entry'!U55="","",IFERROR(MAX(0,MIN(10,ROUND(IF('Council Entry'!U$7="Decrease Risk",10-10*((IF('Council Entry'!U$4="Logarithm",LN(0.001+IF(AND(ISNUMBER('Council Entry'!U$8),ISNUMBER('Council Entry'!U$9)),MAX(MIN('Council Entry'!U55,'Council Entry'!U$9),'Council Entry'!U$8),'Council Entry'!U55)),IF('Council Entry'!U$4="Exponential",EXP(IF(AND(ISNUMBER('Council Entry'!U$8),ISNUMBER('Council Entry'!U$9)),MAX(MIN('Council Entry'!U55,'Council Entry'!U$9),'Council Entry'!U$8),'Council Entry'!U55)),IF(AND(ISNUMBER('Council Entry'!U$8),ISNUMBER('Council Entry'!U$9)),MAX(MIN('Council Entry'!U55,'Council Entry'!U$9),'Council Entry'!U$8),'Council Entry'!U55))))-'Council Entry'!U$5)/('Council Entry'!U$6-'Council Entry'!U$5),10*((IF('Council Entry'!U$4="Logarithm",LN(0.001+IF(AND(ISNUMBER('Council Entry'!U$8),ISNUMBER('Council Entry'!U$9)),MAX(MIN('Council Entry'!U55,'Council Entry'!U$9),'Council Entry'!U$8),'Council Entry'!U55)),IF('Council Entry'!U$4="Exponential",EXP(IF(AND(ISNUMBER('Council Entry'!U$8),ISNUMBER('Council Entry'!U$9)),MAX(MIN('Council Entry'!U55,'Council Entry'!U$9),'Council Entry'!U$8),'Council Entry'!U55)),IF(AND(ISNUMBER('Council Entry'!U$8),ISNUMBER('Council Entry'!U$9)),MAX(MIN('Council Entry'!U55,'Council Entry'!U$9),'Council Entry'!U$8),'Council Entry'!U55))))-'Council Entry'!U$5)/('Council Entry'!U$6-'Council Entry'!U$5)),1))),"No data"))</f>
        <v/>
      </c>
      <c r="V55" s="13">
        <f>IF('Council Entry'!V55="","",IFERROR(MAX(0,MIN(10,ROUND(IF('Council Entry'!V$7="Decrease Risk",10-10*((IF('Council Entry'!V$4="Logarithm",LN(0.001+IF(AND(ISNUMBER('Council Entry'!V$8),ISNUMBER('Council Entry'!V$9)),MAX(MIN('Council Entry'!V55,'Council Entry'!V$9),'Council Entry'!V$8),'Council Entry'!V55)),IF('Council Entry'!V$4="Exponential",EXP(IF(AND(ISNUMBER('Council Entry'!V$8),ISNUMBER('Council Entry'!V$9)),MAX(MIN('Council Entry'!V55,'Council Entry'!V$9),'Council Entry'!V$8),'Council Entry'!V55)),IF(AND(ISNUMBER('Council Entry'!V$8),ISNUMBER('Council Entry'!V$9)),MAX(MIN('Council Entry'!V55,'Council Entry'!V$9),'Council Entry'!V$8),'Council Entry'!V55))))-'Council Entry'!V$5)/('Council Entry'!V$6-'Council Entry'!V$5),10*((IF('Council Entry'!V$4="Logarithm",LN(0.001+IF(AND(ISNUMBER('Council Entry'!V$8),ISNUMBER('Council Entry'!V$9)),MAX(MIN('Council Entry'!V55,'Council Entry'!V$9),'Council Entry'!V$8),'Council Entry'!V55)),IF('Council Entry'!V$4="Exponential",EXP(IF(AND(ISNUMBER('Council Entry'!V$8),ISNUMBER('Council Entry'!V$9)),MAX(MIN('Council Entry'!V55,'Council Entry'!V$9),'Council Entry'!V$8),'Council Entry'!V55)),IF(AND(ISNUMBER('Council Entry'!V$8),ISNUMBER('Council Entry'!V$9)),MAX(MIN('Council Entry'!V55,'Council Entry'!V$9),'Council Entry'!V$8),'Council Entry'!V55))))-'Council Entry'!V$5)/('Council Entry'!V$6-'Council Entry'!V$5)),1))),"No data"))</f>
        <v/>
      </c>
      <c r="W55" s="13">
        <f>IF('Council Entry'!W55="","",IFERROR(MAX(0,MIN(10,ROUND(IF('Council Entry'!W$7="Decrease Risk",10-10*((IF('Council Entry'!W$4="Logarithm",LN(0.001+IF(AND(ISNUMBER('Council Entry'!W$8),ISNUMBER('Council Entry'!W$9)),MAX(MIN('Council Entry'!W55,'Council Entry'!W$9),'Council Entry'!W$8),'Council Entry'!W55)),IF('Council Entry'!W$4="Exponential",EXP(IF(AND(ISNUMBER('Council Entry'!W$8),ISNUMBER('Council Entry'!W$9)),MAX(MIN('Council Entry'!W55,'Council Entry'!W$9),'Council Entry'!W$8),'Council Entry'!W55)),IF(AND(ISNUMBER('Council Entry'!W$8),ISNUMBER('Council Entry'!W$9)),MAX(MIN('Council Entry'!W55,'Council Entry'!W$9),'Council Entry'!W$8),'Council Entry'!W55))))-'Council Entry'!W$5)/('Council Entry'!W$6-'Council Entry'!W$5),10*((IF('Council Entry'!W$4="Logarithm",LN(0.001+IF(AND(ISNUMBER('Council Entry'!W$8),ISNUMBER('Council Entry'!W$9)),MAX(MIN('Council Entry'!W55,'Council Entry'!W$9),'Council Entry'!W$8),'Council Entry'!W55)),IF('Council Entry'!W$4="Exponential",EXP(IF(AND(ISNUMBER('Council Entry'!W$8),ISNUMBER('Council Entry'!W$9)),MAX(MIN('Council Entry'!W55,'Council Entry'!W$9),'Council Entry'!W$8),'Council Entry'!W55)),IF(AND(ISNUMBER('Council Entry'!W$8),ISNUMBER('Council Entry'!W$9)),MAX(MIN('Council Entry'!W55,'Council Entry'!W$9),'Council Entry'!W$8),'Council Entry'!W55))))-'Council Entry'!W$5)/('Council Entry'!W$6-'Council Entry'!W$5)),1))),"No data"))</f>
        <v/>
      </c>
      <c r="X55" s="13">
        <f>IF('Council Entry'!X55="","",IFERROR(MAX(0,MIN(10,ROUND(IF('Council Entry'!X$7="Decrease Risk",10-10*((IF('Council Entry'!X$4="Logarithm",LN(0.001+IF(AND(ISNUMBER('Council Entry'!X$8),ISNUMBER('Council Entry'!X$9)),MAX(MIN('Council Entry'!X55,'Council Entry'!X$9),'Council Entry'!X$8),'Council Entry'!X55)),IF('Council Entry'!X$4="Exponential",EXP(IF(AND(ISNUMBER('Council Entry'!X$8),ISNUMBER('Council Entry'!X$9)),MAX(MIN('Council Entry'!X55,'Council Entry'!X$9),'Council Entry'!X$8),'Council Entry'!X55)),IF(AND(ISNUMBER('Council Entry'!X$8),ISNUMBER('Council Entry'!X$9)),MAX(MIN('Council Entry'!X55,'Council Entry'!X$9),'Council Entry'!X$8),'Council Entry'!X55))))-'Council Entry'!X$5)/('Council Entry'!X$6-'Council Entry'!X$5),10*((IF('Council Entry'!X$4="Logarithm",LN(0.001+IF(AND(ISNUMBER('Council Entry'!X$8),ISNUMBER('Council Entry'!X$9)),MAX(MIN('Council Entry'!X55,'Council Entry'!X$9),'Council Entry'!X$8),'Council Entry'!X55)),IF('Council Entry'!X$4="Exponential",EXP(IF(AND(ISNUMBER('Council Entry'!X$8),ISNUMBER('Council Entry'!X$9)),MAX(MIN('Council Entry'!X55,'Council Entry'!X$9),'Council Entry'!X$8),'Council Entry'!X55)),IF(AND(ISNUMBER('Council Entry'!X$8),ISNUMBER('Council Entry'!X$9)),MAX(MIN('Council Entry'!X55,'Council Entry'!X$9),'Council Entry'!X$8),'Council Entry'!X55))))-'Council Entry'!X$5)/('Council Entry'!X$6-'Council Entry'!X$5)),1))),"No data"))</f>
        <v/>
      </c>
      <c r="Y55" s="13">
        <f>IF('Council Entry'!Y55="","",IFERROR(MAX(0,MIN(10,ROUND(IF('Council Entry'!Y$7="Decrease Risk",10-10*((IF('Council Entry'!Y$4="Logarithm",LN(0.001+IF(AND(ISNUMBER('Council Entry'!Y$8),ISNUMBER('Council Entry'!Y$9)),MAX(MIN('Council Entry'!Y55,'Council Entry'!Y$9),'Council Entry'!Y$8),'Council Entry'!Y55)),IF('Council Entry'!Y$4="Exponential",EXP(IF(AND(ISNUMBER('Council Entry'!Y$8),ISNUMBER('Council Entry'!Y$9)),MAX(MIN('Council Entry'!Y55,'Council Entry'!Y$9),'Council Entry'!Y$8),'Council Entry'!Y55)),IF(AND(ISNUMBER('Council Entry'!Y$8),ISNUMBER('Council Entry'!Y$9)),MAX(MIN('Council Entry'!Y55,'Council Entry'!Y$9),'Council Entry'!Y$8),'Council Entry'!Y55))))-'Council Entry'!Y$5)/('Council Entry'!Y$6-'Council Entry'!Y$5),10*((IF('Council Entry'!Y$4="Logarithm",LN(0.001+IF(AND(ISNUMBER('Council Entry'!Y$8),ISNUMBER('Council Entry'!Y$9)),MAX(MIN('Council Entry'!Y55,'Council Entry'!Y$9),'Council Entry'!Y$8),'Council Entry'!Y55)),IF('Council Entry'!Y$4="Exponential",EXP(IF(AND(ISNUMBER('Council Entry'!Y$8),ISNUMBER('Council Entry'!Y$9)),MAX(MIN('Council Entry'!Y55,'Council Entry'!Y$9),'Council Entry'!Y$8),'Council Entry'!Y55)),IF(AND(ISNUMBER('Council Entry'!Y$8),ISNUMBER('Council Entry'!Y$9)),MAX(MIN('Council Entry'!Y55,'Council Entry'!Y$9),'Council Entry'!Y$8),'Council Entry'!Y55))))-'Council Entry'!Y$5)/('Council Entry'!Y$6-'Council Entry'!Y$5)),1))),"No data"))</f>
        <v/>
      </c>
      <c r="Z55" s="13">
        <f>IF('Council Entry'!Z55="","",IFERROR(MAX(0,MIN(10,ROUND(IF('Council Entry'!Z$7="Decrease Risk",10-10*((IF('Council Entry'!Z$4="Logarithm",LN(0.001+IF(AND(ISNUMBER('Council Entry'!Z$8),ISNUMBER('Council Entry'!Z$9)),MAX(MIN('Council Entry'!Z55,'Council Entry'!Z$9),'Council Entry'!Z$8),'Council Entry'!Z55)),IF('Council Entry'!Z$4="Exponential",EXP(IF(AND(ISNUMBER('Council Entry'!Z$8),ISNUMBER('Council Entry'!Z$9)),MAX(MIN('Council Entry'!Z55,'Council Entry'!Z$9),'Council Entry'!Z$8),'Council Entry'!Z55)),IF(AND(ISNUMBER('Council Entry'!Z$8),ISNUMBER('Council Entry'!Z$9)),MAX(MIN('Council Entry'!Z55,'Council Entry'!Z$9),'Council Entry'!Z$8),'Council Entry'!Z55))))-'Council Entry'!Z$5)/('Council Entry'!Z$6-'Council Entry'!Z$5),10*((IF('Council Entry'!Z$4="Logarithm",LN(0.001+IF(AND(ISNUMBER('Council Entry'!Z$8),ISNUMBER('Council Entry'!Z$9)),MAX(MIN('Council Entry'!Z55,'Council Entry'!Z$9),'Council Entry'!Z$8),'Council Entry'!Z55)),IF('Council Entry'!Z$4="Exponential",EXP(IF(AND(ISNUMBER('Council Entry'!Z$8),ISNUMBER('Council Entry'!Z$9)),MAX(MIN('Council Entry'!Z55,'Council Entry'!Z$9),'Council Entry'!Z$8),'Council Entry'!Z55)),IF(AND(ISNUMBER('Council Entry'!Z$8),ISNUMBER('Council Entry'!Z$9)),MAX(MIN('Council Entry'!Z55,'Council Entry'!Z$9),'Council Entry'!Z$8),'Council Entry'!Z55))))-'Council Entry'!Z$5)/('Council Entry'!Z$6-'Council Entry'!Z$5)),1))),"No data"))</f>
        <v/>
      </c>
      <c r="AA55" s="13">
        <f>IF('Council Entry'!AA55="","",IFERROR(MAX(0,MIN(10,ROUND(IF('Council Entry'!AA$7="Decrease Risk",10-10*((IF('Council Entry'!AA$4="Logarithm",LN(0.001+IF(AND(ISNUMBER('Council Entry'!AA$8),ISNUMBER('Council Entry'!AA$9)),MAX(MIN('Council Entry'!AA55,'Council Entry'!AA$9),'Council Entry'!AA$8),'Council Entry'!AA55)),IF('Council Entry'!AA$4="Exponential",EXP(IF(AND(ISNUMBER('Council Entry'!AA$8),ISNUMBER('Council Entry'!AA$9)),MAX(MIN('Council Entry'!AA55,'Council Entry'!AA$9),'Council Entry'!AA$8),'Council Entry'!AA55)),IF(AND(ISNUMBER('Council Entry'!AA$8),ISNUMBER('Council Entry'!AA$9)),MAX(MIN('Council Entry'!AA55,'Council Entry'!AA$9),'Council Entry'!AA$8),'Council Entry'!AA55))))-'Council Entry'!AA$5)/('Council Entry'!AA$6-'Council Entry'!AA$5),10*((IF('Council Entry'!AA$4="Logarithm",LN(0.001+IF(AND(ISNUMBER('Council Entry'!AA$8),ISNUMBER('Council Entry'!AA$9)),MAX(MIN('Council Entry'!AA55,'Council Entry'!AA$9),'Council Entry'!AA$8),'Council Entry'!AA55)),IF('Council Entry'!AA$4="Exponential",EXP(IF(AND(ISNUMBER('Council Entry'!AA$8),ISNUMBER('Council Entry'!AA$9)),MAX(MIN('Council Entry'!AA55,'Council Entry'!AA$9),'Council Entry'!AA$8),'Council Entry'!AA55)),IF(AND(ISNUMBER('Council Entry'!AA$8),ISNUMBER('Council Entry'!AA$9)),MAX(MIN('Council Entry'!AA55,'Council Entry'!AA$9),'Council Entry'!AA$8),'Council Entry'!AA55))))-'Council Entry'!AA$5)/('Council Entry'!AA$6-'Council Entry'!AA$5)),1))),"No data"))</f>
        <v/>
      </c>
      <c r="AB55" s="13">
        <f>IF('Council Entry'!AB55="","",IFERROR(MAX(0,MIN(10,ROUND(IF('Council Entry'!AB$7="Decrease Risk",10-10*((IF('Council Entry'!AB$4="Logarithm",LN(0.001+IF(AND(ISNUMBER('Council Entry'!AB$8),ISNUMBER('Council Entry'!AB$9)),MAX(MIN('Council Entry'!AB55,'Council Entry'!AB$9),'Council Entry'!AB$8),'Council Entry'!AB55)),IF('Council Entry'!AB$4="Exponential",EXP(IF(AND(ISNUMBER('Council Entry'!AB$8),ISNUMBER('Council Entry'!AB$9)),MAX(MIN('Council Entry'!AB55,'Council Entry'!AB$9),'Council Entry'!AB$8),'Council Entry'!AB55)),IF(AND(ISNUMBER('Council Entry'!AB$8),ISNUMBER('Council Entry'!AB$9)),MAX(MIN('Council Entry'!AB55,'Council Entry'!AB$9),'Council Entry'!AB$8),'Council Entry'!AB55))))-'Council Entry'!AB$5)/('Council Entry'!AB$6-'Council Entry'!AB$5),10*((IF('Council Entry'!AB$4="Logarithm",LN(0.001+IF(AND(ISNUMBER('Council Entry'!AB$8),ISNUMBER('Council Entry'!AB$9)),MAX(MIN('Council Entry'!AB55,'Council Entry'!AB$9),'Council Entry'!AB$8),'Council Entry'!AB55)),IF('Council Entry'!AB$4="Exponential",EXP(IF(AND(ISNUMBER('Council Entry'!AB$8),ISNUMBER('Council Entry'!AB$9)),MAX(MIN('Council Entry'!AB55,'Council Entry'!AB$9),'Council Entry'!AB$8),'Council Entry'!AB55)),IF(AND(ISNUMBER('Council Entry'!AB$8),ISNUMBER('Council Entry'!AB$9)),MAX(MIN('Council Entry'!AB55,'Council Entry'!AB$9),'Council Entry'!AB$8),'Council Entry'!AB55))))-'Council Entry'!AB$5)/('Council Entry'!AB$6-'Council Entry'!AB$5)),1))),"No data"))</f>
        <v/>
      </c>
      <c r="AC55" s="13">
        <f>IF('Council Entry'!AC55="","",IFERROR(MAX(0,MIN(10,ROUND(IF('Council Entry'!AC$7="Decrease Risk",10-10*((IF('Council Entry'!AC$4="Logarithm",LN(0.001+IF(AND(ISNUMBER('Council Entry'!AC$8),ISNUMBER('Council Entry'!AC$9)),MAX(MIN('Council Entry'!AC55,'Council Entry'!AC$9),'Council Entry'!AC$8),'Council Entry'!AC55)),IF('Council Entry'!AC$4="Exponential",EXP(IF(AND(ISNUMBER('Council Entry'!AC$8),ISNUMBER('Council Entry'!AC$9)),MAX(MIN('Council Entry'!AC55,'Council Entry'!AC$9),'Council Entry'!AC$8),'Council Entry'!AC55)),IF(AND(ISNUMBER('Council Entry'!AC$8),ISNUMBER('Council Entry'!AC$9)),MAX(MIN('Council Entry'!AC55,'Council Entry'!AC$9),'Council Entry'!AC$8),'Council Entry'!AC55))))-'Council Entry'!AC$5)/('Council Entry'!AC$6-'Council Entry'!AC$5),10*((IF('Council Entry'!AC$4="Logarithm",LN(0.001+IF(AND(ISNUMBER('Council Entry'!AC$8),ISNUMBER('Council Entry'!AC$9)),MAX(MIN('Council Entry'!AC55,'Council Entry'!AC$9),'Council Entry'!AC$8),'Council Entry'!AC55)),IF('Council Entry'!AC$4="Exponential",EXP(IF(AND(ISNUMBER('Council Entry'!AC$8),ISNUMBER('Council Entry'!AC$9)),MAX(MIN('Council Entry'!AC55,'Council Entry'!AC$9),'Council Entry'!AC$8),'Council Entry'!AC55)),IF(AND(ISNUMBER('Council Entry'!AC$8),ISNUMBER('Council Entry'!AC$9)),MAX(MIN('Council Entry'!AC55,'Council Entry'!AC$9),'Council Entry'!AC$8),'Council Entry'!AC55))))-'Council Entry'!AC$5)/('Council Entry'!AC$6-'Council Entry'!AC$5)),1))),"No data"))</f>
        <v/>
      </c>
      <c r="AD55" s="13">
        <f>IF('Council Entry'!AD55="","",IFERROR(MAX(0,MIN(10,ROUND(IF('Council Entry'!AD$7="Decrease Risk",10-10*((IF('Council Entry'!AD$4="Logarithm",LN(0.001+IF(AND(ISNUMBER('Council Entry'!AD$8),ISNUMBER('Council Entry'!AD$9)),MAX(MIN('Council Entry'!AD55,'Council Entry'!AD$9),'Council Entry'!AD$8),'Council Entry'!AD55)),IF('Council Entry'!AD$4="Exponential",EXP(IF(AND(ISNUMBER('Council Entry'!AD$8),ISNUMBER('Council Entry'!AD$9)),MAX(MIN('Council Entry'!AD55,'Council Entry'!AD$9),'Council Entry'!AD$8),'Council Entry'!AD55)),IF(AND(ISNUMBER('Council Entry'!AD$8),ISNUMBER('Council Entry'!AD$9)),MAX(MIN('Council Entry'!AD55,'Council Entry'!AD$9),'Council Entry'!AD$8),'Council Entry'!AD55))))-'Council Entry'!AD$5)/('Council Entry'!AD$6-'Council Entry'!AD$5),10*((IF('Council Entry'!AD$4="Logarithm",LN(0.001+IF(AND(ISNUMBER('Council Entry'!AD$8),ISNUMBER('Council Entry'!AD$9)),MAX(MIN('Council Entry'!AD55,'Council Entry'!AD$9),'Council Entry'!AD$8),'Council Entry'!AD55)),IF('Council Entry'!AD$4="Exponential",EXP(IF(AND(ISNUMBER('Council Entry'!AD$8),ISNUMBER('Council Entry'!AD$9)),MAX(MIN('Council Entry'!AD55,'Council Entry'!AD$9),'Council Entry'!AD$8),'Council Entry'!AD55)),IF(AND(ISNUMBER('Council Entry'!AD$8),ISNUMBER('Council Entry'!AD$9)),MAX(MIN('Council Entry'!AD55,'Council Entry'!AD$9),'Council Entry'!AD$8),'Council Entry'!AD55))))-'Council Entry'!AD$5)/('Council Entry'!AD$6-'Council Entry'!AD$5)),1))),"No data"))</f>
        <v/>
      </c>
      <c r="AE55" s="13">
        <f>IF('Council Entry'!AE55="","",IFERROR(MAX(0,MIN(10,ROUND(IF('Council Entry'!AE$7="Decrease Risk",10-10*((IF('Council Entry'!AE$4="Logarithm",LN(0.001+IF(AND(ISNUMBER('Council Entry'!AE$8),ISNUMBER('Council Entry'!AE$9)),MAX(MIN('Council Entry'!AE55,'Council Entry'!AE$9),'Council Entry'!AE$8),'Council Entry'!AE55)),IF('Council Entry'!AE$4="Exponential",EXP(IF(AND(ISNUMBER('Council Entry'!AE$8),ISNUMBER('Council Entry'!AE$9)),MAX(MIN('Council Entry'!AE55,'Council Entry'!AE$9),'Council Entry'!AE$8),'Council Entry'!AE55)),IF(AND(ISNUMBER('Council Entry'!AE$8),ISNUMBER('Council Entry'!AE$9)),MAX(MIN('Council Entry'!AE55,'Council Entry'!AE$9),'Council Entry'!AE$8),'Council Entry'!AE55))))-'Council Entry'!AE$5)/('Council Entry'!AE$6-'Council Entry'!AE$5),10*((IF('Council Entry'!AE$4="Logarithm",LN(0.001+IF(AND(ISNUMBER('Council Entry'!AE$8),ISNUMBER('Council Entry'!AE$9)),MAX(MIN('Council Entry'!AE55,'Council Entry'!AE$9),'Council Entry'!AE$8),'Council Entry'!AE55)),IF('Council Entry'!AE$4="Exponential",EXP(IF(AND(ISNUMBER('Council Entry'!AE$8),ISNUMBER('Council Entry'!AE$9)),MAX(MIN('Council Entry'!AE55,'Council Entry'!AE$9),'Council Entry'!AE$8),'Council Entry'!AE55)),IF(AND(ISNUMBER('Council Entry'!AE$8),ISNUMBER('Council Entry'!AE$9)),MAX(MIN('Council Entry'!AE55,'Council Entry'!AE$9),'Council Entry'!AE$8),'Council Entry'!AE55))))-'Council Entry'!AE$5)/('Council Entry'!AE$6-'Council Entry'!AE$5)),1))),"No data"))</f>
        <v/>
      </c>
      <c r="AF55" s="13">
        <f>IF('Council Entry'!AF55="","",IFERROR(MAX(0,MIN(10,ROUND(IF('Council Entry'!AF$7="Decrease Risk",10-10*((IF('Council Entry'!AF$4="Logarithm",LN(0.001+IF(AND(ISNUMBER('Council Entry'!AF$8),ISNUMBER('Council Entry'!AF$9)),MAX(MIN('Council Entry'!AF55,'Council Entry'!AF$9),'Council Entry'!AF$8),'Council Entry'!AF55)),IF('Council Entry'!AF$4="Exponential",EXP(IF(AND(ISNUMBER('Council Entry'!AF$8),ISNUMBER('Council Entry'!AF$9)),MAX(MIN('Council Entry'!AF55,'Council Entry'!AF$9),'Council Entry'!AF$8),'Council Entry'!AF55)),IF(AND(ISNUMBER('Council Entry'!AF$8),ISNUMBER('Council Entry'!AF$9)),MAX(MIN('Council Entry'!AF55,'Council Entry'!AF$9),'Council Entry'!AF$8),'Council Entry'!AF55))))-'Council Entry'!AF$5)/('Council Entry'!AF$6-'Council Entry'!AF$5),10*((IF('Council Entry'!AF$4="Logarithm",LN(0.001+IF(AND(ISNUMBER('Council Entry'!AF$8),ISNUMBER('Council Entry'!AF$9)),MAX(MIN('Council Entry'!AF55,'Council Entry'!AF$9),'Council Entry'!AF$8),'Council Entry'!AF55)),IF('Council Entry'!AF$4="Exponential",EXP(IF(AND(ISNUMBER('Council Entry'!AF$8),ISNUMBER('Council Entry'!AF$9)),MAX(MIN('Council Entry'!AF55,'Council Entry'!AF$9),'Council Entry'!AF$8),'Council Entry'!AF55)),IF(AND(ISNUMBER('Council Entry'!AF$8),ISNUMBER('Council Entry'!AF$9)),MAX(MIN('Council Entry'!AF55,'Council Entry'!AF$9),'Council Entry'!AF$8),'Council Entry'!AF55))))-'Council Entry'!AF$5)/('Council Entry'!AF$6-'Council Entry'!AF$5)),1))),"No data"))</f>
        <v/>
      </c>
      <c r="AG55" s="13">
        <f>IF('Council Entry'!AG55="","",IFERROR(MAX(0,MIN(10,ROUND(IF('Council Entry'!AG$7="Decrease Risk",10-10*((IF('Council Entry'!AG$4="Logarithm",LN(0.001+IF(AND(ISNUMBER('Council Entry'!AG$8),ISNUMBER('Council Entry'!AG$9)),MAX(MIN('Council Entry'!AG55,'Council Entry'!AG$9),'Council Entry'!AG$8),'Council Entry'!AG55)),IF('Council Entry'!AG$4="Exponential",EXP(IF(AND(ISNUMBER('Council Entry'!AG$8),ISNUMBER('Council Entry'!AG$9)),MAX(MIN('Council Entry'!AG55,'Council Entry'!AG$9),'Council Entry'!AG$8),'Council Entry'!AG55)),IF(AND(ISNUMBER('Council Entry'!AG$8),ISNUMBER('Council Entry'!AG$9)),MAX(MIN('Council Entry'!AG55,'Council Entry'!AG$9),'Council Entry'!AG$8),'Council Entry'!AG55))))-'Council Entry'!AG$5)/('Council Entry'!AG$6-'Council Entry'!AG$5),10*((IF('Council Entry'!AG$4="Logarithm",LN(0.001+IF(AND(ISNUMBER('Council Entry'!AG$8),ISNUMBER('Council Entry'!AG$9)),MAX(MIN('Council Entry'!AG55,'Council Entry'!AG$9),'Council Entry'!AG$8),'Council Entry'!AG55)),IF('Council Entry'!AG$4="Exponential",EXP(IF(AND(ISNUMBER('Council Entry'!AG$8),ISNUMBER('Council Entry'!AG$9)),MAX(MIN('Council Entry'!AG55,'Council Entry'!AG$9),'Council Entry'!AG$8),'Council Entry'!AG55)),IF(AND(ISNUMBER('Council Entry'!AG$8),ISNUMBER('Council Entry'!AG$9)),MAX(MIN('Council Entry'!AG55,'Council Entry'!AG$9),'Council Entry'!AG$8),'Council Entry'!AG55))))-'Council Entry'!AG$5)/('Council Entry'!AG$6-'Council Entry'!AG$5)),1))),"No data"))</f>
        <v/>
      </c>
      <c r="AH55" s="13">
        <f>IF('Council Entry'!AH55="","",IFERROR(MAX(0,MIN(10,ROUND(IF('Council Entry'!AH$7="Decrease Risk",10-10*((IF('Council Entry'!AH$4="Logarithm",LN(0.001+IF(AND(ISNUMBER('Council Entry'!AH$8),ISNUMBER('Council Entry'!AH$9)),MAX(MIN('Council Entry'!AH55,'Council Entry'!AH$9),'Council Entry'!AH$8),'Council Entry'!AH55)),IF('Council Entry'!AH$4="Exponential",EXP(IF(AND(ISNUMBER('Council Entry'!AH$8),ISNUMBER('Council Entry'!AH$9)),MAX(MIN('Council Entry'!AH55,'Council Entry'!AH$9),'Council Entry'!AH$8),'Council Entry'!AH55)),IF(AND(ISNUMBER('Council Entry'!AH$8),ISNUMBER('Council Entry'!AH$9)),MAX(MIN('Council Entry'!AH55,'Council Entry'!AH$9),'Council Entry'!AH$8),'Council Entry'!AH55))))-'Council Entry'!AH$5)/('Council Entry'!AH$6-'Council Entry'!AH$5),10*((IF('Council Entry'!AH$4="Logarithm",LN(0.001+IF(AND(ISNUMBER('Council Entry'!AH$8),ISNUMBER('Council Entry'!AH$9)),MAX(MIN('Council Entry'!AH55,'Council Entry'!AH$9),'Council Entry'!AH$8),'Council Entry'!AH55)),IF('Council Entry'!AH$4="Exponential",EXP(IF(AND(ISNUMBER('Council Entry'!AH$8),ISNUMBER('Council Entry'!AH$9)),MAX(MIN('Council Entry'!AH55,'Council Entry'!AH$9),'Council Entry'!AH$8),'Council Entry'!AH55)),IF(AND(ISNUMBER('Council Entry'!AH$8),ISNUMBER('Council Entry'!AH$9)),MAX(MIN('Council Entry'!AH55,'Council Entry'!AH$9),'Council Entry'!AH$8),'Council Entry'!AH55))))-'Council Entry'!AH$5)/('Council Entry'!AH$6-'Council Entry'!AH$5)),1))),"No data"))</f>
        <v/>
      </c>
      <c r="AI55" s="13">
        <f>IF('Council Entry'!AI55="","",IFERROR(MAX(0,MIN(10,ROUND(IF('Council Entry'!AI$7="Decrease Risk",10-10*((IF('Council Entry'!AI$4="Logarithm",LN(0.001+IF(AND(ISNUMBER('Council Entry'!AI$8),ISNUMBER('Council Entry'!AI$9)),MAX(MIN('Council Entry'!AI55,'Council Entry'!AI$9),'Council Entry'!AI$8),'Council Entry'!AI55)),IF('Council Entry'!AI$4="Exponential",EXP(IF(AND(ISNUMBER('Council Entry'!AI$8),ISNUMBER('Council Entry'!AI$9)),MAX(MIN('Council Entry'!AI55,'Council Entry'!AI$9),'Council Entry'!AI$8),'Council Entry'!AI55)),IF(AND(ISNUMBER('Council Entry'!AI$8),ISNUMBER('Council Entry'!AI$9)),MAX(MIN('Council Entry'!AI55,'Council Entry'!AI$9),'Council Entry'!AI$8),'Council Entry'!AI55))))-'Council Entry'!AI$5)/('Council Entry'!AI$6-'Council Entry'!AI$5),10*((IF('Council Entry'!AI$4="Logarithm",LN(0.001+IF(AND(ISNUMBER('Council Entry'!AI$8),ISNUMBER('Council Entry'!AI$9)),MAX(MIN('Council Entry'!AI55,'Council Entry'!AI$9),'Council Entry'!AI$8),'Council Entry'!AI55)),IF('Council Entry'!AI$4="Exponential",EXP(IF(AND(ISNUMBER('Council Entry'!AI$8),ISNUMBER('Council Entry'!AI$9)),MAX(MIN('Council Entry'!AI55,'Council Entry'!AI$9),'Council Entry'!AI$8),'Council Entry'!AI55)),IF(AND(ISNUMBER('Council Entry'!AI$8),ISNUMBER('Council Entry'!AI$9)),MAX(MIN('Council Entry'!AI55,'Council Entry'!AI$9),'Council Entry'!AI$8),'Council Entry'!AI55))))-'Council Entry'!AI$5)/('Council Entry'!AI$6-'Council Entry'!AI$5)),1))),"No data"))</f>
        <v/>
      </c>
      <c r="AJ55" s="13">
        <f>IF('Council Entry'!AJ55="","",IFERROR(MAX(0,MIN(10,ROUND(IF('Council Entry'!AJ$7="Decrease Risk",10-10*((IF('Council Entry'!AJ$4="Logarithm",LN(0.001+IF(AND(ISNUMBER('Council Entry'!AJ$8),ISNUMBER('Council Entry'!AJ$9)),MAX(MIN('Council Entry'!AJ55,'Council Entry'!AJ$9),'Council Entry'!AJ$8),'Council Entry'!AJ55)),IF('Council Entry'!AJ$4="Exponential",EXP(IF(AND(ISNUMBER('Council Entry'!AJ$8),ISNUMBER('Council Entry'!AJ$9)),MAX(MIN('Council Entry'!AJ55,'Council Entry'!AJ$9),'Council Entry'!AJ$8),'Council Entry'!AJ55)),IF(AND(ISNUMBER('Council Entry'!AJ$8),ISNUMBER('Council Entry'!AJ$9)),MAX(MIN('Council Entry'!AJ55,'Council Entry'!AJ$9),'Council Entry'!AJ$8),'Council Entry'!AJ55))))-'Council Entry'!AJ$5)/('Council Entry'!AJ$6-'Council Entry'!AJ$5),10*((IF('Council Entry'!AJ$4="Logarithm",LN(0.001+IF(AND(ISNUMBER('Council Entry'!AJ$8),ISNUMBER('Council Entry'!AJ$9)),MAX(MIN('Council Entry'!AJ55,'Council Entry'!AJ$9),'Council Entry'!AJ$8),'Council Entry'!AJ55)),IF('Council Entry'!AJ$4="Exponential",EXP(IF(AND(ISNUMBER('Council Entry'!AJ$8),ISNUMBER('Council Entry'!AJ$9)),MAX(MIN('Council Entry'!AJ55,'Council Entry'!AJ$9),'Council Entry'!AJ$8),'Council Entry'!AJ55)),IF(AND(ISNUMBER('Council Entry'!AJ$8),ISNUMBER('Council Entry'!AJ$9)),MAX(MIN('Council Entry'!AJ55,'Council Entry'!AJ$9),'Council Entry'!AJ$8),'Council Entry'!AJ55))))-'Council Entry'!AJ$5)/('Council Entry'!AJ$6-'Council Entry'!AJ$5)),1))),"No data"))</f>
        <v/>
      </c>
      <c r="AK55" s="13">
        <f>IF('Council Entry'!AK55="","",IFERROR(MAX(0,MIN(10,ROUND(IF('Council Entry'!AK$7="Decrease Risk",10-10*((IF('Council Entry'!AK$4="Logarithm",LN(0.001+IF(AND(ISNUMBER('Council Entry'!AK$8),ISNUMBER('Council Entry'!AK$9)),MAX(MIN('Council Entry'!AK55,'Council Entry'!AK$9),'Council Entry'!AK$8),'Council Entry'!AK55)),IF('Council Entry'!AK$4="Exponential",EXP(IF(AND(ISNUMBER('Council Entry'!AK$8),ISNUMBER('Council Entry'!AK$9)),MAX(MIN('Council Entry'!AK55,'Council Entry'!AK$9),'Council Entry'!AK$8),'Council Entry'!AK55)),IF(AND(ISNUMBER('Council Entry'!AK$8),ISNUMBER('Council Entry'!AK$9)),MAX(MIN('Council Entry'!AK55,'Council Entry'!AK$9),'Council Entry'!AK$8),'Council Entry'!AK55))))-'Council Entry'!AK$5)/('Council Entry'!AK$6-'Council Entry'!AK$5),10*((IF('Council Entry'!AK$4="Logarithm",LN(0.001+IF(AND(ISNUMBER('Council Entry'!AK$8),ISNUMBER('Council Entry'!AK$9)),MAX(MIN('Council Entry'!AK55,'Council Entry'!AK$9),'Council Entry'!AK$8),'Council Entry'!AK55)),IF('Council Entry'!AK$4="Exponential",EXP(IF(AND(ISNUMBER('Council Entry'!AK$8),ISNUMBER('Council Entry'!AK$9)),MAX(MIN('Council Entry'!AK55,'Council Entry'!AK$9),'Council Entry'!AK$8),'Council Entry'!AK55)),IF(AND(ISNUMBER('Council Entry'!AK$8),ISNUMBER('Council Entry'!AK$9)),MAX(MIN('Council Entry'!AK55,'Council Entry'!AK$9),'Council Entry'!AK$8),'Council Entry'!AK55))))-'Council Entry'!AK$5)/('Council Entry'!AK$6-'Council Entry'!AK$5)),1))),"No data"))</f>
        <v/>
      </c>
      <c r="AL55" s="13">
        <f>IF('Council Entry'!AL55="","",IFERROR(MAX(0,MIN(10,ROUND(IF('Council Entry'!AL$7="Decrease Risk",10-10*((IF('Council Entry'!AL$4="Logarithm",LN(0.001+IF(AND(ISNUMBER('Council Entry'!AL$8),ISNUMBER('Council Entry'!AL$9)),MAX(MIN('Council Entry'!AL55,'Council Entry'!AL$9),'Council Entry'!AL$8),'Council Entry'!AL55)),IF('Council Entry'!AL$4="Exponential",EXP(IF(AND(ISNUMBER('Council Entry'!AL$8),ISNUMBER('Council Entry'!AL$9)),MAX(MIN('Council Entry'!AL55,'Council Entry'!AL$9),'Council Entry'!AL$8),'Council Entry'!AL55)),IF(AND(ISNUMBER('Council Entry'!AL$8),ISNUMBER('Council Entry'!AL$9)),MAX(MIN('Council Entry'!AL55,'Council Entry'!AL$9),'Council Entry'!AL$8),'Council Entry'!AL55))))-'Council Entry'!AL$5)/('Council Entry'!AL$6-'Council Entry'!AL$5),10*((IF('Council Entry'!AL$4="Logarithm",LN(0.001+IF(AND(ISNUMBER('Council Entry'!AL$8),ISNUMBER('Council Entry'!AL$9)),MAX(MIN('Council Entry'!AL55,'Council Entry'!AL$9),'Council Entry'!AL$8),'Council Entry'!AL55)),IF('Council Entry'!AL$4="Exponential",EXP(IF(AND(ISNUMBER('Council Entry'!AL$8),ISNUMBER('Council Entry'!AL$9)),MAX(MIN('Council Entry'!AL55,'Council Entry'!AL$9),'Council Entry'!AL$8),'Council Entry'!AL55)),IF(AND(ISNUMBER('Council Entry'!AL$8),ISNUMBER('Council Entry'!AL$9)),MAX(MIN('Council Entry'!AL55,'Council Entry'!AL$9),'Council Entry'!AL$8),'Council Entry'!AL55))))-'Council Entry'!AL$5)/('Council Entry'!AL$6-'Council Entry'!AL$5)),1))),"No data"))</f>
        <v/>
      </c>
      <c r="AM55" s="13">
        <f>IF('Council Entry'!AM55="","",IFERROR(MAX(0,MIN(10,ROUND(IF('Council Entry'!AM$7="Decrease Risk",10-10*((IF('Council Entry'!AM$4="Logarithm",LN(0.001+IF(AND(ISNUMBER('Council Entry'!AM$8),ISNUMBER('Council Entry'!AM$9)),MAX(MIN('Council Entry'!AM55,'Council Entry'!AM$9),'Council Entry'!AM$8),'Council Entry'!AM55)),IF('Council Entry'!AM$4="Exponential",EXP(IF(AND(ISNUMBER('Council Entry'!AM$8),ISNUMBER('Council Entry'!AM$9)),MAX(MIN('Council Entry'!AM55,'Council Entry'!AM$9),'Council Entry'!AM$8),'Council Entry'!AM55)),IF(AND(ISNUMBER('Council Entry'!AM$8),ISNUMBER('Council Entry'!AM$9)),MAX(MIN('Council Entry'!AM55,'Council Entry'!AM$9),'Council Entry'!AM$8),'Council Entry'!AM55))))-'Council Entry'!AM$5)/('Council Entry'!AM$6-'Council Entry'!AM$5),10*((IF('Council Entry'!AM$4="Logarithm",LN(0.001+IF(AND(ISNUMBER('Council Entry'!AM$8),ISNUMBER('Council Entry'!AM$9)),MAX(MIN('Council Entry'!AM55,'Council Entry'!AM$9),'Council Entry'!AM$8),'Council Entry'!AM55)),IF('Council Entry'!AM$4="Exponential",EXP(IF(AND(ISNUMBER('Council Entry'!AM$8),ISNUMBER('Council Entry'!AM$9)),MAX(MIN('Council Entry'!AM55,'Council Entry'!AM$9),'Council Entry'!AM$8),'Council Entry'!AM55)),IF(AND(ISNUMBER('Council Entry'!AM$8),ISNUMBER('Council Entry'!AM$9)),MAX(MIN('Council Entry'!AM55,'Council Entry'!AM$9),'Council Entry'!AM$8),'Council Entry'!AM55))))-'Council Entry'!AM$5)/('Council Entry'!AM$6-'Council Entry'!AM$5)),1))),"No data"))</f>
        <v/>
      </c>
      <c r="AN55" s="13">
        <f>IF('Council Entry'!AN55="","",IFERROR(MAX(0,MIN(10,ROUND(IF('Council Entry'!AN$7="Decrease Risk",10-10*((IF('Council Entry'!AN$4="Logarithm",LN(0.001+IF(AND(ISNUMBER('Council Entry'!AN$8),ISNUMBER('Council Entry'!AN$9)),MAX(MIN('Council Entry'!AN55,'Council Entry'!AN$9),'Council Entry'!AN$8),'Council Entry'!AN55)),IF('Council Entry'!AN$4="Exponential",EXP(IF(AND(ISNUMBER('Council Entry'!AN$8),ISNUMBER('Council Entry'!AN$9)),MAX(MIN('Council Entry'!AN55,'Council Entry'!AN$9),'Council Entry'!AN$8),'Council Entry'!AN55)),IF(AND(ISNUMBER('Council Entry'!AN$8),ISNUMBER('Council Entry'!AN$9)),MAX(MIN('Council Entry'!AN55,'Council Entry'!AN$9),'Council Entry'!AN$8),'Council Entry'!AN55))))-'Council Entry'!AN$5)/('Council Entry'!AN$6-'Council Entry'!AN$5),10*((IF('Council Entry'!AN$4="Logarithm",LN(0.001+IF(AND(ISNUMBER('Council Entry'!AN$8),ISNUMBER('Council Entry'!AN$9)),MAX(MIN('Council Entry'!AN55,'Council Entry'!AN$9),'Council Entry'!AN$8),'Council Entry'!AN55)),IF('Council Entry'!AN$4="Exponential",EXP(IF(AND(ISNUMBER('Council Entry'!AN$8),ISNUMBER('Council Entry'!AN$9)),MAX(MIN('Council Entry'!AN55,'Council Entry'!AN$9),'Council Entry'!AN$8),'Council Entry'!AN55)),IF(AND(ISNUMBER('Council Entry'!AN$8),ISNUMBER('Council Entry'!AN$9)),MAX(MIN('Council Entry'!AN55,'Council Entry'!AN$9),'Council Entry'!AN$8),'Council Entry'!AN55))))-'Council Entry'!AN$5)/('Council Entry'!AN$6-'Council Entry'!AN$5)),1))),"No data"))</f>
        <v/>
      </c>
      <c r="AO55" s="13">
        <f>IF('Council Entry'!AO55="","",IFERROR(MAX(0,MIN(10,ROUND(IF('Council Entry'!AO$7="Decrease Risk",10-10*((IF('Council Entry'!AO$4="Logarithm",LN(0.001+IF(AND(ISNUMBER('Council Entry'!AO$8),ISNUMBER('Council Entry'!AO$9)),MAX(MIN('Council Entry'!AO55,'Council Entry'!AO$9),'Council Entry'!AO$8),'Council Entry'!AO55)),IF('Council Entry'!AO$4="Exponential",EXP(IF(AND(ISNUMBER('Council Entry'!AO$8),ISNUMBER('Council Entry'!AO$9)),MAX(MIN('Council Entry'!AO55,'Council Entry'!AO$9),'Council Entry'!AO$8),'Council Entry'!AO55)),IF(AND(ISNUMBER('Council Entry'!AO$8),ISNUMBER('Council Entry'!AO$9)),MAX(MIN('Council Entry'!AO55,'Council Entry'!AO$9),'Council Entry'!AO$8),'Council Entry'!AO55))))-'Council Entry'!AO$5)/('Council Entry'!AO$6-'Council Entry'!AO$5),10*((IF('Council Entry'!AO$4="Logarithm",LN(0.001+IF(AND(ISNUMBER('Council Entry'!AO$8),ISNUMBER('Council Entry'!AO$9)),MAX(MIN('Council Entry'!AO55,'Council Entry'!AO$9),'Council Entry'!AO$8),'Council Entry'!AO55)),IF('Council Entry'!AO$4="Exponential",EXP(IF(AND(ISNUMBER('Council Entry'!AO$8),ISNUMBER('Council Entry'!AO$9)),MAX(MIN('Council Entry'!AO55,'Council Entry'!AO$9),'Council Entry'!AO$8),'Council Entry'!AO55)),IF(AND(ISNUMBER('Council Entry'!AO$8),ISNUMBER('Council Entry'!AO$9)),MAX(MIN('Council Entry'!AO55,'Council Entry'!AO$9),'Council Entry'!AO$8),'Council Entry'!AO55))))-'Council Entry'!AO$5)/('Council Entry'!AO$6-'Council Entry'!AO$5)),1))),"No data"))</f>
        <v/>
      </c>
      <c r="AP55" s="13">
        <f>IF('Council Entry'!AP55="","",IFERROR(MAX(0,MIN(10,ROUND(IF('Council Entry'!AP$7="Decrease Risk",10-10*((IF('Council Entry'!AP$4="Logarithm",LN(0.001+IF(AND(ISNUMBER('Council Entry'!AP$8),ISNUMBER('Council Entry'!AP$9)),MAX(MIN('Council Entry'!AP55,'Council Entry'!AP$9),'Council Entry'!AP$8),'Council Entry'!AP55)),IF('Council Entry'!AP$4="Exponential",EXP(IF(AND(ISNUMBER('Council Entry'!AP$8),ISNUMBER('Council Entry'!AP$9)),MAX(MIN('Council Entry'!AP55,'Council Entry'!AP$9),'Council Entry'!AP$8),'Council Entry'!AP55)),IF(AND(ISNUMBER('Council Entry'!AP$8),ISNUMBER('Council Entry'!AP$9)),MAX(MIN('Council Entry'!AP55,'Council Entry'!AP$9),'Council Entry'!AP$8),'Council Entry'!AP55))))-'Council Entry'!AP$5)/('Council Entry'!AP$6-'Council Entry'!AP$5),10*((IF('Council Entry'!AP$4="Logarithm",LN(0.001+IF(AND(ISNUMBER('Council Entry'!AP$8),ISNUMBER('Council Entry'!AP$9)),MAX(MIN('Council Entry'!AP55,'Council Entry'!AP$9),'Council Entry'!AP$8),'Council Entry'!AP55)),IF('Council Entry'!AP$4="Exponential",EXP(IF(AND(ISNUMBER('Council Entry'!AP$8),ISNUMBER('Council Entry'!AP$9)),MAX(MIN('Council Entry'!AP55,'Council Entry'!AP$9),'Council Entry'!AP$8),'Council Entry'!AP55)),IF(AND(ISNUMBER('Council Entry'!AP$8),ISNUMBER('Council Entry'!AP$9)),MAX(MIN('Council Entry'!AP55,'Council Entry'!AP$9),'Council Entry'!AP$8),'Council Entry'!AP55))))-'Council Entry'!AP$5)/('Council Entry'!AP$6-'Council Entry'!AP$5)),1))),"No data"))</f>
        <v/>
      </c>
      <c r="AQ55" s="13">
        <f>IF('Council Entry'!AQ55="","",IFERROR(MAX(0,MIN(10,ROUND(IF('Council Entry'!AQ$7="Decrease Risk",10-10*((IF('Council Entry'!AQ$4="Logarithm",LN(0.001+IF(AND(ISNUMBER('Council Entry'!AQ$8),ISNUMBER('Council Entry'!AQ$9)),MAX(MIN('Council Entry'!AQ55,'Council Entry'!AQ$9),'Council Entry'!AQ$8),'Council Entry'!AQ55)),IF('Council Entry'!AQ$4="Exponential",EXP(IF(AND(ISNUMBER('Council Entry'!AQ$8),ISNUMBER('Council Entry'!AQ$9)),MAX(MIN('Council Entry'!AQ55,'Council Entry'!AQ$9),'Council Entry'!AQ$8),'Council Entry'!AQ55)),IF(AND(ISNUMBER('Council Entry'!AQ$8),ISNUMBER('Council Entry'!AQ$9)),MAX(MIN('Council Entry'!AQ55,'Council Entry'!AQ$9),'Council Entry'!AQ$8),'Council Entry'!AQ55))))-'Council Entry'!AQ$5)/('Council Entry'!AQ$6-'Council Entry'!AQ$5),10*((IF('Council Entry'!AQ$4="Logarithm",LN(0.001+IF(AND(ISNUMBER('Council Entry'!AQ$8),ISNUMBER('Council Entry'!AQ$9)),MAX(MIN('Council Entry'!AQ55,'Council Entry'!AQ$9),'Council Entry'!AQ$8),'Council Entry'!AQ55)),IF('Council Entry'!AQ$4="Exponential",EXP(IF(AND(ISNUMBER('Council Entry'!AQ$8),ISNUMBER('Council Entry'!AQ$9)),MAX(MIN('Council Entry'!AQ55,'Council Entry'!AQ$9),'Council Entry'!AQ$8),'Council Entry'!AQ55)),IF(AND(ISNUMBER('Council Entry'!AQ$8),ISNUMBER('Council Entry'!AQ$9)),MAX(MIN('Council Entry'!AQ55,'Council Entry'!AQ$9),'Council Entry'!AQ$8),'Council Entry'!AQ55))))-'Council Entry'!AQ$5)/('Council Entry'!AQ$6-'Council Entry'!AQ$5)),1))),"No data"))</f>
        <v/>
      </c>
      <c r="AR55" s="13">
        <f>IF('Council Entry'!AR55="","",IFERROR(MAX(0,MIN(10,ROUND(IF('Council Entry'!AR$7="Decrease Risk",10-10*((IF('Council Entry'!AR$4="Logarithm",LN(0.001+IF(AND(ISNUMBER('Council Entry'!AR$8),ISNUMBER('Council Entry'!AR$9)),MAX(MIN('Council Entry'!AR55,'Council Entry'!AR$9),'Council Entry'!AR$8),'Council Entry'!AR55)),IF('Council Entry'!AR$4="Exponential",EXP(IF(AND(ISNUMBER('Council Entry'!AR$8),ISNUMBER('Council Entry'!AR$9)),MAX(MIN('Council Entry'!AR55,'Council Entry'!AR$9),'Council Entry'!AR$8),'Council Entry'!AR55)),IF(AND(ISNUMBER('Council Entry'!AR$8),ISNUMBER('Council Entry'!AR$9)),MAX(MIN('Council Entry'!AR55,'Council Entry'!AR$9),'Council Entry'!AR$8),'Council Entry'!AR55))))-'Council Entry'!AR$5)/('Council Entry'!AR$6-'Council Entry'!AR$5),10*((IF('Council Entry'!AR$4="Logarithm",LN(0.001+IF(AND(ISNUMBER('Council Entry'!AR$8),ISNUMBER('Council Entry'!AR$9)),MAX(MIN('Council Entry'!AR55,'Council Entry'!AR$9),'Council Entry'!AR$8),'Council Entry'!AR55)),IF('Council Entry'!AR$4="Exponential",EXP(IF(AND(ISNUMBER('Council Entry'!AR$8),ISNUMBER('Council Entry'!AR$9)),MAX(MIN('Council Entry'!AR55,'Council Entry'!AR$9),'Council Entry'!AR$8),'Council Entry'!AR55)),IF(AND(ISNUMBER('Council Entry'!AR$8),ISNUMBER('Council Entry'!AR$9)),MAX(MIN('Council Entry'!AR55,'Council Entry'!AR$9),'Council Entry'!AR$8),'Council Entry'!AR55))))-'Council Entry'!AR$5)/('Council Entry'!AR$6-'Council Entry'!AR$5)),1))),"No data"))</f>
        <v/>
      </c>
      <c r="AS55" s="13">
        <f>IF('Council Entry'!AS55="","",IFERROR(MAX(0,MIN(10,ROUND(IF('Council Entry'!AS$7="Decrease Risk",10-10*((IF('Council Entry'!AS$4="Logarithm",LN(0.001+IF(AND(ISNUMBER('Council Entry'!AS$8),ISNUMBER('Council Entry'!AS$9)),MAX(MIN('Council Entry'!AS55,'Council Entry'!AS$9),'Council Entry'!AS$8),'Council Entry'!AS55)),IF('Council Entry'!AS$4="Exponential",EXP(IF(AND(ISNUMBER('Council Entry'!AS$8),ISNUMBER('Council Entry'!AS$9)),MAX(MIN('Council Entry'!AS55,'Council Entry'!AS$9),'Council Entry'!AS$8),'Council Entry'!AS55)),IF(AND(ISNUMBER('Council Entry'!AS$8),ISNUMBER('Council Entry'!AS$9)),MAX(MIN('Council Entry'!AS55,'Council Entry'!AS$9),'Council Entry'!AS$8),'Council Entry'!AS55))))-'Council Entry'!AS$5)/('Council Entry'!AS$6-'Council Entry'!AS$5),10*((IF('Council Entry'!AS$4="Logarithm",LN(0.001+IF(AND(ISNUMBER('Council Entry'!AS$8),ISNUMBER('Council Entry'!AS$9)),MAX(MIN('Council Entry'!AS55,'Council Entry'!AS$9),'Council Entry'!AS$8),'Council Entry'!AS55)),IF('Council Entry'!AS$4="Exponential",EXP(IF(AND(ISNUMBER('Council Entry'!AS$8),ISNUMBER('Council Entry'!AS$9)),MAX(MIN('Council Entry'!AS55,'Council Entry'!AS$9),'Council Entry'!AS$8),'Council Entry'!AS55)),IF(AND(ISNUMBER('Council Entry'!AS$8),ISNUMBER('Council Entry'!AS$9)),MAX(MIN('Council Entry'!AS55,'Council Entry'!AS$9),'Council Entry'!AS$8),'Council Entry'!AS55))))-'Council Entry'!AS$5)/('Council Entry'!AS$6-'Council Entry'!AS$5)),1))),"No data"))</f>
        <v/>
      </c>
      <c r="AT55" s="13">
        <f>IF('Council Entry'!AT55="","",IFERROR(MAX(0,MIN(10,ROUND(IF('Council Entry'!AT$7="Decrease Risk",10-10*((IF('Council Entry'!AT$4="Logarithm",LN(0.001+IF(AND(ISNUMBER('Council Entry'!AT$8),ISNUMBER('Council Entry'!AT$9)),MAX(MIN('Council Entry'!AT55,'Council Entry'!AT$9),'Council Entry'!AT$8),'Council Entry'!AT55)),IF('Council Entry'!AT$4="Exponential",EXP(IF(AND(ISNUMBER('Council Entry'!AT$8),ISNUMBER('Council Entry'!AT$9)),MAX(MIN('Council Entry'!AT55,'Council Entry'!AT$9),'Council Entry'!AT$8),'Council Entry'!AT55)),IF(AND(ISNUMBER('Council Entry'!AT$8),ISNUMBER('Council Entry'!AT$9)),MAX(MIN('Council Entry'!AT55,'Council Entry'!AT$9),'Council Entry'!AT$8),'Council Entry'!AT55))))-'Council Entry'!AT$5)/('Council Entry'!AT$6-'Council Entry'!AT$5),10*((IF('Council Entry'!AT$4="Logarithm",LN(0.001+IF(AND(ISNUMBER('Council Entry'!AT$8),ISNUMBER('Council Entry'!AT$9)),MAX(MIN('Council Entry'!AT55,'Council Entry'!AT$9),'Council Entry'!AT$8),'Council Entry'!AT55)),IF('Council Entry'!AT$4="Exponential",EXP(IF(AND(ISNUMBER('Council Entry'!AT$8),ISNUMBER('Council Entry'!AT$9)),MAX(MIN('Council Entry'!AT55,'Council Entry'!AT$9),'Council Entry'!AT$8),'Council Entry'!AT55)),IF(AND(ISNUMBER('Council Entry'!AT$8),ISNUMBER('Council Entry'!AT$9)),MAX(MIN('Council Entry'!AT55,'Council Entry'!AT$9),'Council Entry'!AT$8),'Council Entry'!AT55))))-'Council Entry'!AT$5)/('Council Entry'!AT$6-'Council Entry'!AT$5)),1))),"No data"))</f>
        <v/>
      </c>
      <c r="AU55" s="13">
        <f>IF('Council Entry'!AU55="","",IFERROR(MAX(0,MIN(10,ROUND(IF('Council Entry'!AU$7="Decrease Risk",10-10*((IF('Council Entry'!AU$4="Logarithm",LN(0.001+IF(AND(ISNUMBER('Council Entry'!AU$8),ISNUMBER('Council Entry'!AU$9)),MAX(MIN('Council Entry'!AU55,'Council Entry'!AU$9),'Council Entry'!AU$8),'Council Entry'!AU55)),IF('Council Entry'!AU$4="Exponential",EXP(IF(AND(ISNUMBER('Council Entry'!AU$8),ISNUMBER('Council Entry'!AU$9)),MAX(MIN('Council Entry'!AU55,'Council Entry'!AU$9),'Council Entry'!AU$8),'Council Entry'!AU55)),IF(AND(ISNUMBER('Council Entry'!AU$8),ISNUMBER('Council Entry'!AU$9)),MAX(MIN('Council Entry'!AU55,'Council Entry'!AU$9),'Council Entry'!AU$8),'Council Entry'!AU55))))-'Council Entry'!AU$5)/('Council Entry'!AU$6-'Council Entry'!AU$5),10*((IF('Council Entry'!AU$4="Logarithm",LN(0.001+IF(AND(ISNUMBER('Council Entry'!AU$8),ISNUMBER('Council Entry'!AU$9)),MAX(MIN('Council Entry'!AU55,'Council Entry'!AU$9),'Council Entry'!AU$8),'Council Entry'!AU55)),IF('Council Entry'!AU$4="Exponential",EXP(IF(AND(ISNUMBER('Council Entry'!AU$8),ISNUMBER('Council Entry'!AU$9)),MAX(MIN('Council Entry'!AU55,'Council Entry'!AU$9),'Council Entry'!AU$8),'Council Entry'!AU55)),IF(AND(ISNUMBER('Council Entry'!AU$8),ISNUMBER('Council Entry'!AU$9)),MAX(MIN('Council Entry'!AU55,'Council Entry'!AU$9),'Council Entry'!AU$8),'Council Entry'!AU55))))-'Council Entry'!AU$5)/('Council Entry'!AU$6-'Council Entry'!AU$5)),1))),"No data"))</f>
        <v/>
      </c>
      <c r="AV55" s="13">
        <f>IF('Council Entry'!AV55="","",IFERROR(MAX(0,MIN(10,ROUND(IF('Council Entry'!AV$7="Decrease Risk",10-10*((IF('Council Entry'!AV$4="Logarithm",LN(0.001+IF(AND(ISNUMBER('Council Entry'!AV$8),ISNUMBER('Council Entry'!AV$9)),MAX(MIN('Council Entry'!AV55,'Council Entry'!AV$9),'Council Entry'!AV$8),'Council Entry'!AV55)),IF('Council Entry'!AV$4="Exponential",EXP(IF(AND(ISNUMBER('Council Entry'!AV$8),ISNUMBER('Council Entry'!AV$9)),MAX(MIN('Council Entry'!AV55,'Council Entry'!AV$9),'Council Entry'!AV$8),'Council Entry'!AV55)),IF(AND(ISNUMBER('Council Entry'!AV$8),ISNUMBER('Council Entry'!AV$9)),MAX(MIN('Council Entry'!AV55,'Council Entry'!AV$9),'Council Entry'!AV$8),'Council Entry'!AV55))))-'Council Entry'!AV$5)/('Council Entry'!AV$6-'Council Entry'!AV$5),10*((IF('Council Entry'!AV$4="Logarithm",LN(0.001+IF(AND(ISNUMBER('Council Entry'!AV$8),ISNUMBER('Council Entry'!AV$9)),MAX(MIN('Council Entry'!AV55,'Council Entry'!AV$9),'Council Entry'!AV$8),'Council Entry'!AV55)),IF('Council Entry'!AV$4="Exponential",EXP(IF(AND(ISNUMBER('Council Entry'!AV$8),ISNUMBER('Council Entry'!AV$9)),MAX(MIN('Council Entry'!AV55,'Council Entry'!AV$9),'Council Entry'!AV$8),'Council Entry'!AV55)),IF(AND(ISNUMBER('Council Entry'!AV$8),ISNUMBER('Council Entry'!AV$9)),MAX(MIN('Council Entry'!AV55,'Council Entry'!AV$9),'Council Entry'!AV$8),'Council Entry'!AV55))))-'Council Entry'!AV$5)/('Council Entry'!AV$6-'Council Entry'!AV$5)),1))),"No data"))</f>
        <v/>
      </c>
      <c r="AW55" s="13">
        <f>IF('Council Entry'!AW55="","",IFERROR(MAX(0,MIN(10,ROUND(IF('Council Entry'!AW$7="Decrease Risk",10-10*((IF('Council Entry'!AW$4="Logarithm",LN(0.001+IF(AND(ISNUMBER('Council Entry'!AW$8),ISNUMBER('Council Entry'!AW$9)),MAX(MIN('Council Entry'!AW55,'Council Entry'!AW$9),'Council Entry'!AW$8),'Council Entry'!AW55)),IF('Council Entry'!AW$4="Exponential",EXP(IF(AND(ISNUMBER('Council Entry'!AW$8),ISNUMBER('Council Entry'!AW$9)),MAX(MIN('Council Entry'!AW55,'Council Entry'!AW$9),'Council Entry'!AW$8),'Council Entry'!AW55)),IF(AND(ISNUMBER('Council Entry'!AW$8),ISNUMBER('Council Entry'!AW$9)),MAX(MIN('Council Entry'!AW55,'Council Entry'!AW$9),'Council Entry'!AW$8),'Council Entry'!AW55))))-'Council Entry'!AW$5)/('Council Entry'!AW$6-'Council Entry'!AW$5),10*((IF('Council Entry'!AW$4="Logarithm",LN(0.001+IF(AND(ISNUMBER('Council Entry'!AW$8),ISNUMBER('Council Entry'!AW$9)),MAX(MIN('Council Entry'!AW55,'Council Entry'!AW$9),'Council Entry'!AW$8),'Council Entry'!AW55)),IF('Council Entry'!AW$4="Exponential",EXP(IF(AND(ISNUMBER('Council Entry'!AW$8),ISNUMBER('Council Entry'!AW$9)),MAX(MIN('Council Entry'!AW55,'Council Entry'!AW$9),'Council Entry'!AW$8),'Council Entry'!AW55)),IF(AND(ISNUMBER('Council Entry'!AW$8),ISNUMBER('Council Entry'!AW$9)),MAX(MIN('Council Entry'!AW55,'Council Entry'!AW$9),'Council Entry'!AW$8),'Council Entry'!AW55))))-'Council Entry'!AW$5)/('Council Entry'!AW$6-'Council Entry'!AW$5)),1))),"No data"))</f>
        <v/>
      </c>
      <c r="AX55" s="13">
        <f>IF('Council Entry'!AX55="","",IFERROR(MAX(0,MIN(10,ROUND(IF('Council Entry'!AX$7="Decrease Risk",10-10*((IF('Council Entry'!AX$4="Logarithm",LN(0.001+IF(AND(ISNUMBER('Council Entry'!AX$8),ISNUMBER('Council Entry'!AX$9)),MAX(MIN('Council Entry'!AX55,'Council Entry'!AX$9),'Council Entry'!AX$8),'Council Entry'!AX55)),IF('Council Entry'!AX$4="Exponential",EXP(IF(AND(ISNUMBER('Council Entry'!AX$8),ISNUMBER('Council Entry'!AX$9)),MAX(MIN('Council Entry'!AX55,'Council Entry'!AX$9),'Council Entry'!AX$8),'Council Entry'!AX55)),IF(AND(ISNUMBER('Council Entry'!AX$8),ISNUMBER('Council Entry'!AX$9)),MAX(MIN('Council Entry'!AX55,'Council Entry'!AX$9),'Council Entry'!AX$8),'Council Entry'!AX55))))-'Council Entry'!AX$5)/('Council Entry'!AX$6-'Council Entry'!AX$5),10*((IF('Council Entry'!AX$4="Logarithm",LN(0.001+IF(AND(ISNUMBER('Council Entry'!AX$8),ISNUMBER('Council Entry'!AX$9)),MAX(MIN('Council Entry'!AX55,'Council Entry'!AX$9),'Council Entry'!AX$8),'Council Entry'!AX55)),IF('Council Entry'!AX$4="Exponential",EXP(IF(AND(ISNUMBER('Council Entry'!AX$8),ISNUMBER('Council Entry'!AX$9)),MAX(MIN('Council Entry'!AX55,'Council Entry'!AX$9),'Council Entry'!AX$8),'Council Entry'!AX55)),IF(AND(ISNUMBER('Council Entry'!AX$8),ISNUMBER('Council Entry'!AX$9)),MAX(MIN('Council Entry'!AX55,'Council Entry'!AX$9),'Council Entry'!AX$8),'Council Entry'!AX55))))-'Council Entry'!AX$5)/('Council Entry'!AX$6-'Council Entry'!AX$5)),1))),"No data"))</f>
        <v/>
      </c>
      <c r="AY55" s="13">
        <f>IF('Council Entry'!AY55="","",IFERROR(MAX(0,MIN(10,ROUND(IF('Council Entry'!AY$7="Decrease Risk",10-10*((IF('Council Entry'!AY$4="Logarithm",LN(0.001+IF(AND(ISNUMBER('Council Entry'!AY$8),ISNUMBER('Council Entry'!AY$9)),MAX(MIN('Council Entry'!AY55,'Council Entry'!AY$9),'Council Entry'!AY$8),'Council Entry'!AY55)),IF('Council Entry'!AY$4="Exponential",EXP(IF(AND(ISNUMBER('Council Entry'!AY$8),ISNUMBER('Council Entry'!AY$9)),MAX(MIN('Council Entry'!AY55,'Council Entry'!AY$9),'Council Entry'!AY$8),'Council Entry'!AY55)),IF(AND(ISNUMBER('Council Entry'!AY$8),ISNUMBER('Council Entry'!AY$9)),MAX(MIN('Council Entry'!AY55,'Council Entry'!AY$9),'Council Entry'!AY$8),'Council Entry'!AY55))))-'Council Entry'!AY$5)/('Council Entry'!AY$6-'Council Entry'!AY$5),10*((IF('Council Entry'!AY$4="Logarithm",LN(0.001+IF(AND(ISNUMBER('Council Entry'!AY$8),ISNUMBER('Council Entry'!AY$9)),MAX(MIN('Council Entry'!AY55,'Council Entry'!AY$9),'Council Entry'!AY$8),'Council Entry'!AY55)),IF('Council Entry'!AY$4="Exponential",EXP(IF(AND(ISNUMBER('Council Entry'!AY$8),ISNUMBER('Council Entry'!AY$9)),MAX(MIN('Council Entry'!AY55,'Council Entry'!AY$9),'Council Entry'!AY$8),'Council Entry'!AY55)),IF(AND(ISNUMBER('Council Entry'!AY$8),ISNUMBER('Council Entry'!AY$9)),MAX(MIN('Council Entry'!AY55,'Council Entry'!AY$9),'Council Entry'!AY$8),'Council Entry'!AY55))))-'Council Entry'!AY$5)/('Council Entry'!AY$6-'Council Entry'!AY$5)),1))),"No data"))</f>
        <v/>
      </c>
      <c r="AZ55" s="13">
        <f>IF('Council Entry'!AZ55="","",IFERROR(MAX(0,MIN(10,ROUND(IF('Council Entry'!AZ$7="Decrease Risk",10-10*((IF('Council Entry'!AZ$4="Logarithm",LN(0.001+IF(AND(ISNUMBER('Council Entry'!AZ$8),ISNUMBER('Council Entry'!AZ$9)),MAX(MIN('Council Entry'!AZ55,'Council Entry'!AZ$9),'Council Entry'!AZ$8),'Council Entry'!AZ55)),IF('Council Entry'!AZ$4="Exponential",EXP(IF(AND(ISNUMBER('Council Entry'!AZ$8),ISNUMBER('Council Entry'!AZ$9)),MAX(MIN('Council Entry'!AZ55,'Council Entry'!AZ$9),'Council Entry'!AZ$8),'Council Entry'!AZ55)),IF(AND(ISNUMBER('Council Entry'!AZ$8),ISNUMBER('Council Entry'!AZ$9)),MAX(MIN('Council Entry'!AZ55,'Council Entry'!AZ$9),'Council Entry'!AZ$8),'Council Entry'!AZ55))))-'Council Entry'!AZ$5)/('Council Entry'!AZ$6-'Council Entry'!AZ$5),10*((IF('Council Entry'!AZ$4="Logarithm",LN(0.001+IF(AND(ISNUMBER('Council Entry'!AZ$8),ISNUMBER('Council Entry'!AZ$9)),MAX(MIN('Council Entry'!AZ55,'Council Entry'!AZ$9),'Council Entry'!AZ$8),'Council Entry'!AZ55)),IF('Council Entry'!AZ$4="Exponential",EXP(IF(AND(ISNUMBER('Council Entry'!AZ$8),ISNUMBER('Council Entry'!AZ$9)),MAX(MIN('Council Entry'!AZ55,'Council Entry'!AZ$9),'Council Entry'!AZ$8),'Council Entry'!AZ55)),IF(AND(ISNUMBER('Council Entry'!AZ$8),ISNUMBER('Council Entry'!AZ$9)),MAX(MIN('Council Entry'!AZ55,'Council Entry'!AZ$9),'Council Entry'!AZ$8),'Council Entry'!AZ55))))-'Council Entry'!AZ$5)/('Council Entry'!AZ$6-'Council Entry'!AZ$5)),1))),"No data"))</f>
        <v/>
      </c>
      <c r="BA55" s="13">
        <f>IF('Council Entry'!BA55="","",IFERROR(MAX(0,MIN(10,ROUND(IF('Council Entry'!BA$7="Decrease Risk",10-10*((IF('Council Entry'!BA$4="Logarithm",LN(0.001+IF(AND(ISNUMBER('Council Entry'!BA$8),ISNUMBER('Council Entry'!BA$9)),MAX(MIN('Council Entry'!BA55,'Council Entry'!BA$9),'Council Entry'!BA$8),'Council Entry'!BA55)),IF('Council Entry'!BA$4="Exponential",EXP(IF(AND(ISNUMBER('Council Entry'!BA$8),ISNUMBER('Council Entry'!BA$9)),MAX(MIN('Council Entry'!BA55,'Council Entry'!BA$9),'Council Entry'!BA$8),'Council Entry'!BA55)),IF(AND(ISNUMBER('Council Entry'!BA$8),ISNUMBER('Council Entry'!BA$9)),MAX(MIN('Council Entry'!BA55,'Council Entry'!BA$9),'Council Entry'!BA$8),'Council Entry'!BA55))))-'Council Entry'!BA$5)/('Council Entry'!BA$6-'Council Entry'!BA$5),10*((IF('Council Entry'!BA$4="Logarithm",LN(0.001+IF(AND(ISNUMBER('Council Entry'!BA$8),ISNUMBER('Council Entry'!BA$9)),MAX(MIN('Council Entry'!BA55,'Council Entry'!BA$9),'Council Entry'!BA$8),'Council Entry'!BA55)),IF('Council Entry'!BA$4="Exponential",EXP(IF(AND(ISNUMBER('Council Entry'!BA$8),ISNUMBER('Council Entry'!BA$9)),MAX(MIN('Council Entry'!BA55,'Council Entry'!BA$9),'Council Entry'!BA$8),'Council Entry'!BA55)),IF(AND(ISNUMBER('Council Entry'!BA$8),ISNUMBER('Council Entry'!BA$9)),MAX(MIN('Council Entry'!BA55,'Council Entry'!BA$9),'Council Entry'!BA$8),'Council Entry'!BA55))))-'Council Entry'!BA$5)/('Council Entry'!BA$6-'Council Entry'!BA$5)),1))),"No data"))</f>
        <v/>
      </c>
      <c r="BB55" s="13">
        <f>IF('Council Entry'!BB55="","",IFERROR(MAX(0,MIN(10,ROUND(IF('Council Entry'!BB$7="Decrease Risk",10-10*((IF('Council Entry'!BB$4="Logarithm",LN(0.001+IF(AND(ISNUMBER('Council Entry'!BB$8),ISNUMBER('Council Entry'!BB$9)),MAX(MIN('Council Entry'!BB55,'Council Entry'!BB$9),'Council Entry'!BB$8),'Council Entry'!BB55)),IF('Council Entry'!BB$4="Exponential",EXP(IF(AND(ISNUMBER('Council Entry'!BB$8),ISNUMBER('Council Entry'!BB$9)),MAX(MIN('Council Entry'!BB55,'Council Entry'!BB$9),'Council Entry'!BB$8),'Council Entry'!BB55)),IF(AND(ISNUMBER('Council Entry'!BB$8),ISNUMBER('Council Entry'!BB$9)),MAX(MIN('Council Entry'!BB55,'Council Entry'!BB$9),'Council Entry'!BB$8),'Council Entry'!BB55))))-'Council Entry'!BB$5)/('Council Entry'!BB$6-'Council Entry'!BB$5),10*((IF('Council Entry'!BB$4="Logarithm",LN(0.001+IF(AND(ISNUMBER('Council Entry'!BB$8),ISNUMBER('Council Entry'!BB$9)),MAX(MIN('Council Entry'!BB55,'Council Entry'!BB$9),'Council Entry'!BB$8),'Council Entry'!BB55)),IF('Council Entry'!BB$4="Exponential",EXP(IF(AND(ISNUMBER('Council Entry'!BB$8),ISNUMBER('Council Entry'!BB$9)),MAX(MIN('Council Entry'!BB55,'Council Entry'!BB$9),'Council Entry'!BB$8),'Council Entry'!BB55)),IF(AND(ISNUMBER('Council Entry'!BB$8),ISNUMBER('Council Entry'!BB$9)),MAX(MIN('Council Entry'!BB55,'Council Entry'!BB$9),'Council Entry'!BB$8),'Council Entry'!BB55))))-'Council Entry'!BB$5)/('Council Entry'!BB$6-'Council Entry'!BB$5)),1))),"No data"))</f>
        <v/>
      </c>
      <c r="BC55" s="13">
        <f>IF('Council Entry'!BC55="","",IFERROR(MAX(0,MIN(10,ROUND(IF('Council Entry'!BC$7="Decrease Risk",10-10*((IF('Council Entry'!BC$4="Logarithm",LN(0.001+IF(AND(ISNUMBER('Council Entry'!BC$8),ISNUMBER('Council Entry'!BC$9)),MAX(MIN('Council Entry'!BC55,'Council Entry'!BC$9),'Council Entry'!BC$8),'Council Entry'!BC55)),IF('Council Entry'!BC$4="Exponential",EXP(IF(AND(ISNUMBER('Council Entry'!BC$8),ISNUMBER('Council Entry'!BC$9)),MAX(MIN('Council Entry'!BC55,'Council Entry'!BC$9),'Council Entry'!BC$8),'Council Entry'!BC55)),IF(AND(ISNUMBER('Council Entry'!BC$8),ISNUMBER('Council Entry'!BC$9)),MAX(MIN('Council Entry'!BC55,'Council Entry'!BC$9),'Council Entry'!BC$8),'Council Entry'!BC55))))-'Council Entry'!BC$5)/('Council Entry'!BC$6-'Council Entry'!BC$5),10*((IF('Council Entry'!BC$4="Logarithm",LN(0.001+IF(AND(ISNUMBER('Council Entry'!BC$8),ISNUMBER('Council Entry'!BC$9)),MAX(MIN('Council Entry'!BC55,'Council Entry'!BC$9),'Council Entry'!BC$8),'Council Entry'!BC55)),IF('Council Entry'!BC$4="Exponential",EXP(IF(AND(ISNUMBER('Council Entry'!BC$8),ISNUMBER('Council Entry'!BC$9)),MAX(MIN('Council Entry'!BC55,'Council Entry'!BC$9),'Council Entry'!BC$8),'Council Entry'!BC55)),IF(AND(ISNUMBER('Council Entry'!BC$8),ISNUMBER('Council Entry'!BC$9)),MAX(MIN('Council Entry'!BC55,'Council Entry'!BC$9),'Council Entry'!BC$8),'Council Entry'!BC55))))-'Council Entry'!BC$5)/('Council Entry'!BC$6-'Council Entry'!BC$5)),1))),"No data"))</f>
        <v/>
      </c>
      <c r="BD55" s="13">
        <f>IF('Council Entry'!BD55="","",IFERROR(MAX(0,MIN(10,ROUND(IF('Council Entry'!BD$7="Decrease Risk",10-10*((IF('Council Entry'!BD$4="Logarithm",LN(0.001+IF(AND(ISNUMBER('Council Entry'!BD$8),ISNUMBER('Council Entry'!BD$9)),MAX(MIN('Council Entry'!BD55,'Council Entry'!BD$9),'Council Entry'!BD$8),'Council Entry'!BD55)),IF('Council Entry'!BD$4="Exponential",EXP(IF(AND(ISNUMBER('Council Entry'!BD$8),ISNUMBER('Council Entry'!BD$9)),MAX(MIN('Council Entry'!BD55,'Council Entry'!BD$9),'Council Entry'!BD$8),'Council Entry'!BD55)),IF(AND(ISNUMBER('Council Entry'!BD$8),ISNUMBER('Council Entry'!BD$9)),MAX(MIN('Council Entry'!BD55,'Council Entry'!BD$9),'Council Entry'!BD$8),'Council Entry'!BD55))))-'Council Entry'!BD$5)/('Council Entry'!BD$6-'Council Entry'!BD$5),10*((IF('Council Entry'!BD$4="Logarithm",LN(0.001+IF(AND(ISNUMBER('Council Entry'!BD$8),ISNUMBER('Council Entry'!BD$9)),MAX(MIN('Council Entry'!BD55,'Council Entry'!BD$9),'Council Entry'!BD$8),'Council Entry'!BD55)),IF('Council Entry'!BD$4="Exponential",EXP(IF(AND(ISNUMBER('Council Entry'!BD$8),ISNUMBER('Council Entry'!BD$9)),MAX(MIN('Council Entry'!BD55,'Council Entry'!BD$9),'Council Entry'!BD$8),'Council Entry'!BD55)),IF(AND(ISNUMBER('Council Entry'!BD$8),ISNUMBER('Council Entry'!BD$9)),MAX(MIN('Council Entry'!BD55,'Council Entry'!BD$9),'Council Entry'!BD$8),'Council Entry'!BD55))))-'Council Entry'!BD$5)/('Council Entry'!BD$6-'Council Entry'!BD$5)),1))),"No data"))</f>
        <v/>
      </c>
    </row>
    <row r="56">
      <c r="A56" t="inlineStr">
        <is>
          <t>Katavi</t>
        </is>
      </c>
      <c r="B56" t="inlineStr">
        <is>
          <t>Mpimbwe District</t>
        </is>
      </c>
      <c r="C56" t="inlineStr">
        <is>
          <t>C167</t>
        </is>
      </c>
      <c r="D56" s="13">
        <f>IF('Council Entry'!D56="","",IFERROR(MAX(0,MIN(10,ROUND(IF('Council Entry'!D$7="Decrease Risk",10-10*((IF('Council Entry'!D$4="Logarithm",LN(0.001+IF(AND(ISNUMBER('Council Entry'!D$8),ISNUMBER('Council Entry'!D$9)),MAX(MIN('Council Entry'!D56,'Council Entry'!D$9),'Council Entry'!D$8),'Council Entry'!D56)),IF('Council Entry'!D$4="Exponential",EXP(IF(AND(ISNUMBER('Council Entry'!D$8),ISNUMBER('Council Entry'!D$9)),MAX(MIN('Council Entry'!D56,'Council Entry'!D$9),'Council Entry'!D$8),'Council Entry'!D56)),IF(AND(ISNUMBER('Council Entry'!D$8),ISNUMBER('Council Entry'!D$9)),MAX(MIN('Council Entry'!D56,'Council Entry'!D$9),'Council Entry'!D$8),'Council Entry'!D56))))-'Council Entry'!D$5)/('Council Entry'!D$6-'Council Entry'!D$5),10*((IF('Council Entry'!D$4="Logarithm",LN(0.001+IF(AND(ISNUMBER('Council Entry'!D$8),ISNUMBER('Council Entry'!D$9)),MAX(MIN('Council Entry'!D56,'Council Entry'!D$9),'Council Entry'!D$8),'Council Entry'!D56)),IF('Council Entry'!D$4="Exponential",EXP(IF(AND(ISNUMBER('Council Entry'!D$8),ISNUMBER('Council Entry'!D$9)),MAX(MIN('Council Entry'!D56,'Council Entry'!D$9),'Council Entry'!D$8),'Council Entry'!D56)),IF(AND(ISNUMBER('Council Entry'!D$8),ISNUMBER('Council Entry'!D$9)),MAX(MIN('Council Entry'!D56,'Council Entry'!D$9),'Council Entry'!D$8),'Council Entry'!D56))))-'Council Entry'!D$5)/('Council Entry'!D$6-'Council Entry'!D$5)),1))),"No data"))</f>
        <v/>
      </c>
      <c r="E56" s="13">
        <f>IF('Council Entry'!E56="","",IFERROR(MAX(0,MIN(10,ROUND(IF('Council Entry'!E$7="Decrease Risk",10-10*((IF('Council Entry'!E$4="Logarithm",LN(0.001+IF(AND(ISNUMBER('Council Entry'!E$8),ISNUMBER('Council Entry'!E$9)),MAX(MIN('Council Entry'!E56,'Council Entry'!E$9),'Council Entry'!E$8),'Council Entry'!E56)),IF('Council Entry'!E$4="Exponential",EXP(IF(AND(ISNUMBER('Council Entry'!E$8),ISNUMBER('Council Entry'!E$9)),MAX(MIN('Council Entry'!E56,'Council Entry'!E$9),'Council Entry'!E$8),'Council Entry'!E56)),IF(AND(ISNUMBER('Council Entry'!E$8),ISNUMBER('Council Entry'!E$9)),MAX(MIN('Council Entry'!E56,'Council Entry'!E$9),'Council Entry'!E$8),'Council Entry'!E56))))-'Council Entry'!E$5)/('Council Entry'!E$6-'Council Entry'!E$5),10*((IF('Council Entry'!E$4="Logarithm",LN(0.001+IF(AND(ISNUMBER('Council Entry'!E$8),ISNUMBER('Council Entry'!E$9)),MAX(MIN('Council Entry'!E56,'Council Entry'!E$9),'Council Entry'!E$8),'Council Entry'!E56)),IF('Council Entry'!E$4="Exponential",EXP(IF(AND(ISNUMBER('Council Entry'!E$8),ISNUMBER('Council Entry'!E$9)),MAX(MIN('Council Entry'!E56,'Council Entry'!E$9),'Council Entry'!E$8),'Council Entry'!E56)),IF(AND(ISNUMBER('Council Entry'!E$8),ISNUMBER('Council Entry'!E$9)),MAX(MIN('Council Entry'!E56,'Council Entry'!E$9),'Council Entry'!E$8),'Council Entry'!E56))))-'Council Entry'!E$5)/('Council Entry'!E$6-'Council Entry'!E$5)),1))),"No data"))</f>
        <v/>
      </c>
      <c r="F56" s="13">
        <f>IF('Council Entry'!F56="","",IFERROR(MAX(0,MIN(10,ROUND(IF('Council Entry'!F$7="Decrease Risk",10-10*((IF('Council Entry'!F$4="Logarithm",LN(0.001+IF(AND(ISNUMBER('Council Entry'!F$8),ISNUMBER('Council Entry'!F$9)),MAX(MIN('Council Entry'!F56,'Council Entry'!F$9),'Council Entry'!F$8),'Council Entry'!F56)),IF('Council Entry'!F$4="Exponential",EXP(IF(AND(ISNUMBER('Council Entry'!F$8),ISNUMBER('Council Entry'!F$9)),MAX(MIN('Council Entry'!F56,'Council Entry'!F$9),'Council Entry'!F$8),'Council Entry'!F56)),IF(AND(ISNUMBER('Council Entry'!F$8),ISNUMBER('Council Entry'!F$9)),MAX(MIN('Council Entry'!F56,'Council Entry'!F$9),'Council Entry'!F$8),'Council Entry'!F56))))-'Council Entry'!F$5)/('Council Entry'!F$6-'Council Entry'!F$5),10*((IF('Council Entry'!F$4="Logarithm",LN(0.001+IF(AND(ISNUMBER('Council Entry'!F$8),ISNUMBER('Council Entry'!F$9)),MAX(MIN('Council Entry'!F56,'Council Entry'!F$9),'Council Entry'!F$8),'Council Entry'!F56)),IF('Council Entry'!F$4="Exponential",EXP(IF(AND(ISNUMBER('Council Entry'!F$8),ISNUMBER('Council Entry'!F$9)),MAX(MIN('Council Entry'!F56,'Council Entry'!F$9),'Council Entry'!F$8),'Council Entry'!F56)),IF(AND(ISNUMBER('Council Entry'!F$8),ISNUMBER('Council Entry'!F$9)),MAX(MIN('Council Entry'!F56,'Council Entry'!F$9),'Council Entry'!F$8),'Council Entry'!F56))))-'Council Entry'!F$5)/('Council Entry'!F$6-'Council Entry'!F$5)),1))),"No data"))</f>
        <v/>
      </c>
      <c r="G56" s="13">
        <f>IF('Council Entry'!G56="","",IFERROR(MAX(0,MIN(10,ROUND(IF('Council Entry'!G$7="Decrease Risk",10-10*((IF('Council Entry'!G$4="Logarithm",LN(0.001+IF(AND(ISNUMBER('Council Entry'!G$8),ISNUMBER('Council Entry'!G$9)),MAX(MIN('Council Entry'!G56,'Council Entry'!G$9),'Council Entry'!G$8),'Council Entry'!G56)),IF('Council Entry'!G$4="Exponential",EXP(IF(AND(ISNUMBER('Council Entry'!G$8),ISNUMBER('Council Entry'!G$9)),MAX(MIN('Council Entry'!G56,'Council Entry'!G$9),'Council Entry'!G$8),'Council Entry'!G56)),IF(AND(ISNUMBER('Council Entry'!G$8),ISNUMBER('Council Entry'!G$9)),MAX(MIN('Council Entry'!G56,'Council Entry'!G$9),'Council Entry'!G$8),'Council Entry'!G56))))-'Council Entry'!G$5)/('Council Entry'!G$6-'Council Entry'!G$5),10*((IF('Council Entry'!G$4="Logarithm",LN(0.001+IF(AND(ISNUMBER('Council Entry'!G$8),ISNUMBER('Council Entry'!G$9)),MAX(MIN('Council Entry'!G56,'Council Entry'!G$9),'Council Entry'!G$8),'Council Entry'!G56)),IF('Council Entry'!G$4="Exponential",EXP(IF(AND(ISNUMBER('Council Entry'!G$8),ISNUMBER('Council Entry'!G$9)),MAX(MIN('Council Entry'!G56,'Council Entry'!G$9),'Council Entry'!G$8),'Council Entry'!G56)),IF(AND(ISNUMBER('Council Entry'!G$8),ISNUMBER('Council Entry'!G$9)),MAX(MIN('Council Entry'!G56,'Council Entry'!G$9),'Council Entry'!G$8),'Council Entry'!G56))))-'Council Entry'!G$5)/('Council Entry'!G$6-'Council Entry'!G$5)),1))),"No data"))</f>
        <v/>
      </c>
      <c r="H56" s="13">
        <f>IF('Council Entry'!H56="","",IFERROR(MAX(0,MIN(10,ROUND(IF('Council Entry'!H$7="Decrease Risk",10-10*((IF('Council Entry'!H$4="Logarithm",LN(0.001+IF(AND(ISNUMBER('Council Entry'!H$8),ISNUMBER('Council Entry'!H$9)),MAX(MIN('Council Entry'!H56,'Council Entry'!H$9),'Council Entry'!H$8),'Council Entry'!H56)),IF('Council Entry'!H$4="Exponential",EXP(IF(AND(ISNUMBER('Council Entry'!H$8),ISNUMBER('Council Entry'!H$9)),MAX(MIN('Council Entry'!H56,'Council Entry'!H$9),'Council Entry'!H$8),'Council Entry'!H56)),IF(AND(ISNUMBER('Council Entry'!H$8),ISNUMBER('Council Entry'!H$9)),MAX(MIN('Council Entry'!H56,'Council Entry'!H$9),'Council Entry'!H$8),'Council Entry'!H56))))-'Council Entry'!H$5)/('Council Entry'!H$6-'Council Entry'!H$5),10*((IF('Council Entry'!H$4="Logarithm",LN(0.001+IF(AND(ISNUMBER('Council Entry'!H$8),ISNUMBER('Council Entry'!H$9)),MAX(MIN('Council Entry'!H56,'Council Entry'!H$9),'Council Entry'!H$8),'Council Entry'!H56)),IF('Council Entry'!H$4="Exponential",EXP(IF(AND(ISNUMBER('Council Entry'!H$8),ISNUMBER('Council Entry'!H$9)),MAX(MIN('Council Entry'!H56,'Council Entry'!H$9),'Council Entry'!H$8),'Council Entry'!H56)),IF(AND(ISNUMBER('Council Entry'!H$8),ISNUMBER('Council Entry'!H$9)),MAX(MIN('Council Entry'!H56,'Council Entry'!H$9),'Council Entry'!H$8),'Council Entry'!H56))))-'Council Entry'!H$5)/('Council Entry'!H$6-'Council Entry'!H$5)),1))),"No data"))</f>
        <v/>
      </c>
      <c r="I56" s="13">
        <f>IF('Council Entry'!I56="","",IFERROR(MAX(0,MIN(10,ROUND(IF('Council Entry'!I$7="Decrease Risk",10-10*((IF('Council Entry'!I$4="Logarithm",LN(0.001+IF(AND(ISNUMBER('Council Entry'!I$8),ISNUMBER('Council Entry'!I$9)),MAX(MIN('Council Entry'!I56,'Council Entry'!I$9),'Council Entry'!I$8),'Council Entry'!I56)),IF('Council Entry'!I$4="Exponential",EXP(IF(AND(ISNUMBER('Council Entry'!I$8),ISNUMBER('Council Entry'!I$9)),MAX(MIN('Council Entry'!I56,'Council Entry'!I$9),'Council Entry'!I$8),'Council Entry'!I56)),IF(AND(ISNUMBER('Council Entry'!I$8),ISNUMBER('Council Entry'!I$9)),MAX(MIN('Council Entry'!I56,'Council Entry'!I$9),'Council Entry'!I$8),'Council Entry'!I56))))-'Council Entry'!I$5)/('Council Entry'!I$6-'Council Entry'!I$5),10*((IF('Council Entry'!I$4="Logarithm",LN(0.001+IF(AND(ISNUMBER('Council Entry'!I$8),ISNUMBER('Council Entry'!I$9)),MAX(MIN('Council Entry'!I56,'Council Entry'!I$9),'Council Entry'!I$8),'Council Entry'!I56)),IF('Council Entry'!I$4="Exponential",EXP(IF(AND(ISNUMBER('Council Entry'!I$8),ISNUMBER('Council Entry'!I$9)),MAX(MIN('Council Entry'!I56,'Council Entry'!I$9),'Council Entry'!I$8),'Council Entry'!I56)),IF(AND(ISNUMBER('Council Entry'!I$8),ISNUMBER('Council Entry'!I$9)),MAX(MIN('Council Entry'!I56,'Council Entry'!I$9),'Council Entry'!I$8),'Council Entry'!I56))))-'Council Entry'!I$5)/('Council Entry'!I$6-'Council Entry'!I$5)),1))),"No data"))</f>
        <v/>
      </c>
      <c r="J56" s="13">
        <f>IF('Council Entry'!J56="","",IFERROR(MAX(0,MIN(10,ROUND(IF('Council Entry'!J$7="Decrease Risk",10-10*((IF('Council Entry'!J$4="Logarithm",LN(0.001+IF(AND(ISNUMBER('Council Entry'!J$8),ISNUMBER('Council Entry'!J$9)),MAX(MIN('Council Entry'!J56,'Council Entry'!J$9),'Council Entry'!J$8),'Council Entry'!J56)),IF('Council Entry'!J$4="Exponential",EXP(IF(AND(ISNUMBER('Council Entry'!J$8),ISNUMBER('Council Entry'!J$9)),MAX(MIN('Council Entry'!J56,'Council Entry'!J$9),'Council Entry'!J$8),'Council Entry'!J56)),IF(AND(ISNUMBER('Council Entry'!J$8),ISNUMBER('Council Entry'!J$9)),MAX(MIN('Council Entry'!J56,'Council Entry'!J$9),'Council Entry'!J$8),'Council Entry'!J56))))-'Council Entry'!J$5)/('Council Entry'!J$6-'Council Entry'!J$5),10*((IF('Council Entry'!J$4="Logarithm",LN(0.001+IF(AND(ISNUMBER('Council Entry'!J$8),ISNUMBER('Council Entry'!J$9)),MAX(MIN('Council Entry'!J56,'Council Entry'!J$9),'Council Entry'!J$8),'Council Entry'!J56)),IF('Council Entry'!J$4="Exponential",EXP(IF(AND(ISNUMBER('Council Entry'!J$8),ISNUMBER('Council Entry'!J$9)),MAX(MIN('Council Entry'!J56,'Council Entry'!J$9),'Council Entry'!J$8),'Council Entry'!J56)),IF(AND(ISNUMBER('Council Entry'!J$8),ISNUMBER('Council Entry'!J$9)),MAX(MIN('Council Entry'!J56,'Council Entry'!J$9),'Council Entry'!J$8),'Council Entry'!J56))))-'Council Entry'!J$5)/('Council Entry'!J$6-'Council Entry'!J$5)),1))),"No data"))</f>
        <v/>
      </c>
      <c r="K56" s="13">
        <f>IF('Council Entry'!K56="","",IFERROR(MAX(0,MIN(10,ROUND(IF('Council Entry'!K$7="Decrease Risk",10-10*((IF('Council Entry'!K$4="Logarithm",LN(0.001+IF(AND(ISNUMBER('Council Entry'!K$8),ISNUMBER('Council Entry'!K$9)),MAX(MIN('Council Entry'!K56,'Council Entry'!K$9),'Council Entry'!K$8),'Council Entry'!K56)),IF('Council Entry'!K$4="Exponential",EXP(IF(AND(ISNUMBER('Council Entry'!K$8),ISNUMBER('Council Entry'!K$9)),MAX(MIN('Council Entry'!K56,'Council Entry'!K$9),'Council Entry'!K$8),'Council Entry'!K56)),IF(AND(ISNUMBER('Council Entry'!K$8),ISNUMBER('Council Entry'!K$9)),MAX(MIN('Council Entry'!K56,'Council Entry'!K$9),'Council Entry'!K$8),'Council Entry'!K56))))-'Council Entry'!K$5)/('Council Entry'!K$6-'Council Entry'!K$5),10*((IF('Council Entry'!K$4="Logarithm",LN(0.001+IF(AND(ISNUMBER('Council Entry'!K$8),ISNUMBER('Council Entry'!K$9)),MAX(MIN('Council Entry'!K56,'Council Entry'!K$9),'Council Entry'!K$8),'Council Entry'!K56)),IF('Council Entry'!K$4="Exponential",EXP(IF(AND(ISNUMBER('Council Entry'!K$8),ISNUMBER('Council Entry'!K$9)),MAX(MIN('Council Entry'!K56,'Council Entry'!K$9),'Council Entry'!K$8),'Council Entry'!K56)),IF(AND(ISNUMBER('Council Entry'!K$8),ISNUMBER('Council Entry'!K$9)),MAX(MIN('Council Entry'!K56,'Council Entry'!K$9),'Council Entry'!K$8),'Council Entry'!K56))))-'Council Entry'!K$5)/('Council Entry'!K$6-'Council Entry'!K$5)),1))),"No data"))</f>
        <v/>
      </c>
      <c r="L56" s="13">
        <f>IF('Council Entry'!L56="","",IFERROR(MAX(0,MIN(10,ROUND(IF('Council Entry'!L$7="Decrease Risk",10-10*((IF('Council Entry'!L$4="Logarithm",LN(0.001+IF(AND(ISNUMBER('Council Entry'!L$8),ISNUMBER('Council Entry'!L$9)),MAX(MIN('Council Entry'!L56,'Council Entry'!L$9),'Council Entry'!L$8),'Council Entry'!L56)),IF('Council Entry'!L$4="Exponential",EXP(IF(AND(ISNUMBER('Council Entry'!L$8),ISNUMBER('Council Entry'!L$9)),MAX(MIN('Council Entry'!L56,'Council Entry'!L$9),'Council Entry'!L$8),'Council Entry'!L56)),IF(AND(ISNUMBER('Council Entry'!L$8),ISNUMBER('Council Entry'!L$9)),MAX(MIN('Council Entry'!L56,'Council Entry'!L$9),'Council Entry'!L$8),'Council Entry'!L56))))-'Council Entry'!L$5)/('Council Entry'!L$6-'Council Entry'!L$5),10*((IF('Council Entry'!L$4="Logarithm",LN(0.001+IF(AND(ISNUMBER('Council Entry'!L$8),ISNUMBER('Council Entry'!L$9)),MAX(MIN('Council Entry'!L56,'Council Entry'!L$9),'Council Entry'!L$8),'Council Entry'!L56)),IF('Council Entry'!L$4="Exponential",EXP(IF(AND(ISNUMBER('Council Entry'!L$8),ISNUMBER('Council Entry'!L$9)),MAX(MIN('Council Entry'!L56,'Council Entry'!L$9),'Council Entry'!L$8),'Council Entry'!L56)),IF(AND(ISNUMBER('Council Entry'!L$8),ISNUMBER('Council Entry'!L$9)),MAX(MIN('Council Entry'!L56,'Council Entry'!L$9),'Council Entry'!L$8),'Council Entry'!L56))))-'Council Entry'!L$5)/('Council Entry'!L$6-'Council Entry'!L$5)),1))),"No data"))</f>
        <v/>
      </c>
      <c r="M56" s="13">
        <f>IF('Council Entry'!M56="","",IFERROR(MAX(0,MIN(10,ROUND(IF('Council Entry'!M$7="Decrease Risk",10-10*((IF('Council Entry'!M$4="Logarithm",LN(0.001+IF(AND(ISNUMBER('Council Entry'!M$8),ISNUMBER('Council Entry'!M$9)),MAX(MIN('Council Entry'!M56,'Council Entry'!M$9),'Council Entry'!M$8),'Council Entry'!M56)),IF('Council Entry'!M$4="Exponential",EXP(IF(AND(ISNUMBER('Council Entry'!M$8),ISNUMBER('Council Entry'!M$9)),MAX(MIN('Council Entry'!M56,'Council Entry'!M$9),'Council Entry'!M$8),'Council Entry'!M56)),IF(AND(ISNUMBER('Council Entry'!M$8),ISNUMBER('Council Entry'!M$9)),MAX(MIN('Council Entry'!M56,'Council Entry'!M$9),'Council Entry'!M$8),'Council Entry'!M56))))-'Council Entry'!M$5)/('Council Entry'!M$6-'Council Entry'!M$5),10*((IF('Council Entry'!M$4="Logarithm",LN(0.001+IF(AND(ISNUMBER('Council Entry'!M$8),ISNUMBER('Council Entry'!M$9)),MAX(MIN('Council Entry'!M56,'Council Entry'!M$9),'Council Entry'!M$8),'Council Entry'!M56)),IF('Council Entry'!M$4="Exponential",EXP(IF(AND(ISNUMBER('Council Entry'!M$8),ISNUMBER('Council Entry'!M$9)),MAX(MIN('Council Entry'!M56,'Council Entry'!M$9),'Council Entry'!M$8),'Council Entry'!M56)),IF(AND(ISNUMBER('Council Entry'!M$8),ISNUMBER('Council Entry'!M$9)),MAX(MIN('Council Entry'!M56,'Council Entry'!M$9),'Council Entry'!M$8),'Council Entry'!M56))))-'Council Entry'!M$5)/('Council Entry'!M$6-'Council Entry'!M$5)),1))),"No data"))</f>
        <v/>
      </c>
      <c r="N56" s="13">
        <f>IF('Council Entry'!N56="","",IFERROR(MAX(0,MIN(10,ROUND(IF('Council Entry'!N$7="Decrease Risk",10-10*((IF('Council Entry'!N$4="Logarithm",LN(0.001+IF(AND(ISNUMBER('Council Entry'!N$8),ISNUMBER('Council Entry'!N$9)),MAX(MIN('Council Entry'!N56,'Council Entry'!N$9),'Council Entry'!N$8),'Council Entry'!N56)),IF('Council Entry'!N$4="Exponential",EXP(IF(AND(ISNUMBER('Council Entry'!N$8),ISNUMBER('Council Entry'!N$9)),MAX(MIN('Council Entry'!N56,'Council Entry'!N$9),'Council Entry'!N$8),'Council Entry'!N56)),IF(AND(ISNUMBER('Council Entry'!N$8),ISNUMBER('Council Entry'!N$9)),MAX(MIN('Council Entry'!N56,'Council Entry'!N$9),'Council Entry'!N$8),'Council Entry'!N56))))-'Council Entry'!N$5)/('Council Entry'!N$6-'Council Entry'!N$5),10*((IF('Council Entry'!N$4="Logarithm",LN(0.001+IF(AND(ISNUMBER('Council Entry'!N$8),ISNUMBER('Council Entry'!N$9)),MAX(MIN('Council Entry'!N56,'Council Entry'!N$9),'Council Entry'!N$8),'Council Entry'!N56)),IF('Council Entry'!N$4="Exponential",EXP(IF(AND(ISNUMBER('Council Entry'!N$8),ISNUMBER('Council Entry'!N$9)),MAX(MIN('Council Entry'!N56,'Council Entry'!N$9),'Council Entry'!N$8),'Council Entry'!N56)),IF(AND(ISNUMBER('Council Entry'!N$8),ISNUMBER('Council Entry'!N$9)),MAX(MIN('Council Entry'!N56,'Council Entry'!N$9),'Council Entry'!N$8),'Council Entry'!N56))))-'Council Entry'!N$5)/('Council Entry'!N$6-'Council Entry'!N$5)),1))),"No data"))</f>
        <v/>
      </c>
      <c r="O56" s="13">
        <f>IF('Council Entry'!O56="","",IFERROR(MAX(0,MIN(10,ROUND(IF('Council Entry'!O$7="Decrease Risk",10-10*((IF('Council Entry'!O$4="Logarithm",LN(0.001+IF(AND(ISNUMBER('Council Entry'!O$8),ISNUMBER('Council Entry'!O$9)),MAX(MIN('Council Entry'!O56,'Council Entry'!O$9),'Council Entry'!O$8),'Council Entry'!O56)),IF('Council Entry'!O$4="Exponential",EXP(IF(AND(ISNUMBER('Council Entry'!O$8),ISNUMBER('Council Entry'!O$9)),MAX(MIN('Council Entry'!O56,'Council Entry'!O$9),'Council Entry'!O$8),'Council Entry'!O56)),IF(AND(ISNUMBER('Council Entry'!O$8),ISNUMBER('Council Entry'!O$9)),MAX(MIN('Council Entry'!O56,'Council Entry'!O$9),'Council Entry'!O$8),'Council Entry'!O56))))-'Council Entry'!O$5)/('Council Entry'!O$6-'Council Entry'!O$5),10*((IF('Council Entry'!O$4="Logarithm",LN(0.001+IF(AND(ISNUMBER('Council Entry'!O$8),ISNUMBER('Council Entry'!O$9)),MAX(MIN('Council Entry'!O56,'Council Entry'!O$9),'Council Entry'!O$8),'Council Entry'!O56)),IF('Council Entry'!O$4="Exponential",EXP(IF(AND(ISNUMBER('Council Entry'!O$8),ISNUMBER('Council Entry'!O$9)),MAX(MIN('Council Entry'!O56,'Council Entry'!O$9),'Council Entry'!O$8),'Council Entry'!O56)),IF(AND(ISNUMBER('Council Entry'!O$8),ISNUMBER('Council Entry'!O$9)),MAX(MIN('Council Entry'!O56,'Council Entry'!O$9),'Council Entry'!O$8),'Council Entry'!O56))))-'Council Entry'!O$5)/('Council Entry'!O$6-'Council Entry'!O$5)),1))),"No data"))</f>
        <v/>
      </c>
      <c r="P56" s="13">
        <f>IF('Council Entry'!P56="","",IFERROR(MAX(0,MIN(10,ROUND(IF('Council Entry'!P$7="Decrease Risk",10-10*((IF('Council Entry'!P$4="Logarithm",LN(0.001+IF(AND(ISNUMBER('Council Entry'!P$8),ISNUMBER('Council Entry'!P$9)),MAX(MIN('Council Entry'!P56,'Council Entry'!P$9),'Council Entry'!P$8),'Council Entry'!P56)),IF('Council Entry'!P$4="Exponential",EXP(IF(AND(ISNUMBER('Council Entry'!P$8),ISNUMBER('Council Entry'!P$9)),MAX(MIN('Council Entry'!P56,'Council Entry'!P$9),'Council Entry'!P$8),'Council Entry'!P56)),IF(AND(ISNUMBER('Council Entry'!P$8),ISNUMBER('Council Entry'!P$9)),MAX(MIN('Council Entry'!P56,'Council Entry'!P$9),'Council Entry'!P$8),'Council Entry'!P56))))-'Council Entry'!P$5)/('Council Entry'!P$6-'Council Entry'!P$5),10*((IF('Council Entry'!P$4="Logarithm",LN(0.001+IF(AND(ISNUMBER('Council Entry'!P$8),ISNUMBER('Council Entry'!P$9)),MAX(MIN('Council Entry'!P56,'Council Entry'!P$9),'Council Entry'!P$8),'Council Entry'!P56)),IF('Council Entry'!P$4="Exponential",EXP(IF(AND(ISNUMBER('Council Entry'!P$8),ISNUMBER('Council Entry'!P$9)),MAX(MIN('Council Entry'!P56,'Council Entry'!P$9),'Council Entry'!P$8),'Council Entry'!P56)),IF(AND(ISNUMBER('Council Entry'!P$8),ISNUMBER('Council Entry'!P$9)),MAX(MIN('Council Entry'!P56,'Council Entry'!P$9),'Council Entry'!P$8),'Council Entry'!P56))))-'Council Entry'!P$5)/('Council Entry'!P$6-'Council Entry'!P$5)),1))),"No data"))</f>
        <v/>
      </c>
      <c r="Q56" s="13">
        <f>IF('Council Entry'!Q56="","",IFERROR(MAX(0,MIN(10,ROUND(IF('Council Entry'!Q$7="Decrease Risk",10-10*((IF('Council Entry'!Q$4="Logarithm",LN(0.001+IF(AND(ISNUMBER('Council Entry'!Q$8),ISNUMBER('Council Entry'!Q$9)),MAX(MIN('Council Entry'!Q56,'Council Entry'!Q$9),'Council Entry'!Q$8),'Council Entry'!Q56)),IF('Council Entry'!Q$4="Exponential",EXP(IF(AND(ISNUMBER('Council Entry'!Q$8),ISNUMBER('Council Entry'!Q$9)),MAX(MIN('Council Entry'!Q56,'Council Entry'!Q$9),'Council Entry'!Q$8),'Council Entry'!Q56)),IF(AND(ISNUMBER('Council Entry'!Q$8),ISNUMBER('Council Entry'!Q$9)),MAX(MIN('Council Entry'!Q56,'Council Entry'!Q$9),'Council Entry'!Q$8),'Council Entry'!Q56))))-'Council Entry'!Q$5)/('Council Entry'!Q$6-'Council Entry'!Q$5),10*((IF('Council Entry'!Q$4="Logarithm",LN(0.001+IF(AND(ISNUMBER('Council Entry'!Q$8),ISNUMBER('Council Entry'!Q$9)),MAX(MIN('Council Entry'!Q56,'Council Entry'!Q$9),'Council Entry'!Q$8),'Council Entry'!Q56)),IF('Council Entry'!Q$4="Exponential",EXP(IF(AND(ISNUMBER('Council Entry'!Q$8),ISNUMBER('Council Entry'!Q$9)),MAX(MIN('Council Entry'!Q56,'Council Entry'!Q$9),'Council Entry'!Q$8),'Council Entry'!Q56)),IF(AND(ISNUMBER('Council Entry'!Q$8),ISNUMBER('Council Entry'!Q$9)),MAX(MIN('Council Entry'!Q56,'Council Entry'!Q$9),'Council Entry'!Q$8),'Council Entry'!Q56))))-'Council Entry'!Q$5)/('Council Entry'!Q$6-'Council Entry'!Q$5)),1))),"No data"))</f>
        <v/>
      </c>
      <c r="R56" s="13">
        <f>IF('Council Entry'!R56="","",IFERROR(MAX(0,MIN(10,ROUND(IF('Council Entry'!R$7="Decrease Risk",10-10*((IF('Council Entry'!R$4="Logarithm",LN(0.001+IF(AND(ISNUMBER('Council Entry'!R$8),ISNUMBER('Council Entry'!R$9)),MAX(MIN('Council Entry'!R56,'Council Entry'!R$9),'Council Entry'!R$8),'Council Entry'!R56)),IF('Council Entry'!R$4="Exponential",EXP(IF(AND(ISNUMBER('Council Entry'!R$8),ISNUMBER('Council Entry'!R$9)),MAX(MIN('Council Entry'!R56,'Council Entry'!R$9),'Council Entry'!R$8),'Council Entry'!R56)),IF(AND(ISNUMBER('Council Entry'!R$8),ISNUMBER('Council Entry'!R$9)),MAX(MIN('Council Entry'!R56,'Council Entry'!R$9),'Council Entry'!R$8),'Council Entry'!R56))))-'Council Entry'!R$5)/('Council Entry'!R$6-'Council Entry'!R$5),10*((IF('Council Entry'!R$4="Logarithm",LN(0.001+IF(AND(ISNUMBER('Council Entry'!R$8),ISNUMBER('Council Entry'!R$9)),MAX(MIN('Council Entry'!R56,'Council Entry'!R$9),'Council Entry'!R$8),'Council Entry'!R56)),IF('Council Entry'!R$4="Exponential",EXP(IF(AND(ISNUMBER('Council Entry'!R$8),ISNUMBER('Council Entry'!R$9)),MAX(MIN('Council Entry'!R56,'Council Entry'!R$9),'Council Entry'!R$8),'Council Entry'!R56)),IF(AND(ISNUMBER('Council Entry'!R$8),ISNUMBER('Council Entry'!R$9)),MAX(MIN('Council Entry'!R56,'Council Entry'!R$9),'Council Entry'!R$8),'Council Entry'!R56))))-'Council Entry'!R$5)/('Council Entry'!R$6-'Council Entry'!R$5)),1))),"No data"))</f>
        <v/>
      </c>
      <c r="S56" s="13">
        <f>IF('Council Entry'!S56="","",IFERROR(MAX(0,MIN(10,ROUND(IF('Council Entry'!S$7="Decrease Risk",10-10*((IF('Council Entry'!S$4="Logarithm",LN(0.001+IF(AND(ISNUMBER('Council Entry'!S$8),ISNUMBER('Council Entry'!S$9)),MAX(MIN('Council Entry'!S56,'Council Entry'!S$9),'Council Entry'!S$8),'Council Entry'!S56)),IF('Council Entry'!S$4="Exponential",EXP(IF(AND(ISNUMBER('Council Entry'!S$8),ISNUMBER('Council Entry'!S$9)),MAX(MIN('Council Entry'!S56,'Council Entry'!S$9),'Council Entry'!S$8),'Council Entry'!S56)),IF(AND(ISNUMBER('Council Entry'!S$8),ISNUMBER('Council Entry'!S$9)),MAX(MIN('Council Entry'!S56,'Council Entry'!S$9),'Council Entry'!S$8),'Council Entry'!S56))))-'Council Entry'!S$5)/('Council Entry'!S$6-'Council Entry'!S$5),10*((IF('Council Entry'!S$4="Logarithm",LN(0.001+IF(AND(ISNUMBER('Council Entry'!S$8),ISNUMBER('Council Entry'!S$9)),MAX(MIN('Council Entry'!S56,'Council Entry'!S$9),'Council Entry'!S$8),'Council Entry'!S56)),IF('Council Entry'!S$4="Exponential",EXP(IF(AND(ISNUMBER('Council Entry'!S$8),ISNUMBER('Council Entry'!S$9)),MAX(MIN('Council Entry'!S56,'Council Entry'!S$9),'Council Entry'!S$8),'Council Entry'!S56)),IF(AND(ISNUMBER('Council Entry'!S$8),ISNUMBER('Council Entry'!S$9)),MAX(MIN('Council Entry'!S56,'Council Entry'!S$9),'Council Entry'!S$8),'Council Entry'!S56))))-'Council Entry'!S$5)/('Council Entry'!S$6-'Council Entry'!S$5)),1))),"No data"))</f>
        <v/>
      </c>
      <c r="T56" s="13">
        <f>IF('Council Entry'!T56="","",IFERROR(MAX(0,MIN(10,ROUND(IF('Council Entry'!T$7="Decrease Risk",10-10*((IF('Council Entry'!T$4="Logarithm",LN(0.001+IF(AND(ISNUMBER('Council Entry'!T$8),ISNUMBER('Council Entry'!T$9)),MAX(MIN('Council Entry'!T56,'Council Entry'!T$9),'Council Entry'!T$8),'Council Entry'!T56)),IF('Council Entry'!T$4="Exponential",EXP(IF(AND(ISNUMBER('Council Entry'!T$8),ISNUMBER('Council Entry'!T$9)),MAX(MIN('Council Entry'!T56,'Council Entry'!T$9),'Council Entry'!T$8),'Council Entry'!T56)),IF(AND(ISNUMBER('Council Entry'!T$8),ISNUMBER('Council Entry'!T$9)),MAX(MIN('Council Entry'!T56,'Council Entry'!T$9),'Council Entry'!T$8),'Council Entry'!T56))))-'Council Entry'!T$5)/('Council Entry'!T$6-'Council Entry'!T$5),10*((IF('Council Entry'!T$4="Logarithm",LN(0.001+IF(AND(ISNUMBER('Council Entry'!T$8),ISNUMBER('Council Entry'!T$9)),MAX(MIN('Council Entry'!T56,'Council Entry'!T$9),'Council Entry'!T$8),'Council Entry'!T56)),IF('Council Entry'!T$4="Exponential",EXP(IF(AND(ISNUMBER('Council Entry'!T$8),ISNUMBER('Council Entry'!T$9)),MAX(MIN('Council Entry'!T56,'Council Entry'!T$9),'Council Entry'!T$8),'Council Entry'!T56)),IF(AND(ISNUMBER('Council Entry'!T$8),ISNUMBER('Council Entry'!T$9)),MAX(MIN('Council Entry'!T56,'Council Entry'!T$9),'Council Entry'!T$8),'Council Entry'!T56))))-'Council Entry'!T$5)/('Council Entry'!T$6-'Council Entry'!T$5)),1))),"No data"))</f>
        <v/>
      </c>
      <c r="U56" s="13">
        <f>IF('Council Entry'!U56="","",IFERROR(MAX(0,MIN(10,ROUND(IF('Council Entry'!U$7="Decrease Risk",10-10*((IF('Council Entry'!U$4="Logarithm",LN(0.001+IF(AND(ISNUMBER('Council Entry'!U$8),ISNUMBER('Council Entry'!U$9)),MAX(MIN('Council Entry'!U56,'Council Entry'!U$9),'Council Entry'!U$8),'Council Entry'!U56)),IF('Council Entry'!U$4="Exponential",EXP(IF(AND(ISNUMBER('Council Entry'!U$8),ISNUMBER('Council Entry'!U$9)),MAX(MIN('Council Entry'!U56,'Council Entry'!U$9),'Council Entry'!U$8),'Council Entry'!U56)),IF(AND(ISNUMBER('Council Entry'!U$8),ISNUMBER('Council Entry'!U$9)),MAX(MIN('Council Entry'!U56,'Council Entry'!U$9),'Council Entry'!U$8),'Council Entry'!U56))))-'Council Entry'!U$5)/('Council Entry'!U$6-'Council Entry'!U$5),10*((IF('Council Entry'!U$4="Logarithm",LN(0.001+IF(AND(ISNUMBER('Council Entry'!U$8),ISNUMBER('Council Entry'!U$9)),MAX(MIN('Council Entry'!U56,'Council Entry'!U$9),'Council Entry'!U$8),'Council Entry'!U56)),IF('Council Entry'!U$4="Exponential",EXP(IF(AND(ISNUMBER('Council Entry'!U$8),ISNUMBER('Council Entry'!U$9)),MAX(MIN('Council Entry'!U56,'Council Entry'!U$9),'Council Entry'!U$8),'Council Entry'!U56)),IF(AND(ISNUMBER('Council Entry'!U$8),ISNUMBER('Council Entry'!U$9)),MAX(MIN('Council Entry'!U56,'Council Entry'!U$9),'Council Entry'!U$8),'Council Entry'!U56))))-'Council Entry'!U$5)/('Council Entry'!U$6-'Council Entry'!U$5)),1))),"No data"))</f>
        <v/>
      </c>
      <c r="V56" s="13">
        <f>IF('Council Entry'!V56="","",IFERROR(MAX(0,MIN(10,ROUND(IF('Council Entry'!V$7="Decrease Risk",10-10*((IF('Council Entry'!V$4="Logarithm",LN(0.001+IF(AND(ISNUMBER('Council Entry'!V$8),ISNUMBER('Council Entry'!V$9)),MAX(MIN('Council Entry'!V56,'Council Entry'!V$9),'Council Entry'!V$8),'Council Entry'!V56)),IF('Council Entry'!V$4="Exponential",EXP(IF(AND(ISNUMBER('Council Entry'!V$8),ISNUMBER('Council Entry'!V$9)),MAX(MIN('Council Entry'!V56,'Council Entry'!V$9),'Council Entry'!V$8),'Council Entry'!V56)),IF(AND(ISNUMBER('Council Entry'!V$8),ISNUMBER('Council Entry'!V$9)),MAX(MIN('Council Entry'!V56,'Council Entry'!V$9),'Council Entry'!V$8),'Council Entry'!V56))))-'Council Entry'!V$5)/('Council Entry'!V$6-'Council Entry'!V$5),10*((IF('Council Entry'!V$4="Logarithm",LN(0.001+IF(AND(ISNUMBER('Council Entry'!V$8),ISNUMBER('Council Entry'!V$9)),MAX(MIN('Council Entry'!V56,'Council Entry'!V$9),'Council Entry'!V$8),'Council Entry'!V56)),IF('Council Entry'!V$4="Exponential",EXP(IF(AND(ISNUMBER('Council Entry'!V$8),ISNUMBER('Council Entry'!V$9)),MAX(MIN('Council Entry'!V56,'Council Entry'!V$9),'Council Entry'!V$8),'Council Entry'!V56)),IF(AND(ISNUMBER('Council Entry'!V$8),ISNUMBER('Council Entry'!V$9)),MAX(MIN('Council Entry'!V56,'Council Entry'!V$9),'Council Entry'!V$8),'Council Entry'!V56))))-'Council Entry'!V$5)/('Council Entry'!V$6-'Council Entry'!V$5)),1))),"No data"))</f>
        <v/>
      </c>
      <c r="W56" s="13">
        <f>IF('Council Entry'!W56="","",IFERROR(MAX(0,MIN(10,ROUND(IF('Council Entry'!W$7="Decrease Risk",10-10*((IF('Council Entry'!W$4="Logarithm",LN(0.001+IF(AND(ISNUMBER('Council Entry'!W$8),ISNUMBER('Council Entry'!W$9)),MAX(MIN('Council Entry'!W56,'Council Entry'!W$9),'Council Entry'!W$8),'Council Entry'!W56)),IF('Council Entry'!W$4="Exponential",EXP(IF(AND(ISNUMBER('Council Entry'!W$8),ISNUMBER('Council Entry'!W$9)),MAX(MIN('Council Entry'!W56,'Council Entry'!W$9),'Council Entry'!W$8),'Council Entry'!W56)),IF(AND(ISNUMBER('Council Entry'!W$8),ISNUMBER('Council Entry'!W$9)),MAX(MIN('Council Entry'!W56,'Council Entry'!W$9),'Council Entry'!W$8),'Council Entry'!W56))))-'Council Entry'!W$5)/('Council Entry'!W$6-'Council Entry'!W$5),10*((IF('Council Entry'!W$4="Logarithm",LN(0.001+IF(AND(ISNUMBER('Council Entry'!W$8),ISNUMBER('Council Entry'!W$9)),MAX(MIN('Council Entry'!W56,'Council Entry'!W$9),'Council Entry'!W$8),'Council Entry'!W56)),IF('Council Entry'!W$4="Exponential",EXP(IF(AND(ISNUMBER('Council Entry'!W$8),ISNUMBER('Council Entry'!W$9)),MAX(MIN('Council Entry'!W56,'Council Entry'!W$9),'Council Entry'!W$8),'Council Entry'!W56)),IF(AND(ISNUMBER('Council Entry'!W$8),ISNUMBER('Council Entry'!W$9)),MAX(MIN('Council Entry'!W56,'Council Entry'!W$9),'Council Entry'!W$8),'Council Entry'!W56))))-'Council Entry'!W$5)/('Council Entry'!W$6-'Council Entry'!W$5)),1))),"No data"))</f>
        <v/>
      </c>
      <c r="X56" s="13">
        <f>IF('Council Entry'!X56="","",IFERROR(MAX(0,MIN(10,ROUND(IF('Council Entry'!X$7="Decrease Risk",10-10*((IF('Council Entry'!X$4="Logarithm",LN(0.001+IF(AND(ISNUMBER('Council Entry'!X$8),ISNUMBER('Council Entry'!X$9)),MAX(MIN('Council Entry'!X56,'Council Entry'!X$9),'Council Entry'!X$8),'Council Entry'!X56)),IF('Council Entry'!X$4="Exponential",EXP(IF(AND(ISNUMBER('Council Entry'!X$8),ISNUMBER('Council Entry'!X$9)),MAX(MIN('Council Entry'!X56,'Council Entry'!X$9),'Council Entry'!X$8),'Council Entry'!X56)),IF(AND(ISNUMBER('Council Entry'!X$8),ISNUMBER('Council Entry'!X$9)),MAX(MIN('Council Entry'!X56,'Council Entry'!X$9),'Council Entry'!X$8),'Council Entry'!X56))))-'Council Entry'!X$5)/('Council Entry'!X$6-'Council Entry'!X$5),10*((IF('Council Entry'!X$4="Logarithm",LN(0.001+IF(AND(ISNUMBER('Council Entry'!X$8),ISNUMBER('Council Entry'!X$9)),MAX(MIN('Council Entry'!X56,'Council Entry'!X$9),'Council Entry'!X$8),'Council Entry'!X56)),IF('Council Entry'!X$4="Exponential",EXP(IF(AND(ISNUMBER('Council Entry'!X$8),ISNUMBER('Council Entry'!X$9)),MAX(MIN('Council Entry'!X56,'Council Entry'!X$9),'Council Entry'!X$8),'Council Entry'!X56)),IF(AND(ISNUMBER('Council Entry'!X$8),ISNUMBER('Council Entry'!X$9)),MAX(MIN('Council Entry'!X56,'Council Entry'!X$9),'Council Entry'!X$8),'Council Entry'!X56))))-'Council Entry'!X$5)/('Council Entry'!X$6-'Council Entry'!X$5)),1))),"No data"))</f>
        <v/>
      </c>
      <c r="Y56" s="13">
        <f>IF('Council Entry'!Y56="","",IFERROR(MAX(0,MIN(10,ROUND(IF('Council Entry'!Y$7="Decrease Risk",10-10*((IF('Council Entry'!Y$4="Logarithm",LN(0.001+IF(AND(ISNUMBER('Council Entry'!Y$8),ISNUMBER('Council Entry'!Y$9)),MAX(MIN('Council Entry'!Y56,'Council Entry'!Y$9),'Council Entry'!Y$8),'Council Entry'!Y56)),IF('Council Entry'!Y$4="Exponential",EXP(IF(AND(ISNUMBER('Council Entry'!Y$8),ISNUMBER('Council Entry'!Y$9)),MAX(MIN('Council Entry'!Y56,'Council Entry'!Y$9),'Council Entry'!Y$8),'Council Entry'!Y56)),IF(AND(ISNUMBER('Council Entry'!Y$8),ISNUMBER('Council Entry'!Y$9)),MAX(MIN('Council Entry'!Y56,'Council Entry'!Y$9),'Council Entry'!Y$8),'Council Entry'!Y56))))-'Council Entry'!Y$5)/('Council Entry'!Y$6-'Council Entry'!Y$5),10*((IF('Council Entry'!Y$4="Logarithm",LN(0.001+IF(AND(ISNUMBER('Council Entry'!Y$8),ISNUMBER('Council Entry'!Y$9)),MAX(MIN('Council Entry'!Y56,'Council Entry'!Y$9),'Council Entry'!Y$8),'Council Entry'!Y56)),IF('Council Entry'!Y$4="Exponential",EXP(IF(AND(ISNUMBER('Council Entry'!Y$8),ISNUMBER('Council Entry'!Y$9)),MAX(MIN('Council Entry'!Y56,'Council Entry'!Y$9),'Council Entry'!Y$8),'Council Entry'!Y56)),IF(AND(ISNUMBER('Council Entry'!Y$8),ISNUMBER('Council Entry'!Y$9)),MAX(MIN('Council Entry'!Y56,'Council Entry'!Y$9),'Council Entry'!Y$8),'Council Entry'!Y56))))-'Council Entry'!Y$5)/('Council Entry'!Y$6-'Council Entry'!Y$5)),1))),"No data"))</f>
        <v/>
      </c>
      <c r="Z56" s="13">
        <f>IF('Council Entry'!Z56="","",IFERROR(MAX(0,MIN(10,ROUND(IF('Council Entry'!Z$7="Decrease Risk",10-10*((IF('Council Entry'!Z$4="Logarithm",LN(0.001+IF(AND(ISNUMBER('Council Entry'!Z$8),ISNUMBER('Council Entry'!Z$9)),MAX(MIN('Council Entry'!Z56,'Council Entry'!Z$9),'Council Entry'!Z$8),'Council Entry'!Z56)),IF('Council Entry'!Z$4="Exponential",EXP(IF(AND(ISNUMBER('Council Entry'!Z$8),ISNUMBER('Council Entry'!Z$9)),MAX(MIN('Council Entry'!Z56,'Council Entry'!Z$9),'Council Entry'!Z$8),'Council Entry'!Z56)),IF(AND(ISNUMBER('Council Entry'!Z$8),ISNUMBER('Council Entry'!Z$9)),MAX(MIN('Council Entry'!Z56,'Council Entry'!Z$9),'Council Entry'!Z$8),'Council Entry'!Z56))))-'Council Entry'!Z$5)/('Council Entry'!Z$6-'Council Entry'!Z$5),10*((IF('Council Entry'!Z$4="Logarithm",LN(0.001+IF(AND(ISNUMBER('Council Entry'!Z$8),ISNUMBER('Council Entry'!Z$9)),MAX(MIN('Council Entry'!Z56,'Council Entry'!Z$9),'Council Entry'!Z$8),'Council Entry'!Z56)),IF('Council Entry'!Z$4="Exponential",EXP(IF(AND(ISNUMBER('Council Entry'!Z$8),ISNUMBER('Council Entry'!Z$9)),MAX(MIN('Council Entry'!Z56,'Council Entry'!Z$9),'Council Entry'!Z$8),'Council Entry'!Z56)),IF(AND(ISNUMBER('Council Entry'!Z$8),ISNUMBER('Council Entry'!Z$9)),MAX(MIN('Council Entry'!Z56,'Council Entry'!Z$9),'Council Entry'!Z$8),'Council Entry'!Z56))))-'Council Entry'!Z$5)/('Council Entry'!Z$6-'Council Entry'!Z$5)),1))),"No data"))</f>
        <v/>
      </c>
      <c r="AA56" s="13">
        <f>IF('Council Entry'!AA56="","",IFERROR(MAX(0,MIN(10,ROUND(IF('Council Entry'!AA$7="Decrease Risk",10-10*((IF('Council Entry'!AA$4="Logarithm",LN(0.001+IF(AND(ISNUMBER('Council Entry'!AA$8),ISNUMBER('Council Entry'!AA$9)),MAX(MIN('Council Entry'!AA56,'Council Entry'!AA$9),'Council Entry'!AA$8),'Council Entry'!AA56)),IF('Council Entry'!AA$4="Exponential",EXP(IF(AND(ISNUMBER('Council Entry'!AA$8),ISNUMBER('Council Entry'!AA$9)),MAX(MIN('Council Entry'!AA56,'Council Entry'!AA$9),'Council Entry'!AA$8),'Council Entry'!AA56)),IF(AND(ISNUMBER('Council Entry'!AA$8),ISNUMBER('Council Entry'!AA$9)),MAX(MIN('Council Entry'!AA56,'Council Entry'!AA$9),'Council Entry'!AA$8),'Council Entry'!AA56))))-'Council Entry'!AA$5)/('Council Entry'!AA$6-'Council Entry'!AA$5),10*((IF('Council Entry'!AA$4="Logarithm",LN(0.001+IF(AND(ISNUMBER('Council Entry'!AA$8),ISNUMBER('Council Entry'!AA$9)),MAX(MIN('Council Entry'!AA56,'Council Entry'!AA$9),'Council Entry'!AA$8),'Council Entry'!AA56)),IF('Council Entry'!AA$4="Exponential",EXP(IF(AND(ISNUMBER('Council Entry'!AA$8),ISNUMBER('Council Entry'!AA$9)),MAX(MIN('Council Entry'!AA56,'Council Entry'!AA$9),'Council Entry'!AA$8),'Council Entry'!AA56)),IF(AND(ISNUMBER('Council Entry'!AA$8),ISNUMBER('Council Entry'!AA$9)),MAX(MIN('Council Entry'!AA56,'Council Entry'!AA$9),'Council Entry'!AA$8),'Council Entry'!AA56))))-'Council Entry'!AA$5)/('Council Entry'!AA$6-'Council Entry'!AA$5)),1))),"No data"))</f>
        <v/>
      </c>
      <c r="AB56" s="13">
        <f>IF('Council Entry'!AB56="","",IFERROR(MAX(0,MIN(10,ROUND(IF('Council Entry'!AB$7="Decrease Risk",10-10*((IF('Council Entry'!AB$4="Logarithm",LN(0.001+IF(AND(ISNUMBER('Council Entry'!AB$8),ISNUMBER('Council Entry'!AB$9)),MAX(MIN('Council Entry'!AB56,'Council Entry'!AB$9),'Council Entry'!AB$8),'Council Entry'!AB56)),IF('Council Entry'!AB$4="Exponential",EXP(IF(AND(ISNUMBER('Council Entry'!AB$8),ISNUMBER('Council Entry'!AB$9)),MAX(MIN('Council Entry'!AB56,'Council Entry'!AB$9),'Council Entry'!AB$8),'Council Entry'!AB56)),IF(AND(ISNUMBER('Council Entry'!AB$8),ISNUMBER('Council Entry'!AB$9)),MAX(MIN('Council Entry'!AB56,'Council Entry'!AB$9),'Council Entry'!AB$8),'Council Entry'!AB56))))-'Council Entry'!AB$5)/('Council Entry'!AB$6-'Council Entry'!AB$5),10*((IF('Council Entry'!AB$4="Logarithm",LN(0.001+IF(AND(ISNUMBER('Council Entry'!AB$8),ISNUMBER('Council Entry'!AB$9)),MAX(MIN('Council Entry'!AB56,'Council Entry'!AB$9),'Council Entry'!AB$8),'Council Entry'!AB56)),IF('Council Entry'!AB$4="Exponential",EXP(IF(AND(ISNUMBER('Council Entry'!AB$8),ISNUMBER('Council Entry'!AB$9)),MAX(MIN('Council Entry'!AB56,'Council Entry'!AB$9),'Council Entry'!AB$8),'Council Entry'!AB56)),IF(AND(ISNUMBER('Council Entry'!AB$8),ISNUMBER('Council Entry'!AB$9)),MAX(MIN('Council Entry'!AB56,'Council Entry'!AB$9),'Council Entry'!AB$8),'Council Entry'!AB56))))-'Council Entry'!AB$5)/('Council Entry'!AB$6-'Council Entry'!AB$5)),1))),"No data"))</f>
        <v/>
      </c>
      <c r="AC56" s="13">
        <f>IF('Council Entry'!AC56="","",IFERROR(MAX(0,MIN(10,ROUND(IF('Council Entry'!AC$7="Decrease Risk",10-10*((IF('Council Entry'!AC$4="Logarithm",LN(0.001+IF(AND(ISNUMBER('Council Entry'!AC$8),ISNUMBER('Council Entry'!AC$9)),MAX(MIN('Council Entry'!AC56,'Council Entry'!AC$9),'Council Entry'!AC$8),'Council Entry'!AC56)),IF('Council Entry'!AC$4="Exponential",EXP(IF(AND(ISNUMBER('Council Entry'!AC$8),ISNUMBER('Council Entry'!AC$9)),MAX(MIN('Council Entry'!AC56,'Council Entry'!AC$9),'Council Entry'!AC$8),'Council Entry'!AC56)),IF(AND(ISNUMBER('Council Entry'!AC$8),ISNUMBER('Council Entry'!AC$9)),MAX(MIN('Council Entry'!AC56,'Council Entry'!AC$9),'Council Entry'!AC$8),'Council Entry'!AC56))))-'Council Entry'!AC$5)/('Council Entry'!AC$6-'Council Entry'!AC$5),10*((IF('Council Entry'!AC$4="Logarithm",LN(0.001+IF(AND(ISNUMBER('Council Entry'!AC$8),ISNUMBER('Council Entry'!AC$9)),MAX(MIN('Council Entry'!AC56,'Council Entry'!AC$9),'Council Entry'!AC$8),'Council Entry'!AC56)),IF('Council Entry'!AC$4="Exponential",EXP(IF(AND(ISNUMBER('Council Entry'!AC$8),ISNUMBER('Council Entry'!AC$9)),MAX(MIN('Council Entry'!AC56,'Council Entry'!AC$9),'Council Entry'!AC$8),'Council Entry'!AC56)),IF(AND(ISNUMBER('Council Entry'!AC$8),ISNUMBER('Council Entry'!AC$9)),MAX(MIN('Council Entry'!AC56,'Council Entry'!AC$9),'Council Entry'!AC$8),'Council Entry'!AC56))))-'Council Entry'!AC$5)/('Council Entry'!AC$6-'Council Entry'!AC$5)),1))),"No data"))</f>
        <v/>
      </c>
      <c r="AD56" s="13">
        <f>IF('Council Entry'!AD56="","",IFERROR(MAX(0,MIN(10,ROUND(IF('Council Entry'!AD$7="Decrease Risk",10-10*((IF('Council Entry'!AD$4="Logarithm",LN(0.001+IF(AND(ISNUMBER('Council Entry'!AD$8),ISNUMBER('Council Entry'!AD$9)),MAX(MIN('Council Entry'!AD56,'Council Entry'!AD$9),'Council Entry'!AD$8),'Council Entry'!AD56)),IF('Council Entry'!AD$4="Exponential",EXP(IF(AND(ISNUMBER('Council Entry'!AD$8),ISNUMBER('Council Entry'!AD$9)),MAX(MIN('Council Entry'!AD56,'Council Entry'!AD$9),'Council Entry'!AD$8),'Council Entry'!AD56)),IF(AND(ISNUMBER('Council Entry'!AD$8),ISNUMBER('Council Entry'!AD$9)),MAX(MIN('Council Entry'!AD56,'Council Entry'!AD$9),'Council Entry'!AD$8),'Council Entry'!AD56))))-'Council Entry'!AD$5)/('Council Entry'!AD$6-'Council Entry'!AD$5),10*((IF('Council Entry'!AD$4="Logarithm",LN(0.001+IF(AND(ISNUMBER('Council Entry'!AD$8),ISNUMBER('Council Entry'!AD$9)),MAX(MIN('Council Entry'!AD56,'Council Entry'!AD$9),'Council Entry'!AD$8),'Council Entry'!AD56)),IF('Council Entry'!AD$4="Exponential",EXP(IF(AND(ISNUMBER('Council Entry'!AD$8),ISNUMBER('Council Entry'!AD$9)),MAX(MIN('Council Entry'!AD56,'Council Entry'!AD$9),'Council Entry'!AD$8),'Council Entry'!AD56)),IF(AND(ISNUMBER('Council Entry'!AD$8),ISNUMBER('Council Entry'!AD$9)),MAX(MIN('Council Entry'!AD56,'Council Entry'!AD$9),'Council Entry'!AD$8),'Council Entry'!AD56))))-'Council Entry'!AD$5)/('Council Entry'!AD$6-'Council Entry'!AD$5)),1))),"No data"))</f>
        <v/>
      </c>
      <c r="AE56" s="13">
        <f>IF('Council Entry'!AE56="","",IFERROR(MAX(0,MIN(10,ROUND(IF('Council Entry'!AE$7="Decrease Risk",10-10*((IF('Council Entry'!AE$4="Logarithm",LN(0.001+IF(AND(ISNUMBER('Council Entry'!AE$8),ISNUMBER('Council Entry'!AE$9)),MAX(MIN('Council Entry'!AE56,'Council Entry'!AE$9),'Council Entry'!AE$8),'Council Entry'!AE56)),IF('Council Entry'!AE$4="Exponential",EXP(IF(AND(ISNUMBER('Council Entry'!AE$8),ISNUMBER('Council Entry'!AE$9)),MAX(MIN('Council Entry'!AE56,'Council Entry'!AE$9),'Council Entry'!AE$8),'Council Entry'!AE56)),IF(AND(ISNUMBER('Council Entry'!AE$8),ISNUMBER('Council Entry'!AE$9)),MAX(MIN('Council Entry'!AE56,'Council Entry'!AE$9),'Council Entry'!AE$8),'Council Entry'!AE56))))-'Council Entry'!AE$5)/('Council Entry'!AE$6-'Council Entry'!AE$5),10*((IF('Council Entry'!AE$4="Logarithm",LN(0.001+IF(AND(ISNUMBER('Council Entry'!AE$8),ISNUMBER('Council Entry'!AE$9)),MAX(MIN('Council Entry'!AE56,'Council Entry'!AE$9),'Council Entry'!AE$8),'Council Entry'!AE56)),IF('Council Entry'!AE$4="Exponential",EXP(IF(AND(ISNUMBER('Council Entry'!AE$8),ISNUMBER('Council Entry'!AE$9)),MAX(MIN('Council Entry'!AE56,'Council Entry'!AE$9),'Council Entry'!AE$8),'Council Entry'!AE56)),IF(AND(ISNUMBER('Council Entry'!AE$8),ISNUMBER('Council Entry'!AE$9)),MAX(MIN('Council Entry'!AE56,'Council Entry'!AE$9),'Council Entry'!AE$8),'Council Entry'!AE56))))-'Council Entry'!AE$5)/('Council Entry'!AE$6-'Council Entry'!AE$5)),1))),"No data"))</f>
        <v/>
      </c>
      <c r="AF56" s="13">
        <f>IF('Council Entry'!AF56="","",IFERROR(MAX(0,MIN(10,ROUND(IF('Council Entry'!AF$7="Decrease Risk",10-10*((IF('Council Entry'!AF$4="Logarithm",LN(0.001+IF(AND(ISNUMBER('Council Entry'!AF$8),ISNUMBER('Council Entry'!AF$9)),MAX(MIN('Council Entry'!AF56,'Council Entry'!AF$9),'Council Entry'!AF$8),'Council Entry'!AF56)),IF('Council Entry'!AF$4="Exponential",EXP(IF(AND(ISNUMBER('Council Entry'!AF$8),ISNUMBER('Council Entry'!AF$9)),MAX(MIN('Council Entry'!AF56,'Council Entry'!AF$9),'Council Entry'!AF$8),'Council Entry'!AF56)),IF(AND(ISNUMBER('Council Entry'!AF$8),ISNUMBER('Council Entry'!AF$9)),MAX(MIN('Council Entry'!AF56,'Council Entry'!AF$9),'Council Entry'!AF$8),'Council Entry'!AF56))))-'Council Entry'!AF$5)/('Council Entry'!AF$6-'Council Entry'!AF$5),10*((IF('Council Entry'!AF$4="Logarithm",LN(0.001+IF(AND(ISNUMBER('Council Entry'!AF$8),ISNUMBER('Council Entry'!AF$9)),MAX(MIN('Council Entry'!AF56,'Council Entry'!AF$9),'Council Entry'!AF$8),'Council Entry'!AF56)),IF('Council Entry'!AF$4="Exponential",EXP(IF(AND(ISNUMBER('Council Entry'!AF$8),ISNUMBER('Council Entry'!AF$9)),MAX(MIN('Council Entry'!AF56,'Council Entry'!AF$9),'Council Entry'!AF$8),'Council Entry'!AF56)),IF(AND(ISNUMBER('Council Entry'!AF$8),ISNUMBER('Council Entry'!AF$9)),MAX(MIN('Council Entry'!AF56,'Council Entry'!AF$9),'Council Entry'!AF$8),'Council Entry'!AF56))))-'Council Entry'!AF$5)/('Council Entry'!AF$6-'Council Entry'!AF$5)),1))),"No data"))</f>
        <v/>
      </c>
      <c r="AG56" s="13">
        <f>IF('Council Entry'!AG56="","",IFERROR(MAX(0,MIN(10,ROUND(IF('Council Entry'!AG$7="Decrease Risk",10-10*((IF('Council Entry'!AG$4="Logarithm",LN(0.001+IF(AND(ISNUMBER('Council Entry'!AG$8),ISNUMBER('Council Entry'!AG$9)),MAX(MIN('Council Entry'!AG56,'Council Entry'!AG$9),'Council Entry'!AG$8),'Council Entry'!AG56)),IF('Council Entry'!AG$4="Exponential",EXP(IF(AND(ISNUMBER('Council Entry'!AG$8),ISNUMBER('Council Entry'!AG$9)),MAX(MIN('Council Entry'!AG56,'Council Entry'!AG$9),'Council Entry'!AG$8),'Council Entry'!AG56)),IF(AND(ISNUMBER('Council Entry'!AG$8),ISNUMBER('Council Entry'!AG$9)),MAX(MIN('Council Entry'!AG56,'Council Entry'!AG$9),'Council Entry'!AG$8),'Council Entry'!AG56))))-'Council Entry'!AG$5)/('Council Entry'!AG$6-'Council Entry'!AG$5),10*((IF('Council Entry'!AG$4="Logarithm",LN(0.001+IF(AND(ISNUMBER('Council Entry'!AG$8),ISNUMBER('Council Entry'!AG$9)),MAX(MIN('Council Entry'!AG56,'Council Entry'!AG$9),'Council Entry'!AG$8),'Council Entry'!AG56)),IF('Council Entry'!AG$4="Exponential",EXP(IF(AND(ISNUMBER('Council Entry'!AG$8),ISNUMBER('Council Entry'!AG$9)),MAX(MIN('Council Entry'!AG56,'Council Entry'!AG$9),'Council Entry'!AG$8),'Council Entry'!AG56)),IF(AND(ISNUMBER('Council Entry'!AG$8),ISNUMBER('Council Entry'!AG$9)),MAX(MIN('Council Entry'!AG56,'Council Entry'!AG$9),'Council Entry'!AG$8),'Council Entry'!AG56))))-'Council Entry'!AG$5)/('Council Entry'!AG$6-'Council Entry'!AG$5)),1))),"No data"))</f>
        <v/>
      </c>
      <c r="AH56" s="13">
        <f>IF('Council Entry'!AH56="","",IFERROR(MAX(0,MIN(10,ROUND(IF('Council Entry'!AH$7="Decrease Risk",10-10*((IF('Council Entry'!AH$4="Logarithm",LN(0.001+IF(AND(ISNUMBER('Council Entry'!AH$8),ISNUMBER('Council Entry'!AH$9)),MAX(MIN('Council Entry'!AH56,'Council Entry'!AH$9),'Council Entry'!AH$8),'Council Entry'!AH56)),IF('Council Entry'!AH$4="Exponential",EXP(IF(AND(ISNUMBER('Council Entry'!AH$8),ISNUMBER('Council Entry'!AH$9)),MAX(MIN('Council Entry'!AH56,'Council Entry'!AH$9),'Council Entry'!AH$8),'Council Entry'!AH56)),IF(AND(ISNUMBER('Council Entry'!AH$8),ISNUMBER('Council Entry'!AH$9)),MAX(MIN('Council Entry'!AH56,'Council Entry'!AH$9),'Council Entry'!AH$8),'Council Entry'!AH56))))-'Council Entry'!AH$5)/('Council Entry'!AH$6-'Council Entry'!AH$5),10*((IF('Council Entry'!AH$4="Logarithm",LN(0.001+IF(AND(ISNUMBER('Council Entry'!AH$8),ISNUMBER('Council Entry'!AH$9)),MAX(MIN('Council Entry'!AH56,'Council Entry'!AH$9),'Council Entry'!AH$8),'Council Entry'!AH56)),IF('Council Entry'!AH$4="Exponential",EXP(IF(AND(ISNUMBER('Council Entry'!AH$8),ISNUMBER('Council Entry'!AH$9)),MAX(MIN('Council Entry'!AH56,'Council Entry'!AH$9),'Council Entry'!AH$8),'Council Entry'!AH56)),IF(AND(ISNUMBER('Council Entry'!AH$8),ISNUMBER('Council Entry'!AH$9)),MAX(MIN('Council Entry'!AH56,'Council Entry'!AH$9),'Council Entry'!AH$8),'Council Entry'!AH56))))-'Council Entry'!AH$5)/('Council Entry'!AH$6-'Council Entry'!AH$5)),1))),"No data"))</f>
        <v/>
      </c>
      <c r="AI56" s="13">
        <f>IF('Council Entry'!AI56="","",IFERROR(MAX(0,MIN(10,ROUND(IF('Council Entry'!AI$7="Decrease Risk",10-10*((IF('Council Entry'!AI$4="Logarithm",LN(0.001+IF(AND(ISNUMBER('Council Entry'!AI$8),ISNUMBER('Council Entry'!AI$9)),MAX(MIN('Council Entry'!AI56,'Council Entry'!AI$9),'Council Entry'!AI$8),'Council Entry'!AI56)),IF('Council Entry'!AI$4="Exponential",EXP(IF(AND(ISNUMBER('Council Entry'!AI$8),ISNUMBER('Council Entry'!AI$9)),MAX(MIN('Council Entry'!AI56,'Council Entry'!AI$9),'Council Entry'!AI$8),'Council Entry'!AI56)),IF(AND(ISNUMBER('Council Entry'!AI$8),ISNUMBER('Council Entry'!AI$9)),MAX(MIN('Council Entry'!AI56,'Council Entry'!AI$9),'Council Entry'!AI$8),'Council Entry'!AI56))))-'Council Entry'!AI$5)/('Council Entry'!AI$6-'Council Entry'!AI$5),10*((IF('Council Entry'!AI$4="Logarithm",LN(0.001+IF(AND(ISNUMBER('Council Entry'!AI$8),ISNUMBER('Council Entry'!AI$9)),MAX(MIN('Council Entry'!AI56,'Council Entry'!AI$9),'Council Entry'!AI$8),'Council Entry'!AI56)),IF('Council Entry'!AI$4="Exponential",EXP(IF(AND(ISNUMBER('Council Entry'!AI$8),ISNUMBER('Council Entry'!AI$9)),MAX(MIN('Council Entry'!AI56,'Council Entry'!AI$9),'Council Entry'!AI$8),'Council Entry'!AI56)),IF(AND(ISNUMBER('Council Entry'!AI$8),ISNUMBER('Council Entry'!AI$9)),MAX(MIN('Council Entry'!AI56,'Council Entry'!AI$9),'Council Entry'!AI$8),'Council Entry'!AI56))))-'Council Entry'!AI$5)/('Council Entry'!AI$6-'Council Entry'!AI$5)),1))),"No data"))</f>
        <v/>
      </c>
      <c r="AJ56" s="13">
        <f>IF('Council Entry'!AJ56="","",IFERROR(MAX(0,MIN(10,ROUND(IF('Council Entry'!AJ$7="Decrease Risk",10-10*((IF('Council Entry'!AJ$4="Logarithm",LN(0.001+IF(AND(ISNUMBER('Council Entry'!AJ$8),ISNUMBER('Council Entry'!AJ$9)),MAX(MIN('Council Entry'!AJ56,'Council Entry'!AJ$9),'Council Entry'!AJ$8),'Council Entry'!AJ56)),IF('Council Entry'!AJ$4="Exponential",EXP(IF(AND(ISNUMBER('Council Entry'!AJ$8),ISNUMBER('Council Entry'!AJ$9)),MAX(MIN('Council Entry'!AJ56,'Council Entry'!AJ$9),'Council Entry'!AJ$8),'Council Entry'!AJ56)),IF(AND(ISNUMBER('Council Entry'!AJ$8),ISNUMBER('Council Entry'!AJ$9)),MAX(MIN('Council Entry'!AJ56,'Council Entry'!AJ$9),'Council Entry'!AJ$8),'Council Entry'!AJ56))))-'Council Entry'!AJ$5)/('Council Entry'!AJ$6-'Council Entry'!AJ$5),10*((IF('Council Entry'!AJ$4="Logarithm",LN(0.001+IF(AND(ISNUMBER('Council Entry'!AJ$8),ISNUMBER('Council Entry'!AJ$9)),MAX(MIN('Council Entry'!AJ56,'Council Entry'!AJ$9),'Council Entry'!AJ$8),'Council Entry'!AJ56)),IF('Council Entry'!AJ$4="Exponential",EXP(IF(AND(ISNUMBER('Council Entry'!AJ$8),ISNUMBER('Council Entry'!AJ$9)),MAX(MIN('Council Entry'!AJ56,'Council Entry'!AJ$9),'Council Entry'!AJ$8),'Council Entry'!AJ56)),IF(AND(ISNUMBER('Council Entry'!AJ$8),ISNUMBER('Council Entry'!AJ$9)),MAX(MIN('Council Entry'!AJ56,'Council Entry'!AJ$9),'Council Entry'!AJ$8),'Council Entry'!AJ56))))-'Council Entry'!AJ$5)/('Council Entry'!AJ$6-'Council Entry'!AJ$5)),1))),"No data"))</f>
        <v/>
      </c>
      <c r="AK56" s="13">
        <f>IF('Council Entry'!AK56="","",IFERROR(MAX(0,MIN(10,ROUND(IF('Council Entry'!AK$7="Decrease Risk",10-10*((IF('Council Entry'!AK$4="Logarithm",LN(0.001+IF(AND(ISNUMBER('Council Entry'!AK$8),ISNUMBER('Council Entry'!AK$9)),MAX(MIN('Council Entry'!AK56,'Council Entry'!AK$9),'Council Entry'!AK$8),'Council Entry'!AK56)),IF('Council Entry'!AK$4="Exponential",EXP(IF(AND(ISNUMBER('Council Entry'!AK$8),ISNUMBER('Council Entry'!AK$9)),MAX(MIN('Council Entry'!AK56,'Council Entry'!AK$9),'Council Entry'!AK$8),'Council Entry'!AK56)),IF(AND(ISNUMBER('Council Entry'!AK$8),ISNUMBER('Council Entry'!AK$9)),MAX(MIN('Council Entry'!AK56,'Council Entry'!AK$9),'Council Entry'!AK$8),'Council Entry'!AK56))))-'Council Entry'!AK$5)/('Council Entry'!AK$6-'Council Entry'!AK$5),10*((IF('Council Entry'!AK$4="Logarithm",LN(0.001+IF(AND(ISNUMBER('Council Entry'!AK$8),ISNUMBER('Council Entry'!AK$9)),MAX(MIN('Council Entry'!AK56,'Council Entry'!AK$9),'Council Entry'!AK$8),'Council Entry'!AK56)),IF('Council Entry'!AK$4="Exponential",EXP(IF(AND(ISNUMBER('Council Entry'!AK$8),ISNUMBER('Council Entry'!AK$9)),MAX(MIN('Council Entry'!AK56,'Council Entry'!AK$9),'Council Entry'!AK$8),'Council Entry'!AK56)),IF(AND(ISNUMBER('Council Entry'!AK$8),ISNUMBER('Council Entry'!AK$9)),MAX(MIN('Council Entry'!AK56,'Council Entry'!AK$9),'Council Entry'!AK$8),'Council Entry'!AK56))))-'Council Entry'!AK$5)/('Council Entry'!AK$6-'Council Entry'!AK$5)),1))),"No data"))</f>
        <v/>
      </c>
      <c r="AL56" s="13">
        <f>IF('Council Entry'!AL56="","",IFERROR(MAX(0,MIN(10,ROUND(IF('Council Entry'!AL$7="Decrease Risk",10-10*((IF('Council Entry'!AL$4="Logarithm",LN(0.001+IF(AND(ISNUMBER('Council Entry'!AL$8),ISNUMBER('Council Entry'!AL$9)),MAX(MIN('Council Entry'!AL56,'Council Entry'!AL$9),'Council Entry'!AL$8),'Council Entry'!AL56)),IF('Council Entry'!AL$4="Exponential",EXP(IF(AND(ISNUMBER('Council Entry'!AL$8),ISNUMBER('Council Entry'!AL$9)),MAX(MIN('Council Entry'!AL56,'Council Entry'!AL$9),'Council Entry'!AL$8),'Council Entry'!AL56)),IF(AND(ISNUMBER('Council Entry'!AL$8),ISNUMBER('Council Entry'!AL$9)),MAX(MIN('Council Entry'!AL56,'Council Entry'!AL$9),'Council Entry'!AL$8),'Council Entry'!AL56))))-'Council Entry'!AL$5)/('Council Entry'!AL$6-'Council Entry'!AL$5),10*((IF('Council Entry'!AL$4="Logarithm",LN(0.001+IF(AND(ISNUMBER('Council Entry'!AL$8),ISNUMBER('Council Entry'!AL$9)),MAX(MIN('Council Entry'!AL56,'Council Entry'!AL$9),'Council Entry'!AL$8),'Council Entry'!AL56)),IF('Council Entry'!AL$4="Exponential",EXP(IF(AND(ISNUMBER('Council Entry'!AL$8),ISNUMBER('Council Entry'!AL$9)),MAX(MIN('Council Entry'!AL56,'Council Entry'!AL$9),'Council Entry'!AL$8),'Council Entry'!AL56)),IF(AND(ISNUMBER('Council Entry'!AL$8),ISNUMBER('Council Entry'!AL$9)),MAX(MIN('Council Entry'!AL56,'Council Entry'!AL$9),'Council Entry'!AL$8),'Council Entry'!AL56))))-'Council Entry'!AL$5)/('Council Entry'!AL$6-'Council Entry'!AL$5)),1))),"No data"))</f>
        <v/>
      </c>
      <c r="AM56" s="13">
        <f>IF('Council Entry'!AM56="","",IFERROR(MAX(0,MIN(10,ROUND(IF('Council Entry'!AM$7="Decrease Risk",10-10*((IF('Council Entry'!AM$4="Logarithm",LN(0.001+IF(AND(ISNUMBER('Council Entry'!AM$8),ISNUMBER('Council Entry'!AM$9)),MAX(MIN('Council Entry'!AM56,'Council Entry'!AM$9),'Council Entry'!AM$8),'Council Entry'!AM56)),IF('Council Entry'!AM$4="Exponential",EXP(IF(AND(ISNUMBER('Council Entry'!AM$8),ISNUMBER('Council Entry'!AM$9)),MAX(MIN('Council Entry'!AM56,'Council Entry'!AM$9),'Council Entry'!AM$8),'Council Entry'!AM56)),IF(AND(ISNUMBER('Council Entry'!AM$8),ISNUMBER('Council Entry'!AM$9)),MAX(MIN('Council Entry'!AM56,'Council Entry'!AM$9),'Council Entry'!AM$8),'Council Entry'!AM56))))-'Council Entry'!AM$5)/('Council Entry'!AM$6-'Council Entry'!AM$5),10*((IF('Council Entry'!AM$4="Logarithm",LN(0.001+IF(AND(ISNUMBER('Council Entry'!AM$8),ISNUMBER('Council Entry'!AM$9)),MAX(MIN('Council Entry'!AM56,'Council Entry'!AM$9),'Council Entry'!AM$8),'Council Entry'!AM56)),IF('Council Entry'!AM$4="Exponential",EXP(IF(AND(ISNUMBER('Council Entry'!AM$8),ISNUMBER('Council Entry'!AM$9)),MAX(MIN('Council Entry'!AM56,'Council Entry'!AM$9),'Council Entry'!AM$8),'Council Entry'!AM56)),IF(AND(ISNUMBER('Council Entry'!AM$8),ISNUMBER('Council Entry'!AM$9)),MAX(MIN('Council Entry'!AM56,'Council Entry'!AM$9),'Council Entry'!AM$8),'Council Entry'!AM56))))-'Council Entry'!AM$5)/('Council Entry'!AM$6-'Council Entry'!AM$5)),1))),"No data"))</f>
        <v/>
      </c>
      <c r="AN56" s="13">
        <f>IF('Council Entry'!AN56="","",IFERROR(MAX(0,MIN(10,ROUND(IF('Council Entry'!AN$7="Decrease Risk",10-10*((IF('Council Entry'!AN$4="Logarithm",LN(0.001+IF(AND(ISNUMBER('Council Entry'!AN$8),ISNUMBER('Council Entry'!AN$9)),MAX(MIN('Council Entry'!AN56,'Council Entry'!AN$9),'Council Entry'!AN$8),'Council Entry'!AN56)),IF('Council Entry'!AN$4="Exponential",EXP(IF(AND(ISNUMBER('Council Entry'!AN$8),ISNUMBER('Council Entry'!AN$9)),MAX(MIN('Council Entry'!AN56,'Council Entry'!AN$9),'Council Entry'!AN$8),'Council Entry'!AN56)),IF(AND(ISNUMBER('Council Entry'!AN$8),ISNUMBER('Council Entry'!AN$9)),MAX(MIN('Council Entry'!AN56,'Council Entry'!AN$9),'Council Entry'!AN$8),'Council Entry'!AN56))))-'Council Entry'!AN$5)/('Council Entry'!AN$6-'Council Entry'!AN$5),10*((IF('Council Entry'!AN$4="Logarithm",LN(0.001+IF(AND(ISNUMBER('Council Entry'!AN$8),ISNUMBER('Council Entry'!AN$9)),MAX(MIN('Council Entry'!AN56,'Council Entry'!AN$9),'Council Entry'!AN$8),'Council Entry'!AN56)),IF('Council Entry'!AN$4="Exponential",EXP(IF(AND(ISNUMBER('Council Entry'!AN$8),ISNUMBER('Council Entry'!AN$9)),MAX(MIN('Council Entry'!AN56,'Council Entry'!AN$9),'Council Entry'!AN$8),'Council Entry'!AN56)),IF(AND(ISNUMBER('Council Entry'!AN$8),ISNUMBER('Council Entry'!AN$9)),MAX(MIN('Council Entry'!AN56,'Council Entry'!AN$9),'Council Entry'!AN$8),'Council Entry'!AN56))))-'Council Entry'!AN$5)/('Council Entry'!AN$6-'Council Entry'!AN$5)),1))),"No data"))</f>
        <v/>
      </c>
      <c r="AO56" s="13">
        <f>IF('Council Entry'!AO56="","",IFERROR(MAX(0,MIN(10,ROUND(IF('Council Entry'!AO$7="Decrease Risk",10-10*((IF('Council Entry'!AO$4="Logarithm",LN(0.001+IF(AND(ISNUMBER('Council Entry'!AO$8),ISNUMBER('Council Entry'!AO$9)),MAX(MIN('Council Entry'!AO56,'Council Entry'!AO$9),'Council Entry'!AO$8),'Council Entry'!AO56)),IF('Council Entry'!AO$4="Exponential",EXP(IF(AND(ISNUMBER('Council Entry'!AO$8),ISNUMBER('Council Entry'!AO$9)),MAX(MIN('Council Entry'!AO56,'Council Entry'!AO$9),'Council Entry'!AO$8),'Council Entry'!AO56)),IF(AND(ISNUMBER('Council Entry'!AO$8),ISNUMBER('Council Entry'!AO$9)),MAX(MIN('Council Entry'!AO56,'Council Entry'!AO$9),'Council Entry'!AO$8),'Council Entry'!AO56))))-'Council Entry'!AO$5)/('Council Entry'!AO$6-'Council Entry'!AO$5),10*((IF('Council Entry'!AO$4="Logarithm",LN(0.001+IF(AND(ISNUMBER('Council Entry'!AO$8),ISNUMBER('Council Entry'!AO$9)),MAX(MIN('Council Entry'!AO56,'Council Entry'!AO$9),'Council Entry'!AO$8),'Council Entry'!AO56)),IF('Council Entry'!AO$4="Exponential",EXP(IF(AND(ISNUMBER('Council Entry'!AO$8),ISNUMBER('Council Entry'!AO$9)),MAX(MIN('Council Entry'!AO56,'Council Entry'!AO$9),'Council Entry'!AO$8),'Council Entry'!AO56)),IF(AND(ISNUMBER('Council Entry'!AO$8),ISNUMBER('Council Entry'!AO$9)),MAX(MIN('Council Entry'!AO56,'Council Entry'!AO$9),'Council Entry'!AO$8),'Council Entry'!AO56))))-'Council Entry'!AO$5)/('Council Entry'!AO$6-'Council Entry'!AO$5)),1))),"No data"))</f>
        <v/>
      </c>
      <c r="AP56" s="13">
        <f>IF('Council Entry'!AP56="","",IFERROR(MAX(0,MIN(10,ROUND(IF('Council Entry'!AP$7="Decrease Risk",10-10*((IF('Council Entry'!AP$4="Logarithm",LN(0.001+IF(AND(ISNUMBER('Council Entry'!AP$8),ISNUMBER('Council Entry'!AP$9)),MAX(MIN('Council Entry'!AP56,'Council Entry'!AP$9),'Council Entry'!AP$8),'Council Entry'!AP56)),IF('Council Entry'!AP$4="Exponential",EXP(IF(AND(ISNUMBER('Council Entry'!AP$8),ISNUMBER('Council Entry'!AP$9)),MAX(MIN('Council Entry'!AP56,'Council Entry'!AP$9),'Council Entry'!AP$8),'Council Entry'!AP56)),IF(AND(ISNUMBER('Council Entry'!AP$8),ISNUMBER('Council Entry'!AP$9)),MAX(MIN('Council Entry'!AP56,'Council Entry'!AP$9),'Council Entry'!AP$8),'Council Entry'!AP56))))-'Council Entry'!AP$5)/('Council Entry'!AP$6-'Council Entry'!AP$5),10*((IF('Council Entry'!AP$4="Logarithm",LN(0.001+IF(AND(ISNUMBER('Council Entry'!AP$8),ISNUMBER('Council Entry'!AP$9)),MAX(MIN('Council Entry'!AP56,'Council Entry'!AP$9),'Council Entry'!AP$8),'Council Entry'!AP56)),IF('Council Entry'!AP$4="Exponential",EXP(IF(AND(ISNUMBER('Council Entry'!AP$8),ISNUMBER('Council Entry'!AP$9)),MAX(MIN('Council Entry'!AP56,'Council Entry'!AP$9),'Council Entry'!AP$8),'Council Entry'!AP56)),IF(AND(ISNUMBER('Council Entry'!AP$8),ISNUMBER('Council Entry'!AP$9)),MAX(MIN('Council Entry'!AP56,'Council Entry'!AP$9),'Council Entry'!AP$8),'Council Entry'!AP56))))-'Council Entry'!AP$5)/('Council Entry'!AP$6-'Council Entry'!AP$5)),1))),"No data"))</f>
        <v/>
      </c>
      <c r="AQ56" s="13">
        <f>IF('Council Entry'!AQ56="","",IFERROR(MAX(0,MIN(10,ROUND(IF('Council Entry'!AQ$7="Decrease Risk",10-10*((IF('Council Entry'!AQ$4="Logarithm",LN(0.001+IF(AND(ISNUMBER('Council Entry'!AQ$8),ISNUMBER('Council Entry'!AQ$9)),MAX(MIN('Council Entry'!AQ56,'Council Entry'!AQ$9),'Council Entry'!AQ$8),'Council Entry'!AQ56)),IF('Council Entry'!AQ$4="Exponential",EXP(IF(AND(ISNUMBER('Council Entry'!AQ$8),ISNUMBER('Council Entry'!AQ$9)),MAX(MIN('Council Entry'!AQ56,'Council Entry'!AQ$9),'Council Entry'!AQ$8),'Council Entry'!AQ56)),IF(AND(ISNUMBER('Council Entry'!AQ$8),ISNUMBER('Council Entry'!AQ$9)),MAX(MIN('Council Entry'!AQ56,'Council Entry'!AQ$9),'Council Entry'!AQ$8),'Council Entry'!AQ56))))-'Council Entry'!AQ$5)/('Council Entry'!AQ$6-'Council Entry'!AQ$5),10*((IF('Council Entry'!AQ$4="Logarithm",LN(0.001+IF(AND(ISNUMBER('Council Entry'!AQ$8),ISNUMBER('Council Entry'!AQ$9)),MAX(MIN('Council Entry'!AQ56,'Council Entry'!AQ$9),'Council Entry'!AQ$8),'Council Entry'!AQ56)),IF('Council Entry'!AQ$4="Exponential",EXP(IF(AND(ISNUMBER('Council Entry'!AQ$8),ISNUMBER('Council Entry'!AQ$9)),MAX(MIN('Council Entry'!AQ56,'Council Entry'!AQ$9),'Council Entry'!AQ$8),'Council Entry'!AQ56)),IF(AND(ISNUMBER('Council Entry'!AQ$8),ISNUMBER('Council Entry'!AQ$9)),MAX(MIN('Council Entry'!AQ56,'Council Entry'!AQ$9),'Council Entry'!AQ$8),'Council Entry'!AQ56))))-'Council Entry'!AQ$5)/('Council Entry'!AQ$6-'Council Entry'!AQ$5)),1))),"No data"))</f>
        <v/>
      </c>
      <c r="AR56" s="13">
        <f>IF('Council Entry'!AR56="","",IFERROR(MAX(0,MIN(10,ROUND(IF('Council Entry'!AR$7="Decrease Risk",10-10*((IF('Council Entry'!AR$4="Logarithm",LN(0.001+IF(AND(ISNUMBER('Council Entry'!AR$8),ISNUMBER('Council Entry'!AR$9)),MAX(MIN('Council Entry'!AR56,'Council Entry'!AR$9),'Council Entry'!AR$8),'Council Entry'!AR56)),IF('Council Entry'!AR$4="Exponential",EXP(IF(AND(ISNUMBER('Council Entry'!AR$8),ISNUMBER('Council Entry'!AR$9)),MAX(MIN('Council Entry'!AR56,'Council Entry'!AR$9),'Council Entry'!AR$8),'Council Entry'!AR56)),IF(AND(ISNUMBER('Council Entry'!AR$8),ISNUMBER('Council Entry'!AR$9)),MAX(MIN('Council Entry'!AR56,'Council Entry'!AR$9),'Council Entry'!AR$8),'Council Entry'!AR56))))-'Council Entry'!AR$5)/('Council Entry'!AR$6-'Council Entry'!AR$5),10*((IF('Council Entry'!AR$4="Logarithm",LN(0.001+IF(AND(ISNUMBER('Council Entry'!AR$8),ISNUMBER('Council Entry'!AR$9)),MAX(MIN('Council Entry'!AR56,'Council Entry'!AR$9),'Council Entry'!AR$8),'Council Entry'!AR56)),IF('Council Entry'!AR$4="Exponential",EXP(IF(AND(ISNUMBER('Council Entry'!AR$8),ISNUMBER('Council Entry'!AR$9)),MAX(MIN('Council Entry'!AR56,'Council Entry'!AR$9),'Council Entry'!AR$8),'Council Entry'!AR56)),IF(AND(ISNUMBER('Council Entry'!AR$8),ISNUMBER('Council Entry'!AR$9)),MAX(MIN('Council Entry'!AR56,'Council Entry'!AR$9),'Council Entry'!AR$8),'Council Entry'!AR56))))-'Council Entry'!AR$5)/('Council Entry'!AR$6-'Council Entry'!AR$5)),1))),"No data"))</f>
        <v/>
      </c>
      <c r="AS56" s="13">
        <f>IF('Council Entry'!AS56="","",IFERROR(MAX(0,MIN(10,ROUND(IF('Council Entry'!AS$7="Decrease Risk",10-10*((IF('Council Entry'!AS$4="Logarithm",LN(0.001+IF(AND(ISNUMBER('Council Entry'!AS$8),ISNUMBER('Council Entry'!AS$9)),MAX(MIN('Council Entry'!AS56,'Council Entry'!AS$9),'Council Entry'!AS$8),'Council Entry'!AS56)),IF('Council Entry'!AS$4="Exponential",EXP(IF(AND(ISNUMBER('Council Entry'!AS$8),ISNUMBER('Council Entry'!AS$9)),MAX(MIN('Council Entry'!AS56,'Council Entry'!AS$9),'Council Entry'!AS$8),'Council Entry'!AS56)),IF(AND(ISNUMBER('Council Entry'!AS$8),ISNUMBER('Council Entry'!AS$9)),MAX(MIN('Council Entry'!AS56,'Council Entry'!AS$9),'Council Entry'!AS$8),'Council Entry'!AS56))))-'Council Entry'!AS$5)/('Council Entry'!AS$6-'Council Entry'!AS$5),10*((IF('Council Entry'!AS$4="Logarithm",LN(0.001+IF(AND(ISNUMBER('Council Entry'!AS$8),ISNUMBER('Council Entry'!AS$9)),MAX(MIN('Council Entry'!AS56,'Council Entry'!AS$9),'Council Entry'!AS$8),'Council Entry'!AS56)),IF('Council Entry'!AS$4="Exponential",EXP(IF(AND(ISNUMBER('Council Entry'!AS$8),ISNUMBER('Council Entry'!AS$9)),MAX(MIN('Council Entry'!AS56,'Council Entry'!AS$9),'Council Entry'!AS$8),'Council Entry'!AS56)),IF(AND(ISNUMBER('Council Entry'!AS$8),ISNUMBER('Council Entry'!AS$9)),MAX(MIN('Council Entry'!AS56,'Council Entry'!AS$9),'Council Entry'!AS$8),'Council Entry'!AS56))))-'Council Entry'!AS$5)/('Council Entry'!AS$6-'Council Entry'!AS$5)),1))),"No data"))</f>
        <v/>
      </c>
      <c r="AT56" s="13">
        <f>IF('Council Entry'!AT56="","",IFERROR(MAX(0,MIN(10,ROUND(IF('Council Entry'!AT$7="Decrease Risk",10-10*((IF('Council Entry'!AT$4="Logarithm",LN(0.001+IF(AND(ISNUMBER('Council Entry'!AT$8),ISNUMBER('Council Entry'!AT$9)),MAX(MIN('Council Entry'!AT56,'Council Entry'!AT$9),'Council Entry'!AT$8),'Council Entry'!AT56)),IF('Council Entry'!AT$4="Exponential",EXP(IF(AND(ISNUMBER('Council Entry'!AT$8),ISNUMBER('Council Entry'!AT$9)),MAX(MIN('Council Entry'!AT56,'Council Entry'!AT$9),'Council Entry'!AT$8),'Council Entry'!AT56)),IF(AND(ISNUMBER('Council Entry'!AT$8),ISNUMBER('Council Entry'!AT$9)),MAX(MIN('Council Entry'!AT56,'Council Entry'!AT$9),'Council Entry'!AT$8),'Council Entry'!AT56))))-'Council Entry'!AT$5)/('Council Entry'!AT$6-'Council Entry'!AT$5),10*((IF('Council Entry'!AT$4="Logarithm",LN(0.001+IF(AND(ISNUMBER('Council Entry'!AT$8),ISNUMBER('Council Entry'!AT$9)),MAX(MIN('Council Entry'!AT56,'Council Entry'!AT$9),'Council Entry'!AT$8),'Council Entry'!AT56)),IF('Council Entry'!AT$4="Exponential",EXP(IF(AND(ISNUMBER('Council Entry'!AT$8),ISNUMBER('Council Entry'!AT$9)),MAX(MIN('Council Entry'!AT56,'Council Entry'!AT$9),'Council Entry'!AT$8),'Council Entry'!AT56)),IF(AND(ISNUMBER('Council Entry'!AT$8),ISNUMBER('Council Entry'!AT$9)),MAX(MIN('Council Entry'!AT56,'Council Entry'!AT$9),'Council Entry'!AT$8),'Council Entry'!AT56))))-'Council Entry'!AT$5)/('Council Entry'!AT$6-'Council Entry'!AT$5)),1))),"No data"))</f>
        <v/>
      </c>
      <c r="AU56" s="13">
        <f>IF('Council Entry'!AU56="","",IFERROR(MAX(0,MIN(10,ROUND(IF('Council Entry'!AU$7="Decrease Risk",10-10*((IF('Council Entry'!AU$4="Logarithm",LN(0.001+IF(AND(ISNUMBER('Council Entry'!AU$8),ISNUMBER('Council Entry'!AU$9)),MAX(MIN('Council Entry'!AU56,'Council Entry'!AU$9),'Council Entry'!AU$8),'Council Entry'!AU56)),IF('Council Entry'!AU$4="Exponential",EXP(IF(AND(ISNUMBER('Council Entry'!AU$8),ISNUMBER('Council Entry'!AU$9)),MAX(MIN('Council Entry'!AU56,'Council Entry'!AU$9),'Council Entry'!AU$8),'Council Entry'!AU56)),IF(AND(ISNUMBER('Council Entry'!AU$8),ISNUMBER('Council Entry'!AU$9)),MAX(MIN('Council Entry'!AU56,'Council Entry'!AU$9),'Council Entry'!AU$8),'Council Entry'!AU56))))-'Council Entry'!AU$5)/('Council Entry'!AU$6-'Council Entry'!AU$5),10*((IF('Council Entry'!AU$4="Logarithm",LN(0.001+IF(AND(ISNUMBER('Council Entry'!AU$8),ISNUMBER('Council Entry'!AU$9)),MAX(MIN('Council Entry'!AU56,'Council Entry'!AU$9),'Council Entry'!AU$8),'Council Entry'!AU56)),IF('Council Entry'!AU$4="Exponential",EXP(IF(AND(ISNUMBER('Council Entry'!AU$8),ISNUMBER('Council Entry'!AU$9)),MAX(MIN('Council Entry'!AU56,'Council Entry'!AU$9),'Council Entry'!AU$8),'Council Entry'!AU56)),IF(AND(ISNUMBER('Council Entry'!AU$8),ISNUMBER('Council Entry'!AU$9)),MAX(MIN('Council Entry'!AU56,'Council Entry'!AU$9),'Council Entry'!AU$8),'Council Entry'!AU56))))-'Council Entry'!AU$5)/('Council Entry'!AU$6-'Council Entry'!AU$5)),1))),"No data"))</f>
        <v/>
      </c>
      <c r="AV56" s="13">
        <f>IF('Council Entry'!AV56="","",IFERROR(MAX(0,MIN(10,ROUND(IF('Council Entry'!AV$7="Decrease Risk",10-10*((IF('Council Entry'!AV$4="Logarithm",LN(0.001+IF(AND(ISNUMBER('Council Entry'!AV$8),ISNUMBER('Council Entry'!AV$9)),MAX(MIN('Council Entry'!AV56,'Council Entry'!AV$9),'Council Entry'!AV$8),'Council Entry'!AV56)),IF('Council Entry'!AV$4="Exponential",EXP(IF(AND(ISNUMBER('Council Entry'!AV$8),ISNUMBER('Council Entry'!AV$9)),MAX(MIN('Council Entry'!AV56,'Council Entry'!AV$9),'Council Entry'!AV$8),'Council Entry'!AV56)),IF(AND(ISNUMBER('Council Entry'!AV$8),ISNUMBER('Council Entry'!AV$9)),MAX(MIN('Council Entry'!AV56,'Council Entry'!AV$9),'Council Entry'!AV$8),'Council Entry'!AV56))))-'Council Entry'!AV$5)/('Council Entry'!AV$6-'Council Entry'!AV$5),10*((IF('Council Entry'!AV$4="Logarithm",LN(0.001+IF(AND(ISNUMBER('Council Entry'!AV$8),ISNUMBER('Council Entry'!AV$9)),MAX(MIN('Council Entry'!AV56,'Council Entry'!AV$9),'Council Entry'!AV$8),'Council Entry'!AV56)),IF('Council Entry'!AV$4="Exponential",EXP(IF(AND(ISNUMBER('Council Entry'!AV$8),ISNUMBER('Council Entry'!AV$9)),MAX(MIN('Council Entry'!AV56,'Council Entry'!AV$9),'Council Entry'!AV$8),'Council Entry'!AV56)),IF(AND(ISNUMBER('Council Entry'!AV$8),ISNUMBER('Council Entry'!AV$9)),MAX(MIN('Council Entry'!AV56,'Council Entry'!AV$9),'Council Entry'!AV$8),'Council Entry'!AV56))))-'Council Entry'!AV$5)/('Council Entry'!AV$6-'Council Entry'!AV$5)),1))),"No data"))</f>
        <v/>
      </c>
      <c r="AW56" s="13">
        <f>IF('Council Entry'!AW56="","",IFERROR(MAX(0,MIN(10,ROUND(IF('Council Entry'!AW$7="Decrease Risk",10-10*((IF('Council Entry'!AW$4="Logarithm",LN(0.001+IF(AND(ISNUMBER('Council Entry'!AW$8),ISNUMBER('Council Entry'!AW$9)),MAX(MIN('Council Entry'!AW56,'Council Entry'!AW$9),'Council Entry'!AW$8),'Council Entry'!AW56)),IF('Council Entry'!AW$4="Exponential",EXP(IF(AND(ISNUMBER('Council Entry'!AW$8),ISNUMBER('Council Entry'!AW$9)),MAX(MIN('Council Entry'!AW56,'Council Entry'!AW$9),'Council Entry'!AW$8),'Council Entry'!AW56)),IF(AND(ISNUMBER('Council Entry'!AW$8),ISNUMBER('Council Entry'!AW$9)),MAX(MIN('Council Entry'!AW56,'Council Entry'!AW$9),'Council Entry'!AW$8),'Council Entry'!AW56))))-'Council Entry'!AW$5)/('Council Entry'!AW$6-'Council Entry'!AW$5),10*((IF('Council Entry'!AW$4="Logarithm",LN(0.001+IF(AND(ISNUMBER('Council Entry'!AW$8),ISNUMBER('Council Entry'!AW$9)),MAX(MIN('Council Entry'!AW56,'Council Entry'!AW$9),'Council Entry'!AW$8),'Council Entry'!AW56)),IF('Council Entry'!AW$4="Exponential",EXP(IF(AND(ISNUMBER('Council Entry'!AW$8),ISNUMBER('Council Entry'!AW$9)),MAX(MIN('Council Entry'!AW56,'Council Entry'!AW$9),'Council Entry'!AW$8),'Council Entry'!AW56)),IF(AND(ISNUMBER('Council Entry'!AW$8),ISNUMBER('Council Entry'!AW$9)),MAX(MIN('Council Entry'!AW56,'Council Entry'!AW$9),'Council Entry'!AW$8),'Council Entry'!AW56))))-'Council Entry'!AW$5)/('Council Entry'!AW$6-'Council Entry'!AW$5)),1))),"No data"))</f>
        <v/>
      </c>
      <c r="AX56" s="13">
        <f>IF('Council Entry'!AX56="","",IFERROR(MAX(0,MIN(10,ROUND(IF('Council Entry'!AX$7="Decrease Risk",10-10*((IF('Council Entry'!AX$4="Logarithm",LN(0.001+IF(AND(ISNUMBER('Council Entry'!AX$8),ISNUMBER('Council Entry'!AX$9)),MAX(MIN('Council Entry'!AX56,'Council Entry'!AX$9),'Council Entry'!AX$8),'Council Entry'!AX56)),IF('Council Entry'!AX$4="Exponential",EXP(IF(AND(ISNUMBER('Council Entry'!AX$8),ISNUMBER('Council Entry'!AX$9)),MAX(MIN('Council Entry'!AX56,'Council Entry'!AX$9),'Council Entry'!AX$8),'Council Entry'!AX56)),IF(AND(ISNUMBER('Council Entry'!AX$8),ISNUMBER('Council Entry'!AX$9)),MAX(MIN('Council Entry'!AX56,'Council Entry'!AX$9),'Council Entry'!AX$8),'Council Entry'!AX56))))-'Council Entry'!AX$5)/('Council Entry'!AX$6-'Council Entry'!AX$5),10*((IF('Council Entry'!AX$4="Logarithm",LN(0.001+IF(AND(ISNUMBER('Council Entry'!AX$8),ISNUMBER('Council Entry'!AX$9)),MAX(MIN('Council Entry'!AX56,'Council Entry'!AX$9),'Council Entry'!AX$8),'Council Entry'!AX56)),IF('Council Entry'!AX$4="Exponential",EXP(IF(AND(ISNUMBER('Council Entry'!AX$8),ISNUMBER('Council Entry'!AX$9)),MAX(MIN('Council Entry'!AX56,'Council Entry'!AX$9),'Council Entry'!AX$8),'Council Entry'!AX56)),IF(AND(ISNUMBER('Council Entry'!AX$8),ISNUMBER('Council Entry'!AX$9)),MAX(MIN('Council Entry'!AX56,'Council Entry'!AX$9),'Council Entry'!AX$8),'Council Entry'!AX56))))-'Council Entry'!AX$5)/('Council Entry'!AX$6-'Council Entry'!AX$5)),1))),"No data"))</f>
        <v/>
      </c>
      <c r="AY56" s="13">
        <f>IF('Council Entry'!AY56="","",IFERROR(MAX(0,MIN(10,ROUND(IF('Council Entry'!AY$7="Decrease Risk",10-10*((IF('Council Entry'!AY$4="Logarithm",LN(0.001+IF(AND(ISNUMBER('Council Entry'!AY$8),ISNUMBER('Council Entry'!AY$9)),MAX(MIN('Council Entry'!AY56,'Council Entry'!AY$9),'Council Entry'!AY$8),'Council Entry'!AY56)),IF('Council Entry'!AY$4="Exponential",EXP(IF(AND(ISNUMBER('Council Entry'!AY$8),ISNUMBER('Council Entry'!AY$9)),MAX(MIN('Council Entry'!AY56,'Council Entry'!AY$9),'Council Entry'!AY$8),'Council Entry'!AY56)),IF(AND(ISNUMBER('Council Entry'!AY$8),ISNUMBER('Council Entry'!AY$9)),MAX(MIN('Council Entry'!AY56,'Council Entry'!AY$9),'Council Entry'!AY$8),'Council Entry'!AY56))))-'Council Entry'!AY$5)/('Council Entry'!AY$6-'Council Entry'!AY$5),10*((IF('Council Entry'!AY$4="Logarithm",LN(0.001+IF(AND(ISNUMBER('Council Entry'!AY$8),ISNUMBER('Council Entry'!AY$9)),MAX(MIN('Council Entry'!AY56,'Council Entry'!AY$9),'Council Entry'!AY$8),'Council Entry'!AY56)),IF('Council Entry'!AY$4="Exponential",EXP(IF(AND(ISNUMBER('Council Entry'!AY$8),ISNUMBER('Council Entry'!AY$9)),MAX(MIN('Council Entry'!AY56,'Council Entry'!AY$9),'Council Entry'!AY$8),'Council Entry'!AY56)),IF(AND(ISNUMBER('Council Entry'!AY$8),ISNUMBER('Council Entry'!AY$9)),MAX(MIN('Council Entry'!AY56,'Council Entry'!AY$9),'Council Entry'!AY$8),'Council Entry'!AY56))))-'Council Entry'!AY$5)/('Council Entry'!AY$6-'Council Entry'!AY$5)),1))),"No data"))</f>
        <v/>
      </c>
      <c r="AZ56" s="13">
        <f>IF('Council Entry'!AZ56="","",IFERROR(MAX(0,MIN(10,ROUND(IF('Council Entry'!AZ$7="Decrease Risk",10-10*((IF('Council Entry'!AZ$4="Logarithm",LN(0.001+IF(AND(ISNUMBER('Council Entry'!AZ$8),ISNUMBER('Council Entry'!AZ$9)),MAX(MIN('Council Entry'!AZ56,'Council Entry'!AZ$9),'Council Entry'!AZ$8),'Council Entry'!AZ56)),IF('Council Entry'!AZ$4="Exponential",EXP(IF(AND(ISNUMBER('Council Entry'!AZ$8),ISNUMBER('Council Entry'!AZ$9)),MAX(MIN('Council Entry'!AZ56,'Council Entry'!AZ$9),'Council Entry'!AZ$8),'Council Entry'!AZ56)),IF(AND(ISNUMBER('Council Entry'!AZ$8),ISNUMBER('Council Entry'!AZ$9)),MAX(MIN('Council Entry'!AZ56,'Council Entry'!AZ$9),'Council Entry'!AZ$8),'Council Entry'!AZ56))))-'Council Entry'!AZ$5)/('Council Entry'!AZ$6-'Council Entry'!AZ$5),10*((IF('Council Entry'!AZ$4="Logarithm",LN(0.001+IF(AND(ISNUMBER('Council Entry'!AZ$8),ISNUMBER('Council Entry'!AZ$9)),MAX(MIN('Council Entry'!AZ56,'Council Entry'!AZ$9),'Council Entry'!AZ$8),'Council Entry'!AZ56)),IF('Council Entry'!AZ$4="Exponential",EXP(IF(AND(ISNUMBER('Council Entry'!AZ$8),ISNUMBER('Council Entry'!AZ$9)),MAX(MIN('Council Entry'!AZ56,'Council Entry'!AZ$9),'Council Entry'!AZ$8),'Council Entry'!AZ56)),IF(AND(ISNUMBER('Council Entry'!AZ$8),ISNUMBER('Council Entry'!AZ$9)),MAX(MIN('Council Entry'!AZ56,'Council Entry'!AZ$9),'Council Entry'!AZ$8),'Council Entry'!AZ56))))-'Council Entry'!AZ$5)/('Council Entry'!AZ$6-'Council Entry'!AZ$5)),1))),"No data"))</f>
        <v/>
      </c>
      <c r="BA56" s="13">
        <f>IF('Council Entry'!BA56="","",IFERROR(MAX(0,MIN(10,ROUND(IF('Council Entry'!BA$7="Decrease Risk",10-10*((IF('Council Entry'!BA$4="Logarithm",LN(0.001+IF(AND(ISNUMBER('Council Entry'!BA$8),ISNUMBER('Council Entry'!BA$9)),MAX(MIN('Council Entry'!BA56,'Council Entry'!BA$9),'Council Entry'!BA$8),'Council Entry'!BA56)),IF('Council Entry'!BA$4="Exponential",EXP(IF(AND(ISNUMBER('Council Entry'!BA$8),ISNUMBER('Council Entry'!BA$9)),MAX(MIN('Council Entry'!BA56,'Council Entry'!BA$9),'Council Entry'!BA$8),'Council Entry'!BA56)),IF(AND(ISNUMBER('Council Entry'!BA$8),ISNUMBER('Council Entry'!BA$9)),MAX(MIN('Council Entry'!BA56,'Council Entry'!BA$9),'Council Entry'!BA$8),'Council Entry'!BA56))))-'Council Entry'!BA$5)/('Council Entry'!BA$6-'Council Entry'!BA$5),10*((IF('Council Entry'!BA$4="Logarithm",LN(0.001+IF(AND(ISNUMBER('Council Entry'!BA$8),ISNUMBER('Council Entry'!BA$9)),MAX(MIN('Council Entry'!BA56,'Council Entry'!BA$9),'Council Entry'!BA$8),'Council Entry'!BA56)),IF('Council Entry'!BA$4="Exponential",EXP(IF(AND(ISNUMBER('Council Entry'!BA$8),ISNUMBER('Council Entry'!BA$9)),MAX(MIN('Council Entry'!BA56,'Council Entry'!BA$9),'Council Entry'!BA$8),'Council Entry'!BA56)),IF(AND(ISNUMBER('Council Entry'!BA$8),ISNUMBER('Council Entry'!BA$9)),MAX(MIN('Council Entry'!BA56,'Council Entry'!BA$9),'Council Entry'!BA$8),'Council Entry'!BA56))))-'Council Entry'!BA$5)/('Council Entry'!BA$6-'Council Entry'!BA$5)),1))),"No data"))</f>
        <v/>
      </c>
      <c r="BB56" s="13">
        <f>IF('Council Entry'!BB56="","",IFERROR(MAX(0,MIN(10,ROUND(IF('Council Entry'!BB$7="Decrease Risk",10-10*((IF('Council Entry'!BB$4="Logarithm",LN(0.001+IF(AND(ISNUMBER('Council Entry'!BB$8),ISNUMBER('Council Entry'!BB$9)),MAX(MIN('Council Entry'!BB56,'Council Entry'!BB$9),'Council Entry'!BB$8),'Council Entry'!BB56)),IF('Council Entry'!BB$4="Exponential",EXP(IF(AND(ISNUMBER('Council Entry'!BB$8),ISNUMBER('Council Entry'!BB$9)),MAX(MIN('Council Entry'!BB56,'Council Entry'!BB$9),'Council Entry'!BB$8),'Council Entry'!BB56)),IF(AND(ISNUMBER('Council Entry'!BB$8),ISNUMBER('Council Entry'!BB$9)),MAX(MIN('Council Entry'!BB56,'Council Entry'!BB$9),'Council Entry'!BB$8),'Council Entry'!BB56))))-'Council Entry'!BB$5)/('Council Entry'!BB$6-'Council Entry'!BB$5),10*((IF('Council Entry'!BB$4="Logarithm",LN(0.001+IF(AND(ISNUMBER('Council Entry'!BB$8),ISNUMBER('Council Entry'!BB$9)),MAX(MIN('Council Entry'!BB56,'Council Entry'!BB$9),'Council Entry'!BB$8),'Council Entry'!BB56)),IF('Council Entry'!BB$4="Exponential",EXP(IF(AND(ISNUMBER('Council Entry'!BB$8),ISNUMBER('Council Entry'!BB$9)),MAX(MIN('Council Entry'!BB56,'Council Entry'!BB$9),'Council Entry'!BB$8),'Council Entry'!BB56)),IF(AND(ISNUMBER('Council Entry'!BB$8),ISNUMBER('Council Entry'!BB$9)),MAX(MIN('Council Entry'!BB56,'Council Entry'!BB$9),'Council Entry'!BB$8),'Council Entry'!BB56))))-'Council Entry'!BB$5)/('Council Entry'!BB$6-'Council Entry'!BB$5)),1))),"No data"))</f>
        <v/>
      </c>
      <c r="BC56" s="13">
        <f>IF('Council Entry'!BC56="","",IFERROR(MAX(0,MIN(10,ROUND(IF('Council Entry'!BC$7="Decrease Risk",10-10*((IF('Council Entry'!BC$4="Logarithm",LN(0.001+IF(AND(ISNUMBER('Council Entry'!BC$8),ISNUMBER('Council Entry'!BC$9)),MAX(MIN('Council Entry'!BC56,'Council Entry'!BC$9),'Council Entry'!BC$8),'Council Entry'!BC56)),IF('Council Entry'!BC$4="Exponential",EXP(IF(AND(ISNUMBER('Council Entry'!BC$8),ISNUMBER('Council Entry'!BC$9)),MAX(MIN('Council Entry'!BC56,'Council Entry'!BC$9),'Council Entry'!BC$8),'Council Entry'!BC56)),IF(AND(ISNUMBER('Council Entry'!BC$8),ISNUMBER('Council Entry'!BC$9)),MAX(MIN('Council Entry'!BC56,'Council Entry'!BC$9),'Council Entry'!BC$8),'Council Entry'!BC56))))-'Council Entry'!BC$5)/('Council Entry'!BC$6-'Council Entry'!BC$5),10*((IF('Council Entry'!BC$4="Logarithm",LN(0.001+IF(AND(ISNUMBER('Council Entry'!BC$8),ISNUMBER('Council Entry'!BC$9)),MAX(MIN('Council Entry'!BC56,'Council Entry'!BC$9),'Council Entry'!BC$8),'Council Entry'!BC56)),IF('Council Entry'!BC$4="Exponential",EXP(IF(AND(ISNUMBER('Council Entry'!BC$8),ISNUMBER('Council Entry'!BC$9)),MAX(MIN('Council Entry'!BC56,'Council Entry'!BC$9),'Council Entry'!BC$8),'Council Entry'!BC56)),IF(AND(ISNUMBER('Council Entry'!BC$8),ISNUMBER('Council Entry'!BC$9)),MAX(MIN('Council Entry'!BC56,'Council Entry'!BC$9),'Council Entry'!BC$8),'Council Entry'!BC56))))-'Council Entry'!BC$5)/('Council Entry'!BC$6-'Council Entry'!BC$5)),1))),"No data"))</f>
        <v/>
      </c>
      <c r="BD56" s="13">
        <f>IF('Council Entry'!BD56="","",IFERROR(MAX(0,MIN(10,ROUND(IF('Council Entry'!BD$7="Decrease Risk",10-10*((IF('Council Entry'!BD$4="Logarithm",LN(0.001+IF(AND(ISNUMBER('Council Entry'!BD$8),ISNUMBER('Council Entry'!BD$9)),MAX(MIN('Council Entry'!BD56,'Council Entry'!BD$9),'Council Entry'!BD$8),'Council Entry'!BD56)),IF('Council Entry'!BD$4="Exponential",EXP(IF(AND(ISNUMBER('Council Entry'!BD$8),ISNUMBER('Council Entry'!BD$9)),MAX(MIN('Council Entry'!BD56,'Council Entry'!BD$9),'Council Entry'!BD$8),'Council Entry'!BD56)),IF(AND(ISNUMBER('Council Entry'!BD$8),ISNUMBER('Council Entry'!BD$9)),MAX(MIN('Council Entry'!BD56,'Council Entry'!BD$9),'Council Entry'!BD$8),'Council Entry'!BD56))))-'Council Entry'!BD$5)/('Council Entry'!BD$6-'Council Entry'!BD$5),10*((IF('Council Entry'!BD$4="Logarithm",LN(0.001+IF(AND(ISNUMBER('Council Entry'!BD$8),ISNUMBER('Council Entry'!BD$9)),MAX(MIN('Council Entry'!BD56,'Council Entry'!BD$9),'Council Entry'!BD$8),'Council Entry'!BD56)),IF('Council Entry'!BD$4="Exponential",EXP(IF(AND(ISNUMBER('Council Entry'!BD$8),ISNUMBER('Council Entry'!BD$9)),MAX(MIN('Council Entry'!BD56,'Council Entry'!BD$9),'Council Entry'!BD$8),'Council Entry'!BD56)),IF(AND(ISNUMBER('Council Entry'!BD$8),ISNUMBER('Council Entry'!BD$9)),MAX(MIN('Council Entry'!BD56,'Council Entry'!BD$9),'Council Entry'!BD$8),'Council Entry'!BD56))))-'Council Entry'!BD$5)/('Council Entry'!BD$6-'Council Entry'!BD$5)),1))),"No data"))</f>
        <v/>
      </c>
    </row>
    <row r="57">
      <c r="A57" t="inlineStr">
        <is>
          <t>Katavi</t>
        </is>
      </c>
      <c r="B57" t="inlineStr">
        <is>
          <t>Nsimbo District</t>
        </is>
      </c>
      <c r="C57" t="inlineStr">
        <is>
          <t>C164</t>
        </is>
      </c>
      <c r="D57" s="13">
        <f>IF('Council Entry'!D57="","",IFERROR(MAX(0,MIN(10,ROUND(IF('Council Entry'!D$7="Decrease Risk",10-10*((IF('Council Entry'!D$4="Logarithm",LN(0.001+IF(AND(ISNUMBER('Council Entry'!D$8),ISNUMBER('Council Entry'!D$9)),MAX(MIN('Council Entry'!D57,'Council Entry'!D$9),'Council Entry'!D$8),'Council Entry'!D57)),IF('Council Entry'!D$4="Exponential",EXP(IF(AND(ISNUMBER('Council Entry'!D$8),ISNUMBER('Council Entry'!D$9)),MAX(MIN('Council Entry'!D57,'Council Entry'!D$9),'Council Entry'!D$8),'Council Entry'!D57)),IF(AND(ISNUMBER('Council Entry'!D$8),ISNUMBER('Council Entry'!D$9)),MAX(MIN('Council Entry'!D57,'Council Entry'!D$9),'Council Entry'!D$8),'Council Entry'!D57))))-'Council Entry'!D$5)/('Council Entry'!D$6-'Council Entry'!D$5),10*((IF('Council Entry'!D$4="Logarithm",LN(0.001+IF(AND(ISNUMBER('Council Entry'!D$8),ISNUMBER('Council Entry'!D$9)),MAX(MIN('Council Entry'!D57,'Council Entry'!D$9),'Council Entry'!D$8),'Council Entry'!D57)),IF('Council Entry'!D$4="Exponential",EXP(IF(AND(ISNUMBER('Council Entry'!D$8),ISNUMBER('Council Entry'!D$9)),MAX(MIN('Council Entry'!D57,'Council Entry'!D$9),'Council Entry'!D$8),'Council Entry'!D57)),IF(AND(ISNUMBER('Council Entry'!D$8),ISNUMBER('Council Entry'!D$9)),MAX(MIN('Council Entry'!D57,'Council Entry'!D$9),'Council Entry'!D$8),'Council Entry'!D57))))-'Council Entry'!D$5)/('Council Entry'!D$6-'Council Entry'!D$5)),1))),"No data"))</f>
        <v/>
      </c>
      <c r="E57" s="13">
        <f>IF('Council Entry'!E57="","",IFERROR(MAX(0,MIN(10,ROUND(IF('Council Entry'!E$7="Decrease Risk",10-10*((IF('Council Entry'!E$4="Logarithm",LN(0.001+IF(AND(ISNUMBER('Council Entry'!E$8),ISNUMBER('Council Entry'!E$9)),MAX(MIN('Council Entry'!E57,'Council Entry'!E$9),'Council Entry'!E$8),'Council Entry'!E57)),IF('Council Entry'!E$4="Exponential",EXP(IF(AND(ISNUMBER('Council Entry'!E$8),ISNUMBER('Council Entry'!E$9)),MAX(MIN('Council Entry'!E57,'Council Entry'!E$9),'Council Entry'!E$8),'Council Entry'!E57)),IF(AND(ISNUMBER('Council Entry'!E$8),ISNUMBER('Council Entry'!E$9)),MAX(MIN('Council Entry'!E57,'Council Entry'!E$9),'Council Entry'!E$8),'Council Entry'!E57))))-'Council Entry'!E$5)/('Council Entry'!E$6-'Council Entry'!E$5),10*((IF('Council Entry'!E$4="Logarithm",LN(0.001+IF(AND(ISNUMBER('Council Entry'!E$8),ISNUMBER('Council Entry'!E$9)),MAX(MIN('Council Entry'!E57,'Council Entry'!E$9),'Council Entry'!E$8),'Council Entry'!E57)),IF('Council Entry'!E$4="Exponential",EXP(IF(AND(ISNUMBER('Council Entry'!E$8),ISNUMBER('Council Entry'!E$9)),MAX(MIN('Council Entry'!E57,'Council Entry'!E$9),'Council Entry'!E$8),'Council Entry'!E57)),IF(AND(ISNUMBER('Council Entry'!E$8),ISNUMBER('Council Entry'!E$9)),MAX(MIN('Council Entry'!E57,'Council Entry'!E$9),'Council Entry'!E$8),'Council Entry'!E57))))-'Council Entry'!E$5)/('Council Entry'!E$6-'Council Entry'!E$5)),1))),"No data"))</f>
        <v/>
      </c>
      <c r="F57" s="13">
        <f>IF('Council Entry'!F57="","",IFERROR(MAX(0,MIN(10,ROUND(IF('Council Entry'!F$7="Decrease Risk",10-10*((IF('Council Entry'!F$4="Logarithm",LN(0.001+IF(AND(ISNUMBER('Council Entry'!F$8),ISNUMBER('Council Entry'!F$9)),MAX(MIN('Council Entry'!F57,'Council Entry'!F$9),'Council Entry'!F$8),'Council Entry'!F57)),IF('Council Entry'!F$4="Exponential",EXP(IF(AND(ISNUMBER('Council Entry'!F$8),ISNUMBER('Council Entry'!F$9)),MAX(MIN('Council Entry'!F57,'Council Entry'!F$9),'Council Entry'!F$8),'Council Entry'!F57)),IF(AND(ISNUMBER('Council Entry'!F$8),ISNUMBER('Council Entry'!F$9)),MAX(MIN('Council Entry'!F57,'Council Entry'!F$9),'Council Entry'!F$8),'Council Entry'!F57))))-'Council Entry'!F$5)/('Council Entry'!F$6-'Council Entry'!F$5),10*((IF('Council Entry'!F$4="Logarithm",LN(0.001+IF(AND(ISNUMBER('Council Entry'!F$8),ISNUMBER('Council Entry'!F$9)),MAX(MIN('Council Entry'!F57,'Council Entry'!F$9),'Council Entry'!F$8),'Council Entry'!F57)),IF('Council Entry'!F$4="Exponential",EXP(IF(AND(ISNUMBER('Council Entry'!F$8),ISNUMBER('Council Entry'!F$9)),MAX(MIN('Council Entry'!F57,'Council Entry'!F$9),'Council Entry'!F$8),'Council Entry'!F57)),IF(AND(ISNUMBER('Council Entry'!F$8),ISNUMBER('Council Entry'!F$9)),MAX(MIN('Council Entry'!F57,'Council Entry'!F$9),'Council Entry'!F$8),'Council Entry'!F57))))-'Council Entry'!F$5)/('Council Entry'!F$6-'Council Entry'!F$5)),1))),"No data"))</f>
        <v/>
      </c>
      <c r="G57" s="13">
        <f>IF('Council Entry'!G57="","",IFERROR(MAX(0,MIN(10,ROUND(IF('Council Entry'!G$7="Decrease Risk",10-10*((IF('Council Entry'!G$4="Logarithm",LN(0.001+IF(AND(ISNUMBER('Council Entry'!G$8),ISNUMBER('Council Entry'!G$9)),MAX(MIN('Council Entry'!G57,'Council Entry'!G$9),'Council Entry'!G$8),'Council Entry'!G57)),IF('Council Entry'!G$4="Exponential",EXP(IF(AND(ISNUMBER('Council Entry'!G$8),ISNUMBER('Council Entry'!G$9)),MAX(MIN('Council Entry'!G57,'Council Entry'!G$9),'Council Entry'!G$8),'Council Entry'!G57)),IF(AND(ISNUMBER('Council Entry'!G$8),ISNUMBER('Council Entry'!G$9)),MAX(MIN('Council Entry'!G57,'Council Entry'!G$9),'Council Entry'!G$8),'Council Entry'!G57))))-'Council Entry'!G$5)/('Council Entry'!G$6-'Council Entry'!G$5),10*((IF('Council Entry'!G$4="Logarithm",LN(0.001+IF(AND(ISNUMBER('Council Entry'!G$8),ISNUMBER('Council Entry'!G$9)),MAX(MIN('Council Entry'!G57,'Council Entry'!G$9),'Council Entry'!G$8),'Council Entry'!G57)),IF('Council Entry'!G$4="Exponential",EXP(IF(AND(ISNUMBER('Council Entry'!G$8),ISNUMBER('Council Entry'!G$9)),MAX(MIN('Council Entry'!G57,'Council Entry'!G$9),'Council Entry'!G$8),'Council Entry'!G57)),IF(AND(ISNUMBER('Council Entry'!G$8),ISNUMBER('Council Entry'!G$9)),MAX(MIN('Council Entry'!G57,'Council Entry'!G$9),'Council Entry'!G$8),'Council Entry'!G57))))-'Council Entry'!G$5)/('Council Entry'!G$6-'Council Entry'!G$5)),1))),"No data"))</f>
        <v/>
      </c>
      <c r="H57" s="13">
        <f>IF('Council Entry'!H57="","",IFERROR(MAX(0,MIN(10,ROUND(IF('Council Entry'!H$7="Decrease Risk",10-10*((IF('Council Entry'!H$4="Logarithm",LN(0.001+IF(AND(ISNUMBER('Council Entry'!H$8),ISNUMBER('Council Entry'!H$9)),MAX(MIN('Council Entry'!H57,'Council Entry'!H$9),'Council Entry'!H$8),'Council Entry'!H57)),IF('Council Entry'!H$4="Exponential",EXP(IF(AND(ISNUMBER('Council Entry'!H$8),ISNUMBER('Council Entry'!H$9)),MAX(MIN('Council Entry'!H57,'Council Entry'!H$9),'Council Entry'!H$8),'Council Entry'!H57)),IF(AND(ISNUMBER('Council Entry'!H$8),ISNUMBER('Council Entry'!H$9)),MAX(MIN('Council Entry'!H57,'Council Entry'!H$9),'Council Entry'!H$8),'Council Entry'!H57))))-'Council Entry'!H$5)/('Council Entry'!H$6-'Council Entry'!H$5),10*((IF('Council Entry'!H$4="Logarithm",LN(0.001+IF(AND(ISNUMBER('Council Entry'!H$8),ISNUMBER('Council Entry'!H$9)),MAX(MIN('Council Entry'!H57,'Council Entry'!H$9),'Council Entry'!H$8),'Council Entry'!H57)),IF('Council Entry'!H$4="Exponential",EXP(IF(AND(ISNUMBER('Council Entry'!H$8),ISNUMBER('Council Entry'!H$9)),MAX(MIN('Council Entry'!H57,'Council Entry'!H$9),'Council Entry'!H$8),'Council Entry'!H57)),IF(AND(ISNUMBER('Council Entry'!H$8),ISNUMBER('Council Entry'!H$9)),MAX(MIN('Council Entry'!H57,'Council Entry'!H$9),'Council Entry'!H$8),'Council Entry'!H57))))-'Council Entry'!H$5)/('Council Entry'!H$6-'Council Entry'!H$5)),1))),"No data"))</f>
        <v/>
      </c>
      <c r="I57" s="13">
        <f>IF('Council Entry'!I57="","",IFERROR(MAX(0,MIN(10,ROUND(IF('Council Entry'!I$7="Decrease Risk",10-10*((IF('Council Entry'!I$4="Logarithm",LN(0.001+IF(AND(ISNUMBER('Council Entry'!I$8),ISNUMBER('Council Entry'!I$9)),MAX(MIN('Council Entry'!I57,'Council Entry'!I$9),'Council Entry'!I$8),'Council Entry'!I57)),IF('Council Entry'!I$4="Exponential",EXP(IF(AND(ISNUMBER('Council Entry'!I$8),ISNUMBER('Council Entry'!I$9)),MAX(MIN('Council Entry'!I57,'Council Entry'!I$9),'Council Entry'!I$8),'Council Entry'!I57)),IF(AND(ISNUMBER('Council Entry'!I$8),ISNUMBER('Council Entry'!I$9)),MAX(MIN('Council Entry'!I57,'Council Entry'!I$9),'Council Entry'!I$8),'Council Entry'!I57))))-'Council Entry'!I$5)/('Council Entry'!I$6-'Council Entry'!I$5),10*((IF('Council Entry'!I$4="Logarithm",LN(0.001+IF(AND(ISNUMBER('Council Entry'!I$8),ISNUMBER('Council Entry'!I$9)),MAX(MIN('Council Entry'!I57,'Council Entry'!I$9),'Council Entry'!I$8),'Council Entry'!I57)),IF('Council Entry'!I$4="Exponential",EXP(IF(AND(ISNUMBER('Council Entry'!I$8),ISNUMBER('Council Entry'!I$9)),MAX(MIN('Council Entry'!I57,'Council Entry'!I$9),'Council Entry'!I$8),'Council Entry'!I57)),IF(AND(ISNUMBER('Council Entry'!I$8),ISNUMBER('Council Entry'!I$9)),MAX(MIN('Council Entry'!I57,'Council Entry'!I$9),'Council Entry'!I$8),'Council Entry'!I57))))-'Council Entry'!I$5)/('Council Entry'!I$6-'Council Entry'!I$5)),1))),"No data"))</f>
        <v/>
      </c>
      <c r="J57" s="13">
        <f>IF('Council Entry'!J57="","",IFERROR(MAX(0,MIN(10,ROUND(IF('Council Entry'!J$7="Decrease Risk",10-10*((IF('Council Entry'!J$4="Logarithm",LN(0.001+IF(AND(ISNUMBER('Council Entry'!J$8),ISNUMBER('Council Entry'!J$9)),MAX(MIN('Council Entry'!J57,'Council Entry'!J$9),'Council Entry'!J$8),'Council Entry'!J57)),IF('Council Entry'!J$4="Exponential",EXP(IF(AND(ISNUMBER('Council Entry'!J$8),ISNUMBER('Council Entry'!J$9)),MAX(MIN('Council Entry'!J57,'Council Entry'!J$9),'Council Entry'!J$8),'Council Entry'!J57)),IF(AND(ISNUMBER('Council Entry'!J$8),ISNUMBER('Council Entry'!J$9)),MAX(MIN('Council Entry'!J57,'Council Entry'!J$9),'Council Entry'!J$8),'Council Entry'!J57))))-'Council Entry'!J$5)/('Council Entry'!J$6-'Council Entry'!J$5),10*((IF('Council Entry'!J$4="Logarithm",LN(0.001+IF(AND(ISNUMBER('Council Entry'!J$8),ISNUMBER('Council Entry'!J$9)),MAX(MIN('Council Entry'!J57,'Council Entry'!J$9),'Council Entry'!J$8),'Council Entry'!J57)),IF('Council Entry'!J$4="Exponential",EXP(IF(AND(ISNUMBER('Council Entry'!J$8),ISNUMBER('Council Entry'!J$9)),MAX(MIN('Council Entry'!J57,'Council Entry'!J$9),'Council Entry'!J$8),'Council Entry'!J57)),IF(AND(ISNUMBER('Council Entry'!J$8),ISNUMBER('Council Entry'!J$9)),MAX(MIN('Council Entry'!J57,'Council Entry'!J$9),'Council Entry'!J$8),'Council Entry'!J57))))-'Council Entry'!J$5)/('Council Entry'!J$6-'Council Entry'!J$5)),1))),"No data"))</f>
        <v/>
      </c>
      <c r="K57" s="13">
        <f>IF('Council Entry'!K57="","",IFERROR(MAX(0,MIN(10,ROUND(IF('Council Entry'!K$7="Decrease Risk",10-10*((IF('Council Entry'!K$4="Logarithm",LN(0.001+IF(AND(ISNUMBER('Council Entry'!K$8),ISNUMBER('Council Entry'!K$9)),MAX(MIN('Council Entry'!K57,'Council Entry'!K$9),'Council Entry'!K$8),'Council Entry'!K57)),IF('Council Entry'!K$4="Exponential",EXP(IF(AND(ISNUMBER('Council Entry'!K$8),ISNUMBER('Council Entry'!K$9)),MAX(MIN('Council Entry'!K57,'Council Entry'!K$9),'Council Entry'!K$8),'Council Entry'!K57)),IF(AND(ISNUMBER('Council Entry'!K$8),ISNUMBER('Council Entry'!K$9)),MAX(MIN('Council Entry'!K57,'Council Entry'!K$9),'Council Entry'!K$8),'Council Entry'!K57))))-'Council Entry'!K$5)/('Council Entry'!K$6-'Council Entry'!K$5),10*((IF('Council Entry'!K$4="Logarithm",LN(0.001+IF(AND(ISNUMBER('Council Entry'!K$8),ISNUMBER('Council Entry'!K$9)),MAX(MIN('Council Entry'!K57,'Council Entry'!K$9),'Council Entry'!K$8),'Council Entry'!K57)),IF('Council Entry'!K$4="Exponential",EXP(IF(AND(ISNUMBER('Council Entry'!K$8),ISNUMBER('Council Entry'!K$9)),MAX(MIN('Council Entry'!K57,'Council Entry'!K$9),'Council Entry'!K$8),'Council Entry'!K57)),IF(AND(ISNUMBER('Council Entry'!K$8),ISNUMBER('Council Entry'!K$9)),MAX(MIN('Council Entry'!K57,'Council Entry'!K$9),'Council Entry'!K$8),'Council Entry'!K57))))-'Council Entry'!K$5)/('Council Entry'!K$6-'Council Entry'!K$5)),1))),"No data"))</f>
        <v/>
      </c>
      <c r="L57" s="13">
        <f>IF('Council Entry'!L57="","",IFERROR(MAX(0,MIN(10,ROUND(IF('Council Entry'!L$7="Decrease Risk",10-10*((IF('Council Entry'!L$4="Logarithm",LN(0.001+IF(AND(ISNUMBER('Council Entry'!L$8),ISNUMBER('Council Entry'!L$9)),MAX(MIN('Council Entry'!L57,'Council Entry'!L$9),'Council Entry'!L$8),'Council Entry'!L57)),IF('Council Entry'!L$4="Exponential",EXP(IF(AND(ISNUMBER('Council Entry'!L$8),ISNUMBER('Council Entry'!L$9)),MAX(MIN('Council Entry'!L57,'Council Entry'!L$9),'Council Entry'!L$8),'Council Entry'!L57)),IF(AND(ISNUMBER('Council Entry'!L$8),ISNUMBER('Council Entry'!L$9)),MAX(MIN('Council Entry'!L57,'Council Entry'!L$9),'Council Entry'!L$8),'Council Entry'!L57))))-'Council Entry'!L$5)/('Council Entry'!L$6-'Council Entry'!L$5),10*((IF('Council Entry'!L$4="Logarithm",LN(0.001+IF(AND(ISNUMBER('Council Entry'!L$8),ISNUMBER('Council Entry'!L$9)),MAX(MIN('Council Entry'!L57,'Council Entry'!L$9),'Council Entry'!L$8),'Council Entry'!L57)),IF('Council Entry'!L$4="Exponential",EXP(IF(AND(ISNUMBER('Council Entry'!L$8),ISNUMBER('Council Entry'!L$9)),MAX(MIN('Council Entry'!L57,'Council Entry'!L$9),'Council Entry'!L$8),'Council Entry'!L57)),IF(AND(ISNUMBER('Council Entry'!L$8),ISNUMBER('Council Entry'!L$9)),MAX(MIN('Council Entry'!L57,'Council Entry'!L$9),'Council Entry'!L$8),'Council Entry'!L57))))-'Council Entry'!L$5)/('Council Entry'!L$6-'Council Entry'!L$5)),1))),"No data"))</f>
        <v/>
      </c>
      <c r="M57" s="13">
        <f>IF('Council Entry'!M57="","",IFERROR(MAX(0,MIN(10,ROUND(IF('Council Entry'!M$7="Decrease Risk",10-10*((IF('Council Entry'!M$4="Logarithm",LN(0.001+IF(AND(ISNUMBER('Council Entry'!M$8),ISNUMBER('Council Entry'!M$9)),MAX(MIN('Council Entry'!M57,'Council Entry'!M$9),'Council Entry'!M$8),'Council Entry'!M57)),IF('Council Entry'!M$4="Exponential",EXP(IF(AND(ISNUMBER('Council Entry'!M$8),ISNUMBER('Council Entry'!M$9)),MAX(MIN('Council Entry'!M57,'Council Entry'!M$9),'Council Entry'!M$8),'Council Entry'!M57)),IF(AND(ISNUMBER('Council Entry'!M$8),ISNUMBER('Council Entry'!M$9)),MAX(MIN('Council Entry'!M57,'Council Entry'!M$9),'Council Entry'!M$8),'Council Entry'!M57))))-'Council Entry'!M$5)/('Council Entry'!M$6-'Council Entry'!M$5),10*((IF('Council Entry'!M$4="Logarithm",LN(0.001+IF(AND(ISNUMBER('Council Entry'!M$8),ISNUMBER('Council Entry'!M$9)),MAX(MIN('Council Entry'!M57,'Council Entry'!M$9),'Council Entry'!M$8),'Council Entry'!M57)),IF('Council Entry'!M$4="Exponential",EXP(IF(AND(ISNUMBER('Council Entry'!M$8),ISNUMBER('Council Entry'!M$9)),MAX(MIN('Council Entry'!M57,'Council Entry'!M$9),'Council Entry'!M$8),'Council Entry'!M57)),IF(AND(ISNUMBER('Council Entry'!M$8),ISNUMBER('Council Entry'!M$9)),MAX(MIN('Council Entry'!M57,'Council Entry'!M$9),'Council Entry'!M$8),'Council Entry'!M57))))-'Council Entry'!M$5)/('Council Entry'!M$6-'Council Entry'!M$5)),1))),"No data"))</f>
        <v/>
      </c>
      <c r="N57" s="13">
        <f>IF('Council Entry'!N57="","",IFERROR(MAX(0,MIN(10,ROUND(IF('Council Entry'!N$7="Decrease Risk",10-10*((IF('Council Entry'!N$4="Logarithm",LN(0.001+IF(AND(ISNUMBER('Council Entry'!N$8),ISNUMBER('Council Entry'!N$9)),MAX(MIN('Council Entry'!N57,'Council Entry'!N$9),'Council Entry'!N$8),'Council Entry'!N57)),IF('Council Entry'!N$4="Exponential",EXP(IF(AND(ISNUMBER('Council Entry'!N$8),ISNUMBER('Council Entry'!N$9)),MAX(MIN('Council Entry'!N57,'Council Entry'!N$9),'Council Entry'!N$8),'Council Entry'!N57)),IF(AND(ISNUMBER('Council Entry'!N$8),ISNUMBER('Council Entry'!N$9)),MAX(MIN('Council Entry'!N57,'Council Entry'!N$9),'Council Entry'!N$8),'Council Entry'!N57))))-'Council Entry'!N$5)/('Council Entry'!N$6-'Council Entry'!N$5),10*((IF('Council Entry'!N$4="Logarithm",LN(0.001+IF(AND(ISNUMBER('Council Entry'!N$8),ISNUMBER('Council Entry'!N$9)),MAX(MIN('Council Entry'!N57,'Council Entry'!N$9),'Council Entry'!N$8),'Council Entry'!N57)),IF('Council Entry'!N$4="Exponential",EXP(IF(AND(ISNUMBER('Council Entry'!N$8),ISNUMBER('Council Entry'!N$9)),MAX(MIN('Council Entry'!N57,'Council Entry'!N$9),'Council Entry'!N$8),'Council Entry'!N57)),IF(AND(ISNUMBER('Council Entry'!N$8),ISNUMBER('Council Entry'!N$9)),MAX(MIN('Council Entry'!N57,'Council Entry'!N$9),'Council Entry'!N$8),'Council Entry'!N57))))-'Council Entry'!N$5)/('Council Entry'!N$6-'Council Entry'!N$5)),1))),"No data"))</f>
        <v/>
      </c>
      <c r="O57" s="13">
        <f>IF('Council Entry'!O57="","",IFERROR(MAX(0,MIN(10,ROUND(IF('Council Entry'!O$7="Decrease Risk",10-10*((IF('Council Entry'!O$4="Logarithm",LN(0.001+IF(AND(ISNUMBER('Council Entry'!O$8),ISNUMBER('Council Entry'!O$9)),MAX(MIN('Council Entry'!O57,'Council Entry'!O$9),'Council Entry'!O$8),'Council Entry'!O57)),IF('Council Entry'!O$4="Exponential",EXP(IF(AND(ISNUMBER('Council Entry'!O$8),ISNUMBER('Council Entry'!O$9)),MAX(MIN('Council Entry'!O57,'Council Entry'!O$9),'Council Entry'!O$8),'Council Entry'!O57)),IF(AND(ISNUMBER('Council Entry'!O$8),ISNUMBER('Council Entry'!O$9)),MAX(MIN('Council Entry'!O57,'Council Entry'!O$9),'Council Entry'!O$8),'Council Entry'!O57))))-'Council Entry'!O$5)/('Council Entry'!O$6-'Council Entry'!O$5),10*((IF('Council Entry'!O$4="Logarithm",LN(0.001+IF(AND(ISNUMBER('Council Entry'!O$8),ISNUMBER('Council Entry'!O$9)),MAX(MIN('Council Entry'!O57,'Council Entry'!O$9),'Council Entry'!O$8),'Council Entry'!O57)),IF('Council Entry'!O$4="Exponential",EXP(IF(AND(ISNUMBER('Council Entry'!O$8),ISNUMBER('Council Entry'!O$9)),MAX(MIN('Council Entry'!O57,'Council Entry'!O$9),'Council Entry'!O$8),'Council Entry'!O57)),IF(AND(ISNUMBER('Council Entry'!O$8),ISNUMBER('Council Entry'!O$9)),MAX(MIN('Council Entry'!O57,'Council Entry'!O$9),'Council Entry'!O$8),'Council Entry'!O57))))-'Council Entry'!O$5)/('Council Entry'!O$6-'Council Entry'!O$5)),1))),"No data"))</f>
        <v/>
      </c>
      <c r="P57" s="13">
        <f>IF('Council Entry'!P57="","",IFERROR(MAX(0,MIN(10,ROUND(IF('Council Entry'!P$7="Decrease Risk",10-10*((IF('Council Entry'!P$4="Logarithm",LN(0.001+IF(AND(ISNUMBER('Council Entry'!P$8),ISNUMBER('Council Entry'!P$9)),MAX(MIN('Council Entry'!P57,'Council Entry'!P$9),'Council Entry'!P$8),'Council Entry'!P57)),IF('Council Entry'!P$4="Exponential",EXP(IF(AND(ISNUMBER('Council Entry'!P$8),ISNUMBER('Council Entry'!P$9)),MAX(MIN('Council Entry'!P57,'Council Entry'!P$9),'Council Entry'!P$8),'Council Entry'!P57)),IF(AND(ISNUMBER('Council Entry'!P$8),ISNUMBER('Council Entry'!P$9)),MAX(MIN('Council Entry'!P57,'Council Entry'!P$9),'Council Entry'!P$8),'Council Entry'!P57))))-'Council Entry'!P$5)/('Council Entry'!P$6-'Council Entry'!P$5),10*((IF('Council Entry'!P$4="Logarithm",LN(0.001+IF(AND(ISNUMBER('Council Entry'!P$8),ISNUMBER('Council Entry'!P$9)),MAX(MIN('Council Entry'!P57,'Council Entry'!P$9),'Council Entry'!P$8),'Council Entry'!P57)),IF('Council Entry'!P$4="Exponential",EXP(IF(AND(ISNUMBER('Council Entry'!P$8),ISNUMBER('Council Entry'!P$9)),MAX(MIN('Council Entry'!P57,'Council Entry'!P$9),'Council Entry'!P$8),'Council Entry'!P57)),IF(AND(ISNUMBER('Council Entry'!P$8),ISNUMBER('Council Entry'!P$9)),MAX(MIN('Council Entry'!P57,'Council Entry'!P$9),'Council Entry'!P$8),'Council Entry'!P57))))-'Council Entry'!P$5)/('Council Entry'!P$6-'Council Entry'!P$5)),1))),"No data"))</f>
        <v/>
      </c>
      <c r="Q57" s="13">
        <f>IF('Council Entry'!Q57="","",IFERROR(MAX(0,MIN(10,ROUND(IF('Council Entry'!Q$7="Decrease Risk",10-10*((IF('Council Entry'!Q$4="Logarithm",LN(0.001+IF(AND(ISNUMBER('Council Entry'!Q$8),ISNUMBER('Council Entry'!Q$9)),MAX(MIN('Council Entry'!Q57,'Council Entry'!Q$9),'Council Entry'!Q$8),'Council Entry'!Q57)),IF('Council Entry'!Q$4="Exponential",EXP(IF(AND(ISNUMBER('Council Entry'!Q$8),ISNUMBER('Council Entry'!Q$9)),MAX(MIN('Council Entry'!Q57,'Council Entry'!Q$9),'Council Entry'!Q$8),'Council Entry'!Q57)),IF(AND(ISNUMBER('Council Entry'!Q$8),ISNUMBER('Council Entry'!Q$9)),MAX(MIN('Council Entry'!Q57,'Council Entry'!Q$9),'Council Entry'!Q$8),'Council Entry'!Q57))))-'Council Entry'!Q$5)/('Council Entry'!Q$6-'Council Entry'!Q$5),10*((IF('Council Entry'!Q$4="Logarithm",LN(0.001+IF(AND(ISNUMBER('Council Entry'!Q$8),ISNUMBER('Council Entry'!Q$9)),MAX(MIN('Council Entry'!Q57,'Council Entry'!Q$9),'Council Entry'!Q$8),'Council Entry'!Q57)),IF('Council Entry'!Q$4="Exponential",EXP(IF(AND(ISNUMBER('Council Entry'!Q$8),ISNUMBER('Council Entry'!Q$9)),MAX(MIN('Council Entry'!Q57,'Council Entry'!Q$9),'Council Entry'!Q$8),'Council Entry'!Q57)),IF(AND(ISNUMBER('Council Entry'!Q$8),ISNUMBER('Council Entry'!Q$9)),MAX(MIN('Council Entry'!Q57,'Council Entry'!Q$9),'Council Entry'!Q$8),'Council Entry'!Q57))))-'Council Entry'!Q$5)/('Council Entry'!Q$6-'Council Entry'!Q$5)),1))),"No data"))</f>
        <v/>
      </c>
      <c r="R57" s="13">
        <f>IF('Council Entry'!R57="","",IFERROR(MAX(0,MIN(10,ROUND(IF('Council Entry'!R$7="Decrease Risk",10-10*((IF('Council Entry'!R$4="Logarithm",LN(0.001+IF(AND(ISNUMBER('Council Entry'!R$8),ISNUMBER('Council Entry'!R$9)),MAX(MIN('Council Entry'!R57,'Council Entry'!R$9),'Council Entry'!R$8),'Council Entry'!R57)),IF('Council Entry'!R$4="Exponential",EXP(IF(AND(ISNUMBER('Council Entry'!R$8),ISNUMBER('Council Entry'!R$9)),MAX(MIN('Council Entry'!R57,'Council Entry'!R$9),'Council Entry'!R$8),'Council Entry'!R57)),IF(AND(ISNUMBER('Council Entry'!R$8),ISNUMBER('Council Entry'!R$9)),MAX(MIN('Council Entry'!R57,'Council Entry'!R$9),'Council Entry'!R$8),'Council Entry'!R57))))-'Council Entry'!R$5)/('Council Entry'!R$6-'Council Entry'!R$5),10*((IF('Council Entry'!R$4="Logarithm",LN(0.001+IF(AND(ISNUMBER('Council Entry'!R$8),ISNUMBER('Council Entry'!R$9)),MAX(MIN('Council Entry'!R57,'Council Entry'!R$9),'Council Entry'!R$8),'Council Entry'!R57)),IF('Council Entry'!R$4="Exponential",EXP(IF(AND(ISNUMBER('Council Entry'!R$8),ISNUMBER('Council Entry'!R$9)),MAX(MIN('Council Entry'!R57,'Council Entry'!R$9),'Council Entry'!R$8),'Council Entry'!R57)),IF(AND(ISNUMBER('Council Entry'!R$8),ISNUMBER('Council Entry'!R$9)),MAX(MIN('Council Entry'!R57,'Council Entry'!R$9),'Council Entry'!R$8),'Council Entry'!R57))))-'Council Entry'!R$5)/('Council Entry'!R$6-'Council Entry'!R$5)),1))),"No data"))</f>
        <v/>
      </c>
      <c r="S57" s="13">
        <f>IF('Council Entry'!S57="","",IFERROR(MAX(0,MIN(10,ROUND(IF('Council Entry'!S$7="Decrease Risk",10-10*((IF('Council Entry'!S$4="Logarithm",LN(0.001+IF(AND(ISNUMBER('Council Entry'!S$8),ISNUMBER('Council Entry'!S$9)),MAX(MIN('Council Entry'!S57,'Council Entry'!S$9),'Council Entry'!S$8),'Council Entry'!S57)),IF('Council Entry'!S$4="Exponential",EXP(IF(AND(ISNUMBER('Council Entry'!S$8),ISNUMBER('Council Entry'!S$9)),MAX(MIN('Council Entry'!S57,'Council Entry'!S$9),'Council Entry'!S$8),'Council Entry'!S57)),IF(AND(ISNUMBER('Council Entry'!S$8),ISNUMBER('Council Entry'!S$9)),MAX(MIN('Council Entry'!S57,'Council Entry'!S$9),'Council Entry'!S$8),'Council Entry'!S57))))-'Council Entry'!S$5)/('Council Entry'!S$6-'Council Entry'!S$5),10*((IF('Council Entry'!S$4="Logarithm",LN(0.001+IF(AND(ISNUMBER('Council Entry'!S$8),ISNUMBER('Council Entry'!S$9)),MAX(MIN('Council Entry'!S57,'Council Entry'!S$9),'Council Entry'!S$8),'Council Entry'!S57)),IF('Council Entry'!S$4="Exponential",EXP(IF(AND(ISNUMBER('Council Entry'!S$8),ISNUMBER('Council Entry'!S$9)),MAX(MIN('Council Entry'!S57,'Council Entry'!S$9),'Council Entry'!S$8),'Council Entry'!S57)),IF(AND(ISNUMBER('Council Entry'!S$8),ISNUMBER('Council Entry'!S$9)),MAX(MIN('Council Entry'!S57,'Council Entry'!S$9),'Council Entry'!S$8),'Council Entry'!S57))))-'Council Entry'!S$5)/('Council Entry'!S$6-'Council Entry'!S$5)),1))),"No data"))</f>
        <v/>
      </c>
      <c r="T57" s="13">
        <f>IF('Council Entry'!T57="","",IFERROR(MAX(0,MIN(10,ROUND(IF('Council Entry'!T$7="Decrease Risk",10-10*((IF('Council Entry'!T$4="Logarithm",LN(0.001+IF(AND(ISNUMBER('Council Entry'!T$8),ISNUMBER('Council Entry'!T$9)),MAX(MIN('Council Entry'!T57,'Council Entry'!T$9),'Council Entry'!T$8),'Council Entry'!T57)),IF('Council Entry'!T$4="Exponential",EXP(IF(AND(ISNUMBER('Council Entry'!T$8),ISNUMBER('Council Entry'!T$9)),MAX(MIN('Council Entry'!T57,'Council Entry'!T$9),'Council Entry'!T$8),'Council Entry'!T57)),IF(AND(ISNUMBER('Council Entry'!T$8),ISNUMBER('Council Entry'!T$9)),MAX(MIN('Council Entry'!T57,'Council Entry'!T$9),'Council Entry'!T$8),'Council Entry'!T57))))-'Council Entry'!T$5)/('Council Entry'!T$6-'Council Entry'!T$5),10*((IF('Council Entry'!T$4="Logarithm",LN(0.001+IF(AND(ISNUMBER('Council Entry'!T$8),ISNUMBER('Council Entry'!T$9)),MAX(MIN('Council Entry'!T57,'Council Entry'!T$9),'Council Entry'!T$8),'Council Entry'!T57)),IF('Council Entry'!T$4="Exponential",EXP(IF(AND(ISNUMBER('Council Entry'!T$8),ISNUMBER('Council Entry'!T$9)),MAX(MIN('Council Entry'!T57,'Council Entry'!T$9),'Council Entry'!T$8),'Council Entry'!T57)),IF(AND(ISNUMBER('Council Entry'!T$8),ISNUMBER('Council Entry'!T$9)),MAX(MIN('Council Entry'!T57,'Council Entry'!T$9),'Council Entry'!T$8),'Council Entry'!T57))))-'Council Entry'!T$5)/('Council Entry'!T$6-'Council Entry'!T$5)),1))),"No data"))</f>
        <v/>
      </c>
      <c r="U57" s="13">
        <f>IF('Council Entry'!U57="","",IFERROR(MAX(0,MIN(10,ROUND(IF('Council Entry'!U$7="Decrease Risk",10-10*((IF('Council Entry'!U$4="Logarithm",LN(0.001+IF(AND(ISNUMBER('Council Entry'!U$8),ISNUMBER('Council Entry'!U$9)),MAX(MIN('Council Entry'!U57,'Council Entry'!U$9),'Council Entry'!U$8),'Council Entry'!U57)),IF('Council Entry'!U$4="Exponential",EXP(IF(AND(ISNUMBER('Council Entry'!U$8),ISNUMBER('Council Entry'!U$9)),MAX(MIN('Council Entry'!U57,'Council Entry'!U$9),'Council Entry'!U$8),'Council Entry'!U57)),IF(AND(ISNUMBER('Council Entry'!U$8),ISNUMBER('Council Entry'!U$9)),MAX(MIN('Council Entry'!U57,'Council Entry'!U$9),'Council Entry'!U$8),'Council Entry'!U57))))-'Council Entry'!U$5)/('Council Entry'!U$6-'Council Entry'!U$5),10*((IF('Council Entry'!U$4="Logarithm",LN(0.001+IF(AND(ISNUMBER('Council Entry'!U$8),ISNUMBER('Council Entry'!U$9)),MAX(MIN('Council Entry'!U57,'Council Entry'!U$9),'Council Entry'!U$8),'Council Entry'!U57)),IF('Council Entry'!U$4="Exponential",EXP(IF(AND(ISNUMBER('Council Entry'!U$8),ISNUMBER('Council Entry'!U$9)),MAX(MIN('Council Entry'!U57,'Council Entry'!U$9),'Council Entry'!U$8),'Council Entry'!U57)),IF(AND(ISNUMBER('Council Entry'!U$8),ISNUMBER('Council Entry'!U$9)),MAX(MIN('Council Entry'!U57,'Council Entry'!U$9),'Council Entry'!U$8),'Council Entry'!U57))))-'Council Entry'!U$5)/('Council Entry'!U$6-'Council Entry'!U$5)),1))),"No data"))</f>
        <v/>
      </c>
      <c r="V57" s="13">
        <f>IF('Council Entry'!V57="","",IFERROR(MAX(0,MIN(10,ROUND(IF('Council Entry'!V$7="Decrease Risk",10-10*((IF('Council Entry'!V$4="Logarithm",LN(0.001+IF(AND(ISNUMBER('Council Entry'!V$8),ISNUMBER('Council Entry'!V$9)),MAX(MIN('Council Entry'!V57,'Council Entry'!V$9),'Council Entry'!V$8),'Council Entry'!V57)),IF('Council Entry'!V$4="Exponential",EXP(IF(AND(ISNUMBER('Council Entry'!V$8),ISNUMBER('Council Entry'!V$9)),MAX(MIN('Council Entry'!V57,'Council Entry'!V$9),'Council Entry'!V$8),'Council Entry'!V57)),IF(AND(ISNUMBER('Council Entry'!V$8),ISNUMBER('Council Entry'!V$9)),MAX(MIN('Council Entry'!V57,'Council Entry'!V$9),'Council Entry'!V$8),'Council Entry'!V57))))-'Council Entry'!V$5)/('Council Entry'!V$6-'Council Entry'!V$5),10*((IF('Council Entry'!V$4="Logarithm",LN(0.001+IF(AND(ISNUMBER('Council Entry'!V$8),ISNUMBER('Council Entry'!V$9)),MAX(MIN('Council Entry'!V57,'Council Entry'!V$9),'Council Entry'!V$8),'Council Entry'!V57)),IF('Council Entry'!V$4="Exponential",EXP(IF(AND(ISNUMBER('Council Entry'!V$8),ISNUMBER('Council Entry'!V$9)),MAX(MIN('Council Entry'!V57,'Council Entry'!V$9),'Council Entry'!V$8),'Council Entry'!V57)),IF(AND(ISNUMBER('Council Entry'!V$8),ISNUMBER('Council Entry'!V$9)),MAX(MIN('Council Entry'!V57,'Council Entry'!V$9),'Council Entry'!V$8),'Council Entry'!V57))))-'Council Entry'!V$5)/('Council Entry'!V$6-'Council Entry'!V$5)),1))),"No data"))</f>
        <v/>
      </c>
      <c r="W57" s="13">
        <f>IF('Council Entry'!W57="","",IFERROR(MAX(0,MIN(10,ROUND(IF('Council Entry'!W$7="Decrease Risk",10-10*((IF('Council Entry'!W$4="Logarithm",LN(0.001+IF(AND(ISNUMBER('Council Entry'!W$8),ISNUMBER('Council Entry'!W$9)),MAX(MIN('Council Entry'!W57,'Council Entry'!W$9),'Council Entry'!W$8),'Council Entry'!W57)),IF('Council Entry'!W$4="Exponential",EXP(IF(AND(ISNUMBER('Council Entry'!W$8),ISNUMBER('Council Entry'!W$9)),MAX(MIN('Council Entry'!W57,'Council Entry'!W$9),'Council Entry'!W$8),'Council Entry'!W57)),IF(AND(ISNUMBER('Council Entry'!W$8),ISNUMBER('Council Entry'!W$9)),MAX(MIN('Council Entry'!W57,'Council Entry'!W$9),'Council Entry'!W$8),'Council Entry'!W57))))-'Council Entry'!W$5)/('Council Entry'!W$6-'Council Entry'!W$5),10*((IF('Council Entry'!W$4="Logarithm",LN(0.001+IF(AND(ISNUMBER('Council Entry'!W$8),ISNUMBER('Council Entry'!W$9)),MAX(MIN('Council Entry'!W57,'Council Entry'!W$9),'Council Entry'!W$8),'Council Entry'!W57)),IF('Council Entry'!W$4="Exponential",EXP(IF(AND(ISNUMBER('Council Entry'!W$8),ISNUMBER('Council Entry'!W$9)),MAX(MIN('Council Entry'!W57,'Council Entry'!W$9),'Council Entry'!W$8),'Council Entry'!W57)),IF(AND(ISNUMBER('Council Entry'!W$8),ISNUMBER('Council Entry'!W$9)),MAX(MIN('Council Entry'!W57,'Council Entry'!W$9),'Council Entry'!W$8),'Council Entry'!W57))))-'Council Entry'!W$5)/('Council Entry'!W$6-'Council Entry'!W$5)),1))),"No data"))</f>
        <v/>
      </c>
      <c r="X57" s="13">
        <f>IF('Council Entry'!X57="","",IFERROR(MAX(0,MIN(10,ROUND(IF('Council Entry'!X$7="Decrease Risk",10-10*((IF('Council Entry'!X$4="Logarithm",LN(0.001+IF(AND(ISNUMBER('Council Entry'!X$8),ISNUMBER('Council Entry'!X$9)),MAX(MIN('Council Entry'!X57,'Council Entry'!X$9),'Council Entry'!X$8),'Council Entry'!X57)),IF('Council Entry'!X$4="Exponential",EXP(IF(AND(ISNUMBER('Council Entry'!X$8),ISNUMBER('Council Entry'!X$9)),MAX(MIN('Council Entry'!X57,'Council Entry'!X$9),'Council Entry'!X$8),'Council Entry'!X57)),IF(AND(ISNUMBER('Council Entry'!X$8),ISNUMBER('Council Entry'!X$9)),MAX(MIN('Council Entry'!X57,'Council Entry'!X$9),'Council Entry'!X$8),'Council Entry'!X57))))-'Council Entry'!X$5)/('Council Entry'!X$6-'Council Entry'!X$5),10*((IF('Council Entry'!X$4="Logarithm",LN(0.001+IF(AND(ISNUMBER('Council Entry'!X$8),ISNUMBER('Council Entry'!X$9)),MAX(MIN('Council Entry'!X57,'Council Entry'!X$9),'Council Entry'!X$8),'Council Entry'!X57)),IF('Council Entry'!X$4="Exponential",EXP(IF(AND(ISNUMBER('Council Entry'!X$8),ISNUMBER('Council Entry'!X$9)),MAX(MIN('Council Entry'!X57,'Council Entry'!X$9),'Council Entry'!X$8),'Council Entry'!X57)),IF(AND(ISNUMBER('Council Entry'!X$8),ISNUMBER('Council Entry'!X$9)),MAX(MIN('Council Entry'!X57,'Council Entry'!X$9),'Council Entry'!X$8),'Council Entry'!X57))))-'Council Entry'!X$5)/('Council Entry'!X$6-'Council Entry'!X$5)),1))),"No data"))</f>
        <v/>
      </c>
      <c r="Y57" s="13">
        <f>IF('Council Entry'!Y57="","",IFERROR(MAX(0,MIN(10,ROUND(IF('Council Entry'!Y$7="Decrease Risk",10-10*((IF('Council Entry'!Y$4="Logarithm",LN(0.001+IF(AND(ISNUMBER('Council Entry'!Y$8),ISNUMBER('Council Entry'!Y$9)),MAX(MIN('Council Entry'!Y57,'Council Entry'!Y$9),'Council Entry'!Y$8),'Council Entry'!Y57)),IF('Council Entry'!Y$4="Exponential",EXP(IF(AND(ISNUMBER('Council Entry'!Y$8),ISNUMBER('Council Entry'!Y$9)),MAX(MIN('Council Entry'!Y57,'Council Entry'!Y$9),'Council Entry'!Y$8),'Council Entry'!Y57)),IF(AND(ISNUMBER('Council Entry'!Y$8),ISNUMBER('Council Entry'!Y$9)),MAX(MIN('Council Entry'!Y57,'Council Entry'!Y$9),'Council Entry'!Y$8),'Council Entry'!Y57))))-'Council Entry'!Y$5)/('Council Entry'!Y$6-'Council Entry'!Y$5),10*((IF('Council Entry'!Y$4="Logarithm",LN(0.001+IF(AND(ISNUMBER('Council Entry'!Y$8),ISNUMBER('Council Entry'!Y$9)),MAX(MIN('Council Entry'!Y57,'Council Entry'!Y$9),'Council Entry'!Y$8),'Council Entry'!Y57)),IF('Council Entry'!Y$4="Exponential",EXP(IF(AND(ISNUMBER('Council Entry'!Y$8),ISNUMBER('Council Entry'!Y$9)),MAX(MIN('Council Entry'!Y57,'Council Entry'!Y$9),'Council Entry'!Y$8),'Council Entry'!Y57)),IF(AND(ISNUMBER('Council Entry'!Y$8),ISNUMBER('Council Entry'!Y$9)),MAX(MIN('Council Entry'!Y57,'Council Entry'!Y$9),'Council Entry'!Y$8),'Council Entry'!Y57))))-'Council Entry'!Y$5)/('Council Entry'!Y$6-'Council Entry'!Y$5)),1))),"No data"))</f>
        <v/>
      </c>
      <c r="Z57" s="13">
        <f>IF('Council Entry'!Z57="","",IFERROR(MAX(0,MIN(10,ROUND(IF('Council Entry'!Z$7="Decrease Risk",10-10*((IF('Council Entry'!Z$4="Logarithm",LN(0.001+IF(AND(ISNUMBER('Council Entry'!Z$8),ISNUMBER('Council Entry'!Z$9)),MAX(MIN('Council Entry'!Z57,'Council Entry'!Z$9),'Council Entry'!Z$8),'Council Entry'!Z57)),IF('Council Entry'!Z$4="Exponential",EXP(IF(AND(ISNUMBER('Council Entry'!Z$8),ISNUMBER('Council Entry'!Z$9)),MAX(MIN('Council Entry'!Z57,'Council Entry'!Z$9),'Council Entry'!Z$8),'Council Entry'!Z57)),IF(AND(ISNUMBER('Council Entry'!Z$8),ISNUMBER('Council Entry'!Z$9)),MAX(MIN('Council Entry'!Z57,'Council Entry'!Z$9),'Council Entry'!Z$8),'Council Entry'!Z57))))-'Council Entry'!Z$5)/('Council Entry'!Z$6-'Council Entry'!Z$5),10*((IF('Council Entry'!Z$4="Logarithm",LN(0.001+IF(AND(ISNUMBER('Council Entry'!Z$8),ISNUMBER('Council Entry'!Z$9)),MAX(MIN('Council Entry'!Z57,'Council Entry'!Z$9),'Council Entry'!Z$8),'Council Entry'!Z57)),IF('Council Entry'!Z$4="Exponential",EXP(IF(AND(ISNUMBER('Council Entry'!Z$8),ISNUMBER('Council Entry'!Z$9)),MAX(MIN('Council Entry'!Z57,'Council Entry'!Z$9),'Council Entry'!Z$8),'Council Entry'!Z57)),IF(AND(ISNUMBER('Council Entry'!Z$8),ISNUMBER('Council Entry'!Z$9)),MAX(MIN('Council Entry'!Z57,'Council Entry'!Z$9),'Council Entry'!Z$8),'Council Entry'!Z57))))-'Council Entry'!Z$5)/('Council Entry'!Z$6-'Council Entry'!Z$5)),1))),"No data"))</f>
        <v/>
      </c>
      <c r="AA57" s="13">
        <f>IF('Council Entry'!AA57="","",IFERROR(MAX(0,MIN(10,ROUND(IF('Council Entry'!AA$7="Decrease Risk",10-10*((IF('Council Entry'!AA$4="Logarithm",LN(0.001+IF(AND(ISNUMBER('Council Entry'!AA$8),ISNUMBER('Council Entry'!AA$9)),MAX(MIN('Council Entry'!AA57,'Council Entry'!AA$9),'Council Entry'!AA$8),'Council Entry'!AA57)),IF('Council Entry'!AA$4="Exponential",EXP(IF(AND(ISNUMBER('Council Entry'!AA$8),ISNUMBER('Council Entry'!AA$9)),MAX(MIN('Council Entry'!AA57,'Council Entry'!AA$9),'Council Entry'!AA$8),'Council Entry'!AA57)),IF(AND(ISNUMBER('Council Entry'!AA$8),ISNUMBER('Council Entry'!AA$9)),MAX(MIN('Council Entry'!AA57,'Council Entry'!AA$9),'Council Entry'!AA$8),'Council Entry'!AA57))))-'Council Entry'!AA$5)/('Council Entry'!AA$6-'Council Entry'!AA$5),10*((IF('Council Entry'!AA$4="Logarithm",LN(0.001+IF(AND(ISNUMBER('Council Entry'!AA$8),ISNUMBER('Council Entry'!AA$9)),MAX(MIN('Council Entry'!AA57,'Council Entry'!AA$9),'Council Entry'!AA$8),'Council Entry'!AA57)),IF('Council Entry'!AA$4="Exponential",EXP(IF(AND(ISNUMBER('Council Entry'!AA$8),ISNUMBER('Council Entry'!AA$9)),MAX(MIN('Council Entry'!AA57,'Council Entry'!AA$9),'Council Entry'!AA$8),'Council Entry'!AA57)),IF(AND(ISNUMBER('Council Entry'!AA$8),ISNUMBER('Council Entry'!AA$9)),MAX(MIN('Council Entry'!AA57,'Council Entry'!AA$9),'Council Entry'!AA$8),'Council Entry'!AA57))))-'Council Entry'!AA$5)/('Council Entry'!AA$6-'Council Entry'!AA$5)),1))),"No data"))</f>
        <v/>
      </c>
      <c r="AB57" s="13">
        <f>IF('Council Entry'!AB57="","",IFERROR(MAX(0,MIN(10,ROUND(IF('Council Entry'!AB$7="Decrease Risk",10-10*((IF('Council Entry'!AB$4="Logarithm",LN(0.001+IF(AND(ISNUMBER('Council Entry'!AB$8),ISNUMBER('Council Entry'!AB$9)),MAX(MIN('Council Entry'!AB57,'Council Entry'!AB$9),'Council Entry'!AB$8),'Council Entry'!AB57)),IF('Council Entry'!AB$4="Exponential",EXP(IF(AND(ISNUMBER('Council Entry'!AB$8),ISNUMBER('Council Entry'!AB$9)),MAX(MIN('Council Entry'!AB57,'Council Entry'!AB$9),'Council Entry'!AB$8),'Council Entry'!AB57)),IF(AND(ISNUMBER('Council Entry'!AB$8),ISNUMBER('Council Entry'!AB$9)),MAX(MIN('Council Entry'!AB57,'Council Entry'!AB$9),'Council Entry'!AB$8),'Council Entry'!AB57))))-'Council Entry'!AB$5)/('Council Entry'!AB$6-'Council Entry'!AB$5),10*((IF('Council Entry'!AB$4="Logarithm",LN(0.001+IF(AND(ISNUMBER('Council Entry'!AB$8),ISNUMBER('Council Entry'!AB$9)),MAX(MIN('Council Entry'!AB57,'Council Entry'!AB$9),'Council Entry'!AB$8),'Council Entry'!AB57)),IF('Council Entry'!AB$4="Exponential",EXP(IF(AND(ISNUMBER('Council Entry'!AB$8),ISNUMBER('Council Entry'!AB$9)),MAX(MIN('Council Entry'!AB57,'Council Entry'!AB$9),'Council Entry'!AB$8),'Council Entry'!AB57)),IF(AND(ISNUMBER('Council Entry'!AB$8),ISNUMBER('Council Entry'!AB$9)),MAX(MIN('Council Entry'!AB57,'Council Entry'!AB$9),'Council Entry'!AB$8),'Council Entry'!AB57))))-'Council Entry'!AB$5)/('Council Entry'!AB$6-'Council Entry'!AB$5)),1))),"No data"))</f>
        <v/>
      </c>
      <c r="AC57" s="13">
        <f>IF('Council Entry'!AC57="","",IFERROR(MAX(0,MIN(10,ROUND(IF('Council Entry'!AC$7="Decrease Risk",10-10*((IF('Council Entry'!AC$4="Logarithm",LN(0.001+IF(AND(ISNUMBER('Council Entry'!AC$8),ISNUMBER('Council Entry'!AC$9)),MAX(MIN('Council Entry'!AC57,'Council Entry'!AC$9),'Council Entry'!AC$8),'Council Entry'!AC57)),IF('Council Entry'!AC$4="Exponential",EXP(IF(AND(ISNUMBER('Council Entry'!AC$8),ISNUMBER('Council Entry'!AC$9)),MAX(MIN('Council Entry'!AC57,'Council Entry'!AC$9),'Council Entry'!AC$8),'Council Entry'!AC57)),IF(AND(ISNUMBER('Council Entry'!AC$8),ISNUMBER('Council Entry'!AC$9)),MAX(MIN('Council Entry'!AC57,'Council Entry'!AC$9),'Council Entry'!AC$8),'Council Entry'!AC57))))-'Council Entry'!AC$5)/('Council Entry'!AC$6-'Council Entry'!AC$5),10*((IF('Council Entry'!AC$4="Logarithm",LN(0.001+IF(AND(ISNUMBER('Council Entry'!AC$8),ISNUMBER('Council Entry'!AC$9)),MAX(MIN('Council Entry'!AC57,'Council Entry'!AC$9),'Council Entry'!AC$8),'Council Entry'!AC57)),IF('Council Entry'!AC$4="Exponential",EXP(IF(AND(ISNUMBER('Council Entry'!AC$8),ISNUMBER('Council Entry'!AC$9)),MAX(MIN('Council Entry'!AC57,'Council Entry'!AC$9),'Council Entry'!AC$8),'Council Entry'!AC57)),IF(AND(ISNUMBER('Council Entry'!AC$8),ISNUMBER('Council Entry'!AC$9)),MAX(MIN('Council Entry'!AC57,'Council Entry'!AC$9),'Council Entry'!AC$8),'Council Entry'!AC57))))-'Council Entry'!AC$5)/('Council Entry'!AC$6-'Council Entry'!AC$5)),1))),"No data"))</f>
        <v/>
      </c>
      <c r="AD57" s="13">
        <f>IF('Council Entry'!AD57="","",IFERROR(MAX(0,MIN(10,ROUND(IF('Council Entry'!AD$7="Decrease Risk",10-10*((IF('Council Entry'!AD$4="Logarithm",LN(0.001+IF(AND(ISNUMBER('Council Entry'!AD$8),ISNUMBER('Council Entry'!AD$9)),MAX(MIN('Council Entry'!AD57,'Council Entry'!AD$9),'Council Entry'!AD$8),'Council Entry'!AD57)),IF('Council Entry'!AD$4="Exponential",EXP(IF(AND(ISNUMBER('Council Entry'!AD$8),ISNUMBER('Council Entry'!AD$9)),MAX(MIN('Council Entry'!AD57,'Council Entry'!AD$9),'Council Entry'!AD$8),'Council Entry'!AD57)),IF(AND(ISNUMBER('Council Entry'!AD$8),ISNUMBER('Council Entry'!AD$9)),MAX(MIN('Council Entry'!AD57,'Council Entry'!AD$9),'Council Entry'!AD$8),'Council Entry'!AD57))))-'Council Entry'!AD$5)/('Council Entry'!AD$6-'Council Entry'!AD$5),10*((IF('Council Entry'!AD$4="Logarithm",LN(0.001+IF(AND(ISNUMBER('Council Entry'!AD$8),ISNUMBER('Council Entry'!AD$9)),MAX(MIN('Council Entry'!AD57,'Council Entry'!AD$9),'Council Entry'!AD$8),'Council Entry'!AD57)),IF('Council Entry'!AD$4="Exponential",EXP(IF(AND(ISNUMBER('Council Entry'!AD$8),ISNUMBER('Council Entry'!AD$9)),MAX(MIN('Council Entry'!AD57,'Council Entry'!AD$9),'Council Entry'!AD$8),'Council Entry'!AD57)),IF(AND(ISNUMBER('Council Entry'!AD$8),ISNUMBER('Council Entry'!AD$9)),MAX(MIN('Council Entry'!AD57,'Council Entry'!AD$9),'Council Entry'!AD$8),'Council Entry'!AD57))))-'Council Entry'!AD$5)/('Council Entry'!AD$6-'Council Entry'!AD$5)),1))),"No data"))</f>
        <v/>
      </c>
      <c r="AE57" s="13">
        <f>IF('Council Entry'!AE57="","",IFERROR(MAX(0,MIN(10,ROUND(IF('Council Entry'!AE$7="Decrease Risk",10-10*((IF('Council Entry'!AE$4="Logarithm",LN(0.001+IF(AND(ISNUMBER('Council Entry'!AE$8),ISNUMBER('Council Entry'!AE$9)),MAX(MIN('Council Entry'!AE57,'Council Entry'!AE$9),'Council Entry'!AE$8),'Council Entry'!AE57)),IF('Council Entry'!AE$4="Exponential",EXP(IF(AND(ISNUMBER('Council Entry'!AE$8),ISNUMBER('Council Entry'!AE$9)),MAX(MIN('Council Entry'!AE57,'Council Entry'!AE$9),'Council Entry'!AE$8),'Council Entry'!AE57)),IF(AND(ISNUMBER('Council Entry'!AE$8),ISNUMBER('Council Entry'!AE$9)),MAX(MIN('Council Entry'!AE57,'Council Entry'!AE$9),'Council Entry'!AE$8),'Council Entry'!AE57))))-'Council Entry'!AE$5)/('Council Entry'!AE$6-'Council Entry'!AE$5),10*((IF('Council Entry'!AE$4="Logarithm",LN(0.001+IF(AND(ISNUMBER('Council Entry'!AE$8),ISNUMBER('Council Entry'!AE$9)),MAX(MIN('Council Entry'!AE57,'Council Entry'!AE$9),'Council Entry'!AE$8),'Council Entry'!AE57)),IF('Council Entry'!AE$4="Exponential",EXP(IF(AND(ISNUMBER('Council Entry'!AE$8),ISNUMBER('Council Entry'!AE$9)),MAX(MIN('Council Entry'!AE57,'Council Entry'!AE$9),'Council Entry'!AE$8),'Council Entry'!AE57)),IF(AND(ISNUMBER('Council Entry'!AE$8),ISNUMBER('Council Entry'!AE$9)),MAX(MIN('Council Entry'!AE57,'Council Entry'!AE$9),'Council Entry'!AE$8),'Council Entry'!AE57))))-'Council Entry'!AE$5)/('Council Entry'!AE$6-'Council Entry'!AE$5)),1))),"No data"))</f>
        <v/>
      </c>
      <c r="AF57" s="13">
        <f>IF('Council Entry'!AF57="","",IFERROR(MAX(0,MIN(10,ROUND(IF('Council Entry'!AF$7="Decrease Risk",10-10*((IF('Council Entry'!AF$4="Logarithm",LN(0.001+IF(AND(ISNUMBER('Council Entry'!AF$8),ISNUMBER('Council Entry'!AF$9)),MAX(MIN('Council Entry'!AF57,'Council Entry'!AF$9),'Council Entry'!AF$8),'Council Entry'!AF57)),IF('Council Entry'!AF$4="Exponential",EXP(IF(AND(ISNUMBER('Council Entry'!AF$8),ISNUMBER('Council Entry'!AF$9)),MAX(MIN('Council Entry'!AF57,'Council Entry'!AF$9),'Council Entry'!AF$8),'Council Entry'!AF57)),IF(AND(ISNUMBER('Council Entry'!AF$8),ISNUMBER('Council Entry'!AF$9)),MAX(MIN('Council Entry'!AF57,'Council Entry'!AF$9),'Council Entry'!AF$8),'Council Entry'!AF57))))-'Council Entry'!AF$5)/('Council Entry'!AF$6-'Council Entry'!AF$5),10*((IF('Council Entry'!AF$4="Logarithm",LN(0.001+IF(AND(ISNUMBER('Council Entry'!AF$8),ISNUMBER('Council Entry'!AF$9)),MAX(MIN('Council Entry'!AF57,'Council Entry'!AF$9),'Council Entry'!AF$8),'Council Entry'!AF57)),IF('Council Entry'!AF$4="Exponential",EXP(IF(AND(ISNUMBER('Council Entry'!AF$8),ISNUMBER('Council Entry'!AF$9)),MAX(MIN('Council Entry'!AF57,'Council Entry'!AF$9),'Council Entry'!AF$8),'Council Entry'!AF57)),IF(AND(ISNUMBER('Council Entry'!AF$8),ISNUMBER('Council Entry'!AF$9)),MAX(MIN('Council Entry'!AF57,'Council Entry'!AF$9),'Council Entry'!AF$8),'Council Entry'!AF57))))-'Council Entry'!AF$5)/('Council Entry'!AF$6-'Council Entry'!AF$5)),1))),"No data"))</f>
        <v/>
      </c>
      <c r="AG57" s="13">
        <f>IF('Council Entry'!AG57="","",IFERROR(MAX(0,MIN(10,ROUND(IF('Council Entry'!AG$7="Decrease Risk",10-10*((IF('Council Entry'!AG$4="Logarithm",LN(0.001+IF(AND(ISNUMBER('Council Entry'!AG$8),ISNUMBER('Council Entry'!AG$9)),MAX(MIN('Council Entry'!AG57,'Council Entry'!AG$9),'Council Entry'!AG$8),'Council Entry'!AG57)),IF('Council Entry'!AG$4="Exponential",EXP(IF(AND(ISNUMBER('Council Entry'!AG$8),ISNUMBER('Council Entry'!AG$9)),MAX(MIN('Council Entry'!AG57,'Council Entry'!AG$9),'Council Entry'!AG$8),'Council Entry'!AG57)),IF(AND(ISNUMBER('Council Entry'!AG$8),ISNUMBER('Council Entry'!AG$9)),MAX(MIN('Council Entry'!AG57,'Council Entry'!AG$9),'Council Entry'!AG$8),'Council Entry'!AG57))))-'Council Entry'!AG$5)/('Council Entry'!AG$6-'Council Entry'!AG$5),10*((IF('Council Entry'!AG$4="Logarithm",LN(0.001+IF(AND(ISNUMBER('Council Entry'!AG$8),ISNUMBER('Council Entry'!AG$9)),MAX(MIN('Council Entry'!AG57,'Council Entry'!AG$9),'Council Entry'!AG$8),'Council Entry'!AG57)),IF('Council Entry'!AG$4="Exponential",EXP(IF(AND(ISNUMBER('Council Entry'!AG$8),ISNUMBER('Council Entry'!AG$9)),MAX(MIN('Council Entry'!AG57,'Council Entry'!AG$9),'Council Entry'!AG$8),'Council Entry'!AG57)),IF(AND(ISNUMBER('Council Entry'!AG$8),ISNUMBER('Council Entry'!AG$9)),MAX(MIN('Council Entry'!AG57,'Council Entry'!AG$9),'Council Entry'!AG$8),'Council Entry'!AG57))))-'Council Entry'!AG$5)/('Council Entry'!AG$6-'Council Entry'!AG$5)),1))),"No data"))</f>
        <v/>
      </c>
      <c r="AH57" s="13">
        <f>IF('Council Entry'!AH57="","",IFERROR(MAX(0,MIN(10,ROUND(IF('Council Entry'!AH$7="Decrease Risk",10-10*((IF('Council Entry'!AH$4="Logarithm",LN(0.001+IF(AND(ISNUMBER('Council Entry'!AH$8),ISNUMBER('Council Entry'!AH$9)),MAX(MIN('Council Entry'!AH57,'Council Entry'!AH$9),'Council Entry'!AH$8),'Council Entry'!AH57)),IF('Council Entry'!AH$4="Exponential",EXP(IF(AND(ISNUMBER('Council Entry'!AH$8),ISNUMBER('Council Entry'!AH$9)),MAX(MIN('Council Entry'!AH57,'Council Entry'!AH$9),'Council Entry'!AH$8),'Council Entry'!AH57)),IF(AND(ISNUMBER('Council Entry'!AH$8),ISNUMBER('Council Entry'!AH$9)),MAX(MIN('Council Entry'!AH57,'Council Entry'!AH$9),'Council Entry'!AH$8),'Council Entry'!AH57))))-'Council Entry'!AH$5)/('Council Entry'!AH$6-'Council Entry'!AH$5),10*((IF('Council Entry'!AH$4="Logarithm",LN(0.001+IF(AND(ISNUMBER('Council Entry'!AH$8),ISNUMBER('Council Entry'!AH$9)),MAX(MIN('Council Entry'!AH57,'Council Entry'!AH$9),'Council Entry'!AH$8),'Council Entry'!AH57)),IF('Council Entry'!AH$4="Exponential",EXP(IF(AND(ISNUMBER('Council Entry'!AH$8),ISNUMBER('Council Entry'!AH$9)),MAX(MIN('Council Entry'!AH57,'Council Entry'!AH$9),'Council Entry'!AH$8),'Council Entry'!AH57)),IF(AND(ISNUMBER('Council Entry'!AH$8),ISNUMBER('Council Entry'!AH$9)),MAX(MIN('Council Entry'!AH57,'Council Entry'!AH$9),'Council Entry'!AH$8),'Council Entry'!AH57))))-'Council Entry'!AH$5)/('Council Entry'!AH$6-'Council Entry'!AH$5)),1))),"No data"))</f>
        <v/>
      </c>
      <c r="AI57" s="13">
        <f>IF('Council Entry'!AI57="","",IFERROR(MAX(0,MIN(10,ROUND(IF('Council Entry'!AI$7="Decrease Risk",10-10*((IF('Council Entry'!AI$4="Logarithm",LN(0.001+IF(AND(ISNUMBER('Council Entry'!AI$8),ISNUMBER('Council Entry'!AI$9)),MAX(MIN('Council Entry'!AI57,'Council Entry'!AI$9),'Council Entry'!AI$8),'Council Entry'!AI57)),IF('Council Entry'!AI$4="Exponential",EXP(IF(AND(ISNUMBER('Council Entry'!AI$8),ISNUMBER('Council Entry'!AI$9)),MAX(MIN('Council Entry'!AI57,'Council Entry'!AI$9),'Council Entry'!AI$8),'Council Entry'!AI57)),IF(AND(ISNUMBER('Council Entry'!AI$8),ISNUMBER('Council Entry'!AI$9)),MAX(MIN('Council Entry'!AI57,'Council Entry'!AI$9),'Council Entry'!AI$8),'Council Entry'!AI57))))-'Council Entry'!AI$5)/('Council Entry'!AI$6-'Council Entry'!AI$5),10*((IF('Council Entry'!AI$4="Logarithm",LN(0.001+IF(AND(ISNUMBER('Council Entry'!AI$8),ISNUMBER('Council Entry'!AI$9)),MAX(MIN('Council Entry'!AI57,'Council Entry'!AI$9),'Council Entry'!AI$8),'Council Entry'!AI57)),IF('Council Entry'!AI$4="Exponential",EXP(IF(AND(ISNUMBER('Council Entry'!AI$8),ISNUMBER('Council Entry'!AI$9)),MAX(MIN('Council Entry'!AI57,'Council Entry'!AI$9),'Council Entry'!AI$8),'Council Entry'!AI57)),IF(AND(ISNUMBER('Council Entry'!AI$8),ISNUMBER('Council Entry'!AI$9)),MAX(MIN('Council Entry'!AI57,'Council Entry'!AI$9),'Council Entry'!AI$8),'Council Entry'!AI57))))-'Council Entry'!AI$5)/('Council Entry'!AI$6-'Council Entry'!AI$5)),1))),"No data"))</f>
        <v/>
      </c>
      <c r="AJ57" s="13">
        <f>IF('Council Entry'!AJ57="","",IFERROR(MAX(0,MIN(10,ROUND(IF('Council Entry'!AJ$7="Decrease Risk",10-10*((IF('Council Entry'!AJ$4="Logarithm",LN(0.001+IF(AND(ISNUMBER('Council Entry'!AJ$8),ISNUMBER('Council Entry'!AJ$9)),MAX(MIN('Council Entry'!AJ57,'Council Entry'!AJ$9),'Council Entry'!AJ$8),'Council Entry'!AJ57)),IF('Council Entry'!AJ$4="Exponential",EXP(IF(AND(ISNUMBER('Council Entry'!AJ$8),ISNUMBER('Council Entry'!AJ$9)),MAX(MIN('Council Entry'!AJ57,'Council Entry'!AJ$9),'Council Entry'!AJ$8),'Council Entry'!AJ57)),IF(AND(ISNUMBER('Council Entry'!AJ$8),ISNUMBER('Council Entry'!AJ$9)),MAX(MIN('Council Entry'!AJ57,'Council Entry'!AJ$9),'Council Entry'!AJ$8),'Council Entry'!AJ57))))-'Council Entry'!AJ$5)/('Council Entry'!AJ$6-'Council Entry'!AJ$5),10*((IF('Council Entry'!AJ$4="Logarithm",LN(0.001+IF(AND(ISNUMBER('Council Entry'!AJ$8),ISNUMBER('Council Entry'!AJ$9)),MAX(MIN('Council Entry'!AJ57,'Council Entry'!AJ$9),'Council Entry'!AJ$8),'Council Entry'!AJ57)),IF('Council Entry'!AJ$4="Exponential",EXP(IF(AND(ISNUMBER('Council Entry'!AJ$8),ISNUMBER('Council Entry'!AJ$9)),MAX(MIN('Council Entry'!AJ57,'Council Entry'!AJ$9),'Council Entry'!AJ$8),'Council Entry'!AJ57)),IF(AND(ISNUMBER('Council Entry'!AJ$8),ISNUMBER('Council Entry'!AJ$9)),MAX(MIN('Council Entry'!AJ57,'Council Entry'!AJ$9),'Council Entry'!AJ$8),'Council Entry'!AJ57))))-'Council Entry'!AJ$5)/('Council Entry'!AJ$6-'Council Entry'!AJ$5)),1))),"No data"))</f>
        <v/>
      </c>
      <c r="AK57" s="13">
        <f>IF('Council Entry'!AK57="","",IFERROR(MAX(0,MIN(10,ROUND(IF('Council Entry'!AK$7="Decrease Risk",10-10*((IF('Council Entry'!AK$4="Logarithm",LN(0.001+IF(AND(ISNUMBER('Council Entry'!AK$8),ISNUMBER('Council Entry'!AK$9)),MAX(MIN('Council Entry'!AK57,'Council Entry'!AK$9),'Council Entry'!AK$8),'Council Entry'!AK57)),IF('Council Entry'!AK$4="Exponential",EXP(IF(AND(ISNUMBER('Council Entry'!AK$8),ISNUMBER('Council Entry'!AK$9)),MAX(MIN('Council Entry'!AK57,'Council Entry'!AK$9),'Council Entry'!AK$8),'Council Entry'!AK57)),IF(AND(ISNUMBER('Council Entry'!AK$8),ISNUMBER('Council Entry'!AK$9)),MAX(MIN('Council Entry'!AK57,'Council Entry'!AK$9),'Council Entry'!AK$8),'Council Entry'!AK57))))-'Council Entry'!AK$5)/('Council Entry'!AK$6-'Council Entry'!AK$5),10*((IF('Council Entry'!AK$4="Logarithm",LN(0.001+IF(AND(ISNUMBER('Council Entry'!AK$8),ISNUMBER('Council Entry'!AK$9)),MAX(MIN('Council Entry'!AK57,'Council Entry'!AK$9),'Council Entry'!AK$8),'Council Entry'!AK57)),IF('Council Entry'!AK$4="Exponential",EXP(IF(AND(ISNUMBER('Council Entry'!AK$8),ISNUMBER('Council Entry'!AK$9)),MAX(MIN('Council Entry'!AK57,'Council Entry'!AK$9),'Council Entry'!AK$8),'Council Entry'!AK57)),IF(AND(ISNUMBER('Council Entry'!AK$8),ISNUMBER('Council Entry'!AK$9)),MAX(MIN('Council Entry'!AK57,'Council Entry'!AK$9),'Council Entry'!AK$8),'Council Entry'!AK57))))-'Council Entry'!AK$5)/('Council Entry'!AK$6-'Council Entry'!AK$5)),1))),"No data"))</f>
        <v/>
      </c>
      <c r="AL57" s="13">
        <f>IF('Council Entry'!AL57="","",IFERROR(MAX(0,MIN(10,ROUND(IF('Council Entry'!AL$7="Decrease Risk",10-10*((IF('Council Entry'!AL$4="Logarithm",LN(0.001+IF(AND(ISNUMBER('Council Entry'!AL$8),ISNUMBER('Council Entry'!AL$9)),MAX(MIN('Council Entry'!AL57,'Council Entry'!AL$9),'Council Entry'!AL$8),'Council Entry'!AL57)),IF('Council Entry'!AL$4="Exponential",EXP(IF(AND(ISNUMBER('Council Entry'!AL$8),ISNUMBER('Council Entry'!AL$9)),MAX(MIN('Council Entry'!AL57,'Council Entry'!AL$9),'Council Entry'!AL$8),'Council Entry'!AL57)),IF(AND(ISNUMBER('Council Entry'!AL$8),ISNUMBER('Council Entry'!AL$9)),MAX(MIN('Council Entry'!AL57,'Council Entry'!AL$9),'Council Entry'!AL$8),'Council Entry'!AL57))))-'Council Entry'!AL$5)/('Council Entry'!AL$6-'Council Entry'!AL$5),10*((IF('Council Entry'!AL$4="Logarithm",LN(0.001+IF(AND(ISNUMBER('Council Entry'!AL$8),ISNUMBER('Council Entry'!AL$9)),MAX(MIN('Council Entry'!AL57,'Council Entry'!AL$9),'Council Entry'!AL$8),'Council Entry'!AL57)),IF('Council Entry'!AL$4="Exponential",EXP(IF(AND(ISNUMBER('Council Entry'!AL$8),ISNUMBER('Council Entry'!AL$9)),MAX(MIN('Council Entry'!AL57,'Council Entry'!AL$9),'Council Entry'!AL$8),'Council Entry'!AL57)),IF(AND(ISNUMBER('Council Entry'!AL$8),ISNUMBER('Council Entry'!AL$9)),MAX(MIN('Council Entry'!AL57,'Council Entry'!AL$9),'Council Entry'!AL$8),'Council Entry'!AL57))))-'Council Entry'!AL$5)/('Council Entry'!AL$6-'Council Entry'!AL$5)),1))),"No data"))</f>
        <v/>
      </c>
      <c r="AM57" s="13">
        <f>IF('Council Entry'!AM57="","",IFERROR(MAX(0,MIN(10,ROUND(IF('Council Entry'!AM$7="Decrease Risk",10-10*((IF('Council Entry'!AM$4="Logarithm",LN(0.001+IF(AND(ISNUMBER('Council Entry'!AM$8),ISNUMBER('Council Entry'!AM$9)),MAX(MIN('Council Entry'!AM57,'Council Entry'!AM$9),'Council Entry'!AM$8),'Council Entry'!AM57)),IF('Council Entry'!AM$4="Exponential",EXP(IF(AND(ISNUMBER('Council Entry'!AM$8),ISNUMBER('Council Entry'!AM$9)),MAX(MIN('Council Entry'!AM57,'Council Entry'!AM$9),'Council Entry'!AM$8),'Council Entry'!AM57)),IF(AND(ISNUMBER('Council Entry'!AM$8),ISNUMBER('Council Entry'!AM$9)),MAX(MIN('Council Entry'!AM57,'Council Entry'!AM$9),'Council Entry'!AM$8),'Council Entry'!AM57))))-'Council Entry'!AM$5)/('Council Entry'!AM$6-'Council Entry'!AM$5),10*((IF('Council Entry'!AM$4="Logarithm",LN(0.001+IF(AND(ISNUMBER('Council Entry'!AM$8),ISNUMBER('Council Entry'!AM$9)),MAX(MIN('Council Entry'!AM57,'Council Entry'!AM$9),'Council Entry'!AM$8),'Council Entry'!AM57)),IF('Council Entry'!AM$4="Exponential",EXP(IF(AND(ISNUMBER('Council Entry'!AM$8),ISNUMBER('Council Entry'!AM$9)),MAX(MIN('Council Entry'!AM57,'Council Entry'!AM$9),'Council Entry'!AM$8),'Council Entry'!AM57)),IF(AND(ISNUMBER('Council Entry'!AM$8),ISNUMBER('Council Entry'!AM$9)),MAX(MIN('Council Entry'!AM57,'Council Entry'!AM$9),'Council Entry'!AM$8),'Council Entry'!AM57))))-'Council Entry'!AM$5)/('Council Entry'!AM$6-'Council Entry'!AM$5)),1))),"No data"))</f>
        <v/>
      </c>
      <c r="AN57" s="13">
        <f>IF('Council Entry'!AN57="","",IFERROR(MAX(0,MIN(10,ROUND(IF('Council Entry'!AN$7="Decrease Risk",10-10*((IF('Council Entry'!AN$4="Logarithm",LN(0.001+IF(AND(ISNUMBER('Council Entry'!AN$8),ISNUMBER('Council Entry'!AN$9)),MAX(MIN('Council Entry'!AN57,'Council Entry'!AN$9),'Council Entry'!AN$8),'Council Entry'!AN57)),IF('Council Entry'!AN$4="Exponential",EXP(IF(AND(ISNUMBER('Council Entry'!AN$8),ISNUMBER('Council Entry'!AN$9)),MAX(MIN('Council Entry'!AN57,'Council Entry'!AN$9),'Council Entry'!AN$8),'Council Entry'!AN57)),IF(AND(ISNUMBER('Council Entry'!AN$8),ISNUMBER('Council Entry'!AN$9)),MAX(MIN('Council Entry'!AN57,'Council Entry'!AN$9),'Council Entry'!AN$8),'Council Entry'!AN57))))-'Council Entry'!AN$5)/('Council Entry'!AN$6-'Council Entry'!AN$5),10*((IF('Council Entry'!AN$4="Logarithm",LN(0.001+IF(AND(ISNUMBER('Council Entry'!AN$8),ISNUMBER('Council Entry'!AN$9)),MAX(MIN('Council Entry'!AN57,'Council Entry'!AN$9),'Council Entry'!AN$8),'Council Entry'!AN57)),IF('Council Entry'!AN$4="Exponential",EXP(IF(AND(ISNUMBER('Council Entry'!AN$8),ISNUMBER('Council Entry'!AN$9)),MAX(MIN('Council Entry'!AN57,'Council Entry'!AN$9),'Council Entry'!AN$8),'Council Entry'!AN57)),IF(AND(ISNUMBER('Council Entry'!AN$8),ISNUMBER('Council Entry'!AN$9)),MAX(MIN('Council Entry'!AN57,'Council Entry'!AN$9),'Council Entry'!AN$8),'Council Entry'!AN57))))-'Council Entry'!AN$5)/('Council Entry'!AN$6-'Council Entry'!AN$5)),1))),"No data"))</f>
        <v/>
      </c>
      <c r="AO57" s="13">
        <f>IF('Council Entry'!AO57="","",IFERROR(MAX(0,MIN(10,ROUND(IF('Council Entry'!AO$7="Decrease Risk",10-10*((IF('Council Entry'!AO$4="Logarithm",LN(0.001+IF(AND(ISNUMBER('Council Entry'!AO$8),ISNUMBER('Council Entry'!AO$9)),MAX(MIN('Council Entry'!AO57,'Council Entry'!AO$9),'Council Entry'!AO$8),'Council Entry'!AO57)),IF('Council Entry'!AO$4="Exponential",EXP(IF(AND(ISNUMBER('Council Entry'!AO$8),ISNUMBER('Council Entry'!AO$9)),MAX(MIN('Council Entry'!AO57,'Council Entry'!AO$9),'Council Entry'!AO$8),'Council Entry'!AO57)),IF(AND(ISNUMBER('Council Entry'!AO$8),ISNUMBER('Council Entry'!AO$9)),MAX(MIN('Council Entry'!AO57,'Council Entry'!AO$9),'Council Entry'!AO$8),'Council Entry'!AO57))))-'Council Entry'!AO$5)/('Council Entry'!AO$6-'Council Entry'!AO$5),10*((IF('Council Entry'!AO$4="Logarithm",LN(0.001+IF(AND(ISNUMBER('Council Entry'!AO$8),ISNUMBER('Council Entry'!AO$9)),MAX(MIN('Council Entry'!AO57,'Council Entry'!AO$9),'Council Entry'!AO$8),'Council Entry'!AO57)),IF('Council Entry'!AO$4="Exponential",EXP(IF(AND(ISNUMBER('Council Entry'!AO$8),ISNUMBER('Council Entry'!AO$9)),MAX(MIN('Council Entry'!AO57,'Council Entry'!AO$9),'Council Entry'!AO$8),'Council Entry'!AO57)),IF(AND(ISNUMBER('Council Entry'!AO$8),ISNUMBER('Council Entry'!AO$9)),MAX(MIN('Council Entry'!AO57,'Council Entry'!AO$9),'Council Entry'!AO$8),'Council Entry'!AO57))))-'Council Entry'!AO$5)/('Council Entry'!AO$6-'Council Entry'!AO$5)),1))),"No data"))</f>
        <v/>
      </c>
      <c r="AP57" s="13">
        <f>IF('Council Entry'!AP57="","",IFERROR(MAX(0,MIN(10,ROUND(IF('Council Entry'!AP$7="Decrease Risk",10-10*((IF('Council Entry'!AP$4="Logarithm",LN(0.001+IF(AND(ISNUMBER('Council Entry'!AP$8),ISNUMBER('Council Entry'!AP$9)),MAX(MIN('Council Entry'!AP57,'Council Entry'!AP$9),'Council Entry'!AP$8),'Council Entry'!AP57)),IF('Council Entry'!AP$4="Exponential",EXP(IF(AND(ISNUMBER('Council Entry'!AP$8),ISNUMBER('Council Entry'!AP$9)),MAX(MIN('Council Entry'!AP57,'Council Entry'!AP$9),'Council Entry'!AP$8),'Council Entry'!AP57)),IF(AND(ISNUMBER('Council Entry'!AP$8),ISNUMBER('Council Entry'!AP$9)),MAX(MIN('Council Entry'!AP57,'Council Entry'!AP$9),'Council Entry'!AP$8),'Council Entry'!AP57))))-'Council Entry'!AP$5)/('Council Entry'!AP$6-'Council Entry'!AP$5),10*((IF('Council Entry'!AP$4="Logarithm",LN(0.001+IF(AND(ISNUMBER('Council Entry'!AP$8),ISNUMBER('Council Entry'!AP$9)),MAX(MIN('Council Entry'!AP57,'Council Entry'!AP$9),'Council Entry'!AP$8),'Council Entry'!AP57)),IF('Council Entry'!AP$4="Exponential",EXP(IF(AND(ISNUMBER('Council Entry'!AP$8),ISNUMBER('Council Entry'!AP$9)),MAX(MIN('Council Entry'!AP57,'Council Entry'!AP$9),'Council Entry'!AP$8),'Council Entry'!AP57)),IF(AND(ISNUMBER('Council Entry'!AP$8),ISNUMBER('Council Entry'!AP$9)),MAX(MIN('Council Entry'!AP57,'Council Entry'!AP$9),'Council Entry'!AP$8),'Council Entry'!AP57))))-'Council Entry'!AP$5)/('Council Entry'!AP$6-'Council Entry'!AP$5)),1))),"No data"))</f>
        <v/>
      </c>
      <c r="AQ57" s="13">
        <f>IF('Council Entry'!AQ57="","",IFERROR(MAX(0,MIN(10,ROUND(IF('Council Entry'!AQ$7="Decrease Risk",10-10*((IF('Council Entry'!AQ$4="Logarithm",LN(0.001+IF(AND(ISNUMBER('Council Entry'!AQ$8),ISNUMBER('Council Entry'!AQ$9)),MAX(MIN('Council Entry'!AQ57,'Council Entry'!AQ$9),'Council Entry'!AQ$8),'Council Entry'!AQ57)),IF('Council Entry'!AQ$4="Exponential",EXP(IF(AND(ISNUMBER('Council Entry'!AQ$8),ISNUMBER('Council Entry'!AQ$9)),MAX(MIN('Council Entry'!AQ57,'Council Entry'!AQ$9),'Council Entry'!AQ$8),'Council Entry'!AQ57)),IF(AND(ISNUMBER('Council Entry'!AQ$8),ISNUMBER('Council Entry'!AQ$9)),MAX(MIN('Council Entry'!AQ57,'Council Entry'!AQ$9),'Council Entry'!AQ$8),'Council Entry'!AQ57))))-'Council Entry'!AQ$5)/('Council Entry'!AQ$6-'Council Entry'!AQ$5),10*((IF('Council Entry'!AQ$4="Logarithm",LN(0.001+IF(AND(ISNUMBER('Council Entry'!AQ$8),ISNUMBER('Council Entry'!AQ$9)),MAX(MIN('Council Entry'!AQ57,'Council Entry'!AQ$9),'Council Entry'!AQ$8),'Council Entry'!AQ57)),IF('Council Entry'!AQ$4="Exponential",EXP(IF(AND(ISNUMBER('Council Entry'!AQ$8),ISNUMBER('Council Entry'!AQ$9)),MAX(MIN('Council Entry'!AQ57,'Council Entry'!AQ$9),'Council Entry'!AQ$8),'Council Entry'!AQ57)),IF(AND(ISNUMBER('Council Entry'!AQ$8),ISNUMBER('Council Entry'!AQ$9)),MAX(MIN('Council Entry'!AQ57,'Council Entry'!AQ$9),'Council Entry'!AQ$8),'Council Entry'!AQ57))))-'Council Entry'!AQ$5)/('Council Entry'!AQ$6-'Council Entry'!AQ$5)),1))),"No data"))</f>
        <v/>
      </c>
      <c r="AR57" s="13">
        <f>IF('Council Entry'!AR57="","",IFERROR(MAX(0,MIN(10,ROUND(IF('Council Entry'!AR$7="Decrease Risk",10-10*((IF('Council Entry'!AR$4="Logarithm",LN(0.001+IF(AND(ISNUMBER('Council Entry'!AR$8),ISNUMBER('Council Entry'!AR$9)),MAX(MIN('Council Entry'!AR57,'Council Entry'!AR$9),'Council Entry'!AR$8),'Council Entry'!AR57)),IF('Council Entry'!AR$4="Exponential",EXP(IF(AND(ISNUMBER('Council Entry'!AR$8),ISNUMBER('Council Entry'!AR$9)),MAX(MIN('Council Entry'!AR57,'Council Entry'!AR$9),'Council Entry'!AR$8),'Council Entry'!AR57)),IF(AND(ISNUMBER('Council Entry'!AR$8),ISNUMBER('Council Entry'!AR$9)),MAX(MIN('Council Entry'!AR57,'Council Entry'!AR$9),'Council Entry'!AR$8),'Council Entry'!AR57))))-'Council Entry'!AR$5)/('Council Entry'!AR$6-'Council Entry'!AR$5),10*((IF('Council Entry'!AR$4="Logarithm",LN(0.001+IF(AND(ISNUMBER('Council Entry'!AR$8),ISNUMBER('Council Entry'!AR$9)),MAX(MIN('Council Entry'!AR57,'Council Entry'!AR$9),'Council Entry'!AR$8),'Council Entry'!AR57)),IF('Council Entry'!AR$4="Exponential",EXP(IF(AND(ISNUMBER('Council Entry'!AR$8),ISNUMBER('Council Entry'!AR$9)),MAX(MIN('Council Entry'!AR57,'Council Entry'!AR$9),'Council Entry'!AR$8),'Council Entry'!AR57)),IF(AND(ISNUMBER('Council Entry'!AR$8),ISNUMBER('Council Entry'!AR$9)),MAX(MIN('Council Entry'!AR57,'Council Entry'!AR$9),'Council Entry'!AR$8),'Council Entry'!AR57))))-'Council Entry'!AR$5)/('Council Entry'!AR$6-'Council Entry'!AR$5)),1))),"No data"))</f>
        <v/>
      </c>
      <c r="AS57" s="13">
        <f>IF('Council Entry'!AS57="","",IFERROR(MAX(0,MIN(10,ROUND(IF('Council Entry'!AS$7="Decrease Risk",10-10*((IF('Council Entry'!AS$4="Logarithm",LN(0.001+IF(AND(ISNUMBER('Council Entry'!AS$8),ISNUMBER('Council Entry'!AS$9)),MAX(MIN('Council Entry'!AS57,'Council Entry'!AS$9),'Council Entry'!AS$8),'Council Entry'!AS57)),IF('Council Entry'!AS$4="Exponential",EXP(IF(AND(ISNUMBER('Council Entry'!AS$8),ISNUMBER('Council Entry'!AS$9)),MAX(MIN('Council Entry'!AS57,'Council Entry'!AS$9),'Council Entry'!AS$8),'Council Entry'!AS57)),IF(AND(ISNUMBER('Council Entry'!AS$8),ISNUMBER('Council Entry'!AS$9)),MAX(MIN('Council Entry'!AS57,'Council Entry'!AS$9),'Council Entry'!AS$8),'Council Entry'!AS57))))-'Council Entry'!AS$5)/('Council Entry'!AS$6-'Council Entry'!AS$5),10*((IF('Council Entry'!AS$4="Logarithm",LN(0.001+IF(AND(ISNUMBER('Council Entry'!AS$8),ISNUMBER('Council Entry'!AS$9)),MAX(MIN('Council Entry'!AS57,'Council Entry'!AS$9),'Council Entry'!AS$8),'Council Entry'!AS57)),IF('Council Entry'!AS$4="Exponential",EXP(IF(AND(ISNUMBER('Council Entry'!AS$8),ISNUMBER('Council Entry'!AS$9)),MAX(MIN('Council Entry'!AS57,'Council Entry'!AS$9),'Council Entry'!AS$8),'Council Entry'!AS57)),IF(AND(ISNUMBER('Council Entry'!AS$8),ISNUMBER('Council Entry'!AS$9)),MAX(MIN('Council Entry'!AS57,'Council Entry'!AS$9),'Council Entry'!AS$8),'Council Entry'!AS57))))-'Council Entry'!AS$5)/('Council Entry'!AS$6-'Council Entry'!AS$5)),1))),"No data"))</f>
        <v/>
      </c>
      <c r="AT57" s="13">
        <f>IF('Council Entry'!AT57="","",IFERROR(MAX(0,MIN(10,ROUND(IF('Council Entry'!AT$7="Decrease Risk",10-10*((IF('Council Entry'!AT$4="Logarithm",LN(0.001+IF(AND(ISNUMBER('Council Entry'!AT$8),ISNUMBER('Council Entry'!AT$9)),MAX(MIN('Council Entry'!AT57,'Council Entry'!AT$9),'Council Entry'!AT$8),'Council Entry'!AT57)),IF('Council Entry'!AT$4="Exponential",EXP(IF(AND(ISNUMBER('Council Entry'!AT$8),ISNUMBER('Council Entry'!AT$9)),MAX(MIN('Council Entry'!AT57,'Council Entry'!AT$9),'Council Entry'!AT$8),'Council Entry'!AT57)),IF(AND(ISNUMBER('Council Entry'!AT$8),ISNUMBER('Council Entry'!AT$9)),MAX(MIN('Council Entry'!AT57,'Council Entry'!AT$9),'Council Entry'!AT$8),'Council Entry'!AT57))))-'Council Entry'!AT$5)/('Council Entry'!AT$6-'Council Entry'!AT$5),10*((IF('Council Entry'!AT$4="Logarithm",LN(0.001+IF(AND(ISNUMBER('Council Entry'!AT$8),ISNUMBER('Council Entry'!AT$9)),MAX(MIN('Council Entry'!AT57,'Council Entry'!AT$9),'Council Entry'!AT$8),'Council Entry'!AT57)),IF('Council Entry'!AT$4="Exponential",EXP(IF(AND(ISNUMBER('Council Entry'!AT$8),ISNUMBER('Council Entry'!AT$9)),MAX(MIN('Council Entry'!AT57,'Council Entry'!AT$9),'Council Entry'!AT$8),'Council Entry'!AT57)),IF(AND(ISNUMBER('Council Entry'!AT$8),ISNUMBER('Council Entry'!AT$9)),MAX(MIN('Council Entry'!AT57,'Council Entry'!AT$9),'Council Entry'!AT$8),'Council Entry'!AT57))))-'Council Entry'!AT$5)/('Council Entry'!AT$6-'Council Entry'!AT$5)),1))),"No data"))</f>
        <v/>
      </c>
      <c r="AU57" s="13">
        <f>IF('Council Entry'!AU57="","",IFERROR(MAX(0,MIN(10,ROUND(IF('Council Entry'!AU$7="Decrease Risk",10-10*((IF('Council Entry'!AU$4="Logarithm",LN(0.001+IF(AND(ISNUMBER('Council Entry'!AU$8),ISNUMBER('Council Entry'!AU$9)),MAX(MIN('Council Entry'!AU57,'Council Entry'!AU$9),'Council Entry'!AU$8),'Council Entry'!AU57)),IF('Council Entry'!AU$4="Exponential",EXP(IF(AND(ISNUMBER('Council Entry'!AU$8),ISNUMBER('Council Entry'!AU$9)),MAX(MIN('Council Entry'!AU57,'Council Entry'!AU$9),'Council Entry'!AU$8),'Council Entry'!AU57)),IF(AND(ISNUMBER('Council Entry'!AU$8),ISNUMBER('Council Entry'!AU$9)),MAX(MIN('Council Entry'!AU57,'Council Entry'!AU$9),'Council Entry'!AU$8),'Council Entry'!AU57))))-'Council Entry'!AU$5)/('Council Entry'!AU$6-'Council Entry'!AU$5),10*((IF('Council Entry'!AU$4="Logarithm",LN(0.001+IF(AND(ISNUMBER('Council Entry'!AU$8),ISNUMBER('Council Entry'!AU$9)),MAX(MIN('Council Entry'!AU57,'Council Entry'!AU$9),'Council Entry'!AU$8),'Council Entry'!AU57)),IF('Council Entry'!AU$4="Exponential",EXP(IF(AND(ISNUMBER('Council Entry'!AU$8),ISNUMBER('Council Entry'!AU$9)),MAX(MIN('Council Entry'!AU57,'Council Entry'!AU$9),'Council Entry'!AU$8),'Council Entry'!AU57)),IF(AND(ISNUMBER('Council Entry'!AU$8),ISNUMBER('Council Entry'!AU$9)),MAX(MIN('Council Entry'!AU57,'Council Entry'!AU$9),'Council Entry'!AU$8),'Council Entry'!AU57))))-'Council Entry'!AU$5)/('Council Entry'!AU$6-'Council Entry'!AU$5)),1))),"No data"))</f>
        <v/>
      </c>
      <c r="AV57" s="13">
        <f>IF('Council Entry'!AV57="","",IFERROR(MAX(0,MIN(10,ROUND(IF('Council Entry'!AV$7="Decrease Risk",10-10*((IF('Council Entry'!AV$4="Logarithm",LN(0.001+IF(AND(ISNUMBER('Council Entry'!AV$8),ISNUMBER('Council Entry'!AV$9)),MAX(MIN('Council Entry'!AV57,'Council Entry'!AV$9),'Council Entry'!AV$8),'Council Entry'!AV57)),IF('Council Entry'!AV$4="Exponential",EXP(IF(AND(ISNUMBER('Council Entry'!AV$8),ISNUMBER('Council Entry'!AV$9)),MAX(MIN('Council Entry'!AV57,'Council Entry'!AV$9),'Council Entry'!AV$8),'Council Entry'!AV57)),IF(AND(ISNUMBER('Council Entry'!AV$8),ISNUMBER('Council Entry'!AV$9)),MAX(MIN('Council Entry'!AV57,'Council Entry'!AV$9),'Council Entry'!AV$8),'Council Entry'!AV57))))-'Council Entry'!AV$5)/('Council Entry'!AV$6-'Council Entry'!AV$5),10*((IF('Council Entry'!AV$4="Logarithm",LN(0.001+IF(AND(ISNUMBER('Council Entry'!AV$8),ISNUMBER('Council Entry'!AV$9)),MAX(MIN('Council Entry'!AV57,'Council Entry'!AV$9),'Council Entry'!AV$8),'Council Entry'!AV57)),IF('Council Entry'!AV$4="Exponential",EXP(IF(AND(ISNUMBER('Council Entry'!AV$8),ISNUMBER('Council Entry'!AV$9)),MAX(MIN('Council Entry'!AV57,'Council Entry'!AV$9),'Council Entry'!AV$8),'Council Entry'!AV57)),IF(AND(ISNUMBER('Council Entry'!AV$8),ISNUMBER('Council Entry'!AV$9)),MAX(MIN('Council Entry'!AV57,'Council Entry'!AV$9),'Council Entry'!AV$8),'Council Entry'!AV57))))-'Council Entry'!AV$5)/('Council Entry'!AV$6-'Council Entry'!AV$5)),1))),"No data"))</f>
        <v/>
      </c>
      <c r="AW57" s="13">
        <f>IF('Council Entry'!AW57="","",IFERROR(MAX(0,MIN(10,ROUND(IF('Council Entry'!AW$7="Decrease Risk",10-10*((IF('Council Entry'!AW$4="Logarithm",LN(0.001+IF(AND(ISNUMBER('Council Entry'!AW$8),ISNUMBER('Council Entry'!AW$9)),MAX(MIN('Council Entry'!AW57,'Council Entry'!AW$9),'Council Entry'!AW$8),'Council Entry'!AW57)),IF('Council Entry'!AW$4="Exponential",EXP(IF(AND(ISNUMBER('Council Entry'!AW$8),ISNUMBER('Council Entry'!AW$9)),MAX(MIN('Council Entry'!AW57,'Council Entry'!AW$9),'Council Entry'!AW$8),'Council Entry'!AW57)),IF(AND(ISNUMBER('Council Entry'!AW$8),ISNUMBER('Council Entry'!AW$9)),MAX(MIN('Council Entry'!AW57,'Council Entry'!AW$9),'Council Entry'!AW$8),'Council Entry'!AW57))))-'Council Entry'!AW$5)/('Council Entry'!AW$6-'Council Entry'!AW$5),10*((IF('Council Entry'!AW$4="Logarithm",LN(0.001+IF(AND(ISNUMBER('Council Entry'!AW$8),ISNUMBER('Council Entry'!AW$9)),MAX(MIN('Council Entry'!AW57,'Council Entry'!AW$9),'Council Entry'!AW$8),'Council Entry'!AW57)),IF('Council Entry'!AW$4="Exponential",EXP(IF(AND(ISNUMBER('Council Entry'!AW$8),ISNUMBER('Council Entry'!AW$9)),MAX(MIN('Council Entry'!AW57,'Council Entry'!AW$9),'Council Entry'!AW$8),'Council Entry'!AW57)),IF(AND(ISNUMBER('Council Entry'!AW$8),ISNUMBER('Council Entry'!AW$9)),MAX(MIN('Council Entry'!AW57,'Council Entry'!AW$9),'Council Entry'!AW$8),'Council Entry'!AW57))))-'Council Entry'!AW$5)/('Council Entry'!AW$6-'Council Entry'!AW$5)),1))),"No data"))</f>
        <v/>
      </c>
      <c r="AX57" s="13">
        <f>IF('Council Entry'!AX57="","",IFERROR(MAX(0,MIN(10,ROUND(IF('Council Entry'!AX$7="Decrease Risk",10-10*((IF('Council Entry'!AX$4="Logarithm",LN(0.001+IF(AND(ISNUMBER('Council Entry'!AX$8),ISNUMBER('Council Entry'!AX$9)),MAX(MIN('Council Entry'!AX57,'Council Entry'!AX$9),'Council Entry'!AX$8),'Council Entry'!AX57)),IF('Council Entry'!AX$4="Exponential",EXP(IF(AND(ISNUMBER('Council Entry'!AX$8),ISNUMBER('Council Entry'!AX$9)),MAX(MIN('Council Entry'!AX57,'Council Entry'!AX$9),'Council Entry'!AX$8),'Council Entry'!AX57)),IF(AND(ISNUMBER('Council Entry'!AX$8),ISNUMBER('Council Entry'!AX$9)),MAX(MIN('Council Entry'!AX57,'Council Entry'!AX$9),'Council Entry'!AX$8),'Council Entry'!AX57))))-'Council Entry'!AX$5)/('Council Entry'!AX$6-'Council Entry'!AX$5),10*((IF('Council Entry'!AX$4="Logarithm",LN(0.001+IF(AND(ISNUMBER('Council Entry'!AX$8),ISNUMBER('Council Entry'!AX$9)),MAX(MIN('Council Entry'!AX57,'Council Entry'!AX$9),'Council Entry'!AX$8),'Council Entry'!AX57)),IF('Council Entry'!AX$4="Exponential",EXP(IF(AND(ISNUMBER('Council Entry'!AX$8),ISNUMBER('Council Entry'!AX$9)),MAX(MIN('Council Entry'!AX57,'Council Entry'!AX$9),'Council Entry'!AX$8),'Council Entry'!AX57)),IF(AND(ISNUMBER('Council Entry'!AX$8),ISNUMBER('Council Entry'!AX$9)),MAX(MIN('Council Entry'!AX57,'Council Entry'!AX$9),'Council Entry'!AX$8),'Council Entry'!AX57))))-'Council Entry'!AX$5)/('Council Entry'!AX$6-'Council Entry'!AX$5)),1))),"No data"))</f>
        <v/>
      </c>
      <c r="AY57" s="13">
        <f>IF('Council Entry'!AY57="","",IFERROR(MAX(0,MIN(10,ROUND(IF('Council Entry'!AY$7="Decrease Risk",10-10*((IF('Council Entry'!AY$4="Logarithm",LN(0.001+IF(AND(ISNUMBER('Council Entry'!AY$8),ISNUMBER('Council Entry'!AY$9)),MAX(MIN('Council Entry'!AY57,'Council Entry'!AY$9),'Council Entry'!AY$8),'Council Entry'!AY57)),IF('Council Entry'!AY$4="Exponential",EXP(IF(AND(ISNUMBER('Council Entry'!AY$8),ISNUMBER('Council Entry'!AY$9)),MAX(MIN('Council Entry'!AY57,'Council Entry'!AY$9),'Council Entry'!AY$8),'Council Entry'!AY57)),IF(AND(ISNUMBER('Council Entry'!AY$8),ISNUMBER('Council Entry'!AY$9)),MAX(MIN('Council Entry'!AY57,'Council Entry'!AY$9),'Council Entry'!AY$8),'Council Entry'!AY57))))-'Council Entry'!AY$5)/('Council Entry'!AY$6-'Council Entry'!AY$5),10*((IF('Council Entry'!AY$4="Logarithm",LN(0.001+IF(AND(ISNUMBER('Council Entry'!AY$8),ISNUMBER('Council Entry'!AY$9)),MAX(MIN('Council Entry'!AY57,'Council Entry'!AY$9),'Council Entry'!AY$8),'Council Entry'!AY57)),IF('Council Entry'!AY$4="Exponential",EXP(IF(AND(ISNUMBER('Council Entry'!AY$8),ISNUMBER('Council Entry'!AY$9)),MAX(MIN('Council Entry'!AY57,'Council Entry'!AY$9),'Council Entry'!AY$8),'Council Entry'!AY57)),IF(AND(ISNUMBER('Council Entry'!AY$8),ISNUMBER('Council Entry'!AY$9)),MAX(MIN('Council Entry'!AY57,'Council Entry'!AY$9),'Council Entry'!AY$8),'Council Entry'!AY57))))-'Council Entry'!AY$5)/('Council Entry'!AY$6-'Council Entry'!AY$5)),1))),"No data"))</f>
        <v/>
      </c>
      <c r="AZ57" s="13">
        <f>IF('Council Entry'!AZ57="","",IFERROR(MAX(0,MIN(10,ROUND(IF('Council Entry'!AZ$7="Decrease Risk",10-10*((IF('Council Entry'!AZ$4="Logarithm",LN(0.001+IF(AND(ISNUMBER('Council Entry'!AZ$8),ISNUMBER('Council Entry'!AZ$9)),MAX(MIN('Council Entry'!AZ57,'Council Entry'!AZ$9),'Council Entry'!AZ$8),'Council Entry'!AZ57)),IF('Council Entry'!AZ$4="Exponential",EXP(IF(AND(ISNUMBER('Council Entry'!AZ$8),ISNUMBER('Council Entry'!AZ$9)),MAX(MIN('Council Entry'!AZ57,'Council Entry'!AZ$9),'Council Entry'!AZ$8),'Council Entry'!AZ57)),IF(AND(ISNUMBER('Council Entry'!AZ$8),ISNUMBER('Council Entry'!AZ$9)),MAX(MIN('Council Entry'!AZ57,'Council Entry'!AZ$9),'Council Entry'!AZ$8),'Council Entry'!AZ57))))-'Council Entry'!AZ$5)/('Council Entry'!AZ$6-'Council Entry'!AZ$5),10*((IF('Council Entry'!AZ$4="Logarithm",LN(0.001+IF(AND(ISNUMBER('Council Entry'!AZ$8),ISNUMBER('Council Entry'!AZ$9)),MAX(MIN('Council Entry'!AZ57,'Council Entry'!AZ$9),'Council Entry'!AZ$8),'Council Entry'!AZ57)),IF('Council Entry'!AZ$4="Exponential",EXP(IF(AND(ISNUMBER('Council Entry'!AZ$8),ISNUMBER('Council Entry'!AZ$9)),MAX(MIN('Council Entry'!AZ57,'Council Entry'!AZ$9),'Council Entry'!AZ$8),'Council Entry'!AZ57)),IF(AND(ISNUMBER('Council Entry'!AZ$8),ISNUMBER('Council Entry'!AZ$9)),MAX(MIN('Council Entry'!AZ57,'Council Entry'!AZ$9),'Council Entry'!AZ$8),'Council Entry'!AZ57))))-'Council Entry'!AZ$5)/('Council Entry'!AZ$6-'Council Entry'!AZ$5)),1))),"No data"))</f>
        <v/>
      </c>
      <c r="BA57" s="13">
        <f>IF('Council Entry'!BA57="","",IFERROR(MAX(0,MIN(10,ROUND(IF('Council Entry'!BA$7="Decrease Risk",10-10*((IF('Council Entry'!BA$4="Logarithm",LN(0.001+IF(AND(ISNUMBER('Council Entry'!BA$8),ISNUMBER('Council Entry'!BA$9)),MAX(MIN('Council Entry'!BA57,'Council Entry'!BA$9),'Council Entry'!BA$8),'Council Entry'!BA57)),IF('Council Entry'!BA$4="Exponential",EXP(IF(AND(ISNUMBER('Council Entry'!BA$8),ISNUMBER('Council Entry'!BA$9)),MAX(MIN('Council Entry'!BA57,'Council Entry'!BA$9),'Council Entry'!BA$8),'Council Entry'!BA57)),IF(AND(ISNUMBER('Council Entry'!BA$8),ISNUMBER('Council Entry'!BA$9)),MAX(MIN('Council Entry'!BA57,'Council Entry'!BA$9),'Council Entry'!BA$8),'Council Entry'!BA57))))-'Council Entry'!BA$5)/('Council Entry'!BA$6-'Council Entry'!BA$5),10*((IF('Council Entry'!BA$4="Logarithm",LN(0.001+IF(AND(ISNUMBER('Council Entry'!BA$8),ISNUMBER('Council Entry'!BA$9)),MAX(MIN('Council Entry'!BA57,'Council Entry'!BA$9),'Council Entry'!BA$8),'Council Entry'!BA57)),IF('Council Entry'!BA$4="Exponential",EXP(IF(AND(ISNUMBER('Council Entry'!BA$8),ISNUMBER('Council Entry'!BA$9)),MAX(MIN('Council Entry'!BA57,'Council Entry'!BA$9),'Council Entry'!BA$8),'Council Entry'!BA57)),IF(AND(ISNUMBER('Council Entry'!BA$8),ISNUMBER('Council Entry'!BA$9)),MAX(MIN('Council Entry'!BA57,'Council Entry'!BA$9),'Council Entry'!BA$8),'Council Entry'!BA57))))-'Council Entry'!BA$5)/('Council Entry'!BA$6-'Council Entry'!BA$5)),1))),"No data"))</f>
        <v/>
      </c>
      <c r="BB57" s="13">
        <f>IF('Council Entry'!BB57="","",IFERROR(MAX(0,MIN(10,ROUND(IF('Council Entry'!BB$7="Decrease Risk",10-10*((IF('Council Entry'!BB$4="Logarithm",LN(0.001+IF(AND(ISNUMBER('Council Entry'!BB$8),ISNUMBER('Council Entry'!BB$9)),MAX(MIN('Council Entry'!BB57,'Council Entry'!BB$9),'Council Entry'!BB$8),'Council Entry'!BB57)),IF('Council Entry'!BB$4="Exponential",EXP(IF(AND(ISNUMBER('Council Entry'!BB$8),ISNUMBER('Council Entry'!BB$9)),MAX(MIN('Council Entry'!BB57,'Council Entry'!BB$9),'Council Entry'!BB$8),'Council Entry'!BB57)),IF(AND(ISNUMBER('Council Entry'!BB$8),ISNUMBER('Council Entry'!BB$9)),MAX(MIN('Council Entry'!BB57,'Council Entry'!BB$9),'Council Entry'!BB$8),'Council Entry'!BB57))))-'Council Entry'!BB$5)/('Council Entry'!BB$6-'Council Entry'!BB$5),10*((IF('Council Entry'!BB$4="Logarithm",LN(0.001+IF(AND(ISNUMBER('Council Entry'!BB$8),ISNUMBER('Council Entry'!BB$9)),MAX(MIN('Council Entry'!BB57,'Council Entry'!BB$9),'Council Entry'!BB$8),'Council Entry'!BB57)),IF('Council Entry'!BB$4="Exponential",EXP(IF(AND(ISNUMBER('Council Entry'!BB$8),ISNUMBER('Council Entry'!BB$9)),MAX(MIN('Council Entry'!BB57,'Council Entry'!BB$9),'Council Entry'!BB$8),'Council Entry'!BB57)),IF(AND(ISNUMBER('Council Entry'!BB$8),ISNUMBER('Council Entry'!BB$9)),MAX(MIN('Council Entry'!BB57,'Council Entry'!BB$9),'Council Entry'!BB$8),'Council Entry'!BB57))))-'Council Entry'!BB$5)/('Council Entry'!BB$6-'Council Entry'!BB$5)),1))),"No data"))</f>
        <v/>
      </c>
      <c r="BC57" s="13">
        <f>IF('Council Entry'!BC57="","",IFERROR(MAX(0,MIN(10,ROUND(IF('Council Entry'!BC$7="Decrease Risk",10-10*((IF('Council Entry'!BC$4="Logarithm",LN(0.001+IF(AND(ISNUMBER('Council Entry'!BC$8),ISNUMBER('Council Entry'!BC$9)),MAX(MIN('Council Entry'!BC57,'Council Entry'!BC$9),'Council Entry'!BC$8),'Council Entry'!BC57)),IF('Council Entry'!BC$4="Exponential",EXP(IF(AND(ISNUMBER('Council Entry'!BC$8),ISNUMBER('Council Entry'!BC$9)),MAX(MIN('Council Entry'!BC57,'Council Entry'!BC$9),'Council Entry'!BC$8),'Council Entry'!BC57)),IF(AND(ISNUMBER('Council Entry'!BC$8),ISNUMBER('Council Entry'!BC$9)),MAX(MIN('Council Entry'!BC57,'Council Entry'!BC$9),'Council Entry'!BC$8),'Council Entry'!BC57))))-'Council Entry'!BC$5)/('Council Entry'!BC$6-'Council Entry'!BC$5),10*((IF('Council Entry'!BC$4="Logarithm",LN(0.001+IF(AND(ISNUMBER('Council Entry'!BC$8),ISNUMBER('Council Entry'!BC$9)),MAX(MIN('Council Entry'!BC57,'Council Entry'!BC$9),'Council Entry'!BC$8),'Council Entry'!BC57)),IF('Council Entry'!BC$4="Exponential",EXP(IF(AND(ISNUMBER('Council Entry'!BC$8),ISNUMBER('Council Entry'!BC$9)),MAX(MIN('Council Entry'!BC57,'Council Entry'!BC$9),'Council Entry'!BC$8),'Council Entry'!BC57)),IF(AND(ISNUMBER('Council Entry'!BC$8),ISNUMBER('Council Entry'!BC$9)),MAX(MIN('Council Entry'!BC57,'Council Entry'!BC$9),'Council Entry'!BC$8),'Council Entry'!BC57))))-'Council Entry'!BC$5)/('Council Entry'!BC$6-'Council Entry'!BC$5)),1))),"No data"))</f>
        <v/>
      </c>
      <c r="BD57" s="13">
        <f>IF('Council Entry'!BD57="","",IFERROR(MAX(0,MIN(10,ROUND(IF('Council Entry'!BD$7="Decrease Risk",10-10*((IF('Council Entry'!BD$4="Logarithm",LN(0.001+IF(AND(ISNUMBER('Council Entry'!BD$8),ISNUMBER('Council Entry'!BD$9)),MAX(MIN('Council Entry'!BD57,'Council Entry'!BD$9),'Council Entry'!BD$8),'Council Entry'!BD57)),IF('Council Entry'!BD$4="Exponential",EXP(IF(AND(ISNUMBER('Council Entry'!BD$8),ISNUMBER('Council Entry'!BD$9)),MAX(MIN('Council Entry'!BD57,'Council Entry'!BD$9),'Council Entry'!BD$8),'Council Entry'!BD57)),IF(AND(ISNUMBER('Council Entry'!BD$8),ISNUMBER('Council Entry'!BD$9)),MAX(MIN('Council Entry'!BD57,'Council Entry'!BD$9),'Council Entry'!BD$8),'Council Entry'!BD57))))-'Council Entry'!BD$5)/('Council Entry'!BD$6-'Council Entry'!BD$5),10*((IF('Council Entry'!BD$4="Logarithm",LN(0.001+IF(AND(ISNUMBER('Council Entry'!BD$8),ISNUMBER('Council Entry'!BD$9)),MAX(MIN('Council Entry'!BD57,'Council Entry'!BD$9),'Council Entry'!BD$8),'Council Entry'!BD57)),IF('Council Entry'!BD$4="Exponential",EXP(IF(AND(ISNUMBER('Council Entry'!BD$8),ISNUMBER('Council Entry'!BD$9)),MAX(MIN('Council Entry'!BD57,'Council Entry'!BD$9),'Council Entry'!BD$8),'Council Entry'!BD57)),IF(AND(ISNUMBER('Council Entry'!BD$8),ISNUMBER('Council Entry'!BD$9)),MAX(MIN('Council Entry'!BD57,'Council Entry'!BD$9),'Council Entry'!BD$8),'Council Entry'!BD57))))-'Council Entry'!BD$5)/('Council Entry'!BD$6-'Council Entry'!BD$5)),1))),"No data"))</f>
        <v/>
      </c>
    </row>
    <row r="58">
      <c r="A58" t="inlineStr">
        <is>
          <t>Katavi</t>
        </is>
      </c>
      <c r="B58" t="inlineStr">
        <is>
          <t>Tanganyika District</t>
        </is>
      </c>
      <c r="C58" t="inlineStr">
        <is>
          <t>C165</t>
        </is>
      </c>
      <c r="D58" s="13">
        <f>IF('Council Entry'!D58="","",IFERROR(MAX(0,MIN(10,ROUND(IF('Council Entry'!D$7="Decrease Risk",10-10*((IF('Council Entry'!D$4="Logarithm",LN(0.001+IF(AND(ISNUMBER('Council Entry'!D$8),ISNUMBER('Council Entry'!D$9)),MAX(MIN('Council Entry'!D58,'Council Entry'!D$9),'Council Entry'!D$8),'Council Entry'!D58)),IF('Council Entry'!D$4="Exponential",EXP(IF(AND(ISNUMBER('Council Entry'!D$8),ISNUMBER('Council Entry'!D$9)),MAX(MIN('Council Entry'!D58,'Council Entry'!D$9),'Council Entry'!D$8),'Council Entry'!D58)),IF(AND(ISNUMBER('Council Entry'!D$8),ISNUMBER('Council Entry'!D$9)),MAX(MIN('Council Entry'!D58,'Council Entry'!D$9),'Council Entry'!D$8),'Council Entry'!D58))))-'Council Entry'!D$5)/('Council Entry'!D$6-'Council Entry'!D$5),10*((IF('Council Entry'!D$4="Logarithm",LN(0.001+IF(AND(ISNUMBER('Council Entry'!D$8),ISNUMBER('Council Entry'!D$9)),MAX(MIN('Council Entry'!D58,'Council Entry'!D$9),'Council Entry'!D$8),'Council Entry'!D58)),IF('Council Entry'!D$4="Exponential",EXP(IF(AND(ISNUMBER('Council Entry'!D$8),ISNUMBER('Council Entry'!D$9)),MAX(MIN('Council Entry'!D58,'Council Entry'!D$9),'Council Entry'!D$8),'Council Entry'!D58)),IF(AND(ISNUMBER('Council Entry'!D$8),ISNUMBER('Council Entry'!D$9)),MAX(MIN('Council Entry'!D58,'Council Entry'!D$9),'Council Entry'!D$8),'Council Entry'!D58))))-'Council Entry'!D$5)/('Council Entry'!D$6-'Council Entry'!D$5)),1))),"No data"))</f>
        <v/>
      </c>
      <c r="E58" s="13">
        <f>IF('Council Entry'!E58="","",IFERROR(MAX(0,MIN(10,ROUND(IF('Council Entry'!E$7="Decrease Risk",10-10*((IF('Council Entry'!E$4="Logarithm",LN(0.001+IF(AND(ISNUMBER('Council Entry'!E$8),ISNUMBER('Council Entry'!E$9)),MAX(MIN('Council Entry'!E58,'Council Entry'!E$9),'Council Entry'!E$8),'Council Entry'!E58)),IF('Council Entry'!E$4="Exponential",EXP(IF(AND(ISNUMBER('Council Entry'!E$8),ISNUMBER('Council Entry'!E$9)),MAX(MIN('Council Entry'!E58,'Council Entry'!E$9),'Council Entry'!E$8),'Council Entry'!E58)),IF(AND(ISNUMBER('Council Entry'!E$8),ISNUMBER('Council Entry'!E$9)),MAX(MIN('Council Entry'!E58,'Council Entry'!E$9),'Council Entry'!E$8),'Council Entry'!E58))))-'Council Entry'!E$5)/('Council Entry'!E$6-'Council Entry'!E$5),10*((IF('Council Entry'!E$4="Logarithm",LN(0.001+IF(AND(ISNUMBER('Council Entry'!E$8),ISNUMBER('Council Entry'!E$9)),MAX(MIN('Council Entry'!E58,'Council Entry'!E$9),'Council Entry'!E$8),'Council Entry'!E58)),IF('Council Entry'!E$4="Exponential",EXP(IF(AND(ISNUMBER('Council Entry'!E$8),ISNUMBER('Council Entry'!E$9)),MAX(MIN('Council Entry'!E58,'Council Entry'!E$9),'Council Entry'!E$8),'Council Entry'!E58)),IF(AND(ISNUMBER('Council Entry'!E$8),ISNUMBER('Council Entry'!E$9)),MAX(MIN('Council Entry'!E58,'Council Entry'!E$9),'Council Entry'!E$8),'Council Entry'!E58))))-'Council Entry'!E$5)/('Council Entry'!E$6-'Council Entry'!E$5)),1))),"No data"))</f>
        <v/>
      </c>
      <c r="F58" s="13">
        <f>IF('Council Entry'!F58="","",IFERROR(MAX(0,MIN(10,ROUND(IF('Council Entry'!F$7="Decrease Risk",10-10*((IF('Council Entry'!F$4="Logarithm",LN(0.001+IF(AND(ISNUMBER('Council Entry'!F$8),ISNUMBER('Council Entry'!F$9)),MAX(MIN('Council Entry'!F58,'Council Entry'!F$9),'Council Entry'!F$8),'Council Entry'!F58)),IF('Council Entry'!F$4="Exponential",EXP(IF(AND(ISNUMBER('Council Entry'!F$8),ISNUMBER('Council Entry'!F$9)),MAX(MIN('Council Entry'!F58,'Council Entry'!F$9),'Council Entry'!F$8),'Council Entry'!F58)),IF(AND(ISNUMBER('Council Entry'!F$8),ISNUMBER('Council Entry'!F$9)),MAX(MIN('Council Entry'!F58,'Council Entry'!F$9),'Council Entry'!F$8),'Council Entry'!F58))))-'Council Entry'!F$5)/('Council Entry'!F$6-'Council Entry'!F$5),10*((IF('Council Entry'!F$4="Logarithm",LN(0.001+IF(AND(ISNUMBER('Council Entry'!F$8),ISNUMBER('Council Entry'!F$9)),MAX(MIN('Council Entry'!F58,'Council Entry'!F$9),'Council Entry'!F$8),'Council Entry'!F58)),IF('Council Entry'!F$4="Exponential",EXP(IF(AND(ISNUMBER('Council Entry'!F$8),ISNUMBER('Council Entry'!F$9)),MAX(MIN('Council Entry'!F58,'Council Entry'!F$9),'Council Entry'!F$8),'Council Entry'!F58)),IF(AND(ISNUMBER('Council Entry'!F$8),ISNUMBER('Council Entry'!F$9)),MAX(MIN('Council Entry'!F58,'Council Entry'!F$9),'Council Entry'!F$8),'Council Entry'!F58))))-'Council Entry'!F$5)/('Council Entry'!F$6-'Council Entry'!F$5)),1))),"No data"))</f>
        <v/>
      </c>
      <c r="G58" s="13">
        <f>IF('Council Entry'!G58="","",IFERROR(MAX(0,MIN(10,ROUND(IF('Council Entry'!G$7="Decrease Risk",10-10*((IF('Council Entry'!G$4="Logarithm",LN(0.001+IF(AND(ISNUMBER('Council Entry'!G$8),ISNUMBER('Council Entry'!G$9)),MAX(MIN('Council Entry'!G58,'Council Entry'!G$9),'Council Entry'!G$8),'Council Entry'!G58)),IF('Council Entry'!G$4="Exponential",EXP(IF(AND(ISNUMBER('Council Entry'!G$8),ISNUMBER('Council Entry'!G$9)),MAX(MIN('Council Entry'!G58,'Council Entry'!G$9),'Council Entry'!G$8),'Council Entry'!G58)),IF(AND(ISNUMBER('Council Entry'!G$8),ISNUMBER('Council Entry'!G$9)),MAX(MIN('Council Entry'!G58,'Council Entry'!G$9),'Council Entry'!G$8),'Council Entry'!G58))))-'Council Entry'!G$5)/('Council Entry'!G$6-'Council Entry'!G$5),10*((IF('Council Entry'!G$4="Logarithm",LN(0.001+IF(AND(ISNUMBER('Council Entry'!G$8),ISNUMBER('Council Entry'!G$9)),MAX(MIN('Council Entry'!G58,'Council Entry'!G$9),'Council Entry'!G$8),'Council Entry'!G58)),IF('Council Entry'!G$4="Exponential",EXP(IF(AND(ISNUMBER('Council Entry'!G$8),ISNUMBER('Council Entry'!G$9)),MAX(MIN('Council Entry'!G58,'Council Entry'!G$9),'Council Entry'!G$8),'Council Entry'!G58)),IF(AND(ISNUMBER('Council Entry'!G$8),ISNUMBER('Council Entry'!G$9)),MAX(MIN('Council Entry'!G58,'Council Entry'!G$9),'Council Entry'!G$8),'Council Entry'!G58))))-'Council Entry'!G$5)/('Council Entry'!G$6-'Council Entry'!G$5)),1))),"No data"))</f>
        <v/>
      </c>
      <c r="H58" s="13">
        <f>IF('Council Entry'!H58="","",IFERROR(MAX(0,MIN(10,ROUND(IF('Council Entry'!H$7="Decrease Risk",10-10*((IF('Council Entry'!H$4="Logarithm",LN(0.001+IF(AND(ISNUMBER('Council Entry'!H$8),ISNUMBER('Council Entry'!H$9)),MAX(MIN('Council Entry'!H58,'Council Entry'!H$9),'Council Entry'!H$8),'Council Entry'!H58)),IF('Council Entry'!H$4="Exponential",EXP(IF(AND(ISNUMBER('Council Entry'!H$8),ISNUMBER('Council Entry'!H$9)),MAX(MIN('Council Entry'!H58,'Council Entry'!H$9),'Council Entry'!H$8),'Council Entry'!H58)),IF(AND(ISNUMBER('Council Entry'!H$8),ISNUMBER('Council Entry'!H$9)),MAX(MIN('Council Entry'!H58,'Council Entry'!H$9),'Council Entry'!H$8),'Council Entry'!H58))))-'Council Entry'!H$5)/('Council Entry'!H$6-'Council Entry'!H$5),10*((IF('Council Entry'!H$4="Logarithm",LN(0.001+IF(AND(ISNUMBER('Council Entry'!H$8),ISNUMBER('Council Entry'!H$9)),MAX(MIN('Council Entry'!H58,'Council Entry'!H$9),'Council Entry'!H$8),'Council Entry'!H58)),IF('Council Entry'!H$4="Exponential",EXP(IF(AND(ISNUMBER('Council Entry'!H$8),ISNUMBER('Council Entry'!H$9)),MAX(MIN('Council Entry'!H58,'Council Entry'!H$9),'Council Entry'!H$8),'Council Entry'!H58)),IF(AND(ISNUMBER('Council Entry'!H$8),ISNUMBER('Council Entry'!H$9)),MAX(MIN('Council Entry'!H58,'Council Entry'!H$9),'Council Entry'!H$8),'Council Entry'!H58))))-'Council Entry'!H$5)/('Council Entry'!H$6-'Council Entry'!H$5)),1))),"No data"))</f>
        <v/>
      </c>
      <c r="I58" s="13">
        <f>IF('Council Entry'!I58="","",IFERROR(MAX(0,MIN(10,ROUND(IF('Council Entry'!I$7="Decrease Risk",10-10*((IF('Council Entry'!I$4="Logarithm",LN(0.001+IF(AND(ISNUMBER('Council Entry'!I$8),ISNUMBER('Council Entry'!I$9)),MAX(MIN('Council Entry'!I58,'Council Entry'!I$9),'Council Entry'!I$8),'Council Entry'!I58)),IF('Council Entry'!I$4="Exponential",EXP(IF(AND(ISNUMBER('Council Entry'!I$8),ISNUMBER('Council Entry'!I$9)),MAX(MIN('Council Entry'!I58,'Council Entry'!I$9),'Council Entry'!I$8),'Council Entry'!I58)),IF(AND(ISNUMBER('Council Entry'!I$8),ISNUMBER('Council Entry'!I$9)),MAX(MIN('Council Entry'!I58,'Council Entry'!I$9),'Council Entry'!I$8),'Council Entry'!I58))))-'Council Entry'!I$5)/('Council Entry'!I$6-'Council Entry'!I$5),10*((IF('Council Entry'!I$4="Logarithm",LN(0.001+IF(AND(ISNUMBER('Council Entry'!I$8),ISNUMBER('Council Entry'!I$9)),MAX(MIN('Council Entry'!I58,'Council Entry'!I$9),'Council Entry'!I$8),'Council Entry'!I58)),IF('Council Entry'!I$4="Exponential",EXP(IF(AND(ISNUMBER('Council Entry'!I$8),ISNUMBER('Council Entry'!I$9)),MAX(MIN('Council Entry'!I58,'Council Entry'!I$9),'Council Entry'!I$8),'Council Entry'!I58)),IF(AND(ISNUMBER('Council Entry'!I$8),ISNUMBER('Council Entry'!I$9)),MAX(MIN('Council Entry'!I58,'Council Entry'!I$9),'Council Entry'!I$8),'Council Entry'!I58))))-'Council Entry'!I$5)/('Council Entry'!I$6-'Council Entry'!I$5)),1))),"No data"))</f>
        <v/>
      </c>
      <c r="J58" s="13">
        <f>IF('Council Entry'!J58="","",IFERROR(MAX(0,MIN(10,ROUND(IF('Council Entry'!J$7="Decrease Risk",10-10*((IF('Council Entry'!J$4="Logarithm",LN(0.001+IF(AND(ISNUMBER('Council Entry'!J$8),ISNUMBER('Council Entry'!J$9)),MAX(MIN('Council Entry'!J58,'Council Entry'!J$9),'Council Entry'!J$8),'Council Entry'!J58)),IF('Council Entry'!J$4="Exponential",EXP(IF(AND(ISNUMBER('Council Entry'!J$8),ISNUMBER('Council Entry'!J$9)),MAX(MIN('Council Entry'!J58,'Council Entry'!J$9),'Council Entry'!J$8),'Council Entry'!J58)),IF(AND(ISNUMBER('Council Entry'!J$8),ISNUMBER('Council Entry'!J$9)),MAX(MIN('Council Entry'!J58,'Council Entry'!J$9),'Council Entry'!J$8),'Council Entry'!J58))))-'Council Entry'!J$5)/('Council Entry'!J$6-'Council Entry'!J$5),10*((IF('Council Entry'!J$4="Logarithm",LN(0.001+IF(AND(ISNUMBER('Council Entry'!J$8),ISNUMBER('Council Entry'!J$9)),MAX(MIN('Council Entry'!J58,'Council Entry'!J$9),'Council Entry'!J$8),'Council Entry'!J58)),IF('Council Entry'!J$4="Exponential",EXP(IF(AND(ISNUMBER('Council Entry'!J$8),ISNUMBER('Council Entry'!J$9)),MAX(MIN('Council Entry'!J58,'Council Entry'!J$9),'Council Entry'!J$8),'Council Entry'!J58)),IF(AND(ISNUMBER('Council Entry'!J$8),ISNUMBER('Council Entry'!J$9)),MAX(MIN('Council Entry'!J58,'Council Entry'!J$9),'Council Entry'!J$8),'Council Entry'!J58))))-'Council Entry'!J$5)/('Council Entry'!J$6-'Council Entry'!J$5)),1))),"No data"))</f>
        <v/>
      </c>
      <c r="K58" s="13">
        <f>IF('Council Entry'!K58="","",IFERROR(MAX(0,MIN(10,ROUND(IF('Council Entry'!K$7="Decrease Risk",10-10*((IF('Council Entry'!K$4="Logarithm",LN(0.001+IF(AND(ISNUMBER('Council Entry'!K$8),ISNUMBER('Council Entry'!K$9)),MAX(MIN('Council Entry'!K58,'Council Entry'!K$9),'Council Entry'!K$8),'Council Entry'!K58)),IF('Council Entry'!K$4="Exponential",EXP(IF(AND(ISNUMBER('Council Entry'!K$8),ISNUMBER('Council Entry'!K$9)),MAX(MIN('Council Entry'!K58,'Council Entry'!K$9),'Council Entry'!K$8),'Council Entry'!K58)),IF(AND(ISNUMBER('Council Entry'!K$8),ISNUMBER('Council Entry'!K$9)),MAX(MIN('Council Entry'!K58,'Council Entry'!K$9),'Council Entry'!K$8),'Council Entry'!K58))))-'Council Entry'!K$5)/('Council Entry'!K$6-'Council Entry'!K$5),10*((IF('Council Entry'!K$4="Logarithm",LN(0.001+IF(AND(ISNUMBER('Council Entry'!K$8),ISNUMBER('Council Entry'!K$9)),MAX(MIN('Council Entry'!K58,'Council Entry'!K$9),'Council Entry'!K$8),'Council Entry'!K58)),IF('Council Entry'!K$4="Exponential",EXP(IF(AND(ISNUMBER('Council Entry'!K$8),ISNUMBER('Council Entry'!K$9)),MAX(MIN('Council Entry'!K58,'Council Entry'!K$9),'Council Entry'!K$8),'Council Entry'!K58)),IF(AND(ISNUMBER('Council Entry'!K$8),ISNUMBER('Council Entry'!K$9)),MAX(MIN('Council Entry'!K58,'Council Entry'!K$9),'Council Entry'!K$8),'Council Entry'!K58))))-'Council Entry'!K$5)/('Council Entry'!K$6-'Council Entry'!K$5)),1))),"No data"))</f>
        <v/>
      </c>
      <c r="L58" s="13">
        <f>IF('Council Entry'!L58="","",IFERROR(MAX(0,MIN(10,ROUND(IF('Council Entry'!L$7="Decrease Risk",10-10*((IF('Council Entry'!L$4="Logarithm",LN(0.001+IF(AND(ISNUMBER('Council Entry'!L$8),ISNUMBER('Council Entry'!L$9)),MAX(MIN('Council Entry'!L58,'Council Entry'!L$9),'Council Entry'!L$8),'Council Entry'!L58)),IF('Council Entry'!L$4="Exponential",EXP(IF(AND(ISNUMBER('Council Entry'!L$8),ISNUMBER('Council Entry'!L$9)),MAX(MIN('Council Entry'!L58,'Council Entry'!L$9),'Council Entry'!L$8),'Council Entry'!L58)),IF(AND(ISNUMBER('Council Entry'!L$8),ISNUMBER('Council Entry'!L$9)),MAX(MIN('Council Entry'!L58,'Council Entry'!L$9),'Council Entry'!L$8),'Council Entry'!L58))))-'Council Entry'!L$5)/('Council Entry'!L$6-'Council Entry'!L$5),10*((IF('Council Entry'!L$4="Logarithm",LN(0.001+IF(AND(ISNUMBER('Council Entry'!L$8),ISNUMBER('Council Entry'!L$9)),MAX(MIN('Council Entry'!L58,'Council Entry'!L$9),'Council Entry'!L$8),'Council Entry'!L58)),IF('Council Entry'!L$4="Exponential",EXP(IF(AND(ISNUMBER('Council Entry'!L$8),ISNUMBER('Council Entry'!L$9)),MAX(MIN('Council Entry'!L58,'Council Entry'!L$9),'Council Entry'!L$8),'Council Entry'!L58)),IF(AND(ISNUMBER('Council Entry'!L$8),ISNUMBER('Council Entry'!L$9)),MAX(MIN('Council Entry'!L58,'Council Entry'!L$9),'Council Entry'!L$8),'Council Entry'!L58))))-'Council Entry'!L$5)/('Council Entry'!L$6-'Council Entry'!L$5)),1))),"No data"))</f>
        <v/>
      </c>
      <c r="M58" s="13">
        <f>IF('Council Entry'!M58="","",IFERROR(MAX(0,MIN(10,ROUND(IF('Council Entry'!M$7="Decrease Risk",10-10*((IF('Council Entry'!M$4="Logarithm",LN(0.001+IF(AND(ISNUMBER('Council Entry'!M$8),ISNUMBER('Council Entry'!M$9)),MAX(MIN('Council Entry'!M58,'Council Entry'!M$9),'Council Entry'!M$8),'Council Entry'!M58)),IF('Council Entry'!M$4="Exponential",EXP(IF(AND(ISNUMBER('Council Entry'!M$8),ISNUMBER('Council Entry'!M$9)),MAX(MIN('Council Entry'!M58,'Council Entry'!M$9),'Council Entry'!M$8),'Council Entry'!M58)),IF(AND(ISNUMBER('Council Entry'!M$8),ISNUMBER('Council Entry'!M$9)),MAX(MIN('Council Entry'!M58,'Council Entry'!M$9),'Council Entry'!M$8),'Council Entry'!M58))))-'Council Entry'!M$5)/('Council Entry'!M$6-'Council Entry'!M$5),10*((IF('Council Entry'!M$4="Logarithm",LN(0.001+IF(AND(ISNUMBER('Council Entry'!M$8),ISNUMBER('Council Entry'!M$9)),MAX(MIN('Council Entry'!M58,'Council Entry'!M$9),'Council Entry'!M$8),'Council Entry'!M58)),IF('Council Entry'!M$4="Exponential",EXP(IF(AND(ISNUMBER('Council Entry'!M$8),ISNUMBER('Council Entry'!M$9)),MAX(MIN('Council Entry'!M58,'Council Entry'!M$9),'Council Entry'!M$8),'Council Entry'!M58)),IF(AND(ISNUMBER('Council Entry'!M$8),ISNUMBER('Council Entry'!M$9)),MAX(MIN('Council Entry'!M58,'Council Entry'!M$9),'Council Entry'!M$8),'Council Entry'!M58))))-'Council Entry'!M$5)/('Council Entry'!M$6-'Council Entry'!M$5)),1))),"No data"))</f>
        <v/>
      </c>
      <c r="N58" s="13">
        <f>IF('Council Entry'!N58="","",IFERROR(MAX(0,MIN(10,ROUND(IF('Council Entry'!N$7="Decrease Risk",10-10*((IF('Council Entry'!N$4="Logarithm",LN(0.001+IF(AND(ISNUMBER('Council Entry'!N$8),ISNUMBER('Council Entry'!N$9)),MAX(MIN('Council Entry'!N58,'Council Entry'!N$9),'Council Entry'!N$8),'Council Entry'!N58)),IF('Council Entry'!N$4="Exponential",EXP(IF(AND(ISNUMBER('Council Entry'!N$8),ISNUMBER('Council Entry'!N$9)),MAX(MIN('Council Entry'!N58,'Council Entry'!N$9),'Council Entry'!N$8),'Council Entry'!N58)),IF(AND(ISNUMBER('Council Entry'!N$8),ISNUMBER('Council Entry'!N$9)),MAX(MIN('Council Entry'!N58,'Council Entry'!N$9),'Council Entry'!N$8),'Council Entry'!N58))))-'Council Entry'!N$5)/('Council Entry'!N$6-'Council Entry'!N$5),10*((IF('Council Entry'!N$4="Logarithm",LN(0.001+IF(AND(ISNUMBER('Council Entry'!N$8),ISNUMBER('Council Entry'!N$9)),MAX(MIN('Council Entry'!N58,'Council Entry'!N$9),'Council Entry'!N$8),'Council Entry'!N58)),IF('Council Entry'!N$4="Exponential",EXP(IF(AND(ISNUMBER('Council Entry'!N$8),ISNUMBER('Council Entry'!N$9)),MAX(MIN('Council Entry'!N58,'Council Entry'!N$9),'Council Entry'!N$8),'Council Entry'!N58)),IF(AND(ISNUMBER('Council Entry'!N$8),ISNUMBER('Council Entry'!N$9)),MAX(MIN('Council Entry'!N58,'Council Entry'!N$9),'Council Entry'!N$8),'Council Entry'!N58))))-'Council Entry'!N$5)/('Council Entry'!N$6-'Council Entry'!N$5)),1))),"No data"))</f>
        <v/>
      </c>
      <c r="O58" s="13">
        <f>IF('Council Entry'!O58="","",IFERROR(MAX(0,MIN(10,ROUND(IF('Council Entry'!O$7="Decrease Risk",10-10*((IF('Council Entry'!O$4="Logarithm",LN(0.001+IF(AND(ISNUMBER('Council Entry'!O$8),ISNUMBER('Council Entry'!O$9)),MAX(MIN('Council Entry'!O58,'Council Entry'!O$9),'Council Entry'!O$8),'Council Entry'!O58)),IF('Council Entry'!O$4="Exponential",EXP(IF(AND(ISNUMBER('Council Entry'!O$8),ISNUMBER('Council Entry'!O$9)),MAX(MIN('Council Entry'!O58,'Council Entry'!O$9),'Council Entry'!O$8),'Council Entry'!O58)),IF(AND(ISNUMBER('Council Entry'!O$8),ISNUMBER('Council Entry'!O$9)),MAX(MIN('Council Entry'!O58,'Council Entry'!O$9),'Council Entry'!O$8),'Council Entry'!O58))))-'Council Entry'!O$5)/('Council Entry'!O$6-'Council Entry'!O$5),10*((IF('Council Entry'!O$4="Logarithm",LN(0.001+IF(AND(ISNUMBER('Council Entry'!O$8),ISNUMBER('Council Entry'!O$9)),MAX(MIN('Council Entry'!O58,'Council Entry'!O$9),'Council Entry'!O$8),'Council Entry'!O58)),IF('Council Entry'!O$4="Exponential",EXP(IF(AND(ISNUMBER('Council Entry'!O$8),ISNUMBER('Council Entry'!O$9)),MAX(MIN('Council Entry'!O58,'Council Entry'!O$9),'Council Entry'!O$8),'Council Entry'!O58)),IF(AND(ISNUMBER('Council Entry'!O$8),ISNUMBER('Council Entry'!O$9)),MAX(MIN('Council Entry'!O58,'Council Entry'!O$9),'Council Entry'!O$8),'Council Entry'!O58))))-'Council Entry'!O$5)/('Council Entry'!O$6-'Council Entry'!O$5)),1))),"No data"))</f>
        <v/>
      </c>
      <c r="P58" s="13">
        <f>IF('Council Entry'!P58="","",IFERROR(MAX(0,MIN(10,ROUND(IF('Council Entry'!P$7="Decrease Risk",10-10*((IF('Council Entry'!P$4="Logarithm",LN(0.001+IF(AND(ISNUMBER('Council Entry'!P$8),ISNUMBER('Council Entry'!P$9)),MAX(MIN('Council Entry'!P58,'Council Entry'!P$9),'Council Entry'!P$8),'Council Entry'!P58)),IF('Council Entry'!P$4="Exponential",EXP(IF(AND(ISNUMBER('Council Entry'!P$8),ISNUMBER('Council Entry'!P$9)),MAX(MIN('Council Entry'!P58,'Council Entry'!P$9),'Council Entry'!P$8),'Council Entry'!P58)),IF(AND(ISNUMBER('Council Entry'!P$8),ISNUMBER('Council Entry'!P$9)),MAX(MIN('Council Entry'!P58,'Council Entry'!P$9),'Council Entry'!P$8),'Council Entry'!P58))))-'Council Entry'!P$5)/('Council Entry'!P$6-'Council Entry'!P$5),10*((IF('Council Entry'!P$4="Logarithm",LN(0.001+IF(AND(ISNUMBER('Council Entry'!P$8),ISNUMBER('Council Entry'!P$9)),MAX(MIN('Council Entry'!P58,'Council Entry'!P$9),'Council Entry'!P$8),'Council Entry'!P58)),IF('Council Entry'!P$4="Exponential",EXP(IF(AND(ISNUMBER('Council Entry'!P$8),ISNUMBER('Council Entry'!P$9)),MAX(MIN('Council Entry'!P58,'Council Entry'!P$9),'Council Entry'!P$8),'Council Entry'!P58)),IF(AND(ISNUMBER('Council Entry'!P$8),ISNUMBER('Council Entry'!P$9)),MAX(MIN('Council Entry'!P58,'Council Entry'!P$9),'Council Entry'!P$8),'Council Entry'!P58))))-'Council Entry'!P$5)/('Council Entry'!P$6-'Council Entry'!P$5)),1))),"No data"))</f>
        <v/>
      </c>
      <c r="Q58" s="13">
        <f>IF('Council Entry'!Q58="","",IFERROR(MAX(0,MIN(10,ROUND(IF('Council Entry'!Q$7="Decrease Risk",10-10*((IF('Council Entry'!Q$4="Logarithm",LN(0.001+IF(AND(ISNUMBER('Council Entry'!Q$8),ISNUMBER('Council Entry'!Q$9)),MAX(MIN('Council Entry'!Q58,'Council Entry'!Q$9),'Council Entry'!Q$8),'Council Entry'!Q58)),IF('Council Entry'!Q$4="Exponential",EXP(IF(AND(ISNUMBER('Council Entry'!Q$8),ISNUMBER('Council Entry'!Q$9)),MAX(MIN('Council Entry'!Q58,'Council Entry'!Q$9),'Council Entry'!Q$8),'Council Entry'!Q58)),IF(AND(ISNUMBER('Council Entry'!Q$8),ISNUMBER('Council Entry'!Q$9)),MAX(MIN('Council Entry'!Q58,'Council Entry'!Q$9),'Council Entry'!Q$8),'Council Entry'!Q58))))-'Council Entry'!Q$5)/('Council Entry'!Q$6-'Council Entry'!Q$5),10*((IF('Council Entry'!Q$4="Logarithm",LN(0.001+IF(AND(ISNUMBER('Council Entry'!Q$8),ISNUMBER('Council Entry'!Q$9)),MAX(MIN('Council Entry'!Q58,'Council Entry'!Q$9),'Council Entry'!Q$8),'Council Entry'!Q58)),IF('Council Entry'!Q$4="Exponential",EXP(IF(AND(ISNUMBER('Council Entry'!Q$8),ISNUMBER('Council Entry'!Q$9)),MAX(MIN('Council Entry'!Q58,'Council Entry'!Q$9),'Council Entry'!Q$8),'Council Entry'!Q58)),IF(AND(ISNUMBER('Council Entry'!Q$8),ISNUMBER('Council Entry'!Q$9)),MAX(MIN('Council Entry'!Q58,'Council Entry'!Q$9),'Council Entry'!Q$8),'Council Entry'!Q58))))-'Council Entry'!Q$5)/('Council Entry'!Q$6-'Council Entry'!Q$5)),1))),"No data"))</f>
        <v/>
      </c>
      <c r="R58" s="13">
        <f>IF('Council Entry'!R58="","",IFERROR(MAX(0,MIN(10,ROUND(IF('Council Entry'!R$7="Decrease Risk",10-10*((IF('Council Entry'!R$4="Logarithm",LN(0.001+IF(AND(ISNUMBER('Council Entry'!R$8),ISNUMBER('Council Entry'!R$9)),MAX(MIN('Council Entry'!R58,'Council Entry'!R$9),'Council Entry'!R$8),'Council Entry'!R58)),IF('Council Entry'!R$4="Exponential",EXP(IF(AND(ISNUMBER('Council Entry'!R$8),ISNUMBER('Council Entry'!R$9)),MAX(MIN('Council Entry'!R58,'Council Entry'!R$9),'Council Entry'!R$8),'Council Entry'!R58)),IF(AND(ISNUMBER('Council Entry'!R$8),ISNUMBER('Council Entry'!R$9)),MAX(MIN('Council Entry'!R58,'Council Entry'!R$9),'Council Entry'!R$8),'Council Entry'!R58))))-'Council Entry'!R$5)/('Council Entry'!R$6-'Council Entry'!R$5),10*((IF('Council Entry'!R$4="Logarithm",LN(0.001+IF(AND(ISNUMBER('Council Entry'!R$8),ISNUMBER('Council Entry'!R$9)),MAX(MIN('Council Entry'!R58,'Council Entry'!R$9),'Council Entry'!R$8),'Council Entry'!R58)),IF('Council Entry'!R$4="Exponential",EXP(IF(AND(ISNUMBER('Council Entry'!R$8),ISNUMBER('Council Entry'!R$9)),MAX(MIN('Council Entry'!R58,'Council Entry'!R$9),'Council Entry'!R$8),'Council Entry'!R58)),IF(AND(ISNUMBER('Council Entry'!R$8),ISNUMBER('Council Entry'!R$9)),MAX(MIN('Council Entry'!R58,'Council Entry'!R$9),'Council Entry'!R$8),'Council Entry'!R58))))-'Council Entry'!R$5)/('Council Entry'!R$6-'Council Entry'!R$5)),1))),"No data"))</f>
        <v/>
      </c>
      <c r="S58" s="13">
        <f>IF('Council Entry'!S58="","",IFERROR(MAX(0,MIN(10,ROUND(IF('Council Entry'!S$7="Decrease Risk",10-10*((IF('Council Entry'!S$4="Logarithm",LN(0.001+IF(AND(ISNUMBER('Council Entry'!S$8),ISNUMBER('Council Entry'!S$9)),MAX(MIN('Council Entry'!S58,'Council Entry'!S$9),'Council Entry'!S$8),'Council Entry'!S58)),IF('Council Entry'!S$4="Exponential",EXP(IF(AND(ISNUMBER('Council Entry'!S$8),ISNUMBER('Council Entry'!S$9)),MAX(MIN('Council Entry'!S58,'Council Entry'!S$9),'Council Entry'!S$8),'Council Entry'!S58)),IF(AND(ISNUMBER('Council Entry'!S$8),ISNUMBER('Council Entry'!S$9)),MAX(MIN('Council Entry'!S58,'Council Entry'!S$9),'Council Entry'!S$8),'Council Entry'!S58))))-'Council Entry'!S$5)/('Council Entry'!S$6-'Council Entry'!S$5),10*((IF('Council Entry'!S$4="Logarithm",LN(0.001+IF(AND(ISNUMBER('Council Entry'!S$8),ISNUMBER('Council Entry'!S$9)),MAX(MIN('Council Entry'!S58,'Council Entry'!S$9),'Council Entry'!S$8),'Council Entry'!S58)),IF('Council Entry'!S$4="Exponential",EXP(IF(AND(ISNUMBER('Council Entry'!S$8),ISNUMBER('Council Entry'!S$9)),MAX(MIN('Council Entry'!S58,'Council Entry'!S$9),'Council Entry'!S$8),'Council Entry'!S58)),IF(AND(ISNUMBER('Council Entry'!S$8),ISNUMBER('Council Entry'!S$9)),MAX(MIN('Council Entry'!S58,'Council Entry'!S$9),'Council Entry'!S$8),'Council Entry'!S58))))-'Council Entry'!S$5)/('Council Entry'!S$6-'Council Entry'!S$5)),1))),"No data"))</f>
        <v/>
      </c>
      <c r="T58" s="13">
        <f>IF('Council Entry'!T58="","",IFERROR(MAX(0,MIN(10,ROUND(IF('Council Entry'!T$7="Decrease Risk",10-10*((IF('Council Entry'!T$4="Logarithm",LN(0.001+IF(AND(ISNUMBER('Council Entry'!T$8),ISNUMBER('Council Entry'!T$9)),MAX(MIN('Council Entry'!T58,'Council Entry'!T$9),'Council Entry'!T$8),'Council Entry'!T58)),IF('Council Entry'!T$4="Exponential",EXP(IF(AND(ISNUMBER('Council Entry'!T$8),ISNUMBER('Council Entry'!T$9)),MAX(MIN('Council Entry'!T58,'Council Entry'!T$9),'Council Entry'!T$8),'Council Entry'!T58)),IF(AND(ISNUMBER('Council Entry'!T$8),ISNUMBER('Council Entry'!T$9)),MAX(MIN('Council Entry'!T58,'Council Entry'!T$9),'Council Entry'!T$8),'Council Entry'!T58))))-'Council Entry'!T$5)/('Council Entry'!T$6-'Council Entry'!T$5),10*((IF('Council Entry'!T$4="Logarithm",LN(0.001+IF(AND(ISNUMBER('Council Entry'!T$8),ISNUMBER('Council Entry'!T$9)),MAX(MIN('Council Entry'!T58,'Council Entry'!T$9),'Council Entry'!T$8),'Council Entry'!T58)),IF('Council Entry'!T$4="Exponential",EXP(IF(AND(ISNUMBER('Council Entry'!T$8),ISNUMBER('Council Entry'!T$9)),MAX(MIN('Council Entry'!T58,'Council Entry'!T$9),'Council Entry'!T$8),'Council Entry'!T58)),IF(AND(ISNUMBER('Council Entry'!T$8),ISNUMBER('Council Entry'!T$9)),MAX(MIN('Council Entry'!T58,'Council Entry'!T$9),'Council Entry'!T$8),'Council Entry'!T58))))-'Council Entry'!T$5)/('Council Entry'!T$6-'Council Entry'!T$5)),1))),"No data"))</f>
        <v/>
      </c>
      <c r="U58" s="13">
        <f>IF('Council Entry'!U58="","",IFERROR(MAX(0,MIN(10,ROUND(IF('Council Entry'!U$7="Decrease Risk",10-10*((IF('Council Entry'!U$4="Logarithm",LN(0.001+IF(AND(ISNUMBER('Council Entry'!U$8),ISNUMBER('Council Entry'!U$9)),MAX(MIN('Council Entry'!U58,'Council Entry'!U$9),'Council Entry'!U$8),'Council Entry'!U58)),IF('Council Entry'!U$4="Exponential",EXP(IF(AND(ISNUMBER('Council Entry'!U$8),ISNUMBER('Council Entry'!U$9)),MAX(MIN('Council Entry'!U58,'Council Entry'!U$9),'Council Entry'!U$8),'Council Entry'!U58)),IF(AND(ISNUMBER('Council Entry'!U$8),ISNUMBER('Council Entry'!U$9)),MAX(MIN('Council Entry'!U58,'Council Entry'!U$9),'Council Entry'!U$8),'Council Entry'!U58))))-'Council Entry'!U$5)/('Council Entry'!U$6-'Council Entry'!U$5),10*((IF('Council Entry'!U$4="Logarithm",LN(0.001+IF(AND(ISNUMBER('Council Entry'!U$8),ISNUMBER('Council Entry'!U$9)),MAX(MIN('Council Entry'!U58,'Council Entry'!U$9),'Council Entry'!U$8),'Council Entry'!U58)),IF('Council Entry'!U$4="Exponential",EXP(IF(AND(ISNUMBER('Council Entry'!U$8),ISNUMBER('Council Entry'!U$9)),MAX(MIN('Council Entry'!U58,'Council Entry'!U$9),'Council Entry'!U$8),'Council Entry'!U58)),IF(AND(ISNUMBER('Council Entry'!U$8),ISNUMBER('Council Entry'!U$9)),MAX(MIN('Council Entry'!U58,'Council Entry'!U$9),'Council Entry'!U$8),'Council Entry'!U58))))-'Council Entry'!U$5)/('Council Entry'!U$6-'Council Entry'!U$5)),1))),"No data"))</f>
        <v/>
      </c>
      <c r="V58" s="13">
        <f>IF('Council Entry'!V58="","",IFERROR(MAX(0,MIN(10,ROUND(IF('Council Entry'!V$7="Decrease Risk",10-10*((IF('Council Entry'!V$4="Logarithm",LN(0.001+IF(AND(ISNUMBER('Council Entry'!V$8),ISNUMBER('Council Entry'!V$9)),MAX(MIN('Council Entry'!V58,'Council Entry'!V$9),'Council Entry'!V$8),'Council Entry'!V58)),IF('Council Entry'!V$4="Exponential",EXP(IF(AND(ISNUMBER('Council Entry'!V$8),ISNUMBER('Council Entry'!V$9)),MAX(MIN('Council Entry'!V58,'Council Entry'!V$9),'Council Entry'!V$8),'Council Entry'!V58)),IF(AND(ISNUMBER('Council Entry'!V$8),ISNUMBER('Council Entry'!V$9)),MAX(MIN('Council Entry'!V58,'Council Entry'!V$9),'Council Entry'!V$8),'Council Entry'!V58))))-'Council Entry'!V$5)/('Council Entry'!V$6-'Council Entry'!V$5),10*((IF('Council Entry'!V$4="Logarithm",LN(0.001+IF(AND(ISNUMBER('Council Entry'!V$8),ISNUMBER('Council Entry'!V$9)),MAX(MIN('Council Entry'!V58,'Council Entry'!V$9),'Council Entry'!V$8),'Council Entry'!V58)),IF('Council Entry'!V$4="Exponential",EXP(IF(AND(ISNUMBER('Council Entry'!V$8),ISNUMBER('Council Entry'!V$9)),MAX(MIN('Council Entry'!V58,'Council Entry'!V$9),'Council Entry'!V$8),'Council Entry'!V58)),IF(AND(ISNUMBER('Council Entry'!V$8),ISNUMBER('Council Entry'!V$9)),MAX(MIN('Council Entry'!V58,'Council Entry'!V$9),'Council Entry'!V$8),'Council Entry'!V58))))-'Council Entry'!V$5)/('Council Entry'!V$6-'Council Entry'!V$5)),1))),"No data"))</f>
        <v/>
      </c>
      <c r="W58" s="13">
        <f>IF('Council Entry'!W58="","",IFERROR(MAX(0,MIN(10,ROUND(IF('Council Entry'!W$7="Decrease Risk",10-10*((IF('Council Entry'!W$4="Logarithm",LN(0.001+IF(AND(ISNUMBER('Council Entry'!W$8),ISNUMBER('Council Entry'!W$9)),MAX(MIN('Council Entry'!W58,'Council Entry'!W$9),'Council Entry'!W$8),'Council Entry'!W58)),IF('Council Entry'!W$4="Exponential",EXP(IF(AND(ISNUMBER('Council Entry'!W$8),ISNUMBER('Council Entry'!W$9)),MAX(MIN('Council Entry'!W58,'Council Entry'!W$9),'Council Entry'!W$8),'Council Entry'!W58)),IF(AND(ISNUMBER('Council Entry'!W$8),ISNUMBER('Council Entry'!W$9)),MAX(MIN('Council Entry'!W58,'Council Entry'!W$9),'Council Entry'!W$8),'Council Entry'!W58))))-'Council Entry'!W$5)/('Council Entry'!W$6-'Council Entry'!W$5),10*((IF('Council Entry'!W$4="Logarithm",LN(0.001+IF(AND(ISNUMBER('Council Entry'!W$8),ISNUMBER('Council Entry'!W$9)),MAX(MIN('Council Entry'!W58,'Council Entry'!W$9),'Council Entry'!W$8),'Council Entry'!W58)),IF('Council Entry'!W$4="Exponential",EXP(IF(AND(ISNUMBER('Council Entry'!W$8),ISNUMBER('Council Entry'!W$9)),MAX(MIN('Council Entry'!W58,'Council Entry'!W$9),'Council Entry'!W$8),'Council Entry'!W58)),IF(AND(ISNUMBER('Council Entry'!W$8),ISNUMBER('Council Entry'!W$9)),MAX(MIN('Council Entry'!W58,'Council Entry'!W$9),'Council Entry'!W$8),'Council Entry'!W58))))-'Council Entry'!W$5)/('Council Entry'!W$6-'Council Entry'!W$5)),1))),"No data"))</f>
        <v/>
      </c>
      <c r="X58" s="13">
        <f>IF('Council Entry'!X58="","",IFERROR(MAX(0,MIN(10,ROUND(IF('Council Entry'!X$7="Decrease Risk",10-10*((IF('Council Entry'!X$4="Logarithm",LN(0.001+IF(AND(ISNUMBER('Council Entry'!X$8),ISNUMBER('Council Entry'!X$9)),MAX(MIN('Council Entry'!X58,'Council Entry'!X$9),'Council Entry'!X$8),'Council Entry'!X58)),IF('Council Entry'!X$4="Exponential",EXP(IF(AND(ISNUMBER('Council Entry'!X$8),ISNUMBER('Council Entry'!X$9)),MAX(MIN('Council Entry'!X58,'Council Entry'!X$9),'Council Entry'!X$8),'Council Entry'!X58)),IF(AND(ISNUMBER('Council Entry'!X$8),ISNUMBER('Council Entry'!X$9)),MAX(MIN('Council Entry'!X58,'Council Entry'!X$9),'Council Entry'!X$8),'Council Entry'!X58))))-'Council Entry'!X$5)/('Council Entry'!X$6-'Council Entry'!X$5),10*((IF('Council Entry'!X$4="Logarithm",LN(0.001+IF(AND(ISNUMBER('Council Entry'!X$8),ISNUMBER('Council Entry'!X$9)),MAX(MIN('Council Entry'!X58,'Council Entry'!X$9),'Council Entry'!X$8),'Council Entry'!X58)),IF('Council Entry'!X$4="Exponential",EXP(IF(AND(ISNUMBER('Council Entry'!X$8),ISNUMBER('Council Entry'!X$9)),MAX(MIN('Council Entry'!X58,'Council Entry'!X$9),'Council Entry'!X$8),'Council Entry'!X58)),IF(AND(ISNUMBER('Council Entry'!X$8),ISNUMBER('Council Entry'!X$9)),MAX(MIN('Council Entry'!X58,'Council Entry'!X$9),'Council Entry'!X$8),'Council Entry'!X58))))-'Council Entry'!X$5)/('Council Entry'!X$6-'Council Entry'!X$5)),1))),"No data"))</f>
        <v/>
      </c>
      <c r="Y58" s="13">
        <f>IF('Council Entry'!Y58="","",IFERROR(MAX(0,MIN(10,ROUND(IF('Council Entry'!Y$7="Decrease Risk",10-10*((IF('Council Entry'!Y$4="Logarithm",LN(0.001+IF(AND(ISNUMBER('Council Entry'!Y$8),ISNUMBER('Council Entry'!Y$9)),MAX(MIN('Council Entry'!Y58,'Council Entry'!Y$9),'Council Entry'!Y$8),'Council Entry'!Y58)),IF('Council Entry'!Y$4="Exponential",EXP(IF(AND(ISNUMBER('Council Entry'!Y$8),ISNUMBER('Council Entry'!Y$9)),MAX(MIN('Council Entry'!Y58,'Council Entry'!Y$9),'Council Entry'!Y$8),'Council Entry'!Y58)),IF(AND(ISNUMBER('Council Entry'!Y$8),ISNUMBER('Council Entry'!Y$9)),MAX(MIN('Council Entry'!Y58,'Council Entry'!Y$9),'Council Entry'!Y$8),'Council Entry'!Y58))))-'Council Entry'!Y$5)/('Council Entry'!Y$6-'Council Entry'!Y$5),10*((IF('Council Entry'!Y$4="Logarithm",LN(0.001+IF(AND(ISNUMBER('Council Entry'!Y$8),ISNUMBER('Council Entry'!Y$9)),MAX(MIN('Council Entry'!Y58,'Council Entry'!Y$9),'Council Entry'!Y$8),'Council Entry'!Y58)),IF('Council Entry'!Y$4="Exponential",EXP(IF(AND(ISNUMBER('Council Entry'!Y$8),ISNUMBER('Council Entry'!Y$9)),MAX(MIN('Council Entry'!Y58,'Council Entry'!Y$9),'Council Entry'!Y$8),'Council Entry'!Y58)),IF(AND(ISNUMBER('Council Entry'!Y$8),ISNUMBER('Council Entry'!Y$9)),MAX(MIN('Council Entry'!Y58,'Council Entry'!Y$9),'Council Entry'!Y$8),'Council Entry'!Y58))))-'Council Entry'!Y$5)/('Council Entry'!Y$6-'Council Entry'!Y$5)),1))),"No data"))</f>
        <v/>
      </c>
      <c r="Z58" s="13">
        <f>IF('Council Entry'!Z58="","",IFERROR(MAX(0,MIN(10,ROUND(IF('Council Entry'!Z$7="Decrease Risk",10-10*((IF('Council Entry'!Z$4="Logarithm",LN(0.001+IF(AND(ISNUMBER('Council Entry'!Z$8),ISNUMBER('Council Entry'!Z$9)),MAX(MIN('Council Entry'!Z58,'Council Entry'!Z$9),'Council Entry'!Z$8),'Council Entry'!Z58)),IF('Council Entry'!Z$4="Exponential",EXP(IF(AND(ISNUMBER('Council Entry'!Z$8),ISNUMBER('Council Entry'!Z$9)),MAX(MIN('Council Entry'!Z58,'Council Entry'!Z$9),'Council Entry'!Z$8),'Council Entry'!Z58)),IF(AND(ISNUMBER('Council Entry'!Z$8),ISNUMBER('Council Entry'!Z$9)),MAX(MIN('Council Entry'!Z58,'Council Entry'!Z$9),'Council Entry'!Z$8),'Council Entry'!Z58))))-'Council Entry'!Z$5)/('Council Entry'!Z$6-'Council Entry'!Z$5),10*((IF('Council Entry'!Z$4="Logarithm",LN(0.001+IF(AND(ISNUMBER('Council Entry'!Z$8),ISNUMBER('Council Entry'!Z$9)),MAX(MIN('Council Entry'!Z58,'Council Entry'!Z$9),'Council Entry'!Z$8),'Council Entry'!Z58)),IF('Council Entry'!Z$4="Exponential",EXP(IF(AND(ISNUMBER('Council Entry'!Z$8),ISNUMBER('Council Entry'!Z$9)),MAX(MIN('Council Entry'!Z58,'Council Entry'!Z$9),'Council Entry'!Z$8),'Council Entry'!Z58)),IF(AND(ISNUMBER('Council Entry'!Z$8),ISNUMBER('Council Entry'!Z$9)),MAX(MIN('Council Entry'!Z58,'Council Entry'!Z$9),'Council Entry'!Z$8),'Council Entry'!Z58))))-'Council Entry'!Z$5)/('Council Entry'!Z$6-'Council Entry'!Z$5)),1))),"No data"))</f>
        <v/>
      </c>
      <c r="AA58" s="13">
        <f>IF('Council Entry'!AA58="","",IFERROR(MAX(0,MIN(10,ROUND(IF('Council Entry'!AA$7="Decrease Risk",10-10*((IF('Council Entry'!AA$4="Logarithm",LN(0.001+IF(AND(ISNUMBER('Council Entry'!AA$8),ISNUMBER('Council Entry'!AA$9)),MAX(MIN('Council Entry'!AA58,'Council Entry'!AA$9),'Council Entry'!AA$8),'Council Entry'!AA58)),IF('Council Entry'!AA$4="Exponential",EXP(IF(AND(ISNUMBER('Council Entry'!AA$8),ISNUMBER('Council Entry'!AA$9)),MAX(MIN('Council Entry'!AA58,'Council Entry'!AA$9),'Council Entry'!AA$8),'Council Entry'!AA58)),IF(AND(ISNUMBER('Council Entry'!AA$8),ISNUMBER('Council Entry'!AA$9)),MAX(MIN('Council Entry'!AA58,'Council Entry'!AA$9),'Council Entry'!AA$8),'Council Entry'!AA58))))-'Council Entry'!AA$5)/('Council Entry'!AA$6-'Council Entry'!AA$5),10*((IF('Council Entry'!AA$4="Logarithm",LN(0.001+IF(AND(ISNUMBER('Council Entry'!AA$8),ISNUMBER('Council Entry'!AA$9)),MAX(MIN('Council Entry'!AA58,'Council Entry'!AA$9),'Council Entry'!AA$8),'Council Entry'!AA58)),IF('Council Entry'!AA$4="Exponential",EXP(IF(AND(ISNUMBER('Council Entry'!AA$8),ISNUMBER('Council Entry'!AA$9)),MAX(MIN('Council Entry'!AA58,'Council Entry'!AA$9),'Council Entry'!AA$8),'Council Entry'!AA58)),IF(AND(ISNUMBER('Council Entry'!AA$8),ISNUMBER('Council Entry'!AA$9)),MAX(MIN('Council Entry'!AA58,'Council Entry'!AA$9),'Council Entry'!AA$8),'Council Entry'!AA58))))-'Council Entry'!AA$5)/('Council Entry'!AA$6-'Council Entry'!AA$5)),1))),"No data"))</f>
        <v/>
      </c>
      <c r="AB58" s="13">
        <f>IF('Council Entry'!AB58="","",IFERROR(MAX(0,MIN(10,ROUND(IF('Council Entry'!AB$7="Decrease Risk",10-10*((IF('Council Entry'!AB$4="Logarithm",LN(0.001+IF(AND(ISNUMBER('Council Entry'!AB$8),ISNUMBER('Council Entry'!AB$9)),MAX(MIN('Council Entry'!AB58,'Council Entry'!AB$9),'Council Entry'!AB$8),'Council Entry'!AB58)),IF('Council Entry'!AB$4="Exponential",EXP(IF(AND(ISNUMBER('Council Entry'!AB$8),ISNUMBER('Council Entry'!AB$9)),MAX(MIN('Council Entry'!AB58,'Council Entry'!AB$9),'Council Entry'!AB$8),'Council Entry'!AB58)),IF(AND(ISNUMBER('Council Entry'!AB$8),ISNUMBER('Council Entry'!AB$9)),MAX(MIN('Council Entry'!AB58,'Council Entry'!AB$9),'Council Entry'!AB$8),'Council Entry'!AB58))))-'Council Entry'!AB$5)/('Council Entry'!AB$6-'Council Entry'!AB$5),10*((IF('Council Entry'!AB$4="Logarithm",LN(0.001+IF(AND(ISNUMBER('Council Entry'!AB$8),ISNUMBER('Council Entry'!AB$9)),MAX(MIN('Council Entry'!AB58,'Council Entry'!AB$9),'Council Entry'!AB$8),'Council Entry'!AB58)),IF('Council Entry'!AB$4="Exponential",EXP(IF(AND(ISNUMBER('Council Entry'!AB$8),ISNUMBER('Council Entry'!AB$9)),MAX(MIN('Council Entry'!AB58,'Council Entry'!AB$9),'Council Entry'!AB$8),'Council Entry'!AB58)),IF(AND(ISNUMBER('Council Entry'!AB$8),ISNUMBER('Council Entry'!AB$9)),MAX(MIN('Council Entry'!AB58,'Council Entry'!AB$9),'Council Entry'!AB$8),'Council Entry'!AB58))))-'Council Entry'!AB$5)/('Council Entry'!AB$6-'Council Entry'!AB$5)),1))),"No data"))</f>
        <v/>
      </c>
      <c r="AC58" s="13">
        <f>IF('Council Entry'!AC58="","",IFERROR(MAX(0,MIN(10,ROUND(IF('Council Entry'!AC$7="Decrease Risk",10-10*((IF('Council Entry'!AC$4="Logarithm",LN(0.001+IF(AND(ISNUMBER('Council Entry'!AC$8),ISNUMBER('Council Entry'!AC$9)),MAX(MIN('Council Entry'!AC58,'Council Entry'!AC$9),'Council Entry'!AC$8),'Council Entry'!AC58)),IF('Council Entry'!AC$4="Exponential",EXP(IF(AND(ISNUMBER('Council Entry'!AC$8),ISNUMBER('Council Entry'!AC$9)),MAX(MIN('Council Entry'!AC58,'Council Entry'!AC$9),'Council Entry'!AC$8),'Council Entry'!AC58)),IF(AND(ISNUMBER('Council Entry'!AC$8),ISNUMBER('Council Entry'!AC$9)),MAX(MIN('Council Entry'!AC58,'Council Entry'!AC$9),'Council Entry'!AC$8),'Council Entry'!AC58))))-'Council Entry'!AC$5)/('Council Entry'!AC$6-'Council Entry'!AC$5),10*((IF('Council Entry'!AC$4="Logarithm",LN(0.001+IF(AND(ISNUMBER('Council Entry'!AC$8),ISNUMBER('Council Entry'!AC$9)),MAX(MIN('Council Entry'!AC58,'Council Entry'!AC$9),'Council Entry'!AC$8),'Council Entry'!AC58)),IF('Council Entry'!AC$4="Exponential",EXP(IF(AND(ISNUMBER('Council Entry'!AC$8),ISNUMBER('Council Entry'!AC$9)),MAX(MIN('Council Entry'!AC58,'Council Entry'!AC$9),'Council Entry'!AC$8),'Council Entry'!AC58)),IF(AND(ISNUMBER('Council Entry'!AC$8),ISNUMBER('Council Entry'!AC$9)),MAX(MIN('Council Entry'!AC58,'Council Entry'!AC$9),'Council Entry'!AC$8),'Council Entry'!AC58))))-'Council Entry'!AC$5)/('Council Entry'!AC$6-'Council Entry'!AC$5)),1))),"No data"))</f>
        <v/>
      </c>
      <c r="AD58" s="13">
        <f>IF('Council Entry'!AD58="","",IFERROR(MAX(0,MIN(10,ROUND(IF('Council Entry'!AD$7="Decrease Risk",10-10*((IF('Council Entry'!AD$4="Logarithm",LN(0.001+IF(AND(ISNUMBER('Council Entry'!AD$8),ISNUMBER('Council Entry'!AD$9)),MAX(MIN('Council Entry'!AD58,'Council Entry'!AD$9),'Council Entry'!AD$8),'Council Entry'!AD58)),IF('Council Entry'!AD$4="Exponential",EXP(IF(AND(ISNUMBER('Council Entry'!AD$8),ISNUMBER('Council Entry'!AD$9)),MAX(MIN('Council Entry'!AD58,'Council Entry'!AD$9),'Council Entry'!AD$8),'Council Entry'!AD58)),IF(AND(ISNUMBER('Council Entry'!AD$8),ISNUMBER('Council Entry'!AD$9)),MAX(MIN('Council Entry'!AD58,'Council Entry'!AD$9),'Council Entry'!AD$8),'Council Entry'!AD58))))-'Council Entry'!AD$5)/('Council Entry'!AD$6-'Council Entry'!AD$5),10*((IF('Council Entry'!AD$4="Logarithm",LN(0.001+IF(AND(ISNUMBER('Council Entry'!AD$8),ISNUMBER('Council Entry'!AD$9)),MAX(MIN('Council Entry'!AD58,'Council Entry'!AD$9),'Council Entry'!AD$8),'Council Entry'!AD58)),IF('Council Entry'!AD$4="Exponential",EXP(IF(AND(ISNUMBER('Council Entry'!AD$8),ISNUMBER('Council Entry'!AD$9)),MAX(MIN('Council Entry'!AD58,'Council Entry'!AD$9),'Council Entry'!AD$8),'Council Entry'!AD58)),IF(AND(ISNUMBER('Council Entry'!AD$8),ISNUMBER('Council Entry'!AD$9)),MAX(MIN('Council Entry'!AD58,'Council Entry'!AD$9),'Council Entry'!AD$8),'Council Entry'!AD58))))-'Council Entry'!AD$5)/('Council Entry'!AD$6-'Council Entry'!AD$5)),1))),"No data"))</f>
        <v/>
      </c>
      <c r="AE58" s="13">
        <f>IF('Council Entry'!AE58="","",IFERROR(MAX(0,MIN(10,ROUND(IF('Council Entry'!AE$7="Decrease Risk",10-10*((IF('Council Entry'!AE$4="Logarithm",LN(0.001+IF(AND(ISNUMBER('Council Entry'!AE$8),ISNUMBER('Council Entry'!AE$9)),MAX(MIN('Council Entry'!AE58,'Council Entry'!AE$9),'Council Entry'!AE$8),'Council Entry'!AE58)),IF('Council Entry'!AE$4="Exponential",EXP(IF(AND(ISNUMBER('Council Entry'!AE$8),ISNUMBER('Council Entry'!AE$9)),MAX(MIN('Council Entry'!AE58,'Council Entry'!AE$9),'Council Entry'!AE$8),'Council Entry'!AE58)),IF(AND(ISNUMBER('Council Entry'!AE$8),ISNUMBER('Council Entry'!AE$9)),MAX(MIN('Council Entry'!AE58,'Council Entry'!AE$9),'Council Entry'!AE$8),'Council Entry'!AE58))))-'Council Entry'!AE$5)/('Council Entry'!AE$6-'Council Entry'!AE$5),10*((IF('Council Entry'!AE$4="Logarithm",LN(0.001+IF(AND(ISNUMBER('Council Entry'!AE$8),ISNUMBER('Council Entry'!AE$9)),MAX(MIN('Council Entry'!AE58,'Council Entry'!AE$9),'Council Entry'!AE$8),'Council Entry'!AE58)),IF('Council Entry'!AE$4="Exponential",EXP(IF(AND(ISNUMBER('Council Entry'!AE$8),ISNUMBER('Council Entry'!AE$9)),MAX(MIN('Council Entry'!AE58,'Council Entry'!AE$9),'Council Entry'!AE$8),'Council Entry'!AE58)),IF(AND(ISNUMBER('Council Entry'!AE$8),ISNUMBER('Council Entry'!AE$9)),MAX(MIN('Council Entry'!AE58,'Council Entry'!AE$9),'Council Entry'!AE$8),'Council Entry'!AE58))))-'Council Entry'!AE$5)/('Council Entry'!AE$6-'Council Entry'!AE$5)),1))),"No data"))</f>
        <v/>
      </c>
      <c r="AF58" s="13">
        <f>IF('Council Entry'!AF58="","",IFERROR(MAX(0,MIN(10,ROUND(IF('Council Entry'!AF$7="Decrease Risk",10-10*((IF('Council Entry'!AF$4="Logarithm",LN(0.001+IF(AND(ISNUMBER('Council Entry'!AF$8),ISNUMBER('Council Entry'!AF$9)),MAX(MIN('Council Entry'!AF58,'Council Entry'!AF$9),'Council Entry'!AF$8),'Council Entry'!AF58)),IF('Council Entry'!AF$4="Exponential",EXP(IF(AND(ISNUMBER('Council Entry'!AF$8),ISNUMBER('Council Entry'!AF$9)),MAX(MIN('Council Entry'!AF58,'Council Entry'!AF$9),'Council Entry'!AF$8),'Council Entry'!AF58)),IF(AND(ISNUMBER('Council Entry'!AF$8),ISNUMBER('Council Entry'!AF$9)),MAX(MIN('Council Entry'!AF58,'Council Entry'!AF$9),'Council Entry'!AF$8),'Council Entry'!AF58))))-'Council Entry'!AF$5)/('Council Entry'!AF$6-'Council Entry'!AF$5),10*((IF('Council Entry'!AF$4="Logarithm",LN(0.001+IF(AND(ISNUMBER('Council Entry'!AF$8),ISNUMBER('Council Entry'!AF$9)),MAX(MIN('Council Entry'!AF58,'Council Entry'!AF$9),'Council Entry'!AF$8),'Council Entry'!AF58)),IF('Council Entry'!AF$4="Exponential",EXP(IF(AND(ISNUMBER('Council Entry'!AF$8),ISNUMBER('Council Entry'!AF$9)),MAX(MIN('Council Entry'!AF58,'Council Entry'!AF$9),'Council Entry'!AF$8),'Council Entry'!AF58)),IF(AND(ISNUMBER('Council Entry'!AF$8),ISNUMBER('Council Entry'!AF$9)),MAX(MIN('Council Entry'!AF58,'Council Entry'!AF$9),'Council Entry'!AF$8),'Council Entry'!AF58))))-'Council Entry'!AF$5)/('Council Entry'!AF$6-'Council Entry'!AF$5)),1))),"No data"))</f>
        <v/>
      </c>
      <c r="AG58" s="13">
        <f>IF('Council Entry'!AG58="","",IFERROR(MAX(0,MIN(10,ROUND(IF('Council Entry'!AG$7="Decrease Risk",10-10*((IF('Council Entry'!AG$4="Logarithm",LN(0.001+IF(AND(ISNUMBER('Council Entry'!AG$8),ISNUMBER('Council Entry'!AG$9)),MAX(MIN('Council Entry'!AG58,'Council Entry'!AG$9),'Council Entry'!AG$8),'Council Entry'!AG58)),IF('Council Entry'!AG$4="Exponential",EXP(IF(AND(ISNUMBER('Council Entry'!AG$8),ISNUMBER('Council Entry'!AG$9)),MAX(MIN('Council Entry'!AG58,'Council Entry'!AG$9),'Council Entry'!AG$8),'Council Entry'!AG58)),IF(AND(ISNUMBER('Council Entry'!AG$8),ISNUMBER('Council Entry'!AG$9)),MAX(MIN('Council Entry'!AG58,'Council Entry'!AG$9),'Council Entry'!AG$8),'Council Entry'!AG58))))-'Council Entry'!AG$5)/('Council Entry'!AG$6-'Council Entry'!AG$5),10*((IF('Council Entry'!AG$4="Logarithm",LN(0.001+IF(AND(ISNUMBER('Council Entry'!AG$8),ISNUMBER('Council Entry'!AG$9)),MAX(MIN('Council Entry'!AG58,'Council Entry'!AG$9),'Council Entry'!AG$8),'Council Entry'!AG58)),IF('Council Entry'!AG$4="Exponential",EXP(IF(AND(ISNUMBER('Council Entry'!AG$8),ISNUMBER('Council Entry'!AG$9)),MAX(MIN('Council Entry'!AG58,'Council Entry'!AG$9),'Council Entry'!AG$8),'Council Entry'!AG58)),IF(AND(ISNUMBER('Council Entry'!AG$8),ISNUMBER('Council Entry'!AG$9)),MAX(MIN('Council Entry'!AG58,'Council Entry'!AG$9),'Council Entry'!AG$8),'Council Entry'!AG58))))-'Council Entry'!AG$5)/('Council Entry'!AG$6-'Council Entry'!AG$5)),1))),"No data"))</f>
        <v/>
      </c>
      <c r="AH58" s="13">
        <f>IF('Council Entry'!AH58="","",IFERROR(MAX(0,MIN(10,ROUND(IF('Council Entry'!AH$7="Decrease Risk",10-10*((IF('Council Entry'!AH$4="Logarithm",LN(0.001+IF(AND(ISNUMBER('Council Entry'!AH$8),ISNUMBER('Council Entry'!AH$9)),MAX(MIN('Council Entry'!AH58,'Council Entry'!AH$9),'Council Entry'!AH$8),'Council Entry'!AH58)),IF('Council Entry'!AH$4="Exponential",EXP(IF(AND(ISNUMBER('Council Entry'!AH$8),ISNUMBER('Council Entry'!AH$9)),MAX(MIN('Council Entry'!AH58,'Council Entry'!AH$9),'Council Entry'!AH$8),'Council Entry'!AH58)),IF(AND(ISNUMBER('Council Entry'!AH$8),ISNUMBER('Council Entry'!AH$9)),MAX(MIN('Council Entry'!AH58,'Council Entry'!AH$9),'Council Entry'!AH$8),'Council Entry'!AH58))))-'Council Entry'!AH$5)/('Council Entry'!AH$6-'Council Entry'!AH$5),10*((IF('Council Entry'!AH$4="Logarithm",LN(0.001+IF(AND(ISNUMBER('Council Entry'!AH$8),ISNUMBER('Council Entry'!AH$9)),MAX(MIN('Council Entry'!AH58,'Council Entry'!AH$9),'Council Entry'!AH$8),'Council Entry'!AH58)),IF('Council Entry'!AH$4="Exponential",EXP(IF(AND(ISNUMBER('Council Entry'!AH$8),ISNUMBER('Council Entry'!AH$9)),MAX(MIN('Council Entry'!AH58,'Council Entry'!AH$9),'Council Entry'!AH$8),'Council Entry'!AH58)),IF(AND(ISNUMBER('Council Entry'!AH$8),ISNUMBER('Council Entry'!AH$9)),MAX(MIN('Council Entry'!AH58,'Council Entry'!AH$9),'Council Entry'!AH$8),'Council Entry'!AH58))))-'Council Entry'!AH$5)/('Council Entry'!AH$6-'Council Entry'!AH$5)),1))),"No data"))</f>
        <v/>
      </c>
      <c r="AI58" s="13">
        <f>IF('Council Entry'!AI58="","",IFERROR(MAX(0,MIN(10,ROUND(IF('Council Entry'!AI$7="Decrease Risk",10-10*((IF('Council Entry'!AI$4="Logarithm",LN(0.001+IF(AND(ISNUMBER('Council Entry'!AI$8),ISNUMBER('Council Entry'!AI$9)),MAX(MIN('Council Entry'!AI58,'Council Entry'!AI$9),'Council Entry'!AI$8),'Council Entry'!AI58)),IF('Council Entry'!AI$4="Exponential",EXP(IF(AND(ISNUMBER('Council Entry'!AI$8),ISNUMBER('Council Entry'!AI$9)),MAX(MIN('Council Entry'!AI58,'Council Entry'!AI$9),'Council Entry'!AI$8),'Council Entry'!AI58)),IF(AND(ISNUMBER('Council Entry'!AI$8),ISNUMBER('Council Entry'!AI$9)),MAX(MIN('Council Entry'!AI58,'Council Entry'!AI$9),'Council Entry'!AI$8),'Council Entry'!AI58))))-'Council Entry'!AI$5)/('Council Entry'!AI$6-'Council Entry'!AI$5),10*((IF('Council Entry'!AI$4="Logarithm",LN(0.001+IF(AND(ISNUMBER('Council Entry'!AI$8),ISNUMBER('Council Entry'!AI$9)),MAX(MIN('Council Entry'!AI58,'Council Entry'!AI$9),'Council Entry'!AI$8),'Council Entry'!AI58)),IF('Council Entry'!AI$4="Exponential",EXP(IF(AND(ISNUMBER('Council Entry'!AI$8),ISNUMBER('Council Entry'!AI$9)),MAX(MIN('Council Entry'!AI58,'Council Entry'!AI$9),'Council Entry'!AI$8),'Council Entry'!AI58)),IF(AND(ISNUMBER('Council Entry'!AI$8),ISNUMBER('Council Entry'!AI$9)),MAX(MIN('Council Entry'!AI58,'Council Entry'!AI$9),'Council Entry'!AI$8),'Council Entry'!AI58))))-'Council Entry'!AI$5)/('Council Entry'!AI$6-'Council Entry'!AI$5)),1))),"No data"))</f>
        <v/>
      </c>
      <c r="AJ58" s="13">
        <f>IF('Council Entry'!AJ58="","",IFERROR(MAX(0,MIN(10,ROUND(IF('Council Entry'!AJ$7="Decrease Risk",10-10*((IF('Council Entry'!AJ$4="Logarithm",LN(0.001+IF(AND(ISNUMBER('Council Entry'!AJ$8),ISNUMBER('Council Entry'!AJ$9)),MAX(MIN('Council Entry'!AJ58,'Council Entry'!AJ$9),'Council Entry'!AJ$8),'Council Entry'!AJ58)),IF('Council Entry'!AJ$4="Exponential",EXP(IF(AND(ISNUMBER('Council Entry'!AJ$8),ISNUMBER('Council Entry'!AJ$9)),MAX(MIN('Council Entry'!AJ58,'Council Entry'!AJ$9),'Council Entry'!AJ$8),'Council Entry'!AJ58)),IF(AND(ISNUMBER('Council Entry'!AJ$8),ISNUMBER('Council Entry'!AJ$9)),MAX(MIN('Council Entry'!AJ58,'Council Entry'!AJ$9),'Council Entry'!AJ$8),'Council Entry'!AJ58))))-'Council Entry'!AJ$5)/('Council Entry'!AJ$6-'Council Entry'!AJ$5),10*((IF('Council Entry'!AJ$4="Logarithm",LN(0.001+IF(AND(ISNUMBER('Council Entry'!AJ$8),ISNUMBER('Council Entry'!AJ$9)),MAX(MIN('Council Entry'!AJ58,'Council Entry'!AJ$9),'Council Entry'!AJ$8),'Council Entry'!AJ58)),IF('Council Entry'!AJ$4="Exponential",EXP(IF(AND(ISNUMBER('Council Entry'!AJ$8),ISNUMBER('Council Entry'!AJ$9)),MAX(MIN('Council Entry'!AJ58,'Council Entry'!AJ$9),'Council Entry'!AJ$8),'Council Entry'!AJ58)),IF(AND(ISNUMBER('Council Entry'!AJ$8),ISNUMBER('Council Entry'!AJ$9)),MAX(MIN('Council Entry'!AJ58,'Council Entry'!AJ$9),'Council Entry'!AJ$8),'Council Entry'!AJ58))))-'Council Entry'!AJ$5)/('Council Entry'!AJ$6-'Council Entry'!AJ$5)),1))),"No data"))</f>
        <v/>
      </c>
      <c r="AK58" s="13">
        <f>IF('Council Entry'!AK58="","",IFERROR(MAX(0,MIN(10,ROUND(IF('Council Entry'!AK$7="Decrease Risk",10-10*((IF('Council Entry'!AK$4="Logarithm",LN(0.001+IF(AND(ISNUMBER('Council Entry'!AK$8),ISNUMBER('Council Entry'!AK$9)),MAX(MIN('Council Entry'!AK58,'Council Entry'!AK$9),'Council Entry'!AK$8),'Council Entry'!AK58)),IF('Council Entry'!AK$4="Exponential",EXP(IF(AND(ISNUMBER('Council Entry'!AK$8),ISNUMBER('Council Entry'!AK$9)),MAX(MIN('Council Entry'!AK58,'Council Entry'!AK$9),'Council Entry'!AK$8),'Council Entry'!AK58)),IF(AND(ISNUMBER('Council Entry'!AK$8),ISNUMBER('Council Entry'!AK$9)),MAX(MIN('Council Entry'!AK58,'Council Entry'!AK$9),'Council Entry'!AK$8),'Council Entry'!AK58))))-'Council Entry'!AK$5)/('Council Entry'!AK$6-'Council Entry'!AK$5),10*((IF('Council Entry'!AK$4="Logarithm",LN(0.001+IF(AND(ISNUMBER('Council Entry'!AK$8),ISNUMBER('Council Entry'!AK$9)),MAX(MIN('Council Entry'!AK58,'Council Entry'!AK$9),'Council Entry'!AK$8),'Council Entry'!AK58)),IF('Council Entry'!AK$4="Exponential",EXP(IF(AND(ISNUMBER('Council Entry'!AK$8),ISNUMBER('Council Entry'!AK$9)),MAX(MIN('Council Entry'!AK58,'Council Entry'!AK$9),'Council Entry'!AK$8),'Council Entry'!AK58)),IF(AND(ISNUMBER('Council Entry'!AK$8),ISNUMBER('Council Entry'!AK$9)),MAX(MIN('Council Entry'!AK58,'Council Entry'!AK$9),'Council Entry'!AK$8),'Council Entry'!AK58))))-'Council Entry'!AK$5)/('Council Entry'!AK$6-'Council Entry'!AK$5)),1))),"No data"))</f>
        <v/>
      </c>
      <c r="AL58" s="13">
        <f>IF('Council Entry'!AL58="","",IFERROR(MAX(0,MIN(10,ROUND(IF('Council Entry'!AL$7="Decrease Risk",10-10*((IF('Council Entry'!AL$4="Logarithm",LN(0.001+IF(AND(ISNUMBER('Council Entry'!AL$8),ISNUMBER('Council Entry'!AL$9)),MAX(MIN('Council Entry'!AL58,'Council Entry'!AL$9),'Council Entry'!AL$8),'Council Entry'!AL58)),IF('Council Entry'!AL$4="Exponential",EXP(IF(AND(ISNUMBER('Council Entry'!AL$8),ISNUMBER('Council Entry'!AL$9)),MAX(MIN('Council Entry'!AL58,'Council Entry'!AL$9),'Council Entry'!AL$8),'Council Entry'!AL58)),IF(AND(ISNUMBER('Council Entry'!AL$8),ISNUMBER('Council Entry'!AL$9)),MAX(MIN('Council Entry'!AL58,'Council Entry'!AL$9),'Council Entry'!AL$8),'Council Entry'!AL58))))-'Council Entry'!AL$5)/('Council Entry'!AL$6-'Council Entry'!AL$5),10*((IF('Council Entry'!AL$4="Logarithm",LN(0.001+IF(AND(ISNUMBER('Council Entry'!AL$8),ISNUMBER('Council Entry'!AL$9)),MAX(MIN('Council Entry'!AL58,'Council Entry'!AL$9),'Council Entry'!AL$8),'Council Entry'!AL58)),IF('Council Entry'!AL$4="Exponential",EXP(IF(AND(ISNUMBER('Council Entry'!AL$8),ISNUMBER('Council Entry'!AL$9)),MAX(MIN('Council Entry'!AL58,'Council Entry'!AL$9),'Council Entry'!AL$8),'Council Entry'!AL58)),IF(AND(ISNUMBER('Council Entry'!AL$8),ISNUMBER('Council Entry'!AL$9)),MAX(MIN('Council Entry'!AL58,'Council Entry'!AL$9),'Council Entry'!AL$8),'Council Entry'!AL58))))-'Council Entry'!AL$5)/('Council Entry'!AL$6-'Council Entry'!AL$5)),1))),"No data"))</f>
        <v/>
      </c>
      <c r="AM58" s="13">
        <f>IF('Council Entry'!AM58="","",IFERROR(MAX(0,MIN(10,ROUND(IF('Council Entry'!AM$7="Decrease Risk",10-10*((IF('Council Entry'!AM$4="Logarithm",LN(0.001+IF(AND(ISNUMBER('Council Entry'!AM$8),ISNUMBER('Council Entry'!AM$9)),MAX(MIN('Council Entry'!AM58,'Council Entry'!AM$9),'Council Entry'!AM$8),'Council Entry'!AM58)),IF('Council Entry'!AM$4="Exponential",EXP(IF(AND(ISNUMBER('Council Entry'!AM$8),ISNUMBER('Council Entry'!AM$9)),MAX(MIN('Council Entry'!AM58,'Council Entry'!AM$9),'Council Entry'!AM$8),'Council Entry'!AM58)),IF(AND(ISNUMBER('Council Entry'!AM$8),ISNUMBER('Council Entry'!AM$9)),MAX(MIN('Council Entry'!AM58,'Council Entry'!AM$9),'Council Entry'!AM$8),'Council Entry'!AM58))))-'Council Entry'!AM$5)/('Council Entry'!AM$6-'Council Entry'!AM$5),10*((IF('Council Entry'!AM$4="Logarithm",LN(0.001+IF(AND(ISNUMBER('Council Entry'!AM$8),ISNUMBER('Council Entry'!AM$9)),MAX(MIN('Council Entry'!AM58,'Council Entry'!AM$9),'Council Entry'!AM$8),'Council Entry'!AM58)),IF('Council Entry'!AM$4="Exponential",EXP(IF(AND(ISNUMBER('Council Entry'!AM$8),ISNUMBER('Council Entry'!AM$9)),MAX(MIN('Council Entry'!AM58,'Council Entry'!AM$9),'Council Entry'!AM$8),'Council Entry'!AM58)),IF(AND(ISNUMBER('Council Entry'!AM$8),ISNUMBER('Council Entry'!AM$9)),MAX(MIN('Council Entry'!AM58,'Council Entry'!AM$9),'Council Entry'!AM$8),'Council Entry'!AM58))))-'Council Entry'!AM$5)/('Council Entry'!AM$6-'Council Entry'!AM$5)),1))),"No data"))</f>
        <v/>
      </c>
      <c r="AN58" s="13">
        <f>IF('Council Entry'!AN58="","",IFERROR(MAX(0,MIN(10,ROUND(IF('Council Entry'!AN$7="Decrease Risk",10-10*((IF('Council Entry'!AN$4="Logarithm",LN(0.001+IF(AND(ISNUMBER('Council Entry'!AN$8),ISNUMBER('Council Entry'!AN$9)),MAX(MIN('Council Entry'!AN58,'Council Entry'!AN$9),'Council Entry'!AN$8),'Council Entry'!AN58)),IF('Council Entry'!AN$4="Exponential",EXP(IF(AND(ISNUMBER('Council Entry'!AN$8),ISNUMBER('Council Entry'!AN$9)),MAX(MIN('Council Entry'!AN58,'Council Entry'!AN$9),'Council Entry'!AN$8),'Council Entry'!AN58)),IF(AND(ISNUMBER('Council Entry'!AN$8),ISNUMBER('Council Entry'!AN$9)),MAX(MIN('Council Entry'!AN58,'Council Entry'!AN$9),'Council Entry'!AN$8),'Council Entry'!AN58))))-'Council Entry'!AN$5)/('Council Entry'!AN$6-'Council Entry'!AN$5),10*((IF('Council Entry'!AN$4="Logarithm",LN(0.001+IF(AND(ISNUMBER('Council Entry'!AN$8),ISNUMBER('Council Entry'!AN$9)),MAX(MIN('Council Entry'!AN58,'Council Entry'!AN$9),'Council Entry'!AN$8),'Council Entry'!AN58)),IF('Council Entry'!AN$4="Exponential",EXP(IF(AND(ISNUMBER('Council Entry'!AN$8),ISNUMBER('Council Entry'!AN$9)),MAX(MIN('Council Entry'!AN58,'Council Entry'!AN$9),'Council Entry'!AN$8),'Council Entry'!AN58)),IF(AND(ISNUMBER('Council Entry'!AN$8),ISNUMBER('Council Entry'!AN$9)),MAX(MIN('Council Entry'!AN58,'Council Entry'!AN$9),'Council Entry'!AN$8),'Council Entry'!AN58))))-'Council Entry'!AN$5)/('Council Entry'!AN$6-'Council Entry'!AN$5)),1))),"No data"))</f>
        <v/>
      </c>
      <c r="AO58" s="13">
        <f>IF('Council Entry'!AO58="","",IFERROR(MAX(0,MIN(10,ROUND(IF('Council Entry'!AO$7="Decrease Risk",10-10*((IF('Council Entry'!AO$4="Logarithm",LN(0.001+IF(AND(ISNUMBER('Council Entry'!AO$8),ISNUMBER('Council Entry'!AO$9)),MAX(MIN('Council Entry'!AO58,'Council Entry'!AO$9),'Council Entry'!AO$8),'Council Entry'!AO58)),IF('Council Entry'!AO$4="Exponential",EXP(IF(AND(ISNUMBER('Council Entry'!AO$8),ISNUMBER('Council Entry'!AO$9)),MAX(MIN('Council Entry'!AO58,'Council Entry'!AO$9),'Council Entry'!AO$8),'Council Entry'!AO58)),IF(AND(ISNUMBER('Council Entry'!AO$8),ISNUMBER('Council Entry'!AO$9)),MAX(MIN('Council Entry'!AO58,'Council Entry'!AO$9),'Council Entry'!AO$8),'Council Entry'!AO58))))-'Council Entry'!AO$5)/('Council Entry'!AO$6-'Council Entry'!AO$5),10*((IF('Council Entry'!AO$4="Logarithm",LN(0.001+IF(AND(ISNUMBER('Council Entry'!AO$8),ISNUMBER('Council Entry'!AO$9)),MAX(MIN('Council Entry'!AO58,'Council Entry'!AO$9),'Council Entry'!AO$8),'Council Entry'!AO58)),IF('Council Entry'!AO$4="Exponential",EXP(IF(AND(ISNUMBER('Council Entry'!AO$8),ISNUMBER('Council Entry'!AO$9)),MAX(MIN('Council Entry'!AO58,'Council Entry'!AO$9),'Council Entry'!AO$8),'Council Entry'!AO58)),IF(AND(ISNUMBER('Council Entry'!AO$8),ISNUMBER('Council Entry'!AO$9)),MAX(MIN('Council Entry'!AO58,'Council Entry'!AO$9),'Council Entry'!AO$8),'Council Entry'!AO58))))-'Council Entry'!AO$5)/('Council Entry'!AO$6-'Council Entry'!AO$5)),1))),"No data"))</f>
        <v/>
      </c>
      <c r="AP58" s="13">
        <f>IF('Council Entry'!AP58="","",IFERROR(MAX(0,MIN(10,ROUND(IF('Council Entry'!AP$7="Decrease Risk",10-10*((IF('Council Entry'!AP$4="Logarithm",LN(0.001+IF(AND(ISNUMBER('Council Entry'!AP$8),ISNUMBER('Council Entry'!AP$9)),MAX(MIN('Council Entry'!AP58,'Council Entry'!AP$9),'Council Entry'!AP$8),'Council Entry'!AP58)),IF('Council Entry'!AP$4="Exponential",EXP(IF(AND(ISNUMBER('Council Entry'!AP$8),ISNUMBER('Council Entry'!AP$9)),MAX(MIN('Council Entry'!AP58,'Council Entry'!AP$9),'Council Entry'!AP$8),'Council Entry'!AP58)),IF(AND(ISNUMBER('Council Entry'!AP$8),ISNUMBER('Council Entry'!AP$9)),MAX(MIN('Council Entry'!AP58,'Council Entry'!AP$9),'Council Entry'!AP$8),'Council Entry'!AP58))))-'Council Entry'!AP$5)/('Council Entry'!AP$6-'Council Entry'!AP$5),10*((IF('Council Entry'!AP$4="Logarithm",LN(0.001+IF(AND(ISNUMBER('Council Entry'!AP$8),ISNUMBER('Council Entry'!AP$9)),MAX(MIN('Council Entry'!AP58,'Council Entry'!AP$9),'Council Entry'!AP$8),'Council Entry'!AP58)),IF('Council Entry'!AP$4="Exponential",EXP(IF(AND(ISNUMBER('Council Entry'!AP$8),ISNUMBER('Council Entry'!AP$9)),MAX(MIN('Council Entry'!AP58,'Council Entry'!AP$9),'Council Entry'!AP$8),'Council Entry'!AP58)),IF(AND(ISNUMBER('Council Entry'!AP$8),ISNUMBER('Council Entry'!AP$9)),MAX(MIN('Council Entry'!AP58,'Council Entry'!AP$9),'Council Entry'!AP$8),'Council Entry'!AP58))))-'Council Entry'!AP$5)/('Council Entry'!AP$6-'Council Entry'!AP$5)),1))),"No data"))</f>
        <v/>
      </c>
      <c r="AQ58" s="13">
        <f>IF('Council Entry'!AQ58="","",IFERROR(MAX(0,MIN(10,ROUND(IF('Council Entry'!AQ$7="Decrease Risk",10-10*((IF('Council Entry'!AQ$4="Logarithm",LN(0.001+IF(AND(ISNUMBER('Council Entry'!AQ$8),ISNUMBER('Council Entry'!AQ$9)),MAX(MIN('Council Entry'!AQ58,'Council Entry'!AQ$9),'Council Entry'!AQ$8),'Council Entry'!AQ58)),IF('Council Entry'!AQ$4="Exponential",EXP(IF(AND(ISNUMBER('Council Entry'!AQ$8),ISNUMBER('Council Entry'!AQ$9)),MAX(MIN('Council Entry'!AQ58,'Council Entry'!AQ$9),'Council Entry'!AQ$8),'Council Entry'!AQ58)),IF(AND(ISNUMBER('Council Entry'!AQ$8),ISNUMBER('Council Entry'!AQ$9)),MAX(MIN('Council Entry'!AQ58,'Council Entry'!AQ$9),'Council Entry'!AQ$8),'Council Entry'!AQ58))))-'Council Entry'!AQ$5)/('Council Entry'!AQ$6-'Council Entry'!AQ$5),10*((IF('Council Entry'!AQ$4="Logarithm",LN(0.001+IF(AND(ISNUMBER('Council Entry'!AQ$8),ISNUMBER('Council Entry'!AQ$9)),MAX(MIN('Council Entry'!AQ58,'Council Entry'!AQ$9),'Council Entry'!AQ$8),'Council Entry'!AQ58)),IF('Council Entry'!AQ$4="Exponential",EXP(IF(AND(ISNUMBER('Council Entry'!AQ$8),ISNUMBER('Council Entry'!AQ$9)),MAX(MIN('Council Entry'!AQ58,'Council Entry'!AQ$9),'Council Entry'!AQ$8),'Council Entry'!AQ58)),IF(AND(ISNUMBER('Council Entry'!AQ$8),ISNUMBER('Council Entry'!AQ$9)),MAX(MIN('Council Entry'!AQ58,'Council Entry'!AQ$9),'Council Entry'!AQ$8),'Council Entry'!AQ58))))-'Council Entry'!AQ$5)/('Council Entry'!AQ$6-'Council Entry'!AQ$5)),1))),"No data"))</f>
        <v/>
      </c>
      <c r="AR58" s="13">
        <f>IF('Council Entry'!AR58="","",IFERROR(MAX(0,MIN(10,ROUND(IF('Council Entry'!AR$7="Decrease Risk",10-10*((IF('Council Entry'!AR$4="Logarithm",LN(0.001+IF(AND(ISNUMBER('Council Entry'!AR$8),ISNUMBER('Council Entry'!AR$9)),MAX(MIN('Council Entry'!AR58,'Council Entry'!AR$9),'Council Entry'!AR$8),'Council Entry'!AR58)),IF('Council Entry'!AR$4="Exponential",EXP(IF(AND(ISNUMBER('Council Entry'!AR$8),ISNUMBER('Council Entry'!AR$9)),MAX(MIN('Council Entry'!AR58,'Council Entry'!AR$9),'Council Entry'!AR$8),'Council Entry'!AR58)),IF(AND(ISNUMBER('Council Entry'!AR$8),ISNUMBER('Council Entry'!AR$9)),MAX(MIN('Council Entry'!AR58,'Council Entry'!AR$9),'Council Entry'!AR$8),'Council Entry'!AR58))))-'Council Entry'!AR$5)/('Council Entry'!AR$6-'Council Entry'!AR$5),10*((IF('Council Entry'!AR$4="Logarithm",LN(0.001+IF(AND(ISNUMBER('Council Entry'!AR$8),ISNUMBER('Council Entry'!AR$9)),MAX(MIN('Council Entry'!AR58,'Council Entry'!AR$9),'Council Entry'!AR$8),'Council Entry'!AR58)),IF('Council Entry'!AR$4="Exponential",EXP(IF(AND(ISNUMBER('Council Entry'!AR$8),ISNUMBER('Council Entry'!AR$9)),MAX(MIN('Council Entry'!AR58,'Council Entry'!AR$9),'Council Entry'!AR$8),'Council Entry'!AR58)),IF(AND(ISNUMBER('Council Entry'!AR$8),ISNUMBER('Council Entry'!AR$9)),MAX(MIN('Council Entry'!AR58,'Council Entry'!AR$9),'Council Entry'!AR$8),'Council Entry'!AR58))))-'Council Entry'!AR$5)/('Council Entry'!AR$6-'Council Entry'!AR$5)),1))),"No data"))</f>
        <v/>
      </c>
      <c r="AS58" s="13">
        <f>IF('Council Entry'!AS58="","",IFERROR(MAX(0,MIN(10,ROUND(IF('Council Entry'!AS$7="Decrease Risk",10-10*((IF('Council Entry'!AS$4="Logarithm",LN(0.001+IF(AND(ISNUMBER('Council Entry'!AS$8),ISNUMBER('Council Entry'!AS$9)),MAX(MIN('Council Entry'!AS58,'Council Entry'!AS$9),'Council Entry'!AS$8),'Council Entry'!AS58)),IF('Council Entry'!AS$4="Exponential",EXP(IF(AND(ISNUMBER('Council Entry'!AS$8),ISNUMBER('Council Entry'!AS$9)),MAX(MIN('Council Entry'!AS58,'Council Entry'!AS$9),'Council Entry'!AS$8),'Council Entry'!AS58)),IF(AND(ISNUMBER('Council Entry'!AS$8),ISNUMBER('Council Entry'!AS$9)),MAX(MIN('Council Entry'!AS58,'Council Entry'!AS$9),'Council Entry'!AS$8),'Council Entry'!AS58))))-'Council Entry'!AS$5)/('Council Entry'!AS$6-'Council Entry'!AS$5),10*((IF('Council Entry'!AS$4="Logarithm",LN(0.001+IF(AND(ISNUMBER('Council Entry'!AS$8),ISNUMBER('Council Entry'!AS$9)),MAX(MIN('Council Entry'!AS58,'Council Entry'!AS$9),'Council Entry'!AS$8),'Council Entry'!AS58)),IF('Council Entry'!AS$4="Exponential",EXP(IF(AND(ISNUMBER('Council Entry'!AS$8),ISNUMBER('Council Entry'!AS$9)),MAX(MIN('Council Entry'!AS58,'Council Entry'!AS$9),'Council Entry'!AS$8),'Council Entry'!AS58)),IF(AND(ISNUMBER('Council Entry'!AS$8),ISNUMBER('Council Entry'!AS$9)),MAX(MIN('Council Entry'!AS58,'Council Entry'!AS$9),'Council Entry'!AS$8),'Council Entry'!AS58))))-'Council Entry'!AS$5)/('Council Entry'!AS$6-'Council Entry'!AS$5)),1))),"No data"))</f>
        <v/>
      </c>
      <c r="AT58" s="13">
        <f>IF('Council Entry'!AT58="","",IFERROR(MAX(0,MIN(10,ROUND(IF('Council Entry'!AT$7="Decrease Risk",10-10*((IF('Council Entry'!AT$4="Logarithm",LN(0.001+IF(AND(ISNUMBER('Council Entry'!AT$8),ISNUMBER('Council Entry'!AT$9)),MAX(MIN('Council Entry'!AT58,'Council Entry'!AT$9),'Council Entry'!AT$8),'Council Entry'!AT58)),IF('Council Entry'!AT$4="Exponential",EXP(IF(AND(ISNUMBER('Council Entry'!AT$8),ISNUMBER('Council Entry'!AT$9)),MAX(MIN('Council Entry'!AT58,'Council Entry'!AT$9),'Council Entry'!AT$8),'Council Entry'!AT58)),IF(AND(ISNUMBER('Council Entry'!AT$8),ISNUMBER('Council Entry'!AT$9)),MAX(MIN('Council Entry'!AT58,'Council Entry'!AT$9),'Council Entry'!AT$8),'Council Entry'!AT58))))-'Council Entry'!AT$5)/('Council Entry'!AT$6-'Council Entry'!AT$5),10*((IF('Council Entry'!AT$4="Logarithm",LN(0.001+IF(AND(ISNUMBER('Council Entry'!AT$8),ISNUMBER('Council Entry'!AT$9)),MAX(MIN('Council Entry'!AT58,'Council Entry'!AT$9),'Council Entry'!AT$8),'Council Entry'!AT58)),IF('Council Entry'!AT$4="Exponential",EXP(IF(AND(ISNUMBER('Council Entry'!AT$8),ISNUMBER('Council Entry'!AT$9)),MAX(MIN('Council Entry'!AT58,'Council Entry'!AT$9),'Council Entry'!AT$8),'Council Entry'!AT58)),IF(AND(ISNUMBER('Council Entry'!AT$8),ISNUMBER('Council Entry'!AT$9)),MAX(MIN('Council Entry'!AT58,'Council Entry'!AT$9),'Council Entry'!AT$8),'Council Entry'!AT58))))-'Council Entry'!AT$5)/('Council Entry'!AT$6-'Council Entry'!AT$5)),1))),"No data"))</f>
        <v/>
      </c>
      <c r="AU58" s="13">
        <f>IF('Council Entry'!AU58="","",IFERROR(MAX(0,MIN(10,ROUND(IF('Council Entry'!AU$7="Decrease Risk",10-10*((IF('Council Entry'!AU$4="Logarithm",LN(0.001+IF(AND(ISNUMBER('Council Entry'!AU$8),ISNUMBER('Council Entry'!AU$9)),MAX(MIN('Council Entry'!AU58,'Council Entry'!AU$9),'Council Entry'!AU$8),'Council Entry'!AU58)),IF('Council Entry'!AU$4="Exponential",EXP(IF(AND(ISNUMBER('Council Entry'!AU$8),ISNUMBER('Council Entry'!AU$9)),MAX(MIN('Council Entry'!AU58,'Council Entry'!AU$9),'Council Entry'!AU$8),'Council Entry'!AU58)),IF(AND(ISNUMBER('Council Entry'!AU$8),ISNUMBER('Council Entry'!AU$9)),MAX(MIN('Council Entry'!AU58,'Council Entry'!AU$9),'Council Entry'!AU$8),'Council Entry'!AU58))))-'Council Entry'!AU$5)/('Council Entry'!AU$6-'Council Entry'!AU$5),10*((IF('Council Entry'!AU$4="Logarithm",LN(0.001+IF(AND(ISNUMBER('Council Entry'!AU$8),ISNUMBER('Council Entry'!AU$9)),MAX(MIN('Council Entry'!AU58,'Council Entry'!AU$9),'Council Entry'!AU$8),'Council Entry'!AU58)),IF('Council Entry'!AU$4="Exponential",EXP(IF(AND(ISNUMBER('Council Entry'!AU$8),ISNUMBER('Council Entry'!AU$9)),MAX(MIN('Council Entry'!AU58,'Council Entry'!AU$9),'Council Entry'!AU$8),'Council Entry'!AU58)),IF(AND(ISNUMBER('Council Entry'!AU$8),ISNUMBER('Council Entry'!AU$9)),MAX(MIN('Council Entry'!AU58,'Council Entry'!AU$9),'Council Entry'!AU$8),'Council Entry'!AU58))))-'Council Entry'!AU$5)/('Council Entry'!AU$6-'Council Entry'!AU$5)),1))),"No data"))</f>
        <v/>
      </c>
      <c r="AV58" s="13">
        <f>IF('Council Entry'!AV58="","",IFERROR(MAX(0,MIN(10,ROUND(IF('Council Entry'!AV$7="Decrease Risk",10-10*((IF('Council Entry'!AV$4="Logarithm",LN(0.001+IF(AND(ISNUMBER('Council Entry'!AV$8),ISNUMBER('Council Entry'!AV$9)),MAX(MIN('Council Entry'!AV58,'Council Entry'!AV$9),'Council Entry'!AV$8),'Council Entry'!AV58)),IF('Council Entry'!AV$4="Exponential",EXP(IF(AND(ISNUMBER('Council Entry'!AV$8),ISNUMBER('Council Entry'!AV$9)),MAX(MIN('Council Entry'!AV58,'Council Entry'!AV$9),'Council Entry'!AV$8),'Council Entry'!AV58)),IF(AND(ISNUMBER('Council Entry'!AV$8),ISNUMBER('Council Entry'!AV$9)),MAX(MIN('Council Entry'!AV58,'Council Entry'!AV$9),'Council Entry'!AV$8),'Council Entry'!AV58))))-'Council Entry'!AV$5)/('Council Entry'!AV$6-'Council Entry'!AV$5),10*((IF('Council Entry'!AV$4="Logarithm",LN(0.001+IF(AND(ISNUMBER('Council Entry'!AV$8),ISNUMBER('Council Entry'!AV$9)),MAX(MIN('Council Entry'!AV58,'Council Entry'!AV$9),'Council Entry'!AV$8),'Council Entry'!AV58)),IF('Council Entry'!AV$4="Exponential",EXP(IF(AND(ISNUMBER('Council Entry'!AV$8),ISNUMBER('Council Entry'!AV$9)),MAX(MIN('Council Entry'!AV58,'Council Entry'!AV$9),'Council Entry'!AV$8),'Council Entry'!AV58)),IF(AND(ISNUMBER('Council Entry'!AV$8),ISNUMBER('Council Entry'!AV$9)),MAX(MIN('Council Entry'!AV58,'Council Entry'!AV$9),'Council Entry'!AV$8),'Council Entry'!AV58))))-'Council Entry'!AV$5)/('Council Entry'!AV$6-'Council Entry'!AV$5)),1))),"No data"))</f>
        <v/>
      </c>
      <c r="AW58" s="13">
        <f>IF('Council Entry'!AW58="","",IFERROR(MAX(0,MIN(10,ROUND(IF('Council Entry'!AW$7="Decrease Risk",10-10*((IF('Council Entry'!AW$4="Logarithm",LN(0.001+IF(AND(ISNUMBER('Council Entry'!AW$8),ISNUMBER('Council Entry'!AW$9)),MAX(MIN('Council Entry'!AW58,'Council Entry'!AW$9),'Council Entry'!AW$8),'Council Entry'!AW58)),IF('Council Entry'!AW$4="Exponential",EXP(IF(AND(ISNUMBER('Council Entry'!AW$8),ISNUMBER('Council Entry'!AW$9)),MAX(MIN('Council Entry'!AW58,'Council Entry'!AW$9),'Council Entry'!AW$8),'Council Entry'!AW58)),IF(AND(ISNUMBER('Council Entry'!AW$8),ISNUMBER('Council Entry'!AW$9)),MAX(MIN('Council Entry'!AW58,'Council Entry'!AW$9),'Council Entry'!AW$8),'Council Entry'!AW58))))-'Council Entry'!AW$5)/('Council Entry'!AW$6-'Council Entry'!AW$5),10*((IF('Council Entry'!AW$4="Logarithm",LN(0.001+IF(AND(ISNUMBER('Council Entry'!AW$8),ISNUMBER('Council Entry'!AW$9)),MAX(MIN('Council Entry'!AW58,'Council Entry'!AW$9),'Council Entry'!AW$8),'Council Entry'!AW58)),IF('Council Entry'!AW$4="Exponential",EXP(IF(AND(ISNUMBER('Council Entry'!AW$8),ISNUMBER('Council Entry'!AW$9)),MAX(MIN('Council Entry'!AW58,'Council Entry'!AW$9),'Council Entry'!AW$8),'Council Entry'!AW58)),IF(AND(ISNUMBER('Council Entry'!AW$8),ISNUMBER('Council Entry'!AW$9)),MAX(MIN('Council Entry'!AW58,'Council Entry'!AW$9),'Council Entry'!AW$8),'Council Entry'!AW58))))-'Council Entry'!AW$5)/('Council Entry'!AW$6-'Council Entry'!AW$5)),1))),"No data"))</f>
        <v/>
      </c>
      <c r="AX58" s="13">
        <f>IF('Council Entry'!AX58="","",IFERROR(MAX(0,MIN(10,ROUND(IF('Council Entry'!AX$7="Decrease Risk",10-10*((IF('Council Entry'!AX$4="Logarithm",LN(0.001+IF(AND(ISNUMBER('Council Entry'!AX$8),ISNUMBER('Council Entry'!AX$9)),MAX(MIN('Council Entry'!AX58,'Council Entry'!AX$9),'Council Entry'!AX$8),'Council Entry'!AX58)),IF('Council Entry'!AX$4="Exponential",EXP(IF(AND(ISNUMBER('Council Entry'!AX$8),ISNUMBER('Council Entry'!AX$9)),MAX(MIN('Council Entry'!AX58,'Council Entry'!AX$9),'Council Entry'!AX$8),'Council Entry'!AX58)),IF(AND(ISNUMBER('Council Entry'!AX$8),ISNUMBER('Council Entry'!AX$9)),MAX(MIN('Council Entry'!AX58,'Council Entry'!AX$9),'Council Entry'!AX$8),'Council Entry'!AX58))))-'Council Entry'!AX$5)/('Council Entry'!AX$6-'Council Entry'!AX$5),10*((IF('Council Entry'!AX$4="Logarithm",LN(0.001+IF(AND(ISNUMBER('Council Entry'!AX$8),ISNUMBER('Council Entry'!AX$9)),MAX(MIN('Council Entry'!AX58,'Council Entry'!AX$9),'Council Entry'!AX$8),'Council Entry'!AX58)),IF('Council Entry'!AX$4="Exponential",EXP(IF(AND(ISNUMBER('Council Entry'!AX$8),ISNUMBER('Council Entry'!AX$9)),MAX(MIN('Council Entry'!AX58,'Council Entry'!AX$9),'Council Entry'!AX$8),'Council Entry'!AX58)),IF(AND(ISNUMBER('Council Entry'!AX$8),ISNUMBER('Council Entry'!AX$9)),MAX(MIN('Council Entry'!AX58,'Council Entry'!AX$9),'Council Entry'!AX$8),'Council Entry'!AX58))))-'Council Entry'!AX$5)/('Council Entry'!AX$6-'Council Entry'!AX$5)),1))),"No data"))</f>
        <v/>
      </c>
      <c r="AY58" s="13">
        <f>IF('Council Entry'!AY58="","",IFERROR(MAX(0,MIN(10,ROUND(IF('Council Entry'!AY$7="Decrease Risk",10-10*((IF('Council Entry'!AY$4="Logarithm",LN(0.001+IF(AND(ISNUMBER('Council Entry'!AY$8),ISNUMBER('Council Entry'!AY$9)),MAX(MIN('Council Entry'!AY58,'Council Entry'!AY$9),'Council Entry'!AY$8),'Council Entry'!AY58)),IF('Council Entry'!AY$4="Exponential",EXP(IF(AND(ISNUMBER('Council Entry'!AY$8),ISNUMBER('Council Entry'!AY$9)),MAX(MIN('Council Entry'!AY58,'Council Entry'!AY$9),'Council Entry'!AY$8),'Council Entry'!AY58)),IF(AND(ISNUMBER('Council Entry'!AY$8),ISNUMBER('Council Entry'!AY$9)),MAX(MIN('Council Entry'!AY58,'Council Entry'!AY$9),'Council Entry'!AY$8),'Council Entry'!AY58))))-'Council Entry'!AY$5)/('Council Entry'!AY$6-'Council Entry'!AY$5),10*((IF('Council Entry'!AY$4="Logarithm",LN(0.001+IF(AND(ISNUMBER('Council Entry'!AY$8),ISNUMBER('Council Entry'!AY$9)),MAX(MIN('Council Entry'!AY58,'Council Entry'!AY$9),'Council Entry'!AY$8),'Council Entry'!AY58)),IF('Council Entry'!AY$4="Exponential",EXP(IF(AND(ISNUMBER('Council Entry'!AY$8),ISNUMBER('Council Entry'!AY$9)),MAX(MIN('Council Entry'!AY58,'Council Entry'!AY$9),'Council Entry'!AY$8),'Council Entry'!AY58)),IF(AND(ISNUMBER('Council Entry'!AY$8),ISNUMBER('Council Entry'!AY$9)),MAX(MIN('Council Entry'!AY58,'Council Entry'!AY$9),'Council Entry'!AY$8),'Council Entry'!AY58))))-'Council Entry'!AY$5)/('Council Entry'!AY$6-'Council Entry'!AY$5)),1))),"No data"))</f>
        <v/>
      </c>
      <c r="AZ58" s="13">
        <f>IF('Council Entry'!AZ58="","",IFERROR(MAX(0,MIN(10,ROUND(IF('Council Entry'!AZ$7="Decrease Risk",10-10*((IF('Council Entry'!AZ$4="Logarithm",LN(0.001+IF(AND(ISNUMBER('Council Entry'!AZ$8),ISNUMBER('Council Entry'!AZ$9)),MAX(MIN('Council Entry'!AZ58,'Council Entry'!AZ$9),'Council Entry'!AZ$8),'Council Entry'!AZ58)),IF('Council Entry'!AZ$4="Exponential",EXP(IF(AND(ISNUMBER('Council Entry'!AZ$8),ISNUMBER('Council Entry'!AZ$9)),MAX(MIN('Council Entry'!AZ58,'Council Entry'!AZ$9),'Council Entry'!AZ$8),'Council Entry'!AZ58)),IF(AND(ISNUMBER('Council Entry'!AZ$8),ISNUMBER('Council Entry'!AZ$9)),MAX(MIN('Council Entry'!AZ58,'Council Entry'!AZ$9),'Council Entry'!AZ$8),'Council Entry'!AZ58))))-'Council Entry'!AZ$5)/('Council Entry'!AZ$6-'Council Entry'!AZ$5),10*((IF('Council Entry'!AZ$4="Logarithm",LN(0.001+IF(AND(ISNUMBER('Council Entry'!AZ$8),ISNUMBER('Council Entry'!AZ$9)),MAX(MIN('Council Entry'!AZ58,'Council Entry'!AZ$9),'Council Entry'!AZ$8),'Council Entry'!AZ58)),IF('Council Entry'!AZ$4="Exponential",EXP(IF(AND(ISNUMBER('Council Entry'!AZ$8),ISNUMBER('Council Entry'!AZ$9)),MAX(MIN('Council Entry'!AZ58,'Council Entry'!AZ$9),'Council Entry'!AZ$8),'Council Entry'!AZ58)),IF(AND(ISNUMBER('Council Entry'!AZ$8),ISNUMBER('Council Entry'!AZ$9)),MAX(MIN('Council Entry'!AZ58,'Council Entry'!AZ$9),'Council Entry'!AZ$8),'Council Entry'!AZ58))))-'Council Entry'!AZ$5)/('Council Entry'!AZ$6-'Council Entry'!AZ$5)),1))),"No data"))</f>
        <v/>
      </c>
      <c r="BA58" s="13">
        <f>IF('Council Entry'!BA58="","",IFERROR(MAX(0,MIN(10,ROUND(IF('Council Entry'!BA$7="Decrease Risk",10-10*((IF('Council Entry'!BA$4="Logarithm",LN(0.001+IF(AND(ISNUMBER('Council Entry'!BA$8),ISNUMBER('Council Entry'!BA$9)),MAX(MIN('Council Entry'!BA58,'Council Entry'!BA$9),'Council Entry'!BA$8),'Council Entry'!BA58)),IF('Council Entry'!BA$4="Exponential",EXP(IF(AND(ISNUMBER('Council Entry'!BA$8),ISNUMBER('Council Entry'!BA$9)),MAX(MIN('Council Entry'!BA58,'Council Entry'!BA$9),'Council Entry'!BA$8),'Council Entry'!BA58)),IF(AND(ISNUMBER('Council Entry'!BA$8),ISNUMBER('Council Entry'!BA$9)),MAX(MIN('Council Entry'!BA58,'Council Entry'!BA$9),'Council Entry'!BA$8),'Council Entry'!BA58))))-'Council Entry'!BA$5)/('Council Entry'!BA$6-'Council Entry'!BA$5),10*((IF('Council Entry'!BA$4="Logarithm",LN(0.001+IF(AND(ISNUMBER('Council Entry'!BA$8),ISNUMBER('Council Entry'!BA$9)),MAX(MIN('Council Entry'!BA58,'Council Entry'!BA$9),'Council Entry'!BA$8),'Council Entry'!BA58)),IF('Council Entry'!BA$4="Exponential",EXP(IF(AND(ISNUMBER('Council Entry'!BA$8),ISNUMBER('Council Entry'!BA$9)),MAX(MIN('Council Entry'!BA58,'Council Entry'!BA$9),'Council Entry'!BA$8),'Council Entry'!BA58)),IF(AND(ISNUMBER('Council Entry'!BA$8),ISNUMBER('Council Entry'!BA$9)),MAX(MIN('Council Entry'!BA58,'Council Entry'!BA$9),'Council Entry'!BA$8),'Council Entry'!BA58))))-'Council Entry'!BA$5)/('Council Entry'!BA$6-'Council Entry'!BA$5)),1))),"No data"))</f>
        <v/>
      </c>
      <c r="BB58" s="13">
        <f>IF('Council Entry'!BB58="","",IFERROR(MAX(0,MIN(10,ROUND(IF('Council Entry'!BB$7="Decrease Risk",10-10*((IF('Council Entry'!BB$4="Logarithm",LN(0.001+IF(AND(ISNUMBER('Council Entry'!BB$8),ISNUMBER('Council Entry'!BB$9)),MAX(MIN('Council Entry'!BB58,'Council Entry'!BB$9),'Council Entry'!BB$8),'Council Entry'!BB58)),IF('Council Entry'!BB$4="Exponential",EXP(IF(AND(ISNUMBER('Council Entry'!BB$8),ISNUMBER('Council Entry'!BB$9)),MAX(MIN('Council Entry'!BB58,'Council Entry'!BB$9),'Council Entry'!BB$8),'Council Entry'!BB58)),IF(AND(ISNUMBER('Council Entry'!BB$8),ISNUMBER('Council Entry'!BB$9)),MAX(MIN('Council Entry'!BB58,'Council Entry'!BB$9),'Council Entry'!BB$8),'Council Entry'!BB58))))-'Council Entry'!BB$5)/('Council Entry'!BB$6-'Council Entry'!BB$5),10*((IF('Council Entry'!BB$4="Logarithm",LN(0.001+IF(AND(ISNUMBER('Council Entry'!BB$8),ISNUMBER('Council Entry'!BB$9)),MAX(MIN('Council Entry'!BB58,'Council Entry'!BB$9),'Council Entry'!BB$8),'Council Entry'!BB58)),IF('Council Entry'!BB$4="Exponential",EXP(IF(AND(ISNUMBER('Council Entry'!BB$8),ISNUMBER('Council Entry'!BB$9)),MAX(MIN('Council Entry'!BB58,'Council Entry'!BB$9),'Council Entry'!BB$8),'Council Entry'!BB58)),IF(AND(ISNUMBER('Council Entry'!BB$8),ISNUMBER('Council Entry'!BB$9)),MAX(MIN('Council Entry'!BB58,'Council Entry'!BB$9),'Council Entry'!BB$8),'Council Entry'!BB58))))-'Council Entry'!BB$5)/('Council Entry'!BB$6-'Council Entry'!BB$5)),1))),"No data"))</f>
        <v/>
      </c>
      <c r="BC58" s="13">
        <f>IF('Council Entry'!BC58="","",IFERROR(MAX(0,MIN(10,ROUND(IF('Council Entry'!BC$7="Decrease Risk",10-10*((IF('Council Entry'!BC$4="Logarithm",LN(0.001+IF(AND(ISNUMBER('Council Entry'!BC$8),ISNUMBER('Council Entry'!BC$9)),MAX(MIN('Council Entry'!BC58,'Council Entry'!BC$9),'Council Entry'!BC$8),'Council Entry'!BC58)),IF('Council Entry'!BC$4="Exponential",EXP(IF(AND(ISNUMBER('Council Entry'!BC$8),ISNUMBER('Council Entry'!BC$9)),MAX(MIN('Council Entry'!BC58,'Council Entry'!BC$9),'Council Entry'!BC$8),'Council Entry'!BC58)),IF(AND(ISNUMBER('Council Entry'!BC$8),ISNUMBER('Council Entry'!BC$9)),MAX(MIN('Council Entry'!BC58,'Council Entry'!BC$9),'Council Entry'!BC$8),'Council Entry'!BC58))))-'Council Entry'!BC$5)/('Council Entry'!BC$6-'Council Entry'!BC$5),10*((IF('Council Entry'!BC$4="Logarithm",LN(0.001+IF(AND(ISNUMBER('Council Entry'!BC$8),ISNUMBER('Council Entry'!BC$9)),MAX(MIN('Council Entry'!BC58,'Council Entry'!BC$9),'Council Entry'!BC$8),'Council Entry'!BC58)),IF('Council Entry'!BC$4="Exponential",EXP(IF(AND(ISNUMBER('Council Entry'!BC$8),ISNUMBER('Council Entry'!BC$9)),MAX(MIN('Council Entry'!BC58,'Council Entry'!BC$9),'Council Entry'!BC$8),'Council Entry'!BC58)),IF(AND(ISNUMBER('Council Entry'!BC$8),ISNUMBER('Council Entry'!BC$9)),MAX(MIN('Council Entry'!BC58,'Council Entry'!BC$9),'Council Entry'!BC$8),'Council Entry'!BC58))))-'Council Entry'!BC$5)/('Council Entry'!BC$6-'Council Entry'!BC$5)),1))),"No data"))</f>
        <v/>
      </c>
      <c r="BD58" s="13">
        <f>IF('Council Entry'!BD58="","",IFERROR(MAX(0,MIN(10,ROUND(IF('Council Entry'!BD$7="Decrease Risk",10-10*((IF('Council Entry'!BD$4="Logarithm",LN(0.001+IF(AND(ISNUMBER('Council Entry'!BD$8),ISNUMBER('Council Entry'!BD$9)),MAX(MIN('Council Entry'!BD58,'Council Entry'!BD$9),'Council Entry'!BD$8),'Council Entry'!BD58)),IF('Council Entry'!BD$4="Exponential",EXP(IF(AND(ISNUMBER('Council Entry'!BD$8),ISNUMBER('Council Entry'!BD$9)),MAX(MIN('Council Entry'!BD58,'Council Entry'!BD$9),'Council Entry'!BD$8),'Council Entry'!BD58)),IF(AND(ISNUMBER('Council Entry'!BD$8),ISNUMBER('Council Entry'!BD$9)),MAX(MIN('Council Entry'!BD58,'Council Entry'!BD$9),'Council Entry'!BD$8),'Council Entry'!BD58))))-'Council Entry'!BD$5)/('Council Entry'!BD$6-'Council Entry'!BD$5),10*((IF('Council Entry'!BD$4="Logarithm",LN(0.001+IF(AND(ISNUMBER('Council Entry'!BD$8),ISNUMBER('Council Entry'!BD$9)),MAX(MIN('Council Entry'!BD58,'Council Entry'!BD$9),'Council Entry'!BD$8),'Council Entry'!BD58)),IF('Council Entry'!BD$4="Exponential",EXP(IF(AND(ISNUMBER('Council Entry'!BD$8),ISNUMBER('Council Entry'!BD$9)),MAX(MIN('Council Entry'!BD58,'Council Entry'!BD$9),'Council Entry'!BD$8),'Council Entry'!BD58)),IF(AND(ISNUMBER('Council Entry'!BD$8),ISNUMBER('Council Entry'!BD$9)),MAX(MIN('Council Entry'!BD58,'Council Entry'!BD$9),'Council Entry'!BD$8),'Council Entry'!BD58))))-'Council Entry'!BD$5)/('Council Entry'!BD$6-'Council Entry'!BD$5)),1))),"No data"))</f>
        <v/>
      </c>
    </row>
    <row r="59">
      <c r="A59" t="inlineStr">
        <is>
          <t>Kigoma</t>
        </is>
      </c>
      <c r="B59" t="inlineStr">
        <is>
          <t>Buhigwe District</t>
        </is>
      </c>
      <c r="C59" t="inlineStr">
        <is>
          <t>C117</t>
        </is>
      </c>
      <c r="D59" s="13">
        <f>IF('Council Entry'!D59="","",IFERROR(MAX(0,MIN(10,ROUND(IF('Council Entry'!D$7="Decrease Risk",10-10*((IF('Council Entry'!D$4="Logarithm",LN(0.001+IF(AND(ISNUMBER('Council Entry'!D$8),ISNUMBER('Council Entry'!D$9)),MAX(MIN('Council Entry'!D59,'Council Entry'!D$9),'Council Entry'!D$8),'Council Entry'!D59)),IF('Council Entry'!D$4="Exponential",EXP(IF(AND(ISNUMBER('Council Entry'!D$8),ISNUMBER('Council Entry'!D$9)),MAX(MIN('Council Entry'!D59,'Council Entry'!D$9),'Council Entry'!D$8),'Council Entry'!D59)),IF(AND(ISNUMBER('Council Entry'!D$8),ISNUMBER('Council Entry'!D$9)),MAX(MIN('Council Entry'!D59,'Council Entry'!D$9),'Council Entry'!D$8),'Council Entry'!D59))))-'Council Entry'!D$5)/('Council Entry'!D$6-'Council Entry'!D$5),10*((IF('Council Entry'!D$4="Logarithm",LN(0.001+IF(AND(ISNUMBER('Council Entry'!D$8),ISNUMBER('Council Entry'!D$9)),MAX(MIN('Council Entry'!D59,'Council Entry'!D$9),'Council Entry'!D$8),'Council Entry'!D59)),IF('Council Entry'!D$4="Exponential",EXP(IF(AND(ISNUMBER('Council Entry'!D$8),ISNUMBER('Council Entry'!D$9)),MAX(MIN('Council Entry'!D59,'Council Entry'!D$9),'Council Entry'!D$8),'Council Entry'!D59)),IF(AND(ISNUMBER('Council Entry'!D$8),ISNUMBER('Council Entry'!D$9)),MAX(MIN('Council Entry'!D59,'Council Entry'!D$9),'Council Entry'!D$8),'Council Entry'!D59))))-'Council Entry'!D$5)/('Council Entry'!D$6-'Council Entry'!D$5)),1))),"No data"))</f>
        <v/>
      </c>
      <c r="E59" s="13">
        <f>IF('Council Entry'!E59="","",IFERROR(MAX(0,MIN(10,ROUND(IF('Council Entry'!E$7="Decrease Risk",10-10*((IF('Council Entry'!E$4="Logarithm",LN(0.001+IF(AND(ISNUMBER('Council Entry'!E$8),ISNUMBER('Council Entry'!E$9)),MAX(MIN('Council Entry'!E59,'Council Entry'!E$9),'Council Entry'!E$8),'Council Entry'!E59)),IF('Council Entry'!E$4="Exponential",EXP(IF(AND(ISNUMBER('Council Entry'!E$8),ISNUMBER('Council Entry'!E$9)),MAX(MIN('Council Entry'!E59,'Council Entry'!E$9),'Council Entry'!E$8),'Council Entry'!E59)),IF(AND(ISNUMBER('Council Entry'!E$8),ISNUMBER('Council Entry'!E$9)),MAX(MIN('Council Entry'!E59,'Council Entry'!E$9),'Council Entry'!E$8),'Council Entry'!E59))))-'Council Entry'!E$5)/('Council Entry'!E$6-'Council Entry'!E$5),10*((IF('Council Entry'!E$4="Logarithm",LN(0.001+IF(AND(ISNUMBER('Council Entry'!E$8),ISNUMBER('Council Entry'!E$9)),MAX(MIN('Council Entry'!E59,'Council Entry'!E$9),'Council Entry'!E$8),'Council Entry'!E59)),IF('Council Entry'!E$4="Exponential",EXP(IF(AND(ISNUMBER('Council Entry'!E$8),ISNUMBER('Council Entry'!E$9)),MAX(MIN('Council Entry'!E59,'Council Entry'!E$9),'Council Entry'!E$8),'Council Entry'!E59)),IF(AND(ISNUMBER('Council Entry'!E$8),ISNUMBER('Council Entry'!E$9)),MAX(MIN('Council Entry'!E59,'Council Entry'!E$9),'Council Entry'!E$8),'Council Entry'!E59))))-'Council Entry'!E$5)/('Council Entry'!E$6-'Council Entry'!E$5)),1))),"No data"))</f>
        <v/>
      </c>
      <c r="F59" s="13">
        <f>IF('Council Entry'!F59="","",IFERROR(MAX(0,MIN(10,ROUND(IF('Council Entry'!F$7="Decrease Risk",10-10*((IF('Council Entry'!F$4="Logarithm",LN(0.001+IF(AND(ISNUMBER('Council Entry'!F$8),ISNUMBER('Council Entry'!F$9)),MAX(MIN('Council Entry'!F59,'Council Entry'!F$9),'Council Entry'!F$8),'Council Entry'!F59)),IF('Council Entry'!F$4="Exponential",EXP(IF(AND(ISNUMBER('Council Entry'!F$8),ISNUMBER('Council Entry'!F$9)),MAX(MIN('Council Entry'!F59,'Council Entry'!F$9),'Council Entry'!F$8),'Council Entry'!F59)),IF(AND(ISNUMBER('Council Entry'!F$8),ISNUMBER('Council Entry'!F$9)),MAX(MIN('Council Entry'!F59,'Council Entry'!F$9),'Council Entry'!F$8),'Council Entry'!F59))))-'Council Entry'!F$5)/('Council Entry'!F$6-'Council Entry'!F$5),10*((IF('Council Entry'!F$4="Logarithm",LN(0.001+IF(AND(ISNUMBER('Council Entry'!F$8),ISNUMBER('Council Entry'!F$9)),MAX(MIN('Council Entry'!F59,'Council Entry'!F$9),'Council Entry'!F$8),'Council Entry'!F59)),IF('Council Entry'!F$4="Exponential",EXP(IF(AND(ISNUMBER('Council Entry'!F$8),ISNUMBER('Council Entry'!F$9)),MAX(MIN('Council Entry'!F59,'Council Entry'!F$9),'Council Entry'!F$8),'Council Entry'!F59)),IF(AND(ISNUMBER('Council Entry'!F$8),ISNUMBER('Council Entry'!F$9)),MAX(MIN('Council Entry'!F59,'Council Entry'!F$9),'Council Entry'!F$8),'Council Entry'!F59))))-'Council Entry'!F$5)/('Council Entry'!F$6-'Council Entry'!F$5)),1))),"No data"))</f>
        <v/>
      </c>
      <c r="G59" s="13">
        <f>IF('Council Entry'!G59="","",IFERROR(MAX(0,MIN(10,ROUND(IF('Council Entry'!G$7="Decrease Risk",10-10*((IF('Council Entry'!G$4="Logarithm",LN(0.001+IF(AND(ISNUMBER('Council Entry'!G$8),ISNUMBER('Council Entry'!G$9)),MAX(MIN('Council Entry'!G59,'Council Entry'!G$9),'Council Entry'!G$8),'Council Entry'!G59)),IF('Council Entry'!G$4="Exponential",EXP(IF(AND(ISNUMBER('Council Entry'!G$8),ISNUMBER('Council Entry'!G$9)),MAX(MIN('Council Entry'!G59,'Council Entry'!G$9),'Council Entry'!G$8),'Council Entry'!G59)),IF(AND(ISNUMBER('Council Entry'!G$8),ISNUMBER('Council Entry'!G$9)),MAX(MIN('Council Entry'!G59,'Council Entry'!G$9),'Council Entry'!G$8),'Council Entry'!G59))))-'Council Entry'!G$5)/('Council Entry'!G$6-'Council Entry'!G$5),10*((IF('Council Entry'!G$4="Logarithm",LN(0.001+IF(AND(ISNUMBER('Council Entry'!G$8),ISNUMBER('Council Entry'!G$9)),MAX(MIN('Council Entry'!G59,'Council Entry'!G$9),'Council Entry'!G$8),'Council Entry'!G59)),IF('Council Entry'!G$4="Exponential",EXP(IF(AND(ISNUMBER('Council Entry'!G$8),ISNUMBER('Council Entry'!G$9)),MAX(MIN('Council Entry'!G59,'Council Entry'!G$9),'Council Entry'!G$8),'Council Entry'!G59)),IF(AND(ISNUMBER('Council Entry'!G$8),ISNUMBER('Council Entry'!G$9)),MAX(MIN('Council Entry'!G59,'Council Entry'!G$9),'Council Entry'!G$8),'Council Entry'!G59))))-'Council Entry'!G$5)/('Council Entry'!G$6-'Council Entry'!G$5)),1))),"No data"))</f>
        <v/>
      </c>
      <c r="H59" s="13">
        <f>IF('Council Entry'!H59="","",IFERROR(MAX(0,MIN(10,ROUND(IF('Council Entry'!H$7="Decrease Risk",10-10*((IF('Council Entry'!H$4="Logarithm",LN(0.001+IF(AND(ISNUMBER('Council Entry'!H$8),ISNUMBER('Council Entry'!H$9)),MAX(MIN('Council Entry'!H59,'Council Entry'!H$9),'Council Entry'!H$8),'Council Entry'!H59)),IF('Council Entry'!H$4="Exponential",EXP(IF(AND(ISNUMBER('Council Entry'!H$8),ISNUMBER('Council Entry'!H$9)),MAX(MIN('Council Entry'!H59,'Council Entry'!H$9),'Council Entry'!H$8),'Council Entry'!H59)),IF(AND(ISNUMBER('Council Entry'!H$8),ISNUMBER('Council Entry'!H$9)),MAX(MIN('Council Entry'!H59,'Council Entry'!H$9),'Council Entry'!H$8),'Council Entry'!H59))))-'Council Entry'!H$5)/('Council Entry'!H$6-'Council Entry'!H$5),10*((IF('Council Entry'!H$4="Logarithm",LN(0.001+IF(AND(ISNUMBER('Council Entry'!H$8),ISNUMBER('Council Entry'!H$9)),MAX(MIN('Council Entry'!H59,'Council Entry'!H$9),'Council Entry'!H$8),'Council Entry'!H59)),IF('Council Entry'!H$4="Exponential",EXP(IF(AND(ISNUMBER('Council Entry'!H$8),ISNUMBER('Council Entry'!H$9)),MAX(MIN('Council Entry'!H59,'Council Entry'!H$9),'Council Entry'!H$8),'Council Entry'!H59)),IF(AND(ISNUMBER('Council Entry'!H$8),ISNUMBER('Council Entry'!H$9)),MAX(MIN('Council Entry'!H59,'Council Entry'!H$9),'Council Entry'!H$8),'Council Entry'!H59))))-'Council Entry'!H$5)/('Council Entry'!H$6-'Council Entry'!H$5)),1))),"No data"))</f>
        <v/>
      </c>
      <c r="I59" s="13">
        <f>IF('Council Entry'!I59="","",IFERROR(MAX(0,MIN(10,ROUND(IF('Council Entry'!I$7="Decrease Risk",10-10*((IF('Council Entry'!I$4="Logarithm",LN(0.001+IF(AND(ISNUMBER('Council Entry'!I$8),ISNUMBER('Council Entry'!I$9)),MAX(MIN('Council Entry'!I59,'Council Entry'!I$9),'Council Entry'!I$8),'Council Entry'!I59)),IF('Council Entry'!I$4="Exponential",EXP(IF(AND(ISNUMBER('Council Entry'!I$8),ISNUMBER('Council Entry'!I$9)),MAX(MIN('Council Entry'!I59,'Council Entry'!I$9),'Council Entry'!I$8),'Council Entry'!I59)),IF(AND(ISNUMBER('Council Entry'!I$8),ISNUMBER('Council Entry'!I$9)),MAX(MIN('Council Entry'!I59,'Council Entry'!I$9),'Council Entry'!I$8),'Council Entry'!I59))))-'Council Entry'!I$5)/('Council Entry'!I$6-'Council Entry'!I$5),10*((IF('Council Entry'!I$4="Logarithm",LN(0.001+IF(AND(ISNUMBER('Council Entry'!I$8),ISNUMBER('Council Entry'!I$9)),MAX(MIN('Council Entry'!I59,'Council Entry'!I$9),'Council Entry'!I$8),'Council Entry'!I59)),IF('Council Entry'!I$4="Exponential",EXP(IF(AND(ISNUMBER('Council Entry'!I$8),ISNUMBER('Council Entry'!I$9)),MAX(MIN('Council Entry'!I59,'Council Entry'!I$9),'Council Entry'!I$8),'Council Entry'!I59)),IF(AND(ISNUMBER('Council Entry'!I$8),ISNUMBER('Council Entry'!I$9)),MAX(MIN('Council Entry'!I59,'Council Entry'!I$9),'Council Entry'!I$8),'Council Entry'!I59))))-'Council Entry'!I$5)/('Council Entry'!I$6-'Council Entry'!I$5)),1))),"No data"))</f>
        <v/>
      </c>
      <c r="J59" s="13">
        <f>IF('Council Entry'!J59="","",IFERROR(MAX(0,MIN(10,ROUND(IF('Council Entry'!J$7="Decrease Risk",10-10*((IF('Council Entry'!J$4="Logarithm",LN(0.001+IF(AND(ISNUMBER('Council Entry'!J$8),ISNUMBER('Council Entry'!J$9)),MAX(MIN('Council Entry'!J59,'Council Entry'!J$9),'Council Entry'!J$8),'Council Entry'!J59)),IF('Council Entry'!J$4="Exponential",EXP(IF(AND(ISNUMBER('Council Entry'!J$8),ISNUMBER('Council Entry'!J$9)),MAX(MIN('Council Entry'!J59,'Council Entry'!J$9),'Council Entry'!J$8),'Council Entry'!J59)),IF(AND(ISNUMBER('Council Entry'!J$8),ISNUMBER('Council Entry'!J$9)),MAX(MIN('Council Entry'!J59,'Council Entry'!J$9),'Council Entry'!J$8),'Council Entry'!J59))))-'Council Entry'!J$5)/('Council Entry'!J$6-'Council Entry'!J$5),10*((IF('Council Entry'!J$4="Logarithm",LN(0.001+IF(AND(ISNUMBER('Council Entry'!J$8),ISNUMBER('Council Entry'!J$9)),MAX(MIN('Council Entry'!J59,'Council Entry'!J$9),'Council Entry'!J$8),'Council Entry'!J59)),IF('Council Entry'!J$4="Exponential",EXP(IF(AND(ISNUMBER('Council Entry'!J$8),ISNUMBER('Council Entry'!J$9)),MAX(MIN('Council Entry'!J59,'Council Entry'!J$9),'Council Entry'!J$8),'Council Entry'!J59)),IF(AND(ISNUMBER('Council Entry'!J$8),ISNUMBER('Council Entry'!J$9)),MAX(MIN('Council Entry'!J59,'Council Entry'!J$9),'Council Entry'!J$8),'Council Entry'!J59))))-'Council Entry'!J$5)/('Council Entry'!J$6-'Council Entry'!J$5)),1))),"No data"))</f>
        <v/>
      </c>
      <c r="K59" s="13">
        <f>IF('Council Entry'!K59="","",IFERROR(MAX(0,MIN(10,ROUND(IF('Council Entry'!K$7="Decrease Risk",10-10*((IF('Council Entry'!K$4="Logarithm",LN(0.001+IF(AND(ISNUMBER('Council Entry'!K$8),ISNUMBER('Council Entry'!K$9)),MAX(MIN('Council Entry'!K59,'Council Entry'!K$9),'Council Entry'!K$8),'Council Entry'!K59)),IF('Council Entry'!K$4="Exponential",EXP(IF(AND(ISNUMBER('Council Entry'!K$8),ISNUMBER('Council Entry'!K$9)),MAX(MIN('Council Entry'!K59,'Council Entry'!K$9),'Council Entry'!K$8),'Council Entry'!K59)),IF(AND(ISNUMBER('Council Entry'!K$8),ISNUMBER('Council Entry'!K$9)),MAX(MIN('Council Entry'!K59,'Council Entry'!K$9),'Council Entry'!K$8),'Council Entry'!K59))))-'Council Entry'!K$5)/('Council Entry'!K$6-'Council Entry'!K$5),10*((IF('Council Entry'!K$4="Logarithm",LN(0.001+IF(AND(ISNUMBER('Council Entry'!K$8),ISNUMBER('Council Entry'!K$9)),MAX(MIN('Council Entry'!K59,'Council Entry'!K$9),'Council Entry'!K$8),'Council Entry'!K59)),IF('Council Entry'!K$4="Exponential",EXP(IF(AND(ISNUMBER('Council Entry'!K$8),ISNUMBER('Council Entry'!K$9)),MAX(MIN('Council Entry'!K59,'Council Entry'!K$9),'Council Entry'!K$8),'Council Entry'!K59)),IF(AND(ISNUMBER('Council Entry'!K$8),ISNUMBER('Council Entry'!K$9)),MAX(MIN('Council Entry'!K59,'Council Entry'!K$9),'Council Entry'!K$8),'Council Entry'!K59))))-'Council Entry'!K$5)/('Council Entry'!K$6-'Council Entry'!K$5)),1))),"No data"))</f>
        <v/>
      </c>
      <c r="L59" s="13">
        <f>IF('Council Entry'!L59="","",IFERROR(MAX(0,MIN(10,ROUND(IF('Council Entry'!L$7="Decrease Risk",10-10*((IF('Council Entry'!L$4="Logarithm",LN(0.001+IF(AND(ISNUMBER('Council Entry'!L$8),ISNUMBER('Council Entry'!L$9)),MAX(MIN('Council Entry'!L59,'Council Entry'!L$9),'Council Entry'!L$8),'Council Entry'!L59)),IF('Council Entry'!L$4="Exponential",EXP(IF(AND(ISNUMBER('Council Entry'!L$8),ISNUMBER('Council Entry'!L$9)),MAX(MIN('Council Entry'!L59,'Council Entry'!L$9),'Council Entry'!L$8),'Council Entry'!L59)),IF(AND(ISNUMBER('Council Entry'!L$8),ISNUMBER('Council Entry'!L$9)),MAX(MIN('Council Entry'!L59,'Council Entry'!L$9),'Council Entry'!L$8),'Council Entry'!L59))))-'Council Entry'!L$5)/('Council Entry'!L$6-'Council Entry'!L$5),10*((IF('Council Entry'!L$4="Logarithm",LN(0.001+IF(AND(ISNUMBER('Council Entry'!L$8),ISNUMBER('Council Entry'!L$9)),MAX(MIN('Council Entry'!L59,'Council Entry'!L$9),'Council Entry'!L$8),'Council Entry'!L59)),IF('Council Entry'!L$4="Exponential",EXP(IF(AND(ISNUMBER('Council Entry'!L$8),ISNUMBER('Council Entry'!L$9)),MAX(MIN('Council Entry'!L59,'Council Entry'!L$9),'Council Entry'!L$8),'Council Entry'!L59)),IF(AND(ISNUMBER('Council Entry'!L$8),ISNUMBER('Council Entry'!L$9)),MAX(MIN('Council Entry'!L59,'Council Entry'!L$9),'Council Entry'!L$8),'Council Entry'!L59))))-'Council Entry'!L$5)/('Council Entry'!L$6-'Council Entry'!L$5)),1))),"No data"))</f>
        <v/>
      </c>
      <c r="M59" s="13">
        <f>IF('Council Entry'!M59="","",IFERROR(MAX(0,MIN(10,ROUND(IF('Council Entry'!M$7="Decrease Risk",10-10*((IF('Council Entry'!M$4="Logarithm",LN(0.001+IF(AND(ISNUMBER('Council Entry'!M$8),ISNUMBER('Council Entry'!M$9)),MAX(MIN('Council Entry'!M59,'Council Entry'!M$9),'Council Entry'!M$8),'Council Entry'!M59)),IF('Council Entry'!M$4="Exponential",EXP(IF(AND(ISNUMBER('Council Entry'!M$8),ISNUMBER('Council Entry'!M$9)),MAX(MIN('Council Entry'!M59,'Council Entry'!M$9),'Council Entry'!M$8),'Council Entry'!M59)),IF(AND(ISNUMBER('Council Entry'!M$8),ISNUMBER('Council Entry'!M$9)),MAX(MIN('Council Entry'!M59,'Council Entry'!M$9),'Council Entry'!M$8),'Council Entry'!M59))))-'Council Entry'!M$5)/('Council Entry'!M$6-'Council Entry'!M$5),10*((IF('Council Entry'!M$4="Logarithm",LN(0.001+IF(AND(ISNUMBER('Council Entry'!M$8),ISNUMBER('Council Entry'!M$9)),MAX(MIN('Council Entry'!M59,'Council Entry'!M$9),'Council Entry'!M$8),'Council Entry'!M59)),IF('Council Entry'!M$4="Exponential",EXP(IF(AND(ISNUMBER('Council Entry'!M$8),ISNUMBER('Council Entry'!M$9)),MAX(MIN('Council Entry'!M59,'Council Entry'!M$9),'Council Entry'!M$8),'Council Entry'!M59)),IF(AND(ISNUMBER('Council Entry'!M$8),ISNUMBER('Council Entry'!M$9)),MAX(MIN('Council Entry'!M59,'Council Entry'!M$9),'Council Entry'!M$8),'Council Entry'!M59))))-'Council Entry'!M$5)/('Council Entry'!M$6-'Council Entry'!M$5)),1))),"No data"))</f>
        <v/>
      </c>
      <c r="N59" s="13">
        <f>IF('Council Entry'!N59="","",IFERROR(MAX(0,MIN(10,ROUND(IF('Council Entry'!N$7="Decrease Risk",10-10*((IF('Council Entry'!N$4="Logarithm",LN(0.001+IF(AND(ISNUMBER('Council Entry'!N$8),ISNUMBER('Council Entry'!N$9)),MAX(MIN('Council Entry'!N59,'Council Entry'!N$9),'Council Entry'!N$8),'Council Entry'!N59)),IF('Council Entry'!N$4="Exponential",EXP(IF(AND(ISNUMBER('Council Entry'!N$8),ISNUMBER('Council Entry'!N$9)),MAX(MIN('Council Entry'!N59,'Council Entry'!N$9),'Council Entry'!N$8),'Council Entry'!N59)),IF(AND(ISNUMBER('Council Entry'!N$8),ISNUMBER('Council Entry'!N$9)),MAX(MIN('Council Entry'!N59,'Council Entry'!N$9),'Council Entry'!N$8),'Council Entry'!N59))))-'Council Entry'!N$5)/('Council Entry'!N$6-'Council Entry'!N$5),10*((IF('Council Entry'!N$4="Logarithm",LN(0.001+IF(AND(ISNUMBER('Council Entry'!N$8),ISNUMBER('Council Entry'!N$9)),MAX(MIN('Council Entry'!N59,'Council Entry'!N$9),'Council Entry'!N$8),'Council Entry'!N59)),IF('Council Entry'!N$4="Exponential",EXP(IF(AND(ISNUMBER('Council Entry'!N$8),ISNUMBER('Council Entry'!N$9)),MAX(MIN('Council Entry'!N59,'Council Entry'!N$9),'Council Entry'!N$8),'Council Entry'!N59)),IF(AND(ISNUMBER('Council Entry'!N$8),ISNUMBER('Council Entry'!N$9)),MAX(MIN('Council Entry'!N59,'Council Entry'!N$9),'Council Entry'!N$8),'Council Entry'!N59))))-'Council Entry'!N$5)/('Council Entry'!N$6-'Council Entry'!N$5)),1))),"No data"))</f>
        <v/>
      </c>
      <c r="O59" s="13">
        <f>IF('Council Entry'!O59="","",IFERROR(MAX(0,MIN(10,ROUND(IF('Council Entry'!O$7="Decrease Risk",10-10*((IF('Council Entry'!O$4="Logarithm",LN(0.001+IF(AND(ISNUMBER('Council Entry'!O$8),ISNUMBER('Council Entry'!O$9)),MAX(MIN('Council Entry'!O59,'Council Entry'!O$9),'Council Entry'!O$8),'Council Entry'!O59)),IF('Council Entry'!O$4="Exponential",EXP(IF(AND(ISNUMBER('Council Entry'!O$8),ISNUMBER('Council Entry'!O$9)),MAX(MIN('Council Entry'!O59,'Council Entry'!O$9),'Council Entry'!O$8),'Council Entry'!O59)),IF(AND(ISNUMBER('Council Entry'!O$8),ISNUMBER('Council Entry'!O$9)),MAX(MIN('Council Entry'!O59,'Council Entry'!O$9),'Council Entry'!O$8),'Council Entry'!O59))))-'Council Entry'!O$5)/('Council Entry'!O$6-'Council Entry'!O$5),10*((IF('Council Entry'!O$4="Logarithm",LN(0.001+IF(AND(ISNUMBER('Council Entry'!O$8),ISNUMBER('Council Entry'!O$9)),MAX(MIN('Council Entry'!O59,'Council Entry'!O$9),'Council Entry'!O$8),'Council Entry'!O59)),IF('Council Entry'!O$4="Exponential",EXP(IF(AND(ISNUMBER('Council Entry'!O$8),ISNUMBER('Council Entry'!O$9)),MAX(MIN('Council Entry'!O59,'Council Entry'!O$9),'Council Entry'!O$8),'Council Entry'!O59)),IF(AND(ISNUMBER('Council Entry'!O$8),ISNUMBER('Council Entry'!O$9)),MAX(MIN('Council Entry'!O59,'Council Entry'!O$9),'Council Entry'!O$8),'Council Entry'!O59))))-'Council Entry'!O$5)/('Council Entry'!O$6-'Council Entry'!O$5)),1))),"No data"))</f>
        <v/>
      </c>
      <c r="P59" s="13">
        <f>IF('Council Entry'!P59="","",IFERROR(MAX(0,MIN(10,ROUND(IF('Council Entry'!P$7="Decrease Risk",10-10*((IF('Council Entry'!P$4="Logarithm",LN(0.001+IF(AND(ISNUMBER('Council Entry'!P$8),ISNUMBER('Council Entry'!P$9)),MAX(MIN('Council Entry'!P59,'Council Entry'!P$9),'Council Entry'!P$8),'Council Entry'!P59)),IF('Council Entry'!P$4="Exponential",EXP(IF(AND(ISNUMBER('Council Entry'!P$8),ISNUMBER('Council Entry'!P$9)),MAX(MIN('Council Entry'!P59,'Council Entry'!P$9),'Council Entry'!P$8),'Council Entry'!P59)),IF(AND(ISNUMBER('Council Entry'!P$8),ISNUMBER('Council Entry'!P$9)),MAX(MIN('Council Entry'!P59,'Council Entry'!P$9),'Council Entry'!P$8),'Council Entry'!P59))))-'Council Entry'!P$5)/('Council Entry'!P$6-'Council Entry'!P$5),10*((IF('Council Entry'!P$4="Logarithm",LN(0.001+IF(AND(ISNUMBER('Council Entry'!P$8),ISNUMBER('Council Entry'!P$9)),MAX(MIN('Council Entry'!P59,'Council Entry'!P$9),'Council Entry'!P$8),'Council Entry'!P59)),IF('Council Entry'!P$4="Exponential",EXP(IF(AND(ISNUMBER('Council Entry'!P$8),ISNUMBER('Council Entry'!P$9)),MAX(MIN('Council Entry'!P59,'Council Entry'!P$9),'Council Entry'!P$8),'Council Entry'!P59)),IF(AND(ISNUMBER('Council Entry'!P$8),ISNUMBER('Council Entry'!P$9)),MAX(MIN('Council Entry'!P59,'Council Entry'!P$9),'Council Entry'!P$8),'Council Entry'!P59))))-'Council Entry'!P$5)/('Council Entry'!P$6-'Council Entry'!P$5)),1))),"No data"))</f>
        <v/>
      </c>
      <c r="Q59" s="13">
        <f>IF('Council Entry'!Q59="","",IFERROR(MAX(0,MIN(10,ROUND(IF('Council Entry'!Q$7="Decrease Risk",10-10*((IF('Council Entry'!Q$4="Logarithm",LN(0.001+IF(AND(ISNUMBER('Council Entry'!Q$8),ISNUMBER('Council Entry'!Q$9)),MAX(MIN('Council Entry'!Q59,'Council Entry'!Q$9),'Council Entry'!Q$8),'Council Entry'!Q59)),IF('Council Entry'!Q$4="Exponential",EXP(IF(AND(ISNUMBER('Council Entry'!Q$8),ISNUMBER('Council Entry'!Q$9)),MAX(MIN('Council Entry'!Q59,'Council Entry'!Q$9),'Council Entry'!Q$8),'Council Entry'!Q59)),IF(AND(ISNUMBER('Council Entry'!Q$8),ISNUMBER('Council Entry'!Q$9)),MAX(MIN('Council Entry'!Q59,'Council Entry'!Q$9),'Council Entry'!Q$8),'Council Entry'!Q59))))-'Council Entry'!Q$5)/('Council Entry'!Q$6-'Council Entry'!Q$5),10*((IF('Council Entry'!Q$4="Logarithm",LN(0.001+IF(AND(ISNUMBER('Council Entry'!Q$8),ISNUMBER('Council Entry'!Q$9)),MAX(MIN('Council Entry'!Q59,'Council Entry'!Q$9),'Council Entry'!Q$8),'Council Entry'!Q59)),IF('Council Entry'!Q$4="Exponential",EXP(IF(AND(ISNUMBER('Council Entry'!Q$8),ISNUMBER('Council Entry'!Q$9)),MAX(MIN('Council Entry'!Q59,'Council Entry'!Q$9),'Council Entry'!Q$8),'Council Entry'!Q59)),IF(AND(ISNUMBER('Council Entry'!Q$8),ISNUMBER('Council Entry'!Q$9)),MAX(MIN('Council Entry'!Q59,'Council Entry'!Q$9),'Council Entry'!Q$8),'Council Entry'!Q59))))-'Council Entry'!Q$5)/('Council Entry'!Q$6-'Council Entry'!Q$5)),1))),"No data"))</f>
        <v/>
      </c>
      <c r="R59" s="13">
        <f>IF('Council Entry'!R59="","",IFERROR(MAX(0,MIN(10,ROUND(IF('Council Entry'!R$7="Decrease Risk",10-10*((IF('Council Entry'!R$4="Logarithm",LN(0.001+IF(AND(ISNUMBER('Council Entry'!R$8),ISNUMBER('Council Entry'!R$9)),MAX(MIN('Council Entry'!R59,'Council Entry'!R$9),'Council Entry'!R$8),'Council Entry'!R59)),IF('Council Entry'!R$4="Exponential",EXP(IF(AND(ISNUMBER('Council Entry'!R$8),ISNUMBER('Council Entry'!R$9)),MAX(MIN('Council Entry'!R59,'Council Entry'!R$9),'Council Entry'!R$8),'Council Entry'!R59)),IF(AND(ISNUMBER('Council Entry'!R$8),ISNUMBER('Council Entry'!R$9)),MAX(MIN('Council Entry'!R59,'Council Entry'!R$9),'Council Entry'!R$8),'Council Entry'!R59))))-'Council Entry'!R$5)/('Council Entry'!R$6-'Council Entry'!R$5),10*((IF('Council Entry'!R$4="Logarithm",LN(0.001+IF(AND(ISNUMBER('Council Entry'!R$8),ISNUMBER('Council Entry'!R$9)),MAX(MIN('Council Entry'!R59,'Council Entry'!R$9),'Council Entry'!R$8),'Council Entry'!R59)),IF('Council Entry'!R$4="Exponential",EXP(IF(AND(ISNUMBER('Council Entry'!R$8),ISNUMBER('Council Entry'!R$9)),MAX(MIN('Council Entry'!R59,'Council Entry'!R$9),'Council Entry'!R$8),'Council Entry'!R59)),IF(AND(ISNUMBER('Council Entry'!R$8),ISNUMBER('Council Entry'!R$9)),MAX(MIN('Council Entry'!R59,'Council Entry'!R$9),'Council Entry'!R$8),'Council Entry'!R59))))-'Council Entry'!R$5)/('Council Entry'!R$6-'Council Entry'!R$5)),1))),"No data"))</f>
        <v/>
      </c>
      <c r="S59" s="13">
        <f>IF('Council Entry'!S59="","",IFERROR(MAX(0,MIN(10,ROUND(IF('Council Entry'!S$7="Decrease Risk",10-10*((IF('Council Entry'!S$4="Logarithm",LN(0.001+IF(AND(ISNUMBER('Council Entry'!S$8),ISNUMBER('Council Entry'!S$9)),MAX(MIN('Council Entry'!S59,'Council Entry'!S$9),'Council Entry'!S$8),'Council Entry'!S59)),IF('Council Entry'!S$4="Exponential",EXP(IF(AND(ISNUMBER('Council Entry'!S$8),ISNUMBER('Council Entry'!S$9)),MAX(MIN('Council Entry'!S59,'Council Entry'!S$9),'Council Entry'!S$8),'Council Entry'!S59)),IF(AND(ISNUMBER('Council Entry'!S$8),ISNUMBER('Council Entry'!S$9)),MAX(MIN('Council Entry'!S59,'Council Entry'!S$9),'Council Entry'!S$8),'Council Entry'!S59))))-'Council Entry'!S$5)/('Council Entry'!S$6-'Council Entry'!S$5),10*((IF('Council Entry'!S$4="Logarithm",LN(0.001+IF(AND(ISNUMBER('Council Entry'!S$8),ISNUMBER('Council Entry'!S$9)),MAX(MIN('Council Entry'!S59,'Council Entry'!S$9),'Council Entry'!S$8),'Council Entry'!S59)),IF('Council Entry'!S$4="Exponential",EXP(IF(AND(ISNUMBER('Council Entry'!S$8),ISNUMBER('Council Entry'!S$9)),MAX(MIN('Council Entry'!S59,'Council Entry'!S$9),'Council Entry'!S$8),'Council Entry'!S59)),IF(AND(ISNUMBER('Council Entry'!S$8),ISNUMBER('Council Entry'!S$9)),MAX(MIN('Council Entry'!S59,'Council Entry'!S$9),'Council Entry'!S$8),'Council Entry'!S59))))-'Council Entry'!S$5)/('Council Entry'!S$6-'Council Entry'!S$5)),1))),"No data"))</f>
        <v/>
      </c>
      <c r="T59" s="13">
        <f>IF('Council Entry'!T59="","",IFERROR(MAX(0,MIN(10,ROUND(IF('Council Entry'!T$7="Decrease Risk",10-10*((IF('Council Entry'!T$4="Logarithm",LN(0.001+IF(AND(ISNUMBER('Council Entry'!T$8),ISNUMBER('Council Entry'!T$9)),MAX(MIN('Council Entry'!T59,'Council Entry'!T$9),'Council Entry'!T$8),'Council Entry'!T59)),IF('Council Entry'!T$4="Exponential",EXP(IF(AND(ISNUMBER('Council Entry'!T$8),ISNUMBER('Council Entry'!T$9)),MAX(MIN('Council Entry'!T59,'Council Entry'!T$9),'Council Entry'!T$8),'Council Entry'!T59)),IF(AND(ISNUMBER('Council Entry'!T$8),ISNUMBER('Council Entry'!T$9)),MAX(MIN('Council Entry'!T59,'Council Entry'!T$9),'Council Entry'!T$8),'Council Entry'!T59))))-'Council Entry'!T$5)/('Council Entry'!T$6-'Council Entry'!T$5),10*((IF('Council Entry'!T$4="Logarithm",LN(0.001+IF(AND(ISNUMBER('Council Entry'!T$8),ISNUMBER('Council Entry'!T$9)),MAX(MIN('Council Entry'!T59,'Council Entry'!T$9),'Council Entry'!T$8),'Council Entry'!T59)),IF('Council Entry'!T$4="Exponential",EXP(IF(AND(ISNUMBER('Council Entry'!T$8),ISNUMBER('Council Entry'!T$9)),MAX(MIN('Council Entry'!T59,'Council Entry'!T$9),'Council Entry'!T$8),'Council Entry'!T59)),IF(AND(ISNUMBER('Council Entry'!T$8),ISNUMBER('Council Entry'!T$9)),MAX(MIN('Council Entry'!T59,'Council Entry'!T$9),'Council Entry'!T$8),'Council Entry'!T59))))-'Council Entry'!T$5)/('Council Entry'!T$6-'Council Entry'!T$5)),1))),"No data"))</f>
        <v/>
      </c>
      <c r="U59" s="13">
        <f>IF('Council Entry'!U59="","",IFERROR(MAX(0,MIN(10,ROUND(IF('Council Entry'!U$7="Decrease Risk",10-10*((IF('Council Entry'!U$4="Logarithm",LN(0.001+IF(AND(ISNUMBER('Council Entry'!U$8),ISNUMBER('Council Entry'!U$9)),MAX(MIN('Council Entry'!U59,'Council Entry'!U$9),'Council Entry'!U$8),'Council Entry'!U59)),IF('Council Entry'!U$4="Exponential",EXP(IF(AND(ISNUMBER('Council Entry'!U$8),ISNUMBER('Council Entry'!U$9)),MAX(MIN('Council Entry'!U59,'Council Entry'!U$9),'Council Entry'!U$8),'Council Entry'!U59)),IF(AND(ISNUMBER('Council Entry'!U$8),ISNUMBER('Council Entry'!U$9)),MAX(MIN('Council Entry'!U59,'Council Entry'!U$9),'Council Entry'!U$8),'Council Entry'!U59))))-'Council Entry'!U$5)/('Council Entry'!U$6-'Council Entry'!U$5),10*((IF('Council Entry'!U$4="Logarithm",LN(0.001+IF(AND(ISNUMBER('Council Entry'!U$8),ISNUMBER('Council Entry'!U$9)),MAX(MIN('Council Entry'!U59,'Council Entry'!U$9),'Council Entry'!U$8),'Council Entry'!U59)),IF('Council Entry'!U$4="Exponential",EXP(IF(AND(ISNUMBER('Council Entry'!U$8),ISNUMBER('Council Entry'!U$9)),MAX(MIN('Council Entry'!U59,'Council Entry'!U$9),'Council Entry'!U$8),'Council Entry'!U59)),IF(AND(ISNUMBER('Council Entry'!U$8),ISNUMBER('Council Entry'!U$9)),MAX(MIN('Council Entry'!U59,'Council Entry'!U$9),'Council Entry'!U$8),'Council Entry'!U59))))-'Council Entry'!U$5)/('Council Entry'!U$6-'Council Entry'!U$5)),1))),"No data"))</f>
        <v/>
      </c>
      <c r="V59" s="13">
        <f>IF('Council Entry'!V59="","",IFERROR(MAX(0,MIN(10,ROUND(IF('Council Entry'!V$7="Decrease Risk",10-10*((IF('Council Entry'!V$4="Logarithm",LN(0.001+IF(AND(ISNUMBER('Council Entry'!V$8),ISNUMBER('Council Entry'!V$9)),MAX(MIN('Council Entry'!V59,'Council Entry'!V$9),'Council Entry'!V$8),'Council Entry'!V59)),IF('Council Entry'!V$4="Exponential",EXP(IF(AND(ISNUMBER('Council Entry'!V$8),ISNUMBER('Council Entry'!V$9)),MAX(MIN('Council Entry'!V59,'Council Entry'!V$9),'Council Entry'!V$8),'Council Entry'!V59)),IF(AND(ISNUMBER('Council Entry'!V$8),ISNUMBER('Council Entry'!V$9)),MAX(MIN('Council Entry'!V59,'Council Entry'!V$9),'Council Entry'!V$8),'Council Entry'!V59))))-'Council Entry'!V$5)/('Council Entry'!V$6-'Council Entry'!V$5),10*((IF('Council Entry'!V$4="Logarithm",LN(0.001+IF(AND(ISNUMBER('Council Entry'!V$8),ISNUMBER('Council Entry'!V$9)),MAX(MIN('Council Entry'!V59,'Council Entry'!V$9),'Council Entry'!V$8),'Council Entry'!V59)),IF('Council Entry'!V$4="Exponential",EXP(IF(AND(ISNUMBER('Council Entry'!V$8),ISNUMBER('Council Entry'!V$9)),MAX(MIN('Council Entry'!V59,'Council Entry'!V$9),'Council Entry'!V$8),'Council Entry'!V59)),IF(AND(ISNUMBER('Council Entry'!V$8),ISNUMBER('Council Entry'!V$9)),MAX(MIN('Council Entry'!V59,'Council Entry'!V$9),'Council Entry'!V$8),'Council Entry'!V59))))-'Council Entry'!V$5)/('Council Entry'!V$6-'Council Entry'!V$5)),1))),"No data"))</f>
        <v/>
      </c>
      <c r="W59" s="13">
        <f>IF('Council Entry'!W59="","",IFERROR(MAX(0,MIN(10,ROUND(IF('Council Entry'!W$7="Decrease Risk",10-10*((IF('Council Entry'!W$4="Logarithm",LN(0.001+IF(AND(ISNUMBER('Council Entry'!W$8),ISNUMBER('Council Entry'!W$9)),MAX(MIN('Council Entry'!W59,'Council Entry'!W$9),'Council Entry'!W$8),'Council Entry'!W59)),IF('Council Entry'!W$4="Exponential",EXP(IF(AND(ISNUMBER('Council Entry'!W$8),ISNUMBER('Council Entry'!W$9)),MAX(MIN('Council Entry'!W59,'Council Entry'!W$9),'Council Entry'!W$8),'Council Entry'!W59)),IF(AND(ISNUMBER('Council Entry'!W$8),ISNUMBER('Council Entry'!W$9)),MAX(MIN('Council Entry'!W59,'Council Entry'!W$9),'Council Entry'!W$8),'Council Entry'!W59))))-'Council Entry'!W$5)/('Council Entry'!W$6-'Council Entry'!W$5),10*((IF('Council Entry'!W$4="Logarithm",LN(0.001+IF(AND(ISNUMBER('Council Entry'!W$8),ISNUMBER('Council Entry'!W$9)),MAX(MIN('Council Entry'!W59,'Council Entry'!W$9),'Council Entry'!W$8),'Council Entry'!W59)),IF('Council Entry'!W$4="Exponential",EXP(IF(AND(ISNUMBER('Council Entry'!W$8),ISNUMBER('Council Entry'!W$9)),MAX(MIN('Council Entry'!W59,'Council Entry'!W$9),'Council Entry'!W$8),'Council Entry'!W59)),IF(AND(ISNUMBER('Council Entry'!W$8),ISNUMBER('Council Entry'!W$9)),MAX(MIN('Council Entry'!W59,'Council Entry'!W$9),'Council Entry'!W$8),'Council Entry'!W59))))-'Council Entry'!W$5)/('Council Entry'!W$6-'Council Entry'!W$5)),1))),"No data"))</f>
        <v/>
      </c>
      <c r="X59" s="13">
        <f>IF('Council Entry'!X59="","",IFERROR(MAX(0,MIN(10,ROUND(IF('Council Entry'!X$7="Decrease Risk",10-10*((IF('Council Entry'!X$4="Logarithm",LN(0.001+IF(AND(ISNUMBER('Council Entry'!X$8),ISNUMBER('Council Entry'!X$9)),MAX(MIN('Council Entry'!X59,'Council Entry'!X$9),'Council Entry'!X$8),'Council Entry'!X59)),IF('Council Entry'!X$4="Exponential",EXP(IF(AND(ISNUMBER('Council Entry'!X$8),ISNUMBER('Council Entry'!X$9)),MAX(MIN('Council Entry'!X59,'Council Entry'!X$9),'Council Entry'!X$8),'Council Entry'!X59)),IF(AND(ISNUMBER('Council Entry'!X$8),ISNUMBER('Council Entry'!X$9)),MAX(MIN('Council Entry'!X59,'Council Entry'!X$9),'Council Entry'!X$8),'Council Entry'!X59))))-'Council Entry'!X$5)/('Council Entry'!X$6-'Council Entry'!X$5),10*((IF('Council Entry'!X$4="Logarithm",LN(0.001+IF(AND(ISNUMBER('Council Entry'!X$8),ISNUMBER('Council Entry'!X$9)),MAX(MIN('Council Entry'!X59,'Council Entry'!X$9),'Council Entry'!X$8),'Council Entry'!X59)),IF('Council Entry'!X$4="Exponential",EXP(IF(AND(ISNUMBER('Council Entry'!X$8),ISNUMBER('Council Entry'!X$9)),MAX(MIN('Council Entry'!X59,'Council Entry'!X$9),'Council Entry'!X$8),'Council Entry'!X59)),IF(AND(ISNUMBER('Council Entry'!X$8),ISNUMBER('Council Entry'!X$9)),MAX(MIN('Council Entry'!X59,'Council Entry'!X$9),'Council Entry'!X$8),'Council Entry'!X59))))-'Council Entry'!X$5)/('Council Entry'!X$6-'Council Entry'!X$5)),1))),"No data"))</f>
        <v/>
      </c>
      <c r="Y59" s="13">
        <f>IF('Council Entry'!Y59="","",IFERROR(MAX(0,MIN(10,ROUND(IF('Council Entry'!Y$7="Decrease Risk",10-10*((IF('Council Entry'!Y$4="Logarithm",LN(0.001+IF(AND(ISNUMBER('Council Entry'!Y$8),ISNUMBER('Council Entry'!Y$9)),MAX(MIN('Council Entry'!Y59,'Council Entry'!Y$9),'Council Entry'!Y$8),'Council Entry'!Y59)),IF('Council Entry'!Y$4="Exponential",EXP(IF(AND(ISNUMBER('Council Entry'!Y$8),ISNUMBER('Council Entry'!Y$9)),MAX(MIN('Council Entry'!Y59,'Council Entry'!Y$9),'Council Entry'!Y$8),'Council Entry'!Y59)),IF(AND(ISNUMBER('Council Entry'!Y$8),ISNUMBER('Council Entry'!Y$9)),MAX(MIN('Council Entry'!Y59,'Council Entry'!Y$9),'Council Entry'!Y$8),'Council Entry'!Y59))))-'Council Entry'!Y$5)/('Council Entry'!Y$6-'Council Entry'!Y$5),10*((IF('Council Entry'!Y$4="Logarithm",LN(0.001+IF(AND(ISNUMBER('Council Entry'!Y$8),ISNUMBER('Council Entry'!Y$9)),MAX(MIN('Council Entry'!Y59,'Council Entry'!Y$9),'Council Entry'!Y$8),'Council Entry'!Y59)),IF('Council Entry'!Y$4="Exponential",EXP(IF(AND(ISNUMBER('Council Entry'!Y$8),ISNUMBER('Council Entry'!Y$9)),MAX(MIN('Council Entry'!Y59,'Council Entry'!Y$9),'Council Entry'!Y$8),'Council Entry'!Y59)),IF(AND(ISNUMBER('Council Entry'!Y$8),ISNUMBER('Council Entry'!Y$9)),MAX(MIN('Council Entry'!Y59,'Council Entry'!Y$9),'Council Entry'!Y$8),'Council Entry'!Y59))))-'Council Entry'!Y$5)/('Council Entry'!Y$6-'Council Entry'!Y$5)),1))),"No data"))</f>
        <v/>
      </c>
      <c r="Z59" s="13">
        <f>IF('Council Entry'!Z59="","",IFERROR(MAX(0,MIN(10,ROUND(IF('Council Entry'!Z$7="Decrease Risk",10-10*((IF('Council Entry'!Z$4="Logarithm",LN(0.001+IF(AND(ISNUMBER('Council Entry'!Z$8),ISNUMBER('Council Entry'!Z$9)),MAX(MIN('Council Entry'!Z59,'Council Entry'!Z$9),'Council Entry'!Z$8),'Council Entry'!Z59)),IF('Council Entry'!Z$4="Exponential",EXP(IF(AND(ISNUMBER('Council Entry'!Z$8),ISNUMBER('Council Entry'!Z$9)),MAX(MIN('Council Entry'!Z59,'Council Entry'!Z$9),'Council Entry'!Z$8),'Council Entry'!Z59)),IF(AND(ISNUMBER('Council Entry'!Z$8),ISNUMBER('Council Entry'!Z$9)),MAX(MIN('Council Entry'!Z59,'Council Entry'!Z$9),'Council Entry'!Z$8),'Council Entry'!Z59))))-'Council Entry'!Z$5)/('Council Entry'!Z$6-'Council Entry'!Z$5),10*((IF('Council Entry'!Z$4="Logarithm",LN(0.001+IF(AND(ISNUMBER('Council Entry'!Z$8),ISNUMBER('Council Entry'!Z$9)),MAX(MIN('Council Entry'!Z59,'Council Entry'!Z$9),'Council Entry'!Z$8),'Council Entry'!Z59)),IF('Council Entry'!Z$4="Exponential",EXP(IF(AND(ISNUMBER('Council Entry'!Z$8),ISNUMBER('Council Entry'!Z$9)),MAX(MIN('Council Entry'!Z59,'Council Entry'!Z$9),'Council Entry'!Z$8),'Council Entry'!Z59)),IF(AND(ISNUMBER('Council Entry'!Z$8),ISNUMBER('Council Entry'!Z$9)),MAX(MIN('Council Entry'!Z59,'Council Entry'!Z$9),'Council Entry'!Z$8),'Council Entry'!Z59))))-'Council Entry'!Z$5)/('Council Entry'!Z$6-'Council Entry'!Z$5)),1))),"No data"))</f>
        <v/>
      </c>
      <c r="AA59" s="13">
        <f>IF('Council Entry'!AA59="","",IFERROR(MAX(0,MIN(10,ROUND(IF('Council Entry'!AA$7="Decrease Risk",10-10*((IF('Council Entry'!AA$4="Logarithm",LN(0.001+IF(AND(ISNUMBER('Council Entry'!AA$8),ISNUMBER('Council Entry'!AA$9)),MAX(MIN('Council Entry'!AA59,'Council Entry'!AA$9),'Council Entry'!AA$8),'Council Entry'!AA59)),IF('Council Entry'!AA$4="Exponential",EXP(IF(AND(ISNUMBER('Council Entry'!AA$8),ISNUMBER('Council Entry'!AA$9)),MAX(MIN('Council Entry'!AA59,'Council Entry'!AA$9),'Council Entry'!AA$8),'Council Entry'!AA59)),IF(AND(ISNUMBER('Council Entry'!AA$8),ISNUMBER('Council Entry'!AA$9)),MAX(MIN('Council Entry'!AA59,'Council Entry'!AA$9),'Council Entry'!AA$8),'Council Entry'!AA59))))-'Council Entry'!AA$5)/('Council Entry'!AA$6-'Council Entry'!AA$5),10*((IF('Council Entry'!AA$4="Logarithm",LN(0.001+IF(AND(ISNUMBER('Council Entry'!AA$8),ISNUMBER('Council Entry'!AA$9)),MAX(MIN('Council Entry'!AA59,'Council Entry'!AA$9),'Council Entry'!AA$8),'Council Entry'!AA59)),IF('Council Entry'!AA$4="Exponential",EXP(IF(AND(ISNUMBER('Council Entry'!AA$8),ISNUMBER('Council Entry'!AA$9)),MAX(MIN('Council Entry'!AA59,'Council Entry'!AA$9),'Council Entry'!AA$8),'Council Entry'!AA59)),IF(AND(ISNUMBER('Council Entry'!AA$8),ISNUMBER('Council Entry'!AA$9)),MAX(MIN('Council Entry'!AA59,'Council Entry'!AA$9),'Council Entry'!AA$8),'Council Entry'!AA59))))-'Council Entry'!AA$5)/('Council Entry'!AA$6-'Council Entry'!AA$5)),1))),"No data"))</f>
        <v/>
      </c>
      <c r="AB59" s="13">
        <f>IF('Council Entry'!AB59="","",IFERROR(MAX(0,MIN(10,ROUND(IF('Council Entry'!AB$7="Decrease Risk",10-10*((IF('Council Entry'!AB$4="Logarithm",LN(0.001+IF(AND(ISNUMBER('Council Entry'!AB$8),ISNUMBER('Council Entry'!AB$9)),MAX(MIN('Council Entry'!AB59,'Council Entry'!AB$9),'Council Entry'!AB$8),'Council Entry'!AB59)),IF('Council Entry'!AB$4="Exponential",EXP(IF(AND(ISNUMBER('Council Entry'!AB$8),ISNUMBER('Council Entry'!AB$9)),MAX(MIN('Council Entry'!AB59,'Council Entry'!AB$9),'Council Entry'!AB$8),'Council Entry'!AB59)),IF(AND(ISNUMBER('Council Entry'!AB$8),ISNUMBER('Council Entry'!AB$9)),MAX(MIN('Council Entry'!AB59,'Council Entry'!AB$9),'Council Entry'!AB$8),'Council Entry'!AB59))))-'Council Entry'!AB$5)/('Council Entry'!AB$6-'Council Entry'!AB$5),10*((IF('Council Entry'!AB$4="Logarithm",LN(0.001+IF(AND(ISNUMBER('Council Entry'!AB$8),ISNUMBER('Council Entry'!AB$9)),MAX(MIN('Council Entry'!AB59,'Council Entry'!AB$9),'Council Entry'!AB$8),'Council Entry'!AB59)),IF('Council Entry'!AB$4="Exponential",EXP(IF(AND(ISNUMBER('Council Entry'!AB$8),ISNUMBER('Council Entry'!AB$9)),MAX(MIN('Council Entry'!AB59,'Council Entry'!AB$9),'Council Entry'!AB$8),'Council Entry'!AB59)),IF(AND(ISNUMBER('Council Entry'!AB$8),ISNUMBER('Council Entry'!AB$9)),MAX(MIN('Council Entry'!AB59,'Council Entry'!AB$9),'Council Entry'!AB$8),'Council Entry'!AB59))))-'Council Entry'!AB$5)/('Council Entry'!AB$6-'Council Entry'!AB$5)),1))),"No data"))</f>
        <v/>
      </c>
      <c r="AC59" s="13">
        <f>IF('Council Entry'!AC59="","",IFERROR(MAX(0,MIN(10,ROUND(IF('Council Entry'!AC$7="Decrease Risk",10-10*((IF('Council Entry'!AC$4="Logarithm",LN(0.001+IF(AND(ISNUMBER('Council Entry'!AC$8),ISNUMBER('Council Entry'!AC$9)),MAX(MIN('Council Entry'!AC59,'Council Entry'!AC$9),'Council Entry'!AC$8),'Council Entry'!AC59)),IF('Council Entry'!AC$4="Exponential",EXP(IF(AND(ISNUMBER('Council Entry'!AC$8),ISNUMBER('Council Entry'!AC$9)),MAX(MIN('Council Entry'!AC59,'Council Entry'!AC$9),'Council Entry'!AC$8),'Council Entry'!AC59)),IF(AND(ISNUMBER('Council Entry'!AC$8),ISNUMBER('Council Entry'!AC$9)),MAX(MIN('Council Entry'!AC59,'Council Entry'!AC$9),'Council Entry'!AC$8),'Council Entry'!AC59))))-'Council Entry'!AC$5)/('Council Entry'!AC$6-'Council Entry'!AC$5),10*((IF('Council Entry'!AC$4="Logarithm",LN(0.001+IF(AND(ISNUMBER('Council Entry'!AC$8),ISNUMBER('Council Entry'!AC$9)),MAX(MIN('Council Entry'!AC59,'Council Entry'!AC$9),'Council Entry'!AC$8),'Council Entry'!AC59)),IF('Council Entry'!AC$4="Exponential",EXP(IF(AND(ISNUMBER('Council Entry'!AC$8),ISNUMBER('Council Entry'!AC$9)),MAX(MIN('Council Entry'!AC59,'Council Entry'!AC$9),'Council Entry'!AC$8),'Council Entry'!AC59)),IF(AND(ISNUMBER('Council Entry'!AC$8),ISNUMBER('Council Entry'!AC$9)),MAX(MIN('Council Entry'!AC59,'Council Entry'!AC$9),'Council Entry'!AC$8),'Council Entry'!AC59))))-'Council Entry'!AC$5)/('Council Entry'!AC$6-'Council Entry'!AC$5)),1))),"No data"))</f>
        <v/>
      </c>
      <c r="AD59" s="13">
        <f>IF('Council Entry'!AD59="","",IFERROR(MAX(0,MIN(10,ROUND(IF('Council Entry'!AD$7="Decrease Risk",10-10*((IF('Council Entry'!AD$4="Logarithm",LN(0.001+IF(AND(ISNUMBER('Council Entry'!AD$8),ISNUMBER('Council Entry'!AD$9)),MAX(MIN('Council Entry'!AD59,'Council Entry'!AD$9),'Council Entry'!AD$8),'Council Entry'!AD59)),IF('Council Entry'!AD$4="Exponential",EXP(IF(AND(ISNUMBER('Council Entry'!AD$8),ISNUMBER('Council Entry'!AD$9)),MAX(MIN('Council Entry'!AD59,'Council Entry'!AD$9),'Council Entry'!AD$8),'Council Entry'!AD59)),IF(AND(ISNUMBER('Council Entry'!AD$8),ISNUMBER('Council Entry'!AD$9)),MAX(MIN('Council Entry'!AD59,'Council Entry'!AD$9),'Council Entry'!AD$8),'Council Entry'!AD59))))-'Council Entry'!AD$5)/('Council Entry'!AD$6-'Council Entry'!AD$5),10*((IF('Council Entry'!AD$4="Logarithm",LN(0.001+IF(AND(ISNUMBER('Council Entry'!AD$8),ISNUMBER('Council Entry'!AD$9)),MAX(MIN('Council Entry'!AD59,'Council Entry'!AD$9),'Council Entry'!AD$8),'Council Entry'!AD59)),IF('Council Entry'!AD$4="Exponential",EXP(IF(AND(ISNUMBER('Council Entry'!AD$8),ISNUMBER('Council Entry'!AD$9)),MAX(MIN('Council Entry'!AD59,'Council Entry'!AD$9),'Council Entry'!AD$8),'Council Entry'!AD59)),IF(AND(ISNUMBER('Council Entry'!AD$8),ISNUMBER('Council Entry'!AD$9)),MAX(MIN('Council Entry'!AD59,'Council Entry'!AD$9),'Council Entry'!AD$8),'Council Entry'!AD59))))-'Council Entry'!AD$5)/('Council Entry'!AD$6-'Council Entry'!AD$5)),1))),"No data"))</f>
        <v/>
      </c>
      <c r="AE59" s="13">
        <f>IF('Council Entry'!AE59="","",IFERROR(MAX(0,MIN(10,ROUND(IF('Council Entry'!AE$7="Decrease Risk",10-10*((IF('Council Entry'!AE$4="Logarithm",LN(0.001+IF(AND(ISNUMBER('Council Entry'!AE$8),ISNUMBER('Council Entry'!AE$9)),MAX(MIN('Council Entry'!AE59,'Council Entry'!AE$9),'Council Entry'!AE$8),'Council Entry'!AE59)),IF('Council Entry'!AE$4="Exponential",EXP(IF(AND(ISNUMBER('Council Entry'!AE$8),ISNUMBER('Council Entry'!AE$9)),MAX(MIN('Council Entry'!AE59,'Council Entry'!AE$9),'Council Entry'!AE$8),'Council Entry'!AE59)),IF(AND(ISNUMBER('Council Entry'!AE$8),ISNUMBER('Council Entry'!AE$9)),MAX(MIN('Council Entry'!AE59,'Council Entry'!AE$9),'Council Entry'!AE$8),'Council Entry'!AE59))))-'Council Entry'!AE$5)/('Council Entry'!AE$6-'Council Entry'!AE$5),10*((IF('Council Entry'!AE$4="Logarithm",LN(0.001+IF(AND(ISNUMBER('Council Entry'!AE$8),ISNUMBER('Council Entry'!AE$9)),MAX(MIN('Council Entry'!AE59,'Council Entry'!AE$9),'Council Entry'!AE$8),'Council Entry'!AE59)),IF('Council Entry'!AE$4="Exponential",EXP(IF(AND(ISNUMBER('Council Entry'!AE$8),ISNUMBER('Council Entry'!AE$9)),MAX(MIN('Council Entry'!AE59,'Council Entry'!AE$9),'Council Entry'!AE$8),'Council Entry'!AE59)),IF(AND(ISNUMBER('Council Entry'!AE$8),ISNUMBER('Council Entry'!AE$9)),MAX(MIN('Council Entry'!AE59,'Council Entry'!AE$9),'Council Entry'!AE$8),'Council Entry'!AE59))))-'Council Entry'!AE$5)/('Council Entry'!AE$6-'Council Entry'!AE$5)),1))),"No data"))</f>
        <v/>
      </c>
      <c r="AF59" s="13">
        <f>IF('Council Entry'!AF59="","",IFERROR(MAX(0,MIN(10,ROUND(IF('Council Entry'!AF$7="Decrease Risk",10-10*((IF('Council Entry'!AF$4="Logarithm",LN(0.001+IF(AND(ISNUMBER('Council Entry'!AF$8),ISNUMBER('Council Entry'!AF$9)),MAX(MIN('Council Entry'!AF59,'Council Entry'!AF$9),'Council Entry'!AF$8),'Council Entry'!AF59)),IF('Council Entry'!AF$4="Exponential",EXP(IF(AND(ISNUMBER('Council Entry'!AF$8),ISNUMBER('Council Entry'!AF$9)),MAX(MIN('Council Entry'!AF59,'Council Entry'!AF$9),'Council Entry'!AF$8),'Council Entry'!AF59)),IF(AND(ISNUMBER('Council Entry'!AF$8),ISNUMBER('Council Entry'!AF$9)),MAX(MIN('Council Entry'!AF59,'Council Entry'!AF$9),'Council Entry'!AF$8),'Council Entry'!AF59))))-'Council Entry'!AF$5)/('Council Entry'!AF$6-'Council Entry'!AF$5),10*((IF('Council Entry'!AF$4="Logarithm",LN(0.001+IF(AND(ISNUMBER('Council Entry'!AF$8),ISNUMBER('Council Entry'!AF$9)),MAX(MIN('Council Entry'!AF59,'Council Entry'!AF$9),'Council Entry'!AF$8),'Council Entry'!AF59)),IF('Council Entry'!AF$4="Exponential",EXP(IF(AND(ISNUMBER('Council Entry'!AF$8),ISNUMBER('Council Entry'!AF$9)),MAX(MIN('Council Entry'!AF59,'Council Entry'!AF$9),'Council Entry'!AF$8),'Council Entry'!AF59)),IF(AND(ISNUMBER('Council Entry'!AF$8),ISNUMBER('Council Entry'!AF$9)),MAX(MIN('Council Entry'!AF59,'Council Entry'!AF$9),'Council Entry'!AF$8),'Council Entry'!AF59))))-'Council Entry'!AF$5)/('Council Entry'!AF$6-'Council Entry'!AF$5)),1))),"No data"))</f>
        <v/>
      </c>
      <c r="AG59" s="13">
        <f>IF('Council Entry'!AG59="","",IFERROR(MAX(0,MIN(10,ROUND(IF('Council Entry'!AG$7="Decrease Risk",10-10*((IF('Council Entry'!AG$4="Logarithm",LN(0.001+IF(AND(ISNUMBER('Council Entry'!AG$8),ISNUMBER('Council Entry'!AG$9)),MAX(MIN('Council Entry'!AG59,'Council Entry'!AG$9),'Council Entry'!AG$8),'Council Entry'!AG59)),IF('Council Entry'!AG$4="Exponential",EXP(IF(AND(ISNUMBER('Council Entry'!AG$8),ISNUMBER('Council Entry'!AG$9)),MAX(MIN('Council Entry'!AG59,'Council Entry'!AG$9),'Council Entry'!AG$8),'Council Entry'!AG59)),IF(AND(ISNUMBER('Council Entry'!AG$8),ISNUMBER('Council Entry'!AG$9)),MAX(MIN('Council Entry'!AG59,'Council Entry'!AG$9),'Council Entry'!AG$8),'Council Entry'!AG59))))-'Council Entry'!AG$5)/('Council Entry'!AG$6-'Council Entry'!AG$5),10*((IF('Council Entry'!AG$4="Logarithm",LN(0.001+IF(AND(ISNUMBER('Council Entry'!AG$8),ISNUMBER('Council Entry'!AG$9)),MAX(MIN('Council Entry'!AG59,'Council Entry'!AG$9),'Council Entry'!AG$8),'Council Entry'!AG59)),IF('Council Entry'!AG$4="Exponential",EXP(IF(AND(ISNUMBER('Council Entry'!AG$8),ISNUMBER('Council Entry'!AG$9)),MAX(MIN('Council Entry'!AG59,'Council Entry'!AG$9),'Council Entry'!AG$8),'Council Entry'!AG59)),IF(AND(ISNUMBER('Council Entry'!AG$8),ISNUMBER('Council Entry'!AG$9)),MAX(MIN('Council Entry'!AG59,'Council Entry'!AG$9),'Council Entry'!AG$8),'Council Entry'!AG59))))-'Council Entry'!AG$5)/('Council Entry'!AG$6-'Council Entry'!AG$5)),1))),"No data"))</f>
        <v/>
      </c>
      <c r="AH59" s="13">
        <f>IF('Council Entry'!AH59="","",IFERROR(MAX(0,MIN(10,ROUND(IF('Council Entry'!AH$7="Decrease Risk",10-10*((IF('Council Entry'!AH$4="Logarithm",LN(0.001+IF(AND(ISNUMBER('Council Entry'!AH$8),ISNUMBER('Council Entry'!AH$9)),MAX(MIN('Council Entry'!AH59,'Council Entry'!AH$9),'Council Entry'!AH$8),'Council Entry'!AH59)),IF('Council Entry'!AH$4="Exponential",EXP(IF(AND(ISNUMBER('Council Entry'!AH$8),ISNUMBER('Council Entry'!AH$9)),MAX(MIN('Council Entry'!AH59,'Council Entry'!AH$9),'Council Entry'!AH$8),'Council Entry'!AH59)),IF(AND(ISNUMBER('Council Entry'!AH$8),ISNUMBER('Council Entry'!AH$9)),MAX(MIN('Council Entry'!AH59,'Council Entry'!AH$9),'Council Entry'!AH$8),'Council Entry'!AH59))))-'Council Entry'!AH$5)/('Council Entry'!AH$6-'Council Entry'!AH$5),10*((IF('Council Entry'!AH$4="Logarithm",LN(0.001+IF(AND(ISNUMBER('Council Entry'!AH$8),ISNUMBER('Council Entry'!AH$9)),MAX(MIN('Council Entry'!AH59,'Council Entry'!AH$9),'Council Entry'!AH$8),'Council Entry'!AH59)),IF('Council Entry'!AH$4="Exponential",EXP(IF(AND(ISNUMBER('Council Entry'!AH$8),ISNUMBER('Council Entry'!AH$9)),MAX(MIN('Council Entry'!AH59,'Council Entry'!AH$9),'Council Entry'!AH$8),'Council Entry'!AH59)),IF(AND(ISNUMBER('Council Entry'!AH$8),ISNUMBER('Council Entry'!AH$9)),MAX(MIN('Council Entry'!AH59,'Council Entry'!AH$9),'Council Entry'!AH$8),'Council Entry'!AH59))))-'Council Entry'!AH$5)/('Council Entry'!AH$6-'Council Entry'!AH$5)),1))),"No data"))</f>
        <v/>
      </c>
      <c r="AI59" s="13">
        <f>IF('Council Entry'!AI59="","",IFERROR(MAX(0,MIN(10,ROUND(IF('Council Entry'!AI$7="Decrease Risk",10-10*((IF('Council Entry'!AI$4="Logarithm",LN(0.001+IF(AND(ISNUMBER('Council Entry'!AI$8),ISNUMBER('Council Entry'!AI$9)),MAX(MIN('Council Entry'!AI59,'Council Entry'!AI$9),'Council Entry'!AI$8),'Council Entry'!AI59)),IF('Council Entry'!AI$4="Exponential",EXP(IF(AND(ISNUMBER('Council Entry'!AI$8),ISNUMBER('Council Entry'!AI$9)),MAX(MIN('Council Entry'!AI59,'Council Entry'!AI$9),'Council Entry'!AI$8),'Council Entry'!AI59)),IF(AND(ISNUMBER('Council Entry'!AI$8),ISNUMBER('Council Entry'!AI$9)),MAX(MIN('Council Entry'!AI59,'Council Entry'!AI$9),'Council Entry'!AI$8),'Council Entry'!AI59))))-'Council Entry'!AI$5)/('Council Entry'!AI$6-'Council Entry'!AI$5),10*((IF('Council Entry'!AI$4="Logarithm",LN(0.001+IF(AND(ISNUMBER('Council Entry'!AI$8),ISNUMBER('Council Entry'!AI$9)),MAX(MIN('Council Entry'!AI59,'Council Entry'!AI$9),'Council Entry'!AI$8),'Council Entry'!AI59)),IF('Council Entry'!AI$4="Exponential",EXP(IF(AND(ISNUMBER('Council Entry'!AI$8),ISNUMBER('Council Entry'!AI$9)),MAX(MIN('Council Entry'!AI59,'Council Entry'!AI$9),'Council Entry'!AI$8),'Council Entry'!AI59)),IF(AND(ISNUMBER('Council Entry'!AI$8),ISNUMBER('Council Entry'!AI$9)),MAX(MIN('Council Entry'!AI59,'Council Entry'!AI$9),'Council Entry'!AI$8),'Council Entry'!AI59))))-'Council Entry'!AI$5)/('Council Entry'!AI$6-'Council Entry'!AI$5)),1))),"No data"))</f>
        <v/>
      </c>
      <c r="AJ59" s="13">
        <f>IF('Council Entry'!AJ59="","",IFERROR(MAX(0,MIN(10,ROUND(IF('Council Entry'!AJ$7="Decrease Risk",10-10*((IF('Council Entry'!AJ$4="Logarithm",LN(0.001+IF(AND(ISNUMBER('Council Entry'!AJ$8),ISNUMBER('Council Entry'!AJ$9)),MAX(MIN('Council Entry'!AJ59,'Council Entry'!AJ$9),'Council Entry'!AJ$8),'Council Entry'!AJ59)),IF('Council Entry'!AJ$4="Exponential",EXP(IF(AND(ISNUMBER('Council Entry'!AJ$8),ISNUMBER('Council Entry'!AJ$9)),MAX(MIN('Council Entry'!AJ59,'Council Entry'!AJ$9),'Council Entry'!AJ$8),'Council Entry'!AJ59)),IF(AND(ISNUMBER('Council Entry'!AJ$8),ISNUMBER('Council Entry'!AJ$9)),MAX(MIN('Council Entry'!AJ59,'Council Entry'!AJ$9),'Council Entry'!AJ$8),'Council Entry'!AJ59))))-'Council Entry'!AJ$5)/('Council Entry'!AJ$6-'Council Entry'!AJ$5),10*((IF('Council Entry'!AJ$4="Logarithm",LN(0.001+IF(AND(ISNUMBER('Council Entry'!AJ$8),ISNUMBER('Council Entry'!AJ$9)),MAX(MIN('Council Entry'!AJ59,'Council Entry'!AJ$9),'Council Entry'!AJ$8),'Council Entry'!AJ59)),IF('Council Entry'!AJ$4="Exponential",EXP(IF(AND(ISNUMBER('Council Entry'!AJ$8),ISNUMBER('Council Entry'!AJ$9)),MAX(MIN('Council Entry'!AJ59,'Council Entry'!AJ$9),'Council Entry'!AJ$8),'Council Entry'!AJ59)),IF(AND(ISNUMBER('Council Entry'!AJ$8),ISNUMBER('Council Entry'!AJ$9)),MAX(MIN('Council Entry'!AJ59,'Council Entry'!AJ$9),'Council Entry'!AJ$8),'Council Entry'!AJ59))))-'Council Entry'!AJ$5)/('Council Entry'!AJ$6-'Council Entry'!AJ$5)),1))),"No data"))</f>
        <v/>
      </c>
      <c r="AK59" s="13">
        <f>IF('Council Entry'!AK59="","",IFERROR(MAX(0,MIN(10,ROUND(IF('Council Entry'!AK$7="Decrease Risk",10-10*((IF('Council Entry'!AK$4="Logarithm",LN(0.001+IF(AND(ISNUMBER('Council Entry'!AK$8),ISNUMBER('Council Entry'!AK$9)),MAX(MIN('Council Entry'!AK59,'Council Entry'!AK$9),'Council Entry'!AK$8),'Council Entry'!AK59)),IF('Council Entry'!AK$4="Exponential",EXP(IF(AND(ISNUMBER('Council Entry'!AK$8),ISNUMBER('Council Entry'!AK$9)),MAX(MIN('Council Entry'!AK59,'Council Entry'!AK$9),'Council Entry'!AK$8),'Council Entry'!AK59)),IF(AND(ISNUMBER('Council Entry'!AK$8),ISNUMBER('Council Entry'!AK$9)),MAX(MIN('Council Entry'!AK59,'Council Entry'!AK$9),'Council Entry'!AK$8),'Council Entry'!AK59))))-'Council Entry'!AK$5)/('Council Entry'!AK$6-'Council Entry'!AK$5),10*((IF('Council Entry'!AK$4="Logarithm",LN(0.001+IF(AND(ISNUMBER('Council Entry'!AK$8),ISNUMBER('Council Entry'!AK$9)),MAX(MIN('Council Entry'!AK59,'Council Entry'!AK$9),'Council Entry'!AK$8),'Council Entry'!AK59)),IF('Council Entry'!AK$4="Exponential",EXP(IF(AND(ISNUMBER('Council Entry'!AK$8),ISNUMBER('Council Entry'!AK$9)),MAX(MIN('Council Entry'!AK59,'Council Entry'!AK$9),'Council Entry'!AK$8),'Council Entry'!AK59)),IF(AND(ISNUMBER('Council Entry'!AK$8),ISNUMBER('Council Entry'!AK$9)),MAX(MIN('Council Entry'!AK59,'Council Entry'!AK$9),'Council Entry'!AK$8),'Council Entry'!AK59))))-'Council Entry'!AK$5)/('Council Entry'!AK$6-'Council Entry'!AK$5)),1))),"No data"))</f>
        <v/>
      </c>
      <c r="AL59" s="13">
        <f>IF('Council Entry'!AL59="","",IFERROR(MAX(0,MIN(10,ROUND(IF('Council Entry'!AL$7="Decrease Risk",10-10*((IF('Council Entry'!AL$4="Logarithm",LN(0.001+IF(AND(ISNUMBER('Council Entry'!AL$8),ISNUMBER('Council Entry'!AL$9)),MAX(MIN('Council Entry'!AL59,'Council Entry'!AL$9),'Council Entry'!AL$8),'Council Entry'!AL59)),IF('Council Entry'!AL$4="Exponential",EXP(IF(AND(ISNUMBER('Council Entry'!AL$8),ISNUMBER('Council Entry'!AL$9)),MAX(MIN('Council Entry'!AL59,'Council Entry'!AL$9),'Council Entry'!AL$8),'Council Entry'!AL59)),IF(AND(ISNUMBER('Council Entry'!AL$8),ISNUMBER('Council Entry'!AL$9)),MAX(MIN('Council Entry'!AL59,'Council Entry'!AL$9),'Council Entry'!AL$8),'Council Entry'!AL59))))-'Council Entry'!AL$5)/('Council Entry'!AL$6-'Council Entry'!AL$5),10*((IF('Council Entry'!AL$4="Logarithm",LN(0.001+IF(AND(ISNUMBER('Council Entry'!AL$8),ISNUMBER('Council Entry'!AL$9)),MAX(MIN('Council Entry'!AL59,'Council Entry'!AL$9),'Council Entry'!AL$8),'Council Entry'!AL59)),IF('Council Entry'!AL$4="Exponential",EXP(IF(AND(ISNUMBER('Council Entry'!AL$8),ISNUMBER('Council Entry'!AL$9)),MAX(MIN('Council Entry'!AL59,'Council Entry'!AL$9),'Council Entry'!AL$8),'Council Entry'!AL59)),IF(AND(ISNUMBER('Council Entry'!AL$8),ISNUMBER('Council Entry'!AL$9)),MAX(MIN('Council Entry'!AL59,'Council Entry'!AL$9),'Council Entry'!AL$8),'Council Entry'!AL59))))-'Council Entry'!AL$5)/('Council Entry'!AL$6-'Council Entry'!AL$5)),1))),"No data"))</f>
        <v/>
      </c>
      <c r="AM59" s="13">
        <f>IF('Council Entry'!AM59="","",IFERROR(MAX(0,MIN(10,ROUND(IF('Council Entry'!AM$7="Decrease Risk",10-10*((IF('Council Entry'!AM$4="Logarithm",LN(0.001+IF(AND(ISNUMBER('Council Entry'!AM$8),ISNUMBER('Council Entry'!AM$9)),MAX(MIN('Council Entry'!AM59,'Council Entry'!AM$9),'Council Entry'!AM$8),'Council Entry'!AM59)),IF('Council Entry'!AM$4="Exponential",EXP(IF(AND(ISNUMBER('Council Entry'!AM$8),ISNUMBER('Council Entry'!AM$9)),MAX(MIN('Council Entry'!AM59,'Council Entry'!AM$9),'Council Entry'!AM$8),'Council Entry'!AM59)),IF(AND(ISNUMBER('Council Entry'!AM$8),ISNUMBER('Council Entry'!AM$9)),MAX(MIN('Council Entry'!AM59,'Council Entry'!AM$9),'Council Entry'!AM$8),'Council Entry'!AM59))))-'Council Entry'!AM$5)/('Council Entry'!AM$6-'Council Entry'!AM$5),10*((IF('Council Entry'!AM$4="Logarithm",LN(0.001+IF(AND(ISNUMBER('Council Entry'!AM$8),ISNUMBER('Council Entry'!AM$9)),MAX(MIN('Council Entry'!AM59,'Council Entry'!AM$9),'Council Entry'!AM$8),'Council Entry'!AM59)),IF('Council Entry'!AM$4="Exponential",EXP(IF(AND(ISNUMBER('Council Entry'!AM$8),ISNUMBER('Council Entry'!AM$9)),MAX(MIN('Council Entry'!AM59,'Council Entry'!AM$9),'Council Entry'!AM$8),'Council Entry'!AM59)),IF(AND(ISNUMBER('Council Entry'!AM$8),ISNUMBER('Council Entry'!AM$9)),MAX(MIN('Council Entry'!AM59,'Council Entry'!AM$9),'Council Entry'!AM$8),'Council Entry'!AM59))))-'Council Entry'!AM$5)/('Council Entry'!AM$6-'Council Entry'!AM$5)),1))),"No data"))</f>
        <v/>
      </c>
      <c r="AN59" s="13">
        <f>IF('Council Entry'!AN59="","",IFERROR(MAX(0,MIN(10,ROUND(IF('Council Entry'!AN$7="Decrease Risk",10-10*((IF('Council Entry'!AN$4="Logarithm",LN(0.001+IF(AND(ISNUMBER('Council Entry'!AN$8),ISNUMBER('Council Entry'!AN$9)),MAX(MIN('Council Entry'!AN59,'Council Entry'!AN$9),'Council Entry'!AN$8),'Council Entry'!AN59)),IF('Council Entry'!AN$4="Exponential",EXP(IF(AND(ISNUMBER('Council Entry'!AN$8),ISNUMBER('Council Entry'!AN$9)),MAX(MIN('Council Entry'!AN59,'Council Entry'!AN$9),'Council Entry'!AN$8),'Council Entry'!AN59)),IF(AND(ISNUMBER('Council Entry'!AN$8),ISNUMBER('Council Entry'!AN$9)),MAX(MIN('Council Entry'!AN59,'Council Entry'!AN$9),'Council Entry'!AN$8),'Council Entry'!AN59))))-'Council Entry'!AN$5)/('Council Entry'!AN$6-'Council Entry'!AN$5),10*((IF('Council Entry'!AN$4="Logarithm",LN(0.001+IF(AND(ISNUMBER('Council Entry'!AN$8),ISNUMBER('Council Entry'!AN$9)),MAX(MIN('Council Entry'!AN59,'Council Entry'!AN$9),'Council Entry'!AN$8),'Council Entry'!AN59)),IF('Council Entry'!AN$4="Exponential",EXP(IF(AND(ISNUMBER('Council Entry'!AN$8),ISNUMBER('Council Entry'!AN$9)),MAX(MIN('Council Entry'!AN59,'Council Entry'!AN$9),'Council Entry'!AN$8),'Council Entry'!AN59)),IF(AND(ISNUMBER('Council Entry'!AN$8),ISNUMBER('Council Entry'!AN$9)),MAX(MIN('Council Entry'!AN59,'Council Entry'!AN$9),'Council Entry'!AN$8),'Council Entry'!AN59))))-'Council Entry'!AN$5)/('Council Entry'!AN$6-'Council Entry'!AN$5)),1))),"No data"))</f>
        <v/>
      </c>
      <c r="AO59" s="13">
        <f>IF('Council Entry'!AO59="","",IFERROR(MAX(0,MIN(10,ROUND(IF('Council Entry'!AO$7="Decrease Risk",10-10*((IF('Council Entry'!AO$4="Logarithm",LN(0.001+IF(AND(ISNUMBER('Council Entry'!AO$8),ISNUMBER('Council Entry'!AO$9)),MAX(MIN('Council Entry'!AO59,'Council Entry'!AO$9),'Council Entry'!AO$8),'Council Entry'!AO59)),IF('Council Entry'!AO$4="Exponential",EXP(IF(AND(ISNUMBER('Council Entry'!AO$8),ISNUMBER('Council Entry'!AO$9)),MAX(MIN('Council Entry'!AO59,'Council Entry'!AO$9),'Council Entry'!AO$8),'Council Entry'!AO59)),IF(AND(ISNUMBER('Council Entry'!AO$8),ISNUMBER('Council Entry'!AO$9)),MAX(MIN('Council Entry'!AO59,'Council Entry'!AO$9),'Council Entry'!AO$8),'Council Entry'!AO59))))-'Council Entry'!AO$5)/('Council Entry'!AO$6-'Council Entry'!AO$5),10*((IF('Council Entry'!AO$4="Logarithm",LN(0.001+IF(AND(ISNUMBER('Council Entry'!AO$8),ISNUMBER('Council Entry'!AO$9)),MAX(MIN('Council Entry'!AO59,'Council Entry'!AO$9),'Council Entry'!AO$8),'Council Entry'!AO59)),IF('Council Entry'!AO$4="Exponential",EXP(IF(AND(ISNUMBER('Council Entry'!AO$8),ISNUMBER('Council Entry'!AO$9)),MAX(MIN('Council Entry'!AO59,'Council Entry'!AO$9),'Council Entry'!AO$8),'Council Entry'!AO59)),IF(AND(ISNUMBER('Council Entry'!AO$8),ISNUMBER('Council Entry'!AO$9)),MAX(MIN('Council Entry'!AO59,'Council Entry'!AO$9),'Council Entry'!AO$8),'Council Entry'!AO59))))-'Council Entry'!AO$5)/('Council Entry'!AO$6-'Council Entry'!AO$5)),1))),"No data"))</f>
        <v/>
      </c>
      <c r="AP59" s="13">
        <f>IF('Council Entry'!AP59="","",IFERROR(MAX(0,MIN(10,ROUND(IF('Council Entry'!AP$7="Decrease Risk",10-10*((IF('Council Entry'!AP$4="Logarithm",LN(0.001+IF(AND(ISNUMBER('Council Entry'!AP$8),ISNUMBER('Council Entry'!AP$9)),MAX(MIN('Council Entry'!AP59,'Council Entry'!AP$9),'Council Entry'!AP$8),'Council Entry'!AP59)),IF('Council Entry'!AP$4="Exponential",EXP(IF(AND(ISNUMBER('Council Entry'!AP$8),ISNUMBER('Council Entry'!AP$9)),MAX(MIN('Council Entry'!AP59,'Council Entry'!AP$9),'Council Entry'!AP$8),'Council Entry'!AP59)),IF(AND(ISNUMBER('Council Entry'!AP$8),ISNUMBER('Council Entry'!AP$9)),MAX(MIN('Council Entry'!AP59,'Council Entry'!AP$9),'Council Entry'!AP$8),'Council Entry'!AP59))))-'Council Entry'!AP$5)/('Council Entry'!AP$6-'Council Entry'!AP$5),10*((IF('Council Entry'!AP$4="Logarithm",LN(0.001+IF(AND(ISNUMBER('Council Entry'!AP$8),ISNUMBER('Council Entry'!AP$9)),MAX(MIN('Council Entry'!AP59,'Council Entry'!AP$9),'Council Entry'!AP$8),'Council Entry'!AP59)),IF('Council Entry'!AP$4="Exponential",EXP(IF(AND(ISNUMBER('Council Entry'!AP$8),ISNUMBER('Council Entry'!AP$9)),MAX(MIN('Council Entry'!AP59,'Council Entry'!AP$9),'Council Entry'!AP$8),'Council Entry'!AP59)),IF(AND(ISNUMBER('Council Entry'!AP$8),ISNUMBER('Council Entry'!AP$9)),MAX(MIN('Council Entry'!AP59,'Council Entry'!AP$9),'Council Entry'!AP$8),'Council Entry'!AP59))))-'Council Entry'!AP$5)/('Council Entry'!AP$6-'Council Entry'!AP$5)),1))),"No data"))</f>
        <v/>
      </c>
      <c r="AQ59" s="13">
        <f>IF('Council Entry'!AQ59="","",IFERROR(MAX(0,MIN(10,ROUND(IF('Council Entry'!AQ$7="Decrease Risk",10-10*((IF('Council Entry'!AQ$4="Logarithm",LN(0.001+IF(AND(ISNUMBER('Council Entry'!AQ$8),ISNUMBER('Council Entry'!AQ$9)),MAX(MIN('Council Entry'!AQ59,'Council Entry'!AQ$9),'Council Entry'!AQ$8),'Council Entry'!AQ59)),IF('Council Entry'!AQ$4="Exponential",EXP(IF(AND(ISNUMBER('Council Entry'!AQ$8),ISNUMBER('Council Entry'!AQ$9)),MAX(MIN('Council Entry'!AQ59,'Council Entry'!AQ$9),'Council Entry'!AQ$8),'Council Entry'!AQ59)),IF(AND(ISNUMBER('Council Entry'!AQ$8),ISNUMBER('Council Entry'!AQ$9)),MAX(MIN('Council Entry'!AQ59,'Council Entry'!AQ$9),'Council Entry'!AQ$8),'Council Entry'!AQ59))))-'Council Entry'!AQ$5)/('Council Entry'!AQ$6-'Council Entry'!AQ$5),10*((IF('Council Entry'!AQ$4="Logarithm",LN(0.001+IF(AND(ISNUMBER('Council Entry'!AQ$8),ISNUMBER('Council Entry'!AQ$9)),MAX(MIN('Council Entry'!AQ59,'Council Entry'!AQ$9),'Council Entry'!AQ$8),'Council Entry'!AQ59)),IF('Council Entry'!AQ$4="Exponential",EXP(IF(AND(ISNUMBER('Council Entry'!AQ$8),ISNUMBER('Council Entry'!AQ$9)),MAX(MIN('Council Entry'!AQ59,'Council Entry'!AQ$9),'Council Entry'!AQ$8),'Council Entry'!AQ59)),IF(AND(ISNUMBER('Council Entry'!AQ$8),ISNUMBER('Council Entry'!AQ$9)),MAX(MIN('Council Entry'!AQ59,'Council Entry'!AQ$9),'Council Entry'!AQ$8),'Council Entry'!AQ59))))-'Council Entry'!AQ$5)/('Council Entry'!AQ$6-'Council Entry'!AQ$5)),1))),"No data"))</f>
        <v/>
      </c>
      <c r="AR59" s="13">
        <f>IF('Council Entry'!AR59="","",IFERROR(MAX(0,MIN(10,ROUND(IF('Council Entry'!AR$7="Decrease Risk",10-10*((IF('Council Entry'!AR$4="Logarithm",LN(0.001+IF(AND(ISNUMBER('Council Entry'!AR$8),ISNUMBER('Council Entry'!AR$9)),MAX(MIN('Council Entry'!AR59,'Council Entry'!AR$9),'Council Entry'!AR$8),'Council Entry'!AR59)),IF('Council Entry'!AR$4="Exponential",EXP(IF(AND(ISNUMBER('Council Entry'!AR$8),ISNUMBER('Council Entry'!AR$9)),MAX(MIN('Council Entry'!AR59,'Council Entry'!AR$9),'Council Entry'!AR$8),'Council Entry'!AR59)),IF(AND(ISNUMBER('Council Entry'!AR$8),ISNUMBER('Council Entry'!AR$9)),MAX(MIN('Council Entry'!AR59,'Council Entry'!AR$9),'Council Entry'!AR$8),'Council Entry'!AR59))))-'Council Entry'!AR$5)/('Council Entry'!AR$6-'Council Entry'!AR$5),10*((IF('Council Entry'!AR$4="Logarithm",LN(0.001+IF(AND(ISNUMBER('Council Entry'!AR$8),ISNUMBER('Council Entry'!AR$9)),MAX(MIN('Council Entry'!AR59,'Council Entry'!AR$9),'Council Entry'!AR$8),'Council Entry'!AR59)),IF('Council Entry'!AR$4="Exponential",EXP(IF(AND(ISNUMBER('Council Entry'!AR$8),ISNUMBER('Council Entry'!AR$9)),MAX(MIN('Council Entry'!AR59,'Council Entry'!AR$9),'Council Entry'!AR$8),'Council Entry'!AR59)),IF(AND(ISNUMBER('Council Entry'!AR$8),ISNUMBER('Council Entry'!AR$9)),MAX(MIN('Council Entry'!AR59,'Council Entry'!AR$9),'Council Entry'!AR$8),'Council Entry'!AR59))))-'Council Entry'!AR$5)/('Council Entry'!AR$6-'Council Entry'!AR$5)),1))),"No data"))</f>
        <v/>
      </c>
      <c r="AS59" s="13">
        <f>IF('Council Entry'!AS59="","",IFERROR(MAX(0,MIN(10,ROUND(IF('Council Entry'!AS$7="Decrease Risk",10-10*((IF('Council Entry'!AS$4="Logarithm",LN(0.001+IF(AND(ISNUMBER('Council Entry'!AS$8),ISNUMBER('Council Entry'!AS$9)),MAX(MIN('Council Entry'!AS59,'Council Entry'!AS$9),'Council Entry'!AS$8),'Council Entry'!AS59)),IF('Council Entry'!AS$4="Exponential",EXP(IF(AND(ISNUMBER('Council Entry'!AS$8),ISNUMBER('Council Entry'!AS$9)),MAX(MIN('Council Entry'!AS59,'Council Entry'!AS$9),'Council Entry'!AS$8),'Council Entry'!AS59)),IF(AND(ISNUMBER('Council Entry'!AS$8),ISNUMBER('Council Entry'!AS$9)),MAX(MIN('Council Entry'!AS59,'Council Entry'!AS$9),'Council Entry'!AS$8),'Council Entry'!AS59))))-'Council Entry'!AS$5)/('Council Entry'!AS$6-'Council Entry'!AS$5),10*((IF('Council Entry'!AS$4="Logarithm",LN(0.001+IF(AND(ISNUMBER('Council Entry'!AS$8),ISNUMBER('Council Entry'!AS$9)),MAX(MIN('Council Entry'!AS59,'Council Entry'!AS$9),'Council Entry'!AS$8),'Council Entry'!AS59)),IF('Council Entry'!AS$4="Exponential",EXP(IF(AND(ISNUMBER('Council Entry'!AS$8),ISNUMBER('Council Entry'!AS$9)),MAX(MIN('Council Entry'!AS59,'Council Entry'!AS$9),'Council Entry'!AS$8),'Council Entry'!AS59)),IF(AND(ISNUMBER('Council Entry'!AS$8),ISNUMBER('Council Entry'!AS$9)),MAX(MIN('Council Entry'!AS59,'Council Entry'!AS$9),'Council Entry'!AS$8),'Council Entry'!AS59))))-'Council Entry'!AS$5)/('Council Entry'!AS$6-'Council Entry'!AS$5)),1))),"No data"))</f>
        <v/>
      </c>
      <c r="AT59" s="13">
        <f>IF('Council Entry'!AT59="","",IFERROR(MAX(0,MIN(10,ROUND(IF('Council Entry'!AT$7="Decrease Risk",10-10*((IF('Council Entry'!AT$4="Logarithm",LN(0.001+IF(AND(ISNUMBER('Council Entry'!AT$8),ISNUMBER('Council Entry'!AT$9)),MAX(MIN('Council Entry'!AT59,'Council Entry'!AT$9),'Council Entry'!AT$8),'Council Entry'!AT59)),IF('Council Entry'!AT$4="Exponential",EXP(IF(AND(ISNUMBER('Council Entry'!AT$8),ISNUMBER('Council Entry'!AT$9)),MAX(MIN('Council Entry'!AT59,'Council Entry'!AT$9),'Council Entry'!AT$8),'Council Entry'!AT59)),IF(AND(ISNUMBER('Council Entry'!AT$8),ISNUMBER('Council Entry'!AT$9)),MAX(MIN('Council Entry'!AT59,'Council Entry'!AT$9),'Council Entry'!AT$8),'Council Entry'!AT59))))-'Council Entry'!AT$5)/('Council Entry'!AT$6-'Council Entry'!AT$5),10*((IF('Council Entry'!AT$4="Logarithm",LN(0.001+IF(AND(ISNUMBER('Council Entry'!AT$8),ISNUMBER('Council Entry'!AT$9)),MAX(MIN('Council Entry'!AT59,'Council Entry'!AT$9),'Council Entry'!AT$8),'Council Entry'!AT59)),IF('Council Entry'!AT$4="Exponential",EXP(IF(AND(ISNUMBER('Council Entry'!AT$8),ISNUMBER('Council Entry'!AT$9)),MAX(MIN('Council Entry'!AT59,'Council Entry'!AT$9),'Council Entry'!AT$8),'Council Entry'!AT59)),IF(AND(ISNUMBER('Council Entry'!AT$8),ISNUMBER('Council Entry'!AT$9)),MAX(MIN('Council Entry'!AT59,'Council Entry'!AT$9),'Council Entry'!AT$8),'Council Entry'!AT59))))-'Council Entry'!AT$5)/('Council Entry'!AT$6-'Council Entry'!AT$5)),1))),"No data"))</f>
        <v/>
      </c>
      <c r="AU59" s="13">
        <f>IF('Council Entry'!AU59="","",IFERROR(MAX(0,MIN(10,ROUND(IF('Council Entry'!AU$7="Decrease Risk",10-10*((IF('Council Entry'!AU$4="Logarithm",LN(0.001+IF(AND(ISNUMBER('Council Entry'!AU$8),ISNUMBER('Council Entry'!AU$9)),MAX(MIN('Council Entry'!AU59,'Council Entry'!AU$9),'Council Entry'!AU$8),'Council Entry'!AU59)),IF('Council Entry'!AU$4="Exponential",EXP(IF(AND(ISNUMBER('Council Entry'!AU$8),ISNUMBER('Council Entry'!AU$9)),MAX(MIN('Council Entry'!AU59,'Council Entry'!AU$9),'Council Entry'!AU$8),'Council Entry'!AU59)),IF(AND(ISNUMBER('Council Entry'!AU$8),ISNUMBER('Council Entry'!AU$9)),MAX(MIN('Council Entry'!AU59,'Council Entry'!AU$9),'Council Entry'!AU$8),'Council Entry'!AU59))))-'Council Entry'!AU$5)/('Council Entry'!AU$6-'Council Entry'!AU$5),10*((IF('Council Entry'!AU$4="Logarithm",LN(0.001+IF(AND(ISNUMBER('Council Entry'!AU$8),ISNUMBER('Council Entry'!AU$9)),MAX(MIN('Council Entry'!AU59,'Council Entry'!AU$9),'Council Entry'!AU$8),'Council Entry'!AU59)),IF('Council Entry'!AU$4="Exponential",EXP(IF(AND(ISNUMBER('Council Entry'!AU$8),ISNUMBER('Council Entry'!AU$9)),MAX(MIN('Council Entry'!AU59,'Council Entry'!AU$9),'Council Entry'!AU$8),'Council Entry'!AU59)),IF(AND(ISNUMBER('Council Entry'!AU$8),ISNUMBER('Council Entry'!AU$9)),MAX(MIN('Council Entry'!AU59,'Council Entry'!AU$9),'Council Entry'!AU$8),'Council Entry'!AU59))))-'Council Entry'!AU$5)/('Council Entry'!AU$6-'Council Entry'!AU$5)),1))),"No data"))</f>
        <v/>
      </c>
      <c r="AV59" s="13">
        <f>IF('Council Entry'!AV59="","",IFERROR(MAX(0,MIN(10,ROUND(IF('Council Entry'!AV$7="Decrease Risk",10-10*((IF('Council Entry'!AV$4="Logarithm",LN(0.001+IF(AND(ISNUMBER('Council Entry'!AV$8),ISNUMBER('Council Entry'!AV$9)),MAX(MIN('Council Entry'!AV59,'Council Entry'!AV$9),'Council Entry'!AV$8),'Council Entry'!AV59)),IF('Council Entry'!AV$4="Exponential",EXP(IF(AND(ISNUMBER('Council Entry'!AV$8),ISNUMBER('Council Entry'!AV$9)),MAX(MIN('Council Entry'!AV59,'Council Entry'!AV$9),'Council Entry'!AV$8),'Council Entry'!AV59)),IF(AND(ISNUMBER('Council Entry'!AV$8),ISNUMBER('Council Entry'!AV$9)),MAX(MIN('Council Entry'!AV59,'Council Entry'!AV$9),'Council Entry'!AV$8),'Council Entry'!AV59))))-'Council Entry'!AV$5)/('Council Entry'!AV$6-'Council Entry'!AV$5),10*((IF('Council Entry'!AV$4="Logarithm",LN(0.001+IF(AND(ISNUMBER('Council Entry'!AV$8),ISNUMBER('Council Entry'!AV$9)),MAX(MIN('Council Entry'!AV59,'Council Entry'!AV$9),'Council Entry'!AV$8),'Council Entry'!AV59)),IF('Council Entry'!AV$4="Exponential",EXP(IF(AND(ISNUMBER('Council Entry'!AV$8),ISNUMBER('Council Entry'!AV$9)),MAX(MIN('Council Entry'!AV59,'Council Entry'!AV$9),'Council Entry'!AV$8),'Council Entry'!AV59)),IF(AND(ISNUMBER('Council Entry'!AV$8),ISNUMBER('Council Entry'!AV$9)),MAX(MIN('Council Entry'!AV59,'Council Entry'!AV$9),'Council Entry'!AV$8),'Council Entry'!AV59))))-'Council Entry'!AV$5)/('Council Entry'!AV$6-'Council Entry'!AV$5)),1))),"No data"))</f>
        <v/>
      </c>
      <c r="AW59" s="13">
        <f>IF('Council Entry'!AW59="","",IFERROR(MAX(0,MIN(10,ROUND(IF('Council Entry'!AW$7="Decrease Risk",10-10*((IF('Council Entry'!AW$4="Logarithm",LN(0.001+IF(AND(ISNUMBER('Council Entry'!AW$8),ISNUMBER('Council Entry'!AW$9)),MAX(MIN('Council Entry'!AW59,'Council Entry'!AW$9),'Council Entry'!AW$8),'Council Entry'!AW59)),IF('Council Entry'!AW$4="Exponential",EXP(IF(AND(ISNUMBER('Council Entry'!AW$8),ISNUMBER('Council Entry'!AW$9)),MAX(MIN('Council Entry'!AW59,'Council Entry'!AW$9),'Council Entry'!AW$8),'Council Entry'!AW59)),IF(AND(ISNUMBER('Council Entry'!AW$8),ISNUMBER('Council Entry'!AW$9)),MAX(MIN('Council Entry'!AW59,'Council Entry'!AW$9),'Council Entry'!AW$8),'Council Entry'!AW59))))-'Council Entry'!AW$5)/('Council Entry'!AW$6-'Council Entry'!AW$5),10*((IF('Council Entry'!AW$4="Logarithm",LN(0.001+IF(AND(ISNUMBER('Council Entry'!AW$8),ISNUMBER('Council Entry'!AW$9)),MAX(MIN('Council Entry'!AW59,'Council Entry'!AW$9),'Council Entry'!AW$8),'Council Entry'!AW59)),IF('Council Entry'!AW$4="Exponential",EXP(IF(AND(ISNUMBER('Council Entry'!AW$8),ISNUMBER('Council Entry'!AW$9)),MAX(MIN('Council Entry'!AW59,'Council Entry'!AW$9),'Council Entry'!AW$8),'Council Entry'!AW59)),IF(AND(ISNUMBER('Council Entry'!AW$8),ISNUMBER('Council Entry'!AW$9)),MAX(MIN('Council Entry'!AW59,'Council Entry'!AW$9),'Council Entry'!AW$8),'Council Entry'!AW59))))-'Council Entry'!AW$5)/('Council Entry'!AW$6-'Council Entry'!AW$5)),1))),"No data"))</f>
        <v/>
      </c>
      <c r="AX59" s="13">
        <f>IF('Council Entry'!AX59="","",IFERROR(MAX(0,MIN(10,ROUND(IF('Council Entry'!AX$7="Decrease Risk",10-10*((IF('Council Entry'!AX$4="Logarithm",LN(0.001+IF(AND(ISNUMBER('Council Entry'!AX$8),ISNUMBER('Council Entry'!AX$9)),MAX(MIN('Council Entry'!AX59,'Council Entry'!AX$9),'Council Entry'!AX$8),'Council Entry'!AX59)),IF('Council Entry'!AX$4="Exponential",EXP(IF(AND(ISNUMBER('Council Entry'!AX$8),ISNUMBER('Council Entry'!AX$9)),MAX(MIN('Council Entry'!AX59,'Council Entry'!AX$9),'Council Entry'!AX$8),'Council Entry'!AX59)),IF(AND(ISNUMBER('Council Entry'!AX$8),ISNUMBER('Council Entry'!AX$9)),MAX(MIN('Council Entry'!AX59,'Council Entry'!AX$9),'Council Entry'!AX$8),'Council Entry'!AX59))))-'Council Entry'!AX$5)/('Council Entry'!AX$6-'Council Entry'!AX$5),10*((IF('Council Entry'!AX$4="Logarithm",LN(0.001+IF(AND(ISNUMBER('Council Entry'!AX$8),ISNUMBER('Council Entry'!AX$9)),MAX(MIN('Council Entry'!AX59,'Council Entry'!AX$9),'Council Entry'!AX$8),'Council Entry'!AX59)),IF('Council Entry'!AX$4="Exponential",EXP(IF(AND(ISNUMBER('Council Entry'!AX$8),ISNUMBER('Council Entry'!AX$9)),MAX(MIN('Council Entry'!AX59,'Council Entry'!AX$9),'Council Entry'!AX$8),'Council Entry'!AX59)),IF(AND(ISNUMBER('Council Entry'!AX$8),ISNUMBER('Council Entry'!AX$9)),MAX(MIN('Council Entry'!AX59,'Council Entry'!AX$9),'Council Entry'!AX$8),'Council Entry'!AX59))))-'Council Entry'!AX$5)/('Council Entry'!AX$6-'Council Entry'!AX$5)),1))),"No data"))</f>
        <v/>
      </c>
      <c r="AY59" s="13">
        <f>IF('Council Entry'!AY59="","",IFERROR(MAX(0,MIN(10,ROUND(IF('Council Entry'!AY$7="Decrease Risk",10-10*((IF('Council Entry'!AY$4="Logarithm",LN(0.001+IF(AND(ISNUMBER('Council Entry'!AY$8),ISNUMBER('Council Entry'!AY$9)),MAX(MIN('Council Entry'!AY59,'Council Entry'!AY$9),'Council Entry'!AY$8),'Council Entry'!AY59)),IF('Council Entry'!AY$4="Exponential",EXP(IF(AND(ISNUMBER('Council Entry'!AY$8),ISNUMBER('Council Entry'!AY$9)),MAX(MIN('Council Entry'!AY59,'Council Entry'!AY$9),'Council Entry'!AY$8),'Council Entry'!AY59)),IF(AND(ISNUMBER('Council Entry'!AY$8),ISNUMBER('Council Entry'!AY$9)),MAX(MIN('Council Entry'!AY59,'Council Entry'!AY$9),'Council Entry'!AY$8),'Council Entry'!AY59))))-'Council Entry'!AY$5)/('Council Entry'!AY$6-'Council Entry'!AY$5),10*((IF('Council Entry'!AY$4="Logarithm",LN(0.001+IF(AND(ISNUMBER('Council Entry'!AY$8),ISNUMBER('Council Entry'!AY$9)),MAX(MIN('Council Entry'!AY59,'Council Entry'!AY$9),'Council Entry'!AY$8),'Council Entry'!AY59)),IF('Council Entry'!AY$4="Exponential",EXP(IF(AND(ISNUMBER('Council Entry'!AY$8),ISNUMBER('Council Entry'!AY$9)),MAX(MIN('Council Entry'!AY59,'Council Entry'!AY$9),'Council Entry'!AY$8),'Council Entry'!AY59)),IF(AND(ISNUMBER('Council Entry'!AY$8),ISNUMBER('Council Entry'!AY$9)),MAX(MIN('Council Entry'!AY59,'Council Entry'!AY$9),'Council Entry'!AY$8),'Council Entry'!AY59))))-'Council Entry'!AY$5)/('Council Entry'!AY$6-'Council Entry'!AY$5)),1))),"No data"))</f>
        <v/>
      </c>
      <c r="AZ59" s="13">
        <f>IF('Council Entry'!AZ59="","",IFERROR(MAX(0,MIN(10,ROUND(IF('Council Entry'!AZ$7="Decrease Risk",10-10*((IF('Council Entry'!AZ$4="Logarithm",LN(0.001+IF(AND(ISNUMBER('Council Entry'!AZ$8),ISNUMBER('Council Entry'!AZ$9)),MAX(MIN('Council Entry'!AZ59,'Council Entry'!AZ$9),'Council Entry'!AZ$8),'Council Entry'!AZ59)),IF('Council Entry'!AZ$4="Exponential",EXP(IF(AND(ISNUMBER('Council Entry'!AZ$8),ISNUMBER('Council Entry'!AZ$9)),MAX(MIN('Council Entry'!AZ59,'Council Entry'!AZ$9),'Council Entry'!AZ$8),'Council Entry'!AZ59)),IF(AND(ISNUMBER('Council Entry'!AZ$8),ISNUMBER('Council Entry'!AZ$9)),MAX(MIN('Council Entry'!AZ59,'Council Entry'!AZ$9),'Council Entry'!AZ$8),'Council Entry'!AZ59))))-'Council Entry'!AZ$5)/('Council Entry'!AZ$6-'Council Entry'!AZ$5),10*((IF('Council Entry'!AZ$4="Logarithm",LN(0.001+IF(AND(ISNUMBER('Council Entry'!AZ$8),ISNUMBER('Council Entry'!AZ$9)),MAX(MIN('Council Entry'!AZ59,'Council Entry'!AZ$9),'Council Entry'!AZ$8),'Council Entry'!AZ59)),IF('Council Entry'!AZ$4="Exponential",EXP(IF(AND(ISNUMBER('Council Entry'!AZ$8),ISNUMBER('Council Entry'!AZ$9)),MAX(MIN('Council Entry'!AZ59,'Council Entry'!AZ$9),'Council Entry'!AZ$8),'Council Entry'!AZ59)),IF(AND(ISNUMBER('Council Entry'!AZ$8),ISNUMBER('Council Entry'!AZ$9)),MAX(MIN('Council Entry'!AZ59,'Council Entry'!AZ$9),'Council Entry'!AZ$8),'Council Entry'!AZ59))))-'Council Entry'!AZ$5)/('Council Entry'!AZ$6-'Council Entry'!AZ$5)),1))),"No data"))</f>
        <v/>
      </c>
      <c r="BA59" s="13">
        <f>IF('Council Entry'!BA59="","",IFERROR(MAX(0,MIN(10,ROUND(IF('Council Entry'!BA$7="Decrease Risk",10-10*((IF('Council Entry'!BA$4="Logarithm",LN(0.001+IF(AND(ISNUMBER('Council Entry'!BA$8),ISNUMBER('Council Entry'!BA$9)),MAX(MIN('Council Entry'!BA59,'Council Entry'!BA$9),'Council Entry'!BA$8),'Council Entry'!BA59)),IF('Council Entry'!BA$4="Exponential",EXP(IF(AND(ISNUMBER('Council Entry'!BA$8),ISNUMBER('Council Entry'!BA$9)),MAX(MIN('Council Entry'!BA59,'Council Entry'!BA$9),'Council Entry'!BA$8),'Council Entry'!BA59)),IF(AND(ISNUMBER('Council Entry'!BA$8),ISNUMBER('Council Entry'!BA$9)),MAX(MIN('Council Entry'!BA59,'Council Entry'!BA$9),'Council Entry'!BA$8),'Council Entry'!BA59))))-'Council Entry'!BA$5)/('Council Entry'!BA$6-'Council Entry'!BA$5),10*((IF('Council Entry'!BA$4="Logarithm",LN(0.001+IF(AND(ISNUMBER('Council Entry'!BA$8),ISNUMBER('Council Entry'!BA$9)),MAX(MIN('Council Entry'!BA59,'Council Entry'!BA$9),'Council Entry'!BA$8),'Council Entry'!BA59)),IF('Council Entry'!BA$4="Exponential",EXP(IF(AND(ISNUMBER('Council Entry'!BA$8),ISNUMBER('Council Entry'!BA$9)),MAX(MIN('Council Entry'!BA59,'Council Entry'!BA$9),'Council Entry'!BA$8),'Council Entry'!BA59)),IF(AND(ISNUMBER('Council Entry'!BA$8),ISNUMBER('Council Entry'!BA$9)),MAX(MIN('Council Entry'!BA59,'Council Entry'!BA$9),'Council Entry'!BA$8),'Council Entry'!BA59))))-'Council Entry'!BA$5)/('Council Entry'!BA$6-'Council Entry'!BA$5)),1))),"No data"))</f>
        <v/>
      </c>
      <c r="BB59" s="13">
        <f>IF('Council Entry'!BB59="","",IFERROR(MAX(0,MIN(10,ROUND(IF('Council Entry'!BB$7="Decrease Risk",10-10*((IF('Council Entry'!BB$4="Logarithm",LN(0.001+IF(AND(ISNUMBER('Council Entry'!BB$8),ISNUMBER('Council Entry'!BB$9)),MAX(MIN('Council Entry'!BB59,'Council Entry'!BB$9),'Council Entry'!BB$8),'Council Entry'!BB59)),IF('Council Entry'!BB$4="Exponential",EXP(IF(AND(ISNUMBER('Council Entry'!BB$8),ISNUMBER('Council Entry'!BB$9)),MAX(MIN('Council Entry'!BB59,'Council Entry'!BB$9),'Council Entry'!BB$8),'Council Entry'!BB59)),IF(AND(ISNUMBER('Council Entry'!BB$8),ISNUMBER('Council Entry'!BB$9)),MAX(MIN('Council Entry'!BB59,'Council Entry'!BB$9),'Council Entry'!BB$8),'Council Entry'!BB59))))-'Council Entry'!BB$5)/('Council Entry'!BB$6-'Council Entry'!BB$5),10*((IF('Council Entry'!BB$4="Logarithm",LN(0.001+IF(AND(ISNUMBER('Council Entry'!BB$8),ISNUMBER('Council Entry'!BB$9)),MAX(MIN('Council Entry'!BB59,'Council Entry'!BB$9),'Council Entry'!BB$8),'Council Entry'!BB59)),IF('Council Entry'!BB$4="Exponential",EXP(IF(AND(ISNUMBER('Council Entry'!BB$8),ISNUMBER('Council Entry'!BB$9)),MAX(MIN('Council Entry'!BB59,'Council Entry'!BB$9),'Council Entry'!BB$8),'Council Entry'!BB59)),IF(AND(ISNUMBER('Council Entry'!BB$8),ISNUMBER('Council Entry'!BB$9)),MAX(MIN('Council Entry'!BB59,'Council Entry'!BB$9),'Council Entry'!BB$8),'Council Entry'!BB59))))-'Council Entry'!BB$5)/('Council Entry'!BB$6-'Council Entry'!BB$5)),1))),"No data"))</f>
        <v/>
      </c>
      <c r="BC59" s="13">
        <f>IF('Council Entry'!BC59="","",IFERROR(MAX(0,MIN(10,ROUND(IF('Council Entry'!BC$7="Decrease Risk",10-10*((IF('Council Entry'!BC$4="Logarithm",LN(0.001+IF(AND(ISNUMBER('Council Entry'!BC$8),ISNUMBER('Council Entry'!BC$9)),MAX(MIN('Council Entry'!BC59,'Council Entry'!BC$9),'Council Entry'!BC$8),'Council Entry'!BC59)),IF('Council Entry'!BC$4="Exponential",EXP(IF(AND(ISNUMBER('Council Entry'!BC$8),ISNUMBER('Council Entry'!BC$9)),MAX(MIN('Council Entry'!BC59,'Council Entry'!BC$9),'Council Entry'!BC$8),'Council Entry'!BC59)),IF(AND(ISNUMBER('Council Entry'!BC$8),ISNUMBER('Council Entry'!BC$9)),MAX(MIN('Council Entry'!BC59,'Council Entry'!BC$9),'Council Entry'!BC$8),'Council Entry'!BC59))))-'Council Entry'!BC$5)/('Council Entry'!BC$6-'Council Entry'!BC$5),10*((IF('Council Entry'!BC$4="Logarithm",LN(0.001+IF(AND(ISNUMBER('Council Entry'!BC$8),ISNUMBER('Council Entry'!BC$9)),MAX(MIN('Council Entry'!BC59,'Council Entry'!BC$9),'Council Entry'!BC$8),'Council Entry'!BC59)),IF('Council Entry'!BC$4="Exponential",EXP(IF(AND(ISNUMBER('Council Entry'!BC$8),ISNUMBER('Council Entry'!BC$9)),MAX(MIN('Council Entry'!BC59,'Council Entry'!BC$9),'Council Entry'!BC$8),'Council Entry'!BC59)),IF(AND(ISNUMBER('Council Entry'!BC$8),ISNUMBER('Council Entry'!BC$9)),MAX(MIN('Council Entry'!BC59,'Council Entry'!BC$9),'Council Entry'!BC$8),'Council Entry'!BC59))))-'Council Entry'!BC$5)/('Council Entry'!BC$6-'Council Entry'!BC$5)),1))),"No data"))</f>
        <v/>
      </c>
      <c r="BD59" s="13">
        <f>IF('Council Entry'!BD59="","",IFERROR(MAX(0,MIN(10,ROUND(IF('Council Entry'!BD$7="Decrease Risk",10-10*((IF('Council Entry'!BD$4="Logarithm",LN(0.001+IF(AND(ISNUMBER('Council Entry'!BD$8),ISNUMBER('Council Entry'!BD$9)),MAX(MIN('Council Entry'!BD59,'Council Entry'!BD$9),'Council Entry'!BD$8),'Council Entry'!BD59)),IF('Council Entry'!BD$4="Exponential",EXP(IF(AND(ISNUMBER('Council Entry'!BD$8),ISNUMBER('Council Entry'!BD$9)),MAX(MIN('Council Entry'!BD59,'Council Entry'!BD$9),'Council Entry'!BD$8),'Council Entry'!BD59)),IF(AND(ISNUMBER('Council Entry'!BD$8),ISNUMBER('Council Entry'!BD$9)),MAX(MIN('Council Entry'!BD59,'Council Entry'!BD$9),'Council Entry'!BD$8),'Council Entry'!BD59))))-'Council Entry'!BD$5)/('Council Entry'!BD$6-'Council Entry'!BD$5),10*((IF('Council Entry'!BD$4="Logarithm",LN(0.001+IF(AND(ISNUMBER('Council Entry'!BD$8),ISNUMBER('Council Entry'!BD$9)),MAX(MIN('Council Entry'!BD59,'Council Entry'!BD$9),'Council Entry'!BD$8),'Council Entry'!BD59)),IF('Council Entry'!BD$4="Exponential",EXP(IF(AND(ISNUMBER('Council Entry'!BD$8),ISNUMBER('Council Entry'!BD$9)),MAX(MIN('Council Entry'!BD59,'Council Entry'!BD$9),'Council Entry'!BD$8),'Council Entry'!BD59)),IF(AND(ISNUMBER('Council Entry'!BD$8),ISNUMBER('Council Entry'!BD$9)),MAX(MIN('Council Entry'!BD59,'Council Entry'!BD$9),'Council Entry'!BD$8),'Council Entry'!BD59))))-'Council Entry'!BD$5)/('Council Entry'!BD$6-'Council Entry'!BD$5)),1))),"No data"))</f>
        <v/>
      </c>
    </row>
    <row r="60">
      <c r="A60" t="inlineStr">
        <is>
          <t>Kigoma</t>
        </is>
      </c>
      <c r="B60" t="inlineStr">
        <is>
          <t>Kakonko District</t>
        </is>
      </c>
      <c r="C60" t="inlineStr">
        <is>
          <t>C118</t>
        </is>
      </c>
      <c r="D60" s="13">
        <f>IF('Council Entry'!D60="","",IFERROR(MAX(0,MIN(10,ROUND(IF('Council Entry'!D$7="Decrease Risk",10-10*((IF('Council Entry'!D$4="Logarithm",LN(0.001+IF(AND(ISNUMBER('Council Entry'!D$8),ISNUMBER('Council Entry'!D$9)),MAX(MIN('Council Entry'!D60,'Council Entry'!D$9),'Council Entry'!D$8),'Council Entry'!D60)),IF('Council Entry'!D$4="Exponential",EXP(IF(AND(ISNUMBER('Council Entry'!D$8),ISNUMBER('Council Entry'!D$9)),MAX(MIN('Council Entry'!D60,'Council Entry'!D$9),'Council Entry'!D$8),'Council Entry'!D60)),IF(AND(ISNUMBER('Council Entry'!D$8),ISNUMBER('Council Entry'!D$9)),MAX(MIN('Council Entry'!D60,'Council Entry'!D$9),'Council Entry'!D$8),'Council Entry'!D60))))-'Council Entry'!D$5)/('Council Entry'!D$6-'Council Entry'!D$5),10*((IF('Council Entry'!D$4="Logarithm",LN(0.001+IF(AND(ISNUMBER('Council Entry'!D$8),ISNUMBER('Council Entry'!D$9)),MAX(MIN('Council Entry'!D60,'Council Entry'!D$9),'Council Entry'!D$8),'Council Entry'!D60)),IF('Council Entry'!D$4="Exponential",EXP(IF(AND(ISNUMBER('Council Entry'!D$8),ISNUMBER('Council Entry'!D$9)),MAX(MIN('Council Entry'!D60,'Council Entry'!D$9),'Council Entry'!D$8),'Council Entry'!D60)),IF(AND(ISNUMBER('Council Entry'!D$8),ISNUMBER('Council Entry'!D$9)),MAX(MIN('Council Entry'!D60,'Council Entry'!D$9),'Council Entry'!D$8),'Council Entry'!D60))))-'Council Entry'!D$5)/('Council Entry'!D$6-'Council Entry'!D$5)),1))),"No data"))</f>
        <v/>
      </c>
      <c r="E60" s="13">
        <f>IF('Council Entry'!E60="","",IFERROR(MAX(0,MIN(10,ROUND(IF('Council Entry'!E$7="Decrease Risk",10-10*((IF('Council Entry'!E$4="Logarithm",LN(0.001+IF(AND(ISNUMBER('Council Entry'!E$8),ISNUMBER('Council Entry'!E$9)),MAX(MIN('Council Entry'!E60,'Council Entry'!E$9),'Council Entry'!E$8),'Council Entry'!E60)),IF('Council Entry'!E$4="Exponential",EXP(IF(AND(ISNUMBER('Council Entry'!E$8),ISNUMBER('Council Entry'!E$9)),MAX(MIN('Council Entry'!E60,'Council Entry'!E$9),'Council Entry'!E$8),'Council Entry'!E60)),IF(AND(ISNUMBER('Council Entry'!E$8),ISNUMBER('Council Entry'!E$9)),MAX(MIN('Council Entry'!E60,'Council Entry'!E$9),'Council Entry'!E$8),'Council Entry'!E60))))-'Council Entry'!E$5)/('Council Entry'!E$6-'Council Entry'!E$5),10*((IF('Council Entry'!E$4="Logarithm",LN(0.001+IF(AND(ISNUMBER('Council Entry'!E$8),ISNUMBER('Council Entry'!E$9)),MAX(MIN('Council Entry'!E60,'Council Entry'!E$9),'Council Entry'!E$8),'Council Entry'!E60)),IF('Council Entry'!E$4="Exponential",EXP(IF(AND(ISNUMBER('Council Entry'!E$8),ISNUMBER('Council Entry'!E$9)),MAX(MIN('Council Entry'!E60,'Council Entry'!E$9),'Council Entry'!E$8),'Council Entry'!E60)),IF(AND(ISNUMBER('Council Entry'!E$8),ISNUMBER('Council Entry'!E$9)),MAX(MIN('Council Entry'!E60,'Council Entry'!E$9),'Council Entry'!E$8),'Council Entry'!E60))))-'Council Entry'!E$5)/('Council Entry'!E$6-'Council Entry'!E$5)),1))),"No data"))</f>
        <v/>
      </c>
      <c r="F60" s="13">
        <f>IF('Council Entry'!F60="","",IFERROR(MAX(0,MIN(10,ROUND(IF('Council Entry'!F$7="Decrease Risk",10-10*((IF('Council Entry'!F$4="Logarithm",LN(0.001+IF(AND(ISNUMBER('Council Entry'!F$8),ISNUMBER('Council Entry'!F$9)),MAX(MIN('Council Entry'!F60,'Council Entry'!F$9),'Council Entry'!F$8),'Council Entry'!F60)),IF('Council Entry'!F$4="Exponential",EXP(IF(AND(ISNUMBER('Council Entry'!F$8),ISNUMBER('Council Entry'!F$9)),MAX(MIN('Council Entry'!F60,'Council Entry'!F$9),'Council Entry'!F$8),'Council Entry'!F60)),IF(AND(ISNUMBER('Council Entry'!F$8),ISNUMBER('Council Entry'!F$9)),MAX(MIN('Council Entry'!F60,'Council Entry'!F$9),'Council Entry'!F$8),'Council Entry'!F60))))-'Council Entry'!F$5)/('Council Entry'!F$6-'Council Entry'!F$5),10*((IF('Council Entry'!F$4="Logarithm",LN(0.001+IF(AND(ISNUMBER('Council Entry'!F$8),ISNUMBER('Council Entry'!F$9)),MAX(MIN('Council Entry'!F60,'Council Entry'!F$9),'Council Entry'!F$8),'Council Entry'!F60)),IF('Council Entry'!F$4="Exponential",EXP(IF(AND(ISNUMBER('Council Entry'!F$8),ISNUMBER('Council Entry'!F$9)),MAX(MIN('Council Entry'!F60,'Council Entry'!F$9),'Council Entry'!F$8),'Council Entry'!F60)),IF(AND(ISNUMBER('Council Entry'!F$8),ISNUMBER('Council Entry'!F$9)),MAX(MIN('Council Entry'!F60,'Council Entry'!F$9),'Council Entry'!F$8),'Council Entry'!F60))))-'Council Entry'!F$5)/('Council Entry'!F$6-'Council Entry'!F$5)),1))),"No data"))</f>
        <v/>
      </c>
      <c r="G60" s="13">
        <f>IF('Council Entry'!G60="","",IFERROR(MAX(0,MIN(10,ROUND(IF('Council Entry'!G$7="Decrease Risk",10-10*((IF('Council Entry'!G$4="Logarithm",LN(0.001+IF(AND(ISNUMBER('Council Entry'!G$8),ISNUMBER('Council Entry'!G$9)),MAX(MIN('Council Entry'!G60,'Council Entry'!G$9),'Council Entry'!G$8),'Council Entry'!G60)),IF('Council Entry'!G$4="Exponential",EXP(IF(AND(ISNUMBER('Council Entry'!G$8),ISNUMBER('Council Entry'!G$9)),MAX(MIN('Council Entry'!G60,'Council Entry'!G$9),'Council Entry'!G$8),'Council Entry'!G60)),IF(AND(ISNUMBER('Council Entry'!G$8),ISNUMBER('Council Entry'!G$9)),MAX(MIN('Council Entry'!G60,'Council Entry'!G$9),'Council Entry'!G$8),'Council Entry'!G60))))-'Council Entry'!G$5)/('Council Entry'!G$6-'Council Entry'!G$5),10*((IF('Council Entry'!G$4="Logarithm",LN(0.001+IF(AND(ISNUMBER('Council Entry'!G$8),ISNUMBER('Council Entry'!G$9)),MAX(MIN('Council Entry'!G60,'Council Entry'!G$9),'Council Entry'!G$8),'Council Entry'!G60)),IF('Council Entry'!G$4="Exponential",EXP(IF(AND(ISNUMBER('Council Entry'!G$8),ISNUMBER('Council Entry'!G$9)),MAX(MIN('Council Entry'!G60,'Council Entry'!G$9),'Council Entry'!G$8),'Council Entry'!G60)),IF(AND(ISNUMBER('Council Entry'!G$8),ISNUMBER('Council Entry'!G$9)),MAX(MIN('Council Entry'!G60,'Council Entry'!G$9),'Council Entry'!G$8),'Council Entry'!G60))))-'Council Entry'!G$5)/('Council Entry'!G$6-'Council Entry'!G$5)),1))),"No data"))</f>
        <v/>
      </c>
      <c r="H60" s="13">
        <f>IF('Council Entry'!H60="","",IFERROR(MAX(0,MIN(10,ROUND(IF('Council Entry'!H$7="Decrease Risk",10-10*((IF('Council Entry'!H$4="Logarithm",LN(0.001+IF(AND(ISNUMBER('Council Entry'!H$8),ISNUMBER('Council Entry'!H$9)),MAX(MIN('Council Entry'!H60,'Council Entry'!H$9),'Council Entry'!H$8),'Council Entry'!H60)),IF('Council Entry'!H$4="Exponential",EXP(IF(AND(ISNUMBER('Council Entry'!H$8),ISNUMBER('Council Entry'!H$9)),MAX(MIN('Council Entry'!H60,'Council Entry'!H$9),'Council Entry'!H$8),'Council Entry'!H60)),IF(AND(ISNUMBER('Council Entry'!H$8),ISNUMBER('Council Entry'!H$9)),MAX(MIN('Council Entry'!H60,'Council Entry'!H$9),'Council Entry'!H$8),'Council Entry'!H60))))-'Council Entry'!H$5)/('Council Entry'!H$6-'Council Entry'!H$5),10*((IF('Council Entry'!H$4="Logarithm",LN(0.001+IF(AND(ISNUMBER('Council Entry'!H$8),ISNUMBER('Council Entry'!H$9)),MAX(MIN('Council Entry'!H60,'Council Entry'!H$9),'Council Entry'!H$8),'Council Entry'!H60)),IF('Council Entry'!H$4="Exponential",EXP(IF(AND(ISNUMBER('Council Entry'!H$8),ISNUMBER('Council Entry'!H$9)),MAX(MIN('Council Entry'!H60,'Council Entry'!H$9),'Council Entry'!H$8),'Council Entry'!H60)),IF(AND(ISNUMBER('Council Entry'!H$8),ISNUMBER('Council Entry'!H$9)),MAX(MIN('Council Entry'!H60,'Council Entry'!H$9),'Council Entry'!H$8),'Council Entry'!H60))))-'Council Entry'!H$5)/('Council Entry'!H$6-'Council Entry'!H$5)),1))),"No data"))</f>
        <v/>
      </c>
      <c r="I60" s="13">
        <f>IF('Council Entry'!I60="","",IFERROR(MAX(0,MIN(10,ROUND(IF('Council Entry'!I$7="Decrease Risk",10-10*((IF('Council Entry'!I$4="Logarithm",LN(0.001+IF(AND(ISNUMBER('Council Entry'!I$8),ISNUMBER('Council Entry'!I$9)),MAX(MIN('Council Entry'!I60,'Council Entry'!I$9),'Council Entry'!I$8),'Council Entry'!I60)),IF('Council Entry'!I$4="Exponential",EXP(IF(AND(ISNUMBER('Council Entry'!I$8),ISNUMBER('Council Entry'!I$9)),MAX(MIN('Council Entry'!I60,'Council Entry'!I$9),'Council Entry'!I$8),'Council Entry'!I60)),IF(AND(ISNUMBER('Council Entry'!I$8),ISNUMBER('Council Entry'!I$9)),MAX(MIN('Council Entry'!I60,'Council Entry'!I$9),'Council Entry'!I$8),'Council Entry'!I60))))-'Council Entry'!I$5)/('Council Entry'!I$6-'Council Entry'!I$5),10*((IF('Council Entry'!I$4="Logarithm",LN(0.001+IF(AND(ISNUMBER('Council Entry'!I$8),ISNUMBER('Council Entry'!I$9)),MAX(MIN('Council Entry'!I60,'Council Entry'!I$9),'Council Entry'!I$8),'Council Entry'!I60)),IF('Council Entry'!I$4="Exponential",EXP(IF(AND(ISNUMBER('Council Entry'!I$8),ISNUMBER('Council Entry'!I$9)),MAX(MIN('Council Entry'!I60,'Council Entry'!I$9),'Council Entry'!I$8),'Council Entry'!I60)),IF(AND(ISNUMBER('Council Entry'!I$8),ISNUMBER('Council Entry'!I$9)),MAX(MIN('Council Entry'!I60,'Council Entry'!I$9),'Council Entry'!I$8),'Council Entry'!I60))))-'Council Entry'!I$5)/('Council Entry'!I$6-'Council Entry'!I$5)),1))),"No data"))</f>
        <v/>
      </c>
      <c r="J60" s="13">
        <f>IF('Council Entry'!J60="","",IFERROR(MAX(0,MIN(10,ROUND(IF('Council Entry'!J$7="Decrease Risk",10-10*((IF('Council Entry'!J$4="Logarithm",LN(0.001+IF(AND(ISNUMBER('Council Entry'!J$8),ISNUMBER('Council Entry'!J$9)),MAX(MIN('Council Entry'!J60,'Council Entry'!J$9),'Council Entry'!J$8),'Council Entry'!J60)),IF('Council Entry'!J$4="Exponential",EXP(IF(AND(ISNUMBER('Council Entry'!J$8),ISNUMBER('Council Entry'!J$9)),MAX(MIN('Council Entry'!J60,'Council Entry'!J$9),'Council Entry'!J$8),'Council Entry'!J60)),IF(AND(ISNUMBER('Council Entry'!J$8),ISNUMBER('Council Entry'!J$9)),MAX(MIN('Council Entry'!J60,'Council Entry'!J$9),'Council Entry'!J$8),'Council Entry'!J60))))-'Council Entry'!J$5)/('Council Entry'!J$6-'Council Entry'!J$5),10*((IF('Council Entry'!J$4="Logarithm",LN(0.001+IF(AND(ISNUMBER('Council Entry'!J$8),ISNUMBER('Council Entry'!J$9)),MAX(MIN('Council Entry'!J60,'Council Entry'!J$9),'Council Entry'!J$8),'Council Entry'!J60)),IF('Council Entry'!J$4="Exponential",EXP(IF(AND(ISNUMBER('Council Entry'!J$8),ISNUMBER('Council Entry'!J$9)),MAX(MIN('Council Entry'!J60,'Council Entry'!J$9),'Council Entry'!J$8),'Council Entry'!J60)),IF(AND(ISNUMBER('Council Entry'!J$8),ISNUMBER('Council Entry'!J$9)),MAX(MIN('Council Entry'!J60,'Council Entry'!J$9),'Council Entry'!J$8),'Council Entry'!J60))))-'Council Entry'!J$5)/('Council Entry'!J$6-'Council Entry'!J$5)),1))),"No data"))</f>
        <v/>
      </c>
      <c r="K60" s="13">
        <f>IF('Council Entry'!K60="","",IFERROR(MAX(0,MIN(10,ROUND(IF('Council Entry'!K$7="Decrease Risk",10-10*((IF('Council Entry'!K$4="Logarithm",LN(0.001+IF(AND(ISNUMBER('Council Entry'!K$8),ISNUMBER('Council Entry'!K$9)),MAX(MIN('Council Entry'!K60,'Council Entry'!K$9),'Council Entry'!K$8),'Council Entry'!K60)),IF('Council Entry'!K$4="Exponential",EXP(IF(AND(ISNUMBER('Council Entry'!K$8),ISNUMBER('Council Entry'!K$9)),MAX(MIN('Council Entry'!K60,'Council Entry'!K$9),'Council Entry'!K$8),'Council Entry'!K60)),IF(AND(ISNUMBER('Council Entry'!K$8),ISNUMBER('Council Entry'!K$9)),MAX(MIN('Council Entry'!K60,'Council Entry'!K$9),'Council Entry'!K$8),'Council Entry'!K60))))-'Council Entry'!K$5)/('Council Entry'!K$6-'Council Entry'!K$5),10*((IF('Council Entry'!K$4="Logarithm",LN(0.001+IF(AND(ISNUMBER('Council Entry'!K$8),ISNUMBER('Council Entry'!K$9)),MAX(MIN('Council Entry'!K60,'Council Entry'!K$9),'Council Entry'!K$8),'Council Entry'!K60)),IF('Council Entry'!K$4="Exponential",EXP(IF(AND(ISNUMBER('Council Entry'!K$8),ISNUMBER('Council Entry'!K$9)),MAX(MIN('Council Entry'!K60,'Council Entry'!K$9),'Council Entry'!K$8),'Council Entry'!K60)),IF(AND(ISNUMBER('Council Entry'!K$8),ISNUMBER('Council Entry'!K$9)),MAX(MIN('Council Entry'!K60,'Council Entry'!K$9),'Council Entry'!K$8),'Council Entry'!K60))))-'Council Entry'!K$5)/('Council Entry'!K$6-'Council Entry'!K$5)),1))),"No data"))</f>
        <v/>
      </c>
      <c r="L60" s="13">
        <f>IF('Council Entry'!L60="","",IFERROR(MAX(0,MIN(10,ROUND(IF('Council Entry'!L$7="Decrease Risk",10-10*((IF('Council Entry'!L$4="Logarithm",LN(0.001+IF(AND(ISNUMBER('Council Entry'!L$8),ISNUMBER('Council Entry'!L$9)),MAX(MIN('Council Entry'!L60,'Council Entry'!L$9),'Council Entry'!L$8),'Council Entry'!L60)),IF('Council Entry'!L$4="Exponential",EXP(IF(AND(ISNUMBER('Council Entry'!L$8),ISNUMBER('Council Entry'!L$9)),MAX(MIN('Council Entry'!L60,'Council Entry'!L$9),'Council Entry'!L$8),'Council Entry'!L60)),IF(AND(ISNUMBER('Council Entry'!L$8),ISNUMBER('Council Entry'!L$9)),MAX(MIN('Council Entry'!L60,'Council Entry'!L$9),'Council Entry'!L$8),'Council Entry'!L60))))-'Council Entry'!L$5)/('Council Entry'!L$6-'Council Entry'!L$5),10*((IF('Council Entry'!L$4="Logarithm",LN(0.001+IF(AND(ISNUMBER('Council Entry'!L$8),ISNUMBER('Council Entry'!L$9)),MAX(MIN('Council Entry'!L60,'Council Entry'!L$9),'Council Entry'!L$8),'Council Entry'!L60)),IF('Council Entry'!L$4="Exponential",EXP(IF(AND(ISNUMBER('Council Entry'!L$8),ISNUMBER('Council Entry'!L$9)),MAX(MIN('Council Entry'!L60,'Council Entry'!L$9),'Council Entry'!L$8),'Council Entry'!L60)),IF(AND(ISNUMBER('Council Entry'!L$8),ISNUMBER('Council Entry'!L$9)),MAX(MIN('Council Entry'!L60,'Council Entry'!L$9),'Council Entry'!L$8),'Council Entry'!L60))))-'Council Entry'!L$5)/('Council Entry'!L$6-'Council Entry'!L$5)),1))),"No data"))</f>
        <v/>
      </c>
      <c r="M60" s="13">
        <f>IF('Council Entry'!M60="","",IFERROR(MAX(0,MIN(10,ROUND(IF('Council Entry'!M$7="Decrease Risk",10-10*((IF('Council Entry'!M$4="Logarithm",LN(0.001+IF(AND(ISNUMBER('Council Entry'!M$8),ISNUMBER('Council Entry'!M$9)),MAX(MIN('Council Entry'!M60,'Council Entry'!M$9),'Council Entry'!M$8),'Council Entry'!M60)),IF('Council Entry'!M$4="Exponential",EXP(IF(AND(ISNUMBER('Council Entry'!M$8),ISNUMBER('Council Entry'!M$9)),MAX(MIN('Council Entry'!M60,'Council Entry'!M$9),'Council Entry'!M$8),'Council Entry'!M60)),IF(AND(ISNUMBER('Council Entry'!M$8),ISNUMBER('Council Entry'!M$9)),MAX(MIN('Council Entry'!M60,'Council Entry'!M$9),'Council Entry'!M$8),'Council Entry'!M60))))-'Council Entry'!M$5)/('Council Entry'!M$6-'Council Entry'!M$5),10*((IF('Council Entry'!M$4="Logarithm",LN(0.001+IF(AND(ISNUMBER('Council Entry'!M$8),ISNUMBER('Council Entry'!M$9)),MAX(MIN('Council Entry'!M60,'Council Entry'!M$9),'Council Entry'!M$8),'Council Entry'!M60)),IF('Council Entry'!M$4="Exponential",EXP(IF(AND(ISNUMBER('Council Entry'!M$8),ISNUMBER('Council Entry'!M$9)),MAX(MIN('Council Entry'!M60,'Council Entry'!M$9),'Council Entry'!M$8),'Council Entry'!M60)),IF(AND(ISNUMBER('Council Entry'!M$8),ISNUMBER('Council Entry'!M$9)),MAX(MIN('Council Entry'!M60,'Council Entry'!M$9),'Council Entry'!M$8),'Council Entry'!M60))))-'Council Entry'!M$5)/('Council Entry'!M$6-'Council Entry'!M$5)),1))),"No data"))</f>
        <v/>
      </c>
      <c r="N60" s="13">
        <f>IF('Council Entry'!N60="","",IFERROR(MAX(0,MIN(10,ROUND(IF('Council Entry'!N$7="Decrease Risk",10-10*((IF('Council Entry'!N$4="Logarithm",LN(0.001+IF(AND(ISNUMBER('Council Entry'!N$8),ISNUMBER('Council Entry'!N$9)),MAX(MIN('Council Entry'!N60,'Council Entry'!N$9),'Council Entry'!N$8),'Council Entry'!N60)),IF('Council Entry'!N$4="Exponential",EXP(IF(AND(ISNUMBER('Council Entry'!N$8),ISNUMBER('Council Entry'!N$9)),MAX(MIN('Council Entry'!N60,'Council Entry'!N$9),'Council Entry'!N$8),'Council Entry'!N60)),IF(AND(ISNUMBER('Council Entry'!N$8),ISNUMBER('Council Entry'!N$9)),MAX(MIN('Council Entry'!N60,'Council Entry'!N$9),'Council Entry'!N$8),'Council Entry'!N60))))-'Council Entry'!N$5)/('Council Entry'!N$6-'Council Entry'!N$5),10*((IF('Council Entry'!N$4="Logarithm",LN(0.001+IF(AND(ISNUMBER('Council Entry'!N$8),ISNUMBER('Council Entry'!N$9)),MAX(MIN('Council Entry'!N60,'Council Entry'!N$9),'Council Entry'!N$8),'Council Entry'!N60)),IF('Council Entry'!N$4="Exponential",EXP(IF(AND(ISNUMBER('Council Entry'!N$8),ISNUMBER('Council Entry'!N$9)),MAX(MIN('Council Entry'!N60,'Council Entry'!N$9),'Council Entry'!N$8),'Council Entry'!N60)),IF(AND(ISNUMBER('Council Entry'!N$8),ISNUMBER('Council Entry'!N$9)),MAX(MIN('Council Entry'!N60,'Council Entry'!N$9),'Council Entry'!N$8),'Council Entry'!N60))))-'Council Entry'!N$5)/('Council Entry'!N$6-'Council Entry'!N$5)),1))),"No data"))</f>
        <v/>
      </c>
      <c r="O60" s="13">
        <f>IF('Council Entry'!O60="","",IFERROR(MAX(0,MIN(10,ROUND(IF('Council Entry'!O$7="Decrease Risk",10-10*((IF('Council Entry'!O$4="Logarithm",LN(0.001+IF(AND(ISNUMBER('Council Entry'!O$8),ISNUMBER('Council Entry'!O$9)),MAX(MIN('Council Entry'!O60,'Council Entry'!O$9),'Council Entry'!O$8),'Council Entry'!O60)),IF('Council Entry'!O$4="Exponential",EXP(IF(AND(ISNUMBER('Council Entry'!O$8),ISNUMBER('Council Entry'!O$9)),MAX(MIN('Council Entry'!O60,'Council Entry'!O$9),'Council Entry'!O$8),'Council Entry'!O60)),IF(AND(ISNUMBER('Council Entry'!O$8),ISNUMBER('Council Entry'!O$9)),MAX(MIN('Council Entry'!O60,'Council Entry'!O$9),'Council Entry'!O$8),'Council Entry'!O60))))-'Council Entry'!O$5)/('Council Entry'!O$6-'Council Entry'!O$5),10*((IF('Council Entry'!O$4="Logarithm",LN(0.001+IF(AND(ISNUMBER('Council Entry'!O$8),ISNUMBER('Council Entry'!O$9)),MAX(MIN('Council Entry'!O60,'Council Entry'!O$9),'Council Entry'!O$8),'Council Entry'!O60)),IF('Council Entry'!O$4="Exponential",EXP(IF(AND(ISNUMBER('Council Entry'!O$8),ISNUMBER('Council Entry'!O$9)),MAX(MIN('Council Entry'!O60,'Council Entry'!O$9),'Council Entry'!O$8),'Council Entry'!O60)),IF(AND(ISNUMBER('Council Entry'!O$8),ISNUMBER('Council Entry'!O$9)),MAX(MIN('Council Entry'!O60,'Council Entry'!O$9),'Council Entry'!O$8),'Council Entry'!O60))))-'Council Entry'!O$5)/('Council Entry'!O$6-'Council Entry'!O$5)),1))),"No data"))</f>
        <v/>
      </c>
      <c r="P60" s="13">
        <f>IF('Council Entry'!P60="","",IFERROR(MAX(0,MIN(10,ROUND(IF('Council Entry'!P$7="Decrease Risk",10-10*((IF('Council Entry'!P$4="Logarithm",LN(0.001+IF(AND(ISNUMBER('Council Entry'!P$8),ISNUMBER('Council Entry'!P$9)),MAX(MIN('Council Entry'!P60,'Council Entry'!P$9),'Council Entry'!P$8),'Council Entry'!P60)),IF('Council Entry'!P$4="Exponential",EXP(IF(AND(ISNUMBER('Council Entry'!P$8),ISNUMBER('Council Entry'!P$9)),MAX(MIN('Council Entry'!P60,'Council Entry'!P$9),'Council Entry'!P$8),'Council Entry'!P60)),IF(AND(ISNUMBER('Council Entry'!P$8),ISNUMBER('Council Entry'!P$9)),MAX(MIN('Council Entry'!P60,'Council Entry'!P$9),'Council Entry'!P$8),'Council Entry'!P60))))-'Council Entry'!P$5)/('Council Entry'!P$6-'Council Entry'!P$5),10*((IF('Council Entry'!P$4="Logarithm",LN(0.001+IF(AND(ISNUMBER('Council Entry'!P$8),ISNUMBER('Council Entry'!P$9)),MAX(MIN('Council Entry'!P60,'Council Entry'!P$9),'Council Entry'!P$8),'Council Entry'!P60)),IF('Council Entry'!P$4="Exponential",EXP(IF(AND(ISNUMBER('Council Entry'!P$8),ISNUMBER('Council Entry'!P$9)),MAX(MIN('Council Entry'!P60,'Council Entry'!P$9),'Council Entry'!P$8),'Council Entry'!P60)),IF(AND(ISNUMBER('Council Entry'!P$8),ISNUMBER('Council Entry'!P$9)),MAX(MIN('Council Entry'!P60,'Council Entry'!P$9),'Council Entry'!P$8),'Council Entry'!P60))))-'Council Entry'!P$5)/('Council Entry'!P$6-'Council Entry'!P$5)),1))),"No data"))</f>
        <v/>
      </c>
      <c r="Q60" s="13">
        <f>IF('Council Entry'!Q60="","",IFERROR(MAX(0,MIN(10,ROUND(IF('Council Entry'!Q$7="Decrease Risk",10-10*((IF('Council Entry'!Q$4="Logarithm",LN(0.001+IF(AND(ISNUMBER('Council Entry'!Q$8),ISNUMBER('Council Entry'!Q$9)),MAX(MIN('Council Entry'!Q60,'Council Entry'!Q$9),'Council Entry'!Q$8),'Council Entry'!Q60)),IF('Council Entry'!Q$4="Exponential",EXP(IF(AND(ISNUMBER('Council Entry'!Q$8),ISNUMBER('Council Entry'!Q$9)),MAX(MIN('Council Entry'!Q60,'Council Entry'!Q$9),'Council Entry'!Q$8),'Council Entry'!Q60)),IF(AND(ISNUMBER('Council Entry'!Q$8),ISNUMBER('Council Entry'!Q$9)),MAX(MIN('Council Entry'!Q60,'Council Entry'!Q$9),'Council Entry'!Q$8),'Council Entry'!Q60))))-'Council Entry'!Q$5)/('Council Entry'!Q$6-'Council Entry'!Q$5),10*((IF('Council Entry'!Q$4="Logarithm",LN(0.001+IF(AND(ISNUMBER('Council Entry'!Q$8),ISNUMBER('Council Entry'!Q$9)),MAX(MIN('Council Entry'!Q60,'Council Entry'!Q$9),'Council Entry'!Q$8),'Council Entry'!Q60)),IF('Council Entry'!Q$4="Exponential",EXP(IF(AND(ISNUMBER('Council Entry'!Q$8),ISNUMBER('Council Entry'!Q$9)),MAX(MIN('Council Entry'!Q60,'Council Entry'!Q$9),'Council Entry'!Q$8),'Council Entry'!Q60)),IF(AND(ISNUMBER('Council Entry'!Q$8),ISNUMBER('Council Entry'!Q$9)),MAX(MIN('Council Entry'!Q60,'Council Entry'!Q$9),'Council Entry'!Q$8),'Council Entry'!Q60))))-'Council Entry'!Q$5)/('Council Entry'!Q$6-'Council Entry'!Q$5)),1))),"No data"))</f>
        <v/>
      </c>
      <c r="R60" s="13">
        <f>IF('Council Entry'!R60="","",IFERROR(MAX(0,MIN(10,ROUND(IF('Council Entry'!R$7="Decrease Risk",10-10*((IF('Council Entry'!R$4="Logarithm",LN(0.001+IF(AND(ISNUMBER('Council Entry'!R$8),ISNUMBER('Council Entry'!R$9)),MAX(MIN('Council Entry'!R60,'Council Entry'!R$9),'Council Entry'!R$8),'Council Entry'!R60)),IF('Council Entry'!R$4="Exponential",EXP(IF(AND(ISNUMBER('Council Entry'!R$8),ISNUMBER('Council Entry'!R$9)),MAX(MIN('Council Entry'!R60,'Council Entry'!R$9),'Council Entry'!R$8),'Council Entry'!R60)),IF(AND(ISNUMBER('Council Entry'!R$8),ISNUMBER('Council Entry'!R$9)),MAX(MIN('Council Entry'!R60,'Council Entry'!R$9),'Council Entry'!R$8),'Council Entry'!R60))))-'Council Entry'!R$5)/('Council Entry'!R$6-'Council Entry'!R$5),10*((IF('Council Entry'!R$4="Logarithm",LN(0.001+IF(AND(ISNUMBER('Council Entry'!R$8),ISNUMBER('Council Entry'!R$9)),MAX(MIN('Council Entry'!R60,'Council Entry'!R$9),'Council Entry'!R$8),'Council Entry'!R60)),IF('Council Entry'!R$4="Exponential",EXP(IF(AND(ISNUMBER('Council Entry'!R$8),ISNUMBER('Council Entry'!R$9)),MAX(MIN('Council Entry'!R60,'Council Entry'!R$9),'Council Entry'!R$8),'Council Entry'!R60)),IF(AND(ISNUMBER('Council Entry'!R$8),ISNUMBER('Council Entry'!R$9)),MAX(MIN('Council Entry'!R60,'Council Entry'!R$9),'Council Entry'!R$8),'Council Entry'!R60))))-'Council Entry'!R$5)/('Council Entry'!R$6-'Council Entry'!R$5)),1))),"No data"))</f>
        <v/>
      </c>
      <c r="S60" s="13">
        <f>IF('Council Entry'!S60="","",IFERROR(MAX(0,MIN(10,ROUND(IF('Council Entry'!S$7="Decrease Risk",10-10*((IF('Council Entry'!S$4="Logarithm",LN(0.001+IF(AND(ISNUMBER('Council Entry'!S$8),ISNUMBER('Council Entry'!S$9)),MAX(MIN('Council Entry'!S60,'Council Entry'!S$9),'Council Entry'!S$8),'Council Entry'!S60)),IF('Council Entry'!S$4="Exponential",EXP(IF(AND(ISNUMBER('Council Entry'!S$8),ISNUMBER('Council Entry'!S$9)),MAX(MIN('Council Entry'!S60,'Council Entry'!S$9),'Council Entry'!S$8),'Council Entry'!S60)),IF(AND(ISNUMBER('Council Entry'!S$8),ISNUMBER('Council Entry'!S$9)),MAX(MIN('Council Entry'!S60,'Council Entry'!S$9),'Council Entry'!S$8),'Council Entry'!S60))))-'Council Entry'!S$5)/('Council Entry'!S$6-'Council Entry'!S$5),10*((IF('Council Entry'!S$4="Logarithm",LN(0.001+IF(AND(ISNUMBER('Council Entry'!S$8),ISNUMBER('Council Entry'!S$9)),MAX(MIN('Council Entry'!S60,'Council Entry'!S$9),'Council Entry'!S$8),'Council Entry'!S60)),IF('Council Entry'!S$4="Exponential",EXP(IF(AND(ISNUMBER('Council Entry'!S$8),ISNUMBER('Council Entry'!S$9)),MAX(MIN('Council Entry'!S60,'Council Entry'!S$9),'Council Entry'!S$8),'Council Entry'!S60)),IF(AND(ISNUMBER('Council Entry'!S$8),ISNUMBER('Council Entry'!S$9)),MAX(MIN('Council Entry'!S60,'Council Entry'!S$9),'Council Entry'!S$8),'Council Entry'!S60))))-'Council Entry'!S$5)/('Council Entry'!S$6-'Council Entry'!S$5)),1))),"No data"))</f>
        <v/>
      </c>
      <c r="T60" s="13">
        <f>IF('Council Entry'!T60="","",IFERROR(MAX(0,MIN(10,ROUND(IF('Council Entry'!T$7="Decrease Risk",10-10*((IF('Council Entry'!T$4="Logarithm",LN(0.001+IF(AND(ISNUMBER('Council Entry'!T$8),ISNUMBER('Council Entry'!T$9)),MAX(MIN('Council Entry'!T60,'Council Entry'!T$9),'Council Entry'!T$8),'Council Entry'!T60)),IF('Council Entry'!T$4="Exponential",EXP(IF(AND(ISNUMBER('Council Entry'!T$8),ISNUMBER('Council Entry'!T$9)),MAX(MIN('Council Entry'!T60,'Council Entry'!T$9),'Council Entry'!T$8),'Council Entry'!T60)),IF(AND(ISNUMBER('Council Entry'!T$8),ISNUMBER('Council Entry'!T$9)),MAX(MIN('Council Entry'!T60,'Council Entry'!T$9),'Council Entry'!T$8),'Council Entry'!T60))))-'Council Entry'!T$5)/('Council Entry'!T$6-'Council Entry'!T$5),10*((IF('Council Entry'!T$4="Logarithm",LN(0.001+IF(AND(ISNUMBER('Council Entry'!T$8),ISNUMBER('Council Entry'!T$9)),MAX(MIN('Council Entry'!T60,'Council Entry'!T$9),'Council Entry'!T$8),'Council Entry'!T60)),IF('Council Entry'!T$4="Exponential",EXP(IF(AND(ISNUMBER('Council Entry'!T$8),ISNUMBER('Council Entry'!T$9)),MAX(MIN('Council Entry'!T60,'Council Entry'!T$9),'Council Entry'!T$8),'Council Entry'!T60)),IF(AND(ISNUMBER('Council Entry'!T$8),ISNUMBER('Council Entry'!T$9)),MAX(MIN('Council Entry'!T60,'Council Entry'!T$9),'Council Entry'!T$8),'Council Entry'!T60))))-'Council Entry'!T$5)/('Council Entry'!T$6-'Council Entry'!T$5)),1))),"No data"))</f>
        <v/>
      </c>
      <c r="U60" s="13">
        <f>IF('Council Entry'!U60="","",IFERROR(MAX(0,MIN(10,ROUND(IF('Council Entry'!U$7="Decrease Risk",10-10*((IF('Council Entry'!U$4="Logarithm",LN(0.001+IF(AND(ISNUMBER('Council Entry'!U$8),ISNUMBER('Council Entry'!U$9)),MAX(MIN('Council Entry'!U60,'Council Entry'!U$9),'Council Entry'!U$8),'Council Entry'!U60)),IF('Council Entry'!U$4="Exponential",EXP(IF(AND(ISNUMBER('Council Entry'!U$8),ISNUMBER('Council Entry'!U$9)),MAX(MIN('Council Entry'!U60,'Council Entry'!U$9),'Council Entry'!U$8),'Council Entry'!U60)),IF(AND(ISNUMBER('Council Entry'!U$8),ISNUMBER('Council Entry'!U$9)),MAX(MIN('Council Entry'!U60,'Council Entry'!U$9),'Council Entry'!U$8),'Council Entry'!U60))))-'Council Entry'!U$5)/('Council Entry'!U$6-'Council Entry'!U$5),10*((IF('Council Entry'!U$4="Logarithm",LN(0.001+IF(AND(ISNUMBER('Council Entry'!U$8),ISNUMBER('Council Entry'!U$9)),MAX(MIN('Council Entry'!U60,'Council Entry'!U$9),'Council Entry'!U$8),'Council Entry'!U60)),IF('Council Entry'!U$4="Exponential",EXP(IF(AND(ISNUMBER('Council Entry'!U$8),ISNUMBER('Council Entry'!U$9)),MAX(MIN('Council Entry'!U60,'Council Entry'!U$9),'Council Entry'!U$8),'Council Entry'!U60)),IF(AND(ISNUMBER('Council Entry'!U$8),ISNUMBER('Council Entry'!U$9)),MAX(MIN('Council Entry'!U60,'Council Entry'!U$9),'Council Entry'!U$8),'Council Entry'!U60))))-'Council Entry'!U$5)/('Council Entry'!U$6-'Council Entry'!U$5)),1))),"No data"))</f>
        <v/>
      </c>
      <c r="V60" s="13">
        <f>IF('Council Entry'!V60="","",IFERROR(MAX(0,MIN(10,ROUND(IF('Council Entry'!V$7="Decrease Risk",10-10*((IF('Council Entry'!V$4="Logarithm",LN(0.001+IF(AND(ISNUMBER('Council Entry'!V$8),ISNUMBER('Council Entry'!V$9)),MAX(MIN('Council Entry'!V60,'Council Entry'!V$9),'Council Entry'!V$8),'Council Entry'!V60)),IF('Council Entry'!V$4="Exponential",EXP(IF(AND(ISNUMBER('Council Entry'!V$8),ISNUMBER('Council Entry'!V$9)),MAX(MIN('Council Entry'!V60,'Council Entry'!V$9),'Council Entry'!V$8),'Council Entry'!V60)),IF(AND(ISNUMBER('Council Entry'!V$8),ISNUMBER('Council Entry'!V$9)),MAX(MIN('Council Entry'!V60,'Council Entry'!V$9),'Council Entry'!V$8),'Council Entry'!V60))))-'Council Entry'!V$5)/('Council Entry'!V$6-'Council Entry'!V$5),10*((IF('Council Entry'!V$4="Logarithm",LN(0.001+IF(AND(ISNUMBER('Council Entry'!V$8),ISNUMBER('Council Entry'!V$9)),MAX(MIN('Council Entry'!V60,'Council Entry'!V$9),'Council Entry'!V$8),'Council Entry'!V60)),IF('Council Entry'!V$4="Exponential",EXP(IF(AND(ISNUMBER('Council Entry'!V$8),ISNUMBER('Council Entry'!V$9)),MAX(MIN('Council Entry'!V60,'Council Entry'!V$9),'Council Entry'!V$8),'Council Entry'!V60)),IF(AND(ISNUMBER('Council Entry'!V$8),ISNUMBER('Council Entry'!V$9)),MAX(MIN('Council Entry'!V60,'Council Entry'!V$9),'Council Entry'!V$8),'Council Entry'!V60))))-'Council Entry'!V$5)/('Council Entry'!V$6-'Council Entry'!V$5)),1))),"No data"))</f>
        <v/>
      </c>
      <c r="W60" s="13">
        <f>IF('Council Entry'!W60="","",IFERROR(MAX(0,MIN(10,ROUND(IF('Council Entry'!W$7="Decrease Risk",10-10*((IF('Council Entry'!W$4="Logarithm",LN(0.001+IF(AND(ISNUMBER('Council Entry'!W$8),ISNUMBER('Council Entry'!W$9)),MAX(MIN('Council Entry'!W60,'Council Entry'!W$9),'Council Entry'!W$8),'Council Entry'!W60)),IF('Council Entry'!W$4="Exponential",EXP(IF(AND(ISNUMBER('Council Entry'!W$8),ISNUMBER('Council Entry'!W$9)),MAX(MIN('Council Entry'!W60,'Council Entry'!W$9),'Council Entry'!W$8),'Council Entry'!W60)),IF(AND(ISNUMBER('Council Entry'!W$8),ISNUMBER('Council Entry'!W$9)),MAX(MIN('Council Entry'!W60,'Council Entry'!W$9),'Council Entry'!W$8),'Council Entry'!W60))))-'Council Entry'!W$5)/('Council Entry'!W$6-'Council Entry'!W$5),10*((IF('Council Entry'!W$4="Logarithm",LN(0.001+IF(AND(ISNUMBER('Council Entry'!W$8),ISNUMBER('Council Entry'!W$9)),MAX(MIN('Council Entry'!W60,'Council Entry'!W$9),'Council Entry'!W$8),'Council Entry'!W60)),IF('Council Entry'!W$4="Exponential",EXP(IF(AND(ISNUMBER('Council Entry'!W$8),ISNUMBER('Council Entry'!W$9)),MAX(MIN('Council Entry'!W60,'Council Entry'!W$9),'Council Entry'!W$8),'Council Entry'!W60)),IF(AND(ISNUMBER('Council Entry'!W$8),ISNUMBER('Council Entry'!W$9)),MAX(MIN('Council Entry'!W60,'Council Entry'!W$9),'Council Entry'!W$8),'Council Entry'!W60))))-'Council Entry'!W$5)/('Council Entry'!W$6-'Council Entry'!W$5)),1))),"No data"))</f>
        <v/>
      </c>
      <c r="X60" s="13">
        <f>IF('Council Entry'!X60="","",IFERROR(MAX(0,MIN(10,ROUND(IF('Council Entry'!X$7="Decrease Risk",10-10*((IF('Council Entry'!X$4="Logarithm",LN(0.001+IF(AND(ISNUMBER('Council Entry'!X$8),ISNUMBER('Council Entry'!X$9)),MAX(MIN('Council Entry'!X60,'Council Entry'!X$9),'Council Entry'!X$8),'Council Entry'!X60)),IF('Council Entry'!X$4="Exponential",EXP(IF(AND(ISNUMBER('Council Entry'!X$8),ISNUMBER('Council Entry'!X$9)),MAX(MIN('Council Entry'!X60,'Council Entry'!X$9),'Council Entry'!X$8),'Council Entry'!X60)),IF(AND(ISNUMBER('Council Entry'!X$8),ISNUMBER('Council Entry'!X$9)),MAX(MIN('Council Entry'!X60,'Council Entry'!X$9),'Council Entry'!X$8),'Council Entry'!X60))))-'Council Entry'!X$5)/('Council Entry'!X$6-'Council Entry'!X$5),10*((IF('Council Entry'!X$4="Logarithm",LN(0.001+IF(AND(ISNUMBER('Council Entry'!X$8),ISNUMBER('Council Entry'!X$9)),MAX(MIN('Council Entry'!X60,'Council Entry'!X$9),'Council Entry'!X$8),'Council Entry'!X60)),IF('Council Entry'!X$4="Exponential",EXP(IF(AND(ISNUMBER('Council Entry'!X$8),ISNUMBER('Council Entry'!X$9)),MAX(MIN('Council Entry'!X60,'Council Entry'!X$9),'Council Entry'!X$8),'Council Entry'!X60)),IF(AND(ISNUMBER('Council Entry'!X$8),ISNUMBER('Council Entry'!X$9)),MAX(MIN('Council Entry'!X60,'Council Entry'!X$9),'Council Entry'!X$8),'Council Entry'!X60))))-'Council Entry'!X$5)/('Council Entry'!X$6-'Council Entry'!X$5)),1))),"No data"))</f>
        <v/>
      </c>
      <c r="Y60" s="13">
        <f>IF('Council Entry'!Y60="","",IFERROR(MAX(0,MIN(10,ROUND(IF('Council Entry'!Y$7="Decrease Risk",10-10*((IF('Council Entry'!Y$4="Logarithm",LN(0.001+IF(AND(ISNUMBER('Council Entry'!Y$8),ISNUMBER('Council Entry'!Y$9)),MAX(MIN('Council Entry'!Y60,'Council Entry'!Y$9),'Council Entry'!Y$8),'Council Entry'!Y60)),IF('Council Entry'!Y$4="Exponential",EXP(IF(AND(ISNUMBER('Council Entry'!Y$8),ISNUMBER('Council Entry'!Y$9)),MAX(MIN('Council Entry'!Y60,'Council Entry'!Y$9),'Council Entry'!Y$8),'Council Entry'!Y60)),IF(AND(ISNUMBER('Council Entry'!Y$8),ISNUMBER('Council Entry'!Y$9)),MAX(MIN('Council Entry'!Y60,'Council Entry'!Y$9),'Council Entry'!Y$8),'Council Entry'!Y60))))-'Council Entry'!Y$5)/('Council Entry'!Y$6-'Council Entry'!Y$5),10*((IF('Council Entry'!Y$4="Logarithm",LN(0.001+IF(AND(ISNUMBER('Council Entry'!Y$8),ISNUMBER('Council Entry'!Y$9)),MAX(MIN('Council Entry'!Y60,'Council Entry'!Y$9),'Council Entry'!Y$8),'Council Entry'!Y60)),IF('Council Entry'!Y$4="Exponential",EXP(IF(AND(ISNUMBER('Council Entry'!Y$8),ISNUMBER('Council Entry'!Y$9)),MAX(MIN('Council Entry'!Y60,'Council Entry'!Y$9),'Council Entry'!Y$8),'Council Entry'!Y60)),IF(AND(ISNUMBER('Council Entry'!Y$8),ISNUMBER('Council Entry'!Y$9)),MAX(MIN('Council Entry'!Y60,'Council Entry'!Y$9),'Council Entry'!Y$8),'Council Entry'!Y60))))-'Council Entry'!Y$5)/('Council Entry'!Y$6-'Council Entry'!Y$5)),1))),"No data"))</f>
        <v/>
      </c>
      <c r="Z60" s="13">
        <f>IF('Council Entry'!Z60="","",IFERROR(MAX(0,MIN(10,ROUND(IF('Council Entry'!Z$7="Decrease Risk",10-10*((IF('Council Entry'!Z$4="Logarithm",LN(0.001+IF(AND(ISNUMBER('Council Entry'!Z$8),ISNUMBER('Council Entry'!Z$9)),MAX(MIN('Council Entry'!Z60,'Council Entry'!Z$9),'Council Entry'!Z$8),'Council Entry'!Z60)),IF('Council Entry'!Z$4="Exponential",EXP(IF(AND(ISNUMBER('Council Entry'!Z$8),ISNUMBER('Council Entry'!Z$9)),MAX(MIN('Council Entry'!Z60,'Council Entry'!Z$9),'Council Entry'!Z$8),'Council Entry'!Z60)),IF(AND(ISNUMBER('Council Entry'!Z$8),ISNUMBER('Council Entry'!Z$9)),MAX(MIN('Council Entry'!Z60,'Council Entry'!Z$9),'Council Entry'!Z$8),'Council Entry'!Z60))))-'Council Entry'!Z$5)/('Council Entry'!Z$6-'Council Entry'!Z$5),10*((IF('Council Entry'!Z$4="Logarithm",LN(0.001+IF(AND(ISNUMBER('Council Entry'!Z$8),ISNUMBER('Council Entry'!Z$9)),MAX(MIN('Council Entry'!Z60,'Council Entry'!Z$9),'Council Entry'!Z$8),'Council Entry'!Z60)),IF('Council Entry'!Z$4="Exponential",EXP(IF(AND(ISNUMBER('Council Entry'!Z$8),ISNUMBER('Council Entry'!Z$9)),MAX(MIN('Council Entry'!Z60,'Council Entry'!Z$9),'Council Entry'!Z$8),'Council Entry'!Z60)),IF(AND(ISNUMBER('Council Entry'!Z$8),ISNUMBER('Council Entry'!Z$9)),MAX(MIN('Council Entry'!Z60,'Council Entry'!Z$9),'Council Entry'!Z$8),'Council Entry'!Z60))))-'Council Entry'!Z$5)/('Council Entry'!Z$6-'Council Entry'!Z$5)),1))),"No data"))</f>
        <v/>
      </c>
      <c r="AA60" s="13">
        <f>IF('Council Entry'!AA60="","",IFERROR(MAX(0,MIN(10,ROUND(IF('Council Entry'!AA$7="Decrease Risk",10-10*((IF('Council Entry'!AA$4="Logarithm",LN(0.001+IF(AND(ISNUMBER('Council Entry'!AA$8),ISNUMBER('Council Entry'!AA$9)),MAX(MIN('Council Entry'!AA60,'Council Entry'!AA$9),'Council Entry'!AA$8),'Council Entry'!AA60)),IF('Council Entry'!AA$4="Exponential",EXP(IF(AND(ISNUMBER('Council Entry'!AA$8),ISNUMBER('Council Entry'!AA$9)),MAX(MIN('Council Entry'!AA60,'Council Entry'!AA$9),'Council Entry'!AA$8),'Council Entry'!AA60)),IF(AND(ISNUMBER('Council Entry'!AA$8),ISNUMBER('Council Entry'!AA$9)),MAX(MIN('Council Entry'!AA60,'Council Entry'!AA$9),'Council Entry'!AA$8),'Council Entry'!AA60))))-'Council Entry'!AA$5)/('Council Entry'!AA$6-'Council Entry'!AA$5),10*((IF('Council Entry'!AA$4="Logarithm",LN(0.001+IF(AND(ISNUMBER('Council Entry'!AA$8),ISNUMBER('Council Entry'!AA$9)),MAX(MIN('Council Entry'!AA60,'Council Entry'!AA$9),'Council Entry'!AA$8),'Council Entry'!AA60)),IF('Council Entry'!AA$4="Exponential",EXP(IF(AND(ISNUMBER('Council Entry'!AA$8),ISNUMBER('Council Entry'!AA$9)),MAX(MIN('Council Entry'!AA60,'Council Entry'!AA$9),'Council Entry'!AA$8),'Council Entry'!AA60)),IF(AND(ISNUMBER('Council Entry'!AA$8),ISNUMBER('Council Entry'!AA$9)),MAX(MIN('Council Entry'!AA60,'Council Entry'!AA$9),'Council Entry'!AA$8),'Council Entry'!AA60))))-'Council Entry'!AA$5)/('Council Entry'!AA$6-'Council Entry'!AA$5)),1))),"No data"))</f>
        <v/>
      </c>
      <c r="AB60" s="13">
        <f>IF('Council Entry'!AB60="","",IFERROR(MAX(0,MIN(10,ROUND(IF('Council Entry'!AB$7="Decrease Risk",10-10*((IF('Council Entry'!AB$4="Logarithm",LN(0.001+IF(AND(ISNUMBER('Council Entry'!AB$8),ISNUMBER('Council Entry'!AB$9)),MAX(MIN('Council Entry'!AB60,'Council Entry'!AB$9),'Council Entry'!AB$8),'Council Entry'!AB60)),IF('Council Entry'!AB$4="Exponential",EXP(IF(AND(ISNUMBER('Council Entry'!AB$8),ISNUMBER('Council Entry'!AB$9)),MAX(MIN('Council Entry'!AB60,'Council Entry'!AB$9),'Council Entry'!AB$8),'Council Entry'!AB60)),IF(AND(ISNUMBER('Council Entry'!AB$8),ISNUMBER('Council Entry'!AB$9)),MAX(MIN('Council Entry'!AB60,'Council Entry'!AB$9),'Council Entry'!AB$8),'Council Entry'!AB60))))-'Council Entry'!AB$5)/('Council Entry'!AB$6-'Council Entry'!AB$5),10*((IF('Council Entry'!AB$4="Logarithm",LN(0.001+IF(AND(ISNUMBER('Council Entry'!AB$8),ISNUMBER('Council Entry'!AB$9)),MAX(MIN('Council Entry'!AB60,'Council Entry'!AB$9),'Council Entry'!AB$8),'Council Entry'!AB60)),IF('Council Entry'!AB$4="Exponential",EXP(IF(AND(ISNUMBER('Council Entry'!AB$8),ISNUMBER('Council Entry'!AB$9)),MAX(MIN('Council Entry'!AB60,'Council Entry'!AB$9),'Council Entry'!AB$8),'Council Entry'!AB60)),IF(AND(ISNUMBER('Council Entry'!AB$8),ISNUMBER('Council Entry'!AB$9)),MAX(MIN('Council Entry'!AB60,'Council Entry'!AB$9),'Council Entry'!AB$8),'Council Entry'!AB60))))-'Council Entry'!AB$5)/('Council Entry'!AB$6-'Council Entry'!AB$5)),1))),"No data"))</f>
        <v/>
      </c>
      <c r="AC60" s="13">
        <f>IF('Council Entry'!AC60="","",IFERROR(MAX(0,MIN(10,ROUND(IF('Council Entry'!AC$7="Decrease Risk",10-10*((IF('Council Entry'!AC$4="Logarithm",LN(0.001+IF(AND(ISNUMBER('Council Entry'!AC$8),ISNUMBER('Council Entry'!AC$9)),MAX(MIN('Council Entry'!AC60,'Council Entry'!AC$9),'Council Entry'!AC$8),'Council Entry'!AC60)),IF('Council Entry'!AC$4="Exponential",EXP(IF(AND(ISNUMBER('Council Entry'!AC$8),ISNUMBER('Council Entry'!AC$9)),MAX(MIN('Council Entry'!AC60,'Council Entry'!AC$9),'Council Entry'!AC$8),'Council Entry'!AC60)),IF(AND(ISNUMBER('Council Entry'!AC$8),ISNUMBER('Council Entry'!AC$9)),MAX(MIN('Council Entry'!AC60,'Council Entry'!AC$9),'Council Entry'!AC$8),'Council Entry'!AC60))))-'Council Entry'!AC$5)/('Council Entry'!AC$6-'Council Entry'!AC$5),10*((IF('Council Entry'!AC$4="Logarithm",LN(0.001+IF(AND(ISNUMBER('Council Entry'!AC$8),ISNUMBER('Council Entry'!AC$9)),MAX(MIN('Council Entry'!AC60,'Council Entry'!AC$9),'Council Entry'!AC$8),'Council Entry'!AC60)),IF('Council Entry'!AC$4="Exponential",EXP(IF(AND(ISNUMBER('Council Entry'!AC$8),ISNUMBER('Council Entry'!AC$9)),MAX(MIN('Council Entry'!AC60,'Council Entry'!AC$9),'Council Entry'!AC$8),'Council Entry'!AC60)),IF(AND(ISNUMBER('Council Entry'!AC$8),ISNUMBER('Council Entry'!AC$9)),MAX(MIN('Council Entry'!AC60,'Council Entry'!AC$9),'Council Entry'!AC$8),'Council Entry'!AC60))))-'Council Entry'!AC$5)/('Council Entry'!AC$6-'Council Entry'!AC$5)),1))),"No data"))</f>
        <v/>
      </c>
      <c r="AD60" s="13">
        <f>IF('Council Entry'!AD60="","",IFERROR(MAX(0,MIN(10,ROUND(IF('Council Entry'!AD$7="Decrease Risk",10-10*((IF('Council Entry'!AD$4="Logarithm",LN(0.001+IF(AND(ISNUMBER('Council Entry'!AD$8),ISNUMBER('Council Entry'!AD$9)),MAX(MIN('Council Entry'!AD60,'Council Entry'!AD$9),'Council Entry'!AD$8),'Council Entry'!AD60)),IF('Council Entry'!AD$4="Exponential",EXP(IF(AND(ISNUMBER('Council Entry'!AD$8),ISNUMBER('Council Entry'!AD$9)),MAX(MIN('Council Entry'!AD60,'Council Entry'!AD$9),'Council Entry'!AD$8),'Council Entry'!AD60)),IF(AND(ISNUMBER('Council Entry'!AD$8),ISNUMBER('Council Entry'!AD$9)),MAX(MIN('Council Entry'!AD60,'Council Entry'!AD$9),'Council Entry'!AD$8),'Council Entry'!AD60))))-'Council Entry'!AD$5)/('Council Entry'!AD$6-'Council Entry'!AD$5),10*((IF('Council Entry'!AD$4="Logarithm",LN(0.001+IF(AND(ISNUMBER('Council Entry'!AD$8),ISNUMBER('Council Entry'!AD$9)),MAX(MIN('Council Entry'!AD60,'Council Entry'!AD$9),'Council Entry'!AD$8),'Council Entry'!AD60)),IF('Council Entry'!AD$4="Exponential",EXP(IF(AND(ISNUMBER('Council Entry'!AD$8),ISNUMBER('Council Entry'!AD$9)),MAX(MIN('Council Entry'!AD60,'Council Entry'!AD$9),'Council Entry'!AD$8),'Council Entry'!AD60)),IF(AND(ISNUMBER('Council Entry'!AD$8),ISNUMBER('Council Entry'!AD$9)),MAX(MIN('Council Entry'!AD60,'Council Entry'!AD$9),'Council Entry'!AD$8),'Council Entry'!AD60))))-'Council Entry'!AD$5)/('Council Entry'!AD$6-'Council Entry'!AD$5)),1))),"No data"))</f>
        <v/>
      </c>
      <c r="AE60" s="13">
        <f>IF('Council Entry'!AE60="","",IFERROR(MAX(0,MIN(10,ROUND(IF('Council Entry'!AE$7="Decrease Risk",10-10*((IF('Council Entry'!AE$4="Logarithm",LN(0.001+IF(AND(ISNUMBER('Council Entry'!AE$8),ISNUMBER('Council Entry'!AE$9)),MAX(MIN('Council Entry'!AE60,'Council Entry'!AE$9),'Council Entry'!AE$8),'Council Entry'!AE60)),IF('Council Entry'!AE$4="Exponential",EXP(IF(AND(ISNUMBER('Council Entry'!AE$8),ISNUMBER('Council Entry'!AE$9)),MAX(MIN('Council Entry'!AE60,'Council Entry'!AE$9),'Council Entry'!AE$8),'Council Entry'!AE60)),IF(AND(ISNUMBER('Council Entry'!AE$8),ISNUMBER('Council Entry'!AE$9)),MAX(MIN('Council Entry'!AE60,'Council Entry'!AE$9),'Council Entry'!AE$8),'Council Entry'!AE60))))-'Council Entry'!AE$5)/('Council Entry'!AE$6-'Council Entry'!AE$5),10*((IF('Council Entry'!AE$4="Logarithm",LN(0.001+IF(AND(ISNUMBER('Council Entry'!AE$8),ISNUMBER('Council Entry'!AE$9)),MAX(MIN('Council Entry'!AE60,'Council Entry'!AE$9),'Council Entry'!AE$8),'Council Entry'!AE60)),IF('Council Entry'!AE$4="Exponential",EXP(IF(AND(ISNUMBER('Council Entry'!AE$8),ISNUMBER('Council Entry'!AE$9)),MAX(MIN('Council Entry'!AE60,'Council Entry'!AE$9),'Council Entry'!AE$8),'Council Entry'!AE60)),IF(AND(ISNUMBER('Council Entry'!AE$8),ISNUMBER('Council Entry'!AE$9)),MAX(MIN('Council Entry'!AE60,'Council Entry'!AE$9),'Council Entry'!AE$8),'Council Entry'!AE60))))-'Council Entry'!AE$5)/('Council Entry'!AE$6-'Council Entry'!AE$5)),1))),"No data"))</f>
        <v/>
      </c>
      <c r="AF60" s="13">
        <f>IF('Council Entry'!AF60="","",IFERROR(MAX(0,MIN(10,ROUND(IF('Council Entry'!AF$7="Decrease Risk",10-10*((IF('Council Entry'!AF$4="Logarithm",LN(0.001+IF(AND(ISNUMBER('Council Entry'!AF$8),ISNUMBER('Council Entry'!AF$9)),MAX(MIN('Council Entry'!AF60,'Council Entry'!AF$9),'Council Entry'!AF$8),'Council Entry'!AF60)),IF('Council Entry'!AF$4="Exponential",EXP(IF(AND(ISNUMBER('Council Entry'!AF$8),ISNUMBER('Council Entry'!AF$9)),MAX(MIN('Council Entry'!AF60,'Council Entry'!AF$9),'Council Entry'!AF$8),'Council Entry'!AF60)),IF(AND(ISNUMBER('Council Entry'!AF$8),ISNUMBER('Council Entry'!AF$9)),MAX(MIN('Council Entry'!AF60,'Council Entry'!AF$9),'Council Entry'!AF$8),'Council Entry'!AF60))))-'Council Entry'!AF$5)/('Council Entry'!AF$6-'Council Entry'!AF$5),10*((IF('Council Entry'!AF$4="Logarithm",LN(0.001+IF(AND(ISNUMBER('Council Entry'!AF$8),ISNUMBER('Council Entry'!AF$9)),MAX(MIN('Council Entry'!AF60,'Council Entry'!AF$9),'Council Entry'!AF$8),'Council Entry'!AF60)),IF('Council Entry'!AF$4="Exponential",EXP(IF(AND(ISNUMBER('Council Entry'!AF$8),ISNUMBER('Council Entry'!AF$9)),MAX(MIN('Council Entry'!AF60,'Council Entry'!AF$9),'Council Entry'!AF$8),'Council Entry'!AF60)),IF(AND(ISNUMBER('Council Entry'!AF$8),ISNUMBER('Council Entry'!AF$9)),MAX(MIN('Council Entry'!AF60,'Council Entry'!AF$9),'Council Entry'!AF$8),'Council Entry'!AF60))))-'Council Entry'!AF$5)/('Council Entry'!AF$6-'Council Entry'!AF$5)),1))),"No data"))</f>
        <v/>
      </c>
      <c r="AG60" s="13">
        <f>IF('Council Entry'!AG60="","",IFERROR(MAX(0,MIN(10,ROUND(IF('Council Entry'!AG$7="Decrease Risk",10-10*((IF('Council Entry'!AG$4="Logarithm",LN(0.001+IF(AND(ISNUMBER('Council Entry'!AG$8),ISNUMBER('Council Entry'!AG$9)),MAX(MIN('Council Entry'!AG60,'Council Entry'!AG$9),'Council Entry'!AG$8),'Council Entry'!AG60)),IF('Council Entry'!AG$4="Exponential",EXP(IF(AND(ISNUMBER('Council Entry'!AG$8),ISNUMBER('Council Entry'!AG$9)),MAX(MIN('Council Entry'!AG60,'Council Entry'!AG$9),'Council Entry'!AG$8),'Council Entry'!AG60)),IF(AND(ISNUMBER('Council Entry'!AG$8),ISNUMBER('Council Entry'!AG$9)),MAX(MIN('Council Entry'!AG60,'Council Entry'!AG$9),'Council Entry'!AG$8),'Council Entry'!AG60))))-'Council Entry'!AG$5)/('Council Entry'!AG$6-'Council Entry'!AG$5),10*((IF('Council Entry'!AG$4="Logarithm",LN(0.001+IF(AND(ISNUMBER('Council Entry'!AG$8),ISNUMBER('Council Entry'!AG$9)),MAX(MIN('Council Entry'!AG60,'Council Entry'!AG$9),'Council Entry'!AG$8),'Council Entry'!AG60)),IF('Council Entry'!AG$4="Exponential",EXP(IF(AND(ISNUMBER('Council Entry'!AG$8),ISNUMBER('Council Entry'!AG$9)),MAX(MIN('Council Entry'!AG60,'Council Entry'!AG$9),'Council Entry'!AG$8),'Council Entry'!AG60)),IF(AND(ISNUMBER('Council Entry'!AG$8),ISNUMBER('Council Entry'!AG$9)),MAX(MIN('Council Entry'!AG60,'Council Entry'!AG$9),'Council Entry'!AG$8),'Council Entry'!AG60))))-'Council Entry'!AG$5)/('Council Entry'!AG$6-'Council Entry'!AG$5)),1))),"No data"))</f>
        <v/>
      </c>
      <c r="AH60" s="13">
        <f>IF('Council Entry'!AH60="","",IFERROR(MAX(0,MIN(10,ROUND(IF('Council Entry'!AH$7="Decrease Risk",10-10*((IF('Council Entry'!AH$4="Logarithm",LN(0.001+IF(AND(ISNUMBER('Council Entry'!AH$8),ISNUMBER('Council Entry'!AH$9)),MAX(MIN('Council Entry'!AH60,'Council Entry'!AH$9),'Council Entry'!AH$8),'Council Entry'!AH60)),IF('Council Entry'!AH$4="Exponential",EXP(IF(AND(ISNUMBER('Council Entry'!AH$8),ISNUMBER('Council Entry'!AH$9)),MAX(MIN('Council Entry'!AH60,'Council Entry'!AH$9),'Council Entry'!AH$8),'Council Entry'!AH60)),IF(AND(ISNUMBER('Council Entry'!AH$8),ISNUMBER('Council Entry'!AH$9)),MAX(MIN('Council Entry'!AH60,'Council Entry'!AH$9),'Council Entry'!AH$8),'Council Entry'!AH60))))-'Council Entry'!AH$5)/('Council Entry'!AH$6-'Council Entry'!AH$5),10*((IF('Council Entry'!AH$4="Logarithm",LN(0.001+IF(AND(ISNUMBER('Council Entry'!AH$8),ISNUMBER('Council Entry'!AH$9)),MAX(MIN('Council Entry'!AH60,'Council Entry'!AH$9),'Council Entry'!AH$8),'Council Entry'!AH60)),IF('Council Entry'!AH$4="Exponential",EXP(IF(AND(ISNUMBER('Council Entry'!AH$8),ISNUMBER('Council Entry'!AH$9)),MAX(MIN('Council Entry'!AH60,'Council Entry'!AH$9),'Council Entry'!AH$8),'Council Entry'!AH60)),IF(AND(ISNUMBER('Council Entry'!AH$8),ISNUMBER('Council Entry'!AH$9)),MAX(MIN('Council Entry'!AH60,'Council Entry'!AH$9),'Council Entry'!AH$8),'Council Entry'!AH60))))-'Council Entry'!AH$5)/('Council Entry'!AH$6-'Council Entry'!AH$5)),1))),"No data"))</f>
        <v/>
      </c>
      <c r="AI60" s="13">
        <f>IF('Council Entry'!AI60="","",IFERROR(MAX(0,MIN(10,ROUND(IF('Council Entry'!AI$7="Decrease Risk",10-10*((IF('Council Entry'!AI$4="Logarithm",LN(0.001+IF(AND(ISNUMBER('Council Entry'!AI$8),ISNUMBER('Council Entry'!AI$9)),MAX(MIN('Council Entry'!AI60,'Council Entry'!AI$9),'Council Entry'!AI$8),'Council Entry'!AI60)),IF('Council Entry'!AI$4="Exponential",EXP(IF(AND(ISNUMBER('Council Entry'!AI$8),ISNUMBER('Council Entry'!AI$9)),MAX(MIN('Council Entry'!AI60,'Council Entry'!AI$9),'Council Entry'!AI$8),'Council Entry'!AI60)),IF(AND(ISNUMBER('Council Entry'!AI$8),ISNUMBER('Council Entry'!AI$9)),MAX(MIN('Council Entry'!AI60,'Council Entry'!AI$9),'Council Entry'!AI$8),'Council Entry'!AI60))))-'Council Entry'!AI$5)/('Council Entry'!AI$6-'Council Entry'!AI$5),10*((IF('Council Entry'!AI$4="Logarithm",LN(0.001+IF(AND(ISNUMBER('Council Entry'!AI$8),ISNUMBER('Council Entry'!AI$9)),MAX(MIN('Council Entry'!AI60,'Council Entry'!AI$9),'Council Entry'!AI$8),'Council Entry'!AI60)),IF('Council Entry'!AI$4="Exponential",EXP(IF(AND(ISNUMBER('Council Entry'!AI$8),ISNUMBER('Council Entry'!AI$9)),MAX(MIN('Council Entry'!AI60,'Council Entry'!AI$9),'Council Entry'!AI$8),'Council Entry'!AI60)),IF(AND(ISNUMBER('Council Entry'!AI$8),ISNUMBER('Council Entry'!AI$9)),MAX(MIN('Council Entry'!AI60,'Council Entry'!AI$9),'Council Entry'!AI$8),'Council Entry'!AI60))))-'Council Entry'!AI$5)/('Council Entry'!AI$6-'Council Entry'!AI$5)),1))),"No data"))</f>
        <v/>
      </c>
      <c r="AJ60" s="13">
        <f>IF('Council Entry'!AJ60="","",IFERROR(MAX(0,MIN(10,ROUND(IF('Council Entry'!AJ$7="Decrease Risk",10-10*((IF('Council Entry'!AJ$4="Logarithm",LN(0.001+IF(AND(ISNUMBER('Council Entry'!AJ$8),ISNUMBER('Council Entry'!AJ$9)),MAX(MIN('Council Entry'!AJ60,'Council Entry'!AJ$9),'Council Entry'!AJ$8),'Council Entry'!AJ60)),IF('Council Entry'!AJ$4="Exponential",EXP(IF(AND(ISNUMBER('Council Entry'!AJ$8),ISNUMBER('Council Entry'!AJ$9)),MAX(MIN('Council Entry'!AJ60,'Council Entry'!AJ$9),'Council Entry'!AJ$8),'Council Entry'!AJ60)),IF(AND(ISNUMBER('Council Entry'!AJ$8),ISNUMBER('Council Entry'!AJ$9)),MAX(MIN('Council Entry'!AJ60,'Council Entry'!AJ$9),'Council Entry'!AJ$8),'Council Entry'!AJ60))))-'Council Entry'!AJ$5)/('Council Entry'!AJ$6-'Council Entry'!AJ$5),10*((IF('Council Entry'!AJ$4="Logarithm",LN(0.001+IF(AND(ISNUMBER('Council Entry'!AJ$8),ISNUMBER('Council Entry'!AJ$9)),MAX(MIN('Council Entry'!AJ60,'Council Entry'!AJ$9),'Council Entry'!AJ$8),'Council Entry'!AJ60)),IF('Council Entry'!AJ$4="Exponential",EXP(IF(AND(ISNUMBER('Council Entry'!AJ$8),ISNUMBER('Council Entry'!AJ$9)),MAX(MIN('Council Entry'!AJ60,'Council Entry'!AJ$9),'Council Entry'!AJ$8),'Council Entry'!AJ60)),IF(AND(ISNUMBER('Council Entry'!AJ$8),ISNUMBER('Council Entry'!AJ$9)),MAX(MIN('Council Entry'!AJ60,'Council Entry'!AJ$9),'Council Entry'!AJ$8),'Council Entry'!AJ60))))-'Council Entry'!AJ$5)/('Council Entry'!AJ$6-'Council Entry'!AJ$5)),1))),"No data"))</f>
        <v/>
      </c>
      <c r="AK60" s="13">
        <f>IF('Council Entry'!AK60="","",IFERROR(MAX(0,MIN(10,ROUND(IF('Council Entry'!AK$7="Decrease Risk",10-10*((IF('Council Entry'!AK$4="Logarithm",LN(0.001+IF(AND(ISNUMBER('Council Entry'!AK$8),ISNUMBER('Council Entry'!AK$9)),MAX(MIN('Council Entry'!AK60,'Council Entry'!AK$9),'Council Entry'!AK$8),'Council Entry'!AK60)),IF('Council Entry'!AK$4="Exponential",EXP(IF(AND(ISNUMBER('Council Entry'!AK$8),ISNUMBER('Council Entry'!AK$9)),MAX(MIN('Council Entry'!AK60,'Council Entry'!AK$9),'Council Entry'!AK$8),'Council Entry'!AK60)),IF(AND(ISNUMBER('Council Entry'!AK$8),ISNUMBER('Council Entry'!AK$9)),MAX(MIN('Council Entry'!AK60,'Council Entry'!AK$9),'Council Entry'!AK$8),'Council Entry'!AK60))))-'Council Entry'!AK$5)/('Council Entry'!AK$6-'Council Entry'!AK$5),10*((IF('Council Entry'!AK$4="Logarithm",LN(0.001+IF(AND(ISNUMBER('Council Entry'!AK$8),ISNUMBER('Council Entry'!AK$9)),MAX(MIN('Council Entry'!AK60,'Council Entry'!AK$9),'Council Entry'!AK$8),'Council Entry'!AK60)),IF('Council Entry'!AK$4="Exponential",EXP(IF(AND(ISNUMBER('Council Entry'!AK$8),ISNUMBER('Council Entry'!AK$9)),MAX(MIN('Council Entry'!AK60,'Council Entry'!AK$9),'Council Entry'!AK$8),'Council Entry'!AK60)),IF(AND(ISNUMBER('Council Entry'!AK$8),ISNUMBER('Council Entry'!AK$9)),MAX(MIN('Council Entry'!AK60,'Council Entry'!AK$9),'Council Entry'!AK$8),'Council Entry'!AK60))))-'Council Entry'!AK$5)/('Council Entry'!AK$6-'Council Entry'!AK$5)),1))),"No data"))</f>
        <v/>
      </c>
      <c r="AL60" s="13">
        <f>IF('Council Entry'!AL60="","",IFERROR(MAX(0,MIN(10,ROUND(IF('Council Entry'!AL$7="Decrease Risk",10-10*((IF('Council Entry'!AL$4="Logarithm",LN(0.001+IF(AND(ISNUMBER('Council Entry'!AL$8),ISNUMBER('Council Entry'!AL$9)),MAX(MIN('Council Entry'!AL60,'Council Entry'!AL$9),'Council Entry'!AL$8),'Council Entry'!AL60)),IF('Council Entry'!AL$4="Exponential",EXP(IF(AND(ISNUMBER('Council Entry'!AL$8),ISNUMBER('Council Entry'!AL$9)),MAX(MIN('Council Entry'!AL60,'Council Entry'!AL$9),'Council Entry'!AL$8),'Council Entry'!AL60)),IF(AND(ISNUMBER('Council Entry'!AL$8),ISNUMBER('Council Entry'!AL$9)),MAX(MIN('Council Entry'!AL60,'Council Entry'!AL$9),'Council Entry'!AL$8),'Council Entry'!AL60))))-'Council Entry'!AL$5)/('Council Entry'!AL$6-'Council Entry'!AL$5),10*((IF('Council Entry'!AL$4="Logarithm",LN(0.001+IF(AND(ISNUMBER('Council Entry'!AL$8),ISNUMBER('Council Entry'!AL$9)),MAX(MIN('Council Entry'!AL60,'Council Entry'!AL$9),'Council Entry'!AL$8),'Council Entry'!AL60)),IF('Council Entry'!AL$4="Exponential",EXP(IF(AND(ISNUMBER('Council Entry'!AL$8),ISNUMBER('Council Entry'!AL$9)),MAX(MIN('Council Entry'!AL60,'Council Entry'!AL$9),'Council Entry'!AL$8),'Council Entry'!AL60)),IF(AND(ISNUMBER('Council Entry'!AL$8),ISNUMBER('Council Entry'!AL$9)),MAX(MIN('Council Entry'!AL60,'Council Entry'!AL$9),'Council Entry'!AL$8),'Council Entry'!AL60))))-'Council Entry'!AL$5)/('Council Entry'!AL$6-'Council Entry'!AL$5)),1))),"No data"))</f>
        <v/>
      </c>
      <c r="AM60" s="13">
        <f>IF('Council Entry'!AM60="","",IFERROR(MAX(0,MIN(10,ROUND(IF('Council Entry'!AM$7="Decrease Risk",10-10*((IF('Council Entry'!AM$4="Logarithm",LN(0.001+IF(AND(ISNUMBER('Council Entry'!AM$8),ISNUMBER('Council Entry'!AM$9)),MAX(MIN('Council Entry'!AM60,'Council Entry'!AM$9),'Council Entry'!AM$8),'Council Entry'!AM60)),IF('Council Entry'!AM$4="Exponential",EXP(IF(AND(ISNUMBER('Council Entry'!AM$8),ISNUMBER('Council Entry'!AM$9)),MAX(MIN('Council Entry'!AM60,'Council Entry'!AM$9),'Council Entry'!AM$8),'Council Entry'!AM60)),IF(AND(ISNUMBER('Council Entry'!AM$8),ISNUMBER('Council Entry'!AM$9)),MAX(MIN('Council Entry'!AM60,'Council Entry'!AM$9),'Council Entry'!AM$8),'Council Entry'!AM60))))-'Council Entry'!AM$5)/('Council Entry'!AM$6-'Council Entry'!AM$5),10*((IF('Council Entry'!AM$4="Logarithm",LN(0.001+IF(AND(ISNUMBER('Council Entry'!AM$8),ISNUMBER('Council Entry'!AM$9)),MAX(MIN('Council Entry'!AM60,'Council Entry'!AM$9),'Council Entry'!AM$8),'Council Entry'!AM60)),IF('Council Entry'!AM$4="Exponential",EXP(IF(AND(ISNUMBER('Council Entry'!AM$8),ISNUMBER('Council Entry'!AM$9)),MAX(MIN('Council Entry'!AM60,'Council Entry'!AM$9),'Council Entry'!AM$8),'Council Entry'!AM60)),IF(AND(ISNUMBER('Council Entry'!AM$8),ISNUMBER('Council Entry'!AM$9)),MAX(MIN('Council Entry'!AM60,'Council Entry'!AM$9),'Council Entry'!AM$8),'Council Entry'!AM60))))-'Council Entry'!AM$5)/('Council Entry'!AM$6-'Council Entry'!AM$5)),1))),"No data"))</f>
        <v/>
      </c>
      <c r="AN60" s="13">
        <f>IF('Council Entry'!AN60="","",IFERROR(MAX(0,MIN(10,ROUND(IF('Council Entry'!AN$7="Decrease Risk",10-10*((IF('Council Entry'!AN$4="Logarithm",LN(0.001+IF(AND(ISNUMBER('Council Entry'!AN$8),ISNUMBER('Council Entry'!AN$9)),MAX(MIN('Council Entry'!AN60,'Council Entry'!AN$9),'Council Entry'!AN$8),'Council Entry'!AN60)),IF('Council Entry'!AN$4="Exponential",EXP(IF(AND(ISNUMBER('Council Entry'!AN$8),ISNUMBER('Council Entry'!AN$9)),MAX(MIN('Council Entry'!AN60,'Council Entry'!AN$9),'Council Entry'!AN$8),'Council Entry'!AN60)),IF(AND(ISNUMBER('Council Entry'!AN$8),ISNUMBER('Council Entry'!AN$9)),MAX(MIN('Council Entry'!AN60,'Council Entry'!AN$9),'Council Entry'!AN$8),'Council Entry'!AN60))))-'Council Entry'!AN$5)/('Council Entry'!AN$6-'Council Entry'!AN$5),10*((IF('Council Entry'!AN$4="Logarithm",LN(0.001+IF(AND(ISNUMBER('Council Entry'!AN$8),ISNUMBER('Council Entry'!AN$9)),MAX(MIN('Council Entry'!AN60,'Council Entry'!AN$9),'Council Entry'!AN$8),'Council Entry'!AN60)),IF('Council Entry'!AN$4="Exponential",EXP(IF(AND(ISNUMBER('Council Entry'!AN$8),ISNUMBER('Council Entry'!AN$9)),MAX(MIN('Council Entry'!AN60,'Council Entry'!AN$9),'Council Entry'!AN$8),'Council Entry'!AN60)),IF(AND(ISNUMBER('Council Entry'!AN$8),ISNUMBER('Council Entry'!AN$9)),MAX(MIN('Council Entry'!AN60,'Council Entry'!AN$9),'Council Entry'!AN$8),'Council Entry'!AN60))))-'Council Entry'!AN$5)/('Council Entry'!AN$6-'Council Entry'!AN$5)),1))),"No data"))</f>
        <v/>
      </c>
      <c r="AO60" s="13">
        <f>IF('Council Entry'!AO60="","",IFERROR(MAX(0,MIN(10,ROUND(IF('Council Entry'!AO$7="Decrease Risk",10-10*((IF('Council Entry'!AO$4="Logarithm",LN(0.001+IF(AND(ISNUMBER('Council Entry'!AO$8),ISNUMBER('Council Entry'!AO$9)),MAX(MIN('Council Entry'!AO60,'Council Entry'!AO$9),'Council Entry'!AO$8),'Council Entry'!AO60)),IF('Council Entry'!AO$4="Exponential",EXP(IF(AND(ISNUMBER('Council Entry'!AO$8),ISNUMBER('Council Entry'!AO$9)),MAX(MIN('Council Entry'!AO60,'Council Entry'!AO$9),'Council Entry'!AO$8),'Council Entry'!AO60)),IF(AND(ISNUMBER('Council Entry'!AO$8),ISNUMBER('Council Entry'!AO$9)),MAX(MIN('Council Entry'!AO60,'Council Entry'!AO$9),'Council Entry'!AO$8),'Council Entry'!AO60))))-'Council Entry'!AO$5)/('Council Entry'!AO$6-'Council Entry'!AO$5),10*((IF('Council Entry'!AO$4="Logarithm",LN(0.001+IF(AND(ISNUMBER('Council Entry'!AO$8),ISNUMBER('Council Entry'!AO$9)),MAX(MIN('Council Entry'!AO60,'Council Entry'!AO$9),'Council Entry'!AO$8),'Council Entry'!AO60)),IF('Council Entry'!AO$4="Exponential",EXP(IF(AND(ISNUMBER('Council Entry'!AO$8),ISNUMBER('Council Entry'!AO$9)),MAX(MIN('Council Entry'!AO60,'Council Entry'!AO$9),'Council Entry'!AO$8),'Council Entry'!AO60)),IF(AND(ISNUMBER('Council Entry'!AO$8),ISNUMBER('Council Entry'!AO$9)),MAX(MIN('Council Entry'!AO60,'Council Entry'!AO$9),'Council Entry'!AO$8),'Council Entry'!AO60))))-'Council Entry'!AO$5)/('Council Entry'!AO$6-'Council Entry'!AO$5)),1))),"No data"))</f>
        <v/>
      </c>
      <c r="AP60" s="13">
        <f>IF('Council Entry'!AP60="","",IFERROR(MAX(0,MIN(10,ROUND(IF('Council Entry'!AP$7="Decrease Risk",10-10*((IF('Council Entry'!AP$4="Logarithm",LN(0.001+IF(AND(ISNUMBER('Council Entry'!AP$8),ISNUMBER('Council Entry'!AP$9)),MAX(MIN('Council Entry'!AP60,'Council Entry'!AP$9),'Council Entry'!AP$8),'Council Entry'!AP60)),IF('Council Entry'!AP$4="Exponential",EXP(IF(AND(ISNUMBER('Council Entry'!AP$8),ISNUMBER('Council Entry'!AP$9)),MAX(MIN('Council Entry'!AP60,'Council Entry'!AP$9),'Council Entry'!AP$8),'Council Entry'!AP60)),IF(AND(ISNUMBER('Council Entry'!AP$8),ISNUMBER('Council Entry'!AP$9)),MAX(MIN('Council Entry'!AP60,'Council Entry'!AP$9),'Council Entry'!AP$8),'Council Entry'!AP60))))-'Council Entry'!AP$5)/('Council Entry'!AP$6-'Council Entry'!AP$5),10*((IF('Council Entry'!AP$4="Logarithm",LN(0.001+IF(AND(ISNUMBER('Council Entry'!AP$8),ISNUMBER('Council Entry'!AP$9)),MAX(MIN('Council Entry'!AP60,'Council Entry'!AP$9),'Council Entry'!AP$8),'Council Entry'!AP60)),IF('Council Entry'!AP$4="Exponential",EXP(IF(AND(ISNUMBER('Council Entry'!AP$8),ISNUMBER('Council Entry'!AP$9)),MAX(MIN('Council Entry'!AP60,'Council Entry'!AP$9),'Council Entry'!AP$8),'Council Entry'!AP60)),IF(AND(ISNUMBER('Council Entry'!AP$8),ISNUMBER('Council Entry'!AP$9)),MAX(MIN('Council Entry'!AP60,'Council Entry'!AP$9),'Council Entry'!AP$8),'Council Entry'!AP60))))-'Council Entry'!AP$5)/('Council Entry'!AP$6-'Council Entry'!AP$5)),1))),"No data"))</f>
        <v/>
      </c>
      <c r="AQ60" s="13">
        <f>IF('Council Entry'!AQ60="","",IFERROR(MAX(0,MIN(10,ROUND(IF('Council Entry'!AQ$7="Decrease Risk",10-10*((IF('Council Entry'!AQ$4="Logarithm",LN(0.001+IF(AND(ISNUMBER('Council Entry'!AQ$8),ISNUMBER('Council Entry'!AQ$9)),MAX(MIN('Council Entry'!AQ60,'Council Entry'!AQ$9),'Council Entry'!AQ$8),'Council Entry'!AQ60)),IF('Council Entry'!AQ$4="Exponential",EXP(IF(AND(ISNUMBER('Council Entry'!AQ$8),ISNUMBER('Council Entry'!AQ$9)),MAX(MIN('Council Entry'!AQ60,'Council Entry'!AQ$9),'Council Entry'!AQ$8),'Council Entry'!AQ60)),IF(AND(ISNUMBER('Council Entry'!AQ$8),ISNUMBER('Council Entry'!AQ$9)),MAX(MIN('Council Entry'!AQ60,'Council Entry'!AQ$9),'Council Entry'!AQ$8),'Council Entry'!AQ60))))-'Council Entry'!AQ$5)/('Council Entry'!AQ$6-'Council Entry'!AQ$5),10*((IF('Council Entry'!AQ$4="Logarithm",LN(0.001+IF(AND(ISNUMBER('Council Entry'!AQ$8),ISNUMBER('Council Entry'!AQ$9)),MAX(MIN('Council Entry'!AQ60,'Council Entry'!AQ$9),'Council Entry'!AQ$8),'Council Entry'!AQ60)),IF('Council Entry'!AQ$4="Exponential",EXP(IF(AND(ISNUMBER('Council Entry'!AQ$8),ISNUMBER('Council Entry'!AQ$9)),MAX(MIN('Council Entry'!AQ60,'Council Entry'!AQ$9),'Council Entry'!AQ$8),'Council Entry'!AQ60)),IF(AND(ISNUMBER('Council Entry'!AQ$8),ISNUMBER('Council Entry'!AQ$9)),MAX(MIN('Council Entry'!AQ60,'Council Entry'!AQ$9),'Council Entry'!AQ$8),'Council Entry'!AQ60))))-'Council Entry'!AQ$5)/('Council Entry'!AQ$6-'Council Entry'!AQ$5)),1))),"No data"))</f>
        <v/>
      </c>
      <c r="AR60" s="13">
        <f>IF('Council Entry'!AR60="","",IFERROR(MAX(0,MIN(10,ROUND(IF('Council Entry'!AR$7="Decrease Risk",10-10*((IF('Council Entry'!AR$4="Logarithm",LN(0.001+IF(AND(ISNUMBER('Council Entry'!AR$8),ISNUMBER('Council Entry'!AR$9)),MAX(MIN('Council Entry'!AR60,'Council Entry'!AR$9),'Council Entry'!AR$8),'Council Entry'!AR60)),IF('Council Entry'!AR$4="Exponential",EXP(IF(AND(ISNUMBER('Council Entry'!AR$8),ISNUMBER('Council Entry'!AR$9)),MAX(MIN('Council Entry'!AR60,'Council Entry'!AR$9),'Council Entry'!AR$8),'Council Entry'!AR60)),IF(AND(ISNUMBER('Council Entry'!AR$8),ISNUMBER('Council Entry'!AR$9)),MAX(MIN('Council Entry'!AR60,'Council Entry'!AR$9),'Council Entry'!AR$8),'Council Entry'!AR60))))-'Council Entry'!AR$5)/('Council Entry'!AR$6-'Council Entry'!AR$5),10*((IF('Council Entry'!AR$4="Logarithm",LN(0.001+IF(AND(ISNUMBER('Council Entry'!AR$8),ISNUMBER('Council Entry'!AR$9)),MAX(MIN('Council Entry'!AR60,'Council Entry'!AR$9),'Council Entry'!AR$8),'Council Entry'!AR60)),IF('Council Entry'!AR$4="Exponential",EXP(IF(AND(ISNUMBER('Council Entry'!AR$8),ISNUMBER('Council Entry'!AR$9)),MAX(MIN('Council Entry'!AR60,'Council Entry'!AR$9),'Council Entry'!AR$8),'Council Entry'!AR60)),IF(AND(ISNUMBER('Council Entry'!AR$8),ISNUMBER('Council Entry'!AR$9)),MAX(MIN('Council Entry'!AR60,'Council Entry'!AR$9),'Council Entry'!AR$8),'Council Entry'!AR60))))-'Council Entry'!AR$5)/('Council Entry'!AR$6-'Council Entry'!AR$5)),1))),"No data"))</f>
        <v/>
      </c>
      <c r="AS60" s="13">
        <f>IF('Council Entry'!AS60="","",IFERROR(MAX(0,MIN(10,ROUND(IF('Council Entry'!AS$7="Decrease Risk",10-10*((IF('Council Entry'!AS$4="Logarithm",LN(0.001+IF(AND(ISNUMBER('Council Entry'!AS$8),ISNUMBER('Council Entry'!AS$9)),MAX(MIN('Council Entry'!AS60,'Council Entry'!AS$9),'Council Entry'!AS$8),'Council Entry'!AS60)),IF('Council Entry'!AS$4="Exponential",EXP(IF(AND(ISNUMBER('Council Entry'!AS$8),ISNUMBER('Council Entry'!AS$9)),MAX(MIN('Council Entry'!AS60,'Council Entry'!AS$9),'Council Entry'!AS$8),'Council Entry'!AS60)),IF(AND(ISNUMBER('Council Entry'!AS$8),ISNUMBER('Council Entry'!AS$9)),MAX(MIN('Council Entry'!AS60,'Council Entry'!AS$9),'Council Entry'!AS$8),'Council Entry'!AS60))))-'Council Entry'!AS$5)/('Council Entry'!AS$6-'Council Entry'!AS$5),10*((IF('Council Entry'!AS$4="Logarithm",LN(0.001+IF(AND(ISNUMBER('Council Entry'!AS$8),ISNUMBER('Council Entry'!AS$9)),MAX(MIN('Council Entry'!AS60,'Council Entry'!AS$9),'Council Entry'!AS$8),'Council Entry'!AS60)),IF('Council Entry'!AS$4="Exponential",EXP(IF(AND(ISNUMBER('Council Entry'!AS$8),ISNUMBER('Council Entry'!AS$9)),MAX(MIN('Council Entry'!AS60,'Council Entry'!AS$9),'Council Entry'!AS$8),'Council Entry'!AS60)),IF(AND(ISNUMBER('Council Entry'!AS$8),ISNUMBER('Council Entry'!AS$9)),MAX(MIN('Council Entry'!AS60,'Council Entry'!AS$9),'Council Entry'!AS$8),'Council Entry'!AS60))))-'Council Entry'!AS$5)/('Council Entry'!AS$6-'Council Entry'!AS$5)),1))),"No data"))</f>
        <v/>
      </c>
      <c r="AT60" s="13">
        <f>IF('Council Entry'!AT60="","",IFERROR(MAX(0,MIN(10,ROUND(IF('Council Entry'!AT$7="Decrease Risk",10-10*((IF('Council Entry'!AT$4="Logarithm",LN(0.001+IF(AND(ISNUMBER('Council Entry'!AT$8),ISNUMBER('Council Entry'!AT$9)),MAX(MIN('Council Entry'!AT60,'Council Entry'!AT$9),'Council Entry'!AT$8),'Council Entry'!AT60)),IF('Council Entry'!AT$4="Exponential",EXP(IF(AND(ISNUMBER('Council Entry'!AT$8),ISNUMBER('Council Entry'!AT$9)),MAX(MIN('Council Entry'!AT60,'Council Entry'!AT$9),'Council Entry'!AT$8),'Council Entry'!AT60)),IF(AND(ISNUMBER('Council Entry'!AT$8),ISNUMBER('Council Entry'!AT$9)),MAX(MIN('Council Entry'!AT60,'Council Entry'!AT$9),'Council Entry'!AT$8),'Council Entry'!AT60))))-'Council Entry'!AT$5)/('Council Entry'!AT$6-'Council Entry'!AT$5),10*((IF('Council Entry'!AT$4="Logarithm",LN(0.001+IF(AND(ISNUMBER('Council Entry'!AT$8),ISNUMBER('Council Entry'!AT$9)),MAX(MIN('Council Entry'!AT60,'Council Entry'!AT$9),'Council Entry'!AT$8),'Council Entry'!AT60)),IF('Council Entry'!AT$4="Exponential",EXP(IF(AND(ISNUMBER('Council Entry'!AT$8),ISNUMBER('Council Entry'!AT$9)),MAX(MIN('Council Entry'!AT60,'Council Entry'!AT$9),'Council Entry'!AT$8),'Council Entry'!AT60)),IF(AND(ISNUMBER('Council Entry'!AT$8),ISNUMBER('Council Entry'!AT$9)),MAX(MIN('Council Entry'!AT60,'Council Entry'!AT$9),'Council Entry'!AT$8),'Council Entry'!AT60))))-'Council Entry'!AT$5)/('Council Entry'!AT$6-'Council Entry'!AT$5)),1))),"No data"))</f>
        <v/>
      </c>
      <c r="AU60" s="13">
        <f>IF('Council Entry'!AU60="","",IFERROR(MAX(0,MIN(10,ROUND(IF('Council Entry'!AU$7="Decrease Risk",10-10*((IF('Council Entry'!AU$4="Logarithm",LN(0.001+IF(AND(ISNUMBER('Council Entry'!AU$8),ISNUMBER('Council Entry'!AU$9)),MAX(MIN('Council Entry'!AU60,'Council Entry'!AU$9),'Council Entry'!AU$8),'Council Entry'!AU60)),IF('Council Entry'!AU$4="Exponential",EXP(IF(AND(ISNUMBER('Council Entry'!AU$8),ISNUMBER('Council Entry'!AU$9)),MAX(MIN('Council Entry'!AU60,'Council Entry'!AU$9),'Council Entry'!AU$8),'Council Entry'!AU60)),IF(AND(ISNUMBER('Council Entry'!AU$8),ISNUMBER('Council Entry'!AU$9)),MAX(MIN('Council Entry'!AU60,'Council Entry'!AU$9),'Council Entry'!AU$8),'Council Entry'!AU60))))-'Council Entry'!AU$5)/('Council Entry'!AU$6-'Council Entry'!AU$5),10*((IF('Council Entry'!AU$4="Logarithm",LN(0.001+IF(AND(ISNUMBER('Council Entry'!AU$8),ISNUMBER('Council Entry'!AU$9)),MAX(MIN('Council Entry'!AU60,'Council Entry'!AU$9),'Council Entry'!AU$8),'Council Entry'!AU60)),IF('Council Entry'!AU$4="Exponential",EXP(IF(AND(ISNUMBER('Council Entry'!AU$8),ISNUMBER('Council Entry'!AU$9)),MAX(MIN('Council Entry'!AU60,'Council Entry'!AU$9),'Council Entry'!AU$8),'Council Entry'!AU60)),IF(AND(ISNUMBER('Council Entry'!AU$8),ISNUMBER('Council Entry'!AU$9)),MAX(MIN('Council Entry'!AU60,'Council Entry'!AU$9),'Council Entry'!AU$8),'Council Entry'!AU60))))-'Council Entry'!AU$5)/('Council Entry'!AU$6-'Council Entry'!AU$5)),1))),"No data"))</f>
        <v/>
      </c>
      <c r="AV60" s="13">
        <f>IF('Council Entry'!AV60="","",IFERROR(MAX(0,MIN(10,ROUND(IF('Council Entry'!AV$7="Decrease Risk",10-10*((IF('Council Entry'!AV$4="Logarithm",LN(0.001+IF(AND(ISNUMBER('Council Entry'!AV$8),ISNUMBER('Council Entry'!AV$9)),MAX(MIN('Council Entry'!AV60,'Council Entry'!AV$9),'Council Entry'!AV$8),'Council Entry'!AV60)),IF('Council Entry'!AV$4="Exponential",EXP(IF(AND(ISNUMBER('Council Entry'!AV$8),ISNUMBER('Council Entry'!AV$9)),MAX(MIN('Council Entry'!AV60,'Council Entry'!AV$9),'Council Entry'!AV$8),'Council Entry'!AV60)),IF(AND(ISNUMBER('Council Entry'!AV$8),ISNUMBER('Council Entry'!AV$9)),MAX(MIN('Council Entry'!AV60,'Council Entry'!AV$9),'Council Entry'!AV$8),'Council Entry'!AV60))))-'Council Entry'!AV$5)/('Council Entry'!AV$6-'Council Entry'!AV$5),10*((IF('Council Entry'!AV$4="Logarithm",LN(0.001+IF(AND(ISNUMBER('Council Entry'!AV$8),ISNUMBER('Council Entry'!AV$9)),MAX(MIN('Council Entry'!AV60,'Council Entry'!AV$9),'Council Entry'!AV$8),'Council Entry'!AV60)),IF('Council Entry'!AV$4="Exponential",EXP(IF(AND(ISNUMBER('Council Entry'!AV$8),ISNUMBER('Council Entry'!AV$9)),MAX(MIN('Council Entry'!AV60,'Council Entry'!AV$9),'Council Entry'!AV$8),'Council Entry'!AV60)),IF(AND(ISNUMBER('Council Entry'!AV$8),ISNUMBER('Council Entry'!AV$9)),MAX(MIN('Council Entry'!AV60,'Council Entry'!AV$9),'Council Entry'!AV$8),'Council Entry'!AV60))))-'Council Entry'!AV$5)/('Council Entry'!AV$6-'Council Entry'!AV$5)),1))),"No data"))</f>
        <v/>
      </c>
      <c r="AW60" s="13">
        <f>IF('Council Entry'!AW60="","",IFERROR(MAX(0,MIN(10,ROUND(IF('Council Entry'!AW$7="Decrease Risk",10-10*((IF('Council Entry'!AW$4="Logarithm",LN(0.001+IF(AND(ISNUMBER('Council Entry'!AW$8),ISNUMBER('Council Entry'!AW$9)),MAX(MIN('Council Entry'!AW60,'Council Entry'!AW$9),'Council Entry'!AW$8),'Council Entry'!AW60)),IF('Council Entry'!AW$4="Exponential",EXP(IF(AND(ISNUMBER('Council Entry'!AW$8),ISNUMBER('Council Entry'!AW$9)),MAX(MIN('Council Entry'!AW60,'Council Entry'!AW$9),'Council Entry'!AW$8),'Council Entry'!AW60)),IF(AND(ISNUMBER('Council Entry'!AW$8),ISNUMBER('Council Entry'!AW$9)),MAX(MIN('Council Entry'!AW60,'Council Entry'!AW$9),'Council Entry'!AW$8),'Council Entry'!AW60))))-'Council Entry'!AW$5)/('Council Entry'!AW$6-'Council Entry'!AW$5),10*((IF('Council Entry'!AW$4="Logarithm",LN(0.001+IF(AND(ISNUMBER('Council Entry'!AW$8),ISNUMBER('Council Entry'!AW$9)),MAX(MIN('Council Entry'!AW60,'Council Entry'!AW$9),'Council Entry'!AW$8),'Council Entry'!AW60)),IF('Council Entry'!AW$4="Exponential",EXP(IF(AND(ISNUMBER('Council Entry'!AW$8),ISNUMBER('Council Entry'!AW$9)),MAX(MIN('Council Entry'!AW60,'Council Entry'!AW$9),'Council Entry'!AW$8),'Council Entry'!AW60)),IF(AND(ISNUMBER('Council Entry'!AW$8),ISNUMBER('Council Entry'!AW$9)),MAX(MIN('Council Entry'!AW60,'Council Entry'!AW$9),'Council Entry'!AW$8),'Council Entry'!AW60))))-'Council Entry'!AW$5)/('Council Entry'!AW$6-'Council Entry'!AW$5)),1))),"No data"))</f>
        <v/>
      </c>
      <c r="AX60" s="13">
        <f>IF('Council Entry'!AX60="","",IFERROR(MAX(0,MIN(10,ROUND(IF('Council Entry'!AX$7="Decrease Risk",10-10*((IF('Council Entry'!AX$4="Logarithm",LN(0.001+IF(AND(ISNUMBER('Council Entry'!AX$8),ISNUMBER('Council Entry'!AX$9)),MAX(MIN('Council Entry'!AX60,'Council Entry'!AX$9),'Council Entry'!AX$8),'Council Entry'!AX60)),IF('Council Entry'!AX$4="Exponential",EXP(IF(AND(ISNUMBER('Council Entry'!AX$8),ISNUMBER('Council Entry'!AX$9)),MAX(MIN('Council Entry'!AX60,'Council Entry'!AX$9),'Council Entry'!AX$8),'Council Entry'!AX60)),IF(AND(ISNUMBER('Council Entry'!AX$8),ISNUMBER('Council Entry'!AX$9)),MAX(MIN('Council Entry'!AX60,'Council Entry'!AX$9),'Council Entry'!AX$8),'Council Entry'!AX60))))-'Council Entry'!AX$5)/('Council Entry'!AX$6-'Council Entry'!AX$5),10*((IF('Council Entry'!AX$4="Logarithm",LN(0.001+IF(AND(ISNUMBER('Council Entry'!AX$8),ISNUMBER('Council Entry'!AX$9)),MAX(MIN('Council Entry'!AX60,'Council Entry'!AX$9),'Council Entry'!AX$8),'Council Entry'!AX60)),IF('Council Entry'!AX$4="Exponential",EXP(IF(AND(ISNUMBER('Council Entry'!AX$8),ISNUMBER('Council Entry'!AX$9)),MAX(MIN('Council Entry'!AX60,'Council Entry'!AX$9),'Council Entry'!AX$8),'Council Entry'!AX60)),IF(AND(ISNUMBER('Council Entry'!AX$8),ISNUMBER('Council Entry'!AX$9)),MAX(MIN('Council Entry'!AX60,'Council Entry'!AX$9),'Council Entry'!AX$8),'Council Entry'!AX60))))-'Council Entry'!AX$5)/('Council Entry'!AX$6-'Council Entry'!AX$5)),1))),"No data"))</f>
        <v/>
      </c>
      <c r="AY60" s="13">
        <f>IF('Council Entry'!AY60="","",IFERROR(MAX(0,MIN(10,ROUND(IF('Council Entry'!AY$7="Decrease Risk",10-10*((IF('Council Entry'!AY$4="Logarithm",LN(0.001+IF(AND(ISNUMBER('Council Entry'!AY$8),ISNUMBER('Council Entry'!AY$9)),MAX(MIN('Council Entry'!AY60,'Council Entry'!AY$9),'Council Entry'!AY$8),'Council Entry'!AY60)),IF('Council Entry'!AY$4="Exponential",EXP(IF(AND(ISNUMBER('Council Entry'!AY$8),ISNUMBER('Council Entry'!AY$9)),MAX(MIN('Council Entry'!AY60,'Council Entry'!AY$9),'Council Entry'!AY$8),'Council Entry'!AY60)),IF(AND(ISNUMBER('Council Entry'!AY$8),ISNUMBER('Council Entry'!AY$9)),MAX(MIN('Council Entry'!AY60,'Council Entry'!AY$9),'Council Entry'!AY$8),'Council Entry'!AY60))))-'Council Entry'!AY$5)/('Council Entry'!AY$6-'Council Entry'!AY$5),10*((IF('Council Entry'!AY$4="Logarithm",LN(0.001+IF(AND(ISNUMBER('Council Entry'!AY$8),ISNUMBER('Council Entry'!AY$9)),MAX(MIN('Council Entry'!AY60,'Council Entry'!AY$9),'Council Entry'!AY$8),'Council Entry'!AY60)),IF('Council Entry'!AY$4="Exponential",EXP(IF(AND(ISNUMBER('Council Entry'!AY$8),ISNUMBER('Council Entry'!AY$9)),MAX(MIN('Council Entry'!AY60,'Council Entry'!AY$9),'Council Entry'!AY$8),'Council Entry'!AY60)),IF(AND(ISNUMBER('Council Entry'!AY$8),ISNUMBER('Council Entry'!AY$9)),MAX(MIN('Council Entry'!AY60,'Council Entry'!AY$9),'Council Entry'!AY$8),'Council Entry'!AY60))))-'Council Entry'!AY$5)/('Council Entry'!AY$6-'Council Entry'!AY$5)),1))),"No data"))</f>
        <v/>
      </c>
      <c r="AZ60" s="13">
        <f>IF('Council Entry'!AZ60="","",IFERROR(MAX(0,MIN(10,ROUND(IF('Council Entry'!AZ$7="Decrease Risk",10-10*((IF('Council Entry'!AZ$4="Logarithm",LN(0.001+IF(AND(ISNUMBER('Council Entry'!AZ$8),ISNUMBER('Council Entry'!AZ$9)),MAX(MIN('Council Entry'!AZ60,'Council Entry'!AZ$9),'Council Entry'!AZ$8),'Council Entry'!AZ60)),IF('Council Entry'!AZ$4="Exponential",EXP(IF(AND(ISNUMBER('Council Entry'!AZ$8),ISNUMBER('Council Entry'!AZ$9)),MAX(MIN('Council Entry'!AZ60,'Council Entry'!AZ$9),'Council Entry'!AZ$8),'Council Entry'!AZ60)),IF(AND(ISNUMBER('Council Entry'!AZ$8),ISNUMBER('Council Entry'!AZ$9)),MAX(MIN('Council Entry'!AZ60,'Council Entry'!AZ$9),'Council Entry'!AZ$8),'Council Entry'!AZ60))))-'Council Entry'!AZ$5)/('Council Entry'!AZ$6-'Council Entry'!AZ$5),10*((IF('Council Entry'!AZ$4="Logarithm",LN(0.001+IF(AND(ISNUMBER('Council Entry'!AZ$8),ISNUMBER('Council Entry'!AZ$9)),MAX(MIN('Council Entry'!AZ60,'Council Entry'!AZ$9),'Council Entry'!AZ$8),'Council Entry'!AZ60)),IF('Council Entry'!AZ$4="Exponential",EXP(IF(AND(ISNUMBER('Council Entry'!AZ$8),ISNUMBER('Council Entry'!AZ$9)),MAX(MIN('Council Entry'!AZ60,'Council Entry'!AZ$9),'Council Entry'!AZ$8),'Council Entry'!AZ60)),IF(AND(ISNUMBER('Council Entry'!AZ$8),ISNUMBER('Council Entry'!AZ$9)),MAX(MIN('Council Entry'!AZ60,'Council Entry'!AZ$9),'Council Entry'!AZ$8),'Council Entry'!AZ60))))-'Council Entry'!AZ$5)/('Council Entry'!AZ$6-'Council Entry'!AZ$5)),1))),"No data"))</f>
        <v/>
      </c>
      <c r="BA60" s="13">
        <f>IF('Council Entry'!BA60="","",IFERROR(MAX(0,MIN(10,ROUND(IF('Council Entry'!BA$7="Decrease Risk",10-10*((IF('Council Entry'!BA$4="Logarithm",LN(0.001+IF(AND(ISNUMBER('Council Entry'!BA$8),ISNUMBER('Council Entry'!BA$9)),MAX(MIN('Council Entry'!BA60,'Council Entry'!BA$9),'Council Entry'!BA$8),'Council Entry'!BA60)),IF('Council Entry'!BA$4="Exponential",EXP(IF(AND(ISNUMBER('Council Entry'!BA$8),ISNUMBER('Council Entry'!BA$9)),MAX(MIN('Council Entry'!BA60,'Council Entry'!BA$9),'Council Entry'!BA$8),'Council Entry'!BA60)),IF(AND(ISNUMBER('Council Entry'!BA$8),ISNUMBER('Council Entry'!BA$9)),MAX(MIN('Council Entry'!BA60,'Council Entry'!BA$9),'Council Entry'!BA$8),'Council Entry'!BA60))))-'Council Entry'!BA$5)/('Council Entry'!BA$6-'Council Entry'!BA$5),10*((IF('Council Entry'!BA$4="Logarithm",LN(0.001+IF(AND(ISNUMBER('Council Entry'!BA$8),ISNUMBER('Council Entry'!BA$9)),MAX(MIN('Council Entry'!BA60,'Council Entry'!BA$9),'Council Entry'!BA$8),'Council Entry'!BA60)),IF('Council Entry'!BA$4="Exponential",EXP(IF(AND(ISNUMBER('Council Entry'!BA$8),ISNUMBER('Council Entry'!BA$9)),MAX(MIN('Council Entry'!BA60,'Council Entry'!BA$9),'Council Entry'!BA$8),'Council Entry'!BA60)),IF(AND(ISNUMBER('Council Entry'!BA$8),ISNUMBER('Council Entry'!BA$9)),MAX(MIN('Council Entry'!BA60,'Council Entry'!BA$9),'Council Entry'!BA$8),'Council Entry'!BA60))))-'Council Entry'!BA$5)/('Council Entry'!BA$6-'Council Entry'!BA$5)),1))),"No data"))</f>
        <v/>
      </c>
      <c r="BB60" s="13">
        <f>IF('Council Entry'!BB60="","",IFERROR(MAX(0,MIN(10,ROUND(IF('Council Entry'!BB$7="Decrease Risk",10-10*((IF('Council Entry'!BB$4="Logarithm",LN(0.001+IF(AND(ISNUMBER('Council Entry'!BB$8),ISNUMBER('Council Entry'!BB$9)),MAX(MIN('Council Entry'!BB60,'Council Entry'!BB$9),'Council Entry'!BB$8),'Council Entry'!BB60)),IF('Council Entry'!BB$4="Exponential",EXP(IF(AND(ISNUMBER('Council Entry'!BB$8),ISNUMBER('Council Entry'!BB$9)),MAX(MIN('Council Entry'!BB60,'Council Entry'!BB$9),'Council Entry'!BB$8),'Council Entry'!BB60)),IF(AND(ISNUMBER('Council Entry'!BB$8),ISNUMBER('Council Entry'!BB$9)),MAX(MIN('Council Entry'!BB60,'Council Entry'!BB$9),'Council Entry'!BB$8),'Council Entry'!BB60))))-'Council Entry'!BB$5)/('Council Entry'!BB$6-'Council Entry'!BB$5),10*((IF('Council Entry'!BB$4="Logarithm",LN(0.001+IF(AND(ISNUMBER('Council Entry'!BB$8),ISNUMBER('Council Entry'!BB$9)),MAX(MIN('Council Entry'!BB60,'Council Entry'!BB$9),'Council Entry'!BB$8),'Council Entry'!BB60)),IF('Council Entry'!BB$4="Exponential",EXP(IF(AND(ISNUMBER('Council Entry'!BB$8),ISNUMBER('Council Entry'!BB$9)),MAX(MIN('Council Entry'!BB60,'Council Entry'!BB$9),'Council Entry'!BB$8),'Council Entry'!BB60)),IF(AND(ISNUMBER('Council Entry'!BB$8),ISNUMBER('Council Entry'!BB$9)),MAX(MIN('Council Entry'!BB60,'Council Entry'!BB$9),'Council Entry'!BB$8),'Council Entry'!BB60))))-'Council Entry'!BB$5)/('Council Entry'!BB$6-'Council Entry'!BB$5)),1))),"No data"))</f>
        <v/>
      </c>
      <c r="BC60" s="13">
        <f>IF('Council Entry'!BC60="","",IFERROR(MAX(0,MIN(10,ROUND(IF('Council Entry'!BC$7="Decrease Risk",10-10*((IF('Council Entry'!BC$4="Logarithm",LN(0.001+IF(AND(ISNUMBER('Council Entry'!BC$8),ISNUMBER('Council Entry'!BC$9)),MAX(MIN('Council Entry'!BC60,'Council Entry'!BC$9),'Council Entry'!BC$8),'Council Entry'!BC60)),IF('Council Entry'!BC$4="Exponential",EXP(IF(AND(ISNUMBER('Council Entry'!BC$8),ISNUMBER('Council Entry'!BC$9)),MAX(MIN('Council Entry'!BC60,'Council Entry'!BC$9),'Council Entry'!BC$8),'Council Entry'!BC60)),IF(AND(ISNUMBER('Council Entry'!BC$8),ISNUMBER('Council Entry'!BC$9)),MAX(MIN('Council Entry'!BC60,'Council Entry'!BC$9),'Council Entry'!BC$8),'Council Entry'!BC60))))-'Council Entry'!BC$5)/('Council Entry'!BC$6-'Council Entry'!BC$5),10*((IF('Council Entry'!BC$4="Logarithm",LN(0.001+IF(AND(ISNUMBER('Council Entry'!BC$8),ISNUMBER('Council Entry'!BC$9)),MAX(MIN('Council Entry'!BC60,'Council Entry'!BC$9),'Council Entry'!BC$8),'Council Entry'!BC60)),IF('Council Entry'!BC$4="Exponential",EXP(IF(AND(ISNUMBER('Council Entry'!BC$8),ISNUMBER('Council Entry'!BC$9)),MAX(MIN('Council Entry'!BC60,'Council Entry'!BC$9),'Council Entry'!BC$8),'Council Entry'!BC60)),IF(AND(ISNUMBER('Council Entry'!BC$8),ISNUMBER('Council Entry'!BC$9)),MAX(MIN('Council Entry'!BC60,'Council Entry'!BC$9),'Council Entry'!BC$8),'Council Entry'!BC60))))-'Council Entry'!BC$5)/('Council Entry'!BC$6-'Council Entry'!BC$5)),1))),"No data"))</f>
        <v/>
      </c>
      <c r="BD60" s="13">
        <f>IF('Council Entry'!BD60="","",IFERROR(MAX(0,MIN(10,ROUND(IF('Council Entry'!BD$7="Decrease Risk",10-10*((IF('Council Entry'!BD$4="Logarithm",LN(0.001+IF(AND(ISNUMBER('Council Entry'!BD$8),ISNUMBER('Council Entry'!BD$9)),MAX(MIN('Council Entry'!BD60,'Council Entry'!BD$9),'Council Entry'!BD$8),'Council Entry'!BD60)),IF('Council Entry'!BD$4="Exponential",EXP(IF(AND(ISNUMBER('Council Entry'!BD$8),ISNUMBER('Council Entry'!BD$9)),MAX(MIN('Council Entry'!BD60,'Council Entry'!BD$9),'Council Entry'!BD$8),'Council Entry'!BD60)),IF(AND(ISNUMBER('Council Entry'!BD$8),ISNUMBER('Council Entry'!BD$9)),MAX(MIN('Council Entry'!BD60,'Council Entry'!BD$9),'Council Entry'!BD$8),'Council Entry'!BD60))))-'Council Entry'!BD$5)/('Council Entry'!BD$6-'Council Entry'!BD$5),10*((IF('Council Entry'!BD$4="Logarithm",LN(0.001+IF(AND(ISNUMBER('Council Entry'!BD$8),ISNUMBER('Council Entry'!BD$9)),MAX(MIN('Council Entry'!BD60,'Council Entry'!BD$9),'Council Entry'!BD$8),'Council Entry'!BD60)),IF('Council Entry'!BD$4="Exponential",EXP(IF(AND(ISNUMBER('Council Entry'!BD$8),ISNUMBER('Council Entry'!BD$9)),MAX(MIN('Council Entry'!BD60,'Council Entry'!BD$9),'Council Entry'!BD$8),'Council Entry'!BD60)),IF(AND(ISNUMBER('Council Entry'!BD$8),ISNUMBER('Council Entry'!BD$9)),MAX(MIN('Council Entry'!BD60,'Council Entry'!BD$9),'Council Entry'!BD$8),'Council Entry'!BD60))))-'Council Entry'!BD$5)/('Council Entry'!BD$6-'Council Entry'!BD$5)),1))),"No data"))</f>
        <v/>
      </c>
    </row>
    <row r="61">
      <c r="A61" t="inlineStr">
        <is>
          <t>Kigoma</t>
        </is>
      </c>
      <c r="B61" t="inlineStr">
        <is>
          <t>Kasulu District</t>
        </is>
      </c>
      <c r="C61" t="inlineStr">
        <is>
          <t>C112</t>
        </is>
      </c>
      <c r="D61" s="13">
        <f>IF('Council Entry'!D61="","",IFERROR(MAX(0,MIN(10,ROUND(IF('Council Entry'!D$7="Decrease Risk",10-10*((IF('Council Entry'!D$4="Logarithm",LN(0.001+IF(AND(ISNUMBER('Council Entry'!D$8),ISNUMBER('Council Entry'!D$9)),MAX(MIN('Council Entry'!D61,'Council Entry'!D$9),'Council Entry'!D$8),'Council Entry'!D61)),IF('Council Entry'!D$4="Exponential",EXP(IF(AND(ISNUMBER('Council Entry'!D$8),ISNUMBER('Council Entry'!D$9)),MAX(MIN('Council Entry'!D61,'Council Entry'!D$9),'Council Entry'!D$8),'Council Entry'!D61)),IF(AND(ISNUMBER('Council Entry'!D$8),ISNUMBER('Council Entry'!D$9)),MAX(MIN('Council Entry'!D61,'Council Entry'!D$9),'Council Entry'!D$8),'Council Entry'!D61))))-'Council Entry'!D$5)/('Council Entry'!D$6-'Council Entry'!D$5),10*((IF('Council Entry'!D$4="Logarithm",LN(0.001+IF(AND(ISNUMBER('Council Entry'!D$8),ISNUMBER('Council Entry'!D$9)),MAX(MIN('Council Entry'!D61,'Council Entry'!D$9),'Council Entry'!D$8),'Council Entry'!D61)),IF('Council Entry'!D$4="Exponential",EXP(IF(AND(ISNUMBER('Council Entry'!D$8),ISNUMBER('Council Entry'!D$9)),MAX(MIN('Council Entry'!D61,'Council Entry'!D$9),'Council Entry'!D$8),'Council Entry'!D61)),IF(AND(ISNUMBER('Council Entry'!D$8),ISNUMBER('Council Entry'!D$9)),MAX(MIN('Council Entry'!D61,'Council Entry'!D$9),'Council Entry'!D$8),'Council Entry'!D61))))-'Council Entry'!D$5)/('Council Entry'!D$6-'Council Entry'!D$5)),1))),"No data"))</f>
        <v/>
      </c>
      <c r="E61" s="13">
        <f>IF('Council Entry'!E61="","",IFERROR(MAX(0,MIN(10,ROUND(IF('Council Entry'!E$7="Decrease Risk",10-10*((IF('Council Entry'!E$4="Logarithm",LN(0.001+IF(AND(ISNUMBER('Council Entry'!E$8),ISNUMBER('Council Entry'!E$9)),MAX(MIN('Council Entry'!E61,'Council Entry'!E$9),'Council Entry'!E$8),'Council Entry'!E61)),IF('Council Entry'!E$4="Exponential",EXP(IF(AND(ISNUMBER('Council Entry'!E$8),ISNUMBER('Council Entry'!E$9)),MAX(MIN('Council Entry'!E61,'Council Entry'!E$9),'Council Entry'!E$8),'Council Entry'!E61)),IF(AND(ISNUMBER('Council Entry'!E$8),ISNUMBER('Council Entry'!E$9)),MAX(MIN('Council Entry'!E61,'Council Entry'!E$9),'Council Entry'!E$8),'Council Entry'!E61))))-'Council Entry'!E$5)/('Council Entry'!E$6-'Council Entry'!E$5),10*((IF('Council Entry'!E$4="Logarithm",LN(0.001+IF(AND(ISNUMBER('Council Entry'!E$8),ISNUMBER('Council Entry'!E$9)),MAX(MIN('Council Entry'!E61,'Council Entry'!E$9),'Council Entry'!E$8),'Council Entry'!E61)),IF('Council Entry'!E$4="Exponential",EXP(IF(AND(ISNUMBER('Council Entry'!E$8),ISNUMBER('Council Entry'!E$9)),MAX(MIN('Council Entry'!E61,'Council Entry'!E$9),'Council Entry'!E$8),'Council Entry'!E61)),IF(AND(ISNUMBER('Council Entry'!E$8),ISNUMBER('Council Entry'!E$9)),MAX(MIN('Council Entry'!E61,'Council Entry'!E$9),'Council Entry'!E$8),'Council Entry'!E61))))-'Council Entry'!E$5)/('Council Entry'!E$6-'Council Entry'!E$5)),1))),"No data"))</f>
        <v/>
      </c>
      <c r="F61" s="13">
        <f>IF('Council Entry'!F61="","",IFERROR(MAX(0,MIN(10,ROUND(IF('Council Entry'!F$7="Decrease Risk",10-10*((IF('Council Entry'!F$4="Logarithm",LN(0.001+IF(AND(ISNUMBER('Council Entry'!F$8),ISNUMBER('Council Entry'!F$9)),MAX(MIN('Council Entry'!F61,'Council Entry'!F$9),'Council Entry'!F$8),'Council Entry'!F61)),IF('Council Entry'!F$4="Exponential",EXP(IF(AND(ISNUMBER('Council Entry'!F$8),ISNUMBER('Council Entry'!F$9)),MAX(MIN('Council Entry'!F61,'Council Entry'!F$9),'Council Entry'!F$8),'Council Entry'!F61)),IF(AND(ISNUMBER('Council Entry'!F$8),ISNUMBER('Council Entry'!F$9)),MAX(MIN('Council Entry'!F61,'Council Entry'!F$9),'Council Entry'!F$8),'Council Entry'!F61))))-'Council Entry'!F$5)/('Council Entry'!F$6-'Council Entry'!F$5),10*((IF('Council Entry'!F$4="Logarithm",LN(0.001+IF(AND(ISNUMBER('Council Entry'!F$8),ISNUMBER('Council Entry'!F$9)),MAX(MIN('Council Entry'!F61,'Council Entry'!F$9),'Council Entry'!F$8),'Council Entry'!F61)),IF('Council Entry'!F$4="Exponential",EXP(IF(AND(ISNUMBER('Council Entry'!F$8),ISNUMBER('Council Entry'!F$9)),MAX(MIN('Council Entry'!F61,'Council Entry'!F$9),'Council Entry'!F$8),'Council Entry'!F61)),IF(AND(ISNUMBER('Council Entry'!F$8),ISNUMBER('Council Entry'!F$9)),MAX(MIN('Council Entry'!F61,'Council Entry'!F$9),'Council Entry'!F$8),'Council Entry'!F61))))-'Council Entry'!F$5)/('Council Entry'!F$6-'Council Entry'!F$5)),1))),"No data"))</f>
        <v/>
      </c>
      <c r="G61" s="13">
        <f>IF('Council Entry'!G61="","",IFERROR(MAX(0,MIN(10,ROUND(IF('Council Entry'!G$7="Decrease Risk",10-10*((IF('Council Entry'!G$4="Logarithm",LN(0.001+IF(AND(ISNUMBER('Council Entry'!G$8),ISNUMBER('Council Entry'!G$9)),MAX(MIN('Council Entry'!G61,'Council Entry'!G$9),'Council Entry'!G$8),'Council Entry'!G61)),IF('Council Entry'!G$4="Exponential",EXP(IF(AND(ISNUMBER('Council Entry'!G$8),ISNUMBER('Council Entry'!G$9)),MAX(MIN('Council Entry'!G61,'Council Entry'!G$9),'Council Entry'!G$8),'Council Entry'!G61)),IF(AND(ISNUMBER('Council Entry'!G$8),ISNUMBER('Council Entry'!G$9)),MAX(MIN('Council Entry'!G61,'Council Entry'!G$9),'Council Entry'!G$8),'Council Entry'!G61))))-'Council Entry'!G$5)/('Council Entry'!G$6-'Council Entry'!G$5),10*((IF('Council Entry'!G$4="Logarithm",LN(0.001+IF(AND(ISNUMBER('Council Entry'!G$8),ISNUMBER('Council Entry'!G$9)),MAX(MIN('Council Entry'!G61,'Council Entry'!G$9),'Council Entry'!G$8),'Council Entry'!G61)),IF('Council Entry'!G$4="Exponential",EXP(IF(AND(ISNUMBER('Council Entry'!G$8),ISNUMBER('Council Entry'!G$9)),MAX(MIN('Council Entry'!G61,'Council Entry'!G$9),'Council Entry'!G$8),'Council Entry'!G61)),IF(AND(ISNUMBER('Council Entry'!G$8),ISNUMBER('Council Entry'!G$9)),MAX(MIN('Council Entry'!G61,'Council Entry'!G$9),'Council Entry'!G$8),'Council Entry'!G61))))-'Council Entry'!G$5)/('Council Entry'!G$6-'Council Entry'!G$5)),1))),"No data"))</f>
        <v/>
      </c>
      <c r="H61" s="13">
        <f>IF('Council Entry'!H61="","",IFERROR(MAX(0,MIN(10,ROUND(IF('Council Entry'!H$7="Decrease Risk",10-10*((IF('Council Entry'!H$4="Logarithm",LN(0.001+IF(AND(ISNUMBER('Council Entry'!H$8),ISNUMBER('Council Entry'!H$9)),MAX(MIN('Council Entry'!H61,'Council Entry'!H$9),'Council Entry'!H$8),'Council Entry'!H61)),IF('Council Entry'!H$4="Exponential",EXP(IF(AND(ISNUMBER('Council Entry'!H$8),ISNUMBER('Council Entry'!H$9)),MAX(MIN('Council Entry'!H61,'Council Entry'!H$9),'Council Entry'!H$8),'Council Entry'!H61)),IF(AND(ISNUMBER('Council Entry'!H$8),ISNUMBER('Council Entry'!H$9)),MAX(MIN('Council Entry'!H61,'Council Entry'!H$9),'Council Entry'!H$8),'Council Entry'!H61))))-'Council Entry'!H$5)/('Council Entry'!H$6-'Council Entry'!H$5),10*((IF('Council Entry'!H$4="Logarithm",LN(0.001+IF(AND(ISNUMBER('Council Entry'!H$8),ISNUMBER('Council Entry'!H$9)),MAX(MIN('Council Entry'!H61,'Council Entry'!H$9),'Council Entry'!H$8),'Council Entry'!H61)),IF('Council Entry'!H$4="Exponential",EXP(IF(AND(ISNUMBER('Council Entry'!H$8),ISNUMBER('Council Entry'!H$9)),MAX(MIN('Council Entry'!H61,'Council Entry'!H$9),'Council Entry'!H$8),'Council Entry'!H61)),IF(AND(ISNUMBER('Council Entry'!H$8),ISNUMBER('Council Entry'!H$9)),MAX(MIN('Council Entry'!H61,'Council Entry'!H$9),'Council Entry'!H$8),'Council Entry'!H61))))-'Council Entry'!H$5)/('Council Entry'!H$6-'Council Entry'!H$5)),1))),"No data"))</f>
        <v/>
      </c>
      <c r="I61" s="13">
        <f>IF('Council Entry'!I61="","",IFERROR(MAX(0,MIN(10,ROUND(IF('Council Entry'!I$7="Decrease Risk",10-10*((IF('Council Entry'!I$4="Logarithm",LN(0.001+IF(AND(ISNUMBER('Council Entry'!I$8),ISNUMBER('Council Entry'!I$9)),MAX(MIN('Council Entry'!I61,'Council Entry'!I$9),'Council Entry'!I$8),'Council Entry'!I61)),IF('Council Entry'!I$4="Exponential",EXP(IF(AND(ISNUMBER('Council Entry'!I$8),ISNUMBER('Council Entry'!I$9)),MAX(MIN('Council Entry'!I61,'Council Entry'!I$9),'Council Entry'!I$8),'Council Entry'!I61)),IF(AND(ISNUMBER('Council Entry'!I$8),ISNUMBER('Council Entry'!I$9)),MAX(MIN('Council Entry'!I61,'Council Entry'!I$9),'Council Entry'!I$8),'Council Entry'!I61))))-'Council Entry'!I$5)/('Council Entry'!I$6-'Council Entry'!I$5),10*((IF('Council Entry'!I$4="Logarithm",LN(0.001+IF(AND(ISNUMBER('Council Entry'!I$8),ISNUMBER('Council Entry'!I$9)),MAX(MIN('Council Entry'!I61,'Council Entry'!I$9),'Council Entry'!I$8),'Council Entry'!I61)),IF('Council Entry'!I$4="Exponential",EXP(IF(AND(ISNUMBER('Council Entry'!I$8),ISNUMBER('Council Entry'!I$9)),MAX(MIN('Council Entry'!I61,'Council Entry'!I$9),'Council Entry'!I$8),'Council Entry'!I61)),IF(AND(ISNUMBER('Council Entry'!I$8),ISNUMBER('Council Entry'!I$9)),MAX(MIN('Council Entry'!I61,'Council Entry'!I$9),'Council Entry'!I$8),'Council Entry'!I61))))-'Council Entry'!I$5)/('Council Entry'!I$6-'Council Entry'!I$5)),1))),"No data"))</f>
        <v/>
      </c>
      <c r="J61" s="13">
        <f>IF('Council Entry'!J61="","",IFERROR(MAX(0,MIN(10,ROUND(IF('Council Entry'!J$7="Decrease Risk",10-10*((IF('Council Entry'!J$4="Logarithm",LN(0.001+IF(AND(ISNUMBER('Council Entry'!J$8),ISNUMBER('Council Entry'!J$9)),MAX(MIN('Council Entry'!J61,'Council Entry'!J$9),'Council Entry'!J$8),'Council Entry'!J61)),IF('Council Entry'!J$4="Exponential",EXP(IF(AND(ISNUMBER('Council Entry'!J$8),ISNUMBER('Council Entry'!J$9)),MAX(MIN('Council Entry'!J61,'Council Entry'!J$9),'Council Entry'!J$8),'Council Entry'!J61)),IF(AND(ISNUMBER('Council Entry'!J$8),ISNUMBER('Council Entry'!J$9)),MAX(MIN('Council Entry'!J61,'Council Entry'!J$9),'Council Entry'!J$8),'Council Entry'!J61))))-'Council Entry'!J$5)/('Council Entry'!J$6-'Council Entry'!J$5),10*((IF('Council Entry'!J$4="Logarithm",LN(0.001+IF(AND(ISNUMBER('Council Entry'!J$8),ISNUMBER('Council Entry'!J$9)),MAX(MIN('Council Entry'!J61,'Council Entry'!J$9),'Council Entry'!J$8),'Council Entry'!J61)),IF('Council Entry'!J$4="Exponential",EXP(IF(AND(ISNUMBER('Council Entry'!J$8),ISNUMBER('Council Entry'!J$9)),MAX(MIN('Council Entry'!J61,'Council Entry'!J$9),'Council Entry'!J$8),'Council Entry'!J61)),IF(AND(ISNUMBER('Council Entry'!J$8),ISNUMBER('Council Entry'!J$9)),MAX(MIN('Council Entry'!J61,'Council Entry'!J$9),'Council Entry'!J$8),'Council Entry'!J61))))-'Council Entry'!J$5)/('Council Entry'!J$6-'Council Entry'!J$5)),1))),"No data"))</f>
        <v/>
      </c>
      <c r="K61" s="13">
        <f>IF('Council Entry'!K61="","",IFERROR(MAX(0,MIN(10,ROUND(IF('Council Entry'!K$7="Decrease Risk",10-10*((IF('Council Entry'!K$4="Logarithm",LN(0.001+IF(AND(ISNUMBER('Council Entry'!K$8),ISNUMBER('Council Entry'!K$9)),MAX(MIN('Council Entry'!K61,'Council Entry'!K$9),'Council Entry'!K$8),'Council Entry'!K61)),IF('Council Entry'!K$4="Exponential",EXP(IF(AND(ISNUMBER('Council Entry'!K$8),ISNUMBER('Council Entry'!K$9)),MAX(MIN('Council Entry'!K61,'Council Entry'!K$9),'Council Entry'!K$8),'Council Entry'!K61)),IF(AND(ISNUMBER('Council Entry'!K$8),ISNUMBER('Council Entry'!K$9)),MAX(MIN('Council Entry'!K61,'Council Entry'!K$9),'Council Entry'!K$8),'Council Entry'!K61))))-'Council Entry'!K$5)/('Council Entry'!K$6-'Council Entry'!K$5),10*((IF('Council Entry'!K$4="Logarithm",LN(0.001+IF(AND(ISNUMBER('Council Entry'!K$8),ISNUMBER('Council Entry'!K$9)),MAX(MIN('Council Entry'!K61,'Council Entry'!K$9),'Council Entry'!K$8),'Council Entry'!K61)),IF('Council Entry'!K$4="Exponential",EXP(IF(AND(ISNUMBER('Council Entry'!K$8),ISNUMBER('Council Entry'!K$9)),MAX(MIN('Council Entry'!K61,'Council Entry'!K$9),'Council Entry'!K$8),'Council Entry'!K61)),IF(AND(ISNUMBER('Council Entry'!K$8),ISNUMBER('Council Entry'!K$9)),MAX(MIN('Council Entry'!K61,'Council Entry'!K$9),'Council Entry'!K$8),'Council Entry'!K61))))-'Council Entry'!K$5)/('Council Entry'!K$6-'Council Entry'!K$5)),1))),"No data"))</f>
        <v/>
      </c>
      <c r="L61" s="13">
        <f>IF('Council Entry'!L61="","",IFERROR(MAX(0,MIN(10,ROUND(IF('Council Entry'!L$7="Decrease Risk",10-10*((IF('Council Entry'!L$4="Logarithm",LN(0.001+IF(AND(ISNUMBER('Council Entry'!L$8),ISNUMBER('Council Entry'!L$9)),MAX(MIN('Council Entry'!L61,'Council Entry'!L$9),'Council Entry'!L$8),'Council Entry'!L61)),IF('Council Entry'!L$4="Exponential",EXP(IF(AND(ISNUMBER('Council Entry'!L$8),ISNUMBER('Council Entry'!L$9)),MAX(MIN('Council Entry'!L61,'Council Entry'!L$9),'Council Entry'!L$8),'Council Entry'!L61)),IF(AND(ISNUMBER('Council Entry'!L$8),ISNUMBER('Council Entry'!L$9)),MAX(MIN('Council Entry'!L61,'Council Entry'!L$9),'Council Entry'!L$8),'Council Entry'!L61))))-'Council Entry'!L$5)/('Council Entry'!L$6-'Council Entry'!L$5),10*((IF('Council Entry'!L$4="Logarithm",LN(0.001+IF(AND(ISNUMBER('Council Entry'!L$8),ISNUMBER('Council Entry'!L$9)),MAX(MIN('Council Entry'!L61,'Council Entry'!L$9),'Council Entry'!L$8),'Council Entry'!L61)),IF('Council Entry'!L$4="Exponential",EXP(IF(AND(ISNUMBER('Council Entry'!L$8),ISNUMBER('Council Entry'!L$9)),MAX(MIN('Council Entry'!L61,'Council Entry'!L$9),'Council Entry'!L$8),'Council Entry'!L61)),IF(AND(ISNUMBER('Council Entry'!L$8),ISNUMBER('Council Entry'!L$9)),MAX(MIN('Council Entry'!L61,'Council Entry'!L$9),'Council Entry'!L$8),'Council Entry'!L61))))-'Council Entry'!L$5)/('Council Entry'!L$6-'Council Entry'!L$5)),1))),"No data"))</f>
        <v/>
      </c>
      <c r="M61" s="13">
        <f>IF('Council Entry'!M61="","",IFERROR(MAX(0,MIN(10,ROUND(IF('Council Entry'!M$7="Decrease Risk",10-10*((IF('Council Entry'!M$4="Logarithm",LN(0.001+IF(AND(ISNUMBER('Council Entry'!M$8),ISNUMBER('Council Entry'!M$9)),MAX(MIN('Council Entry'!M61,'Council Entry'!M$9),'Council Entry'!M$8),'Council Entry'!M61)),IF('Council Entry'!M$4="Exponential",EXP(IF(AND(ISNUMBER('Council Entry'!M$8),ISNUMBER('Council Entry'!M$9)),MAX(MIN('Council Entry'!M61,'Council Entry'!M$9),'Council Entry'!M$8),'Council Entry'!M61)),IF(AND(ISNUMBER('Council Entry'!M$8),ISNUMBER('Council Entry'!M$9)),MAX(MIN('Council Entry'!M61,'Council Entry'!M$9),'Council Entry'!M$8),'Council Entry'!M61))))-'Council Entry'!M$5)/('Council Entry'!M$6-'Council Entry'!M$5),10*((IF('Council Entry'!M$4="Logarithm",LN(0.001+IF(AND(ISNUMBER('Council Entry'!M$8),ISNUMBER('Council Entry'!M$9)),MAX(MIN('Council Entry'!M61,'Council Entry'!M$9),'Council Entry'!M$8),'Council Entry'!M61)),IF('Council Entry'!M$4="Exponential",EXP(IF(AND(ISNUMBER('Council Entry'!M$8),ISNUMBER('Council Entry'!M$9)),MAX(MIN('Council Entry'!M61,'Council Entry'!M$9),'Council Entry'!M$8),'Council Entry'!M61)),IF(AND(ISNUMBER('Council Entry'!M$8),ISNUMBER('Council Entry'!M$9)),MAX(MIN('Council Entry'!M61,'Council Entry'!M$9),'Council Entry'!M$8),'Council Entry'!M61))))-'Council Entry'!M$5)/('Council Entry'!M$6-'Council Entry'!M$5)),1))),"No data"))</f>
        <v/>
      </c>
      <c r="N61" s="13">
        <f>IF('Council Entry'!N61="","",IFERROR(MAX(0,MIN(10,ROUND(IF('Council Entry'!N$7="Decrease Risk",10-10*((IF('Council Entry'!N$4="Logarithm",LN(0.001+IF(AND(ISNUMBER('Council Entry'!N$8),ISNUMBER('Council Entry'!N$9)),MAX(MIN('Council Entry'!N61,'Council Entry'!N$9),'Council Entry'!N$8),'Council Entry'!N61)),IF('Council Entry'!N$4="Exponential",EXP(IF(AND(ISNUMBER('Council Entry'!N$8),ISNUMBER('Council Entry'!N$9)),MAX(MIN('Council Entry'!N61,'Council Entry'!N$9),'Council Entry'!N$8),'Council Entry'!N61)),IF(AND(ISNUMBER('Council Entry'!N$8),ISNUMBER('Council Entry'!N$9)),MAX(MIN('Council Entry'!N61,'Council Entry'!N$9),'Council Entry'!N$8),'Council Entry'!N61))))-'Council Entry'!N$5)/('Council Entry'!N$6-'Council Entry'!N$5),10*((IF('Council Entry'!N$4="Logarithm",LN(0.001+IF(AND(ISNUMBER('Council Entry'!N$8),ISNUMBER('Council Entry'!N$9)),MAX(MIN('Council Entry'!N61,'Council Entry'!N$9),'Council Entry'!N$8),'Council Entry'!N61)),IF('Council Entry'!N$4="Exponential",EXP(IF(AND(ISNUMBER('Council Entry'!N$8),ISNUMBER('Council Entry'!N$9)),MAX(MIN('Council Entry'!N61,'Council Entry'!N$9),'Council Entry'!N$8),'Council Entry'!N61)),IF(AND(ISNUMBER('Council Entry'!N$8),ISNUMBER('Council Entry'!N$9)),MAX(MIN('Council Entry'!N61,'Council Entry'!N$9),'Council Entry'!N$8),'Council Entry'!N61))))-'Council Entry'!N$5)/('Council Entry'!N$6-'Council Entry'!N$5)),1))),"No data"))</f>
        <v/>
      </c>
      <c r="O61" s="13">
        <f>IF('Council Entry'!O61="","",IFERROR(MAX(0,MIN(10,ROUND(IF('Council Entry'!O$7="Decrease Risk",10-10*((IF('Council Entry'!O$4="Logarithm",LN(0.001+IF(AND(ISNUMBER('Council Entry'!O$8),ISNUMBER('Council Entry'!O$9)),MAX(MIN('Council Entry'!O61,'Council Entry'!O$9),'Council Entry'!O$8),'Council Entry'!O61)),IF('Council Entry'!O$4="Exponential",EXP(IF(AND(ISNUMBER('Council Entry'!O$8),ISNUMBER('Council Entry'!O$9)),MAX(MIN('Council Entry'!O61,'Council Entry'!O$9),'Council Entry'!O$8),'Council Entry'!O61)),IF(AND(ISNUMBER('Council Entry'!O$8),ISNUMBER('Council Entry'!O$9)),MAX(MIN('Council Entry'!O61,'Council Entry'!O$9),'Council Entry'!O$8),'Council Entry'!O61))))-'Council Entry'!O$5)/('Council Entry'!O$6-'Council Entry'!O$5),10*((IF('Council Entry'!O$4="Logarithm",LN(0.001+IF(AND(ISNUMBER('Council Entry'!O$8),ISNUMBER('Council Entry'!O$9)),MAX(MIN('Council Entry'!O61,'Council Entry'!O$9),'Council Entry'!O$8),'Council Entry'!O61)),IF('Council Entry'!O$4="Exponential",EXP(IF(AND(ISNUMBER('Council Entry'!O$8),ISNUMBER('Council Entry'!O$9)),MAX(MIN('Council Entry'!O61,'Council Entry'!O$9),'Council Entry'!O$8),'Council Entry'!O61)),IF(AND(ISNUMBER('Council Entry'!O$8),ISNUMBER('Council Entry'!O$9)),MAX(MIN('Council Entry'!O61,'Council Entry'!O$9),'Council Entry'!O$8),'Council Entry'!O61))))-'Council Entry'!O$5)/('Council Entry'!O$6-'Council Entry'!O$5)),1))),"No data"))</f>
        <v/>
      </c>
      <c r="P61" s="13">
        <f>IF('Council Entry'!P61="","",IFERROR(MAX(0,MIN(10,ROUND(IF('Council Entry'!P$7="Decrease Risk",10-10*((IF('Council Entry'!P$4="Logarithm",LN(0.001+IF(AND(ISNUMBER('Council Entry'!P$8),ISNUMBER('Council Entry'!P$9)),MAX(MIN('Council Entry'!P61,'Council Entry'!P$9),'Council Entry'!P$8),'Council Entry'!P61)),IF('Council Entry'!P$4="Exponential",EXP(IF(AND(ISNUMBER('Council Entry'!P$8),ISNUMBER('Council Entry'!P$9)),MAX(MIN('Council Entry'!P61,'Council Entry'!P$9),'Council Entry'!P$8),'Council Entry'!P61)),IF(AND(ISNUMBER('Council Entry'!P$8),ISNUMBER('Council Entry'!P$9)),MAX(MIN('Council Entry'!P61,'Council Entry'!P$9),'Council Entry'!P$8),'Council Entry'!P61))))-'Council Entry'!P$5)/('Council Entry'!P$6-'Council Entry'!P$5),10*((IF('Council Entry'!P$4="Logarithm",LN(0.001+IF(AND(ISNUMBER('Council Entry'!P$8),ISNUMBER('Council Entry'!P$9)),MAX(MIN('Council Entry'!P61,'Council Entry'!P$9),'Council Entry'!P$8),'Council Entry'!P61)),IF('Council Entry'!P$4="Exponential",EXP(IF(AND(ISNUMBER('Council Entry'!P$8),ISNUMBER('Council Entry'!P$9)),MAX(MIN('Council Entry'!P61,'Council Entry'!P$9),'Council Entry'!P$8),'Council Entry'!P61)),IF(AND(ISNUMBER('Council Entry'!P$8),ISNUMBER('Council Entry'!P$9)),MAX(MIN('Council Entry'!P61,'Council Entry'!P$9),'Council Entry'!P$8),'Council Entry'!P61))))-'Council Entry'!P$5)/('Council Entry'!P$6-'Council Entry'!P$5)),1))),"No data"))</f>
        <v/>
      </c>
      <c r="Q61" s="13">
        <f>IF('Council Entry'!Q61="","",IFERROR(MAX(0,MIN(10,ROUND(IF('Council Entry'!Q$7="Decrease Risk",10-10*((IF('Council Entry'!Q$4="Logarithm",LN(0.001+IF(AND(ISNUMBER('Council Entry'!Q$8),ISNUMBER('Council Entry'!Q$9)),MAX(MIN('Council Entry'!Q61,'Council Entry'!Q$9),'Council Entry'!Q$8),'Council Entry'!Q61)),IF('Council Entry'!Q$4="Exponential",EXP(IF(AND(ISNUMBER('Council Entry'!Q$8),ISNUMBER('Council Entry'!Q$9)),MAX(MIN('Council Entry'!Q61,'Council Entry'!Q$9),'Council Entry'!Q$8),'Council Entry'!Q61)),IF(AND(ISNUMBER('Council Entry'!Q$8),ISNUMBER('Council Entry'!Q$9)),MAX(MIN('Council Entry'!Q61,'Council Entry'!Q$9),'Council Entry'!Q$8),'Council Entry'!Q61))))-'Council Entry'!Q$5)/('Council Entry'!Q$6-'Council Entry'!Q$5),10*((IF('Council Entry'!Q$4="Logarithm",LN(0.001+IF(AND(ISNUMBER('Council Entry'!Q$8),ISNUMBER('Council Entry'!Q$9)),MAX(MIN('Council Entry'!Q61,'Council Entry'!Q$9),'Council Entry'!Q$8),'Council Entry'!Q61)),IF('Council Entry'!Q$4="Exponential",EXP(IF(AND(ISNUMBER('Council Entry'!Q$8),ISNUMBER('Council Entry'!Q$9)),MAX(MIN('Council Entry'!Q61,'Council Entry'!Q$9),'Council Entry'!Q$8),'Council Entry'!Q61)),IF(AND(ISNUMBER('Council Entry'!Q$8),ISNUMBER('Council Entry'!Q$9)),MAX(MIN('Council Entry'!Q61,'Council Entry'!Q$9),'Council Entry'!Q$8),'Council Entry'!Q61))))-'Council Entry'!Q$5)/('Council Entry'!Q$6-'Council Entry'!Q$5)),1))),"No data"))</f>
        <v/>
      </c>
      <c r="R61" s="13">
        <f>IF('Council Entry'!R61="","",IFERROR(MAX(0,MIN(10,ROUND(IF('Council Entry'!R$7="Decrease Risk",10-10*((IF('Council Entry'!R$4="Logarithm",LN(0.001+IF(AND(ISNUMBER('Council Entry'!R$8),ISNUMBER('Council Entry'!R$9)),MAX(MIN('Council Entry'!R61,'Council Entry'!R$9),'Council Entry'!R$8),'Council Entry'!R61)),IF('Council Entry'!R$4="Exponential",EXP(IF(AND(ISNUMBER('Council Entry'!R$8),ISNUMBER('Council Entry'!R$9)),MAX(MIN('Council Entry'!R61,'Council Entry'!R$9),'Council Entry'!R$8),'Council Entry'!R61)),IF(AND(ISNUMBER('Council Entry'!R$8),ISNUMBER('Council Entry'!R$9)),MAX(MIN('Council Entry'!R61,'Council Entry'!R$9),'Council Entry'!R$8),'Council Entry'!R61))))-'Council Entry'!R$5)/('Council Entry'!R$6-'Council Entry'!R$5),10*((IF('Council Entry'!R$4="Logarithm",LN(0.001+IF(AND(ISNUMBER('Council Entry'!R$8),ISNUMBER('Council Entry'!R$9)),MAX(MIN('Council Entry'!R61,'Council Entry'!R$9),'Council Entry'!R$8),'Council Entry'!R61)),IF('Council Entry'!R$4="Exponential",EXP(IF(AND(ISNUMBER('Council Entry'!R$8),ISNUMBER('Council Entry'!R$9)),MAX(MIN('Council Entry'!R61,'Council Entry'!R$9),'Council Entry'!R$8),'Council Entry'!R61)),IF(AND(ISNUMBER('Council Entry'!R$8),ISNUMBER('Council Entry'!R$9)),MAX(MIN('Council Entry'!R61,'Council Entry'!R$9),'Council Entry'!R$8),'Council Entry'!R61))))-'Council Entry'!R$5)/('Council Entry'!R$6-'Council Entry'!R$5)),1))),"No data"))</f>
        <v/>
      </c>
      <c r="S61" s="13">
        <f>IF('Council Entry'!S61="","",IFERROR(MAX(0,MIN(10,ROUND(IF('Council Entry'!S$7="Decrease Risk",10-10*((IF('Council Entry'!S$4="Logarithm",LN(0.001+IF(AND(ISNUMBER('Council Entry'!S$8),ISNUMBER('Council Entry'!S$9)),MAX(MIN('Council Entry'!S61,'Council Entry'!S$9),'Council Entry'!S$8),'Council Entry'!S61)),IF('Council Entry'!S$4="Exponential",EXP(IF(AND(ISNUMBER('Council Entry'!S$8),ISNUMBER('Council Entry'!S$9)),MAX(MIN('Council Entry'!S61,'Council Entry'!S$9),'Council Entry'!S$8),'Council Entry'!S61)),IF(AND(ISNUMBER('Council Entry'!S$8),ISNUMBER('Council Entry'!S$9)),MAX(MIN('Council Entry'!S61,'Council Entry'!S$9),'Council Entry'!S$8),'Council Entry'!S61))))-'Council Entry'!S$5)/('Council Entry'!S$6-'Council Entry'!S$5),10*((IF('Council Entry'!S$4="Logarithm",LN(0.001+IF(AND(ISNUMBER('Council Entry'!S$8),ISNUMBER('Council Entry'!S$9)),MAX(MIN('Council Entry'!S61,'Council Entry'!S$9),'Council Entry'!S$8),'Council Entry'!S61)),IF('Council Entry'!S$4="Exponential",EXP(IF(AND(ISNUMBER('Council Entry'!S$8),ISNUMBER('Council Entry'!S$9)),MAX(MIN('Council Entry'!S61,'Council Entry'!S$9),'Council Entry'!S$8),'Council Entry'!S61)),IF(AND(ISNUMBER('Council Entry'!S$8),ISNUMBER('Council Entry'!S$9)),MAX(MIN('Council Entry'!S61,'Council Entry'!S$9),'Council Entry'!S$8),'Council Entry'!S61))))-'Council Entry'!S$5)/('Council Entry'!S$6-'Council Entry'!S$5)),1))),"No data"))</f>
        <v/>
      </c>
      <c r="T61" s="13">
        <f>IF('Council Entry'!T61="","",IFERROR(MAX(0,MIN(10,ROUND(IF('Council Entry'!T$7="Decrease Risk",10-10*((IF('Council Entry'!T$4="Logarithm",LN(0.001+IF(AND(ISNUMBER('Council Entry'!T$8),ISNUMBER('Council Entry'!T$9)),MAX(MIN('Council Entry'!T61,'Council Entry'!T$9),'Council Entry'!T$8),'Council Entry'!T61)),IF('Council Entry'!T$4="Exponential",EXP(IF(AND(ISNUMBER('Council Entry'!T$8),ISNUMBER('Council Entry'!T$9)),MAX(MIN('Council Entry'!T61,'Council Entry'!T$9),'Council Entry'!T$8),'Council Entry'!T61)),IF(AND(ISNUMBER('Council Entry'!T$8),ISNUMBER('Council Entry'!T$9)),MAX(MIN('Council Entry'!T61,'Council Entry'!T$9),'Council Entry'!T$8),'Council Entry'!T61))))-'Council Entry'!T$5)/('Council Entry'!T$6-'Council Entry'!T$5),10*((IF('Council Entry'!T$4="Logarithm",LN(0.001+IF(AND(ISNUMBER('Council Entry'!T$8),ISNUMBER('Council Entry'!T$9)),MAX(MIN('Council Entry'!T61,'Council Entry'!T$9),'Council Entry'!T$8),'Council Entry'!T61)),IF('Council Entry'!T$4="Exponential",EXP(IF(AND(ISNUMBER('Council Entry'!T$8),ISNUMBER('Council Entry'!T$9)),MAX(MIN('Council Entry'!T61,'Council Entry'!T$9),'Council Entry'!T$8),'Council Entry'!T61)),IF(AND(ISNUMBER('Council Entry'!T$8),ISNUMBER('Council Entry'!T$9)),MAX(MIN('Council Entry'!T61,'Council Entry'!T$9),'Council Entry'!T$8),'Council Entry'!T61))))-'Council Entry'!T$5)/('Council Entry'!T$6-'Council Entry'!T$5)),1))),"No data"))</f>
        <v/>
      </c>
      <c r="U61" s="13">
        <f>IF('Council Entry'!U61="","",IFERROR(MAX(0,MIN(10,ROUND(IF('Council Entry'!U$7="Decrease Risk",10-10*((IF('Council Entry'!U$4="Logarithm",LN(0.001+IF(AND(ISNUMBER('Council Entry'!U$8),ISNUMBER('Council Entry'!U$9)),MAX(MIN('Council Entry'!U61,'Council Entry'!U$9),'Council Entry'!U$8),'Council Entry'!U61)),IF('Council Entry'!U$4="Exponential",EXP(IF(AND(ISNUMBER('Council Entry'!U$8),ISNUMBER('Council Entry'!U$9)),MAX(MIN('Council Entry'!U61,'Council Entry'!U$9),'Council Entry'!U$8),'Council Entry'!U61)),IF(AND(ISNUMBER('Council Entry'!U$8),ISNUMBER('Council Entry'!U$9)),MAX(MIN('Council Entry'!U61,'Council Entry'!U$9),'Council Entry'!U$8),'Council Entry'!U61))))-'Council Entry'!U$5)/('Council Entry'!U$6-'Council Entry'!U$5),10*((IF('Council Entry'!U$4="Logarithm",LN(0.001+IF(AND(ISNUMBER('Council Entry'!U$8),ISNUMBER('Council Entry'!U$9)),MAX(MIN('Council Entry'!U61,'Council Entry'!U$9),'Council Entry'!U$8),'Council Entry'!U61)),IF('Council Entry'!U$4="Exponential",EXP(IF(AND(ISNUMBER('Council Entry'!U$8),ISNUMBER('Council Entry'!U$9)),MAX(MIN('Council Entry'!U61,'Council Entry'!U$9),'Council Entry'!U$8),'Council Entry'!U61)),IF(AND(ISNUMBER('Council Entry'!U$8),ISNUMBER('Council Entry'!U$9)),MAX(MIN('Council Entry'!U61,'Council Entry'!U$9),'Council Entry'!U$8),'Council Entry'!U61))))-'Council Entry'!U$5)/('Council Entry'!U$6-'Council Entry'!U$5)),1))),"No data"))</f>
        <v/>
      </c>
      <c r="V61" s="13">
        <f>IF('Council Entry'!V61="","",IFERROR(MAX(0,MIN(10,ROUND(IF('Council Entry'!V$7="Decrease Risk",10-10*((IF('Council Entry'!V$4="Logarithm",LN(0.001+IF(AND(ISNUMBER('Council Entry'!V$8),ISNUMBER('Council Entry'!V$9)),MAX(MIN('Council Entry'!V61,'Council Entry'!V$9),'Council Entry'!V$8),'Council Entry'!V61)),IF('Council Entry'!V$4="Exponential",EXP(IF(AND(ISNUMBER('Council Entry'!V$8),ISNUMBER('Council Entry'!V$9)),MAX(MIN('Council Entry'!V61,'Council Entry'!V$9),'Council Entry'!V$8),'Council Entry'!V61)),IF(AND(ISNUMBER('Council Entry'!V$8),ISNUMBER('Council Entry'!V$9)),MAX(MIN('Council Entry'!V61,'Council Entry'!V$9),'Council Entry'!V$8),'Council Entry'!V61))))-'Council Entry'!V$5)/('Council Entry'!V$6-'Council Entry'!V$5),10*((IF('Council Entry'!V$4="Logarithm",LN(0.001+IF(AND(ISNUMBER('Council Entry'!V$8),ISNUMBER('Council Entry'!V$9)),MAX(MIN('Council Entry'!V61,'Council Entry'!V$9),'Council Entry'!V$8),'Council Entry'!V61)),IF('Council Entry'!V$4="Exponential",EXP(IF(AND(ISNUMBER('Council Entry'!V$8),ISNUMBER('Council Entry'!V$9)),MAX(MIN('Council Entry'!V61,'Council Entry'!V$9),'Council Entry'!V$8),'Council Entry'!V61)),IF(AND(ISNUMBER('Council Entry'!V$8),ISNUMBER('Council Entry'!V$9)),MAX(MIN('Council Entry'!V61,'Council Entry'!V$9),'Council Entry'!V$8),'Council Entry'!V61))))-'Council Entry'!V$5)/('Council Entry'!V$6-'Council Entry'!V$5)),1))),"No data"))</f>
        <v/>
      </c>
      <c r="W61" s="13">
        <f>IF('Council Entry'!W61="","",IFERROR(MAX(0,MIN(10,ROUND(IF('Council Entry'!W$7="Decrease Risk",10-10*((IF('Council Entry'!W$4="Logarithm",LN(0.001+IF(AND(ISNUMBER('Council Entry'!W$8),ISNUMBER('Council Entry'!W$9)),MAX(MIN('Council Entry'!W61,'Council Entry'!W$9),'Council Entry'!W$8),'Council Entry'!W61)),IF('Council Entry'!W$4="Exponential",EXP(IF(AND(ISNUMBER('Council Entry'!W$8),ISNUMBER('Council Entry'!W$9)),MAX(MIN('Council Entry'!W61,'Council Entry'!W$9),'Council Entry'!W$8),'Council Entry'!W61)),IF(AND(ISNUMBER('Council Entry'!W$8),ISNUMBER('Council Entry'!W$9)),MAX(MIN('Council Entry'!W61,'Council Entry'!W$9),'Council Entry'!W$8),'Council Entry'!W61))))-'Council Entry'!W$5)/('Council Entry'!W$6-'Council Entry'!W$5),10*((IF('Council Entry'!W$4="Logarithm",LN(0.001+IF(AND(ISNUMBER('Council Entry'!W$8),ISNUMBER('Council Entry'!W$9)),MAX(MIN('Council Entry'!W61,'Council Entry'!W$9),'Council Entry'!W$8),'Council Entry'!W61)),IF('Council Entry'!W$4="Exponential",EXP(IF(AND(ISNUMBER('Council Entry'!W$8),ISNUMBER('Council Entry'!W$9)),MAX(MIN('Council Entry'!W61,'Council Entry'!W$9),'Council Entry'!W$8),'Council Entry'!W61)),IF(AND(ISNUMBER('Council Entry'!W$8),ISNUMBER('Council Entry'!W$9)),MAX(MIN('Council Entry'!W61,'Council Entry'!W$9),'Council Entry'!W$8),'Council Entry'!W61))))-'Council Entry'!W$5)/('Council Entry'!W$6-'Council Entry'!W$5)),1))),"No data"))</f>
        <v/>
      </c>
      <c r="X61" s="13">
        <f>IF('Council Entry'!X61="","",IFERROR(MAX(0,MIN(10,ROUND(IF('Council Entry'!X$7="Decrease Risk",10-10*((IF('Council Entry'!X$4="Logarithm",LN(0.001+IF(AND(ISNUMBER('Council Entry'!X$8),ISNUMBER('Council Entry'!X$9)),MAX(MIN('Council Entry'!X61,'Council Entry'!X$9),'Council Entry'!X$8),'Council Entry'!X61)),IF('Council Entry'!X$4="Exponential",EXP(IF(AND(ISNUMBER('Council Entry'!X$8),ISNUMBER('Council Entry'!X$9)),MAX(MIN('Council Entry'!X61,'Council Entry'!X$9),'Council Entry'!X$8),'Council Entry'!X61)),IF(AND(ISNUMBER('Council Entry'!X$8),ISNUMBER('Council Entry'!X$9)),MAX(MIN('Council Entry'!X61,'Council Entry'!X$9),'Council Entry'!X$8),'Council Entry'!X61))))-'Council Entry'!X$5)/('Council Entry'!X$6-'Council Entry'!X$5),10*((IF('Council Entry'!X$4="Logarithm",LN(0.001+IF(AND(ISNUMBER('Council Entry'!X$8),ISNUMBER('Council Entry'!X$9)),MAX(MIN('Council Entry'!X61,'Council Entry'!X$9),'Council Entry'!X$8),'Council Entry'!X61)),IF('Council Entry'!X$4="Exponential",EXP(IF(AND(ISNUMBER('Council Entry'!X$8),ISNUMBER('Council Entry'!X$9)),MAX(MIN('Council Entry'!X61,'Council Entry'!X$9),'Council Entry'!X$8),'Council Entry'!X61)),IF(AND(ISNUMBER('Council Entry'!X$8),ISNUMBER('Council Entry'!X$9)),MAX(MIN('Council Entry'!X61,'Council Entry'!X$9),'Council Entry'!X$8),'Council Entry'!X61))))-'Council Entry'!X$5)/('Council Entry'!X$6-'Council Entry'!X$5)),1))),"No data"))</f>
        <v/>
      </c>
      <c r="Y61" s="13">
        <f>IF('Council Entry'!Y61="","",IFERROR(MAX(0,MIN(10,ROUND(IF('Council Entry'!Y$7="Decrease Risk",10-10*((IF('Council Entry'!Y$4="Logarithm",LN(0.001+IF(AND(ISNUMBER('Council Entry'!Y$8),ISNUMBER('Council Entry'!Y$9)),MAX(MIN('Council Entry'!Y61,'Council Entry'!Y$9),'Council Entry'!Y$8),'Council Entry'!Y61)),IF('Council Entry'!Y$4="Exponential",EXP(IF(AND(ISNUMBER('Council Entry'!Y$8),ISNUMBER('Council Entry'!Y$9)),MAX(MIN('Council Entry'!Y61,'Council Entry'!Y$9),'Council Entry'!Y$8),'Council Entry'!Y61)),IF(AND(ISNUMBER('Council Entry'!Y$8),ISNUMBER('Council Entry'!Y$9)),MAX(MIN('Council Entry'!Y61,'Council Entry'!Y$9),'Council Entry'!Y$8),'Council Entry'!Y61))))-'Council Entry'!Y$5)/('Council Entry'!Y$6-'Council Entry'!Y$5),10*((IF('Council Entry'!Y$4="Logarithm",LN(0.001+IF(AND(ISNUMBER('Council Entry'!Y$8),ISNUMBER('Council Entry'!Y$9)),MAX(MIN('Council Entry'!Y61,'Council Entry'!Y$9),'Council Entry'!Y$8),'Council Entry'!Y61)),IF('Council Entry'!Y$4="Exponential",EXP(IF(AND(ISNUMBER('Council Entry'!Y$8),ISNUMBER('Council Entry'!Y$9)),MAX(MIN('Council Entry'!Y61,'Council Entry'!Y$9),'Council Entry'!Y$8),'Council Entry'!Y61)),IF(AND(ISNUMBER('Council Entry'!Y$8),ISNUMBER('Council Entry'!Y$9)),MAX(MIN('Council Entry'!Y61,'Council Entry'!Y$9),'Council Entry'!Y$8),'Council Entry'!Y61))))-'Council Entry'!Y$5)/('Council Entry'!Y$6-'Council Entry'!Y$5)),1))),"No data"))</f>
        <v/>
      </c>
      <c r="Z61" s="13">
        <f>IF('Council Entry'!Z61="","",IFERROR(MAX(0,MIN(10,ROUND(IF('Council Entry'!Z$7="Decrease Risk",10-10*((IF('Council Entry'!Z$4="Logarithm",LN(0.001+IF(AND(ISNUMBER('Council Entry'!Z$8),ISNUMBER('Council Entry'!Z$9)),MAX(MIN('Council Entry'!Z61,'Council Entry'!Z$9),'Council Entry'!Z$8),'Council Entry'!Z61)),IF('Council Entry'!Z$4="Exponential",EXP(IF(AND(ISNUMBER('Council Entry'!Z$8),ISNUMBER('Council Entry'!Z$9)),MAX(MIN('Council Entry'!Z61,'Council Entry'!Z$9),'Council Entry'!Z$8),'Council Entry'!Z61)),IF(AND(ISNUMBER('Council Entry'!Z$8),ISNUMBER('Council Entry'!Z$9)),MAX(MIN('Council Entry'!Z61,'Council Entry'!Z$9),'Council Entry'!Z$8),'Council Entry'!Z61))))-'Council Entry'!Z$5)/('Council Entry'!Z$6-'Council Entry'!Z$5),10*((IF('Council Entry'!Z$4="Logarithm",LN(0.001+IF(AND(ISNUMBER('Council Entry'!Z$8),ISNUMBER('Council Entry'!Z$9)),MAX(MIN('Council Entry'!Z61,'Council Entry'!Z$9),'Council Entry'!Z$8),'Council Entry'!Z61)),IF('Council Entry'!Z$4="Exponential",EXP(IF(AND(ISNUMBER('Council Entry'!Z$8),ISNUMBER('Council Entry'!Z$9)),MAX(MIN('Council Entry'!Z61,'Council Entry'!Z$9),'Council Entry'!Z$8),'Council Entry'!Z61)),IF(AND(ISNUMBER('Council Entry'!Z$8),ISNUMBER('Council Entry'!Z$9)),MAX(MIN('Council Entry'!Z61,'Council Entry'!Z$9),'Council Entry'!Z$8),'Council Entry'!Z61))))-'Council Entry'!Z$5)/('Council Entry'!Z$6-'Council Entry'!Z$5)),1))),"No data"))</f>
        <v/>
      </c>
      <c r="AA61" s="13">
        <f>IF('Council Entry'!AA61="","",IFERROR(MAX(0,MIN(10,ROUND(IF('Council Entry'!AA$7="Decrease Risk",10-10*((IF('Council Entry'!AA$4="Logarithm",LN(0.001+IF(AND(ISNUMBER('Council Entry'!AA$8),ISNUMBER('Council Entry'!AA$9)),MAX(MIN('Council Entry'!AA61,'Council Entry'!AA$9),'Council Entry'!AA$8),'Council Entry'!AA61)),IF('Council Entry'!AA$4="Exponential",EXP(IF(AND(ISNUMBER('Council Entry'!AA$8),ISNUMBER('Council Entry'!AA$9)),MAX(MIN('Council Entry'!AA61,'Council Entry'!AA$9),'Council Entry'!AA$8),'Council Entry'!AA61)),IF(AND(ISNUMBER('Council Entry'!AA$8),ISNUMBER('Council Entry'!AA$9)),MAX(MIN('Council Entry'!AA61,'Council Entry'!AA$9),'Council Entry'!AA$8),'Council Entry'!AA61))))-'Council Entry'!AA$5)/('Council Entry'!AA$6-'Council Entry'!AA$5),10*((IF('Council Entry'!AA$4="Logarithm",LN(0.001+IF(AND(ISNUMBER('Council Entry'!AA$8),ISNUMBER('Council Entry'!AA$9)),MAX(MIN('Council Entry'!AA61,'Council Entry'!AA$9),'Council Entry'!AA$8),'Council Entry'!AA61)),IF('Council Entry'!AA$4="Exponential",EXP(IF(AND(ISNUMBER('Council Entry'!AA$8),ISNUMBER('Council Entry'!AA$9)),MAX(MIN('Council Entry'!AA61,'Council Entry'!AA$9),'Council Entry'!AA$8),'Council Entry'!AA61)),IF(AND(ISNUMBER('Council Entry'!AA$8),ISNUMBER('Council Entry'!AA$9)),MAX(MIN('Council Entry'!AA61,'Council Entry'!AA$9),'Council Entry'!AA$8),'Council Entry'!AA61))))-'Council Entry'!AA$5)/('Council Entry'!AA$6-'Council Entry'!AA$5)),1))),"No data"))</f>
        <v/>
      </c>
      <c r="AB61" s="13">
        <f>IF('Council Entry'!AB61="","",IFERROR(MAX(0,MIN(10,ROUND(IF('Council Entry'!AB$7="Decrease Risk",10-10*((IF('Council Entry'!AB$4="Logarithm",LN(0.001+IF(AND(ISNUMBER('Council Entry'!AB$8),ISNUMBER('Council Entry'!AB$9)),MAX(MIN('Council Entry'!AB61,'Council Entry'!AB$9),'Council Entry'!AB$8),'Council Entry'!AB61)),IF('Council Entry'!AB$4="Exponential",EXP(IF(AND(ISNUMBER('Council Entry'!AB$8),ISNUMBER('Council Entry'!AB$9)),MAX(MIN('Council Entry'!AB61,'Council Entry'!AB$9),'Council Entry'!AB$8),'Council Entry'!AB61)),IF(AND(ISNUMBER('Council Entry'!AB$8),ISNUMBER('Council Entry'!AB$9)),MAX(MIN('Council Entry'!AB61,'Council Entry'!AB$9),'Council Entry'!AB$8),'Council Entry'!AB61))))-'Council Entry'!AB$5)/('Council Entry'!AB$6-'Council Entry'!AB$5),10*((IF('Council Entry'!AB$4="Logarithm",LN(0.001+IF(AND(ISNUMBER('Council Entry'!AB$8),ISNUMBER('Council Entry'!AB$9)),MAX(MIN('Council Entry'!AB61,'Council Entry'!AB$9),'Council Entry'!AB$8),'Council Entry'!AB61)),IF('Council Entry'!AB$4="Exponential",EXP(IF(AND(ISNUMBER('Council Entry'!AB$8),ISNUMBER('Council Entry'!AB$9)),MAX(MIN('Council Entry'!AB61,'Council Entry'!AB$9),'Council Entry'!AB$8),'Council Entry'!AB61)),IF(AND(ISNUMBER('Council Entry'!AB$8),ISNUMBER('Council Entry'!AB$9)),MAX(MIN('Council Entry'!AB61,'Council Entry'!AB$9),'Council Entry'!AB$8),'Council Entry'!AB61))))-'Council Entry'!AB$5)/('Council Entry'!AB$6-'Council Entry'!AB$5)),1))),"No data"))</f>
        <v/>
      </c>
      <c r="AC61" s="13">
        <f>IF('Council Entry'!AC61="","",IFERROR(MAX(0,MIN(10,ROUND(IF('Council Entry'!AC$7="Decrease Risk",10-10*((IF('Council Entry'!AC$4="Logarithm",LN(0.001+IF(AND(ISNUMBER('Council Entry'!AC$8),ISNUMBER('Council Entry'!AC$9)),MAX(MIN('Council Entry'!AC61,'Council Entry'!AC$9),'Council Entry'!AC$8),'Council Entry'!AC61)),IF('Council Entry'!AC$4="Exponential",EXP(IF(AND(ISNUMBER('Council Entry'!AC$8),ISNUMBER('Council Entry'!AC$9)),MAX(MIN('Council Entry'!AC61,'Council Entry'!AC$9),'Council Entry'!AC$8),'Council Entry'!AC61)),IF(AND(ISNUMBER('Council Entry'!AC$8),ISNUMBER('Council Entry'!AC$9)),MAX(MIN('Council Entry'!AC61,'Council Entry'!AC$9),'Council Entry'!AC$8),'Council Entry'!AC61))))-'Council Entry'!AC$5)/('Council Entry'!AC$6-'Council Entry'!AC$5),10*((IF('Council Entry'!AC$4="Logarithm",LN(0.001+IF(AND(ISNUMBER('Council Entry'!AC$8),ISNUMBER('Council Entry'!AC$9)),MAX(MIN('Council Entry'!AC61,'Council Entry'!AC$9),'Council Entry'!AC$8),'Council Entry'!AC61)),IF('Council Entry'!AC$4="Exponential",EXP(IF(AND(ISNUMBER('Council Entry'!AC$8),ISNUMBER('Council Entry'!AC$9)),MAX(MIN('Council Entry'!AC61,'Council Entry'!AC$9),'Council Entry'!AC$8),'Council Entry'!AC61)),IF(AND(ISNUMBER('Council Entry'!AC$8),ISNUMBER('Council Entry'!AC$9)),MAX(MIN('Council Entry'!AC61,'Council Entry'!AC$9),'Council Entry'!AC$8),'Council Entry'!AC61))))-'Council Entry'!AC$5)/('Council Entry'!AC$6-'Council Entry'!AC$5)),1))),"No data"))</f>
        <v/>
      </c>
      <c r="AD61" s="13">
        <f>IF('Council Entry'!AD61="","",IFERROR(MAX(0,MIN(10,ROUND(IF('Council Entry'!AD$7="Decrease Risk",10-10*((IF('Council Entry'!AD$4="Logarithm",LN(0.001+IF(AND(ISNUMBER('Council Entry'!AD$8),ISNUMBER('Council Entry'!AD$9)),MAX(MIN('Council Entry'!AD61,'Council Entry'!AD$9),'Council Entry'!AD$8),'Council Entry'!AD61)),IF('Council Entry'!AD$4="Exponential",EXP(IF(AND(ISNUMBER('Council Entry'!AD$8),ISNUMBER('Council Entry'!AD$9)),MAX(MIN('Council Entry'!AD61,'Council Entry'!AD$9),'Council Entry'!AD$8),'Council Entry'!AD61)),IF(AND(ISNUMBER('Council Entry'!AD$8),ISNUMBER('Council Entry'!AD$9)),MAX(MIN('Council Entry'!AD61,'Council Entry'!AD$9),'Council Entry'!AD$8),'Council Entry'!AD61))))-'Council Entry'!AD$5)/('Council Entry'!AD$6-'Council Entry'!AD$5),10*((IF('Council Entry'!AD$4="Logarithm",LN(0.001+IF(AND(ISNUMBER('Council Entry'!AD$8),ISNUMBER('Council Entry'!AD$9)),MAX(MIN('Council Entry'!AD61,'Council Entry'!AD$9),'Council Entry'!AD$8),'Council Entry'!AD61)),IF('Council Entry'!AD$4="Exponential",EXP(IF(AND(ISNUMBER('Council Entry'!AD$8),ISNUMBER('Council Entry'!AD$9)),MAX(MIN('Council Entry'!AD61,'Council Entry'!AD$9),'Council Entry'!AD$8),'Council Entry'!AD61)),IF(AND(ISNUMBER('Council Entry'!AD$8),ISNUMBER('Council Entry'!AD$9)),MAX(MIN('Council Entry'!AD61,'Council Entry'!AD$9),'Council Entry'!AD$8),'Council Entry'!AD61))))-'Council Entry'!AD$5)/('Council Entry'!AD$6-'Council Entry'!AD$5)),1))),"No data"))</f>
        <v/>
      </c>
      <c r="AE61" s="13">
        <f>IF('Council Entry'!AE61="","",IFERROR(MAX(0,MIN(10,ROUND(IF('Council Entry'!AE$7="Decrease Risk",10-10*((IF('Council Entry'!AE$4="Logarithm",LN(0.001+IF(AND(ISNUMBER('Council Entry'!AE$8),ISNUMBER('Council Entry'!AE$9)),MAX(MIN('Council Entry'!AE61,'Council Entry'!AE$9),'Council Entry'!AE$8),'Council Entry'!AE61)),IF('Council Entry'!AE$4="Exponential",EXP(IF(AND(ISNUMBER('Council Entry'!AE$8),ISNUMBER('Council Entry'!AE$9)),MAX(MIN('Council Entry'!AE61,'Council Entry'!AE$9),'Council Entry'!AE$8),'Council Entry'!AE61)),IF(AND(ISNUMBER('Council Entry'!AE$8),ISNUMBER('Council Entry'!AE$9)),MAX(MIN('Council Entry'!AE61,'Council Entry'!AE$9),'Council Entry'!AE$8),'Council Entry'!AE61))))-'Council Entry'!AE$5)/('Council Entry'!AE$6-'Council Entry'!AE$5),10*((IF('Council Entry'!AE$4="Logarithm",LN(0.001+IF(AND(ISNUMBER('Council Entry'!AE$8),ISNUMBER('Council Entry'!AE$9)),MAX(MIN('Council Entry'!AE61,'Council Entry'!AE$9),'Council Entry'!AE$8),'Council Entry'!AE61)),IF('Council Entry'!AE$4="Exponential",EXP(IF(AND(ISNUMBER('Council Entry'!AE$8),ISNUMBER('Council Entry'!AE$9)),MAX(MIN('Council Entry'!AE61,'Council Entry'!AE$9),'Council Entry'!AE$8),'Council Entry'!AE61)),IF(AND(ISNUMBER('Council Entry'!AE$8),ISNUMBER('Council Entry'!AE$9)),MAX(MIN('Council Entry'!AE61,'Council Entry'!AE$9),'Council Entry'!AE$8),'Council Entry'!AE61))))-'Council Entry'!AE$5)/('Council Entry'!AE$6-'Council Entry'!AE$5)),1))),"No data"))</f>
        <v/>
      </c>
      <c r="AF61" s="13">
        <f>IF('Council Entry'!AF61="","",IFERROR(MAX(0,MIN(10,ROUND(IF('Council Entry'!AF$7="Decrease Risk",10-10*((IF('Council Entry'!AF$4="Logarithm",LN(0.001+IF(AND(ISNUMBER('Council Entry'!AF$8),ISNUMBER('Council Entry'!AF$9)),MAX(MIN('Council Entry'!AF61,'Council Entry'!AF$9),'Council Entry'!AF$8),'Council Entry'!AF61)),IF('Council Entry'!AF$4="Exponential",EXP(IF(AND(ISNUMBER('Council Entry'!AF$8),ISNUMBER('Council Entry'!AF$9)),MAX(MIN('Council Entry'!AF61,'Council Entry'!AF$9),'Council Entry'!AF$8),'Council Entry'!AF61)),IF(AND(ISNUMBER('Council Entry'!AF$8),ISNUMBER('Council Entry'!AF$9)),MAX(MIN('Council Entry'!AF61,'Council Entry'!AF$9),'Council Entry'!AF$8),'Council Entry'!AF61))))-'Council Entry'!AF$5)/('Council Entry'!AF$6-'Council Entry'!AF$5),10*((IF('Council Entry'!AF$4="Logarithm",LN(0.001+IF(AND(ISNUMBER('Council Entry'!AF$8),ISNUMBER('Council Entry'!AF$9)),MAX(MIN('Council Entry'!AF61,'Council Entry'!AF$9),'Council Entry'!AF$8),'Council Entry'!AF61)),IF('Council Entry'!AF$4="Exponential",EXP(IF(AND(ISNUMBER('Council Entry'!AF$8),ISNUMBER('Council Entry'!AF$9)),MAX(MIN('Council Entry'!AF61,'Council Entry'!AF$9),'Council Entry'!AF$8),'Council Entry'!AF61)),IF(AND(ISNUMBER('Council Entry'!AF$8),ISNUMBER('Council Entry'!AF$9)),MAX(MIN('Council Entry'!AF61,'Council Entry'!AF$9),'Council Entry'!AF$8),'Council Entry'!AF61))))-'Council Entry'!AF$5)/('Council Entry'!AF$6-'Council Entry'!AF$5)),1))),"No data"))</f>
        <v/>
      </c>
      <c r="AG61" s="13">
        <f>IF('Council Entry'!AG61="","",IFERROR(MAX(0,MIN(10,ROUND(IF('Council Entry'!AG$7="Decrease Risk",10-10*((IF('Council Entry'!AG$4="Logarithm",LN(0.001+IF(AND(ISNUMBER('Council Entry'!AG$8),ISNUMBER('Council Entry'!AG$9)),MAX(MIN('Council Entry'!AG61,'Council Entry'!AG$9),'Council Entry'!AG$8),'Council Entry'!AG61)),IF('Council Entry'!AG$4="Exponential",EXP(IF(AND(ISNUMBER('Council Entry'!AG$8),ISNUMBER('Council Entry'!AG$9)),MAX(MIN('Council Entry'!AG61,'Council Entry'!AG$9),'Council Entry'!AG$8),'Council Entry'!AG61)),IF(AND(ISNUMBER('Council Entry'!AG$8),ISNUMBER('Council Entry'!AG$9)),MAX(MIN('Council Entry'!AG61,'Council Entry'!AG$9),'Council Entry'!AG$8),'Council Entry'!AG61))))-'Council Entry'!AG$5)/('Council Entry'!AG$6-'Council Entry'!AG$5),10*((IF('Council Entry'!AG$4="Logarithm",LN(0.001+IF(AND(ISNUMBER('Council Entry'!AG$8),ISNUMBER('Council Entry'!AG$9)),MAX(MIN('Council Entry'!AG61,'Council Entry'!AG$9),'Council Entry'!AG$8),'Council Entry'!AG61)),IF('Council Entry'!AG$4="Exponential",EXP(IF(AND(ISNUMBER('Council Entry'!AG$8),ISNUMBER('Council Entry'!AG$9)),MAX(MIN('Council Entry'!AG61,'Council Entry'!AG$9),'Council Entry'!AG$8),'Council Entry'!AG61)),IF(AND(ISNUMBER('Council Entry'!AG$8),ISNUMBER('Council Entry'!AG$9)),MAX(MIN('Council Entry'!AG61,'Council Entry'!AG$9),'Council Entry'!AG$8),'Council Entry'!AG61))))-'Council Entry'!AG$5)/('Council Entry'!AG$6-'Council Entry'!AG$5)),1))),"No data"))</f>
        <v/>
      </c>
      <c r="AH61" s="13">
        <f>IF('Council Entry'!AH61="","",IFERROR(MAX(0,MIN(10,ROUND(IF('Council Entry'!AH$7="Decrease Risk",10-10*((IF('Council Entry'!AH$4="Logarithm",LN(0.001+IF(AND(ISNUMBER('Council Entry'!AH$8),ISNUMBER('Council Entry'!AH$9)),MAX(MIN('Council Entry'!AH61,'Council Entry'!AH$9),'Council Entry'!AH$8),'Council Entry'!AH61)),IF('Council Entry'!AH$4="Exponential",EXP(IF(AND(ISNUMBER('Council Entry'!AH$8),ISNUMBER('Council Entry'!AH$9)),MAX(MIN('Council Entry'!AH61,'Council Entry'!AH$9),'Council Entry'!AH$8),'Council Entry'!AH61)),IF(AND(ISNUMBER('Council Entry'!AH$8),ISNUMBER('Council Entry'!AH$9)),MAX(MIN('Council Entry'!AH61,'Council Entry'!AH$9),'Council Entry'!AH$8),'Council Entry'!AH61))))-'Council Entry'!AH$5)/('Council Entry'!AH$6-'Council Entry'!AH$5),10*((IF('Council Entry'!AH$4="Logarithm",LN(0.001+IF(AND(ISNUMBER('Council Entry'!AH$8),ISNUMBER('Council Entry'!AH$9)),MAX(MIN('Council Entry'!AH61,'Council Entry'!AH$9),'Council Entry'!AH$8),'Council Entry'!AH61)),IF('Council Entry'!AH$4="Exponential",EXP(IF(AND(ISNUMBER('Council Entry'!AH$8),ISNUMBER('Council Entry'!AH$9)),MAX(MIN('Council Entry'!AH61,'Council Entry'!AH$9),'Council Entry'!AH$8),'Council Entry'!AH61)),IF(AND(ISNUMBER('Council Entry'!AH$8),ISNUMBER('Council Entry'!AH$9)),MAX(MIN('Council Entry'!AH61,'Council Entry'!AH$9),'Council Entry'!AH$8),'Council Entry'!AH61))))-'Council Entry'!AH$5)/('Council Entry'!AH$6-'Council Entry'!AH$5)),1))),"No data"))</f>
        <v/>
      </c>
      <c r="AI61" s="13">
        <f>IF('Council Entry'!AI61="","",IFERROR(MAX(0,MIN(10,ROUND(IF('Council Entry'!AI$7="Decrease Risk",10-10*((IF('Council Entry'!AI$4="Logarithm",LN(0.001+IF(AND(ISNUMBER('Council Entry'!AI$8),ISNUMBER('Council Entry'!AI$9)),MAX(MIN('Council Entry'!AI61,'Council Entry'!AI$9),'Council Entry'!AI$8),'Council Entry'!AI61)),IF('Council Entry'!AI$4="Exponential",EXP(IF(AND(ISNUMBER('Council Entry'!AI$8),ISNUMBER('Council Entry'!AI$9)),MAX(MIN('Council Entry'!AI61,'Council Entry'!AI$9),'Council Entry'!AI$8),'Council Entry'!AI61)),IF(AND(ISNUMBER('Council Entry'!AI$8),ISNUMBER('Council Entry'!AI$9)),MAX(MIN('Council Entry'!AI61,'Council Entry'!AI$9),'Council Entry'!AI$8),'Council Entry'!AI61))))-'Council Entry'!AI$5)/('Council Entry'!AI$6-'Council Entry'!AI$5),10*((IF('Council Entry'!AI$4="Logarithm",LN(0.001+IF(AND(ISNUMBER('Council Entry'!AI$8),ISNUMBER('Council Entry'!AI$9)),MAX(MIN('Council Entry'!AI61,'Council Entry'!AI$9),'Council Entry'!AI$8),'Council Entry'!AI61)),IF('Council Entry'!AI$4="Exponential",EXP(IF(AND(ISNUMBER('Council Entry'!AI$8),ISNUMBER('Council Entry'!AI$9)),MAX(MIN('Council Entry'!AI61,'Council Entry'!AI$9),'Council Entry'!AI$8),'Council Entry'!AI61)),IF(AND(ISNUMBER('Council Entry'!AI$8),ISNUMBER('Council Entry'!AI$9)),MAX(MIN('Council Entry'!AI61,'Council Entry'!AI$9),'Council Entry'!AI$8),'Council Entry'!AI61))))-'Council Entry'!AI$5)/('Council Entry'!AI$6-'Council Entry'!AI$5)),1))),"No data"))</f>
        <v/>
      </c>
      <c r="AJ61" s="13">
        <f>IF('Council Entry'!AJ61="","",IFERROR(MAX(0,MIN(10,ROUND(IF('Council Entry'!AJ$7="Decrease Risk",10-10*((IF('Council Entry'!AJ$4="Logarithm",LN(0.001+IF(AND(ISNUMBER('Council Entry'!AJ$8),ISNUMBER('Council Entry'!AJ$9)),MAX(MIN('Council Entry'!AJ61,'Council Entry'!AJ$9),'Council Entry'!AJ$8),'Council Entry'!AJ61)),IF('Council Entry'!AJ$4="Exponential",EXP(IF(AND(ISNUMBER('Council Entry'!AJ$8),ISNUMBER('Council Entry'!AJ$9)),MAX(MIN('Council Entry'!AJ61,'Council Entry'!AJ$9),'Council Entry'!AJ$8),'Council Entry'!AJ61)),IF(AND(ISNUMBER('Council Entry'!AJ$8),ISNUMBER('Council Entry'!AJ$9)),MAX(MIN('Council Entry'!AJ61,'Council Entry'!AJ$9),'Council Entry'!AJ$8),'Council Entry'!AJ61))))-'Council Entry'!AJ$5)/('Council Entry'!AJ$6-'Council Entry'!AJ$5),10*((IF('Council Entry'!AJ$4="Logarithm",LN(0.001+IF(AND(ISNUMBER('Council Entry'!AJ$8),ISNUMBER('Council Entry'!AJ$9)),MAX(MIN('Council Entry'!AJ61,'Council Entry'!AJ$9),'Council Entry'!AJ$8),'Council Entry'!AJ61)),IF('Council Entry'!AJ$4="Exponential",EXP(IF(AND(ISNUMBER('Council Entry'!AJ$8),ISNUMBER('Council Entry'!AJ$9)),MAX(MIN('Council Entry'!AJ61,'Council Entry'!AJ$9),'Council Entry'!AJ$8),'Council Entry'!AJ61)),IF(AND(ISNUMBER('Council Entry'!AJ$8),ISNUMBER('Council Entry'!AJ$9)),MAX(MIN('Council Entry'!AJ61,'Council Entry'!AJ$9),'Council Entry'!AJ$8),'Council Entry'!AJ61))))-'Council Entry'!AJ$5)/('Council Entry'!AJ$6-'Council Entry'!AJ$5)),1))),"No data"))</f>
        <v/>
      </c>
      <c r="AK61" s="13">
        <f>IF('Council Entry'!AK61="","",IFERROR(MAX(0,MIN(10,ROUND(IF('Council Entry'!AK$7="Decrease Risk",10-10*((IF('Council Entry'!AK$4="Logarithm",LN(0.001+IF(AND(ISNUMBER('Council Entry'!AK$8),ISNUMBER('Council Entry'!AK$9)),MAX(MIN('Council Entry'!AK61,'Council Entry'!AK$9),'Council Entry'!AK$8),'Council Entry'!AK61)),IF('Council Entry'!AK$4="Exponential",EXP(IF(AND(ISNUMBER('Council Entry'!AK$8),ISNUMBER('Council Entry'!AK$9)),MAX(MIN('Council Entry'!AK61,'Council Entry'!AK$9),'Council Entry'!AK$8),'Council Entry'!AK61)),IF(AND(ISNUMBER('Council Entry'!AK$8),ISNUMBER('Council Entry'!AK$9)),MAX(MIN('Council Entry'!AK61,'Council Entry'!AK$9),'Council Entry'!AK$8),'Council Entry'!AK61))))-'Council Entry'!AK$5)/('Council Entry'!AK$6-'Council Entry'!AK$5),10*((IF('Council Entry'!AK$4="Logarithm",LN(0.001+IF(AND(ISNUMBER('Council Entry'!AK$8),ISNUMBER('Council Entry'!AK$9)),MAX(MIN('Council Entry'!AK61,'Council Entry'!AK$9),'Council Entry'!AK$8),'Council Entry'!AK61)),IF('Council Entry'!AK$4="Exponential",EXP(IF(AND(ISNUMBER('Council Entry'!AK$8),ISNUMBER('Council Entry'!AK$9)),MAX(MIN('Council Entry'!AK61,'Council Entry'!AK$9),'Council Entry'!AK$8),'Council Entry'!AK61)),IF(AND(ISNUMBER('Council Entry'!AK$8),ISNUMBER('Council Entry'!AK$9)),MAX(MIN('Council Entry'!AK61,'Council Entry'!AK$9),'Council Entry'!AK$8),'Council Entry'!AK61))))-'Council Entry'!AK$5)/('Council Entry'!AK$6-'Council Entry'!AK$5)),1))),"No data"))</f>
        <v/>
      </c>
      <c r="AL61" s="13">
        <f>IF('Council Entry'!AL61="","",IFERROR(MAX(0,MIN(10,ROUND(IF('Council Entry'!AL$7="Decrease Risk",10-10*((IF('Council Entry'!AL$4="Logarithm",LN(0.001+IF(AND(ISNUMBER('Council Entry'!AL$8),ISNUMBER('Council Entry'!AL$9)),MAX(MIN('Council Entry'!AL61,'Council Entry'!AL$9),'Council Entry'!AL$8),'Council Entry'!AL61)),IF('Council Entry'!AL$4="Exponential",EXP(IF(AND(ISNUMBER('Council Entry'!AL$8),ISNUMBER('Council Entry'!AL$9)),MAX(MIN('Council Entry'!AL61,'Council Entry'!AL$9),'Council Entry'!AL$8),'Council Entry'!AL61)),IF(AND(ISNUMBER('Council Entry'!AL$8),ISNUMBER('Council Entry'!AL$9)),MAX(MIN('Council Entry'!AL61,'Council Entry'!AL$9),'Council Entry'!AL$8),'Council Entry'!AL61))))-'Council Entry'!AL$5)/('Council Entry'!AL$6-'Council Entry'!AL$5),10*((IF('Council Entry'!AL$4="Logarithm",LN(0.001+IF(AND(ISNUMBER('Council Entry'!AL$8),ISNUMBER('Council Entry'!AL$9)),MAX(MIN('Council Entry'!AL61,'Council Entry'!AL$9),'Council Entry'!AL$8),'Council Entry'!AL61)),IF('Council Entry'!AL$4="Exponential",EXP(IF(AND(ISNUMBER('Council Entry'!AL$8),ISNUMBER('Council Entry'!AL$9)),MAX(MIN('Council Entry'!AL61,'Council Entry'!AL$9),'Council Entry'!AL$8),'Council Entry'!AL61)),IF(AND(ISNUMBER('Council Entry'!AL$8),ISNUMBER('Council Entry'!AL$9)),MAX(MIN('Council Entry'!AL61,'Council Entry'!AL$9),'Council Entry'!AL$8),'Council Entry'!AL61))))-'Council Entry'!AL$5)/('Council Entry'!AL$6-'Council Entry'!AL$5)),1))),"No data"))</f>
        <v/>
      </c>
      <c r="AM61" s="13">
        <f>IF('Council Entry'!AM61="","",IFERROR(MAX(0,MIN(10,ROUND(IF('Council Entry'!AM$7="Decrease Risk",10-10*((IF('Council Entry'!AM$4="Logarithm",LN(0.001+IF(AND(ISNUMBER('Council Entry'!AM$8),ISNUMBER('Council Entry'!AM$9)),MAX(MIN('Council Entry'!AM61,'Council Entry'!AM$9),'Council Entry'!AM$8),'Council Entry'!AM61)),IF('Council Entry'!AM$4="Exponential",EXP(IF(AND(ISNUMBER('Council Entry'!AM$8),ISNUMBER('Council Entry'!AM$9)),MAX(MIN('Council Entry'!AM61,'Council Entry'!AM$9),'Council Entry'!AM$8),'Council Entry'!AM61)),IF(AND(ISNUMBER('Council Entry'!AM$8),ISNUMBER('Council Entry'!AM$9)),MAX(MIN('Council Entry'!AM61,'Council Entry'!AM$9),'Council Entry'!AM$8),'Council Entry'!AM61))))-'Council Entry'!AM$5)/('Council Entry'!AM$6-'Council Entry'!AM$5),10*((IF('Council Entry'!AM$4="Logarithm",LN(0.001+IF(AND(ISNUMBER('Council Entry'!AM$8),ISNUMBER('Council Entry'!AM$9)),MAX(MIN('Council Entry'!AM61,'Council Entry'!AM$9),'Council Entry'!AM$8),'Council Entry'!AM61)),IF('Council Entry'!AM$4="Exponential",EXP(IF(AND(ISNUMBER('Council Entry'!AM$8),ISNUMBER('Council Entry'!AM$9)),MAX(MIN('Council Entry'!AM61,'Council Entry'!AM$9),'Council Entry'!AM$8),'Council Entry'!AM61)),IF(AND(ISNUMBER('Council Entry'!AM$8),ISNUMBER('Council Entry'!AM$9)),MAX(MIN('Council Entry'!AM61,'Council Entry'!AM$9),'Council Entry'!AM$8),'Council Entry'!AM61))))-'Council Entry'!AM$5)/('Council Entry'!AM$6-'Council Entry'!AM$5)),1))),"No data"))</f>
        <v/>
      </c>
      <c r="AN61" s="13">
        <f>IF('Council Entry'!AN61="","",IFERROR(MAX(0,MIN(10,ROUND(IF('Council Entry'!AN$7="Decrease Risk",10-10*((IF('Council Entry'!AN$4="Logarithm",LN(0.001+IF(AND(ISNUMBER('Council Entry'!AN$8),ISNUMBER('Council Entry'!AN$9)),MAX(MIN('Council Entry'!AN61,'Council Entry'!AN$9),'Council Entry'!AN$8),'Council Entry'!AN61)),IF('Council Entry'!AN$4="Exponential",EXP(IF(AND(ISNUMBER('Council Entry'!AN$8),ISNUMBER('Council Entry'!AN$9)),MAX(MIN('Council Entry'!AN61,'Council Entry'!AN$9),'Council Entry'!AN$8),'Council Entry'!AN61)),IF(AND(ISNUMBER('Council Entry'!AN$8),ISNUMBER('Council Entry'!AN$9)),MAX(MIN('Council Entry'!AN61,'Council Entry'!AN$9),'Council Entry'!AN$8),'Council Entry'!AN61))))-'Council Entry'!AN$5)/('Council Entry'!AN$6-'Council Entry'!AN$5),10*((IF('Council Entry'!AN$4="Logarithm",LN(0.001+IF(AND(ISNUMBER('Council Entry'!AN$8),ISNUMBER('Council Entry'!AN$9)),MAX(MIN('Council Entry'!AN61,'Council Entry'!AN$9),'Council Entry'!AN$8),'Council Entry'!AN61)),IF('Council Entry'!AN$4="Exponential",EXP(IF(AND(ISNUMBER('Council Entry'!AN$8),ISNUMBER('Council Entry'!AN$9)),MAX(MIN('Council Entry'!AN61,'Council Entry'!AN$9),'Council Entry'!AN$8),'Council Entry'!AN61)),IF(AND(ISNUMBER('Council Entry'!AN$8),ISNUMBER('Council Entry'!AN$9)),MAX(MIN('Council Entry'!AN61,'Council Entry'!AN$9),'Council Entry'!AN$8),'Council Entry'!AN61))))-'Council Entry'!AN$5)/('Council Entry'!AN$6-'Council Entry'!AN$5)),1))),"No data"))</f>
        <v/>
      </c>
      <c r="AO61" s="13">
        <f>IF('Council Entry'!AO61="","",IFERROR(MAX(0,MIN(10,ROUND(IF('Council Entry'!AO$7="Decrease Risk",10-10*((IF('Council Entry'!AO$4="Logarithm",LN(0.001+IF(AND(ISNUMBER('Council Entry'!AO$8),ISNUMBER('Council Entry'!AO$9)),MAX(MIN('Council Entry'!AO61,'Council Entry'!AO$9),'Council Entry'!AO$8),'Council Entry'!AO61)),IF('Council Entry'!AO$4="Exponential",EXP(IF(AND(ISNUMBER('Council Entry'!AO$8),ISNUMBER('Council Entry'!AO$9)),MAX(MIN('Council Entry'!AO61,'Council Entry'!AO$9),'Council Entry'!AO$8),'Council Entry'!AO61)),IF(AND(ISNUMBER('Council Entry'!AO$8),ISNUMBER('Council Entry'!AO$9)),MAX(MIN('Council Entry'!AO61,'Council Entry'!AO$9),'Council Entry'!AO$8),'Council Entry'!AO61))))-'Council Entry'!AO$5)/('Council Entry'!AO$6-'Council Entry'!AO$5),10*((IF('Council Entry'!AO$4="Logarithm",LN(0.001+IF(AND(ISNUMBER('Council Entry'!AO$8),ISNUMBER('Council Entry'!AO$9)),MAX(MIN('Council Entry'!AO61,'Council Entry'!AO$9),'Council Entry'!AO$8),'Council Entry'!AO61)),IF('Council Entry'!AO$4="Exponential",EXP(IF(AND(ISNUMBER('Council Entry'!AO$8),ISNUMBER('Council Entry'!AO$9)),MAX(MIN('Council Entry'!AO61,'Council Entry'!AO$9),'Council Entry'!AO$8),'Council Entry'!AO61)),IF(AND(ISNUMBER('Council Entry'!AO$8),ISNUMBER('Council Entry'!AO$9)),MAX(MIN('Council Entry'!AO61,'Council Entry'!AO$9),'Council Entry'!AO$8),'Council Entry'!AO61))))-'Council Entry'!AO$5)/('Council Entry'!AO$6-'Council Entry'!AO$5)),1))),"No data"))</f>
        <v/>
      </c>
      <c r="AP61" s="13">
        <f>IF('Council Entry'!AP61="","",IFERROR(MAX(0,MIN(10,ROUND(IF('Council Entry'!AP$7="Decrease Risk",10-10*((IF('Council Entry'!AP$4="Logarithm",LN(0.001+IF(AND(ISNUMBER('Council Entry'!AP$8),ISNUMBER('Council Entry'!AP$9)),MAX(MIN('Council Entry'!AP61,'Council Entry'!AP$9),'Council Entry'!AP$8),'Council Entry'!AP61)),IF('Council Entry'!AP$4="Exponential",EXP(IF(AND(ISNUMBER('Council Entry'!AP$8),ISNUMBER('Council Entry'!AP$9)),MAX(MIN('Council Entry'!AP61,'Council Entry'!AP$9),'Council Entry'!AP$8),'Council Entry'!AP61)),IF(AND(ISNUMBER('Council Entry'!AP$8),ISNUMBER('Council Entry'!AP$9)),MAX(MIN('Council Entry'!AP61,'Council Entry'!AP$9),'Council Entry'!AP$8),'Council Entry'!AP61))))-'Council Entry'!AP$5)/('Council Entry'!AP$6-'Council Entry'!AP$5),10*((IF('Council Entry'!AP$4="Logarithm",LN(0.001+IF(AND(ISNUMBER('Council Entry'!AP$8),ISNUMBER('Council Entry'!AP$9)),MAX(MIN('Council Entry'!AP61,'Council Entry'!AP$9),'Council Entry'!AP$8),'Council Entry'!AP61)),IF('Council Entry'!AP$4="Exponential",EXP(IF(AND(ISNUMBER('Council Entry'!AP$8),ISNUMBER('Council Entry'!AP$9)),MAX(MIN('Council Entry'!AP61,'Council Entry'!AP$9),'Council Entry'!AP$8),'Council Entry'!AP61)),IF(AND(ISNUMBER('Council Entry'!AP$8),ISNUMBER('Council Entry'!AP$9)),MAX(MIN('Council Entry'!AP61,'Council Entry'!AP$9),'Council Entry'!AP$8),'Council Entry'!AP61))))-'Council Entry'!AP$5)/('Council Entry'!AP$6-'Council Entry'!AP$5)),1))),"No data"))</f>
        <v/>
      </c>
      <c r="AQ61" s="13">
        <f>IF('Council Entry'!AQ61="","",IFERROR(MAX(0,MIN(10,ROUND(IF('Council Entry'!AQ$7="Decrease Risk",10-10*((IF('Council Entry'!AQ$4="Logarithm",LN(0.001+IF(AND(ISNUMBER('Council Entry'!AQ$8),ISNUMBER('Council Entry'!AQ$9)),MAX(MIN('Council Entry'!AQ61,'Council Entry'!AQ$9),'Council Entry'!AQ$8),'Council Entry'!AQ61)),IF('Council Entry'!AQ$4="Exponential",EXP(IF(AND(ISNUMBER('Council Entry'!AQ$8),ISNUMBER('Council Entry'!AQ$9)),MAX(MIN('Council Entry'!AQ61,'Council Entry'!AQ$9),'Council Entry'!AQ$8),'Council Entry'!AQ61)),IF(AND(ISNUMBER('Council Entry'!AQ$8),ISNUMBER('Council Entry'!AQ$9)),MAX(MIN('Council Entry'!AQ61,'Council Entry'!AQ$9),'Council Entry'!AQ$8),'Council Entry'!AQ61))))-'Council Entry'!AQ$5)/('Council Entry'!AQ$6-'Council Entry'!AQ$5),10*((IF('Council Entry'!AQ$4="Logarithm",LN(0.001+IF(AND(ISNUMBER('Council Entry'!AQ$8),ISNUMBER('Council Entry'!AQ$9)),MAX(MIN('Council Entry'!AQ61,'Council Entry'!AQ$9),'Council Entry'!AQ$8),'Council Entry'!AQ61)),IF('Council Entry'!AQ$4="Exponential",EXP(IF(AND(ISNUMBER('Council Entry'!AQ$8),ISNUMBER('Council Entry'!AQ$9)),MAX(MIN('Council Entry'!AQ61,'Council Entry'!AQ$9),'Council Entry'!AQ$8),'Council Entry'!AQ61)),IF(AND(ISNUMBER('Council Entry'!AQ$8),ISNUMBER('Council Entry'!AQ$9)),MAX(MIN('Council Entry'!AQ61,'Council Entry'!AQ$9),'Council Entry'!AQ$8),'Council Entry'!AQ61))))-'Council Entry'!AQ$5)/('Council Entry'!AQ$6-'Council Entry'!AQ$5)),1))),"No data"))</f>
        <v/>
      </c>
      <c r="AR61" s="13">
        <f>IF('Council Entry'!AR61="","",IFERROR(MAX(0,MIN(10,ROUND(IF('Council Entry'!AR$7="Decrease Risk",10-10*((IF('Council Entry'!AR$4="Logarithm",LN(0.001+IF(AND(ISNUMBER('Council Entry'!AR$8),ISNUMBER('Council Entry'!AR$9)),MAX(MIN('Council Entry'!AR61,'Council Entry'!AR$9),'Council Entry'!AR$8),'Council Entry'!AR61)),IF('Council Entry'!AR$4="Exponential",EXP(IF(AND(ISNUMBER('Council Entry'!AR$8),ISNUMBER('Council Entry'!AR$9)),MAX(MIN('Council Entry'!AR61,'Council Entry'!AR$9),'Council Entry'!AR$8),'Council Entry'!AR61)),IF(AND(ISNUMBER('Council Entry'!AR$8),ISNUMBER('Council Entry'!AR$9)),MAX(MIN('Council Entry'!AR61,'Council Entry'!AR$9),'Council Entry'!AR$8),'Council Entry'!AR61))))-'Council Entry'!AR$5)/('Council Entry'!AR$6-'Council Entry'!AR$5),10*((IF('Council Entry'!AR$4="Logarithm",LN(0.001+IF(AND(ISNUMBER('Council Entry'!AR$8),ISNUMBER('Council Entry'!AR$9)),MAX(MIN('Council Entry'!AR61,'Council Entry'!AR$9),'Council Entry'!AR$8),'Council Entry'!AR61)),IF('Council Entry'!AR$4="Exponential",EXP(IF(AND(ISNUMBER('Council Entry'!AR$8),ISNUMBER('Council Entry'!AR$9)),MAX(MIN('Council Entry'!AR61,'Council Entry'!AR$9),'Council Entry'!AR$8),'Council Entry'!AR61)),IF(AND(ISNUMBER('Council Entry'!AR$8),ISNUMBER('Council Entry'!AR$9)),MAX(MIN('Council Entry'!AR61,'Council Entry'!AR$9),'Council Entry'!AR$8),'Council Entry'!AR61))))-'Council Entry'!AR$5)/('Council Entry'!AR$6-'Council Entry'!AR$5)),1))),"No data"))</f>
        <v/>
      </c>
      <c r="AS61" s="13">
        <f>IF('Council Entry'!AS61="","",IFERROR(MAX(0,MIN(10,ROUND(IF('Council Entry'!AS$7="Decrease Risk",10-10*((IF('Council Entry'!AS$4="Logarithm",LN(0.001+IF(AND(ISNUMBER('Council Entry'!AS$8),ISNUMBER('Council Entry'!AS$9)),MAX(MIN('Council Entry'!AS61,'Council Entry'!AS$9),'Council Entry'!AS$8),'Council Entry'!AS61)),IF('Council Entry'!AS$4="Exponential",EXP(IF(AND(ISNUMBER('Council Entry'!AS$8),ISNUMBER('Council Entry'!AS$9)),MAX(MIN('Council Entry'!AS61,'Council Entry'!AS$9),'Council Entry'!AS$8),'Council Entry'!AS61)),IF(AND(ISNUMBER('Council Entry'!AS$8),ISNUMBER('Council Entry'!AS$9)),MAX(MIN('Council Entry'!AS61,'Council Entry'!AS$9),'Council Entry'!AS$8),'Council Entry'!AS61))))-'Council Entry'!AS$5)/('Council Entry'!AS$6-'Council Entry'!AS$5),10*((IF('Council Entry'!AS$4="Logarithm",LN(0.001+IF(AND(ISNUMBER('Council Entry'!AS$8),ISNUMBER('Council Entry'!AS$9)),MAX(MIN('Council Entry'!AS61,'Council Entry'!AS$9),'Council Entry'!AS$8),'Council Entry'!AS61)),IF('Council Entry'!AS$4="Exponential",EXP(IF(AND(ISNUMBER('Council Entry'!AS$8),ISNUMBER('Council Entry'!AS$9)),MAX(MIN('Council Entry'!AS61,'Council Entry'!AS$9),'Council Entry'!AS$8),'Council Entry'!AS61)),IF(AND(ISNUMBER('Council Entry'!AS$8),ISNUMBER('Council Entry'!AS$9)),MAX(MIN('Council Entry'!AS61,'Council Entry'!AS$9),'Council Entry'!AS$8),'Council Entry'!AS61))))-'Council Entry'!AS$5)/('Council Entry'!AS$6-'Council Entry'!AS$5)),1))),"No data"))</f>
        <v/>
      </c>
      <c r="AT61" s="13">
        <f>IF('Council Entry'!AT61="","",IFERROR(MAX(0,MIN(10,ROUND(IF('Council Entry'!AT$7="Decrease Risk",10-10*((IF('Council Entry'!AT$4="Logarithm",LN(0.001+IF(AND(ISNUMBER('Council Entry'!AT$8),ISNUMBER('Council Entry'!AT$9)),MAX(MIN('Council Entry'!AT61,'Council Entry'!AT$9),'Council Entry'!AT$8),'Council Entry'!AT61)),IF('Council Entry'!AT$4="Exponential",EXP(IF(AND(ISNUMBER('Council Entry'!AT$8),ISNUMBER('Council Entry'!AT$9)),MAX(MIN('Council Entry'!AT61,'Council Entry'!AT$9),'Council Entry'!AT$8),'Council Entry'!AT61)),IF(AND(ISNUMBER('Council Entry'!AT$8),ISNUMBER('Council Entry'!AT$9)),MAX(MIN('Council Entry'!AT61,'Council Entry'!AT$9),'Council Entry'!AT$8),'Council Entry'!AT61))))-'Council Entry'!AT$5)/('Council Entry'!AT$6-'Council Entry'!AT$5),10*((IF('Council Entry'!AT$4="Logarithm",LN(0.001+IF(AND(ISNUMBER('Council Entry'!AT$8),ISNUMBER('Council Entry'!AT$9)),MAX(MIN('Council Entry'!AT61,'Council Entry'!AT$9),'Council Entry'!AT$8),'Council Entry'!AT61)),IF('Council Entry'!AT$4="Exponential",EXP(IF(AND(ISNUMBER('Council Entry'!AT$8),ISNUMBER('Council Entry'!AT$9)),MAX(MIN('Council Entry'!AT61,'Council Entry'!AT$9),'Council Entry'!AT$8),'Council Entry'!AT61)),IF(AND(ISNUMBER('Council Entry'!AT$8),ISNUMBER('Council Entry'!AT$9)),MAX(MIN('Council Entry'!AT61,'Council Entry'!AT$9),'Council Entry'!AT$8),'Council Entry'!AT61))))-'Council Entry'!AT$5)/('Council Entry'!AT$6-'Council Entry'!AT$5)),1))),"No data"))</f>
        <v/>
      </c>
      <c r="AU61" s="13">
        <f>IF('Council Entry'!AU61="","",IFERROR(MAX(0,MIN(10,ROUND(IF('Council Entry'!AU$7="Decrease Risk",10-10*((IF('Council Entry'!AU$4="Logarithm",LN(0.001+IF(AND(ISNUMBER('Council Entry'!AU$8),ISNUMBER('Council Entry'!AU$9)),MAX(MIN('Council Entry'!AU61,'Council Entry'!AU$9),'Council Entry'!AU$8),'Council Entry'!AU61)),IF('Council Entry'!AU$4="Exponential",EXP(IF(AND(ISNUMBER('Council Entry'!AU$8),ISNUMBER('Council Entry'!AU$9)),MAX(MIN('Council Entry'!AU61,'Council Entry'!AU$9),'Council Entry'!AU$8),'Council Entry'!AU61)),IF(AND(ISNUMBER('Council Entry'!AU$8),ISNUMBER('Council Entry'!AU$9)),MAX(MIN('Council Entry'!AU61,'Council Entry'!AU$9),'Council Entry'!AU$8),'Council Entry'!AU61))))-'Council Entry'!AU$5)/('Council Entry'!AU$6-'Council Entry'!AU$5),10*((IF('Council Entry'!AU$4="Logarithm",LN(0.001+IF(AND(ISNUMBER('Council Entry'!AU$8),ISNUMBER('Council Entry'!AU$9)),MAX(MIN('Council Entry'!AU61,'Council Entry'!AU$9),'Council Entry'!AU$8),'Council Entry'!AU61)),IF('Council Entry'!AU$4="Exponential",EXP(IF(AND(ISNUMBER('Council Entry'!AU$8),ISNUMBER('Council Entry'!AU$9)),MAX(MIN('Council Entry'!AU61,'Council Entry'!AU$9),'Council Entry'!AU$8),'Council Entry'!AU61)),IF(AND(ISNUMBER('Council Entry'!AU$8),ISNUMBER('Council Entry'!AU$9)),MAX(MIN('Council Entry'!AU61,'Council Entry'!AU$9),'Council Entry'!AU$8),'Council Entry'!AU61))))-'Council Entry'!AU$5)/('Council Entry'!AU$6-'Council Entry'!AU$5)),1))),"No data"))</f>
        <v/>
      </c>
      <c r="AV61" s="13">
        <f>IF('Council Entry'!AV61="","",IFERROR(MAX(0,MIN(10,ROUND(IF('Council Entry'!AV$7="Decrease Risk",10-10*((IF('Council Entry'!AV$4="Logarithm",LN(0.001+IF(AND(ISNUMBER('Council Entry'!AV$8),ISNUMBER('Council Entry'!AV$9)),MAX(MIN('Council Entry'!AV61,'Council Entry'!AV$9),'Council Entry'!AV$8),'Council Entry'!AV61)),IF('Council Entry'!AV$4="Exponential",EXP(IF(AND(ISNUMBER('Council Entry'!AV$8),ISNUMBER('Council Entry'!AV$9)),MAX(MIN('Council Entry'!AV61,'Council Entry'!AV$9),'Council Entry'!AV$8),'Council Entry'!AV61)),IF(AND(ISNUMBER('Council Entry'!AV$8),ISNUMBER('Council Entry'!AV$9)),MAX(MIN('Council Entry'!AV61,'Council Entry'!AV$9),'Council Entry'!AV$8),'Council Entry'!AV61))))-'Council Entry'!AV$5)/('Council Entry'!AV$6-'Council Entry'!AV$5),10*((IF('Council Entry'!AV$4="Logarithm",LN(0.001+IF(AND(ISNUMBER('Council Entry'!AV$8),ISNUMBER('Council Entry'!AV$9)),MAX(MIN('Council Entry'!AV61,'Council Entry'!AV$9),'Council Entry'!AV$8),'Council Entry'!AV61)),IF('Council Entry'!AV$4="Exponential",EXP(IF(AND(ISNUMBER('Council Entry'!AV$8),ISNUMBER('Council Entry'!AV$9)),MAX(MIN('Council Entry'!AV61,'Council Entry'!AV$9),'Council Entry'!AV$8),'Council Entry'!AV61)),IF(AND(ISNUMBER('Council Entry'!AV$8),ISNUMBER('Council Entry'!AV$9)),MAX(MIN('Council Entry'!AV61,'Council Entry'!AV$9),'Council Entry'!AV$8),'Council Entry'!AV61))))-'Council Entry'!AV$5)/('Council Entry'!AV$6-'Council Entry'!AV$5)),1))),"No data"))</f>
        <v/>
      </c>
      <c r="AW61" s="13">
        <f>IF('Council Entry'!AW61="","",IFERROR(MAX(0,MIN(10,ROUND(IF('Council Entry'!AW$7="Decrease Risk",10-10*((IF('Council Entry'!AW$4="Logarithm",LN(0.001+IF(AND(ISNUMBER('Council Entry'!AW$8),ISNUMBER('Council Entry'!AW$9)),MAX(MIN('Council Entry'!AW61,'Council Entry'!AW$9),'Council Entry'!AW$8),'Council Entry'!AW61)),IF('Council Entry'!AW$4="Exponential",EXP(IF(AND(ISNUMBER('Council Entry'!AW$8),ISNUMBER('Council Entry'!AW$9)),MAX(MIN('Council Entry'!AW61,'Council Entry'!AW$9),'Council Entry'!AW$8),'Council Entry'!AW61)),IF(AND(ISNUMBER('Council Entry'!AW$8),ISNUMBER('Council Entry'!AW$9)),MAX(MIN('Council Entry'!AW61,'Council Entry'!AW$9),'Council Entry'!AW$8),'Council Entry'!AW61))))-'Council Entry'!AW$5)/('Council Entry'!AW$6-'Council Entry'!AW$5),10*((IF('Council Entry'!AW$4="Logarithm",LN(0.001+IF(AND(ISNUMBER('Council Entry'!AW$8),ISNUMBER('Council Entry'!AW$9)),MAX(MIN('Council Entry'!AW61,'Council Entry'!AW$9),'Council Entry'!AW$8),'Council Entry'!AW61)),IF('Council Entry'!AW$4="Exponential",EXP(IF(AND(ISNUMBER('Council Entry'!AW$8),ISNUMBER('Council Entry'!AW$9)),MAX(MIN('Council Entry'!AW61,'Council Entry'!AW$9),'Council Entry'!AW$8),'Council Entry'!AW61)),IF(AND(ISNUMBER('Council Entry'!AW$8),ISNUMBER('Council Entry'!AW$9)),MAX(MIN('Council Entry'!AW61,'Council Entry'!AW$9),'Council Entry'!AW$8),'Council Entry'!AW61))))-'Council Entry'!AW$5)/('Council Entry'!AW$6-'Council Entry'!AW$5)),1))),"No data"))</f>
        <v/>
      </c>
      <c r="AX61" s="13">
        <f>IF('Council Entry'!AX61="","",IFERROR(MAX(0,MIN(10,ROUND(IF('Council Entry'!AX$7="Decrease Risk",10-10*((IF('Council Entry'!AX$4="Logarithm",LN(0.001+IF(AND(ISNUMBER('Council Entry'!AX$8),ISNUMBER('Council Entry'!AX$9)),MAX(MIN('Council Entry'!AX61,'Council Entry'!AX$9),'Council Entry'!AX$8),'Council Entry'!AX61)),IF('Council Entry'!AX$4="Exponential",EXP(IF(AND(ISNUMBER('Council Entry'!AX$8),ISNUMBER('Council Entry'!AX$9)),MAX(MIN('Council Entry'!AX61,'Council Entry'!AX$9),'Council Entry'!AX$8),'Council Entry'!AX61)),IF(AND(ISNUMBER('Council Entry'!AX$8),ISNUMBER('Council Entry'!AX$9)),MAX(MIN('Council Entry'!AX61,'Council Entry'!AX$9),'Council Entry'!AX$8),'Council Entry'!AX61))))-'Council Entry'!AX$5)/('Council Entry'!AX$6-'Council Entry'!AX$5),10*((IF('Council Entry'!AX$4="Logarithm",LN(0.001+IF(AND(ISNUMBER('Council Entry'!AX$8),ISNUMBER('Council Entry'!AX$9)),MAX(MIN('Council Entry'!AX61,'Council Entry'!AX$9),'Council Entry'!AX$8),'Council Entry'!AX61)),IF('Council Entry'!AX$4="Exponential",EXP(IF(AND(ISNUMBER('Council Entry'!AX$8),ISNUMBER('Council Entry'!AX$9)),MAX(MIN('Council Entry'!AX61,'Council Entry'!AX$9),'Council Entry'!AX$8),'Council Entry'!AX61)),IF(AND(ISNUMBER('Council Entry'!AX$8),ISNUMBER('Council Entry'!AX$9)),MAX(MIN('Council Entry'!AX61,'Council Entry'!AX$9),'Council Entry'!AX$8),'Council Entry'!AX61))))-'Council Entry'!AX$5)/('Council Entry'!AX$6-'Council Entry'!AX$5)),1))),"No data"))</f>
        <v/>
      </c>
      <c r="AY61" s="13">
        <f>IF('Council Entry'!AY61="","",IFERROR(MAX(0,MIN(10,ROUND(IF('Council Entry'!AY$7="Decrease Risk",10-10*((IF('Council Entry'!AY$4="Logarithm",LN(0.001+IF(AND(ISNUMBER('Council Entry'!AY$8),ISNUMBER('Council Entry'!AY$9)),MAX(MIN('Council Entry'!AY61,'Council Entry'!AY$9),'Council Entry'!AY$8),'Council Entry'!AY61)),IF('Council Entry'!AY$4="Exponential",EXP(IF(AND(ISNUMBER('Council Entry'!AY$8),ISNUMBER('Council Entry'!AY$9)),MAX(MIN('Council Entry'!AY61,'Council Entry'!AY$9),'Council Entry'!AY$8),'Council Entry'!AY61)),IF(AND(ISNUMBER('Council Entry'!AY$8),ISNUMBER('Council Entry'!AY$9)),MAX(MIN('Council Entry'!AY61,'Council Entry'!AY$9),'Council Entry'!AY$8),'Council Entry'!AY61))))-'Council Entry'!AY$5)/('Council Entry'!AY$6-'Council Entry'!AY$5),10*((IF('Council Entry'!AY$4="Logarithm",LN(0.001+IF(AND(ISNUMBER('Council Entry'!AY$8),ISNUMBER('Council Entry'!AY$9)),MAX(MIN('Council Entry'!AY61,'Council Entry'!AY$9),'Council Entry'!AY$8),'Council Entry'!AY61)),IF('Council Entry'!AY$4="Exponential",EXP(IF(AND(ISNUMBER('Council Entry'!AY$8),ISNUMBER('Council Entry'!AY$9)),MAX(MIN('Council Entry'!AY61,'Council Entry'!AY$9),'Council Entry'!AY$8),'Council Entry'!AY61)),IF(AND(ISNUMBER('Council Entry'!AY$8),ISNUMBER('Council Entry'!AY$9)),MAX(MIN('Council Entry'!AY61,'Council Entry'!AY$9),'Council Entry'!AY$8),'Council Entry'!AY61))))-'Council Entry'!AY$5)/('Council Entry'!AY$6-'Council Entry'!AY$5)),1))),"No data"))</f>
        <v/>
      </c>
      <c r="AZ61" s="13">
        <f>IF('Council Entry'!AZ61="","",IFERROR(MAX(0,MIN(10,ROUND(IF('Council Entry'!AZ$7="Decrease Risk",10-10*((IF('Council Entry'!AZ$4="Logarithm",LN(0.001+IF(AND(ISNUMBER('Council Entry'!AZ$8),ISNUMBER('Council Entry'!AZ$9)),MAX(MIN('Council Entry'!AZ61,'Council Entry'!AZ$9),'Council Entry'!AZ$8),'Council Entry'!AZ61)),IF('Council Entry'!AZ$4="Exponential",EXP(IF(AND(ISNUMBER('Council Entry'!AZ$8),ISNUMBER('Council Entry'!AZ$9)),MAX(MIN('Council Entry'!AZ61,'Council Entry'!AZ$9),'Council Entry'!AZ$8),'Council Entry'!AZ61)),IF(AND(ISNUMBER('Council Entry'!AZ$8),ISNUMBER('Council Entry'!AZ$9)),MAX(MIN('Council Entry'!AZ61,'Council Entry'!AZ$9),'Council Entry'!AZ$8),'Council Entry'!AZ61))))-'Council Entry'!AZ$5)/('Council Entry'!AZ$6-'Council Entry'!AZ$5),10*((IF('Council Entry'!AZ$4="Logarithm",LN(0.001+IF(AND(ISNUMBER('Council Entry'!AZ$8),ISNUMBER('Council Entry'!AZ$9)),MAX(MIN('Council Entry'!AZ61,'Council Entry'!AZ$9),'Council Entry'!AZ$8),'Council Entry'!AZ61)),IF('Council Entry'!AZ$4="Exponential",EXP(IF(AND(ISNUMBER('Council Entry'!AZ$8),ISNUMBER('Council Entry'!AZ$9)),MAX(MIN('Council Entry'!AZ61,'Council Entry'!AZ$9),'Council Entry'!AZ$8),'Council Entry'!AZ61)),IF(AND(ISNUMBER('Council Entry'!AZ$8),ISNUMBER('Council Entry'!AZ$9)),MAX(MIN('Council Entry'!AZ61,'Council Entry'!AZ$9),'Council Entry'!AZ$8),'Council Entry'!AZ61))))-'Council Entry'!AZ$5)/('Council Entry'!AZ$6-'Council Entry'!AZ$5)),1))),"No data"))</f>
        <v/>
      </c>
      <c r="BA61" s="13">
        <f>IF('Council Entry'!BA61="","",IFERROR(MAX(0,MIN(10,ROUND(IF('Council Entry'!BA$7="Decrease Risk",10-10*((IF('Council Entry'!BA$4="Logarithm",LN(0.001+IF(AND(ISNUMBER('Council Entry'!BA$8),ISNUMBER('Council Entry'!BA$9)),MAX(MIN('Council Entry'!BA61,'Council Entry'!BA$9),'Council Entry'!BA$8),'Council Entry'!BA61)),IF('Council Entry'!BA$4="Exponential",EXP(IF(AND(ISNUMBER('Council Entry'!BA$8),ISNUMBER('Council Entry'!BA$9)),MAX(MIN('Council Entry'!BA61,'Council Entry'!BA$9),'Council Entry'!BA$8),'Council Entry'!BA61)),IF(AND(ISNUMBER('Council Entry'!BA$8),ISNUMBER('Council Entry'!BA$9)),MAX(MIN('Council Entry'!BA61,'Council Entry'!BA$9),'Council Entry'!BA$8),'Council Entry'!BA61))))-'Council Entry'!BA$5)/('Council Entry'!BA$6-'Council Entry'!BA$5),10*((IF('Council Entry'!BA$4="Logarithm",LN(0.001+IF(AND(ISNUMBER('Council Entry'!BA$8),ISNUMBER('Council Entry'!BA$9)),MAX(MIN('Council Entry'!BA61,'Council Entry'!BA$9),'Council Entry'!BA$8),'Council Entry'!BA61)),IF('Council Entry'!BA$4="Exponential",EXP(IF(AND(ISNUMBER('Council Entry'!BA$8),ISNUMBER('Council Entry'!BA$9)),MAX(MIN('Council Entry'!BA61,'Council Entry'!BA$9),'Council Entry'!BA$8),'Council Entry'!BA61)),IF(AND(ISNUMBER('Council Entry'!BA$8),ISNUMBER('Council Entry'!BA$9)),MAX(MIN('Council Entry'!BA61,'Council Entry'!BA$9),'Council Entry'!BA$8),'Council Entry'!BA61))))-'Council Entry'!BA$5)/('Council Entry'!BA$6-'Council Entry'!BA$5)),1))),"No data"))</f>
        <v/>
      </c>
      <c r="BB61" s="13">
        <f>IF('Council Entry'!BB61="","",IFERROR(MAX(0,MIN(10,ROUND(IF('Council Entry'!BB$7="Decrease Risk",10-10*((IF('Council Entry'!BB$4="Logarithm",LN(0.001+IF(AND(ISNUMBER('Council Entry'!BB$8),ISNUMBER('Council Entry'!BB$9)),MAX(MIN('Council Entry'!BB61,'Council Entry'!BB$9),'Council Entry'!BB$8),'Council Entry'!BB61)),IF('Council Entry'!BB$4="Exponential",EXP(IF(AND(ISNUMBER('Council Entry'!BB$8),ISNUMBER('Council Entry'!BB$9)),MAX(MIN('Council Entry'!BB61,'Council Entry'!BB$9),'Council Entry'!BB$8),'Council Entry'!BB61)),IF(AND(ISNUMBER('Council Entry'!BB$8),ISNUMBER('Council Entry'!BB$9)),MAX(MIN('Council Entry'!BB61,'Council Entry'!BB$9),'Council Entry'!BB$8),'Council Entry'!BB61))))-'Council Entry'!BB$5)/('Council Entry'!BB$6-'Council Entry'!BB$5),10*((IF('Council Entry'!BB$4="Logarithm",LN(0.001+IF(AND(ISNUMBER('Council Entry'!BB$8),ISNUMBER('Council Entry'!BB$9)),MAX(MIN('Council Entry'!BB61,'Council Entry'!BB$9),'Council Entry'!BB$8),'Council Entry'!BB61)),IF('Council Entry'!BB$4="Exponential",EXP(IF(AND(ISNUMBER('Council Entry'!BB$8),ISNUMBER('Council Entry'!BB$9)),MAX(MIN('Council Entry'!BB61,'Council Entry'!BB$9),'Council Entry'!BB$8),'Council Entry'!BB61)),IF(AND(ISNUMBER('Council Entry'!BB$8),ISNUMBER('Council Entry'!BB$9)),MAX(MIN('Council Entry'!BB61,'Council Entry'!BB$9),'Council Entry'!BB$8),'Council Entry'!BB61))))-'Council Entry'!BB$5)/('Council Entry'!BB$6-'Council Entry'!BB$5)),1))),"No data"))</f>
        <v/>
      </c>
      <c r="BC61" s="13">
        <f>IF('Council Entry'!BC61="","",IFERROR(MAX(0,MIN(10,ROUND(IF('Council Entry'!BC$7="Decrease Risk",10-10*((IF('Council Entry'!BC$4="Logarithm",LN(0.001+IF(AND(ISNUMBER('Council Entry'!BC$8),ISNUMBER('Council Entry'!BC$9)),MAX(MIN('Council Entry'!BC61,'Council Entry'!BC$9),'Council Entry'!BC$8),'Council Entry'!BC61)),IF('Council Entry'!BC$4="Exponential",EXP(IF(AND(ISNUMBER('Council Entry'!BC$8),ISNUMBER('Council Entry'!BC$9)),MAX(MIN('Council Entry'!BC61,'Council Entry'!BC$9),'Council Entry'!BC$8),'Council Entry'!BC61)),IF(AND(ISNUMBER('Council Entry'!BC$8),ISNUMBER('Council Entry'!BC$9)),MAX(MIN('Council Entry'!BC61,'Council Entry'!BC$9),'Council Entry'!BC$8),'Council Entry'!BC61))))-'Council Entry'!BC$5)/('Council Entry'!BC$6-'Council Entry'!BC$5),10*((IF('Council Entry'!BC$4="Logarithm",LN(0.001+IF(AND(ISNUMBER('Council Entry'!BC$8),ISNUMBER('Council Entry'!BC$9)),MAX(MIN('Council Entry'!BC61,'Council Entry'!BC$9),'Council Entry'!BC$8),'Council Entry'!BC61)),IF('Council Entry'!BC$4="Exponential",EXP(IF(AND(ISNUMBER('Council Entry'!BC$8),ISNUMBER('Council Entry'!BC$9)),MAX(MIN('Council Entry'!BC61,'Council Entry'!BC$9),'Council Entry'!BC$8),'Council Entry'!BC61)),IF(AND(ISNUMBER('Council Entry'!BC$8),ISNUMBER('Council Entry'!BC$9)),MAX(MIN('Council Entry'!BC61,'Council Entry'!BC$9),'Council Entry'!BC$8),'Council Entry'!BC61))))-'Council Entry'!BC$5)/('Council Entry'!BC$6-'Council Entry'!BC$5)),1))),"No data"))</f>
        <v/>
      </c>
      <c r="BD61" s="13">
        <f>IF('Council Entry'!BD61="","",IFERROR(MAX(0,MIN(10,ROUND(IF('Council Entry'!BD$7="Decrease Risk",10-10*((IF('Council Entry'!BD$4="Logarithm",LN(0.001+IF(AND(ISNUMBER('Council Entry'!BD$8),ISNUMBER('Council Entry'!BD$9)),MAX(MIN('Council Entry'!BD61,'Council Entry'!BD$9),'Council Entry'!BD$8),'Council Entry'!BD61)),IF('Council Entry'!BD$4="Exponential",EXP(IF(AND(ISNUMBER('Council Entry'!BD$8),ISNUMBER('Council Entry'!BD$9)),MAX(MIN('Council Entry'!BD61,'Council Entry'!BD$9),'Council Entry'!BD$8),'Council Entry'!BD61)),IF(AND(ISNUMBER('Council Entry'!BD$8),ISNUMBER('Council Entry'!BD$9)),MAX(MIN('Council Entry'!BD61,'Council Entry'!BD$9),'Council Entry'!BD$8),'Council Entry'!BD61))))-'Council Entry'!BD$5)/('Council Entry'!BD$6-'Council Entry'!BD$5),10*((IF('Council Entry'!BD$4="Logarithm",LN(0.001+IF(AND(ISNUMBER('Council Entry'!BD$8),ISNUMBER('Council Entry'!BD$9)),MAX(MIN('Council Entry'!BD61,'Council Entry'!BD$9),'Council Entry'!BD$8),'Council Entry'!BD61)),IF('Council Entry'!BD$4="Exponential",EXP(IF(AND(ISNUMBER('Council Entry'!BD$8),ISNUMBER('Council Entry'!BD$9)),MAX(MIN('Council Entry'!BD61,'Council Entry'!BD$9),'Council Entry'!BD$8),'Council Entry'!BD61)),IF(AND(ISNUMBER('Council Entry'!BD$8),ISNUMBER('Council Entry'!BD$9)),MAX(MIN('Council Entry'!BD61,'Council Entry'!BD$9),'Council Entry'!BD$8),'Council Entry'!BD61))))-'Council Entry'!BD$5)/('Council Entry'!BD$6-'Council Entry'!BD$5)),1))),"No data"))</f>
        <v/>
      </c>
    </row>
    <row r="62">
      <c r="A62" t="inlineStr">
        <is>
          <t>Kigoma</t>
        </is>
      </c>
      <c r="B62" t="inlineStr">
        <is>
          <t>Kasulu Town</t>
        </is>
      </c>
      <c r="C62" t="inlineStr">
        <is>
          <t>C113</t>
        </is>
      </c>
      <c r="D62" s="13">
        <f>IF('Council Entry'!D62="","",IFERROR(MAX(0,MIN(10,ROUND(IF('Council Entry'!D$7="Decrease Risk",10-10*((IF('Council Entry'!D$4="Logarithm",LN(0.001+IF(AND(ISNUMBER('Council Entry'!D$8),ISNUMBER('Council Entry'!D$9)),MAX(MIN('Council Entry'!D62,'Council Entry'!D$9),'Council Entry'!D$8),'Council Entry'!D62)),IF('Council Entry'!D$4="Exponential",EXP(IF(AND(ISNUMBER('Council Entry'!D$8),ISNUMBER('Council Entry'!D$9)),MAX(MIN('Council Entry'!D62,'Council Entry'!D$9),'Council Entry'!D$8),'Council Entry'!D62)),IF(AND(ISNUMBER('Council Entry'!D$8),ISNUMBER('Council Entry'!D$9)),MAX(MIN('Council Entry'!D62,'Council Entry'!D$9),'Council Entry'!D$8),'Council Entry'!D62))))-'Council Entry'!D$5)/('Council Entry'!D$6-'Council Entry'!D$5),10*((IF('Council Entry'!D$4="Logarithm",LN(0.001+IF(AND(ISNUMBER('Council Entry'!D$8),ISNUMBER('Council Entry'!D$9)),MAX(MIN('Council Entry'!D62,'Council Entry'!D$9),'Council Entry'!D$8),'Council Entry'!D62)),IF('Council Entry'!D$4="Exponential",EXP(IF(AND(ISNUMBER('Council Entry'!D$8),ISNUMBER('Council Entry'!D$9)),MAX(MIN('Council Entry'!D62,'Council Entry'!D$9),'Council Entry'!D$8),'Council Entry'!D62)),IF(AND(ISNUMBER('Council Entry'!D$8),ISNUMBER('Council Entry'!D$9)),MAX(MIN('Council Entry'!D62,'Council Entry'!D$9),'Council Entry'!D$8),'Council Entry'!D62))))-'Council Entry'!D$5)/('Council Entry'!D$6-'Council Entry'!D$5)),1))),"No data"))</f>
        <v/>
      </c>
      <c r="E62" s="13">
        <f>IF('Council Entry'!E62="","",IFERROR(MAX(0,MIN(10,ROUND(IF('Council Entry'!E$7="Decrease Risk",10-10*((IF('Council Entry'!E$4="Logarithm",LN(0.001+IF(AND(ISNUMBER('Council Entry'!E$8),ISNUMBER('Council Entry'!E$9)),MAX(MIN('Council Entry'!E62,'Council Entry'!E$9),'Council Entry'!E$8),'Council Entry'!E62)),IF('Council Entry'!E$4="Exponential",EXP(IF(AND(ISNUMBER('Council Entry'!E$8),ISNUMBER('Council Entry'!E$9)),MAX(MIN('Council Entry'!E62,'Council Entry'!E$9),'Council Entry'!E$8),'Council Entry'!E62)),IF(AND(ISNUMBER('Council Entry'!E$8),ISNUMBER('Council Entry'!E$9)),MAX(MIN('Council Entry'!E62,'Council Entry'!E$9),'Council Entry'!E$8),'Council Entry'!E62))))-'Council Entry'!E$5)/('Council Entry'!E$6-'Council Entry'!E$5),10*((IF('Council Entry'!E$4="Logarithm",LN(0.001+IF(AND(ISNUMBER('Council Entry'!E$8),ISNUMBER('Council Entry'!E$9)),MAX(MIN('Council Entry'!E62,'Council Entry'!E$9),'Council Entry'!E$8),'Council Entry'!E62)),IF('Council Entry'!E$4="Exponential",EXP(IF(AND(ISNUMBER('Council Entry'!E$8),ISNUMBER('Council Entry'!E$9)),MAX(MIN('Council Entry'!E62,'Council Entry'!E$9),'Council Entry'!E$8),'Council Entry'!E62)),IF(AND(ISNUMBER('Council Entry'!E$8),ISNUMBER('Council Entry'!E$9)),MAX(MIN('Council Entry'!E62,'Council Entry'!E$9),'Council Entry'!E$8),'Council Entry'!E62))))-'Council Entry'!E$5)/('Council Entry'!E$6-'Council Entry'!E$5)),1))),"No data"))</f>
        <v/>
      </c>
      <c r="F62" s="13">
        <f>IF('Council Entry'!F62="","",IFERROR(MAX(0,MIN(10,ROUND(IF('Council Entry'!F$7="Decrease Risk",10-10*((IF('Council Entry'!F$4="Logarithm",LN(0.001+IF(AND(ISNUMBER('Council Entry'!F$8),ISNUMBER('Council Entry'!F$9)),MAX(MIN('Council Entry'!F62,'Council Entry'!F$9),'Council Entry'!F$8),'Council Entry'!F62)),IF('Council Entry'!F$4="Exponential",EXP(IF(AND(ISNUMBER('Council Entry'!F$8),ISNUMBER('Council Entry'!F$9)),MAX(MIN('Council Entry'!F62,'Council Entry'!F$9),'Council Entry'!F$8),'Council Entry'!F62)),IF(AND(ISNUMBER('Council Entry'!F$8),ISNUMBER('Council Entry'!F$9)),MAX(MIN('Council Entry'!F62,'Council Entry'!F$9),'Council Entry'!F$8),'Council Entry'!F62))))-'Council Entry'!F$5)/('Council Entry'!F$6-'Council Entry'!F$5),10*((IF('Council Entry'!F$4="Logarithm",LN(0.001+IF(AND(ISNUMBER('Council Entry'!F$8),ISNUMBER('Council Entry'!F$9)),MAX(MIN('Council Entry'!F62,'Council Entry'!F$9),'Council Entry'!F$8),'Council Entry'!F62)),IF('Council Entry'!F$4="Exponential",EXP(IF(AND(ISNUMBER('Council Entry'!F$8),ISNUMBER('Council Entry'!F$9)),MAX(MIN('Council Entry'!F62,'Council Entry'!F$9),'Council Entry'!F$8),'Council Entry'!F62)),IF(AND(ISNUMBER('Council Entry'!F$8),ISNUMBER('Council Entry'!F$9)),MAX(MIN('Council Entry'!F62,'Council Entry'!F$9),'Council Entry'!F$8),'Council Entry'!F62))))-'Council Entry'!F$5)/('Council Entry'!F$6-'Council Entry'!F$5)),1))),"No data"))</f>
        <v/>
      </c>
      <c r="G62" s="13">
        <f>IF('Council Entry'!G62="","",IFERROR(MAX(0,MIN(10,ROUND(IF('Council Entry'!G$7="Decrease Risk",10-10*((IF('Council Entry'!G$4="Logarithm",LN(0.001+IF(AND(ISNUMBER('Council Entry'!G$8),ISNUMBER('Council Entry'!G$9)),MAX(MIN('Council Entry'!G62,'Council Entry'!G$9),'Council Entry'!G$8),'Council Entry'!G62)),IF('Council Entry'!G$4="Exponential",EXP(IF(AND(ISNUMBER('Council Entry'!G$8),ISNUMBER('Council Entry'!G$9)),MAX(MIN('Council Entry'!G62,'Council Entry'!G$9),'Council Entry'!G$8),'Council Entry'!G62)),IF(AND(ISNUMBER('Council Entry'!G$8),ISNUMBER('Council Entry'!G$9)),MAX(MIN('Council Entry'!G62,'Council Entry'!G$9),'Council Entry'!G$8),'Council Entry'!G62))))-'Council Entry'!G$5)/('Council Entry'!G$6-'Council Entry'!G$5),10*((IF('Council Entry'!G$4="Logarithm",LN(0.001+IF(AND(ISNUMBER('Council Entry'!G$8),ISNUMBER('Council Entry'!G$9)),MAX(MIN('Council Entry'!G62,'Council Entry'!G$9),'Council Entry'!G$8),'Council Entry'!G62)),IF('Council Entry'!G$4="Exponential",EXP(IF(AND(ISNUMBER('Council Entry'!G$8),ISNUMBER('Council Entry'!G$9)),MAX(MIN('Council Entry'!G62,'Council Entry'!G$9),'Council Entry'!G$8),'Council Entry'!G62)),IF(AND(ISNUMBER('Council Entry'!G$8),ISNUMBER('Council Entry'!G$9)),MAX(MIN('Council Entry'!G62,'Council Entry'!G$9),'Council Entry'!G$8),'Council Entry'!G62))))-'Council Entry'!G$5)/('Council Entry'!G$6-'Council Entry'!G$5)),1))),"No data"))</f>
        <v/>
      </c>
      <c r="H62" s="13">
        <f>IF('Council Entry'!H62="","",IFERROR(MAX(0,MIN(10,ROUND(IF('Council Entry'!H$7="Decrease Risk",10-10*((IF('Council Entry'!H$4="Logarithm",LN(0.001+IF(AND(ISNUMBER('Council Entry'!H$8),ISNUMBER('Council Entry'!H$9)),MAX(MIN('Council Entry'!H62,'Council Entry'!H$9),'Council Entry'!H$8),'Council Entry'!H62)),IF('Council Entry'!H$4="Exponential",EXP(IF(AND(ISNUMBER('Council Entry'!H$8),ISNUMBER('Council Entry'!H$9)),MAX(MIN('Council Entry'!H62,'Council Entry'!H$9),'Council Entry'!H$8),'Council Entry'!H62)),IF(AND(ISNUMBER('Council Entry'!H$8),ISNUMBER('Council Entry'!H$9)),MAX(MIN('Council Entry'!H62,'Council Entry'!H$9),'Council Entry'!H$8),'Council Entry'!H62))))-'Council Entry'!H$5)/('Council Entry'!H$6-'Council Entry'!H$5),10*((IF('Council Entry'!H$4="Logarithm",LN(0.001+IF(AND(ISNUMBER('Council Entry'!H$8),ISNUMBER('Council Entry'!H$9)),MAX(MIN('Council Entry'!H62,'Council Entry'!H$9),'Council Entry'!H$8),'Council Entry'!H62)),IF('Council Entry'!H$4="Exponential",EXP(IF(AND(ISNUMBER('Council Entry'!H$8),ISNUMBER('Council Entry'!H$9)),MAX(MIN('Council Entry'!H62,'Council Entry'!H$9),'Council Entry'!H$8),'Council Entry'!H62)),IF(AND(ISNUMBER('Council Entry'!H$8),ISNUMBER('Council Entry'!H$9)),MAX(MIN('Council Entry'!H62,'Council Entry'!H$9),'Council Entry'!H$8),'Council Entry'!H62))))-'Council Entry'!H$5)/('Council Entry'!H$6-'Council Entry'!H$5)),1))),"No data"))</f>
        <v/>
      </c>
      <c r="I62" s="13">
        <f>IF('Council Entry'!I62="","",IFERROR(MAX(0,MIN(10,ROUND(IF('Council Entry'!I$7="Decrease Risk",10-10*((IF('Council Entry'!I$4="Logarithm",LN(0.001+IF(AND(ISNUMBER('Council Entry'!I$8),ISNUMBER('Council Entry'!I$9)),MAX(MIN('Council Entry'!I62,'Council Entry'!I$9),'Council Entry'!I$8),'Council Entry'!I62)),IF('Council Entry'!I$4="Exponential",EXP(IF(AND(ISNUMBER('Council Entry'!I$8),ISNUMBER('Council Entry'!I$9)),MAX(MIN('Council Entry'!I62,'Council Entry'!I$9),'Council Entry'!I$8),'Council Entry'!I62)),IF(AND(ISNUMBER('Council Entry'!I$8),ISNUMBER('Council Entry'!I$9)),MAX(MIN('Council Entry'!I62,'Council Entry'!I$9),'Council Entry'!I$8),'Council Entry'!I62))))-'Council Entry'!I$5)/('Council Entry'!I$6-'Council Entry'!I$5),10*((IF('Council Entry'!I$4="Logarithm",LN(0.001+IF(AND(ISNUMBER('Council Entry'!I$8),ISNUMBER('Council Entry'!I$9)),MAX(MIN('Council Entry'!I62,'Council Entry'!I$9),'Council Entry'!I$8),'Council Entry'!I62)),IF('Council Entry'!I$4="Exponential",EXP(IF(AND(ISNUMBER('Council Entry'!I$8),ISNUMBER('Council Entry'!I$9)),MAX(MIN('Council Entry'!I62,'Council Entry'!I$9),'Council Entry'!I$8),'Council Entry'!I62)),IF(AND(ISNUMBER('Council Entry'!I$8),ISNUMBER('Council Entry'!I$9)),MAX(MIN('Council Entry'!I62,'Council Entry'!I$9),'Council Entry'!I$8),'Council Entry'!I62))))-'Council Entry'!I$5)/('Council Entry'!I$6-'Council Entry'!I$5)),1))),"No data"))</f>
        <v/>
      </c>
      <c r="J62" s="13">
        <f>IF('Council Entry'!J62="","",IFERROR(MAX(0,MIN(10,ROUND(IF('Council Entry'!J$7="Decrease Risk",10-10*((IF('Council Entry'!J$4="Logarithm",LN(0.001+IF(AND(ISNUMBER('Council Entry'!J$8),ISNUMBER('Council Entry'!J$9)),MAX(MIN('Council Entry'!J62,'Council Entry'!J$9),'Council Entry'!J$8),'Council Entry'!J62)),IF('Council Entry'!J$4="Exponential",EXP(IF(AND(ISNUMBER('Council Entry'!J$8),ISNUMBER('Council Entry'!J$9)),MAX(MIN('Council Entry'!J62,'Council Entry'!J$9),'Council Entry'!J$8),'Council Entry'!J62)),IF(AND(ISNUMBER('Council Entry'!J$8),ISNUMBER('Council Entry'!J$9)),MAX(MIN('Council Entry'!J62,'Council Entry'!J$9),'Council Entry'!J$8),'Council Entry'!J62))))-'Council Entry'!J$5)/('Council Entry'!J$6-'Council Entry'!J$5),10*((IF('Council Entry'!J$4="Logarithm",LN(0.001+IF(AND(ISNUMBER('Council Entry'!J$8),ISNUMBER('Council Entry'!J$9)),MAX(MIN('Council Entry'!J62,'Council Entry'!J$9),'Council Entry'!J$8),'Council Entry'!J62)),IF('Council Entry'!J$4="Exponential",EXP(IF(AND(ISNUMBER('Council Entry'!J$8),ISNUMBER('Council Entry'!J$9)),MAX(MIN('Council Entry'!J62,'Council Entry'!J$9),'Council Entry'!J$8),'Council Entry'!J62)),IF(AND(ISNUMBER('Council Entry'!J$8),ISNUMBER('Council Entry'!J$9)),MAX(MIN('Council Entry'!J62,'Council Entry'!J$9),'Council Entry'!J$8),'Council Entry'!J62))))-'Council Entry'!J$5)/('Council Entry'!J$6-'Council Entry'!J$5)),1))),"No data"))</f>
        <v/>
      </c>
      <c r="K62" s="13">
        <f>IF('Council Entry'!K62="","",IFERROR(MAX(0,MIN(10,ROUND(IF('Council Entry'!K$7="Decrease Risk",10-10*((IF('Council Entry'!K$4="Logarithm",LN(0.001+IF(AND(ISNUMBER('Council Entry'!K$8),ISNUMBER('Council Entry'!K$9)),MAX(MIN('Council Entry'!K62,'Council Entry'!K$9),'Council Entry'!K$8),'Council Entry'!K62)),IF('Council Entry'!K$4="Exponential",EXP(IF(AND(ISNUMBER('Council Entry'!K$8),ISNUMBER('Council Entry'!K$9)),MAX(MIN('Council Entry'!K62,'Council Entry'!K$9),'Council Entry'!K$8),'Council Entry'!K62)),IF(AND(ISNUMBER('Council Entry'!K$8),ISNUMBER('Council Entry'!K$9)),MAX(MIN('Council Entry'!K62,'Council Entry'!K$9),'Council Entry'!K$8),'Council Entry'!K62))))-'Council Entry'!K$5)/('Council Entry'!K$6-'Council Entry'!K$5),10*((IF('Council Entry'!K$4="Logarithm",LN(0.001+IF(AND(ISNUMBER('Council Entry'!K$8),ISNUMBER('Council Entry'!K$9)),MAX(MIN('Council Entry'!K62,'Council Entry'!K$9),'Council Entry'!K$8),'Council Entry'!K62)),IF('Council Entry'!K$4="Exponential",EXP(IF(AND(ISNUMBER('Council Entry'!K$8),ISNUMBER('Council Entry'!K$9)),MAX(MIN('Council Entry'!K62,'Council Entry'!K$9),'Council Entry'!K$8),'Council Entry'!K62)),IF(AND(ISNUMBER('Council Entry'!K$8),ISNUMBER('Council Entry'!K$9)),MAX(MIN('Council Entry'!K62,'Council Entry'!K$9),'Council Entry'!K$8),'Council Entry'!K62))))-'Council Entry'!K$5)/('Council Entry'!K$6-'Council Entry'!K$5)),1))),"No data"))</f>
        <v/>
      </c>
      <c r="L62" s="13">
        <f>IF('Council Entry'!L62="","",IFERROR(MAX(0,MIN(10,ROUND(IF('Council Entry'!L$7="Decrease Risk",10-10*((IF('Council Entry'!L$4="Logarithm",LN(0.001+IF(AND(ISNUMBER('Council Entry'!L$8),ISNUMBER('Council Entry'!L$9)),MAX(MIN('Council Entry'!L62,'Council Entry'!L$9),'Council Entry'!L$8),'Council Entry'!L62)),IF('Council Entry'!L$4="Exponential",EXP(IF(AND(ISNUMBER('Council Entry'!L$8),ISNUMBER('Council Entry'!L$9)),MAX(MIN('Council Entry'!L62,'Council Entry'!L$9),'Council Entry'!L$8),'Council Entry'!L62)),IF(AND(ISNUMBER('Council Entry'!L$8),ISNUMBER('Council Entry'!L$9)),MAX(MIN('Council Entry'!L62,'Council Entry'!L$9),'Council Entry'!L$8),'Council Entry'!L62))))-'Council Entry'!L$5)/('Council Entry'!L$6-'Council Entry'!L$5),10*((IF('Council Entry'!L$4="Logarithm",LN(0.001+IF(AND(ISNUMBER('Council Entry'!L$8),ISNUMBER('Council Entry'!L$9)),MAX(MIN('Council Entry'!L62,'Council Entry'!L$9),'Council Entry'!L$8),'Council Entry'!L62)),IF('Council Entry'!L$4="Exponential",EXP(IF(AND(ISNUMBER('Council Entry'!L$8),ISNUMBER('Council Entry'!L$9)),MAX(MIN('Council Entry'!L62,'Council Entry'!L$9),'Council Entry'!L$8),'Council Entry'!L62)),IF(AND(ISNUMBER('Council Entry'!L$8),ISNUMBER('Council Entry'!L$9)),MAX(MIN('Council Entry'!L62,'Council Entry'!L$9),'Council Entry'!L$8),'Council Entry'!L62))))-'Council Entry'!L$5)/('Council Entry'!L$6-'Council Entry'!L$5)),1))),"No data"))</f>
        <v/>
      </c>
      <c r="M62" s="13">
        <f>IF('Council Entry'!M62="","",IFERROR(MAX(0,MIN(10,ROUND(IF('Council Entry'!M$7="Decrease Risk",10-10*((IF('Council Entry'!M$4="Logarithm",LN(0.001+IF(AND(ISNUMBER('Council Entry'!M$8),ISNUMBER('Council Entry'!M$9)),MAX(MIN('Council Entry'!M62,'Council Entry'!M$9),'Council Entry'!M$8),'Council Entry'!M62)),IF('Council Entry'!M$4="Exponential",EXP(IF(AND(ISNUMBER('Council Entry'!M$8),ISNUMBER('Council Entry'!M$9)),MAX(MIN('Council Entry'!M62,'Council Entry'!M$9),'Council Entry'!M$8),'Council Entry'!M62)),IF(AND(ISNUMBER('Council Entry'!M$8),ISNUMBER('Council Entry'!M$9)),MAX(MIN('Council Entry'!M62,'Council Entry'!M$9),'Council Entry'!M$8),'Council Entry'!M62))))-'Council Entry'!M$5)/('Council Entry'!M$6-'Council Entry'!M$5),10*((IF('Council Entry'!M$4="Logarithm",LN(0.001+IF(AND(ISNUMBER('Council Entry'!M$8),ISNUMBER('Council Entry'!M$9)),MAX(MIN('Council Entry'!M62,'Council Entry'!M$9),'Council Entry'!M$8),'Council Entry'!M62)),IF('Council Entry'!M$4="Exponential",EXP(IF(AND(ISNUMBER('Council Entry'!M$8),ISNUMBER('Council Entry'!M$9)),MAX(MIN('Council Entry'!M62,'Council Entry'!M$9),'Council Entry'!M$8),'Council Entry'!M62)),IF(AND(ISNUMBER('Council Entry'!M$8),ISNUMBER('Council Entry'!M$9)),MAX(MIN('Council Entry'!M62,'Council Entry'!M$9),'Council Entry'!M$8),'Council Entry'!M62))))-'Council Entry'!M$5)/('Council Entry'!M$6-'Council Entry'!M$5)),1))),"No data"))</f>
        <v/>
      </c>
      <c r="N62" s="13">
        <f>IF('Council Entry'!N62="","",IFERROR(MAX(0,MIN(10,ROUND(IF('Council Entry'!N$7="Decrease Risk",10-10*((IF('Council Entry'!N$4="Logarithm",LN(0.001+IF(AND(ISNUMBER('Council Entry'!N$8),ISNUMBER('Council Entry'!N$9)),MAX(MIN('Council Entry'!N62,'Council Entry'!N$9),'Council Entry'!N$8),'Council Entry'!N62)),IF('Council Entry'!N$4="Exponential",EXP(IF(AND(ISNUMBER('Council Entry'!N$8),ISNUMBER('Council Entry'!N$9)),MAX(MIN('Council Entry'!N62,'Council Entry'!N$9),'Council Entry'!N$8),'Council Entry'!N62)),IF(AND(ISNUMBER('Council Entry'!N$8),ISNUMBER('Council Entry'!N$9)),MAX(MIN('Council Entry'!N62,'Council Entry'!N$9),'Council Entry'!N$8),'Council Entry'!N62))))-'Council Entry'!N$5)/('Council Entry'!N$6-'Council Entry'!N$5),10*((IF('Council Entry'!N$4="Logarithm",LN(0.001+IF(AND(ISNUMBER('Council Entry'!N$8),ISNUMBER('Council Entry'!N$9)),MAX(MIN('Council Entry'!N62,'Council Entry'!N$9),'Council Entry'!N$8),'Council Entry'!N62)),IF('Council Entry'!N$4="Exponential",EXP(IF(AND(ISNUMBER('Council Entry'!N$8),ISNUMBER('Council Entry'!N$9)),MAX(MIN('Council Entry'!N62,'Council Entry'!N$9),'Council Entry'!N$8),'Council Entry'!N62)),IF(AND(ISNUMBER('Council Entry'!N$8),ISNUMBER('Council Entry'!N$9)),MAX(MIN('Council Entry'!N62,'Council Entry'!N$9),'Council Entry'!N$8),'Council Entry'!N62))))-'Council Entry'!N$5)/('Council Entry'!N$6-'Council Entry'!N$5)),1))),"No data"))</f>
        <v/>
      </c>
      <c r="O62" s="13">
        <f>IF('Council Entry'!O62="","",IFERROR(MAX(0,MIN(10,ROUND(IF('Council Entry'!O$7="Decrease Risk",10-10*((IF('Council Entry'!O$4="Logarithm",LN(0.001+IF(AND(ISNUMBER('Council Entry'!O$8),ISNUMBER('Council Entry'!O$9)),MAX(MIN('Council Entry'!O62,'Council Entry'!O$9),'Council Entry'!O$8),'Council Entry'!O62)),IF('Council Entry'!O$4="Exponential",EXP(IF(AND(ISNUMBER('Council Entry'!O$8),ISNUMBER('Council Entry'!O$9)),MAX(MIN('Council Entry'!O62,'Council Entry'!O$9),'Council Entry'!O$8),'Council Entry'!O62)),IF(AND(ISNUMBER('Council Entry'!O$8),ISNUMBER('Council Entry'!O$9)),MAX(MIN('Council Entry'!O62,'Council Entry'!O$9),'Council Entry'!O$8),'Council Entry'!O62))))-'Council Entry'!O$5)/('Council Entry'!O$6-'Council Entry'!O$5),10*((IF('Council Entry'!O$4="Logarithm",LN(0.001+IF(AND(ISNUMBER('Council Entry'!O$8),ISNUMBER('Council Entry'!O$9)),MAX(MIN('Council Entry'!O62,'Council Entry'!O$9),'Council Entry'!O$8),'Council Entry'!O62)),IF('Council Entry'!O$4="Exponential",EXP(IF(AND(ISNUMBER('Council Entry'!O$8),ISNUMBER('Council Entry'!O$9)),MAX(MIN('Council Entry'!O62,'Council Entry'!O$9),'Council Entry'!O$8),'Council Entry'!O62)),IF(AND(ISNUMBER('Council Entry'!O$8),ISNUMBER('Council Entry'!O$9)),MAX(MIN('Council Entry'!O62,'Council Entry'!O$9),'Council Entry'!O$8),'Council Entry'!O62))))-'Council Entry'!O$5)/('Council Entry'!O$6-'Council Entry'!O$5)),1))),"No data"))</f>
        <v/>
      </c>
      <c r="P62" s="13">
        <f>IF('Council Entry'!P62="","",IFERROR(MAX(0,MIN(10,ROUND(IF('Council Entry'!P$7="Decrease Risk",10-10*((IF('Council Entry'!P$4="Logarithm",LN(0.001+IF(AND(ISNUMBER('Council Entry'!P$8),ISNUMBER('Council Entry'!P$9)),MAX(MIN('Council Entry'!P62,'Council Entry'!P$9),'Council Entry'!P$8),'Council Entry'!P62)),IF('Council Entry'!P$4="Exponential",EXP(IF(AND(ISNUMBER('Council Entry'!P$8),ISNUMBER('Council Entry'!P$9)),MAX(MIN('Council Entry'!P62,'Council Entry'!P$9),'Council Entry'!P$8),'Council Entry'!P62)),IF(AND(ISNUMBER('Council Entry'!P$8),ISNUMBER('Council Entry'!P$9)),MAX(MIN('Council Entry'!P62,'Council Entry'!P$9),'Council Entry'!P$8),'Council Entry'!P62))))-'Council Entry'!P$5)/('Council Entry'!P$6-'Council Entry'!P$5),10*((IF('Council Entry'!P$4="Logarithm",LN(0.001+IF(AND(ISNUMBER('Council Entry'!P$8),ISNUMBER('Council Entry'!P$9)),MAX(MIN('Council Entry'!P62,'Council Entry'!P$9),'Council Entry'!P$8),'Council Entry'!P62)),IF('Council Entry'!P$4="Exponential",EXP(IF(AND(ISNUMBER('Council Entry'!P$8),ISNUMBER('Council Entry'!P$9)),MAX(MIN('Council Entry'!P62,'Council Entry'!P$9),'Council Entry'!P$8),'Council Entry'!P62)),IF(AND(ISNUMBER('Council Entry'!P$8),ISNUMBER('Council Entry'!P$9)),MAX(MIN('Council Entry'!P62,'Council Entry'!P$9),'Council Entry'!P$8),'Council Entry'!P62))))-'Council Entry'!P$5)/('Council Entry'!P$6-'Council Entry'!P$5)),1))),"No data"))</f>
        <v/>
      </c>
      <c r="Q62" s="13">
        <f>IF('Council Entry'!Q62="","",IFERROR(MAX(0,MIN(10,ROUND(IF('Council Entry'!Q$7="Decrease Risk",10-10*((IF('Council Entry'!Q$4="Logarithm",LN(0.001+IF(AND(ISNUMBER('Council Entry'!Q$8),ISNUMBER('Council Entry'!Q$9)),MAX(MIN('Council Entry'!Q62,'Council Entry'!Q$9),'Council Entry'!Q$8),'Council Entry'!Q62)),IF('Council Entry'!Q$4="Exponential",EXP(IF(AND(ISNUMBER('Council Entry'!Q$8),ISNUMBER('Council Entry'!Q$9)),MAX(MIN('Council Entry'!Q62,'Council Entry'!Q$9),'Council Entry'!Q$8),'Council Entry'!Q62)),IF(AND(ISNUMBER('Council Entry'!Q$8),ISNUMBER('Council Entry'!Q$9)),MAX(MIN('Council Entry'!Q62,'Council Entry'!Q$9),'Council Entry'!Q$8),'Council Entry'!Q62))))-'Council Entry'!Q$5)/('Council Entry'!Q$6-'Council Entry'!Q$5),10*((IF('Council Entry'!Q$4="Logarithm",LN(0.001+IF(AND(ISNUMBER('Council Entry'!Q$8),ISNUMBER('Council Entry'!Q$9)),MAX(MIN('Council Entry'!Q62,'Council Entry'!Q$9),'Council Entry'!Q$8),'Council Entry'!Q62)),IF('Council Entry'!Q$4="Exponential",EXP(IF(AND(ISNUMBER('Council Entry'!Q$8),ISNUMBER('Council Entry'!Q$9)),MAX(MIN('Council Entry'!Q62,'Council Entry'!Q$9),'Council Entry'!Q$8),'Council Entry'!Q62)),IF(AND(ISNUMBER('Council Entry'!Q$8),ISNUMBER('Council Entry'!Q$9)),MAX(MIN('Council Entry'!Q62,'Council Entry'!Q$9),'Council Entry'!Q$8),'Council Entry'!Q62))))-'Council Entry'!Q$5)/('Council Entry'!Q$6-'Council Entry'!Q$5)),1))),"No data"))</f>
        <v/>
      </c>
      <c r="R62" s="13">
        <f>IF('Council Entry'!R62="","",IFERROR(MAX(0,MIN(10,ROUND(IF('Council Entry'!R$7="Decrease Risk",10-10*((IF('Council Entry'!R$4="Logarithm",LN(0.001+IF(AND(ISNUMBER('Council Entry'!R$8),ISNUMBER('Council Entry'!R$9)),MAX(MIN('Council Entry'!R62,'Council Entry'!R$9),'Council Entry'!R$8),'Council Entry'!R62)),IF('Council Entry'!R$4="Exponential",EXP(IF(AND(ISNUMBER('Council Entry'!R$8),ISNUMBER('Council Entry'!R$9)),MAX(MIN('Council Entry'!R62,'Council Entry'!R$9),'Council Entry'!R$8),'Council Entry'!R62)),IF(AND(ISNUMBER('Council Entry'!R$8),ISNUMBER('Council Entry'!R$9)),MAX(MIN('Council Entry'!R62,'Council Entry'!R$9),'Council Entry'!R$8),'Council Entry'!R62))))-'Council Entry'!R$5)/('Council Entry'!R$6-'Council Entry'!R$5),10*((IF('Council Entry'!R$4="Logarithm",LN(0.001+IF(AND(ISNUMBER('Council Entry'!R$8),ISNUMBER('Council Entry'!R$9)),MAX(MIN('Council Entry'!R62,'Council Entry'!R$9),'Council Entry'!R$8),'Council Entry'!R62)),IF('Council Entry'!R$4="Exponential",EXP(IF(AND(ISNUMBER('Council Entry'!R$8),ISNUMBER('Council Entry'!R$9)),MAX(MIN('Council Entry'!R62,'Council Entry'!R$9),'Council Entry'!R$8),'Council Entry'!R62)),IF(AND(ISNUMBER('Council Entry'!R$8),ISNUMBER('Council Entry'!R$9)),MAX(MIN('Council Entry'!R62,'Council Entry'!R$9),'Council Entry'!R$8),'Council Entry'!R62))))-'Council Entry'!R$5)/('Council Entry'!R$6-'Council Entry'!R$5)),1))),"No data"))</f>
        <v/>
      </c>
      <c r="S62" s="13">
        <f>IF('Council Entry'!S62="","",IFERROR(MAX(0,MIN(10,ROUND(IF('Council Entry'!S$7="Decrease Risk",10-10*((IF('Council Entry'!S$4="Logarithm",LN(0.001+IF(AND(ISNUMBER('Council Entry'!S$8),ISNUMBER('Council Entry'!S$9)),MAX(MIN('Council Entry'!S62,'Council Entry'!S$9),'Council Entry'!S$8),'Council Entry'!S62)),IF('Council Entry'!S$4="Exponential",EXP(IF(AND(ISNUMBER('Council Entry'!S$8),ISNUMBER('Council Entry'!S$9)),MAX(MIN('Council Entry'!S62,'Council Entry'!S$9),'Council Entry'!S$8),'Council Entry'!S62)),IF(AND(ISNUMBER('Council Entry'!S$8),ISNUMBER('Council Entry'!S$9)),MAX(MIN('Council Entry'!S62,'Council Entry'!S$9),'Council Entry'!S$8),'Council Entry'!S62))))-'Council Entry'!S$5)/('Council Entry'!S$6-'Council Entry'!S$5),10*((IF('Council Entry'!S$4="Logarithm",LN(0.001+IF(AND(ISNUMBER('Council Entry'!S$8),ISNUMBER('Council Entry'!S$9)),MAX(MIN('Council Entry'!S62,'Council Entry'!S$9),'Council Entry'!S$8),'Council Entry'!S62)),IF('Council Entry'!S$4="Exponential",EXP(IF(AND(ISNUMBER('Council Entry'!S$8),ISNUMBER('Council Entry'!S$9)),MAX(MIN('Council Entry'!S62,'Council Entry'!S$9),'Council Entry'!S$8),'Council Entry'!S62)),IF(AND(ISNUMBER('Council Entry'!S$8),ISNUMBER('Council Entry'!S$9)),MAX(MIN('Council Entry'!S62,'Council Entry'!S$9),'Council Entry'!S$8),'Council Entry'!S62))))-'Council Entry'!S$5)/('Council Entry'!S$6-'Council Entry'!S$5)),1))),"No data"))</f>
        <v/>
      </c>
      <c r="T62" s="13">
        <f>IF('Council Entry'!T62="","",IFERROR(MAX(0,MIN(10,ROUND(IF('Council Entry'!T$7="Decrease Risk",10-10*((IF('Council Entry'!T$4="Logarithm",LN(0.001+IF(AND(ISNUMBER('Council Entry'!T$8),ISNUMBER('Council Entry'!T$9)),MAX(MIN('Council Entry'!T62,'Council Entry'!T$9),'Council Entry'!T$8),'Council Entry'!T62)),IF('Council Entry'!T$4="Exponential",EXP(IF(AND(ISNUMBER('Council Entry'!T$8),ISNUMBER('Council Entry'!T$9)),MAX(MIN('Council Entry'!T62,'Council Entry'!T$9),'Council Entry'!T$8),'Council Entry'!T62)),IF(AND(ISNUMBER('Council Entry'!T$8),ISNUMBER('Council Entry'!T$9)),MAX(MIN('Council Entry'!T62,'Council Entry'!T$9),'Council Entry'!T$8),'Council Entry'!T62))))-'Council Entry'!T$5)/('Council Entry'!T$6-'Council Entry'!T$5),10*((IF('Council Entry'!T$4="Logarithm",LN(0.001+IF(AND(ISNUMBER('Council Entry'!T$8),ISNUMBER('Council Entry'!T$9)),MAX(MIN('Council Entry'!T62,'Council Entry'!T$9),'Council Entry'!T$8),'Council Entry'!T62)),IF('Council Entry'!T$4="Exponential",EXP(IF(AND(ISNUMBER('Council Entry'!T$8),ISNUMBER('Council Entry'!T$9)),MAX(MIN('Council Entry'!T62,'Council Entry'!T$9),'Council Entry'!T$8),'Council Entry'!T62)),IF(AND(ISNUMBER('Council Entry'!T$8),ISNUMBER('Council Entry'!T$9)),MAX(MIN('Council Entry'!T62,'Council Entry'!T$9),'Council Entry'!T$8),'Council Entry'!T62))))-'Council Entry'!T$5)/('Council Entry'!T$6-'Council Entry'!T$5)),1))),"No data"))</f>
        <v/>
      </c>
      <c r="U62" s="13">
        <f>IF('Council Entry'!U62="","",IFERROR(MAX(0,MIN(10,ROUND(IF('Council Entry'!U$7="Decrease Risk",10-10*((IF('Council Entry'!U$4="Logarithm",LN(0.001+IF(AND(ISNUMBER('Council Entry'!U$8),ISNUMBER('Council Entry'!U$9)),MAX(MIN('Council Entry'!U62,'Council Entry'!U$9),'Council Entry'!U$8),'Council Entry'!U62)),IF('Council Entry'!U$4="Exponential",EXP(IF(AND(ISNUMBER('Council Entry'!U$8),ISNUMBER('Council Entry'!U$9)),MAX(MIN('Council Entry'!U62,'Council Entry'!U$9),'Council Entry'!U$8),'Council Entry'!U62)),IF(AND(ISNUMBER('Council Entry'!U$8),ISNUMBER('Council Entry'!U$9)),MAX(MIN('Council Entry'!U62,'Council Entry'!U$9),'Council Entry'!U$8),'Council Entry'!U62))))-'Council Entry'!U$5)/('Council Entry'!U$6-'Council Entry'!U$5),10*((IF('Council Entry'!U$4="Logarithm",LN(0.001+IF(AND(ISNUMBER('Council Entry'!U$8),ISNUMBER('Council Entry'!U$9)),MAX(MIN('Council Entry'!U62,'Council Entry'!U$9),'Council Entry'!U$8),'Council Entry'!U62)),IF('Council Entry'!U$4="Exponential",EXP(IF(AND(ISNUMBER('Council Entry'!U$8),ISNUMBER('Council Entry'!U$9)),MAX(MIN('Council Entry'!U62,'Council Entry'!U$9),'Council Entry'!U$8),'Council Entry'!U62)),IF(AND(ISNUMBER('Council Entry'!U$8),ISNUMBER('Council Entry'!U$9)),MAX(MIN('Council Entry'!U62,'Council Entry'!U$9),'Council Entry'!U$8),'Council Entry'!U62))))-'Council Entry'!U$5)/('Council Entry'!U$6-'Council Entry'!U$5)),1))),"No data"))</f>
        <v/>
      </c>
      <c r="V62" s="13">
        <f>IF('Council Entry'!V62="","",IFERROR(MAX(0,MIN(10,ROUND(IF('Council Entry'!V$7="Decrease Risk",10-10*((IF('Council Entry'!V$4="Logarithm",LN(0.001+IF(AND(ISNUMBER('Council Entry'!V$8),ISNUMBER('Council Entry'!V$9)),MAX(MIN('Council Entry'!V62,'Council Entry'!V$9),'Council Entry'!V$8),'Council Entry'!V62)),IF('Council Entry'!V$4="Exponential",EXP(IF(AND(ISNUMBER('Council Entry'!V$8),ISNUMBER('Council Entry'!V$9)),MAX(MIN('Council Entry'!V62,'Council Entry'!V$9),'Council Entry'!V$8),'Council Entry'!V62)),IF(AND(ISNUMBER('Council Entry'!V$8),ISNUMBER('Council Entry'!V$9)),MAX(MIN('Council Entry'!V62,'Council Entry'!V$9),'Council Entry'!V$8),'Council Entry'!V62))))-'Council Entry'!V$5)/('Council Entry'!V$6-'Council Entry'!V$5),10*((IF('Council Entry'!V$4="Logarithm",LN(0.001+IF(AND(ISNUMBER('Council Entry'!V$8),ISNUMBER('Council Entry'!V$9)),MAX(MIN('Council Entry'!V62,'Council Entry'!V$9),'Council Entry'!V$8),'Council Entry'!V62)),IF('Council Entry'!V$4="Exponential",EXP(IF(AND(ISNUMBER('Council Entry'!V$8),ISNUMBER('Council Entry'!V$9)),MAX(MIN('Council Entry'!V62,'Council Entry'!V$9),'Council Entry'!V$8),'Council Entry'!V62)),IF(AND(ISNUMBER('Council Entry'!V$8),ISNUMBER('Council Entry'!V$9)),MAX(MIN('Council Entry'!V62,'Council Entry'!V$9),'Council Entry'!V$8),'Council Entry'!V62))))-'Council Entry'!V$5)/('Council Entry'!V$6-'Council Entry'!V$5)),1))),"No data"))</f>
        <v/>
      </c>
      <c r="W62" s="13">
        <f>IF('Council Entry'!W62="","",IFERROR(MAX(0,MIN(10,ROUND(IF('Council Entry'!W$7="Decrease Risk",10-10*((IF('Council Entry'!W$4="Logarithm",LN(0.001+IF(AND(ISNUMBER('Council Entry'!W$8),ISNUMBER('Council Entry'!W$9)),MAX(MIN('Council Entry'!W62,'Council Entry'!W$9),'Council Entry'!W$8),'Council Entry'!W62)),IF('Council Entry'!W$4="Exponential",EXP(IF(AND(ISNUMBER('Council Entry'!W$8),ISNUMBER('Council Entry'!W$9)),MAX(MIN('Council Entry'!W62,'Council Entry'!W$9),'Council Entry'!W$8),'Council Entry'!W62)),IF(AND(ISNUMBER('Council Entry'!W$8),ISNUMBER('Council Entry'!W$9)),MAX(MIN('Council Entry'!W62,'Council Entry'!W$9),'Council Entry'!W$8),'Council Entry'!W62))))-'Council Entry'!W$5)/('Council Entry'!W$6-'Council Entry'!W$5),10*((IF('Council Entry'!W$4="Logarithm",LN(0.001+IF(AND(ISNUMBER('Council Entry'!W$8),ISNUMBER('Council Entry'!W$9)),MAX(MIN('Council Entry'!W62,'Council Entry'!W$9),'Council Entry'!W$8),'Council Entry'!W62)),IF('Council Entry'!W$4="Exponential",EXP(IF(AND(ISNUMBER('Council Entry'!W$8),ISNUMBER('Council Entry'!W$9)),MAX(MIN('Council Entry'!W62,'Council Entry'!W$9),'Council Entry'!W$8),'Council Entry'!W62)),IF(AND(ISNUMBER('Council Entry'!W$8),ISNUMBER('Council Entry'!W$9)),MAX(MIN('Council Entry'!W62,'Council Entry'!W$9),'Council Entry'!W$8),'Council Entry'!W62))))-'Council Entry'!W$5)/('Council Entry'!W$6-'Council Entry'!W$5)),1))),"No data"))</f>
        <v/>
      </c>
      <c r="X62" s="13">
        <f>IF('Council Entry'!X62="","",IFERROR(MAX(0,MIN(10,ROUND(IF('Council Entry'!X$7="Decrease Risk",10-10*((IF('Council Entry'!X$4="Logarithm",LN(0.001+IF(AND(ISNUMBER('Council Entry'!X$8),ISNUMBER('Council Entry'!X$9)),MAX(MIN('Council Entry'!X62,'Council Entry'!X$9),'Council Entry'!X$8),'Council Entry'!X62)),IF('Council Entry'!X$4="Exponential",EXP(IF(AND(ISNUMBER('Council Entry'!X$8),ISNUMBER('Council Entry'!X$9)),MAX(MIN('Council Entry'!X62,'Council Entry'!X$9),'Council Entry'!X$8),'Council Entry'!X62)),IF(AND(ISNUMBER('Council Entry'!X$8),ISNUMBER('Council Entry'!X$9)),MAX(MIN('Council Entry'!X62,'Council Entry'!X$9),'Council Entry'!X$8),'Council Entry'!X62))))-'Council Entry'!X$5)/('Council Entry'!X$6-'Council Entry'!X$5),10*((IF('Council Entry'!X$4="Logarithm",LN(0.001+IF(AND(ISNUMBER('Council Entry'!X$8),ISNUMBER('Council Entry'!X$9)),MAX(MIN('Council Entry'!X62,'Council Entry'!X$9),'Council Entry'!X$8),'Council Entry'!X62)),IF('Council Entry'!X$4="Exponential",EXP(IF(AND(ISNUMBER('Council Entry'!X$8),ISNUMBER('Council Entry'!X$9)),MAX(MIN('Council Entry'!X62,'Council Entry'!X$9),'Council Entry'!X$8),'Council Entry'!X62)),IF(AND(ISNUMBER('Council Entry'!X$8),ISNUMBER('Council Entry'!X$9)),MAX(MIN('Council Entry'!X62,'Council Entry'!X$9),'Council Entry'!X$8),'Council Entry'!X62))))-'Council Entry'!X$5)/('Council Entry'!X$6-'Council Entry'!X$5)),1))),"No data"))</f>
        <v/>
      </c>
      <c r="Y62" s="13">
        <f>IF('Council Entry'!Y62="","",IFERROR(MAX(0,MIN(10,ROUND(IF('Council Entry'!Y$7="Decrease Risk",10-10*((IF('Council Entry'!Y$4="Logarithm",LN(0.001+IF(AND(ISNUMBER('Council Entry'!Y$8),ISNUMBER('Council Entry'!Y$9)),MAX(MIN('Council Entry'!Y62,'Council Entry'!Y$9),'Council Entry'!Y$8),'Council Entry'!Y62)),IF('Council Entry'!Y$4="Exponential",EXP(IF(AND(ISNUMBER('Council Entry'!Y$8),ISNUMBER('Council Entry'!Y$9)),MAX(MIN('Council Entry'!Y62,'Council Entry'!Y$9),'Council Entry'!Y$8),'Council Entry'!Y62)),IF(AND(ISNUMBER('Council Entry'!Y$8),ISNUMBER('Council Entry'!Y$9)),MAX(MIN('Council Entry'!Y62,'Council Entry'!Y$9),'Council Entry'!Y$8),'Council Entry'!Y62))))-'Council Entry'!Y$5)/('Council Entry'!Y$6-'Council Entry'!Y$5),10*((IF('Council Entry'!Y$4="Logarithm",LN(0.001+IF(AND(ISNUMBER('Council Entry'!Y$8),ISNUMBER('Council Entry'!Y$9)),MAX(MIN('Council Entry'!Y62,'Council Entry'!Y$9),'Council Entry'!Y$8),'Council Entry'!Y62)),IF('Council Entry'!Y$4="Exponential",EXP(IF(AND(ISNUMBER('Council Entry'!Y$8),ISNUMBER('Council Entry'!Y$9)),MAX(MIN('Council Entry'!Y62,'Council Entry'!Y$9),'Council Entry'!Y$8),'Council Entry'!Y62)),IF(AND(ISNUMBER('Council Entry'!Y$8),ISNUMBER('Council Entry'!Y$9)),MAX(MIN('Council Entry'!Y62,'Council Entry'!Y$9),'Council Entry'!Y$8),'Council Entry'!Y62))))-'Council Entry'!Y$5)/('Council Entry'!Y$6-'Council Entry'!Y$5)),1))),"No data"))</f>
        <v/>
      </c>
      <c r="Z62" s="13">
        <f>IF('Council Entry'!Z62="","",IFERROR(MAX(0,MIN(10,ROUND(IF('Council Entry'!Z$7="Decrease Risk",10-10*((IF('Council Entry'!Z$4="Logarithm",LN(0.001+IF(AND(ISNUMBER('Council Entry'!Z$8),ISNUMBER('Council Entry'!Z$9)),MAX(MIN('Council Entry'!Z62,'Council Entry'!Z$9),'Council Entry'!Z$8),'Council Entry'!Z62)),IF('Council Entry'!Z$4="Exponential",EXP(IF(AND(ISNUMBER('Council Entry'!Z$8),ISNUMBER('Council Entry'!Z$9)),MAX(MIN('Council Entry'!Z62,'Council Entry'!Z$9),'Council Entry'!Z$8),'Council Entry'!Z62)),IF(AND(ISNUMBER('Council Entry'!Z$8),ISNUMBER('Council Entry'!Z$9)),MAX(MIN('Council Entry'!Z62,'Council Entry'!Z$9),'Council Entry'!Z$8),'Council Entry'!Z62))))-'Council Entry'!Z$5)/('Council Entry'!Z$6-'Council Entry'!Z$5),10*((IF('Council Entry'!Z$4="Logarithm",LN(0.001+IF(AND(ISNUMBER('Council Entry'!Z$8),ISNUMBER('Council Entry'!Z$9)),MAX(MIN('Council Entry'!Z62,'Council Entry'!Z$9),'Council Entry'!Z$8),'Council Entry'!Z62)),IF('Council Entry'!Z$4="Exponential",EXP(IF(AND(ISNUMBER('Council Entry'!Z$8),ISNUMBER('Council Entry'!Z$9)),MAX(MIN('Council Entry'!Z62,'Council Entry'!Z$9),'Council Entry'!Z$8),'Council Entry'!Z62)),IF(AND(ISNUMBER('Council Entry'!Z$8),ISNUMBER('Council Entry'!Z$9)),MAX(MIN('Council Entry'!Z62,'Council Entry'!Z$9),'Council Entry'!Z$8),'Council Entry'!Z62))))-'Council Entry'!Z$5)/('Council Entry'!Z$6-'Council Entry'!Z$5)),1))),"No data"))</f>
        <v/>
      </c>
      <c r="AA62" s="13">
        <f>IF('Council Entry'!AA62="","",IFERROR(MAX(0,MIN(10,ROUND(IF('Council Entry'!AA$7="Decrease Risk",10-10*((IF('Council Entry'!AA$4="Logarithm",LN(0.001+IF(AND(ISNUMBER('Council Entry'!AA$8),ISNUMBER('Council Entry'!AA$9)),MAX(MIN('Council Entry'!AA62,'Council Entry'!AA$9),'Council Entry'!AA$8),'Council Entry'!AA62)),IF('Council Entry'!AA$4="Exponential",EXP(IF(AND(ISNUMBER('Council Entry'!AA$8),ISNUMBER('Council Entry'!AA$9)),MAX(MIN('Council Entry'!AA62,'Council Entry'!AA$9),'Council Entry'!AA$8),'Council Entry'!AA62)),IF(AND(ISNUMBER('Council Entry'!AA$8),ISNUMBER('Council Entry'!AA$9)),MAX(MIN('Council Entry'!AA62,'Council Entry'!AA$9),'Council Entry'!AA$8),'Council Entry'!AA62))))-'Council Entry'!AA$5)/('Council Entry'!AA$6-'Council Entry'!AA$5),10*((IF('Council Entry'!AA$4="Logarithm",LN(0.001+IF(AND(ISNUMBER('Council Entry'!AA$8),ISNUMBER('Council Entry'!AA$9)),MAX(MIN('Council Entry'!AA62,'Council Entry'!AA$9),'Council Entry'!AA$8),'Council Entry'!AA62)),IF('Council Entry'!AA$4="Exponential",EXP(IF(AND(ISNUMBER('Council Entry'!AA$8),ISNUMBER('Council Entry'!AA$9)),MAX(MIN('Council Entry'!AA62,'Council Entry'!AA$9),'Council Entry'!AA$8),'Council Entry'!AA62)),IF(AND(ISNUMBER('Council Entry'!AA$8),ISNUMBER('Council Entry'!AA$9)),MAX(MIN('Council Entry'!AA62,'Council Entry'!AA$9),'Council Entry'!AA$8),'Council Entry'!AA62))))-'Council Entry'!AA$5)/('Council Entry'!AA$6-'Council Entry'!AA$5)),1))),"No data"))</f>
        <v/>
      </c>
      <c r="AB62" s="13">
        <f>IF('Council Entry'!AB62="","",IFERROR(MAX(0,MIN(10,ROUND(IF('Council Entry'!AB$7="Decrease Risk",10-10*((IF('Council Entry'!AB$4="Logarithm",LN(0.001+IF(AND(ISNUMBER('Council Entry'!AB$8),ISNUMBER('Council Entry'!AB$9)),MAX(MIN('Council Entry'!AB62,'Council Entry'!AB$9),'Council Entry'!AB$8),'Council Entry'!AB62)),IF('Council Entry'!AB$4="Exponential",EXP(IF(AND(ISNUMBER('Council Entry'!AB$8),ISNUMBER('Council Entry'!AB$9)),MAX(MIN('Council Entry'!AB62,'Council Entry'!AB$9),'Council Entry'!AB$8),'Council Entry'!AB62)),IF(AND(ISNUMBER('Council Entry'!AB$8),ISNUMBER('Council Entry'!AB$9)),MAX(MIN('Council Entry'!AB62,'Council Entry'!AB$9),'Council Entry'!AB$8),'Council Entry'!AB62))))-'Council Entry'!AB$5)/('Council Entry'!AB$6-'Council Entry'!AB$5),10*((IF('Council Entry'!AB$4="Logarithm",LN(0.001+IF(AND(ISNUMBER('Council Entry'!AB$8),ISNUMBER('Council Entry'!AB$9)),MAX(MIN('Council Entry'!AB62,'Council Entry'!AB$9),'Council Entry'!AB$8),'Council Entry'!AB62)),IF('Council Entry'!AB$4="Exponential",EXP(IF(AND(ISNUMBER('Council Entry'!AB$8),ISNUMBER('Council Entry'!AB$9)),MAX(MIN('Council Entry'!AB62,'Council Entry'!AB$9),'Council Entry'!AB$8),'Council Entry'!AB62)),IF(AND(ISNUMBER('Council Entry'!AB$8),ISNUMBER('Council Entry'!AB$9)),MAX(MIN('Council Entry'!AB62,'Council Entry'!AB$9),'Council Entry'!AB$8),'Council Entry'!AB62))))-'Council Entry'!AB$5)/('Council Entry'!AB$6-'Council Entry'!AB$5)),1))),"No data"))</f>
        <v/>
      </c>
      <c r="AC62" s="13">
        <f>IF('Council Entry'!AC62="","",IFERROR(MAX(0,MIN(10,ROUND(IF('Council Entry'!AC$7="Decrease Risk",10-10*((IF('Council Entry'!AC$4="Logarithm",LN(0.001+IF(AND(ISNUMBER('Council Entry'!AC$8),ISNUMBER('Council Entry'!AC$9)),MAX(MIN('Council Entry'!AC62,'Council Entry'!AC$9),'Council Entry'!AC$8),'Council Entry'!AC62)),IF('Council Entry'!AC$4="Exponential",EXP(IF(AND(ISNUMBER('Council Entry'!AC$8),ISNUMBER('Council Entry'!AC$9)),MAX(MIN('Council Entry'!AC62,'Council Entry'!AC$9),'Council Entry'!AC$8),'Council Entry'!AC62)),IF(AND(ISNUMBER('Council Entry'!AC$8),ISNUMBER('Council Entry'!AC$9)),MAX(MIN('Council Entry'!AC62,'Council Entry'!AC$9),'Council Entry'!AC$8),'Council Entry'!AC62))))-'Council Entry'!AC$5)/('Council Entry'!AC$6-'Council Entry'!AC$5),10*((IF('Council Entry'!AC$4="Logarithm",LN(0.001+IF(AND(ISNUMBER('Council Entry'!AC$8),ISNUMBER('Council Entry'!AC$9)),MAX(MIN('Council Entry'!AC62,'Council Entry'!AC$9),'Council Entry'!AC$8),'Council Entry'!AC62)),IF('Council Entry'!AC$4="Exponential",EXP(IF(AND(ISNUMBER('Council Entry'!AC$8),ISNUMBER('Council Entry'!AC$9)),MAX(MIN('Council Entry'!AC62,'Council Entry'!AC$9),'Council Entry'!AC$8),'Council Entry'!AC62)),IF(AND(ISNUMBER('Council Entry'!AC$8),ISNUMBER('Council Entry'!AC$9)),MAX(MIN('Council Entry'!AC62,'Council Entry'!AC$9),'Council Entry'!AC$8),'Council Entry'!AC62))))-'Council Entry'!AC$5)/('Council Entry'!AC$6-'Council Entry'!AC$5)),1))),"No data"))</f>
        <v/>
      </c>
      <c r="AD62" s="13">
        <f>IF('Council Entry'!AD62="","",IFERROR(MAX(0,MIN(10,ROUND(IF('Council Entry'!AD$7="Decrease Risk",10-10*((IF('Council Entry'!AD$4="Logarithm",LN(0.001+IF(AND(ISNUMBER('Council Entry'!AD$8),ISNUMBER('Council Entry'!AD$9)),MAX(MIN('Council Entry'!AD62,'Council Entry'!AD$9),'Council Entry'!AD$8),'Council Entry'!AD62)),IF('Council Entry'!AD$4="Exponential",EXP(IF(AND(ISNUMBER('Council Entry'!AD$8),ISNUMBER('Council Entry'!AD$9)),MAX(MIN('Council Entry'!AD62,'Council Entry'!AD$9),'Council Entry'!AD$8),'Council Entry'!AD62)),IF(AND(ISNUMBER('Council Entry'!AD$8),ISNUMBER('Council Entry'!AD$9)),MAX(MIN('Council Entry'!AD62,'Council Entry'!AD$9),'Council Entry'!AD$8),'Council Entry'!AD62))))-'Council Entry'!AD$5)/('Council Entry'!AD$6-'Council Entry'!AD$5),10*((IF('Council Entry'!AD$4="Logarithm",LN(0.001+IF(AND(ISNUMBER('Council Entry'!AD$8),ISNUMBER('Council Entry'!AD$9)),MAX(MIN('Council Entry'!AD62,'Council Entry'!AD$9),'Council Entry'!AD$8),'Council Entry'!AD62)),IF('Council Entry'!AD$4="Exponential",EXP(IF(AND(ISNUMBER('Council Entry'!AD$8),ISNUMBER('Council Entry'!AD$9)),MAX(MIN('Council Entry'!AD62,'Council Entry'!AD$9),'Council Entry'!AD$8),'Council Entry'!AD62)),IF(AND(ISNUMBER('Council Entry'!AD$8),ISNUMBER('Council Entry'!AD$9)),MAX(MIN('Council Entry'!AD62,'Council Entry'!AD$9),'Council Entry'!AD$8),'Council Entry'!AD62))))-'Council Entry'!AD$5)/('Council Entry'!AD$6-'Council Entry'!AD$5)),1))),"No data"))</f>
        <v/>
      </c>
      <c r="AE62" s="13">
        <f>IF('Council Entry'!AE62="","",IFERROR(MAX(0,MIN(10,ROUND(IF('Council Entry'!AE$7="Decrease Risk",10-10*((IF('Council Entry'!AE$4="Logarithm",LN(0.001+IF(AND(ISNUMBER('Council Entry'!AE$8),ISNUMBER('Council Entry'!AE$9)),MAX(MIN('Council Entry'!AE62,'Council Entry'!AE$9),'Council Entry'!AE$8),'Council Entry'!AE62)),IF('Council Entry'!AE$4="Exponential",EXP(IF(AND(ISNUMBER('Council Entry'!AE$8),ISNUMBER('Council Entry'!AE$9)),MAX(MIN('Council Entry'!AE62,'Council Entry'!AE$9),'Council Entry'!AE$8),'Council Entry'!AE62)),IF(AND(ISNUMBER('Council Entry'!AE$8),ISNUMBER('Council Entry'!AE$9)),MAX(MIN('Council Entry'!AE62,'Council Entry'!AE$9),'Council Entry'!AE$8),'Council Entry'!AE62))))-'Council Entry'!AE$5)/('Council Entry'!AE$6-'Council Entry'!AE$5),10*((IF('Council Entry'!AE$4="Logarithm",LN(0.001+IF(AND(ISNUMBER('Council Entry'!AE$8),ISNUMBER('Council Entry'!AE$9)),MAX(MIN('Council Entry'!AE62,'Council Entry'!AE$9),'Council Entry'!AE$8),'Council Entry'!AE62)),IF('Council Entry'!AE$4="Exponential",EXP(IF(AND(ISNUMBER('Council Entry'!AE$8),ISNUMBER('Council Entry'!AE$9)),MAX(MIN('Council Entry'!AE62,'Council Entry'!AE$9),'Council Entry'!AE$8),'Council Entry'!AE62)),IF(AND(ISNUMBER('Council Entry'!AE$8),ISNUMBER('Council Entry'!AE$9)),MAX(MIN('Council Entry'!AE62,'Council Entry'!AE$9),'Council Entry'!AE$8),'Council Entry'!AE62))))-'Council Entry'!AE$5)/('Council Entry'!AE$6-'Council Entry'!AE$5)),1))),"No data"))</f>
        <v/>
      </c>
      <c r="AF62" s="13">
        <f>IF('Council Entry'!AF62="","",IFERROR(MAX(0,MIN(10,ROUND(IF('Council Entry'!AF$7="Decrease Risk",10-10*((IF('Council Entry'!AF$4="Logarithm",LN(0.001+IF(AND(ISNUMBER('Council Entry'!AF$8),ISNUMBER('Council Entry'!AF$9)),MAX(MIN('Council Entry'!AF62,'Council Entry'!AF$9),'Council Entry'!AF$8),'Council Entry'!AF62)),IF('Council Entry'!AF$4="Exponential",EXP(IF(AND(ISNUMBER('Council Entry'!AF$8),ISNUMBER('Council Entry'!AF$9)),MAX(MIN('Council Entry'!AF62,'Council Entry'!AF$9),'Council Entry'!AF$8),'Council Entry'!AF62)),IF(AND(ISNUMBER('Council Entry'!AF$8),ISNUMBER('Council Entry'!AF$9)),MAX(MIN('Council Entry'!AF62,'Council Entry'!AF$9),'Council Entry'!AF$8),'Council Entry'!AF62))))-'Council Entry'!AF$5)/('Council Entry'!AF$6-'Council Entry'!AF$5),10*((IF('Council Entry'!AF$4="Logarithm",LN(0.001+IF(AND(ISNUMBER('Council Entry'!AF$8),ISNUMBER('Council Entry'!AF$9)),MAX(MIN('Council Entry'!AF62,'Council Entry'!AF$9),'Council Entry'!AF$8),'Council Entry'!AF62)),IF('Council Entry'!AF$4="Exponential",EXP(IF(AND(ISNUMBER('Council Entry'!AF$8),ISNUMBER('Council Entry'!AF$9)),MAX(MIN('Council Entry'!AF62,'Council Entry'!AF$9),'Council Entry'!AF$8),'Council Entry'!AF62)),IF(AND(ISNUMBER('Council Entry'!AF$8),ISNUMBER('Council Entry'!AF$9)),MAX(MIN('Council Entry'!AF62,'Council Entry'!AF$9),'Council Entry'!AF$8),'Council Entry'!AF62))))-'Council Entry'!AF$5)/('Council Entry'!AF$6-'Council Entry'!AF$5)),1))),"No data"))</f>
        <v/>
      </c>
      <c r="AG62" s="13">
        <f>IF('Council Entry'!AG62="","",IFERROR(MAX(0,MIN(10,ROUND(IF('Council Entry'!AG$7="Decrease Risk",10-10*((IF('Council Entry'!AG$4="Logarithm",LN(0.001+IF(AND(ISNUMBER('Council Entry'!AG$8),ISNUMBER('Council Entry'!AG$9)),MAX(MIN('Council Entry'!AG62,'Council Entry'!AG$9),'Council Entry'!AG$8),'Council Entry'!AG62)),IF('Council Entry'!AG$4="Exponential",EXP(IF(AND(ISNUMBER('Council Entry'!AG$8),ISNUMBER('Council Entry'!AG$9)),MAX(MIN('Council Entry'!AG62,'Council Entry'!AG$9),'Council Entry'!AG$8),'Council Entry'!AG62)),IF(AND(ISNUMBER('Council Entry'!AG$8),ISNUMBER('Council Entry'!AG$9)),MAX(MIN('Council Entry'!AG62,'Council Entry'!AG$9),'Council Entry'!AG$8),'Council Entry'!AG62))))-'Council Entry'!AG$5)/('Council Entry'!AG$6-'Council Entry'!AG$5),10*((IF('Council Entry'!AG$4="Logarithm",LN(0.001+IF(AND(ISNUMBER('Council Entry'!AG$8),ISNUMBER('Council Entry'!AG$9)),MAX(MIN('Council Entry'!AG62,'Council Entry'!AG$9),'Council Entry'!AG$8),'Council Entry'!AG62)),IF('Council Entry'!AG$4="Exponential",EXP(IF(AND(ISNUMBER('Council Entry'!AG$8),ISNUMBER('Council Entry'!AG$9)),MAX(MIN('Council Entry'!AG62,'Council Entry'!AG$9),'Council Entry'!AG$8),'Council Entry'!AG62)),IF(AND(ISNUMBER('Council Entry'!AG$8),ISNUMBER('Council Entry'!AG$9)),MAX(MIN('Council Entry'!AG62,'Council Entry'!AG$9),'Council Entry'!AG$8),'Council Entry'!AG62))))-'Council Entry'!AG$5)/('Council Entry'!AG$6-'Council Entry'!AG$5)),1))),"No data"))</f>
        <v/>
      </c>
      <c r="AH62" s="13">
        <f>IF('Council Entry'!AH62="","",IFERROR(MAX(0,MIN(10,ROUND(IF('Council Entry'!AH$7="Decrease Risk",10-10*((IF('Council Entry'!AH$4="Logarithm",LN(0.001+IF(AND(ISNUMBER('Council Entry'!AH$8),ISNUMBER('Council Entry'!AH$9)),MAX(MIN('Council Entry'!AH62,'Council Entry'!AH$9),'Council Entry'!AH$8),'Council Entry'!AH62)),IF('Council Entry'!AH$4="Exponential",EXP(IF(AND(ISNUMBER('Council Entry'!AH$8),ISNUMBER('Council Entry'!AH$9)),MAX(MIN('Council Entry'!AH62,'Council Entry'!AH$9),'Council Entry'!AH$8),'Council Entry'!AH62)),IF(AND(ISNUMBER('Council Entry'!AH$8),ISNUMBER('Council Entry'!AH$9)),MAX(MIN('Council Entry'!AH62,'Council Entry'!AH$9),'Council Entry'!AH$8),'Council Entry'!AH62))))-'Council Entry'!AH$5)/('Council Entry'!AH$6-'Council Entry'!AH$5),10*((IF('Council Entry'!AH$4="Logarithm",LN(0.001+IF(AND(ISNUMBER('Council Entry'!AH$8),ISNUMBER('Council Entry'!AH$9)),MAX(MIN('Council Entry'!AH62,'Council Entry'!AH$9),'Council Entry'!AH$8),'Council Entry'!AH62)),IF('Council Entry'!AH$4="Exponential",EXP(IF(AND(ISNUMBER('Council Entry'!AH$8),ISNUMBER('Council Entry'!AH$9)),MAX(MIN('Council Entry'!AH62,'Council Entry'!AH$9),'Council Entry'!AH$8),'Council Entry'!AH62)),IF(AND(ISNUMBER('Council Entry'!AH$8),ISNUMBER('Council Entry'!AH$9)),MAX(MIN('Council Entry'!AH62,'Council Entry'!AH$9),'Council Entry'!AH$8),'Council Entry'!AH62))))-'Council Entry'!AH$5)/('Council Entry'!AH$6-'Council Entry'!AH$5)),1))),"No data"))</f>
        <v/>
      </c>
      <c r="AI62" s="13">
        <f>IF('Council Entry'!AI62="","",IFERROR(MAX(0,MIN(10,ROUND(IF('Council Entry'!AI$7="Decrease Risk",10-10*((IF('Council Entry'!AI$4="Logarithm",LN(0.001+IF(AND(ISNUMBER('Council Entry'!AI$8),ISNUMBER('Council Entry'!AI$9)),MAX(MIN('Council Entry'!AI62,'Council Entry'!AI$9),'Council Entry'!AI$8),'Council Entry'!AI62)),IF('Council Entry'!AI$4="Exponential",EXP(IF(AND(ISNUMBER('Council Entry'!AI$8),ISNUMBER('Council Entry'!AI$9)),MAX(MIN('Council Entry'!AI62,'Council Entry'!AI$9),'Council Entry'!AI$8),'Council Entry'!AI62)),IF(AND(ISNUMBER('Council Entry'!AI$8),ISNUMBER('Council Entry'!AI$9)),MAX(MIN('Council Entry'!AI62,'Council Entry'!AI$9),'Council Entry'!AI$8),'Council Entry'!AI62))))-'Council Entry'!AI$5)/('Council Entry'!AI$6-'Council Entry'!AI$5),10*((IF('Council Entry'!AI$4="Logarithm",LN(0.001+IF(AND(ISNUMBER('Council Entry'!AI$8),ISNUMBER('Council Entry'!AI$9)),MAX(MIN('Council Entry'!AI62,'Council Entry'!AI$9),'Council Entry'!AI$8),'Council Entry'!AI62)),IF('Council Entry'!AI$4="Exponential",EXP(IF(AND(ISNUMBER('Council Entry'!AI$8),ISNUMBER('Council Entry'!AI$9)),MAX(MIN('Council Entry'!AI62,'Council Entry'!AI$9),'Council Entry'!AI$8),'Council Entry'!AI62)),IF(AND(ISNUMBER('Council Entry'!AI$8),ISNUMBER('Council Entry'!AI$9)),MAX(MIN('Council Entry'!AI62,'Council Entry'!AI$9),'Council Entry'!AI$8),'Council Entry'!AI62))))-'Council Entry'!AI$5)/('Council Entry'!AI$6-'Council Entry'!AI$5)),1))),"No data"))</f>
        <v/>
      </c>
      <c r="AJ62" s="13">
        <f>IF('Council Entry'!AJ62="","",IFERROR(MAX(0,MIN(10,ROUND(IF('Council Entry'!AJ$7="Decrease Risk",10-10*((IF('Council Entry'!AJ$4="Logarithm",LN(0.001+IF(AND(ISNUMBER('Council Entry'!AJ$8),ISNUMBER('Council Entry'!AJ$9)),MAX(MIN('Council Entry'!AJ62,'Council Entry'!AJ$9),'Council Entry'!AJ$8),'Council Entry'!AJ62)),IF('Council Entry'!AJ$4="Exponential",EXP(IF(AND(ISNUMBER('Council Entry'!AJ$8),ISNUMBER('Council Entry'!AJ$9)),MAX(MIN('Council Entry'!AJ62,'Council Entry'!AJ$9),'Council Entry'!AJ$8),'Council Entry'!AJ62)),IF(AND(ISNUMBER('Council Entry'!AJ$8),ISNUMBER('Council Entry'!AJ$9)),MAX(MIN('Council Entry'!AJ62,'Council Entry'!AJ$9),'Council Entry'!AJ$8),'Council Entry'!AJ62))))-'Council Entry'!AJ$5)/('Council Entry'!AJ$6-'Council Entry'!AJ$5),10*((IF('Council Entry'!AJ$4="Logarithm",LN(0.001+IF(AND(ISNUMBER('Council Entry'!AJ$8),ISNUMBER('Council Entry'!AJ$9)),MAX(MIN('Council Entry'!AJ62,'Council Entry'!AJ$9),'Council Entry'!AJ$8),'Council Entry'!AJ62)),IF('Council Entry'!AJ$4="Exponential",EXP(IF(AND(ISNUMBER('Council Entry'!AJ$8),ISNUMBER('Council Entry'!AJ$9)),MAX(MIN('Council Entry'!AJ62,'Council Entry'!AJ$9),'Council Entry'!AJ$8),'Council Entry'!AJ62)),IF(AND(ISNUMBER('Council Entry'!AJ$8),ISNUMBER('Council Entry'!AJ$9)),MAX(MIN('Council Entry'!AJ62,'Council Entry'!AJ$9),'Council Entry'!AJ$8),'Council Entry'!AJ62))))-'Council Entry'!AJ$5)/('Council Entry'!AJ$6-'Council Entry'!AJ$5)),1))),"No data"))</f>
        <v/>
      </c>
      <c r="AK62" s="13">
        <f>IF('Council Entry'!AK62="","",IFERROR(MAX(0,MIN(10,ROUND(IF('Council Entry'!AK$7="Decrease Risk",10-10*((IF('Council Entry'!AK$4="Logarithm",LN(0.001+IF(AND(ISNUMBER('Council Entry'!AK$8),ISNUMBER('Council Entry'!AK$9)),MAX(MIN('Council Entry'!AK62,'Council Entry'!AK$9),'Council Entry'!AK$8),'Council Entry'!AK62)),IF('Council Entry'!AK$4="Exponential",EXP(IF(AND(ISNUMBER('Council Entry'!AK$8),ISNUMBER('Council Entry'!AK$9)),MAX(MIN('Council Entry'!AK62,'Council Entry'!AK$9),'Council Entry'!AK$8),'Council Entry'!AK62)),IF(AND(ISNUMBER('Council Entry'!AK$8),ISNUMBER('Council Entry'!AK$9)),MAX(MIN('Council Entry'!AK62,'Council Entry'!AK$9),'Council Entry'!AK$8),'Council Entry'!AK62))))-'Council Entry'!AK$5)/('Council Entry'!AK$6-'Council Entry'!AK$5),10*((IF('Council Entry'!AK$4="Logarithm",LN(0.001+IF(AND(ISNUMBER('Council Entry'!AK$8),ISNUMBER('Council Entry'!AK$9)),MAX(MIN('Council Entry'!AK62,'Council Entry'!AK$9),'Council Entry'!AK$8),'Council Entry'!AK62)),IF('Council Entry'!AK$4="Exponential",EXP(IF(AND(ISNUMBER('Council Entry'!AK$8),ISNUMBER('Council Entry'!AK$9)),MAX(MIN('Council Entry'!AK62,'Council Entry'!AK$9),'Council Entry'!AK$8),'Council Entry'!AK62)),IF(AND(ISNUMBER('Council Entry'!AK$8),ISNUMBER('Council Entry'!AK$9)),MAX(MIN('Council Entry'!AK62,'Council Entry'!AK$9),'Council Entry'!AK$8),'Council Entry'!AK62))))-'Council Entry'!AK$5)/('Council Entry'!AK$6-'Council Entry'!AK$5)),1))),"No data"))</f>
        <v/>
      </c>
      <c r="AL62" s="13">
        <f>IF('Council Entry'!AL62="","",IFERROR(MAX(0,MIN(10,ROUND(IF('Council Entry'!AL$7="Decrease Risk",10-10*((IF('Council Entry'!AL$4="Logarithm",LN(0.001+IF(AND(ISNUMBER('Council Entry'!AL$8),ISNUMBER('Council Entry'!AL$9)),MAX(MIN('Council Entry'!AL62,'Council Entry'!AL$9),'Council Entry'!AL$8),'Council Entry'!AL62)),IF('Council Entry'!AL$4="Exponential",EXP(IF(AND(ISNUMBER('Council Entry'!AL$8),ISNUMBER('Council Entry'!AL$9)),MAX(MIN('Council Entry'!AL62,'Council Entry'!AL$9),'Council Entry'!AL$8),'Council Entry'!AL62)),IF(AND(ISNUMBER('Council Entry'!AL$8),ISNUMBER('Council Entry'!AL$9)),MAX(MIN('Council Entry'!AL62,'Council Entry'!AL$9),'Council Entry'!AL$8),'Council Entry'!AL62))))-'Council Entry'!AL$5)/('Council Entry'!AL$6-'Council Entry'!AL$5),10*((IF('Council Entry'!AL$4="Logarithm",LN(0.001+IF(AND(ISNUMBER('Council Entry'!AL$8),ISNUMBER('Council Entry'!AL$9)),MAX(MIN('Council Entry'!AL62,'Council Entry'!AL$9),'Council Entry'!AL$8),'Council Entry'!AL62)),IF('Council Entry'!AL$4="Exponential",EXP(IF(AND(ISNUMBER('Council Entry'!AL$8),ISNUMBER('Council Entry'!AL$9)),MAX(MIN('Council Entry'!AL62,'Council Entry'!AL$9),'Council Entry'!AL$8),'Council Entry'!AL62)),IF(AND(ISNUMBER('Council Entry'!AL$8),ISNUMBER('Council Entry'!AL$9)),MAX(MIN('Council Entry'!AL62,'Council Entry'!AL$9),'Council Entry'!AL$8),'Council Entry'!AL62))))-'Council Entry'!AL$5)/('Council Entry'!AL$6-'Council Entry'!AL$5)),1))),"No data"))</f>
        <v/>
      </c>
      <c r="AM62" s="13">
        <f>IF('Council Entry'!AM62="","",IFERROR(MAX(0,MIN(10,ROUND(IF('Council Entry'!AM$7="Decrease Risk",10-10*((IF('Council Entry'!AM$4="Logarithm",LN(0.001+IF(AND(ISNUMBER('Council Entry'!AM$8),ISNUMBER('Council Entry'!AM$9)),MAX(MIN('Council Entry'!AM62,'Council Entry'!AM$9),'Council Entry'!AM$8),'Council Entry'!AM62)),IF('Council Entry'!AM$4="Exponential",EXP(IF(AND(ISNUMBER('Council Entry'!AM$8),ISNUMBER('Council Entry'!AM$9)),MAX(MIN('Council Entry'!AM62,'Council Entry'!AM$9),'Council Entry'!AM$8),'Council Entry'!AM62)),IF(AND(ISNUMBER('Council Entry'!AM$8),ISNUMBER('Council Entry'!AM$9)),MAX(MIN('Council Entry'!AM62,'Council Entry'!AM$9),'Council Entry'!AM$8),'Council Entry'!AM62))))-'Council Entry'!AM$5)/('Council Entry'!AM$6-'Council Entry'!AM$5),10*((IF('Council Entry'!AM$4="Logarithm",LN(0.001+IF(AND(ISNUMBER('Council Entry'!AM$8),ISNUMBER('Council Entry'!AM$9)),MAX(MIN('Council Entry'!AM62,'Council Entry'!AM$9),'Council Entry'!AM$8),'Council Entry'!AM62)),IF('Council Entry'!AM$4="Exponential",EXP(IF(AND(ISNUMBER('Council Entry'!AM$8),ISNUMBER('Council Entry'!AM$9)),MAX(MIN('Council Entry'!AM62,'Council Entry'!AM$9),'Council Entry'!AM$8),'Council Entry'!AM62)),IF(AND(ISNUMBER('Council Entry'!AM$8),ISNUMBER('Council Entry'!AM$9)),MAX(MIN('Council Entry'!AM62,'Council Entry'!AM$9),'Council Entry'!AM$8),'Council Entry'!AM62))))-'Council Entry'!AM$5)/('Council Entry'!AM$6-'Council Entry'!AM$5)),1))),"No data"))</f>
        <v/>
      </c>
      <c r="AN62" s="13">
        <f>IF('Council Entry'!AN62="","",IFERROR(MAX(0,MIN(10,ROUND(IF('Council Entry'!AN$7="Decrease Risk",10-10*((IF('Council Entry'!AN$4="Logarithm",LN(0.001+IF(AND(ISNUMBER('Council Entry'!AN$8),ISNUMBER('Council Entry'!AN$9)),MAX(MIN('Council Entry'!AN62,'Council Entry'!AN$9),'Council Entry'!AN$8),'Council Entry'!AN62)),IF('Council Entry'!AN$4="Exponential",EXP(IF(AND(ISNUMBER('Council Entry'!AN$8),ISNUMBER('Council Entry'!AN$9)),MAX(MIN('Council Entry'!AN62,'Council Entry'!AN$9),'Council Entry'!AN$8),'Council Entry'!AN62)),IF(AND(ISNUMBER('Council Entry'!AN$8),ISNUMBER('Council Entry'!AN$9)),MAX(MIN('Council Entry'!AN62,'Council Entry'!AN$9),'Council Entry'!AN$8),'Council Entry'!AN62))))-'Council Entry'!AN$5)/('Council Entry'!AN$6-'Council Entry'!AN$5),10*((IF('Council Entry'!AN$4="Logarithm",LN(0.001+IF(AND(ISNUMBER('Council Entry'!AN$8),ISNUMBER('Council Entry'!AN$9)),MAX(MIN('Council Entry'!AN62,'Council Entry'!AN$9),'Council Entry'!AN$8),'Council Entry'!AN62)),IF('Council Entry'!AN$4="Exponential",EXP(IF(AND(ISNUMBER('Council Entry'!AN$8),ISNUMBER('Council Entry'!AN$9)),MAX(MIN('Council Entry'!AN62,'Council Entry'!AN$9),'Council Entry'!AN$8),'Council Entry'!AN62)),IF(AND(ISNUMBER('Council Entry'!AN$8),ISNUMBER('Council Entry'!AN$9)),MAX(MIN('Council Entry'!AN62,'Council Entry'!AN$9),'Council Entry'!AN$8),'Council Entry'!AN62))))-'Council Entry'!AN$5)/('Council Entry'!AN$6-'Council Entry'!AN$5)),1))),"No data"))</f>
        <v/>
      </c>
      <c r="AO62" s="13">
        <f>IF('Council Entry'!AO62="","",IFERROR(MAX(0,MIN(10,ROUND(IF('Council Entry'!AO$7="Decrease Risk",10-10*((IF('Council Entry'!AO$4="Logarithm",LN(0.001+IF(AND(ISNUMBER('Council Entry'!AO$8),ISNUMBER('Council Entry'!AO$9)),MAX(MIN('Council Entry'!AO62,'Council Entry'!AO$9),'Council Entry'!AO$8),'Council Entry'!AO62)),IF('Council Entry'!AO$4="Exponential",EXP(IF(AND(ISNUMBER('Council Entry'!AO$8),ISNUMBER('Council Entry'!AO$9)),MAX(MIN('Council Entry'!AO62,'Council Entry'!AO$9),'Council Entry'!AO$8),'Council Entry'!AO62)),IF(AND(ISNUMBER('Council Entry'!AO$8),ISNUMBER('Council Entry'!AO$9)),MAX(MIN('Council Entry'!AO62,'Council Entry'!AO$9),'Council Entry'!AO$8),'Council Entry'!AO62))))-'Council Entry'!AO$5)/('Council Entry'!AO$6-'Council Entry'!AO$5),10*((IF('Council Entry'!AO$4="Logarithm",LN(0.001+IF(AND(ISNUMBER('Council Entry'!AO$8),ISNUMBER('Council Entry'!AO$9)),MAX(MIN('Council Entry'!AO62,'Council Entry'!AO$9),'Council Entry'!AO$8),'Council Entry'!AO62)),IF('Council Entry'!AO$4="Exponential",EXP(IF(AND(ISNUMBER('Council Entry'!AO$8),ISNUMBER('Council Entry'!AO$9)),MAX(MIN('Council Entry'!AO62,'Council Entry'!AO$9),'Council Entry'!AO$8),'Council Entry'!AO62)),IF(AND(ISNUMBER('Council Entry'!AO$8),ISNUMBER('Council Entry'!AO$9)),MAX(MIN('Council Entry'!AO62,'Council Entry'!AO$9),'Council Entry'!AO$8),'Council Entry'!AO62))))-'Council Entry'!AO$5)/('Council Entry'!AO$6-'Council Entry'!AO$5)),1))),"No data"))</f>
        <v/>
      </c>
      <c r="AP62" s="13">
        <f>IF('Council Entry'!AP62="","",IFERROR(MAX(0,MIN(10,ROUND(IF('Council Entry'!AP$7="Decrease Risk",10-10*((IF('Council Entry'!AP$4="Logarithm",LN(0.001+IF(AND(ISNUMBER('Council Entry'!AP$8),ISNUMBER('Council Entry'!AP$9)),MAX(MIN('Council Entry'!AP62,'Council Entry'!AP$9),'Council Entry'!AP$8),'Council Entry'!AP62)),IF('Council Entry'!AP$4="Exponential",EXP(IF(AND(ISNUMBER('Council Entry'!AP$8),ISNUMBER('Council Entry'!AP$9)),MAX(MIN('Council Entry'!AP62,'Council Entry'!AP$9),'Council Entry'!AP$8),'Council Entry'!AP62)),IF(AND(ISNUMBER('Council Entry'!AP$8),ISNUMBER('Council Entry'!AP$9)),MAX(MIN('Council Entry'!AP62,'Council Entry'!AP$9),'Council Entry'!AP$8),'Council Entry'!AP62))))-'Council Entry'!AP$5)/('Council Entry'!AP$6-'Council Entry'!AP$5),10*((IF('Council Entry'!AP$4="Logarithm",LN(0.001+IF(AND(ISNUMBER('Council Entry'!AP$8),ISNUMBER('Council Entry'!AP$9)),MAX(MIN('Council Entry'!AP62,'Council Entry'!AP$9),'Council Entry'!AP$8),'Council Entry'!AP62)),IF('Council Entry'!AP$4="Exponential",EXP(IF(AND(ISNUMBER('Council Entry'!AP$8),ISNUMBER('Council Entry'!AP$9)),MAX(MIN('Council Entry'!AP62,'Council Entry'!AP$9),'Council Entry'!AP$8),'Council Entry'!AP62)),IF(AND(ISNUMBER('Council Entry'!AP$8),ISNUMBER('Council Entry'!AP$9)),MAX(MIN('Council Entry'!AP62,'Council Entry'!AP$9),'Council Entry'!AP$8),'Council Entry'!AP62))))-'Council Entry'!AP$5)/('Council Entry'!AP$6-'Council Entry'!AP$5)),1))),"No data"))</f>
        <v/>
      </c>
      <c r="AQ62" s="13">
        <f>IF('Council Entry'!AQ62="","",IFERROR(MAX(0,MIN(10,ROUND(IF('Council Entry'!AQ$7="Decrease Risk",10-10*((IF('Council Entry'!AQ$4="Logarithm",LN(0.001+IF(AND(ISNUMBER('Council Entry'!AQ$8),ISNUMBER('Council Entry'!AQ$9)),MAX(MIN('Council Entry'!AQ62,'Council Entry'!AQ$9),'Council Entry'!AQ$8),'Council Entry'!AQ62)),IF('Council Entry'!AQ$4="Exponential",EXP(IF(AND(ISNUMBER('Council Entry'!AQ$8),ISNUMBER('Council Entry'!AQ$9)),MAX(MIN('Council Entry'!AQ62,'Council Entry'!AQ$9),'Council Entry'!AQ$8),'Council Entry'!AQ62)),IF(AND(ISNUMBER('Council Entry'!AQ$8),ISNUMBER('Council Entry'!AQ$9)),MAX(MIN('Council Entry'!AQ62,'Council Entry'!AQ$9),'Council Entry'!AQ$8),'Council Entry'!AQ62))))-'Council Entry'!AQ$5)/('Council Entry'!AQ$6-'Council Entry'!AQ$5),10*((IF('Council Entry'!AQ$4="Logarithm",LN(0.001+IF(AND(ISNUMBER('Council Entry'!AQ$8),ISNUMBER('Council Entry'!AQ$9)),MAX(MIN('Council Entry'!AQ62,'Council Entry'!AQ$9),'Council Entry'!AQ$8),'Council Entry'!AQ62)),IF('Council Entry'!AQ$4="Exponential",EXP(IF(AND(ISNUMBER('Council Entry'!AQ$8),ISNUMBER('Council Entry'!AQ$9)),MAX(MIN('Council Entry'!AQ62,'Council Entry'!AQ$9),'Council Entry'!AQ$8),'Council Entry'!AQ62)),IF(AND(ISNUMBER('Council Entry'!AQ$8),ISNUMBER('Council Entry'!AQ$9)),MAX(MIN('Council Entry'!AQ62,'Council Entry'!AQ$9),'Council Entry'!AQ$8),'Council Entry'!AQ62))))-'Council Entry'!AQ$5)/('Council Entry'!AQ$6-'Council Entry'!AQ$5)),1))),"No data"))</f>
        <v/>
      </c>
      <c r="AR62" s="13">
        <f>IF('Council Entry'!AR62="","",IFERROR(MAX(0,MIN(10,ROUND(IF('Council Entry'!AR$7="Decrease Risk",10-10*((IF('Council Entry'!AR$4="Logarithm",LN(0.001+IF(AND(ISNUMBER('Council Entry'!AR$8),ISNUMBER('Council Entry'!AR$9)),MAX(MIN('Council Entry'!AR62,'Council Entry'!AR$9),'Council Entry'!AR$8),'Council Entry'!AR62)),IF('Council Entry'!AR$4="Exponential",EXP(IF(AND(ISNUMBER('Council Entry'!AR$8),ISNUMBER('Council Entry'!AR$9)),MAX(MIN('Council Entry'!AR62,'Council Entry'!AR$9),'Council Entry'!AR$8),'Council Entry'!AR62)),IF(AND(ISNUMBER('Council Entry'!AR$8),ISNUMBER('Council Entry'!AR$9)),MAX(MIN('Council Entry'!AR62,'Council Entry'!AR$9),'Council Entry'!AR$8),'Council Entry'!AR62))))-'Council Entry'!AR$5)/('Council Entry'!AR$6-'Council Entry'!AR$5),10*((IF('Council Entry'!AR$4="Logarithm",LN(0.001+IF(AND(ISNUMBER('Council Entry'!AR$8),ISNUMBER('Council Entry'!AR$9)),MAX(MIN('Council Entry'!AR62,'Council Entry'!AR$9),'Council Entry'!AR$8),'Council Entry'!AR62)),IF('Council Entry'!AR$4="Exponential",EXP(IF(AND(ISNUMBER('Council Entry'!AR$8),ISNUMBER('Council Entry'!AR$9)),MAX(MIN('Council Entry'!AR62,'Council Entry'!AR$9),'Council Entry'!AR$8),'Council Entry'!AR62)),IF(AND(ISNUMBER('Council Entry'!AR$8),ISNUMBER('Council Entry'!AR$9)),MAX(MIN('Council Entry'!AR62,'Council Entry'!AR$9),'Council Entry'!AR$8),'Council Entry'!AR62))))-'Council Entry'!AR$5)/('Council Entry'!AR$6-'Council Entry'!AR$5)),1))),"No data"))</f>
        <v/>
      </c>
      <c r="AS62" s="13">
        <f>IF('Council Entry'!AS62="","",IFERROR(MAX(0,MIN(10,ROUND(IF('Council Entry'!AS$7="Decrease Risk",10-10*((IF('Council Entry'!AS$4="Logarithm",LN(0.001+IF(AND(ISNUMBER('Council Entry'!AS$8),ISNUMBER('Council Entry'!AS$9)),MAX(MIN('Council Entry'!AS62,'Council Entry'!AS$9),'Council Entry'!AS$8),'Council Entry'!AS62)),IF('Council Entry'!AS$4="Exponential",EXP(IF(AND(ISNUMBER('Council Entry'!AS$8),ISNUMBER('Council Entry'!AS$9)),MAX(MIN('Council Entry'!AS62,'Council Entry'!AS$9),'Council Entry'!AS$8),'Council Entry'!AS62)),IF(AND(ISNUMBER('Council Entry'!AS$8),ISNUMBER('Council Entry'!AS$9)),MAX(MIN('Council Entry'!AS62,'Council Entry'!AS$9),'Council Entry'!AS$8),'Council Entry'!AS62))))-'Council Entry'!AS$5)/('Council Entry'!AS$6-'Council Entry'!AS$5),10*((IF('Council Entry'!AS$4="Logarithm",LN(0.001+IF(AND(ISNUMBER('Council Entry'!AS$8),ISNUMBER('Council Entry'!AS$9)),MAX(MIN('Council Entry'!AS62,'Council Entry'!AS$9),'Council Entry'!AS$8),'Council Entry'!AS62)),IF('Council Entry'!AS$4="Exponential",EXP(IF(AND(ISNUMBER('Council Entry'!AS$8),ISNUMBER('Council Entry'!AS$9)),MAX(MIN('Council Entry'!AS62,'Council Entry'!AS$9),'Council Entry'!AS$8),'Council Entry'!AS62)),IF(AND(ISNUMBER('Council Entry'!AS$8),ISNUMBER('Council Entry'!AS$9)),MAX(MIN('Council Entry'!AS62,'Council Entry'!AS$9),'Council Entry'!AS$8),'Council Entry'!AS62))))-'Council Entry'!AS$5)/('Council Entry'!AS$6-'Council Entry'!AS$5)),1))),"No data"))</f>
        <v/>
      </c>
      <c r="AT62" s="13">
        <f>IF('Council Entry'!AT62="","",IFERROR(MAX(0,MIN(10,ROUND(IF('Council Entry'!AT$7="Decrease Risk",10-10*((IF('Council Entry'!AT$4="Logarithm",LN(0.001+IF(AND(ISNUMBER('Council Entry'!AT$8),ISNUMBER('Council Entry'!AT$9)),MAX(MIN('Council Entry'!AT62,'Council Entry'!AT$9),'Council Entry'!AT$8),'Council Entry'!AT62)),IF('Council Entry'!AT$4="Exponential",EXP(IF(AND(ISNUMBER('Council Entry'!AT$8),ISNUMBER('Council Entry'!AT$9)),MAX(MIN('Council Entry'!AT62,'Council Entry'!AT$9),'Council Entry'!AT$8),'Council Entry'!AT62)),IF(AND(ISNUMBER('Council Entry'!AT$8),ISNUMBER('Council Entry'!AT$9)),MAX(MIN('Council Entry'!AT62,'Council Entry'!AT$9),'Council Entry'!AT$8),'Council Entry'!AT62))))-'Council Entry'!AT$5)/('Council Entry'!AT$6-'Council Entry'!AT$5),10*((IF('Council Entry'!AT$4="Logarithm",LN(0.001+IF(AND(ISNUMBER('Council Entry'!AT$8),ISNUMBER('Council Entry'!AT$9)),MAX(MIN('Council Entry'!AT62,'Council Entry'!AT$9),'Council Entry'!AT$8),'Council Entry'!AT62)),IF('Council Entry'!AT$4="Exponential",EXP(IF(AND(ISNUMBER('Council Entry'!AT$8),ISNUMBER('Council Entry'!AT$9)),MAX(MIN('Council Entry'!AT62,'Council Entry'!AT$9),'Council Entry'!AT$8),'Council Entry'!AT62)),IF(AND(ISNUMBER('Council Entry'!AT$8),ISNUMBER('Council Entry'!AT$9)),MAX(MIN('Council Entry'!AT62,'Council Entry'!AT$9),'Council Entry'!AT$8),'Council Entry'!AT62))))-'Council Entry'!AT$5)/('Council Entry'!AT$6-'Council Entry'!AT$5)),1))),"No data"))</f>
        <v/>
      </c>
      <c r="AU62" s="13">
        <f>IF('Council Entry'!AU62="","",IFERROR(MAX(0,MIN(10,ROUND(IF('Council Entry'!AU$7="Decrease Risk",10-10*((IF('Council Entry'!AU$4="Logarithm",LN(0.001+IF(AND(ISNUMBER('Council Entry'!AU$8),ISNUMBER('Council Entry'!AU$9)),MAX(MIN('Council Entry'!AU62,'Council Entry'!AU$9),'Council Entry'!AU$8),'Council Entry'!AU62)),IF('Council Entry'!AU$4="Exponential",EXP(IF(AND(ISNUMBER('Council Entry'!AU$8),ISNUMBER('Council Entry'!AU$9)),MAX(MIN('Council Entry'!AU62,'Council Entry'!AU$9),'Council Entry'!AU$8),'Council Entry'!AU62)),IF(AND(ISNUMBER('Council Entry'!AU$8),ISNUMBER('Council Entry'!AU$9)),MAX(MIN('Council Entry'!AU62,'Council Entry'!AU$9),'Council Entry'!AU$8),'Council Entry'!AU62))))-'Council Entry'!AU$5)/('Council Entry'!AU$6-'Council Entry'!AU$5),10*((IF('Council Entry'!AU$4="Logarithm",LN(0.001+IF(AND(ISNUMBER('Council Entry'!AU$8),ISNUMBER('Council Entry'!AU$9)),MAX(MIN('Council Entry'!AU62,'Council Entry'!AU$9),'Council Entry'!AU$8),'Council Entry'!AU62)),IF('Council Entry'!AU$4="Exponential",EXP(IF(AND(ISNUMBER('Council Entry'!AU$8),ISNUMBER('Council Entry'!AU$9)),MAX(MIN('Council Entry'!AU62,'Council Entry'!AU$9),'Council Entry'!AU$8),'Council Entry'!AU62)),IF(AND(ISNUMBER('Council Entry'!AU$8),ISNUMBER('Council Entry'!AU$9)),MAX(MIN('Council Entry'!AU62,'Council Entry'!AU$9),'Council Entry'!AU$8),'Council Entry'!AU62))))-'Council Entry'!AU$5)/('Council Entry'!AU$6-'Council Entry'!AU$5)),1))),"No data"))</f>
        <v/>
      </c>
      <c r="AV62" s="13">
        <f>IF('Council Entry'!AV62="","",IFERROR(MAX(0,MIN(10,ROUND(IF('Council Entry'!AV$7="Decrease Risk",10-10*((IF('Council Entry'!AV$4="Logarithm",LN(0.001+IF(AND(ISNUMBER('Council Entry'!AV$8),ISNUMBER('Council Entry'!AV$9)),MAX(MIN('Council Entry'!AV62,'Council Entry'!AV$9),'Council Entry'!AV$8),'Council Entry'!AV62)),IF('Council Entry'!AV$4="Exponential",EXP(IF(AND(ISNUMBER('Council Entry'!AV$8),ISNUMBER('Council Entry'!AV$9)),MAX(MIN('Council Entry'!AV62,'Council Entry'!AV$9),'Council Entry'!AV$8),'Council Entry'!AV62)),IF(AND(ISNUMBER('Council Entry'!AV$8),ISNUMBER('Council Entry'!AV$9)),MAX(MIN('Council Entry'!AV62,'Council Entry'!AV$9),'Council Entry'!AV$8),'Council Entry'!AV62))))-'Council Entry'!AV$5)/('Council Entry'!AV$6-'Council Entry'!AV$5),10*((IF('Council Entry'!AV$4="Logarithm",LN(0.001+IF(AND(ISNUMBER('Council Entry'!AV$8),ISNUMBER('Council Entry'!AV$9)),MAX(MIN('Council Entry'!AV62,'Council Entry'!AV$9),'Council Entry'!AV$8),'Council Entry'!AV62)),IF('Council Entry'!AV$4="Exponential",EXP(IF(AND(ISNUMBER('Council Entry'!AV$8),ISNUMBER('Council Entry'!AV$9)),MAX(MIN('Council Entry'!AV62,'Council Entry'!AV$9),'Council Entry'!AV$8),'Council Entry'!AV62)),IF(AND(ISNUMBER('Council Entry'!AV$8),ISNUMBER('Council Entry'!AV$9)),MAX(MIN('Council Entry'!AV62,'Council Entry'!AV$9),'Council Entry'!AV$8),'Council Entry'!AV62))))-'Council Entry'!AV$5)/('Council Entry'!AV$6-'Council Entry'!AV$5)),1))),"No data"))</f>
        <v/>
      </c>
      <c r="AW62" s="13">
        <f>IF('Council Entry'!AW62="","",IFERROR(MAX(0,MIN(10,ROUND(IF('Council Entry'!AW$7="Decrease Risk",10-10*((IF('Council Entry'!AW$4="Logarithm",LN(0.001+IF(AND(ISNUMBER('Council Entry'!AW$8),ISNUMBER('Council Entry'!AW$9)),MAX(MIN('Council Entry'!AW62,'Council Entry'!AW$9),'Council Entry'!AW$8),'Council Entry'!AW62)),IF('Council Entry'!AW$4="Exponential",EXP(IF(AND(ISNUMBER('Council Entry'!AW$8),ISNUMBER('Council Entry'!AW$9)),MAX(MIN('Council Entry'!AW62,'Council Entry'!AW$9),'Council Entry'!AW$8),'Council Entry'!AW62)),IF(AND(ISNUMBER('Council Entry'!AW$8),ISNUMBER('Council Entry'!AW$9)),MAX(MIN('Council Entry'!AW62,'Council Entry'!AW$9),'Council Entry'!AW$8),'Council Entry'!AW62))))-'Council Entry'!AW$5)/('Council Entry'!AW$6-'Council Entry'!AW$5),10*((IF('Council Entry'!AW$4="Logarithm",LN(0.001+IF(AND(ISNUMBER('Council Entry'!AW$8),ISNUMBER('Council Entry'!AW$9)),MAX(MIN('Council Entry'!AW62,'Council Entry'!AW$9),'Council Entry'!AW$8),'Council Entry'!AW62)),IF('Council Entry'!AW$4="Exponential",EXP(IF(AND(ISNUMBER('Council Entry'!AW$8),ISNUMBER('Council Entry'!AW$9)),MAX(MIN('Council Entry'!AW62,'Council Entry'!AW$9),'Council Entry'!AW$8),'Council Entry'!AW62)),IF(AND(ISNUMBER('Council Entry'!AW$8),ISNUMBER('Council Entry'!AW$9)),MAX(MIN('Council Entry'!AW62,'Council Entry'!AW$9),'Council Entry'!AW$8),'Council Entry'!AW62))))-'Council Entry'!AW$5)/('Council Entry'!AW$6-'Council Entry'!AW$5)),1))),"No data"))</f>
        <v/>
      </c>
      <c r="AX62" s="13">
        <f>IF('Council Entry'!AX62="","",IFERROR(MAX(0,MIN(10,ROUND(IF('Council Entry'!AX$7="Decrease Risk",10-10*((IF('Council Entry'!AX$4="Logarithm",LN(0.001+IF(AND(ISNUMBER('Council Entry'!AX$8),ISNUMBER('Council Entry'!AX$9)),MAX(MIN('Council Entry'!AX62,'Council Entry'!AX$9),'Council Entry'!AX$8),'Council Entry'!AX62)),IF('Council Entry'!AX$4="Exponential",EXP(IF(AND(ISNUMBER('Council Entry'!AX$8),ISNUMBER('Council Entry'!AX$9)),MAX(MIN('Council Entry'!AX62,'Council Entry'!AX$9),'Council Entry'!AX$8),'Council Entry'!AX62)),IF(AND(ISNUMBER('Council Entry'!AX$8),ISNUMBER('Council Entry'!AX$9)),MAX(MIN('Council Entry'!AX62,'Council Entry'!AX$9),'Council Entry'!AX$8),'Council Entry'!AX62))))-'Council Entry'!AX$5)/('Council Entry'!AX$6-'Council Entry'!AX$5),10*((IF('Council Entry'!AX$4="Logarithm",LN(0.001+IF(AND(ISNUMBER('Council Entry'!AX$8),ISNUMBER('Council Entry'!AX$9)),MAX(MIN('Council Entry'!AX62,'Council Entry'!AX$9),'Council Entry'!AX$8),'Council Entry'!AX62)),IF('Council Entry'!AX$4="Exponential",EXP(IF(AND(ISNUMBER('Council Entry'!AX$8),ISNUMBER('Council Entry'!AX$9)),MAX(MIN('Council Entry'!AX62,'Council Entry'!AX$9),'Council Entry'!AX$8),'Council Entry'!AX62)),IF(AND(ISNUMBER('Council Entry'!AX$8),ISNUMBER('Council Entry'!AX$9)),MAX(MIN('Council Entry'!AX62,'Council Entry'!AX$9),'Council Entry'!AX$8),'Council Entry'!AX62))))-'Council Entry'!AX$5)/('Council Entry'!AX$6-'Council Entry'!AX$5)),1))),"No data"))</f>
        <v/>
      </c>
      <c r="AY62" s="13">
        <f>IF('Council Entry'!AY62="","",IFERROR(MAX(0,MIN(10,ROUND(IF('Council Entry'!AY$7="Decrease Risk",10-10*((IF('Council Entry'!AY$4="Logarithm",LN(0.001+IF(AND(ISNUMBER('Council Entry'!AY$8),ISNUMBER('Council Entry'!AY$9)),MAX(MIN('Council Entry'!AY62,'Council Entry'!AY$9),'Council Entry'!AY$8),'Council Entry'!AY62)),IF('Council Entry'!AY$4="Exponential",EXP(IF(AND(ISNUMBER('Council Entry'!AY$8),ISNUMBER('Council Entry'!AY$9)),MAX(MIN('Council Entry'!AY62,'Council Entry'!AY$9),'Council Entry'!AY$8),'Council Entry'!AY62)),IF(AND(ISNUMBER('Council Entry'!AY$8),ISNUMBER('Council Entry'!AY$9)),MAX(MIN('Council Entry'!AY62,'Council Entry'!AY$9),'Council Entry'!AY$8),'Council Entry'!AY62))))-'Council Entry'!AY$5)/('Council Entry'!AY$6-'Council Entry'!AY$5),10*((IF('Council Entry'!AY$4="Logarithm",LN(0.001+IF(AND(ISNUMBER('Council Entry'!AY$8),ISNUMBER('Council Entry'!AY$9)),MAX(MIN('Council Entry'!AY62,'Council Entry'!AY$9),'Council Entry'!AY$8),'Council Entry'!AY62)),IF('Council Entry'!AY$4="Exponential",EXP(IF(AND(ISNUMBER('Council Entry'!AY$8),ISNUMBER('Council Entry'!AY$9)),MAX(MIN('Council Entry'!AY62,'Council Entry'!AY$9),'Council Entry'!AY$8),'Council Entry'!AY62)),IF(AND(ISNUMBER('Council Entry'!AY$8),ISNUMBER('Council Entry'!AY$9)),MAX(MIN('Council Entry'!AY62,'Council Entry'!AY$9),'Council Entry'!AY$8),'Council Entry'!AY62))))-'Council Entry'!AY$5)/('Council Entry'!AY$6-'Council Entry'!AY$5)),1))),"No data"))</f>
        <v/>
      </c>
      <c r="AZ62" s="13">
        <f>IF('Council Entry'!AZ62="","",IFERROR(MAX(0,MIN(10,ROUND(IF('Council Entry'!AZ$7="Decrease Risk",10-10*((IF('Council Entry'!AZ$4="Logarithm",LN(0.001+IF(AND(ISNUMBER('Council Entry'!AZ$8),ISNUMBER('Council Entry'!AZ$9)),MAX(MIN('Council Entry'!AZ62,'Council Entry'!AZ$9),'Council Entry'!AZ$8),'Council Entry'!AZ62)),IF('Council Entry'!AZ$4="Exponential",EXP(IF(AND(ISNUMBER('Council Entry'!AZ$8),ISNUMBER('Council Entry'!AZ$9)),MAX(MIN('Council Entry'!AZ62,'Council Entry'!AZ$9),'Council Entry'!AZ$8),'Council Entry'!AZ62)),IF(AND(ISNUMBER('Council Entry'!AZ$8),ISNUMBER('Council Entry'!AZ$9)),MAX(MIN('Council Entry'!AZ62,'Council Entry'!AZ$9),'Council Entry'!AZ$8),'Council Entry'!AZ62))))-'Council Entry'!AZ$5)/('Council Entry'!AZ$6-'Council Entry'!AZ$5),10*((IF('Council Entry'!AZ$4="Logarithm",LN(0.001+IF(AND(ISNUMBER('Council Entry'!AZ$8),ISNUMBER('Council Entry'!AZ$9)),MAX(MIN('Council Entry'!AZ62,'Council Entry'!AZ$9),'Council Entry'!AZ$8),'Council Entry'!AZ62)),IF('Council Entry'!AZ$4="Exponential",EXP(IF(AND(ISNUMBER('Council Entry'!AZ$8),ISNUMBER('Council Entry'!AZ$9)),MAX(MIN('Council Entry'!AZ62,'Council Entry'!AZ$9),'Council Entry'!AZ$8),'Council Entry'!AZ62)),IF(AND(ISNUMBER('Council Entry'!AZ$8),ISNUMBER('Council Entry'!AZ$9)),MAX(MIN('Council Entry'!AZ62,'Council Entry'!AZ$9),'Council Entry'!AZ$8),'Council Entry'!AZ62))))-'Council Entry'!AZ$5)/('Council Entry'!AZ$6-'Council Entry'!AZ$5)),1))),"No data"))</f>
        <v/>
      </c>
      <c r="BA62" s="13">
        <f>IF('Council Entry'!BA62="","",IFERROR(MAX(0,MIN(10,ROUND(IF('Council Entry'!BA$7="Decrease Risk",10-10*((IF('Council Entry'!BA$4="Logarithm",LN(0.001+IF(AND(ISNUMBER('Council Entry'!BA$8),ISNUMBER('Council Entry'!BA$9)),MAX(MIN('Council Entry'!BA62,'Council Entry'!BA$9),'Council Entry'!BA$8),'Council Entry'!BA62)),IF('Council Entry'!BA$4="Exponential",EXP(IF(AND(ISNUMBER('Council Entry'!BA$8),ISNUMBER('Council Entry'!BA$9)),MAX(MIN('Council Entry'!BA62,'Council Entry'!BA$9),'Council Entry'!BA$8),'Council Entry'!BA62)),IF(AND(ISNUMBER('Council Entry'!BA$8),ISNUMBER('Council Entry'!BA$9)),MAX(MIN('Council Entry'!BA62,'Council Entry'!BA$9),'Council Entry'!BA$8),'Council Entry'!BA62))))-'Council Entry'!BA$5)/('Council Entry'!BA$6-'Council Entry'!BA$5),10*((IF('Council Entry'!BA$4="Logarithm",LN(0.001+IF(AND(ISNUMBER('Council Entry'!BA$8),ISNUMBER('Council Entry'!BA$9)),MAX(MIN('Council Entry'!BA62,'Council Entry'!BA$9),'Council Entry'!BA$8),'Council Entry'!BA62)),IF('Council Entry'!BA$4="Exponential",EXP(IF(AND(ISNUMBER('Council Entry'!BA$8),ISNUMBER('Council Entry'!BA$9)),MAX(MIN('Council Entry'!BA62,'Council Entry'!BA$9),'Council Entry'!BA$8),'Council Entry'!BA62)),IF(AND(ISNUMBER('Council Entry'!BA$8),ISNUMBER('Council Entry'!BA$9)),MAX(MIN('Council Entry'!BA62,'Council Entry'!BA$9),'Council Entry'!BA$8),'Council Entry'!BA62))))-'Council Entry'!BA$5)/('Council Entry'!BA$6-'Council Entry'!BA$5)),1))),"No data"))</f>
        <v/>
      </c>
      <c r="BB62" s="13">
        <f>IF('Council Entry'!BB62="","",IFERROR(MAX(0,MIN(10,ROUND(IF('Council Entry'!BB$7="Decrease Risk",10-10*((IF('Council Entry'!BB$4="Logarithm",LN(0.001+IF(AND(ISNUMBER('Council Entry'!BB$8),ISNUMBER('Council Entry'!BB$9)),MAX(MIN('Council Entry'!BB62,'Council Entry'!BB$9),'Council Entry'!BB$8),'Council Entry'!BB62)),IF('Council Entry'!BB$4="Exponential",EXP(IF(AND(ISNUMBER('Council Entry'!BB$8),ISNUMBER('Council Entry'!BB$9)),MAX(MIN('Council Entry'!BB62,'Council Entry'!BB$9),'Council Entry'!BB$8),'Council Entry'!BB62)),IF(AND(ISNUMBER('Council Entry'!BB$8),ISNUMBER('Council Entry'!BB$9)),MAX(MIN('Council Entry'!BB62,'Council Entry'!BB$9),'Council Entry'!BB$8),'Council Entry'!BB62))))-'Council Entry'!BB$5)/('Council Entry'!BB$6-'Council Entry'!BB$5),10*((IF('Council Entry'!BB$4="Logarithm",LN(0.001+IF(AND(ISNUMBER('Council Entry'!BB$8),ISNUMBER('Council Entry'!BB$9)),MAX(MIN('Council Entry'!BB62,'Council Entry'!BB$9),'Council Entry'!BB$8),'Council Entry'!BB62)),IF('Council Entry'!BB$4="Exponential",EXP(IF(AND(ISNUMBER('Council Entry'!BB$8),ISNUMBER('Council Entry'!BB$9)),MAX(MIN('Council Entry'!BB62,'Council Entry'!BB$9),'Council Entry'!BB$8),'Council Entry'!BB62)),IF(AND(ISNUMBER('Council Entry'!BB$8),ISNUMBER('Council Entry'!BB$9)),MAX(MIN('Council Entry'!BB62,'Council Entry'!BB$9),'Council Entry'!BB$8),'Council Entry'!BB62))))-'Council Entry'!BB$5)/('Council Entry'!BB$6-'Council Entry'!BB$5)),1))),"No data"))</f>
        <v/>
      </c>
      <c r="BC62" s="13">
        <f>IF('Council Entry'!BC62="","",IFERROR(MAX(0,MIN(10,ROUND(IF('Council Entry'!BC$7="Decrease Risk",10-10*((IF('Council Entry'!BC$4="Logarithm",LN(0.001+IF(AND(ISNUMBER('Council Entry'!BC$8),ISNUMBER('Council Entry'!BC$9)),MAX(MIN('Council Entry'!BC62,'Council Entry'!BC$9),'Council Entry'!BC$8),'Council Entry'!BC62)),IF('Council Entry'!BC$4="Exponential",EXP(IF(AND(ISNUMBER('Council Entry'!BC$8),ISNUMBER('Council Entry'!BC$9)),MAX(MIN('Council Entry'!BC62,'Council Entry'!BC$9),'Council Entry'!BC$8),'Council Entry'!BC62)),IF(AND(ISNUMBER('Council Entry'!BC$8),ISNUMBER('Council Entry'!BC$9)),MAX(MIN('Council Entry'!BC62,'Council Entry'!BC$9),'Council Entry'!BC$8),'Council Entry'!BC62))))-'Council Entry'!BC$5)/('Council Entry'!BC$6-'Council Entry'!BC$5),10*((IF('Council Entry'!BC$4="Logarithm",LN(0.001+IF(AND(ISNUMBER('Council Entry'!BC$8),ISNUMBER('Council Entry'!BC$9)),MAX(MIN('Council Entry'!BC62,'Council Entry'!BC$9),'Council Entry'!BC$8),'Council Entry'!BC62)),IF('Council Entry'!BC$4="Exponential",EXP(IF(AND(ISNUMBER('Council Entry'!BC$8),ISNUMBER('Council Entry'!BC$9)),MAX(MIN('Council Entry'!BC62,'Council Entry'!BC$9),'Council Entry'!BC$8),'Council Entry'!BC62)),IF(AND(ISNUMBER('Council Entry'!BC$8),ISNUMBER('Council Entry'!BC$9)),MAX(MIN('Council Entry'!BC62,'Council Entry'!BC$9),'Council Entry'!BC$8),'Council Entry'!BC62))))-'Council Entry'!BC$5)/('Council Entry'!BC$6-'Council Entry'!BC$5)),1))),"No data"))</f>
        <v/>
      </c>
      <c r="BD62" s="13">
        <f>IF('Council Entry'!BD62="","",IFERROR(MAX(0,MIN(10,ROUND(IF('Council Entry'!BD$7="Decrease Risk",10-10*((IF('Council Entry'!BD$4="Logarithm",LN(0.001+IF(AND(ISNUMBER('Council Entry'!BD$8),ISNUMBER('Council Entry'!BD$9)),MAX(MIN('Council Entry'!BD62,'Council Entry'!BD$9),'Council Entry'!BD$8),'Council Entry'!BD62)),IF('Council Entry'!BD$4="Exponential",EXP(IF(AND(ISNUMBER('Council Entry'!BD$8),ISNUMBER('Council Entry'!BD$9)),MAX(MIN('Council Entry'!BD62,'Council Entry'!BD$9),'Council Entry'!BD$8),'Council Entry'!BD62)),IF(AND(ISNUMBER('Council Entry'!BD$8),ISNUMBER('Council Entry'!BD$9)),MAX(MIN('Council Entry'!BD62,'Council Entry'!BD$9),'Council Entry'!BD$8),'Council Entry'!BD62))))-'Council Entry'!BD$5)/('Council Entry'!BD$6-'Council Entry'!BD$5),10*((IF('Council Entry'!BD$4="Logarithm",LN(0.001+IF(AND(ISNUMBER('Council Entry'!BD$8),ISNUMBER('Council Entry'!BD$9)),MAX(MIN('Council Entry'!BD62,'Council Entry'!BD$9),'Council Entry'!BD$8),'Council Entry'!BD62)),IF('Council Entry'!BD$4="Exponential",EXP(IF(AND(ISNUMBER('Council Entry'!BD$8),ISNUMBER('Council Entry'!BD$9)),MAX(MIN('Council Entry'!BD62,'Council Entry'!BD$9),'Council Entry'!BD$8),'Council Entry'!BD62)),IF(AND(ISNUMBER('Council Entry'!BD$8),ISNUMBER('Council Entry'!BD$9)),MAX(MIN('Council Entry'!BD62,'Council Entry'!BD$9),'Council Entry'!BD$8),'Council Entry'!BD62))))-'Council Entry'!BD$5)/('Council Entry'!BD$6-'Council Entry'!BD$5)),1))),"No data"))</f>
        <v/>
      </c>
    </row>
    <row r="63">
      <c r="A63" t="inlineStr">
        <is>
          <t>Kigoma</t>
        </is>
      </c>
      <c r="B63" t="inlineStr">
        <is>
          <t>Kibondo District</t>
        </is>
      </c>
      <c r="C63" t="inlineStr">
        <is>
          <t>C111</t>
        </is>
      </c>
      <c r="D63" s="13">
        <f>IF('Council Entry'!D63="","",IFERROR(MAX(0,MIN(10,ROUND(IF('Council Entry'!D$7="Decrease Risk",10-10*((IF('Council Entry'!D$4="Logarithm",LN(0.001+IF(AND(ISNUMBER('Council Entry'!D$8),ISNUMBER('Council Entry'!D$9)),MAX(MIN('Council Entry'!D63,'Council Entry'!D$9),'Council Entry'!D$8),'Council Entry'!D63)),IF('Council Entry'!D$4="Exponential",EXP(IF(AND(ISNUMBER('Council Entry'!D$8),ISNUMBER('Council Entry'!D$9)),MAX(MIN('Council Entry'!D63,'Council Entry'!D$9),'Council Entry'!D$8),'Council Entry'!D63)),IF(AND(ISNUMBER('Council Entry'!D$8),ISNUMBER('Council Entry'!D$9)),MAX(MIN('Council Entry'!D63,'Council Entry'!D$9),'Council Entry'!D$8),'Council Entry'!D63))))-'Council Entry'!D$5)/('Council Entry'!D$6-'Council Entry'!D$5),10*((IF('Council Entry'!D$4="Logarithm",LN(0.001+IF(AND(ISNUMBER('Council Entry'!D$8),ISNUMBER('Council Entry'!D$9)),MAX(MIN('Council Entry'!D63,'Council Entry'!D$9),'Council Entry'!D$8),'Council Entry'!D63)),IF('Council Entry'!D$4="Exponential",EXP(IF(AND(ISNUMBER('Council Entry'!D$8),ISNUMBER('Council Entry'!D$9)),MAX(MIN('Council Entry'!D63,'Council Entry'!D$9),'Council Entry'!D$8),'Council Entry'!D63)),IF(AND(ISNUMBER('Council Entry'!D$8),ISNUMBER('Council Entry'!D$9)),MAX(MIN('Council Entry'!D63,'Council Entry'!D$9),'Council Entry'!D$8),'Council Entry'!D63))))-'Council Entry'!D$5)/('Council Entry'!D$6-'Council Entry'!D$5)),1))),"No data"))</f>
        <v/>
      </c>
      <c r="E63" s="13">
        <f>IF('Council Entry'!E63="","",IFERROR(MAX(0,MIN(10,ROUND(IF('Council Entry'!E$7="Decrease Risk",10-10*((IF('Council Entry'!E$4="Logarithm",LN(0.001+IF(AND(ISNUMBER('Council Entry'!E$8),ISNUMBER('Council Entry'!E$9)),MAX(MIN('Council Entry'!E63,'Council Entry'!E$9),'Council Entry'!E$8),'Council Entry'!E63)),IF('Council Entry'!E$4="Exponential",EXP(IF(AND(ISNUMBER('Council Entry'!E$8),ISNUMBER('Council Entry'!E$9)),MAX(MIN('Council Entry'!E63,'Council Entry'!E$9),'Council Entry'!E$8),'Council Entry'!E63)),IF(AND(ISNUMBER('Council Entry'!E$8),ISNUMBER('Council Entry'!E$9)),MAX(MIN('Council Entry'!E63,'Council Entry'!E$9),'Council Entry'!E$8),'Council Entry'!E63))))-'Council Entry'!E$5)/('Council Entry'!E$6-'Council Entry'!E$5),10*((IF('Council Entry'!E$4="Logarithm",LN(0.001+IF(AND(ISNUMBER('Council Entry'!E$8),ISNUMBER('Council Entry'!E$9)),MAX(MIN('Council Entry'!E63,'Council Entry'!E$9),'Council Entry'!E$8),'Council Entry'!E63)),IF('Council Entry'!E$4="Exponential",EXP(IF(AND(ISNUMBER('Council Entry'!E$8),ISNUMBER('Council Entry'!E$9)),MAX(MIN('Council Entry'!E63,'Council Entry'!E$9),'Council Entry'!E$8),'Council Entry'!E63)),IF(AND(ISNUMBER('Council Entry'!E$8),ISNUMBER('Council Entry'!E$9)),MAX(MIN('Council Entry'!E63,'Council Entry'!E$9),'Council Entry'!E$8),'Council Entry'!E63))))-'Council Entry'!E$5)/('Council Entry'!E$6-'Council Entry'!E$5)),1))),"No data"))</f>
        <v/>
      </c>
      <c r="F63" s="13">
        <f>IF('Council Entry'!F63="","",IFERROR(MAX(0,MIN(10,ROUND(IF('Council Entry'!F$7="Decrease Risk",10-10*((IF('Council Entry'!F$4="Logarithm",LN(0.001+IF(AND(ISNUMBER('Council Entry'!F$8),ISNUMBER('Council Entry'!F$9)),MAX(MIN('Council Entry'!F63,'Council Entry'!F$9),'Council Entry'!F$8),'Council Entry'!F63)),IF('Council Entry'!F$4="Exponential",EXP(IF(AND(ISNUMBER('Council Entry'!F$8),ISNUMBER('Council Entry'!F$9)),MAX(MIN('Council Entry'!F63,'Council Entry'!F$9),'Council Entry'!F$8),'Council Entry'!F63)),IF(AND(ISNUMBER('Council Entry'!F$8),ISNUMBER('Council Entry'!F$9)),MAX(MIN('Council Entry'!F63,'Council Entry'!F$9),'Council Entry'!F$8),'Council Entry'!F63))))-'Council Entry'!F$5)/('Council Entry'!F$6-'Council Entry'!F$5),10*((IF('Council Entry'!F$4="Logarithm",LN(0.001+IF(AND(ISNUMBER('Council Entry'!F$8),ISNUMBER('Council Entry'!F$9)),MAX(MIN('Council Entry'!F63,'Council Entry'!F$9),'Council Entry'!F$8),'Council Entry'!F63)),IF('Council Entry'!F$4="Exponential",EXP(IF(AND(ISNUMBER('Council Entry'!F$8),ISNUMBER('Council Entry'!F$9)),MAX(MIN('Council Entry'!F63,'Council Entry'!F$9),'Council Entry'!F$8),'Council Entry'!F63)),IF(AND(ISNUMBER('Council Entry'!F$8),ISNUMBER('Council Entry'!F$9)),MAX(MIN('Council Entry'!F63,'Council Entry'!F$9),'Council Entry'!F$8),'Council Entry'!F63))))-'Council Entry'!F$5)/('Council Entry'!F$6-'Council Entry'!F$5)),1))),"No data"))</f>
        <v/>
      </c>
      <c r="G63" s="13">
        <f>IF('Council Entry'!G63="","",IFERROR(MAX(0,MIN(10,ROUND(IF('Council Entry'!G$7="Decrease Risk",10-10*((IF('Council Entry'!G$4="Logarithm",LN(0.001+IF(AND(ISNUMBER('Council Entry'!G$8),ISNUMBER('Council Entry'!G$9)),MAX(MIN('Council Entry'!G63,'Council Entry'!G$9),'Council Entry'!G$8),'Council Entry'!G63)),IF('Council Entry'!G$4="Exponential",EXP(IF(AND(ISNUMBER('Council Entry'!G$8),ISNUMBER('Council Entry'!G$9)),MAX(MIN('Council Entry'!G63,'Council Entry'!G$9),'Council Entry'!G$8),'Council Entry'!G63)),IF(AND(ISNUMBER('Council Entry'!G$8),ISNUMBER('Council Entry'!G$9)),MAX(MIN('Council Entry'!G63,'Council Entry'!G$9),'Council Entry'!G$8),'Council Entry'!G63))))-'Council Entry'!G$5)/('Council Entry'!G$6-'Council Entry'!G$5),10*((IF('Council Entry'!G$4="Logarithm",LN(0.001+IF(AND(ISNUMBER('Council Entry'!G$8),ISNUMBER('Council Entry'!G$9)),MAX(MIN('Council Entry'!G63,'Council Entry'!G$9),'Council Entry'!G$8),'Council Entry'!G63)),IF('Council Entry'!G$4="Exponential",EXP(IF(AND(ISNUMBER('Council Entry'!G$8),ISNUMBER('Council Entry'!G$9)),MAX(MIN('Council Entry'!G63,'Council Entry'!G$9),'Council Entry'!G$8),'Council Entry'!G63)),IF(AND(ISNUMBER('Council Entry'!G$8),ISNUMBER('Council Entry'!G$9)),MAX(MIN('Council Entry'!G63,'Council Entry'!G$9),'Council Entry'!G$8),'Council Entry'!G63))))-'Council Entry'!G$5)/('Council Entry'!G$6-'Council Entry'!G$5)),1))),"No data"))</f>
        <v/>
      </c>
      <c r="H63" s="13">
        <f>IF('Council Entry'!H63="","",IFERROR(MAX(0,MIN(10,ROUND(IF('Council Entry'!H$7="Decrease Risk",10-10*((IF('Council Entry'!H$4="Logarithm",LN(0.001+IF(AND(ISNUMBER('Council Entry'!H$8),ISNUMBER('Council Entry'!H$9)),MAX(MIN('Council Entry'!H63,'Council Entry'!H$9),'Council Entry'!H$8),'Council Entry'!H63)),IF('Council Entry'!H$4="Exponential",EXP(IF(AND(ISNUMBER('Council Entry'!H$8),ISNUMBER('Council Entry'!H$9)),MAX(MIN('Council Entry'!H63,'Council Entry'!H$9),'Council Entry'!H$8),'Council Entry'!H63)),IF(AND(ISNUMBER('Council Entry'!H$8),ISNUMBER('Council Entry'!H$9)),MAX(MIN('Council Entry'!H63,'Council Entry'!H$9),'Council Entry'!H$8),'Council Entry'!H63))))-'Council Entry'!H$5)/('Council Entry'!H$6-'Council Entry'!H$5),10*((IF('Council Entry'!H$4="Logarithm",LN(0.001+IF(AND(ISNUMBER('Council Entry'!H$8),ISNUMBER('Council Entry'!H$9)),MAX(MIN('Council Entry'!H63,'Council Entry'!H$9),'Council Entry'!H$8),'Council Entry'!H63)),IF('Council Entry'!H$4="Exponential",EXP(IF(AND(ISNUMBER('Council Entry'!H$8),ISNUMBER('Council Entry'!H$9)),MAX(MIN('Council Entry'!H63,'Council Entry'!H$9),'Council Entry'!H$8),'Council Entry'!H63)),IF(AND(ISNUMBER('Council Entry'!H$8),ISNUMBER('Council Entry'!H$9)),MAX(MIN('Council Entry'!H63,'Council Entry'!H$9),'Council Entry'!H$8),'Council Entry'!H63))))-'Council Entry'!H$5)/('Council Entry'!H$6-'Council Entry'!H$5)),1))),"No data"))</f>
        <v/>
      </c>
      <c r="I63" s="13">
        <f>IF('Council Entry'!I63="","",IFERROR(MAX(0,MIN(10,ROUND(IF('Council Entry'!I$7="Decrease Risk",10-10*((IF('Council Entry'!I$4="Logarithm",LN(0.001+IF(AND(ISNUMBER('Council Entry'!I$8),ISNUMBER('Council Entry'!I$9)),MAX(MIN('Council Entry'!I63,'Council Entry'!I$9),'Council Entry'!I$8),'Council Entry'!I63)),IF('Council Entry'!I$4="Exponential",EXP(IF(AND(ISNUMBER('Council Entry'!I$8),ISNUMBER('Council Entry'!I$9)),MAX(MIN('Council Entry'!I63,'Council Entry'!I$9),'Council Entry'!I$8),'Council Entry'!I63)),IF(AND(ISNUMBER('Council Entry'!I$8),ISNUMBER('Council Entry'!I$9)),MAX(MIN('Council Entry'!I63,'Council Entry'!I$9),'Council Entry'!I$8),'Council Entry'!I63))))-'Council Entry'!I$5)/('Council Entry'!I$6-'Council Entry'!I$5),10*((IF('Council Entry'!I$4="Logarithm",LN(0.001+IF(AND(ISNUMBER('Council Entry'!I$8),ISNUMBER('Council Entry'!I$9)),MAX(MIN('Council Entry'!I63,'Council Entry'!I$9),'Council Entry'!I$8),'Council Entry'!I63)),IF('Council Entry'!I$4="Exponential",EXP(IF(AND(ISNUMBER('Council Entry'!I$8),ISNUMBER('Council Entry'!I$9)),MAX(MIN('Council Entry'!I63,'Council Entry'!I$9),'Council Entry'!I$8),'Council Entry'!I63)),IF(AND(ISNUMBER('Council Entry'!I$8),ISNUMBER('Council Entry'!I$9)),MAX(MIN('Council Entry'!I63,'Council Entry'!I$9),'Council Entry'!I$8),'Council Entry'!I63))))-'Council Entry'!I$5)/('Council Entry'!I$6-'Council Entry'!I$5)),1))),"No data"))</f>
        <v/>
      </c>
      <c r="J63" s="13">
        <f>IF('Council Entry'!J63="","",IFERROR(MAX(0,MIN(10,ROUND(IF('Council Entry'!J$7="Decrease Risk",10-10*((IF('Council Entry'!J$4="Logarithm",LN(0.001+IF(AND(ISNUMBER('Council Entry'!J$8),ISNUMBER('Council Entry'!J$9)),MAX(MIN('Council Entry'!J63,'Council Entry'!J$9),'Council Entry'!J$8),'Council Entry'!J63)),IF('Council Entry'!J$4="Exponential",EXP(IF(AND(ISNUMBER('Council Entry'!J$8),ISNUMBER('Council Entry'!J$9)),MAX(MIN('Council Entry'!J63,'Council Entry'!J$9),'Council Entry'!J$8),'Council Entry'!J63)),IF(AND(ISNUMBER('Council Entry'!J$8),ISNUMBER('Council Entry'!J$9)),MAX(MIN('Council Entry'!J63,'Council Entry'!J$9),'Council Entry'!J$8),'Council Entry'!J63))))-'Council Entry'!J$5)/('Council Entry'!J$6-'Council Entry'!J$5),10*((IF('Council Entry'!J$4="Logarithm",LN(0.001+IF(AND(ISNUMBER('Council Entry'!J$8),ISNUMBER('Council Entry'!J$9)),MAX(MIN('Council Entry'!J63,'Council Entry'!J$9),'Council Entry'!J$8),'Council Entry'!J63)),IF('Council Entry'!J$4="Exponential",EXP(IF(AND(ISNUMBER('Council Entry'!J$8),ISNUMBER('Council Entry'!J$9)),MAX(MIN('Council Entry'!J63,'Council Entry'!J$9),'Council Entry'!J$8),'Council Entry'!J63)),IF(AND(ISNUMBER('Council Entry'!J$8),ISNUMBER('Council Entry'!J$9)),MAX(MIN('Council Entry'!J63,'Council Entry'!J$9),'Council Entry'!J$8),'Council Entry'!J63))))-'Council Entry'!J$5)/('Council Entry'!J$6-'Council Entry'!J$5)),1))),"No data"))</f>
        <v/>
      </c>
      <c r="K63" s="13">
        <f>IF('Council Entry'!K63="","",IFERROR(MAX(0,MIN(10,ROUND(IF('Council Entry'!K$7="Decrease Risk",10-10*((IF('Council Entry'!K$4="Logarithm",LN(0.001+IF(AND(ISNUMBER('Council Entry'!K$8),ISNUMBER('Council Entry'!K$9)),MAX(MIN('Council Entry'!K63,'Council Entry'!K$9),'Council Entry'!K$8),'Council Entry'!K63)),IF('Council Entry'!K$4="Exponential",EXP(IF(AND(ISNUMBER('Council Entry'!K$8),ISNUMBER('Council Entry'!K$9)),MAX(MIN('Council Entry'!K63,'Council Entry'!K$9),'Council Entry'!K$8),'Council Entry'!K63)),IF(AND(ISNUMBER('Council Entry'!K$8),ISNUMBER('Council Entry'!K$9)),MAX(MIN('Council Entry'!K63,'Council Entry'!K$9),'Council Entry'!K$8),'Council Entry'!K63))))-'Council Entry'!K$5)/('Council Entry'!K$6-'Council Entry'!K$5),10*((IF('Council Entry'!K$4="Logarithm",LN(0.001+IF(AND(ISNUMBER('Council Entry'!K$8),ISNUMBER('Council Entry'!K$9)),MAX(MIN('Council Entry'!K63,'Council Entry'!K$9),'Council Entry'!K$8),'Council Entry'!K63)),IF('Council Entry'!K$4="Exponential",EXP(IF(AND(ISNUMBER('Council Entry'!K$8),ISNUMBER('Council Entry'!K$9)),MAX(MIN('Council Entry'!K63,'Council Entry'!K$9),'Council Entry'!K$8),'Council Entry'!K63)),IF(AND(ISNUMBER('Council Entry'!K$8),ISNUMBER('Council Entry'!K$9)),MAX(MIN('Council Entry'!K63,'Council Entry'!K$9),'Council Entry'!K$8),'Council Entry'!K63))))-'Council Entry'!K$5)/('Council Entry'!K$6-'Council Entry'!K$5)),1))),"No data"))</f>
        <v/>
      </c>
      <c r="L63" s="13">
        <f>IF('Council Entry'!L63="","",IFERROR(MAX(0,MIN(10,ROUND(IF('Council Entry'!L$7="Decrease Risk",10-10*((IF('Council Entry'!L$4="Logarithm",LN(0.001+IF(AND(ISNUMBER('Council Entry'!L$8),ISNUMBER('Council Entry'!L$9)),MAX(MIN('Council Entry'!L63,'Council Entry'!L$9),'Council Entry'!L$8),'Council Entry'!L63)),IF('Council Entry'!L$4="Exponential",EXP(IF(AND(ISNUMBER('Council Entry'!L$8),ISNUMBER('Council Entry'!L$9)),MAX(MIN('Council Entry'!L63,'Council Entry'!L$9),'Council Entry'!L$8),'Council Entry'!L63)),IF(AND(ISNUMBER('Council Entry'!L$8),ISNUMBER('Council Entry'!L$9)),MAX(MIN('Council Entry'!L63,'Council Entry'!L$9),'Council Entry'!L$8),'Council Entry'!L63))))-'Council Entry'!L$5)/('Council Entry'!L$6-'Council Entry'!L$5),10*((IF('Council Entry'!L$4="Logarithm",LN(0.001+IF(AND(ISNUMBER('Council Entry'!L$8),ISNUMBER('Council Entry'!L$9)),MAX(MIN('Council Entry'!L63,'Council Entry'!L$9),'Council Entry'!L$8),'Council Entry'!L63)),IF('Council Entry'!L$4="Exponential",EXP(IF(AND(ISNUMBER('Council Entry'!L$8),ISNUMBER('Council Entry'!L$9)),MAX(MIN('Council Entry'!L63,'Council Entry'!L$9),'Council Entry'!L$8),'Council Entry'!L63)),IF(AND(ISNUMBER('Council Entry'!L$8),ISNUMBER('Council Entry'!L$9)),MAX(MIN('Council Entry'!L63,'Council Entry'!L$9),'Council Entry'!L$8),'Council Entry'!L63))))-'Council Entry'!L$5)/('Council Entry'!L$6-'Council Entry'!L$5)),1))),"No data"))</f>
        <v/>
      </c>
      <c r="M63" s="13">
        <f>IF('Council Entry'!M63="","",IFERROR(MAX(0,MIN(10,ROUND(IF('Council Entry'!M$7="Decrease Risk",10-10*((IF('Council Entry'!M$4="Logarithm",LN(0.001+IF(AND(ISNUMBER('Council Entry'!M$8),ISNUMBER('Council Entry'!M$9)),MAX(MIN('Council Entry'!M63,'Council Entry'!M$9),'Council Entry'!M$8),'Council Entry'!M63)),IF('Council Entry'!M$4="Exponential",EXP(IF(AND(ISNUMBER('Council Entry'!M$8),ISNUMBER('Council Entry'!M$9)),MAX(MIN('Council Entry'!M63,'Council Entry'!M$9),'Council Entry'!M$8),'Council Entry'!M63)),IF(AND(ISNUMBER('Council Entry'!M$8),ISNUMBER('Council Entry'!M$9)),MAX(MIN('Council Entry'!M63,'Council Entry'!M$9),'Council Entry'!M$8),'Council Entry'!M63))))-'Council Entry'!M$5)/('Council Entry'!M$6-'Council Entry'!M$5),10*((IF('Council Entry'!M$4="Logarithm",LN(0.001+IF(AND(ISNUMBER('Council Entry'!M$8),ISNUMBER('Council Entry'!M$9)),MAX(MIN('Council Entry'!M63,'Council Entry'!M$9),'Council Entry'!M$8),'Council Entry'!M63)),IF('Council Entry'!M$4="Exponential",EXP(IF(AND(ISNUMBER('Council Entry'!M$8),ISNUMBER('Council Entry'!M$9)),MAX(MIN('Council Entry'!M63,'Council Entry'!M$9),'Council Entry'!M$8),'Council Entry'!M63)),IF(AND(ISNUMBER('Council Entry'!M$8),ISNUMBER('Council Entry'!M$9)),MAX(MIN('Council Entry'!M63,'Council Entry'!M$9),'Council Entry'!M$8),'Council Entry'!M63))))-'Council Entry'!M$5)/('Council Entry'!M$6-'Council Entry'!M$5)),1))),"No data"))</f>
        <v/>
      </c>
      <c r="N63" s="13">
        <f>IF('Council Entry'!N63="","",IFERROR(MAX(0,MIN(10,ROUND(IF('Council Entry'!N$7="Decrease Risk",10-10*((IF('Council Entry'!N$4="Logarithm",LN(0.001+IF(AND(ISNUMBER('Council Entry'!N$8),ISNUMBER('Council Entry'!N$9)),MAX(MIN('Council Entry'!N63,'Council Entry'!N$9),'Council Entry'!N$8),'Council Entry'!N63)),IF('Council Entry'!N$4="Exponential",EXP(IF(AND(ISNUMBER('Council Entry'!N$8),ISNUMBER('Council Entry'!N$9)),MAX(MIN('Council Entry'!N63,'Council Entry'!N$9),'Council Entry'!N$8),'Council Entry'!N63)),IF(AND(ISNUMBER('Council Entry'!N$8),ISNUMBER('Council Entry'!N$9)),MAX(MIN('Council Entry'!N63,'Council Entry'!N$9),'Council Entry'!N$8),'Council Entry'!N63))))-'Council Entry'!N$5)/('Council Entry'!N$6-'Council Entry'!N$5),10*((IF('Council Entry'!N$4="Logarithm",LN(0.001+IF(AND(ISNUMBER('Council Entry'!N$8),ISNUMBER('Council Entry'!N$9)),MAX(MIN('Council Entry'!N63,'Council Entry'!N$9),'Council Entry'!N$8),'Council Entry'!N63)),IF('Council Entry'!N$4="Exponential",EXP(IF(AND(ISNUMBER('Council Entry'!N$8),ISNUMBER('Council Entry'!N$9)),MAX(MIN('Council Entry'!N63,'Council Entry'!N$9),'Council Entry'!N$8),'Council Entry'!N63)),IF(AND(ISNUMBER('Council Entry'!N$8),ISNUMBER('Council Entry'!N$9)),MAX(MIN('Council Entry'!N63,'Council Entry'!N$9),'Council Entry'!N$8),'Council Entry'!N63))))-'Council Entry'!N$5)/('Council Entry'!N$6-'Council Entry'!N$5)),1))),"No data"))</f>
        <v/>
      </c>
      <c r="O63" s="13">
        <f>IF('Council Entry'!O63="","",IFERROR(MAX(0,MIN(10,ROUND(IF('Council Entry'!O$7="Decrease Risk",10-10*((IF('Council Entry'!O$4="Logarithm",LN(0.001+IF(AND(ISNUMBER('Council Entry'!O$8),ISNUMBER('Council Entry'!O$9)),MAX(MIN('Council Entry'!O63,'Council Entry'!O$9),'Council Entry'!O$8),'Council Entry'!O63)),IF('Council Entry'!O$4="Exponential",EXP(IF(AND(ISNUMBER('Council Entry'!O$8),ISNUMBER('Council Entry'!O$9)),MAX(MIN('Council Entry'!O63,'Council Entry'!O$9),'Council Entry'!O$8),'Council Entry'!O63)),IF(AND(ISNUMBER('Council Entry'!O$8),ISNUMBER('Council Entry'!O$9)),MAX(MIN('Council Entry'!O63,'Council Entry'!O$9),'Council Entry'!O$8),'Council Entry'!O63))))-'Council Entry'!O$5)/('Council Entry'!O$6-'Council Entry'!O$5),10*((IF('Council Entry'!O$4="Logarithm",LN(0.001+IF(AND(ISNUMBER('Council Entry'!O$8),ISNUMBER('Council Entry'!O$9)),MAX(MIN('Council Entry'!O63,'Council Entry'!O$9),'Council Entry'!O$8),'Council Entry'!O63)),IF('Council Entry'!O$4="Exponential",EXP(IF(AND(ISNUMBER('Council Entry'!O$8),ISNUMBER('Council Entry'!O$9)),MAX(MIN('Council Entry'!O63,'Council Entry'!O$9),'Council Entry'!O$8),'Council Entry'!O63)),IF(AND(ISNUMBER('Council Entry'!O$8),ISNUMBER('Council Entry'!O$9)),MAX(MIN('Council Entry'!O63,'Council Entry'!O$9),'Council Entry'!O$8),'Council Entry'!O63))))-'Council Entry'!O$5)/('Council Entry'!O$6-'Council Entry'!O$5)),1))),"No data"))</f>
        <v/>
      </c>
      <c r="P63" s="13">
        <f>IF('Council Entry'!P63="","",IFERROR(MAX(0,MIN(10,ROUND(IF('Council Entry'!P$7="Decrease Risk",10-10*((IF('Council Entry'!P$4="Logarithm",LN(0.001+IF(AND(ISNUMBER('Council Entry'!P$8),ISNUMBER('Council Entry'!P$9)),MAX(MIN('Council Entry'!P63,'Council Entry'!P$9),'Council Entry'!P$8),'Council Entry'!P63)),IF('Council Entry'!P$4="Exponential",EXP(IF(AND(ISNUMBER('Council Entry'!P$8),ISNUMBER('Council Entry'!P$9)),MAX(MIN('Council Entry'!P63,'Council Entry'!P$9),'Council Entry'!P$8),'Council Entry'!P63)),IF(AND(ISNUMBER('Council Entry'!P$8),ISNUMBER('Council Entry'!P$9)),MAX(MIN('Council Entry'!P63,'Council Entry'!P$9),'Council Entry'!P$8),'Council Entry'!P63))))-'Council Entry'!P$5)/('Council Entry'!P$6-'Council Entry'!P$5),10*((IF('Council Entry'!P$4="Logarithm",LN(0.001+IF(AND(ISNUMBER('Council Entry'!P$8),ISNUMBER('Council Entry'!P$9)),MAX(MIN('Council Entry'!P63,'Council Entry'!P$9),'Council Entry'!P$8),'Council Entry'!P63)),IF('Council Entry'!P$4="Exponential",EXP(IF(AND(ISNUMBER('Council Entry'!P$8),ISNUMBER('Council Entry'!P$9)),MAX(MIN('Council Entry'!P63,'Council Entry'!P$9),'Council Entry'!P$8),'Council Entry'!P63)),IF(AND(ISNUMBER('Council Entry'!P$8),ISNUMBER('Council Entry'!P$9)),MAX(MIN('Council Entry'!P63,'Council Entry'!P$9),'Council Entry'!P$8),'Council Entry'!P63))))-'Council Entry'!P$5)/('Council Entry'!P$6-'Council Entry'!P$5)),1))),"No data"))</f>
        <v/>
      </c>
      <c r="Q63" s="13">
        <f>IF('Council Entry'!Q63="","",IFERROR(MAX(0,MIN(10,ROUND(IF('Council Entry'!Q$7="Decrease Risk",10-10*((IF('Council Entry'!Q$4="Logarithm",LN(0.001+IF(AND(ISNUMBER('Council Entry'!Q$8),ISNUMBER('Council Entry'!Q$9)),MAX(MIN('Council Entry'!Q63,'Council Entry'!Q$9),'Council Entry'!Q$8),'Council Entry'!Q63)),IF('Council Entry'!Q$4="Exponential",EXP(IF(AND(ISNUMBER('Council Entry'!Q$8),ISNUMBER('Council Entry'!Q$9)),MAX(MIN('Council Entry'!Q63,'Council Entry'!Q$9),'Council Entry'!Q$8),'Council Entry'!Q63)),IF(AND(ISNUMBER('Council Entry'!Q$8),ISNUMBER('Council Entry'!Q$9)),MAX(MIN('Council Entry'!Q63,'Council Entry'!Q$9),'Council Entry'!Q$8),'Council Entry'!Q63))))-'Council Entry'!Q$5)/('Council Entry'!Q$6-'Council Entry'!Q$5),10*((IF('Council Entry'!Q$4="Logarithm",LN(0.001+IF(AND(ISNUMBER('Council Entry'!Q$8),ISNUMBER('Council Entry'!Q$9)),MAX(MIN('Council Entry'!Q63,'Council Entry'!Q$9),'Council Entry'!Q$8),'Council Entry'!Q63)),IF('Council Entry'!Q$4="Exponential",EXP(IF(AND(ISNUMBER('Council Entry'!Q$8),ISNUMBER('Council Entry'!Q$9)),MAX(MIN('Council Entry'!Q63,'Council Entry'!Q$9),'Council Entry'!Q$8),'Council Entry'!Q63)),IF(AND(ISNUMBER('Council Entry'!Q$8),ISNUMBER('Council Entry'!Q$9)),MAX(MIN('Council Entry'!Q63,'Council Entry'!Q$9),'Council Entry'!Q$8),'Council Entry'!Q63))))-'Council Entry'!Q$5)/('Council Entry'!Q$6-'Council Entry'!Q$5)),1))),"No data"))</f>
        <v/>
      </c>
      <c r="R63" s="13">
        <f>IF('Council Entry'!R63="","",IFERROR(MAX(0,MIN(10,ROUND(IF('Council Entry'!R$7="Decrease Risk",10-10*((IF('Council Entry'!R$4="Logarithm",LN(0.001+IF(AND(ISNUMBER('Council Entry'!R$8),ISNUMBER('Council Entry'!R$9)),MAX(MIN('Council Entry'!R63,'Council Entry'!R$9),'Council Entry'!R$8),'Council Entry'!R63)),IF('Council Entry'!R$4="Exponential",EXP(IF(AND(ISNUMBER('Council Entry'!R$8),ISNUMBER('Council Entry'!R$9)),MAX(MIN('Council Entry'!R63,'Council Entry'!R$9),'Council Entry'!R$8),'Council Entry'!R63)),IF(AND(ISNUMBER('Council Entry'!R$8),ISNUMBER('Council Entry'!R$9)),MAX(MIN('Council Entry'!R63,'Council Entry'!R$9),'Council Entry'!R$8),'Council Entry'!R63))))-'Council Entry'!R$5)/('Council Entry'!R$6-'Council Entry'!R$5),10*((IF('Council Entry'!R$4="Logarithm",LN(0.001+IF(AND(ISNUMBER('Council Entry'!R$8),ISNUMBER('Council Entry'!R$9)),MAX(MIN('Council Entry'!R63,'Council Entry'!R$9),'Council Entry'!R$8),'Council Entry'!R63)),IF('Council Entry'!R$4="Exponential",EXP(IF(AND(ISNUMBER('Council Entry'!R$8),ISNUMBER('Council Entry'!R$9)),MAX(MIN('Council Entry'!R63,'Council Entry'!R$9),'Council Entry'!R$8),'Council Entry'!R63)),IF(AND(ISNUMBER('Council Entry'!R$8),ISNUMBER('Council Entry'!R$9)),MAX(MIN('Council Entry'!R63,'Council Entry'!R$9),'Council Entry'!R$8),'Council Entry'!R63))))-'Council Entry'!R$5)/('Council Entry'!R$6-'Council Entry'!R$5)),1))),"No data"))</f>
        <v/>
      </c>
      <c r="S63" s="13">
        <f>IF('Council Entry'!S63="","",IFERROR(MAX(0,MIN(10,ROUND(IF('Council Entry'!S$7="Decrease Risk",10-10*((IF('Council Entry'!S$4="Logarithm",LN(0.001+IF(AND(ISNUMBER('Council Entry'!S$8),ISNUMBER('Council Entry'!S$9)),MAX(MIN('Council Entry'!S63,'Council Entry'!S$9),'Council Entry'!S$8),'Council Entry'!S63)),IF('Council Entry'!S$4="Exponential",EXP(IF(AND(ISNUMBER('Council Entry'!S$8),ISNUMBER('Council Entry'!S$9)),MAX(MIN('Council Entry'!S63,'Council Entry'!S$9),'Council Entry'!S$8),'Council Entry'!S63)),IF(AND(ISNUMBER('Council Entry'!S$8),ISNUMBER('Council Entry'!S$9)),MAX(MIN('Council Entry'!S63,'Council Entry'!S$9),'Council Entry'!S$8),'Council Entry'!S63))))-'Council Entry'!S$5)/('Council Entry'!S$6-'Council Entry'!S$5),10*((IF('Council Entry'!S$4="Logarithm",LN(0.001+IF(AND(ISNUMBER('Council Entry'!S$8),ISNUMBER('Council Entry'!S$9)),MAX(MIN('Council Entry'!S63,'Council Entry'!S$9),'Council Entry'!S$8),'Council Entry'!S63)),IF('Council Entry'!S$4="Exponential",EXP(IF(AND(ISNUMBER('Council Entry'!S$8),ISNUMBER('Council Entry'!S$9)),MAX(MIN('Council Entry'!S63,'Council Entry'!S$9),'Council Entry'!S$8),'Council Entry'!S63)),IF(AND(ISNUMBER('Council Entry'!S$8),ISNUMBER('Council Entry'!S$9)),MAX(MIN('Council Entry'!S63,'Council Entry'!S$9),'Council Entry'!S$8),'Council Entry'!S63))))-'Council Entry'!S$5)/('Council Entry'!S$6-'Council Entry'!S$5)),1))),"No data"))</f>
        <v/>
      </c>
      <c r="T63" s="13">
        <f>IF('Council Entry'!T63="","",IFERROR(MAX(0,MIN(10,ROUND(IF('Council Entry'!T$7="Decrease Risk",10-10*((IF('Council Entry'!T$4="Logarithm",LN(0.001+IF(AND(ISNUMBER('Council Entry'!T$8),ISNUMBER('Council Entry'!T$9)),MAX(MIN('Council Entry'!T63,'Council Entry'!T$9),'Council Entry'!T$8),'Council Entry'!T63)),IF('Council Entry'!T$4="Exponential",EXP(IF(AND(ISNUMBER('Council Entry'!T$8),ISNUMBER('Council Entry'!T$9)),MAX(MIN('Council Entry'!T63,'Council Entry'!T$9),'Council Entry'!T$8),'Council Entry'!T63)),IF(AND(ISNUMBER('Council Entry'!T$8),ISNUMBER('Council Entry'!T$9)),MAX(MIN('Council Entry'!T63,'Council Entry'!T$9),'Council Entry'!T$8),'Council Entry'!T63))))-'Council Entry'!T$5)/('Council Entry'!T$6-'Council Entry'!T$5),10*((IF('Council Entry'!T$4="Logarithm",LN(0.001+IF(AND(ISNUMBER('Council Entry'!T$8),ISNUMBER('Council Entry'!T$9)),MAX(MIN('Council Entry'!T63,'Council Entry'!T$9),'Council Entry'!T$8),'Council Entry'!T63)),IF('Council Entry'!T$4="Exponential",EXP(IF(AND(ISNUMBER('Council Entry'!T$8),ISNUMBER('Council Entry'!T$9)),MAX(MIN('Council Entry'!T63,'Council Entry'!T$9),'Council Entry'!T$8),'Council Entry'!T63)),IF(AND(ISNUMBER('Council Entry'!T$8),ISNUMBER('Council Entry'!T$9)),MAX(MIN('Council Entry'!T63,'Council Entry'!T$9),'Council Entry'!T$8),'Council Entry'!T63))))-'Council Entry'!T$5)/('Council Entry'!T$6-'Council Entry'!T$5)),1))),"No data"))</f>
        <v/>
      </c>
      <c r="U63" s="13">
        <f>IF('Council Entry'!U63="","",IFERROR(MAX(0,MIN(10,ROUND(IF('Council Entry'!U$7="Decrease Risk",10-10*((IF('Council Entry'!U$4="Logarithm",LN(0.001+IF(AND(ISNUMBER('Council Entry'!U$8),ISNUMBER('Council Entry'!U$9)),MAX(MIN('Council Entry'!U63,'Council Entry'!U$9),'Council Entry'!U$8),'Council Entry'!U63)),IF('Council Entry'!U$4="Exponential",EXP(IF(AND(ISNUMBER('Council Entry'!U$8),ISNUMBER('Council Entry'!U$9)),MAX(MIN('Council Entry'!U63,'Council Entry'!U$9),'Council Entry'!U$8),'Council Entry'!U63)),IF(AND(ISNUMBER('Council Entry'!U$8),ISNUMBER('Council Entry'!U$9)),MAX(MIN('Council Entry'!U63,'Council Entry'!U$9),'Council Entry'!U$8),'Council Entry'!U63))))-'Council Entry'!U$5)/('Council Entry'!U$6-'Council Entry'!U$5),10*((IF('Council Entry'!U$4="Logarithm",LN(0.001+IF(AND(ISNUMBER('Council Entry'!U$8),ISNUMBER('Council Entry'!U$9)),MAX(MIN('Council Entry'!U63,'Council Entry'!U$9),'Council Entry'!U$8),'Council Entry'!U63)),IF('Council Entry'!U$4="Exponential",EXP(IF(AND(ISNUMBER('Council Entry'!U$8),ISNUMBER('Council Entry'!U$9)),MAX(MIN('Council Entry'!U63,'Council Entry'!U$9),'Council Entry'!U$8),'Council Entry'!U63)),IF(AND(ISNUMBER('Council Entry'!U$8),ISNUMBER('Council Entry'!U$9)),MAX(MIN('Council Entry'!U63,'Council Entry'!U$9),'Council Entry'!U$8),'Council Entry'!U63))))-'Council Entry'!U$5)/('Council Entry'!U$6-'Council Entry'!U$5)),1))),"No data"))</f>
        <v/>
      </c>
      <c r="V63" s="13">
        <f>IF('Council Entry'!V63="","",IFERROR(MAX(0,MIN(10,ROUND(IF('Council Entry'!V$7="Decrease Risk",10-10*((IF('Council Entry'!V$4="Logarithm",LN(0.001+IF(AND(ISNUMBER('Council Entry'!V$8),ISNUMBER('Council Entry'!V$9)),MAX(MIN('Council Entry'!V63,'Council Entry'!V$9),'Council Entry'!V$8),'Council Entry'!V63)),IF('Council Entry'!V$4="Exponential",EXP(IF(AND(ISNUMBER('Council Entry'!V$8),ISNUMBER('Council Entry'!V$9)),MAX(MIN('Council Entry'!V63,'Council Entry'!V$9),'Council Entry'!V$8),'Council Entry'!V63)),IF(AND(ISNUMBER('Council Entry'!V$8),ISNUMBER('Council Entry'!V$9)),MAX(MIN('Council Entry'!V63,'Council Entry'!V$9),'Council Entry'!V$8),'Council Entry'!V63))))-'Council Entry'!V$5)/('Council Entry'!V$6-'Council Entry'!V$5),10*((IF('Council Entry'!V$4="Logarithm",LN(0.001+IF(AND(ISNUMBER('Council Entry'!V$8),ISNUMBER('Council Entry'!V$9)),MAX(MIN('Council Entry'!V63,'Council Entry'!V$9),'Council Entry'!V$8),'Council Entry'!V63)),IF('Council Entry'!V$4="Exponential",EXP(IF(AND(ISNUMBER('Council Entry'!V$8),ISNUMBER('Council Entry'!V$9)),MAX(MIN('Council Entry'!V63,'Council Entry'!V$9),'Council Entry'!V$8),'Council Entry'!V63)),IF(AND(ISNUMBER('Council Entry'!V$8),ISNUMBER('Council Entry'!V$9)),MAX(MIN('Council Entry'!V63,'Council Entry'!V$9),'Council Entry'!V$8),'Council Entry'!V63))))-'Council Entry'!V$5)/('Council Entry'!V$6-'Council Entry'!V$5)),1))),"No data"))</f>
        <v/>
      </c>
      <c r="W63" s="13">
        <f>IF('Council Entry'!W63="","",IFERROR(MAX(0,MIN(10,ROUND(IF('Council Entry'!W$7="Decrease Risk",10-10*((IF('Council Entry'!W$4="Logarithm",LN(0.001+IF(AND(ISNUMBER('Council Entry'!W$8),ISNUMBER('Council Entry'!W$9)),MAX(MIN('Council Entry'!W63,'Council Entry'!W$9),'Council Entry'!W$8),'Council Entry'!W63)),IF('Council Entry'!W$4="Exponential",EXP(IF(AND(ISNUMBER('Council Entry'!W$8),ISNUMBER('Council Entry'!W$9)),MAX(MIN('Council Entry'!W63,'Council Entry'!W$9),'Council Entry'!W$8),'Council Entry'!W63)),IF(AND(ISNUMBER('Council Entry'!W$8),ISNUMBER('Council Entry'!W$9)),MAX(MIN('Council Entry'!W63,'Council Entry'!W$9),'Council Entry'!W$8),'Council Entry'!W63))))-'Council Entry'!W$5)/('Council Entry'!W$6-'Council Entry'!W$5),10*((IF('Council Entry'!W$4="Logarithm",LN(0.001+IF(AND(ISNUMBER('Council Entry'!W$8),ISNUMBER('Council Entry'!W$9)),MAX(MIN('Council Entry'!W63,'Council Entry'!W$9),'Council Entry'!W$8),'Council Entry'!W63)),IF('Council Entry'!W$4="Exponential",EXP(IF(AND(ISNUMBER('Council Entry'!W$8),ISNUMBER('Council Entry'!W$9)),MAX(MIN('Council Entry'!W63,'Council Entry'!W$9),'Council Entry'!W$8),'Council Entry'!W63)),IF(AND(ISNUMBER('Council Entry'!W$8),ISNUMBER('Council Entry'!W$9)),MAX(MIN('Council Entry'!W63,'Council Entry'!W$9),'Council Entry'!W$8),'Council Entry'!W63))))-'Council Entry'!W$5)/('Council Entry'!W$6-'Council Entry'!W$5)),1))),"No data"))</f>
        <v/>
      </c>
      <c r="X63" s="13">
        <f>IF('Council Entry'!X63="","",IFERROR(MAX(0,MIN(10,ROUND(IF('Council Entry'!X$7="Decrease Risk",10-10*((IF('Council Entry'!X$4="Logarithm",LN(0.001+IF(AND(ISNUMBER('Council Entry'!X$8),ISNUMBER('Council Entry'!X$9)),MAX(MIN('Council Entry'!X63,'Council Entry'!X$9),'Council Entry'!X$8),'Council Entry'!X63)),IF('Council Entry'!X$4="Exponential",EXP(IF(AND(ISNUMBER('Council Entry'!X$8),ISNUMBER('Council Entry'!X$9)),MAX(MIN('Council Entry'!X63,'Council Entry'!X$9),'Council Entry'!X$8),'Council Entry'!X63)),IF(AND(ISNUMBER('Council Entry'!X$8),ISNUMBER('Council Entry'!X$9)),MAX(MIN('Council Entry'!X63,'Council Entry'!X$9),'Council Entry'!X$8),'Council Entry'!X63))))-'Council Entry'!X$5)/('Council Entry'!X$6-'Council Entry'!X$5),10*((IF('Council Entry'!X$4="Logarithm",LN(0.001+IF(AND(ISNUMBER('Council Entry'!X$8),ISNUMBER('Council Entry'!X$9)),MAX(MIN('Council Entry'!X63,'Council Entry'!X$9),'Council Entry'!X$8),'Council Entry'!X63)),IF('Council Entry'!X$4="Exponential",EXP(IF(AND(ISNUMBER('Council Entry'!X$8),ISNUMBER('Council Entry'!X$9)),MAX(MIN('Council Entry'!X63,'Council Entry'!X$9),'Council Entry'!X$8),'Council Entry'!X63)),IF(AND(ISNUMBER('Council Entry'!X$8),ISNUMBER('Council Entry'!X$9)),MAX(MIN('Council Entry'!X63,'Council Entry'!X$9),'Council Entry'!X$8),'Council Entry'!X63))))-'Council Entry'!X$5)/('Council Entry'!X$6-'Council Entry'!X$5)),1))),"No data"))</f>
        <v/>
      </c>
      <c r="Y63" s="13">
        <f>IF('Council Entry'!Y63="","",IFERROR(MAX(0,MIN(10,ROUND(IF('Council Entry'!Y$7="Decrease Risk",10-10*((IF('Council Entry'!Y$4="Logarithm",LN(0.001+IF(AND(ISNUMBER('Council Entry'!Y$8),ISNUMBER('Council Entry'!Y$9)),MAX(MIN('Council Entry'!Y63,'Council Entry'!Y$9),'Council Entry'!Y$8),'Council Entry'!Y63)),IF('Council Entry'!Y$4="Exponential",EXP(IF(AND(ISNUMBER('Council Entry'!Y$8),ISNUMBER('Council Entry'!Y$9)),MAX(MIN('Council Entry'!Y63,'Council Entry'!Y$9),'Council Entry'!Y$8),'Council Entry'!Y63)),IF(AND(ISNUMBER('Council Entry'!Y$8),ISNUMBER('Council Entry'!Y$9)),MAX(MIN('Council Entry'!Y63,'Council Entry'!Y$9),'Council Entry'!Y$8),'Council Entry'!Y63))))-'Council Entry'!Y$5)/('Council Entry'!Y$6-'Council Entry'!Y$5),10*((IF('Council Entry'!Y$4="Logarithm",LN(0.001+IF(AND(ISNUMBER('Council Entry'!Y$8),ISNUMBER('Council Entry'!Y$9)),MAX(MIN('Council Entry'!Y63,'Council Entry'!Y$9),'Council Entry'!Y$8),'Council Entry'!Y63)),IF('Council Entry'!Y$4="Exponential",EXP(IF(AND(ISNUMBER('Council Entry'!Y$8),ISNUMBER('Council Entry'!Y$9)),MAX(MIN('Council Entry'!Y63,'Council Entry'!Y$9),'Council Entry'!Y$8),'Council Entry'!Y63)),IF(AND(ISNUMBER('Council Entry'!Y$8),ISNUMBER('Council Entry'!Y$9)),MAX(MIN('Council Entry'!Y63,'Council Entry'!Y$9),'Council Entry'!Y$8),'Council Entry'!Y63))))-'Council Entry'!Y$5)/('Council Entry'!Y$6-'Council Entry'!Y$5)),1))),"No data"))</f>
        <v/>
      </c>
      <c r="Z63" s="13">
        <f>IF('Council Entry'!Z63="","",IFERROR(MAX(0,MIN(10,ROUND(IF('Council Entry'!Z$7="Decrease Risk",10-10*((IF('Council Entry'!Z$4="Logarithm",LN(0.001+IF(AND(ISNUMBER('Council Entry'!Z$8),ISNUMBER('Council Entry'!Z$9)),MAX(MIN('Council Entry'!Z63,'Council Entry'!Z$9),'Council Entry'!Z$8),'Council Entry'!Z63)),IF('Council Entry'!Z$4="Exponential",EXP(IF(AND(ISNUMBER('Council Entry'!Z$8),ISNUMBER('Council Entry'!Z$9)),MAX(MIN('Council Entry'!Z63,'Council Entry'!Z$9),'Council Entry'!Z$8),'Council Entry'!Z63)),IF(AND(ISNUMBER('Council Entry'!Z$8),ISNUMBER('Council Entry'!Z$9)),MAX(MIN('Council Entry'!Z63,'Council Entry'!Z$9),'Council Entry'!Z$8),'Council Entry'!Z63))))-'Council Entry'!Z$5)/('Council Entry'!Z$6-'Council Entry'!Z$5),10*((IF('Council Entry'!Z$4="Logarithm",LN(0.001+IF(AND(ISNUMBER('Council Entry'!Z$8),ISNUMBER('Council Entry'!Z$9)),MAX(MIN('Council Entry'!Z63,'Council Entry'!Z$9),'Council Entry'!Z$8),'Council Entry'!Z63)),IF('Council Entry'!Z$4="Exponential",EXP(IF(AND(ISNUMBER('Council Entry'!Z$8),ISNUMBER('Council Entry'!Z$9)),MAX(MIN('Council Entry'!Z63,'Council Entry'!Z$9),'Council Entry'!Z$8),'Council Entry'!Z63)),IF(AND(ISNUMBER('Council Entry'!Z$8),ISNUMBER('Council Entry'!Z$9)),MAX(MIN('Council Entry'!Z63,'Council Entry'!Z$9),'Council Entry'!Z$8),'Council Entry'!Z63))))-'Council Entry'!Z$5)/('Council Entry'!Z$6-'Council Entry'!Z$5)),1))),"No data"))</f>
        <v/>
      </c>
      <c r="AA63" s="13">
        <f>IF('Council Entry'!AA63="","",IFERROR(MAX(0,MIN(10,ROUND(IF('Council Entry'!AA$7="Decrease Risk",10-10*((IF('Council Entry'!AA$4="Logarithm",LN(0.001+IF(AND(ISNUMBER('Council Entry'!AA$8),ISNUMBER('Council Entry'!AA$9)),MAX(MIN('Council Entry'!AA63,'Council Entry'!AA$9),'Council Entry'!AA$8),'Council Entry'!AA63)),IF('Council Entry'!AA$4="Exponential",EXP(IF(AND(ISNUMBER('Council Entry'!AA$8),ISNUMBER('Council Entry'!AA$9)),MAX(MIN('Council Entry'!AA63,'Council Entry'!AA$9),'Council Entry'!AA$8),'Council Entry'!AA63)),IF(AND(ISNUMBER('Council Entry'!AA$8),ISNUMBER('Council Entry'!AA$9)),MAX(MIN('Council Entry'!AA63,'Council Entry'!AA$9),'Council Entry'!AA$8),'Council Entry'!AA63))))-'Council Entry'!AA$5)/('Council Entry'!AA$6-'Council Entry'!AA$5),10*((IF('Council Entry'!AA$4="Logarithm",LN(0.001+IF(AND(ISNUMBER('Council Entry'!AA$8),ISNUMBER('Council Entry'!AA$9)),MAX(MIN('Council Entry'!AA63,'Council Entry'!AA$9),'Council Entry'!AA$8),'Council Entry'!AA63)),IF('Council Entry'!AA$4="Exponential",EXP(IF(AND(ISNUMBER('Council Entry'!AA$8),ISNUMBER('Council Entry'!AA$9)),MAX(MIN('Council Entry'!AA63,'Council Entry'!AA$9),'Council Entry'!AA$8),'Council Entry'!AA63)),IF(AND(ISNUMBER('Council Entry'!AA$8),ISNUMBER('Council Entry'!AA$9)),MAX(MIN('Council Entry'!AA63,'Council Entry'!AA$9),'Council Entry'!AA$8),'Council Entry'!AA63))))-'Council Entry'!AA$5)/('Council Entry'!AA$6-'Council Entry'!AA$5)),1))),"No data"))</f>
        <v/>
      </c>
      <c r="AB63" s="13">
        <f>IF('Council Entry'!AB63="","",IFERROR(MAX(0,MIN(10,ROUND(IF('Council Entry'!AB$7="Decrease Risk",10-10*((IF('Council Entry'!AB$4="Logarithm",LN(0.001+IF(AND(ISNUMBER('Council Entry'!AB$8),ISNUMBER('Council Entry'!AB$9)),MAX(MIN('Council Entry'!AB63,'Council Entry'!AB$9),'Council Entry'!AB$8),'Council Entry'!AB63)),IF('Council Entry'!AB$4="Exponential",EXP(IF(AND(ISNUMBER('Council Entry'!AB$8),ISNUMBER('Council Entry'!AB$9)),MAX(MIN('Council Entry'!AB63,'Council Entry'!AB$9),'Council Entry'!AB$8),'Council Entry'!AB63)),IF(AND(ISNUMBER('Council Entry'!AB$8),ISNUMBER('Council Entry'!AB$9)),MAX(MIN('Council Entry'!AB63,'Council Entry'!AB$9),'Council Entry'!AB$8),'Council Entry'!AB63))))-'Council Entry'!AB$5)/('Council Entry'!AB$6-'Council Entry'!AB$5),10*((IF('Council Entry'!AB$4="Logarithm",LN(0.001+IF(AND(ISNUMBER('Council Entry'!AB$8),ISNUMBER('Council Entry'!AB$9)),MAX(MIN('Council Entry'!AB63,'Council Entry'!AB$9),'Council Entry'!AB$8),'Council Entry'!AB63)),IF('Council Entry'!AB$4="Exponential",EXP(IF(AND(ISNUMBER('Council Entry'!AB$8),ISNUMBER('Council Entry'!AB$9)),MAX(MIN('Council Entry'!AB63,'Council Entry'!AB$9),'Council Entry'!AB$8),'Council Entry'!AB63)),IF(AND(ISNUMBER('Council Entry'!AB$8),ISNUMBER('Council Entry'!AB$9)),MAX(MIN('Council Entry'!AB63,'Council Entry'!AB$9),'Council Entry'!AB$8),'Council Entry'!AB63))))-'Council Entry'!AB$5)/('Council Entry'!AB$6-'Council Entry'!AB$5)),1))),"No data"))</f>
        <v/>
      </c>
      <c r="AC63" s="13">
        <f>IF('Council Entry'!AC63="","",IFERROR(MAX(0,MIN(10,ROUND(IF('Council Entry'!AC$7="Decrease Risk",10-10*((IF('Council Entry'!AC$4="Logarithm",LN(0.001+IF(AND(ISNUMBER('Council Entry'!AC$8),ISNUMBER('Council Entry'!AC$9)),MAX(MIN('Council Entry'!AC63,'Council Entry'!AC$9),'Council Entry'!AC$8),'Council Entry'!AC63)),IF('Council Entry'!AC$4="Exponential",EXP(IF(AND(ISNUMBER('Council Entry'!AC$8),ISNUMBER('Council Entry'!AC$9)),MAX(MIN('Council Entry'!AC63,'Council Entry'!AC$9),'Council Entry'!AC$8),'Council Entry'!AC63)),IF(AND(ISNUMBER('Council Entry'!AC$8),ISNUMBER('Council Entry'!AC$9)),MAX(MIN('Council Entry'!AC63,'Council Entry'!AC$9),'Council Entry'!AC$8),'Council Entry'!AC63))))-'Council Entry'!AC$5)/('Council Entry'!AC$6-'Council Entry'!AC$5),10*((IF('Council Entry'!AC$4="Logarithm",LN(0.001+IF(AND(ISNUMBER('Council Entry'!AC$8),ISNUMBER('Council Entry'!AC$9)),MAX(MIN('Council Entry'!AC63,'Council Entry'!AC$9),'Council Entry'!AC$8),'Council Entry'!AC63)),IF('Council Entry'!AC$4="Exponential",EXP(IF(AND(ISNUMBER('Council Entry'!AC$8),ISNUMBER('Council Entry'!AC$9)),MAX(MIN('Council Entry'!AC63,'Council Entry'!AC$9),'Council Entry'!AC$8),'Council Entry'!AC63)),IF(AND(ISNUMBER('Council Entry'!AC$8),ISNUMBER('Council Entry'!AC$9)),MAX(MIN('Council Entry'!AC63,'Council Entry'!AC$9),'Council Entry'!AC$8),'Council Entry'!AC63))))-'Council Entry'!AC$5)/('Council Entry'!AC$6-'Council Entry'!AC$5)),1))),"No data"))</f>
        <v/>
      </c>
      <c r="AD63" s="13">
        <f>IF('Council Entry'!AD63="","",IFERROR(MAX(0,MIN(10,ROUND(IF('Council Entry'!AD$7="Decrease Risk",10-10*((IF('Council Entry'!AD$4="Logarithm",LN(0.001+IF(AND(ISNUMBER('Council Entry'!AD$8),ISNUMBER('Council Entry'!AD$9)),MAX(MIN('Council Entry'!AD63,'Council Entry'!AD$9),'Council Entry'!AD$8),'Council Entry'!AD63)),IF('Council Entry'!AD$4="Exponential",EXP(IF(AND(ISNUMBER('Council Entry'!AD$8),ISNUMBER('Council Entry'!AD$9)),MAX(MIN('Council Entry'!AD63,'Council Entry'!AD$9),'Council Entry'!AD$8),'Council Entry'!AD63)),IF(AND(ISNUMBER('Council Entry'!AD$8),ISNUMBER('Council Entry'!AD$9)),MAX(MIN('Council Entry'!AD63,'Council Entry'!AD$9),'Council Entry'!AD$8),'Council Entry'!AD63))))-'Council Entry'!AD$5)/('Council Entry'!AD$6-'Council Entry'!AD$5),10*((IF('Council Entry'!AD$4="Logarithm",LN(0.001+IF(AND(ISNUMBER('Council Entry'!AD$8),ISNUMBER('Council Entry'!AD$9)),MAX(MIN('Council Entry'!AD63,'Council Entry'!AD$9),'Council Entry'!AD$8),'Council Entry'!AD63)),IF('Council Entry'!AD$4="Exponential",EXP(IF(AND(ISNUMBER('Council Entry'!AD$8),ISNUMBER('Council Entry'!AD$9)),MAX(MIN('Council Entry'!AD63,'Council Entry'!AD$9),'Council Entry'!AD$8),'Council Entry'!AD63)),IF(AND(ISNUMBER('Council Entry'!AD$8),ISNUMBER('Council Entry'!AD$9)),MAX(MIN('Council Entry'!AD63,'Council Entry'!AD$9),'Council Entry'!AD$8),'Council Entry'!AD63))))-'Council Entry'!AD$5)/('Council Entry'!AD$6-'Council Entry'!AD$5)),1))),"No data"))</f>
        <v/>
      </c>
      <c r="AE63" s="13">
        <f>IF('Council Entry'!AE63="","",IFERROR(MAX(0,MIN(10,ROUND(IF('Council Entry'!AE$7="Decrease Risk",10-10*((IF('Council Entry'!AE$4="Logarithm",LN(0.001+IF(AND(ISNUMBER('Council Entry'!AE$8),ISNUMBER('Council Entry'!AE$9)),MAX(MIN('Council Entry'!AE63,'Council Entry'!AE$9),'Council Entry'!AE$8),'Council Entry'!AE63)),IF('Council Entry'!AE$4="Exponential",EXP(IF(AND(ISNUMBER('Council Entry'!AE$8),ISNUMBER('Council Entry'!AE$9)),MAX(MIN('Council Entry'!AE63,'Council Entry'!AE$9),'Council Entry'!AE$8),'Council Entry'!AE63)),IF(AND(ISNUMBER('Council Entry'!AE$8),ISNUMBER('Council Entry'!AE$9)),MAX(MIN('Council Entry'!AE63,'Council Entry'!AE$9),'Council Entry'!AE$8),'Council Entry'!AE63))))-'Council Entry'!AE$5)/('Council Entry'!AE$6-'Council Entry'!AE$5),10*((IF('Council Entry'!AE$4="Logarithm",LN(0.001+IF(AND(ISNUMBER('Council Entry'!AE$8),ISNUMBER('Council Entry'!AE$9)),MAX(MIN('Council Entry'!AE63,'Council Entry'!AE$9),'Council Entry'!AE$8),'Council Entry'!AE63)),IF('Council Entry'!AE$4="Exponential",EXP(IF(AND(ISNUMBER('Council Entry'!AE$8),ISNUMBER('Council Entry'!AE$9)),MAX(MIN('Council Entry'!AE63,'Council Entry'!AE$9),'Council Entry'!AE$8),'Council Entry'!AE63)),IF(AND(ISNUMBER('Council Entry'!AE$8),ISNUMBER('Council Entry'!AE$9)),MAX(MIN('Council Entry'!AE63,'Council Entry'!AE$9),'Council Entry'!AE$8),'Council Entry'!AE63))))-'Council Entry'!AE$5)/('Council Entry'!AE$6-'Council Entry'!AE$5)),1))),"No data"))</f>
        <v/>
      </c>
      <c r="AF63" s="13">
        <f>IF('Council Entry'!AF63="","",IFERROR(MAX(0,MIN(10,ROUND(IF('Council Entry'!AF$7="Decrease Risk",10-10*((IF('Council Entry'!AF$4="Logarithm",LN(0.001+IF(AND(ISNUMBER('Council Entry'!AF$8),ISNUMBER('Council Entry'!AF$9)),MAX(MIN('Council Entry'!AF63,'Council Entry'!AF$9),'Council Entry'!AF$8),'Council Entry'!AF63)),IF('Council Entry'!AF$4="Exponential",EXP(IF(AND(ISNUMBER('Council Entry'!AF$8),ISNUMBER('Council Entry'!AF$9)),MAX(MIN('Council Entry'!AF63,'Council Entry'!AF$9),'Council Entry'!AF$8),'Council Entry'!AF63)),IF(AND(ISNUMBER('Council Entry'!AF$8),ISNUMBER('Council Entry'!AF$9)),MAX(MIN('Council Entry'!AF63,'Council Entry'!AF$9),'Council Entry'!AF$8),'Council Entry'!AF63))))-'Council Entry'!AF$5)/('Council Entry'!AF$6-'Council Entry'!AF$5),10*((IF('Council Entry'!AF$4="Logarithm",LN(0.001+IF(AND(ISNUMBER('Council Entry'!AF$8),ISNUMBER('Council Entry'!AF$9)),MAX(MIN('Council Entry'!AF63,'Council Entry'!AF$9),'Council Entry'!AF$8),'Council Entry'!AF63)),IF('Council Entry'!AF$4="Exponential",EXP(IF(AND(ISNUMBER('Council Entry'!AF$8),ISNUMBER('Council Entry'!AF$9)),MAX(MIN('Council Entry'!AF63,'Council Entry'!AF$9),'Council Entry'!AF$8),'Council Entry'!AF63)),IF(AND(ISNUMBER('Council Entry'!AF$8),ISNUMBER('Council Entry'!AF$9)),MAX(MIN('Council Entry'!AF63,'Council Entry'!AF$9),'Council Entry'!AF$8),'Council Entry'!AF63))))-'Council Entry'!AF$5)/('Council Entry'!AF$6-'Council Entry'!AF$5)),1))),"No data"))</f>
        <v/>
      </c>
      <c r="AG63" s="13">
        <f>IF('Council Entry'!AG63="","",IFERROR(MAX(0,MIN(10,ROUND(IF('Council Entry'!AG$7="Decrease Risk",10-10*((IF('Council Entry'!AG$4="Logarithm",LN(0.001+IF(AND(ISNUMBER('Council Entry'!AG$8),ISNUMBER('Council Entry'!AG$9)),MAX(MIN('Council Entry'!AG63,'Council Entry'!AG$9),'Council Entry'!AG$8),'Council Entry'!AG63)),IF('Council Entry'!AG$4="Exponential",EXP(IF(AND(ISNUMBER('Council Entry'!AG$8),ISNUMBER('Council Entry'!AG$9)),MAX(MIN('Council Entry'!AG63,'Council Entry'!AG$9),'Council Entry'!AG$8),'Council Entry'!AG63)),IF(AND(ISNUMBER('Council Entry'!AG$8),ISNUMBER('Council Entry'!AG$9)),MAX(MIN('Council Entry'!AG63,'Council Entry'!AG$9),'Council Entry'!AG$8),'Council Entry'!AG63))))-'Council Entry'!AG$5)/('Council Entry'!AG$6-'Council Entry'!AG$5),10*((IF('Council Entry'!AG$4="Logarithm",LN(0.001+IF(AND(ISNUMBER('Council Entry'!AG$8),ISNUMBER('Council Entry'!AG$9)),MAX(MIN('Council Entry'!AG63,'Council Entry'!AG$9),'Council Entry'!AG$8),'Council Entry'!AG63)),IF('Council Entry'!AG$4="Exponential",EXP(IF(AND(ISNUMBER('Council Entry'!AG$8),ISNUMBER('Council Entry'!AG$9)),MAX(MIN('Council Entry'!AG63,'Council Entry'!AG$9),'Council Entry'!AG$8),'Council Entry'!AG63)),IF(AND(ISNUMBER('Council Entry'!AG$8),ISNUMBER('Council Entry'!AG$9)),MAX(MIN('Council Entry'!AG63,'Council Entry'!AG$9),'Council Entry'!AG$8),'Council Entry'!AG63))))-'Council Entry'!AG$5)/('Council Entry'!AG$6-'Council Entry'!AG$5)),1))),"No data"))</f>
        <v/>
      </c>
      <c r="AH63" s="13">
        <f>IF('Council Entry'!AH63="","",IFERROR(MAX(0,MIN(10,ROUND(IF('Council Entry'!AH$7="Decrease Risk",10-10*((IF('Council Entry'!AH$4="Logarithm",LN(0.001+IF(AND(ISNUMBER('Council Entry'!AH$8),ISNUMBER('Council Entry'!AH$9)),MAX(MIN('Council Entry'!AH63,'Council Entry'!AH$9),'Council Entry'!AH$8),'Council Entry'!AH63)),IF('Council Entry'!AH$4="Exponential",EXP(IF(AND(ISNUMBER('Council Entry'!AH$8),ISNUMBER('Council Entry'!AH$9)),MAX(MIN('Council Entry'!AH63,'Council Entry'!AH$9),'Council Entry'!AH$8),'Council Entry'!AH63)),IF(AND(ISNUMBER('Council Entry'!AH$8),ISNUMBER('Council Entry'!AH$9)),MAX(MIN('Council Entry'!AH63,'Council Entry'!AH$9),'Council Entry'!AH$8),'Council Entry'!AH63))))-'Council Entry'!AH$5)/('Council Entry'!AH$6-'Council Entry'!AH$5),10*((IF('Council Entry'!AH$4="Logarithm",LN(0.001+IF(AND(ISNUMBER('Council Entry'!AH$8),ISNUMBER('Council Entry'!AH$9)),MAX(MIN('Council Entry'!AH63,'Council Entry'!AH$9),'Council Entry'!AH$8),'Council Entry'!AH63)),IF('Council Entry'!AH$4="Exponential",EXP(IF(AND(ISNUMBER('Council Entry'!AH$8),ISNUMBER('Council Entry'!AH$9)),MAX(MIN('Council Entry'!AH63,'Council Entry'!AH$9),'Council Entry'!AH$8),'Council Entry'!AH63)),IF(AND(ISNUMBER('Council Entry'!AH$8),ISNUMBER('Council Entry'!AH$9)),MAX(MIN('Council Entry'!AH63,'Council Entry'!AH$9),'Council Entry'!AH$8),'Council Entry'!AH63))))-'Council Entry'!AH$5)/('Council Entry'!AH$6-'Council Entry'!AH$5)),1))),"No data"))</f>
        <v/>
      </c>
      <c r="AI63" s="13">
        <f>IF('Council Entry'!AI63="","",IFERROR(MAX(0,MIN(10,ROUND(IF('Council Entry'!AI$7="Decrease Risk",10-10*((IF('Council Entry'!AI$4="Logarithm",LN(0.001+IF(AND(ISNUMBER('Council Entry'!AI$8),ISNUMBER('Council Entry'!AI$9)),MAX(MIN('Council Entry'!AI63,'Council Entry'!AI$9),'Council Entry'!AI$8),'Council Entry'!AI63)),IF('Council Entry'!AI$4="Exponential",EXP(IF(AND(ISNUMBER('Council Entry'!AI$8),ISNUMBER('Council Entry'!AI$9)),MAX(MIN('Council Entry'!AI63,'Council Entry'!AI$9),'Council Entry'!AI$8),'Council Entry'!AI63)),IF(AND(ISNUMBER('Council Entry'!AI$8),ISNUMBER('Council Entry'!AI$9)),MAX(MIN('Council Entry'!AI63,'Council Entry'!AI$9),'Council Entry'!AI$8),'Council Entry'!AI63))))-'Council Entry'!AI$5)/('Council Entry'!AI$6-'Council Entry'!AI$5),10*((IF('Council Entry'!AI$4="Logarithm",LN(0.001+IF(AND(ISNUMBER('Council Entry'!AI$8),ISNUMBER('Council Entry'!AI$9)),MAX(MIN('Council Entry'!AI63,'Council Entry'!AI$9),'Council Entry'!AI$8),'Council Entry'!AI63)),IF('Council Entry'!AI$4="Exponential",EXP(IF(AND(ISNUMBER('Council Entry'!AI$8),ISNUMBER('Council Entry'!AI$9)),MAX(MIN('Council Entry'!AI63,'Council Entry'!AI$9),'Council Entry'!AI$8),'Council Entry'!AI63)),IF(AND(ISNUMBER('Council Entry'!AI$8),ISNUMBER('Council Entry'!AI$9)),MAX(MIN('Council Entry'!AI63,'Council Entry'!AI$9),'Council Entry'!AI$8),'Council Entry'!AI63))))-'Council Entry'!AI$5)/('Council Entry'!AI$6-'Council Entry'!AI$5)),1))),"No data"))</f>
        <v/>
      </c>
      <c r="AJ63" s="13">
        <f>IF('Council Entry'!AJ63="","",IFERROR(MAX(0,MIN(10,ROUND(IF('Council Entry'!AJ$7="Decrease Risk",10-10*((IF('Council Entry'!AJ$4="Logarithm",LN(0.001+IF(AND(ISNUMBER('Council Entry'!AJ$8),ISNUMBER('Council Entry'!AJ$9)),MAX(MIN('Council Entry'!AJ63,'Council Entry'!AJ$9),'Council Entry'!AJ$8),'Council Entry'!AJ63)),IF('Council Entry'!AJ$4="Exponential",EXP(IF(AND(ISNUMBER('Council Entry'!AJ$8),ISNUMBER('Council Entry'!AJ$9)),MAX(MIN('Council Entry'!AJ63,'Council Entry'!AJ$9),'Council Entry'!AJ$8),'Council Entry'!AJ63)),IF(AND(ISNUMBER('Council Entry'!AJ$8),ISNUMBER('Council Entry'!AJ$9)),MAX(MIN('Council Entry'!AJ63,'Council Entry'!AJ$9),'Council Entry'!AJ$8),'Council Entry'!AJ63))))-'Council Entry'!AJ$5)/('Council Entry'!AJ$6-'Council Entry'!AJ$5),10*((IF('Council Entry'!AJ$4="Logarithm",LN(0.001+IF(AND(ISNUMBER('Council Entry'!AJ$8),ISNUMBER('Council Entry'!AJ$9)),MAX(MIN('Council Entry'!AJ63,'Council Entry'!AJ$9),'Council Entry'!AJ$8),'Council Entry'!AJ63)),IF('Council Entry'!AJ$4="Exponential",EXP(IF(AND(ISNUMBER('Council Entry'!AJ$8),ISNUMBER('Council Entry'!AJ$9)),MAX(MIN('Council Entry'!AJ63,'Council Entry'!AJ$9),'Council Entry'!AJ$8),'Council Entry'!AJ63)),IF(AND(ISNUMBER('Council Entry'!AJ$8),ISNUMBER('Council Entry'!AJ$9)),MAX(MIN('Council Entry'!AJ63,'Council Entry'!AJ$9),'Council Entry'!AJ$8),'Council Entry'!AJ63))))-'Council Entry'!AJ$5)/('Council Entry'!AJ$6-'Council Entry'!AJ$5)),1))),"No data"))</f>
        <v/>
      </c>
      <c r="AK63" s="13">
        <f>IF('Council Entry'!AK63="","",IFERROR(MAX(0,MIN(10,ROUND(IF('Council Entry'!AK$7="Decrease Risk",10-10*((IF('Council Entry'!AK$4="Logarithm",LN(0.001+IF(AND(ISNUMBER('Council Entry'!AK$8),ISNUMBER('Council Entry'!AK$9)),MAX(MIN('Council Entry'!AK63,'Council Entry'!AK$9),'Council Entry'!AK$8),'Council Entry'!AK63)),IF('Council Entry'!AK$4="Exponential",EXP(IF(AND(ISNUMBER('Council Entry'!AK$8),ISNUMBER('Council Entry'!AK$9)),MAX(MIN('Council Entry'!AK63,'Council Entry'!AK$9),'Council Entry'!AK$8),'Council Entry'!AK63)),IF(AND(ISNUMBER('Council Entry'!AK$8),ISNUMBER('Council Entry'!AK$9)),MAX(MIN('Council Entry'!AK63,'Council Entry'!AK$9),'Council Entry'!AK$8),'Council Entry'!AK63))))-'Council Entry'!AK$5)/('Council Entry'!AK$6-'Council Entry'!AK$5),10*((IF('Council Entry'!AK$4="Logarithm",LN(0.001+IF(AND(ISNUMBER('Council Entry'!AK$8),ISNUMBER('Council Entry'!AK$9)),MAX(MIN('Council Entry'!AK63,'Council Entry'!AK$9),'Council Entry'!AK$8),'Council Entry'!AK63)),IF('Council Entry'!AK$4="Exponential",EXP(IF(AND(ISNUMBER('Council Entry'!AK$8),ISNUMBER('Council Entry'!AK$9)),MAX(MIN('Council Entry'!AK63,'Council Entry'!AK$9),'Council Entry'!AK$8),'Council Entry'!AK63)),IF(AND(ISNUMBER('Council Entry'!AK$8),ISNUMBER('Council Entry'!AK$9)),MAX(MIN('Council Entry'!AK63,'Council Entry'!AK$9),'Council Entry'!AK$8),'Council Entry'!AK63))))-'Council Entry'!AK$5)/('Council Entry'!AK$6-'Council Entry'!AK$5)),1))),"No data"))</f>
        <v/>
      </c>
      <c r="AL63" s="13">
        <f>IF('Council Entry'!AL63="","",IFERROR(MAX(0,MIN(10,ROUND(IF('Council Entry'!AL$7="Decrease Risk",10-10*((IF('Council Entry'!AL$4="Logarithm",LN(0.001+IF(AND(ISNUMBER('Council Entry'!AL$8),ISNUMBER('Council Entry'!AL$9)),MAX(MIN('Council Entry'!AL63,'Council Entry'!AL$9),'Council Entry'!AL$8),'Council Entry'!AL63)),IF('Council Entry'!AL$4="Exponential",EXP(IF(AND(ISNUMBER('Council Entry'!AL$8),ISNUMBER('Council Entry'!AL$9)),MAX(MIN('Council Entry'!AL63,'Council Entry'!AL$9),'Council Entry'!AL$8),'Council Entry'!AL63)),IF(AND(ISNUMBER('Council Entry'!AL$8),ISNUMBER('Council Entry'!AL$9)),MAX(MIN('Council Entry'!AL63,'Council Entry'!AL$9),'Council Entry'!AL$8),'Council Entry'!AL63))))-'Council Entry'!AL$5)/('Council Entry'!AL$6-'Council Entry'!AL$5),10*((IF('Council Entry'!AL$4="Logarithm",LN(0.001+IF(AND(ISNUMBER('Council Entry'!AL$8),ISNUMBER('Council Entry'!AL$9)),MAX(MIN('Council Entry'!AL63,'Council Entry'!AL$9),'Council Entry'!AL$8),'Council Entry'!AL63)),IF('Council Entry'!AL$4="Exponential",EXP(IF(AND(ISNUMBER('Council Entry'!AL$8),ISNUMBER('Council Entry'!AL$9)),MAX(MIN('Council Entry'!AL63,'Council Entry'!AL$9),'Council Entry'!AL$8),'Council Entry'!AL63)),IF(AND(ISNUMBER('Council Entry'!AL$8),ISNUMBER('Council Entry'!AL$9)),MAX(MIN('Council Entry'!AL63,'Council Entry'!AL$9),'Council Entry'!AL$8),'Council Entry'!AL63))))-'Council Entry'!AL$5)/('Council Entry'!AL$6-'Council Entry'!AL$5)),1))),"No data"))</f>
        <v/>
      </c>
      <c r="AM63" s="13">
        <f>IF('Council Entry'!AM63="","",IFERROR(MAX(0,MIN(10,ROUND(IF('Council Entry'!AM$7="Decrease Risk",10-10*((IF('Council Entry'!AM$4="Logarithm",LN(0.001+IF(AND(ISNUMBER('Council Entry'!AM$8),ISNUMBER('Council Entry'!AM$9)),MAX(MIN('Council Entry'!AM63,'Council Entry'!AM$9),'Council Entry'!AM$8),'Council Entry'!AM63)),IF('Council Entry'!AM$4="Exponential",EXP(IF(AND(ISNUMBER('Council Entry'!AM$8),ISNUMBER('Council Entry'!AM$9)),MAX(MIN('Council Entry'!AM63,'Council Entry'!AM$9),'Council Entry'!AM$8),'Council Entry'!AM63)),IF(AND(ISNUMBER('Council Entry'!AM$8),ISNUMBER('Council Entry'!AM$9)),MAX(MIN('Council Entry'!AM63,'Council Entry'!AM$9),'Council Entry'!AM$8),'Council Entry'!AM63))))-'Council Entry'!AM$5)/('Council Entry'!AM$6-'Council Entry'!AM$5),10*((IF('Council Entry'!AM$4="Logarithm",LN(0.001+IF(AND(ISNUMBER('Council Entry'!AM$8),ISNUMBER('Council Entry'!AM$9)),MAX(MIN('Council Entry'!AM63,'Council Entry'!AM$9),'Council Entry'!AM$8),'Council Entry'!AM63)),IF('Council Entry'!AM$4="Exponential",EXP(IF(AND(ISNUMBER('Council Entry'!AM$8),ISNUMBER('Council Entry'!AM$9)),MAX(MIN('Council Entry'!AM63,'Council Entry'!AM$9),'Council Entry'!AM$8),'Council Entry'!AM63)),IF(AND(ISNUMBER('Council Entry'!AM$8),ISNUMBER('Council Entry'!AM$9)),MAX(MIN('Council Entry'!AM63,'Council Entry'!AM$9),'Council Entry'!AM$8),'Council Entry'!AM63))))-'Council Entry'!AM$5)/('Council Entry'!AM$6-'Council Entry'!AM$5)),1))),"No data"))</f>
        <v/>
      </c>
      <c r="AN63" s="13">
        <f>IF('Council Entry'!AN63="","",IFERROR(MAX(0,MIN(10,ROUND(IF('Council Entry'!AN$7="Decrease Risk",10-10*((IF('Council Entry'!AN$4="Logarithm",LN(0.001+IF(AND(ISNUMBER('Council Entry'!AN$8),ISNUMBER('Council Entry'!AN$9)),MAX(MIN('Council Entry'!AN63,'Council Entry'!AN$9),'Council Entry'!AN$8),'Council Entry'!AN63)),IF('Council Entry'!AN$4="Exponential",EXP(IF(AND(ISNUMBER('Council Entry'!AN$8),ISNUMBER('Council Entry'!AN$9)),MAX(MIN('Council Entry'!AN63,'Council Entry'!AN$9),'Council Entry'!AN$8),'Council Entry'!AN63)),IF(AND(ISNUMBER('Council Entry'!AN$8),ISNUMBER('Council Entry'!AN$9)),MAX(MIN('Council Entry'!AN63,'Council Entry'!AN$9),'Council Entry'!AN$8),'Council Entry'!AN63))))-'Council Entry'!AN$5)/('Council Entry'!AN$6-'Council Entry'!AN$5),10*((IF('Council Entry'!AN$4="Logarithm",LN(0.001+IF(AND(ISNUMBER('Council Entry'!AN$8),ISNUMBER('Council Entry'!AN$9)),MAX(MIN('Council Entry'!AN63,'Council Entry'!AN$9),'Council Entry'!AN$8),'Council Entry'!AN63)),IF('Council Entry'!AN$4="Exponential",EXP(IF(AND(ISNUMBER('Council Entry'!AN$8),ISNUMBER('Council Entry'!AN$9)),MAX(MIN('Council Entry'!AN63,'Council Entry'!AN$9),'Council Entry'!AN$8),'Council Entry'!AN63)),IF(AND(ISNUMBER('Council Entry'!AN$8),ISNUMBER('Council Entry'!AN$9)),MAX(MIN('Council Entry'!AN63,'Council Entry'!AN$9),'Council Entry'!AN$8),'Council Entry'!AN63))))-'Council Entry'!AN$5)/('Council Entry'!AN$6-'Council Entry'!AN$5)),1))),"No data"))</f>
        <v/>
      </c>
      <c r="AO63" s="13">
        <f>IF('Council Entry'!AO63="","",IFERROR(MAX(0,MIN(10,ROUND(IF('Council Entry'!AO$7="Decrease Risk",10-10*((IF('Council Entry'!AO$4="Logarithm",LN(0.001+IF(AND(ISNUMBER('Council Entry'!AO$8),ISNUMBER('Council Entry'!AO$9)),MAX(MIN('Council Entry'!AO63,'Council Entry'!AO$9),'Council Entry'!AO$8),'Council Entry'!AO63)),IF('Council Entry'!AO$4="Exponential",EXP(IF(AND(ISNUMBER('Council Entry'!AO$8),ISNUMBER('Council Entry'!AO$9)),MAX(MIN('Council Entry'!AO63,'Council Entry'!AO$9),'Council Entry'!AO$8),'Council Entry'!AO63)),IF(AND(ISNUMBER('Council Entry'!AO$8),ISNUMBER('Council Entry'!AO$9)),MAX(MIN('Council Entry'!AO63,'Council Entry'!AO$9),'Council Entry'!AO$8),'Council Entry'!AO63))))-'Council Entry'!AO$5)/('Council Entry'!AO$6-'Council Entry'!AO$5),10*((IF('Council Entry'!AO$4="Logarithm",LN(0.001+IF(AND(ISNUMBER('Council Entry'!AO$8),ISNUMBER('Council Entry'!AO$9)),MAX(MIN('Council Entry'!AO63,'Council Entry'!AO$9),'Council Entry'!AO$8),'Council Entry'!AO63)),IF('Council Entry'!AO$4="Exponential",EXP(IF(AND(ISNUMBER('Council Entry'!AO$8),ISNUMBER('Council Entry'!AO$9)),MAX(MIN('Council Entry'!AO63,'Council Entry'!AO$9),'Council Entry'!AO$8),'Council Entry'!AO63)),IF(AND(ISNUMBER('Council Entry'!AO$8),ISNUMBER('Council Entry'!AO$9)),MAX(MIN('Council Entry'!AO63,'Council Entry'!AO$9),'Council Entry'!AO$8),'Council Entry'!AO63))))-'Council Entry'!AO$5)/('Council Entry'!AO$6-'Council Entry'!AO$5)),1))),"No data"))</f>
        <v/>
      </c>
      <c r="AP63" s="13">
        <f>IF('Council Entry'!AP63="","",IFERROR(MAX(0,MIN(10,ROUND(IF('Council Entry'!AP$7="Decrease Risk",10-10*((IF('Council Entry'!AP$4="Logarithm",LN(0.001+IF(AND(ISNUMBER('Council Entry'!AP$8),ISNUMBER('Council Entry'!AP$9)),MAX(MIN('Council Entry'!AP63,'Council Entry'!AP$9),'Council Entry'!AP$8),'Council Entry'!AP63)),IF('Council Entry'!AP$4="Exponential",EXP(IF(AND(ISNUMBER('Council Entry'!AP$8),ISNUMBER('Council Entry'!AP$9)),MAX(MIN('Council Entry'!AP63,'Council Entry'!AP$9),'Council Entry'!AP$8),'Council Entry'!AP63)),IF(AND(ISNUMBER('Council Entry'!AP$8),ISNUMBER('Council Entry'!AP$9)),MAX(MIN('Council Entry'!AP63,'Council Entry'!AP$9),'Council Entry'!AP$8),'Council Entry'!AP63))))-'Council Entry'!AP$5)/('Council Entry'!AP$6-'Council Entry'!AP$5),10*((IF('Council Entry'!AP$4="Logarithm",LN(0.001+IF(AND(ISNUMBER('Council Entry'!AP$8),ISNUMBER('Council Entry'!AP$9)),MAX(MIN('Council Entry'!AP63,'Council Entry'!AP$9),'Council Entry'!AP$8),'Council Entry'!AP63)),IF('Council Entry'!AP$4="Exponential",EXP(IF(AND(ISNUMBER('Council Entry'!AP$8),ISNUMBER('Council Entry'!AP$9)),MAX(MIN('Council Entry'!AP63,'Council Entry'!AP$9),'Council Entry'!AP$8),'Council Entry'!AP63)),IF(AND(ISNUMBER('Council Entry'!AP$8),ISNUMBER('Council Entry'!AP$9)),MAX(MIN('Council Entry'!AP63,'Council Entry'!AP$9),'Council Entry'!AP$8),'Council Entry'!AP63))))-'Council Entry'!AP$5)/('Council Entry'!AP$6-'Council Entry'!AP$5)),1))),"No data"))</f>
        <v/>
      </c>
      <c r="AQ63" s="13">
        <f>IF('Council Entry'!AQ63="","",IFERROR(MAX(0,MIN(10,ROUND(IF('Council Entry'!AQ$7="Decrease Risk",10-10*((IF('Council Entry'!AQ$4="Logarithm",LN(0.001+IF(AND(ISNUMBER('Council Entry'!AQ$8),ISNUMBER('Council Entry'!AQ$9)),MAX(MIN('Council Entry'!AQ63,'Council Entry'!AQ$9),'Council Entry'!AQ$8),'Council Entry'!AQ63)),IF('Council Entry'!AQ$4="Exponential",EXP(IF(AND(ISNUMBER('Council Entry'!AQ$8),ISNUMBER('Council Entry'!AQ$9)),MAX(MIN('Council Entry'!AQ63,'Council Entry'!AQ$9),'Council Entry'!AQ$8),'Council Entry'!AQ63)),IF(AND(ISNUMBER('Council Entry'!AQ$8),ISNUMBER('Council Entry'!AQ$9)),MAX(MIN('Council Entry'!AQ63,'Council Entry'!AQ$9),'Council Entry'!AQ$8),'Council Entry'!AQ63))))-'Council Entry'!AQ$5)/('Council Entry'!AQ$6-'Council Entry'!AQ$5),10*((IF('Council Entry'!AQ$4="Logarithm",LN(0.001+IF(AND(ISNUMBER('Council Entry'!AQ$8),ISNUMBER('Council Entry'!AQ$9)),MAX(MIN('Council Entry'!AQ63,'Council Entry'!AQ$9),'Council Entry'!AQ$8),'Council Entry'!AQ63)),IF('Council Entry'!AQ$4="Exponential",EXP(IF(AND(ISNUMBER('Council Entry'!AQ$8),ISNUMBER('Council Entry'!AQ$9)),MAX(MIN('Council Entry'!AQ63,'Council Entry'!AQ$9),'Council Entry'!AQ$8),'Council Entry'!AQ63)),IF(AND(ISNUMBER('Council Entry'!AQ$8),ISNUMBER('Council Entry'!AQ$9)),MAX(MIN('Council Entry'!AQ63,'Council Entry'!AQ$9),'Council Entry'!AQ$8),'Council Entry'!AQ63))))-'Council Entry'!AQ$5)/('Council Entry'!AQ$6-'Council Entry'!AQ$5)),1))),"No data"))</f>
        <v/>
      </c>
      <c r="AR63" s="13">
        <f>IF('Council Entry'!AR63="","",IFERROR(MAX(0,MIN(10,ROUND(IF('Council Entry'!AR$7="Decrease Risk",10-10*((IF('Council Entry'!AR$4="Logarithm",LN(0.001+IF(AND(ISNUMBER('Council Entry'!AR$8),ISNUMBER('Council Entry'!AR$9)),MAX(MIN('Council Entry'!AR63,'Council Entry'!AR$9),'Council Entry'!AR$8),'Council Entry'!AR63)),IF('Council Entry'!AR$4="Exponential",EXP(IF(AND(ISNUMBER('Council Entry'!AR$8),ISNUMBER('Council Entry'!AR$9)),MAX(MIN('Council Entry'!AR63,'Council Entry'!AR$9),'Council Entry'!AR$8),'Council Entry'!AR63)),IF(AND(ISNUMBER('Council Entry'!AR$8),ISNUMBER('Council Entry'!AR$9)),MAX(MIN('Council Entry'!AR63,'Council Entry'!AR$9),'Council Entry'!AR$8),'Council Entry'!AR63))))-'Council Entry'!AR$5)/('Council Entry'!AR$6-'Council Entry'!AR$5),10*((IF('Council Entry'!AR$4="Logarithm",LN(0.001+IF(AND(ISNUMBER('Council Entry'!AR$8),ISNUMBER('Council Entry'!AR$9)),MAX(MIN('Council Entry'!AR63,'Council Entry'!AR$9),'Council Entry'!AR$8),'Council Entry'!AR63)),IF('Council Entry'!AR$4="Exponential",EXP(IF(AND(ISNUMBER('Council Entry'!AR$8),ISNUMBER('Council Entry'!AR$9)),MAX(MIN('Council Entry'!AR63,'Council Entry'!AR$9),'Council Entry'!AR$8),'Council Entry'!AR63)),IF(AND(ISNUMBER('Council Entry'!AR$8),ISNUMBER('Council Entry'!AR$9)),MAX(MIN('Council Entry'!AR63,'Council Entry'!AR$9),'Council Entry'!AR$8),'Council Entry'!AR63))))-'Council Entry'!AR$5)/('Council Entry'!AR$6-'Council Entry'!AR$5)),1))),"No data"))</f>
        <v/>
      </c>
      <c r="AS63" s="13">
        <f>IF('Council Entry'!AS63="","",IFERROR(MAX(0,MIN(10,ROUND(IF('Council Entry'!AS$7="Decrease Risk",10-10*((IF('Council Entry'!AS$4="Logarithm",LN(0.001+IF(AND(ISNUMBER('Council Entry'!AS$8),ISNUMBER('Council Entry'!AS$9)),MAX(MIN('Council Entry'!AS63,'Council Entry'!AS$9),'Council Entry'!AS$8),'Council Entry'!AS63)),IF('Council Entry'!AS$4="Exponential",EXP(IF(AND(ISNUMBER('Council Entry'!AS$8),ISNUMBER('Council Entry'!AS$9)),MAX(MIN('Council Entry'!AS63,'Council Entry'!AS$9),'Council Entry'!AS$8),'Council Entry'!AS63)),IF(AND(ISNUMBER('Council Entry'!AS$8),ISNUMBER('Council Entry'!AS$9)),MAX(MIN('Council Entry'!AS63,'Council Entry'!AS$9),'Council Entry'!AS$8),'Council Entry'!AS63))))-'Council Entry'!AS$5)/('Council Entry'!AS$6-'Council Entry'!AS$5),10*((IF('Council Entry'!AS$4="Logarithm",LN(0.001+IF(AND(ISNUMBER('Council Entry'!AS$8),ISNUMBER('Council Entry'!AS$9)),MAX(MIN('Council Entry'!AS63,'Council Entry'!AS$9),'Council Entry'!AS$8),'Council Entry'!AS63)),IF('Council Entry'!AS$4="Exponential",EXP(IF(AND(ISNUMBER('Council Entry'!AS$8),ISNUMBER('Council Entry'!AS$9)),MAX(MIN('Council Entry'!AS63,'Council Entry'!AS$9),'Council Entry'!AS$8),'Council Entry'!AS63)),IF(AND(ISNUMBER('Council Entry'!AS$8),ISNUMBER('Council Entry'!AS$9)),MAX(MIN('Council Entry'!AS63,'Council Entry'!AS$9),'Council Entry'!AS$8),'Council Entry'!AS63))))-'Council Entry'!AS$5)/('Council Entry'!AS$6-'Council Entry'!AS$5)),1))),"No data"))</f>
        <v/>
      </c>
      <c r="AT63" s="13">
        <f>IF('Council Entry'!AT63="","",IFERROR(MAX(0,MIN(10,ROUND(IF('Council Entry'!AT$7="Decrease Risk",10-10*((IF('Council Entry'!AT$4="Logarithm",LN(0.001+IF(AND(ISNUMBER('Council Entry'!AT$8),ISNUMBER('Council Entry'!AT$9)),MAX(MIN('Council Entry'!AT63,'Council Entry'!AT$9),'Council Entry'!AT$8),'Council Entry'!AT63)),IF('Council Entry'!AT$4="Exponential",EXP(IF(AND(ISNUMBER('Council Entry'!AT$8),ISNUMBER('Council Entry'!AT$9)),MAX(MIN('Council Entry'!AT63,'Council Entry'!AT$9),'Council Entry'!AT$8),'Council Entry'!AT63)),IF(AND(ISNUMBER('Council Entry'!AT$8),ISNUMBER('Council Entry'!AT$9)),MAX(MIN('Council Entry'!AT63,'Council Entry'!AT$9),'Council Entry'!AT$8),'Council Entry'!AT63))))-'Council Entry'!AT$5)/('Council Entry'!AT$6-'Council Entry'!AT$5),10*((IF('Council Entry'!AT$4="Logarithm",LN(0.001+IF(AND(ISNUMBER('Council Entry'!AT$8),ISNUMBER('Council Entry'!AT$9)),MAX(MIN('Council Entry'!AT63,'Council Entry'!AT$9),'Council Entry'!AT$8),'Council Entry'!AT63)),IF('Council Entry'!AT$4="Exponential",EXP(IF(AND(ISNUMBER('Council Entry'!AT$8),ISNUMBER('Council Entry'!AT$9)),MAX(MIN('Council Entry'!AT63,'Council Entry'!AT$9),'Council Entry'!AT$8),'Council Entry'!AT63)),IF(AND(ISNUMBER('Council Entry'!AT$8),ISNUMBER('Council Entry'!AT$9)),MAX(MIN('Council Entry'!AT63,'Council Entry'!AT$9),'Council Entry'!AT$8),'Council Entry'!AT63))))-'Council Entry'!AT$5)/('Council Entry'!AT$6-'Council Entry'!AT$5)),1))),"No data"))</f>
        <v/>
      </c>
      <c r="AU63" s="13">
        <f>IF('Council Entry'!AU63="","",IFERROR(MAX(0,MIN(10,ROUND(IF('Council Entry'!AU$7="Decrease Risk",10-10*((IF('Council Entry'!AU$4="Logarithm",LN(0.001+IF(AND(ISNUMBER('Council Entry'!AU$8),ISNUMBER('Council Entry'!AU$9)),MAX(MIN('Council Entry'!AU63,'Council Entry'!AU$9),'Council Entry'!AU$8),'Council Entry'!AU63)),IF('Council Entry'!AU$4="Exponential",EXP(IF(AND(ISNUMBER('Council Entry'!AU$8),ISNUMBER('Council Entry'!AU$9)),MAX(MIN('Council Entry'!AU63,'Council Entry'!AU$9),'Council Entry'!AU$8),'Council Entry'!AU63)),IF(AND(ISNUMBER('Council Entry'!AU$8),ISNUMBER('Council Entry'!AU$9)),MAX(MIN('Council Entry'!AU63,'Council Entry'!AU$9),'Council Entry'!AU$8),'Council Entry'!AU63))))-'Council Entry'!AU$5)/('Council Entry'!AU$6-'Council Entry'!AU$5),10*((IF('Council Entry'!AU$4="Logarithm",LN(0.001+IF(AND(ISNUMBER('Council Entry'!AU$8),ISNUMBER('Council Entry'!AU$9)),MAX(MIN('Council Entry'!AU63,'Council Entry'!AU$9),'Council Entry'!AU$8),'Council Entry'!AU63)),IF('Council Entry'!AU$4="Exponential",EXP(IF(AND(ISNUMBER('Council Entry'!AU$8),ISNUMBER('Council Entry'!AU$9)),MAX(MIN('Council Entry'!AU63,'Council Entry'!AU$9),'Council Entry'!AU$8),'Council Entry'!AU63)),IF(AND(ISNUMBER('Council Entry'!AU$8),ISNUMBER('Council Entry'!AU$9)),MAX(MIN('Council Entry'!AU63,'Council Entry'!AU$9),'Council Entry'!AU$8),'Council Entry'!AU63))))-'Council Entry'!AU$5)/('Council Entry'!AU$6-'Council Entry'!AU$5)),1))),"No data"))</f>
        <v/>
      </c>
      <c r="AV63" s="13">
        <f>IF('Council Entry'!AV63="","",IFERROR(MAX(0,MIN(10,ROUND(IF('Council Entry'!AV$7="Decrease Risk",10-10*((IF('Council Entry'!AV$4="Logarithm",LN(0.001+IF(AND(ISNUMBER('Council Entry'!AV$8),ISNUMBER('Council Entry'!AV$9)),MAX(MIN('Council Entry'!AV63,'Council Entry'!AV$9),'Council Entry'!AV$8),'Council Entry'!AV63)),IF('Council Entry'!AV$4="Exponential",EXP(IF(AND(ISNUMBER('Council Entry'!AV$8),ISNUMBER('Council Entry'!AV$9)),MAX(MIN('Council Entry'!AV63,'Council Entry'!AV$9),'Council Entry'!AV$8),'Council Entry'!AV63)),IF(AND(ISNUMBER('Council Entry'!AV$8),ISNUMBER('Council Entry'!AV$9)),MAX(MIN('Council Entry'!AV63,'Council Entry'!AV$9),'Council Entry'!AV$8),'Council Entry'!AV63))))-'Council Entry'!AV$5)/('Council Entry'!AV$6-'Council Entry'!AV$5),10*((IF('Council Entry'!AV$4="Logarithm",LN(0.001+IF(AND(ISNUMBER('Council Entry'!AV$8),ISNUMBER('Council Entry'!AV$9)),MAX(MIN('Council Entry'!AV63,'Council Entry'!AV$9),'Council Entry'!AV$8),'Council Entry'!AV63)),IF('Council Entry'!AV$4="Exponential",EXP(IF(AND(ISNUMBER('Council Entry'!AV$8),ISNUMBER('Council Entry'!AV$9)),MAX(MIN('Council Entry'!AV63,'Council Entry'!AV$9),'Council Entry'!AV$8),'Council Entry'!AV63)),IF(AND(ISNUMBER('Council Entry'!AV$8),ISNUMBER('Council Entry'!AV$9)),MAX(MIN('Council Entry'!AV63,'Council Entry'!AV$9),'Council Entry'!AV$8),'Council Entry'!AV63))))-'Council Entry'!AV$5)/('Council Entry'!AV$6-'Council Entry'!AV$5)),1))),"No data"))</f>
        <v/>
      </c>
      <c r="AW63" s="13">
        <f>IF('Council Entry'!AW63="","",IFERROR(MAX(0,MIN(10,ROUND(IF('Council Entry'!AW$7="Decrease Risk",10-10*((IF('Council Entry'!AW$4="Logarithm",LN(0.001+IF(AND(ISNUMBER('Council Entry'!AW$8),ISNUMBER('Council Entry'!AW$9)),MAX(MIN('Council Entry'!AW63,'Council Entry'!AW$9),'Council Entry'!AW$8),'Council Entry'!AW63)),IF('Council Entry'!AW$4="Exponential",EXP(IF(AND(ISNUMBER('Council Entry'!AW$8),ISNUMBER('Council Entry'!AW$9)),MAX(MIN('Council Entry'!AW63,'Council Entry'!AW$9),'Council Entry'!AW$8),'Council Entry'!AW63)),IF(AND(ISNUMBER('Council Entry'!AW$8),ISNUMBER('Council Entry'!AW$9)),MAX(MIN('Council Entry'!AW63,'Council Entry'!AW$9),'Council Entry'!AW$8),'Council Entry'!AW63))))-'Council Entry'!AW$5)/('Council Entry'!AW$6-'Council Entry'!AW$5),10*((IF('Council Entry'!AW$4="Logarithm",LN(0.001+IF(AND(ISNUMBER('Council Entry'!AW$8),ISNUMBER('Council Entry'!AW$9)),MAX(MIN('Council Entry'!AW63,'Council Entry'!AW$9),'Council Entry'!AW$8),'Council Entry'!AW63)),IF('Council Entry'!AW$4="Exponential",EXP(IF(AND(ISNUMBER('Council Entry'!AW$8),ISNUMBER('Council Entry'!AW$9)),MAX(MIN('Council Entry'!AW63,'Council Entry'!AW$9),'Council Entry'!AW$8),'Council Entry'!AW63)),IF(AND(ISNUMBER('Council Entry'!AW$8),ISNUMBER('Council Entry'!AW$9)),MAX(MIN('Council Entry'!AW63,'Council Entry'!AW$9),'Council Entry'!AW$8),'Council Entry'!AW63))))-'Council Entry'!AW$5)/('Council Entry'!AW$6-'Council Entry'!AW$5)),1))),"No data"))</f>
        <v/>
      </c>
      <c r="AX63" s="13">
        <f>IF('Council Entry'!AX63="","",IFERROR(MAX(0,MIN(10,ROUND(IF('Council Entry'!AX$7="Decrease Risk",10-10*((IF('Council Entry'!AX$4="Logarithm",LN(0.001+IF(AND(ISNUMBER('Council Entry'!AX$8),ISNUMBER('Council Entry'!AX$9)),MAX(MIN('Council Entry'!AX63,'Council Entry'!AX$9),'Council Entry'!AX$8),'Council Entry'!AX63)),IF('Council Entry'!AX$4="Exponential",EXP(IF(AND(ISNUMBER('Council Entry'!AX$8),ISNUMBER('Council Entry'!AX$9)),MAX(MIN('Council Entry'!AX63,'Council Entry'!AX$9),'Council Entry'!AX$8),'Council Entry'!AX63)),IF(AND(ISNUMBER('Council Entry'!AX$8),ISNUMBER('Council Entry'!AX$9)),MAX(MIN('Council Entry'!AX63,'Council Entry'!AX$9),'Council Entry'!AX$8),'Council Entry'!AX63))))-'Council Entry'!AX$5)/('Council Entry'!AX$6-'Council Entry'!AX$5),10*((IF('Council Entry'!AX$4="Logarithm",LN(0.001+IF(AND(ISNUMBER('Council Entry'!AX$8),ISNUMBER('Council Entry'!AX$9)),MAX(MIN('Council Entry'!AX63,'Council Entry'!AX$9),'Council Entry'!AX$8),'Council Entry'!AX63)),IF('Council Entry'!AX$4="Exponential",EXP(IF(AND(ISNUMBER('Council Entry'!AX$8),ISNUMBER('Council Entry'!AX$9)),MAX(MIN('Council Entry'!AX63,'Council Entry'!AX$9),'Council Entry'!AX$8),'Council Entry'!AX63)),IF(AND(ISNUMBER('Council Entry'!AX$8),ISNUMBER('Council Entry'!AX$9)),MAX(MIN('Council Entry'!AX63,'Council Entry'!AX$9),'Council Entry'!AX$8),'Council Entry'!AX63))))-'Council Entry'!AX$5)/('Council Entry'!AX$6-'Council Entry'!AX$5)),1))),"No data"))</f>
        <v/>
      </c>
      <c r="AY63" s="13">
        <f>IF('Council Entry'!AY63="","",IFERROR(MAX(0,MIN(10,ROUND(IF('Council Entry'!AY$7="Decrease Risk",10-10*((IF('Council Entry'!AY$4="Logarithm",LN(0.001+IF(AND(ISNUMBER('Council Entry'!AY$8),ISNUMBER('Council Entry'!AY$9)),MAX(MIN('Council Entry'!AY63,'Council Entry'!AY$9),'Council Entry'!AY$8),'Council Entry'!AY63)),IF('Council Entry'!AY$4="Exponential",EXP(IF(AND(ISNUMBER('Council Entry'!AY$8),ISNUMBER('Council Entry'!AY$9)),MAX(MIN('Council Entry'!AY63,'Council Entry'!AY$9),'Council Entry'!AY$8),'Council Entry'!AY63)),IF(AND(ISNUMBER('Council Entry'!AY$8),ISNUMBER('Council Entry'!AY$9)),MAX(MIN('Council Entry'!AY63,'Council Entry'!AY$9),'Council Entry'!AY$8),'Council Entry'!AY63))))-'Council Entry'!AY$5)/('Council Entry'!AY$6-'Council Entry'!AY$5),10*((IF('Council Entry'!AY$4="Logarithm",LN(0.001+IF(AND(ISNUMBER('Council Entry'!AY$8),ISNUMBER('Council Entry'!AY$9)),MAX(MIN('Council Entry'!AY63,'Council Entry'!AY$9),'Council Entry'!AY$8),'Council Entry'!AY63)),IF('Council Entry'!AY$4="Exponential",EXP(IF(AND(ISNUMBER('Council Entry'!AY$8),ISNUMBER('Council Entry'!AY$9)),MAX(MIN('Council Entry'!AY63,'Council Entry'!AY$9),'Council Entry'!AY$8),'Council Entry'!AY63)),IF(AND(ISNUMBER('Council Entry'!AY$8),ISNUMBER('Council Entry'!AY$9)),MAX(MIN('Council Entry'!AY63,'Council Entry'!AY$9),'Council Entry'!AY$8),'Council Entry'!AY63))))-'Council Entry'!AY$5)/('Council Entry'!AY$6-'Council Entry'!AY$5)),1))),"No data"))</f>
        <v/>
      </c>
      <c r="AZ63" s="13">
        <f>IF('Council Entry'!AZ63="","",IFERROR(MAX(0,MIN(10,ROUND(IF('Council Entry'!AZ$7="Decrease Risk",10-10*((IF('Council Entry'!AZ$4="Logarithm",LN(0.001+IF(AND(ISNUMBER('Council Entry'!AZ$8),ISNUMBER('Council Entry'!AZ$9)),MAX(MIN('Council Entry'!AZ63,'Council Entry'!AZ$9),'Council Entry'!AZ$8),'Council Entry'!AZ63)),IF('Council Entry'!AZ$4="Exponential",EXP(IF(AND(ISNUMBER('Council Entry'!AZ$8),ISNUMBER('Council Entry'!AZ$9)),MAX(MIN('Council Entry'!AZ63,'Council Entry'!AZ$9),'Council Entry'!AZ$8),'Council Entry'!AZ63)),IF(AND(ISNUMBER('Council Entry'!AZ$8),ISNUMBER('Council Entry'!AZ$9)),MAX(MIN('Council Entry'!AZ63,'Council Entry'!AZ$9),'Council Entry'!AZ$8),'Council Entry'!AZ63))))-'Council Entry'!AZ$5)/('Council Entry'!AZ$6-'Council Entry'!AZ$5),10*((IF('Council Entry'!AZ$4="Logarithm",LN(0.001+IF(AND(ISNUMBER('Council Entry'!AZ$8),ISNUMBER('Council Entry'!AZ$9)),MAX(MIN('Council Entry'!AZ63,'Council Entry'!AZ$9),'Council Entry'!AZ$8),'Council Entry'!AZ63)),IF('Council Entry'!AZ$4="Exponential",EXP(IF(AND(ISNUMBER('Council Entry'!AZ$8),ISNUMBER('Council Entry'!AZ$9)),MAX(MIN('Council Entry'!AZ63,'Council Entry'!AZ$9),'Council Entry'!AZ$8),'Council Entry'!AZ63)),IF(AND(ISNUMBER('Council Entry'!AZ$8),ISNUMBER('Council Entry'!AZ$9)),MAX(MIN('Council Entry'!AZ63,'Council Entry'!AZ$9),'Council Entry'!AZ$8),'Council Entry'!AZ63))))-'Council Entry'!AZ$5)/('Council Entry'!AZ$6-'Council Entry'!AZ$5)),1))),"No data"))</f>
        <v/>
      </c>
      <c r="BA63" s="13">
        <f>IF('Council Entry'!BA63="","",IFERROR(MAX(0,MIN(10,ROUND(IF('Council Entry'!BA$7="Decrease Risk",10-10*((IF('Council Entry'!BA$4="Logarithm",LN(0.001+IF(AND(ISNUMBER('Council Entry'!BA$8),ISNUMBER('Council Entry'!BA$9)),MAX(MIN('Council Entry'!BA63,'Council Entry'!BA$9),'Council Entry'!BA$8),'Council Entry'!BA63)),IF('Council Entry'!BA$4="Exponential",EXP(IF(AND(ISNUMBER('Council Entry'!BA$8),ISNUMBER('Council Entry'!BA$9)),MAX(MIN('Council Entry'!BA63,'Council Entry'!BA$9),'Council Entry'!BA$8),'Council Entry'!BA63)),IF(AND(ISNUMBER('Council Entry'!BA$8),ISNUMBER('Council Entry'!BA$9)),MAX(MIN('Council Entry'!BA63,'Council Entry'!BA$9),'Council Entry'!BA$8),'Council Entry'!BA63))))-'Council Entry'!BA$5)/('Council Entry'!BA$6-'Council Entry'!BA$5),10*((IF('Council Entry'!BA$4="Logarithm",LN(0.001+IF(AND(ISNUMBER('Council Entry'!BA$8),ISNUMBER('Council Entry'!BA$9)),MAX(MIN('Council Entry'!BA63,'Council Entry'!BA$9),'Council Entry'!BA$8),'Council Entry'!BA63)),IF('Council Entry'!BA$4="Exponential",EXP(IF(AND(ISNUMBER('Council Entry'!BA$8),ISNUMBER('Council Entry'!BA$9)),MAX(MIN('Council Entry'!BA63,'Council Entry'!BA$9),'Council Entry'!BA$8),'Council Entry'!BA63)),IF(AND(ISNUMBER('Council Entry'!BA$8),ISNUMBER('Council Entry'!BA$9)),MAX(MIN('Council Entry'!BA63,'Council Entry'!BA$9),'Council Entry'!BA$8),'Council Entry'!BA63))))-'Council Entry'!BA$5)/('Council Entry'!BA$6-'Council Entry'!BA$5)),1))),"No data"))</f>
        <v/>
      </c>
      <c r="BB63" s="13">
        <f>IF('Council Entry'!BB63="","",IFERROR(MAX(0,MIN(10,ROUND(IF('Council Entry'!BB$7="Decrease Risk",10-10*((IF('Council Entry'!BB$4="Logarithm",LN(0.001+IF(AND(ISNUMBER('Council Entry'!BB$8),ISNUMBER('Council Entry'!BB$9)),MAX(MIN('Council Entry'!BB63,'Council Entry'!BB$9),'Council Entry'!BB$8),'Council Entry'!BB63)),IF('Council Entry'!BB$4="Exponential",EXP(IF(AND(ISNUMBER('Council Entry'!BB$8),ISNUMBER('Council Entry'!BB$9)),MAX(MIN('Council Entry'!BB63,'Council Entry'!BB$9),'Council Entry'!BB$8),'Council Entry'!BB63)),IF(AND(ISNUMBER('Council Entry'!BB$8),ISNUMBER('Council Entry'!BB$9)),MAX(MIN('Council Entry'!BB63,'Council Entry'!BB$9),'Council Entry'!BB$8),'Council Entry'!BB63))))-'Council Entry'!BB$5)/('Council Entry'!BB$6-'Council Entry'!BB$5),10*((IF('Council Entry'!BB$4="Logarithm",LN(0.001+IF(AND(ISNUMBER('Council Entry'!BB$8),ISNUMBER('Council Entry'!BB$9)),MAX(MIN('Council Entry'!BB63,'Council Entry'!BB$9),'Council Entry'!BB$8),'Council Entry'!BB63)),IF('Council Entry'!BB$4="Exponential",EXP(IF(AND(ISNUMBER('Council Entry'!BB$8),ISNUMBER('Council Entry'!BB$9)),MAX(MIN('Council Entry'!BB63,'Council Entry'!BB$9),'Council Entry'!BB$8),'Council Entry'!BB63)),IF(AND(ISNUMBER('Council Entry'!BB$8),ISNUMBER('Council Entry'!BB$9)),MAX(MIN('Council Entry'!BB63,'Council Entry'!BB$9),'Council Entry'!BB$8),'Council Entry'!BB63))))-'Council Entry'!BB$5)/('Council Entry'!BB$6-'Council Entry'!BB$5)),1))),"No data"))</f>
        <v/>
      </c>
      <c r="BC63" s="13">
        <f>IF('Council Entry'!BC63="","",IFERROR(MAX(0,MIN(10,ROUND(IF('Council Entry'!BC$7="Decrease Risk",10-10*((IF('Council Entry'!BC$4="Logarithm",LN(0.001+IF(AND(ISNUMBER('Council Entry'!BC$8),ISNUMBER('Council Entry'!BC$9)),MAX(MIN('Council Entry'!BC63,'Council Entry'!BC$9),'Council Entry'!BC$8),'Council Entry'!BC63)),IF('Council Entry'!BC$4="Exponential",EXP(IF(AND(ISNUMBER('Council Entry'!BC$8),ISNUMBER('Council Entry'!BC$9)),MAX(MIN('Council Entry'!BC63,'Council Entry'!BC$9),'Council Entry'!BC$8),'Council Entry'!BC63)),IF(AND(ISNUMBER('Council Entry'!BC$8),ISNUMBER('Council Entry'!BC$9)),MAX(MIN('Council Entry'!BC63,'Council Entry'!BC$9),'Council Entry'!BC$8),'Council Entry'!BC63))))-'Council Entry'!BC$5)/('Council Entry'!BC$6-'Council Entry'!BC$5),10*((IF('Council Entry'!BC$4="Logarithm",LN(0.001+IF(AND(ISNUMBER('Council Entry'!BC$8),ISNUMBER('Council Entry'!BC$9)),MAX(MIN('Council Entry'!BC63,'Council Entry'!BC$9),'Council Entry'!BC$8),'Council Entry'!BC63)),IF('Council Entry'!BC$4="Exponential",EXP(IF(AND(ISNUMBER('Council Entry'!BC$8),ISNUMBER('Council Entry'!BC$9)),MAX(MIN('Council Entry'!BC63,'Council Entry'!BC$9),'Council Entry'!BC$8),'Council Entry'!BC63)),IF(AND(ISNUMBER('Council Entry'!BC$8),ISNUMBER('Council Entry'!BC$9)),MAX(MIN('Council Entry'!BC63,'Council Entry'!BC$9),'Council Entry'!BC$8),'Council Entry'!BC63))))-'Council Entry'!BC$5)/('Council Entry'!BC$6-'Council Entry'!BC$5)),1))),"No data"))</f>
        <v/>
      </c>
      <c r="BD63" s="13">
        <f>IF('Council Entry'!BD63="","",IFERROR(MAX(0,MIN(10,ROUND(IF('Council Entry'!BD$7="Decrease Risk",10-10*((IF('Council Entry'!BD$4="Logarithm",LN(0.001+IF(AND(ISNUMBER('Council Entry'!BD$8),ISNUMBER('Council Entry'!BD$9)),MAX(MIN('Council Entry'!BD63,'Council Entry'!BD$9),'Council Entry'!BD$8),'Council Entry'!BD63)),IF('Council Entry'!BD$4="Exponential",EXP(IF(AND(ISNUMBER('Council Entry'!BD$8),ISNUMBER('Council Entry'!BD$9)),MAX(MIN('Council Entry'!BD63,'Council Entry'!BD$9),'Council Entry'!BD$8),'Council Entry'!BD63)),IF(AND(ISNUMBER('Council Entry'!BD$8),ISNUMBER('Council Entry'!BD$9)),MAX(MIN('Council Entry'!BD63,'Council Entry'!BD$9),'Council Entry'!BD$8),'Council Entry'!BD63))))-'Council Entry'!BD$5)/('Council Entry'!BD$6-'Council Entry'!BD$5),10*((IF('Council Entry'!BD$4="Logarithm",LN(0.001+IF(AND(ISNUMBER('Council Entry'!BD$8),ISNUMBER('Council Entry'!BD$9)),MAX(MIN('Council Entry'!BD63,'Council Entry'!BD$9),'Council Entry'!BD$8),'Council Entry'!BD63)),IF('Council Entry'!BD$4="Exponential",EXP(IF(AND(ISNUMBER('Council Entry'!BD$8),ISNUMBER('Council Entry'!BD$9)),MAX(MIN('Council Entry'!BD63,'Council Entry'!BD$9),'Council Entry'!BD$8),'Council Entry'!BD63)),IF(AND(ISNUMBER('Council Entry'!BD$8),ISNUMBER('Council Entry'!BD$9)),MAX(MIN('Council Entry'!BD63,'Council Entry'!BD$9),'Council Entry'!BD$8),'Council Entry'!BD63))))-'Council Entry'!BD$5)/('Council Entry'!BD$6-'Council Entry'!BD$5)),1))),"No data"))</f>
        <v/>
      </c>
    </row>
    <row r="64">
      <c r="A64" t="inlineStr">
        <is>
          <t>Kigoma</t>
        </is>
      </c>
      <c r="B64" t="inlineStr">
        <is>
          <t>Kigoma District</t>
        </is>
      </c>
      <c r="C64" t="inlineStr">
        <is>
          <t>C114</t>
        </is>
      </c>
      <c r="D64" s="13">
        <f>IF('Council Entry'!D64="","",IFERROR(MAX(0,MIN(10,ROUND(IF('Council Entry'!D$7="Decrease Risk",10-10*((IF('Council Entry'!D$4="Logarithm",LN(0.001+IF(AND(ISNUMBER('Council Entry'!D$8),ISNUMBER('Council Entry'!D$9)),MAX(MIN('Council Entry'!D64,'Council Entry'!D$9),'Council Entry'!D$8),'Council Entry'!D64)),IF('Council Entry'!D$4="Exponential",EXP(IF(AND(ISNUMBER('Council Entry'!D$8),ISNUMBER('Council Entry'!D$9)),MAX(MIN('Council Entry'!D64,'Council Entry'!D$9),'Council Entry'!D$8),'Council Entry'!D64)),IF(AND(ISNUMBER('Council Entry'!D$8),ISNUMBER('Council Entry'!D$9)),MAX(MIN('Council Entry'!D64,'Council Entry'!D$9),'Council Entry'!D$8),'Council Entry'!D64))))-'Council Entry'!D$5)/('Council Entry'!D$6-'Council Entry'!D$5),10*((IF('Council Entry'!D$4="Logarithm",LN(0.001+IF(AND(ISNUMBER('Council Entry'!D$8),ISNUMBER('Council Entry'!D$9)),MAX(MIN('Council Entry'!D64,'Council Entry'!D$9),'Council Entry'!D$8),'Council Entry'!D64)),IF('Council Entry'!D$4="Exponential",EXP(IF(AND(ISNUMBER('Council Entry'!D$8),ISNUMBER('Council Entry'!D$9)),MAX(MIN('Council Entry'!D64,'Council Entry'!D$9),'Council Entry'!D$8),'Council Entry'!D64)),IF(AND(ISNUMBER('Council Entry'!D$8),ISNUMBER('Council Entry'!D$9)),MAX(MIN('Council Entry'!D64,'Council Entry'!D$9),'Council Entry'!D$8),'Council Entry'!D64))))-'Council Entry'!D$5)/('Council Entry'!D$6-'Council Entry'!D$5)),1))),"No data"))</f>
        <v/>
      </c>
      <c r="E64" s="13">
        <f>IF('Council Entry'!E64="","",IFERROR(MAX(0,MIN(10,ROUND(IF('Council Entry'!E$7="Decrease Risk",10-10*((IF('Council Entry'!E$4="Logarithm",LN(0.001+IF(AND(ISNUMBER('Council Entry'!E$8),ISNUMBER('Council Entry'!E$9)),MAX(MIN('Council Entry'!E64,'Council Entry'!E$9),'Council Entry'!E$8),'Council Entry'!E64)),IF('Council Entry'!E$4="Exponential",EXP(IF(AND(ISNUMBER('Council Entry'!E$8),ISNUMBER('Council Entry'!E$9)),MAX(MIN('Council Entry'!E64,'Council Entry'!E$9),'Council Entry'!E$8),'Council Entry'!E64)),IF(AND(ISNUMBER('Council Entry'!E$8),ISNUMBER('Council Entry'!E$9)),MAX(MIN('Council Entry'!E64,'Council Entry'!E$9),'Council Entry'!E$8),'Council Entry'!E64))))-'Council Entry'!E$5)/('Council Entry'!E$6-'Council Entry'!E$5),10*((IF('Council Entry'!E$4="Logarithm",LN(0.001+IF(AND(ISNUMBER('Council Entry'!E$8),ISNUMBER('Council Entry'!E$9)),MAX(MIN('Council Entry'!E64,'Council Entry'!E$9),'Council Entry'!E$8),'Council Entry'!E64)),IF('Council Entry'!E$4="Exponential",EXP(IF(AND(ISNUMBER('Council Entry'!E$8),ISNUMBER('Council Entry'!E$9)),MAX(MIN('Council Entry'!E64,'Council Entry'!E$9),'Council Entry'!E$8),'Council Entry'!E64)),IF(AND(ISNUMBER('Council Entry'!E$8),ISNUMBER('Council Entry'!E$9)),MAX(MIN('Council Entry'!E64,'Council Entry'!E$9),'Council Entry'!E$8),'Council Entry'!E64))))-'Council Entry'!E$5)/('Council Entry'!E$6-'Council Entry'!E$5)),1))),"No data"))</f>
        <v/>
      </c>
      <c r="F64" s="13">
        <f>IF('Council Entry'!F64="","",IFERROR(MAX(0,MIN(10,ROUND(IF('Council Entry'!F$7="Decrease Risk",10-10*((IF('Council Entry'!F$4="Logarithm",LN(0.001+IF(AND(ISNUMBER('Council Entry'!F$8),ISNUMBER('Council Entry'!F$9)),MAX(MIN('Council Entry'!F64,'Council Entry'!F$9),'Council Entry'!F$8),'Council Entry'!F64)),IF('Council Entry'!F$4="Exponential",EXP(IF(AND(ISNUMBER('Council Entry'!F$8),ISNUMBER('Council Entry'!F$9)),MAX(MIN('Council Entry'!F64,'Council Entry'!F$9),'Council Entry'!F$8),'Council Entry'!F64)),IF(AND(ISNUMBER('Council Entry'!F$8),ISNUMBER('Council Entry'!F$9)),MAX(MIN('Council Entry'!F64,'Council Entry'!F$9),'Council Entry'!F$8),'Council Entry'!F64))))-'Council Entry'!F$5)/('Council Entry'!F$6-'Council Entry'!F$5),10*((IF('Council Entry'!F$4="Logarithm",LN(0.001+IF(AND(ISNUMBER('Council Entry'!F$8),ISNUMBER('Council Entry'!F$9)),MAX(MIN('Council Entry'!F64,'Council Entry'!F$9),'Council Entry'!F$8),'Council Entry'!F64)),IF('Council Entry'!F$4="Exponential",EXP(IF(AND(ISNUMBER('Council Entry'!F$8),ISNUMBER('Council Entry'!F$9)),MAX(MIN('Council Entry'!F64,'Council Entry'!F$9),'Council Entry'!F$8),'Council Entry'!F64)),IF(AND(ISNUMBER('Council Entry'!F$8),ISNUMBER('Council Entry'!F$9)),MAX(MIN('Council Entry'!F64,'Council Entry'!F$9),'Council Entry'!F$8),'Council Entry'!F64))))-'Council Entry'!F$5)/('Council Entry'!F$6-'Council Entry'!F$5)),1))),"No data"))</f>
        <v/>
      </c>
      <c r="G64" s="13">
        <f>IF('Council Entry'!G64="","",IFERROR(MAX(0,MIN(10,ROUND(IF('Council Entry'!G$7="Decrease Risk",10-10*((IF('Council Entry'!G$4="Logarithm",LN(0.001+IF(AND(ISNUMBER('Council Entry'!G$8),ISNUMBER('Council Entry'!G$9)),MAX(MIN('Council Entry'!G64,'Council Entry'!G$9),'Council Entry'!G$8),'Council Entry'!G64)),IF('Council Entry'!G$4="Exponential",EXP(IF(AND(ISNUMBER('Council Entry'!G$8),ISNUMBER('Council Entry'!G$9)),MAX(MIN('Council Entry'!G64,'Council Entry'!G$9),'Council Entry'!G$8),'Council Entry'!G64)),IF(AND(ISNUMBER('Council Entry'!G$8),ISNUMBER('Council Entry'!G$9)),MAX(MIN('Council Entry'!G64,'Council Entry'!G$9),'Council Entry'!G$8),'Council Entry'!G64))))-'Council Entry'!G$5)/('Council Entry'!G$6-'Council Entry'!G$5),10*((IF('Council Entry'!G$4="Logarithm",LN(0.001+IF(AND(ISNUMBER('Council Entry'!G$8),ISNUMBER('Council Entry'!G$9)),MAX(MIN('Council Entry'!G64,'Council Entry'!G$9),'Council Entry'!G$8),'Council Entry'!G64)),IF('Council Entry'!G$4="Exponential",EXP(IF(AND(ISNUMBER('Council Entry'!G$8),ISNUMBER('Council Entry'!G$9)),MAX(MIN('Council Entry'!G64,'Council Entry'!G$9),'Council Entry'!G$8),'Council Entry'!G64)),IF(AND(ISNUMBER('Council Entry'!G$8),ISNUMBER('Council Entry'!G$9)),MAX(MIN('Council Entry'!G64,'Council Entry'!G$9),'Council Entry'!G$8),'Council Entry'!G64))))-'Council Entry'!G$5)/('Council Entry'!G$6-'Council Entry'!G$5)),1))),"No data"))</f>
        <v/>
      </c>
      <c r="H64" s="13">
        <f>IF('Council Entry'!H64="","",IFERROR(MAX(0,MIN(10,ROUND(IF('Council Entry'!H$7="Decrease Risk",10-10*((IF('Council Entry'!H$4="Logarithm",LN(0.001+IF(AND(ISNUMBER('Council Entry'!H$8),ISNUMBER('Council Entry'!H$9)),MAX(MIN('Council Entry'!H64,'Council Entry'!H$9),'Council Entry'!H$8),'Council Entry'!H64)),IF('Council Entry'!H$4="Exponential",EXP(IF(AND(ISNUMBER('Council Entry'!H$8),ISNUMBER('Council Entry'!H$9)),MAX(MIN('Council Entry'!H64,'Council Entry'!H$9),'Council Entry'!H$8),'Council Entry'!H64)),IF(AND(ISNUMBER('Council Entry'!H$8),ISNUMBER('Council Entry'!H$9)),MAX(MIN('Council Entry'!H64,'Council Entry'!H$9),'Council Entry'!H$8),'Council Entry'!H64))))-'Council Entry'!H$5)/('Council Entry'!H$6-'Council Entry'!H$5),10*((IF('Council Entry'!H$4="Logarithm",LN(0.001+IF(AND(ISNUMBER('Council Entry'!H$8),ISNUMBER('Council Entry'!H$9)),MAX(MIN('Council Entry'!H64,'Council Entry'!H$9),'Council Entry'!H$8),'Council Entry'!H64)),IF('Council Entry'!H$4="Exponential",EXP(IF(AND(ISNUMBER('Council Entry'!H$8),ISNUMBER('Council Entry'!H$9)),MAX(MIN('Council Entry'!H64,'Council Entry'!H$9),'Council Entry'!H$8),'Council Entry'!H64)),IF(AND(ISNUMBER('Council Entry'!H$8),ISNUMBER('Council Entry'!H$9)),MAX(MIN('Council Entry'!H64,'Council Entry'!H$9),'Council Entry'!H$8),'Council Entry'!H64))))-'Council Entry'!H$5)/('Council Entry'!H$6-'Council Entry'!H$5)),1))),"No data"))</f>
        <v/>
      </c>
      <c r="I64" s="13">
        <f>IF('Council Entry'!I64="","",IFERROR(MAX(0,MIN(10,ROUND(IF('Council Entry'!I$7="Decrease Risk",10-10*((IF('Council Entry'!I$4="Logarithm",LN(0.001+IF(AND(ISNUMBER('Council Entry'!I$8),ISNUMBER('Council Entry'!I$9)),MAX(MIN('Council Entry'!I64,'Council Entry'!I$9),'Council Entry'!I$8),'Council Entry'!I64)),IF('Council Entry'!I$4="Exponential",EXP(IF(AND(ISNUMBER('Council Entry'!I$8),ISNUMBER('Council Entry'!I$9)),MAX(MIN('Council Entry'!I64,'Council Entry'!I$9),'Council Entry'!I$8),'Council Entry'!I64)),IF(AND(ISNUMBER('Council Entry'!I$8),ISNUMBER('Council Entry'!I$9)),MAX(MIN('Council Entry'!I64,'Council Entry'!I$9),'Council Entry'!I$8),'Council Entry'!I64))))-'Council Entry'!I$5)/('Council Entry'!I$6-'Council Entry'!I$5),10*((IF('Council Entry'!I$4="Logarithm",LN(0.001+IF(AND(ISNUMBER('Council Entry'!I$8),ISNUMBER('Council Entry'!I$9)),MAX(MIN('Council Entry'!I64,'Council Entry'!I$9),'Council Entry'!I$8),'Council Entry'!I64)),IF('Council Entry'!I$4="Exponential",EXP(IF(AND(ISNUMBER('Council Entry'!I$8),ISNUMBER('Council Entry'!I$9)),MAX(MIN('Council Entry'!I64,'Council Entry'!I$9),'Council Entry'!I$8),'Council Entry'!I64)),IF(AND(ISNUMBER('Council Entry'!I$8),ISNUMBER('Council Entry'!I$9)),MAX(MIN('Council Entry'!I64,'Council Entry'!I$9),'Council Entry'!I$8),'Council Entry'!I64))))-'Council Entry'!I$5)/('Council Entry'!I$6-'Council Entry'!I$5)),1))),"No data"))</f>
        <v/>
      </c>
      <c r="J64" s="13">
        <f>IF('Council Entry'!J64="","",IFERROR(MAX(0,MIN(10,ROUND(IF('Council Entry'!J$7="Decrease Risk",10-10*((IF('Council Entry'!J$4="Logarithm",LN(0.001+IF(AND(ISNUMBER('Council Entry'!J$8),ISNUMBER('Council Entry'!J$9)),MAX(MIN('Council Entry'!J64,'Council Entry'!J$9),'Council Entry'!J$8),'Council Entry'!J64)),IF('Council Entry'!J$4="Exponential",EXP(IF(AND(ISNUMBER('Council Entry'!J$8),ISNUMBER('Council Entry'!J$9)),MAX(MIN('Council Entry'!J64,'Council Entry'!J$9),'Council Entry'!J$8),'Council Entry'!J64)),IF(AND(ISNUMBER('Council Entry'!J$8),ISNUMBER('Council Entry'!J$9)),MAX(MIN('Council Entry'!J64,'Council Entry'!J$9),'Council Entry'!J$8),'Council Entry'!J64))))-'Council Entry'!J$5)/('Council Entry'!J$6-'Council Entry'!J$5),10*((IF('Council Entry'!J$4="Logarithm",LN(0.001+IF(AND(ISNUMBER('Council Entry'!J$8),ISNUMBER('Council Entry'!J$9)),MAX(MIN('Council Entry'!J64,'Council Entry'!J$9),'Council Entry'!J$8),'Council Entry'!J64)),IF('Council Entry'!J$4="Exponential",EXP(IF(AND(ISNUMBER('Council Entry'!J$8),ISNUMBER('Council Entry'!J$9)),MAX(MIN('Council Entry'!J64,'Council Entry'!J$9),'Council Entry'!J$8),'Council Entry'!J64)),IF(AND(ISNUMBER('Council Entry'!J$8),ISNUMBER('Council Entry'!J$9)),MAX(MIN('Council Entry'!J64,'Council Entry'!J$9),'Council Entry'!J$8),'Council Entry'!J64))))-'Council Entry'!J$5)/('Council Entry'!J$6-'Council Entry'!J$5)),1))),"No data"))</f>
        <v/>
      </c>
      <c r="K64" s="13">
        <f>IF('Council Entry'!K64="","",IFERROR(MAX(0,MIN(10,ROUND(IF('Council Entry'!K$7="Decrease Risk",10-10*((IF('Council Entry'!K$4="Logarithm",LN(0.001+IF(AND(ISNUMBER('Council Entry'!K$8),ISNUMBER('Council Entry'!K$9)),MAX(MIN('Council Entry'!K64,'Council Entry'!K$9),'Council Entry'!K$8),'Council Entry'!K64)),IF('Council Entry'!K$4="Exponential",EXP(IF(AND(ISNUMBER('Council Entry'!K$8),ISNUMBER('Council Entry'!K$9)),MAX(MIN('Council Entry'!K64,'Council Entry'!K$9),'Council Entry'!K$8),'Council Entry'!K64)),IF(AND(ISNUMBER('Council Entry'!K$8),ISNUMBER('Council Entry'!K$9)),MAX(MIN('Council Entry'!K64,'Council Entry'!K$9),'Council Entry'!K$8),'Council Entry'!K64))))-'Council Entry'!K$5)/('Council Entry'!K$6-'Council Entry'!K$5),10*((IF('Council Entry'!K$4="Logarithm",LN(0.001+IF(AND(ISNUMBER('Council Entry'!K$8),ISNUMBER('Council Entry'!K$9)),MAX(MIN('Council Entry'!K64,'Council Entry'!K$9),'Council Entry'!K$8),'Council Entry'!K64)),IF('Council Entry'!K$4="Exponential",EXP(IF(AND(ISNUMBER('Council Entry'!K$8),ISNUMBER('Council Entry'!K$9)),MAX(MIN('Council Entry'!K64,'Council Entry'!K$9),'Council Entry'!K$8),'Council Entry'!K64)),IF(AND(ISNUMBER('Council Entry'!K$8),ISNUMBER('Council Entry'!K$9)),MAX(MIN('Council Entry'!K64,'Council Entry'!K$9),'Council Entry'!K$8),'Council Entry'!K64))))-'Council Entry'!K$5)/('Council Entry'!K$6-'Council Entry'!K$5)),1))),"No data"))</f>
        <v/>
      </c>
      <c r="L64" s="13">
        <f>IF('Council Entry'!L64="","",IFERROR(MAX(0,MIN(10,ROUND(IF('Council Entry'!L$7="Decrease Risk",10-10*((IF('Council Entry'!L$4="Logarithm",LN(0.001+IF(AND(ISNUMBER('Council Entry'!L$8),ISNUMBER('Council Entry'!L$9)),MAX(MIN('Council Entry'!L64,'Council Entry'!L$9),'Council Entry'!L$8),'Council Entry'!L64)),IF('Council Entry'!L$4="Exponential",EXP(IF(AND(ISNUMBER('Council Entry'!L$8),ISNUMBER('Council Entry'!L$9)),MAX(MIN('Council Entry'!L64,'Council Entry'!L$9),'Council Entry'!L$8),'Council Entry'!L64)),IF(AND(ISNUMBER('Council Entry'!L$8),ISNUMBER('Council Entry'!L$9)),MAX(MIN('Council Entry'!L64,'Council Entry'!L$9),'Council Entry'!L$8),'Council Entry'!L64))))-'Council Entry'!L$5)/('Council Entry'!L$6-'Council Entry'!L$5),10*((IF('Council Entry'!L$4="Logarithm",LN(0.001+IF(AND(ISNUMBER('Council Entry'!L$8),ISNUMBER('Council Entry'!L$9)),MAX(MIN('Council Entry'!L64,'Council Entry'!L$9),'Council Entry'!L$8),'Council Entry'!L64)),IF('Council Entry'!L$4="Exponential",EXP(IF(AND(ISNUMBER('Council Entry'!L$8),ISNUMBER('Council Entry'!L$9)),MAX(MIN('Council Entry'!L64,'Council Entry'!L$9),'Council Entry'!L$8),'Council Entry'!L64)),IF(AND(ISNUMBER('Council Entry'!L$8),ISNUMBER('Council Entry'!L$9)),MAX(MIN('Council Entry'!L64,'Council Entry'!L$9),'Council Entry'!L$8),'Council Entry'!L64))))-'Council Entry'!L$5)/('Council Entry'!L$6-'Council Entry'!L$5)),1))),"No data"))</f>
        <v/>
      </c>
      <c r="M64" s="13">
        <f>IF('Council Entry'!M64="","",IFERROR(MAX(0,MIN(10,ROUND(IF('Council Entry'!M$7="Decrease Risk",10-10*((IF('Council Entry'!M$4="Logarithm",LN(0.001+IF(AND(ISNUMBER('Council Entry'!M$8),ISNUMBER('Council Entry'!M$9)),MAX(MIN('Council Entry'!M64,'Council Entry'!M$9),'Council Entry'!M$8),'Council Entry'!M64)),IF('Council Entry'!M$4="Exponential",EXP(IF(AND(ISNUMBER('Council Entry'!M$8),ISNUMBER('Council Entry'!M$9)),MAX(MIN('Council Entry'!M64,'Council Entry'!M$9),'Council Entry'!M$8),'Council Entry'!M64)),IF(AND(ISNUMBER('Council Entry'!M$8),ISNUMBER('Council Entry'!M$9)),MAX(MIN('Council Entry'!M64,'Council Entry'!M$9),'Council Entry'!M$8),'Council Entry'!M64))))-'Council Entry'!M$5)/('Council Entry'!M$6-'Council Entry'!M$5),10*((IF('Council Entry'!M$4="Logarithm",LN(0.001+IF(AND(ISNUMBER('Council Entry'!M$8),ISNUMBER('Council Entry'!M$9)),MAX(MIN('Council Entry'!M64,'Council Entry'!M$9),'Council Entry'!M$8),'Council Entry'!M64)),IF('Council Entry'!M$4="Exponential",EXP(IF(AND(ISNUMBER('Council Entry'!M$8),ISNUMBER('Council Entry'!M$9)),MAX(MIN('Council Entry'!M64,'Council Entry'!M$9),'Council Entry'!M$8),'Council Entry'!M64)),IF(AND(ISNUMBER('Council Entry'!M$8),ISNUMBER('Council Entry'!M$9)),MAX(MIN('Council Entry'!M64,'Council Entry'!M$9),'Council Entry'!M$8),'Council Entry'!M64))))-'Council Entry'!M$5)/('Council Entry'!M$6-'Council Entry'!M$5)),1))),"No data"))</f>
        <v/>
      </c>
      <c r="N64" s="13">
        <f>IF('Council Entry'!N64="","",IFERROR(MAX(0,MIN(10,ROUND(IF('Council Entry'!N$7="Decrease Risk",10-10*((IF('Council Entry'!N$4="Logarithm",LN(0.001+IF(AND(ISNUMBER('Council Entry'!N$8),ISNUMBER('Council Entry'!N$9)),MAX(MIN('Council Entry'!N64,'Council Entry'!N$9),'Council Entry'!N$8),'Council Entry'!N64)),IF('Council Entry'!N$4="Exponential",EXP(IF(AND(ISNUMBER('Council Entry'!N$8),ISNUMBER('Council Entry'!N$9)),MAX(MIN('Council Entry'!N64,'Council Entry'!N$9),'Council Entry'!N$8),'Council Entry'!N64)),IF(AND(ISNUMBER('Council Entry'!N$8),ISNUMBER('Council Entry'!N$9)),MAX(MIN('Council Entry'!N64,'Council Entry'!N$9),'Council Entry'!N$8),'Council Entry'!N64))))-'Council Entry'!N$5)/('Council Entry'!N$6-'Council Entry'!N$5),10*((IF('Council Entry'!N$4="Logarithm",LN(0.001+IF(AND(ISNUMBER('Council Entry'!N$8),ISNUMBER('Council Entry'!N$9)),MAX(MIN('Council Entry'!N64,'Council Entry'!N$9),'Council Entry'!N$8),'Council Entry'!N64)),IF('Council Entry'!N$4="Exponential",EXP(IF(AND(ISNUMBER('Council Entry'!N$8),ISNUMBER('Council Entry'!N$9)),MAX(MIN('Council Entry'!N64,'Council Entry'!N$9),'Council Entry'!N$8),'Council Entry'!N64)),IF(AND(ISNUMBER('Council Entry'!N$8),ISNUMBER('Council Entry'!N$9)),MAX(MIN('Council Entry'!N64,'Council Entry'!N$9),'Council Entry'!N$8),'Council Entry'!N64))))-'Council Entry'!N$5)/('Council Entry'!N$6-'Council Entry'!N$5)),1))),"No data"))</f>
        <v/>
      </c>
      <c r="O64" s="13">
        <f>IF('Council Entry'!O64="","",IFERROR(MAX(0,MIN(10,ROUND(IF('Council Entry'!O$7="Decrease Risk",10-10*((IF('Council Entry'!O$4="Logarithm",LN(0.001+IF(AND(ISNUMBER('Council Entry'!O$8),ISNUMBER('Council Entry'!O$9)),MAX(MIN('Council Entry'!O64,'Council Entry'!O$9),'Council Entry'!O$8),'Council Entry'!O64)),IF('Council Entry'!O$4="Exponential",EXP(IF(AND(ISNUMBER('Council Entry'!O$8),ISNUMBER('Council Entry'!O$9)),MAX(MIN('Council Entry'!O64,'Council Entry'!O$9),'Council Entry'!O$8),'Council Entry'!O64)),IF(AND(ISNUMBER('Council Entry'!O$8),ISNUMBER('Council Entry'!O$9)),MAX(MIN('Council Entry'!O64,'Council Entry'!O$9),'Council Entry'!O$8),'Council Entry'!O64))))-'Council Entry'!O$5)/('Council Entry'!O$6-'Council Entry'!O$5),10*((IF('Council Entry'!O$4="Logarithm",LN(0.001+IF(AND(ISNUMBER('Council Entry'!O$8),ISNUMBER('Council Entry'!O$9)),MAX(MIN('Council Entry'!O64,'Council Entry'!O$9),'Council Entry'!O$8),'Council Entry'!O64)),IF('Council Entry'!O$4="Exponential",EXP(IF(AND(ISNUMBER('Council Entry'!O$8),ISNUMBER('Council Entry'!O$9)),MAX(MIN('Council Entry'!O64,'Council Entry'!O$9),'Council Entry'!O$8),'Council Entry'!O64)),IF(AND(ISNUMBER('Council Entry'!O$8),ISNUMBER('Council Entry'!O$9)),MAX(MIN('Council Entry'!O64,'Council Entry'!O$9),'Council Entry'!O$8),'Council Entry'!O64))))-'Council Entry'!O$5)/('Council Entry'!O$6-'Council Entry'!O$5)),1))),"No data"))</f>
        <v/>
      </c>
      <c r="P64" s="13">
        <f>IF('Council Entry'!P64="","",IFERROR(MAX(0,MIN(10,ROUND(IF('Council Entry'!P$7="Decrease Risk",10-10*((IF('Council Entry'!P$4="Logarithm",LN(0.001+IF(AND(ISNUMBER('Council Entry'!P$8),ISNUMBER('Council Entry'!P$9)),MAX(MIN('Council Entry'!P64,'Council Entry'!P$9),'Council Entry'!P$8),'Council Entry'!P64)),IF('Council Entry'!P$4="Exponential",EXP(IF(AND(ISNUMBER('Council Entry'!P$8),ISNUMBER('Council Entry'!P$9)),MAX(MIN('Council Entry'!P64,'Council Entry'!P$9),'Council Entry'!P$8),'Council Entry'!P64)),IF(AND(ISNUMBER('Council Entry'!P$8),ISNUMBER('Council Entry'!P$9)),MAX(MIN('Council Entry'!P64,'Council Entry'!P$9),'Council Entry'!P$8),'Council Entry'!P64))))-'Council Entry'!P$5)/('Council Entry'!P$6-'Council Entry'!P$5),10*((IF('Council Entry'!P$4="Logarithm",LN(0.001+IF(AND(ISNUMBER('Council Entry'!P$8),ISNUMBER('Council Entry'!P$9)),MAX(MIN('Council Entry'!P64,'Council Entry'!P$9),'Council Entry'!P$8),'Council Entry'!P64)),IF('Council Entry'!P$4="Exponential",EXP(IF(AND(ISNUMBER('Council Entry'!P$8),ISNUMBER('Council Entry'!P$9)),MAX(MIN('Council Entry'!P64,'Council Entry'!P$9),'Council Entry'!P$8),'Council Entry'!P64)),IF(AND(ISNUMBER('Council Entry'!P$8),ISNUMBER('Council Entry'!P$9)),MAX(MIN('Council Entry'!P64,'Council Entry'!P$9),'Council Entry'!P$8),'Council Entry'!P64))))-'Council Entry'!P$5)/('Council Entry'!P$6-'Council Entry'!P$5)),1))),"No data"))</f>
        <v/>
      </c>
      <c r="Q64" s="13">
        <f>IF('Council Entry'!Q64="","",IFERROR(MAX(0,MIN(10,ROUND(IF('Council Entry'!Q$7="Decrease Risk",10-10*((IF('Council Entry'!Q$4="Logarithm",LN(0.001+IF(AND(ISNUMBER('Council Entry'!Q$8),ISNUMBER('Council Entry'!Q$9)),MAX(MIN('Council Entry'!Q64,'Council Entry'!Q$9),'Council Entry'!Q$8),'Council Entry'!Q64)),IF('Council Entry'!Q$4="Exponential",EXP(IF(AND(ISNUMBER('Council Entry'!Q$8),ISNUMBER('Council Entry'!Q$9)),MAX(MIN('Council Entry'!Q64,'Council Entry'!Q$9),'Council Entry'!Q$8),'Council Entry'!Q64)),IF(AND(ISNUMBER('Council Entry'!Q$8),ISNUMBER('Council Entry'!Q$9)),MAX(MIN('Council Entry'!Q64,'Council Entry'!Q$9),'Council Entry'!Q$8),'Council Entry'!Q64))))-'Council Entry'!Q$5)/('Council Entry'!Q$6-'Council Entry'!Q$5),10*((IF('Council Entry'!Q$4="Logarithm",LN(0.001+IF(AND(ISNUMBER('Council Entry'!Q$8),ISNUMBER('Council Entry'!Q$9)),MAX(MIN('Council Entry'!Q64,'Council Entry'!Q$9),'Council Entry'!Q$8),'Council Entry'!Q64)),IF('Council Entry'!Q$4="Exponential",EXP(IF(AND(ISNUMBER('Council Entry'!Q$8),ISNUMBER('Council Entry'!Q$9)),MAX(MIN('Council Entry'!Q64,'Council Entry'!Q$9),'Council Entry'!Q$8),'Council Entry'!Q64)),IF(AND(ISNUMBER('Council Entry'!Q$8),ISNUMBER('Council Entry'!Q$9)),MAX(MIN('Council Entry'!Q64,'Council Entry'!Q$9),'Council Entry'!Q$8),'Council Entry'!Q64))))-'Council Entry'!Q$5)/('Council Entry'!Q$6-'Council Entry'!Q$5)),1))),"No data"))</f>
        <v/>
      </c>
      <c r="R64" s="13">
        <f>IF('Council Entry'!R64="","",IFERROR(MAX(0,MIN(10,ROUND(IF('Council Entry'!R$7="Decrease Risk",10-10*((IF('Council Entry'!R$4="Logarithm",LN(0.001+IF(AND(ISNUMBER('Council Entry'!R$8),ISNUMBER('Council Entry'!R$9)),MAX(MIN('Council Entry'!R64,'Council Entry'!R$9),'Council Entry'!R$8),'Council Entry'!R64)),IF('Council Entry'!R$4="Exponential",EXP(IF(AND(ISNUMBER('Council Entry'!R$8),ISNUMBER('Council Entry'!R$9)),MAX(MIN('Council Entry'!R64,'Council Entry'!R$9),'Council Entry'!R$8),'Council Entry'!R64)),IF(AND(ISNUMBER('Council Entry'!R$8),ISNUMBER('Council Entry'!R$9)),MAX(MIN('Council Entry'!R64,'Council Entry'!R$9),'Council Entry'!R$8),'Council Entry'!R64))))-'Council Entry'!R$5)/('Council Entry'!R$6-'Council Entry'!R$5),10*((IF('Council Entry'!R$4="Logarithm",LN(0.001+IF(AND(ISNUMBER('Council Entry'!R$8),ISNUMBER('Council Entry'!R$9)),MAX(MIN('Council Entry'!R64,'Council Entry'!R$9),'Council Entry'!R$8),'Council Entry'!R64)),IF('Council Entry'!R$4="Exponential",EXP(IF(AND(ISNUMBER('Council Entry'!R$8),ISNUMBER('Council Entry'!R$9)),MAX(MIN('Council Entry'!R64,'Council Entry'!R$9),'Council Entry'!R$8),'Council Entry'!R64)),IF(AND(ISNUMBER('Council Entry'!R$8),ISNUMBER('Council Entry'!R$9)),MAX(MIN('Council Entry'!R64,'Council Entry'!R$9),'Council Entry'!R$8),'Council Entry'!R64))))-'Council Entry'!R$5)/('Council Entry'!R$6-'Council Entry'!R$5)),1))),"No data"))</f>
        <v/>
      </c>
      <c r="S64" s="13">
        <f>IF('Council Entry'!S64="","",IFERROR(MAX(0,MIN(10,ROUND(IF('Council Entry'!S$7="Decrease Risk",10-10*((IF('Council Entry'!S$4="Logarithm",LN(0.001+IF(AND(ISNUMBER('Council Entry'!S$8),ISNUMBER('Council Entry'!S$9)),MAX(MIN('Council Entry'!S64,'Council Entry'!S$9),'Council Entry'!S$8),'Council Entry'!S64)),IF('Council Entry'!S$4="Exponential",EXP(IF(AND(ISNUMBER('Council Entry'!S$8),ISNUMBER('Council Entry'!S$9)),MAX(MIN('Council Entry'!S64,'Council Entry'!S$9),'Council Entry'!S$8),'Council Entry'!S64)),IF(AND(ISNUMBER('Council Entry'!S$8),ISNUMBER('Council Entry'!S$9)),MAX(MIN('Council Entry'!S64,'Council Entry'!S$9),'Council Entry'!S$8),'Council Entry'!S64))))-'Council Entry'!S$5)/('Council Entry'!S$6-'Council Entry'!S$5),10*((IF('Council Entry'!S$4="Logarithm",LN(0.001+IF(AND(ISNUMBER('Council Entry'!S$8),ISNUMBER('Council Entry'!S$9)),MAX(MIN('Council Entry'!S64,'Council Entry'!S$9),'Council Entry'!S$8),'Council Entry'!S64)),IF('Council Entry'!S$4="Exponential",EXP(IF(AND(ISNUMBER('Council Entry'!S$8),ISNUMBER('Council Entry'!S$9)),MAX(MIN('Council Entry'!S64,'Council Entry'!S$9),'Council Entry'!S$8),'Council Entry'!S64)),IF(AND(ISNUMBER('Council Entry'!S$8),ISNUMBER('Council Entry'!S$9)),MAX(MIN('Council Entry'!S64,'Council Entry'!S$9),'Council Entry'!S$8),'Council Entry'!S64))))-'Council Entry'!S$5)/('Council Entry'!S$6-'Council Entry'!S$5)),1))),"No data"))</f>
        <v/>
      </c>
      <c r="T64" s="13">
        <f>IF('Council Entry'!T64="","",IFERROR(MAX(0,MIN(10,ROUND(IF('Council Entry'!T$7="Decrease Risk",10-10*((IF('Council Entry'!T$4="Logarithm",LN(0.001+IF(AND(ISNUMBER('Council Entry'!T$8),ISNUMBER('Council Entry'!T$9)),MAX(MIN('Council Entry'!T64,'Council Entry'!T$9),'Council Entry'!T$8),'Council Entry'!T64)),IF('Council Entry'!T$4="Exponential",EXP(IF(AND(ISNUMBER('Council Entry'!T$8),ISNUMBER('Council Entry'!T$9)),MAX(MIN('Council Entry'!T64,'Council Entry'!T$9),'Council Entry'!T$8),'Council Entry'!T64)),IF(AND(ISNUMBER('Council Entry'!T$8),ISNUMBER('Council Entry'!T$9)),MAX(MIN('Council Entry'!T64,'Council Entry'!T$9),'Council Entry'!T$8),'Council Entry'!T64))))-'Council Entry'!T$5)/('Council Entry'!T$6-'Council Entry'!T$5),10*((IF('Council Entry'!T$4="Logarithm",LN(0.001+IF(AND(ISNUMBER('Council Entry'!T$8),ISNUMBER('Council Entry'!T$9)),MAX(MIN('Council Entry'!T64,'Council Entry'!T$9),'Council Entry'!T$8),'Council Entry'!T64)),IF('Council Entry'!T$4="Exponential",EXP(IF(AND(ISNUMBER('Council Entry'!T$8),ISNUMBER('Council Entry'!T$9)),MAX(MIN('Council Entry'!T64,'Council Entry'!T$9),'Council Entry'!T$8),'Council Entry'!T64)),IF(AND(ISNUMBER('Council Entry'!T$8),ISNUMBER('Council Entry'!T$9)),MAX(MIN('Council Entry'!T64,'Council Entry'!T$9),'Council Entry'!T$8),'Council Entry'!T64))))-'Council Entry'!T$5)/('Council Entry'!T$6-'Council Entry'!T$5)),1))),"No data"))</f>
        <v/>
      </c>
      <c r="U64" s="13">
        <f>IF('Council Entry'!U64="","",IFERROR(MAX(0,MIN(10,ROUND(IF('Council Entry'!U$7="Decrease Risk",10-10*((IF('Council Entry'!U$4="Logarithm",LN(0.001+IF(AND(ISNUMBER('Council Entry'!U$8),ISNUMBER('Council Entry'!U$9)),MAX(MIN('Council Entry'!U64,'Council Entry'!U$9),'Council Entry'!U$8),'Council Entry'!U64)),IF('Council Entry'!U$4="Exponential",EXP(IF(AND(ISNUMBER('Council Entry'!U$8),ISNUMBER('Council Entry'!U$9)),MAX(MIN('Council Entry'!U64,'Council Entry'!U$9),'Council Entry'!U$8),'Council Entry'!U64)),IF(AND(ISNUMBER('Council Entry'!U$8),ISNUMBER('Council Entry'!U$9)),MAX(MIN('Council Entry'!U64,'Council Entry'!U$9),'Council Entry'!U$8),'Council Entry'!U64))))-'Council Entry'!U$5)/('Council Entry'!U$6-'Council Entry'!U$5),10*((IF('Council Entry'!U$4="Logarithm",LN(0.001+IF(AND(ISNUMBER('Council Entry'!U$8),ISNUMBER('Council Entry'!U$9)),MAX(MIN('Council Entry'!U64,'Council Entry'!U$9),'Council Entry'!U$8),'Council Entry'!U64)),IF('Council Entry'!U$4="Exponential",EXP(IF(AND(ISNUMBER('Council Entry'!U$8),ISNUMBER('Council Entry'!U$9)),MAX(MIN('Council Entry'!U64,'Council Entry'!U$9),'Council Entry'!U$8),'Council Entry'!U64)),IF(AND(ISNUMBER('Council Entry'!U$8),ISNUMBER('Council Entry'!U$9)),MAX(MIN('Council Entry'!U64,'Council Entry'!U$9),'Council Entry'!U$8),'Council Entry'!U64))))-'Council Entry'!U$5)/('Council Entry'!U$6-'Council Entry'!U$5)),1))),"No data"))</f>
        <v/>
      </c>
      <c r="V64" s="13">
        <f>IF('Council Entry'!V64="","",IFERROR(MAX(0,MIN(10,ROUND(IF('Council Entry'!V$7="Decrease Risk",10-10*((IF('Council Entry'!V$4="Logarithm",LN(0.001+IF(AND(ISNUMBER('Council Entry'!V$8),ISNUMBER('Council Entry'!V$9)),MAX(MIN('Council Entry'!V64,'Council Entry'!V$9),'Council Entry'!V$8),'Council Entry'!V64)),IF('Council Entry'!V$4="Exponential",EXP(IF(AND(ISNUMBER('Council Entry'!V$8),ISNUMBER('Council Entry'!V$9)),MAX(MIN('Council Entry'!V64,'Council Entry'!V$9),'Council Entry'!V$8),'Council Entry'!V64)),IF(AND(ISNUMBER('Council Entry'!V$8),ISNUMBER('Council Entry'!V$9)),MAX(MIN('Council Entry'!V64,'Council Entry'!V$9),'Council Entry'!V$8),'Council Entry'!V64))))-'Council Entry'!V$5)/('Council Entry'!V$6-'Council Entry'!V$5),10*((IF('Council Entry'!V$4="Logarithm",LN(0.001+IF(AND(ISNUMBER('Council Entry'!V$8),ISNUMBER('Council Entry'!V$9)),MAX(MIN('Council Entry'!V64,'Council Entry'!V$9),'Council Entry'!V$8),'Council Entry'!V64)),IF('Council Entry'!V$4="Exponential",EXP(IF(AND(ISNUMBER('Council Entry'!V$8),ISNUMBER('Council Entry'!V$9)),MAX(MIN('Council Entry'!V64,'Council Entry'!V$9),'Council Entry'!V$8),'Council Entry'!V64)),IF(AND(ISNUMBER('Council Entry'!V$8),ISNUMBER('Council Entry'!V$9)),MAX(MIN('Council Entry'!V64,'Council Entry'!V$9),'Council Entry'!V$8),'Council Entry'!V64))))-'Council Entry'!V$5)/('Council Entry'!V$6-'Council Entry'!V$5)),1))),"No data"))</f>
        <v/>
      </c>
      <c r="W64" s="13">
        <f>IF('Council Entry'!W64="","",IFERROR(MAX(0,MIN(10,ROUND(IF('Council Entry'!W$7="Decrease Risk",10-10*((IF('Council Entry'!W$4="Logarithm",LN(0.001+IF(AND(ISNUMBER('Council Entry'!W$8),ISNUMBER('Council Entry'!W$9)),MAX(MIN('Council Entry'!W64,'Council Entry'!W$9),'Council Entry'!W$8),'Council Entry'!W64)),IF('Council Entry'!W$4="Exponential",EXP(IF(AND(ISNUMBER('Council Entry'!W$8),ISNUMBER('Council Entry'!W$9)),MAX(MIN('Council Entry'!W64,'Council Entry'!W$9),'Council Entry'!W$8),'Council Entry'!W64)),IF(AND(ISNUMBER('Council Entry'!W$8),ISNUMBER('Council Entry'!W$9)),MAX(MIN('Council Entry'!W64,'Council Entry'!W$9),'Council Entry'!W$8),'Council Entry'!W64))))-'Council Entry'!W$5)/('Council Entry'!W$6-'Council Entry'!W$5),10*((IF('Council Entry'!W$4="Logarithm",LN(0.001+IF(AND(ISNUMBER('Council Entry'!W$8),ISNUMBER('Council Entry'!W$9)),MAX(MIN('Council Entry'!W64,'Council Entry'!W$9),'Council Entry'!W$8),'Council Entry'!W64)),IF('Council Entry'!W$4="Exponential",EXP(IF(AND(ISNUMBER('Council Entry'!W$8),ISNUMBER('Council Entry'!W$9)),MAX(MIN('Council Entry'!W64,'Council Entry'!W$9),'Council Entry'!W$8),'Council Entry'!W64)),IF(AND(ISNUMBER('Council Entry'!W$8),ISNUMBER('Council Entry'!W$9)),MAX(MIN('Council Entry'!W64,'Council Entry'!W$9),'Council Entry'!W$8),'Council Entry'!W64))))-'Council Entry'!W$5)/('Council Entry'!W$6-'Council Entry'!W$5)),1))),"No data"))</f>
        <v/>
      </c>
      <c r="X64" s="13">
        <f>IF('Council Entry'!X64="","",IFERROR(MAX(0,MIN(10,ROUND(IF('Council Entry'!X$7="Decrease Risk",10-10*((IF('Council Entry'!X$4="Logarithm",LN(0.001+IF(AND(ISNUMBER('Council Entry'!X$8),ISNUMBER('Council Entry'!X$9)),MAX(MIN('Council Entry'!X64,'Council Entry'!X$9),'Council Entry'!X$8),'Council Entry'!X64)),IF('Council Entry'!X$4="Exponential",EXP(IF(AND(ISNUMBER('Council Entry'!X$8),ISNUMBER('Council Entry'!X$9)),MAX(MIN('Council Entry'!X64,'Council Entry'!X$9),'Council Entry'!X$8),'Council Entry'!X64)),IF(AND(ISNUMBER('Council Entry'!X$8),ISNUMBER('Council Entry'!X$9)),MAX(MIN('Council Entry'!X64,'Council Entry'!X$9),'Council Entry'!X$8),'Council Entry'!X64))))-'Council Entry'!X$5)/('Council Entry'!X$6-'Council Entry'!X$5),10*((IF('Council Entry'!X$4="Logarithm",LN(0.001+IF(AND(ISNUMBER('Council Entry'!X$8),ISNUMBER('Council Entry'!X$9)),MAX(MIN('Council Entry'!X64,'Council Entry'!X$9),'Council Entry'!X$8),'Council Entry'!X64)),IF('Council Entry'!X$4="Exponential",EXP(IF(AND(ISNUMBER('Council Entry'!X$8),ISNUMBER('Council Entry'!X$9)),MAX(MIN('Council Entry'!X64,'Council Entry'!X$9),'Council Entry'!X$8),'Council Entry'!X64)),IF(AND(ISNUMBER('Council Entry'!X$8),ISNUMBER('Council Entry'!X$9)),MAX(MIN('Council Entry'!X64,'Council Entry'!X$9),'Council Entry'!X$8),'Council Entry'!X64))))-'Council Entry'!X$5)/('Council Entry'!X$6-'Council Entry'!X$5)),1))),"No data"))</f>
        <v/>
      </c>
      <c r="Y64" s="13">
        <f>IF('Council Entry'!Y64="","",IFERROR(MAX(0,MIN(10,ROUND(IF('Council Entry'!Y$7="Decrease Risk",10-10*((IF('Council Entry'!Y$4="Logarithm",LN(0.001+IF(AND(ISNUMBER('Council Entry'!Y$8),ISNUMBER('Council Entry'!Y$9)),MAX(MIN('Council Entry'!Y64,'Council Entry'!Y$9),'Council Entry'!Y$8),'Council Entry'!Y64)),IF('Council Entry'!Y$4="Exponential",EXP(IF(AND(ISNUMBER('Council Entry'!Y$8),ISNUMBER('Council Entry'!Y$9)),MAX(MIN('Council Entry'!Y64,'Council Entry'!Y$9),'Council Entry'!Y$8),'Council Entry'!Y64)),IF(AND(ISNUMBER('Council Entry'!Y$8),ISNUMBER('Council Entry'!Y$9)),MAX(MIN('Council Entry'!Y64,'Council Entry'!Y$9),'Council Entry'!Y$8),'Council Entry'!Y64))))-'Council Entry'!Y$5)/('Council Entry'!Y$6-'Council Entry'!Y$5),10*((IF('Council Entry'!Y$4="Logarithm",LN(0.001+IF(AND(ISNUMBER('Council Entry'!Y$8),ISNUMBER('Council Entry'!Y$9)),MAX(MIN('Council Entry'!Y64,'Council Entry'!Y$9),'Council Entry'!Y$8),'Council Entry'!Y64)),IF('Council Entry'!Y$4="Exponential",EXP(IF(AND(ISNUMBER('Council Entry'!Y$8),ISNUMBER('Council Entry'!Y$9)),MAX(MIN('Council Entry'!Y64,'Council Entry'!Y$9),'Council Entry'!Y$8),'Council Entry'!Y64)),IF(AND(ISNUMBER('Council Entry'!Y$8),ISNUMBER('Council Entry'!Y$9)),MAX(MIN('Council Entry'!Y64,'Council Entry'!Y$9),'Council Entry'!Y$8),'Council Entry'!Y64))))-'Council Entry'!Y$5)/('Council Entry'!Y$6-'Council Entry'!Y$5)),1))),"No data"))</f>
        <v/>
      </c>
      <c r="Z64" s="13">
        <f>IF('Council Entry'!Z64="","",IFERROR(MAX(0,MIN(10,ROUND(IF('Council Entry'!Z$7="Decrease Risk",10-10*((IF('Council Entry'!Z$4="Logarithm",LN(0.001+IF(AND(ISNUMBER('Council Entry'!Z$8),ISNUMBER('Council Entry'!Z$9)),MAX(MIN('Council Entry'!Z64,'Council Entry'!Z$9),'Council Entry'!Z$8),'Council Entry'!Z64)),IF('Council Entry'!Z$4="Exponential",EXP(IF(AND(ISNUMBER('Council Entry'!Z$8),ISNUMBER('Council Entry'!Z$9)),MAX(MIN('Council Entry'!Z64,'Council Entry'!Z$9),'Council Entry'!Z$8),'Council Entry'!Z64)),IF(AND(ISNUMBER('Council Entry'!Z$8),ISNUMBER('Council Entry'!Z$9)),MAX(MIN('Council Entry'!Z64,'Council Entry'!Z$9),'Council Entry'!Z$8),'Council Entry'!Z64))))-'Council Entry'!Z$5)/('Council Entry'!Z$6-'Council Entry'!Z$5),10*((IF('Council Entry'!Z$4="Logarithm",LN(0.001+IF(AND(ISNUMBER('Council Entry'!Z$8),ISNUMBER('Council Entry'!Z$9)),MAX(MIN('Council Entry'!Z64,'Council Entry'!Z$9),'Council Entry'!Z$8),'Council Entry'!Z64)),IF('Council Entry'!Z$4="Exponential",EXP(IF(AND(ISNUMBER('Council Entry'!Z$8),ISNUMBER('Council Entry'!Z$9)),MAX(MIN('Council Entry'!Z64,'Council Entry'!Z$9),'Council Entry'!Z$8),'Council Entry'!Z64)),IF(AND(ISNUMBER('Council Entry'!Z$8),ISNUMBER('Council Entry'!Z$9)),MAX(MIN('Council Entry'!Z64,'Council Entry'!Z$9),'Council Entry'!Z$8),'Council Entry'!Z64))))-'Council Entry'!Z$5)/('Council Entry'!Z$6-'Council Entry'!Z$5)),1))),"No data"))</f>
        <v/>
      </c>
      <c r="AA64" s="13">
        <f>IF('Council Entry'!AA64="","",IFERROR(MAX(0,MIN(10,ROUND(IF('Council Entry'!AA$7="Decrease Risk",10-10*((IF('Council Entry'!AA$4="Logarithm",LN(0.001+IF(AND(ISNUMBER('Council Entry'!AA$8),ISNUMBER('Council Entry'!AA$9)),MAX(MIN('Council Entry'!AA64,'Council Entry'!AA$9),'Council Entry'!AA$8),'Council Entry'!AA64)),IF('Council Entry'!AA$4="Exponential",EXP(IF(AND(ISNUMBER('Council Entry'!AA$8),ISNUMBER('Council Entry'!AA$9)),MAX(MIN('Council Entry'!AA64,'Council Entry'!AA$9),'Council Entry'!AA$8),'Council Entry'!AA64)),IF(AND(ISNUMBER('Council Entry'!AA$8),ISNUMBER('Council Entry'!AA$9)),MAX(MIN('Council Entry'!AA64,'Council Entry'!AA$9),'Council Entry'!AA$8),'Council Entry'!AA64))))-'Council Entry'!AA$5)/('Council Entry'!AA$6-'Council Entry'!AA$5),10*((IF('Council Entry'!AA$4="Logarithm",LN(0.001+IF(AND(ISNUMBER('Council Entry'!AA$8),ISNUMBER('Council Entry'!AA$9)),MAX(MIN('Council Entry'!AA64,'Council Entry'!AA$9),'Council Entry'!AA$8),'Council Entry'!AA64)),IF('Council Entry'!AA$4="Exponential",EXP(IF(AND(ISNUMBER('Council Entry'!AA$8),ISNUMBER('Council Entry'!AA$9)),MAX(MIN('Council Entry'!AA64,'Council Entry'!AA$9),'Council Entry'!AA$8),'Council Entry'!AA64)),IF(AND(ISNUMBER('Council Entry'!AA$8),ISNUMBER('Council Entry'!AA$9)),MAX(MIN('Council Entry'!AA64,'Council Entry'!AA$9),'Council Entry'!AA$8),'Council Entry'!AA64))))-'Council Entry'!AA$5)/('Council Entry'!AA$6-'Council Entry'!AA$5)),1))),"No data"))</f>
        <v/>
      </c>
      <c r="AB64" s="13">
        <f>IF('Council Entry'!AB64="","",IFERROR(MAX(0,MIN(10,ROUND(IF('Council Entry'!AB$7="Decrease Risk",10-10*((IF('Council Entry'!AB$4="Logarithm",LN(0.001+IF(AND(ISNUMBER('Council Entry'!AB$8),ISNUMBER('Council Entry'!AB$9)),MAX(MIN('Council Entry'!AB64,'Council Entry'!AB$9),'Council Entry'!AB$8),'Council Entry'!AB64)),IF('Council Entry'!AB$4="Exponential",EXP(IF(AND(ISNUMBER('Council Entry'!AB$8),ISNUMBER('Council Entry'!AB$9)),MAX(MIN('Council Entry'!AB64,'Council Entry'!AB$9),'Council Entry'!AB$8),'Council Entry'!AB64)),IF(AND(ISNUMBER('Council Entry'!AB$8),ISNUMBER('Council Entry'!AB$9)),MAX(MIN('Council Entry'!AB64,'Council Entry'!AB$9),'Council Entry'!AB$8),'Council Entry'!AB64))))-'Council Entry'!AB$5)/('Council Entry'!AB$6-'Council Entry'!AB$5),10*((IF('Council Entry'!AB$4="Logarithm",LN(0.001+IF(AND(ISNUMBER('Council Entry'!AB$8),ISNUMBER('Council Entry'!AB$9)),MAX(MIN('Council Entry'!AB64,'Council Entry'!AB$9),'Council Entry'!AB$8),'Council Entry'!AB64)),IF('Council Entry'!AB$4="Exponential",EXP(IF(AND(ISNUMBER('Council Entry'!AB$8),ISNUMBER('Council Entry'!AB$9)),MAX(MIN('Council Entry'!AB64,'Council Entry'!AB$9),'Council Entry'!AB$8),'Council Entry'!AB64)),IF(AND(ISNUMBER('Council Entry'!AB$8),ISNUMBER('Council Entry'!AB$9)),MAX(MIN('Council Entry'!AB64,'Council Entry'!AB$9),'Council Entry'!AB$8),'Council Entry'!AB64))))-'Council Entry'!AB$5)/('Council Entry'!AB$6-'Council Entry'!AB$5)),1))),"No data"))</f>
        <v/>
      </c>
      <c r="AC64" s="13">
        <f>IF('Council Entry'!AC64="","",IFERROR(MAX(0,MIN(10,ROUND(IF('Council Entry'!AC$7="Decrease Risk",10-10*((IF('Council Entry'!AC$4="Logarithm",LN(0.001+IF(AND(ISNUMBER('Council Entry'!AC$8),ISNUMBER('Council Entry'!AC$9)),MAX(MIN('Council Entry'!AC64,'Council Entry'!AC$9),'Council Entry'!AC$8),'Council Entry'!AC64)),IF('Council Entry'!AC$4="Exponential",EXP(IF(AND(ISNUMBER('Council Entry'!AC$8),ISNUMBER('Council Entry'!AC$9)),MAX(MIN('Council Entry'!AC64,'Council Entry'!AC$9),'Council Entry'!AC$8),'Council Entry'!AC64)),IF(AND(ISNUMBER('Council Entry'!AC$8),ISNUMBER('Council Entry'!AC$9)),MAX(MIN('Council Entry'!AC64,'Council Entry'!AC$9),'Council Entry'!AC$8),'Council Entry'!AC64))))-'Council Entry'!AC$5)/('Council Entry'!AC$6-'Council Entry'!AC$5),10*((IF('Council Entry'!AC$4="Logarithm",LN(0.001+IF(AND(ISNUMBER('Council Entry'!AC$8),ISNUMBER('Council Entry'!AC$9)),MAX(MIN('Council Entry'!AC64,'Council Entry'!AC$9),'Council Entry'!AC$8),'Council Entry'!AC64)),IF('Council Entry'!AC$4="Exponential",EXP(IF(AND(ISNUMBER('Council Entry'!AC$8),ISNUMBER('Council Entry'!AC$9)),MAX(MIN('Council Entry'!AC64,'Council Entry'!AC$9),'Council Entry'!AC$8),'Council Entry'!AC64)),IF(AND(ISNUMBER('Council Entry'!AC$8),ISNUMBER('Council Entry'!AC$9)),MAX(MIN('Council Entry'!AC64,'Council Entry'!AC$9),'Council Entry'!AC$8),'Council Entry'!AC64))))-'Council Entry'!AC$5)/('Council Entry'!AC$6-'Council Entry'!AC$5)),1))),"No data"))</f>
        <v/>
      </c>
      <c r="AD64" s="13">
        <f>IF('Council Entry'!AD64="","",IFERROR(MAX(0,MIN(10,ROUND(IF('Council Entry'!AD$7="Decrease Risk",10-10*((IF('Council Entry'!AD$4="Logarithm",LN(0.001+IF(AND(ISNUMBER('Council Entry'!AD$8),ISNUMBER('Council Entry'!AD$9)),MAX(MIN('Council Entry'!AD64,'Council Entry'!AD$9),'Council Entry'!AD$8),'Council Entry'!AD64)),IF('Council Entry'!AD$4="Exponential",EXP(IF(AND(ISNUMBER('Council Entry'!AD$8),ISNUMBER('Council Entry'!AD$9)),MAX(MIN('Council Entry'!AD64,'Council Entry'!AD$9),'Council Entry'!AD$8),'Council Entry'!AD64)),IF(AND(ISNUMBER('Council Entry'!AD$8),ISNUMBER('Council Entry'!AD$9)),MAX(MIN('Council Entry'!AD64,'Council Entry'!AD$9),'Council Entry'!AD$8),'Council Entry'!AD64))))-'Council Entry'!AD$5)/('Council Entry'!AD$6-'Council Entry'!AD$5),10*((IF('Council Entry'!AD$4="Logarithm",LN(0.001+IF(AND(ISNUMBER('Council Entry'!AD$8),ISNUMBER('Council Entry'!AD$9)),MAX(MIN('Council Entry'!AD64,'Council Entry'!AD$9),'Council Entry'!AD$8),'Council Entry'!AD64)),IF('Council Entry'!AD$4="Exponential",EXP(IF(AND(ISNUMBER('Council Entry'!AD$8),ISNUMBER('Council Entry'!AD$9)),MAX(MIN('Council Entry'!AD64,'Council Entry'!AD$9),'Council Entry'!AD$8),'Council Entry'!AD64)),IF(AND(ISNUMBER('Council Entry'!AD$8),ISNUMBER('Council Entry'!AD$9)),MAX(MIN('Council Entry'!AD64,'Council Entry'!AD$9),'Council Entry'!AD$8),'Council Entry'!AD64))))-'Council Entry'!AD$5)/('Council Entry'!AD$6-'Council Entry'!AD$5)),1))),"No data"))</f>
        <v/>
      </c>
      <c r="AE64" s="13">
        <f>IF('Council Entry'!AE64="","",IFERROR(MAX(0,MIN(10,ROUND(IF('Council Entry'!AE$7="Decrease Risk",10-10*((IF('Council Entry'!AE$4="Logarithm",LN(0.001+IF(AND(ISNUMBER('Council Entry'!AE$8),ISNUMBER('Council Entry'!AE$9)),MAX(MIN('Council Entry'!AE64,'Council Entry'!AE$9),'Council Entry'!AE$8),'Council Entry'!AE64)),IF('Council Entry'!AE$4="Exponential",EXP(IF(AND(ISNUMBER('Council Entry'!AE$8),ISNUMBER('Council Entry'!AE$9)),MAX(MIN('Council Entry'!AE64,'Council Entry'!AE$9),'Council Entry'!AE$8),'Council Entry'!AE64)),IF(AND(ISNUMBER('Council Entry'!AE$8),ISNUMBER('Council Entry'!AE$9)),MAX(MIN('Council Entry'!AE64,'Council Entry'!AE$9),'Council Entry'!AE$8),'Council Entry'!AE64))))-'Council Entry'!AE$5)/('Council Entry'!AE$6-'Council Entry'!AE$5),10*((IF('Council Entry'!AE$4="Logarithm",LN(0.001+IF(AND(ISNUMBER('Council Entry'!AE$8),ISNUMBER('Council Entry'!AE$9)),MAX(MIN('Council Entry'!AE64,'Council Entry'!AE$9),'Council Entry'!AE$8),'Council Entry'!AE64)),IF('Council Entry'!AE$4="Exponential",EXP(IF(AND(ISNUMBER('Council Entry'!AE$8),ISNUMBER('Council Entry'!AE$9)),MAX(MIN('Council Entry'!AE64,'Council Entry'!AE$9),'Council Entry'!AE$8),'Council Entry'!AE64)),IF(AND(ISNUMBER('Council Entry'!AE$8),ISNUMBER('Council Entry'!AE$9)),MAX(MIN('Council Entry'!AE64,'Council Entry'!AE$9),'Council Entry'!AE$8),'Council Entry'!AE64))))-'Council Entry'!AE$5)/('Council Entry'!AE$6-'Council Entry'!AE$5)),1))),"No data"))</f>
        <v/>
      </c>
      <c r="AF64" s="13">
        <f>IF('Council Entry'!AF64="","",IFERROR(MAX(0,MIN(10,ROUND(IF('Council Entry'!AF$7="Decrease Risk",10-10*((IF('Council Entry'!AF$4="Logarithm",LN(0.001+IF(AND(ISNUMBER('Council Entry'!AF$8),ISNUMBER('Council Entry'!AF$9)),MAX(MIN('Council Entry'!AF64,'Council Entry'!AF$9),'Council Entry'!AF$8),'Council Entry'!AF64)),IF('Council Entry'!AF$4="Exponential",EXP(IF(AND(ISNUMBER('Council Entry'!AF$8),ISNUMBER('Council Entry'!AF$9)),MAX(MIN('Council Entry'!AF64,'Council Entry'!AF$9),'Council Entry'!AF$8),'Council Entry'!AF64)),IF(AND(ISNUMBER('Council Entry'!AF$8),ISNUMBER('Council Entry'!AF$9)),MAX(MIN('Council Entry'!AF64,'Council Entry'!AF$9),'Council Entry'!AF$8),'Council Entry'!AF64))))-'Council Entry'!AF$5)/('Council Entry'!AF$6-'Council Entry'!AF$5),10*((IF('Council Entry'!AF$4="Logarithm",LN(0.001+IF(AND(ISNUMBER('Council Entry'!AF$8),ISNUMBER('Council Entry'!AF$9)),MAX(MIN('Council Entry'!AF64,'Council Entry'!AF$9),'Council Entry'!AF$8),'Council Entry'!AF64)),IF('Council Entry'!AF$4="Exponential",EXP(IF(AND(ISNUMBER('Council Entry'!AF$8),ISNUMBER('Council Entry'!AF$9)),MAX(MIN('Council Entry'!AF64,'Council Entry'!AF$9),'Council Entry'!AF$8),'Council Entry'!AF64)),IF(AND(ISNUMBER('Council Entry'!AF$8),ISNUMBER('Council Entry'!AF$9)),MAX(MIN('Council Entry'!AF64,'Council Entry'!AF$9),'Council Entry'!AF$8),'Council Entry'!AF64))))-'Council Entry'!AF$5)/('Council Entry'!AF$6-'Council Entry'!AF$5)),1))),"No data"))</f>
        <v/>
      </c>
      <c r="AG64" s="13">
        <f>IF('Council Entry'!AG64="","",IFERROR(MAX(0,MIN(10,ROUND(IF('Council Entry'!AG$7="Decrease Risk",10-10*((IF('Council Entry'!AG$4="Logarithm",LN(0.001+IF(AND(ISNUMBER('Council Entry'!AG$8),ISNUMBER('Council Entry'!AG$9)),MAX(MIN('Council Entry'!AG64,'Council Entry'!AG$9),'Council Entry'!AG$8),'Council Entry'!AG64)),IF('Council Entry'!AG$4="Exponential",EXP(IF(AND(ISNUMBER('Council Entry'!AG$8),ISNUMBER('Council Entry'!AG$9)),MAX(MIN('Council Entry'!AG64,'Council Entry'!AG$9),'Council Entry'!AG$8),'Council Entry'!AG64)),IF(AND(ISNUMBER('Council Entry'!AG$8),ISNUMBER('Council Entry'!AG$9)),MAX(MIN('Council Entry'!AG64,'Council Entry'!AG$9),'Council Entry'!AG$8),'Council Entry'!AG64))))-'Council Entry'!AG$5)/('Council Entry'!AG$6-'Council Entry'!AG$5),10*((IF('Council Entry'!AG$4="Logarithm",LN(0.001+IF(AND(ISNUMBER('Council Entry'!AG$8),ISNUMBER('Council Entry'!AG$9)),MAX(MIN('Council Entry'!AG64,'Council Entry'!AG$9),'Council Entry'!AG$8),'Council Entry'!AG64)),IF('Council Entry'!AG$4="Exponential",EXP(IF(AND(ISNUMBER('Council Entry'!AG$8),ISNUMBER('Council Entry'!AG$9)),MAX(MIN('Council Entry'!AG64,'Council Entry'!AG$9),'Council Entry'!AG$8),'Council Entry'!AG64)),IF(AND(ISNUMBER('Council Entry'!AG$8),ISNUMBER('Council Entry'!AG$9)),MAX(MIN('Council Entry'!AG64,'Council Entry'!AG$9),'Council Entry'!AG$8),'Council Entry'!AG64))))-'Council Entry'!AG$5)/('Council Entry'!AG$6-'Council Entry'!AG$5)),1))),"No data"))</f>
        <v/>
      </c>
      <c r="AH64" s="13">
        <f>IF('Council Entry'!AH64="","",IFERROR(MAX(0,MIN(10,ROUND(IF('Council Entry'!AH$7="Decrease Risk",10-10*((IF('Council Entry'!AH$4="Logarithm",LN(0.001+IF(AND(ISNUMBER('Council Entry'!AH$8),ISNUMBER('Council Entry'!AH$9)),MAX(MIN('Council Entry'!AH64,'Council Entry'!AH$9),'Council Entry'!AH$8),'Council Entry'!AH64)),IF('Council Entry'!AH$4="Exponential",EXP(IF(AND(ISNUMBER('Council Entry'!AH$8),ISNUMBER('Council Entry'!AH$9)),MAX(MIN('Council Entry'!AH64,'Council Entry'!AH$9),'Council Entry'!AH$8),'Council Entry'!AH64)),IF(AND(ISNUMBER('Council Entry'!AH$8),ISNUMBER('Council Entry'!AH$9)),MAX(MIN('Council Entry'!AH64,'Council Entry'!AH$9),'Council Entry'!AH$8),'Council Entry'!AH64))))-'Council Entry'!AH$5)/('Council Entry'!AH$6-'Council Entry'!AH$5),10*((IF('Council Entry'!AH$4="Logarithm",LN(0.001+IF(AND(ISNUMBER('Council Entry'!AH$8),ISNUMBER('Council Entry'!AH$9)),MAX(MIN('Council Entry'!AH64,'Council Entry'!AH$9),'Council Entry'!AH$8),'Council Entry'!AH64)),IF('Council Entry'!AH$4="Exponential",EXP(IF(AND(ISNUMBER('Council Entry'!AH$8),ISNUMBER('Council Entry'!AH$9)),MAX(MIN('Council Entry'!AH64,'Council Entry'!AH$9),'Council Entry'!AH$8),'Council Entry'!AH64)),IF(AND(ISNUMBER('Council Entry'!AH$8),ISNUMBER('Council Entry'!AH$9)),MAX(MIN('Council Entry'!AH64,'Council Entry'!AH$9),'Council Entry'!AH$8),'Council Entry'!AH64))))-'Council Entry'!AH$5)/('Council Entry'!AH$6-'Council Entry'!AH$5)),1))),"No data"))</f>
        <v/>
      </c>
      <c r="AI64" s="13">
        <f>IF('Council Entry'!AI64="","",IFERROR(MAX(0,MIN(10,ROUND(IF('Council Entry'!AI$7="Decrease Risk",10-10*((IF('Council Entry'!AI$4="Logarithm",LN(0.001+IF(AND(ISNUMBER('Council Entry'!AI$8),ISNUMBER('Council Entry'!AI$9)),MAX(MIN('Council Entry'!AI64,'Council Entry'!AI$9),'Council Entry'!AI$8),'Council Entry'!AI64)),IF('Council Entry'!AI$4="Exponential",EXP(IF(AND(ISNUMBER('Council Entry'!AI$8),ISNUMBER('Council Entry'!AI$9)),MAX(MIN('Council Entry'!AI64,'Council Entry'!AI$9),'Council Entry'!AI$8),'Council Entry'!AI64)),IF(AND(ISNUMBER('Council Entry'!AI$8),ISNUMBER('Council Entry'!AI$9)),MAX(MIN('Council Entry'!AI64,'Council Entry'!AI$9),'Council Entry'!AI$8),'Council Entry'!AI64))))-'Council Entry'!AI$5)/('Council Entry'!AI$6-'Council Entry'!AI$5),10*((IF('Council Entry'!AI$4="Logarithm",LN(0.001+IF(AND(ISNUMBER('Council Entry'!AI$8),ISNUMBER('Council Entry'!AI$9)),MAX(MIN('Council Entry'!AI64,'Council Entry'!AI$9),'Council Entry'!AI$8),'Council Entry'!AI64)),IF('Council Entry'!AI$4="Exponential",EXP(IF(AND(ISNUMBER('Council Entry'!AI$8),ISNUMBER('Council Entry'!AI$9)),MAX(MIN('Council Entry'!AI64,'Council Entry'!AI$9),'Council Entry'!AI$8),'Council Entry'!AI64)),IF(AND(ISNUMBER('Council Entry'!AI$8),ISNUMBER('Council Entry'!AI$9)),MAX(MIN('Council Entry'!AI64,'Council Entry'!AI$9),'Council Entry'!AI$8),'Council Entry'!AI64))))-'Council Entry'!AI$5)/('Council Entry'!AI$6-'Council Entry'!AI$5)),1))),"No data"))</f>
        <v/>
      </c>
      <c r="AJ64" s="13">
        <f>IF('Council Entry'!AJ64="","",IFERROR(MAX(0,MIN(10,ROUND(IF('Council Entry'!AJ$7="Decrease Risk",10-10*((IF('Council Entry'!AJ$4="Logarithm",LN(0.001+IF(AND(ISNUMBER('Council Entry'!AJ$8),ISNUMBER('Council Entry'!AJ$9)),MAX(MIN('Council Entry'!AJ64,'Council Entry'!AJ$9),'Council Entry'!AJ$8),'Council Entry'!AJ64)),IF('Council Entry'!AJ$4="Exponential",EXP(IF(AND(ISNUMBER('Council Entry'!AJ$8),ISNUMBER('Council Entry'!AJ$9)),MAX(MIN('Council Entry'!AJ64,'Council Entry'!AJ$9),'Council Entry'!AJ$8),'Council Entry'!AJ64)),IF(AND(ISNUMBER('Council Entry'!AJ$8),ISNUMBER('Council Entry'!AJ$9)),MAX(MIN('Council Entry'!AJ64,'Council Entry'!AJ$9),'Council Entry'!AJ$8),'Council Entry'!AJ64))))-'Council Entry'!AJ$5)/('Council Entry'!AJ$6-'Council Entry'!AJ$5),10*((IF('Council Entry'!AJ$4="Logarithm",LN(0.001+IF(AND(ISNUMBER('Council Entry'!AJ$8),ISNUMBER('Council Entry'!AJ$9)),MAX(MIN('Council Entry'!AJ64,'Council Entry'!AJ$9),'Council Entry'!AJ$8),'Council Entry'!AJ64)),IF('Council Entry'!AJ$4="Exponential",EXP(IF(AND(ISNUMBER('Council Entry'!AJ$8),ISNUMBER('Council Entry'!AJ$9)),MAX(MIN('Council Entry'!AJ64,'Council Entry'!AJ$9),'Council Entry'!AJ$8),'Council Entry'!AJ64)),IF(AND(ISNUMBER('Council Entry'!AJ$8),ISNUMBER('Council Entry'!AJ$9)),MAX(MIN('Council Entry'!AJ64,'Council Entry'!AJ$9),'Council Entry'!AJ$8),'Council Entry'!AJ64))))-'Council Entry'!AJ$5)/('Council Entry'!AJ$6-'Council Entry'!AJ$5)),1))),"No data"))</f>
        <v/>
      </c>
      <c r="AK64" s="13">
        <f>IF('Council Entry'!AK64="","",IFERROR(MAX(0,MIN(10,ROUND(IF('Council Entry'!AK$7="Decrease Risk",10-10*((IF('Council Entry'!AK$4="Logarithm",LN(0.001+IF(AND(ISNUMBER('Council Entry'!AK$8),ISNUMBER('Council Entry'!AK$9)),MAX(MIN('Council Entry'!AK64,'Council Entry'!AK$9),'Council Entry'!AK$8),'Council Entry'!AK64)),IF('Council Entry'!AK$4="Exponential",EXP(IF(AND(ISNUMBER('Council Entry'!AK$8),ISNUMBER('Council Entry'!AK$9)),MAX(MIN('Council Entry'!AK64,'Council Entry'!AK$9),'Council Entry'!AK$8),'Council Entry'!AK64)),IF(AND(ISNUMBER('Council Entry'!AK$8),ISNUMBER('Council Entry'!AK$9)),MAX(MIN('Council Entry'!AK64,'Council Entry'!AK$9),'Council Entry'!AK$8),'Council Entry'!AK64))))-'Council Entry'!AK$5)/('Council Entry'!AK$6-'Council Entry'!AK$5),10*((IF('Council Entry'!AK$4="Logarithm",LN(0.001+IF(AND(ISNUMBER('Council Entry'!AK$8),ISNUMBER('Council Entry'!AK$9)),MAX(MIN('Council Entry'!AK64,'Council Entry'!AK$9),'Council Entry'!AK$8),'Council Entry'!AK64)),IF('Council Entry'!AK$4="Exponential",EXP(IF(AND(ISNUMBER('Council Entry'!AK$8),ISNUMBER('Council Entry'!AK$9)),MAX(MIN('Council Entry'!AK64,'Council Entry'!AK$9),'Council Entry'!AK$8),'Council Entry'!AK64)),IF(AND(ISNUMBER('Council Entry'!AK$8),ISNUMBER('Council Entry'!AK$9)),MAX(MIN('Council Entry'!AK64,'Council Entry'!AK$9),'Council Entry'!AK$8),'Council Entry'!AK64))))-'Council Entry'!AK$5)/('Council Entry'!AK$6-'Council Entry'!AK$5)),1))),"No data"))</f>
        <v/>
      </c>
      <c r="AL64" s="13">
        <f>IF('Council Entry'!AL64="","",IFERROR(MAX(0,MIN(10,ROUND(IF('Council Entry'!AL$7="Decrease Risk",10-10*((IF('Council Entry'!AL$4="Logarithm",LN(0.001+IF(AND(ISNUMBER('Council Entry'!AL$8),ISNUMBER('Council Entry'!AL$9)),MAX(MIN('Council Entry'!AL64,'Council Entry'!AL$9),'Council Entry'!AL$8),'Council Entry'!AL64)),IF('Council Entry'!AL$4="Exponential",EXP(IF(AND(ISNUMBER('Council Entry'!AL$8),ISNUMBER('Council Entry'!AL$9)),MAX(MIN('Council Entry'!AL64,'Council Entry'!AL$9),'Council Entry'!AL$8),'Council Entry'!AL64)),IF(AND(ISNUMBER('Council Entry'!AL$8),ISNUMBER('Council Entry'!AL$9)),MAX(MIN('Council Entry'!AL64,'Council Entry'!AL$9),'Council Entry'!AL$8),'Council Entry'!AL64))))-'Council Entry'!AL$5)/('Council Entry'!AL$6-'Council Entry'!AL$5),10*((IF('Council Entry'!AL$4="Logarithm",LN(0.001+IF(AND(ISNUMBER('Council Entry'!AL$8),ISNUMBER('Council Entry'!AL$9)),MAX(MIN('Council Entry'!AL64,'Council Entry'!AL$9),'Council Entry'!AL$8),'Council Entry'!AL64)),IF('Council Entry'!AL$4="Exponential",EXP(IF(AND(ISNUMBER('Council Entry'!AL$8),ISNUMBER('Council Entry'!AL$9)),MAX(MIN('Council Entry'!AL64,'Council Entry'!AL$9),'Council Entry'!AL$8),'Council Entry'!AL64)),IF(AND(ISNUMBER('Council Entry'!AL$8),ISNUMBER('Council Entry'!AL$9)),MAX(MIN('Council Entry'!AL64,'Council Entry'!AL$9),'Council Entry'!AL$8),'Council Entry'!AL64))))-'Council Entry'!AL$5)/('Council Entry'!AL$6-'Council Entry'!AL$5)),1))),"No data"))</f>
        <v/>
      </c>
      <c r="AM64" s="13">
        <f>IF('Council Entry'!AM64="","",IFERROR(MAX(0,MIN(10,ROUND(IF('Council Entry'!AM$7="Decrease Risk",10-10*((IF('Council Entry'!AM$4="Logarithm",LN(0.001+IF(AND(ISNUMBER('Council Entry'!AM$8),ISNUMBER('Council Entry'!AM$9)),MAX(MIN('Council Entry'!AM64,'Council Entry'!AM$9),'Council Entry'!AM$8),'Council Entry'!AM64)),IF('Council Entry'!AM$4="Exponential",EXP(IF(AND(ISNUMBER('Council Entry'!AM$8),ISNUMBER('Council Entry'!AM$9)),MAX(MIN('Council Entry'!AM64,'Council Entry'!AM$9),'Council Entry'!AM$8),'Council Entry'!AM64)),IF(AND(ISNUMBER('Council Entry'!AM$8),ISNUMBER('Council Entry'!AM$9)),MAX(MIN('Council Entry'!AM64,'Council Entry'!AM$9),'Council Entry'!AM$8),'Council Entry'!AM64))))-'Council Entry'!AM$5)/('Council Entry'!AM$6-'Council Entry'!AM$5),10*((IF('Council Entry'!AM$4="Logarithm",LN(0.001+IF(AND(ISNUMBER('Council Entry'!AM$8),ISNUMBER('Council Entry'!AM$9)),MAX(MIN('Council Entry'!AM64,'Council Entry'!AM$9),'Council Entry'!AM$8),'Council Entry'!AM64)),IF('Council Entry'!AM$4="Exponential",EXP(IF(AND(ISNUMBER('Council Entry'!AM$8),ISNUMBER('Council Entry'!AM$9)),MAX(MIN('Council Entry'!AM64,'Council Entry'!AM$9),'Council Entry'!AM$8),'Council Entry'!AM64)),IF(AND(ISNUMBER('Council Entry'!AM$8),ISNUMBER('Council Entry'!AM$9)),MAX(MIN('Council Entry'!AM64,'Council Entry'!AM$9),'Council Entry'!AM$8),'Council Entry'!AM64))))-'Council Entry'!AM$5)/('Council Entry'!AM$6-'Council Entry'!AM$5)),1))),"No data"))</f>
        <v/>
      </c>
      <c r="AN64" s="13">
        <f>IF('Council Entry'!AN64="","",IFERROR(MAX(0,MIN(10,ROUND(IF('Council Entry'!AN$7="Decrease Risk",10-10*((IF('Council Entry'!AN$4="Logarithm",LN(0.001+IF(AND(ISNUMBER('Council Entry'!AN$8),ISNUMBER('Council Entry'!AN$9)),MAX(MIN('Council Entry'!AN64,'Council Entry'!AN$9),'Council Entry'!AN$8),'Council Entry'!AN64)),IF('Council Entry'!AN$4="Exponential",EXP(IF(AND(ISNUMBER('Council Entry'!AN$8),ISNUMBER('Council Entry'!AN$9)),MAX(MIN('Council Entry'!AN64,'Council Entry'!AN$9),'Council Entry'!AN$8),'Council Entry'!AN64)),IF(AND(ISNUMBER('Council Entry'!AN$8),ISNUMBER('Council Entry'!AN$9)),MAX(MIN('Council Entry'!AN64,'Council Entry'!AN$9),'Council Entry'!AN$8),'Council Entry'!AN64))))-'Council Entry'!AN$5)/('Council Entry'!AN$6-'Council Entry'!AN$5),10*((IF('Council Entry'!AN$4="Logarithm",LN(0.001+IF(AND(ISNUMBER('Council Entry'!AN$8),ISNUMBER('Council Entry'!AN$9)),MAX(MIN('Council Entry'!AN64,'Council Entry'!AN$9),'Council Entry'!AN$8),'Council Entry'!AN64)),IF('Council Entry'!AN$4="Exponential",EXP(IF(AND(ISNUMBER('Council Entry'!AN$8),ISNUMBER('Council Entry'!AN$9)),MAX(MIN('Council Entry'!AN64,'Council Entry'!AN$9),'Council Entry'!AN$8),'Council Entry'!AN64)),IF(AND(ISNUMBER('Council Entry'!AN$8),ISNUMBER('Council Entry'!AN$9)),MAX(MIN('Council Entry'!AN64,'Council Entry'!AN$9),'Council Entry'!AN$8),'Council Entry'!AN64))))-'Council Entry'!AN$5)/('Council Entry'!AN$6-'Council Entry'!AN$5)),1))),"No data"))</f>
        <v/>
      </c>
      <c r="AO64" s="13">
        <f>IF('Council Entry'!AO64="","",IFERROR(MAX(0,MIN(10,ROUND(IF('Council Entry'!AO$7="Decrease Risk",10-10*((IF('Council Entry'!AO$4="Logarithm",LN(0.001+IF(AND(ISNUMBER('Council Entry'!AO$8),ISNUMBER('Council Entry'!AO$9)),MAX(MIN('Council Entry'!AO64,'Council Entry'!AO$9),'Council Entry'!AO$8),'Council Entry'!AO64)),IF('Council Entry'!AO$4="Exponential",EXP(IF(AND(ISNUMBER('Council Entry'!AO$8),ISNUMBER('Council Entry'!AO$9)),MAX(MIN('Council Entry'!AO64,'Council Entry'!AO$9),'Council Entry'!AO$8),'Council Entry'!AO64)),IF(AND(ISNUMBER('Council Entry'!AO$8),ISNUMBER('Council Entry'!AO$9)),MAX(MIN('Council Entry'!AO64,'Council Entry'!AO$9),'Council Entry'!AO$8),'Council Entry'!AO64))))-'Council Entry'!AO$5)/('Council Entry'!AO$6-'Council Entry'!AO$5),10*((IF('Council Entry'!AO$4="Logarithm",LN(0.001+IF(AND(ISNUMBER('Council Entry'!AO$8),ISNUMBER('Council Entry'!AO$9)),MAX(MIN('Council Entry'!AO64,'Council Entry'!AO$9),'Council Entry'!AO$8),'Council Entry'!AO64)),IF('Council Entry'!AO$4="Exponential",EXP(IF(AND(ISNUMBER('Council Entry'!AO$8),ISNUMBER('Council Entry'!AO$9)),MAX(MIN('Council Entry'!AO64,'Council Entry'!AO$9),'Council Entry'!AO$8),'Council Entry'!AO64)),IF(AND(ISNUMBER('Council Entry'!AO$8),ISNUMBER('Council Entry'!AO$9)),MAX(MIN('Council Entry'!AO64,'Council Entry'!AO$9),'Council Entry'!AO$8),'Council Entry'!AO64))))-'Council Entry'!AO$5)/('Council Entry'!AO$6-'Council Entry'!AO$5)),1))),"No data"))</f>
        <v/>
      </c>
      <c r="AP64" s="13">
        <f>IF('Council Entry'!AP64="","",IFERROR(MAX(0,MIN(10,ROUND(IF('Council Entry'!AP$7="Decrease Risk",10-10*((IF('Council Entry'!AP$4="Logarithm",LN(0.001+IF(AND(ISNUMBER('Council Entry'!AP$8),ISNUMBER('Council Entry'!AP$9)),MAX(MIN('Council Entry'!AP64,'Council Entry'!AP$9),'Council Entry'!AP$8),'Council Entry'!AP64)),IF('Council Entry'!AP$4="Exponential",EXP(IF(AND(ISNUMBER('Council Entry'!AP$8),ISNUMBER('Council Entry'!AP$9)),MAX(MIN('Council Entry'!AP64,'Council Entry'!AP$9),'Council Entry'!AP$8),'Council Entry'!AP64)),IF(AND(ISNUMBER('Council Entry'!AP$8),ISNUMBER('Council Entry'!AP$9)),MAX(MIN('Council Entry'!AP64,'Council Entry'!AP$9),'Council Entry'!AP$8),'Council Entry'!AP64))))-'Council Entry'!AP$5)/('Council Entry'!AP$6-'Council Entry'!AP$5),10*((IF('Council Entry'!AP$4="Logarithm",LN(0.001+IF(AND(ISNUMBER('Council Entry'!AP$8),ISNUMBER('Council Entry'!AP$9)),MAX(MIN('Council Entry'!AP64,'Council Entry'!AP$9),'Council Entry'!AP$8),'Council Entry'!AP64)),IF('Council Entry'!AP$4="Exponential",EXP(IF(AND(ISNUMBER('Council Entry'!AP$8),ISNUMBER('Council Entry'!AP$9)),MAX(MIN('Council Entry'!AP64,'Council Entry'!AP$9),'Council Entry'!AP$8),'Council Entry'!AP64)),IF(AND(ISNUMBER('Council Entry'!AP$8),ISNUMBER('Council Entry'!AP$9)),MAX(MIN('Council Entry'!AP64,'Council Entry'!AP$9),'Council Entry'!AP$8),'Council Entry'!AP64))))-'Council Entry'!AP$5)/('Council Entry'!AP$6-'Council Entry'!AP$5)),1))),"No data"))</f>
        <v/>
      </c>
      <c r="AQ64" s="13">
        <f>IF('Council Entry'!AQ64="","",IFERROR(MAX(0,MIN(10,ROUND(IF('Council Entry'!AQ$7="Decrease Risk",10-10*((IF('Council Entry'!AQ$4="Logarithm",LN(0.001+IF(AND(ISNUMBER('Council Entry'!AQ$8),ISNUMBER('Council Entry'!AQ$9)),MAX(MIN('Council Entry'!AQ64,'Council Entry'!AQ$9),'Council Entry'!AQ$8),'Council Entry'!AQ64)),IF('Council Entry'!AQ$4="Exponential",EXP(IF(AND(ISNUMBER('Council Entry'!AQ$8),ISNUMBER('Council Entry'!AQ$9)),MAX(MIN('Council Entry'!AQ64,'Council Entry'!AQ$9),'Council Entry'!AQ$8),'Council Entry'!AQ64)),IF(AND(ISNUMBER('Council Entry'!AQ$8),ISNUMBER('Council Entry'!AQ$9)),MAX(MIN('Council Entry'!AQ64,'Council Entry'!AQ$9),'Council Entry'!AQ$8),'Council Entry'!AQ64))))-'Council Entry'!AQ$5)/('Council Entry'!AQ$6-'Council Entry'!AQ$5),10*((IF('Council Entry'!AQ$4="Logarithm",LN(0.001+IF(AND(ISNUMBER('Council Entry'!AQ$8),ISNUMBER('Council Entry'!AQ$9)),MAX(MIN('Council Entry'!AQ64,'Council Entry'!AQ$9),'Council Entry'!AQ$8),'Council Entry'!AQ64)),IF('Council Entry'!AQ$4="Exponential",EXP(IF(AND(ISNUMBER('Council Entry'!AQ$8),ISNUMBER('Council Entry'!AQ$9)),MAX(MIN('Council Entry'!AQ64,'Council Entry'!AQ$9),'Council Entry'!AQ$8),'Council Entry'!AQ64)),IF(AND(ISNUMBER('Council Entry'!AQ$8),ISNUMBER('Council Entry'!AQ$9)),MAX(MIN('Council Entry'!AQ64,'Council Entry'!AQ$9),'Council Entry'!AQ$8),'Council Entry'!AQ64))))-'Council Entry'!AQ$5)/('Council Entry'!AQ$6-'Council Entry'!AQ$5)),1))),"No data"))</f>
        <v/>
      </c>
      <c r="AR64" s="13">
        <f>IF('Council Entry'!AR64="","",IFERROR(MAX(0,MIN(10,ROUND(IF('Council Entry'!AR$7="Decrease Risk",10-10*((IF('Council Entry'!AR$4="Logarithm",LN(0.001+IF(AND(ISNUMBER('Council Entry'!AR$8),ISNUMBER('Council Entry'!AR$9)),MAX(MIN('Council Entry'!AR64,'Council Entry'!AR$9),'Council Entry'!AR$8),'Council Entry'!AR64)),IF('Council Entry'!AR$4="Exponential",EXP(IF(AND(ISNUMBER('Council Entry'!AR$8),ISNUMBER('Council Entry'!AR$9)),MAX(MIN('Council Entry'!AR64,'Council Entry'!AR$9),'Council Entry'!AR$8),'Council Entry'!AR64)),IF(AND(ISNUMBER('Council Entry'!AR$8),ISNUMBER('Council Entry'!AR$9)),MAX(MIN('Council Entry'!AR64,'Council Entry'!AR$9),'Council Entry'!AR$8),'Council Entry'!AR64))))-'Council Entry'!AR$5)/('Council Entry'!AR$6-'Council Entry'!AR$5),10*((IF('Council Entry'!AR$4="Logarithm",LN(0.001+IF(AND(ISNUMBER('Council Entry'!AR$8),ISNUMBER('Council Entry'!AR$9)),MAX(MIN('Council Entry'!AR64,'Council Entry'!AR$9),'Council Entry'!AR$8),'Council Entry'!AR64)),IF('Council Entry'!AR$4="Exponential",EXP(IF(AND(ISNUMBER('Council Entry'!AR$8),ISNUMBER('Council Entry'!AR$9)),MAX(MIN('Council Entry'!AR64,'Council Entry'!AR$9),'Council Entry'!AR$8),'Council Entry'!AR64)),IF(AND(ISNUMBER('Council Entry'!AR$8),ISNUMBER('Council Entry'!AR$9)),MAX(MIN('Council Entry'!AR64,'Council Entry'!AR$9),'Council Entry'!AR$8),'Council Entry'!AR64))))-'Council Entry'!AR$5)/('Council Entry'!AR$6-'Council Entry'!AR$5)),1))),"No data"))</f>
        <v/>
      </c>
      <c r="AS64" s="13">
        <f>IF('Council Entry'!AS64="","",IFERROR(MAX(0,MIN(10,ROUND(IF('Council Entry'!AS$7="Decrease Risk",10-10*((IF('Council Entry'!AS$4="Logarithm",LN(0.001+IF(AND(ISNUMBER('Council Entry'!AS$8),ISNUMBER('Council Entry'!AS$9)),MAX(MIN('Council Entry'!AS64,'Council Entry'!AS$9),'Council Entry'!AS$8),'Council Entry'!AS64)),IF('Council Entry'!AS$4="Exponential",EXP(IF(AND(ISNUMBER('Council Entry'!AS$8),ISNUMBER('Council Entry'!AS$9)),MAX(MIN('Council Entry'!AS64,'Council Entry'!AS$9),'Council Entry'!AS$8),'Council Entry'!AS64)),IF(AND(ISNUMBER('Council Entry'!AS$8),ISNUMBER('Council Entry'!AS$9)),MAX(MIN('Council Entry'!AS64,'Council Entry'!AS$9),'Council Entry'!AS$8),'Council Entry'!AS64))))-'Council Entry'!AS$5)/('Council Entry'!AS$6-'Council Entry'!AS$5),10*((IF('Council Entry'!AS$4="Logarithm",LN(0.001+IF(AND(ISNUMBER('Council Entry'!AS$8),ISNUMBER('Council Entry'!AS$9)),MAX(MIN('Council Entry'!AS64,'Council Entry'!AS$9),'Council Entry'!AS$8),'Council Entry'!AS64)),IF('Council Entry'!AS$4="Exponential",EXP(IF(AND(ISNUMBER('Council Entry'!AS$8),ISNUMBER('Council Entry'!AS$9)),MAX(MIN('Council Entry'!AS64,'Council Entry'!AS$9),'Council Entry'!AS$8),'Council Entry'!AS64)),IF(AND(ISNUMBER('Council Entry'!AS$8),ISNUMBER('Council Entry'!AS$9)),MAX(MIN('Council Entry'!AS64,'Council Entry'!AS$9),'Council Entry'!AS$8),'Council Entry'!AS64))))-'Council Entry'!AS$5)/('Council Entry'!AS$6-'Council Entry'!AS$5)),1))),"No data"))</f>
        <v/>
      </c>
      <c r="AT64" s="13">
        <f>IF('Council Entry'!AT64="","",IFERROR(MAX(0,MIN(10,ROUND(IF('Council Entry'!AT$7="Decrease Risk",10-10*((IF('Council Entry'!AT$4="Logarithm",LN(0.001+IF(AND(ISNUMBER('Council Entry'!AT$8),ISNUMBER('Council Entry'!AT$9)),MAX(MIN('Council Entry'!AT64,'Council Entry'!AT$9),'Council Entry'!AT$8),'Council Entry'!AT64)),IF('Council Entry'!AT$4="Exponential",EXP(IF(AND(ISNUMBER('Council Entry'!AT$8),ISNUMBER('Council Entry'!AT$9)),MAX(MIN('Council Entry'!AT64,'Council Entry'!AT$9),'Council Entry'!AT$8),'Council Entry'!AT64)),IF(AND(ISNUMBER('Council Entry'!AT$8),ISNUMBER('Council Entry'!AT$9)),MAX(MIN('Council Entry'!AT64,'Council Entry'!AT$9),'Council Entry'!AT$8),'Council Entry'!AT64))))-'Council Entry'!AT$5)/('Council Entry'!AT$6-'Council Entry'!AT$5),10*((IF('Council Entry'!AT$4="Logarithm",LN(0.001+IF(AND(ISNUMBER('Council Entry'!AT$8),ISNUMBER('Council Entry'!AT$9)),MAX(MIN('Council Entry'!AT64,'Council Entry'!AT$9),'Council Entry'!AT$8),'Council Entry'!AT64)),IF('Council Entry'!AT$4="Exponential",EXP(IF(AND(ISNUMBER('Council Entry'!AT$8),ISNUMBER('Council Entry'!AT$9)),MAX(MIN('Council Entry'!AT64,'Council Entry'!AT$9),'Council Entry'!AT$8),'Council Entry'!AT64)),IF(AND(ISNUMBER('Council Entry'!AT$8),ISNUMBER('Council Entry'!AT$9)),MAX(MIN('Council Entry'!AT64,'Council Entry'!AT$9),'Council Entry'!AT$8),'Council Entry'!AT64))))-'Council Entry'!AT$5)/('Council Entry'!AT$6-'Council Entry'!AT$5)),1))),"No data"))</f>
        <v/>
      </c>
      <c r="AU64" s="13">
        <f>IF('Council Entry'!AU64="","",IFERROR(MAX(0,MIN(10,ROUND(IF('Council Entry'!AU$7="Decrease Risk",10-10*((IF('Council Entry'!AU$4="Logarithm",LN(0.001+IF(AND(ISNUMBER('Council Entry'!AU$8),ISNUMBER('Council Entry'!AU$9)),MAX(MIN('Council Entry'!AU64,'Council Entry'!AU$9),'Council Entry'!AU$8),'Council Entry'!AU64)),IF('Council Entry'!AU$4="Exponential",EXP(IF(AND(ISNUMBER('Council Entry'!AU$8),ISNUMBER('Council Entry'!AU$9)),MAX(MIN('Council Entry'!AU64,'Council Entry'!AU$9),'Council Entry'!AU$8),'Council Entry'!AU64)),IF(AND(ISNUMBER('Council Entry'!AU$8),ISNUMBER('Council Entry'!AU$9)),MAX(MIN('Council Entry'!AU64,'Council Entry'!AU$9),'Council Entry'!AU$8),'Council Entry'!AU64))))-'Council Entry'!AU$5)/('Council Entry'!AU$6-'Council Entry'!AU$5),10*((IF('Council Entry'!AU$4="Logarithm",LN(0.001+IF(AND(ISNUMBER('Council Entry'!AU$8),ISNUMBER('Council Entry'!AU$9)),MAX(MIN('Council Entry'!AU64,'Council Entry'!AU$9),'Council Entry'!AU$8),'Council Entry'!AU64)),IF('Council Entry'!AU$4="Exponential",EXP(IF(AND(ISNUMBER('Council Entry'!AU$8),ISNUMBER('Council Entry'!AU$9)),MAX(MIN('Council Entry'!AU64,'Council Entry'!AU$9),'Council Entry'!AU$8),'Council Entry'!AU64)),IF(AND(ISNUMBER('Council Entry'!AU$8),ISNUMBER('Council Entry'!AU$9)),MAX(MIN('Council Entry'!AU64,'Council Entry'!AU$9),'Council Entry'!AU$8),'Council Entry'!AU64))))-'Council Entry'!AU$5)/('Council Entry'!AU$6-'Council Entry'!AU$5)),1))),"No data"))</f>
        <v/>
      </c>
      <c r="AV64" s="13">
        <f>IF('Council Entry'!AV64="","",IFERROR(MAX(0,MIN(10,ROUND(IF('Council Entry'!AV$7="Decrease Risk",10-10*((IF('Council Entry'!AV$4="Logarithm",LN(0.001+IF(AND(ISNUMBER('Council Entry'!AV$8),ISNUMBER('Council Entry'!AV$9)),MAX(MIN('Council Entry'!AV64,'Council Entry'!AV$9),'Council Entry'!AV$8),'Council Entry'!AV64)),IF('Council Entry'!AV$4="Exponential",EXP(IF(AND(ISNUMBER('Council Entry'!AV$8),ISNUMBER('Council Entry'!AV$9)),MAX(MIN('Council Entry'!AV64,'Council Entry'!AV$9),'Council Entry'!AV$8),'Council Entry'!AV64)),IF(AND(ISNUMBER('Council Entry'!AV$8),ISNUMBER('Council Entry'!AV$9)),MAX(MIN('Council Entry'!AV64,'Council Entry'!AV$9),'Council Entry'!AV$8),'Council Entry'!AV64))))-'Council Entry'!AV$5)/('Council Entry'!AV$6-'Council Entry'!AV$5),10*((IF('Council Entry'!AV$4="Logarithm",LN(0.001+IF(AND(ISNUMBER('Council Entry'!AV$8),ISNUMBER('Council Entry'!AV$9)),MAX(MIN('Council Entry'!AV64,'Council Entry'!AV$9),'Council Entry'!AV$8),'Council Entry'!AV64)),IF('Council Entry'!AV$4="Exponential",EXP(IF(AND(ISNUMBER('Council Entry'!AV$8),ISNUMBER('Council Entry'!AV$9)),MAX(MIN('Council Entry'!AV64,'Council Entry'!AV$9),'Council Entry'!AV$8),'Council Entry'!AV64)),IF(AND(ISNUMBER('Council Entry'!AV$8),ISNUMBER('Council Entry'!AV$9)),MAX(MIN('Council Entry'!AV64,'Council Entry'!AV$9),'Council Entry'!AV$8),'Council Entry'!AV64))))-'Council Entry'!AV$5)/('Council Entry'!AV$6-'Council Entry'!AV$5)),1))),"No data"))</f>
        <v/>
      </c>
      <c r="AW64" s="13">
        <f>IF('Council Entry'!AW64="","",IFERROR(MAX(0,MIN(10,ROUND(IF('Council Entry'!AW$7="Decrease Risk",10-10*((IF('Council Entry'!AW$4="Logarithm",LN(0.001+IF(AND(ISNUMBER('Council Entry'!AW$8),ISNUMBER('Council Entry'!AW$9)),MAX(MIN('Council Entry'!AW64,'Council Entry'!AW$9),'Council Entry'!AW$8),'Council Entry'!AW64)),IF('Council Entry'!AW$4="Exponential",EXP(IF(AND(ISNUMBER('Council Entry'!AW$8),ISNUMBER('Council Entry'!AW$9)),MAX(MIN('Council Entry'!AW64,'Council Entry'!AW$9),'Council Entry'!AW$8),'Council Entry'!AW64)),IF(AND(ISNUMBER('Council Entry'!AW$8),ISNUMBER('Council Entry'!AW$9)),MAX(MIN('Council Entry'!AW64,'Council Entry'!AW$9),'Council Entry'!AW$8),'Council Entry'!AW64))))-'Council Entry'!AW$5)/('Council Entry'!AW$6-'Council Entry'!AW$5),10*((IF('Council Entry'!AW$4="Logarithm",LN(0.001+IF(AND(ISNUMBER('Council Entry'!AW$8),ISNUMBER('Council Entry'!AW$9)),MAX(MIN('Council Entry'!AW64,'Council Entry'!AW$9),'Council Entry'!AW$8),'Council Entry'!AW64)),IF('Council Entry'!AW$4="Exponential",EXP(IF(AND(ISNUMBER('Council Entry'!AW$8),ISNUMBER('Council Entry'!AW$9)),MAX(MIN('Council Entry'!AW64,'Council Entry'!AW$9),'Council Entry'!AW$8),'Council Entry'!AW64)),IF(AND(ISNUMBER('Council Entry'!AW$8),ISNUMBER('Council Entry'!AW$9)),MAX(MIN('Council Entry'!AW64,'Council Entry'!AW$9),'Council Entry'!AW$8),'Council Entry'!AW64))))-'Council Entry'!AW$5)/('Council Entry'!AW$6-'Council Entry'!AW$5)),1))),"No data"))</f>
        <v/>
      </c>
      <c r="AX64" s="13">
        <f>IF('Council Entry'!AX64="","",IFERROR(MAX(0,MIN(10,ROUND(IF('Council Entry'!AX$7="Decrease Risk",10-10*((IF('Council Entry'!AX$4="Logarithm",LN(0.001+IF(AND(ISNUMBER('Council Entry'!AX$8),ISNUMBER('Council Entry'!AX$9)),MAX(MIN('Council Entry'!AX64,'Council Entry'!AX$9),'Council Entry'!AX$8),'Council Entry'!AX64)),IF('Council Entry'!AX$4="Exponential",EXP(IF(AND(ISNUMBER('Council Entry'!AX$8),ISNUMBER('Council Entry'!AX$9)),MAX(MIN('Council Entry'!AX64,'Council Entry'!AX$9),'Council Entry'!AX$8),'Council Entry'!AX64)),IF(AND(ISNUMBER('Council Entry'!AX$8),ISNUMBER('Council Entry'!AX$9)),MAX(MIN('Council Entry'!AX64,'Council Entry'!AX$9),'Council Entry'!AX$8),'Council Entry'!AX64))))-'Council Entry'!AX$5)/('Council Entry'!AX$6-'Council Entry'!AX$5),10*((IF('Council Entry'!AX$4="Logarithm",LN(0.001+IF(AND(ISNUMBER('Council Entry'!AX$8),ISNUMBER('Council Entry'!AX$9)),MAX(MIN('Council Entry'!AX64,'Council Entry'!AX$9),'Council Entry'!AX$8),'Council Entry'!AX64)),IF('Council Entry'!AX$4="Exponential",EXP(IF(AND(ISNUMBER('Council Entry'!AX$8),ISNUMBER('Council Entry'!AX$9)),MAX(MIN('Council Entry'!AX64,'Council Entry'!AX$9),'Council Entry'!AX$8),'Council Entry'!AX64)),IF(AND(ISNUMBER('Council Entry'!AX$8),ISNUMBER('Council Entry'!AX$9)),MAX(MIN('Council Entry'!AX64,'Council Entry'!AX$9),'Council Entry'!AX$8),'Council Entry'!AX64))))-'Council Entry'!AX$5)/('Council Entry'!AX$6-'Council Entry'!AX$5)),1))),"No data"))</f>
        <v/>
      </c>
      <c r="AY64" s="13">
        <f>IF('Council Entry'!AY64="","",IFERROR(MAX(0,MIN(10,ROUND(IF('Council Entry'!AY$7="Decrease Risk",10-10*((IF('Council Entry'!AY$4="Logarithm",LN(0.001+IF(AND(ISNUMBER('Council Entry'!AY$8),ISNUMBER('Council Entry'!AY$9)),MAX(MIN('Council Entry'!AY64,'Council Entry'!AY$9),'Council Entry'!AY$8),'Council Entry'!AY64)),IF('Council Entry'!AY$4="Exponential",EXP(IF(AND(ISNUMBER('Council Entry'!AY$8),ISNUMBER('Council Entry'!AY$9)),MAX(MIN('Council Entry'!AY64,'Council Entry'!AY$9),'Council Entry'!AY$8),'Council Entry'!AY64)),IF(AND(ISNUMBER('Council Entry'!AY$8),ISNUMBER('Council Entry'!AY$9)),MAX(MIN('Council Entry'!AY64,'Council Entry'!AY$9),'Council Entry'!AY$8),'Council Entry'!AY64))))-'Council Entry'!AY$5)/('Council Entry'!AY$6-'Council Entry'!AY$5),10*((IF('Council Entry'!AY$4="Logarithm",LN(0.001+IF(AND(ISNUMBER('Council Entry'!AY$8),ISNUMBER('Council Entry'!AY$9)),MAX(MIN('Council Entry'!AY64,'Council Entry'!AY$9),'Council Entry'!AY$8),'Council Entry'!AY64)),IF('Council Entry'!AY$4="Exponential",EXP(IF(AND(ISNUMBER('Council Entry'!AY$8),ISNUMBER('Council Entry'!AY$9)),MAX(MIN('Council Entry'!AY64,'Council Entry'!AY$9),'Council Entry'!AY$8),'Council Entry'!AY64)),IF(AND(ISNUMBER('Council Entry'!AY$8),ISNUMBER('Council Entry'!AY$9)),MAX(MIN('Council Entry'!AY64,'Council Entry'!AY$9),'Council Entry'!AY$8),'Council Entry'!AY64))))-'Council Entry'!AY$5)/('Council Entry'!AY$6-'Council Entry'!AY$5)),1))),"No data"))</f>
        <v/>
      </c>
      <c r="AZ64" s="13">
        <f>IF('Council Entry'!AZ64="","",IFERROR(MAX(0,MIN(10,ROUND(IF('Council Entry'!AZ$7="Decrease Risk",10-10*((IF('Council Entry'!AZ$4="Logarithm",LN(0.001+IF(AND(ISNUMBER('Council Entry'!AZ$8),ISNUMBER('Council Entry'!AZ$9)),MAX(MIN('Council Entry'!AZ64,'Council Entry'!AZ$9),'Council Entry'!AZ$8),'Council Entry'!AZ64)),IF('Council Entry'!AZ$4="Exponential",EXP(IF(AND(ISNUMBER('Council Entry'!AZ$8),ISNUMBER('Council Entry'!AZ$9)),MAX(MIN('Council Entry'!AZ64,'Council Entry'!AZ$9),'Council Entry'!AZ$8),'Council Entry'!AZ64)),IF(AND(ISNUMBER('Council Entry'!AZ$8),ISNUMBER('Council Entry'!AZ$9)),MAX(MIN('Council Entry'!AZ64,'Council Entry'!AZ$9),'Council Entry'!AZ$8),'Council Entry'!AZ64))))-'Council Entry'!AZ$5)/('Council Entry'!AZ$6-'Council Entry'!AZ$5),10*((IF('Council Entry'!AZ$4="Logarithm",LN(0.001+IF(AND(ISNUMBER('Council Entry'!AZ$8),ISNUMBER('Council Entry'!AZ$9)),MAX(MIN('Council Entry'!AZ64,'Council Entry'!AZ$9),'Council Entry'!AZ$8),'Council Entry'!AZ64)),IF('Council Entry'!AZ$4="Exponential",EXP(IF(AND(ISNUMBER('Council Entry'!AZ$8),ISNUMBER('Council Entry'!AZ$9)),MAX(MIN('Council Entry'!AZ64,'Council Entry'!AZ$9),'Council Entry'!AZ$8),'Council Entry'!AZ64)),IF(AND(ISNUMBER('Council Entry'!AZ$8),ISNUMBER('Council Entry'!AZ$9)),MAX(MIN('Council Entry'!AZ64,'Council Entry'!AZ$9),'Council Entry'!AZ$8),'Council Entry'!AZ64))))-'Council Entry'!AZ$5)/('Council Entry'!AZ$6-'Council Entry'!AZ$5)),1))),"No data"))</f>
        <v/>
      </c>
      <c r="BA64" s="13">
        <f>IF('Council Entry'!BA64="","",IFERROR(MAX(0,MIN(10,ROUND(IF('Council Entry'!BA$7="Decrease Risk",10-10*((IF('Council Entry'!BA$4="Logarithm",LN(0.001+IF(AND(ISNUMBER('Council Entry'!BA$8),ISNUMBER('Council Entry'!BA$9)),MAX(MIN('Council Entry'!BA64,'Council Entry'!BA$9),'Council Entry'!BA$8),'Council Entry'!BA64)),IF('Council Entry'!BA$4="Exponential",EXP(IF(AND(ISNUMBER('Council Entry'!BA$8),ISNUMBER('Council Entry'!BA$9)),MAX(MIN('Council Entry'!BA64,'Council Entry'!BA$9),'Council Entry'!BA$8),'Council Entry'!BA64)),IF(AND(ISNUMBER('Council Entry'!BA$8),ISNUMBER('Council Entry'!BA$9)),MAX(MIN('Council Entry'!BA64,'Council Entry'!BA$9),'Council Entry'!BA$8),'Council Entry'!BA64))))-'Council Entry'!BA$5)/('Council Entry'!BA$6-'Council Entry'!BA$5),10*((IF('Council Entry'!BA$4="Logarithm",LN(0.001+IF(AND(ISNUMBER('Council Entry'!BA$8),ISNUMBER('Council Entry'!BA$9)),MAX(MIN('Council Entry'!BA64,'Council Entry'!BA$9),'Council Entry'!BA$8),'Council Entry'!BA64)),IF('Council Entry'!BA$4="Exponential",EXP(IF(AND(ISNUMBER('Council Entry'!BA$8),ISNUMBER('Council Entry'!BA$9)),MAX(MIN('Council Entry'!BA64,'Council Entry'!BA$9),'Council Entry'!BA$8),'Council Entry'!BA64)),IF(AND(ISNUMBER('Council Entry'!BA$8),ISNUMBER('Council Entry'!BA$9)),MAX(MIN('Council Entry'!BA64,'Council Entry'!BA$9),'Council Entry'!BA$8),'Council Entry'!BA64))))-'Council Entry'!BA$5)/('Council Entry'!BA$6-'Council Entry'!BA$5)),1))),"No data"))</f>
        <v/>
      </c>
      <c r="BB64" s="13">
        <f>IF('Council Entry'!BB64="","",IFERROR(MAX(0,MIN(10,ROUND(IF('Council Entry'!BB$7="Decrease Risk",10-10*((IF('Council Entry'!BB$4="Logarithm",LN(0.001+IF(AND(ISNUMBER('Council Entry'!BB$8),ISNUMBER('Council Entry'!BB$9)),MAX(MIN('Council Entry'!BB64,'Council Entry'!BB$9),'Council Entry'!BB$8),'Council Entry'!BB64)),IF('Council Entry'!BB$4="Exponential",EXP(IF(AND(ISNUMBER('Council Entry'!BB$8),ISNUMBER('Council Entry'!BB$9)),MAX(MIN('Council Entry'!BB64,'Council Entry'!BB$9),'Council Entry'!BB$8),'Council Entry'!BB64)),IF(AND(ISNUMBER('Council Entry'!BB$8),ISNUMBER('Council Entry'!BB$9)),MAX(MIN('Council Entry'!BB64,'Council Entry'!BB$9),'Council Entry'!BB$8),'Council Entry'!BB64))))-'Council Entry'!BB$5)/('Council Entry'!BB$6-'Council Entry'!BB$5),10*((IF('Council Entry'!BB$4="Logarithm",LN(0.001+IF(AND(ISNUMBER('Council Entry'!BB$8),ISNUMBER('Council Entry'!BB$9)),MAX(MIN('Council Entry'!BB64,'Council Entry'!BB$9),'Council Entry'!BB$8),'Council Entry'!BB64)),IF('Council Entry'!BB$4="Exponential",EXP(IF(AND(ISNUMBER('Council Entry'!BB$8),ISNUMBER('Council Entry'!BB$9)),MAX(MIN('Council Entry'!BB64,'Council Entry'!BB$9),'Council Entry'!BB$8),'Council Entry'!BB64)),IF(AND(ISNUMBER('Council Entry'!BB$8),ISNUMBER('Council Entry'!BB$9)),MAX(MIN('Council Entry'!BB64,'Council Entry'!BB$9),'Council Entry'!BB$8),'Council Entry'!BB64))))-'Council Entry'!BB$5)/('Council Entry'!BB$6-'Council Entry'!BB$5)),1))),"No data"))</f>
        <v/>
      </c>
      <c r="BC64" s="13">
        <f>IF('Council Entry'!BC64="","",IFERROR(MAX(0,MIN(10,ROUND(IF('Council Entry'!BC$7="Decrease Risk",10-10*((IF('Council Entry'!BC$4="Logarithm",LN(0.001+IF(AND(ISNUMBER('Council Entry'!BC$8),ISNUMBER('Council Entry'!BC$9)),MAX(MIN('Council Entry'!BC64,'Council Entry'!BC$9),'Council Entry'!BC$8),'Council Entry'!BC64)),IF('Council Entry'!BC$4="Exponential",EXP(IF(AND(ISNUMBER('Council Entry'!BC$8),ISNUMBER('Council Entry'!BC$9)),MAX(MIN('Council Entry'!BC64,'Council Entry'!BC$9),'Council Entry'!BC$8),'Council Entry'!BC64)),IF(AND(ISNUMBER('Council Entry'!BC$8),ISNUMBER('Council Entry'!BC$9)),MAX(MIN('Council Entry'!BC64,'Council Entry'!BC$9),'Council Entry'!BC$8),'Council Entry'!BC64))))-'Council Entry'!BC$5)/('Council Entry'!BC$6-'Council Entry'!BC$5),10*((IF('Council Entry'!BC$4="Logarithm",LN(0.001+IF(AND(ISNUMBER('Council Entry'!BC$8),ISNUMBER('Council Entry'!BC$9)),MAX(MIN('Council Entry'!BC64,'Council Entry'!BC$9),'Council Entry'!BC$8),'Council Entry'!BC64)),IF('Council Entry'!BC$4="Exponential",EXP(IF(AND(ISNUMBER('Council Entry'!BC$8),ISNUMBER('Council Entry'!BC$9)),MAX(MIN('Council Entry'!BC64,'Council Entry'!BC$9),'Council Entry'!BC$8),'Council Entry'!BC64)),IF(AND(ISNUMBER('Council Entry'!BC$8),ISNUMBER('Council Entry'!BC$9)),MAX(MIN('Council Entry'!BC64,'Council Entry'!BC$9),'Council Entry'!BC$8),'Council Entry'!BC64))))-'Council Entry'!BC$5)/('Council Entry'!BC$6-'Council Entry'!BC$5)),1))),"No data"))</f>
        <v/>
      </c>
      <c r="BD64" s="13">
        <f>IF('Council Entry'!BD64="","",IFERROR(MAX(0,MIN(10,ROUND(IF('Council Entry'!BD$7="Decrease Risk",10-10*((IF('Council Entry'!BD$4="Logarithm",LN(0.001+IF(AND(ISNUMBER('Council Entry'!BD$8),ISNUMBER('Council Entry'!BD$9)),MAX(MIN('Council Entry'!BD64,'Council Entry'!BD$9),'Council Entry'!BD$8),'Council Entry'!BD64)),IF('Council Entry'!BD$4="Exponential",EXP(IF(AND(ISNUMBER('Council Entry'!BD$8),ISNUMBER('Council Entry'!BD$9)),MAX(MIN('Council Entry'!BD64,'Council Entry'!BD$9),'Council Entry'!BD$8),'Council Entry'!BD64)),IF(AND(ISNUMBER('Council Entry'!BD$8),ISNUMBER('Council Entry'!BD$9)),MAX(MIN('Council Entry'!BD64,'Council Entry'!BD$9),'Council Entry'!BD$8),'Council Entry'!BD64))))-'Council Entry'!BD$5)/('Council Entry'!BD$6-'Council Entry'!BD$5),10*((IF('Council Entry'!BD$4="Logarithm",LN(0.001+IF(AND(ISNUMBER('Council Entry'!BD$8),ISNUMBER('Council Entry'!BD$9)),MAX(MIN('Council Entry'!BD64,'Council Entry'!BD$9),'Council Entry'!BD$8),'Council Entry'!BD64)),IF('Council Entry'!BD$4="Exponential",EXP(IF(AND(ISNUMBER('Council Entry'!BD$8),ISNUMBER('Council Entry'!BD$9)),MAX(MIN('Council Entry'!BD64,'Council Entry'!BD$9),'Council Entry'!BD$8),'Council Entry'!BD64)),IF(AND(ISNUMBER('Council Entry'!BD$8),ISNUMBER('Council Entry'!BD$9)),MAX(MIN('Council Entry'!BD64,'Council Entry'!BD$9),'Council Entry'!BD$8),'Council Entry'!BD64))))-'Council Entry'!BD$5)/('Council Entry'!BD$6-'Council Entry'!BD$5)),1))),"No data"))</f>
        <v/>
      </c>
    </row>
    <row r="65">
      <c r="A65" t="inlineStr">
        <is>
          <t>Kigoma</t>
        </is>
      </c>
      <c r="B65" t="inlineStr">
        <is>
          <t>Kigoma Ujiji City</t>
        </is>
      </c>
      <c r="C65" t="inlineStr">
        <is>
          <t>C115</t>
        </is>
      </c>
      <c r="D65" s="13">
        <f>IF('Council Entry'!D65="","",IFERROR(MAX(0,MIN(10,ROUND(IF('Council Entry'!D$7="Decrease Risk",10-10*((IF('Council Entry'!D$4="Logarithm",LN(0.001+IF(AND(ISNUMBER('Council Entry'!D$8),ISNUMBER('Council Entry'!D$9)),MAX(MIN('Council Entry'!D65,'Council Entry'!D$9),'Council Entry'!D$8),'Council Entry'!D65)),IF('Council Entry'!D$4="Exponential",EXP(IF(AND(ISNUMBER('Council Entry'!D$8),ISNUMBER('Council Entry'!D$9)),MAX(MIN('Council Entry'!D65,'Council Entry'!D$9),'Council Entry'!D$8),'Council Entry'!D65)),IF(AND(ISNUMBER('Council Entry'!D$8),ISNUMBER('Council Entry'!D$9)),MAX(MIN('Council Entry'!D65,'Council Entry'!D$9),'Council Entry'!D$8),'Council Entry'!D65))))-'Council Entry'!D$5)/('Council Entry'!D$6-'Council Entry'!D$5),10*((IF('Council Entry'!D$4="Logarithm",LN(0.001+IF(AND(ISNUMBER('Council Entry'!D$8),ISNUMBER('Council Entry'!D$9)),MAX(MIN('Council Entry'!D65,'Council Entry'!D$9),'Council Entry'!D$8),'Council Entry'!D65)),IF('Council Entry'!D$4="Exponential",EXP(IF(AND(ISNUMBER('Council Entry'!D$8),ISNUMBER('Council Entry'!D$9)),MAX(MIN('Council Entry'!D65,'Council Entry'!D$9),'Council Entry'!D$8),'Council Entry'!D65)),IF(AND(ISNUMBER('Council Entry'!D$8),ISNUMBER('Council Entry'!D$9)),MAX(MIN('Council Entry'!D65,'Council Entry'!D$9),'Council Entry'!D$8),'Council Entry'!D65))))-'Council Entry'!D$5)/('Council Entry'!D$6-'Council Entry'!D$5)),1))),"No data"))</f>
        <v/>
      </c>
      <c r="E65" s="13">
        <f>IF('Council Entry'!E65="","",IFERROR(MAX(0,MIN(10,ROUND(IF('Council Entry'!E$7="Decrease Risk",10-10*((IF('Council Entry'!E$4="Logarithm",LN(0.001+IF(AND(ISNUMBER('Council Entry'!E$8),ISNUMBER('Council Entry'!E$9)),MAX(MIN('Council Entry'!E65,'Council Entry'!E$9),'Council Entry'!E$8),'Council Entry'!E65)),IF('Council Entry'!E$4="Exponential",EXP(IF(AND(ISNUMBER('Council Entry'!E$8),ISNUMBER('Council Entry'!E$9)),MAX(MIN('Council Entry'!E65,'Council Entry'!E$9),'Council Entry'!E$8),'Council Entry'!E65)),IF(AND(ISNUMBER('Council Entry'!E$8),ISNUMBER('Council Entry'!E$9)),MAX(MIN('Council Entry'!E65,'Council Entry'!E$9),'Council Entry'!E$8),'Council Entry'!E65))))-'Council Entry'!E$5)/('Council Entry'!E$6-'Council Entry'!E$5),10*((IF('Council Entry'!E$4="Logarithm",LN(0.001+IF(AND(ISNUMBER('Council Entry'!E$8),ISNUMBER('Council Entry'!E$9)),MAX(MIN('Council Entry'!E65,'Council Entry'!E$9),'Council Entry'!E$8),'Council Entry'!E65)),IF('Council Entry'!E$4="Exponential",EXP(IF(AND(ISNUMBER('Council Entry'!E$8),ISNUMBER('Council Entry'!E$9)),MAX(MIN('Council Entry'!E65,'Council Entry'!E$9),'Council Entry'!E$8),'Council Entry'!E65)),IF(AND(ISNUMBER('Council Entry'!E$8),ISNUMBER('Council Entry'!E$9)),MAX(MIN('Council Entry'!E65,'Council Entry'!E$9),'Council Entry'!E$8),'Council Entry'!E65))))-'Council Entry'!E$5)/('Council Entry'!E$6-'Council Entry'!E$5)),1))),"No data"))</f>
        <v/>
      </c>
      <c r="F65" s="13">
        <f>IF('Council Entry'!F65="","",IFERROR(MAX(0,MIN(10,ROUND(IF('Council Entry'!F$7="Decrease Risk",10-10*((IF('Council Entry'!F$4="Logarithm",LN(0.001+IF(AND(ISNUMBER('Council Entry'!F$8),ISNUMBER('Council Entry'!F$9)),MAX(MIN('Council Entry'!F65,'Council Entry'!F$9),'Council Entry'!F$8),'Council Entry'!F65)),IF('Council Entry'!F$4="Exponential",EXP(IF(AND(ISNUMBER('Council Entry'!F$8),ISNUMBER('Council Entry'!F$9)),MAX(MIN('Council Entry'!F65,'Council Entry'!F$9),'Council Entry'!F$8),'Council Entry'!F65)),IF(AND(ISNUMBER('Council Entry'!F$8),ISNUMBER('Council Entry'!F$9)),MAX(MIN('Council Entry'!F65,'Council Entry'!F$9),'Council Entry'!F$8),'Council Entry'!F65))))-'Council Entry'!F$5)/('Council Entry'!F$6-'Council Entry'!F$5),10*((IF('Council Entry'!F$4="Logarithm",LN(0.001+IF(AND(ISNUMBER('Council Entry'!F$8),ISNUMBER('Council Entry'!F$9)),MAX(MIN('Council Entry'!F65,'Council Entry'!F$9),'Council Entry'!F$8),'Council Entry'!F65)),IF('Council Entry'!F$4="Exponential",EXP(IF(AND(ISNUMBER('Council Entry'!F$8),ISNUMBER('Council Entry'!F$9)),MAX(MIN('Council Entry'!F65,'Council Entry'!F$9),'Council Entry'!F$8),'Council Entry'!F65)),IF(AND(ISNUMBER('Council Entry'!F$8),ISNUMBER('Council Entry'!F$9)),MAX(MIN('Council Entry'!F65,'Council Entry'!F$9),'Council Entry'!F$8),'Council Entry'!F65))))-'Council Entry'!F$5)/('Council Entry'!F$6-'Council Entry'!F$5)),1))),"No data"))</f>
        <v/>
      </c>
      <c r="G65" s="13">
        <f>IF('Council Entry'!G65="","",IFERROR(MAX(0,MIN(10,ROUND(IF('Council Entry'!G$7="Decrease Risk",10-10*((IF('Council Entry'!G$4="Logarithm",LN(0.001+IF(AND(ISNUMBER('Council Entry'!G$8),ISNUMBER('Council Entry'!G$9)),MAX(MIN('Council Entry'!G65,'Council Entry'!G$9),'Council Entry'!G$8),'Council Entry'!G65)),IF('Council Entry'!G$4="Exponential",EXP(IF(AND(ISNUMBER('Council Entry'!G$8),ISNUMBER('Council Entry'!G$9)),MAX(MIN('Council Entry'!G65,'Council Entry'!G$9),'Council Entry'!G$8),'Council Entry'!G65)),IF(AND(ISNUMBER('Council Entry'!G$8),ISNUMBER('Council Entry'!G$9)),MAX(MIN('Council Entry'!G65,'Council Entry'!G$9),'Council Entry'!G$8),'Council Entry'!G65))))-'Council Entry'!G$5)/('Council Entry'!G$6-'Council Entry'!G$5),10*((IF('Council Entry'!G$4="Logarithm",LN(0.001+IF(AND(ISNUMBER('Council Entry'!G$8),ISNUMBER('Council Entry'!G$9)),MAX(MIN('Council Entry'!G65,'Council Entry'!G$9),'Council Entry'!G$8),'Council Entry'!G65)),IF('Council Entry'!G$4="Exponential",EXP(IF(AND(ISNUMBER('Council Entry'!G$8),ISNUMBER('Council Entry'!G$9)),MAX(MIN('Council Entry'!G65,'Council Entry'!G$9),'Council Entry'!G$8),'Council Entry'!G65)),IF(AND(ISNUMBER('Council Entry'!G$8),ISNUMBER('Council Entry'!G$9)),MAX(MIN('Council Entry'!G65,'Council Entry'!G$9),'Council Entry'!G$8),'Council Entry'!G65))))-'Council Entry'!G$5)/('Council Entry'!G$6-'Council Entry'!G$5)),1))),"No data"))</f>
        <v/>
      </c>
      <c r="H65" s="13">
        <f>IF('Council Entry'!H65="","",IFERROR(MAX(0,MIN(10,ROUND(IF('Council Entry'!H$7="Decrease Risk",10-10*((IF('Council Entry'!H$4="Logarithm",LN(0.001+IF(AND(ISNUMBER('Council Entry'!H$8),ISNUMBER('Council Entry'!H$9)),MAX(MIN('Council Entry'!H65,'Council Entry'!H$9),'Council Entry'!H$8),'Council Entry'!H65)),IF('Council Entry'!H$4="Exponential",EXP(IF(AND(ISNUMBER('Council Entry'!H$8),ISNUMBER('Council Entry'!H$9)),MAX(MIN('Council Entry'!H65,'Council Entry'!H$9),'Council Entry'!H$8),'Council Entry'!H65)),IF(AND(ISNUMBER('Council Entry'!H$8),ISNUMBER('Council Entry'!H$9)),MAX(MIN('Council Entry'!H65,'Council Entry'!H$9),'Council Entry'!H$8),'Council Entry'!H65))))-'Council Entry'!H$5)/('Council Entry'!H$6-'Council Entry'!H$5),10*((IF('Council Entry'!H$4="Logarithm",LN(0.001+IF(AND(ISNUMBER('Council Entry'!H$8),ISNUMBER('Council Entry'!H$9)),MAX(MIN('Council Entry'!H65,'Council Entry'!H$9),'Council Entry'!H$8),'Council Entry'!H65)),IF('Council Entry'!H$4="Exponential",EXP(IF(AND(ISNUMBER('Council Entry'!H$8),ISNUMBER('Council Entry'!H$9)),MAX(MIN('Council Entry'!H65,'Council Entry'!H$9),'Council Entry'!H$8),'Council Entry'!H65)),IF(AND(ISNUMBER('Council Entry'!H$8),ISNUMBER('Council Entry'!H$9)),MAX(MIN('Council Entry'!H65,'Council Entry'!H$9),'Council Entry'!H$8),'Council Entry'!H65))))-'Council Entry'!H$5)/('Council Entry'!H$6-'Council Entry'!H$5)),1))),"No data"))</f>
        <v/>
      </c>
      <c r="I65" s="13">
        <f>IF('Council Entry'!I65="","",IFERROR(MAX(0,MIN(10,ROUND(IF('Council Entry'!I$7="Decrease Risk",10-10*((IF('Council Entry'!I$4="Logarithm",LN(0.001+IF(AND(ISNUMBER('Council Entry'!I$8),ISNUMBER('Council Entry'!I$9)),MAX(MIN('Council Entry'!I65,'Council Entry'!I$9),'Council Entry'!I$8),'Council Entry'!I65)),IF('Council Entry'!I$4="Exponential",EXP(IF(AND(ISNUMBER('Council Entry'!I$8),ISNUMBER('Council Entry'!I$9)),MAX(MIN('Council Entry'!I65,'Council Entry'!I$9),'Council Entry'!I$8),'Council Entry'!I65)),IF(AND(ISNUMBER('Council Entry'!I$8),ISNUMBER('Council Entry'!I$9)),MAX(MIN('Council Entry'!I65,'Council Entry'!I$9),'Council Entry'!I$8),'Council Entry'!I65))))-'Council Entry'!I$5)/('Council Entry'!I$6-'Council Entry'!I$5),10*((IF('Council Entry'!I$4="Logarithm",LN(0.001+IF(AND(ISNUMBER('Council Entry'!I$8),ISNUMBER('Council Entry'!I$9)),MAX(MIN('Council Entry'!I65,'Council Entry'!I$9),'Council Entry'!I$8),'Council Entry'!I65)),IF('Council Entry'!I$4="Exponential",EXP(IF(AND(ISNUMBER('Council Entry'!I$8),ISNUMBER('Council Entry'!I$9)),MAX(MIN('Council Entry'!I65,'Council Entry'!I$9),'Council Entry'!I$8),'Council Entry'!I65)),IF(AND(ISNUMBER('Council Entry'!I$8),ISNUMBER('Council Entry'!I$9)),MAX(MIN('Council Entry'!I65,'Council Entry'!I$9),'Council Entry'!I$8),'Council Entry'!I65))))-'Council Entry'!I$5)/('Council Entry'!I$6-'Council Entry'!I$5)),1))),"No data"))</f>
        <v/>
      </c>
      <c r="J65" s="13">
        <f>IF('Council Entry'!J65="","",IFERROR(MAX(0,MIN(10,ROUND(IF('Council Entry'!J$7="Decrease Risk",10-10*((IF('Council Entry'!J$4="Logarithm",LN(0.001+IF(AND(ISNUMBER('Council Entry'!J$8),ISNUMBER('Council Entry'!J$9)),MAX(MIN('Council Entry'!J65,'Council Entry'!J$9),'Council Entry'!J$8),'Council Entry'!J65)),IF('Council Entry'!J$4="Exponential",EXP(IF(AND(ISNUMBER('Council Entry'!J$8),ISNUMBER('Council Entry'!J$9)),MAX(MIN('Council Entry'!J65,'Council Entry'!J$9),'Council Entry'!J$8),'Council Entry'!J65)),IF(AND(ISNUMBER('Council Entry'!J$8),ISNUMBER('Council Entry'!J$9)),MAX(MIN('Council Entry'!J65,'Council Entry'!J$9),'Council Entry'!J$8),'Council Entry'!J65))))-'Council Entry'!J$5)/('Council Entry'!J$6-'Council Entry'!J$5),10*((IF('Council Entry'!J$4="Logarithm",LN(0.001+IF(AND(ISNUMBER('Council Entry'!J$8),ISNUMBER('Council Entry'!J$9)),MAX(MIN('Council Entry'!J65,'Council Entry'!J$9),'Council Entry'!J$8),'Council Entry'!J65)),IF('Council Entry'!J$4="Exponential",EXP(IF(AND(ISNUMBER('Council Entry'!J$8),ISNUMBER('Council Entry'!J$9)),MAX(MIN('Council Entry'!J65,'Council Entry'!J$9),'Council Entry'!J$8),'Council Entry'!J65)),IF(AND(ISNUMBER('Council Entry'!J$8),ISNUMBER('Council Entry'!J$9)),MAX(MIN('Council Entry'!J65,'Council Entry'!J$9),'Council Entry'!J$8),'Council Entry'!J65))))-'Council Entry'!J$5)/('Council Entry'!J$6-'Council Entry'!J$5)),1))),"No data"))</f>
        <v/>
      </c>
      <c r="K65" s="13">
        <f>IF('Council Entry'!K65="","",IFERROR(MAX(0,MIN(10,ROUND(IF('Council Entry'!K$7="Decrease Risk",10-10*((IF('Council Entry'!K$4="Logarithm",LN(0.001+IF(AND(ISNUMBER('Council Entry'!K$8),ISNUMBER('Council Entry'!K$9)),MAX(MIN('Council Entry'!K65,'Council Entry'!K$9),'Council Entry'!K$8),'Council Entry'!K65)),IF('Council Entry'!K$4="Exponential",EXP(IF(AND(ISNUMBER('Council Entry'!K$8),ISNUMBER('Council Entry'!K$9)),MAX(MIN('Council Entry'!K65,'Council Entry'!K$9),'Council Entry'!K$8),'Council Entry'!K65)),IF(AND(ISNUMBER('Council Entry'!K$8),ISNUMBER('Council Entry'!K$9)),MAX(MIN('Council Entry'!K65,'Council Entry'!K$9),'Council Entry'!K$8),'Council Entry'!K65))))-'Council Entry'!K$5)/('Council Entry'!K$6-'Council Entry'!K$5),10*((IF('Council Entry'!K$4="Logarithm",LN(0.001+IF(AND(ISNUMBER('Council Entry'!K$8),ISNUMBER('Council Entry'!K$9)),MAX(MIN('Council Entry'!K65,'Council Entry'!K$9),'Council Entry'!K$8),'Council Entry'!K65)),IF('Council Entry'!K$4="Exponential",EXP(IF(AND(ISNUMBER('Council Entry'!K$8),ISNUMBER('Council Entry'!K$9)),MAX(MIN('Council Entry'!K65,'Council Entry'!K$9),'Council Entry'!K$8),'Council Entry'!K65)),IF(AND(ISNUMBER('Council Entry'!K$8),ISNUMBER('Council Entry'!K$9)),MAX(MIN('Council Entry'!K65,'Council Entry'!K$9),'Council Entry'!K$8),'Council Entry'!K65))))-'Council Entry'!K$5)/('Council Entry'!K$6-'Council Entry'!K$5)),1))),"No data"))</f>
        <v/>
      </c>
      <c r="L65" s="13">
        <f>IF('Council Entry'!L65="","",IFERROR(MAX(0,MIN(10,ROUND(IF('Council Entry'!L$7="Decrease Risk",10-10*((IF('Council Entry'!L$4="Logarithm",LN(0.001+IF(AND(ISNUMBER('Council Entry'!L$8),ISNUMBER('Council Entry'!L$9)),MAX(MIN('Council Entry'!L65,'Council Entry'!L$9),'Council Entry'!L$8),'Council Entry'!L65)),IF('Council Entry'!L$4="Exponential",EXP(IF(AND(ISNUMBER('Council Entry'!L$8),ISNUMBER('Council Entry'!L$9)),MAX(MIN('Council Entry'!L65,'Council Entry'!L$9),'Council Entry'!L$8),'Council Entry'!L65)),IF(AND(ISNUMBER('Council Entry'!L$8),ISNUMBER('Council Entry'!L$9)),MAX(MIN('Council Entry'!L65,'Council Entry'!L$9),'Council Entry'!L$8),'Council Entry'!L65))))-'Council Entry'!L$5)/('Council Entry'!L$6-'Council Entry'!L$5),10*((IF('Council Entry'!L$4="Logarithm",LN(0.001+IF(AND(ISNUMBER('Council Entry'!L$8),ISNUMBER('Council Entry'!L$9)),MAX(MIN('Council Entry'!L65,'Council Entry'!L$9),'Council Entry'!L$8),'Council Entry'!L65)),IF('Council Entry'!L$4="Exponential",EXP(IF(AND(ISNUMBER('Council Entry'!L$8),ISNUMBER('Council Entry'!L$9)),MAX(MIN('Council Entry'!L65,'Council Entry'!L$9),'Council Entry'!L$8),'Council Entry'!L65)),IF(AND(ISNUMBER('Council Entry'!L$8),ISNUMBER('Council Entry'!L$9)),MAX(MIN('Council Entry'!L65,'Council Entry'!L$9),'Council Entry'!L$8),'Council Entry'!L65))))-'Council Entry'!L$5)/('Council Entry'!L$6-'Council Entry'!L$5)),1))),"No data"))</f>
        <v/>
      </c>
      <c r="M65" s="13">
        <f>IF('Council Entry'!M65="","",IFERROR(MAX(0,MIN(10,ROUND(IF('Council Entry'!M$7="Decrease Risk",10-10*((IF('Council Entry'!M$4="Logarithm",LN(0.001+IF(AND(ISNUMBER('Council Entry'!M$8),ISNUMBER('Council Entry'!M$9)),MAX(MIN('Council Entry'!M65,'Council Entry'!M$9),'Council Entry'!M$8),'Council Entry'!M65)),IF('Council Entry'!M$4="Exponential",EXP(IF(AND(ISNUMBER('Council Entry'!M$8),ISNUMBER('Council Entry'!M$9)),MAX(MIN('Council Entry'!M65,'Council Entry'!M$9),'Council Entry'!M$8),'Council Entry'!M65)),IF(AND(ISNUMBER('Council Entry'!M$8),ISNUMBER('Council Entry'!M$9)),MAX(MIN('Council Entry'!M65,'Council Entry'!M$9),'Council Entry'!M$8),'Council Entry'!M65))))-'Council Entry'!M$5)/('Council Entry'!M$6-'Council Entry'!M$5),10*((IF('Council Entry'!M$4="Logarithm",LN(0.001+IF(AND(ISNUMBER('Council Entry'!M$8),ISNUMBER('Council Entry'!M$9)),MAX(MIN('Council Entry'!M65,'Council Entry'!M$9),'Council Entry'!M$8),'Council Entry'!M65)),IF('Council Entry'!M$4="Exponential",EXP(IF(AND(ISNUMBER('Council Entry'!M$8),ISNUMBER('Council Entry'!M$9)),MAX(MIN('Council Entry'!M65,'Council Entry'!M$9),'Council Entry'!M$8),'Council Entry'!M65)),IF(AND(ISNUMBER('Council Entry'!M$8),ISNUMBER('Council Entry'!M$9)),MAX(MIN('Council Entry'!M65,'Council Entry'!M$9),'Council Entry'!M$8),'Council Entry'!M65))))-'Council Entry'!M$5)/('Council Entry'!M$6-'Council Entry'!M$5)),1))),"No data"))</f>
        <v/>
      </c>
      <c r="N65" s="13">
        <f>IF('Council Entry'!N65="","",IFERROR(MAX(0,MIN(10,ROUND(IF('Council Entry'!N$7="Decrease Risk",10-10*((IF('Council Entry'!N$4="Logarithm",LN(0.001+IF(AND(ISNUMBER('Council Entry'!N$8),ISNUMBER('Council Entry'!N$9)),MAX(MIN('Council Entry'!N65,'Council Entry'!N$9),'Council Entry'!N$8),'Council Entry'!N65)),IF('Council Entry'!N$4="Exponential",EXP(IF(AND(ISNUMBER('Council Entry'!N$8),ISNUMBER('Council Entry'!N$9)),MAX(MIN('Council Entry'!N65,'Council Entry'!N$9),'Council Entry'!N$8),'Council Entry'!N65)),IF(AND(ISNUMBER('Council Entry'!N$8),ISNUMBER('Council Entry'!N$9)),MAX(MIN('Council Entry'!N65,'Council Entry'!N$9),'Council Entry'!N$8),'Council Entry'!N65))))-'Council Entry'!N$5)/('Council Entry'!N$6-'Council Entry'!N$5),10*((IF('Council Entry'!N$4="Logarithm",LN(0.001+IF(AND(ISNUMBER('Council Entry'!N$8),ISNUMBER('Council Entry'!N$9)),MAX(MIN('Council Entry'!N65,'Council Entry'!N$9),'Council Entry'!N$8),'Council Entry'!N65)),IF('Council Entry'!N$4="Exponential",EXP(IF(AND(ISNUMBER('Council Entry'!N$8),ISNUMBER('Council Entry'!N$9)),MAX(MIN('Council Entry'!N65,'Council Entry'!N$9),'Council Entry'!N$8),'Council Entry'!N65)),IF(AND(ISNUMBER('Council Entry'!N$8),ISNUMBER('Council Entry'!N$9)),MAX(MIN('Council Entry'!N65,'Council Entry'!N$9),'Council Entry'!N$8),'Council Entry'!N65))))-'Council Entry'!N$5)/('Council Entry'!N$6-'Council Entry'!N$5)),1))),"No data"))</f>
        <v/>
      </c>
      <c r="O65" s="13">
        <f>IF('Council Entry'!O65="","",IFERROR(MAX(0,MIN(10,ROUND(IF('Council Entry'!O$7="Decrease Risk",10-10*((IF('Council Entry'!O$4="Logarithm",LN(0.001+IF(AND(ISNUMBER('Council Entry'!O$8),ISNUMBER('Council Entry'!O$9)),MAX(MIN('Council Entry'!O65,'Council Entry'!O$9),'Council Entry'!O$8),'Council Entry'!O65)),IF('Council Entry'!O$4="Exponential",EXP(IF(AND(ISNUMBER('Council Entry'!O$8),ISNUMBER('Council Entry'!O$9)),MAX(MIN('Council Entry'!O65,'Council Entry'!O$9),'Council Entry'!O$8),'Council Entry'!O65)),IF(AND(ISNUMBER('Council Entry'!O$8),ISNUMBER('Council Entry'!O$9)),MAX(MIN('Council Entry'!O65,'Council Entry'!O$9),'Council Entry'!O$8),'Council Entry'!O65))))-'Council Entry'!O$5)/('Council Entry'!O$6-'Council Entry'!O$5),10*((IF('Council Entry'!O$4="Logarithm",LN(0.001+IF(AND(ISNUMBER('Council Entry'!O$8),ISNUMBER('Council Entry'!O$9)),MAX(MIN('Council Entry'!O65,'Council Entry'!O$9),'Council Entry'!O$8),'Council Entry'!O65)),IF('Council Entry'!O$4="Exponential",EXP(IF(AND(ISNUMBER('Council Entry'!O$8),ISNUMBER('Council Entry'!O$9)),MAX(MIN('Council Entry'!O65,'Council Entry'!O$9),'Council Entry'!O$8),'Council Entry'!O65)),IF(AND(ISNUMBER('Council Entry'!O$8),ISNUMBER('Council Entry'!O$9)),MAX(MIN('Council Entry'!O65,'Council Entry'!O$9),'Council Entry'!O$8),'Council Entry'!O65))))-'Council Entry'!O$5)/('Council Entry'!O$6-'Council Entry'!O$5)),1))),"No data"))</f>
        <v/>
      </c>
      <c r="P65" s="13">
        <f>IF('Council Entry'!P65="","",IFERROR(MAX(0,MIN(10,ROUND(IF('Council Entry'!P$7="Decrease Risk",10-10*((IF('Council Entry'!P$4="Logarithm",LN(0.001+IF(AND(ISNUMBER('Council Entry'!P$8),ISNUMBER('Council Entry'!P$9)),MAX(MIN('Council Entry'!P65,'Council Entry'!P$9),'Council Entry'!P$8),'Council Entry'!P65)),IF('Council Entry'!P$4="Exponential",EXP(IF(AND(ISNUMBER('Council Entry'!P$8),ISNUMBER('Council Entry'!P$9)),MAX(MIN('Council Entry'!P65,'Council Entry'!P$9),'Council Entry'!P$8),'Council Entry'!P65)),IF(AND(ISNUMBER('Council Entry'!P$8),ISNUMBER('Council Entry'!P$9)),MAX(MIN('Council Entry'!P65,'Council Entry'!P$9),'Council Entry'!P$8),'Council Entry'!P65))))-'Council Entry'!P$5)/('Council Entry'!P$6-'Council Entry'!P$5),10*((IF('Council Entry'!P$4="Logarithm",LN(0.001+IF(AND(ISNUMBER('Council Entry'!P$8),ISNUMBER('Council Entry'!P$9)),MAX(MIN('Council Entry'!P65,'Council Entry'!P$9),'Council Entry'!P$8),'Council Entry'!P65)),IF('Council Entry'!P$4="Exponential",EXP(IF(AND(ISNUMBER('Council Entry'!P$8),ISNUMBER('Council Entry'!P$9)),MAX(MIN('Council Entry'!P65,'Council Entry'!P$9),'Council Entry'!P$8),'Council Entry'!P65)),IF(AND(ISNUMBER('Council Entry'!P$8),ISNUMBER('Council Entry'!P$9)),MAX(MIN('Council Entry'!P65,'Council Entry'!P$9),'Council Entry'!P$8),'Council Entry'!P65))))-'Council Entry'!P$5)/('Council Entry'!P$6-'Council Entry'!P$5)),1))),"No data"))</f>
        <v/>
      </c>
      <c r="Q65" s="13">
        <f>IF('Council Entry'!Q65="","",IFERROR(MAX(0,MIN(10,ROUND(IF('Council Entry'!Q$7="Decrease Risk",10-10*((IF('Council Entry'!Q$4="Logarithm",LN(0.001+IF(AND(ISNUMBER('Council Entry'!Q$8),ISNUMBER('Council Entry'!Q$9)),MAX(MIN('Council Entry'!Q65,'Council Entry'!Q$9),'Council Entry'!Q$8),'Council Entry'!Q65)),IF('Council Entry'!Q$4="Exponential",EXP(IF(AND(ISNUMBER('Council Entry'!Q$8),ISNUMBER('Council Entry'!Q$9)),MAX(MIN('Council Entry'!Q65,'Council Entry'!Q$9),'Council Entry'!Q$8),'Council Entry'!Q65)),IF(AND(ISNUMBER('Council Entry'!Q$8),ISNUMBER('Council Entry'!Q$9)),MAX(MIN('Council Entry'!Q65,'Council Entry'!Q$9),'Council Entry'!Q$8),'Council Entry'!Q65))))-'Council Entry'!Q$5)/('Council Entry'!Q$6-'Council Entry'!Q$5),10*((IF('Council Entry'!Q$4="Logarithm",LN(0.001+IF(AND(ISNUMBER('Council Entry'!Q$8),ISNUMBER('Council Entry'!Q$9)),MAX(MIN('Council Entry'!Q65,'Council Entry'!Q$9),'Council Entry'!Q$8),'Council Entry'!Q65)),IF('Council Entry'!Q$4="Exponential",EXP(IF(AND(ISNUMBER('Council Entry'!Q$8),ISNUMBER('Council Entry'!Q$9)),MAX(MIN('Council Entry'!Q65,'Council Entry'!Q$9),'Council Entry'!Q$8),'Council Entry'!Q65)),IF(AND(ISNUMBER('Council Entry'!Q$8),ISNUMBER('Council Entry'!Q$9)),MAX(MIN('Council Entry'!Q65,'Council Entry'!Q$9),'Council Entry'!Q$8),'Council Entry'!Q65))))-'Council Entry'!Q$5)/('Council Entry'!Q$6-'Council Entry'!Q$5)),1))),"No data"))</f>
        <v/>
      </c>
      <c r="R65" s="13">
        <f>IF('Council Entry'!R65="","",IFERROR(MAX(0,MIN(10,ROUND(IF('Council Entry'!R$7="Decrease Risk",10-10*((IF('Council Entry'!R$4="Logarithm",LN(0.001+IF(AND(ISNUMBER('Council Entry'!R$8),ISNUMBER('Council Entry'!R$9)),MAX(MIN('Council Entry'!R65,'Council Entry'!R$9),'Council Entry'!R$8),'Council Entry'!R65)),IF('Council Entry'!R$4="Exponential",EXP(IF(AND(ISNUMBER('Council Entry'!R$8),ISNUMBER('Council Entry'!R$9)),MAX(MIN('Council Entry'!R65,'Council Entry'!R$9),'Council Entry'!R$8),'Council Entry'!R65)),IF(AND(ISNUMBER('Council Entry'!R$8),ISNUMBER('Council Entry'!R$9)),MAX(MIN('Council Entry'!R65,'Council Entry'!R$9),'Council Entry'!R$8),'Council Entry'!R65))))-'Council Entry'!R$5)/('Council Entry'!R$6-'Council Entry'!R$5),10*((IF('Council Entry'!R$4="Logarithm",LN(0.001+IF(AND(ISNUMBER('Council Entry'!R$8),ISNUMBER('Council Entry'!R$9)),MAX(MIN('Council Entry'!R65,'Council Entry'!R$9),'Council Entry'!R$8),'Council Entry'!R65)),IF('Council Entry'!R$4="Exponential",EXP(IF(AND(ISNUMBER('Council Entry'!R$8),ISNUMBER('Council Entry'!R$9)),MAX(MIN('Council Entry'!R65,'Council Entry'!R$9),'Council Entry'!R$8),'Council Entry'!R65)),IF(AND(ISNUMBER('Council Entry'!R$8),ISNUMBER('Council Entry'!R$9)),MAX(MIN('Council Entry'!R65,'Council Entry'!R$9),'Council Entry'!R$8),'Council Entry'!R65))))-'Council Entry'!R$5)/('Council Entry'!R$6-'Council Entry'!R$5)),1))),"No data"))</f>
        <v/>
      </c>
      <c r="S65" s="13">
        <f>IF('Council Entry'!S65="","",IFERROR(MAX(0,MIN(10,ROUND(IF('Council Entry'!S$7="Decrease Risk",10-10*((IF('Council Entry'!S$4="Logarithm",LN(0.001+IF(AND(ISNUMBER('Council Entry'!S$8),ISNUMBER('Council Entry'!S$9)),MAX(MIN('Council Entry'!S65,'Council Entry'!S$9),'Council Entry'!S$8),'Council Entry'!S65)),IF('Council Entry'!S$4="Exponential",EXP(IF(AND(ISNUMBER('Council Entry'!S$8),ISNUMBER('Council Entry'!S$9)),MAX(MIN('Council Entry'!S65,'Council Entry'!S$9),'Council Entry'!S$8),'Council Entry'!S65)),IF(AND(ISNUMBER('Council Entry'!S$8),ISNUMBER('Council Entry'!S$9)),MAX(MIN('Council Entry'!S65,'Council Entry'!S$9),'Council Entry'!S$8),'Council Entry'!S65))))-'Council Entry'!S$5)/('Council Entry'!S$6-'Council Entry'!S$5),10*((IF('Council Entry'!S$4="Logarithm",LN(0.001+IF(AND(ISNUMBER('Council Entry'!S$8),ISNUMBER('Council Entry'!S$9)),MAX(MIN('Council Entry'!S65,'Council Entry'!S$9),'Council Entry'!S$8),'Council Entry'!S65)),IF('Council Entry'!S$4="Exponential",EXP(IF(AND(ISNUMBER('Council Entry'!S$8),ISNUMBER('Council Entry'!S$9)),MAX(MIN('Council Entry'!S65,'Council Entry'!S$9),'Council Entry'!S$8),'Council Entry'!S65)),IF(AND(ISNUMBER('Council Entry'!S$8),ISNUMBER('Council Entry'!S$9)),MAX(MIN('Council Entry'!S65,'Council Entry'!S$9),'Council Entry'!S$8),'Council Entry'!S65))))-'Council Entry'!S$5)/('Council Entry'!S$6-'Council Entry'!S$5)),1))),"No data"))</f>
        <v/>
      </c>
      <c r="T65" s="13">
        <f>IF('Council Entry'!T65="","",IFERROR(MAX(0,MIN(10,ROUND(IF('Council Entry'!T$7="Decrease Risk",10-10*((IF('Council Entry'!T$4="Logarithm",LN(0.001+IF(AND(ISNUMBER('Council Entry'!T$8),ISNUMBER('Council Entry'!T$9)),MAX(MIN('Council Entry'!T65,'Council Entry'!T$9),'Council Entry'!T$8),'Council Entry'!T65)),IF('Council Entry'!T$4="Exponential",EXP(IF(AND(ISNUMBER('Council Entry'!T$8),ISNUMBER('Council Entry'!T$9)),MAX(MIN('Council Entry'!T65,'Council Entry'!T$9),'Council Entry'!T$8),'Council Entry'!T65)),IF(AND(ISNUMBER('Council Entry'!T$8),ISNUMBER('Council Entry'!T$9)),MAX(MIN('Council Entry'!T65,'Council Entry'!T$9),'Council Entry'!T$8),'Council Entry'!T65))))-'Council Entry'!T$5)/('Council Entry'!T$6-'Council Entry'!T$5),10*((IF('Council Entry'!T$4="Logarithm",LN(0.001+IF(AND(ISNUMBER('Council Entry'!T$8),ISNUMBER('Council Entry'!T$9)),MAX(MIN('Council Entry'!T65,'Council Entry'!T$9),'Council Entry'!T$8),'Council Entry'!T65)),IF('Council Entry'!T$4="Exponential",EXP(IF(AND(ISNUMBER('Council Entry'!T$8),ISNUMBER('Council Entry'!T$9)),MAX(MIN('Council Entry'!T65,'Council Entry'!T$9),'Council Entry'!T$8),'Council Entry'!T65)),IF(AND(ISNUMBER('Council Entry'!T$8),ISNUMBER('Council Entry'!T$9)),MAX(MIN('Council Entry'!T65,'Council Entry'!T$9),'Council Entry'!T$8),'Council Entry'!T65))))-'Council Entry'!T$5)/('Council Entry'!T$6-'Council Entry'!T$5)),1))),"No data"))</f>
        <v/>
      </c>
      <c r="U65" s="13">
        <f>IF('Council Entry'!U65="","",IFERROR(MAX(0,MIN(10,ROUND(IF('Council Entry'!U$7="Decrease Risk",10-10*((IF('Council Entry'!U$4="Logarithm",LN(0.001+IF(AND(ISNUMBER('Council Entry'!U$8),ISNUMBER('Council Entry'!U$9)),MAX(MIN('Council Entry'!U65,'Council Entry'!U$9),'Council Entry'!U$8),'Council Entry'!U65)),IF('Council Entry'!U$4="Exponential",EXP(IF(AND(ISNUMBER('Council Entry'!U$8),ISNUMBER('Council Entry'!U$9)),MAX(MIN('Council Entry'!U65,'Council Entry'!U$9),'Council Entry'!U$8),'Council Entry'!U65)),IF(AND(ISNUMBER('Council Entry'!U$8),ISNUMBER('Council Entry'!U$9)),MAX(MIN('Council Entry'!U65,'Council Entry'!U$9),'Council Entry'!U$8),'Council Entry'!U65))))-'Council Entry'!U$5)/('Council Entry'!U$6-'Council Entry'!U$5),10*((IF('Council Entry'!U$4="Logarithm",LN(0.001+IF(AND(ISNUMBER('Council Entry'!U$8),ISNUMBER('Council Entry'!U$9)),MAX(MIN('Council Entry'!U65,'Council Entry'!U$9),'Council Entry'!U$8),'Council Entry'!U65)),IF('Council Entry'!U$4="Exponential",EXP(IF(AND(ISNUMBER('Council Entry'!U$8),ISNUMBER('Council Entry'!U$9)),MAX(MIN('Council Entry'!U65,'Council Entry'!U$9),'Council Entry'!U$8),'Council Entry'!U65)),IF(AND(ISNUMBER('Council Entry'!U$8),ISNUMBER('Council Entry'!U$9)),MAX(MIN('Council Entry'!U65,'Council Entry'!U$9),'Council Entry'!U$8),'Council Entry'!U65))))-'Council Entry'!U$5)/('Council Entry'!U$6-'Council Entry'!U$5)),1))),"No data"))</f>
        <v/>
      </c>
      <c r="V65" s="13">
        <f>IF('Council Entry'!V65="","",IFERROR(MAX(0,MIN(10,ROUND(IF('Council Entry'!V$7="Decrease Risk",10-10*((IF('Council Entry'!V$4="Logarithm",LN(0.001+IF(AND(ISNUMBER('Council Entry'!V$8),ISNUMBER('Council Entry'!V$9)),MAX(MIN('Council Entry'!V65,'Council Entry'!V$9),'Council Entry'!V$8),'Council Entry'!V65)),IF('Council Entry'!V$4="Exponential",EXP(IF(AND(ISNUMBER('Council Entry'!V$8),ISNUMBER('Council Entry'!V$9)),MAX(MIN('Council Entry'!V65,'Council Entry'!V$9),'Council Entry'!V$8),'Council Entry'!V65)),IF(AND(ISNUMBER('Council Entry'!V$8),ISNUMBER('Council Entry'!V$9)),MAX(MIN('Council Entry'!V65,'Council Entry'!V$9),'Council Entry'!V$8),'Council Entry'!V65))))-'Council Entry'!V$5)/('Council Entry'!V$6-'Council Entry'!V$5),10*((IF('Council Entry'!V$4="Logarithm",LN(0.001+IF(AND(ISNUMBER('Council Entry'!V$8),ISNUMBER('Council Entry'!V$9)),MAX(MIN('Council Entry'!V65,'Council Entry'!V$9),'Council Entry'!V$8),'Council Entry'!V65)),IF('Council Entry'!V$4="Exponential",EXP(IF(AND(ISNUMBER('Council Entry'!V$8),ISNUMBER('Council Entry'!V$9)),MAX(MIN('Council Entry'!V65,'Council Entry'!V$9),'Council Entry'!V$8),'Council Entry'!V65)),IF(AND(ISNUMBER('Council Entry'!V$8),ISNUMBER('Council Entry'!V$9)),MAX(MIN('Council Entry'!V65,'Council Entry'!V$9),'Council Entry'!V$8),'Council Entry'!V65))))-'Council Entry'!V$5)/('Council Entry'!V$6-'Council Entry'!V$5)),1))),"No data"))</f>
        <v/>
      </c>
      <c r="W65" s="13">
        <f>IF('Council Entry'!W65="","",IFERROR(MAX(0,MIN(10,ROUND(IF('Council Entry'!W$7="Decrease Risk",10-10*((IF('Council Entry'!W$4="Logarithm",LN(0.001+IF(AND(ISNUMBER('Council Entry'!W$8),ISNUMBER('Council Entry'!W$9)),MAX(MIN('Council Entry'!W65,'Council Entry'!W$9),'Council Entry'!W$8),'Council Entry'!W65)),IF('Council Entry'!W$4="Exponential",EXP(IF(AND(ISNUMBER('Council Entry'!W$8),ISNUMBER('Council Entry'!W$9)),MAX(MIN('Council Entry'!W65,'Council Entry'!W$9),'Council Entry'!W$8),'Council Entry'!W65)),IF(AND(ISNUMBER('Council Entry'!W$8),ISNUMBER('Council Entry'!W$9)),MAX(MIN('Council Entry'!W65,'Council Entry'!W$9),'Council Entry'!W$8),'Council Entry'!W65))))-'Council Entry'!W$5)/('Council Entry'!W$6-'Council Entry'!W$5),10*((IF('Council Entry'!W$4="Logarithm",LN(0.001+IF(AND(ISNUMBER('Council Entry'!W$8),ISNUMBER('Council Entry'!W$9)),MAX(MIN('Council Entry'!W65,'Council Entry'!W$9),'Council Entry'!W$8),'Council Entry'!W65)),IF('Council Entry'!W$4="Exponential",EXP(IF(AND(ISNUMBER('Council Entry'!W$8),ISNUMBER('Council Entry'!W$9)),MAX(MIN('Council Entry'!W65,'Council Entry'!W$9),'Council Entry'!W$8),'Council Entry'!W65)),IF(AND(ISNUMBER('Council Entry'!W$8),ISNUMBER('Council Entry'!W$9)),MAX(MIN('Council Entry'!W65,'Council Entry'!W$9),'Council Entry'!W$8),'Council Entry'!W65))))-'Council Entry'!W$5)/('Council Entry'!W$6-'Council Entry'!W$5)),1))),"No data"))</f>
        <v/>
      </c>
      <c r="X65" s="13">
        <f>IF('Council Entry'!X65="","",IFERROR(MAX(0,MIN(10,ROUND(IF('Council Entry'!X$7="Decrease Risk",10-10*((IF('Council Entry'!X$4="Logarithm",LN(0.001+IF(AND(ISNUMBER('Council Entry'!X$8),ISNUMBER('Council Entry'!X$9)),MAX(MIN('Council Entry'!X65,'Council Entry'!X$9),'Council Entry'!X$8),'Council Entry'!X65)),IF('Council Entry'!X$4="Exponential",EXP(IF(AND(ISNUMBER('Council Entry'!X$8),ISNUMBER('Council Entry'!X$9)),MAX(MIN('Council Entry'!X65,'Council Entry'!X$9),'Council Entry'!X$8),'Council Entry'!X65)),IF(AND(ISNUMBER('Council Entry'!X$8),ISNUMBER('Council Entry'!X$9)),MAX(MIN('Council Entry'!X65,'Council Entry'!X$9),'Council Entry'!X$8),'Council Entry'!X65))))-'Council Entry'!X$5)/('Council Entry'!X$6-'Council Entry'!X$5),10*((IF('Council Entry'!X$4="Logarithm",LN(0.001+IF(AND(ISNUMBER('Council Entry'!X$8),ISNUMBER('Council Entry'!X$9)),MAX(MIN('Council Entry'!X65,'Council Entry'!X$9),'Council Entry'!X$8),'Council Entry'!X65)),IF('Council Entry'!X$4="Exponential",EXP(IF(AND(ISNUMBER('Council Entry'!X$8),ISNUMBER('Council Entry'!X$9)),MAX(MIN('Council Entry'!X65,'Council Entry'!X$9),'Council Entry'!X$8),'Council Entry'!X65)),IF(AND(ISNUMBER('Council Entry'!X$8),ISNUMBER('Council Entry'!X$9)),MAX(MIN('Council Entry'!X65,'Council Entry'!X$9),'Council Entry'!X$8),'Council Entry'!X65))))-'Council Entry'!X$5)/('Council Entry'!X$6-'Council Entry'!X$5)),1))),"No data"))</f>
        <v/>
      </c>
      <c r="Y65" s="13">
        <f>IF('Council Entry'!Y65="","",IFERROR(MAX(0,MIN(10,ROUND(IF('Council Entry'!Y$7="Decrease Risk",10-10*((IF('Council Entry'!Y$4="Logarithm",LN(0.001+IF(AND(ISNUMBER('Council Entry'!Y$8),ISNUMBER('Council Entry'!Y$9)),MAX(MIN('Council Entry'!Y65,'Council Entry'!Y$9),'Council Entry'!Y$8),'Council Entry'!Y65)),IF('Council Entry'!Y$4="Exponential",EXP(IF(AND(ISNUMBER('Council Entry'!Y$8),ISNUMBER('Council Entry'!Y$9)),MAX(MIN('Council Entry'!Y65,'Council Entry'!Y$9),'Council Entry'!Y$8),'Council Entry'!Y65)),IF(AND(ISNUMBER('Council Entry'!Y$8),ISNUMBER('Council Entry'!Y$9)),MAX(MIN('Council Entry'!Y65,'Council Entry'!Y$9),'Council Entry'!Y$8),'Council Entry'!Y65))))-'Council Entry'!Y$5)/('Council Entry'!Y$6-'Council Entry'!Y$5),10*((IF('Council Entry'!Y$4="Logarithm",LN(0.001+IF(AND(ISNUMBER('Council Entry'!Y$8),ISNUMBER('Council Entry'!Y$9)),MAX(MIN('Council Entry'!Y65,'Council Entry'!Y$9),'Council Entry'!Y$8),'Council Entry'!Y65)),IF('Council Entry'!Y$4="Exponential",EXP(IF(AND(ISNUMBER('Council Entry'!Y$8),ISNUMBER('Council Entry'!Y$9)),MAX(MIN('Council Entry'!Y65,'Council Entry'!Y$9),'Council Entry'!Y$8),'Council Entry'!Y65)),IF(AND(ISNUMBER('Council Entry'!Y$8),ISNUMBER('Council Entry'!Y$9)),MAX(MIN('Council Entry'!Y65,'Council Entry'!Y$9),'Council Entry'!Y$8),'Council Entry'!Y65))))-'Council Entry'!Y$5)/('Council Entry'!Y$6-'Council Entry'!Y$5)),1))),"No data"))</f>
        <v/>
      </c>
      <c r="Z65" s="13">
        <f>IF('Council Entry'!Z65="","",IFERROR(MAX(0,MIN(10,ROUND(IF('Council Entry'!Z$7="Decrease Risk",10-10*((IF('Council Entry'!Z$4="Logarithm",LN(0.001+IF(AND(ISNUMBER('Council Entry'!Z$8),ISNUMBER('Council Entry'!Z$9)),MAX(MIN('Council Entry'!Z65,'Council Entry'!Z$9),'Council Entry'!Z$8),'Council Entry'!Z65)),IF('Council Entry'!Z$4="Exponential",EXP(IF(AND(ISNUMBER('Council Entry'!Z$8),ISNUMBER('Council Entry'!Z$9)),MAX(MIN('Council Entry'!Z65,'Council Entry'!Z$9),'Council Entry'!Z$8),'Council Entry'!Z65)),IF(AND(ISNUMBER('Council Entry'!Z$8),ISNUMBER('Council Entry'!Z$9)),MAX(MIN('Council Entry'!Z65,'Council Entry'!Z$9),'Council Entry'!Z$8),'Council Entry'!Z65))))-'Council Entry'!Z$5)/('Council Entry'!Z$6-'Council Entry'!Z$5),10*((IF('Council Entry'!Z$4="Logarithm",LN(0.001+IF(AND(ISNUMBER('Council Entry'!Z$8),ISNUMBER('Council Entry'!Z$9)),MAX(MIN('Council Entry'!Z65,'Council Entry'!Z$9),'Council Entry'!Z$8),'Council Entry'!Z65)),IF('Council Entry'!Z$4="Exponential",EXP(IF(AND(ISNUMBER('Council Entry'!Z$8),ISNUMBER('Council Entry'!Z$9)),MAX(MIN('Council Entry'!Z65,'Council Entry'!Z$9),'Council Entry'!Z$8),'Council Entry'!Z65)),IF(AND(ISNUMBER('Council Entry'!Z$8),ISNUMBER('Council Entry'!Z$9)),MAX(MIN('Council Entry'!Z65,'Council Entry'!Z$9),'Council Entry'!Z$8),'Council Entry'!Z65))))-'Council Entry'!Z$5)/('Council Entry'!Z$6-'Council Entry'!Z$5)),1))),"No data"))</f>
        <v/>
      </c>
      <c r="AA65" s="13">
        <f>IF('Council Entry'!AA65="","",IFERROR(MAX(0,MIN(10,ROUND(IF('Council Entry'!AA$7="Decrease Risk",10-10*((IF('Council Entry'!AA$4="Logarithm",LN(0.001+IF(AND(ISNUMBER('Council Entry'!AA$8),ISNUMBER('Council Entry'!AA$9)),MAX(MIN('Council Entry'!AA65,'Council Entry'!AA$9),'Council Entry'!AA$8),'Council Entry'!AA65)),IF('Council Entry'!AA$4="Exponential",EXP(IF(AND(ISNUMBER('Council Entry'!AA$8),ISNUMBER('Council Entry'!AA$9)),MAX(MIN('Council Entry'!AA65,'Council Entry'!AA$9),'Council Entry'!AA$8),'Council Entry'!AA65)),IF(AND(ISNUMBER('Council Entry'!AA$8),ISNUMBER('Council Entry'!AA$9)),MAX(MIN('Council Entry'!AA65,'Council Entry'!AA$9),'Council Entry'!AA$8),'Council Entry'!AA65))))-'Council Entry'!AA$5)/('Council Entry'!AA$6-'Council Entry'!AA$5),10*((IF('Council Entry'!AA$4="Logarithm",LN(0.001+IF(AND(ISNUMBER('Council Entry'!AA$8),ISNUMBER('Council Entry'!AA$9)),MAX(MIN('Council Entry'!AA65,'Council Entry'!AA$9),'Council Entry'!AA$8),'Council Entry'!AA65)),IF('Council Entry'!AA$4="Exponential",EXP(IF(AND(ISNUMBER('Council Entry'!AA$8),ISNUMBER('Council Entry'!AA$9)),MAX(MIN('Council Entry'!AA65,'Council Entry'!AA$9),'Council Entry'!AA$8),'Council Entry'!AA65)),IF(AND(ISNUMBER('Council Entry'!AA$8),ISNUMBER('Council Entry'!AA$9)),MAX(MIN('Council Entry'!AA65,'Council Entry'!AA$9),'Council Entry'!AA$8),'Council Entry'!AA65))))-'Council Entry'!AA$5)/('Council Entry'!AA$6-'Council Entry'!AA$5)),1))),"No data"))</f>
        <v/>
      </c>
      <c r="AB65" s="13">
        <f>IF('Council Entry'!AB65="","",IFERROR(MAX(0,MIN(10,ROUND(IF('Council Entry'!AB$7="Decrease Risk",10-10*((IF('Council Entry'!AB$4="Logarithm",LN(0.001+IF(AND(ISNUMBER('Council Entry'!AB$8),ISNUMBER('Council Entry'!AB$9)),MAX(MIN('Council Entry'!AB65,'Council Entry'!AB$9),'Council Entry'!AB$8),'Council Entry'!AB65)),IF('Council Entry'!AB$4="Exponential",EXP(IF(AND(ISNUMBER('Council Entry'!AB$8),ISNUMBER('Council Entry'!AB$9)),MAX(MIN('Council Entry'!AB65,'Council Entry'!AB$9),'Council Entry'!AB$8),'Council Entry'!AB65)),IF(AND(ISNUMBER('Council Entry'!AB$8),ISNUMBER('Council Entry'!AB$9)),MAX(MIN('Council Entry'!AB65,'Council Entry'!AB$9),'Council Entry'!AB$8),'Council Entry'!AB65))))-'Council Entry'!AB$5)/('Council Entry'!AB$6-'Council Entry'!AB$5),10*((IF('Council Entry'!AB$4="Logarithm",LN(0.001+IF(AND(ISNUMBER('Council Entry'!AB$8),ISNUMBER('Council Entry'!AB$9)),MAX(MIN('Council Entry'!AB65,'Council Entry'!AB$9),'Council Entry'!AB$8),'Council Entry'!AB65)),IF('Council Entry'!AB$4="Exponential",EXP(IF(AND(ISNUMBER('Council Entry'!AB$8),ISNUMBER('Council Entry'!AB$9)),MAX(MIN('Council Entry'!AB65,'Council Entry'!AB$9),'Council Entry'!AB$8),'Council Entry'!AB65)),IF(AND(ISNUMBER('Council Entry'!AB$8),ISNUMBER('Council Entry'!AB$9)),MAX(MIN('Council Entry'!AB65,'Council Entry'!AB$9),'Council Entry'!AB$8),'Council Entry'!AB65))))-'Council Entry'!AB$5)/('Council Entry'!AB$6-'Council Entry'!AB$5)),1))),"No data"))</f>
        <v/>
      </c>
      <c r="AC65" s="13">
        <f>IF('Council Entry'!AC65="","",IFERROR(MAX(0,MIN(10,ROUND(IF('Council Entry'!AC$7="Decrease Risk",10-10*((IF('Council Entry'!AC$4="Logarithm",LN(0.001+IF(AND(ISNUMBER('Council Entry'!AC$8),ISNUMBER('Council Entry'!AC$9)),MAX(MIN('Council Entry'!AC65,'Council Entry'!AC$9),'Council Entry'!AC$8),'Council Entry'!AC65)),IF('Council Entry'!AC$4="Exponential",EXP(IF(AND(ISNUMBER('Council Entry'!AC$8),ISNUMBER('Council Entry'!AC$9)),MAX(MIN('Council Entry'!AC65,'Council Entry'!AC$9),'Council Entry'!AC$8),'Council Entry'!AC65)),IF(AND(ISNUMBER('Council Entry'!AC$8),ISNUMBER('Council Entry'!AC$9)),MAX(MIN('Council Entry'!AC65,'Council Entry'!AC$9),'Council Entry'!AC$8),'Council Entry'!AC65))))-'Council Entry'!AC$5)/('Council Entry'!AC$6-'Council Entry'!AC$5),10*((IF('Council Entry'!AC$4="Logarithm",LN(0.001+IF(AND(ISNUMBER('Council Entry'!AC$8),ISNUMBER('Council Entry'!AC$9)),MAX(MIN('Council Entry'!AC65,'Council Entry'!AC$9),'Council Entry'!AC$8),'Council Entry'!AC65)),IF('Council Entry'!AC$4="Exponential",EXP(IF(AND(ISNUMBER('Council Entry'!AC$8),ISNUMBER('Council Entry'!AC$9)),MAX(MIN('Council Entry'!AC65,'Council Entry'!AC$9),'Council Entry'!AC$8),'Council Entry'!AC65)),IF(AND(ISNUMBER('Council Entry'!AC$8),ISNUMBER('Council Entry'!AC$9)),MAX(MIN('Council Entry'!AC65,'Council Entry'!AC$9),'Council Entry'!AC$8),'Council Entry'!AC65))))-'Council Entry'!AC$5)/('Council Entry'!AC$6-'Council Entry'!AC$5)),1))),"No data"))</f>
        <v/>
      </c>
      <c r="AD65" s="13">
        <f>IF('Council Entry'!AD65="","",IFERROR(MAX(0,MIN(10,ROUND(IF('Council Entry'!AD$7="Decrease Risk",10-10*((IF('Council Entry'!AD$4="Logarithm",LN(0.001+IF(AND(ISNUMBER('Council Entry'!AD$8),ISNUMBER('Council Entry'!AD$9)),MAX(MIN('Council Entry'!AD65,'Council Entry'!AD$9),'Council Entry'!AD$8),'Council Entry'!AD65)),IF('Council Entry'!AD$4="Exponential",EXP(IF(AND(ISNUMBER('Council Entry'!AD$8),ISNUMBER('Council Entry'!AD$9)),MAX(MIN('Council Entry'!AD65,'Council Entry'!AD$9),'Council Entry'!AD$8),'Council Entry'!AD65)),IF(AND(ISNUMBER('Council Entry'!AD$8),ISNUMBER('Council Entry'!AD$9)),MAX(MIN('Council Entry'!AD65,'Council Entry'!AD$9),'Council Entry'!AD$8),'Council Entry'!AD65))))-'Council Entry'!AD$5)/('Council Entry'!AD$6-'Council Entry'!AD$5),10*((IF('Council Entry'!AD$4="Logarithm",LN(0.001+IF(AND(ISNUMBER('Council Entry'!AD$8),ISNUMBER('Council Entry'!AD$9)),MAX(MIN('Council Entry'!AD65,'Council Entry'!AD$9),'Council Entry'!AD$8),'Council Entry'!AD65)),IF('Council Entry'!AD$4="Exponential",EXP(IF(AND(ISNUMBER('Council Entry'!AD$8),ISNUMBER('Council Entry'!AD$9)),MAX(MIN('Council Entry'!AD65,'Council Entry'!AD$9),'Council Entry'!AD$8),'Council Entry'!AD65)),IF(AND(ISNUMBER('Council Entry'!AD$8),ISNUMBER('Council Entry'!AD$9)),MAX(MIN('Council Entry'!AD65,'Council Entry'!AD$9),'Council Entry'!AD$8),'Council Entry'!AD65))))-'Council Entry'!AD$5)/('Council Entry'!AD$6-'Council Entry'!AD$5)),1))),"No data"))</f>
        <v/>
      </c>
      <c r="AE65" s="13">
        <f>IF('Council Entry'!AE65="","",IFERROR(MAX(0,MIN(10,ROUND(IF('Council Entry'!AE$7="Decrease Risk",10-10*((IF('Council Entry'!AE$4="Logarithm",LN(0.001+IF(AND(ISNUMBER('Council Entry'!AE$8),ISNUMBER('Council Entry'!AE$9)),MAX(MIN('Council Entry'!AE65,'Council Entry'!AE$9),'Council Entry'!AE$8),'Council Entry'!AE65)),IF('Council Entry'!AE$4="Exponential",EXP(IF(AND(ISNUMBER('Council Entry'!AE$8),ISNUMBER('Council Entry'!AE$9)),MAX(MIN('Council Entry'!AE65,'Council Entry'!AE$9),'Council Entry'!AE$8),'Council Entry'!AE65)),IF(AND(ISNUMBER('Council Entry'!AE$8),ISNUMBER('Council Entry'!AE$9)),MAX(MIN('Council Entry'!AE65,'Council Entry'!AE$9),'Council Entry'!AE$8),'Council Entry'!AE65))))-'Council Entry'!AE$5)/('Council Entry'!AE$6-'Council Entry'!AE$5),10*((IF('Council Entry'!AE$4="Logarithm",LN(0.001+IF(AND(ISNUMBER('Council Entry'!AE$8),ISNUMBER('Council Entry'!AE$9)),MAX(MIN('Council Entry'!AE65,'Council Entry'!AE$9),'Council Entry'!AE$8),'Council Entry'!AE65)),IF('Council Entry'!AE$4="Exponential",EXP(IF(AND(ISNUMBER('Council Entry'!AE$8),ISNUMBER('Council Entry'!AE$9)),MAX(MIN('Council Entry'!AE65,'Council Entry'!AE$9),'Council Entry'!AE$8),'Council Entry'!AE65)),IF(AND(ISNUMBER('Council Entry'!AE$8),ISNUMBER('Council Entry'!AE$9)),MAX(MIN('Council Entry'!AE65,'Council Entry'!AE$9),'Council Entry'!AE$8),'Council Entry'!AE65))))-'Council Entry'!AE$5)/('Council Entry'!AE$6-'Council Entry'!AE$5)),1))),"No data"))</f>
        <v/>
      </c>
      <c r="AF65" s="13">
        <f>IF('Council Entry'!AF65="","",IFERROR(MAX(0,MIN(10,ROUND(IF('Council Entry'!AF$7="Decrease Risk",10-10*((IF('Council Entry'!AF$4="Logarithm",LN(0.001+IF(AND(ISNUMBER('Council Entry'!AF$8),ISNUMBER('Council Entry'!AF$9)),MAX(MIN('Council Entry'!AF65,'Council Entry'!AF$9),'Council Entry'!AF$8),'Council Entry'!AF65)),IF('Council Entry'!AF$4="Exponential",EXP(IF(AND(ISNUMBER('Council Entry'!AF$8),ISNUMBER('Council Entry'!AF$9)),MAX(MIN('Council Entry'!AF65,'Council Entry'!AF$9),'Council Entry'!AF$8),'Council Entry'!AF65)),IF(AND(ISNUMBER('Council Entry'!AF$8),ISNUMBER('Council Entry'!AF$9)),MAX(MIN('Council Entry'!AF65,'Council Entry'!AF$9),'Council Entry'!AF$8),'Council Entry'!AF65))))-'Council Entry'!AF$5)/('Council Entry'!AF$6-'Council Entry'!AF$5),10*((IF('Council Entry'!AF$4="Logarithm",LN(0.001+IF(AND(ISNUMBER('Council Entry'!AF$8),ISNUMBER('Council Entry'!AF$9)),MAX(MIN('Council Entry'!AF65,'Council Entry'!AF$9),'Council Entry'!AF$8),'Council Entry'!AF65)),IF('Council Entry'!AF$4="Exponential",EXP(IF(AND(ISNUMBER('Council Entry'!AF$8),ISNUMBER('Council Entry'!AF$9)),MAX(MIN('Council Entry'!AF65,'Council Entry'!AF$9),'Council Entry'!AF$8),'Council Entry'!AF65)),IF(AND(ISNUMBER('Council Entry'!AF$8),ISNUMBER('Council Entry'!AF$9)),MAX(MIN('Council Entry'!AF65,'Council Entry'!AF$9),'Council Entry'!AF$8),'Council Entry'!AF65))))-'Council Entry'!AF$5)/('Council Entry'!AF$6-'Council Entry'!AF$5)),1))),"No data"))</f>
        <v/>
      </c>
      <c r="AG65" s="13">
        <f>IF('Council Entry'!AG65="","",IFERROR(MAX(0,MIN(10,ROUND(IF('Council Entry'!AG$7="Decrease Risk",10-10*((IF('Council Entry'!AG$4="Logarithm",LN(0.001+IF(AND(ISNUMBER('Council Entry'!AG$8),ISNUMBER('Council Entry'!AG$9)),MAX(MIN('Council Entry'!AG65,'Council Entry'!AG$9),'Council Entry'!AG$8),'Council Entry'!AG65)),IF('Council Entry'!AG$4="Exponential",EXP(IF(AND(ISNUMBER('Council Entry'!AG$8),ISNUMBER('Council Entry'!AG$9)),MAX(MIN('Council Entry'!AG65,'Council Entry'!AG$9),'Council Entry'!AG$8),'Council Entry'!AG65)),IF(AND(ISNUMBER('Council Entry'!AG$8),ISNUMBER('Council Entry'!AG$9)),MAX(MIN('Council Entry'!AG65,'Council Entry'!AG$9),'Council Entry'!AG$8),'Council Entry'!AG65))))-'Council Entry'!AG$5)/('Council Entry'!AG$6-'Council Entry'!AG$5),10*((IF('Council Entry'!AG$4="Logarithm",LN(0.001+IF(AND(ISNUMBER('Council Entry'!AG$8),ISNUMBER('Council Entry'!AG$9)),MAX(MIN('Council Entry'!AG65,'Council Entry'!AG$9),'Council Entry'!AG$8),'Council Entry'!AG65)),IF('Council Entry'!AG$4="Exponential",EXP(IF(AND(ISNUMBER('Council Entry'!AG$8),ISNUMBER('Council Entry'!AG$9)),MAX(MIN('Council Entry'!AG65,'Council Entry'!AG$9),'Council Entry'!AG$8),'Council Entry'!AG65)),IF(AND(ISNUMBER('Council Entry'!AG$8),ISNUMBER('Council Entry'!AG$9)),MAX(MIN('Council Entry'!AG65,'Council Entry'!AG$9),'Council Entry'!AG$8),'Council Entry'!AG65))))-'Council Entry'!AG$5)/('Council Entry'!AG$6-'Council Entry'!AG$5)),1))),"No data"))</f>
        <v/>
      </c>
      <c r="AH65" s="13">
        <f>IF('Council Entry'!AH65="","",IFERROR(MAX(0,MIN(10,ROUND(IF('Council Entry'!AH$7="Decrease Risk",10-10*((IF('Council Entry'!AH$4="Logarithm",LN(0.001+IF(AND(ISNUMBER('Council Entry'!AH$8),ISNUMBER('Council Entry'!AH$9)),MAX(MIN('Council Entry'!AH65,'Council Entry'!AH$9),'Council Entry'!AH$8),'Council Entry'!AH65)),IF('Council Entry'!AH$4="Exponential",EXP(IF(AND(ISNUMBER('Council Entry'!AH$8),ISNUMBER('Council Entry'!AH$9)),MAX(MIN('Council Entry'!AH65,'Council Entry'!AH$9),'Council Entry'!AH$8),'Council Entry'!AH65)),IF(AND(ISNUMBER('Council Entry'!AH$8),ISNUMBER('Council Entry'!AH$9)),MAX(MIN('Council Entry'!AH65,'Council Entry'!AH$9),'Council Entry'!AH$8),'Council Entry'!AH65))))-'Council Entry'!AH$5)/('Council Entry'!AH$6-'Council Entry'!AH$5),10*((IF('Council Entry'!AH$4="Logarithm",LN(0.001+IF(AND(ISNUMBER('Council Entry'!AH$8),ISNUMBER('Council Entry'!AH$9)),MAX(MIN('Council Entry'!AH65,'Council Entry'!AH$9),'Council Entry'!AH$8),'Council Entry'!AH65)),IF('Council Entry'!AH$4="Exponential",EXP(IF(AND(ISNUMBER('Council Entry'!AH$8),ISNUMBER('Council Entry'!AH$9)),MAX(MIN('Council Entry'!AH65,'Council Entry'!AH$9),'Council Entry'!AH$8),'Council Entry'!AH65)),IF(AND(ISNUMBER('Council Entry'!AH$8),ISNUMBER('Council Entry'!AH$9)),MAX(MIN('Council Entry'!AH65,'Council Entry'!AH$9),'Council Entry'!AH$8),'Council Entry'!AH65))))-'Council Entry'!AH$5)/('Council Entry'!AH$6-'Council Entry'!AH$5)),1))),"No data"))</f>
        <v/>
      </c>
      <c r="AI65" s="13">
        <f>IF('Council Entry'!AI65="","",IFERROR(MAX(0,MIN(10,ROUND(IF('Council Entry'!AI$7="Decrease Risk",10-10*((IF('Council Entry'!AI$4="Logarithm",LN(0.001+IF(AND(ISNUMBER('Council Entry'!AI$8),ISNUMBER('Council Entry'!AI$9)),MAX(MIN('Council Entry'!AI65,'Council Entry'!AI$9),'Council Entry'!AI$8),'Council Entry'!AI65)),IF('Council Entry'!AI$4="Exponential",EXP(IF(AND(ISNUMBER('Council Entry'!AI$8),ISNUMBER('Council Entry'!AI$9)),MAX(MIN('Council Entry'!AI65,'Council Entry'!AI$9),'Council Entry'!AI$8),'Council Entry'!AI65)),IF(AND(ISNUMBER('Council Entry'!AI$8),ISNUMBER('Council Entry'!AI$9)),MAX(MIN('Council Entry'!AI65,'Council Entry'!AI$9),'Council Entry'!AI$8),'Council Entry'!AI65))))-'Council Entry'!AI$5)/('Council Entry'!AI$6-'Council Entry'!AI$5),10*((IF('Council Entry'!AI$4="Logarithm",LN(0.001+IF(AND(ISNUMBER('Council Entry'!AI$8),ISNUMBER('Council Entry'!AI$9)),MAX(MIN('Council Entry'!AI65,'Council Entry'!AI$9),'Council Entry'!AI$8),'Council Entry'!AI65)),IF('Council Entry'!AI$4="Exponential",EXP(IF(AND(ISNUMBER('Council Entry'!AI$8),ISNUMBER('Council Entry'!AI$9)),MAX(MIN('Council Entry'!AI65,'Council Entry'!AI$9),'Council Entry'!AI$8),'Council Entry'!AI65)),IF(AND(ISNUMBER('Council Entry'!AI$8),ISNUMBER('Council Entry'!AI$9)),MAX(MIN('Council Entry'!AI65,'Council Entry'!AI$9),'Council Entry'!AI$8),'Council Entry'!AI65))))-'Council Entry'!AI$5)/('Council Entry'!AI$6-'Council Entry'!AI$5)),1))),"No data"))</f>
        <v/>
      </c>
      <c r="AJ65" s="13">
        <f>IF('Council Entry'!AJ65="","",IFERROR(MAX(0,MIN(10,ROUND(IF('Council Entry'!AJ$7="Decrease Risk",10-10*((IF('Council Entry'!AJ$4="Logarithm",LN(0.001+IF(AND(ISNUMBER('Council Entry'!AJ$8),ISNUMBER('Council Entry'!AJ$9)),MAX(MIN('Council Entry'!AJ65,'Council Entry'!AJ$9),'Council Entry'!AJ$8),'Council Entry'!AJ65)),IF('Council Entry'!AJ$4="Exponential",EXP(IF(AND(ISNUMBER('Council Entry'!AJ$8),ISNUMBER('Council Entry'!AJ$9)),MAX(MIN('Council Entry'!AJ65,'Council Entry'!AJ$9),'Council Entry'!AJ$8),'Council Entry'!AJ65)),IF(AND(ISNUMBER('Council Entry'!AJ$8),ISNUMBER('Council Entry'!AJ$9)),MAX(MIN('Council Entry'!AJ65,'Council Entry'!AJ$9),'Council Entry'!AJ$8),'Council Entry'!AJ65))))-'Council Entry'!AJ$5)/('Council Entry'!AJ$6-'Council Entry'!AJ$5),10*((IF('Council Entry'!AJ$4="Logarithm",LN(0.001+IF(AND(ISNUMBER('Council Entry'!AJ$8),ISNUMBER('Council Entry'!AJ$9)),MAX(MIN('Council Entry'!AJ65,'Council Entry'!AJ$9),'Council Entry'!AJ$8),'Council Entry'!AJ65)),IF('Council Entry'!AJ$4="Exponential",EXP(IF(AND(ISNUMBER('Council Entry'!AJ$8),ISNUMBER('Council Entry'!AJ$9)),MAX(MIN('Council Entry'!AJ65,'Council Entry'!AJ$9),'Council Entry'!AJ$8),'Council Entry'!AJ65)),IF(AND(ISNUMBER('Council Entry'!AJ$8),ISNUMBER('Council Entry'!AJ$9)),MAX(MIN('Council Entry'!AJ65,'Council Entry'!AJ$9),'Council Entry'!AJ$8),'Council Entry'!AJ65))))-'Council Entry'!AJ$5)/('Council Entry'!AJ$6-'Council Entry'!AJ$5)),1))),"No data"))</f>
        <v/>
      </c>
      <c r="AK65" s="13">
        <f>IF('Council Entry'!AK65="","",IFERROR(MAX(0,MIN(10,ROUND(IF('Council Entry'!AK$7="Decrease Risk",10-10*((IF('Council Entry'!AK$4="Logarithm",LN(0.001+IF(AND(ISNUMBER('Council Entry'!AK$8),ISNUMBER('Council Entry'!AK$9)),MAX(MIN('Council Entry'!AK65,'Council Entry'!AK$9),'Council Entry'!AK$8),'Council Entry'!AK65)),IF('Council Entry'!AK$4="Exponential",EXP(IF(AND(ISNUMBER('Council Entry'!AK$8),ISNUMBER('Council Entry'!AK$9)),MAX(MIN('Council Entry'!AK65,'Council Entry'!AK$9),'Council Entry'!AK$8),'Council Entry'!AK65)),IF(AND(ISNUMBER('Council Entry'!AK$8),ISNUMBER('Council Entry'!AK$9)),MAX(MIN('Council Entry'!AK65,'Council Entry'!AK$9),'Council Entry'!AK$8),'Council Entry'!AK65))))-'Council Entry'!AK$5)/('Council Entry'!AK$6-'Council Entry'!AK$5),10*((IF('Council Entry'!AK$4="Logarithm",LN(0.001+IF(AND(ISNUMBER('Council Entry'!AK$8),ISNUMBER('Council Entry'!AK$9)),MAX(MIN('Council Entry'!AK65,'Council Entry'!AK$9),'Council Entry'!AK$8),'Council Entry'!AK65)),IF('Council Entry'!AK$4="Exponential",EXP(IF(AND(ISNUMBER('Council Entry'!AK$8),ISNUMBER('Council Entry'!AK$9)),MAX(MIN('Council Entry'!AK65,'Council Entry'!AK$9),'Council Entry'!AK$8),'Council Entry'!AK65)),IF(AND(ISNUMBER('Council Entry'!AK$8),ISNUMBER('Council Entry'!AK$9)),MAX(MIN('Council Entry'!AK65,'Council Entry'!AK$9),'Council Entry'!AK$8),'Council Entry'!AK65))))-'Council Entry'!AK$5)/('Council Entry'!AK$6-'Council Entry'!AK$5)),1))),"No data"))</f>
        <v/>
      </c>
      <c r="AL65" s="13">
        <f>IF('Council Entry'!AL65="","",IFERROR(MAX(0,MIN(10,ROUND(IF('Council Entry'!AL$7="Decrease Risk",10-10*((IF('Council Entry'!AL$4="Logarithm",LN(0.001+IF(AND(ISNUMBER('Council Entry'!AL$8),ISNUMBER('Council Entry'!AL$9)),MAX(MIN('Council Entry'!AL65,'Council Entry'!AL$9),'Council Entry'!AL$8),'Council Entry'!AL65)),IF('Council Entry'!AL$4="Exponential",EXP(IF(AND(ISNUMBER('Council Entry'!AL$8),ISNUMBER('Council Entry'!AL$9)),MAX(MIN('Council Entry'!AL65,'Council Entry'!AL$9),'Council Entry'!AL$8),'Council Entry'!AL65)),IF(AND(ISNUMBER('Council Entry'!AL$8),ISNUMBER('Council Entry'!AL$9)),MAX(MIN('Council Entry'!AL65,'Council Entry'!AL$9),'Council Entry'!AL$8),'Council Entry'!AL65))))-'Council Entry'!AL$5)/('Council Entry'!AL$6-'Council Entry'!AL$5),10*((IF('Council Entry'!AL$4="Logarithm",LN(0.001+IF(AND(ISNUMBER('Council Entry'!AL$8),ISNUMBER('Council Entry'!AL$9)),MAX(MIN('Council Entry'!AL65,'Council Entry'!AL$9),'Council Entry'!AL$8),'Council Entry'!AL65)),IF('Council Entry'!AL$4="Exponential",EXP(IF(AND(ISNUMBER('Council Entry'!AL$8),ISNUMBER('Council Entry'!AL$9)),MAX(MIN('Council Entry'!AL65,'Council Entry'!AL$9),'Council Entry'!AL$8),'Council Entry'!AL65)),IF(AND(ISNUMBER('Council Entry'!AL$8),ISNUMBER('Council Entry'!AL$9)),MAX(MIN('Council Entry'!AL65,'Council Entry'!AL$9),'Council Entry'!AL$8),'Council Entry'!AL65))))-'Council Entry'!AL$5)/('Council Entry'!AL$6-'Council Entry'!AL$5)),1))),"No data"))</f>
        <v/>
      </c>
      <c r="AM65" s="13">
        <f>IF('Council Entry'!AM65="","",IFERROR(MAX(0,MIN(10,ROUND(IF('Council Entry'!AM$7="Decrease Risk",10-10*((IF('Council Entry'!AM$4="Logarithm",LN(0.001+IF(AND(ISNUMBER('Council Entry'!AM$8),ISNUMBER('Council Entry'!AM$9)),MAX(MIN('Council Entry'!AM65,'Council Entry'!AM$9),'Council Entry'!AM$8),'Council Entry'!AM65)),IF('Council Entry'!AM$4="Exponential",EXP(IF(AND(ISNUMBER('Council Entry'!AM$8),ISNUMBER('Council Entry'!AM$9)),MAX(MIN('Council Entry'!AM65,'Council Entry'!AM$9),'Council Entry'!AM$8),'Council Entry'!AM65)),IF(AND(ISNUMBER('Council Entry'!AM$8),ISNUMBER('Council Entry'!AM$9)),MAX(MIN('Council Entry'!AM65,'Council Entry'!AM$9),'Council Entry'!AM$8),'Council Entry'!AM65))))-'Council Entry'!AM$5)/('Council Entry'!AM$6-'Council Entry'!AM$5),10*((IF('Council Entry'!AM$4="Logarithm",LN(0.001+IF(AND(ISNUMBER('Council Entry'!AM$8),ISNUMBER('Council Entry'!AM$9)),MAX(MIN('Council Entry'!AM65,'Council Entry'!AM$9),'Council Entry'!AM$8),'Council Entry'!AM65)),IF('Council Entry'!AM$4="Exponential",EXP(IF(AND(ISNUMBER('Council Entry'!AM$8),ISNUMBER('Council Entry'!AM$9)),MAX(MIN('Council Entry'!AM65,'Council Entry'!AM$9),'Council Entry'!AM$8),'Council Entry'!AM65)),IF(AND(ISNUMBER('Council Entry'!AM$8),ISNUMBER('Council Entry'!AM$9)),MAX(MIN('Council Entry'!AM65,'Council Entry'!AM$9),'Council Entry'!AM$8),'Council Entry'!AM65))))-'Council Entry'!AM$5)/('Council Entry'!AM$6-'Council Entry'!AM$5)),1))),"No data"))</f>
        <v/>
      </c>
      <c r="AN65" s="13">
        <f>IF('Council Entry'!AN65="","",IFERROR(MAX(0,MIN(10,ROUND(IF('Council Entry'!AN$7="Decrease Risk",10-10*((IF('Council Entry'!AN$4="Logarithm",LN(0.001+IF(AND(ISNUMBER('Council Entry'!AN$8),ISNUMBER('Council Entry'!AN$9)),MAX(MIN('Council Entry'!AN65,'Council Entry'!AN$9),'Council Entry'!AN$8),'Council Entry'!AN65)),IF('Council Entry'!AN$4="Exponential",EXP(IF(AND(ISNUMBER('Council Entry'!AN$8),ISNUMBER('Council Entry'!AN$9)),MAX(MIN('Council Entry'!AN65,'Council Entry'!AN$9),'Council Entry'!AN$8),'Council Entry'!AN65)),IF(AND(ISNUMBER('Council Entry'!AN$8),ISNUMBER('Council Entry'!AN$9)),MAX(MIN('Council Entry'!AN65,'Council Entry'!AN$9),'Council Entry'!AN$8),'Council Entry'!AN65))))-'Council Entry'!AN$5)/('Council Entry'!AN$6-'Council Entry'!AN$5),10*((IF('Council Entry'!AN$4="Logarithm",LN(0.001+IF(AND(ISNUMBER('Council Entry'!AN$8),ISNUMBER('Council Entry'!AN$9)),MAX(MIN('Council Entry'!AN65,'Council Entry'!AN$9),'Council Entry'!AN$8),'Council Entry'!AN65)),IF('Council Entry'!AN$4="Exponential",EXP(IF(AND(ISNUMBER('Council Entry'!AN$8),ISNUMBER('Council Entry'!AN$9)),MAX(MIN('Council Entry'!AN65,'Council Entry'!AN$9),'Council Entry'!AN$8),'Council Entry'!AN65)),IF(AND(ISNUMBER('Council Entry'!AN$8),ISNUMBER('Council Entry'!AN$9)),MAX(MIN('Council Entry'!AN65,'Council Entry'!AN$9),'Council Entry'!AN$8),'Council Entry'!AN65))))-'Council Entry'!AN$5)/('Council Entry'!AN$6-'Council Entry'!AN$5)),1))),"No data"))</f>
        <v/>
      </c>
      <c r="AO65" s="13">
        <f>IF('Council Entry'!AO65="","",IFERROR(MAX(0,MIN(10,ROUND(IF('Council Entry'!AO$7="Decrease Risk",10-10*((IF('Council Entry'!AO$4="Logarithm",LN(0.001+IF(AND(ISNUMBER('Council Entry'!AO$8),ISNUMBER('Council Entry'!AO$9)),MAX(MIN('Council Entry'!AO65,'Council Entry'!AO$9),'Council Entry'!AO$8),'Council Entry'!AO65)),IF('Council Entry'!AO$4="Exponential",EXP(IF(AND(ISNUMBER('Council Entry'!AO$8),ISNUMBER('Council Entry'!AO$9)),MAX(MIN('Council Entry'!AO65,'Council Entry'!AO$9),'Council Entry'!AO$8),'Council Entry'!AO65)),IF(AND(ISNUMBER('Council Entry'!AO$8),ISNUMBER('Council Entry'!AO$9)),MAX(MIN('Council Entry'!AO65,'Council Entry'!AO$9),'Council Entry'!AO$8),'Council Entry'!AO65))))-'Council Entry'!AO$5)/('Council Entry'!AO$6-'Council Entry'!AO$5),10*((IF('Council Entry'!AO$4="Logarithm",LN(0.001+IF(AND(ISNUMBER('Council Entry'!AO$8),ISNUMBER('Council Entry'!AO$9)),MAX(MIN('Council Entry'!AO65,'Council Entry'!AO$9),'Council Entry'!AO$8),'Council Entry'!AO65)),IF('Council Entry'!AO$4="Exponential",EXP(IF(AND(ISNUMBER('Council Entry'!AO$8),ISNUMBER('Council Entry'!AO$9)),MAX(MIN('Council Entry'!AO65,'Council Entry'!AO$9),'Council Entry'!AO$8),'Council Entry'!AO65)),IF(AND(ISNUMBER('Council Entry'!AO$8),ISNUMBER('Council Entry'!AO$9)),MAX(MIN('Council Entry'!AO65,'Council Entry'!AO$9),'Council Entry'!AO$8),'Council Entry'!AO65))))-'Council Entry'!AO$5)/('Council Entry'!AO$6-'Council Entry'!AO$5)),1))),"No data"))</f>
        <v/>
      </c>
      <c r="AP65" s="13">
        <f>IF('Council Entry'!AP65="","",IFERROR(MAX(0,MIN(10,ROUND(IF('Council Entry'!AP$7="Decrease Risk",10-10*((IF('Council Entry'!AP$4="Logarithm",LN(0.001+IF(AND(ISNUMBER('Council Entry'!AP$8),ISNUMBER('Council Entry'!AP$9)),MAX(MIN('Council Entry'!AP65,'Council Entry'!AP$9),'Council Entry'!AP$8),'Council Entry'!AP65)),IF('Council Entry'!AP$4="Exponential",EXP(IF(AND(ISNUMBER('Council Entry'!AP$8),ISNUMBER('Council Entry'!AP$9)),MAX(MIN('Council Entry'!AP65,'Council Entry'!AP$9),'Council Entry'!AP$8),'Council Entry'!AP65)),IF(AND(ISNUMBER('Council Entry'!AP$8),ISNUMBER('Council Entry'!AP$9)),MAX(MIN('Council Entry'!AP65,'Council Entry'!AP$9),'Council Entry'!AP$8),'Council Entry'!AP65))))-'Council Entry'!AP$5)/('Council Entry'!AP$6-'Council Entry'!AP$5),10*((IF('Council Entry'!AP$4="Logarithm",LN(0.001+IF(AND(ISNUMBER('Council Entry'!AP$8),ISNUMBER('Council Entry'!AP$9)),MAX(MIN('Council Entry'!AP65,'Council Entry'!AP$9),'Council Entry'!AP$8),'Council Entry'!AP65)),IF('Council Entry'!AP$4="Exponential",EXP(IF(AND(ISNUMBER('Council Entry'!AP$8),ISNUMBER('Council Entry'!AP$9)),MAX(MIN('Council Entry'!AP65,'Council Entry'!AP$9),'Council Entry'!AP$8),'Council Entry'!AP65)),IF(AND(ISNUMBER('Council Entry'!AP$8),ISNUMBER('Council Entry'!AP$9)),MAX(MIN('Council Entry'!AP65,'Council Entry'!AP$9),'Council Entry'!AP$8),'Council Entry'!AP65))))-'Council Entry'!AP$5)/('Council Entry'!AP$6-'Council Entry'!AP$5)),1))),"No data"))</f>
        <v/>
      </c>
      <c r="AQ65" s="13">
        <f>IF('Council Entry'!AQ65="","",IFERROR(MAX(0,MIN(10,ROUND(IF('Council Entry'!AQ$7="Decrease Risk",10-10*((IF('Council Entry'!AQ$4="Logarithm",LN(0.001+IF(AND(ISNUMBER('Council Entry'!AQ$8),ISNUMBER('Council Entry'!AQ$9)),MAX(MIN('Council Entry'!AQ65,'Council Entry'!AQ$9),'Council Entry'!AQ$8),'Council Entry'!AQ65)),IF('Council Entry'!AQ$4="Exponential",EXP(IF(AND(ISNUMBER('Council Entry'!AQ$8),ISNUMBER('Council Entry'!AQ$9)),MAX(MIN('Council Entry'!AQ65,'Council Entry'!AQ$9),'Council Entry'!AQ$8),'Council Entry'!AQ65)),IF(AND(ISNUMBER('Council Entry'!AQ$8),ISNUMBER('Council Entry'!AQ$9)),MAX(MIN('Council Entry'!AQ65,'Council Entry'!AQ$9),'Council Entry'!AQ$8),'Council Entry'!AQ65))))-'Council Entry'!AQ$5)/('Council Entry'!AQ$6-'Council Entry'!AQ$5),10*((IF('Council Entry'!AQ$4="Logarithm",LN(0.001+IF(AND(ISNUMBER('Council Entry'!AQ$8),ISNUMBER('Council Entry'!AQ$9)),MAX(MIN('Council Entry'!AQ65,'Council Entry'!AQ$9),'Council Entry'!AQ$8),'Council Entry'!AQ65)),IF('Council Entry'!AQ$4="Exponential",EXP(IF(AND(ISNUMBER('Council Entry'!AQ$8),ISNUMBER('Council Entry'!AQ$9)),MAX(MIN('Council Entry'!AQ65,'Council Entry'!AQ$9),'Council Entry'!AQ$8),'Council Entry'!AQ65)),IF(AND(ISNUMBER('Council Entry'!AQ$8),ISNUMBER('Council Entry'!AQ$9)),MAX(MIN('Council Entry'!AQ65,'Council Entry'!AQ$9),'Council Entry'!AQ$8),'Council Entry'!AQ65))))-'Council Entry'!AQ$5)/('Council Entry'!AQ$6-'Council Entry'!AQ$5)),1))),"No data"))</f>
        <v/>
      </c>
      <c r="AR65" s="13">
        <f>IF('Council Entry'!AR65="","",IFERROR(MAX(0,MIN(10,ROUND(IF('Council Entry'!AR$7="Decrease Risk",10-10*((IF('Council Entry'!AR$4="Logarithm",LN(0.001+IF(AND(ISNUMBER('Council Entry'!AR$8),ISNUMBER('Council Entry'!AR$9)),MAX(MIN('Council Entry'!AR65,'Council Entry'!AR$9),'Council Entry'!AR$8),'Council Entry'!AR65)),IF('Council Entry'!AR$4="Exponential",EXP(IF(AND(ISNUMBER('Council Entry'!AR$8),ISNUMBER('Council Entry'!AR$9)),MAX(MIN('Council Entry'!AR65,'Council Entry'!AR$9),'Council Entry'!AR$8),'Council Entry'!AR65)),IF(AND(ISNUMBER('Council Entry'!AR$8),ISNUMBER('Council Entry'!AR$9)),MAX(MIN('Council Entry'!AR65,'Council Entry'!AR$9),'Council Entry'!AR$8),'Council Entry'!AR65))))-'Council Entry'!AR$5)/('Council Entry'!AR$6-'Council Entry'!AR$5),10*((IF('Council Entry'!AR$4="Logarithm",LN(0.001+IF(AND(ISNUMBER('Council Entry'!AR$8),ISNUMBER('Council Entry'!AR$9)),MAX(MIN('Council Entry'!AR65,'Council Entry'!AR$9),'Council Entry'!AR$8),'Council Entry'!AR65)),IF('Council Entry'!AR$4="Exponential",EXP(IF(AND(ISNUMBER('Council Entry'!AR$8),ISNUMBER('Council Entry'!AR$9)),MAX(MIN('Council Entry'!AR65,'Council Entry'!AR$9),'Council Entry'!AR$8),'Council Entry'!AR65)),IF(AND(ISNUMBER('Council Entry'!AR$8),ISNUMBER('Council Entry'!AR$9)),MAX(MIN('Council Entry'!AR65,'Council Entry'!AR$9),'Council Entry'!AR$8),'Council Entry'!AR65))))-'Council Entry'!AR$5)/('Council Entry'!AR$6-'Council Entry'!AR$5)),1))),"No data"))</f>
        <v/>
      </c>
      <c r="AS65" s="13">
        <f>IF('Council Entry'!AS65="","",IFERROR(MAX(0,MIN(10,ROUND(IF('Council Entry'!AS$7="Decrease Risk",10-10*((IF('Council Entry'!AS$4="Logarithm",LN(0.001+IF(AND(ISNUMBER('Council Entry'!AS$8),ISNUMBER('Council Entry'!AS$9)),MAX(MIN('Council Entry'!AS65,'Council Entry'!AS$9),'Council Entry'!AS$8),'Council Entry'!AS65)),IF('Council Entry'!AS$4="Exponential",EXP(IF(AND(ISNUMBER('Council Entry'!AS$8),ISNUMBER('Council Entry'!AS$9)),MAX(MIN('Council Entry'!AS65,'Council Entry'!AS$9),'Council Entry'!AS$8),'Council Entry'!AS65)),IF(AND(ISNUMBER('Council Entry'!AS$8),ISNUMBER('Council Entry'!AS$9)),MAX(MIN('Council Entry'!AS65,'Council Entry'!AS$9),'Council Entry'!AS$8),'Council Entry'!AS65))))-'Council Entry'!AS$5)/('Council Entry'!AS$6-'Council Entry'!AS$5),10*((IF('Council Entry'!AS$4="Logarithm",LN(0.001+IF(AND(ISNUMBER('Council Entry'!AS$8),ISNUMBER('Council Entry'!AS$9)),MAX(MIN('Council Entry'!AS65,'Council Entry'!AS$9),'Council Entry'!AS$8),'Council Entry'!AS65)),IF('Council Entry'!AS$4="Exponential",EXP(IF(AND(ISNUMBER('Council Entry'!AS$8),ISNUMBER('Council Entry'!AS$9)),MAX(MIN('Council Entry'!AS65,'Council Entry'!AS$9),'Council Entry'!AS$8),'Council Entry'!AS65)),IF(AND(ISNUMBER('Council Entry'!AS$8),ISNUMBER('Council Entry'!AS$9)),MAX(MIN('Council Entry'!AS65,'Council Entry'!AS$9),'Council Entry'!AS$8),'Council Entry'!AS65))))-'Council Entry'!AS$5)/('Council Entry'!AS$6-'Council Entry'!AS$5)),1))),"No data"))</f>
        <v/>
      </c>
      <c r="AT65" s="13">
        <f>IF('Council Entry'!AT65="","",IFERROR(MAX(0,MIN(10,ROUND(IF('Council Entry'!AT$7="Decrease Risk",10-10*((IF('Council Entry'!AT$4="Logarithm",LN(0.001+IF(AND(ISNUMBER('Council Entry'!AT$8),ISNUMBER('Council Entry'!AT$9)),MAX(MIN('Council Entry'!AT65,'Council Entry'!AT$9),'Council Entry'!AT$8),'Council Entry'!AT65)),IF('Council Entry'!AT$4="Exponential",EXP(IF(AND(ISNUMBER('Council Entry'!AT$8),ISNUMBER('Council Entry'!AT$9)),MAX(MIN('Council Entry'!AT65,'Council Entry'!AT$9),'Council Entry'!AT$8),'Council Entry'!AT65)),IF(AND(ISNUMBER('Council Entry'!AT$8),ISNUMBER('Council Entry'!AT$9)),MAX(MIN('Council Entry'!AT65,'Council Entry'!AT$9),'Council Entry'!AT$8),'Council Entry'!AT65))))-'Council Entry'!AT$5)/('Council Entry'!AT$6-'Council Entry'!AT$5),10*((IF('Council Entry'!AT$4="Logarithm",LN(0.001+IF(AND(ISNUMBER('Council Entry'!AT$8),ISNUMBER('Council Entry'!AT$9)),MAX(MIN('Council Entry'!AT65,'Council Entry'!AT$9),'Council Entry'!AT$8),'Council Entry'!AT65)),IF('Council Entry'!AT$4="Exponential",EXP(IF(AND(ISNUMBER('Council Entry'!AT$8),ISNUMBER('Council Entry'!AT$9)),MAX(MIN('Council Entry'!AT65,'Council Entry'!AT$9),'Council Entry'!AT$8),'Council Entry'!AT65)),IF(AND(ISNUMBER('Council Entry'!AT$8),ISNUMBER('Council Entry'!AT$9)),MAX(MIN('Council Entry'!AT65,'Council Entry'!AT$9),'Council Entry'!AT$8),'Council Entry'!AT65))))-'Council Entry'!AT$5)/('Council Entry'!AT$6-'Council Entry'!AT$5)),1))),"No data"))</f>
        <v/>
      </c>
      <c r="AU65" s="13">
        <f>IF('Council Entry'!AU65="","",IFERROR(MAX(0,MIN(10,ROUND(IF('Council Entry'!AU$7="Decrease Risk",10-10*((IF('Council Entry'!AU$4="Logarithm",LN(0.001+IF(AND(ISNUMBER('Council Entry'!AU$8),ISNUMBER('Council Entry'!AU$9)),MAX(MIN('Council Entry'!AU65,'Council Entry'!AU$9),'Council Entry'!AU$8),'Council Entry'!AU65)),IF('Council Entry'!AU$4="Exponential",EXP(IF(AND(ISNUMBER('Council Entry'!AU$8),ISNUMBER('Council Entry'!AU$9)),MAX(MIN('Council Entry'!AU65,'Council Entry'!AU$9),'Council Entry'!AU$8),'Council Entry'!AU65)),IF(AND(ISNUMBER('Council Entry'!AU$8),ISNUMBER('Council Entry'!AU$9)),MAX(MIN('Council Entry'!AU65,'Council Entry'!AU$9),'Council Entry'!AU$8),'Council Entry'!AU65))))-'Council Entry'!AU$5)/('Council Entry'!AU$6-'Council Entry'!AU$5),10*((IF('Council Entry'!AU$4="Logarithm",LN(0.001+IF(AND(ISNUMBER('Council Entry'!AU$8),ISNUMBER('Council Entry'!AU$9)),MAX(MIN('Council Entry'!AU65,'Council Entry'!AU$9),'Council Entry'!AU$8),'Council Entry'!AU65)),IF('Council Entry'!AU$4="Exponential",EXP(IF(AND(ISNUMBER('Council Entry'!AU$8),ISNUMBER('Council Entry'!AU$9)),MAX(MIN('Council Entry'!AU65,'Council Entry'!AU$9),'Council Entry'!AU$8),'Council Entry'!AU65)),IF(AND(ISNUMBER('Council Entry'!AU$8),ISNUMBER('Council Entry'!AU$9)),MAX(MIN('Council Entry'!AU65,'Council Entry'!AU$9),'Council Entry'!AU$8),'Council Entry'!AU65))))-'Council Entry'!AU$5)/('Council Entry'!AU$6-'Council Entry'!AU$5)),1))),"No data"))</f>
        <v/>
      </c>
      <c r="AV65" s="13">
        <f>IF('Council Entry'!AV65="","",IFERROR(MAX(0,MIN(10,ROUND(IF('Council Entry'!AV$7="Decrease Risk",10-10*((IF('Council Entry'!AV$4="Logarithm",LN(0.001+IF(AND(ISNUMBER('Council Entry'!AV$8),ISNUMBER('Council Entry'!AV$9)),MAX(MIN('Council Entry'!AV65,'Council Entry'!AV$9),'Council Entry'!AV$8),'Council Entry'!AV65)),IF('Council Entry'!AV$4="Exponential",EXP(IF(AND(ISNUMBER('Council Entry'!AV$8),ISNUMBER('Council Entry'!AV$9)),MAX(MIN('Council Entry'!AV65,'Council Entry'!AV$9),'Council Entry'!AV$8),'Council Entry'!AV65)),IF(AND(ISNUMBER('Council Entry'!AV$8),ISNUMBER('Council Entry'!AV$9)),MAX(MIN('Council Entry'!AV65,'Council Entry'!AV$9),'Council Entry'!AV$8),'Council Entry'!AV65))))-'Council Entry'!AV$5)/('Council Entry'!AV$6-'Council Entry'!AV$5),10*((IF('Council Entry'!AV$4="Logarithm",LN(0.001+IF(AND(ISNUMBER('Council Entry'!AV$8),ISNUMBER('Council Entry'!AV$9)),MAX(MIN('Council Entry'!AV65,'Council Entry'!AV$9),'Council Entry'!AV$8),'Council Entry'!AV65)),IF('Council Entry'!AV$4="Exponential",EXP(IF(AND(ISNUMBER('Council Entry'!AV$8),ISNUMBER('Council Entry'!AV$9)),MAX(MIN('Council Entry'!AV65,'Council Entry'!AV$9),'Council Entry'!AV$8),'Council Entry'!AV65)),IF(AND(ISNUMBER('Council Entry'!AV$8),ISNUMBER('Council Entry'!AV$9)),MAX(MIN('Council Entry'!AV65,'Council Entry'!AV$9),'Council Entry'!AV$8),'Council Entry'!AV65))))-'Council Entry'!AV$5)/('Council Entry'!AV$6-'Council Entry'!AV$5)),1))),"No data"))</f>
        <v/>
      </c>
      <c r="AW65" s="13">
        <f>IF('Council Entry'!AW65="","",IFERROR(MAX(0,MIN(10,ROUND(IF('Council Entry'!AW$7="Decrease Risk",10-10*((IF('Council Entry'!AW$4="Logarithm",LN(0.001+IF(AND(ISNUMBER('Council Entry'!AW$8),ISNUMBER('Council Entry'!AW$9)),MAX(MIN('Council Entry'!AW65,'Council Entry'!AW$9),'Council Entry'!AW$8),'Council Entry'!AW65)),IF('Council Entry'!AW$4="Exponential",EXP(IF(AND(ISNUMBER('Council Entry'!AW$8),ISNUMBER('Council Entry'!AW$9)),MAX(MIN('Council Entry'!AW65,'Council Entry'!AW$9),'Council Entry'!AW$8),'Council Entry'!AW65)),IF(AND(ISNUMBER('Council Entry'!AW$8),ISNUMBER('Council Entry'!AW$9)),MAX(MIN('Council Entry'!AW65,'Council Entry'!AW$9),'Council Entry'!AW$8),'Council Entry'!AW65))))-'Council Entry'!AW$5)/('Council Entry'!AW$6-'Council Entry'!AW$5),10*((IF('Council Entry'!AW$4="Logarithm",LN(0.001+IF(AND(ISNUMBER('Council Entry'!AW$8),ISNUMBER('Council Entry'!AW$9)),MAX(MIN('Council Entry'!AW65,'Council Entry'!AW$9),'Council Entry'!AW$8),'Council Entry'!AW65)),IF('Council Entry'!AW$4="Exponential",EXP(IF(AND(ISNUMBER('Council Entry'!AW$8),ISNUMBER('Council Entry'!AW$9)),MAX(MIN('Council Entry'!AW65,'Council Entry'!AW$9),'Council Entry'!AW$8),'Council Entry'!AW65)),IF(AND(ISNUMBER('Council Entry'!AW$8),ISNUMBER('Council Entry'!AW$9)),MAX(MIN('Council Entry'!AW65,'Council Entry'!AW$9),'Council Entry'!AW$8),'Council Entry'!AW65))))-'Council Entry'!AW$5)/('Council Entry'!AW$6-'Council Entry'!AW$5)),1))),"No data"))</f>
        <v/>
      </c>
      <c r="AX65" s="13">
        <f>IF('Council Entry'!AX65="","",IFERROR(MAX(0,MIN(10,ROUND(IF('Council Entry'!AX$7="Decrease Risk",10-10*((IF('Council Entry'!AX$4="Logarithm",LN(0.001+IF(AND(ISNUMBER('Council Entry'!AX$8),ISNUMBER('Council Entry'!AX$9)),MAX(MIN('Council Entry'!AX65,'Council Entry'!AX$9),'Council Entry'!AX$8),'Council Entry'!AX65)),IF('Council Entry'!AX$4="Exponential",EXP(IF(AND(ISNUMBER('Council Entry'!AX$8),ISNUMBER('Council Entry'!AX$9)),MAX(MIN('Council Entry'!AX65,'Council Entry'!AX$9),'Council Entry'!AX$8),'Council Entry'!AX65)),IF(AND(ISNUMBER('Council Entry'!AX$8),ISNUMBER('Council Entry'!AX$9)),MAX(MIN('Council Entry'!AX65,'Council Entry'!AX$9),'Council Entry'!AX$8),'Council Entry'!AX65))))-'Council Entry'!AX$5)/('Council Entry'!AX$6-'Council Entry'!AX$5),10*((IF('Council Entry'!AX$4="Logarithm",LN(0.001+IF(AND(ISNUMBER('Council Entry'!AX$8),ISNUMBER('Council Entry'!AX$9)),MAX(MIN('Council Entry'!AX65,'Council Entry'!AX$9),'Council Entry'!AX$8),'Council Entry'!AX65)),IF('Council Entry'!AX$4="Exponential",EXP(IF(AND(ISNUMBER('Council Entry'!AX$8),ISNUMBER('Council Entry'!AX$9)),MAX(MIN('Council Entry'!AX65,'Council Entry'!AX$9),'Council Entry'!AX$8),'Council Entry'!AX65)),IF(AND(ISNUMBER('Council Entry'!AX$8),ISNUMBER('Council Entry'!AX$9)),MAX(MIN('Council Entry'!AX65,'Council Entry'!AX$9),'Council Entry'!AX$8),'Council Entry'!AX65))))-'Council Entry'!AX$5)/('Council Entry'!AX$6-'Council Entry'!AX$5)),1))),"No data"))</f>
        <v/>
      </c>
      <c r="AY65" s="13">
        <f>IF('Council Entry'!AY65="","",IFERROR(MAX(0,MIN(10,ROUND(IF('Council Entry'!AY$7="Decrease Risk",10-10*((IF('Council Entry'!AY$4="Logarithm",LN(0.001+IF(AND(ISNUMBER('Council Entry'!AY$8),ISNUMBER('Council Entry'!AY$9)),MAX(MIN('Council Entry'!AY65,'Council Entry'!AY$9),'Council Entry'!AY$8),'Council Entry'!AY65)),IF('Council Entry'!AY$4="Exponential",EXP(IF(AND(ISNUMBER('Council Entry'!AY$8),ISNUMBER('Council Entry'!AY$9)),MAX(MIN('Council Entry'!AY65,'Council Entry'!AY$9),'Council Entry'!AY$8),'Council Entry'!AY65)),IF(AND(ISNUMBER('Council Entry'!AY$8),ISNUMBER('Council Entry'!AY$9)),MAX(MIN('Council Entry'!AY65,'Council Entry'!AY$9),'Council Entry'!AY$8),'Council Entry'!AY65))))-'Council Entry'!AY$5)/('Council Entry'!AY$6-'Council Entry'!AY$5),10*((IF('Council Entry'!AY$4="Logarithm",LN(0.001+IF(AND(ISNUMBER('Council Entry'!AY$8),ISNUMBER('Council Entry'!AY$9)),MAX(MIN('Council Entry'!AY65,'Council Entry'!AY$9),'Council Entry'!AY$8),'Council Entry'!AY65)),IF('Council Entry'!AY$4="Exponential",EXP(IF(AND(ISNUMBER('Council Entry'!AY$8),ISNUMBER('Council Entry'!AY$9)),MAX(MIN('Council Entry'!AY65,'Council Entry'!AY$9),'Council Entry'!AY$8),'Council Entry'!AY65)),IF(AND(ISNUMBER('Council Entry'!AY$8),ISNUMBER('Council Entry'!AY$9)),MAX(MIN('Council Entry'!AY65,'Council Entry'!AY$9),'Council Entry'!AY$8),'Council Entry'!AY65))))-'Council Entry'!AY$5)/('Council Entry'!AY$6-'Council Entry'!AY$5)),1))),"No data"))</f>
        <v/>
      </c>
      <c r="AZ65" s="13">
        <f>IF('Council Entry'!AZ65="","",IFERROR(MAX(0,MIN(10,ROUND(IF('Council Entry'!AZ$7="Decrease Risk",10-10*((IF('Council Entry'!AZ$4="Logarithm",LN(0.001+IF(AND(ISNUMBER('Council Entry'!AZ$8),ISNUMBER('Council Entry'!AZ$9)),MAX(MIN('Council Entry'!AZ65,'Council Entry'!AZ$9),'Council Entry'!AZ$8),'Council Entry'!AZ65)),IF('Council Entry'!AZ$4="Exponential",EXP(IF(AND(ISNUMBER('Council Entry'!AZ$8),ISNUMBER('Council Entry'!AZ$9)),MAX(MIN('Council Entry'!AZ65,'Council Entry'!AZ$9),'Council Entry'!AZ$8),'Council Entry'!AZ65)),IF(AND(ISNUMBER('Council Entry'!AZ$8),ISNUMBER('Council Entry'!AZ$9)),MAX(MIN('Council Entry'!AZ65,'Council Entry'!AZ$9),'Council Entry'!AZ$8),'Council Entry'!AZ65))))-'Council Entry'!AZ$5)/('Council Entry'!AZ$6-'Council Entry'!AZ$5),10*((IF('Council Entry'!AZ$4="Logarithm",LN(0.001+IF(AND(ISNUMBER('Council Entry'!AZ$8),ISNUMBER('Council Entry'!AZ$9)),MAX(MIN('Council Entry'!AZ65,'Council Entry'!AZ$9),'Council Entry'!AZ$8),'Council Entry'!AZ65)),IF('Council Entry'!AZ$4="Exponential",EXP(IF(AND(ISNUMBER('Council Entry'!AZ$8),ISNUMBER('Council Entry'!AZ$9)),MAX(MIN('Council Entry'!AZ65,'Council Entry'!AZ$9),'Council Entry'!AZ$8),'Council Entry'!AZ65)),IF(AND(ISNUMBER('Council Entry'!AZ$8),ISNUMBER('Council Entry'!AZ$9)),MAX(MIN('Council Entry'!AZ65,'Council Entry'!AZ$9),'Council Entry'!AZ$8),'Council Entry'!AZ65))))-'Council Entry'!AZ$5)/('Council Entry'!AZ$6-'Council Entry'!AZ$5)),1))),"No data"))</f>
        <v/>
      </c>
      <c r="BA65" s="13">
        <f>IF('Council Entry'!BA65="","",IFERROR(MAX(0,MIN(10,ROUND(IF('Council Entry'!BA$7="Decrease Risk",10-10*((IF('Council Entry'!BA$4="Logarithm",LN(0.001+IF(AND(ISNUMBER('Council Entry'!BA$8),ISNUMBER('Council Entry'!BA$9)),MAX(MIN('Council Entry'!BA65,'Council Entry'!BA$9),'Council Entry'!BA$8),'Council Entry'!BA65)),IF('Council Entry'!BA$4="Exponential",EXP(IF(AND(ISNUMBER('Council Entry'!BA$8),ISNUMBER('Council Entry'!BA$9)),MAX(MIN('Council Entry'!BA65,'Council Entry'!BA$9),'Council Entry'!BA$8),'Council Entry'!BA65)),IF(AND(ISNUMBER('Council Entry'!BA$8),ISNUMBER('Council Entry'!BA$9)),MAX(MIN('Council Entry'!BA65,'Council Entry'!BA$9),'Council Entry'!BA$8),'Council Entry'!BA65))))-'Council Entry'!BA$5)/('Council Entry'!BA$6-'Council Entry'!BA$5),10*((IF('Council Entry'!BA$4="Logarithm",LN(0.001+IF(AND(ISNUMBER('Council Entry'!BA$8),ISNUMBER('Council Entry'!BA$9)),MAX(MIN('Council Entry'!BA65,'Council Entry'!BA$9),'Council Entry'!BA$8),'Council Entry'!BA65)),IF('Council Entry'!BA$4="Exponential",EXP(IF(AND(ISNUMBER('Council Entry'!BA$8),ISNUMBER('Council Entry'!BA$9)),MAX(MIN('Council Entry'!BA65,'Council Entry'!BA$9),'Council Entry'!BA$8),'Council Entry'!BA65)),IF(AND(ISNUMBER('Council Entry'!BA$8),ISNUMBER('Council Entry'!BA$9)),MAX(MIN('Council Entry'!BA65,'Council Entry'!BA$9),'Council Entry'!BA$8),'Council Entry'!BA65))))-'Council Entry'!BA$5)/('Council Entry'!BA$6-'Council Entry'!BA$5)),1))),"No data"))</f>
        <v/>
      </c>
      <c r="BB65" s="13">
        <f>IF('Council Entry'!BB65="","",IFERROR(MAX(0,MIN(10,ROUND(IF('Council Entry'!BB$7="Decrease Risk",10-10*((IF('Council Entry'!BB$4="Logarithm",LN(0.001+IF(AND(ISNUMBER('Council Entry'!BB$8),ISNUMBER('Council Entry'!BB$9)),MAX(MIN('Council Entry'!BB65,'Council Entry'!BB$9),'Council Entry'!BB$8),'Council Entry'!BB65)),IF('Council Entry'!BB$4="Exponential",EXP(IF(AND(ISNUMBER('Council Entry'!BB$8),ISNUMBER('Council Entry'!BB$9)),MAX(MIN('Council Entry'!BB65,'Council Entry'!BB$9),'Council Entry'!BB$8),'Council Entry'!BB65)),IF(AND(ISNUMBER('Council Entry'!BB$8),ISNUMBER('Council Entry'!BB$9)),MAX(MIN('Council Entry'!BB65,'Council Entry'!BB$9),'Council Entry'!BB$8),'Council Entry'!BB65))))-'Council Entry'!BB$5)/('Council Entry'!BB$6-'Council Entry'!BB$5),10*((IF('Council Entry'!BB$4="Logarithm",LN(0.001+IF(AND(ISNUMBER('Council Entry'!BB$8),ISNUMBER('Council Entry'!BB$9)),MAX(MIN('Council Entry'!BB65,'Council Entry'!BB$9),'Council Entry'!BB$8),'Council Entry'!BB65)),IF('Council Entry'!BB$4="Exponential",EXP(IF(AND(ISNUMBER('Council Entry'!BB$8),ISNUMBER('Council Entry'!BB$9)),MAX(MIN('Council Entry'!BB65,'Council Entry'!BB$9),'Council Entry'!BB$8),'Council Entry'!BB65)),IF(AND(ISNUMBER('Council Entry'!BB$8),ISNUMBER('Council Entry'!BB$9)),MAX(MIN('Council Entry'!BB65,'Council Entry'!BB$9),'Council Entry'!BB$8),'Council Entry'!BB65))))-'Council Entry'!BB$5)/('Council Entry'!BB$6-'Council Entry'!BB$5)),1))),"No data"))</f>
        <v/>
      </c>
      <c r="BC65" s="13">
        <f>IF('Council Entry'!BC65="","",IFERROR(MAX(0,MIN(10,ROUND(IF('Council Entry'!BC$7="Decrease Risk",10-10*((IF('Council Entry'!BC$4="Logarithm",LN(0.001+IF(AND(ISNUMBER('Council Entry'!BC$8),ISNUMBER('Council Entry'!BC$9)),MAX(MIN('Council Entry'!BC65,'Council Entry'!BC$9),'Council Entry'!BC$8),'Council Entry'!BC65)),IF('Council Entry'!BC$4="Exponential",EXP(IF(AND(ISNUMBER('Council Entry'!BC$8),ISNUMBER('Council Entry'!BC$9)),MAX(MIN('Council Entry'!BC65,'Council Entry'!BC$9),'Council Entry'!BC$8),'Council Entry'!BC65)),IF(AND(ISNUMBER('Council Entry'!BC$8),ISNUMBER('Council Entry'!BC$9)),MAX(MIN('Council Entry'!BC65,'Council Entry'!BC$9),'Council Entry'!BC$8),'Council Entry'!BC65))))-'Council Entry'!BC$5)/('Council Entry'!BC$6-'Council Entry'!BC$5),10*((IF('Council Entry'!BC$4="Logarithm",LN(0.001+IF(AND(ISNUMBER('Council Entry'!BC$8),ISNUMBER('Council Entry'!BC$9)),MAX(MIN('Council Entry'!BC65,'Council Entry'!BC$9),'Council Entry'!BC$8),'Council Entry'!BC65)),IF('Council Entry'!BC$4="Exponential",EXP(IF(AND(ISNUMBER('Council Entry'!BC$8),ISNUMBER('Council Entry'!BC$9)),MAX(MIN('Council Entry'!BC65,'Council Entry'!BC$9),'Council Entry'!BC$8),'Council Entry'!BC65)),IF(AND(ISNUMBER('Council Entry'!BC$8),ISNUMBER('Council Entry'!BC$9)),MAX(MIN('Council Entry'!BC65,'Council Entry'!BC$9),'Council Entry'!BC$8),'Council Entry'!BC65))))-'Council Entry'!BC$5)/('Council Entry'!BC$6-'Council Entry'!BC$5)),1))),"No data"))</f>
        <v/>
      </c>
      <c r="BD65" s="13">
        <f>IF('Council Entry'!BD65="","",IFERROR(MAX(0,MIN(10,ROUND(IF('Council Entry'!BD$7="Decrease Risk",10-10*((IF('Council Entry'!BD$4="Logarithm",LN(0.001+IF(AND(ISNUMBER('Council Entry'!BD$8),ISNUMBER('Council Entry'!BD$9)),MAX(MIN('Council Entry'!BD65,'Council Entry'!BD$9),'Council Entry'!BD$8),'Council Entry'!BD65)),IF('Council Entry'!BD$4="Exponential",EXP(IF(AND(ISNUMBER('Council Entry'!BD$8),ISNUMBER('Council Entry'!BD$9)),MAX(MIN('Council Entry'!BD65,'Council Entry'!BD$9),'Council Entry'!BD$8),'Council Entry'!BD65)),IF(AND(ISNUMBER('Council Entry'!BD$8),ISNUMBER('Council Entry'!BD$9)),MAX(MIN('Council Entry'!BD65,'Council Entry'!BD$9),'Council Entry'!BD$8),'Council Entry'!BD65))))-'Council Entry'!BD$5)/('Council Entry'!BD$6-'Council Entry'!BD$5),10*((IF('Council Entry'!BD$4="Logarithm",LN(0.001+IF(AND(ISNUMBER('Council Entry'!BD$8),ISNUMBER('Council Entry'!BD$9)),MAX(MIN('Council Entry'!BD65,'Council Entry'!BD$9),'Council Entry'!BD$8),'Council Entry'!BD65)),IF('Council Entry'!BD$4="Exponential",EXP(IF(AND(ISNUMBER('Council Entry'!BD$8),ISNUMBER('Council Entry'!BD$9)),MAX(MIN('Council Entry'!BD65,'Council Entry'!BD$9),'Council Entry'!BD$8),'Council Entry'!BD65)),IF(AND(ISNUMBER('Council Entry'!BD$8),ISNUMBER('Council Entry'!BD$9)),MAX(MIN('Council Entry'!BD65,'Council Entry'!BD$9),'Council Entry'!BD$8),'Council Entry'!BD65))))-'Council Entry'!BD$5)/('Council Entry'!BD$6-'Council Entry'!BD$5)),1))),"No data"))</f>
        <v/>
      </c>
    </row>
    <row r="66">
      <c r="A66" t="inlineStr">
        <is>
          <t>Kigoma</t>
        </is>
      </c>
      <c r="B66" t="inlineStr">
        <is>
          <t>Uvinza District</t>
        </is>
      </c>
      <c r="C66" t="inlineStr">
        <is>
          <t>C116</t>
        </is>
      </c>
      <c r="D66" s="13">
        <f>IF('Council Entry'!D66="","",IFERROR(MAX(0,MIN(10,ROUND(IF('Council Entry'!D$7="Decrease Risk",10-10*((IF('Council Entry'!D$4="Logarithm",LN(0.001+IF(AND(ISNUMBER('Council Entry'!D$8),ISNUMBER('Council Entry'!D$9)),MAX(MIN('Council Entry'!D66,'Council Entry'!D$9),'Council Entry'!D$8),'Council Entry'!D66)),IF('Council Entry'!D$4="Exponential",EXP(IF(AND(ISNUMBER('Council Entry'!D$8),ISNUMBER('Council Entry'!D$9)),MAX(MIN('Council Entry'!D66,'Council Entry'!D$9),'Council Entry'!D$8),'Council Entry'!D66)),IF(AND(ISNUMBER('Council Entry'!D$8),ISNUMBER('Council Entry'!D$9)),MAX(MIN('Council Entry'!D66,'Council Entry'!D$9),'Council Entry'!D$8),'Council Entry'!D66))))-'Council Entry'!D$5)/('Council Entry'!D$6-'Council Entry'!D$5),10*((IF('Council Entry'!D$4="Logarithm",LN(0.001+IF(AND(ISNUMBER('Council Entry'!D$8),ISNUMBER('Council Entry'!D$9)),MAX(MIN('Council Entry'!D66,'Council Entry'!D$9),'Council Entry'!D$8),'Council Entry'!D66)),IF('Council Entry'!D$4="Exponential",EXP(IF(AND(ISNUMBER('Council Entry'!D$8),ISNUMBER('Council Entry'!D$9)),MAX(MIN('Council Entry'!D66,'Council Entry'!D$9),'Council Entry'!D$8),'Council Entry'!D66)),IF(AND(ISNUMBER('Council Entry'!D$8),ISNUMBER('Council Entry'!D$9)),MAX(MIN('Council Entry'!D66,'Council Entry'!D$9),'Council Entry'!D$8),'Council Entry'!D66))))-'Council Entry'!D$5)/('Council Entry'!D$6-'Council Entry'!D$5)),1))),"No data"))</f>
        <v/>
      </c>
      <c r="E66" s="13">
        <f>IF('Council Entry'!E66="","",IFERROR(MAX(0,MIN(10,ROUND(IF('Council Entry'!E$7="Decrease Risk",10-10*((IF('Council Entry'!E$4="Logarithm",LN(0.001+IF(AND(ISNUMBER('Council Entry'!E$8),ISNUMBER('Council Entry'!E$9)),MAX(MIN('Council Entry'!E66,'Council Entry'!E$9),'Council Entry'!E$8),'Council Entry'!E66)),IF('Council Entry'!E$4="Exponential",EXP(IF(AND(ISNUMBER('Council Entry'!E$8),ISNUMBER('Council Entry'!E$9)),MAX(MIN('Council Entry'!E66,'Council Entry'!E$9),'Council Entry'!E$8),'Council Entry'!E66)),IF(AND(ISNUMBER('Council Entry'!E$8),ISNUMBER('Council Entry'!E$9)),MAX(MIN('Council Entry'!E66,'Council Entry'!E$9),'Council Entry'!E$8),'Council Entry'!E66))))-'Council Entry'!E$5)/('Council Entry'!E$6-'Council Entry'!E$5),10*((IF('Council Entry'!E$4="Logarithm",LN(0.001+IF(AND(ISNUMBER('Council Entry'!E$8),ISNUMBER('Council Entry'!E$9)),MAX(MIN('Council Entry'!E66,'Council Entry'!E$9),'Council Entry'!E$8),'Council Entry'!E66)),IF('Council Entry'!E$4="Exponential",EXP(IF(AND(ISNUMBER('Council Entry'!E$8),ISNUMBER('Council Entry'!E$9)),MAX(MIN('Council Entry'!E66,'Council Entry'!E$9),'Council Entry'!E$8),'Council Entry'!E66)),IF(AND(ISNUMBER('Council Entry'!E$8),ISNUMBER('Council Entry'!E$9)),MAX(MIN('Council Entry'!E66,'Council Entry'!E$9),'Council Entry'!E$8),'Council Entry'!E66))))-'Council Entry'!E$5)/('Council Entry'!E$6-'Council Entry'!E$5)),1))),"No data"))</f>
        <v/>
      </c>
      <c r="F66" s="13">
        <f>IF('Council Entry'!F66="","",IFERROR(MAX(0,MIN(10,ROUND(IF('Council Entry'!F$7="Decrease Risk",10-10*((IF('Council Entry'!F$4="Logarithm",LN(0.001+IF(AND(ISNUMBER('Council Entry'!F$8),ISNUMBER('Council Entry'!F$9)),MAX(MIN('Council Entry'!F66,'Council Entry'!F$9),'Council Entry'!F$8),'Council Entry'!F66)),IF('Council Entry'!F$4="Exponential",EXP(IF(AND(ISNUMBER('Council Entry'!F$8),ISNUMBER('Council Entry'!F$9)),MAX(MIN('Council Entry'!F66,'Council Entry'!F$9),'Council Entry'!F$8),'Council Entry'!F66)),IF(AND(ISNUMBER('Council Entry'!F$8),ISNUMBER('Council Entry'!F$9)),MAX(MIN('Council Entry'!F66,'Council Entry'!F$9),'Council Entry'!F$8),'Council Entry'!F66))))-'Council Entry'!F$5)/('Council Entry'!F$6-'Council Entry'!F$5),10*((IF('Council Entry'!F$4="Logarithm",LN(0.001+IF(AND(ISNUMBER('Council Entry'!F$8),ISNUMBER('Council Entry'!F$9)),MAX(MIN('Council Entry'!F66,'Council Entry'!F$9),'Council Entry'!F$8),'Council Entry'!F66)),IF('Council Entry'!F$4="Exponential",EXP(IF(AND(ISNUMBER('Council Entry'!F$8),ISNUMBER('Council Entry'!F$9)),MAX(MIN('Council Entry'!F66,'Council Entry'!F$9),'Council Entry'!F$8),'Council Entry'!F66)),IF(AND(ISNUMBER('Council Entry'!F$8),ISNUMBER('Council Entry'!F$9)),MAX(MIN('Council Entry'!F66,'Council Entry'!F$9),'Council Entry'!F$8),'Council Entry'!F66))))-'Council Entry'!F$5)/('Council Entry'!F$6-'Council Entry'!F$5)),1))),"No data"))</f>
        <v/>
      </c>
      <c r="G66" s="13">
        <f>IF('Council Entry'!G66="","",IFERROR(MAX(0,MIN(10,ROUND(IF('Council Entry'!G$7="Decrease Risk",10-10*((IF('Council Entry'!G$4="Logarithm",LN(0.001+IF(AND(ISNUMBER('Council Entry'!G$8),ISNUMBER('Council Entry'!G$9)),MAX(MIN('Council Entry'!G66,'Council Entry'!G$9),'Council Entry'!G$8),'Council Entry'!G66)),IF('Council Entry'!G$4="Exponential",EXP(IF(AND(ISNUMBER('Council Entry'!G$8),ISNUMBER('Council Entry'!G$9)),MAX(MIN('Council Entry'!G66,'Council Entry'!G$9),'Council Entry'!G$8),'Council Entry'!G66)),IF(AND(ISNUMBER('Council Entry'!G$8),ISNUMBER('Council Entry'!G$9)),MAX(MIN('Council Entry'!G66,'Council Entry'!G$9),'Council Entry'!G$8),'Council Entry'!G66))))-'Council Entry'!G$5)/('Council Entry'!G$6-'Council Entry'!G$5),10*((IF('Council Entry'!G$4="Logarithm",LN(0.001+IF(AND(ISNUMBER('Council Entry'!G$8),ISNUMBER('Council Entry'!G$9)),MAX(MIN('Council Entry'!G66,'Council Entry'!G$9),'Council Entry'!G$8),'Council Entry'!G66)),IF('Council Entry'!G$4="Exponential",EXP(IF(AND(ISNUMBER('Council Entry'!G$8),ISNUMBER('Council Entry'!G$9)),MAX(MIN('Council Entry'!G66,'Council Entry'!G$9),'Council Entry'!G$8),'Council Entry'!G66)),IF(AND(ISNUMBER('Council Entry'!G$8),ISNUMBER('Council Entry'!G$9)),MAX(MIN('Council Entry'!G66,'Council Entry'!G$9),'Council Entry'!G$8),'Council Entry'!G66))))-'Council Entry'!G$5)/('Council Entry'!G$6-'Council Entry'!G$5)),1))),"No data"))</f>
        <v/>
      </c>
      <c r="H66" s="13">
        <f>IF('Council Entry'!H66="","",IFERROR(MAX(0,MIN(10,ROUND(IF('Council Entry'!H$7="Decrease Risk",10-10*((IF('Council Entry'!H$4="Logarithm",LN(0.001+IF(AND(ISNUMBER('Council Entry'!H$8),ISNUMBER('Council Entry'!H$9)),MAX(MIN('Council Entry'!H66,'Council Entry'!H$9),'Council Entry'!H$8),'Council Entry'!H66)),IF('Council Entry'!H$4="Exponential",EXP(IF(AND(ISNUMBER('Council Entry'!H$8),ISNUMBER('Council Entry'!H$9)),MAX(MIN('Council Entry'!H66,'Council Entry'!H$9),'Council Entry'!H$8),'Council Entry'!H66)),IF(AND(ISNUMBER('Council Entry'!H$8),ISNUMBER('Council Entry'!H$9)),MAX(MIN('Council Entry'!H66,'Council Entry'!H$9),'Council Entry'!H$8),'Council Entry'!H66))))-'Council Entry'!H$5)/('Council Entry'!H$6-'Council Entry'!H$5),10*((IF('Council Entry'!H$4="Logarithm",LN(0.001+IF(AND(ISNUMBER('Council Entry'!H$8),ISNUMBER('Council Entry'!H$9)),MAX(MIN('Council Entry'!H66,'Council Entry'!H$9),'Council Entry'!H$8),'Council Entry'!H66)),IF('Council Entry'!H$4="Exponential",EXP(IF(AND(ISNUMBER('Council Entry'!H$8),ISNUMBER('Council Entry'!H$9)),MAX(MIN('Council Entry'!H66,'Council Entry'!H$9),'Council Entry'!H$8),'Council Entry'!H66)),IF(AND(ISNUMBER('Council Entry'!H$8),ISNUMBER('Council Entry'!H$9)),MAX(MIN('Council Entry'!H66,'Council Entry'!H$9),'Council Entry'!H$8),'Council Entry'!H66))))-'Council Entry'!H$5)/('Council Entry'!H$6-'Council Entry'!H$5)),1))),"No data"))</f>
        <v/>
      </c>
      <c r="I66" s="13">
        <f>IF('Council Entry'!I66="","",IFERROR(MAX(0,MIN(10,ROUND(IF('Council Entry'!I$7="Decrease Risk",10-10*((IF('Council Entry'!I$4="Logarithm",LN(0.001+IF(AND(ISNUMBER('Council Entry'!I$8),ISNUMBER('Council Entry'!I$9)),MAX(MIN('Council Entry'!I66,'Council Entry'!I$9),'Council Entry'!I$8),'Council Entry'!I66)),IF('Council Entry'!I$4="Exponential",EXP(IF(AND(ISNUMBER('Council Entry'!I$8),ISNUMBER('Council Entry'!I$9)),MAX(MIN('Council Entry'!I66,'Council Entry'!I$9),'Council Entry'!I$8),'Council Entry'!I66)),IF(AND(ISNUMBER('Council Entry'!I$8),ISNUMBER('Council Entry'!I$9)),MAX(MIN('Council Entry'!I66,'Council Entry'!I$9),'Council Entry'!I$8),'Council Entry'!I66))))-'Council Entry'!I$5)/('Council Entry'!I$6-'Council Entry'!I$5),10*((IF('Council Entry'!I$4="Logarithm",LN(0.001+IF(AND(ISNUMBER('Council Entry'!I$8),ISNUMBER('Council Entry'!I$9)),MAX(MIN('Council Entry'!I66,'Council Entry'!I$9),'Council Entry'!I$8),'Council Entry'!I66)),IF('Council Entry'!I$4="Exponential",EXP(IF(AND(ISNUMBER('Council Entry'!I$8),ISNUMBER('Council Entry'!I$9)),MAX(MIN('Council Entry'!I66,'Council Entry'!I$9),'Council Entry'!I$8),'Council Entry'!I66)),IF(AND(ISNUMBER('Council Entry'!I$8),ISNUMBER('Council Entry'!I$9)),MAX(MIN('Council Entry'!I66,'Council Entry'!I$9),'Council Entry'!I$8),'Council Entry'!I66))))-'Council Entry'!I$5)/('Council Entry'!I$6-'Council Entry'!I$5)),1))),"No data"))</f>
        <v/>
      </c>
      <c r="J66" s="13">
        <f>IF('Council Entry'!J66="","",IFERROR(MAX(0,MIN(10,ROUND(IF('Council Entry'!J$7="Decrease Risk",10-10*((IF('Council Entry'!J$4="Logarithm",LN(0.001+IF(AND(ISNUMBER('Council Entry'!J$8),ISNUMBER('Council Entry'!J$9)),MAX(MIN('Council Entry'!J66,'Council Entry'!J$9),'Council Entry'!J$8),'Council Entry'!J66)),IF('Council Entry'!J$4="Exponential",EXP(IF(AND(ISNUMBER('Council Entry'!J$8),ISNUMBER('Council Entry'!J$9)),MAX(MIN('Council Entry'!J66,'Council Entry'!J$9),'Council Entry'!J$8),'Council Entry'!J66)),IF(AND(ISNUMBER('Council Entry'!J$8),ISNUMBER('Council Entry'!J$9)),MAX(MIN('Council Entry'!J66,'Council Entry'!J$9),'Council Entry'!J$8),'Council Entry'!J66))))-'Council Entry'!J$5)/('Council Entry'!J$6-'Council Entry'!J$5),10*((IF('Council Entry'!J$4="Logarithm",LN(0.001+IF(AND(ISNUMBER('Council Entry'!J$8),ISNUMBER('Council Entry'!J$9)),MAX(MIN('Council Entry'!J66,'Council Entry'!J$9),'Council Entry'!J$8),'Council Entry'!J66)),IF('Council Entry'!J$4="Exponential",EXP(IF(AND(ISNUMBER('Council Entry'!J$8),ISNUMBER('Council Entry'!J$9)),MAX(MIN('Council Entry'!J66,'Council Entry'!J$9),'Council Entry'!J$8),'Council Entry'!J66)),IF(AND(ISNUMBER('Council Entry'!J$8),ISNUMBER('Council Entry'!J$9)),MAX(MIN('Council Entry'!J66,'Council Entry'!J$9),'Council Entry'!J$8),'Council Entry'!J66))))-'Council Entry'!J$5)/('Council Entry'!J$6-'Council Entry'!J$5)),1))),"No data"))</f>
        <v/>
      </c>
      <c r="K66" s="13">
        <f>IF('Council Entry'!K66="","",IFERROR(MAX(0,MIN(10,ROUND(IF('Council Entry'!K$7="Decrease Risk",10-10*((IF('Council Entry'!K$4="Logarithm",LN(0.001+IF(AND(ISNUMBER('Council Entry'!K$8),ISNUMBER('Council Entry'!K$9)),MAX(MIN('Council Entry'!K66,'Council Entry'!K$9),'Council Entry'!K$8),'Council Entry'!K66)),IF('Council Entry'!K$4="Exponential",EXP(IF(AND(ISNUMBER('Council Entry'!K$8),ISNUMBER('Council Entry'!K$9)),MAX(MIN('Council Entry'!K66,'Council Entry'!K$9),'Council Entry'!K$8),'Council Entry'!K66)),IF(AND(ISNUMBER('Council Entry'!K$8),ISNUMBER('Council Entry'!K$9)),MAX(MIN('Council Entry'!K66,'Council Entry'!K$9),'Council Entry'!K$8),'Council Entry'!K66))))-'Council Entry'!K$5)/('Council Entry'!K$6-'Council Entry'!K$5),10*((IF('Council Entry'!K$4="Logarithm",LN(0.001+IF(AND(ISNUMBER('Council Entry'!K$8),ISNUMBER('Council Entry'!K$9)),MAX(MIN('Council Entry'!K66,'Council Entry'!K$9),'Council Entry'!K$8),'Council Entry'!K66)),IF('Council Entry'!K$4="Exponential",EXP(IF(AND(ISNUMBER('Council Entry'!K$8),ISNUMBER('Council Entry'!K$9)),MAX(MIN('Council Entry'!K66,'Council Entry'!K$9),'Council Entry'!K$8),'Council Entry'!K66)),IF(AND(ISNUMBER('Council Entry'!K$8),ISNUMBER('Council Entry'!K$9)),MAX(MIN('Council Entry'!K66,'Council Entry'!K$9),'Council Entry'!K$8),'Council Entry'!K66))))-'Council Entry'!K$5)/('Council Entry'!K$6-'Council Entry'!K$5)),1))),"No data"))</f>
        <v/>
      </c>
      <c r="L66" s="13">
        <f>IF('Council Entry'!L66="","",IFERROR(MAX(0,MIN(10,ROUND(IF('Council Entry'!L$7="Decrease Risk",10-10*((IF('Council Entry'!L$4="Logarithm",LN(0.001+IF(AND(ISNUMBER('Council Entry'!L$8),ISNUMBER('Council Entry'!L$9)),MAX(MIN('Council Entry'!L66,'Council Entry'!L$9),'Council Entry'!L$8),'Council Entry'!L66)),IF('Council Entry'!L$4="Exponential",EXP(IF(AND(ISNUMBER('Council Entry'!L$8),ISNUMBER('Council Entry'!L$9)),MAX(MIN('Council Entry'!L66,'Council Entry'!L$9),'Council Entry'!L$8),'Council Entry'!L66)),IF(AND(ISNUMBER('Council Entry'!L$8),ISNUMBER('Council Entry'!L$9)),MAX(MIN('Council Entry'!L66,'Council Entry'!L$9),'Council Entry'!L$8),'Council Entry'!L66))))-'Council Entry'!L$5)/('Council Entry'!L$6-'Council Entry'!L$5),10*((IF('Council Entry'!L$4="Logarithm",LN(0.001+IF(AND(ISNUMBER('Council Entry'!L$8),ISNUMBER('Council Entry'!L$9)),MAX(MIN('Council Entry'!L66,'Council Entry'!L$9),'Council Entry'!L$8),'Council Entry'!L66)),IF('Council Entry'!L$4="Exponential",EXP(IF(AND(ISNUMBER('Council Entry'!L$8),ISNUMBER('Council Entry'!L$9)),MAX(MIN('Council Entry'!L66,'Council Entry'!L$9),'Council Entry'!L$8),'Council Entry'!L66)),IF(AND(ISNUMBER('Council Entry'!L$8),ISNUMBER('Council Entry'!L$9)),MAX(MIN('Council Entry'!L66,'Council Entry'!L$9),'Council Entry'!L$8),'Council Entry'!L66))))-'Council Entry'!L$5)/('Council Entry'!L$6-'Council Entry'!L$5)),1))),"No data"))</f>
        <v/>
      </c>
      <c r="M66" s="13">
        <f>IF('Council Entry'!M66="","",IFERROR(MAX(0,MIN(10,ROUND(IF('Council Entry'!M$7="Decrease Risk",10-10*((IF('Council Entry'!M$4="Logarithm",LN(0.001+IF(AND(ISNUMBER('Council Entry'!M$8),ISNUMBER('Council Entry'!M$9)),MAX(MIN('Council Entry'!M66,'Council Entry'!M$9),'Council Entry'!M$8),'Council Entry'!M66)),IF('Council Entry'!M$4="Exponential",EXP(IF(AND(ISNUMBER('Council Entry'!M$8),ISNUMBER('Council Entry'!M$9)),MAX(MIN('Council Entry'!M66,'Council Entry'!M$9),'Council Entry'!M$8),'Council Entry'!M66)),IF(AND(ISNUMBER('Council Entry'!M$8),ISNUMBER('Council Entry'!M$9)),MAX(MIN('Council Entry'!M66,'Council Entry'!M$9),'Council Entry'!M$8),'Council Entry'!M66))))-'Council Entry'!M$5)/('Council Entry'!M$6-'Council Entry'!M$5),10*((IF('Council Entry'!M$4="Logarithm",LN(0.001+IF(AND(ISNUMBER('Council Entry'!M$8),ISNUMBER('Council Entry'!M$9)),MAX(MIN('Council Entry'!M66,'Council Entry'!M$9),'Council Entry'!M$8),'Council Entry'!M66)),IF('Council Entry'!M$4="Exponential",EXP(IF(AND(ISNUMBER('Council Entry'!M$8),ISNUMBER('Council Entry'!M$9)),MAX(MIN('Council Entry'!M66,'Council Entry'!M$9),'Council Entry'!M$8),'Council Entry'!M66)),IF(AND(ISNUMBER('Council Entry'!M$8),ISNUMBER('Council Entry'!M$9)),MAX(MIN('Council Entry'!M66,'Council Entry'!M$9),'Council Entry'!M$8),'Council Entry'!M66))))-'Council Entry'!M$5)/('Council Entry'!M$6-'Council Entry'!M$5)),1))),"No data"))</f>
        <v/>
      </c>
      <c r="N66" s="13">
        <f>IF('Council Entry'!N66="","",IFERROR(MAX(0,MIN(10,ROUND(IF('Council Entry'!N$7="Decrease Risk",10-10*((IF('Council Entry'!N$4="Logarithm",LN(0.001+IF(AND(ISNUMBER('Council Entry'!N$8),ISNUMBER('Council Entry'!N$9)),MAX(MIN('Council Entry'!N66,'Council Entry'!N$9),'Council Entry'!N$8),'Council Entry'!N66)),IF('Council Entry'!N$4="Exponential",EXP(IF(AND(ISNUMBER('Council Entry'!N$8),ISNUMBER('Council Entry'!N$9)),MAX(MIN('Council Entry'!N66,'Council Entry'!N$9),'Council Entry'!N$8),'Council Entry'!N66)),IF(AND(ISNUMBER('Council Entry'!N$8),ISNUMBER('Council Entry'!N$9)),MAX(MIN('Council Entry'!N66,'Council Entry'!N$9),'Council Entry'!N$8),'Council Entry'!N66))))-'Council Entry'!N$5)/('Council Entry'!N$6-'Council Entry'!N$5),10*((IF('Council Entry'!N$4="Logarithm",LN(0.001+IF(AND(ISNUMBER('Council Entry'!N$8),ISNUMBER('Council Entry'!N$9)),MAX(MIN('Council Entry'!N66,'Council Entry'!N$9),'Council Entry'!N$8),'Council Entry'!N66)),IF('Council Entry'!N$4="Exponential",EXP(IF(AND(ISNUMBER('Council Entry'!N$8),ISNUMBER('Council Entry'!N$9)),MAX(MIN('Council Entry'!N66,'Council Entry'!N$9),'Council Entry'!N$8),'Council Entry'!N66)),IF(AND(ISNUMBER('Council Entry'!N$8),ISNUMBER('Council Entry'!N$9)),MAX(MIN('Council Entry'!N66,'Council Entry'!N$9),'Council Entry'!N$8),'Council Entry'!N66))))-'Council Entry'!N$5)/('Council Entry'!N$6-'Council Entry'!N$5)),1))),"No data"))</f>
        <v/>
      </c>
      <c r="O66" s="13">
        <f>IF('Council Entry'!O66="","",IFERROR(MAX(0,MIN(10,ROUND(IF('Council Entry'!O$7="Decrease Risk",10-10*((IF('Council Entry'!O$4="Logarithm",LN(0.001+IF(AND(ISNUMBER('Council Entry'!O$8),ISNUMBER('Council Entry'!O$9)),MAX(MIN('Council Entry'!O66,'Council Entry'!O$9),'Council Entry'!O$8),'Council Entry'!O66)),IF('Council Entry'!O$4="Exponential",EXP(IF(AND(ISNUMBER('Council Entry'!O$8),ISNUMBER('Council Entry'!O$9)),MAX(MIN('Council Entry'!O66,'Council Entry'!O$9),'Council Entry'!O$8),'Council Entry'!O66)),IF(AND(ISNUMBER('Council Entry'!O$8),ISNUMBER('Council Entry'!O$9)),MAX(MIN('Council Entry'!O66,'Council Entry'!O$9),'Council Entry'!O$8),'Council Entry'!O66))))-'Council Entry'!O$5)/('Council Entry'!O$6-'Council Entry'!O$5),10*((IF('Council Entry'!O$4="Logarithm",LN(0.001+IF(AND(ISNUMBER('Council Entry'!O$8),ISNUMBER('Council Entry'!O$9)),MAX(MIN('Council Entry'!O66,'Council Entry'!O$9),'Council Entry'!O$8),'Council Entry'!O66)),IF('Council Entry'!O$4="Exponential",EXP(IF(AND(ISNUMBER('Council Entry'!O$8),ISNUMBER('Council Entry'!O$9)),MAX(MIN('Council Entry'!O66,'Council Entry'!O$9),'Council Entry'!O$8),'Council Entry'!O66)),IF(AND(ISNUMBER('Council Entry'!O$8),ISNUMBER('Council Entry'!O$9)),MAX(MIN('Council Entry'!O66,'Council Entry'!O$9),'Council Entry'!O$8),'Council Entry'!O66))))-'Council Entry'!O$5)/('Council Entry'!O$6-'Council Entry'!O$5)),1))),"No data"))</f>
        <v/>
      </c>
      <c r="P66" s="13">
        <f>IF('Council Entry'!P66="","",IFERROR(MAX(0,MIN(10,ROUND(IF('Council Entry'!P$7="Decrease Risk",10-10*((IF('Council Entry'!P$4="Logarithm",LN(0.001+IF(AND(ISNUMBER('Council Entry'!P$8),ISNUMBER('Council Entry'!P$9)),MAX(MIN('Council Entry'!P66,'Council Entry'!P$9),'Council Entry'!P$8),'Council Entry'!P66)),IF('Council Entry'!P$4="Exponential",EXP(IF(AND(ISNUMBER('Council Entry'!P$8),ISNUMBER('Council Entry'!P$9)),MAX(MIN('Council Entry'!P66,'Council Entry'!P$9),'Council Entry'!P$8),'Council Entry'!P66)),IF(AND(ISNUMBER('Council Entry'!P$8),ISNUMBER('Council Entry'!P$9)),MAX(MIN('Council Entry'!P66,'Council Entry'!P$9),'Council Entry'!P$8),'Council Entry'!P66))))-'Council Entry'!P$5)/('Council Entry'!P$6-'Council Entry'!P$5),10*((IF('Council Entry'!P$4="Logarithm",LN(0.001+IF(AND(ISNUMBER('Council Entry'!P$8),ISNUMBER('Council Entry'!P$9)),MAX(MIN('Council Entry'!P66,'Council Entry'!P$9),'Council Entry'!P$8),'Council Entry'!P66)),IF('Council Entry'!P$4="Exponential",EXP(IF(AND(ISNUMBER('Council Entry'!P$8),ISNUMBER('Council Entry'!P$9)),MAX(MIN('Council Entry'!P66,'Council Entry'!P$9),'Council Entry'!P$8),'Council Entry'!P66)),IF(AND(ISNUMBER('Council Entry'!P$8),ISNUMBER('Council Entry'!P$9)),MAX(MIN('Council Entry'!P66,'Council Entry'!P$9),'Council Entry'!P$8),'Council Entry'!P66))))-'Council Entry'!P$5)/('Council Entry'!P$6-'Council Entry'!P$5)),1))),"No data"))</f>
        <v/>
      </c>
      <c r="Q66" s="13">
        <f>IF('Council Entry'!Q66="","",IFERROR(MAX(0,MIN(10,ROUND(IF('Council Entry'!Q$7="Decrease Risk",10-10*((IF('Council Entry'!Q$4="Logarithm",LN(0.001+IF(AND(ISNUMBER('Council Entry'!Q$8),ISNUMBER('Council Entry'!Q$9)),MAX(MIN('Council Entry'!Q66,'Council Entry'!Q$9),'Council Entry'!Q$8),'Council Entry'!Q66)),IF('Council Entry'!Q$4="Exponential",EXP(IF(AND(ISNUMBER('Council Entry'!Q$8),ISNUMBER('Council Entry'!Q$9)),MAX(MIN('Council Entry'!Q66,'Council Entry'!Q$9),'Council Entry'!Q$8),'Council Entry'!Q66)),IF(AND(ISNUMBER('Council Entry'!Q$8),ISNUMBER('Council Entry'!Q$9)),MAX(MIN('Council Entry'!Q66,'Council Entry'!Q$9),'Council Entry'!Q$8),'Council Entry'!Q66))))-'Council Entry'!Q$5)/('Council Entry'!Q$6-'Council Entry'!Q$5),10*((IF('Council Entry'!Q$4="Logarithm",LN(0.001+IF(AND(ISNUMBER('Council Entry'!Q$8),ISNUMBER('Council Entry'!Q$9)),MAX(MIN('Council Entry'!Q66,'Council Entry'!Q$9),'Council Entry'!Q$8),'Council Entry'!Q66)),IF('Council Entry'!Q$4="Exponential",EXP(IF(AND(ISNUMBER('Council Entry'!Q$8),ISNUMBER('Council Entry'!Q$9)),MAX(MIN('Council Entry'!Q66,'Council Entry'!Q$9),'Council Entry'!Q$8),'Council Entry'!Q66)),IF(AND(ISNUMBER('Council Entry'!Q$8),ISNUMBER('Council Entry'!Q$9)),MAX(MIN('Council Entry'!Q66,'Council Entry'!Q$9),'Council Entry'!Q$8),'Council Entry'!Q66))))-'Council Entry'!Q$5)/('Council Entry'!Q$6-'Council Entry'!Q$5)),1))),"No data"))</f>
        <v/>
      </c>
      <c r="R66" s="13">
        <f>IF('Council Entry'!R66="","",IFERROR(MAX(0,MIN(10,ROUND(IF('Council Entry'!R$7="Decrease Risk",10-10*((IF('Council Entry'!R$4="Logarithm",LN(0.001+IF(AND(ISNUMBER('Council Entry'!R$8),ISNUMBER('Council Entry'!R$9)),MAX(MIN('Council Entry'!R66,'Council Entry'!R$9),'Council Entry'!R$8),'Council Entry'!R66)),IF('Council Entry'!R$4="Exponential",EXP(IF(AND(ISNUMBER('Council Entry'!R$8),ISNUMBER('Council Entry'!R$9)),MAX(MIN('Council Entry'!R66,'Council Entry'!R$9),'Council Entry'!R$8),'Council Entry'!R66)),IF(AND(ISNUMBER('Council Entry'!R$8),ISNUMBER('Council Entry'!R$9)),MAX(MIN('Council Entry'!R66,'Council Entry'!R$9),'Council Entry'!R$8),'Council Entry'!R66))))-'Council Entry'!R$5)/('Council Entry'!R$6-'Council Entry'!R$5),10*((IF('Council Entry'!R$4="Logarithm",LN(0.001+IF(AND(ISNUMBER('Council Entry'!R$8),ISNUMBER('Council Entry'!R$9)),MAX(MIN('Council Entry'!R66,'Council Entry'!R$9),'Council Entry'!R$8),'Council Entry'!R66)),IF('Council Entry'!R$4="Exponential",EXP(IF(AND(ISNUMBER('Council Entry'!R$8),ISNUMBER('Council Entry'!R$9)),MAX(MIN('Council Entry'!R66,'Council Entry'!R$9),'Council Entry'!R$8),'Council Entry'!R66)),IF(AND(ISNUMBER('Council Entry'!R$8),ISNUMBER('Council Entry'!R$9)),MAX(MIN('Council Entry'!R66,'Council Entry'!R$9),'Council Entry'!R$8),'Council Entry'!R66))))-'Council Entry'!R$5)/('Council Entry'!R$6-'Council Entry'!R$5)),1))),"No data"))</f>
        <v/>
      </c>
      <c r="S66" s="13">
        <f>IF('Council Entry'!S66="","",IFERROR(MAX(0,MIN(10,ROUND(IF('Council Entry'!S$7="Decrease Risk",10-10*((IF('Council Entry'!S$4="Logarithm",LN(0.001+IF(AND(ISNUMBER('Council Entry'!S$8),ISNUMBER('Council Entry'!S$9)),MAX(MIN('Council Entry'!S66,'Council Entry'!S$9),'Council Entry'!S$8),'Council Entry'!S66)),IF('Council Entry'!S$4="Exponential",EXP(IF(AND(ISNUMBER('Council Entry'!S$8),ISNUMBER('Council Entry'!S$9)),MAX(MIN('Council Entry'!S66,'Council Entry'!S$9),'Council Entry'!S$8),'Council Entry'!S66)),IF(AND(ISNUMBER('Council Entry'!S$8),ISNUMBER('Council Entry'!S$9)),MAX(MIN('Council Entry'!S66,'Council Entry'!S$9),'Council Entry'!S$8),'Council Entry'!S66))))-'Council Entry'!S$5)/('Council Entry'!S$6-'Council Entry'!S$5),10*((IF('Council Entry'!S$4="Logarithm",LN(0.001+IF(AND(ISNUMBER('Council Entry'!S$8),ISNUMBER('Council Entry'!S$9)),MAX(MIN('Council Entry'!S66,'Council Entry'!S$9),'Council Entry'!S$8),'Council Entry'!S66)),IF('Council Entry'!S$4="Exponential",EXP(IF(AND(ISNUMBER('Council Entry'!S$8),ISNUMBER('Council Entry'!S$9)),MAX(MIN('Council Entry'!S66,'Council Entry'!S$9),'Council Entry'!S$8),'Council Entry'!S66)),IF(AND(ISNUMBER('Council Entry'!S$8),ISNUMBER('Council Entry'!S$9)),MAX(MIN('Council Entry'!S66,'Council Entry'!S$9),'Council Entry'!S$8),'Council Entry'!S66))))-'Council Entry'!S$5)/('Council Entry'!S$6-'Council Entry'!S$5)),1))),"No data"))</f>
        <v/>
      </c>
      <c r="T66" s="13">
        <f>IF('Council Entry'!T66="","",IFERROR(MAX(0,MIN(10,ROUND(IF('Council Entry'!T$7="Decrease Risk",10-10*((IF('Council Entry'!T$4="Logarithm",LN(0.001+IF(AND(ISNUMBER('Council Entry'!T$8),ISNUMBER('Council Entry'!T$9)),MAX(MIN('Council Entry'!T66,'Council Entry'!T$9),'Council Entry'!T$8),'Council Entry'!T66)),IF('Council Entry'!T$4="Exponential",EXP(IF(AND(ISNUMBER('Council Entry'!T$8),ISNUMBER('Council Entry'!T$9)),MAX(MIN('Council Entry'!T66,'Council Entry'!T$9),'Council Entry'!T$8),'Council Entry'!T66)),IF(AND(ISNUMBER('Council Entry'!T$8),ISNUMBER('Council Entry'!T$9)),MAX(MIN('Council Entry'!T66,'Council Entry'!T$9),'Council Entry'!T$8),'Council Entry'!T66))))-'Council Entry'!T$5)/('Council Entry'!T$6-'Council Entry'!T$5),10*((IF('Council Entry'!T$4="Logarithm",LN(0.001+IF(AND(ISNUMBER('Council Entry'!T$8),ISNUMBER('Council Entry'!T$9)),MAX(MIN('Council Entry'!T66,'Council Entry'!T$9),'Council Entry'!T$8),'Council Entry'!T66)),IF('Council Entry'!T$4="Exponential",EXP(IF(AND(ISNUMBER('Council Entry'!T$8),ISNUMBER('Council Entry'!T$9)),MAX(MIN('Council Entry'!T66,'Council Entry'!T$9),'Council Entry'!T$8),'Council Entry'!T66)),IF(AND(ISNUMBER('Council Entry'!T$8),ISNUMBER('Council Entry'!T$9)),MAX(MIN('Council Entry'!T66,'Council Entry'!T$9),'Council Entry'!T$8),'Council Entry'!T66))))-'Council Entry'!T$5)/('Council Entry'!T$6-'Council Entry'!T$5)),1))),"No data"))</f>
        <v/>
      </c>
      <c r="U66" s="13">
        <f>IF('Council Entry'!U66="","",IFERROR(MAX(0,MIN(10,ROUND(IF('Council Entry'!U$7="Decrease Risk",10-10*((IF('Council Entry'!U$4="Logarithm",LN(0.001+IF(AND(ISNUMBER('Council Entry'!U$8),ISNUMBER('Council Entry'!U$9)),MAX(MIN('Council Entry'!U66,'Council Entry'!U$9),'Council Entry'!U$8),'Council Entry'!U66)),IF('Council Entry'!U$4="Exponential",EXP(IF(AND(ISNUMBER('Council Entry'!U$8),ISNUMBER('Council Entry'!U$9)),MAX(MIN('Council Entry'!U66,'Council Entry'!U$9),'Council Entry'!U$8),'Council Entry'!U66)),IF(AND(ISNUMBER('Council Entry'!U$8),ISNUMBER('Council Entry'!U$9)),MAX(MIN('Council Entry'!U66,'Council Entry'!U$9),'Council Entry'!U$8),'Council Entry'!U66))))-'Council Entry'!U$5)/('Council Entry'!U$6-'Council Entry'!U$5),10*((IF('Council Entry'!U$4="Logarithm",LN(0.001+IF(AND(ISNUMBER('Council Entry'!U$8),ISNUMBER('Council Entry'!U$9)),MAX(MIN('Council Entry'!U66,'Council Entry'!U$9),'Council Entry'!U$8),'Council Entry'!U66)),IF('Council Entry'!U$4="Exponential",EXP(IF(AND(ISNUMBER('Council Entry'!U$8),ISNUMBER('Council Entry'!U$9)),MAX(MIN('Council Entry'!U66,'Council Entry'!U$9),'Council Entry'!U$8),'Council Entry'!U66)),IF(AND(ISNUMBER('Council Entry'!U$8),ISNUMBER('Council Entry'!U$9)),MAX(MIN('Council Entry'!U66,'Council Entry'!U$9),'Council Entry'!U$8),'Council Entry'!U66))))-'Council Entry'!U$5)/('Council Entry'!U$6-'Council Entry'!U$5)),1))),"No data"))</f>
        <v/>
      </c>
      <c r="V66" s="13">
        <f>IF('Council Entry'!V66="","",IFERROR(MAX(0,MIN(10,ROUND(IF('Council Entry'!V$7="Decrease Risk",10-10*((IF('Council Entry'!V$4="Logarithm",LN(0.001+IF(AND(ISNUMBER('Council Entry'!V$8),ISNUMBER('Council Entry'!V$9)),MAX(MIN('Council Entry'!V66,'Council Entry'!V$9),'Council Entry'!V$8),'Council Entry'!V66)),IF('Council Entry'!V$4="Exponential",EXP(IF(AND(ISNUMBER('Council Entry'!V$8),ISNUMBER('Council Entry'!V$9)),MAX(MIN('Council Entry'!V66,'Council Entry'!V$9),'Council Entry'!V$8),'Council Entry'!V66)),IF(AND(ISNUMBER('Council Entry'!V$8),ISNUMBER('Council Entry'!V$9)),MAX(MIN('Council Entry'!V66,'Council Entry'!V$9),'Council Entry'!V$8),'Council Entry'!V66))))-'Council Entry'!V$5)/('Council Entry'!V$6-'Council Entry'!V$5),10*((IF('Council Entry'!V$4="Logarithm",LN(0.001+IF(AND(ISNUMBER('Council Entry'!V$8),ISNUMBER('Council Entry'!V$9)),MAX(MIN('Council Entry'!V66,'Council Entry'!V$9),'Council Entry'!V$8),'Council Entry'!V66)),IF('Council Entry'!V$4="Exponential",EXP(IF(AND(ISNUMBER('Council Entry'!V$8),ISNUMBER('Council Entry'!V$9)),MAX(MIN('Council Entry'!V66,'Council Entry'!V$9),'Council Entry'!V$8),'Council Entry'!V66)),IF(AND(ISNUMBER('Council Entry'!V$8),ISNUMBER('Council Entry'!V$9)),MAX(MIN('Council Entry'!V66,'Council Entry'!V$9),'Council Entry'!V$8),'Council Entry'!V66))))-'Council Entry'!V$5)/('Council Entry'!V$6-'Council Entry'!V$5)),1))),"No data"))</f>
        <v/>
      </c>
      <c r="W66" s="13">
        <f>IF('Council Entry'!W66="","",IFERROR(MAX(0,MIN(10,ROUND(IF('Council Entry'!W$7="Decrease Risk",10-10*((IF('Council Entry'!W$4="Logarithm",LN(0.001+IF(AND(ISNUMBER('Council Entry'!W$8),ISNUMBER('Council Entry'!W$9)),MAX(MIN('Council Entry'!W66,'Council Entry'!W$9),'Council Entry'!W$8),'Council Entry'!W66)),IF('Council Entry'!W$4="Exponential",EXP(IF(AND(ISNUMBER('Council Entry'!W$8),ISNUMBER('Council Entry'!W$9)),MAX(MIN('Council Entry'!W66,'Council Entry'!W$9),'Council Entry'!W$8),'Council Entry'!W66)),IF(AND(ISNUMBER('Council Entry'!W$8),ISNUMBER('Council Entry'!W$9)),MAX(MIN('Council Entry'!W66,'Council Entry'!W$9),'Council Entry'!W$8),'Council Entry'!W66))))-'Council Entry'!W$5)/('Council Entry'!W$6-'Council Entry'!W$5),10*((IF('Council Entry'!W$4="Logarithm",LN(0.001+IF(AND(ISNUMBER('Council Entry'!W$8),ISNUMBER('Council Entry'!W$9)),MAX(MIN('Council Entry'!W66,'Council Entry'!W$9),'Council Entry'!W$8),'Council Entry'!W66)),IF('Council Entry'!W$4="Exponential",EXP(IF(AND(ISNUMBER('Council Entry'!W$8),ISNUMBER('Council Entry'!W$9)),MAX(MIN('Council Entry'!W66,'Council Entry'!W$9),'Council Entry'!W$8),'Council Entry'!W66)),IF(AND(ISNUMBER('Council Entry'!W$8),ISNUMBER('Council Entry'!W$9)),MAX(MIN('Council Entry'!W66,'Council Entry'!W$9),'Council Entry'!W$8),'Council Entry'!W66))))-'Council Entry'!W$5)/('Council Entry'!W$6-'Council Entry'!W$5)),1))),"No data"))</f>
        <v/>
      </c>
      <c r="X66" s="13">
        <f>IF('Council Entry'!X66="","",IFERROR(MAX(0,MIN(10,ROUND(IF('Council Entry'!X$7="Decrease Risk",10-10*((IF('Council Entry'!X$4="Logarithm",LN(0.001+IF(AND(ISNUMBER('Council Entry'!X$8),ISNUMBER('Council Entry'!X$9)),MAX(MIN('Council Entry'!X66,'Council Entry'!X$9),'Council Entry'!X$8),'Council Entry'!X66)),IF('Council Entry'!X$4="Exponential",EXP(IF(AND(ISNUMBER('Council Entry'!X$8),ISNUMBER('Council Entry'!X$9)),MAX(MIN('Council Entry'!X66,'Council Entry'!X$9),'Council Entry'!X$8),'Council Entry'!X66)),IF(AND(ISNUMBER('Council Entry'!X$8),ISNUMBER('Council Entry'!X$9)),MAX(MIN('Council Entry'!X66,'Council Entry'!X$9),'Council Entry'!X$8),'Council Entry'!X66))))-'Council Entry'!X$5)/('Council Entry'!X$6-'Council Entry'!X$5),10*((IF('Council Entry'!X$4="Logarithm",LN(0.001+IF(AND(ISNUMBER('Council Entry'!X$8),ISNUMBER('Council Entry'!X$9)),MAX(MIN('Council Entry'!X66,'Council Entry'!X$9),'Council Entry'!X$8),'Council Entry'!X66)),IF('Council Entry'!X$4="Exponential",EXP(IF(AND(ISNUMBER('Council Entry'!X$8),ISNUMBER('Council Entry'!X$9)),MAX(MIN('Council Entry'!X66,'Council Entry'!X$9),'Council Entry'!X$8),'Council Entry'!X66)),IF(AND(ISNUMBER('Council Entry'!X$8),ISNUMBER('Council Entry'!X$9)),MAX(MIN('Council Entry'!X66,'Council Entry'!X$9),'Council Entry'!X$8),'Council Entry'!X66))))-'Council Entry'!X$5)/('Council Entry'!X$6-'Council Entry'!X$5)),1))),"No data"))</f>
        <v/>
      </c>
      <c r="Y66" s="13">
        <f>IF('Council Entry'!Y66="","",IFERROR(MAX(0,MIN(10,ROUND(IF('Council Entry'!Y$7="Decrease Risk",10-10*((IF('Council Entry'!Y$4="Logarithm",LN(0.001+IF(AND(ISNUMBER('Council Entry'!Y$8),ISNUMBER('Council Entry'!Y$9)),MAX(MIN('Council Entry'!Y66,'Council Entry'!Y$9),'Council Entry'!Y$8),'Council Entry'!Y66)),IF('Council Entry'!Y$4="Exponential",EXP(IF(AND(ISNUMBER('Council Entry'!Y$8),ISNUMBER('Council Entry'!Y$9)),MAX(MIN('Council Entry'!Y66,'Council Entry'!Y$9),'Council Entry'!Y$8),'Council Entry'!Y66)),IF(AND(ISNUMBER('Council Entry'!Y$8),ISNUMBER('Council Entry'!Y$9)),MAX(MIN('Council Entry'!Y66,'Council Entry'!Y$9),'Council Entry'!Y$8),'Council Entry'!Y66))))-'Council Entry'!Y$5)/('Council Entry'!Y$6-'Council Entry'!Y$5),10*((IF('Council Entry'!Y$4="Logarithm",LN(0.001+IF(AND(ISNUMBER('Council Entry'!Y$8),ISNUMBER('Council Entry'!Y$9)),MAX(MIN('Council Entry'!Y66,'Council Entry'!Y$9),'Council Entry'!Y$8),'Council Entry'!Y66)),IF('Council Entry'!Y$4="Exponential",EXP(IF(AND(ISNUMBER('Council Entry'!Y$8),ISNUMBER('Council Entry'!Y$9)),MAX(MIN('Council Entry'!Y66,'Council Entry'!Y$9),'Council Entry'!Y$8),'Council Entry'!Y66)),IF(AND(ISNUMBER('Council Entry'!Y$8),ISNUMBER('Council Entry'!Y$9)),MAX(MIN('Council Entry'!Y66,'Council Entry'!Y$9),'Council Entry'!Y$8),'Council Entry'!Y66))))-'Council Entry'!Y$5)/('Council Entry'!Y$6-'Council Entry'!Y$5)),1))),"No data"))</f>
        <v/>
      </c>
      <c r="Z66" s="13">
        <f>IF('Council Entry'!Z66="","",IFERROR(MAX(0,MIN(10,ROUND(IF('Council Entry'!Z$7="Decrease Risk",10-10*((IF('Council Entry'!Z$4="Logarithm",LN(0.001+IF(AND(ISNUMBER('Council Entry'!Z$8),ISNUMBER('Council Entry'!Z$9)),MAX(MIN('Council Entry'!Z66,'Council Entry'!Z$9),'Council Entry'!Z$8),'Council Entry'!Z66)),IF('Council Entry'!Z$4="Exponential",EXP(IF(AND(ISNUMBER('Council Entry'!Z$8),ISNUMBER('Council Entry'!Z$9)),MAX(MIN('Council Entry'!Z66,'Council Entry'!Z$9),'Council Entry'!Z$8),'Council Entry'!Z66)),IF(AND(ISNUMBER('Council Entry'!Z$8),ISNUMBER('Council Entry'!Z$9)),MAX(MIN('Council Entry'!Z66,'Council Entry'!Z$9),'Council Entry'!Z$8),'Council Entry'!Z66))))-'Council Entry'!Z$5)/('Council Entry'!Z$6-'Council Entry'!Z$5),10*((IF('Council Entry'!Z$4="Logarithm",LN(0.001+IF(AND(ISNUMBER('Council Entry'!Z$8),ISNUMBER('Council Entry'!Z$9)),MAX(MIN('Council Entry'!Z66,'Council Entry'!Z$9),'Council Entry'!Z$8),'Council Entry'!Z66)),IF('Council Entry'!Z$4="Exponential",EXP(IF(AND(ISNUMBER('Council Entry'!Z$8),ISNUMBER('Council Entry'!Z$9)),MAX(MIN('Council Entry'!Z66,'Council Entry'!Z$9),'Council Entry'!Z$8),'Council Entry'!Z66)),IF(AND(ISNUMBER('Council Entry'!Z$8),ISNUMBER('Council Entry'!Z$9)),MAX(MIN('Council Entry'!Z66,'Council Entry'!Z$9),'Council Entry'!Z$8),'Council Entry'!Z66))))-'Council Entry'!Z$5)/('Council Entry'!Z$6-'Council Entry'!Z$5)),1))),"No data"))</f>
        <v/>
      </c>
      <c r="AA66" s="13">
        <f>IF('Council Entry'!AA66="","",IFERROR(MAX(0,MIN(10,ROUND(IF('Council Entry'!AA$7="Decrease Risk",10-10*((IF('Council Entry'!AA$4="Logarithm",LN(0.001+IF(AND(ISNUMBER('Council Entry'!AA$8),ISNUMBER('Council Entry'!AA$9)),MAX(MIN('Council Entry'!AA66,'Council Entry'!AA$9),'Council Entry'!AA$8),'Council Entry'!AA66)),IF('Council Entry'!AA$4="Exponential",EXP(IF(AND(ISNUMBER('Council Entry'!AA$8),ISNUMBER('Council Entry'!AA$9)),MAX(MIN('Council Entry'!AA66,'Council Entry'!AA$9),'Council Entry'!AA$8),'Council Entry'!AA66)),IF(AND(ISNUMBER('Council Entry'!AA$8),ISNUMBER('Council Entry'!AA$9)),MAX(MIN('Council Entry'!AA66,'Council Entry'!AA$9),'Council Entry'!AA$8),'Council Entry'!AA66))))-'Council Entry'!AA$5)/('Council Entry'!AA$6-'Council Entry'!AA$5),10*((IF('Council Entry'!AA$4="Logarithm",LN(0.001+IF(AND(ISNUMBER('Council Entry'!AA$8),ISNUMBER('Council Entry'!AA$9)),MAX(MIN('Council Entry'!AA66,'Council Entry'!AA$9),'Council Entry'!AA$8),'Council Entry'!AA66)),IF('Council Entry'!AA$4="Exponential",EXP(IF(AND(ISNUMBER('Council Entry'!AA$8),ISNUMBER('Council Entry'!AA$9)),MAX(MIN('Council Entry'!AA66,'Council Entry'!AA$9),'Council Entry'!AA$8),'Council Entry'!AA66)),IF(AND(ISNUMBER('Council Entry'!AA$8),ISNUMBER('Council Entry'!AA$9)),MAX(MIN('Council Entry'!AA66,'Council Entry'!AA$9),'Council Entry'!AA$8),'Council Entry'!AA66))))-'Council Entry'!AA$5)/('Council Entry'!AA$6-'Council Entry'!AA$5)),1))),"No data"))</f>
        <v/>
      </c>
      <c r="AB66" s="13">
        <f>IF('Council Entry'!AB66="","",IFERROR(MAX(0,MIN(10,ROUND(IF('Council Entry'!AB$7="Decrease Risk",10-10*((IF('Council Entry'!AB$4="Logarithm",LN(0.001+IF(AND(ISNUMBER('Council Entry'!AB$8),ISNUMBER('Council Entry'!AB$9)),MAX(MIN('Council Entry'!AB66,'Council Entry'!AB$9),'Council Entry'!AB$8),'Council Entry'!AB66)),IF('Council Entry'!AB$4="Exponential",EXP(IF(AND(ISNUMBER('Council Entry'!AB$8),ISNUMBER('Council Entry'!AB$9)),MAX(MIN('Council Entry'!AB66,'Council Entry'!AB$9),'Council Entry'!AB$8),'Council Entry'!AB66)),IF(AND(ISNUMBER('Council Entry'!AB$8),ISNUMBER('Council Entry'!AB$9)),MAX(MIN('Council Entry'!AB66,'Council Entry'!AB$9),'Council Entry'!AB$8),'Council Entry'!AB66))))-'Council Entry'!AB$5)/('Council Entry'!AB$6-'Council Entry'!AB$5),10*((IF('Council Entry'!AB$4="Logarithm",LN(0.001+IF(AND(ISNUMBER('Council Entry'!AB$8),ISNUMBER('Council Entry'!AB$9)),MAX(MIN('Council Entry'!AB66,'Council Entry'!AB$9),'Council Entry'!AB$8),'Council Entry'!AB66)),IF('Council Entry'!AB$4="Exponential",EXP(IF(AND(ISNUMBER('Council Entry'!AB$8),ISNUMBER('Council Entry'!AB$9)),MAX(MIN('Council Entry'!AB66,'Council Entry'!AB$9),'Council Entry'!AB$8),'Council Entry'!AB66)),IF(AND(ISNUMBER('Council Entry'!AB$8),ISNUMBER('Council Entry'!AB$9)),MAX(MIN('Council Entry'!AB66,'Council Entry'!AB$9),'Council Entry'!AB$8),'Council Entry'!AB66))))-'Council Entry'!AB$5)/('Council Entry'!AB$6-'Council Entry'!AB$5)),1))),"No data"))</f>
        <v/>
      </c>
      <c r="AC66" s="13">
        <f>IF('Council Entry'!AC66="","",IFERROR(MAX(0,MIN(10,ROUND(IF('Council Entry'!AC$7="Decrease Risk",10-10*((IF('Council Entry'!AC$4="Logarithm",LN(0.001+IF(AND(ISNUMBER('Council Entry'!AC$8),ISNUMBER('Council Entry'!AC$9)),MAX(MIN('Council Entry'!AC66,'Council Entry'!AC$9),'Council Entry'!AC$8),'Council Entry'!AC66)),IF('Council Entry'!AC$4="Exponential",EXP(IF(AND(ISNUMBER('Council Entry'!AC$8),ISNUMBER('Council Entry'!AC$9)),MAX(MIN('Council Entry'!AC66,'Council Entry'!AC$9),'Council Entry'!AC$8),'Council Entry'!AC66)),IF(AND(ISNUMBER('Council Entry'!AC$8),ISNUMBER('Council Entry'!AC$9)),MAX(MIN('Council Entry'!AC66,'Council Entry'!AC$9),'Council Entry'!AC$8),'Council Entry'!AC66))))-'Council Entry'!AC$5)/('Council Entry'!AC$6-'Council Entry'!AC$5),10*((IF('Council Entry'!AC$4="Logarithm",LN(0.001+IF(AND(ISNUMBER('Council Entry'!AC$8),ISNUMBER('Council Entry'!AC$9)),MAX(MIN('Council Entry'!AC66,'Council Entry'!AC$9),'Council Entry'!AC$8),'Council Entry'!AC66)),IF('Council Entry'!AC$4="Exponential",EXP(IF(AND(ISNUMBER('Council Entry'!AC$8),ISNUMBER('Council Entry'!AC$9)),MAX(MIN('Council Entry'!AC66,'Council Entry'!AC$9),'Council Entry'!AC$8),'Council Entry'!AC66)),IF(AND(ISNUMBER('Council Entry'!AC$8),ISNUMBER('Council Entry'!AC$9)),MAX(MIN('Council Entry'!AC66,'Council Entry'!AC$9),'Council Entry'!AC$8),'Council Entry'!AC66))))-'Council Entry'!AC$5)/('Council Entry'!AC$6-'Council Entry'!AC$5)),1))),"No data"))</f>
        <v/>
      </c>
      <c r="AD66" s="13">
        <f>IF('Council Entry'!AD66="","",IFERROR(MAX(0,MIN(10,ROUND(IF('Council Entry'!AD$7="Decrease Risk",10-10*((IF('Council Entry'!AD$4="Logarithm",LN(0.001+IF(AND(ISNUMBER('Council Entry'!AD$8),ISNUMBER('Council Entry'!AD$9)),MAX(MIN('Council Entry'!AD66,'Council Entry'!AD$9),'Council Entry'!AD$8),'Council Entry'!AD66)),IF('Council Entry'!AD$4="Exponential",EXP(IF(AND(ISNUMBER('Council Entry'!AD$8),ISNUMBER('Council Entry'!AD$9)),MAX(MIN('Council Entry'!AD66,'Council Entry'!AD$9),'Council Entry'!AD$8),'Council Entry'!AD66)),IF(AND(ISNUMBER('Council Entry'!AD$8),ISNUMBER('Council Entry'!AD$9)),MAX(MIN('Council Entry'!AD66,'Council Entry'!AD$9),'Council Entry'!AD$8),'Council Entry'!AD66))))-'Council Entry'!AD$5)/('Council Entry'!AD$6-'Council Entry'!AD$5),10*((IF('Council Entry'!AD$4="Logarithm",LN(0.001+IF(AND(ISNUMBER('Council Entry'!AD$8),ISNUMBER('Council Entry'!AD$9)),MAX(MIN('Council Entry'!AD66,'Council Entry'!AD$9),'Council Entry'!AD$8),'Council Entry'!AD66)),IF('Council Entry'!AD$4="Exponential",EXP(IF(AND(ISNUMBER('Council Entry'!AD$8),ISNUMBER('Council Entry'!AD$9)),MAX(MIN('Council Entry'!AD66,'Council Entry'!AD$9),'Council Entry'!AD$8),'Council Entry'!AD66)),IF(AND(ISNUMBER('Council Entry'!AD$8),ISNUMBER('Council Entry'!AD$9)),MAX(MIN('Council Entry'!AD66,'Council Entry'!AD$9),'Council Entry'!AD$8),'Council Entry'!AD66))))-'Council Entry'!AD$5)/('Council Entry'!AD$6-'Council Entry'!AD$5)),1))),"No data"))</f>
        <v/>
      </c>
      <c r="AE66" s="13">
        <f>IF('Council Entry'!AE66="","",IFERROR(MAX(0,MIN(10,ROUND(IF('Council Entry'!AE$7="Decrease Risk",10-10*((IF('Council Entry'!AE$4="Logarithm",LN(0.001+IF(AND(ISNUMBER('Council Entry'!AE$8),ISNUMBER('Council Entry'!AE$9)),MAX(MIN('Council Entry'!AE66,'Council Entry'!AE$9),'Council Entry'!AE$8),'Council Entry'!AE66)),IF('Council Entry'!AE$4="Exponential",EXP(IF(AND(ISNUMBER('Council Entry'!AE$8),ISNUMBER('Council Entry'!AE$9)),MAX(MIN('Council Entry'!AE66,'Council Entry'!AE$9),'Council Entry'!AE$8),'Council Entry'!AE66)),IF(AND(ISNUMBER('Council Entry'!AE$8),ISNUMBER('Council Entry'!AE$9)),MAX(MIN('Council Entry'!AE66,'Council Entry'!AE$9),'Council Entry'!AE$8),'Council Entry'!AE66))))-'Council Entry'!AE$5)/('Council Entry'!AE$6-'Council Entry'!AE$5),10*((IF('Council Entry'!AE$4="Logarithm",LN(0.001+IF(AND(ISNUMBER('Council Entry'!AE$8),ISNUMBER('Council Entry'!AE$9)),MAX(MIN('Council Entry'!AE66,'Council Entry'!AE$9),'Council Entry'!AE$8),'Council Entry'!AE66)),IF('Council Entry'!AE$4="Exponential",EXP(IF(AND(ISNUMBER('Council Entry'!AE$8),ISNUMBER('Council Entry'!AE$9)),MAX(MIN('Council Entry'!AE66,'Council Entry'!AE$9),'Council Entry'!AE$8),'Council Entry'!AE66)),IF(AND(ISNUMBER('Council Entry'!AE$8),ISNUMBER('Council Entry'!AE$9)),MAX(MIN('Council Entry'!AE66,'Council Entry'!AE$9),'Council Entry'!AE$8),'Council Entry'!AE66))))-'Council Entry'!AE$5)/('Council Entry'!AE$6-'Council Entry'!AE$5)),1))),"No data"))</f>
        <v/>
      </c>
      <c r="AF66" s="13">
        <f>IF('Council Entry'!AF66="","",IFERROR(MAX(0,MIN(10,ROUND(IF('Council Entry'!AF$7="Decrease Risk",10-10*((IF('Council Entry'!AF$4="Logarithm",LN(0.001+IF(AND(ISNUMBER('Council Entry'!AF$8),ISNUMBER('Council Entry'!AF$9)),MAX(MIN('Council Entry'!AF66,'Council Entry'!AF$9),'Council Entry'!AF$8),'Council Entry'!AF66)),IF('Council Entry'!AF$4="Exponential",EXP(IF(AND(ISNUMBER('Council Entry'!AF$8),ISNUMBER('Council Entry'!AF$9)),MAX(MIN('Council Entry'!AF66,'Council Entry'!AF$9),'Council Entry'!AF$8),'Council Entry'!AF66)),IF(AND(ISNUMBER('Council Entry'!AF$8),ISNUMBER('Council Entry'!AF$9)),MAX(MIN('Council Entry'!AF66,'Council Entry'!AF$9),'Council Entry'!AF$8),'Council Entry'!AF66))))-'Council Entry'!AF$5)/('Council Entry'!AF$6-'Council Entry'!AF$5),10*((IF('Council Entry'!AF$4="Logarithm",LN(0.001+IF(AND(ISNUMBER('Council Entry'!AF$8),ISNUMBER('Council Entry'!AF$9)),MAX(MIN('Council Entry'!AF66,'Council Entry'!AF$9),'Council Entry'!AF$8),'Council Entry'!AF66)),IF('Council Entry'!AF$4="Exponential",EXP(IF(AND(ISNUMBER('Council Entry'!AF$8),ISNUMBER('Council Entry'!AF$9)),MAX(MIN('Council Entry'!AF66,'Council Entry'!AF$9),'Council Entry'!AF$8),'Council Entry'!AF66)),IF(AND(ISNUMBER('Council Entry'!AF$8),ISNUMBER('Council Entry'!AF$9)),MAX(MIN('Council Entry'!AF66,'Council Entry'!AF$9),'Council Entry'!AF$8),'Council Entry'!AF66))))-'Council Entry'!AF$5)/('Council Entry'!AF$6-'Council Entry'!AF$5)),1))),"No data"))</f>
        <v/>
      </c>
      <c r="AG66" s="13">
        <f>IF('Council Entry'!AG66="","",IFERROR(MAX(0,MIN(10,ROUND(IF('Council Entry'!AG$7="Decrease Risk",10-10*((IF('Council Entry'!AG$4="Logarithm",LN(0.001+IF(AND(ISNUMBER('Council Entry'!AG$8),ISNUMBER('Council Entry'!AG$9)),MAX(MIN('Council Entry'!AG66,'Council Entry'!AG$9),'Council Entry'!AG$8),'Council Entry'!AG66)),IF('Council Entry'!AG$4="Exponential",EXP(IF(AND(ISNUMBER('Council Entry'!AG$8),ISNUMBER('Council Entry'!AG$9)),MAX(MIN('Council Entry'!AG66,'Council Entry'!AG$9),'Council Entry'!AG$8),'Council Entry'!AG66)),IF(AND(ISNUMBER('Council Entry'!AG$8),ISNUMBER('Council Entry'!AG$9)),MAX(MIN('Council Entry'!AG66,'Council Entry'!AG$9),'Council Entry'!AG$8),'Council Entry'!AG66))))-'Council Entry'!AG$5)/('Council Entry'!AG$6-'Council Entry'!AG$5),10*((IF('Council Entry'!AG$4="Logarithm",LN(0.001+IF(AND(ISNUMBER('Council Entry'!AG$8),ISNUMBER('Council Entry'!AG$9)),MAX(MIN('Council Entry'!AG66,'Council Entry'!AG$9),'Council Entry'!AG$8),'Council Entry'!AG66)),IF('Council Entry'!AG$4="Exponential",EXP(IF(AND(ISNUMBER('Council Entry'!AG$8),ISNUMBER('Council Entry'!AG$9)),MAX(MIN('Council Entry'!AG66,'Council Entry'!AG$9),'Council Entry'!AG$8),'Council Entry'!AG66)),IF(AND(ISNUMBER('Council Entry'!AG$8),ISNUMBER('Council Entry'!AG$9)),MAX(MIN('Council Entry'!AG66,'Council Entry'!AG$9),'Council Entry'!AG$8),'Council Entry'!AG66))))-'Council Entry'!AG$5)/('Council Entry'!AG$6-'Council Entry'!AG$5)),1))),"No data"))</f>
        <v/>
      </c>
      <c r="AH66" s="13">
        <f>IF('Council Entry'!AH66="","",IFERROR(MAX(0,MIN(10,ROUND(IF('Council Entry'!AH$7="Decrease Risk",10-10*((IF('Council Entry'!AH$4="Logarithm",LN(0.001+IF(AND(ISNUMBER('Council Entry'!AH$8),ISNUMBER('Council Entry'!AH$9)),MAX(MIN('Council Entry'!AH66,'Council Entry'!AH$9),'Council Entry'!AH$8),'Council Entry'!AH66)),IF('Council Entry'!AH$4="Exponential",EXP(IF(AND(ISNUMBER('Council Entry'!AH$8),ISNUMBER('Council Entry'!AH$9)),MAX(MIN('Council Entry'!AH66,'Council Entry'!AH$9),'Council Entry'!AH$8),'Council Entry'!AH66)),IF(AND(ISNUMBER('Council Entry'!AH$8),ISNUMBER('Council Entry'!AH$9)),MAX(MIN('Council Entry'!AH66,'Council Entry'!AH$9),'Council Entry'!AH$8),'Council Entry'!AH66))))-'Council Entry'!AH$5)/('Council Entry'!AH$6-'Council Entry'!AH$5),10*((IF('Council Entry'!AH$4="Logarithm",LN(0.001+IF(AND(ISNUMBER('Council Entry'!AH$8),ISNUMBER('Council Entry'!AH$9)),MAX(MIN('Council Entry'!AH66,'Council Entry'!AH$9),'Council Entry'!AH$8),'Council Entry'!AH66)),IF('Council Entry'!AH$4="Exponential",EXP(IF(AND(ISNUMBER('Council Entry'!AH$8),ISNUMBER('Council Entry'!AH$9)),MAX(MIN('Council Entry'!AH66,'Council Entry'!AH$9),'Council Entry'!AH$8),'Council Entry'!AH66)),IF(AND(ISNUMBER('Council Entry'!AH$8),ISNUMBER('Council Entry'!AH$9)),MAX(MIN('Council Entry'!AH66,'Council Entry'!AH$9),'Council Entry'!AH$8),'Council Entry'!AH66))))-'Council Entry'!AH$5)/('Council Entry'!AH$6-'Council Entry'!AH$5)),1))),"No data"))</f>
        <v/>
      </c>
      <c r="AI66" s="13">
        <f>IF('Council Entry'!AI66="","",IFERROR(MAX(0,MIN(10,ROUND(IF('Council Entry'!AI$7="Decrease Risk",10-10*((IF('Council Entry'!AI$4="Logarithm",LN(0.001+IF(AND(ISNUMBER('Council Entry'!AI$8),ISNUMBER('Council Entry'!AI$9)),MAX(MIN('Council Entry'!AI66,'Council Entry'!AI$9),'Council Entry'!AI$8),'Council Entry'!AI66)),IF('Council Entry'!AI$4="Exponential",EXP(IF(AND(ISNUMBER('Council Entry'!AI$8),ISNUMBER('Council Entry'!AI$9)),MAX(MIN('Council Entry'!AI66,'Council Entry'!AI$9),'Council Entry'!AI$8),'Council Entry'!AI66)),IF(AND(ISNUMBER('Council Entry'!AI$8),ISNUMBER('Council Entry'!AI$9)),MAX(MIN('Council Entry'!AI66,'Council Entry'!AI$9),'Council Entry'!AI$8),'Council Entry'!AI66))))-'Council Entry'!AI$5)/('Council Entry'!AI$6-'Council Entry'!AI$5),10*((IF('Council Entry'!AI$4="Logarithm",LN(0.001+IF(AND(ISNUMBER('Council Entry'!AI$8),ISNUMBER('Council Entry'!AI$9)),MAX(MIN('Council Entry'!AI66,'Council Entry'!AI$9),'Council Entry'!AI$8),'Council Entry'!AI66)),IF('Council Entry'!AI$4="Exponential",EXP(IF(AND(ISNUMBER('Council Entry'!AI$8),ISNUMBER('Council Entry'!AI$9)),MAX(MIN('Council Entry'!AI66,'Council Entry'!AI$9),'Council Entry'!AI$8),'Council Entry'!AI66)),IF(AND(ISNUMBER('Council Entry'!AI$8),ISNUMBER('Council Entry'!AI$9)),MAX(MIN('Council Entry'!AI66,'Council Entry'!AI$9),'Council Entry'!AI$8),'Council Entry'!AI66))))-'Council Entry'!AI$5)/('Council Entry'!AI$6-'Council Entry'!AI$5)),1))),"No data"))</f>
        <v/>
      </c>
      <c r="AJ66" s="13">
        <f>IF('Council Entry'!AJ66="","",IFERROR(MAX(0,MIN(10,ROUND(IF('Council Entry'!AJ$7="Decrease Risk",10-10*((IF('Council Entry'!AJ$4="Logarithm",LN(0.001+IF(AND(ISNUMBER('Council Entry'!AJ$8),ISNUMBER('Council Entry'!AJ$9)),MAX(MIN('Council Entry'!AJ66,'Council Entry'!AJ$9),'Council Entry'!AJ$8),'Council Entry'!AJ66)),IF('Council Entry'!AJ$4="Exponential",EXP(IF(AND(ISNUMBER('Council Entry'!AJ$8),ISNUMBER('Council Entry'!AJ$9)),MAX(MIN('Council Entry'!AJ66,'Council Entry'!AJ$9),'Council Entry'!AJ$8),'Council Entry'!AJ66)),IF(AND(ISNUMBER('Council Entry'!AJ$8),ISNUMBER('Council Entry'!AJ$9)),MAX(MIN('Council Entry'!AJ66,'Council Entry'!AJ$9),'Council Entry'!AJ$8),'Council Entry'!AJ66))))-'Council Entry'!AJ$5)/('Council Entry'!AJ$6-'Council Entry'!AJ$5),10*((IF('Council Entry'!AJ$4="Logarithm",LN(0.001+IF(AND(ISNUMBER('Council Entry'!AJ$8),ISNUMBER('Council Entry'!AJ$9)),MAX(MIN('Council Entry'!AJ66,'Council Entry'!AJ$9),'Council Entry'!AJ$8),'Council Entry'!AJ66)),IF('Council Entry'!AJ$4="Exponential",EXP(IF(AND(ISNUMBER('Council Entry'!AJ$8),ISNUMBER('Council Entry'!AJ$9)),MAX(MIN('Council Entry'!AJ66,'Council Entry'!AJ$9),'Council Entry'!AJ$8),'Council Entry'!AJ66)),IF(AND(ISNUMBER('Council Entry'!AJ$8),ISNUMBER('Council Entry'!AJ$9)),MAX(MIN('Council Entry'!AJ66,'Council Entry'!AJ$9),'Council Entry'!AJ$8),'Council Entry'!AJ66))))-'Council Entry'!AJ$5)/('Council Entry'!AJ$6-'Council Entry'!AJ$5)),1))),"No data"))</f>
        <v/>
      </c>
      <c r="AK66" s="13">
        <f>IF('Council Entry'!AK66="","",IFERROR(MAX(0,MIN(10,ROUND(IF('Council Entry'!AK$7="Decrease Risk",10-10*((IF('Council Entry'!AK$4="Logarithm",LN(0.001+IF(AND(ISNUMBER('Council Entry'!AK$8),ISNUMBER('Council Entry'!AK$9)),MAX(MIN('Council Entry'!AK66,'Council Entry'!AK$9),'Council Entry'!AK$8),'Council Entry'!AK66)),IF('Council Entry'!AK$4="Exponential",EXP(IF(AND(ISNUMBER('Council Entry'!AK$8),ISNUMBER('Council Entry'!AK$9)),MAX(MIN('Council Entry'!AK66,'Council Entry'!AK$9),'Council Entry'!AK$8),'Council Entry'!AK66)),IF(AND(ISNUMBER('Council Entry'!AK$8),ISNUMBER('Council Entry'!AK$9)),MAX(MIN('Council Entry'!AK66,'Council Entry'!AK$9),'Council Entry'!AK$8),'Council Entry'!AK66))))-'Council Entry'!AK$5)/('Council Entry'!AK$6-'Council Entry'!AK$5),10*((IF('Council Entry'!AK$4="Logarithm",LN(0.001+IF(AND(ISNUMBER('Council Entry'!AK$8),ISNUMBER('Council Entry'!AK$9)),MAX(MIN('Council Entry'!AK66,'Council Entry'!AK$9),'Council Entry'!AK$8),'Council Entry'!AK66)),IF('Council Entry'!AK$4="Exponential",EXP(IF(AND(ISNUMBER('Council Entry'!AK$8),ISNUMBER('Council Entry'!AK$9)),MAX(MIN('Council Entry'!AK66,'Council Entry'!AK$9),'Council Entry'!AK$8),'Council Entry'!AK66)),IF(AND(ISNUMBER('Council Entry'!AK$8),ISNUMBER('Council Entry'!AK$9)),MAX(MIN('Council Entry'!AK66,'Council Entry'!AK$9),'Council Entry'!AK$8),'Council Entry'!AK66))))-'Council Entry'!AK$5)/('Council Entry'!AK$6-'Council Entry'!AK$5)),1))),"No data"))</f>
        <v/>
      </c>
      <c r="AL66" s="13">
        <f>IF('Council Entry'!AL66="","",IFERROR(MAX(0,MIN(10,ROUND(IF('Council Entry'!AL$7="Decrease Risk",10-10*((IF('Council Entry'!AL$4="Logarithm",LN(0.001+IF(AND(ISNUMBER('Council Entry'!AL$8),ISNUMBER('Council Entry'!AL$9)),MAX(MIN('Council Entry'!AL66,'Council Entry'!AL$9),'Council Entry'!AL$8),'Council Entry'!AL66)),IF('Council Entry'!AL$4="Exponential",EXP(IF(AND(ISNUMBER('Council Entry'!AL$8),ISNUMBER('Council Entry'!AL$9)),MAX(MIN('Council Entry'!AL66,'Council Entry'!AL$9),'Council Entry'!AL$8),'Council Entry'!AL66)),IF(AND(ISNUMBER('Council Entry'!AL$8),ISNUMBER('Council Entry'!AL$9)),MAX(MIN('Council Entry'!AL66,'Council Entry'!AL$9),'Council Entry'!AL$8),'Council Entry'!AL66))))-'Council Entry'!AL$5)/('Council Entry'!AL$6-'Council Entry'!AL$5),10*((IF('Council Entry'!AL$4="Logarithm",LN(0.001+IF(AND(ISNUMBER('Council Entry'!AL$8),ISNUMBER('Council Entry'!AL$9)),MAX(MIN('Council Entry'!AL66,'Council Entry'!AL$9),'Council Entry'!AL$8),'Council Entry'!AL66)),IF('Council Entry'!AL$4="Exponential",EXP(IF(AND(ISNUMBER('Council Entry'!AL$8),ISNUMBER('Council Entry'!AL$9)),MAX(MIN('Council Entry'!AL66,'Council Entry'!AL$9),'Council Entry'!AL$8),'Council Entry'!AL66)),IF(AND(ISNUMBER('Council Entry'!AL$8),ISNUMBER('Council Entry'!AL$9)),MAX(MIN('Council Entry'!AL66,'Council Entry'!AL$9),'Council Entry'!AL$8),'Council Entry'!AL66))))-'Council Entry'!AL$5)/('Council Entry'!AL$6-'Council Entry'!AL$5)),1))),"No data"))</f>
        <v/>
      </c>
      <c r="AM66" s="13">
        <f>IF('Council Entry'!AM66="","",IFERROR(MAX(0,MIN(10,ROUND(IF('Council Entry'!AM$7="Decrease Risk",10-10*((IF('Council Entry'!AM$4="Logarithm",LN(0.001+IF(AND(ISNUMBER('Council Entry'!AM$8),ISNUMBER('Council Entry'!AM$9)),MAX(MIN('Council Entry'!AM66,'Council Entry'!AM$9),'Council Entry'!AM$8),'Council Entry'!AM66)),IF('Council Entry'!AM$4="Exponential",EXP(IF(AND(ISNUMBER('Council Entry'!AM$8),ISNUMBER('Council Entry'!AM$9)),MAX(MIN('Council Entry'!AM66,'Council Entry'!AM$9),'Council Entry'!AM$8),'Council Entry'!AM66)),IF(AND(ISNUMBER('Council Entry'!AM$8),ISNUMBER('Council Entry'!AM$9)),MAX(MIN('Council Entry'!AM66,'Council Entry'!AM$9),'Council Entry'!AM$8),'Council Entry'!AM66))))-'Council Entry'!AM$5)/('Council Entry'!AM$6-'Council Entry'!AM$5),10*((IF('Council Entry'!AM$4="Logarithm",LN(0.001+IF(AND(ISNUMBER('Council Entry'!AM$8),ISNUMBER('Council Entry'!AM$9)),MAX(MIN('Council Entry'!AM66,'Council Entry'!AM$9),'Council Entry'!AM$8),'Council Entry'!AM66)),IF('Council Entry'!AM$4="Exponential",EXP(IF(AND(ISNUMBER('Council Entry'!AM$8),ISNUMBER('Council Entry'!AM$9)),MAX(MIN('Council Entry'!AM66,'Council Entry'!AM$9),'Council Entry'!AM$8),'Council Entry'!AM66)),IF(AND(ISNUMBER('Council Entry'!AM$8),ISNUMBER('Council Entry'!AM$9)),MAX(MIN('Council Entry'!AM66,'Council Entry'!AM$9),'Council Entry'!AM$8),'Council Entry'!AM66))))-'Council Entry'!AM$5)/('Council Entry'!AM$6-'Council Entry'!AM$5)),1))),"No data"))</f>
        <v/>
      </c>
      <c r="AN66" s="13">
        <f>IF('Council Entry'!AN66="","",IFERROR(MAX(0,MIN(10,ROUND(IF('Council Entry'!AN$7="Decrease Risk",10-10*((IF('Council Entry'!AN$4="Logarithm",LN(0.001+IF(AND(ISNUMBER('Council Entry'!AN$8),ISNUMBER('Council Entry'!AN$9)),MAX(MIN('Council Entry'!AN66,'Council Entry'!AN$9),'Council Entry'!AN$8),'Council Entry'!AN66)),IF('Council Entry'!AN$4="Exponential",EXP(IF(AND(ISNUMBER('Council Entry'!AN$8),ISNUMBER('Council Entry'!AN$9)),MAX(MIN('Council Entry'!AN66,'Council Entry'!AN$9),'Council Entry'!AN$8),'Council Entry'!AN66)),IF(AND(ISNUMBER('Council Entry'!AN$8),ISNUMBER('Council Entry'!AN$9)),MAX(MIN('Council Entry'!AN66,'Council Entry'!AN$9),'Council Entry'!AN$8),'Council Entry'!AN66))))-'Council Entry'!AN$5)/('Council Entry'!AN$6-'Council Entry'!AN$5),10*((IF('Council Entry'!AN$4="Logarithm",LN(0.001+IF(AND(ISNUMBER('Council Entry'!AN$8),ISNUMBER('Council Entry'!AN$9)),MAX(MIN('Council Entry'!AN66,'Council Entry'!AN$9),'Council Entry'!AN$8),'Council Entry'!AN66)),IF('Council Entry'!AN$4="Exponential",EXP(IF(AND(ISNUMBER('Council Entry'!AN$8),ISNUMBER('Council Entry'!AN$9)),MAX(MIN('Council Entry'!AN66,'Council Entry'!AN$9),'Council Entry'!AN$8),'Council Entry'!AN66)),IF(AND(ISNUMBER('Council Entry'!AN$8),ISNUMBER('Council Entry'!AN$9)),MAX(MIN('Council Entry'!AN66,'Council Entry'!AN$9),'Council Entry'!AN$8),'Council Entry'!AN66))))-'Council Entry'!AN$5)/('Council Entry'!AN$6-'Council Entry'!AN$5)),1))),"No data"))</f>
        <v/>
      </c>
      <c r="AO66" s="13">
        <f>IF('Council Entry'!AO66="","",IFERROR(MAX(0,MIN(10,ROUND(IF('Council Entry'!AO$7="Decrease Risk",10-10*((IF('Council Entry'!AO$4="Logarithm",LN(0.001+IF(AND(ISNUMBER('Council Entry'!AO$8),ISNUMBER('Council Entry'!AO$9)),MAX(MIN('Council Entry'!AO66,'Council Entry'!AO$9),'Council Entry'!AO$8),'Council Entry'!AO66)),IF('Council Entry'!AO$4="Exponential",EXP(IF(AND(ISNUMBER('Council Entry'!AO$8),ISNUMBER('Council Entry'!AO$9)),MAX(MIN('Council Entry'!AO66,'Council Entry'!AO$9),'Council Entry'!AO$8),'Council Entry'!AO66)),IF(AND(ISNUMBER('Council Entry'!AO$8),ISNUMBER('Council Entry'!AO$9)),MAX(MIN('Council Entry'!AO66,'Council Entry'!AO$9),'Council Entry'!AO$8),'Council Entry'!AO66))))-'Council Entry'!AO$5)/('Council Entry'!AO$6-'Council Entry'!AO$5),10*((IF('Council Entry'!AO$4="Logarithm",LN(0.001+IF(AND(ISNUMBER('Council Entry'!AO$8),ISNUMBER('Council Entry'!AO$9)),MAX(MIN('Council Entry'!AO66,'Council Entry'!AO$9),'Council Entry'!AO$8),'Council Entry'!AO66)),IF('Council Entry'!AO$4="Exponential",EXP(IF(AND(ISNUMBER('Council Entry'!AO$8),ISNUMBER('Council Entry'!AO$9)),MAX(MIN('Council Entry'!AO66,'Council Entry'!AO$9),'Council Entry'!AO$8),'Council Entry'!AO66)),IF(AND(ISNUMBER('Council Entry'!AO$8),ISNUMBER('Council Entry'!AO$9)),MAX(MIN('Council Entry'!AO66,'Council Entry'!AO$9),'Council Entry'!AO$8),'Council Entry'!AO66))))-'Council Entry'!AO$5)/('Council Entry'!AO$6-'Council Entry'!AO$5)),1))),"No data"))</f>
        <v/>
      </c>
      <c r="AP66" s="13">
        <f>IF('Council Entry'!AP66="","",IFERROR(MAX(0,MIN(10,ROUND(IF('Council Entry'!AP$7="Decrease Risk",10-10*((IF('Council Entry'!AP$4="Logarithm",LN(0.001+IF(AND(ISNUMBER('Council Entry'!AP$8),ISNUMBER('Council Entry'!AP$9)),MAX(MIN('Council Entry'!AP66,'Council Entry'!AP$9),'Council Entry'!AP$8),'Council Entry'!AP66)),IF('Council Entry'!AP$4="Exponential",EXP(IF(AND(ISNUMBER('Council Entry'!AP$8),ISNUMBER('Council Entry'!AP$9)),MAX(MIN('Council Entry'!AP66,'Council Entry'!AP$9),'Council Entry'!AP$8),'Council Entry'!AP66)),IF(AND(ISNUMBER('Council Entry'!AP$8),ISNUMBER('Council Entry'!AP$9)),MAX(MIN('Council Entry'!AP66,'Council Entry'!AP$9),'Council Entry'!AP$8),'Council Entry'!AP66))))-'Council Entry'!AP$5)/('Council Entry'!AP$6-'Council Entry'!AP$5),10*((IF('Council Entry'!AP$4="Logarithm",LN(0.001+IF(AND(ISNUMBER('Council Entry'!AP$8),ISNUMBER('Council Entry'!AP$9)),MAX(MIN('Council Entry'!AP66,'Council Entry'!AP$9),'Council Entry'!AP$8),'Council Entry'!AP66)),IF('Council Entry'!AP$4="Exponential",EXP(IF(AND(ISNUMBER('Council Entry'!AP$8),ISNUMBER('Council Entry'!AP$9)),MAX(MIN('Council Entry'!AP66,'Council Entry'!AP$9),'Council Entry'!AP$8),'Council Entry'!AP66)),IF(AND(ISNUMBER('Council Entry'!AP$8),ISNUMBER('Council Entry'!AP$9)),MAX(MIN('Council Entry'!AP66,'Council Entry'!AP$9),'Council Entry'!AP$8),'Council Entry'!AP66))))-'Council Entry'!AP$5)/('Council Entry'!AP$6-'Council Entry'!AP$5)),1))),"No data"))</f>
        <v/>
      </c>
      <c r="AQ66" s="13">
        <f>IF('Council Entry'!AQ66="","",IFERROR(MAX(0,MIN(10,ROUND(IF('Council Entry'!AQ$7="Decrease Risk",10-10*((IF('Council Entry'!AQ$4="Logarithm",LN(0.001+IF(AND(ISNUMBER('Council Entry'!AQ$8),ISNUMBER('Council Entry'!AQ$9)),MAX(MIN('Council Entry'!AQ66,'Council Entry'!AQ$9),'Council Entry'!AQ$8),'Council Entry'!AQ66)),IF('Council Entry'!AQ$4="Exponential",EXP(IF(AND(ISNUMBER('Council Entry'!AQ$8),ISNUMBER('Council Entry'!AQ$9)),MAX(MIN('Council Entry'!AQ66,'Council Entry'!AQ$9),'Council Entry'!AQ$8),'Council Entry'!AQ66)),IF(AND(ISNUMBER('Council Entry'!AQ$8),ISNUMBER('Council Entry'!AQ$9)),MAX(MIN('Council Entry'!AQ66,'Council Entry'!AQ$9),'Council Entry'!AQ$8),'Council Entry'!AQ66))))-'Council Entry'!AQ$5)/('Council Entry'!AQ$6-'Council Entry'!AQ$5),10*((IF('Council Entry'!AQ$4="Logarithm",LN(0.001+IF(AND(ISNUMBER('Council Entry'!AQ$8),ISNUMBER('Council Entry'!AQ$9)),MAX(MIN('Council Entry'!AQ66,'Council Entry'!AQ$9),'Council Entry'!AQ$8),'Council Entry'!AQ66)),IF('Council Entry'!AQ$4="Exponential",EXP(IF(AND(ISNUMBER('Council Entry'!AQ$8),ISNUMBER('Council Entry'!AQ$9)),MAX(MIN('Council Entry'!AQ66,'Council Entry'!AQ$9),'Council Entry'!AQ$8),'Council Entry'!AQ66)),IF(AND(ISNUMBER('Council Entry'!AQ$8),ISNUMBER('Council Entry'!AQ$9)),MAX(MIN('Council Entry'!AQ66,'Council Entry'!AQ$9),'Council Entry'!AQ$8),'Council Entry'!AQ66))))-'Council Entry'!AQ$5)/('Council Entry'!AQ$6-'Council Entry'!AQ$5)),1))),"No data"))</f>
        <v/>
      </c>
      <c r="AR66" s="13">
        <f>IF('Council Entry'!AR66="","",IFERROR(MAX(0,MIN(10,ROUND(IF('Council Entry'!AR$7="Decrease Risk",10-10*((IF('Council Entry'!AR$4="Logarithm",LN(0.001+IF(AND(ISNUMBER('Council Entry'!AR$8),ISNUMBER('Council Entry'!AR$9)),MAX(MIN('Council Entry'!AR66,'Council Entry'!AR$9),'Council Entry'!AR$8),'Council Entry'!AR66)),IF('Council Entry'!AR$4="Exponential",EXP(IF(AND(ISNUMBER('Council Entry'!AR$8),ISNUMBER('Council Entry'!AR$9)),MAX(MIN('Council Entry'!AR66,'Council Entry'!AR$9),'Council Entry'!AR$8),'Council Entry'!AR66)),IF(AND(ISNUMBER('Council Entry'!AR$8),ISNUMBER('Council Entry'!AR$9)),MAX(MIN('Council Entry'!AR66,'Council Entry'!AR$9),'Council Entry'!AR$8),'Council Entry'!AR66))))-'Council Entry'!AR$5)/('Council Entry'!AR$6-'Council Entry'!AR$5),10*((IF('Council Entry'!AR$4="Logarithm",LN(0.001+IF(AND(ISNUMBER('Council Entry'!AR$8),ISNUMBER('Council Entry'!AR$9)),MAX(MIN('Council Entry'!AR66,'Council Entry'!AR$9),'Council Entry'!AR$8),'Council Entry'!AR66)),IF('Council Entry'!AR$4="Exponential",EXP(IF(AND(ISNUMBER('Council Entry'!AR$8),ISNUMBER('Council Entry'!AR$9)),MAX(MIN('Council Entry'!AR66,'Council Entry'!AR$9),'Council Entry'!AR$8),'Council Entry'!AR66)),IF(AND(ISNUMBER('Council Entry'!AR$8),ISNUMBER('Council Entry'!AR$9)),MAX(MIN('Council Entry'!AR66,'Council Entry'!AR$9),'Council Entry'!AR$8),'Council Entry'!AR66))))-'Council Entry'!AR$5)/('Council Entry'!AR$6-'Council Entry'!AR$5)),1))),"No data"))</f>
        <v/>
      </c>
      <c r="AS66" s="13">
        <f>IF('Council Entry'!AS66="","",IFERROR(MAX(0,MIN(10,ROUND(IF('Council Entry'!AS$7="Decrease Risk",10-10*((IF('Council Entry'!AS$4="Logarithm",LN(0.001+IF(AND(ISNUMBER('Council Entry'!AS$8),ISNUMBER('Council Entry'!AS$9)),MAX(MIN('Council Entry'!AS66,'Council Entry'!AS$9),'Council Entry'!AS$8),'Council Entry'!AS66)),IF('Council Entry'!AS$4="Exponential",EXP(IF(AND(ISNUMBER('Council Entry'!AS$8),ISNUMBER('Council Entry'!AS$9)),MAX(MIN('Council Entry'!AS66,'Council Entry'!AS$9),'Council Entry'!AS$8),'Council Entry'!AS66)),IF(AND(ISNUMBER('Council Entry'!AS$8),ISNUMBER('Council Entry'!AS$9)),MAX(MIN('Council Entry'!AS66,'Council Entry'!AS$9),'Council Entry'!AS$8),'Council Entry'!AS66))))-'Council Entry'!AS$5)/('Council Entry'!AS$6-'Council Entry'!AS$5),10*((IF('Council Entry'!AS$4="Logarithm",LN(0.001+IF(AND(ISNUMBER('Council Entry'!AS$8),ISNUMBER('Council Entry'!AS$9)),MAX(MIN('Council Entry'!AS66,'Council Entry'!AS$9),'Council Entry'!AS$8),'Council Entry'!AS66)),IF('Council Entry'!AS$4="Exponential",EXP(IF(AND(ISNUMBER('Council Entry'!AS$8),ISNUMBER('Council Entry'!AS$9)),MAX(MIN('Council Entry'!AS66,'Council Entry'!AS$9),'Council Entry'!AS$8),'Council Entry'!AS66)),IF(AND(ISNUMBER('Council Entry'!AS$8),ISNUMBER('Council Entry'!AS$9)),MAX(MIN('Council Entry'!AS66,'Council Entry'!AS$9),'Council Entry'!AS$8),'Council Entry'!AS66))))-'Council Entry'!AS$5)/('Council Entry'!AS$6-'Council Entry'!AS$5)),1))),"No data"))</f>
        <v/>
      </c>
      <c r="AT66" s="13">
        <f>IF('Council Entry'!AT66="","",IFERROR(MAX(0,MIN(10,ROUND(IF('Council Entry'!AT$7="Decrease Risk",10-10*((IF('Council Entry'!AT$4="Logarithm",LN(0.001+IF(AND(ISNUMBER('Council Entry'!AT$8),ISNUMBER('Council Entry'!AT$9)),MAX(MIN('Council Entry'!AT66,'Council Entry'!AT$9),'Council Entry'!AT$8),'Council Entry'!AT66)),IF('Council Entry'!AT$4="Exponential",EXP(IF(AND(ISNUMBER('Council Entry'!AT$8),ISNUMBER('Council Entry'!AT$9)),MAX(MIN('Council Entry'!AT66,'Council Entry'!AT$9),'Council Entry'!AT$8),'Council Entry'!AT66)),IF(AND(ISNUMBER('Council Entry'!AT$8),ISNUMBER('Council Entry'!AT$9)),MAX(MIN('Council Entry'!AT66,'Council Entry'!AT$9),'Council Entry'!AT$8),'Council Entry'!AT66))))-'Council Entry'!AT$5)/('Council Entry'!AT$6-'Council Entry'!AT$5),10*((IF('Council Entry'!AT$4="Logarithm",LN(0.001+IF(AND(ISNUMBER('Council Entry'!AT$8),ISNUMBER('Council Entry'!AT$9)),MAX(MIN('Council Entry'!AT66,'Council Entry'!AT$9),'Council Entry'!AT$8),'Council Entry'!AT66)),IF('Council Entry'!AT$4="Exponential",EXP(IF(AND(ISNUMBER('Council Entry'!AT$8),ISNUMBER('Council Entry'!AT$9)),MAX(MIN('Council Entry'!AT66,'Council Entry'!AT$9),'Council Entry'!AT$8),'Council Entry'!AT66)),IF(AND(ISNUMBER('Council Entry'!AT$8),ISNUMBER('Council Entry'!AT$9)),MAX(MIN('Council Entry'!AT66,'Council Entry'!AT$9),'Council Entry'!AT$8),'Council Entry'!AT66))))-'Council Entry'!AT$5)/('Council Entry'!AT$6-'Council Entry'!AT$5)),1))),"No data"))</f>
        <v/>
      </c>
      <c r="AU66" s="13">
        <f>IF('Council Entry'!AU66="","",IFERROR(MAX(0,MIN(10,ROUND(IF('Council Entry'!AU$7="Decrease Risk",10-10*((IF('Council Entry'!AU$4="Logarithm",LN(0.001+IF(AND(ISNUMBER('Council Entry'!AU$8),ISNUMBER('Council Entry'!AU$9)),MAX(MIN('Council Entry'!AU66,'Council Entry'!AU$9),'Council Entry'!AU$8),'Council Entry'!AU66)),IF('Council Entry'!AU$4="Exponential",EXP(IF(AND(ISNUMBER('Council Entry'!AU$8),ISNUMBER('Council Entry'!AU$9)),MAX(MIN('Council Entry'!AU66,'Council Entry'!AU$9),'Council Entry'!AU$8),'Council Entry'!AU66)),IF(AND(ISNUMBER('Council Entry'!AU$8),ISNUMBER('Council Entry'!AU$9)),MAX(MIN('Council Entry'!AU66,'Council Entry'!AU$9),'Council Entry'!AU$8),'Council Entry'!AU66))))-'Council Entry'!AU$5)/('Council Entry'!AU$6-'Council Entry'!AU$5),10*((IF('Council Entry'!AU$4="Logarithm",LN(0.001+IF(AND(ISNUMBER('Council Entry'!AU$8),ISNUMBER('Council Entry'!AU$9)),MAX(MIN('Council Entry'!AU66,'Council Entry'!AU$9),'Council Entry'!AU$8),'Council Entry'!AU66)),IF('Council Entry'!AU$4="Exponential",EXP(IF(AND(ISNUMBER('Council Entry'!AU$8),ISNUMBER('Council Entry'!AU$9)),MAX(MIN('Council Entry'!AU66,'Council Entry'!AU$9),'Council Entry'!AU$8),'Council Entry'!AU66)),IF(AND(ISNUMBER('Council Entry'!AU$8),ISNUMBER('Council Entry'!AU$9)),MAX(MIN('Council Entry'!AU66,'Council Entry'!AU$9),'Council Entry'!AU$8),'Council Entry'!AU66))))-'Council Entry'!AU$5)/('Council Entry'!AU$6-'Council Entry'!AU$5)),1))),"No data"))</f>
        <v/>
      </c>
      <c r="AV66" s="13">
        <f>IF('Council Entry'!AV66="","",IFERROR(MAX(0,MIN(10,ROUND(IF('Council Entry'!AV$7="Decrease Risk",10-10*((IF('Council Entry'!AV$4="Logarithm",LN(0.001+IF(AND(ISNUMBER('Council Entry'!AV$8),ISNUMBER('Council Entry'!AV$9)),MAX(MIN('Council Entry'!AV66,'Council Entry'!AV$9),'Council Entry'!AV$8),'Council Entry'!AV66)),IF('Council Entry'!AV$4="Exponential",EXP(IF(AND(ISNUMBER('Council Entry'!AV$8),ISNUMBER('Council Entry'!AV$9)),MAX(MIN('Council Entry'!AV66,'Council Entry'!AV$9),'Council Entry'!AV$8),'Council Entry'!AV66)),IF(AND(ISNUMBER('Council Entry'!AV$8),ISNUMBER('Council Entry'!AV$9)),MAX(MIN('Council Entry'!AV66,'Council Entry'!AV$9),'Council Entry'!AV$8),'Council Entry'!AV66))))-'Council Entry'!AV$5)/('Council Entry'!AV$6-'Council Entry'!AV$5),10*((IF('Council Entry'!AV$4="Logarithm",LN(0.001+IF(AND(ISNUMBER('Council Entry'!AV$8),ISNUMBER('Council Entry'!AV$9)),MAX(MIN('Council Entry'!AV66,'Council Entry'!AV$9),'Council Entry'!AV$8),'Council Entry'!AV66)),IF('Council Entry'!AV$4="Exponential",EXP(IF(AND(ISNUMBER('Council Entry'!AV$8),ISNUMBER('Council Entry'!AV$9)),MAX(MIN('Council Entry'!AV66,'Council Entry'!AV$9),'Council Entry'!AV$8),'Council Entry'!AV66)),IF(AND(ISNUMBER('Council Entry'!AV$8),ISNUMBER('Council Entry'!AV$9)),MAX(MIN('Council Entry'!AV66,'Council Entry'!AV$9),'Council Entry'!AV$8),'Council Entry'!AV66))))-'Council Entry'!AV$5)/('Council Entry'!AV$6-'Council Entry'!AV$5)),1))),"No data"))</f>
        <v/>
      </c>
      <c r="AW66" s="13">
        <f>IF('Council Entry'!AW66="","",IFERROR(MAX(0,MIN(10,ROUND(IF('Council Entry'!AW$7="Decrease Risk",10-10*((IF('Council Entry'!AW$4="Logarithm",LN(0.001+IF(AND(ISNUMBER('Council Entry'!AW$8),ISNUMBER('Council Entry'!AW$9)),MAX(MIN('Council Entry'!AW66,'Council Entry'!AW$9),'Council Entry'!AW$8),'Council Entry'!AW66)),IF('Council Entry'!AW$4="Exponential",EXP(IF(AND(ISNUMBER('Council Entry'!AW$8),ISNUMBER('Council Entry'!AW$9)),MAX(MIN('Council Entry'!AW66,'Council Entry'!AW$9),'Council Entry'!AW$8),'Council Entry'!AW66)),IF(AND(ISNUMBER('Council Entry'!AW$8),ISNUMBER('Council Entry'!AW$9)),MAX(MIN('Council Entry'!AW66,'Council Entry'!AW$9),'Council Entry'!AW$8),'Council Entry'!AW66))))-'Council Entry'!AW$5)/('Council Entry'!AW$6-'Council Entry'!AW$5),10*((IF('Council Entry'!AW$4="Logarithm",LN(0.001+IF(AND(ISNUMBER('Council Entry'!AW$8),ISNUMBER('Council Entry'!AW$9)),MAX(MIN('Council Entry'!AW66,'Council Entry'!AW$9),'Council Entry'!AW$8),'Council Entry'!AW66)),IF('Council Entry'!AW$4="Exponential",EXP(IF(AND(ISNUMBER('Council Entry'!AW$8),ISNUMBER('Council Entry'!AW$9)),MAX(MIN('Council Entry'!AW66,'Council Entry'!AW$9),'Council Entry'!AW$8),'Council Entry'!AW66)),IF(AND(ISNUMBER('Council Entry'!AW$8),ISNUMBER('Council Entry'!AW$9)),MAX(MIN('Council Entry'!AW66,'Council Entry'!AW$9),'Council Entry'!AW$8),'Council Entry'!AW66))))-'Council Entry'!AW$5)/('Council Entry'!AW$6-'Council Entry'!AW$5)),1))),"No data"))</f>
        <v/>
      </c>
      <c r="AX66" s="13">
        <f>IF('Council Entry'!AX66="","",IFERROR(MAX(0,MIN(10,ROUND(IF('Council Entry'!AX$7="Decrease Risk",10-10*((IF('Council Entry'!AX$4="Logarithm",LN(0.001+IF(AND(ISNUMBER('Council Entry'!AX$8),ISNUMBER('Council Entry'!AX$9)),MAX(MIN('Council Entry'!AX66,'Council Entry'!AX$9),'Council Entry'!AX$8),'Council Entry'!AX66)),IF('Council Entry'!AX$4="Exponential",EXP(IF(AND(ISNUMBER('Council Entry'!AX$8),ISNUMBER('Council Entry'!AX$9)),MAX(MIN('Council Entry'!AX66,'Council Entry'!AX$9),'Council Entry'!AX$8),'Council Entry'!AX66)),IF(AND(ISNUMBER('Council Entry'!AX$8),ISNUMBER('Council Entry'!AX$9)),MAX(MIN('Council Entry'!AX66,'Council Entry'!AX$9),'Council Entry'!AX$8),'Council Entry'!AX66))))-'Council Entry'!AX$5)/('Council Entry'!AX$6-'Council Entry'!AX$5),10*((IF('Council Entry'!AX$4="Logarithm",LN(0.001+IF(AND(ISNUMBER('Council Entry'!AX$8),ISNUMBER('Council Entry'!AX$9)),MAX(MIN('Council Entry'!AX66,'Council Entry'!AX$9),'Council Entry'!AX$8),'Council Entry'!AX66)),IF('Council Entry'!AX$4="Exponential",EXP(IF(AND(ISNUMBER('Council Entry'!AX$8),ISNUMBER('Council Entry'!AX$9)),MAX(MIN('Council Entry'!AX66,'Council Entry'!AX$9),'Council Entry'!AX$8),'Council Entry'!AX66)),IF(AND(ISNUMBER('Council Entry'!AX$8),ISNUMBER('Council Entry'!AX$9)),MAX(MIN('Council Entry'!AX66,'Council Entry'!AX$9),'Council Entry'!AX$8),'Council Entry'!AX66))))-'Council Entry'!AX$5)/('Council Entry'!AX$6-'Council Entry'!AX$5)),1))),"No data"))</f>
        <v/>
      </c>
      <c r="AY66" s="13">
        <f>IF('Council Entry'!AY66="","",IFERROR(MAX(0,MIN(10,ROUND(IF('Council Entry'!AY$7="Decrease Risk",10-10*((IF('Council Entry'!AY$4="Logarithm",LN(0.001+IF(AND(ISNUMBER('Council Entry'!AY$8),ISNUMBER('Council Entry'!AY$9)),MAX(MIN('Council Entry'!AY66,'Council Entry'!AY$9),'Council Entry'!AY$8),'Council Entry'!AY66)),IF('Council Entry'!AY$4="Exponential",EXP(IF(AND(ISNUMBER('Council Entry'!AY$8),ISNUMBER('Council Entry'!AY$9)),MAX(MIN('Council Entry'!AY66,'Council Entry'!AY$9),'Council Entry'!AY$8),'Council Entry'!AY66)),IF(AND(ISNUMBER('Council Entry'!AY$8),ISNUMBER('Council Entry'!AY$9)),MAX(MIN('Council Entry'!AY66,'Council Entry'!AY$9),'Council Entry'!AY$8),'Council Entry'!AY66))))-'Council Entry'!AY$5)/('Council Entry'!AY$6-'Council Entry'!AY$5),10*((IF('Council Entry'!AY$4="Logarithm",LN(0.001+IF(AND(ISNUMBER('Council Entry'!AY$8),ISNUMBER('Council Entry'!AY$9)),MAX(MIN('Council Entry'!AY66,'Council Entry'!AY$9),'Council Entry'!AY$8),'Council Entry'!AY66)),IF('Council Entry'!AY$4="Exponential",EXP(IF(AND(ISNUMBER('Council Entry'!AY$8),ISNUMBER('Council Entry'!AY$9)),MAX(MIN('Council Entry'!AY66,'Council Entry'!AY$9),'Council Entry'!AY$8),'Council Entry'!AY66)),IF(AND(ISNUMBER('Council Entry'!AY$8),ISNUMBER('Council Entry'!AY$9)),MAX(MIN('Council Entry'!AY66,'Council Entry'!AY$9),'Council Entry'!AY$8),'Council Entry'!AY66))))-'Council Entry'!AY$5)/('Council Entry'!AY$6-'Council Entry'!AY$5)),1))),"No data"))</f>
        <v/>
      </c>
      <c r="AZ66" s="13">
        <f>IF('Council Entry'!AZ66="","",IFERROR(MAX(0,MIN(10,ROUND(IF('Council Entry'!AZ$7="Decrease Risk",10-10*((IF('Council Entry'!AZ$4="Logarithm",LN(0.001+IF(AND(ISNUMBER('Council Entry'!AZ$8),ISNUMBER('Council Entry'!AZ$9)),MAX(MIN('Council Entry'!AZ66,'Council Entry'!AZ$9),'Council Entry'!AZ$8),'Council Entry'!AZ66)),IF('Council Entry'!AZ$4="Exponential",EXP(IF(AND(ISNUMBER('Council Entry'!AZ$8),ISNUMBER('Council Entry'!AZ$9)),MAX(MIN('Council Entry'!AZ66,'Council Entry'!AZ$9),'Council Entry'!AZ$8),'Council Entry'!AZ66)),IF(AND(ISNUMBER('Council Entry'!AZ$8),ISNUMBER('Council Entry'!AZ$9)),MAX(MIN('Council Entry'!AZ66,'Council Entry'!AZ$9),'Council Entry'!AZ$8),'Council Entry'!AZ66))))-'Council Entry'!AZ$5)/('Council Entry'!AZ$6-'Council Entry'!AZ$5),10*((IF('Council Entry'!AZ$4="Logarithm",LN(0.001+IF(AND(ISNUMBER('Council Entry'!AZ$8),ISNUMBER('Council Entry'!AZ$9)),MAX(MIN('Council Entry'!AZ66,'Council Entry'!AZ$9),'Council Entry'!AZ$8),'Council Entry'!AZ66)),IF('Council Entry'!AZ$4="Exponential",EXP(IF(AND(ISNUMBER('Council Entry'!AZ$8),ISNUMBER('Council Entry'!AZ$9)),MAX(MIN('Council Entry'!AZ66,'Council Entry'!AZ$9),'Council Entry'!AZ$8),'Council Entry'!AZ66)),IF(AND(ISNUMBER('Council Entry'!AZ$8),ISNUMBER('Council Entry'!AZ$9)),MAX(MIN('Council Entry'!AZ66,'Council Entry'!AZ$9),'Council Entry'!AZ$8),'Council Entry'!AZ66))))-'Council Entry'!AZ$5)/('Council Entry'!AZ$6-'Council Entry'!AZ$5)),1))),"No data"))</f>
        <v/>
      </c>
      <c r="BA66" s="13">
        <f>IF('Council Entry'!BA66="","",IFERROR(MAX(0,MIN(10,ROUND(IF('Council Entry'!BA$7="Decrease Risk",10-10*((IF('Council Entry'!BA$4="Logarithm",LN(0.001+IF(AND(ISNUMBER('Council Entry'!BA$8),ISNUMBER('Council Entry'!BA$9)),MAX(MIN('Council Entry'!BA66,'Council Entry'!BA$9),'Council Entry'!BA$8),'Council Entry'!BA66)),IF('Council Entry'!BA$4="Exponential",EXP(IF(AND(ISNUMBER('Council Entry'!BA$8),ISNUMBER('Council Entry'!BA$9)),MAX(MIN('Council Entry'!BA66,'Council Entry'!BA$9),'Council Entry'!BA$8),'Council Entry'!BA66)),IF(AND(ISNUMBER('Council Entry'!BA$8),ISNUMBER('Council Entry'!BA$9)),MAX(MIN('Council Entry'!BA66,'Council Entry'!BA$9),'Council Entry'!BA$8),'Council Entry'!BA66))))-'Council Entry'!BA$5)/('Council Entry'!BA$6-'Council Entry'!BA$5),10*((IF('Council Entry'!BA$4="Logarithm",LN(0.001+IF(AND(ISNUMBER('Council Entry'!BA$8),ISNUMBER('Council Entry'!BA$9)),MAX(MIN('Council Entry'!BA66,'Council Entry'!BA$9),'Council Entry'!BA$8),'Council Entry'!BA66)),IF('Council Entry'!BA$4="Exponential",EXP(IF(AND(ISNUMBER('Council Entry'!BA$8),ISNUMBER('Council Entry'!BA$9)),MAX(MIN('Council Entry'!BA66,'Council Entry'!BA$9),'Council Entry'!BA$8),'Council Entry'!BA66)),IF(AND(ISNUMBER('Council Entry'!BA$8),ISNUMBER('Council Entry'!BA$9)),MAX(MIN('Council Entry'!BA66,'Council Entry'!BA$9),'Council Entry'!BA$8),'Council Entry'!BA66))))-'Council Entry'!BA$5)/('Council Entry'!BA$6-'Council Entry'!BA$5)),1))),"No data"))</f>
        <v/>
      </c>
      <c r="BB66" s="13">
        <f>IF('Council Entry'!BB66="","",IFERROR(MAX(0,MIN(10,ROUND(IF('Council Entry'!BB$7="Decrease Risk",10-10*((IF('Council Entry'!BB$4="Logarithm",LN(0.001+IF(AND(ISNUMBER('Council Entry'!BB$8),ISNUMBER('Council Entry'!BB$9)),MAX(MIN('Council Entry'!BB66,'Council Entry'!BB$9),'Council Entry'!BB$8),'Council Entry'!BB66)),IF('Council Entry'!BB$4="Exponential",EXP(IF(AND(ISNUMBER('Council Entry'!BB$8),ISNUMBER('Council Entry'!BB$9)),MAX(MIN('Council Entry'!BB66,'Council Entry'!BB$9),'Council Entry'!BB$8),'Council Entry'!BB66)),IF(AND(ISNUMBER('Council Entry'!BB$8),ISNUMBER('Council Entry'!BB$9)),MAX(MIN('Council Entry'!BB66,'Council Entry'!BB$9),'Council Entry'!BB$8),'Council Entry'!BB66))))-'Council Entry'!BB$5)/('Council Entry'!BB$6-'Council Entry'!BB$5),10*((IF('Council Entry'!BB$4="Logarithm",LN(0.001+IF(AND(ISNUMBER('Council Entry'!BB$8),ISNUMBER('Council Entry'!BB$9)),MAX(MIN('Council Entry'!BB66,'Council Entry'!BB$9),'Council Entry'!BB$8),'Council Entry'!BB66)),IF('Council Entry'!BB$4="Exponential",EXP(IF(AND(ISNUMBER('Council Entry'!BB$8),ISNUMBER('Council Entry'!BB$9)),MAX(MIN('Council Entry'!BB66,'Council Entry'!BB$9),'Council Entry'!BB$8),'Council Entry'!BB66)),IF(AND(ISNUMBER('Council Entry'!BB$8),ISNUMBER('Council Entry'!BB$9)),MAX(MIN('Council Entry'!BB66,'Council Entry'!BB$9),'Council Entry'!BB$8),'Council Entry'!BB66))))-'Council Entry'!BB$5)/('Council Entry'!BB$6-'Council Entry'!BB$5)),1))),"No data"))</f>
        <v/>
      </c>
      <c r="BC66" s="13">
        <f>IF('Council Entry'!BC66="","",IFERROR(MAX(0,MIN(10,ROUND(IF('Council Entry'!BC$7="Decrease Risk",10-10*((IF('Council Entry'!BC$4="Logarithm",LN(0.001+IF(AND(ISNUMBER('Council Entry'!BC$8),ISNUMBER('Council Entry'!BC$9)),MAX(MIN('Council Entry'!BC66,'Council Entry'!BC$9),'Council Entry'!BC$8),'Council Entry'!BC66)),IF('Council Entry'!BC$4="Exponential",EXP(IF(AND(ISNUMBER('Council Entry'!BC$8),ISNUMBER('Council Entry'!BC$9)),MAX(MIN('Council Entry'!BC66,'Council Entry'!BC$9),'Council Entry'!BC$8),'Council Entry'!BC66)),IF(AND(ISNUMBER('Council Entry'!BC$8),ISNUMBER('Council Entry'!BC$9)),MAX(MIN('Council Entry'!BC66,'Council Entry'!BC$9),'Council Entry'!BC$8),'Council Entry'!BC66))))-'Council Entry'!BC$5)/('Council Entry'!BC$6-'Council Entry'!BC$5),10*((IF('Council Entry'!BC$4="Logarithm",LN(0.001+IF(AND(ISNUMBER('Council Entry'!BC$8),ISNUMBER('Council Entry'!BC$9)),MAX(MIN('Council Entry'!BC66,'Council Entry'!BC$9),'Council Entry'!BC$8),'Council Entry'!BC66)),IF('Council Entry'!BC$4="Exponential",EXP(IF(AND(ISNUMBER('Council Entry'!BC$8),ISNUMBER('Council Entry'!BC$9)),MAX(MIN('Council Entry'!BC66,'Council Entry'!BC$9),'Council Entry'!BC$8),'Council Entry'!BC66)),IF(AND(ISNUMBER('Council Entry'!BC$8),ISNUMBER('Council Entry'!BC$9)),MAX(MIN('Council Entry'!BC66,'Council Entry'!BC$9),'Council Entry'!BC$8),'Council Entry'!BC66))))-'Council Entry'!BC$5)/('Council Entry'!BC$6-'Council Entry'!BC$5)),1))),"No data"))</f>
        <v/>
      </c>
      <c r="BD66" s="13">
        <f>IF('Council Entry'!BD66="","",IFERROR(MAX(0,MIN(10,ROUND(IF('Council Entry'!BD$7="Decrease Risk",10-10*((IF('Council Entry'!BD$4="Logarithm",LN(0.001+IF(AND(ISNUMBER('Council Entry'!BD$8),ISNUMBER('Council Entry'!BD$9)),MAX(MIN('Council Entry'!BD66,'Council Entry'!BD$9),'Council Entry'!BD$8),'Council Entry'!BD66)),IF('Council Entry'!BD$4="Exponential",EXP(IF(AND(ISNUMBER('Council Entry'!BD$8),ISNUMBER('Council Entry'!BD$9)),MAX(MIN('Council Entry'!BD66,'Council Entry'!BD$9),'Council Entry'!BD$8),'Council Entry'!BD66)),IF(AND(ISNUMBER('Council Entry'!BD$8),ISNUMBER('Council Entry'!BD$9)),MAX(MIN('Council Entry'!BD66,'Council Entry'!BD$9),'Council Entry'!BD$8),'Council Entry'!BD66))))-'Council Entry'!BD$5)/('Council Entry'!BD$6-'Council Entry'!BD$5),10*((IF('Council Entry'!BD$4="Logarithm",LN(0.001+IF(AND(ISNUMBER('Council Entry'!BD$8),ISNUMBER('Council Entry'!BD$9)),MAX(MIN('Council Entry'!BD66,'Council Entry'!BD$9),'Council Entry'!BD$8),'Council Entry'!BD66)),IF('Council Entry'!BD$4="Exponential",EXP(IF(AND(ISNUMBER('Council Entry'!BD$8),ISNUMBER('Council Entry'!BD$9)),MAX(MIN('Council Entry'!BD66,'Council Entry'!BD$9),'Council Entry'!BD$8),'Council Entry'!BD66)),IF(AND(ISNUMBER('Council Entry'!BD$8),ISNUMBER('Council Entry'!BD$9)),MAX(MIN('Council Entry'!BD66,'Council Entry'!BD$9),'Council Entry'!BD$8),'Council Entry'!BD66))))-'Council Entry'!BD$5)/('Council Entry'!BD$6-'Council Entry'!BD$5)),1))),"No data"))</f>
        <v/>
      </c>
    </row>
    <row r="67">
      <c r="A67" t="inlineStr">
        <is>
          <t>Kilimanjaro</t>
        </is>
      </c>
      <c r="B67" t="inlineStr">
        <is>
          <t>Hai District</t>
        </is>
      </c>
      <c r="C67" t="inlineStr">
        <is>
          <t>C021</t>
        </is>
      </c>
      <c r="D67" s="13">
        <f>IF('Council Entry'!D67="","",IFERROR(MAX(0,MIN(10,ROUND(IF('Council Entry'!D$7="Decrease Risk",10-10*((IF('Council Entry'!D$4="Logarithm",LN(0.001+IF(AND(ISNUMBER('Council Entry'!D$8),ISNUMBER('Council Entry'!D$9)),MAX(MIN('Council Entry'!D67,'Council Entry'!D$9),'Council Entry'!D$8),'Council Entry'!D67)),IF('Council Entry'!D$4="Exponential",EXP(IF(AND(ISNUMBER('Council Entry'!D$8),ISNUMBER('Council Entry'!D$9)),MAX(MIN('Council Entry'!D67,'Council Entry'!D$9),'Council Entry'!D$8),'Council Entry'!D67)),IF(AND(ISNUMBER('Council Entry'!D$8),ISNUMBER('Council Entry'!D$9)),MAX(MIN('Council Entry'!D67,'Council Entry'!D$9),'Council Entry'!D$8),'Council Entry'!D67))))-'Council Entry'!D$5)/('Council Entry'!D$6-'Council Entry'!D$5),10*((IF('Council Entry'!D$4="Logarithm",LN(0.001+IF(AND(ISNUMBER('Council Entry'!D$8),ISNUMBER('Council Entry'!D$9)),MAX(MIN('Council Entry'!D67,'Council Entry'!D$9),'Council Entry'!D$8),'Council Entry'!D67)),IF('Council Entry'!D$4="Exponential",EXP(IF(AND(ISNUMBER('Council Entry'!D$8),ISNUMBER('Council Entry'!D$9)),MAX(MIN('Council Entry'!D67,'Council Entry'!D$9),'Council Entry'!D$8),'Council Entry'!D67)),IF(AND(ISNUMBER('Council Entry'!D$8),ISNUMBER('Council Entry'!D$9)),MAX(MIN('Council Entry'!D67,'Council Entry'!D$9),'Council Entry'!D$8),'Council Entry'!D67))))-'Council Entry'!D$5)/('Council Entry'!D$6-'Council Entry'!D$5)),1))),"No data"))</f>
        <v/>
      </c>
      <c r="E67" s="13">
        <f>IF('Council Entry'!E67="","",IFERROR(MAX(0,MIN(10,ROUND(IF('Council Entry'!E$7="Decrease Risk",10-10*((IF('Council Entry'!E$4="Logarithm",LN(0.001+IF(AND(ISNUMBER('Council Entry'!E$8),ISNUMBER('Council Entry'!E$9)),MAX(MIN('Council Entry'!E67,'Council Entry'!E$9),'Council Entry'!E$8),'Council Entry'!E67)),IF('Council Entry'!E$4="Exponential",EXP(IF(AND(ISNUMBER('Council Entry'!E$8),ISNUMBER('Council Entry'!E$9)),MAX(MIN('Council Entry'!E67,'Council Entry'!E$9),'Council Entry'!E$8),'Council Entry'!E67)),IF(AND(ISNUMBER('Council Entry'!E$8),ISNUMBER('Council Entry'!E$9)),MAX(MIN('Council Entry'!E67,'Council Entry'!E$9),'Council Entry'!E$8),'Council Entry'!E67))))-'Council Entry'!E$5)/('Council Entry'!E$6-'Council Entry'!E$5),10*((IF('Council Entry'!E$4="Logarithm",LN(0.001+IF(AND(ISNUMBER('Council Entry'!E$8),ISNUMBER('Council Entry'!E$9)),MAX(MIN('Council Entry'!E67,'Council Entry'!E$9),'Council Entry'!E$8),'Council Entry'!E67)),IF('Council Entry'!E$4="Exponential",EXP(IF(AND(ISNUMBER('Council Entry'!E$8),ISNUMBER('Council Entry'!E$9)),MAX(MIN('Council Entry'!E67,'Council Entry'!E$9),'Council Entry'!E$8),'Council Entry'!E67)),IF(AND(ISNUMBER('Council Entry'!E$8),ISNUMBER('Council Entry'!E$9)),MAX(MIN('Council Entry'!E67,'Council Entry'!E$9),'Council Entry'!E$8),'Council Entry'!E67))))-'Council Entry'!E$5)/('Council Entry'!E$6-'Council Entry'!E$5)),1))),"No data"))</f>
        <v/>
      </c>
      <c r="F67" s="13">
        <f>IF('Council Entry'!F67="","",IFERROR(MAX(0,MIN(10,ROUND(IF('Council Entry'!F$7="Decrease Risk",10-10*((IF('Council Entry'!F$4="Logarithm",LN(0.001+IF(AND(ISNUMBER('Council Entry'!F$8),ISNUMBER('Council Entry'!F$9)),MAX(MIN('Council Entry'!F67,'Council Entry'!F$9),'Council Entry'!F$8),'Council Entry'!F67)),IF('Council Entry'!F$4="Exponential",EXP(IF(AND(ISNUMBER('Council Entry'!F$8),ISNUMBER('Council Entry'!F$9)),MAX(MIN('Council Entry'!F67,'Council Entry'!F$9),'Council Entry'!F$8),'Council Entry'!F67)),IF(AND(ISNUMBER('Council Entry'!F$8),ISNUMBER('Council Entry'!F$9)),MAX(MIN('Council Entry'!F67,'Council Entry'!F$9),'Council Entry'!F$8),'Council Entry'!F67))))-'Council Entry'!F$5)/('Council Entry'!F$6-'Council Entry'!F$5),10*((IF('Council Entry'!F$4="Logarithm",LN(0.001+IF(AND(ISNUMBER('Council Entry'!F$8),ISNUMBER('Council Entry'!F$9)),MAX(MIN('Council Entry'!F67,'Council Entry'!F$9),'Council Entry'!F$8),'Council Entry'!F67)),IF('Council Entry'!F$4="Exponential",EXP(IF(AND(ISNUMBER('Council Entry'!F$8),ISNUMBER('Council Entry'!F$9)),MAX(MIN('Council Entry'!F67,'Council Entry'!F$9),'Council Entry'!F$8),'Council Entry'!F67)),IF(AND(ISNUMBER('Council Entry'!F$8),ISNUMBER('Council Entry'!F$9)),MAX(MIN('Council Entry'!F67,'Council Entry'!F$9),'Council Entry'!F$8),'Council Entry'!F67))))-'Council Entry'!F$5)/('Council Entry'!F$6-'Council Entry'!F$5)),1))),"No data"))</f>
        <v/>
      </c>
      <c r="G67" s="13">
        <f>IF('Council Entry'!G67="","",IFERROR(MAX(0,MIN(10,ROUND(IF('Council Entry'!G$7="Decrease Risk",10-10*((IF('Council Entry'!G$4="Logarithm",LN(0.001+IF(AND(ISNUMBER('Council Entry'!G$8),ISNUMBER('Council Entry'!G$9)),MAX(MIN('Council Entry'!G67,'Council Entry'!G$9),'Council Entry'!G$8),'Council Entry'!G67)),IF('Council Entry'!G$4="Exponential",EXP(IF(AND(ISNUMBER('Council Entry'!G$8),ISNUMBER('Council Entry'!G$9)),MAX(MIN('Council Entry'!G67,'Council Entry'!G$9),'Council Entry'!G$8),'Council Entry'!G67)),IF(AND(ISNUMBER('Council Entry'!G$8),ISNUMBER('Council Entry'!G$9)),MAX(MIN('Council Entry'!G67,'Council Entry'!G$9),'Council Entry'!G$8),'Council Entry'!G67))))-'Council Entry'!G$5)/('Council Entry'!G$6-'Council Entry'!G$5),10*((IF('Council Entry'!G$4="Logarithm",LN(0.001+IF(AND(ISNUMBER('Council Entry'!G$8),ISNUMBER('Council Entry'!G$9)),MAX(MIN('Council Entry'!G67,'Council Entry'!G$9),'Council Entry'!G$8),'Council Entry'!G67)),IF('Council Entry'!G$4="Exponential",EXP(IF(AND(ISNUMBER('Council Entry'!G$8),ISNUMBER('Council Entry'!G$9)),MAX(MIN('Council Entry'!G67,'Council Entry'!G$9),'Council Entry'!G$8),'Council Entry'!G67)),IF(AND(ISNUMBER('Council Entry'!G$8),ISNUMBER('Council Entry'!G$9)),MAX(MIN('Council Entry'!G67,'Council Entry'!G$9),'Council Entry'!G$8),'Council Entry'!G67))))-'Council Entry'!G$5)/('Council Entry'!G$6-'Council Entry'!G$5)),1))),"No data"))</f>
        <v/>
      </c>
      <c r="H67" s="13">
        <f>IF('Council Entry'!H67="","",IFERROR(MAX(0,MIN(10,ROUND(IF('Council Entry'!H$7="Decrease Risk",10-10*((IF('Council Entry'!H$4="Logarithm",LN(0.001+IF(AND(ISNUMBER('Council Entry'!H$8),ISNUMBER('Council Entry'!H$9)),MAX(MIN('Council Entry'!H67,'Council Entry'!H$9),'Council Entry'!H$8),'Council Entry'!H67)),IF('Council Entry'!H$4="Exponential",EXP(IF(AND(ISNUMBER('Council Entry'!H$8),ISNUMBER('Council Entry'!H$9)),MAX(MIN('Council Entry'!H67,'Council Entry'!H$9),'Council Entry'!H$8),'Council Entry'!H67)),IF(AND(ISNUMBER('Council Entry'!H$8),ISNUMBER('Council Entry'!H$9)),MAX(MIN('Council Entry'!H67,'Council Entry'!H$9),'Council Entry'!H$8),'Council Entry'!H67))))-'Council Entry'!H$5)/('Council Entry'!H$6-'Council Entry'!H$5),10*((IF('Council Entry'!H$4="Logarithm",LN(0.001+IF(AND(ISNUMBER('Council Entry'!H$8),ISNUMBER('Council Entry'!H$9)),MAX(MIN('Council Entry'!H67,'Council Entry'!H$9),'Council Entry'!H$8),'Council Entry'!H67)),IF('Council Entry'!H$4="Exponential",EXP(IF(AND(ISNUMBER('Council Entry'!H$8),ISNUMBER('Council Entry'!H$9)),MAX(MIN('Council Entry'!H67,'Council Entry'!H$9),'Council Entry'!H$8),'Council Entry'!H67)),IF(AND(ISNUMBER('Council Entry'!H$8),ISNUMBER('Council Entry'!H$9)),MAX(MIN('Council Entry'!H67,'Council Entry'!H$9),'Council Entry'!H$8),'Council Entry'!H67))))-'Council Entry'!H$5)/('Council Entry'!H$6-'Council Entry'!H$5)),1))),"No data"))</f>
        <v/>
      </c>
      <c r="I67" s="13">
        <f>IF('Council Entry'!I67="","",IFERROR(MAX(0,MIN(10,ROUND(IF('Council Entry'!I$7="Decrease Risk",10-10*((IF('Council Entry'!I$4="Logarithm",LN(0.001+IF(AND(ISNUMBER('Council Entry'!I$8),ISNUMBER('Council Entry'!I$9)),MAX(MIN('Council Entry'!I67,'Council Entry'!I$9),'Council Entry'!I$8),'Council Entry'!I67)),IF('Council Entry'!I$4="Exponential",EXP(IF(AND(ISNUMBER('Council Entry'!I$8),ISNUMBER('Council Entry'!I$9)),MAX(MIN('Council Entry'!I67,'Council Entry'!I$9),'Council Entry'!I$8),'Council Entry'!I67)),IF(AND(ISNUMBER('Council Entry'!I$8),ISNUMBER('Council Entry'!I$9)),MAX(MIN('Council Entry'!I67,'Council Entry'!I$9),'Council Entry'!I$8),'Council Entry'!I67))))-'Council Entry'!I$5)/('Council Entry'!I$6-'Council Entry'!I$5),10*((IF('Council Entry'!I$4="Logarithm",LN(0.001+IF(AND(ISNUMBER('Council Entry'!I$8),ISNUMBER('Council Entry'!I$9)),MAX(MIN('Council Entry'!I67,'Council Entry'!I$9),'Council Entry'!I$8),'Council Entry'!I67)),IF('Council Entry'!I$4="Exponential",EXP(IF(AND(ISNUMBER('Council Entry'!I$8),ISNUMBER('Council Entry'!I$9)),MAX(MIN('Council Entry'!I67,'Council Entry'!I$9),'Council Entry'!I$8),'Council Entry'!I67)),IF(AND(ISNUMBER('Council Entry'!I$8),ISNUMBER('Council Entry'!I$9)),MAX(MIN('Council Entry'!I67,'Council Entry'!I$9),'Council Entry'!I$8),'Council Entry'!I67))))-'Council Entry'!I$5)/('Council Entry'!I$6-'Council Entry'!I$5)),1))),"No data"))</f>
        <v/>
      </c>
      <c r="J67" s="13">
        <f>IF('Council Entry'!J67="","",IFERROR(MAX(0,MIN(10,ROUND(IF('Council Entry'!J$7="Decrease Risk",10-10*((IF('Council Entry'!J$4="Logarithm",LN(0.001+IF(AND(ISNUMBER('Council Entry'!J$8),ISNUMBER('Council Entry'!J$9)),MAX(MIN('Council Entry'!J67,'Council Entry'!J$9),'Council Entry'!J$8),'Council Entry'!J67)),IF('Council Entry'!J$4="Exponential",EXP(IF(AND(ISNUMBER('Council Entry'!J$8),ISNUMBER('Council Entry'!J$9)),MAX(MIN('Council Entry'!J67,'Council Entry'!J$9),'Council Entry'!J$8),'Council Entry'!J67)),IF(AND(ISNUMBER('Council Entry'!J$8),ISNUMBER('Council Entry'!J$9)),MAX(MIN('Council Entry'!J67,'Council Entry'!J$9),'Council Entry'!J$8),'Council Entry'!J67))))-'Council Entry'!J$5)/('Council Entry'!J$6-'Council Entry'!J$5),10*((IF('Council Entry'!J$4="Logarithm",LN(0.001+IF(AND(ISNUMBER('Council Entry'!J$8),ISNUMBER('Council Entry'!J$9)),MAX(MIN('Council Entry'!J67,'Council Entry'!J$9),'Council Entry'!J$8),'Council Entry'!J67)),IF('Council Entry'!J$4="Exponential",EXP(IF(AND(ISNUMBER('Council Entry'!J$8),ISNUMBER('Council Entry'!J$9)),MAX(MIN('Council Entry'!J67,'Council Entry'!J$9),'Council Entry'!J$8),'Council Entry'!J67)),IF(AND(ISNUMBER('Council Entry'!J$8),ISNUMBER('Council Entry'!J$9)),MAX(MIN('Council Entry'!J67,'Council Entry'!J$9),'Council Entry'!J$8),'Council Entry'!J67))))-'Council Entry'!J$5)/('Council Entry'!J$6-'Council Entry'!J$5)),1))),"No data"))</f>
        <v/>
      </c>
      <c r="K67" s="13">
        <f>IF('Council Entry'!K67="","",IFERROR(MAX(0,MIN(10,ROUND(IF('Council Entry'!K$7="Decrease Risk",10-10*((IF('Council Entry'!K$4="Logarithm",LN(0.001+IF(AND(ISNUMBER('Council Entry'!K$8),ISNUMBER('Council Entry'!K$9)),MAX(MIN('Council Entry'!K67,'Council Entry'!K$9),'Council Entry'!K$8),'Council Entry'!K67)),IF('Council Entry'!K$4="Exponential",EXP(IF(AND(ISNUMBER('Council Entry'!K$8),ISNUMBER('Council Entry'!K$9)),MAX(MIN('Council Entry'!K67,'Council Entry'!K$9),'Council Entry'!K$8),'Council Entry'!K67)),IF(AND(ISNUMBER('Council Entry'!K$8),ISNUMBER('Council Entry'!K$9)),MAX(MIN('Council Entry'!K67,'Council Entry'!K$9),'Council Entry'!K$8),'Council Entry'!K67))))-'Council Entry'!K$5)/('Council Entry'!K$6-'Council Entry'!K$5),10*((IF('Council Entry'!K$4="Logarithm",LN(0.001+IF(AND(ISNUMBER('Council Entry'!K$8),ISNUMBER('Council Entry'!K$9)),MAX(MIN('Council Entry'!K67,'Council Entry'!K$9),'Council Entry'!K$8),'Council Entry'!K67)),IF('Council Entry'!K$4="Exponential",EXP(IF(AND(ISNUMBER('Council Entry'!K$8),ISNUMBER('Council Entry'!K$9)),MAX(MIN('Council Entry'!K67,'Council Entry'!K$9),'Council Entry'!K$8),'Council Entry'!K67)),IF(AND(ISNUMBER('Council Entry'!K$8),ISNUMBER('Council Entry'!K$9)),MAX(MIN('Council Entry'!K67,'Council Entry'!K$9),'Council Entry'!K$8),'Council Entry'!K67))))-'Council Entry'!K$5)/('Council Entry'!K$6-'Council Entry'!K$5)),1))),"No data"))</f>
        <v/>
      </c>
      <c r="L67" s="13">
        <f>IF('Council Entry'!L67="","",IFERROR(MAX(0,MIN(10,ROUND(IF('Council Entry'!L$7="Decrease Risk",10-10*((IF('Council Entry'!L$4="Logarithm",LN(0.001+IF(AND(ISNUMBER('Council Entry'!L$8),ISNUMBER('Council Entry'!L$9)),MAX(MIN('Council Entry'!L67,'Council Entry'!L$9),'Council Entry'!L$8),'Council Entry'!L67)),IF('Council Entry'!L$4="Exponential",EXP(IF(AND(ISNUMBER('Council Entry'!L$8),ISNUMBER('Council Entry'!L$9)),MAX(MIN('Council Entry'!L67,'Council Entry'!L$9),'Council Entry'!L$8),'Council Entry'!L67)),IF(AND(ISNUMBER('Council Entry'!L$8),ISNUMBER('Council Entry'!L$9)),MAX(MIN('Council Entry'!L67,'Council Entry'!L$9),'Council Entry'!L$8),'Council Entry'!L67))))-'Council Entry'!L$5)/('Council Entry'!L$6-'Council Entry'!L$5),10*((IF('Council Entry'!L$4="Logarithm",LN(0.001+IF(AND(ISNUMBER('Council Entry'!L$8),ISNUMBER('Council Entry'!L$9)),MAX(MIN('Council Entry'!L67,'Council Entry'!L$9),'Council Entry'!L$8),'Council Entry'!L67)),IF('Council Entry'!L$4="Exponential",EXP(IF(AND(ISNUMBER('Council Entry'!L$8),ISNUMBER('Council Entry'!L$9)),MAX(MIN('Council Entry'!L67,'Council Entry'!L$9),'Council Entry'!L$8),'Council Entry'!L67)),IF(AND(ISNUMBER('Council Entry'!L$8),ISNUMBER('Council Entry'!L$9)),MAX(MIN('Council Entry'!L67,'Council Entry'!L$9),'Council Entry'!L$8),'Council Entry'!L67))))-'Council Entry'!L$5)/('Council Entry'!L$6-'Council Entry'!L$5)),1))),"No data"))</f>
        <v/>
      </c>
      <c r="M67" s="13">
        <f>IF('Council Entry'!M67="","",IFERROR(MAX(0,MIN(10,ROUND(IF('Council Entry'!M$7="Decrease Risk",10-10*((IF('Council Entry'!M$4="Logarithm",LN(0.001+IF(AND(ISNUMBER('Council Entry'!M$8),ISNUMBER('Council Entry'!M$9)),MAX(MIN('Council Entry'!M67,'Council Entry'!M$9),'Council Entry'!M$8),'Council Entry'!M67)),IF('Council Entry'!M$4="Exponential",EXP(IF(AND(ISNUMBER('Council Entry'!M$8),ISNUMBER('Council Entry'!M$9)),MAX(MIN('Council Entry'!M67,'Council Entry'!M$9),'Council Entry'!M$8),'Council Entry'!M67)),IF(AND(ISNUMBER('Council Entry'!M$8),ISNUMBER('Council Entry'!M$9)),MAX(MIN('Council Entry'!M67,'Council Entry'!M$9),'Council Entry'!M$8),'Council Entry'!M67))))-'Council Entry'!M$5)/('Council Entry'!M$6-'Council Entry'!M$5),10*((IF('Council Entry'!M$4="Logarithm",LN(0.001+IF(AND(ISNUMBER('Council Entry'!M$8),ISNUMBER('Council Entry'!M$9)),MAX(MIN('Council Entry'!M67,'Council Entry'!M$9),'Council Entry'!M$8),'Council Entry'!M67)),IF('Council Entry'!M$4="Exponential",EXP(IF(AND(ISNUMBER('Council Entry'!M$8),ISNUMBER('Council Entry'!M$9)),MAX(MIN('Council Entry'!M67,'Council Entry'!M$9),'Council Entry'!M$8),'Council Entry'!M67)),IF(AND(ISNUMBER('Council Entry'!M$8),ISNUMBER('Council Entry'!M$9)),MAX(MIN('Council Entry'!M67,'Council Entry'!M$9),'Council Entry'!M$8),'Council Entry'!M67))))-'Council Entry'!M$5)/('Council Entry'!M$6-'Council Entry'!M$5)),1))),"No data"))</f>
        <v/>
      </c>
      <c r="N67" s="13">
        <f>IF('Council Entry'!N67="","",IFERROR(MAX(0,MIN(10,ROUND(IF('Council Entry'!N$7="Decrease Risk",10-10*((IF('Council Entry'!N$4="Logarithm",LN(0.001+IF(AND(ISNUMBER('Council Entry'!N$8),ISNUMBER('Council Entry'!N$9)),MAX(MIN('Council Entry'!N67,'Council Entry'!N$9),'Council Entry'!N$8),'Council Entry'!N67)),IF('Council Entry'!N$4="Exponential",EXP(IF(AND(ISNUMBER('Council Entry'!N$8),ISNUMBER('Council Entry'!N$9)),MAX(MIN('Council Entry'!N67,'Council Entry'!N$9),'Council Entry'!N$8),'Council Entry'!N67)),IF(AND(ISNUMBER('Council Entry'!N$8),ISNUMBER('Council Entry'!N$9)),MAX(MIN('Council Entry'!N67,'Council Entry'!N$9),'Council Entry'!N$8),'Council Entry'!N67))))-'Council Entry'!N$5)/('Council Entry'!N$6-'Council Entry'!N$5),10*((IF('Council Entry'!N$4="Logarithm",LN(0.001+IF(AND(ISNUMBER('Council Entry'!N$8),ISNUMBER('Council Entry'!N$9)),MAX(MIN('Council Entry'!N67,'Council Entry'!N$9),'Council Entry'!N$8),'Council Entry'!N67)),IF('Council Entry'!N$4="Exponential",EXP(IF(AND(ISNUMBER('Council Entry'!N$8),ISNUMBER('Council Entry'!N$9)),MAX(MIN('Council Entry'!N67,'Council Entry'!N$9),'Council Entry'!N$8),'Council Entry'!N67)),IF(AND(ISNUMBER('Council Entry'!N$8),ISNUMBER('Council Entry'!N$9)),MAX(MIN('Council Entry'!N67,'Council Entry'!N$9),'Council Entry'!N$8),'Council Entry'!N67))))-'Council Entry'!N$5)/('Council Entry'!N$6-'Council Entry'!N$5)),1))),"No data"))</f>
        <v/>
      </c>
      <c r="O67" s="13">
        <f>IF('Council Entry'!O67="","",IFERROR(MAX(0,MIN(10,ROUND(IF('Council Entry'!O$7="Decrease Risk",10-10*((IF('Council Entry'!O$4="Logarithm",LN(0.001+IF(AND(ISNUMBER('Council Entry'!O$8),ISNUMBER('Council Entry'!O$9)),MAX(MIN('Council Entry'!O67,'Council Entry'!O$9),'Council Entry'!O$8),'Council Entry'!O67)),IF('Council Entry'!O$4="Exponential",EXP(IF(AND(ISNUMBER('Council Entry'!O$8),ISNUMBER('Council Entry'!O$9)),MAX(MIN('Council Entry'!O67,'Council Entry'!O$9),'Council Entry'!O$8),'Council Entry'!O67)),IF(AND(ISNUMBER('Council Entry'!O$8),ISNUMBER('Council Entry'!O$9)),MAX(MIN('Council Entry'!O67,'Council Entry'!O$9),'Council Entry'!O$8),'Council Entry'!O67))))-'Council Entry'!O$5)/('Council Entry'!O$6-'Council Entry'!O$5),10*((IF('Council Entry'!O$4="Logarithm",LN(0.001+IF(AND(ISNUMBER('Council Entry'!O$8),ISNUMBER('Council Entry'!O$9)),MAX(MIN('Council Entry'!O67,'Council Entry'!O$9),'Council Entry'!O$8),'Council Entry'!O67)),IF('Council Entry'!O$4="Exponential",EXP(IF(AND(ISNUMBER('Council Entry'!O$8),ISNUMBER('Council Entry'!O$9)),MAX(MIN('Council Entry'!O67,'Council Entry'!O$9),'Council Entry'!O$8),'Council Entry'!O67)),IF(AND(ISNUMBER('Council Entry'!O$8),ISNUMBER('Council Entry'!O$9)),MAX(MIN('Council Entry'!O67,'Council Entry'!O$9),'Council Entry'!O$8),'Council Entry'!O67))))-'Council Entry'!O$5)/('Council Entry'!O$6-'Council Entry'!O$5)),1))),"No data"))</f>
        <v/>
      </c>
      <c r="P67" s="13">
        <f>IF('Council Entry'!P67="","",IFERROR(MAX(0,MIN(10,ROUND(IF('Council Entry'!P$7="Decrease Risk",10-10*((IF('Council Entry'!P$4="Logarithm",LN(0.001+IF(AND(ISNUMBER('Council Entry'!P$8),ISNUMBER('Council Entry'!P$9)),MAX(MIN('Council Entry'!P67,'Council Entry'!P$9),'Council Entry'!P$8),'Council Entry'!P67)),IF('Council Entry'!P$4="Exponential",EXP(IF(AND(ISNUMBER('Council Entry'!P$8),ISNUMBER('Council Entry'!P$9)),MAX(MIN('Council Entry'!P67,'Council Entry'!P$9),'Council Entry'!P$8),'Council Entry'!P67)),IF(AND(ISNUMBER('Council Entry'!P$8),ISNUMBER('Council Entry'!P$9)),MAX(MIN('Council Entry'!P67,'Council Entry'!P$9),'Council Entry'!P$8),'Council Entry'!P67))))-'Council Entry'!P$5)/('Council Entry'!P$6-'Council Entry'!P$5),10*((IF('Council Entry'!P$4="Logarithm",LN(0.001+IF(AND(ISNUMBER('Council Entry'!P$8),ISNUMBER('Council Entry'!P$9)),MAX(MIN('Council Entry'!P67,'Council Entry'!P$9),'Council Entry'!P$8),'Council Entry'!P67)),IF('Council Entry'!P$4="Exponential",EXP(IF(AND(ISNUMBER('Council Entry'!P$8),ISNUMBER('Council Entry'!P$9)),MAX(MIN('Council Entry'!P67,'Council Entry'!P$9),'Council Entry'!P$8),'Council Entry'!P67)),IF(AND(ISNUMBER('Council Entry'!P$8),ISNUMBER('Council Entry'!P$9)),MAX(MIN('Council Entry'!P67,'Council Entry'!P$9),'Council Entry'!P$8),'Council Entry'!P67))))-'Council Entry'!P$5)/('Council Entry'!P$6-'Council Entry'!P$5)),1))),"No data"))</f>
        <v/>
      </c>
      <c r="Q67" s="13">
        <f>IF('Council Entry'!Q67="","",IFERROR(MAX(0,MIN(10,ROUND(IF('Council Entry'!Q$7="Decrease Risk",10-10*((IF('Council Entry'!Q$4="Logarithm",LN(0.001+IF(AND(ISNUMBER('Council Entry'!Q$8),ISNUMBER('Council Entry'!Q$9)),MAX(MIN('Council Entry'!Q67,'Council Entry'!Q$9),'Council Entry'!Q$8),'Council Entry'!Q67)),IF('Council Entry'!Q$4="Exponential",EXP(IF(AND(ISNUMBER('Council Entry'!Q$8),ISNUMBER('Council Entry'!Q$9)),MAX(MIN('Council Entry'!Q67,'Council Entry'!Q$9),'Council Entry'!Q$8),'Council Entry'!Q67)),IF(AND(ISNUMBER('Council Entry'!Q$8),ISNUMBER('Council Entry'!Q$9)),MAX(MIN('Council Entry'!Q67,'Council Entry'!Q$9),'Council Entry'!Q$8),'Council Entry'!Q67))))-'Council Entry'!Q$5)/('Council Entry'!Q$6-'Council Entry'!Q$5),10*((IF('Council Entry'!Q$4="Logarithm",LN(0.001+IF(AND(ISNUMBER('Council Entry'!Q$8),ISNUMBER('Council Entry'!Q$9)),MAX(MIN('Council Entry'!Q67,'Council Entry'!Q$9),'Council Entry'!Q$8),'Council Entry'!Q67)),IF('Council Entry'!Q$4="Exponential",EXP(IF(AND(ISNUMBER('Council Entry'!Q$8),ISNUMBER('Council Entry'!Q$9)),MAX(MIN('Council Entry'!Q67,'Council Entry'!Q$9),'Council Entry'!Q$8),'Council Entry'!Q67)),IF(AND(ISNUMBER('Council Entry'!Q$8),ISNUMBER('Council Entry'!Q$9)),MAX(MIN('Council Entry'!Q67,'Council Entry'!Q$9),'Council Entry'!Q$8),'Council Entry'!Q67))))-'Council Entry'!Q$5)/('Council Entry'!Q$6-'Council Entry'!Q$5)),1))),"No data"))</f>
        <v/>
      </c>
      <c r="R67" s="13">
        <f>IF('Council Entry'!R67="","",IFERROR(MAX(0,MIN(10,ROUND(IF('Council Entry'!R$7="Decrease Risk",10-10*((IF('Council Entry'!R$4="Logarithm",LN(0.001+IF(AND(ISNUMBER('Council Entry'!R$8),ISNUMBER('Council Entry'!R$9)),MAX(MIN('Council Entry'!R67,'Council Entry'!R$9),'Council Entry'!R$8),'Council Entry'!R67)),IF('Council Entry'!R$4="Exponential",EXP(IF(AND(ISNUMBER('Council Entry'!R$8),ISNUMBER('Council Entry'!R$9)),MAX(MIN('Council Entry'!R67,'Council Entry'!R$9),'Council Entry'!R$8),'Council Entry'!R67)),IF(AND(ISNUMBER('Council Entry'!R$8),ISNUMBER('Council Entry'!R$9)),MAX(MIN('Council Entry'!R67,'Council Entry'!R$9),'Council Entry'!R$8),'Council Entry'!R67))))-'Council Entry'!R$5)/('Council Entry'!R$6-'Council Entry'!R$5),10*((IF('Council Entry'!R$4="Logarithm",LN(0.001+IF(AND(ISNUMBER('Council Entry'!R$8),ISNUMBER('Council Entry'!R$9)),MAX(MIN('Council Entry'!R67,'Council Entry'!R$9),'Council Entry'!R$8),'Council Entry'!R67)),IF('Council Entry'!R$4="Exponential",EXP(IF(AND(ISNUMBER('Council Entry'!R$8),ISNUMBER('Council Entry'!R$9)),MAX(MIN('Council Entry'!R67,'Council Entry'!R$9),'Council Entry'!R$8),'Council Entry'!R67)),IF(AND(ISNUMBER('Council Entry'!R$8),ISNUMBER('Council Entry'!R$9)),MAX(MIN('Council Entry'!R67,'Council Entry'!R$9),'Council Entry'!R$8),'Council Entry'!R67))))-'Council Entry'!R$5)/('Council Entry'!R$6-'Council Entry'!R$5)),1))),"No data"))</f>
        <v/>
      </c>
      <c r="S67" s="13">
        <f>IF('Council Entry'!S67="","",IFERROR(MAX(0,MIN(10,ROUND(IF('Council Entry'!S$7="Decrease Risk",10-10*((IF('Council Entry'!S$4="Logarithm",LN(0.001+IF(AND(ISNUMBER('Council Entry'!S$8),ISNUMBER('Council Entry'!S$9)),MAX(MIN('Council Entry'!S67,'Council Entry'!S$9),'Council Entry'!S$8),'Council Entry'!S67)),IF('Council Entry'!S$4="Exponential",EXP(IF(AND(ISNUMBER('Council Entry'!S$8),ISNUMBER('Council Entry'!S$9)),MAX(MIN('Council Entry'!S67,'Council Entry'!S$9),'Council Entry'!S$8),'Council Entry'!S67)),IF(AND(ISNUMBER('Council Entry'!S$8),ISNUMBER('Council Entry'!S$9)),MAX(MIN('Council Entry'!S67,'Council Entry'!S$9),'Council Entry'!S$8),'Council Entry'!S67))))-'Council Entry'!S$5)/('Council Entry'!S$6-'Council Entry'!S$5),10*((IF('Council Entry'!S$4="Logarithm",LN(0.001+IF(AND(ISNUMBER('Council Entry'!S$8),ISNUMBER('Council Entry'!S$9)),MAX(MIN('Council Entry'!S67,'Council Entry'!S$9),'Council Entry'!S$8),'Council Entry'!S67)),IF('Council Entry'!S$4="Exponential",EXP(IF(AND(ISNUMBER('Council Entry'!S$8),ISNUMBER('Council Entry'!S$9)),MAX(MIN('Council Entry'!S67,'Council Entry'!S$9),'Council Entry'!S$8),'Council Entry'!S67)),IF(AND(ISNUMBER('Council Entry'!S$8),ISNUMBER('Council Entry'!S$9)),MAX(MIN('Council Entry'!S67,'Council Entry'!S$9),'Council Entry'!S$8),'Council Entry'!S67))))-'Council Entry'!S$5)/('Council Entry'!S$6-'Council Entry'!S$5)),1))),"No data"))</f>
        <v/>
      </c>
      <c r="T67" s="13">
        <f>IF('Council Entry'!T67="","",IFERROR(MAX(0,MIN(10,ROUND(IF('Council Entry'!T$7="Decrease Risk",10-10*((IF('Council Entry'!T$4="Logarithm",LN(0.001+IF(AND(ISNUMBER('Council Entry'!T$8),ISNUMBER('Council Entry'!T$9)),MAX(MIN('Council Entry'!T67,'Council Entry'!T$9),'Council Entry'!T$8),'Council Entry'!T67)),IF('Council Entry'!T$4="Exponential",EXP(IF(AND(ISNUMBER('Council Entry'!T$8),ISNUMBER('Council Entry'!T$9)),MAX(MIN('Council Entry'!T67,'Council Entry'!T$9),'Council Entry'!T$8),'Council Entry'!T67)),IF(AND(ISNUMBER('Council Entry'!T$8),ISNUMBER('Council Entry'!T$9)),MAX(MIN('Council Entry'!T67,'Council Entry'!T$9),'Council Entry'!T$8),'Council Entry'!T67))))-'Council Entry'!T$5)/('Council Entry'!T$6-'Council Entry'!T$5),10*((IF('Council Entry'!T$4="Logarithm",LN(0.001+IF(AND(ISNUMBER('Council Entry'!T$8),ISNUMBER('Council Entry'!T$9)),MAX(MIN('Council Entry'!T67,'Council Entry'!T$9),'Council Entry'!T$8),'Council Entry'!T67)),IF('Council Entry'!T$4="Exponential",EXP(IF(AND(ISNUMBER('Council Entry'!T$8),ISNUMBER('Council Entry'!T$9)),MAX(MIN('Council Entry'!T67,'Council Entry'!T$9),'Council Entry'!T$8),'Council Entry'!T67)),IF(AND(ISNUMBER('Council Entry'!T$8),ISNUMBER('Council Entry'!T$9)),MAX(MIN('Council Entry'!T67,'Council Entry'!T$9),'Council Entry'!T$8),'Council Entry'!T67))))-'Council Entry'!T$5)/('Council Entry'!T$6-'Council Entry'!T$5)),1))),"No data"))</f>
        <v/>
      </c>
      <c r="U67" s="13">
        <f>IF('Council Entry'!U67="","",IFERROR(MAX(0,MIN(10,ROUND(IF('Council Entry'!U$7="Decrease Risk",10-10*((IF('Council Entry'!U$4="Logarithm",LN(0.001+IF(AND(ISNUMBER('Council Entry'!U$8),ISNUMBER('Council Entry'!U$9)),MAX(MIN('Council Entry'!U67,'Council Entry'!U$9),'Council Entry'!U$8),'Council Entry'!U67)),IF('Council Entry'!U$4="Exponential",EXP(IF(AND(ISNUMBER('Council Entry'!U$8),ISNUMBER('Council Entry'!U$9)),MAX(MIN('Council Entry'!U67,'Council Entry'!U$9),'Council Entry'!U$8),'Council Entry'!U67)),IF(AND(ISNUMBER('Council Entry'!U$8),ISNUMBER('Council Entry'!U$9)),MAX(MIN('Council Entry'!U67,'Council Entry'!U$9),'Council Entry'!U$8),'Council Entry'!U67))))-'Council Entry'!U$5)/('Council Entry'!U$6-'Council Entry'!U$5),10*((IF('Council Entry'!U$4="Logarithm",LN(0.001+IF(AND(ISNUMBER('Council Entry'!U$8),ISNUMBER('Council Entry'!U$9)),MAX(MIN('Council Entry'!U67,'Council Entry'!U$9),'Council Entry'!U$8),'Council Entry'!U67)),IF('Council Entry'!U$4="Exponential",EXP(IF(AND(ISNUMBER('Council Entry'!U$8),ISNUMBER('Council Entry'!U$9)),MAX(MIN('Council Entry'!U67,'Council Entry'!U$9),'Council Entry'!U$8),'Council Entry'!U67)),IF(AND(ISNUMBER('Council Entry'!U$8),ISNUMBER('Council Entry'!U$9)),MAX(MIN('Council Entry'!U67,'Council Entry'!U$9),'Council Entry'!U$8),'Council Entry'!U67))))-'Council Entry'!U$5)/('Council Entry'!U$6-'Council Entry'!U$5)),1))),"No data"))</f>
        <v/>
      </c>
      <c r="V67" s="13">
        <f>IF('Council Entry'!V67="","",IFERROR(MAX(0,MIN(10,ROUND(IF('Council Entry'!V$7="Decrease Risk",10-10*((IF('Council Entry'!V$4="Logarithm",LN(0.001+IF(AND(ISNUMBER('Council Entry'!V$8),ISNUMBER('Council Entry'!V$9)),MAX(MIN('Council Entry'!V67,'Council Entry'!V$9),'Council Entry'!V$8),'Council Entry'!V67)),IF('Council Entry'!V$4="Exponential",EXP(IF(AND(ISNUMBER('Council Entry'!V$8),ISNUMBER('Council Entry'!V$9)),MAX(MIN('Council Entry'!V67,'Council Entry'!V$9),'Council Entry'!V$8),'Council Entry'!V67)),IF(AND(ISNUMBER('Council Entry'!V$8),ISNUMBER('Council Entry'!V$9)),MAX(MIN('Council Entry'!V67,'Council Entry'!V$9),'Council Entry'!V$8),'Council Entry'!V67))))-'Council Entry'!V$5)/('Council Entry'!V$6-'Council Entry'!V$5),10*((IF('Council Entry'!V$4="Logarithm",LN(0.001+IF(AND(ISNUMBER('Council Entry'!V$8),ISNUMBER('Council Entry'!V$9)),MAX(MIN('Council Entry'!V67,'Council Entry'!V$9),'Council Entry'!V$8),'Council Entry'!V67)),IF('Council Entry'!V$4="Exponential",EXP(IF(AND(ISNUMBER('Council Entry'!V$8),ISNUMBER('Council Entry'!V$9)),MAX(MIN('Council Entry'!V67,'Council Entry'!V$9),'Council Entry'!V$8),'Council Entry'!V67)),IF(AND(ISNUMBER('Council Entry'!V$8),ISNUMBER('Council Entry'!V$9)),MAX(MIN('Council Entry'!V67,'Council Entry'!V$9),'Council Entry'!V$8),'Council Entry'!V67))))-'Council Entry'!V$5)/('Council Entry'!V$6-'Council Entry'!V$5)),1))),"No data"))</f>
        <v/>
      </c>
      <c r="W67" s="13">
        <f>IF('Council Entry'!W67="","",IFERROR(MAX(0,MIN(10,ROUND(IF('Council Entry'!W$7="Decrease Risk",10-10*((IF('Council Entry'!W$4="Logarithm",LN(0.001+IF(AND(ISNUMBER('Council Entry'!W$8),ISNUMBER('Council Entry'!W$9)),MAX(MIN('Council Entry'!W67,'Council Entry'!W$9),'Council Entry'!W$8),'Council Entry'!W67)),IF('Council Entry'!W$4="Exponential",EXP(IF(AND(ISNUMBER('Council Entry'!W$8),ISNUMBER('Council Entry'!W$9)),MAX(MIN('Council Entry'!W67,'Council Entry'!W$9),'Council Entry'!W$8),'Council Entry'!W67)),IF(AND(ISNUMBER('Council Entry'!W$8),ISNUMBER('Council Entry'!W$9)),MAX(MIN('Council Entry'!W67,'Council Entry'!W$9),'Council Entry'!W$8),'Council Entry'!W67))))-'Council Entry'!W$5)/('Council Entry'!W$6-'Council Entry'!W$5),10*((IF('Council Entry'!W$4="Logarithm",LN(0.001+IF(AND(ISNUMBER('Council Entry'!W$8),ISNUMBER('Council Entry'!W$9)),MAX(MIN('Council Entry'!W67,'Council Entry'!W$9),'Council Entry'!W$8),'Council Entry'!W67)),IF('Council Entry'!W$4="Exponential",EXP(IF(AND(ISNUMBER('Council Entry'!W$8),ISNUMBER('Council Entry'!W$9)),MAX(MIN('Council Entry'!W67,'Council Entry'!W$9),'Council Entry'!W$8),'Council Entry'!W67)),IF(AND(ISNUMBER('Council Entry'!W$8),ISNUMBER('Council Entry'!W$9)),MAX(MIN('Council Entry'!W67,'Council Entry'!W$9),'Council Entry'!W$8),'Council Entry'!W67))))-'Council Entry'!W$5)/('Council Entry'!W$6-'Council Entry'!W$5)),1))),"No data"))</f>
        <v/>
      </c>
      <c r="X67" s="13">
        <f>IF('Council Entry'!X67="","",IFERROR(MAX(0,MIN(10,ROUND(IF('Council Entry'!X$7="Decrease Risk",10-10*((IF('Council Entry'!X$4="Logarithm",LN(0.001+IF(AND(ISNUMBER('Council Entry'!X$8),ISNUMBER('Council Entry'!X$9)),MAX(MIN('Council Entry'!X67,'Council Entry'!X$9),'Council Entry'!X$8),'Council Entry'!X67)),IF('Council Entry'!X$4="Exponential",EXP(IF(AND(ISNUMBER('Council Entry'!X$8),ISNUMBER('Council Entry'!X$9)),MAX(MIN('Council Entry'!X67,'Council Entry'!X$9),'Council Entry'!X$8),'Council Entry'!X67)),IF(AND(ISNUMBER('Council Entry'!X$8),ISNUMBER('Council Entry'!X$9)),MAX(MIN('Council Entry'!X67,'Council Entry'!X$9),'Council Entry'!X$8),'Council Entry'!X67))))-'Council Entry'!X$5)/('Council Entry'!X$6-'Council Entry'!X$5),10*((IF('Council Entry'!X$4="Logarithm",LN(0.001+IF(AND(ISNUMBER('Council Entry'!X$8),ISNUMBER('Council Entry'!X$9)),MAX(MIN('Council Entry'!X67,'Council Entry'!X$9),'Council Entry'!X$8),'Council Entry'!X67)),IF('Council Entry'!X$4="Exponential",EXP(IF(AND(ISNUMBER('Council Entry'!X$8),ISNUMBER('Council Entry'!X$9)),MAX(MIN('Council Entry'!X67,'Council Entry'!X$9),'Council Entry'!X$8),'Council Entry'!X67)),IF(AND(ISNUMBER('Council Entry'!X$8),ISNUMBER('Council Entry'!X$9)),MAX(MIN('Council Entry'!X67,'Council Entry'!X$9),'Council Entry'!X$8),'Council Entry'!X67))))-'Council Entry'!X$5)/('Council Entry'!X$6-'Council Entry'!X$5)),1))),"No data"))</f>
        <v/>
      </c>
      <c r="Y67" s="13">
        <f>IF('Council Entry'!Y67="","",IFERROR(MAX(0,MIN(10,ROUND(IF('Council Entry'!Y$7="Decrease Risk",10-10*((IF('Council Entry'!Y$4="Logarithm",LN(0.001+IF(AND(ISNUMBER('Council Entry'!Y$8),ISNUMBER('Council Entry'!Y$9)),MAX(MIN('Council Entry'!Y67,'Council Entry'!Y$9),'Council Entry'!Y$8),'Council Entry'!Y67)),IF('Council Entry'!Y$4="Exponential",EXP(IF(AND(ISNUMBER('Council Entry'!Y$8),ISNUMBER('Council Entry'!Y$9)),MAX(MIN('Council Entry'!Y67,'Council Entry'!Y$9),'Council Entry'!Y$8),'Council Entry'!Y67)),IF(AND(ISNUMBER('Council Entry'!Y$8),ISNUMBER('Council Entry'!Y$9)),MAX(MIN('Council Entry'!Y67,'Council Entry'!Y$9),'Council Entry'!Y$8),'Council Entry'!Y67))))-'Council Entry'!Y$5)/('Council Entry'!Y$6-'Council Entry'!Y$5),10*((IF('Council Entry'!Y$4="Logarithm",LN(0.001+IF(AND(ISNUMBER('Council Entry'!Y$8),ISNUMBER('Council Entry'!Y$9)),MAX(MIN('Council Entry'!Y67,'Council Entry'!Y$9),'Council Entry'!Y$8),'Council Entry'!Y67)),IF('Council Entry'!Y$4="Exponential",EXP(IF(AND(ISNUMBER('Council Entry'!Y$8),ISNUMBER('Council Entry'!Y$9)),MAX(MIN('Council Entry'!Y67,'Council Entry'!Y$9),'Council Entry'!Y$8),'Council Entry'!Y67)),IF(AND(ISNUMBER('Council Entry'!Y$8),ISNUMBER('Council Entry'!Y$9)),MAX(MIN('Council Entry'!Y67,'Council Entry'!Y$9),'Council Entry'!Y$8),'Council Entry'!Y67))))-'Council Entry'!Y$5)/('Council Entry'!Y$6-'Council Entry'!Y$5)),1))),"No data"))</f>
        <v/>
      </c>
      <c r="Z67" s="13">
        <f>IF('Council Entry'!Z67="","",IFERROR(MAX(0,MIN(10,ROUND(IF('Council Entry'!Z$7="Decrease Risk",10-10*((IF('Council Entry'!Z$4="Logarithm",LN(0.001+IF(AND(ISNUMBER('Council Entry'!Z$8),ISNUMBER('Council Entry'!Z$9)),MAX(MIN('Council Entry'!Z67,'Council Entry'!Z$9),'Council Entry'!Z$8),'Council Entry'!Z67)),IF('Council Entry'!Z$4="Exponential",EXP(IF(AND(ISNUMBER('Council Entry'!Z$8),ISNUMBER('Council Entry'!Z$9)),MAX(MIN('Council Entry'!Z67,'Council Entry'!Z$9),'Council Entry'!Z$8),'Council Entry'!Z67)),IF(AND(ISNUMBER('Council Entry'!Z$8),ISNUMBER('Council Entry'!Z$9)),MAX(MIN('Council Entry'!Z67,'Council Entry'!Z$9),'Council Entry'!Z$8),'Council Entry'!Z67))))-'Council Entry'!Z$5)/('Council Entry'!Z$6-'Council Entry'!Z$5),10*((IF('Council Entry'!Z$4="Logarithm",LN(0.001+IF(AND(ISNUMBER('Council Entry'!Z$8),ISNUMBER('Council Entry'!Z$9)),MAX(MIN('Council Entry'!Z67,'Council Entry'!Z$9),'Council Entry'!Z$8),'Council Entry'!Z67)),IF('Council Entry'!Z$4="Exponential",EXP(IF(AND(ISNUMBER('Council Entry'!Z$8),ISNUMBER('Council Entry'!Z$9)),MAX(MIN('Council Entry'!Z67,'Council Entry'!Z$9),'Council Entry'!Z$8),'Council Entry'!Z67)),IF(AND(ISNUMBER('Council Entry'!Z$8),ISNUMBER('Council Entry'!Z$9)),MAX(MIN('Council Entry'!Z67,'Council Entry'!Z$9),'Council Entry'!Z$8),'Council Entry'!Z67))))-'Council Entry'!Z$5)/('Council Entry'!Z$6-'Council Entry'!Z$5)),1))),"No data"))</f>
        <v/>
      </c>
      <c r="AA67" s="13">
        <f>IF('Council Entry'!AA67="","",IFERROR(MAX(0,MIN(10,ROUND(IF('Council Entry'!AA$7="Decrease Risk",10-10*((IF('Council Entry'!AA$4="Logarithm",LN(0.001+IF(AND(ISNUMBER('Council Entry'!AA$8),ISNUMBER('Council Entry'!AA$9)),MAX(MIN('Council Entry'!AA67,'Council Entry'!AA$9),'Council Entry'!AA$8),'Council Entry'!AA67)),IF('Council Entry'!AA$4="Exponential",EXP(IF(AND(ISNUMBER('Council Entry'!AA$8),ISNUMBER('Council Entry'!AA$9)),MAX(MIN('Council Entry'!AA67,'Council Entry'!AA$9),'Council Entry'!AA$8),'Council Entry'!AA67)),IF(AND(ISNUMBER('Council Entry'!AA$8),ISNUMBER('Council Entry'!AA$9)),MAX(MIN('Council Entry'!AA67,'Council Entry'!AA$9),'Council Entry'!AA$8),'Council Entry'!AA67))))-'Council Entry'!AA$5)/('Council Entry'!AA$6-'Council Entry'!AA$5),10*((IF('Council Entry'!AA$4="Logarithm",LN(0.001+IF(AND(ISNUMBER('Council Entry'!AA$8),ISNUMBER('Council Entry'!AA$9)),MAX(MIN('Council Entry'!AA67,'Council Entry'!AA$9),'Council Entry'!AA$8),'Council Entry'!AA67)),IF('Council Entry'!AA$4="Exponential",EXP(IF(AND(ISNUMBER('Council Entry'!AA$8),ISNUMBER('Council Entry'!AA$9)),MAX(MIN('Council Entry'!AA67,'Council Entry'!AA$9),'Council Entry'!AA$8),'Council Entry'!AA67)),IF(AND(ISNUMBER('Council Entry'!AA$8),ISNUMBER('Council Entry'!AA$9)),MAX(MIN('Council Entry'!AA67,'Council Entry'!AA$9),'Council Entry'!AA$8),'Council Entry'!AA67))))-'Council Entry'!AA$5)/('Council Entry'!AA$6-'Council Entry'!AA$5)),1))),"No data"))</f>
        <v/>
      </c>
      <c r="AB67" s="13">
        <f>IF('Council Entry'!AB67="","",IFERROR(MAX(0,MIN(10,ROUND(IF('Council Entry'!AB$7="Decrease Risk",10-10*((IF('Council Entry'!AB$4="Logarithm",LN(0.001+IF(AND(ISNUMBER('Council Entry'!AB$8),ISNUMBER('Council Entry'!AB$9)),MAX(MIN('Council Entry'!AB67,'Council Entry'!AB$9),'Council Entry'!AB$8),'Council Entry'!AB67)),IF('Council Entry'!AB$4="Exponential",EXP(IF(AND(ISNUMBER('Council Entry'!AB$8),ISNUMBER('Council Entry'!AB$9)),MAX(MIN('Council Entry'!AB67,'Council Entry'!AB$9),'Council Entry'!AB$8),'Council Entry'!AB67)),IF(AND(ISNUMBER('Council Entry'!AB$8),ISNUMBER('Council Entry'!AB$9)),MAX(MIN('Council Entry'!AB67,'Council Entry'!AB$9),'Council Entry'!AB$8),'Council Entry'!AB67))))-'Council Entry'!AB$5)/('Council Entry'!AB$6-'Council Entry'!AB$5),10*((IF('Council Entry'!AB$4="Logarithm",LN(0.001+IF(AND(ISNUMBER('Council Entry'!AB$8),ISNUMBER('Council Entry'!AB$9)),MAX(MIN('Council Entry'!AB67,'Council Entry'!AB$9),'Council Entry'!AB$8),'Council Entry'!AB67)),IF('Council Entry'!AB$4="Exponential",EXP(IF(AND(ISNUMBER('Council Entry'!AB$8),ISNUMBER('Council Entry'!AB$9)),MAX(MIN('Council Entry'!AB67,'Council Entry'!AB$9),'Council Entry'!AB$8),'Council Entry'!AB67)),IF(AND(ISNUMBER('Council Entry'!AB$8),ISNUMBER('Council Entry'!AB$9)),MAX(MIN('Council Entry'!AB67,'Council Entry'!AB$9),'Council Entry'!AB$8),'Council Entry'!AB67))))-'Council Entry'!AB$5)/('Council Entry'!AB$6-'Council Entry'!AB$5)),1))),"No data"))</f>
        <v/>
      </c>
      <c r="AC67" s="13">
        <f>IF('Council Entry'!AC67="","",IFERROR(MAX(0,MIN(10,ROUND(IF('Council Entry'!AC$7="Decrease Risk",10-10*((IF('Council Entry'!AC$4="Logarithm",LN(0.001+IF(AND(ISNUMBER('Council Entry'!AC$8),ISNUMBER('Council Entry'!AC$9)),MAX(MIN('Council Entry'!AC67,'Council Entry'!AC$9),'Council Entry'!AC$8),'Council Entry'!AC67)),IF('Council Entry'!AC$4="Exponential",EXP(IF(AND(ISNUMBER('Council Entry'!AC$8),ISNUMBER('Council Entry'!AC$9)),MAX(MIN('Council Entry'!AC67,'Council Entry'!AC$9),'Council Entry'!AC$8),'Council Entry'!AC67)),IF(AND(ISNUMBER('Council Entry'!AC$8),ISNUMBER('Council Entry'!AC$9)),MAX(MIN('Council Entry'!AC67,'Council Entry'!AC$9),'Council Entry'!AC$8),'Council Entry'!AC67))))-'Council Entry'!AC$5)/('Council Entry'!AC$6-'Council Entry'!AC$5),10*((IF('Council Entry'!AC$4="Logarithm",LN(0.001+IF(AND(ISNUMBER('Council Entry'!AC$8),ISNUMBER('Council Entry'!AC$9)),MAX(MIN('Council Entry'!AC67,'Council Entry'!AC$9),'Council Entry'!AC$8),'Council Entry'!AC67)),IF('Council Entry'!AC$4="Exponential",EXP(IF(AND(ISNUMBER('Council Entry'!AC$8),ISNUMBER('Council Entry'!AC$9)),MAX(MIN('Council Entry'!AC67,'Council Entry'!AC$9),'Council Entry'!AC$8),'Council Entry'!AC67)),IF(AND(ISNUMBER('Council Entry'!AC$8),ISNUMBER('Council Entry'!AC$9)),MAX(MIN('Council Entry'!AC67,'Council Entry'!AC$9),'Council Entry'!AC$8),'Council Entry'!AC67))))-'Council Entry'!AC$5)/('Council Entry'!AC$6-'Council Entry'!AC$5)),1))),"No data"))</f>
        <v/>
      </c>
      <c r="AD67" s="13">
        <f>IF('Council Entry'!AD67="","",IFERROR(MAX(0,MIN(10,ROUND(IF('Council Entry'!AD$7="Decrease Risk",10-10*((IF('Council Entry'!AD$4="Logarithm",LN(0.001+IF(AND(ISNUMBER('Council Entry'!AD$8),ISNUMBER('Council Entry'!AD$9)),MAX(MIN('Council Entry'!AD67,'Council Entry'!AD$9),'Council Entry'!AD$8),'Council Entry'!AD67)),IF('Council Entry'!AD$4="Exponential",EXP(IF(AND(ISNUMBER('Council Entry'!AD$8),ISNUMBER('Council Entry'!AD$9)),MAX(MIN('Council Entry'!AD67,'Council Entry'!AD$9),'Council Entry'!AD$8),'Council Entry'!AD67)),IF(AND(ISNUMBER('Council Entry'!AD$8),ISNUMBER('Council Entry'!AD$9)),MAX(MIN('Council Entry'!AD67,'Council Entry'!AD$9),'Council Entry'!AD$8),'Council Entry'!AD67))))-'Council Entry'!AD$5)/('Council Entry'!AD$6-'Council Entry'!AD$5),10*((IF('Council Entry'!AD$4="Logarithm",LN(0.001+IF(AND(ISNUMBER('Council Entry'!AD$8),ISNUMBER('Council Entry'!AD$9)),MAX(MIN('Council Entry'!AD67,'Council Entry'!AD$9),'Council Entry'!AD$8),'Council Entry'!AD67)),IF('Council Entry'!AD$4="Exponential",EXP(IF(AND(ISNUMBER('Council Entry'!AD$8),ISNUMBER('Council Entry'!AD$9)),MAX(MIN('Council Entry'!AD67,'Council Entry'!AD$9),'Council Entry'!AD$8),'Council Entry'!AD67)),IF(AND(ISNUMBER('Council Entry'!AD$8),ISNUMBER('Council Entry'!AD$9)),MAX(MIN('Council Entry'!AD67,'Council Entry'!AD$9),'Council Entry'!AD$8),'Council Entry'!AD67))))-'Council Entry'!AD$5)/('Council Entry'!AD$6-'Council Entry'!AD$5)),1))),"No data"))</f>
        <v/>
      </c>
      <c r="AE67" s="13">
        <f>IF('Council Entry'!AE67="","",IFERROR(MAX(0,MIN(10,ROUND(IF('Council Entry'!AE$7="Decrease Risk",10-10*((IF('Council Entry'!AE$4="Logarithm",LN(0.001+IF(AND(ISNUMBER('Council Entry'!AE$8),ISNUMBER('Council Entry'!AE$9)),MAX(MIN('Council Entry'!AE67,'Council Entry'!AE$9),'Council Entry'!AE$8),'Council Entry'!AE67)),IF('Council Entry'!AE$4="Exponential",EXP(IF(AND(ISNUMBER('Council Entry'!AE$8),ISNUMBER('Council Entry'!AE$9)),MAX(MIN('Council Entry'!AE67,'Council Entry'!AE$9),'Council Entry'!AE$8),'Council Entry'!AE67)),IF(AND(ISNUMBER('Council Entry'!AE$8),ISNUMBER('Council Entry'!AE$9)),MAX(MIN('Council Entry'!AE67,'Council Entry'!AE$9),'Council Entry'!AE$8),'Council Entry'!AE67))))-'Council Entry'!AE$5)/('Council Entry'!AE$6-'Council Entry'!AE$5),10*((IF('Council Entry'!AE$4="Logarithm",LN(0.001+IF(AND(ISNUMBER('Council Entry'!AE$8),ISNUMBER('Council Entry'!AE$9)),MAX(MIN('Council Entry'!AE67,'Council Entry'!AE$9),'Council Entry'!AE$8),'Council Entry'!AE67)),IF('Council Entry'!AE$4="Exponential",EXP(IF(AND(ISNUMBER('Council Entry'!AE$8),ISNUMBER('Council Entry'!AE$9)),MAX(MIN('Council Entry'!AE67,'Council Entry'!AE$9),'Council Entry'!AE$8),'Council Entry'!AE67)),IF(AND(ISNUMBER('Council Entry'!AE$8),ISNUMBER('Council Entry'!AE$9)),MAX(MIN('Council Entry'!AE67,'Council Entry'!AE$9),'Council Entry'!AE$8),'Council Entry'!AE67))))-'Council Entry'!AE$5)/('Council Entry'!AE$6-'Council Entry'!AE$5)),1))),"No data"))</f>
        <v/>
      </c>
      <c r="AF67" s="13">
        <f>IF('Council Entry'!AF67="","",IFERROR(MAX(0,MIN(10,ROUND(IF('Council Entry'!AF$7="Decrease Risk",10-10*((IF('Council Entry'!AF$4="Logarithm",LN(0.001+IF(AND(ISNUMBER('Council Entry'!AF$8),ISNUMBER('Council Entry'!AF$9)),MAX(MIN('Council Entry'!AF67,'Council Entry'!AF$9),'Council Entry'!AF$8),'Council Entry'!AF67)),IF('Council Entry'!AF$4="Exponential",EXP(IF(AND(ISNUMBER('Council Entry'!AF$8),ISNUMBER('Council Entry'!AF$9)),MAX(MIN('Council Entry'!AF67,'Council Entry'!AF$9),'Council Entry'!AF$8),'Council Entry'!AF67)),IF(AND(ISNUMBER('Council Entry'!AF$8),ISNUMBER('Council Entry'!AF$9)),MAX(MIN('Council Entry'!AF67,'Council Entry'!AF$9),'Council Entry'!AF$8),'Council Entry'!AF67))))-'Council Entry'!AF$5)/('Council Entry'!AF$6-'Council Entry'!AF$5),10*((IF('Council Entry'!AF$4="Logarithm",LN(0.001+IF(AND(ISNUMBER('Council Entry'!AF$8),ISNUMBER('Council Entry'!AF$9)),MAX(MIN('Council Entry'!AF67,'Council Entry'!AF$9),'Council Entry'!AF$8),'Council Entry'!AF67)),IF('Council Entry'!AF$4="Exponential",EXP(IF(AND(ISNUMBER('Council Entry'!AF$8),ISNUMBER('Council Entry'!AF$9)),MAX(MIN('Council Entry'!AF67,'Council Entry'!AF$9),'Council Entry'!AF$8),'Council Entry'!AF67)),IF(AND(ISNUMBER('Council Entry'!AF$8),ISNUMBER('Council Entry'!AF$9)),MAX(MIN('Council Entry'!AF67,'Council Entry'!AF$9),'Council Entry'!AF$8),'Council Entry'!AF67))))-'Council Entry'!AF$5)/('Council Entry'!AF$6-'Council Entry'!AF$5)),1))),"No data"))</f>
        <v/>
      </c>
      <c r="AG67" s="13">
        <f>IF('Council Entry'!AG67="","",IFERROR(MAX(0,MIN(10,ROUND(IF('Council Entry'!AG$7="Decrease Risk",10-10*((IF('Council Entry'!AG$4="Logarithm",LN(0.001+IF(AND(ISNUMBER('Council Entry'!AG$8),ISNUMBER('Council Entry'!AG$9)),MAX(MIN('Council Entry'!AG67,'Council Entry'!AG$9),'Council Entry'!AG$8),'Council Entry'!AG67)),IF('Council Entry'!AG$4="Exponential",EXP(IF(AND(ISNUMBER('Council Entry'!AG$8),ISNUMBER('Council Entry'!AG$9)),MAX(MIN('Council Entry'!AG67,'Council Entry'!AG$9),'Council Entry'!AG$8),'Council Entry'!AG67)),IF(AND(ISNUMBER('Council Entry'!AG$8),ISNUMBER('Council Entry'!AG$9)),MAX(MIN('Council Entry'!AG67,'Council Entry'!AG$9),'Council Entry'!AG$8),'Council Entry'!AG67))))-'Council Entry'!AG$5)/('Council Entry'!AG$6-'Council Entry'!AG$5),10*((IF('Council Entry'!AG$4="Logarithm",LN(0.001+IF(AND(ISNUMBER('Council Entry'!AG$8),ISNUMBER('Council Entry'!AG$9)),MAX(MIN('Council Entry'!AG67,'Council Entry'!AG$9),'Council Entry'!AG$8),'Council Entry'!AG67)),IF('Council Entry'!AG$4="Exponential",EXP(IF(AND(ISNUMBER('Council Entry'!AG$8),ISNUMBER('Council Entry'!AG$9)),MAX(MIN('Council Entry'!AG67,'Council Entry'!AG$9),'Council Entry'!AG$8),'Council Entry'!AG67)),IF(AND(ISNUMBER('Council Entry'!AG$8),ISNUMBER('Council Entry'!AG$9)),MAX(MIN('Council Entry'!AG67,'Council Entry'!AG$9),'Council Entry'!AG$8),'Council Entry'!AG67))))-'Council Entry'!AG$5)/('Council Entry'!AG$6-'Council Entry'!AG$5)),1))),"No data"))</f>
        <v/>
      </c>
      <c r="AH67" s="13">
        <f>IF('Council Entry'!AH67="","",IFERROR(MAX(0,MIN(10,ROUND(IF('Council Entry'!AH$7="Decrease Risk",10-10*((IF('Council Entry'!AH$4="Logarithm",LN(0.001+IF(AND(ISNUMBER('Council Entry'!AH$8),ISNUMBER('Council Entry'!AH$9)),MAX(MIN('Council Entry'!AH67,'Council Entry'!AH$9),'Council Entry'!AH$8),'Council Entry'!AH67)),IF('Council Entry'!AH$4="Exponential",EXP(IF(AND(ISNUMBER('Council Entry'!AH$8),ISNUMBER('Council Entry'!AH$9)),MAX(MIN('Council Entry'!AH67,'Council Entry'!AH$9),'Council Entry'!AH$8),'Council Entry'!AH67)),IF(AND(ISNUMBER('Council Entry'!AH$8),ISNUMBER('Council Entry'!AH$9)),MAX(MIN('Council Entry'!AH67,'Council Entry'!AH$9),'Council Entry'!AH$8),'Council Entry'!AH67))))-'Council Entry'!AH$5)/('Council Entry'!AH$6-'Council Entry'!AH$5),10*((IF('Council Entry'!AH$4="Logarithm",LN(0.001+IF(AND(ISNUMBER('Council Entry'!AH$8),ISNUMBER('Council Entry'!AH$9)),MAX(MIN('Council Entry'!AH67,'Council Entry'!AH$9),'Council Entry'!AH$8),'Council Entry'!AH67)),IF('Council Entry'!AH$4="Exponential",EXP(IF(AND(ISNUMBER('Council Entry'!AH$8),ISNUMBER('Council Entry'!AH$9)),MAX(MIN('Council Entry'!AH67,'Council Entry'!AH$9),'Council Entry'!AH$8),'Council Entry'!AH67)),IF(AND(ISNUMBER('Council Entry'!AH$8),ISNUMBER('Council Entry'!AH$9)),MAX(MIN('Council Entry'!AH67,'Council Entry'!AH$9),'Council Entry'!AH$8),'Council Entry'!AH67))))-'Council Entry'!AH$5)/('Council Entry'!AH$6-'Council Entry'!AH$5)),1))),"No data"))</f>
        <v/>
      </c>
      <c r="AI67" s="13">
        <f>IF('Council Entry'!AI67="","",IFERROR(MAX(0,MIN(10,ROUND(IF('Council Entry'!AI$7="Decrease Risk",10-10*((IF('Council Entry'!AI$4="Logarithm",LN(0.001+IF(AND(ISNUMBER('Council Entry'!AI$8),ISNUMBER('Council Entry'!AI$9)),MAX(MIN('Council Entry'!AI67,'Council Entry'!AI$9),'Council Entry'!AI$8),'Council Entry'!AI67)),IF('Council Entry'!AI$4="Exponential",EXP(IF(AND(ISNUMBER('Council Entry'!AI$8),ISNUMBER('Council Entry'!AI$9)),MAX(MIN('Council Entry'!AI67,'Council Entry'!AI$9),'Council Entry'!AI$8),'Council Entry'!AI67)),IF(AND(ISNUMBER('Council Entry'!AI$8),ISNUMBER('Council Entry'!AI$9)),MAX(MIN('Council Entry'!AI67,'Council Entry'!AI$9),'Council Entry'!AI$8),'Council Entry'!AI67))))-'Council Entry'!AI$5)/('Council Entry'!AI$6-'Council Entry'!AI$5),10*((IF('Council Entry'!AI$4="Logarithm",LN(0.001+IF(AND(ISNUMBER('Council Entry'!AI$8),ISNUMBER('Council Entry'!AI$9)),MAX(MIN('Council Entry'!AI67,'Council Entry'!AI$9),'Council Entry'!AI$8),'Council Entry'!AI67)),IF('Council Entry'!AI$4="Exponential",EXP(IF(AND(ISNUMBER('Council Entry'!AI$8),ISNUMBER('Council Entry'!AI$9)),MAX(MIN('Council Entry'!AI67,'Council Entry'!AI$9),'Council Entry'!AI$8),'Council Entry'!AI67)),IF(AND(ISNUMBER('Council Entry'!AI$8),ISNUMBER('Council Entry'!AI$9)),MAX(MIN('Council Entry'!AI67,'Council Entry'!AI$9),'Council Entry'!AI$8),'Council Entry'!AI67))))-'Council Entry'!AI$5)/('Council Entry'!AI$6-'Council Entry'!AI$5)),1))),"No data"))</f>
        <v/>
      </c>
      <c r="AJ67" s="13">
        <f>IF('Council Entry'!AJ67="","",IFERROR(MAX(0,MIN(10,ROUND(IF('Council Entry'!AJ$7="Decrease Risk",10-10*((IF('Council Entry'!AJ$4="Logarithm",LN(0.001+IF(AND(ISNUMBER('Council Entry'!AJ$8),ISNUMBER('Council Entry'!AJ$9)),MAX(MIN('Council Entry'!AJ67,'Council Entry'!AJ$9),'Council Entry'!AJ$8),'Council Entry'!AJ67)),IF('Council Entry'!AJ$4="Exponential",EXP(IF(AND(ISNUMBER('Council Entry'!AJ$8),ISNUMBER('Council Entry'!AJ$9)),MAX(MIN('Council Entry'!AJ67,'Council Entry'!AJ$9),'Council Entry'!AJ$8),'Council Entry'!AJ67)),IF(AND(ISNUMBER('Council Entry'!AJ$8),ISNUMBER('Council Entry'!AJ$9)),MAX(MIN('Council Entry'!AJ67,'Council Entry'!AJ$9),'Council Entry'!AJ$8),'Council Entry'!AJ67))))-'Council Entry'!AJ$5)/('Council Entry'!AJ$6-'Council Entry'!AJ$5),10*((IF('Council Entry'!AJ$4="Logarithm",LN(0.001+IF(AND(ISNUMBER('Council Entry'!AJ$8),ISNUMBER('Council Entry'!AJ$9)),MAX(MIN('Council Entry'!AJ67,'Council Entry'!AJ$9),'Council Entry'!AJ$8),'Council Entry'!AJ67)),IF('Council Entry'!AJ$4="Exponential",EXP(IF(AND(ISNUMBER('Council Entry'!AJ$8),ISNUMBER('Council Entry'!AJ$9)),MAX(MIN('Council Entry'!AJ67,'Council Entry'!AJ$9),'Council Entry'!AJ$8),'Council Entry'!AJ67)),IF(AND(ISNUMBER('Council Entry'!AJ$8),ISNUMBER('Council Entry'!AJ$9)),MAX(MIN('Council Entry'!AJ67,'Council Entry'!AJ$9),'Council Entry'!AJ$8),'Council Entry'!AJ67))))-'Council Entry'!AJ$5)/('Council Entry'!AJ$6-'Council Entry'!AJ$5)),1))),"No data"))</f>
        <v/>
      </c>
      <c r="AK67" s="13">
        <f>IF('Council Entry'!AK67="","",IFERROR(MAX(0,MIN(10,ROUND(IF('Council Entry'!AK$7="Decrease Risk",10-10*((IF('Council Entry'!AK$4="Logarithm",LN(0.001+IF(AND(ISNUMBER('Council Entry'!AK$8),ISNUMBER('Council Entry'!AK$9)),MAX(MIN('Council Entry'!AK67,'Council Entry'!AK$9),'Council Entry'!AK$8),'Council Entry'!AK67)),IF('Council Entry'!AK$4="Exponential",EXP(IF(AND(ISNUMBER('Council Entry'!AK$8),ISNUMBER('Council Entry'!AK$9)),MAX(MIN('Council Entry'!AK67,'Council Entry'!AK$9),'Council Entry'!AK$8),'Council Entry'!AK67)),IF(AND(ISNUMBER('Council Entry'!AK$8),ISNUMBER('Council Entry'!AK$9)),MAX(MIN('Council Entry'!AK67,'Council Entry'!AK$9),'Council Entry'!AK$8),'Council Entry'!AK67))))-'Council Entry'!AK$5)/('Council Entry'!AK$6-'Council Entry'!AK$5),10*((IF('Council Entry'!AK$4="Logarithm",LN(0.001+IF(AND(ISNUMBER('Council Entry'!AK$8),ISNUMBER('Council Entry'!AK$9)),MAX(MIN('Council Entry'!AK67,'Council Entry'!AK$9),'Council Entry'!AK$8),'Council Entry'!AK67)),IF('Council Entry'!AK$4="Exponential",EXP(IF(AND(ISNUMBER('Council Entry'!AK$8),ISNUMBER('Council Entry'!AK$9)),MAX(MIN('Council Entry'!AK67,'Council Entry'!AK$9),'Council Entry'!AK$8),'Council Entry'!AK67)),IF(AND(ISNUMBER('Council Entry'!AK$8),ISNUMBER('Council Entry'!AK$9)),MAX(MIN('Council Entry'!AK67,'Council Entry'!AK$9),'Council Entry'!AK$8),'Council Entry'!AK67))))-'Council Entry'!AK$5)/('Council Entry'!AK$6-'Council Entry'!AK$5)),1))),"No data"))</f>
        <v/>
      </c>
      <c r="AL67" s="13">
        <f>IF('Council Entry'!AL67="","",IFERROR(MAX(0,MIN(10,ROUND(IF('Council Entry'!AL$7="Decrease Risk",10-10*((IF('Council Entry'!AL$4="Logarithm",LN(0.001+IF(AND(ISNUMBER('Council Entry'!AL$8),ISNUMBER('Council Entry'!AL$9)),MAX(MIN('Council Entry'!AL67,'Council Entry'!AL$9),'Council Entry'!AL$8),'Council Entry'!AL67)),IF('Council Entry'!AL$4="Exponential",EXP(IF(AND(ISNUMBER('Council Entry'!AL$8),ISNUMBER('Council Entry'!AL$9)),MAX(MIN('Council Entry'!AL67,'Council Entry'!AL$9),'Council Entry'!AL$8),'Council Entry'!AL67)),IF(AND(ISNUMBER('Council Entry'!AL$8),ISNUMBER('Council Entry'!AL$9)),MAX(MIN('Council Entry'!AL67,'Council Entry'!AL$9),'Council Entry'!AL$8),'Council Entry'!AL67))))-'Council Entry'!AL$5)/('Council Entry'!AL$6-'Council Entry'!AL$5),10*((IF('Council Entry'!AL$4="Logarithm",LN(0.001+IF(AND(ISNUMBER('Council Entry'!AL$8),ISNUMBER('Council Entry'!AL$9)),MAX(MIN('Council Entry'!AL67,'Council Entry'!AL$9),'Council Entry'!AL$8),'Council Entry'!AL67)),IF('Council Entry'!AL$4="Exponential",EXP(IF(AND(ISNUMBER('Council Entry'!AL$8),ISNUMBER('Council Entry'!AL$9)),MAX(MIN('Council Entry'!AL67,'Council Entry'!AL$9),'Council Entry'!AL$8),'Council Entry'!AL67)),IF(AND(ISNUMBER('Council Entry'!AL$8),ISNUMBER('Council Entry'!AL$9)),MAX(MIN('Council Entry'!AL67,'Council Entry'!AL$9),'Council Entry'!AL$8),'Council Entry'!AL67))))-'Council Entry'!AL$5)/('Council Entry'!AL$6-'Council Entry'!AL$5)),1))),"No data"))</f>
        <v/>
      </c>
      <c r="AM67" s="13">
        <f>IF('Council Entry'!AM67="","",IFERROR(MAX(0,MIN(10,ROUND(IF('Council Entry'!AM$7="Decrease Risk",10-10*((IF('Council Entry'!AM$4="Logarithm",LN(0.001+IF(AND(ISNUMBER('Council Entry'!AM$8),ISNUMBER('Council Entry'!AM$9)),MAX(MIN('Council Entry'!AM67,'Council Entry'!AM$9),'Council Entry'!AM$8),'Council Entry'!AM67)),IF('Council Entry'!AM$4="Exponential",EXP(IF(AND(ISNUMBER('Council Entry'!AM$8),ISNUMBER('Council Entry'!AM$9)),MAX(MIN('Council Entry'!AM67,'Council Entry'!AM$9),'Council Entry'!AM$8),'Council Entry'!AM67)),IF(AND(ISNUMBER('Council Entry'!AM$8),ISNUMBER('Council Entry'!AM$9)),MAX(MIN('Council Entry'!AM67,'Council Entry'!AM$9),'Council Entry'!AM$8),'Council Entry'!AM67))))-'Council Entry'!AM$5)/('Council Entry'!AM$6-'Council Entry'!AM$5),10*((IF('Council Entry'!AM$4="Logarithm",LN(0.001+IF(AND(ISNUMBER('Council Entry'!AM$8),ISNUMBER('Council Entry'!AM$9)),MAX(MIN('Council Entry'!AM67,'Council Entry'!AM$9),'Council Entry'!AM$8),'Council Entry'!AM67)),IF('Council Entry'!AM$4="Exponential",EXP(IF(AND(ISNUMBER('Council Entry'!AM$8),ISNUMBER('Council Entry'!AM$9)),MAX(MIN('Council Entry'!AM67,'Council Entry'!AM$9),'Council Entry'!AM$8),'Council Entry'!AM67)),IF(AND(ISNUMBER('Council Entry'!AM$8),ISNUMBER('Council Entry'!AM$9)),MAX(MIN('Council Entry'!AM67,'Council Entry'!AM$9),'Council Entry'!AM$8),'Council Entry'!AM67))))-'Council Entry'!AM$5)/('Council Entry'!AM$6-'Council Entry'!AM$5)),1))),"No data"))</f>
        <v/>
      </c>
      <c r="AN67" s="13">
        <f>IF('Council Entry'!AN67="","",IFERROR(MAX(0,MIN(10,ROUND(IF('Council Entry'!AN$7="Decrease Risk",10-10*((IF('Council Entry'!AN$4="Logarithm",LN(0.001+IF(AND(ISNUMBER('Council Entry'!AN$8),ISNUMBER('Council Entry'!AN$9)),MAX(MIN('Council Entry'!AN67,'Council Entry'!AN$9),'Council Entry'!AN$8),'Council Entry'!AN67)),IF('Council Entry'!AN$4="Exponential",EXP(IF(AND(ISNUMBER('Council Entry'!AN$8),ISNUMBER('Council Entry'!AN$9)),MAX(MIN('Council Entry'!AN67,'Council Entry'!AN$9),'Council Entry'!AN$8),'Council Entry'!AN67)),IF(AND(ISNUMBER('Council Entry'!AN$8),ISNUMBER('Council Entry'!AN$9)),MAX(MIN('Council Entry'!AN67,'Council Entry'!AN$9),'Council Entry'!AN$8),'Council Entry'!AN67))))-'Council Entry'!AN$5)/('Council Entry'!AN$6-'Council Entry'!AN$5),10*((IF('Council Entry'!AN$4="Logarithm",LN(0.001+IF(AND(ISNUMBER('Council Entry'!AN$8),ISNUMBER('Council Entry'!AN$9)),MAX(MIN('Council Entry'!AN67,'Council Entry'!AN$9),'Council Entry'!AN$8),'Council Entry'!AN67)),IF('Council Entry'!AN$4="Exponential",EXP(IF(AND(ISNUMBER('Council Entry'!AN$8),ISNUMBER('Council Entry'!AN$9)),MAX(MIN('Council Entry'!AN67,'Council Entry'!AN$9),'Council Entry'!AN$8),'Council Entry'!AN67)),IF(AND(ISNUMBER('Council Entry'!AN$8),ISNUMBER('Council Entry'!AN$9)),MAX(MIN('Council Entry'!AN67,'Council Entry'!AN$9),'Council Entry'!AN$8),'Council Entry'!AN67))))-'Council Entry'!AN$5)/('Council Entry'!AN$6-'Council Entry'!AN$5)),1))),"No data"))</f>
        <v/>
      </c>
      <c r="AO67" s="13">
        <f>IF('Council Entry'!AO67="","",IFERROR(MAX(0,MIN(10,ROUND(IF('Council Entry'!AO$7="Decrease Risk",10-10*((IF('Council Entry'!AO$4="Logarithm",LN(0.001+IF(AND(ISNUMBER('Council Entry'!AO$8),ISNUMBER('Council Entry'!AO$9)),MAX(MIN('Council Entry'!AO67,'Council Entry'!AO$9),'Council Entry'!AO$8),'Council Entry'!AO67)),IF('Council Entry'!AO$4="Exponential",EXP(IF(AND(ISNUMBER('Council Entry'!AO$8),ISNUMBER('Council Entry'!AO$9)),MAX(MIN('Council Entry'!AO67,'Council Entry'!AO$9),'Council Entry'!AO$8),'Council Entry'!AO67)),IF(AND(ISNUMBER('Council Entry'!AO$8),ISNUMBER('Council Entry'!AO$9)),MAX(MIN('Council Entry'!AO67,'Council Entry'!AO$9),'Council Entry'!AO$8),'Council Entry'!AO67))))-'Council Entry'!AO$5)/('Council Entry'!AO$6-'Council Entry'!AO$5),10*((IF('Council Entry'!AO$4="Logarithm",LN(0.001+IF(AND(ISNUMBER('Council Entry'!AO$8),ISNUMBER('Council Entry'!AO$9)),MAX(MIN('Council Entry'!AO67,'Council Entry'!AO$9),'Council Entry'!AO$8),'Council Entry'!AO67)),IF('Council Entry'!AO$4="Exponential",EXP(IF(AND(ISNUMBER('Council Entry'!AO$8),ISNUMBER('Council Entry'!AO$9)),MAX(MIN('Council Entry'!AO67,'Council Entry'!AO$9),'Council Entry'!AO$8),'Council Entry'!AO67)),IF(AND(ISNUMBER('Council Entry'!AO$8),ISNUMBER('Council Entry'!AO$9)),MAX(MIN('Council Entry'!AO67,'Council Entry'!AO$9),'Council Entry'!AO$8),'Council Entry'!AO67))))-'Council Entry'!AO$5)/('Council Entry'!AO$6-'Council Entry'!AO$5)),1))),"No data"))</f>
        <v/>
      </c>
      <c r="AP67" s="13">
        <f>IF('Council Entry'!AP67="","",IFERROR(MAX(0,MIN(10,ROUND(IF('Council Entry'!AP$7="Decrease Risk",10-10*((IF('Council Entry'!AP$4="Logarithm",LN(0.001+IF(AND(ISNUMBER('Council Entry'!AP$8),ISNUMBER('Council Entry'!AP$9)),MAX(MIN('Council Entry'!AP67,'Council Entry'!AP$9),'Council Entry'!AP$8),'Council Entry'!AP67)),IF('Council Entry'!AP$4="Exponential",EXP(IF(AND(ISNUMBER('Council Entry'!AP$8),ISNUMBER('Council Entry'!AP$9)),MAX(MIN('Council Entry'!AP67,'Council Entry'!AP$9),'Council Entry'!AP$8),'Council Entry'!AP67)),IF(AND(ISNUMBER('Council Entry'!AP$8),ISNUMBER('Council Entry'!AP$9)),MAX(MIN('Council Entry'!AP67,'Council Entry'!AP$9),'Council Entry'!AP$8),'Council Entry'!AP67))))-'Council Entry'!AP$5)/('Council Entry'!AP$6-'Council Entry'!AP$5),10*((IF('Council Entry'!AP$4="Logarithm",LN(0.001+IF(AND(ISNUMBER('Council Entry'!AP$8),ISNUMBER('Council Entry'!AP$9)),MAX(MIN('Council Entry'!AP67,'Council Entry'!AP$9),'Council Entry'!AP$8),'Council Entry'!AP67)),IF('Council Entry'!AP$4="Exponential",EXP(IF(AND(ISNUMBER('Council Entry'!AP$8),ISNUMBER('Council Entry'!AP$9)),MAX(MIN('Council Entry'!AP67,'Council Entry'!AP$9),'Council Entry'!AP$8),'Council Entry'!AP67)),IF(AND(ISNUMBER('Council Entry'!AP$8),ISNUMBER('Council Entry'!AP$9)),MAX(MIN('Council Entry'!AP67,'Council Entry'!AP$9),'Council Entry'!AP$8),'Council Entry'!AP67))))-'Council Entry'!AP$5)/('Council Entry'!AP$6-'Council Entry'!AP$5)),1))),"No data"))</f>
        <v/>
      </c>
      <c r="AQ67" s="13">
        <f>IF('Council Entry'!AQ67="","",IFERROR(MAX(0,MIN(10,ROUND(IF('Council Entry'!AQ$7="Decrease Risk",10-10*((IF('Council Entry'!AQ$4="Logarithm",LN(0.001+IF(AND(ISNUMBER('Council Entry'!AQ$8),ISNUMBER('Council Entry'!AQ$9)),MAX(MIN('Council Entry'!AQ67,'Council Entry'!AQ$9),'Council Entry'!AQ$8),'Council Entry'!AQ67)),IF('Council Entry'!AQ$4="Exponential",EXP(IF(AND(ISNUMBER('Council Entry'!AQ$8),ISNUMBER('Council Entry'!AQ$9)),MAX(MIN('Council Entry'!AQ67,'Council Entry'!AQ$9),'Council Entry'!AQ$8),'Council Entry'!AQ67)),IF(AND(ISNUMBER('Council Entry'!AQ$8),ISNUMBER('Council Entry'!AQ$9)),MAX(MIN('Council Entry'!AQ67,'Council Entry'!AQ$9),'Council Entry'!AQ$8),'Council Entry'!AQ67))))-'Council Entry'!AQ$5)/('Council Entry'!AQ$6-'Council Entry'!AQ$5),10*((IF('Council Entry'!AQ$4="Logarithm",LN(0.001+IF(AND(ISNUMBER('Council Entry'!AQ$8),ISNUMBER('Council Entry'!AQ$9)),MAX(MIN('Council Entry'!AQ67,'Council Entry'!AQ$9),'Council Entry'!AQ$8),'Council Entry'!AQ67)),IF('Council Entry'!AQ$4="Exponential",EXP(IF(AND(ISNUMBER('Council Entry'!AQ$8),ISNUMBER('Council Entry'!AQ$9)),MAX(MIN('Council Entry'!AQ67,'Council Entry'!AQ$9),'Council Entry'!AQ$8),'Council Entry'!AQ67)),IF(AND(ISNUMBER('Council Entry'!AQ$8),ISNUMBER('Council Entry'!AQ$9)),MAX(MIN('Council Entry'!AQ67,'Council Entry'!AQ$9),'Council Entry'!AQ$8),'Council Entry'!AQ67))))-'Council Entry'!AQ$5)/('Council Entry'!AQ$6-'Council Entry'!AQ$5)),1))),"No data"))</f>
        <v/>
      </c>
      <c r="AR67" s="13">
        <f>IF('Council Entry'!AR67="","",IFERROR(MAX(0,MIN(10,ROUND(IF('Council Entry'!AR$7="Decrease Risk",10-10*((IF('Council Entry'!AR$4="Logarithm",LN(0.001+IF(AND(ISNUMBER('Council Entry'!AR$8),ISNUMBER('Council Entry'!AR$9)),MAX(MIN('Council Entry'!AR67,'Council Entry'!AR$9),'Council Entry'!AR$8),'Council Entry'!AR67)),IF('Council Entry'!AR$4="Exponential",EXP(IF(AND(ISNUMBER('Council Entry'!AR$8),ISNUMBER('Council Entry'!AR$9)),MAX(MIN('Council Entry'!AR67,'Council Entry'!AR$9),'Council Entry'!AR$8),'Council Entry'!AR67)),IF(AND(ISNUMBER('Council Entry'!AR$8),ISNUMBER('Council Entry'!AR$9)),MAX(MIN('Council Entry'!AR67,'Council Entry'!AR$9),'Council Entry'!AR$8),'Council Entry'!AR67))))-'Council Entry'!AR$5)/('Council Entry'!AR$6-'Council Entry'!AR$5),10*((IF('Council Entry'!AR$4="Logarithm",LN(0.001+IF(AND(ISNUMBER('Council Entry'!AR$8),ISNUMBER('Council Entry'!AR$9)),MAX(MIN('Council Entry'!AR67,'Council Entry'!AR$9),'Council Entry'!AR$8),'Council Entry'!AR67)),IF('Council Entry'!AR$4="Exponential",EXP(IF(AND(ISNUMBER('Council Entry'!AR$8),ISNUMBER('Council Entry'!AR$9)),MAX(MIN('Council Entry'!AR67,'Council Entry'!AR$9),'Council Entry'!AR$8),'Council Entry'!AR67)),IF(AND(ISNUMBER('Council Entry'!AR$8),ISNUMBER('Council Entry'!AR$9)),MAX(MIN('Council Entry'!AR67,'Council Entry'!AR$9),'Council Entry'!AR$8),'Council Entry'!AR67))))-'Council Entry'!AR$5)/('Council Entry'!AR$6-'Council Entry'!AR$5)),1))),"No data"))</f>
        <v/>
      </c>
      <c r="AS67" s="13">
        <f>IF('Council Entry'!AS67="","",IFERROR(MAX(0,MIN(10,ROUND(IF('Council Entry'!AS$7="Decrease Risk",10-10*((IF('Council Entry'!AS$4="Logarithm",LN(0.001+IF(AND(ISNUMBER('Council Entry'!AS$8),ISNUMBER('Council Entry'!AS$9)),MAX(MIN('Council Entry'!AS67,'Council Entry'!AS$9),'Council Entry'!AS$8),'Council Entry'!AS67)),IF('Council Entry'!AS$4="Exponential",EXP(IF(AND(ISNUMBER('Council Entry'!AS$8),ISNUMBER('Council Entry'!AS$9)),MAX(MIN('Council Entry'!AS67,'Council Entry'!AS$9),'Council Entry'!AS$8),'Council Entry'!AS67)),IF(AND(ISNUMBER('Council Entry'!AS$8),ISNUMBER('Council Entry'!AS$9)),MAX(MIN('Council Entry'!AS67,'Council Entry'!AS$9),'Council Entry'!AS$8),'Council Entry'!AS67))))-'Council Entry'!AS$5)/('Council Entry'!AS$6-'Council Entry'!AS$5),10*((IF('Council Entry'!AS$4="Logarithm",LN(0.001+IF(AND(ISNUMBER('Council Entry'!AS$8),ISNUMBER('Council Entry'!AS$9)),MAX(MIN('Council Entry'!AS67,'Council Entry'!AS$9),'Council Entry'!AS$8),'Council Entry'!AS67)),IF('Council Entry'!AS$4="Exponential",EXP(IF(AND(ISNUMBER('Council Entry'!AS$8),ISNUMBER('Council Entry'!AS$9)),MAX(MIN('Council Entry'!AS67,'Council Entry'!AS$9),'Council Entry'!AS$8),'Council Entry'!AS67)),IF(AND(ISNUMBER('Council Entry'!AS$8),ISNUMBER('Council Entry'!AS$9)),MAX(MIN('Council Entry'!AS67,'Council Entry'!AS$9),'Council Entry'!AS$8),'Council Entry'!AS67))))-'Council Entry'!AS$5)/('Council Entry'!AS$6-'Council Entry'!AS$5)),1))),"No data"))</f>
        <v/>
      </c>
      <c r="AT67" s="13">
        <f>IF('Council Entry'!AT67="","",IFERROR(MAX(0,MIN(10,ROUND(IF('Council Entry'!AT$7="Decrease Risk",10-10*((IF('Council Entry'!AT$4="Logarithm",LN(0.001+IF(AND(ISNUMBER('Council Entry'!AT$8),ISNUMBER('Council Entry'!AT$9)),MAX(MIN('Council Entry'!AT67,'Council Entry'!AT$9),'Council Entry'!AT$8),'Council Entry'!AT67)),IF('Council Entry'!AT$4="Exponential",EXP(IF(AND(ISNUMBER('Council Entry'!AT$8),ISNUMBER('Council Entry'!AT$9)),MAX(MIN('Council Entry'!AT67,'Council Entry'!AT$9),'Council Entry'!AT$8),'Council Entry'!AT67)),IF(AND(ISNUMBER('Council Entry'!AT$8),ISNUMBER('Council Entry'!AT$9)),MAX(MIN('Council Entry'!AT67,'Council Entry'!AT$9),'Council Entry'!AT$8),'Council Entry'!AT67))))-'Council Entry'!AT$5)/('Council Entry'!AT$6-'Council Entry'!AT$5),10*((IF('Council Entry'!AT$4="Logarithm",LN(0.001+IF(AND(ISNUMBER('Council Entry'!AT$8),ISNUMBER('Council Entry'!AT$9)),MAX(MIN('Council Entry'!AT67,'Council Entry'!AT$9),'Council Entry'!AT$8),'Council Entry'!AT67)),IF('Council Entry'!AT$4="Exponential",EXP(IF(AND(ISNUMBER('Council Entry'!AT$8),ISNUMBER('Council Entry'!AT$9)),MAX(MIN('Council Entry'!AT67,'Council Entry'!AT$9),'Council Entry'!AT$8),'Council Entry'!AT67)),IF(AND(ISNUMBER('Council Entry'!AT$8),ISNUMBER('Council Entry'!AT$9)),MAX(MIN('Council Entry'!AT67,'Council Entry'!AT$9),'Council Entry'!AT$8),'Council Entry'!AT67))))-'Council Entry'!AT$5)/('Council Entry'!AT$6-'Council Entry'!AT$5)),1))),"No data"))</f>
        <v/>
      </c>
      <c r="AU67" s="13">
        <f>IF('Council Entry'!AU67="","",IFERROR(MAX(0,MIN(10,ROUND(IF('Council Entry'!AU$7="Decrease Risk",10-10*((IF('Council Entry'!AU$4="Logarithm",LN(0.001+IF(AND(ISNUMBER('Council Entry'!AU$8),ISNUMBER('Council Entry'!AU$9)),MAX(MIN('Council Entry'!AU67,'Council Entry'!AU$9),'Council Entry'!AU$8),'Council Entry'!AU67)),IF('Council Entry'!AU$4="Exponential",EXP(IF(AND(ISNUMBER('Council Entry'!AU$8),ISNUMBER('Council Entry'!AU$9)),MAX(MIN('Council Entry'!AU67,'Council Entry'!AU$9),'Council Entry'!AU$8),'Council Entry'!AU67)),IF(AND(ISNUMBER('Council Entry'!AU$8),ISNUMBER('Council Entry'!AU$9)),MAX(MIN('Council Entry'!AU67,'Council Entry'!AU$9),'Council Entry'!AU$8),'Council Entry'!AU67))))-'Council Entry'!AU$5)/('Council Entry'!AU$6-'Council Entry'!AU$5),10*((IF('Council Entry'!AU$4="Logarithm",LN(0.001+IF(AND(ISNUMBER('Council Entry'!AU$8),ISNUMBER('Council Entry'!AU$9)),MAX(MIN('Council Entry'!AU67,'Council Entry'!AU$9),'Council Entry'!AU$8),'Council Entry'!AU67)),IF('Council Entry'!AU$4="Exponential",EXP(IF(AND(ISNUMBER('Council Entry'!AU$8),ISNUMBER('Council Entry'!AU$9)),MAX(MIN('Council Entry'!AU67,'Council Entry'!AU$9),'Council Entry'!AU$8),'Council Entry'!AU67)),IF(AND(ISNUMBER('Council Entry'!AU$8),ISNUMBER('Council Entry'!AU$9)),MAX(MIN('Council Entry'!AU67,'Council Entry'!AU$9),'Council Entry'!AU$8),'Council Entry'!AU67))))-'Council Entry'!AU$5)/('Council Entry'!AU$6-'Council Entry'!AU$5)),1))),"No data"))</f>
        <v/>
      </c>
      <c r="AV67" s="13">
        <f>IF('Council Entry'!AV67="","",IFERROR(MAX(0,MIN(10,ROUND(IF('Council Entry'!AV$7="Decrease Risk",10-10*((IF('Council Entry'!AV$4="Logarithm",LN(0.001+IF(AND(ISNUMBER('Council Entry'!AV$8),ISNUMBER('Council Entry'!AV$9)),MAX(MIN('Council Entry'!AV67,'Council Entry'!AV$9),'Council Entry'!AV$8),'Council Entry'!AV67)),IF('Council Entry'!AV$4="Exponential",EXP(IF(AND(ISNUMBER('Council Entry'!AV$8),ISNUMBER('Council Entry'!AV$9)),MAX(MIN('Council Entry'!AV67,'Council Entry'!AV$9),'Council Entry'!AV$8),'Council Entry'!AV67)),IF(AND(ISNUMBER('Council Entry'!AV$8),ISNUMBER('Council Entry'!AV$9)),MAX(MIN('Council Entry'!AV67,'Council Entry'!AV$9),'Council Entry'!AV$8),'Council Entry'!AV67))))-'Council Entry'!AV$5)/('Council Entry'!AV$6-'Council Entry'!AV$5),10*((IF('Council Entry'!AV$4="Logarithm",LN(0.001+IF(AND(ISNUMBER('Council Entry'!AV$8),ISNUMBER('Council Entry'!AV$9)),MAX(MIN('Council Entry'!AV67,'Council Entry'!AV$9),'Council Entry'!AV$8),'Council Entry'!AV67)),IF('Council Entry'!AV$4="Exponential",EXP(IF(AND(ISNUMBER('Council Entry'!AV$8),ISNUMBER('Council Entry'!AV$9)),MAX(MIN('Council Entry'!AV67,'Council Entry'!AV$9),'Council Entry'!AV$8),'Council Entry'!AV67)),IF(AND(ISNUMBER('Council Entry'!AV$8),ISNUMBER('Council Entry'!AV$9)),MAX(MIN('Council Entry'!AV67,'Council Entry'!AV$9),'Council Entry'!AV$8),'Council Entry'!AV67))))-'Council Entry'!AV$5)/('Council Entry'!AV$6-'Council Entry'!AV$5)),1))),"No data"))</f>
        <v/>
      </c>
      <c r="AW67" s="13">
        <f>IF('Council Entry'!AW67="","",IFERROR(MAX(0,MIN(10,ROUND(IF('Council Entry'!AW$7="Decrease Risk",10-10*((IF('Council Entry'!AW$4="Logarithm",LN(0.001+IF(AND(ISNUMBER('Council Entry'!AW$8),ISNUMBER('Council Entry'!AW$9)),MAX(MIN('Council Entry'!AW67,'Council Entry'!AW$9),'Council Entry'!AW$8),'Council Entry'!AW67)),IF('Council Entry'!AW$4="Exponential",EXP(IF(AND(ISNUMBER('Council Entry'!AW$8),ISNUMBER('Council Entry'!AW$9)),MAX(MIN('Council Entry'!AW67,'Council Entry'!AW$9),'Council Entry'!AW$8),'Council Entry'!AW67)),IF(AND(ISNUMBER('Council Entry'!AW$8),ISNUMBER('Council Entry'!AW$9)),MAX(MIN('Council Entry'!AW67,'Council Entry'!AW$9),'Council Entry'!AW$8),'Council Entry'!AW67))))-'Council Entry'!AW$5)/('Council Entry'!AW$6-'Council Entry'!AW$5),10*((IF('Council Entry'!AW$4="Logarithm",LN(0.001+IF(AND(ISNUMBER('Council Entry'!AW$8),ISNUMBER('Council Entry'!AW$9)),MAX(MIN('Council Entry'!AW67,'Council Entry'!AW$9),'Council Entry'!AW$8),'Council Entry'!AW67)),IF('Council Entry'!AW$4="Exponential",EXP(IF(AND(ISNUMBER('Council Entry'!AW$8),ISNUMBER('Council Entry'!AW$9)),MAX(MIN('Council Entry'!AW67,'Council Entry'!AW$9),'Council Entry'!AW$8),'Council Entry'!AW67)),IF(AND(ISNUMBER('Council Entry'!AW$8),ISNUMBER('Council Entry'!AW$9)),MAX(MIN('Council Entry'!AW67,'Council Entry'!AW$9),'Council Entry'!AW$8),'Council Entry'!AW67))))-'Council Entry'!AW$5)/('Council Entry'!AW$6-'Council Entry'!AW$5)),1))),"No data"))</f>
        <v/>
      </c>
      <c r="AX67" s="13">
        <f>IF('Council Entry'!AX67="","",IFERROR(MAX(0,MIN(10,ROUND(IF('Council Entry'!AX$7="Decrease Risk",10-10*((IF('Council Entry'!AX$4="Logarithm",LN(0.001+IF(AND(ISNUMBER('Council Entry'!AX$8),ISNUMBER('Council Entry'!AX$9)),MAX(MIN('Council Entry'!AX67,'Council Entry'!AX$9),'Council Entry'!AX$8),'Council Entry'!AX67)),IF('Council Entry'!AX$4="Exponential",EXP(IF(AND(ISNUMBER('Council Entry'!AX$8),ISNUMBER('Council Entry'!AX$9)),MAX(MIN('Council Entry'!AX67,'Council Entry'!AX$9),'Council Entry'!AX$8),'Council Entry'!AX67)),IF(AND(ISNUMBER('Council Entry'!AX$8),ISNUMBER('Council Entry'!AX$9)),MAX(MIN('Council Entry'!AX67,'Council Entry'!AX$9),'Council Entry'!AX$8),'Council Entry'!AX67))))-'Council Entry'!AX$5)/('Council Entry'!AX$6-'Council Entry'!AX$5),10*((IF('Council Entry'!AX$4="Logarithm",LN(0.001+IF(AND(ISNUMBER('Council Entry'!AX$8),ISNUMBER('Council Entry'!AX$9)),MAX(MIN('Council Entry'!AX67,'Council Entry'!AX$9),'Council Entry'!AX$8),'Council Entry'!AX67)),IF('Council Entry'!AX$4="Exponential",EXP(IF(AND(ISNUMBER('Council Entry'!AX$8),ISNUMBER('Council Entry'!AX$9)),MAX(MIN('Council Entry'!AX67,'Council Entry'!AX$9),'Council Entry'!AX$8),'Council Entry'!AX67)),IF(AND(ISNUMBER('Council Entry'!AX$8),ISNUMBER('Council Entry'!AX$9)),MAX(MIN('Council Entry'!AX67,'Council Entry'!AX$9),'Council Entry'!AX$8),'Council Entry'!AX67))))-'Council Entry'!AX$5)/('Council Entry'!AX$6-'Council Entry'!AX$5)),1))),"No data"))</f>
        <v/>
      </c>
      <c r="AY67" s="13">
        <f>IF('Council Entry'!AY67="","",IFERROR(MAX(0,MIN(10,ROUND(IF('Council Entry'!AY$7="Decrease Risk",10-10*((IF('Council Entry'!AY$4="Logarithm",LN(0.001+IF(AND(ISNUMBER('Council Entry'!AY$8),ISNUMBER('Council Entry'!AY$9)),MAX(MIN('Council Entry'!AY67,'Council Entry'!AY$9),'Council Entry'!AY$8),'Council Entry'!AY67)),IF('Council Entry'!AY$4="Exponential",EXP(IF(AND(ISNUMBER('Council Entry'!AY$8),ISNUMBER('Council Entry'!AY$9)),MAX(MIN('Council Entry'!AY67,'Council Entry'!AY$9),'Council Entry'!AY$8),'Council Entry'!AY67)),IF(AND(ISNUMBER('Council Entry'!AY$8),ISNUMBER('Council Entry'!AY$9)),MAX(MIN('Council Entry'!AY67,'Council Entry'!AY$9),'Council Entry'!AY$8),'Council Entry'!AY67))))-'Council Entry'!AY$5)/('Council Entry'!AY$6-'Council Entry'!AY$5),10*((IF('Council Entry'!AY$4="Logarithm",LN(0.001+IF(AND(ISNUMBER('Council Entry'!AY$8),ISNUMBER('Council Entry'!AY$9)),MAX(MIN('Council Entry'!AY67,'Council Entry'!AY$9),'Council Entry'!AY$8),'Council Entry'!AY67)),IF('Council Entry'!AY$4="Exponential",EXP(IF(AND(ISNUMBER('Council Entry'!AY$8),ISNUMBER('Council Entry'!AY$9)),MAX(MIN('Council Entry'!AY67,'Council Entry'!AY$9),'Council Entry'!AY$8),'Council Entry'!AY67)),IF(AND(ISNUMBER('Council Entry'!AY$8),ISNUMBER('Council Entry'!AY$9)),MAX(MIN('Council Entry'!AY67,'Council Entry'!AY$9),'Council Entry'!AY$8),'Council Entry'!AY67))))-'Council Entry'!AY$5)/('Council Entry'!AY$6-'Council Entry'!AY$5)),1))),"No data"))</f>
        <v/>
      </c>
      <c r="AZ67" s="13">
        <f>IF('Council Entry'!AZ67="","",IFERROR(MAX(0,MIN(10,ROUND(IF('Council Entry'!AZ$7="Decrease Risk",10-10*((IF('Council Entry'!AZ$4="Logarithm",LN(0.001+IF(AND(ISNUMBER('Council Entry'!AZ$8),ISNUMBER('Council Entry'!AZ$9)),MAX(MIN('Council Entry'!AZ67,'Council Entry'!AZ$9),'Council Entry'!AZ$8),'Council Entry'!AZ67)),IF('Council Entry'!AZ$4="Exponential",EXP(IF(AND(ISNUMBER('Council Entry'!AZ$8),ISNUMBER('Council Entry'!AZ$9)),MAX(MIN('Council Entry'!AZ67,'Council Entry'!AZ$9),'Council Entry'!AZ$8),'Council Entry'!AZ67)),IF(AND(ISNUMBER('Council Entry'!AZ$8),ISNUMBER('Council Entry'!AZ$9)),MAX(MIN('Council Entry'!AZ67,'Council Entry'!AZ$9),'Council Entry'!AZ$8),'Council Entry'!AZ67))))-'Council Entry'!AZ$5)/('Council Entry'!AZ$6-'Council Entry'!AZ$5),10*((IF('Council Entry'!AZ$4="Logarithm",LN(0.001+IF(AND(ISNUMBER('Council Entry'!AZ$8),ISNUMBER('Council Entry'!AZ$9)),MAX(MIN('Council Entry'!AZ67,'Council Entry'!AZ$9),'Council Entry'!AZ$8),'Council Entry'!AZ67)),IF('Council Entry'!AZ$4="Exponential",EXP(IF(AND(ISNUMBER('Council Entry'!AZ$8),ISNUMBER('Council Entry'!AZ$9)),MAX(MIN('Council Entry'!AZ67,'Council Entry'!AZ$9),'Council Entry'!AZ$8),'Council Entry'!AZ67)),IF(AND(ISNUMBER('Council Entry'!AZ$8),ISNUMBER('Council Entry'!AZ$9)),MAX(MIN('Council Entry'!AZ67,'Council Entry'!AZ$9),'Council Entry'!AZ$8),'Council Entry'!AZ67))))-'Council Entry'!AZ$5)/('Council Entry'!AZ$6-'Council Entry'!AZ$5)),1))),"No data"))</f>
        <v/>
      </c>
      <c r="BA67" s="13">
        <f>IF('Council Entry'!BA67="","",IFERROR(MAX(0,MIN(10,ROUND(IF('Council Entry'!BA$7="Decrease Risk",10-10*((IF('Council Entry'!BA$4="Logarithm",LN(0.001+IF(AND(ISNUMBER('Council Entry'!BA$8),ISNUMBER('Council Entry'!BA$9)),MAX(MIN('Council Entry'!BA67,'Council Entry'!BA$9),'Council Entry'!BA$8),'Council Entry'!BA67)),IF('Council Entry'!BA$4="Exponential",EXP(IF(AND(ISNUMBER('Council Entry'!BA$8),ISNUMBER('Council Entry'!BA$9)),MAX(MIN('Council Entry'!BA67,'Council Entry'!BA$9),'Council Entry'!BA$8),'Council Entry'!BA67)),IF(AND(ISNUMBER('Council Entry'!BA$8),ISNUMBER('Council Entry'!BA$9)),MAX(MIN('Council Entry'!BA67,'Council Entry'!BA$9),'Council Entry'!BA$8),'Council Entry'!BA67))))-'Council Entry'!BA$5)/('Council Entry'!BA$6-'Council Entry'!BA$5),10*((IF('Council Entry'!BA$4="Logarithm",LN(0.001+IF(AND(ISNUMBER('Council Entry'!BA$8),ISNUMBER('Council Entry'!BA$9)),MAX(MIN('Council Entry'!BA67,'Council Entry'!BA$9),'Council Entry'!BA$8),'Council Entry'!BA67)),IF('Council Entry'!BA$4="Exponential",EXP(IF(AND(ISNUMBER('Council Entry'!BA$8),ISNUMBER('Council Entry'!BA$9)),MAX(MIN('Council Entry'!BA67,'Council Entry'!BA$9),'Council Entry'!BA$8),'Council Entry'!BA67)),IF(AND(ISNUMBER('Council Entry'!BA$8),ISNUMBER('Council Entry'!BA$9)),MAX(MIN('Council Entry'!BA67,'Council Entry'!BA$9),'Council Entry'!BA$8),'Council Entry'!BA67))))-'Council Entry'!BA$5)/('Council Entry'!BA$6-'Council Entry'!BA$5)),1))),"No data"))</f>
        <v/>
      </c>
      <c r="BB67" s="13">
        <f>IF('Council Entry'!BB67="","",IFERROR(MAX(0,MIN(10,ROUND(IF('Council Entry'!BB$7="Decrease Risk",10-10*((IF('Council Entry'!BB$4="Logarithm",LN(0.001+IF(AND(ISNUMBER('Council Entry'!BB$8),ISNUMBER('Council Entry'!BB$9)),MAX(MIN('Council Entry'!BB67,'Council Entry'!BB$9),'Council Entry'!BB$8),'Council Entry'!BB67)),IF('Council Entry'!BB$4="Exponential",EXP(IF(AND(ISNUMBER('Council Entry'!BB$8),ISNUMBER('Council Entry'!BB$9)),MAX(MIN('Council Entry'!BB67,'Council Entry'!BB$9),'Council Entry'!BB$8),'Council Entry'!BB67)),IF(AND(ISNUMBER('Council Entry'!BB$8),ISNUMBER('Council Entry'!BB$9)),MAX(MIN('Council Entry'!BB67,'Council Entry'!BB$9),'Council Entry'!BB$8),'Council Entry'!BB67))))-'Council Entry'!BB$5)/('Council Entry'!BB$6-'Council Entry'!BB$5),10*((IF('Council Entry'!BB$4="Logarithm",LN(0.001+IF(AND(ISNUMBER('Council Entry'!BB$8),ISNUMBER('Council Entry'!BB$9)),MAX(MIN('Council Entry'!BB67,'Council Entry'!BB$9),'Council Entry'!BB$8),'Council Entry'!BB67)),IF('Council Entry'!BB$4="Exponential",EXP(IF(AND(ISNUMBER('Council Entry'!BB$8),ISNUMBER('Council Entry'!BB$9)),MAX(MIN('Council Entry'!BB67,'Council Entry'!BB$9),'Council Entry'!BB$8),'Council Entry'!BB67)),IF(AND(ISNUMBER('Council Entry'!BB$8),ISNUMBER('Council Entry'!BB$9)),MAX(MIN('Council Entry'!BB67,'Council Entry'!BB$9),'Council Entry'!BB$8),'Council Entry'!BB67))))-'Council Entry'!BB$5)/('Council Entry'!BB$6-'Council Entry'!BB$5)),1))),"No data"))</f>
        <v/>
      </c>
      <c r="BC67" s="13">
        <f>IF('Council Entry'!BC67="","",IFERROR(MAX(0,MIN(10,ROUND(IF('Council Entry'!BC$7="Decrease Risk",10-10*((IF('Council Entry'!BC$4="Logarithm",LN(0.001+IF(AND(ISNUMBER('Council Entry'!BC$8),ISNUMBER('Council Entry'!BC$9)),MAX(MIN('Council Entry'!BC67,'Council Entry'!BC$9),'Council Entry'!BC$8),'Council Entry'!BC67)),IF('Council Entry'!BC$4="Exponential",EXP(IF(AND(ISNUMBER('Council Entry'!BC$8),ISNUMBER('Council Entry'!BC$9)),MAX(MIN('Council Entry'!BC67,'Council Entry'!BC$9),'Council Entry'!BC$8),'Council Entry'!BC67)),IF(AND(ISNUMBER('Council Entry'!BC$8),ISNUMBER('Council Entry'!BC$9)),MAX(MIN('Council Entry'!BC67,'Council Entry'!BC$9),'Council Entry'!BC$8),'Council Entry'!BC67))))-'Council Entry'!BC$5)/('Council Entry'!BC$6-'Council Entry'!BC$5),10*((IF('Council Entry'!BC$4="Logarithm",LN(0.001+IF(AND(ISNUMBER('Council Entry'!BC$8),ISNUMBER('Council Entry'!BC$9)),MAX(MIN('Council Entry'!BC67,'Council Entry'!BC$9),'Council Entry'!BC$8),'Council Entry'!BC67)),IF('Council Entry'!BC$4="Exponential",EXP(IF(AND(ISNUMBER('Council Entry'!BC$8),ISNUMBER('Council Entry'!BC$9)),MAX(MIN('Council Entry'!BC67,'Council Entry'!BC$9),'Council Entry'!BC$8),'Council Entry'!BC67)),IF(AND(ISNUMBER('Council Entry'!BC$8),ISNUMBER('Council Entry'!BC$9)),MAX(MIN('Council Entry'!BC67,'Council Entry'!BC$9),'Council Entry'!BC$8),'Council Entry'!BC67))))-'Council Entry'!BC$5)/('Council Entry'!BC$6-'Council Entry'!BC$5)),1))),"No data"))</f>
        <v/>
      </c>
      <c r="BD67" s="13">
        <f>IF('Council Entry'!BD67="","",IFERROR(MAX(0,MIN(10,ROUND(IF('Council Entry'!BD$7="Decrease Risk",10-10*((IF('Council Entry'!BD$4="Logarithm",LN(0.001+IF(AND(ISNUMBER('Council Entry'!BD$8),ISNUMBER('Council Entry'!BD$9)),MAX(MIN('Council Entry'!BD67,'Council Entry'!BD$9),'Council Entry'!BD$8),'Council Entry'!BD67)),IF('Council Entry'!BD$4="Exponential",EXP(IF(AND(ISNUMBER('Council Entry'!BD$8),ISNUMBER('Council Entry'!BD$9)),MAX(MIN('Council Entry'!BD67,'Council Entry'!BD$9),'Council Entry'!BD$8),'Council Entry'!BD67)),IF(AND(ISNUMBER('Council Entry'!BD$8),ISNUMBER('Council Entry'!BD$9)),MAX(MIN('Council Entry'!BD67,'Council Entry'!BD$9),'Council Entry'!BD$8),'Council Entry'!BD67))))-'Council Entry'!BD$5)/('Council Entry'!BD$6-'Council Entry'!BD$5),10*((IF('Council Entry'!BD$4="Logarithm",LN(0.001+IF(AND(ISNUMBER('Council Entry'!BD$8),ISNUMBER('Council Entry'!BD$9)),MAX(MIN('Council Entry'!BD67,'Council Entry'!BD$9),'Council Entry'!BD$8),'Council Entry'!BD67)),IF('Council Entry'!BD$4="Exponential",EXP(IF(AND(ISNUMBER('Council Entry'!BD$8),ISNUMBER('Council Entry'!BD$9)),MAX(MIN('Council Entry'!BD67,'Council Entry'!BD$9),'Council Entry'!BD$8),'Council Entry'!BD67)),IF(AND(ISNUMBER('Council Entry'!BD$8),ISNUMBER('Council Entry'!BD$9)),MAX(MIN('Council Entry'!BD67,'Council Entry'!BD$9),'Council Entry'!BD$8),'Council Entry'!BD67))))-'Council Entry'!BD$5)/('Council Entry'!BD$6-'Council Entry'!BD$5)),1))),"No data"))</f>
        <v/>
      </c>
    </row>
    <row r="68">
      <c r="A68" t="inlineStr">
        <is>
          <t>Kilimanjaro</t>
        </is>
      </c>
      <c r="B68" t="inlineStr">
        <is>
          <t>Moshi District</t>
        </is>
      </c>
      <c r="C68" t="inlineStr">
        <is>
          <t>C020</t>
        </is>
      </c>
      <c r="D68" s="13">
        <f>IF('Council Entry'!D68="","",IFERROR(MAX(0,MIN(10,ROUND(IF('Council Entry'!D$7="Decrease Risk",10-10*((IF('Council Entry'!D$4="Logarithm",LN(0.001+IF(AND(ISNUMBER('Council Entry'!D$8),ISNUMBER('Council Entry'!D$9)),MAX(MIN('Council Entry'!D68,'Council Entry'!D$9),'Council Entry'!D$8),'Council Entry'!D68)),IF('Council Entry'!D$4="Exponential",EXP(IF(AND(ISNUMBER('Council Entry'!D$8),ISNUMBER('Council Entry'!D$9)),MAX(MIN('Council Entry'!D68,'Council Entry'!D$9),'Council Entry'!D$8),'Council Entry'!D68)),IF(AND(ISNUMBER('Council Entry'!D$8),ISNUMBER('Council Entry'!D$9)),MAX(MIN('Council Entry'!D68,'Council Entry'!D$9),'Council Entry'!D$8),'Council Entry'!D68))))-'Council Entry'!D$5)/('Council Entry'!D$6-'Council Entry'!D$5),10*((IF('Council Entry'!D$4="Logarithm",LN(0.001+IF(AND(ISNUMBER('Council Entry'!D$8),ISNUMBER('Council Entry'!D$9)),MAX(MIN('Council Entry'!D68,'Council Entry'!D$9),'Council Entry'!D$8),'Council Entry'!D68)),IF('Council Entry'!D$4="Exponential",EXP(IF(AND(ISNUMBER('Council Entry'!D$8),ISNUMBER('Council Entry'!D$9)),MAX(MIN('Council Entry'!D68,'Council Entry'!D$9),'Council Entry'!D$8),'Council Entry'!D68)),IF(AND(ISNUMBER('Council Entry'!D$8),ISNUMBER('Council Entry'!D$9)),MAX(MIN('Council Entry'!D68,'Council Entry'!D$9),'Council Entry'!D$8),'Council Entry'!D68))))-'Council Entry'!D$5)/('Council Entry'!D$6-'Council Entry'!D$5)),1))),"No data"))</f>
        <v/>
      </c>
      <c r="E68" s="13">
        <f>IF('Council Entry'!E68="","",IFERROR(MAX(0,MIN(10,ROUND(IF('Council Entry'!E$7="Decrease Risk",10-10*((IF('Council Entry'!E$4="Logarithm",LN(0.001+IF(AND(ISNUMBER('Council Entry'!E$8),ISNUMBER('Council Entry'!E$9)),MAX(MIN('Council Entry'!E68,'Council Entry'!E$9),'Council Entry'!E$8),'Council Entry'!E68)),IF('Council Entry'!E$4="Exponential",EXP(IF(AND(ISNUMBER('Council Entry'!E$8),ISNUMBER('Council Entry'!E$9)),MAX(MIN('Council Entry'!E68,'Council Entry'!E$9),'Council Entry'!E$8),'Council Entry'!E68)),IF(AND(ISNUMBER('Council Entry'!E$8),ISNUMBER('Council Entry'!E$9)),MAX(MIN('Council Entry'!E68,'Council Entry'!E$9),'Council Entry'!E$8),'Council Entry'!E68))))-'Council Entry'!E$5)/('Council Entry'!E$6-'Council Entry'!E$5),10*((IF('Council Entry'!E$4="Logarithm",LN(0.001+IF(AND(ISNUMBER('Council Entry'!E$8),ISNUMBER('Council Entry'!E$9)),MAX(MIN('Council Entry'!E68,'Council Entry'!E$9),'Council Entry'!E$8),'Council Entry'!E68)),IF('Council Entry'!E$4="Exponential",EXP(IF(AND(ISNUMBER('Council Entry'!E$8),ISNUMBER('Council Entry'!E$9)),MAX(MIN('Council Entry'!E68,'Council Entry'!E$9),'Council Entry'!E$8),'Council Entry'!E68)),IF(AND(ISNUMBER('Council Entry'!E$8),ISNUMBER('Council Entry'!E$9)),MAX(MIN('Council Entry'!E68,'Council Entry'!E$9),'Council Entry'!E$8),'Council Entry'!E68))))-'Council Entry'!E$5)/('Council Entry'!E$6-'Council Entry'!E$5)),1))),"No data"))</f>
        <v/>
      </c>
      <c r="F68" s="13">
        <f>IF('Council Entry'!F68="","",IFERROR(MAX(0,MIN(10,ROUND(IF('Council Entry'!F$7="Decrease Risk",10-10*((IF('Council Entry'!F$4="Logarithm",LN(0.001+IF(AND(ISNUMBER('Council Entry'!F$8),ISNUMBER('Council Entry'!F$9)),MAX(MIN('Council Entry'!F68,'Council Entry'!F$9),'Council Entry'!F$8),'Council Entry'!F68)),IF('Council Entry'!F$4="Exponential",EXP(IF(AND(ISNUMBER('Council Entry'!F$8),ISNUMBER('Council Entry'!F$9)),MAX(MIN('Council Entry'!F68,'Council Entry'!F$9),'Council Entry'!F$8),'Council Entry'!F68)),IF(AND(ISNUMBER('Council Entry'!F$8),ISNUMBER('Council Entry'!F$9)),MAX(MIN('Council Entry'!F68,'Council Entry'!F$9),'Council Entry'!F$8),'Council Entry'!F68))))-'Council Entry'!F$5)/('Council Entry'!F$6-'Council Entry'!F$5),10*((IF('Council Entry'!F$4="Logarithm",LN(0.001+IF(AND(ISNUMBER('Council Entry'!F$8),ISNUMBER('Council Entry'!F$9)),MAX(MIN('Council Entry'!F68,'Council Entry'!F$9),'Council Entry'!F$8),'Council Entry'!F68)),IF('Council Entry'!F$4="Exponential",EXP(IF(AND(ISNUMBER('Council Entry'!F$8),ISNUMBER('Council Entry'!F$9)),MAX(MIN('Council Entry'!F68,'Council Entry'!F$9),'Council Entry'!F$8),'Council Entry'!F68)),IF(AND(ISNUMBER('Council Entry'!F$8),ISNUMBER('Council Entry'!F$9)),MAX(MIN('Council Entry'!F68,'Council Entry'!F$9),'Council Entry'!F$8),'Council Entry'!F68))))-'Council Entry'!F$5)/('Council Entry'!F$6-'Council Entry'!F$5)),1))),"No data"))</f>
        <v/>
      </c>
      <c r="G68" s="13">
        <f>IF('Council Entry'!G68="","",IFERROR(MAX(0,MIN(10,ROUND(IF('Council Entry'!G$7="Decrease Risk",10-10*((IF('Council Entry'!G$4="Logarithm",LN(0.001+IF(AND(ISNUMBER('Council Entry'!G$8),ISNUMBER('Council Entry'!G$9)),MAX(MIN('Council Entry'!G68,'Council Entry'!G$9),'Council Entry'!G$8),'Council Entry'!G68)),IF('Council Entry'!G$4="Exponential",EXP(IF(AND(ISNUMBER('Council Entry'!G$8),ISNUMBER('Council Entry'!G$9)),MAX(MIN('Council Entry'!G68,'Council Entry'!G$9),'Council Entry'!G$8),'Council Entry'!G68)),IF(AND(ISNUMBER('Council Entry'!G$8),ISNUMBER('Council Entry'!G$9)),MAX(MIN('Council Entry'!G68,'Council Entry'!G$9),'Council Entry'!G$8),'Council Entry'!G68))))-'Council Entry'!G$5)/('Council Entry'!G$6-'Council Entry'!G$5),10*((IF('Council Entry'!G$4="Logarithm",LN(0.001+IF(AND(ISNUMBER('Council Entry'!G$8),ISNUMBER('Council Entry'!G$9)),MAX(MIN('Council Entry'!G68,'Council Entry'!G$9),'Council Entry'!G$8),'Council Entry'!G68)),IF('Council Entry'!G$4="Exponential",EXP(IF(AND(ISNUMBER('Council Entry'!G$8),ISNUMBER('Council Entry'!G$9)),MAX(MIN('Council Entry'!G68,'Council Entry'!G$9),'Council Entry'!G$8),'Council Entry'!G68)),IF(AND(ISNUMBER('Council Entry'!G$8),ISNUMBER('Council Entry'!G$9)),MAX(MIN('Council Entry'!G68,'Council Entry'!G$9),'Council Entry'!G$8),'Council Entry'!G68))))-'Council Entry'!G$5)/('Council Entry'!G$6-'Council Entry'!G$5)),1))),"No data"))</f>
        <v/>
      </c>
      <c r="H68" s="13">
        <f>IF('Council Entry'!H68="","",IFERROR(MAX(0,MIN(10,ROUND(IF('Council Entry'!H$7="Decrease Risk",10-10*((IF('Council Entry'!H$4="Logarithm",LN(0.001+IF(AND(ISNUMBER('Council Entry'!H$8),ISNUMBER('Council Entry'!H$9)),MAX(MIN('Council Entry'!H68,'Council Entry'!H$9),'Council Entry'!H$8),'Council Entry'!H68)),IF('Council Entry'!H$4="Exponential",EXP(IF(AND(ISNUMBER('Council Entry'!H$8),ISNUMBER('Council Entry'!H$9)),MAX(MIN('Council Entry'!H68,'Council Entry'!H$9),'Council Entry'!H$8),'Council Entry'!H68)),IF(AND(ISNUMBER('Council Entry'!H$8),ISNUMBER('Council Entry'!H$9)),MAX(MIN('Council Entry'!H68,'Council Entry'!H$9),'Council Entry'!H$8),'Council Entry'!H68))))-'Council Entry'!H$5)/('Council Entry'!H$6-'Council Entry'!H$5),10*((IF('Council Entry'!H$4="Logarithm",LN(0.001+IF(AND(ISNUMBER('Council Entry'!H$8),ISNUMBER('Council Entry'!H$9)),MAX(MIN('Council Entry'!H68,'Council Entry'!H$9),'Council Entry'!H$8),'Council Entry'!H68)),IF('Council Entry'!H$4="Exponential",EXP(IF(AND(ISNUMBER('Council Entry'!H$8),ISNUMBER('Council Entry'!H$9)),MAX(MIN('Council Entry'!H68,'Council Entry'!H$9),'Council Entry'!H$8),'Council Entry'!H68)),IF(AND(ISNUMBER('Council Entry'!H$8),ISNUMBER('Council Entry'!H$9)),MAX(MIN('Council Entry'!H68,'Council Entry'!H$9),'Council Entry'!H$8),'Council Entry'!H68))))-'Council Entry'!H$5)/('Council Entry'!H$6-'Council Entry'!H$5)),1))),"No data"))</f>
        <v/>
      </c>
      <c r="I68" s="13">
        <f>IF('Council Entry'!I68="","",IFERROR(MAX(0,MIN(10,ROUND(IF('Council Entry'!I$7="Decrease Risk",10-10*((IF('Council Entry'!I$4="Logarithm",LN(0.001+IF(AND(ISNUMBER('Council Entry'!I$8),ISNUMBER('Council Entry'!I$9)),MAX(MIN('Council Entry'!I68,'Council Entry'!I$9),'Council Entry'!I$8),'Council Entry'!I68)),IF('Council Entry'!I$4="Exponential",EXP(IF(AND(ISNUMBER('Council Entry'!I$8),ISNUMBER('Council Entry'!I$9)),MAX(MIN('Council Entry'!I68,'Council Entry'!I$9),'Council Entry'!I$8),'Council Entry'!I68)),IF(AND(ISNUMBER('Council Entry'!I$8),ISNUMBER('Council Entry'!I$9)),MAX(MIN('Council Entry'!I68,'Council Entry'!I$9),'Council Entry'!I$8),'Council Entry'!I68))))-'Council Entry'!I$5)/('Council Entry'!I$6-'Council Entry'!I$5),10*((IF('Council Entry'!I$4="Logarithm",LN(0.001+IF(AND(ISNUMBER('Council Entry'!I$8),ISNUMBER('Council Entry'!I$9)),MAX(MIN('Council Entry'!I68,'Council Entry'!I$9),'Council Entry'!I$8),'Council Entry'!I68)),IF('Council Entry'!I$4="Exponential",EXP(IF(AND(ISNUMBER('Council Entry'!I$8),ISNUMBER('Council Entry'!I$9)),MAX(MIN('Council Entry'!I68,'Council Entry'!I$9),'Council Entry'!I$8),'Council Entry'!I68)),IF(AND(ISNUMBER('Council Entry'!I$8),ISNUMBER('Council Entry'!I$9)),MAX(MIN('Council Entry'!I68,'Council Entry'!I$9),'Council Entry'!I$8),'Council Entry'!I68))))-'Council Entry'!I$5)/('Council Entry'!I$6-'Council Entry'!I$5)),1))),"No data"))</f>
        <v/>
      </c>
      <c r="J68" s="13">
        <f>IF('Council Entry'!J68="","",IFERROR(MAX(0,MIN(10,ROUND(IF('Council Entry'!J$7="Decrease Risk",10-10*((IF('Council Entry'!J$4="Logarithm",LN(0.001+IF(AND(ISNUMBER('Council Entry'!J$8),ISNUMBER('Council Entry'!J$9)),MAX(MIN('Council Entry'!J68,'Council Entry'!J$9),'Council Entry'!J$8),'Council Entry'!J68)),IF('Council Entry'!J$4="Exponential",EXP(IF(AND(ISNUMBER('Council Entry'!J$8),ISNUMBER('Council Entry'!J$9)),MAX(MIN('Council Entry'!J68,'Council Entry'!J$9),'Council Entry'!J$8),'Council Entry'!J68)),IF(AND(ISNUMBER('Council Entry'!J$8),ISNUMBER('Council Entry'!J$9)),MAX(MIN('Council Entry'!J68,'Council Entry'!J$9),'Council Entry'!J$8),'Council Entry'!J68))))-'Council Entry'!J$5)/('Council Entry'!J$6-'Council Entry'!J$5),10*((IF('Council Entry'!J$4="Logarithm",LN(0.001+IF(AND(ISNUMBER('Council Entry'!J$8),ISNUMBER('Council Entry'!J$9)),MAX(MIN('Council Entry'!J68,'Council Entry'!J$9),'Council Entry'!J$8),'Council Entry'!J68)),IF('Council Entry'!J$4="Exponential",EXP(IF(AND(ISNUMBER('Council Entry'!J$8),ISNUMBER('Council Entry'!J$9)),MAX(MIN('Council Entry'!J68,'Council Entry'!J$9),'Council Entry'!J$8),'Council Entry'!J68)),IF(AND(ISNUMBER('Council Entry'!J$8),ISNUMBER('Council Entry'!J$9)),MAX(MIN('Council Entry'!J68,'Council Entry'!J$9),'Council Entry'!J$8),'Council Entry'!J68))))-'Council Entry'!J$5)/('Council Entry'!J$6-'Council Entry'!J$5)),1))),"No data"))</f>
        <v/>
      </c>
      <c r="K68" s="13">
        <f>IF('Council Entry'!K68="","",IFERROR(MAX(0,MIN(10,ROUND(IF('Council Entry'!K$7="Decrease Risk",10-10*((IF('Council Entry'!K$4="Logarithm",LN(0.001+IF(AND(ISNUMBER('Council Entry'!K$8),ISNUMBER('Council Entry'!K$9)),MAX(MIN('Council Entry'!K68,'Council Entry'!K$9),'Council Entry'!K$8),'Council Entry'!K68)),IF('Council Entry'!K$4="Exponential",EXP(IF(AND(ISNUMBER('Council Entry'!K$8),ISNUMBER('Council Entry'!K$9)),MAX(MIN('Council Entry'!K68,'Council Entry'!K$9),'Council Entry'!K$8),'Council Entry'!K68)),IF(AND(ISNUMBER('Council Entry'!K$8),ISNUMBER('Council Entry'!K$9)),MAX(MIN('Council Entry'!K68,'Council Entry'!K$9),'Council Entry'!K$8),'Council Entry'!K68))))-'Council Entry'!K$5)/('Council Entry'!K$6-'Council Entry'!K$5),10*((IF('Council Entry'!K$4="Logarithm",LN(0.001+IF(AND(ISNUMBER('Council Entry'!K$8),ISNUMBER('Council Entry'!K$9)),MAX(MIN('Council Entry'!K68,'Council Entry'!K$9),'Council Entry'!K$8),'Council Entry'!K68)),IF('Council Entry'!K$4="Exponential",EXP(IF(AND(ISNUMBER('Council Entry'!K$8),ISNUMBER('Council Entry'!K$9)),MAX(MIN('Council Entry'!K68,'Council Entry'!K$9),'Council Entry'!K$8),'Council Entry'!K68)),IF(AND(ISNUMBER('Council Entry'!K$8),ISNUMBER('Council Entry'!K$9)),MAX(MIN('Council Entry'!K68,'Council Entry'!K$9),'Council Entry'!K$8),'Council Entry'!K68))))-'Council Entry'!K$5)/('Council Entry'!K$6-'Council Entry'!K$5)),1))),"No data"))</f>
        <v/>
      </c>
      <c r="L68" s="13">
        <f>IF('Council Entry'!L68="","",IFERROR(MAX(0,MIN(10,ROUND(IF('Council Entry'!L$7="Decrease Risk",10-10*((IF('Council Entry'!L$4="Logarithm",LN(0.001+IF(AND(ISNUMBER('Council Entry'!L$8),ISNUMBER('Council Entry'!L$9)),MAX(MIN('Council Entry'!L68,'Council Entry'!L$9),'Council Entry'!L$8),'Council Entry'!L68)),IF('Council Entry'!L$4="Exponential",EXP(IF(AND(ISNUMBER('Council Entry'!L$8),ISNUMBER('Council Entry'!L$9)),MAX(MIN('Council Entry'!L68,'Council Entry'!L$9),'Council Entry'!L$8),'Council Entry'!L68)),IF(AND(ISNUMBER('Council Entry'!L$8),ISNUMBER('Council Entry'!L$9)),MAX(MIN('Council Entry'!L68,'Council Entry'!L$9),'Council Entry'!L$8),'Council Entry'!L68))))-'Council Entry'!L$5)/('Council Entry'!L$6-'Council Entry'!L$5),10*((IF('Council Entry'!L$4="Logarithm",LN(0.001+IF(AND(ISNUMBER('Council Entry'!L$8),ISNUMBER('Council Entry'!L$9)),MAX(MIN('Council Entry'!L68,'Council Entry'!L$9),'Council Entry'!L$8),'Council Entry'!L68)),IF('Council Entry'!L$4="Exponential",EXP(IF(AND(ISNUMBER('Council Entry'!L$8),ISNUMBER('Council Entry'!L$9)),MAX(MIN('Council Entry'!L68,'Council Entry'!L$9),'Council Entry'!L$8),'Council Entry'!L68)),IF(AND(ISNUMBER('Council Entry'!L$8),ISNUMBER('Council Entry'!L$9)),MAX(MIN('Council Entry'!L68,'Council Entry'!L$9),'Council Entry'!L$8),'Council Entry'!L68))))-'Council Entry'!L$5)/('Council Entry'!L$6-'Council Entry'!L$5)),1))),"No data"))</f>
        <v/>
      </c>
      <c r="M68" s="13">
        <f>IF('Council Entry'!M68="","",IFERROR(MAX(0,MIN(10,ROUND(IF('Council Entry'!M$7="Decrease Risk",10-10*((IF('Council Entry'!M$4="Logarithm",LN(0.001+IF(AND(ISNUMBER('Council Entry'!M$8),ISNUMBER('Council Entry'!M$9)),MAX(MIN('Council Entry'!M68,'Council Entry'!M$9),'Council Entry'!M$8),'Council Entry'!M68)),IF('Council Entry'!M$4="Exponential",EXP(IF(AND(ISNUMBER('Council Entry'!M$8),ISNUMBER('Council Entry'!M$9)),MAX(MIN('Council Entry'!M68,'Council Entry'!M$9),'Council Entry'!M$8),'Council Entry'!M68)),IF(AND(ISNUMBER('Council Entry'!M$8),ISNUMBER('Council Entry'!M$9)),MAX(MIN('Council Entry'!M68,'Council Entry'!M$9),'Council Entry'!M$8),'Council Entry'!M68))))-'Council Entry'!M$5)/('Council Entry'!M$6-'Council Entry'!M$5),10*((IF('Council Entry'!M$4="Logarithm",LN(0.001+IF(AND(ISNUMBER('Council Entry'!M$8),ISNUMBER('Council Entry'!M$9)),MAX(MIN('Council Entry'!M68,'Council Entry'!M$9),'Council Entry'!M$8),'Council Entry'!M68)),IF('Council Entry'!M$4="Exponential",EXP(IF(AND(ISNUMBER('Council Entry'!M$8),ISNUMBER('Council Entry'!M$9)),MAX(MIN('Council Entry'!M68,'Council Entry'!M$9),'Council Entry'!M$8),'Council Entry'!M68)),IF(AND(ISNUMBER('Council Entry'!M$8),ISNUMBER('Council Entry'!M$9)),MAX(MIN('Council Entry'!M68,'Council Entry'!M$9),'Council Entry'!M$8),'Council Entry'!M68))))-'Council Entry'!M$5)/('Council Entry'!M$6-'Council Entry'!M$5)),1))),"No data"))</f>
        <v/>
      </c>
      <c r="N68" s="13">
        <f>IF('Council Entry'!N68="","",IFERROR(MAX(0,MIN(10,ROUND(IF('Council Entry'!N$7="Decrease Risk",10-10*((IF('Council Entry'!N$4="Logarithm",LN(0.001+IF(AND(ISNUMBER('Council Entry'!N$8),ISNUMBER('Council Entry'!N$9)),MAX(MIN('Council Entry'!N68,'Council Entry'!N$9),'Council Entry'!N$8),'Council Entry'!N68)),IF('Council Entry'!N$4="Exponential",EXP(IF(AND(ISNUMBER('Council Entry'!N$8),ISNUMBER('Council Entry'!N$9)),MAX(MIN('Council Entry'!N68,'Council Entry'!N$9),'Council Entry'!N$8),'Council Entry'!N68)),IF(AND(ISNUMBER('Council Entry'!N$8),ISNUMBER('Council Entry'!N$9)),MAX(MIN('Council Entry'!N68,'Council Entry'!N$9),'Council Entry'!N$8),'Council Entry'!N68))))-'Council Entry'!N$5)/('Council Entry'!N$6-'Council Entry'!N$5),10*((IF('Council Entry'!N$4="Logarithm",LN(0.001+IF(AND(ISNUMBER('Council Entry'!N$8),ISNUMBER('Council Entry'!N$9)),MAX(MIN('Council Entry'!N68,'Council Entry'!N$9),'Council Entry'!N$8),'Council Entry'!N68)),IF('Council Entry'!N$4="Exponential",EXP(IF(AND(ISNUMBER('Council Entry'!N$8),ISNUMBER('Council Entry'!N$9)),MAX(MIN('Council Entry'!N68,'Council Entry'!N$9),'Council Entry'!N$8),'Council Entry'!N68)),IF(AND(ISNUMBER('Council Entry'!N$8),ISNUMBER('Council Entry'!N$9)),MAX(MIN('Council Entry'!N68,'Council Entry'!N$9),'Council Entry'!N$8),'Council Entry'!N68))))-'Council Entry'!N$5)/('Council Entry'!N$6-'Council Entry'!N$5)),1))),"No data"))</f>
        <v/>
      </c>
      <c r="O68" s="13">
        <f>IF('Council Entry'!O68="","",IFERROR(MAX(0,MIN(10,ROUND(IF('Council Entry'!O$7="Decrease Risk",10-10*((IF('Council Entry'!O$4="Logarithm",LN(0.001+IF(AND(ISNUMBER('Council Entry'!O$8),ISNUMBER('Council Entry'!O$9)),MAX(MIN('Council Entry'!O68,'Council Entry'!O$9),'Council Entry'!O$8),'Council Entry'!O68)),IF('Council Entry'!O$4="Exponential",EXP(IF(AND(ISNUMBER('Council Entry'!O$8),ISNUMBER('Council Entry'!O$9)),MAX(MIN('Council Entry'!O68,'Council Entry'!O$9),'Council Entry'!O$8),'Council Entry'!O68)),IF(AND(ISNUMBER('Council Entry'!O$8),ISNUMBER('Council Entry'!O$9)),MAX(MIN('Council Entry'!O68,'Council Entry'!O$9),'Council Entry'!O$8),'Council Entry'!O68))))-'Council Entry'!O$5)/('Council Entry'!O$6-'Council Entry'!O$5),10*((IF('Council Entry'!O$4="Logarithm",LN(0.001+IF(AND(ISNUMBER('Council Entry'!O$8),ISNUMBER('Council Entry'!O$9)),MAX(MIN('Council Entry'!O68,'Council Entry'!O$9),'Council Entry'!O$8),'Council Entry'!O68)),IF('Council Entry'!O$4="Exponential",EXP(IF(AND(ISNUMBER('Council Entry'!O$8),ISNUMBER('Council Entry'!O$9)),MAX(MIN('Council Entry'!O68,'Council Entry'!O$9),'Council Entry'!O$8),'Council Entry'!O68)),IF(AND(ISNUMBER('Council Entry'!O$8),ISNUMBER('Council Entry'!O$9)),MAX(MIN('Council Entry'!O68,'Council Entry'!O$9),'Council Entry'!O$8),'Council Entry'!O68))))-'Council Entry'!O$5)/('Council Entry'!O$6-'Council Entry'!O$5)),1))),"No data"))</f>
        <v/>
      </c>
      <c r="P68" s="13">
        <f>IF('Council Entry'!P68="","",IFERROR(MAX(0,MIN(10,ROUND(IF('Council Entry'!P$7="Decrease Risk",10-10*((IF('Council Entry'!P$4="Logarithm",LN(0.001+IF(AND(ISNUMBER('Council Entry'!P$8),ISNUMBER('Council Entry'!P$9)),MAX(MIN('Council Entry'!P68,'Council Entry'!P$9),'Council Entry'!P$8),'Council Entry'!P68)),IF('Council Entry'!P$4="Exponential",EXP(IF(AND(ISNUMBER('Council Entry'!P$8),ISNUMBER('Council Entry'!P$9)),MAX(MIN('Council Entry'!P68,'Council Entry'!P$9),'Council Entry'!P$8),'Council Entry'!P68)),IF(AND(ISNUMBER('Council Entry'!P$8),ISNUMBER('Council Entry'!P$9)),MAX(MIN('Council Entry'!P68,'Council Entry'!P$9),'Council Entry'!P$8),'Council Entry'!P68))))-'Council Entry'!P$5)/('Council Entry'!P$6-'Council Entry'!P$5),10*((IF('Council Entry'!P$4="Logarithm",LN(0.001+IF(AND(ISNUMBER('Council Entry'!P$8),ISNUMBER('Council Entry'!P$9)),MAX(MIN('Council Entry'!P68,'Council Entry'!P$9),'Council Entry'!P$8),'Council Entry'!P68)),IF('Council Entry'!P$4="Exponential",EXP(IF(AND(ISNUMBER('Council Entry'!P$8),ISNUMBER('Council Entry'!P$9)),MAX(MIN('Council Entry'!P68,'Council Entry'!P$9),'Council Entry'!P$8),'Council Entry'!P68)),IF(AND(ISNUMBER('Council Entry'!P$8),ISNUMBER('Council Entry'!P$9)),MAX(MIN('Council Entry'!P68,'Council Entry'!P$9),'Council Entry'!P$8),'Council Entry'!P68))))-'Council Entry'!P$5)/('Council Entry'!P$6-'Council Entry'!P$5)),1))),"No data"))</f>
        <v/>
      </c>
      <c r="Q68" s="13">
        <f>IF('Council Entry'!Q68="","",IFERROR(MAX(0,MIN(10,ROUND(IF('Council Entry'!Q$7="Decrease Risk",10-10*((IF('Council Entry'!Q$4="Logarithm",LN(0.001+IF(AND(ISNUMBER('Council Entry'!Q$8),ISNUMBER('Council Entry'!Q$9)),MAX(MIN('Council Entry'!Q68,'Council Entry'!Q$9),'Council Entry'!Q$8),'Council Entry'!Q68)),IF('Council Entry'!Q$4="Exponential",EXP(IF(AND(ISNUMBER('Council Entry'!Q$8),ISNUMBER('Council Entry'!Q$9)),MAX(MIN('Council Entry'!Q68,'Council Entry'!Q$9),'Council Entry'!Q$8),'Council Entry'!Q68)),IF(AND(ISNUMBER('Council Entry'!Q$8),ISNUMBER('Council Entry'!Q$9)),MAX(MIN('Council Entry'!Q68,'Council Entry'!Q$9),'Council Entry'!Q$8),'Council Entry'!Q68))))-'Council Entry'!Q$5)/('Council Entry'!Q$6-'Council Entry'!Q$5),10*((IF('Council Entry'!Q$4="Logarithm",LN(0.001+IF(AND(ISNUMBER('Council Entry'!Q$8),ISNUMBER('Council Entry'!Q$9)),MAX(MIN('Council Entry'!Q68,'Council Entry'!Q$9),'Council Entry'!Q$8),'Council Entry'!Q68)),IF('Council Entry'!Q$4="Exponential",EXP(IF(AND(ISNUMBER('Council Entry'!Q$8),ISNUMBER('Council Entry'!Q$9)),MAX(MIN('Council Entry'!Q68,'Council Entry'!Q$9),'Council Entry'!Q$8),'Council Entry'!Q68)),IF(AND(ISNUMBER('Council Entry'!Q$8),ISNUMBER('Council Entry'!Q$9)),MAX(MIN('Council Entry'!Q68,'Council Entry'!Q$9),'Council Entry'!Q$8),'Council Entry'!Q68))))-'Council Entry'!Q$5)/('Council Entry'!Q$6-'Council Entry'!Q$5)),1))),"No data"))</f>
        <v/>
      </c>
      <c r="R68" s="13">
        <f>IF('Council Entry'!R68="","",IFERROR(MAX(0,MIN(10,ROUND(IF('Council Entry'!R$7="Decrease Risk",10-10*((IF('Council Entry'!R$4="Logarithm",LN(0.001+IF(AND(ISNUMBER('Council Entry'!R$8),ISNUMBER('Council Entry'!R$9)),MAX(MIN('Council Entry'!R68,'Council Entry'!R$9),'Council Entry'!R$8),'Council Entry'!R68)),IF('Council Entry'!R$4="Exponential",EXP(IF(AND(ISNUMBER('Council Entry'!R$8),ISNUMBER('Council Entry'!R$9)),MAX(MIN('Council Entry'!R68,'Council Entry'!R$9),'Council Entry'!R$8),'Council Entry'!R68)),IF(AND(ISNUMBER('Council Entry'!R$8),ISNUMBER('Council Entry'!R$9)),MAX(MIN('Council Entry'!R68,'Council Entry'!R$9),'Council Entry'!R$8),'Council Entry'!R68))))-'Council Entry'!R$5)/('Council Entry'!R$6-'Council Entry'!R$5),10*((IF('Council Entry'!R$4="Logarithm",LN(0.001+IF(AND(ISNUMBER('Council Entry'!R$8),ISNUMBER('Council Entry'!R$9)),MAX(MIN('Council Entry'!R68,'Council Entry'!R$9),'Council Entry'!R$8),'Council Entry'!R68)),IF('Council Entry'!R$4="Exponential",EXP(IF(AND(ISNUMBER('Council Entry'!R$8),ISNUMBER('Council Entry'!R$9)),MAX(MIN('Council Entry'!R68,'Council Entry'!R$9),'Council Entry'!R$8),'Council Entry'!R68)),IF(AND(ISNUMBER('Council Entry'!R$8),ISNUMBER('Council Entry'!R$9)),MAX(MIN('Council Entry'!R68,'Council Entry'!R$9),'Council Entry'!R$8),'Council Entry'!R68))))-'Council Entry'!R$5)/('Council Entry'!R$6-'Council Entry'!R$5)),1))),"No data"))</f>
        <v/>
      </c>
      <c r="S68" s="13">
        <f>IF('Council Entry'!S68="","",IFERROR(MAX(0,MIN(10,ROUND(IF('Council Entry'!S$7="Decrease Risk",10-10*((IF('Council Entry'!S$4="Logarithm",LN(0.001+IF(AND(ISNUMBER('Council Entry'!S$8),ISNUMBER('Council Entry'!S$9)),MAX(MIN('Council Entry'!S68,'Council Entry'!S$9),'Council Entry'!S$8),'Council Entry'!S68)),IF('Council Entry'!S$4="Exponential",EXP(IF(AND(ISNUMBER('Council Entry'!S$8),ISNUMBER('Council Entry'!S$9)),MAX(MIN('Council Entry'!S68,'Council Entry'!S$9),'Council Entry'!S$8),'Council Entry'!S68)),IF(AND(ISNUMBER('Council Entry'!S$8),ISNUMBER('Council Entry'!S$9)),MAX(MIN('Council Entry'!S68,'Council Entry'!S$9),'Council Entry'!S$8),'Council Entry'!S68))))-'Council Entry'!S$5)/('Council Entry'!S$6-'Council Entry'!S$5),10*((IF('Council Entry'!S$4="Logarithm",LN(0.001+IF(AND(ISNUMBER('Council Entry'!S$8),ISNUMBER('Council Entry'!S$9)),MAX(MIN('Council Entry'!S68,'Council Entry'!S$9),'Council Entry'!S$8),'Council Entry'!S68)),IF('Council Entry'!S$4="Exponential",EXP(IF(AND(ISNUMBER('Council Entry'!S$8),ISNUMBER('Council Entry'!S$9)),MAX(MIN('Council Entry'!S68,'Council Entry'!S$9),'Council Entry'!S$8),'Council Entry'!S68)),IF(AND(ISNUMBER('Council Entry'!S$8),ISNUMBER('Council Entry'!S$9)),MAX(MIN('Council Entry'!S68,'Council Entry'!S$9),'Council Entry'!S$8),'Council Entry'!S68))))-'Council Entry'!S$5)/('Council Entry'!S$6-'Council Entry'!S$5)),1))),"No data"))</f>
        <v/>
      </c>
      <c r="T68" s="13">
        <f>IF('Council Entry'!T68="","",IFERROR(MAX(0,MIN(10,ROUND(IF('Council Entry'!T$7="Decrease Risk",10-10*((IF('Council Entry'!T$4="Logarithm",LN(0.001+IF(AND(ISNUMBER('Council Entry'!T$8),ISNUMBER('Council Entry'!T$9)),MAX(MIN('Council Entry'!T68,'Council Entry'!T$9),'Council Entry'!T$8),'Council Entry'!T68)),IF('Council Entry'!T$4="Exponential",EXP(IF(AND(ISNUMBER('Council Entry'!T$8),ISNUMBER('Council Entry'!T$9)),MAX(MIN('Council Entry'!T68,'Council Entry'!T$9),'Council Entry'!T$8),'Council Entry'!T68)),IF(AND(ISNUMBER('Council Entry'!T$8),ISNUMBER('Council Entry'!T$9)),MAX(MIN('Council Entry'!T68,'Council Entry'!T$9),'Council Entry'!T$8),'Council Entry'!T68))))-'Council Entry'!T$5)/('Council Entry'!T$6-'Council Entry'!T$5),10*((IF('Council Entry'!T$4="Logarithm",LN(0.001+IF(AND(ISNUMBER('Council Entry'!T$8),ISNUMBER('Council Entry'!T$9)),MAX(MIN('Council Entry'!T68,'Council Entry'!T$9),'Council Entry'!T$8),'Council Entry'!T68)),IF('Council Entry'!T$4="Exponential",EXP(IF(AND(ISNUMBER('Council Entry'!T$8),ISNUMBER('Council Entry'!T$9)),MAX(MIN('Council Entry'!T68,'Council Entry'!T$9),'Council Entry'!T$8),'Council Entry'!T68)),IF(AND(ISNUMBER('Council Entry'!T$8),ISNUMBER('Council Entry'!T$9)),MAX(MIN('Council Entry'!T68,'Council Entry'!T$9),'Council Entry'!T$8),'Council Entry'!T68))))-'Council Entry'!T$5)/('Council Entry'!T$6-'Council Entry'!T$5)),1))),"No data"))</f>
        <v/>
      </c>
      <c r="U68" s="13">
        <f>IF('Council Entry'!U68="","",IFERROR(MAX(0,MIN(10,ROUND(IF('Council Entry'!U$7="Decrease Risk",10-10*((IF('Council Entry'!U$4="Logarithm",LN(0.001+IF(AND(ISNUMBER('Council Entry'!U$8),ISNUMBER('Council Entry'!U$9)),MAX(MIN('Council Entry'!U68,'Council Entry'!U$9),'Council Entry'!U$8),'Council Entry'!U68)),IF('Council Entry'!U$4="Exponential",EXP(IF(AND(ISNUMBER('Council Entry'!U$8),ISNUMBER('Council Entry'!U$9)),MAX(MIN('Council Entry'!U68,'Council Entry'!U$9),'Council Entry'!U$8),'Council Entry'!U68)),IF(AND(ISNUMBER('Council Entry'!U$8),ISNUMBER('Council Entry'!U$9)),MAX(MIN('Council Entry'!U68,'Council Entry'!U$9),'Council Entry'!U$8),'Council Entry'!U68))))-'Council Entry'!U$5)/('Council Entry'!U$6-'Council Entry'!U$5),10*((IF('Council Entry'!U$4="Logarithm",LN(0.001+IF(AND(ISNUMBER('Council Entry'!U$8),ISNUMBER('Council Entry'!U$9)),MAX(MIN('Council Entry'!U68,'Council Entry'!U$9),'Council Entry'!U$8),'Council Entry'!U68)),IF('Council Entry'!U$4="Exponential",EXP(IF(AND(ISNUMBER('Council Entry'!U$8),ISNUMBER('Council Entry'!U$9)),MAX(MIN('Council Entry'!U68,'Council Entry'!U$9),'Council Entry'!U$8),'Council Entry'!U68)),IF(AND(ISNUMBER('Council Entry'!U$8),ISNUMBER('Council Entry'!U$9)),MAX(MIN('Council Entry'!U68,'Council Entry'!U$9),'Council Entry'!U$8),'Council Entry'!U68))))-'Council Entry'!U$5)/('Council Entry'!U$6-'Council Entry'!U$5)),1))),"No data"))</f>
        <v/>
      </c>
      <c r="V68" s="13">
        <f>IF('Council Entry'!V68="","",IFERROR(MAX(0,MIN(10,ROUND(IF('Council Entry'!V$7="Decrease Risk",10-10*((IF('Council Entry'!V$4="Logarithm",LN(0.001+IF(AND(ISNUMBER('Council Entry'!V$8),ISNUMBER('Council Entry'!V$9)),MAX(MIN('Council Entry'!V68,'Council Entry'!V$9),'Council Entry'!V$8),'Council Entry'!V68)),IF('Council Entry'!V$4="Exponential",EXP(IF(AND(ISNUMBER('Council Entry'!V$8),ISNUMBER('Council Entry'!V$9)),MAX(MIN('Council Entry'!V68,'Council Entry'!V$9),'Council Entry'!V$8),'Council Entry'!V68)),IF(AND(ISNUMBER('Council Entry'!V$8),ISNUMBER('Council Entry'!V$9)),MAX(MIN('Council Entry'!V68,'Council Entry'!V$9),'Council Entry'!V$8),'Council Entry'!V68))))-'Council Entry'!V$5)/('Council Entry'!V$6-'Council Entry'!V$5),10*((IF('Council Entry'!V$4="Logarithm",LN(0.001+IF(AND(ISNUMBER('Council Entry'!V$8),ISNUMBER('Council Entry'!V$9)),MAX(MIN('Council Entry'!V68,'Council Entry'!V$9),'Council Entry'!V$8),'Council Entry'!V68)),IF('Council Entry'!V$4="Exponential",EXP(IF(AND(ISNUMBER('Council Entry'!V$8),ISNUMBER('Council Entry'!V$9)),MAX(MIN('Council Entry'!V68,'Council Entry'!V$9),'Council Entry'!V$8),'Council Entry'!V68)),IF(AND(ISNUMBER('Council Entry'!V$8),ISNUMBER('Council Entry'!V$9)),MAX(MIN('Council Entry'!V68,'Council Entry'!V$9),'Council Entry'!V$8),'Council Entry'!V68))))-'Council Entry'!V$5)/('Council Entry'!V$6-'Council Entry'!V$5)),1))),"No data"))</f>
        <v/>
      </c>
      <c r="W68" s="13">
        <f>IF('Council Entry'!W68="","",IFERROR(MAX(0,MIN(10,ROUND(IF('Council Entry'!W$7="Decrease Risk",10-10*((IF('Council Entry'!W$4="Logarithm",LN(0.001+IF(AND(ISNUMBER('Council Entry'!W$8),ISNUMBER('Council Entry'!W$9)),MAX(MIN('Council Entry'!W68,'Council Entry'!W$9),'Council Entry'!W$8),'Council Entry'!W68)),IF('Council Entry'!W$4="Exponential",EXP(IF(AND(ISNUMBER('Council Entry'!W$8),ISNUMBER('Council Entry'!W$9)),MAX(MIN('Council Entry'!W68,'Council Entry'!W$9),'Council Entry'!W$8),'Council Entry'!W68)),IF(AND(ISNUMBER('Council Entry'!W$8),ISNUMBER('Council Entry'!W$9)),MAX(MIN('Council Entry'!W68,'Council Entry'!W$9),'Council Entry'!W$8),'Council Entry'!W68))))-'Council Entry'!W$5)/('Council Entry'!W$6-'Council Entry'!W$5),10*((IF('Council Entry'!W$4="Logarithm",LN(0.001+IF(AND(ISNUMBER('Council Entry'!W$8),ISNUMBER('Council Entry'!W$9)),MAX(MIN('Council Entry'!W68,'Council Entry'!W$9),'Council Entry'!W$8),'Council Entry'!W68)),IF('Council Entry'!W$4="Exponential",EXP(IF(AND(ISNUMBER('Council Entry'!W$8),ISNUMBER('Council Entry'!W$9)),MAX(MIN('Council Entry'!W68,'Council Entry'!W$9),'Council Entry'!W$8),'Council Entry'!W68)),IF(AND(ISNUMBER('Council Entry'!W$8),ISNUMBER('Council Entry'!W$9)),MAX(MIN('Council Entry'!W68,'Council Entry'!W$9),'Council Entry'!W$8),'Council Entry'!W68))))-'Council Entry'!W$5)/('Council Entry'!W$6-'Council Entry'!W$5)),1))),"No data"))</f>
        <v/>
      </c>
      <c r="X68" s="13">
        <f>IF('Council Entry'!X68="","",IFERROR(MAX(0,MIN(10,ROUND(IF('Council Entry'!X$7="Decrease Risk",10-10*((IF('Council Entry'!X$4="Logarithm",LN(0.001+IF(AND(ISNUMBER('Council Entry'!X$8),ISNUMBER('Council Entry'!X$9)),MAX(MIN('Council Entry'!X68,'Council Entry'!X$9),'Council Entry'!X$8),'Council Entry'!X68)),IF('Council Entry'!X$4="Exponential",EXP(IF(AND(ISNUMBER('Council Entry'!X$8),ISNUMBER('Council Entry'!X$9)),MAX(MIN('Council Entry'!X68,'Council Entry'!X$9),'Council Entry'!X$8),'Council Entry'!X68)),IF(AND(ISNUMBER('Council Entry'!X$8),ISNUMBER('Council Entry'!X$9)),MAX(MIN('Council Entry'!X68,'Council Entry'!X$9),'Council Entry'!X$8),'Council Entry'!X68))))-'Council Entry'!X$5)/('Council Entry'!X$6-'Council Entry'!X$5),10*((IF('Council Entry'!X$4="Logarithm",LN(0.001+IF(AND(ISNUMBER('Council Entry'!X$8),ISNUMBER('Council Entry'!X$9)),MAX(MIN('Council Entry'!X68,'Council Entry'!X$9),'Council Entry'!X$8),'Council Entry'!X68)),IF('Council Entry'!X$4="Exponential",EXP(IF(AND(ISNUMBER('Council Entry'!X$8),ISNUMBER('Council Entry'!X$9)),MAX(MIN('Council Entry'!X68,'Council Entry'!X$9),'Council Entry'!X$8),'Council Entry'!X68)),IF(AND(ISNUMBER('Council Entry'!X$8),ISNUMBER('Council Entry'!X$9)),MAX(MIN('Council Entry'!X68,'Council Entry'!X$9),'Council Entry'!X$8),'Council Entry'!X68))))-'Council Entry'!X$5)/('Council Entry'!X$6-'Council Entry'!X$5)),1))),"No data"))</f>
        <v/>
      </c>
      <c r="Y68" s="13">
        <f>IF('Council Entry'!Y68="","",IFERROR(MAX(0,MIN(10,ROUND(IF('Council Entry'!Y$7="Decrease Risk",10-10*((IF('Council Entry'!Y$4="Logarithm",LN(0.001+IF(AND(ISNUMBER('Council Entry'!Y$8),ISNUMBER('Council Entry'!Y$9)),MAX(MIN('Council Entry'!Y68,'Council Entry'!Y$9),'Council Entry'!Y$8),'Council Entry'!Y68)),IF('Council Entry'!Y$4="Exponential",EXP(IF(AND(ISNUMBER('Council Entry'!Y$8),ISNUMBER('Council Entry'!Y$9)),MAX(MIN('Council Entry'!Y68,'Council Entry'!Y$9),'Council Entry'!Y$8),'Council Entry'!Y68)),IF(AND(ISNUMBER('Council Entry'!Y$8),ISNUMBER('Council Entry'!Y$9)),MAX(MIN('Council Entry'!Y68,'Council Entry'!Y$9),'Council Entry'!Y$8),'Council Entry'!Y68))))-'Council Entry'!Y$5)/('Council Entry'!Y$6-'Council Entry'!Y$5),10*((IF('Council Entry'!Y$4="Logarithm",LN(0.001+IF(AND(ISNUMBER('Council Entry'!Y$8),ISNUMBER('Council Entry'!Y$9)),MAX(MIN('Council Entry'!Y68,'Council Entry'!Y$9),'Council Entry'!Y$8),'Council Entry'!Y68)),IF('Council Entry'!Y$4="Exponential",EXP(IF(AND(ISNUMBER('Council Entry'!Y$8),ISNUMBER('Council Entry'!Y$9)),MAX(MIN('Council Entry'!Y68,'Council Entry'!Y$9),'Council Entry'!Y$8),'Council Entry'!Y68)),IF(AND(ISNUMBER('Council Entry'!Y$8),ISNUMBER('Council Entry'!Y$9)),MAX(MIN('Council Entry'!Y68,'Council Entry'!Y$9),'Council Entry'!Y$8),'Council Entry'!Y68))))-'Council Entry'!Y$5)/('Council Entry'!Y$6-'Council Entry'!Y$5)),1))),"No data"))</f>
        <v/>
      </c>
      <c r="Z68" s="13">
        <f>IF('Council Entry'!Z68="","",IFERROR(MAX(0,MIN(10,ROUND(IF('Council Entry'!Z$7="Decrease Risk",10-10*((IF('Council Entry'!Z$4="Logarithm",LN(0.001+IF(AND(ISNUMBER('Council Entry'!Z$8),ISNUMBER('Council Entry'!Z$9)),MAX(MIN('Council Entry'!Z68,'Council Entry'!Z$9),'Council Entry'!Z$8),'Council Entry'!Z68)),IF('Council Entry'!Z$4="Exponential",EXP(IF(AND(ISNUMBER('Council Entry'!Z$8),ISNUMBER('Council Entry'!Z$9)),MAX(MIN('Council Entry'!Z68,'Council Entry'!Z$9),'Council Entry'!Z$8),'Council Entry'!Z68)),IF(AND(ISNUMBER('Council Entry'!Z$8),ISNUMBER('Council Entry'!Z$9)),MAX(MIN('Council Entry'!Z68,'Council Entry'!Z$9),'Council Entry'!Z$8),'Council Entry'!Z68))))-'Council Entry'!Z$5)/('Council Entry'!Z$6-'Council Entry'!Z$5),10*((IF('Council Entry'!Z$4="Logarithm",LN(0.001+IF(AND(ISNUMBER('Council Entry'!Z$8),ISNUMBER('Council Entry'!Z$9)),MAX(MIN('Council Entry'!Z68,'Council Entry'!Z$9),'Council Entry'!Z$8),'Council Entry'!Z68)),IF('Council Entry'!Z$4="Exponential",EXP(IF(AND(ISNUMBER('Council Entry'!Z$8),ISNUMBER('Council Entry'!Z$9)),MAX(MIN('Council Entry'!Z68,'Council Entry'!Z$9),'Council Entry'!Z$8),'Council Entry'!Z68)),IF(AND(ISNUMBER('Council Entry'!Z$8),ISNUMBER('Council Entry'!Z$9)),MAX(MIN('Council Entry'!Z68,'Council Entry'!Z$9),'Council Entry'!Z$8),'Council Entry'!Z68))))-'Council Entry'!Z$5)/('Council Entry'!Z$6-'Council Entry'!Z$5)),1))),"No data"))</f>
        <v/>
      </c>
      <c r="AA68" s="13">
        <f>IF('Council Entry'!AA68="","",IFERROR(MAX(0,MIN(10,ROUND(IF('Council Entry'!AA$7="Decrease Risk",10-10*((IF('Council Entry'!AA$4="Logarithm",LN(0.001+IF(AND(ISNUMBER('Council Entry'!AA$8),ISNUMBER('Council Entry'!AA$9)),MAX(MIN('Council Entry'!AA68,'Council Entry'!AA$9),'Council Entry'!AA$8),'Council Entry'!AA68)),IF('Council Entry'!AA$4="Exponential",EXP(IF(AND(ISNUMBER('Council Entry'!AA$8),ISNUMBER('Council Entry'!AA$9)),MAX(MIN('Council Entry'!AA68,'Council Entry'!AA$9),'Council Entry'!AA$8),'Council Entry'!AA68)),IF(AND(ISNUMBER('Council Entry'!AA$8),ISNUMBER('Council Entry'!AA$9)),MAX(MIN('Council Entry'!AA68,'Council Entry'!AA$9),'Council Entry'!AA$8),'Council Entry'!AA68))))-'Council Entry'!AA$5)/('Council Entry'!AA$6-'Council Entry'!AA$5),10*((IF('Council Entry'!AA$4="Logarithm",LN(0.001+IF(AND(ISNUMBER('Council Entry'!AA$8),ISNUMBER('Council Entry'!AA$9)),MAX(MIN('Council Entry'!AA68,'Council Entry'!AA$9),'Council Entry'!AA$8),'Council Entry'!AA68)),IF('Council Entry'!AA$4="Exponential",EXP(IF(AND(ISNUMBER('Council Entry'!AA$8),ISNUMBER('Council Entry'!AA$9)),MAX(MIN('Council Entry'!AA68,'Council Entry'!AA$9),'Council Entry'!AA$8),'Council Entry'!AA68)),IF(AND(ISNUMBER('Council Entry'!AA$8),ISNUMBER('Council Entry'!AA$9)),MAX(MIN('Council Entry'!AA68,'Council Entry'!AA$9),'Council Entry'!AA$8),'Council Entry'!AA68))))-'Council Entry'!AA$5)/('Council Entry'!AA$6-'Council Entry'!AA$5)),1))),"No data"))</f>
        <v/>
      </c>
      <c r="AB68" s="13">
        <f>IF('Council Entry'!AB68="","",IFERROR(MAX(0,MIN(10,ROUND(IF('Council Entry'!AB$7="Decrease Risk",10-10*((IF('Council Entry'!AB$4="Logarithm",LN(0.001+IF(AND(ISNUMBER('Council Entry'!AB$8),ISNUMBER('Council Entry'!AB$9)),MAX(MIN('Council Entry'!AB68,'Council Entry'!AB$9),'Council Entry'!AB$8),'Council Entry'!AB68)),IF('Council Entry'!AB$4="Exponential",EXP(IF(AND(ISNUMBER('Council Entry'!AB$8),ISNUMBER('Council Entry'!AB$9)),MAX(MIN('Council Entry'!AB68,'Council Entry'!AB$9),'Council Entry'!AB$8),'Council Entry'!AB68)),IF(AND(ISNUMBER('Council Entry'!AB$8),ISNUMBER('Council Entry'!AB$9)),MAX(MIN('Council Entry'!AB68,'Council Entry'!AB$9),'Council Entry'!AB$8),'Council Entry'!AB68))))-'Council Entry'!AB$5)/('Council Entry'!AB$6-'Council Entry'!AB$5),10*((IF('Council Entry'!AB$4="Logarithm",LN(0.001+IF(AND(ISNUMBER('Council Entry'!AB$8),ISNUMBER('Council Entry'!AB$9)),MAX(MIN('Council Entry'!AB68,'Council Entry'!AB$9),'Council Entry'!AB$8),'Council Entry'!AB68)),IF('Council Entry'!AB$4="Exponential",EXP(IF(AND(ISNUMBER('Council Entry'!AB$8),ISNUMBER('Council Entry'!AB$9)),MAX(MIN('Council Entry'!AB68,'Council Entry'!AB$9),'Council Entry'!AB$8),'Council Entry'!AB68)),IF(AND(ISNUMBER('Council Entry'!AB$8),ISNUMBER('Council Entry'!AB$9)),MAX(MIN('Council Entry'!AB68,'Council Entry'!AB$9),'Council Entry'!AB$8),'Council Entry'!AB68))))-'Council Entry'!AB$5)/('Council Entry'!AB$6-'Council Entry'!AB$5)),1))),"No data"))</f>
        <v/>
      </c>
      <c r="AC68" s="13">
        <f>IF('Council Entry'!AC68="","",IFERROR(MAX(0,MIN(10,ROUND(IF('Council Entry'!AC$7="Decrease Risk",10-10*((IF('Council Entry'!AC$4="Logarithm",LN(0.001+IF(AND(ISNUMBER('Council Entry'!AC$8),ISNUMBER('Council Entry'!AC$9)),MAX(MIN('Council Entry'!AC68,'Council Entry'!AC$9),'Council Entry'!AC$8),'Council Entry'!AC68)),IF('Council Entry'!AC$4="Exponential",EXP(IF(AND(ISNUMBER('Council Entry'!AC$8),ISNUMBER('Council Entry'!AC$9)),MAX(MIN('Council Entry'!AC68,'Council Entry'!AC$9),'Council Entry'!AC$8),'Council Entry'!AC68)),IF(AND(ISNUMBER('Council Entry'!AC$8),ISNUMBER('Council Entry'!AC$9)),MAX(MIN('Council Entry'!AC68,'Council Entry'!AC$9),'Council Entry'!AC$8),'Council Entry'!AC68))))-'Council Entry'!AC$5)/('Council Entry'!AC$6-'Council Entry'!AC$5),10*((IF('Council Entry'!AC$4="Logarithm",LN(0.001+IF(AND(ISNUMBER('Council Entry'!AC$8),ISNUMBER('Council Entry'!AC$9)),MAX(MIN('Council Entry'!AC68,'Council Entry'!AC$9),'Council Entry'!AC$8),'Council Entry'!AC68)),IF('Council Entry'!AC$4="Exponential",EXP(IF(AND(ISNUMBER('Council Entry'!AC$8),ISNUMBER('Council Entry'!AC$9)),MAX(MIN('Council Entry'!AC68,'Council Entry'!AC$9),'Council Entry'!AC$8),'Council Entry'!AC68)),IF(AND(ISNUMBER('Council Entry'!AC$8),ISNUMBER('Council Entry'!AC$9)),MAX(MIN('Council Entry'!AC68,'Council Entry'!AC$9),'Council Entry'!AC$8),'Council Entry'!AC68))))-'Council Entry'!AC$5)/('Council Entry'!AC$6-'Council Entry'!AC$5)),1))),"No data"))</f>
        <v/>
      </c>
      <c r="AD68" s="13">
        <f>IF('Council Entry'!AD68="","",IFERROR(MAX(0,MIN(10,ROUND(IF('Council Entry'!AD$7="Decrease Risk",10-10*((IF('Council Entry'!AD$4="Logarithm",LN(0.001+IF(AND(ISNUMBER('Council Entry'!AD$8),ISNUMBER('Council Entry'!AD$9)),MAX(MIN('Council Entry'!AD68,'Council Entry'!AD$9),'Council Entry'!AD$8),'Council Entry'!AD68)),IF('Council Entry'!AD$4="Exponential",EXP(IF(AND(ISNUMBER('Council Entry'!AD$8),ISNUMBER('Council Entry'!AD$9)),MAX(MIN('Council Entry'!AD68,'Council Entry'!AD$9),'Council Entry'!AD$8),'Council Entry'!AD68)),IF(AND(ISNUMBER('Council Entry'!AD$8),ISNUMBER('Council Entry'!AD$9)),MAX(MIN('Council Entry'!AD68,'Council Entry'!AD$9),'Council Entry'!AD$8),'Council Entry'!AD68))))-'Council Entry'!AD$5)/('Council Entry'!AD$6-'Council Entry'!AD$5),10*((IF('Council Entry'!AD$4="Logarithm",LN(0.001+IF(AND(ISNUMBER('Council Entry'!AD$8),ISNUMBER('Council Entry'!AD$9)),MAX(MIN('Council Entry'!AD68,'Council Entry'!AD$9),'Council Entry'!AD$8),'Council Entry'!AD68)),IF('Council Entry'!AD$4="Exponential",EXP(IF(AND(ISNUMBER('Council Entry'!AD$8),ISNUMBER('Council Entry'!AD$9)),MAX(MIN('Council Entry'!AD68,'Council Entry'!AD$9),'Council Entry'!AD$8),'Council Entry'!AD68)),IF(AND(ISNUMBER('Council Entry'!AD$8),ISNUMBER('Council Entry'!AD$9)),MAX(MIN('Council Entry'!AD68,'Council Entry'!AD$9),'Council Entry'!AD$8),'Council Entry'!AD68))))-'Council Entry'!AD$5)/('Council Entry'!AD$6-'Council Entry'!AD$5)),1))),"No data"))</f>
        <v/>
      </c>
      <c r="AE68" s="13">
        <f>IF('Council Entry'!AE68="","",IFERROR(MAX(0,MIN(10,ROUND(IF('Council Entry'!AE$7="Decrease Risk",10-10*((IF('Council Entry'!AE$4="Logarithm",LN(0.001+IF(AND(ISNUMBER('Council Entry'!AE$8),ISNUMBER('Council Entry'!AE$9)),MAX(MIN('Council Entry'!AE68,'Council Entry'!AE$9),'Council Entry'!AE$8),'Council Entry'!AE68)),IF('Council Entry'!AE$4="Exponential",EXP(IF(AND(ISNUMBER('Council Entry'!AE$8),ISNUMBER('Council Entry'!AE$9)),MAX(MIN('Council Entry'!AE68,'Council Entry'!AE$9),'Council Entry'!AE$8),'Council Entry'!AE68)),IF(AND(ISNUMBER('Council Entry'!AE$8),ISNUMBER('Council Entry'!AE$9)),MAX(MIN('Council Entry'!AE68,'Council Entry'!AE$9),'Council Entry'!AE$8),'Council Entry'!AE68))))-'Council Entry'!AE$5)/('Council Entry'!AE$6-'Council Entry'!AE$5),10*((IF('Council Entry'!AE$4="Logarithm",LN(0.001+IF(AND(ISNUMBER('Council Entry'!AE$8),ISNUMBER('Council Entry'!AE$9)),MAX(MIN('Council Entry'!AE68,'Council Entry'!AE$9),'Council Entry'!AE$8),'Council Entry'!AE68)),IF('Council Entry'!AE$4="Exponential",EXP(IF(AND(ISNUMBER('Council Entry'!AE$8),ISNUMBER('Council Entry'!AE$9)),MAX(MIN('Council Entry'!AE68,'Council Entry'!AE$9),'Council Entry'!AE$8),'Council Entry'!AE68)),IF(AND(ISNUMBER('Council Entry'!AE$8),ISNUMBER('Council Entry'!AE$9)),MAX(MIN('Council Entry'!AE68,'Council Entry'!AE$9),'Council Entry'!AE$8),'Council Entry'!AE68))))-'Council Entry'!AE$5)/('Council Entry'!AE$6-'Council Entry'!AE$5)),1))),"No data"))</f>
        <v/>
      </c>
      <c r="AF68" s="13">
        <f>IF('Council Entry'!AF68="","",IFERROR(MAX(0,MIN(10,ROUND(IF('Council Entry'!AF$7="Decrease Risk",10-10*((IF('Council Entry'!AF$4="Logarithm",LN(0.001+IF(AND(ISNUMBER('Council Entry'!AF$8),ISNUMBER('Council Entry'!AF$9)),MAX(MIN('Council Entry'!AF68,'Council Entry'!AF$9),'Council Entry'!AF$8),'Council Entry'!AF68)),IF('Council Entry'!AF$4="Exponential",EXP(IF(AND(ISNUMBER('Council Entry'!AF$8),ISNUMBER('Council Entry'!AF$9)),MAX(MIN('Council Entry'!AF68,'Council Entry'!AF$9),'Council Entry'!AF$8),'Council Entry'!AF68)),IF(AND(ISNUMBER('Council Entry'!AF$8),ISNUMBER('Council Entry'!AF$9)),MAX(MIN('Council Entry'!AF68,'Council Entry'!AF$9),'Council Entry'!AF$8),'Council Entry'!AF68))))-'Council Entry'!AF$5)/('Council Entry'!AF$6-'Council Entry'!AF$5),10*((IF('Council Entry'!AF$4="Logarithm",LN(0.001+IF(AND(ISNUMBER('Council Entry'!AF$8),ISNUMBER('Council Entry'!AF$9)),MAX(MIN('Council Entry'!AF68,'Council Entry'!AF$9),'Council Entry'!AF$8),'Council Entry'!AF68)),IF('Council Entry'!AF$4="Exponential",EXP(IF(AND(ISNUMBER('Council Entry'!AF$8),ISNUMBER('Council Entry'!AF$9)),MAX(MIN('Council Entry'!AF68,'Council Entry'!AF$9),'Council Entry'!AF$8),'Council Entry'!AF68)),IF(AND(ISNUMBER('Council Entry'!AF$8),ISNUMBER('Council Entry'!AF$9)),MAX(MIN('Council Entry'!AF68,'Council Entry'!AF$9),'Council Entry'!AF$8),'Council Entry'!AF68))))-'Council Entry'!AF$5)/('Council Entry'!AF$6-'Council Entry'!AF$5)),1))),"No data"))</f>
        <v/>
      </c>
      <c r="AG68" s="13">
        <f>IF('Council Entry'!AG68="","",IFERROR(MAX(0,MIN(10,ROUND(IF('Council Entry'!AG$7="Decrease Risk",10-10*((IF('Council Entry'!AG$4="Logarithm",LN(0.001+IF(AND(ISNUMBER('Council Entry'!AG$8),ISNUMBER('Council Entry'!AG$9)),MAX(MIN('Council Entry'!AG68,'Council Entry'!AG$9),'Council Entry'!AG$8),'Council Entry'!AG68)),IF('Council Entry'!AG$4="Exponential",EXP(IF(AND(ISNUMBER('Council Entry'!AG$8),ISNUMBER('Council Entry'!AG$9)),MAX(MIN('Council Entry'!AG68,'Council Entry'!AG$9),'Council Entry'!AG$8),'Council Entry'!AG68)),IF(AND(ISNUMBER('Council Entry'!AG$8),ISNUMBER('Council Entry'!AG$9)),MAX(MIN('Council Entry'!AG68,'Council Entry'!AG$9),'Council Entry'!AG$8),'Council Entry'!AG68))))-'Council Entry'!AG$5)/('Council Entry'!AG$6-'Council Entry'!AG$5),10*((IF('Council Entry'!AG$4="Logarithm",LN(0.001+IF(AND(ISNUMBER('Council Entry'!AG$8),ISNUMBER('Council Entry'!AG$9)),MAX(MIN('Council Entry'!AG68,'Council Entry'!AG$9),'Council Entry'!AG$8),'Council Entry'!AG68)),IF('Council Entry'!AG$4="Exponential",EXP(IF(AND(ISNUMBER('Council Entry'!AG$8),ISNUMBER('Council Entry'!AG$9)),MAX(MIN('Council Entry'!AG68,'Council Entry'!AG$9),'Council Entry'!AG$8),'Council Entry'!AG68)),IF(AND(ISNUMBER('Council Entry'!AG$8),ISNUMBER('Council Entry'!AG$9)),MAX(MIN('Council Entry'!AG68,'Council Entry'!AG$9),'Council Entry'!AG$8),'Council Entry'!AG68))))-'Council Entry'!AG$5)/('Council Entry'!AG$6-'Council Entry'!AG$5)),1))),"No data"))</f>
        <v/>
      </c>
      <c r="AH68" s="13">
        <f>IF('Council Entry'!AH68="","",IFERROR(MAX(0,MIN(10,ROUND(IF('Council Entry'!AH$7="Decrease Risk",10-10*((IF('Council Entry'!AH$4="Logarithm",LN(0.001+IF(AND(ISNUMBER('Council Entry'!AH$8),ISNUMBER('Council Entry'!AH$9)),MAX(MIN('Council Entry'!AH68,'Council Entry'!AH$9),'Council Entry'!AH$8),'Council Entry'!AH68)),IF('Council Entry'!AH$4="Exponential",EXP(IF(AND(ISNUMBER('Council Entry'!AH$8),ISNUMBER('Council Entry'!AH$9)),MAX(MIN('Council Entry'!AH68,'Council Entry'!AH$9),'Council Entry'!AH$8),'Council Entry'!AH68)),IF(AND(ISNUMBER('Council Entry'!AH$8),ISNUMBER('Council Entry'!AH$9)),MAX(MIN('Council Entry'!AH68,'Council Entry'!AH$9),'Council Entry'!AH$8),'Council Entry'!AH68))))-'Council Entry'!AH$5)/('Council Entry'!AH$6-'Council Entry'!AH$5),10*((IF('Council Entry'!AH$4="Logarithm",LN(0.001+IF(AND(ISNUMBER('Council Entry'!AH$8),ISNUMBER('Council Entry'!AH$9)),MAX(MIN('Council Entry'!AH68,'Council Entry'!AH$9),'Council Entry'!AH$8),'Council Entry'!AH68)),IF('Council Entry'!AH$4="Exponential",EXP(IF(AND(ISNUMBER('Council Entry'!AH$8),ISNUMBER('Council Entry'!AH$9)),MAX(MIN('Council Entry'!AH68,'Council Entry'!AH$9),'Council Entry'!AH$8),'Council Entry'!AH68)),IF(AND(ISNUMBER('Council Entry'!AH$8),ISNUMBER('Council Entry'!AH$9)),MAX(MIN('Council Entry'!AH68,'Council Entry'!AH$9),'Council Entry'!AH$8),'Council Entry'!AH68))))-'Council Entry'!AH$5)/('Council Entry'!AH$6-'Council Entry'!AH$5)),1))),"No data"))</f>
        <v/>
      </c>
      <c r="AI68" s="13">
        <f>IF('Council Entry'!AI68="","",IFERROR(MAX(0,MIN(10,ROUND(IF('Council Entry'!AI$7="Decrease Risk",10-10*((IF('Council Entry'!AI$4="Logarithm",LN(0.001+IF(AND(ISNUMBER('Council Entry'!AI$8),ISNUMBER('Council Entry'!AI$9)),MAX(MIN('Council Entry'!AI68,'Council Entry'!AI$9),'Council Entry'!AI$8),'Council Entry'!AI68)),IF('Council Entry'!AI$4="Exponential",EXP(IF(AND(ISNUMBER('Council Entry'!AI$8),ISNUMBER('Council Entry'!AI$9)),MAX(MIN('Council Entry'!AI68,'Council Entry'!AI$9),'Council Entry'!AI$8),'Council Entry'!AI68)),IF(AND(ISNUMBER('Council Entry'!AI$8),ISNUMBER('Council Entry'!AI$9)),MAX(MIN('Council Entry'!AI68,'Council Entry'!AI$9),'Council Entry'!AI$8),'Council Entry'!AI68))))-'Council Entry'!AI$5)/('Council Entry'!AI$6-'Council Entry'!AI$5),10*((IF('Council Entry'!AI$4="Logarithm",LN(0.001+IF(AND(ISNUMBER('Council Entry'!AI$8),ISNUMBER('Council Entry'!AI$9)),MAX(MIN('Council Entry'!AI68,'Council Entry'!AI$9),'Council Entry'!AI$8),'Council Entry'!AI68)),IF('Council Entry'!AI$4="Exponential",EXP(IF(AND(ISNUMBER('Council Entry'!AI$8),ISNUMBER('Council Entry'!AI$9)),MAX(MIN('Council Entry'!AI68,'Council Entry'!AI$9),'Council Entry'!AI$8),'Council Entry'!AI68)),IF(AND(ISNUMBER('Council Entry'!AI$8),ISNUMBER('Council Entry'!AI$9)),MAX(MIN('Council Entry'!AI68,'Council Entry'!AI$9),'Council Entry'!AI$8),'Council Entry'!AI68))))-'Council Entry'!AI$5)/('Council Entry'!AI$6-'Council Entry'!AI$5)),1))),"No data"))</f>
        <v/>
      </c>
      <c r="AJ68" s="13">
        <f>IF('Council Entry'!AJ68="","",IFERROR(MAX(0,MIN(10,ROUND(IF('Council Entry'!AJ$7="Decrease Risk",10-10*((IF('Council Entry'!AJ$4="Logarithm",LN(0.001+IF(AND(ISNUMBER('Council Entry'!AJ$8),ISNUMBER('Council Entry'!AJ$9)),MAX(MIN('Council Entry'!AJ68,'Council Entry'!AJ$9),'Council Entry'!AJ$8),'Council Entry'!AJ68)),IF('Council Entry'!AJ$4="Exponential",EXP(IF(AND(ISNUMBER('Council Entry'!AJ$8),ISNUMBER('Council Entry'!AJ$9)),MAX(MIN('Council Entry'!AJ68,'Council Entry'!AJ$9),'Council Entry'!AJ$8),'Council Entry'!AJ68)),IF(AND(ISNUMBER('Council Entry'!AJ$8),ISNUMBER('Council Entry'!AJ$9)),MAX(MIN('Council Entry'!AJ68,'Council Entry'!AJ$9),'Council Entry'!AJ$8),'Council Entry'!AJ68))))-'Council Entry'!AJ$5)/('Council Entry'!AJ$6-'Council Entry'!AJ$5),10*((IF('Council Entry'!AJ$4="Logarithm",LN(0.001+IF(AND(ISNUMBER('Council Entry'!AJ$8),ISNUMBER('Council Entry'!AJ$9)),MAX(MIN('Council Entry'!AJ68,'Council Entry'!AJ$9),'Council Entry'!AJ$8),'Council Entry'!AJ68)),IF('Council Entry'!AJ$4="Exponential",EXP(IF(AND(ISNUMBER('Council Entry'!AJ$8),ISNUMBER('Council Entry'!AJ$9)),MAX(MIN('Council Entry'!AJ68,'Council Entry'!AJ$9),'Council Entry'!AJ$8),'Council Entry'!AJ68)),IF(AND(ISNUMBER('Council Entry'!AJ$8),ISNUMBER('Council Entry'!AJ$9)),MAX(MIN('Council Entry'!AJ68,'Council Entry'!AJ$9),'Council Entry'!AJ$8),'Council Entry'!AJ68))))-'Council Entry'!AJ$5)/('Council Entry'!AJ$6-'Council Entry'!AJ$5)),1))),"No data"))</f>
        <v/>
      </c>
      <c r="AK68" s="13">
        <f>IF('Council Entry'!AK68="","",IFERROR(MAX(0,MIN(10,ROUND(IF('Council Entry'!AK$7="Decrease Risk",10-10*((IF('Council Entry'!AK$4="Logarithm",LN(0.001+IF(AND(ISNUMBER('Council Entry'!AK$8),ISNUMBER('Council Entry'!AK$9)),MAX(MIN('Council Entry'!AK68,'Council Entry'!AK$9),'Council Entry'!AK$8),'Council Entry'!AK68)),IF('Council Entry'!AK$4="Exponential",EXP(IF(AND(ISNUMBER('Council Entry'!AK$8),ISNUMBER('Council Entry'!AK$9)),MAX(MIN('Council Entry'!AK68,'Council Entry'!AK$9),'Council Entry'!AK$8),'Council Entry'!AK68)),IF(AND(ISNUMBER('Council Entry'!AK$8),ISNUMBER('Council Entry'!AK$9)),MAX(MIN('Council Entry'!AK68,'Council Entry'!AK$9),'Council Entry'!AK$8),'Council Entry'!AK68))))-'Council Entry'!AK$5)/('Council Entry'!AK$6-'Council Entry'!AK$5),10*((IF('Council Entry'!AK$4="Logarithm",LN(0.001+IF(AND(ISNUMBER('Council Entry'!AK$8),ISNUMBER('Council Entry'!AK$9)),MAX(MIN('Council Entry'!AK68,'Council Entry'!AK$9),'Council Entry'!AK$8),'Council Entry'!AK68)),IF('Council Entry'!AK$4="Exponential",EXP(IF(AND(ISNUMBER('Council Entry'!AK$8),ISNUMBER('Council Entry'!AK$9)),MAX(MIN('Council Entry'!AK68,'Council Entry'!AK$9),'Council Entry'!AK$8),'Council Entry'!AK68)),IF(AND(ISNUMBER('Council Entry'!AK$8),ISNUMBER('Council Entry'!AK$9)),MAX(MIN('Council Entry'!AK68,'Council Entry'!AK$9),'Council Entry'!AK$8),'Council Entry'!AK68))))-'Council Entry'!AK$5)/('Council Entry'!AK$6-'Council Entry'!AK$5)),1))),"No data"))</f>
        <v/>
      </c>
      <c r="AL68" s="13">
        <f>IF('Council Entry'!AL68="","",IFERROR(MAX(0,MIN(10,ROUND(IF('Council Entry'!AL$7="Decrease Risk",10-10*((IF('Council Entry'!AL$4="Logarithm",LN(0.001+IF(AND(ISNUMBER('Council Entry'!AL$8),ISNUMBER('Council Entry'!AL$9)),MAX(MIN('Council Entry'!AL68,'Council Entry'!AL$9),'Council Entry'!AL$8),'Council Entry'!AL68)),IF('Council Entry'!AL$4="Exponential",EXP(IF(AND(ISNUMBER('Council Entry'!AL$8),ISNUMBER('Council Entry'!AL$9)),MAX(MIN('Council Entry'!AL68,'Council Entry'!AL$9),'Council Entry'!AL$8),'Council Entry'!AL68)),IF(AND(ISNUMBER('Council Entry'!AL$8),ISNUMBER('Council Entry'!AL$9)),MAX(MIN('Council Entry'!AL68,'Council Entry'!AL$9),'Council Entry'!AL$8),'Council Entry'!AL68))))-'Council Entry'!AL$5)/('Council Entry'!AL$6-'Council Entry'!AL$5),10*((IF('Council Entry'!AL$4="Logarithm",LN(0.001+IF(AND(ISNUMBER('Council Entry'!AL$8),ISNUMBER('Council Entry'!AL$9)),MAX(MIN('Council Entry'!AL68,'Council Entry'!AL$9),'Council Entry'!AL$8),'Council Entry'!AL68)),IF('Council Entry'!AL$4="Exponential",EXP(IF(AND(ISNUMBER('Council Entry'!AL$8),ISNUMBER('Council Entry'!AL$9)),MAX(MIN('Council Entry'!AL68,'Council Entry'!AL$9),'Council Entry'!AL$8),'Council Entry'!AL68)),IF(AND(ISNUMBER('Council Entry'!AL$8),ISNUMBER('Council Entry'!AL$9)),MAX(MIN('Council Entry'!AL68,'Council Entry'!AL$9),'Council Entry'!AL$8),'Council Entry'!AL68))))-'Council Entry'!AL$5)/('Council Entry'!AL$6-'Council Entry'!AL$5)),1))),"No data"))</f>
        <v/>
      </c>
      <c r="AM68" s="13">
        <f>IF('Council Entry'!AM68="","",IFERROR(MAX(0,MIN(10,ROUND(IF('Council Entry'!AM$7="Decrease Risk",10-10*((IF('Council Entry'!AM$4="Logarithm",LN(0.001+IF(AND(ISNUMBER('Council Entry'!AM$8),ISNUMBER('Council Entry'!AM$9)),MAX(MIN('Council Entry'!AM68,'Council Entry'!AM$9),'Council Entry'!AM$8),'Council Entry'!AM68)),IF('Council Entry'!AM$4="Exponential",EXP(IF(AND(ISNUMBER('Council Entry'!AM$8),ISNUMBER('Council Entry'!AM$9)),MAX(MIN('Council Entry'!AM68,'Council Entry'!AM$9),'Council Entry'!AM$8),'Council Entry'!AM68)),IF(AND(ISNUMBER('Council Entry'!AM$8),ISNUMBER('Council Entry'!AM$9)),MAX(MIN('Council Entry'!AM68,'Council Entry'!AM$9),'Council Entry'!AM$8),'Council Entry'!AM68))))-'Council Entry'!AM$5)/('Council Entry'!AM$6-'Council Entry'!AM$5),10*((IF('Council Entry'!AM$4="Logarithm",LN(0.001+IF(AND(ISNUMBER('Council Entry'!AM$8),ISNUMBER('Council Entry'!AM$9)),MAX(MIN('Council Entry'!AM68,'Council Entry'!AM$9),'Council Entry'!AM$8),'Council Entry'!AM68)),IF('Council Entry'!AM$4="Exponential",EXP(IF(AND(ISNUMBER('Council Entry'!AM$8),ISNUMBER('Council Entry'!AM$9)),MAX(MIN('Council Entry'!AM68,'Council Entry'!AM$9),'Council Entry'!AM$8),'Council Entry'!AM68)),IF(AND(ISNUMBER('Council Entry'!AM$8),ISNUMBER('Council Entry'!AM$9)),MAX(MIN('Council Entry'!AM68,'Council Entry'!AM$9),'Council Entry'!AM$8),'Council Entry'!AM68))))-'Council Entry'!AM$5)/('Council Entry'!AM$6-'Council Entry'!AM$5)),1))),"No data"))</f>
        <v/>
      </c>
      <c r="AN68" s="13">
        <f>IF('Council Entry'!AN68="","",IFERROR(MAX(0,MIN(10,ROUND(IF('Council Entry'!AN$7="Decrease Risk",10-10*((IF('Council Entry'!AN$4="Logarithm",LN(0.001+IF(AND(ISNUMBER('Council Entry'!AN$8),ISNUMBER('Council Entry'!AN$9)),MAX(MIN('Council Entry'!AN68,'Council Entry'!AN$9),'Council Entry'!AN$8),'Council Entry'!AN68)),IF('Council Entry'!AN$4="Exponential",EXP(IF(AND(ISNUMBER('Council Entry'!AN$8),ISNUMBER('Council Entry'!AN$9)),MAX(MIN('Council Entry'!AN68,'Council Entry'!AN$9),'Council Entry'!AN$8),'Council Entry'!AN68)),IF(AND(ISNUMBER('Council Entry'!AN$8),ISNUMBER('Council Entry'!AN$9)),MAX(MIN('Council Entry'!AN68,'Council Entry'!AN$9),'Council Entry'!AN$8),'Council Entry'!AN68))))-'Council Entry'!AN$5)/('Council Entry'!AN$6-'Council Entry'!AN$5),10*((IF('Council Entry'!AN$4="Logarithm",LN(0.001+IF(AND(ISNUMBER('Council Entry'!AN$8),ISNUMBER('Council Entry'!AN$9)),MAX(MIN('Council Entry'!AN68,'Council Entry'!AN$9),'Council Entry'!AN$8),'Council Entry'!AN68)),IF('Council Entry'!AN$4="Exponential",EXP(IF(AND(ISNUMBER('Council Entry'!AN$8),ISNUMBER('Council Entry'!AN$9)),MAX(MIN('Council Entry'!AN68,'Council Entry'!AN$9),'Council Entry'!AN$8),'Council Entry'!AN68)),IF(AND(ISNUMBER('Council Entry'!AN$8),ISNUMBER('Council Entry'!AN$9)),MAX(MIN('Council Entry'!AN68,'Council Entry'!AN$9),'Council Entry'!AN$8),'Council Entry'!AN68))))-'Council Entry'!AN$5)/('Council Entry'!AN$6-'Council Entry'!AN$5)),1))),"No data"))</f>
        <v/>
      </c>
      <c r="AO68" s="13">
        <f>IF('Council Entry'!AO68="","",IFERROR(MAX(0,MIN(10,ROUND(IF('Council Entry'!AO$7="Decrease Risk",10-10*((IF('Council Entry'!AO$4="Logarithm",LN(0.001+IF(AND(ISNUMBER('Council Entry'!AO$8),ISNUMBER('Council Entry'!AO$9)),MAX(MIN('Council Entry'!AO68,'Council Entry'!AO$9),'Council Entry'!AO$8),'Council Entry'!AO68)),IF('Council Entry'!AO$4="Exponential",EXP(IF(AND(ISNUMBER('Council Entry'!AO$8),ISNUMBER('Council Entry'!AO$9)),MAX(MIN('Council Entry'!AO68,'Council Entry'!AO$9),'Council Entry'!AO$8),'Council Entry'!AO68)),IF(AND(ISNUMBER('Council Entry'!AO$8),ISNUMBER('Council Entry'!AO$9)),MAX(MIN('Council Entry'!AO68,'Council Entry'!AO$9),'Council Entry'!AO$8),'Council Entry'!AO68))))-'Council Entry'!AO$5)/('Council Entry'!AO$6-'Council Entry'!AO$5),10*((IF('Council Entry'!AO$4="Logarithm",LN(0.001+IF(AND(ISNUMBER('Council Entry'!AO$8),ISNUMBER('Council Entry'!AO$9)),MAX(MIN('Council Entry'!AO68,'Council Entry'!AO$9),'Council Entry'!AO$8),'Council Entry'!AO68)),IF('Council Entry'!AO$4="Exponential",EXP(IF(AND(ISNUMBER('Council Entry'!AO$8),ISNUMBER('Council Entry'!AO$9)),MAX(MIN('Council Entry'!AO68,'Council Entry'!AO$9),'Council Entry'!AO$8),'Council Entry'!AO68)),IF(AND(ISNUMBER('Council Entry'!AO$8),ISNUMBER('Council Entry'!AO$9)),MAX(MIN('Council Entry'!AO68,'Council Entry'!AO$9),'Council Entry'!AO$8),'Council Entry'!AO68))))-'Council Entry'!AO$5)/('Council Entry'!AO$6-'Council Entry'!AO$5)),1))),"No data"))</f>
        <v/>
      </c>
      <c r="AP68" s="13">
        <f>IF('Council Entry'!AP68="","",IFERROR(MAX(0,MIN(10,ROUND(IF('Council Entry'!AP$7="Decrease Risk",10-10*((IF('Council Entry'!AP$4="Logarithm",LN(0.001+IF(AND(ISNUMBER('Council Entry'!AP$8),ISNUMBER('Council Entry'!AP$9)),MAX(MIN('Council Entry'!AP68,'Council Entry'!AP$9),'Council Entry'!AP$8),'Council Entry'!AP68)),IF('Council Entry'!AP$4="Exponential",EXP(IF(AND(ISNUMBER('Council Entry'!AP$8),ISNUMBER('Council Entry'!AP$9)),MAX(MIN('Council Entry'!AP68,'Council Entry'!AP$9),'Council Entry'!AP$8),'Council Entry'!AP68)),IF(AND(ISNUMBER('Council Entry'!AP$8),ISNUMBER('Council Entry'!AP$9)),MAX(MIN('Council Entry'!AP68,'Council Entry'!AP$9),'Council Entry'!AP$8),'Council Entry'!AP68))))-'Council Entry'!AP$5)/('Council Entry'!AP$6-'Council Entry'!AP$5),10*((IF('Council Entry'!AP$4="Logarithm",LN(0.001+IF(AND(ISNUMBER('Council Entry'!AP$8),ISNUMBER('Council Entry'!AP$9)),MAX(MIN('Council Entry'!AP68,'Council Entry'!AP$9),'Council Entry'!AP$8),'Council Entry'!AP68)),IF('Council Entry'!AP$4="Exponential",EXP(IF(AND(ISNUMBER('Council Entry'!AP$8),ISNUMBER('Council Entry'!AP$9)),MAX(MIN('Council Entry'!AP68,'Council Entry'!AP$9),'Council Entry'!AP$8),'Council Entry'!AP68)),IF(AND(ISNUMBER('Council Entry'!AP$8),ISNUMBER('Council Entry'!AP$9)),MAX(MIN('Council Entry'!AP68,'Council Entry'!AP$9),'Council Entry'!AP$8),'Council Entry'!AP68))))-'Council Entry'!AP$5)/('Council Entry'!AP$6-'Council Entry'!AP$5)),1))),"No data"))</f>
        <v/>
      </c>
      <c r="AQ68" s="13">
        <f>IF('Council Entry'!AQ68="","",IFERROR(MAX(0,MIN(10,ROUND(IF('Council Entry'!AQ$7="Decrease Risk",10-10*((IF('Council Entry'!AQ$4="Logarithm",LN(0.001+IF(AND(ISNUMBER('Council Entry'!AQ$8),ISNUMBER('Council Entry'!AQ$9)),MAX(MIN('Council Entry'!AQ68,'Council Entry'!AQ$9),'Council Entry'!AQ$8),'Council Entry'!AQ68)),IF('Council Entry'!AQ$4="Exponential",EXP(IF(AND(ISNUMBER('Council Entry'!AQ$8),ISNUMBER('Council Entry'!AQ$9)),MAX(MIN('Council Entry'!AQ68,'Council Entry'!AQ$9),'Council Entry'!AQ$8),'Council Entry'!AQ68)),IF(AND(ISNUMBER('Council Entry'!AQ$8),ISNUMBER('Council Entry'!AQ$9)),MAX(MIN('Council Entry'!AQ68,'Council Entry'!AQ$9),'Council Entry'!AQ$8),'Council Entry'!AQ68))))-'Council Entry'!AQ$5)/('Council Entry'!AQ$6-'Council Entry'!AQ$5),10*((IF('Council Entry'!AQ$4="Logarithm",LN(0.001+IF(AND(ISNUMBER('Council Entry'!AQ$8),ISNUMBER('Council Entry'!AQ$9)),MAX(MIN('Council Entry'!AQ68,'Council Entry'!AQ$9),'Council Entry'!AQ$8),'Council Entry'!AQ68)),IF('Council Entry'!AQ$4="Exponential",EXP(IF(AND(ISNUMBER('Council Entry'!AQ$8),ISNUMBER('Council Entry'!AQ$9)),MAX(MIN('Council Entry'!AQ68,'Council Entry'!AQ$9),'Council Entry'!AQ$8),'Council Entry'!AQ68)),IF(AND(ISNUMBER('Council Entry'!AQ$8),ISNUMBER('Council Entry'!AQ$9)),MAX(MIN('Council Entry'!AQ68,'Council Entry'!AQ$9),'Council Entry'!AQ$8),'Council Entry'!AQ68))))-'Council Entry'!AQ$5)/('Council Entry'!AQ$6-'Council Entry'!AQ$5)),1))),"No data"))</f>
        <v/>
      </c>
      <c r="AR68" s="13">
        <f>IF('Council Entry'!AR68="","",IFERROR(MAX(0,MIN(10,ROUND(IF('Council Entry'!AR$7="Decrease Risk",10-10*((IF('Council Entry'!AR$4="Logarithm",LN(0.001+IF(AND(ISNUMBER('Council Entry'!AR$8),ISNUMBER('Council Entry'!AR$9)),MAX(MIN('Council Entry'!AR68,'Council Entry'!AR$9),'Council Entry'!AR$8),'Council Entry'!AR68)),IF('Council Entry'!AR$4="Exponential",EXP(IF(AND(ISNUMBER('Council Entry'!AR$8),ISNUMBER('Council Entry'!AR$9)),MAX(MIN('Council Entry'!AR68,'Council Entry'!AR$9),'Council Entry'!AR$8),'Council Entry'!AR68)),IF(AND(ISNUMBER('Council Entry'!AR$8),ISNUMBER('Council Entry'!AR$9)),MAX(MIN('Council Entry'!AR68,'Council Entry'!AR$9),'Council Entry'!AR$8),'Council Entry'!AR68))))-'Council Entry'!AR$5)/('Council Entry'!AR$6-'Council Entry'!AR$5),10*((IF('Council Entry'!AR$4="Logarithm",LN(0.001+IF(AND(ISNUMBER('Council Entry'!AR$8),ISNUMBER('Council Entry'!AR$9)),MAX(MIN('Council Entry'!AR68,'Council Entry'!AR$9),'Council Entry'!AR$8),'Council Entry'!AR68)),IF('Council Entry'!AR$4="Exponential",EXP(IF(AND(ISNUMBER('Council Entry'!AR$8),ISNUMBER('Council Entry'!AR$9)),MAX(MIN('Council Entry'!AR68,'Council Entry'!AR$9),'Council Entry'!AR$8),'Council Entry'!AR68)),IF(AND(ISNUMBER('Council Entry'!AR$8),ISNUMBER('Council Entry'!AR$9)),MAX(MIN('Council Entry'!AR68,'Council Entry'!AR$9),'Council Entry'!AR$8),'Council Entry'!AR68))))-'Council Entry'!AR$5)/('Council Entry'!AR$6-'Council Entry'!AR$5)),1))),"No data"))</f>
        <v/>
      </c>
      <c r="AS68" s="13">
        <f>IF('Council Entry'!AS68="","",IFERROR(MAX(0,MIN(10,ROUND(IF('Council Entry'!AS$7="Decrease Risk",10-10*((IF('Council Entry'!AS$4="Logarithm",LN(0.001+IF(AND(ISNUMBER('Council Entry'!AS$8),ISNUMBER('Council Entry'!AS$9)),MAX(MIN('Council Entry'!AS68,'Council Entry'!AS$9),'Council Entry'!AS$8),'Council Entry'!AS68)),IF('Council Entry'!AS$4="Exponential",EXP(IF(AND(ISNUMBER('Council Entry'!AS$8),ISNUMBER('Council Entry'!AS$9)),MAX(MIN('Council Entry'!AS68,'Council Entry'!AS$9),'Council Entry'!AS$8),'Council Entry'!AS68)),IF(AND(ISNUMBER('Council Entry'!AS$8),ISNUMBER('Council Entry'!AS$9)),MAX(MIN('Council Entry'!AS68,'Council Entry'!AS$9),'Council Entry'!AS$8),'Council Entry'!AS68))))-'Council Entry'!AS$5)/('Council Entry'!AS$6-'Council Entry'!AS$5),10*((IF('Council Entry'!AS$4="Logarithm",LN(0.001+IF(AND(ISNUMBER('Council Entry'!AS$8),ISNUMBER('Council Entry'!AS$9)),MAX(MIN('Council Entry'!AS68,'Council Entry'!AS$9),'Council Entry'!AS$8),'Council Entry'!AS68)),IF('Council Entry'!AS$4="Exponential",EXP(IF(AND(ISNUMBER('Council Entry'!AS$8),ISNUMBER('Council Entry'!AS$9)),MAX(MIN('Council Entry'!AS68,'Council Entry'!AS$9),'Council Entry'!AS$8),'Council Entry'!AS68)),IF(AND(ISNUMBER('Council Entry'!AS$8),ISNUMBER('Council Entry'!AS$9)),MAX(MIN('Council Entry'!AS68,'Council Entry'!AS$9),'Council Entry'!AS$8),'Council Entry'!AS68))))-'Council Entry'!AS$5)/('Council Entry'!AS$6-'Council Entry'!AS$5)),1))),"No data"))</f>
        <v/>
      </c>
      <c r="AT68" s="13">
        <f>IF('Council Entry'!AT68="","",IFERROR(MAX(0,MIN(10,ROUND(IF('Council Entry'!AT$7="Decrease Risk",10-10*((IF('Council Entry'!AT$4="Logarithm",LN(0.001+IF(AND(ISNUMBER('Council Entry'!AT$8),ISNUMBER('Council Entry'!AT$9)),MAX(MIN('Council Entry'!AT68,'Council Entry'!AT$9),'Council Entry'!AT$8),'Council Entry'!AT68)),IF('Council Entry'!AT$4="Exponential",EXP(IF(AND(ISNUMBER('Council Entry'!AT$8),ISNUMBER('Council Entry'!AT$9)),MAX(MIN('Council Entry'!AT68,'Council Entry'!AT$9),'Council Entry'!AT$8),'Council Entry'!AT68)),IF(AND(ISNUMBER('Council Entry'!AT$8),ISNUMBER('Council Entry'!AT$9)),MAX(MIN('Council Entry'!AT68,'Council Entry'!AT$9),'Council Entry'!AT$8),'Council Entry'!AT68))))-'Council Entry'!AT$5)/('Council Entry'!AT$6-'Council Entry'!AT$5),10*((IF('Council Entry'!AT$4="Logarithm",LN(0.001+IF(AND(ISNUMBER('Council Entry'!AT$8),ISNUMBER('Council Entry'!AT$9)),MAX(MIN('Council Entry'!AT68,'Council Entry'!AT$9),'Council Entry'!AT$8),'Council Entry'!AT68)),IF('Council Entry'!AT$4="Exponential",EXP(IF(AND(ISNUMBER('Council Entry'!AT$8),ISNUMBER('Council Entry'!AT$9)),MAX(MIN('Council Entry'!AT68,'Council Entry'!AT$9),'Council Entry'!AT$8),'Council Entry'!AT68)),IF(AND(ISNUMBER('Council Entry'!AT$8),ISNUMBER('Council Entry'!AT$9)),MAX(MIN('Council Entry'!AT68,'Council Entry'!AT$9),'Council Entry'!AT$8),'Council Entry'!AT68))))-'Council Entry'!AT$5)/('Council Entry'!AT$6-'Council Entry'!AT$5)),1))),"No data"))</f>
        <v/>
      </c>
      <c r="AU68" s="13">
        <f>IF('Council Entry'!AU68="","",IFERROR(MAX(0,MIN(10,ROUND(IF('Council Entry'!AU$7="Decrease Risk",10-10*((IF('Council Entry'!AU$4="Logarithm",LN(0.001+IF(AND(ISNUMBER('Council Entry'!AU$8),ISNUMBER('Council Entry'!AU$9)),MAX(MIN('Council Entry'!AU68,'Council Entry'!AU$9),'Council Entry'!AU$8),'Council Entry'!AU68)),IF('Council Entry'!AU$4="Exponential",EXP(IF(AND(ISNUMBER('Council Entry'!AU$8),ISNUMBER('Council Entry'!AU$9)),MAX(MIN('Council Entry'!AU68,'Council Entry'!AU$9),'Council Entry'!AU$8),'Council Entry'!AU68)),IF(AND(ISNUMBER('Council Entry'!AU$8),ISNUMBER('Council Entry'!AU$9)),MAX(MIN('Council Entry'!AU68,'Council Entry'!AU$9),'Council Entry'!AU$8),'Council Entry'!AU68))))-'Council Entry'!AU$5)/('Council Entry'!AU$6-'Council Entry'!AU$5),10*((IF('Council Entry'!AU$4="Logarithm",LN(0.001+IF(AND(ISNUMBER('Council Entry'!AU$8),ISNUMBER('Council Entry'!AU$9)),MAX(MIN('Council Entry'!AU68,'Council Entry'!AU$9),'Council Entry'!AU$8),'Council Entry'!AU68)),IF('Council Entry'!AU$4="Exponential",EXP(IF(AND(ISNUMBER('Council Entry'!AU$8),ISNUMBER('Council Entry'!AU$9)),MAX(MIN('Council Entry'!AU68,'Council Entry'!AU$9),'Council Entry'!AU$8),'Council Entry'!AU68)),IF(AND(ISNUMBER('Council Entry'!AU$8),ISNUMBER('Council Entry'!AU$9)),MAX(MIN('Council Entry'!AU68,'Council Entry'!AU$9),'Council Entry'!AU$8),'Council Entry'!AU68))))-'Council Entry'!AU$5)/('Council Entry'!AU$6-'Council Entry'!AU$5)),1))),"No data"))</f>
        <v/>
      </c>
      <c r="AV68" s="13">
        <f>IF('Council Entry'!AV68="","",IFERROR(MAX(0,MIN(10,ROUND(IF('Council Entry'!AV$7="Decrease Risk",10-10*((IF('Council Entry'!AV$4="Logarithm",LN(0.001+IF(AND(ISNUMBER('Council Entry'!AV$8),ISNUMBER('Council Entry'!AV$9)),MAX(MIN('Council Entry'!AV68,'Council Entry'!AV$9),'Council Entry'!AV$8),'Council Entry'!AV68)),IF('Council Entry'!AV$4="Exponential",EXP(IF(AND(ISNUMBER('Council Entry'!AV$8),ISNUMBER('Council Entry'!AV$9)),MAX(MIN('Council Entry'!AV68,'Council Entry'!AV$9),'Council Entry'!AV$8),'Council Entry'!AV68)),IF(AND(ISNUMBER('Council Entry'!AV$8),ISNUMBER('Council Entry'!AV$9)),MAX(MIN('Council Entry'!AV68,'Council Entry'!AV$9),'Council Entry'!AV$8),'Council Entry'!AV68))))-'Council Entry'!AV$5)/('Council Entry'!AV$6-'Council Entry'!AV$5),10*((IF('Council Entry'!AV$4="Logarithm",LN(0.001+IF(AND(ISNUMBER('Council Entry'!AV$8),ISNUMBER('Council Entry'!AV$9)),MAX(MIN('Council Entry'!AV68,'Council Entry'!AV$9),'Council Entry'!AV$8),'Council Entry'!AV68)),IF('Council Entry'!AV$4="Exponential",EXP(IF(AND(ISNUMBER('Council Entry'!AV$8),ISNUMBER('Council Entry'!AV$9)),MAX(MIN('Council Entry'!AV68,'Council Entry'!AV$9),'Council Entry'!AV$8),'Council Entry'!AV68)),IF(AND(ISNUMBER('Council Entry'!AV$8),ISNUMBER('Council Entry'!AV$9)),MAX(MIN('Council Entry'!AV68,'Council Entry'!AV$9),'Council Entry'!AV$8),'Council Entry'!AV68))))-'Council Entry'!AV$5)/('Council Entry'!AV$6-'Council Entry'!AV$5)),1))),"No data"))</f>
        <v/>
      </c>
      <c r="AW68" s="13">
        <f>IF('Council Entry'!AW68="","",IFERROR(MAX(0,MIN(10,ROUND(IF('Council Entry'!AW$7="Decrease Risk",10-10*((IF('Council Entry'!AW$4="Logarithm",LN(0.001+IF(AND(ISNUMBER('Council Entry'!AW$8),ISNUMBER('Council Entry'!AW$9)),MAX(MIN('Council Entry'!AW68,'Council Entry'!AW$9),'Council Entry'!AW$8),'Council Entry'!AW68)),IF('Council Entry'!AW$4="Exponential",EXP(IF(AND(ISNUMBER('Council Entry'!AW$8),ISNUMBER('Council Entry'!AW$9)),MAX(MIN('Council Entry'!AW68,'Council Entry'!AW$9),'Council Entry'!AW$8),'Council Entry'!AW68)),IF(AND(ISNUMBER('Council Entry'!AW$8),ISNUMBER('Council Entry'!AW$9)),MAX(MIN('Council Entry'!AW68,'Council Entry'!AW$9),'Council Entry'!AW$8),'Council Entry'!AW68))))-'Council Entry'!AW$5)/('Council Entry'!AW$6-'Council Entry'!AW$5),10*((IF('Council Entry'!AW$4="Logarithm",LN(0.001+IF(AND(ISNUMBER('Council Entry'!AW$8),ISNUMBER('Council Entry'!AW$9)),MAX(MIN('Council Entry'!AW68,'Council Entry'!AW$9),'Council Entry'!AW$8),'Council Entry'!AW68)),IF('Council Entry'!AW$4="Exponential",EXP(IF(AND(ISNUMBER('Council Entry'!AW$8),ISNUMBER('Council Entry'!AW$9)),MAX(MIN('Council Entry'!AW68,'Council Entry'!AW$9),'Council Entry'!AW$8),'Council Entry'!AW68)),IF(AND(ISNUMBER('Council Entry'!AW$8),ISNUMBER('Council Entry'!AW$9)),MAX(MIN('Council Entry'!AW68,'Council Entry'!AW$9),'Council Entry'!AW$8),'Council Entry'!AW68))))-'Council Entry'!AW$5)/('Council Entry'!AW$6-'Council Entry'!AW$5)),1))),"No data"))</f>
        <v/>
      </c>
      <c r="AX68" s="13">
        <f>IF('Council Entry'!AX68="","",IFERROR(MAX(0,MIN(10,ROUND(IF('Council Entry'!AX$7="Decrease Risk",10-10*((IF('Council Entry'!AX$4="Logarithm",LN(0.001+IF(AND(ISNUMBER('Council Entry'!AX$8),ISNUMBER('Council Entry'!AX$9)),MAX(MIN('Council Entry'!AX68,'Council Entry'!AX$9),'Council Entry'!AX$8),'Council Entry'!AX68)),IF('Council Entry'!AX$4="Exponential",EXP(IF(AND(ISNUMBER('Council Entry'!AX$8),ISNUMBER('Council Entry'!AX$9)),MAX(MIN('Council Entry'!AX68,'Council Entry'!AX$9),'Council Entry'!AX$8),'Council Entry'!AX68)),IF(AND(ISNUMBER('Council Entry'!AX$8),ISNUMBER('Council Entry'!AX$9)),MAX(MIN('Council Entry'!AX68,'Council Entry'!AX$9),'Council Entry'!AX$8),'Council Entry'!AX68))))-'Council Entry'!AX$5)/('Council Entry'!AX$6-'Council Entry'!AX$5),10*((IF('Council Entry'!AX$4="Logarithm",LN(0.001+IF(AND(ISNUMBER('Council Entry'!AX$8),ISNUMBER('Council Entry'!AX$9)),MAX(MIN('Council Entry'!AX68,'Council Entry'!AX$9),'Council Entry'!AX$8),'Council Entry'!AX68)),IF('Council Entry'!AX$4="Exponential",EXP(IF(AND(ISNUMBER('Council Entry'!AX$8),ISNUMBER('Council Entry'!AX$9)),MAX(MIN('Council Entry'!AX68,'Council Entry'!AX$9),'Council Entry'!AX$8),'Council Entry'!AX68)),IF(AND(ISNUMBER('Council Entry'!AX$8),ISNUMBER('Council Entry'!AX$9)),MAX(MIN('Council Entry'!AX68,'Council Entry'!AX$9),'Council Entry'!AX$8),'Council Entry'!AX68))))-'Council Entry'!AX$5)/('Council Entry'!AX$6-'Council Entry'!AX$5)),1))),"No data"))</f>
        <v/>
      </c>
      <c r="AY68" s="13">
        <f>IF('Council Entry'!AY68="","",IFERROR(MAX(0,MIN(10,ROUND(IF('Council Entry'!AY$7="Decrease Risk",10-10*((IF('Council Entry'!AY$4="Logarithm",LN(0.001+IF(AND(ISNUMBER('Council Entry'!AY$8),ISNUMBER('Council Entry'!AY$9)),MAX(MIN('Council Entry'!AY68,'Council Entry'!AY$9),'Council Entry'!AY$8),'Council Entry'!AY68)),IF('Council Entry'!AY$4="Exponential",EXP(IF(AND(ISNUMBER('Council Entry'!AY$8),ISNUMBER('Council Entry'!AY$9)),MAX(MIN('Council Entry'!AY68,'Council Entry'!AY$9),'Council Entry'!AY$8),'Council Entry'!AY68)),IF(AND(ISNUMBER('Council Entry'!AY$8),ISNUMBER('Council Entry'!AY$9)),MAX(MIN('Council Entry'!AY68,'Council Entry'!AY$9),'Council Entry'!AY$8),'Council Entry'!AY68))))-'Council Entry'!AY$5)/('Council Entry'!AY$6-'Council Entry'!AY$5),10*((IF('Council Entry'!AY$4="Logarithm",LN(0.001+IF(AND(ISNUMBER('Council Entry'!AY$8),ISNUMBER('Council Entry'!AY$9)),MAX(MIN('Council Entry'!AY68,'Council Entry'!AY$9),'Council Entry'!AY$8),'Council Entry'!AY68)),IF('Council Entry'!AY$4="Exponential",EXP(IF(AND(ISNUMBER('Council Entry'!AY$8),ISNUMBER('Council Entry'!AY$9)),MAX(MIN('Council Entry'!AY68,'Council Entry'!AY$9),'Council Entry'!AY$8),'Council Entry'!AY68)),IF(AND(ISNUMBER('Council Entry'!AY$8),ISNUMBER('Council Entry'!AY$9)),MAX(MIN('Council Entry'!AY68,'Council Entry'!AY$9),'Council Entry'!AY$8),'Council Entry'!AY68))))-'Council Entry'!AY$5)/('Council Entry'!AY$6-'Council Entry'!AY$5)),1))),"No data"))</f>
        <v/>
      </c>
      <c r="AZ68" s="13">
        <f>IF('Council Entry'!AZ68="","",IFERROR(MAX(0,MIN(10,ROUND(IF('Council Entry'!AZ$7="Decrease Risk",10-10*((IF('Council Entry'!AZ$4="Logarithm",LN(0.001+IF(AND(ISNUMBER('Council Entry'!AZ$8),ISNUMBER('Council Entry'!AZ$9)),MAX(MIN('Council Entry'!AZ68,'Council Entry'!AZ$9),'Council Entry'!AZ$8),'Council Entry'!AZ68)),IF('Council Entry'!AZ$4="Exponential",EXP(IF(AND(ISNUMBER('Council Entry'!AZ$8),ISNUMBER('Council Entry'!AZ$9)),MAX(MIN('Council Entry'!AZ68,'Council Entry'!AZ$9),'Council Entry'!AZ$8),'Council Entry'!AZ68)),IF(AND(ISNUMBER('Council Entry'!AZ$8),ISNUMBER('Council Entry'!AZ$9)),MAX(MIN('Council Entry'!AZ68,'Council Entry'!AZ$9),'Council Entry'!AZ$8),'Council Entry'!AZ68))))-'Council Entry'!AZ$5)/('Council Entry'!AZ$6-'Council Entry'!AZ$5),10*((IF('Council Entry'!AZ$4="Logarithm",LN(0.001+IF(AND(ISNUMBER('Council Entry'!AZ$8),ISNUMBER('Council Entry'!AZ$9)),MAX(MIN('Council Entry'!AZ68,'Council Entry'!AZ$9),'Council Entry'!AZ$8),'Council Entry'!AZ68)),IF('Council Entry'!AZ$4="Exponential",EXP(IF(AND(ISNUMBER('Council Entry'!AZ$8),ISNUMBER('Council Entry'!AZ$9)),MAX(MIN('Council Entry'!AZ68,'Council Entry'!AZ$9),'Council Entry'!AZ$8),'Council Entry'!AZ68)),IF(AND(ISNUMBER('Council Entry'!AZ$8),ISNUMBER('Council Entry'!AZ$9)),MAX(MIN('Council Entry'!AZ68,'Council Entry'!AZ$9),'Council Entry'!AZ$8),'Council Entry'!AZ68))))-'Council Entry'!AZ$5)/('Council Entry'!AZ$6-'Council Entry'!AZ$5)),1))),"No data"))</f>
        <v/>
      </c>
      <c r="BA68" s="13">
        <f>IF('Council Entry'!BA68="","",IFERROR(MAX(0,MIN(10,ROUND(IF('Council Entry'!BA$7="Decrease Risk",10-10*((IF('Council Entry'!BA$4="Logarithm",LN(0.001+IF(AND(ISNUMBER('Council Entry'!BA$8),ISNUMBER('Council Entry'!BA$9)),MAX(MIN('Council Entry'!BA68,'Council Entry'!BA$9),'Council Entry'!BA$8),'Council Entry'!BA68)),IF('Council Entry'!BA$4="Exponential",EXP(IF(AND(ISNUMBER('Council Entry'!BA$8),ISNUMBER('Council Entry'!BA$9)),MAX(MIN('Council Entry'!BA68,'Council Entry'!BA$9),'Council Entry'!BA$8),'Council Entry'!BA68)),IF(AND(ISNUMBER('Council Entry'!BA$8),ISNUMBER('Council Entry'!BA$9)),MAX(MIN('Council Entry'!BA68,'Council Entry'!BA$9),'Council Entry'!BA$8),'Council Entry'!BA68))))-'Council Entry'!BA$5)/('Council Entry'!BA$6-'Council Entry'!BA$5),10*((IF('Council Entry'!BA$4="Logarithm",LN(0.001+IF(AND(ISNUMBER('Council Entry'!BA$8),ISNUMBER('Council Entry'!BA$9)),MAX(MIN('Council Entry'!BA68,'Council Entry'!BA$9),'Council Entry'!BA$8),'Council Entry'!BA68)),IF('Council Entry'!BA$4="Exponential",EXP(IF(AND(ISNUMBER('Council Entry'!BA$8),ISNUMBER('Council Entry'!BA$9)),MAX(MIN('Council Entry'!BA68,'Council Entry'!BA$9),'Council Entry'!BA$8),'Council Entry'!BA68)),IF(AND(ISNUMBER('Council Entry'!BA$8),ISNUMBER('Council Entry'!BA$9)),MAX(MIN('Council Entry'!BA68,'Council Entry'!BA$9),'Council Entry'!BA$8),'Council Entry'!BA68))))-'Council Entry'!BA$5)/('Council Entry'!BA$6-'Council Entry'!BA$5)),1))),"No data"))</f>
        <v/>
      </c>
      <c r="BB68" s="13">
        <f>IF('Council Entry'!BB68="","",IFERROR(MAX(0,MIN(10,ROUND(IF('Council Entry'!BB$7="Decrease Risk",10-10*((IF('Council Entry'!BB$4="Logarithm",LN(0.001+IF(AND(ISNUMBER('Council Entry'!BB$8),ISNUMBER('Council Entry'!BB$9)),MAX(MIN('Council Entry'!BB68,'Council Entry'!BB$9),'Council Entry'!BB$8),'Council Entry'!BB68)),IF('Council Entry'!BB$4="Exponential",EXP(IF(AND(ISNUMBER('Council Entry'!BB$8),ISNUMBER('Council Entry'!BB$9)),MAX(MIN('Council Entry'!BB68,'Council Entry'!BB$9),'Council Entry'!BB$8),'Council Entry'!BB68)),IF(AND(ISNUMBER('Council Entry'!BB$8),ISNUMBER('Council Entry'!BB$9)),MAX(MIN('Council Entry'!BB68,'Council Entry'!BB$9),'Council Entry'!BB$8),'Council Entry'!BB68))))-'Council Entry'!BB$5)/('Council Entry'!BB$6-'Council Entry'!BB$5),10*((IF('Council Entry'!BB$4="Logarithm",LN(0.001+IF(AND(ISNUMBER('Council Entry'!BB$8),ISNUMBER('Council Entry'!BB$9)),MAX(MIN('Council Entry'!BB68,'Council Entry'!BB$9),'Council Entry'!BB$8),'Council Entry'!BB68)),IF('Council Entry'!BB$4="Exponential",EXP(IF(AND(ISNUMBER('Council Entry'!BB$8),ISNUMBER('Council Entry'!BB$9)),MAX(MIN('Council Entry'!BB68,'Council Entry'!BB$9),'Council Entry'!BB$8),'Council Entry'!BB68)),IF(AND(ISNUMBER('Council Entry'!BB$8),ISNUMBER('Council Entry'!BB$9)),MAX(MIN('Council Entry'!BB68,'Council Entry'!BB$9),'Council Entry'!BB$8),'Council Entry'!BB68))))-'Council Entry'!BB$5)/('Council Entry'!BB$6-'Council Entry'!BB$5)),1))),"No data"))</f>
        <v/>
      </c>
      <c r="BC68" s="13">
        <f>IF('Council Entry'!BC68="","",IFERROR(MAX(0,MIN(10,ROUND(IF('Council Entry'!BC$7="Decrease Risk",10-10*((IF('Council Entry'!BC$4="Logarithm",LN(0.001+IF(AND(ISNUMBER('Council Entry'!BC$8),ISNUMBER('Council Entry'!BC$9)),MAX(MIN('Council Entry'!BC68,'Council Entry'!BC$9),'Council Entry'!BC$8),'Council Entry'!BC68)),IF('Council Entry'!BC$4="Exponential",EXP(IF(AND(ISNUMBER('Council Entry'!BC$8),ISNUMBER('Council Entry'!BC$9)),MAX(MIN('Council Entry'!BC68,'Council Entry'!BC$9),'Council Entry'!BC$8),'Council Entry'!BC68)),IF(AND(ISNUMBER('Council Entry'!BC$8),ISNUMBER('Council Entry'!BC$9)),MAX(MIN('Council Entry'!BC68,'Council Entry'!BC$9),'Council Entry'!BC$8),'Council Entry'!BC68))))-'Council Entry'!BC$5)/('Council Entry'!BC$6-'Council Entry'!BC$5),10*((IF('Council Entry'!BC$4="Logarithm",LN(0.001+IF(AND(ISNUMBER('Council Entry'!BC$8),ISNUMBER('Council Entry'!BC$9)),MAX(MIN('Council Entry'!BC68,'Council Entry'!BC$9),'Council Entry'!BC$8),'Council Entry'!BC68)),IF('Council Entry'!BC$4="Exponential",EXP(IF(AND(ISNUMBER('Council Entry'!BC$8),ISNUMBER('Council Entry'!BC$9)),MAX(MIN('Council Entry'!BC68,'Council Entry'!BC$9),'Council Entry'!BC$8),'Council Entry'!BC68)),IF(AND(ISNUMBER('Council Entry'!BC$8),ISNUMBER('Council Entry'!BC$9)),MAX(MIN('Council Entry'!BC68,'Council Entry'!BC$9),'Council Entry'!BC$8),'Council Entry'!BC68))))-'Council Entry'!BC$5)/('Council Entry'!BC$6-'Council Entry'!BC$5)),1))),"No data"))</f>
        <v/>
      </c>
      <c r="BD68" s="13">
        <f>IF('Council Entry'!BD68="","",IFERROR(MAX(0,MIN(10,ROUND(IF('Council Entry'!BD$7="Decrease Risk",10-10*((IF('Council Entry'!BD$4="Logarithm",LN(0.001+IF(AND(ISNUMBER('Council Entry'!BD$8),ISNUMBER('Council Entry'!BD$9)),MAX(MIN('Council Entry'!BD68,'Council Entry'!BD$9),'Council Entry'!BD$8),'Council Entry'!BD68)),IF('Council Entry'!BD$4="Exponential",EXP(IF(AND(ISNUMBER('Council Entry'!BD$8),ISNUMBER('Council Entry'!BD$9)),MAX(MIN('Council Entry'!BD68,'Council Entry'!BD$9),'Council Entry'!BD$8),'Council Entry'!BD68)),IF(AND(ISNUMBER('Council Entry'!BD$8),ISNUMBER('Council Entry'!BD$9)),MAX(MIN('Council Entry'!BD68,'Council Entry'!BD$9),'Council Entry'!BD$8),'Council Entry'!BD68))))-'Council Entry'!BD$5)/('Council Entry'!BD$6-'Council Entry'!BD$5),10*((IF('Council Entry'!BD$4="Logarithm",LN(0.001+IF(AND(ISNUMBER('Council Entry'!BD$8),ISNUMBER('Council Entry'!BD$9)),MAX(MIN('Council Entry'!BD68,'Council Entry'!BD$9),'Council Entry'!BD$8),'Council Entry'!BD68)),IF('Council Entry'!BD$4="Exponential",EXP(IF(AND(ISNUMBER('Council Entry'!BD$8),ISNUMBER('Council Entry'!BD$9)),MAX(MIN('Council Entry'!BD68,'Council Entry'!BD$9),'Council Entry'!BD$8),'Council Entry'!BD68)),IF(AND(ISNUMBER('Council Entry'!BD$8),ISNUMBER('Council Entry'!BD$9)),MAX(MIN('Council Entry'!BD68,'Council Entry'!BD$9),'Council Entry'!BD$8),'Council Entry'!BD68))))-'Council Entry'!BD$5)/('Council Entry'!BD$6-'Council Entry'!BD$5)),1))),"No data"))</f>
        <v/>
      </c>
    </row>
    <row r="69">
      <c r="A69" t="inlineStr">
        <is>
          <t>Kilimanjaro</t>
        </is>
      </c>
      <c r="B69" t="inlineStr">
        <is>
          <t>Moshi Municipal</t>
        </is>
      </c>
      <c r="C69" t="inlineStr">
        <is>
          <t>C019</t>
        </is>
      </c>
      <c r="D69" s="13">
        <f>IF('Council Entry'!D69="","",IFERROR(MAX(0,MIN(10,ROUND(IF('Council Entry'!D$7="Decrease Risk",10-10*((IF('Council Entry'!D$4="Logarithm",LN(0.001+IF(AND(ISNUMBER('Council Entry'!D$8),ISNUMBER('Council Entry'!D$9)),MAX(MIN('Council Entry'!D69,'Council Entry'!D$9),'Council Entry'!D$8),'Council Entry'!D69)),IF('Council Entry'!D$4="Exponential",EXP(IF(AND(ISNUMBER('Council Entry'!D$8),ISNUMBER('Council Entry'!D$9)),MAX(MIN('Council Entry'!D69,'Council Entry'!D$9),'Council Entry'!D$8),'Council Entry'!D69)),IF(AND(ISNUMBER('Council Entry'!D$8),ISNUMBER('Council Entry'!D$9)),MAX(MIN('Council Entry'!D69,'Council Entry'!D$9),'Council Entry'!D$8),'Council Entry'!D69))))-'Council Entry'!D$5)/('Council Entry'!D$6-'Council Entry'!D$5),10*((IF('Council Entry'!D$4="Logarithm",LN(0.001+IF(AND(ISNUMBER('Council Entry'!D$8),ISNUMBER('Council Entry'!D$9)),MAX(MIN('Council Entry'!D69,'Council Entry'!D$9),'Council Entry'!D$8),'Council Entry'!D69)),IF('Council Entry'!D$4="Exponential",EXP(IF(AND(ISNUMBER('Council Entry'!D$8),ISNUMBER('Council Entry'!D$9)),MAX(MIN('Council Entry'!D69,'Council Entry'!D$9),'Council Entry'!D$8),'Council Entry'!D69)),IF(AND(ISNUMBER('Council Entry'!D$8),ISNUMBER('Council Entry'!D$9)),MAX(MIN('Council Entry'!D69,'Council Entry'!D$9),'Council Entry'!D$8),'Council Entry'!D69))))-'Council Entry'!D$5)/('Council Entry'!D$6-'Council Entry'!D$5)),1))),"No data"))</f>
        <v/>
      </c>
      <c r="E69" s="13">
        <f>IF('Council Entry'!E69="","",IFERROR(MAX(0,MIN(10,ROUND(IF('Council Entry'!E$7="Decrease Risk",10-10*((IF('Council Entry'!E$4="Logarithm",LN(0.001+IF(AND(ISNUMBER('Council Entry'!E$8),ISNUMBER('Council Entry'!E$9)),MAX(MIN('Council Entry'!E69,'Council Entry'!E$9),'Council Entry'!E$8),'Council Entry'!E69)),IF('Council Entry'!E$4="Exponential",EXP(IF(AND(ISNUMBER('Council Entry'!E$8),ISNUMBER('Council Entry'!E$9)),MAX(MIN('Council Entry'!E69,'Council Entry'!E$9),'Council Entry'!E$8),'Council Entry'!E69)),IF(AND(ISNUMBER('Council Entry'!E$8),ISNUMBER('Council Entry'!E$9)),MAX(MIN('Council Entry'!E69,'Council Entry'!E$9),'Council Entry'!E$8),'Council Entry'!E69))))-'Council Entry'!E$5)/('Council Entry'!E$6-'Council Entry'!E$5),10*((IF('Council Entry'!E$4="Logarithm",LN(0.001+IF(AND(ISNUMBER('Council Entry'!E$8),ISNUMBER('Council Entry'!E$9)),MAX(MIN('Council Entry'!E69,'Council Entry'!E$9),'Council Entry'!E$8),'Council Entry'!E69)),IF('Council Entry'!E$4="Exponential",EXP(IF(AND(ISNUMBER('Council Entry'!E$8),ISNUMBER('Council Entry'!E$9)),MAX(MIN('Council Entry'!E69,'Council Entry'!E$9),'Council Entry'!E$8),'Council Entry'!E69)),IF(AND(ISNUMBER('Council Entry'!E$8),ISNUMBER('Council Entry'!E$9)),MAX(MIN('Council Entry'!E69,'Council Entry'!E$9),'Council Entry'!E$8),'Council Entry'!E69))))-'Council Entry'!E$5)/('Council Entry'!E$6-'Council Entry'!E$5)),1))),"No data"))</f>
        <v/>
      </c>
      <c r="F69" s="13">
        <f>IF('Council Entry'!F69="","",IFERROR(MAX(0,MIN(10,ROUND(IF('Council Entry'!F$7="Decrease Risk",10-10*((IF('Council Entry'!F$4="Logarithm",LN(0.001+IF(AND(ISNUMBER('Council Entry'!F$8),ISNUMBER('Council Entry'!F$9)),MAX(MIN('Council Entry'!F69,'Council Entry'!F$9),'Council Entry'!F$8),'Council Entry'!F69)),IF('Council Entry'!F$4="Exponential",EXP(IF(AND(ISNUMBER('Council Entry'!F$8),ISNUMBER('Council Entry'!F$9)),MAX(MIN('Council Entry'!F69,'Council Entry'!F$9),'Council Entry'!F$8),'Council Entry'!F69)),IF(AND(ISNUMBER('Council Entry'!F$8),ISNUMBER('Council Entry'!F$9)),MAX(MIN('Council Entry'!F69,'Council Entry'!F$9),'Council Entry'!F$8),'Council Entry'!F69))))-'Council Entry'!F$5)/('Council Entry'!F$6-'Council Entry'!F$5),10*((IF('Council Entry'!F$4="Logarithm",LN(0.001+IF(AND(ISNUMBER('Council Entry'!F$8),ISNUMBER('Council Entry'!F$9)),MAX(MIN('Council Entry'!F69,'Council Entry'!F$9),'Council Entry'!F$8),'Council Entry'!F69)),IF('Council Entry'!F$4="Exponential",EXP(IF(AND(ISNUMBER('Council Entry'!F$8),ISNUMBER('Council Entry'!F$9)),MAX(MIN('Council Entry'!F69,'Council Entry'!F$9),'Council Entry'!F$8),'Council Entry'!F69)),IF(AND(ISNUMBER('Council Entry'!F$8),ISNUMBER('Council Entry'!F$9)),MAX(MIN('Council Entry'!F69,'Council Entry'!F$9),'Council Entry'!F$8),'Council Entry'!F69))))-'Council Entry'!F$5)/('Council Entry'!F$6-'Council Entry'!F$5)),1))),"No data"))</f>
        <v/>
      </c>
      <c r="G69" s="13">
        <f>IF('Council Entry'!G69="","",IFERROR(MAX(0,MIN(10,ROUND(IF('Council Entry'!G$7="Decrease Risk",10-10*((IF('Council Entry'!G$4="Logarithm",LN(0.001+IF(AND(ISNUMBER('Council Entry'!G$8),ISNUMBER('Council Entry'!G$9)),MAX(MIN('Council Entry'!G69,'Council Entry'!G$9),'Council Entry'!G$8),'Council Entry'!G69)),IF('Council Entry'!G$4="Exponential",EXP(IF(AND(ISNUMBER('Council Entry'!G$8),ISNUMBER('Council Entry'!G$9)),MAX(MIN('Council Entry'!G69,'Council Entry'!G$9),'Council Entry'!G$8),'Council Entry'!G69)),IF(AND(ISNUMBER('Council Entry'!G$8),ISNUMBER('Council Entry'!G$9)),MAX(MIN('Council Entry'!G69,'Council Entry'!G$9),'Council Entry'!G$8),'Council Entry'!G69))))-'Council Entry'!G$5)/('Council Entry'!G$6-'Council Entry'!G$5),10*((IF('Council Entry'!G$4="Logarithm",LN(0.001+IF(AND(ISNUMBER('Council Entry'!G$8),ISNUMBER('Council Entry'!G$9)),MAX(MIN('Council Entry'!G69,'Council Entry'!G$9),'Council Entry'!G$8),'Council Entry'!G69)),IF('Council Entry'!G$4="Exponential",EXP(IF(AND(ISNUMBER('Council Entry'!G$8),ISNUMBER('Council Entry'!G$9)),MAX(MIN('Council Entry'!G69,'Council Entry'!G$9),'Council Entry'!G$8),'Council Entry'!G69)),IF(AND(ISNUMBER('Council Entry'!G$8),ISNUMBER('Council Entry'!G$9)),MAX(MIN('Council Entry'!G69,'Council Entry'!G$9),'Council Entry'!G$8),'Council Entry'!G69))))-'Council Entry'!G$5)/('Council Entry'!G$6-'Council Entry'!G$5)),1))),"No data"))</f>
        <v/>
      </c>
      <c r="H69" s="13">
        <f>IF('Council Entry'!H69="","",IFERROR(MAX(0,MIN(10,ROUND(IF('Council Entry'!H$7="Decrease Risk",10-10*((IF('Council Entry'!H$4="Logarithm",LN(0.001+IF(AND(ISNUMBER('Council Entry'!H$8),ISNUMBER('Council Entry'!H$9)),MAX(MIN('Council Entry'!H69,'Council Entry'!H$9),'Council Entry'!H$8),'Council Entry'!H69)),IF('Council Entry'!H$4="Exponential",EXP(IF(AND(ISNUMBER('Council Entry'!H$8),ISNUMBER('Council Entry'!H$9)),MAX(MIN('Council Entry'!H69,'Council Entry'!H$9),'Council Entry'!H$8),'Council Entry'!H69)),IF(AND(ISNUMBER('Council Entry'!H$8),ISNUMBER('Council Entry'!H$9)),MAX(MIN('Council Entry'!H69,'Council Entry'!H$9),'Council Entry'!H$8),'Council Entry'!H69))))-'Council Entry'!H$5)/('Council Entry'!H$6-'Council Entry'!H$5),10*((IF('Council Entry'!H$4="Logarithm",LN(0.001+IF(AND(ISNUMBER('Council Entry'!H$8),ISNUMBER('Council Entry'!H$9)),MAX(MIN('Council Entry'!H69,'Council Entry'!H$9),'Council Entry'!H$8),'Council Entry'!H69)),IF('Council Entry'!H$4="Exponential",EXP(IF(AND(ISNUMBER('Council Entry'!H$8),ISNUMBER('Council Entry'!H$9)),MAX(MIN('Council Entry'!H69,'Council Entry'!H$9),'Council Entry'!H$8),'Council Entry'!H69)),IF(AND(ISNUMBER('Council Entry'!H$8),ISNUMBER('Council Entry'!H$9)),MAX(MIN('Council Entry'!H69,'Council Entry'!H$9),'Council Entry'!H$8),'Council Entry'!H69))))-'Council Entry'!H$5)/('Council Entry'!H$6-'Council Entry'!H$5)),1))),"No data"))</f>
        <v/>
      </c>
      <c r="I69" s="13">
        <f>IF('Council Entry'!I69="","",IFERROR(MAX(0,MIN(10,ROUND(IF('Council Entry'!I$7="Decrease Risk",10-10*((IF('Council Entry'!I$4="Logarithm",LN(0.001+IF(AND(ISNUMBER('Council Entry'!I$8),ISNUMBER('Council Entry'!I$9)),MAX(MIN('Council Entry'!I69,'Council Entry'!I$9),'Council Entry'!I$8),'Council Entry'!I69)),IF('Council Entry'!I$4="Exponential",EXP(IF(AND(ISNUMBER('Council Entry'!I$8),ISNUMBER('Council Entry'!I$9)),MAX(MIN('Council Entry'!I69,'Council Entry'!I$9),'Council Entry'!I$8),'Council Entry'!I69)),IF(AND(ISNUMBER('Council Entry'!I$8),ISNUMBER('Council Entry'!I$9)),MAX(MIN('Council Entry'!I69,'Council Entry'!I$9),'Council Entry'!I$8),'Council Entry'!I69))))-'Council Entry'!I$5)/('Council Entry'!I$6-'Council Entry'!I$5),10*((IF('Council Entry'!I$4="Logarithm",LN(0.001+IF(AND(ISNUMBER('Council Entry'!I$8),ISNUMBER('Council Entry'!I$9)),MAX(MIN('Council Entry'!I69,'Council Entry'!I$9),'Council Entry'!I$8),'Council Entry'!I69)),IF('Council Entry'!I$4="Exponential",EXP(IF(AND(ISNUMBER('Council Entry'!I$8),ISNUMBER('Council Entry'!I$9)),MAX(MIN('Council Entry'!I69,'Council Entry'!I$9),'Council Entry'!I$8),'Council Entry'!I69)),IF(AND(ISNUMBER('Council Entry'!I$8),ISNUMBER('Council Entry'!I$9)),MAX(MIN('Council Entry'!I69,'Council Entry'!I$9),'Council Entry'!I$8),'Council Entry'!I69))))-'Council Entry'!I$5)/('Council Entry'!I$6-'Council Entry'!I$5)),1))),"No data"))</f>
        <v/>
      </c>
      <c r="J69" s="13">
        <f>IF('Council Entry'!J69="","",IFERROR(MAX(0,MIN(10,ROUND(IF('Council Entry'!J$7="Decrease Risk",10-10*((IF('Council Entry'!J$4="Logarithm",LN(0.001+IF(AND(ISNUMBER('Council Entry'!J$8),ISNUMBER('Council Entry'!J$9)),MAX(MIN('Council Entry'!J69,'Council Entry'!J$9),'Council Entry'!J$8),'Council Entry'!J69)),IF('Council Entry'!J$4="Exponential",EXP(IF(AND(ISNUMBER('Council Entry'!J$8),ISNUMBER('Council Entry'!J$9)),MAX(MIN('Council Entry'!J69,'Council Entry'!J$9),'Council Entry'!J$8),'Council Entry'!J69)),IF(AND(ISNUMBER('Council Entry'!J$8),ISNUMBER('Council Entry'!J$9)),MAX(MIN('Council Entry'!J69,'Council Entry'!J$9),'Council Entry'!J$8),'Council Entry'!J69))))-'Council Entry'!J$5)/('Council Entry'!J$6-'Council Entry'!J$5),10*((IF('Council Entry'!J$4="Logarithm",LN(0.001+IF(AND(ISNUMBER('Council Entry'!J$8),ISNUMBER('Council Entry'!J$9)),MAX(MIN('Council Entry'!J69,'Council Entry'!J$9),'Council Entry'!J$8),'Council Entry'!J69)),IF('Council Entry'!J$4="Exponential",EXP(IF(AND(ISNUMBER('Council Entry'!J$8),ISNUMBER('Council Entry'!J$9)),MAX(MIN('Council Entry'!J69,'Council Entry'!J$9),'Council Entry'!J$8),'Council Entry'!J69)),IF(AND(ISNUMBER('Council Entry'!J$8),ISNUMBER('Council Entry'!J$9)),MAX(MIN('Council Entry'!J69,'Council Entry'!J$9),'Council Entry'!J$8),'Council Entry'!J69))))-'Council Entry'!J$5)/('Council Entry'!J$6-'Council Entry'!J$5)),1))),"No data"))</f>
        <v/>
      </c>
      <c r="K69" s="13">
        <f>IF('Council Entry'!K69="","",IFERROR(MAX(0,MIN(10,ROUND(IF('Council Entry'!K$7="Decrease Risk",10-10*((IF('Council Entry'!K$4="Logarithm",LN(0.001+IF(AND(ISNUMBER('Council Entry'!K$8),ISNUMBER('Council Entry'!K$9)),MAX(MIN('Council Entry'!K69,'Council Entry'!K$9),'Council Entry'!K$8),'Council Entry'!K69)),IF('Council Entry'!K$4="Exponential",EXP(IF(AND(ISNUMBER('Council Entry'!K$8),ISNUMBER('Council Entry'!K$9)),MAX(MIN('Council Entry'!K69,'Council Entry'!K$9),'Council Entry'!K$8),'Council Entry'!K69)),IF(AND(ISNUMBER('Council Entry'!K$8),ISNUMBER('Council Entry'!K$9)),MAX(MIN('Council Entry'!K69,'Council Entry'!K$9),'Council Entry'!K$8),'Council Entry'!K69))))-'Council Entry'!K$5)/('Council Entry'!K$6-'Council Entry'!K$5),10*((IF('Council Entry'!K$4="Logarithm",LN(0.001+IF(AND(ISNUMBER('Council Entry'!K$8),ISNUMBER('Council Entry'!K$9)),MAX(MIN('Council Entry'!K69,'Council Entry'!K$9),'Council Entry'!K$8),'Council Entry'!K69)),IF('Council Entry'!K$4="Exponential",EXP(IF(AND(ISNUMBER('Council Entry'!K$8),ISNUMBER('Council Entry'!K$9)),MAX(MIN('Council Entry'!K69,'Council Entry'!K$9),'Council Entry'!K$8),'Council Entry'!K69)),IF(AND(ISNUMBER('Council Entry'!K$8),ISNUMBER('Council Entry'!K$9)),MAX(MIN('Council Entry'!K69,'Council Entry'!K$9),'Council Entry'!K$8),'Council Entry'!K69))))-'Council Entry'!K$5)/('Council Entry'!K$6-'Council Entry'!K$5)),1))),"No data"))</f>
        <v/>
      </c>
      <c r="L69" s="13">
        <f>IF('Council Entry'!L69="","",IFERROR(MAX(0,MIN(10,ROUND(IF('Council Entry'!L$7="Decrease Risk",10-10*((IF('Council Entry'!L$4="Logarithm",LN(0.001+IF(AND(ISNUMBER('Council Entry'!L$8),ISNUMBER('Council Entry'!L$9)),MAX(MIN('Council Entry'!L69,'Council Entry'!L$9),'Council Entry'!L$8),'Council Entry'!L69)),IF('Council Entry'!L$4="Exponential",EXP(IF(AND(ISNUMBER('Council Entry'!L$8),ISNUMBER('Council Entry'!L$9)),MAX(MIN('Council Entry'!L69,'Council Entry'!L$9),'Council Entry'!L$8),'Council Entry'!L69)),IF(AND(ISNUMBER('Council Entry'!L$8),ISNUMBER('Council Entry'!L$9)),MAX(MIN('Council Entry'!L69,'Council Entry'!L$9),'Council Entry'!L$8),'Council Entry'!L69))))-'Council Entry'!L$5)/('Council Entry'!L$6-'Council Entry'!L$5),10*((IF('Council Entry'!L$4="Logarithm",LN(0.001+IF(AND(ISNUMBER('Council Entry'!L$8),ISNUMBER('Council Entry'!L$9)),MAX(MIN('Council Entry'!L69,'Council Entry'!L$9),'Council Entry'!L$8),'Council Entry'!L69)),IF('Council Entry'!L$4="Exponential",EXP(IF(AND(ISNUMBER('Council Entry'!L$8),ISNUMBER('Council Entry'!L$9)),MAX(MIN('Council Entry'!L69,'Council Entry'!L$9),'Council Entry'!L$8),'Council Entry'!L69)),IF(AND(ISNUMBER('Council Entry'!L$8),ISNUMBER('Council Entry'!L$9)),MAX(MIN('Council Entry'!L69,'Council Entry'!L$9),'Council Entry'!L$8),'Council Entry'!L69))))-'Council Entry'!L$5)/('Council Entry'!L$6-'Council Entry'!L$5)),1))),"No data"))</f>
        <v/>
      </c>
      <c r="M69" s="13">
        <f>IF('Council Entry'!M69="","",IFERROR(MAX(0,MIN(10,ROUND(IF('Council Entry'!M$7="Decrease Risk",10-10*((IF('Council Entry'!M$4="Logarithm",LN(0.001+IF(AND(ISNUMBER('Council Entry'!M$8),ISNUMBER('Council Entry'!M$9)),MAX(MIN('Council Entry'!M69,'Council Entry'!M$9),'Council Entry'!M$8),'Council Entry'!M69)),IF('Council Entry'!M$4="Exponential",EXP(IF(AND(ISNUMBER('Council Entry'!M$8),ISNUMBER('Council Entry'!M$9)),MAX(MIN('Council Entry'!M69,'Council Entry'!M$9),'Council Entry'!M$8),'Council Entry'!M69)),IF(AND(ISNUMBER('Council Entry'!M$8),ISNUMBER('Council Entry'!M$9)),MAX(MIN('Council Entry'!M69,'Council Entry'!M$9),'Council Entry'!M$8),'Council Entry'!M69))))-'Council Entry'!M$5)/('Council Entry'!M$6-'Council Entry'!M$5),10*((IF('Council Entry'!M$4="Logarithm",LN(0.001+IF(AND(ISNUMBER('Council Entry'!M$8),ISNUMBER('Council Entry'!M$9)),MAX(MIN('Council Entry'!M69,'Council Entry'!M$9),'Council Entry'!M$8),'Council Entry'!M69)),IF('Council Entry'!M$4="Exponential",EXP(IF(AND(ISNUMBER('Council Entry'!M$8),ISNUMBER('Council Entry'!M$9)),MAX(MIN('Council Entry'!M69,'Council Entry'!M$9),'Council Entry'!M$8),'Council Entry'!M69)),IF(AND(ISNUMBER('Council Entry'!M$8),ISNUMBER('Council Entry'!M$9)),MAX(MIN('Council Entry'!M69,'Council Entry'!M$9),'Council Entry'!M$8),'Council Entry'!M69))))-'Council Entry'!M$5)/('Council Entry'!M$6-'Council Entry'!M$5)),1))),"No data"))</f>
        <v/>
      </c>
      <c r="N69" s="13">
        <f>IF('Council Entry'!N69="","",IFERROR(MAX(0,MIN(10,ROUND(IF('Council Entry'!N$7="Decrease Risk",10-10*((IF('Council Entry'!N$4="Logarithm",LN(0.001+IF(AND(ISNUMBER('Council Entry'!N$8),ISNUMBER('Council Entry'!N$9)),MAX(MIN('Council Entry'!N69,'Council Entry'!N$9),'Council Entry'!N$8),'Council Entry'!N69)),IF('Council Entry'!N$4="Exponential",EXP(IF(AND(ISNUMBER('Council Entry'!N$8),ISNUMBER('Council Entry'!N$9)),MAX(MIN('Council Entry'!N69,'Council Entry'!N$9),'Council Entry'!N$8),'Council Entry'!N69)),IF(AND(ISNUMBER('Council Entry'!N$8),ISNUMBER('Council Entry'!N$9)),MAX(MIN('Council Entry'!N69,'Council Entry'!N$9),'Council Entry'!N$8),'Council Entry'!N69))))-'Council Entry'!N$5)/('Council Entry'!N$6-'Council Entry'!N$5),10*((IF('Council Entry'!N$4="Logarithm",LN(0.001+IF(AND(ISNUMBER('Council Entry'!N$8),ISNUMBER('Council Entry'!N$9)),MAX(MIN('Council Entry'!N69,'Council Entry'!N$9),'Council Entry'!N$8),'Council Entry'!N69)),IF('Council Entry'!N$4="Exponential",EXP(IF(AND(ISNUMBER('Council Entry'!N$8),ISNUMBER('Council Entry'!N$9)),MAX(MIN('Council Entry'!N69,'Council Entry'!N$9),'Council Entry'!N$8),'Council Entry'!N69)),IF(AND(ISNUMBER('Council Entry'!N$8),ISNUMBER('Council Entry'!N$9)),MAX(MIN('Council Entry'!N69,'Council Entry'!N$9),'Council Entry'!N$8),'Council Entry'!N69))))-'Council Entry'!N$5)/('Council Entry'!N$6-'Council Entry'!N$5)),1))),"No data"))</f>
        <v/>
      </c>
      <c r="O69" s="13">
        <f>IF('Council Entry'!O69="","",IFERROR(MAX(0,MIN(10,ROUND(IF('Council Entry'!O$7="Decrease Risk",10-10*((IF('Council Entry'!O$4="Logarithm",LN(0.001+IF(AND(ISNUMBER('Council Entry'!O$8),ISNUMBER('Council Entry'!O$9)),MAX(MIN('Council Entry'!O69,'Council Entry'!O$9),'Council Entry'!O$8),'Council Entry'!O69)),IF('Council Entry'!O$4="Exponential",EXP(IF(AND(ISNUMBER('Council Entry'!O$8),ISNUMBER('Council Entry'!O$9)),MAX(MIN('Council Entry'!O69,'Council Entry'!O$9),'Council Entry'!O$8),'Council Entry'!O69)),IF(AND(ISNUMBER('Council Entry'!O$8),ISNUMBER('Council Entry'!O$9)),MAX(MIN('Council Entry'!O69,'Council Entry'!O$9),'Council Entry'!O$8),'Council Entry'!O69))))-'Council Entry'!O$5)/('Council Entry'!O$6-'Council Entry'!O$5),10*((IF('Council Entry'!O$4="Logarithm",LN(0.001+IF(AND(ISNUMBER('Council Entry'!O$8),ISNUMBER('Council Entry'!O$9)),MAX(MIN('Council Entry'!O69,'Council Entry'!O$9),'Council Entry'!O$8),'Council Entry'!O69)),IF('Council Entry'!O$4="Exponential",EXP(IF(AND(ISNUMBER('Council Entry'!O$8),ISNUMBER('Council Entry'!O$9)),MAX(MIN('Council Entry'!O69,'Council Entry'!O$9),'Council Entry'!O$8),'Council Entry'!O69)),IF(AND(ISNUMBER('Council Entry'!O$8),ISNUMBER('Council Entry'!O$9)),MAX(MIN('Council Entry'!O69,'Council Entry'!O$9),'Council Entry'!O$8),'Council Entry'!O69))))-'Council Entry'!O$5)/('Council Entry'!O$6-'Council Entry'!O$5)),1))),"No data"))</f>
        <v/>
      </c>
      <c r="P69" s="13">
        <f>IF('Council Entry'!P69="","",IFERROR(MAX(0,MIN(10,ROUND(IF('Council Entry'!P$7="Decrease Risk",10-10*((IF('Council Entry'!P$4="Logarithm",LN(0.001+IF(AND(ISNUMBER('Council Entry'!P$8),ISNUMBER('Council Entry'!P$9)),MAX(MIN('Council Entry'!P69,'Council Entry'!P$9),'Council Entry'!P$8),'Council Entry'!P69)),IF('Council Entry'!P$4="Exponential",EXP(IF(AND(ISNUMBER('Council Entry'!P$8),ISNUMBER('Council Entry'!P$9)),MAX(MIN('Council Entry'!P69,'Council Entry'!P$9),'Council Entry'!P$8),'Council Entry'!P69)),IF(AND(ISNUMBER('Council Entry'!P$8),ISNUMBER('Council Entry'!P$9)),MAX(MIN('Council Entry'!P69,'Council Entry'!P$9),'Council Entry'!P$8),'Council Entry'!P69))))-'Council Entry'!P$5)/('Council Entry'!P$6-'Council Entry'!P$5),10*((IF('Council Entry'!P$4="Logarithm",LN(0.001+IF(AND(ISNUMBER('Council Entry'!P$8),ISNUMBER('Council Entry'!P$9)),MAX(MIN('Council Entry'!P69,'Council Entry'!P$9),'Council Entry'!P$8),'Council Entry'!P69)),IF('Council Entry'!P$4="Exponential",EXP(IF(AND(ISNUMBER('Council Entry'!P$8),ISNUMBER('Council Entry'!P$9)),MAX(MIN('Council Entry'!P69,'Council Entry'!P$9),'Council Entry'!P$8),'Council Entry'!P69)),IF(AND(ISNUMBER('Council Entry'!P$8),ISNUMBER('Council Entry'!P$9)),MAX(MIN('Council Entry'!P69,'Council Entry'!P$9),'Council Entry'!P$8),'Council Entry'!P69))))-'Council Entry'!P$5)/('Council Entry'!P$6-'Council Entry'!P$5)),1))),"No data"))</f>
        <v/>
      </c>
      <c r="Q69" s="13">
        <f>IF('Council Entry'!Q69="","",IFERROR(MAX(0,MIN(10,ROUND(IF('Council Entry'!Q$7="Decrease Risk",10-10*((IF('Council Entry'!Q$4="Logarithm",LN(0.001+IF(AND(ISNUMBER('Council Entry'!Q$8),ISNUMBER('Council Entry'!Q$9)),MAX(MIN('Council Entry'!Q69,'Council Entry'!Q$9),'Council Entry'!Q$8),'Council Entry'!Q69)),IF('Council Entry'!Q$4="Exponential",EXP(IF(AND(ISNUMBER('Council Entry'!Q$8),ISNUMBER('Council Entry'!Q$9)),MAX(MIN('Council Entry'!Q69,'Council Entry'!Q$9),'Council Entry'!Q$8),'Council Entry'!Q69)),IF(AND(ISNUMBER('Council Entry'!Q$8),ISNUMBER('Council Entry'!Q$9)),MAX(MIN('Council Entry'!Q69,'Council Entry'!Q$9),'Council Entry'!Q$8),'Council Entry'!Q69))))-'Council Entry'!Q$5)/('Council Entry'!Q$6-'Council Entry'!Q$5),10*((IF('Council Entry'!Q$4="Logarithm",LN(0.001+IF(AND(ISNUMBER('Council Entry'!Q$8),ISNUMBER('Council Entry'!Q$9)),MAX(MIN('Council Entry'!Q69,'Council Entry'!Q$9),'Council Entry'!Q$8),'Council Entry'!Q69)),IF('Council Entry'!Q$4="Exponential",EXP(IF(AND(ISNUMBER('Council Entry'!Q$8),ISNUMBER('Council Entry'!Q$9)),MAX(MIN('Council Entry'!Q69,'Council Entry'!Q$9),'Council Entry'!Q$8),'Council Entry'!Q69)),IF(AND(ISNUMBER('Council Entry'!Q$8),ISNUMBER('Council Entry'!Q$9)),MAX(MIN('Council Entry'!Q69,'Council Entry'!Q$9),'Council Entry'!Q$8),'Council Entry'!Q69))))-'Council Entry'!Q$5)/('Council Entry'!Q$6-'Council Entry'!Q$5)),1))),"No data"))</f>
        <v/>
      </c>
      <c r="R69" s="13">
        <f>IF('Council Entry'!R69="","",IFERROR(MAX(0,MIN(10,ROUND(IF('Council Entry'!R$7="Decrease Risk",10-10*((IF('Council Entry'!R$4="Logarithm",LN(0.001+IF(AND(ISNUMBER('Council Entry'!R$8),ISNUMBER('Council Entry'!R$9)),MAX(MIN('Council Entry'!R69,'Council Entry'!R$9),'Council Entry'!R$8),'Council Entry'!R69)),IF('Council Entry'!R$4="Exponential",EXP(IF(AND(ISNUMBER('Council Entry'!R$8),ISNUMBER('Council Entry'!R$9)),MAX(MIN('Council Entry'!R69,'Council Entry'!R$9),'Council Entry'!R$8),'Council Entry'!R69)),IF(AND(ISNUMBER('Council Entry'!R$8),ISNUMBER('Council Entry'!R$9)),MAX(MIN('Council Entry'!R69,'Council Entry'!R$9),'Council Entry'!R$8),'Council Entry'!R69))))-'Council Entry'!R$5)/('Council Entry'!R$6-'Council Entry'!R$5),10*((IF('Council Entry'!R$4="Logarithm",LN(0.001+IF(AND(ISNUMBER('Council Entry'!R$8),ISNUMBER('Council Entry'!R$9)),MAX(MIN('Council Entry'!R69,'Council Entry'!R$9),'Council Entry'!R$8),'Council Entry'!R69)),IF('Council Entry'!R$4="Exponential",EXP(IF(AND(ISNUMBER('Council Entry'!R$8),ISNUMBER('Council Entry'!R$9)),MAX(MIN('Council Entry'!R69,'Council Entry'!R$9),'Council Entry'!R$8),'Council Entry'!R69)),IF(AND(ISNUMBER('Council Entry'!R$8),ISNUMBER('Council Entry'!R$9)),MAX(MIN('Council Entry'!R69,'Council Entry'!R$9),'Council Entry'!R$8),'Council Entry'!R69))))-'Council Entry'!R$5)/('Council Entry'!R$6-'Council Entry'!R$5)),1))),"No data"))</f>
        <v/>
      </c>
      <c r="S69" s="13">
        <f>IF('Council Entry'!S69="","",IFERROR(MAX(0,MIN(10,ROUND(IF('Council Entry'!S$7="Decrease Risk",10-10*((IF('Council Entry'!S$4="Logarithm",LN(0.001+IF(AND(ISNUMBER('Council Entry'!S$8),ISNUMBER('Council Entry'!S$9)),MAX(MIN('Council Entry'!S69,'Council Entry'!S$9),'Council Entry'!S$8),'Council Entry'!S69)),IF('Council Entry'!S$4="Exponential",EXP(IF(AND(ISNUMBER('Council Entry'!S$8),ISNUMBER('Council Entry'!S$9)),MAX(MIN('Council Entry'!S69,'Council Entry'!S$9),'Council Entry'!S$8),'Council Entry'!S69)),IF(AND(ISNUMBER('Council Entry'!S$8),ISNUMBER('Council Entry'!S$9)),MAX(MIN('Council Entry'!S69,'Council Entry'!S$9),'Council Entry'!S$8),'Council Entry'!S69))))-'Council Entry'!S$5)/('Council Entry'!S$6-'Council Entry'!S$5),10*((IF('Council Entry'!S$4="Logarithm",LN(0.001+IF(AND(ISNUMBER('Council Entry'!S$8),ISNUMBER('Council Entry'!S$9)),MAX(MIN('Council Entry'!S69,'Council Entry'!S$9),'Council Entry'!S$8),'Council Entry'!S69)),IF('Council Entry'!S$4="Exponential",EXP(IF(AND(ISNUMBER('Council Entry'!S$8),ISNUMBER('Council Entry'!S$9)),MAX(MIN('Council Entry'!S69,'Council Entry'!S$9),'Council Entry'!S$8),'Council Entry'!S69)),IF(AND(ISNUMBER('Council Entry'!S$8),ISNUMBER('Council Entry'!S$9)),MAX(MIN('Council Entry'!S69,'Council Entry'!S$9),'Council Entry'!S$8),'Council Entry'!S69))))-'Council Entry'!S$5)/('Council Entry'!S$6-'Council Entry'!S$5)),1))),"No data"))</f>
        <v/>
      </c>
      <c r="T69" s="13">
        <f>IF('Council Entry'!T69="","",IFERROR(MAX(0,MIN(10,ROUND(IF('Council Entry'!T$7="Decrease Risk",10-10*((IF('Council Entry'!T$4="Logarithm",LN(0.001+IF(AND(ISNUMBER('Council Entry'!T$8),ISNUMBER('Council Entry'!T$9)),MAX(MIN('Council Entry'!T69,'Council Entry'!T$9),'Council Entry'!T$8),'Council Entry'!T69)),IF('Council Entry'!T$4="Exponential",EXP(IF(AND(ISNUMBER('Council Entry'!T$8),ISNUMBER('Council Entry'!T$9)),MAX(MIN('Council Entry'!T69,'Council Entry'!T$9),'Council Entry'!T$8),'Council Entry'!T69)),IF(AND(ISNUMBER('Council Entry'!T$8),ISNUMBER('Council Entry'!T$9)),MAX(MIN('Council Entry'!T69,'Council Entry'!T$9),'Council Entry'!T$8),'Council Entry'!T69))))-'Council Entry'!T$5)/('Council Entry'!T$6-'Council Entry'!T$5),10*((IF('Council Entry'!T$4="Logarithm",LN(0.001+IF(AND(ISNUMBER('Council Entry'!T$8),ISNUMBER('Council Entry'!T$9)),MAX(MIN('Council Entry'!T69,'Council Entry'!T$9),'Council Entry'!T$8),'Council Entry'!T69)),IF('Council Entry'!T$4="Exponential",EXP(IF(AND(ISNUMBER('Council Entry'!T$8),ISNUMBER('Council Entry'!T$9)),MAX(MIN('Council Entry'!T69,'Council Entry'!T$9),'Council Entry'!T$8),'Council Entry'!T69)),IF(AND(ISNUMBER('Council Entry'!T$8),ISNUMBER('Council Entry'!T$9)),MAX(MIN('Council Entry'!T69,'Council Entry'!T$9),'Council Entry'!T$8),'Council Entry'!T69))))-'Council Entry'!T$5)/('Council Entry'!T$6-'Council Entry'!T$5)),1))),"No data"))</f>
        <v/>
      </c>
      <c r="U69" s="13">
        <f>IF('Council Entry'!U69="","",IFERROR(MAX(0,MIN(10,ROUND(IF('Council Entry'!U$7="Decrease Risk",10-10*((IF('Council Entry'!U$4="Logarithm",LN(0.001+IF(AND(ISNUMBER('Council Entry'!U$8),ISNUMBER('Council Entry'!U$9)),MAX(MIN('Council Entry'!U69,'Council Entry'!U$9),'Council Entry'!U$8),'Council Entry'!U69)),IF('Council Entry'!U$4="Exponential",EXP(IF(AND(ISNUMBER('Council Entry'!U$8),ISNUMBER('Council Entry'!U$9)),MAX(MIN('Council Entry'!U69,'Council Entry'!U$9),'Council Entry'!U$8),'Council Entry'!U69)),IF(AND(ISNUMBER('Council Entry'!U$8),ISNUMBER('Council Entry'!U$9)),MAX(MIN('Council Entry'!U69,'Council Entry'!U$9),'Council Entry'!U$8),'Council Entry'!U69))))-'Council Entry'!U$5)/('Council Entry'!U$6-'Council Entry'!U$5),10*((IF('Council Entry'!U$4="Logarithm",LN(0.001+IF(AND(ISNUMBER('Council Entry'!U$8),ISNUMBER('Council Entry'!U$9)),MAX(MIN('Council Entry'!U69,'Council Entry'!U$9),'Council Entry'!U$8),'Council Entry'!U69)),IF('Council Entry'!U$4="Exponential",EXP(IF(AND(ISNUMBER('Council Entry'!U$8),ISNUMBER('Council Entry'!U$9)),MAX(MIN('Council Entry'!U69,'Council Entry'!U$9),'Council Entry'!U$8),'Council Entry'!U69)),IF(AND(ISNUMBER('Council Entry'!U$8),ISNUMBER('Council Entry'!U$9)),MAX(MIN('Council Entry'!U69,'Council Entry'!U$9),'Council Entry'!U$8),'Council Entry'!U69))))-'Council Entry'!U$5)/('Council Entry'!U$6-'Council Entry'!U$5)),1))),"No data"))</f>
        <v/>
      </c>
      <c r="V69" s="13">
        <f>IF('Council Entry'!V69="","",IFERROR(MAX(0,MIN(10,ROUND(IF('Council Entry'!V$7="Decrease Risk",10-10*((IF('Council Entry'!V$4="Logarithm",LN(0.001+IF(AND(ISNUMBER('Council Entry'!V$8),ISNUMBER('Council Entry'!V$9)),MAX(MIN('Council Entry'!V69,'Council Entry'!V$9),'Council Entry'!V$8),'Council Entry'!V69)),IF('Council Entry'!V$4="Exponential",EXP(IF(AND(ISNUMBER('Council Entry'!V$8),ISNUMBER('Council Entry'!V$9)),MAX(MIN('Council Entry'!V69,'Council Entry'!V$9),'Council Entry'!V$8),'Council Entry'!V69)),IF(AND(ISNUMBER('Council Entry'!V$8),ISNUMBER('Council Entry'!V$9)),MAX(MIN('Council Entry'!V69,'Council Entry'!V$9),'Council Entry'!V$8),'Council Entry'!V69))))-'Council Entry'!V$5)/('Council Entry'!V$6-'Council Entry'!V$5),10*((IF('Council Entry'!V$4="Logarithm",LN(0.001+IF(AND(ISNUMBER('Council Entry'!V$8),ISNUMBER('Council Entry'!V$9)),MAX(MIN('Council Entry'!V69,'Council Entry'!V$9),'Council Entry'!V$8),'Council Entry'!V69)),IF('Council Entry'!V$4="Exponential",EXP(IF(AND(ISNUMBER('Council Entry'!V$8),ISNUMBER('Council Entry'!V$9)),MAX(MIN('Council Entry'!V69,'Council Entry'!V$9),'Council Entry'!V$8),'Council Entry'!V69)),IF(AND(ISNUMBER('Council Entry'!V$8),ISNUMBER('Council Entry'!V$9)),MAX(MIN('Council Entry'!V69,'Council Entry'!V$9),'Council Entry'!V$8),'Council Entry'!V69))))-'Council Entry'!V$5)/('Council Entry'!V$6-'Council Entry'!V$5)),1))),"No data"))</f>
        <v/>
      </c>
      <c r="W69" s="13">
        <f>IF('Council Entry'!W69="","",IFERROR(MAX(0,MIN(10,ROUND(IF('Council Entry'!W$7="Decrease Risk",10-10*((IF('Council Entry'!W$4="Logarithm",LN(0.001+IF(AND(ISNUMBER('Council Entry'!W$8),ISNUMBER('Council Entry'!W$9)),MAX(MIN('Council Entry'!W69,'Council Entry'!W$9),'Council Entry'!W$8),'Council Entry'!W69)),IF('Council Entry'!W$4="Exponential",EXP(IF(AND(ISNUMBER('Council Entry'!W$8),ISNUMBER('Council Entry'!W$9)),MAX(MIN('Council Entry'!W69,'Council Entry'!W$9),'Council Entry'!W$8),'Council Entry'!W69)),IF(AND(ISNUMBER('Council Entry'!W$8),ISNUMBER('Council Entry'!W$9)),MAX(MIN('Council Entry'!W69,'Council Entry'!W$9),'Council Entry'!W$8),'Council Entry'!W69))))-'Council Entry'!W$5)/('Council Entry'!W$6-'Council Entry'!W$5),10*((IF('Council Entry'!W$4="Logarithm",LN(0.001+IF(AND(ISNUMBER('Council Entry'!W$8),ISNUMBER('Council Entry'!W$9)),MAX(MIN('Council Entry'!W69,'Council Entry'!W$9),'Council Entry'!W$8),'Council Entry'!W69)),IF('Council Entry'!W$4="Exponential",EXP(IF(AND(ISNUMBER('Council Entry'!W$8),ISNUMBER('Council Entry'!W$9)),MAX(MIN('Council Entry'!W69,'Council Entry'!W$9),'Council Entry'!W$8),'Council Entry'!W69)),IF(AND(ISNUMBER('Council Entry'!W$8),ISNUMBER('Council Entry'!W$9)),MAX(MIN('Council Entry'!W69,'Council Entry'!W$9),'Council Entry'!W$8),'Council Entry'!W69))))-'Council Entry'!W$5)/('Council Entry'!W$6-'Council Entry'!W$5)),1))),"No data"))</f>
        <v/>
      </c>
      <c r="X69" s="13">
        <f>IF('Council Entry'!X69="","",IFERROR(MAX(0,MIN(10,ROUND(IF('Council Entry'!X$7="Decrease Risk",10-10*((IF('Council Entry'!X$4="Logarithm",LN(0.001+IF(AND(ISNUMBER('Council Entry'!X$8),ISNUMBER('Council Entry'!X$9)),MAX(MIN('Council Entry'!X69,'Council Entry'!X$9),'Council Entry'!X$8),'Council Entry'!X69)),IF('Council Entry'!X$4="Exponential",EXP(IF(AND(ISNUMBER('Council Entry'!X$8),ISNUMBER('Council Entry'!X$9)),MAX(MIN('Council Entry'!X69,'Council Entry'!X$9),'Council Entry'!X$8),'Council Entry'!X69)),IF(AND(ISNUMBER('Council Entry'!X$8),ISNUMBER('Council Entry'!X$9)),MAX(MIN('Council Entry'!X69,'Council Entry'!X$9),'Council Entry'!X$8),'Council Entry'!X69))))-'Council Entry'!X$5)/('Council Entry'!X$6-'Council Entry'!X$5),10*((IF('Council Entry'!X$4="Logarithm",LN(0.001+IF(AND(ISNUMBER('Council Entry'!X$8),ISNUMBER('Council Entry'!X$9)),MAX(MIN('Council Entry'!X69,'Council Entry'!X$9),'Council Entry'!X$8),'Council Entry'!X69)),IF('Council Entry'!X$4="Exponential",EXP(IF(AND(ISNUMBER('Council Entry'!X$8),ISNUMBER('Council Entry'!X$9)),MAX(MIN('Council Entry'!X69,'Council Entry'!X$9),'Council Entry'!X$8),'Council Entry'!X69)),IF(AND(ISNUMBER('Council Entry'!X$8),ISNUMBER('Council Entry'!X$9)),MAX(MIN('Council Entry'!X69,'Council Entry'!X$9),'Council Entry'!X$8),'Council Entry'!X69))))-'Council Entry'!X$5)/('Council Entry'!X$6-'Council Entry'!X$5)),1))),"No data"))</f>
        <v/>
      </c>
      <c r="Y69" s="13">
        <f>IF('Council Entry'!Y69="","",IFERROR(MAX(0,MIN(10,ROUND(IF('Council Entry'!Y$7="Decrease Risk",10-10*((IF('Council Entry'!Y$4="Logarithm",LN(0.001+IF(AND(ISNUMBER('Council Entry'!Y$8),ISNUMBER('Council Entry'!Y$9)),MAX(MIN('Council Entry'!Y69,'Council Entry'!Y$9),'Council Entry'!Y$8),'Council Entry'!Y69)),IF('Council Entry'!Y$4="Exponential",EXP(IF(AND(ISNUMBER('Council Entry'!Y$8),ISNUMBER('Council Entry'!Y$9)),MAX(MIN('Council Entry'!Y69,'Council Entry'!Y$9),'Council Entry'!Y$8),'Council Entry'!Y69)),IF(AND(ISNUMBER('Council Entry'!Y$8),ISNUMBER('Council Entry'!Y$9)),MAX(MIN('Council Entry'!Y69,'Council Entry'!Y$9),'Council Entry'!Y$8),'Council Entry'!Y69))))-'Council Entry'!Y$5)/('Council Entry'!Y$6-'Council Entry'!Y$5),10*((IF('Council Entry'!Y$4="Logarithm",LN(0.001+IF(AND(ISNUMBER('Council Entry'!Y$8),ISNUMBER('Council Entry'!Y$9)),MAX(MIN('Council Entry'!Y69,'Council Entry'!Y$9),'Council Entry'!Y$8),'Council Entry'!Y69)),IF('Council Entry'!Y$4="Exponential",EXP(IF(AND(ISNUMBER('Council Entry'!Y$8),ISNUMBER('Council Entry'!Y$9)),MAX(MIN('Council Entry'!Y69,'Council Entry'!Y$9),'Council Entry'!Y$8),'Council Entry'!Y69)),IF(AND(ISNUMBER('Council Entry'!Y$8),ISNUMBER('Council Entry'!Y$9)),MAX(MIN('Council Entry'!Y69,'Council Entry'!Y$9),'Council Entry'!Y$8),'Council Entry'!Y69))))-'Council Entry'!Y$5)/('Council Entry'!Y$6-'Council Entry'!Y$5)),1))),"No data"))</f>
        <v/>
      </c>
      <c r="Z69" s="13">
        <f>IF('Council Entry'!Z69="","",IFERROR(MAX(0,MIN(10,ROUND(IF('Council Entry'!Z$7="Decrease Risk",10-10*((IF('Council Entry'!Z$4="Logarithm",LN(0.001+IF(AND(ISNUMBER('Council Entry'!Z$8),ISNUMBER('Council Entry'!Z$9)),MAX(MIN('Council Entry'!Z69,'Council Entry'!Z$9),'Council Entry'!Z$8),'Council Entry'!Z69)),IF('Council Entry'!Z$4="Exponential",EXP(IF(AND(ISNUMBER('Council Entry'!Z$8),ISNUMBER('Council Entry'!Z$9)),MAX(MIN('Council Entry'!Z69,'Council Entry'!Z$9),'Council Entry'!Z$8),'Council Entry'!Z69)),IF(AND(ISNUMBER('Council Entry'!Z$8),ISNUMBER('Council Entry'!Z$9)),MAX(MIN('Council Entry'!Z69,'Council Entry'!Z$9),'Council Entry'!Z$8),'Council Entry'!Z69))))-'Council Entry'!Z$5)/('Council Entry'!Z$6-'Council Entry'!Z$5),10*((IF('Council Entry'!Z$4="Logarithm",LN(0.001+IF(AND(ISNUMBER('Council Entry'!Z$8),ISNUMBER('Council Entry'!Z$9)),MAX(MIN('Council Entry'!Z69,'Council Entry'!Z$9),'Council Entry'!Z$8),'Council Entry'!Z69)),IF('Council Entry'!Z$4="Exponential",EXP(IF(AND(ISNUMBER('Council Entry'!Z$8),ISNUMBER('Council Entry'!Z$9)),MAX(MIN('Council Entry'!Z69,'Council Entry'!Z$9),'Council Entry'!Z$8),'Council Entry'!Z69)),IF(AND(ISNUMBER('Council Entry'!Z$8),ISNUMBER('Council Entry'!Z$9)),MAX(MIN('Council Entry'!Z69,'Council Entry'!Z$9),'Council Entry'!Z$8),'Council Entry'!Z69))))-'Council Entry'!Z$5)/('Council Entry'!Z$6-'Council Entry'!Z$5)),1))),"No data"))</f>
        <v/>
      </c>
      <c r="AA69" s="13">
        <f>IF('Council Entry'!AA69="","",IFERROR(MAX(0,MIN(10,ROUND(IF('Council Entry'!AA$7="Decrease Risk",10-10*((IF('Council Entry'!AA$4="Logarithm",LN(0.001+IF(AND(ISNUMBER('Council Entry'!AA$8),ISNUMBER('Council Entry'!AA$9)),MAX(MIN('Council Entry'!AA69,'Council Entry'!AA$9),'Council Entry'!AA$8),'Council Entry'!AA69)),IF('Council Entry'!AA$4="Exponential",EXP(IF(AND(ISNUMBER('Council Entry'!AA$8),ISNUMBER('Council Entry'!AA$9)),MAX(MIN('Council Entry'!AA69,'Council Entry'!AA$9),'Council Entry'!AA$8),'Council Entry'!AA69)),IF(AND(ISNUMBER('Council Entry'!AA$8),ISNUMBER('Council Entry'!AA$9)),MAX(MIN('Council Entry'!AA69,'Council Entry'!AA$9),'Council Entry'!AA$8),'Council Entry'!AA69))))-'Council Entry'!AA$5)/('Council Entry'!AA$6-'Council Entry'!AA$5),10*((IF('Council Entry'!AA$4="Logarithm",LN(0.001+IF(AND(ISNUMBER('Council Entry'!AA$8),ISNUMBER('Council Entry'!AA$9)),MAX(MIN('Council Entry'!AA69,'Council Entry'!AA$9),'Council Entry'!AA$8),'Council Entry'!AA69)),IF('Council Entry'!AA$4="Exponential",EXP(IF(AND(ISNUMBER('Council Entry'!AA$8),ISNUMBER('Council Entry'!AA$9)),MAX(MIN('Council Entry'!AA69,'Council Entry'!AA$9),'Council Entry'!AA$8),'Council Entry'!AA69)),IF(AND(ISNUMBER('Council Entry'!AA$8),ISNUMBER('Council Entry'!AA$9)),MAX(MIN('Council Entry'!AA69,'Council Entry'!AA$9),'Council Entry'!AA$8),'Council Entry'!AA69))))-'Council Entry'!AA$5)/('Council Entry'!AA$6-'Council Entry'!AA$5)),1))),"No data"))</f>
        <v/>
      </c>
      <c r="AB69" s="13">
        <f>IF('Council Entry'!AB69="","",IFERROR(MAX(0,MIN(10,ROUND(IF('Council Entry'!AB$7="Decrease Risk",10-10*((IF('Council Entry'!AB$4="Logarithm",LN(0.001+IF(AND(ISNUMBER('Council Entry'!AB$8),ISNUMBER('Council Entry'!AB$9)),MAX(MIN('Council Entry'!AB69,'Council Entry'!AB$9),'Council Entry'!AB$8),'Council Entry'!AB69)),IF('Council Entry'!AB$4="Exponential",EXP(IF(AND(ISNUMBER('Council Entry'!AB$8),ISNUMBER('Council Entry'!AB$9)),MAX(MIN('Council Entry'!AB69,'Council Entry'!AB$9),'Council Entry'!AB$8),'Council Entry'!AB69)),IF(AND(ISNUMBER('Council Entry'!AB$8),ISNUMBER('Council Entry'!AB$9)),MAX(MIN('Council Entry'!AB69,'Council Entry'!AB$9),'Council Entry'!AB$8),'Council Entry'!AB69))))-'Council Entry'!AB$5)/('Council Entry'!AB$6-'Council Entry'!AB$5),10*((IF('Council Entry'!AB$4="Logarithm",LN(0.001+IF(AND(ISNUMBER('Council Entry'!AB$8),ISNUMBER('Council Entry'!AB$9)),MAX(MIN('Council Entry'!AB69,'Council Entry'!AB$9),'Council Entry'!AB$8),'Council Entry'!AB69)),IF('Council Entry'!AB$4="Exponential",EXP(IF(AND(ISNUMBER('Council Entry'!AB$8),ISNUMBER('Council Entry'!AB$9)),MAX(MIN('Council Entry'!AB69,'Council Entry'!AB$9),'Council Entry'!AB$8),'Council Entry'!AB69)),IF(AND(ISNUMBER('Council Entry'!AB$8),ISNUMBER('Council Entry'!AB$9)),MAX(MIN('Council Entry'!AB69,'Council Entry'!AB$9),'Council Entry'!AB$8),'Council Entry'!AB69))))-'Council Entry'!AB$5)/('Council Entry'!AB$6-'Council Entry'!AB$5)),1))),"No data"))</f>
        <v/>
      </c>
      <c r="AC69" s="13">
        <f>IF('Council Entry'!AC69="","",IFERROR(MAX(0,MIN(10,ROUND(IF('Council Entry'!AC$7="Decrease Risk",10-10*((IF('Council Entry'!AC$4="Logarithm",LN(0.001+IF(AND(ISNUMBER('Council Entry'!AC$8),ISNUMBER('Council Entry'!AC$9)),MAX(MIN('Council Entry'!AC69,'Council Entry'!AC$9),'Council Entry'!AC$8),'Council Entry'!AC69)),IF('Council Entry'!AC$4="Exponential",EXP(IF(AND(ISNUMBER('Council Entry'!AC$8),ISNUMBER('Council Entry'!AC$9)),MAX(MIN('Council Entry'!AC69,'Council Entry'!AC$9),'Council Entry'!AC$8),'Council Entry'!AC69)),IF(AND(ISNUMBER('Council Entry'!AC$8),ISNUMBER('Council Entry'!AC$9)),MAX(MIN('Council Entry'!AC69,'Council Entry'!AC$9),'Council Entry'!AC$8),'Council Entry'!AC69))))-'Council Entry'!AC$5)/('Council Entry'!AC$6-'Council Entry'!AC$5),10*((IF('Council Entry'!AC$4="Logarithm",LN(0.001+IF(AND(ISNUMBER('Council Entry'!AC$8),ISNUMBER('Council Entry'!AC$9)),MAX(MIN('Council Entry'!AC69,'Council Entry'!AC$9),'Council Entry'!AC$8),'Council Entry'!AC69)),IF('Council Entry'!AC$4="Exponential",EXP(IF(AND(ISNUMBER('Council Entry'!AC$8),ISNUMBER('Council Entry'!AC$9)),MAX(MIN('Council Entry'!AC69,'Council Entry'!AC$9),'Council Entry'!AC$8),'Council Entry'!AC69)),IF(AND(ISNUMBER('Council Entry'!AC$8),ISNUMBER('Council Entry'!AC$9)),MAX(MIN('Council Entry'!AC69,'Council Entry'!AC$9),'Council Entry'!AC$8),'Council Entry'!AC69))))-'Council Entry'!AC$5)/('Council Entry'!AC$6-'Council Entry'!AC$5)),1))),"No data"))</f>
        <v/>
      </c>
      <c r="AD69" s="13">
        <f>IF('Council Entry'!AD69="","",IFERROR(MAX(0,MIN(10,ROUND(IF('Council Entry'!AD$7="Decrease Risk",10-10*((IF('Council Entry'!AD$4="Logarithm",LN(0.001+IF(AND(ISNUMBER('Council Entry'!AD$8),ISNUMBER('Council Entry'!AD$9)),MAX(MIN('Council Entry'!AD69,'Council Entry'!AD$9),'Council Entry'!AD$8),'Council Entry'!AD69)),IF('Council Entry'!AD$4="Exponential",EXP(IF(AND(ISNUMBER('Council Entry'!AD$8),ISNUMBER('Council Entry'!AD$9)),MAX(MIN('Council Entry'!AD69,'Council Entry'!AD$9),'Council Entry'!AD$8),'Council Entry'!AD69)),IF(AND(ISNUMBER('Council Entry'!AD$8),ISNUMBER('Council Entry'!AD$9)),MAX(MIN('Council Entry'!AD69,'Council Entry'!AD$9),'Council Entry'!AD$8),'Council Entry'!AD69))))-'Council Entry'!AD$5)/('Council Entry'!AD$6-'Council Entry'!AD$5),10*((IF('Council Entry'!AD$4="Logarithm",LN(0.001+IF(AND(ISNUMBER('Council Entry'!AD$8),ISNUMBER('Council Entry'!AD$9)),MAX(MIN('Council Entry'!AD69,'Council Entry'!AD$9),'Council Entry'!AD$8),'Council Entry'!AD69)),IF('Council Entry'!AD$4="Exponential",EXP(IF(AND(ISNUMBER('Council Entry'!AD$8),ISNUMBER('Council Entry'!AD$9)),MAX(MIN('Council Entry'!AD69,'Council Entry'!AD$9),'Council Entry'!AD$8),'Council Entry'!AD69)),IF(AND(ISNUMBER('Council Entry'!AD$8),ISNUMBER('Council Entry'!AD$9)),MAX(MIN('Council Entry'!AD69,'Council Entry'!AD$9),'Council Entry'!AD$8),'Council Entry'!AD69))))-'Council Entry'!AD$5)/('Council Entry'!AD$6-'Council Entry'!AD$5)),1))),"No data"))</f>
        <v/>
      </c>
      <c r="AE69" s="13">
        <f>IF('Council Entry'!AE69="","",IFERROR(MAX(0,MIN(10,ROUND(IF('Council Entry'!AE$7="Decrease Risk",10-10*((IF('Council Entry'!AE$4="Logarithm",LN(0.001+IF(AND(ISNUMBER('Council Entry'!AE$8),ISNUMBER('Council Entry'!AE$9)),MAX(MIN('Council Entry'!AE69,'Council Entry'!AE$9),'Council Entry'!AE$8),'Council Entry'!AE69)),IF('Council Entry'!AE$4="Exponential",EXP(IF(AND(ISNUMBER('Council Entry'!AE$8),ISNUMBER('Council Entry'!AE$9)),MAX(MIN('Council Entry'!AE69,'Council Entry'!AE$9),'Council Entry'!AE$8),'Council Entry'!AE69)),IF(AND(ISNUMBER('Council Entry'!AE$8),ISNUMBER('Council Entry'!AE$9)),MAX(MIN('Council Entry'!AE69,'Council Entry'!AE$9),'Council Entry'!AE$8),'Council Entry'!AE69))))-'Council Entry'!AE$5)/('Council Entry'!AE$6-'Council Entry'!AE$5),10*((IF('Council Entry'!AE$4="Logarithm",LN(0.001+IF(AND(ISNUMBER('Council Entry'!AE$8),ISNUMBER('Council Entry'!AE$9)),MAX(MIN('Council Entry'!AE69,'Council Entry'!AE$9),'Council Entry'!AE$8),'Council Entry'!AE69)),IF('Council Entry'!AE$4="Exponential",EXP(IF(AND(ISNUMBER('Council Entry'!AE$8),ISNUMBER('Council Entry'!AE$9)),MAX(MIN('Council Entry'!AE69,'Council Entry'!AE$9),'Council Entry'!AE$8),'Council Entry'!AE69)),IF(AND(ISNUMBER('Council Entry'!AE$8),ISNUMBER('Council Entry'!AE$9)),MAX(MIN('Council Entry'!AE69,'Council Entry'!AE$9),'Council Entry'!AE$8),'Council Entry'!AE69))))-'Council Entry'!AE$5)/('Council Entry'!AE$6-'Council Entry'!AE$5)),1))),"No data"))</f>
        <v/>
      </c>
      <c r="AF69" s="13">
        <f>IF('Council Entry'!AF69="","",IFERROR(MAX(0,MIN(10,ROUND(IF('Council Entry'!AF$7="Decrease Risk",10-10*((IF('Council Entry'!AF$4="Logarithm",LN(0.001+IF(AND(ISNUMBER('Council Entry'!AF$8),ISNUMBER('Council Entry'!AF$9)),MAX(MIN('Council Entry'!AF69,'Council Entry'!AF$9),'Council Entry'!AF$8),'Council Entry'!AF69)),IF('Council Entry'!AF$4="Exponential",EXP(IF(AND(ISNUMBER('Council Entry'!AF$8),ISNUMBER('Council Entry'!AF$9)),MAX(MIN('Council Entry'!AF69,'Council Entry'!AF$9),'Council Entry'!AF$8),'Council Entry'!AF69)),IF(AND(ISNUMBER('Council Entry'!AF$8),ISNUMBER('Council Entry'!AF$9)),MAX(MIN('Council Entry'!AF69,'Council Entry'!AF$9),'Council Entry'!AF$8),'Council Entry'!AF69))))-'Council Entry'!AF$5)/('Council Entry'!AF$6-'Council Entry'!AF$5),10*((IF('Council Entry'!AF$4="Logarithm",LN(0.001+IF(AND(ISNUMBER('Council Entry'!AF$8),ISNUMBER('Council Entry'!AF$9)),MAX(MIN('Council Entry'!AF69,'Council Entry'!AF$9),'Council Entry'!AF$8),'Council Entry'!AF69)),IF('Council Entry'!AF$4="Exponential",EXP(IF(AND(ISNUMBER('Council Entry'!AF$8),ISNUMBER('Council Entry'!AF$9)),MAX(MIN('Council Entry'!AF69,'Council Entry'!AF$9),'Council Entry'!AF$8),'Council Entry'!AF69)),IF(AND(ISNUMBER('Council Entry'!AF$8),ISNUMBER('Council Entry'!AF$9)),MAX(MIN('Council Entry'!AF69,'Council Entry'!AF$9),'Council Entry'!AF$8),'Council Entry'!AF69))))-'Council Entry'!AF$5)/('Council Entry'!AF$6-'Council Entry'!AF$5)),1))),"No data"))</f>
        <v/>
      </c>
      <c r="AG69" s="13">
        <f>IF('Council Entry'!AG69="","",IFERROR(MAX(0,MIN(10,ROUND(IF('Council Entry'!AG$7="Decrease Risk",10-10*((IF('Council Entry'!AG$4="Logarithm",LN(0.001+IF(AND(ISNUMBER('Council Entry'!AG$8),ISNUMBER('Council Entry'!AG$9)),MAX(MIN('Council Entry'!AG69,'Council Entry'!AG$9),'Council Entry'!AG$8),'Council Entry'!AG69)),IF('Council Entry'!AG$4="Exponential",EXP(IF(AND(ISNUMBER('Council Entry'!AG$8),ISNUMBER('Council Entry'!AG$9)),MAX(MIN('Council Entry'!AG69,'Council Entry'!AG$9),'Council Entry'!AG$8),'Council Entry'!AG69)),IF(AND(ISNUMBER('Council Entry'!AG$8),ISNUMBER('Council Entry'!AG$9)),MAX(MIN('Council Entry'!AG69,'Council Entry'!AG$9),'Council Entry'!AG$8),'Council Entry'!AG69))))-'Council Entry'!AG$5)/('Council Entry'!AG$6-'Council Entry'!AG$5),10*((IF('Council Entry'!AG$4="Logarithm",LN(0.001+IF(AND(ISNUMBER('Council Entry'!AG$8),ISNUMBER('Council Entry'!AG$9)),MAX(MIN('Council Entry'!AG69,'Council Entry'!AG$9),'Council Entry'!AG$8),'Council Entry'!AG69)),IF('Council Entry'!AG$4="Exponential",EXP(IF(AND(ISNUMBER('Council Entry'!AG$8),ISNUMBER('Council Entry'!AG$9)),MAX(MIN('Council Entry'!AG69,'Council Entry'!AG$9),'Council Entry'!AG$8),'Council Entry'!AG69)),IF(AND(ISNUMBER('Council Entry'!AG$8),ISNUMBER('Council Entry'!AG$9)),MAX(MIN('Council Entry'!AG69,'Council Entry'!AG$9),'Council Entry'!AG$8),'Council Entry'!AG69))))-'Council Entry'!AG$5)/('Council Entry'!AG$6-'Council Entry'!AG$5)),1))),"No data"))</f>
        <v/>
      </c>
      <c r="AH69" s="13">
        <f>IF('Council Entry'!AH69="","",IFERROR(MAX(0,MIN(10,ROUND(IF('Council Entry'!AH$7="Decrease Risk",10-10*((IF('Council Entry'!AH$4="Logarithm",LN(0.001+IF(AND(ISNUMBER('Council Entry'!AH$8),ISNUMBER('Council Entry'!AH$9)),MAX(MIN('Council Entry'!AH69,'Council Entry'!AH$9),'Council Entry'!AH$8),'Council Entry'!AH69)),IF('Council Entry'!AH$4="Exponential",EXP(IF(AND(ISNUMBER('Council Entry'!AH$8),ISNUMBER('Council Entry'!AH$9)),MAX(MIN('Council Entry'!AH69,'Council Entry'!AH$9),'Council Entry'!AH$8),'Council Entry'!AH69)),IF(AND(ISNUMBER('Council Entry'!AH$8),ISNUMBER('Council Entry'!AH$9)),MAX(MIN('Council Entry'!AH69,'Council Entry'!AH$9),'Council Entry'!AH$8),'Council Entry'!AH69))))-'Council Entry'!AH$5)/('Council Entry'!AH$6-'Council Entry'!AH$5),10*((IF('Council Entry'!AH$4="Logarithm",LN(0.001+IF(AND(ISNUMBER('Council Entry'!AH$8),ISNUMBER('Council Entry'!AH$9)),MAX(MIN('Council Entry'!AH69,'Council Entry'!AH$9),'Council Entry'!AH$8),'Council Entry'!AH69)),IF('Council Entry'!AH$4="Exponential",EXP(IF(AND(ISNUMBER('Council Entry'!AH$8),ISNUMBER('Council Entry'!AH$9)),MAX(MIN('Council Entry'!AH69,'Council Entry'!AH$9),'Council Entry'!AH$8),'Council Entry'!AH69)),IF(AND(ISNUMBER('Council Entry'!AH$8),ISNUMBER('Council Entry'!AH$9)),MAX(MIN('Council Entry'!AH69,'Council Entry'!AH$9),'Council Entry'!AH$8),'Council Entry'!AH69))))-'Council Entry'!AH$5)/('Council Entry'!AH$6-'Council Entry'!AH$5)),1))),"No data"))</f>
        <v/>
      </c>
      <c r="AI69" s="13">
        <f>IF('Council Entry'!AI69="","",IFERROR(MAX(0,MIN(10,ROUND(IF('Council Entry'!AI$7="Decrease Risk",10-10*((IF('Council Entry'!AI$4="Logarithm",LN(0.001+IF(AND(ISNUMBER('Council Entry'!AI$8),ISNUMBER('Council Entry'!AI$9)),MAX(MIN('Council Entry'!AI69,'Council Entry'!AI$9),'Council Entry'!AI$8),'Council Entry'!AI69)),IF('Council Entry'!AI$4="Exponential",EXP(IF(AND(ISNUMBER('Council Entry'!AI$8),ISNUMBER('Council Entry'!AI$9)),MAX(MIN('Council Entry'!AI69,'Council Entry'!AI$9),'Council Entry'!AI$8),'Council Entry'!AI69)),IF(AND(ISNUMBER('Council Entry'!AI$8),ISNUMBER('Council Entry'!AI$9)),MAX(MIN('Council Entry'!AI69,'Council Entry'!AI$9),'Council Entry'!AI$8),'Council Entry'!AI69))))-'Council Entry'!AI$5)/('Council Entry'!AI$6-'Council Entry'!AI$5),10*((IF('Council Entry'!AI$4="Logarithm",LN(0.001+IF(AND(ISNUMBER('Council Entry'!AI$8),ISNUMBER('Council Entry'!AI$9)),MAX(MIN('Council Entry'!AI69,'Council Entry'!AI$9),'Council Entry'!AI$8),'Council Entry'!AI69)),IF('Council Entry'!AI$4="Exponential",EXP(IF(AND(ISNUMBER('Council Entry'!AI$8),ISNUMBER('Council Entry'!AI$9)),MAX(MIN('Council Entry'!AI69,'Council Entry'!AI$9),'Council Entry'!AI$8),'Council Entry'!AI69)),IF(AND(ISNUMBER('Council Entry'!AI$8),ISNUMBER('Council Entry'!AI$9)),MAX(MIN('Council Entry'!AI69,'Council Entry'!AI$9),'Council Entry'!AI$8),'Council Entry'!AI69))))-'Council Entry'!AI$5)/('Council Entry'!AI$6-'Council Entry'!AI$5)),1))),"No data"))</f>
        <v/>
      </c>
      <c r="AJ69" s="13">
        <f>IF('Council Entry'!AJ69="","",IFERROR(MAX(0,MIN(10,ROUND(IF('Council Entry'!AJ$7="Decrease Risk",10-10*((IF('Council Entry'!AJ$4="Logarithm",LN(0.001+IF(AND(ISNUMBER('Council Entry'!AJ$8),ISNUMBER('Council Entry'!AJ$9)),MAX(MIN('Council Entry'!AJ69,'Council Entry'!AJ$9),'Council Entry'!AJ$8),'Council Entry'!AJ69)),IF('Council Entry'!AJ$4="Exponential",EXP(IF(AND(ISNUMBER('Council Entry'!AJ$8),ISNUMBER('Council Entry'!AJ$9)),MAX(MIN('Council Entry'!AJ69,'Council Entry'!AJ$9),'Council Entry'!AJ$8),'Council Entry'!AJ69)),IF(AND(ISNUMBER('Council Entry'!AJ$8),ISNUMBER('Council Entry'!AJ$9)),MAX(MIN('Council Entry'!AJ69,'Council Entry'!AJ$9),'Council Entry'!AJ$8),'Council Entry'!AJ69))))-'Council Entry'!AJ$5)/('Council Entry'!AJ$6-'Council Entry'!AJ$5),10*((IF('Council Entry'!AJ$4="Logarithm",LN(0.001+IF(AND(ISNUMBER('Council Entry'!AJ$8),ISNUMBER('Council Entry'!AJ$9)),MAX(MIN('Council Entry'!AJ69,'Council Entry'!AJ$9),'Council Entry'!AJ$8),'Council Entry'!AJ69)),IF('Council Entry'!AJ$4="Exponential",EXP(IF(AND(ISNUMBER('Council Entry'!AJ$8),ISNUMBER('Council Entry'!AJ$9)),MAX(MIN('Council Entry'!AJ69,'Council Entry'!AJ$9),'Council Entry'!AJ$8),'Council Entry'!AJ69)),IF(AND(ISNUMBER('Council Entry'!AJ$8),ISNUMBER('Council Entry'!AJ$9)),MAX(MIN('Council Entry'!AJ69,'Council Entry'!AJ$9),'Council Entry'!AJ$8),'Council Entry'!AJ69))))-'Council Entry'!AJ$5)/('Council Entry'!AJ$6-'Council Entry'!AJ$5)),1))),"No data"))</f>
        <v/>
      </c>
      <c r="AK69" s="13">
        <f>IF('Council Entry'!AK69="","",IFERROR(MAX(0,MIN(10,ROUND(IF('Council Entry'!AK$7="Decrease Risk",10-10*((IF('Council Entry'!AK$4="Logarithm",LN(0.001+IF(AND(ISNUMBER('Council Entry'!AK$8),ISNUMBER('Council Entry'!AK$9)),MAX(MIN('Council Entry'!AK69,'Council Entry'!AK$9),'Council Entry'!AK$8),'Council Entry'!AK69)),IF('Council Entry'!AK$4="Exponential",EXP(IF(AND(ISNUMBER('Council Entry'!AK$8),ISNUMBER('Council Entry'!AK$9)),MAX(MIN('Council Entry'!AK69,'Council Entry'!AK$9),'Council Entry'!AK$8),'Council Entry'!AK69)),IF(AND(ISNUMBER('Council Entry'!AK$8),ISNUMBER('Council Entry'!AK$9)),MAX(MIN('Council Entry'!AK69,'Council Entry'!AK$9),'Council Entry'!AK$8),'Council Entry'!AK69))))-'Council Entry'!AK$5)/('Council Entry'!AK$6-'Council Entry'!AK$5),10*((IF('Council Entry'!AK$4="Logarithm",LN(0.001+IF(AND(ISNUMBER('Council Entry'!AK$8),ISNUMBER('Council Entry'!AK$9)),MAX(MIN('Council Entry'!AK69,'Council Entry'!AK$9),'Council Entry'!AK$8),'Council Entry'!AK69)),IF('Council Entry'!AK$4="Exponential",EXP(IF(AND(ISNUMBER('Council Entry'!AK$8),ISNUMBER('Council Entry'!AK$9)),MAX(MIN('Council Entry'!AK69,'Council Entry'!AK$9),'Council Entry'!AK$8),'Council Entry'!AK69)),IF(AND(ISNUMBER('Council Entry'!AK$8),ISNUMBER('Council Entry'!AK$9)),MAX(MIN('Council Entry'!AK69,'Council Entry'!AK$9),'Council Entry'!AK$8),'Council Entry'!AK69))))-'Council Entry'!AK$5)/('Council Entry'!AK$6-'Council Entry'!AK$5)),1))),"No data"))</f>
        <v/>
      </c>
      <c r="AL69" s="13">
        <f>IF('Council Entry'!AL69="","",IFERROR(MAX(0,MIN(10,ROUND(IF('Council Entry'!AL$7="Decrease Risk",10-10*((IF('Council Entry'!AL$4="Logarithm",LN(0.001+IF(AND(ISNUMBER('Council Entry'!AL$8),ISNUMBER('Council Entry'!AL$9)),MAX(MIN('Council Entry'!AL69,'Council Entry'!AL$9),'Council Entry'!AL$8),'Council Entry'!AL69)),IF('Council Entry'!AL$4="Exponential",EXP(IF(AND(ISNUMBER('Council Entry'!AL$8),ISNUMBER('Council Entry'!AL$9)),MAX(MIN('Council Entry'!AL69,'Council Entry'!AL$9),'Council Entry'!AL$8),'Council Entry'!AL69)),IF(AND(ISNUMBER('Council Entry'!AL$8),ISNUMBER('Council Entry'!AL$9)),MAX(MIN('Council Entry'!AL69,'Council Entry'!AL$9),'Council Entry'!AL$8),'Council Entry'!AL69))))-'Council Entry'!AL$5)/('Council Entry'!AL$6-'Council Entry'!AL$5),10*((IF('Council Entry'!AL$4="Logarithm",LN(0.001+IF(AND(ISNUMBER('Council Entry'!AL$8),ISNUMBER('Council Entry'!AL$9)),MAX(MIN('Council Entry'!AL69,'Council Entry'!AL$9),'Council Entry'!AL$8),'Council Entry'!AL69)),IF('Council Entry'!AL$4="Exponential",EXP(IF(AND(ISNUMBER('Council Entry'!AL$8),ISNUMBER('Council Entry'!AL$9)),MAX(MIN('Council Entry'!AL69,'Council Entry'!AL$9),'Council Entry'!AL$8),'Council Entry'!AL69)),IF(AND(ISNUMBER('Council Entry'!AL$8),ISNUMBER('Council Entry'!AL$9)),MAX(MIN('Council Entry'!AL69,'Council Entry'!AL$9),'Council Entry'!AL$8),'Council Entry'!AL69))))-'Council Entry'!AL$5)/('Council Entry'!AL$6-'Council Entry'!AL$5)),1))),"No data"))</f>
        <v/>
      </c>
      <c r="AM69" s="13">
        <f>IF('Council Entry'!AM69="","",IFERROR(MAX(0,MIN(10,ROUND(IF('Council Entry'!AM$7="Decrease Risk",10-10*((IF('Council Entry'!AM$4="Logarithm",LN(0.001+IF(AND(ISNUMBER('Council Entry'!AM$8),ISNUMBER('Council Entry'!AM$9)),MAX(MIN('Council Entry'!AM69,'Council Entry'!AM$9),'Council Entry'!AM$8),'Council Entry'!AM69)),IF('Council Entry'!AM$4="Exponential",EXP(IF(AND(ISNUMBER('Council Entry'!AM$8),ISNUMBER('Council Entry'!AM$9)),MAX(MIN('Council Entry'!AM69,'Council Entry'!AM$9),'Council Entry'!AM$8),'Council Entry'!AM69)),IF(AND(ISNUMBER('Council Entry'!AM$8),ISNUMBER('Council Entry'!AM$9)),MAX(MIN('Council Entry'!AM69,'Council Entry'!AM$9),'Council Entry'!AM$8),'Council Entry'!AM69))))-'Council Entry'!AM$5)/('Council Entry'!AM$6-'Council Entry'!AM$5),10*((IF('Council Entry'!AM$4="Logarithm",LN(0.001+IF(AND(ISNUMBER('Council Entry'!AM$8),ISNUMBER('Council Entry'!AM$9)),MAX(MIN('Council Entry'!AM69,'Council Entry'!AM$9),'Council Entry'!AM$8),'Council Entry'!AM69)),IF('Council Entry'!AM$4="Exponential",EXP(IF(AND(ISNUMBER('Council Entry'!AM$8),ISNUMBER('Council Entry'!AM$9)),MAX(MIN('Council Entry'!AM69,'Council Entry'!AM$9),'Council Entry'!AM$8),'Council Entry'!AM69)),IF(AND(ISNUMBER('Council Entry'!AM$8),ISNUMBER('Council Entry'!AM$9)),MAX(MIN('Council Entry'!AM69,'Council Entry'!AM$9),'Council Entry'!AM$8),'Council Entry'!AM69))))-'Council Entry'!AM$5)/('Council Entry'!AM$6-'Council Entry'!AM$5)),1))),"No data"))</f>
        <v/>
      </c>
      <c r="AN69" s="13">
        <f>IF('Council Entry'!AN69="","",IFERROR(MAX(0,MIN(10,ROUND(IF('Council Entry'!AN$7="Decrease Risk",10-10*((IF('Council Entry'!AN$4="Logarithm",LN(0.001+IF(AND(ISNUMBER('Council Entry'!AN$8),ISNUMBER('Council Entry'!AN$9)),MAX(MIN('Council Entry'!AN69,'Council Entry'!AN$9),'Council Entry'!AN$8),'Council Entry'!AN69)),IF('Council Entry'!AN$4="Exponential",EXP(IF(AND(ISNUMBER('Council Entry'!AN$8),ISNUMBER('Council Entry'!AN$9)),MAX(MIN('Council Entry'!AN69,'Council Entry'!AN$9),'Council Entry'!AN$8),'Council Entry'!AN69)),IF(AND(ISNUMBER('Council Entry'!AN$8),ISNUMBER('Council Entry'!AN$9)),MAX(MIN('Council Entry'!AN69,'Council Entry'!AN$9),'Council Entry'!AN$8),'Council Entry'!AN69))))-'Council Entry'!AN$5)/('Council Entry'!AN$6-'Council Entry'!AN$5),10*((IF('Council Entry'!AN$4="Logarithm",LN(0.001+IF(AND(ISNUMBER('Council Entry'!AN$8),ISNUMBER('Council Entry'!AN$9)),MAX(MIN('Council Entry'!AN69,'Council Entry'!AN$9),'Council Entry'!AN$8),'Council Entry'!AN69)),IF('Council Entry'!AN$4="Exponential",EXP(IF(AND(ISNUMBER('Council Entry'!AN$8),ISNUMBER('Council Entry'!AN$9)),MAX(MIN('Council Entry'!AN69,'Council Entry'!AN$9),'Council Entry'!AN$8),'Council Entry'!AN69)),IF(AND(ISNUMBER('Council Entry'!AN$8),ISNUMBER('Council Entry'!AN$9)),MAX(MIN('Council Entry'!AN69,'Council Entry'!AN$9),'Council Entry'!AN$8),'Council Entry'!AN69))))-'Council Entry'!AN$5)/('Council Entry'!AN$6-'Council Entry'!AN$5)),1))),"No data"))</f>
        <v/>
      </c>
      <c r="AO69" s="13">
        <f>IF('Council Entry'!AO69="","",IFERROR(MAX(0,MIN(10,ROUND(IF('Council Entry'!AO$7="Decrease Risk",10-10*((IF('Council Entry'!AO$4="Logarithm",LN(0.001+IF(AND(ISNUMBER('Council Entry'!AO$8),ISNUMBER('Council Entry'!AO$9)),MAX(MIN('Council Entry'!AO69,'Council Entry'!AO$9),'Council Entry'!AO$8),'Council Entry'!AO69)),IF('Council Entry'!AO$4="Exponential",EXP(IF(AND(ISNUMBER('Council Entry'!AO$8),ISNUMBER('Council Entry'!AO$9)),MAX(MIN('Council Entry'!AO69,'Council Entry'!AO$9),'Council Entry'!AO$8),'Council Entry'!AO69)),IF(AND(ISNUMBER('Council Entry'!AO$8),ISNUMBER('Council Entry'!AO$9)),MAX(MIN('Council Entry'!AO69,'Council Entry'!AO$9),'Council Entry'!AO$8),'Council Entry'!AO69))))-'Council Entry'!AO$5)/('Council Entry'!AO$6-'Council Entry'!AO$5),10*((IF('Council Entry'!AO$4="Logarithm",LN(0.001+IF(AND(ISNUMBER('Council Entry'!AO$8),ISNUMBER('Council Entry'!AO$9)),MAX(MIN('Council Entry'!AO69,'Council Entry'!AO$9),'Council Entry'!AO$8),'Council Entry'!AO69)),IF('Council Entry'!AO$4="Exponential",EXP(IF(AND(ISNUMBER('Council Entry'!AO$8),ISNUMBER('Council Entry'!AO$9)),MAX(MIN('Council Entry'!AO69,'Council Entry'!AO$9),'Council Entry'!AO$8),'Council Entry'!AO69)),IF(AND(ISNUMBER('Council Entry'!AO$8),ISNUMBER('Council Entry'!AO$9)),MAX(MIN('Council Entry'!AO69,'Council Entry'!AO$9),'Council Entry'!AO$8),'Council Entry'!AO69))))-'Council Entry'!AO$5)/('Council Entry'!AO$6-'Council Entry'!AO$5)),1))),"No data"))</f>
        <v/>
      </c>
      <c r="AP69" s="13">
        <f>IF('Council Entry'!AP69="","",IFERROR(MAX(0,MIN(10,ROUND(IF('Council Entry'!AP$7="Decrease Risk",10-10*((IF('Council Entry'!AP$4="Logarithm",LN(0.001+IF(AND(ISNUMBER('Council Entry'!AP$8),ISNUMBER('Council Entry'!AP$9)),MAX(MIN('Council Entry'!AP69,'Council Entry'!AP$9),'Council Entry'!AP$8),'Council Entry'!AP69)),IF('Council Entry'!AP$4="Exponential",EXP(IF(AND(ISNUMBER('Council Entry'!AP$8),ISNUMBER('Council Entry'!AP$9)),MAX(MIN('Council Entry'!AP69,'Council Entry'!AP$9),'Council Entry'!AP$8),'Council Entry'!AP69)),IF(AND(ISNUMBER('Council Entry'!AP$8),ISNUMBER('Council Entry'!AP$9)),MAX(MIN('Council Entry'!AP69,'Council Entry'!AP$9),'Council Entry'!AP$8),'Council Entry'!AP69))))-'Council Entry'!AP$5)/('Council Entry'!AP$6-'Council Entry'!AP$5),10*((IF('Council Entry'!AP$4="Logarithm",LN(0.001+IF(AND(ISNUMBER('Council Entry'!AP$8),ISNUMBER('Council Entry'!AP$9)),MAX(MIN('Council Entry'!AP69,'Council Entry'!AP$9),'Council Entry'!AP$8),'Council Entry'!AP69)),IF('Council Entry'!AP$4="Exponential",EXP(IF(AND(ISNUMBER('Council Entry'!AP$8),ISNUMBER('Council Entry'!AP$9)),MAX(MIN('Council Entry'!AP69,'Council Entry'!AP$9),'Council Entry'!AP$8),'Council Entry'!AP69)),IF(AND(ISNUMBER('Council Entry'!AP$8),ISNUMBER('Council Entry'!AP$9)),MAX(MIN('Council Entry'!AP69,'Council Entry'!AP$9),'Council Entry'!AP$8),'Council Entry'!AP69))))-'Council Entry'!AP$5)/('Council Entry'!AP$6-'Council Entry'!AP$5)),1))),"No data"))</f>
        <v/>
      </c>
      <c r="AQ69" s="13">
        <f>IF('Council Entry'!AQ69="","",IFERROR(MAX(0,MIN(10,ROUND(IF('Council Entry'!AQ$7="Decrease Risk",10-10*((IF('Council Entry'!AQ$4="Logarithm",LN(0.001+IF(AND(ISNUMBER('Council Entry'!AQ$8),ISNUMBER('Council Entry'!AQ$9)),MAX(MIN('Council Entry'!AQ69,'Council Entry'!AQ$9),'Council Entry'!AQ$8),'Council Entry'!AQ69)),IF('Council Entry'!AQ$4="Exponential",EXP(IF(AND(ISNUMBER('Council Entry'!AQ$8),ISNUMBER('Council Entry'!AQ$9)),MAX(MIN('Council Entry'!AQ69,'Council Entry'!AQ$9),'Council Entry'!AQ$8),'Council Entry'!AQ69)),IF(AND(ISNUMBER('Council Entry'!AQ$8),ISNUMBER('Council Entry'!AQ$9)),MAX(MIN('Council Entry'!AQ69,'Council Entry'!AQ$9),'Council Entry'!AQ$8),'Council Entry'!AQ69))))-'Council Entry'!AQ$5)/('Council Entry'!AQ$6-'Council Entry'!AQ$5),10*((IF('Council Entry'!AQ$4="Logarithm",LN(0.001+IF(AND(ISNUMBER('Council Entry'!AQ$8),ISNUMBER('Council Entry'!AQ$9)),MAX(MIN('Council Entry'!AQ69,'Council Entry'!AQ$9),'Council Entry'!AQ$8),'Council Entry'!AQ69)),IF('Council Entry'!AQ$4="Exponential",EXP(IF(AND(ISNUMBER('Council Entry'!AQ$8),ISNUMBER('Council Entry'!AQ$9)),MAX(MIN('Council Entry'!AQ69,'Council Entry'!AQ$9),'Council Entry'!AQ$8),'Council Entry'!AQ69)),IF(AND(ISNUMBER('Council Entry'!AQ$8),ISNUMBER('Council Entry'!AQ$9)),MAX(MIN('Council Entry'!AQ69,'Council Entry'!AQ$9),'Council Entry'!AQ$8),'Council Entry'!AQ69))))-'Council Entry'!AQ$5)/('Council Entry'!AQ$6-'Council Entry'!AQ$5)),1))),"No data"))</f>
        <v/>
      </c>
      <c r="AR69" s="13">
        <f>IF('Council Entry'!AR69="","",IFERROR(MAX(0,MIN(10,ROUND(IF('Council Entry'!AR$7="Decrease Risk",10-10*((IF('Council Entry'!AR$4="Logarithm",LN(0.001+IF(AND(ISNUMBER('Council Entry'!AR$8),ISNUMBER('Council Entry'!AR$9)),MAX(MIN('Council Entry'!AR69,'Council Entry'!AR$9),'Council Entry'!AR$8),'Council Entry'!AR69)),IF('Council Entry'!AR$4="Exponential",EXP(IF(AND(ISNUMBER('Council Entry'!AR$8),ISNUMBER('Council Entry'!AR$9)),MAX(MIN('Council Entry'!AR69,'Council Entry'!AR$9),'Council Entry'!AR$8),'Council Entry'!AR69)),IF(AND(ISNUMBER('Council Entry'!AR$8),ISNUMBER('Council Entry'!AR$9)),MAX(MIN('Council Entry'!AR69,'Council Entry'!AR$9),'Council Entry'!AR$8),'Council Entry'!AR69))))-'Council Entry'!AR$5)/('Council Entry'!AR$6-'Council Entry'!AR$5),10*((IF('Council Entry'!AR$4="Logarithm",LN(0.001+IF(AND(ISNUMBER('Council Entry'!AR$8),ISNUMBER('Council Entry'!AR$9)),MAX(MIN('Council Entry'!AR69,'Council Entry'!AR$9),'Council Entry'!AR$8),'Council Entry'!AR69)),IF('Council Entry'!AR$4="Exponential",EXP(IF(AND(ISNUMBER('Council Entry'!AR$8),ISNUMBER('Council Entry'!AR$9)),MAX(MIN('Council Entry'!AR69,'Council Entry'!AR$9),'Council Entry'!AR$8),'Council Entry'!AR69)),IF(AND(ISNUMBER('Council Entry'!AR$8),ISNUMBER('Council Entry'!AR$9)),MAX(MIN('Council Entry'!AR69,'Council Entry'!AR$9),'Council Entry'!AR$8),'Council Entry'!AR69))))-'Council Entry'!AR$5)/('Council Entry'!AR$6-'Council Entry'!AR$5)),1))),"No data"))</f>
        <v/>
      </c>
      <c r="AS69" s="13">
        <f>IF('Council Entry'!AS69="","",IFERROR(MAX(0,MIN(10,ROUND(IF('Council Entry'!AS$7="Decrease Risk",10-10*((IF('Council Entry'!AS$4="Logarithm",LN(0.001+IF(AND(ISNUMBER('Council Entry'!AS$8),ISNUMBER('Council Entry'!AS$9)),MAX(MIN('Council Entry'!AS69,'Council Entry'!AS$9),'Council Entry'!AS$8),'Council Entry'!AS69)),IF('Council Entry'!AS$4="Exponential",EXP(IF(AND(ISNUMBER('Council Entry'!AS$8),ISNUMBER('Council Entry'!AS$9)),MAX(MIN('Council Entry'!AS69,'Council Entry'!AS$9),'Council Entry'!AS$8),'Council Entry'!AS69)),IF(AND(ISNUMBER('Council Entry'!AS$8),ISNUMBER('Council Entry'!AS$9)),MAX(MIN('Council Entry'!AS69,'Council Entry'!AS$9),'Council Entry'!AS$8),'Council Entry'!AS69))))-'Council Entry'!AS$5)/('Council Entry'!AS$6-'Council Entry'!AS$5),10*((IF('Council Entry'!AS$4="Logarithm",LN(0.001+IF(AND(ISNUMBER('Council Entry'!AS$8),ISNUMBER('Council Entry'!AS$9)),MAX(MIN('Council Entry'!AS69,'Council Entry'!AS$9),'Council Entry'!AS$8),'Council Entry'!AS69)),IF('Council Entry'!AS$4="Exponential",EXP(IF(AND(ISNUMBER('Council Entry'!AS$8),ISNUMBER('Council Entry'!AS$9)),MAX(MIN('Council Entry'!AS69,'Council Entry'!AS$9),'Council Entry'!AS$8),'Council Entry'!AS69)),IF(AND(ISNUMBER('Council Entry'!AS$8),ISNUMBER('Council Entry'!AS$9)),MAX(MIN('Council Entry'!AS69,'Council Entry'!AS$9),'Council Entry'!AS$8),'Council Entry'!AS69))))-'Council Entry'!AS$5)/('Council Entry'!AS$6-'Council Entry'!AS$5)),1))),"No data"))</f>
        <v/>
      </c>
      <c r="AT69" s="13">
        <f>IF('Council Entry'!AT69="","",IFERROR(MAX(0,MIN(10,ROUND(IF('Council Entry'!AT$7="Decrease Risk",10-10*((IF('Council Entry'!AT$4="Logarithm",LN(0.001+IF(AND(ISNUMBER('Council Entry'!AT$8),ISNUMBER('Council Entry'!AT$9)),MAX(MIN('Council Entry'!AT69,'Council Entry'!AT$9),'Council Entry'!AT$8),'Council Entry'!AT69)),IF('Council Entry'!AT$4="Exponential",EXP(IF(AND(ISNUMBER('Council Entry'!AT$8),ISNUMBER('Council Entry'!AT$9)),MAX(MIN('Council Entry'!AT69,'Council Entry'!AT$9),'Council Entry'!AT$8),'Council Entry'!AT69)),IF(AND(ISNUMBER('Council Entry'!AT$8),ISNUMBER('Council Entry'!AT$9)),MAX(MIN('Council Entry'!AT69,'Council Entry'!AT$9),'Council Entry'!AT$8),'Council Entry'!AT69))))-'Council Entry'!AT$5)/('Council Entry'!AT$6-'Council Entry'!AT$5),10*((IF('Council Entry'!AT$4="Logarithm",LN(0.001+IF(AND(ISNUMBER('Council Entry'!AT$8),ISNUMBER('Council Entry'!AT$9)),MAX(MIN('Council Entry'!AT69,'Council Entry'!AT$9),'Council Entry'!AT$8),'Council Entry'!AT69)),IF('Council Entry'!AT$4="Exponential",EXP(IF(AND(ISNUMBER('Council Entry'!AT$8),ISNUMBER('Council Entry'!AT$9)),MAX(MIN('Council Entry'!AT69,'Council Entry'!AT$9),'Council Entry'!AT$8),'Council Entry'!AT69)),IF(AND(ISNUMBER('Council Entry'!AT$8),ISNUMBER('Council Entry'!AT$9)),MAX(MIN('Council Entry'!AT69,'Council Entry'!AT$9),'Council Entry'!AT$8),'Council Entry'!AT69))))-'Council Entry'!AT$5)/('Council Entry'!AT$6-'Council Entry'!AT$5)),1))),"No data"))</f>
        <v/>
      </c>
      <c r="AU69" s="13">
        <f>IF('Council Entry'!AU69="","",IFERROR(MAX(0,MIN(10,ROUND(IF('Council Entry'!AU$7="Decrease Risk",10-10*((IF('Council Entry'!AU$4="Logarithm",LN(0.001+IF(AND(ISNUMBER('Council Entry'!AU$8),ISNUMBER('Council Entry'!AU$9)),MAX(MIN('Council Entry'!AU69,'Council Entry'!AU$9),'Council Entry'!AU$8),'Council Entry'!AU69)),IF('Council Entry'!AU$4="Exponential",EXP(IF(AND(ISNUMBER('Council Entry'!AU$8),ISNUMBER('Council Entry'!AU$9)),MAX(MIN('Council Entry'!AU69,'Council Entry'!AU$9),'Council Entry'!AU$8),'Council Entry'!AU69)),IF(AND(ISNUMBER('Council Entry'!AU$8),ISNUMBER('Council Entry'!AU$9)),MAX(MIN('Council Entry'!AU69,'Council Entry'!AU$9),'Council Entry'!AU$8),'Council Entry'!AU69))))-'Council Entry'!AU$5)/('Council Entry'!AU$6-'Council Entry'!AU$5),10*((IF('Council Entry'!AU$4="Logarithm",LN(0.001+IF(AND(ISNUMBER('Council Entry'!AU$8),ISNUMBER('Council Entry'!AU$9)),MAX(MIN('Council Entry'!AU69,'Council Entry'!AU$9),'Council Entry'!AU$8),'Council Entry'!AU69)),IF('Council Entry'!AU$4="Exponential",EXP(IF(AND(ISNUMBER('Council Entry'!AU$8),ISNUMBER('Council Entry'!AU$9)),MAX(MIN('Council Entry'!AU69,'Council Entry'!AU$9),'Council Entry'!AU$8),'Council Entry'!AU69)),IF(AND(ISNUMBER('Council Entry'!AU$8),ISNUMBER('Council Entry'!AU$9)),MAX(MIN('Council Entry'!AU69,'Council Entry'!AU$9),'Council Entry'!AU$8),'Council Entry'!AU69))))-'Council Entry'!AU$5)/('Council Entry'!AU$6-'Council Entry'!AU$5)),1))),"No data"))</f>
        <v/>
      </c>
      <c r="AV69" s="13">
        <f>IF('Council Entry'!AV69="","",IFERROR(MAX(0,MIN(10,ROUND(IF('Council Entry'!AV$7="Decrease Risk",10-10*((IF('Council Entry'!AV$4="Logarithm",LN(0.001+IF(AND(ISNUMBER('Council Entry'!AV$8),ISNUMBER('Council Entry'!AV$9)),MAX(MIN('Council Entry'!AV69,'Council Entry'!AV$9),'Council Entry'!AV$8),'Council Entry'!AV69)),IF('Council Entry'!AV$4="Exponential",EXP(IF(AND(ISNUMBER('Council Entry'!AV$8),ISNUMBER('Council Entry'!AV$9)),MAX(MIN('Council Entry'!AV69,'Council Entry'!AV$9),'Council Entry'!AV$8),'Council Entry'!AV69)),IF(AND(ISNUMBER('Council Entry'!AV$8),ISNUMBER('Council Entry'!AV$9)),MAX(MIN('Council Entry'!AV69,'Council Entry'!AV$9),'Council Entry'!AV$8),'Council Entry'!AV69))))-'Council Entry'!AV$5)/('Council Entry'!AV$6-'Council Entry'!AV$5),10*((IF('Council Entry'!AV$4="Logarithm",LN(0.001+IF(AND(ISNUMBER('Council Entry'!AV$8),ISNUMBER('Council Entry'!AV$9)),MAX(MIN('Council Entry'!AV69,'Council Entry'!AV$9),'Council Entry'!AV$8),'Council Entry'!AV69)),IF('Council Entry'!AV$4="Exponential",EXP(IF(AND(ISNUMBER('Council Entry'!AV$8),ISNUMBER('Council Entry'!AV$9)),MAX(MIN('Council Entry'!AV69,'Council Entry'!AV$9),'Council Entry'!AV$8),'Council Entry'!AV69)),IF(AND(ISNUMBER('Council Entry'!AV$8),ISNUMBER('Council Entry'!AV$9)),MAX(MIN('Council Entry'!AV69,'Council Entry'!AV$9),'Council Entry'!AV$8),'Council Entry'!AV69))))-'Council Entry'!AV$5)/('Council Entry'!AV$6-'Council Entry'!AV$5)),1))),"No data"))</f>
        <v/>
      </c>
      <c r="AW69" s="13">
        <f>IF('Council Entry'!AW69="","",IFERROR(MAX(0,MIN(10,ROUND(IF('Council Entry'!AW$7="Decrease Risk",10-10*((IF('Council Entry'!AW$4="Logarithm",LN(0.001+IF(AND(ISNUMBER('Council Entry'!AW$8),ISNUMBER('Council Entry'!AW$9)),MAX(MIN('Council Entry'!AW69,'Council Entry'!AW$9),'Council Entry'!AW$8),'Council Entry'!AW69)),IF('Council Entry'!AW$4="Exponential",EXP(IF(AND(ISNUMBER('Council Entry'!AW$8),ISNUMBER('Council Entry'!AW$9)),MAX(MIN('Council Entry'!AW69,'Council Entry'!AW$9),'Council Entry'!AW$8),'Council Entry'!AW69)),IF(AND(ISNUMBER('Council Entry'!AW$8),ISNUMBER('Council Entry'!AW$9)),MAX(MIN('Council Entry'!AW69,'Council Entry'!AW$9),'Council Entry'!AW$8),'Council Entry'!AW69))))-'Council Entry'!AW$5)/('Council Entry'!AW$6-'Council Entry'!AW$5),10*((IF('Council Entry'!AW$4="Logarithm",LN(0.001+IF(AND(ISNUMBER('Council Entry'!AW$8),ISNUMBER('Council Entry'!AW$9)),MAX(MIN('Council Entry'!AW69,'Council Entry'!AW$9),'Council Entry'!AW$8),'Council Entry'!AW69)),IF('Council Entry'!AW$4="Exponential",EXP(IF(AND(ISNUMBER('Council Entry'!AW$8),ISNUMBER('Council Entry'!AW$9)),MAX(MIN('Council Entry'!AW69,'Council Entry'!AW$9),'Council Entry'!AW$8),'Council Entry'!AW69)),IF(AND(ISNUMBER('Council Entry'!AW$8),ISNUMBER('Council Entry'!AW$9)),MAX(MIN('Council Entry'!AW69,'Council Entry'!AW$9),'Council Entry'!AW$8),'Council Entry'!AW69))))-'Council Entry'!AW$5)/('Council Entry'!AW$6-'Council Entry'!AW$5)),1))),"No data"))</f>
        <v/>
      </c>
      <c r="AX69" s="13">
        <f>IF('Council Entry'!AX69="","",IFERROR(MAX(0,MIN(10,ROUND(IF('Council Entry'!AX$7="Decrease Risk",10-10*((IF('Council Entry'!AX$4="Logarithm",LN(0.001+IF(AND(ISNUMBER('Council Entry'!AX$8),ISNUMBER('Council Entry'!AX$9)),MAX(MIN('Council Entry'!AX69,'Council Entry'!AX$9),'Council Entry'!AX$8),'Council Entry'!AX69)),IF('Council Entry'!AX$4="Exponential",EXP(IF(AND(ISNUMBER('Council Entry'!AX$8),ISNUMBER('Council Entry'!AX$9)),MAX(MIN('Council Entry'!AX69,'Council Entry'!AX$9),'Council Entry'!AX$8),'Council Entry'!AX69)),IF(AND(ISNUMBER('Council Entry'!AX$8),ISNUMBER('Council Entry'!AX$9)),MAX(MIN('Council Entry'!AX69,'Council Entry'!AX$9),'Council Entry'!AX$8),'Council Entry'!AX69))))-'Council Entry'!AX$5)/('Council Entry'!AX$6-'Council Entry'!AX$5),10*((IF('Council Entry'!AX$4="Logarithm",LN(0.001+IF(AND(ISNUMBER('Council Entry'!AX$8),ISNUMBER('Council Entry'!AX$9)),MAX(MIN('Council Entry'!AX69,'Council Entry'!AX$9),'Council Entry'!AX$8),'Council Entry'!AX69)),IF('Council Entry'!AX$4="Exponential",EXP(IF(AND(ISNUMBER('Council Entry'!AX$8),ISNUMBER('Council Entry'!AX$9)),MAX(MIN('Council Entry'!AX69,'Council Entry'!AX$9),'Council Entry'!AX$8),'Council Entry'!AX69)),IF(AND(ISNUMBER('Council Entry'!AX$8),ISNUMBER('Council Entry'!AX$9)),MAX(MIN('Council Entry'!AX69,'Council Entry'!AX$9),'Council Entry'!AX$8),'Council Entry'!AX69))))-'Council Entry'!AX$5)/('Council Entry'!AX$6-'Council Entry'!AX$5)),1))),"No data"))</f>
        <v/>
      </c>
      <c r="AY69" s="13">
        <f>IF('Council Entry'!AY69="","",IFERROR(MAX(0,MIN(10,ROUND(IF('Council Entry'!AY$7="Decrease Risk",10-10*((IF('Council Entry'!AY$4="Logarithm",LN(0.001+IF(AND(ISNUMBER('Council Entry'!AY$8),ISNUMBER('Council Entry'!AY$9)),MAX(MIN('Council Entry'!AY69,'Council Entry'!AY$9),'Council Entry'!AY$8),'Council Entry'!AY69)),IF('Council Entry'!AY$4="Exponential",EXP(IF(AND(ISNUMBER('Council Entry'!AY$8),ISNUMBER('Council Entry'!AY$9)),MAX(MIN('Council Entry'!AY69,'Council Entry'!AY$9),'Council Entry'!AY$8),'Council Entry'!AY69)),IF(AND(ISNUMBER('Council Entry'!AY$8),ISNUMBER('Council Entry'!AY$9)),MAX(MIN('Council Entry'!AY69,'Council Entry'!AY$9),'Council Entry'!AY$8),'Council Entry'!AY69))))-'Council Entry'!AY$5)/('Council Entry'!AY$6-'Council Entry'!AY$5),10*((IF('Council Entry'!AY$4="Logarithm",LN(0.001+IF(AND(ISNUMBER('Council Entry'!AY$8),ISNUMBER('Council Entry'!AY$9)),MAX(MIN('Council Entry'!AY69,'Council Entry'!AY$9),'Council Entry'!AY$8),'Council Entry'!AY69)),IF('Council Entry'!AY$4="Exponential",EXP(IF(AND(ISNUMBER('Council Entry'!AY$8),ISNUMBER('Council Entry'!AY$9)),MAX(MIN('Council Entry'!AY69,'Council Entry'!AY$9),'Council Entry'!AY$8),'Council Entry'!AY69)),IF(AND(ISNUMBER('Council Entry'!AY$8),ISNUMBER('Council Entry'!AY$9)),MAX(MIN('Council Entry'!AY69,'Council Entry'!AY$9),'Council Entry'!AY$8),'Council Entry'!AY69))))-'Council Entry'!AY$5)/('Council Entry'!AY$6-'Council Entry'!AY$5)),1))),"No data"))</f>
        <v/>
      </c>
      <c r="AZ69" s="13">
        <f>IF('Council Entry'!AZ69="","",IFERROR(MAX(0,MIN(10,ROUND(IF('Council Entry'!AZ$7="Decrease Risk",10-10*((IF('Council Entry'!AZ$4="Logarithm",LN(0.001+IF(AND(ISNUMBER('Council Entry'!AZ$8),ISNUMBER('Council Entry'!AZ$9)),MAX(MIN('Council Entry'!AZ69,'Council Entry'!AZ$9),'Council Entry'!AZ$8),'Council Entry'!AZ69)),IF('Council Entry'!AZ$4="Exponential",EXP(IF(AND(ISNUMBER('Council Entry'!AZ$8),ISNUMBER('Council Entry'!AZ$9)),MAX(MIN('Council Entry'!AZ69,'Council Entry'!AZ$9),'Council Entry'!AZ$8),'Council Entry'!AZ69)),IF(AND(ISNUMBER('Council Entry'!AZ$8),ISNUMBER('Council Entry'!AZ$9)),MAX(MIN('Council Entry'!AZ69,'Council Entry'!AZ$9),'Council Entry'!AZ$8),'Council Entry'!AZ69))))-'Council Entry'!AZ$5)/('Council Entry'!AZ$6-'Council Entry'!AZ$5),10*((IF('Council Entry'!AZ$4="Logarithm",LN(0.001+IF(AND(ISNUMBER('Council Entry'!AZ$8),ISNUMBER('Council Entry'!AZ$9)),MAX(MIN('Council Entry'!AZ69,'Council Entry'!AZ$9),'Council Entry'!AZ$8),'Council Entry'!AZ69)),IF('Council Entry'!AZ$4="Exponential",EXP(IF(AND(ISNUMBER('Council Entry'!AZ$8),ISNUMBER('Council Entry'!AZ$9)),MAX(MIN('Council Entry'!AZ69,'Council Entry'!AZ$9),'Council Entry'!AZ$8),'Council Entry'!AZ69)),IF(AND(ISNUMBER('Council Entry'!AZ$8),ISNUMBER('Council Entry'!AZ$9)),MAX(MIN('Council Entry'!AZ69,'Council Entry'!AZ$9),'Council Entry'!AZ$8),'Council Entry'!AZ69))))-'Council Entry'!AZ$5)/('Council Entry'!AZ$6-'Council Entry'!AZ$5)),1))),"No data"))</f>
        <v/>
      </c>
      <c r="BA69" s="13">
        <f>IF('Council Entry'!BA69="","",IFERROR(MAX(0,MIN(10,ROUND(IF('Council Entry'!BA$7="Decrease Risk",10-10*((IF('Council Entry'!BA$4="Logarithm",LN(0.001+IF(AND(ISNUMBER('Council Entry'!BA$8),ISNUMBER('Council Entry'!BA$9)),MAX(MIN('Council Entry'!BA69,'Council Entry'!BA$9),'Council Entry'!BA$8),'Council Entry'!BA69)),IF('Council Entry'!BA$4="Exponential",EXP(IF(AND(ISNUMBER('Council Entry'!BA$8),ISNUMBER('Council Entry'!BA$9)),MAX(MIN('Council Entry'!BA69,'Council Entry'!BA$9),'Council Entry'!BA$8),'Council Entry'!BA69)),IF(AND(ISNUMBER('Council Entry'!BA$8),ISNUMBER('Council Entry'!BA$9)),MAX(MIN('Council Entry'!BA69,'Council Entry'!BA$9),'Council Entry'!BA$8),'Council Entry'!BA69))))-'Council Entry'!BA$5)/('Council Entry'!BA$6-'Council Entry'!BA$5),10*((IF('Council Entry'!BA$4="Logarithm",LN(0.001+IF(AND(ISNUMBER('Council Entry'!BA$8),ISNUMBER('Council Entry'!BA$9)),MAX(MIN('Council Entry'!BA69,'Council Entry'!BA$9),'Council Entry'!BA$8),'Council Entry'!BA69)),IF('Council Entry'!BA$4="Exponential",EXP(IF(AND(ISNUMBER('Council Entry'!BA$8),ISNUMBER('Council Entry'!BA$9)),MAX(MIN('Council Entry'!BA69,'Council Entry'!BA$9),'Council Entry'!BA$8),'Council Entry'!BA69)),IF(AND(ISNUMBER('Council Entry'!BA$8),ISNUMBER('Council Entry'!BA$9)),MAX(MIN('Council Entry'!BA69,'Council Entry'!BA$9),'Council Entry'!BA$8),'Council Entry'!BA69))))-'Council Entry'!BA$5)/('Council Entry'!BA$6-'Council Entry'!BA$5)),1))),"No data"))</f>
        <v/>
      </c>
      <c r="BB69" s="13">
        <f>IF('Council Entry'!BB69="","",IFERROR(MAX(0,MIN(10,ROUND(IF('Council Entry'!BB$7="Decrease Risk",10-10*((IF('Council Entry'!BB$4="Logarithm",LN(0.001+IF(AND(ISNUMBER('Council Entry'!BB$8),ISNUMBER('Council Entry'!BB$9)),MAX(MIN('Council Entry'!BB69,'Council Entry'!BB$9),'Council Entry'!BB$8),'Council Entry'!BB69)),IF('Council Entry'!BB$4="Exponential",EXP(IF(AND(ISNUMBER('Council Entry'!BB$8),ISNUMBER('Council Entry'!BB$9)),MAX(MIN('Council Entry'!BB69,'Council Entry'!BB$9),'Council Entry'!BB$8),'Council Entry'!BB69)),IF(AND(ISNUMBER('Council Entry'!BB$8),ISNUMBER('Council Entry'!BB$9)),MAX(MIN('Council Entry'!BB69,'Council Entry'!BB$9),'Council Entry'!BB$8),'Council Entry'!BB69))))-'Council Entry'!BB$5)/('Council Entry'!BB$6-'Council Entry'!BB$5),10*((IF('Council Entry'!BB$4="Logarithm",LN(0.001+IF(AND(ISNUMBER('Council Entry'!BB$8),ISNUMBER('Council Entry'!BB$9)),MAX(MIN('Council Entry'!BB69,'Council Entry'!BB$9),'Council Entry'!BB$8),'Council Entry'!BB69)),IF('Council Entry'!BB$4="Exponential",EXP(IF(AND(ISNUMBER('Council Entry'!BB$8),ISNUMBER('Council Entry'!BB$9)),MAX(MIN('Council Entry'!BB69,'Council Entry'!BB$9),'Council Entry'!BB$8),'Council Entry'!BB69)),IF(AND(ISNUMBER('Council Entry'!BB$8),ISNUMBER('Council Entry'!BB$9)),MAX(MIN('Council Entry'!BB69,'Council Entry'!BB$9),'Council Entry'!BB$8),'Council Entry'!BB69))))-'Council Entry'!BB$5)/('Council Entry'!BB$6-'Council Entry'!BB$5)),1))),"No data"))</f>
        <v/>
      </c>
      <c r="BC69" s="13">
        <f>IF('Council Entry'!BC69="","",IFERROR(MAX(0,MIN(10,ROUND(IF('Council Entry'!BC$7="Decrease Risk",10-10*((IF('Council Entry'!BC$4="Logarithm",LN(0.001+IF(AND(ISNUMBER('Council Entry'!BC$8),ISNUMBER('Council Entry'!BC$9)),MAX(MIN('Council Entry'!BC69,'Council Entry'!BC$9),'Council Entry'!BC$8),'Council Entry'!BC69)),IF('Council Entry'!BC$4="Exponential",EXP(IF(AND(ISNUMBER('Council Entry'!BC$8),ISNUMBER('Council Entry'!BC$9)),MAX(MIN('Council Entry'!BC69,'Council Entry'!BC$9),'Council Entry'!BC$8),'Council Entry'!BC69)),IF(AND(ISNUMBER('Council Entry'!BC$8),ISNUMBER('Council Entry'!BC$9)),MAX(MIN('Council Entry'!BC69,'Council Entry'!BC$9),'Council Entry'!BC$8),'Council Entry'!BC69))))-'Council Entry'!BC$5)/('Council Entry'!BC$6-'Council Entry'!BC$5),10*((IF('Council Entry'!BC$4="Logarithm",LN(0.001+IF(AND(ISNUMBER('Council Entry'!BC$8),ISNUMBER('Council Entry'!BC$9)),MAX(MIN('Council Entry'!BC69,'Council Entry'!BC$9),'Council Entry'!BC$8),'Council Entry'!BC69)),IF('Council Entry'!BC$4="Exponential",EXP(IF(AND(ISNUMBER('Council Entry'!BC$8),ISNUMBER('Council Entry'!BC$9)),MAX(MIN('Council Entry'!BC69,'Council Entry'!BC$9),'Council Entry'!BC$8),'Council Entry'!BC69)),IF(AND(ISNUMBER('Council Entry'!BC$8),ISNUMBER('Council Entry'!BC$9)),MAX(MIN('Council Entry'!BC69,'Council Entry'!BC$9),'Council Entry'!BC$8),'Council Entry'!BC69))))-'Council Entry'!BC$5)/('Council Entry'!BC$6-'Council Entry'!BC$5)),1))),"No data"))</f>
        <v/>
      </c>
      <c r="BD69" s="13">
        <f>IF('Council Entry'!BD69="","",IFERROR(MAX(0,MIN(10,ROUND(IF('Council Entry'!BD$7="Decrease Risk",10-10*((IF('Council Entry'!BD$4="Logarithm",LN(0.001+IF(AND(ISNUMBER('Council Entry'!BD$8),ISNUMBER('Council Entry'!BD$9)),MAX(MIN('Council Entry'!BD69,'Council Entry'!BD$9),'Council Entry'!BD$8),'Council Entry'!BD69)),IF('Council Entry'!BD$4="Exponential",EXP(IF(AND(ISNUMBER('Council Entry'!BD$8),ISNUMBER('Council Entry'!BD$9)),MAX(MIN('Council Entry'!BD69,'Council Entry'!BD$9),'Council Entry'!BD$8),'Council Entry'!BD69)),IF(AND(ISNUMBER('Council Entry'!BD$8),ISNUMBER('Council Entry'!BD$9)),MAX(MIN('Council Entry'!BD69,'Council Entry'!BD$9),'Council Entry'!BD$8),'Council Entry'!BD69))))-'Council Entry'!BD$5)/('Council Entry'!BD$6-'Council Entry'!BD$5),10*((IF('Council Entry'!BD$4="Logarithm",LN(0.001+IF(AND(ISNUMBER('Council Entry'!BD$8),ISNUMBER('Council Entry'!BD$9)),MAX(MIN('Council Entry'!BD69,'Council Entry'!BD$9),'Council Entry'!BD$8),'Council Entry'!BD69)),IF('Council Entry'!BD$4="Exponential",EXP(IF(AND(ISNUMBER('Council Entry'!BD$8),ISNUMBER('Council Entry'!BD$9)),MAX(MIN('Council Entry'!BD69,'Council Entry'!BD$9),'Council Entry'!BD$8),'Council Entry'!BD69)),IF(AND(ISNUMBER('Council Entry'!BD$8),ISNUMBER('Council Entry'!BD$9)),MAX(MIN('Council Entry'!BD69,'Council Entry'!BD$9),'Council Entry'!BD$8),'Council Entry'!BD69))))-'Council Entry'!BD$5)/('Council Entry'!BD$6-'Council Entry'!BD$5)),1))),"No data"))</f>
        <v/>
      </c>
    </row>
    <row r="70">
      <c r="A70" t="inlineStr">
        <is>
          <t>Kilimanjaro</t>
        </is>
      </c>
      <c r="B70" t="inlineStr">
        <is>
          <t>Mwanga District</t>
        </is>
      </c>
      <c r="C70" t="inlineStr">
        <is>
          <t>C017</t>
        </is>
      </c>
      <c r="D70" s="13">
        <f>IF('Council Entry'!D70="","",IFERROR(MAX(0,MIN(10,ROUND(IF('Council Entry'!D$7="Decrease Risk",10-10*((IF('Council Entry'!D$4="Logarithm",LN(0.001+IF(AND(ISNUMBER('Council Entry'!D$8),ISNUMBER('Council Entry'!D$9)),MAX(MIN('Council Entry'!D70,'Council Entry'!D$9),'Council Entry'!D$8),'Council Entry'!D70)),IF('Council Entry'!D$4="Exponential",EXP(IF(AND(ISNUMBER('Council Entry'!D$8),ISNUMBER('Council Entry'!D$9)),MAX(MIN('Council Entry'!D70,'Council Entry'!D$9),'Council Entry'!D$8),'Council Entry'!D70)),IF(AND(ISNUMBER('Council Entry'!D$8),ISNUMBER('Council Entry'!D$9)),MAX(MIN('Council Entry'!D70,'Council Entry'!D$9),'Council Entry'!D$8),'Council Entry'!D70))))-'Council Entry'!D$5)/('Council Entry'!D$6-'Council Entry'!D$5),10*((IF('Council Entry'!D$4="Logarithm",LN(0.001+IF(AND(ISNUMBER('Council Entry'!D$8),ISNUMBER('Council Entry'!D$9)),MAX(MIN('Council Entry'!D70,'Council Entry'!D$9),'Council Entry'!D$8),'Council Entry'!D70)),IF('Council Entry'!D$4="Exponential",EXP(IF(AND(ISNUMBER('Council Entry'!D$8),ISNUMBER('Council Entry'!D$9)),MAX(MIN('Council Entry'!D70,'Council Entry'!D$9),'Council Entry'!D$8),'Council Entry'!D70)),IF(AND(ISNUMBER('Council Entry'!D$8),ISNUMBER('Council Entry'!D$9)),MAX(MIN('Council Entry'!D70,'Council Entry'!D$9),'Council Entry'!D$8),'Council Entry'!D70))))-'Council Entry'!D$5)/('Council Entry'!D$6-'Council Entry'!D$5)),1))),"No data"))</f>
        <v/>
      </c>
      <c r="E70" s="13">
        <f>IF('Council Entry'!E70="","",IFERROR(MAX(0,MIN(10,ROUND(IF('Council Entry'!E$7="Decrease Risk",10-10*((IF('Council Entry'!E$4="Logarithm",LN(0.001+IF(AND(ISNUMBER('Council Entry'!E$8),ISNUMBER('Council Entry'!E$9)),MAX(MIN('Council Entry'!E70,'Council Entry'!E$9),'Council Entry'!E$8),'Council Entry'!E70)),IF('Council Entry'!E$4="Exponential",EXP(IF(AND(ISNUMBER('Council Entry'!E$8),ISNUMBER('Council Entry'!E$9)),MAX(MIN('Council Entry'!E70,'Council Entry'!E$9),'Council Entry'!E$8),'Council Entry'!E70)),IF(AND(ISNUMBER('Council Entry'!E$8),ISNUMBER('Council Entry'!E$9)),MAX(MIN('Council Entry'!E70,'Council Entry'!E$9),'Council Entry'!E$8),'Council Entry'!E70))))-'Council Entry'!E$5)/('Council Entry'!E$6-'Council Entry'!E$5),10*((IF('Council Entry'!E$4="Logarithm",LN(0.001+IF(AND(ISNUMBER('Council Entry'!E$8),ISNUMBER('Council Entry'!E$9)),MAX(MIN('Council Entry'!E70,'Council Entry'!E$9),'Council Entry'!E$8),'Council Entry'!E70)),IF('Council Entry'!E$4="Exponential",EXP(IF(AND(ISNUMBER('Council Entry'!E$8),ISNUMBER('Council Entry'!E$9)),MAX(MIN('Council Entry'!E70,'Council Entry'!E$9),'Council Entry'!E$8),'Council Entry'!E70)),IF(AND(ISNUMBER('Council Entry'!E$8),ISNUMBER('Council Entry'!E$9)),MAX(MIN('Council Entry'!E70,'Council Entry'!E$9),'Council Entry'!E$8),'Council Entry'!E70))))-'Council Entry'!E$5)/('Council Entry'!E$6-'Council Entry'!E$5)),1))),"No data"))</f>
        <v/>
      </c>
      <c r="F70" s="13">
        <f>IF('Council Entry'!F70="","",IFERROR(MAX(0,MIN(10,ROUND(IF('Council Entry'!F$7="Decrease Risk",10-10*((IF('Council Entry'!F$4="Logarithm",LN(0.001+IF(AND(ISNUMBER('Council Entry'!F$8),ISNUMBER('Council Entry'!F$9)),MAX(MIN('Council Entry'!F70,'Council Entry'!F$9),'Council Entry'!F$8),'Council Entry'!F70)),IF('Council Entry'!F$4="Exponential",EXP(IF(AND(ISNUMBER('Council Entry'!F$8),ISNUMBER('Council Entry'!F$9)),MAX(MIN('Council Entry'!F70,'Council Entry'!F$9),'Council Entry'!F$8),'Council Entry'!F70)),IF(AND(ISNUMBER('Council Entry'!F$8),ISNUMBER('Council Entry'!F$9)),MAX(MIN('Council Entry'!F70,'Council Entry'!F$9),'Council Entry'!F$8),'Council Entry'!F70))))-'Council Entry'!F$5)/('Council Entry'!F$6-'Council Entry'!F$5),10*((IF('Council Entry'!F$4="Logarithm",LN(0.001+IF(AND(ISNUMBER('Council Entry'!F$8),ISNUMBER('Council Entry'!F$9)),MAX(MIN('Council Entry'!F70,'Council Entry'!F$9),'Council Entry'!F$8),'Council Entry'!F70)),IF('Council Entry'!F$4="Exponential",EXP(IF(AND(ISNUMBER('Council Entry'!F$8),ISNUMBER('Council Entry'!F$9)),MAX(MIN('Council Entry'!F70,'Council Entry'!F$9),'Council Entry'!F$8),'Council Entry'!F70)),IF(AND(ISNUMBER('Council Entry'!F$8),ISNUMBER('Council Entry'!F$9)),MAX(MIN('Council Entry'!F70,'Council Entry'!F$9),'Council Entry'!F$8),'Council Entry'!F70))))-'Council Entry'!F$5)/('Council Entry'!F$6-'Council Entry'!F$5)),1))),"No data"))</f>
        <v/>
      </c>
      <c r="G70" s="13">
        <f>IF('Council Entry'!G70="","",IFERROR(MAX(0,MIN(10,ROUND(IF('Council Entry'!G$7="Decrease Risk",10-10*((IF('Council Entry'!G$4="Logarithm",LN(0.001+IF(AND(ISNUMBER('Council Entry'!G$8),ISNUMBER('Council Entry'!G$9)),MAX(MIN('Council Entry'!G70,'Council Entry'!G$9),'Council Entry'!G$8),'Council Entry'!G70)),IF('Council Entry'!G$4="Exponential",EXP(IF(AND(ISNUMBER('Council Entry'!G$8),ISNUMBER('Council Entry'!G$9)),MAX(MIN('Council Entry'!G70,'Council Entry'!G$9),'Council Entry'!G$8),'Council Entry'!G70)),IF(AND(ISNUMBER('Council Entry'!G$8),ISNUMBER('Council Entry'!G$9)),MAX(MIN('Council Entry'!G70,'Council Entry'!G$9),'Council Entry'!G$8),'Council Entry'!G70))))-'Council Entry'!G$5)/('Council Entry'!G$6-'Council Entry'!G$5),10*((IF('Council Entry'!G$4="Logarithm",LN(0.001+IF(AND(ISNUMBER('Council Entry'!G$8),ISNUMBER('Council Entry'!G$9)),MAX(MIN('Council Entry'!G70,'Council Entry'!G$9),'Council Entry'!G$8),'Council Entry'!G70)),IF('Council Entry'!G$4="Exponential",EXP(IF(AND(ISNUMBER('Council Entry'!G$8),ISNUMBER('Council Entry'!G$9)),MAX(MIN('Council Entry'!G70,'Council Entry'!G$9),'Council Entry'!G$8),'Council Entry'!G70)),IF(AND(ISNUMBER('Council Entry'!G$8),ISNUMBER('Council Entry'!G$9)),MAX(MIN('Council Entry'!G70,'Council Entry'!G$9),'Council Entry'!G$8),'Council Entry'!G70))))-'Council Entry'!G$5)/('Council Entry'!G$6-'Council Entry'!G$5)),1))),"No data"))</f>
        <v/>
      </c>
      <c r="H70" s="13">
        <f>IF('Council Entry'!H70="","",IFERROR(MAX(0,MIN(10,ROUND(IF('Council Entry'!H$7="Decrease Risk",10-10*((IF('Council Entry'!H$4="Logarithm",LN(0.001+IF(AND(ISNUMBER('Council Entry'!H$8),ISNUMBER('Council Entry'!H$9)),MAX(MIN('Council Entry'!H70,'Council Entry'!H$9),'Council Entry'!H$8),'Council Entry'!H70)),IF('Council Entry'!H$4="Exponential",EXP(IF(AND(ISNUMBER('Council Entry'!H$8),ISNUMBER('Council Entry'!H$9)),MAX(MIN('Council Entry'!H70,'Council Entry'!H$9),'Council Entry'!H$8),'Council Entry'!H70)),IF(AND(ISNUMBER('Council Entry'!H$8),ISNUMBER('Council Entry'!H$9)),MAX(MIN('Council Entry'!H70,'Council Entry'!H$9),'Council Entry'!H$8),'Council Entry'!H70))))-'Council Entry'!H$5)/('Council Entry'!H$6-'Council Entry'!H$5),10*((IF('Council Entry'!H$4="Logarithm",LN(0.001+IF(AND(ISNUMBER('Council Entry'!H$8),ISNUMBER('Council Entry'!H$9)),MAX(MIN('Council Entry'!H70,'Council Entry'!H$9),'Council Entry'!H$8),'Council Entry'!H70)),IF('Council Entry'!H$4="Exponential",EXP(IF(AND(ISNUMBER('Council Entry'!H$8),ISNUMBER('Council Entry'!H$9)),MAX(MIN('Council Entry'!H70,'Council Entry'!H$9),'Council Entry'!H$8),'Council Entry'!H70)),IF(AND(ISNUMBER('Council Entry'!H$8),ISNUMBER('Council Entry'!H$9)),MAX(MIN('Council Entry'!H70,'Council Entry'!H$9),'Council Entry'!H$8),'Council Entry'!H70))))-'Council Entry'!H$5)/('Council Entry'!H$6-'Council Entry'!H$5)),1))),"No data"))</f>
        <v/>
      </c>
      <c r="I70" s="13">
        <f>IF('Council Entry'!I70="","",IFERROR(MAX(0,MIN(10,ROUND(IF('Council Entry'!I$7="Decrease Risk",10-10*((IF('Council Entry'!I$4="Logarithm",LN(0.001+IF(AND(ISNUMBER('Council Entry'!I$8),ISNUMBER('Council Entry'!I$9)),MAX(MIN('Council Entry'!I70,'Council Entry'!I$9),'Council Entry'!I$8),'Council Entry'!I70)),IF('Council Entry'!I$4="Exponential",EXP(IF(AND(ISNUMBER('Council Entry'!I$8),ISNUMBER('Council Entry'!I$9)),MAX(MIN('Council Entry'!I70,'Council Entry'!I$9),'Council Entry'!I$8),'Council Entry'!I70)),IF(AND(ISNUMBER('Council Entry'!I$8),ISNUMBER('Council Entry'!I$9)),MAX(MIN('Council Entry'!I70,'Council Entry'!I$9),'Council Entry'!I$8),'Council Entry'!I70))))-'Council Entry'!I$5)/('Council Entry'!I$6-'Council Entry'!I$5),10*((IF('Council Entry'!I$4="Logarithm",LN(0.001+IF(AND(ISNUMBER('Council Entry'!I$8),ISNUMBER('Council Entry'!I$9)),MAX(MIN('Council Entry'!I70,'Council Entry'!I$9),'Council Entry'!I$8),'Council Entry'!I70)),IF('Council Entry'!I$4="Exponential",EXP(IF(AND(ISNUMBER('Council Entry'!I$8),ISNUMBER('Council Entry'!I$9)),MAX(MIN('Council Entry'!I70,'Council Entry'!I$9),'Council Entry'!I$8),'Council Entry'!I70)),IF(AND(ISNUMBER('Council Entry'!I$8),ISNUMBER('Council Entry'!I$9)),MAX(MIN('Council Entry'!I70,'Council Entry'!I$9),'Council Entry'!I$8),'Council Entry'!I70))))-'Council Entry'!I$5)/('Council Entry'!I$6-'Council Entry'!I$5)),1))),"No data"))</f>
        <v/>
      </c>
      <c r="J70" s="13">
        <f>IF('Council Entry'!J70="","",IFERROR(MAX(0,MIN(10,ROUND(IF('Council Entry'!J$7="Decrease Risk",10-10*((IF('Council Entry'!J$4="Logarithm",LN(0.001+IF(AND(ISNUMBER('Council Entry'!J$8),ISNUMBER('Council Entry'!J$9)),MAX(MIN('Council Entry'!J70,'Council Entry'!J$9),'Council Entry'!J$8),'Council Entry'!J70)),IF('Council Entry'!J$4="Exponential",EXP(IF(AND(ISNUMBER('Council Entry'!J$8),ISNUMBER('Council Entry'!J$9)),MAX(MIN('Council Entry'!J70,'Council Entry'!J$9),'Council Entry'!J$8),'Council Entry'!J70)),IF(AND(ISNUMBER('Council Entry'!J$8),ISNUMBER('Council Entry'!J$9)),MAX(MIN('Council Entry'!J70,'Council Entry'!J$9),'Council Entry'!J$8),'Council Entry'!J70))))-'Council Entry'!J$5)/('Council Entry'!J$6-'Council Entry'!J$5),10*((IF('Council Entry'!J$4="Logarithm",LN(0.001+IF(AND(ISNUMBER('Council Entry'!J$8),ISNUMBER('Council Entry'!J$9)),MAX(MIN('Council Entry'!J70,'Council Entry'!J$9),'Council Entry'!J$8),'Council Entry'!J70)),IF('Council Entry'!J$4="Exponential",EXP(IF(AND(ISNUMBER('Council Entry'!J$8),ISNUMBER('Council Entry'!J$9)),MAX(MIN('Council Entry'!J70,'Council Entry'!J$9),'Council Entry'!J$8),'Council Entry'!J70)),IF(AND(ISNUMBER('Council Entry'!J$8),ISNUMBER('Council Entry'!J$9)),MAX(MIN('Council Entry'!J70,'Council Entry'!J$9),'Council Entry'!J$8),'Council Entry'!J70))))-'Council Entry'!J$5)/('Council Entry'!J$6-'Council Entry'!J$5)),1))),"No data"))</f>
        <v/>
      </c>
      <c r="K70" s="13">
        <f>IF('Council Entry'!K70="","",IFERROR(MAX(0,MIN(10,ROUND(IF('Council Entry'!K$7="Decrease Risk",10-10*((IF('Council Entry'!K$4="Logarithm",LN(0.001+IF(AND(ISNUMBER('Council Entry'!K$8),ISNUMBER('Council Entry'!K$9)),MAX(MIN('Council Entry'!K70,'Council Entry'!K$9),'Council Entry'!K$8),'Council Entry'!K70)),IF('Council Entry'!K$4="Exponential",EXP(IF(AND(ISNUMBER('Council Entry'!K$8),ISNUMBER('Council Entry'!K$9)),MAX(MIN('Council Entry'!K70,'Council Entry'!K$9),'Council Entry'!K$8),'Council Entry'!K70)),IF(AND(ISNUMBER('Council Entry'!K$8),ISNUMBER('Council Entry'!K$9)),MAX(MIN('Council Entry'!K70,'Council Entry'!K$9),'Council Entry'!K$8),'Council Entry'!K70))))-'Council Entry'!K$5)/('Council Entry'!K$6-'Council Entry'!K$5),10*((IF('Council Entry'!K$4="Logarithm",LN(0.001+IF(AND(ISNUMBER('Council Entry'!K$8),ISNUMBER('Council Entry'!K$9)),MAX(MIN('Council Entry'!K70,'Council Entry'!K$9),'Council Entry'!K$8),'Council Entry'!K70)),IF('Council Entry'!K$4="Exponential",EXP(IF(AND(ISNUMBER('Council Entry'!K$8),ISNUMBER('Council Entry'!K$9)),MAX(MIN('Council Entry'!K70,'Council Entry'!K$9),'Council Entry'!K$8),'Council Entry'!K70)),IF(AND(ISNUMBER('Council Entry'!K$8),ISNUMBER('Council Entry'!K$9)),MAX(MIN('Council Entry'!K70,'Council Entry'!K$9),'Council Entry'!K$8),'Council Entry'!K70))))-'Council Entry'!K$5)/('Council Entry'!K$6-'Council Entry'!K$5)),1))),"No data"))</f>
        <v/>
      </c>
      <c r="L70" s="13">
        <f>IF('Council Entry'!L70="","",IFERROR(MAX(0,MIN(10,ROUND(IF('Council Entry'!L$7="Decrease Risk",10-10*((IF('Council Entry'!L$4="Logarithm",LN(0.001+IF(AND(ISNUMBER('Council Entry'!L$8),ISNUMBER('Council Entry'!L$9)),MAX(MIN('Council Entry'!L70,'Council Entry'!L$9),'Council Entry'!L$8),'Council Entry'!L70)),IF('Council Entry'!L$4="Exponential",EXP(IF(AND(ISNUMBER('Council Entry'!L$8),ISNUMBER('Council Entry'!L$9)),MAX(MIN('Council Entry'!L70,'Council Entry'!L$9),'Council Entry'!L$8),'Council Entry'!L70)),IF(AND(ISNUMBER('Council Entry'!L$8),ISNUMBER('Council Entry'!L$9)),MAX(MIN('Council Entry'!L70,'Council Entry'!L$9),'Council Entry'!L$8),'Council Entry'!L70))))-'Council Entry'!L$5)/('Council Entry'!L$6-'Council Entry'!L$5),10*((IF('Council Entry'!L$4="Logarithm",LN(0.001+IF(AND(ISNUMBER('Council Entry'!L$8),ISNUMBER('Council Entry'!L$9)),MAX(MIN('Council Entry'!L70,'Council Entry'!L$9),'Council Entry'!L$8),'Council Entry'!L70)),IF('Council Entry'!L$4="Exponential",EXP(IF(AND(ISNUMBER('Council Entry'!L$8),ISNUMBER('Council Entry'!L$9)),MAX(MIN('Council Entry'!L70,'Council Entry'!L$9),'Council Entry'!L$8),'Council Entry'!L70)),IF(AND(ISNUMBER('Council Entry'!L$8),ISNUMBER('Council Entry'!L$9)),MAX(MIN('Council Entry'!L70,'Council Entry'!L$9),'Council Entry'!L$8),'Council Entry'!L70))))-'Council Entry'!L$5)/('Council Entry'!L$6-'Council Entry'!L$5)),1))),"No data"))</f>
        <v/>
      </c>
      <c r="M70" s="13">
        <f>IF('Council Entry'!M70="","",IFERROR(MAX(0,MIN(10,ROUND(IF('Council Entry'!M$7="Decrease Risk",10-10*((IF('Council Entry'!M$4="Logarithm",LN(0.001+IF(AND(ISNUMBER('Council Entry'!M$8),ISNUMBER('Council Entry'!M$9)),MAX(MIN('Council Entry'!M70,'Council Entry'!M$9),'Council Entry'!M$8),'Council Entry'!M70)),IF('Council Entry'!M$4="Exponential",EXP(IF(AND(ISNUMBER('Council Entry'!M$8),ISNUMBER('Council Entry'!M$9)),MAX(MIN('Council Entry'!M70,'Council Entry'!M$9),'Council Entry'!M$8),'Council Entry'!M70)),IF(AND(ISNUMBER('Council Entry'!M$8),ISNUMBER('Council Entry'!M$9)),MAX(MIN('Council Entry'!M70,'Council Entry'!M$9),'Council Entry'!M$8),'Council Entry'!M70))))-'Council Entry'!M$5)/('Council Entry'!M$6-'Council Entry'!M$5),10*((IF('Council Entry'!M$4="Logarithm",LN(0.001+IF(AND(ISNUMBER('Council Entry'!M$8),ISNUMBER('Council Entry'!M$9)),MAX(MIN('Council Entry'!M70,'Council Entry'!M$9),'Council Entry'!M$8),'Council Entry'!M70)),IF('Council Entry'!M$4="Exponential",EXP(IF(AND(ISNUMBER('Council Entry'!M$8),ISNUMBER('Council Entry'!M$9)),MAX(MIN('Council Entry'!M70,'Council Entry'!M$9),'Council Entry'!M$8),'Council Entry'!M70)),IF(AND(ISNUMBER('Council Entry'!M$8),ISNUMBER('Council Entry'!M$9)),MAX(MIN('Council Entry'!M70,'Council Entry'!M$9),'Council Entry'!M$8),'Council Entry'!M70))))-'Council Entry'!M$5)/('Council Entry'!M$6-'Council Entry'!M$5)),1))),"No data"))</f>
        <v/>
      </c>
      <c r="N70" s="13">
        <f>IF('Council Entry'!N70="","",IFERROR(MAX(0,MIN(10,ROUND(IF('Council Entry'!N$7="Decrease Risk",10-10*((IF('Council Entry'!N$4="Logarithm",LN(0.001+IF(AND(ISNUMBER('Council Entry'!N$8),ISNUMBER('Council Entry'!N$9)),MAX(MIN('Council Entry'!N70,'Council Entry'!N$9),'Council Entry'!N$8),'Council Entry'!N70)),IF('Council Entry'!N$4="Exponential",EXP(IF(AND(ISNUMBER('Council Entry'!N$8),ISNUMBER('Council Entry'!N$9)),MAX(MIN('Council Entry'!N70,'Council Entry'!N$9),'Council Entry'!N$8),'Council Entry'!N70)),IF(AND(ISNUMBER('Council Entry'!N$8),ISNUMBER('Council Entry'!N$9)),MAX(MIN('Council Entry'!N70,'Council Entry'!N$9),'Council Entry'!N$8),'Council Entry'!N70))))-'Council Entry'!N$5)/('Council Entry'!N$6-'Council Entry'!N$5),10*((IF('Council Entry'!N$4="Logarithm",LN(0.001+IF(AND(ISNUMBER('Council Entry'!N$8),ISNUMBER('Council Entry'!N$9)),MAX(MIN('Council Entry'!N70,'Council Entry'!N$9),'Council Entry'!N$8),'Council Entry'!N70)),IF('Council Entry'!N$4="Exponential",EXP(IF(AND(ISNUMBER('Council Entry'!N$8),ISNUMBER('Council Entry'!N$9)),MAX(MIN('Council Entry'!N70,'Council Entry'!N$9),'Council Entry'!N$8),'Council Entry'!N70)),IF(AND(ISNUMBER('Council Entry'!N$8),ISNUMBER('Council Entry'!N$9)),MAX(MIN('Council Entry'!N70,'Council Entry'!N$9),'Council Entry'!N$8),'Council Entry'!N70))))-'Council Entry'!N$5)/('Council Entry'!N$6-'Council Entry'!N$5)),1))),"No data"))</f>
        <v/>
      </c>
      <c r="O70" s="13">
        <f>IF('Council Entry'!O70="","",IFERROR(MAX(0,MIN(10,ROUND(IF('Council Entry'!O$7="Decrease Risk",10-10*((IF('Council Entry'!O$4="Logarithm",LN(0.001+IF(AND(ISNUMBER('Council Entry'!O$8),ISNUMBER('Council Entry'!O$9)),MAX(MIN('Council Entry'!O70,'Council Entry'!O$9),'Council Entry'!O$8),'Council Entry'!O70)),IF('Council Entry'!O$4="Exponential",EXP(IF(AND(ISNUMBER('Council Entry'!O$8),ISNUMBER('Council Entry'!O$9)),MAX(MIN('Council Entry'!O70,'Council Entry'!O$9),'Council Entry'!O$8),'Council Entry'!O70)),IF(AND(ISNUMBER('Council Entry'!O$8),ISNUMBER('Council Entry'!O$9)),MAX(MIN('Council Entry'!O70,'Council Entry'!O$9),'Council Entry'!O$8),'Council Entry'!O70))))-'Council Entry'!O$5)/('Council Entry'!O$6-'Council Entry'!O$5),10*((IF('Council Entry'!O$4="Logarithm",LN(0.001+IF(AND(ISNUMBER('Council Entry'!O$8),ISNUMBER('Council Entry'!O$9)),MAX(MIN('Council Entry'!O70,'Council Entry'!O$9),'Council Entry'!O$8),'Council Entry'!O70)),IF('Council Entry'!O$4="Exponential",EXP(IF(AND(ISNUMBER('Council Entry'!O$8),ISNUMBER('Council Entry'!O$9)),MAX(MIN('Council Entry'!O70,'Council Entry'!O$9),'Council Entry'!O$8),'Council Entry'!O70)),IF(AND(ISNUMBER('Council Entry'!O$8),ISNUMBER('Council Entry'!O$9)),MAX(MIN('Council Entry'!O70,'Council Entry'!O$9),'Council Entry'!O$8),'Council Entry'!O70))))-'Council Entry'!O$5)/('Council Entry'!O$6-'Council Entry'!O$5)),1))),"No data"))</f>
        <v/>
      </c>
      <c r="P70" s="13">
        <f>IF('Council Entry'!P70="","",IFERROR(MAX(0,MIN(10,ROUND(IF('Council Entry'!P$7="Decrease Risk",10-10*((IF('Council Entry'!P$4="Logarithm",LN(0.001+IF(AND(ISNUMBER('Council Entry'!P$8),ISNUMBER('Council Entry'!P$9)),MAX(MIN('Council Entry'!P70,'Council Entry'!P$9),'Council Entry'!P$8),'Council Entry'!P70)),IF('Council Entry'!P$4="Exponential",EXP(IF(AND(ISNUMBER('Council Entry'!P$8),ISNUMBER('Council Entry'!P$9)),MAX(MIN('Council Entry'!P70,'Council Entry'!P$9),'Council Entry'!P$8),'Council Entry'!P70)),IF(AND(ISNUMBER('Council Entry'!P$8),ISNUMBER('Council Entry'!P$9)),MAX(MIN('Council Entry'!P70,'Council Entry'!P$9),'Council Entry'!P$8),'Council Entry'!P70))))-'Council Entry'!P$5)/('Council Entry'!P$6-'Council Entry'!P$5),10*((IF('Council Entry'!P$4="Logarithm",LN(0.001+IF(AND(ISNUMBER('Council Entry'!P$8),ISNUMBER('Council Entry'!P$9)),MAX(MIN('Council Entry'!P70,'Council Entry'!P$9),'Council Entry'!P$8),'Council Entry'!P70)),IF('Council Entry'!P$4="Exponential",EXP(IF(AND(ISNUMBER('Council Entry'!P$8),ISNUMBER('Council Entry'!P$9)),MAX(MIN('Council Entry'!P70,'Council Entry'!P$9),'Council Entry'!P$8),'Council Entry'!P70)),IF(AND(ISNUMBER('Council Entry'!P$8),ISNUMBER('Council Entry'!P$9)),MAX(MIN('Council Entry'!P70,'Council Entry'!P$9),'Council Entry'!P$8),'Council Entry'!P70))))-'Council Entry'!P$5)/('Council Entry'!P$6-'Council Entry'!P$5)),1))),"No data"))</f>
        <v/>
      </c>
      <c r="Q70" s="13">
        <f>IF('Council Entry'!Q70="","",IFERROR(MAX(0,MIN(10,ROUND(IF('Council Entry'!Q$7="Decrease Risk",10-10*((IF('Council Entry'!Q$4="Logarithm",LN(0.001+IF(AND(ISNUMBER('Council Entry'!Q$8),ISNUMBER('Council Entry'!Q$9)),MAX(MIN('Council Entry'!Q70,'Council Entry'!Q$9),'Council Entry'!Q$8),'Council Entry'!Q70)),IF('Council Entry'!Q$4="Exponential",EXP(IF(AND(ISNUMBER('Council Entry'!Q$8),ISNUMBER('Council Entry'!Q$9)),MAX(MIN('Council Entry'!Q70,'Council Entry'!Q$9),'Council Entry'!Q$8),'Council Entry'!Q70)),IF(AND(ISNUMBER('Council Entry'!Q$8),ISNUMBER('Council Entry'!Q$9)),MAX(MIN('Council Entry'!Q70,'Council Entry'!Q$9),'Council Entry'!Q$8),'Council Entry'!Q70))))-'Council Entry'!Q$5)/('Council Entry'!Q$6-'Council Entry'!Q$5),10*((IF('Council Entry'!Q$4="Logarithm",LN(0.001+IF(AND(ISNUMBER('Council Entry'!Q$8),ISNUMBER('Council Entry'!Q$9)),MAX(MIN('Council Entry'!Q70,'Council Entry'!Q$9),'Council Entry'!Q$8),'Council Entry'!Q70)),IF('Council Entry'!Q$4="Exponential",EXP(IF(AND(ISNUMBER('Council Entry'!Q$8),ISNUMBER('Council Entry'!Q$9)),MAX(MIN('Council Entry'!Q70,'Council Entry'!Q$9),'Council Entry'!Q$8),'Council Entry'!Q70)),IF(AND(ISNUMBER('Council Entry'!Q$8),ISNUMBER('Council Entry'!Q$9)),MAX(MIN('Council Entry'!Q70,'Council Entry'!Q$9),'Council Entry'!Q$8),'Council Entry'!Q70))))-'Council Entry'!Q$5)/('Council Entry'!Q$6-'Council Entry'!Q$5)),1))),"No data"))</f>
        <v/>
      </c>
      <c r="R70" s="13">
        <f>IF('Council Entry'!R70="","",IFERROR(MAX(0,MIN(10,ROUND(IF('Council Entry'!R$7="Decrease Risk",10-10*((IF('Council Entry'!R$4="Logarithm",LN(0.001+IF(AND(ISNUMBER('Council Entry'!R$8),ISNUMBER('Council Entry'!R$9)),MAX(MIN('Council Entry'!R70,'Council Entry'!R$9),'Council Entry'!R$8),'Council Entry'!R70)),IF('Council Entry'!R$4="Exponential",EXP(IF(AND(ISNUMBER('Council Entry'!R$8),ISNUMBER('Council Entry'!R$9)),MAX(MIN('Council Entry'!R70,'Council Entry'!R$9),'Council Entry'!R$8),'Council Entry'!R70)),IF(AND(ISNUMBER('Council Entry'!R$8),ISNUMBER('Council Entry'!R$9)),MAX(MIN('Council Entry'!R70,'Council Entry'!R$9),'Council Entry'!R$8),'Council Entry'!R70))))-'Council Entry'!R$5)/('Council Entry'!R$6-'Council Entry'!R$5),10*((IF('Council Entry'!R$4="Logarithm",LN(0.001+IF(AND(ISNUMBER('Council Entry'!R$8),ISNUMBER('Council Entry'!R$9)),MAX(MIN('Council Entry'!R70,'Council Entry'!R$9),'Council Entry'!R$8),'Council Entry'!R70)),IF('Council Entry'!R$4="Exponential",EXP(IF(AND(ISNUMBER('Council Entry'!R$8),ISNUMBER('Council Entry'!R$9)),MAX(MIN('Council Entry'!R70,'Council Entry'!R$9),'Council Entry'!R$8),'Council Entry'!R70)),IF(AND(ISNUMBER('Council Entry'!R$8),ISNUMBER('Council Entry'!R$9)),MAX(MIN('Council Entry'!R70,'Council Entry'!R$9),'Council Entry'!R$8),'Council Entry'!R70))))-'Council Entry'!R$5)/('Council Entry'!R$6-'Council Entry'!R$5)),1))),"No data"))</f>
        <v/>
      </c>
      <c r="S70" s="13">
        <f>IF('Council Entry'!S70="","",IFERROR(MAX(0,MIN(10,ROUND(IF('Council Entry'!S$7="Decrease Risk",10-10*((IF('Council Entry'!S$4="Logarithm",LN(0.001+IF(AND(ISNUMBER('Council Entry'!S$8),ISNUMBER('Council Entry'!S$9)),MAX(MIN('Council Entry'!S70,'Council Entry'!S$9),'Council Entry'!S$8),'Council Entry'!S70)),IF('Council Entry'!S$4="Exponential",EXP(IF(AND(ISNUMBER('Council Entry'!S$8),ISNUMBER('Council Entry'!S$9)),MAX(MIN('Council Entry'!S70,'Council Entry'!S$9),'Council Entry'!S$8),'Council Entry'!S70)),IF(AND(ISNUMBER('Council Entry'!S$8),ISNUMBER('Council Entry'!S$9)),MAX(MIN('Council Entry'!S70,'Council Entry'!S$9),'Council Entry'!S$8),'Council Entry'!S70))))-'Council Entry'!S$5)/('Council Entry'!S$6-'Council Entry'!S$5),10*((IF('Council Entry'!S$4="Logarithm",LN(0.001+IF(AND(ISNUMBER('Council Entry'!S$8),ISNUMBER('Council Entry'!S$9)),MAX(MIN('Council Entry'!S70,'Council Entry'!S$9),'Council Entry'!S$8),'Council Entry'!S70)),IF('Council Entry'!S$4="Exponential",EXP(IF(AND(ISNUMBER('Council Entry'!S$8),ISNUMBER('Council Entry'!S$9)),MAX(MIN('Council Entry'!S70,'Council Entry'!S$9),'Council Entry'!S$8),'Council Entry'!S70)),IF(AND(ISNUMBER('Council Entry'!S$8),ISNUMBER('Council Entry'!S$9)),MAX(MIN('Council Entry'!S70,'Council Entry'!S$9),'Council Entry'!S$8),'Council Entry'!S70))))-'Council Entry'!S$5)/('Council Entry'!S$6-'Council Entry'!S$5)),1))),"No data"))</f>
        <v/>
      </c>
      <c r="T70" s="13">
        <f>IF('Council Entry'!T70="","",IFERROR(MAX(0,MIN(10,ROUND(IF('Council Entry'!T$7="Decrease Risk",10-10*((IF('Council Entry'!T$4="Logarithm",LN(0.001+IF(AND(ISNUMBER('Council Entry'!T$8),ISNUMBER('Council Entry'!T$9)),MAX(MIN('Council Entry'!T70,'Council Entry'!T$9),'Council Entry'!T$8),'Council Entry'!T70)),IF('Council Entry'!T$4="Exponential",EXP(IF(AND(ISNUMBER('Council Entry'!T$8),ISNUMBER('Council Entry'!T$9)),MAX(MIN('Council Entry'!T70,'Council Entry'!T$9),'Council Entry'!T$8),'Council Entry'!T70)),IF(AND(ISNUMBER('Council Entry'!T$8),ISNUMBER('Council Entry'!T$9)),MAX(MIN('Council Entry'!T70,'Council Entry'!T$9),'Council Entry'!T$8),'Council Entry'!T70))))-'Council Entry'!T$5)/('Council Entry'!T$6-'Council Entry'!T$5),10*((IF('Council Entry'!T$4="Logarithm",LN(0.001+IF(AND(ISNUMBER('Council Entry'!T$8),ISNUMBER('Council Entry'!T$9)),MAX(MIN('Council Entry'!T70,'Council Entry'!T$9),'Council Entry'!T$8),'Council Entry'!T70)),IF('Council Entry'!T$4="Exponential",EXP(IF(AND(ISNUMBER('Council Entry'!T$8),ISNUMBER('Council Entry'!T$9)),MAX(MIN('Council Entry'!T70,'Council Entry'!T$9),'Council Entry'!T$8),'Council Entry'!T70)),IF(AND(ISNUMBER('Council Entry'!T$8),ISNUMBER('Council Entry'!T$9)),MAX(MIN('Council Entry'!T70,'Council Entry'!T$9),'Council Entry'!T$8),'Council Entry'!T70))))-'Council Entry'!T$5)/('Council Entry'!T$6-'Council Entry'!T$5)),1))),"No data"))</f>
        <v/>
      </c>
      <c r="U70" s="13">
        <f>IF('Council Entry'!U70="","",IFERROR(MAX(0,MIN(10,ROUND(IF('Council Entry'!U$7="Decrease Risk",10-10*((IF('Council Entry'!U$4="Logarithm",LN(0.001+IF(AND(ISNUMBER('Council Entry'!U$8),ISNUMBER('Council Entry'!U$9)),MAX(MIN('Council Entry'!U70,'Council Entry'!U$9),'Council Entry'!U$8),'Council Entry'!U70)),IF('Council Entry'!U$4="Exponential",EXP(IF(AND(ISNUMBER('Council Entry'!U$8),ISNUMBER('Council Entry'!U$9)),MAX(MIN('Council Entry'!U70,'Council Entry'!U$9),'Council Entry'!U$8),'Council Entry'!U70)),IF(AND(ISNUMBER('Council Entry'!U$8),ISNUMBER('Council Entry'!U$9)),MAX(MIN('Council Entry'!U70,'Council Entry'!U$9),'Council Entry'!U$8),'Council Entry'!U70))))-'Council Entry'!U$5)/('Council Entry'!U$6-'Council Entry'!U$5),10*((IF('Council Entry'!U$4="Logarithm",LN(0.001+IF(AND(ISNUMBER('Council Entry'!U$8),ISNUMBER('Council Entry'!U$9)),MAX(MIN('Council Entry'!U70,'Council Entry'!U$9),'Council Entry'!U$8),'Council Entry'!U70)),IF('Council Entry'!U$4="Exponential",EXP(IF(AND(ISNUMBER('Council Entry'!U$8),ISNUMBER('Council Entry'!U$9)),MAX(MIN('Council Entry'!U70,'Council Entry'!U$9),'Council Entry'!U$8),'Council Entry'!U70)),IF(AND(ISNUMBER('Council Entry'!U$8),ISNUMBER('Council Entry'!U$9)),MAX(MIN('Council Entry'!U70,'Council Entry'!U$9),'Council Entry'!U$8),'Council Entry'!U70))))-'Council Entry'!U$5)/('Council Entry'!U$6-'Council Entry'!U$5)),1))),"No data"))</f>
        <v/>
      </c>
      <c r="V70" s="13">
        <f>IF('Council Entry'!V70="","",IFERROR(MAX(0,MIN(10,ROUND(IF('Council Entry'!V$7="Decrease Risk",10-10*((IF('Council Entry'!V$4="Logarithm",LN(0.001+IF(AND(ISNUMBER('Council Entry'!V$8),ISNUMBER('Council Entry'!V$9)),MAX(MIN('Council Entry'!V70,'Council Entry'!V$9),'Council Entry'!V$8),'Council Entry'!V70)),IF('Council Entry'!V$4="Exponential",EXP(IF(AND(ISNUMBER('Council Entry'!V$8),ISNUMBER('Council Entry'!V$9)),MAX(MIN('Council Entry'!V70,'Council Entry'!V$9),'Council Entry'!V$8),'Council Entry'!V70)),IF(AND(ISNUMBER('Council Entry'!V$8),ISNUMBER('Council Entry'!V$9)),MAX(MIN('Council Entry'!V70,'Council Entry'!V$9),'Council Entry'!V$8),'Council Entry'!V70))))-'Council Entry'!V$5)/('Council Entry'!V$6-'Council Entry'!V$5),10*((IF('Council Entry'!V$4="Logarithm",LN(0.001+IF(AND(ISNUMBER('Council Entry'!V$8),ISNUMBER('Council Entry'!V$9)),MAX(MIN('Council Entry'!V70,'Council Entry'!V$9),'Council Entry'!V$8),'Council Entry'!V70)),IF('Council Entry'!V$4="Exponential",EXP(IF(AND(ISNUMBER('Council Entry'!V$8),ISNUMBER('Council Entry'!V$9)),MAX(MIN('Council Entry'!V70,'Council Entry'!V$9),'Council Entry'!V$8),'Council Entry'!V70)),IF(AND(ISNUMBER('Council Entry'!V$8),ISNUMBER('Council Entry'!V$9)),MAX(MIN('Council Entry'!V70,'Council Entry'!V$9),'Council Entry'!V$8),'Council Entry'!V70))))-'Council Entry'!V$5)/('Council Entry'!V$6-'Council Entry'!V$5)),1))),"No data"))</f>
        <v/>
      </c>
      <c r="W70" s="13">
        <f>IF('Council Entry'!W70="","",IFERROR(MAX(0,MIN(10,ROUND(IF('Council Entry'!W$7="Decrease Risk",10-10*((IF('Council Entry'!W$4="Logarithm",LN(0.001+IF(AND(ISNUMBER('Council Entry'!W$8),ISNUMBER('Council Entry'!W$9)),MAX(MIN('Council Entry'!W70,'Council Entry'!W$9),'Council Entry'!W$8),'Council Entry'!W70)),IF('Council Entry'!W$4="Exponential",EXP(IF(AND(ISNUMBER('Council Entry'!W$8),ISNUMBER('Council Entry'!W$9)),MAX(MIN('Council Entry'!W70,'Council Entry'!W$9),'Council Entry'!W$8),'Council Entry'!W70)),IF(AND(ISNUMBER('Council Entry'!W$8),ISNUMBER('Council Entry'!W$9)),MAX(MIN('Council Entry'!W70,'Council Entry'!W$9),'Council Entry'!W$8),'Council Entry'!W70))))-'Council Entry'!W$5)/('Council Entry'!W$6-'Council Entry'!W$5),10*((IF('Council Entry'!W$4="Logarithm",LN(0.001+IF(AND(ISNUMBER('Council Entry'!W$8),ISNUMBER('Council Entry'!W$9)),MAX(MIN('Council Entry'!W70,'Council Entry'!W$9),'Council Entry'!W$8),'Council Entry'!W70)),IF('Council Entry'!W$4="Exponential",EXP(IF(AND(ISNUMBER('Council Entry'!W$8),ISNUMBER('Council Entry'!W$9)),MAX(MIN('Council Entry'!W70,'Council Entry'!W$9),'Council Entry'!W$8),'Council Entry'!W70)),IF(AND(ISNUMBER('Council Entry'!W$8),ISNUMBER('Council Entry'!W$9)),MAX(MIN('Council Entry'!W70,'Council Entry'!W$9),'Council Entry'!W$8),'Council Entry'!W70))))-'Council Entry'!W$5)/('Council Entry'!W$6-'Council Entry'!W$5)),1))),"No data"))</f>
        <v/>
      </c>
      <c r="X70" s="13">
        <f>IF('Council Entry'!X70="","",IFERROR(MAX(0,MIN(10,ROUND(IF('Council Entry'!X$7="Decrease Risk",10-10*((IF('Council Entry'!X$4="Logarithm",LN(0.001+IF(AND(ISNUMBER('Council Entry'!X$8),ISNUMBER('Council Entry'!X$9)),MAX(MIN('Council Entry'!X70,'Council Entry'!X$9),'Council Entry'!X$8),'Council Entry'!X70)),IF('Council Entry'!X$4="Exponential",EXP(IF(AND(ISNUMBER('Council Entry'!X$8),ISNUMBER('Council Entry'!X$9)),MAX(MIN('Council Entry'!X70,'Council Entry'!X$9),'Council Entry'!X$8),'Council Entry'!X70)),IF(AND(ISNUMBER('Council Entry'!X$8),ISNUMBER('Council Entry'!X$9)),MAX(MIN('Council Entry'!X70,'Council Entry'!X$9),'Council Entry'!X$8),'Council Entry'!X70))))-'Council Entry'!X$5)/('Council Entry'!X$6-'Council Entry'!X$5),10*((IF('Council Entry'!X$4="Logarithm",LN(0.001+IF(AND(ISNUMBER('Council Entry'!X$8),ISNUMBER('Council Entry'!X$9)),MAX(MIN('Council Entry'!X70,'Council Entry'!X$9),'Council Entry'!X$8),'Council Entry'!X70)),IF('Council Entry'!X$4="Exponential",EXP(IF(AND(ISNUMBER('Council Entry'!X$8),ISNUMBER('Council Entry'!X$9)),MAX(MIN('Council Entry'!X70,'Council Entry'!X$9),'Council Entry'!X$8),'Council Entry'!X70)),IF(AND(ISNUMBER('Council Entry'!X$8),ISNUMBER('Council Entry'!X$9)),MAX(MIN('Council Entry'!X70,'Council Entry'!X$9),'Council Entry'!X$8),'Council Entry'!X70))))-'Council Entry'!X$5)/('Council Entry'!X$6-'Council Entry'!X$5)),1))),"No data"))</f>
        <v/>
      </c>
      <c r="Y70" s="13">
        <f>IF('Council Entry'!Y70="","",IFERROR(MAX(0,MIN(10,ROUND(IF('Council Entry'!Y$7="Decrease Risk",10-10*((IF('Council Entry'!Y$4="Logarithm",LN(0.001+IF(AND(ISNUMBER('Council Entry'!Y$8),ISNUMBER('Council Entry'!Y$9)),MAX(MIN('Council Entry'!Y70,'Council Entry'!Y$9),'Council Entry'!Y$8),'Council Entry'!Y70)),IF('Council Entry'!Y$4="Exponential",EXP(IF(AND(ISNUMBER('Council Entry'!Y$8),ISNUMBER('Council Entry'!Y$9)),MAX(MIN('Council Entry'!Y70,'Council Entry'!Y$9),'Council Entry'!Y$8),'Council Entry'!Y70)),IF(AND(ISNUMBER('Council Entry'!Y$8),ISNUMBER('Council Entry'!Y$9)),MAX(MIN('Council Entry'!Y70,'Council Entry'!Y$9),'Council Entry'!Y$8),'Council Entry'!Y70))))-'Council Entry'!Y$5)/('Council Entry'!Y$6-'Council Entry'!Y$5),10*((IF('Council Entry'!Y$4="Logarithm",LN(0.001+IF(AND(ISNUMBER('Council Entry'!Y$8),ISNUMBER('Council Entry'!Y$9)),MAX(MIN('Council Entry'!Y70,'Council Entry'!Y$9),'Council Entry'!Y$8),'Council Entry'!Y70)),IF('Council Entry'!Y$4="Exponential",EXP(IF(AND(ISNUMBER('Council Entry'!Y$8),ISNUMBER('Council Entry'!Y$9)),MAX(MIN('Council Entry'!Y70,'Council Entry'!Y$9),'Council Entry'!Y$8),'Council Entry'!Y70)),IF(AND(ISNUMBER('Council Entry'!Y$8),ISNUMBER('Council Entry'!Y$9)),MAX(MIN('Council Entry'!Y70,'Council Entry'!Y$9),'Council Entry'!Y$8),'Council Entry'!Y70))))-'Council Entry'!Y$5)/('Council Entry'!Y$6-'Council Entry'!Y$5)),1))),"No data"))</f>
        <v/>
      </c>
      <c r="Z70" s="13">
        <f>IF('Council Entry'!Z70="","",IFERROR(MAX(0,MIN(10,ROUND(IF('Council Entry'!Z$7="Decrease Risk",10-10*((IF('Council Entry'!Z$4="Logarithm",LN(0.001+IF(AND(ISNUMBER('Council Entry'!Z$8),ISNUMBER('Council Entry'!Z$9)),MAX(MIN('Council Entry'!Z70,'Council Entry'!Z$9),'Council Entry'!Z$8),'Council Entry'!Z70)),IF('Council Entry'!Z$4="Exponential",EXP(IF(AND(ISNUMBER('Council Entry'!Z$8),ISNUMBER('Council Entry'!Z$9)),MAX(MIN('Council Entry'!Z70,'Council Entry'!Z$9),'Council Entry'!Z$8),'Council Entry'!Z70)),IF(AND(ISNUMBER('Council Entry'!Z$8),ISNUMBER('Council Entry'!Z$9)),MAX(MIN('Council Entry'!Z70,'Council Entry'!Z$9),'Council Entry'!Z$8),'Council Entry'!Z70))))-'Council Entry'!Z$5)/('Council Entry'!Z$6-'Council Entry'!Z$5),10*((IF('Council Entry'!Z$4="Logarithm",LN(0.001+IF(AND(ISNUMBER('Council Entry'!Z$8),ISNUMBER('Council Entry'!Z$9)),MAX(MIN('Council Entry'!Z70,'Council Entry'!Z$9),'Council Entry'!Z$8),'Council Entry'!Z70)),IF('Council Entry'!Z$4="Exponential",EXP(IF(AND(ISNUMBER('Council Entry'!Z$8),ISNUMBER('Council Entry'!Z$9)),MAX(MIN('Council Entry'!Z70,'Council Entry'!Z$9),'Council Entry'!Z$8),'Council Entry'!Z70)),IF(AND(ISNUMBER('Council Entry'!Z$8),ISNUMBER('Council Entry'!Z$9)),MAX(MIN('Council Entry'!Z70,'Council Entry'!Z$9),'Council Entry'!Z$8),'Council Entry'!Z70))))-'Council Entry'!Z$5)/('Council Entry'!Z$6-'Council Entry'!Z$5)),1))),"No data"))</f>
        <v/>
      </c>
      <c r="AA70" s="13">
        <f>IF('Council Entry'!AA70="","",IFERROR(MAX(0,MIN(10,ROUND(IF('Council Entry'!AA$7="Decrease Risk",10-10*((IF('Council Entry'!AA$4="Logarithm",LN(0.001+IF(AND(ISNUMBER('Council Entry'!AA$8),ISNUMBER('Council Entry'!AA$9)),MAX(MIN('Council Entry'!AA70,'Council Entry'!AA$9),'Council Entry'!AA$8),'Council Entry'!AA70)),IF('Council Entry'!AA$4="Exponential",EXP(IF(AND(ISNUMBER('Council Entry'!AA$8),ISNUMBER('Council Entry'!AA$9)),MAX(MIN('Council Entry'!AA70,'Council Entry'!AA$9),'Council Entry'!AA$8),'Council Entry'!AA70)),IF(AND(ISNUMBER('Council Entry'!AA$8),ISNUMBER('Council Entry'!AA$9)),MAX(MIN('Council Entry'!AA70,'Council Entry'!AA$9),'Council Entry'!AA$8),'Council Entry'!AA70))))-'Council Entry'!AA$5)/('Council Entry'!AA$6-'Council Entry'!AA$5),10*((IF('Council Entry'!AA$4="Logarithm",LN(0.001+IF(AND(ISNUMBER('Council Entry'!AA$8),ISNUMBER('Council Entry'!AA$9)),MAX(MIN('Council Entry'!AA70,'Council Entry'!AA$9),'Council Entry'!AA$8),'Council Entry'!AA70)),IF('Council Entry'!AA$4="Exponential",EXP(IF(AND(ISNUMBER('Council Entry'!AA$8),ISNUMBER('Council Entry'!AA$9)),MAX(MIN('Council Entry'!AA70,'Council Entry'!AA$9),'Council Entry'!AA$8),'Council Entry'!AA70)),IF(AND(ISNUMBER('Council Entry'!AA$8),ISNUMBER('Council Entry'!AA$9)),MAX(MIN('Council Entry'!AA70,'Council Entry'!AA$9),'Council Entry'!AA$8),'Council Entry'!AA70))))-'Council Entry'!AA$5)/('Council Entry'!AA$6-'Council Entry'!AA$5)),1))),"No data"))</f>
        <v/>
      </c>
      <c r="AB70" s="13">
        <f>IF('Council Entry'!AB70="","",IFERROR(MAX(0,MIN(10,ROUND(IF('Council Entry'!AB$7="Decrease Risk",10-10*((IF('Council Entry'!AB$4="Logarithm",LN(0.001+IF(AND(ISNUMBER('Council Entry'!AB$8),ISNUMBER('Council Entry'!AB$9)),MAX(MIN('Council Entry'!AB70,'Council Entry'!AB$9),'Council Entry'!AB$8),'Council Entry'!AB70)),IF('Council Entry'!AB$4="Exponential",EXP(IF(AND(ISNUMBER('Council Entry'!AB$8),ISNUMBER('Council Entry'!AB$9)),MAX(MIN('Council Entry'!AB70,'Council Entry'!AB$9),'Council Entry'!AB$8),'Council Entry'!AB70)),IF(AND(ISNUMBER('Council Entry'!AB$8),ISNUMBER('Council Entry'!AB$9)),MAX(MIN('Council Entry'!AB70,'Council Entry'!AB$9),'Council Entry'!AB$8),'Council Entry'!AB70))))-'Council Entry'!AB$5)/('Council Entry'!AB$6-'Council Entry'!AB$5),10*((IF('Council Entry'!AB$4="Logarithm",LN(0.001+IF(AND(ISNUMBER('Council Entry'!AB$8),ISNUMBER('Council Entry'!AB$9)),MAX(MIN('Council Entry'!AB70,'Council Entry'!AB$9),'Council Entry'!AB$8),'Council Entry'!AB70)),IF('Council Entry'!AB$4="Exponential",EXP(IF(AND(ISNUMBER('Council Entry'!AB$8),ISNUMBER('Council Entry'!AB$9)),MAX(MIN('Council Entry'!AB70,'Council Entry'!AB$9),'Council Entry'!AB$8),'Council Entry'!AB70)),IF(AND(ISNUMBER('Council Entry'!AB$8),ISNUMBER('Council Entry'!AB$9)),MAX(MIN('Council Entry'!AB70,'Council Entry'!AB$9),'Council Entry'!AB$8),'Council Entry'!AB70))))-'Council Entry'!AB$5)/('Council Entry'!AB$6-'Council Entry'!AB$5)),1))),"No data"))</f>
        <v/>
      </c>
      <c r="AC70" s="13">
        <f>IF('Council Entry'!AC70="","",IFERROR(MAX(0,MIN(10,ROUND(IF('Council Entry'!AC$7="Decrease Risk",10-10*((IF('Council Entry'!AC$4="Logarithm",LN(0.001+IF(AND(ISNUMBER('Council Entry'!AC$8),ISNUMBER('Council Entry'!AC$9)),MAX(MIN('Council Entry'!AC70,'Council Entry'!AC$9),'Council Entry'!AC$8),'Council Entry'!AC70)),IF('Council Entry'!AC$4="Exponential",EXP(IF(AND(ISNUMBER('Council Entry'!AC$8),ISNUMBER('Council Entry'!AC$9)),MAX(MIN('Council Entry'!AC70,'Council Entry'!AC$9),'Council Entry'!AC$8),'Council Entry'!AC70)),IF(AND(ISNUMBER('Council Entry'!AC$8),ISNUMBER('Council Entry'!AC$9)),MAX(MIN('Council Entry'!AC70,'Council Entry'!AC$9),'Council Entry'!AC$8),'Council Entry'!AC70))))-'Council Entry'!AC$5)/('Council Entry'!AC$6-'Council Entry'!AC$5),10*((IF('Council Entry'!AC$4="Logarithm",LN(0.001+IF(AND(ISNUMBER('Council Entry'!AC$8),ISNUMBER('Council Entry'!AC$9)),MAX(MIN('Council Entry'!AC70,'Council Entry'!AC$9),'Council Entry'!AC$8),'Council Entry'!AC70)),IF('Council Entry'!AC$4="Exponential",EXP(IF(AND(ISNUMBER('Council Entry'!AC$8),ISNUMBER('Council Entry'!AC$9)),MAX(MIN('Council Entry'!AC70,'Council Entry'!AC$9),'Council Entry'!AC$8),'Council Entry'!AC70)),IF(AND(ISNUMBER('Council Entry'!AC$8),ISNUMBER('Council Entry'!AC$9)),MAX(MIN('Council Entry'!AC70,'Council Entry'!AC$9),'Council Entry'!AC$8),'Council Entry'!AC70))))-'Council Entry'!AC$5)/('Council Entry'!AC$6-'Council Entry'!AC$5)),1))),"No data"))</f>
        <v/>
      </c>
      <c r="AD70" s="13">
        <f>IF('Council Entry'!AD70="","",IFERROR(MAX(0,MIN(10,ROUND(IF('Council Entry'!AD$7="Decrease Risk",10-10*((IF('Council Entry'!AD$4="Logarithm",LN(0.001+IF(AND(ISNUMBER('Council Entry'!AD$8),ISNUMBER('Council Entry'!AD$9)),MAX(MIN('Council Entry'!AD70,'Council Entry'!AD$9),'Council Entry'!AD$8),'Council Entry'!AD70)),IF('Council Entry'!AD$4="Exponential",EXP(IF(AND(ISNUMBER('Council Entry'!AD$8),ISNUMBER('Council Entry'!AD$9)),MAX(MIN('Council Entry'!AD70,'Council Entry'!AD$9),'Council Entry'!AD$8),'Council Entry'!AD70)),IF(AND(ISNUMBER('Council Entry'!AD$8),ISNUMBER('Council Entry'!AD$9)),MAX(MIN('Council Entry'!AD70,'Council Entry'!AD$9),'Council Entry'!AD$8),'Council Entry'!AD70))))-'Council Entry'!AD$5)/('Council Entry'!AD$6-'Council Entry'!AD$5),10*((IF('Council Entry'!AD$4="Logarithm",LN(0.001+IF(AND(ISNUMBER('Council Entry'!AD$8),ISNUMBER('Council Entry'!AD$9)),MAX(MIN('Council Entry'!AD70,'Council Entry'!AD$9),'Council Entry'!AD$8),'Council Entry'!AD70)),IF('Council Entry'!AD$4="Exponential",EXP(IF(AND(ISNUMBER('Council Entry'!AD$8),ISNUMBER('Council Entry'!AD$9)),MAX(MIN('Council Entry'!AD70,'Council Entry'!AD$9),'Council Entry'!AD$8),'Council Entry'!AD70)),IF(AND(ISNUMBER('Council Entry'!AD$8),ISNUMBER('Council Entry'!AD$9)),MAX(MIN('Council Entry'!AD70,'Council Entry'!AD$9),'Council Entry'!AD$8),'Council Entry'!AD70))))-'Council Entry'!AD$5)/('Council Entry'!AD$6-'Council Entry'!AD$5)),1))),"No data"))</f>
        <v/>
      </c>
      <c r="AE70" s="13">
        <f>IF('Council Entry'!AE70="","",IFERROR(MAX(0,MIN(10,ROUND(IF('Council Entry'!AE$7="Decrease Risk",10-10*((IF('Council Entry'!AE$4="Logarithm",LN(0.001+IF(AND(ISNUMBER('Council Entry'!AE$8),ISNUMBER('Council Entry'!AE$9)),MAX(MIN('Council Entry'!AE70,'Council Entry'!AE$9),'Council Entry'!AE$8),'Council Entry'!AE70)),IF('Council Entry'!AE$4="Exponential",EXP(IF(AND(ISNUMBER('Council Entry'!AE$8),ISNUMBER('Council Entry'!AE$9)),MAX(MIN('Council Entry'!AE70,'Council Entry'!AE$9),'Council Entry'!AE$8),'Council Entry'!AE70)),IF(AND(ISNUMBER('Council Entry'!AE$8),ISNUMBER('Council Entry'!AE$9)),MAX(MIN('Council Entry'!AE70,'Council Entry'!AE$9),'Council Entry'!AE$8),'Council Entry'!AE70))))-'Council Entry'!AE$5)/('Council Entry'!AE$6-'Council Entry'!AE$5),10*((IF('Council Entry'!AE$4="Logarithm",LN(0.001+IF(AND(ISNUMBER('Council Entry'!AE$8),ISNUMBER('Council Entry'!AE$9)),MAX(MIN('Council Entry'!AE70,'Council Entry'!AE$9),'Council Entry'!AE$8),'Council Entry'!AE70)),IF('Council Entry'!AE$4="Exponential",EXP(IF(AND(ISNUMBER('Council Entry'!AE$8),ISNUMBER('Council Entry'!AE$9)),MAX(MIN('Council Entry'!AE70,'Council Entry'!AE$9),'Council Entry'!AE$8),'Council Entry'!AE70)),IF(AND(ISNUMBER('Council Entry'!AE$8),ISNUMBER('Council Entry'!AE$9)),MAX(MIN('Council Entry'!AE70,'Council Entry'!AE$9),'Council Entry'!AE$8),'Council Entry'!AE70))))-'Council Entry'!AE$5)/('Council Entry'!AE$6-'Council Entry'!AE$5)),1))),"No data"))</f>
        <v/>
      </c>
      <c r="AF70" s="13">
        <f>IF('Council Entry'!AF70="","",IFERROR(MAX(0,MIN(10,ROUND(IF('Council Entry'!AF$7="Decrease Risk",10-10*((IF('Council Entry'!AF$4="Logarithm",LN(0.001+IF(AND(ISNUMBER('Council Entry'!AF$8),ISNUMBER('Council Entry'!AF$9)),MAX(MIN('Council Entry'!AF70,'Council Entry'!AF$9),'Council Entry'!AF$8),'Council Entry'!AF70)),IF('Council Entry'!AF$4="Exponential",EXP(IF(AND(ISNUMBER('Council Entry'!AF$8),ISNUMBER('Council Entry'!AF$9)),MAX(MIN('Council Entry'!AF70,'Council Entry'!AF$9),'Council Entry'!AF$8),'Council Entry'!AF70)),IF(AND(ISNUMBER('Council Entry'!AF$8),ISNUMBER('Council Entry'!AF$9)),MAX(MIN('Council Entry'!AF70,'Council Entry'!AF$9),'Council Entry'!AF$8),'Council Entry'!AF70))))-'Council Entry'!AF$5)/('Council Entry'!AF$6-'Council Entry'!AF$5),10*((IF('Council Entry'!AF$4="Logarithm",LN(0.001+IF(AND(ISNUMBER('Council Entry'!AF$8),ISNUMBER('Council Entry'!AF$9)),MAX(MIN('Council Entry'!AF70,'Council Entry'!AF$9),'Council Entry'!AF$8),'Council Entry'!AF70)),IF('Council Entry'!AF$4="Exponential",EXP(IF(AND(ISNUMBER('Council Entry'!AF$8),ISNUMBER('Council Entry'!AF$9)),MAX(MIN('Council Entry'!AF70,'Council Entry'!AF$9),'Council Entry'!AF$8),'Council Entry'!AF70)),IF(AND(ISNUMBER('Council Entry'!AF$8),ISNUMBER('Council Entry'!AF$9)),MAX(MIN('Council Entry'!AF70,'Council Entry'!AF$9),'Council Entry'!AF$8),'Council Entry'!AF70))))-'Council Entry'!AF$5)/('Council Entry'!AF$6-'Council Entry'!AF$5)),1))),"No data"))</f>
        <v/>
      </c>
      <c r="AG70" s="13">
        <f>IF('Council Entry'!AG70="","",IFERROR(MAX(0,MIN(10,ROUND(IF('Council Entry'!AG$7="Decrease Risk",10-10*((IF('Council Entry'!AG$4="Logarithm",LN(0.001+IF(AND(ISNUMBER('Council Entry'!AG$8),ISNUMBER('Council Entry'!AG$9)),MAX(MIN('Council Entry'!AG70,'Council Entry'!AG$9),'Council Entry'!AG$8),'Council Entry'!AG70)),IF('Council Entry'!AG$4="Exponential",EXP(IF(AND(ISNUMBER('Council Entry'!AG$8),ISNUMBER('Council Entry'!AG$9)),MAX(MIN('Council Entry'!AG70,'Council Entry'!AG$9),'Council Entry'!AG$8),'Council Entry'!AG70)),IF(AND(ISNUMBER('Council Entry'!AG$8),ISNUMBER('Council Entry'!AG$9)),MAX(MIN('Council Entry'!AG70,'Council Entry'!AG$9),'Council Entry'!AG$8),'Council Entry'!AG70))))-'Council Entry'!AG$5)/('Council Entry'!AG$6-'Council Entry'!AG$5),10*((IF('Council Entry'!AG$4="Logarithm",LN(0.001+IF(AND(ISNUMBER('Council Entry'!AG$8),ISNUMBER('Council Entry'!AG$9)),MAX(MIN('Council Entry'!AG70,'Council Entry'!AG$9),'Council Entry'!AG$8),'Council Entry'!AG70)),IF('Council Entry'!AG$4="Exponential",EXP(IF(AND(ISNUMBER('Council Entry'!AG$8),ISNUMBER('Council Entry'!AG$9)),MAX(MIN('Council Entry'!AG70,'Council Entry'!AG$9),'Council Entry'!AG$8),'Council Entry'!AG70)),IF(AND(ISNUMBER('Council Entry'!AG$8),ISNUMBER('Council Entry'!AG$9)),MAX(MIN('Council Entry'!AG70,'Council Entry'!AG$9),'Council Entry'!AG$8),'Council Entry'!AG70))))-'Council Entry'!AG$5)/('Council Entry'!AG$6-'Council Entry'!AG$5)),1))),"No data"))</f>
        <v/>
      </c>
      <c r="AH70" s="13">
        <f>IF('Council Entry'!AH70="","",IFERROR(MAX(0,MIN(10,ROUND(IF('Council Entry'!AH$7="Decrease Risk",10-10*((IF('Council Entry'!AH$4="Logarithm",LN(0.001+IF(AND(ISNUMBER('Council Entry'!AH$8),ISNUMBER('Council Entry'!AH$9)),MAX(MIN('Council Entry'!AH70,'Council Entry'!AH$9),'Council Entry'!AH$8),'Council Entry'!AH70)),IF('Council Entry'!AH$4="Exponential",EXP(IF(AND(ISNUMBER('Council Entry'!AH$8),ISNUMBER('Council Entry'!AH$9)),MAX(MIN('Council Entry'!AH70,'Council Entry'!AH$9),'Council Entry'!AH$8),'Council Entry'!AH70)),IF(AND(ISNUMBER('Council Entry'!AH$8),ISNUMBER('Council Entry'!AH$9)),MAX(MIN('Council Entry'!AH70,'Council Entry'!AH$9),'Council Entry'!AH$8),'Council Entry'!AH70))))-'Council Entry'!AH$5)/('Council Entry'!AH$6-'Council Entry'!AH$5),10*((IF('Council Entry'!AH$4="Logarithm",LN(0.001+IF(AND(ISNUMBER('Council Entry'!AH$8),ISNUMBER('Council Entry'!AH$9)),MAX(MIN('Council Entry'!AH70,'Council Entry'!AH$9),'Council Entry'!AH$8),'Council Entry'!AH70)),IF('Council Entry'!AH$4="Exponential",EXP(IF(AND(ISNUMBER('Council Entry'!AH$8),ISNUMBER('Council Entry'!AH$9)),MAX(MIN('Council Entry'!AH70,'Council Entry'!AH$9),'Council Entry'!AH$8),'Council Entry'!AH70)),IF(AND(ISNUMBER('Council Entry'!AH$8),ISNUMBER('Council Entry'!AH$9)),MAX(MIN('Council Entry'!AH70,'Council Entry'!AH$9),'Council Entry'!AH$8),'Council Entry'!AH70))))-'Council Entry'!AH$5)/('Council Entry'!AH$6-'Council Entry'!AH$5)),1))),"No data"))</f>
        <v/>
      </c>
      <c r="AI70" s="13">
        <f>IF('Council Entry'!AI70="","",IFERROR(MAX(0,MIN(10,ROUND(IF('Council Entry'!AI$7="Decrease Risk",10-10*((IF('Council Entry'!AI$4="Logarithm",LN(0.001+IF(AND(ISNUMBER('Council Entry'!AI$8),ISNUMBER('Council Entry'!AI$9)),MAX(MIN('Council Entry'!AI70,'Council Entry'!AI$9),'Council Entry'!AI$8),'Council Entry'!AI70)),IF('Council Entry'!AI$4="Exponential",EXP(IF(AND(ISNUMBER('Council Entry'!AI$8),ISNUMBER('Council Entry'!AI$9)),MAX(MIN('Council Entry'!AI70,'Council Entry'!AI$9),'Council Entry'!AI$8),'Council Entry'!AI70)),IF(AND(ISNUMBER('Council Entry'!AI$8),ISNUMBER('Council Entry'!AI$9)),MAX(MIN('Council Entry'!AI70,'Council Entry'!AI$9),'Council Entry'!AI$8),'Council Entry'!AI70))))-'Council Entry'!AI$5)/('Council Entry'!AI$6-'Council Entry'!AI$5),10*((IF('Council Entry'!AI$4="Logarithm",LN(0.001+IF(AND(ISNUMBER('Council Entry'!AI$8),ISNUMBER('Council Entry'!AI$9)),MAX(MIN('Council Entry'!AI70,'Council Entry'!AI$9),'Council Entry'!AI$8),'Council Entry'!AI70)),IF('Council Entry'!AI$4="Exponential",EXP(IF(AND(ISNUMBER('Council Entry'!AI$8),ISNUMBER('Council Entry'!AI$9)),MAX(MIN('Council Entry'!AI70,'Council Entry'!AI$9),'Council Entry'!AI$8),'Council Entry'!AI70)),IF(AND(ISNUMBER('Council Entry'!AI$8),ISNUMBER('Council Entry'!AI$9)),MAX(MIN('Council Entry'!AI70,'Council Entry'!AI$9),'Council Entry'!AI$8),'Council Entry'!AI70))))-'Council Entry'!AI$5)/('Council Entry'!AI$6-'Council Entry'!AI$5)),1))),"No data"))</f>
        <v/>
      </c>
      <c r="AJ70" s="13">
        <f>IF('Council Entry'!AJ70="","",IFERROR(MAX(0,MIN(10,ROUND(IF('Council Entry'!AJ$7="Decrease Risk",10-10*((IF('Council Entry'!AJ$4="Logarithm",LN(0.001+IF(AND(ISNUMBER('Council Entry'!AJ$8),ISNUMBER('Council Entry'!AJ$9)),MAX(MIN('Council Entry'!AJ70,'Council Entry'!AJ$9),'Council Entry'!AJ$8),'Council Entry'!AJ70)),IF('Council Entry'!AJ$4="Exponential",EXP(IF(AND(ISNUMBER('Council Entry'!AJ$8),ISNUMBER('Council Entry'!AJ$9)),MAX(MIN('Council Entry'!AJ70,'Council Entry'!AJ$9),'Council Entry'!AJ$8),'Council Entry'!AJ70)),IF(AND(ISNUMBER('Council Entry'!AJ$8),ISNUMBER('Council Entry'!AJ$9)),MAX(MIN('Council Entry'!AJ70,'Council Entry'!AJ$9),'Council Entry'!AJ$8),'Council Entry'!AJ70))))-'Council Entry'!AJ$5)/('Council Entry'!AJ$6-'Council Entry'!AJ$5),10*((IF('Council Entry'!AJ$4="Logarithm",LN(0.001+IF(AND(ISNUMBER('Council Entry'!AJ$8),ISNUMBER('Council Entry'!AJ$9)),MAX(MIN('Council Entry'!AJ70,'Council Entry'!AJ$9),'Council Entry'!AJ$8),'Council Entry'!AJ70)),IF('Council Entry'!AJ$4="Exponential",EXP(IF(AND(ISNUMBER('Council Entry'!AJ$8),ISNUMBER('Council Entry'!AJ$9)),MAX(MIN('Council Entry'!AJ70,'Council Entry'!AJ$9),'Council Entry'!AJ$8),'Council Entry'!AJ70)),IF(AND(ISNUMBER('Council Entry'!AJ$8),ISNUMBER('Council Entry'!AJ$9)),MAX(MIN('Council Entry'!AJ70,'Council Entry'!AJ$9),'Council Entry'!AJ$8),'Council Entry'!AJ70))))-'Council Entry'!AJ$5)/('Council Entry'!AJ$6-'Council Entry'!AJ$5)),1))),"No data"))</f>
        <v/>
      </c>
      <c r="AK70" s="13">
        <f>IF('Council Entry'!AK70="","",IFERROR(MAX(0,MIN(10,ROUND(IF('Council Entry'!AK$7="Decrease Risk",10-10*((IF('Council Entry'!AK$4="Logarithm",LN(0.001+IF(AND(ISNUMBER('Council Entry'!AK$8),ISNUMBER('Council Entry'!AK$9)),MAX(MIN('Council Entry'!AK70,'Council Entry'!AK$9),'Council Entry'!AK$8),'Council Entry'!AK70)),IF('Council Entry'!AK$4="Exponential",EXP(IF(AND(ISNUMBER('Council Entry'!AK$8),ISNUMBER('Council Entry'!AK$9)),MAX(MIN('Council Entry'!AK70,'Council Entry'!AK$9),'Council Entry'!AK$8),'Council Entry'!AK70)),IF(AND(ISNUMBER('Council Entry'!AK$8),ISNUMBER('Council Entry'!AK$9)),MAX(MIN('Council Entry'!AK70,'Council Entry'!AK$9),'Council Entry'!AK$8),'Council Entry'!AK70))))-'Council Entry'!AK$5)/('Council Entry'!AK$6-'Council Entry'!AK$5),10*((IF('Council Entry'!AK$4="Logarithm",LN(0.001+IF(AND(ISNUMBER('Council Entry'!AK$8),ISNUMBER('Council Entry'!AK$9)),MAX(MIN('Council Entry'!AK70,'Council Entry'!AK$9),'Council Entry'!AK$8),'Council Entry'!AK70)),IF('Council Entry'!AK$4="Exponential",EXP(IF(AND(ISNUMBER('Council Entry'!AK$8),ISNUMBER('Council Entry'!AK$9)),MAX(MIN('Council Entry'!AK70,'Council Entry'!AK$9),'Council Entry'!AK$8),'Council Entry'!AK70)),IF(AND(ISNUMBER('Council Entry'!AK$8),ISNUMBER('Council Entry'!AK$9)),MAX(MIN('Council Entry'!AK70,'Council Entry'!AK$9),'Council Entry'!AK$8),'Council Entry'!AK70))))-'Council Entry'!AK$5)/('Council Entry'!AK$6-'Council Entry'!AK$5)),1))),"No data"))</f>
        <v/>
      </c>
      <c r="AL70" s="13">
        <f>IF('Council Entry'!AL70="","",IFERROR(MAX(0,MIN(10,ROUND(IF('Council Entry'!AL$7="Decrease Risk",10-10*((IF('Council Entry'!AL$4="Logarithm",LN(0.001+IF(AND(ISNUMBER('Council Entry'!AL$8),ISNUMBER('Council Entry'!AL$9)),MAX(MIN('Council Entry'!AL70,'Council Entry'!AL$9),'Council Entry'!AL$8),'Council Entry'!AL70)),IF('Council Entry'!AL$4="Exponential",EXP(IF(AND(ISNUMBER('Council Entry'!AL$8),ISNUMBER('Council Entry'!AL$9)),MAX(MIN('Council Entry'!AL70,'Council Entry'!AL$9),'Council Entry'!AL$8),'Council Entry'!AL70)),IF(AND(ISNUMBER('Council Entry'!AL$8),ISNUMBER('Council Entry'!AL$9)),MAX(MIN('Council Entry'!AL70,'Council Entry'!AL$9),'Council Entry'!AL$8),'Council Entry'!AL70))))-'Council Entry'!AL$5)/('Council Entry'!AL$6-'Council Entry'!AL$5),10*((IF('Council Entry'!AL$4="Logarithm",LN(0.001+IF(AND(ISNUMBER('Council Entry'!AL$8),ISNUMBER('Council Entry'!AL$9)),MAX(MIN('Council Entry'!AL70,'Council Entry'!AL$9),'Council Entry'!AL$8),'Council Entry'!AL70)),IF('Council Entry'!AL$4="Exponential",EXP(IF(AND(ISNUMBER('Council Entry'!AL$8),ISNUMBER('Council Entry'!AL$9)),MAX(MIN('Council Entry'!AL70,'Council Entry'!AL$9),'Council Entry'!AL$8),'Council Entry'!AL70)),IF(AND(ISNUMBER('Council Entry'!AL$8),ISNUMBER('Council Entry'!AL$9)),MAX(MIN('Council Entry'!AL70,'Council Entry'!AL$9),'Council Entry'!AL$8),'Council Entry'!AL70))))-'Council Entry'!AL$5)/('Council Entry'!AL$6-'Council Entry'!AL$5)),1))),"No data"))</f>
        <v/>
      </c>
      <c r="AM70" s="13">
        <f>IF('Council Entry'!AM70="","",IFERROR(MAX(0,MIN(10,ROUND(IF('Council Entry'!AM$7="Decrease Risk",10-10*((IF('Council Entry'!AM$4="Logarithm",LN(0.001+IF(AND(ISNUMBER('Council Entry'!AM$8),ISNUMBER('Council Entry'!AM$9)),MAX(MIN('Council Entry'!AM70,'Council Entry'!AM$9),'Council Entry'!AM$8),'Council Entry'!AM70)),IF('Council Entry'!AM$4="Exponential",EXP(IF(AND(ISNUMBER('Council Entry'!AM$8),ISNUMBER('Council Entry'!AM$9)),MAX(MIN('Council Entry'!AM70,'Council Entry'!AM$9),'Council Entry'!AM$8),'Council Entry'!AM70)),IF(AND(ISNUMBER('Council Entry'!AM$8),ISNUMBER('Council Entry'!AM$9)),MAX(MIN('Council Entry'!AM70,'Council Entry'!AM$9),'Council Entry'!AM$8),'Council Entry'!AM70))))-'Council Entry'!AM$5)/('Council Entry'!AM$6-'Council Entry'!AM$5),10*((IF('Council Entry'!AM$4="Logarithm",LN(0.001+IF(AND(ISNUMBER('Council Entry'!AM$8),ISNUMBER('Council Entry'!AM$9)),MAX(MIN('Council Entry'!AM70,'Council Entry'!AM$9),'Council Entry'!AM$8),'Council Entry'!AM70)),IF('Council Entry'!AM$4="Exponential",EXP(IF(AND(ISNUMBER('Council Entry'!AM$8),ISNUMBER('Council Entry'!AM$9)),MAX(MIN('Council Entry'!AM70,'Council Entry'!AM$9),'Council Entry'!AM$8),'Council Entry'!AM70)),IF(AND(ISNUMBER('Council Entry'!AM$8),ISNUMBER('Council Entry'!AM$9)),MAX(MIN('Council Entry'!AM70,'Council Entry'!AM$9),'Council Entry'!AM$8),'Council Entry'!AM70))))-'Council Entry'!AM$5)/('Council Entry'!AM$6-'Council Entry'!AM$5)),1))),"No data"))</f>
        <v/>
      </c>
      <c r="AN70" s="13">
        <f>IF('Council Entry'!AN70="","",IFERROR(MAX(0,MIN(10,ROUND(IF('Council Entry'!AN$7="Decrease Risk",10-10*((IF('Council Entry'!AN$4="Logarithm",LN(0.001+IF(AND(ISNUMBER('Council Entry'!AN$8),ISNUMBER('Council Entry'!AN$9)),MAX(MIN('Council Entry'!AN70,'Council Entry'!AN$9),'Council Entry'!AN$8),'Council Entry'!AN70)),IF('Council Entry'!AN$4="Exponential",EXP(IF(AND(ISNUMBER('Council Entry'!AN$8),ISNUMBER('Council Entry'!AN$9)),MAX(MIN('Council Entry'!AN70,'Council Entry'!AN$9),'Council Entry'!AN$8),'Council Entry'!AN70)),IF(AND(ISNUMBER('Council Entry'!AN$8),ISNUMBER('Council Entry'!AN$9)),MAX(MIN('Council Entry'!AN70,'Council Entry'!AN$9),'Council Entry'!AN$8),'Council Entry'!AN70))))-'Council Entry'!AN$5)/('Council Entry'!AN$6-'Council Entry'!AN$5),10*((IF('Council Entry'!AN$4="Logarithm",LN(0.001+IF(AND(ISNUMBER('Council Entry'!AN$8),ISNUMBER('Council Entry'!AN$9)),MAX(MIN('Council Entry'!AN70,'Council Entry'!AN$9),'Council Entry'!AN$8),'Council Entry'!AN70)),IF('Council Entry'!AN$4="Exponential",EXP(IF(AND(ISNUMBER('Council Entry'!AN$8),ISNUMBER('Council Entry'!AN$9)),MAX(MIN('Council Entry'!AN70,'Council Entry'!AN$9),'Council Entry'!AN$8),'Council Entry'!AN70)),IF(AND(ISNUMBER('Council Entry'!AN$8),ISNUMBER('Council Entry'!AN$9)),MAX(MIN('Council Entry'!AN70,'Council Entry'!AN$9),'Council Entry'!AN$8),'Council Entry'!AN70))))-'Council Entry'!AN$5)/('Council Entry'!AN$6-'Council Entry'!AN$5)),1))),"No data"))</f>
        <v/>
      </c>
      <c r="AO70" s="13">
        <f>IF('Council Entry'!AO70="","",IFERROR(MAX(0,MIN(10,ROUND(IF('Council Entry'!AO$7="Decrease Risk",10-10*((IF('Council Entry'!AO$4="Logarithm",LN(0.001+IF(AND(ISNUMBER('Council Entry'!AO$8),ISNUMBER('Council Entry'!AO$9)),MAX(MIN('Council Entry'!AO70,'Council Entry'!AO$9),'Council Entry'!AO$8),'Council Entry'!AO70)),IF('Council Entry'!AO$4="Exponential",EXP(IF(AND(ISNUMBER('Council Entry'!AO$8),ISNUMBER('Council Entry'!AO$9)),MAX(MIN('Council Entry'!AO70,'Council Entry'!AO$9),'Council Entry'!AO$8),'Council Entry'!AO70)),IF(AND(ISNUMBER('Council Entry'!AO$8),ISNUMBER('Council Entry'!AO$9)),MAX(MIN('Council Entry'!AO70,'Council Entry'!AO$9),'Council Entry'!AO$8),'Council Entry'!AO70))))-'Council Entry'!AO$5)/('Council Entry'!AO$6-'Council Entry'!AO$5),10*((IF('Council Entry'!AO$4="Logarithm",LN(0.001+IF(AND(ISNUMBER('Council Entry'!AO$8),ISNUMBER('Council Entry'!AO$9)),MAX(MIN('Council Entry'!AO70,'Council Entry'!AO$9),'Council Entry'!AO$8),'Council Entry'!AO70)),IF('Council Entry'!AO$4="Exponential",EXP(IF(AND(ISNUMBER('Council Entry'!AO$8),ISNUMBER('Council Entry'!AO$9)),MAX(MIN('Council Entry'!AO70,'Council Entry'!AO$9),'Council Entry'!AO$8),'Council Entry'!AO70)),IF(AND(ISNUMBER('Council Entry'!AO$8),ISNUMBER('Council Entry'!AO$9)),MAX(MIN('Council Entry'!AO70,'Council Entry'!AO$9),'Council Entry'!AO$8),'Council Entry'!AO70))))-'Council Entry'!AO$5)/('Council Entry'!AO$6-'Council Entry'!AO$5)),1))),"No data"))</f>
        <v/>
      </c>
      <c r="AP70" s="13">
        <f>IF('Council Entry'!AP70="","",IFERROR(MAX(0,MIN(10,ROUND(IF('Council Entry'!AP$7="Decrease Risk",10-10*((IF('Council Entry'!AP$4="Logarithm",LN(0.001+IF(AND(ISNUMBER('Council Entry'!AP$8),ISNUMBER('Council Entry'!AP$9)),MAX(MIN('Council Entry'!AP70,'Council Entry'!AP$9),'Council Entry'!AP$8),'Council Entry'!AP70)),IF('Council Entry'!AP$4="Exponential",EXP(IF(AND(ISNUMBER('Council Entry'!AP$8),ISNUMBER('Council Entry'!AP$9)),MAX(MIN('Council Entry'!AP70,'Council Entry'!AP$9),'Council Entry'!AP$8),'Council Entry'!AP70)),IF(AND(ISNUMBER('Council Entry'!AP$8),ISNUMBER('Council Entry'!AP$9)),MAX(MIN('Council Entry'!AP70,'Council Entry'!AP$9),'Council Entry'!AP$8),'Council Entry'!AP70))))-'Council Entry'!AP$5)/('Council Entry'!AP$6-'Council Entry'!AP$5),10*((IF('Council Entry'!AP$4="Logarithm",LN(0.001+IF(AND(ISNUMBER('Council Entry'!AP$8),ISNUMBER('Council Entry'!AP$9)),MAX(MIN('Council Entry'!AP70,'Council Entry'!AP$9),'Council Entry'!AP$8),'Council Entry'!AP70)),IF('Council Entry'!AP$4="Exponential",EXP(IF(AND(ISNUMBER('Council Entry'!AP$8),ISNUMBER('Council Entry'!AP$9)),MAX(MIN('Council Entry'!AP70,'Council Entry'!AP$9),'Council Entry'!AP$8),'Council Entry'!AP70)),IF(AND(ISNUMBER('Council Entry'!AP$8),ISNUMBER('Council Entry'!AP$9)),MAX(MIN('Council Entry'!AP70,'Council Entry'!AP$9),'Council Entry'!AP$8),'Council Entry'!AP70))))-'Council Entry'!AP$5)/('Council Entry'!AP$6-'Council Entry'!AP$5)),1))),"No data"))</f>
        <v/>
      </c>
      <c r="AQ70" s="13">
        <f>IF('Council Entry'!AQ70="","",IFERROR(MAX(0,MIN(10,ROUND(IF('Council Entry'!AQ$7="Decrease Risk",10-10*((IF('Council Entry'!AQ$4="Logarithm",LN(0.001+IF(AND(ISNUMBER('Council Entry'!AQ$8),ISNUMBER('Council Entry'!AQ$9)),MAX(MIN('Council Entry'!AQ70,'Council Entry'!AQ$9),'Council Entry'!AQ$8),'Council Entry'!AQ70)),IF('Council Entry'!AQ$4="Exponential",EXP(IF(AND(ISNUMBER('Council Entry'!AQ$8),ISNUMBER('Council Entry'!AQ$9)),MAX(MIN('Council Entry'!AQ70,'Council Entry'!AQ$9),'Council Entry'!AQ$8),'Council Entry'!AQ70)),IF(AND(ISNUMBER('Council Entry'!AQ$8),ISNUMBER('Council Entry'!AQ$9)),MAX(MIN('Council Entry'!AQ70,'Council Entry'!AQ$9),'Council Entry'!AQ$8),'Council Entry'!AQ70))))-'Council Entry'!AQ$5)/('Council Entry'!AQ$6-'Council Entry'!AQ$5),10*((IF('Council Entry'!AQ$4="Logarithm",LN(0.001+IF(AND(ISNUMBER('Council Entry'!AQ$8),ISNUMBER('Council Entry'!AQ$9)),MAX(MIN('Council Entry'!AQ70,'Council Entry'!AQ$9),'Council Entry'!AQ$8),'Council Entry'!AQ70)),IF('Council Entry'!AQ$4="Exponential",EXP(IF(AND(ISNUMBER('Council Entry'!AQ$8),ISNUMBER('Council Entry'!AQ$9)),MAX(MIN('Council Entry'!AQ70,'Council Entry'!AQ$9),'Council Entry'!AQ$8),'Council Entry'!AQ70)),IF(AND(ISNUMBER('Council Entry'!AQ$8),ISNUMBER('Council Entry'!AQ$9)),MAX(MIN('Council Entry'!AQ70,'Council Entry'!AQ$9),'Council Entry'!AQ$8),'Council Entry'!AQ70))))-'Council Entry'!AQ$5)/('Council Entry'!AQ$6-'Council Entry'!AQ$5)),1))),"No data"))</f>
        <v/>
      </c>
      <c r="AR70" s="13">
        <f>IF('Council Entry'!AR70="","",IFERROR(MAX(0,MIN(10,ROUND(IF('Council Entry'!AR$7="Decrease Risk",10-10*((IF('Council Entry'!AR$4="Logarithm",LN(0.001+IF(AND(ISNUMBER('Council Entry'!AR$8),ISNUMBER('Council Entry'!AR$9)),MAX(MIN('Council Entry'!AR70,'Council Entry'!AR$9),'Council Entry'!AR$8),'Council Entry'!AR70)),IF('Council Entry'!AR$4="Exponential",EXP(IF(AND(ISNUMBER('Council Entry'!AR$8),ISNUMBER('Council Entry'!AR$9)),MAX(MIN('Council Entry'!AR70,'Council Entry'!AR$9),'Council Entry'!AR$8),'Council Entry'!AR70)),IF(AND(ISNUMBER('Council Entry'!AR$8),ISNUMBER('Council Entry'!AR$9)),MAX(MIN('Council Entry'!AR70,'Council Entry'!AR$9),'Council Entry'!AR$8),'Council Entry'!AR70))))-'Council Entry'!AR$5)/('Council Entry'!AR$6-'Council Entry'!AR$5),10*((IF('Council Entry'!AR$4="Logarithm",LN(0.001+IF(AND(ISNUMBER('Council Entry'!AR$8),ISNUMBER('Council Entry'!AR$9)),MAX(MIN('Council Entry'!AR70,'Council Entry'!AR$9),'Council Entry'!AR$8),'Council Entry'!AR70)),IF('Council Entry'!AR$4="Exponential",EXP(IF(AND(ISNUMBER('Council Entry'!AR$8),ISNUMBER('Council Entry'!AR$9)),MAX(MIN('Council Entry'!AR70,'Council Entry'!AR$9),'Council Entry'!AR$8),'Council Entry'!AR70)),IF(AND(ISNUMBER('Council Entry'!AR$8),ISNUMBER('Council Entry'!AR$9)),MAX(MIN('Council Entry'!AR70,'Council Entry'!AR$9),'Council Entry'!AR$8),'Council Entry'!AR70))))-'Council Entry'!AR$5)/('Council Entry'!AR$6-'Council Entry'!AR$5)),1))),"No data"))</f>
        <v/>
      </c>
      <c r="AS70" s="13">
        <f>IF('Council Entry'!AS70="","",IFERROR(MAX(0,MIN(10,ROUND(IF('Council Entry'!AS$7="Decrease Risk",10-10*((IF('Council Entry'!AS$4="Logarithm",LN(0.001+IF(AND(ISNUMBER('Council Entry'!AS$8),ISNUMBER('Council Entry'!AS$9)),MAX(MIN('Council Entry'!AS70,'Council Entry'!AS$9),'Council Entry'!AS$8),'Council Entry'!AS70)),IF('Council Entry'!AS$4="Exponential",EXP(IF(AND(ISNUMBER('Council Entry'!AS$8),ISNUMBER('Council Entry'!AS$9)),MAX(MIN('Council Entry'!AS70,'Council Entry'!AS$9),'Council Entry'!AS$8),'Council Entry'!AS70)),IF(AND(ISNUMBER('Council Entry'!AS$8),ISNUMBER('Council Entry'!AS$9)),MAX(MIN('Council Entry'!AS70,'Council Entry'!AS$9),'Council Entry'!AS$8),'Council Entry'!AS70))))-'Council Entry'!AS$5)/('Council Entry'!AS$6-'Council Entry'!AS$5),10*((IF('Council Entry'!AS$4="Logarithm",LN(0.001+IF(AND(ISNUMBER('Council Entry'!AS$8),ISNUMBER('Council Entry'!AS$9)),MAX(MIN('Council Entry'!AS70,'Council Entry'!AS$9),'Council Entry'!AS$8),'Council Entry'!AS70)),IF('Council Entry'!AS$4="Exponential",EXP(IF(AND(ISNUMBER('Council Entry'!AS$8),ISNUMBER('Council Entry'!AS$9)),MAX(MIN('Council Entry'!AS70,'Council Entry'!AS$9),'Council Entry'!AS$8),'Council Entry'!AS70)),IF(AND(ISNUMBER('Council Entry'!AS$8),ISNUMBER('Council Entry'!AS$9)),MAX(MIN('Council Entry'!AS70,'Council Entry'!AS$9),'Council Entry'!AS$8),'Council Entry'!AS70))))-'Council Entry'!AS$5)/('Council Entry'!AS$6-'Council Entry'!AS$5)),1))),"No data"))</f>
        <v/>
      </c>
      <c r="AT70" s="13">
        <f>IF('Council Entry'!AT70="","",IFERROR(MAX(0,MIN(10,ROUND(IF('Council Entry'!AT$7="Decrease Risk",10-10*((IF('Council Entry'!AT$4="Logarithm",LN(0.001+IF(AND(ISNUMBER('Council Entry'!AT$8),ISNUMBER('Council Entry'!AT$9)),MAX(MIN('Council Entry'!AT70,'Council Entry'!AT$9),'Council Entry'!AT$8),'Council Entry'!AT70)),IF('Council Entry'!AT$4="Exponential",EXP(IF(AND(ISNUMBER('Council Entry'!AT$8),ISNUMBER('Council Entry'!AT$9)),MAX(MIN('Council Entry'!AT70,'Council Entry'!AT$9),'Council Entry'!AT$8),'Council Entry'!AT70)),IF(AND(ISNUMBER('Council Entry'!AT$8),ISNUMBER('Council Entry'!AT$9)),MAX(MIN('Council Entry'!AT70,'Council Entry'!AT$9),'Council Entry'!AT$8),'Council Entry'!AT70))))-'Council Entry'!AT$5)/('Council Entry'!AT$6-'Council Entry'!AT$5),10*((IF('Council Entry'!AT$4="Logarithm",LN(0.001+IF(AND(ISNUMBER('Council Entry'!AT$8),ISNUMBER('Council Entry'!AT$9)),MAX(MIN('Council Entry'!AT70,'Council Entry'!AT$9),'Council Entry'!AT$8),'Council Entry'!AT70)),IF('Council Entry'!AT$4="Exponential",EXP(IF(AND(ISNUMBER('Council Entry'!AT$8),ISNUMBER('Council Entry'!AT$9)),MAX(MIN('Council Entry'!AT70,'Council Entry'!AT$9),'Council Entry'!AT$8),'Council Entry'!AT70)),IF(AND(ISNUMBER('Council Entry'!AT$8),ISNUMBER('Council Entry'!AT$9)),MAX(MIN('Council Entry'!AT70,'Council Entry'!AT$9),'Council Entry'!AT$8),'Council Entry'!AT70))))-'Council Entry'!AT$5)/('Council Entry'!AT$6-'Council Entry'!AT$5)),1))),"No data"))</f>
        <v/>
      </c>
      <c r="AU70" s="13">
        <f>IF('Council Entry'!AU70="","",IFERROR(MAX(0,MIN(10,ROUND(IF('Council Entry'!AU$7="Decrease Risk",10-10*((IF('Council Entry'!AU$4="Logarithm",LN(0.001+IF(AND(ISNUMBER('Council Entry'!AU$8),ISNUMBER('Council Entry'!AU$9)),MAX(MIN('Council Entry'!AU70,'Council Entry'!AU$9),'Council Entry'!AU$8),'Council Entry'!AU70)),IF('Council Entry'!AU$4="Exponential",EXP(IF(AND(ISNUMBER('Council Entry'!AU$8),ISNUMBER('Council Entry'!AU$9)),MAX(MIN('Council Entry'!AU70,'Council Entry'!AU$9),'Council Entry'!AU$8),'Council Entry'!AU70)),IF(AND(ISNUMBER('Council Entry'!AU$8),ISNUMBER('Council Entry'!AU$9)),MAX(MIN('Council Entry'!AU70,'Council Entry'!AU$9),'Council Entry'!AU$8),'Council Entry'!AU70))))-'Council Entry'!AU$5)/('Council Entry'!AU$6-'Council Entry'!AU$5),10*((IF('Council Entry'!AU$4="Logarithm",LN(0.001+IF(AND(ISNUMBER('Council Entry'!AU$8),ISNUMBER('Council Entry'!AU$9)),MAX(MIN('Council Entry'!AU70,'Council Entry'!AU$9),'Council Entry'!AU$8),'Council Entry'!AU70)),IF('Council Entry'!AU$4="Exponential",EXP(IF(AND(ISNUMBER('Council Entry'!AU$8),ISNUMBER('Council Entry'!AU$9)),MAX(MIN('Council Entry'!AU70,'Council Entry'!AU$9),'Council Entry'!AU$8),'Council Entry'!AU70)),IF(AND(ISNUMBER('Council Entry'!AU$8),ISNUMBER('Council Entry'!AU$9)),MAX(MIN('Council Entry'!AU70,'Council Entry'!AU$9),'Council Entry'!AU$8),'Council Entry'!AU70))))-'Council Entry'!AU$5)/('Council Entry'!AU$6-'Council Entry'!AU$5)),1))),"No data"))</f>
        <v/>
      </c>
      <c r="AV70" s="13">
        <f>IF('Council Entry'!AV70="","",IFERROR(MAX(0,MIN(10,ROUND(IF('Council Entry'!AV$7="Decrease Risk",10-10*((IF('Council Entry'!AV$4="Logarithm",LN(0.001+IF(AND(ISNUMBER('Council Entry'!AV$8),ISNUMBER('Council Entry'!AV$9)),MAX(MIN('Council Entry'!AV70,'Council Entry'!AV$9),'Council Entry'!AV$8),'Council Entry'!AV70)),IF('Council Entry'!AV$4="Exponential",EXP(IF(AND(ISNUMBER('Council Entry'!AV$8),ISNUMBER('Council Entry'!AV$9)),MAX(MIN('Council Entry'!AV70,'Council Entry'!AV$9),'Council Entry'!AV$8),'Council Entry'!AV70)),IF(AND(ISNUMBER('Council Entry'!AV$8),ISNUMBER('Council Entry'!AV$9)),MAX(MIN('Council Entry'!AV70,'Council Entry'!AV$9),'Council Entry'!AV$8),'Council Entry'!AV70))))-'Council Entry'!AV$5)/('Council Entry'!AV$6-'Council Entry'!AV$5),10*((IF('Council Entry'!AV$4="Logarithm",LN(0.001+IF(AND(ISNUMBER('Council Entry'!AV$8),ISNUMBER('Council Entry'!AV$9)),MAX(MIN('Council Entry'!AV70,'Council Entry'!AV$9),'Council Entry'!AV$8),'Council Entry'!AV70)),IF('Council Entry'!AV$4="Exponential",EXP(IF(AND(ISNUMBER('Council Entry'!AV$8),ISNUMBER('Council Entry'!AV$9)),MAX(MIN('Council Entry'!AV70,'Council Entry'!AV$9),'Council Entry'!AV$8),'Council Entry'!AV70)),IF(AND(ISNUMBER('Council Entry'!AV$8),ISNUMBER('Council Entry'!AV$9)),MAX(MIN('Council Entry'!AV70,'Council Entry'!AV$9),'Council Entry'!AV$8),'Council Entry'!AV70))))-'Council Entry'!AV$5)/('Council Entry'!AV$6-'Council Entry'!AV$5)),1))),"No data"))</f>
        <v/>
      </c>
      <c r="AW70" s="13">
        <f>IF('Council Entry'!AW70="","",IFERROR(MAX(0,MIN(10,ROUND(IF('Council Entry'!AW$7="Decrease Risk",10-10*((IF('Council Entry'!AW$4="Logarithm",LN(0.001+IF(AND(ISNUMBER('Council Entry'!AW$8),ISNUMBER('Council Entry'!AW$9)),MAX(MIN('Council Entry'!AW70,'Council Entry'!AW$9),'Council Entry'!AW$8),'Council Entry'!AW70)),IF('Council Entry'!AW$4="Exponential",EXP(IF(AND(ISNUMBER('Council Entry'!AW$8),ISNUMBER('Council Entry'!AW$9)),MAX(MIN('Council Entry'!AW70,'Council Entry'!AW$9),'Council Entry'!AW$8),'Council Entry'!AW70)),IF(AND(ISNUMBER('Council Entry'!AW$8),ISNUMBER('Council Entry'!AW$9)),MAX(MIN('Council Entry'!AW70,'Council Entry'!AW$9),'Council Entry'!AW$8),'Council Entry'!AW70))))-'Council Entry'!AW$5)/('Council Entry'!AW$6-'Council Entry'!AW$5),10*((IF('Council Entry'!AW$4="Logarithm",LN(0.001+IF(AND(ISNUMBER('Council Entry'!AW$8),ISNUMBER('Council Entry'!AW$9)),MAX(MIN('Council Entry'!AW70,'Council Entry'!AW$9),'Council Entry'!AW$8),'Council Entry'!AW70)),IF('Council Entry'!AW$4="Exponential",EXP(IF(AND(ISNUMBER('Council Entry'!AW$8),ISNUMBER('Council Entry'!AW$9)),MAX(MIN('Council Entry'!AW70,'Council Entry'!AW$9),'Council Entry'!AW$8),'Council Entry'!AW70)),IF(AND(ISNUMBER('Council Entry'!AW$8),ISNUMBER('Council Entry'!AW$9)),MAX(MIN('Council Entry'!AW70,'Council Entry'!AW$9),'Council Entry'!AW$8),'Council Entry'!AW70))))-'Council Entry'!AW$5)/('Council Entry'!AW$6-'Council Entry'!AW$5)),1))),"No data"))</f>
        <v/>
      </c>
      <c r="AX70" s="13">
        <f>IF('Council Entry'!AX70="","",IFERROR(MAX(0,MIN(10,ROUND(IF('Council Entry'!AX$7="Decrease Risk",10-10*((IF('Council Entry'!AX$4="Logarithm",LN(0.001+IF(AND(ISNUMBER('Council Entry'!AX$8),ISNUMBER('Council Entry'!AX$9)),MAX(MIN('Council Entry'!AX70,'Council Entry'!AX$9),'Council Entry'!AX$8),'Council Entry'!AX70)),IF('Council Entry'!AX$4="Exponential",EXP(IF(AND(ISNUMBER('Council Entry'!AX$8),ISNUMBER('Council Entry'!AX$9)),MAX(MIN('Council Entry'!AX70,'Council Entry'!AX$9),'Council Entry'!AX$8),'Council Entry'!AX70)),IF(AND(ISNUMBER('Council Entry'!AX$8),ISNUMBER('Council Entry'!AX$9)),MAX(MIN('Council Entry'!AX70,'Council Entry'!AX$9),'Council Entry'!AX$8),'Council Entry'!AX70))))-'Council Entry'!AX$5)/('Council Entry'!AX$6-'Council Entry'!AX$5),10*((IF('Council Entry'!AX$4="Logarithm",LN(0.001+IF(AND(ISNUMBER('Council Entry'!AX$8),ISNUMBER('Council Entry'!AX$9)),MAX(MIN('Council Entry'!AX70,'Council Entry'!AX$9),'Council Entry'!AX$8),'Council Entry'!AX70)),IF('Council Entry'!AX$4="Exponential",EXP(IF(AND(ISNUMBER('Council Entry'!AX$8),ISNUMBER('Council Entry'!AX$9)),MAX(MIN('Council Entry'!AX70,'Council Entry'!AX$9),'Council Entry'!AX$8),'Council Entry'!AX70)),IF(AND(ISNUMBER('Council Entry'!AX$8),ISNUMBER('Council Entry'!AX$9)),MAX(MIN('Council Entry'!AX70,'Council Entry'!AX$9),'Council Entry'!AX$8),'Council Entry'!AX70))))-'Council Entry'!AX$5)/('Council Entry'!AX$6-'Council Entry'!AX$5)),1))),"No data"))</f>
        <v/>
      </c>
      <c r="AY70" s="13">
        <f>IF('Council Entry'!AY70="","",IFERROR(MAX(0,MIN(10,ROUND(IF('Council Entry'!AY$7="Decrease Risk",10-10*((IF('Council Entry'!AY$4="Logarithm",LN(0.001+IF(AND(ISNUMBER('Council Entry'!AY$8),ISNUMBER('Council Entry'!AY$9)),MAX(MIN('Council Entry'!AY70,'Council Entry'!AY$9),'Council Entry'!AY$8),'Council Entry'!AY70)),IF('Council Entry'!AY$4="Exponential",EXP(IF(AND(ISNUMBER('Council Entry'!AY$8),ISNUMBER('Council Entry'!AY$9)),MAX(MIN('Council Entry'!AY70,'Council Entry'!AY$9),'Council Entry'!AY$8),'Council Entry'!AY70)),IF(AND(ISNUMBER('Council Entry'!AY$8),ISNUMBER('Council Entry'!AY$9)),MAX(MIN('Council Entry'!AY70,'Council Entry'!AY$9),'Council Entry'!AY$8),'Council Entry'!AY70))))-'Council Entry'!AY$5)/('Council Entry'!AY$6-'Council Entry'!AY$5),10*((IF('Council Entry'!AY$4="Logarithm",LN(0.001+IF(AND(ISNUMBER('Council Entry'!AY$8),ISNUMBER('Council Entry'!AY$9)),MAX(MIN('Council Entry'!AY70,'Council Entry'!AY$9),'Council Entry'!AY$8),'Council Entry'!AY70)),IF('Council Entry'!AY$4="Exponential",EXP(IF(AND(ISNUMBER('Council Entry'!AY$8),ISNUMBER('Council Entry'!AY$9)),MAX(MIN('Council Entry'!AY70,'Council Entry'!AY$9),'Council Entry'!AY$8),'Council Entry'!AY70)),IF(AND(ISNUMBER('Council Entry'!AY$8),ISNUMBER('Council Entry'!AY$9)),MAX(MIN('Council Entry'!AY70,'Council Entry'!AY$9),'Council Entry'!AY$8),'Council Entry'!AY70))))-'Council Entry'!AY$5)/('Council Entry'!AY$6-'Council Entry'!AY$5)),1))),"No data"))</f>
        <v/>
      </c>
      <c r="AZ70" s="13">
        <f>IF('Council Entry'!AZ70="","",IFERROR(MAX(0,MIN(10,ROUND(IF('Council Entry'!AZ$7="Decrease Risk",10-10*((IF('Council Entry'!AZ$4="Logarithm",LN(0.001+IF(AND(ISNUMBER('Council Entry'!AZ$8),ISNUMBER('Council Entry'!AZ$9)),MAX(MIN('Council Entry'!AZ70,'Council Entry'!AZ$9),'Council Entry'!AZ$8),'Council Entry'!AZ70)),IF('Council Entry'!AZ$4="Exponential",EXP(IF(AND(ISNUMBER('Council Entry'!AZ$8),ISNUMBER('Council Entry'!AZ$9)),MAX(MIN('Council Entry'!AZ70,'Council Entry'!AZ$9),'Council Entry'!AZ$8),'Council Entry'!AZ70)),IF(AND(ISNUMBER('Council Entry'!AZ$8),ISNUMBER('Council Entry'!AZ$9)),MAX(MIN('Council Entry'!AZ70,'Council Entry'!AZ$9),'Council Entry'!AZ$8),'Council Entry'!AZ70))))-'Council Entry'!AZ$5)/('Council Entry'!AZ$6-'Council Entry'!AZ$5),10*((IF('Council Entry'!AZ$4="Logarithm",LN(0.001+IF(AND(ISNUMBER('Council Entry'!AZ$8),ISNUMBER('Council Entry'!AZ$9)),MAX(MIN('Council Entry'!AZ70,'Council Entry'!AZ$9),'Council Entry'!AZ$8),'Council Entry'!AZ70)),IF('Council Entry'!AZ$4="Exponential",EXP(IF(AND(ISNUMBER('Council Entry'!AZ$8),ISNUMBER('Council Entry'!AZ$9)),MAX(MIN('Council Entry'!AZ70,'Council Entry'!AZ$9),'Council Entry'!AZ$8),'Council Entry'!AZ70)),IF(AND(ISNUMBER('Council Entry'!AZ$8),ISNUMBER('Council Entry'!AZ$9)),MAX(MIN('Council Entry'!AZ70,'Council Entry'!AZ$9),'Council Entry'!AZ$8),'Council Entry'!AZ70))))-'Council Entry'!AZ$5)/('Council Entry'!AZ$6-'Council Entry'!AZ$5)),1))),"No data"))</f>
        <v/>
      </c>
      <c r="BA70" s="13">
        <f>IF('Council Entry'!BA70="","",IFERROR(MAX(0,MIN(10,ROUND(IF('Council Entry'!BA$7="Decrease Risk",10-10*((IF('Council Entry'!BA$4="Logarithm",LN(0.001+IF(AND(ISNUMBER('Council Entry'!BA$8),ISNUMBER('Council Entry'!BA$9)),MAX(MIN('Council Entry'!BA70,'Council Entry'!BA$9),'Council Entry'!BA$8),'Council Entry'!BA70)),IF('Council Entry'!BA$4="Exponential",EXP(IF(AND(ISNUMBER('Council Entry'!BA$8),ISNUMBER('Council Entry'!BA$9)),MAX(MIN('Council Entry'!BA70,'Council Entry'!BA$9),'Council Entry'!BA$8),'Council Entry'!BA70)),IF(AND(ISNUMBER('Council Entry'!BA$8),ISNUMBER('Council Entry'!BA$9)),MAX(MIN('Council Entry'!BA70,'Council Entry'!BA$9),'Council Entry'!BA$8),'Council Entry'!BA70))))-'Council Entry'!BA$5)/('Council Entry'!BA$6-'Council Entry'!BA$5),10*((IF('Council Entry'!BA$4="Logarithm",LN(0.001+IF(AND(ISNUMBER('Council Entry'!BA$8),ISNUMBER('Council Entry'!BA$9)),MAX(MIN('Council Entry'!BA70,'Council Entry'!BA$9),'Council Entry'!BA$8),'Council Entry'!BA70)),IF('Council Entry'!BA$4="Exponential",EXP(IF(AND(ISNUMBER('Council Entry'!BA$8),ISNUMBER('Council Entry'!BA$9)),MAX(MIN('Council Entry'!BA70,'Council Entry'!BA$9),'Council Entry'!BA$8),'Council Entry'!BA70)),IF(AND(ISNUMBER('Council Entry'!BA$8),ISNUMBER('Council Entry'!BA$9)),MAX(MIN('Council Entry'!BA70,'Council Entry'!BA$9),'Council Entry'!BA$8),'Council Entry'!BA70))))-'Council Entry'!BA$5)/('Council Entry'!BA$6-'Council Entry'!BA$5)),1))),"No data"))</f>
        <v/>
      </c>
      <c r="BB70" s="13">
        <f>IF('Council Entry'!BB70="","",IFERROR(MAX(0,MIN(10,ROUND(IF('Council Entry'!BB$7="Decrease Risk",10-10*((IF('Council Entry'!BB$4="Logarithm",LN(0.001+IF(AND(ISNUMBER('Council Entry'!BB$8),ISNUMBER('Council Entry'!BB$9)),MAX(MIN('Council Entry'!BB70,'Council Entry'!BB$9),'Council Entry'!BB$8),'Council Entry'!BB70)),IF('Council Entry'!BB$4="Exponential",EXP(IF(AND(ISNUMBER('Council Entry'!BB$8),ISNUMBER('Council Entry'!BB$9)),MAX(MIN('Council Entry'!BB70,'Council Entry'!BB$9),'Council Entry'!BB$8),'Council Entry'!BB70)),IF(AND(ISNUMBER('Council Entry'!BB$8),ISNUMBER('Council Entry'!BB$9)),MAX(MIN('Council Entry'!BB70,'Council Entry'!BB$9),'Council Entry'!BB$8),'Council Entry'!BB70))))-'Council Entry'!BB$5)/('Council Entry'!BB$6-'Council Entry'!BB$5),10*((IF('Council Entry'!BB$4="Logarithm",LN(0.001+IF(AND(ISNUMBER('Council Entry'!BB$8),ISNUMBER('Council Entry'!BB$9)),MAX(MIN('Council Entry'!BB70,'Council Entry'!BB$9),'Council Entry'!BB$8),'Council Entry'!BB70)),IF('Council Entry'!BB$4="Exponential",EXP(IF(AND(ISNUMBER('Council Entry'!BB$8),ISNUMBER('Council Entry'!BB$9)),MAX(MIN('Council Entry'!BB70,'Council Entry'!BB$9),'Council Entry'!BB$8),'Council Entry'!BB70)),IF(AND(ISNUMBER('Council Entry'!BB$8),ISNUMBER('Council Entry'!BB$9)),MAX(MIN('Council Entry'!BB70,'Council Entry'!BB$9),'Council Entry'!BB$8),'Council Entry'!BB70))))-'Council Entry'!BB$5)/('Council Entry'!BB$6-'Council Entry'!BB$5)),1))),"No data"))</f>
        <v/>
      </c>
      <c r="BC70" s="13">
        <f>IF('Council Entry'!BC70="","",IFERROR(MAX(0,MIN(10,ROUND(IF('Council Entry'!BC$7="Decrease Risk",10-10*((IF('Council Entry'!BC$4="Logarithm",LN(0.001+IF(AND(ISNUMBER('Council Entry'!BC$8),ISNUMBER('Council Entry'!BC$9)),MAX(MIN('Council Entry'!BC70,'Council Entry'!BC$9),'Council Entry'!BC$8),'Council Entry'!BC70)),IF('Council Entry'!BC$4="Exponential",EXP(IF(AND(ISNUMBER('Council Entry'!BC$8),ISNUMBER('Council Entry'!BC$9)),MAX(MIN('Council Entry'!BC70,'Council Entry'!BC$9),'Council Entry'!BC$8),'Council Entry'!BC70)),IF(AND(ISNUMBER('Council Entry'!BC$8),ISNUMBER('Council Entry'!BC$9)),MAX(MIN('Council Entry'!BC70,'Council Entry'!BC$9),'Council Entry'!BC$8),'Council Entry'!BC70))))-'Council Entry'!BC$5)/('Council Entry'!BC$6-'Council Entry'!BC$5),10*((IF('Council Entry'!BC$4="Logarithm",LN(0.001+IF(AND(ISNUMBER('Council Entry'!BC$8),ISNUMBER('Council Entry'!BC$9)),MAX(MIN('Council Entry'!BC70,'Council Entry'!BC$9),'Council Entry'!BC$8),'Council Entry'!BC70)),IF('Council Entry'!BC$4="Exponential",EXP(IF(AND(ISNUMBER('Council Entry'!BC$8),ISNUMBER('Council Entry'!BC$9)),MAX(MIN('Council Entry'!BC70,'Council Entry'!BC$9),'Council Entry'!BC$8),'Council Entry'!BC70)),IF(AND(ISNUMBER('Council Entry'!BC$8),ISNUMBER('Council Entry'!BC$9)),MAX(MIN('Council Entry'!BC70,'Council Entry'!BC$9),'Council Entry'!BC$8),'Council Entry'!BC70))))-'Council Entry'!BC$5)/('Council Entry'!BC$6-'Council Entry'!BC$5)),1))),"No data"))</f>
        <v/>
      </c>
      <c r="BD70" s="13">
        <f>IF('Council Entry'!BD70="","",IFERROR(MAX(0,MIN(10,ROUND(IF('Council Entry'!BD$7="Decrease Risk",10-10*((IF('Council Entry'!BD$4="Logarithm",LN(0.001+IF(AND(ISNUMBER('Council Entry'!BD$8),ISNUMBER('Council Entry'!BD$9)),MAX(MIN('Council Entry'!BD70,'Council Entry'!BD$9),'Council Entry'!BD$8),'Council Entry'!BD70)),IF('Council Entry'!BD$4="Exponential",EXP(IF(AND(ISNUMBER('Council Entry'!BD$8),ISNUMBER('Council Entry'!BD$9)),MAX(MIN('Council Entry'!BD70,'Council Entry'!BD$9),'Council Entry'!BD$8),'Council Entry'!BD70)),IF(AND(ISNUMBER('Council Entry'!BD$8),ISNUMBER('Council Entry'!BD$9)),MAX(MIN('Council Entry'!BD70,'Council Entry'!BD$9),'Council Entry'!BD$8),'Council Entry'!BD70))))-'Council Entry'!BD$5)/('Council Entry'!BD$6-'Council Entry'!BD$5),10*((IF('Council Entry'!BD$4="Logarithm",LN(0.001+IF(AND(ISNUMBER('Council Entry'!BD$8),ISNUMBER('Council Entry'!BD$9)),MAX(MIN('Council Entry'!BD70,'Council Entry'!BD$9),'Council Entry'!BD$8),'Council Entry'!BD70)),IF('Council Entry'!BD$4="Exponential",EXP(IF(AND(ISNUMBER('Council Entry'!BD$8),ISNUMBER('Council Entry'!BD$9)),MAX(MIN('Council Entry'!BD70,'Council Entry'!BD$9),'Council Entry'!BD$8),'Council Entry'!BD70)),IF(AND(ISNUMBER('Council Entry'!BD$8),ISNUMBER('Council Entry'!BD$9)),MAX(MIN('Council Entry'!BD70,'Council Entry'!BD$9),'Council Entry'!BD$8),'Council Entry'!BD70))))-'Council Entry'!BD$5)/('Council Entry'!BD$6-'Council Entry'!BD$5)),1))),"No data"))</f>
        <v/>
      </c>
    </row>
    <row r="71">
      <c r="A71" t="inlineStr">
        <is>
          <t>Kilimanjaro</t>
        </is>
      </c>
      <c r="B71" t="inlineStr">
        <is>
          <t>Rombo District</t>
        </is>
      </c>
      <c r="C71" t="inlineStr">
        <is>
          <t>C016</t>
        </is>
      </c>
      <c r="D71" s="13">
        <f>IF('Council Entry'!D71="","",IFERROR(MAX(0,MIN(10,ROUND(IF('Council Entry'!D$7="Decrease Risk",10-10*((IF('Council Entry'!D$4="Logarithm",LN(0.001+IF(AND(ISNUMBER('Council Entry'!D$8),ISNUMBER('Council Entry'!D$9)),MAX(MIN('Council Entry'!D71,'Council Entry'!D$9),'Council Entry'!D$8),'Council Entry'!D71)),IF('Council Entry'!D$4="Exponential",EXP(IF(AND(ISNUMBER('Council Entry'!D$8),ISNUMBER('Council Entry'!D$9)),MAX(MIN('Council Entry'!D71,'Council Entry'!D$9),'Council Entry'!D$8),'Council Entry'!D71)),IF(AND(ISNUMBER('Council Entry'!D$8),ISNUMBER('Council Entry'!D$9)),MAX(MIN('Council Entry'!D71,'Council Entry'!D$9),'Council Entry'!D$8),'Council Entry'!D71))))-'Council Entry'!D$5)/('Council Entry'!D$6-'Council Entry'!D$5),10*((IF('Council Entry'!D$4="Logarithm",LN(0.001+IF(AND(ISNUMBER('Council Entry'!D$8),ISNUMBER('Council Entry'!D$9)),MAX(MIN('Council Entry'!D71,'Council Entry'!D$9),'Council Entry'!D$8),'Council Entry'!D71)),IF('Council Entry'!D$4="Exponential",EXP(IF(AND(ISNUMBER('Council Entry'!D$8),ISNUMBER('Council Entry'!D$9)),MAX(MIN('Council Entry'!D71,'Council Entry'!D$9),'Council Entry'!D$8),'Council Entry'!D71)),IF(AND(ISNUMBER('Council Entry'!D$8),ISNUMBER('Council Entry'!D$9)),MAX(MIN('Council Entry'!D71,'Council Entry'!D$9),'Council Entry'!D$8),'Council Entry'!D71))))-'Council Entry'!D$5)/('Council Entry'!D$6-'Council Entry'!D$5)),1))),"No data"))</f>
        <v/>
      </c>
      <c r="E71" s="13">
        <f>IF('Council Entry'!E71="","",IFERROR(MAX(0,MIN(10,ROUND(IF('Council Entry'!E$7="Decrease Risk",10-10*((IF('Council Entry'!E$4="Logarithm",LN(0.001+IF(AND(ISNUMBER('Council Entry'!E$8),ISNUMBER('Council Entry'!E$9)),MAX(MIN('Council Entry'!E71,'Council Entry'!E$9),'Council Entry'!E$8),'Council Entry'!E71)),IF('Council Entry'!E$4="Exponential",EXP(IF(AND(ISNUMBER('Council Entry'!E$8),ISNUMBER('Council Entry'!E$9)),MAX(MIN('Council Entry'!E71,'Council Entry'!E$9),'Council Entry'!E$8),'Council Entry'!E71)),IF(AND(ISNUMBER('Council Entry'!E$8),ISNUMBER('Council Entry'!E$9)),MAX(MIN('Council Entry'!E71,'Council Entry'!E$9),'Council Entry'!E$8),'Council Entry'!E71))))-'Council Entry'!E$5)/('Council Entry'!E$6-'Council Entry'!E$5),10*((IF('Council Entry'!E$4="Logarithm",LN(0.001+IF(AND(ISNUMBER('Council Entry'!E$8),ISNUMBER('Council Entry'!E$9)),MAX(MIN('Council Entry'!E71,'Council Entry'!E$9),'Council Entry'!E$8),'Council Entry'!E71)),IF('Council Entry'!E$4="Exponential",EXP(IF(AND(ISNUMBER('Council Entry'!E$8),ISNUMBER('Council Entry'!E$9)),MAX(MIN('Council Entry'!E71,'Council Entry'!E$9),'Council Entry'!E$8),'Council Entry'!E71)),IF(AND(ISNUMBER('Council Entry'!E$8),ISNUMBER('Council Entry'!E$9)),MAX(MIN('Council Entry'!E71,'Council Entry'!E$9),'Council Entry'!E$8),'Council Entry'!E71))))-'Council Entry'!E$5)/('Council Entry'!E$6-'Council Entry'!E$5)),1))),"No data"))</f>
        <v/>
      </c>
      <c r="F71" s="13">
        <f>IF('Council Entry'!F71="","",IFERROR(MAX(0,MIN(10,ROUND(IF('Council Entry'!F$7="Decrease Risk",10-10*((IF('Council Entry'!F$4="Logarithm",LN(0.001+IF(AND(ISNUMBER('Council Entry'!F$8),ISNUMBER('Council Entry'!F$9)),MAX(MIN('Council Entry'!F71,'Council Entry'!F$9),'Council Entry'!F$8),'Council Entry'!F71)),IF('Council Entry'!F$4="Exponential",EXP(IF(AND(ISNUMBER('Council Entry'!F$8),ISNUMBER('Council Entry'!F$9)),MAX(MIN('Council Entry'!F71,'Council Entry'!F$9),'Council Entry'!F$8),'Council Entry'!F71)),IF(AND(ISNUMBER('Council Entry'!F$8),ISNUMBER('Council Entry'!F$9)),MAX(MIN('Council Entry'!F71,'Council Entry'!F$9),'Council Entry'!F$8),'Council Entry'!F71))))-'Council Entry'!F$5)/('Council Entry'!F$6-'Council Entry'!F$5),10*((IF('Council Entry'!F$4="Logarithm",LN(0.001+IF(AND(ISNUMBER('Council Entry'!F$8),ISNUMBER('Council Entry'!F$9)),MAX(MIN('Council Entry'!F71,'Council Entry'!F$9),'Council Entry'!F$8),'Council Entry'!F71)),IF('Council Entry'!F$4="Exponential",EXP(IF(AND(ISNUMBER('Council Entry'!F$8),ISNUMBER('Council Entry'!F$9)),MAX(MIN('Council Entry'!F71,'Council Entry'!F$9),'Council Entry'!F$8),'Council Entry'!F71)),IF(AND(ISNUMBER('Council Entry'!F$8),ISNUMBER('Council Entry'!F$9)),MAX(MIN('Council Entry'!F71,'Council Entry'!F$9),'Council Entry'!F$8),'Council Entry'!F71))))-'Council Entry'!F$5)/('Council Entry'!F$6-'Council Entry'!F$5)),1))),"No data"))</f>
        <v/>
      </c>
      <c r="G71" s="13">
        <f>IF('Council Entry'!G71="","",IFERROR(MAX(0,MIN(10,ROUND(IF('Council Entry'!G$7="Decrease Risk",10-10*((IF('Council Entry'!G$4="Logarithm",LN(0.001+IF(AND(ISNUMBER('Council Entry'!G$8),ISNUMBER('Council Entry'!G$9)),MAX(MIN('Council Entry'!G71,'Council Entry'!G$9),'Council Entry'!G$8),'Council Entry'!G71)),IF('Council Entry'!G$4="Exponential",EXP(IF(AND(ISNUMBER('Council Entry'!G$8),ISNUMBER('Council Entry'!G$9)),MAX(MIN('Council Entry'!G71,'Council Entry'!G$9),'Council Entry'!G$8),'Council Entry'!G71)),IF(AND(ISNUMBER('Council Entry'!G$8),ISNUMBER('Council Entry'!G$9)),MAX(MIN('Council Entry'!G71,'Council Entry'!G$9),'Council Entry'!G$8),'Council Entry'!G71))))-'Council Entry'!G$5)/('Council Entry'!G$6-'Council Entry'!G$5),10*((IF('Council Entry'!G$4="Logarithm",LN(0.001+IF(AND(ISNUMBER('Council Entry'!G$8),ISNUMBER('Council Entry'!G$9)),MAX(MIN('Council Entry'!G71,'Council Entry'!G$9),'Council Entry'!G$8),'Council Entry'!G71)),IF('Council Entry'!G$4="Exponential",EXP(IF(AND(ISNUMBER('Council Entry'!G$8),ISNUMBER('Council Entry'!G$9)),MAX(MIN('Council Entry'!G71,'Council Entry'!G$9),'Council Entry'!G$8),'Council Entry'!G71)),IF(AND(ISNUMBER('Council Entry'!G$8),ISNUMBER('Council Entry'!G$9)),MAX(MIN('Council Entry'!G71,'Council Entry'!G$9),'Council Entry'!G$8),'Council Entry'!G71))))-'Council Entry'!G$5)/('Council Entry'!G$6-'Council Entry'!G$5)),1))),"No data"))</f>
        <v/>
      </c>
      <c r="H71" s="13">
        <f>IF('Council Entry'!H71="","",IFERROR(MAX(0,MIN(10,ROUND(IF('Council Entry'!H$7="Decrease Risk",10-10*((IF('Council Entry'!H$4="Logarithm",LN(0.001+IF(AND(ISNUMBER('Council Entry'!H$8),ISNUMBER('Council Entry'!H$9)),MAX(MIN('Council Entry'!H71,'Council Entry'!H$9),'Council Entry'!H$8),'Council Entry'!H71)),IF('Council Entry'!H$4="Exponential",EXP(IF(AND(ISNUMBER('Council Entry'!H$8),ISNUMBER('Council Entry'!H$9)),MAX(MIN('Council Entry'!H71,'Council Entry'!H$9),'Council Entry'!H$8),'Council Entry'!H71)),IF(AND(ISNUMBER('Council Entry'!H$8),ISNUMBER('Council Entry'!H$9)),MAX(MIN('Council Entry'!H71,'Council Entry'!H$9),'Council Entry'!H$8),'Council Entry'!H71))))-'Council Entry'!H$5)/('Council Entry'!H$6-'Council Entry'!H$5),10*((IF('Council Entry'!H$4="Logarithm",LN(0.001+IF(AND(ISNUMBER('Council Entry'!H$8),ISNUMBER('Council Entry'!H$9)),MAX(MIN('Council Entry'!H71,'Council Entry'!H$9),'Council Entry'!H$8),'Council Entry'!H71)),IF('Council Entry'!H$4="Exponential",EXP(IF(AND(ISNUMBER('Council Entry'!H$8),ISNUMBER('Council Entry'!H$9)),MAX(MIN('Council Entry'!H71,'Council Entry'!H$9),'Council Entry'!H$8),'Council Entry'!H71)),IF(AND(ISNUMBER('Council Entry'!H$8),ISNUMBER('Council Entry'!H$9)),MAX(MIN('Council Entry'!H71,'Council Entry'!H$9),'Council Entry'!H$8),'Council Entry'!H71))))-'Council Entry'!H$5)/('Council Entry'!H$6-'Council Entry'!H$5)),1))),"No data"))</f>
        <v/>
      </c>
      <c r="I71" s="13">
        <f>IF('Council Entry'!I71="","",IFERROR(MAX(0,MIN(10,ROUND(IF('Council Entry'!I$7="Decrease Risk",10-10*((IF('Council Entry'!I$4="Logarithm",LN(0.001+IF(AND(ISNUMBER('Council Entry'!I$8),ISNUMBER('Council Entry'!I$9)),MAX(MIN('Council Entry'!I71,'Council Entry'!I$9),'Council Entry'!I$8),'Council Entry'!I71)),IF('Council Entry'!I$4="Exponential",EXP(IF(AND(ISNUMBER('Council Entry'!I$8),ISNUMBER('Council Entry'!I$9)),MAX(MIN('Council Entry'!I71,'Council Entry'!I$9),'Council Entry'!I$8),'Council Entry'!I71)),IF(AND(ISNUMBER('Council Entry'!I$8),ISNUMBER('Council Entry'!I$9)),MAX(MIN('Council Entry'!I71,'Council Entry'!I$9),'Council Entry'!I$8),'Council Entry'!I71))))-'Council Entry'!I$5)/('Council Entry'!I$6-'Council Entry'!I$5),10*((IF('Council Entry'!I$4="Logarithm",LN(0.001+IF(AND(ISNUMBER('Council Entry'!I$8),ISNUMBER('Council Entry'!I$9)),MAX(MIN('Council Entry'!I71,'Council Entry'!I$9),'Council Entry'!I$8),'Council Entry'!I71)),IF('Council Entry'!I$4="Exponential",EXP(IF(AND(ISNUMBER('Council Entry'!I$8),ISNUMBER('Council Entry'!I$9)),MAX(MIN('Council Entry'!I71,'Council Entry'!I$9),'Council Entry'!I$8),'Council Entry'!I71)),IF(AND(ISNUMBER('Council Entry'!I$8),ISNUMBER('Council Entry'!I$9)),MAX(MIN('Council Entry'!I71,'Council Entry'!I$9),'Council Entry'!I$8),'Council Entry'!I71))))-'Council Entry'!I$5)/('Council Entry'!I$6-'Council Entry'!I$5)),1))),"No data"))</f>
        <v/>
      </c>
      <c r="J71" s="13">
        <f>IF('Council Entry'!J71="","",IFERROR(MAX(0,MIN(10,ROUND(IF('Council Entry'!J$7="Decrease Risk",10-10*((IF('Council Entry'!J$4="Logarithm",LN(0.001+IF(AND(ISNUMBER('Council Entry'!J$8),ISNUMBER('Council Entry'!J$9)),MAX(MIN('Council Entry'!J71,'Council Entry'!J$9),'Council Entry'!J$8),'Council Entry'!J71)),IF('Council Entry'!J$4="Exponential",EXP(IF(AND(ISNUMBER('Council Entry'!J$8),ISNUMBER('Council Entry'!J$9)),MAX(MIN('Council Entry'!J71,'Council Entry'!J$9),'Council Entry'!J$8),'Council Entry'!J71)),IF(AND(ISNUMBER('Council Entry'!J$8),ISNUMBER('Council Entry'!J$9)),MAX(MIN('Council Entry'!J71,'Council Entry'!J$9),'Council Entry'!J$8),'Council Entry'!J71))))-'Council Entry'!J$5)/('Council Entry'!J$6-'Council Entry'!J$5),10*((IF('Council Entry'!J$4="Logarithm",LN(0.001+IF(AND(ISNUMBER('Council Entry'!J$8),ISNUMBER('Council Entry'!J$9)),MAX(MIN('Council Entry'!J71,'Council Entry'!J$9),'Council Entry'!J$8),'Council Entry'!J71)),IF('Council Entry'!J$4="Exponential",EXP(IF(AND(ISNUMBER('Council Entry'!J$8),ISNUMBER('Council Entry'!J$9)),MAX(MIN('Council Entry'!J71,'Council Entry'!J$9),'Council Entry'!J$8),'Council Entry'!J71)),IF(AND(ISNUMBER('Council Entry'!J$8),ISNUMBER('Council Entry'!J$9)),MAX(MIN('Council Entry'!J71,'Council Entry'!J$9),'Council Entry'!J$8),'Council Entry'!J71))))-'Council Entry'!J$5)/('Council Entry'!J$6-'Council Entry'!J$5)),1))),"No data"))</f>
        <v/>
      </c>
      <c r="K71" s="13">
        <f>IF('Council Entry'!K71="","",IFERROR(MAX(0,MIN(10,ROUND(IF('Council Entry'!K$7="Decrease Risk",10-10*((IF('Council Entry'!K$4="Logarithm",LN(0.001+IF(AND(ISNUMBER('Council Entry'!K$8),ISNUMBER('Council Entry'!K$9)),MAX(MIN('Council Entry'!K71,'Council Entry'!K$9),'Council Entry'!K$8),'Council Entry'!K71)),IF('Council Entry'!K$4="Exponential",EXP(IF(AND(ISNUMBER('Council Entry'!K$8),ISNUMBER('Council Entry'!K$9)),MAX(MIN('Council Entry'!K71,'Council Entry'!K$9),'Council Entry'!K$8),'Council Entry'!K71)),IF(AND(ISNUMBER('Council Entry'!K$8),ISNUMBER('Council Entry'!K$9)),MAX(MIN('Council Entry'!K71,'Council Entry'!K$9),'Council Entry'!K$8),'Council Entry'!K71))))-'Council Entry'!K$5)/('Council Entry'!K$6-'Council Entry'!K$5),10*((IF('Council Entry'!K$4="Logarithm",LN(0.001+IF(AND(ISNUMBER('Council Entry'!K$8),ISNUMBER('Council Entry'!K$9)),MAX(MIN('Council Entry'!K71,'Council Entry'!K$9),'Council Entry'!K$8),'Council Entry'!K71)),IF('Council Entry'!K$4="Exponential",EXP(IF(AND(ISNUMBER('Council Entry'!K$8),ISNUMBER('Council Entry'!K$9)),MAX(MIN('Council Entry'!K71,'Council Entry'!K$9),'Council Entry'!K$8),'Council Entry'!K71)),IF(AND(ISNUMBER('Council Entry'!K$8),ISNUMBER('Council Entry'!K$9)),MAX(MIN('Council Entry'!K71,'Council Entry'!K$9),'Council Entry'!K$8),'Council Entry'!K71))))-'Council Entry'!K$5)/('Council Entry'!K$6-'Council Entry'!K$5)),1))),"No data"))</f>
        <v/>
      </c>
      <c r="L71" s="13">
        <f>IF('Council Entry'!L71="","",IFERROR(MAX(0,MIN(10,ROUND(IF('Council Entry'!L$7="Decrease Risk",10-10*((IF('Council Entry'!L$4="Logarithm",LN(0.001+IF(AND(ISNUMBER('Council Entry'!L$8),ISNUMBER('Council Entry'!L$9)),MAX(MIN('Council Entry'!L71,'Council Entry'!L$9),'Council Entry'!L$8),'Council Entry'!L71)),IF('Council Entry'!L$4="Exponential",EXP(IF(AND(ISNUMBER('Council Entry'!L$8),ISNUMBER('Council Entry'!L$9)),MAX(MIN('Council Entry'!L71,'Council Entry'!L$9),'Council Entry'!L$8),'Council Entry'!L71)),IF(AND(ISNUMBER('Council Entry'!L$8),ISNUMBER('Council Entry'!L$9)),MAX(MIN('Council Entry'!L71,'Council Entry'!L$9),'Council Entry'!L$8),'Council Entry'!L71))))-'Council Entry'!L$5)/('Council Entry'!L$6-'Council Entry'!L$5),10*((IF('Council Entry'!L$4="Logarithm",LN(0.001+IF(AND(ISNUMBER('Council Entry'!L$8),ISNUMBER('Council Entry'!L$9)),MAX(MIN('Council Entry'!L71,'Council Entry'!L$9),'Council Entry'!L$8),'Council Entry'!L71)),IF('Council Entry'!L$4="Exponential",EXP(IF(AND(ISNUMBER('Council Entry'!L$8),ISNUMBER('Council Entry'!L$9)),MAX(MIN('Council Entry'!L71,'Council Entry'!L$9),'Council Entry'!L$8),'Council Entry'!L71)),IF(AND(ISNUMBER('Council Entry'!L$8),ISNUMBER('Council Entry'!L$9)),MAX(MIN('Council Entry'!L71,'Council Entry'!L$9),'Council Entry'!L$8),'Council Entry'!L71))))-'Council Entry'!L$5)/('Council Entry'!L$6-'Council Entry'!L$5)),1))),"No data"))</f>
        <v/>
      </c>
      <c r="M71" s="13">
        <f>IF('Council Entry'!M71="","",IFERROR(MAX(0,MIN(10,ROUND(IF('Council Entry'!M$7="Decrease Risk",10-10*((IF('Council Entry'!M$4="Logarithm",LN(0.001+IF(AND(ISNUMBER('Council Entry'!M$8),ISNUMBER('Council Entry'!M$9)),MAX(MIN('Council Entry'!M71,'Council Entry'!M$9),'Council Entry'!M$8),'Council Entry'!M71)),IF('Council Entry'!M$4="Exponential",EXP(IF(AND(ISNUMBER('Council Entry'!M$8),ISNUMBER('Council Entry'!M$9)),MAX(MIN('Council Entry'!M71,'Council Entry'!M$9),'Council Entry'!M$8),'Council Entry'!M71)),IF(AND(ISNUMBER('Council Entry'!M$8),ISNUMBER('Council Entry'!M$9)),MAX(MIN('Council Entry'!M71,'Council Entry'!M$9),'Council Entry'!M$8),'Council Entry'!M71))))-'Council Entry'!M$5)/('Council Entry'!M$6-'Council Entry'!M$5),10*((IF('Council Entry'!M$4="Logarithm",LN(0.001+IF(AND(ISNUMBER('Council Entry'!M$8),ISNUMBER('Council Entry'!M$9)),MAX(MIN('Council Entry'!M71,'Council Entry'!M$9),'Council Entry'!M$8),'Council Entry'!M71)),IF('Council Entry'!M$4="Exponential",EXP(IF(AND(ISNUMBER('Council Entry'!M$8),ISNUMBER('Council Entry'!M$9)),MAX(MIN('Council Entry'!M71,'Council Entry'!M$9),'Council Entry'!M$8),'Council Entry'!M71)),IF(AND(ISNUMBER('Council Entry'!M$8),ISNUMBER('Council Entry'!M$9)),MAX(MIN('Council Entry'!M71,'Council Entry'!M$9),'Council Entry'!M$8),'Council Entry'!M71))))-'Council Entry'!M$5)/('Council Entry'!M$6-'Council Entry'!M$5)),1))),"No data"))</f>
        <v/>
      </c>
      <c r="N71" s="13">
        <f>IF('Council Entry'!N71="","",IFERROR(MAX(0,MIN(10,ROUND(IF('Council Entry'!N$7="Decrease Risk",10-10*((IF('Council Entry'!N$4="Logarithm",LN(0.001+IF(AND(ISNUMBER('Council Entry'!N$8),ISNUMBER('Council Entry'!N$9)),MAX(MIN('Council Entry'!N71,'Council Entry'!N$9),'Council Entry'!N$8),'Council Entry'!N71)),IF('Council Entry'!N$4="Exponential",EXP(IF(AND(ISNUMBER('Council Entry'!N$8),ISNUMBER('Council Entry'!N$9)),MAX(MIN('Council Entry'!N71,'Council Entry'!N$9),'Council Entry'!N$8),'Council Entry'!N71)),IF(AND(ISNUMBER('Council Entry'!N$8),ISNUMBER('Council Entry'!N$9)),MAX(MIN('Council Entry'!N71,'Council Entry'!N$9),'Council Entry'!N$8),'Council Entry'!N71))))-'Council Entry'!N$5)/('Council Entry'!N$6-'Council Entry'!N$5),10*((IF('Council Entry'!N$4="Logarithm",LN(0.001+IF(AND(ISNUMBER('Council Entry'!N$8),ISNUMBER('Council Entry'!N$9)),MAX(MIN('Council Entry'!N71,'Council Entry'!N$9),'Council Entry'!N$8),'Council Entry'!N71)),IF('Council Entry'!N$4="Exponential",EXP(IF(AND(ISNUMBER('Council Entry'!N$8),ISNUMBER('Council Entry'!N$9)),MAX(MIN('Council Entry'!N71,'Council Entry'!N$9),'Council Entry'!N$8),'Council Entry'!N71)),IF(AND(ISNUMBER('Council Entry'!N$8),ISNUMBER('Council Entry'!N$9)),MAX(MIN('Council Entry'!N71,'Council Entry'!N$9),'Council Entry'!N$8),'Council Entry'!N71))))-'Council Entry'!N$5)/('Council Entry'!N$6-'Council Entry'!N$5)),1))),"No data"))</f>
        <v/>
      </c>
      <c r="O71" s="13">
        <f>IF('Council Entry'!O71="","",IFERROR(MAX(0,MIN(10,ROUND(IF('Council Entry'!O$7="Decrease Risk",10-10*((IF('Council Entry'!O$4="Logarithm",LN(0.001+IF(AND(ISNUMBER('Council Entry'!O$8),ISNUMBER('Council Entry'!O$9)),MAX(MIN('Council Entry'!O71,'Council Entry'!O$9),'Council Entry'!O$8),'Council Entry'!O71)),IF('Council Entry'!O$4="Exponential",EXP(IF(AND(ISNUMBER('Council Entry'!O$8),ISNUMBER('Council Entry'!O$9)),MAX(MIN('Council Entry'!O71,'Council Entry'!O$9),'Council Entry'!O$8),'Council Entry'!O71)),IF(AND(ISNUMBER('Council Entry'!O$8),ISNUMBER('Council Entry'!O$9)),MAX(MIN('Council Entry'!O71,'Council Entry'!O$9),'Council Entry'!O$8),'Council Entry'!O71))))-'Council Entry'!O$5)/('Council Entry'!O$6-'Council Entry'!O$5),10*((IF('Council Entry'!O$4="Logarithm",LN(0.001+IF(AND(ISNUMBER('Council Entry'!O$8),ISNUMBER('Council Entry'!O$9)),MAX(MIN('Council Entry'!O71,'Council Entry'!O$9),'Council Entry'!O$8),'Council Entry'!O71)),IF('Council Entry'!O$4="Exponential",EXP(IF(AND(ISNUMBER('Council Entry'!O$8),ISNUMBER('Council Entry'!O$9)),MAX(MIN('Council Entry'!O71,'Council Entry'!O$9),'Council Entry'!O$8),'Council Entry'!O71)),IF(AND(ISNUMBER('Council Entry'!O$8),ISNUMBER('Council Entry'!O$9)),MAX(MIN('Council Entry'!O71,'Council Entry'!O$9),'Council Entry'!O$8),'Council Entry'!O71))))-'Council Entry'!O$5)/('Council Entry'!O$6-'Council Entry'!O$5)),1))),"No data"))</f>
        <v/>
      </c>
      <c r="P71" s="13">
        <f>IF('Council Entry'!P71="","",IFERROR(MAX(0,MIN(10,ROUND(IF('Council Entry'!P$7="Decrease Risk",10-10*((IF('Council Entry'!P$4="Logarithm",LN(0.001+IF(AND(ISNUMBER('Council Entry'!P$8),ISNUMBER('Council Entry'!P$9)),MAX(MIN('Council Entry'!P71,'Council Entry'!P$9),'Council Entry'!P$8),'Council Entry'!P71)),IF('Council Entry'!P$4="Exponential",EXP(IF(AND(ISNUMBER('Council Entry'!P$8),ISNUMBER('Council Entry'!P$9)),MAX(MIN('Council Entry'!P71,'Council Entry'!P$9),'Council Entry'!P$8),'Council Entry'!P71)),IF(AND(ISNUMBER('Council Entry'!P$8),ISNUMBER('Council Entry'!P$9)),MAX(MIN('Council Entry'!P71,'Council Entry'!P$9),'Council Entry'!P$8),'Council Entry'!P71))))-'Council Entry'!P$5)/('Council Entry'!P$6-'Council Entry'!P$5),10*((IF('Council Entry'!P$4="Logarithm",LN(0.001+IF(AND(ISNUMBER('Council Entry'!P$8),ISNUMBER('Council Entry'!P$9)),MAX(MIN('Council Entry'!P71,'Council Entry'!P$9),'Council Entry'!P$8),'Council Entry'!P71)),IF('Council Entry'!P$4="Exponential",EXP(IF(AND(ISNUMBER('Council Entry'!P$8),ISNUMBER('Council Entry'!P$9)),MAX(MIN('Council Entry'!P71,'Council Entry'!P$9),'Council Entry'!P$8),'Council Entry'!P71)),IF(AND(ISNUMBER('Council Entry'!P$8),ISNUMBER('Council Entry'!P$9)),MAX(MIN('Council Entry'!P71,'Council Entry'!P$9),'Council Entry'!P$8),'Council Entry'!P71))))-'Council Entry'!P$5)/('Council Entry'!P$6-'Council Entry'!P$5)),1))),"No data"))</f>
        <v/>
      </c>
      <c r="Q71" s="13">
        <f>IF('Council Entry'!Q71="","",IFERROR(MAX(0,MIN(10,ROUND(IF('Council Entry'!Q$7="Decrease Risk",10-10*((IF('Council Entry'!Q$4="Logarithm",LN(0.001+IF(AND(ISNUMBER('Council Entry'!Q$8),ISNUMBER('Council Entry'!Q$9)),MAX(MIN('Council Entry'!Q71,'Council Entry'!Q$9),'Council Entry'!Q$8),'Council Entry'!Q71)),IF('Council Entry'!Q$4="Exponential",EXP(IF(AND(ISNUMBER('Council Entry'!Q$8),ISNUMBER('Council Entry'!Q$9)),MAX(MIN('Council Entry'!Q71,'Council Entry'!Q$9),'Council Entry'!Q$8),'Council Entry'!Q71)),IF(AND(ISNUMBER('Council Entry'!Q$8),ISNUMBER('Council Entry'!Q$9)),MAX(MIN('Council Entry'!Q71,'Council Entry'!Q$9),'Council Entry'!Q$8),'Council Entry'!Q71))))-'Council Entry'!Q$5)/('Council Entry'!Q$6-'Council Entry'!Q$5),10*((IF('Council Entry'!Q$4="Logarithm",LN(0.001+IF(AND(ISNUMBER('Council Entry'!Q$8),ISNUMBER('Council Entry'!Q$9)),MAX(MIN('Council Entry'!Q71,'Council Entry'!Q$9),'Council Entry'!Q$8),'Council Entry'!Q71)),IF('Council Entry'!Q$4="Exponential",EXP(IF(AND(ISNUMBER('Council Entry'!Q$8),ISNUMBER('Council Entry'!Q$9)),MAX(MIN('Council Entry'!Q71,'Council Entry'!Q$9),'Council Entry'!Q$8),'Council Entry'!Q71)),IF(AND(ISNUMBER('Council Entry'!Q$8),ISNUMBER('Council Entry'!Q$9)),MAX(MIN('Council Entry'!Q71,'Council Entry'!Q$9),'Council Entry'!Q$8),'Council Entry'!Q71))))-'Council Entry'!Q$5)/('Council Entry'!Q$6-'Council Entry'!Q$5)),1))),"No data"))</f>
        <v/>
      </c>
      <c r="R71" s="13">
        <f>IF('Council Entry'!R71="","",IFERROR(MAX(0,MIN(10,ROUND(IF('Council Entry'!R$7="Decrease Risk",10-10*((IF('Council Entry'!R$4="Logarithm",LN(0.001+IF(AND(ISNUMBER('Council Entry'!R$8),ISNUMBER('Council Entry'!R$9)),MAX(MIN('Council Entry'!R71,'Council Entry'!R$9),'Council Entry'!R$8),'Council Entry'!R71)),IF('Council Entry'!R$4="Exponential",EXP(IF(AND(ISNUMBER('Council Entry'!R$8),ISNUMBER('Council Entry'!R$9)),MAX(MIN('Council Entry'!R71,'Council Entry'!R$9),'Council Entry'!R$8),'Council Entry'!R71)),IF(AND(ISNUMBER('Council Entry'!R$8),ISNUMBER('Council Entry'!R$9)),MAX(MIN('Council Entry'!R71,'Council Entry'!R$9),'Council Entry'!R$8),'Council Entry'!R71))))-'Council Entry'!R$5)/('Council Entry'!R$6-'Council Entry'!R$5),10*((IF('Council Entry'!R$4="Logarithm",LN(0.001+IF(AND(ISNUMBER('Council Entry'!R$8),ISNUMBER('Council Entry'!R$9)),MAX(MIN('Council Entry'!R71,'Council Entry'!R$9),'Council Entry'!R$8),'Council Entry'!R71)),IF('Council Entry'!R$4="Exponential",EXP(IF(AND(ISNUMBER('Council Entry'!R$8),ISNUMBER('Council Entry'!R$9)),MAX(MIN('Council Entry'!R71,'Council Entry'!R$9),'Council Entry'!R$8),'Council Entry'!R71)),IF(AND(ISNUMBER('Council Entry'!R$8),ISNUMBER('Council Entry'!R$9)),MAX(MIN('Council Entry'!R71,'Council Entry'!R$9),'Council Entry'!R$8),'Council Entry'!R71))))-'Council Entry'!R$5)/('Council Entry'!R$6-'Council Entry'!R$5)),1))),"No data"))</f>
        <v/>
      </c>
      <c r="S71" s="13">
        <f>IF('Council Entry'!S71="","",IFERROR(MAX(0,MIN(10,ROUND(IF('Council Entry'!S$7="Decrease Risk",10-10*((IF('Council Entry'!S$4="Logarithm",LN(0.001+IF(AND(ISNUMBER('Council Entry'!S$8),ISNUMBER('Council Entry'!S$9)),MAX(MIN('Council Entry'!S71,'Council Entry'!S$9),'Council Entry'!S$8),'Council Entry'!S71)),IF('Council Entry'!S$4="Exponential",EXP(IF(AND(ISNUMBER('Council Entry'!S$8),ISNUMBER('Council Entry'!S$9)),MAX(MIN('Council Entry'!S71,'Council Entry'!S$9),'Council Entry'!S$8),'Council Entry'!S71)),IF(AND(ISNUMBER('Council Entry'!S$8),ISNUMBER('Council Entry'!S$9)),MAX(MIN('Council Entry'!S71,'Council Entry'!S$9),'Council Entry'!S$8),'Council Entry'!S71))))-'Council Entry'!S$5)/('Council Entry'!S$6-'Council Entry'!S$5),10*((IF('Council Entry'!S$4="Logarithm",LN(0.001+IF(AND(ISNUMBER('Council Entry'!S$8),ISNUMBER('Council Entry'!S$9)),MAX(MIN('Council Entry'!S71,'Council Entry'!S$9),'Council Entry'!S$8),'Council Entry'!S71)),IF('Council Entry'!S$4="Exponential",EXP(IF(AND(ISNUMBER('Council Entry'!S$8),ISNUMBER('Council Entry'!S$9)),MAX(MIN('Council Entry'!S71,'Council Entry'!S$9),'Council Entry'!S$8),'Council Entry'!S71)),IF(AND(ISNUMBER('Council Entry'!S$8),ISNUMBER('Council Entry'!S$9)),MAX(MIN('Council Entry'!S71,'Council Entry'!S$9),'Council Entry'!S$8),'Council Entry'!S71))))-'Council Entry'!S$5)/('Council Entry'!S$6-'Council Entry'!S$5)),1))),"No data"))</f>
        <v/>
      </c>
      <c r="T71" s="13">
        <f>IF('Council Entry'!T71="","",IFERROR(MAX(0,MIN(10,ROUND(IF('Council Entry'!T$7="Decrease Risk",10-10*((IF('Council Entry'!T$4="Logarithm",LN(0.001+IF(AND(ISNUMBER('Council Entry'!T$8),ISNUMBER('Council Entry'!T$9)),MAX(MIN('Council Entry'!T71,'Council Entry'!T$9),'Council Entry'!T$8),'Council Entry'!T71)),IF('Council Entry'!T$4="Exponential",EXP(IF(AND(ISNUMBER('Council Entry'!T$8),ISNUMBER('Council Entry'!T$9)),MAX(MIN('Council Entry'!T71,'Council Entry'!T$9),'Council Entry'!T$8),'Council Entry'!T71)),IF(AND(ISNUMBER('Council Entry'!T$8),ISNUMBER('Council Entry'!T$9)),MAX(MIN('Council Entry'!T71,'Council Entry'!T$9),'Council Entry'!T$8),'Council Entry'!T71))))-'Council Entry'!T$5)/('Council Entry'!T$6-'Council Entry'!T$5),10*((IF('Council Entry'!T$4="Logarithm",LN(0.001+IF(AND(ISNUMBER('Council Entry'!T$8),ISNUMBER('Council Entry'!T$9)),MAX(MIN('Council Entry'!T71,'Council Entry'!T$9),'Council Entry'!T$8),'Council Entry'!T71)),IF('Council Entry'!T$4="Exponential",EXP(IF(AND(ISNUMBER('Council Entry'!T$8),ISNUMBER('Council Entry'!T$9)),MAX(MIN('Council Entry'!T71,'Council Entry'!T$9),'Council Entry'!T$8),'Council Entry'!T71)),IF(AND(ISNUMBER('Council Entry'!T$8),ISNUMBER('Council Entry'!T$9)),MAX(MIN('Council Entry'!T71,'Council Entry'!T$9),'Council Entry'!T$8),'Council Entry'!T71))))-'Council Entry'!T$5)/('Council Entry'!T$6-'Council Entry'!T$5)),1))),"No data"))</f>
        <v/>
      </c>
      <c r="U71" s="13">
        <f>IF('Council Entry'!U71="","",IFERROR(MAX(0,MIN(10,ROUND(IF('Council Entry'!U$7="Decrease Risk",10-10*((IF('Council Entry'!U$4="Logarithm",LN(0.001+IF(AND(ISNUMBER('Council Entry'!U$8),ISNUMBER('Council Entry'!U$9)),MAX(MIN('Council Entry'!U71,'Council Entry'!U$9),'Council Entry'!U$8),'Council Entry'!U71)),IF('Council Entry'!U$4="Exponential",EXP(IF(AND(ISNUMBER('Council Entry'!U$8),ISNUMBER('Council Entry'!U$9)),MAX(MIN('Council Entry'!U71,'Council Entry'!U$9),'Council Entry'!U$8),'Council Entry'!U71)),IF(AND(ISNUMBER('Council Entry'!U$8),ISNUMBER('Council Entry'!U$9)),MAX(MIN('Council Entry'!U71,'Council Entry'!U$9),'Council Entry'!U$8),'Council Entry'!U71))))-'Council Entry'!U$5)/('Council Entry'!U$6-'Council Entry'!U$5),10*((IF('Council Entry'!U$4="Logarithm",LN(0.001+IF(AND(ISNUMBER('Council Entry'!U$8),ISNUMBER('Council Entry'!U$9)),MAX(MIN('Council Entry'!U71,'Council Entry'!U$9),'Council Entry'!U$8),'Council Entry'!U71)),IF('Council Entry'!U$4="Exponential",EXP(IF(AND(ISNUMBER('Council Entry'!U$8),ISNUMBER('Council Entry'!U$9)),MAX(MIN('Council Entry'!U71,'Council Entry'!U$9),'Council Entry'!U$8),'Council Entry'!U71)),IF(AND(ISNUMBER('Council Entry'!U$8),ISNUMBER('Council Entry'!U$9)),MAX(MIN('Council Entry'!U71,'Council Entry'!U$9),'Council Entry'!U$8),'Council Entry'!U71))))-'Council Entry'!U$5)/('Council Entry'!U$6-'Council Entry'!U$5)),1))),"No data"))</f>
        <v/>
      </c>
      <c r="V71" s="13">
        <f>IF('Council Entry'!V71="","",IFERROR(MAX(0,MIN(10,ROUND(IF('Council Entry'!V$7="Decrease Risk",10-10*((IF('Council Entry'!V$4="Logarithm",LN(0.001+IF(AND(ISNUMBER('Council Entry'!V$8),ISNUMBER('Council Entry'!V$9)),MAX(MIN('Council Entry'!V71,'Council Entry'!V$9),'Council Entry'!V$8),'Council Entry'!V71)),IF('Council Entry'!V$4="Exponential",EXP(IF(AND(ISNUMBER('Council Entry'!V$8),ISNUMBER('Council Entry'!V$9)),MAX(MIN('Council Entry'!V71,'Council Entry'!V$9),'Council Entry'!V$8),'Council Entry'!V71)),IF(AND(ISNUMBER('Council Entry'!V$8),ISNUMBER('Council Entry'!V$9)),MAX(MIN('Council Entry'!V71,'Council Entry'!V$9),'Council Entry'!V$8),'Council Entry'!V71))))-'Council Entry'!V$5)/('Council Entry'!V$6-'Council Entry'!V$5),10*((IF('Council Entry'!V$4="Logarithm",LN(0.001+IF(AND(ISNUMBER('Council Entry'!V$8),ISNUMBER('Council Entry'!V$9)),MAX(MIN('Council Entry'!V71,'Council Entry'!V$9),'Council Entry'!V$8),'Council Entry'!V71)),IF('Council Entry'!V$4="Exponential",EXP(IF(AND(ISNUMBER('Council Entry'!V$8),ISNUMBER('Council Entry'!V$9)),MAX(MIN('Council Entry'!V71,'Council Entry'!V$9),'Council Entry'!V$8),'Council Entry'!V71)),IF(AND(ISNUMBER('Council Entry'!V$8),ISNUMBER('Council Entry'!V$9)),MAX(MIN('Council Entry'!V71,'Council Entry'!V$9),'Council Entry'!V$8),'Council Entry'!V71))))-'Council Entry'!V$5)/('Council Entry'!V$6-'Council Entry'!V$5)),1))),"No data"))</f>
        <v/>
      </c>
      <c r="W71" s="13">
        <f>IF('Council Entry'!W71="","",IFERROR(MAX(0,MIN(10,ROUND(IF('Council Entry'!W$7="Decrease Risk",10-10*((IF('Council Entry'!W$4="Logarithm",LN(0.001+IF(AND(ISNUMBER('Council Entry'!W$8),ISNUMBER('Council Entry'!W$9)),MAX(MIN('Council Entry'!W71,'Council Entry'!W$9),'Council Entry'!W$8),'Council Entry'!W71)),IF('Council Entry'!W$4="Exponential",EXP(IF(AND(ISNUMBER('Council Entry'!W$8),ISNUMBER('Council Entry'!W$9)),MAX(MIN('Council Entry'!W71,'Council Entry'!W$9),'Council Entry'!W$8),'Council Entry'!W71)),IF(AND(ISNUMBER('Council Entry'!W$8),ISNUMBER('Council Entry'!W$9)),MAX(MIN('Council Entry'!W71,'Council Entry'!W$9),'Council Entry'!W$8),'Council Entry'!W71))))-'Council Entry'!W$5)/('Council Entry'!W$6-'Council Entry'!W$5),10*((IF('Council Entry'!W$4="Logarithm",LN(0.001+IF(AND(ISNUMBER('Council Entry'!W$8),ISNUMBER('Council Entry'!W$9)),MAX(MIN('Council Entry'!W71,'Council Entry'!W$9),'Council Entry'!W$8),'Council Entry'!W71)),IF('Council Entry'!W$4="Exponential",EXP(IF(AND(ISNUMBER('Council Entry'!W$8),ISNUMBER('Council Entry'!W$9)),MAX(MIN('Council Entry'!W71,'Council Entry'!W$9),'Council Entry'!W$8),'Council Entry'!W71)),IF(AND(ISNUMBER('Council Entry'!W$8),ISNUMBER('Council Entry'!W$9)),MAX(MIN('Council Entry'!W71,'Council Entry'!W$9),'Council Entry'!W$8),'Council Entry'!W71))))-'Council Entry'!W$5)/('Council Entry'!W$6-'Council Entry'!W$5)),1))),"No data"))</f>
        <v/>
      </c>
      <c r="X71" s="13">
        <f>IF('Council Entry'!X71="","",IFERROR(MAX(0,MIN(10,ROUND(IF('Council Entry'!X$7="Decrease Risk",10-10*((IF('Council Entry'!X$4="Logarithm",LN(0.001+IF(AND(ISNUMBER('Council Entry'!X$8),ISNUMBER('Council Entry'!X$9)),MAX(MIN('Council Entry'!X71,'Council Entry'!X$9),'Council Entry'!X$8),'Council Entry'!X71)),IF('Council Entry'!X$4="Exponential",EXP(IF(AND(ISNUMBER('Council Entry'!X$8),ISNUMBER('Council Entry'!X$9)),MAX(MIN('Council Entry'!X71,'Council Entry'!X$9),'Council Entry'!X$8),'Council Entry'!X71)),IF(AND(ISNUMBER('Council Entry'!X$8),ISNUMBER('Council Entry'!X$9)),MAX(MIN('Council Entry'!X71,'Council Entry'!X$9),'Council Entry'!X$8),'Council Entry'!X71))))-'Council Entry'!X$5)/('Council Entry'!X$6-'Council Entry'!X$5),10*((IF('Council Entry'!X$4="Logarithm",LN(0.001+IF(AND(ISNUMBER('Council Entry'!X$8),ISNUMBER('Council Entry'!X$9)),MAX(MIN('Council Entry'!X71,'Council Entry'!X$9),'Council Entry'!X$8),'Council Entry'!X71)),IF('Council Entry'!X$4="Exponential",EXP(IF(AND(ISNUMBER('Council Entry'!X$8),ISNUMBER('Council Entry'!X$9)),MAX(MIN('Council Entry'!X71,'Council Entry'!X$9),'Council Entry'!X$8),'Council Entry'!X71)),IF(AND(ISNUMBER('Council Entry'!X$8),ISNUMBER('Council Entry'!X$9)),MAX(MIN('Council Entry'!X71,'Council Entry'!X$9),'Council Entry'!X$8),'Council Entry'!X71))))-'Council Entry'!X$5)/('Council Entry'!X$6-'Council Entry'!X$5)),1))),"No data"))</f>
        <v/>
      </c>
      <c r="Y71" s="13">
        <f>IF('Council Entry'!Y71="","",IFERROR(MAX(0,MIN(10,ROUND(IF('Council Entry'!Y$7="Decrease Risk",10-10*((IF('Council Entry'!Y$4="Logarithm",LN(0.001+IF(AND(ISNUMBER('Council Entry'!Y$8),ISNUMBER('Council Entry'!Y$9)),MAX(MIN('Council Entry'!Y71,'Council Entry'!Y$9),'Council Entry'!Y$8),'Council Entry'!Y71)),IF('Council Entry'!Y$4="Exponential",EXP(IF(AND(ISNUMBER('Council Entry'!Y$8),ISNUMBER('Council Entry'!Y$9)),MAX(MIN('Council Entry'!Y71,'Council Entry'!Y$9),'Council Entry'!Y$8),'Council Entry'!Y71)),IF(AND(ISNUMBER('Council Entry'!Y$8),ISNUMBER('Council Entry'!Y$9)),MAX(MIN('Council Entry'!Y71,'Council Entry'!Y$9),'Council Entry'!Y$8),'Council Entry'!Y71))))-'Council Entry'!Y$5)/('Council Entry'!Y$6-'Council Entry'!Y$5),10*((IF('Council Entry'!Y$4="Logarithm",LN(0.001+IF(AND(ISNUMBER('Council Entry'!Y$8),ISNUMBER('Council Entry'!Y$9)),MAX(MIN('Council Entry'!Y71,'Council Entry'!Y$9),'Council Entry'!Y$8),'Council Entry'!Y71)),IF('Council Entry'!Y$4="Exponential",EXP(IF(AND(ISNUMBER('Council Entry'!Y$8),ISNUMBER('Council Entry'!Y$9)),MAX(MIN('Council Entry'!Y71,'Council Entry'!Y$9),'Council Entry'!Y$8),'Council Entry'!Y71)),IF(AND(ISNUMBER('Council Entry'!Y$8),ISNUMBER('Council Entry'!Y$9)),MAX(MIN('Council Entry'!Y71,'Council Entry'!Y$9),'Council Entry'!Y$8),'Council Entry'!Y71))))-'Council Entry'!Y$5)/('Council Entry'!Y$6-'Council Entry'!Y$5)),1))),"No data"))</f>
        <v/>
      </c>
      <c r="Z71" s="13">
        <f>IF('Council Entry'!Z71="","",IFERROR(MAX(0,MIN(10,ROUND(IF('Council Entry'!Z$7="Decrease Risk",10-10*((IF('Council Entry'!Z$4="Logarithm",LN(0.001+IF(AND(ISNUMBER('Council Entry'!Z$8),ISNUMBER('Council Entry'!Z$9)),MAX(MIN('Council Entry'!Z71,'Council Entry'!Z$9),'Council Entry'!Z$8),'Council Entry'!Z71)),IF('Council Entry'!Z$4="Exponential",EXP(IF(AND(ISNUMBER('Council Entry'!Z$8),ISNUMBER('Council Entry'!Z$9)),MAX(MIN('Council Entry'!Z71,'Council Entry'!Z$9),'Council Entry'!Z$8),'Council Entry'!Z71)),IF(AND(ISNUMBER('Council Entry'!Z$8),ISNUMBER('Council Entry'!Z$9)),MAX(MIN('Council Entry'!Z71,'Council Entry'!Z$9),'Council Entry'!Z$8),'Council Entry'!Z71))))-'Council Entry'!Z$5)/('Council Entry'!Z$6-'Council Entry'!Z$5),10*((IF('Council Entry'!Z$4="Logarithm",LN(0.001+IF(AND(ISNUMBER('Council Entry'!Z$8),ISNUMBER('Council Entry'!Z$9)),MAX(MIN('Council Entry'!Z71,'Council Entry'!Z$9),'Council Entry'!Z$8),'Council Entry'!Z71)),IF('Council Entry'!Z$4="Exponential",EXP(IF(AND(ISNUMBER('Council Entry'!Z$8),ISNUMBER('Council Entry'!Z$9)),MAX(MIN('Council Entry'!Z71,'Council Entry'!Z$9),'Council Entry'!Z$8),'Council Entry'!Z71)),IF(AND(ISNUMBER('Council Entry'!Z$8),ISNUMBER('Council Entry'!Z$9)),MAX(MIN('Council Entry'!Z71,'Council Entry'!Z$9),'Council Entry'!Z$8),'Council Entry'!Z71))))-'Council Entry'!Z$5)/('Council Entry'!Z$6-'Council Entry'!Z$5)),1))),"No data"))</f>
        <v/>
      </c>
      <c r="AA71" s="13">
        <f>IF('Council Entry'!AA71="","",IFERROR(MAX(0,MIN(10,ROUND(IF('Council Entry'!AA$7="Decrease Risk",10-10*((IF('Council Entry'!AA$4="Logarithm",LN(0.001+IF(AND(ISNUMBER('Council Entry'!AA$8),ISNUMBER('Council Entry'!AA$9)),MAX(MIN('Council Entry'!AA71,'Council Entry'!AA$9),'Council Entry'!AA$8),'Council Entry'!AA71)),IF('Council Entry'!AA$4="Exponential",EXP(IF(AND(ISNUMBER('Council Entry'!AA$8),ISNUMBER('Council Entry'!AA$9)),MAX(MIN('Council Entry'!AA71,'Council Entry'!AA$9),'Council Entry'!AA$8),'Council Entry'!AA71)),IF(AND(ISNUMBER('Council Entry'!AA$8),ISNUMBER('Council Entry'!AA$9)),MAX(MIN('Council Entry'!AA71,'Council Entry'!AA$9),'Council Entry'!AA$8),'Council Entry'!AA71))))-'Council Entry'!AA$5)/('Council Entry'!AA$6-'Council Entry'!AA$5),10*((IF('Council Entry'!AA$4="Logarithm",LN(0.001+IF(AND(ISNUMBER('Council Entry'!AA$8),ISNUMBER('Council Entry'!AA$9)),MAX(MIN('Council Entry'!AA71,'Council Entry'!AA$9),'Council Entry'!AA$8),'Council Entry'!AA71)),IF('Council Entry'!AA$4="Exponential",EXP(IF(AND(ISNUMBER('Council Entry'!AA$8),ISNUMBER('Council Entry'!AA$9)),MAX(MIN('Council Entry'!AA71,'Council Entry'!AA$9),'Council Entry'!AA$8),'Council Entry'!AA71)),IF(AND(ISNUMBER('Council Entry'!AA$8),ISNUMBER('Council Entry'!AA$9)),MAX(MIN('Council Entry'!AA71,'Council Entry'!AA$9),'Council Entry'!AA$8),'Council Entry'!AA71))))-'Council Entry'!AA$5)/('Council Entry'!AA$6-'Council Entry'!AA$5)),1))),"No data"))</f>
        <v/>
      </c>
      <c r="AB71" s="13">
        <f>IF('Council Entry'!AB71="","",IFERROR(MAX(0,MIN(10,ROUND(IF('Council Entry'!AB$7="Decrease Risk",10-10*((IF('Council Entry'!AB$4="Logarithm",LN(0.001+IF(AND(ISNUMBER('Council Entry'!AB$8),ISNUMBER('Council Entry'!AB$9)),MAX(MIN('Council Entry'!AB71,'Council Entry'!AB$9),'Council Entry'!AB$8),'Council Entry'!AB71)),IF('Council Entry'!AB$4="Exponential",EXP(IF(AND(ISNUMBER('Council Entry'!AB$8),ISNUMBER('Council Entry'!AB$9)),MAX(MIN('Council Entry'!AB71,'Council Entry'!AB$9),'Council Entry'!AB$8),'Council Entry'!AB71)),IF(AND(ISNUMBER('Council Entry'!AB$8),ISNUMBER('Council Entry'!AB$9)),MAX(MIN('Council Entry'!AB71,'Council Entry'!AB$9),'Council Entry'!AB$8),'Council Entry'!AB71))))-'Council Entry'!AB$5)/('Council Entry'!AB$6-'Council Entry'!AB$5),10*((IF('Council Entry'!AB$4="Logarithm",LN(0.001+IF(AND(ISNUMBER('Council Entry'!AB$8),ISNUMBER('Council Entry'!AB$9)),MAX(MIN('Council Entry'!AB71,'Council Entry'!AB$9),'Council Entry'!AB$8),'Council Entry'!AB71)),IF('Council Entry'!AB$4="Exponential",EXP(IF(AND(ISNUMBER('Council Entry'!AB$8),ISNUMBER('Council Entry'!AB$9)),MAX(MIN('Council Entry'!AB71,'Council Entry'!AB$9),'Council Entry'!AB$8),'Council Entry'!AB71)),IF(AND(ISNUMBER('Council Entry'!AB$8),ISNUMBER('Council Entry'!AB$9)),MAX(MIN('Council Entry'!AB71,'Council Entry'!AB$9),'Council Entry'!AB$8),'Council Entry'!AB71))))-'Council Entry'!AB$5)/('Council Entry'!AB$6-'Council Entry'!AB$5)),1))),"No data"))</f>
        <v/>
      </c>
      <c r="AC71" s="13">
        <f>IF('Council Entry'!AC71="","",IFERROR(MAX(0,MIN(10,ROUND(IF('Council Entry'!AC$7="Decrease Risk",10-10*((IF('Council Entry'!AC$4="Logarithm",LN(0.001+IF(AND(ISNUMBER('Council Entry'!AC$8),ISNUMBER('Council Entry'!AC$9)),MAX(MIN('Council Entry'!AC71,'Council Entry'!AC$9),'Council Entry'!AC$8),'Council Entry'!AC71)),IF('Council Entry'!AC$4="Exponential",EXP(IF(AND(ISNUMBER('Council Entry'!AC$8),ISNUMBER('Council Entry'!AC$9)),MAX(MIN('Council Entry'!AC71,'Council Entry'!AC$9),'Council Entry'!AC$8),'Council Entry'!AC71)),IF(AND(ISNUMBER('Council Entry'!AC$8),ISNUMBER('Council Entry'!AC$9)),MAX(MIN('Council Entry'!AC71,'Council Entry'!AC$9),'Council Entry'!AC$8),'Council Entry'!AC71))))-'Council Entry'!AC$5)/('Council Entry'!AC$6-'Council Entry'!AC$5),10*((IF('Council Entry'!AC$4="Logarithm",LN(0.001+IF(AND(ISNUMBER('Council Entry'!AC$8),ISNUMBER('Council Entry'!AC$9)),MAX(MIN('Council Entry'!AC71,'Council Entry'!AC$9),'Council Entry'!AC$8),'Council Entry'!AC71)),IF('Council Entry'!AC$4="Exponential",EXP(IF(AND(ISNUMBER('Council Entry'!AC$8),ISNUMBER('Council Entry'!AC$9)),MAX(MIN('Council Entry'!AC71,'Council Entry'!AC$9),'Council Entry'!AC$8),'Council Entry'!AC71)),IF(AND(ISNUMBER('Council Entry'!AC$8),ISNUMBER('Council Entry'!AC$9)),MAX(MIN('Council Entry'!AC71,'Council Entry'!AC$9),'Council Entry'!AC$8),'Council Entry'!AC71))))-'Council Entry'!AC$5)/('Council Entry'!AC$6-'Council Entry'!AC$5)),1))),"No data"))</f>
        <v/>
      </c>
      <c r="AD71" s="13">
        <f>IF('Council Entry'!AD71="","",IFERROR(MAX(0,MIN(10,ROUND(IF('Council Entry'!AD$7="Decrease Risk",10-10*((IF('Council Entry'!AD$4="Logarithm",LN(0.001+IF(AND(ISNUMBER('Council Entry'!AD$8),ISNUMBER('Council Entry'!AD$9)),MAX(MIN('Council Entry'!AD71,'Council Entry'!AD$9),'Council Entry'!AD$8),'Council Entry'!AD71)),IF('Council Entry'!AD$4="Exponential",EXP(IF(AND(ISNUMBER('Council Entry'!AD$8),ISNUMBER('Council Entry'!AD$9)),MAX(MIN('Council Entry'!AD71,'Council Entry'!AD$9),'Council Entry'!AD$8),'Council Entry'!AD71)),IF(AND(ISNUMBER('Council Entry'!AD$8),ISNUMBER('Council Entry'!AD$9)),MAX(MIN('Council Entry'!AD71,'Council Entry'!AD$9),'Council Entry'!AD$8),'Council Entry'!AD71))))-'Council Entry'!AD$5)/('Council Entry'!AD$6-'Council Entry'!AD$5),10*((IF('Council Entry'!AD$4="Logarithm",LN(0.001+IF(AND(ISNUMBER('Council Entry'!AD$8),ISNUMBER('Council Entry'!AD$9)),MAX(MIN('Council Entry'!AD71,'Council Entry'!AD$9),'Council Entry'!AD$8),'Council Entry'!AD71)),IF('Council Entry'!AD$4="Exponential",EXP(IF(AND(ISNUMBER('Council Entry'!AD$8),ISNUMBER('Council Entry'!AD$9)),MAX(MIN('Council Entry'!AD71,'Council Entry'!AD$9),'Council Entry'!AD$8),'Council Entry'!AD71)),IF(AND(ISNUMBER('Council Entry'!AD$8),ISNUMBER('Council Entry'!AD$9)),MAX(MIN('Council Entry'!AD71,'Council Entry'!AD$9),'Council Entry'!AD$8),'Council Entry'!AD71))))-'Council Entry'!AD$5)/('Council Entry'!AD$6-'Council Entry'!AD$5)),1))),"No data"))</f>
        <v/>
      </c>
      <c r="AE71" s="13">
        <f>IF('Council Entry'!AE71="","",IFERROR(MAX(0,MIN(10,ROUND(IF('Council Entry'!AE$7="Decrease Risk",10-10*((IF('Council Entry'!AE$4="Logarithm",LN(0.001+IF(AND(ISNUMBER('Council Entry'!AE$8),ISNUMBER('Council Entry'!AE$9)),MAX(MIN('Council Entry'!AE71,'Council Entry'!AE$9),'Council Entry'!AE$8),'Council Entry'!AE71)),IF('Council Entry'!AE$4="Exponential",EXP(IF(AND(ISNUMBER('Council Entry'!AE$8),ISNUMBER('Council Entry'!AE$9)),MAX(MIN('Council Entry'!AE71,'Council Entry'!AE$9),'Council Entry'!AE$8),'Council Entry'!AE71)),IF(AND(ISNUMBER('Council Entry'!AE$8),ISNUMBER('Council Entry'!AE$9)),MAX(MIN('Council Entry'!AE71,'Council Entry'!AE$9),'Council Entry'!AE$8),'Council Entry'!AE71))))-'Council Entry'!AE$5)/('Council Entry'!AE$6-'Council Entry'!AE$5),10*((IF('Council Entry'!AE$4="Logarithm",LN(0.001+IF(AND(ISNUMBER('Council Entry'!AE$8),ISNUMBER('Council Entry'!AE$9)),MAX(MIN('Council Entry'!AE71,'Council Entry'!AE$9),'Council Entry'!AE$8),'Council Entry'!AE71)),IF('Council Entry'!AE$4="Exponential",EXP(IF(AND(ISNUMBER('Council Entry'!AE$8),ISNUMBER('Council Entry'!AE$9)),MAX(MIN('Council Entry'!AE71,'Council Entry'!AE$9),'Council Entry'!AE$8),'Council Entry'!AE71)),IF(AND(ISNUMBER('Council Entry'!AE$8),ISNUMBER('Council Entry'!AE$9)),MAX(MIN('Council Entry'!AE71,'Council Entry'!AE$9),'Council Entry'!AE$8),'Council Entry'!AE71))))-'Council Entry'!AE$5)/('Council Entry'!AE$6-'Council Entry'!AE$5)),1))),"No data"))</f>
        <v/>
      </c>
      <c r="AF71" s="13">
        <f>IF('Council Entry'!AF71="","",IFERROR(MAX(0,MIN(10,ROUND(IF('Council Entry'!AF$7="Decrease Risk",10-10*((IF('Council Entry'!AF$4="Logarithm",LN(0.001+IF(AND(ISNUMBER('Council Entry'!AF$8),ISNUMBER('Council Entry'!AF$9)),MAX(MIN('Council Entry'!AF71,'Council Entry'!AF$9),'Council Entry'!AF$8),'Council Entry'!AF71)),IF('Council Entry'!AF$4="Exponential",EXP(IF(AND(ISNUMBER('Council Entry'!AF$8),ISNUMBER('Council Entry'!AF$9)),MAX(MIN('Council Entry'!AF71,'Council Entry'!AF$9),'Council Entry'!AF$8),'Council Entry'!AF71)),IF(AND(ISNUMBER('Council Entry'!AF$8),ISNUMBER('Council Entry'!AF$9)),MAX(MIN('Council Entry'!AF71,'Council Entry'!AF$9),'Council Entry'!AF$8),'Council Entry'!AF71))))-'Council Entry'!AF$5)/('Council Entry'!AF$6-'Council Entry'!AF$5),10*((IF('Council Entry'!AF$4="Logarithm",LN(0.001+IF(AND(ISNUMBER('Council Entry'!AF$8),ISNUMBER('Council Entry'!AF$9)),MAX(MIN('Council Entry'!AF71,'Council Entry'!AF$9),'Council Entry'!AF$8),'Council Entry'!AF71)),IF('Council Entry'!AF$4="Exponential",EXP(IF(AND(ISNUMBER('Council Entry'!AF$8),ISNUMBER('Council Entry'!AF$9)),MAX(MIN('Council Entry'!AF71,'Council Entry'!AF$9),'Council Entry'!AF$8),'Council Entry'!AF71)),IF(AND(ISNUMBER('Council Entry'!AF$8),ISNUMBER('Council Entry'!AF$9)),MAX(MIN('Council Entry'!AF71,'Council Entry'!AF$9),'Council Entry'!AF$8),'Council Entry'!AF71))))-'Council Entry'!AF$5)/('Council Entry'!AF$6-'Council Entry'!AF$5)),1))),"No data"))</f>
        <v/>
      </c>
      <c r="AG71" s="13">
        <f>IF('Council Entry'!AG71="","",IFERROR(MAX(0,MIN(10,ROUND(IF('Council Entry'!AG$7="Decrease Risk",10-10*((IF('Council Entry'!AG$4="Logarithm",LN(0.001+IF(AND(ISNUMBER('Council Entry'!AG$8),ISNUMBER('Council Entry'!AG$9)),MAX(MIN('Council Entry'!AG71,'Council Entry'!AG$9),'Council Entry'!AG$8),'Council Entry'!AG71)),IF('Council Entry'!AG$4="Exponential",EXP(IF(AND(ISNUMBER('Council Entry'!AG$8),ISNUMBER('Council Entry'!AG$9)),MAX(MIN('Council Entry'!AG71,'Council Entry'!AG$9),'Council Entry'!AG$8),'Council Entry'!AG71)),IF(AND(ISNUMBER('Council Entry'!AG$8),ISNUMBER('Council Entry'!AG$9)),MAX(MIN('Council Entry'!AG71,'Council Entry'!AG$9),'Council Entry'!AG$8),'Council Entry'!AG71))))-'Council Entry'!AG$5)/('Council Entry'!AG$6-'Council Entry'!AG$5),10*((IF('Council Entry'!AG$4="Logarithm",LN(0.001+IF(AND(ISNUMBER('Council Entry'!AG$8),ISNUMBER('Council Entry'!AG$9)),MAX(MIN('Council Entry'!AG71,'Council Entry'!AG$9),'Council Entry'!AG$8),'Council Entry'!AG71)),IF('Council Entry'!AG$4="Exponential",EXP(IF(AND(ISNUMBER('Council Entry'!AG$8),ISNUMBER('Council Entry'!AG$9)),MAX(MIN('Council Entry'!AG71,'Council Entry'!AG$9),'Council Entry'!AG$8),'Council Entry'!AG71)),IF(AND(ISNUMBER('Council Entry'!AG$8),ISNUMBER('Council Entry'!AG$9)),MAX(MIN('Council Entry'!AG71,'Council Entry'!AG$9),'Council Entry'!AG$8),'Council Entry'!AG71))))-'Council Entry'!AG$5)/('Council Entry'!AG$6-'Council Entry'!AG$5)),1))),"No data"))</f>
        <v/>
      </c>
      <c r="AH71" s="13">
        <f>IF('Council Entry'!AH71="","",IFERROR(MAX(0,MIN(10,ROUND(IF('Council Entry'!AH$7="Decrease Risk",10-10*((IF('Council Entry'!AH$4="Logarithm",LN(0.001+IF(AND(ISNUMBER('Council Entry'!AH$8),ISNUMBER('Council Entry'!AH$9)),MAX(MIN('Council Entry'!AH71,'Council Entry'!AH$9),'Council Entry'!AH$8),'Council Entry'!AH71)),IF('Council Entry'!AH$4="Exponential",EXP(IF(AND(ISNUMBER('Council Entry'!AH$8),ISNUMBER('Council Entry'!AH$9)),MAX(MIN('Council Entry'!AH71,'Council Entry'!AH$9),'Council Entry'!AH$8),'Council Entry'!AH71)),IF(AND(ISNUMBER('Council Entry'!AH$8),ISNUMBER('Council Entry'!AH$9)),MAX(MIN('Council Entry'!AH71,'Council Entry'!AH$9),'Council Entry'!AH$8),'Council Entry'!AH71))))-'Council Entry'!AH$5)/('Council Entry'!AH$6-'Council Entry'!AH$5),10*((IF('Council Entry'!AH$4="Logarithm",LN(0.001+IF(AND(ISNUMBER('Council Entry'!AH$8),ISNUMBER('Council Entry'!AH$9)),MAX(MIN('Council Entry'!AH71,'Council Entry'!AH$9),'Council Entry'!AH$8),'Council Entry'!AH71)),IF('Council Entry'!AH$4="Exponential",EXP(IF(AND(ISNUMBER('Council Entry'!AH$8),ISNUMBER('Council Entry'!AH$9)),MAX(MIN('Council Entry'!AH71,'Council Entry'!AH$9),'Council Entry'!AH$8),'Council Entry'!AH71)),IF(AND(ISNUMBER('Council Entry'!AH$8),ISNUMBER('Council Entry'!AH$9)),MAX(MIN('Council Entry'!AH71,'Council Entry'!AH$9),'Council Entry'!AH$8),'Council Entry'!AH71))))-'Council Entry'!AH$5)/('Council Entry'!AH$6-'Council Entry'!AH$5)),1))),"No data"))</f>
        <v/>
      </c>
      <c r="AI71" s="13">
        <f>IF('Council Entry'!AI71="","",IFERROR(MAX(0,MIN(10,ROUND(IF('Council Entry'!AI$7="Decrease Risk",10-10*((IF('Council Entry'!AI$4="Logarithm",LN(0.001+IF(AND(ISNUMBER('Council Entry'!AI$8),ISNUMBER('Council Entry'!AI$9)),MAX(MIN('Council Entry'!AI71,'Council Entry'!AI$9),'Council Entry'!AI$8),'Council Entry'!AI71)),IF('Council Entry'!AI$4="Exponential",EXP(IF(AND(ISNUMBER('Council Entry'!AI$8),ISNUMBER('Council Entry'!AI$9)),MAX(MIN('Council Entry'!AI71,'Council Entry'!AI$9),'Council Entry'!AI$8),'Council Entry'!AI71)),IF(AND(ISNUMBER('Council Entry'!AI$8),ISNUMBER('Council Entry'!AI$9)),MAX(MIN('Council Entry'!AI71,'Council Entry'!AI$9),'Council Entry'!AI$8),'Council Entry'!AI71))))-'Council Entry'!AI$5)/('Council Entry'!AI$6-'Council Entry'!AI$5),10*((IF('Council Entry'!AI$4="Logarithm",LN(0.001+IF(AND(ISNUMBER('Council Entry'!AI$8),ISNUMBER('Council Entry'!AI$9)),MAX(MIN('Council Entry'!AI71,'Council Entry'!AI$9),'Council Entry'!AI$8),'Council Entry'!AI71)),IF('Council Entry'!AI$4="Exponential",EXP(IF(AND(ISNUMBER('Council Entry'!AI$8),ISNUMBER('Council Entry'!AI$9)),MAX(MIN('Council Entry'!AI71,'Council Entry'!AI$9),'Council Entry'!AI$8),'Council Entry'!AI71)),IF(AND(ISNUMBER('Council Entry'!AI$8),ISNUMBER('Council Entry'!AI$9)),MAX(MIN('Council Entry'!AI71,'Council Entry'!AI$9),'Council Entry'!AI$8),'Council Entry'!AI71))))-'Council Entry'!AI$5)/('Council Entry'!AI$6-'Council Entry'!AI$5)),1))),"No data"))</f>
        <v/>
      </c>
      <c r="AJ71" s="13">
        <f>IF('Council Entry'!AJ71="","",IFERROR(MAX(0,MIN(10,ROUND(IF('Council Entry'!AJ$7="Decrease Risk",10-10*((IF('Council Entry'!AJ$4="Logarithm",LN(0.001+IF(AND(ISNUMBER('Council Entry'!AJ$8),ISNUMBER('Council Entry'!AJ$9)),MAX(MIN('Council Entry'!AJ71,'Council Entry'!AJ$9),'Council Entry'!AJ$8),'Council Entry'!AJ71)),IF('Council Entry'!AJ$4="Exponential",EXP(IF(AND(ISNUMBER('Council Entry'!AJ$8),ISNUMBER('Council Entry'!AJ$9)),MAX(MIN('Council Entry'!AJ71,'Council Entry'!AJ$9),'Council Entry'!AJ$8),'Council Entry'!AJ71)),IF(AND(ISNUMBER('Council Entry'!AJ$8),ISNUMBER('Council Entry'!AJ$9)),MAX(MIN('Council Entry'!AJ71,'Council Entry'!AJ$9),'Council Entry'!AJ$8),'Council Entry'!AJ71))))-'Council Entry'!AJ$5)/('Council Entry'!AJ$6-'Council Entry'!AJ$5),10*((IF('Council Entry'!AJ$4="Logarithm",LN(0.001+IF(AND(ISNUMBER('Council Entry'!AJ$8),ISNUMBER('Council Entry'!AJ$9)),MAX(MIN('Council Entry'!AJ71,'Council Entry'!AJ$9),'Council Entry'!AJ$8),'Council Entry'!AJ71)),IF('Council Entry'!AJ$4="Exponential",EXP(IF(AND(ISNUMBER('Council Entry'!AJ$8),ISNUMBER('Council Entry'!AJ$9)),MAX(MIN('Council Entry'!AJ71,'Council Entry'!AJ$9),'Council Entry'!AJ$8),'Council Entry'!AJ71)),IF(AND(ISNUMBER('Council Entry'!AJ$8),ISNUMBER('Council Entry'!AJ$9)),MAX(MIN('Council Entry'!AJ71,'Council Entry'!AJ$9),'Council Entry'!AJ$8),'Council Entry'!AJ71))))-'Council Entry'!AJ$5)/('Council Entry'!AJ$6-'Council Entry'!AJ$5)),1))),"No data"))</f>
        <v/>
      </c>
      <c r="AK71" s="13">
        <f>IF('Council Entry'!AK71="","",IFERROR(MAX(0,MIN(10,ROUND(IF('Council Entry'!AK$7="Decrease Risk",10-10*((IF('Council Entry'!AK$4="Logarithm",LN(0.001+IF(AND(ISNUMBER('Council Entry'!AK$8),ISNUMBER('Council Entry'!AK$9)),MAX(MIN('Council Entry'!AK71,'Council Entry'!AK$9),'Council Entry'!AK$8),'Council Entry'!AK71)),IF('Council Entry'!AK$4="Exponential",EXP(IF(AND(ISNUMBER('Council Entry'!AK$8),ISNUMBER('Council Entry'!AK$9)),MAX(MIN('Council Entry'!AK71,'Council Entry'!AK$9),'Council Entry'!AK$8),'Council Entry'!AK71)),IF(AND(ISNUMBER('Council Entry'!AK$8),ISNUMBER('Council Entry'!AK$9)),MAX(MIN('Council Entry'!AK71,'Council Entry'!AK$9),'Council Entry'!AK$8),'Council Entry'!AK71))))-'Council Entry'!AK$5)/('Council Entry'!AK$6-'Council Entry'!AK$5),10*((IF('Council Entry'!AK$4="Logarithm",LN(0.001+IF(AND(ISNUMBER('Council Entry'!AK$8),ISNUMBER('Council Entry'!AK$9)),MAX(MIN('Council Entry'!AK71,'Council Entry'!AK$9),'Council Entry'!AK$8),'Council Entry'!AK71)),IF('Council Entry'!AK$4="Exponential",EXP(IF(AND(ISNUMBER('Council Entry'!AK$8),ISNUMBER('Council Entry'!AK$9)),MAX(MIN('Council Entry'!AK71,'Council Entry'!AK$9),'Council Entry'!AK$8),'Council Entry'!AK71)),IF(AND(ISNUMBER('Council Entry'!AK$8),ISNUMBER('Council Entry'!AK$9)),MAX(MIN('Council Entry'!AK71,'Council Entry'!AK$9),'Council Entry'!AK$8),'Council Entry'!AK71))))-'Council Entry'!AK$5)/('Council Entry'!AK$6-'Council Entry'!AK$5)),1))),"No data"))</f>
        <v/>
      </c>
      <c r="AL71" s="13">
        <f>IF('Council Entry'!AL71="","",IFERROR(MAX(0,MIN(10,ROUND(IF('Council Entry'!AL$7="Decrease Risk",10-10*((IF('Council Entry'!AL$4="Logarithm",LN(0.001+IF(AND(ISNUMBER('Council Entry'!AL$8),ISNUMBER('Council Entry'!AL$9)),MAX(MIN('Council Entry'!AL71,'Council Entry'!AL$9),'Council Entry'!AL$8),'Council Entry'!AL71)),IF('Council Entry'!AL$4="Exponential",EXP(IF(AND(ISNUMBER('Council Entry'!AL$8),ISNUMBER('Council Entry'!AL$9)),MAX(MIN('Council Entry'!AL71,'Council Entry'!AL$9),'Council Entry'!AL$8),'Council Entry'!AL71)),IF(AND(ISNUMBER('Council Entry'!AL$8),ISNUMBER('Council Entry'!AL$9)),MAX(MIN('Council Entry'!AL71,'Council Entry'!AL$9),'Council Entry'!AL$8),'Council Entry'!AL71))))-'Council Entry'!AL$5)/('Council Entry'!AL$6-'Council Entry'!AL$5),10*((IF('Council Entry'!AL$4="Logarithm",LN(0.001+IF(AND(ISNUMBER('Council Entry'!AL$8),ISNUMBER('Council Entry'!AL$9)),MAX(MIN('Council Entry'!AL71,'Council Entry'!AL$9),'Council Entry'!AL$8),'Council Entry'!AL71)),IF('Council Entry'!AL$4="Exponential",EXP(IF(AND(ISNUMBER('Council Entry'!AL$8),ISNUMBER('Council Entry'!AL$9)),MAX(MIN('Council Entry'!AL71,'Council Entry'!AL$9),'Council Entry'!AL$8),'Council Entry'!AL71)),IF(AND(ISNUMBER('Council Entry'!AL$8),ISNUMBER('Council Entry'!AL$9)),MAX(MIN('Council Entry'!AL71,'Council Entry'!AL$9),'Council Entry'!AL$8),'Council Entry'!AL71))))-'Council Entry'!AL$5)/('Council Entry'!AL$6-'Council Entry'!AL$5)),1))),"No data"))</f>
        <v/>
      </c>
      <c r="AM71" s="13">
        <f>IF('Council Entry'!AM71="","",IFERROR(MAX(0,MIN(10,ROUND(IF('Council Entry'!AM$7="Decrease Risk",10-10*((IF('Council Entry'!AM$4="Logarithm",LN(0.001+IF(AND(ISNUMBER('Council Entry'!AM$8),ISNUMBER('Council Entry'!AM$9)),MAX(MIN('Council Entry'!AM71,'Council Entry'!AM$9),'Council Entry'!AM$8),'Council Entry'!AM71)),IF('Council Entry'!AM$4="Exponential",EXP(IF(AND(ISNUMBER('Council Entry'!AM$8),ISNUMBER('Council Entry'!AM$9)),MAX(MIN('Council Entry'!AM71,'Council Entry'!AM$9),'Council Entry'!AM$8),'Council Entry'!AM71)),IF(AND(ISNUMBER('Council Entry'!AM$8),ISNUMBER('Council Entry'!AM$9)),MAX(MIN('Council Entry'!AM71,'Council Entry'!AM$9),'Council Entry'!AM$8),'Council Entry'!AM71))))-'Council Entry'!AM$5)/('Council Entry'!AM$6-'Council Entry'!AM$5),10*((IF('Council Entry'!AM$4="Logarithm",LN(0.001+IF(AND(ISNUMBER('Council Entry'!AM$8),ISNUMBER('Council Entry'!AM$9)),MAX(MIN('Council Entry'!AM71,'Council Entry'!AM$9),'Council Entry'!AM$8),'Council Entry'!AM71)),IF('Council Entry'!AM$4="Exponential",EXP(IF(AND(ISNUMBER('Council Entry'!AM$8),ISNUMBER('Council Entry'!AM$9)),MAX(MIN('Council Entry'!AM71,'Council Entry'!AM$9),'Council Entry'!AM$8),'Council Entry'!AM71)),IF(AND(ISNUMBER('Council Entry'!AM$8),ISNUMBER('Council Entry'!AM$9)),MAX(MIN('Council Entry'!AM71,'Council Entry'!AM$9),'Council Entry'!AM$8),'Council Entry'!AM71))))-'Council Entry'!AM$5)/('Council Entry'!AM$6-'Council Entry'!AM$5)),1))),"No data"))</f>
        <v/>
      </c>
      <c r="AN71" s="13">
        <f>IF('Council Entry'!AN71="","",IFERROR(MAX(0,MIN(10,ROUND(IF('Council Entry'!AN$7="Decrease Risk",10-10*((IF('Council Entry'!AN$4="Logarithm",LN(0.001+IF(AND(ISNUMBER('Council Entry'!AN$8),ISNUMBER('Council Entry'!AN$9)),MAX(MIN('Council Entry'!AN71,'Council Entry'!AN$9),'Council Entry'!AN$8),'Council Entry'!AN71)),IF('Council Entry'!AN$4="Exponential",EXP(IF(AND(ISNUMBER('Council Entry'!AN$8),ISNUMBER('Council Entry'!AN$9)),MAX(MIN('Council Entry'!AN71,'Council Entry'!AN$9),'Council Entry'!AN$8),'Council Entry'!AN71)),IF(AND(ISNUMBER('Council Entry'!AN$8),ISNUMBER('Council Entry'!AN$9)),MAX(MIN('Council Entry'!AN71,'Council Entry'!AN$9),'Council Entry'!AN$8),'Council Entry'!AN71))))-'Council Entry'!AN$5)/('Council Entry'!AN$6-'Council Entry'!AN$5),10*((IF('Council Entry'!AN$4="Logarithm",LN(0.001+IF(AND(ISNUMBER('Council Entry'!AN$8),ISNUMBER('Council Entry'!AN$9)),MAX(MIN('Council Entry'!AN71,'Council Entry'!AN$9),'Council Entry'!AN$8),'Council Entry'!AN71)),IF('Council Entry'!AN$4="Exponential",EXP(IF(AND(ISNUMBER('Council Entry'!AN$8),ISNUMBER('Council Entry'!AN$9)),MAX(MIN('Council Entry'!AN71,'Council Entry'!AN$9),'Council Entry'!AN$8),'Council Entry'!AN71)),IF(AND(ISNUMBER('Council Entry'!AN$8),ISNUMBER('Council Entry'!AN$9)),MAX(MIN('Council Entry'!AN71,'Council Entry'!AN$9),'Council Entry'!AN$8),'Council Entry'!AN71))))-'Council Entry'!AN$5)/('Council Entry'!AN$6-'Council Entry'!AN$5)),1))),"No data"))</f>
        <v/>
      </c>
      <c r="AO71" s="13">
        <f>IF('Council Entry'!AO71="","",IFERROR(MAX(0,MIN(10,ROUND(IF('Council Entry'!AO$7="Decrease Risk",10-10*((IF('Council Entry'!AO$4="Logarithm",LN(0.001+IF(AND(ISNUMBER('Council Entry'!AO$8),ISNUMBER('Council Entry'!AO$9)),MAX(MIN('Council Entry'!AO71,'Council Entry'!AO$9),'Council Entry'!AO$8),'Council Entry'!AO71)),IF('Council Entry'!AO$4="Exponential",EXP(IF(AND(ISNUMBER('Council Entry'!AO$8),ISNUMBER('Council Entry'!AO$9)),MAX(MIN('Council Entry'!AO71,'Council Entry'!AO$9),'Council Entry'!AO$8),'Council Entry'!AO71)),IF(AND(ISNUMBER('Council Entry'!AO$8),ISNUMBER('Council Entry'!AO$9)),MAX(MIN('Council Entry'!AO71,'Council Entry'!AO$9),'Council Entry'!AO$8),'Council Entry'!AO71))))-'Council Entry'!AO$5)/('Council Entry'!AO$6-'Council Entry'!AO$5),10*((IF('Council Entry'!AO$4="Logarithm",LN(0.001+IF(AND(ISNUMBER('Council Entry'!AO$8),ISNUMBER('Council Entry'!AO$9)),MAX(MIN('Council Entry'!AO71,'Council Entry'!AO$9),'Council Entry'!AO$8),'Council Entry'!AO71)),IF('Council Entry'!AO$4="Exponential",EXP(IF(AND(ISNUMBER('Council Entry'!AO$8),ISNUMBER('Council Entry'!AO$9)),MAX(MIN('Council Entry'!AO71,'Council Entry'!AO$9),'Council Entry'!AO$8),'Council Entry'!AO71)),IF(AND(ISNUMBER('Council Entry'!AO$8),ISNUMBER('Council Entry'!AO$9)),MAX(MIN('Council Entry'!AO71,'Council Entry'!AO$9),'Council Entry'!AO$8),'Council Entry'!AO71))))-'Council Entry'!AO$5)/('Council Entry'!AO$6-'Council Entry'!AO$5)),1))),"No data"))</f>
        <v/>
      </c>
      <c r="AP71" s="13">
        <f>IF('Council Entry'!AP71="","",IFERROR(MAX(0,MIN(10,ROUND(IF('Council Entry'!AP$7="Decrease Risk",10-10*((IF('Council Entry'!AP$4="Logarithm",LN(0.001+IF(AND(ISNUMBER('Council Entry'!AP$8),ISNUMBER('Council Entry'!AP$9)),MAX(MIN('Council Entry'!AP71,'Council Entry'!AP$9),'Council Entry'!AP$8),'Council Entry'!AP71)),IF('Council Entry'!AP$4="Exponential",EXP(IF(AND(ISNUMBER('Council Entry'!AP$8),ISNUMBER('Council Entry'!AP$9)),MAX(MIN('Council Entry'!AP71,'Council Entry'!AP$9),'Council Entry'!AP$8),'Council Entry'!AP71)),IF(AND(ISNUMBER('Council Entry'!AP$8),ISNUMBER('Council Entry'!AP$9)),MAX(MIN('Council Entry'!AP71,'Council Entry'!AP$9),'Council Entry'!AP$8),'Council Entry'!AP71))))-'Council Entry'!AP$5)/('Council Entry'!AP$6-'Council Entry'!AP$5),10*((IF('Council Entry'!AP$4="Logarithm",LN(0.001+IF(AND(ISNUMBER('Council Entry'!AP$8),ISNUMBER('Council Entry'!AP$9)),MAX(MIN('Council Entry'!AP71,'Council Entry'!AP$9),'Council Entry'!AP$8),'Council Entry'!AP71)),IF('Council Entry'!AP$4="Exponential",EXP(IF(AND(ISNUMBER('Council Entry'!AP$8),ISNUMBER('Council Entry'!AP$9)),MAX(MIN('Council Entry'!AP71,'Council Entry'!AP$9),'Council Entry'!AP$8),'Council Entry'!AP71)),IF(AND(ISNUMBER('Council Entry'!AP$8),ISNUMBER('Council Entry'!AP$9)),MAX(MIN('Council Entry'!AP71,'Council Entry'!AP$9),'Council Entry'!AP$8),'Council Entry'!AP71))))-'Council Entry'!AP$5)/('Council Entry'!AP$6-'Council Entry'!AP$5)),1))),"No data"))</f>
        <v/>
      </c>
      <c r="AQ71" s="13">
        <f>IF('Council Entry'!AQ71="","",IFERROR(MAX(0,MIN(10,ROUND(IF('Council Entry'!AQ$7="Decrease Risk",10-10*((IF('Council Entry'!AQ$4="Logarithm",LN(0.001+IF(AND(ISNUMBER('Council Entry'!AQ$8),ISNUMBER('Council Entry'!AQ$9)),MAX(MIN('Council Entry'!AQ71,'Council Entry'!AQ$9),'Council Entry'!AQ$8),'Council Entry'!AQ71)),IF('Council Entry'!AQ$4="Exponential",EXP(IF(AND(ISNUMBER('Council Entry'!AQ$8),ISNUMBER('Council Entry'!AQ$9)),MAX(MIN('Council Entry'!AQ71,'Council Entry'!AQ$9),'Council Entry'!AQ$8),'Council Entry'!AQ71)),IF(AND(ISNUMBER('Council Entry'!AQ$8),ISNUMBER('Council Entry'!AQ$9)),MAX(MIN('Council Entry'!AQ71,'Council Entry'!AQ$9),'Council Entry'!AQ$8),'Council Entry'!AQ71))))-'Council Entry'!AQ$5)/('Council Entry'!AQ$6-'Council Entry'!AQ$5),10*((IF('Council Entry'!AQ$4="Logarithm",LN(0.001+IF(AND(ISNUMBER('Council Entry'!AQ$8),ISNUMBER('Council Entry'!AQ$9)),MAX(MIN('Council Entry'!AQ71,'Council Entry'!AQ$9),'Council Entry'!AQ$8),'Council Entry'!AQ71)),IF('Council Entry'!AQ$4="Exponential",EXP(IF(AND(ISNUMBER('Council Entry'!AQ$8),ISNUMBER('Council Entry'!AQ$9)),MAX(MIN('Council Entry'!AQ71,'Council Entry'!AQ$9),'Council Entry'!AQ$8),'Council Entry'!AQ71)),IF(AND(ISNUMBER('Council Entry'!AQ$8),ISNUMBER('Council Entry'!AQ$9)),MAX(MIN('Council Entry'!AQ71,'Council Entry'!AQ$9),'Council Entry'!AQ$8),'Council Entry'!AQ71))))-'Council Entry'!AQ$5)/('Council Entry'!AQ$6-'Council Entry'!AQ$5)),1))),"No data"))</f>
        <v/>
      </c>
      <c r="AR71" s="13">
        <f>IF('Council Entry'!AR71="","",IFERROR(MAX(0,MIN(10,ROUND(IF('Council Entry'!AR$7="Decrease Risk",10-10*((IF('Council Entry'!AR$4="Logarithm",LN(0.001+IF(AND(ISNUMBER('Council Entry'!AR$8),ISNUMBER('Council Entry'!AR$9)),MAX(MIN('Council Entry'!AR71,'Council Entry'!AR$9),'Council Entry'!AR$8),'Council Entry'!AR71)),IF('Council Entry'!AR$4="Exponential",EXP(IF(AND(ISNUMBER('Council Entry'!AR$8),ISNUMBER('Council Entry'!AR$9)),MAX(MIN('Council Entry'!AR71,'Council Entry'!AR$9),'Council Entry'!AR$8),'Council Entry'!AR71)),IF(AND(ISNUMBER('Council Entry'!AR$8),ISNUMBER('Council Entry'!AR$9)),MAX(MIN('Council Entry'!AR71,'Council Entry'!AR$9),'Council Entry'!AR$8),'Council Entry'!AR71))))-'Council Entry'!AR$5)/('Council Entry'!AR$6-'Council Entry'!AR$5),10*((IF('Council Entry'!AR$4="Logarithm",LN(0.001+IF(AND(ISNUMBER('Council Entry'!AR$8),ISNUMBER('Council Entry'!AR$9)),MAX(MIN('Council Entry'!AR71,'Council Entry'!AR$9),'Council Entry'!AR$8),'Council Entry'!AR71)),IF('Council Entry'!AR$4="Exponential",EXP(IF(AND(ISNUMBER('Council Entry'!AR$8),ISNUMBER('Council Entry'!AR$9)),MAX(MIN('Council Entry'!AR71,'Council Entry'!AR$9),'Council Entry'!AR$8),'Council Entry'!AR71)),IF(AND(ISNUMBER('Council Entry'!AR$8),ISNUMBER('Council Entry'!AR$9)),MAX(MIN('Council Entry'!AR71,'Council Entry'!AR$9),'Council Entry'!AR$8),'Council Entry'!AR71))))-'Council Entry'!AR$5)/('Council Entry'!AR$6-'Council Entry'!AR$5)),1))),"No data"))</f>
        <v/>
      </c>
      <c r="AS71" s="13">
        <f>IF('Council Entry'!AS71="","",IFERROR(MAX(0,MIN(10,ROUND(IF('Council Entry'!AS$7="Decrease Risk",10-10*((IF('Council Entry'!AS$4="Logarithm",LN(0.001+IF(AND(ISNUMBER('Council Entry'!AS$8),ISNUMBER('Council Entry'!AS$9)),MAX(MIN('Council Entry'!AS71,'Council Entry'!AS$9),'Council Entry'!AS$8),'Council Entry'!AS71)),IF('Council Entry'!AS$4="Exponential",EXP(IF(AND(ISNUMBER('Council Entry'!AS$8),ISNUMBER('Council Entry'!AS$9)),MAX(MIN('Council Entry'!AS71,'Council Entry'!AS$9),'Council Entry'!AS$8),'Council Entry'!AS71)),IF(AND(ISNUMBER('Council Entry'!AS$8),ISNUMBER('Council Entry'!AS$9)),MAX(MIN('Council Entry'!AS71,'Council Entry'!AS$9),'Council Entry'!AS$8),'Council Entry'!AS71))))-'Council Entry'!AS$5)/('Council Entry'!AS$6-'Council Entry'!AS$5),10*((IF('Council Entry'!AS$4="Logarithm",LN(0.001+IF(AND(ISNUMBER('Council Entry'!AS$8),ISNUMBER('Council Entry'!AS$9)),MAX(MIN('Council Entry'!AS71,'Council Entry'!AS$9),'Council Entry'!AS$8),'Council Entry'!AS71)),IF('Council Entry'!AS$4="Exponential",EXP(IF(AND(ISNUMBER('Council Entry'!AS$8),ISNUMBER('Council Entry'!AS$9)),MAX(MIN('Council Entry'!AS71,'Council Entry'!AS$9),'Council Entry'!AS$8),'Council Entry'!AS71)),IF(AND(ISNUMBER('Council Entry'!AS$8),ISNUMBER('Council Entry'!AS$9)),MAX(MIN('Council Entry'!AS71,'Council Entry'!AS$9),'Council Entry'!AS$8),'Council Entry'!AS71))))-'Council Entry'!AS$5)/('Council Entry'!AS$6-'Council Entry'!AS$5)),1))),"No data"))</f>
        <v/>
      </c>
      <c r="AT71" s="13">
        <f>IF('Council Entry'!AT71="","",IFERROR(MAX(0,MIN(10,ROUND(IF('Council Entry'!AT$7="Decrease Risk",10-10*((IF('Council Entry'!AT$4="Logarithm",LN(0.001+IF(AND(ISNUMBER('Council Entry'!AT$8),ISNUMBER('Council Entry'!AT$9)),MAX(MIN('Council Entry'!AT71,'Council Entry'!AT$9),'Council Entry'!AT$8),'Council Entry'!AT71)),IF('Council Entry'!AT$4="Exponential",EXP(IF(AND(ISNUMBER('Council Entry'!AT$8),ISNUMBER('Council Entry'!AT$9)),MAX(MIN('Council Entry'!AT71,'Council Entry'!AT$9),'Council Entry'!AT$8),'Council Entry'!AT71)),IF(AND(ISNUMBER('Council Entry'!AT$8),ISNUMBER('Council Entry'!AT$9)),MAX(MIN('Council Entry'!AT71,'Council Entry'!AT$9),'Council Entry'!AT$8),'Council Entry'!AT71))))-'Council Entry'!AT$5)/('Council Entry'!AT$6-'Council Entry'!AT$5),10*((IF('Council Entry'!AT$4="Logarithm",LN(0.001+IF(AND(ISNUMBER('Council Entry'!AT$8),ISNUMBER('Council Entry'!AT$9)),MAX(MIN('Council Entry'!AT71,'Council Entry'!AT$9),'Council Entry'!AT$8),'Council Entry'!AT71)),IF('Council Entry'!AT$4="Exponential",EXP(IF(AND(ISNUMBER('Council Entry'!AT$8),ISNUMBER('Council Entry'!AT$9)),MAX(MIN('Council Entry'!AT71,'Council Entry'!AT$9),'Council Entry'!AT$8),'Council Entry'!AT71)),IF(AND(ISNUMBER('Council Entry'!AT$8),ISNUMBER('Council Entry'!AT$9)),MAX(MIN('Council Entry'!AT71,'Council Entry'!AT$9),'Council Entry'!AT$8),'Council Entry'!AT71))))-'Council Entry'!AT$5)/('Council Entry'!AT$6-'Council Entry'!AT$5)),1))),"No data"))</f>
        <v/>
      </c>
      <c r="AU71" s="13">
        <f>IF('Council Entry'!AU71="","",IFERROR(MAX(0,MIN(10,ROUND(IF('Council Entry'!AU$7="Decrease Risk",10-10*((IF('Council Entry'!AU$4="Logarithm",LN(0.001+IF(AND(ISNUMBER('Council Entry'!AU$8),ISNUMBER('Council Entry'!AU$9)),MAX(MIN('Council Entry'!AU71,'Council Entry'!AU$9),'Council Entry'!AU$8),'Council Entry'!AU71)),IF('Council Entry'!AU$4="Exponential",EXP(IF(AND(ISNUMBER('Council Entry'!AU$8),ISNUMBER('Council Entry'!AU$9)),MAX(MIN('Council Entry'!AU71,'Council Entry'!AU$9),'Council Entry'!AU$8),'Council Entry'!AU71)),IF(AND(ISNUMBER('Council Entry'!AU$8),ISNUMBER('Council Entry'!AU$9)),MAX(MIN('Council Entry'!AU71,'Council Entry'!AU$9),'Council Entry'!AU$8),'Council Entry'!AU71))))-'Council Entry'!AU$5)/('Council Entry'!AU$6-'Council Entry'!AU$5),10*((IF('Council Entry'!AU$4="Logarithm",LN(0.001+IF(AND(ISNUMBER('Council Entry'!AU$8),ISNUMBER('Council Entry'!AU$9)),MAX(MIN('Council Entry'!AU71,'Council Entry'!AU$9),'Council Entry'!AU$8),'Council Entry'!AU71)),IF('Council Entry'!AU$4="Exponential",EXP(IF(AND(ISNUMBER('Council Entry'!AU$8),ISNUMBER('Council Entry'!AU$9)),MAX(MIN('Council Entry'!AU71,'Council Entry'!AU$9),'Council Entry'!AU$8),'Council Entry'!AU71)),IF(AND(ISNUMBER('Council Entry'!AU$8),ISNUMBER('Council Entry'!AU$9)),MAX(MIN('Council Entry'!AU71,'Council Entry'!AU$9),'Council Entry'!AU$8),'Council Entry'!AU71))))-'Council Entry'!AU$5)/('Council Entry'!AU$6-'Council Entry'!AU$5)),1))),"No data"))</f>
        <v/>
      </c>
      <c r="AV71" s="13">
        <f>IF('Council Entry'!AV71="","",IFERROR(MAX(0,MIN(10,ROUND(IF('Council Entry'!AV$7="Decrease Risk",10-10*((IF('Council Entry'!AV$4="Logarithm",LN(0.001+IF(AND(ISNUMBER('Council Entry'!AV$8),ISNUMBER('Council Entry'!AV$9)),MAX(MIN('Council Entry'!AV71,'Council Entry'!AV$9),'Council Entry'!AV$8),'Council Entry'!AV71)),IF('Council Entry'!AV$4="Exponential",EXP(IF(AND(ISNUMBER('Council Entry'!AV$8),ISNUMBER('Council Entry'!AV$9)),MAX(MIN('Council Entry'!AV71,'Council Entry'!AV$9),'Council Entry'!AV$8),'Council Entry'!AV71)),IF(AND(ISNUMBER('Council Entry'!AV$8),ISNUMBER('Council Entry'!AV$9)),MAX(MIN('Council Entry'!AV71,'Council Entry'!AV$9),'Council Entry'!AV$8),'Council Entry'!AV71))))-'Council Entry'!AV$5)/('Council Entry'!AV$6-'Council Entry'!AV$5),10*((IF('Council Entry'!AV$4="Logarithm",LN(0.001+IF(AND(ISNUMBER('Council Entry'!AV$8),ISNUMBER('Council Entry'!AV$9)),MAX(MIN('Council Entry'!AV71,'Council Entry'!AV$9),'Council Entry'!AV$8),'Council Entry'!AV71)),IF('Council Entry'!AV$4="Exponential",EXP(IF(AND(ISNUMBER('Council Entry'!AV$8),ISNUMBER('Council Entry'!AV$9)),MAX(MIN('Council Entry'!AV71,'Council Entry'!AV$9),'Council Entry'!AV$8),'Council Entry'!AV71)),IF(AND(ISNUMBER('Council Entry'!AV$8),ISNUMBER('Council Entry'!AV$9)),MAX(MIN('Council Entry'!AV71,'Council Entry'!AV$9),'Council Entry'!AV$8),'Council Entry'!AV71))))-'Council Entry'!AV$5)/('Council Entry'!AV$6-'Council Entry'!AV$5)),1))),"No data"))</f>
        <v/>
      </c>
      <c r="AW71" s="13">
        <f>IF('Council Entry'!AW71="","",IFERROR(MAX(0,MIN(10,ROUND(IF('Council Entry'!AW$7="Decrease Risk",10-10*((IF('Council Entry'!AW$4="Logarithm",LN(0.001+IF(AND(ISNUMBER('Council Entry'!AW$8),ISNUMBER('Council Entry'!AW$9)),MAX(MIN('Council Entry'!AW71,'Council Entry'!AW$9),'Council Entry'!AW$8),'Council Entry'!AW71)),IF('Council Entry'!AW$4="Exponential",EXP(IF(AND(ISNUMBER('Council Entry'!AW$8),ISNUMBER('Council Entry'!AW$9)),MAX(MIN('Council Entry'!AW71,'Council Entry'!AW$9),'Council Entry'!AW$8),'Council Entry'!AW71)),IF(AND(ISNUMBER('Council Entry'!AW$8),ISNUMBER('Council Entry'!AW$9)),MAX(MIN('Council Entry'!AW71,'Council Entry'!AW$9),'Council Entry'!AW$8),'Council Entry'!AW71))))-'Council Entry'!AW$5)/('Council Entry'!AW$6-'Council Entry'!AW$5),10*((IF('Council Entry'!AW$4="Logarithm",LN(0.001+IF(AND(ISNUMBER('Council Entry'!AW$8),ISNUMBER('Council Entry'!AW$9)),MAX(MIN('Council Entry'!AW71,'Council Entry'!AW$9),'Council Entry'!AW$8),'Council Entry'!AW71)),IF('Council Entry'!AW$4="Exponential",EXP(IF(AND(ISNUMBER('Council Entry'!AW$8),ISNUMBER('Council Entry'!AW$9)),MAX(MIN('Council Entry'!AW71,'Council Entry'!AW$9),'Council Entry'!AW$8),'Council Entry'!AW71)),IF(AND(ISNUMBER('Council Entry'!AW$8),ISNUMBER('Council Entry'!AW$9)),MAX(MIN('Council Entry'!AW71,'Council Entry'!AW$9),'Council Entry'!AW$8),'Council Entry'!AW71))))-'Council Entry'!AW$5)/('Council Entry'!AW$6-'Council Entry'!AW$5)),1))),"No data"))</f>
        <v/>
      </c>
      <c r="AX71" s="13">
        <f>IF('Council Entry'!AX71="","",IFERROR(MAX(0,MIN(10,ROUND(IF('Council Entry'!AX$7="Decrease Risk",10-10*((IF('Council Entry'!AX$4="Logarithm",LN(0.001+IF(AND(ISNUMBER('Council Entry'!AX$8),ISNUMBER('Council Entry'!AX$9)),MAX(MIN('Council Entry'!AX71,'Council Entry'!AX$9),'Council Entry'!AX$8),'Council Entry'!AX71)),IF('Council Entry'!AX$4="Exponential",EXP(IF(AND(ISNUMBER('Council Entry'!AX$8),ISNUMBER('Council Entry'!AX$9)),MAX(MIN('Council Entry'!AX71,'Council Entry'!AX$9),'Council Entry'!AX$8),'Council Entry'!AX71)),IF(AND(ISNUMBER('Council Entry'!AX$8),ISNUMBER('Council Entry'!AX$9)),MAX(MIN('Council Entry'!AX71,'Council Entry'!AX$9),'Council Entry'!AX$8),'Council Entry'!AX71))))-'Council Entry'!AX$5)/('Council Entry'!AX$6-'Council Entry'!AX$5),10*((IF('Council Entry'!AX$4="Logarithm",LN(0.001+IF(AND(ISNUMBER('Council Entry'!AX$8),ISNUMBER('Council Entry'!AX$9)),MAX(MIN('Council Entry'!AX71,'Council Entry'!AX$9),'Council Entry'!AX$8),'Council Entry'!AX71)),IF('Council Entry'!AX$4="Exponential",EXP(IF(AND(ISNUMBER('Council Entry'!AX$8),ISNUMBER('Council Entry'!AX$9)),MAX(MIN('Council Entry'!AX71,'Council Entry'!AX$9),'Council Entry'!AX$8),'Council Entry'!AX71)),IF(AND(ISNUMBER('Council Entry'!AX$8),ISNUMBER('Council Entry'!AX$9)),MAX(MIN('Council Entry'!AX71,'Council Entry'!AX$9),'Council Entry'!AX$8),'Council Entry'!AX71))))-'Council Entry'!AX$5)/('Council Entry'!AX$6-'Council Entry'!AX$5)),1))),"No data"))</f>
        <v/>
      </c>
      <c r="AY71" s="13">
        <f>IF('Council Entry'!AY71="","",IFERROR(MAX(0,MIN(10,ROUND(IF('Council Entry'!AY$7="Decrease Risk",10-10*((IF('Council Entry'!AY$4="Logarithm",LN(0.001+IF(AND(ISNUMBER('Council Entry'!AY$8),ISNUMBER('Council Entry'!AY$9)),MAX(MIN('Council Entry'!AY71,'Council Entry'!AY$9),'Council Entry'!AY$8),'Council Entry'!AY71)),IF('Council Entry'!AY$4="Exponential",EXP(IF(AND(ISNUMBER('Council Entry'!AY$8),ISNUMBER('Council Entry'!AY$9)),MAX(MIN('Council Entry'!AY71,'Council Entry'!AY$9),'Council Entry'!AY$8),'Council Entry'!AY71)),IF(AND(ISNUMBER('Council Entry'!AY$8),ISNUMBER('Council Entry'!AY$9)),MAX(MIN('Council Entry'!AY71,'Council Entry'!AY$9),'Council Entry'!AY$8),'Council Entry'!AY71))))-'Council Entry'!AY$5)/('Council Entry'!AY$6-'Council Entry'!AY$5),10*((IF('Council Entry'!AY$4="Logarithm",LN(0.001+IF(AND(ISNUMBER('Council Entry'!AY$8),ISNUMBER('Council Entry'!AY$9)),MAX(MIN('Council Entry'!AY71,'Council Entry'!AY$9),'Council Entry'!AY$8),'Council Entry'!AY71)),IF('Council Entry'!AY$4="Exponential",EXP(IF(AND(ISNUMBER('Council Entry'!AY$8),ISNUMBER('Council Entry'!AY$9)),MAX(MIN('Council Entry'!AY71,'Council Entry'!AY$9),'Council Entry'!AY$8),'Council Entry'!AY71)),IF(AND(ISNUMBER('Council Entry'!AY$8),ISNUMBER('Council Entry'!AY$9)),MAX(MIN('Council Entry'!AY71,'Council Entry'!AY$9),'Council Entry'!AY$8),'Council Entry'!AY71))))-'Council Entry'!AY$5)/('Council Entry'!AY$6-'Council Entry'!AY$5)),1))),"No data"))</f>
        <v/>
      </c>
      <c r="AZ71" s="13">
        <f>IF('Council Entry'!AZ71="","",IFERROR(MAX(0,MIN(10,ROUND(IF('Council Entry'!AZ$7="Decrease Risk",10-10*((IF('Council Entry'!AZ$4="Logarithm",LN(0.001+IF(AND(ISNUMBER('Council Entry'!AZ$8),ISNUMBER('Council Entry'!AZ$9)),MAX(MIN('Council Entry'!AZ71,'Council Entry'!AZ$9),'Council Entry'!AZ$8),'Council Entry'!AZ71)),IF('Council Entry'!AZ$4="Exponential",EXP(IF(AND(ISNUMBER('Council Entry'!AZ$8),ISNUMBER('Council Entry'!AZ$9)),MAX(MIN('Council Entry'!AZ71,'Council Entry'!AZ$9),'Council Entry'!AZ$8),'Council Entry'!AZ71)),IF(AND(ISNUMBER('Council Entry'!AZ$8),ISNUMBER('Council Entry'!AZ$9)),MAX(MIN('Council Entry'!AZ71,'Council Entry'!AZ$9),'Council Entry'!AZ$8),'Council Entry'!AZ71))))-'Council Entry'!AZ$5)/('Council Entry'!AZ$6-'Council Entry'!AZ$5),10*((IF('Council Entry'!AZ$4="Logarithm",LN(0.001+IF(AND(ISNUMBER('Council Entry'!AZ$8),ISNUMBER('Council Entry'!AZ$9)),MAX(MIN('Council Entry'!AZ71,'Council Entry'!AZ$9),'Council Entry'!AZ$8),'Council Entry'!AZ71)),IF('Council Entry'!AZ$4="Exponential",EXP(IF(AND(ISNUMBER('Council Entry'!AZ$8),ISNUMBER('Council Entry'!AZ$9)),MAX(MIN('Council Entry'!AZ71,'Council Entry'!AZ$9),'Council Entry'!AZ$8),'Council Entry'!AZ71)),IF(AND(ISNUMBER('Council Entry'!AZ$8),ISNUMBER('Council Entry'!AZ$9)),MAX(MIN('Council Entry'!AZ71,'Council Entry'!AZ$9),'Council Entry'!AZ$8),'Council Entry'!AZ71))))-'Council Entry'!AZ$5)/('Council Entry'!AZ$6-'Council Entry'!AZ$5)),1))),"No data"))</f>
        <v/>
      </c>
      <c r="BA71" s="13">
        <f>IF('Council Entry'!BA71="","",IFERROR(MAX(0,MIN(10,ROUND(IF('Council Entry'!BA$7="Decrease Risk",10-10*((IF('Council Entry'!BA$4="Logarithm",LN(0.001+IF(AND(ISNUMBER('Council Entry'!BA$8),ISNUMBER('Council Entry'!BA$9)),MAX(MIN('Council Entry'!BA71,'Council Entry'!BA$9),'Council Entry'!BA$8),'Council Entry'!BA71)),IF('Council Entry'!BA$4="Exponential",EXP(IF(AND(ISNUMBER('Council Entry'!BA$8),ISNUMBER('Council Entry'!BA$9)),MAX(MIN('Council Entry'!BA71,'Council Entry'!BA$9),'Council Entry'!BA$8),'Council Entry'!BA71)),IF(AND(ISNUMBER('Council Entry'!BA$8),ISNUMBER('Council Entry'!BA$9)),MAX(MIN('Council Entry'!BA71,'Council Entry'!BA$9),'Council Entry'!BA$8),'Council Entry'!BA71))))-'Council Entry'!BA$5)/('Council Entry'!BA$6-'Council Entry'!BA$5),10*((IF('Council Entry'!BA$4="Logarithm",LN(0.001+IF(AND(ISNUMBER('Council Entry'!BA$8),ISNUMBER('Council Entry'!BA$9)),MAX(MIN('Council Entry'!BA71,'Council Entry'!BA$9),'Council Entry'!BA$8),'Council Entry'!BA71)),IF('Council Entry'!BA$4="Exponential",EXP(IF(AND(ISNUMBER('Council Entry'!BA$8),ISNUMBER('Council Entry'!BA$9)),MAX(MIN('Council Entry'!BA71,'Council Entry'!BA$9),'Council Entry'!BA$8),'Council Entry'!BA71)),IF(AND(ISNUMBER('Council Entry'!BA$8),ISNUMBER('Council Entry'!BA$9)),MAX(MIN('Council Entry'!BA71,'Council Entry'!BA$9),'Council Entry'!BA$8),'Council Entry'!BA71))))-'Council Entry'!BA$5)/('Council Entry'!BA$6-'Council Entry'!BA$5)),1))),"No data"))</f>
        <v/>
      </c>
      <c r="BB71" s="13">
        <f>IF('Council Entry'!BB71="","",IFERROR(MAX(0,MIN(10,ROUND(IF('Council Entry'!BB$7="Decrease Risk",10-10*((IF('Council Entry'!BB$4="Logarithm",LN(0.001+IF(AND(ISNUMBER('Council Entry'!BB$8),ISNUMBER('Council Entry'!BB$9)),MAX(MIN('Council Entry'!BB71,'Council Entry'!BB$9),'Council Entry'!BB$8),'Council Entry'!BB71)),IF('Council Entry'!BB$4="Exponential",EXP(IF(AND(ISNUMBER('Council Entry'!BB$8),ISNUMBER('Council Entry'!BB$9)),MAX(MIN('Council Entry'!BB71,'Council Entry'!BB$9),'Council Entry'!BB$8),'Council Entry'!BB71)),IF(AND(ISNUMBER('Council Entry'!BB$8),ISNUMBER('Council Entry'!BB$9)),MAX(MIN('Council Entry'!BB71,'Council Entry'!BB$9),'Council Entry'!BB$8),'Council Entry'!BB71))))-'Council Entry'!BB$5)/('Council Entry'!BB$6-'Council Entry'!BB$5),10*((IF('Council Entry'!BB$4="Logarithm",LN(0.001+IF(AND(ISNUMBER('Council Entry'!BB$8),ISNUMBER('Council Entry'!BB$9)),MAX(MIN('Council Entry'!BB71,'Council Entry'!BB$9),'Council Entry'!BB$8),'Council Entry'!BB71)),IF('Council Entry'!BB$4="Exponential",EXP(IF(AND(ISNUMBER('Council Entry'!BB$8),ISNUMBER('Council Entry'!BB$9)),MAX(MIN('Council Entry'!BB71,'Council Entry'!BB$9),'Council Entry'!BB$8),'Council Entry'!BB71)),IF(AND(ISNUMBER('Council Entry'!BB$8),ISNUMBER('Council Entry'!BB$9)),MAX(MIN('Council Entry'!BB71,'Council Entry'!BB$9),'Council Entry'!BB$8),'Council Entry'!BB71))))-'Council Entry'!BB$5)/('Council Entry'!BB$6-'Council Entry'!BB$5)),1))),"No data"))</f>
        <v/>
      </c>
      <c r="BC71" s="13">
        <f>IF('Council Entry'!BC71="","",IFERROR(MAX(0,MIN(10,ROUND(IF('Council Entry'!BC$7="Decrease Risk",10-10*((IF('Council Entry'!BC$4="Logarithm",LN(0.001+IF(AND(ISNUMBER('Council Entry'!BC$8),ISNUMBER('Council Entry'!BC$9)),MAX(MIN('Council Entry'!BC71,'Council Entry'!BC$9),'Council Entry'!BC$8),'Council Entry'!BC71)),IF('Council Entry'!BC$4="Exponential",EXP(IF(AND(ISNUMBER('Council Entry'!BC$8),ISNUMBER('Council Entry'!BC$9)),MAX(MIN('Council Entry'!BC71,'Council Entry'!BC$9),'Council Entry'!BC$8),'Council Entry'!BC71)),IF(AND(ISNUMBER('Council Entry'!BC$8),ISNUMBER('Council Entry'!BC$9)),MAX(MIN('Council Entry'!BC71,'Council Entry'!BC$9),'Council Entry'!BC$8),'Council Entry'!BC71))))-'Council Entry'!BC$5)/('Council Entry'!BC$6-'Council Entry'!BC$5),10*((IF('Council Entry'!BC$4="Logarithm",LN(0.001+IF(AND(ISNUMBER('Council Entry'!BC$8),ISNUMBER('Council Entry'!BC$9)),MAX(MIN('Council Entry'!BC71,'Council Entry'!BC$9),'Council Entry'!BC$8),'Council Entry'!BC71)),IF('Council Entry'!BC$4="Exponential",EXP(IF(AND(ISNUMBER('Council Entry'!BC$8),ISNUMBER('Council Entry'!BC$9)),MAX(MIN('Council Entry'!BC71,'Council Entry'!BC$9),'Council Entry'!BC$8),'Council Entry'!BC71)),IF(AND(ISNUMBER('Council Entry'!BC$8),ISNUMBER('Council Entry'!BC$9)),MAX(MIN('Council Entry'!BC71,'Council Entry'!BC$9),'Council Entry'!BC$8),'Council Entry'!BC71))))-'Council Entry'!BC$5)/('Council Entry'!BC$6-'Council Entry'!BC$5)),1))),"No data"))</f>
        <v/>
      </c>
      <c r="BD71" s="13">
        <f>IF('Council Entry'!BD71="","",IFERROR(MAX(0,MIN(10,ROUND(IF('Council Entry'!BD$7="Decrease Risk",10-10*((IF('Council Entry'!BD$4="Logarithm",LN(0.001+IF(AND(ISNUMBER('Council Entry'!BD$8),ISNUMBER('Council Entry'!BD$9)),MAX(MIN('Council Entry'!BD71,'Council Entry'!BD$9),'Council Entry'!BD$8),'Council Entry'!BD71)),IF('Council Entry'!BD$4="Exponential",EXP(IF(AND(ISNUMBER('Council Entry'!BD$8),ISNUMBER('Council Entry'!BD$9)),MAX(MIN('Council Entry'!BD71,'Council Entry'!BD$9),'Council Entry'!BD$8),'Council Entry'!BD71)),IF(AND(ISNUMBER('Council Entry'!BD$8),ISNUMBER('Council Entry'!BD$9)),MAX(MIN('Council Entry'!BD71,'Council Entry'!BD$9),'Council Entry'!BD$8),'Council Entry'!BD71))))-'Council Entry'!BD$5)/('Council Entry'!BD$6-'Council Entry'!BD$5),10*((IF('Council Entry'!BD$4="Logarithm",LN(0.001+IF(AND(ISNUMBER('Council Entry'!BD$8),ISNUMBER('Council Entry'!BD$9)),MAX(MIN('Council Entry'!BD71,'Council Entry'!BD$9),'Council Entry'!BD$8),'Council Entry'!BD71)),IF('Council Entry'!BD$4="Exponential",EXP(IF(AND(ISNUMBER('Council Entry'!BD$8),ISNUMBER('Council Entry'!BD$9)),MAX(MIN('Council Entry'!BD71,'Council Entry'!BD$9),'Council Entry'!BD$8),'Council Entry'!BD71)),IF(AND(ISNUMBER('Council Entry'!BD$8),ISNUMBER('Council Entry'!BD$9)),MAX(MIN('Council Entry'!BD71,'Council Entry'!BD$9),'Council Entry'!BD$8),'Council Entry'!BD71))))-'Council Entry'!BD$5)/('Council Entry'!BD$6-'Council Entry'!BD$5)),1))),"No data"))</f>
        <v/>
      </c>
    </row>
    <row r="72">
      <c r="A72" t="inlineStr">
        <is>
          <t>Kilimanjaro</t>
        </is>
      </c>
      <c r="B72" t="inlineStr">
        <is>
          <t>Same District</t>
        </is>
      </c>
      <c r="C72" t="inlineStr">
        <is>
          <t>C018</t>
        </is>
      </c>
      <c r="D72" s="13">
        <f>IF('Council Entry'!D72="","",IFERROR(MAX(0,MIN(10,ROUND(IF('Council Entry'!D$7="Decrease Risk",10-10*((IF('Council Entry'!D$4="Logarithm",LN(0.001+IF(AND(ISNUMBER('Council Entry'!D$8),ISNUMBER('Council Entry'!D$9)),MAX(MIN('Council Entry'!D72,'Council Entry'!D$9),'Council Entry'!D$8),'Council Entry'!D72)),IF('Council Entry'!D$4="Exponential",EXP(IF(AND(ISNUMBER('Council Entry'!D$8),ISNUMBER('Council Entry'!D$9)),MAX(MIN('Council Entry'!D72,'Council Entry'!D$9),'Council Entry'!D$8),'Council Entry'!D72)),IF(AND(ISNUMBER('Council Entry'!D$8),ISNUMBER('Council Entry'!D$9)),MAX(MIN('Council Entry'!D72,'Council Entry'!D$9),'Council Entry'!D$8),'Council Entry'!D72))))-'Council Entry'!D$5)/('Council Entry'!D$6-'Council Entry'!D$5),10*((IF('Council Entry'!D$4="Logarithm",LN(0.001+IF(AND(ISNUMBER('Council Entry'!D$8),ISNUMBER('Council Entry'!D$9)),MAX(MIN('Council Entry'!D72,'Council Entry'!D$9),'Council Entry'!D$8),'Council Entry'!D72)),IF('Council Entry'!D$4="Exponential",EXP(IF(AND(ISNUMBER('Council Entry'!D$8),ISNUMBER('Council Entry'!D$9)),MAX(MIN('Council Entry'!D72,'Council Entry'!D$9),'Council Entry'!D$8),'Council Entry'!D72)),IF(AND(ISNUMBER('Council Entry'!D$8),ISNUMBER('Council Entry'!D$9)),MAX(MIN('Council Entry'!D72,'Council Entry'!D$9),'Council Entry'!D$8),'Council Entry'!D72))))-'Council Entry'!D$5)/('Council Entry'!D$6-'Council Entry'!D$5)),1))),"No data"))</f>
        <v/>
      </c>
      <c r="E72" s="13">
        <f>IF('Council Entry'!E72="","",IFERROR(MAX(0,MIN(10,ROUND(IF('Council Entry'!E$7="Decrease Risk",10-10*((IF('Council Entry'!E$4="Logarithm",LN(0.001+IF(AND(ISNUMBER('Council Entry'!E$8),ISNUMBER('Council Entry'!E$9)),MAX(MIN('Council Entry'!E72,'Council Entry'!E$9),'Council Entry'!E$8),'Council Entry'!E72)),IF('Council Entry'!E$4="Exponential",EXP(IF(AND(ISNUMBER('Council Entry'!E$8),ISNUMBER('Council Entry'!E$9)),MAX(MIN('Council Entry'!E72,'Council Entry'!E$9),'Council Entry'!E$8),'Council Entry'!E72)),IF(AND(ISNUMBER('Council Entry'!E$8),ISNUMBER('Council Entry'!E$9)),MAX(MIN('Council Entry'!E72,'Council Entry'!E$9),'Council Entry'!E$8),'Council Entry'!E72))))-'Council Entry'!E$5)/('Council Entry'!E$6-'Council Entry'!E$5),10*((IF('Council Entry'!E$4="Logarithm",LN(0.001+IF(AND(ISNUMBER('Council Entry'!E$8),ISNUMBER('Council Entry'!E$9)),MAX(MIN('Council Entry'!E72,'Council Entry'!E$9),'Council Entry'!E$8),'Council Entry'!E72)),IF('Council Entry'!E$4="Exponential",EXP(IF(AND(ISNUMBER('Council Entry'!E$8),ISNUMBER('Council Entry'!E$9)),MAX(MIN('Council Entry'!E72,'Council Entry'!E$9),'Council Entry'!E$8),'Council Entry'!E72)),IF(AND(ISNUMBER('Council Entry'!E$8),ISNUMBER('Council Entry'!E$9)),MAX(MIN('Council Entry'!E72,'Council Entry'!E$9),'Council Entry'!E$8),'Council Entry'!E72))))-'Council Entry'!E$5)/('Council Entry'!E$6-'Council Entry'!E$5)),1))),"No data"))</f>
        <v/>
      </c>
      <c r="F72" s="13">
        <f>IF('Council Entry'!F72="","",IFERROR(MAX(0,MIN(10,ROUND(IF('Council Entry'!F$7="Decrease Risk",10-10*((IF('Council Entry'!F$4="Logarithm",LN(0.001+IF(AND(ISNUMBER('Council Entry'!F$8),ISNUMBER('Council Entry'!F$9)),MAX(MIN('Council Entry'!F72,'Council Entry'!F$9),'Council Entry'!F$8),'Council Entry'!F72)),IF('Council Entry'!F$4="Exponential",EXP(IF(AND(ISNUMBER('Council Entry'!F$8),ISNUMBER('Council Entry'!F$9)),MAX(MIN('Council Entry'!F72,'Council Entry'!F$9),'Council Entry'!F$8),'Council Entry'!F72)),IF(AND(ISNUMBER('Council Entry'!F$8),ISNUMBER('Council Entry'!F$9)),MAX(MIN('Council Entry'!F72,'Council Entry'!F$9),'Council Entry'!F$8),'Council Entry'!F72))))-'Council Entry'!F$5)/('Council Entry'!F$6-'Council Entry'!F$5),10*((IF('Council Entry'!F$4="Logarithm",LN(0.001+IF(AND(ISNUMBER('Council Entry'!F$8),ISNUMBER('Council Entry'!F$9)),MAX(MIN('Council Entry'!F72,'Council Entry'!F$9),'Council Entry'!F$8),'Council Entry'!F72)),IF('Council Entry'!F$4="Exponential",EXP(IF(AND(ISNUMBER('Council Entry'!F$8),ISNUMBER('Council Entry'!F$9)),MAX(MIN('Council Entry'!F72,'Council Entry'!F$9),'Council Entry'!F$8),'Council Entry'!F72)),IF(AND(ISNUMBER('Council Entry'!F$8),ISNUMBER('Council Entry'!F$9)),MAX(MIN('Council Entry'!F72,'Council Entry'!F$9),'Council Entry'!F$8),'Council Entry'!F72))))-'Council Entry'!F$5)/('Council Entry'!F$6-'Council Entry'!F$5)),1))),"No data"))</f>
        <v/>
      </c>
      <c r="G72" s="13">
        <f>IF('Council Entry'!G72="","",IFERROR(MAX(0,MIN(10,ROUND(IF('Council Entry'!G$7="Decrease Risk",10-10*((IF('Council Entry'!G$4="Logarithm",LN(0.001+IF(AND(ISNUMBER('Council Entry'!G$8),ISNUMBER('Council Entry'!G$9)),MAX(MIN('Council Entry'!G72,'Council Entry'!G$9),'Council Entry'!G$8),'Council Entry'!G72)),IF('Council Entry'!G$4="Exponential",EXP(IF(AND(ISNUMBER('Council Entry'!G$8),ISNUMBER('Council Entry'!G$9)),MAX(MIN('Council Entry'!G72,'Council Entry'!G$9),'Council Entry'!G$8),'Council Entry'!G72)),IF(AND(ISNUMBER('Council Entry'!G$8),ISNUMBER('Council Entry'!G$9)),MAX(MIN('Council Entry'!G72,'Council Entry'!G$9),'Council Entry'!G$8),'Council Entry'!G72))))-'Council Entry'!G$5)/('Council Entry'!G$6-'Council Entry'!G$5),10*((IF('Council Entry'!G$4="Logarithm",LN(0.001+IF(AND(ISNUMBER('Council Entry'!G$8),ISNUMBER('Council Entry'!G$9)),MAX(MIN('Council Entry'!G72,'Council Entry'!G$9),'Council Entry'!G$8),'Council Entry'!G72)),IF('Council Entry'!G$4="Exponential",EXP(IF(AND(ISNUMBER('Council Entry'!G$8),ISNUMBER('Council Entry'!G$9)),MAX(MIN('Council Entry'!G72,'Council Entry'!G$9),'Council Entry'!G$8),'Council Entry'!G72)),IF(AND(ISNUMBER('Council Entry'!G$8),ISNUMBER('Council Entry'!G$9)),MAX(MIN('Council Entry'!G72,'Council Entry'!G$9),'Council Entry'!G$8),'Council Entry'!G72))))-'Council Entry'!G$5)/('Council Entry'!G$6-'Council Entry'!G$5)),1))),"No data"))</f>
        <v/>
      </c>
      <c r="H72" s="13">
        <f>IF('Council Entry'!H72="","",IFERROR(MAX(0,MIN(10,ROUND(IF('Council Entry'!H$7="Decrease Risk",10-10*((IF('Council Entry'!H$4="Logarithm",LN(0.001+IF(AND(ISNUMBER('Council Entry'!H$8),ISNUMBER('Council Entry'!H$9)),MAX(MIN('Council Entry'!H72,'Council Entry'!H$9),'Council Entry'!H$8),'Council Entry'!H72)),IF('Council Entry'!H$4="Exponential",EXP(IF(AND(ISNUMBER('Council Entry'!H$8),ISNUMBER('Council Entry'!H$9)),MAX(MIN('Council Entry'!H72,'Council Entry'!H$9),'Council Entry'!H$8),'Council Entry'!H72)),IF(AND(ISNUMBER('Council Entry'!H$8),ISNUMBER('Council Entry'!H$9)),MAX(MIN('Council Entry'!H72,'Council Entry'!H$9),'Council Entry'!H$8),'Council Entry'!H72))))-'Council Entry'!H$5)/('Council Entry'!H$6-'Council Entry'!H$5),10*((IF('Council Entry'!H$4="Logarithm",LN(0.001+IF(AND(ISNUMBER('Council Entry'!H$8),ISNUMBER('Council Entry'!H$9)),MAX(MIN('Council Entry'!H72,'Council Entry'!H$9),'Council Entry'!H$8),'Council Entry'!H72)),IF('Council Entry'!H$4="Exponential",EXP(IF(AND(ISNUMBER('Council Entry'!H$8),ISNUMBER('Council Entry'!H$9)),MAX(MIN('Council Entry'!H72,'Council Entry'!H$9),'Council Entry'!H$8),'Council Entry'!H72)),IF(AND(ISNUMBER('Council Entry'!H$8),ISNUMBER('Council Entry'!H$9)),MAX(MIN('Council Entry'!H72,'Council Entry'!H$9),'Council Entry'!H$8),'Council Entry'!H72))))-'Council Entry'!H$5)/('Council Entry'!H$6-'Council Entry'!H$5)),1))),"No data"))</f>
        <v/>
      </c>
      <c r="I72" s="13">
        <f>IF('Council Entry'!I72="","",IFERROR(MAX(0,MIN(10,ROUND(IF('Council Entry'!I$7="Decrease Risk",10-10*((IF('Council Entry'!I$4="Logarithm",LN(0.001+IF(AND(ISNUMBER('Council Entry'!I$8),ISNUMBER('Council Entry'!I$9)),MAX(MIN('Council Entry'!I72,'Council Entry'!I$9),'Council Entry'!I$8),'Council Entry'!I72)),IF('Council Entry'!I$4="Exponential",EXP(IF(AND(ISNUMBER('Council Entry'!I$8),ISNUMBER('Council Entry'!I$9)),MAX(MIN('Council Entry'!I72,'Council Entry'!I$9),'Council Entry'!I$8),'Council Entry'!I72)),IF(AND(ISNUMBER('Council Entry'!I$8),ISNUMBER('Council Entry'!I$9)),MAX(MIN('Council Entry'!I72,'Council Entry'!I$9),'Council Entry'!I$8),'Council Entry'!I72))))-'Council Entry'!I$5)/('Council Entry'!I$6-'Council Entry'!I$5),10*((IF('Council Entry'!I$4="Logarithm",LN(0.001+IF(AND(ISNUMBER('Council Entry'!I$8),ISNUMBER('Council Entry'!I$9)),MAX(MIN('Council Entry'!I72,'Council Entry'!I$9),'Council Entry'!I$8),'Council Entry'!I72)),IF('Council Entry'!I$4="Exponential",EXP(IF(AND(ISNUMBER('Council Entry'!I$8),ISNUMBER('Council Entry'!I$9)),MAX(MIN('Council Entry'!I72,'Council Entry'!I$9),'Council Entry'!I$8),'Council Entry'!I72)),IF(AND(ISNUMBER('Council Entry'!I$8),ISNUMBER('Council Entry'!I$9)),MAX(MIN('Council Entry'!I72,'Council Entry'!I$9),'Council Entry'!I$8),'Council Entry'!I72))))-'Council Entry'!I$5)/('Council Entry'!I$6-'Council Entry'!I$5)),1))),"No data"))</f>
        <v/>
      </c>
      <c r="J72" s="13">
        <f>IF('Council Entry'!J72="","",IFERROR(MAX(0,MIN(10,ROUND(IF('Council Entry'!J$7="Decrease Risk",10-10*((IF('Council Entry'!J$4="Logarithm",LN(0.001+IF(AND(ISNUMBER('Council Entry'!J$8),ISNUMBER('Council Entry'!J$9)),MAX(MIN('Council Entry'!J72,'Council Entry'!J$9),'Council Entry'!J$8),'Council Entry'!J72)),IF('Council Entry'!J$4="Exponential",EXP(IF(AND(ISNUMBER('Council Entry'!J$8),ISNUMBER('Council Entry'!J$9)),MAX(MIN('Council Entry'!J72,'Council Entry'!J$9),'Council Entry'!J$8),'Council Entry'!J72)),IF(AND(ISNUMBER('Council Entry'!J$8),ISNUMBER('Council Entry'!J$9)),MAX(MIN('Council Entry'!J72,'Council Entry'!J$9),'Council Entry'!J$8),'Council Entry'!J72))))-'Council Entry'!J$5)/('Council Entry'!J$6-'Council Entry'!J$5),10*((IF('Council Entry'!J$4="Logarithm",LN(0.001+IF(AND(ISNUMBER('Council Entry'!J$8),ISNUMBER('Council Entry'!J$9)),MAX(MIN('Council Entry'!J72,'Council Entry'!J$9),'Council Entry'!J$8),'Council Entry'!J72)),IF('Council Entry'!J$4="Exponential",EXP(IF(AND(ISNUMBER('Council Entry'!J$8),ISNUMBER('Council Entry'!J$9)),MAX(MIN('Council Entry'!J72,'Council Entry'!J$9),'Council Entry'!J$8),'Council Entry'!J72)),IF(AND(ISNUMBER('Council Entry'!J$8),ISNUMBER('Council Entry'!J$9)),MAX(MIN('Council Entry'!J72,'Council Entry'!J$9),'Council Entry'!J$8),'Council Entry'!J72))))-'Council Entry'!J$5)/('Council Entry'!J$6-'Council Entry'!J$5)),1))),"No data"))</f>
        <v/>
      </c>
      <c r="K72" s="13">
        <f>IF('Council Entry'!K72="","",IFERROR(MAX(0,MIN(10,ROUND(IF('Council Entry'!K$7="Decrease Risk",10-10*((IF('Council Entry'!K$4="Logarithm",LN(0.001+IF(AND(ISNUMBER('Council Entry'!K$8),ISNUMBER('Council Entry'!K$9)),MAX(MIN('Council Entry'!K72,'Council Entry'!K$9),'Council Entry'!K$8),'Council Entry'!K72)),IF('Council Entry'!K$4="Exponential",EXP(IF(AND(ISNUMBER('Council Entry'!K$8),ISNUMBER('Council Entry'!K$9)),MAX(MIN('Council Entry'!K72,'Council Entry'!K$9),'Council Entry'!K$8),'Council Entry'!K72)),IF(AND(ISNUMBER('Council Entry'!K$8),ISNUMBER('Council Entry'!K$9)),MAX(MIN('Council Entry'!K72,'Council Entry'!K$9),'Council Entry'!K$8),'Council Entry'!K72))))-'Council Entry'!K$5)/('Council Entry'!K$6-'Council Entry'!K$5),10*((IF('Council Entry'!K$4="Logarithm",LN(0.001+IF(AND(ISNUMBER('Council Entry'!K$8),ISNUMBER('Council Entry'!K$9)),MAX(MIN('Council Entry'!K72,'Council Entry'!K$9),'Council Entry'!K$8),'Council Entry'!K72)),IF('Council Entry'!K$4="Exponential",EXP(IF(AND(ISNUMBER('Council Entry'!K$8),ISNUMBER('Council Entry'!K$9)),MAX(MIN('Council Entry'!K72,'Council Entry'!K$9),'Council Entry'!K$8),'Council Entry'!K72)),IF(AND(ISNUMBER('Council Entry'!K$8),ISNUMBER('Council Entry'!K$9)),MAX(MIN('Council Entry'!K72,'Council Entry'!K$9),'Council Entry'!K$8),'Council Entry'!K72))))-'Council Entry'!K$5)/('Council Entry'!K$6-'Council Entry'!K$5)),1))),"No data"))</f>
        <v/>
      </c>
      <c r="L72" s="13">
        <f>IF('Council Entry'!L72="","",IFERROR(MAX(0,MIN(10,ROUND(IF('Council Entry'!L$7="Decrease Risk",10-10*((IF('Council Entry'!L$4="Logarithm",LN(0.001+IF(AND(ISNUMBER('Council Entry'!L$8),ISNUMBER('Council Entry'!L$9)),MAX(MIN('Council Entry'!L72,'Council Entry'!L$9),'Council Entry'!L$8),'Council Entry'!L72)),IF('Council Entry'!L$4="Exponential",EXP(IF(AND(ISNUMBER('Council Entry'!L$8),ISNUMBER('Council Entry'!L$9)),MAX(MIN('Council Entry'!L72,'Council Entry'!L$9),'Council Entry'!L$8),'Council Entry'!L72)),IF(AND(ISNUMBER('Council Entry'!L$8),ISNUMBER('Council Entry'!L$9)),MAX(MIN('Council Entry'!L72,'Council Entry'!L$9),'Council Entry'!L$8),'Council Entry'!L72))))-'Council Entry'!L$5)/('Council Entry'!L$6-'Council Entry'!L$5),10*((IF('Council Entry'!L$4="Logarithm",LN(0.001+IF(AND(ISNUMBER('Council Entry'!L$8),ISNUMBER('Council Entry'!L$9)),MAX(MIN('Council Entry'!L72,'Council Entry'!L$9),'Council Entry'!L$8),'Council Entry'!L72)),IF('Council Entry'!L$4="Exponential",EXP(IF(AND(ISNUMBER('Council Entry'!L$8),ISNUMBER('Council Entry'!L$9)),MAX(MIN('Council Entry'!L72,'Council Entry'!L$9),'Council Entry'!L$8),'Council Entry'!L72)),IF(AND(ISNUMBER('Council Entry'!L$8),ISNUMBER('Council Entry'!L$9)),MAX(MIN('Council Entry'!L72,'Council Entry'!L$9),'Council Entry'!L$8),'Council Entry'!L72))))-'Council Entry'!L$5)/('Council Entry'!L$6-'Council Entry'!L$5)),1))),"No data"))</f>
        <v/>
      </c>
      <c r="M72" s="13">
        <f>IF('Council Entry'!M72="","",IFERROR(MAX(0,MIN(10,ROUND(IF('Council Entry'!M$7="Decrease Risk",10-10*((IF('Council Entry'!M$4="Logarithm",LN(0.001+IF(AND(ISNUMBER('Council Entry'!M$8),ISNUMBER('Council Entry'!M$9)),MAX(MIN('Council Entry'!M72,'Council Entry'!M$9),'Council Entry'!M$8),'Council Entry'!M72)),IF('Council Entry'!M$4="Exponential",EXP(IF(AND(ISNUMBER('Council Entry'!M$8),ISNUMBER('Council Entry'!M$9)),MAX(MIN('Council Entry'!M72,'Council Entry'!M$9),'Council Entry'!M$8),'Council Entry'!M72)),IF(AND(ISNUMBER('Council Entry'!M$8),ISNUMBER('Council Entry'!M$9)),MAX(MIN('Council Entry'!M72,'Council Entry'!M$9),'Council Entry'!M$8),'Council Entry'!M72))))-'Council Entry'!M$5)/('Council Entry'!M$6-'Council Entry'!M$5),10*((IF('Council Entry'!M$4="Logarithm",LN(0.001+IF(AND(ISNUMBER('Council Entry'!M$8),ISNUMBER('Council Entry'!M$9)),MAX(MIN('Council Entry'!M72,'Council Entry'!M$9),'Council Entry'!M$8),'Council Entry'!M72)),IF('Council Entry'!M$4="Exponential",EXP(IF(AND(ISNUMBER('Council Entry'!M$8),ISNUMBER('Council Entry'!M$9)),MAX(MIN('Council Entry'!M72,'Council Entry'!M$9),'Council Entry'!M$8),'Council Entry'!M72)),IF(AND(ISNUMBER('Council Entry'!M$8),ISNUMBER('Council Entry'!M$9)),MAX(MIN('Council Entry'!M72,'Council Entry'!M$9),'Council Entry'!M$8),'Council Entry'!M72))))-'Council Entry'!M$5)/('Council Entry'!M$6-'Council Entry'!M$5)),1))),"No data"))</f>
        <v/>
      </c>
      <c r="N72" s="13">
        <f>IF('Council Entry'!N72="","",IFERROR(MAX(0,MIN(10,ROUND(IF('Council Entry'!N$7="Decrease Risk",10-10*((IF('Council Entry'!N$4="Logarithm",LN(0.001+IF(AND(ISNUMBER('Council Entry'!N$8),ISNUMBER('Council Entry'!N$9)),MAX(MIN('Council Entry'!N72,'Council Entry'!N$9),'Council Entry'!N$8),'Council Entry'!N72)),IF('Council Entry'!N$4="Exponential",EXP(IF(AND(ISNUMBER('Council Entry'!N$8),ISNUMBER('Council Entry'!N$9)),MAX(MIN('Council Entry'!N72,'Council Entry'!N$9),'Council Entry'!N$8),'Council Entry'!N72)),IF(AND(ISNUMBER('Council Entry'!N$8),ISNUMBER('Council Entry'!N$9)),MAX(MIN('Council Entry'!N72,'Council Entry'!N$9),'Council Entry'!N$8),'Council Entry'!N72))))-'Council Entry'!N$5)/('Council Entry'!N$6-'Council Entry'!N$5),10*((IF('Council Entry'!N$4="Logarithm",LN(0.001+IF(AND(ISNUMBER('Council Entry'!N$8),ISNUMBER('Council Entry'!N$9)),MAX(MIN('Council Entry'!N72,'Council Entry'!N$9),'Council Entry'!N$8),'Council Entry'!N72)),IF('Council Entry'!N$4="Exponential",EXP(IF(AND(ISNUMBER('Council Entry'!N$8),ISNUMBER('Council Entry'!N$9)),MAX(MIN('Council Entry'!N72,'Council Entry'!N$9),'Council Entry'!N$8),'Council Entry'!N72)),IF(AND(ISNUMBER('Council Entry'!N$8),ISNUMBER('Council Entry'!N$9)),MAX(MIN('Council Entry'!N72,'Council Entry'!N$9),'Council Entry'!N$8),'Council Entry'!N72))))-'Council Entry'!N$5)/('Council Entry'!N$6-'Council Entry'!N$5)),1))),"No data"))</f>
        <v/>
      </c>
      <c r="O72" s="13">
        <f>IF('Council Entry'!O72="","",IFERROR(MAX(0,MIN(10,ROUND(IF('Council Entry'!O$7="Decrease Risk",10-10*((IF('Council Entry'!O$4="Logarithm",LN(0.001+IF(AND(ISNUMBER('Council Entry'!O$8),ISNUMBER('Council Entry'!O$9)),MAX(MIN('Council Entry'!O72,'Council Entry'!O$9),'Council Entry'!O$8),'Council Entry'!O72)),IF('Council Entry'!O$4="Exponential",EXP(IF(AND(ISNUMBER('Council Entry'!O$8),ISNUMBER('Council Entry'!O$9)),MAX(MIN('Council Entry'!O72,'Council Entry'!O$9),'Council Entry'!O$8),'Council Entry'!O72)),IF(AND(ISNUMBER('Council Entry'!O$8),ISNUMBER('Council Entry'!O$9)),MAX(MIN('Council Entry'!O72,'Council Entry'!O$9),'Council Entry'!O$8),'Council Entry'!O72))))-'Council Entry'!O$5)/('Council Entry'!O$6-'Council Entry'!O$5),10*((IF('Council Entry'!O$4="Logarithm",LN(0.001+IF(AND(ISNUMBER('Council Entry'!O$8),ISNUMBER('Council Entry'!O$9)),MAX(MIN('Council Entry'!O72,'Council Entry'!O$9),'Council Entry'!O$8),'Council Entry'!O72)),IF('Council Entry'!O$4="Exponential",EXP(IF(AND(ISNUMBER('Council Entry'!O$8),ISNUMBER('Council Entry'!O$9)),MAX(MIN('Council Entry'!O72,'Council Entry'!O$9),'Council Entry'!O$8),'Council Entry'!O72)),IF(AND(ISNUMBER('Council Entry'!O$8),ISNUMBER('Council Entry'!O$9)),MAX(MIN('Council Entry'!O72,'Council Entry'!O$9),'Council Entry'!O$8),'Council Entry'!O72))))-'Council Entry'!O$5)/('Council Entry'!O$6-'Council Entry'!O$5)),1))),"No data"))</f>
        <v/>
      </c>
      <c r="P72" s="13">
        <f>IF('Council Entry'!P72="","",IFERROR(MAX(0,MIN(10,ROUND(IF('Council Entry'!P$7="Decrease Risk",10-10*((IF('Council Entry'!P$4="Logarithm",LN(0.001+IF(AND(ISNUMBER('Council Entry'!P$8),ISNUMBER('Council Entry'!P$9)),MAX(MIN('Council Entry'!P72,'Council Entry'!P$9),'Council Entry'!P$8),'Council Entry'!P72)),IF('Council Entry'!P$4="Exponential",EXP(IF(AND(ISNUMBER('Council Entry'!P$8),ISNUMBER('Council Entry'!P$9)),MAX(MIN('Council Entry'!P72,'Council Entry'!P$9),'Council Entry'!P$8),'Council Entry'!P72)),IF(AND(ISNUMBER('Council Entry'!P$8),ISNUMBER('Council Entry'!P$9)),MAX(MIN('Council Entry'!P72,'Council Entry'!P$9),'Council Entry'!P$8),'Council Entry'!P72))))-'Council Entry'!P$5)/('Council Entry'!P$6-'Council Entry'!P$5),10*((IF('Council Entry'!P$4="Logarithm",LN(0.001+IF(AND(ISNUMBER('Council Entry'!P$8),ISNUMBER('Council Entry'!P$9)),MAX(MIN('Council Entry'!P72,'Council Entry'!P$9),'Council Entry'!P$8),'Council Entry'!P72)),IF('Council Entry'!P$4="Exponential",EXP(IF(AND(ISNUMBER('Council Entry'!P$8),ISNUMBER('Council Entry'!P$9)),MAX(MIN('Council Entry'!P72,'Council Entry'!P$9),'Council Entry'!P$8),'Council Entry'!P72)),IF(AND(ISNUMBER('Council Entry'!P$8),ISNUMBER('Council Entry'!P$9)),MAX(MIN('Council Entry'!P72,'Council Entry'!P$9),'Council Entry'!P$8),'Council Entry'!P72))))-'Council Entry'!P$5)/('Council Entry'!P$6-'Council Entry'!P$5)),1))),"No data"))</f>
        <v/>
      </c>
      <c r="Q72" s="13">
        <f>IF('Council Entry'!Q72="","",IFERROR(MAX(0,MIN(10,ROUND(IF('Council Entry'!Q$7="Decrease Risk",10-10*((IF('Council Entry'!Q$4="Logarithm",LN(0.001+IF(AND(ISNUMBER('Council Entry'!Q$8),ISNUMBER('Council Entry'!Q$9)),MAX(MIN('Council Entry'!Q72,'Council Entry'!Q$9),'Council Entry'!Q$8),'Council Entry'!Q72)),IF('Council Entry'!Q$4="Exponential",EXP(IF(AND(ISNUMBER('Council Entry'!Q$8),ISNUMBER('Council Entry'!Q$9)),MAX(MIN('Council Entry'!Q72,'Council Entry'!Q$9),'Council Entry'!Q$8),'Council Entry'!Q72)),IF(AND(ISNUMBER('Council Entry'!Q$8),ISNUMBER('Council Entry'!Q$9)),MAX(MIN('Council Entry'!Q72,'Council Entry'!Q$9),'Council Entry'!Q$8),'Council Entry'!Q72))))-'Council Entry'!Q$5)/('Council Entry'!Q$6-'Council Entry'!Q$5),10*((IF('Council Entry'!Q$4="Logarithm",LN(0.001+IF(AND(ISNUMBER('Council Entry'!Q$8),ISNUMBER('Council Entry'!Q$9)),MAX(MIN('Council Entry'!Q72,'Council Entry'!Q$9),'Council Entry'!Q$8),'Council Entry'!Q72)),IF('Council Entry'!Q$4="Exponential",EXP(IF(AND(ISNUMBER('Council Entry'!Q$8),ISNUMBER('Council Entry'!Q$9)),MAX(MIN('Council Entry'!Q72,'Council Entry'!Q$9),'Council Entry'!Q$8),'Council Entry'!Q72)),IF(AND(ISNUMBER('Council Entry'!Q$8),ISNUMBER('Council Entry'!Q$9)),MAX(MIN('Council Entry'!Q72,'Council Entry'!Q$9),'Council Entry'!Q$8),'Council Entry'!Q72))))-'Council Entry'!Q$5)/('Council Entry'!Q$6-'Council Entry'!Q$5)),1))),"No data"))</f>
        <v/>
      </c>
      <c r="R72" s="13">
        <f>IF('Council Entry'!R72="","",IFERROR(MAX(0,MIN(10,ROUND(IF('Council Entry'!R$7="Decrease Risk",10-10*((IF('Council Entry'!R$4="Logarithm",LN(0.001+IF(AND(ISNUMBER('Council Entry'!R$8),ISNUMBER('Council Entry'!R$9)),MAX(MIN('Council Entry'!R72,'Council Entry'!R$9),'Council Entry'!R$8),'Council Entry'!R72)),IF('Council Entry'!R$4="Exponential",EXP(IF(AND(ISNUMBER('Council Entry'!R$8),ISNUMBER('Council Entry'!R$9)),MAX(MIN('Council Entry'!R72,'Council Entry'!R$9),'Council Entry'!R$8),'Council Entry'!R72)),IF(AND(ISNUMBER('Council Entry'!R$8),ISNUMBER('Council Entry'!R$9)),MAX(MIN('Council Entry'!R72,'Council Entry'!R$9),'Council Entry'!R$8),'Council Entry'!R72))))-'Council Entry'!R$5)/('Council Entry'!R$6-'Council Entry'!R$5),10*((IF('Council Entry'!R$4="Logarithm",LN(0.001+IF(AND(ISNUMBER('Council Entry'!R$8),ISNUMBER('Council Entry'!R$9)),MAX(MIN('Council Entry'!R72,'Council Entry'!R$9),'Council Entry'!R$8),'Council Entry'!R72)),IF('Council Entry'!R$4="Exponential",EXP(IF(AND(ISNUMBER('Council Entry'!R$8),ISNUMBER('Council Entry'!R$9)),MAX(MIN('Council Entry'!R72,'Council Entry'!R$9),'Council Entry'!R$8),'Council Entry'!R72)),IF(AND(ISNUMBER('Council Entry'!R$8),ISNUMBER('Council Entry'!R$9)),MAX(MIN('Council Entry'!R72,'Council Entry'!R$9),'Council Entry'!R$8),'Council Entry'!R72))))-'Council Entry'!R$5)/('Council Entry'!R$6-'Council Entry'!R$5)),1))),"No data"))</f>
        <v/>
      </c>
      <c r="S72" s="13">
        <f>IF('Council Entry'!S72="","",IFERROR(MAX(0,MIN(10,ROUND(IF('Council Entry'!S$7="Decrease Risk",10-10*((IF('Council Entry'!S$4="Logarithm",LN(0.001+IF(AND(ISNUMBER('Council Entry'!S$8),ISNUMBER('Council Entry'!S$9)),MAX(MIN('Council Entry'!S72,'Council Entry'!S$9),'Council Entry'!S$8),'Council Entry'!S72)),IF('Council Entry'!S$4="Exponential",EXP(IF(AND(ISNUMBER('Council Entry'!S$8),ISNUMBER('Council Entry'!S$9)),MAX(MIN('Council Entry'!S72,'Council Entry'!S$9),'Council Entry'!S$8),'Council Entry'!S72)),IF(AND(ISNUMBER('Council Entry'!S$8),ISNUMBER('Council Entry'!S$9)),MAX(MIN('Council Entry'!S72,'Council Entry'!S$9),'Council Entry'!S$8),'Council Entry'!S72))))-'Council Entry'!S$5)/('Council Entry'!S$6-'Council Entry'!S$5),10*((IF('Council Entry'!S$4="Logarithm",LN(0.001+IF(AND(ISNUMBER('Council Entry'!S$8),ISNUMBER('Council Entry'!S$9)),MAX(MIN('Council Entry'!S72,'Council Entry'!S$9),'Council Entry'!S$8),'Council Entry'!S72)),IF('Council Entry'!S$4="Exponential",EXP(IF(AND(ISNUMBER('Council Entry'!S$8),ISNUMBER('Council Entry'!S$9)),MAX(MIN('Council Entry'!S72,'Council Entry'!S$9),'Council Entry'!S$8),'Council Entry'!S72)),IF(AND(ISNUMBER('Council Entry'!S$8),ISNUMBER('Council Entry'!S$9)),MAX(MIN('Council Entry'!S72,'Council Entry'!S$9),'Council Entry'!S$8),'Council Entry'!S72))))-'Council Entry'!S$5)/('Council Entry'!S$6-'Council Entry'!S$5)),1))),"No data"))</f>
        <v/>
      </c>
      <c r="T72" s="13">
        <f>IF('Council Entry'!T72="","",IFERROR(MAX(0,MIN(10,ROUND(IF('Council Entry'!T$7="Decrease Risk",10-10*((IF('Council Entry'!T$4="Logarithm",LN(0.001+IF(AND(ISNUMBER('Council Entry'!T$8),ISNUMBER('Council Entry'!T$9)),MAX(MIN('Council Entry'!T72,'Council Entry'!T$9),'Council Entry'!T$8),'Council Entry'!T72)),IF('Council Entry'!T$4="Exponential",EXP(IF(AND(ISNUMBER('Council Entry'!T$8),ISNUMBER('Council Entry'!T$9)),MAX(MIN('Council Entry'!T72,'Council Entry'!T$9),'Council Entry'!T$8),'Council Entry'!T72)),IF(AND(ISNUMBER('Council Entry'!T$8),ISNUMBER('Council Entry'!T$9)),MAX(MIN('Council Entry'!T72,'Council Entry'!T$9),'Council Entry'!T$8),'Council Entry'!T72))))-'Council Entry'!T$5)/('Council Entry'!T$6-'Council Entry'!T$5),10*((IF('Council Entry'!T$4="Logarithm",LN(0.001+IF(AND(ISNUMBER('Council Entry'!T$8),ISNUMBER('Council Entry'!T$9)),MAX(MIN('Council Entry'!T72,'Council Entry'!T$9),'Council Entry'!T$8),'Council Entry'!T72)),IF('Council Entry'!T$4="Exponential",EXP(IF(AND(ISNUMBER('Council Entry'!T$8),ISNUMBER('Council Entry'!T$9)),MAX(MIN('Council Entry'!T72,'Council Entry'!T$9),'Council Entry'!T$8),'Council Entry'!T72)),IF(AND(ISNUMBER('Council Entry'!T$8),ISNUMBER('Council Entry'!T$9)),MAX(MIN('Council Entry'!T72,'Council Entry'!T$9),'Council Entry'!T$8),'Council Entry'!T72))))-'Council Entry'!T$5)/('Council Entry'!T$6-'Council Entry'!T$5)),1))),"No data"))</f>
        <v/>
      </c>
      <c r="U72" s="13">
        <f>IF('Council Entry'!U72="","",IFERROR(MAX(0,MIN(10,ROUND(IF('Council Entry'!U$7="Decrease Risk",10-10*((IF('Council Entry'!U$4="Logarithm",LN(0.001+IF(AND(ISNUMBER('Council Entry'!U$8),ISNUMBER('Council Entry'!U$9)),MAX(MIN('Council Entry'!U72,'Council Entry'!U$9),'Council Entry'!U$8),'Council Entry'!U72)),IF('Council Entry'!U$4="Exponential",EXP(IF(AND(ISNUMBER('Council Entry'!U$8),ISNUMBER('Council Entry'!U$9)),MAX(MIN('Council Entry'!U72,'Council Entry'!U$9),'Council Entry'!U$8),'Council Entry'!U72)),IF(AND(ISNUMBER('Council Entry'!U$8),ISNUMBER('Council Entry'!U$9)),MAX(MIN('Council Entry'!U72,'Council Entry'!U$9),'Council Entry'!U$8),'Council Entry'!U72))))-'Council Entry'!U$5)/('Council Entry'!U$6-'Council Entry'!U$5),10*((IF('Council Entry'!U$4="Logarithm",LN(0.001+IF(AND(ISNUMBER('Council Entry'!U$8),ISNUMBER('Council Entry'!U$9)),MAX(MIN('Council Entry'!U72,'Council Entry'!U$9),'Council Entry'!U$8),'Council Entry'!U72)),IF('Council Entry'!U$4="Exponential",EXP(IF(AND(ISNUMBER('Council Entry'!U$8),ISNUMBER('Council Entry'!U$9)),MAX(MIN('Council Entry'!U72,'Council Entry'!U$9),'Council Entry'!U$8),'Council Entry'!U72)),IF(AND(ISNUMBER('Council Entry'!U$8),ISNUMBER('Council Entry'!U$9)),MAX(MIN('Council Entry'!U72,'Council Entry'!U$9),'Council Entry'!U$8),'Council Entry'!U72))))-'Council Entry'!U$5)/('Council Entry'!U$6-'Council Entry'!U$5)),1))),"No data"))</f>
        <v/>
      </c>
      <c r="V72" s="13">
        <f>IF('Council Entry'!V72="","",IFERROR(MAX(0,MIN(10,ROUND(IF('Council Entry'!V$7="Decrease Risk",10-10*((IF('Council Entry'!V$4="Logarithm",LN(0.001+IF(AND(ISNUMBER('Council Entry'!V$8),ISNUMBER('Council Entry'!V$9)),MAX(MIN('Council Entry'!V72,'Council Entry'!V$9),'Council Entry'!V$8),'Council Entry'!V72)),IF('Council Entry'!V$4="Exponential",EXP(IF(AND(ISNUMBER('Council Entry'!V$8),ISNUMBER('Council Entry'!V$9)),MAX(MIN('Council Entry'!V72,'Council Entry'!V$9),'Council Entry'!V$8),'Council Entry'!V72)),IF(AND(ISNUMBER('Council Entry'!V$8),ISNUMBER('Council Entry'!V$9)),MAX(MIN('Council Entry'!V72,'Council Entry'!V$9),'Council Entry'!V$8),'Council Entry'!V72))))-'Council Entry'!V$5)/('Council Entry'!V$6-'Council Entry'!V$5),10*((IF('Council Entry'!V$4="Logarithm",LN(0.001+IF(AND(ISNUMBER('Council Entry'!V$8),ISNUMBER('Council Entry'!V$9)),MAX(MIN('Council Entry'!V72,'Council Entry'!V$9),'Council Entry'!V$8),'Council Entry'!V72)),IF('Council Entry'!V$4="Exponential",EXP(IF(AND(ISNUMBER('Council Entry'!V$8),ISNUMBER('Council Entry'!V$9)),MAX(MIN('Council Entry'!V72,'Council Entry'!V$9),'Council Entry'!V$8),'Council Entry'!V72)),IF(AND(ISNUMBER('Council Entry'!V$8),ISNUMBER('Council Entry'!V$9)),MAX(MIN('Council Entry'!V72,'Council Entry'!V$9),'Council Entry'!V$8),'Council Entry'!V72))))-'Council Entry'!V$5)/('Council Entry'!V$6-'Council Entry'!V$5)),1))),"No data"))</f>
        <v/>
      </c>
      <c r="W72" s="13">
        <f>IF('Council Entry'!W72="","",IFERROR(MAX(0,MIN(10,ROUND(IF('Council Entry'!W$7="Decrease Risk",10-10*((IF('Council Entry'!W$4="Logarithm",LN(0.001+IF(AND(ISNUMBER('Council Entry'!W$8),ISNUMBER('Council Entry'!W$9)),MAX(MIN('Council Entry'!W72,'Council Entry'!W$9),'Council Entry'!W$8),'Council Entry'!W72)),IF('Council Entry'!W$4="Exponential",EXP(IF(AND(ISNUMBER('Council Entry'!W$8),ISNUMBER('Council Entry'!W$9)),MAX(MIN('Council Entry'!W72,'Council Entry'!W$9),'Council Entry'!W$8),'Council Entry'!W72)),IF(AND(ISNUMBER('Council Entry'!W$8),ISNUMBER('Council Entry'!W$9)),MAX(MIN('Council Entry'!W72,'Council Entry'!W$9),'Council Entry'!W$8),'Council Entry'!W72))))-'Council Entry'!W$5)/('Council Entry'!W$6-'Council Entry'!W$5),10*((IF('Council Entry'!W$4="Logarithm",LN(0.001+IF(AND(ISNUMBER('Council Entry'!W$8),ISNUMBER('Council Entry'!W$9)),MAX(MIN('Council Entry'!W72,'Council Entry'!W$9),'Council Entry'!W$8),'Council Entry'!W72)),IF('Council Entry'!W$4="Exponential",EXP(IF(AND(ISNUMBER('Council Entry'!W$8),ISNUMBER('Council Entry'!W$9)),MAX(MIN('Council Entry'!W72,'Council Entry'!W$9),'Council Entry'!W$8),'Council Entry'!W72)),IF(AND(ISNUMBER('Council Entry'!W$8),ISNUMBER('Council Entry'!W$9)),MAX(MIN('Council Entry'!W72,'Council Entry'!W$9),'Council Entry'!W$8),'Council Entry'!W72))))-'Council Entry'!W$5)/('Council Entry'!W$6-'Council Entry'!W$5)),1))),"No data"))</f>
        <v/>
      </c>
      <c r="X72" s="13">
        <f>IF('Council Entry'!X72="","",IFERROR(MAX(0,MIN(10,ROUND(IF('Council Entry'!X$7="Decrease Risk",10-10*((IF('Council Entry'!X$4="Logarithm",LN(0.001+IF(AND(ISNUMBER('Council Entry'!X$8),ISNUMBER('Council Entry'!X$9)),MAX(MIN('Council Entry'!X72,'Council Entry'!X$9),'Council Entry'!X$8),'Council Entry'!X72)),IF('Council Entry'!X$4="Exponential",EXP(IF(AND(ISNUMBER('Council Entry'!X$8),ISNUMBER('Council Entry'!X$9)),MAX(MIN('Council Entry'!X72,'Council Entry'!X$9),'Council Entry'!X$8),'Council Entry'!X72)),IF(AND(ISNUMBER('Council Entry'!X$8),ISNUMBER('Council Entry'!X$9)),MAX(MIN('Council Entry'!X72,'Council Entry'!X$9),'Council Entry'!X$8),'Council Entry'!X72))))-'Council Entry'!X$5)/('Council Entry'!X$6-'Council Entry'!X$5),10*((IF('Council Entry'!X$4="Logarithm",LN(0.001+IF(AND(ISNUMBER('Council Entry'!X$8),ISNUMBER('Council Entry'!X$9)),MAX(MIN('Council Entry'!X72,'Council Entry'!X$9),'Council Entry'!X$8),'Council Entry'!X72)),IF('Council Entry'!X$4="Exponential",EXP(IF(AND(ISNUMBER('Council Entry'!X$8),ISNUMBER('Council Entry'!X$9)),MAX(MIN('Council Entry'!X72,'Council Entry'!X$9),'Council Entry'!X$8),'Council Entry'!X72)),IF(AND(ISNUMBER('Council Entry'!X$8),ISNUMBER('Council Entry'!X$9)),MAX(MIN('Council Entry'!X72,'Council Entry'!X$9),'Council Entry'!X$8),'Council Entry'!X72))))-'Council Entry'!X$5)/('Council Entry'!X$6-'Council Entry'!X$5)),1))),"No data"))</f>
        <v/>
      </c>
      <c r="Y72" s="13">
        <f>IF('Council Entry'!Y72="","",IFERROR(MAX(0,MIN(10,ROUND(IF('Council Entry'!Y$7="Decrease Risk",10-10*((IF('Council Entry'!Y$4="Logarithm",LN(0.001+IF(AND(ISNUMBER('Council Entry'!Y$8),ISNUMBER('Council Entry'!Y$9)),MAX(MIN('Council Entry'!Y72,'Council Entry'!Y$9),'Council Entry'!Y$8),'Council Entry'!Y72)),IF('Council Entry'!Y$4="Exponential",EXP(IF(AND(ISNUMBER('Council Entry'!Y$8),ISNUMBER('Council Entry'!Y$9)),MAX(MIN('Council Entry'!Y72,'Council Entry'!Y$9),'Council Entry'!Y$8),'Council Entry'!Y72)),IF(AND(ISNUMBER('Council Entry'!Y$8),ISNUMBER('Council Entry'!Y$9)),MAX(MIN('Council Entry'!Y72,'Council Entry'!Y$9),'Council Entry'!Y$8),'Council Entry'!Y72))))-'Council Entry'!Y$5)/('Council Entry'!Y$6-'Council Entry'!Y$5),10*((IF('Council Entry'!Y$4="Logarithm",LN(0.001+IF(AND(ISNUMBER('Council Entry'!Y$8),ISNUMBER('Council Entry'!Y$9)),MAX(MIN('Council Entry'!Y72,'Council Entry'!Y$9),'Council Entry'!Y$8),'Council Entry'!Y72)),IF('Council Entry'!Y$4="Exponential",EXP(IF(AND(ISNUMBER('Council Entry'!Y$8),ISNUMBER('Council Entry'!Y$9)),MAX(MIN('Council Entry'!Y72,'Council Entry'!Y$9),'Council Entry'!Y$8),'Council Entry'!Y72)),IF(AND(ISNUMBER('Council Entry'!Y$8),ISNUMBER('Council Entry'!Y$9)),MAX(MIN('Council Entry'!Y72,'Council Entry'!Y$9),'Council Entry'!Y$8),'Council Entry'!Y72))))-'Council Entry'!Y$5)/('Council Entry'!Y$6-'Council Entry'!Y$5)),1))),"No data"))</f>
        <v/>
      </c>
      <c r="Z72" s="13">
        <f>IF('Council Entry'!Z72="","",IFERROR(MAX(0,MIN(10,ROUND(IF('Council Entry'!Z$7="Decrease Risk",10-10*((IF('Council Entry'!Z$4="Logarithm",LN(0.001+IF(AND(ISNUMBER('Council Entry'!Z$8),ISNUMBER('Council Entry'!Z$9)),MAX(MIN('Council Entry'!Z72,'Council Entry'!Z$9),'Council Entry'!Z$8),'Council Entry'!Z72)),IF('Council Entry'!Z$4="Exponential",EXP(IF(AND(ISNUMBER('Council Entry'!Z$8),ISNUMBER('Council Entry'!Z$9)),MAX(MIN('Council Entry'!Z72,'Council Entry'!Z$9),'Council Entry'!Z$8),'Council Entry'!Z72)),IF(AND(ISNUMBER('Council Entry'!Z$8),ISNUMBER('Council Entry'!Z$9)),MAX(MIN('Council Entry'!Z72,'Council Entry'!Z$9),'Council Entry'!Z$8),'Council Entry'!Z72))))-'Council Entry'!Z$5)/('Council Entry'!Z$6-'Council Entry'!Z$5),10*((IF('Council Entry'!Z$4="Logarithm",LN(0.001+IF(AND(ISNUMBER('Council Entry'!Z$8),ISNUMBER('Council Entry'!Z$9)),MAX(MIN('Council Entry'!Z72,'Council Entry'!Z$9),'Council Entry'!Z$8),'Council Entry'!Z72)),IF('Council Entry'!Z$4="Exponential",EXP(IF(AND(ISNUMBER('Council Entry'!Z$8),ISNUMBER('Council Entry'!Z$9)),MAX(MIN('Council Entry'!Z72,'Council Entry'!Z$9),'Council Entry'!Z$8),'Council Entry'!Z72)),IF(AND(ISNUMBER('Council Entry'!Z$8),ISNUMBER('Council Entry'!Z$9)),MAX(MIN('Council Entry'!Z72,'Council Entry'!Z$9),'Council Entry'!Z$8),'Council Entry'!Z72))))-'Council Entry'!Z$5)/('Council Entry'!Z$6-'Council Entry'!Z$5)),1))),"No data"))</f>
        <v/>
      </c>
      <c r="AA72" s="13">
        <f>IF('Council Entry'!AA72="","",IFERROR(MAX(0,MIN(10,ROUND(IF('Council Entry'!AA$7="Decrease Risk",10-10*((IF('Council Entry'!AA$4="Logarithm",LN(0.001+IF(AND(ISNUMBER('Council Entry'!AA$8),ISNUMBER('Council Entry'!AA$9)),MAX(MIN('Council Entry'!AA72,'Council Entry'!AA$9),'Council Entry'!AA$8),'Council Entry'!AA72)),IF('Council Entry'!AA$4="Exponential",EXP(IF(AND(ISNUMBER('Council Entry'!AA$8),ISNUMBER('Council Entry'!AA$9)),MAX(MIN('Council Entry'!AA72,'Council Entry'!AA$9),'Council Entry'!AA$8),'Council Entry'!AA72)),IF(AND(ISNUMBER('Council Entry'!AA$8),ISNUMBER('Council Entry'!AA$9)),MAX(MIN('Council Entry'!AA72,'Council Entry'!AA$9),'Council Entry'!AA$8),'Council Entry'!AA72))))-'Council Entry'!AA$5)/('Council Entry'!AA$6-'Council Entry'!AA$5),10*((IF('Council Entry'!AA$4="Logarithm",LN(0.001+IF(AND(ISNUMBER('Council Entry'!AA$8),ISNUMBER('Council Entry'!AA$9)),MAX(MIN('Council Entry'!AA72,'Council Entry'!AA$9),'Council Entry'!AA$8),'Council Entry'!AA72)),IF('Council Entry'!AA$4="Exponential",EXP(IF(AND(ISNUMBER('Council Entry'!AA$8),ISNUMBER('Council Entry'!AA$9)),MAX(MIN('Council Entry'!AA72,'Council Entry'!AA$9),'Council Entry'!AA$8),'Council Entry'!AA72)),IF(AND(ISNUMBER('Council Entry'!AA$8),ISNUMBER('Council Entry'!AA$9)),MAX(MIN('Council Entry'!AA72,'Council Entry'!AA$9),'Council Entry'!AA$8),'Council Entry'!AA72))))-'Council Entry'!AA$5)/('Council Entry'!AA$6-'Council Entry'!AA$5)),1))),"No data"))</f>
        <v/>
      </c>
      <c r="AB72" s="13">
        <f>IF('Council Entry'!AB72="","",IFERROR(MAX(0,MIN(10,ROUND(IF('Council Entry'!AB$7="Decrease Risk",10-10*((IF('Council Entry'!AB$4="Logarithm",LN(0.001+IF(AND(ISNUMBER('Council Entry'!AB$8),ISNUMBER('Council Entry'!AB$9)),MAX(MIN('Council Entry'!AB72,'Council Entry'!AB$9),'Council Entry'!AB$8),'Council Entry'!AB72)),IF('Council Entry'!AB$4="Exponential",EXP(IF(AND(ISNUMBER('Council Entry'!AB$8),ISNUMBER('Council Entry'!AB$9)),MAX(MIN('Council Entry'!AB72,'Council Entry'!AB$9),'Council Entry'!AB$8),'Council Entry'!AB72)),IF(AND(ISNUMBER('Council Entry'!AB$8),ISNUMBER('Council Entry'!AB$9)),MAX(MIN('Council Entry'!AB72,'Council Entry'!AB$9),'Council Entry'!AB$8),'Council Entry'!AB72))))-'Council Entry'!AB$5)/('Council Entry'!AB$6-'Council Entry'!AB$5),10*((IF('Council Entry'!AB$4="Logarithm",LN(0.001+IF(AND(ISNUMBER('Council Entry'!AB$8),ISNUMBER('Council Entry'!AB$9)),MAX(MIN('Council Entry'!AB72,'Council Entry'!AB$9),'Council Entry'!AB$8),'Council Entry'!AB72)),IF('Council Entry'!AB$4="Exponential",EXP(IF(AND(ISNUMBER('Council Entry'!AB$8),ISNUMBER('Council Entry'!AB$9)),MAX(MIN('Council Entry'!AB72,'Council Entry'!AB$9),'Council Entry'!AB$8),'Council Entry'!AB72)),IF(AND(ISNUMBER('Council Entry'!AB$8),ISNUMBER('Council Entry'!AB$9)),MAX(MIN('Council Entry'!AB72,'Council Entry'!AB$9),'Council Entry'!AB$8),'Council Entry'!AB72))))-'Council Entry'!AB$5)/('Council Entry'!AB$6-'Council Entry'!AB$5)),1))),"No data"))</f>
        <v/>
      </c>
      <c r="AC72" s="13">
        <f>IF('Council Entry'!AC72="","",IFERROR(MAX(0,MIN(10,ROUND(IF('Council Entry'!AC$7="Decrease Risk",10-10*((IF('Council Entry'!AC$4="Logarithm",LN(0.001+IF(AND(ISNUMBER('Council Entry'!AC$8),ISNUMBER('Council Entry'!AC$9)),MAX(MIN('Council Entry'!AC72,'Council Entry'!AC$9),'Council Entry'!AC$8),'Council Entry'!AC72)),IF('Council Entry'!AC$4="Exponential",EXP(IF(AND(ISNUMBER('Council Entry'!AC$8),ISNUMBER('Council Entry'!AC$9)),MAX(MIN('Council Entry'!AC72,'Council Entry'!AC$9),'Council Entry'!AC$8),'Council Entry'!AC72)),IF(AND(ISNUMBER('Council Entry'!AC$8),ISNUMBER('Council Entry'!AC$9)),MAX(MIN('Council Entry'!AC72,'Council Entry'!AC$9),'Council Entry'!AC$8),'Council Entry'!AC72))))-'Council Entry'!AC$5)/('Council Entry'!AC$6-'Council Entry'!AC$5),10*((IF('Council Entry'!AC$4="Logarithm",LN(0.001+IF(AND(ISNUMBER('Council Entry'!AC$8),ISNUMBER('Council Entry'!AC$9)),MAX(MIN('Council Entry'!AC72,'Council Entry'!AC$9),'Council Entry'!AC$8),'Council Entry'!AC72)),IF('Council Entry'!AC$4="Exponential",EXP(IF(AND(ISNUMBER('Council Entry'!AC$8),ISNUMBER('Council Entry'!AC$9)),MAX(MIN('Council Entry'!AC72,'Council Entry'!AC$9),'Council Entry'!AC$8),'Council Entry'!AC72)),IF(AND(ISNUMBER('Council Entry'!AC$8),ISNUMBER('Council Entry'!AC$9)),MAX(MIN('Council Entry'!AC72,'Council Entry'!AC$9),'Council Entry'!AC$8),'Council Entry'!AC72))))-'Council Entry'!AC$5)/('Council Entry'!AC$6-'Council Entry'!AC$5)),1))),"No data"))</f>
        <v/>
      </c>
      <c r="AD72" s="13">
        <f>IF('Council Entry'!AD72="","",IFERROR(MAX(0,MIN(10,ROUND(IF('Council Entry'!AD$7="Decrease Risk",10-10*((IF('Council Entry'!AD$4="Logarithm",LN(0.001+IF(AND(ISNUMBER('Council Entry'!AD$8),ISNUMBER('Council Entry'!AD$9)),MAX(MIN('Council Entry'!AD72,'Council Entry'!AD$9),'Council Entry'!AD$8),'Council Entry'!AD72)),IF('Council Entry'!AD$4="Exponential",EXP(IF(AND(ISNUMBER('Council Entry'!AD$8),ISNUMBER('Council Entry'!AD$9)),MAX(MIN('Council Entry'!AD72,'Council Entry'!AD$9),'Council Entry'!AD$8),'Council Entry'!AD72)),IF(AND(ISNUMBER('Council Entry'!AD$8),ISNUMBER('Council Entry'!AD$9)),MAX(MIN('Council Entry'!AD72,'Council Entry'!AD$9),'Council Entry'!AD$8),'Council Entry'!AD72))))-'Council Entry'!AD$5)/('Council Entry'!AD$6-'Council Entry'!AD$5),10*((IF('Council Entry'!AD$4="Logarithm",LN(0.001+IF(AND(ISNUMBER('Council Entry'!AD$8),ISNUMBER('Council Entry'!AD$9)),MAX(MIN('Council Entry'!AD72,'Council Entry'!AD$9),'Council Entry'!AD$8),'Council Entry'!AD72)),IF('Council Entry'!AD$4="Exponential",EXP(IF(AND(ISNUMBER('Council Entry'!AD$8),ISNUMBER('Council Entry'!AD$9)),MAX(MIN('Council Entry'!AD72,'Council Entry'!AD$9),'Council Entry'!AD$8),'Council Entry'!AD72)),IF(AND(ISNUMBER('Council Entry'!AD$8),ISNUMBER('Council Entry'!AD$9)),MAX(MIN('Council Entry'!AD72,'Council Entry'!AD$9),'Council Entry'!AD$8),'Council Entry'!AD72))))-'Council Entry'!AD$5)/('Council Entry'!AD$6-'Council Entry'!AD$5)),1))),"No data"))</f>
        <v/>
      </c>
      <c r="AE72" s="13">
        <f>IF('Council Entry'!AE72="","",IFERROR(MAX(0,MIN(10,ROUND(IF('Council Entry'!AE$7="Decrease Risk",10-10*((IF('Council Entry'!AE$4="Logarithm",LN(0.001+IF(AND(ISNUMBER('Council Entry'!AE$8),ISNUMBER('Council Entry'!AE$9)),MAX(MIN('Council Entry'!AE72,'Council Entry'!AE$9),'Council Entry'!AE$8),'Council Entry'!AE72)),IF('Council Entry'!AE$4="Exponential",EXP(IF(AND(ISNUMBER('Council Entry'!AE$8),ISNUMBER('Council Entry'!AE$9)),MAX(MIN('Council Entry'!AE72,'Council Entry'!AE$9),'Council Entry'!AE$8),'Council Entry'!AE72)),IF(AND(ISNUMBER('Council Entry'!AE$8),ISNUMBER('Council Entry'!AE$9)),MAX(MIN('Council Entry'!AE72,'Council Entry'!AE$9),'Council Entry'!AE$8),'Council Entry'!AE72))))-'Council Entry'!AE$5)/('Council Entry'!AE$6-'Council Entry'!AE$5),10*((IF('Council Entry'!AE$4="Logarithm",LN(0.001+IF(AND(ISNUMBER('Council Entry'!AE$8),ISNUMBER('Council Entry'!AE$9)),MAX(MIN('Council Entry'!AE72,'Council Entry'!AE$9),'Council Entry'!AE$8),'Council Entry'!AE72)),IF('Council Entry'!AE$4="Exponential",EXP(IF(AND(ISNUMBER('Council Entry'!AE$8),ISNUMBER('Council Entry'!AE$9)),MAX(MIN('Council Entry'!AE72,'Council Entry'!AE$9),'Council Entry'!AE$8),'Council Entry'!AE72)),IF(AND(ISNUMBER('Council Entry'!AE$8),ISNUMBER('Council Entry'!AE$9)),MAX(MIN('Council Entry'!AE72,'Council Entry'!AE$9),'Council Entry'!AE$8),'Council Entry'!AE72))))-'Council Entry'!AE$5)/('Council Entry'!AE$6-'Council Entry'!AE$5)),1))),"No data"))</f>
        <v/>
      </c>
      <c r="AF72" s="13">
        <f>IF('Council Entry'!AF72="","",IFERROR(MAX(0,MIN(10,ROUND(IF('Council Entry'!AF$7="Decrease Risk",10-10*((IF('Council Entry'!AF$4="Logarithm",LN(0.001+IF(AND(ISNUMBER('Council Entry'!AF$8),ISNUMBER('Council Entry'!AF$9)),MAX(MIN('Council Entry'!AF72,'Council Entry'!AF$9),'Council Entry'!AF$8),'Council Entry'!AF72)),IF('Council Entry'!AF$4="Exponential",EXP(IF(AND(ISNUMBER('Council Entry'!AF$8),ISNUMBER('Council Entry'!AF$9)),MAX(MIN('Council Entry'!AF72,'Council Entry'!AF$9),'Council Entry'!AF$8),'Council Entry'!AF72)),IF(AND(ISNUMBER('Council Entry'!AF$8),ISNUMBER('Council Entry'!AF$9)),MAX(MIN('Council Entry'!AF72,'Council Entry'!AF$9),'Council Entry'!AF$8),'Council Entry'!AF72))))-'Council Entry'!AF$5)/('Council Entry'!AF$6-'Council Entry'!AF$5),10*((IF('Council Entry'!AF$4="Logarithm",LN(0.001+IF(AND(ISNUMBER('Council Entry'!AF$8),ISNUMBER('Council Entry'!AF$9)),MAX(MIN('Council Entry'!AF72,'Council Entry'!AF$9),'Council Entry'!AF$8),'Council Entry'!AF72)),IF('Council Entry'!AF$4="Exponential",EXP(IF(AND(ISNUMBER('Council Entry'!AF$8),ISNUMBER('Council Entry'!AF$9)),MAX(MIN('Council Entry'!AF72,'Council Entry'!AF$9),'Council Entry'!AF$8),'Council Entry'!AF72)),IF(AND(ISNUMBER('Council Entry'!AF$8),ISNUMBER('Council Entry'!AF$9)),MAX(MIN('Council Entry'!AF72,'Council Entry'!AF$9),'Council Entry'!AF$8),'Council Entry'!AF72))))-'Council Entry'!AF$5)/('Council Entry'!AF$6-'Council Entry'!AF$5)),1))),"No data"))</f>
        <v/>
      </c>
      <c r="AG72" s="13">
        <f>IF('Council Entry'!AG72="","",IFERROR(MAX(0,MIN(10,ROUND(IF('Council Entry'!AG$7="Decrease Risk",10-10*((IF('Council Entry'!AG$4="Logarithm",LN(0.001+IF(AND(ISNUMBER('Council Entry'!AG$8),ISNUMBER('Council Entry'!AG$9)),MAX(MIN('Council Entry'!AG72,'Council Entry'!AG$9),'Council Entry'!AG$8),'Council Entry'!AG72)),IF('Council Entry'!AG$4="Exponential",EXP(IF(AND(ISNUMBER('Council Entry'!AG$8),ISNUMBER('Council Entry'!AG$9)),MAX(MIN('Council Entry'!AG72,'Council Entry'!AG$9),'Council Entry'!AG$8),'Council Entry'!AG72)),IF(AND(ISNUMBER('Council Entry'!AG$8),ISNUMBER('Council Entry'!AG$9)),MAX(MIN('Council Entry'!AG72,'Council Entry'!AG$9),'Council Entry'!AG$8),'Council Entry'!AG72))))-'Council Entry'!AG$5)/('Council Entry'!AG$6-'Council Entry'!AG$5),10*((IF('Council Entry'!AG$4="Logarithm",LN(0.001+IF(AND(ISNUMBER('Council Entry'!AG$8),ISNUMBER('Council Entry'!AG$9)),MAX(MIN('Council Entry'!AG72,'Council Entry'!AG$9),'Council Entry'!AG$8),'Council Entry'!AG72)),IF('Council Entry'!AG$4="Exponential",EXP(IF(AND(ISNUMBER('Council Entry'!AG$8),ISNUMBER('Council Entry'!AG$9)),MAX(MIN('Council Entry'!AG72,'Council Entry'!AG$9),'Council Entry'!AG$8),'Council Entry'!AG72)),IF(AND(ISNUMBER('Council Entry'!AG$8),ISNUMBER('Council Entry'!AG$9)),MAX(MIN('Council Entry'!AG72,'Council Entry'!AG$9),'Council Entry'!AG$8),'Council Entry'!AG72))))-'Council Entry'!AG$5)/('Council Entry'!AG$6-'Council Entry'!AG$5)),1))),"No data"))</f>
        <v/>
      </c>
      <c r="AH72" s="13">
        <f>IF('Council Entry'!AH72="","",IFERROR(MAX(0,MIN(10,ROUND(IF('Council Entry'!AH$7="Decrease Risk",10-10*((IF('Council Entry'!AH$4="Logarithm",LN(0.001+IF(AND(ISNUMBER('Council Entry'!AH$8),ISNUMBER('Council Entry'!AH$9)),MAX(MIN('Council Entry'!AH72,'Council Entry'!AH$9),'Council Entry'!AH$8),'Council Entry'!AH72)),IF('Council Entry'!AH$4="Exponential",EXP(IF(AND(ISNUMBER('Council Entry'!AH$8),ISNUMBER('Council Entry'!AH$9)),MAX(MIN('Council Entry'!AH72,'Council Entry'!AH$9),'Council Entry'!AH$8),'Council Entry'!AH72)),IF(AND(ISNUMBER('Council Entry'!AH$8),ISNUMBER('Council Entry'!AH$9)),MAX(MIN('Council Entry'!AH72,'Council Entry'!AH$9),'Council Entry'!AH$8),'Council Entry'!AH72))))-'Council Entry'!AH$5)/('Council Entry'!AH$6-'Council Entry'!AH$5),10*((IF('Council Entry'!AH$4="Logarithm",LN(0.001+IF(AND(ISNUMBER('Council Entry'!AH$8),ISNUMBER('Council Entry'!AH$9)),MAX(MIN('Council Entry'!AH72,'Council Entry'!AH$9),'Council Entry'!AH$8),'Council Entry'!AH72)),IF('Council Entry'!AH$4="Exponential",EXP(IF(AND(ISNUMBER('Council Entry'!AH$8),ISNUMBER('Council Entry'!AH$9)),MAX(MIN('Council Entry'!AH72,'Council Entry'!AH$9),'Council Entry'!AH$8),'Council Entry'!AH72)),IF(AND(ISNUMBER('Council Entry'!AH$8),ISNUMBER('Council Entry'!AH$9)),MAX(MIN('Council Entry'!AH72,'Council Entry'!AH$9),'Council Entry'!AH$8),'Council Entry'!AH72))))-'Council Entry'!AH$5)/('Council Entry'!AH$6-'Council Entry'!AH$5)),1))),"No data"))</f>
        <v/>
      </c>
      <c r="AI72" s="13">
        <f>IF('Council Entry'!AI72="","",IFERROR(MAX(0,MIN(10,ROUND(IF('Council Entry'!AI$7="Decrease Risk",10-10*((IF('Council Entry'!AI$4="Logarithm",LN(0.001+IF(AND(ISNUMBER('Council Entry'!AI$8),ISNUMBER('Council Entry'!AI$9)),MAX(MIN('Council Entry'!AI72,'Council Entry'!AI$9),'Council Entry'!AI$8),'Council Entry'!AI72)),IF('Council Entry'!AI$4="Exponential",EXP(IF(AND(ISNUMBER('Council Entry'!AI$8),ISNUMBER('Council Entry'!AI$9)),MAX(MIN('Council Entry'!AI72,'Council Entry'!AI$9),'Council Entry'!AI$8),'Council Entry'!AI72)),IF(AND(ISNUMBER('Council Entry'!AI$8),ISNUMBER('Council Entry'!AI$9)),MAX(MIN('Council Entry'!AI72,'Council Entry'!AI$9),'Council Entry'!AI$8),'Council Entry'!AI72))))-'Council Entry'!AI$5)/('Council Entry'!AI$6-'Council Entry'!AI$5),10*((IF('Council Entry'!AI$4="Logarithm",LN(0.001+IF(AND(ISNUMBER('Council Entry'!AI$8),ISNUMBER('Council Entry'!AI$9)),MAX(MIN('Council Entry'!AI72,'Council Entry'!AI$9),'Council Entry'!AI$8),'Council Entry'!AI72)),IF('Council Entry'!AI$4="Exponential",EXP(IF(AND(ISNUMBER('Council Entry'!AI$8),ISNUMBER('Council Entry'!AI$9)),MAX(MIN('Council Entry'!AI72,'Council Entry'!AI$9),'Council Entry'!AI$8),'Council Entry'!AI72)),IF(AND(ISNUMBER('Council Entry'!AI$8),ISNUMBER('Council Entry'!AI$9)),MAX(MIN('Council Entry'!AI72,'Council Entry'!AI$9),'Council Entry'!AI$8),'Council Entry'!AI72))))-'Council Entry'!AI$5)/('Council Entry'!AI$6-'Council Entry'!AI$5)),1))),"No data"))</f>
        <v/>
      </c>
      <c r="AJ72" s="13">
        <f>IF('Council Entry'!AJ72="","",IFERROR(MAX(0,MIN(10,ROUND(IF('Council Entry'!AJ$7="Decrease Risk",10-10*((IF('Council Entry'!AJ$4="Logarithm",LN(0.001+IF(AND(ISNUMBER('Council Entry'!AJ$8),ISNUMBER('Council Entry'!AJ$9)),MAX(MIN('Council Entry'!AJ72,'Council Entry'!AJ$9),'Council Entry'!AJ$8),'Council Entry'!AJ72)),IF('Council Entry'!AJ$4="Exponential",EXP(IF(AND(ISNUMBER('Council Entry'!AJ$8),ISNUMBER('Council Entry'!AJ$9)),MAX(MIN('Council Entry'!AJ72,'Council Entry'!AJ$9),'Council Entry'!AJ$8),'Council Entry'!AJ72)),IF(AND(ISNUMBER('Council Entry'!AJ$8),ISNUMBER('Council Entry'!AJ$9)),MAX(MIN('Council Entry'!AJ72,'Council Entry'!AJ$9),'Council Entry'!AJ$8),'Council Entry'!AJ72))))-'Council Entry'!AJ$5)/('Council Entry'!AJ$6-'Council Entry'!AJ$5),10*((IF('Council Entry'!AJ$4="Logarithm",LN(0.001+IF(AND(ISNUMBER('Council Entry'!AJ$8),ISNUMBER('Council Entry'!AJ$9)),MAX(MIN('Council Entry'!AJ72,'Council Entry'!AJ$9),'Council Entry'!AJ$8),'Council Entry'!AJ72)),IF('Council Entry'!AJ$4="Exponential",EXP(IF(AND(ISNUMBER('Council Entry'!AJ$8),ISNUMBER('Council Entry'!AJ$9)),MAX(MIN('Council Entry'!AJ72,'Council Entry'!AJ$9),'Council Entry'!AJ$8),'Council Entry'!AJ72)),IF(AND(ISNUMBER('Council Entry'!AJ$8),ISNUMBER('Council Entry'!AJ$9)),MAX(MIN('Council Entry'!AJ72,'Council Entry'!AJ$9),'Council Entry'!AJ$8),'Council Entry'!AJ72))))-'Council Entry'!AJ$5)/('Council Entry'!AJ$6-'Council Entry'!AJ$5)),1))),"No data"))</f>
        <v/>
      </c>
      <c r="AK72" s="13">
        <f>IF('Council Entry'!AK72="","",IFERROR(MAX(0,MIN(10,ROUND(IF('Council Entry'!AK$7="Decrease Risk",10-10*((IF('Council Entry'!AK$4="Logarithm",LN(0.001+IF(AND(ISNUMBER('Council Entry'!AK$8),ISNUMBER('Council Entry'!AK$9)),MAX(MIN('Council Entry'!AK72,'Council Entry'!AK$9),'Council Entry'!AK$8),'Council Entry'!AK72)),IF('Council Entry'!AK$4="Exponential",EXP(IF(AND(ISNUMBER('Council Entry'!AK$8),ISNUMBER('Council Entry'!AK$9)),MAX(MIN('Council Entry'!AK72,'Council Entry'!AK$9),'Council Entry'!AK$8),'Council Entry'!AK72)),IF(AND(ISNUMBER('Council Entry'!AK$8),ISNUMBER('Council Entry'!AK$9)),MAX(MIN('Council Entry'!AK72,'Council Entry'!AK$9),'Council Entry'!AK$8),'Council Entry'!AK72))))-'Council Entry'!AK$5)/('Council Entry'!AK$6-'Council Entry'!AK$5),10*((IF('Council Entry'!AK$4="Logarithm",LN(0.001+IF(AND(ISNUMBER('Council Entry'!AK$8),ISNUMBER('Council Entry'!AK$9)),MAX(MIN('Council Entry'!AK72,'Council Entry'!AK$9),'Council Entry'!AK$8),'Council Entry'!AK72)),IF('Council Entry'!AK$4="Exponential",EXP(IF(AND(ISNUMBER('Council Entry'!AK$8),ISNUMBER('Council Entry'!AK$9)),MAX(MIN('Council Entry'!AK72,'Council Entry'!AK$9),'Council Entry'!AK$8),'Council Entry'!AK72)),IF(AND(ISNUMBER('Council Entry'!AK$8),ISNUMBER('Council Entry'!AK$9)),MAX(MIN('Council Entry'!AK72,'Council Entry'!AK$9),'Council Entry'!AK$8),'Council Entry'!AK72))))-'Council Entry'!AK$5)/('Council Entry'!AK$6-'Council Entry'!AK$5)),1))),"No data"))</f>
        <v/>
      </c>
      <c r="AL72" s="13">
        <f>IF('Council Entry'!AL72="","",IFERROR(MAX(0,MIN(10,ROUND(IF('Council Entry'!AL$7="Decrease Risk",10-10*((IF('Council Entry'!AL$4="Logarithm",LN(0.001+IF(AND(ISNUMBER('Council Entry'!AL$8),ISNUMBER('Council Entry'!AL$9)),MAX(MIN('Council Entry'!AL72,'Council Entry'!AL$9),'Council Entry'!AL$8),'Council Entry'!AL72)),IF('Council Entry'!AL$4="Exponential",EXP(IF(AND(ISNUMBER('Council Entry'!AL$8),ISNUMBER('Council Entry'!AL$9)),MAX(MIN('Council Entry'!AL72,'Council Entry'!AL$9),'Council Entry'!AL$8),'Council Entry'!AL72)),IF(AND(ISNUMBER('Council Entry'!AL$8),ISNUMBER('Council Entry'!AL$9)),MAX(MIN('Council Entry'!AL72,'Council Entry'!AL$9),'Council Entry'!AL$8),'Council Entry'!AL72))))-'Council Entry'!AL$5)/('Council Entry'!AL$6-'Council Entry'!AL$5),10*((IF('Council Entry'!AL$4="Logarithm",LN(0.001+IF(AND(ISNUMBER('Council Entry'!AL$8),ISNUMBER('Council Entry'!AL$9)),MAX(MIN('Council Entry'!AL72,'Council Entry'!AL$9),'Council Entry'!AL$8),'Council Entry'!AL72)),IF('Council Entry'!AL$4="Exponential",EXP(IF(AND(ISNUMBER('Council Entry'!AL$8),ISNUMBER('Council Entry'!AL$9)),MAX(MIN('Council Entry'!AL72,'Council Entry'!AL$9),'Council Entry'!AL$8),'Council Entry'!AL72)),IF(AND(ISNUMBER('Council Entry'!AL$8),ISNUMBER('Council Entry'!AL$9)),MAX(MIN('Council Entry'!AL72,'Council Entry'!AL$9),'Council Entry'!AL$8),'Council Entry'!AL72))))-'Council Entry'!AL$5)/('Council Entry'!AL$6-'Council Entry'!AL$5)),1))),"No data"))</f>
        <v/>
      </c>
      <c r="AM72" s="13">
        <f>IF('Council Entry'!AM72="","",IFERROR(MAX(0,MIN(10,ROUND(IF('Council Entry'!AM$7="Decrease Risk",10-10*((IF('Council Entry'!AM$4="Logarithm",LN(0.001+IF(AND(ISNUMBER('Council Entry'!AM$8),ISNUMBER('Council Entry'!AM$9)),MAX(MIN('Council Entry'!AM72,'Council Entry'!AM$9),'Council Entry'!AM$8),'Council Entry'!AM72)),IF('Council Entry'!AM$4="Exponential",EXP(IF(AND(ISNUMBER('Council Entry'!AM$8),ISNUMBER('Council Entry'!AM$9)),MAX(MIN('Council Entry'!AM72,'Council Entry'!AM$9),'Council Entry'!AM$8),'Council Entry'!AM72)),IF(AND(ISNUMBER('Council Entry'!AM$8),ISNUMBER('Council Entry'!AM$9)),MAX(MIN('Council Entry'!AM72,'Council Entry'!AM$9),'Council Entry'!AM$8),'Council Entry'!AM72))))-'Council Entry'!AM$5)/('Council Entry'!AM$6-'Council Entry'!AM$5),10*((IF('Council Entry'!AM$4="Logarithm",LN(0.001+IF(AND(ISNUMBER('Council Entry'!AM$8),ISNUMBER('Council Entry'!AM$9)),MAX(MIN('Council Entry'!AM72,'Council Entry'!AM$9),'Council Entry'!AM$8),'Council Entry'!AM72)),IF('Council Entry'!AM$4="Exponential",EXP(IF(AND(ISNUMBER('Council Entry'!AM$8),ISNUMBER('Council Entry'!AM$9)),MAX(MIN('Council Entry'!AM72,'Council Entry'!AM$9),'Council Entry'!AM$8),'Council Entry'!AM72)),IF(AND(ISNUMBER('Council Entry'!AM$8),ISNUMBER('Council Entry'!AM$9)),MAX(MIN('Council Entry'!AM72,'Council Entry'!AM$9),'Council Entry'!AM$8),'Council Entry'!AM72))))-'Council Entry'!AM$5)/('Council Entry'!AM$6-'Council Entry'!AM$5)),1))),"No data"))</f>
        <v/>
      </c>
      <c r="AN72" s="13">
        <f>IF('Council Entry'!AN72="","",IFERROR(MAX(0,MIN(10,ROUND(IF('Council Entry'!AN$7="Decrease Risk",10-10*((IF('Council Entry'!AN$4="Logarithm",LN(0.001+IF(AND(ISNUMBER('Council Entry'!AN$8),ISNUMBER('Council Entry'!AN$9)),MAX(MIN('Council Entry'!AN72,'Council Entry'!AN$9),'Council Entry'!AN$8),'Council Entry'!AN72)),IF('Council Entry'!AN$4="Exponential",EXP(IF(AND(ISNUMBER('Council Entry'!AN$8),ISNUMBER('Council Entry'!AN$9)),MAX(MIN('Council Entry'!AN72,'Council Entry'!AN$9),'Council Entry'!AN$8),'Council Entry'!AN72)),IF(AND(ISNUMBER('Council Entry'!AN$8),ISNUMBER('Council Entry'!AN$9)),MAX(MIN('Council Entry'!AN72,'Council Entry'!AN$9),'Council Entry'!AN$8),'Council Entry'!AN72))))-'Council Entry'!AN$5)/('Council Entry'!AN$6-'Council Entry'!AN$5),10*((IF('Council Entry'!AN$4="Logarithm",LN(0.001+IF(AND(ISNUMBER('Council Entry'!AN$8),ISNUMBER('Council Entry'!AN$9)),MAX(MIN('Council Entry'!AN72,'Council Entry'!AN$9),'Council Entry'!AN$8),'Council Entry'!AN72)),IF('Council Entry'!AN$4="Exponential",EXP(IF(AND(ISNUMBER('Council Entry'!AN$8),ISNUMBER('Council Entry'!AN$9)),MAX(MIN('Council Entry'!AN72,'Council Entry'!AN$9),'Council Entry'!AN$8),'Council Entry'!AN72)),IF(AND(ISNUMBER('Council Entry'!AN$8),ISNUMBER('Council Entry'!AN$9)),MAX(MIN('Council Entry'!AN72,'Council Entry'!AN$9),'Council Entry'!AN$8),'Council Entry'!AN72))))-'Council Entry'!AN$5)/('Council Entry'!AN$6-'Council Entry'!AN$5)),1))),"No data"))</f>
        <v/>
      </c>
      <c r="AO72" s="13">
        <f>IF('Council Entry'!AO72="","",IFERROR(MAX(0,MIN(10,ROUND(IF('Council Entry'!AO$7="Decrease Risk",10-10*((IF('Council Entry'!AO$4="Logarithm",LN(0.001+IF(AND(ISNUMBER('Council Entry'!AO$8),ISNUMBER('Council Entry'!AO$9)),MAX(MIN('Council Entry'!AO72,'Council Entry'!AO$9),'Council Entry'!AO$8),'Council Entry'!AO72)),IF('Council Entry'!AO$4="Exponential",EXP(IF(AND(ISNUMBER('Council Entry'!AO$8),ISNUMBER('Council Entry'!AO$9)),MAX(MIN('Council Entry'!AO72,'Council Entry'!AO$9),'Council Entry'!AO$8),'Council Entry'!AO72)),IF(AND(ISNUMBER('Council Entry'!AO$8),ISNUMBER('Council Entry'!AO$9)),MAX(MIN('Council Entry'!AO72,'Council Entry'!AO$9),'Council Entry'!AO$8),'Council Entry'!AO72))))-'Council Entry'!AO$5)/('Council Entry'!AO$6-'Council Entry'!AO$5),10*((IF('Council Entry'!AO$4="Logarithm",LN(0.001+IF(AND(ISNUMBER('Council Entry'!AO$8),ISNUMBER('Council Entry'!AO$9)),MAX(MIN('Council Entry'!AO72,'Council Entry'!AO$9),'Council Entry'!AO$8),'Council Entry'!AO72)),IF('Council Entry'!AO$4="Exponential",EXP(IF(AND(ISNUMBER('Council Entry'!AO$8),ISNUMBER('Council Entry'!AO$9)),MAX(MIN('Council Entry'!AO72,'Council Entry'!AO$9),'Council Entry'!AO$8),'Council Entry'!AO72)),IF(AND(ISNUMBER('Council Entry'!AO$8),ISNUMBER('Council Entry'!AO$9)),MAX(MIN('Council Entry'!AO72,'Council Entry'!AO$9),'Council Entry'!AO$8),'Council Entry'!AO72))))-'Council Entry'!AO$5)/('Council Entry'!AO$6-'Council Entry'!AO$5)),1))),"No data"))</f>
        <v/>
      </c>
      <c r="AP72" s="13">
        <f>IF('Council Entry'!AP72="","",IFERROR(MAX(0,MIN(10,ROUND(IF('Council Entry'!AP$7="Decrease Risk",10-10*((IF('Council Entry'!AP$4="Logarithm",LN(0.001+IF(AND(ISNUMBER('Council Entry'!AP$8),ISNUMBER('Council Entry'!AP$9)),MAX(MIN('Council Entry'!AP72,'Council Entry'!AP$9),'Council Entry'!AP$8),'Council Entry'!AP72)),IF('Council Entry'!AP$4="Exponential",EXP(IF(AND(ISNUMBER('Council Entry'!AP$8),ISNUMBER('Council Entry'!AP$9)),MAX(MIN('Council Entry'!AP72,'Council Entry'!AP$9),'Council Entry'!AP$8),'Council Entry'!AP72)),IF(AND(ISNUMBER('Council Entry'!AP$8),ISNUMBER('Council Entry'!AP$9)),MAX(MIN('Council Entry'!AP72,'Council Entry'!AP$9),'Council Entry'!AP$8),'Council Entry'!AP72))))-'Council Entry'!AP$5)/('Council Entry'!AP$6-'Council Entry'!AP$5),10*((IF('Council Entry'!AP$4="Logarithm",LN(0.001+IF(AND(ISNUMBER('Council Entry'!AP$8),ISNUMBER('Council Entry'!AP$9)),MAX(MIN('Council Entry'!AP72,'Council Entry'!AP$9),'Council Entry'!AP$8),'Council Entry'!AP72)),IF('Council Entry'!AP$4="Exponential",EXP(IF(AND(ISNUMBER('Council Entry'!AP$8),ISNUMBER('Council Entry'!AP$9)),MAX(MIN('Council Entry'!AP72,'Council Entry'!AP$9),'Council Entry'!AP$8),'Council Entry'!AP72)),IF(AND(ISNUMBER('Council Entry'!AP$8),ISNUMBER('Council Entry'!AP$9)),MAX(MIN('Council Entry'!AP72,'Council Entry'!AP$9),'Council Entry'!AP$8),'Council Entry'!AP72))))-'Council Entry'!AP$5)/('Council Entry'!AP$6-'Council Entry'!AP$5)),1))),"No data"))</f>
        <v/>
      </c>
      <c r="AQ72" s="13">
        <f>IF('Council Entry'!AQ72="","",IFERROR(MAX(0,MIN(10,ROUND(IF('Council Entry'!AQ$7="Decrease Risk",10-10*((IF('Council Entry'!AQ$4="Logarithm",LN(0.001+IF(AND(ISNUMBER('Council Entry'!AQ$8),ISNUMBER('Council Entry'!AQ$9)),MAX(MIN('Council Entry'!AQ72,'Council Entry'!AQ$9),'Council Entry'!AQ$8),'Council Entry'!AQ72)),IF('Council Entry'!AQ$4="Exponential",EXP(IF(AND(ISNUMBER('Council Entry'!AQ$8),ISNUMBER('Council Entry'!AQ$9)),MAX(MIN('Council Entry'!AQ72,'Council Entry'!AQ$9),'Council Entry'!AQ$8),'Council Entry'!AQ72)),IF(AND(ISNUMBER('Council Entry'!AQ$8),ISNUMBER('Council Entry'!AQ$9)),MAX(MIN('Council Entry'!AQ72,'Council Entry'!AQ$9),'Council Entry'!AQ$8),'Council Entry'!AQ72))))-'Council Entry'!AQ$5)/('Council Entry'!AQ$6-'Council Entry'!AQ$5),10*((IF('Council Entry'!AQ$4="Logarithm",LN(0.001+IF(AND(ISNUMBER('Council Entry'!AQ$8),ISNUMBER('Council Entry'!AQ$9)),MAX(MIN('Council Entry'!AQ72,'Council Entry'!AQ$9),'Council Entry'!AQ$8),'Council Entry'!AQ72)),IF('Council Entry'!AQ$4="Exponential",EXP(IF(AND(ISNUMBER('Council Entry'!AQ$8),ISNUMBER('Council Entry'!AQ$9)),MAX(MIN('Council Entry'!AQ72,'Council Entry'!AQ$9),'Council Entry'!AQ$8),'Council Entry'!AQ72)),IF(AND(ISNUMBER('Council Entry'!AQ$8),ISNUMBER('Council Entry'!AQ$9)),MAX(MIN('Council Entry'!AQ72,'Council Entry'!AQ$9),'Council Entry'!AQ$8),'Council Entry'!AQ72))))-'Council Entry'!AQ$5)/('Council Entry'!AQ$6-'Council Entry'!AQ$5)),1))),"No data"))</f>
        <v/>
      </c>
      <c r="AR72" s="13">
        <f>IF('Council Entry'!AR72="","",IFERROR(MAX(0,MIN(10,ROUND(IF('Council Entry'!AR$7="Decrease Risk",10-10*((IF('Council Entry'!AR$4="Logarithm",LN(0.001+IF(AND(ISNUMBER('Council Entry'!AR$8),ISNUMBER('Council Entry'!AR$9)),MAX(MIN('Council Entry'!AR72,'Council Entry'!AR$9),'Council Entry'!AR$8),'Council Entry'!AR72)),IF('Council Entry'!AR$4="Exponential",EXP(IF(AND(ISNUMBER('Council Entry'!AR$8),ISNUMBER('Council Entry'!AR$9)),MAX(MIN('Council Entry'!AR72,'Council Entry'!AR$9),'Council Entry'!AR$8),'Council Entry'!AR72)),IF(AND(ISNUMBER('Council Entry'!AR$8),ISNUMBER('Council Entry'!AR$9)),MAX(MIN('Council Entry'!AR72,'Council Entry'!AR$9),'Council Entry'!AR$8),'Council Entry'!AR72))))-'Council Entry'!AR$5)/('Council Entry'!AR$6-'Council Entry'!AR$5),10*((IF('Council Entry'!AR$4="Logarithm",LN(0.001+IF(AND(ISNUMBER('Council Entry'!AR$8),ISNUMBER('Council Entry'!AR$9)),MAX(MIN('Council Entry'!AR72,'Council Entry'!AR$9),'Council Entry'!AR$8),'Council Entry'!AR72)),IF('Council Entry'!AR$4="Exponential",EXP(IF(AND(ISNUMBER('Council Entry'!AR$8),ISNUMBER('Council Entry'!AR$9)),MAX(MIN('Council Entry'!AR72,'Council Entry'!AR$9),'Council Entry'!AR$8),'Council Entry'!AR72)),IF(AND(ISNUMBER('Council Entry'!AR$8),ISNUMBER('Council Entry'!AR$9)),MAX(MIN('Council Entry'!AR72,'Council Entry'!AR$9),'Council Entry'!AR$8),'Council Entry'!AR72))))-'Council Entry'!AR$5)/('Council Entry'!AR$6-'Council Entry'!AR$5)),1))),"No data"))</f>
        <v/>
      </c>
      <c r="AS72" s="13">
        <f>IF('Council Entry'!AS72="","",IFERROR(MAX(0,MIN(10,ROUND(IF('Council Entry'!AS$7="Decrease Risk",10-10*((IF('Council Entry'!AS$4="Logarithm",LN(0.001+IF(AND(ISNUMBER('Council Entry'!AS$8),ISNUMBER('Council Entry'!AS$9)),MAX(MIN('Council Entry'!AS72,'Council Entry'!AS$9),'Council Entry'!AS$8),'Council Entry'!AS72)),IF('Council Entry'!AS$4="Exponential",EXP(IF(AND(ISNUMBER('Council Entry'!AS$8),ISNUMBER('Council Entry'!AS$9)),MAX(MIN('Council Entry'!AS72,'Council Entry'!AS$9),'Council Entry'!AS$8),'Council Entry'!AS72)),IF(AND(ISNUMBER('Council Entry'!AS$8),ISNUMBER('Council Entry'!AS$9)),MAX(MIN('Council Entry'!AS72,'Council Entry'!AS$9),'Council Entry'!AS$8),'Council Entry'!AS72))))-'Council Entry'!AS$5)/('Council Entry'!AS$6-'Council Entry'!AS$5),10*((IF('Council Entry'!AS$4="Logarithm",LN(0.001+IF(AND(ISNUMBER('Council Entry'!AS$8),ISNUMBER('Council Entry'!AS$9)),MAX(MIN('Council Entry'!AS72,'Council Entry'!AS$9),'Council Entry'!AS$8),'Council Entry'!AS72)),IF('Council Entry'!AS$4="Exponential",EXP(IF(AND(ISNUMBER('Council Entry'!AS$8),ISNUMBER('Council Entry'!AS$9)),MAX(MIN('Council Entry'!AS72,'Council Entry'!AS$9),'Council Entry'!AS$8),'Council Entry'!AS72)),IF(AND(ISNUMBER('Council Entry'!AS$8),ISNUMBER('Council Entry'!AS$9)),MAX(MIN('Council Entry'!AS72,'Council Entry'!AS$9),'Council Entry'!AS$8),'Council Entry'!AS72))))-'Council Entry'!AS$5)/('Council Entry'!AS$6-'Council Entry'!AS$5)),1))),"No data"))</f>
        <v/>
      </c>
      <c r="AT72" s="13">
        <f>IF('Council Entry'!AT72="","",IFERROR(MAX(0,MIN(10,ROUND(IF('Council Entry'!AT$7="Decrease Risk",10-10*((IF('Council Entry'!AT$4="Logarithm",LN(0.001+IF(AND(ISNUMBER('Council Entry'!AT$8),ISNUMBER('Council Entry'!AT$9)),MAX(MIN('Council Entry'!AT72,'Council Entry'!AT$9),'Council Entry'!AT$8),'Council Entry'!AT72)),IF('Council Entry'!AT$4="Exponential",EXP(IF(AND(ISNUMBER('Council Entry'!AT$8),ISNUMBER('Council Entry'!AT$9)),MAX(MIN('Council Entry'!AT72,'Council Entry'!AT$9),'Council Entry'!AT$8),'Council Entry'!AT72)),IF(AND(ISNUMBER('Council Entry'!AT$8),ISNUMBER('Council Entry'!AT$9)),MAX(MIN('Council Entry'!AT72,'Council Entry'!AT$9),'Council Entry'!AT$8),'Council Entry'!AT72))))-'Council Entry'!AT$5)/('Council Entry'!AT$6-'Council Entry'!AT$5),10*((IF('Council Entry'!AT$4="Logarithm",LN(0.001+IF(AND(ISNUMBER('Council Entry'!AT$8),ISNUMBER('Council Entry'!AT$9)),MAX(MIN('Council Entry'!AT72,'Council Entry'!AT$9),'Council Entry'!AT$8),'Council Entry'!AT72)),IF('Council Entry'!AT$4="Exponential",EXP(IF(AND(ISNUMBER('Council Entry'!AT$8),ISNUMBER('Council Entry'!AT$9)),MAX(MIN('Council Entry'!AT72,'Council Entry'!AT$9),'Council Entry'!AT$8),'Council Entry'!AT72)),IF(AND(ISNUMBER('Council Entry'!AT$8),ISNUMBER('Council Entry'!AT$9)),MAX(MIN('Council Entry'!AT72,'Council Entry'!AT$9),'Council Entry'!AT$8),'Council Entry'!AT72))))-'Council Entry'!AT$5)/('Council Entry'!AT$6-'Council Entry'!AT$5)),1))),"No data"))</f>
        <v/>
      </c>
      <c r="AU72" s="13">
        <f>IF('Council Entry'!AU72="","",IFERROR(MAX(0,MIN(10,ROUND(IF('Council Entry'!AU$7="Decrease Risk",10-10*((IF('Council Entry'!AU$4="Logarithm",LN(0.001+IF(AND(ISNUMBER('Council Entry'!AU$8),ISNUMBER('Council Entry'!AU$9)),MAX(MIN('Council Entry'!AU72,'Council Entry'!AU$9),'Council Entry'!AU$8),'Council Entry'!AU72)),IF('Council Entry'!AU$4="Exponential",EXP(IF(AND(ISNUMBER('Council Entry'!AU$8),ISNUMBER('Council Entry'!AU$9)),MAX(MIN('Council Entry'!AU72,'Council Entry'!AU$9),'Council Entry'!AU$8),'Council Entry'!AU72)),IF(AND(ISNUMBER('Council Entry'!AU$8),ISNUMBER('Council Entry'!AU$9)),MAX(MIN('Council Entry'!AU72,'Council Entry'!AU$9),'Council Entry'!AU$8),'Council Entry'!AU72))))-'Council Entry'!AU$5)/('Council Entry'!AU$6-'Council Entry'!AU$5),10*((IF('Council Entry'!AU$4="Logarithm",LN(0.001+IF(AND(ISNUMBER('Council Entry'!AU$8),ISNUMBER('Council Entry'!AU$9)),MAX(MIN('Council Entry'!AU72,'Council Entry'!AU$9),'Council Entry'!AU$8),'Council Entry'!AU72)),IF('Council Entry'!AU$4="Exponential",EXP(IF(AND(ISNUMBER('Council Entry'!AU$8),ISNUMBER('Council Entry'!AU$9)),MAX(MIN('Council Entry'!AU72,'Council Entry'!AU$9),'Council Entry'!AU$8),'Council Entry'!AU72)),IF(AND(ISNUMBER('Council Entry'!AU$8),ISNUMBER('Council Entry'!AU$9)),MAX(MIN('Council Entry'!AU72,'Council Entry'!AU$9),'Council Entry'!AU$8),'Council Entry'!AU72))))-'Council Entry'!AU$5)/('Council Entry'!AU$6-'Council Entry'!AU$5)),1))),"No data"))</f>
        <v/>
      </c>
      <c r="AV72" s="13">
        <f>IF('Council Entry'!AV72="","",IFERROR(MAX(0,MIN(10,ROUND(IF('Council Entry'!AV$7="Decrease Risk",10-10*((IF('Council Entry'!AV$4="Logarithm",LN(0.001+IF(AND(ISNUMBER('Council Entry'!AV$8),ISNUMBER('Council Entry'!AV$9)),MAX(MIN('Council Entry'!AV72,'Council Entry'!AV$9),'Council Entry'!AV$8),'Council Entry'!AV72)),IF('Council Entry'!AV$4="Exponential",EXP(IF(AND(ISNUMBER('Council Entry'!AV$8),ISNUMBER('Council Entry'!AV$9)),MAX(MIN('Council Entry'!AV72,'Council Entry'!AV$9),'Council Entry'!AV$8),'Council Entry'!AV72)),IF(AND(ISNUMBER('Council Entry'!AV$8),ISNUMBER('Council Entry'!AV$9)),MAX(MIN('Council Entry'!AV72,'Council Entry'!AV$9),'Council Entry'!AV$8),'Council Entry'!AV72))))-'Council Entry'!AV$5)/('Council Entry'!AV$6-'Council Entry'!AV$5),10*((IF('Council Entry'!AV$4="Logarithm",LN(0.001+IF(AND(ISNUMBER('Council Entry'!AV$8),ISNUMBER('Council Entry'!AV$9)),MAX(MIN('Council Entry'!AV72,'Council Entry'!AV$9),'Council Entry'!AV$8),'Council Entry'!AV72)),IF('Council Entry'!AV$4="Exponential",EXP(IF(AND(ISNUMBER('Council Entry'!AV$8),ISNUMBER('Council Entry'!AV$9)),MAX(MIN('Council Entry'!AV72,'Council Entry'!AV$9),'Council Entry'!AV$8),'Council Entry'!AV72)),IF(AND(ISNUMBER('Council Entry'!AV$8),ISNUMBER('Council Entry'!AV$9)),MAX(MIN('Council Entry'!AV72,'Council Entry'!AV$9),'Council Entry'!AV$8),'Council Entry'!AV72))))-'Council Entry'!AV$5)/('Council Entry'!AV$6-'Council Entry'!AV$5)),1))),"No data"))</f>
        <v/>
      </c>
      <c r="AW72" s="13">
        <f>IF('Council Entry'!AW72="","",IFERROR(MAX(0,MIN(10,ROUND(IF('Council Entry'!AW$7="Decrease Risk",10-10*((IF('Council Entry'!AW$4="Logarithm",LN(0.001+IF(AND(ISNUMBER('Council Entry'!AW$8),ISNUMBER('Council Entry'!AW$9)),MAX(MIN('Council Entry'!AW72,'Council Entry'!AW$9),'Council Entry'!AW$8),'Council Entry'!AW72)),IF('Council Entry'!AW$4="Exponential",EXP(IF(AND(ISNUMBER('Council Entry'!AW$8),ISNUMBER('Council Entry'!AW$9)),MAX(MIN('Council Entry'!AW72,'Council Entry'!AW$9),'Council Entry'!AW$8),'Council Entry'!AW72)),IF(AND(ISNUMBER('Council Entry'!AW$8),ISNUMBER('Council Entry'!AW$9)),MAX(MIN('Council Entry'!AW72,'Council Entry'!AW$9),'Council Entry'!AW$8),'Council Entry'!AW72))))-'Council Entry'!AW$5)/('Council Entry'!AW$6-'Council Entry'!AW$5),10*((IF('Council Entry'!AW$4="Logarithm",LN(0.001+IF(AND(ISNUMBER('Council Entry'!AW$8),ISNUMBER('Council Entry'!AW$9)),MAX(MIN('Council Entry'!AW72,'Council Entry'!AW$9),'Council Entry'!AW$8),'Council Entry'!AW72)),IF('Council Entry'!AW$4="Exponential",EXP(IF(AND(ISNUMBER('Council Entry'!AW$8),ISNUMBER('Council Entry'!AW$9)),MAX(MIN('Council Entry'!AW72,'Council Entry'!AW$9),'Council Entry'!AW$8),'Council Entry'!AW72)),IF(AND(ISNUMBER('Council Entry'!AW$8),ISNUMBER('Council Entry'!AW$9)),MAX(MIN('Council Entry'!AW72,'Council Entry'!AW$9),'Council Entry'!AW$8),'Council Entry'!AW72))))-'Council Entry'!AW$5)/('Council Entry'!AW$6-'Council Entry'!AW$5)),1))),"No data"))</f>
        <v/>
      </c>
      <c r="AX72" s="13">
        <f>IF('Council Entry'!AX72="","",IFERROR(MAX(0,MIN(10,ROUND(IF('Council Entry'!AX$7="Decrease Risk",10-10*((IF('Council Entry'!AX$4="Logarithm",LN(0.001+IF(AND(ISNUMBER('Council Entry'!AX$8),ISNUMBER('Council Entry'!AX$9)),MAX(MIN('Council Entry'!AX72,'Council Entry'!AX$9),'Council Entry'!AX$8),'Council Entry'!AX72)),IF('Council Entry'!AX$4="Exponential",EXP(IF(AND(ISNUMBER('Council Entry'!AX$8),ISNUMBER('Council Entry'!AX$9)),MAX(MIN('Council Entry'!AX72,'Council Entry'!AX$9),'Council Entry'!AX$8),'Council Entry'!AX72)),IF(AND(ISNUMBER('Council Entry'!AX$8),ISNUMBER('Council Entry'!AX$9)),MAX(MIN('Council Entry'!AX72,'Council Entry'!AX$9),'Council Entry'!AX$8),'Council Entry'!AX72))))-'Council Entry'!AX$5)/('Council Entry'!AX$6-'Council Entry'!AX$5),10*((IF('Council Entry'!AX$4="Logarithm",LN(0.001+IF(AND(ISNUMBER('Council Entry'!AX$8),ISNUMBER('Council Entry'!AX$9)),MAX(MIN('Council Entry'!AX72,'Council Entry'!AX$9),'Council Entry'!AX$8),'Council Entry'!AX72)),IF('Council Entry'!AX$4="Exponential",EXP(IF(AND(ISNUMBER('Council Entry'!AX$8),ISNUMBER('Council Entry'!AX$9)),MAX(MIN('Council Entry'!AX72,'Council Entry'!AX$9),'Council Entry'!AX$8),'Council Entry'!AX72)),IF(AND(ISNUMBER('Council Entry'!AX$8),ISNUMBER('Council Entry'!AX$9)),MAX(MIN('Council Entry'!AX72,'Council Entry'!AX$9),'Council Entry'!AX$8),'Council Entry'!AX72))))-'Council Entry'!AX$5)/('Council Entry'!AX$6-'Council Entry'!AX$5)),1))),"No data"))</f>
        <v/>
      </c>
      <c r="AY72" s="13">
        <f>IF('Council Entry'!AY72="","",IFERROR(MAX(0,MIN(10,ROUND(IF('Council Entry'!AY$7="Decrease Risk",10-10*((IF('Council Entry'!AY$4="Logarithm",LN(0.001+IF(AND(ISNUMBER('Council Entry'!AY$8),ISNUMBER('Council Entry'!AY$9)),MAX(MIN('Council Entry'!AY72,'Council Entry'!AY$9),'Council Entry'!AY$8),'Council Entry'!AY72)),IF('Council Entry'!AY$4="Exponential",EXP(IF(AND(ISNUMBER('Council Entry'!AY$8),ISNUMBER('Council Entry'!AY$9)),MAX(MIN('Council Entry'!AY72,'Council Entry'!AY$9),'Council Entry'!AY$8),'Council Entry'!AY72)),IF(AND(ISNUMBER('Council Entry'!AY$8),ISNUMBER('Council Entry'!AY$9)),MAX(MIN('Council Entry'!AY72,'Council Entry'!AY$9),'Council Entry'!AY$8),'Council Entry'!AY72))))-'Council Entry'!AY$5)/('Council Entry'!AY$6-'Council Entry'!AY$5),10*((IF('Council Entry'!AY$4="Logarithm",LN(0.001+IF(AND(ISNUMBER('Council Entry'!AY$8),ISNUMBER('Council Entry'!AY$9)),MAX(MIN('Council Entry'!AY72,'Council Entry'!AY$9),'Council Entry'!AY$8),'Council Entry'!AY72)),IF('Council Entry'!AY$4="Exponential",EXP(IF(AND(ISNUMBER('Council Entry'!AY$8),ISNUMBER('Council Entry'!AY$9)),MAX(MIN('Council Entry'!AY72,'Council Entry'!AY$9),'Council Entry'!AY$8),'Council Entry'!AY72)),IF(AND(ISNUMBER('Council Entry'!AY$8),ISNUMBER('Council Entry'!AY$9)),MAX(MIN('Council Entry'!AY72,'Council Entry'!AY$9),'Council Entry'!AY$8),'Council Entry'!AY72))))-'Council Entry'!AY$5)/('Council Entry'!AY$6-'Council Entry'!AY$5)),1))),"No data"))</f>
        <v/>
      </c>
      <c r="AZ72" s="13">
        <f>IF('Council Entry'!AZ72="","",IFERROR(MAX(0,MIN(10,ROUND(IF('Council Entry'!AZ$7="Decrease Risk",10-10*((IF('Council Entry'!AZ$4="Logarithm",LN(0.001+IF(AND(ISNUMBER('Council Entry'!AZ$8),ISNUMBER('Council Entry'!AZ$9)),MAX(MIN('Council Entry'!AZ72,'Council Entry'!AZ$9),'Council Entry'!AZ$8),'Council Entry'!AZ72)),IF('Council Entry'!AZ$4="Exponential",EXP(IF(AND(ISNUMBER('Council Entry'!AZ$8),ISNUMBER('Council Entry'!AZ$9)),MAX(MIN('Council Entry'!AZ72,'Council Entry'!AZ$9),'Council Entry'!AZ$8),'Council Entry'!AZ72)),IF(AND(ISNUMBER('Council Entry'!AZ$8),ISNUMBER('Council Entry'!AZ$9)),MAX(MIN('Council Entry'!AZ72,'Council Entry'!AZ$9),'Council Entry'!AZ$8),'Council Entry'!AZ72))))-'Council Entry'!AZ$5)/('Council Entry'!AZ$6-'Council Entry'!AZ$5),10*((IF('Council Entry'!AZ$4="Logarithm",LN(0.001+IF(AND(ISNUMBER('Council Entry'!AZ$8),ISNUMBER('Council Entry'!AZ$9)),MAX(MIN('Council Entry'!AZ72,'Council Entry'!AZ$9),'Council Entry'!AZ$8),'Council Entry'!AZ72)),IF('Council Entry'!AZ$4="Exponential",EXP(IF(AND(ISNUMBER('Council Entry'!AZ$8),ISNUMBER('Council Entry'!AZ$9)),MAX(MIN('Council Entry'!AZ72,'Council Entry'!AZ$9),'Council Entry'!AZ$8),'Council Entry'!AZ72)),IF(AND(ISNUMBER('Council Entry'!AZ$8),ISNUMBER('Council Entry'!AZ$9)),MAX(MIN('Council Entry'!AZ72,'Council Entry'!AZ$9),'Council Entry'!AZ$8),'Council Entry'!AZ72))))-'Council Entry'!AZ$5)/('Council Entry'!AZ$6-'Council Entry'!AZ$5)),1))),"No data"))</f>
        <v/>
      </c>
      <c r="BA72" s="13">
        <f>IF('Council Entry'!BA72="","",IFERROR(MAX(0,MIN(10,ROUND(IF('Council Entry'!BA$7="Decrease Risk",10-10*((IF('Council Entry'!BA$4="Logarithm",LN(0.001+IF(AND(ISNUMBER('Council Entry'!BA$8),ISNUMBER('Council Entry'!BA$9)),MAX(MIN('Council Entry'!BA72,'Council Entry'!BA$9),'Council Entry'!BA$8),'Council Entry'!BA72)),IF('Council Entry'!BA$4="Exponential",EXP(IF(AND(ISNUMBER('Council Entry'!BA$8),ISNUMBER('Council Entry'!BA$9)),MAX(MIN('Council Entry'!BA72,'Council Entry'!BA$9),'Council Entry'!BA$8),'Council Entry'!BA72)),IF(AND(ISNUMBER('Council Entry'!BA$8),ISNUMBER('Council Entry'!BA$9)),MAX(MIN('Council Entry'!BA72,'Council Entry'!BA$9),'Council Entry'!BA$8),'Council Entry'!BA72))))-'Council Entry'!BA$5)/('Council Entry'!BA$6-'Council Entry'!BA$5),10*((IF('Council Entry'!BA$4="Logarithm",LN(0.001+IF(AND(ISNUMBER('Council Entry'!BA$8),ISNUMBER('Council Entry'!BA$9)),MAX(MIN('Council Entry'!BA72,'Council Entry'!BA$9),'Council Entry'!BA$8),'Council Entry'!BA72)),IF('Council Entry'!BA$4="Exponential",EXP(IF(AND(ISNUMBER('Council Entry'!BA$8),ISNUMBER('Council Entry'!BA$9)),MAX(MIN('Council Entry'!BA72,'Council Entry'!BA$9),'Council Entry'!BA$8),'Council Entry'!BA72)),IF(AND(ISNUMBER('Council Entry'!BA$8),ISNUMBER('Council Entry'!BA$9)),MAX(MIN('Council Entry'!BA72,'Council Entry'!BA$9),'Council Entry'!BA$8),'Council Entry'!BA72))))-'Council Entry'!BA$5)/('Council Entry'!BA$6-'Council Entry'!BA$5)),1))),"No data"))</f>
        <v/>
      </c>
      <c r="BB72" s="13">
        <f>IF('Council Entry'!BB72="","",IFERROR(MAX(0,MIN(10,ROUND(IF('Council Entry'!BB$7="Decrease Risk",10-10*((IF('Council Entry'!BB$4="Logarithm",LN(0.001+IF(AND(ISNUMBER('Council Entry'!BB$8),ISNUMBER('Council Entry'!BB$9)),MAX(MIN('Council Entry'!BB72,'Council Entry'!BB$9),'Council Entry'!BB$8),'Council Entry'!BB72)),IF('Council Entry'!BB$4="Exponential",EXP(IF(AND(ISNUMBER('Council Entry'!BB$8),ISNUMBER('Council Entry'!BB$9)),MAX(MIN('Council Entry'!BB72,'Council Entry'!BB$9),'Council Entry'!BB$8),'Council Entry'!BB72)),IF(AND(ISNUMBER('Council Entry'!BB$8),ISNUMBER('Council Entry'!BB$9)),MAX(MIN('Council Entry'!BB72,'Council Entry'!BB$9),'Council Entry'!BB$8),'Council Entry'!BB72))))-'Council Entry'!BB$5)/('Council Entry'!BB$6-'Council Entry'!BB$5),10*((IF('Council Entry'!BB$4="Logarithm",LN(0.001+IF(AND(ISNUMBER('Council Entry'!BB$8),ISNUMBER('Council Entry'!BB$9)),MAX(MIN('Council Entry'!BB72,'Council Entry'!BB$9),'Council Entry'!BB$8),'Council Entry'!BB72)),IF('Council Entry'!BB$4="Exponential",EXP(IF(AND(ISNUMBER('Council Entry'!BB$8),ISNUMBER('Council Entry'!BB$9)),MAX(MIN('Council Entry'!BB72,'Council Entry'!BB$9),'Council Entry'!BB$8),'Council Entry'!BB72)),IF(AND(ISNUMBER('Council Entry'!BB$8),ISNUMBER('Council Entry'!BB$9)),MAX(MIN('Council Entry'!BB72,'Council Entry'!BB$9),'Council Entry'!BB$8),'Council Entry'!BB72))))-'Council Entry'!BB$5)/('Council Entry'!BB$6-'Council Entry'!BB$5)),1))),"No data"))</f>
        <v/>
      </c>
      <c r="BC72" s="13">
        <f>IF('Council Entry'!BC72="","",IFERROR(MAX(0,MIN(10,ROUND(IF('Council Entry'!BC$7="Decrease Risk",10-10*((IF('Council Entry'!BC$4="Logarithm",LN(0.001+IF(AND(ISNUMBER('Council Entry'!BC$8),ISNUMBER('Council Entry'!BC$9)),MAX(MIN('Council Entry'!BC72,'Council Entry'!BC$9),'Council Entry'!BC$8),'Council Entry'!BC72)),IF('Council Entry'!BC$4="Exponential",EXP(IF(AND(ISNUMBER('Council Entry'!BC$8),ISNUMBER('Council Entry'!BC$9)),MAX(MIN('Council Entry'!BC72,'Council Entry'!BC$9),'Council Entry'!BC$8),'Council Entry'!BC72)),IF(AND(ISNUMBER('Council Entry'!BC$8),ISNUMBER('Council Entry'!BC$9)),MAX(MIN('Council Entry'!BC72,'Council Entry'!BC$9),'Council Entry'!BC$8),'Council Entry'!BC72))))-'Council Entry'!BC$5)/('Council Entry'!BC$6-'Council Entry'!BC$5),10*((IF('Council Entry'!BC$4="Logarithm",LN(0.001+IF(AND(ISNUMBER('Council Entry'!BC$8),ISNUMBER('Council Entry'!BC$9)),MAX(MIN('Council Entry'!BC72,'Council Entry'!BC$9),'Council Entry'!BC$8),'Council Entry'!BC72)),IF('Council Entry'!BC$4="Exponential",EXP(IF(AND(ISNUMBER('Council Entry'!BC$8),ISNUMBER('Council Entry'!BC$9)),MAX(MIN('Council Entry'!BC72,'Council Entry'!BC$9),'Council Entry'!BC$8),'Council Entry'!BC72)),IF(AND(ISNUMBER('Council Entry'!BC$8),ISNUMBER('Council Entry'!BC$9)),MAX(MIN('Council Entry'!BC72,'Council Entry'!BC$9),'Council Entry'!BC$8),'Council Entry'!BC72))))-'Council Entry'!BC$5)/('Council Entry'!BC$6-'Council Entry'!BC$5)),1))),"No data"))</f>
        <v/>
      </c>
      <c r="BD72" s="13">
        <f>IF('Council Entry'!BD72="","",IFERROR(MAX(0,MIN(10,ROUND(IF('Council Entry'!BD$7="Decrease Risk",10-10*((IF('Council Entry'!BD$4="Logarithm",LN(0.001+IF(AND(ISNUMBER('Council Entry'!BD$8),ISNUMBER('Council Entry'!BD$9)),MAX(MIN('Council Entry'!BD72,'Council Entry'!BD$9),'Council Entry'!BD$8),'Council Entry'!BD72)),IF('Council Entry'!BD$4="Exponential",EXP(IF(AND(ISNUMBER('Council Entry'!BD$8),ISNUMBER('Council Entry'!BD$9)),MAX(MIN('Council Entry'!BD72,'Council Entry'!BD$9),'Council Entry'!BD$8),'Council Entry'!BD72)),IF(AND(ISNUMBER('Council Entry'!BD$8),ISNUMBER('Council Entry'!BD$9)),MAX(MIN('Council Entry'!BD72,'Council Entry'!BD$9),'Council Entry'!BD$8),'Council Entry'!BD72))))-'Council Entry'!BD$5)/('Council Entry'!BD$6-'Council Entry'!BD$5),10*((IF('Council Entry'!BD$4="Logarithm",LN(0.001+IF(AND(ISNUMBER('Council Entry'!BD$8),ISNUMBER('Council Entry'!BD$9)),MAX(MIN('Council Entry'!BD72,'Council Entry'!BD$9),'Council Entry'!BD$8),'Council Entry'!BD72)),IF('Council Entry'!BD$4="Exponential",EXP(IF(AND(ISNUMBER('Council Entry'!BD$8),ISNUMBER('Council Entry'!BD$9)),MAX(MIN('Council Entry'!BD72,'Council Entry'!BD$9),'Council Entry'!BD$8),'Council Entry'!BD72)),IF(AND(ISNUMBER('Council Entry'!BD$8),ISNUMBER('Council Entry'!BD$9)),MAX(MIN('Council Entry'!BD72,'Council Entry'!BD$9),'Council Entry'!BD$8),'Council Entry'!BD72))))-'Council Entry'!BD$5)/('Council Entry'!BD$6-'Council Entry'!BD$5)),1))),"No data"))</f>
        <v/>
      </c>
    </row>
    <row r="73">
      <c r="A73" t="inlineStr">
        <is>
          <t>Kilimanjaro</t>
        </is>
      </c>
      <c r="B73" t="inlineStr">
        <is>
          <t>Siha District</t>
        </is>
      </c>
      <c r="C73" t="inlineStr">
        <is>
          <t>C022</t>
        </is>
      </c>
      <c r="D73" s="13">
        <f>IF('Council Entry'!D73="","",IFERROR(MAX(0,MIN(10,ROUND(IF('Council Entry'!D$7="Decrease Risk",10-10*((IF('Council Entry'!D$4="Logarithm",LN(0.001+IF(AND(ISNUMBER('Council Entry'!D$8),ISNUMBER('Council Entry'!D$9)),MAX(MIN('Council Entry'!D73,'Council Entry'!D$9),'Council Entry'!D$8),'Council Entry'!D73)),IF('Council Entry'!D$4="Exponential",EXP(IF(AND(ISNUMBER('Council Entry'!D$8),ISNUMBER('Council Entry'!D$9)),MAX(MIN('Council Entry'!D73,'Council Entry'!D$9),'Council Entry'!D$8),'Council Entry'!D73)),IF(AND(ISNUMBER('Council Entry'!D$8),ISNUMBER('Council Entry'!D$9)),MAX(MIN('Council Entry'!D73,'Council Entry'!D$9),'Council Entry'!D$8),'Council Entry'!D73))))-'Council Entry'!D$5)/('Council Entry'!D$6-'Council Entry'!D$5),10*((IF('Council Entry'!D$4="Logarithm",LN(0.001+IF(AND(ISNUMBER('Council Entry'!D$8),ISNUMBER('Council Entry'!D$9)),MAX(MIN('Council Entry'!D73,'Council Entry'!D$9),'Council Entry'!D$8),'Council Entry'!D73)),IF('Council Entry'!D$4="Exponential",EXP(IF(AND(ISNUMBER('Council Entry'!D$8),ISNUMBER('Council Entry'!D$9)),MAX(MIN('Council Entry'!D73,'Council Entry'!D$9),'Council Entry'!D$8),'Council Entry'!D73)),IF(AND(ISNUMBER('Council Entry'!D$8),ISNUMBER('Council Entry'!D$9)),MAX(MIN('Council Entry'!D73,'Council Entry'!D$9),'Council Entry'!D$8),'Council Entry'!D73))))-'Council Entry'!D$5)/('Council Entry'!D$6-'Council Entry'!D$5)),1))),"No data"))</f>
        <v/>
      </c>
      <c r="E73" s="13">
        <f>IF('Council Entry'!E73="","",IFERROR(MAX(0,MIN(10,ROUND(IF('Council Entry'!E$7="Decrease Risk",10-10*((IF('Council Entry'!E$4="Logarithm",LN(0.001+IF(AND(ISNUMBER('Council Entry'!E$8),ISNUMBER('Council Entry'!E$9)),MAX(MIN('Council Entry'!E73,'Council Entry'!E$9),'Council Entry'!E$8),'Council Entry'!E73)),IF('Council Entry'!E$4="Exponential",EXP(IF(AND(ISNUMBER('Council Entry'!E$8),ISNUMBER('Council Entry'!E$9)),MAX(MIN('Council Entry'!E73,'Council Entry'!E$9),'Council Entry'!E$8),'Council Entry'!E73)),IF(AND(ISNUMBER('Council Entry'!E$8),ISNUMBER('Council Entry'!E$9)),MAX(MIN('Council Entry'!E73,'Council Entry'!E$9),'Council Entry'!E$8),'Council Entry'!E73))))-'Council Entry'!E$5)/('Council Entry'!E$6-'Council Entry'!E$5),10*((IF('Council Entry'!E$4="Logarithm",LN(0.001+IF(AND(ISNUMBER('Council Entry'!E$8),ISNUMBER('Council Entry'!E$9)),MAX(MIN('Council Entry'!E73,'Council Entry'!E$9),'Council Entry'!E$8),'Council Entry'!E73)),IF('Council Entry'!E$4="Exponential",EXP(IF(AND(ISNUMBER('Council Entry'!E$8),ISNUMBER('Council Entry'!E$9)),MAX(MIN('Council Entry'!E73,'Council Entry'!E$9),'Council Entry'!E$8),'Council Entry'!E73)),IF(AND(ISNUMBER('Council Entry'!E$8),ISNUMBER('Council Entry'!E$9)),MAX(MIN('Council Entry'!E73,'Council Entry'!E$9),'Council Entry'!E$8),'Council Entry'!E73))))-'Council Entry'!E$5)/('Council Entry'!E$6-'Council Entry'!E$5)),1))),"No data"))</f>
        <v/>
      </c>
      <c r="F73" s="13">
        <f>IF('Council Entry'!F73="","",IFERROR(MAX(0,MIN(10,ROUND(IF('Council Entry'!F$7="Decrease Risk",10-10*((IF('Council Entry'!F$4="Logarithm",LN(0.001+IF(AND(ISNUMBER('Council Entry'!F$8),ISNUMBER('Council Entry'!F$9)),MAX(MIN('Council Entry'!F73,'Council Entry'!F$9),'Council Entry'!F$8),'Council Entry'!F73)),IF('Council Entry'!F$4="Exponential",EXP(IF(AND(ISNUMBER('Council Entry'!F$8),ISNUMBER('Council Entry'!F$9)),MAX(MIN('Council Entry'!F73,'Council Entry'!F$9),'Council Entry'!F$8),'Council Entry'!F73)),IF(AND(ISNUMBER('Council Entry'!F$8),ISNUMBER('Council Entry'!F$9)),MAX(MIN('Council Entry'!F73,'Council Entry'!F$9),'Council Entry'!F$8),'Council Entry'!F73))))-'Council Entry'!F$5)/('Council Entry'!F$6-'Council Entry'!F$5),10*((IF('Council Entry'!F$4="Logarithm",LN(0.001+IF(AND(ISNUMBER('Council Entry'!F$8),ISNUMBER('Council Entry'!F$9)),MAX(MIN('Council Entry'!F73,'Council Entry'!F$9),'Council Entry'!F$8),'Council Entry'!F73)),IF('Council Entry'!F$4="Exponential",EXP(IF(AND(ISNUMBER('Council Entry'!F$8),ISNUMBER('Council Entry'!F$9)),MAX(MIN('Council Entry'!F73,'Council Entry'!F$9),'Council Entry'!F$8),'Council Entry'!F73)),IF(AND(ISNUMBER('Council Entry'!F$8),ISNUMBER('Council Entry'!F$9)),MAX(MIN('Council Entry'!F73,'Council Entry'!F$9),'Council Entry'!F$8),'Council Entry'!F73))))-'Council Entry'!F$5)/('Council Entry'!F$6-'Council Entry'!F$5)),1))),"No data"))</f>
        <v/>
      </c>
      <c r="G73" s="13">
        <f>IF('Council Entry'!G73="","",IFERROR(MAX(0,MIN(10,ROUND(IF('Council Entry'!G$7="Decrease Risk",10-10*((IF('Council Entry'!G$4="Logarithm",LN(0.001+IF(AND(ISNUMBER('Council Entry'!G$8),ISNUMBER('Council Entry'!G$9)),MAX(MIN('Council Entry'!G73,'Council Entry'!G$9),'Council Entry'!G$8),'Council Entry'!G73)),IF('Council Entry'!G$4="Exponential",EXP(IF(AND(ISNUMBER('Council Entry'!G$8),ISNUMBER('Council Entry'!G$9)),MAX(MIN('Council Entry'!G73,'Council Entry'!G$9),'Council Entry'!G$8),'Council Entry'!G73)),IF(AND(ISNUMBER('Council Entry'!G$8),ISNUMBER('Council Entry'!G$9)),MAX(MIN('Council Entry'!G73,'Council Entry'!G$9),'Council Entry'!G$8),'Council Entry'!G73))))-'Council Entry'!G$5)/('Council Entry'!G$6-'Council Entry'!G$5),10*((IF('Council Entry'!G$4="Logarithm",LN(0.001+IF(AND(ISNUMBER('Council Entry'!G$8),ISNUMBER('Council Entry'!G$9)),MAX(MIN('Council Entry'!G73,'Council Entry'!G$9),'Council Entry'!G$8),'Council Entry'!G73)),IF('Council Entry'!G$4="Exponential",EXP(IF(AND(ISNUMBER('Council Entry'!G$8),ISNUMBER('Council Entry'!G$9)),MAX(MIN('Council Entry'!G73,'Council Entry'!G$9),'Council Entry'!G$8),'Council Entry'!G73)),IF(AND(ISNUMBER('Council Entry'!G$8),ISNUMBER('Council Entry'!G$9)),MAX(MIN('Council Entry'!G73,'Council Entry'!G$9),'Council Entry'!G$8),'Council Entry'!G73))))-'Council Entry'!G$5)/('Council Entry'!G$6-'Council Entry'!G$5)),1))),"No data"))</f>
        <v/>
      </c>
      <c r="H73" s="13">
        <f>IF('Council Entry'!H73="","",IFERROR(MAX(0,MIN(10,ROUND(IF('Council Entry'!H$7="Decrease Risk",10-10*((IF('Council Entry'!H$4="Logarithm",LN(0.001+IF(AND(ISNUMBER('Council Entry'!H$8),ISNUMBER('Council Entry'!H$9)),MAX(MIN('Council Entry'!H73,'Council Entry'!H$9),'Council Entry'!H$8),'Council Entry'!H73)),IF('Council Entry'!H$4="Exponential",EXP(IF(AND(ISNUMBER('Council Entry'!H$8),ISNUMBER('Council Entry'!H$9)),MAX(MIN('Council Entry'!H73,'Council Entry'!H$9),'Council Entry'!H$8),'Council Entry'!H73)),IF(AND(ISNUMBER('Council Entry'!H$8),ISNUMBER('Council Entry'!H$9)),MAX(MIN('Council Entry'!H73,'Council Entry'!H$9),'Council Entry'!H$8),'Council Entry'!H73))))-'Council Entry'!H$5)/('Council Entry'!H$6-'Council Entry'!H$5),10*((IF('Council Entry'!H$4="Logarithm",LN(0.001+IF(AND(ISNUMBER('Council Entry'!H$8),ISNUMBER('Council Entry'!H$9)),MAX(MIN('Council Entry'!H73,'Council Entry'!H$9),'Council Entry'!H$8),'Council Entry'!H73)),IF('Council Entry'!H$4="Exponential",EXP(IF(AND(ISNUMBER('Council Entry'!H$8),ISNUMBER('Council Entry'!H$9)),MAX(MIN('Council Entry'!H73,'Council Entry'!H$9),'Council Entry'!H$8),'Council Entry'!H73)),IF(AND(ISNUMBER('Council Entry'!H$8),ISNUMBER('Council Entry'!H$9)),MAX(MIN('Council Entry'!H73,'Council Entry'!H$9),'Council Entry'!H$8),'Council Entry'!H73))))-'Council Entry'!H$5)/('Council Entry'!H$6-'Council Entry'!H$5)),1))),"No data"))</f>
        <v/>
      </c>
      <c r="I73" s="13">
        <f>IF('Council Entry'!I73="","",IFERROR(MAX(0,MIN(10,ROUND(IF('Council Entry'!I$7="Decrease Risk",10-10*((IF('Council Entry'!I$4="Logarithm",LN(0.001+IF(AND(ISNUMBER('Council Entry'!I$8),ISNUMBER('Council Entry'!I$9)),MAX(MIN('Council Entry'!I73,'Council Entry'!I$9),'Council Entry'!I$8),'Council Entry'!I73)),IF('Council Entry'!I$4="Exponential",EXP(IF(AND(ISNUMBER('Council Entry'!I$8),ISNUMBER('Council Entry'!I$9)),MAX(MIN('Council Entry'!I73,'Council Entry'!I$9),'Council Entry'!I$8),'Council Entry'!I73)),IF(AND(ISNUMBER('Council Entry'!I$8),ISNUMBER('Council Entry'!I$9)),MAX(MIN('Council Entry'!I73,'Council Entry'!I$9),'Council Entry'!I$8),'Council Entry'!I73))))-'Council Entry'!I$5)/('Council Entry'!I$6-'Council Entry'!I$5),10*((IF('Council Entry'!I$4="Logarithm",LN(0.001+IF(AND(ISNUMBER('Council Entry'!I$8),ISNUMBER('Council Entry'!I$9)),MAX(MIN('Council Entry'!I73,'Council Entry'!I$9),'Council Entry'!I$8),'Council Entry'!I73)),IF('Council Entry'!I$4="Exponential",EXP(IF(AND(ISNUMBER('Council Entry'!I$8),ISNUMBER('Council Entry'!I$9)),MAX(MIN('Council Entry'!I73,'Council Entry'!I$9),'Council Entry'!I$8),'Council Entry'!I73)),IF(AND(ISNUMBER('Council Entry'!I$8),ISNUMBER('Council Entry'!I$9)),MAX(MIN('Council Entry'!I73,'Council Entry'!I$9),'Council Entry'!I$8),'Council Entry'!I73))))-'Council Entry'!I$5)/('Council Entry'!I$6-'Council Entry'!I$5)),1))),"No data"))</f>
        <v/>
      </c>
      <c r="J73" s="13">
        <f>IF('Council Entry'!J73="","",IFERROR(MAX(0,MIN(10,ROUND(IF('Council Entry'!J$7="Decrease Risk",10-10*((IF('Council Entry'!J$4="Logarithm",LN(0.001+IF(AND(ISNUMBER('Council Entry'!J$8),ISNUMBER('Council Entry'!J$9)),MAX(MIN('Council Entry'!J73,'Council Entry'!J$9),'Council Entry'!J$8),'Council Entry'!J73)),IF('Council Entry'!J$4="Exponential",EXP(IF(AND(ISNUMBER('Council Entry'!J$8),ISNUMBER('Council Entry'!J$9)),MAX(MIN('Council Entry'!J73,'Council Entry'!J$9),'Council Entry'!J$8),'Council Entry'!J73)),IF(AND(ISNUMBER('Council Entry'!J$8),ISNUMBER('Council Entry'!J$9)),MAX(MIN('Council Entry'!J73,'Council Entry'!J$9),'Council Entry'!J$8),'Council Entry'!J73))))-'Council Entry'!J$5)/('Council Entry'!J$6-'Council Entry'!J$5),10*((IF('Council Entry'!J$4="Logarithm",LN(0.001+IF(AND(ISNUMBER('Council Entry'!J$8),ISNUMBER('Council Entry'!J$9)),MAX(MIN('Council Entry'!J73,'Council Entry'!J$9),'Council Entry'!J$8),'Council Entry'!J73)),IF('Council Entry'!J$4="Exponential",EXP(IF(AND(ISNUMBER('Council Entry'!J$8),ISNUMBER('Council Entry'!J$9)),MAX(MIN('Council Entry'!J73,'Council Entry'!J$9),'Council Entry'!J$8),'Council Entry'!J73)),IF(AND(ISNUMBER('Council Entry'!J$8),ISNUMBER('Council Entry'!J$9)),MAX(MIN('Council Entry'!J73,'Council Entry'!J$9),'Council Entry'!J$8),'Council Entry'!J73))))-'Council Entry'!J$5)/('Council Entry'!J$6-'Council Entry'!J$5)),1))),"No data"))</f>
        <v/>
      </c>
      <c r="K73" s="13">
        <f>IF('Council Entry'!K73="","",IFERROR(MAX(0,MIN(10,ROUND(IF('Council Entry'!K$7="Decrease Risk",10-10*((IF('Council Entry'!K$4="Logarithm",LN(0.001+IF(AND(ISNUMBER('Council Entry'!K$8),ISNUMBER('Council Entry'!K$9)),MAX(MIN('Council Entry'!K73,'Council Entry'!K$9),'Council Entry'!K$8),'Council Entry'!K73)),IF('Council Entry'!K$4="Exponential",EXP(IF(AND(ISNUMBER('Council Entry'!K$8),ISNUMBER('Council Entry'!K$9)),MAX(MIN('Council Entry'!K73,'Council Entry'!K$9),'Council Entry'!K$8),'Council Entry'!K73)),IF(AND(ISNUMBER('Council Entry'!K$8),ISNUMBER('Council Entry'!K$9)),MAX(MIN('Council Entry'!K73,'Council Entry'!K$9),'Council Entry'!K$8),'Council Entry'!K73))))-'Council Entry'!K$5)/('Council Entry'!K$6-'Council Entry'!K$5),10*((IF('Council Entry'!K$4="Logarithm",LN(0.001+IF(AND(ISNUMBER('Council Entry'!K$8),ISNUMBER('Council Entry'!K$9)),MAX(MIN('Council Entry'!K73,'Council Entry'!K$9),'Council Entry'!K$8),'Council Entry'!K73)),IF('Council Entry'!K$4="Exponential",EXP(IF(AND(ISNUMBER('Council Entry'!K$8),ISNUMBER('Council Entry'!K$9)),MAX(MIN('Council Entry'!K73,'Council Entry'!K$9),'Council Entry'!K$8),'Council Entry'!K73)),IF(AND(ISNUMBER('Council Entry'!K$8),ISNUMBER('Council Entry'!K$9)),MAX(MIN('Council Entry'!K73,'Council Entry'!K$9),'Council Entry'!K$8),'Council Entry'!K73))))-'Council Entry'!K$5)/('Council Entry'!K$6-'Council Entry'!K$5)),1))),"No data"))</f>
        <v/>
      </c>
      <c r="L73" s="13">
        <f>IF('Council Entry'!L73="","",IFERROR(MAX(0,MIN(10,ROUND(IF('Council Entry'!L$7="Decrease Risk",10-10*((IF('Council Entry'!L$4="Logarithm",LN(0.001+IF(AND(ISNUMBER('Council Entry'!L$8),ISNUMBER('Council Entry'!L$9)),MAX(MIN('Council Entry'!L73,'Council Entry'!L$9),'Council Entry'!L$8),'Council Entry'!L73)),IF('Council Entry'!L$4="Exponential",EXP(IF(AND(ISNUMBER('Council Entry'!L$8),ISNUMBER('Council Entry'!L$9)),MAX(MIN('Council Entry'!L73,'Council Entry'!L$9),'Council Entry'!L$8),'Council Entry'!L73)),IF(AND(ISNUMBER('Council Entry'!L$8),ISNUMBER('Council Entry'!L$9)),MAX(MIN('Council Entry'!L73,'Council Entry'!L$9),'Council Entry'!L$8),'Council Entry'!L73))))-'Council Entry'!L$5)/('Council Entry'!L$6-'Council Entry'!L$5),10*((IF('Council Entry'!L$4="Logarithm",LN(0.001+IF(AND(ISNUMBER('Council Entry'!L$8),ISNUMBER('Council Entry'!L$9)),MAX(MIN('Council Entry'!L73,'Council Entry'!L$9),'Council Entry'!L$8),'Council Entry'!L73)),IF('Council Entry'!L$4="Exponential",EXP(IF(AND(ISNUMBER('Council Entry'!L$8),ISNUMBER('Council Entry'!L$9)),MAX(MIN('Council Entry'!L73,'Council Entry'!L$9),'Council Entry'!L$8),'Council Entry'!L73)),IF(AND(ISNUMBER('Council Entry'!L$8),ISNUMBER('Council Entry'!L$9)),MAX(MIN('Council Entry'!L73,'Council Entry'!L$9),'Council Entry'!L$8),'Council Entry'!L73))))-'Council Entry'!L$5)/('Council Entry'!L$6-'Council Entry'!L$5)),1))),"No data"))</f>
        <v/>
      </c>
      <c r="M73" s="13">
        <f>IF('Council Entry'!M73="","",IFERROR(MAX(0,MIN(10,ROUND(IF('Council Entry'!M$7="Decrease Risk",10-10*((IF('Council Entry'!M$4="Logarithm",LN(0.001+IF(AND(ISNUMBER('Council Entry'!M$8),ISNUMBER('Council Entry'!M$9)),MAX(MIN('Council Entry'!M73,'Council Entry'!M$9),'Council Entry'!M$8),'Council Entry'!M73)),IF('Council Entry'!M$4="Exponential",EXP(IF(AND(ISNUMBER('Council Entry'!M$8),ISNUMBER('Council Entry'!M$9)),MAX(MIN('Council Entry'!M73,'Council Entry'!M$9),'Council Entry'!M$8),'Council Entry'!M73)),IF(AND(ISNUMBER('Council Entry'!M$8),ISNUMBER('Council Entry'!M$9)),MAX(MIN('Council Entry'!M73,'Council Entry'!M$9),'Council Entry'!M$8),'Council Entry'!M73))))-'Council Entry'!M$5)/('Council Entry'!M$6-'Council Entry'!M$5),10*((IF('Council Entry'!M$4="Logarithm",LN(0.001+IF(AND(ISNUMBER('Council Entry'!M$8),ISNUMBER('Council Entry'!M$9)),MAX(MIN('Council Entry'!M73,'Council Entry'!M$9),'Council Entry'!M$8),'Council Entry'!M73)),IF('Council Entry'!M$4="Exponential",EXP(IF(AND(ISNUMBER('Council Entry'!M$8),ISNUMBER('Council Entry'!M$9)),MAX(MIN('Council Entry'!M73,'Council Entry'!M$9),'Council Entry'!M$8),'Council Entry'!M73)),IF(AND(ISNUMBER('Council Entry'!M$8),ISNUMBER('Council Entry'!M$9)),MAX(MIN('Council Entry'!M73,'Council Entry'!M$9),'Council Entry'!M$8),'Council Entry'!M73))))-'Council Entry'!M$5)/('Council Entry'!M$6-'Council Entry'!M$5)),1))),"No data"))</f>
        <v/>
      </c>
      <c r="N73" s="13">
        <f>IF('Council Entry'!N73="","",IFERROR(MAX(0,MIN(10,ROUND(IF('Council Entry'!N$7="Decrease Risk",10-10*((IF('Council Entry'!N$4="Logarithm",LN(0.001+IF(AND(ISNUMBER('Council Entry'!N$8),ISNUMBER('Council Entry'!N$9)),MAX(MIN('Council Entry'!N73,'Council Entry'!N$9),'Council Entry'!N$8),'Council Entry'!N73)),IF('Council Entry'!N$4="Exponential",EXP(IF(AND(ISNUMBER('Council Entry'!N$8),ISNUMBER('Council Entry'!N$9)),MAX(MIN('Council Entry'!N73,'Council Entry'!N$9),'Council Entry'!N$8),'Council Entry'!N73)),IF(AND(ISNUMBER('Council Entry'!N$8),ISNUMBER('Council Entry'!N$9)),MAX(MIN('Council Entry'!N73,'Council Entry'!N$9),'Council Entry'!N$8),'Council Entry'!N73))))-'Council Entry'!N$5)/('Council Entry'!N$6-'Council Entry'!N$5),10*((IF('Council Entry'!N$4="Logarithm",LN(0.001+IF(AND(ISNUMBER('Council Entry'!N$8),ISNUMBER('Council Entry'!N$9)),MAX(MIN('Council Entry'!N73,'Council Entry'!N$9),'Council Entry'!N$8),'Council Entry'!N73)),IF('Council Entry'!N$4="Exponential",EXP(IF(AND(ISNUMBER('Council Entry'!N$8),ISNUMBER('Council Entry'!N$9)),MAX(MIN('Council Entry'!N73,'Council Entry'!N$9),'Council Entry'!N$8),'Council Entry'!N73)),IF(AND(ISNUMBER('Council Entry'!N$8),ISNUMBER('Council Entry'!N$9)),MAX(MIN('Council Entry'!N73,'Council Entry'!N$9),'Council Entry'!N$8),'Council Entry'!N73))))-'Council Entry'!N$5)/('Council Entry'!N$6-'Council Entry'!N$5)),1))),"No data"))</f>
        <v/>
      </c>
      <c r="O73" s="13">
        <f>IF('Council Entry'!O73="","",IFERROR(MAX(0,MIN(10,ROUND(IF('Council Entry'!O$7="Decrease Risk",10-10*((IF('Council Entry'!O$4="Logarithm",LN(0.001+IF(AND(ISNUMBER('Council Entry'!O$8),ISNUMBER('Council Entry'!O$9)),MAX(MIN('Council Entry'!O73,'Council Entry'!O$9),'Council Entry'!O$8),'Council Entry'!O73)),IF('Council Entry'!O$4="Exponential",EXP(IF(AND(ISNUMBER('Council Entry'!O$8),ISNUMBER('Council Entry'!O$9)),MAX(MIN('Council Entry'!O73,'Council Entry'!O$9),'Council Entry'!O$8),'Council Entry'!O73)),IF(AND(ISNUMBER('Council Entry'!O$8),ISNUMBER('Council Entry'!O$9)),MAX(MIN('Council Entry'!O73,'Council Entry'!O$9),'Council Entry'!O$8),'Council Entry'!O73))))-'Council Entry'!O$5)/('Council Entry'!O$6-'Council Entry'!O$5),10*((IF('Council Entry'!O$4="Logarithm",LN(0.001+IF(AND(ISNUMBER('Council Entry'!O$8),ISNUMBER('Council Entry'!O$9)),MAX(MIN('Council Entry'!O73,'Council Entry'!O$9),'Council Entry'!O$8),'Council Entry'!O73)),IF('Council Entry'!O$4="Exponential",EXP(IF(AND(ISNUMBER('Council Entry'!O$8),ISNUMBER('Council Entry'!O$9)),MAX(MIN('Council Entry'!O73,'Council Entry'!O$9),'Council Entry'!O$8),'Council Entry'!O73)),IF(AND(ISNUMBER('Council Entry'!O$8),ISNUMBER('Council Entry'!O$9)),MAX(MIN('Council Entry'!O73,'Council Entry'!O$9),'Council Entry'!O$8),'Council Entry'!O73))))-'Council Entry'!O$5)/('Council Entry'!O$6-'Council Entry'!O$5)),1))),"No data"))</f>
        <v/>
      </c>
      <c r="P73" s="13">
        <f>IF('Council Entry'!P73="","",IFERROR(MAX(0,MIN(10,ROUND(IF('Council Entry'!P$7="Decrease Risk",10-10*((IF('Council Entry'!P$4="Logarithm",LN(0.001+IF(AND(ISNUMBER('Council Entry'!P$8),ISNUMBER('Council Entry'!P$9)),MAX(MIN('Council Entry'!P73,'Council Entry'!P$9),'Council Entry'!P$8),'Council Entry'!P73)),IF('Council Entry'!P$4="Exponential",EXP(IF(AND(ISNUMBER('Council Entry'!P$8),ISNUMBER('Council Entry'!P$9)),MAX(MIN('Council Entry'!P73,'Council Entry'!P$9),'Council Entry'!P$8),'Council Entry'!P73)),IF(AND(ISNUMBER('Council Entry'!P$8),ISNUMBER('Council Entry'!P$9)),MAX(MIN('Council Entry'!P73,'Council Entry'!P$9),'Council Entry'!P$8),'Council Entry'!P73))))-'Council Entry'!P$5)/('Council Entry'!P$6-'Council Entry'!P$5),10*((IF('Council Entry'!P$4="Logarithm",LN(0.001+IF(AND(ISNUMBER('Council Entry'!P$8),ISNUMBER('Council Entry'!P$9)),MAX(MIN('Council Entry'!P73,'Council Entry'!P$9),'Council Entry'!P$8),'Council Entry'!P73)),IF('Council Entry'!P$4="Exponential",EXP(IF(AND(ISNUMBER('Council Entry'!P$8),ISNUMBER('Council Entry'!P$9)),MAX(MIN('Council Entry'!P73,'Council Entry'!P$9),'Council Entry'!P$8),'Council Entry'!P73)),IF(AND(ISNUMBER('Council Entry'!P$8),ISNUMBER('Council Entry'!P$9)),MAX(MIN('Council Entry'!P73,'Council Entry'!P$9),'Council Entry'!P$8),'Council Entry'!P73))))-'Council Entry'!P$5)/('Council Entry'!P$6-'Council Entry'!P$5)),1))),"No data"))</f>
        <v/>
      </c>
      <c r="Q73" s="13">
        <f>IF('Council Entry'!Q73="","",IFERROR(MAX(0,MIN(10,ROUND(IF('Council Entry'!Q$7="Decrease Risk",10-10*((IF('Council Entry'!Q$4="Logarithm",LN(0.001+IF(AND(ISNUMBER('Council Entry'!Q$8),ISNUMBER('Council Entry'!Q$9)),MAX(MIN('Council Entry'!Q73,'Council Entry'!Q$9),'Council Entry'!Q$8),'Council Entry'!Q73)),IF('Council Entry'!Q$4="Exponential",EXP(IF(AND(ISNUMBER('Council Entry'!Q$8),ISNUMBER('Council Entry'!Q$9)),MAX(MIN('Council Entry'!Q73,'Council Entry'!Q$9),'Council Entry'!Q$8),'Council Entry'!Q73)),IF(AND(ISNUMBER('Council Entry'!Q$8),ISNUMBER('Council Entry'!Q$9)),MAX(MIN('Council Entry'!Q73,'Council Entry'!Q$9),'Council Entry'!Q$8),'Council Entry'!Q73))))-'Council Entry'!Q$5)/('Council Entry'!Q$6-'Council Entry'!Q$5),10*((IF('Council Entry'!Q$4="Logarithm",LN(0.001+IF(AND(ISNUMBER('Council Entry'!Q$8),ISNUMBER('Council Entry'!Q$9)),MAX(MIN('Council Entry'!Q73,'Council Entry'!Q$9),'Council Entry'!Q$8),'Council Entry'!Q73)),IF('Council Entry'!Q$4="Exponential",EXP(IF(AND(ISNUMBER('Council Entry'!Q$8),ISNUMBER('Council Entry'!Q$9)),MAX(MIN('Council Entry'!Q73,'Council Entry'!Q$9),'Council Entry'!Q$8),'Council Entry'!Q73)),IF(AND(ISNUMBER('Council Entry'!Q$8),ISNUMBER('Council Entry'!Q$9)),MAX(MIN('Council Entry'!Q73,'Council Entry'!Q$9),'Council Entry'!Q$8),'Council Entry'!Q73))))-'Council Entry'!Q$5)/('Council Entry'!Q$6-'Council Entry'!Q$5)),1))),"No data"))</f>
        <v/>
      </c>
      <c r="R73" s="13">
        <f>IF('Council Entry'!R73="","",IFERROR(MAX(0,MIN(10,ROUND(IF('Council Entry'!R$7="Decrease Risk",10-10*((IF('Council Entry'!R$4="Logarithm",LN(0.001+IF(AND(ISNUMBER('Council Entry'!R$8),ISNUMBER('Council Entry'!R$9)),MAX(MIN('Council Entry'!R73,'Council Entry'!R$9),'Council Entry'!R$8),'Council Entry'!R73)),IF('Council Entry'!R$4="Exponential",EXP(IF(AND(ISNUMBER('Council Entry'!R$8),ISNUMBER('Council Entry'!R$9)),MAX(MIN('Council Entry'!R73,'Council Entry'!R$9),'Council Entry'!R$8),'Council Entry'!R73)),IF(AND(ISNUMBER('Council Entry'!R$8),ISNUMBER('Council Entry'!R$9)),MAX(MIN('Council Entry'!R73,'Council Entry'!R$9),'Council Entry'!R$8),'Council Entry'!R73))))-'Council Entry'!R$5)/('Council Entry'!R$6-'Council Entry'!R$5),10*((IF('Council Entry'!R$4="Logarithm",LN(0.001+IF(AND(ISNUMBER('Council Entry'!R$8),ISNUMBER('Council Entry'!R$9)),MAX(MIN('Council Entry'!R73,'Council Entry'!R$9),'Council Entry'!R$8),'Council Entry'!R73)),IF('Council Entry'!R$4="Exponential",EXP(IF(AND(ISNUMBER('Council Entry'!R$8),ISNUMBER('Council Entry'!R$9)),MAX(MIN('Council Entry'!R73,'Council Entry'!R$9),'Council Entry'!R$8),'Council Entry'!R73)),IF(AND(ISNUMBER('Council Entry'!R$8),ISNUMBER('Council Entry'!R$9)),MAX(MIN('Council Entry'!R73,'Council Entry'!R$9),'Council Entry'!R$8),'Council Entry'!R73))))-'Council Entry'!R$5)/('Council Entry'!R$6-'Council Entry'!R$5)),1))),"No data"))</f>
        <v/>
      </c>
      <c r="S73" s="13">
        <f>IF('Council Entry'!S73="","",IFERROR(MAX(0,MIN(10,ROUND(IF('Council Entry'!S$7="Decrease Risk",10-10*((IF('Council Entry'!S$4="Logarithm",LN(0.001+IF(AND(ISNUMBER('Council Entry'!S$8),ISNUMBER('Council Entry'!S$9)),MAX(MIN('Council Entry'!S73,'Council Entry'!S$9),'Council Entry'!S$8),'Council Entry'!S73)),IF('Council Entry'!S$4="Exponential",EXP(IF(AND(ISNUMBER('Council Entry'!S$8),ISNUMBER('Council Entry'!S$9)),MAX(MIN('Council Entry'!S73,'Council Entry'!S$9),'Council Entry'!S$8),'Council Entry'!S73)),IF(AND(ISNUMBER('Council Entry'!S$8),ISNUMBER('Council Entry'!S$9)),MAX(MIN('Council Entry'!S73,'Council Entry'!S$9),'Council Entry'!S$8),'Council Entry'!S73))))-'Council Entry'!S$5)/('Council Entry'!S$6-'Council Entry'!S$5),10*((IF('Council Entry'!S$4="Logarithm",LN(0.001+IF(AND(ISNUMBER('Council Entry'!S$8),ISNUMBER('Council Entry'!S$9)),MAX(MIN('Council Entry'!S73,'Council Entry'!S$9),'Council Entry'!S$8),'Council Entry'!S73)),IF('Council Entry'!S$4="Exponential",EXP(IF(AND(ISNUMBER('Council Entry'!S$8),ISNUMBER('Council Entry'!S$9)),MAX(MIN('Council Entry'!S73,'Council Entry'!S$9),'Council Entry'!S$8),'Council Entry'!S73)),IF(AND(ISNUMBER('Council Entry'!S$8),ISNUMBER('Council Entry'!S$9)),MAX(MIN('Council Entry'!S73,'Council Entry'!S$9),'Council Entry'!S$8),'Council Entry'!S73))))-'Council Entry'!S$5)/('Council Entry'!S$6-'Council Entry'!S$5)),1))),"No data"))</f>
        <v/>
      </c>
      <c r="T73" s="13">
        <f>IF('Council Entry'!T73="","",IFERROR(MAX(0,MIN(10,ROUND(IF('Council Entry'!T$7="Decrease Risk",10-10*((IF('Council Entry'!T$4="Logarithm",LN(0.001+IF(AND(ISNUMBER('Council Entry'!T$8),ISNUMBER('Council Entry'!T$9)),MAX(MIN('Council Entry'!T73,'Council Entry'!T$9),'Council Entry'!T$8),'Council Entry'!T73)),IF('Council Entry'!T$4="Exponential",EXP(IF(AND(ISNUMBER('Council Entry'!T$8),ISNUMBER('Council Entry'!T$9)),MAX(MIN('Council Entry'!T73,'Council Entry'!T$9),'Council Entry'!T$8),'Council Entry'!T73)),IF(AND(ISNUMBER('Council Entry'!T$8),ISNUMBER('Council Entry'!T$9)),MAX(MIN('Council Entry'!T73,'Council Entry'!T$9),'Council Entry'!T$8),'Council Entry'!T73))))-'Council Entry'!T$5)/('Council Entry'!T$6-'Council Entry'!T$5),10*((IF('Council Entry'!T$4="Logarithm",LN(0.001+IF(AND(ISNUMBER('Council Entry'!T$8),ISNUMBER('Council Entry'!T$9)),MAX(MIN('Council Entry'!T73,'Council Entry'!T$9),'Council Entry'!T$8),'Council Entry'!T73)),IF('Council Entry'!T$4="Exponential",EXP(IF(AND(ISNUMBER('Council Entry'!T$8),ISNUMBER('Council Entry'!T$9)),MAX(MIN('Council Entry'!T73,'Council Entry'!T$9),'Council Entry'!T$8),'Council Entry'!T73)),IF(AND(ISNUMBER('Council Entry'!T$8),ISNUMBER('Council Entry'!T$9)),MAX(MIN('Council Entry'!T73,'Council Entry'!T$9),'Council Entry'!T$8),'Council Entry'!T73))))-'Council Entry'!T$5)/('Council Entry'!T$6-'Council Entry'!T$5)),1))),"No data"))</f>
        <v/>
      </c>
      <c r="U73" s="13">
        <f>IF('Council Entry'!U73="","",IFERROR(MAX(0,MIN(10,ROUND(IF('Council Entry'!U$7="Decrease Risk",10-10*((IF('Council Entry'!U$4="Logarithm",LN(0.001+IF(AND(ISNUMBER('Council Entry'!U$8),ISNUMBER('Council Entry'!U$9)),MAX(MIN('Council Entry'!U73,'Council Entry'!U$9),'Council Entry'!U$8),'Council Entry'!U73)),IF('Council Entry'!U$4="Exponential",EXP(IF(AND(ISNUMBER('Council Entry'!U$8),ISNUMBER('Council Entry'!U$9)),MAX(MIN('Council Entry'!U73,'Council Entry'!U$9),'Council Entry'!U$8),'Council Entry'!U73)),IF(AND(ISNUMBER('Council Entry'!U$8),ISNUMBER('Council Entry'!U$9)),MAX(MIN('Council Entry'!U73,'Council Entry'!U$9),'Council Entry'!U$8),'Council Entry'!U73))))-'Council Entry'!U$5)/('Council Entry'!U$6-'Council Entry'!U$5),10*((IF('Council Entry'!U$4="Logarithm",LN(0.001+IF(AND(ISNUMBER('Council Entry'!U$8),ISNUMBER('Council Entry'!U$9)),MAX(MIN('Council Entry'!U73,'Council Entry'!U$9),'Council Entry'!U$8),'Council Entry'!U73)),IF('Council Entry'!U$4="Exponential",EXP(IF(AND(ISNUMBER('Council Entry'!U$8),ISNUMBER('Council Entry'!U$9)),MAX(MIN('Council Entry'!U73,'Council Entry'!U$9),'Council Entry'!U$8),'Council Entry'!U73)),IF(AND(ISNUMBER('Council Entry'!U$8),ISNUMBER('Council Entry'!U$9)),MAX(MIN('Council Entry'!U73,'Council Entry'!U$9),'Council Entry'!U$8),'Council Entry'!U73))))-'Council Entry'!U$5)/('Council Entry'!U$6-'Council Entry'!U$5)),1))),"No data"))</f>
        <v/>
      </c>
      <c r="V73" s="13">
        <f>IF('Council Entry'!V73="","",IFERROR(MAX(0,MIN(10,ROUND(IF('Council Entry'!V$7="Decrease Risk",10-10*((IF('Council Entry'!V$4="Logarithm",LN(0.001+IF(AND(ISNUMBER('Council Entry'!V$8),ISNUMBER('Council Entry'!V$9)),MAX(MIN('Council Entry'!V73,'Council Entry'!V$9),'Council Entry'!V$8),'Council Entry'!V73)),IF('Council Entry'!V$4="Exponential",EXP(IF(AND(ISNUMBER('Council Entry'!V$8),ISNUMBER('Council Entry'!V$9)),MAX(MIN('Council Entry'!V73,'Council Entry'!V$9),'Council Entry'!V$8),'Council Entry'!V73)),IF(AND(ISNUMBER('Council Entry'!V$8),ISNUMBER('Council Entry'!V$9)),MAX(MIN('Council Entry'!V73,'Council Entry'!V$9),'Council Entry'!V$8),'Council Entry'!V73))))-'Council Entry'!V$5)/('Council Entry'!V$6-'Council Entry'!V$5),10*((IF('Council Entry'!V$4="Logarithm",LN(0.001+IF(AND(ISNUMBER('Council Entry'!V$8),ISNUMBER('Council Entry'!V$9)),MAX(MIN('Council Entry'!V73,'Council Entry'!V$9),'Council Entry'!V$8),'Council Entry'!V73)),IF('Council Entry'!V$4="Exponential",EXP(IF(AND(ISNUMBER('Council Entry'!V$8),ISNUMBER('Council Entry'!V$9)),MAX(MIN('Council Entry'!V73,'Council Entry'!V$9),'Council Entry'!V$8),'Council Entry'!V73)),IF(AND(ISNUMBER('Council Entry'!V$8),ISNUMBER('Council Entry'!V$9)),MAX(MIN('Council Entry'!V73,'Council Entry'!V$9),'Council Entry'!V$8),'Council Entry'!V73))))-'Council Entry'!V$5)/('Council Entry'!V$6-'Council Entry'!V$5)),1))),"No data"))</f>
        <v/>
      </c>
      <c r="W73" s="13">
        <f>IF('Council Entry'!W73="","",IFERROR(MAX(0,MIN(10,ROUND(IF('Council Entry'!W$7="Decrease Risk",10-10*((IF('Council Entry'!W$4="Logarithm",LN(0.001+IF(AND(ISNUMBER('Council Entry'!W$8),ISNUMBER('Council Entry'!W$9)),MAX(MIN('Council Entry'!W73,'Council Entry'!W$9),'Council Entry'!W$8),'Council Entry'!W73)),IF('Council Entry'!W$4="Exponential",EXP(IF(AND(ISNUMBER('Council Entry'!W$8),ISNUMBER('Council Entry'!W$9)),MAX(MIN('Council Entry'!W73,'Council Entry'!W$9),'Council Entry'!W$8),'Council Entry'!W73)),IF(AND(ISNUMBER('Council Entry'!W$8),ISNUMBER('Council Entry'!W$9)),MAX(MIN('Council Entry'!W73,'Council Entry'!W$9),'Council Entry'!W$8),'Council Entry'!W73))))-'Council Entry'!W$5)/('Council Entry'!W$6-'Council Entry'!W$5),10*((IF('Council Entry'!W$4="Logarithm",LN(0.001+IF(AND(ISNUMBER('Council Entry'!W$8),ISNUMBER('Council Entry'!W$9)),MAX(MIN('Council Entry'!W73,'Council Entry'!W$9),'Council Entry'!W$8),'Council Entry'!W73)),IF('Council Entry'!W$4="Exponential",EXP(IF(AND(ISNUMBER('Council Entry'!W$8),ISNUMBER('Council Entry'!W$9)),MAX(MIN('Council Entry'!W73,'Council Entry'!W$9),'Council Entry'!W$8),'Council Entry'!W73)),IF(AND(ISNUMBER('Council Entry'!W$8),ISNUMBER('Council Entry'!W$9)),MAX(MIN('Council Entry'!W73,'Council Entry'!W$9),'Council Entry'!W$8),'Council Entry'!W73))))-'Council Entry'!W$5)/('Council Entry'!W$6-'Council Entry'!W$5)),1))),"No data"))</f>
        <v/>
      </c>
      <c r="X73" s="13">
        <f>IF('Council Entry'!X73="","",IFERROR(MAX(0,MIN(10,ROUND(IF('Council Entry'!X$7="Decrease Risk",10-10*((IF('Council Entry'!X$4="Logarithm",LN(0.001+IF(AND(ISNUMBER('Council Entry'!X$8),ISNUMBER('Council Entry'!X$9)),MAX(MIN('Council Entry'!X73,'Council Entry'!X$9),'Council Entry'!X$8),'Council Entry'!X73)),IF('Council Entry'!X$4="Exponential",EXP(IF(AND(ISNUMBER('Council Entry'!X$8),ISNUMBER('Council Entry'!X$9)),MAX(MIN('Council Entry'!X73,'Council Entry'!X$9),'Council Entry'!X$8),'Council Entry'!X73)),IF(AND(ISNUMBER('Council Entry'!X$8),ISNUMBER('Council Entry'!X$9)),MAX(MIN('Council Entry'!X73,'Council Entry'!X$9),'Council Entry'!X$8),'Council Entry'!X73))))-'Council Entry'!X$5)/('Council Entry'!X$6-'Council Entry'!X$5),10*((IF('Council Entry'!X$4="Logarithm",LN(0.001+IF(AND(ISNUMBER('Council Entry'!X$8),ISNUMBER('Council Entry'!X$9)),MAX(MIN('Council Entry'!X73,'Council Entry'!X$9),'Council Entry'!X$8),'Council Entry'!X73)),IF('Council Entry'!X$4="Exponential",EXP(IF(AND(ISNUMBER('Council Entry'!X$8),ISNUMBER('Council Entry'!X$9)),MAX(MIN('Council Entry'!X73,'Council Entry'!X$9),'Council Entry'!X$8),'Council Entry'!X73)),IF(AND(ISNUMBER('Council Entry'!X$8),ISNUMBER('Council Entry'!X$9)),MAX(MIN('Council Entry'!X73,'Council Entry'!X$9),'Council Entry'!X$8),'Council Entry'!X73))))-'Council Entry'!X$5)/('Council Entry'!X$6-'Council Entry'!X$5)),1))),"No data"))</f>
        <v/>
      </c>
      <c r="Y73" s="13">
        <f>IF('Council Entry'!Y73="","",IFERROR(MAX(0,MIN(10,ROUND(IF('Council Entry'!Y$7="Decrease Risk",10-10*((IF('Council Entry'!Y$4="Logarithm",LN(0.001+IF(AND(ISNUMBER('Council Entry'!Y$8),ISNUMBER('Council Entry'!Y$9)),MAX(MIN('Council Entry'!Y73,'Council Entry'!Y$9),'Council Entry'!Y$8),'Council Entry'!Y73)),IF('Council Entry'!Y$4="Exponential",EXP(IF(AND(ISNUMBER('Council Entry'!Y$8),ISNUMBER('Council Entry'!Y$9)),MAX(MIN('Council Entry'!Y73,'Council Entry'!Y$9),'Council Entry'!Y$8),'Council Entry'!Y73)),IF(AND(ISNUMBER('Council Entry'!Y$8),ISNUMBER('Council Entry'!Y$9)),MAX(MIN('Council Entry'!Y73,'Council Entry'!Y$9),'Council Entry'!Y$8),'Council Entry'!Y73))))-'Council Entry'!Y$5)/('Council Entry'!Y$6-'Council Entry'!Y$5),10*((IF('Council Entry'!Y$4="Logarithm",LN(0.001+IF(AND(ISNUMBER('Council Entry'!Y$8),ISNUMBER('Council Entry'!Y$9)),MAX(MIN('Council Entry'!Y73,'Council Entry'!Y$9),'Council Entry'!Y$8),'Council Entry'!Y73)),IF('Council Entry'!Y$4="Exponential",EXP(IF(AND(ISNUMBER('Council Entry'!Y$8),ISNUMBER('Council Entry'!Y$9)),MAX(MIN('Council Entry'!Y73,'Council Entry'!Y$9),'Council Entry'!Y$8),'Council Entry'!Y73)),IF(AND(ISNUMBER('Council Entry'!Y$8),ISNUMBER('Council Entry'!Y$9)),MAX(MIN('Council Entry'!Y73,'Council Entry'!Y$9),'Council Entry'!Y$8),'Council Entry'!Y73))))-'Council Entry'!Y$5)/('Council Entry'!Y$6-'Council Entry'!Y$5)),1))),"No data"))</f>
        <v/>
      </c>
      <c r="Z73" s="13">
        <f>IF('Council Entry'!Z73="","",IFERROR(MAX(0,MIN(10,ROUND(IF('Council Entry'!Z$7="Decrease Risk",10-10*((IF('Council Entry'!Z$4="Logarithm",LN(0.001+IF(AND(ISNUMBER('Council Entry'!Z$8),ISNUMBER('Council Entry'!Z$9)),MAX(MIN('Council Entry'!Z73,'Council Entry'!Z$9),'Council Entry'!Z$8),'Council Entry'!Z73)),IF('Council Entry'!Z$4="Exponential",EXP(IF(AND(ISNUMBER('Council Entry'!Z$8),ISNUMBER('Council Entry'!Z$9)),MAX(MIN('Council Entry'!Z73,'Council Entry'!Z$9),'Council Entry'!Z$8),'Council Entry'!Z73)),IF(AND(ISNUMBER('Council Entry'!Z$8),ISNUMBER('Council Entry'!Z$9)),MAX(MIN('Council Entry'!Z73,'Council Entry'!Z$9),'Council Entry'!Z$8),'Council Entry'!Z73))))-'Council Entry'!Z$5)/('Council Entry'!Z$6-'Council Entry'!Z$5),10*((IF('Council Entry'!Z$4="Logarithm",LN(0.001+IF(AND(ISNUMBER('Council Entry'!Z$8),ISNUMBER('Council Entry'!Z$9)),MAX(MIN('Council Entry'!Z73,'Council Entry'!Z$9),'Council Entry'!Z$8),'Council Entry'!Z73)),IF('Council Entry'!Z$4="Exponential",EXP(IF(AND(ISNUMBER('Council Entry'!Z$8),ISNUMBER('Council Entry'!Z$9)),MAX(MIN('Council Entry'!Z73,'Council Entry'!Z$9),'Council Entry'!Z$8),'Council Entry'!Z73)),IF(AND(ISNUMBER('Council Entry'!Z$8),ISNUMBER('Council Entry'!Z$9)),MAX(MIN('Council Entry'!Z73,'Council Entry'!Z$9),'Council Entry'!Z$8),'Council Entry'!Z73))))-'Council Entry'!Z$5)/('Council Entry'!Z$6-'Council Entry'!Z$5)),1))),"No data"))</f>
        <v/>
      </c>
      <c r="AA73" s="13">
        <f>IF('Council Entry'!AA73="","",IFERROR(MAX(0,MIN(10,ROUND(IF('Council Entry'!AA$7="Decrease Risk",10-10*((IF('Council Entry'!AA$4="Logarithm",LN(0.001+IF(AND(ISNUMBER('Council Entry'!AA$8),ISNUMBER('Council Entry'!AA$9)),MAX(MIN('Council Entry'!AA73,'Council Entry'!AA$9),'Council Entry'!AA$8),'Council Entry'!AA73)),IF('Council Entry'!AA$4="Exponential",EXP(IF(AND(ISNUMBER('Council Entry'!AA$8),ISNUMBER('Council Entry'!AA$9)),MAX(MIN('Council Entry'!AA73,'Council Entry'!AA$9),'Council Entry'!AA$8),'Council Entry'!AA73)),IF(AND(ISNUMBER('Council Entry'!AA$8),ISNUMBER('Council Entry'!AA$9)),MAX(MIN('Council Entry'!AA73,'Council Entry'!AA$9),'Council Entry'!AA$8),'Council Entry'!AA73))))-'Council Entry'!AA$5)/('Council Entry'!AA$6-'Council Entry'!AA$5),10*((IF('Council Entry'!AA$4="Logarithm",LN(0.001+IF(AND(ISNUMBER('Council Entry'!AA$8),ISNUMBER('Council Entry'!AA$9)),MAX(MIN('Council Entry'!AA73,'Council Entry'!AA$9),'Council Entry'!AA$8),'Council Entry'!AA73)),IF('Council Entry'!AA$4="Exponential",EXP(IF(AND(ISNUMBER('Council Entry'!AA$8),ISNUMBER('Council Entry'!AA$9)),MAX(MIN('Council Entry'!AA73,'Council Entry'!AA$9),'Council Entry'!AA$8),'Council Entry'!AA73)),IF(AND(ISNUMBER('Council Entry'!AA$8),ISNUMBER('Council Entry'!AA$9)),MAX(MIN('Council Entry'!AA73,'Council Entry'!AA$9),'Council Entry'!AA$8),'Council Entry'!AA73))))-'Council Entry'!AA$5)/('Council Entry'!AA$6-'Council Entry'!AA$5)),1))),"No data"))</f>
        <v/>
      </c>
      <c r="AB73" s="13">
        <f>IF('Council Entry'!AB73="","",IFERROR(MAX(0,MIN(10,ROUND(IF('Council Entry'!AB$7="Decrease Risk",10-10*((IF('Council Entry'!AB$4="Logarithm",LN(0.001+IF(AND(ISNUMBER('Council Entry'!AB$8),ISNUMBER('Council Entry'!AB$9)),MAX(MIN('Council Entry'!AB73,'Council Entry'!AB$9),'Council Entry'!AB$8),'Council Entry'!AB73)),IF('Council Entry'!AB$4="Exponential",EXP(IF(AND(ISNUMBER('Council Entry'!AB$8),ISNUMBER('Council Entry'!AB$9)),MAX(MIN('Council Entry'!AB73,'Council Entry'!AB$9),'Council Entry'!AB$8),'Council Entry'!AB73)),IF(AND(ISNUMBER('Council Entry'!AB$8),ISNUMBER('Council Entry'!AB$9)),MAX(MIN('Council Entry'!AB73,'Council Entry'!AB$9),'Council Entry'!AB$8),'Council Entry'!AB73))))-'Council Entry'!AB$5)/('Council Entry'!AB$6-'Council Entry'!AB$5),10*((IF('Council Entry'!AB$4="Logarithm",LN(0.001+IF(AND(ISNUMBER('Council Entry'!AB$8),ISNUMBER('Council Entry'!AB$9)),MAX(MIN('Council Entry'!AB73,'Council Entry'!AB$9),'Council Entry'!AB$8),'Council Entry'!AB73)),IF('Council Entry'!AB$4="Exponential",EXP(IF(AND(ISNUMBER('Council Entry'!AB$8),ISNUMBER('Council Entry'!AB$9)),MAX(MIN('Council Entry'!AB73,'Council Entry'!AB$9),'Council Entry'!AB$8),'Council Entry'!AB73)),IF(AND(ISNUMBER('Council Entry'!AB$8),ISNUMBER('Council Entry'!AB$9)),MAX(MIN('Council Entry'!AB73,'Council Entry'!AB$9),'Council Entry'!AB$8),'Council Entry'!AB73))))-'Council Entry'!AB$5)/('Council Entry'!AB$6-'Council Entry'!AB$5)),1))),"No data"))</f>
        <v/>
      </c>
      <c r="AC73" s="13">
        <f>IF('Council Entry'!AC73="","",IFERROR(MAX(0,MIN(10,ROUND(IF('Council Entry'!AC$7="Decrease Risk",10-10*((IF('Council Entry'!AC$4="Logarithm",LN(0.001+IF(AND(ISNUMBER('Council Entry'!AC$8),ISNUMBER('Council Entry'!AC$9)),MAX(MIN('Council Entry'!AC73,'Council Entry'!AC$9),'Council Entry'!AC$8),'Council Entry'!AC73)),IF('Council Entry'!AC$4="Exponential",EXP(IF(AND(ISNUMBER('Council Entry'!AC$8),ISNUMBER('Council Entry'!AC$9)),MAX(MIN('Council Entry'!AC73,'Council Entry'!AC$9),'Council Entry'!AC$8),'Council Entry'!AC73)),IF(AND(ISNUMBER('Council Entry'!AC$8),ISNUMBER('Council Entry'!AC$9)),MAX(MIN('Council Entry'!AC73,'Council Entry'!AC$9),'Council Entry'!AC$8),'Council Entry'!AC73))))-'Council Entry'!AC$5)/('Council Entry'!AC$6-'Council Entry'!AC$5),10*((IF('Council Entry'!AC$4="Logarithm",LN(0.001+IF(AND(ISNUMBER('Council Entry'!AC$8),ISNUMBER('Council Entry'!AC$9)),MAX(MIN('Council Entry'!AC73,'Council Entry'!AC$9),'Council Entry'!AC$8),'Council Entry'!AC73)),IF('Council Entry'!AC$4="Exponential",EXP(IF(AND(ISNUMBER('Council Entry'!AC$8),ISNUMBER('Council Entry'!AC$9)),MAX(MIN('Council Entry'!AC73,'Council Entry'!AC$9),'Council Entry'!AC$8),'Council Entry'!AC73)),IF(AND(ISNUMBER('Council Entry'!AC$8),ISNUMBER('Council Entry'!AC$9)),MAX(MIN('Council Entry'!AC73,'Council Entry'!AC$9),'Council Entry'!AC$8),'Council Entry'!AC73))))-'Council Entry'!AC$5)/('Council Entry'!AC$6-'Council Entry'!AC$5)),1))),"No data"))</f>
        <v/>
      </c>
      <c r="AD73" s="13">
        <f>IF('Council Entry'!AD73="","",IFERROR(MAX(0,MIN(10,ROUND(IF('Council Entry'!AD$7="Decrease Risk",10-10*((IF('Council Entry'!AD$4="Logarithm",LN(0.001+IF(AND(ISNUMBER('Council Entry'!AD$8),ISNUMBER('Council Entry'!AD$9)),MAX(MIN('Council Entry'!AD73,'Council Entry'!AD$9),'Council Entry'!AD$8),'Council Entry'!AD73)),IF('Council Entry'!AD$4="Exponential",EXP(IF(AND(ISNUMBER('Council Entry'!AD$8),ISNUMBER('Council Entry'!AD$9)),MAX(MIN('Council Entry'!AD73,'Council Entry'!AD$9),'Council Entry'!AD$8),'Council Entry'!AD73)),IF(AND(ISNUMBER('Council Entry'!AD$8),ISNUMBER('Council Entry'!AD$9)),MAX(MIN('Council Entry'!AD73,'Council Entry'!AD$9),'Council Entry'!AD$8),'Council Entry'!AD73))))-'Council Entry'!AD$5)/('Council Entry'!AD$6-'Council Entry'!AD$5),10*((IF('Council Entry'!AD$4="Logarithm",LN(0.001+IF(AND(ISNUMBER('Council Entry'!AD$8),ISNUMBER('Council Entry'!AD$9)),MAX(MIN('Council Entry'!AD73,'Council Entry'!AD$9),'Council Entry'!AD$8),'Council Entry'!AD73)),IF('Council Entry'!AD$4="Exponential",EXP(IF(AND(ISNUMBER('Council Entry'!AD$8),ISNUMBER('Council Entry'!AD$9)),MAX(MIN('Council Entry'!AD73,'Council Entry'!AD$9),'Council Entry'!AD$8),'Council Entry'!AD73)),IF(AND(ISNUMBER('Council Entry'!AD$8),ISNUMBER('Council Entry'!AD$9)),MAX(MIN('Council Entry'!AD73,'Council Entry'!AD$9),'Council Entry'!AD$8),'Council Entry'!AD73))))-'Council Entry'!AD$5)/('Council Entry'!AD$6-'Council Entry'!AD$5)),1))),"No data"))</f>
        <v/>
      </c>
      <c r="AE73" s="13">
        <f>IF('Council Entry'!AE73="","",IFERROR(MAX(0,MIN(10,ROUND(IF('Council Entry'!AE$7="Decrease Risk",10-10*((IF('Council Entry'!AE$4="Logarithm",LN(0.001+IF(AND(ISNUMBER('Council Entry'!AE$8),ISNUMBER('Council Entry'!AE$9)),MAX(MIN('Council Entry'!AE73,'Council Entry'!AE$9),'Council Entry'!AE$8),'Council Entry'!AE73)),IF('Council Entry'!AE$4="Exponential",EXP(IF(AND(ISNUMBER('Council Entry'!AE$8),ISNUMBER('Council Entry'!AE$9)),MAX(MIN('Council Entry'!AE73,'Council Entry'!AE$9),'Council Entry'!AE$8),'Council Entry'!AE73)),IF(AND(ISNUMBER('Council Entry'!AE$8),ISNUMBER('Council Entry'!AE$9)),MAX(MIN('Council Entry'!AE73,'Council Entry'!AE$9),'Council Entry'!AE$8),'Council Entry'!AE73))))-'Council Entry'!AE$5)/('Council Entry'!AE$6-'Council Entry'!AE$5),10*((IF('Council Entry'!AE$4="Logarithm",LN(0.001+IF(AND(ISNUMBER('Council Entry'!AE$8),ISNUMBER('Council Entry'!AE$9)),MAX(MIN('Council Entry'!AE73,'Council Entry'!AE$9),'Council Entry'!AE$8),'Council Entry'!AE73)),IF('Council Entry'!AE$4="Exponential",EXP(IF(AND(ISNUMBER('Council Entry'!AE$8),ISNUMBER('Council Entry'!AE$9)),MAX(MIN('Council Entry'!AE73,'Council Entry'!AE$9),'Council Entry'!AE$8),'Council Entry'!AE73)),IF(AND(ISNUMBER('Council Entry'!AE$8),ISNUMBER('Council Entry'!AE$9)),MAX(MIN('Council Entry'!AE73,'Council Entry'!AE$9),'Council Entry'!AE$8),'Council Entry'!AE73))))-'Council Entry'!AE$5)/('Council Entry'!AE$6-'Council Entry'!AE$5)),1))),"No data"))</f>
        <v/>
      </c>
      <c r="AF73" s="13">
        <f>IF('Council Entry'!AF73="","",IFERROR(MAX(0,MIN(10,ROUND(IF('Council Entry'!AF$7="Decrease Risk",10-10*((IF('Council Entry'!AF$4="Logarithm",LN(0.001+IF(AND(ISNUMBER('Council Entry'!AF$8),ISNUMBER('Council Entry'!AF$9)),MAX(MIN('Council Entry'!AF73,'Council Entry'!AF$9),'Council Entry'!AF$8),'Council Entry'!AF73)),IF('Council Entry'!AF$4="Exponential",EXP(IF(AND(ISNUMBER('Council Entry'!AF$8),ISNUMBER('Council Entry'!AF$9)),MAX(MIN('Council Entry'!AF73,'Council Entry'!AF$9),'Council Entry'!AF$8),'Council Entry'!AF73)),IF(AND(ISNUMBER('Council Entry'!AF$8),ISNUMBER('Council Entry'!AF$9)),MAX(MIN('Council Entry'!AF73,'Council Entry'!AF$9),'Council Entry'!AF$8),'Council Entry'!AF73))))-'Council Entry'!AF$5)/('Council Entry'!AF$6-'Council Entry'!AF$5),10*((IF('Council Entry'!AF$4="Logarithm",LN(0.001+IF(AND(ISNUMBER('Council Entry'!AF$8),ISNUMBER('Council Entry'!AF$9)),MAX(MIN('Council Entry'!AF73,'Council Entry'!AF$9),'Council Entry'!AF$8),'Council Entry'!AF73)),IF('Council Entry'!AF$4="Exponential",EXP(IF(AND(ISNUMBER('Council Entry'!AF$8),ISNUMBER('Council Entry'!AF$9)),MAX(MIN('Council Entry'!AF73,'Council Entry'!AF$9),'Council Entry'!AF$8),'Council Entry'!AF73)),IF(AND(ISNUMBER('Council Entry'!AF$8),ISNUMBER('Council Entry'!AF$9)),MAX(MIN('Council Entry'!AF73,'Council Entry'!AF$9),'Council Entry'!AF$8),'Council Entry'!AF73))))-'Council Entry'!AF$5)/('Council Entry'!AF$6-'Council Entry'!AF$5)),1))),"No data"))</f>
        <v/>
      </c>
      <c r="AG73" s="13">
        <f>IF('Council Entry'!AG73="","",IFERROR(MAX(0,MIN(10,ROUND(IF('Council Entry'!AG$7="Decrease Risk",10-10*((IF('Council Entry'!AG$4="Logarithm",LN(0.001+IF(AND(ISNUMBER('Council Entry'!AG$8),ISNUMBER('Council Entry'!AG$9)),MAX(MIN('Council Entry'!AG73,'Council Entry'!AG$9),'Council Entry'!AG$8),'Council Entry'!AG73)),IF('Council Entry'!AG$4="Exponential",EXP(IF(AND(ISNUMBER('Council Entry'!AG$8),ISNUMBER('Council Entry'!AG$9)),MAX(MIN('Council Entry'!AG73,'Council Entry'!AG$9),'Council Entry'!AG$8),'Council Entry'!AG73)),IF(AND(ISNUMBER('Council Entry'!AG$8),ISNUMBER('Council Entry'!AG$9)),MAX(MIN('Council Entry'!AG73,'Council Entry'!AG$9),'Council Entry'!AG$8),'Council Entry'!AG73))))-'Council Entry'!AG$5)/('Council Entry'!AG$6-'Council Entry'!AG$5),10*((IF('Council Entry'!AG$4="Logarithm",LN(0.001+IF(AND(ISNUMBER('Council Entry'!AG$8),ISNUMBER('Council Entry'!AG$9)),MAX(MIN('Council Entry'!AG73,'Council Entry'!AG$9),'Council Entry'!AG$8),'Council Entry'!AG73)),IF('Council Entry'!AG$4="Exponential",EXP(IF(AND(ISNUMBER('Council Entry'!AG$8),ISNUMBER('Council Entry'!AG$9)),MAX(MIN('Council Entry'!AG73,'Council Entry'!AG$9),'Council Entry'!AG$8),'Council Entry'!AG73)),IF(AND(ISNUMBER('Council Entry'!AG$8),ISNUMBER('Council Entry'!AG$9)),MAX(MIN('Council Entry'!AG73,'Council Entry'!AG$9),'Council Entry'!AG$8),'Council Entry'!AG73))))-'Council Entry'!AG$5)/('Council Entry'!AG$6-'Council Entry'!AG$5)),1))),"No data"))</f>
        <v/>
      </c>
      <c r="AH73" s="13">
        <f>IF('Council Entry'!AH73="","",IFERROR(MAX(0,MIN(10,ROUND(IF('Council Entry'!AH$7="Decrease Risk",10-10*((IF('Council Entry'!AH$4="Logarithm",LN(0.001+IF(AND(ISNUMBER('Council Entry'!AH$8),ISNUMBER('Council Entry'!AH$9)),MAX(MIN('Council Entry'!AH73,'Council Entry'!AH$9),'Council Entry'!AH$8),'Council Entry'!AH73)),IF('Council Entry'!AH$4="Exponential",EXP(IF(AND(ISNUMBER('Council Entry'!AH$8),ISNUMBER('Council Entry'!AH$9)),MAX(MIN('Council Entry'!AH73,'Council Entry'!AH$9),'Council Entry'!AH$8),'Council Entry'!AH73)),IF(AND(ISNUMBER('Council Entry'!AH$8),ISNUMBER('Council Entry'!AH$9)),MAX(MIN('Council Entry'!AH73,'Council Entry'!AH$9),'Council Entry'!AH$8),'Council Entry'!AH73))))-'Council Entry'!AH$5)/('Council Entry'!AH$6-'Council Entry'!AH$5),10*((IF('Council Entry'!AH$4="Logarithm",LN(0.001+IF(AND(ISNUMBER('Council Entry'!AH$8),ISNUMBER('Council Entry'!AH$9)),MAX(MIN('Council Entry'!AH73,'Council Entry'!AH$9),'Council Entry'!AH$8),'Council Entry'!AH73)),IF('Council Entry'!AH$4="Exponential",EXP(IF(AND(ISNUMBER('Council Entry'!AH$8),ISNUMBER('Council Entry'!AH$9)),MAX(MIN('Council Entry'!AH73,'Council Entry'!AH$9),'Council Entry'!AH$8),'Council Entry'!AH73)),IF(AND(ISNUMBER('Council Entry'!AH$8),ISNUMBER('Council Entry'!AH$9)),MAX(MIN('Council Entry'!AH73,'Council Entry'!AH$9),'Council Entry'!AH$8),'Council Entry'!AH73))))-'Council Entry'!AH$5)/('Council Entry'!AH$6-'Council Entry'!AH$5)),1))),"No data"))</f>
        <v/>
      </c>
      <c r="AI73" s="13">
        <f>IF('Council Entry'!AI73="","",IFERROR(MAX(0,MIN(10,ROUND(IF('Council Entry'!AI$7="Decrease Risk",10-10*((IF('Council Entry'!AI$4="Logarithm",LN(0.001+IF(AND(ISNUMBER('Council Entry'!AI$8),ISNUMBER('Council Entry'!AI$9)),MAX(MIN('Council Entry'!AI73,'Council Entry'!AI$9),'Council Entry'!AI$8),'Council Entry'!AI73)),IF('Council Entry'!AI$4="Exponential",EXP(IF(AND(ISNUMBER('Council Entry'!AI$8),ISNUMBER('Council Entry'!AI$9)),MAX(MIN('Council Entry'!AI73,'Council Entry'!AI$9),'Council Entry'!AI$8),'Council Entry'!AI73)),IF(AND(ISNUMBER('Council Entry'!AI$8),ISNUMBER('Council Entry'!AI$9)),MAX(MIN('Council Entry'!AI73,'Council Entry'!AI$9),'Council Entry'!AI$8),'Council Entry'!AI73))))-'Council Entry'!AI$5)/('Council Entry'!AI$6-'Council Entry'!AI$5),10*((IF('Council Entry'!AI$4="Logarithm",LN(0.001+IF(AND(ISNUMBER('Council Entry'!AI$8),ISNUMBER('Council Entry'!AI$9)),MAX(MIN('Council Entry'!AI73,'Council Entry'!AI$9),'Council Entry'!AI$8),'Council Entry'!AI73)),IF('Council Entry'!AI$4="Exponential",EXP(IF(AND(ISNUMBER('Council Entry'!AI$8),ISNUMBER('Council Entry'!AI$9)),MAX(MIN('Council Entry'!AI73,'Council Entry'!AI$9),'Council Entry'!AI$8),'Council Entry'!AI73)),IF(AND(ISNUMBER('Council Entry'!AI$8),ISNUMBER('Council Entry'!AI$9)),MAX(MIN('Council Entry'!AI73,'Council Entry'!AI$9),'Council Entry'!AI$8),'Council Entry'!AI73))))-'Council Entry'!AI$5)/('Council Entry'!AI$6-'Council Entry'!AI$5)),1))),"No data"))</f>
        <v/>
      </c>
      <c r="AJ73" s="13">
        <f>IF('Council Entry'!AJ73="","",IFERROR(MAX(0,MIN(10,ROUND(IF('Council Entry'!AJ$7="Decrease Risk",10-10*((IF('Council Entry'!AJ$4="Logarithm",LN(0.001+IF(AND(ISNUMBER('Council Entry'!AJ$8),ISNUMBER('Council Entry'!AJ$9)),MAX(MIN('Council Entry'!AJ73,'Council Entry'!AJ$9),'Council Entry'!AJ$8),'Council Entry'!AJ73)),IF('Council Entry'!AJ$4="Exponential",EXP(IF(AND(ISNUMBER('Council Entry'!AJ$8),ISNUMBER('Council Entry'!AJ$9)),MAX(MIN('Council Entry'!AJ73,'Council Entry'!AJ$9),'Council Entry'!AJ$8),'Council Entry'!AJ73)),IF(AND(ISNUMBER('Council Entry'!AJ$8),ISNUMBER('Council Entry'!AJ$9)),MAX(MIN('Council Entry'!AJ73,'Council Entry'!AJ$9),'Council Entry'!AJ$8),'Council Entry'!AJ73))))-'Council Entry'!AJ$5)/('Council Entry'!AJ$6-'Council Entry'!AJ$5),10*((IF('Council Entry'!AJ$4="Logarithm",LN(0.001+IF(AND(ISNUMBER('Council Entry'!AJ$8),ISNUMBER('Council Entry'!AJ$9)),MAX(MIN('Council Entry'!AJ73,'Council Entry'!AJ$9),'Council Entry'!AJ$8),'Council Entry'!AJ73)),IF('Council Entry'!AJ$4="Exponential",EXP(IF(AND(ISNUMBER('Council Entry'!AJ$8),ISNUMBER('Council Entry'!AJ$9)),MAX(MIN('Council Entry'!AJ73,'Council Entry'!AJ$9),'Council Entry'!AJ$8),'Council Entry'!AJ73)),IF(AND(ISNUMBER('Council Entry'!AJ$8),ISNUMBER('Council Entry'!AJ$9)),MAX(MIN('Council Entry'!AJ73,'Council Entry'!AJ$9),'Council Entry'!AJ$8),'Council Entry'!AJ73))))-'Council Entry'!AJ$5)/('Council Entry'!AJ$6-'Council Entry'!AJ$5)),1))),"No data"))</f>
        <v/>
      </c>
      <c r="AK73" s="13">
        <f>IF('Council Entry'!AK73="","",IFERROR(MAX(0,MIN(10,ROUND(IF('Council Entry'!AK$7="Decrease Risk",10-10*((IF('Council Entry'!AK$4="Logarithm",LN(0.001+IF(AND(ISNUMBER('Council Entry'!AK$8),ISNUMBER('Council Entry'!AK$9)),MAX(MIN('Council Entry'!AK73,'Council Entry'!AK$9),'Council Entry'!AK$8),'Council Entry'!AK73)),IF('Council Entry'!AK$4="Exponential",EXP(IF(AND(ISNUMBER('Council Entry'!AK$8),ISNUMBER('Council Entry'!AK$9)),MAX(MIN('Council Entry'!AK73,'Council Entry'!AK$9),'Council Entry'!AK$8),'Council Entry'!AK73)),IF(AND(ISNUMBER('Council Entry'!AK$8),ISNUMBER('Council Entry'!AK$9)),MAX(MIN('Council Entry'!AK73,'Council Entry'!AK$9),'Council Entry'!AK$8),'Council Entry'!AK73))))-'Council Entry'!AK$5)/('Council Entry'!AK$6-'Council Entry'!AK$5),10*((IF('Council Entry'!AK$4="Logarithm",LN(0.001+IF(AND(ISNUMBER('Council Entry'!AK$8),ISNUMBER('Council Entry'!AK$9)),MAX(MIN('Council Entry'!AK73,'Council Entry'!AK$9),'Council Entry'!AK$8),'Council Entry'!AK73)),IF('Council Entry'!AK$4="Exponential",EXP(IF(AND(ISNUMBER('Council Entry'!AK$8),ISNUMBER('Council Entry'!AK$9)),MAX(MIN('Council Entry'!AK73,'Council Entry'!AK$9),'Council Entry'!AK$8),'Council Entry'!AK73)),IF(AND(ISNUMBER('Council Entry'!AK$8),ISNUMBER('Council Entry'!AK$9)),MAX(MIN('Council Entry'!AK73,'Council Entry'!AK$9),'Council Entry'!AK$8),'Council Entry'!AK73))))-'Council Entry'!AK$5)/('Council Entry'!AK$6-'Council Entry'!AK$5)),1))),"No data"))</f>
        <v/>
      </c>
      <c r="AL73" s="13">
        <f>IF('Council Entry'!AL73="","",IFERROR(MAX(0,MIN(10,ROUND(IF('Council Entry'!AL$7="Decrease Risk",10-10*((IF('Council Entry'!AL$4="Logarithm",LN(0.001+IF(AND(ISNUMBER('Council Entry'!AL$8),ISNUMBER('Council Entry'!AL$9)),MAX(MIN('Council Entry'!AL73,'Council Entry'!AL$9),'Council Entry'!AL$8),'Council Entry'!AL73)),IF('Council Entry'!AL$4="Exponential",EXP(IF(AND(ISNUMBER('Council Entry'!AL$8),ISNUMBER('Council Entry'!AL$9)),MAX(MIN('Council Entry'!AL73,'Council Entry'!AL$9),'Council Entry'!AL$8),'Council Entry'!AL73)),IF(AND(ISNUMBER('Council Entry'!AL$8),ISNUMBER('Council Entry'!AL$9)),MAX(MIN('Council Entry'!AL73,'Council Entry'!AL$9),'Council Entry'!AL$8),'Council Entry'!AL73))))-'Council Entry'!AL$5)/('Council Entry'!AL$6-'Council Entry'!AL$5),10*((IF('Council Entry'!AL$4="Logarithm",LN(0.001+IF(AND(ISNUMBER('Council Entry'!AL$8),ISNUMBER('Council Entry'!AL$9)),MAX(MIN('Council Entry'!AL73,'Council Entry'!AL$9),'Council Entry'!AL$8),'Council Entry'!AL73)),IF('Council Entry'!AL$4="Exponential",EXP(IF(AND(ISNUMBER('Council Entry'!AL$8),ISNUMBER('Council Entry'!AL$9)),MAX(MIN('Council Entry'!AL73,'Council Entry'!AL$9),'Council Entry'!AL$8),'Council Entry'!AL73)),IF(AND(ISNUMBER('Council Entry'!AL$8),ISNUMBER('Council Entry'!AL$9)),MAX(MIN('Council Entry'!AL73,'Council Entry'!AL$9),'Council Entry'!AL$8),'Council Entry'!AL73))))-'Council Entry'!AL$5)/('Council Entry'!AL$6-'Council Entry'!AL$5)),1))),"No data"))</f>
        <v/>
      </c>
      <c r="AM73" s="13">
        <f>IF('Council Entry'!AM73="","",IFERROR(MAX(0,MIN(10,ROUND(IF('Council Entry'!AM$7="Decrease Risk",10-10*((IF('Council Entry'!AM$4="Logarithm",LN(0.001+IF(AND(ISNUMBER('Council Entry'!AM$8),ISNUMBER('Council Entry'!AM$9)),MAX(MIN('Council Entry'!AM73,'Council Entry'!AM$9),'Council Entry'!AM$8),'Council Entry'!AM73)),IF('Council Entry'!AM$4="Exponential",EXP(IF(AND(ISNUMBER('Council Entry'!AM$8),ISNUMBER('Council Entry'!AM$9)),MAX(MIN('Council Entry'!AM73,'Council Entry'!AM$9),'Council Entry'!AM$8),'Council Entry'!AM73)),IF(AND(ISNUMBER('Council Entry'!AM$8),ISNUMBER('Council Entry'!AM$9)),MAX(MIN('Council Entry'!AM73,'Council Entry'!AM$9),'Council Entry'!AM$8),'Council Entry'!AM73))))-'Council Entry'!AM$5)/('Council Entry'!AM$6-'Council Entry'!AM$5),10*((IF('Council Entry'!AM$4="Logarithm",LN(0.001+IF(AND(ISNUMBER('Council Entry'!AM$8),ISNUMBER('Council Entry'!AM$9)),MAX(MIN('Council Entry'!AM73,'Council Entry'!AM$9),'Council Entry'!AM$8),'Council Entry'!AM73)),IF('Council Entry'!AM$4="Exponential",EXP(IF(AND(ISNUMBER('Council Entry'!AM$8),ISNUMBER('Council Entry'!AM$9)),MAX(MIN('Council Entry'!AM73,'Council Entry'!AM$9),'Council Entry'!AM$8),'Council Entry'!AM73)),IF(AND(ISNUMBER('Council Entry'!AM$8),ISNUMBER('Council Entry'!AM$9)),MAX(MIN('Council Entry'!AM73,'Council Entry'!AM$9),'Council Entry'!AM$8),'Council Entry'!AM73))))-'Council Entry'!AM$5)/('Council Entry'!AM$6-'Council Entry'!AM$5)),1))),"No data"))</f>
        <v/>
      </c>
      <c r="AN73" s="13">
        <f>IF('Council Entry'!AN73="","",IFERROR(MAX(0,MIN(10,ROUND(IF('Council Entry'!AN$7="Decrease Risk",10-10*((IF('Council Entry'!AN$4="Logarithm",LN(0.001+IF(AND(ISNUMBER('Council Entry'!AN$8),ISNUMBER('Council Entry'!AN$9)),MAX(MIN('Council Entry'!AN73,'Council Entry'!AN$9),'Council Entry'!AN$8),'Council Entry'!AN73)),IF('Council Entry'!AN$4="Exponential",EXP(IF(AND(ISNUMBER('Council Entry'!AN$8),ISNUMBER('Council Entry'!AN$9)),MAX(MIN('Council Entry'!AN73,'Council Entry'!AN$9),'Council Entry'!AN$8),'Council Entry'!AN73)),IF(AND(ISNUMBER('Council Entry'!AN$8),ISNUMBER('Council Entry'!AN$9)),MAX(MIN('Council Entry'!AN73,'Council Entry'!AN$9),'Council Entry'!AN$8),'Council Entry'!AN73))))-'Council Entry'!AN$5)/('Council Entry'!AN$6-'Council Entry'!AN$5),10*((IF('Council Entry'!AN$4="Logarithm",LN(0.001+IF(AND(ISNUMBER('Council Entry'!AN$8),ISNUMBER('Council Entry'!AN$9)),MAX(MIN('Council Entry'!AN73,'Council Entry'!AN$9),'Council Entry'!AN$8),'Council Entry'!AN73)),IF('Council Entry'!AN$4="Exponential",EXP(IF(AND(ISNUMBER('Council Entry'!AN$8),ISNUMBER('Council Entry'!AN$9)),MAX(MIN('Council Entry'!AN73,'Council Entry'!AN$9),'Council Entry'!AN$8),'Council Entry'!AN73)),IF(AND(ISNUMBER('Council Entry'!AN$8),ISNUMBER('Council Entry'!AN$9)),MAX(MIN('Council Entry'!AN73,'Council Entry'!AN$9),'Council Entry'!AN$8),'Council Entry'!AN73))))-'Council Entry'!AN$5)/('Council Entry'!AN$6-'Council Entry'!AN$5)),1))),"No data"))</f>
        <v/>
      </c>
      <c r="AO73" s="13">
        <f>IF('Council Entry'!AO73="","",IFERROR(MAX(0,MIN(10,ROUND(IF('Council Entry'!AO$7="Decrease Risk",10-10*((IF('Council Entry'!AO$4="Logarithm",LN(0.001+IF(AND(ISNUMBER('Council Entry'!AO$8),ISNUMBER('Council Entry'!AO$9)),MAX(MIN('Council Entry'!AO73,'Council Entry'!AO$9),'Council Entry'!AO$8),'Council Entry'!AO73)),IF('Council Entry'!AO$4="Exponential",EXP(IF(AND(ISNUMBER('Council Entry'!AO$8),ISNUMBER('Council Entry'!AO$9)),MAX(MIN('Council Entry'!AO73,'Council Entry'!AO$9),'Council Entry'!AO$8),'Council Entry'!AO73)),IF(AND(ISNUMBER('Council Entry'!AO$8),ISNUMBER('Council Entry'!AO$9)),MAX(MIN('Council Entry'!AO73,'Council Entry'!AO$9),'Council Entry'!AO$8),'Council Entry'!AO73))))-'Council Entry'!AO$5)/('Council Entry'!AO$6-'Council Entry'!AO$5),10*((IF('Council Entry'!AO$4="Logarithm",LN(0.001+IF(AND(ISNUMBER('Council Entry'!AO$8),ISNUMBER('Council Entry'!AO$9)),MAX(MIN('Council Entry'!AO73,'Council Entry'!AO$9),'Council Entry'!AO$8),'Council Entry'!AO73)),IF('Council Entry'!AO$4="Exponential",EXP(IF(AND(ISNUMBER('Council Entry'!AO$8),ISNUMBER('Council Entry'!AO$9)),MAX(MIN('Council Entry'!AO73,'Council Entry'!AO$9),'Council Entry'!AO$8),'Council Entry'!AO73)),IF(AND(ISNUMBER('Council Entry'!AO$8),ISNUMBER('Council Entry'!AO$9)),MAX(MIN('Council Entry'!AO73,'Council Entry'!AO$9),'Council Entry'!AO$8),'Council Entry'!AO73))))-'Council Entry'!AO$5)/('Council Entry'!AO$6-'Council Entry'!AO$5)),1))),"No data"))</f>
        <v/>
      </c>
      <c r="AP73" s="13">
        <f>IF('Council Entry'!AP73="","",IFERROR(MAX(0,MIN(10,ROUND(IF('Council Entry'!AP$7="Decrease Risk",10-10*((IF('Council Entry'!AP$4="Logarithm",LN(0.001+IF(AND(ISNUMBER('Council Entry'!AP$8),ISNUMBER('Council Entry'!AP$9)),MAX(MIN('Council Entry'!AP73,'Council Entry'!AP$9),'Council Entry'!AP$8),'Council Entry'!AP73)),IF('Council Entry'!AP$4="Exponential",EXP(IF(AND(ISNUMBER('Council Entry'!AP$8),ISNUMBER('Council Entry'!AP$9)),MAX(MIN('Council Entry'!AP73,'Council Entry'!AP$9),'Council Entry'!AP$8),'Council Entry'!AP73)),IF(AND(ISNUMBER('Council Entry'!AP$8),ISNUMBER('Council Entry'!AP$9)),MAX(MIN('Council Entry'!AP73,'Council Entry'!AP$9),'Council Entry'!AP$8),'Council Entry'!AP73))))-'Council Entry'!AP$5)/('Council Entry'!AP$6-'Council Entry'!AP$5),10*((IF('Council Entry'!AP$4="Logarithm",LN(0.001+IF(AND(ISNUMBER('Council Entry'!AP$8),ISNUMBER('Council Entry'!AP$9)),MAX(MIN('Council Entry'!AP73,'Council Entry'!AP$9),'Council Entry'!AP$8),'Council Entry'!AP73)),IF('Council Entry'!AP$4="Exponential",EXP(IF(AND(ISNUMBER('Council Entry'!AP$8),ISNUMBER('Council Entry'!AP$9)),MAX(MIN('Council Entry'!AP73,'Council Entry'!AP$9),'Council Entry'!AP$8),'Council Entry'!AP73)),IF(AND(ISNUMBER('Council Entry'!AP$8),ISNUMBER('Council Entry'!AP$9)),MAX(MIN('Council Entry'!AP73,'Council Entry'!AP$9),'Council Entry'!AP$8),'Council Entry'!AP73))))-'Council Entry'!AP$5)/('Council Entry'!AP$6-'Council Entry'!AP$5)),1))),"No data"))</f>
        <v/>
      </c>
      <c r="AQ73" s="13">
        <f>IF('Council Entry'!AQ73="","",IFERROR(MAX(0,MIN(10,ROUND(IF('Council Entry'!AQ$7="Decrease Risk",10-10*((IF('Council Entry'!AQ$4="Logarithm",LN(0.001+IF(AND(ISNUMBER('Council Entry'!AQ$8),ISNUMBER('Council Entry'!AQ$9)),MAX(MIN('Council Entry'!AQ73,'Council Entry'!AQ$9),'Council Entry'!AQ$8),'Council Entry'!AQ73)),IF('Council Entry'!AQ$4="Exponential",EXP(IF(AND(ISNUMBER('Council Entry'!AQ$8),ISNUMBER('Council Entry'!AQ$9)),MAX(MIN('Council Entry'!AQ73,'Council Entry'!AQ$9),'Council Entry'!AQ$8),'Council Entry'!AQ73)),IF(AND(ISNUMBER('Council Entry'!AQ$8),ISNUMBER('Council Entry'!AQ$9)),MAX(MIN('Council Entry'!AQ73,'Council Entry'!AQ$9),'Council Entry'!AQ$8),'Council Entry'!AQ73))))-'Council Entry'!AQ$5)/('Council Entry'!AQ$6-'Council Entry'!AQ$5),10*((IF('Council Entry'!AQ$4="Logarithm",LN(0.001+IF(AND(ISNUMBER('Council Entry'!AQ$8),ISNUMBER('Council Entry'!AQ$9)),MAX(MIN('Council Entry'!AQ73,'Council Entry'!AQ$9),'Council Entry'!AQ$8),'Council Entry'!AQ73)),IF('Council Entry'!AQ$4="Exponential",EXP(IF(AND(ISNUMBER('Council Entry'!AQ$8),ISNUMBER('Council Entry'!AQ$9)),MAX(MIN('Council Entry'!AQ73,'Council Entry'!AQ$9),'Council Entry'!AQ$8),'Council Entry'!AQ73)),IF(AND(ISNUMBER('Council Entry'!AQ$8),ISNUMBER('Council Entry'!AQ$9)),MAX(MIN('Council Entry'!AQ73,'Council Entry'!AQ$9),'Council Entry'!AQ$8),'Council Entry'!AQ73))))-'Council Entry'!AQ$5)/('Council Entry'!AQ$6-'Council Entry'!AQ$5)),1))),"No data"))</f>
        <v/>
      </c>
      <c r="AR73" s="13">
        <f>IF('Council Entry'!AR73="","",IFERROR(MAX(0,MIN(10,ROUND(IF('Council Entry'!AR$7="Decrease Risk",10-10*((IF('Council Entry'!AR$4="Logarithm",LN(0.001+IF(AND(ISNUMBER('Council Entry'!AR$8),ISNUMBER('Council Entry'!AR$9)),MAX(MIN('Council Entry'!AR73,'Council Entry'!AR$9),'Council Entry'!AR$8),'Council Entry'!AR73)),IF('Council Entry'!AR$4="Exponential",EXP(IF(AND(ISNUMBER('Council Entry'!AR$8),ISNUMBER('Council Entry'!AR$9)),MAX(MIN('Council Entry'!AR73,'Council Entry'!AR$9),'Council Entry'!AR$8),'Council Entry'!AR73)),IF(AND(ISNUMBER('Council Entry'!AR$8),ISNUMBER('Council Entry'!AR$9)),MAX(MIN('Council Entry'!AR73,'Council Entry'!AR$9),'Council Entry'!AR$8),'Council Entry'!AR73))))-'Council Entry'!AR$5)/('Council Entry'!AR$6-'Council Entry'!AR$5),10*((IF('Council Entry'!AR$4="Logarithm",LN(0.001+IF(AND(ISNUMBER('Council Entry'!AR$8),ISNUMBER('Council Entry'!AR$9)),MAX(MIN('Council Entry'!AR73,'Council Entry'!AR$9),'Council Entry'!AR$8),'Council Entry'!AR73)),IF('Council Entry'!AR$4="Exponential",EXP(IF(AND(ISNUMBER('Council Entry'!AR$8),ISNUMBER('Council Entry'!AR$9)),MAX(MIN('Council Entry'!AR73,'Council Entry'!AR$9),'Council Entry'!AR$8),'Council Entry'!AR73)),IF(AND(ISNUMBER('Council Entry'!AR$8),ISNUMBER('Council Entry'!AR$9)),MAX(MIN('Council Entry'!AR73,'Council Entry'!AR$9),'Council Entry'!AR$8),'Council Entry'!AR73))))-'Council Entry'!AR$5)/('Council Entry'!AR$6-'Council Entry'!AR$5)),1))),"No data"))</f>
        <v/>
      </c>
      <c r="AS73" s="13">
        <f>IF('Council Entry'!AS73="","",IFERROR(MAX(0,MIN(10,ROUND(IF('Council Entry'!AS$7="Decrease Risk",10-10*((IF('Council Entry'!AS$4="Logarithm",LN(0.001+IF(AND(ISNUMBER('Council Entry'!AS$8),ISNUMBER('Council Entry'!AS$9)),MAX(MIN('Council Entry'!AS73,'Council Entry'!AS$9),'Council Entry'!AS$8),'Council Entry'!AS73)),IF('Council Entry'!AS$4="Exponential",EXP(IF(AND(ISNUMBER('Council Entry'!AS$8),ISNUMBER('Council Entry'!AS$9)),MAX(MIN('Council Entry'!AS73,'Council Entry'!AS$9),'Council Entry'!AS$8),'Council Entry'!AS73)),IF(AND(ISNUMBER('Council Entry'!AS$8),ISNUMBER('Council Entry'!AS$9)),MAX(MIN('Council Entry'!AS73,'Council Entry'!AS$9),'Council Entry'!AS$8),'Council Entry'!AS73))))-'Council Entry'!AS$5)/('Council Entry'!AS$6-'Council Entry'!AS$5),10*((IF('Council Entry'!AS$4="Logarithm",LN(0.001+IF(AND(ISNUMBER('Council Entry'!AS$8),ISNUMBER('Council Entry'!AS$9)),MAX(MIN('Council Entry'!AS73,'Council Entry'!AS$9),'Council Entry'!AS$8),'Council Entry'!AS73)),IF('Council Entry'!AS$4="Exponential",EXP(IF(AND(ISNUMBER('Council Entry'!AS$8),ISNUMBER('Council Entry'!AS$9)),MAX(MIN('Council Entry'!AS73,'Council Entry'!AS$9),'Council Entry'!AS$8),'Council Entry'!AS73)),IF(AND(ISNUMBER('Council Entry'!AS$8),ISNUMBER('Council Entry'!AS$9)),MAX(MIN('Council Entry'!AS73,'Council Entry'!AS$9),'Council Entry'!AS$8),'Council Entry'!AS73))))-'Council Entry'!AS$5)/('Council Entry'!AS$6-'Council Entry'!AS$5)),1))),"No data"))</f>
        <v/>
      </c>
      <c r="AT73" s="13">
        <f>IF('Council Entry'!AT73="","",IFERROR(MAX(0,MIN(10,ROUND(IF('Council Entry'!AT$7="Decrease Risk",10-10*((IF('Council Entry'!AT$4="Logarithm",LN(0.001+IF(AND(ISNUMBER('Council Entry'!AT$8),ISNUMBER('Council Entry'!AT$9)),MAX(MIN('Council Entry'!AT73,'Council Entry'!AT$9),'Council Entry'!AT$8),'Council Entry'!AT73)),IF('Council Entry'!AT$4="Exponential",EXP(IF(AND(ISNUMBER('Council Entry'!AT$8),ISNUMBER('Council Entry'!AT$9)),MAX(MIN('Council Entry'!AT73,'Council Entry'!AT$9),'Council Entry'!AT$8),'Council Entry'!AT73)),IF(AND(ISNUMBER('Council Entry'!AT$8),ISNUMBER('Council Entry'!AT$9)),MAX(MIN('Council Entry'!AT73,'Council Entry'!AT$9),'Council Entry'!AT$8),'Council Entry'!AT73))))-'Council Entry'!AT$5)/('Council Entry'!AT$6-'Council Entry'!AT$5),10*((IF('Council Entry'!AT$4="Logarithm",LN(0.001+IF(AND(ISNUMBER('Council Entry'!AT$8),ISNUMBER('Council Entry'!AT$9)),MAX(MIN('Council Entry'!AT73,'Council Entry'!AT$9),'Council Entry'!AT$8),'Council Entry'!AT73)),IF('Council Entry'!AT$4="Exponential",EXP(IF(AND(ISNUMBER('Council Entry'!AT$8),ISNUMBER('Council Entry'!AT$9)),MAX(MIN('Council Entry'!AT73,'Council Entry'!AT$9),'Council Entry'!AT$8),'Council Entry'!AT73)),IF(AND(ISNUMBER('Council Entry'!AT$8),ISNUMBER('Council Entry'!AT$9)),MAX(MIN('Council Entry'!AT73,'Council Entry'!AT$9),'Council Entry'!AT$8),'Council Entry'!AT73))))-'Council Entry'!AT$5)/('Council Entry'!AT$6-'Council Entry'!AT$5)),1))),"No data"))</f>
        <v/>
      </c>
      <c r="AU73" s="13">
        <f>IF('Council Entry'!AU73="","",IFERROR(MAX(0,MIN(10,ROUND(IF('Council Entry'!AU$7="Decrease Risk",10-10*((IF('Council Entry'!AU$4="Logarithm",LN(0.001+IF(AND(ISNUMBER('Council Entry'!AU$8),ISNUMBER('Council Entry'!AU$9)),MAX(MIN('Council Entry'!AU73,'Council Entry'!AU$9),'Council Entry'!AU$8),'Council Entry'!AU73)),IF('Council Entry'!AU$4="Exponential",EXP(IF(AND(ISNUMBER('Council Entry'!AU$8),ISNUMBER('Council Entry'!AU$9)),MAX(MIN('Council Entry'!AU73,'Council Entry'!AU$9),'Council Entry'!AU$8),'Council Entry'!AU73)),IF(AND(ISNUMBER('Council Entry'!AU$8),ISNUMBER('Council Entry'!AU$9)),MAX(MIN('Council Entry'!AU73,'Council Entry'!AU$9),'Council Entry'!AU$8),'Council Entry'!AU73))))-'Council Entry'!AU$5)/('Council Entry'!AU$6-'Council Entry'!AU$5),10*((IF('Council Entry'!AU$4="Logarithm",LN(0.001+IF(AND(ISNUMBER('Council Entry'!AU$8),ISNUMBER('Council Entry'!AU$9)),MAX(MIN('Council Entry'!AU73,'Council Entry'!AU$9),'Council Entry'!AU$8),'Council Entry'!AU73)),IF('Council Entry'!AU$4="Exponential",EXP(IF(AND(ISNUMBER('Council Entry'!AU$8),ISNUMBER('Council Entry'!AU$9)),MAX(MIN('Council Entry'!AU73,'Council Entry'!AU$9),'Council Entry'!AU$8),'Council Entry'!AU73)),IF(AND(ISNUMBER('Council Entry'!AU$8),ISNUMBER('Council Entry'!AU$9)),MAX(MIN('Council Entry'!AU73,'Council Entry'!AU$9),'Council Entry'!AU$8),'Council Entry'!AU73))))-'Council Entry'!AU$5)/('Council Entry'!AU$6-'Council Entry'!AU$5)),1))),"No data"))</f>
        <v/>
      </c>
      <c r="AV73" s="13">
        <f>IF('Council Entry'!AV73="","",IFERROR(MAX(0,MIN(10,ROUND(IF('Council Entry'!AV$7="Decrease Risk",10-10*((IF('Council Entry'!AV$4="Logarithm",LN(0.001+IF(AND(ISNUMBER('Council Entry'!AV$8),ISNUMBER('Council Entry'!AV$9)),MAX(MIN('Council Entry'!AV73,'Council Entry'!AV$9),'Council Entry'!AV$8),'Council Entry'!AV73)),IF('Council Entry'!AV$4="Exponential",EXP(IF(AND(ISNUMBER('Council Entry'!AV$8),ISNUMBER('Council Entry'!AV$9)),MAX(MIN('Council Entry'!AV73,'Council Entry'!AV$9),'Council Entry'!AV$8),'Council Entry'!AV73)),IF(AND(ISNUMBER('Council Entry'!AV$8),ISNUMBER('Council Entry'!AV$9)),MAX(MIN('Council Entry'!AV73,'Council Entry'!AV$9),'Council Entry'!AV$8),'Council Entry'!AV73))))-'Council Entry'!AV$5)/('Council Entry'!AV$6-'Council Entry'!AV$5),10*((IF('Council Entry'!AV$4="Logarithm",LN(0.001+IF(AND(ISNUMBER('Council Entry'!AV$8),ISNUMBER('Council Entry'!AV$9)),MAX(MIN('Council Entry'!AV73,'Council Entry'!AV$9),'Council Entry'!AV$8),'Council Entry'!AV73)),IF('Council Entry'!AV$4="Exponential",EXP(IF(AND(ISNUMBER('Council Entry'!AV$8),ISNUMBER('Council Entry'!AV$9)),MAX(MIN('Council Entry'!AV73,'Council Entry'!AV$9),'Council Entry'!AV$8),'Council Entry'!AV73)),IF(AND(ISNUMBER('Council Entry'!AV$8),ISNUMBER('Council Entry'!AV$9)),MAX(MIN('Council Entry'!AV73,'Council Entry'!AV$9),'Council Entry'!AV$8),'Council Entry'!AV73))))-'Council Entry'!AV$5)/('Council Entry'!AV$6-'Council Entry'!AV$5)),1))),"No data"))</f>
        <v/>
      </c>
      <c r="AW73" s="13">
        <f>IF('Council Entry'!AW73="","",IFERROR(MAX(0,MIN(10,ROUND(IF('Council Entry'!AW$7="Decrease Risk",10-10*((IF('Council Entry'!AW$4="Logarithm",LN(0.001+IF(AND(ISNUMBER('Council Entry'!AW$8),ISNUMBER('Council Entry'!AW$9)),MAX(MIN('Council Entry'!AW73,'Council Entry'!AW$9),'Council Entry'!AW$8),'Council Entry'!AW73)),IF('Council Entry'!AW$4="Exponential",EXP(IF(AND(ISNUMBER('Council Entry'!AW$8),ISNUMBER('Council Entry'!AW$9)),MAX(MIN('Council Entry'!AW73,'Council Entry'!AW$9),'Council Entry'!AW$8),'Council Entry'!AW73)),IF(AND(ISNUMBER('Council Entry'!AW$8),ISNUMBER('Council Entry'!AW$9)),MAX(MIN('Council Entry'!AW73,'Council Entry'!AW$9),'Council Entry'!AW$8),'Council Entry'!AW73))))-'Council Entry'!AW$5)/('Council Entry'!AW$6-'Council Entry'!AW$5),10*((IF('Council Entry'!AW$4="Logarithm",LN(0.001+IF(AND(ISNUMBER('Council Entry'!AW$8),ISNUMBER('Council Entry'!AW$9)),MAX(MIN('Council Entry'!AW73,'Council Entry'!AW$9),'Council Entry'!AW$8),'Council Entry'!AW73)),IF('Council Entry'!AW$4="Exponential",EXP(IF(AND(ISNUMBER('Council Entry'!AW$8),ISNUMBER('Council Entry'!AW$9)),MAX(MIN('Council Entry'!AW73,'Council Entry'!AW$9),'Council Entry'!AW$8),'Council Entry'!AW73)),IF(AND(ISNUMBER('Council Entry'!AW$8),ISNUMBER('Council Entry'!AW$9)),MAX(MIN('Council Entry'!AW73,'Council Entry'!AW$9),'Council Entry'!AW$8),'Council Entry'!AW73))))-'Council Entry'!AW$5)/('Council Entry'!AW$6-'Council Entry'!AW$5)),1))),"No data"))</f>
        <v/>
      </c>
      <c r="AX73" s="13">
        <f>IF('Council Entry'!AX73="","",IFERROR(MAX(0,MIN(10,ROUND(IF('Council Entry'!AX$7="Decrease Risk",10-10*((IF('Council Entry'!AX$4="Logarithm",LN(0.001+IF(AND(ISNUMBER('Council Entry'!AX$8),ISNUMBER('Council Entry'!AX$9)),MAX(MIN('Council Entry'!AX73,'Council Entry'!AX$9),'Council Entry'!AX$8),'Council Entry'!AX73)),IF('Council Entry'!AX$4="Exponential",EXP(IF(AND(ISNUMBER('Council Entry'!AX$8),ISNUMBER('Council Entry'!AX$9)),MAX(MIN('Council Entry'!AX73,'Council Entry'!AX$9),'Council Entry'!AX$8),'Council Entry'!AX73)),IF(AND(ISNUMBER('Council Entry'!AX$8),ISNUMBER('Council Entry'!AX$9)),MAX(MIN('Council Entry'!AX73,'Council Entry'!AX$9),'Council Entry'!AX$8),'Council Entry'!AX73))))-'Council Entry'!AX$5)/('Council Entry'!AX$6-'Council Entry'!AX$5),10*((IF('Council Entry'!AX$4="Logarithm",LN(0.001+IF(AND(ISNUMBER('Council Entry'!AX$8),ISNUMBER('Council Entry'!AX$9)),MAX(MIN('Council Entry'!AX73,'Council Entry'!AX$9),'Council Entry'!AX$8),'Council Entry'!AX73)),IF('Council Entry'!AX$4="Exponential",EXP(IF(AND(ISNUMBER('Council Entry'!AX$8),ISNUMBER('Council Entry'!AX$9)),MAX(MIN('Council Entry'!AX73,'Council Entry'!AX$9),'Council Entry'!AX$8),'Council Entry'!AX73)),IF(AND(ISNUMBER('Council Entry'!AX$8),ISNUMBER('Council Entry'!AX$9)),MAX(MIN('Council Entry'!AX73,'Council Entry'!AX$9),'Council Entry'!AX$8),'Council Entry'!AX73))))-'Council Entry'!AX$5)/('Council Entry'!AX$6-'Council Entry'!AX$5)),1))),"No data"))</f>
        <v/>
      </c>
      <c r="AY73" s="13">
        <f>IF('Council Entry'!AY73="","",IFERROR(MAX(0,MIN(10,ROUND(IF('Council Entry'!AY$7="Decrease Risk",10-10*((IF('Council Entry'!AY$4="Logarithm",LN(0.001+IF(AND(ISNUMBER('Council Entry'!AY$8),ISNUMBER('Council Entry'!AY$9)),MAX(MIN('Council Entry'!AY73,'Council Entry'!AY$9),'Council Entry'!AY$8),'Council Entry'!AY73)),IF('Council Entry'!AY$4="Exponential",EXP(IF(AND(ISNUMBER('Council Entry'!AY$8),ISNUMBER('Council Entry'!AY$9)),MAX(MIN('Council Entry'!AY73,'Council Entry'!AY$9),'Council Entry'!AY$8),'Council Entry'!AY73)),IF(AND(ISNUMBER('Council Entry'!AY$8),ISNUMBER('Council Entry'!AY$9)),MAX(MIN('Council Entry'!AY73,'Council Entry'!AY$9),'Council Entry'!AY$8),'Council Entry'!AY73))))-'Council Entry'!AY$5)/('Council Entry'!AY$6-'Council Entry'!AY$5),10*((IF('Council Entry'!AY$4="Logarithm",LN(0.001+IF(AND(ISNUMBER('Council Entry'!AY$8),ISNUMBER('Council Entry'!AY$9)),MAX(MIN('Council Entry'!AY73,'Council Entry'!AY$9),'Council Entry'!AY$8),'Council Entry'!AY73)),IF('Council Entry'!AY$4="Exponential",EXP(IF(AND(ISNUMBER('Council Entry'!AY$8),ISNUMBER('Council Entry'!AY$9)),MAX(MIN('Council Entry'!AY73,'Council Entry'!AY$9),'Council Entry'!AY$8),'Council Entry'!AY73)),IF(AND(ISNUMBER('Council Entry'!AY$8),ISNUMBER('Council Entry'!AY$9)),MAX(MIN('Council Entry'!AY73,'Council Entry'!AY$9),'Council Entry'!AY$8),'Council Entry'!AY73))))-'Council Entry'!AY$5)/('Council Entry'!AY$6-'Council Entry'!AY$5)),1))),"No data"))</f>
        <v/>
      </c>
      <c r="AZ73" s="13">
        <f>IF('Council Entry'!AZ73="","",IFERROR(MAX(0,MIN(10,ROUND(IF('Council Entry'!AZ$7="Decrease Risk",10-10*((IF('Council Entry'!AZ$4="Logarithm",LN(0.001+IF(AND(ISNUMBER('Council Entry'!AZ$8),ISNUMBER('Council Entry'!AZ$9)),MAX(MIN('Council Entry'!AZ73,'Council Entry'!AZ$9),'Council Entry'!AZ$8),'Council Entry'!AZ73)),IF('Council Entry'!AZ$4="Exponential",EXP(IF(AND(ISNUMBER('Council Entry'!AZ$8),ISNUMBER('Council Entry'!AZ$9)),MAX(MIN('Council Entry'!AZ73,'Council Entry'!AZ$9),'Council Entry'!AZ$8),'Council Entry'!AZ73)),IF(AND(ISNUMBER('Council Entry'!AZ$8),ISNUMBER('Council Entry'!AZ$9)),MAX(MIN('Council Entry'!AZ73,'Council Entry'!AZ$9),'Council Entry'!AZ$8),'Council Entry'!AZ73))))-'Council Entry'!AZ$5)/('Council Entry'!AZ$6-'Council Entry'!AZ$5),10*((IF('Council Entry'!AZ$4="Logarithm",LN(0.001+IF(AND(ISNUMBER('Council Entry'!AZ$8),ISNUMBER('Council Entry'!AZ$9)),MAX(MIN('Council Entry'!AZ73,'Council Entry'!AZ$9),'Council Entry'!AZ$8),'Council Entry'!AZ73)),IF('Council Entry'!AZ$4="Exponential",EXP(IF(AND(ISNUMBER('Council Entry'!AZ$8),ISNUMBER('Council Entry'!AZ$9)),MAX(MIN('Council Entry'!AZ73,'Council Entry'!AZ$9),'Council Entry'!AZ$8),'Council Entry'!AZ73)),IF(AND(ISNUMBER('Council Entry'!AZ$8),ISNUMBER('Council Entry'!AZ$9)),MAX(MIN('Council Entry'!AZ73,'Council Entry'!AZ$9),'Council Entry'!AZ$8),'Council Entry'!AZ73))))-'Council Entry'!AZ$5)/('Council Entry'!AZ$6-'Council Entry'!AZ$5)),1))),"No data"))</f>
        <v/>
      </c>
      <c r="BA73" s="13">
        <f>IF('Council Entry'!BA73="","",IFERROR(MAX(0,MIN(10,ROUND(IF('Council Entry'!BA$7="Decrease Risk",10-10*((IF('Council Entry'!BA$4="Logarithm",LN(0.001+IF(AND(ISNUMBER('Council Entry'!BA$8),ISNUMBER('Council Entry'!BA$9)),MAX(MIN('Council Entry'!BA73,'Council Entry'!BA$9),'Council Entry'!BA$8),'Council Entry'!BA73)),IF('Council Entry'!BA$4="Exponential",EXP(IF(AND(ISNUMBER('Council Entry'!BA$8),ISNUMBER('Council Entry'!BA$9)),MAX(MIN('Council Entry'!BA73,'Council Entry'!BA$9),'Council Entry'!BA$8),'Council Entry'!BA73)),IF(AND(ISNUMBER('Council Entry'!BA$8),ISNUMBER('Council Entry'!BA$9)),MAX(MIN('Council Entry'!BA73,'Council Entry'!BA$9),'Council Entry'!BA$8),'Council Entry'!BA73))))-'Council Entry'!BA$5)/('Council Entry'!BA$6-'Council Entry'!BA$5),10*((IF('Council Entry'!BA$4="Logarithm",LN(0.001+IF(AND(ISNUMBER('Council Entry'!BA$8),ISNUMBER('Council Entry'!BA$9)),MAX(MIN('Council Entry'!BA73,'Council Entry'!BA$9),'Council Entry'!BA$8),'Council Entry'!BA73)),IF('Council Entry'!BA$4="Exponential",EXP(IF(AND(ISNUMBER('Council Entry'!BA$8),ISNUMBER('Council Entry'!BA$9)),MAX(MIN('Council Entry'!BA73,'Council Entry'!BA$9),'Council Entry'!BA$8),'Council Entry'!BA73)),IF(AND(ISNUMBER('Council Entry'!BA$8),ISNUMBER('Council Entry'!BA$9)),MAX(MIN('Council Entry'!BA73,'Council Entry'!BA$9),'Council Entry'!BA$8),'Council Entry'!BA73))))-'Council Entry'!BA$5)/('Council Entry'!BA$6-'Council Entry'!BA$5)),1))),"No data"))</f>
        <v/>
      </c>
      <c r="BB73" s="13">
        <f>IF('Council Entry'!BB73="","",IFERROR(MAX(0,MIN(10,ROUND(IF('Council Entry'!BB$7="Decrease Risk",10-10*((IF('Council Entry'!BB$4="Logarithm",LN(0.001+IF(AND(ISNUMBER('Council Entry'!BB$8),ISNUMBER('Council Entry'!BB$9)),MAX(MIN('Council Entry'!BB73,'Council Entry'!BB$9),'Council Entry'!BB$8),'Council Entry'!BB73)),IF('Council Entry'!BB$4="Exponential",EXP(IF(AND(ISNUMBER('Council Entry'!BB$8),ISNUMBER('Council Entry'!BB$9)),MAX(MIN('Council Entry'!BB73,'Council Entry'!BB$9),'Council Entry'!BB$8),'Council Entry'!BB73)),IF(AND(ISNUMBER('Council Entry'!BB$8),ISNUMBER('Council Entry'!BB$9)),MAX(MIN('Council Entry'!BB73,'Council Entry'!BB$9),'Council Entry'!BB$8),'Council Entry'!BB73))))-'Council Entry'!BB$5)/('Council Entry'!BB$6-'Council Entry'!BB$5),10*((IF('Council Entry'!BB$4="Logarithm",LN(0.001+IF(AND(ISNUMBER('Council Entry'!BB$8),ISNUMBER('Council Entry'!BB$9)),MAX(MIN('Council Entry'!BB73,'Council Entry'!BB$9),'Council Entry'!BB$8),'Council Entry'!BB73)),IF('Council Entry'!BB$4="Exponential",EXP(IF(AND(ISNUMBER('Council Entry'!BB$8),ISNUMBER('Council Entry'!BB$9)),MAX(MIN('Council Entry'!BB73,'Council Entry'!BB$9),'Council Entry'!BB$8),'Council Entry'!BB73)),IF(AND(ISNUMBER('Council Entry'!BB$8),ISNUMBER('Council Entry'!BB$9)),MAX(MIN('Council Entry'!BB73,'Council Entry'!BB$9),'Council Entry'!BB$8),'Council Entry'!BB73))))-'Council Entry'!BB$5)/('Council Entry'!BB$6-'Council Entry'!BB$5)),1))),"No data"))</f>
        <v/>
      </c>
      <c r="BC73" s="13">
        <f>IF('Council Entry'!BC73="","",IFERROR(MAX(0,MIN(10,ROUND(IF('Council Entry'!BC$7="Decrease Risk",10-10*((IF('Council Entry'!BC$4="Logarithm",LN(0.001+IF(AND(ISNUMBER('Council Entry'!BC$8),ISNUMBER('Council Entry'!BC$9)),MAX(MIN('Council Entry'!BC73,'Council Entry'!BC$9),'Council Entry'!BC$8),'Council Entry'!BC73)),IF('Council Entry'!BC$4="Exponential",EXP(IF(AND(ISNUMBER('Council Entry'!BC$8),ISNUMBER('Council Entry'!BC$9)),MAX(MIN('Council Entry'!BC73,'Council Entry'!BC$9),'Council Entry'!BC$8),'Council Entry'!BC73)),IF(AND(ISNUMBER('Council Entry'!BC$8),ISNUMBER('Council Entry'!BC$9)),MAX(MIN('Council Entry'!BC73,'Council Entry'!BC$9),'Council Entry'!BC$8),'Council Entry'!BC73))))-'Council Entry'!BC$5)/('Council Entry'!BC$6-'Council Entry'!BC$5),10*((IF('Council Entry'!BC$4="Logarithm",LN(0.001+IF(AND(ISNUMBER('Council Entry'!BC$8),ISNUMBER('Council Entry'!BC$9)),MAX(MIN('Council Entry'!BC73,'Council Entry'!BC$9),'Council Entry'!BC$8),'Council Entry'!BC73)),IF('Council Entry'!BC$4="Exponential",EXP(IF(AND(ISNUMBER('Council Entry'!BC$8),ISNUMBER('Council Entry'!BC$9)),MAX(MIN('Council Entry'!BC73,'Council Entry'!BC$9),'Council Entry'!BC$8),'Council Entry'!BC73)),IF(AND(ISNUMBER('Council Entry'!BC$8),ISNUMBER('Council Entry'!BC$9)),MAX(MIN('Council Entry'!BC73,'Council Entry'!BC$9),'Council Entry'!BC$8),'Council Entry'!BC73))))-'Council Entry'!BC$5)/('Council Entry'!BC$6-'Council Entry'!BC$5)),1))),"No data"))</f>
        <v/>
      </c>
      <c r="BD73" s="13">
        <f>IF('Council Entry'!BD73="","",IFERROR(MAX(0,MIN(10,ROUND(IF('Council Entry'!BD$7="Decrease Risk",10-10*((IF('Council Entry'!BD$4="Logarithm",LN(0.001+IF(AND(ISNUMBER('Council Entry'!BD$8),ISNUMBER('Council Entry'!BD$9)),MAX(MIN('Council Entry'!BD73,'Council Entry'!BD$9),'Council Entry'!BD$8),'Council Entry'!BD73)),IF('Council Entry'!BD$4="Exponential",EXP(IF(AND(ISNUMBER('Council Entry'!BD$8),ISNUMBER('Council Entry'!BD$9)),MAX(MIN('Council Entry'!BD73,'Council Entry'!BD$9),'Council Entry'!BD$8),'Council Entry'!BD73)),IF(AND(ISNUMBER('Council Entry'!BD$8),ISNUMBER('Council Entry'!BD$9)),MAX(MIN('Council Entry'!BD73,'Council Entry'!BD$9),'Council Entry'!BD$8),'Council Entry'!BD73))))-'Council Entry'!BD$5)/('Council Entry'!BD$6-'Council Entry'!BD$5),10*((IF('Council Entry'!BD$4="Logarithm",LN(0.001+IF(AND(ISNUMBER('Council Entry'!BD$8),ISNUMBER('Council Entry'!BD$9)),MAX(MIN('Council Entry'!BD73,'Council Entry'!BD$9),'Council Entry'!BD$8),'Council Entry'!BD73)),IF('Council Entry'!BD$4="Exponential",EXP(IF(AND(ISNUMBER('Council Entry'!BD$8),ISNUMBER('Council Entry'!BD$9)),MAX(MIN('Council Entry'!BD73,'Council Entry'!BD$9),'Council Entry'!BD$8),'Council Entry'!BD73)),IF(AND(ISNUMBER('Council Entry'!BD$8),ISNUMBER('Council Entry'!BD$9)),MAX(MIN('Council Entry'!BD73,'Council Entry'!BD$9),'Council Entry'!BD$8),'Council Entry'!BD73))))-'Council Entry'!BD$5)/('Council Entry'!BD$6-'Council Entry'!BD$5)),1))),"No data"))</f>
        <v/>
      </c>
    </row>
    <row r="74">
      <c r="A74" t="inlineStr">
        <is>
          <t>Kusini Pemba</t>
        </is>
      </c>
      <c r="B74" t="inlineStr">
        <is>
          <t>Chake Chake Town</t>
        </is>
      </c>
      <c r="C74" t="inlineStr">
        <is>
          <t>C194</t>
        </is>
      </c>
      <c r="D74" s="13">
        <f>IF('Council Entry'!D74="","",IFERROR(MAX(0,MIN(10,ROUND(IF('Council Entry'!D$7="Decrease Risk",10-10*((IF('Council Entry'!D$4="Logarithm",LN(0.001+IF(AND(ISNUMBER('Council Entry'!D$8),ISNUMBER('Council Entry'!D$9)),MAX(MIN('Council Entry'!D74,'Council Entry'!D$9),'Council Entry'!D$8),'Council Entry'!D74)),IF('Council Entry'!D$4="Exponential",EXP(IF(AND(ISNUMBER('Council Entry'!D$8),ISNUMBER('Council Entry'!D$9)),MAX(MIN('Council Entry'!D74,'Council Entry'!D$9),'Council Entry'!D$8),'Council Entry'!D74)),IF(AND(ISNUMBER('Council Entry'!D$8),ISNUMBER('Council Entry'!D$9)),MAX(MIN('Council Entry'!D74,'Council Entry'!D$9),'Council Entry'!D$8),'Council Entry'!D74))))-'Council Entry'!D$5)/('Council Entry'!D$6-'Council Entry'!D$5),10*((IF('Council Entry'!D$4="Logarithm",LN(0.001+IF(AND(ISNUMBER('Council Entry'!D$8),ISNUMBER('Council Entry'!D$9)),MAX(MIN('Council Entry'!D74,'Council Entry'!D$9),'Council Entry'!D$8),'Council Entry'!D74)),IF('Council Entry'!D$4="Exponential",EXP(IF(AND(ISNUMBER('Council Entry'!D$8),ISNUMBER('Council Entry'!D$9)),MAX(MIN('Council Entry'!D74,'Council Entry'!D$9),'Council Entry'!D$8),'Council Entry'!D74)),IF(AND(ISNUMBER('Council Entry'!D$8),ISNUMBER('Council Entry'!D$9)),MAX(MIN('Council Entry'!D74,'Council Entry'!D$9),'Council Entry'!D$8),'Council Entry'!D74))))-'Council Entry'!D$5)/('Council Entry'!D$6-'Council Entry'!D$5)),1))),"No data"))</f>
        <v/>
      </c>
      <c r="E74" s="13">
        <f>IF('Council Entry'!E74="","",IFERROR(MAX(0,MIN(10,ROUND(IF('Council Entry'!E$7="Decrease Risk",10-10*((IF('Council Entry'!E$4="Logarithm",LN(0.001+IF(AND(ISNUMBER('Council Entry'!E$8),ISNUMBER('Council Entry'!E$9)),MAX(MIN('Council Entry'!E74,'Council Entry'!E$9),'Council Entry'!E$8),'Council Entry'!E74)),IF('Council Entry'!E$4="Exponential",EXP(IF(AND(ISNUMBER('Council Entry'!E$8),ISNUMBER('Council Entry'!E$9)),MAX(MIN('Council Entry'!E74,'Council Entry'!E$9),'Council Entry'!E$8),'Council Entry'!E74)),IF(AND(ISNUMBER('Council Entry'!E$8),ISNUMBER('Council Entry'!E$9)),MAX(MIN('Council Entry'!E74,'Council Entry'!E$9),'Council Entry'!E$8),'Council Entry'!E74))))-'Council Entry'!E$5)/('Council Entry'!E$6-'Council Entry'!E$5),10*((IF('Council Entry'!E$4="Logarithm",LN(0.001+IF(AND(ISNUMBER('Council Entry'!E$8),ISNUMBER('Council Entry'!E$9)),MAX(MIN('Council Entry'!E74,'Council Entry'!E$9),'Council Entry'!E$8),'Council Entry'!E74)),IF('Council Entry'!E$4="Exponential",EXP(IF(AND(ISNUMBER('Council Entry'!E$8),ISNUMBER('Council Entry'!E$9)),MAX(MIN('Council Entry'!E74,'Council Entry'!E$9),'Council Entry'!E$8),'Council Entry'!E74)),IF(AND(ISNUMBER('Council Entry'!E$8),ISNUMBER('Council Entry'!E$9)),MAX(MIN('Council Entry'!E74,'Council Entry'!E$9),'Council Entry'!E$8),'Council Entry'!E74))))-'Council Entry'!E$5)/('Council Entry'!E$6-'Council Entry'!E$5)),1))),"No data"))</f>
        <v/>
      </c>
      <c r="F74" s="13">
        <f>IF('Council Entry'!F74="","",IFERROR(MAX(0,MIN(10,ROUND(IF('Council Entry'!F$7="Decrease Risk",10-10*((IF('Council Entry'!F$4="Logarithm",LN(0.001+IF(AND(ISNUMBER('Council Entry'!F$8),ISNUMBER('Council Entry'!F$9)),MAX(MIN('Council Entry'!F74,'Council Entry'!F$9),'Council Entry'!F$8),'Council Entry'!F74)),IF('Council Entry'!F$4="Exponential",EXP(IF(AND(ISNUMBER('Council Entry'!F$8),ISNUMBER('Council Entry'!F$9)),MAX(MIN('Council Entry'!F74,'Council Entry'!F$9),'Council Entry'!F$8),'Council Entry'!F74)),IF(AND(ISNUMBER('Council Entry'!F$8),ISNUMBER('Council Entry'!F$9)),MAX(MIN('Council Entry'!F74,'Council Entry'!F$9),'Council Entry'!F$8),'Council Entry'!F74))))-'Council Entry'!F$5)/('Council Entry'!F$6-'Council Entry'!F$5),10*((IF('Council Entry'!F$4="Logarithm",LN(0.001+IF(AND(ISNUMBER('Council Entry'!F$8),ISNUMBER('Council Entry'!F$9)),MAX(MIN('Council Entry'!F74,'Council Entry'!F$9),'Council Entry'!F$8),'Council Entry'!F74)),IF('Council Entry'!F$4="Exponential",EXP(IF(AND(ISNUMBER('Council Entry'!F$8),ISNUMBER('Council Entry'!F$9)),MAX(MIN('Council Entry'!F74,'Council Entry'!F$9),'Council Entry'!F$8),'Council Entry'!F74)),IF(AND(ISNUMBER('Council Entry'!F$8),ISNUMBER('Council Entry'!F$9)),MAX(MIN('Council Entry'!F74,'Council Entry'!F$9),'Council Entry'!F$8),'Council Entry'!F74))))-'Council Entry'!F$5)/('Council Entry'!F$6-'Council Entry'!F$5)),1))),"No data"))</f>
        <v/>
      </c>
      <c r="G74" s="13">
        <f>IF('Council Entry'!G74="","",IFERROR(MAX(0,MIN(10,ROUND(IF('Council Entry'!G$7="Decrease Risk",10-10*((IF('Council Entry'!G$4="Logarithm",LN(0.001+IF(AND(ISNUMBER('Council Entry'!G$8),ISNUMBER('Council Entry'!G$9)),MAX(MIN('Council Entry'!G74,'Council Entry'!G$9),'Council Entry'!G$8),'Council Entry'!G74)),IF('Council Entry'!G$4="Exponential",EXP(IF(AND(ISNUMBER('Council Entry'!G$8),ISNUMBER('Council Entry'!G$9)),MAX(MIN('Council Entry'!G74,'Council Entry'!G$9),'Council Entry'!G$8),'Council Entry'!G74)),IF(AND(ISNUMBER('Council Entry'!G$8),ISNUMBER('Council Entry'!G$9)),MAX(MIN('Council Entry'!G74,'Council Entry'!G$9),'Council Entry'!G$8),'Council Entry'!G74))))-'Council Entry'!G$5)/('Council Entry'!G$6-'Council Entry'!G$5),10*((IF('Council Entry'!G$4="Logarithm",LN(0.001+IF(AND(ISNUMBER('Council Entry'!G$8),ISNUMBER('Council Entry'!G$9)),MAX(MIN('Council Entry'!G74,'Council Entry'!G$9),'Council Entry'!G$8),'Council Entry'!G74)),IF('Council Entry'!G$4="Exponential",EXP(IF(AND(ISNUMBER('Council Entry'!G$8),ISNUMBER('Council Entry'!G$9)),MAX(MIN('Council Entry'!G74,'Council Entry'!G$9),'Council Entry'!G$8),'Council Entry'!G74)),IF(AND(ISNUMBER('Council Entry'!G$8),ISNUMBER('Council Entry'!G$9)),MAX(MIN('Council Entry'!G74,'Council Entry'!G$9),'Council Entry'!G$8),'Council Entry'!G74))))-'Council Entry'!G$5)/('Council Entry'!G$6-'Council Entry'!G$5)),1))),"No data"))</f>
        <v/>
      </c>
      <c r="H74" s="13">
        <f>IF('Council Entry'!H74="","",IFERROR(MAX(0,MIN(10,ROUND(IF('Council Entry'!H$7="Decrease Risk",10-10*((IF('Council Entry'!H$4="Logarithm",LN(0.001+IF(AND(ISNUMBER('Council Entry'!H$8),ISNUMBER('Council Entry'!H$9)),MAX(MIN('Council Entry'!H74,'Council Entry'!H$9),'Council Entry'!H$8),'Council Entry'!H74)),IF('Council Entry'!H$4="Exponential",EXP(IF(AND(ISNUMBER('Council Entry'!H$8),ISNUMBER('Council Entry'!H$9)),MAX(MIN('Council Entry'!H74,'Council Entry'!H$9),'Council Entry'!H$8),'Council Entry'!H74)),IF(AND(ISNUMBER('Council Entry'!H$8),ISNUMBER('Council Entry'!H$9)),MAX(MIN('Council Entry'!H74,'Council Entry'!H$9),'Council Entry'!H$8),'Council Entry'!H74))))-'Council Entry'!H$5)/('Council Entry'!H$6-'Council Entry'!H$5),10*((IF('Council Entry'!H$4="Logarithm",LN(0.001+IF(AND(ISNUMBER('Council Entry'!H$8),ISNUMBER('Council Entry'!H$9)),MAX(MIN('Council Entry'!H74,'Council Entry'!H$9),'Council Entry'!H$8),'Council Entry'!H74)),IF('Council Entry'!H$4="Exponential",EXP(IF(AND(ISNUMBER('Council Entry'!H$8),ISNUMBER('Council Entry'!H$9)),MAX(MIN('Council Entry'!H74,'Council Entry'!H$9),'Council Entry'!H$8),'Council Entry'!H74)),IF(AND(ISNUMBER('Council Entry'!H$8),ISNUMBER('Council Entry'!H$9)),MAX(MIN('Council Entry'!H74,'Council Entry'!H$9),'Council Entry'!H$8),'Council Entry'!H74))))-'Council Entry'!H$5)/('Council Entry'!H$6-'Council Entry'!H$5)),1))),"No data"))</f>
        <v/>
      </c>
      <c r="I74" s="13">
        <f>IF('Council Entry'!I74="","",IFERROR(MAX(0,MIN(10,ROUND(IF('Council Entry'!I$7="Decrease Risk",10-10*((IF('Council Entry'!I$4="Logarithm",LN(0.001+IF(AND(ISNUMBER('Council Entry'!I$8),ISNUMBER('Council Entry'!I$9)),MAX(MIN('Council Entry'!I74,'Council Entry'!I$9),'Council Entry'!I$8),'Council Entry'!I74)),IF('Council Entry'!I$4="Exponential",EXP(IF(AND(ISNUMBER('Council Entry'!I$8),ISNUMBER('Council Entry'!I$9)),MAX(MIN('Council Entry'!I74,'Council Entry'!I$9),'Council Entry'!I$8),'Council Entry'!I74)),IF(AND(ISNUMBER('Council Entry'!I$8),ISNUMBER('Council Entry'!I$9)),MAX(MIN('Council Entry'!I74,'Council Entry'!I$9),'Council Entry'!I$8),'Council Entry'!I74))))-'Council Entry'!I$5)/('Council Entry'!I$6-'Council Entry'!I$5),10*((IF('Council Entry'!I$4="Logarithm",LN(0.001+IF(AND(ISNUMBER('Council Entry'!I$8),ISNUMBER('Council Entry'!I$9)),MAX(MIN('Council Entry'!I74,'Council Entry'!I$9),'Council Entry'!I$8),'Council Entry'!I74)),IF('Council Entry'!I$4="Exponential",EXP(IF(AND(ISNUMBER('Council Entry'!I$8),ISNUMBER('Council Entry'!I$9)),MAX(MIN('Council Entry'!I74,'Council Entry'!I$9),'Council Entry'!I$8),'Council Entry'!I74)),IF(AND(ISNUMBER('Council Entry'!I$8),ISNUMBER('Council Entry'!I$9)),MAX(MIN('Council Entry'!I74,'Council Entry'!I$9),'Council Entry'!I$8),'Council Entry'!I74))))-'Council Entry'!I$5)/('Council Entry'!I$6-'Council Entry'!I$5)),1))),"No data"))</f>
        <v/>
      </c>
      <c r="J74" s="13">
        <f>IF('Council Entry'!J74="","",IFERROR(MAX(0,MIN(10,ROUND(IF('Council Entry'!J$7="Decrease Risk",10-10*((IF('Council Entry'!J$4="Logarithm",LN(0.001+IF(AND(ISNUMBER('Council Entry'!J$8),ISNUMBER('Council Entry'!J$9)),MAX(MIN('Council Entry'!J74,'Council Entry'!J$9),'Council Entry'!J$8),'Council Entry'!J74)),IF('Council Entry'!J$4="Exponential",EXP(IF(AND(ISNUMBER('Council Entry'!J$8),ISNUMBER('Council Entry'!J$9)),MAX(MIN('Council Entry'!J74,'Council Entry'!J$9),'Council Entry'!J$8),'Council Entry'!J74)),IF(AND(ISNUMBER('Council Entry'!J$8),ISNUMBER('Council Entry'!J$9)),MAX(MIN('Council Entry'!J74,'Council Entry'!J$9),'Council Entry'!J$8),'Council Entry'!J74))))-'Council Entry'!J$5)/('Council Entry'!J$6-'Council Entry'!J$5),10*((IF('Council Entry'!J$4="Logarithm",LN(0.001+IF(AND(ISNUMBER('Council Entry'!J$8),ISNUMBER('Council Entry'!J$9)),MAX(MIN('Council Entry'!J74,'Council Entry'!J$9),'Council Entry'!J$8),'Council Entry'!J74)),IF('Council Entry'!J$4="Exponential",EXP(IF(AND(ISNUMBER('Council Entry'!J$8),ISNUMBER('Council Entry'!J$9)),MAX(MIN('Council Entry'!J74,'Council Entry'!J$9),'Council Entry'!J$8),'Council Entry'!J74)),IF(AND(ISNUMBER('Council Entry'!J$8),ISNUMBER('Council Entry'!J$9)),MAX(MIN('Council Entry'!J74,'Council Entry'!J$9),'Council Entry'!J$8),'Council Entry'!J74))))-'Council Entry'!J$5)/('Council Entry'!J$6-'Council Entry'!J$5)),1))),"No data"))</f>
        <v/>
      </c>
      <c r="K74" s="13">
        <f>IF('Council Entry'!K74="","",IFERROR(MAX(0,MIN(10,ROUND(IF('Council Entry'!K$7="Decrease Risk",10-10*((IF('Council Entry'!K$4="Logarithm",LN(0.001+IF(AND(ISNUMBER('Council Entry'!K$8),ISNUMBER('Council Entry'!K$9)),MAX(MIN('Council Entry'!K74,'Council Entry'!K$9),'Council Entry'!K$8),'Council Entry'!K74)),IF('Council Entry'!K$4="Exponential",EXP(IF(AND(ISNUMBER('Council Entry'!K$8),ISNUMBER('Council Entry'!K$9)),MAX(MIN('Council Entry'!K74,'Council Entry'!K$9),'Council Entry'!K$8),'Council Entry'!K74)),IF(AND(ISNUMBER('Council Entry'!K$8),ISNUMBER('Council Entry'!K$9)),MAX(MIN('Council Entry'!K74,'Council Entry'!K$9),'Council Entry'!K$8),'Council Entry'!K74))))-'Council Entry'!K$5)/('Council Entry'!K$6-'Council Entry'!K$5),10*((IF('Council Entry'!K$4="Logarithm",LN(0.001+IF(AND(ISNUMBER('Council Entry'!K$8),ISNUMBER('Council Entry'!K$9)),MAX(MIN('Council Entry'!K74,'Council Entry'!K$9),'Council Entry'!K$8),'Council Entry'!K74)),IF('Council Entry'!K$4="Exponential",EXP(IF(AND(ISNUMBER('Council Entry'!K$8),ISNUMBER('Council Entry'!K$9)),MAX(MIN('Council Entry'!K74,'Council Entry'!K$9),'Council Entry'!K$8),'Council Entry'!K74)),IF(AND(ISNUMBER('Council Entry'!K$8),ISNUMBER('Council Entry'!K$9)),MAX(MIN('Council Entry'!K74,'Council Entry'!K$9),'Council Entry'!K$8),'Council Entry'!K74))))-'Council Entry'!K$5)/('Council Entry'!K$6-'Council Entry'!K$5)),1))),"No data"))</f>
        <v/>
      </c>
      <c r="L74" s="13">
        <f>IF('Council Entry'!L74="","",IFERROR(MAX(0,MIN(10,ROUND(IF('Council Entry'!L$7="Decrease Risk",10-10*((IF('Council Entry'!L$4="Logarithm",LN(0.001+IF(AND(ISNUMBER('Council Entry'!L$8),ISNUMBER('Council Entry'!L$9)),MAX(MIN('Council Entry'!L74,'Council Entry'!L$9),'Council Entry'!L$8),'Council Entry'!L74)),IF('Council Entry'!L$4="Exponential",EXP(IF(AND(ISNUMBER('Council Entry'!L$8),ISNUMBER('Council Entry'!L$9)),MAX(MIN('Council Entry'!L74,'Council Entry'!L$9),'Council Entry'!L$8),'Council Entry'!L74)),IF(AND(ISNUMBER('Council Entry'!L$8),ISNUMBER('Council Entry'!L$9)),MAX(MIN('Council Entry'!L74,'Council Entry'!L$9),'Council Entry'!L$8),'Council Entry'!L74))))-'Council Entry'!L$5)/('Council Entry'!L$6-'Council Entry'!L$5),10*((IF('Council Entry'!L$4="Logarithm",LN(0.001+IF(AND(ISNUMBER('Council Entry'!L$8),ISNUMBER('Council Entry'!L$9)),MAX(MIN('Council Entry'!L74,'Council Entry'!L$9),'Council Entry'!L$8),'Council Entry'!L74)),IF('Council Entry'!L$4="Exponential",EXP(IF(AND(ISNUMBER('Council Entry'!L$8),ISNUMBER('Council Entry'!L$9)),MAX(MIN('Council Entry'!L74,'Council Entry'!L$9),'Council Entry'!L$8),'Council Entry'!L74)),IF(AND(ISNUMBER('Council Entry'!L$8),ISNUMBER('Council Entry'!L$9)),MAX(MIN('Council Entry'!L74,'Council Entry'!L$9),'Council Entry'!L$8),'Council Entry'!L74))))-'Council Entry'!L$5)/('Council Entry'!L$6-'Council Entry'!L$5)),1))),"No data"))</f>
        <v/>
      </c>
      <c r="M74" s="13">
        <f>IF('Council Entry'!M74="","",IFERROR(MAX(0,MIN(10,ROUND(IF('Council Entry'!M$7="Decrease Risk",10-10*((IF('Council Entry'!M$4="Logarithm",LN(0.001+IF(AND(ISNUMBER('Council Entry'!M$8),ISNUMBER('Council Entry'!M$9)),MAX(MIN('Council Entry'!M74,'Council Entry'!M$9),'Council Entry'!M$8),'Council Entry'!M74)),IF('Council Entry'!M$4="Exponential",EXP(IF(AND(ISNUMBER('Council Entry'!M$8),ISNUMBER('Council Entry'!M$9)),MAX(MIN('Council Entry'!M74,'Council Entry'!M$9),'Council Entry'!M$8),'Council Entry'!M74)),IF(AND(ISNUMBER('Council Entry'!M$8),ISNUMBER('Council Entry'!M$9)),MAX(MIN('Council Entry'!M74,'Council Entry'!M$9),'Council Entry'!M$8),'Council Entry'!M74))))-'Council Entry'!M$5)/('Council Entry'!M$6-'Council Entry'!M$5),10*((IF('Council Entry'!M$4="Logarithm",LN(0.001+IF(AND(ISNUMBER('Council Entry'!M$8),ISNUMBER('Council Entry'!M$9)),MAX(MIN('Council Entry'!M74,'Council Entry'!M$9),'Council Entry'!M$8),'Council Entry'!M74)),IF('Council Entry'!M$4="Exponential",EXP(IF(AND(ISNUMBER('Council Entry'!M$8),ISNUMBER('Council Entry'!M$9)),MAX(MIN('Council Entry'!M74,'Council Entry'!M$9),'Council Entry'!M$8),'Council Entry'!M74)),IF(AND(ISNUMBER('Council Entry'!M$8),ISNUMBER('Council Entry'!M$9)),MAX(MIN('Council Entry'!M74,'Council Entry'!M$9),'Council Entry'!M$8),'Council Entry'!M74))))-'Council Entry'!M$5)/('Council Entry'!M$6-'Council Entry'!M$5)),1))),"No data"))</f>
        <v/>
      </c>
      <c r="N74" s="13">
        <f>IF('Council Entry'!N74="","",IFERROR(MAX(0,MIN(10,ROUND(IF('Council Entry'!N$7="Decrease Risk",10-10*((IF('Council Entry'!N$4="Logarithm",LN(0.001+IF(AND(ISNUMBER('Council Entry'!N$8),ISNUMBER('Council Entry'!N$9)),MAX(MIN('Council Entry'!N74,'Council Entry'!N$9),'Council Entry'!N$8),'Council Entry'!N74)),IF('Council Entry'!N$4="Exponential",EXP(IF(AND(ISNUMBER('Council Entry'!N$8),ISNUMBER('Council Entry'!N$9)),MAX(MIN('Council Entry'!N74,'Council Entry'!N$9),'Council Entry'!N$8),'Council Entry'!N74)),IF(AND(ISNUMBER('Council Entry'!N$8),ISNUMBER('Council Entry'!N$9)),MAX(MIN('Council Entry'!N74,'Council Entry'!N$9),'Council Entry'!N$8),'Council Entry'!N74))))-'Council Entry'!N$5)/('Council Entry'!N$6-'Council Entry'!N$5),10*((IF('Council Entry'!N$4="Logarithm",LN(0.001+IF(AND(ISNUMBER('Council Entry'!N$8),ISNUMBER('Council Entry'!N$9)),MAX(MIN('Council Entry'!N74,'Council Entry'!N$9),'Council Entry'!N$8),'Council Entry'!N74)),IF('Council Entry'!N$4="Exponential",EXP(IF(AND(ISNUMBER('Council Entry'!N$8),ISNUMBER('Council Entry'!N$9)),MAX(MIN('Council Entry'!N74,'Council Entry'!N$9),'Council Entry'!N$8),'Council Entry'!N74)),IF(AND(ISNUMBER('Council Entry'!N$8),ISNUMBER('Council Entry'!N$9)),MAX(MIN('Council Entry'!N74,'Council Entry'!N$9),'Council Entry'!N$8),'Council Entry'!N74))))-'Council Entry'!N$5)/('Council Entry'!N$6-'Council Entry'!N$5)),1))),"No data"))</f>
        <v/>
      </c>
      <c r="O74" s="13">
        <f>IF('Council Entry'!O74="","",IFERROR(MAX(0,MIN(10,ROUND(IF('Council Entry'!O$7="Decrease Risk",10-10*((IF('Council Entry'!O$4="Logarithm",LN(0.001+IF(AND(ISNUMBER('Council Entry'!O$8),ISNUMBER('Council Entry'!O$9)),MAX(MIN('Council Entry'!O74,'Council Entry'!O$9),'Council Entry'!O$8),'Council Entry'!O74)),IF('Council Entry'!O$4="Exponential",EXP(IF(AND(ISNUMBER('Council Entry'!O$8),ISNUMBER('Council Entry'!O$9)),MAX(MIN('Council Entry'!O74,'Council Entry'!O$9),'Council Entry'!O$8),'Council Entry'!O74)),IF(AND(ISNUMBER('Council Entry'!O$8),ISNUMBER('Council Entry'!O$9)),MAX(MIN('Council Entry'!O74,'Council Entry'!O$9),'Council Entry'!O$8),'Council Entry'!O74))))-'Council Entry'!O$5)/('Council Entry'!O$6-'Council Entry'!O$5),10*((IF('Council Entry'!O$4="Logarithm",LN(0.001+IF(AND(ISNUMBER('Council Entry'!O$8),ISNUMBER('Council Entry'!O$9)),MAX(MIN('Council Entry'!O74,'Council Entry'!O$9),'Council Entry'!O$8),'Council Entry'!O74)),IF('Council Entry'!O$4="Exponential",EXP(IF(AND(ISNUMBER('Council Entry'!O$8),ISNUMBER('Council Entry'!O$9)),MAX(MIN('Council Entry'!O74,'Council Entry'!O$9),'Council Entry'!O$8),'Council Entry'!O74)),IF(AND(ISNUMBER('Council Entry'!O$8),ISNUMBER('Council Entry'!O$9)),MAX(MIN('Council Entry'!O74,'Council Entry'!O$9),'Council Entry'!O$8),'Council Entry'!O74))))-'Council Entry'!O$5)/('Council Entry'!O$6-'Council Entry'!O$5)),1))),"No data"))</f>
        <v/>
      </c>
      <c r="P74" s="13">
        <f>IF('Council Entry'!P74="","",IFERROR(MAX(0,MIN(10,ROUND(IF('Council Entry'!P$7="Decrease Risk",10-10*((IF('Council Entry'!P$4="Logarithm",LN(0.001+IF(AND(ISNUMBER('Council Entry'!P$8),ISNUMBER('Council Entry'!P$9)),MAX(MIN('Council Entry'!P74,'Council Entry'!P$9),'Council Entry'!P$8),'Council Entry'!P74)),IF('Council Entry'!P$4="Exponential",EXP(IF(AND(ISNUMBER('Council Entry'!P$8),ISNUMBER('Council Entry'!P$9)),MAX(MIN('Council Entry'!P74,'Council Entry'!P$9),'Council Entry'!P$8),'Council Entry'!P74)),IF(AND(ISNUMBER('Council Entry'!P$8),ISNUMBER('Council Entry'!P$9)),MAX(MIN('Council Entry'!P74,'Council Entry'!P$9),'Council Entry'!P$8),'Council Entry'!P74))))-'Council Entry'!P$5)/('Council Entry'!P$6-'Council Entry'!P$5),10*((IF('Council Entry'!P$4="Logarithm",LN(0.001+IF(AND(ISNUMBER('Council Entry'!P$8),ISNUMBER('Council Entry'!P$9)),MAX(MIN('Council Entry'!P74,'Council Entry'!P$9),'Council Entry'!P$8),'Council Entry'!P74)),IF('Council Entry'!P$4="Exponential",EXP(IF(AND(ISNUMBER('Council Entry'!P$8),ISNUMBER('Council Entry'!P$9)),MAX(MIN('Council Entry'!P74,'Council Entry'!P$9),'Council Entry'!P$8),'Council Entry'!P74)),IF(AND(ISNUMBER('Council Entry'!P$8),ISNUMBER('Council Entry'!P$9)),MAX(MIN('Council Entry'!P74,'Council Entry'!P$9),'Council Entry'!P$8),'Council Entry'!P74))))-'Council Entry'!P$5)/('Council Entry'!P$6-'Council Entry'!P$5)),1))),"No data"))</f>
        <v/>
      </c>
      <c r="Q74" s="13">
        <f>IF('Council Entry'!Q74="","",IFERROR(MAX(0,MIN(10,ROUND(IF('Council Entry'!Q$7="Decrease Risk",10-10*((IF('Council Entry'!Q$4="Logarithm",LN(0.001+IF(AND(ISNUMBER('Council Entry'!Q$8),ISNUMBER('Council Entry'!Q$9)),MAX(MIN('Council Entry'!Q74,'Council Entry'!Q$9),'Council Entry'!Q$8),'Council Entry'!Q74)),IF('Council Entry'!Q$4="Exponential",EXP(IF(AND(ISNUMBER('Council Entry'!Q$8),ISNUMBER('Council Entry'!Q$9)),MAX(MIN('Council Entry'!Q74,'Council Entry'!Q$9),'Council Entry'!Q$8),'Council Entry'!Q74)),IF(AND(ISNUMBER('Council Entry'!Q$8),ISNUMBER('Council Entry'!Q$9)),MAX(MIN('Council Entry'!Q74,'Council Entry'!Q$9),'Council Entry'!Q$8),'Council Entry'!Q74))))-'Council Entry'!Q$5)/('Council Entry'!Q$6-'Council Entry'!Q$5),10*((IF('Council Entry'!Q$4="Logarithm",LN(0.001+IF(AND(ISNUMBER('Council Entry'!Q$8),ISNUMBER('Council Entry'!Q$9)),MAX(MIN('Council Entry'!Q74,'Council Entry'!Q$9),'Council Entry'!Q$8),'Council Entry'!Q74)),IF('Council Entry'!Q$4="Exponential",EXP(IF(AND(ISNUMBER('Council Entry'!Q$8),ISNUMBER('Council Entry'!Q$9)),MAX(MIN('Council Entry'!Q74,'Council Entry'!Q$9),'Council Entry'!Q$8),'Council Entry'!Q74)),IF(AND(ISNUMBER('Council Entry'!Q$8),ISNUMBER('Council Entry'!Q$9)),MAX(MIN('Council Entry'!Q74,'Council Entry'!Q$9),'Council Entry'!Q$8),'Council Entry'!Q74))))-'Council Entry'!Q$5)/('Council Entry'!Q$6-'Council Entry'!Q$5)),1))),"No data"))</f>
        <v/>
      </c>
      <c r="R74" s="13">
        <f>IF('Council Entry'!R74="","",IFERROR(MAX(0,MIN(10,ROUND(IF('Council Entry'!R$7="Decrease Risk",10-10*((IF('Council Entry'!R$4="Logarithm",LN(0.001+IF(AND(ISNUMBER('Council Entry'!R$8),ISNUMBER('Council Entry'!R$9)),MAX(MIN('Council Entry'!R74,'Council Entry'!R$9),'Council Entry'!R$8),'Council Entry'!R74)),IF('Council Entry'!R$4="Exponential",EXP(IF(AND(ISNUMBER('Council Entry'!R$8),ISNUMBER('Council Entry'!R$9)),MAX(MIN('Council Entry'!R74,'Council Entry'!R$9),'Council Entry'!R$8),'Council Entry'!R74)),IF(AND(ISNUMBER('Council Entry'!R$8),ISNUMBER('Council Entry'!R$9)),MAX(MIN('Council Entry'!R74,'Council Entry'!R$9),'Council Entry'!R$8),'Council Entry'!R74))))-'Council Entry'!R$5)/('Council Entry'!R$6-'Council Entry'!R$5),10*((IF('Council Entry'!R$4="Logarithm",LN(0.001+IF(AND(ISNUMBER('Council Entry'!R$8),ISNUMBER('Council Entry'!R$9)),MAX(MIN('Council Entry'!R74,'Council Entry'!R$9),'Council Entry'!R$8),'Council Entry'!R74)),IF('Council Entry'!R$4="Exponential",EXP(IF(AND(ISNUMBER('Council Entry'!R$8),ISNUMBER('Council Entry'!R$9)),MAX(MIN('Council Entry'!R74,'Council Entry'!R$9),'Council Entry'!R$8),'Council Entry'!R74)),IF(AND(ISNUMBER('Council Entry'!R$8),ISNUMBER('Council Entry'!R$9)),MAX(MIN('Council Entry'!R74,'Council Entry'!R$9),'Council Entry'!R$8),'Council Entry'!R74))))-'Council Entry'!R$5)/('Council Entry'!R$6-'Council Entry'!R$5)),1))),"No data"))</f>
        <v/>
      </c>
      <c r="S74" s="13">
        <f>IF('Council Entry'!S74="","",IFERROR(MAX(0,MIN(10,ROUND(IF('Council Entry'!S$7="Decrease Risk",10-10*((IF('Council Entry'!S$4="Logarithm",LN(0.001+IF(AND(ISNUMBER('Council Entry'!S$8),ISNUMBER('Council Entry'!S$9)),MAX(MIN('Council Entry'!S74,'Council Entry'!S$9),'Council Entry'!S$8),'Council Entry'!S74)),IF('Council Entry'!S$4="Exponential",EXP(IF(AND(ISNUMBER('Council Entry'!S$8),ISNUMBER('Council Entry'!S$9)),MAX(MIN('Council Entry'!S74,'Council Entry'!S$9),'Council Entry'!S$8),'Council Entry'!S74)),IF(AND(ISNUMBER('Council Entry'!S$8),ISNUMBER('Council Entry'!S$9)),MAX(MIN('Council Entry'!S74,'Council Entry'!S$9),'Council Entry'!S$8),'Council Entry'!S74))))-'Council Entry'!S$5)/('Council Entry'!S$6-'Council Entry'!S$5),10*((IF('Council Entry'!S$4="Logarithm",LN(0.001+IF(AND(ISNUMBER('Council Entry'!S$8),ISNUMBER('Council Entry'!S$9)),MAX(MIN('Council Entry'!S74,'Council Entry'!S$9),'Council Entry'!S$8),'Council Entry'!S74)),IF('Council Entry'!S$4="Exponential",EXP(IF(AND(ISNUMBER('Council Entry'!S$8),ISNUMBER('Council Entry'!S$9)),MAX(MIN('Council Entry'!S74,'Council Entry'!S$9),'Council Entry'!S$8),'Council Entry'!S74)),IF(AND(ISNUMBER('Council Entry'!S$8),ISNUMBER('Council Entry'!S$9)),MAX(MIN('Council Entry'!S74,'Council Entry'!S$9),'Council Entry'!S$8),'Council Entry'!S74))))-'Council Entry'!S$5)/('Council Entry'!S$6-'Council Entry'!S$5)),1))),"No data"))</f>
        <v/>
      </c>
      <c r="T74" s="13">
        <f>IF('Council Entry'!T74="","",IFERROR(MAX(0,MIN(10,ROUND(IF('Council Entry'!T$7="Decrease Risk",10-10*((IF('Council Entry'!T$4="Logarithm",LN(0.001+IF(AND(ISNUMBER('Council Entry'!T$8),ISNUMBER('Council Entry'!T$9)),MAX(MIN('Council Entry'!T74,'Council Entry'!T$9),'Council Entry'!T$8),'Council Entry'!T74)),IF('Council Entry'!T$4="Exponential",EXP(IF(AND(ISNUMBER('Council Entry'!T$8),ISNUMBER('Council Entry'!T$9)),MAX(MIN('Council Entry'!T74,'Council Entry'!T$9),'Council Entry'!T$8),'Council Entry'!T74)),IF(AND(ISNUMBER('Council Entry'!T$8),ISNUMBER('Council Entry'!T$9)),MAX(MIN('Council Entry'!T74,'Council Entry'!T$9),'Council Entry'!T$8),'Council Entry'!T74))))-'Council Entry'!T$5)/('Council Entry'!T$6-'Council Entry'!T$5),10*((IF('Council Entry'!T$4="Logarithm",LN(0.001+IF(AND(ISNUMBER('Council Entry'!T$8),ISNUMBER('Council Entry'!T$9)),MAX(MIN('Council Entry'!T74,'Council Entry'!T$9),'Council Entry'!T$8),'Council Entry'!T74)),IF('Council Entry'!T$4="Exponential",EXP(IF(AND(ISNUMBER('Council Entry'!T$8),ISNUMBER('Council Entry'!T$9)),MAX(MIN('Council Entry'!T74,'Council Entry'!T$9),'Council Entry'!T$8),'Council Entry'!T74)),IF(AND(ISNUMBER('Council Entry'!T$8),ISNUMBER('Council Entry'!T$9)),MAX(MIN('Council Entry'!T74,'Council Entry'!T$9),'Council Entry'!T$8),'Council Entry'!T74))))-'Council Entry'!T$5)/('Council Entry'!T$6-'Council Entry'!T$5)),1))),"No data"))</f>
        <v/>
      </c>
      <c r="U74" s="13">
        <f>IF('Council Entry'!U74="","",IFERROR(MAX(0,MIN(10,ROUND(IF('Council Entry'!U$7="Decrease Risk",10-10*((IF('Council Entry'!U$4="Logarithm",LN(0.001+IF(AND(ISNUMBER('Council Entry'!U$8),ISNUMBER('Council Entry'!U$9)),MAX(MIN('Council Entry'!U74,'Council Entry'!U$9),'Council Entry'!U$8),'Council Entry'!U74)),IF('Council Entry'!U$4="Exponential",EXP(IF(AND(ISNUMBER('Council Entry'!U$8),ISNUMBER('Council Entry'!U$9)),MAX(MIN('Council Entry'!U74,'Council Entry'!U$9),'Council Entry'!U$8),'Council Entry'!U74)),IF(AND(ISNUMBER('Council Entry'!U$8),ISNUMBER('Council Entry'!U$9)),MAX(MIN('Council Entry'!U74,'Council Entry'!U$9),'Council Entry'!U$8),'Council Entry'!U74))))-'Council Entry'!U$5)/('Council Entry'!U$6-'Council Entry'!U$5),10*((IF('Council Entry'!U$4="Logarithm",LN(0.001+IF(AND(ISNUMBER('Council Entry'!U$8),ISNUMBER('Council Entry'!U$9)),MAX(MIN('Council Entry'!U74,'Council Entry'!U$9),'Council Entry'!U$8),'Council Entry'!U74)),IF('Council Entry'!U$4="Exponential",EXP(IF(AND(ISNUMBER('Council Entry'!U$8),ISNUMBER('Council Entry'!U$9)),MAX(MIN('Council Entry'!U74,'Council Entry'!U$9),'Council Entry'!U$8),'Council Entry'!U74)),IF(AND(ISNUMBER('Council Entry'!U$8),ISNUMBER('Council Entry'!U$9)),MAX(MIN('Council Entry'!U74,'Council Entry'!U$9),'Council Entry'!U$8),'Council Entry'!U74))))-'Council Entry'!U$5)/('Council Entry'!U$6-'Council Entry'!U$5)),1))),"No data"))</f>
        <v/>
      </c>
      <c r="V74" s="13">
        <f>IF('Council Entry'!V74="","",IFERROR(MAX(0,MIN(10,ROUND(IF('Council Entry'!V$7="Decrease Risk",10-10*((IF('Council Entry'!V$4="Logarithm",LN(0.001+IF(AND(ISNUMBER('Council Entry'!V$8),ISNUMBER('Council Entry'!V$9)),MAX(MIN('Council Entry'!V74,'Council Entry'!V$9),'Council Entry'!V$8),'Council Entry'!V74)),IF('Council Entry'!V$4="Exponential",EXP(IF(AND(ISNUMBER('Council Entry'!V$8),ISNUMBER('Council Entry'!V$9)),MAX(MIN('Council Entry'!V74,'Council Entry'!V$9),'Council Entry'!V$8),'Council Entry'!V74)),IF(AND(ISNUMBER('Council Entry'!V$8),ISNUMBER('Council Entry'!V$9)),MAX(MIN('Council Entry'!V74,'Council Entry'!V$9),'Council Entry'!V$8),'Council Entry'!V74))))-'Council Entry'!V$5)/('Council Entry'!V$6-'Council Entry'!V$5),10*((IF('Council Entry'!V$4="Logarithm",LN(0.001+IF(AND(ISNUMBER('Council Entry'!V$8),ISNUMBER('Council Entry'!V$9)),MAX(MIN('Council Entry'!V74,'Council Entry'!V$9),'Council Entry'!V$8),'Council Entry'!V74)),IF('Council Entry'!V$4="Exponential",EXP(IF(AND(ISNUMBER('Council Entry'!V$8),ISNUMBER('Council Entry'!V$9)),MAX(MIN('Council Entry'!V74,'Council Entry'!V$9),'Council Entry'!V$8),'Council Entry'!V74)),IF(AND(ISNUMBER('Council Entry'!V$8),ISNUMBER('Council Entry'!V$9)),MAX(MIN('Council Entry'!V74,'Council Entry'!V$9),'Council Entry'!V$8),'Council Entry'!V74))))-'Council Entry'!V$5)/('Council Entry'!V$6-'Council Entry'!V$5)),1))),"No data"))</f>
        <v/>
      </c>
      <c r="W74" s="13">
        <f>IF('Council Entry'!W74="","",IFERROR(MAX(0,MIN(10,ROUND(IF('Council Entry'!W$7="Decrease Risk",10-10*((IF('Council Entry'!W$4="Logarithm",LN(0.001+IF(AND(ISNUMBER('Council Entry'!W$8),ISNUMBER('Council Entry'!W$9)),MAX(MIN('Council Entry'!W74,'Council Entry'!W$9),'Council Entry'!W$8),'Council Entry'!W74)),IF('Council Entry'!W$4="Exponential",EXP(IF(AND(ISNUMBER('Council Entry'!W$8),ISNUMBER('Council Entry'!W$9)),MAX(MIN('Council Entry'!W74,'Council Entry'!W$9),'Council Entry'!W$8),'Council Entry'!W74)),IF(AND(ISNUMBER('Council Entry'!W$8),ISNUMBER('Council Entry'!W$9)),MAX(MIN('Council Entry'!W74,'Council Entry'!W$9),'Council Entry'!W$8),'Council Entry'!W74))))-'Council Entry'!W$5)/('Council Entry'!W$6-'Council Entry'!W$5),10*((IF('Council Entry'!W$4="Logarithm",LN(0.001+IF(AND(ISNUMBER('Council Entry'!W$8),ISNUMBER('Council Entry'!W$9)),MAX(MIN('Council Entry'!W74,'Council Entry'!W$9),'Council Entry'!W$8),'Council Entry'!W74)),IF('Council Entry'!W$4="Exponential",EXP(IF(AND(ISNUMBER('Council Entry'!W$8),ISNUMBER('Council Entry'!W$9)),MAX(MIN('Council Entry'!W74,'Council Entry'!W$9),'Council Entry'!W$8),'Council Entry'!W74)),IF(AND(ISNUMBER('Council Entry'!W$8),ISNUMBER('Council Entry'!W$9)),MAX(MIN('Council Entry'!W74,'Council Entry'!W$9),'Council Entry'!W$8),'Council Entry'!W74))))-'Council Entry'!W$5)/('Council Entry'!W$6-'Council Entry'!W$5)),1))),"No data"))</f>
        <v/>
      </c>
      <c r="X74" s="13">
        <f>IF('Council Entry'!X74="","",IFERROR(MAX(0,MIN(10,ROUND(IF('Council Entry'!X$7="Decrease Risk",10-10*((IF('Council Entry'!X$4="Logarithm",LN(0.001+IF(AND(ISNUMBER('Council Entry'!X$8),ISNUMBER('Council Entry'!X$9)),MAX(MIN('Council Entry'!X74,'Council Entry'!X$9),'Council Entry'!X$8),'Council Entry'!X74)),IF('Council Entry'!X$4="Exponential",EXP(IF(AND(ISNUMBER('Council Entry'!X$8),ISNUMBER('Council Entry'!X$9)),MAX(MIN('Council Entry'!X74,'Council Entry'!X$9),'Council Entry'!X$8),'Council Entry'!X74)),IF(AND(ISNUMBER('Council Entry'!X$8),ISNUMBER('Council Entry'!X$9)),MAX(MIN('Council Entry'!X74,'Council Entry'!X$9),'Council Entry'!X$8),'Council Entry'!X74))))-'Council Entry'!X$5)/('Council Entry'!X$6-'Council Entry'!X$5),10*((IF('Council Entry'!X$4="Logarithm",LN(0.001+IF(AND(ISNUMBER('Council Entry'!X$8),ISNUMBER('Council Entry'!X$9)),MAX(MIN('Council Entry'!X74,'Council Entry'!X$9),'Council Entry'!X$8),'Council Entry'!X74)),IF('Council Entry'!X$4="Exponential",EXP(IF(AND(ISNUMBER('Council Entry'!X$8),ISNUMBER('Council Entry'!X$9)),MAX(MIN('Council Entry'!X74,'Council Entry'!X$9),'Council Entry'!X$8),'Council Entry'!X74)),IF(AND(ISNUMBER('Council Entry'!X$8),ISNUMBER('Council Entry'!X$9)),MAX(MIN('Council Entry'!X74,'Council Entry'!X$9),'Council Entry'!X$8),'Council Entry'!X74))))-'Council Entry'!X$5)/('Council Entry'!X$6-'Council Entry'!X$5)),1))),"No data"))</f>
        <v/>
      </c>
      <c r="Y74" s="13">
        <f>IF('Council Entry'!Y74="","",IFERROR(MAX(0,MIN(10,ROUND(IF('Council Entry'!Y$7="Decrease Risk",10-10*((IF('Council Entry'!Y$4="Logarithm",LN(0.001+IF(AND(ISNUMBER('Council Entry'!Y$8),ISNUMBER('Council Entry'!Y$9)),MAX(MIN('Council Entry'!Y74,'Council Entry'!Y$9),'Council Entry'!Y$8),'Council Entry'!Y74)),IF('Council Entry'!Y$4="Exponential",EXP(IF(AND(ISNUMBER('Council Entry'!Y$8),ISNUMBER('Council Entry'!Y$9)),MAX(MIN('Council Entry'!Y74,'Council Entry'!Y$9),'Council Entry'!Y$8),'Council Entry'!Y74)),IF(AND(ISNUMBER('Council Entry'!Y$8),ISNUMBER('Council Entry'!Y$9)),MAX(MIN('Council Entry'!Y74,'Council Entry'!Y$9),'Council Entry'!Y$8),'Council Entry'!Y74))))-'Council Entry'!Y$5)/('Council Entry'!Y$6-'Council Entry'!Y$5),10*((IF('Council Entry'!Y$4="Logarithm",LN(0.001+IF(AND(ISNUMBER('Council Entry'!Y$8),ISNUMBER('Council Entry'!Y$9)),MAX(MIN('Council Entry'!Y74,'Council Entry'!Y$9),'Council Entry'!Y$8),'Council Entry'!Y74)),IF('Council Entry'!Y$4="Exponential",EXP(IF(AND(ISNUMBER('Council Entry'!Y$8),ISNUMBER('Council Entry'!Y$9)),MAX(MIN('Council Entry'!Y74,'Council Entry'!Y$9),'Council Entry'!Y$8),'Council Entry'!Y74)),IF(AND(ISNUMBER('Council Entry'!Y$8),ISNUMBER('Council Entry'!Y$9)),MAX(MIN('Council Entry'!Y74,'Council Entry'!Y$9),'Council Entry'!Y$8),'Council Entry'!Y74))))-'Council Entry'!Y$5)/('Council Entry'!Y$6-'Council Entry'!Y$5)),1))),"No data"))</f>
        <v/>
      </c>
      <c r="Z74" s="13">
        <f>IF('Council Entry'!Z74="","",IFERROR(MAX(0,MIN(10,ROUND(IF('Council Entry'!Z$7="Decrease Risk",10-10*((IF('Council Entry'!Z$4="Logarithm",LN(0.001+IF(AND(ISNUMBER('Council Entry'!Z$8),ISNUMBER('Council Entry'!Z$9)),MAX(MIN('Council Entry'!Z74,'Council Entry'!Z$9),'Council Entry'!Z$8),'Council Entry'!Z74)),IF('Council Entry'!Z$4="Exponential",EXP(IF(AND(ISNUMBER('Council Entry'!Z$8),ISNUMBER('Council Entry'!Z$9)),MAX(MIN('Council Entry'!Z74,'Council Entry'!Z$9),'Council Entry'!Z$8),'Council Entry'!Z74)),IF(AND(ISNUMBER('Council Entry'!Z$8),ISNUMBER('Council Entry'!Z$9)),MAX(MIN('Council Entry'!Z74,'Council Entry'!Z$9),'Council Entry'!Z$8),'Council Entry'!Z74))))-'Council Entry'!Z$5)/('Council Entry'!Z$6-'Council Entry'!Z$5),10*((IF('Council Entry'!Z$4="Logarithm",LN(0.001+IF(AND(ISNUMBER('Council Entry'!Z$8),ISNUMBER('Council Entry'!Z$9)),MAX(MIN('Council Entry'!Z74,'Council Entry'!Z$9),'Council Entry'!Z$8),'Council Entry'!Z74)),IF('Council Entry'!Z$4="Exponential",EXP(IF(AND(ISNUMBER('Council Entry'!Z$8),ISNUMBER('Council Entry'!Z$9)),MAX(MIN('Council Entry'!Z74,'Council Entry'!Z$9),'Council Entry'!Z$8),'Council Entry'!Z74)),IF(AND(ISNUMBER('Council Entry'!Z$8),ISNUMBER('Council Entry'!Z$9)),MAX(MIN('Council Entry'!Z74,'Council Entry'!Z$9),'Council Entry'!Z$8),'Council Entry'!Z74))))-'Council Entry'!Z$5)/('Council Entry'!Z$6-'Council Entry'!Z$5)),1))),"No data"))</f>
        <v/>
      </c>
      <c r="AA74" s="13">
        <f>IF('Council Entry'!AA74="","",IFERROR(MAX(0,MIN(10,ROUND(IF('Council Entry'!AA$7="Decrease Risk",10-10*((IF('Council Entry'!AA$4="Logarithm",LN(0.001+IF(AND(ISNUMBER('Council Entry'!AA$8),ISNUMBER('Council Entry'!AA$9)),MAX(MIN('Council Entry'!AA74,'Council Entry'!AA$9),'Council Entry'!AA$8),'Council Entry'!AA74)),IF('Council Entry'!AA$4="Exponential",EXP(IF(AND(ISNUMBER('Council Entry'!AA$8),ISNUMBER('Council Entry'!AA$9)),MAX(MIN('Council Entry'!AA74,'Council Entry'!AA$9),'Council Entry'!AA$8),'Council Entry'!AA74)),IF(AND(ISNUMBER('Council Entry'!AA$8),ISNUMBER('Council Entry'!AA$9)),MAX(MIN('Council Entry'!AA74,'Council Entry'!AA$9),'Council Entry'!AA$8),'Council Entry'!AA74))))-'Council Entry'!AA$5)/('Council Entry'!AA$6-'Council Entry'!AA$5),10*((IF('Council Entry'!AA$4="Logarithm",LN(0.001+IF(AND(ISNUMBER('Council Entry'!AA$8),ISNUMBER('Council Entry'!AA$9)),MAX(MIN('Council Entry'!AA74,'Council Entry'!AA$9),'Council Entry'!AA$8),'Council Entry'!AA74)),IF('Council Entry'!AA$4="Exponential",EXP(IF(AND(ISNUMBER('Council Entry'!AA$8),ISNUMBER('Council Entry'!AA$9)),MAX(MIN('Council Entry'!AA74,'Council Entry'!AA$9),'Council Entry'!AA$8),'Council Entry'!AA74)),IF(AND(ISNUMBER('Council Entry'!AA$8),ISNUMBER('Council Entry'!AA$9)),MAX(MIN('Council Entry'!AA74,'Council Entry'!AA$9),'Council Entry'!AA$8),'Council Entry'!AA74))))-'Council Entry'!AA$5)/('Council Entry'!AA$6-'Council Entry'!AA$5)),1))),"No data"))</f>
        <v/>
      </c>
      <c r="AB74" s="13">
        <f>IF('Council Entry'!AB74="","",IFERROR(MAX(0,MIN(10,ROUND(IF('Council Entry'!AB$7="Decrease Risk",10-10*((IF('Council Entry'!AB$4="Logarithm",LN(0.001+IF(AND(ISNUMBER('Council Entry'!AB$8),ISNUMBER('Council Entry'!AB$9)),MAX(MIN('Council Entry'!AB74,'Council Entry'!AB$9),'Council Entry'!AB$8),'Council Entry'!AB74)),IF('Council Entry'!AB$4="Exponential",EXP(IF(AND(ISNUMBER('Council Entry'!AB$8),ISNUMBER('Council Entry'!AB$9)),MAX(MIN('Council Entry'!AB74,'Council Entry'!AB$9),'Council Entry'!AB$8),'Council Entry'!AB74)),IF(AND(ISNUMBER('Council Entry'!AB$8),ISNUMBER('Council Entry'!AB$9)),MAX(MIN('Council Entry'!AB74,'Council Entry'!AB$9),'Council Entry'!AB$8),'Council Entry'!AB74))))-'Council Entry'!AB$5)/('Council Entry'!AB$6-'Council Entry'!AB$5),10*((IF('Council Entry'!AB$4="Logarithm",LN(0.001+IF(AND(ISNUMBER('Council Entry'!AB$8),ISNUMBER('Council Entry'!AB$9)),MAX(MIN('Council Entry'!AB74,'Council Entry'!AB$9),'Council Entry'!AB$8),'Council Entry'!AB74)),IF('Council Entry'!AB$4="Exponential",EXP(IF(AND(ISNUMBER('Council Entry'!AB$8),ISNUMBER('Council Entry'!AB$9)),MAX(MIN('Council Entry'!AB74,'Council Entry'!AB$9),'Council Entry'!AB$8),'Council Entry'!AB74)),IF(AND(ISNUMBER('Council Entry'!AB$8),ISNUMBER('Council Entry'!AB$9)),MAX(MIN('Council Entry'!AB74,'Council Entry'!AB$9),'Council Entry'!AB$8),'Council Entry'!AB74))))-'Council Entry'!AB$5)/('Council Entry'!AB$6-'Council Entry'!AB$5)),1))),"No data"))</f>
        <v/>
      </c>
      <c r="AC74" s="13">
        <f>IF('Council Entry'!AC74="","",IFERROR(MAX(0,MIN(10,ROUND(IF('Council Entry'!AC$7="Decrease Risk",10-10*((IF('Council Entry'!AC$4="Logarithm",LN(0.001+IF(AND(ISNUMBER('Council Entry'!AC$8),ISNUMBER('Council Entry'!AC$9)),MAX(MIN('Council Entry'!AC74,'Council Entry'!AC$9),'Council Entry'!AC$8),'Council Entry'!AC74)),IF('Council Entry'!AC$4="Exponential",EXP(IF(AND(ISNUMBER('Council Entry'!AC$8),ISNUMBER('Council Entry'!AC$9)),MAX(MIN('Council Entry'!AC74,'Council Entry'!AC$9),'Council Entry'!AC$8),'Council Entry'!AC74)),IF(AND(ISNUMBER('Council Entry'!AC$8),ISNUMBER('Council Entry'!AC$9)),MAX(MIN('Council Entry'!AC74,'Council Entry'!AC$9),'Council Entry'!AC$8),'Council Entry'!AC74))))-'Council Entry'!AC$5)/('Council Entry'!AC$6-'Council Entry'!AC$5),10*((IF('Council Entry'!AC$4="Logarithm",LN(0.001+IF(AND(ISNUMBER('Council Entry'!AC$8),ISNUMBER('Council Entry'!AC$9)),MAX(MIN('Council Entry'!AC74,'Council Entry'!AC$9),'Council Entry'!AC$8),'Council Entry'!AC74)),IF('Council Entry'!AC$4="Exponential",EXP(IF(AND(ISNUMBER('Council Entry'!AC$8),ISNUMBER('Council Entry'!AC$9)),MAX(MIN('Council Entry'!AC74,'Council Entry'!AC$9),'Council Entry'!AC$8),'Council Entry'!AC74)),IF(AND(ISNUMBER('Council Entry'!AC$8),ISNUMBER('Council Entry'!AC$9)),MAX(MIN('Council Entry'!AC74,'Council Entry'!AC$9),'Council Entry'!AC$8),'Council Entry'!AC74))))-'Council Entry'!AC$5)/('Council Entry'!AC$6-'Council Entry'!AC$5)),1))),"No data"))</f>
        <v/>
      </c>
      <c r="AD74" s="13">
        <f>IF('Council Entry'!AD74="","",IFERROR(MAX(0,MIN(10,ROUND(IF('Council Entry'!AD$7="Decrease Risk",10-10*((IF('Council Entry'!AD$4="Logarithm",LN(0.001+IF(AND(ISNUMBER('Council Entry'!AD$8),ISNUMBER('Council Entry'!AD$9)),MAX(MIN('Council Entry'!AD74,'Council Entry'!AD$9),'Council Entry'!AD$8),'Council Entry'!AD74)),IF('Council Entry'!AD$4="Exponential",EXP(IF(AND(ISNUMBER('Council Entry'!AD$8),ISNUMBER('Council Entry'!AD$9)),MAX(MIN('Council Entry'!AD74,'Council Entry'!AD$9),'Council Entry'!AD$8),'Council Entry'!AD74)),IF(AND(ISNUMBER('Council Entry'!AD$8),ISNUMBER('Council Entry'!AD$9)),MAX(MIN('Council Entry'!AD74,'Council Entry'!AD$9),'Council Entry'!AD$8),'Council Entry'!AD74))))-'Council Entry'!AD$5)/('Council Entry'!AD$6-'Council Entry'!AD$5),10*((IF('Council Entry'!AD$4="Logarithm",LN(0.001+IF(AND(ISNUMBER('Council Entry'!AD$8),ISNUMBER('Council Entry'!AD$9)),MAX(MIN('Council Entry'!AD74,'Council Entry'!AD$9),'Council Entry'!AD$8),'Council Entry'!AD74)),IF('Council Entry'!AD$4="Exponential",EXP(IF(AND(ISNUMBER('Council Entry'!AD$8),ISNUMBER('Council Entry'!AD$9)),MAX(MIN('Council Entry'!AD74,'Council Entry'!AD$9),'Council Entry'!AD$8),'Council Entry'!AD74)),IF(AND(ISNUMBER('Council Entry'!AD$8),ISNUMBER('Council Entry'!AD$9)),MAX(MIN('Council Entry'!AD74,'Council Entry'!AD$9),'Council Entry'!AD$8),'Council Entry'!AD74))))-'Council Entry'!AD$5)/('Council Entry'!AD$6-'Council Entry'!AD$5)),1))),"No data"))</f>
        <v/>
      </c>
      <c r="AE74" s="13">
        <f>IF('Council Entry'!AE74="","",IFERROR(MAX(0,MIN(10,ROUND(IF('Council Entry'!AE$7="Decrease Risk",10-10*((IF('Council Entry'!AE$4="Logarithm",LN(0.001+IF(AND(ISNUMBER('Council Entry'!AE$8),ISNUMBER('Council Entry'!AE$9)),MAX(MIN('Council Entry'!AE74,'Council Entry'!AE$9),'Council Entry'!AE$8),'Council Entry'!AE74)),IF('Council Entry'!AE$4="Exponential",EXP(IF(AND(ISNUMBER('Council Entry'!AE$8),ISNUMBER('Council Entry'!AE$9)),MAX(MIN('Council Entry'!AE74,'Council Entry'!AE$9),'Council Entry'!AE$8),'Council Entry'!AE74)),IF(AND(ISNUMBER('Council Entry'!AE$8),ISNUMBER('Council Entry'!AE$9)),MAX(MIN('Council Entry'!AE74,'Council Entry'!AE$9),'Council Entry'!AE$8),'Council Entry'!AE74))))-'Council Entry'!AE$5)/('Council Entry'!AE$6-'Council Entry'!AE$5),10*((IF('Council Entry'!AE$4="Logarithm",LN(0.001+IF(AND(ISNUMBER('Council Entry'!AE$8),ISNUMBER('Council Entry'!AE$9)),MAX(MIN('Council Entry'!AE74,'Council Entry'!AE$9),'Council Entry'!AE$8),'Council Entry'!AE74)),IF('Council Entry'!AE$4="Exponential",EXP(IF(AND(ISNUMBER('Council Entry'!AE$8),ISNUMBER('Council Entry'!AE$9)),MAX(MIN('Council Entry'!AE74,'Council Entry'!AE$9),'Council Entry'!AE$8),'Council Entry'!AE74)),IF(AND(ISNUMBER('Council Entry'!AE$8),ISNUMBER('Council Entry'!AE$9)),MAX(MIN('Council Entry'!AE74,'Council Entry'!AE$9),'Council Entry'!AE$8),'Council Entry'!AE74))))-'Council Entry'!AE$5)/('Council Entry'!AE$6-'Council Entry'!AE$5)),1))),"No data"))</f>
        <v/>
      </c>
      <c r="AF74" s="13">
        <f>IF('Council Entry'!AF74="","",IFERROR(MAX(0,MIN(10,ROUND(IF('Council Entry'!AF$7="Decrease Risk",10-10*((IF('Council Entry'!AF$4="Logarithm",LN(0.001+IF(AND(ISNUMBER('Council Entry'!AF$8),ISNUMBER('Council Entry'!AF$9)),MAX(MIN('Council Entry'!AF74,'Council Entry'!AF$9),'Council Entry'!AF$8),'Council Entry'!AF74)),IF('Council Entry'!AF$4="Exponential",EXP(IF(AND(ISNUMBER('Council Entry'!AF$8),ISNUMBER('Council Entry'!AF$9)),MAX(MIN('Council Entry'!AF74,'Council Entry'!AF$9),'Council Entry'!AF$8),'Council Entry'!AF74)),IF(AND(ISNUMBER('Council Entry'!AF$8),ISNUMBER('Council Entry'!AF$9)),MAX(MIN('Council Entry'!AF74,'Council Entry'!AF$9),'Council Entry'!AF$8),'Council Entry'!AF74))))-'Council Entry'!AF$5)/('Council Entry'!AF$6-'Council Entry'!AF$5),10*((IF('Council Entry'!AF$4="Logarithm",LN(0.001+IF(AND(ISNUMBER('Council Entry'!AF$8),ISNUMBER('Council Entry'!AF$9)),MAX(MIN('Council Entry'!AF74,'Council Entry'!AF$9),'Council Entry'!AF$8),'Council Entry'!AF74)),IF('Council Entry'!AF$4="Exponential",EXP(IF(AND(ISNUMBER('Council Entry'!AF$8),ISNUMBER('Council Entry'!AF$9)),MAX(MIN('Council Entry'!AF74,'Council Entry'!AF$9),'Council Entry'!AF$8),'Council Entry'!AF74)),IF(AND(ISNUMBER('Council Entry'!AF$8),ISNUMBER('Council Entry'!AF$9)),MAX(MIN('Council Entry'!AF74,'Council Entry'!AF$9),'Council Entry'!AF$8),'Council Entry'!AF74))))-'Council Entry'!AF$5)/('Council Entry'!AF$6-'Council Entry'!AF$5)),1))),"No data"))</f>
        <v/>
      </c>
      <c r="AG74" s="13">
        <f>IF('Council Entry'!AG74="","",IFERROR(MAX(0,MIN(10,ROUND(IF('Council Entry'!AG$7="Decrease Risk",10-10*((IF('Council Entry'!AG$4="Logarithm",LN(0.001+IF(AND(ISNUMBER('Council Entry'!AG$8),ISNUMBER('Council Entry'!AG$9)),MAX(MIN('Council Entry'!AG74,'Council Entry'!AG$9),'Council Entry'!AG$8),'Council Entry'!AG74)),IF('Council Entry'!AG$4="Exponential",EXP(IF(AND(ISNUMBER('Council Entry'!AG$8),ISNUMBER('Council Entry'!AG$9)),MAX(MIN('Council Entry'!AG74,'Council Entry'!AG$9),'Council Entry'!AG$8),'Council Entry'!AG74)),IF(AND(ISNUMBER('Council Entry'!AG$8),ISNUMBER('Council Entry'!AG$9)),MAX(MIN('Council Entry'!AG74,'Council Entry'!AG$9),'Council Entry'!AG$8),'Council Entry'!AG74))))-'Council Entry'!AG$5)/('Council Entry'!AG$6-'Council Entry'!AG$5),10*((IF('Council Entry'!AG$4="Logarithm",LN(0.001+IF(AND(ISNUMBER('Council Entry'!AG$8),ISNUMBER('Council Entry'!AG$9)),MAX(MIN('Council Entry'!AG74,'Council Entry'!AG$9),'Council Entry'!AG$8),'Council Entry'!AG74)),IF('Council Entry'!AG$4="Exponential",EXP(IF(AND(ISNUMBER('Council Entry'!AG$8),ISNUMBER('Council Entry'!AG$9)),MAX(MIN('Council Entry'!AG74,'Council Entry'!AG$9),'Council Entry'!AG$8),'Council Entry'!AG74)),IF(AND(ISNUMBER('Council Entry'!AG$8),ISNUMBER('Council Entry'!AG$9)),MAX(MIN('Council Entry'!AG74,'Council Entry'!AG$9),'Council Entry'!AG$8),'Council Entry'!AG74))))-'Council Entry'!AG$5)/('Council Entry'!AG$6-'Council Entry'!AG$5)),1))),"No data"))</f>
        <v/>
      </c>
      <c r="AH74" s="13">
        <f>IF('Council Entry'!AH74="","",IFERROR(MAX(0,MIN(10,ROUND(IF('Council Entry'!AH$7="Decrease Risk",10-10*((IF('Council Entry'!AH$4="Logarithm",LN(0.001+IF(AND(ISNUMBER('Council Entry'!AH$8),ISNUMBER('Council Entry'!AH$9)),MAX(MIN('Council Entry'!AH74,'Council Entry'!AH$9),'Council Entry'!AH$8),'Council Entry'!AH74)),IF('Council Entry'!AH$4="Exponential",EXP(IF(AND(ISNUMBER('Council Entry'!AH$8),ISNUMBER('Council Entry'!AH$9)),MAX(MIN('Council Entry'!AH74,'Council Entry'!AH$9),'Council Entry'!AH$8),'Council Entry'!AH74)),IF(AND(ISNUMBER('Council Entry'!AH$8),ISNUMBER('Council Entry'!AH$9)),MAX(MIN('Council Entry'!AH74,'Council Entry'!AH$9),'Council Entry'!AH$8),'Council Entry'!AH74))))-'Council Entry'!AH$5)/('Council Entry'!AH$6-'Council Entry'!AH$5),10*((IF('Council Entry'!AH$4="Logarithm",LN(0.001+IF(AND(ISNUMBER('Council Entry'!AH$8),ISNUMBER('Council Entry'!AH$9)),MAX(MIN('Council Entry'!AH74,'Council Entry'!AH$9),'Council Entry'!AH$8),'Council Entry'!AH74)),IF('Council Entry'!AH$4="Exponential",EXP(IF(AND(ISNUMBER('Council Entry'!AH$8),ISNUMBER('Council Entry'!AH$9)),MAX(MIN('Council Entry'!AH74,'Council Entry'!AH$9),'Council Entry'!AH$8),'Council Entry'!AH74)),IF(AND(ISNUMBER('Council Entry'!AH$8),ISNUMBER('Council Entry'!AH$9)),MAX(MIN('Council Entry'!AH74,'Council Entry'!AH$9),'Council Entry'!AH$8),'Council Entry'!AH74))))-'Council Entry'!AH$5)/('Council Entry'!AH$6-'Council Entry'!AH$5)),1))),"No data"))</f>
        <v/>
      </c>
      <c r="AI74" s="13">
        <f>IF('Council Entry'!AI74="","",IFERROR(MAX(0,MIN(10,ROUND(IF('Council Entry'!AI$7="Decrease Risk",10-10*((IF('Council Entry'!AI$4="Logarithm",LN(0.001+IF(AND(ISNUMBER('Council Entry'!AI$8),ISNUMBER('Council Entry'!AI$9)),MAX(MIN('Council Entry'!AI74,'Council Entry'!AI$9),'Council Entry'!AI$8),'Council Entry'!AI74)),IF('Council Entry'!AI$4="Exponential",EXP(IF(AND(ISNUMBER('Council Entry'!AI$8),ISNUMBER('Council Entry'!AI$9)),MAX(MIN('Council Entry'!AI74,'Council Entry'!AI$9),'Council Entry'!AI$8),'Council Entry'!AI74)),IF(AND(ISNUMBER('Council Entry'!AI$8),ISNUMBER('Council Entry'!AI$9)),MAX(MIN('Council Entry'!AI74,'Council Entry'!AI$9),'Council Entry'!AI$8),'Council Entry'!AI74))))-'Council Entry'!AI$5)/('Council Entry'!AI$6-'Council Entry'!AI$5),10*((IF('Council Entry'!AI$4="Logarithm",LN(0.001+IF(AND(ISNUMBER('Council Entry'!AI$8),ISNUMBER('Council Entry'!AI$9)),MAX(MIN('Council Entry'!AI74,'Council Entry'!AI$9),'Council Entry'!AI$8),'Council Entry'!AI74)),IF('Council Entry'!AI$4="Exponential",EXP(IF(AND(ISNUMBER('Council Entry'!AI$8),ISNUMBER('Council Entry'!AI$9)),MAX(MIN('Council Entry'!AI74,'Council Entry'!AI$9),'Council Entry'!AI$8),'Council Entry'!AI74)),IF(AND(ISNUMBER('Council Entry'!AI$8),ISNUMBER('Council Entry'!AI$9)),MAX(MIN('Council Entry'!AI74,'Council Entry'!AI$9),'Council Entry'!AI$8),'Council Entry'!AI74))))-'Council Entry'!AI$5)/('Council Entry'!AI$6-'Council Entry'!AI$5)),1))),"No data"))</f>
        <v/>
      </c>
      <c r="AJ74" s="13">
        <f>IF('Council Entry'!AJ74="","",IFERROR(MAX(0,MIN(10,ROUND(IF('Council Entry'!AJ$7="Decrease Risk",10-10*((IF('Council Entry'!AJ$4="Logarithm",LN(0.001+IF(AND(ISNUMBER('Council Entry'!AJ$8),ISNUMBER('Council Entry'!AJ$9)),MAX(MIN('Council Entry'!AJ74,'Council Entry'!AJ$9),'Council Entry'!AJ$8),'Council Entry'!AJ74)),IF('Council Entry'!AJ$4="Exponential",EXP(IF(AND(ISNUMBER('Council Entry'!AJ$8),ISNUMBER('Council Entry'!AJ$9)),MAX(MIN('Council Entry'!AJ74,'Council Entry'!AJ$9),'Council Entry'!AJ$8),'Council Entry'!AJ74)),IF(AND(ISNUMBER('Council Entry'!AJ$8),ISNUMBER('Council Entry'!AJ$9)),MAX(MIN('Council Entry'!AJ74,'Council Entry'!AJ$9),'Council Entry'!AJ$8),'Council Entry'!AJ74))))-'Council Entry'!AJ$5)/('Council Entry'!AJ$6-'Council Entry'!AJ$5),10*((IF('Council Entry'!AJ$4="Logarithm",LN(0.001+IF(AND(ISNUMBER('Council Entry'!AJ$8),ISNUMBER('Council Entry'!AJ$9)),MAX(MIN('Council Entry'!AJ74,'Council Entry'!AJ$9),'Council Entry'!AJ$8),'Council Entry'!AJ74)),IF('Council Entry'!AJ$4="Exponential",EXP(IF(AND(ISNUMBER('Council Entry'!AJ$8),ISNUMBER('Council Entry'!AJ$9)),MAX(MIN('Council Entry'!AJ74,'Council Entry'!AJ$9),'Council Entry'!AJ$8),'Council Entry'!AJ74)),IF(AND(ISNUMBER('Council Entry'!AJ$8),ISNUMBER('Council Entry'!AJ$9)),MAX(MIN('Council Entry'!AJ74,'Council Entry'!AJ$9),'Council Entry'!AJ$8),'Council Entry'!AJ74))))-'Council Entry'!AJ$5)/('Council Entry'!AJ$6-'Council Entry'!AJ$5)),1))),"No data"))</f>
        <v/>
      </c>
      <c r="AK74" s="13">
        <f>IF('Council Entry'!AK74="","",IFERROR(MAX(0,MIN(10,ROUND(IF('Council Entry'!AK$7="Decrease Risk",10-10*((IF('Council Entry'!AK$4="Logarithm",LN(0.001+IF(AND(ISNUMBER('Council Entry'!AK$8),ISNUMBER('Council Entry'!AK$9)),MAX(MIN('Council Entry'!AK74,'Council Entry'!AK$9),'Council Entry'!AK$8),'Council Entry'!AK74)),IF('Council Entry'!AK$4="Exponential",EXP(IF(AND(ISNUMBER('Council Entry'!AK$8),ISNUMBER('Council Entry'!AK$9)),MAX(MIN('Council Entry'!AK74,'Council Entry'!AK$9),'Council Entry'!AK$8),'Council Entry'!AK74)),IF(AND(ISNUMBER('Council Entry'!AK$8),ISNUMBER('Council Entry'!AK$9)),MAX(MIN('Council Entry'!AK74,'Council Entry'!AK$9),'Council Entry'!AK$8),'Council Entry'!AK74))))-'Council Entry'!AK$5)/('Council Entry'!AK$6-'Council Entry'!AK$5),10*((IF('Council Entry'!AK$4="Logarithm",LN(0.001+IF(AND(ISNUMBER('Council Entry'!AK$8),ISNUMBER('Council Entry'!AK$9)),MAX(MIN('Council Entry'!AK74,'Council Entry'!AK$9),'Council Entry'!AK$8),'Council Entry'!AK74)),IF('Council Entry'!AK$4="Exponential",EXP(IF(AND(ISNUMBER('Council Entry'!AK$8),ISNUMBER('Council Entry'!AK$9)),MAX(MIN('Council Entry'!AK74,'Council Entry'!AK$9),'Council Entry'!AK$8),'Council Entry'!AK74)),IF(AND(ISNUMBER('Council Entry'!AK$8),ISNUMBER('Council Entry'!AK$9)),MAX(MIN('Council Entry'!AK74,'Council Entry'!AK$9),'Council Entry'!AK$8),'Council Entry'!AK74))))-'Council Entry'!AK$5)/('Council Entry'!AK$6-'Council Entry'!AK$5)),1))),"No data"))</f>
        <v/>
      </c>
      <c r="AL74" s="13">
        <f>IF('Council Entry'!AL74="","",IFERROR(MAX(0,MIN(10,ROUND(IF('Council Entry'!AL$7="Decrease Risk",10-10*((IF('Council Entry'!AL$4="Logarithm",LN(0.001+IF(AND(ISNUMBER('Council Entry'!AL$8),ISNUMBER('Council Entry'!AL$9)),MAX(MIN('Council Entry'!AL74,'Council Entry'!AL$9),'Council Entry'!AL$8),'Council Entry'!AL74)),IF('Council Entry'!AL$4="Exponential",EXP(IF(AND(ISNUMBER('Council Entry'!AL$8),ISNUMBER('Council Entry'!AL$9)),MAX(MIN('Council Entry'!AL74,'Council Entry'!AL$9),'Council Entry'!AL$8),'Council Entry'!AL74)),IF(AND(ISNUMBER('Council Entry'!AL$8),ISNUMBER('Council Entry'!AL$9)),MAX(MIN('Council Entry'!AL74,'Council Entry'!AL$9),'Council Entry'!AL$8),'Council Entry'!AL74))))-'Council Entry'!AL$5)/('Council Entry'!AL$6-'Council Entry'!AL$5),10*((IF('Council Entry'!AL$4="Logarithm",LN(0.001+IF(AND(ISNUMBER('Council Entry'!AL$8),ISNUMBER('Council Entry'!AL$9)),MAX(MIN('Council Entry'!AL74,'Council Entry'!AL$9),'Council Entry'!AL$8),'Council Entry'!AL74)),IF('Council Entry'!AL$4="Exponential",EXP(IF(AND(ISNUMBER('Council Entry'!AL$8),ISNUMBER('Council Entry'!AL$9)),MAX(MIN('Council Entry'!AL74,'Council Entry'!AL$9),'Council Entry'!AL$8),'Council Entry'!AL74)),IF(AND(ISNUMBER('Council Entry'!AL$8),ISNUMBER('Council Entry'!AL$9)),MAX(MIN('Council Entry'!AL74,'Council Entry'!AL$9),'Council Entry'!AL$8),'Council Entry'!AL74))))-'Council Entry'!AL$5)/('Council Entry'!AL$6-'Council Entry'!AL$5)),1))),"No data"))</f>
        <v/>
      </c>
      <c r="AM74" s="13">
        <f>IF('Council Entry'!AM74="","",IFERROR(MAX(0,MIN(10,ROUND(IF('Council Entry'!AM$7="Decrease Risk",10-10*((IF('Council Entry'!AM$4="Logarithm",LN(0.001+IF(AND(ISNUMBER('Council Entry'!AM$8),ISNUMBER('Council Entry'!AM$9)),MAX(MIN('Council Entry'!AM74,'Council Entry'!AM$9),'Council Entry'!AM$8),'Council Entry'!AM74)),IF('Council Entry'!AM$4="Exponential",EXP(IF(AND(ISNUMBER('Council Entry'!AM$8),ISNUMBER('Council Entry'!AM$9)),MAX(MIN('Council Entry'!AM74,'Council Entry'!AM$9),'Council Entry'!AM$8),'Council Entry'!AM74)),IF(AND(ISNUMBER('Council Entry'!AM$8),ISNUMBER('Council Entry'!AM$9)),MAX(MIN('Council Entry'!AM74,'Council Entry'!AM$9),'Council Entry'!AM$8),'Council Entry'!AM74))))-'Council Entry'!AM$5)/('Council Entry'!AM$6-'Council Entry'!AM$5),10*((IF('Council Entry'!AM$4="Logarithm",LN(0.001+IF(AND(ISNUMBER('Council Entry'!AM$8),ISNUMBER('Council Entry'!AM$9)),MAX(MIN('Council Entry'!AM74,'Council Entry'!AM$9),'Council Entry'!AM$8),'Council Entry'!AM74)),IF('Council Entry'!AM$4="Exponential",EXP(IF(AND(ISNUMBER('Council Entry'!AM$8),ISNUMBER('Council Entry'!AM$9)),MAX(MIN('Council Entry'!AM74,'Council Entry'!AM$9),'Council Entry'!AM$8),'Council Entry'!AM74)),IF(AND(ISNUMBER('Council Entry'!AM$8),ISNUMBER('Council Entry'!AM$9)),MAX(MIN('Council Entry'!AM74,'Council Entry'!AM$9),'Council Entry'!AM$8),'Council Entry'!AM74))))-'Council Entry'!AM$5)/('Council Entry'!AM$6-'Council Entry'!AM$5)),1))),"No data"))</f>
        <v/>
      </c>
      <c r="AN74" s="13">
        <f>IF('Council Entry'!AN74="","",IFERROR(MAX(0,MIN(10,ROUND(IF('Council Entry'!AN$7="Decrease Risk",10-10*((IF('Council Entry'!AN$4="Logarithm",LN(0.001+IF(AND(ISNUMBER('Council Entry'!AN$8),ISNUMBER('Council Entry'!AN$9)),MAX(MIN('Council Entry'!AN74,'Council Entry'!AN$9),'Council Entry'!AN$8),'Council Entry'!AN74)),IF('Council Entry'!AN$4="Exponential",EXP(IF(AND(ISNUMBER('Council Entry'!AN$8),ISNUMBER('Council Entry'!AN$9)),MAX(MIN('Council Entry'!AN74,'Council Entry'!AN$9),'Council Entry'!AN$8),'Council Entry'!AN74)),IF(AND(ISNUMBER('Council Entry'!AN$8),ISNUMBER('Council Entry'!AN$9)),MAX(MIN('Council Entry'!AN74,'Council Entry'!AN$9),'Council Entry'!AN$8),'Council Entry'!AN74))))-'Council Entry'!AN$5)/('Council Entry'!AN$6-'Council Entry'!AN$5),10*((IF('Council Entry'!AN$4="Logarithm",LN(0.001+IF(AND(ISNUMBER('Council Entry'!AN$8),ISNUMBER('Council Entry'!AN$9)),MAX(MIN('Council Entry'!AN74,'Council Entry'!AN$9),'Council Entry'!AN$8),'Council Entry'!AN74)),IF('Council Entry'!AN$4="Exponential",EXP(IF(AND(ISNUMBER('Council Entry'!AN$8),ISNUMBER('Council Entry'!AN$9)),MAX(MIN('Council Entry'!AN74,'Council Entry'!AN$9),'Council Entry'!AN$8),'Council Entry'!AN74)),IF(AND(ISNUMBER('Council Entry'!AN$8),ISNUMBER('Council Entry'!AN$9)),MAX(MIN('Council Entry'!AN74,'Council Entry'!AN$9),'Council Entry'!AN$8),'Council Entry'!AN74))))-'Council Entry'!AN$5)/('Council Entry'!AN$6-'Council Entry'!AN$5)),1))),"No data"))</f>
        <v/>
      </c>
      <c r="AO74" s="13">
        <f>IF('Council Entry'!AO74="","",IFERROR(MAX(0,MIN(10,ROUND(IF('Council Entry'!AO$7="Decrease Risk",10-10*((IF('Council Entry'!AO$4="Logarithm",LN(0.001+IF(AND(ISNUMBER('Council Entry'!AO$8),ISNUMBER('Council Entry'!AO$9)),MAX(MIN('Council Entry'!AO74,'Council Entry'!AO$9),'Council Entry'!AO$8),'Council Entry'!AO74)),IF('Council Entry'!AO$4="Exponential",EXP(IF(AND(ISNUMBER('Council Entry'!AO$8),ISNUMBER('Council Entry'!AO$9)),MAX(MIN('Council Entry'!AO74,'Council Entry'!AO$9),'Council Entry'!AO$8),'Council Entry'!AO74)),IF(AND(ISNUMBER('Council Entry'!AO$8),ISNUMBER('Council Entry'!AO$9)),MAX(MIN('Council Entry'!AO74,'Council Entry'!AO$9),'Council Entry'!AO$8),'Council Entry'!AO74))))-'Council Entry'!AO$5)/('Council Entry'!AO$6-'Council Entry'!AO$5),10*((IF('Council Entry'!AO$4="Logarithm",LN(0.001+IF(AND(ISNUMBER('Council Entry'!AO$8),ISNUMBER('Council Entry'!AO$9)),MAX(MIN('Council Entry'!AO74,'Council Entry'!AO$9),'Council Entry'!AO$8),'Council Entry'!AO74)),IF('Council Entry'!AO$4="Exponential",EXP(IF(AND(ISNUMBER('Council Entry'!AO$8),ISNUMBER('Council Entry'!AO$9)),MAX(MIN('Council Entry'!AO74,'Council Entry'!AO$9),'Council Entry'!AO$8),'Council Entry'!AO74)),IF(AND(ISNUMBER('Council Entry'!AO$8),ISNUMBER('Council Entry'!AO$9)),MAX(MIN('Council Entry'!AO74,'Council Entry'!AO$9),'Council Entry'!AO$8),'Council Entry'!AO74))))-'Council Entry'!AO$5)/('Council Entry'!AO$6-'Council Entry'!AO$5)),1))),"No data"))</f>
        <v/>
      </c>
      <c r="AP74" s="13">
        <f>IF('Council Entry'!AP74="","",IFERROR(MAX(0,MIN(10,ROUND(IF('Council Entry'!AP$7="Decrease Risk",10-10*((IF('Council Entry'!AP$4="Logarithm",LN(0.001+IF(AND(ISNUMBER('Council Entry'!AP$8),ISNUMBER('Council Entry'!AP$9)),MAX(MIN('Council Entry'!AP74,'Council Entry'!AP$9),'Council Entry'!AP$8),'Council Entry'!AP74)),IF('Council Entry'!AP$4="Exponential",EXP(IF(AND(ISNUMBER('Council Entry'!AP$8),ISNUMBER('Council Entry'!AP$9)),MAX(MIN('Council Entry'!AP74,'Council Entry'!AP$9),'Council Entry'!AP$8),'Council Entry'!AP74)),IF(AND(ISNUMBER('Council Entry'!AP$8),ISNUMBER('Council Entry'!AP$9)),MAX(MIN('Council Entry'!AP74,'Council Entry'!AP$9),'Council Entry'!AP$8),'Council Entry'!AP74))))-'Council Entry'!AP$5)/('Council Entry'!AP$6-'Council Entry'!AP$5),10*((IF('Council Entry'!AP$4="Logarithm",LN(0.001+IF(AND(ISNUMBER('Council Entry'!AP$8),ISNUMBER('Council Entry'!AP$9)),MAX(MIN('Council Entry'!AP74,'Council Entry'!AP$9),'Council Entry'!AP$8),'Council Entry'!AP74)),IF('Council Entry'!AP$4="Exponential",EXP(IF(AND(ISNUMBER('Council Entry'!AP$8),ISNUMBER('Council Entry'!AP$9)),MAX(MIN('Council Entry'!AP74,'Council Entry'!AP$9),'Council Entry'!AP$8),'Council Entry'!AP74)),IF(AND(ISNUMBER('Council Entry'!AP$8),ISNUMBER('Council Entry'!AP$9)),MAX(MIN('Council Entry'!AP74,'Council Entry'!AP$9),'Council Entry'!AP$8),'Council Entry'!AP74))))-'Council Entry'!AP$5)/('Council Entry'!AP$6-'Council Entry'!AP$5)),1))),"No data"))</f>
        <v/>
      </c>
      <c r="AQ74" s="13">
        <f>IF('Council Entry'!AQ74="","",IFERROR(MAX(0,MIN(10,ROUND(IF('Council Entry'!AQ$7="Decrease Risk",10-10*((IF('Council Entry'!AQ$4="Logarithm",LN(0.001+IF(AND(ISNUMBER('Council Entry'!AQ$8),ISNUMBER('Council Entry'!AQ$9)),MAX(MIN('Council Entry'!AQ74,'Council Entry'!AQ$9),'Council Entry'!AQ$8),'Council Entry'!AQ74)),IF('Council Entry'!AQ$4="Exponential",EXP(IF(AND(ISNUMBER('Council Entry'!AQ$8),ISNUMBER('Council Entry'!AQ$9)),MAX(MIN('Council Entry'!AQ74,'Council Entry'!AQ$9),'Council Entry'!AQ$8),'Council Entry'!AQ74)),IF(AND(ISNUMBER('Council Entry'!AQ$8),ISNUMBER('Council Entry'!AQ$9)),MAX(MIN('Council Entry'!AQ74,'Council Entry'!AQ$9),'Council Entry'!AQ$8),'Council Entry'!AQ74))))-'Council Entry'!AQ$5)/('Council Entry'!AQ$6-'Council Entry'!AQ$5),10*((IF('Council Entry'!AQ$4="Logarithm",LN(0.001+IF(AND(ISNUMBER('Council Entry'!AQ$8),ISNUMBER('Council Entry'!AQ$9)),MAX(MIN('Council Entry'!AQ74,'Council Entry'!AQ$9),'Council Entry'!AQ$8),'Council Entry'!AQ74)),IF('Council Entry'!AQ$4="Exponential",EXP(IF(AND(ISNUMBER('Council Entry'!AQ$8),ISNUMBER('Council Entry'!AQ$9)),MAX(MIN('Council Entry'!AQ74,'Council Entry'!AQ$9),'Council Entry'!AQ$8),'Council Entry'!AQ74)),IF(AND(ISNUMBER('Council Entry'!AQ$8),ISNUMBER('Council Entry'!AQ$9)),MAX(MIN('Council Entry'!AQ74,'Council Entry'!AQ$9),'Council Entry'!AQ$8),'Council Entry'!AQ74))))-'Council Entry'!AQ$5)/('Council Entry'!AQ$6-'Council Entry'!AQ$5)),1))),"No data"))</f>
        <v/>
      </c>
      <c r="AR74" s="13">
        <f>IF('Council Entry'!AR74="","",IFERROR(MAX(0,MIN(10,ROUND(IF('Council Entry'!AR$7="Decrease Risk",10-10*((IF('Council Entry'!AR$4="Logarithm",LN(0.001+IF(AND(ISNUMBER('Council Entry'!AR$8),ISNUMBER('Council Entry'!AR$9)),MAX(MIN('Council Entry'!AR74,'Council Entry'!AR$9),'Council Entry'!AR$8),'Council Entry'!AR74)),IF('Council Entry'!AR$4="Exponential",EXP(IF(AND(ISNUMBER('Council Entry'!AR$8),ISNUMBER('Council Entry'!AR$9)),MAX(MIN('Council Entry'!AR74,'Council Entry'!AR$9),'Council Entry'!AR$8),'Council Entry'!AR74)),IF(AND(ISNUMBER('Council Entry'!AR$8),ISNUMBER('Council Entry'!AR$9)),MAX(MIN('Council Entry'!AR74,'Council Entry'!AR$9),'Council Entry'!AR$8),'Council Entry'!AR74))))-'Council Entry'!AR$5)/('Council Entry'!AR$6-'Council Entry'!AR$5),10*((IF('Council Entry'!AR$4="Logarithm",LN(0.001+IF(AND(ISNUMBER('Council Entry'!AR$8),ISNUMBER('Council Entry'!AR$9)),MAX(MIN('Council Entry'!AR74,'Council Entry'!AR$9),'Council Entry'!AR$8),'Council Entry'!AR74)),IF('Council Entry'!AR$4="Exponential",EXP(IF(AND(ISNUMBER('Council Entry'!AR$8),ISNUMBER('Council Entry'!AR$9)),MAX(MIN('Council Entry'!AR74,'Council Entry'!AR$9),'Council Entry'!AR$8),'Council Entry'!AR74)),IF(AND(ISNUMBER('Council Entry'!AR$8),ISNUMBER('Council Entry'!AR$9)),MAX(MIN('Council Entry'!AR74,'Council Entry'!AR$9),'Council Entry'!AR$8),'Council Entry'!AR74))))-'Council Entry'!AR$5)/('Council Entry'!AR$6-'Council Entry'!AR$5)),1))),"No data"))</f>
        <v/>
      </c>
      <c r="AS74" s="13">
        <f>IF('Council Entry'!AS74="","",IFERROR(MAX(0,MIN(10,ROUND(IF('Council Entry'!AS$7="Decrease Risk",10-10*((IF('Council Entry'!AS$4="Logarithm",LN(0.001+IF(AND(ISNUMBER('Council Entry'!AS$8),ISNUMBER('Council Entry'!AS$9)),MAX(MIN('Council Entry'!AS74,'Council Entry'!AS$9),'Council Entry'!AS$8),'Council Entry'!AS74)),IF('Council Entry'!AS$4="Exponential",EXP(IF(AND(ISNUMBER('Council Entry'!AS$8),ISNUMBER('Council Entry'!AS$9)),MAX(MIN('Council Entry'!AS74,'Council Entry'!AS$9),'Council Entry'!AS$8),'Council Entry'!AS74)),IF(AND(ISNUMBER('Council Entry'!AS$8),ISNUMBER('Council Entry'!AS$9)),MAX(MIN('Council Entry'!AS74,'Council Entry'!AS$9),'Council Entry'!AS$8),'Council Entry'!AS74))))-'Council Entry'!AS$5)/('Council Entry'!AS$6-'Council Entry'!AS$5),10*((IF('Council Entry'!AS$4="Logarithm",LN(0.001+IF(AND(ISNUMBER('Council Entry'!AS$8),ISNUMBER('Council Entry'!AS$9)),MAX(MIN('Council Entry'!AS74,'Council Entry'!AS$9),'Council Entry'!AS$8),'Council Entry'!AS74)),IF('Council Entry'!AS$4="Exponential",EXP(IF(AND(ISNUMBER('Council Entry'!AS$8),ISNUMBER('Council Entry'!AS$9)),MAX(MIN('Council Entry'!AS74,'Council Entry'!AS$9),'Council Entry'!AS$8),'Council Entry'!AS74)),IF(AND(ISNUMBER('Council Entry'!AS$8),ISNUMBER('Council Entry'!AS$9)),MAX(MIN('Council Entry'!AS74,'Council Entry'!AS$9),'Council Entry'!AS$8),'Council Entry'!AS74))))-'Council Entry'!AS$5)/('Council Entry'!AS$6-'Council Entry'!AS$5)),1))),"No data"))</f>
        <v/>
      </c>
      <c r="AT74" s="13">
        <f>IF('Council Entry'!AT74="","",IFERROR(MAX(0,MIN(10,ROUND(IF('Council Entry'!AT$7="Decrease Risk",10-10*((IF('Council Entry'!AT$4="Logarithm",LN(0.001+IF(AND(ISNUMBER('Council Entry'!AT$8),ISNUMBER('Council Entry'!AT$9)),MAX(MIN('Council Entry'!AT74,'Council Entry'!AT$9),'Council Entry'!AT$8),'Council Entry'!AT74)),IF('Council Entry'!AT$4="Exponential",EXP(IF(AND(ISNUMBER('Council Entry'!AT$8),ISNUMBER('Council Entry'!AT$9)),MAX(MIN('Council Entry'!AT74,'Council Entry'!AT$9),'Council Entry'!AT$8),'Council Entry'!AT74)),IF(AND(ISNUMBER('Council Entry'!AT$8),ISNUMBER('Council Entry'!AT$9)),MAX(MIN('Council Entry'!AT74,'Council Entry'!AT$9),'Council Entry'!AT$8),'Council Entry'!AT74))))-'Council Entry'!AT$5)/('Council Entry'!AT$6-'Council Entry'!AT$5),10*((IF('Council Entry'!AT$4="Logarithm",LN(0.001+IF(AND(ISNUMBER('Council Entry'!AT$8),ISNUMBER('Council Entry'!AT$9)),MAX(MIN('Council Entry'!AT74,'Council Entry'!AT$9),'Council Entry'!AT$8),'Council Entry'!AT74)),IF('Council Entry'!AT$4="Exponential",EXP(IF(AND(ISNUMBER('Council Entry'!AT$8),ISNUMBER('Council Entry'!AT$9)),MAX(MIN('Council Entry'!AT74,'Council Entry'!AT$9),'Council Entry'!AT$8),'Council Entry'!AT74)),IF(AND(ISNUMBER('Council Entry'!AT$8),ISNUMBER('Council Entry'!AT$9)),MAX(MIN('Council Entry'!AT74,'Council Entry'!AT$9),'Council Entry'!AT$8),'Council Entry'!AT74))))-'Council Entry'!AT$5)/('Council Entry'!AT$6-'Council Entry'!AT$5)),1))),"No data"))</f>
        <v/>
      </c>
      <c r="AU74" s="13">
        <f>IF('Council Entry'!AU74="","",IFERROR(MAX(0,MIN(10,ROUND(IF('Council Entry'!AU$7="Decrease Risk",10-10*((IF('Council Entry'!AU$4="Logarithm",LN(0.001+IF(AND(ISNUMBER('Council Entry'!AU$8),ISNUMBER('Council Entry'!AU$9)),MAX(MIN('Council Entry'!AU74,'Council Entry'!AU$9),'Council Entry'!AU$8),'Council Entry'!AU74)),IF('Council Entry'!AU$4="Exponential",EXP(IF(AND(ISNUMBER('Council Entry'!AU$8),ISNUMBER('Council Entry'!AU$9)),MAX(MIN('Council Entry'!AU74,'Council Entry'!AU$9),'Council Entry'!AU$8),'Council Entry'!AU74)),IF(AND(ISNUMBER('Council Entry'!AU$8),ISNUMBER('Council Entry'!AU$9)),MAX(MIN('Council Entry'!AU74,'Council Entry'!AU$9),'Council Entry'!AU$8),'Council Entry'!AU74))))-'Council Entry'!AU$5)/('Council Entry'!AU$6-'Council Entry'!AU$5),10*((IF('Council Entry'!AU$4="Logarithm",LN(0.001+IF(AND(ISNUMBER('Council Entry'!AU$8),ISNUMBER('Council Entry'!AU$9)),MAX(MIN('Council Entry'!AU74,'Council Entry'!AU$9),'Council Entry'!AU$8),'Council Entry'!AU74)),IF('Council Entry'!AU$4="Exponential",EXP(IF(AND(ISNUMBER('Council Entry'!AU$8),ISNUMBER('Council Entry'!AU$9)),MAX(MIN('Council Entry'!AU74,'Council Entry'!AU$9),'Council Entry'!AU$8),'Council Entry'!AU74)),IF(AND(ISNUMBER('Council Entry'!AU$8),ISNUMBER('Council Entry'!AU$9)),MAX(MIN('Council Entry'!AU74,'Council Entry'!AU$9),'Council Entry'!AU$8),'Council Entry'!AU74))))-'Council Entry'!AU$5)/('Council Entry'!AU$6-'Council Entry'!AU$5)),1))),"No data"))</f>
        <v/>
      </c>
      <c r="AV74" s="13">
        <f>IF('Council Entry'!AV74="","",IFERROR(MAX(0,MIN(10,ROUND(IF('Council Entry'!AV$7="Decrease Risk",10-10*((IF('Council Entry'!AV$4="Logarithm",LN(0.001+IF(AND(ISNUMBER('Council Entry'!AV$8),ISNUMBER('Council Entry'!AV$9)),MAX(MIN('Council Entry'!AV74,'Council Entry'!AV$9),'Council Entry'!AV$8),'Council Entry'!AV74)),IF('Council Entry'!AV$4="Exponential",EXP(IF(AND(ISNUMBER('Council Entry'!AV$8),ISNUMBER('Council Entry'!AV$9)),MAX(MIN('Council Entry'!AV74,'Council Entry'!AV$9),'Council Entry'!AV$8),'Council Entry'!AV74)),IF(AND(ISNUMBER('Council Entry'!AV$8),ISNUMBER('Council Entry'!AV$9)),MAX(MIN('Council Entry'!AV74,'Council Entry'!AV$9),'Council Entry'!AV$8),'Council Entry'!AV74))))-'Council Entry'!AV$5)/('Council Entry'!AV$6-'Council Entry'!AV$5),10*((IF('Council Entry'!AV$4="Logarithm",LN(0.001+IF(AND(ISNUMBER('Council Entry'!AV$8),ISNUMBER('Council Entry'!AV$9)),MAX(MIN('Council Entry'!AV74,'Council Entry'!AV$9),'Council Entry'!AV$8),'Council Entry'!AV74)),IF('Council Entry'!AV$4="Exponential",EXP(IF(AND(ISNUMBER('Council Entry'!AV$8),ISNUMBER('Council Entry'!AV$9)),MAX(MIN('Council Entry'!AV74,'Council Entry'!AV$9),'Council Entry'!AV$8),'Council Entry'!AV74)),IF(AND(ISNUMBER('Council Entry'!AV$8),ISNUMBER('Council Entry'!AV$9)),MAX(MIN('Council Entry'!AV74,'Council Entry'!AV$9),'Council Entry'!AV$8),'Council Entry'!AV74))))-'Council Entry'!AV$5)/('Council Entry'!AV$6-'Council Entry'!AV$5)),1))),"No data"))</f>
        <v/>
      </c>
      <c r="AW74" s="13">
        <f>IF('Council Entry'!AW74="","",IFERROR(MAX(0,MIN(10,ROUND(IF('Council Entry'!AW$7="Decrease Risk",10-10*((IF('Council Entry'!AW$4="Logarithm",LN(0.001+IF(AND(ISNUMBER('Council Entry'!AW$8),ISNUMBER('Council Entry'!AW$9)),MAX(MIN('Council Entry'!AW74,'Council Entry'!AW$9),'Council Entry'!AW$8),'Council Entry'!AW74)),IF('Council Entry'!AW$4="Exponential",EXP(IF(AND(ISNUMBER('Council Entry'!AW$8),ISNUMBER('Council Entry'!AW$9)),MAX(MIN('Council Entry'!AW74,'Council Entry'!AW$9),'Council Entry'!AW$8),'Council Entry'!AW74)),IF(AND(ISNUMBER('Council Entry'!AW$8),ISNUMBER('Council Entry'!AW$9)),MAX(MIN('Council Entry'!AW74,'Council Entry'!AW$9),'Council Entry'!AW$8),'Council Entry'!AW74))))-'Council Entry'!AW$5)/('Council Entry'!AW$6-'Council Entry'!AW$5),10*((IF('Council Entry'!AW$4="Logarithm",LN(0.001+IF(AND(ISNUMBER('Council Entry'!AW$8),ISNUMBER('Council Entry'!AW$9)),MAX(MIN('Council Entry'!AW74,'Council Entry'!AW$9),'Council Entry'!AW$8),'Council Entry'!AW74)),IF('Council Entry'!AW$4="Exponential",EXP(IF(AND(ISNUMBER('Council Entry'!AW$8),ISNUMBER('Council Entry'!AW$9)),MAX(MIN('Council Entry'!AW74,'Council Entry'!AW$9),'Council Entry'!AW$8),'Council Entry'!AW74)),IF(AND(ISNUMBER('Council Entry'!AW$8),ISNUMBER('Council Entry'!AW$9)),MAX(MIN('Council Entry'!AW74,'Council Entry'!AW$9),'Council Entry'!AW$8),'Council Entry'!AW74))))-'Council Entry'!AW$5)/('Council Entry'!AW$6-'Council Entry'!AW$5)),1))),"No data"))</f>
        <v/>
      </c>
      <c r="AX74" s="13">
        <f>IF('Council Entry'!AX74="","",IFERROR(MAX(0,MIN(10,ROUND(IF('Council Entry'!AX$7="Decrease Risk",10-10*((IF('Council Entry'!AX$4="Logarithm",LN(0.001+IF(AND(ISNUMBER('Council Entry'!AX$8),ISNUMBER('Council Entry'!AX$9)),MAX(MIN('Council Entry'!AX74,'Council Entry'!AX$9),'Council Entry'!AX$8),'Council Entry'!AX74)),IF('Council Entry'!AX$4="Exponential",EXP(IF(AND(ISNUMBER('Council Entry'!AX$8),ISNUMBER('Council Entry'!AX$9)),MAX(MIN('Council Entry'!AX74,'Council Entry'!AX$9),'Council Entry'!AX$8),'Council Entry'!AX74)),IF(AND(ISNUMBER('Council Entry'!AX$8),ISNUMBER('Council Entry'!AX$9)),MAX(MIN('Council Entry'!AX74,'Council Entry'!AX$9),'Council Entry'!AX$8),'Council Entry'!AX74))))-'Council Entry'!AX$5)/('Council Entry'!AX$6-'Council Entry'!AX$5),10*((IF('Council Entry'!AX$4="Logarithm",LN(0.001+IF(AND(ISNUMBER('Council Entry'!AX$8),ISNUMBER('Council Entry'!AX$9)),MAX(MIN('Council Entry'!AX74,'Council Entry'!AX$9),'Council Entry'!AX$8),'Council Entry'!AX74)),IF('Council Entry'!AX$4="Exponential",EXP(IF(AND(ISNUMBER('Council Entry'!AX$8),ISNUMBER('Council Entry'!AX$9)),MAX(MIN('Council Entry'!AX74,'Council Entry'!AX$9),'Council Entry'!AX$8),'Council Entry'!AX74)),IF(AND(ISNUMBER('Council Entry'!AX$8),ISNUMBER('Council Entry'!AX$9)),MAX(MIN('Council Entry'!AX74,'Council Entry'!AX$9),'Council Entry'!AX$8),'Council Entry'!AX74))))-'Council Entry'!AX$5)/('Council Entry'!AX$6-'Council Entry'!AX$5)),1))),"No data"))</f>
        <v/>
      </c>
      <c r="AY74" s="13">
        <f>IF('Council Entry'!AY74="","",IFERROR(MAX(0,MIN(10,ROUND(IF('Council Entry'!AY$7="Decrease Risk",10-10*((IF('Council Entry'!AY$4="Logarithm",LN(0.001+IF(AND(ISNUMBER('Council Entry'!AY$8),ISNUMBER('Council Entry'!AY$9)),MAX(MIN('Council Entry'!AY74,'Council Entry'!AY$9),'Council Entry'!AY$8),'Council Entry'!AY74)),IF('Council Entry'!AY$4="Exponential",EXP(IF(AND(ISNUMBER('Council Entry'!AY$8),ISNUMBER('Council Entry'!AY$9)),MAX(MIN('Council Entry'!AY74,'Council Entry'!AY$9),'Council Entry'!AY$8),'Council Entry'!AY74)),IF(AND(ISNUMBER('Council Entry'!AY$8),ISNUMBER('Council Entry'!AY$9)),MAX(MIN('Council Entry'!AY74,'Council Entry'!AY$9),'Council Entry'!AY$8),'Council Entry'!AY74))))-'Council Entry'!AY$5)/('Council Entry'!AY$6-'Council Entry'!AY$5),10*((IF('Council Entry'!AY$4="Logarithm",LN(0.001+IF(AND(ISNUMBER('Council Entry'!AY$8),ISNUMBER('Council Entry'!AY$9)),MAX(MIN('Council Entry'!AY74,'Council Entry'!AY$9),'Council Entry'!AY$8),'Council Entry'!AY74)),IF('Council Entry'!AY$4="Exponential",EXP(IF(AND(ISNUMBER('Council Entry'!AY$8),ISNUMBER('Council Entry'!AY$9)),MAX(MIN('Council Entry'!AY74,'Council Entry'!AY$9),'Council Entry'!AY$8),'Council Entry'!AY74)),IF(AND(ISNUMBER('Council Entry'!AY$8),ISNUMBER('Council Entry'!AY$9)),MAX(MIN('Council Entry'!AY74,'Council Entry'!AY$9),'Council Entry'!AY$8),'Council Entry'!AY74))))-'Council Entry'!AY$5)/('Council Entry'!AY$6-'Council Entry'!AY$5)),1))),"No data"))</f>
        <v/>
      </c>
      <c r="AZ74" s="13">
        <f>IF('Council Entry'!AZ74="","",IFERROR(MAX(0,MIN(10,ROUND(IF('Council Entry'!AZ$7="Decrease Risk",10-10*((IF('Council Entry'!AZ$4="Logarithm",LN(0.001+IF(AND(ISNUMBER('Council Entry'!AZ$8),ISNUMBER('Council Entry'!AZ$9)),MAX(MIN('Council Entry'!AZ74,'Council Entry'!AZ$9),'Council Entry'!AZ$8),'Council Entry'!AZ74)),IF('Council Entry'!AZ$4="Exponential",EXP(IF(AND(ISNUMBER('Council Entry'!AZ$8),ISNUMBER('Council Entry'!AZ$9)),MAX(MIN('Council Entry'!AZ74,'Council Entry'!AZ$9),'Council Entry'!AZ$8),'Council Entry'!AZ74)),IF(AND(ISNUMBER('Council Entry'!AZ$8),ISNUMBER('Council Entry'!AZ$9)),MAX(MIN('Council Entry'!AZ74,'Council Entry'!AZ$9),'Council Entry'!AZ$8),'Council Entry'!AZ74))))-'Council Entry'!AZ$5)/('Council Entry'!AZ$6-'Council Entry'!AZ$5),10*((IF('Council Entry'!AZ$4="Logarithm",LN(0.001+IF(AND(ISNUMBER('Council Entry'!AZ$8),ISNUMBER('Council Entry'!AZ$9)),MAX(MIN('Council Entry'!AZ74,'Council Entry'!AZ$9),'Council Entry'!AZ$8),'Council Entry'!AZ74)),IF('Council Entry'!AZ$4="Exponential",EXP(IF(AND(ISNUMBER('Council Entry'!AZ$8),ISNUMBER('Council Entry'!AZ$9)),MAX(MIN('Council Entry'!AZ74,'Council Entry'!AZ$9),'Council Entry'!AZ$8),'Council Entry'!AZ74)),IF(AND(ISNUMBER('Council Entry'!AZ$8),ISNUMBER('Council Entry'!AZ$9)),MAX(MIN('Council Entry'!AZ74,'Council Entry'!AZ$9),'Council Entry'!AZ$8),'Council Entry'!AZ74))))-'Council Entry'!AZ$5)/('Council Entry'!AZ$6-'Council Entry'!AZ$5)),1))),"No data"))</f>
        <v/>
      </c>
      <c r="BA74" s="13">
        <f>IF('Council Entry'!BA74="","",IFERROR(MAX(0,MIN(10,ROUND(IF('Council Entry'!BA$7="Decrease Risk",10-10*((IF('Council Entry'!BA$4="Logarithm",LN(0.001+IF(AND(ISNUMBER('Council Entry'!BA$8),ISNUMBER('Council Entry'!BA$9)),MAX(MIN('Council Entry'!BA74,'Council Entry'!BA$9),'Council Entry'!BA$8),'Council Entry'!BA74)),IF('Council Entry'!BA$4="Exponential",EXP(IF(AND(ISNUMBER('Council Entry'!BA$8),ISNUMBER('Council Entry'!BA$9)),MAX(MIN('Council Entry'!BA74,'Council Entry'!BA$9),'Council Entry'!BA$8),'Council Entry'!BA74)),IF(AND(ISNUMBER('Council Entry'!BA$8),ISNUMBER('Council Entry'!BA$9)),MAX(MIN('Council Entry'!BA74,'Council Entry'!BA$9),'Council Entry'!BA$8),'Council Entry'!BA74))))-'Council Entry'!BA$5)/('Council Entry'!BA$6-'Council Entry'!BA$5),10*((IF('Council Entry'!BA$4="Logarithm",LN(0.001+IF(AND(ISNUMBER('Council Entry'!BA$8),ISNUMBER('Council Entry'!BA$9)),MAX(MIN('Council Entry'!BA74,'Council Entry'!BA$9),'Council Entry'!BA$8),'Council Entry'!BA74)),IF('Council Entry'!BA$4="Exponential",EXP(IF(AND(ISNUMBER('Council Entry'!BA$8),ISNUMBER('Council Entry'!BA$9)),MAX(MIN('Council Entry'!BA74,'Council Entry'!BA$9),'Council Entry'!BA$8),'Council Entry'!BA74)),IF(AND(ISNUMBER('Council Entry'!BA$8),ISNUMBER('Council Entry'!BA$9)),MAX(MIN('Council Entry'!BA74,'Council Entry'!BA$9),'Council Entry'!BA$8),'Council Entry'!BA74))))-'Council Entry'!BA$5)/('Council Entry'!BA$6-'Council Entry'!BA$5)),1))),"No data"))</f>
        <v/>
      </c>
      <c r="BB74" s="13">
        <f>IF('Council Entry'!BB74="","",IFERROR(MAX(0,MIN(10,ROUND(IF('Council Entry'!BB$7="Decrease Risk",10-10*((IF('Council Entry'!BB$4="Logarithm",LN(0.001+IF(AND(ISNUMBER('Council Entry'!BB$8),ISNUMBER('Council Entry'!BB$9)),MAX(MIN('Council Entry'!BB74,'Council Entry'!BB$9),'Council Entry'!BB$8),'Council Entry'!BB74)),IF('Council Entry'!BB$4="Exponential",EXP(IF(AND(ISNUMBER('Council Entry'!BB$8),ISNUMBER('Council Entry'!BB$9)),MAX(MIN('Council Entry'!BB74,'Council Entry'!BB$9),'Council Entry'!BB$8),'Council Entry'!BB74)),IF(AND(ISNUMBER('Council Entry'!BB$8),ISNUMBER('Council Entry'!BB$9)),MAX(MIN('Council Entry'!BB74,'Council Entry'!BB$9),'Council Entry'!BB$8),'Council Entry'!BB74))))-'Council Entry'!BB$5)/('Council Entry'!BB$6-'Council Entry'!BB$5),10*((IF('Council Entry'!BB$4="Logarithm",LN(0.001+IF(AND(ISNUMBER('Council Entry'!BB$8),ISNUMBER('Council Entry'!BB$9)),MAX(MIN('Council Entry'!BB74,'Council Entry'!BB$9),'Council Entry'!BB$8),'Council Entry'!BB74)),IF('Council Entry'!BB$4="Exponential",EXP(IF(AND(ISNUMBER('Council Entry'!BB$8),ISNUMBER('Council Entry'!BB$9)),MAX(MIN('Council Entry'!BB74,'Council Entry'!BB$9),'Council Entry'!BB$8),'Council Entry'!BB74)),IF(AND(ISNUMBER('Council Entry'!BB$8),ISNUMBER('Council Entry'!BB$9)),MAX(MIN('Council Entry'!BB74,'Council Entry'!BB$9),'Council Entry'!BB$8),'Council Entry'!BB74))))-'Council Entry'!BB$5)/('Council Entry'!BB$6-'Council Entry'!BB$5)),1))),"No data"))</f>
        <v/>
      </c>
      <c r="BC74" s="13">
        <f>IF('Council Entry'!BC74="","",IFERROR(MAX(0,MIN(10,ROUND(IF('Council Entry'!BC$7="Decrease Risk",10-10*((IF('Council Entry'!BC$4="Logarithm",LN(0.001+IF(AND(ISNUMBER('Council Entry'!BC$8),ISNUMBER('Council Entry'!BC$9)),MAX(MIN('Council Entry'!BC74,'Council Entry'!BC$9),'Council Entry'!BC$8),'Council Entry'!BC74)),IF('Council Entry'!BC$4="Exponential",EXP(IF(AND(ISNUMBER('Council Entry'!BC$8),ISNUMBER('Council Entry'!BC$9)),MAX(MIN('Council Entry'!BC74,'Council Entry'!BC$9),'Council Entry'!BC$8),'Council Entry'!BC74)),IF(AND(ISNUMBER('Council Entry'!BC$8),ISNUMBER('Council Entry'!BC$9)),MAX(MIN('Council Entry'!BC74,'Council Entry'!BC$9),'Council Entry'!BC$8),'Council Entry'!BC74))))-'Council Entry'!BC$5)/('Council Entry'!BC$6-'Council Entry'!BC$5),10*((IF('Council Entry'!BC$4="Logarithm",LN(0.001+IF(AND(ISNUMBER('Council Entry'!BC$8),ISNUMBER('Council Entry'!BC$9)),MAX(MIN('Council Entry'!BC74,'Council Entry'!BC$9),'Council Entry'!BC$8),'Council Entry'!BC74)),IF('Council Entry'!BC$4="Exponential",EXP(IF(AND(ISNUMBER('Council Entry'!BC$8),ISNUMBER('Council Entry'!BC$9)),MAX(MIN('Council Entry'!BC74,'Council Entry'!BC$9),'Council Entry'!BC$8),'Council Entry'!BC74)),IF(AND(ISNUMBER('Council Entry'!BC$8),ISNUMBER('Council Entry'!BC$9)),MAX(MIN('Council Entry'!BC74,'Council Entry'!BC$9),'Council Entry'!BC$8),'Council Entry'!BC74))))-'Council Entry'!BC$5)/('Council Entry'!BC$6-'Council Entry'!BC$5)),1))),"No data"))</f>
        <v/>
      </c>
      <c r="BD74" s="13">
        <f>IF('Council Entry'!BD74="","",IFERROR(MAX(0,MIN(10,ROUND(IF('Council Entry'!BD$7="Decrease Risk",10-10*((IF('Council Entry'!BD$4="Logarithm",LN(0.001+IF(AND(ISNUMBER('Council Entry'!BD$8),ISNUMBER('Council Entry'!BD$9)),MAX(MIN('Council Entry'!BD74,'Council Entry'!BD$9),'Council Entry'!BD$8),'Council Entry'!BD74)),IF('Council Entry'!BD$4="Exponential",EXP(IF(AND(ISNUMBER('Council Entry'!BD$8),ISNUMBER('Council Entry'!BD$9)),MAX(MIN('Council Entry'!BD74,'Council Entry'!BD$9),'Council Entry'!BD$8),'Council Entry'!BD74)),IF(AND(ISNUMBER('Council Entry'!BD$8),ISNUMBER('Council Entry'!BD$9)),MAX(MIN('Council Entry'!BD74,'Council Entry'!BD$9),'Council Entry'!BD$8),'Council Entry'!BD74))))-'Council Entry'!BD$5)/('Council Entry'!BD$6-'Council Entry'!BD$5),10*((IF('Council Entry'!BD$4="Logarithm",LN(0.001+IF(AND(ISNUMBER('Council Entry'!BD$8),ISNUMBER('Council Entry'!BD$9)),MAX(MIN('Council Entry'!BD74,'Council Entry'!BD$9),'Council Entry'!BD$8),'Council Entry'!BD74)),IF('Council Entry'!BD$4="Exponential",EXP(IF(AND(ISNUMBER('Council Entry'!BD$8),ISNUMBER('Council Entry'!BD$9)),MAX(MIN('Council Entry'!BD74,'Council Entry'!BD$9),'Council Entry'!BD$8),'Council Entry'!BD74)),IF(AND(ISNUMBER('Council Entry'!BD$8),ISNUMBER('Council Entry'!BD$9)),MAX(MIN('Council Entry'!BD74,'Council Entry'!BD$9),'Council Entry'!BD$8),'Council Entry'!BD74))))-'Council Entry'!BD$5)/('Council Entry'!BD$6-'Council Entry'!BD$5)),1))),"No data"))</f>
        <v/>
      </c>
    </row>
    <row r="75">
      <c r="A75" t="inlineStr">
        <is>
          <t>Kusini Pemba</t>
        </is>
      </c>
      <c r="B75" t="inlineStr">
        <is>
          <t>Mkoani Town</t>
        </is>
      </c>
      <c r="C75" t="inlineStr">
        <is>
          <t>C195</t>
        </is>
      </c>
      <c r="D75" s="13">
        <f>IF('Council Entry'!D75="","",IFERROR(MAX(0,MIN(10,ROUND(IF('Council Entry'!D$7="Decrease Risk",10-10*((IF('Council Entry'!D$4="Logarithm",LN(0.001+IF(AND(ISNUMBER('Council Entry'!D$8),ISNUMBER('Council Entry'!D$9)),MAX(MIN('Council Entry'!D75,'Council Entry'!D$9),'Council Entry'!D$8),'Council Entry'!D75)),IF('Council Entry'!D$4="Exponential",EXP(IF(AND(ISNUMBER('Council Entry'!D$8),ISNUMBER('Council Entry'!D$9)),MAX(MIN('Council Entry'!D75,'Council Entry'!D$9),'Council Entry'!D$8),'Council Entry'!D75)),IF(AND(ISNUMBER('Council Entry'!D$8),ISNUMBER('Council Entry'!D$9)),MAX(MIN('Council Entry'!D75,'Council Entry'!D$9),'Council Entry'!D$8),'Council Entry'!D75))))-'Council Entry'!D$5)/('Council Entry'!D$6-'Council Entry'!D$5),10*((IF('Council Entry'!D$4="Logarithm",LN(0.001+IF(AND(ISNUMBER('Council Entry'!D$8),ISNUMBER('Council Entry'!D$9)),MAX(MIN('Council Entry'!D75,'Council Entry'!D$9),'Council Entry'!D$8),'Council Entry'!D75)),IF('Council Entry'!D$4="Exponential",EXP(IF(AND(ISNUMBER('Council Entry'!D$8),ISNUMBER('Council Entry'!D$9)),MAX(MIN('Council Entry'!D75,'Council Entry'!D$9),'Council Entry'!D$8),'Council Entry'!D75)),IF(AND(ISNUMBER('Council Entry'!D$8),ISNUMBER('Council Entry'!D$9)),MAX(MIN('Council Entry'!D75,'Council Entry'!D$9),'Council Entry'!D$8),'Council Entry'!D75))))-'Council Entry'!D$5)/('Council Entry'!D$6-'Council Entry'!D$5)),1))),"No data"))</f>
        <v/>
      </c>
      <c r="E75" s="13">
        <f>IF('Council Entry'!E75="","",IFERROR(MAX(0,MIN(10,ROUND(IF('Council Entry'!E$7="Decrease Risk",10-10*((IF('Council Entry'!E$4="Logarithm",LN(0.001+IF(AND(ISNUMBER('Council Entry'!E$8),ISNUMBER('Council Entry'!E$9)),MAX(MIN('Council Entry'!E75,'Council Entry'!E$9),'Council Entry'!E$8),'Council Entry'!E75)),IF('Council Entry'!E$4="Exponential",EXP(IF(AND(ISNUMBER('Council Entry'!E$8),ISNUMBER('Council Entry'!E$9)),MAX(MIN('Council Entry'!E75,'Council Entry'!E$9),'Council Entry'!E$8),'Council Entry'!E75)),IF(AND(ISNUMBER('Council Entry'!E$8),ISNUMBER('Council Entry'!E$9)),MAX(MIN('Council Entry'!E75,'Council Entry'!E$9),'Council Entry'!E$8),'Council Entry'!E75))))-'Council Entry'!E$5)/('Council Entry'!E$6-'Council Entry'!E$5),10*((IF('Council Entry'!E$4="Logarithm",LN(0.001+IF(AND(ISNUMBER('Council Entry'!E$8),ISNUMBER('Council Entry'!E$9)),MAX(MIN('Council Entry'!E75,'Council Entry'!E$9),'Council Entry'!E$8),'Council Entry'!E75)),IF('Council Entry'!E$4="Exponential",EXP(IF(AND(ISNUMBER('Council Entry'!E$8),ISNUMBER('Council Entry'!E$9)),MAX(MIN('Council Entry'!E75,'Council Entry'!E$9),'Council Entry'!E$8),'Council Entry'!E75)),IF(AND(ISNUMBER('Council Entry'!E$8),ISNUMBER('Council Entry'!E$9)),MAX(MIN('Council Entry'!E75,'Council Entry'!E$9),'Council Entry'!E$8),'Council Entry'!E75))))-'Council Entry'!E$5)/('Council Entry'!E$6-'Council Entry'!E$5)),1))),"No data"))</f>
        <v/>
      </c>
      <c r="F75" s="13">
        <f>IF('Council Entry'!F75="","",IFERROR(MAX(0,MIN(10,ROUND(IF('Council Entry'!F$7="Decrease Risk",10-10*((IF('Council Entry'!F$4="Logarithm",LN(0.001+IF(AND(ISNUMBER('Council Entry'!F$8),ISNUMBER('Council Entry'!F$9)),MAX(MIN('Council Entry'!F75,'Council Entry'!F$9),'Council Entry'!F$8),'Council Entry'!F75)),IF('Council Entry'!F$4="Exponential",EXP(IF(AND(ISNUMBER('Council Entry'!F$8),ISNUMBER('Council Entry'!F$9)),MAX(MIN('Council Entry'!F75,'Council Entry'!F$9),'Council Entry'!F$8),'Council Entry'!F75)),IF(AND(ISNUMBER('Council Entry'!F$8),ISNUMBER('Council Entry'!F$9)),MAX(MIN('Council Entry'!F75,'Council Entry'!F$9),'Council Entry'!F$8),'Council Entry'!F75))))-'Council Entry'!F$5)/('Council Entry'!F$6-'Council Entry'!F$5),10*((IF('Council Entry'!F$4="Logarithm",LN(0.001+IF(AND(ISNUMBER('Council Entry'!F$8),ISNUMBER('Council Entry'!F$9)),MAX(MIN('Council Entry'!F75,'Council Entry'!F$9),'Council Entry'!F$8),'Council Entry'!F75)),IF('Council Entry'!F$4="Exponential",EXP(IF(AND(ISNUMBER('Council Entry'!F$8),ISNUMBER('Council Entry'!F$9)),MAX(MIN('Council Entry'!F75,'Council Entry'!F$9),'Council Entry'!F$8),'Council Entry'!F75)),IF(AND(ISNUMBER('Council Entry'!F$8),ISNUMBER('Council Entry'!F$9)),MAX(MIN('Council Entry'!F75,'Council Entry'!F$9),'Council Entry'!F$8),'Council Entry'!F75))))-'Council Entry'!F$5)/('Council Entry'!F$6-'Council Entry'!F$5)),1))),"No data"))</f>
        <v/>
      </c>
      <c r="G75" s="13">
        <f>IF('Council Entry'!G75="","",IFERROR(MAX(0,MIN(10,ROUND(IF('Council Entry'!G$7="Decrease Risk",10-10*((IF('Council Entry'!G$4="Logarithm",LN(0.001+IF(AND(ISNUMBER('Council Entry'!G$8),ISNUMBER('Council Entry'!G$9)),MAX(MIN('Council Entry'!G75,'Council Entry'!G$9),'Council Entry'!G$8),'Council Entry'!G75)),IF('Council Entry'!G$4="Exponential",EXP(IF(AND(ISNUMBER('Council Entry'!G$8),ISNUMBER('Council Entry'!G$9)),MAX(MIN('Council Entry'!G75,'Council Entry'!G$9),'Council Entry'!G$8),'Council Entry'!G75)),IF(AND(ISNUMBER('Council Entry'!G$8),ISNUMBER('Council Entry'!G$9)),MAX(MIN('Council Entry'!G75,'Council Entry'!G$9),'Council Entry'!G$8),'Council Entry'!G75))))-'Council Entry'!G$5)/('Council Entry'!G$6-'Council Entry'!G$5),10*((IF('Council Entry'!G$4="Logarithm",LN(0.001+IF(AND(ISNUMBER('Council Entry'!G$8),ISNUMBER('Council Entry'!G$9)),MAX(MIN('Council Entry'!G75,'Council Entry'!G$9),'Council Entry'!G$8),'Council Entry'!G75)),IF('Council Entry'!G$4="Exponential",EXP(IF(AND(ISNUMBER('Council Entry'!G$8),ISNUMBER('Council Entry'!G$9)),MAX(MIN('Council Entry'!G75,'Council Entry'!G$9),'Council Entry'!G$8),'Council Entry'!G75)),IF(AND(ISNUMBER('Council Entry'!G$8),ISNUMBER('Council Entry'!G$9)),MAX(MIN('Council Entry'!G75,'Council Entry'!G$9),'Council Entry'!G$8),'Council Entry'!G75))))-'Council Entry'!G$5)/('Council Entry'!G$6-'Council Entry'!G$5)),1))),"No data"))</f>
        <v/>
      </c>
      <c r="H75" s="13">
        <f>IF('Council Entry'!H75="","",IFERROR(MAX(0,MIN(10,ROUND(IF('Council Entry'!H$7="Decrease Risk",10-10*((IF('Council Entry'!H$4="Logarithm",LN(0.001+IF(AND(ISNUMBER('Council Entry'!H$8),ISNUMBER('Council Entry'!H$9)),MAX(MIN('Council Entry'!H75,'Council Entry'!H$9),'Council Entry'!H$8),'Council Entry'!H75)),IF('Council Entry'!H$4="Exponential",EXP(IF(AND(ISNUMBER('Council Entry'!H$8),ISNUMBER('Council Entry'!H$9)),MAX(MIN('Council Entry'!H75,'Council Entry'!H$9),'Council Entry'!H$8),'Council Entry'!H75)),IF(AND(ISNUMBER('Council Entry'!H$8),ISNUMBER('Council Entry'!H$9)),MAX(MIN('Council Entry'!H75,'Council Entry'!H$9),'Council Entry'!H$8),'Council Entry'!H75))))-'Council Entry'!H$5)/('Council Entry'!H$6-'Council Entry'!H$5),10*((IF('Council Entry'!H$4="Logarithm",LN(0.001+IF(AND(ISNUMBER('Council Entry'!H$8),ISNUMBER('Council Entry'!H$9)),MAX(MIN('Council Entry'!H75,'Council Entry'!H$9),'Council Entry'!H$8),'Council Entry'!H75)),IF('Council Entry'!H$4="Exponential",EXP(IF(AND(ISNUMBER('Council Entry'!H$8),ISNUMBER('Council Entry'!H$9)),MAX(MIN('Council Entry'!H75,'Council Entry'!H$9),'Council Entry'!H$8),'Council Entry'!H75)),IF(AND(ISNUMBER('Council Entry'!H$8),ISNUMBER('Council Entry'!H$9)),MAX(MIN('Council Entry'!H75,'Council Entry'!H$9),'Council Entry'!H$8),'Council Entry'!H75))))-'Council Entry'!H$5)/('Council Entry'!H$6-'Council Entry'!H$5)),1))),"No data"))</f>
        <v/>
      </c>
      <c r="I75" s="13">
        <f>IF('Council Entry'!I75="","",IFERROR(MAX(0,MIN(10,ROUND(IF('Council Entry'!I$7="Decrease Risk",10-10*((IF('Council Entry'!I$4="Logarithm",LN(0.001+IF(AND(ISNUMBER('Council Entry'!I$8),ISNUMBER('Council Entry'!I$9)),MAX(MIN('Council Entry'!I75,'Council Entry'!I$9),'Council Entry'!I$8),'Council Entry'!I75)),IF('Council Entry'!I$4="Exponential",EXP(IF(AND(ISNUMBER('Council Entry'!I$8),ISNUMBER('Council Entry'!I$9)),MAX(MIN('Council Entry'!I75,'Council Entry'!I$9),'Council Entry'!I$8),'Council Entry'!I75)),IF(AND(ISNUMBER('Council Entry'!I$8),ISNUMBER('Council Entry'!I$9)),MAX(MIN('Council Entry'!I75,'Council Entry'!I$9),'Council Entry'!I$8),'Council Entry'!I75))))-'Council Entry'!I$5)/('Council Entry'!I$6-'Council Entry'!I$5),10*((IF('Council Entry'!I$4="Logarithm",LN(0.001+IF(AND(ISNUMBER('Council Entry'!I$8),ISNUMBER('Council Entry'!I$9)),MAX(MIN('Council Entry'!I75,'Council Entry'!I$9),'Council Entry'!I$8),'Council Entry'!I75)),IF('Council Entry'!I$4="Exponential",EXP(IF(AND(ISNUMBER('Council Entry'!I$8),ISNUMBER('Council Entry'!I$9)),MAX(MIN('Council Entry'!I75,'Council Entry'!I$9),'Council Entry'!I$8),'Council Entry'!I75)),IF(AND(ISNUMBER('Council Entry'!I$8),ISNUMBER('Council Entry'!I$9)),MAX(MIN('Council Entry'!I75,'Council Entry'!I$9),'Council Entry'!I$8),'Council Entry'!I75))))-'Council Entry'!I$5)/('Council Entry'!I$6-'Council Entry'!I$5)),1))),"No data"))</f>
        <v/>
      </c>
      <c r="J75" s="13">
        <f>IF('Council Entry'!J75="","",IFERROR(MAX(0,MIN(10,ROUND(IF('Council Entry'!J$7="Decrease Risk",10-10*((IF('Council Entry'!J$4="Logarithm",LN(0.001+IF(AND(ISNUMBER('Council Entry'!J$8),ISNUMBER('Council Entry'!J$9)),MAX(MIN('Council Entry'!J75,'Council Entry'!J$9),'Council Entry'!J$8),'Council Entry'!J75)),IF('Council Entry'!J$4="Exponential",EXP(IF(AND(ISNUMBER('Council Entry'!J$8),ISNUMBER('Council Entry'!J$9)),MAX(MIN('Council Entry'!J75,'Council Entry'!J$9),'Council Entry'!J$8),'Council Entry'!J75)),IF(AND(ISNUMBER('Council Entry'!J$8),ISNUMBER('Council Entry'!J$9)),MAX(MIN('Council Entry'!J75,'Council Entry'!J$9),'Council Entry'!J$8),'Council Entry'!J75))))-'Council Entry'!J$5)/('Council Entry'!J$6-'Council Entry'!J$5),10*((IF('Council Entry'!J$4="Logarithm",LN(0.001+IF(AND(ISNUMBER('Council Entry'!J$8),ISNUMBER('Council Entry'!J$9)),MAX(MIN('Council Entry'!J75,'Council Entry'!J$9),'Council Entry'!J$8),'Council Entry'!J75)),IF('Council Entry'!J$4="Exponential",EXP(IF(AND(ISNUMBER('Council Entry'!J$8),ISNUMBER('Council Entry'!J$9)),MAX(MIN('Council Entry'!J75,'Council Entry'!J$9),'Council Entry'!J$8),'Council Entry'!J75)),IF(AND(ISNUMBER('Council Entry'!J$8),ISNUMBER('Council Entry'!J$9)),MAX(MIN('Council Entry'!J75,'Council Entry'!J$9),'Council Entry'!J$8),'Council Entry'!J75))))-'Council Entry'!J$5)/('Council Entry'!J$6-'Council Entry'!J$5)),1))),"No data"))</f>
        <v/>
      </c>
      <c r="K75" s="13">
        <f>IF('Council Entry'!K75="","",IFERROR(MAX(0,MIN(10,ROUND(IF('Council Entry'!K$7="Decrease Risk",10-10*((IF('Council Entry'!K$4="Logarithm",LN(0.001+IF(AND(ISNUMBER('Council Entry'!K$8),ISNUMBER('Council Entry'!K$9)),MAX(MIN('Council Entry'!K75,'Council Entry'!K$9),'Council Entry'!K$8),'Council Entry'!K75)),IF('Council Entry'!K$4="Exponential",EXP(IF(AND(ISNUMBER('Council Entry'!K$8),ISNUMBER('Council Entry'!K$9)),MAX(MIN('Council Entry'!K75,'Council Entry'!K$9),'Council Entry'!K$8),'Council Entry'!K75)),IF(AND(ISNUMBER('Council Entry'!K$8),ISNUMBER('Council Entry'!K$9)),MAX(MIN('Council Entry'!K75,'Council Entry'!K$9),'Council Entry'!K$8),'Council Entry'!K75))))-'Council Entry'!K$5)/('Council Entry'!K$6-'Council Entry'!K$5),10*((IF('Council Entry'!K$4="Logarithm",LN(0.001+IF(AND(ISNUMBER('Council Entry'!K$8),ISNUMBER('Council Entry'!K$9)),MAX(MIN('Council Entry'!K75,'Council Entry'!K$9),'Council Entry'!K$8),'Council Entry'!K75)),IF('Council Entry'!K$4="Exponential",EXP(IF(AND(ISNUMBER('Council Entry'!K$8),ISNUMBER('Council Entry'!K$9)),MAX(MIN('Council Entry'!K75,'Council Entry'!K$9),'Council Entry'!K$8),'Council Entry'!K75)),IF(AND(ISNUMBER('Council Entry'!K$8),ISNUMBER('Council Entry'!K$9)),MAX(MIN('Council Entry'!K75,'Council Entry'!K$9),'Council Entry'!K$8),'Council Entry'!K75))))-'Council Entry'!K$5)/('Council Entry'!K$6-'Council Entry'!K$5)),1))),"No data"))</f>
        <v/>
      </c>
      <c r="L75" s="13">
        <f>IF('Council Entry'!L75="","",IFERROR(MAX(0,MIN(10,ROUND(IF('Council Entry'!L$7="Decrease Risk",10-10*((IF('Council Entry'!L$4="Logarithm",LN(0.001+IF(AND(ISNUMBER('Council Entry'!L$8),ISNUMBER('Council Entry'!L$9)),MAX(MIN('Council Entry'!L75,'Council Entry'!L$9),'Council Entry'!L$8),'Council Entry'!L75)),IF('Council Entry'!L$4="Exponential",EXP(IF(AND(ISNUMBER('Council Entry'!L$8),ISNUMBER('Council Entry'!L$9)),MAX(MIN('Council Entry'!L75,'Council Entry'!L$9),'Council Entry'!L$8),'Council Entry'!L75)),IF(AND(ISNUMBER('Council Entry'!L$8),ISNUMBER('Council Entry'!L$9)),MAX(MIN('Council Entry'!L75,'Council Entry'!L$9),'Council Entry'!L$8),'Council Entry'!L75))))-'Council Entry'!L$5)/('Council Entry'!L$6-'Council Entry'!L$5),10*((IF('Council Entry'!L$4="Logarithm",LN(0.001+IF(AND(ISNUMBER('Council Entry'!L$8),ISNUMBER('Council Entry'!L$9)),MAX(MIN('Council Entry'!L75,'Council Entry'!L$9),'Council Entry'!L$8),'Council Entry'!L75)),IF('Council Entry'!L$4="Exponential",EXP(IF(AND(ISNUMBER('Council Entry'!L$8),ISNUMBER('Council Entry'!L$9)),MAX(MIN('Council Entry'!L75,'Council Entry'!L$9),'Council Entry'!L$8),'Council Entry'!L75)),IF(AND(ISNUMBER('Council Entry'!L$8),ISNUMBER('Council Entry'!L$9)),MAX(MIN('Council Entry'!L75,'Council Entry'!L$9),'Council Entry'!L$8),'Council Entry'!L75))))-'Council Entry'!L$5)/('Council Entry'!L$6-'Council Entry'!L$5)),1))),"No data"))</f>
        <v/>
      </c>
      <c r="M75" s="13">
        <f>IF('Council Entry'!M75="","",IFERROR(MAX(0,MIN(10,ROUND(IF('Council Entry'!M$7="Decrease Risk",10-10*((IF('Council Entry'!M$4="Logarithm",LN(0.001+IF(AND(ISNUMBER('Council Entry'!M$8),ISNUMBER('Council Entry'!M$9)),MAX(MIN('Council Entry'!M75,'Council Entry'!M$9),'Council Entry'!M$8),'Council Entry'!M75)),IF('Council Entry'!M$4="Exponential",EXP(IF(AND(ISNUMBER('Council Entry'!M$8),ISNUMBER('Council Entry'!M$9)),MAX(MIN('Council Entry'!M75,'Council Entry'!M$9),'Council Entry'!M$8),'Council Entry'!M75)),IF(AND(ISNUMBER('Council Entry'!M$8),ISNUMBER('Council Entry'!M$9)),MAX(MIN('Council Entry'!M75,'Council Entry'!M$9),'Council Entry'!M$8),'Council Entry'!M75))))-'Council Entry'!M$5)/('Council Entry'!M$6-'Council Entry'!M$5),10*((IF('Council Entry'!M$4="Logarithm",LN(0.001+IF(AND(ISNUMBER('Council Entry'!M$8),ISNUMBER('Council Entry'!M$9)),MAX(MIN('Council Entry'!M75,'Council Entry'!M$9),'Council Entry'!M$8),'Council Entry'!M75)),IF('Council Entry'!M$4="Exponential",EXP(IF(AND(ISNUMBER('Council Entry'!M$8),ISNUMBER('Council Entry'!M$9)),MAX(MIN('Council Entry'!M75,'Council Entry'!M$9),'Council Entry'!M$8),'Council Entry'!M75)),IF(AND(ISNUMBER('Council Entry'!M$8),ISNUMBER('Council Entry'!M$9)),MAX(MIN('Council Entry'!M75,'Council Entry'!M$9),'Council Entry'!M$8),'Council Entry'!M75))))-'Council Entry'!M$5)/('Council Entry'!M$6-'Council Entry'!M$5)),1))),"No data"))</f>
        <v/>
      </c>
      <c r="N75" s="13">
        <f>IF('Council Entry'!N75="","",IFERROR(MAX(0,MIN(10,ROUND(IF('Council Entry'!N$7="Decrease Risk",10-10*((IF('Council Entry'!N$4="Logarithm",LN(0.001+IF(AND(ISNUMBER('Council Entry'!N$8),ISNUMBER('Council Entry'!N$9)),MAX(MIN('Council Entry'!N75,'Council Entry'!N$9),'Council Entry'!N$8),'Council Entry'!N75)),IF('Council Entry'!N$4="Exponential",EXP(IF(AND(ISNUMBER('Council Entry'!N$8),ISNUMBER('Council Entry'!N$9)),MAX(MIN('Council Entry'!N75,'Council Entry'!N$9),'Council Entry'!N$8),'Council Entry'!N75)),IF(AND(ISNUMBER('Council Entry'!N$8),ISNUMBER('Council Entry'!N$9)),MAX(MIN('Council Entry'!N75,'Council Entry'!N$9),'Council Entry'!N$8),'Council Entry'!N75))))-'Council Entry'!N$5)/('Council Entry'!N$6-'Council Entry'!N$5),10*((IF('Council Entry'!N$4="Logarithm",LN(0.001+IF(AND(ISNUMBER('Council Entry'!N$8),ISNUMBER('Council Entry'!N$9)),MAX(MIN('Council Entry'!N75,'Council Entry'!N$9),'Council Entry'!N$8),'Council Entry'!N75)),IF('Council Entry'!N$4="Exponential",EXP(IF(AND(ISNUMBER('Council Entry'!N$8),ISNUMBER('Council Entry'!N$9)),MAX(MIN('Council Entry'!N75,'Council Entry'!N$9),'Council Entry'!N$8),'Council Entry'!N75)),IF(AND(ISNUMBER('Council Entry'!N$8),ISNUMBER('Council Entry'!N$9)),MAX(MIN('Council Entry'!N75,'Council Entry'!N$9),'Council Entry'!N$8),'Council Entry'!N75))))-'Council Entry'!N$5)/('Council Entry'!N$6-'Council Entry'!N$5)),1))),"No data"))</f>
        <v/>
      </c>
      <c r="O75" s="13">
        <f>IF('Council Entry'!O75="","",IFERROR(MAX(0,MIN(10,ROUND(IF('Council Entry'!O$7="Decrease Risk",10-10*((IF('Council Entry'!O$4="Logarithm",LN(0.001+IF(AND(ISNUMBER('Council Entry'!O$8),ISNUMBER('Council Entry'!O$9)),MAX(MIN('Council Entry'!O75,'Council Entry'!O$9),'Council Entry'!O$8),'Council Entry'!O75)),IF('Council Entry'!O$4="Exponential",EXP(IF(AND(ISNUMBER('Council Entry'!O$8),ISNUMBER('Council Entry'!O$9)),MAX(MIN('Council Entry'!O75,'Council Entry'!O$9),'Council Entry'!O$8),'Council Entry'!O75)),IF(AND(ISNUMBER('Council Entry'!O$8),ISNUMBER('Council Entry'!O$9)),MAX(MIN('Council Entry'!O75,'Council Entry'!O$9),'Council Entry'!O$8),'Council Entry'!O75))))-'Council Entry'!O$5)/('Council Entry'!O$6-'Council Entry'!O$5),10*((IF('Council Entry'!O$4="Logarithm",LN(0.001+IF(AND(ISNUMBER('Council Entry'!O$8),ISNUMBER('Council Entry'!O$9)),MAX(MIN('Council Entry'!O75,'Council Entry'!O$9),'Council Entry'!O$8),'Council Entry'!O75)),IF('Council Entry'!O$4="Exponential",EXP(IF(AND(ISNUMBER('Council Entry'!O$8),ISNUMBER('Council Entry'!O$9)),MAX(MIN('Council Entry'!O75,'Council Entry'!O$9),'Council Entry'!O$8),'Council Entry'!O75)),IF(AND(ISNUMBER('Council Entry'!O$8),ISNUMBER('Council Entry'!O$9)),MAX(MIN('Council Entry'!O75,'Council Entry'!O$9),'Council Entry'!O$8),'Council Entry'!O75))))-'Council Entry'!O$5)/('Council Entry'!O$6-'Council Entry'!O$5)),1))),"No data"))</f>
        <v/>
      </c>
      <c r="P75" s="13">
        <f>IF('Council Entry'!P75="","",IFERROR(MAX(0,MIN(10,ROUND(IF('Council Entry'!P$7="Decrease Risk",10-10*((IF('Council Entry'!P$4="Logarithm",LN(0.001+IF(AND(ISNUMBER('Council Entry'!P$8),ISNUMBER('Council Entry'!P$9)),MAX(MIN('Council Entry'!P75,'Council Entry'!P$9),'Council Entry'!P$8),'Council Entry'!P75)),IF('Council Entry'!P$4="Exponential",EXP(IF(AND(ISNUMBER('Council Entry'!P$8),ISNUMBER('Council Entry'!P$9)),MAX(MIN('Council Entry'!P75,'Council Entry'!P$9),'Council Entry'!P$8),'Council Entry'!P75)),IF(AND(ISNUMBER('Council Entry'!P$8),ISNUMBER('Council Entry'!P$9)),MAX(MIN('Council Entry'!P75,'Council Entry'!P$9),'Council Entry'!P$8),'Council Entry'!P75))))-'Council Entry'!P$5)/('Council Entry'!P$6-'Council Entry'!P$5),10*((IF('Council Entry'!P$4="Logarithm",LN(0.001+IF(AND(ISNUMBER('Council Entry'!P$8),ISNUMBER('Council Entry'!P$9)),MAX(MIN('Council Entry'!P75,'Council Entry'!P$9),'Council Entry'!P$8),'Council Entry'!P75)),IF('Council Entry'!P$4="Exponential",EXP(IF(AND(ISNUMBER('Council Entry'!P$8),ISNUMBER('Council Entry'!P$9)),MAX(MIN('Council Entry'!P75,'Council Entry'!P$9),'Council Entry'!P$8),'Council Entry'!P75)),IF(AND(ISNUMBER('Council Entry'!P$8),ISNUMBER('Council Entry'!P$9)),MAX(MIN('Council Entry'!P75,'Council Entry'!P$9),'Council Entry'!P$8),'Council Entry'!P75))))-'Council Entry'!P$5)/('Council Entry'!P$6-'Council Entry'!P$5)),1))),"No data"))</f>
        <v/>
      </c>
      <c r="Q75" s="13">
        <f>IF('Council Entry'!Q75="","",IFERROR(MAX(0,MIN(10,ROUND(IF('Council Entry'!Q$7="Decrease Risk",10-10*((IF('Council Entry'!Q$4="Logarithm",LN(0.001+IF(AND(ISNUMBER('Council Entry'!Q$8),ISNUMBER('Council Entry'!Q$9)),MAX(MIN('Council Entry'!Q75,'Council Entry'!Q$9),'Council Entry'!Q$8),'Council Entry'!Q75)),IF('Council Entry'!Q$4="Exponential",EXP(IF(AND(ISNUMBER('Council Entry'!Q$8),ISNUMBER('Council Entry'!Q$9)),MAX(MIN('Council Entry'!Q75,'Council Entry'!Q$9),'Council Entry'!Q$8),'Council Entry'!Q75)),IF(AND(ISNUMBER('Council Entry'!Q$8),ISNUMBER('Council Entry'!Q$9)),MAX(MIN('Council Entry'!Q75,'Council Entry'!Q$9),'Council Entry'!Q$8),'Council Entry'!Q75))))-'Council Entry'!Q$5)/('Council Entry'!Q$6-'Council Entry'!Q$5),10*((IF('Council Entry'!Q$4="Logarithm",LN(0.001+IF(AND(ISNUMBER('Council Entry'!Q$8),ISNUMBER('Council Entry'!Q$9)),MAX(MIN('Council Entry'!Q75,'Council Entry'!Q$9),'Council Entry'!Q$8),'Council Entry'!Q75)),IF('Council Entry'!Q$4="Exponential",EXP(IF(AND(ISNUMBER('Council Entry'!Q$8),ISNUMBER('Council Entry'!Q$9)),MAX(MIN('Council Entry'!Q75,'Council Entry'!Q$9),'Council Entry'!Q$8),'Council Entry'!Q75)),IF(AND(ISNUMBER('Council Entry'!Q$8),ISNUMBER('Council Entry'!Q$9)),MAX(MIN('Council Entry'!Q75,'Council Entry'!Q$9),'Council Entry'!Q$8),'Council Entry'!Q75))))-'Council Entry'!Q$5)/('Council Entry'!Q$6-'Council Entry'!Q$5)),1))),"No data"))</f>
        <v/>
      </c>
      <c r="R75" s="13">
        <f>IF('Council Entry'!R75="","",IFERROR(MAX(0,MIN(10,ROUND(IF('Council Entry'!R$7="Decrease Risk",10-10*((IF('Council Entry'!R$4="Logarithm",LN(0.001+IF(AND(ISNUMBER('Council Entry'!R$8),ISNUMBER('Council Entry'!R$9)),MAX(MIN('Council Entry'!R75,'Council Entry'!R$9),'Council Entry'!R$8),'Council Entry'!R75)),IF('Council Entry'!R$4="Exponential",EXP(IF(AND(ISNUMBER('Council Entry'!R$8),ISNUMBER('Council Entry'!R$9)),MAX(MIN('Council Entry'!R75,'Council Entry'!R$9),'Council Entry'!R$8),'Council Entry'!R75)),IF(AND(ISNUMBER('Council Entry'!R$8),ISNUMBER('Council Entry'!R$9)),MAX(MIN('Council Entry'!R75,'Council Entry'!R$9),'Council Entry'!R$8),'Council Entry'!R75))))-'Council Entry'!R$5)/('Council Entry'!R$6-'Council Entry'!R$5),10*((IF('Council Entry'!R$4="Logarithm",LN(0.001+IF(AND(ISNUMBER('Council Entry'!R$8),ISNUMBER('Council Entry'!R$9)),MAX(MIN('Council Entry'!R75,'Council Entry'!R$9),'Council Entry'!R$8),'Council Entry'!R75)),IF('Council Entry'!R$4="Exponential",EXP(IF(AND(ISNUMBER('Council Entry'!R$8),ISNUMBER('Council Entry'!R$9)),MAX(MIN('Council Entry'!R75,'Council Entry'!R$9),'Council Entry'!R$8),'Council Entry'!R75)),IF(AND(ISNUMBER('Council Entry'!R$8),ISNUMBER('Council Entry'!R$9)),MAX(MIN('Council Entry'!R75,'Council Entry'!R$9),'Council Entry'!R$8),'Council Entry'!R75))))-'Council Entry'!R$5)/('Council Entry'!R$6-'Council Entry'!R$5)),1))),"No data"))</f>
        <v/>
      </c>
      <c r="S75" s="13">
        <f>IF('Council Entry'!S75="","",IFERROR(MAX(0,MIN(10,ROUND(IF('Council Entry'!S$7="Decrease Risk",10-10*((IF('Council Entry'!S$4="Logarithm",LN(0.001+IF(AND(ISNUMBER('Council Entry'!S$8),ISNUMBER('Council Entry'!S$9)),MAX(MIN('Council Entry'!S75,'Council Entry'!S$9),'Council Entry'!S$8),'Council Entry'!S75)),IF('Council Entry'!S$4="Exponential",EXP(IF(AND(ISNUMBER('Council Entry'!S$8),ISNUMBER('Council Entry'!S$9)),MAX(MIN('Council Entry'!S75,'Council Entry'!S$9),'Council Entry'!S$8),'Council Entry'!S75)),IF(AND(ISNUMBER('Council Entry'!S$8),ISNUMBER('Council Entry'!S$9)),MAX(MIN('Council Entry'!S75,'Council Entry'!S$9),'Council Entry'!S$8),'Council Entry'!S75))))-'Council Entry'!S$5)/('Council Entry'!S$6-'Council Entry'!S$5),10*((IF('Council Entry'!S$4="Logarithm",LN(0.001+IF(AND(ISNUMBER('Council Entry'!S$8),ISNUMBER('Council Entry'!S$9)),MAX(MIN('Council Entry'!S75,'Council Entry'!S$9),'Council Entry'!S$8),'Council Entry'!S75)),IF('Council Entry'!S$4="Exponential",EXP(IF(AND(ISNUMBER('Council Entry'!S$8),ISNUMBER('Council Entry'!S$9)),MAX(MIN('Council Entry'!S75,'Council Entry'!S$9),'Council Entry'!S$8),'Council Entry'!S75)),IF(AND(ISNUMBER('Council Entry'!S$8),ISNUMBER('Council Entry'!S$9)),MAX(MIN('Council Entry'!S75,'Council Entry'!S$9),'Council Entry'!S$8),'Council Entry'!S75))))-'Council Entry'!S$5)/('Council Entry'!S$6-'Council Entry'!S$5)),1))),"No data"))</f>
        <v/>
      </c>
      <c r="T75" s="13">
        <f>IF('Council Entry'!T75="","",IFERROR(MAX(0,MIN(10,ROUND(IF('Council Entry'!T$7="Decrease Risk",10-10*((IF('Council Entry'!T$4="Logarithm",LN(0.001+IF(AND(ISNUMBER('Council Entry'!T$8),ISNUMBER('Council Entry'!T$9)),MAX(MIN('Council Entry'!T75,'Council Entry'!T$9),'Council Entry'!T$8),'Council Entry'!T75)),IF('Council Entry'!T$4="Exponential",EXP(IF(AND(ISNUMBER('Council Entry'!T$8),ISNUMBER('Council Entry'!T$9)),MAX(MIN('Council Entry'!T75,'Council Entry'!T$9),'Council Entry'!T$8),'Council Entry'!T75)),IF(AND(ISNUMBER('Council Entry'!T$8),ISNUMBER('Council Entry'!T$9)),MAX(MIN('Council Entry'!T75,'Council Entry'!T$9),'Council Entry'!T$8),'Council Entry'!T75))))-'Council Entry'!T$5)/('Council Entry'!T$6-'Council Entry'!T$5),10*((IF('Council Entry'!T$4="Logarithm",LN(0.001+IF(AND(ISNUMBER('Council Entry'!T$8),ISNUMBER('Council Entry'!T$9)),MAX(MIN('Council Entry'!T75,'Council Entry'!T$9),'Council Entry'!T$8),'Council Entry'!T75)),IF('Council Entry'!T$4="Exponential",EXP(IF(AND(ISNUMBER('Council Entry'!T$8),ISNUMBER('Council Entry'!T$9)),MAX(MIN('Council Entry'!T75,'Council Entry'!T$9),'Council Entry'!T$8),'Council Entry'!T75)),IF(AND(ISNUMBER('Council Entry'!T$8),ISNUMBER('Council Entry'!T$9)),MAX(MIN('Council Entry'!T75,'Council Entry'!T$9),'Council Entry'!T$8),'Council Entry'!T75))))-'Council Entry'!T$5)/('Council Entry'!T$6-'Council Entry'!T$5)),1))),"No data"))</f>
        <v/>
      </c>
      <c r="U75" s="13">
        <f>IF('Council Entry'!U75="","",IFERROR(MAX(0,MIN(10,ROUND(IF('Council Entry'!U$7="Decrease Risk",10-10*((IF('Council Entry'!U$4="Logarithm",LN(0.001+IF(AND(ISNUMBER('Council Entry'!U$8),ISNUMBER('Council Entry'!U$9)),MAX(MIN('Council Entry'!U75,'Council Entry'!U$9),'Council Entry'!U$8),'Council Entry'!U75)),IF('Council Entry'!U$4="Exponential",EXP(IF(AND(ISNUMBER('Council Entry'!U$8),ISNUMBER('Council Entry'!U$9)),MAX(MIN('Council Entry'!U75,'Council Entry'!U$9),'Council Entry'!U$8),'Council Entry'!U75)),IF(AND(ISNUMBER('Council Entry'!U$8),ISNUMBER('Council Entry'!U$9)),MAX(MIN('Council Entry'!U75,'Council Entry'!U$9),'Council Entry'!U$8),'Council Entry'!U75))))-'Council Entry'!U$5)/('Council Entry'!U$6-'Council Entry'!U$5),10*((IF('Council Entry'!U$4="Logarithm",LN(0.001+IF(AND(ISNUMBER('Council Entry'!U$8),ISNUMBER('Council Entry'!U$9)),MAX(MIN('Council Entry'!U75,'Council Entry'!U$9),'Council Entry'!U$8),'Council Entry'!U75)),IF('Council Entry'!U$4="Exponential",EXP(IF(AND(ISNUMBER('Council Entry'!U$8),ISNUMBER('Council Entry'!U$9)),MAX(MIN('Council Entry'!U75,'Council Entry'!U$9),'Council Entry'!U$8),'Council Entry'!U75)),IF(AND(ISNUMBER('Council Entry'!U$8),ISNUMBER('Council Entry'!U$9)),MAX(MIN('Council Entry'!U75,'Council Entry'!U$9),'Council Entry'!U$8),'Council Entry'!U75))))-'Council Entry'!U$5)/('Council Entry'!U$6-'Council Entry'!U$5)),1))),"No data"))</f>
        <v/>
      </c>
      <c r="V75" s="13">
        <f>IF('Council Entry'!V75="","",IFERROR(MAX(0,MIN(10,ROUND(IF('Council Entry'!V$7="Decrease Risk",10-10*((IF('Council Entry'!V$4="Logarithm",LN(0.001+IF(AND(ISNUMBER('Council Entry'!V$8),ISNUMBER('Council Entry'!V$9)),MAX(MIN('Council Entry'!V75,'Council Entry'!V$9),'Council Entry'!V$8),'Council Entry'!V75)),IF('Council Entry'!V$4="Exponential",EXP(IF(AND(ISNUMBER('Council Entry'!V$8),ISNUMBER('Council Entry'!V$9)),MAX(MIN('Council Entry'!V75,'Council Entry'!V$9),'Council Entry'!V$8),'Council Entry'!V75)),IF(AND(ISNUMBER('Council Entry'!V$8),ISNUMBER('Council Entry'!V$9)),MAX(MIN('Council Entry'!V75,'Council Entry'!V$9),'Council Entry'!V$8),'Council Entry'!V75))))-'Council Entry'!V$5)/('Council Entry'!V$6-'Council Entry'!V$5),10*((IF('Council Entry'!V$4="Logarithm",LN(0.001+IF(AND(ISNUMBER('Council Entry'!V$8),ISNUMBER('Council Entry'!V$9)),MAX(MIN('Council Entry'!V75,'Council Entry'!V$9),'Council Entry'!V$8),'Council Entry'!V75)),IF('Council Entry'!V$4="Exponential",EXP(IF(AND(ISNUMBER('Council Entry'!V$8),ISNUMBER('Council Entry'!V$9)),MAX(MIN('Council Entry'!V75,'Council Entry'!V$9),'Council Entry'!V$8),'Council Entry'!V75)),IF(AND(ISNUMBER('Council Entry'!V$8),ISNUMBER('Council Entry'!V$9)),MAX(MIN('Council Entry'!V75,'Council Entry'!V$9),'Council Entry'!V$8),'Council Entry'!V75))))-'Council Entry'!V$5)/('Council Entry'!V$6-'Council Entry'!V$5)),1))),"No data"))</f>
        <v/>
      </c>
      <c r="W75" s="13">
        <f>IF('Council Entry'!W75="","",IFERROR(MAX(0,MIN(10,ROUND(IF('Council Entry'!W$7="Decrease Risk",10-10*((IF('Council Entry'!W$4="Logarithm",LN(0.001+IF(AND(ISNUMBER('Council Entry'!W$8),ISNUMBER('Council Entry'!W$9)),MAX(MIN('Council Entry'!W75,'Council Entry'!W$9),'Council Entry'!W$8),'Council Entry'!W75)),IF('Council Entry'!W$4="Exponential",EXP(IF(AND(ISNUMBER('Council Entry'!W$8),ISNUMBER('Council Entry'!W$9)),MAX(MIN('Council Entry'!W75,'Council Entry'!W$9),'Council Entry'!W$8),'Council Entry'!W75)),IF(AND(ISNUMBER('Council Entry'!W$8),ISNUMBER('Council Entry'!W$9)),MAX(MIN('Council Entry'!W75,'Council Entry'!W$9),'Council Entry'!W$8),'Council Entry'!W75))))-'Council Entry'!W$5)/('Council Entry'!W$6-'Council Entry'!W$5),10*((IF('Council Entry'!W$4="Logarithm",LN(0.001+IF(AND(ISNUMBER('Council Entry'!W$8),ISNUMBER('Council Entry'!W$9)),MAX(MIN('Council Entry'!W75,'Council Entry'!W$9),'Council Entry'!W$8),'Council Entry'!W75)),IF('Council Entry'!W$4="Exponential",EXP(IF(AND(ISNUMBER('Council Entry'!W$8),ISNUMBER('Council Entry'!W$9)),MAX(MIN('Council Entry'!W75,'Council Entry'!W$9),'Council Entry'!W$8),'Council Entry'!W75)),IF(AND(ISNUMBER('Council Entry'!W$8),ISNUMBER('Council Entry'!W$9)),MAX(MIN('Council Entry'!W75,'Council Entry'!W$9),'Council Entry'!W$8),'Council Entry'!W75))))-'Council Entry'!W$5)/('Council Entry'!W$6-'Council Entry'!W$5)),1))),"No data"))</f>
        <v/>
      </c>
      <c r="X75" s="13">
        <f>IF('Council Entry'!X75="","",IFERROR(MAX(0,MIN(10,ROUND(IF('Council Entry'!X$7="Decrease Risk",10-10*((IF('Council Entry'!X$4="Logarithm",LN(0.001+IF(AND(ISNUMBER('Council Entry'!X$8),ISNUMBER('Council Entry'!X$9)),MAX(MIN('Council Entry'!X75,'Council Entry'!X$9),'Council Entry'!X$8),'Council Entry'!X75)),IF('Council Entry'!X$4="Exponential",EXP(IF(AND(ISNUMBER('Council Entry'!X$8),ISNUMBER('Council Entry'!X$9)),MAX(MIN('Council Entry'!X75,'Council Entry'!X$9),'Council Entry'!X$8),'Council Entry'!X75)),IF(AND(ISNUMBER('Council Entry'!X$8),ISNUMBER('Council Entry'!X$9)),MAX(MIN('Council Entry'!X75,'Council Entry'!X$9),'Council Entry'!X$8),'Council Entry'!X75))))-'Council Entry'!X$5)/('Council Entry'!X$6-'Council Entry'!X$5),10*((IF('Council Entry'!X$4="Logarithm",LN(0.001+IF(AND(ISNUMBER('Council Entry'!X$8),ISNUMBER('Council Entry'!X$9)),MAX(MIN('Council Entry'!X75,'Council Entry'!X$9),'Council Entry'!X$8),'Council Entry'!X75)),IF('Council Entry'!X$4="Exponential",EXP(IF(AND(ISNUMBER('Council Entry'!X$8),ISNUMBER('Council Entry'!X$9)),MAX(MIN('Council Entry'!X75,'Council Entry'!X$9),'Council Entry'!X$8),'Council Entry'!X75)),IF(AND(ISNUMBER('Council Entry'!X$8),ISNUMBER('Council Entry'!X$9)),MAX(MIN('Council Entry'!X75,'Council Entry'!X$9),'Council Entry'!X$8),'Council Entry'!X75))))-'Council Entry'!X$5)/('Council Entry'!X$6-'Council Entry'!X$5)),1))),"No data"))</f>
        <v/>
      </c>
      <c r="Y75" s="13">
        <f>IF('Council Entry'!Y75="","",IFERROR(MAX(0,MIN(10,ROUND(IF('Council Entry'!Y$7="Decrease Risk",10-10*((IF('Council Entry'!Y$4="Logarithm",LN(0.001+IF(AND(ISNUMBER('Council Entry'!Y$8),ISNUMBER('Council Entry'!Y$9)),MAX(MIN('Council Entry'!Y75,'Council Entry'!Y$9),'Council Entry'!Y$8),'Council Entry'!Y75)),IF('Council Entry'!Y$4="Exponential",EXP(IF(AND(ISNUMBER('Council Entry'!Y$8),ISNUMBER('Council Entry'!Y$9)),MAX(MIN('Council Entry'!Y75,'Council Entry'!Y$9),'Council Entry'!Y$8),'Council Entry'!Y75)),IF(AND(ISNUMBER('Council Entry'!Y$8),ISNUMBER('Council Entry'!Y$9)),MAX(MIN('Council Entry'!Y75,'Council Entry'!Y$9),'Council Entry'!Y$8),'Council Entry'!Y75))))-'Council Entry'!Y$5)/('Council Entry'!Y$6-'Council Entry'!Y$5),10*((IF('Council Entry'!Y$4="Logarithm",LN(0.001+IF(AND(ISNUMBER('Council Entry'!Y$8),ISNUMBER('Council Entry'!Y$9)),MAX(MIN('Council Entry'!Y75,'Council Entry'!Y$9),'Council Entry'!Y$8),'Council Entry'!Y75)),IF('Council Entry'!Y$4="Exponential",EXP(IF(AND(ISNUMBER('Council Entry'!Y$8),ISNUMBER('Council Entry'!Y$9)),MAX(MIN('Council Entry'!Y75,'Council Entry'!Y$9),'Council Entry'!Y$8),'Council Entry'!Y75)),IF(AND(ISNUMBER('Council Entry'!Y$8),ISNUMBER('Council Entry'!Y$9)),MAX(MIN('Council Entry'!Y75,'Council Entry'!Y$9),'Council Entry'!Y$8),'Council Entry'!Y75))))-'Council Entry'!Y$5)/('Council Entry'!Y$6-'Council Entry'!Y$5)),1))),"No data"))</f>
        <v/>
      </c>
      <c r="Z75" s="13">
        <f>IF('Council Entry'!Z75="","",IFERROR(MAX(0,MIN(10,ROUND(IF('Council Entry'!Z$7="Decrease Risk",10-10*((IF('Council Entry'!Z$4="Logarithm",LN(0.001+IF(AND(ISNUMBER('Council Entry'!Z$8),ISNUMBER('Council Entry'!Z$9)),MAX(MIN('Council Entry'!Z75,'Council Entry'!Z$9),'Council Entry'!Z$8),'Council Entry'!Z75)),IF('Council Entry'!Z$4="Exponential",EXP(IF(AND(ISNUMBER('Council Entry'!Z$8),ISNUMBER('Council Entry'!Z$9)),MAX(MIN('Council Entry'!Z75,'Council Entry'!Z$9),'Council Entry'!Z$8),'Council Entry'!Z75)),IF(AND(ISNUMBER('Council Entry'!Z$8),ISNUMBER('Council Entry'!Z$9)),MAX(MIN('Council Entry'!Z75,'Council Entry'!Z$9),'Council Entry'!Z$8),'Council Entry'!Z75))))-'Council Entry'!Z$5)/('Council Entry'!Z$6-'Council Entry'!Z$5),10*((IF('Council Entry'!Z$4="Logarithm",LN(0.001+IF(AND(ISNUMBER('Council Entry'!Z$8),ISNUMBER('Council Entry'!Z$9)),MAX(MIN('Council Entry'!Z75,'Council Entry'!Z$9),'Council Entry'!Z$8),'Council Entry'!Z75)),IF('Council Entry'!Z$4="Exponential",EXP(IF(AND(ISNUMBER('Council Entry'!Z$8),ISNUMBER('Council Entry'!Z$9)),MAX(MIN('Council Entry'!Z75,'Council Entry'!Z$9),'Council Entry'!Z$8),'Council Entry'!Z75)),IF(AND(ISNUMBER('Council Entry'!Z$8),ISNUMBER('Council Entry'!Z$9)),MAX(MIN('Council Entry'!Z75,'Council Entry'!Z$9),'Council Entry'!Z$8),'Council Entry'!Z75))))-'Council Entry'!Z$5)/('Council Entry'!Z$6-'Council Entry'!Z$5)),1))),"No data"))</f>
        <v/>
      </c>
      <c r="AA75" s="13">
        <f>IF('Council Entry'!AA75="","",IFERROR(MAX(0,MIN(10,ROUND(IF('Council Entry'!AA$7="Decrease Risk",10-10*((IF('Council Entry'!AA$4="Logarithm",LN(0.001+IF(AND(ISNUMBER('Council Entry'!AA$8),ISNUMBER('Council Entry'!AA$9)),MAX(MIN('Council Entry'!AA75,'Council Entry'!AA$9),'Council Entry'!AA$8),'Council Entry'!AA75)),IF('Council Entry'!AA$4="Exponential",EXP(IF(AND(ISNUMBER('Council Entry'!AA$8),ISNUMBER('Council Entry'!AA$9)),MAX(MIN('Council Entry'!AA75,'Council Entry'!AA$9),'Council Entry'!AA$8),'Council Entry'!AA75)),IF(AND(ISNUMBER('Council Entry'!AA$8),ISNUMBER('Council Entry'!AA$9)),MAX(MIN('Council Entry'!AA75,'Council Entry'!AA$9),'Council Entry'!AA$8),'Council Entry'!AA75))))-'Council Entry'!AA$5)/('Council Entry'!AA$6-'Council Entry'!AA$5),10*((IF('Council Entry'!AA$4="Logarithm",LN(0.001+IF(AND(ISNUMBER('Council Entry'!AA$8),ISNUMBER('Council Entry'!AA$9)),MAX(MIN('Council Entry'!AA75,'Council Entry'!AA$9),'Council Entry'!AA$8),'Council Entry'!AA75)),IF('Council Entry'!AA$4="Exponential",EXP(IF(AND(ISNUMBER('Council Entry'!AA$8),ISNUMBER('Council Entry'!AA$9)),MAX(MIN('Council Entry'!AA75,'Council Entry'!AA$9),'Council Entry'!AA$8),'Council Entry'!AA75)),IF(AND(ISNUMBER('Council Entry'!AA$8),ISNUMBER('Council Entry'!AA$9)),MAX(MIN('Council Entry'!AA75,'Council Entry'!AA$9),'Council Entry'!AA$8),'Council Entry'!AA75))))-'Council Entry'!AA$5)/('Council Entry'!AA$6-'Council Entry'!AA$5)),1))),"No data"))</f>
        <v/>
      </c>
      <c r="AB75" s="13">
        <f>IF('Council Entry'!AB75="","",IFERROR(MAX(0,MIN(10,ROUND(IF('Council Entry'!AB$7="Decrease Risk",10-10*((IF('Council Entry'!AB$4="Logarithm",LN(0.001+IF(AND(ISNUMBER('Council Entry'!AB$8),ISNUMBER('Council Entry'!AB$9)),MAX(MIN('Council Entry'!AB75,'Council Entry'!AB$9),'Council Entry'!AB$8),'Council Entry'!AB75)),IF('Council Entry'!AB$4="Exponential",EXP(IF(AND(ISNUMBER('Council Entry'!AB$8),ISNUMBER('Council Entry'!AB$9)),MAX(MIN('Council Entry'!AB75,'Council Entry'!AB$9),'Council Entry'!AB$8),'Council Entry'!AB75)),IF(AND(ISNUMBER('Council Entry'!AB$8),ISNUMBER('Council Entry'!AB$9)),MAX(MIN('Council Entry'!AB75,'Council Entry'!AB$9),'Council Entry'!AB$8),'Council Entry'!AB75))))-'Council Entry'!AB$5)/('Council Entry'!AB$6-'Council Entry'!AB$5),10*((IF('Council Entry'!AB$4="Logarithm",LN(0.001+IF(AND(ISNUMBER('Council Entry'!AB$8),ISNUMBER('Council Entry'!AB$9)),MAX(MIN('Council Entry'!AB75,'Council Entry'!AB$9),'Council Entry'!AB$8),'Council Entry'!AB75)),IF('Council Entry'!AB$4="Exponential",EXP(IF(AND(ISNUMBER('Council Entry'!AB$8),ISNUMBER('Council Entry'!AB$9)),MAX(MIN('Council Entry'!AB75,'Council Entry'!AB$9),'Council Entry'!AB$8),'Council Entry'!AB75)),IF(AND(ISNUMBER('Council Entry'!AB$8),ISNUMBER('Council Entry'!AB$9)),MAX(MIN('Council Entry'!AB75,'Council Entry'!AB$9),'Council Entry'!AB$8),'Council Entry'!AB75))))-'Council Entry'!AB$5)/('Council Entry'!AB$6-'Council Entry'!AB$5)),1))),"No data"))</f>
        <v/>
      </c>
      <c r="AC75" s="13">
        <f>IF('Council Entry'!AC75="","",IFERROR(MAX(0,MIN(10,ROUND(IF('Council Entry'!AC$7="Decrease Risk",10-10*((IF('Council Entry'!AC$4="Logarithm",LN(0.001+IF(AND(ISNUMBER('Council Entry'!AC$8),ISNUMBER('Council Entry'!AC$9)),MAX(MIN('Council Entry'!AC75,'Council Entry'!AC$9),'Council Entry'!AC$8),'Council Entry'!AC75)),IF('Council Entry'!AC$4="Exponential",EXP(IF(AND(ISNUMBER('Council Entry'!AC$8),ISNUMBER('Council Entry'!AC$9)),MAX(MIN('Council Entry'!AC75,'Council Entry'!AC$9),'Council Entry'!AC$8),'Council Entry'!AC75)),IF(AND(ISNUMBER('Council Entry'!AC$8),ISNUMBER('Council Entry'!AC$9)),MAX(MIN('Council Entry'!AC75,'Council Entry'!AC$9),'Council Entry'!AC$8),'Council Entry'!AC75))))-'Council Entry'!AC$5)/('Council Entry'!AC$6-'Council Entry'!AC$5),10*((IF('Council Entry'!AC$4="Logarithm",LN(0.001+IF(AND(ISNUMBER('Council Entry'!AC$8),ISNUMBER('Council Entry'!AC$9)),MAX(MIN('Council Entry'!AC75,'Council Entry'!AC$9),'Council Entry'!AC$8),'Council Entry'!AC75)),IF('Council Entry'!AC$4="Exponential",EXP(IF(AND(ISNUMBER('Council Entry'!AC$8),ISNUMBER('Council Entry'!AC$9)),MAX(MIN('Council Entry'!AC75,'Council Entry'!AC$9),'Council Entry'!AC$8),'Council Entry'!AC75)),IF(AND(ISNUMBER('Council Entry'!AC$8),ISNUMBER('Council Entry'!AC$9)),MAX(MIN('Council Entry'!AC75,'Council Entry'!AC$9),'Council Entry'!AC$8),'Council Entry'!AC75))))-'Council Entry'!AC$5)/('Council Entry'!AC$6-'Council Entry'!AC$5)),1))),"No data"))</f>
        <v/>
      </c>
      <c r="AD75" s="13">
        <f>IF('Council Entry'!AD75="","",IFERROR(MAX(0,MIN(10,ROUND(IF('Council Entry'!AD$7="Decrease Risk",10-10*((IF('Council Entry'!AD$4="Logarithm",LN(0.001+IF(AND(ISNUMBER('Council Entry'!AD$8),ISNUMBER('Council Entry'!AD$9)),MAX(MIN('Council Entry'!AD75,'Council Entry'!AD$9),'Council Entry'!AD$8),'Council Entry'!AD75)),IF('Council Entry'!AD$4="Exponential",EXP(IF(AND(ISNUMBER('Council Entry'!AD$8),ISNUMBER('Council Entry'!AD$9)),MAX(MIN('Council Entry'!AD75,'Council Entry'!AD$9),'Council Entry'!AD$8),'Council Entry'!AD75)),IF(AND(ISNUMBER('Council Entry'!AD$8),ISNUMBER('Council Entry'!AD$9)),MAX(MIN('Council Entry'!AD75,'Council Entry'!AD$9),'Council Entry'!AD$8),'Council Entry'!AD75))))-'Council Entry'!AD$5)/('Council Entry'!AD$6-'Council Entry'!AD$5),10*((IF('Council Entry'!AD$4="Logarithm",LN(0.001+IF(AND(ISNUMBER('Council Entry'!AD$8),ISNUMBER('Council Entry'!AD$9)),MAX(MIN('Council Entry'!AD75,'Council Entry'!AD$9),'Council Entry'!AD$8),'Council Entry'!AD75)),IF('Council Entry'!AD$4="Exponential",EXP(IF(AND(ISNUMBER('Council Entry'!AD$8),ISNUMBER('Council Entry'!AD$9)),MAX(MIN('Council Entry'!AD75,'Council Entry'!AD$9),'Council Entry'!AD$8),'Council Entry'!AD75)),IF(AND(ISNUMBER('Council Entry'!AD$8),ISNUMBER('Council Entry'!AD$9)),MAX(MIN('Council Entry'!AD75,'Council Entry'!AD$9),'Council Entry'!AD$8),'Council Entry'!AD75))))-'Council Entry'!AD$5)/('Council Entry'!AD$6-'Council Entry'!AD$5)),1))),"No data"))</f>
        <v/>
      </c>
      <c r="AE75" s="13">
        <f>IF('Council Entry'!AE75="","",IFERROR(MAX(0,MIN(10,ROUND(IF('Council Entry'!AE$7="Decrease Risk",10-10*((IF('Council Entry'!AE$4="Logarithm",LN(0.001+IF(AND(ISNUMBER('Council Entry'!AE$8),ISNUMBER('Council Entry'!AE$9)),MAX(MIN('Council Entry'!AE75,'Council Entry'!AE$9),'Council Entry'!AE$8),'Council Entry'!AE75)),IF('Council Entry'!AE$4="Exponential",EXP(IF(AND(ISNUMBER('Council Entry'!AE$8),ISNUMBER('Council Entry'!AE$9)),MAX(MIN('Council Entry'!AE75,'Council Entry'!AE$9),'Council Entry'!AE$8),'Council Entry'!AE75)),IF(AND(ISNUMBER('Council Entry'!AE$8),ISNUMBER('Council Entry'!AE$9)),MAX(MIN('Council Entry'!AE75,'Council Entry'!AE$9),'Council Entry'!AE$8),'Council Entry'!AE75))))-'Council Entry'!AE$5)/('Council Entry'!AE$6-'Council Entry'!AE$5),10*((IF('Council Entry'!AE$4="Logarithm",LN(0.001+IF(AND(ISNUMBER('Council Entry'!AE$8),ISNUMBER('Council Entry'!AE$9)),MAX(MIN('Council Entry'!AE75,'Council Entry'!AE$9),'Council Entry'!AE$8),'Council Entry'!AE75)),IF('Council Entry'!AE$4="Exponential",EXP(IF(AND(ISNUMBER('Council Entry'!AE$8),ISNUMBER('Council Entry'!AE$9)),MAX(MIN('Council Entry'!AE75,'Council Entry'!AE$9),'Council Entry'!AE$8),'Council Entry'!AE75)),IF(AND(ISNUMBER('Council Entry'!AE$8),ISNUMBER('Council Entry'!AE$9)),MAX(MIN('Council Entry'!AE75,'Council Entry'!AE$9),'Council Entry'!AE$8),'Council Entry'!AE75))))-'Council Entry'!AE$5)/('Council Entry'!AE$6-'Council Entry'!AE$5)),1))),"No data"))</f>
        <v/>
      </c>
      <c r="AF75" s="13">
        <f>IF('Council Entry'!AF75="","",IFERROR(MAX(0,MIN(10,ROUND(IF('Council Entry'!AF$7="Decrease Risk",10-10*((IF('Council Entry'!AF$4="Logarithm",LN(0.001+IF(AND(ISNUMBER('Council Entry'!AF$8),ISNUMBER('Council Entry'!AF$9)),MAX(MIN('Council Entry'!AF75,'Council Entry'!AF$9),'Council Entry'!AF$8),'Council Entry'!AF75)),IF('Council Entry'!AF$4="Exponential",EXP(IF(AND(ISNUMBER('Council Entry'!AF$8),ISNUMBER('Council Entry'!AF$9)),MAX(MIN('Council Entry'!AF75,'Council Entry'!AF$9),'Council Entry'!AF$8),'Council Entry'!AF75)),IF(AND(ISNUMBER('Council Entry'!AF$8),ISNUMBER('Council Entry'!AF$9)),MAX(MIN('Council Entry'!AF75,'Council Entry'!AF$9),'Council Entry'!AF$8),'Council Entry'!AF75))))-'Council Entry'!AF$5)/('Council Entry'!AF$6-'Council Entry'!AF$5),10*((IF('Council Entry'!AF$4="Logarithm",LN(0.001+IF(AND(ISNUMBER('Council Entry'!AF$8),ISNUMBER('Council Entry'!AF$9)),MAX(MIN('Council Entry'!AF75,'Council Entry'!AF$9),'Council Entry'!AF$8),'Council Entry'!AF75)),IF('Council Entry'!AF$4="Exponential",EXP(IF(AND(ISNUMBER('Council Entry'!AF$8),ISNUMBER('Council Entry'!AF$9)),MAX(MIN('Council Entry'!AF75,'Council Entry'!AF$9),'Council Entry'!AF$8),'Council Entry'!AF75)),IF(AND(ISNUMBER('Council Entry'!AF$8),ISNUMBER('Council Entry'!AF$9)),MAX(MIN('Council Entry'!AF75,'Council Entry'!AF$9),'Council Entry'!AF$8),'Council Entry'!AF75))))-'Council Entry'!AF$5)/('Council Entry'!AF$6-'Council Entry'!AF$5)),1))),"No data"))</f>
        <v/>
      </c>
      <c r="AG75" s="13">
        <f>IF('Council Entry'!AG75="","",IFERROR(MAX(0,MIN(10,ROUND(IF('Council Entry'!AG$7="Decrease Risk",10-10*((IF('Council Entry'!AG$4="Logarithm",LN(0.001+IF(AND(ISNUMBER('Council Entry'!AG$8),ISNUMBER('Council Entry'!AG$9)),MAX(MIN('Council Entry'!AG75,'Council Entry'!AG$9),'Council Entry'!AG$8),'Council Entry'!AG75)),IF('Council Entry'!AG$4="Exponential",EXP(IF(AND(ISNUMBER('Council Entry'!AG$8),ISNUMBER('Council Entry'!AG$9)),MAX(MIN('Council Entry'!AG75,'Council Entry'!AG$9),'Council Entry'!AG$8),'Council Entry'!AG75)),IF(AND(ISNUMBER('Council Entry'!AG$8),ISNUMBER('Council Entry'!AG$9)),MAX(MIN('Council Entry'!AG75,'Council Entry'!AG$9),'Council Entry'!AG$8),'Council Entry'!AG75))))-'Council Entry'!AG$5)/('Council Entry'!AG$6-'Council Entry'!AG$5),10*((IF('Council Entry'!AG$4="Logarithm",LN(0.001+IF(AND(ISNUMBER('Council Entry'!AG$8),ISNUMBER('Council Entry'!AG$9)),MAX(MIN('Council Entry'!AG75,'Council Entry'!AG$9),'Council Entry'!AG$8),'Council Entry'!AG75)),IF('Council Entry'!AG$4="Exponential",EXP(IF(AND(ISNUMBER('Council Entry'!AG$8),ISNUMBER('Council Entry'!AG$9)),MAX(MIN('Council Entry'!AG75,'Council Entry'!AG$9),'Council Entry'!AG$8),'Council Entry'!AG75)),IF(AND(ISNUMBER('Council Entry'!AG$8),ISNUMBER('Council Entry'!AG$9)),MAX(MIN('Council Entry'!AG75,'Council Entry'!AG$9),'Council Entry'!AG$8),'Council Entry'!AG75))))-'Council Entry'!AG$5)/('Council Entry'!AG$6-'Council Entry'!AG$5)),1))),"No data"))</f>
        <v/>
      </c>
      <c r="AH75" s="13">
        <f>IF('Council Entry'!AH75="","",IFERROR(MAX(0,MIN(10,ROUND(IF('Council Entry'!AH$7="Decrease Risk",10-10*((IF('Council Entry'!AH$4="Logarithm",LN(0.001+IF(AND(ISNUMBER('Council Entry'!AH$8),ISNUMBER('Council Entry'!AH$9)),MAX(MIN('Council Entry'!AH75,'Council Entry'!AH$9),'Council Entry'!AH$8),'Council Entry'!AH75)),IF('Council Entry'!AH$4="Exponential",EXP(IF(AND(ISNUMBER('Council Entry'!AH$8),ISNUMBER('Council Entry'!AH$9)),MAX(MIN('Council Entry'!AH75,'Council Entry'!AH$9),'Council Entry'!AH$8),'Council Entry'!AH75)),IF(AND(ISNUMBER('Council Entry'!AH$8),ISNUMBER('Council Entry'!AH$9)),MAX(MIN('Council Entry'!AH75,'Council Entry'!AH$9),'Council Entry'!AH$8),'Council Entry'!AH75))))-'Council Entry'!AH$5)/('Council Entry'!AH$6-'Council Entry'!AH$5),10*((IF('Council Entry'!AH$4="Logarithm",LN(0.001+IF(AND(ISNUMBER('Council Entry'!AH$8),ISNUMBER('Council Entry'!AH$9)),MAX(MIN('Council Entry'!AH75,'Council Entry'!AH$9),'Council Entry'!AH$8),'Council Entry'!AH75)),IF('Council Entry'!AH$4="Exponential",EXP(IF(AND(ISNUMBER('Council Entry'!AH$8),ISNUMBER('Council Entry'!AH$9)),MAX(MIN('Council Entry'!AH75,'Council Entry'!AH$9),'Council Entry'!AH$8),'Council Entry'!AH75)),IF(AND(ISNUMBER('Council Entry'!AH$8),ISNUMBER('Council Entry'!AH$9)),MAX(MIN('Council Entry'!AH75,'Council Entry'!AH$9),'Council Entry'!AH$8),'Council Entry'!AH75))))-'Council Entry'!AH$5)/('Council Entry'!AH$6-'Council Entry'!AH$5)),1))),"No data"))</f>
        <v/>
      </c>
      <c r="AI75" s="13">
        <f>IF('Council Entry'!AI75="","",IFERROR(MAX(0,MIN(10,ROUND(IF('Council Entry'!AI$7="Decrease Risk",10-10*((IF('Council Entry'!AI$4="Logarithm",LN(0.001+IF(AND(ISNUMBER('Council Entry'!AI$8),ISNUMBER('Council Entry'!AI$9)),MAX(MIN('Council Entry'!AI75,'Council Entry'!AI$9),'Council Entry'!AI$8),'Council Entry'!AI75)),IF('Council Entry'!AI$4="Exponential",EXP(IF(AND(ISNUMBER('Council Entry'!AI$8),ISNUMBER('Council Entry'!AI$9)),MAX(MIN('Council Entry'!AI75,'Council Entry'!AI$9),'Council Entry'!AI$8),'Council Entry'!AI75)),IF(AND(ISNUMBER('Council Entry'!AI$8),ISNUMBER('Council Entry'!AI$9)),MAX(MIN('Council Entry'!AI75,'Council Entry'!AI$9),'Council Entry'!AI$8),'Council Entry'!AI75))))-'Council Entry'!AI$5)/('Council Entry'!AI$6-'Council Entry'!AI$5),10*((IF('Council Entry'!AI$4="Logarithm",LN(0.001+IF(AND(ISNUMBER('Council Entry'!AI$8),ISNUMBER('Council Entry'!AI$9)),MAX(MIN('Council Entry'!AI75,'Council Entry'!AI$9),'Council Entry'!AI$8),'Council Entry'!AI75)),IF('Council Entry'!AI$4="Exponential",EXP(IF(AND(ISNUMBER('Council Entry'!AI$8),ISNUMBER('Council Entry'!AI$9)),MAX(MIN('Council Entry'!AI75,'Council Entry'!AI$9),'Council Entry'!AI$8),'Council Entry'!AI75)),IF(AND(ISNUMBER('Council Entry'!AI$8),ISNUMBER('Council Entry'!AI$9)),MAX(MIN('Council Entry'!AI75,'Council Entry'!AI$9),'Council Entry'!AI$8),'Council Entry'!AI75))))-'Council Entry'!AI$5)/('Council Entry'!AI$6-'Council Entry'!AI$5)),1))),"No data"))</f>
        <v/>
      </c>
      <c r="AJ75" s="13">
        <f>IF('Council Entry'!AJ75="","",IFERROR(MAX(0,MIN(10,ROUND(IF('Council Entry'!AJ$7="Decrease Risk",10-10*((IF('Council Entry'!AJ$4="Logarithm",LN(0.001+IF(AND(ISNUMBER('Council Entry'!AJ$8),ISNUMBER('Council Entry'!AJ$9)),MAX(MIN('Council Entry'!AJ75,'Council Entry'!AJ$9),'Council Entry'!AJ$8),'Council Entry'!AJ75)),IF('Council Entry'!AJ$4="Exponential",EXP(IF(AND(ISNUMBER('Council Entry'!AJ$8),ISNUMBER('Council Entry'!AJ$9)),MAX(MIN('Council Entry'!AJ75,'Council Entry'!AJ$9),'Council Entry'!AJ$8),'Council Entry'!AJ75)),IF(AND(ISNUMBER('Council Entry'!AJ$8),ISNUMBER('Council Entry'!AJ$9)),MAX(MIN('Council Entry'!AJ75,'Council Entry'!AJ$9),'Council Entry'!AJ$8),'Council Entry'!AJ75))))-'Council Entry'!AJ$5)/('Council Entry'!AJ$6-'Council Entry'!AJ$5),10*((IF('Council Entry'!AJ$4="Logarithm",LN(0.001+IF(AND(ISNUMBER('Council Entry'!AJ$8),ISNUMBER('Council Entry'!AJ$9)),MAX(MIN('Council Entry'!AJ75,'Council Entry'!AJ$9),'Council Entry'!AJ$8),'Council Entry'!AJ75)),IF('Council Entry'!AJ$4="Exponential",EXP(IF(AND(ISNUMBER('Council Entry'!AJ$8),ISNUMBER('Council Entry'!AJ$9)),MAX(MIN('Council Entry'!AJ75,'Council Entry'!AJ$9),'Council Entry'!AJ$8),'Council Entry'!AJ75)),IF(AND(ISNUMBER('Council Entry'!AJ$8),ISNUMBER('Council Entry'!AJ$9)),MAX(MIN('Council Entry'!AJ75,'Council Entry'!AJ$9),'Council Entry'!AJ$8),'Council Entry'!AJ75))))-'Council Entry'!AJ$5)/('Council Entry'!AJ$6-'Council Entry'!AJ$5)),1))),"No data"))</f>
        <v/>
      </c>
      <c r="AK75" s="13">
        <f>IF('Council Entry'!AK75="","",IFERROR(MAX(0,MIN(10,ROUND(IF('Council Entry'!AK$7="Decrease Risk",10-10*((IF('Council Entry'!AK$4="Logarithm",LN(0.001+IF(AND(ISNUMBER('Council Entry'!AK$8),ISNUMBER('Council Entry'!AK$9)),MAX(MIN('Council Entry'!AK75,'Council Entry'!AK$9),'Council Entry'!AK$8),'Council Entry'!AK75)),IF('Council Entry'!AK$4="Exponential",EXP(IF(AND(ISNUMBER('Council Entry'!AK$8),ISNUMBER('Council Entry'!AK$9)),MAX(MIN('Council Entry'!AK75,'Council Entry'!AK$9),'Council Entry'!AK$8),'Council Entry'!AK75)),IF(AND(ISNUMBER('Council Entry'!AK$8),ISNUMBER('Council Entry'!AK$9)),MAX(MIN('Council Entry'!AK75,'Council Entry'!AK$9),'Council Entry'!AK$8),'Council Entry'!AK75))))-'Council Entry'!AK$5)/('Council Entry'!AK$6-'Council Entry'!AK$5),10*((IF('Council Entry'!AK$4="Logarithm",LN(0.001+IF(AND(ISNUMBER('Council Entry'!AK$8),ISNUMBER('Council Entry'!AK$9)),MAX(MIN('Council Entry'!AK75,'Council Entry'!AK$9),'Council Entry'!AK$8),'Council Entry'!AK75)),IF('Council Entry'!AK$4="Exponential",EXP(IF(AND(ISNUMBER('Council Entry'!AK$8),ISNUMBER('Council Entry'!AK$9)),MAX(MIN('Council Entry'!AK75,'Council Entry'!AK$9),'Council Entry'!AK$8),'Council Entry'!AK75)),IF(AND(ISNUMBER('Council Entry'!AK$8),ISNUMBER('Council Entry'!AK$9)),MAX(MIN('Council Entry'!AK75,'Council Entry'!AK$9),'Council Entry'!AK$8),'Council Entry'!AK75))))-'Council Entry'!AK$5)/('Council Entry'!AK$6-'Council Entry'!AK$5)),1))),"No data"))</f>
        <v/>
      </c>
      <c r="AL75" s="13">
        <f>IF('Council Entry'!AL75="","",IFERROR(MAX(0,MIN(10,ROUND(IF('Council Entry'!AL$7="Decrease Risk",10-10*((IF('Council Entry'!AL$4="Logarithm",LN(0.001+IF(AND(ISNUMBER('Council Entry'!AL$8),ISNUMBER('Council Entry'!AL$9)),MAX(MIN('Council Entry'!AL75,'Council Entry'!AL$9),'Council Entry'!AL$8),'Council Entry'!AL75)),IF('Council Entry'!AL$4="Exponential",EXP(IF(AND(ISNUMBER('Council Entry'!AL$8),ISNUMBER('Council Entry'!AL$9)),MAX(MIN('Council Entry'!AL75,'Council Entry'!AL$9),'Council Entry'!AL$8),'Council Entry'!AL75)),IF(AND(ISNUMBER('Council Entry'!AL$8),ISNUMBER('Council Entry'!AL$9)),MAX(MIN('Council Entry'!AL75,'Council Entry'!AL$9),'Council Entry'!AL$8),'Council Entry'!AL75))))-'Council Entry'!AL$5)/('Council Entry'!AL$6-'Council Entry'!AL$5),10*((IF('Council Entry'!AL$4="Logarithm",LN(0.001+IF(AND(ISNUMBER('Council Entry'!AL$8),ISNUMBER('Council Entry'!AL$9)),MAX(MIN('Council Entry'!AL75,'Council Entry'!AL$9),'Council Entry'!AL$8),'Council Entry'!AL75)),IF('Council Entry'!AL$4="Exponential",EXP(IF(AND(ISNUMBER('Council Entry'!AL$8),ISNUMBER('Council Entry'!AL$9)),MAX(MIN('Council Entry'!AL75,'Council Entry'!AL$9),'Council Entry'!AL$8),'Council Entry'!AL75)),IF(AND(ISNUMBER('Council Entry'!AL$8),ISNUMBER('Council Entry'!AL$9)),MAX(MIN('Council Entry'!AL75,'Council Entry'!AL$9),'Council Entry'!AL$8),'Council Entry'!AL75))))-'Council Entry'!AL$5)/('Council Entry'!AL$6-'Council Entry'!AL$5)),1))),"No data"))</f>
        <v/>
      </c>
      <c r="AM75" s="13">
        <f>IF('Council Entry'!AM75="","",IFERROR(MAX(0,MIN(10,ROUND(IF('Council Entry'!AM$7="Decrease Risk",10-10*((IF('Council Entry'!AM$4="Logarithm",LN(0.001+IF(AND(ISNUMBER('Council Entry'!AM$8),ISNUMBER('Council Entry'!AM$9)),MAX(MIN('Council Entry'!AM75,'Council Entry'!AM$9),'Council Entry'!AM$8),'Council Entry'!AM75)),IF('Council Entry'!AM$4="Exponential",EXP(IF(AND(ISNUMBER('Council Entry'!AM$8),ISNUMBER('Council Entry'!AM$9)),MAX(MIN('Council Entry'!AM75,'Council Entry'!AM$9),'Council Entry'!AM$8),'Council Entry'!AM75)),IF(AND(ISNUMBER('Council Entry'!AM$8),ISNUMBER('Council Entry'!AM$9)),MAX(MIN('Council Entry'!AM75,'Council Entry'!AM$9),'Council Entry'!AM$8),'Council Entry'!AM75))))-'Council Entry'!AM$5)/('Council Entry'!AM$6-'Council Entry'!AM$5),10*((IF('Council Entry'!AM$4="Logarithm",LN(0.001+IF(AND(ISNUMBER('Council Entry'!AM$8),ISNUMBER('Council Entry'!AM$9)),MAX(MIN('Council Entry'!AM75,'Council Entry'!AM$9),'Council Entry'!AM$8),'Council Entry'!AM75)),IF('Council Entry'!AM$4="Exponential",EXP(IF(AND(ISNUMBER('Council Entry'!AM$8),ISNUMBER('Council Entry'!AM$9)),MAX(MIN('Council Entry'!AM75,'Council Entry'!AM$9),'Council Entry'!AM$8),'Council Entry'!AM75)),IF(AND(ISNUMBER('Council Entry'!AM$8),ISNUMBER('Council Entry'!AM$9)),MAX(MIN('Council Entry'!AM75,'Council Entry'!AM$9),'Council Entry'!AM$8),'Council Entry'!AM75))))-'Council Entry'!AM$5)/('Council Entry'!AM$6-'Council Entry'!AM$5)),1))),"No data"))</f>
        <v/>
      </c>
      <c r="AN75" s="13">
        <f>IF('Council Entry'!AN75="","",IFERROR(MAX(0,MIN(10,ROUND(IF('Council Entry'!AN$7="Decrease Risk",10-10*((IF('Council Entry'!AN$4="Logarithm",LN(0.001+IF(AND(ISNUMBER('Council Entry'!AN$8),ISNUMBER('Council Entry'!AN$9)),MAX(MIN('Council Entry'!AN75,'Council Entry'!AN$9),'Council Entry'!AN$8),'Council Entry'!AN75)),IF('Council Entry'!AN$4="Exponential",EXP(IF(AND(ISNUMBER('Council Entry'!AN$8),ISNUMBER('Council Entry'!AN$9)),MAX(MIN('Council Entry'!AN75,'Council Entry'!AN$9),'Council Entry'!AN$8),'Council Entry'!AN75)),IF(AND(ISNUMBER('Council Entry'!AN$8),ISNUMBER('Council Entry'!AN$9)),MAX(MIN('Council Entry'!AN75,'Council Entry'!AN$9),'Council Entry'!AN$8),'Council Entry'!AN75))))-'Council Entry'!AN$5)/('Council Entry'!AN$6-'Council Entry'!AN$5),10*((IF('Council Entry'!AN$4="Logarithm",LN(0.001+IF(AND(ISNUMBER('Council Entry'!AN$8),ISNUMBER('Council Entry'!AN$9)),MAX(MIN('Council Entry'!AN75,'Council Entry'!AN$9),'Council Entry'!AN$8),'Council Entry'!AN75)),IF('Council Entry'!AN$4="Exponential",EXP(IF(AND(ISNUMBER('Council Entry'!AN$8),ISNUMBER('Council Entry'!AN$9)),MAX(MIN('Council Entry'!AN75,'Council Entry'!AN$9),'Council Entry'!AN$8),'Council Entry'!AN75)),IF(AND(ISNUMBER('Council Entry'!AN$8),ISNUMBER('Council Entry'!AN$9)),MAX(MIN('Council Entry'!AN75,'Council Entry'!AN$9),'Council Entry'!AN$8),'Council Entry'!AN75))))-'Council Entry'!AN$5)/('Council Entry'!AN$6-'Council Entry'!AN$5)),1))),"No data"))</f>
        <v/>
      </c>
      <c r="AO75" s="13">
        <f>IF('Council Entry'!AO75="","",IFERROR(MAX(0,MIN(10,ROUND(IF('Council Entry'!AO$7="Decrease Risk",10-10*((IF('Council Entry'!AO$4="Logarithm",LN(0.001+IF(AND(ISNUMBER('Council Entry'!AO$8),ISNUMBER('Council Entry'!AO$9)),MAX(MIN('Council Entry'!AO75,'Council Entry'!AO$9),'Council Entry'!AO$8),'Council Entry'!AO75)),IF('Council Entry'!AO$4="Exponential",EXP(IF(AND(ISNUMBER('Council Entry'!AO$8),ISNUMBER('Council Entry'!AO$9)),MAX(MIN('Council Entry'!AO75,'Council Entry'!AO$9),'Council Entry'!AO$8),'Council Entry'!AO75)),IF(AND(ISNUMBER('Council Entry'!AO$8),ISNUMBER('Council Entry'!AO$9)),MAX(MIN('Council Entry'!AO75,'Council Entry'!AO$9),'Council Entry'!AO$8),'Council Entry'!AO75))))-'Council Entry'!AO$5)/('Council Entry'!AO$6-'Council Entry'!AO$5),10*((IF('Council Entry'!AO$4="Logarithm",LN(0.001+IF(AND(ISNUMBER('Council Entry'!AO$8),ISNUMBER('Council Entry'!AO$9)),MAX(MIN('Council Entry'!AO75,'Council Entry'!AO$9),'Council Entry'!AO$8),'Council Entry'!AO75)),IF('Council Entry'!AO$4="Exponential",EXP(IF(AND(ISNUMBER('Council Entry'!AO$8),ISNUMBER('Council Entry'!AO$9)),MAX(MIN('Council Entry'!AO75,'Council Entry'!AO$9),'Council Entry'!AO$8),'Council Entry'!AO75)),IF(AND(ISNUMBER('Council Entry'!AO$8),ISNUMBER('Council Entry'!AO$9)),MAX(MIN('Council Entry'!AO75,'Council Entry'!AO$9),'Council Entry'!AO$8),'Council Entry'!AO75))))-'Council Entry'!AO$5)/('Council Entry'!AO$6-'Council Entry'!AO$5)),1))),"No data"))</f>
        <v/>
      </c>
      <c r="AP75" s="13">
        <f>IF('Council Entry'!AP75="","",IFERROR(MAX(0,MIN(10,ROUND(IF('Council Entry'!AP$7="Decrease Risk",10-10*((IF('Council Entry'!AP$4="Logarithm",LN(0.001+IF(AND(ISNUMBER('Council Entry'!AP$8),ISNUMBER('Council Entry'!AP$9)),MAX(MIN('Council Entry'!AP75,'Council Entry'!AP$9),'Council Entry'!AP$8),'Council Entry'!AP75)),IF('Council Entry'!AP$4="Exponential",EXP(IF(AND(ISNUMBER('Council Entry'!AP$8),ISNUMBER('Council Entry'!AP$9)),MAX(MIN('Council Entry'!AP75,'Council Entry'!AP$9),'Council Entry'!AP$8),'Council Entry'!AP75)),IF(AND(ISNUMBER('Council Entry'!AP$8),ISNUMBER('Council Entry'!AP$9)),MAX(MIN('Council Entry'!AP75,'Council Entry'!AP$9),'Council Entry'!AP$8),'Council Entry'!AP75))))-'Council Entry'!AP$5)/('Council Entry'!AP$6-'Council Entry'!AP$5),10*((IF('Council Entry'!AP$4="Logarithm",LN(0.001+IF(AND(ISNUMBER('Council Entry'!AP$8),ISNUMBER('Council Entry'!AP$9)),MAX(MIN('Council Entry'!AP75,'Council Entry'!AP$9),'Council Entry'!AP$8),'Council Entry'!AP75)),IF('Council Entry'!AP$4="Exponential",EXP(IF(AND(ISNUMBER('Council Entry'!AP$8),ISNUMBER('Council Entry'!AP$9)),MAX(MIN('Council Entry'!AP75,'Council Entry'!AP$9),'Council Entry'!AP$8),'Council Entry'!AP75)),IF(AND(ISNUMBER('Council Entry'!AP$8),ISNUMBER('Council Entry'!AP$9)),MAX(MIN('Council Entry'!AP75,'Council Entry'!AP$9),'Council Entry'!AP$8),'Council Entry'!AP75))))-'Council Entry'!AP$5)/('Council Entry'!AP$6-'Council Entry'!AP$5)),1))),"No data"))</f>
        <v/>
      </c>
      <c r="AQ75" s="13">
        <f>IF('Council Entry'!AQ75="","",IFERROR(MAX(0,MIN(10,ROUND(IF('Council Entry'!AQ$7="Decrease Risk",10-10*((IF('Council Entry'!AQ$4="Logarithm",LN(0.001+IF(AND(ISNUMBER('Council Entry'!AQ$8),ISNUMBER('Council Entry'!AQ$9)),MAX(MIN('Council Entry'!AQ75,'Council Entry'!AQ$9),'Council Entry'!AQ$8),'Council Entry'!AQ75)),IF('Council Entry'!AQ$4="Exponential",EXP(IF(AND(ISNUMBER('Council Entry'!AQ$8),ISNUMBER('Council Entry'!AQ$9)),MAX(MIN('Council Entry'!AQ75,'Council Entry'!AQ$9),'Council Entry'!AQ$8),'Council Entry'!AQ75)),IF(AND(ISNUMBER('Council Entry'!AQ$8),ISNUMBER('Council Entry'!AQ$9)),MAX(MIN('Council Entry'!AQ75,'Council Entry'!AQ$9),'Council Entry'!AQ$8),'Council Entry'!AQ75))))-'Council Entry'!AQ$5)/('Council Entry'!AQ$6-'Council Entry'!AQ$5),10*((IF('Council Entry'!AQ$4="Logarithm",LN(0.001+IF(AND(ISNUMBER('Council Entry'!AQ$8),ISNUMBER('Council Entry'!AQ$9)),MAX(MIN('Council Entry'!AQ75,'Council Entry'!AQ$9),'Council Entry'!AQ$8),'Council Entry'!AQ75)),IF('Council Entry'!AQ$4="Exponential",EXP(IF(AND(ISNUMBER('Council Entry'!AQ$8),ISNUMBER('Council Entry'!AQ$9)),MAX(MIN('Council Entry'!AQ75,'Council Entry'!AQ$9),'Council Entry'!AQ$8),'Council Entry'!AQ75)),IF(AND(ISNUMBER('Council Entry'!AQ$8),ISNUMBER('Council Entry'!AQ$9)),MAX(MIN('Council Entry'!AQ75,'Council Entry'!AQ$9),'Council Entry'!AQ$8),'Council Entry'!AQ75))))-'Council Entry'!AQ$5)/('Council Entry'!AQ$6-'Council Entry'!AQ$5)),1))),"No data"))</f>
        <v/>
      </c>
      <c r="AR75" s="13">
        <f>IF('Council Entry'!AR75="","",IFERROR(MAX(0,MIN(10,ROUND(IF('Council Entry'!AR$7="Decrease Risk",10-10*((IF('Council Entry'!AR$4="Logarithm",LN(0.001+IF(AND(ISNUMBER('Council Entry'!AR$8),ISNUMBER('Council Entry'!AR$9)),MAX(MIN('Council Entry'!AR75,'Council Entry'!AR$9),'Council Entry'!AR$8),'Council Entry'!AR75)),IF('Council Entry'!AR$4="Exponential",EXP(IF(AND(ISNUMBER('Council Entry'!AR$8),ISNUMBER('Council Entry'!AR$9)),MAX(MIN('Council Entry'!AR75,'Council Entry'!AR$9),'Council Entry'!AR$8),'Council Entry'!AR75)),IF(AND(ISNUMBER('Council Entry'!AR$8),ISNUMBER('Council Entry'!AR$9)),MAX(MIN('Council Entry'!AR75,'Council Entry'!AR$9),'Council Entry'!AR$8),'Council Entry'!AR75))))-'Council Entry'!AR$5)/('Council Entry'!AR$6-'Council Entry'!AR$5),10*((IF('Council Entry'!AR$4="Logarithm",LN(0.001+IF(AND(ISNUMBER('Council Entry'!AR$8),ISNUMBER('Council Entry'!AR$9)),MAX(MIN('Council Entry'!AR75,'Council Entry'!AR$9),'Council Entry'!AR$8),'Council Entry'!AR75)),IF('Council Entry'!AR$4="Exponential",EXP(IF(AND(ISNUMBER('Council Entry'!AR$8),ISNUMBER('Council Entry'!AR$9)),MAX(MIN('Council Entry'!AR75,'Council Entry'!AR$9),'Council Entry'!AR$8),'Council Entry'!AR75)),IF(AND(ISNUMBER('Council Entry'!AR$8),ISNUMBER('Council Entry'!AR$9)),MAX(MIN('Council Entry'!AR75,'Council Entry'!AR$9),'Council Entry'!AR$8),'Council Entry'!AR75))))-'Council Entry'!AR$5)/('Council Entry'!AR$6-'Council Entry'!AR$5)),1))),"No data"))</f>
        <v/>
      </c>
      <c r="AS75" s="13">
        <f>IF('Council Entry'!AS75="","",IFERROR(MAX(0,MIN(10,ROUND(IF('Council Entry'!AS$7="Decrease Risk",10-10*((IF('Council Entry'!AS$4="Logarithm",LN(0.001+IF(AND(ISNUMBER('Council Entry'!AS$8),ISNUMBER('Council Entry'!AS$9)),MAX(MIN('Council Entry'!AS75,'Council Entry'!AS$9),'Council Entry'!AS$8),'Council Entry'!AS75)),IF('Council Entry'!AS$4="Exponential",EXP(IF(AND(ISNUMBER('Council Entry'!AS$8),ISNUMBER('Council Entry'!AS$9)),MAX(MIN('Council Entry'!AS75,'Council Entry'!AS$9),'Council Entry'!AS$8),'Council Entry'!AS75)),IF(AND(ISNUMBER('Council Entry'!AS$8),ISNUMBER('Council Entry'!AS$9)),MAX(MIN('Council Entry'!AS75,'Council Entry'!AS$9),'Council Entry'!AS$8),'Council Entry'!AS75))))-'Council Entry'!AS$5)/('Council Entry'!AS$6-'Council Entry'!AS$5),10*((IF('Council Entry'!AS$4="Logarithm",LN(0.001+IF(AND(ISNUMBER('Council Entry'!AS$8),ISNUMBER('Council Entry'!AS$9)),MAX(MIN('Council Entry'!AS75,'Council Entry'!AS$9),'Council Entry'!AS$8),'Council Entry'!AS75)),IF('Council Entry'!AS$4="Exponential",EXP(IF(AND(ISNUMBER('Council Entry'!AS$8),ISNUMBER('Council Entry'!AS$9)),MAX(MIN('Council Entry'!AS75,'Council Entry'!AS$9),'Council Entry'!AS$8),'Council Entry'!AS75)),IF(AND(ISNUMBER('Council Entry'!AS$8),ISNUMBER('Council Entry'!AS$9)),MAX(MIN('Council Entry'!AS75,'Council Entry'!AS$9),'Council Entry'!AS$8),'Council Entry'!AS75))))-'Council Entry'!AS$5)/('Council Entry'!AS$6-'Council Entry'!AS$5)),1))),"No data"))</f>
        <v/>
      </c>
      <c r="AT75" s="13">
        <f>IF('Council Entry'!AT75="","",IFERROR(MAX(0,MIN(10,ROUND(IF('Council Entry'!AT$7="Decrease Risk",10-10*((IF('Council Entry'!AT$4="Logarithm",LN(0.001+IF(AND(ISNUMBER('Council Entry'!AT$8),ISNUMBER('Council Entry'!AT$9)),MAX(MIN('Council Entry'!AT75,'Council Entry'!AT$9),'Council Entry'!AT$8),'Council Entry'!AT75)),IF('Council Entry'!AT$4="Exponential",EXP(IF(AND(ISNUMBER('Council Entry'!AT$8),ISNUMBER('Council Entry'!AT$9)),MAX(MIN('Council Entry'!AT75,'Council Entry'!AT$9),'Council Entry'!AT$8),'Council Entry'!AT75)),IF(AND(ISNUMBER('Council Entry'!AT$8),ISNUMBER('Council Entry'!AT$9)),MAX(MIN('Council Entry'!AT75,'Council Entry'!AT$9),'Council Entry'!AT$8),'Council Entry'!AT75))))-'Council Entry'!AT$5)/('Council Entry'!AT$6-'Council Entry'!AT$5),10*((IF('Council Entry'!AT$4="Logarithm",LN(0.001+IF(AND(ISNUMBER('Council Entry'!AT$8),ISNUMBER('Council Entry'!AT$9)),MAX(MIN('Council Entry'!AT75,'Council Entry'!AT$9),'Council Entry'!AT$8),'Council Entry'!AT75)),IF('Council Entry'!AT$4="Exponential",EXP(IF(AND(ISNUMBER('Council Entry'!AT$8),ISNUMBER('Council Entry'!AT$9)),MAX(MIN('Council Entry'!AT75,'Council Entry'!AT$9),'Council Entry'!AT$8),'Council Entry'!AT75)),IF(AND(ISNUMBER('Council Entry'!AT$8),ISNUMBER('Council Entry'!AT$9)),MAX(MIN('Council Entry'!AT75,'Council Entry'!AT$9),'Council Entry'!AT$8),'Council Entry'!AT75))))-'Council Entry'!AT$5)/('Council Entry'!AT$6-'Council Entry'!AT$5)),1))),"No data"))</f>
        <v/>
      </c>
      <c r="AU75" s="13">
        <f>IF('Council Entry'!AU75="","",IFERROR(MAX(0,MIN(10,ROUND(IF('Council Entry'!AU$7="Decrease Risk",10-10*((IF('Council Entry'!AU$4="Logarithm",LN(0.001+IF(AND(ISNUMBER('Council Entry'!AU$8),ISNUMBER('Council Entry'!AU$9)),MAX(MIN('Council Entry'!AU75,'Council Entry'!AU$9),'Council Entry'!AU$8),'Council Entry'!AU75)),IF('Council Entry'!AU$4="Exponential",EXP(IF(AND(ISNUMBER('Council Entry'!AU$8),ISNUMBER('Council Entry'!AU$9)),MAX(MIN('Council Entry'!AU75,'Council Entry'!AU$9),'Council Entry'!AU$8),'Council Entry'!AU75)),IF(AND(ISNUMBER('Council Entry'!AU$8),ISNUMBER('Council Entry'!AU$9)),MAX(MIN('Council Entry'!AU75,'Council Entry'!AU$9),'Council Entry'!AU$8),'Council Entry'!AU75))))-'Council Entry'!AU$5)/('Council Entry'!AU$6-'Council Entry'!AU$5),10*((IF('Council Entry'!AU$4="Logarithm",LN(0.001+IF(AND(ISNUMBER('Council Entry'!AU$8),ISNUMBER('Council Entry'!AU$9)),MAX(MIN('Council Entry'!AU75,'Council Entry'!AU$9),'Council Entry'!AU$8),'Council Entry'!AU75)),IF('Council Entry'!AU$4="Exponential",EXP(IF(AND(ISNUMBER('Council Entry'!AU$8),ISNUMBER('Council Entry'!AU$9)),MAX(MIN('Council Entry'!AU75,'Council Entry'!AU$9),'Council Entry'!AU$8),'Council Entry'!AU75)),IF(AND(ISNUMBER('Council Entry'!AU$8),ISNUMBER('Council Entry'!AU$9)),MAX(MIN('Council Entry'!AU75,'Council Entry'!AU$9),'Council Entry'!AU$8),'Council Entry'!AU75))))-'Council Entry'!AU$5)/('Council Entry'!AU$6-'Council Entry'!AU$5)),1))),"No data"))</f>
        <v/>
      </c>
      <c r="AV75" s="13">
        <f>IF('Council Entry'!AV75="","",IFERROR(MAX(0,MIN(10,ROUND(IF('Council Entry'!AV$7="Decrease Risk",10-10*((IF('Council Entry'!AV$4="Logarithm",LN(0.001+IF(AND(ISNUMBER('Council Entry'!AV$8),ISNUMBER('Council Entry'!AV$9)),MAX(MIN('Council Entry'!AV75,'Council Entry'!AV$9),'Council Entry'!AV$8),'Council Entry'!AV75)),IF('Council Entry'!AV$4="Exponential",EXP(IF(AND(ISNUMBER('Council Entry'!AV$8),ISNUMBER('Council Entry'!AV$9)),MAX(MIN('Council Entry'!AV75,'Council Entry'!AV$9),'Council Entry'!AV$8),'Council Entry'!AV75)),IF(AND(ISNUMBER('Council Entry'!AV$8),ISNUMBER('Council Entry'!AV$9)),MAX(MIN('Council Entry'!AV75,'Council Entry'!AV$9),'Council Entry'!AV$8),'Council Entry'!AV75))))-'Council Entry'!AV$5)/('Council Entry'!AV$6-'Council Entry'!AV$5),10*((IF('Council Entry'!AV$4="Logarithm",LN(0.001+IF(AND(ISNUMBER('Council Entry'!AV$8),ISNUMBER('Council Entry'!AV$9)),MAX(MIN('Council Entry'!AV75,'Council Entry'!AV$9),'Council Entry'!AV$8),'Council Entry'!AV75)),IF('Council Entry'!AV$4="Exponential",EXP(IF(AND(ISNUMBER('Council Entry'!AV$8),ISNUMBER('Council Entry'!AV$9)),MAX(MIN('Council Entry'!AV75,'Council Entry'!AV$9),'Council Entry'!AV$8),'Council Entry'!AV75)),IF(AND(ISNUMBER('Council Entry'!AV$8),ISNUMBER('Council Entry'!AV$9)),MAX(MIN('Council Entry'!AV75,'Council Entry'!AV$9),'Council Entry'!AV$8),'Council Entry'!AV75))))-'Council Entry'!AV$5)/('Council Entry'!AV$6-'Council Entry'!AV$5)),1))),"No data"))</f>
        <v/>
      </c>
      <c r="AW75" s="13">
        <f>IF('Council Entry'!AW75="","",IFERROR(MAX(0,MIN(10,ROUND(IF('Council Entry'!AW$7="Decrease Risk",10-10*((IF('Council Entry'!AW$4="Logarithm",LN(0.001+IF(AND(ISNUMBER('Council Entry'!AW$8),ISNUMBER('Council Entry'!AW$9)),MAX(MIN('Council Entry'!AW75,'Council Entry'!AW$9),'Council Entry'!AW$8),'Council Entry'!AW75)),IF('Council Entry'!AW$4="Exponential",EXP(IF(AND(ISNUMBER('Council Entry'!AW$8),ISNUMBER('Council Entry'!AW$9)),MAX(MIN('Council Entry'!AW75,'Council Entry'!AW$9),'Council Entry'!AW$8),'Council Entry'!AW75)),IF(AND(ISNUMBER('Council Entry'!AW$8),ISNUMBER('Council Entry'!AW$9)),MAX(MIN('Council Entry'!AW75,'Council Entry'!AW$9),'Council Entry'!AW$8),'Council Entry'!AW75))))-'Council Entry'!AW$5)/('Council Entry'!AW$6-'Council Entry'!AW$5),10*((IF('Council Entry'!AW$4="Logarithm",LN(0.001+IF(AND(ISNUMBER('Council Entry'!AW$8),ISNUMBER('Council Entry'!AW$9)),MAX(MIN('Council Entry'!AW75,'Council Entry'!AW$9),'Council Entry'!AW$8),'Council Entry'!AW75)),IF('Council Entry'!AW$4="Exponential",EXP(IF(AND(ISNUMBER('Council Entry'!AW$8),ISNUMBER('Council Entry'!AW$9)),MAX(MIN('Council Entry'!AW75,'Council Entry'!AW$9),'Council Entry'!AW$8),'Council Entry'!AW75)),IF(AND(ISNUMBER('Council Entry'!AW$8),ISNUMBER('Council Entry'!AW$9)),MAX(MIN('Council Entry'!AW75,'Council Entry'!AW$9),'Council Entry'!AW$8),'Council Entry'!AW75))))-'Council Entry'!AW$5)/('Council Entry'!AW$6-'Council Entry'!AW$5)),1))),"No data"))</f>
        <v/>
      </c>
      <c r="AX75" s="13">
        <f>IF('Council Entry'!AX75="","",IFERROR(MAX(0,MIN(10,ROUND(IF('Council Entry'!AX$7="Decrease Risk",10-10*((IF('Council Entry'!AX$4="Logarithm",LN(0.001+IF(AND(ISNUMBER('Council Entry'!AX$8),ISNUMBER('Council Entry'!AX$9)),MAX(MIN('Council Entry'!AX75,'Council Entry'!AX$9),'Council Entry'!AX$8),'Council Entry'!AX75)),IF('Council Entry'!AX$4="Exponential",EXP(IF(AND(ISNUMBER('Council Entry'!AX$8),ISNUMBER('Council Entry'!AX$9)),MAX(MIN('Council Entry'!AX75,'Council Entry'!AX$9),'Council Entry'!AX$8),'Council Entry'!AX75)),IF(AND(ISNUMBER('Council Entry'!AX$8),ISNUMBER('Council Entry'!AX$9)),MAX(MIN('Council Entry'!AX75,'Council Entry'!AX$9),'Council Entry'!AX$8),'Council Entry'!AX75))))-'Council Entry'!AX$5)/('Council Entry'!AX$6-'Council Entry'!AX$5),10*((IF('Council Entry'!AX$4="Logarithm",LN(0.001+IF(AND(ISNUMBER('Council Entry'!AX$8),ISNUMBER('Council Entry'!AX$9)),MAX(MIN('Council Entry'!AX75,'Council Entry'!AX$9),'Council Entry'!AX$8),'Council Entry'!AX75)),IF('Council Entry'!AX$4="Exponential",EXP(IF(AND(ISNUMBER('Council Entry'!AX$8),ISNUMBER('Council Entry'!AX$9)),MAX(MIN('Council Entry'!AX75,'Council Entry'!AX$9),'Council Entry'!AX$8),'Council Entry'!AX75)),IF(AND(ISNUMBER('Council Entry'!AX$8),ISNUMBER('Council Entry'!AX$9)),MAX(MIN('Council Entry'!AX75,'Council Entry'!AX$9),'Council Entry'!AX$8),'Council Entry'!AX75))))-'Council Entry'!AX$5)/('Council Entry'!AX$6-'Council Entry'!AX$5)),1))),"No data"))</f>
        <v/>
      </c>
      <c r="AY75" s="13">
        <f>IF('Council Entry'!AY75="","",IFERROR(MAX(0,MIN(10,ROUND(IF('Council Entry'!AY$7="Decrease Risk",10-10*((IF('Council Entry'!AY$4="Logarithm",LN(0.001+IF(AND(ISNUMBER('Council Entry'!AY$8),ISNUMBER('Council Entry'!AY$9)),MAX(MIN('Council Entry'!AY75,'Council Entry'!AY$9),'Council Entry'!AY$8),'Council Entry'!AY75)),IF('Council Entry'!AY$4="Exponential",EXP(IF(AND(ISNUMBER('Council Entry'!AY$8),ISNUMBER('Council Entry'!AY$9)),MAX(MIN('Council Entry'!AY75,'Council Entry'!AY$9),'Council Entry'!AY$8),'Council Entry'!AY75)),IF(AND(ISNUMBER('Council Entry'!AY$8),ISNUMBER('Council Entry'!AY$9)),MAX(MIN('Council Entry'!AY75,'Council Entry'!AY$9),'Council Entry'!AY$8),'Council Entry'!AY75))))-'Council Entry'!AY$5)/('Council Entry'!AY$6-'Council Entry'!AY$5),10*((IF('Council Entry'!AY$4="Logarithm",LN(0.001+IF(AND(ISNUMBER('Council Entry'!AY$8),ISNUMBER('Council Entry'!AY$9)),MAX(MIN('Council Entry'!AY75,'Council Entry'!AY$9),'Council Entry'!AY$8),'Council Entry'!AY75)),IF('Council Entry'!AY$4="Exponential",EXP(IF(AND(ISNUMBER('Council Entry'!AY$8),ISNUMBER('Council Entry'!AY$9)),MAX(MIN('Council Entry'!AY75,'Council Entry'!AY$9),'Council Entry'!AY$8),'Council Entry'!AY75)),IF(AND(ISNUMBER('Council Entry'!AY$8),ISNUMBER('Council Entry'!AY$9)),MAX(MIN('Council Entry'!AY75,'Council Entry'!AY$9),'Council Entry'!AY$8),'Council Entry'!AY75))))-'Council Entry'!AY$5)/('Council Entry'!AY$6-'Council Entry'!AY$5)),1))),"No data"))</f>
        <v/>
      </c>
      <c r="AZ75" s="13">
        <f>IF('Council Entry'!AZ75="","",IFERROR(MAX(0,MIN(10,ROUND(IF('Council Entry'!AZ$7="Decrease Risk",10-10*((IF('Council Entry'!AZ$4="Logarithm",LN(0.001+IF(AND(ISNUMBER('Council Entry'!AZ$8),ISNUMBER('Council Entry'!AZ$9)),MAX(MIN('Council Entry'!AZ75,'Council Entry'!AZ$9),'Council Entry'!AZ$8),'Council Entry'!AZ75)),IF('Council Entry'!AZ$4="Exponential",EXP(IF(AND(ISNUMBER('Council Entry'!AZ$8),ISNUMBER('Council Entry'!AZ$9)),MAX(MIN('Council Entry'!AZ75,'Council Entry'!AZ$9),'Council Entry'!AZ$8),'Council Entry'!AZ75)),IF(AND(ISNUMBER('Council Entry'!AZ$8),ISNUMBER('Council Entry'!AZ$9)),MAX(MIN('Council Entry'!AZ75,'Council Entry'!AZ$9),'Council Entry'!AZ$8),'Council Entry'!AZ75))))-'Council Entry'!AZ$5)/('Council Entry'!AZ$6-'Council Entry'!AZ$5),10*((IF('Council Entry'!AZ$4="Logarithm",LN(0.001+IF(AND(ISNUMBER('Council Entry'!AZ$8),ISNUMBER('Council Entry'!AZ$9)),MAX(MIN('Council Entry'!AZ75,'Council Entry'!AZ$9),'Council Entry'!AZ$8),'Council Entry'!AZ75)),IF('Council Entry'!AZ$4="Exponential",EXP(IF(AND(ISNUMBER('Council Entry'!AZ$8),ISNUMBER('Council Entry'!AZ$9)),MAX(MIN('Council Entry'!AZ75,'Council Entry'!AZ$9),'Council Entry'!AZ$8),'Council Entry'!AZ75)),IF(AND(ISNUMBER('Council Entry'!AZ$8),ISNUMBER('Council Entry'!AZ$9)),MAX(MIN('Council Entry'!AZ75,'Council Entry'!AZ$9),'Council Entry'!AZ$8),'Council Entry'!AZ75))))-'Council Entry'!AZ$5)/('Council Entry'!AZ$6-'Council Entry'!AZ$5)),1))),"No data"))</f>
        <v/>
      </c>
      <c r="BA75" s="13">
        <f>IF('Council Entry'!BA75="","",IFERROR(MAX(0,MIN(10,ROUND(IF('Council Entry'!BA$7="Decrease Risk",10-10*((IF('Council Entry'!BA$4="Logarithm",LN(0.001+IF(AND(ISNUMBER('Council Entry'!BA$8),ISNUMBER('Council Entry'!BA$9)),MAX(MIN('Council Entry'!BA75,'Council Entry'!BA$9),'Council Entry'!BA$8),'Council Entry'!BA75)),IF('Council Entry'!BA$4="Exponential",EXP(IF(AND(ISNUMBER('Council Entry'!BA$8),ISNUMBER('Council Entry'!BA$9)),MAX(MIN('Council Entry'!BA75,'Council Entry'!BA$9),'Council Entry'!BA$8),'Council Entry'!BA75)),IF(AND(ISNUMBER('Council Entry'!BA$8),ISNUMBER('Council Entry'!BA$9)),MAX(MIN('Council Entry'!BA75,'Council Entry'!BA$9),'Council Entry'!BA$8),'Council Entry'!BA75))))-'Council Entry'!BA$5)/('Council Entry'!BA$6-'Council Entry'!BA$5),10*((IF('Council Entry'!BA$4="Logarithm",LN(0.001+IF(AND(ISNUMBER('Council Entry'!BA$8),ISNUMBER('Council Entry'!BA$9)),MAX(MIN('Council Entry'!BA75,'Council Entry'!BA$9),'Council Entry'!BA$8),'Council Entry'!BA75)),IF('Council Entry'!BA$4="Exponential",EXP(IF(AND(ISNUMBER('Council Entry'!BA$8),ISNUMBER('Council Entry'!BA$9)),MAX(MIN('Council Entry'!BA75,'Council Entry'!BA$9),'Council Entry'!BA$8),'Council Entry'!BA75)),IF(AND(ISNUMBER('Council Entry'!BA$8),ISNUMBER('Council Entry'!BA$9)),MAX(MIN('Council Entry'!BA75,'Council Entry'!BA$9),'Council Entry'!BA$8),'Council Entry'!BA75))))-'Council Entry'!BA$5)/('Council Entry'!BA$6-'Council Entry'!BA$5)),1))),"No data"))</f>
        <v/>
      </c>
      <c r="BB75" s="13">
        <f>IF('Council Entry'!BB75="","",IFERROR(MAX(0,MIN(10,ROUND(IF('Council Entry'!BB$7="Decrease Risk",10-10*((IF('Council Entry'!BB$4="Logarithm",LN(0.001+IF(AND(ISNUMBER('Council Entry'!BB$8),ISNUMBER('Council Entry'!BB$9)),MAX(MIN('Council Entry'!BB75,'Council Entry'!BB$9),'Council Entry'!BB$8),'Council Entry'!BB75)),IF('Council Entry'!BB$4="Exponential",EXP(IF(AND(ISNUMBER('Council Entry'!BB$8),ISNUMBER('Council Entry'!BB$9)),MAX(MIN('Council Entry'!BB75,'Council Entry'!BB$9),'Council Entry'!BB$8),'Council Entry'!BB75)),IF(AND(ISNUMBER('Council Entry'!BB$8),ISNUMBER('Council Entry'!BB$9)),MAX(MIN('Council Entry'!BB75,'Council Entry'!BB$9),'Council Entry'!BB$8),'Council Entry'!BB75))))-'Council Entry'!BB$5)/('Council Entry'!BB$6-'Council Entry'!BB$5),10*((IF('Council Entry'!BB$4="Logarithm",LN(0.001+IF(AND(ISNUMBER('Council Entry'!BB$8),ISNUMBER('Council Entry'!BB$9)),MAX(MIN('Council Entry'!BB75,'Council Entry'!BB$9),'Council Entry'!BB$8),'Council Entry'!BB75)),IF('Council Entry'!BB$4="Exponential",EXP(IF(AND(ISNUMBER('Council Entry'!BB$8),ISNUMBER('Council Entry'!BB$9)),MAX(MIN('Council Entry'!BB75,'Council Entry'!BB$9),'Council Entry'!BB$8),'Council Entry'!BB75)),IF(AND(ISNUMBER('Council Entry'!BB$8),ISNUMBER('Council Entry'!BB$9)),MAX(MIN('Council Entry'!BB75,'Council Entry'!BB$9),'Council Entry'!BB$8),'Council Entry'!BB75))))-'Council Entry'!BB$5)/('Council Entry'!BB$6-'Council Entry'!BB$5)),1))),"No data"))</f>
        <v/>
      </c>
      <c r="BC75" s="13">
        <f>IF('Council Entry'!BC75="","",IFERROR(MAX(0,MIN(10,ROUND(IF('Council Entry'!BC$7="Decrease Risk",10-10*((IF('Council Entry'!BC$4="Logarithm",LN(0.001+IF(AND(ISNUMBER('Council Entry'!BC$8),ISNUMBER('Council Entry'!BC$9)),MAX(MIN('Council Entry'!BC75,'Council Entry'!BC$9),'Council Entry'!BC$8),'Council Entry'!BC75)),IF('Council Entry'!BC$4="Exponential",EXP(IF(AND(ISNUMBER('Council Entry'!BC$8),ISNUMBER('Council Entry'!BC$9)),MAX(MIN('Council Entry'!BC75,'Council Entry'!BC$9),'Council Entry'!BC$8),'Council Entry'!BC75)),IF(AND(ISNUMBER('Council Entry'!BC$8),ISNUMBER('Council Entry'!BC$9)),MAX(MIN('Council Entry'!BC75,'Council Entry'!BC$9),'Council Entry'!BC$8),'Council Entry'!BC75))))-'Council Entry'!BC$5)/('Council Entry'!BC$6-'Council Entry'!BC$5),10*((IF('Council Entry'!BC$4="Logarithm",LN(0.001+IF(AND(ISNUMBER('Council Entry'!BC$8),ISNUMBER('Council Entry'!BC$9)),MAX(MIN('Council Entry'!BC75,'Council Entry'!BC$9),'Council Entry'!BC$8),'Council Entry'!BC75)),IF('Council Entry'!BC$4="Exponential",EXP(IF(AND(ISNUMBER('Council Entry'!BC$8),ISNUMBER('Council Entry'!BC$9)),MAX(MIN('Council Entry'!BC75,'Council Entry'!BC$9),'Council Entry'!BC$8),'Council Entry'!BC75)),IF(AND(ISNUMBER('Council Entry'!BC$8),ISNUMBER('Council Entry'!BC$9)),MAX(MIN('Council Entry'!BC75,'Council Entry'!BC$9),'Council Entry'!BC$8),'Council Entry'!BC75))))-'Council Entry'!BC$5)/('Council Entry'!BC$6-'Council Entry'!BC$5)),1))),"No data"))</f>
        <v/>
      </c>
      <c r="BD75" s="13">
        <f>IF('Council Entry'!BD75="","",IFERROR(MAX(0,MIN(10,ROUND(IF('Council Entry'!BD$7="Decrease Risk",10-10*((IF('Council Entry'!BD$4="Logarithm",LN(0.001+IF(AND(ISNUMBER('Council Entry'!BD$8),ISNUMBER('Council Entry'!BD$9)),MAX(MIN('Council Entry'!BD75,'Council Entry'!BD$9),'Council Entry'!BD$8),'Council Entry'!BD75)),IF('Council Entry'!BD$4="Exponential",EXP(IF(AND(ISNUMBER('Council Entry'!BD$8),ISNUMBER('Council Entry'!BD$9)),MAX(MIN('Council Entry'!BD75,'Council Entry'!BD$9),'Council Entry'!BD$8),'Council Entry'!BD75)),IF(AND(ISNUMBER('Council Entry'!BD$8),ISNUMBER('Council Entry'!BD$9)),MAX(MIN('Council Entry'!BD75,'Council Entry'!BD$9),'Council Entry'!BD$8),'Council Entry'!BD75))))-'Council Entry'!BD$5)/('Council Entry'!BD$6-'Council Entry'!BD$5),10*((IF('Council Entry'!BD$4="Logarithm",LN(0.001+IF(AND(ISNUMBER('Council Entry'!BD$8),ISNUMBER('Council Entry'!BD$9)),MAX(MIN('Council Entry'!BD75,'Council Entry'!BD$9),'Council Entry'!BD$8),'Council Entry'!BD75)),IF('Council Entry'!BD$4="Exponential",EXP(IF(AND(ISNUMBER('Council Entry'!BD$8),ISNUMBER('Council Entry'!BD$9)),MAX(MIN('Council Entry'!BD75,'Council Entry'!BD$9),'Council Entry'!BD$8),'Council Entry'!BD75)),IF(AND(ISNUMBER('Council Entry'!BD$8),ISNUMBER('Council Entry'!BD$9)),MAX(MIN('Council Entry'!BD75,'Council Entry'!BD$9),'Council Entry'!BD$8),'Council Entry'!BD75))))-'Council Entry'!BD$5)/('Council Entry'!BD$6-'Council Entry'!BD$5)),1))),"No data"))</f>
        <v/>
      </c>
    </row>
    <row r="76">
      <c r="A76" t="inlineStr">
        <is>
          <t>Kusini Unguja</t>
        </is>
      </c>
      <c r="B76" t="inlineStr">
        <is>
          <t>Kati Town</t>
        </is>
      </c>
      <c r="C76" t="inlineStr">
        <is>
          <t>C187</t>
        </is>
      </c>
      <c r="D76" s="13">
        <f>IF('Council Entry'!D76="","",IFERROR(MAX(0,MIN(10,ROUND(IF('Council Entry'!D$7="Decrease Risk",10-10*((IF('Council Entry'!D$4="Logarithm",LN(0.001+IF(AND(ISNUMBER('Council Entry'!D$8),ISNUMBER('Council Entry'!D$9)),MAX(MIN('Council Entry'!D76,'Council Entry'!D$9),'Council Entry'!D$8),'Council Entry'!D76)),IF('Council Entry'!D$4="Exponential",EXP(IF(AND(ISNUMBER('Council Entry'!D$8),ISNUMBER('Council Entry'!D$9)),MAX(MIN('Council Entry'!D76,'Council Entry'!D$9),'Council Entry'!D$8),'Council Entry'!D76)),IF(AND(ISNUMBER('Council Entry'!D$8),ISNUMBER('Council Entry'!D$9)),MAX(MIN('Council Entry'!D76,'Council Entry'!D$9),'Council Entry'!D$8),'Council Entry'!D76))))-'Council Entry'!D$5)/('Council Entry'!D$6-'Council Entry'!D$5),10*((IF('Council Entry'!D$4="Logarithm",LN(0.001+IF(AND(ISNUMBER('Council Entry'!D$8),ISNUMBER('Council Entry'!D$9)),MAX(MIN('Council Entry'!D76,'Council Entry'!D$9),'Council Entry'!D$8),'Council Entry'!D76)),IF('Council Entry'!D$4="Exponential",EXP(IF(AND(ISNUMBER('Council Entry'!D$8),ISNUMBER('Council Entry'!D$9)),MAX(MIN('Council Entry'!D76,'Council Entry'!D$9),'Council Entry'!D$8),'Council Entry'!D76)),IF(AND(ISNUMBER('Council Entry'!D$8),ISNUMBER('Council Entry'!D$9)),MAX(MIN('Council Entry'!D76,'Council Entry'!D$9),'Council Entry'!D$8),'Council Entry'!D76))))-'Council Entry'!D$5)/('Council Entry'!D$6-'Council Entry'!D$5)),1))),"No data"))</f>
        <v/>
      </c>
      <c r="E76" s="13">
        <f>IF('Council Entry'!E76="","",IFERROR(MAX(0,MIN(10,ROUND(IF('Council Entry'!E$7="Decrease Risk",10-10*((IF('Council Entry'!E$4="Logarithm",LN(0.001+IF(AND(ISNUMBER('Council Entry'!E$8),ISNUMBER('Council Entry'!E$9)),MAX(MIN('Council Entry'!E76,'Council Entry'!E$9),'Council Entry'!E$8),'Council Entry'!E76)),IF('Council Entry'!E$4="Exponential",EXP(IF(AND(ISNUMBER('Council Entry'!E$8),ISNUMBER('Council Entry'!E$9)),MAX(MIN('Council Entry'!E76,'Council Entry'!E$9),'Council Entry'!E$8),'Council Entry'!E76)),IF(AND(ISNUMBER('Council Entry'!E$8),ISNUMBER('Council Entry'!E$9)),MAX(MIN('Council Entry'!E76,'Council Entry'!E$9),'Council Entry'!E$8),'Council Entry'!E76))))-'Council Entry'!E$5)/('Council Entry'!E$6-'Council Entry'!E$5),10*((IF('Council Entry'!E$4="Logarithm",LN(0.001+IF(AND(ISNUMBER('Council Entry'!E$8),ISNUMBER('Council Entry'!E$9)),MAX(MIN('Council Entry'!E76,'Council Entry'!E$9),'Council Entry'!E$8),'Council Entry'!E76)),IF('Council Entry'!E$4="Exponential",EXP(IF(AND(ISNUMBER('Council Entry'!E$8),ISNUMBER('Council Entry'!E$9)),MAX(MIN('Council Entry'!E76,'Council Entry'!E$9),'Council Entry'!E$8),'Council Entry'!E76)),IF(AND(ISNUMBER('Council Entry'!E$8),ISNUMBER('Council Entry'!E$9)),MAX(MIN('Council Entry'!E76,'Council Entry'!E$9),'Council Entry'!E$8),'Council Entry'!E76))))-'Council Entry'!E$5)/('Council Entry'!E$6-'Council Entry'!E$5)),1))),"No data"))</f>
        <v/>
      </c>
      <c r="F76" s="13">
        <f>IF('Council Entry'!F76="","",IFERROR(MAX(0,MIN(10,ROUND(IF('Council Entry'!F$7="Decrease Risk",10-10*((IF('Council Entry'!F$4="Logarithm",LN(0.001+IF(AND(ISNUMBER('Council Entry'!F$8),ISNUMBER('Council Entry'!F$9)),MAX(MIN('Council Entry'!F76,'Council Entry'!F$9),'Council Entry'!F$8),'Council Entry'!F76)),IF('Council Entry'!F$4="Exponential",EXP(IF(AND(ISNUMBER('Council Entry'!F$8),ISNUMBER('Council Entry'!F$9)),MAX(MIN('Council Entry'!F76,'Council Entry'!F$9),'Council Entry'!F$8),'Council Entry'!F76)),IF(AND(ISNUMBER('Council Entry'!F$8),ISNUMBER('Council Entry'!F$9)),MAX(MIN('Council Entry'!F76,'Council Entry'!F$9),'Council Entry'!F$8),'Council Entry'!F76))))-'Council Entry'!F$5)/('Council Entry'!F$6-'Council Entry'!F$5),10*((IF('Council Entry'!F$4="Logarithm",LN(0.001+IF(AND(ISNUMBER('Council Entry'!F$8),ISNUMBER('Council Entry'!F$9)),MAX(MIN('Council Entry'!F76,'Council Entry'!F$9),'Council Entry'!F$8),'Council Entry'!F76)),IF('Council Entry'!F$4="Exponential",EXP(IF(AND(ISNUMBER('Council Entry'!F$8),ISNUMBER('Council Entry'!F$9)),MAX(MIN('Council Entry'!F76,'Council Entry'!F$9),'Council Entry'!F$8),'Council Entry'!F76)),IF(AND(ISNUMBER('Council Entry'!F$8),ISNUMBER('Council Entry'!F$9)),MAX(MIN('Council Entry'!F76,'Council Entry'!F$9),'Council Entry'!F$8),'Council Entry'!F76))))-'Council Entry'!F$5)/('Council Entry'!F$6-'Council Entry'!F$5)),1))),"No data"))</f>
        <v/>
      </c>
      <c r="G76" s="13">
        <f>IF('Council Entry'!G76="","",IFERROR(MAX(0,MIN(10,ROUND(IF('Council Entry'!G$7="Decrease Risk",10-10*((IF('Council Entry'!G$4="Logarithm",LN(0.001+IF(AND(ISNUMBER('Council Entry'!G$8),ISNUMBER('Council Entry'!G$9)),MAX(MIN('Council Entry'!G76,'Council Entry'!G$9),'Council Entry'!G$8),'Council Entry'!G76)),IF('Council Entry'!G$4="Exponential",EXP(IF(AND(ISNUMBER('Council Entry'!G$8),ISNUMBER('Council Entry'!G$9)),MAX(MIN('Council Entry'!G76,'Council Entry'!G$9),'Council Entry'!G$8),'Council Entry'!G76)),IF(AND(ISNUMBER('Council Entry'!G$8),ISNUMBER('Council Entry'!G$9)),MAX(MIN('Council Entry'!G76,'Council Entry'!G$9),'Council Entry'!G$8),'Council Entry'!G76))))-'Council Entry'!G$5)/('Council Entry'!G$6-'Council Entry'!G$5),10*((IF('Council Entry'!G$4="Logarithm",LN(0.001+IF(AND(ISNUMBER('Council Entry'!G$8),ISNUMBER('Council Entry'!G$9)),MAX(MIN('Council Entry'!G76,'Council Entry'!G$9),'Council Entry'!G$8),'Council Entry'!G76)),IF('Council Entry'!G$4="Exponential",EXP(IF(AND(ISNUMBER('Council Entry'!G$8),ISNUMBER('Council Entry'!G$9)),MAX(MIN('Council Entry'!G76,'Council Entry'!G$9),'Council Entry'!G$8),'Council Entry'!G76)),IF(AND(ISNUMBER('Council Entry'!G$8),ISNUMBER('Council Entry'!G$9)),MAX(MIN('Council Entry'!G76,'Council Entry'!G$9),'Council Entry'!G$8),'Council Entry'!G76))))-'Council Entry'!G$5)/('Council Entry'!G$6-'Council Entry'!G$5)),1))),"No data"))</f>
        <v/>
      </c>
      <c r="H76" s="13">
        <f>IF('Council Entry'!H76="","",IFERROR(MAX(0,MIN(10,ROUND(IF('Council Entry'!H$7="Decrease Risk",10-10*((IF('Council Entry'!H$4="Logarithm",LN(0.001+IF(AND(ISNUMBER('Council Entry'!H$8),ISNUMBER('Council Entry'!H$9)),MAX(MIN('Council Entry'!H76,'Council Entry'!H$9),'Council Entry'!H$8),'Council Entry'!H76)),IF('Council Entry'!H$4="Exponential",EXP(IF(AND(ISNUMBER('Council Entry'!H$8),ISNUMBER('Council Entry'!H$9)),MAX(MIN('Council Entry'!H76,'Council Entry'!H$9),'Council Entry'!H$8),'Council Entry'!H76)),IF(AND(ISNUMBER('Council Entry'!H$8),ISNUMBER('Council Entry'!H$9)),MAX(MIN('Council Entry'!H76,'Council Entry'!H$9),'Council Entry'!H$8),'Council Entry'!H76))))-'Council Entry'!H$5)/('Council Entry'!H$6-'Council Entry'!H$5),10*((IF('Council Entry'!H$4="Logarithm",LN(0.001+IF(AND(ISNUMBER('Council Entry'!H$8),ISNUMBER('Council Entry'!H$9)),MAX(MIN('Council Entry'!H76,'Council Entry'!H$9),'Council Entry'!H$8),'Council Entry'!H76)),IF('Council Entry'!H$4="Exponential",EXP(IF(AND(ISNUMBER('Council Entry'!H$8),ISNUMBER('Council Entry'!H$9)),MAX(MIN('Council Entry'!H76,'Council Entry'!H$9),'Council Entry'!H$8),'Council Entry'!H76)),IF(AND(ISNUMBER('Council Entry'!H$8),ISNUMBER('Council Entry'!H$9)),MAX(MIN('Council Entry'!H76,'Council Entry'!H$9),'Council Entry'!H$8),'Council Entry'!H76))))-'Council Entry'!H$5)/('Council Entry'!H$6-'Council Entry'!H$5)),1))),"No data"))</f>
        <v/>
      </c>
      <c r="I76" s="13">
        <f>IF('Council Entry'!I76="","",IFERROR(MAX(0,MIN(10,ROUND(IF('Council Entry'!I$7="Decrease Risk",10-10*((IF('Council Entry'!I$4="Logarithm",LN(0.001+IF(AND(ISNUMBER('Council Entry'!I$8),ISNUMBER('Council Entry'!I$9)),MAX(MIN('Council Entry'!I76,'Council Entry'!I$9),'Council Entry'!I$8),'Council Entry'!I76)),IF('Council Entry'!I$4="Exponential",EXP(IF(AND(ISNUMBER('Council Entry'!I$8),ISNUMBER('Council Entry'!I$9)),MAX(MIN('Council Entry'!I76,'Council Entry'!I$9),'Council Entry'!I$8),'Council Entry'!I76)),IF(AND(ISNUMBER('Council Entry'!I$8),ISNUMBER('Council Entry'!I$9)),MAX(MIN('Council Entry'!I76,'Council Entry'!I$9),'Council Entry'!I$8),'Council Entry'!I76))))-'Council Entry'!I$5)/('Council Entry'!I$6-'Council Entry'!I$5),10*((IF('Council Entry'!I$4="Logarithm",LN(0.001+IF(AND(ISNUMBER('Council Entry'!I$8),ISNUMBER('Council Entry'!I$9)),MAX(MIN('Council Entry'!I76,'Council Entry'!I$9),'Council Entry'!I$8),'Council Entry'!I76)),IF('Council Entry'!I$4="Exponential",EXP(IF(AND(ISNUMBER('Council Entry'!I$8),ISNUMBER('Council Entry'!I$9)),MAX(MIN('Council Entry'!I76,'Council Entry'!I$9),'Council Entry'!I$8),'Council Entry'!I76)),IF(AND(ISNUMBER('Council Entry'!I$8),ISNUMBER('Council Entry'!I$9)),MAX(MIN('Council Entry'!I76,'Council Entry'!I$9),'Council Entry'!I$8),'Council Entry'!I76))))-'Council Entry'!I$5)/('Council Entry'!I$6-'Council Entry'!I$5)),1))),"No data"))</f>
        <v/>
      </c>
      <c r="J76" s="13">
        <f>IF('Council Entry'!J76="","",IFERROR(MAX(0,MIN(10,ROUND(IF('Council Entry'!J$7="Decrease Risk",10-10*((IF('Council Entry'!J$4="Logarithm",LN(0.001+IF(AND(ISNUMBER('Council Entry'!J$8),ISNUMBER('Council Entry'!J$9)),MAX(MIN('Council Entry'!J76,'Council Entry'!J$9),'Council Entry'!J$8),'Council Entry'!J76)),IF('Council Entry'!J$4="Exponential",EXP(IF(AND(ISNUMBER('Council Entry'!J$8),ISNUMBER('Council Entry'!J$9)),MAX(MIN('Council Entry'!J76,'Council Entry'!J$9),'Council Entry'!J$8),'Council Entry'!J76)),IF(AND(ISNUMBER('Council Entry'!J$8),ISNUMBER('Council Entry'!J$9)),MAX(MIN('Council Entry'!J76,'Council Entry'!J$9),'Council Entry'!J$8),'Council Entry'!J76))))-'Council Entry'!J$5)/('Council Entry'!J$6-'Council Entry'!J$5),10*((IF('Council Entry'!J$4="Logarithm",LN(0.001+IF(AND(ISNUMBER('Council Entry'!J$8),ISNUMBER('Council Entry'!J$9)),MAX(MIN('Council Entry'!J76,'Council Entry'!J$9),'Council Entry'!J$8),'Council Entry'!J76)),IF('Council Entry'!J$4="Exponential",EXP(IF(AND(ISNUMBER('Council Entry'!J$8),ISNUMBER('Council Entry'!J$9)),MAX(MIN('Council Entry'!J76,'Council Entry'!J$9),'Council Entry'!J$8),'Council Entry'!J76)),IF(AND(ISNUMBER('Council Entry'!J$8),ISNUMBER('Council Entry'!J$9)),MAX(MIN('Council Entry'!J76,'Council Entry'!J$9),'Council Entry'!J$8),'Council Entry'!J76))))-'Council Entry'!J$5)/('Council Entry'!J$6-'Council Entry'!J$5)),1))),"No data"))</f>
        <v/>
      </c>
      <c r="K76" s="13">
        <f>IF('Council Entry'!K76="","",IFERROR(MAX(0,MIN(10,ROUND(IF('Council Entry'!K$7="Decrease Risk",10-10*((IF('Council Entry'!K$4="Logarithm",LN(0.001+IF(AND(ISNUMBER('Council Entry'!K$8),ISNUMBER('Council Entry'!K$9)),MAX(MIN('Council Entry'!K76,'Council Entry'!K$9),'Council Entry'!K$8),'Council Entry'!K76)),IF('Council Entry'!K$4="Exponential",EXP(IF(AND(ISNUMBER('Council Entry'!K$8),ISNUMBER('Council Entry'!K$9)),MAX(MIN('Council Entry'!K76,'Council Entry'!K$9),'Council Entry'!K$8),'Council Entry'!K76)),IF(AND(ISNUMBER('Council Entry'!K$8),ISNUMBER('Council Entry'!K$9)),MAX(MIN('Council Entry'!K76,'Council Entry'!K$9),'Council Entry'!K$8),'Council Entry'!K76))))-'Council Entry'!K$5)/('Council Entry'!K$6-'Council Entry'!K$5),10*((IF('Council Entry'!K$4="Logarithm",LN(0.001+IF(AND(ISNUMBER('Council Entry'!K$8),ISNUMBER('Council Entry'!K$9)),MAX(MIN('Council Entry'!K76,'Council Entry'!K$9),'Council Entry'!K$8),'Council Entry'!K76)),IF('Council Entry'!K$4="Exponential",EXP(IF(AND(ISNUMBER('Council Entry'!K$8),ISNUMBER('Council Entry'!K$9)),MAX(MIN('Council Entry'!K76,'Council Entry'!K$9),'Council Entry'!K$8),'Council Entry'!K76)),IF(AND(ISNUMBER('Council Entry'!K$8),ISNUMBER('Council Entry'!K$9)),MAX(MIN('Council Entry'!K76,'Council Entry'!K$9),'Council Entry'!K$8),'Council Entry'!K76))))-'Council Entry'!K$5)/('Council Entry'!K$6-'Council Entry'!K$5)),1))),"No data"))</f>
        <v/>
      </c>
      <c r="L76" s="13">
        <f>IF('Council Entry'!L76="","",IFERROR(MAX(0,MIN(10,ROUND(IF('Council Entry'!L$7="Decrease Risk",10-10*((IF('Council Entry'!L$4="Logarithm",LN(0.001+IF(AND(ISNUMBER('Council Entry'!L$8),ISNUMBER('Council Entry'!L$9)),MAX(MIN('Council Entry'!L76,'Council Entry'!L$9),'Council Entry'!L$8),'Council Entry'!L76)),IF('Council Entry'!L$4="Exponential",EXP(IF(AND(ISNUMBER('Council Entry'!L$8),ISNUMBER('Council Entry'!L$9)),MAX(MIN('Council Entry'!L76,'Council Entry'!L$9),'Council Entry'!L$8),'Council Entry'!L76)),IF(AND(ISNUMBER('Council Entry'!L$8),ISNUMBER('Council Entry'!L$9)),MAX(MIN('Council Entry'!L76,'Council Entry'!L$9),'Council Entry'!L$8),'Council Entry'!L76))))-'Council Entry'!L$5)/('Council Entry'!L$6-'Council Entry'!L$5),10*((IF('Council Entry'!L$4="Logarithm",LN(0.001+IF(AND(ISNUMBER('Council Entry'!L$8),ISNUMBER('Council Entry'!L$9)),MAX(MIN('Council Entry'!L76,'Council Entry'!L$9),'Council Entry'!L$8),'Council Entry'!L76)),IF('Council Entry'!L$4="Exponential",EXP(IF(AND(ISNUMBER('Council Entry'!L$8),ISNUMBER('Council Entry'!L$9)),MAX(MIN('Council Entry'!L76,'Council Entry'!L$9),'Council Entry'!L$8),'Council Entry'!L76)),IF(AND(ISNUMBER('Council Entry'!L$8),ISNUMBER('Council Entry'!L$9)),MAX(MIN('Council Entry'!L76,'Council Entry'!L$9),'Council Entry'!L$8),'Council Entry'!L76))))-'Council Entry'!L$5)/('Council Entry'!L$6-'Council Entry'!L$5)),1))),"No data"))</f>
        <v/>
      </c>
      <c r="M76" s="13">
        <f>IF('Council Entry'!M76="","",IFERROR(MAX(0,MIN(10,ROUND(IF('Council Entry'!M$7="Decrease Risk",10-10*((IF('Council Entry'!M$4="Logarithm",LN(0.001+IF(AND(ISNUMBER('Council Entry'!M$8),ISNUMBER('Council Entry'!M$9)),MAX(MIN('Council Entry'!M76,'Council Entry'!M$9),'Council Entry'!M$8),'Council Entry'!M76)),IF('Council Entry'!M$4="Exponential",EXP(IF(AND(ISNUMBER('Council Entry'!M$8),ISNUMBER('Council Entry'!M$9)),MAX(MIN('Council Entry'!M76,'Council Entry'!M$9),'Council Entry'!M$8),'Council Entry'!M76)),IF(AND(ISNUMBER('Council Entry'!M$8),ISNUMBER('Council Entry'!M$9)),MAX(MIN('Council Entry'!M76,'Council Entry'!M$9),'Council Entry'!M$8),'Council Entry'!M76))))-'Council Entry'!M$5)/('Council Entry'!M$6-'Council Entry'!M$5),10*((IF('Council Entry'!M$4="Logarithm",LN(0.001+IF(AND(ISNUMBER('Council Entry'!M$8),ISNUMBER('Council Entry'!M$9)),MAX(MIN('Council Entry'!M76,'Council Entry'!M$9),'Council Entry'!M$8),'Council Entry'!M76)),IF('Council Entry'!M$4="Exponential",EXP(IF(AND(ISNUMBER('Council Entry'!M$8),ISNUMBER('Council Entry'!M$9)),MAX(MIN('Council Entry'!M76,'Council Entry'!M$9),'Council Entry'!M$8),'Council Entry'!M76)),IF(AND(ISNUMBER('Council Entry'!M$8),ISNUMBER('Council Entry'!M$9)),MAX(MIN('Council Entry'!M76,'Council Entry'!M$9),'Council Entry'!M$8),'Council Entry'!M76))))-'Council Entry'!M$5)/('Council Entry'!M$6-'Council Entry'!M$5)),1))),"No data"))</f>
        <v/>
      </c>
      <c r="N76" s="13">
        <f>IF('Council Entry'!N76="","",IFERROR(MAX(0,MIN(10,ROUND(IF('Council Entry'!N$7="Decrease Risk",10-10*((IF('Council Entry'!N$4="Logarithm",LN(0.001+IF(AND(ISNUMBER('Council Entry'!N$8),ISNUMBER('Council Entry'!N$9)),MAX(MIN('Council Entry'!N76,'Council Entry'!N$9),'Council Entry'!N$8),'Council Entry'!N76)),IF('Council Entry'!N$4="Exponential",EXP(IF(AND(ISNUMBER('Council Entry'!N$8),ISNUMBER('Council Entry'!N$9)),MAX(MIN('Council Entry'!N76,'Council Entry'!N$9),'Council Entry'!N$8),'Council Entry'!N76)),IF(AND(ISNUMBER('Council Entry'!N$8),ISNUMBER('Council Entry'!N$9)),MAX(MIN('Council Entry'!N76,'Council Entry'!N$9),'Council Entry'!N$8),'Council Entry'!N76))))-'Council Entry'!N$5)/('Council Entry'!N$6-'Council Entry'!N$5),10*((IF('Council Entry'!N$4="Logarithm",LN(0.001+IF(AND(ISNUMBER('Council Entry'!N$8),ISNUMBER('Council Entry'!N$9)),MAX(MIN('Council Entry'!N76,'Council Entry'!N$9),'Council Entry'!N$8),'Council Entry'!N76)),IF('Council Entry'!N$4="Exponential",EXP(IF(AND(ISNUMBER('Council Entry'!N$8),ISNUMBER('Council Entry'!N$9)),MAX(MIN('Council Entry'!N76,'Council Entry'!N$9),'Council Entry'!N$8),'Council Entry'!N76)),IF(AND(ISNUMBER('Council Entry'!N$8),ISNUMBER('Council Entry'!N$9)),MAX(MIN('Council Entry'!N76,'Council Entry'!N$9),'Council Entry'!N$8),'Council Entry'!N76))))-'Council Entry'!N$5)/('Council Entry'!N$6-'Council Entry'!N$5)),1))),"No data"))</f>
        <v/>
      </c>
      <c r="O76" s="13">
        <f>IF('Council Entry'!O76="","",IFERROR(MAX(0,MIN(10,ROUND(IF('Council Entry'!O$7="Decrease Risk",10-10*((IF('Council Entry'!O$4="Logarithm",LN(0.001+IF(AND(ISNUMBER('Council Entry'!O$8),ISNUMBER('Council Entry'!O$9)),MAX(MIN('Council Entry'!O76,'Council Entry'!O$9),'Council Entry'!O$8),'Council Entry'!O76)),IF('Council Entry'!O$4="Exponential",EXP(IF(AND(ISNUMBER('Council Entry'!O$8),ISNUMBER('Council Entry'!O$9)),MAX(MIN('Council Entry'!O76,'Council Entry'!O$9),'Council Entry'!O$8),'Council Entry'!O76)),IF(AND(ISNUMBER('Council Entry'!O$8),ISNUMBER('Council Entry'!O$9)),MAX(MIN('Council Entry'!O76,'Council Entry'!O$9),'Council Entry'!O$8),'Council Entry'!O76))))-'Council Entry'!O$5)/('Council Entry'!O$6-'Council Entry'!O$5),10*((IF('Council Entry'!O$4="Logarithm",LN(0.001+IF(AND(ISNUMBER('Council Entry'!O$8),ISNUMBER('Council Entry'!O$9)),MAX(MIN('Council Entry'!O76,'Council Entry'!O$9),'Council Entry'!O$8),'Council Entry'!O76)),IF('Council Entry'!O$4="Exponential",EXP(IF(AND(ISNUMBER('Council Entry'!O$8),ISNUMBER('Council Entry'!O$9)),MAX(MIN('Council Entry'!O76,'Council Entry'!O$9),'Council Entry'!O$8),'Council Entry'!O76)),IF(AND(ISNUMBER('Council Entry'!O$8),ISNUMBER('Council Entry'!O$9)),MAX(MIN('Council Entry'!O76,'Council Entry'!O$9),'Council Entry'!O$8),'Council Entry'!O76))))-'Council Entry'!O$5)/('Council Entry'!O$6-'Council Entry'!O$5)),1))),"No data"))</f>
        <v/>
      </c>
      <c r="P76" s="13">
        <f>IF('Council Entry'!P76="","",IFERROR(MAX(0,MIN(10,ROUND(IF('Council Entry'!P$7="Decrease Risk",10-10*((IF('Council Entry'!P$4="Logarithm",LN(0.001+IF(AND(ISNUMBER('Council Entry'!P$8),ISNUMBER('Council Entry'!P$9)),MAX(MIN('Council Entry'!P76,'Council Entry'!P$9),'Council Entry'!P$8),'Council Entry'!P76)),IF('Council Entry'!P$4="Exponential",EXP(IF(AND(ISNUMBER('Council Entry'!P$8),ISNUMBER('Council Entry'!P$9)),MAX(MIN('Council Entry'!P76,'Council Entry'!P$9),'Council Entry'!P$8),'Council Entry'!P76)),IF(AND(ISNUMBER('Council Entry'!P$8),ISNUMBER('Council Entry'!P$9)),MAX(MIN('Council Entry'!P76,'Council Entry'!P$9),'Council Entry'!P$8),'Council Entry'!P76))))-'Council Entry'!P$5)/('Council Entry'!P$6-'Council Entry'!P$5),10*((IF('Council Entry'!P$4="Logarithm",LN(0.001+IF(AND(ISNUMBER('Council Entry'!P$8),ISNUMBER('Council Entry'!P$9)),MAX(MIN('Council Entry'!P76,'Council Entry'!P$9),'Council Entry'!P$8),'Council Entry'!P76)),IF('Council Entry'!P$4="Exponential",EXP(IF(AND(ISNUMBER('Council Entry'!P$8),ISNUMBER('Council Entry'!P$9)),MAX(MIN('Council Entry'!P76,'Council Entry'!P$9),'Council Entry'!P$8),'Council Entry'!P76)),IF(AND(ISNUMBER('Council Entry'!P$8),ISNUMBER('Council Entry'!P$9)),MAX(MIN('Council Entry'!P76,'Council Entry'!P$9),'Council Entry'!P$8),'Council Entry'!P76))))-'Council Entry'!P$5)/('Council Entry'!P$6-'Council Entry'!P$5)),1))),"No data"))</f>
        <v/>
      </c>
      <c r="Q76" s="13">
        <f>IF('Council Entry'!Q76="","",IFERROR(MAX(0,MIN(10,ROUND(IF('Council Entry'!Q$7="Decrease Risk",10-10*((IF('Council Entry'!Q$4="Logarithm",LN(0.001+IF(AND(ISNUMBER('Council Entry'!Q$8),ISNUMBER('Council Entry'!Q$9)),MAX(MIN('Council Entry'!Q76,'Council Entry'!Q$9),'Council Entry'!Q$8),'Council Entry'!Q76)),IF('Council Entry'!Q$4="Exponential",EXP(IF(AND(ISNUMBER('Council Entry'!Q$8),ISNUMBER('Council Entry'!Q$9)),MAX(MIN('Council Entry'!Q76,'Council Entry'!Q$9),'Council Entry'!Q$8),'Council Entry'!Q76)),IF(AND(ISNUMBER('Council Entry'!Q$8),ISNUMBER('Council Entry'!Q$9)),MAX(MIN('Council Entry'!Q76,'Council Entry'!Q$9),'Council Entry'!Q$8),'Council Entry'!Q76))))-'Council Entry'!Q$5)/('Council Entry'!Q$6-'Council Entry'!Q$5),10*((IF('Council Entry'!Q$4="Logarithm",LN(0.001+IF(AND(ISNUMBER('Council Entry'!Q$8),ISNUMBER('Council Entry'!Q$9)),MAX(MIN('Council Entry'!Q76,'Council Entry'!Q$9),'Council Entry'!Q$8),'Council Entry'!Q76)),IF('Council Entry'!Q$4="Exponential",EXP(IF(AND(ISNUMBER('Council Entry'!Q$8),ISNUMBER('Council Entry'!Q$9)),MAX(MIN('Council Entry'!Q76,'Council Entry'!Q$9),'Council Entry'!Q$8),'Council Entry'!Q76)),IF(AND(ISNUMBER('Council Entry'!Q$8),ISNUMBER('Council Entry'!Q$9)),MAX(MIN('Council Entry'!Q76,'Council Entry'!Q$9),'Council Entry'!Q$8),'Council Entry'!Q76))))-'Council Entry'!Q$5)/('Council Entry'!Q$6-'Council Entry'!Q$5)),1))),"No data"))</f>
        <v/>
      </c>
      <c r="R76" s="13">
        <f>IF('Council Entry'!R76="","",IFERROR(MAX(0,MIN(10,ROUND(IF('Council Entry'!R$7="Decrease Risk",10-10*((IF('Council Entry'!R$4="Logarithm",LN(0.001+IF(AND(ISNUMBER('Council Entry'!R$8),ISNUMBER('Council Entry'!R$9)),MAX(MIN('Council Entry'!R76,'Council Entry'!R$9),'Council Entry'!R$8),'Council Entry'!R76)),IF('Council Entry'!R$4="Exponential",EXP(IF(AND(ISNUMBER('Council Entry'!R$8),ISNUMBER('Council Entry'!R$9)),MAX(MIN('Council Entry'!R76,'Council Entry'!R$9),'Council Entry'!R$8),'Council Entry'!R76)),IF(AND(ISNUMBER('Council Entry'!R$8),ISNUMBER('Council Entry'!R$9)),MAX(MIN('Council Entry'!R76,'Council Entry'!R$9),'Council Entry'!R$8),'Council Entry'!R76))))-'Council Entry'!R$5)/('Council Entry'!R$6-'Council Entry'!R$5),10*((IF('Council Entry'!R$4="Logarithm",LN(0.001+IF(AND(ISNUMBER('Council Entry'!R$8),ISNUMBER('Council Entry'!R$9)),MAX(MIN('Council Entry'!R76,'Council Entry'!R$9),'Council Entry'!R$8),'Council Entry'!R76)),IF('Council Entry'!R$4="Exponential",EXP(IF(AND(ISNUMBER('Council Entry'!R$8),ISNUMBER('Council Entry'!R$9)),MAX(MIN('Council Entry'!R76,'Council Entry'!R$9),'Council Entry'!R$8),'Council Entry'!R76)),IF(AND(ISNUMBER('Council Entry'!R$8),ISNUMBER('Council Entry'!R$9)),MAX(MIN('Council Entry'!R76,'Council Entry'!R$9),'Council Entry'!R$8),'Council Entry'!R76))))-'Council Entry'!R$5)/('Council Entry'!R$6-'Council Entry'!R$5)),1))),"No data"))</f>
        <v/>
      </c>
      <c r="S76" s="13">
        <f>IF('Council Entry'!S76="","",IFERROR(MAX(0,MIN(10,ROUND(IF('Council Entry'!S$7="Decrease Risk",10-10*((IF('Council Entry'!S$4="Logarithm",LN(0.001+IF(AND(ISNUMBER('Council Entry'!S$8),ISNUMBER('Council Entry'!S$9)),MAX(MIN('Council Entry'!S76,'Council Entry'!S$9),'Council Entry'!S$8),'Council Entry'!S76)),IF('Council Entry'!S$4="Exponential",EXP(IF(AND(ISNUMBER('Council Entry'!S$8),ISNUMBER('Council Entry'!S$9)),MAX(MIN('Council Entry'!S76,'Council Entry'!S$9),'Council Entry'!S$8),'Council Entry'!S76)),IF(AND(ISNUMBER('Council Entry'!S$8),ISNUMBER('Council Entry'!S$9)),MAX(MIN('Council Entry'!S76,'Council Entry'!S$9),'Council Entry'!S$8),'Council Entry'!S76))))-'Council Entry'!S$5)/('Council Entry'!S$6-'Council Entry'!S$5),10*((IF('Council Entry'!S$4="Logarithm",LN(0.001+IF(AND(ISNUMBER('Council Entry'!S$8),ISNUMBER('Council Entry'!S$9)),MAX(MIN('Council Entry'!S76,'Council Entry'!S$9),'Council Entry'!S$8),'Council Entry'!S76)),IF('Council Entry'!S$4="Exponential",EXP(IF(AND(ISNUMBER('Council Entry'!S$8),ISNUMBER('Council Entry'!S$9)),MAX(MIN('Council Entry'!S76,'Council Entry'!S$9),'Council Entry'!S$8),'Council Entry'!S76)),IF(AND(ISNUMBER('Council Entry'!S$8),ISNUMBER('Council Entry'!S$9)),MAX(MIN('Council Entry'!S76,'Council Entry'!S$9),'Council Entry'!S$8),'Council Entry'!S76))))-'Council Entry'!S$5)/('Council Entry'!S$6-'Council Entry'!S$5)),1))),"No data"))</f>
        <v/>
      </c>
      <c r="T76" s="13">
        <f>IF('Council Entry'!T76="","",IFERROR(MAX(0,MIN(10,ROUND(IF('Council Entry'!T$7="Decrease Risk",10-10*((IF('Council Entry'!T$4="Logarithm",LN(0.001+IF(AND(ISNUMBER('Council Entry'!T$8),ISNUMBER('Council Entry'!T$9)),MAX(MIN('Council Entry'!T76,'Council Entry'!T$9),'Council Entry'!T$8),'Council Entry'!T76)),IF('Council Entry'!T$4="Exponential",EXP(IF(AND(ISNUMBER('Council Entry'!T$8),ISNUMBER('Council Entry'!T$9)),MAX(MIN('Council Entry'!T76,'Council Entry'!T$9),'Council Entry'!T$8),'Council Entry'!T76)),IF(AND(ISNUMBER('Council Entry'!T$8),ISNUMBER('Council Entry'!T$9)),MAX(MIN('Council Entry'!T76,'Council Entry'!T$9),'Council Entry'!T$8),'Council Entry'!T76))))-'Council Entry'!T$5)/('Council Entry'!T$6-'Council Entry'!T$5),10*((IF('Council Entry'!T$4="Logarithm",LN(0.001+IF(AND(ISNUMBER('Council Entry'!T$8),ISNUMBER('Council Entry'!T$9)),MAX(MIN('Council Entry'!T76,'Council Entry'!T$9),'Council Entry'!T$8),'Council Entry'!T76)),IF('Council Entry'!T$4="Exponential",EXP(IF(AND(ISNUMBER('Council Entry'!T$8),ISNUMBER('Council Entry'!T$9)),MAX(MIN('Council Entry'!T76,'Council Entry'!T$9),'Council Entry'!T$8),'Council Entry'!T76)),IF(AND(ISNUMBER('Council Entry'!T$8),ISNUMBER('Council Entry'!T$9)),MAX(MIN('Council Entry'!T76,'Council Entry'!T$9),'Council Entry'!T$8),'Council Entry'!T76))))-'Council Entry'!T$5)/('Council Entry'!T$6-'Council Entry'!T$5)),1))),"No data"))</f>
        <v/>
      </c>
      <c r="U76" s="13">
        <f>IF('Council Entry'!U76="","",IFERROR(MAX(0,MIN(10,ROUND(IF('Council Entry'!U$7="Decrease Risk",10-10*((IF('Council Entry'!U$4="Logarithm",LN(0.001+IF(AND(ISNUMBER('Council Entry'!U$8),ISNUMBER('Council Entry'!U$9)),MAX(MIN('Council Entry'!U76,'Council Entry'!U$9),'Council Entry'!U$8),'Council Entry'!U76)),IF('Council Entry'!U$4="Exponential",EXP(IF(AND(ISNUMBER('Council Entry'!U$8),ISNUMBER('Council Entry'!U$9)),MAX(MIN('Council Entry'!U76,'Council Entry'!U$9),'Council Entry'!U$8),'Council Entry'!U76)),IF(AND(ISNUMBER('Council Entry'!U$8),ISNUMBER('Council Entry'!U$9)),MAX(MIN('Council Entry'!U76,'Council Entry'!U$9),'Council Entry'!U$8),'Council Entry'!U76))))-'Council Entry'!U$5)/('Council Entry'!U$6-'Council Entry'!U$5),10*((IF('Council Entry'!U$4="Logarithm",LN(0.001+IF(AND(ISNUMBER('Council Entry'!U$8),ISNUMBER('Council Entry'!U$9)),MAX(MIN('Council Entry'!U76,'Council Entry'!U$9),'Council Entry'!U$8),'Council Entry'!U76)),IF('Council Entry'!U$4="Exponential",EXP(IF(AND(ISNUMBER('Council Entry'!U$8),ISNUMBER('Council Entry'!U$9)),MAX(MIN('Council Entry'!U76,'Council Entry'!U$9),'Council Entry'!U$8),'Council Entry'!U76)),IF(AND(ISNUMBER('Council Entry'!U$8),ISNUMBER('Council Entry'!U$9)),MAX(MIN('Council Entry'!U76,'Council Entry'!U$9),'Council Entry'!U$8),'Council Entry'!U76))))-'Council Entry'!U$5)/('Council Entry'!U$6-'Council Entry'!U$5)),1))),"No data"))</f>
        <v/>
      </c>
      <c r="V76" s="13">
        <f>IF('Council Entry'!V76="","",IFERROR(MAX(0,MIN(10,ROUND(IF('Council Entry'!V$7="Decrease Risk",10-10*((IF('Council Entry'!V$4="Logarithm",LN(0.001+IF(AND(ISNUMBER('Council Entry'!V$8),ISNUMBER('Council Entry'!V$9)),MAX(MIN('Council Entry'!V76,'Council Entry'!V$9),'Council Entry'!V$8),'Council Entry'!V76)),IF('Council Entry'!V$4="Exponential",EXP(IF(AND(ISNUMBER('Council Entry'!V$8),ISNUMBER('Council Entry'!V$9)),MAX(MIN('Council Entry'!V76,'Council Entry'!V$9),'Council Entry'!V$8),'Council Entry'!V76)),IF(AND(ISNUMBER('Council Entry'!V$8),ISNUMBER('Council Entry'!V$9)),MAX(MIN('Council Entry'!V76,'Council Entry'!V$9),'Council Entry'!V$8),'Council Entry'!V76))))-'Council Entry'!V$5)/('Council Entry'!V$6-'Council Entry'!V$5),10*((IF('Council Entry'!V$4="Logarithm",LN(0.001+IF(AND(ISNUMBER('Council Entry'!V$8),ISNUMBER('Council Entry'!V$9)),MAX(MIN('Council Entry'!V76,'Council Entry'!V$9),'Council Entry'!V$8),'Council Entry'!V76)),IF('Council Entry'!V$4="Exponential",EXP(IF(AND(ISNUMBER('Council Entry'!V$8),ISNUMBER('Council Entry'!V$9)),MAX(MIN('Council Entry'!V76,'Council Entry'!V$9),'Council Entry'!V$8),'Council Entry'!V76)),IF(AND(ISNUMBER('Council Entry'!V$8),ISNUMBER('Council Entry'!V$9)),MAX(MIN('Council Entry'!V76,'Council Entry'!V$9),'Council Entry'!V$8),'Council Entry'!V76))))-'Council Entry'!V$5)/('Council Entry'!V$6-'Council Entry'!V$5)),1))),"No data"))</f>
        <v/>
      </c>
      <c r="W76" s="13">
        <f>IF('Council Entry'!W76="","",IFERROR(MAX(0,MIN(10,ROUND(IF('Council Entry'!W$7="Decrease Risk",10-10*((IF('Council Entry'!W$4="Logarithm",LN(0.001+IF(AND(ISNUMBER('Council Entry'!W$8),ISNUMBER('Council Entry'!W$9)),MAX(MIN('Council Entry'!W76,'Council Entry'!W$9),'Council Entry'!W$8),'Council Entry'!W76)),IF('Council Entry'!W$4="Exponential",EXP(IF(AND(ISNUMBER('Council Entry'!W$8),ISNUMBER('Council Entry'!W$9)),MAX(MIN('Council Entry'!W76,'Council Entry'!W$9),'Council Entry'!W$8),'Council Entry'!W76)),IF(AND(ISNUMBER('Council Entry'!W$8),ISNUMBER('Council Entry'!W$9)),MAX(MIN('Council Entry'!W76,'Council Entry'!W$9),'Council Entry'!W$8),'Council Entry'!W76))))-'Council Entry'!W$5)/('Council Entry'!W$6-'Council Entry'!W$5),10*((IF('Council Entry'!W$4="Logarithm",LN(0.001+IF(AND(ISNUMBER('Council Entry'!W$8),ISNUMBER('Council Entry'!W$9)),MAX(MIN('Council Entry'!W76,'Council Entry'!W$9),'Council Entry'!W$8),'Council Entry'!W76)),IF('Council Entry'!W$4="Exponential",EXP(IF(AND(ISNUMBER('Council Entry'!W$8),ISNUMBER('Council Entry'!W$9)),MAX(MIN('Council Entry'!W76,'Council Entry'!W$9),'Council Entry'!W$8),'Council Entry'!W76)),IF(AND(ISNUMBER('Council Entry'!W$8),ISNUMBER('Council Entry'!W$9)),MAX(MIN('Council Entry'!W76,'Council Entry'!W$9),'Council Entry'!W$8),'Council Entry'!W76))))-'Council Entry'!W$5)/('Council Entry'!W$6-'Council Entry'!W$5)),1))),"No data"))</f>
        <v/>
      </c>
      <c r="X76" s="13">
        <f>IF('Council Entry'!X76="","",IFERROR(MAX(0,MIN(10,ROUND(IF('Council Entry'!X$7="Decrease Risk",10-10*((IF('Council Entry'!X$4="Logarithm",LN(0.001+IF(AND(ISNUMBER('Council Entry'!X$8),ISNUMBER('Council Entry'!X$9)),MAX(MIN('Council Entry'!X76,'Council Entry'!X$9),'Council Entry'!X$8),'Council Entry'!X76)),IF('Council Entry'!X$4="Exponential",EXP(IF(AND(ISNUMBER('Council Entry'!X$8),ISNUMBER('Council Entry'!X$9)),MAX(MIN('Council Entry'!X76,'Council Entry'!X$9),'Council Entry'!X$8),'Council Entry'!X76)),IF(AND(ISNUMBER('Council Entry'!X$8),ISNUMBER('Council Entry'!X$9)),MAX(MIN('Council Entry'!X76,'Council Entry'!X$9),'Council Entry'!X$8),'Council Entry'!X76))))-'Council Entry'!X$5)/('Council Entry'!X$6-'Council Entry'!X$5),10*((IF('Council Entry'!X$4="Logarithm",LN(0.001+IF(AND(ISNUMBER('Council Entry'!X$8),ISNUMBER('Council Entry'!X$9)),MAX(MIN('Council Entry'!X76,'Council Entry'!X$9),'Council Entry'!X$8),'Council Entry'!X76)),IF('Council Entry'!X$4="Exponential",EXP(IF(AND(ISNUMBER('Council Entry'!X$8),ISNUMBER('Council Entry'!X$9)),MAX(MIN('Council Entry'!X76,'Council Entry'!X$9),'Council Entry'!X$8),'Council Entry'!X76)),IF(AND(ISNUMBER('Council Entry'!X$8),ISNUMBER('Council Entry'!X$9)),MAX(MIN('Council Entry'!X76,'Council Entry'!X$9),'Council Entry'!X$8),'Council Entry'!X76))))-'Council Entry'!X$5)/('Council Entry'!X$6-'Council Entry'!X$5)),1))),"No data"))</f>
        <v/>
      </c>
      <c r="Y76" s="13">
        <f>IF('Council Entry'!Y76="","",IFERROR(MAX(0,MIN(10,ROUND(IF('Council Entry'!Y$7="Decrease Risk",10-10*((IF('Council Entry'!Y$4="Logarithm",LN(0.001+IF(AND(ISNUMBER('Council Entry'!Y$8),ISNUMBER('Council Entry'!Y$9)),MAX(MIN('Council Entry'!Y76,'Council Entry'!Y$9),'Council Entry'!Y$8),'Council Entry'!Y76)),IF('Council Entry'!Y$4="Exponential",EXP(IF(AND(ISNUMBER('Council Entry'!Y$8),ISNUMBER('Council Entry'!Y$9)),MAX(MIN('Council Entry'!Y76,'Council Entry'!Y$9),'Council Entry'!Y$8),'Council Entry'!Y76)),IF(AND(ISNUMBER('Council Entry'!Y$8),ISNUMBER('Council Entry'!Y$9)),MAX(MIN('Council Entry'!Y76,'Council Entry'!Y$9),'Council Entry'!Y$8),'Council Entry'!Y76))))-'Council Entry'!Y$5)/('Council Entry'!Y$6-'Council Entry'!Y$5),10*((IF('Council Entry'!Y$4="Logarithm",LN(0.001+IF(AND(ISNUMBER('Council Entry'!Y$8),ISNUMBER('Council Entry'!Y$9)),MAX(MIN('Council Entry'!Y76,'Council Entry'!Y$9),'Council Entry'!Y$8),'Council Entry'!Y76)),IF('Council Entry'!Y$4="Exponential",EXP(IF(AND(ISNUMBER('Council Entry'!Y$8),ISNUMBER('Council Entry'!Y$9)),MAX(MIN('Council Entry'!Y76,'Council Entry'!Y$9),'Council Entry'!Y$8),'Council Entry'!Y76)),IF(AND(ISNUMBER('Council Entry'!Y$8),ISNUMBER('Council Entry'!Y$9)),MAX(MIN('Council Entry'!Y76,'Council Entry'!Y$9),'Council Entry'!Y$8),'Council Entry'!Y76))))-'Council Entry'!Y$5)/('Council Entry'!Y$6-'Council Entry'!Y$5)),1))),"No data"))</f>
        <v/>
      </c>
      <c r="Z76" s="13">
        <f>IF('Council Entry'!Z76="","",IFERROR(MAX(0,MIN(10,ROUND(IF('Council Entry'!Z$7="Decrease Risk",10-10*((IF('Council Entry'!Z$4="Logarithm",LN(0.001+IF(AND(ISNUMBER('Council Entry'!Z$8),ISNUMBER('Council Entry'!Z$9)),MAX(MIN('Council Entry'!Z76,'Council Entry'!Z$9),'Council Entry'!Z$8),'Council Entry'!Z76)),IF('Council Entry'!Z$4="Exponential",EXP(IF(AND(ISNUMBER('Council Entry'!Z$8),ISNUMBER('Council Entry'!Z$9)),MAX(MIN('Council Entry'!Z76,'Council Entry'!Z$9),'Council Entry'!Z$8),'Council Entry'!Z76)),IF(AND(ISNUMBER('Council Entry'!Z$8),ISNUMBER('Council Entry'!Z$9)),MAX(MIN('Council Entry'!Z76,'Council Entry'!Z$9),'Council Entry'!Z$8),'Council Entry'!Z76))))-'Council Entry'!Z$5)/('Council Entry'!Z$6-'Council Entry'!Z$5),10*((IF('Council Entry'!Z$4="Logarithm",LN(0.001+IF(AND(ISNUMBER('Council Entry'!Z$8),ISNUMBER('Council Entry'!Z$9)),MAX(MIN('Council Entry'!Z76,'Council Entry'!Z$9),'Council Entry'!Z$8),'Council Entry'!Z76)),IF('Council Entry'!Z$4="Exponential",EXP(IF(AND(ISNUMBER('Council Entry'!Z$8),ISNUMBER('Council Entry'!Z$9)),MAX(MIN('Council Entry'!Z76,'Council Entry'!Z$9),'Council Entry'!Z$8),'Council Entry'!Z76)),IF(AND(ISNUMBER('Council Entry'!Z$8),ISNUMBER('Council Entry'!Z$9)),MAX(MIN('Council Entry'!Z76,'Council Entry'!Z$9),'Council Entry'!Z$8),'Council Entry'!Z76))))-'Council Entry'!Z$5)/('Council Entry'!Z$6-'Council Entry'!Z$5)),1))),"No data"))</f>
        <v/>
      </c>
      <c r="AA76" s="13">
        <f>IF('Council Entry'!AA76="","",IFERROR(MAX(0,MIN(10,ROUND(IF('Council Entry'!AA$7="Decrease Risk",10-10*((IF('Council Entry'!AA$4="Logarithm",LN(0.001+IF(AND(ISNUMBER('Council Entry'!AA$8),ISNUMBER('Council Entry'!AA$9)),MAX(MIN('Council Entry'!AA76,'Council Entry'!AA$9),'Council Entry'!AA$8),'Council Entry'!AA76)),IF('Council Entry'!AA$4="Exponential",EXP(IF(AND(ISNUMBER('Council Entry'!AA$8),ISNUMBER('Council Entry'!AA$9)),MAX(MIN('Council Entry'!AA76,'Council Entry'!AA$9),'Council Entry'!AA$8),'Council Entry'!AA76)),IF(AND(ISNUMBER('Council Entry'!AA$8),ISNUMBER('Council Entry'!AA$9)),MAX(MIN('Council Entry'!AA76,'Council Entry'!AA$9),'Council Entry'!AA$8),'Council Entry'!AA76))))-'Council Entry'!AA$5)/('Council Entry'!AA$6-'Council Entry'!AA$5),10*((IF('Council Entry'!AA$4="Logarithm",LN(0.001+IF(AND(ISNUMBER('Council Entry'!AA$8),ISNUMBER('Council Entry'!AA$9)),MAX(MIN('Council Entry'!AA76,'Council Entry'!AA$9),'Council Entry'!AA$8),'Council Entry'!AA76)),IF('Council Entry'!AA$4="Exponential",EXP(IF(AND(ISNUMBER('Council Entry'!AA$8),ISNUMBER('Council Entry'!AA$9)),MAX(MIN('Council Entry'!AA76,'Council Entry'!AA$9),'Council Entry'!AA$8),'Council Entry'!AA76)),IF(AND(ISNUMBER('Council Entry'!AA$8),ISNUMBER('Council Entry'!AA$9)),MAX(MIN('Council Entry'!AA76,'Council Entry'!AA$9),'Council Entry'!AA$8),'Council Entry'!AA76))))-'Council Entry'!AA$5)/('Council Entry'!AA$6-'Council Entry'!AA$5)),1))),"No data"))</f>
        <v/>
      </c>
      <c r="AB76" s="13">
        <f>IF('Council Entry'!AB76="","",IFERROR(MAX(0,MIN(10,ROUND(IF('Council Entry'!AB$7="Decrease Risk",10-10*((IF('Council Entry'!AB$4="Logarithm",LN(0.001+IF(AND(ISNUMBER('Council Entry'!AB$8),ISNUMBER('Council Entry'!AB$9)),MAX(MIN('Council Entry'!AB76,'Council Entry'!AB$9),'Council Entry'!AB$8),'Council Entry'!AB76)),IF('Council Entry'!AB$4="Exponential",EXP(IF(AND(ISNUMBER('Council Entry'!AB$8),ISNUMBER('Council Entry'!AB$9)),MAX(MIN('Council Entry'!AB76,'Council Entry'!AB$9),'Council Entry'!AB$8),'Council Entry'!AB76)),IF(AND(ISNUMBER('Council Entry'!AB$8),ISNUMBER('Council Entry'!AB$9)),MAX(MIN('Council Entry'!AB76,'Council Entry'!AB$9),'Council Entry'!AB$8),'Council Entry'!AB76))))-'Council Entry'!AB$5)/('Council Entry'!AB$6-'Council Entry'!AB$5),10*((IF('Council Entry'!AB$4="Logarithm",LN(0.001+IF(AND(ISNUMBER('Council Entry'!AB$8),ISNUMBER('Council Entry'!AB$9)),MAX(MIN('Council Entry'!AB76,'Council Entry'!AB$9),'Council Entry'!AB$8),'Council Entry'!AB76)),IF('Council Entry'!AB$4="Exponential",EXP(IF(AND(ISNUMBER('Council Entry'!AB$8),ISNUMBER('Council Entry'!AB$9)),MAX(MIN('Council Entry'!AB76,'Council Entry'!AB$9),'Council Entry'!AB$8),'Council Entry'!AB76)),IF(AND(ISNUMBER('Council Entry'!AB$8),ISNUMBER('Council Entry'!AB$9)),MAX(MIN('Council Entry'!AB76,'Council Entry'!AB$9),'Council Entry'!AB$8),'Council Entry'!AB76))))-'Council Entry'!AB$5)/('Council Entry'!AB$6-'Council Entry'!AB$5)),1))),"No data"))</f>
        <v/>
      </c>
      <c r="AC76" s="13">
        <f>IF('Council Entry'!AC76="","",IFERROR(MAX(0,MIN(10,ROUND(IF('Council Entry'!AC$7="Decrease Risk",10-10*((IF('Council Entry'!AC$4="Logarithm",LN(0.001+IF(AND(ISNUMBER('Council Entry'!AC$8),ISNUMBER('Council Entry'!AC$9)),MAX(MIN('Council Entry'!AC76,'Council Entry'!AC$9),'Council Entry'!AC$8),'Council Entry'!AC76)),IF('Council Entry'!AC$4="Exponential",EXP(IF(AND(ISNUMBER('Council Entry'!AC$8),ISNUMBER('Council Entry'!AC$9)),MAX(MIN('Council Entry'!AC76,'Council Entry'!AC$9),'Council Entry'!AC$8),'Council Entry'!AC76)),IF(AND(ISNUMBER('Council Entry'!AC$8),ISNUMBER('Council Entry'!AC$9)),MAX(MIN('Council Entry'!AC76,'Council Entry'!AC$9),'Council Entry'!AC$8),'Council Entry'!AC76))))-'Council Entry'!AC$5)/('Council Entry'!AC$6-'Council Entry'!AC$5),10*((IF('Council Entry'!AC$4="Logarithm",LN(0.001+IF(AND(ISNUMBER('Council Entry'!AC$8),ISNUMBER('Council Entry'!AC$9)),MAX(MIN('Council Entry'!AC76,'Council Entry'!AC$9),'Council Entry'!AC$8),'Council Entry'!AC76)),IF('Council Entry'!AC$4="Exponential",EXP(IF(AND(ISNUMBER('Council Entry'!AC$8),ISNUMBER('Council Entry'!AC$9)),MAX(MIN('Council Entry'!AC76,'Council Entry'!AC$9),'Council Entry'!AC$8),'Council Entry'!AC76)),IF(AND(ISNUMBER('Council Entry'!AC$8),ISNUMBER('Council Entry'!AC$9)),MAX(MIN('Council Entry'!AC76,'Council Entry'!AC$9),'Council Entry'!AC$8),'Council Entry'!AC76))))-'Council Entry'!AC$5)/('Council Entry'!AC$6-'Council Entry'!AC$5)),1))),"No data"))</f>
        <v/>
      </c>
      <c r="AD76" s="13">
        <f>IF('Council Entry'!AD76="","",IFERROR(MAX(0,MIN(10,ROUND(IF('Council Entry'!AD$7="Decrease Risk",10-10*((IF('Council Entry'!AD$4="Logarithm",LN(0.001+IF(AND(ISNUMBER('Council Entry'!AD$8),ISNUMBER('Council Entry'!AD$9)),MAX(MIN('Council Entry'!AD76,'Council Entry'!AD$9),'Council Entry'!AD$8),'Council Entry'!AD76)),IF('Council Entry'!AD$4="Exponential",EXP(IF(AND(ISNUMBER('Council Entry'!AD$8),ISNUMBER('Council Entry'!AD$9)),MAX(MIN('Council Entry'!AD76,'Council Entry'!AD$9),'Council Entry'!AD$8),'Council Entry'!AD76)),IF(AND(ISNUMBER('Council Entry'!AD$8),ISNUMBER('Council Entry'!AD$9)),MAX(MIN('Council Entry'!AD76,'Council Entry'!AD$9),'Council Entry'!AD$8),'Council Entry'!AD76))))-'Council Entry'!AD$5)/('Council Entry'!AD$6-'Council Entry'!AD$5),10*((IF('Council Entry'!AD$4="Logarithm",LN(0.001+IF(AND(ISNUMBER('Council Entry'!AD$8),ISNUMBER('Council Entry'!AD$9)),MAX(MIN('Council Entry'!AD76,'Council Entry'!AD$9),'Council Entry'!AD$8),'Council Entry'!AD76)),IF('Council Entry'!AD$4="Exponential",EXP(IF(AND(ISNUMBER('Council Entry'!AD$8),ISNUMBER('Council Entry'!AD$9)),MAX(MIN('Council Entry'!AD76,'Council Entry'!AD$9),'Council Entry'!AD$8),'Council Entry'!AD76)),IF(AND(ISNUMBER('Council Entry'!AD$8),ISNUMBER('Council Entry'!AD$9)),MAX(MIN('Council Entry'!AD76,'Council Entry'!AD$9),'Council Entry'!AD$8),'Council Entry'!AD76))))-'Council Entry'!AD$5)/('Council Entry'!AD$6-'Council Entry'!AD$5)),1))),"No data"))</f>
        <v/>
      </c>
      <c r="AE76" s="13">
        <f>IF('Council Entry'!AE76="","",IFERROR(MAX(0,MIN(10,ROUND(IF('Council Entry'!AE$7="Decrease Risk",10-10*((IF('Council Entry'!AE$4="Logarithm",LN(0.001+IF(AND(ISNUMBER('Council Entry'!AE$8),ISNUMBER('Council Entry'!AE$9)),MAX(MIN('Council Entry'!AE76,'Council Entry'!AE$9),'Council Entry'!AE$8),'Council Entry'!AE76)),IF('Council Entry'!AE$4="Exponential",EXP(IF(AND(ISNUMBER('Council Entry'!AE$8),ISNUMBER('Council Entry'!AE$9)),MAX(MIN('Council Entry'!AE76,'Council Entry'!AE$9),'Council Entry'!AE$8),'Council Entry'!AE76)),IF(AND(ISNUMBER('Council Entry'!AE$8),ISNUMBER('Council Entry'!AE$9)),MAX(MIN('Council Entry'!AE76,'Council Entry'!AE$9),'Council Entry'!AE$8),'Council Entry'!AE76))))-'Council Entry'!AE$5)/('Council Entry'!AE$6-'Council Entry'!AE$5),10*((IF('Council Entry'!AE$4="Logarithm",LN(0.001+IF(AND(ISNUMBER('Council Entry'!AE$8),ISNUMBER('Council Entry'!AE$9)),MAX(MIN('Council Entry'!AE76,'Council Entry'!AE$9),'Council Entry'!AE$8),'Council Entry'!AE76)),IF('Council Entry'!AE$4="Exponential",EXP(IF(AND(ISNUMBER('Council Entry'!AE$8),ISNUMBER('Council Entry'!AE$9)),MAX(MIN('Council Entry'!AE76,'Council Entry'!AE$9),'Council Entry'!AE$8),'Council Entry'!AE76)),IF(AND(ISNUMBER('Council Entry'!AE$8),ISNUMBER('Council Entry'!AE$9)),MAX(MIN('Council Entry'!AE76,'Council Entry'!AE$9),'Council Entry'!AE$8),'Council Entry'!AE76))))-'Council Entry'!AE$5)/('Council Entry'!AE$6-'Council Entry'!AE$5)),1))),"No data"))</f>
        <v/>
      </c>
      <c r="AF76" s="13">
        <f>IF('Council Entry'!AF76="","",IFERROR(MAX(0,MIN(10,ROUND(IF('Council Entry'!AF$7="Decrease Risk",10-10*((IF('Council Entry'!AF$4="Logarithm",LN(0.001+IF(AND(ISNUMBER('Council Entry'!AF$8),ISNUMBER('Council Entry'!AF$9)),MAX(MIN('Council Entry'!AF76,'Council Entry'!AF$9),'Council Entry'!AF$8),'Council Entry'!AF76)),IF('Council Entry'!AF$4="Exponential",EXP(IF(AND(ISNUMBER('Council Entry'!AF$8),ISNUMBER('Council Entry'!AF$9)),MAX(MIN('Council Entry'!AF76,'Council Entry'!AF$9),'Council Entry'!AF$8),'Council Entry'!AF76)),IF(AND(ISNUMBER('Council Entry'!AF$8),ISNUMBER('Council Entry'!AF$9)),MAX(MIN('Council Entry'!AF76,'Council Entry'!AF$9),'Council Entry'!AF$8),'Council Entry'!AF76))))-'Council Entry'!AF$5)/('Council Entry'!AF$6-'Council Entry'!AF$5),10*((IF('Council Entry'!AF$4="Logarithm",LN(0.001+IF(AND(ISNUMBER('Council Entry'!AF$8),ISNUMBER('Council Entry'!AF$9)),MAX(MIN('Council Entry'!AF76,'Council Entry'!AF$9),'Council Entry'!AF$8),'Council Entry'!AF76)),IF('Council Entry'!AF$4="Exponential",EXP(IF(AND(ISNUMBER('Council Entry'!AF$8),ISNUMBER('Council Entry'!AF$9)),MAX(MIN('Council Entry'!AF76,'Council Entry'!AF$9),'Council Entry'!AF$8),'Council Entry'!AF76)),IF(AND(ISNUMBER('Council Entry'!AF$8),ISNUMBER('Council Entry'!AF$9)),MAX(MIN('Council Entry'!AF76,'Council Entry'!AF$9),'Council Entry'!AF$8),'Council Entry'!AF76))))-'Council Entry'!AF$5)/('Council Entry'!AF$6-'Council Entry'!AF$5)),1))),"No data"))</f>
        <v/>
      </c>
      <c r="AG76" s="13">
        <f>IF('Council Entry'!AG76="","",IFERROR(MAX(0,MIN(10,ROUND(IF('Council Entry'!AG$7="Decrease Risk",10-10*((IF('Council Entry'!AG$4="Logarithm",LN(0.001+IF(AND(ISNUMBER('Council Entry'!AG$8),ISNUMBER('Council Entry'!AG$9)),MAX(MIN('Council Entry'!AG76,'Council Entry'!AG$9),'Council Entry'!AG$8),'Council Entry'!AG76)),IF('Council Entry'!AG$4="Exponential",EXP(IF(AND(ISNUMBER('Council Entry'!AG$8),ISNUMBER('Council Entry'!AG$9)),MAX(MIN('Council Entry'!AG76,'Council Entry'!AG$9),'Council Entry'!AG$8),'Council Entry'!AG76)),IF(AND(ISNUMBER('Council Entry'!AG$8),ISNUMBER('Council Entry'!AG$9)),MAX(MIN('Council Entry'!AG76,'Council Entry'!AG$9),'Council Entry'!AG$8),'Council Entry'!AG76))))-'Council Entry'!AG$5)/('Council Entry'!AG$6-'Council Entry'!AG$5),10*((IF('Council Entry'!AG$4="Logarithm",LN(0.001+IF(AND(ISNUMBER('Council Entry'!AG$8),ISNUMBER('Council Entry'!AG$9)),MAX(MIN('Council Entry'!AG76,'Council Entry'!AG$9),'Council Entry'!AG$8),'Council Entry'!AG76)),IF('Council Entry'!AG$4="Exponential",EXP(IF(AND(ISNUMBER('Council Entry'!AG$8),ISNUMBER('Council Entry'!AG$9)),MAX(MIN('Council Entry'!AG76,'Council Entry'!AG$9),'Council Entry'!AG$8),'Council Entry'!AG76)),IF(AND(ISNUMBER('Council Entry'!AG$8),ISNUMBER('Council Entry'!AG$9)),MAX(MIN('Council Entry'!AG76,'Council Entry'!AG$9),'Council Entry'!AG$8),'Council Entry'!AG76))))-'Council Entry'!AG$5)/('Council Entry'!AG$6-'Council Entry'!AG$5)),1))),"No data"))</f>
        <v/>
      </c>
      <c r="AH76" s="13">
        <f>IF('Council Entry'!AH76="","",IFERROR(MAX(0,MIN(10,ROUND(IF('Council Entry'!AH$7="Decrease Risk",10-10*((IF('Council Entry'!AH$4="Logarithm",LN(0.001+IF(AND(ISNUMBER('Council Entry'!AH$8),ISNUMBER('Council Entry'!AH$9)),MAX(MIN('Council Entry'!AH76,'Council Entry'!AH$9),'Council Entry'!AH$8),'Council Entry'!AH76)),IF('Council Entry'!AH$4="Exponential",EXP(IF(AND(ISNUMBER('Council Entry'!AH$8),ISNUMBER('Council Entry'!AH$9)),MAX(MIN('Council Entry'!AH76,'Council Entry'!AH$9),'Council Entry'!AH$8),'Council Entry'!AH76)),IF(AND(ISNUMBER('Council Entry'!AH$8),ISNUMBER('Council Entry'!AH$9)),MAX(MIN('Council Entry'!AH76,'Council Entry'!AH$9),'Council Entry'!AH$8),'Council Entry'!AH76))))-'Council Entry'!AH$5)/('Council Entry'!AH$6-'Council Entry'!AH$5),10*((IF('Council Entry'!AH$4="Logarithm",LN(0.001+IF(AND(ISNUMBER('Council Entry'!AH$8),ISNUMBER('Council Entry'!AH$9)),MAX(MIN('Council Entry'!AH76,'Council Entry'!AH$9),'Council Entry'!AH$8),'Council Entry'!AH76)),IF('Council Entry'!AH$4="Exponential",EXP(IF(AND(ISNUMBER('Council Entry'!AH$8),ISNUMBER('Council Entry'!AH$9)),MAX(MIN('Council Entry'!AH76,'Council Entry'!AH$9),'Council Entry'!AH$8),'Council Entry'!AH76)),IF(AND(ISNUMBER('Council Entry'!AH$8),ISNUMBER('Council Entry'!AH$9)),MAX(MIN('Council Entry'!AH76,'Council Entry'!AH$9),'Council Entry'!AH$8),'Council Entry'!AH76))))-'Council Entry'!AH$5)/('Council Entry'!AH$6-'Council Entry'!AH$5)),1))),"No data"))</f>
        <v/>
      </c>
      <c r="AI76" s="13">
        <f>IF('Council Entry'!AI76="","",IFERROR(MAX(0,MIN(10,ROUND(IF('Council Entry'!AI$7="Decrease Risk",10-10*((IF('Council Entry'!AI$4="Logarithm",LN(0.001+IF(AND(ISNUMBER('Council Entry'!AI$8),ISNUMBER('Council Entry'!AI$9)),MAX(MIN('Council Entry'!AI76,'Council Entry'!AI$9),'Council Entry'!AI$8),'Council Entry'!AI76)),IF('Council Entry'!AI$4="Exponential",EXP(IF(AND(ISNUMBER('Council Entry'!AI$8),ISNUMBER('Council Entry'!AI$9)),MAX(MIN('Council Entry'!AI76,'Council Entry'!AI$9),'Council Entry'!AI$8),'Council Entry'!AI76)),IF(AND(ISNUMBER('Council Entry'!AI$8),ISNUMBER('Council Entry'!AI$9)),MAX(MIN('Council Entry'!AI76,'Council Entry'!AI$9),'Council Entry'!AI$8),'Council Entry'!AI76))))-'Council Entry'!AI$5)/('Council Entry'!AI$6-'Council Entry'!AI$5),10*((IF('Council Entry'!AI$4="Logarithm",LN(0.001+IF(AND(ISNUMBER('Council Entry'!AI$8),ISNUMBER('Council Entry'!AI$9)),MAX(MIN('Council Entry'!AI76,'Council Entry'!AI$9),'Council Entry'!AI$8),'Council Entry'!AI76)),IF('Council Entry'!AI$4="Exponential",EXP(IF(AND(ISNUMBER('Council Entry'!AI$8),ISNUMBER('Council Entry'!AI$9)),MAX(MIN('Council Entry'!AI76,'Council Entry'!AI$9),'Council Entry'!AI$8),'Council Entry'!AI76)),IF(AND(ISNUMBER('Council Entry'!AI$8),ISNUMBER('Council Entry'!AI$9)),MAX(MIN('Council Entry'!AI76,'Council Entry'!AI$9),'Council Entry'!AI$8),'Council Entry'!AI76))))-'Council Entry'!AI$5)/('Council Entry'!AI$6-'Council Entry'!AI$5)),1))),"No data"))</f>
        <v/>
      </c>
      <c r="AJ76" s="13">
        <f>IF('Council Entry'!AJ76="","",IFERROR(MAX(0,MIN(10,ROUND(IF('Council Entry'!AJ$7="Decrease Risk",10-10*((IF('Council Entry'!AJ$4="Logarithm",LN(0.001+IF(AND(ISNUMBER('Council Entry'!AJ$8),ISNUMBER('Council Entry'!AJ$9)),MAX(MIN('Council Entry'!AJ76,'Council Entry'!AJ$9),'Council Entry'!AJ$8),'Council Entry'!AJ76)),IF('Council Entry'!AJ$4="Exponential",EXP(IF(AND(ISNUMBER('Council Entry'!AJ$8),ISNUMBER('Council Entry'!AJ$9)),MAX(MIN('Council Entry'!AJ76,'Council Entry'!AJ$9),'Council Entry'!AJ$8),'Council Entry'!AJ76)),IF(AND(ISNUMBER('Council Entry'!AJ$8),ISNUMBER('Council Entry'!AJ$9)),MAX(MIN('Council Entry'!AJ76,'Council Entry'!AJ$9),'Council Entry'!AJ$8),'Council Entry'!AJ76))))-'Council Entry'!AJ$5)/('Council Entry'!AJ$6-'Council Entry'!AJ$5),10*((IF('Council Entry'!AJ$4="Logarithm",LN(0.001+IF(AND(ISNUMBER('Council Entry'!AJ$8),ISNUMBER('Council Entry'!AJ$9)),MAX(MIN('Council Entry'!AJ76,'Council Entry'!AJ$9),'Council Entry'!AJ$8),'Council Entry'!AJ76)),IF('Council Entry'!AJ$4="Exponential",EXP(IF(AND(ISNUMBER('Council Entry'!AJ$8),ISNUMBER('Council Entry'!AJ$9)),MAX(MIN('Council Entry'!AJ76,'Council Entry'!AJ$9),'Council Entry'!AJ$8),'Council Entry'!AJ76)),IF(AND(ISNUMBER('Council Entry'!AJ$8),ISNUMBER('Council Entry'!AJ$9)),MAX(MIN('Council Entry'!AJ76,'Council Entry'!AJ$9),'Council Entry'!AJ$8),'Council Entry'!AJ76))))-'Council Entry'!AJ$5)/('Council Entry'!AJ$6-'Council Entry'!AJ$5)),1))),"No data"))</f>
        <v/>
      </c>
      <c r="AK76" s="13">
        <f>IF('Council Entry'!AK76="","",IFERROR(MAX(0,MIN(10,ROUND(IF('Council Entry'!AK$7="Decrease Risk",10-10*((IF('Council Entry'!AK$4="Logarithm",LN(0.001+IF(AND(ISNUMBER('Council Entry'!AK$8),ISNUMBER('Council Entry'!AK$9)),MAX(MIN('Council Entry'!AK76,'Council Entry'!AK$9),'Council Entry'!AK$8),'Council Entry'!AK76)),IF('Council Entry'!AK$4="Exponential",EXP(IF(AND(ISNUMBER('Council Entry'!AK$8),ISNUMBER('Council Entry'!AK$9)),MAX(MIN('Council Entry'!AK76,'Council Entry'!AK$9),'Council Entry'!AK$8),'Council Entry'!AK76)),IF(AND(ISNUMBER('Council Entry'!AK$8),ISNUMBER('Council Entry'!AK$9)),MAX(MIN('Council Entry'!AK76,'Council Entry'!AK$9),'Council Entry'!AK$8),'Council Entry'!AK76))))-'Council Entry'!AK$5)/('Council Entry'!AK$6-'Council Entry'!AK$5),10*((IF('Council Entry'!AK$4="Logarithm",LN(0.001+IF(AND(ISNUMBER('Council Entry'!AK$8),ISNUMBER('Council Entry'!AK$9)),MAX(MIN('Council Entry'!AK76,'Council Entry'!AK$9),'Council Entry'!AK$8),'Council Entry'!AK76)),IF('Council Entry'!AK$4="Exponential",EXP(IF(AND(ISNUMBER('Council Entry'!AK$8),ISNUMBER('Council Entry'!AK$9)),MAX(MIN('Council Entry'!AK76,'Council Entry'!AK$9),'Council Entry'!AK$8),'Council Entry'!AK76)),IF(AND(ISNUMBER('Council Entry'!AK$8),ISNUMBER('Council Entry'!AK$9)),MAX(MIN('Council Entry'!AK76,'Council Entry'!AK$9),'Council Entry'!AK$8),'Council Entry'!AK76))))-'Council Entry'!AK$5)/('Council Entry'!AK$6-'Council Entry'!AK$5)),1))),"No data"))</f>
        <v/>
      </c>
      <c r="AL76" s="13">
        <f>IF('Council Entry'!AL76="","",IFERROR(MAX(0,MIN(10,ROUND(IF('Council Entry'!AL$7="Decrease Risk",10-10*((IF('Council Entry'!AL$4="Logarithm",LN(0.001+IF(AND(ISNUMBER('Council Entry'!AL$8),ISNUMBER('Council Entry'!AL$9)),MAX(MIN('Council Entry'!AL76,'Council Entry'!AL$9),'Council Entry'!AL$8),'Council Entry'!AL76)),IF('Council Entry'!AL$4="Exponential",EXP(IF(AND(ISNUMBER('Council Entry'!AL$8),ISNUMBER('Council Entry'!AL$9)),MAX(MIN('Council Entry'!AL76,'Council Entry'!AL$9),'Council Entry'!AL$8),'Council Entry'!AL76)),IF(AND(ISNUMBER('Council Entry'!AL$8),ISNUMBER('Council Entry'!AL$9)),MAX(MIN('Council Entry'!AL76,'Council Entry'!AL$9),'Council Entry'!AL$8),'Council Entry'!AL76))))-'Council Entry'!AL$5)/('Council Entry'!AL$6-'Council Entry'!AL$5),10*((IF('Council Entry'!AL$4="Logarithm",LN(0.001+IF(AND(ISNUMBER('Council Entry'!AL$8),ISNUMBER('Council Entry'!AL$9)),MAX(MIN('Council Entry'!AL76,'Council Entry'!AL$9),'Council Entry'!AL$8),'Council Entry'!AL76)),IF('Council Entry'!AL$4="Exponential",EXP(IF(AND(ISNUMBER('Council Entry'!AL$8),ISNUMBER('Council Entry'!AL$9)),MAX(MIN('Council Entry'!AL76,'Council Entry'!AL$9),'Council Entry'!AL$8),'Council Entry'!AL76)),IF(AND(ISNUMBER('Council Entry'!AL$8),ISNUMBER('Council Entry'!AL$9)),MAX(MIN('Council Entry'!AL76,'Council Entry'!AL$9),'Council Entry'!AL$8),'Council Entry'!AL76))))-'Council Entry'!AL$5)/('Council Entry'!AL$6-'Council Entry'!AL$5)),1))),"No data"))</f>
        <v/>
      </c>
      <c r="AM76" s="13">
        <f>IF('Council Entry'!AM76="","",IFERROR(MAX(0,MIN(10,ROUND(IF('Council Entry'!AM$7="Decrease Risk",10-10*((IF('Council Entry'!AM$4="Logarithm",LN(0.001+IF(AND(ISNUMBER('Council Entry'!AM$8),ISNUMBER('Council Entry'!AM$9)),MAX(MIN('Council Entry'!AM76,'Council Entry'!AM$9),'Council Entry'!AM$8),'Council Entry'!AM76)),IF('Council Entry'!AM$4="Exponential",EXP(IF(AND(ISNUMBER('Council Entry'!AM$8),ISNUMBER('Council Entry'!AM$9)),MAX(MIN('Council Entry'!AM76,'Council Entry'!AM$9),'Council Entry'!AM$8),'Council Entry'!AM76)),IF(AND(ISNUMBER('Council Entry'!AM$8),ISNUMBER('Council Entry'!AM$9)),MAX(MIN('Council Entry'!AM76,'Council Entry'!AM$9),'Council Entry'!AM$8),'Council Entry'!AM76))))-'Council Entry'!AM$5)/('Council Entry'!AM$6-'Council Entry'!AM$5),10*((IF('Council Entry'!AM$4="Logarithm",LN(0.001+IF(AND(ISNUMBER('Council Entry'!AM$8),ISNUMBER('Council Entry'!AM$9)),MAX(MIN('Council Entry'!AM76,'Council Entry'!AM$9),'Council Entry'!AM$8),'Council Entry'!AM76)),IF('Council Entry'!AM$4="Exponential",EXP(IF(AND(ISNUMBER('Council Entry'!AM$8),ISNUMBER('Council Entry'!AM$9)),MAX(MIN('Council Entry'!AM76,'Council Entry'!AM$9),'Council Entry'!AM$8),'Council Entry'!AM76)),IF(AND(ISNUMBER('Council Entry'!AM$8),ISNUMBER('Council Entry'!AM$9)),MAX(MIN('Council Entry'!AM76,'Council Entry'!AM$9),'Council Entry'!AM$8),'Council Entry'!AM76))))-'Council Entry'!AM$5)/('Council Entry'!AM$6-'Council Entry'!AM$5)),1))),"No data"))</f>
        <v/>
      </c>
      <c r="AN76" s="13">
        <f>IF('Council Entry'!AN76="","",IFERROR(MAX(0,MIN(10,ROUND(IF('Council Entry'!AN$7="Decrease Risk",10-10*((IF('Council Entry'!AN$4="Logarithm",LN(0.001+IF(AND(ISNUMBER('Council Entry'!AN$8),ISNUMBER('Council Entry'!AN$9)),MAX(MIN('Council Entry'!AN76,'Council Entry'!AN$9),'Council Entry'!AN$8),'Council Entry'!AN76)),IF('Council Entry'!AN$4="Exponential",EXP(IF(AND(ISNUMBER('Council Entry'!AN$8),ISNUMBER('Council Entry'!AN$9)),MAX(MIN('Council Entry'!AN76,'Council Entry'!AN$9),'Council Entry'!AN$8),'Council Entry'!AN76)),IF(AND(ISNUMBER('Council Entry'!AN$8),ISNUMBER('Council Entry'!AN$9)),MAX(MIN('Council Entry'!AN76,'Council Entry'!AN$9),'Council Entry'!AN$8),'Council Entry'!AN76))))-'Council Entry'!AN$5)/('Council Entry'!AN$6-'Council Entry'!AN$5),10*((IF('Council Entry'!AN$4="Logarithm",LN(0.001+IF(AND(ISNUMBER('Council Entry'!AN$8),ISNUMBER('Council Entry'!AN$9)),MAX(MIN('Council Entry'!AN76,'Council Entry'!AN$9),'Council Entry'!AN$8),'Council Entry'!AN76)),IF('Council Entry'!AN$4="Exponential",EXP(IF(AND(ISNUMBER('Council Entry'!AN$8),ISNUMBER('Council Entry'!AN$9)),MAX(MIN('Council Entry'!AN76,'Council Entry'!AN$9),'Council Entry'!AN$8),'Council Entry'!AN76)),IF(AND(ISNUMBER('Council Entry'!AN$8),ISNUMBER('Council Entry'!AN$9)),MAX(MIN('Council Entry'!AN76,'Council Entry'!AN$9),'Council Entry'!AN$8),'Council Entry'!AN76))))-'Council Entry'!AN$5)/('Council Entry'!AN$6-'Council Entry'!AN$5)),1))),"No data"))</f>
        <v/>
      </c>
      <c r="AO76" s="13">
        <f>IF('Council Entry'!AO76="","",IFERROR(MAX(0,MIN(10,ROUND(IF('Council Entry'!AO$7="Decrease Risk",10-10*((IF('Council Entry'!AO$4="Logarithm",LN(0.001+IF(AND(ISNUMBER('Council Entry'!AO$8),ISNUMBER('Council Entry'!AO$9)),MAX(MIN('Council Entry'!AO76,'Council Entry'!AO$9),'Council Entry'!AO$8),'Council Entry'!AO76)),IF('Council Entry'!AO$4="Exponential",EXP(IF(AND(ISNUMBER('Council Entry'!AO$8),ISNUMBER('Council Entry'!AO$9)),MAX(MIN('Council Entry'!AO76,'Council Entry'!AO$9),'Council Entry'!AO$8),'Council Entry'!AO76)),IF(AND(ISNUMBER('Council Entry'!AO$8),ISNUMBER('Council Entry'!AO$9)),MAX(MIN('Council Entry'!AO76,'Council Entry'!AO$9),'Council Entry'!AO$8),'Council Entry'!AO76))))-'Council Entry'!AO$5)/('Council Entry'!AO$6-'Council Entry'!AO$5),10*((IF('Council Entry'!AO$4="Logarithm",LN(0.001+IF(AND(ISNUMBER('Council Entry'!AO$8),ISNUMBER('Council Entry'!AO$9)),MAX(MIN('Council Entry'!AO76,'Council Entry'!AO$9),'Council Entry'!AO$8),'Council Entry'!AO76)),IF('Council Entry'!AO$4="Exponential",EXP(IF(AND(ISNUMBER('Council Entry'!AO$8),ISNUMBER('Council Entry'!AO$9)),MAX(MIN('Council Entry'!AO76,'Council Entry'!AO$9),'Council Entry'!AO$8),'Council Entry'!AO76)),IF(AND(ISNUMBER('Council Entry'!AO$8),ISNUMBER('Council Entry'!AO$9)),MAX(MIN('Council Entry'!AO76,'Council Entry'!AO$9),'Council Entry'!AO$8),'Council Entry'!AO76))))-'Council Entry'!AO$5)/('Council Entry'!AO$6-'Council Entry'!AO$5)),1))),"No data"))</f>
        <v/>
      </c>
      <c r="AP76" s="13">
        <f>IF('Council Entry'!AP76="","",IFERROR(MAX(0,MIN(10,ROUND(IF('Council Entry'!AP$7="Decrease Risk",10-10*((IF('Council Entry'!AP$4="Logarithm",LN(0.001+IF(AND(ISNUMBER('Council Entry'!AP$8),ISNUMBER('Council Entry'!AP$9)),MAX(MIN('Council Entry'!AP76,'Council Entry'!AP$9),'Council Entry'!AP$8),'Council Entry'!AP76)),IF('Council Entry'!AP$4="Exponential",EXP(IF(AND(ISNUMBER('Council Entry'!AP$8),ISNUMBER('Council Entry'!AP$9)),MAX(MIN('Council Entry'!AP76,'Council Entry'!AP$9),'Council Entry'!AP$8),'Council Entry'!AP76)),IF(AND(ISNUMBER('Council Entry'!AP$8),ISNUMBER('Council Entry'!AP$9)),MAX(MIN('Council Entry'!AP76,'Council Entry'!AP$9),'Council Entry'!AP$8),'Council Entry'!AP76))))-'Council Entry'!AP$5)/('Council Entry'!AP$6-'Council Entry'!AP$5),10*((IF('Council Entry'!AP$4="Logarithm",LN(0.001+IF(AND(ISNUMBER('Council Entry'!AP$8),ISNUMBER('Council Entry'!AP$9)),MAX(MIN('Council Entry'!AP76,'Council Entry'!AP$9),'Council Entry'!AP$8),'Council Entry'!AP76)),IF('Council Entry'!AP$4="Exponential",EXP(IF(AND(ISNUMBER('Council Entry'!AP$8),ISNUMBER('Council Entry'!AP$9)),MAX(MIN('Council Entry'!AP76,'Council Entry'!AP$9),'Council Entry'!AP$8),'Council Entry'!AP76)),IF(AND(ISNUMBER('Council Entry'!AP$8),ISNUMBER('Council Entry'!AP$9)),MAX(MIN('Council Entry'!AP76,'Council Entry'!AP$9),'Council Entry'!AP$8),'Council Entry'!AP76))))-'Council Entry'!AP$5)/('Council Entry'!AP$6-'Council Entry'!AP$5)),1))),"No data"))</f>
        <v/>
      </c>
      <c r="AQ76" s="13">
        <f>IF('Council Entry'!AQ76="","",IFERROR(MAX(0,MIN(10,ROUND(IF('Council Entry'!AQ$7="Decrease Risk",10-10*((IF('Council Entry'!AQ$4="Logarithm",LN(0.001+IF(AND(ISNUMBER('Council Entry'!AQ$8),ISNUMBER('Council Entry'!AQ$9)),MAX(MIN('Council Entry'!AQ76,'Council Entry'!AQ$9),'Council Entry'!AQ$8),'Council Entry'!AQ76)),IF('Council Entry'!AQ$4="Exponential",EXP(IF(AND(ISNUMBER('Council Entry'!AQ$8),ISNUMBER('Council Entry'!AQ$9)),MAX(MIN('Council Entry'!AQ76,'Council Entry'!AQ$9),'Council Entry'!AQ$8),'Council Entry'!AQ76)),IF(AND(ISNUMBER('Council Entry'!AQ$8),ISNUMBER('Council Entry'!AQ$9)),MAX(MIN('Council Entry'!AQ76,'Council Entry'!AQ$9),'Council Entry'!AQ$8),'Council Entry'!AQ76))))-'Council Entry'!AQ$5)/('Council Entry'!AQ$6-'Council Entry'!AQ$5),10*((IF('Council Entry'!AQ$4="Logarithm",LN(0.001+IF(AND(ISNUMBER('Council Entry'!AQ$8),ISNUMBER('Council Entry'!AQ$9)),MAX(MIN('Council Entry'!AQ76,'Council Entry'!AQ$9),'Council Entry'!AQ$8),'Council Entry'!AQ76)),IF('Council Entry'!AQ$4="Exponential",EXP(IF(AND(ISNUMBER('Council Entry'!AQ$8),ISNUMBER('Council Entry'!AQ$9)),MAX(MIN('Council Entry'!AQ76,'Council Entry'!AQ$9),'Council Entry'!AQ$8),'Council Entry'!AQ76)),IF(AND(ISNUMBER('Council Entry'!AQ$8),ISNUMBER('Council Entry'!AQ$9)),MAX(MIN('Council Entry'!AQ76,'Council Entry'!AQ$9),'Council Entry'!AQ$8),'Council Entry'!AQ76))))-'Council Entry'!AQ$5)/('Council Entry'!AQ$6-'Council Entry'!AQ$5)),1))),"No data"))</f>
        <v/>
      </c>
      <c r="AR76" s="13">
        <f>IF('Council Entry'!AR76="","",IFERROR(MAX(0,MIN(10,ROUND(IF('Council Entry'!AR$7="Decrease Risk",10-10*((IF('Council Entry'!AR$4="Logarithm",LN(0.001+IF(AND(ISNUMBER('Council Entry'!AR$8),ISNUMBER('Council Entry'!AR$9)),MAX(MIN('Council Entry'!AR76,'Council Entry'!AR$9),'Council Entry'!AR$8),'Council Entry'!AR76)),IF('Council Entry'!AR$4="Exponential",EXP(IF(AND(ISNUMBER('Council Entry'!AR$8),ISNUMBER('Council Entry'!AR$9)),MAX(MIN('Council Entry'!AR76,'Council Entry'!AR$9),'Council Entry'!AR$8),'Council Entry'!AR76)),IF(AND(ISNUMBER('Council Entry'!AR$8),ISNUMBER('Council Entry'!AR$9)),MAX(MIN('Council Entry'!AR76,'Council Entry'!AR$9),'Council Entry'!AR$8),'Council Entry'!AR76))))-'Council Entry'!AR$5)/('Council Entry'!AR$6-'Council Entry'!AR$5),10*((IF('Council Entry'!AR$4="Logarithm",LN(0.001+IF(AND(ISNUMBER('Council Entry'!AR$8),ISNUMBER('Council Entry'!AR$9)),MAX(MIN('Council Entry'!AR76,'Council Entry'!AR$9),'Council Entry'!AR$8),'Council Entry'!AR76)),IF('Council Entry'!AR$4="Exponential",EXP(IF(AND(ISNUMBER('Council Entry'!AR$8),ISNUMBER('Council Entry'!AR$9)),MAX(MIN('Council Entry'!AR76,'Council Entry'!AR$9),'Council Entry'!AR$8),'Council Entry'!AR76)),IF(AND(ISNUMBER('Council Entry'!AR$8),ISNUMBER('Council Entry'!AR$9)),MAX(MIN('Council Entry'!AR76,'Council Entry'!AR$9),'Council Entry'!AR$8),'Council Entry'!AR76))))-'Council Entry'!AR$5)/('Council Entry'!AR$6-'Council Entry'!AR$5)),1))),"No data"))</f>
        <v/>
      </c>
      <c r="AS76" s="13">
        <f>IF('Council Entry'!AS76="","",IFERROR(MAX(0,MIN(10,ROUND(IF('Council Entry'!AS$7="Decrease Risk",10-10*((IF('Council Entry'!AS$4="Logarithm",LN(0.001+IF(AND(ISNUMBER('Council Entry'!AS$8),ISNUMBER('Council Entry'!AS$9)),MAX(MIN('Council Entry'!AS76,'Council Entry'!AS$9),'Council Entry'!AS$8),'Council Entry'!AS76)),IF('Council Entry'!AS$4="Exponential",EXP(IF(AND(ISNUMBER('Council Entry'!AS$8),ISNUMBER('Council Entry'!AS$9)),MAX(MIN('Council Entry'!AS76,'Council Entry'!AS$9),'Council Entry'!AS$8),'Council Entry'!AS76)),IF(AND(ISNUMBER('Council Entry'!AS$8),ISNUMBER('Council Entry'!AS$9)),MAX(MIN('Council Entry'!AS76,'Council Entry'!AS$9),'Council Entry'!AS$8),'Council Entry'!AS76))))-'Council Entry'!AS$5)/('Council Entry'!AS$6-'Council Entry'!AS$5),10*((IF('Council Entry'!AS$4="Logarithm",LN(0.001+IF(AND(ISNUMBER('Council Entry'!AS$8),ISNUMBER('Council Entry'!AS$9)),MAX(MIN('Council Entry'!AS76,'Council Entry'!AS$9),'Council Entry'!AS$8),'Council Entry'!AS76)),IF('Council Entry'!AS$4="Exponential",EXP(IF(AND(ISNUMBER('Council Entry'!AS$8),ISNUMBER('Council Entry'!AS$9)),MAX(MIN('Council Entry'!AS76,'Council Entry'!AS$9),'Council Entry'!AS$8),'Council Entry'!AS76)),IF(AND(ISNUMBER('Council Entry'!AS$8),ISNUMBER('Council Entry'!AS$9)),MAX(MIN('Council Entry'!AS76,'Council Entry'!AS$9),'Council Entry'!AS$8),'Council Entry'!AS76))))-'Council Entry'!AS$5)/('Council Entry'!AS$6-'Council Entry'!AS$5)),1))),"No data"))</f>
        <v/>
      </c>
      <c r="AT76" s="13">
        <f>IF('Council Entry'!AT76="","",IFERROR(MAX(0,MIN(10,ROUND(IF('Council Entry'!AT$7="Decrease Risk",10-10*((IF('Council Entry'!AT$4="Logarithm",LN(0.001+IF(AND(ISNUMBER('Council Entry'!AT$8),ISNUMBER('Council Entry'!AT$9)),MAX(MIN('Council Entry'!AT76,'Council Entry'!AT$9),'Council Entry'!AT$8),'Council Entry'!AT76)),IF('Council Entry'!AT$4="Exponential",EXP(IF(AND(ISNUMBER('Council Entry'!AT$8),ISNUMBER('Council Entry'!AT$9)),MAX(MIN('Council Entry'!AT76,'Council Entry'!AT$9),'Council Entry'!AT$8),'Council Entry'!AT76)),IF(AND(ISNUMBER('Council Entry'!AT$8),ISNUMBER('Council Entry'!AT$9)),MAX(MIN('Council Entry'!AT76,'Council Entry'!AT$9),'Council Entry'!AT$8),'Council Entry'!AT76))))-'Council Entry'!AT$5)/('Council Entry'!AT$6-'Council Entry'!AT$5),10*((IF('Council Entry'!AT$4="Logarithm",LN(0.001+IF(AND(ISNUMBER('Council Entry'!AT$8),ISNUMBER('Council Entry'!AT$9)),MAX(MIN('Council Entry'!AT76,'Council Entry'!AT$9),'Council Entry'!AT$8),'Council Entry'!AT76)),IF('Council Entry'!AT$4="Exponential",EXP(IF(AND(ISNUMBER('Council Entry'!AT$8),ISNUMBER('Council Entry'!AT$9)),MAX(MIN('Council Entry'!AT76,'Council Entry'!AT$9),'Council Entry'!AT$8),'Council Entry'!AT76)),IF(AND(ISNUMBER('Council Entry'!AT$8),ISNUMBER('Council Entry'!AT$9)),MAX(MIN('Council Entry'!AT76,'Council Entry'!AT$9),'Council Entry'!AT$8),'Council Entry'!AT76))))-'Council Entry'!AT$5)/('Council Entry'!AT$6-'Council Entry'!AT$5)),1))),"No data"))</f>
        <v/>
      </c>
      <c r="AU76" s="13">
        <f>IF('Council Entry'!AU76="","",IFERROR(MAX(0,MIN(10,ROUND(IF('Council Entry'!AU$7="Decrease Risk",10-10*((IF('Council Entry'!AU$4="Logarithm",LN(0.001+IF(AND(ISNUMBER('Council Entry'!AU$8),ISNUMBER('Council Entry'!AU$9)),MAX(MIN('Council Entry'!AU76,'Council Entry'!AU$9),'Council Entry'!AU$8),'Council Entry'!AU76)),IF('Council Entry'!AU$4="Exponential",EXP(IF(AND(ISNUMBER('Council Entry'!AU$8),ISNUMBER('Council Entry'!AU$9)),MAX(MIN('Council Entry'!AU76,'Council Entry'!AU$9),'Council Entry'!AU$8),'Council Entry'!AU76)),IF(AND(ISNUMBER('Council Entry'!AU$8),ISNUMBER('Council Entry'!AU$9)),MAX(MIN('Council Entry'!AU76,'Council Entry'!AU$9),'Council Entry'!AU$8),'Council Entry'!AU76))))-'Council Entry'!AU$5)/('Council Entry'!AU$6-'Council Entry'!AU$5),10*((IF('Council Entry'!AU$4="Logarithm",LN(0.001+IF(AND(ISNUMBER('Council Entry'!AU$8),ISNUMBER('Council Entry'!AU$9)),MAX(MIN('Council Entry'!AU76,'Council Entry'!AU$9),'Council Entry'!AU$8),'Council Entry'!AU76)),IF('Council Entry'!AU$4="Exponential",EXP(IF(AND(ISNUMBER('Council Entry'!AU$8),ISNUMBER('Council Entry'!AU$9)),MAX(MIN('Council Entry'!AU76,'Council Entry'!AU$9),'Council Entry'!AU$8),'Council Entry'!AU76)),IF(AND(ISNUMBER('Council Entry'!AU$8),ISNUMBER('Council Entry'!AU$9)),MAX(MIN('Council Entry'!AU76,'Council Entry'!AU$9),'Council Entry'!AU$8),'Council Entry'!AU76))))-'Council Entry'!AU$5)/('Council Entry'!AU$6-'Council Entry'!AU$5)),1))),"No data"))</f>
        <v/>
      </c>
      <c r="AV76" s="13">
        <f>IF('Council Entry'!AV76="","",IFERROR(MAX(0,MIN(10,ROUND(IF('Council Entry'!AV$7="Decrease Risk",10-10*((IF('Council Entry'!AV$4="Logarithm",LN(0.001+IF(AND(ISNUMBER('Council Entry'!AV$8),ISNUMBER('Council Entry'!AV$9)),MAX(MIN('Council Entry'!AV76,'Council Entry'!AV$9),'Council Entry'!AV$8),'Council Entry'!AV76)),IF('Council Entry'!AV$4="Exponential",EXP(IF(AND(ISNUMBER('Council Entry'!AV$8),ISNUMBER('Council Entry'!AV$9)),MAX(MIN('Council Entry'!AV76,'Council Entry'!AV$9),'Council Entry'!AV$8),'Council Entry'!AV76)),IF(AND(ISNUMBER('Council Entry'!AV$8),ISNUMBER('Council Entry'!AV$9)),MAX(MIN('Council Entry'!AV76,'Council Entry'!AV$9),'Council Entry'!AV$8),'Council Entry'!AV76))))-'Council Entry'!AV$5)/('Council Entry'!AV$6-'Council Entry'!AV$5),10*((IF('Council Entry'!AV$4="Logarithm",LN(0.001+IF(AND(ISNUMBER('Council Entry'!AV$8),ISNUMBER('Council Entry'!AV$9)),MAX(MIN('Council Entry'!AV76,'Council Entry'!AV$9),'Council Entry'!AV$8),'Council Entry'!AV76)),IF('Council Entry'!AV$4="Exponential",EXP(IF(AND(ISNUMBER('Council Entry'!AV$8),ISNUMBER('Council Entry'!AV$9)),MAX(MIN('Council Entry'!AV76,'Council Entry'!AV$9),'Council Entry'!AV$8),'Council Entry'!AV76)),IF(AND(ISNUMBER('Council Entry'!AV$8),ISNUMBER('Council Entry'!AV$9)),MAX(MIN('Council Entry'!AV76,'Council Entry'!AV$9),'Council Entry'!AV$8),'Council Entry'!AV76))))-'Council Entry'!AV$5)/('Council Entry'!AV$6-'Council Entry'!AV$5)),1))),"No data"))</f>
        <v/>
      </c>
      <c r="AW76" s="13">
        <f>IF('Council Entry'!AW76="","",IFERROR(MAX(0,MIN(10,ROUND(IF('Council Entry'!AW$7="Decrease Risk",10-10*((IF('Council Entry'!AW$4="Logarithm",LN(0.001+IF(AND(ISNUMBER('Council Entry'!AW$8),ISNUMBER('Council Entry'!AW$9)),MAX(MIN('Council Entry'!AW76,'Council Entry'!AW$9),'Council Entry'!AW$8),'Council Entry'!AW76)),IF('Council Entry'!AW$4="Exponential",EXP(IF(AND(ISNUMBER('Council Entry'!AW$8),ISNUMBER('Council Entry'!AW$9)),MAX(MIN('Council Entry'!AW76,'Council Entry'!AW$9),'Council Entry'!AW$8),'Council Entry'!AW76)),IF(AND(ISNUMBER('Council Entry'!AW$8),ISNUMBER('Council Entry'!AW$9)),MAX(MIN('Council Entry'!AW76,'Council Entry'!AW$9),'Council Entry'!AW$8),'Council Entry'!AW76))))-'Council Entry'!AW$5)/('Council Entry'!AW$6-'Council Entry'!AW$5),10*((IF('Council Entry'!AW$4="Logarithm",LN(0.001+IF(AND(ISNUMBER('Council Entry'!AW$8),ISNUMBER('Council Entry'!AW$9)),MAX(MIN('Council Entry'!AW76,'Council Entry'!AW$9),'Council Entry'!AW$8),'Council Entry'!AW76)),IF('Council Entry'!AW$4="Exponential",EXP(IF(AND(ISNUMBER('Council Entry'!AW$8),ISNUMBER('Council Entry'!AW$9)),MAX(MIN('Council Entry'!AW76,'Council Entry'!AW$9),'Council Entry'!AW$8),'Council Entry'!AW76)),IF(AND(ISNUMBER('Council Entry'!AW$8),ISNUMBER('Council Entry'!AW$9)),MAX(MIN('Council Entry'!AW76,'Council Entry'!AW$9),'Council Entry'!AW$8),'Council Entry'!AW76))))-'Council Entry'!AW$5)/('Council Entry'!AW$6-'Council Entry'!AW$5)),1))),"No data"))</f>
        <v/>
      </c>
      <c r="AX76" s="13">
        <f>IF('Council Entry'!AX76="","",IFERROR(MAX(0,MIN(10,ROUND(IF('Council Entry'!AX$7="Decrease Risk",10-10*((IF('Council Entry'!AX$4="Logarithm",LN(0.001+IF(AND(ISNUMBER('Council Entry'!AX$8),ISNUMBER('Council Entry'!AX$9)),MAX(MIN('Council Entry'!AX76,'Council Entry'!AX$9),'Council Entry'!AX$8),'Council Entry'!AX76)),IF('Council Entry'!AX$4="Exponential",EXP(IF(AND(ISNUMBER('Council Entry'!AX$8),ISNUMBER('Council Entry'!AX$9)),MAX(MIN('Council Entry'!AX76,'Council Entry'!AX$9),'Council Entry'!AX$8),'Council Entry'!AX76)),IF(AND(ISNUMBER('Council Entry'!AX$8),ISNUMBER('Council Entry'!AX$9)),MAX(MIN('Council Entry'!AX76,'Council Entry'!AX$9),'Council Entry'!AX$8),'Council Entry'!AX76))))-'Council Entry'!AX$5)/('Council Entry'!AX$6-'Council Entry'!AX$5),10*((IF('Council Entry'!AX$4="Logarithm",LN(0.001+IF(AND(ISNUMBER('Council Entry'!AX$8),ISNUMBER('Council Entry'!AX$9)),MAX(MIN('Council Entry'!AX76,'Council Entry'!AX$9),'Council Entry'!AX$8),'Council Entry'!AX76)),IF('Council Entry'!AX$4="Exponential",EXP(IF(AND(ISNUMBER('Council Entry'!AX$8),ISNUMBER('Council Entry'!AX$9)),MAX(MIN('Council Entry'!AX76,'Council Entry'!AX$9),'Council Entry'!AX$8),'Council Entry'!AX76)),IF(AND(ISNUMBER('Council Entry'!AX$8),ISNUMBER('Council Entry'!AX$9)),MAX(MIN('Council Entry'!AX76,'Council Entry'!AX$9),'Council Entry'!AX$8),'Council Entry'!AX76))))-'Council Entry'!AX$5)/('Council Entry'!AX$6-'Council Entry'!AX$5)),1))),"No data"))</f>
        <v/>
      </c>
      <c r="AY76" s="13">
        <f>IF('Council Entry'!AY76="","",IFERROR(MAX(0,MIN(10,ROUND(IF('Council Entry'!AY$7="Decrease Risk",10-10*((IF('Council Entry'!AY$4="Logarithm",LN(0.001+IF(AND(ISNUMBER('Council Entry'!AY$8),ISNUMBER('Council Entry'!AY$9)),MAX(MIN('Council Entry'!AY76,'Council Entry'!AY$9),'Council Entry'!AY$8),'Council Entry'!AY76)),IF('Council Entry'!AY$4="Exponential",EXP(IF(AND(ISNUMBER('Council Entry'!AY$8),ISNUMBER('Council Entry'!AY$9)),MAX(MIN('Council Entry'!AY76,'Council Entry'!AY$9),'Council Entry'!AY$8),'Council Entry'!AY76)),IF(AND(ISNUMBER('Council Entry'!AY$8),ISNUMBER('Council Entry'!AY$9)),MAX(MIN('Council Entry'!AY76,'Council Entry'!AY$9),'Council Entry'!AY$8),'Council Entry'!AY76))))-'Council Entry'!AY$5)/('Council Entry'!AY$6-'Council Entry'!AY$5),10*((IF('Council Entry'!AY$4="Logarithm",LN(0.001+IF(AND(ISNUMBER('Council Entry'!AY$8),ISNUMBER('Council Entry'!AY$9)),MAX(MIN('Council Entry'!AY76,'Council Entry'!AY$9),'Council Entry'!AY$8),'Council Entry'!AY76)),IF('Council Entry'!AY$4="Exponential",EXP(IF(AND(ISNUMBER('Council Entry'!AY$8),ISNUMBER('Council Entry'!AY$9)),MAX(MIN('Council Entry'!AY76,'Council Entry'!AY$9),'Council Entry'!AY$8),'Council Entry'!AY76)),IF(AND(ISNUMBER('Council Entry'!AY$8),ISNUMBER('Council Entry'!AY$9)),MAX(MIN('Council Entry'!AY76,'Council Entry'!AY$9),'Council Entry'!AY$8),'Council Entry'!AY76))))-'Council Entry'!AY$5)/('Council Entry'!AY$6-'Council Entry'!AY$5)),1))),"No data"))</f>
        <v/>
      </c>
      <c r="AZ76" s="13">
        <f>IF('Council Entry'!AZ76="","",IFERROR(MAX(0,MIN(10,ROUND(IF('Council Entry'!AZ$7="Decrease Risk",10-10*((IF('Council Entry'!AZ$4="Logarithm",LN(0.001+IF(AND(ISNUMBER('Council Entry'!AZ$8),ISNUMBER('Council Entry'!AZ$9)),MAX(MIN('Council Entry'!AZ76,'Council Entry'!AZ$9),'Council Entry'!AZ$8),'Council Entry'!AZ76)),IF('Council Entry'!AZ$4="Exponential",EXP(IF(AND(ISNUMBER('Council Entry'!AZ$8),ISNUMBER('Council Entry'!AZ$9)),MAX(MIN('Council Entry'!AZ76,'Council Entry'!AZ$9),'Council Entry'!AZ$8),'Council Entry'!AZ76)),IF(AND(ISNUMBER('Council Entry'!AZ$8),ISNUMBER('Council Entry'!AZ$9)),MAX(MIN('Council Entry'!AZ76,'Council Entry'!AZ$9),'Council Entry'!AZ$8),'Council Entry'!AZ76))))-'Council Entry'!AZ$5)/('Council Entry'!AZ$6-'Council Entry'!AZ$5),10*((IF('Council Entry'!AZ$4="Logarithm",LN(0.001+IF(AND(ISNUMBER('Council Entry'!AZ$8),ISNUMBER('Council Entry'!AZ$9)),MAX(MIN('Council Entry'!AZ76,'Council Entry'!AZ$9),'Council Entry'!AZ$8),'Council Entry'!AZ76)),IF('Council Entry'!AZ$4="Exponential",EXP(IF(AND(ISNUMBER('Council Entry'!AZ$8),ISNUMBER('Council Entry'!AZ$9)),MAX(MIN('Council Entry'!AZ76,'Council Entry'!AZ$9),'Council Entry'!AZ$8),'Council Entry'!AZ76)),IF(AND(ISNUMBER('Council Entry'!AZ$8),ISNUMBER('Council Entry'!AZ$9)),MAX(MIN('Council Entry'!AZ76,'Council Entry'!AZ$9),'Council Entry'!AZ$8),'Council Entry'!AZ76))))-'Council Entry'!AZ$5)/('Council Entry'!AZ$6-'Council Entry'!AZ$5)),1))),"No data"))</f>
        <v/>
      </c>
      <c r="BA76" s="13">
        <f>IF('Council Entry'!BA76="","",IFERROR(MAX(0,MIN(10,ROUND(IF('Council Entry'!BA$7="Decrease Risk",10-10*((IF('Council Entry'!BA$4="Logarithm",LN(0.001+IF(AND(ISNUMBER('Council Entry'!BA$8),ISNUMBER('Council Entry'!BA$9)),MAX(MIN('Council Entry'!BA76,'Council Entry'!BA$9),'Council Entry'!BA$8),'Council Entry'!BA76)),IF('Council Entry'!BA$4="Exponential",EXP(IF(AND(ISNUMBER('Council Entry'!BA$8),ISNUMBER('Council Entry'!BA$9)),MAX(MIN('Council Entry'!BA76,'Council Entry'!BA$9),'Council Entry'!BA$8),'Council Entry'!BA76)),IF(AND(ISNUMBER('Council Entry'!BA$8),ISNUMBER('Council Entry'!BA$9)),MAX(MIN('Council Entry'!BA76,'Council Entry'!BA$9),'Council Entry'!BA$8),'Council Entry'!BA76))))-'Council Entry'!BA$5)/('Council Entry'!BA$6-'Council Entry'!BA$5),10*((IF('Council Entry'!BA$4="Logarithm",LN(0.001+IF(AND(ISNUMBER('Council Entry'!BA$8),ISNUMBER('Council Entry'!BA$9)),MAX(MIN('Council Entry'!BA76,'Council Entry'!BA$9),'Council Entry'!BA$8),'Council Entry'!BA76)),IF('Council Entry'!BA$4="Exponential",EXP(IF(AND(ISNUMBER('Council Entry'!BA$8),ISNUMBER('Council Entry'!BA$9)),MAX(MIN('Council Entry'!BA76,'Council Entry'!BA$9),'Council Entry'!BA$8),'Council Entry'!BA76)),IF(AND(ISNUMBER('Council Entry'!BA$8),ISNUMBER('Council Entry'!BA$9)),MAX(MIN('Council Entry'!BA76,'Council Entry'!BA$9),'Council Entry'!BA$8),'Council Entry'!BA76))))-'Council Entry'!BA$5)/('Council Entry'!BA$6-'Council Entry'!BA$5)),1))),"No data"))</f>
        <v/>
      </c>
      <c r="BB76" s="13">
        <f>IF('Council Entry'!BB76="","",IFERROR(MAX(0,MIN(10,ROUND(IF('Council Entry'!BB$7="Decrease Risk",10-10*((IF('Council Entry'!BB$4="Logarithm",LN(0.001+IF(AND(ISNUMBER('Council Entry'!BB$8),ISNUMBER('Council Entry'!BB$9)),MAX(MIN('Council Entry'!BB76,'Council Entry'!BB$9),'Council Entry'!BB$8),'Council Entry'!BB76)),IF('Council Entry'!BB$4="Exponential",EXP(IF(AND(ISNUMBER('Council Entry'!BB$8),ISNUMBER('Council Entry'!BB$9)),MAX(MIN('Council Entry'!BB76,'Council Entry'!BB$9),'Council Entry'!BB$8),'Council Entry'!BB76)),IF(AND(ISNUMBER('Council Entry'!BB$8),ISNUMBER('Council Entry'!BB$9)),MAX(MIN('Council Entry'!BB76,'Council Entry'!BB$9),'Council Entry'!BB$8),'Council Entry'!BB76))))-'Council Entry'!BB$5)/('Council Entry'!BB$6-'Council Entry'!BB$5),10*((IF('Council Entry'!BB$4="Logarithm",LN(0.001+IF(AND(ISNUMBER('Council Entry'!BB$8),ISNUMBER('Council Entry'!BB$9)),MAX(MIN('Council Entry'!BB76,'Council Entry'!BB$9),'Council Entry'!BB$8),'Council Entry'!BB76)),IF('Council Entry'!BB$4="Exponential",EXP(IF(AND(ISNUMBER('Council Entry'!BB$8),ISNUMBER('Council Entry'!BB$9)),MAX(MIN('Council Entry'!BB76,'Council Entry'!BB$9),'Council Entry'!BB$8),'Council Entry'!BB76)),IF(AND(ISNUMBER('Council Entry'!BB$8),ISNUMBER('Council Entry'!BB$9)),MAX(MIN('Council Entry'!BB76,'Council Entry'!BB$9),'Council Entry'!BB$8),'Council Entry'!BB76))))-'Council Entry'!BB$5)/('Council Entry'!BB$6-'Council Entry'!BB$5)),1))),"No data"))</f>
        <v/>
      </c>
      <c r="BC76" s="13">
        <f>IF('Council Entry'!BC76="","",IFERROR(MAX(0,MIN(10,ROUND(IF('Council Entry'!BC$7="Decrease Risk",10-10*((IF('Council Entry'!BC$4="Logarithm",LN(0.001+IF(AND(ISNUMBER('Council Entry'!BC$8),ISNUMBER('Council Entry'!BC$9)),MAX(MIN('Council Entry'!BC76,'Council Entry'!BC$9),'Council Entry'!BC$8),'Council Entry'!BC76)),IF('Council Entry'!BC$4="Exponential",EXP(IF(AND(ISNUMBER('Council Entry'!BC$8),ISNUMBER('Council Entry'!BC$9)),MAX(MIN('Council Entry'!BC76,'Council Entry'!BC$9),'Council Entry'!BC$8),'Council Entry'!BC76)),IF(AND(ISNUMBER('Council Entry'!BC$8),ISNUMBER('Council Entry'!BC$9)),MAX(MIN('Council Entry'!BC76,'Council Entry'!BC$9),'Council Entry'!BC$8),'Council Entry'!BC76))))-'Council Entry'!BC$5)/('Council Entry'!BC$6-'Council Entry'!BC$5),10*((IF('Council Entry'!BC$4="Logarithm",LN(0.001+IF(AND(ISNUMBER('Council Entry'!BC$8),ISNUMBER('Council Entry'!BC$9)),MAX(MIN('Council Entry'!BC76,'Council Entry'!BC$9),'Council Entry'!BC$8),'Council Entry'!BC76)),IF('Council Entry'!BC$4="Exponential",EXP(IF(AND(ISNUMBER('Council Entry'!BC$8),ISNUMBER('Council Entry'!BC$9)),MAX(MIN('Council Entry'!BC76,'Council Entry'!BC$9),'Council Entry'!BC$8),'Council Entry'!BC76)),IF(AND(ISNUMBER('Council Entry'!BC$8),ISNUMBER('Council Entry'!BC$9)),MAX(MIN('Council Entry'!BC76,'Council Entry'!BC$9),'Council Entry'!BC$8),'Council Entry'!BC76))))-'Council Entry'!BC$5)/('Council Entry'!BC$6-'Council Entry'!BC$5)),1))),"No data"))</f>
        <v/>
      </c>
      <c r="BD76" s="13">
        <f>IF('Council Entry'!BD76="","",IFERROR(MAX(0,MIN(10,ROUND(IF('Council Entry'!BD$7="Decrease Risk",10-10*((IF('Council Entry'!BD$4="Logarithm",LN(0.001+IF(AND(ISNUMBER('Council Entry'!BD$8),ISNUMBER('Council Entry'!BD$9)),MAX(MIN('Council Entry'!BD76,'Council Entry'!BD$9),'Council Entry'!BD$8),'Council Entry'!BD76)),IF('Council Entry'!BD$4="Exponential",EXP(IF(AND(ISNUMBER('Council Entry'!BD$8),ISNUMBER('Council Entry'!BD$9)),MAX(MIN('Council Entry'!BD76,'Council Entry'!BD$9),'Council Entry'!BD$8),'Council Entry'!BD76)),IF(AND(ISNUMBER('Council Entry'!BD$8),ISNUMBER('Council Entry'!BD$9)),MAX(MIN('Council Entry'!BD76,'Council Entry'!BD$9),'Council Entry'!BD$8),'Council Entry'!BD76))))-'Council Entry'!BD$5)/('Council Entry'!BD$6-'Council Entry'!BD$5),10*((IF('Council Entry'!BD$4="Logarithm",LN(0.001+IF(AND(ISNUMBER('Council Entry'!BD$8),ISNUMBER('Council Entry'!BD$9)),MAX(MIN('Council Entry'!BD76,'Council Entry'!BD$9),'Council Entry'!BD$8),'Council Entry'!BD76)),IF('Council Entry'!BD$4="Exponential",EXP(IF(AND(ISNUMBER('Council Entry'!BD$8),ISNUMBER('Council Entry'!BD$9)),MAX(MIN('Council Entry'!BD76,'Council Entry'!BD$9),'Council Entry'!BD$8),'Council Entry'!BD76)),IF(AND(ISNUMBER('Council Entry'!BD$8),ISNUMBER('Council Entry'!BD$9)),MAX(MIN('Council Entry'!BD76,'Council Entry'!BD$9),'Council Entry'!BD$8),'Council Entry'!BD76))))-'Council Entry'!BD$5)/('Council Entry'!BD$6-'Council Entry'!BD$5)),1))),"No data"))</f>
        <v/>
      </c>
    </row>
    <row r="77">
      <c r="A77" t="inlineStr">
        <is>
          <t>Kusini Unguja</t>
        </is>
      </c>
      <c r="B77" t="inlineStr">
        <is>
          <t>Kusini District</t>
        </is>
      </c>
      <c r="C77" t="inlineStr">
        <is>
          <t>C188</t>
        </is>
      </c>
      <c r="D77" s="13">
        <f>IF('Council Entry'!D77="","",IFERROR(MAX(0,MIN(10,ROUND(IF('Council Entry'!D$7="Decrease Risk",10-10*((IF('Council Entry'!D$4="Logarithm",LN(0.001+IF(AND(ISNUMBER('Council Entry'!D$8),ISNUMBER('Council Entry'!D$9)),MAX(MIN('Council Entry'!D77,'Council Entry'!D$9),'Council Entry'!D$8),'Council Entry'!D77)),IF('Council Entry'!D$4="Exponential",EXP(IF(AND(ISNUMBER('Council Entry'!D$8),ISNUMBER('Council Entry'!D$9)),MAX(MIN('Council Entry'!D77,'Council Entry'!D$9),'Council Entry'!D$8),'Council Entry'!D77)),IF(AND(ISNUMBER('Council Entry'!D$8),ISNUMBER('Council Entry'!D$9)),MAX(MIN('Council Entry'!D77,'Council Entry'!D$9),'Council Entry'!D$8),'Council Entry'!D77))))-'Council Entry'!D$5)/('Council Entry'!D$6-'Council Entry'!D$5),10*((IF('Council Entry'!D$4="Logarithm",LN(0.001+IF(AND(ISNUMBER('Council Entry'!D$8),ISNUMBER('Council Entry'!D$9)),MAX(MIN('Council Entry'!D77,'Council Entry'!D$9),'Council Entry'!D$8),'Council Entry'!D77)),IF('Council Entry'!D$4="Exponential",EXP(IF(AND(ISNUMBER('Council Entry'!D$8),ISNUMBER('Council Entry'!D$9)),MAX(MIN('Council Entry'!D77,'Council Entry'!D$9),'Council Entry'!D$8),'Council Entry'!D77)),IF(AND(ISNUMBER('Council Entry'!D$8),ISNUMBER('Council Entry'!D$9)),MAX(MIN('Council Entry'!D77,'Council Entry'!D$9),'Council Entry'!D$8),'Council Entry'!D77))))-'Council Entry'!D$5)/('Council Entry'!D$6-'Council Entry'!D$5)),1))),"No data"))</f>
        <v/>
      </c>
      <c r="E77" s="13">
        <f>IF('Council Entry'!E77="","",IFERROR(MAX(0,MIN(10,ROUND(IF('Council Entry'!E$7="Decrease Risk",10-10*((IF('Council Entry'!E$4="Logarithm",LN(0.001+IF(AND(ISNUMBER('Council Entry'!E$8),ISNUMBER('Council Entry'!E$9)),MAX(MIN('Council Entry'!E77,'Council Entry'!E$9),'Council Entry'!E$8),'Council Entry'!E77)),IF('Council Entry'!E$4="Exponential",EXP(IF(AND(ISNUMBER('Council Entry'!E$8),ISNUMBER('Council Entry'!E$9)),MAX(MIN('Council Entry'!E77,'Council Entry'!E$9),'Council Entry'!E$8),'Council Entry'!E77)),IF(AND(ISNUMBER('Council Entry'!E$8),ISNUMBER('Council Entry'!E$9)),MAX(MIN('Council Entry'!E77,'Council Entry'!E$9),'Council Entry'!E$8),'Council Entry'!E77))))-'Council Entry'!E$5)/('Council Entry'!E$6-'Council Entry'!E$5),10*((IF('Council Entry'!E$4="Logarithm",LN(0.001+IF(AND(ISNUMBER('Council Entry'!E$8),ISNUMBER('Council Entry'!E$9)),MAX(MIN('Council Entry'!E77,'Council Entry'!E$9),'Council Entry'!E$8),'Council Entry'!E77)),IF('Council Entry'!E$4="Exponential",EXP(IF(AND(ISNUMBER('Council Entry'!E$8),ISNUMBER('Council Entry'!E$9)),MAX(MIN('Council Entry'!E77,'Council Entry'!E$9),'Council Entry'!E$8),'Council Entry'!E77)),IF(AND(ISNUMBER('Council Entry'!E$8),ISNUMBER('Council Entry'!E$9)),MAX(MIN('Council Entry'!E77,'Council Entry'!E$9),'Council Entry'!E$8),'Council Entry'!E77))))-'Council Entry'!E$5)/('Council Entry'!E$6-'Council Entry'!E$5)),1))),"No data"))</f>
        <v/>
      </c>
      <c r="F77" s="13">
        <f>IF('Council Entry'!F77="","",IFERROR(MAX(0,MIN(10,ROUND(IF('Council Entry'!F$7="Decrease Risk",10-10*((IF('Council Entry'!F$4="Logarithm",LN(0.001+IF(AND(ISNUMBER('Council Entry'!F$8),ISNUMBER('Council Entry'!F$9)),MAX(MIN('Council Entry'!F77,'Council Entry'!F$9),'Council Entry'!F$8),'Council Entry'!F77)),IF('Council Entry'!F$4="Exponential",EXP(IF(AND(ISNUMBER('Council Entry'!F$8),ISNUMBER('Council Entry'!F$9)),MAX(MIN('Council Entry'!F77,'Council Entry'!F$9),'Council Entry'!F$8),'Council Entry'!F77)),IF(AND(ISNUMBER('Council Entry'!F$8),ISNUMBER('Council Entry'!F$9)),MAX(MIN('Council Entry'!F77,'Council Entry'!F$9),'Council Entry'!F$8),'Council Entry'!F77))))-'Council Entry'!F$5)/('Council Entry'!F$6-'Council Entry'!F$5),10*((IF('Council Entry'!F$4="Logarithm",LN(0.001+IF(AND(ISNUMBER('Council Entry'!F$8),ISNUMBER('Council Entry'!F$9)),MAX(MIN('Council Entry'!F77,'Council Entry'!F$9),'Council Entry'!F$8),'Council Entry'!F77)),IF('Council Entry'!F$4="Exponential",EXP(IF(AND(ISNUMBER('Council Entry'!F$8),ISNUMBER('Council Entry'!F$9)),MAX(MIN('Council Entry'!F77,'Council Entry'!F$9),'Council Entry'!F$8),'Council Entry'!F77)),IF(AND(ISNUMBER('Council Entry'!F$8),ISNUMBER('Council Entry'!F$9)),MAX(MIN('Council Entry'!F77,'Council Entry'!F$9),'Council Entry'!F$8),'Council Entry'!F77))))-'Council Entry'!F$5)/('Council Entry'!F$6-'Council Entry'!F$5)),1))),"No data"))</f>
        <v/>
      </c>
      <c r="G77" s="13">
        <f>IF('Council Entry'!G77="","",IFERROR(MAX(0,MIN(10,ROUND(IF('Council Entry'!G$7="Decrease Risk",10-10*((IF('Council Entry'!G$4="Logarithm",LN(0.001+IF(AND(ISNUMBER('Council Entry'!G$8),ISNUMBER('Council Entry'!G$9)),MAX(MIN('Council Entry'!G77,'Council Entry'!G$9),'Council Entry'!G$8),'Council Entry'!G77)),IF('Council Entry'!G$4="Exponential",EXP(IF(AND(ISNUMBER('Council Entry'!G$8),ISNUMBER('Council Entry'!G$9)),MAX(MIN('Council Entry'!G77,'Council Entry'!G$9),'Council Entry'!G$8),'Council Entry'!G77)),IF(AND(ISNUMBER('Council Entry'!G$8),ISNUMBER('Council Entry'!G$9)),MAX(MIN('Council Entry'!G77,'Council Entry'!G$9),'Council Entry'!G$8),'Council Entry'!G77))))-'Council Entry'!G$5)/('Council Entry'!G$6-'Council Entry'!G$5),10*((IF('Council Entry'!G$4="Logarithm",LN(0.001+IF(AND(ISNUMBER('Council Entry'!G$8),ISNUMBER('Council Entry'!G$9)),MAX(MIN('Council Entry'!G77,'Council Entry'!G$9),'Council Entry'!G$8),'Council Entry'!G77)),IF('Council Entry'!G$4="Exponential",EXP(IF(AND(ISNUMBER('Council Entry'!G$8),ISNUMBER('Council Entry'!G$9)),MAX(MIN('Council Entry'!G77,'Council Entry'!G$9),'Council Entry'!G$8),'Council Entry'!G77)),IF(AND(ISNUMBER('Council Entry'!G$8),ISNUMBER('Council Entry'!G$9)),MAX(MIN('Council Entry'!G77,'Council Entry'!G$9),'Council Entry'!G$8),'Council Entry'!G77))))-'Council Entry'!G$5)/('Council Entry'!G$6-'Council Entry'!G$5)),1))),"No data"))</f>
        <v/>
      </c>
      <c r="H77" s="13">
        <f>IF('Council Entry'!H77="","",IFERROR(MAX(0,MIN(10,ROUND(IF('Council Entry'!H$7="Decrease Risk",10-10*((IF('Council Entry'!H$4="Logarithm",LN(0.001+IF(AND(ISNUMBER('Council Entry'!H$8),ISNUMBER('Council Entry'!H$9)),MAX(MIN('Council Entry'!H77,'Council Entry'!H$9),'Council Entry'!H$8),'Council Entry'!H77)),IF('Council Entry'!H$4="Exponential",EXP(IF(AND(ISNUMBER('Council Entry'!H$8),ISNUMBER('Council Entry'!H$9)),MAX(MIN('Council Entry'!H77,'Council Entry'!H$9),'Council Entry'!H$8),'Council Entry'!H77)),IF(AND(ISNUMBER('Council Entry'!H$8),ISNUMBER('Council Entry'!H$9)),MAX(MIN('Council Entry'!H77,'Council Entry'!H$9),'Council Entry'!H$8),'Council Entry'!H77))))-'Council Entry'!H$5)/('Council Entry'!H$6-'Council Entry'!H$5),10*((IF('Council Entry'!H$4="Logarithm",LN(0.001+IF(AND(ISNUMBER('Council Entry'!H$8),ISNUMBER('Council Entry'!H$9)),MAX(MIN('Council Entry'!H77,'Council Entry'!H$9),'Council Entry'!H$8),'Council Entry'!H77)),IF('Council Entry'!H$4="Exponential",EXP(IF(AND(ISNUMBER('Council Entry'!H$8),ISNUMBER('Council Entry'!H$9)),MAX(MIN('Council Entry'!H77,'Council Entry'!H$9),'Council Entry'!H$8),'Council Entry'!H77)),IF(AND(ISNUMBER('Council Entry'!H$8),ISNUMBER('Council Entry'!H$9)),MAX(MIN('Council Entry'!H77,'Council Entry'!H$9),'Council Entry'!H$8),'Council Entry'!H77))))-'Council Entry'!H$5)/('Council Entry'!H$6-'Council Entry'!H$5)),1))),"No data"))</f>
        <v/>
      </c>
      <c r="I77" s="13">
        <f>IF('Council Entry'!I77="","",IFERROR(MAX(0,MIN(10,ROUND(IF('Council Entry'!I$7="Decrease Risk",10-10*((IF('Council Entry'!I$4="Logarithm",LN(0.001+IF(AND(ISNUMBER('Council Entry'!I$8),ISNUMBER('Council Entry'!I$9)),MAX(MIN('Council Entry'!I77,'Council Entry'!I$9),'Council Entry'!I$8),'Council Entry'!I77)),IF('Council Entry'!I$4="Exponential",EXP(IF(AND(ISNUMBER('Council Entry'!I$8),ISNUMBER('Council Entry'!I$9)),MAX(MIN('Council Entry'!I77,'Council Entry'!I$9),'Council Entry'!I$8),'Council Entry'!I77)),IF(AND(ISNUMBER('Council Entry'!I$8),ISNUMBER('Council Entry'!I$9)),MAX(MIN('Council Entry'!I77,'Council Entry'!I$9),'Council Entry'!I$8),'Council Entry'!I77))))-'Council Entry'!I$5)/('Council Entry'!I$6-'Council Entry'!I$5),10*((IF('Council Entry'!I$4="Logarithm",LN(0.001+IF(AND(ISNUMBER('Council Entry'!I$8),ISNUMBER('Council Entry'!I$9)),MAX(MIN('Council Entry'!I77,'Council Entry'!I$9),'Council Entry'!I$8),'Council Entry'!I77)),IF('Council Entry'!I$4="Exponential",EXP(IF(AND(ISNUMBER('Council Entry'!I$8),ISNUMBER('Council Entry'!I$9)),MAX(MIN('Council Entry'!I77,'Council Entry'!I$9),'Council Entry'!I$8),'Council Entry'!I77)),IF(AND(ISNUMBER('Council Entry'!I$8),ISNUMBER('Council Entry'!I$9)),MAX(MIN('Council Entry'!I77,'Council Entry'!I$9),'Council Entry'!I$8),'Council Entry'!I77))))-'Council Entry'!I$5)/('Council Entry'!I$6-'Council Entry'!I$5)),1))),"No data"))</f>
        <v/>
      </c>
      <c r="J77" s="13">
        <f>IF('Council Entry'!J77="","",IFERROR(MAX(0,MIN(10,ROUND(IF('Council Entry'!J$7="Decrease Risk",10-10*((IF('Council Entry'!J$4="Logarithm",LN(0.001+IF(AND(ISNUMBER('Council Entry'!J$8),ISNUMBER('Council Entry'!J$9)),MAX(MIN('Council Entry'!J77,'Council Entry'!J$9),'Council Entry'!J$8),'Council Entry'!J77)),IF('Council Entry'!J$4="Exponential",EXP(IF(AND(ISNUMBER('Council Entry'!J$8),ISNUMBER('Council Entry'!J$9)),MAX(MIN('Council Entry'!J77,'Council Entry'!J$9),'Council Entry'!J$8),'Council Entry'!J77)),IF(AND(ISNUMBER('Council Entry'!J$8),ISNUMBER('Council Entry'!J$9)),MAX(MIN('Council Entry'!J77,'Council Entry'!J$9),'Council Entry'!J$8),'Council Entry'!J77))))-'Council Entry'!J$5)/('Council Entry'!J$6-'Council Entry'!J$5),10*((IF('Council Entry'!J$4="Logarithm",LN(0.001+IF(AND(ISNUMBER('Council Entry'!J$8),ISNUMBER('Council Entry'!J$9)),MAX(MIN('Council Entry'!J77,'Council Entry'!J$9),'Council Entry'!J$8),'Council Entry'!J77)),IF('Council Entry'!J$4="Exponential",EXP(IF(AND(ISNUMBER('Council Entry'!J$8),ISNUMBER('Council Entry'!J$9)),MAX(MIN('Council Entry'!J77,'Council Entry'!J$9),'Council Entry'!J$8),'Council Entry'!J77)),IF(AND(ISNUMBER('Council Entry'!J$8),ISNUMBER('Council Entry'!J$9)),MAX(MIN('Council Entry'!J77,'Council Entry'!J$9),'Council Entry'!J$8),'Council Entry'!J77))))-'Council Entry'!J$5)/('Council Entry'!J$6-'Council Entry'!J$5)),1))),"No data"))</f>
        <v/>
      </c>
      <c r="K77" s="13">
        <f>IF('Council Entry'!K77="","",IFERROR(MAX(0,MIN(10,ROUND(IF('Council Entry'!K$7="Decrease Risk",10-10*((IF('Council Entry'!K$4="Logarithm",LN(0.001+IF(AND(ISNUMBER('Council Entry'!K$8),ISNUMBER('Council Entry'!K$9)),MAX(MIN('Council Entry'!K77,'Council Entry'!K$9),'Council Entry'!K$8),'Council Entry'!K77)),IF('Council Entry'!K$4="Exponential",EXP(IF(AND(ISNUMBER('Council Entry'!K$8),ISNUMBER('Council Entry'!K$9)),MAX(MIN('Council Entry'!K77,'Council Entry'!K$9),'Council Entry'!K$8),'Council Entry'!K77)),IF(AND(ISNUMBER('Council Entry'!K$8),ISNUMBER('Council Entry'!K$9)),MAX(MIN('Council Entry'!K77,'Council Entry'!K$9),'Council Entry'!K$8),'Council Entry'!K77))))-'Council Entry'!K$5)/('Council Entry'!K$6-'Council Entry'!K$5),10*((IF('Council Entry'!K$4="Logarithm",LN(0.001+IF(AND(ISNUMBER('Council Entry'!K$8),ISNUMBER('Council Entry'!K$9)),MAX(MIN('Council Entry'!K77,'Council Entry'!K$9),'Council Entry'!K$8),'Council Entry'!K77)),IF('Council Entry'!K$4="Exponential",EXP(IF(AND(ISNUMBER('Council Entry'!K$8),ISNUMBER('Council Entry'!K$9)),MAX(MIN('Council Entry'!K77,'Council Entry'!K$9),'Council Entry'!K$8),'Council Entry'!K77)),IF(AND(ISNUMBER('Council Entry'!K$8),ISNUMBER('Council Entry'!K$9)),MAX(MIN('Council Entry'!K77,'Council Entry'!K$9),'Council Entry'!K$8),'Council Entry'!K77))))-'Council Entry'!K$5)/('Council Entry'!K$6-'Council Entry'!K$5)),1))),"No data"))</f>
        <v/>
      </c>
      <c r="L77" s="13">
        <f>IF('Council Entry'!L77="","",IFERROR(MAX(0,MIN(10,ROUND(IF('Council Entry'!L$7="Decrease Risk",10-10*((IF('Council Entry'!L$4="Logarithm",LN(0.001+IF(AND(ISNUMBER('Council Entry'!L$8),ISNUMBER('Council Entry'!L$9)),MAX(MIN('Council Entry'!L77,'Council Entry'!L$9),'Council Entry'!L$8),'Council Entry'!L77)),IF('Council Entry'!L$4="Exponential",EXP(IF(AND(ISNUMBER('Council Entry'!L$8),ISNUMBER('Council Entry'!L$9)),MAX(MIN('Council Entry'!L77,'Council Entry'!L$9),'Council Entry'!L$8),'Council Entry'!L77)),IF(AND(ISNUMBER('Council Entry'!L$8),ISNUMBER('Council Entry'!L$9)),MAX(MIN('Council Entry'!L77,'Council Entry'!L$9),'Council Entry'!L$8),'Council Entry'!L77))))-'Council Entry'!L$5)/('Council Entry'!L$6-'Council Entry'!L$5),10*((IF('Council Entry'!L$4="Logarithm",LN(0.001+IF(AND(ISNUMBER('Council Entry'!L$8),ISNUMBER('Council Entry'!L$9)),MAX(MIN('Council Entry'!L77,'Council Entry'!L$9),'Council Entry'!L$8),'Council Entry'!L77)),IF('Council Entry'!L$4="Exponential",EXP(IF(AND(ISNUMBER('Council Entry'!L$8),ISNUMBER('Council Entry'!L$9)),MAX(MIN('Council Entry'!L77,'Council Entry'!L$9),'Council Entry'!L$8),'Council Entry'!L77)),IF(AND(ISNUMBER('Council Entry'!L$8),ISNUMBER('Council Entry'!L$9)),MAX(MIN('Council Entry'!L77,'Council Entry'!L$9),'Council Entry'!L$8),'Council Entry'!L77))))-'Council Entry'!L$5)/('Council Entry'!L$6-'Council Entry'!L$5)),1))),"No data"))</f>
        <v/>
      </c>
      <c r="M77" s="13">
        <f>IF('Council Entry'!M77="","",IFERROR(MAX(0,MIN(10,ROUND(IF('Council Entry'!M$7="Decrease Risk",10-10*((IF('Council Entry'!M$4="Logarithm",LN(0.001+IF(AND(ISNUMBER('Council Entry'!M$8),ISNUMBER('Council Entry'!M$9)),MAX(MIN('Council Entry'!M77,'Council Entry'!M$9),'Council Entry'!M$8),'Council Entry'!M77)),IF('Council Entry'!M$4="Exponential",EXP(IF(AND(ISNUMBER('Council Entry'!M$8),ISNUMBER('Council Entry'!M$9)),MAX(MIN('Council Entry'!M77,'Council Entry'!M$9),'Council Entry'!M$8),'Council Entry'!M77)),IF(AND(ISNUMBER('Council Entry'!M$8),ISNUMBER('Council Entry'!M$9)),MAX(MIN('Council Entry'!M77,'Council Entry'!M$9),'Council Entry'!M$8),'Council Entry'!M77))))-'Council Entry'!M$5)/('Council Entry'!M$6-'Council Entry'!M$5),10*((IF('Council Entry'!M$4="Logarithm",LN(0.001+IF(AND(ISNUMBER('Council Entry'!M$8),ISNUMBER('Council Entry'!M$9)),MAX(MIN('Council Entry'!M77,'Council Entry'!M$9),'Council Entry'!M$8),'Council Entry'!M77)),IF('Council Entry'!M$4="Exponential",EXP(IF(AND(ISNUMBER('Council Entry'!M$8),ISNUMBER('Council Entry'!M$9)),MAX(MIN('Council Entry'!M77,'Council Entry'!M$9),'Council Entry'!M$8),'Council Entry'!M77)),IF(AND(ISNUMBER('Council Entry'!M$8),ISNUMBER('Council Entry'!M$9)),MAX(MIN('Council Entry'!M77,'Council Entry'!M$9),'Council Entry'!M$8),'Council Entry'!M77))))-'Council Entry'!M$5)/('Council Entry'!M$6-'Council Entry'!M$5)),1))),"No data"))</f>
        <v/>
      </c>
      <c r="N77" s="13">
        <f>IF('Council Entry'!N77="","",IFERROR(MAX(0,MIN(10,ROUND(IF('Council Entry'!N$7="Decrease Risk",10-10*((IF('Council Entry'!N$4="Logarithm",LN(0.001+IF(AND(ISNUMBER('Council Entry'!N$8),ISNUMBER('Council Entry'!N$9)),MAX(MIN('Council Entry'!N77,'Council Entry'!N$9),'Council Entry'!N$8),'Council Entry'!N77)),IF('Council Entry'!N$4="Exponential",EXP(IF(AND(ISNUMBER('Council Entry'!N$8),ISNUMBER('Council Entry'!N$9)),MAX(MIN('Council Entry'!N77,'Council Entry'!N$9),'Council Entry'!N$8),'Council Entry'!N77)),IF(AND(ISNUMBER('Council Entry'!N$8),ISNUMBER('Council Entry'!N$9)),MAX(MIN('Council Entry'!N77,'Council Entry'!N$9),'Council Entry'!N$8),'Council Entry'!N77))))-'Council Entry'!N$5)/('Council Entry'!N$6-'Council Entry'!N$5),10*((IF('Council Entry'!N$4="Logarithm",LN(0.001+IF(AND(ISNUMBER('Council Entry'!N$8),ISNUMBER('Council Entry'!N$9)),MAX(MIN('Council Entry'!N77,'Council Entry'!N$9),'Council Entry'!N$8),'Council Entry'!N77)),IF('Council Entry'!N$4="Exponential",EXP(IF(AND(ISNUMBER('Council Entry'!N$8),ISNUMBER('Council Entry'!N$9)),MAX(MIN('Council Entry'!N77,'Council Entry'!N$9),'Council Entry'!N$8),'Council Entry'!N77)),IF(AND(ISNUMBER('Council Entry'!N$8),ISNUMBER('Council Entry'!N$9)),MAX(MIN('Council Entry'!N77,'Council Entry'!N$9),'Council Entry'!N$8),'Council Entry'!N77))))-'Council Entry'!N$5)/('Council Entry'!N$6-'Council Entry'!N$5)),1))),"No data"))</f>
        <v/>
      </c>
      <c r="O77" s="13">
        <f>IF('Council Entry'!O77="","",IFERROR(MAX(0,MIN(10,ROUND(IF('Council Entry'!O$7="Decrease Risk",10-10*((IF('Council Entry'!O$4="Logarithm",LN(0.001+IF(AND(ISNUMBER('Council Entry'!O$8),ISNUMBER('Council Entry'!O$9)),MAX(MIN('Council Entry'!O77,'Council Entry'!O$9),'Council Entry'!O$8),'Council Entry'!O77)),IF('Council Entry'!O$4="Exponential",EXP(IF(AND(ISNUMBER('Council Entry'!O$8),ISNUMBER('Council Entry'!O$9)),MAX(MIN('Council Entry'!O77,'Council Entry'!O$9),'Council Entry'!O$8),'Council Entry'!O77)),IF(AND(ISNUMBER('Council Entry'!O$8),ISNUMBER('Council Entry'!O$9)),MAX(MIN('Council Entry'!O77,'Council Entry'!O$9),'Council Entry'!O$8),'Council Entry'!O77))))-'Council Entry'!O$5)/('Council Entry'!O$6-'Council Entry'!O$5),10*((IF('Council Entry'!O$4="Logarithm",LN(0.001+IF(AND(ISNUMBER('Council Entry'!O$8),ISNUMBER('Council Entry'!O$9)),MAX(MIN('Council Entry'!O77,'Council Entry'!O$9),'Council Entry'!O$8),'Council Entry'!O77)),IF('Council Entry'!O$4="Exponential",EXP(IF(AND(ISNUMBER('Council Entry'!O$8),ISNUMBER('Council Entry'!O$9)),MAX(MIN('Council Entry'!O77,'Council Entry'!O$9),'Council Entry'!O$8),'Council Entry'!O77)),IF(AND(ISNUMBER('Council Entry'!O$8),ISNUMBER('Council Entry'!O$9)),MAX(MIN('Council Entry'!O77,'Council Entry'!O$9),'Council Entry'!O$8),'Council Entry'!O77))))-'Council Entry'!O$5)/('Council Entry'!O$6-'Council Entry'!O$5)),1))),"No data"))</f>
        <v/>
      </c>
      <c r="P77" s="13">
        <f>IF('Council Entry'!P77="","",IFERROR(MAX(0,MIN(10,ROUND(IF('Council Entry'!P$7="Decrease Risk",10-10*((IF('Council Entry'!P$4="Logarithm",LN(0.001+IF(AND(ISNUMBER('Council Entry'!P$8),ISNUMBER('Council Entry'!P$9)),MAX(MIN('Council Entry'!P77,'Council Entry'!P$9),'Council Entry'!P$8),'Council Entry'!P77)),IF('Council Entry'!P$4="Exponential",EXP(IF(AND(ISNUMBER('Council Entry'!P$8),ISNUMBER('Council Entry'!P$9)),MAX(MIN('Council Entry'!P77,'Council Entry'!P$9),'Council Entry'!P$8),'Council Entry'!P77)),IF(AND(ISNUMBER('Council Entry'!P$8),ISNUMBER('Council Entry'!P$9)),MAX(MIN('Council Entry'!P77,'Council Entry'!P$9),'Council Entry'!P$8),'Council Entry'!P77))))-'Council Entry'!P$5)/('Council Entry'!P$6-'Council Entry'!P$5),10*((IF('Council Entry'!P$4="Logarithm",LN(0.001+IF(AND(ISNUMBER('Council Entry'!P$8),ISNUMBER('Council Entry'!P$9)),MAX(MIN('Council Entry'!P77,'Council Entry'!P$9),'Council Entry'!P$8),'Council Entry'!P77)),IF('Council Entry'!P$4="Exponential",EXP(IF(AND(ISNUMBER('Council Entry'!P$8),ISNUMBER('Council Entry'!P$9)),MAX(MIN('Council Entry'!P77,'Council Entry'!P$9),'Council Entry'!P$8),'Council Entry'!P77)),IF(AND(ISNUMBER('Council Entry'!P$8),ISNUMBER('Council Entry'!P$9)),MAX(MIN('Council Entry'!P77,'Council Entry'!P$9),'Council Entry'!P$8),'Council Entry'!P77))))-'Council Entry'!P$5)/('Council Entry'!P$6-'Council Entry'!P$5)),1))),"No data"))</f>
        <v/>
      </c>
      <c r="Q77" s="13">
        <f>IF('Council Entry'!Q77="","",IFERROR(MAX(0,MIN(10,ROUND(IF('Council Entry'!Q$7="Decrease Risk",10-10*((IF('Council Entry'!Q$4="Logarithm",LN(0.001+IF(AND(ISNUMBER('Council Entry'!Q$8),ISNUMBER('Council Entry'!Q$9)),MAX(MIN('Council Entry'!Q77,'Council Entry'!Q$9),'Council Entry'!Q$8),'Council Entry'!Q77)),IF('Council Entry'!Q$4="Exponential",EXP(IF(AND(ISNUMBER('Council Entry'!Q$8),ISNUMBER('Council Entry'!Q$9)),MAX(MIN('Council Entry'!Q77,'Council Entry'!Q$9),'Council Entry'!Q$8),'Council Entry'!Q77)),IF(AND(ISNUMBER('Council Entry'!Q$8),ISNUMBER('Council Entry'!Q$9)),MAX(MIN('Council Entry'!Q77,'Council Entry'!Q$9),'Council Entry'!Q$8),'Council Entry'!Q77))))-'Council Entry'!Q$5)/('Council Entry'!Q$6-'Council Entry'!Q$5),10*((IF('Council Entry'!Q$4="Logarithm",LN(0.001+IF(AND(ISNUMBER('Council Entry'!Q$8),ISNUMBER('Council Entry'!Q$9)),MAX(MIN('Council Entry'!Q77,'Council Entry'!Q$9),'Council Entry'!Q$8),'Council Entry'!Q77)),IF('Council Entry'!Q$4="Exponential",EXP(IF(AND(ISNUMBER('Council Entry'!Q$8),ISNUMBER('Council Entry'!Q$9)),MAX(MIN('Council Entry'!Q77,'Council Entry'!Q$9),'Council Entry'!Q$8),'Council Entry'!Q77)),IF(AND(ISNUMBER('Council Entry'!Q$8),ISNUMBER('Council Entry'!Q$9)),MAX(MIN('Council Entry'!Q77,'Council Entry'!Q$9),'Council Entry'!Q$8),'Council Entry'!Q77))))-'Council Entry'!Q$5)/('Council Entry'!Q$6-'Council Entry'!Q$5)),1))),"No data"))</f>
        <v/>
      </c>
      <c r="R77" s="13">
        <f>IF('Council Entry'!R77="","",IFERROR(MAX(0,MIN(10,ROUND(IF('Council Entry'!R$7="Decrease Risk",10-10*((IF('Council Entry'!R$4="Logarithm",LN(0.001+IF(AND(ISNUMBER('Council Entry'!R$8),ISNUMBER('Council Entry'!R$9)),MAX(MIN('Council Entry'!R77,'Council Entry'!R$9),'Council Entry'!R$8),'Council Entry'!R77)),IF('Council Entry'!R$4="Exponential",EXP(IF(AND(ISNUMBER('Council Entry'!R$8),ISNUMBER('Council Entry'!R$9)),MAX(MIN('Council Entry'!R77,'Council Entry'!R$9),'Council Entry'!R$8),'Council Entry'!R77)),IF(AND(ISNUMBER('Council Entry'!R$8),ISNUMBER('Council Entry'!R$9)),MAX(MIN('Council Entry'!R77,'Council Entry'!R$9),'Council Entry'!R$8),'Council Entry'!R77))))-'Council Entry'!R$5)/('Council Entry'!R$6-'Council Entry'!R$5),10*((IF('Council Entry'!R$4="Logarithm",LN(0.001+IF(AND(ISNUMBER('Council Entry'!R$8),ISNUMBER('Council Entry'!R$9)),MAX(MIN('Council Entry'!R77,'Council Entry'!R$9),'Council Entry'!R$8),'Council Entry'!R77)),IF('Council Entry'!R$4="Exponential",EXP(IF(AND(ISNUMBER('Council Entry'!R$8),ISNUMBER('Council Entry'!R$9)),MAX(MIN('Council Entry'!R77,'Council Entry'!R$9),'Council Entry'!R$8),'Council Entry'!R77)),IF(AND(ISNUMBER('Council Entry'!R$8),ISNUMBER('Council Entry'!R$9)),MAX(MIN('Council Entry'!R77,'Council Entry'!R$9),'Council Entry'!R$8),'Council Entry'!R77))))-'Council Entry'!R$5)/('Council Entry'!R$6-'Council Entry'!R$5)),1))),"No data"))</f>
        <v/>
      </c>
      <c r="S77" s="13">
        <f>IF('Council Entry'!S77="","",IFERROR(MAX(0,MIN(10,ROUND(IF('Council Entry'!S$7="Decrease Risk",10-10*((IF('Council Entry'!S$4="Logarithm",LN(0.001+IF(AND(ISNUMBER('Council Entry'!S$8),ISNUMBER('Council Entry'!S$9)),MAX(MIN('Council Entry'!S77,'Council Entry'!S$9),'Council Entry'!S$8),'Council Entry'!S77)),IF('Council Entry'!S$4="Exponential",EXP(IF(AND(ISNUMBER('Council Entry'!S$8),ISNUMBER('Council Entry'!S$9)),MAX(MIN('Council Entry'!S77,'Council Entry'!S$9),'Council Entry'!S$8),'Council Entry'!S77)),IF(AND(ISNUMBER('Council Entry'!S$8),ISNUMBER('Council Entry'!S$9)),MAX(MIN('Council Entry'!S77,'Council Entry'!S$9),'Council Entry'!S$8),'Council Entry'!S77))))-'Council Entry'!S$5)/('Council Entry'!S$6-'Council Entry'!S$5),10*((IF('Council Entry'!S$4="Logarithm",LN(0.001+IF(AND(ISNUMBER('Council Entry'!S$8),ISNUMBER('Council Entry'!S$9)),MAX(MIN('Council Entry'!S77,'Council Entry'!S$9),'Council Entry'!S$8),'Council Entry'!S77)),IF('Council Entry'!S$4="Exponential",EXP(IF(AND(ISNUMBER('Council Entry'!S$8),ISNUMBER('Council Entry'!S$9)),MAX(MIN('Council Entry'!S77,'Council Entry'!S$9),'Council Entry'!S$8),'Council Entry'!S77)),IF(AND(ISNUMBER('Council Entry'!S$8),ISNUMBER('Council Entry'!S$9)),MAX(MIN('Council Entry'!S77,'Council Entry'!S$9),'Council Entry'!S$8),'Council Entry'!S77))))-'Council Entry'!S$5)/('Council Entry'!S$6-'Council Entry'!S$5)),1))),"No data"))</f>
        <v/>
      </c>
      <c r="T77" s="13">
        <f>IF('Council Entry'!T77="","",IFERROR(MAX(0,MIN(10,ROUND(IF('Council Entry'!T$7="Decrease Risk",10-10*((IF('Council Entry'!T$4="Logarithm",LN(0.001+IF(AND(ISNUMBER('Council Entry'!T$8),ISNUMBER('Council Entry'!T$9)),MAX(MIN('Council Entry'!T77,'Council Entry'!T$9),'Council Entry'!T$8),'Council Entry'!T77)),IF('Council Entry'!T$4="Exponential",EXP(IF(AND(ISNUMBER('Council Entry'!T$8),ISNUMBER('Council Entry'!T$9)),MAX(MIN('Council Entry'!T77,'Council Entry'!T$9),'Council Entry'!T$8),'Council Entry'!T77)),IF(AND(ISNUMBER('Council Entry'!T$8),ISNUMBER('Council Entry'!T$9)),MAX(MIN('Council Entry'!T77,'Council Entry'!T$9),'Council Entry'!T$8),'Council Entry'!T77))))-'Council Entry'!T$5)/('Council Entry'!T$6-'Council Entry'!T$5),10*((IF('Council Entry'!T$4="Logarithm",LN(0.001+IF(AND(ISNUMBER('Council Entry'!T$8),ISNUMBER('Council Entry'!T$9)),MAX(MIN('Council Entry'!T77,'Council Entry'!T$9),'Council Entry'!T$8),'Council Entry'!T77)),IF('Council Entry'!T$4="Exponential",EXP(IF(AND(ISNUMBER('Council Entry'!T$8),ISNUMBER('Council Entry'!T$9)),MAX(MIN('Council Entry'!T77,'Council Entry'!T$9),'Council Entry'!T$8),'Council Entry'!T77)),IF(AND(ISNUMBER('Council Entry'!T$8),ISNUMBER('Council Entry'!T$9)),MAX(MIN('Council Entry'!T77,'Council Entry'!T$9),'Council Entry'!T$8),'Council Entry'!T77))))-'Council Entry'!T$5)/('Council Entry'!T$6-'Council Entry'!T$5)),1))),"No data"))</f>
        <v/>
      </c>
      <c r="U77" s="13">
        <f>IF('Council Entry'!U77="","",IFERROR(MAX(0,MIN(10,ROUND(IF('Council Entry'!U$7="Decrease Risk",10-10*((IF('Council Entry'!U$4="Logarithm",LN(0.001+IF(AND(ISNUMBER('Council Entry'!U$8),ISNUMBER('Council Entry'!U$9)),MAX(MIN('Council Entry'!U77,'Council Entry'!U$9),'Council Entry'!U$8),'Council Entry'!U77)),IF('Council Entry'!U$4="Exponential",EXP(IF(AND(ISNUMBER('Council Entry'!U$8),ISNUMBER('Council Entry'!U$9)),MAX(MIN('Council Entry'!U77,'Council Entry'!U$9),'Council Entry'!U$8),'Council Entry'!U77)),IF(AND(ISNUMBER('Council Entry'!U$8),ISNUMBER('Council Entry'!U$9)),MAX(MIN('Council Entry'!U77,'Council Entry'!U$9),'Council Entry'!U$8),'Council Entry'!U77))))-'Council Entry'!U$5)/('Council Entry'!U$6-'Council Entry'!U$5),10*((IF('Council Entry'!U$4="Logarithm",LN(0.001+IF(AND(ISNUMBER('Council Entry'!U$8),ISNUMBER('Council Entry'!U$9)),MAX(MIN('Council Entry'!U77,'Council Entry'!U$9),'Council Entry'!U$8),'Council Entry'!U77)),IF('Council Entry'!U$4="Exponential",EXP(IF(AND(ISNUMBER('Council Entry'!U$8),ISNUMBER('Council Entry'!U$9)),MAX(MIN('Council Entry'!U77,'Council Entry'!U$9),'Council Entry'!U$8),'Council Entry'!U77)),IF(AND(ISNUMBER('Council Entry'!U$8),ISNUMBER('Council Entry'!U$9)),MAX(MIN('Council Entry'!U77,'Council Entry'!U$9),'Council Entry'!U$8),'Council Entry'!U77))))-'Council Entry'!U$5)/('Council Entry'!U$6-'Council Entry'!U$5)),1))),"No data"))</f>
        <v/>
      </c>
      <c r="V77" s="13">
        <f>IF('Council Entry'!V77="","",IFERROR(MAX(0,MIN(10,ROUND(IF('Council Entry'!V$7="Decrease Risk",10-10*((IF('Council Entry'!V$4="Logarithm",LN(0.001+IF(AND(ISNUMBER('Council Entry'!V$8),ISNUMBER('Council Entry'!V$9)),MAX(MIN('Council Entry'!V77,'Council Entry'!V$9),'Council Entry'!V$8),'Council Entry'!V77)),IF('Council Entry'!V$4="Exponential",EXP(IF(AND(ISNUMBER('Council Entry'!V$8),ISNUMBER('Council Entry'!V$9)),MAX(MIN('Council Entry'!V77,'Council Entry'!V$9),'Council Entry'!V$8),'Council Entry'!V77)),IF(AND(ISNUMBER('Council Entry'!V$8),ISNUMBER('Council Entry'!V$9)),MAX(MIN('Council Entry'!V77,'Council Entry'!V$9),'Council Entry'!V$8),'Council Entry'!V77))))-'Council Entry'!V$5)/('Council Entry'!V$6-'Council Entry'!V$5),10*((IF('Council Entry'!V$4="Logarithm",LN(0.001+IF(AND(ISNUMBER('Council Entry'!V$8),ISNUMBER('Council Entry'!V$9)),MAX(MIN('Council Entry'!V77,'Council Entry'!V$9),'Council Entry'!V$8),'Council Entry'!V77)),IF('Council Entry'!V$4="Exponential",EXP(IF(AND(ISNUMBER('Council Entry'!V$8),ISNUMBER('Council Entry'!V$9)),MAX(MIN('Council Entry'!V77,'Council Entry'!V$9),'Council Entry'!V$8),'Council Entry'!V77)),IF(AND(ISNUMBER('Council Entry'!V$8),ISNUMBER('Council Entry'!V$9)),MAX(MIN('Council Entry'!V77,'Council Entry'!V$9),'Council Entry'!V$8),'Council Entry'!V77))))-'Council Entry'!V$5)/('Council Entry'!V$6-'Council Entry'!V$5)),1))),"No data"))</f>
        <v/>
      </c>
      <c r="W77" s="13">
        <f>IF('Council Entry'!W77="","",IFERROR(MAX(0,MIN(10,ROUND(IF('Council Entry'!W$7="Decrease Risk",10-10*((IF('Council Entry'!W$4="Logarithm",LN(0.001+IF(AND(ISNUMBER('Council Entry'!W$8),ISNUMBER('Council Entry'!W$9)),MAX(MIN('Council Entry'!W77,'Council Entry'!W$9),'Council Entry'!W$8),'Council Entry'!W77)),IF('Council Entry'!W$4="Exponential",EXP(IF(AND(ISNUMBER('Council Entry'!W$8),ISNUMBER('Council Entry'!W$9)),MAX(MIN('Council Entry'!W77,'Council Entry'!W$9),'Council Entry'!W$8),'Council Entry'!W77)),IF(AND(ISNUMBER('Council Entry'!W$8),ISNUMBER('Council Entry'!W$9)),MAX(MIN('Council Entry'!W77,'Council Entry'!W$9),'Council Entry'!W$8),'Council Entry'!W77))))-'Council Entry'!W$5)/('Council Entry'!W$6-'Council Entry'!W$5),10*((IF('Council Entry'!W$4="Logarithm",LN(0.001+IF(AND(ISNUMBER('Council Entry'!W$8),ISNUMBER('Council Entry'!W$9)),MAX(MIN('Council Entry'!W77,'Council Entry'!W$9),'Council Entry'!W$8),'Council Entry'!W77)),IF('Council Entry'!W$4="Exponential",EXP(IF(AND(ISNUMBER('Council Entry'!W$8),ISNUMBER('Council Entry'!W$9)),MAX(MIN('Council Entry'!W77,'Council Entry'!W$9),'Council Entry'!W$8),'Council Entry'!W77)),IF(AND(ISNUMBER('Council Entry'!W$8),ISNUMBER('Council Entry'!W$9)),MAX(MIN('Council Entry'!W77,'Council Entry'!W$9),'Council Entry'!W$8),'Council Entry'!W77))))-'Council Entry'!W$5)/('Council Entry'!W$6-'Council Entry'!W$5)),1))),"No data"))</f>
        <v/>
      </c>
      <c r="X77" s="13">
        <f>IF('Council Entry'!X77="","",IFERROR(MAX(0,MIN(10,ROUND(IF('Council Entry'!X$7="Decrease Risk",10-10*((IF('Council Entry'!X$4="Logarithm",LN(0.001+IF(AND(ISNUMBER('Council Entry'!X$8),ISNUMBER('Council Entry'!X$9)),MAX(MIN('Council Entry'!X77,'Council Entry'!X$9),'Council Entry'!X$8),'Council Entry'!X77)),IF('Council Entry'!X$4="Exponential",EXP(IF(AND(ISNUMBER('Council Entry'!X$8),ISNUMBER('Council Entry'!X$9)),MAX(MIN('Council Entry'!X77,'Council Entry'!X$9),'Council Entry'!X$8),'Council Entry'!X77)),IF(AND(ISNUMBER('Council Entry'!X$8),ISNUMBER('Council Entry'!X$9)),MAX(MIN('Council Entry'!X77,'Council Entry'!X$9),'Council Entry'!X$8),'Council Entry'!X77))))-'Council Entry'!X$5)/('Council Entry'!X$6-'Council Entry'!X$5),10*((IF('Council Entry'!X$4="Logarithm",LN(0.001+IF(AND(ISNUMBER('Council Entry'!X$8),ISNUMBER('Council Entry'!X$9)),MAX(MIN('Council Entry'!X77,'Council Entry'!X$9),'Council Entry'!X$8),'Council Entry'!X77)),IF('Council Entry'!X$4="Exponential",EXP(IF(AND(ISNUMBER('Council Entry'!X$8),ISNUMBER('Council Entry'!X$9)),MAX(MIN('Council Entry'!X77,'Council Entry'!X$9),'Council Entry'!X$8),'Council Entry'!X77)),IF(AND(ISNUMBER('Council Entry'!X$8),ISNUMBER('Council Entry'!X$9)),MAX(MIN('Council Entry'!X77,'Council Entry'!X$9),'Council Entry'!X$8),'Council Entry'!X77))))-'Council Entry'!X$5)/('Council Entry'!X$6-'Council Entry'!X$5)),1))),"No data"))</f>
        <v/>
      </c>
      <c r="Y77" s="13">
        <f>IF('Council Entry'!Y77="","",IFERROR(MAX(0,MIN(10,ROUND(IF('Council Entry'!Y$7="Decrease Risk",10-10*((IF('Council Entry'!Y$4="Logarithm",LN(0.001+IF(AND(ISNUMBER('Council Entry'!Y$8),ISNUMBER('Council Entry'!Y$9)),MAX(MIN('Council Entry'!Y77,'Council Entry'!Y$9),'Council Entry'!Y$8),'Council Entry'!Y77)),IF('Council Entry'!Y$4="Exponential",EXP(IF(AND(ISNUMBER('Council Entry'!Y$8),ISNUMBER('Council Entry'!Y$9)),MAX(MIN('Council Entry'!Y77,'Council Entry'!Y$9),'Council Entry'!Y$8),'Council Entry'!Y77)),IF(AND(ISNUMBER('Council Entry'!Y$8),ISNUMBER('Council Entry'!Y$9)),MAX(MIN('Council Entry'!Y77,'Council Entry'!Y$9),'Council Entry'!Y$8),'Council Entry'!Y77))))-'Council Entry'!Y$5)/('Council Entry'!Y$6-'Council Entry'!Y$5),10*((IF('Council Entry'!Y$4="Logarithm",LN(0.001+IF(AND(ISNUMBER('Council Entry'!Y$8),ISNUMBER('Council Entry'!Y$9)),MAX(MIN('Council Entry'!Y77,'Council Entry'!Y$9),'Council Entry'!Y$8),'Council Entry'!Y77)),IF('Council Entry'!Y$4="Exponential",EXP(IF(AND(ISNUMBER('Council Entry'!Y$8),ISNUMBER('Council Entry'!Y$9)),MAX(MIN('Council Entry'!Y77,'Council Entry'!Y$9),'Council Entry'!Y$8),'Council Entry'!Y77)),IF(AND(ISNUMBER('Council Entry'!Y$8),ISNUMBER('Council Entry'!Y$9)),MAX(MIN('Council Entry'!Y77,'Council Entry'!Y$9),'Council Entry'!Y$8),'Council Entry'!Y77))))-'Council Entry'!Y$5)/('Council Entry'!Y$6-'Council Entry'!Y$5)),1))),"No data"))</f>
        <v/>
      </c>
      <c r="Z77" s="13">
        <f>IF('Council Entry'!Z77="","",IFERROR(MAX(0,MIN(10,ROUND(IF('Council Entry'!Z$7="Decrease Risk",10-10*((IF('Council Entry'!Z$4="Logarithm",LN(0.001+IF(AND(ISNUMBER('Council Entry'!Z$8),ISNUMBER('Council Entry'!Z$9)),MAX(MIN('Council Entry'!Z77,'Council Entry'!Z$9),'Council Entry'!Z$8),'Council Entry'!Z77)),IF('Council Entry'!Z$4="Exponential",EXP(IF(AND(ISNUMBER('Council Entry'!Z$8),ISNUMBER('Council Entry'!Z$9)),MAX(MIN('Council Entry'!Z77,'Council Entry'!Z$9),'Council Entry'!Z$8),'Council Entry'!Z77)),IF(AND(ISNUMBER('Council Entry'!Z$8),ISNUMBER('Council Entry'!Z$9)),MAX(MIN('Council Entry'!Z77,'Council Entry'!Z$9),'Council Entry'!Z$8),'Council Entry'!Z77))))-'Council Entry'!Z$5)/('Council Entry'!Z$6-'Council Entry'!Z$5),10*((IF('Council Entry'!Z$4="Logarithm",LN(0.001+IF(AND(ISNUMBER('Council Entry'!Z$8),ISNUMBER('Council Entry'!Z$9)),MAX(MIN('Council Entry'!Z77,'Council Entry'!Z$9),'Council Entry'!Z$8),'Council Entry'!Z77)),IF('Council Entry'!Z$4="Exponential",EXP(IF(AND(ISNUMBER('Council Entry'!Z$8),ISNUMBER('Council Entry'!Z$9)),MAX(MIN('Council Entry'!Z77,'Council Entry'!Z$9),'Council Entry'!Z$8),'Council Entry'!Z77)),IF(AND(ISNUMBER('Council Entry'!Z$8),ISNUMBER('Council Entry'!Z$9)),MAX(MIN('Council Entry'!Z77,'Council Entry'!Z$9),'Council Entry'!Z$8),'Council Entry'!Z77))))-'Council Entry'!Z$5)/('Council Entry'!Z$6-'Council Entry'!Z$5)),1))),"No data"))</f>
        <v/>
      </c>
      <c r="AA77" s="13">
        <f>IF('Council Entry'!AA77="","",IFERROR(MAX(0,MIN(10,ROUND(IF('Council Entry'!AA$7="Decrease Risk",10-10*((IF('Council Entry'!AA$4="Logarithm",LN(0.001+IF(AND(ISNUMBER('Council Entry'!AA$8),ISNUMBER('Council Entry'!AA$9)),MAX(MIN('Council Entry'!AA77,'Council Entry'!AA$9),'Council Entry'!AA$8),'Council Entry'!AA77)),IF('Council Entry'!AA$4="Exponential",EXP(IF(AND(ISNUMBER('Council Entry'!AA$8),ISNUMBER('Council Entry'!AA$9)),MAX(MIN('Council Entry'!AA77,'Council Entry'!AA$9),'Council Entry'!AA$8),'Council Entry'!AA77)),IF(AND(ISNUMBER('Council Entry'!AA$8),ISNUMBER('Council Entry'!AA$9)),MAX(MIN('Council Entry'!AA77,'Council Entry'!AA$9),'Council Entry'!AA$8),'Council Entry'!AA77))))-'Council Entry'!AA$5)/('Council Entry'!AA$6-'Council Entry'!AA$5),10*((IF('Council Entry'!AA$4="Logarithm",LN(0.001+IF(AND(ISNUMBER('Council Entry'!AA$8),ISNUMBER('Council Entry'!AA$9)),MAX(MIN('Council Entry'!AA77,'Council Entry'!AA$9),'Council Entry'!AA$8),'Council Entry'!AA77)),IF('Council Entry'!AA$4="Exponential",EXP(IF(AND(ISNUMBER('Council Entry'!AA$8),ISNUMBER('Council Entry'!AA$9)),MAX(MIN('Council Entry'!AA77,'Council Entry'!AA$9),'Council Entry'!AA$8),'Council Entry'!AA77)),IF(AND(ISNUMBER('Council Entry'!AA$8),ISNUMBER('Council Entry'!AA$9)),MAX(MIN('Council Entry'!AA77,'Council Entry'!AA$9),'Council Entry'!AA$8),'Council Entry'!AA77))))-'Council Entry'!AA$5)/('Council Entry'!AA$6-'Council Entry'!AA$5)),1))),"No data"))</f>
        <v/>
      </c>
      <c r="AB77" s="13">
        <f>IF('Council Entry'!AB77="","",IFERROR(MAX(0,MIN(10,ROUND(IF('Council Entry'!AB$7="Decrease Risk",10-10*((IF('Council Entry'!AB$4="Logarithm",LN(0.001+IF(AND(ISNUMBER('Council Entry'!AB$8),ISNUMBER('Council Entry'!AB$9)),MAX(MIN('Council Entry'!AB77,'Council Entry'!AB$9),'Council Entry'!AB$8),'Council Entry'!AB77)),IF('Council Entry'!AB$4="Exponential",EXP(IF(AND(ISNUMBER('Council Entry'!AB$8),ISNUMBER('Council Entry'!AB$9)),MAX(MIN('Council Entry'!AB77,'Council Entry'!AB$9),'Council Entry'!AB$8),'Council Entry'!AB77)),IF(AND(ISNUMBER('Council Entry'!AB$8),ISNUMBER('Council Entry'!AB$9)),MAX(MIN('Council Entry'!AB77,'Council Entry'!AB$9),'Council Entry'!AB$8),'Council Entry'!AB77))))-'Council Entry'!AB$5)/('Council Entry'!AB$6-'Council Entry'!AB$5),10*((IF('Council Entry'!AB$4="Logarithm",LN(0.001+IF(AND(ISNUMBER('Council Entry'!AB$8),ISNUMBER('Council Entry'!AB$9)),MAX(MIN('Council Entry'!AB77,'Council Entry'!AB$9),'Council Entry'!AB$8),'Council Entry'!AB77)),IF('Council Entry'!AB$4="Exponential",EXP(IF(AND(ISNUMBER('Council Entry'!AB$8),ISNUMBER('Council Entry'!AB$9)),MAX(MIN('Council Entry'!AB77,'Council Entry'!AB$9),'Council Entry'!AB$8),'Council Entry'!AB77)),IF(AND(ISNUMBER('Council Entry'!AB$8),ISNUMBER('Council Entry'!AB$9)),MAX(MIN('Council Entry'!AB77,'Council Entry'!AB$9),'Council Entry'!AB$8),'Council Entry'!AB77))))-'Council Entry'!AB$5)/('Council Entry'!AB$6-'Council Entry'!AB$5)),1))),"No data"))</f>
        <v/>
      </c>
      <c r="AC77" s="13">
        <f>IF('Council Entry'!AC77="","",IFERROR(MAX(0,MIN(10,ROUND(IF('Council Entry'!AC$7="Decrease Risk",10-10*((IF('Council Entry'!AC$4="Logarithm",LN(0.001+IF(AND(ISNUMBER('Council Entry'!AC$8),ISNUMBER('Council Entry'!AC$9)),MAX(MIN('Council Entry'!AC77,'Council Entry'!AC$9),'Council Entry'!AC$8),'Council Entry'!AC77)),IF('Council Entry'!AC$4="Exponential",EXP(IF(AND(ISNUMBER('Council Entry'!AC$8),ISNUMBER('Council Entry'!AC$9)),MAX(MIN('Council Entry'!AC77,'Council Entry'!AC$9),'Council Entry'!AC$8),'Council Entry'!AC77)),IF(AND(ISNUMBER('Council Entry'!AC$8),ISNUMBER('Council Entry'!AC$9)),MAX(MIN('Council Entry'!AC77,'Council Entry'!AC$9),'Council Entry'!AC$8),'Council Entry'!AC77))))-'Council Entry'!AC$5)/('Council Entry'!AC$6-'Council Entry'!AC$5),10*((IF('Council Entry'!AC$4="Logarithm",LN(0.001+IF(AND(ISNUMBER('Council Entry'!AC$8),ISNUMBER('Council Entry'!AC$9)),MAX(MIN('Council Entry'!AC77,'Council Entry'!AC$9),'Council Entry'!AC$8),'Council Entry'!AC77)),IF('Council Entry'!AC$4="Exponential",EXP(IF(AND(ISNUMBER('Council Entry'!AC$8),ISNUMBER('Council Entry'!AC$9)),MAX(MIN('Council Entry'!AC77,'Council Entry'!AC$9),'Council Entry'!AC$8),'Council Entry'!AC77)),IF(AND(ISNUMBER('Council Entry'!AC$8),ISNUMBER('Council Entry'!AC$9)),MAX(MIN('Council Entry'!AC77,'Council Entry'!AC$9),'Council Entry'!AC$8),'Council Entry'!AC77))))-'Council Entry'!AC$5)/('Council Entry'!AC$6-'Council Entry'!AC$5)),1))),"No data"))</f>
        <v/>
      </c>
      <c r="AD77" s="13">
        <f>IF('Council Entry'!AD77="","",IFERROR(MAX(0,MIN(10,ROUND(IF('Council Entry'!AD$7="Decrease Risk",10-10*((IF('Council Entry'!AD$4="Logarithm",LN(0.001+IF(AND(ISNUMBER('Council Entry'!AD$8),ISNUMBER('Council Entry'!AD$9)),MAX(MIN('Council Entry'!AD77,'Council Entry'!AD$9),'Council Entry'!AD$8),'Council Entry'!AD77)),IF('Council Entry'!AD$4="Exponential",EXP(IF(AND(ISNUMBER('Council Entry'!AD$8),ISNUMBER('Council Entry'!AD$9)),MAX(MIN('Council Entry'!AD77,'Council Entry'!AD$9),'Council Entry'!AD$8),'Council Entry'!AD77)),IF(AND(ISNUMBER('Council Entry'!AD$8),ISNUMBER('Council Entry'!AD$9)),MAX(MIN('Council Entry'!AD77,'Council Entry'!AD$9),'Council Entry'!AD$8),'Council Entry'!AD77))))-'Council Entry'!AD$5)/('Council Entry'!AD$6-'Council Entry'!AD$5),10*((IF('Council Entry'!AD$4="Logarithm",LN(0.001+IF(AND(ISNUMBER('Council Entry'!AD$8),ISNUMBER('Council Entry'!AD$9)),MAX(MIN('Council Entry'!AD77,'Council Entry'!AD$9),'Council Entry'!AD$8),'Council Entry'!AD77)),IF('Council Entry'!AD$4="Exponential",EXP(IF(AND(ISNUMBER('Council Entry'!AD$8),ISNUMBER('Council Entry'!AD$9)),MAX(MIN('Council Entry'!AD77,'Council Entry'!AD$9),'Council Entry'!AD$8),'Council Entry'!AD77)),IF(AND(ISNUMBER('Council Entry'!AD$8),ISNUMBER('Council Entry'!AD$9)),MAX(MIN('Council Entry'!AD77,'Council Entry'!AD$9),'Council Entry'!AD$8),'Council Entry'!AD77))))-'Council Entry'!AD$5)/('Council Entry'!AD$6-'Council Entry'!AD$5)),1))),"No data"))</f>
        <v/>
      </c>
      <c r="AE77" s="13">
        <f>IF('Council Entry'!AE77="","",IFERROR(MAX(0,MIN(10,ROUND(IF('Council Entry'!AE$7="Decrease Risk",10-10*((IF('Council Entry'!AE$4="Logarithm",LN(0.001+IF(AND(ISNUMBER('Council Entry'!AE$8),ISNUMBER('Council Entry'!AE$9)),MAX(MIN('Council Entry'!AE77,'Council Entry'!AE$9),'Council Entry'!AE$8),'Council Entry'!AE77)),IF('Council Entry'!AE$4="Exponential",EXP(IF(AND(ISNUMBER('Council Entry'!AE$8),ISNUMBER('Council Entry'!AE$9)),MAX(MIN('Council Entry'!AE77,'Council Entry'!AE$9),'Council Entry'!AE$8),'Council Entry'!AE77)),IF(AND(ISNUMBER('Council Entry'!AE$8),ISNUMBER('Council Entry'!AE$9)),MAX(MIN('Council Entry'!AE77,'Council Entry'!AE$9),'Council Entry'!AE$8),'Council Entry'!AE77))))-'Council Entry'!AE$5)/('Council Entry'!AE$6-'Council Entry'!AE$5),10*((IF('Council Entry'!AE$4="Logarithm",LN(0.001+IF(AND(ISNUMBER('Council Entry'!AE$8),ISNUMBER('Council Entry'!AE$9)),MAX(MIN('Council Entry'!AE77,'Council Entry'!AE$9),'Council Entry'!AE$8),'Council Entry'!AE77)),IF('Council Entry'!AE$4="Exponential",EXP(IF(AND(ISNUMBER('Council Entry'!AE$8),ISNUMBER('Council Entry'!AE$9)),MAX(MIN('Council Entry'!AE77,'Council Entry'!AE$9),'Council Entry'!AE$8),'Council Entry'!AE77)),IF(AND(ISNUMBER('Council Entry'!AE$8),ISNUMBER('Council Entry'!AE$9)),MAX(MIN('Council Entry'!AE77,'Council Entry'!AE$9),'Council Entry'!AE$8),'Council Entry'!AE77))))-'Council Entry'!AE$5)/('Council Entry'!AE$6-'Council Entry'!AE$5)),1))),"No data"))</f>
        <v/>
      </c>
      <c r="AF77" s="13">
        <f>IF('Council Entry'!AF77="","",IFERROR(MAX(0,MIN(10,ROUND(IF('Council Entry'!AF$7="Decrease Risk",10-10*((IF('Council Entry'!AF$4="Logarithm",LN(0.001+IF(AND(ISNUMBER('Council Entry'!AF$8),ISNUMBER('Council Entry'!AF$9)),MAX(MIN('Council Entry'!AF77,'Council Entry'!AF$9),'Council Entry'!AF$8),'Council Entry'!AF77)),IF('Council Entry'!AF$4="Exponential",EXP(IF(AND(ISNUMBER('Council Entry'!AF$8),ISNUMBER('Council Entry'!AF$9)),MAX(MIN('Council Entry'!AF77,'Council Entry'!AF$9),'Council Entry'!AF$8),'Council Entry'!AF77)),IF(AND(ISNUMBER('Council Entry'!AF$8),ISNUMBER('Council Entry'!AF$9)),MAX(MIN('Council Entry'!AF77,'Council Entry'!AF$9),'Council Entry'!AF$8),'Council Entry'!AF77))))-'Council Entry'!AF$5)/('Council Entry'!AF$6-'Council Entry'!AF$5),10*((IF('Council Entry'!AF$4="Logarithm",LN(0.001+IF(AND(ISNUMBER('Council Entry'!AF$8),ISNUMBER('Council Entry'!AF$9)),MAX(MIN('Council Entry'!AF77,'Council Entry'!AF$9),'Council Entry'!AF$8),'Council Entry'!AF77)),IF('Council Entry'!AF$4="Exponential",EXP(IF(AND(ISNUMBER('Council Entry'!AF$8),ISNUMBER('Council Entry'!AF$9)),MAX(MIN('Council Entry'!AF77,'Council Entry'!AF$9),'Council Entry'!AF$8),'Council Entry'!AF77)),IF(AND(ISNUMBER('Council Entry'!AF$8),ISNUMBER('Council Entry'!AF$9)),MAX(MIN('Council Entry'!AF77,'Council Entry'!AF$9),'Council Entry'!AF$8),'Council Entry'!AF77))))-'Council Entry'!AF$5)/('Council Entry'!AF$6-'Council Entry'!AF$5)),1))),"No data"))</f>
        <v/>
      </c>
      <c r="AG77" s="13">
        <f>IF('Council Entry'!AG77="","",IFERROR(MAX(0,MIN(10,ROUND(IF('Council Entry'!AG$7="Decrease Risk",10-10*((IF('Council Entry'!AG$4="Logarithm",LN(0.001+IF(AND(ISNUMBER('Council Entry'!AG$8),ISNUMBER('Council Entry'!AG$9)),MAX(MIN('Council Entry'!AG77,'Council Entry'!AG$9),'Council Entry'!AG$8),'Council Entry'!AG77)),IF('Council Entry'!AG$4="Exponential",EXP(IF(AND(ISNUMBER('Council Entry'!AG$8),ISNUMBER('Council Entry'!AG$9)),MAX(MIN('Council Entry'!AG77,'Council Entry'!AG$9),'Council Entry'!AG$8),'Council Entry'!AG77)),IF(AND(ISNUMBER('Council Entry'!AG$8),ISNUMBER('Council Entry'!AG$9)),MAX(MIN('Council Entry'!AG77,'Council Entry'!AG$9),'Council Entry'!AG$8),'Council Entry'!AG77))))-'Council Entry'!AG$5)/('Council Entry'!AG$6-'Council Entry'!AG$5),10*((IF('Council Entry'!AG$4="Logarithm",LN(0.001+IF(AND(ISNUMBER('Council Entry'!AG$8),ISNUMBER('Council Entry'!AG$9)),MAX(MIN('Council Entry'!AG77,'Council Entry'!AG$9),'Council Entry'!AG$8),'Council Entry'!AG77)),IF('Council Entry'!AG$4="Exponential",EXP(IF(AND(ISNUMBER('Council Entry'!AG$8),ISNUMBER('Council Entry'!AG$9)),MAX(MIN('Council Entry'!AG77,'Council Entry'!AG$9),'Council Entry'!AG$8),'Council Entry'!AG77)),IF(AND(ISNUMBER('Council Entry'!AG$8),ISNUMBER('Council Entry'!AG$9)),MAX(MIN('Council Entry'!AG77,'Council Entry'!AG$9),'Council Entry'!AG$8),'Council Entry'!AG77))))-'Council Entry'!AG$5)/('Council Entry'!AG$6-'Council Entry'!AG$5)),1))),"No data"))</f>
        <v/>
      </c>
      <c r="AH77" s="13">
        <f>IF('Council Entry'!AH77="","",IFERROR(MAX(0,MIN(10,ROUND(IF('Council Entry'!AH$7="Decrease Risk",10-10*((IF('Council Entry'!AH$4="Logarithm",LN(0.001+IF(AND(ISNUMBER('Council Entry'!AH$8),ISNUMBER('Council Entry'!AH$9)),MAX(MIN('Council Entry'!AH77,'Council Entry'!AH$9),'Council Entry'!AH$8),'Council Entry'!AH77)),IF('Council Entry'!AH$4="Exponential",EXP(IF(AND(ISNUMBER('Council Entry'!AH$8),ISNUMBER('Council Entry'!AH$9)),MAX(MIN('Council Entry'!AH77,'Council Entry'!AH$9),'Council Entry'!AH$8),'Council Entry'!AH77)),IF(AND(ISNUMBER('Council Entry'!AH$8),ISNUMBER('Council Entry'!AH$9)),MAX(MIN('Council Entry'!AH77,'Council Entry'!AH$9),'Council Entry'!AH$8),'Council Entry'!AH77))))-'Council Entry'!AH$5)/('Council Entry'!AH$6-'Council Entry'!AH$5),10*((IF('Council Entry'!AH$4="Logarithm",LN(0.001+IF(AND(ISNUMBER('Council Entry'!AH$8),ISNUMBER('Council Entry'!AH$9)),MAX(MIN('Council Entry'!AH77,'Council Entry'!AH$9),'Council Entry'!AH$8),'Council Entry'!AH77)),IF('Council Entry'!AH$4="Exponential",EXP(IF(AND(ISNUMBER('Council Entry'!AH$8),ISNUMBER('Council Entry'!AH$9)),MAX(MIN('Council Entry'!AH77,'Council Entry'!AH$9),'Council Entry'!AH$8),'Council Entry'!AH77)),IF(AND(ISNUMBER('Council Entry'!AH$8),ISNUMBER('Council Entry'!AH$9)),MAX(MIN('Council Entry'!AH77,'Council Entry'!AH$9),'Council Entry'!AH$8),'Council Entry'!AH77))))-'Council Entry'!AH$5)/('Council Entry'!AH$6-'Council Entry'!AH$5)),1))),"No data"))</f>
        <v/>
      </c>
      <c r="AI77" s="13">
        <f>IF('Council Entry'!AI77="","",IFERROR(MAX(0,MIN(10,ROUND(IF('Council Entry'!AI$7="Decrease Risk",10-10*((IF('Council Entry'!AI$4="Logarithm",LN(0.001+IF(AND(ISNUMBER('Council Entry'!AI$8),ISNUMBER('Council Entry'!AI$9)),MAX(MIN('Council Entry'!AI77,'Council Entry'!AI$9),'Council Entry'!AI$8),'Council Entry'!AI77)),IF('Council Entry'!AI$4="Exponential",EXP(IF(AND(ISNUMBER('Council Entry'!AI$8),ISNUMBER('Council Entry'!AI$9)),MAX(MIN('Council Entry'!AI77,'Council Entry'!AI$9),'Council Entry'!AI$8),'Council Entry'!AI77)),IF(AND(ISNUMBER('Council Entry'!AI$8),ISNUMBER('Council Entry'!AI$9)),MAX(MIN('Council Entry'!AI77,'Council Entry'!AI$9),'Council Entry'!AI$8),'Council Entry'!AI77))))-'Council Entry'!AI$5)/('Council Entry'!AI$6-'Council Entry'!AI$5),10*((IF('Council Entry'!AI$4="Logarithm",LN(0.001+IF(AND(ISNUMBER('Council Entry'!AI$8),ISNUMBER('Council Entry'!AI$9)),MAX(MIN('Council Entry'!AI77,'Council Entry'!AI$9),'Council Entry'!AI$8),'Council Entry'!AI77)),IF('Council Entry'!AI$4="Exponential",EXP(IF(AND(ISNUMBER('Council Entry'!AI$8),ISNUMBER('Council Entry'!AI$9)),MAX(MIN('Council Entry'!AI77,'Council Entry'!AI$9),'Council Entry'!AI$8),'Council Entry'!AI77)),IF(AND(ISNUMBER('Council Entry'!AI$8),ISNUMBER('Council Entry'!AI$9)),MAX(MIN('Council Entry'!AI77,'Council Entry'!AI$9),'Council Entry'!AI$8),'Council Entry'!AI77))))-'Council Entry'!AI$5)/('Council Entry'!AI$6-'Council Entry'!AI$5)),1))),"No data"))</f>
        <v/>
      </c>
      <c r="AJ77" s="13">
        <f>IF('Council Entry'!AJ77="","",IFERROR(MAX(0,MIN(10,ROUND(IF('Council Entry'!AJ$7="Decrease Risk",10-10*((IF('Council Entry'!AJ$4="Logarithm",LN(0.001+IF(AND(ISNUMBER('Council Entry'!AJ$8),ISNUMBER('Council Entry'!AJ$9)),MAX(MIN('Council Entry'!AJ77,'Council Entry'!AJ$9),'Council Entry'!AJ$8),'Council Entry'!AJ77)),IF('Council Entry'!AJ$4="Exponential",EXP(IF(AND(ISNUMBER('Council Entry'!AJ$8),ISNUMBER('Council Entry'!AJ$9)),MAX(MIN('Council Entry'!AJ77,'Council Entry'!AJ$9),'Council Entry'!AJ$8),'Council Entry'!AJ77)),IF(AND(ISNUMBER('Council Entry'!AJ$8),ISNUMBER('Council Entry'!AJ$9)),MAX(MIN('Council Entry'!AJ77,'Council Entry'!AJ$9),'Council Entry'!AJ$8),'Council Entry'!AJ77))))-'Council Entry'!AJ$5)/('Council Entry'!AJ$6-'Council Entry'!AJ$5),10*((IF('Council Entry'!AJ$4="Logarithm",LN(0.001+IF(AND(ISNUMBER('Council Entry'!AJ$8),ISNUMBER('Council Entry'!AJ$9)),MAX(MIN('Council Entry'!AJ77,'Council Entry'!AJ$9),'Council Entry'!AJ$8),'Council Entry'!AJ77)),IF('Council Entry'!AJ$4="Exponential",EXP(IF(AND(ISNUMBER('Council Entry'!AJ$8),ISNUMBER('Council Entry'!AJ$9)),MAX(MIN('Council Entry'!AJ77,'Council Entry'!AJ$9),'Council Entry'!AJ$8),'Council Entry'!AJ77)),IF(AND(ISNUMBER('Council Entry'!AJ$8),ISNUMBER('Council Entry'!AJ$9)),MAX(MIN('Council Entry'!AJ77,'Council Entry'!AJ$9),'Council Entry'!AJ$8),'Council Entry'!AJ77))))-'Council Entry'!AJ$5)/('Council Entry'!AJ$6-'Council Entry'!AJ$5)),1))),"No data"))</f>
        <v/>
      </c>
      <c r="AK77" s="13">
        <f>IF('Council Entry'!AK77="","",IFERROR(MAX(0,MIN(10,ROUND(IF('Council Entry'!AK$7="Decrease Risk",10-10*((IF('Council Entry'!AK$4="Logarithm",LN(0.001+IF(AND(ISNUMBER('Council Entry'!AK$8),ISNUMBER('Council Entry'!AK$9)),MAX(MIN('Council Entry'!AK77,'Council Entry'!AK$9),'Council Entry'!AK$8),'Council Entry'!AK77)),IF('Council Entry'!AK$4="Exponential",EXP(IF(AND(ISNUMBER('Council Entry'!AK$8),ISNUMBER('Council Entry'!AK$9)),MAX(MIN('Council Entry'!AK77,'Council Entry'!AK$9),'Council Entry'!AK$8),'Council Entry'!AK77)),IF(AND(ISNUMBER('Council Entry'!AK$8),ISNUMBER('Council Entry'!AK$9)),MAX(MIN('Council Entry'!AK77,'Council Entry'!AK$9),'Council Entry'!AK$8),'Council Entry'!AK77))))-'Council Entry'!AK$5)/('Council Entry'!AK$6-'Council Entry'!AK$5),10*((IF('Council Entry'!AK$4="Logarithm",LN(0.001+IF(AND(ISNUMBER('Council Entry'!AK$8),ISNUMBER('Council Entry'!AK$9)),MAX(MIN('Council Entry'!AK77,'Council Entry'!AK$9),'Council Entry'!AK$8),'Council Entry'!AK77)),IF('Council Entry'!AK$4="Exponential",EXP(IF(AND(ISNUMBER('Council Entry'!AK$8),ISNUMBER('Council Entry'!AK$9)),MAX(MIN('Council Entry'!AK77,'Council Entry'!AK$9),'Council Entry'!AK$8),'Council Entry'!AK77)),IF(AND(ISNUMBER('Council Entry'!AK$8),ISNUMBER('Council Entry'!AK$9)),MAX(MIN('Council Entry'!AK77,'Council Entry'!AK$9),'Council Entry'!AK$8),'Council Entry'!AK77))))-'Council Entry'!AK$5)/('Council Entry'!AK$6-'Council Entry'!AK$5)),1))),"No data"))</f>
        <v/>
      </c>
      <c r="AL77" s="13">
        <f>IF('Council Entry'!AL77="","",IFERROR(MAX(0,MIN(10,ROUND(IF('Council Entry'!AL$7="Decrease Risk",10-10*((IF('Council Entry'!AL$4="Logarithm",LN(0.001+IF(AND(ISNUMBER('Council Entry'!AL$8),ISNUMBER('Council Entry'!AL$9)),MAX(MIN('Council Entry'!AL77,'Council Entry'!AL$9),'Council Entry'!AL$8),'Council Entry'!AL77)),IF('Council Entry'!AL$4="Exponential",EXP(IF(AND(ISNUMBER('Council Entry'!AL$8),ISNUMBER('Council Entry'!AL$9)),MAX(MIN('Council Entry'!AL77,'Council Entry'!AL$9),'Council Entry'!AL$8),'Council Entry'!AL77)),IF(AND(ISNUMBER('Council Entry'!AL$8),ISNUMBER('Council Entry'!AL$9)),MAX(MIN('Council Entry'!AL77,'Council Entry'!AL$9),'Council Entry'!AL$8),'Council Entry'!AL77))))-'Council Entry'!AL$5)/('Council Entry'!AL$6-'Council Entry'!AL$5),10*((IF('Council Entry'!AL$4="Logarithm",LN(0.001+IF(AND(ISNUMBER('Council Entry'!AL$8),ISNUMBER('Council Entry'!AL$9)),MAX(MIN('Council Entry'!AL77,'Council Entry'!AL$9),'Council Entry'!AL$8),'Council Entry'!AL77)),IF('Council Entry'!AL$4="Exponential",EXP(IF(AND(ISNUMBER('Council Entry'!AL$8),ISNUMBER('Council Entry'!AL$9)),MAX(MIN('Council Entry'!AL77,'Council Entry'!AL$9),'Council Entry'!AL$8),'Council Entry'!AL77)),IF(AND(ISNUMBER('Council Entry'!AL$8),ISNUMBER('Council Entry'!AL$9)),MAX(MIN('Council Entry'!AL77,'Council Entry'!AL$9),'Council Entry'!AL$8),'Council Entry'!AL77))))-'Council Entry'!AL$5)/('Council Entry'!AL$6-'Council Entry'!AL$5)),1))),"No data"))</f>
        <v/>
      </c>
      <c r="AM77" s="13">
        <f>IF('Council Entry'!AM77="","",IFERROR(MAX(0,MIN(10,ROUND(IF('Council Entry'!AM$7="Decrease Risk",10-10*((IF('Council Entry'!AM$4="Logarithm",LN(0.001+IF(AND(ISNUMBER('Council Entry'!AM$8),ISNUMBER('Council Entry'!AM$9)),MAX(MIN('Council Entry'!AM77,'Council Entry'!AM$9),'Council Entry'!AM$8),'Council Entry'!AM77)),IF('Council Entry'!AM$4="Exponential",EXP(IF(AND(ISNUMBER('Council Entry'!AM$8),ISNUMBER('Council Entry'!AM$9)),MAX(MIN('Council Entry'!AM77,'Council Entry'!AM$9),'Council Entry'!AM$8),'Council Entry'!AM77)),IF(AND(ISNUMBER('Council Entry'!AM$8),ISNUMBER('Council Entry'!AM$9)),MAX(MIN('Council Entry'!AM77,'Council Entry'!AM$9),'Council Entry'!AM$8),'Council Entry'!AM77))))-'Council Entry'!AM$5)/('Council Entry'!AM$6-'Council Entry'!AM$5),10*((IF('Council Entry'!AM$4="Logarithm",LN(0.001+IF(AND(ISNUMBER('Council Entry'!AM$8),ISNUMBER('Council Entry'!AM$9)),MAX(MIN('Council Entry'!AM77,'Council Entry'!AM$9),'Council Entry'!AM$8),'Council Entry'!AM77)),IF('Council Entry'!AM$4="Exponential",EXP(IF(AND(ISNUMBER('Council Entry'!AM$8),ISNUMBER('Council Entry'!AM$9)),MAX(MIN('Council Entry'!AM77,'Council Entry'!AM$9),'Council Entry'!AM$8),'Council Entry'!AM77)),IF(AND(ISNUMBER('Council Entry'!AM$8),ISNUMBER('Council Entry'!AM$9)),MAX(MIN('Council Entry'!AM77,'Council Entry'!AM$9),'Council Entry'!AM$8),'Council Entry'!AM77))))-'Council Entry'!AM$5)/('Council Entry'!AM$6-'Council Entry'!AM$5)),1))),"No data"))</f>
        <v/>
      </c>
      <c r="AN77" s="13">
        <f>IF('Council Entry'!AN77="","",IFERROR(MAX(0,MIN(10,ROUND(IF('Council Entry'!AN$7="Decrease Risk",10-10*((IF('Council Entry'!AN$4="Logarithm",LN(0.001+IF(AND(ISNUMBER('Council Entry'!AN$8),ISNUMBER('Council Entry'!AN$9)),MAX(MIN('Council Entry'!AN77,'Council Entry'!AN$9),'Council Entry'!AN$8),'Council Entry'!AN77)),IF('Council Entry'!AN$4="Exponential",EXP(IF(AND(ISNUMBER('Council Entry'!AN$8),ISNUMBER('Council Entry'!AN$9)),MAX(MIN('Council Entry'!AN77,'Council Entry'!AN$9),'Council Entry'!AN$8),'Council Entry'!AN77)),IF(AND(ISNUMBER('Council Entry'!AN$8),ISNUMBER('Council Entry'!AN$9)),MAX(MIN('Council Entry'!AN77,'Council Entry'!AN$9),'Council Entry'!AN$8),'Council Entry'!AN77))))-'Council Entry'!AN$5)/('Council Entry'!AN$6-'Council Entry'!AN$5),10*((IF('Council Entry'!AN$4="Logarithm",LN(0.001+IF(AND(ISNUMBER('Council Entry'!AN$8),ISNUMBER('Council Entry'!AN$9)),MAX(MIN('Council Entry'!AN77,'Council Entry'!AN$9),'Council Entry'!AN$8),'Council Entry'!AN77)),IF('Council Entry'!AN$4="Exponential",EXP(IF(AND(ISNUMBER('Council Entry'!AN$8),ISNUMBER('Council Entry'!AN$9)),MAX(MIN('Council Entry'!AN77,'Council Entry'!AN$9),'Council Entry'!AN$8),'Council Entry'!AN77)),IF(AND(ISNUMBER('Council Entry'!AN$8),ISNUMBER('Council Entry'!AN$9)),MAX(MIN('Council Entry'!AN77,'Council Entry'!AN$9),'Council Entry'!AN$8),'Council Entry'!AN77))))-'Council Entry'!AN$5)/('Council Entry'!AN$6-'Council Entry'!AN$5)),1))),"No data"))</f>
        <v/>
      </c>
      <c r="AO77" s="13">
        <f>IF('Council Entry'!AO77="","",IFERROR(MAX(0,MIN(10,ROUND(IF('Council Entry'!AO$7="Decrease Risk",10-10*((IF('Council Entry'!AO$4="Logarithm",LN(0.001+IF(AND(ISNUMBER('Council Entry'!AO$8),ISNUMBER('Council Entry'!AO$9)),MAX(MIN('Council Entry'!AO77,'Council Entry'!AO$9),'Council Entry'!AO$8),'Council Entry'!AO77)),IF('Council Entry'!AO$4="Exponential",EXP(IF(AND(ISNUMBER('Council Entry'!AO$8),ISNUMBER('Council Entry'!AO$9)),MAX(MIN('Council Entry'!AO77,'Council Entry'!AO$9),'Council Entry'!AO$8),'Council Entry'!AO77)),IF(AND(ISNUMBER('Council Entry'!AO$8),ISNUMBER('Council Entry'!AO$9)),MAX(MIN('Council Entry'!AO77,'Council Entry'!AO$9),'Council Entry'!AO$8),'Council Entry'!AO77))))-'Council Entry'!AO$5)/('Council Entry'!AO$6-'Council Entry'!AO$5),10*((IF('Council Entry'!AO$4="Logarithm",LN(0.001+IF(AND(ISNUMBER('Council Entry'!AO$8),ISNUMBER('Council Entry'!AO$9)),MAX(MIN('Council Entry'!AO77,'Council Entry'!AO$9),'Council Entry'!AO$8),'Council Entry'!AO77)),IF('Council Entry'!AO$4="Exponential",EXP(IF(AND(ISNUMBER('Council Entry'!AO$8),ISNUMBER('Council Entry'!AO$9)),MAX(MIN('Council Entry'!AO77,'Council Entry'!AO$9),'Council Entry'!AO$8),'Council Entry'!AO77)),IF(AND(ISNUMBER('Council Entry'!AO$8),ISNUMBER('Council Entry'!AO$9)),MAX(MIN('Council Entry'!AO77,'Council Entry'!AO$9),'Council Entry'!AO$8),'Council Entry'!AO77))))-'Council Entry'!AO$5)/('Council Entry'!AO$6-'Council Entry'!AO$5)),1))),"No data"))</f>
        <v/>
      </c>
      <c r="AP77" s="13">
        <f>IF('Council Entry'!AP77="","",IFERROR(MAX(0,MIN(10,ROUND(IF('Council Entry'!AP$7="Decrease Risk",10-10*((IF('Council Entry'!AP$4="Logarithm",LN(0.001+IF(AND(ISNUMBER('Council Entry'!AP$8),ISNUMBER('Council Entry'!AP$9)),MAX(MIN('Council Entry'!AP77,'Council Entry'!AP$9),'Council Entry'!AP$8),'Council Entry'!AP77)),IF('Council Entry'!AP$4="Exponential",EXP(IF(AND(ISNUMBER('Council Entry'!AP$8),ISNUMBER('Council Entry'!AP$9)),MAX(MIN('Council Entry'!AP77,'Council Entry'!AP$9),'Council Entry'!AP$8),'Council Entry'!AP77)),IF(AND(ISNUMBER('Council Entry'!AP$8),ISNUMBER('Council Entry'!AP$9)),MAX(MIN('Council Entry'!AP77,'Council Entry'!AP$9),'Council Entry'!AP$8),'Council Entry'!AP77))))-'Council Entry'!AP$5)/('Council Entry'!AP$6-'Council Entry'!AP$5),10*((IF('Council Entry'!AP$4="Logarithm",LN(0.001+IF(AND(ISNUMBER('Council Entry'!AP$8),ISNUMBER('Council Entry'!AP$9)),MAX(MIN('Council Entry'!AP77,'Council Entry'!AP$9),'Council Entry'!AP$8),'Council Entry'!AP77)),IF('Council Entry'!AP$4="Exponential",EXP(IF(AND(ISNUMBER('Council Entry'!AP$8),ISNUMBER('Council Entry'!AP$9)),MAX(MIN('Council Entry'!AP77,'Council Entry'!AP$9),'Council Entry'!AP$8),'Council Entry'!AP77)),IF(AND(ISNUMBER('Council Entry'!AP$8),ISNUMBER('Council Entry'!AP$9)),MAX(MIN('Council Entry'!AP77,'Council Entry'!AP$9),'Council Entry'!AP$8),'Council Entry'!AP77))))-'Council Entry'!AP$5)/('Council Entry'!AP$6-'Council Entry'!AP$5)),1))),"No data"))</f>
        <v/>
      </c>
      <c r="AQ77" s="13">
        <f>IF('Council Entry'!AQ77="","",IFERROR(MAX(0,MIN(10,ROUND(IF('Council Entry'!AQ$7="Decrease Risk",10-10*((IF('Council Entry'!AQ$4="Logarithm",LN(0.001+IF(AND(ISNUMBER('Council Entry'!AQ$8),ISNUMBER('Council Entry'!AQ$9)),MAX(MIN('Council Entry'!AQ77,'Council Entry'!AQ$9),'Council Entry'!AQ$8),'Council Entry'!AQ77)),IF('Council Entry'!AQ$4="Exponential",EXP(IF(AND(ISNUMBER('Council Entry'!AQ$8),ISNUMBER('Council Entry'!AQ$9)),MAX(MIN('Council Entry'!AQ77,'Council Entry'!AQ$9),'Council Entry'!AQ$8),'Council Entry'!AQ77)),IF(AND(ISNUMBER('Council Entry'!AQ$8),ISNUMBER('Council Entry'!AQ$9)),MAX(MIN('Council Entry'!AQ77,'Council Entry'!AQ$9),'Council Entry'!AQ$8),'Council Entry'!AQ77))))-'Council Entry'!AQ$5)/('Council Entry'!AQ$6-'Council Entry'!AQ$5),10*((IF('Council Entry'!AQ$4="Logarithm",LN(0.001+IF(AND(ISNUMBER('Council Entry'!AQ$8),ISNUMBER('Council Entry'!AQ$9)),MAX(MIN('Council Entry'!AQ77,'Council Entry'!AQ$9),'Council Entry'!AQ$8),'Council Entry'!AQ77)),IF('Council Entry'!AQ$4="Exponential",EXP(IF(AND(ISNUMBER('Council Entry'!AQ$8),ISNUMBER('Council Entry'!AQ$9)),MAX(MIN('Council Entry'!AQ77,'Council Entry'!AQ$9),'Council Entry'!AQ$8),'Council Entry'!AQ77)),IF(AND(ISNUMBER('Council Entry'!AQ$8),ISNUMBER('Council Entry'!AQ$9)),MAX(MIN('Council Entry'!AQ77,'Council Entry'!AQ$9),'Council Entry'!AQ$8),'Council Entry'!AQ77))))-'Council Entry'!AQ$5)/('Council Entry'!AQ$6-'Council Entry'!AQ$5)),1))),"No data"))</f>
        <v/>
      </c>
      <c r="AR77" s="13">
        <f>IF('Council Entry'!AR77="","",IFERROR(MAX(0,MIN(10,ROUND(IF('Council Entry'!AR$7="Decrease Risk",10-10*((IF('Council Entry'!AR$4="Logarithm",LN(0.001+IF(AND(ISNUMBER('Council Entry'!AR$8),ISNUMBER('Council Entry'!AR$9)),MAX(MIN('Council Entry'!AR77,'Council Entry'!AR$9),'Council Entry'!AR$8),'Council Entry'!AR77)),IF('Council Entry'!AR$4="Exponential",EXP(IF(AND(ISNUMBER('Council Entry'!AR$8),ISNUMBER('Council Entry'!AR$9)),MAX(MIN('Council Entry'!AR77,'Council Entry'!AR$9),'Council Entry'!AR$8),'Council Entry'!AR77)),IF(AND(ISNUMBER('Council Entry'!AR$8),ISNUMBER('Council Entry'!AR$9)),MAX(MIN('Council Entry'!AR77,'Council Entry'!AR$9),'Council Entry'!AR$8),'Council Entry'!AR77))))-'Council Entry'!AR$5)/('Council Entry'!AR$6-'Council Entry'!AR$5),10*((IF('Council Entry'!AR$4="Logarithm",LN(0.001+IF(AND(ISNUMBER('Council Entry'!AR$8),ISNUMBER('Council Entry'!AR$9)),MAX(MIN('Council Entry'!AR77,'Council Entry'!AR$9),'Council Entry'!AR$8),'Council Entry'!AR77)),IF('Council Entry'!AR$4="Exponential",EXP(IF(AND(ISNUMBER('Council Entry'!AR$8),ISNUMBER('Council Entry'!AR$9)),MAX(MIN('Council Entry'!AR77,'Council Entry'!AR$9),'Council Entry'!AR$8),'Council Entry'!AR77)),IF(AND(ISNUMBER('Council Entry'!AR$8),ISNUMBER('Council Entry'!AR$9)),MAX(MIN('Council Entry'!AR77,'Council Entry'!AR$9),'Council Entry'!AR$8),'Council Entry'!AR77))))-'Council Entry'!AR$5)/('Council Entry'!AR$6-'Council Entry'!AR$5)),1))),"No data"))</f>
        <v/>
      </c>
      <c r="AS77" s="13">
        <f>IF('Council Entry'!AS77="","",IFERROR(MAX(0,MIN(10,ROUND(IF('Council Entry'!AS$7="Decrease Risk",10-10*((IF('Council Entry'!AS$4="Logarithm",LN(0.001+IF(AND(ISNUMBER('Council Entry'!AS$8),ISNUMBER('Council Entry'!AS$9)),MAX(MIN('Council Entry'!AS77,'Council Entry'!AS$9),'Council Entry'!AS$8),'Council Entry'!AS77)),IF('Council Entry'!AS$4="Exponential",EXP(IF(AND(ISNUMBER('Council Entry'!AS$8),ISNUMBER('Council Entry'!AS$9)),MAX(MIN('Council Entry'!AS77,'Council Entry'!AS$9),'Council Entry'!AS$8),'Council Entry'!AS77)),IF(AND(ISNUMBER('Council Entry'!AS$8),ISNUMBER('Council Entry'!AS$9)),MAX(MIN('Council Entry'!AS77,'Council Entry'!AS$9),'Council Entry'!AS$8),'Council Entry'!AS77))))-'Council Entry'!AS$5)/('Council Entry'!AS$6-'Council Entry'!AS$5),10*((IF('Council Entry'!AS$4="Logarithm",LN(0.001+IF(AND(ISNUMBER('Council Entry'!AS$8),ISNUMBER('Council Entry'!AS$9)),MAX(MIN('Council Entry'!AS77,'Council Entry'!AS$9),'Council Entry'!AS$8),'Council Entry'!AS77)),IF('Council Entry'!AS$4="Exponential",EXP(IF(AND(ISNUMBER('Council Entry'!AS$8),ISNUMBER('Council Entry'!AS$9)),MAX(MIN('Council Entry'!AS77,'Council Entry'!AS$9),'Council Entry'!AS$8),'Council Entry'!AS77)),IF(AND(ISNUMBER('Council Entry'!AS$8),ISNUMBER('Council Entry'!AS$9)),MAX(MIN('Council Entry'!AS77,'Council Entry'!AS$9),'Council Entry'!AS$8),'Council Entry'!AS77))))-'Council Entry'!AS$5)/('Council Entry'!AS$6-'Council Entry'!AS$5)),1))),"No data"))</f>
        <v/>
      </c>
      <c r="AT77" s="13">
        <f>IF('Council Entry'!AT77="","",IFERROR(MAX(0,MIN(10,ROUND(IF('Council Entry'!AT$7="Decrease Risk",10-10*((IF('Council Entry'!AT$4="Logarithm",LN(0.001+IF(AND(ISNUMBER('Council Entry'!AT$8),ISNUMBER('Council Entry'!AT$9)),MAX(MIN('Council Entry'!AT77,'Council Entry'!AT$9),'Council Entry'!AT$8),'Council Entry'!AT77)),IF('Council Entry'!AT$4="Exponential",EXP(IF(AND(ISNUMBER('Council Entry'!AT$8),ISNUMBER('Council Entry'!AT$9)),MAX(MIN('Council Entry'!AT77,'Council Entry'!AT$9),'Council Entry'!AT$8),'Council Entry'!AT77)),IF(AND(ISNUMBER('Council Entry'!AT$8),ISNUMBER('Council Entry'!AT$9)),MAX(MIN('Council Entry'!AT77,'Council Entry'!AT$9),'Council Entry'!AT$8),'Council Entry'!AT77))))-'Council Entry'!AT$5)/('Council Entry'!AT$6-'Council Entry'!AT$5),10*((IF('Council Entry'!AT$4="Logarithm",LN(0.001+IF(AND(ISNUMBER('Council Entry'!AT$8),ISNUMBER('Council Entry'!AT$9)),MAX(MIN('Council Entry'!AT77,'Council Entry'!AT$9),'Council Entry'!AT$8),'Council Entry'!AT77)),IF('Council Entry'!AT$4="Exponential",EXP(IF(AND(ISNUMBER('Council Entry'!AT$8),ISNUMBER('Council Entry'!AT$9)),MAX(MIN('Council Entry'!AT77,'Council Entry'!AT$9),'Council Entry'!AT$8),'Council Entry'!AT77)),IF(AND(ISNUMBER('Council Entry'!AT$8),ISNUMBER('Council Entry'!AT$9)),MAX(MIN('Council Entry'!AT77,'Council Entry'!AT$9),'Council Entry'!AT$8),'Council Entry'!AT77))))-'Council Entry'!AT$5)/('Council Entry'!AT$6-'Council Entry'!AT$5)),1))),"No data"))</f>
        <v/>
      </c>
      <c r="AU77" s="13">
        <f>IF('Council Entry'!AU77="","",IFERROR(MAX(0,MIN(10,ROUND(IF('Council Entry'!AU$7="Decrease Risk",10-10*((IF('Council Entry'!AU$4="Logarithm",LN(0.001+IF(AND(ISNUMBER('Council Entry'!AU$8),ISNUMBER('Council Entry'!AU$9)),MAX(MIN('Council Entry'!AU77,'Council Entry'!AU$9),'Council Entry'!AU$8),'Council Entry'!AU77)),IF('Council Entry'!AU$4="Exponential",EXP(IF(AND(ISNUMBER('Council Entry'!AU$8),ISNUMBER('Council Entry'!AU$9)),MAX(MIN('Council Entry'!AU77,'Council Entry'!AU$9),'Council Entry'!AU$8),'Council Entry'!AU77)),IF(AND(ISNUMBER('Council Entry'!AU$8),ISNUMBER('Council Entry'!AU$9)),MAX(MIN('Council Entry'!AU77,'Council Entry'!AU$9),'Council Entry'!AU$8),'Council Entry'!AU77))))-'Council Entry'!AU$5)/('Council Entry'!AU$6-'Council Entry'!AU$5),10*((IF('Council Entry'!AU$4="Logarithm",LN(0.001+IF(AND(ISNUMBER('Council Entry'!AU$8),ISNUMBER('Council Entry'!AU$9)),MAX(MIN('Council Entry'!AU77,'Council Entry'!AU$9),'Council Entry'!AU$8),'Council Entry'!AU77)),IF('Council Entry'!AU$4="Exponential",EXP(IF(AND(ISNUMBER('Council Entry'!AU$8),ISNUMBER('Council Entry'!AU$9)),MAX(MIN('Council Entry'!AU77,'Council Entry'!AU$9),'Council Entry'!AU$8),'Council Entry'!AU77)),IF(AND(ISNUMBER('Council Entry'!AU$8),ISNUMBER('Council Entry'!AU$9)),MAX(MIN('Council Entry'!AU77,'Council Entry'!AU$9),'Council Entry'!AU$8),'Council Entry'!AU77))))-'Council Entry'!AU$5)/('Council Entry'!AU$6-'Council Entry'!AU$5)),1))),"No data"))</f>
        <v/>
      </c>
      <c r="AV77" s="13">
        <f>IF('Council Entry'!AV77="","",IFERROR(MAX(0,MIN(10,ROUND(IF('Council Entry'!AV$7="Decrease Risk",10-10*((IF('Council Entry'!AV$4="Logarithm",LN(0.001+IF(AND(ISNUMBER('Council Entry'!AV$8),ISNUMBER('Council Entry'!AV$9)),MAX(MIN('Council Entry'!AV77,'Council Entry'!AV$9),'Council Entry'!AV$8),'Council Entry'!AV77)),IF('Council Entry'!AV$4="Exponential",EXP(IF(AND(ISNUMBER('Council Entry'!AV$8),ISNUMBER('Council Entry'!AV$9)),MAX(MIN('Council Entry'!AV77,'Council Entry'!AV$9),'Council Entry'!AV$8),'Council Entry'!AV77)),IF(AND(ISNUMBER('Council Entry'!AV$8),ISNUMBER('Council Entry'!AV$9)),MAX(MIN('Council Entry'!AV77,'Council Entry'!AV$9),'Council Entry'!AV$8),'Council Entry'!AV77))))-'Council Entry'!AV$5)/('Council Entry'!AV$6-'Council Entry'!AV$5),10*((IF('Council Entry'!AV$4="Logarithm",LN(0.001+IF(AND(ISNUMBER('Council Entry'!AV$8),ISNUMBER('Council Entry'!AV$9)),MAX(MIN('Council Entry'!AV77,'Council Entry'!AV$9),'Council Entry'!AV$8),'Council Entry'!AV77)),IF('Council Entry'!AV$4="Exponential",EXP(IF(AND(ISNUMBER('Council Entry'!AV$8),ISNUMBER('Council Entry'!AV$9)),MAX(MIN('Council Entry'!AV77,'Council Entry'!AV$9),'Council Entry'!AV$8),'Council Entry'!AV77)),IF(AND(ISNUMBER('Council Entry'!AV$8),ISNUMBER('Council Entry'!AV$9)),MAX(MIN('Council Entry'!AV77,'Council Entry'!AV$9),'Council Entry'!AV$8),'Council Entry'!AV77))))-'Council Entry'!AV$5)/('Council Entry'!AV$6-'Council Entry'!AV$5)),1))),"No data"))</f>
        <v/>
      </c>
      <c r="AW77" s="13">
        <f>IF('Council Entry'!AW77="","",IFERROR(MAX(0,MIN(10,ROUND(IF('Council Entry'!AW$7="Decrease Risk",10-10*((IF('Council Entry'!AW$4="Logarithm",LN(0.001+IF(AND(ISNUMBER('Council Entry'!AW$8),ISNUMBER('Council Entry'!AW$9)),MAX(MIN('Council Entry'!AW77,'Council Entry'!AW$9),'Council Entry'!AW$8),'Council Entry'!AW77)),IF('Council Entry'!AW$4="Exponential",EXP(IF(AND(ISNUMBER('Council Entry'!AW$8),ISNUMBER('Council Entry'!AW$9)),MAX(MIN('Council Entry'!AW77,'Council Entry'!AW$9),'Council Entry'!AW$8),'Council Entry'!AW77)),IF(AND(ISNUMBER('Council Entry'!AW$8),ISNUMBER('Council Entry'!AW$9)),MAX(MIN('Council Entry'!AW77,'Council Entry'!AW$9),'Council Entry'!AW$8),'Council Entry'!AW77))))-'Council Entry'!AW$5)/('Council Entry'!AW$6-'Council Entry'!AW$5),10*((IF('Council Entry'!AW$4="Logarithm",LN(0.001+IF(AND(ISNUMBER('Council Entry'!AW$8),ISNUMBER('Council Entry'!AW$9)),MAX(MIN('Council Entry'!AW77,'Council Entry'!AW$9),'Council Entry'!AW$8),'Council Entry'!AW77)),IF('Council Entry'!AW$4="Exponential",EXP(IF(AND(ISNUMBER('Council Entry'!AW$8),ISNUMBER('Council Entry'!AW$9)),MAX(MIN('Council Entry'!AW77,'Council Entry'!AW$9),'Council Entry'!AW$8),'Council Entry'!AW77)),IF(AND(ISNUMBER('Council Entry'!AW$8),ISNUMBER('Council Entry'!AW$9)),MAX(MIN('Council Entry'!AW77,'Council Entry'!AW$9),'Council Entry'!AW$8),'Council Entry'!AW77))))-'Council Entry'!AW$5)/('Council Entry'!AW$6-'Council Entry'!AW$5)),1))),"No data"))</f>
        <v/>
      </c>
      <c r="AX77" s="13">
        <f>IF('Council Entry'!AX77="","",IFERROR(MAX(0,MIN(10,ROUND(IF('Council Entry'!AX$7="Decrease Risk",10-10*((IF('Council Entry'!AX$4="Logarithm",LN(0.001+IF(AND(ISNUMBER('Council Entry'!AX$8),ISNUMBER('Council Entry'!AX$9)),MAX(MIN('Council Entry'!AX77,'Council Entry'!AX$9),'Council Entry'!AX$8),'Council Entry'!AX77)),IF('Council Entry'!AX$4="Exponential",EXP(IF(AND(ISNUMBER('Council Entry'!AX$8),ISNUMBER('Council Entry'!AX$9)),MAX(MIN('Council Entry'!AX77,'Council Entry'!AX$9),'Council Entry'!AX$8),'Council Entry'!AX77)),IF(AND(ISNUMBER('Council Entry'!AX$8),ISNUMBER('Council Entry'!AX$9)),MAX(MIN('Council Entry'!AX77,'Council Entry'!AX$9),'Council Entry'!AX$8),'Council Entry'!AX77))))-'Council Entry'!AX$5)/('Council Entry'!AX$6-'Council Entry'!AX$5),10*((IF('Council Entry'!AX$4="Logarithm",LN(0.001+IF(AND(ISNUMBER('Council Entry'!AX$8),ISNUMBER('Council Entry'!AX$9)),MAX(MIN('Council Entry'!AX77,'Council Entry'!AX$9),'Council Entry'!AX$8),'Council Entry'!AX77)),IF('Council Entry'!AX$4="Exponential",EXP(IF(AND(ISNUMBER('Council Entry'!AX$8),ISNUMBER('Council Entry'!AX$9)),MAX(MIN('Council Entry'!AX77,'Council Entry'!AX$9),'Council Entry'!AX$8),'Council Entry'!AX77)),IF(AND(ISNUMBER('Council Entry'!AX$8),ISNUMBER('Council Entry'!AX$9)),MAX(MIN('Council Entry'!AX77,'Council Entry'!AX$9),'Council Entry'!AX$8),'Council Entry'!AX77))))-'Council Entry'!AX$5)/('Council Entry'!AX$6-'Council Entry'!AX$5)),1))),"No data"))</f>
        <v/>
      </c>
      <c r="AY77" s="13">
        <f>IF('Council Entry'!AY77="","",IFERROR(MAX(0,MIN(10,ROUND(IF('Council Entry'!AY$7="Decrease Risk",10-10*((IF('Council Entry'!AY$4="Logarithm",LN(0.001+IF(AND(ISNUMBER('Council Entry'!AY$8),ISNUMBER('Council Entry'!AY$9)),MAX(MIN('Council Entry'!AY77,'Council Entry'!AY$9),'Council Entry'!AY$8),'Council Entry'!AY77)),IF('Council Entry'!AY$4="Exponential",EXP(IF(AND(ISNUMBER('Council Entry'!AY$8),ISNUMBER('Council Entry'!AY$9)),MAX(MIN('Council Entry'!AY77,'Council Entry'!AY$9),'Council Entry'!AY$8),'Council Entry'!AY77)),IF(AND(ISNUMBER('Council Entry'!AY$8),ISNUMBER('Council Entry'!AY$9)),MAX(MIN('Council Entry'!AY77,'Council Entry'!AY$9),'Council Entry'!AY$8),'Council Entry'!AY77))))-'Council Entry'!AY$5)/('Council Entry'!AY$6-'Council Entry'!AY$5),10*((IF('Council Entry'!AY$4="Logarithm",LN(0.001+IF(AND(ISNUMBER('Council Entry'!AY$8),ISNUMBER('Council Entry'!AY$9)),MAX(MIN('Council Entry'!AY77,'Council Entry'!AY$9),'Council Entry'!AY$8),'Council Entry'!AY77)),IF('Council Entry'!AY$4="Exponential",EXP(IF(AND(ISNUMBER('Council Entry'!AY$8),ISNUMBER('Council Entry'!AY$9)),MAX(MIN('Council Entry'!AY77,'Council Entry'!AY$9),'Council Entry'!AY$8),'Council Entry'!AY77)),IF(AND(ISNUMBER('Council Entry'!AY$8),ISNUMBER('Council Entry'!AY$9)),MAX(MIN('Council Entry'!AY77,'Council Entry'!AY$9),'Council Entry'!AY$8),'Council Entry'!AY77))))-'Council Entry'!AY$5)/('Council Entry'!AY$6-'Council Entry'!AY$5)),1))),"No data"))</f>
        <v/>
      </c>
      <c r="AZ77" s="13">
        <f>IF('Council Entry'!AZ77="","",IFERROR(MAX(0,MIN(10,ROUND(IF('Council Entry'!AZ$7="Decrease Risk",10-10*((IF('Council Entry'!AZ$4="Logarithm",LN(0.001+IF(AND(ISNUMBER('Council Entry'!AZ$8),ISNUMBER('Council Entry'!AZ$9)),MAX(MIN('Council Entry'!AZ77,'Council Entry'!AZ$9),'Council Entry'!AZ$8),'Council Entry'!AZ77)),IF('Council Entry'!AZ$4="Exponential",EXP(IF(AND(ISNUMBER('Council Entry'!AZ$8),ISNUMBER('Council Entry'!AZ$9)),MAX(MIN('Council Entry'!AZ77,'Council Entry'!AZ$9),'Council Entry'!AZ$8),'Council Entry'!AZ77)),IF(AND(ISNUMBER('Council Entry'!AZ$8),ISNUMBER('Council Entry'!AZ$9)),MAX(MIN('Council Entry'!AZ77,'Council Entry'!AZ$9),'Council Entry'!AZ$8),'Council Entry'!AZ77))))-'Council Entry'!AZ$5)/('Council Entry'!AZ$6-'Council Entry'!AZ$5),10*((IF('Council Entry'!AZ$4="Logarithm",LN(0.001+IF(AND(ISNUMBER('Council Entry'!AZ$8),ISNUMBER('Council Entry'!AZ$9)),MAX(MIN('Council Entry'!AZ77,'Council Entry'!AZ$9),'Council Entry'!AZ$8),'Council Entry'!AZ77)),IF('Council Entry'!AZ$4="Exponential",EXP(IF(AND(ISNUMBER('Council Entry'!AZ$8),ISNUMBER('Council Entry'!AZ$9)),MAX(MIN('Council Entry'!AZ77,'Council Entry'!AZ$9),'Council Entry'!AZ$8),'Council Entry'!AZ77)),IF(AND(ISNUMBER('Council Entry'!AZ$8),ISNUMBER('Council Entry'!AZ$9)),MAX(MIN('Council Entry'!AZ77,'Council Entry'!AZ$9),'Council Entry'!AZ$8),'Council Entry'!AZ77))))-'Council Entry'!AZ$5)/('Council Entry'!AZ$6-'Council Entry'!AZ$5)),1))),"No data"))</f>
        <v/>
      </c>
      <c r="BA77" s="13">
        <f>IF('Council Entry'!BA77="","",IFERROR(MAX(0,MIN(10,ROUND(IF('Council Entry'!BA$7="Decrease Risk",10-10*((IF('Council Entry'!BA$4="Logarithm",LN(0.001+IF(AND(ISNUMBER('Council Entry'!BA$8),ISNUMBER('Council Entry'!BA$9)),MAX(MIN('Council Entry'!BA77,'Council Entry'!BA$9),'Council Entry'!BA$8),'Council Entry'!BA77)),IF('Council Entry'!BA$4="Exponential",EXP(IF(AND(ISNUMBER('Council Entry'!BA$8),ISNUMBER('Council Entry'!BA$9)),MAX(MIN('Council Entry'!BA77,'Council Entry'!BA$9),'Council Entry'!BA$8),'Council Entry'!BA77)),IF(AND(ISNUMBER('Council Entry'!BA$8),ISNUMBER('Council Entry'!BA$9)),MAX(MIN('Council Entry'!BA77,'Council Entry'!BA$9),'Council Entry'!BA$8),'Council Entry'!BA77))))-'Council Entry'!BA$5)/('Council Entry'!BA$6-'Council Entry'!BA$5),10*((IF('Council Entry'!BA$4="Logarithm",LN(0.001+IF(AND(ISNUMBER('Council Entry'!BA$8),ISNUMBER('Council Entry'!BA$9)),MAX(MIN('Council Entry'!BA77,'Council Entry'!BA$9),'Council Entry'!BA$8),'Council Entry'!BA77)),IF('Council Entry'!BA$4="Exponential",EXP(IF(AND(ISNUMBER('Council Entry'!BA$8),ISNUMBER('Council Entry'!BA$9)),MAX(MIN('Council Entry'!BA77,'Council Entry'!BA$9),'Council Entry'!BA$8),'Council Entry'!BA77)),IF(AND(ISNUMBER('Council Entry'!BA$8),ISNUMBER('Council Entry'!BA$9)),MAX(MIN('Council Entry'!BA77,'Council Entry'!BA$9),'Council Entry'!BA$8),'Council Entry'!BA77))))-'Council Entry'!BA$5)/('Council Entry'!BA$6-'Council Entry'!BA$5)),1))),"No data"))</f>
        <v/>
      </c>
      <c r="BB77" s="13">
        <f>IF('Council Entry'!BB77="","",IFERROR(MAX(0,MIN(10,ROUND(IF('Council Entry'!BB$7="Decrease Risk",10-10*((IF('Council Entry'!BB$4="Logarithm",LN(0.001+IF(AND(ISNUMBER('Council Entry'!BB$8),ISNUMBER('Council Entry'!BB$9)),MAX(MIN('Council Entry'!BB77,'Council Entry'!BB$9),'Council Entry'!BB$8),'Council Entry'!BB77)),IF('Council Entry'!BB$4="Exponential",EXP(IF(AND(ISNUMBER('Council Entry'!BB$8),ISNUMBER('Council Entry'!BB$9)),MAX(MIN('Council Entry'!BB77,'Council Entry'!BB$9),'Council Entry'!BB$8),'Council Entry'!BB77)),IF(AND(ISNUMBER('Council Entry'!BB$8),ISNUMBER('Council Entry'!BB$9)),MAX(MIN('Council Entry'!BB77,'Council Entry'!BB$9),'Council Entry'!BB$8),'Council Entry'!BB77))))-'Council Entry'!BB$5)/('Council Entry'!BB$6-'Council Entry'!BB$5),10*((IF('Council Entry'!BB$4="Logarithm",LN(0.001+IF(AND(ISNUMBER('Council Entry'!BB$8),ISNUMBER('Council Entry'!BB$9)),MAX(MIN('Council Entry'!BB77,'Council Entry'!BB$9),'Council Entry'!BB$8),'Council Entry'!BB77)),IF('Council Entry'!BB$4="Exponential",EXP(IF(AND(ISNUMBER('Council Entry'!BB$8),ISNUMBER('Council Entry'!BB$9)),MAX(MIN('Council Entry'!BB77,'Council Entry'!BB$9),'Council Entry'!BB$8),'Council Entry'!BB77)),IF(AND(ISNUMBER('Council Entry'!BB$8),ISNUMBER('Council Entry'!BB$9)),MAX(MIN('Council Entry'!BB77,'Council Entry'!BB$9),'Council Entry'!BB$8),'Council Entry'!BB77))))-'Council Entry'!BB$5)/('Council Entry'!BB$6-'Council Entry'!BB$5)),1))),"No data"))</f>
        <v/>
      </c>
      <c r="BC77" s="13">
        <f>IF('Council Entry'!BC77="","",IFERROR(MAX(0,MIN(10,ROUND(IF('Council Entry'!BC$7="Decrease Risk",10-10*((IF('Council Entry'!BC$4="Logarithm",LN(0.001+IF(AND(ISNUMBER('Council Entry'!BC$8),ISNUMBER('Council Entry'!BC$9)),MAX(MIN('Council Entry'!BC77,'Council Entry'!BC$9),'Council Entry'!BC$8),'Council Entry'!BC77)),IF('Council Entry'!BC$4="Exponential",EXP(IF(AND(ISNUMBER('Council Entry'!BC$8),ISNUMBER('Council Entry'!BC$9)),MAX(MIN('Council Entry'!BC77,'Council Entry'!BC$9),'Council Entry'!BC$8),'Council Entry'!BC77)),IF(AND(ISNUMBER('Council Entry'!BC$8),ISNUMBER('Council Entry'!BC$9)),MAX(MIN('Council Entry'!BC77,'Council Entry'!BC$9),'Council Entry'!BC$8),'Council Entry'!BC77))))-'Council Entry'!BC$5)/('Council Entry'!BC$6-'Council Entry'!BC$5),10*((IF('Council Entry'!BC$4="Logarithm",LN(0.001+IF(AND(ISNUMBER('Council Entry'!BC$8),ISNUMBER('Council Entry'!BC$9)),MAX(MIN('Council Entry'!BC77,'Council Entry'!BC$9),'Council Entry'!BC$8),'Council Entry'!BC77)),IF('Council Entry'!BC$4="Exponential",EXP(IF(AND(ISNUMBER('Council Entry'!BC$8),ISNUMBER('Council Entry'!BC$9)),MAX(MIN('Council Entry'!BC77,'Council Entry'!BC$9),'Council Entry'!BC$8),'Council Entry'!BC77)),IF(AND(ISNUMBER('Council Entry'!BC$8),ISNUMBER('Council Entry'!BC$9)),MAX(MIN('Council Entry'!BC77,'Council Entry'!BC$9),'Council Entry'!BC$8),'Council Entry'!BC77))))-'Council Entry'!BC$5)/('Council Entry'!BC$6-'Council Entry'!BC$5)),1))),"No data"))</f>
        <v/>
      </c>
      <c r="BD77" s="13">
        <f>IF('Council Entry'!BD77="","",IFERROR(MAX(0,MIN(10,ROUND(IF('Council Entry'!BD$7="Decrease Risk",10-10*((IF('Council Entry'!BD$4="Logarithm",LN(0.001+IF(AND(ISNUMBER('Council Entry'!BD$8),ISNUMBER('Council Entry'!BD$9)),MAX(MIN('Council Entry'!BD77,'Council Entry'!BD$9),'Council Entry'!BD$8),'Council Entry'!BD77)),IF('Council Entry'!BD$4="Exponential",EXP(IF(AND(ISNUMBER('Council Entry'!BD$8),ISNUMBER('Council Entry'!BD$9)),MAX(MIN('Council Entry'!BD77,'Council Entry'!BD$9),'Council Entry'!BD$8),'Council Entry'!BD77)),IF(AND(ISNUMBER('Council Entry'!BD$8),ISNUMBER('Council Entry'!BD$9)),MAX(MIN('Council Entry'!BD77,'Council Entry'!BD$9),'Council Entry'!BD$8),'Council Entry'!BD77))))-'Council Entry'!BD$5)/('Council Entry'!BD$6-'Council Entry'!BD$5),10*((IF('Council Entry'!BD$4="Logarithm",LN(0.001+IF(AND(ISNUMBER('Council Entry'!BD$8),ISNUMBER('Council Entry'!BD$9)),MAX(MIN('Council Entry'!BD77,'Council Entry'!BD$9),'Council Entry'!BD$8),'Council Entry'!BD77)),IF('Council Entry'!BD$4="Exponential",EXP(IF(AND(ISNUMBER('Council Entry'!BD$8),ISNUMBER('Council Entry'!BD$9)),MAX(MIN('Council Entry'!BD77,'Council Entry'!BD$9),'Council Entry'!BD$8),'Council Entry'!BD77)),IF(AND(ISNUMBER('Council Entry'!BD$8),ISNUMBER('Council Entry'!BD$9)),MAX(MIN('Council Entry'!BD77,'Council Entry'!BD$9),'Council Entry'!BD$8),'Council Entry'!BD77))))-'Council Entry'!BD$5)/('Council Entry'!BD$6-'Council Entry'!BD$5)),1))),"No data"))</f>
        <v/>
      </c>
    </row>
    <row r="78">
      <c r="A78" t="inlineStr">
        <is>
          <t>Lindi</t>
        </is>
      </c>
      <c r="B78" t="inlineStr">
        <is>
          <t>Kilwa District</t>
        </is>
      </c>
      <c r="C78" t="inlineStr">
        <is>
          <t>C057</t>
        </is>
      </c>
      <c r="D78" s="13">
        <f>IF('Council Entry'!D78="","",IFERROR(MAX(0,MIN(10,ROUND(IF('Council Entry'!D$7="Decrease Risk",10-10*((IF('Council Entry'!D$4="Logarithm",LN(0.001+IF(AND(ISNUMBER('Council Entry'!D$8),ISNUMBER('Council Entry'!D$9)),MAX(MIN('Council Entry'!D78,'Council Entry'!D$9),'Council Entry'!D$8),'Council Entry'!D78)),IF('Council Entry'!D$4="Exponential",EXP(IF(AND(ISNUMBER('Council Entry'!D$8),ISNUMBER('Council Entry'!D$9)),MAX(MIN('Council Entry'!D78,'Council Entry'!D$9),'Council Entry'!D$8),'Council Entry'!D78)),IF(AND(ISNUMBER('Council Entry'!D$8),ISNUMBER('Council Entry'!D$9)),MAX(MIN('Council Entry'!D78,'Council Entry'!D$9),'Council Entry'!D$8),'Council Entry'!D78))))-'Council Entry'!D$5)/('Council Entry'!D$6-'Council Entry'!D$5),10*((IF('Council Entry'!D$4="Logarithm",LN(0.001+IF(AND(ISNUMBER('Council Entry'!D$8),ISNUMBER('Council Entry'!D$9)),MAX(MIN('Council Entry'!D78,'Council Entry'!D$9),'Council Entry'!D$8),'Council Entry'!D78)),IF('Council Entry'!D$4="Exponential",EXP(IF(AND(ISNUMBER('Council Entry'!D$8),ISNUMBER('Council Entry'!D$9)),MAX(MIN('Council Entry'!D78,'Council Entry'!D$9),'Council Entry'!D$8),'Council Entry'!D78)),IF(AND(ISNUMBER('Council Entry'!D$8),ISNUMBER('Council Entry'!D$9)),MAX(MIN('Council Entry'!D78,'Council Entry'!D$9),'Council Entry'!D$8),'Council Entry'!D78))))-'Council Entry'!D$5)/('Council Entry'!D$6-'Council Entry'!D$5)),1))),"No data"))</f>
        <v/>
      </c>
      <c r="E78" s="13">
        <f>IF('Council Entry'!E78="","",IFERROR(MAX(0,MIN(10,ROUND(IF('Council Entry'!E$7="Decrease Risk",10-10*((IF('Council Entry'!E$4="Logarithm",LN(0.001+IF(AND(ISNUMBER('Council Entry'!E$8),ISNUMBER('Council Entry'!E$9)),MAX(MIN('Council Entry'!E78,'Council Entry'!E$9),'Council Entry'!E$8),'Council Entry'!E78)),IF('Council Entry'!E$4="Exponential",EXP(IF(AND(ISNUMBER('Council Entry'!E$8),ISNUMBER('Council Entry'!E$9)),MAX(MIN('Council Entry'!E78,'Council Entry'!E$9),'Council Entry'!E$8),'Council Entry'!E78)),IF(AND(ISNUMBER('Council Entry'!E$8),ISNUMBER('Council Entry'!E$9)),MAX(MIN('Council Entry'!E78,'Council Entry'!E$9),'Council Entry'!E$8),'Council Entry'!E78))))-'Council Entry'!E$5)/('Council Entry'!E$6-'Council Entry'!E$5),10*((IF('Council Entry'!E$4="Logarithm",LN(0.001+IF(AND(ISNUMBER('Council Entry'!E$8),ISNUMBER('Council Entry'!E$9)),MAX(MIN('Council Entry'!E78,'Council Entry'!E$9),'Council Entry'!E$8),'Council Entry'!E78)),IF('Council Entry'!E$4="Exponential",EXP(IF(AND(ISNUMBER('Council Entry'!E$8),ISNUMBER('Council Entry'!E$9)),MAX(MIN('Council Entry'!E78,'Council Entry'!E$9),'Council Entry'!E$8),'Council Entry'!E78)),IF(AND(ISNUMBER('Council Entry'!E$8),ISNUMBER('Council Entry'!E$9)),MAX(MIN('Council Entry'!E78,'Council Entry'!E$9),'Council Entry'!E$8),'Council Entry'!E78))))-'Council Entry'!E$5)/('Council Entry'!E$6-'Council Entry'!E$5)),1))),"No data"))</f>
        <v/>
      </c>
      <c r="F78" s="13">
        <f>IF('Council Entry'!F78="","",IFERROR(MAX(0,MIN(10,ROUND(IF('Council Entry'!F$7="Decrease Risk",10-10*((IF('Council Entry'!F$4="Logarithm",LN(0.001+IF(AND(ISNUMBER('Council Entry'!F$8),ISNUMBER('Council Entry'!F$9)),MAX(MIN('Council Entry'!F78,'Council Entry'!F$9),'Council Entry'!F$8),'Council Entry'!F78)),IF('Council Entry'!F$4="Exponential",EXP(IF(AND(ISNUMBER('Council Entry'!F$8),ISNUMBER('Council Entry'!F$9)),MAX(MIN('Council Entry'!F78,'Council Entry'!F$9),'Council Entry'!F$8),'Council Entry'!F78)),IF(AND(ISNUMBER('Council Entry'!F$8),ISNUMBER('Council Entry'!F$9)),MAX(MIN('Council Entry'!F78,'Council Entry'!F$9),'Council Entry'!F$8),'Council Entry'!F78))))-'Council Entry'!F$5)/('Council Entry'!F$6-'Council Entry'!F$5),10*((IF('Council Entry'!F$4="Logarithm",LN(0.001+IF(AND(ISNUMBER('Council Entry'!F$8),ISNUMBER('Council Entry'!F$9)),MAX(MIN('Council Entry'!F78,'Council Entry'!F$9),'Council Entry'!F$8),'Council Entry'!F78)),IF('Council Entry'!F$4="Exponential",EXP(IF(AND(ISNUMBER('Council Entry'!F$8),ISNUMBER('Council Entry'!F$9)),MAX(MIN('Council Entry'!F78,'Council Entry'!F$9),'Council Entry'!F$8),'Council Entry'!F78)),IF(AND(ISNUMBER('Council Entry'!F$8),ISNUMBER('Council Entry'!F$9)),MAX(MIN('Council Entry'!F78,'Council Entry'!F$9),'Council Entry'!F$8),'Council Entry'!F78))))-'Council Entry'!F$5)/('Council Entry'!F$6-'Council Entry'!F$5)),1))),"No data"))</f>
        <v/>
      </c>
      <c r="G78" s="13">
        <f>IF('Council Entry'!G78="","",IFERROR(MAX(0,MIN(10,ROUND(IF('Council Entry'!G$7="Decrease Risk",10-10*((IF('Council Entry'!G$4="Logarithm",LN(0.001+IF(AND(ISNUMBER('Council Entry'!G$8),ISNUMBER('Council Entry'!G$9)),MAX(MIN('Council Entry'!G78,'Council Entry'!G$9),'Council Entry'!G$8),'Council Entry'!G78)),IF('Council Entry'!G$4="Exponential",EXP(IF(AND(ISNUMBER('Council Entry'!G$8),ISNUMBER('Council Entry'!G$9)),MAX(MIN('Council Entry'!G78,'Council Entry'!G$9),'Council Entry'!G$8),'Council Entry'!G78)),IF(AND(ISNUMBER('Council Entry'!G$8),ISNUMBER('Council Entry'!G$9)),MAX(MIN('Council Entry'!G78,'Council Entry'!G$9),'Council Entry'!G$8),'Council Entry'!G78))))-'Council Entry'!G$5)/('Council Entry'!G$6-'Council Entry'!G$5),10*((IF('Council Entry'!G$4="Logarithm",LN(0.001+IF(AND(ISNUMBER('Council Entry'!G$8),ISNUMBER('Council Entry'!G$9)),MAX(MIN('Council Entry'!G78,'Council Entry'!G$9),'Council Entry'!G$8),'Council Entry'!G78)),IF('Council Entry'!G$4="Exponential",EXP(IF(AND(ISNUMBER('Council Entry'!G$8),ISNUMBER('Council Entry'!G$9)),MAX(MIN('Council Entry'!G78,'Council Entry'!G$9),'Council Entry'!G$8),'Council Entry'!G78)),IF(AND(ISNUMBER('Council Entry'!G$8),ISNUMBER('Council Entry'!G$9)),MAX(MIN('Council Entry'!G78,'Council Entry'!G$9),'Council Entry'!G$8),'Council Entry'!G78))))-'Council Entry'!G$5)/('Council Entry'!G$6-'Council Entry'!G$5)),1))),"No data"))</f>
        <v/>
      </c>
      <c r="H78" s="13">
        <f>IF('Council Entry'!H78="","",IFERROR(MAX(0,MIN(10,ROUND(IF('Council Entry'!H$7="Decrease Risk",10-10*((IF('Council Entry'!H$4="Logarithm",LN(0.001+IF(AND(ISNUMBER('Council Entry'!H$8),ISNUMBER('Council Entry'!H$9)),MAX(MIN('Council Entry'!H78,'Council Entry'!H$9),'Council Entry'!H$8),'Council Entry'!H78)),IF('Council Entry'!H$4="Exponential",EXP(IF(AND(ISNUMBER('Council Entry'!H$8),ISNUMBER('Council Entry'!H$9)),MAX(MIN('Council Entry'!H78,'Council Entry'!H$9),'Council Entry'!H$8),'Council Entry'!H78)),IF(AND(ISNUMBER('Council Entry'!H$8),ISNUMBER('Council Entry'!H$9)),MAX(MIN('Council Entry'!H78,'Council Entry'!H$9),'Council Entry'!H$8),'Council Entry'!H78))))-'Council Entry'!H$5)/('Council Entry'!H$6-'Council Entry'!H$5),10*((IF('Council Entry'!H$4="Logarithm",LN(0.001+IF(AND(ISNUMBER('Council Entry'!H$8),ISNUMBER('Council Entry'!H$9)),MAX(MIN('Council Entry'!H78,'Council Entry'!H$9),'Council Entry'!H$8),'Council Entry'!H78)),IF('Council Entry'!H$4="Exponential",EXP(IF(AND(ISNUMBER('Council Entry'!H$8),ISNUMBER('Council Entry'!H$9)),MAX(MIN('Council Entry'!H78,'Council Entry'!H$9),'Council Entry'!H$8),'Council Entry'!H78)),IF(AND(ISNUMBER('Council Entry'!H$8),ISNUMBER('Council Entry'!H$9)),MAX(MIN('Council Entry'!H78,'Council Entry'!H$9),'Council Entry'!H$8),'Council Entry'!H78))))-'Council Entry'!H$5)/('Council Entry'!H$6-'Council Entry'!H$5)),1))),"No data"))</f>
        <v/>
      </c>
      <c r="I78" s="13">
        <f>IF('Council Entry'!I78="","",IFERROR(MAX(0,MIN(10,ROUND(IF('Council Entry'!I$7="Decrease Risk",10-10*((IF('Council Entry'!I$4="Logarithm",LN(0.001+IF(AND(ISNUMBER('Council Entry'!I$8),ISNUMBER('Council Entry'!I$9)),MAX(MIN('Council Entry'!I78,'Council Entry'!I$9),'Council Entry'!I$8),'Council Entry'!I78)),IF('Council Entry'!I$4="Exponential",EXP(IF(AND(ISNUMBER('Council Entry'!I$8),ISNUMBER('Council Entry'!I$9)),MAX(MIN('Council Entry'!I78,'Council Entry'!I$9),'Council Entry'!I$8),'Council Entry'!I78)),IF(AND(ISNUMBER('Council Entry'!I$8),ISNUMBER('Council Entry'!I$9)),MAX(MIN('Council Entry'!I78,'Council Entry'!I$9),'Council Entry'!I$8),'Council Entry'!I78))))-'Council Entry'!I$5)/('Council Entry'!I$6-'Council Entry'!I$5),10*((IF('Council Entry'!I$4="Logarithm",LN(0.001+IF(AND(ISNUMBER('Council Entry'!I$8),ISNUMBER('Council Entry'!I$9)),MAX(MIN('Council Entry'!I78,'Council Entry'!I$9),'Council Entry'!I$8),'Council Entry'!I78)),IF('Council Entry'!I$4="Exponential",EXP(IF(AND(ISNUMBER('Council Entry'!I$8),ISNUMBER('Council Entry'!I$9)),MAX(MIN('Council Entry'!I78,'Council Entry'!I$9),'Council Entry'!I$8),'Council Entry'!I78)),IF(AND(ISNUMBER('Council Entry'!I$8),ISNUMBER('Council Entry'!I$9)),MAX(MIN('Council Entry'!I78,'Council Entry'!I$9),'Council Entry'!I$8),'Council Entry'!I78))))-'Council Entry'!I$5)/('Council Entry'!I$6-'Council Entry'!I$5)),1))),"No data"))</f>
        <v/>
      </c>
      <c r="J78" s="13">
        <f>IF('Council Entry'!J78="","",IFERROR(MAX(0,MIN(10,ROUND(IF('Council Entry'!J$7="Decrease Risk",10-10*((IF('Council Entry'!J$4="Logarithm",LN(0.001+IF(AND(ISNUMBER('Council Entry'!J$8),ISNUMBER('Council Entry'!J$9)),MAX(MIN('Council Entry'!J78,'Council Entry'!J$9),'Council Entry'!J$8),'Council Entry'!J78)),IF('Council Entry'!J$4="Exponential",EXP(IF(AND(ISNUMBER('Council Entry'!J$8),ISNUMBER('Council Entry'!J$9)),MAX(MIN('Council Entry'!J78,'Council Entry'!J$9),'Council Entry'!J$8),'Council Entry'!J78)),IF(AND(ISNUMBER('Council Entry'!J$8),ISNUMBER('Council Entry'!J$9)),MAX(MIN('Council Entry'!J78,'Council Entry'!J$9),'Council Entry'!J$8),'Council Entry'!J78))))-'Council Entry'!J$5)/('Council Entry'!J$6-'Council Entry'!J$5),10*((IF('Council Entry'!J$4="Logarithm",LN(0.001+IF(AND(ISNUMBER('Council Entry'!J$8),ISNUMBER('Council Entry'!J$9)),MAX(MIN('Council Entry'!J78,'Council Entry'!J$9),'Council Entry'!J$8),'Council Entry'!J78)),IF('Council Entry'!J$4="Exponential",EXP(IF(AND(ISNUMBER('Council Entry'!J$8),ISNUMBER('Council Entry'!J$9)),MAX(MIN('Council Entry'!J78,'Council Entry'!J$9),'Council Entry'!J$8),'Council Entry'!J78)),IF(AND(ISNUMBER('Council Entry'!J$8),ISNUMBER('Council Entry'!J$9)),MAX(MIN('Council Entry'!J78,'Council Entry'!J$9),'Council Entry'!J$8),'Council Entry'!J78))))-'Council Entry'!J$5)/('Council Entry'!J$6-'Council Entry'!J$5)),1))),"No data"))</f>
        <v/>
      </c>
      <c r="K78" s="13">
        <f>IF('Council Entry'!K78="","",IFERROR(MAX(0,MIN(10,ROUND(IF('Council Entry'!K$7="Decrease Risk",10-10*((IF('Council Entry'!K$4="Logarithm",LN(0.001+IF(AND(ISNUMBER('Council Entry'!K$8),ISNUMBER('Council Entry'!K$9)),MAX(MIN('Council Entry'!K78,'Council Entry'!K$9),'Council Entry'!K$8),'Council Entry'!K78)),IF('Council Entry'!K$4="Exponential",EXP(IF(AND(ISNUMBER('Council Entry'!K$8),ISNUMBER('Council Entry'!K$9)),MAX(MIN('Council Entry'!K78,'Council Entry'!K$9),'Council Entry'!K$8),'Council Entry'!K78)),IF(AND(ISNUMBER('Council Entry'!K$8),ISNUMBER('Council Entry'!K$9)),MAX(MIN('Council Entry'!K78,'Council Entry'!K$9),'Council Entry'!K$8),'Council Entry'!K78))))-'Council Entry'!K$5)/('Council Entry'!K$6-'Council Entry'!K$5),10*((IF('Council Entry'!K$4="Logarithm",LN(0.001+IF(AND(ISNUMBER('Council Entry'!K$8),ISNUMBER('Council Entry'!K$9)),MAX(MIN('Council Entry'!K78,'Council Entry'!K$9),'Council Entry'!K$8),'Council Entry'!K78)),IF('Council Entry'!K$4="Exponential",EXP(IF(AND(ISNUMBER('Council Entry'!K$8),ISNUMBER('Council Entry'!K$9)),MAX(MIN('Council Entry'!K78,'Council Entry'!K$9),'Council Entry'!K$8),'Council Entry'!K78)),IF(AND(ISNUMBER('Council Entry'!K$8),ISNUMBER('Council Entry'!K$9)),MAX(MIN('Council Entry'!K78,'Council Entry'!K$9),'Council Entry'!K$8),'Council Entry'!K78))))-'Council Entry'!K$5)/('Council Entry'!K$6-'Council Entry'!K$5)),1))),"No data"))</f>
        <v/>
      </c>
      <c r="L78" s="13">
        <f>IF('Council Entry'!L78="","",IFERROR(MAX(0,MIN(10,ROUND(IF('Council Entry'!L$7="Decrease Risk",10-10*((IF('Council Entry'!L$4="Logarithm",LN(0.001+IF(AND(ISNUMBER('Council Entry'!L$8),ISNUMBER('Council Entry'!L$9)),MAX(MIN('Council Entry'!L78,'Council Entry'!L$9),'Council Entry'!L$8),'Council Entry'!L78)),IF('Council Entry'!L$4="Exponential",EXP(IF(AND(ISNUMBER('Council Entry'!L$8),ISNUMBER('Council Entry'!L$9)),MAX(MIN('Council Entry'!L78,'Council Entry'!L$9),'Council Entry'!L$8),'Council Entry'!L78)),IF(AND(ISNUMBER('Council Entry'!L$8),ISNUMBER('Council Entry'!L$9)),MAX(MIN('Council Entry'!L78,'Council Entry'!L$9),'Council Entry'!L$8),'Council Entry'!L78))))-'Council Entry'!L$5)/('Council Entry'!L$6-'Council Entry'!L$5),10*((IF('Council Entry'!L$4="Logarithm",LN(0.001+IF(AND(ISNUMBER('Council Entry'!L$8),ISNUMBER('Council Entry'!L$9)),MAX(MIN('Council Entry'!L78,'Council Entry'!L$9),'Council Entry'!L$8),'Council Entry'!L78)),IF('Council Entry'!L$4="Exponential",EXP(IF(AND(ISNUMBER('Council Entry'!L$8),ISNUMBER('Council Entry'!L$9)),MAX(MIN('Council Entry'!L78,'Council Entry'!L$9),'Council Entry'!L$8),'Council Entry'!L78)),IF(AND(ISNUMBER('Council Entry'!L$8),ISNUMBER('Council Entry'!L$9)),MAX(MIN('Council Entry'!L78,'Council Entry'!L$9),'Council Entry'!L$8),'Council Entry'!L78))))-'Council Entry'!L$5)/('Council Entry'!L$6-'Council Entry'!L$5)),1))),"No data"))</f>
        <v/>
      </c>
      <c r="M78" s="13">
        <f>IF('Council Entry'!M78="","",IFERROR(MAX(0,MIN(10,ROUND(IF('Council Entry'!M$7="Decrease Risk",10-10*((IF('Council Entry'!M$4="Logarithm",LN(0.001+IF(AND(ISNUMBER('Council Entry'!M$8),ISNUMBER('Council Entry'!M$9)),MAX(MIN('Council Entry'!M78,'Council Entry'!M$9),'Council Entry'!M$8),'Council Entry'!M78)),IF('Council Entry'!M$4="Exponential",EXP(IF(AND(ISNUMBER('Council Entry'!M$8),ISNUMBER('Council Entry'!M$9)),MAX(MIN('Council Entry'!M78,'Council Entry'!M$9),'Council Entry'!M$8),'Council Entry'!M78)),IF(AND(ISNUMBER('Council Entry'!M$8),ISNUMBER('Council Entry'!M$9)),MAX(MIN('Council Entry'!M78,'Council Entry'!M$9),'Council Entry'!M$8),'Council Entry'!M78))))-'Council Entry'!M$5)/('Council Entry'!M$6-'Council Entry'!M$5),10*((IF('Council Entry'!M$4="Logarithm",LN(0.001+IF(AND(ISNUMBER('Council Entry'!M$8),ISNUMBER('Council Entry'!M$9)),MAX(MIN('Council Entry'!M78,'Council Entry'!M$9),'Council Entry'!M$8),'Council Entry'!M78)),IF('Council Entry'!M$4="Exponential",EXP(IF(AND(ISNUMBER('Council Entry'!M$8),ISNUMBER('Council Entry'!M$9)),MAX(MIN('Council Entry'!M78,'Council Entry'!M$9),'Council Entry'!M$8),'Council Entry'!M78)),IF(AND(ISNUMBER('Council Entry'!M$8),ISNUMBER('Council Entry'!M$9)),MAX(MIN('Council Entry'!M78,'Council Entry'!M$9),'Council Entry'!M$8),'Council Entry'!M78))))-'Council Entry'!M$5)/('Council Entry'!M$6-'Council Entry'!M$5)),1))),"No data"))</f>
        <v/>
      </c>
      <c r="N78" s="13">
        <f>IF('Council Entry'!N78="","",IFERROR(MAX(0,MIN(10,ROUND(IF('Council Entry'!N$7="Decrease Risk",10-10*((IF('Council Entry'!N$4="Logarithm",LN(0.001+IF(AND(ISNUMBER('Council Entry'!N$8),ISNUMBER('Council Entry'!N$9)),MAX(MIN('Council Entry'!N78,'Council Entry'!N$9),'Council Entry'!N$8),'Council Entry'!N78)),IF('Council Entry'!N$4="Exponential",EXP(IF(AND(ISNUMBER('Council Entry'!N$8),ISNUMBER('Council Entry'!N$9)),MAX(MIN('Council Entry'!N78,'Council Entry'!N$9),'Council Entry'!N$8),'Council Entry'!N78)),IF(AND(ISNUMBER('Council Entry'!N$8),ISNUMBER('Council Entry'!N$9)),MAX(MIN('Council Entry'!N78,'Council Entry'!N$9),'Council Entry'!N$8),'Council Entry'!N78))))-'Council Entry'!N$5)/('Council Entry'!N$6-'Council Entry'!N$5),10*((IF('Council Entry'!N$4="Logarithm",LN(0.001+IF(AND(ISNUMBER('Council Entry'!N$8),ISNUMBER('Council Entry'!N$9)),MAX(MIN('Council Entry'!N78,'Council Entry'!N$9),'Council Entry'!N$8),'Council Entry'!N78)),IF('Council Entry'!N$4="Exponential",EXP(IF(AND(ISNUMBER('Council Entry'!N$8),ISNUMBER('Council Entry'!N$9)),MAX(MIN('Council Entry'!N78,'Council Entry'!N$9),'Council Entry'!N$8),'Council Entry'!N78)),IF(AND(ISNUMBER('Council Entry'!N$8),ISNUMBER('Council Entry'!N$9)),MAX(MIN('Council Entry'!N78,'Council Entry'!N$9),'Council Entry'!N$8),'Council Entry'!N78))))-'Council Entry'!N$5)/('Council Entry'!N$6-'Council Entry'!N$5)),1))),"No data"))</f>
        <v/>
      </c>
      <c r="O78" s="13">
        <f>IF('Council Entry'!O78="","",IFERROR(MAX(0,MIN(10,ROUND(IF('Council Entry'!O$7="Decrease Risk",10-10*((IF('Council Entry'!O$4="Logarithm",LN(0.001+IF(AND(ISNUMBER('Council Entry'!O$8),ISNUMBER('Council Entry'!O$9)),MAX(MIN('Council Entry'!O78,'Council Entry'!O$9),'Council Entry'!O$8),'Council Entry'!O78)),IF('Council Entry'!O$4="Exponential",EXP(IF(AND(ISNUMBER('Council Entry'!O$8),ISNUMBER('Council Entry'!O$9)),MAX(MIN('Council Entry'!O78,'Council Entry'!O$9),'Council Entry'!O$8),'Council Entry'!O78)),IF(AND(ISNUMBER('Council Entry'!O$8),ISNUMBER('Council Entry'!O$9)),MAX(MIN('Council Entry'!O78,'Council Entry'!O$9),'Council Entry'!O$8),'Council Entry'!O78))))-'Council Entry'!O$5)/('Council Entry'!O$6-'Council Entry'!O$5),10*((IF('Council Entry'!O$4="Logarithm",LN(0.001+IF(AND(ISNUMBER('Council Entry'!O$8),ISNUMBER('Council Entry'!O$9)),MAX(MIN('Council Entry'!O78,'Council Entry'!O$9),'Council Entry'!O$8),'Council Entry'!O78)),IF('Council Entry'!O$4="Exponential",EXP(IF(AND(ISNUMBER('Council Entry'!O$8),ISNUMBER('Council Entry'!O$9)),MAX(MIN('Council Entry'!O78,'Council Entry'!O$9),'Council Entry'!O$8),'Council Entry'!O78)),IF(AND(ISNUMBER('Council Entry'!O$8),ISNUMBER('Council Entry'!O$9)),MAX(MIN('Council Entry'!O78,'Council Entry'!O$9),'Council Entry'!O$8),'Council Entry'!O78))))-'Council Entry'!O$5)/('Council Entry'!O$6-'Council Entry'!O$5)),1))),"No data"))</f>
        <v/>
      </c>
      <c r="P78" s="13">
        <f>IF('Council Entry'!P78="","",IFERROR(MAX(0,MIN(10,ROUND(IF('Council Entry'!P$7="Decrease Risk",10-10*((IF('Council Entry'!P$4="Logarithm",LN(0.001+IF(AND(ISNUMBER('Council Entry'!P$8),ISNUMBER('Council Entry'!P$9)),MAX(MIN('Council Entry'!P78,'Council Entry'!P$9),'Council Entry'!P$8),'Council Entry'!P78)),IF('Council Entry'!P$4="Exponential",EXP(IF(AND(ISNUMBER('Council Entry'!P$8),ISNUMBER('Council Entry'!P$9)),MAX(MIN('Council Entry'!P78,'Council Entry'!P$9),'Council Entry'!P$8),'Council Entry'!P78)),IF(AND(ISNUMBER('Council Entry'!P$8),ISNUMBER('Council Entry'!P$9)),MAX(MIN('Council Entry'!P78,'Council Entry'!P$9),'Council Entry'!P$8),'Council Entry'!P78))))-'Council Entry'!P$5)/('Council Entry'!P$6-'Council Entry'!P$5),10*((IF('Council Entry'!P$4="Logarithm",LN(0.001+IF(AND(ISNUMBER('Council Entry'!P$8),ISNUMBER('Council Entry'!P$9)),MAX(MIN('Council Entry'!P78,'Council Entry'!P$9),'Council Entry'!P$8),'Council Entry'!P78)),IF('Council Entry'!P$4="Exponential",EXP(IF(AND(ISNUMBER('Council Entry'!P$8),ISNUMBER('Council Entry'!P$9)),MAX(MIN('Council Entry'!P78,'Council Entry'!P$9),'Council Entry'!P$8),'Council Entry'!P78)),IF(AND(ISNUMBER('Council Entry'!P$8),ISNUMBER('Council Entry'!P$9)),MAX(MIN('Council Entry'!P78,'Council Entry'!P$9),'Council Entry'!P$8),'Council Entry'!P78))))-'Council Entry'!P$5)/('Council Entry'!P$6-'Council Entry'!P$5)),1))),"No data"))</f>
        <v/>
      </c>
      <c r="Q78" s="13">
        <f>IF('Council Entry'!Q78="","",IFERROR(MAX(0,MIN(10,ROUND(IF('Council Entry'!Q$7="Decrease Risk",10-10*((IF('Council Entry'!Q$4="Logarithm",LN(0.001+IF(AND(ISNUMBER('Council Entry'!Q$8),ISNUMBER('Council Entry'!Q$9)),MAX(MIN('Council Entry'!Q78,'Council Entry'!Q$9),'Council Entry'!Q$8),'Council Entry'!Q78)),IF('Council Entry'!Q$4="Exponential",EXP(IF(AND(ISNUMBER('Council Entry'!Q$8),ISNUMBER('Council Entry'!Q$9)),MAX(MIN('Council Entry'!Q78,'Council Entry'!Q$9),'Council Entry'!Q$8),'Council Entry'!Q78)),IF(AND(ISNUMBER('Council Entry'!Q$8),ISNUMBER('Council Entry'!Q$9)),MAX(MIN('Council Entry'!Q78,'Council Entry'!Q$9),'Council Entry'!Q$8),'Council Entry'!Q78))))-'Council Entry'!Q$5)/('Council Entry'!Q$6-'Council Entry'!Q$5),10*((IF('Council Entry'!Q$4="Logarithm",LN(0.001+IF(AND(ISNUMBER('Council Entry'!Q$8),ISNUMBER('Council Entry'!Q$9)),MAX(MIN('Council Entry'!Q78,'Council Entry'!Q$9),'Council Entry'!Q$8),'Council Entry'!Q78)),IF('Council Entry'!Q$4="Exponential",EXP(IF(AND(ISNUMBER('Council Entry'!Q$8),ISNUMBER('Council Entry'!Q$9)),MAX(MIN('Council Entry'!Q78,'Council Entry'!Q$9),'Council Entry'!Q$8),'Council Entry'!Q78)),IF(AND(ISNUMBER('Council Entry'!Q$8),ISNUMBER('Council Entry'!Q$9)),MAX(MIN('Council Entry'!Q78,'Council Entry'!Q$9),'Council Entry'!Q$8),'Council Entry'!Q78))))-'Council Entry'!Q$5)/('Council Entry'!Q$6-'Council Entry'!Q$5)),1))),"No data"))</f>
        <v/>
      </c>
      <c r="R78" s="13">
        <f>IF('Council Entry'!R78="","",IFERROR(MAX(0,MIN(10,ROUND(IF('Council Entry'!R$7="Decrease Risk",10-10*((IF('Council Entry'!R$4="Logarithm",LN(0.001+IF(AND(ISNUMBER('Council Entry'!R$8),ISNUMBER('Council Entry'!R$9)),MAX(MIN('Council Entry'!R78,'Council Entry'!R$9),'Council Entry'!R$8),'Council Entry'!R78)),IF('Council Entry'!R$4="Exponential",EXP(IF(AND(ISNUMBER('Council Entry'!R$8),ISNUMBER('Council Entry'!R$9)),MAX(MIN('Council Entry'!R78,'Council Entry'!R$9),'Council Entry'!R$8),'Council Entry'!R78)),IF(AND(ISNUMBER('Council Entry'!R$8),ISNUMBER('Council Entry'!R$9)),MAX(MIN('Council Entry'!R78,'Council Entry'!R$9),'Council Entry'!R$8),'Council Entry'!R78))))-'Council Entry'!R$5)/('Council Entry'!R$6-'Council Entry'!R$5),10*((IF('Council Entry'!R$4="Logarithm",LN(0.001+IF(AND(ISNUMBER('Council Entry'!R$8),ISNUMBER('Council Entry'!R$9)),MAX(MIN('Council Entry'!R78,'Council Entry'!R$9),'Council Entry'!R$8),'Council Entry'!R78)),IF('Council Entry'!R$4="Exponential",EXP(IF(AND(ISNUMBER('Council Entry'!R$8),ISNUMBER('Council Entry'!R$9)),MAX(MIN('Council Entry'!R78,'Council Entry'!R$9),'Council Entry'!R$8),'Council Entry'!R78)),IF(AND(ISNUMBER('Council Entry'!R$8),ISNUMBER('Council Entry'!R$9)),MAX(MIN('Council Entry'!R78,'Council Entry'!R$9),'Council Entry'!R$8),'Council Entry'!R78))))-'Council Entry'!R$5)/('Council Entry'!R$6-'Council Entry'!R$5)),1))),"No data"))</f>
        <v/>
      </c>
      <c r="S78" s="13">
        <f>IF('Council Entry'!S78="","",IFERROR(MAX(0,MIN(10,ROUND(IF('Council Entry'!S$7="Decrease Risk",10-10*((IF('Council Entry'!S$4="Logarithm",LN(0.001+IF(AND(ISNUMBER('Council Entry'!S$8),ISNUMBER('Council Entry'!S$9)),MAX(MIN('Council Entry'!S78,'Council Entry'!S$9),'Council Entry'!S$8),'Council Entry'!S78)),IF('Council Entry'!S$4="Exponential",EXP(IF(AND(ISNUMBER('Council Entry'!S$8),ISNUMBER('Council Entry'!S$9)),MAX(MIN('Council Entry'!S78,'Council Entry'!S$9),'Council Entry'!S$8),'Council Entry'!S78)),IF(AND(ISNUMBER('Council Entry'!S$8),ISNUMBER('Council Entry'!S$9)),MAX(MIN('Council Entry'!S78,'Council Entry'!S$9),'Council Entry'!S$8),'Council Entry'!S78))))-'Council Entry'!S$5)/('Council Entry'!S$6-'Council Entry'!S$5),10*((IF('Council Entry'!S$4="Logarithm",LN(0.001+IF(AND(ISNUMBER('Council Entry'!S$8),ISNUMBER('Council Entry'!S$9)),MAX(MIN('Council Entry'!S78,'Council Entry'!S$9),'Council Entry'!S$8),'Council Entry'!S78)),IF('Council Entry'!S$4="Exponential",EXP(IF(AND(ISNUMBER('Council Entry'!S$8),ISNUMBER('Council Entry'!S$9)),MAX(MIN('Council Entry'!S78,'Council Entry'!S$9),'Council Entry'!S$8),'Council Entry'!S78)),IF(AND(ISNUMBER('Council Entry'!S$8),ISNUMBER('Council Entry'!S$9)),MAX(MIN('Council Entry'!S78,'Council Entry'!S$9),'Council Entry'!S$8),'Council Entry'!S78))))-'Council Entry'!S$5)/('Council Entry'!S$6-'Council Entry'!S$5)),1))),"No data"))</f>
        <v/>
      </c>
      <c r="T78" s="13">
        <f>IF('Council Entry'!T78="","",IFERROR(MAX(0,MIN(10,ROUND(IF('Council Entry'!T$7="Decrease Risk",10-10*((IF('Council Entry'!T$4="Logarithm",LN(0.001+IF(AND(ISNUMBER('Council Entry'!T$8),ISNUMBER('Council Entry'!T$9)),MAX(MIN('Council Entry'!T78,'Council Entry'!T$9),'Council Entry'!T$8),'Council Entry'!T78)),IF('Council Entry'!T$4="Exponential",EXP(IF(AND(ISNUMBER('Council Entry'!T$8),ISNUMBER('Council Entry'!T$9)),MAX(MIN('Council Entry'!T78,'Council Entry'!T$9),'Council Entry'!T$8),'Council Entry'!T78)),IF(AND(ISNUMBER('Council Entry'!T$8),ISNUMBER('Council Entry'!T$9)),MAX(MIN('Council Entry'!T78,'Council Entry'!T$9),'Council Entry'!T$8),'Council Entry'!T78))))-'Council Entry'!T$5)/('Council Entry'!T$6-'Council Entry'!T$5),10*((IF('Council Entry'!T$4="Logarithm",LN(0.001+IF(AND(ISNUMBER('Council Entry'!T$8),ISNUMBER('Council Entry'!T$9)),MAX(MIN('Council Entry'!T78,'Council Entry'!T$9),'Council Entry'!T$8),'Council Entry'!T78)),IF('Council Entry'!T$4="Exponential",EXP(IF(AND(ISNUMBER('Council Entry'!T$8),ISNUMBER('Council Entry'!T$9)),MAX(MIN('Council Entry'!T78,'Council Entry'!T$9),'Council Entry'!T$8),'Council Entry'!T78)),IF(AND(ISNUMBER('Council Entry'!T$8),ISNUMBER('Council Entry'!T$9)),MAX(MIN('Council Entry'!T78,'Council Entry'!T$9),'Council Entry'!T$8),'Council Entry'!T78))))-'Council Entry'!T$5)/('Council Entry'!T$6-'Council Entry'!T$5)),1))),"No data"))</f>
        <v/>
      </c>
      <c r="U78" s="13">
        <f>IF('Council Entry'!U78="","",IFERROR(MAX(0,MIN(10,ROUND(IF('Council Entry'!U$7="Decrease Risk",10-10*((IF('Council Entry'!U$4="Logarithm",LN(0.001+IF(AND(ISNUMBER('Council Entry'!U$8),ISNUMBER('Council Entry'!U$9)),MAX(MIN('Council Entry'!U78,'Council Entry'!U$9),'Council Entry'!U$8),'Council Entry'!U78)),IF('Council Entry'!U$4="Exponential",EXP(IF(AND(ISNUMBER('Council Entry'!U$8),ISNUMBER('Council Entry'!U$9)),MAX(MIN('Council Entry'!U78,'Council Entry'!U$9),'Council Entry'!U$8),'Council Entry'!U78)),IF(AND(ISNUMBER('Council Entry'!U$8),ISNUMBER('Council Entry'!U$9)),MAX(MIN('Council Entry'!U78,'Council Entry'!U$9),'Council Entry'!U$8),'Council Entry'!U78))))-'Council Entry'!U$5)/('Council Entry'!U$6-'Council Entry'!U$5),10*((IF('Council Entry'!U$4="Logarithm",LN(0.001+IF(AND(ISNUMBER('Council Entry'!U$8),ISNUMBER('Council Entry'!U$9)),MAX(MIN('Council Entry'!U78,'Council Entry'!U$9),'Council Entry'!U$8),'Council Entry'!U78)),IF('Council Entry'!U$4="Exponential",EXP(IF(AND(ISNUMBER('Council Entry'!U$8),ISNUMBER('Council Entry'!U$9)),MAX(MIN('Council Entry'!U78,'Council Entry'!U$9),'Council Entry'!U$8),'Council Entry'!U78)),IF(AND(ISNUMBER('Council Entry'!U$8),ISNUMBER('Council Entry'!U$9)),MAX(MIN('Council Entry'!U78,'Council Entry'!U$9),'Council Entry'!U$8),'Council Entry'!U78))))-'Council Entry'!U$5)/('Council Entry'!U$6-'Council Entry'!U$5)),1))),"No data"))</f>
        <v/>
      </c>
      <c r="V78" s="13">
        <f>IF('Council Entry'!V78="","",IFERROR(MAX(0,MIN(10,ROUND(IF('Council Entry'!V$7="Decrease Risk",10-10*((IF('Council Entry'!V$4="Logarithm",LN(0.001+IF(AND(ISNUMBER('Council Entry'!V$8),ISNUMBER('Council Entry'!V$9)),MAX(MIN('Council Entry'!V78,'Council Entry'!V$9),'Council Entry'!V$8),'Council Entry'!V78)),IF('Council Entry'!V$4="Exponential",EXP(IF(AND(ISNUMBER('Council Entry'!V$8),ISNUMBER('Council Entry'!V$9)),MAX(MIN('Council Entry'!V78,'Council Entry'!V$9),'Council Entry'!V$8),'Council Entry'!V78)),IF(AND(ISNUMBER('Council Entry'!V$8),ISNUMBER('Council Entry'!V$9)),MAX(MIN('Council Entry'!V78,'Council Entry'!V$9),'Council Entry'!V$8),'Council Entry'!V78))))-'Council Entry'!V$5)/('Council Entry'!V$6-'Council Entry'!V$5),10*((IF('Council Entry'!V$4="Logarithm",LN(0.001+IF(AND(ISNUMBER('Council Entry'!V$8),ISNUMBER('Council Entry'!V$9)),MAX(MIN('Council Entry'!V78,'Council Entry'!V$9),'Council Entry'!V$8),'Council Entry'!V78)),IF('Council Entry'!V$4="Exponential",EXP(IF(AND(ISNUMBER('Council Entry'!V$8),ISNUMBER('Council Entry'!V$9)),MAX(MIN('Council Entry'!V78,'Council Entry'!V$9),'Council Entry'!V$8),'Council Entry'!V78)),IF(AND(ISNUMBER('Council Entry'!V$8),ISNUMBER('Council Entry'!V$9)),MAX(MIN('Council Entry'!V78,'Council Entry'!V$9),'Council Entry'!V$8),'Council Entry'!V78))))-'Council Entry'!V$5)/('Council Entry'!V$6-'Council Entry'!V$5)),1))),"No data"))</f>
        <v/>
      </c>
      <c r="W78" s="13">
        <f>IF('Council Entry'!W78="","",IFERROR(MAX(0,MIN(10,ROUND(IF('Council Entry'!W$7="Decrease Risk",10-10*((IF('Council Entry'!W$4="Logarithm",LN(0.001+IF(AND(ISNUMBER('Council Entry'!W$8),ISNUMBER('Council Entry'!W$9)),MAX(MIN('Council Entry'!W78,'Council Entry'!W$9),'Council Entry'!W$8),'Council Entry'!W78)),IF('Council Entry'!W$4="Exponential",EXP(IF(AND(ISNUMBER('Council Entry'!W$8),ISNUMBER('Council Entry'!W$9)),MAX(MIN('Council Entry'!W78,'Council Entry'!W$9),'Council Entry'!W$8),'Council Entry'!W78)),IF(AND(ISNUMBER('Council Entry'!W$8),ISNUMBER('Council Entry'!W$9)),MAX(MIN('Council Entry'!W78,'Council Entry'!W$9),'Council Entry'!W$8),'Council Entry'!W78))))-'Council Entry'!W$5)/('Council Entry'!W$6-'Council Entry'!W$5),10*((IF('Council Entry'!W$4="Logarithm",LN(0.001+IF(AND(ISNUMBER('Council Entry'!W$8),ISNUMBER('Council Entry'!W$9)),MAX(MIN('Council Entry'!W78,'Council Entry'!W$9),'Council Entry'!W$8),'Council Entry'!W78)),IF('Council Entry'!W$4="Exponential",EXP(IF(AND(ISNUMBER('Council Entry'!W$8),ISNUMBER('Council Entry'!W$9)),MAX(MIN('Council Entry'!W78,'Council Entry'!W$9),'Council Entry'!W$8),'Council Entry'!W78)),IF(AND(ISNUMBER('Council Entry'!W$8),ISNUMBER('Council Entry'!W$9)),MAX(MIN('Council Entry'!W78,'Council Entry'!W$9),'Council Entry'!W$8),'Council Entry'!W78))))-'Council Entry'!W$5)/('Council Entry'!W$6-'Council Entry'!W$5)),1))),"No data"))</f>
        <v/>
      </c>
      <c r="X78" s="13">
        <f>IF('Council Entry'!X78="","",IFERROR(MAX(0,MIN(10,ROUND(IF('Council Entry'!X$7="Decrease Risk",10-10*((IF('Council Entry'!X$4="Logarithm",LN(0.001+IF(AND(ISNUMBER('Council Entry'!X$8),ISNUMBER('Council Entry'!X$9)),MAX(MIN('Council Entry'!X78,'Council Entry'!X$9),'Council Entry'!X$8),'Council Entry'!X78)),IF('Council Entry'!X$4="Exponential",EXP(IF(AND(ISNUMBER('Council Entry'!X$8),ISNUMBER('Council Entry'!X$9)),MAX(MIN('Council Entry'!X78,'Council Entry'!X$9),'Council Entry'!X$8),'Council Entry'!X78)),IF(AND(ISNUMBER('Council Entry'!X$8),ISNUMBER('Council Entry'!X$9)),MAX(MIN('Council Entry'!X78,'Council Entry'!X$9),'Council Entry'!X$8),'Council Entry'!X78))))-'Council Entry'!X$5)/('Council Entry'!X$6-'Council Entry'!X$5),10*((IF('Council Entry'!X$4="Logarithm",LN(0.001+IF(AND(ISNUMBER('Council Entry'!X$8),ISNUMBER('Council Entry'!X$9)),MAX(MIN('Council Entry'!X78,'Council Entry'!X$9),'Council Entry'!X$8),'Council Entry'!X78)),IF('Council Entry'!X$4="Exponential",EXP(IF(AND(ISNUMBER('Council Entry'!X$8),ISNUMBER('Council Entry'!X$9)),MAX(MIN('Council Entry'!X78,'Council Entry'!X$9),'Council Entry'!X$8),'Council Entry'!X78)),IF(AND(ISNUMBER('Council Entry'!X$8),ISNUMBER('Council Entry'!X$9)),MAX(MIN('Council Entry'!X78,'Council Entry'!X$9),'Council Entry'!X$8),'Council Entry'!X78))))-'Council Entry'!X$5)/('Council Entry'!X$6-'Council Entry'!X$5)),1))),"No data"))</f>
        <v/>
      </c>
      <c r="Y78" s="13">
        <f>IF('Council Entry'!Y78="","",IFERROR(MAX(0,MIN(10,ROUND(IF('Council Entry'!Y$7="Decrease Risk",10-10*((IF('Council Entry'!Y$4="Logarithm",LN(0.001+IF(AND(ISNUMBER('Council Entry'!Y$8),ISNUMBER('Council Entry'!Y$9)),MAX(MIN('Council Entry'!Y78,'Council Entry'!Y$9),'Council Entry'!Y$8),'Council Entry'!Y78)),IF('Council Entry'!Y$4="Exponential",EXP(IF(AND(ISNUMBER('Council Entry'!Y$8),ISNUMBER('Council Entry'!Y$9)),MAX(MIN('Council Entry'!Y78,'Council Entry'!Y$9),'Council Entry'!Y$8),'Council Entry'!Y78)),IF(AND(ISNUMBER('Council Entry'!Y$8),ISNUMBER('Council Entry'!Y$9)),MAX(MIN('Council Entry'!Y78,'Council Entry'!Y$9),'Council Entry'!Y$8),'Council Entry'!Y78))))-'Council Entry'!Y$5)/('Council Entry'!Y$6-'Council Entry'!Y$5),10*((IF('Council Entry'!Y$4="Logarithm",LN(0.001+IF(AND(ISNUMBER('Council Entry'!Y$8),ISNUMBER('Council Entry'!Y$9)),MAX(MIN('Council Entry'!Y78,'Council Entry'!Y$9),'Council Entry'!Y$8),'Council Entry'!Y78)),IF('Council Entry'!Y$4="Exponential",EXP(IF(AND(ISNUMBER('Council Entry'!Y$8),ISNUMBER('Council Entry'!Y$9)),MAX(MIN('Council Entry'!Y78,'Council Entry'!Y$9),'Council Entry'!Y$8),'Council Entry'!Y78)),IF(AND(ISNUMBER('Council Entry'!Y$8),ISNUMBER('Council Entry'!Y$9)),MAX(MIN('Council Entry'!Y78,'Council Entry'!Y$9),'Council Entry'!Y$8),'Council Entry'!Y78))))-'Council Entry'!Y$5)/('Council Entry'!Y$6-'Council Entry'!Y$5)),1))),"No data"))</f>
        <v/>
      </c>
      <c r="Z78" s="13">
        <f>IF('Council Entry'!Z78="","",IFERROR(MAX(0,MIN(10,ROUND(IF('Council Entry'!Z$7="Decrease Risk",10-10*((IF('Council Entry'!Z$4="Logarithm",LN(0.001+IF(AND(ISNUMBER('Council Entry'!Z$8),ISNUMBER('Council Entry'!Z$9)),MAX(MIN('Council Entry'!Z78,'Council Entry'!Z$9),'Council Entry'!Z$8),'Council Entry'!Z78)),IF('Council Entry'!Z$4="Exponential",EXP(IF(AND(ISNUMBER('Council Entry'!Z$8),ISNUMBER('Council Entry'!Z$9)),MAX(MIN('Council Entry'!Z78,'Council Entry'!Z$9),'Council Entry'!Z$8),'Council Entry'!Z78)),IF(AND(ISNUMBER('Council Entry'!Z$8),ISNUMBER('Council Entry'!Z$9)),MAX(MIN('Council Entry'!Z78,'Council Entry'!Z$9),'Council Entry'!Z$8),'Council Entry'!Z78))))-'Council Entry'!Z$5)/('Council Entry'!Z$6-'Council Entry'!Z$5),10*((IF('Council Entry'!Z$4="Logarithm",LN(0.001+IF(AND(ISNUMBER('Council Entry'!Z$8),ISNUMBER('Council Entry'!Z$9)),MAX(MIN('Council Entry'!Z78,'Council Entry'!Z$9),'Council Entry'!Z$8),'Council Entry'!Z78)),IF('Council Entry'!Z$4="Exponential",EXP(IF(AND(ISNUMBER('Council Entry'!Z$8),ISNUMBER('Council Entry'!Z$9)),MAX(MIN('Council Entry'!Z78,'Council Entry'!Z$9),'Council Entry'!Z$8),'Council Entry'!Z78)),IF(AND(ISNUMBER('Council Entry'!Z$8),ISNUMBER('Council Entry'!Z$9)),MAX(MIN('Council Entry'!Z78,'Council Entry'!Z$9),'Council Entry'!Z$8),'Council Entry'!Z78))))-'Council Entry'!Z$5)/('Council Entry'!Z$6-'Council Entry'!Z$5)),1))),"No data"))</f>
        <v/>
      </c>
      <c r="AA78" s="13">
        <f>IF('Council Entry'!AA78="","",IFERROR(MAX(0,MIN(10,ROUND(IF('Council Entry'!AA$7="Decrease Risk",10-10*((IF('Council Entry'!AA$4="Logarithm",LN(0.001+IF(AND(ISNUMBER('Council Entry'!AA$8),ISNUMBER('Council Entry'!AA$9)),MAX(MIN('Council Entry'!AA78,'Council Entry'!AA$9),'Council Entry'!AA$8),'Council Entry'!AA78)),IF('Council Entry'!AA$4="Exponential",EXP(IF(AND(ISNUMBER('Council Entry'!AA$8),ISNUMBER('Council Entry'!AA$9)),MAX(MIN('Council Entry'!AA78,'Council Entry'!AA$9),'Council Entry'!AA$8),'Council Entry'!AA78)),IF(AND(ISNUMBER('Council Entry'!AA$8),ISNUMBER('Council Entry'!AA$9)),MAX(MIN('Council Entry'!AA78,'Council Entry'!AA$9),'Council Entry'!AA$8),'Council Entry'!AA78))))-'Council Entry'!AA$5)/('Council Entry'!AA$6-'Council Entry'!AA$5),10*((IF('Council Entry'!AA$4="Logarithm",LN(0.001+IF(AND(ISNUMBER('Council Entry'!AA$8),ISNUMBER('Council Entry'!AA$9)),MAX(MIN('Council Entry'!AA78,'Council Entry'!AA$9),'Council Entry'!AA$8),'Council Entry'!AA78)),IF('Council Entry'!AA$4="Exponential",EXP(IF(AND(ISNUMBER('Council Entry'!AA$8),ISNUMBER('Council Entry'!AA$9)),MAX(MIN('Council Entry'!AA78,'Council Entry'!AA$9),'Council Entry'!AA$8),'Council Entry'!AA78)),IF(AND(ISNUMBER('Council Entry'!AA$8),ISNUMBER('Council Entry'!AA$9)),MAX(MIN('Council Entry'!AA78,'Council Entry'!AA$9),'Council Entry'!AA$8),'Council Entry'!AA78))))-'Council Entry'!AA$5)/('Council Entry'!AA$6-'Council Entry'!AA$5)),1))),"No data"))</f>
        <v/>
      </c>
      <c r="AB78" s="13">
        <f>IF('Council Entry'!AB78="","",IFERROR(MAX(0,MIN(10,ROUND(IF('Council Entry'!AB$7="Decrease Risk",10-10*((IF('Council Entry'!AB$4="Logarithm",LN(0.001+IF(AND(ISNUMBER('Council Entry'!AB$8),ISNUMBER('Council Entry'!AB$9)),MAX(MIN('Council Entry'!AB78,'Council Entry'!AB$9),'Council Entry'!AB$8),'Council Entry'!AB78)),IF('Council Entry'!AB$4="Exponential",EXP(IF(AND(ISNUMBER('Council Entry'!AB$8),ISNUMBER('Council Entry'!AB$9)),MAX(MIN('Council Entry'!AB78,'Council Entry'!AB$9),'Council Entry'!AB$8),'Council Entry'!AB78)),IF(AND(ISNUMBER('Council Entry'!AB$8),ISNUMBER('Council Entry'!AB$9)),MAX(MIN('Council Entry'!AB78,'Council Entry'!AB$9),'Council Entry'!AB$8),'Council Entry'!AB78))))-'Council Entry'!AB$5)/('Council Entry'!AB$6-'Council Entry'!AB$5),10*((IF('Council Entry'!AB$4="Logarithm",LN(0.001+IF(AND(ISNUMBER('Council Entry'!AB$8),ISNUMBER('Council Entry'!AB$9)),MAX(MIN('Council Entry'!AB78,'Council Entry'!AB$9),'Council Entry'!AB$8),'Council Entry'!AB78)),IF('Council Entry'!AB$4="Exponential",EXP(IF(AND(ISNUMBER('Council Entry'!AB$8),ISNUMBER('Council Entry'!AB$9)),MAX(MIN('Council Entry'!AB78,'Council Entry'!AB$9),'Council Entry'!AB$8),'Council Entry'!AB78)),IF(AND(ISNUMBER('Council Entry'!AB$8),ISNUMBER('Council Entry'!AB$9)),MAX(MIN('Council Entry'!AB78,'Council Entry'!AB$9),'Council Entry'!AB$8),'Council Entry'!AB78))))-'Council Entry'!AB$5)/('Council Entry'!AB$6-'Council Entry'!AB$5)),1))),"No data"))</f>
        <v/>
      </c>
      <c r="AC78" s="13">
        <f>IF('Council Entry'!AC78="","",IFERROR(MAX(0,MIN(10,ROUND(IF('Council Entry'!AC$7="Decrease Risk",10-10*((IF('Council Entry'!AC$4="Logarithm",LN(0.001+IF(AND(ISNUMBER('Council Entry'!AC$8),ISNUMBER('Council Entry'!AC$9)),MAX(MIN('Council Entry'!AC78,'Council Entry'!AC$9),'Council Entry'!AC$8),'Council Entry'!AC78)),IF('Council Entry'!AC$4="Exponential",EXP(IF(AND(ISNUMBER('Council Entry'!AC$8),ISNUMBER('Council Entry'!AC$9)),MAX(MIN('Council Entry'!AC78,'Council Entry'!AC$9),'Council Entry'!AC$8),'Council Entry'!AC78)),IF(AND(ISNUMBER('Council Entry'!AC$8),ISNUMBER('Council Entry'!AC$9)),MAX(MIN('Council Entry'!AC78,'Council Entry'!AC$9),'Council Entry'!AC$8),'Council Entry'!AC78))))-'Council Entry'!AC$5)/('Council Entry'!AC$6-'Council Entry'!AC$5),10*((IF('Council Entry'!AC$4="Logarithm",LN(0.001+IF(AND(ISNUMBER('Council Entry'!AC$8),ISNUMBER('Council Entry'!AC$9)),MAX(MIN('Council Entry'!AC78,'Council Entry'!AC$9),'Council Entry'!AC$8),'Council Entry'!AC78)),IF('Council Entry'!AC$4="Exponential",EXP(IF(AND(ISNUMBER('Council Entry'!AC$8),ISNUMBER('Council Entry'!AC$9)),MAX(MIN('Council Entry'!AC78,'Council Entry'!AC$9),'Council Entry'!AC$8),'Council Entry'!AC78)),IF(AND(ISNUMBER('Council Entry'!AC$8),ISNUMBER('Council Entry'!AC$9)),MAX(MIN('Council Entry'!AC78,'Council Entry'!AC$9),'Council Entry'!AC$8),'Council Entry'!AC78))))-'Council Entry'!AC$5)/('Council Entry'!AC$6-'Council Entry'!AC$5)),1))),"No data"))</f>
        <v/>
      </c>
      <c r="AD78" s="13">
        <f>IF('Council Entry'!AD78="","",IFERROR(MAX(0,MIN(10,ROUND(IF('Council Entry'!AD$7="Decrease Risk",10-10*((IF('Council Entry'!AD$4="Logarithm",LN(0.001+IF(AND(ISNUMBER('Council Entry'!AD$8),ISNUMBER('Council Entry'!AD$9)),MAX(MIN('Council Entry'!AD78,'Council Entry'!AD$9),'Council Entry'!AD$8),'Council Entry'!AD78)),IF('Council Entry'!AD$4="Exponential",EXP(IF(AND(ISNUMBER('Council Entry'!AD$8),ISNUMBER('Council Entry'!AD$9)),MAX(MIN('Council Entry'!AD78,'Council Entry'!AD$9),'Council Entry'!AD$8),'Council Entry'!AD78)),IF(AND(ISNUMBER('Council Entry'!AD$8),ISNUMBER('Council Entry'!AD$9)),MAX(MIN('Council Entry'!AD78,'Council Entry'!AD$9),'Council Entry'!AD$8),'Council Entry'!AD78))))-'Council Entry'!AD$5)/('Council Entry'!AD$6-'Council Entry'!AD$5),10*((IF('Council Entry'!AD$4="Logarithm",LN(0.001+IF(AND(ISNUMBER('Council Entry'!AD$8),ISNUMBER('Council Entry'!AD$9)),MAX(MIN('Council Entry'!AD78,'Council Entry'!AD$9),'Council Entry'!AD$8),'Council Entry'!AD78)),IF('Council Entry'!AD$4="Exponential",EXP(IF(AND(ISNUMBER('Council Entry'!AD$8),ISNUMBER('Council Entry'!AD$9)),MAX(MIN('Council Entry'!AD78,'Council Entry'!AD$9),'Council Entry'!AD$8),'Council Entry'!AD78)),IF(AND(ISNUMBER('Council Entry'!AD$8),ISNUMBER('Council Entry'!AD$9)),MAX(MIN('Council Entry'!AD78,'Council Entry'!AD$9),'Council Entry'!AD$8),'Council Entry'!AD78))))-'Council Entry'!AD$5)/('Council Entry'!AD$6-'Council Entry'!AD$5)),1))),"No data"))</f>
        <v/>
      </c>
      <c r="AE78" s="13">
        <f>IF('Council Entry'!AE78="","",IFERROR(MAX(0,MIN(10,ROUND(IF('Council Entry'!AE$7="Decrease Risk",10-10*((IF('Council Entry'!AE$4="Logarithm",LN(0.001+IF(AND(ISNUMBER('Council Entry'!AE$8),ISNUMBER('Council Entry'!AE$9)),MAX(MIN('Council Entry'!AE78,'Council Entry'!AE$9),'Council Entry'!AE$8),'Council Entry'!AE78)),IF('Council Entry'!AE$4="Exponential",EXP(IF(AND(ISNUMBER('Council Entry'!AE$8),ISNUMBER('Council Entry'!AE$9)),MAX(MIN('Council Entry'!AE78,'Council Entry'!AE$9),'Council Entry'!AE$8),'Council Entry'!AE78)),IF(AND(ISNUMBER('Council Entry'!AE$8),ISNUMBER('Council Entry'!AE$9)),MAX(MIN('Council Entry'!AE78,'Council Entry'!AE$9),'Council Entry'!AE$8),'Council Entry'!AE78))))-'Council Entry'!AE$5)/('Council Entry'!AE$6-'Council Entry'!AE$5),10*((IF('Council Entry'!AE$4="Logarithm",LN(0.001+IF(AND(ISNUMBER('Council Entry'!AE$8),ISNUMBER('Council Entry'!AE$9)),MAX(MIN('Council Entry'!AE78,'Council Entry'!AE$9),'Council Entry'!AE$8),'Council Entry'!AE78)),IF('Council Entry'!AE$4="Exponential",EXP(IF(AND(ISNUMBER('Council Entry'!AE$8),ISNUMBER('Council Entry'!AE$9)),MAX(MIN('Council Entry'!AE78,'Council Entry'!AE$9),'Council Entry'!AE$8),'Council Entry'!AE78)),IF(AND(ISNUMBER('Council Entry'!AE$8),ISNUMBER('Council Entry'!AE$9)),MAX(MIN('Council Entry'!AE78,'Council Entry'!AE$9),'Council Entry'!AE$8),'Council Entry'!AE78))))-'Council Entry'!AE$5)/('Council Entry'!AE$6-'Council Entry'!AE$5)),1))),"No data"))</f>
        <v/>
      </c>
      <c r="AF78" s="13">
        <f>IF('Council Entry'!AF78="","",IFERROR(MAX(0,MIN(10,ROUND(IF('Council Entry'!AF$7="Decrease Risk",10-10*((IF('Council Entry'!AF$4="Logarithm",LN(0.001+IF(AND(ISNUMBER('Council Entry'!AF$8),ISNUMBER('Council Entry'!AF$9)),MAX(MIN('Council Entry'!AF78,'Council Entry'!AF$9),'Council Entry'!AF$8),'Council Entry'!AF78)),IF('Council Entry'!AF$4="Exponential",EXP(IF(AND(ISNUMBER('Council Entry'!AF$8),ISNUMBER('Council Entry'!AF$9)),MAX(MIN('Council Entry'!AF78,'Council Entry'!AF$9),'Council Entry'!AF$8),'Council Entry'!AF78)),IF(AND(ISNUMBER('Council Entry'!AF$8),ISNUMBER('Council Entry'!AF$9)),MAX(MIN('Council Entry'!AF78,'Council Entry'!AF$9),'Council Entry'!AF$8),'Council Entry'!AF78))))-'Council Entry'!AF$5)/('Council Entry'!AF$6-'Council Entry'!AF$5),10*((IF('Council Entry'!AF$4="Logarithm",LN(0.001+IF(AND(ISNUMBER('Council Entry'!AF$8),ISNUMBER('Council Entry'!AF$9)),MAX(MIN('Council Entry'!AF78,'Council Entry'!AF$9),'Council Entry'!AF$8),'Council Entry'!AF78)),IF('Council Entry'!AF$4="Exponential",EXP(IF(AND(ISNUMBER('Council Entry'!AF$8),ISNUMBER('Council Entry'!AF$9)),MAX(MIN('Council Entry'!AF78,'Council Entry'!AF$9),'Council Entry'!AF$8),'Council Entry'!AF78)),IF(AND(ISNUMBER('Council Entry'!AF$8),ISNUMBER('Council Entry'!AF$9)),MAX(MIN('Council Entry'!AF78,'Council Entry'!AF$9),'Council Entry'!AF$8),'Council Entry'!AF78))))-'Council Entry'!AF$5)/('Council Entry'!AF$6-'Council Entry'!AF$5)),1))),"No data"))</f>
        <v/>
      </c>
      <c r="AG78" s="13">
        <f>IF('Council Entry'!AG78="","",IFERROR(MAX(0,MIN(10,ROUND(IF('Council Entry'!AG$7="Decrease Risk",10-10*((IF('Council Entry'!AG$4="Logarithm",LN(0.001+IF(AND(ISNUMBER('Council Entry'!AG$8),ISNUMBER('Council Entry'!AG$9)),MAX(MIN('Council Entry'!AG78,'Council Entry'!AG$9),'Council Entry'!AG$8),'Council Entry'!AG78)),IF('Council Entry'!AG$4="Exponential",EXP(IF(AND(ISNUMBER('Council Entry'!AG$8),ISNUMBER('Council Entry'!AG$9)),MAX(MIN('Council Entry'!AG78,'Council Entry'!AG$9),'Council Entry'!AG$8),'Council Entry'!AG78)),IF(AND(ISNUMBER('Council Entry'!AG$8),ISNUMBER('Council Entry'!AG$9)),MAX(MIN('Council Entry'!AG78,'Council Entry'!AG$9),'Council Entry'!AG$8),'Council Entry'!AG78))))-'Council Entry'!AG$5)/('Council Entry'!AG$6-'Council Entry'!AG$5),10*((IF('Council Entry'!AG$4="Logarithm",LN(0.001+IF(AND(ISNUMBER('Council Entry'!AG$8),ISNUMBER('Council Entry'!AG$9)),MAX(MIN('Council Entry'!AG78,'Council Entry'!AG$9),'Council Entry'!AG$8),'Council Entry'!AG78)),IF('Council Entry'!AG$4="Exponential",EXP(IF(AND(ISNUMBER('Council Entry'!AG$8),ISNUMBER('Council Entry'!AG$9)),MAX(MIN('Council Entry'!AG78,'Council Entry'!AG$9),'Council Entry'!AG$8),'Council Entry'!AG78)),IF(AND(ISNUMBER('Council Entry'!AG$8),ISNUMBER('Council Entry'!AG$9)),MAX(MIN('Council Entry'!AG78,'Council Entry'!AG$9),'Council Entry'!AG$8),'Council Entry'!AG78))))-'Council Entry'!AG$5)/('Council Entry'!AG$6-'Council Entry'!AG$5)),1))),"No data"))</f>
        <v/>
      </c>
      <c r="AH78" s="13">
        <f>IF('Council Entry'!AH78="","",IFERROR(MAX(0,MIN(10,ROUND(IF('Council Entry'!AH$7="Decrease Risk",10-10*((IF('Council Entry'!AH$4="Logarithm",LN(0.001+IF(AND(ISNUMBER('Council Entry'!AH$8),ISNUMBER('Council Entry'!AH$9)),MAX(MIN('Council Entry'!AH78,'Council Entry'!AH$9),'Council Entry'!AH$8),'Council Entry'!AH78)),IF('Council Entry'!AH$4="Exponential",EXP(IF(AND(ISNUMBER('Council Entry'!AH$8),ISNUMBER('Council Entry'!AH$9)),MAX(MIN('Council Entry'!AH78,'Council Entry'!AH$9),'Council Entry'!AH$8),'Council Entry'!AH78)),IF(AND(ISNUMBER('Council Entry'!AH$8),ISNUMBER('Council Entry'!AH$9)),MAX(MIN('Council Entry'!AH78,'Council Entry'!AH$9),'Council Entry'!AH$8),'Council Entry'!AH78))))-'Council Entry'!AH$5)/('Council Entry'!AH$6-'Council Entry'!AH$5),10*((IF('Council Entry'!AH$4="Logarithm",LN(0.001+IF(AND(ISNUMBER('Council Entry'!AH$8),ISNUMBER('Council Entry'!AH$9)),MAX(MIN('Council Entry'!AH78,'Council Entry'!AH$9),'Council Entry'!AH$8),'Council Entry'!AH78)),IF('Council Entry'!AH$4="Exponential",EXP(IF(AND(ISNUMBER('Council Entry'!AH$8),ISNUMBER('Council Entry'!AH$9)),MAX(MIN('Council Entry'!AH78,'Council Entry'!AH$9),'Council Entry'!AH$8),'Council Entry'!AH78)),IF(AND(ISNUMBER('Council Entry'!AH$8),ISNUMBER('Council Entry'!AH$9)),MAX(MIN('Council Entry'!AH78,'Council Entry'!AH$9),'Council Entry'!AH$8),'Council Entry'!AH78))))-'Council Entry'!AH$5)/('Council Entry'!AH$6-'Council Entry'!AH$5)),1))),"No data"))</f>
        <v/>
      </c>
      <c r="AI78" s="13">
        <f>IF('Council Entry'!AI78="","",IFERROR(MAX(0,MIN(10,ROUND(IF('Council Entry'!AI$7="Decrease Risk",10-10*((IF('Council Entry'!AI$4="Logarithm",LN(0.001+IF(AND(ISNUMBER('Council Entry'!AI$8),ISNUMBER('Council Entry'!AI$9)),MAX(MIN('Council Entry'!AI78,'Council Entry'!AI$9),'Council Entry'!AI$8),'Council Entry'!AI78)),IF('Council Entry'!AI$4="Exponential",EXP(IF(AND(ISNUMBER('Council Entry'!AI$8),ISNUMBER('Council Entry'!AI$9)),MAX(MIN('Council Entry'!AI78,'Council Entry'!AI$9),'Council Entry'!AI$8),'Council Entry'!AI78)),IF(AND(ISNUMBER('Council Entry'!AI$8),ISNUMBER('Council Entry'!AI$9)),MAX(MIN('Council Entry'!AI78,'Council Entry'!AI$9),'Council Entry'!AI$8),'Council Entry'!AI78))))-'Council Entry'!AI$5)/('Council Entry'!AI$6-'Council Entry'!AI$5),10*((IF('Council Entry'!AI$4="Logarithm",LN(0.001+IF(AND(ISNUMBER('Council Entry'!AI$8),ISNUMBER('Council Entry'!AI$9)),MAX(MIN('Council Entry'!AI78,'Council Entry'!AI$9),'Council Entry'!AI$8),'Council Entry'!AI78)),IF('Council Entry'!AI$4="Exponential",EXP(IF(AND(ISNUMBER('Council Entry'!AI$8),ISNUMBER('Council Entry'!AI$9)),MAX(MIN('Council Entry'!AI78,'Council Entry'!AI$9),'Council Entry'!AI$8),'Council Entry'!AI78)),IF(AND(ISNUMBER('Council Entry'!AI$8),ISNUMBER('Council Entry'!AI$9)),MAX(MIN('Council Entry'!AI78,'Council Entry'!AI$9),'Council Entry'!AI$8),'Council Entry'!AI78))))-'Council Entry'!AI$5)/('Council Entry'!AI$6-'Council Entry'!AI$5)),1))),"No data"))</f>
        <v/>
      </c>
      <c r="AJ78" s="13">
        <f>IF('Council Entry'!AJ78="","",IFERROR(MAX(0,MIN(10,ROUND(IF('Council Entry'!AJ$7="Decrease Risk",10-10*((IF('Council Entry'!AJ$4="Logarithm",LN(0.001+IF(AND(ISNUMBER('Council Entry'!AJ$8),ISNUMBER('Council Entry'!AJ$9)),MAX(MIN('Council Entry'!AJ78,'Council Entry'!AJ$9),'Council Entry'!AJ$8),'Council Entry'!AJ78)),IF('Council Entry'!AJ$4="Exponential",EXP(IF(AND(ISNUMBER('Council Entry'!AJ$8),ISNUMBER('Council Entry'!AJ$9)),MAX(MIN('Council Entry'!AJ78,'Council Entry'!AJ$9),'Council Entry'!AJ$8),'Council Entry'!AJ78)),IF(AND(ISNUMBER('Council Entry'!AJ$8),ISNUMBER('Council Entry'!AJ$9)),MAX(MIN('Council Entry'!AJ78,'Council Entry'!AJ$9),'Council Entry'!AJ$8),'Council Entry'!AJ78))))-'Council Entry'!AJ$5)/('Council Entry'!AJ$6-'Council Entry'!AJ$5),10*((IF('Council Entry'!AJ$4="Logarithm",LN(0.001+IF(AND(ISNUMBER('Council Entry'!AJ$8),ISNUMBER('Council Entry'!AJ$9)),MAX(MIN('Council Entry'!AJ78,'Council Entry'!AJ$9),'Council Entry'!AJ$8),'Council Entry'!AJ78)),IF('Council Entry'!AJ$4="Exponential",EXP(IF(AND(ISNUMBER('Council Entry'!AJ$8),ISNUMBER('Council Entry'!AJ$9)),MAX(MIN('Council Entry'!AJ78,'Council Entry'!AJ$9),'Council Entry'!AJ$8),'Council Entry'!AJ78)),IF(AND(ISNUMBER('Council Entry'!AJ$8),ISNUMBER('Council Entry'!AJ$9)),MAX(MIN('Council Entry'!AJ78,'Council Entry'!AJ$9),'Council Entry'!AJ$8),'Council Entry'!AJ78))))-'Council Entry'!AJ$5)/('Council Entry'!AJ$6-'Council Entry'!AJ$5)),1))),"No data"))</f>
        <v/>
      </c>
      <c r="AK78" s="13">
        <f>IF('Council Entry'!AK78="","",IFERROR(MAX(0,MIN(10,ROUND(IF('Council Entry'!AK$7="Decrease Risk",10-10*((IF('Council Entry'!AK$4="Logarithm",LN(0.001+IF(AND(ISNUMBER('Council Entry'!AK$8),ISNUMBER('Council Entry'!AK$9)),MAX(MIN('Council Entry'!AK78,'Council Entry'!AK$9),'Council Entry'!AK$8),'Council Entry'!AK78)),IF('Council Entry'!AK$4="Exponential",EXP(IF(AND(ISNUMBER('Council Entry'!AK$8),ISNUMBER('Council Entry'!AK$9)),MAX(MIN('Council Entry'!AK78,'Council Entry'!AK$9),'Council Entry'!AK$8),'Council Entry'!AK78)),IF(AND(ISNUMBER('Council Entry'!AK$8),ISNUMBER('Council Entry'!AK$9)),MAX(MIN('Council Entry'!AK78,'Council Entry'!AK$9),'Council Entry'!AK$8),'Council Entry'!AK78))))-'Council Entry'!AK$5)/('Council Entry'!AK$6-'Council Entry'!AK$5),10*((IF('Council Entry'!AK$4="Logarithm",LN(0.001+IF(AND(ISNUMBER('Council Entry'!AK$8),ISNUMBER('Council Entry'!AK$9)),MAX(MIN('Council Entry'!AK78,'Council Entry'!AK$9),'Council Entry'!AK$8),'Council Entry'!AK78)),IF('Council Entry'!AK$4="Exponential",EXP(IF(AND(ISNUMBER('Council Entry'!AK$8),ISNUMBER('Council Entry'!AK$9)),MAX(MIN('Council Entry'!AK78,'Council Entry'!AK$9),'Council Entry'!AK$8),'Council Entry'!AK78)),IF(AND(ISNUMBER('Council Entry'!AK$8),ISNUMBER('Council Entry'!AK$9)),MAX(MIN('Council Entry'!AK78,'Council Entry'!AK$9),'Council Entry'!AK$8),'Council Entry'!AK78))))-'Council Entry'!AK$5)/('Council Entry'!AK$6-'Council Entry'!AK$5)),1))),"No data"))</f>
        <v/>
      </c>
      <c r="AL78" s="13">
        <f>IF('Council Entry'!AL78="","",IFERROR(MAX(0,MIN(10,ROUND(IF('Council Entry'!AL$7="Decrease Risk",10-10*((IF('Council Entry'!AL$4="Logarithm",LN(0.001+IF(AND(ISNUMBER('Council Entry'!AL$8),ISNUMBER('Council Entry'!AL$9)),MAX(MIN('Council Entry'!AL78,'Council Entry'!AL$9),'Council Entry'!AL$8),'Council Entry'!AL78)),IF('Council Entry'!AL$4="Exponential",EXP(IF(AND(ISNUMBER('Council Entry'!AL$8),ISNUMBER('Council Entry'!AL$9)),MAX(MIN('Council Entry'!AL78,'Council Entry'!AL$9),'Council Entry'!AL$8),'Council Entry'!AL78)),IF(AND(ISNUMBER('Council Entry'!AL$8),ISNUMBER('Council Entry'!AL$9)),MAX(MIN('Council Entry'!AL78,'Council Entry'!AL$9),'Council Entry'!AL$8),'Council Entry'!AL78))))-'Council Entry'!AL$5)/('Council Entry'!AL$6-'Council Entry'!AL$5),10*((IF('Council Entry'!AL$4="Logarithm",LN(0.001+IF(AND(ISNUMBER('Council Entry'!AL$8),ISNUMBER('Council Entry'!AL$9)),MAX(MIN('Council Entry'!AL78,'Council Entry'!AL$9),'Council Entry'!AL$8),'Council Entry'!AL78)),IF('Council Entry'!AL$4="Exponential",EXP(IF(AND(ISNUMBER('Council Entry'!AL$8),ISNUMBER('Council Entry'!AL$9)),MAX(MIN('Council Entry'!AL78,'Council Entry'!AL$9),'Council Entry'!AL$8),'Council Entry'!AL78)),IF(AND(ISNUMBER('Council Entry'!AL$8),ISNUMBER('Council Entry'!AL$9)),MAX(MIN('Council Entry'!AL78,'Council Entry'!AL$9),'Council Entry'!AL$8),'Council Entry'!AL78))))-'Council Entry'!AL$5)/('Council Entry'!AL$6-'Council Entry'!AL$5)),1))),"No data"))</f>
        <v/>
      </c>
      <c r="AM78" s="13">
        <f>IF('Council Entry'!AM78="","",IFERROR(MAX(0,MIN(10,ROUND(IF('Council Entry'!AM$7="Decrease Risk",10-10*((IF('Council Entry'!AM$4="Logarithm",LN(0.001+IF(AND(ISNUMBER('Council Entry'!AM$8),ISNUMBER('Council Entry'!AM$9)),MAX(MIN('Council Entry'!AM78,'Council Entry'!AM$9),'Council Entry'!AM$8),'Council Entry'!AM78)),IF('Council Entry'!AM$4="Exponential",EXP(IF(AND(ISNUMBER('Council Entry'!AM$8),ISNUMBER('Council Entry'!AM$9)),MAX(MIN('Council Entry'!AM78,'Council Entry'!AM$9),'Council Entry'!AM$8),'Council Entry'!AM78)),IF(AND(ISNUMBER('Council Entry'!AM$8),ISNUMBER('Council Entry'!AM$9)),MAX(MIN('Council Entry'!AM78,'Council Entry'!AM$9),'Council Entry'!AM$8),'Council Entry'!AM78))))-'Council Entry'!AM$5)/('Council Entry'!AM$6-'Council Entry'!AM$5),10*((IF('Council Entry'!AM$4="Logarithm",LN(0.001+IF(AND(ISNUMBER('Council Entry'!AM$8),ISNUMBER('Council Entry'!AM$9)),MAX(MIN('Council Entry'!AM78,'Council Entry'!AM$9),'Council Entry'!AM$8),'Council Entry'!AM78)),IF('Council Entry'!AM$4="Exponential",EXP(IF(AND(ISNUMBER('Council Entry'!AM$8),ISNUMBER('Council Entry'!AM$9)),MAX(MIN('Council Entry'!AM78,'Council Entry'!AM$9),'Council Entry'!AM$8),'Council Entry'!AM78)),IF(AND(ISNUMBER('Council Entry'!AM$8),ISNUMBER('Council Entry'!AM$9)),MAX(MIN('Council Entry'!AM78,'Council Entry'!AM$9),'Council Entry'!AM$8),'Council Entry'!AM78))))-'Council Entry'!AM$5)/('Council Entry'!AM$6-'Council Entry'!AM$5)),1))),"No data"))</f>
        <v/>
      </c>
      <c r="AN78" s="13">
        <f>IF('Council Entry'!AN78="","",IFERROR(MAX(0,MIN(10,ROUND(IF('Council Entry'!AN$7="Decrease Risk",10-10*((IF('Council Entry'!AN$4="Logarithm",LN(0.001+IF(AND(ISNUMBER('Council Entry'!AN$8),ISNUMBER('Council Entry'!AN$9)),MAX(MIN('Council Entry'!AN78,'Council Entry'!AN$9),'Council Entry'!AN$8),'Council Entry'!AN78)),IF('Council Entry'!AN$4="Exponential",EXP(IF(AND(ISNUMBER('Council Entry'!AN$8),ISNUMBER('Council Entry'!AN$9)),MAX(MIN('Council Entry'!AN78,'Council Entry'!AN$9),'Council Entry'!AN$8),'Council Entry'!AN78)),IF(AND(ISNUMBER('Council Entry'!AN$8),ISNUMBER('Council Entry'!AN$9)),MAX(MIN('Council Entry'!AN78,'Council Entry'!AN$9),'Council Entry'!AN$8),'Council Entry'!AN78))))-'Council Entry'!AN$5)/('Council Entry'!AN$6-'Council Entry'!AN$5),10*((IF('Council Entry'!AN$4="Logarithm",LN(0.001+IF(AND(ISNUMBER('Council Entry'!AN$8),ISNUMBER('Council Entry'!AN$9)),MAX(MIN('Council Entry'!AN78,'Council Entry'!AN$9),'Council Entry'!AN$8),'Council Entry'!AN78)),IF('Council Entry'!AN$4="Exponential",EXP(IF(AND(ISNUMBER('Council Entry'!AN$8),ISNUMBER('Council Entry'!AN$9)),MAX(MIN('Council Entry'!AN78,'Council Entry'!AN$9),'Council Entry'!AN$8),'Council Entry'!AN78)),IF(AND(ISNUMBER('Council Entry'!AN$8),ISNUMBER('Council Entry'!AN$9)),MAX(MIN('Council Entry'!AN78,'Council Entry'!AN$9),'Council Entry'!AN$8),'Council Entry'!AN78))))-'Council Entry'!AN$5)/('Council Entry'!AN$6-'Council Entry'!AN$5)),1))),"No data"))</f>
        <v/>
      </c>
      <c r="AO78" s="13">
        <f>IF('Council Entry'!AO78="","",IFERROR(MAX(0,MIN(10,ROUND(IF('Council Entry'!AO$7="Decrease Risk",10-10*((IF('Council Entry'!AO$4="Logarithm",LN(0.001+IF(AND(ISNUMBER('Council Entry'!AO$8),ISNUMBER('Council Entry'!AO$9)),MAX(MIN('Council Entry'!AO78,'Council Entry'!AO$9),'Council Entry'!AO$8),'Council Entry'!AO78)),IF('Council Entry'!AO$4="Exponential",EXP(IF(AND(ISNUMBER('Council Entry'!AO$8),ISNUMBER('Council Entry'!AO$9)),MAX(MIN('Council Entry'!AO78,'Council Entry'!AO$9),'Council Entry'!AO$8),'Council Entry'!AO78)),IF(AND(ISNUMBER('Council Entry'!AO$8),ISNUMBER('Council Entry'!AO$9)),MAX(MIN('Council Entry'!AO78,'Council Entry'!AO$9),'Council Entry'!AO$8),'Council Entry'!AO78))))-'Council Entry'!AO$5)/('Council Entry'!AO$6-'Council Entry'!AO$5),10*((IF('Council Entry'!AO$4="Logarithm",LN(0.001+IF(AND(ISNUMBER('Council Entry'!AO$8),ISNUMBER('Council Entry'!AO$9)),MAX(MIN('Council Entry'!AO78,'Council Entry'!AO$9),'Council Entry'!AO$8),'Council Entry'!AO78)),IF('Council Entry'!AO$4="Exponential",EXP(IF(AND(ISNUMBER('Council Entry'!AO$8),ISNUMBER('Council Entry'!AO$9)),MAX(MIN('Council Entry'!AO78,'Council Entry'!AO$9),'Council Entry'!AO$8),'Council Entry'!AO78)),IF(AND(ISNUMBER('Council Entry'!AO$8),ISNUMBER('Council Entry'!AO$9)),MAX(MIN('Council Entry'!AO78,'Council Entry'!AO$9),'Council Entry'!AO$8),'Council Entry'!AO78))))-'Council Entry'!AO$5)/('Council Entry'!AO$6-'Council Entry'!AO$5)),1))),"No data"))</f>
        <v/>
      </c>
      <c r="AP78" s="13">
        <f>IF('Council Entry'!AP78="","",IFERROR(MAX(0,MIN(10,ROUND(IF('Council Entry'!AP$7="Decrease Risk",10-10*((IF('Council Entry'!AP$4="Logarithm",LN(0.001+IF(AND(ISNUMBER('Council Entry'!AP$8),ISNUMBER('Council Entry'!AP$9)),MAX(MIN('Council Entry'!AP78,'Council Entry'!AP$9),'Council Entry'!AP$8),'Council Entry'!AP78)),IF('Council Entry'!AP$4="Exponential",EXP(IF(AND(ISNUMBER('Council Entry'!AP$8),ISNUMBER('Council Entry'!AP$9)),MAX(MIN('Council Entry'!AP78,'Council Entry'!AP$9),'Council Entry'!AP$8),'Council Entry'!AP78)),IF(AND(ISNUMBER('Council Entry'!AP$8),ISNUMBER('Council Entry'!AP$9)),MAX(MIN('Council Entry'!AP78,'Council Entry'!AP$9),'Council Entry'!AP$8),'Council Entry'!AP78))))-'Council Entry'!AP$5)/('Council Entry'!AP$6-'Council Entry'!AP$5),10*((IF('Council Entry'!AP$4="Logarithm",LN(0.001+IF(AND(ISNUMBER('Council Entry'!AP$8),ISNUMBER('Council Entry'!AP$9)),MAX(MIN('Council Entry'!AP78,'Council Entry'!AP$9),'Council Entry'!AP$8),'Council Entry'!AP78)),IF('Council Entry'!AP$4="Exponential",EXP(IF(AND(ISNUMBER('Council Entry'!AP$8),ISNUMBER('Council Entry'!AP$9)),MAX(MIN('Council Entry'!AP78,'Council Entry'!AP$9),'Council Entry'!AP$8),'Council Entry'!AP78)),IF(AND(ISNUMBER('Council Entry'!AP$8),ISNUMBER('Council Entry'!AP$9)),MAX(MIN('Council Entry'!AP78,'Council Entry'!AP$9),'Council Entry'!AP$8),'Council Entry'!AP78))))-'Council Entry'!AP$5)/('Council Entry'!AP$6-'Council Entry'!AP$5)),1))),"No data"))</f>
        <v/>
      </c>
      <c r="AQ78" s="13">
        <f>IF('Council Entry'!AQ78="","",IFERROR(MAX(0,MIN(10,ROUND(IF('Council Entry'!AQ$7="Decrease Risk",10-10*((IF('Council Entry'!AQ$4="Logarithm",LN(0.001+IF(AND(ISNUMBER('Council Entry'!AQ$8),ISNUMBER('Council Entry'!AQ$9)),MAX(MIN('Council Entry'!AQ78,'Council Entry'!AQ$9),'Council Entry'!AQ$8),'Council Entry'!AQ78)),IF('Council Entry'!AQ$4="Exponential",EXP(IF(AND(ISNUMBER('Council Entry'!AQ$8),ISNUMBER('Council Entry'!AQ$9)),MAX(MIN('Council Entry'!AQ78,'Council Entry'!AQ$9),'Council Entry'!AQ$8),'Council Entry'!AQ78)),IF(AND(ISNUMBER('Council Entry'!AQ$8),ISNUMBER('Council Entry'!AQ$9)),MAX(MIN('Council Entry'!AQ78,'Council Entry'!AQ$9),'Council Entry'!AQ$8),'Council Entry'!AQ78))))-'Council Entry'!AQ$5)/('Council Entry'!AQ$6-'Council Entry'!AQ$5),10*((IF('Council Entry'!AQ$4="Logarithm",LN(0.001+IF(AND(ISNUMBER('Council Entry'!AQ$8),ISNUMBER('Council Entry'!AQ$9)),MAX(MIN('Council Entry'!AQ78,'Council Entry'!AQ$9),'Council Entry'!AQ$8),'Council Entry'!AQ78)),IF('Council Entry'!AQ$4="Exponential",EXP(IF(AND(ISNUMBER('Council Entry'!AQ$8),ISNUMBER('Council Entry'!AQ$9)),MAX(MIN('Council Entry'!AQ78,'Council Entry'!AQ$9),'Council Entry'!AQ$8),'Council Entry'!AQ78)),IF(AND(ISNUMBER('Council Entry'!AQ$8),ISNUMBER('Council Entry'!AQ$9)),MAX(MIN('Council Entry'!AQ78,'Council Entry'!AQ$9),'Council Entry'!AQ$8),'Council Entry'!AQ78))))-'Council Entry'!AQ$5)/('Council Entry'!AQ$6-'Council Entry'!AQ$5)),1))),"No data"))</f>
        <v/>
      </c>
      <c r="AR78" s="13">
        <f>IF('Council Entry'!AR78="","",IFERROR(MAX(0,MIN(10,ROUND(IF('Council Entry'!AR$7="Decrease Risk",10-10*((IF('Council Entry'!AR$4="Logarithm",LN(0.001+IF(AND(ISNUMBER('Council Entry'!AR$8),ISNUMBER('Council Entry'!AR$9)),MAX(MIN('Council Entry'!AR78,'Council Entry'!AR$9),'Council Entry'!AR$8),'Council Entry'!AR78)),IF('Council Entry'!AR$4="Exponential",EXP(IF(AND(ISNUMBER('Council Entry'!AR$8),ISNUMBER('Council Entry'!AR$9)),MAX(MIN('Council Entry'!AR78,'Council Entry'!AR$9),'Council Entry'!AR$8),'Council Entry'!AR78)),IF(AND(ISNUMBER('Council Entry'!AR$8),ISNUMBER('Council Entry'!AR$9)),MAX(MIN('Council Entry'!AR78,'Council Entry'!AR$9),'Council Entry'!AR$8),'Council Entry'!AR78))))-'Council Entry'!AR$5)/('Council Entry'!AR$6-'Council Entry'!AR$5),10*((IF('Council Entry'!AR$4="Logarithm",LN(0.001+IF(AND(ISNUMBER('Council Entry'!AR$8),ISNUMBER('Council Entry'!AR$9)),MAX(MIN('Council Entry'!AR78,'Council Entry'!AR$9),'Council Entry'!AR$8),'Council Entry'!AR78)),IF('Council Entry'!AR$4="Exponential",EXP(IF(AND(ISNUMBER('Council Entry'!AR$8),ISNUMBER('Council Entry'!AR$9)),MAX(MIN('Council Entry'!AR78,'Council Entry'!AR$9),'Council Entry'!AR$8),'Council Entry'!AR78)),IF(AND(ISNUMBER('Council Entry'!AR$8),ISNUMBER('Council Entry'!AR$9)),MAX(MIN('Council Entry'!AR78,'Council Entry'!AR$9),'Council Entry'!AR$8),'Council Entry'!AR78))))-'Council Entry'!AR$5)/('Council Entry'!AR$6-'Council Entry'!AR$5)),1))),"No data"))</f>
        <v/>
      </c>
      <c r="AS78" s="13">
        <f>IF('Council Entry'!AS78="","",IFERROR(MAX(0,MIN(10,ROUND(IF('Council Entry'!AS$7="Decrease Risk",10-10*((IF('Council Entry'!AS$4="Logarithm",LN(0.001+IF(AND(ISNUMBER('Council Entry'!AS$8),ISNUMBER('Council Entry'!AS$9)),MAX(MIN('Council Entry'!AS78,'Council Entry'!AS$9),'Council Entry'!AS$8),'Council Entry'!AS78)),IF('Council Entry'!AS$4="Exponential",EXP(IF(AND(ISNUMBER('Council Entry'!AS$8),ISNUMBER('Council Entry'!AS$9)),MAX(MIN('Council Entry'!AS78,'Council Entry'!AS$9),'Council Entry'!AS$8),'Council Entry'!AS78)),IF(AND(ISNUMBER('Council Entry'!AS$8),ISNUMBER('Council Entry'!AS$9)),MAX(MIN('Council Entry'!AS78,'Council Entry'!AS$9),'Council Entry'!AS$8),'Council Entry'!AS78))))-'Council Entry'!AS$5)/('Council Entry'!AS$6-'Council Entry'!AS$5),10*((IF('Council Entry'!AS$4="Logarithm",LN(0.001+IF(AND(ISNUMBER('Council Entry'!AS$8),ISNUMBER('Council Entry'!AS$9)),MAX(MIN('Council Entry'!AS78,'Council Entry'!AS$9),'Council Entry'!AS$8),'Council Entry'!AS78)),IF('Council Entry'!AS$4="Exponential",EXP(IF(AND(ISNUMBER('Council Entry'!AS$8),ISNUMBER('Council Entry'!AS$9)),MAX(MIN('Council Entry'!AS78,'Council Entry'!AS$9),'Council Entry'!AS$8),'Council Entry'!AS78)),IF(AND(ISNUMBER('Council Entry'!AS$8),ISNUMBER('Council Entry'!AS$9)),MAX(MIN('Council Entry'!AS78,'Council Entry'!AS$9),'Council Entry'!AS$8),'Council Entry'!AS78))))-'Council Entry'!AS$5)/('Council Entry'!AS$6-'Council Entry'!AS$5)),1))),"No data"))</f>
        <v/>
      </c>
      <c r="AT78" s="13">
        <f>IF('Council Entry'!AT78="","",IFERROR(MAX(0,MIN(10,ROUND(IF('Council Entry'!AT$7="Decrease Risk",10-10*((IF('Council Entry'!AT$4="Logarithm",LN(0.001+IF(AND(ISNUMBER('Council Entry'!AT$8),ISNUMBER('Council Entry'!AT$9)),MAX(MIN('Council Entry'!AT78,'Council Entry'!AT$9),'Council Entry'!AT$8),'Council Entry'!AT78)),IF('Council Entry'!AT$4="Exponential",EXP(IF(AND(ISNUMBER('Council Entry'!AT$8),ISNUMBER('Council Entry'!AT$9)),MAX(MIN('Council Entry'!AT78,'Council Entry'!AT$9),'Council Entry'!AT$8),'Council Entry'!AT78)),IF(AND(ISNUMBER('Council Entry'!AT$8),ISNUMBER('Council Entry'!AT$9)),MAX(MIN('Council Entry'!AT78,'Council Entry'!AT$9),'Council Entry'!AT$8),'Council Entry'!AT78))))-'Council Entry'!AT$5)/('Council Entry'!AT$6-'Council Entry'!AT$5),10*((IF('Council Entry'!AT$4="Logarithm",LN(0.001+IF(AND(ISNUMBER('Council Entry'!AT$8),ISNUMBER('Council Entry'!AT$9)),MAX(MIN('Council Entry'!AT78,'Council Entry'!AT$9),'Council Entry'!AT$8),'Council Entry'!AT78)),IF('Council Entry'!AT$4="Exponential",EXP(IF(AND(ISNUMBER('Council Entry'!AT$8),ISNUMBER('Council Entry'!AT$9)),MAX(MIN('Council Entry'!AT78,'Council Entry'!AT$9),'Council Entry'!AT$8),'Council Entry'!AT78)),IF(AND(ISNUMBER('Council Entry'!AT$8),ISNUMBER('Council Entry'!AT$9)),MAX(MIN('Council Entry'!AT78,'Council Entry'!AT$9),'Council Entry'!AT$8),'Council Entry'!AT78))))-'Council Entry'!AT$5)/('Council Entry'!AT$6-'Council Entry'!AT$5)),1))),"No data"))</f>
        <v/>
      </c>
      <c r="AU78" s="13">
        <f>IF('Council Entry'!AU78="","",IFERROR(MAX(0,MIN(10,ROUND(IF('Council Entry'!AU$7="Decrease Risk",10-10*((IF('Council Entry'!AU$4="Logarithm",LN(0.001+IF(AND(ISNUMBER('Council Entry'!AU$8),ISNUMBER('Council Entry'!AU$9)),MAX(MIN('Council Entry'!AU78,'Council Entry'!AU$9),'Council Entry'!AU$8),'Council Entry'!AU78)),IF('Council Entry'!AU$4="Exponential",EXP(IF(AND(ISNUMBER('Council Entry'!AU$8),ISNUMBER('Council Entry'!AU$9)),MAX(MIN('Council Entry'!AU78,'Council Entry'!AU$9),'Council Entry'!AU$8),'Council Entry'!AU78)),IF(AND(ISNUMBER('Council Entry'!AU$8),ISNUMBER('Council Entry'!AU$9)),MAX(MIN('Council Entry'!AU78,'Council Entry'!AU$9),'Council Entry'!AU$8),'Council Entry'!AU78))))-'Council Entry'!AU$5)/('Council Entry'!AU$6-'Council Entry'!AU$5),10*((IF('Council Entry'!AU$4="Logarithm",LN(0.001+IF(AND(ISNUMBER('Council Entry'!AU$8),ISNUMBER('Council Entry'!AU$9)),MAX(MIN('Council Entry'!AU78,'Council Entry'!AU$9),'Council Entry'!AU$8),'Council Entry'!AU78)),IF('Council Entry'!AU$4="Exponential",EXP(IF(AND(ISNUMBER('Council Entry'!AU$8),ISNUMBER('Council Entry'!AU$9)),MAX(MIN('Council Entry'!AU78,'Council Entry'!AU$9),'Council Entry'!AU$8),'Council Entry'!AU78)),IF(AND(ISNUMBER('Council Entry'!AU$8),ISNUMBER('Council Entry'!AU$9)),MAX(MIN('Council Entry'!AU78,'Council Entry'!AU$9),'Council Entry'!AU$8),'Council Entry'!AU78))))-'Council Entry'!AU$5)/('Council Entry'!AU$6-'Council Entry'!AU$5)),1))),"No data"))</f>
        <v/>
      </c>
      <c r="AV78" s="13">
        <f>IF('Council Entry'!AV78="","",IFERROR(MAX(0,MIN(10,ROUND(IF('Council Entry'!AV$7="Decrease Risk",10-10*((IF('Council Entry'!AV$4="Logarithm",LN(0.001+IF(AND(ISNUMBER('Council Entry'!AV$8),ISNUMBER('Council Entry'!AV$9)),MAX(MIN('Council Entry'!AV78,'Council Entry'!AV$9),'Council Entry'!AV$8),'Council Entry'!AV78)),IF('Council Entry'!AV$4="Exponential",EXP(IF(AND(ISNUMBER('Council Entry'!AV$8),ISNUMBER('Council Entry'!AV$9)),MAX(MIN('Council Entry'!AV78,'Council Entry'!AV$9),'Council Entry'!AV$8),'Council Entry'!AV78)),IF(AND(ISNUMBER('Council Entry'!AV$8),ISNUMBER('Council Entry'!AV$9)),MAX(MIN('Council Entry'!AV78,'Council Entry'!AV$9),'Council Entry'!AV$8),'Council Entry'!AV78))))-'Council Entry'!AV$5)/('Council Entry'!AV$6-'Council Entry'!AV$5),10*((IF('Council Entry'!AV$4="Logarithm",LN(0.001+IF(AND(ISNUMBER('Council Entry'!AV$8),ISNUMBER('Council Entry'!AV$9)),MAX(MIN('Council Entry'!AV78,'Council Entry'!AV$9),'Council Entry'!AV$8),'Council Entry'!AV78)),IF('Council Entry'!AV$4="Exponential",EXP(IF(AND(ISNUMBER('Council Entry'!AV$8),ISNUMBER('Council Entry'!AV$9)),MAX(MIN('Council Entry'!AV78,'Council Entry'!AV$9),'Council Entry'!AV$8),'Council Entry'!AV78)),IF(AND(ISNUMBER('Council Entry'!AV$8),ISNUMBER('Council Entry'!AV$9)),MAX(MIN('Council Entry'!AV78,'Council Entry'!AV$9),'Council Entry'!AV$8),'Council Entry'!AV78))))-'Council Entry'!AV$5)/('Council Entry'!AV$6-'Council Entry'!AV$5)),1))),"No data"))</f>
        <v/>
      </c>
      <c r="AW78" s="13">
        <f>IF('Council Entry'!AW78="","",IFERROR(MAX(0,MIN(10,ROUND(IF('Council Entry'!AW$7="Decrease Risk",10-10*((IF('Council Entry'!AW$4="Logarithm",LN(0.001+IF(AND(ISNUMBER('Council Entry'!AW$8),ISNUMBER('Council Entry'!AW$9)),MAX(MIN('Council Entry'!AW78,'Council Entry'!AW$9),'Council Entry'!AW$8),'Council Entry'!AW78)),IF('Council Entry'!AW$4="Exponential",EXP(IF(AND(ISNUMBER('Council Entry'!AW$8),ISNUMBER('Council Entry'!AW$9)),MAX(MIN('Council Entry'!AW78,'Council Entry'!AW$9),'Council Entry'!AW$8),'Council Entry'!AW78)),IF(AND(ISNUMBER('Council Entry'!AW$8),ISNUMBER('Council Entry'!AW$9)),MAX(MIN('Council Entry'!AW78,'Council Entry'!AW$9),'Council Entry'!AW$8),'Council Entry'!AW78))))-'Council Entry'!AW$5)/('Council Entry'!AW$6-'Council Entry'!AW$5),10*((IF('Council Entry'!AW$4="Logarithm",LN(0.001+IF(AND(ISNUMBER('Council Entry'!AW$8),ISNUMBER('Council Entry'!AW$9)),MAX(MIN('Council Entry'!AW78,'Council Entry'!AW$9),'Council Entry'!AW$8),'Council Entry'!AW78)),IF('Council Entry'!AW$4="Exponential",EXP(IF(AND(ISNUMBER('Council Entry'!AW$8),ISNUMBER('Council Entry'!AW$9)),MAX(MIN('Council Entry'!AW78,'Council Entry'!AW$9),'Council Entry'!AW$8),'Council Entry'!AW78)),IF(AND(ISNUMBER('Council Entry'!AW$8),ISNUMBER('Council Entry'!AW$9)),MAX(MIN('Council Entry'!AW78,'Council Entry'!AW$9),'Council Entry'!AW$8),'Council Entry'!AW78))))-'Council Entry'!AW$5)/('Council Entry'!AW$6-'Council Entry'!AW$5)),1))),"No data"))</f>
        <v/>
      </c>
      <c r="AX78" s="13">
        <f>IF('Council Entry'!AX78="","",IFERROR(MAX(0,MIN(10,ROUND(IF('Council Entry'!AX$7="Decrease Risk",10-10*((IF('Council Entry'!AX$4="Logarithm",LN(0.001+IF(AND(ISNUMBER('Council Entry'!AX$8),ISNUMBER('Council Entry'!AX$9)),MAX(MIN('Council Entry'!AX78,'Council Entry'!AX$9),'Council Entry'!AX$8),'Council Entry'!AX78)),IF('Council Entry'!AX$4="Exponential",EXP(IF(AND(ISNUMBER('Council Entry'!AX$8),ISNUMBER('Council Entry'!AX$9)),MAX(MIN('Council Entry'!AX78,'Council Entry'!AX$9),'Council Entry'!AX$8),'Council Entry'!AX78)),IF(AND(ISNUMBER('Council Entry'!AX$8),ISNUMBER('Council Entry'!AX$9)),MAX(MIN('Council Entry'!AX78,'Council Entry'!AX$9),'Council Entry'!AX$8),'Council Entry'!AX78))))-'Council Entry'!AX$5)/('Council Entry'!AX$6-'Council Entry'!AX$5),10*((IF('Council Entry'!AX$4="Logarithm",LN(0.001+IF(AND(ISNUMBER('Council Entry'!AX$8),ISNUMBER('Council Entry'!AX$9)),MAX(MIN('Council Entry'!AX78,'Council Entry'!AX$9),'Council Entry'!AX$8),'Council Entry'!AX78)),IF('Council Entry'!AX$4="Exponential",EXP(IF(AND(ISNUMBER('Council Entry'!AX$8),ISNUMBER('Council Entry'!AX$9)),MAX(MIN('Council Entry'!AX78,'Council Entry'!AX$9),'Council Entry'!AX$8),'Council Entry'!AX78)),IF(AND(ISNUMBER('Council Entry'!AX$8),ISNUMBER('Council Entry'!AX$9)),MAX(MIN('Council Entry'!AX78,'Council Entry'!AX$9),'Council Entry'!AX$8),'Council Entry'!AX78))))-'Council Entry'!AX$5)/('Council Entry'!AX$6-'Council Entry'!AX$5)),1))),"No data"))</f>
        <v/>
      </c>
      <c r="AY78" s="13">
        <f>IF('Council Entry'!AY78="","",IFERROR(MAX(0,MIN(10,ROUND(IF('Council Entry'!AY$7="Decrease Risk",10-10*((IF('Council Entry'!AY$4="Logarithm",LN(0.001+IF(AND(ISNUMBER('Council Entry'!AY$8),ISNUMBER('Council Entry'!AY$9)),MAX(MIN('Council Entry'!AY78,'Council Entry'!AY$9),'Council Entry'!AY$8),'Council Entry'!AY78)),IF('Council Entry'!AY$4="Exponential",EXP(IF(AND(ISNUMBER('Council Entry'!AY$8),ISNUMBER('Council Entry'!AY$9)),MAX(MIN('Council Entry'!AY78,'Council Entry'!AY$9),'Council Entry'!AY$8),'Council Entry'!AY78)),IF(AND(ISNUMBER('Council Entry'!AY$8),ISNUMBER('Council Entry'!AY$9)),MAX(MIN('Council Entry'!AY78,'Council Entry'!AY$9),'Council Entry'!AY$8),'Council Entry'!AY78))))-'Council Entry'!AY$5)/('Council Entry'!AY$6-'Council Entry'!AY$5),10*((IF('Council Entry'!AY$4="Logarithm",LN(0.001+IF(AND(ISNUMBER('Council Entry'!AY$8),ISNUMBER('Council Entry'!AY$9)),MAX(MIN('Council Entry'!AY78,'Council Entry'!AY$9),'Council Entry'!AY$8),'Council Entry'!AY78)),IF('Council Entry'!AY$4="Exponential",EXP(IF(AND(ISNUMBER('Council Entry'!AY$8),ISNUMBER('Council Entry'!AY$9)),MAX(MIN('Council Entry'!AY78,'Council Entry'!AY$9),'Council Entry'!AY$8),'Council Entry'!AY78)),IF(AND(ISNUMBER('Council Entry'!AY$8),ISNUMBER('Council Entry'!AY$9)),MAX(MIN('Council Entry'!AY78,'Council Entry'!AY$9),'Council Entry'!AY$8),'Council Entry'!AY78))))-'Council Entry'!AY$5)/('Council Entry'!AY$6-'Council Entry'!AY$5)),1))),"No data"))</f>
        <v/>
      </c>
      <c r="AZ78" s="13">
        <f>IF('Council Entry'!AZ78="","",IFERROR(MAX(0,MIN(10,ROUND(IF('Council Entry'!AZ$7="Decrease Risk",10-10*((IF('Council Entry'!AZ$4="Logarithm",LN(0.001+IF(AND(ISNUMBER('Council Entry'!AZ$8),ISNUMBER('Council Entry'!AZ$9)),MAX(MIN('Council Entry'!AZ78,'Council Entry'!AZ$9),'Council Entry'!AZ$8),'Council Entry'!AZ78)),IF('Council Entry'!AZ$4="Exponential",EXP(IF(AND(ISNUMBER('Council Entry'!AZ$8),ISNUMBER('Council Entry'!AZ$9)),MAX(MIN('Council Entry'!AZ78,'Council Entry'!AZ$9),'Council Entry'!AZ$8),'Council Entry'!AZ78)),IF(AND(ISNUMBER('Council Entry'!AZ$8),ISNUMBER('Council Entry'!AZ$9)),MAX(MIN('Council Entry'!AZ78,'Council Entry'!AZ$9),'Council Entry'!AZ$8),'Council Entry'!AZ78))))-'Council Entry'!AZ$5)/('Council Entry'!AZ$6-'Council Entry'!AZ$5),10*((IF('Council Entry'!AZ$4="Logarithm",LN(0.001+IF(AND(ISNUMBER('Council Entry'!AZ$8),ISNUMBER('Council Entry'!AZ$9)),MAX(MIN('Council Entry'!AZ78,'Council Entry'!AZ$9),'Council Entry'!AZ$8),'Council Entry'!AZ78)),IF('Council Entry'!AZ$4="Exponential",EXP(IF(AND(ISNUMBER('Council Entry'!AZ$8),ISNUMBER('Council Entry'!AZ$9)),MAX(MIN('Council Entry'!AZ78,'Council Entry'!AZ$9),'Council Entry'!AZ$8),'Council Entry'!AZ78)),IF(AND(ISNUMBER('Council Entry'!AZ$8),ISNUMBER('Council Entry'!AZ$9)),MAX(MIN('Council Entry'!AZ78,'Council Entry'!AZ$9),'Council Entry'!AZ$8),'Council Entry'!AZ78))))-'Council Entry'!AZ$5)/('Council Entry'!AZ$6-'Council Entry'!AZ$5)),1))),"No data"))</f>
        <v/>
      </c>
      <c r="BA78" s="13">
        <f>IF('Council Entry'!BA78="","",IFERROR(MAX(0,MIN(10,ROUND(IF('Council Entry'!BA$7="Decrease Risk",10-10*((IF('Council Entry'!BA$4="Logarithm",LN(0.001+IF(AND(ISNUMBER('Council Entry'!BA$8),ISNUMBER('Council Entry'!BA$9)),MAX(MIN('Council Entry'!BA78,'Council Entry'!BA$9),'Council Entry'!BA$8),'Council Entry'!BA78)),IF('Council Entry'!BA$4="Exponential",EXP(IF(AND(ISNUMBER('Council Entry'!BA$8),ISNUMBER('Council Entry'!BA$9)),MAX(MIN('Council Entry'!BA78,'Council Entry'!BA$9),'Council Entry'!BA$8),'Council Entry'!BA78)),IF(AND(ISNUMBER('Council Entry'!BA$8),ISNUMBER('Council Entry'!BA$9)),MAX(MIN('Council Entry'!BA78,'Council Entry'!BA$9),'Council Entry'!BA$8),'Council Entry'!BA78))))-'Council Entry'!BA$5)/('Council Entry'!BA$6-'Council Entry'!BA$5),10*((IF('Council Entry'!BA$4="Logarithm",LN(0.001+IF(AND(ISNUMBER('Council Entry'!BA$8),ISNUMBER('Council Entry'!BA$9)),MAX(MIN('Council Entry'!BA78,'Council Entry'!BA$9),'Council Entry'!BA$8),'Council Entry'!BA78)),IF('Council Entry'!BA$4="Exponential",EXP(IF(AND(ISNUMBER('Council Entry'!BA$8),ISNUMBER('Council Entry'!BA$9)),MAX(MIN('Council Entry'!BA78,'Council Entry'!BA$9),'Council Entry'!BA$8),'Council Entry'!BA78)),IF(AND(ISNUMBER('Council Entry'!BA$8),ISNUMBER('Council Entry'!BA$9)),MAX(MIN('Council Entry'!BA78,'Council Entry'!BA$9),'Council Entry'!BA$8),'Council Entry'!BA78))))-'Council Entry'!BA$5)/('Council Entry'!BA$6-'Council Entry'!BA$5)),1))),"No data"))</f>
        <v/>
      </c>
      <c r="BB78" s="13">
        <f>IF('Council Entry'!BB78="","",IFERROR(MAX(0,MIN(10,ROUND(IF('Council Entry'!BB$7="Decrease Risk",10-10*((IF('Council Entry'!BB$4="Logarithm",LN(0.001+IF(AND(ISNUMBER('Council Entry'!BB$8),ISNUMBER('Council Entry'!BB$9)),MAX(MIN('Council Entry'!BB78,'Council Entry'!BB$9),'Council Entry'!BB$8),'Council Entry'!BB78)),IF('Council Entry'!BB$4="Exponential",EXP(IF(AND(ISNUMBER('Council Entry'!BB$8),ISNUMBER('Council Entry'!BB$9)),MAX(MIN('Council Entry'!BB78,'Council Entry'!BB$9),'Council Entry'!BB$8),'Council Entry'!BB78)),IF(AND(ISNUMBER('Council Entry'!BB$8),ISNUMBER('Council Entry'!BB$9)),MAX(MIN('Council Entry'!BB78,'Council Entry'!BB$9),'Council Entry'!BB$8),'Council Entry'!BB78))))-'Council Entry'!BB$5)/('Council Entry'!BB$6-'Council Entry'!BB$5),10*((IF('Council Entry'!BB$4="Logarithm",LN(0.001+IF(AND(ISNUMBER('Council Entry'!BB$8),ISNUMBER('Council Entry'!BB$9)),MAX(MIN('Council Entry'!BB78,'Council Entry'!BB$9),'Council Entry'!BB$8),'Council Entry'!BB78)),IF('Council Entry'!BB$4="Exponential",EXP(IF(AND(ISNUMBER('Council Entry'!BB$8),ISNUMBER('Council Entry'!BB$9)),MAX(MIN('Council Entry'!BB78,'Council Entry'!BB$9),'Council Entry'!BB$8),'Council Entry'!BB78)),IF(AND(ISNUMBER('Council Entry'!BB$8),ISNUMBER('Council Entry'!BB$9)),MAX(MIN('Council Entry'!BB78,'Council Entry'!BB$9),'Council Entry'!BB$8),'Council Entry'!BB78))))-'Council Entry'!BB$5)/('Council Entry'!BB$6-'Council Entry'!BB$5)),1))),"No data"))</f>
        <v/>
      </c>
      <c r="BC78" s="13">
        <f>IF('Council Entry'!BC78="","",IFERROR(MAX(0,MIN(10,ROUND(IF('Council Entry'!BC$7="Decrease Risk",10-10*((IF('Council Entry'!BC$4="Logarithm",LN(0.001+IF(AND(ISNUMBER('Council Entry'!BC$8),ISNUMBER('Council Entry'!BC$9)),MAX(MIN('Council Entry'!BC78,'Council Entry'!BC$9),'Council Entry'!BC$8),'Council Entry'!BC78)),IF('Council Entry'!BC$4="Exponential",EXP(IF(AND(ISNUMBER('Council Entry'!BC$8),ISNUMBER('Council Entry'!BC$9)),MAX(MIN('Council Entry'!BC78,'Council Entry'!BC$9),'Council Entry'!BC$8),'Council Entry'!BC78)),IF(AND(ISNUMBER('Council Entry'!BC$8),ISNUMBER('Council Entry'!BC$9)),MAX(MIN('Council Entry'!BC78,'Council Entry'!BC$9),'Council Entry'!BC$8),'Council Entry'!BC78))))-'Council Entry'!BC$5)/('Council Entry'!BC$6-'Council Entry'!BC$5),10*((IF('Council Entry'!BC$4="Logarithm",LN(0.001+IF(AND(ISNUMBER('Council Entry'!BC$8),ISNUMBER('Council Entry'!BC$9)),MAX(MIN('Council Entry'!BC78,'Council Entry'!BC$9),'Council Entry'!BC$8),'Council Entry'!BC78)),IF('Council Entry'!BC$4="Exponential",EXP(IF(AND(ISNUMBER('Council Entry'!BC$8),ISNUMBER('Council Entry'!BC$9)),MAX(MIN('Council Entry'!BC78,'Council Entry'!BC$9),'Council Entry'!BC$8),'Council Entry'!BC78)),IF(AND(ISNUMBER('Council Entry'!BC$8),ISNUMBER('Council Entry'!BC$9)),MAX(MIN('Council Entry'!BC78,'Council Entry'!BC$9),'Council Entry'!BC$8),'Council Entry'!BC78))))-'Council Entry'!BC$5)/('Council Entry'!BC$6-'Council Entry'!BC$5)),1))),"No data"))</f>
        <v/>
      </c>
      <c r="BD78" s="13">
        <f>IF('Council Entry'!BD78="","",IFERROR(MAX(0,MIN(10,ROUND(IF('Council Entry'!BD$7="Decrease Risk",10-10*((IF('Council Entry'!BD$4="Logarithm",LN(0.001+IF(AND(ISNUMBER('Council Entry'!BD$8),ISNUMBER('Council Entry'!BD$9)),MAX(MIN('Council Entry'!BD78,'Council Entry'!BD$9),'Council Entry'!BD$8),'Council Entry'!BD78)),IF('Council Entry'!BD$4="Exponential",EXP(IF(AND(ISNUMBER('Council Entry'!BD$8),ISNUMBER('Council Entry'!BD$9)),MAX(MIN('Council Entry'!BD78,'Council Entry'!BD$9),'Council Entry'!BD$8),'Council Entry'!BD78)),IF(AND(ISNUMBER('Council Entry'!BD$8),ISNUMBER('Council Entry'!BD$9)),MAX(MIN('Council Entry'!BD78,'Council Entry'!BD$9),'Council Entry'!BD$8),'Council Entry'!BD78))))-'Council Entry'!BD$5)/('Council Entry'!BD$6-'Council Entry'!BD$5),10*((IF('Council Entry'!BD$4="Logarithm",LN(0.001+IF(AND(ISNUMBER('Council Entry'!BD$8),ISNUMBER('Council Entry'!BD$9)),MAX(MIN('Council Entry'!BD78,'Council Entry'!BD$9),'Council Entry'!BD$8),'Council Entry'!BD78)),IF('Council Entry'!BD$4="Exponential",EXP(IF(AND(ISNUMBER('Council Entry'!BD$8),ISNUMBER('Council Entry'!BD$9)),MAX(MIN('Council Entry'!BD78,'Council Entry'!BD$9),'Council Entry'!BD$8),'Council Entry'!BD78)),IF(AND(ISNUMBER('Council Entry'!BD$8),ISNUMBER('Council Entry'!BD$9)),MAX(MIN('Council Entry'!BD78,'Council Entry'!BD$9),'Council Entry'!BD$8),'Council Entry'!BD78))))-'Council Entry'!BD$5)/('Council Entry'!BD$6-'Council Entry'!BD$5)),1))),"No data"))</f>
        <v/>
      </c>
    </row>
    <row r="79">
      <c r="A79" t="inlineStr">
        <is>
          <t>Lindi</t>
        </is>
      </c>
      <c r="B79" t="inlineStr">
        <is>
          <t>Lindi Municipal</t>
        </is>
      </c>
      <c r="C79" t="inlineStr">
        <is>
          <t>C059</t>
        </is>
      </c>
      <c r="D79" s="13">
        <f>IF('Council Entry'!D79="","",IFERROR(MAX(0,MIN(10,ROUND(IF('Council Entry'!D$7="Decrease Risk",10-10*((IF('Council Entry'!D$4="Logarithm",LN(0.001+IF(AND(ISNUMBER('Council Entry'!D$8),ISNUMBER('Council Entry'!D$9)),MAX(MIN('Council Entry'!D79,'Council Entry'!D$9),'Council Entry'!D$8),'Council Entry'!D79)),IF('Council Entry'!D$4="Exponential",EXP(IF(AND(ISNUMBER('Council Entry'!D$8),ISNUMBER('Council Entry'!D$9)),MAX(MIN('Council Entry'!D79,'Council Entry'!D$9),'Council Entry'!D$8),'Council Entry'!D79)),IF(AND(ISNUMBER('Council Entry'!D$8),ISNUMBER('Council Entry'!D$9)),MAX(MIN('Council Entry'!D79,'Council Entry'!D$9),'Council Entry'!D$8),'Council Entry'!D79))))-'Council Entry'!D$5)/('Council Entry'!D$6-'Council Entry'!D$5),10*((IF('Council Entry'!D$4="Logarithm",LN(0.001+IF(AND(ISNUMBER('Council Entry'!D$8),ISNUMBER('Council Entry'!D$9)),MAX(MIN('Council Entry'!D79,'Council Entry'!D$9),'Council Entry'!D$8),'Council Entry'!D79)),IF('Council Entry'!D$4="Exponential",EXP(IF(AND(ISNUMBER('Council Entry'!D$8),ISNUMBER('Council Entry'!D$9)),MAX(MIN('Council Entry'!D79,'Council Entry'!D$9),'Council Entry'!D$8),'Council Entry'!D79)),IF(AND(ISNUMBER('Council Entry'!D$8),ISNUMBER('Council Entry'!D$9)),MAX(MIN('Council Entry'!D79,'Council Entry'!D$9),'Council Entry'!D$8),'Council Entry'!D79))))-'Council Entry'!D$5)/('Council Entry'!D$6-'Council Entry'!D$5)),1))),"No data"))</f>
        <v/>
      </c>
      <c r="E79" s="13">
        <f>IF('Council Entry'!E79="","",IFERROR(MAX(0,MIN(10,ROUND(IF('Council Entry'!E$7="Decrease Risk",10-10*((IF('Council Entry'!E$4="Logarithm",LN(0.001+IF(AND(ISNUMBER('Council Entry'!E$8),ISNUMBER('Council Entry'!E$9)),MAX(MIN('Council Entry'!E79,'Council Entry'!E$9),'Council Entry'!E$8),'Council Entry'!E79)),IF('Council Entry'!E$4="Exponential",EXP(IF(AND(ISNUMBER('Council Entry'!E$8),ISNUMBER('Council Entry'!E$9)),MAX(MIN('Council Entry'!E79,'Council Entry'!E$9),'Council Entry'!E$8),'Council Entry'!E79)),IF(AND(ISNUMBER('Council Entry'!E$8),ISNUMBER('Council Entry'!E$9)),MAX(MIN('Council Entry'!E79,'Council Entry'!E$9),'Council Entry'!E$8),'Council Entry'!E79))))-'Council Entry'!E$5)/('Council Entry'!E$6-'Council Entry'!E$5),10*((IF('Council Entry'!E$4="Logarithm",LN(0.001+IF(AND(ISNUMBER('Council Entry'!E$8),ISNUMBER('Council Entry'!E$9)),MAX(MIN('Council Entry'!E79,'Council Entry'!E$9),'Council Entry'!E$8),'Council Entry'!E79)),IF('Council Entry'!E$4="Exponential",EXP(IF(AND(ISNUMBER('Council Entry'!E$8),ISNUMBER('Council Entry'!E$9)),MAX(MIN('Council Entry'!E79,'Council Entry'!E$9),'Council Entry'!E$8),'Council Entry'!E79)),IF(AND(ISNUMBER('Council Entry'!E$8),ISNUMBER('Council Entry'!E$9)),MAX(MIN('Council Entry'!E79,'Council Entry'!E$9),'Council Entry'!E$8),'Council Entry'!E79))))-'Council Entry'!E$5)/('Council Entry'!E$6-'Council Entry'!E$5)),1))),"No data"))</f>
        <v/>
      </c>
      <c r="F79" s="13">
        <f>IF('Council Entry'!F79="","",IFERROR(MAX(0,MIN(10,ROUND(IF('Council Entry'!F$7="Decrease Risk",10-10*((IF('Council Entry'!F$4="Logarithm",LN(0.001+IF(AND(ISNUMBER('Council Entry'!F$8),ISNUMBER('Council Entry'!F$9)),MAX(MIN('Council Entry'!F79,'Council Entry'!F$9),'Council Entry'!F$8),'Council Entry'!F79)),IF('Council Entry'!F$4="Exponential",EXP(IF(AND(ISNUMBER('Council Entry'!F$8),ISNUMBER('Council Entry'!F$9)),MAX(MIN('Council Entry'!F79,'Council Entry'!F$9),'Council Entry'!F$8),'Council Entry'!F79)),IF(AND(ISNUMBER('Council Entry'!F$8),ISNUMBER('Council Entry'!F$9)),MAX(MIN('Council Entry'!F79,'Council Entry'!F$9),'Council Entry'!F$8),'Council Entry'!F79))))-'Council Entry'!F$5)/('Council Entry'!F$6-'Council Entry'!F$5),10*((IF('Council Entry'!F$4="Logarithm",LN(0.001+IF(AND(ISNUMBER('Council Entry'!F$8),ISNUMBER('Council Entry'!F$9)),MAX(MIN('Council Entry'!F79,'Council Entry'!F$9),'Council Entry'!F$8),'Council Entry'!F79)),IF('Council Entry'!F$4="Exponential",EXP(IF(AND(ISNUMBER('Council Entry'!F$8),ISNUMBER('Council Entry'!F$9)),MAX(MIN('Council Entry'!F79,'Council Entry'!F$9),'Council Entry'!F$8),'Council Entry'!F79)),IF(AND(ISNUMBER('Council Entry'!F$8),ISNUMBER('Council Entry'!F$9)),MAX(MIN('Council Entry'!F79,'Council Entry'!F$9),'Council Entry'!F$8),'Council Entry'!F79))))-'Council Entry'!F$5)/('Council Entry'!F$6-'Council Entry'!F$5)),1))),"No data"))</f>
        <v/>
      </c>
      <c r="G79" s="13">
        <f>IF('Council Entry'!G79="","",IFERROR(MAX(0,MIN(10,ROUND(IF('Council Entry'!G$7="Decrease Risk",10-10*((IF('Council Entry'!G$4="Logarithm",LN(0.001+IF(AND(ISNUMBER('Council Entry'!G$8),ISNUMBER('Council Entry'!G$9)),MAX(MIN('Council Entry'!G79,'Council Entry'!G$9),'Council Entry'!G$8),'Council Entry'!G79)),IF('Council Entry'!G$4="Exponential",EXP(IF(AND(ISNUMBER('Council Entry'!G$8),ISNUMBER('Council Entry'!G$9)),MAX(MIN('Council Entry'!G79,'Council Entry'!G$9),'Council Entry'!G$8),'Council Entry'!G79)),IF(AND(ISNUMBER('Council Entry'!G$8),ISNUMBER('Council Entry'!G$9)),MAX(MIN('Council Entry'!G79,'Council Entry'!G$9),'Council Entry'!G$8),'Council Entry'!G79))))-'Council Entry'!G$5)/('Council Entry'!G$6-'Council Entry'!G$5),10*((IF('Council Entry'!G$4="Logarithm",LN(0.001+IF(AND(ISNUMBER('Council Entry'!G$8),ISNUMBER('Council Entry'!G$9)),MAX(MIN('Council Entry'!G79,'Council Entry'!G$9),'Council Entry'!G$8),'Council Entry'!G79)),IF('Council Entry'!G$4="Exponential",EXP(IF(AND(ISNUMBER('Council Entry'!G$8),ISNUMBER('Council Entry'!G$9)),MAX(MIN('Council Entry'!G79,'Council Entry'!G$9),'Council Entry'!G$8),'Council Entry'!G79)),IF(AND(ISNUMBER('Council Entry'!G$8),ISNUMBER('Council Entry'!G$9)),MAX(MIN('Council Entry'!G79,'Council Entry'!G$9),'Council Entry'!G$8),'Council Entry'!G79))))-'Council Entry'!G$5)/('Council Entry'!G$6-'Council Entry'!G$5)),1))),"No data"))</f>
        <v/>
      </c>
      <c r="H79" s="13">
        <f>IF('Council Entry'!H79="","",IFERROR(MAX(0,MIN(10,ROUND(IF('Council Entry'!H$7="Decrease Risk",10-10*((IF('Council Entry'!H$4="Logarithm",LN(0.001+IF(AND(ISNUMBER('Council Entry'!H$8),ISNUMBER('Council Entry'!H$9)),MAX(MIN('Council Entry'!H79,'Council Entry'!H$9),'Council Entry'!H$8),'Council Entry'!H79)),IF('Council Entry'!H$4="Exponential",EXP(IF(AND(ISNUMBER('Council Entry'!H$8),ISNUMBER('Council Entry'!H$9)),MAX(MIN('Council Entry'!H79,'Council Entry'!H$9),'Council Entry'!H$8),'Council Entry'!H79)),IF(AND(ISNUMBER('Council Entry'!H$8),ISNUMBER('Council Entry'!H$9)),MAX(MIN('Council Entry'!H79,'Council Entry'!H$9),'Council Entry'!H$8),'Council Entry'!H79))))-'Council Entry'!H$5)/('Council Entry'!H$6-'Council Entry'!H$5),10*((IF('Council Entry'!H$4="Logarithm",LN(0.001+IF(AND(ISNUMBER('Council Entry'!H$8),ISNUMBER('Council Entry'!H$9)),MAX(MIN('Council Entry'!H79,'Council Entry'!H$9),'Council Entry'!H$8),'Council Entry'!H79)),IF('Council Entry'!H$4="Exponential",EXP(IF(AND(ISNUMBER('Council Entry'!H$8),ISNUMBER('Council Entry'!H$9)),MAX(MIN('Council Entry'!H79,'Council Entry'!H$9),'Council Entry'!H$8),'Council Entry'!H79)),IF(AND(ISNUMBER('Council Entry'!H$8),ISNUMBER('Council Entry'!H$9)),MAX(MIN('Council Entry'!H79,'Council Entry'!H$9),'Council Entry'!H$8),'Council Entry'!H79))))-'Council Entry'!H$5)/('Council Entry'!H$6-'Council Entry'!H$5)),1))),"No data"))</f>
        <v/>
      </c>
      <c r="I79" s="13">
        <f>IF('Council Entry'!I79="","",IFERROR(MAX(0,MIN(10,ROUND(IF('Council Entry'!I$7="Decrease Risk",10-10*((IF('Council Entry'!I$4="Logarithm",LN(0.001+IF(AND(ISNUMBER('Council Entry'!I$8),ISNUMBER('Council Entry'!I$9)),MAX(MIN('Council Entry'!I79,'Council Entry'!I$9),'Council Entry'!I$8),'Council Entry'!I79)),IF('Council Entry'!I$4="Exponential",EXP(IF(AND(ISNUMBER('Council Entry'!I$8),ISNUMBER('Council Entry'!I$9)),MAX(MIN('Council Entry'!I79,'Council Entry'!I$9),'Council Entry'!I$8),'Council Entry'!I79)),IF(AND(ISNUMBER('Council Entry'!I$8),ISNUMBER('Council Entry'!I$9)),MAX(MIN('Council Entry'!I79,'Council Entry'!I$9),'Council Entry'!I$8),'Council Entry'!I79))))-'Council Entry'!I$5)/('Council Entry'!I$6-'Council Entry'!I$5),10*((IF('Council Entry'!I$4="Logarithm",LN(0.001+IF(AND(ISNUMBER('Council Entry'!I$8),ISNUMBER('Council Entry'!I$9)),MAX(MIN('Council Entry'!I79,'Council Entry'!I$9),'Council Entry'!I$8),'Council Entry'!I79)),IF('Council Entry'!I$4="Exponential",EXP(IF(AND(ISNUMBER('Council Entry'!I$8),ISNUMBER('Council Entry'!I$9)),MAX(MIN('Council Entry'!I79,'Council Entry'!I$9),'Council Entry'!I$8),'Council Entry'!I79)),IF(AND(ISNUMBER('Council Entry'!I$8),ISNUMBER('Council Entry'!I$9)),MAX(MIN('Council Entry'!I79,'Council Entry'!I$9),'Council Entry'!I$8),'Council Entry'!I79))))-'Council Entry'!I$5)/('Council Entry'!I$6-'Council Entry'!I$5)),1))),"No data"))</f>
        <v/>
      </c>
      <c r="J79" s="13">
        <f>IF('Council Entry'!J79="","",IFERROR(MAX(0,MIN(10,ROUND(IF('Council Entry'!J$7="Decrease Risk",10-10*((IF('Council Entry'!J$4="Logarithm",LN(0.001+IF(AND(ISNUMBER('Council Entry'!J$8),ISNUMBER('Council Entry'!J$9)),MAX(MIN('Council Entry'!J79,'Council Entry'!J$9),'Council Entry'!J$8),'Council Entry'!J79)),IF('Council Entry'!J$4="Exponential",EXP(IF(AND(ISNUMBER('Council Entry'!J$8),ISNUMBER('Council Entry'!J$9)),MAX(MIN('Council Entry'!J79,'Council Entry'!J$9),'Council Entry'!J$8),'Council Entry'!J79)),IF(AND(ISNUMBER('Council Entry'!J$8),ISNUMBER('Council Entry'!J$9)),MAX(MIN('Council Entry'!J79,'Council Entry'!J$9),'Council Entry'!J$8),'Council Entry'!J79))))-'Council Entry'!J$5)/('Council Entry'!J$6-'Council Entry'!J$5),10*((IF('Council Entry'!J$4="Logarithm",LN(0.001+IF(AND(ISNUMBER('Council Entry'!J$8),ISNUMBER('Council Entry'!J$9)),MAX(MIN('Council Entry'!J79,'Council Entry'!J$9),'Council Entry'!J$8),'Council Entry'!J79)),IF('Council Entry'!J$4="Exponential",EXP(IF(AND(ISNUMBER('Council Entry'!J$8),ISNUMBER('Council Entry'!J$9)),MAX(MIN('Council Entry'!J79,'Council Entry'!J$9),'Council Entry'!J$8),'Council Entry'!J79)),IF(AND(ISNUMBER('Council Entry'!J$8),ISNUMBER('Council Entry'!J$9)),MAX(MIN('Council Entry'!J79,'Council Entry'!J$9),'Council Entry'!J$8),'Council Entry'!J79))))-'Council Entry'!J$5)/('Council Entry'!J$6-'Council Entry'!J$5)),1))),"No data"))</f>
        <v/>
      </c>
      <c r="K79" s="13">
        <f>IF('Council Entry'!K79="","",IFERROR(MAX(0,MIN(10,ROUND(IF('Council Entry'!K$7="Decrease Risk",10-10*((IF('Council Entry'!K$4="Logarithm",LN(0.001+IF(AND(ISNUMBER('Council Entry'!K$8),ISNUMBER('Council Entry'!K$9)),MAX(MIN('Council Entry'!K79,'Council Entry'!K$9),'Council Entry'!K$8),'Council Entry'!K79)),IF('Council Entry'!K$4="Exponential",EXP(IF(AND(ISNUMBER('Council Entry'!K$8),ISNUMBER('Council Entry'!K$9)),MAX(MIN('Council Entry'!K79,'Council Entry'!K$9),'Council Entry'!K$8),'Council Entry'!K79)),IF(AND(ISNUMBER('Council Entry'!K$8),ISNUMBER('Council Entry'!K$9)),MAX(MIN('Council Entry'!K79,'Council Entry'!K$9),'Council Entry'!K$8),'Council Entry'!K79))))-'Council Entry'!K$5)/('Council Entry'!K$6-'Council Entry'!K$5),10*((IF('Council Entry'!K$4="Logarithm",LN(0.001+IF(AND(ISNUMBER('Council Entry'!K$8),ISNUMBER('Council Entry'!K$9)),MAX(MIN('Council Entry'!K79,'Council Entry'!K$9),'Council Entry'!K$8),'Council Entry'!K79)),IF('Council Entry'!K$4="Exponential",EXP(IF(AND(ISNUMBER('Council Entry'!K$8),ISNUMBER('Council Entry'!K$9)),MAX(MIN('Council Entry'!K79,'Council Entry'!K$9),'Council Entry'!K$8),'Council Entry'!K79)),IF(AND(ISNUMBER('Council Entry'!K$8),ISNUMBER('Council Entry'!K$9)),MAX(MIN('Council Entry'!K79,'Council Entry'!K$9),'Council Entry'!K$8),'Council Entry'!K79))))-'Council Entry'!K$5)/('Council Entry'!K$6-'Council Entry'!K$5)),1))),"No data"))</f>
        <v/>
      </c>
      <c r="L79" s="13">
        <f>IF('Council Entry'!L79="","",IFERROR(MAX(0,MIN(10,ROUND(IF('Council Entry'!L$7="Decrease Risk",10-10*((IF('Council Entry'!L$4="Logarithm",LN(0.001+IF(AND(ISNUMBER('Council Entry'!L$8),ISNUMBER('Council Entry'!L$9)),MAX(MIN('Council Entry'!L79,'Council Entry'!L$9),'Council Entry'!L$8),'Council Entry'!L79)),IF('Council Entry'!L$4="Exponential",EXP(IF(AND(ISNUMBER('Council Entry'!L$8),ISNUMBER('Council Entry'!L$9)),MAX(MIN('Council Entry'!L79,'Council Entry'!L$9),'Council Entry'!L$8),'Council Entry'!L79)),IF(AND(ISNUMBER('Council Entry'!L$8),ISNUMBER('Council Entry'!L$9)),MAX(MIN('Council Entry'!L79,'Council Entry'!L$9),'Council Entry'!L$8),'Council Entry'!L79))))-'Council Entry'!L$5)/('Council Entry'!L$6-'Council Entry'!L$5),10*((IF('Council Entry'!L$4="Logarithm",LN(0.001+IF(AND(ISNUMBER('Council Entry'!L$8),ISNUMBER('Council Entry'!L$9)),MAX(MIN('Council Entry'!L79,'Council Entry'!L$9),'Council Entry'!L$8),'Council Entry'!L79)),IF('Council Entry'!L$4="Exponential",EXP(IF(AND(ISNUMBER('Council Entry'!L$8),ISNUMBER('Council Entry'!L$9)),MAX(MIN('Council Entry'!L79,'Council Entry'!L$9),'Council Entry'!L$8),'Council Entry'!L79)),IF(AND(ISNUMBER('Council Entry'!L$8),ISNUMBER('Council Entry'!L$9)),MAX(MIN('Council Entry'!L79,'Council Entry'!L$9),'Council Entry'!L$8),'Council Entry'!L79))))-'Council Entry'!L$5)/('Council Entry'!L$6-'Council Entry'!L$5)),1))),"No data"))</f>
        <v/>
      </c>
      <c r="M79" s="13">
        <f>IF('Council Entry'!M79="","",IFERROR(MAX(0,MIN(10,ROUND(IF('Council Entry'!M$7="Decrease Risk",10-10*((IF('Council Entry'!M$4="Logarithm",LN(0.001+IF(AND(ISNUMBER('Council Entry'!M$8),ISNUMBER('Council Entry'!M$9)),MAX(MIN('Council Entry'!M79,'Council Entry'!M$9),'Council Entry'!M$8),'Council Entry'!M79)),IF('Council Entry'!M$4="Exponential",EXP(IF(AND(ISNUMBER('Council Entry'!M$8),ISNUMBER('Council Entry'!M$9)),MAX(MIN('Council Entry'!M79,'Council Entry'!M$9),'Council Entry'!M$8),'Council Entry'!M79)),IF(AND(ISNUMBER('Council Entry'!M$8),ISNUMBER('Council Entry'!M$9)),MAX(MIN('Council Entry'!M79,'Council Entry'!M$9),'Council Entry'!M$8),'Council Entry'!M79))))-'Council Entry'!M$5)/('Council Entry'!M$6-'Council Entry'!M$5),10*((IF('Council Entry'!M$4="Logarithm",LN(0.001+IF(AND(ISNUMBER('Council Entry'!M$8),ISNUMBER('Council Entry'!M$9)),MAX(MIN('Council Entry'!M79,'Council Entry'!M$9),'Council Entry'!M$8),'Council Entry'!M79)),IF('Council Entry'!M$4="Exponential",EXP(IF(AND(ISNUMBER('Council Entry'!M$8),ISNUMBER('Council Entry'!M$9)),MAX(MIN('Council Entry'!M79,'Council Entry'!M$9),'Council Entry'!M$8),'Council Entry'!M79)),IF(AND(ISNUMBER('Council Entry'!M$8),ISNUMBER('Council Entry'!M$9)),MAX(MIN('Council Entry'!M79,'Council Entry'!M$9),'Council Entry'!M$8),'Council Entry'!M79))))-'Council Entry'!M$5)/('Council Entry'!M$6-'Council Entry'!M$5)),1))),"No data"))</f>
        <v/>
      </c>
      <c r="N79" s="13">
        <f>IF('Council Entry'!N79="","",IFERROR(MAX(0,MIN(10,ROUND(IF('Council Entry'!N$7="Decrease Risk",10-10*((IF('Council Entry'!N$4="Logarithm",LN(0.001+IF(AND(ISNUMBER('Council Entry'!N$8),ISNUMBER('Council Entry'!N$9)),MAX(MIN('Council Entry'!N79,'Council Entry'!N$9),'Council Entry'!N$8),'Council Entry'!N79)),IF('Council Entry'!N$4="Exponential",EXP(IF(AND(ISNUMBER('Council Entry'!N$8),ISNUMBER('Council Entry'!N$9)),MAX(MIN('Council Entry'!N79,'Council Entry'!N$9),'Council Entry'!N$8),'Council Entry'!N79)),IF(AND(ISNUMBER('Council Entry'!N$8),ISNUMBER('Council Entry'!N$9)),MAX(MIN('Council Entry'!N79,'Council Entry'!N$9),'Council Entry'!N$8),'Council Entry'!N79))))-'Council Entry'!N$5)/('Council Entry'!N$6-'Council Entry'!N$5),10*((IF('Council Entry'!N$4="Logarithm",LN(0.001+IF(AND(ISNUMBER('Council Entry'!N$8),ISNUMBER('Council Entry'!N$9)),MAX(MIN('Council Entry'!N79,'Council Entry'!N$9),'Council Entry'!N$8),'Council Entry'!N79)),IF('Council Entry'!N$4="Exponential",EXP(IF(AND(ISNUMBER('Council Entry'!N$8),ISNUMBER('Council Entry'!N$9)),MAX(MIN('Council Entry'!N79,'Council Entry'!N$9),'Council Entry'!N$8),'Council Entry'!N79)),IF(AND(ISNUMBER('Council Entry'!N$8),ISNUMBER('Council Entry'!N$9)),MAX(MIN('Council Entry'!N79,'Council Entry'!N$9),'Council Entry'!N$8),'Council Entry'!N79))))-'Council Entry'!N$5)/('Council Entry'!N$6-'Council Entry'!N$5)),1))),"No data"))</f>
        <v/>
      </c>
      <c r="O79" s="13">
        <f>IF('Council Entry'!O79="","",IFERROR(MAX(0,MIN(10,ROUND(IF('Council Entry'!O$7="Decrease Risk",10-10*((IF('Council Entry'!O$4="Logarithm",LN(0.001+IF(AND(ISNUMBER('Council Entry'!O$8),ISNUMBER('Council Entry'!O$9)),MAX(MIN('Council Entry'!O79,'Council Entry'!O$9),'Council Entry'!O$8),'Council Entry'!O79)),IF('Council Entry'!O$4="Exponential",EXP(IF(AND(ISNUMBER('Council Entry'!O$8),ISNUMBER('Council Entry'!O$9)),MAX(MIN('Council Entry'!O79,'Council Entry'!O$9),'Council Entry'!O$8),'Council Entry'!O79)),IF(AND(ISNUMBER('Council Entry'!O$8),ISNUMBER('Council Entry'!O$9)),MAX(MIN('Council Entry'!O79,'Council Entry'!O$9),'Council Entry'!O$8),'Council Entry'!O79))))-'Council Entry'!O$5)/('Council Entry'!O$6-'Council Entry'!O$5),10*((IF('Council Entry'!O$4="Logarithm",LN(0.001+IF(AND(ISNUMBER('Council Entry'!O$8),ISNUMBER('Council Entry'!O$9)),MAX(MIN('Council Entry'!O79,'Council Entry'!O$9),'Council Entry'!O$8),'Council Entry'!O79)),IF('Council Entry'!O$4="Exponential",EXP(IF(AND(ISNUMBER('Council Entry'!O$8),ISNUMBER('Council Entry'!O$9)),MAX(MIN('Council Entry'!O79,'Council Entry'!O$9),'Council Entry'!O$8),'Council Entry'!O79)),IF(AND(ISNUMBER('Council Entry'!O$8),ISNUMBER('Council Entry'!O$9)),MAX(MIN('Council Entry'!O79,'Council Entry'!O$9),'Council Entry'!O$8),'Council Entry'!O79))))-'Council Entry'!O$5)/('Council Entry'!O$6-'Council Entry'!O$5)),1))),"No data"))</f>
        <v/>
      </c>
      <c r="P79" s="13">
        <f>IF('Council Entry'!P79="","",IFERROR(MAX(0,MIN(10,ROUND(IF('Council Entry'!P$7="Decrease Risk",10-10*((IF('Council Entry'!P$4="Logarithm",LN(0.001+IF(AND(ISNUMBER('Council Entry'!P$8),ISNUMBER('Council Entry'!P$9)),MAX(MIN('Council Entry'!P79,'Council Entry'!P$9),'Council Entry'!P$8),'Council Entry'!P79)),IF('Council Entry'!P$4="Exponential",EXP(IF(AND(ISNUMBER('Council Entry'!P$8),ISNUMBER('Council Entry'!P$9)),MAX(MIN('Council Entry'!P79,'Council Entry'!P$9),'Council Entry'!P$8),'Council Entry'!P79)),IF(AND(ISNUMBER('Council Entry'!P$8),ISNUMBER('Council Entry'!P$9)),MAX(MIN('Council Entry'!P79,'Council Entry'!P$9),'Council Entry'!P$8),'Council Entry'!P79))))-'Council Entry'!P$5)/('Council Entry'!P$6-'Council Entry'!P$5),10*((IF('Council Entry'!P$4="Logarithm",LN(0.001+IF(AND(ISNUMBER('Council Entry'!P$8),ISNUMBER('Council Entry'!P$9)),MAX(MIN('Council Entry'!P79,'Council Entry'!P$9),'Council Entry'!P$8),'Council Entry'!P79)),IF('Council Entry'!P$4="Exponential",EXP(IF(AND(ISNUMBER('Council Entry'!P$8),ISNUMBER('Council Entry'!P$9)),MAX(MIN('Council Entry'!P79,'Council Entry'!P$9),'Council Entry'!P$8),'Council Entry'!P79)),IF(AND(ISNUMBER('Council Entry'!P$8),ISNUMBER('Council Entry'!P$9)),MAX(MIN('Council Entry'!P79,'Council Entry'!P$9),'Council Entry'!P$8),'Council Entry'!P79))))-'Council Entry'!P$5)/('Council Entry'!P$6-'Council Entry'!P$5)),1))),"No data"))</f>
        <v/>
      </c>
      <c r="Q79" s="13">
        <f>IF('Council Entry'!Q79="","",IFERROR(MAX(0,MIN(10,ROUND(IF('Council Entry'!Q$7="Decrease Risk",10-10*((IF('Council Entry'!Q$4="Logarithm",LN(0.001+IF(AND(ISNUMBER('Council Entry'!Q$8),ISNUMBER('Council Entry'!Q$9)),MAX(MIN('Council Entry'!Q79,'Council Entry'!Q$9),'Council Entry'!Q$8),'Council Entry'!Q79)),IF('Council Entry'!Q$4="Exponential",EXP(IF(AND(ISNUMBER('Council Entry'!Q$8),ISNUMBER('Council Entry'!Q$9)),MAX(MIN('Council Entry'!Q79,'Council Entry'!Q$9),'Council Entry'!Q$8),'Council Entry'!Q79)),IF(AND(ISNUMBER('Council Entry'!Q$8),ISNUMBER('Council Entry'!Q$9)),MAX(MIN('Council Entry'!Q79,'Council Entry'!Q$9),'Council Entry'!Q$8),'Council Entry'!Q79))))-'Council Entry'!Q$5)/('Council Entry'!Q$6-'Council Entry'!Q$5),10*((IF('Council Entry'!Q$4="Logarithm",LN(0.001+IF(AND(ISNUMBER('Council Entry'!Q$8),ISNUMBER('Council Entry'!Q$9)),MAX(MIN('Council Entry'!Q79,'Council Entry'!Q$9),'Council Entry'!Q$8),'Council Entry'!Q79)),IF('Council Entry'!Q$4="Exponential",EXP(IF(AND(ISNUMBER('Council Entry'!Q$8),ISNUMBER('Council Entry'!Q$9)),MAX(MIN('Council Entry'!Q79,'Council Entry'!Q$9),'Council Entry'!Q$8),'Council Entry'!Q79)),IF(AND(ISNUMBER('Council Entry'!Q$8),ISNUMBER('Council Entry'!Q$9)),MAX(MIN('Council Entry'!Q79,'Council Entry'!Q$9),'Council Entry'!Q$8),'Council Entry'!Q79))))-'Council Entry'!Q$5)/('Council Entry'!Q$6-'Council Entry'!Q$5)),1))),"No data"))</f>
        <v/>
      </c>
      <c r="R79" s="13">
        <f>IF('Council Entry'!R79="","",IFERROR(MAX(0,MIN(10,ROUND(IF('Council Entry'!R$7="Decrease Risk",10-10*((IF('Council Entry'!R$4="Logarithm",LN(0.001+IF(AND(ISNUMBER('Council Entry'!R$8),ISNUMBER('Council Entry'!R$9)),MAX(MIN('Council Entry'!R79,'Council Entry'!R$9),'Council Entry'!R$8),'Council Entry'!R79)),IF('Council Entry'!R$4="Exponential",EXP(IF(AND(ISNUMBER('Council Entry'!R$8),ISNUMBER('Council Entry'!R$9)),MAX(MIN('Council Entry'!R79,'Council Entry'!R$9),'Council Entry'!R$8),'Council Entry'!R79)),IF(AND(ISNUMBER('Council Entry'!R$8),ISNUMBER('Council Entry'!R$9)),MAX(MIN('Council Entry'!R79,'Council Entry'!R$9),'Council Entry'!R$8),'Council Entry'!R79))))-'Council Entry'!R$5)/('Council Entry'!R$6-'Council Entry'!R$5),10*((IF('Council Entry'!R$4="Logarithm",LN(0.001+IF(AND(ISNUMBER('Council Entry'!R$8),ISNUMBER('Council Entry'!R$9)),MAX(MIN('Council Entry'!R79,'Council Entry'!R$9),'Council Entry'!R$8),'Council Entry'!R79)),IF('Council Entry'!R$4="Exponential",EXP(IF(AND(ISNUMBER('Council Entry'!R$8),ISNUMBER('Council Entry'!R$9)),MAX(MIN('Council Entry'!R79,'Council Entry'!R$9),'Council Entry'!R$8),'Council Entry'!R79)),IF(AND(ISNUMBER('Council Entry'!R$8),ISNUMBER('Council Entry'!R$9)),MAX(MIN('Council Entry'!R79,'Council Entry'!R$9),'Council Entry'!R$8),'Council Entry'!R79))))-'Council Entry'!R$5)/('Council Entry'!R$6-'Council Entry'!R$5)),1))),"No data"))</f>
        <v/>
      </c>
      <c r="S79" s="13">
        <f>IF('Council Entry'!S79="","",IFERROR(MAX(0,MIN(10,ROUND(IF('Council Entry'!S$7="Decrease Risk",10-10*((IF('Council Entry'!S$4="Logarithm",LN(0.001+IF(AND(ISNUMBER('Council Entry'!S$8),ISNUMBER('Council Entry'!S$9)),MAX(MIN('Council Entry'!S79,'Council Entry'!S$9),'Council Entry'!S$8),'Council Entry'!S79)),IF('Council Entry'!S$4="Exponential",EXP(IF(AND(ISNUMBER('Council Entry'!S$8),ISNUMBER('Council Entry'!S$9)),MAX(MIN('Council Entry'!S79,'Council Entry'!S$9),'Council Entry'!S$8),'Council Entry'!S79)),IF(AND(ISNUMBER('Council Entry'!S$8),ISNUMBER('Council Entry'!S$9)),MAX(MIN('Council Entry'!S79,'Council Entry'!S$9),'Council Entry'!S$8),'Council Entry'!S79))))-'Council Entry'!S$5)/('Council Entry'!S$6-'Council Entry'!S$5),10*((IF('Council Entry'!S$4="Logarithm",LN(0.001+IF(AND(ISNUMBER('Council Entry'!S$8),ISNUMBER('Council Entry'!S$9)),MAX(MIN('Council Entry'!S79,'Council Entry'!S$9),'Council Entry'!S$8),'Council Entry'!S79)),IF('Council Entry'!S$4="Exponential",EXP(IF(AND(ISNUMBER('Council Entry'!S$8),ISNUMBER('Council Entry'!S$9)),MAX(MIN('Council Entry'!S79,'Council Entry'!S$9),'Council Entry'!S$8),'Council Entry'!S79)),IF(AND(ISNUMBER('Council Entry'!S$8),ISNUMBER('Council Entry'!S$9)),MAX(MIN('Council Entry'!S79,'Council Entry'!S$9),'Council Entry'!S$8),'Council Entry'!S79))))-'Council Entry'!S$5)/('Council Entry'!S$6-'Council Entry'!S$5)),1))),"No data"))</f>
        <v/>
      </c>
      <c r="T79" s="13">
        <f>IF('Council Entry'!T79="","",IFERROR(MAX(0,MIN(10,ROUND(IF('Council Entry'!T$7="Decrease Risk",10-10*((IF('Council Entry'!T$4="Logarithm",LN(0.001+IF(AND(ISNUMBER('Council Entry'!T$8),ISNUMBER('Council Entry'!T$9)),MAX(MIN('Council Entry'!T79,'Council Entry'!T$9),'Council Entry'!T$8),'Council Entry'!T79)),IF('Council Entry'!T$4="Exponential",EXP(IF(AND(ISNUMBER('Council Entry'!T$8),ISNUMBER('Council Entry'!T$9)),MAX(MIN('Council Entry'!T79,'Council Entry'!T$9),'Council Entry'!T$8),'Council Entry'!T79)),IF(AND(ISNUMBER('Council Entry'!T$8),ISNUMBER('Council Entry'!T$9)),MAX(MIN('Council Entry'!T79,'Council Entry'!T$9),'Council Entry'!T$8),'Council Entry'!T79))))-'Council Entry'!T$5)/('Council Entry'!T$6-'Council Entry'!T$5),10*((IF('Council Entry'!T$4="Logarithm",LN(0.001+IF(AND(ISNUMBER('Council Entry'!T$8),ISNUMBER('Council Entry'!T$9)),MAX(MIN('Council Entry'!T79,'Council Entry'!T$9),'Council Entry'!T$8),'Council Entry'!T79)),IF('Council Entry'!T$4="Exponential",EXP(IF(AND(ISNUMBER('Council Entry'!T$8),ISNUMBER('Council Entry'!T$9)),MAX(MIN('Council Entry'!T79,'Council Entry'!T$9),'Council Entry'!T$8),'Council Entry'!T79)),IF(AND(ISNUMBER('Council Entry'!T$8),ISNUMBER('Council Entry'!T$9)),MAX(MIN('Council Entry'!T79,'Council Entry'!T$9),'Council Entry'!T$8),'Council Entry'!T79))))-'Council Entry'!T$5)/('Council Entry'!T$6-'Council Entry'!T$5)),1))),"No data"))</f>
        <v/>
      </c>
      <c r="U79" s="13">
        <f>IF('Council Entry'!U79="","",IFERROR(MAX(0,MIN(10,ROUND(IF('Council Entry'!U$7="Decrease Risk",10-10*((IF('Council Entry'!U$4="Logarithm",LN(0.001+IF(AND(ISNUMBER('Council Entry'!U$8),ISNUMBER('Council Entry'!U$9)),MAX(MIN('Council Entry'!U79,'Council Entry'!U$9),'Council Entry'!U$8),'Council Entry'!U79)),IF('Council Entry'!U$4="Exponential",EXP(IF(AND(ISNUMBER('Council Entry'!U$8),ISNUMBER('Council Entry'!U$9)),MAX(MIN('Council Entry'!U79,'Council Entry'!U$9),'Council Entry'!U$8),'Council Entry'!U79)),IF(AND(ISNUMBER('Council Entry'!U$8),ISNUMBER('Council Entry'!U$9)),MAX(MIN('Council Entry'!U79,'Council Entry'!U$9),'Council Entry'!U$8),'Council Entry'!U79))))-'Council Entry'!U$5)/('Council Entry'!U$6-'Council Entry'!U$5),10*((IF('Council Entry'!U$4="Logarithm",LN(0.001+IF(AND(ISNUMBER('Council Entry'!U$8),ISNUMBER('Council Entry'!U$9)),MAX(MIN('Council Entry'!U79,'Council Entry'!U$9),'Council Entry'!U$8),'Council Entry'!U79)),IF('Council Entry'!U$4="Exponential",EXP(IF(AND(ISNUMBER('Council Entry'!U$8),ISNUMBER('Council Entry'!U$9)),MAX(MIN('Council Entry'!U79,'Council Entry'!U$9),'Council Entry'!U$8),'Council Entry'!U79)),IF(AND(ISNUMBER('Council Entry'!U$8),ISNUMBER('Council Entry'!U$9)),MAX(MIN('Council Entry'!U79,'Council Entry'!U$9),'Council Entry'!U$8),'Council Entry'!U79))))-'Council Entry'!U$5)/('Council Entry'!U$6-'Council Entry'!U$5)),1))),"No data"))</f>
        <v/>
      </c>
      <c r="V79" s="13">
        <f>IF('Council Entry'!V79="","",IFERROR(MAX(0,MIN(10,ROUND(IF('Council Entry'!V$7="Decrease Risk",10-10*((IF('Council Entry'!V$4="Logarithm",LN(0.001+IF(AND(ISNUMBER('Council Entry'!V$8),ISNUMBER('Council Entry'!V$9)),MAX(MIN('Council Entry'!V79,'Council Entry'!V$9),'Council Entry'!V$8),'Council Entry'!V79)),IF('Council Entry'!V$4="Exponential",EXP(IF(AND(ISNUMBER('Council Entry'!V$8),ISNUMBER('Council Entry'!V$9)),MAX(MIN('Council Entry'!V79,'Council Entry'!V$9),'Council Entry'!V$8),'Council Entry'!V79)),IF(AND(ISNUMBER('Council Entry'!V$8),ISNUMBER('Council Entry'!V$9)),MAX(MIN('Council Entry'!V79,'Council Entry'!V$9),'Council Entry'!V$8),'Council Entry'!V79))))-'Council Entry'!V$5)/('Council Entry'!V$6-'Council Entry'!V$5),10*((IF('Council Entry'!V$4="Logarithm",LN(0.001+IF(AND(ISNUMBER('Council Entry'!V$8),ISNUMBER('Council Entry'!V$9)),MAX(MIN('Council Entry'!V79,'Council Entry'!V$9),'Council Entry'!V$8),'Council Entry'!V79)),IF('Council Entry'!V$4="Exponential",EXP(IF(AND(ISNUMBER('Council Entry'!V$8),ISNUMBER('Council Entry'!V$9)),MAX(MIN('Council Entry'!V79,'Council Entry'!V$9),'Council Entry'!V$8),'Council Entry'!V79)),IF(AND(ISNUMBER('Council Entry'!V$8),ISNUMBER('Council Entry'!V$9)),MAX(MIN('Council Entry'!V79,'Council Entry'!V$9),'Council Entry'!V$8),'Council Entry'!V79))))-'Council Entry'!V$5)/('Council Entry'!V$6-'Council Entry'!V$5)),1))),"No data"))</f>
        <v/>
      </c>
      <c r="W79" s="13">
        <f>IF('Council Entry'!W79="","",IFERROR(MAX(0,MIN(10,ROUND(IF('Council Entry'!W$7="Decrease Risk",10-10*((IF('Council Entry'!W$4="Logarithm",LN(0.001+IF(AND(ISNUMBER('Council Entry'!W$8),ISNUMBER('Council Entry'!W$9)),MAX(MIN('Council Entry'!W79,'Council Entry'!W$9),'Council Entry'!W$8),'Council Entry'!W79)),IF('Council Entry'!W$4="Exponential",EXP(IF(AND(ISNUMBER('Council Entry'!W$8),ISNUMBER('Council Entry'!W$9)),MAX(MIN('Council Entry'!W79,'Council Entry'!W$9),'Council Entry'!W$8),'Council Entry'!W79)),IF(AND(ISNUMBER('Council Entry'!W$8),ISNUMBER('Council Entry'!W$9)),MAX(MIN('Council Entry'!W79,'Council Entry'!W$9),'Council Entry'!W$8),'Council Entry'!W79))))-'Council Entry'!W$5)/('Council Entry'!W$6-'Council Entry'!W$5),10*((IF('Council Entry'!W$4="Logarithm",LN(0.001+IF(AND(ISNUMBER('Council Entry'!W$8),ISNUMBER('Council Entry'!W$9)),MAX(MIN('Council Entry'!W79,'Council Entry'!W$9),'Council Entry'!W$8),'Council Entry'!W79)),IF('Council Entry'!W$4="Exponential",EXP(IF(AND(ISNUMBER('Council Entry'!W$8),ISNUMBER('Council Entry'!W$9)),MAX(MIN('Council Entry'!W79,'Council Entry'!W$9),'Council Entry'!W$8),'Council Entry'!W79)),IF(AND(ISNUMBER('Council Entry'!W$8),ISNUMBER('Council Entry'!W$9)),MAX(MIN('Council Entry'!W79,'Council Entry'!W$9),'Council Entry'!W$8),'Council Entry'!W79))))-'Council Entry'!W$5)/('Council Entry'!W$6-'Council Entry'!W$5)),1))),"No data"))</f>
        <v/>
      </c>
      <c r="X79" s="13">
        <f>IF('Council Entry'!X79="","",IFERROR(MAX(0,MIN(10,ROUND(IF('Council Entry'!X$7="Decrease Risk",10-10*((IF('Council Entry'!X$4="Logarithm",LN(0.001+IF(AND(ISNUMBER('Council Entry'!X$8),ISNUMBER('Council Entry'!X$9)),MAX(MIN('Council Entry'!X79,'Council Entry'!X$9),'Council Entry'!X$8),'Council Entry'!X79)),IF('Council Entry'!X$4="Exponential",EXP(IF(AND(ISNUMBER('Council Entry'!X$8),ISNUMBER('Council Entry'!X$9)),MAX(MIN('Council Entry'!X79,'Council Entry'!X$9),'Council Entry'!X$8),'Council Entry'!X79)),IF(AND(ISNUMBER('Council Entry'!X$8),ISNUMBER('Council Entry'!X$9)),MAX(MIN('Council Entry'!X79,'Council Entry'!X$9),'Council Entry'!X$8),'Council Entry'!X79))))-'Council Entry'!X$5)/('Council Entry'!X$6-'Council Entry'!X$5),10*((IF('Council Entry'!X$4="Logarithm",LN(0.001+IF(AND(ISNUMBER('Council Entry'!X$8),ISNUMBER('Council Entry'!X$9)),MAX(MIN('Council Entry'!X79,'Council Entry'!X$9),'Council Entry'!X$8),'Council Entry'!X79)),IF('Council Entry'!X$4="Exponential",EXP(IF(AND(ISNUMBER('Council Entry'!X$8),ISNUMBER('Council Entry'!X$9)),MAX(MIN('Council Entry'!X79,'Council Entry'!X$9),'Council Entry'!X$8),'Council Entry'!X79)),IF(AND(ISNUMBER('Council Entry'!X$8),ISNUMBER('Council Entry'!X$9)),MAX(MIN('Council Entry'!X79,'Council Entry'!X$9),'Council Entry'!X$8),'Council Entry'!X79))))-'Council Entry'!X$5)/('Council Entry'!X$6-'Council Entry'!X$5)),1))),"No data"))</f>
        <v/>
      </c>
      <c r="Y79" s="13">
        <f>IF('Council Entry'!Y79="","",IFERROR(MAX(0,MIN(10,ROUND(IF('Council Entry'!Y$7="Decrease Risk",10-10*((IF('Council Entry'!Y$4="Logarithm",LN(0.001+IF(AND(ISNUMBER('Council Entry'!Y$8),ISNUMBER('Council Entry'!Y$9)),MAX(MIN('Council Entry'!Y79,'Council Entry'!Y$9),'Council Entry'!Y$8),'Council Entry'!Y79)),IF('Council Entry'!Y$4="Exponential",EXP(IF(AND(ISNUMBER('Council Entry'!Y$8),ISNUMBER('Council Entry'!Y$9)),MAX(MIN('Council Entry'!Y79,'Council Entry'!Y$9),'Council Entry'!Y$8),'Council Entry'!Y79)),IF(AND(ISNUMBER('Council Entry'!Y$8),ISNUMBER('Council Entry'!Y$9)),MAX(MIN('Council Entry'!Y79,'Council Entry'!Y$9),'Council Entry'!Y$8),'Council Entry'!Y79))))-'Council Entry'!Y$5)/('Council Entry'!Y$6-'Council Entry'!Y$5),10*((IF('Council Entry'!Y$4="Logarithm",LN(0.001+IF(AND(ISNUMBER('Council Entry'!Y$8),ISNUMBER('Council Entry'!Y$9)),MAX(MIN('Council Entry'!Y79,'Council Entry'!Y$9),'Council Entry'!Y$8),'Council Entry'!Y79)),IF('Council Entry'!Y$4="Exponential",EXP(IF(AND(ISNUMBER('Council Entry'!Y$8),ISNUMBER('Council Entry'!Y$9)),MAX(MIN('Council Entry'!Y79,'Council Entry'!Y$9),'Council Entry'!Y$8),'Council Entry'!Y79)),IF(AND(ISNUMBER('Council Entry'!Y$8),ISNUMBER('Council Entry'!Y$9)),MAX(MIN('Council Entry'!Y79,'Council Entry'!Y$9),'Council Entry'!Y$8),'Council Entry'!Y79))))-'Council Entry'!Y$5)/('Council Entry'!Y$6-'Council Entry'!Y$5)),1))),"No data"))</f>
        <v/>
      </c>
      <c r="Z79" s="13">
        <f>IF('Council Entry'!Z79="","",IFERROR(MAX(0,MIN(10,ROUND(IF('Council Entry'!Z$7="Decrease Risk",10-10*((IF('Council Entry'!Z$4="Logarithm",LN(0.001+IF(AND(ISNUMBER('Council Entry'!Z$8),ISNUMBER('Council Entry'!Z$9)),MAX(MIN('Council Entry'!Z79,'Council Entry'!Z$9),'Council Entry'!Z$8),'Council Entry'!Z79)),IF('Council Entry'!Z$4="Exponential",EXP(IF(AND(ISNUMBER('Council Entry'!Z$8),ISNUMBER('Council Entry'!Z$9)),MAX(MIN('Council Entry'!Z79,'Council Entry'!Z$9),'Council Entry'!Z$8),'Council Entry'!Z79)),IF(AND(ISNUMBER('Council Entry'!Z$8),ISNUMBER('Council Entry'!Z$9)),MAX(MIN('Council Entry'!Z79,'Council Entry'!Z$9),'Council Entry'!Z$8),'Council Entry'!Z79))))-'Council Entry'!Z$5)/('Council Entry'!Z$6-'Council Entry'!Z$5),10*((IF('Council Entry'!Z$4="Logarithm",LN(0.001+IF(AND(ISNUMBER('Council Entry'!Z$8),ISNUMBER('Council Entry'!Z$9)),MAX(MIN('Council Entry'!Z79,'Council Entry'!Z$9),'Council Entry'!Z$8),'Council Entry'!Z79)),IF('Council Entry'!Z$4="Exponential",EXP(IF(AND(ISNUMBER('Council Entry'!Z$8),ISNUMBER('Council Entry'!Z$9)),MAX(MIN('Council Entry'!Z79,'Council Entry'!Z$9),'Council Entry'!Z$8),'Council Entry'!Z79)),IF(AND(ISNUMBER('Council Entry'!Z$8),ISNUMBER('Council Entry'!Z$9)),MAX(MIN('Council Entry'!Z79,'Council Entry'!Z$9),'Council Entry'!Z$8),'Council Entry'!Z79))))-'Council Entry'!Z$5)/('Council Entry'!Z$6-'Council Entry'!Z$5)),1))),"No data"))</f>
        <v/>
      </c>
      <c r="AA79" s="13">
        <f>IF('Council Entry'!AA79="","",IFERROR(MAX(0,MIN(10,ROUND(IF('Council Entry'!AA$7="Decrease Risk",10-10*((IF('Council Entry'!AA$4="Logarithm",LN(0.001+IF(AND(ISNUMBER('Council Entry'!AA$8),ISNUMBER('Council Entry'!AA$9)),MAX(MIN('Council Entry'!AA79,'Council Entry'!AA$9),'Council Entry'!AA$8),'Council Entry'!AA79)),IF('Council Entry'!AA$4="Exponential",EXP(IF(AND(ISNUMBER('Council Entry'!AA$8),ISNUMBER('Council Entry'!AA$9)),MAX(MIN('Council Entry'!AA79,'Council Entry'!AA$9),'Council Entry'!AA$8),'Council Entry'!AA79)),IF(AND(ISNUMBER('Council Entry'!AA$8),ISNUMBER('Council Entry'!AA$9)),MAX(MIN('Council Entry'!AA79,'Council Entry'!AA$9),'Council Entry'!AA$8),'Council Entry'!AA79))))-'Council Entry'!AA$5)/('Council Entry'!AA$6-'Council Entry'!AA$5),10*((IF('Council Entry'!AA$4="Logarithm",LN(0.001+IF(AND(ISNUMBER('Council Entry'!AA$8),ISNUMBER('Council Entry'!AA$9)),MAX(MIN('Council Entry'!AA79,'Council Entry'!AA$9),'Council Entry'!AA$8),'Council Entry'!AA79)),IF('Council Entry'!AA$4="Exponential",EXP(IF(AND(ISNUMBER('Council Entry'!AA$8),ISNUMBER('Council Entry'!AA$9)),MAX(MIN('Council Entry'!AA79,'Council Entry'!AA$9),'Council Entry'!AA$8),'Council Entry'!AA79)),IF(AND(ISNUMBER('Council Entry'!AA$8),ISNUMBER('Council Entry'!AA$9)),MAX(MIN('Council Entry'!AA79,'Council Entry'!AA$9),'Council Entry'!AA$8),'Council Entry'!AA79))))-'Council Entry'!AA$5)/('Council Entry'!AA$6-'Council Entry'!AA$5)),1))),"No data"))</f>
        <v/>
      </c>
      <c r="AB79" s="13">
        <f>IF('Council Entry'!AB79="","",IFERROR(MAX(0,MIN(10,ROUND(IF('Council Entry'!AB$7="Decrease Risk",10-10*((IF('Council Entry'!AB$4="Logarithm",LN(0.001+IF(AND(ISNUMBER('Council Entry'!AB$8),ISNUMBER('Council Entry'!AB$9)),MAX(MIN('Council Entry'!AB79,'Council Entry'!AB$9),'Council Entry'!AB$8),'Council Entry'!AB79)),IF('Council Entry'!AB$4="Exponential",EXP(IF(AND(ISNUMBER('Council Entry'!AB$8),ISNUMBER('Council Entry'!AB$9)),MAX(MIN('Council Entry'!AB79,'Council Entry'!AB$9),'Council Entry'!AB$8),'Council Entry'!AB79)),IF(AND(ISNUMBER('Council Entry'!AB$8),ISNUMBER('Council Entry'!AB$9)),MAX(MIN('Council Entry'!AB79,'Council Entry'!AB$9),'Council Entry'!AB$8),'Council Entry'!AB79))))-'Council Entry'!AB$5)/('Council Entry'!AB$6-'Council Entry'!AB$5),10*((IF('Council Entry'!AB$4="Logarithm",LN(0.001+IF(AND(ISNUMBER('Council Entry'!AB$8),ISNUMBER('Council Entry'!AB$9)),MAX(MIN('Council Entry'!AB79,'Council Entry'!AB$9),'Council Entry'!AB$8),'Council Entry'!AB79)),IF('Council Entry'!AB$4="Exponential",EXP(IF(AND(ISNUMBER('Council Entry'!AB$8),ISNUMBER('Council Entry'!AB$9)),MAX(MIN('Council Entry'!AB79,'Council Entry'!AB$9),'Council Entry'!AB$8),'Council Entry'!AB79)),IF(AND(ISNUMBER('Council Entry'!AB$8),ISNUMBER('Council Entry'!AB$9)),MAX(MIN('Council Entry'!AB79,'Council Entry'!AB$9),'Council Entry'!AB$8),'Council Entry'!AB79))))-'Council Entry'!AB$5)/('Council Entry'!AB$6-'Council Entry'!AB$5)),1))),"No data"))</f>
        <v/>
      </c>
      <c r="AC79" s="13">
        <f>IF('Council Entry'!AC79="","",IFERROR(MAX(0,MIN(10,ROUND(IF('Council Entry'!AC$7="Decrease Risk",10-10*((IF('Council Entry'!AC$4="Logarithm",LN(0.001+IF(AND(ISNUMBER('Council Entry'!AC$8),ISNUMBER('Council Entry'!AC$9)),MAX(MIN('Council Entry'!AC79,'Council Entry'!AC$9),'Council Entry'!AC$8),'Council Entry'!AC79)),IF('Council Entry'!AC$4="Exponential",EXP(IF(AND(ISNUMBER('Council Entry'!AC$8),ISNUMBER('Council Entry'!AC$9)),MAX(MIN('Council Entry'!AC79,'Council Entry'!AC$9),'Council Entry'!AC$8),'Council Entry'!AC79)),IF(AND(ISNUMBER('Council Entry'!AC$8),ISNUMBER('Council Entry'!AC$9)),MAX(MIN('Council Entry'!AC79,'Council Entry'!AC$9),'Council Entry'!AC$8),'Council Entry'!AC79))))-'Council Entry'!AC$5)/('Council Entry'!AC$6-'Council Entry'!AC$5),10*((IF('Council Entry'!AC$4="Logarithm",LN(0.001+IF(AND(ISNUMBER('Council Entry'!AC$8),ISNUMBER('Council Entry'!AC$9)),MAX(MIN('Council Entry'!AC79,'Council Entry'!AC$9),'Council Entry'!AC$8),'Council Entry'!AC79)),IF('Council Entry'!AC$4="Exponential",EXP(IF(AND(ISNUMBER('Council Entry'!AC$8),ISNUMBER('Council Entry'!AC$9)),MAX(MIN('Council Entry'!AC79,'Council Entry'!AC$9),'Council Entry'!AC$8),'Council Entry'!AC79)),IF(AND(ISNUMBER('Council Entry'!AC$8),ISNUMBER('Council Entry'!AC$9)),MAX(MIN('Council Entry'!AC79,'Council Entry'!AC$9),'Council Entry'!AC$8),'Council Entry'!AC79))))-'Council Entry'!AC$5)/('Council Entry'!AC$6-'Council Entry'!AC$5)),1))),"No data"))</f>
        <v/>
      </c>
      <c r="AD79" s="13">
        <f>IF('Council Entry'!AD79="","",IFERROR(MAX(0,MIN(10,ROUND(IF('Council Entry'!AD$7="Decrease Risk",10-10*((IF('Council Entry'!AD$4="Logarithm",LN(0.001+IF(AND(ISNUMBER('Council Entry'!AD$8),ISNUMBER('Council Entry'!AD$9)),MAX(MIN('Council Entry'!AD79,'Council Entry'!AD$9),'Council Entry'!AD$8),'Council Entry'!AD79)),IF('Council Entry'!AD$4="Exponential",EXP(IF(AND(ISNUMBER('Council Entry'!AD$8),ISNUMBER('Council Entry'!AD$9)),MAX(MIN('Council Entry'!AD79,'Council Entry'!AD$9),'Council Entry'!AD$8),'Council Entry'!AD79)),IF(AND(ISNUMBER('Council Entry'!AD$8),ISNUMBER('Council Entry'!AD$9)),MAX(MIN('Council Entry'!AD79,'Council Entry'!AD$9),'Council Entry'!AD$8),'Council Entry'!AD79))))-'Council Entry'!AD$5)/('Council Entry'!AD$6-'Council Entry'!AD$5),10*((IF('Council Entry'!AD$4="Logarithm",LN(0.001+IF(AND(ISNUMBER('Council Entry'!AD$8),ISNUMBER('Council Entry'!AD$9)),MAX(MIN('Council Entry'!AD79,'Council Entry'!AD$9),'Council Entry'!AD$8),'Council Entry'!AD79)),IF('Council Entry'!AD$4="Exponential",EXP(IF(AND(ISNUMBER('Council Entry'!AD$8),ISNUMBER('Council Entry'!AD$9)),MAX(MIN('Council Entry'!AD79,'Council Entry'!AD$9),'Council Entry'!AD$8),'Council Entry'!AD79)),IF(AND(ISNUMBER('Council Entry'!AD$8),ISNUMBER('Council Entry'!AD$9)),MAX(MIN('Council Entry'!AD79,'Council Entry'!AD$9),'Council Entry'!AD$8),'Council Entry'!AD79))))-'Council Entry'!AD$5)/('Council Entry'!AD$6-'Council Entry'!AD$5)),1))),"No data"))</f>
        <v/>
      </c>
      <c r="AE79" s="13">
        <f>IF('Council Entry'!AE79="","",IFERROR(MAX(0,MIN(10,ROUND(IF('Council Entry'!AE$7="Decrease Risk",10-10*((IF('Council Entry'!AE$4="Logarithm",LN(0.001+IF(AND(ISNUMBER('Council Entry'!AE$8),ISNUMBER('Council Entry'!AE$9)),MAX(MIN('Council Entry'!AE79,'Council Entry'!AE$9),'Council Entry'!AE$8),'Council Entry'!AE79)),IF('Council Entry'!AE$4="Exponential",EXP(IF(AND(ISNUMBER('Council Entry'!AE$8),ISNUMBER('Council Entry'!AE$9)),MAX(MIN('Council Entry'!AE79,'Council Entry'!AE$9),'Council Entry'!AE$8),'Council Entry'!AE79)),IF(AND(ISNUMBER('Council Entry'!AE$8),ISNUMBER('Council Entry'!AE$9)),MAX(MIN('Council Entry'!AE79,'Council Entry'!AE$9),'Council Entry'!AE$8),'Council Entry'!AE79))))-'Council Entry'!AE$5)/('Council Entry'!AE$6-'Council Entry'!AE$5),10*((IF('Council Entry'!AE$4="Logarithm",LN(0.001+IF(AND(ISNUMBER('Council Entry'!AE$8),ISNUMBER('Council Entry'!AE$9)),MAX(MIN('Council Entry'!AE79,'Council Entry'!AE$9),'Council Entry'!AE$8),'Council Entry'!AE79)),IF('Council Entry'!AE$4="Exponential",EXP(IF(AND(ISNUMBER('Council Entry'!AE$8),ISNUMBER('Council Entry'!AE$9)),MAX(MIN('Council Entry'!AE79,'Council Entry'!AE$9),'Council Entry'!AE$8),'Council Entry'!AE79)),IF(AND(ISNUMBER('Council Entry'!AE$8),ISNUMBER('Council Entry'!AE$9)),MAX(MIN('Council Entry'!AE79,'Council Entry'!AE$9),'Council Entry'!AE$8),'Council Entry'!AE79))))-'Council Entry'!AE$5)/('Council Entry'!AE$6-'Council Entry'!AE$5)),1))),"No data"))</f>
        <v/>
      </c>
      <c r="AF79" s="13">
        <f>IF('Council Entry'!AF79="","",IFERROR(MAX(0,MIN(10,ROUND(IF('Council Entry'!AF$7="Decrease Risk",10-10*((IF('Council Entry'!AF$4="Logarithm",LN(0.001+IF(AND(ISNUMBER('Council Entry'!AF$8),ISNUMBER('Council Entry'!AF$9)),MAX(MIN('Council Entry'!AF79,'Council Entry'!AF$9),'Council Entry'!AF$8),'Council Entry'!AF79)),IF('Council Entry'!AF$4="Exponential",EXP(IF(AND(ISNUMBER('Council Entry'!AF$8),ISNUMBER('Council Entry'!AF$9)),MAX(MIN('Council Entry'!AF79,'Council Entry'!AF$9),'Council Entry'!AF$8),'Council Entry'!AF79)),IF(AND(ISNUMBER('Council Entry'!AF$8),ISNUMBER('Council Entry'!AF$9)),MAX(MIN('Council Entry'!AF79,'Council Entry'!AF$9),'Council Entry'!AF$8),'Council Entry'!AF79))))-'Council Entry'!AF$5)/('Council Entry'!AF$6-'Council Entry'!AF$5),10*((IF('Council Entry'!AF$4="Logarithm",LN(0.001+IF(AND(ISNUMBER('Council Entry'!AF$8),ISNUMBER('Council Entry'!AF$9)),MAX(MIN('Council Entry'!AF79,'Council Entry'!AF$9),'Council Entry'!AF$8),'Council Entry'!AF79)),IF('Council Entry'!AF$4="Exponential",EXP(IF(AND(ISNUMBER('Council Entry'!AF$8),ISNUMBER('Council Entry'!AF$9)),MAX(MIN('Council Entry'!AF79,'Council Entry'!AF$9),'Council Entry'!AF$8),'Council Entry'!AF79)),IF(AND(ISNUMBER('Council Entry'!AF$8),ISNUMBER('Council Entry'!AF$9)),MAX(MIN('Council Entry'!AF79,'Council Entry'!AF$9),'Council Entry'!AF$8),'Council Entry'!AF79))))-'Council Entry'!AF$5)/('Council Entry'!AF$6-'Council Entry'!AF$5)),1))),"No data"))</f>
        <v/>
      </c>
      <c r="AG79" s="13">
        <f>IF('Council Entry'!AG79="","",IFERROR(MAX(0,MIN(10,ROUND(IF('Council Entry'!AG$7="Decrease Risk",10-10*((IF('Council Entry'!AG$4="Logarithm",LN(0.001+IF(AND(ISNUMBER('Council Entry'!AG$8),ISNUMBER('Council Entry'!AG$9)),MAX(MIN('Council Entry'!AG79,'Council Entry'!AG$9),'Council Entry'!AG$8),'Council Entry'!AG79)),IF('Council Entry'!AG$4="Exponential",EXP(IF(AND(ISNUMBER('Council Entry'!AG$8),ISNUMBER('Council Entry'!AG$9)),MAX(MIN('Council Entry'!AG79,'Council Entry'!AG$9),'Council Entry'!AG$8),'Council Entry'!AG79)),IF(AND(ISNUMBER('Council Entry'!AG$8),ISNUMBER('Council Entry'!AG$9)),MAX(MIN('Council Entry'!AG79,'Council Entry'!AG$9),'Council Entry'!AG$8),'Council Entry'!AG79))))-'Council Entry'!AG$5)/('Council Entry'!AG$6-'Council Entry'!AG$5),10*((IF('Council Entry'!AG$4="Logarithm",LN(0.001+IF(AND(ISNUMBER('Council Entry'!AG$8),ISNUMBER('Council Entry'!AG$9)),MAX(MIN('Council Entry'!AG79,'Council Entry'!AG$9),'Council Entry'!AG$8),'Council Entry'!AG79)),IF('Council Entry'!AG$4="Exponential",EXP(IF(AND(ISNUMBER('Council Entry'!AG$8),ISNUMBER('Council Entry'!AG$9)),MAX(MIN('Council Entry'!AG79,'Council Entry'!AG$9),'Council Entry'!AG$8),'Council Entry'!AG79)),IF(AND(ISNUMBER('Council Entry'!AG$8),ISNUMBER('Council Entry'!AG$9)),MAX(MIN('Council Entry'!AG79,'Council Entry'!AG$9),'Council Entry'!AG$8),'Council Entry'!AG79))))-'Council Entry'!AG$5)/('Council Entry'!AG$6-'Council Entry'!AG$5)),1))),"No data"))</f>
        <v/>
      </c>
      <c r="AH79" s="13">
        <f>IF('Council Entry'!AH79="","",IFERROR(MAX(0,MIN(10,ROUND(IF('Council Entry'!AH$7="Decrease Risk",10-10*((IF('Council Entry'!AH$4="Logarithm",LN(0.001+IF(AND(ISNUMBER('Council Entry'!AH$8),ISNUMBER('Council Entry'!AH$9)),MAX(MIN('Council Entry'!AH79,'Council Entry'!AH$9),'Council Entry'!AH$8),'Council Entry'!AH79)),IF('Council Entry'!AH$4="Exponential",EXP(IF(AND(ISNUMBER('Council Entry'!AH$8),ISNUMBER('Council Entry'!AH$9)),MAX(MIN('Council Entry'!AH79,'Council Entry'!AH$9),'Council Entry'!AH$8),'Council Entry'!AH79)),IF(AND(ISNUMBER('Council Entry'!AH$8),ISNUMBER('Council Entry'!AH$9)),MAX(MIN('Council Entry'!AH79,'Council Entry'!AH$9),'Council Entry'!AH$8),'Council Entry'!AH79))))-'Council Entry'!AH$5)/('Council Entry'!AH$6-'Council Entry'!AH$5),10*((IF('Council Entry'!AH$4="Logarithm",LN(0.001+IF(AND(ISNUMBER('Council Entry'!AH$8),ISNUMBER('Council Entry'!AH$9)),MAX(MIN('Council Entry'!AH79,'Council Entry'!AH$9),'Council Entry'!AH$8),'Council Entry'!AH79)),IF('Council Entry'!AH$4="Exponential",EXP(IF(AND(ISNUMBER('Council Entry'!AH$8),ISNUMBER('Council Entry'!AH$9)),MAX(MIN('Council Entry'!AH79,'Council Entry'!AH$9),'Council Entry'!AH$8),'Council Entry'!AH79)),IF(AND(ISNUMBER('Council Entry'!AH$8),ISNUMBER('Council Entry'!AH$9)),MAX(MIN('Council Entry'!AH79,'Council Entry'!AH$9),'Council Entry'!AH$8),'Council Entry'!AH79))))-'Council Entry'!AH$5)/('Council Entry'!AH$6-'Council Entry'!AH$5)),1))),"No data"))</f>
        <v/>
      </c>
      <c r="AI79" s="13">
        <f>IF('Council Entry'!AI79="","",IFERROR(MAX(0,MIN(10,ROUND(IF('Council Entry'!AI$7="Decrease Risk",10-10*((IF('Council Entry'!AI$4="Logarithm",LN(0.001+IF(AND(ISNUMBER('Council Entry'!AI$8),ISNUMBER('Council Entry'!AI$9)),MAX(MIN('Council Entry'!AI79,'Council Entry'!AI$9),'Council Entry'!AI$8),'Council Entry'!AI79)),IF('Council Entry'!AI$4="Exponential",EXP(IF(AND(ISNUMBER('Council Entry'!AI$8),ISNUMBER('Council Entry'!AI$9)),MAX(MIN('Council Entry'!AI79,'Council Entry'!AI$9),'Council Entry'!AI$8),'Council Entry'!AI79)),IF(AND(ISNUMBER('Council Entry'!AI$8),ISNUMBER('Council Entry'!AI$9)),MAX(MIN('Council Entry'!AI79,'Council Entry'!AI$9),'Council Entry'!AI$8),'Council Entry'!AI79))))-'Council Entry'!AI$5)/('Council Entry'!AI$6-'Council Entry'!AI$5),10*((IF('Council Entry'!AI$4="Logarithm",LN(0.001+IF(AND(ISNUMBER('Council Entry'!AI$8),ISNUMBER('Council Entry'!AI$9)),MAX(MIN('Council Entry'!AI79,'Council Entry'!AI$9),'Council Entry'!AI$8),'Council Entry'!AI79)),IF('Council Entry'!AI$4="Exponential",EXP(IF(AND(ISNUMBER('Council Entry'!AI$8),ISNUMBER('Council Entry'!AI$9)),MAX(MIN('Council Entry'!AI79,'Council Entry'!AI$9),'Council Entry'!AI$8),'Council Entry'!AI79)),IF(AND(ISNUMBER('Council Entry'!AI$8),ISNUMBER('Council Entry'!AI$9)),MAX(MIN('Council Entry'!AI79,'Council Entry'!AI$9),'Council Entry'!AI$8),'Council Entry'!AI79))))-'Council Entry'!AI$5)/('Council Entry'!AI$6-'Council Entry'!AI$5)),1))),"No data"))</f>
        <v/>
      </c>
      <c r="AJ79" s="13">
        <f>IF('Council Entry'!AJ79="","",IFERROR(MAX(0,MIN(10,ROUND(IF('Council Entry'!AJ$7="Decrease Risk",10-10*((IF('Council Entry'!AJ$4="Logarithm",LN(0.001+IF(AND(ISNUMBER('Council Entry'!AJ$8),ISNUMBER('Council Entry'!AJ$9)),MAX(MIN('Council Entry'!AJ79,'Council Entry'!AJ$9),'Council Entry'!AJ$8),'Council Entry'!AJ79)),IF('Council Entry'!AJ$4="Exponential",EXP(IF(AND(ISNUMBER('Council Entry'!AJ$8),ISNUMBER('Council Entry'!AJ$9)),MAX(MIN('Council Entry'!AJ79,'Council Entry'!AJ$9),'Council Entry'!AJ$8),'Council Entry'!AJ79)),IF(AND(ISNUMBER('Council Entry'!AJ$8),ISNUMBER('Council Entry'!AJ$9)),MAX(MIN('Council Entry'!AJ79,'Council Entry'!AJ$9),'Council Entry'!AJ$8),'Council Entry'!AJ79))))-'Council Entry'!AJ$5)/('Council Entry'!AJ$6-'Council Entry'!AJ$5),10*((IF('Council Entry'!AJ$4="Logarithm",LN(0.001+IF(AND(ISNUMBER('Council Entry'!AJ$8),ISNUMBER('Council Entry'!AJ$9)),MAX(MIN('Council Entry'!AJ79,'Council Entry'!AJ$9),'Council Entry'!AJ$8),'Council Entry'!AJ79)),IF('Council Entry'!AJ$4="Exponential",EXP(IF(AND(ISNUMBER('Council Entry'!AJ$8),ISNUMBER('Council Entry'!AJ$9)),MAX(MIN('Council Entry'!AJ79,'Council Entry'!AJ$9),'Council Entry'!AJ$8),'Council Entry'!AJ79)),IF(AND(ISNUMBER('Council Entry'!AJ$8),ISNUMBER('Council Entry'!AJ$9)),MAX(MIN('Council Entry'!AJ79,'Council Entry'!AJ$9),'Council Entry'!AJ$8),'Council Entry'!AJ79))))-'Council Entry'!AJ$5)/('Council Entry'!AJ$6-'Council Entry'!AJ$5)),1))),"No data"))</f>
        <v/>
      </c>
      <c r="AK79" s="13">
        <f>IF('Council Entry'!AK79="","",IFERROR(MAX(0,MIN(10,ROUND(IF('Council Entry'!AK$7="Decrease Risk",10-10*((IF('Council Entry'!AK$4="Logarithm",LN(0.001+IF(AND(ISNUMBER('Council Entry'!AK$8),ISNUMBER('Council Entry'!AK$9)),MAX(MIN('Council Entry'!AK79,'Council Entry'!AK$9),'Council Entry'!AK$8),'Council Entry'!AK79)),IF('Council Entry'!AK$4="Exponential",EXP(IF(AND(ISNUMBER('Council Entry'!AK$8),ISNUMBER('Council Entry'!AK$9)),MAX(MIN('Council Entry'!AK79,'Council Entry'!AK$9),'Council Entry'!AK$8),'Council Entry'!AK79)),IF(AND(ISNUMBER('Council Entry'!AK$8),ISNUMBER('Council Entry'!AK$9)),MAX(MIN('Council Entry'!AK79,'Council Entry'!AK$9),'Council Entry'!AK$8),'Council Entry'!AK79))))-'Council Entry'!AK$5)/('Council Entry'!AK$6-'Council Entry'!AK$5),10*((IF('Council Entry'!AK$4="Logarithm",LN(0.001+IF(AND(ISNUMBER('Council Entry'!AK$8),ISNUMBER('Council Entry'!AK$9)),MAX(MIN('Council Entry'!AK79,'Council Entry'!AK$9),'Council Entry'!AK$8),'Council Entry'!AK79)),IF('Council Entry'!AK$4="Exponential",EXP(IF(AND(ISNUMBER('Council Entry'!AK$8),ISNUMBER('Council Entry'!AK$9)),MAX(MIN('Council Entry'!AK79,'Council Entry'!AK$9),'Council Entry'!AK$8),'Council Entry'!AK79)),IF(AND(ISNUMBER('Council Entry'!AK$8),ISNUMBER('Council Entry'!AK$9)),MAX(MIN('Council Entry'!AK79,'Council Entry'!AK$9),'Council Entry'!AK$8),'Council Entry'!AK79))))-'Council Entry'!AK$5)/('Council Entry'!AK$6-'Council Entry'!AK$5)),1))),"No data"))</f>
        <v/>
      </c>
      <c r="AL79" s="13">
        <f>IF('Council Entry'!AL79="","",IFERROR(MAX(0,MIN(10,ROUND(IF('Council Entry'!AL$7="Decrease Risk",10-10*((IF('Council Entry'!AL$4="Logarithm",LN(0.001+IF(AND(ISNUMBER('Council Entry'!AL$8),ISNUMBER('Council Entry'!AL$9)),MAX(MIN('Council Entry'!AL79,'Council Entry'!AL$9),'Council Entry'!AL$8),'Council Entry'!AL79)),IF('Council Entry'!AL$4="Exponential",EXP(IF(AND(ISNUMBER('Council Entry'!AL$8),ISNUMBER('Council Entry'!AL$9)),MAX(MIN('Council Entry'!AL79,'Council Entry'!AL$9),'Council Entry'!AL$8),'Council Entry'!AL79)),IF(AND(ISNUMBER('Council Entry'!AL$8),ISNUMBER('Council Entry'!AL$9)),MAX(MIN('Council Entry'!AL79,'Council Entry'!AL$9),'Council Entry'!AL$8),'Council Entry'!AL79))))-'Council Entry'!AL$5)/('Council Entry'!AL$6-'Council Entry'!AL$5),10*((IF('Council Entry'!AL$4="Logarithm",LN(0.001+IF(AND(ISNUMBER('Council Entry'!AL$8),ISNUMBER('Council Entry'!AL$9)),MAX(MIN('Council Entry'!AL79,'Council Entry'!AL$9),'Council Entry'!AL$8),'Council Entry'!AL79)),IF('Council Entry'!AL$4="Exponential",EXP(IF(AND(ISNUMBER('Council Entry'!AL$8),ISNUMBER('Council Entry'!AL$9)),MAX(MIN('Council Entry'!AL79,'Council Entry'!AL$9),'Council Entry'!AL$8),'Council Entry'!AL79)),IF(AND(ISNUMBER('Council Entry'!AL$8),ISNUMBER('Council Entry'!AL$9)),MAX(MIN('Council Entry'!AL79,'Council Entry'!AL$9),'Council Entry'!AL$8),'Council Entry'!AL79))))-'Council Entry'!AL$5)/('Council Entry'!AL$6-'Council Entry'!AL$5)),1))),"No data"))</f>
        <v/>
      </c>
      <c r="AM79" s="13">
        <f>IF('Council Entry'!AM79="","",IFERROR(MAX(0,MIN(10,ROUND(IF('Council Entry'!AM$7="Decrease Risk",10-10*((IF('Council Entry'!AM$4="Logarithm",LN(0.001+IF(AND(ISNUMBER('Council Entry'!AM$8),ISNUMBER('Council Entry'!AM$9)),MAX(MIN('Council Entry'!AM79,'Council Entry'!AM$9),'Council Entry'!AM$8),'Council Entry'!AM79)),IF('Council Entry'!AM$4="Exponential",EXP(IF(AND(ISNUMBER('Council Entry'!AM$8),ISNUMBER('Council Entry'!AM$9)),MAX(MIN('Council Entry'!AM79,'Council Entry'!AM$9),'Council Entry'!AM$8),'Council Entry'!AM79)),IF(AND(ISNUMBER('Council Entry'!AM$8),ISNUMBER('Council Entry'!AM$9)),MAX(MIN('Council Entry'!AM79,'Council Entry'!AM$9),'Council Entry'!AM$8),'Council Entry'!AM79))))-'Council Entry'!AM$5)/('Council Entry'!AM$6-'Council Entry'!AM$5),10*((IF('Council Entry'!AM$4="Logarithm",LN(0.001+IF(AND(ISNUMBER('Council Entry'!AM$8),ISNUMBER('Council Entry'!AM$9)),MAX(MIN('Council Entry'!AM79,'Council Entry'!AM$9),'Council Entry'!AM$8),'Council Entry'!AM79)),IF('Council Entry'!AM$4="Exponential",EXP(IF(AND(ISNUMBER('Council Entry'!AM$8),ISNUMBER('Council Entry'!AM$9)),MAX(MIN('Council Entry'!AM79,'Council Entry'!AM$9),'Council Entry'!AM$8),'Council Entry'!AM79)),IF(AND(ISNUMBER('Council Entry'!AM$8),ISNUMBER('Council Entry'!AM$9)),MAX(MIN('Council Entry'!AM79,'Council Entry'!AM$9),'Council Entry'!AM$8),'Council Entry'!AM79))))-'Council Entry'!AM$5)/('Council Entry'!AM$6-'Council Entry'!AM$5)),1))),"No data"))</f>
        <v/>
      </c>
      <c r="AN79" s="13">
        <f>IF('Council Entry'!AN79="","",IFERROR(MAX(0,MIN(10,ROUND(IF('Council Entry'!AN$7="Decrease Risk",10-10*((IF('Council Entry'!AN$4="Logarithm",LN(0.001+IF(AND(ISNUMBER('Council Entry'!AN$8),ISNUMBER('Council Entry'!AN$9)),MAX(MIN('Council Entry'!AN79,'Council Entry'!AN$9),'Council Entry'!AN$8),'Council Entry'!AN79)),IF('Council Entry'!AN$4="Exponential",EXP(IF(AND(ISNUMBER('Council Entry'!AN$8),ISNUMBER('Council Entry'!AN$9)),MAX(MIN('Council Entry'!AN79,'Council Entry'!AN$9),'Council Entry'!AN$8),'Council Entry'!AN79)),IF(AND(ISNUMBER('Council Entry'!AN$8),ISNUMBER('Council Entry'!AN$9)),MAX(MIN('Council Entry'!AN79,'Council Entry'!AN$9),'Council Entry'!AN$8),'Council Entry'!AN79))))-'Council Entry'!AN$5)/('Council Entry'!AN$6-'Council Entry'!AN$5),10*((IF('Council Entry'!AN$4="Logarithm",LN(0.001+IF(AND(ISNUMBER('Council Entry'!AN$8),ISNUMBER('Council Entry'!AN$9)),MAX(MIN('Council Entry'!AN79,'Council Entry'!AN$9),'Council Entry'!AN$8),'Council Entry'!AN79)),IF('Council Entry'!AN$4="Exponential",EXP(IF(AND(ISNUMBER('Council Entry'!AN$8),ISNUMBER('Council Entry'!AN$9)),MAX(MIN('Council Entry'!AN79,'Council Entry'!AN$9),'Council Entry'!AN$8),'Council Entry'!AN79)),IF(AND(ISNUMBER('Council Entry'!AN$8),ISNUMBER('Council Entry'!AN$9)),MAX(MIN('Council Entry'!AN79,'Council Entry'!AN$9),'Council Entry'!AN$8),'Council Entry'!AN79))))-'Council Entry'!AN$5)/('Council Entry'!AN$6-'Council Entry'!AN$5)),1))),"No data"))</f>
        <v/>
      </c>
      <c r="AO79" s="13">
        <f>IF('Council Entry'!AO79="","",IFERROR(MAX(0,MIN(10,ROUND(IF('Council Entry'!AO$7="Decrease Risk",10-10*((IF('Council Entry'!AO$4="Logarithm",LN(0.001+IF(AND(ISNUMBER('Council Entry'!AO$8),ISNUMBER('Council Entry'!AO$9)),MAX(MIN('Council Entry'!AO79,'Council Entry'!AO$9),'Council Entry'!AO$8),'Council Entry'!AO79)),IF('Council Entry'!AO$4="Exponential",EXP(IF(AND(ISNUMBER('Council Entry'!AO$8),ISNUMBER('Council Entry'!AO$9)),MAX(MIN('Council Entry'!AO79,'Council Entry'!AO$9),'Council Entry'!AO$8),'Council Entry'!AO79)),IF(AND(ISNUMBER('Council Entry'!AO$8),ISNUMBER('Council Entry'!AO$9)),MAX(MIN('Council Entry'!AO79,'Council Entry'!AO$9),'Council Entry'!AO$8),'Council Entry'!AO79))))-'Council Entry'!AO$5)/('Council Entry'!AO$6-'Council Entry'!AO$5),10*((IF('Council Entry'!AO$4="Logarithm",LN(0.001+IF(AND(ISNUMBER('Council Entry'!AO$8),ISNUMBER('Council Entry'!AO$9)),MAX(MIN('Council Entry'!AO79,'Council Entry'!AO$9),'Council Entry'!AO$8),'Council Entry'!AO79)),IF('Council Entry'!AO$4="Exponential",EXP(IF(AND(ISNUMBER('Council Entry'!AO$8),ISNUMBER('Council Entry'!AO$9)),MAX(MIN('Council Entry'!AO79,'Council Entry'!AO$9),'Council Entry'!AO$8),'Council Entry'!AO79)),IF(AND(ISNUMBER('Council Entry'!AO$8),ISNUMBER('Council Entry'!AO$9)),MAX(MIN('Council Entry'!AO79,'Council Entry'!AO$9),'Council Entry'!AO$8),'Council Entry'!AO79))))-'Council Entry'!AO$5)/('Council Entry'!AO$6-'Council Entry'!AO$5)),1))),"No data"))</f>
        <v/>
      </c>
      <c r="AP79" s="13">
        <f>IF('Council Entry'!AP79="","",IFERROR(MAX(0,MIN(10,ROUND(IF('Council Entry'!AP$7="Decrease Risk",10-10*((IF('Council Entry'!AP$4="Logarithm",LN(0.001+IF(AND(ISNUMBER('Council Entry'!AP$8),ISNUMBER('Council Entry'!AP$9)),MAX(MIN('Council Entry'!AP79,'Council Entry'!AP$9),'Council Entry'!AP$8),'Council Entry'!AP79)),IF('Council Entry'!AP$4="Exponential",EXP(IF(AND(ISNUMBER('Council Entry'!AP$8),ISNUMBER('Council Entry'!AP$9)),MAX(MIN('Council Entry'!AP79,'Council Entry'!AP$9),'Council Entry'!AP$8),'Council Entry'!AP79)),IF(AND(ISNUMBER('Council Entry'!AP$8),ISNUMBER('Council Entry'!AP$9)),MAX(MIN('Council Entry'!AP79,'Council Entry'!AP$9),'Council Entry'!AP$8),'Council Entry'!AP79))))-'Council Entry'!AP$5)/('Council Entry'!AP$6-'Council Entry'!AP$5),10*((IF('Council Entry'!AP$4="Logarithm",LN(0.001+IF(AND(ISNUMBER('Council Entry'!AP$8),ISNUMBER('Council Entry'!AP$9)),MAX(MIN('Council Entry'!AP79,'Council Entry'!AP$9),'Council Entry'!AP$8),'Council Entry'!AP79)),IF('Council Entry'!AP$4="Exponential",EXP(IF(AND(ISNUMBER('Council Entry'!AP$8),ISNUMBER('Council Entry'!AP$9)),MAX(MIN('Council Entry'!AP79,'Council Entry'!AP$9),'Council Entry'!AP$8),'Council Entry'!AP79)),IF(AND(ISNUMBER('Council Entry'!AP$8),ISNUMBER('Council Entry'!AP$9)),MAX(MIN('Council Entry'!AP79,'Council Entry'!AP$9),'Council Entry'!AP$8),'Council Entry'!AP79))))-'Council Entry'!AP$5)/('Council Entry'!AP$6-'Council Entry'!AP$5)),1))),"No data"))</f>
        <v/>
      </c>
      <c r="AQ79" s="13">
        <f>IF('Council Entry'!AQ79="","",IFERROR(MAX(0,MIN(10,ROUND(IF('Council Entry'!AQ$7="Decrease Risk",10-10*((IF('Council Entry'!AQ$4="Logarithm",LN(0.001+IF(AND(ISNUMBER('Council Entry'!AQ$8),ISNUMBER('Council Entry'!AQ$9)),MAX(MIN('Council Entry'!AQ79,'Council Entry'!AQ$9),'Council Entry'!AQ$8),'Council Entry'!AQ79)),IF('Council Entry'!AQ$4="Exponential",EXP(IF(AND(ISNUMBER('Council Entry'!AQ$8),ISNUMBER('Council Entry'!AQ$9)),MAX(MIN('Council Entry'!AQ79,'Council Entry'!AQ$9),'Council Entry'!AQ$8),'Council Entry'!AQ79)),IF(AND(ISNUMBER('Council Entry'!AQ$8),ISNUMBER('Council Entry'!AQ$9)),MAX(MIN('Council Entry'!AQ79,'Council Entry'!AQ$9),'Council Entry'!AQ$8),'Council Entry'!AQ79))))-'Council Entry'!AQ$5)/('Council Entry'!AQ$6-'Council Entry'!AQ$5),10*((IF('Council Entry'!AQ$4="Logarithm",LN(0.001+IF(AND(ISNUMBER('Council Entry'!AQ$8),ISNUMBER('Council Entry'!AQ$9)),MAX(MIN('Council Entry'!AQ79,'Council Entry'!AQ$9),'Council Entry'!AQ$8),'Council Entry'!AQ79)),IF('Council Entry'!AQ$4="Exponential",EXP(IF(AND(ISNUMBER('Council Entry'!AQ$8),ISNUMBER('Council Entry'!AQ$9)),MAX(MIN('Council Entry'!AQ79,'Council Entry'!AQ$9),'Council Entry'!AQ$8),'Council Entry'!AQ79)),IF(AND(ISNUMBER('Council Entry'!AQ$8),ISNUMBER('Council Entry'!AQ$9)),MAX(MIN('Council Entry'!AQ79,'Council Entry'!AQ$9),'Council Entry'!AQ$8),'Council Entry'!AQ79))))-'Council Entry'!AQ$5)/('Council Entry'!AQ$6-'Council Entry'!AQ$5)),1))),"No data"))</f>
        <v/>
      </c>
      <c r="AR79" s="13">
        <f>IF('Council Entry'!AR79="","",IFERROR(MAX(0,MIN(10,ROUND(IF('Council Entry'!AR$7="Decrease Risk",10-10*((IF('Council Entry'!AR$4="Logarithm",LN(0.001+IF(AND(ISNUMBER('Council Entry'!AR$8),ISNUMBER('Council Entry'!AR$9)),MAX(MIN('Council Entry'!AR79,'Council Entry'!AR$9),'Council Entry'!AR$8),'Council Entry'!AR79)),IF('Council Entry'!AR$4="Exponential",EXP(IF(AND(ISNUMBER('Council Entry'!AR$8),ISNUMBER('Council Entry'!AR$9)),MAX(MIN('Council Entry'!AR79,'Council Entry'!AR$9),'Council Entry'!AR$8),'Council Entry'!AR79)),IF(AND(ISNUMBER('Council Entry'!AR$8),ISNUMBER('Council Entry'!AR$9)),MAX(MIN('Council Entry'!AR79,'Council Entry'!AR$9),'Council Entry'!AR$8),'Council Entry'!AR79))))-'Council Entry'!AR$5)/('Council Entry'!AR$6-'Council Entry'!AR$5),10*((IF('Council Entry'!AR$4="Logarithm",LN(0.001+IF(AND(ISNUMBER('Council Entry'!AR$8),ISNUMBER('Council Entry'!AR$9)),MAX(MIN('Council Entry'!AR79,'Council Entry'!AR$9),'Council Entry'!AR$8),'Council Entry'!AR79)),IF('Council Entry'!AR$4="Exponential",EXP(IF(AND(ISNUMBER('Council Entry'!AR$8),ISNUMBER('Council Entry'!AR$9)),MAX(MIN('Council Entry'!AR79,'Council Entry'!AR$9),'Council Entry'!AR$8),'Council Entry'!AR79)),IF(AND(ISNUMBER('Council Entry'!AR$8),ISNUMBER('Council Entry'!AR$9)),MAX(MIN('Council Entry'!AR79,'Council Entry'!AR$9),'Council Entry'!AR$8),'Council Entry'!AR79))))-'Council Entry'!AR$5)/('Council Entry'!AR$6-'Council Entry'!AR$5)),1))),"No data"))</f>
        <v/>
      </c>
      <c r="AS79" s="13">
        <f>IF('Council Entry'!AS79="","",IFERROR(MAX(0,MIN(10,ROUND(IF('Council Entry'!AS$7="Decrease Risk",10-10*((IF('Council Entry'!AS$4="Logarithm",LN(0.001+IF(AND(ISNUMBER('Council Entry'!AS$8),ISNUMBER('Council Entry'!AS$9)),MAX(MIN('Council Entry'!AS79,'Council Entry'!AS$9),'Council Entry'!AS$8),'Council Entry'!AS79)),IF('Council Entry'!AS$4="Exponential",EXP(IF(AND(ISNUMBER('Council Entry'!AS$8),ISNUMBER('Council Entry'!AS$9)),MAX(MIN('Council Entry'!AS79,'Council Entry'!AS$9),'Council Entry'!AS$8),'Council Entry'!AS79)),IF(AND(ISNUMBER('Council Entry'!AS$8),ISNUMBER('Council Entry'!AS$9)),MAX(MIN('Council Entry'!AS79,'Council Entry'!AS$9),'Council Entry'!AS$8),'Council Entry'!AS79))))-'Council Entry'!AS$5)/('Council Entry'!AS$6-'Council Entry'!AS$5),10*((IF('Council Entry'!AS$4="Logarithm",LN(0.001+IF(AND(ISNUMBER('Council Entry'!AS$8),ISNUMBER('Council Entry'!AS$9)),MAX(MIN('Council Entry'!AS79,'Council Entry'!AS$9),'Council Entry'!AS$8),'Council Entry'!AS79)),IF('Council Entry'!AS$4="Exponential",EXP(IF(AND(ISNUMBER('Council Entry'!AS$8),ISNUMBER('Council Entry'!AS$9)),MAX(MIN('Council Entry'!AS79,'Council Entry'!AS$9),'Council Entry'!AS$8),'Council Entry'!AS79)),IF(AND(ISNUMBER('Council Entry'!AS$8),ISNUMBER('Council Entry'!AS$9)),MAX(MIN('Council Entry'!AS79,'Council Entry'!AS$9),'Council Entry'!AS$8),'Council Entry'!AS79))))-'Council Entry'!AS$5)/('Council Entry'!AS$6-'Council Entry'!AS$5)),1))),"No data"))</f>
        <v/>
      </c>
      <c r="AT79" s="13">
        <f>IF('Council Entry'!AT79="","",IFERROR(MAX(0,MIN(10,ROUND(IF('Council Entry'!AT$7="Decrease Risk",10-10*((IF('Council Entry'!AT$4="Logarithm",LN(0.001+IF(AND(ISNUMBER('Council Entry'!AT$8),ISNUMBER('Council Entry'!AT$9)),MAX(MIN('Council Entry'!AT79,'Council Entry'!AT$9),'Council Entry'!AT$8),'Council Entry'!AT79)),IF('Council Entry'!AT$4="Exponential",EXP(IF(AND(ISNUMBER('Council Entry'!AT$8),ISNUMBER('Council Entry'!AT$9)),MAX(MIN('Council Entry'!AT79,'Council Entry'!AT$9),'Council Entry'!AT$8),'Council Entry'!AT79)),IF(AND(ISNUMBER('Council Entry'!AT$8),ISNUMBER('Council Entry'!AT$9)),MAX(MIN('Council Entry'!AT79,'Council Entry'!AT$9),'Council Entry'!AT$8),'Council Entry'!AT79))))-'Council Entry'!AT$5)/('Council Entry'!AT$6-'Council Entry'!AT$5),10*((IF('Council Entry'!AT$4="Logarithm",LN(0.001+IF(AND(ISNUMBER('Council Entry'!AT$8),ISNUMBER('Council Entry'!AT$9)),MAX(MIN('Council Entry'!AT79,'Council Entry'!AT$9),'Council Entry'!AT$8),'Council Entry'!AT79)),IF('Council Entry'!AT$4="Exponential",EXP(IF(AND(ISNUMBER('Council Entry'!AT$8),ISNUMBER('Council Entry'!AT$9)),MAX(MIN('Council Entry'!AT79,'Council Entry'!AT$9),'Council Entry'!AT$8),'Council Entry'!AT79)),IF(AND(ISNUMBER('Council Entry'!AT$8),ISNUMBER('Council Entry'!AT$9)),MAX(MIN('Council Entry'!AT79,'Council Entry'!AT$9),'Council Entry'!AT$8),'Council Entry'!AT79))))-'Council Entry'!AT$5)/('Council Entry'!AT$6-'Council Entry'!AT$5)),1))),"No data"))</f>
        <v/>
      </c>
      <c r="AU79" s="13">
        <f>IF('Council Entry'!AU79="","",IFERROR(MAX(0,MIN(10,ROUND(IF('Council Entry'!AU$7="Decrease Risk",10-10*((IF('Council Entry'!AU$4="Logarithm",LN(0.001+IF(AND(ISNUMBER('Council Entry'!AU$8),ISNUMBER('Council Entry'!AU$9)),MAX(MIN('Council Entry'!AU79,'Council Entry'!AU$9),'Council Entry'!AU$8),'Council Entry'!AU79)),IF('Council Entry'!AU$4="Exponential",EXP(IF(AND(ISNUMBER('Council Entry'!AU$8),ISNUMBER('Council Entry'!AU$9)),MAX(MIN('Council Entry'!AU79,'Council Entry'!AU$9),'Council Entry'!AU$8),'Council Entry'!AU79)),IF(AND(ISNUMBER('Council Entry'!AU$8),ISNUMBER('Council Entry'!AU$9)),MAX(MIN('Council Entry'!AU79,'Council Entry'!AU$9),'Council Entry'!AU$8),'Council Entry'!AU79))))-'Council Entry'!AU$5)/('Council Entry'!AU$6-'Council Entry'!AU$5),10*((IF('Council Entry'!AU$4="Logarithm",LN(0.001+IF(AND(ISNUMBER('Council Entry'!AU$8),ISNUMBER('Council Entry'!AU$9)),MAX(MIN('Council Entry'!AU79,'Council Entry'!AU$9),'Council Entry'!AU$8),'Council Entry'!AU79)),IF('Council Entry'!AU$4="Exponential",EXP(IF(AND(ISNUMBER('Council Entry'!AU$8),ISNUMBER('Council Entry'!AU$9)),MAX(MIN('Council Entry'!AU79,'Council Entry'!AU$9),'Council Entry'!AU$8),'Council Entry'!AU79)),IF(AND(ISNUMBER('Council Entry'!AU$8),ISNUMBER('Council Entry'!AU$9)),MAX(MIN('Council Entry'!AU79,'Council Entry'!AU$9),'Council Entry'!AU$8),'Council Entry'!AU79))))-'Council Entry'!AU$5)/('Council Entry'!AU$6-'Council Entry'!AU$5)),1))),"No data"))</f>
        <v/>
      </c>
      <c r="AV79" s="13">
        <f>IF('Council Entry'!AV79="","",IFERROR(MAX(0,MIN(10,ROUND(IF('Council Entry'!AV$7="Decrease Risk",10-10*((IF('Council Entry'!AV$4="Logarithm",LN(0.001+IF(AND(ISNUMBER('Council Entry'!AV$8),ISNUMBER('Council Entry'!AV$9)),MAX(MIN('Council Entry'!AV79,'Council Entry'!AV$9),'Council Entry'!AV$8),'Council Entry'!AV79)),IF('Council Entry'!AV$4="Exponential",EXP(IF(AND(ISNUMBER('Council Entry'!AV$8),ISNUMBER('Council Entry'!AV$9)),MAX(MIN('Council Entry'!AV79,'Council Entry'!AV$9),'Council Entry'!AV$8),'Council Entry'!AV79)),IF(AND(ISNUMBER('Council Entry'!AV$8),ISNUMBER('Council Entry'!AV$9)),MAX(MIN('Council Entry'!AV79,'Council Entry'!AV$9),'Council Entry'!AV$8),'Council Entry'!AV79))))-'Council Entry'!AV$5)/('Council Entry'!AV$6-'Council Entry'!AV$5),10*((IF('Council Entry'!AV$4="Logarithm",LN(0.001+IF(AND(ISNUMBER('Council Entry'!AV$8),ISNUMBER('Council Entry'!AV$9)),MAX(MIN('Council Entry'!AV79,'Council Entry'!AV$9),'Council Entry'!AV$8),'Council Entry'!AV79)),IF('Council Entry'!AV$4="Exponential",EXP(IF(AND(ISNUMBER('Council Entry'!AV$8),ISNUMBER('Council Entry'!AV$9)),MAX(MIN('Council Entry'!AV79,'Council Entry'!AV$9),'Council Entry'!AV$8),'Council Entry'!AV79)),IF(AND(ISNUMBER('Council Entry'!AV$8),ISNUMBER('Council Entry'!AV$9)),MAX(MIN('Council Entry'!AV79,'Council Entry'!AV$9),'Council Entry'!AV$8),'Council Entry'!AV79))))-'Council Entry'!AV$5)/('Council Entry'!AV$6-'Council Entry'!AV$5)),1))),"No data"))</f>
        <v/>
      </c>
      <c r="AW79" s="13">
        <f>IF('Council Entry'!AW79="","",IFERROR(MAX(0,MIN(10,ROUND(IF('Council Entry'!AW$7="Decrease Risk",10-10*((IF('Council Entry'!AW$4="Logarithm",LN(0.001+IF(AND(ISNUMBER('Council Entry'!AW$8),ISNUMBER('Council Entry'!AW$9)),MAX(MIN('Council Entry'!AW79,'Council Entry'!AW$9),'Council Entry'!AW$8),'Council Entry'!AW79)),IF('Council Entry'!AW$4="Exponential",EXP(IF(AND(ISNUMBER('Council Entry'!AW$8),ISNUMBER('Council Entry'!AW$9)),MAX(MIN('Council Entry'!AW79,'Council Entry'!AW$9),'Council Entry'!AW$8),'Council Entry'!AW79)),IF(AND(ISNUMBER('Council Entry'!AW$8),ISNUMBER('Council Entry'!AW$9)),MAX(MIN('Council Entry'!AW79,'Council Entry'!AW$9),'Council Entry'!AW$8),'Council Entry'!AW79))))-'Council Entry'!AW$5)/('Council Entry'!AW$6-'Council Entry'!AW$5),10*((IF('Council Entry'!AW$4="Logarithm",LN(0.001+IF(AND(ISNUMBER('Council Entry'!AW$8),ISNUMBER('Council Entry'!AW$9)),MAX(MIN('Council Entry'!AW79,'Council Entry'!AW$9),'Council Entry'!AW$8),'Council Entry'!AW79)),IF('Council Entry'!AW$4="Exponential",EXP(IF(AND(ISNUMBER('Council Entry'!AW$8),ISNUMBER('Council Entry'!AW$9)),MAX(MIN('Council Entry'!AW79,'Council Entry'!AW$9),'Council Entry'!AW$8),'Council Entry'!AW79)),IF(AND(ISNUMBER('Council Entry'!AW$8),ISNUMBER('Council Entry'!AW$9)),MAX(MIN('Council Entry'!AW79,'Council Entry'!AW$9),'Council Entry'!AW$8),'Council Entry'!AW79))))-'Council Entry'!AW$5)/('Council Entry'!AW$6-'Council Entry'!AW$5)),1))),"No data"))</f>
        <v/>
      </c>
      <c r="AX79" s="13">
        <f>IF('Council Entry'!AX79="","",IFERROR(MAX(0,MIN(10,ROUND(IF('Council Entry'!AX$7="Decrease Risk",10-10*((IF('Council Entry'!AX$4="Logarithm",LN(0.001+IF(AND(ISNUMBER('Council Entry'!AX$8),ISNUMBER('Council Entry'!AX$9)),MAX(MIN('Council Entry'!AX79,'Council Entry'!AX$9),'Council Entry'!AX$8),'Council Entry'!AX79)),IF('Council Entry'!AX$4="Exponential",EXP(IF(AND(ISNUMBER('Council Entry'!AX$8),ISNUMBER('Council Entry'!AX$9)),MAX(MIN('Council Entry'!AX79,'Council Entry'!AX$9),'Council Entry'!AX$8),'Council Entry'!AX79)),IF(AND(ISNUMBER('Council Entry'!AX$8),ISNUMBER('Council Entry'!AX$9)),MAX(MIN('Council Entry'!AX79,'Council Entry'!AX$9),'Council Entry'!AX$8),'Council Entry'!AX79))))-'Council Entry'!AX$5)/('Council Entry'!AX$6-'Council Entry'!AX$5),10*((IF('Council Entry'!AX$4="Logarithm",LN(0.001+IF(AND(ISNUMBER('Council Entry'!AX$8),ISNUMBER('Council Entry'!AX$9)),MAX(MIN('Council Entry'!AX79,'Council Entry'!AX$9),'Council Entry'!AX$8),'Council Entry'!AX79)),IF('Council Entry'!AX$4="Exponential",EXP(IF(AND(ISNUMBER('Council Entry'!AX$8),ISNUMBER('Council Entry'!AX$9)),MAX(MIN('Council Entry'!AX79,'Council Entry'!AX$9),'Council Entry'!AX$8),'Council Entry'!AX79)),IF(AND(ISNUMBER('Council Entry'!AX$8),ISNUMBER('Council Entry'!AX$9)),MAX(MIN('Council Entry'!AX79,'Council Entry'!AX$9),'Council Entry'!AX$8),'Council Entry'!AX79))))-'Council Entry'!AX$5)/('Council Entry'!AX$6-'Council Entry'!AX$5)),1))),"No data"))</f>
        <v/>
      </c>
      <c r="AY79" s="13">
        <f>IF('Council Entry'!AY79="","",IFERROR(MAX(0,MIN(10,ROUND(IF('Council Entry'!AY$7="Decrease Risk",10-10*((IF('Council Entry'!AY$4="Logarithm",LN(0.001+IF(AND(ISNUMBER('Council Entry'!AY$8),ISNUMBER('Council Entry'!AY$9)),MAX(MIN('Council Entry'!AY79,'Council Entry'!AY$9),'Council Entry'!AY$8),'Council Entry'!AY79)),IF('Council Entry'!AY$4="Exponential",EXP(IF(AND(ISNUMBER('Council Entry'!AY$8),ISNUMBER('Council Entry'!AY$9)),MAX(MIN('Council Entry'!AY79,'Council Entry'!AY$9),'Council Entry'!AY$8),'Council Entry'!AY79)),IF(AND(ISNUMBER('Council Entry'!AY$8),ISNUMBER('Council Entry'!AY$9)),MAX(MIN('Council Entry'!AY79,'Council Entry'!AY$9),'Council Entry'!AY$8),'Council Entry'!AY79))))-'Council Entry'!AY$5)/('Council Entry'!AY$6-'Council Entry'!AY$5),10*((IF('Council Entry'!AY$4="Logarithm",LN(0.001+IF(AND(ISNUMBER('Council Entry'!AY$8),ISNUMBER('Council Entry'!AY$9)),MAX(MIN('Council Entry'!AY79,'Council Entry'!AY$9),'Council Entry'!AY$8),'Council Entry'!AY79)),IF('Council Entry'!AY$4="Exponential",EXP(IF(AND(ISNUMBER('Council Entry'!AY$8),ISNUMBER('Council Entry'!AY$9)),MAX(MIN('Council Entry'!AY79,'Council Entry'!AY$9),'Council Entry'!AY$8),'Council Entry'!AY79)),IF(AND(ISNUMBER('Council Entry'!AY$8),ISNUMBER('Council Entry'!AY$9)),MAX(MIN('Council Entry'!AY79,'Council Entry'!AY$9),'Council Entry'!AY$8),'Council Entry'!AY79))))-'Council Entry'!AY$5)/('Council Entry'!AY$6-'Council Entry'!AY$5)),1))),"No data"))</f>
        <v/>
      </c>
      <c r="AZ79" s="13">
        <f>IF('Council Entry'!AZ79="","",IFERROR(MAX(0,MIN(10,ROUND(IF('Council Entry'!AZ$7="Decrease Risk",10-10*((IF('Council Entry'!AZ$4="Logarithm",LN(0.001+IF(AND(ISNUMBER('Council Entry'!AZ$8),ISNUMBER('Council Entry'!AZ$9)),MAX(MIN('Council Entry'!AZ79,'Council Entry'!AZ$9),'Council Entry'!AZ$8),'Council Entry'!AZ79)),IF('Council Entry'!AZ$4="Exponential",EXP(IF(AND(ISNUMBER('Council Entry'!AZ$8),ISNUMBER('Council Entry'!AZ$9)),MAX(MIN('Council Entry'!AZ79,'Council Entry'!AZ$9),'Council Entry'!AZ$8),'Council Entry'!AZ79)),IF(AND(ISNUMBER('Council Entry'!AZ$8),ISNUMBER('Council Entry'!AZ$9)),MAX(MIN('Council Entry'!AZ79,'Council Entry'!AZ$9),'Council Entry'!AZ$8),'Council Entry'!AZ79))))-'Council Entry'!AZ$5)/('Council Entry'!AZ$6-'Council Entry'!AZ$5),10*((IF('Council Entry'!AZ$4="Logarithm",LN(0.001+IF(AND(ISNUMBER('Council Entry'!AZ$8),ISNUMBER('Council Entry'!AZ$9)),MAX(MIN('Council Entry'!AZ79,'Council Entry'!AZ$9),'Council Entry'!AZ$8),'Council Entry'!AZ79)),IF('Council Entry'!AZ$4="Exponential",EXP(IF(AND(ISNUMBER('Council Entry'!AZ$8),ISNUMBER('Council Entry'!AZ$9)),MAX(MIN('Council Entry'!AZ79,'Council Entry'!AZ$9),'Council Entry'!AZ$8),'Council Entry'!AZ79)),IF(AND(ISNUMBER('Council Entry'!AZ$8),ISNUMBER('Council Entry'!AZ$9)),MAX(MIN('Council Entry'!AZ79,'Council Entry'!AZ$9),'Council Entry'!AZ$8),'Council Entry'!AZ79))))-'Council Entry'!AZ$5)/('Council Entry'!AZ$6-'Council Entry'!AZ$5)),1))),"No data"))</f>
        <v/>
      </c>
      <c r="BA79" s="13">
        <f>IF('Council Entry'!BA79="","",IFERROR(MAX(0,MIN(10,ROUND(IF('Council Entry'!BA$7="Decrease Risk",10-10*((IF('Council Entry'!BA$4="Logarithm",LN(0.001+IF(AND(ISNUMBER('Council Entry'!BA$8),ISNUMBER('Council Entry'!BA$9)),MAX(MIN('Council Entry'!BA79,'Council Entry'!BA$9),'Council Entry'!BA$8),'Council Entry'!BA79)),IF('Council Entry'!BA$4="Exponential",EXP(IF(AND(ISNUMBER('Council Entry'!BA$8),ISNUMBER('Council Entry'!BA$9)),MAX(MIN('Council Entry'!BA79,'Council Entry'!BA$9),'Council Entry'!BA$8),'Council Entry'!BA79)),IF(AND(ISNUMBER('Council Entry'!BA$8),ISNUMBER('Council Entry'!BA$9)),MAX(MIN('Council Entry'!BA79,'Council Entry'!BA$9),'Council Entry'!BA$8),'Council Entry'!BA79))))-'Council Entry'!BA$5)/('Council Entry'!BA$6-'Council Entry'!BA$5),10*((IF('Council Entry'!BA$4="Logarithm",LN(0.001+IF(AND(ISNUMBER('Council Entry'!BA$8),ISNUMBER('Council Entry'!BA$9)),MAX(MIN('Council Entry'!BA79,'Council Entry'!BA$9),'Council Entry'!BA$8),'Council Entry'!BA79)),IF('Council Entry'!BA$4="Exponential",EXP(IF(AND(ISNUMBER('Council Entry'!BA$8),ISNUMBER('Council Entry'!BA$9)),MAX(MIN('Council Entry'!BA79,'Council Entry'!BA$9),'Council Entry'!BA$8),'Council Entry'!BA79)),IF(AND(ISNUMBER('Council Entry'!BA$8),ISNUMBER('Council Entry'!BA$9)),MAX(MIN('Council Entry'!BA79,'Council Entry'!BA$9),'Council Entry'!BA$8),'Council Entry'!BA79))))-'Council Entry'!BA$5)/('Council Entry'!BA$6-'Council Entry'!BA$5)),1))),"No data"))</f>
        <v/>
      </c>
      <c r="BB79" s="13">
        <f>IF('Council Entry'!BB79="","",IFERROR(MAX(0,MIN(10,ROUND(IF('Council Entry'!BB$7="Decrease Risk",10-10*((IF('Council Entry'!BB$4="Logarithm",LN(0.001+IF(AND(ISNUMBER('Council Entry'!BB$8),ISNUMBER('Council Entry'!BB$9)),MAX(MIN('Council Entry'!BB79,'Council Entry'!BB$9),'Council Entry'!BB$8),'Council Entry'!BB79)),IF('Council Entry'!BB$4="Exponential",EXP(IF(AND(ISNUMBER('Council Entry'!BB$8),ISNUMBER('Council Entry'!BB$9)),MAX(MIN('Council Entry'!BB79,'Council Entry'!BB$9),'Council Entry'!BB$8),'Council Entry'!BB79)),IF(AND(ISNUMBER('Council Entry'!BB$8),ISNUMBER('Council Entry'!BB$9)),MAX(MIN('Council Entry'!BB79,'Council Entry'!BB$9),'Council Entry'!BB$8),'Council Entry'!BB79))))-'Council Entry'!BB$5)/('Council Entry'!BB$6-'Council Entry'!BB$5),10*((IF('Council Entry'!BB$4="Logarithm",LN(0.001+IF(AND(ISNUMBER('Council Entry'!BB$8),ISNUMBER('Council Entry'!BB$9)),MAX(MIN('Council Entry'!BB79,'Council Entry'!BB$9),'Council Entry'!BB$8),'Council Entry'!BB79)),IF('Council Entry'!BB$4="Exponential",EXP(IF(AND(ISNUMBER('Council Entry'!BB$8),ISNUMBER('Council Entry'!BB$9)),MAX(MIN('Council Entry'!BB79,'Council Entry'!BB$9),'Council Entry'!BB$8),'Council Entry'!BB79)),IF(AND(ISNUMBER('Council Entry'!BB$8),ISNUMBER('Council Entry'!BB$9)),MAX(MIN('Council Entry'!BB79,'Council Entry'!BB$9),'Council Entry'!BB$8),'Council Entry'!BB79))))-'Council Entry'!BB$5)/('Council Entry'!BB$6-'Council Entry'!BB$5)),1))),"No data"))</f>
        <v/>
      </c>
      <c r="BC79" s="13">
        <f>IF('Council Entry'!BC79="","",IFERROR(MAX(0,MIN(10,ROUND(IF('Council Entry'!BC$7="Decrease Risk",10-10*((IF('Council Entry'!BC$4="Logarithm",LN(0.001+IF(AND(ISNUMBER('Council Entry'!BC$8),ISNUMBER('Council Entry'!BC$9)),MAX(MIN('Council Entry'!BC79,'Council Entry'!BC$9),'Council Entry'!BC$8),'Council Entry'!BC79)),IF('Council Entry'!BC$4="Exponential",EXP(IF(AND(ISNUMBER('Council Entry'!BC$8),ISNUMBER('Council Entry'!BC$9)),MAX(MIN('Council Entry'!BC79,'Council Entry'!BC$9),'Council Entry'!BC$8),'Council Entry'!BC79)),IF(AND(ISNUMBER('Council Entry'!BC$8),ISNUMBER('Council Entry'!BC$9)),MAX(MIN('Council Entry'!BC79,'Council Entry'!BC$9),'Council Entry'!BC$8),'Council Entry'!BC79))))-'Council Entry'!BC$5)/('Council Entry'!BC$6-'Council Entry'!BC$5),10*((IF('Council Entry'!BC$4="Logarithm",LN(0.001+IF(AND(ISNUMBER('Council Entry'!BC$8),ISNUMBER('Council Entry'!BC$9)),MAX(MIN('Council Entry'!BC79,'Council Entry'!BC$9),'Council Entry'!BC$8),'Council Entry'!BC79)),IF('Council Entry'!BC$4="Exponential",EXP(IF(AND(ISNUMBER('Council Entry'!BC$8),ISNUMBER('Council Entry'!BC$9)),MAX(MIN('Council Entry'!BC79,'Council Entry'!BC$9),'Council Entry'!BC$8),'Council Entry'!BC79)),IF(AND(ISNUMBER('Council Entry'!BC$8),ISNUMBER('Council Entry'!BC$9)),MAX(MIN('Council Entry'!BC79,'Council Entry'!BC$9),'Council Entry'!BC$8),'Council Entry'!BC79))))-'Council Entry'!BC$5)/('Council Entry'!BC$6-'Council Entry'!BC$5)),1))),"No data"))</f>
        <v/>
      </c>
      <c r="BD79" s="13">
        <f>IF('Council Entry'!BD79="","",IFERROR(MAX(0,MIN(10,ROUND(IF('Council Entry'!BD$7="Decrease Risk",10-10*((IF('Council Entry'!BD$4="Logarithm",LN(0.001+IF(AND(ISNUMBER('Council Entry'!BD$8),ISNUMBER('Council Entry'!BD$9)),MAX(MIN('Council Entry'!BD79,'Council Entry'!BD$9),'Council Entry'!BD$8),'Council Entry'!BD79)),IF('Council Entry'!BD$4="Exponential",EXP(IF(AND(ISNUMBER('Council Entry'!BD$8),ISNUMBER('Council Entry'!BD$9)),MAX(MIN('Council Entry'!BD79,'Council Entry'!BD$9),'Council Entry'!BD$8),'Council Entry'!BD79)),IF(AND(ISNUMBER('Council Entry'!BD$8),ISNUMBER('Council Entry'!BD$9)),MAX(MIN('Council Entry'!BD79,'Council Entry'!BD$9),'Council Entry'!BD$8),'Council Entry'!BD79))))-'Council Entry'!BD$5)/('Council Entry'!BD$6-'Council Entry'!BD$5),10*((IF('Council Entry'!BD$4="Logarithm",LN(0.001+IF(AND(ISNUMBER('Council Entry'!BD$8),ISNUMBER('Council Entry'!BD$9)),MAX(MIN('Council Entry'!BD79,'Council Entry'!BD$9),'Council Entry'!BD$8),'Council Entry'!BD79)),IF('Council Entry'!BD$4="Exponential",EXP(IF(AND(ISNUMBER('Council Entry'!BD$8),ISNUMBER('Council Entry'!BD$9)),MAX(MIN('Council Entry'!BD79,'Council Entry'!BD$9),'Council Entry'!BD$8),'Council Entry'!BD79)),IF(AND(ISNUMBER('Council Entry'!BD$8),ISNUMBER('Council Entry'!BD$9)),MAX(MIN('Council Entry'!BD79,'Council Entry'!BD$9),'Council Entry'!BD$8),'Council Entry'!BD79))))-'Council Entry'!BD$5)/('Council Entry'!BD$6-'Council Entry'!BD$5)),1))),"No data"))</f>
        <v/>
      </c>
    </row>
    <row r="80">
      <c r="A80" t="inlineStr">
        <is>
          <t>Lindi</t>
        </is>
      </c>
      <c r="B80" t="inlineStr">
        <is>
          <t>Liwale District</t>
        </is>
      </c>
      <c r="C80" t="inlineStr">
        <is>
          <t>C061</t>
        </is>
      </c>
      <c r="D80" s="13">
        <f>IF('Council Entry'!D80="","",IFERROR(MAX(0,MIN(10,ROUND(IF('Council Entry'!D$7="Decrease Risk",10-10*((IF('Council Entry'!D$4="Logarithm",LN(0.001+IF(AND(ISNUMBER('Council Entry'!D$8),ISNUMBER('Council Entry'!D$9)),MAX(MIN('Council Entry'!D80,'Council Entry'!D$9),'Council Entry'!D$8),'Council Entry'!D80)),IF('Council Entry'!D$4="Exponential",EXP(IF(AND(ISNUMBER('Council Entry'!D$8),ISNUMBER('Council Entry'!D$9)),MAX(MIN('Council Entry'!D80,'Council Entry'!D$9),'Council Entry'!D$8),'Council Entry'!D80)),IF(AND(ISNUMBER('Council Entry'!D$8),ISNUMBER('Council Entry'!D$9)),MAX(MIN('Council Entry'!D80,'Council Entry'!D$9),'Council Entry'!D$8),'Council Entry'!D80))))-'Council Entry'!D$5)/('Council Entry'!D$6-'Council Entry'!D$5),10*((IF('Council Entry'!D$4="Logarithm",LN(0.001+IF(AND(ISNUMBER('Council Entry'!D$8),ISNUMBER('Council Entry'!D$9)),MAX(MIN('Council Entry'!D80,'Council Entry'!D$9),'Council Entry'!D$8),'Council Entry'!D80)),IF('Council Entry'!D$4="Exponential",EXP(IF(AND(ISNUMBER('Council Entry'!D$8),ISNUMBER('Council Entry'!D$9)),MAX(MIN('Council Entry'!D80,'Council Entry'!D$9),'Council Entry'!D$8),'Council Entry'!D80)),IF(AND(ISNUMBER('Council Entry'!D$8),ISNUMBER('Council Entry'!D$9)),MAX(MIN('Council Entry'!D80,'Council Entry'!D$9),'Council Entry'!D$8),'Council Entry'!D80))))-'Council Entry'!D$5)/('Council Entry'!D$6-'Council Entry'!D$5)),1))),"No data"))</f>
        <v/>
      </c>
      <c r="E80" s="13">
        <f>IF('Council Entry'!E80="","",IFERROR(MAX(0,MIN(10,ROUND(IF('Council Entry'!E$7="Decrease Risk",10-10*((IF('Council Entry'!E$4="Logarithm",LN(0.001+IF(AND(ISNUMBER('Council Entry'!E$8),ISNUMBER('Council Entry'!E$9)),MAX(MIN('Council Entry'!E80,'Council Entry'!E$9),'Council Entry'!E$8),'Council Entry'!E80)),IF('Council Entry'!E$4="Exponential",EXP(IF(AND(ISNUMBER('Council Entry'!E$8),ISNUMBER('Council Entry'!E$9)),MAX(MIN('Council Entry'!E80,'Council Entry'!E$9),'Council Entry'!E$8),'Council Entry'!E80)),IF(AND(ISNUMBER('Council Entry'!E$8),ISNUMBER('Council Entry'!E$9)),MAX(MIN('Council Entry'!E80,'Council Entry'!E$9),'Council Entry'!E$8),'Council Entry'!E80))))-'Council Entry'!E$5)/('Council Entry'!E$6-'Council Entry'!E$5),10*((IF('Council Entry'!E$4="Logarithm",LN(0.001+IF(AND(ISNUMBER('Council Entry'!E$8),ISNUMBER('Council Entry'!E$9)),MAX(MIN('Council Entry'!E80,'Council Entry'!E$9),'Council Entry'!E$8),'Council Entry'!E80)),IF('Council Entry'!E$4="Exponential",EXP(IF(AND(ISNUMBER('Council Entry'!E$8),ISNUMBER('Council Entry'!E$9)),MAX(MIN('Council Entry'!E80,'Council Entry'!E$9),'Council Entry'!E$8),'Council Entry'!E80)),IF(AND(ISNUMBER('Council Entry'!E$8),ISNUMBER('Council Entry'!E$9)),MAX(MIN('Council Entry'!E80,'Council Entry'!E$9),'Council Entry'!E$8),'Council Entry'!E80))))-'Council Entry'!E$5)/('Council Entry'!E$6-'Council Entry'!E$5)),1))),"No data"))</f>
        <v/>
      </c>
      <c r="F80" s="13">
        <f>IF('Council Entry'!F80="","",IFERROR(MAX(0,MIN(10,ROUND(IF('Council Entry'!F$7="Decrease Risk",10-10*((IF('Council Entry'!F$4="Logarithm",LN(0.001+IF(AND(ISNUMBER('Council Entry'!F$8),ISNUMBER('Council Entry'!F$9)),MAX(MIN('Council Entry'!F80,'Council Entry'!F$9),'Council Entry'!F$8),'Council Entry'!F80)),IF('Council Entry'!F$4="Exponential",EXP(IF(AND(ISNUMBER('Council Entry'!F$8),ISNUMBER('Council Entry'!F$9)),MAX(MIN('Council Entry'!F80,'Council Entry'!F$9),'Council Entry'!F$8),'Council Entry'!F80)),IF(AND(ISNUMBER('Council Entry'!F$8),ISNUMBER('Council Entry'!F$9)),MAX(MIN('Council Entry'!F80,'Council Entry'!F$9),'Council Entry'!F$8),'Council Entry'!F80))))-'Council Entry'!F$5)/('Council Entry'!F$6-'Council Entry'!F$5),10*((IF('Council Entry'!F$4="Logarithm",LN(0.001+IF(AND(ISNUMBER('Council Entry'!F$8),ISNUMBER('Council Entry'!F$9)),MAX(MIN('Council Entry'!F80,'Council Entry'!F$9),'Council Entry'!F$8),'Council Entry'!F80)),IF('Council Entry'!F$4="Exponential",EXP(IF(AND(ISNUMBER('Council Entry'!F$8),ISNUMBER('Council Entry'!F$9)),MAX(MIN('Council Entry'!F80,'Council Entry'!F$9),'Council Entry'!F$8),'Council Entry'!F80)),IF(AND(ISNUMBER('Council Entry'!F$8),ISNUMBER('Council Entry'!F$9)),MAX(MIN('Council Entry'!F80,'Council Entry'!F$9),'Council Entry'!F$8),'Council Entry'!F80))))-'Council Entry'!F$5)/('Council Entry'!F$6-'Council Entry'!F$5)),1))),"No data"))</f>
        <v/>
      </c>
      <c r="G80" s="13">
        <f>IF('Council Entry'!G80="","",IFERROR(MAX(0,MIN(10,ROUND(IF('Council Entry'!G$7="Decrease Risk",10-10*((IF('Council Entry'!G$4="Logarithm",LN(0.001+IF(AND(ISNUMBER('Council Entry'!G$8),ISNUMBER('Council Entry'!G$9)),MAX(MIN('Council Entry'!G80,'Council Entry'!G$9),'Council Entry'!G$8),'Council Entry'!G80)),IF('Council Entry'!G$4="Exponential",EXP(IF(AND(ISNUMBER('Council Entry'!G$8),ISNUMBER('Council Entry'!G$9)),MAX(MIN('Council Entry'!G80,'Council Entry'!G$9),'Council Entry'!G$8),'Council Entry'!G80)),IF(AND(ISNUMBER('Council Entry'!G$8),ISNUMBER('Council Entry'!G$9)),MAX(MIN('Council Entry'!G80,'Council Entry'!G$9),'Council Entry'!G$8),'Council Entry'!G80))))-'Council Entry'!G$5)/('Council Entry'!G$6-'Council Entry'!G$5),10*((IF('Council Entry'!G$4="Logarithm",LN(0.001+IF(AND(ISNUMBER('Council Entry'!G$8),ISNUMBER('Council Entry'!G$9)),MAX(MIN('Council Entry'!G80,'Council Entry'!G$9),'Council Entry'!G$8),'Council Entry'!G80)),IF('Council Entry'!G$4="Exponential",EXP(IF(AND(ISNUMBER('Council Entry'!G$8),ISNUMBER('Council Entry'!G$9)),MAX(MIN('Council Entry'!G80,'Council Entry'!G$9),'Council Entry'!G$8),'Council Entry'!G80)),IF(AND(ISNUMBER('Council Entry'!G$8),ISNUMBER('Council Entry'!G$9)),MAX(MIN('Council Entry'!G80,'Council Entry'!G$9),'Council Entry'!G$8),'Council Entry'!G80))))-'Council Entry'!G$5)/('Council Entry'!G$6-'Council Entry'!G$5)),1))),"No data"))</f>
        <v/>
      </c>
      <c r="H80" s="13">
        <f>IF('Council Entry'!H80="","",IFERROR(MAX(0,MIN(10,ROUND(IF('Council Entry'!H$7="Decrease Risk",10-10*((IF('Council Entry'!H$4="Logarithm",LN(0.001+IF(AND(ISNUMBER('Council Entry'!H$8),ISNUMBER('Council Entry'!H$9)),MAX(MIN('Council Entry'!H80,'Council Entry'!H$9),'Council Entry'!H$8),'Council Entry'!H80)),IF('Council Entry'!H$4="Exponential",EXP(IF(AND(ISNUMBER('Council Entry'!H$8),ISNUMBER('Council Entry'!H$9)),MAX(MIN('Council Entry'!H80,'Council Entry'!H$9),'Council Entry'!H$8),'Council Entry'!H80)),IF(AND(ISNUMBER('Council Entry'!H$8),ISNUMBER('Council Entry'!H$9)),MAX(MIN('Council Entry'!H80,'Council Entry'!H$9),'Council Entry'!H$8),'Council Entry'!H80))))-'Council Entry'!H$5)/('Council Entry'!H$6-'Council Entry'!H$5),10*((IF('Council Entry'!H$4="Logarithm",LN(0.001+IF(AND(ISNUMBER('Council Entry'!H$8),ISNUMBER('Council Entry'!H$9)),MAX(MIN('Council Entry'!H80,'Council Entry'!H$9),'Council Entry'!H$8),'Council Entry'!H80)),IF('Council Entry'!H$4="Exponential",EXP(IF(AND(ISNUMBER('Council Entry'!H$8),ISNUMBER('Council Entry'!H$9)),MAX(MIN('Council Entry'!H80,'Council Entry'!H$9),'Council Entry'!H$8),'Council Entry'!H80)),IF(AND(ISNUMBER('Council Entry'!H$8),ISNUMBER('Council Entry'!H$9)),MAX(MIN('Council Entry'!H80,'Council Entry'!H$9),'Council Entry'!H$8),'Council Entry'!H80))))-'Council Entry'!H$5)/('Council Entry'!H$6-'Council Entry'!H$5)),1))),"No data"))</f>
        <v/>
      </c>
      <c r="I80" s="13">
        <f>IF('Council Entry'!I80="","",IFERROR(MAX(0,MIN(10,ROUND(IF('Council Entry'!I$7="Decrease Risk",10-10*((IF('Council Entry'!I$4="Logarithm",LN(0.001+IF(AND(ISNUMBER('Council Entry'!I$8),ISNUMBER('Council Entry'!I$9)),MAX(MIN('Council Entry'!I80,'Council Entry'!I$9),'Council Entry'!I$8),'Council Entry'!I80)),IF('Council Entry'!I$4="Exponential",EXP(IF(AND(ISNUMBER('Council Entry'!I$8),ISNUMBER('Council Entry'!I$9)),MAX(MIN('Council Entry'!I80,'Council Entry'!I$9),'Council Entry'!I$8),'Council Entry'!I80)),IF(AND(ISNUMBER('Council Entry'!I$8),ISNUMBER('Council Entry'!I$9)),MAX(MIN('Council Entry'!I80,'Council Entry'!I$9),'Council Entry'!I$8),'Council Entry'!I80))))-'Council Entry'!I$5)/('Council Entry'!I$6-'Council Entry'!I$5),10*((IF('Council Entry'!I$4="Logarithm",LN(0.001+IF(AND(ISNUMBER('Council Entry'!I$8),ISNUMBER('Council Entry'!I$9)),MAX(MIN('Council Entry'!I80,'Council Entry'!I$9),'Council Entry'!I$8),'Council Entry'!I80)),IF('Council Entry'!I$4="Exponential",EXP(IF(AND(ISNUMBER('Council Entry'!I$8),ISNUMBER('Council Entry'!I$9)),MAX(MIN('Council Entry'!I80,'Council Entry'!I$9),'Council Entry'!I$8),'Council Entry'!I80)),IF(AND(ISNUMBER('Council Entry'!I$8),ISNUMBER('Council Entry'!I$9)),MAX(MIN('Council Entry'!I80,'Council Entry'!I$9),'Council Entry'!I$8),'Council Entry'!I80))))-'Council Entry'!I$5)/('Council Entry'!I$6-'Council Entry'!I$5)),1))),"No data"))</f>
        <v/>
      </c>
      <c r="J80" s="13">
        <f>IF('Council Entry'!J80="","",IFERROR(MAX(0,MIN(10,ROUND(IF('Council Entry'!J$7="Decrease Risk",10-10*((IF('Council Entry'!J$4="Logarithm",LN(0.001+IF(AND(ISNUMBER('Council Entry'!J$8),ISNUMBER('Council Entry'!J$9)),MAX(MIN('Council Entry'!J80,'Council Entry'!J$9),'Council Entry'!J$8),'Council Entry'!J80)),IF('Council Entry'!J$4="Exponential",EXP(IF(AND(ISNUMBER('Council Entry'!J$8),ISNUMBER('Council Entry'!J$9)),MAX(MIN('Council Entry'!J80,'Council Entry'!J$9),'Council Entry'!J$8),'Council Entry'!J80)),IF(AND(ISNUMBER('Council Entry'!J$8),ISNUMBER('Council Entry'!J$9)),MAX(MIN('Council Entry'!J80,'Council Entry'!J$9),'Council Entry'!J$8),'Council Entry'!J80))))-'Council Entry'!J$5)/('Council Entry'!J$6-'Council Entry'!J$5),10*((IF('Council Entry'!J$4="Logarithm",LN(0.001+IF(AND(ISNUMBER('Council Entry'!J$8),ISNUMBER('Council Entry'!J$9)),MAX(MIN('Council Entry'!J80,'Council Entry'!J$9),'Council Entry'!J$8),'Council Entry'!J80)),IF('Council Entry'!J$4="Exponential",EXP(IF(AND(ISNUMBER('Council Entry'!J$8),ISNUMBER('Council Entry'!J$9)),MAX(MIN('Council Entry'!J80,'Council Entry'!J$9),'Council Entry'!J$8),'Council Entry'!J80)),IF(AND(ISNUMBER('Council Entry'!J$8),ISNUMBER('Council Entry'!J$9)),MAX(MIN('Council Entry'!J80,'Council Entry'!J$9),'Council Entry'!J$8),'Council Entry'!J80))))-'Council Entry'!J$5)/('Council Entry'!J$6-'Council Entry'!J$5)),1))),"No data"))</f>
        <v/>
      </c>
      <c r="K80" s="13">
        <f>IF('Council Entry'!K80="","",IFERROR(MAX(0,MIN(10,ROUND(IF('Council Entry'!K$7="Decrease Risk",10-10*((IF('Council Entry'!K$4="Logarithm",LN(0.001+IF(AND(ISNUMBER('Council Entry'!K$8),ISNUMBER('Council Entry'!K$9)),MAX(MIN('Council Entry'!K80,'Council Entry'!K$9),'Council Entry'!K$8),'Council Entry'!K80)),IF('Council Entry'!K$4="Exponential",EXP(IF(AND(ISNUMBER('Council Entry'!K$8),ISNUMBER('Council Entry'!K$9)),MAX(MIN('Council Entry'!K80,'Council Entry'!K$9),'Council Entry'!K$8),'Council Entry'!K80)),IF(AND(ISNUMBER('Council Entry'!K$8),ISNUMBER('Council Entry'!K$9)),MAX(MIN('Council Entry'!K80,'Council Entry'!K$9),'Council Entry'!K$8),'Council Entry'!K80))))-'Council Entry'!K$5)/('Council Entry'!K$6-'Council Entry'!K$5),10*((IF('Council Entry'!K$4="Logarithm",LN(0.001+IF(AND(ISNUMBER('Council Entry'!K$8),ISNUMBER('Council Entry'!K$9)),MAX(MIN('Council Entry'!K80,'Council Entry'!K$9),'Council Entry'!K$8),'Council Entry'!K80)),IF('Council Entry'!K$4="Exponential",EXP(IF(AND(ISNUMBER('Council Entry'!K$8),ISNUMBER('Council Entry'!K$9)),MAX(MIN('Council Entry'!K80,'Council Entry'!K$9),'Council Entry'!K$8),'Council Entry'!K80)),IF(AND(ISNUMBER('Council Entry'!K$8),ISNUMBER('Council Entry'!K$9)),MAX(MIN('Council Entry'!K80,'Council Entry'!K$9),'Council Entry'!K$8),'Council Entry'!K80))))-'Council Entry'!K$5)/('Council Entry'!K$6-'Council Entry'!K$5)),1))),"No data"))</f>
        <v/>
      </c>
      <c r="L80" s="13">
        <f>IF('Council Entry'!L80="","",IFERROR(MAX(0,MIN(10,ROUND(IF('Council Entry'!L$7="Decrease Risk",10-10*((IF('Council Entry'!L$4="Logarithm",LN(0.001+IF(AND(ISNUMBER('Council Entry'!L$8),ISNUMBER('Council Entry'!L$9)),MAX(MIN('Council Entry'!L80,'Council Entry'!L$9),'Council Entry'!L$8),'Council Entry'!L80)),IF('Council Entry'!L$4="Exponential",EXP(IF(AND(ISNUMBER('Council Entry'!L$8),ISNUMBER('Council Entry'!L$9)),MAX(MIN('Council Entry'!L80,'Council Entry'!L$9),'Council Entry'!L$8),'Council Entry'!L80)),IF(AND(ISNUMBER('Council Entry'!L$8),ISNUMBER('Council Entry'!L$9)),MAX(MIN('Council Entry'!L80,'Council Entry'!L$9),'Council Entry'!L$8),'Council Entry'!L80))))-'Council Entry'!L$5)/('Council Entry'!L$6-'Council Entry'!L$5),10*((IF('Council Entry'!L$4="Logarithm",LN(0.001+IF(AND(ISNUMBER('Council Entry'!L$8),ISNUMBER('Council Entry'!L$9)),MAX(MIN('Council Entry'!L80,'Council Entry'!L$9),'Council Entry'!L$8),'Council Entry'!L80)),IF('Council Entry'!L$4="Exponential",EXP(IF(AND(ISNUMBER('Council Entry'!L$8),ISNUMBER('Council Entry'!L$9)),MAX(MIN('Council Entry'!L80,'Council Entry'!L$9),'Council Entry'!L$8),'Council Entry'!L80)),IF(AND(ISNUMBER('Council Entry'!L$8),ISNUMBER('Council Entry'!L$9)),MAX(MIN('Council Entry'!L80,'Council Entry'!L$9),'Council Entry'!L$8),'Council Entry'!L80))))-'Council Entry'!L$5)/('Council Entry'!L$6-'Council Entry'!L$5)),1))),"No data"))</f>
        <v/>
      </c>
      <c r="M80" s="13">
        <f>IF('Council Entry'!M80="","",IFERROR(MAX(0,MIN(10,ROUND(IF('Council Entry'!M$7="Decrease Risk",10-10*((IF('Council Entry'!M$4="Logarithm",LN(0.001+IF(AND(ISNUMBER('Council Entry'!M$8),ISNUMBER('Council Entry'!M$9)),MAX(MIN('Council Entry'!M80,'Council Entry'!M$9),'Council Entry'!M$8),'Council Entry'!M80)),IF('Council Entry'!M$4="Exponential",EXP(IF(AND(ISNUMBER('Council Entry'!M$8),ISNUMBER('Council Entry'!M$9)),MAX(MIN('Council Entry'!M80,'Council Entry'!M$9),'Council Entry'!M$8),'Council Entry'!M80)),IF(AND(ISNUMBER('Council Entry'!M$8),ISNUMBER('Council Entry'!M$9)),MAX(MIN('Council Entry'!M80,'Council Entry'!M$9),'Council Entry'!M$8),'Council Entry'!M80))))-'Council Entry'!M$5)/('Council Entry'!M$6-'Council Entry'!M$5),10*((IF('Council Entry'!M$4="Logarithm",LN(0.001+IF(AND(ISNUMBER('Council Entry'!M$8),ISNUMBER('Council Entry'!M$9)),MAX(MIN('Council Entry'!M80,'Council Entry'!M$9),'Council Entry'!M$8),'Council Entry'!M80)),IF('Council Entry'!M$4="Exponential",EXP(IF(AND(ISNUMBER('Council Entry'!M$8),ISNUMBER('Council Entry'!M$9)),MAX(MIN('Council Entry'!M80,'Council Entry'!M$9),'Council Entry'!M$8),'Council Entry'!M80)),IF(AND(ISNUMBER('Council Entry'!M$8),ISNUMBER('Council Entry'!M$9)),MAX(MIN('Council Entry'!M80,'Council Entry'!M$9),'Council Entry'!M$8),'Council Entry'!M80))))-'Council Entry'!M$5)/('Council Entry'!M$6-'Council Entry'!M$5)),1))),"No data"))</f>
        <v/>
      </c>
      <c r="N80" s="13">
        <f>IF('Council Entry'!N80="","",IFERROR(MAX(0,MIN(10,ROUND(IF('Council Entry'!N$7="Decrease Risk",10-10*((IF('Council Entry'!N$4="Logarithm",LN(0.001+IF(AND(ISNUMBER('Council Entry'!N$8),ISNUMBER('Council Entry'!N$9)),MAX(MIN('Council Entry'!N80,'Council Entry'!N$9),'Council Entry'!N$8),'Council Entry'!N80)),IF('Council Entry'!N$4="Exponential",EXP(IF(AND(ISNUMBER('Council Entry'!N$8),ISNUMBER('Council Entry'!N$9)),MAX(MIN('Council Entry'!N80,'Council Entry'!N$9),'Council Entry'!N$8),'Council Entry'!N80)),IF(AND(ISNUMBER('Council Entry'!N$8),ISNUMBER('Council Entry'!N$9)),MAX(MIN('Council Entry'!N80,'Council Entry'!N$9),'Council Entry'!N$8),'Council Entry'!N80))))-'Council Entry'!N$5)/('Council Entry'!N$6-'Council Entry'!N$5),10*((IF('Council Entry'!N$4="Logarithm",LN(0.001+IF(AND(ISNUMBER('Council Entry'!N$8),ISNUMBER('Council Entry'!N$9)),MAX(MIN('Council Entry'!N80,'Council Entry'!N$9),'Council Entry'!N$8),'Council Entry'!N80)),IF('Council Entry'!N$4="Exponential",EXP(IF(AND(ISNUMBER('Council Entry'!N$8),ISNUMBER('Council Entry'!N$9)),MAX(MIN('Council Entry'!N80,'Council Entry'!N$9),'Council Entry'!N$8),'Council Entry'!N80)),IF(AND(ISNUMBER('Council Entry'!N$8),ISNUMBER('Council Entry'!N$9)),MAX(MIN('Council Entry'!N80,'Council Entry'!N$9),'Council Entry'!N$8),'Council Entry'!N80))))-'Council Entry'!N$5)/('Council Entry'!N$6-'Council Entry'!N$5)),1))),"No data"))</f>
        <v/>
      </c>
      <c r="O80" s="13">
        <f>IF('Council Entry'!O80="","",IFERROR(MAX(0,MIN(10,ROUND(IF('Council Entry'!O$7="Decrease Risk",10-10*((IF('Council Entry'!O$4="Logarithm",LN(0.001+IF(AND(ISNUMBER('Council Entry'!O$8),ISNUMBER('Council Entry'!O$9)),MAX(MIN('Council Entry'!O80,'Council Entry'!O$9),'Council Entry'!O$8),'Council Entry'!O80)),IF('Council Entry'!O$4="Exponential",EXP(IF(AND(ISNUMBER('Council Entry'!O$8),ISNUMBER('Council Entry'!O$9)),MAX(MIN('Council Entry'!O80,'Council Entry'!O$9),'Council Entry'!O$8),'Council Entry'!O80)),IF(AND(ISNUMBER('Council Entry'!O$8),ISNUMBER('Council Entry'!O$9)),MAX(MIN('Council Entry'!O80,'Council Entry'!O$9),'Council Entry'!O$8),'Council Entry'!O80))))-'Council Entry'!O$5)/('Council Entry'!O$6-'Council Entry'!O$5),10*((IF('Council Entry'!O$4="Logarithm",LN(0.001+IF(AND(ISNUMBER('Council Entry'!O$8),ISNUMBER('Council Entry'!O$9)),MAX(MIN('Council Entry'!O80,'Council Entry'!O$9),'Council Entry'!O$8),'Council Entry'!O80)),IF('Council Entry'!O$4="Exponential",EXP(IF(AND(ISNUMBER('Council Entry'!O$8),ISNUMBER('Council Entry'!O$9)),MAX(MIN('Council Entry'!O80,'Council Entry'!O$9),'Council Entry'!O$8),'Council Entry'!O80)),IF(AND(ISNUMBER('Council Entry'!O$8),ISNUMBER('Council Entry'!O$9)),MAX(MIN('Council Entry'!O80,'Council Entry'!O$9),'Council Entry'!O$8),'Council Entry'!O80))))-'Council Entry'!O$5)/('Council Entry'!O$6-'Council Entry'!O$5)),1))),"No data"))</f>
        <v/>
      </c>
      <c r="P80" s="13">
        <f>IF('Council Entry'!P80="","",IFERROR(MAX(0,MIN(10,ROUND(IF('Council Entry'!P$7="Decrease Risk",10-10*((IF('Council Entry'!P$4="Logarithm",LN(0.001+IF(AND(ISNUMBER('Council Entry'!P$8),ISNUMBER('Council Entry'!P$9)),MAX(MIN('Council Entry'!P80,'Council Entry'!P$9),'Council Entry'!P$8),'Council Entry'!P80)),IF('Council Entry'!P$4="Exponential",EXP(IF(AND(ISNUMBER('Council Entry'!P$8),ISNUMBER('Council Entry'!P$9)),MAX(MIN('Council Entry'!P80,'Council Entry'!P$9),'Council Entry'!P$8),'Council Entry'!P80)),IF(AND(ISNUMBER('Council Entry'!P$8),ISNUMBER('Council Entry'!P$9)),MAX(MIN('Council Entry'!P80,'Council Entry'!P$9),'Council Entry'!P$8),'Council Entry'!P80))))-'Council Entry'!P$5)/('Council Entry'!P$6-'Council Entry'!P$5),10*((IF('Council Entry'!P$4="Logarithm",LN(0.001+IF(AND(ISNUMBER('Council Entry'!P$8),ISNUMBER('Council Entry'!P$9)),MAX(MIN('Council Entry'!P80,'Council Entry'!P$9),'Council Entry'!P$8),'Council Entry'!P80)),IF('Council Entry'!P$4="Exponential",EXP(IF(AND(ISNUMBER('Council Entry'!P$8),ISNUMBER('Council Entry'!P$9)),MAX(MIN('Council Entry'!P80,'Council Entry'!P$9),'Council Entry'!P$8),'Council Entry'!P80)),IF(AND(ISNUMBER('Council Entry'!P$8),ISNUMBER('Council Entry'!P$9)),MAX(MIN('Council Entry'!P80,'Council Entry'!P$9),'Council Entry'!P$8),'Council Entry'!P80))))-'Council Entry'!P$5)/('Council Entry'!P$6-'Council Entry'!P$5)),1))),"No data"))</f>
        <v/>
      </c>
      <c r="Q80" s="13">
        <f>IF('Council Entry'!Q80="","",IFERROR(MAX(0,MIN(10,ROUND(IF('Council Entry'!Q$7="Decrease Risk",10-10*((IF('Council Entry'!Q$4="Logarithm",LN(0.001+IF(AND(ISNUMBER('Council Entry'!Q$8),ISNUMBER('Council Entry'!Q$9)),MAX(MIN('Council Entry'!Q80,'Council Entry'!Q$9),'Council Entry'!Q$8),'Council Entry'!Q80)),IF('Council Entry'!Q$4="Exponential",EXP(IF(AND(ISNUMBER('Council Entry'!Q$8),ISNUMBER('Council Entry'!Q$9)),MAX(MIN('Council Entry'!Q80,'Council Entry'!Q$9),'Council Entry'!Q$8),'Council Entry'!Q80)),IF(AND(ISNUMBER('Council Entry'!Q$8),ISNUMBER('Council Entry'!Q$9)),MAX(MIN('Council Entry'!Q80,'Council Entry'!Q$9),'Council Entry'!Q$8),'Council Entry'!Q80))))-'Council Entry'!Q$5)/('Council Entry'!Q$6-'Council Entry'!Q$5),10*((IF('Council Entry'!Q$4="Logarithm",LN(0.001+IF(AND(ISNUMBER('Council Entry'!Q$8),ISNUMBER('Council Entry'!Q$9)),MAX(MIN('Council Entry'!Q80,'Council Entry'!Q$9),'Council Entry'!Q$8),'Council Entry'!Q80)),IF('Council Entry'!Q$4="Exponential",EXP(IF(AND(ISNUMBER('Council Entry'!Q$8),ISNUMBER('Council Entry'!Q$9)),MAX(MIN('Council Entry'!Q80,'Council Entry'!Q$9),'Council Entry'!Q$8),'Council Entry'!Q80)),IF(AND(ISNUMBER('Council Entry'!Q$8),ISNUMBER('Council Entry'!Q$9)),MAX(MIN('Council Entry'!Q80,'Council Entry'!Q$9),'Council Entry'!Q$8),'Council Entry'!Q80))))-'Council Entry'!Q$5)/('Council Entry'!Q$6-'Council Entry'!Q$5)),1))),"No data"))</f>
        <v/>
      </c>
      <c r="R80" s="13">
        <f>IF('Council Entry'!R80="","",IFERROR(MAX(0,MIN(10,ROUND(IF('Council Entry'!R$7="Decrease Risk",10-10*((IF('Council Entry'!R$4="Logarithm",LN(0.001+IF(AND(ISNUMBER('Council Entry'!R$8),ISNUMBER('Council Entry'!R$9)),MAX(MIN('Council Entry'!R80,'Council Entry'!R$9),'Council Entry'!R$8),'Council Entry'!R80)),IF('Council Entry'!R$4="Exponential",EXP(IF(AND(ISNUMBER('Council Entry'!R$8),ISNUMBER('Council Entry'!R$9)),MAX(MIN('Council Entry'!R80,'Council Entry'!R$9),'Council Entry'!R$8),'Council Entry'!R80)),IF(AND(ISNUMBER('Council Entry'!R$8),ISNUMBER('Council Entry'!R$9)),MAX(MIN('Council Entry'!R80,'Council Entry'!R$9),'Council Entry'!R$8),'Council Entry'!R80))))-'Council Entry'!R$5)/('Council Entry'!R$6-'Council Entry'!R$5),10*((IF('Council Entry'!R$4="Logarithm",LN(0.001+IF(AND(ISNUMBER('Council Entry'!R$8),ISNUMBER('Council Entry'!R$9)),MAX(MIN('Council Entry'!R80,'Council Entry'!R$9),'Council Entry'!R$8),'Council Entry'!R80)),IF('Council Entry'!R$4="Exponential",EXP(IF(AND(ISNUMBER('Council Entry'!R$8),ISNUMBER('Council Entry'!R$9)),MAX(MIN('Council Entry'!R80,'Council Entry'!R$9),'Council Entry'!R$8),'Council Entry'!R80)),IF(AND(ISNUMBER('Council Entry'!R$8),ISNUMBER('Council Entry'!R$9)),MAX(MIN('Council Entry'!R80,'Council Entry'!R$9),'Council Entry'!R$8),'Council Entry'!R80))))-'Council Entry'!R$5)/('Council Entry'!R$6-'Council Entry'!R$5)),1))),"No data"))</f>
        <v/>
      </c>
      <c r="S80" s="13">
        <f>IF('Council Entry'!S80="","",IFERROR(MAX(0,MIN(10,ROUND(IF('Council Entry'!S$7="Decrease Risk",10-10*((IF('Council Entry'!S$4="Logarithm",LN(0.001+IF(AND(ISNUMBER('Council Entry'!S$8),ISNUMBER('Council Entry'!S$9)),MAX(MIN('Council Entry'!S80,'Council Entry'!S$9),'Council Entry'!S$8),'Council Entry'!S80)),IF('Council Entry'!S$4="Exponential",EXP(IF(AND(ISNUMBER('Council Entry'!S$8),ISNUMBER('Council Entry'!S$9)),MAX(MIN('Council Entry'!S80,'Council Entry'!S$9),'Council Entry'!S$8),'Council Entry'!S80)),IF(AND(ISNUMBER('Council Entry'!S$8),ISNUMBER('Council Entry'!S$9)),MAX(MIN('Council Entry'!S80,'Council Entry'!S$9),'Council Entry'!S$8),'Council Entry'!S80))))-'Council Entry'!S$5)/('Council Entry'!S$6-'Council Entry'!S$5),10*((IF('Council Entry'!S$4="Logarithm",LN(0.001+IF(AND(ISNUMBER('Council Entry'!S$8),ISNUMBER('Council Entry'!S$9)),MAX(MIN('Council Entry'!S80,'Council Entry'!S$9),'Council Entry'!S$8),'Council Entry'!S80)),IF('Council Entry'!S$4="Exponential",EXP(IF(AND(ISNUMBER('Council Entry'!S$8),ISNUMBER('Council Entry'!S$9)),MAX(MIN('Council Entry'!S80,'Council Entry'!S$9),'Council Entry'!S$8),'Council Entry'!S80)),IF(AND(ISNUMBER('Council Entry'!S$8),ISNUMBER('Council Entry'!S$9)),MAX(MIN('Council Entry'!S80,'Council Entry'!S$9),'Council Entry'!S$8),'Council Entry'!S80))))-'Council Entry'!S$5)/('Council Entry'!S$6-'Council Entry'!S$5)),1))),"No data"))</f>
        <v/>
      </c>
      <c r="T80" s="13">
        <f>IF('Council Entry'!T80="","",IFERROR(MAX(0,MIN(10,ROUND(IF('Council Entry'!T$7="Decrease Risk",10-10*((IF('Council Entry'!T$4="Logarithm",LN(0.001+IF(AND(ISNUMBER('Council Entry'!T$8),ISNUMBER('Council Entry'!T$9)),MAX(MIN('Council Entry'!T80,'Council Entry'!T$9),'Council Entry'!T$8),'Council Entry'!T80)),IF('Council Entry'!T$4="Exponential",EXP(IF(AND(ISNUMBER('Council Entry'!T$8),ISNUMBER('Council Entry'!T$9)),MAX(MIN('Council Entry'!T80,'Council Entry'!T$9),'Council Entry'!T$8),'Council Entry'!T80)),IF(AND(ISNUMBER('Council Entry'!T$8),ISNUMBER('Council Entry'!T$9)),MAX(MIN('Council Entry'!T80,'Council Entry'!T$9),'Council Entry'!T$8),'Council Entry'!T80))))-'Council Entry'!T$5)/('Council Entry'!T$6-'Council Entry'!T$5),10*((IF('Council Entry'!T$4="Logarithm",LN(0.001+IF(AND(ISNUMBER('Council Entry'!T$8),ISNUMBER('Council Entry'!T$9)),MAX(MIN('Council Entry'!T80,'Council Entry'!T$9),'Council Entry'!T$8),'Council Entry'!T80)),IF('Council Entry'!T$4="Exponential",EXP(IF(AND(ISNUMBER('Council Entry'!T$8),ISNUMBER('Council Entry'!T$9)),MAX(MIN('Council Entry'!T80,'Council Entry'!T$9),'Council Entry'!T$8),'Council Entry'!T80)),IF(AND(ISNUMBER('Council Entry'!T$8),ISNUMBER('Council Entry'!T$9)),MAX(MIN('Council Entry'!T80,'Council Entry'!T$9),'Council Entry'!T$8),'Council Entry'!T80))))-'Council Entry'!T$5)/('Council Entry'!T$6-'Council Entry'!T$5)),1))),"No data"))</f>
        <v/>
      </c>
      <c r="U80" s="13">
        <f>IF('Council Entry'!U80="","",IFERROR(MAX(0,MIN(10,ROUND(IF('Council Entry'!U$7="Decrease Risk",10-10*((IF('Council Entry'!U$4="Logarithm",LN(0.001+IF(AND(ISNUMBER('Council Entry'!U$8),ISNUMBER('Council Entry'!U$9)),MAX(MIN('Council Entry'!U80,'Council Entry'!U$9),'Council Entry'!U$8),'Council Entry'!U80)),IF('Council Entry'!U$4="Exponential",EXP(IF(AND(ISNUMBER('Council Entry'!U$8),ISNUMBER('Council Entry'!U$9)),MAX(MIN('Council Entry'!U80,'Council Entry'!U$9),'Council Entry'!U$8),'Council Entry'!U80)),IF(AND(ISNUMBER('Council Entry'!U$8),ISNUMBER('Council Entry'!U$9)),MAX(MIN('Council Entry'!U80,'Council Entry'!U$9),'Council Entry'!U$8),'Council Entry'!U80))))-'Council Entry'!U$5)/('Council Entry'!U$6-'Council Entry'!U$5),10*((IF('Council Entry'!U$4="Logarithm",LN(0.001+IF(AND(ISNUMBER('Council Entry'!U$8),ISNUMBER('Council Entry'!U$9)),MAX(MIN('Council Entry'!U80,'Council Entry'!U$9),'Council Entry'!U$8),'Council Entry'!U80)),IF('Council Entry'!U$4="Exponential",EXP(IF(AND(ISNUMBER('Council Entry'!U$8),ISNUMBER('Council Entry'!U$9)),MAX(MIN('Council Entry'!U80,'Council Entry'!U$9),'Council Entry'!U$8),'Council Entry'!U80)),IF(AND(ISNUMBER('Council Entry'!U$8),ISNUMBER('Council Entry'!U$9)),MAX(MIN('Council Entry'!U80,'Council Entry'!U$9),'Council Entry'!U$8),'Council Entry'!U80))))-'Council Entry'!U$5)/('Council Entry'!U$6-'Council Entry'!U$5)),1))),"No data"))</f>
        <v/>
      </c>
      <c r="V80" s="13">
        <f>IF('Council Entry'!V80="","",IFERROR(MAX(0,MIN(10,ROUND(IF('Council Entry'!V$7="Decrease Risk",10-10*((IF('Council Entry'!V$4="Logarithm",LN(0.001+IF(AND(ISNUMBER('Council Entry'!V$8),ISNUMBER('Council Entry'!V$9)),MAX(MIN('Council Entry'!V80,'Council Entry'!V$9),'Council Entry'!V$8),'Council Entry'!V80)),IF('Council Entry'!V$4="Exponential",EXP(IF(AND(ISNUMBER('Council Entry'!V$8),ISNUMBER('Council Entry'!V$9)),MAX(MIN('Council Entry'!V80,'Council Entry'!V$9),'Council Entry'!V$8),'Council Entry'!V80)),IF(AND(ISNUMBER('Council Entry'!V$8),ISNUMBER('Council Entry'!V$9)),MAX(MIN('Council Entry'!V80,'Council Entry'!V$9),'Council Entry'!V$8),'Council Entry'!V80))))-'Council Entry'!V$5)/('Council Entry'!V$6-'Council Entry'!V$5),10*((IF('Council Entry'!V$4="Logarithm",LN(0.001+IF(AND(ISNUMBER('Council Entry'!V$8),ISNUMBER('Council Entry'!V$9)),MAX(MIN('Council Entry'!V80,'Council Entry'!V$9),'Council Entry'!V$8),'Council Entry'!V80)),IF('Council Entry'!V$4="Exponential",EXP(IF(AND(ISNUMBER('Council Entry'!V$8),ISNUMBER('Council Entry'!V$9)),MAX(MIN('Council Entry'!V80,'Council Entry'!V$9),'Council Entry'!V$8),'Council Entry'!V80)),IF(AND(ISNUMBER('Council Entry'!V$8),ISNUMBER('Council Entry'!V$9)),MAX(MIN('Council Entry'!V80,'Council Entry'!V$9),'Council Entry'!V$8),'Council Entry'!V80))))-'Council Entry'!V$5)/('Council Entry'!V$6-'Council Entry'!V$5)),1))),"No data"))</f>
        <v/>
      </c>
      <c r="W80" s="13">
        <f>IF('Council Entry'!W80="","",IFERROR(MAX(0,MIN(10,ROUND(IF('Council Entry'!W$7="Decrease Risk",10-10*((IF('Council Entry'!W$4="Logarithm",LN(0.001+IF(AND(ISNUMBER('Council Entry'!W$8),ISNUMBER('Council Entry'!W$9)),MAX(MIN('Council Entry'!W80,'Council Entry'!W$9),'Council Entry'!W$8),'Council Entry'!W80)),IF('Council Entry'!W$4="Exponential",EXP(IF(AND(ISNUMBER('Council Entry'!W$8),ISNUMBER('Council Entry'!W$9)),MAX(MIN('Council Entry'!W80,'Council Entry'!W$9),'Council Entry'!W$8),'Council Entry'!W80)),IF(AND(ISNUMBER('Council Entry'!W$8),ISNUMBER('Council Entry'!W$9)),MAX(MIN('Council Entry'!W80,'Council Entry'!W$9),'Council Entry'!W$8),'Council Entry'!W80))))-'Council Entry'!W$5)/('Council Entry'!W$6-'Council Entry'!W$5),10*((IF('Council Entry'!W$4="Logarithm",LN(0.001+IF(AND(ISNUMBER('Council Entry'!W$8),ISNUMBER('Council Entry'!W$9)),MAX(MIN('Council Entry'!W80,'Council Entry'!W$9),'Council Entry'!W$8),'Council Entry'!W80)),IF('Council Entry'!W$4="Exponential",EXP(IF(AND(ISNUMBER('Council Entry'!W$8),ISNUMBER('Council Entry'!W$9)),MAX(MIN('Council Entry'!W80,'Council Entry'!W$9),'Council Entry'!W$8),'Council Entry'!W80)),IF(AND(ISNUMBER('Council Entry'!W$8),ISNUMBER('Council Entry'!W$9)),MAX(MIN('Council Entry'!W80,'Council Entry'!W$9),'Council Entry'!W$8),'Council Entry'!W80))))-'Council Entry'!W$5)/('Council Entry'!W$6-'Council Entry'!W$5)),1))),"No data"))</f>
        <v/>
      </c>
      <c r="X80" s="13">
        <f>IF('Council Entry'!X80="","",IFERROR(MAX(0,MIN(10,ROUND(IF('Council Entry'!X$7="Decrease Risk",10-10*((IF('Council Entry'!X$4="Logarithm",LN(0.001+IF(AND(ISNUMBER('Council Entry'!X$8),ISNUMBER('Council Entry'!X$9)),MAX(MIN('Council Entry'!X80,'Council Entry'!X$9),'Council Entry'!X$8),'Council Entry'!X80)),IF('Council Entry'!X$4="Exponential",EXP(IF(AND(ISNUMBER('Council Entry'!X$8),ISNUMBER('Council Entry'!X$9)),MAX(MIN('Council Entry'!X80,'Council Entry'!X$9),'Council Entry'!X$8),'Council Entry'!X80)),IF(AND(ISNUMBER('Council Entry'!X$8),ISNUMBER('Council Entry'!X$9)),MAX(MIN('Council Entry'!X80,'Council Entry'!X$9),'Council Entry'!X$8),'Council Entry'!X80))))-'Council Entry'!X$5)/('Council Entry'!X$6-'Council Entry'!X$5),10*((IF('Council Entry'!X$4="Logarithm",LN(0.001+IF(AND(ISNUMBER('Council Entry'!X$8),ISNUMBER('Council Entry'!X$9)),MAX(MIN('Council Entry'!X80,'Council Entry'!X$9),'Council Entry'!X$8),'Council Entry'!X80)),IF('Council Entry'!X$4="Exponential",EXP(IF(AND(ISNUMBER('Council Entry'!X$8),ISNUMBER('Council Entry'!X$9)),MAX(MIN('Council Entry'!X80,'Council Entry'!X$9),'Council Entry'!X$8),'Council Entry'!X80)),IF(AND(ISNUMBER('Council Entry'!X$8),ISNUMBER('Council Entry'!X$9)),MAX(MIN('Council Entry'!X80,'Council Entry'!X$9),'Council Entry'!X$8),'Council Entry'!X80))))-'Council Entry'!X$5)/('Council Entry'!X$6-'Council Entry'!X$5)),1))),"No data"))</f>
        <v/>
      </c>
      <c r="Y80" s="13">
        <f>IF('Council Entry'!Y80="","",IFERROR(MAX(0,MIN(10,ROUND(IF('Council Entry'!Y$7="Decrease Risk",10-10*((IF('Council Entry'!Y$4="Logarithm",LN(0.001+IF(AND(ISNUMBER('Council Entry'!Y$8),ISNUMBER('Council Entry'!Y$9)),MAX(MIN('Council Entry'!Y80,'Council Entry'!Y$9),'Council Entry'!Y$8),'Council Entry'!Y80)),IF('Council Entry'!Y$4="Exponential",EXP(IF(AND(ISNUMBER('Council Entry'!Y$8),ISNUMBER('Council Entry'!Y$9)),MAX(MIN('Council Entry'!Y80,'Council Entry'!Y$9),'Council Entry'!Y$8),'Council Entry'!Y80)),IF(AND(ISNUMBER('Council Entry'!Y$8),ISNUMBER('Council Entry'!Y$9)),MAX(MIN('Council Entry'!Y80,'Council Entry'!Y$9),'Council Entry'!Y$8),'Council Entry'!Y80))))-'Council Entry'!Y$5)/('Council Entry'!Y$6-'Council Entry'!Y$5),10*((IF('Council Entry'!Y$4="Logarithm",LN(0.001+IF(AND(ISNUMBER('Council Entry'!Y$8),ISNUMBER('Council Entry'!Y$9)),MAX(MIN('Council Entry'!Y80,'Council Entry'!Y$9),'Council Entry'!Y$8),'Council Entry'!Y80)),IF('Council Entry'!Y$4="Exponential",EXP(IF(AND(ISNUMBER('Council Entry'!Y$8),ISNUMBER('Council Entry'!Y$9)),MAX(MIN('Council Entry'!Y80,'Council Entry'!Y$9),'Council Entry'!Y$8),'Council Entry'!Y80)),IF(AND(ISNUMBER('Council Entry'!Y$8),ISNUMBER('Council Entry'!Y$9)),MAX(MIN('Council Entry'!Y80,'Council Entry'!Y$9),'Council Entry'!Y$8),'Council Entry'!Y80))))-'Council Entry'!Y$5)/('Council Entry'!Y$6-'Council Entry'!Y$5)),1))),"No data"))</f>
        <v/>
      </c>
      <c r="Z80" s="13">
        <f>IF('Council Entry'!Z80="","",IFERROR(MAX(0,MIN(10,ROUND(IF('Council Entry'!Z$7="Decrease Risk",10-10*((IF('Council Entry'!Z$4="Logarithm",LN(0.001+IF(AND(ISNUMBER('Council Entry'!Z$8),ISNUMBER('Council Entry'!Z$9)),MAX(MIN('Council Entry'!Z80,'Council Entry'!Z$9),'Council Entry'!Z$8),'Council Entry'!Z80)),IF('Council Entry'!Z$4="Exponential",EXP(IF(AND(ISNUMBER('Council Entry'!Z$8),ISNUMBER('Council Entry'!Z$9)),MAX(MIN('Council Entry'!Z80,'Council Entry'!Z$9),'Council Entry'!Z$8),'Council Entry'!Z80)),IF(AND(ISNUMBER('Council Entry'!Z$8),ISNUMBER('Council Entry'!Z$9)),MAX(MIN('Council Entry'!Z80,'Council Entry'!Z$9),'Council Entry'!Z$8),'Council Entry'!Z80))))-'Council Entry'!Z$5)/('Council Entry'!Z$6-'Council Entry'!Z$5),10*((IF('Council Entry'!Z$4="Logarithm",LN(0.001+IF(AND(ISNUMBER('Council Entry'!Z$8),ISNUMBER('Council Entry'!Z$9)),MAX(MIN('Council Entry'!Z80,'Council Entry'!Z$9),'Council Entry'!Z$8),'Council Entry'!Z80)),IF('Council Entry'!Z$4="Exponential",EXP(IF(AND(ISNUMBER('Council Entry'!Z$8),ISNUMBER('Council Entry'!Z$9)),MAX(MIN('Council Entry'!Z80,'Council Entry'!Z$9),'Council Entry'!Z$8),'Council Entry'!Z80)),IF(AND(ISNUMBER('Council Entry'!Z$8),ISNUMBER('Council Entry'!Z$9)),MAX(MIN('Council Entry'!Z80,'Council Entry'!Z$9),'Council Entry'!Z$8),'Council Entry'!Z80))))-'Council Entry'!Z$5)/('Council Entry'!Z$6-'Council Entry'!Z$5)),1))),"No data"))</f>
        <v/>
      </c>
      <c r="AA80" s="13">
        <f>IF('Council Entry'!AA80="","",IFERROR(MAX(0,MIN(10,ROUND(IF('Council Entry'!AA$7="Decrease Risk",10-10*((IF('Council Entry'!AA$4="Logarithm",LN(0.001+IF(AND(ISNUMBER('Council Entry'!AA$8),ISNUMBER('Council Entry'!AA$9)),MAX(MIN('Council Entry'!AA80,'Council Entry'!AA$9),'Council Entry'!AA$8),'Council Entry'!AA80)),IF('Council Entry'!AA$4="Exponential",EXP(IF(AND(ISNUMBER('Council Entry'!AA$8),ISNUMBER('Council Entry'!AA$9)),MAX(MIN('Council Entry'!AA80,'Council Entry'!AA$9),'Council Entry'!AA$8),'Council Entry'!AA80)),IF(AND(ISNUMBER('Council Entry'!AA$8),ISNUMBER('Council Entry'!AA$9)),MAX(MIN('Council Entry'!AA80,'Council Entry'!AA$9),'Council Entry'!AA$8),'Council Entry'!AA80))))-'Council Entry'!AA$5)/('Council Entry'!AA$6-'Council Entry'!AA$5),10*((IF('Council Entry'!AA$4="Logarithm",LN(0.001+IF(AND(ISNUMBER('Council Entry'!AA$8),ISNUMBER('Council Entry'!AA$9)),MAX(MIN('Council Entry'!AA80,'Council Entry'!AA$9),'Council Entry'!AA$8),'Council Entry'!AA80)),IF('Council Entry'!AA$4="Exponential",EXP(IF(AND(ISNUMBER('Council Entry'!AA$8),ISNUMBER('Council Entry'!AA$9)),MAX(MIN('Council Entry'!AA80,'Council Entry'!AA$9),'Council Entry'!AA$8),'Council Entry'!AA80)),IF(AND(ISNUMBER('Council Entry'!AA$8),ISNUMBER('Council Entry'!AA$9)),MAX(MIN('Council Entry'!AA80,'Council Entry'!AA$9),'Council Entry'!AA$8),'Council Entry'!AA80))))-'Council Entry'!AA$5)/('Council Entry'!AA$6-'Council Entry'!AA$5)),1))),"No data"))</f>
        <v/>
      </c>
      <c r="AB80" s="13">
        <f>IF('Council Entry'!AB80="","",IFERROR(MAX(0,MIN(10,ROUND(IF('Council Entry'!AB$7="Decrease Risk",10-10*((IF('Council Entry'!AB$4="Logarithm",LN(0.001+IF(AND(ISNUMBER('Council Entry'!AB$8),ISNUMBER('Council Entry'!AB$9)),MAX(MIN('Council Entry'!AB80,'Council Entry'!AB$9),'Council Entry'!AB$8),'Council Entry'!AB80)),IF('Council Entry'!AB$4="Exponential",EXP(IF(AND(ISNUMBER('Council Entry'!AB$8),ISNUMBER('Council Entry'!AB$9)),MAX(MIN('Council Entry'!AB80,'Council Entry'!AB$9),'Council Entry'!AB$8),'Council Entry'!AB80)),IF(AND(ISNUMBER('Council Entry'!AB$8),ISNUMBER('Council Entry'!AB$9)),MAX(MIN('Council Entry'!AB80,'Council Entry'!AB$9),'Council Entry'!AB$8),'Council Entry'!AB80))))-'Council Entry'!AB$5)/('Council Entry'!AB$6-'Council Entry'!AB$5),10*((IF('Council Entry'!AB$4="Logarithm",LN(0.001+IF(AND(ISNUMBER('Council Entry'!AB$8),ISNUMBER('Council Entry'!AB$9)),MAX(MIN('Council Entry'!AB80,'Council Entry'!AB$9),'Council Entry'!AB$8),'Council Entry'!AB80)),IF('Council Entry'!AB$4="Exponential",EXP(IF(AND(ISNUMBER('Council Entry'!AB$8),ISNUMBER('Council Entry'!AB$9)),MAX(MIN('Council Entry'!AB80,'Council Entry'!AB$9),'Council Entry'!AB$8),'Council Entry'!AB80)),IF(AND(ISNUMBER('Council Entry'!AB$8),ISNUMBER('Council Entry'!AB$9)),MAX(MIN('Council Entry'!AB80,'Council Entry'!AB$9),'Council Entry'!AB$8),'Council Entry'!AB80))))-'Council Entry'!AB$5)/('Council Entry'!AB$6-'Council Entry'!AB$5)),1))),"No data"))</f>
        <v/>
      </c>
      <c r="AC80" s="13">
        <f>IF('Council Entry'!AC80="","",IFERROR(MAX(0,MIN(10,ROUND(IF('Council Entry'!AC$7="Decrease Risk",10-10*((IF('Council Entry'!AC$4="Logarithm",LN(0.001+IF(AND(ISNUMBER('Council Entry'!AC$8),ISNUMBER('Council Entry'!AC$9)),MAX(MIN('Council Entry'!AC80,'Council Entry'!AC$9),'Council Entry'!AC$8),'Council Entry'!AC80)),IF('Council Entry'!AC$4="Exponential",EXP(IF(AND(ISNUMBER('Council Entry'!AC$8),ISNUMBER('Council Entry'!AC$9)),MAX(MIN('Council Entry'!AC80,'Council Entry'!AC$9),'Council Entry'!AC$8),'Council Entry'!AC80)),IF(AND(ISNUMBER('Council Entry'!AC$8),ISNUMBER('Council Entry'!AC$9)),MAX(MIN('Council Entry'!AC80,'Council Entry'!AC$9),'Council Entry'!AC$8),'Council Entry'!AC80))))-'Council Entry'!AC$5)/('Council Entry'!AC$6-'Council Entry'!AC$5),10*((IF('Council Entry'!AC$4="Logarithm",LN(0.001+IF(AND(ISNUMBER('Council Entry'!AC$8),ISNUMBER('Council Entry'!AC$9)),MAX(MIN('Council Entry'!AC80,'Council Entry'!AC$9),'Council Entry'!AC$8),'Council Entry'!AC80)),IF('Council Entry'!AC$4="Exponential",EXP(IF(AND(ISNUMBER('Council Entry'!AC$8),ISNUMBER('Council Entry'!AC$9)),MAX(MIN('Council Entry'!AC80,'Council Entry'!AC$9),'Council Entry'!AC$8),'Council Entry'!AC80)),IF(AND(ISNUMBER('Council Entry'!AC$8),ISNUMBER('Council Entry'!AC$9)),MAX(MIN('Council Entry'!AC80,'Council Entry'!AC$9),'Council Entry'!AC$8),'Council Entry'!AC80))))-'Council Entry'!AC$5)/('Council Entry'!AC$6-'Council Entry'!AC$5)),1))),"No data"))</f>
        <v/>
      </c>
      <c r="AD80" s="13">
        <f>IF('Council Entry'!AD80="","",IFERROR(MAX(0,MIN(10,ROUND(IF('Council Entry'!AD$7="Decrease Risk",10-10*((IF('Council Entry'!AD$4="Logarithm",LN(0.001+IF(AND(ISNUMBER('Council Entry'!AD$8),ISNUMBER('Council Entry'!AD$9)),MAX(MIN('Council Entry'!AD80,'Council Entry'!AD$9),'Council Entry'!AD$8),'Council Entry'!AD80)),IF('Council Entry'!AD$4="Exponential",EXP(IF(AND(ISNUMBER('Council Entry'!AD$8),ISNUMBER('Council Entry'!AD$9)),MAX(MIN('Council Entry'!AD80,'Council Entry'!AD$9),'Council Entry'!AD$8),'Council Entry'!AD80)),IF(AND(ISNUMBER('Council Entry'!AD$8),ISNUMBER('Council Entry'!AD$9)),MAX(MIN('Council Entry'!AD80,'Council Entry'!AD$9),'Council Entry'!AD$8),'Council Entry'!AD80))))-'Council Entry'!AD$5)/('Council Entry'!AD$6-'Council Entry'!AD$5),10*((IF('Council Entry'!AD$4="Logarithm",LN(0.001+IF(AND(ISNUMBER('Council Entry'!AD$8),ISNUMBER('Council Entry'!AD$9)),MAX(MIN('Council Entry'!AD80,'Council Entry'!AD$9),'Council Entry'!AD$8),'Council Entry'!AD80)),IF('Council Entry'!AD$4="Exponential",EXP(IF(AND(ISNUMBER('Council Entry'!AD$8),ISNUMBER('Council Entry'!AD$9)),MAX(MIN('Council Entry'!AD80,'Council Entry'!AD$9),'Council Entry'!AD$8),'Council Entry'!AD80)),IF(AND(ISNUMBER('Council Entry'!AD$8),ISNUMBER('Council Entry'!AD$9)),MAX(MIN('Council Entry'!AD80,'Council Entry'!AD$9),'Council Entry'!AD$8),'Council Entry'!AD80))))-'Council Entry'!AD$5)/('Council Entry'!AD$6-'Council Entry'!AD$5)),1))),"No data"))</f>
        <v/>
      </c>
      <c r="AE80" s="13">
        <f>IF('Council Entry'!AE80="","",IFERROR(MAX(0,MIN(10,ROUND(IF('Council Entry'!AE$7="Decrease Risk",10-10*((IF('Council Entry'!AE$4="Logarithm",LN(0.001+IF(AND(ISNUMBER('Council Entry'!AE$8),ISNUMBER('Council Entry'!AE$9)),MAX(MIN('Council Entry'!AE80,'Council Entry'!AE$9),'Council Entry'!AE$8),'Council Entry'!AE80)),IF('Council Entry'!AE$4="Exponential",EXP(IF(AND(ISNUMBER('Council Entry'!AE$8),ISNUMBER('Council Entry'!AE$9)),MAX(MIN('Council Entry'!AE80,'Council Entry'!AE$9),'Council Entry'!AE$8),'Council Entry'!AE80)),IF(AND(ISNUMBER('Council Entry'!AE$8),ISNUMBER('Council Entry'!AE$9)),MAX(MIN('Council Entry'!AE80,'Council Entry'!AE$9),'Council Entry'!AE$8),'Council Entry'!AE80))))-'Council Entry'!AE$5)/('Council Entry'!AE$6-'Council Entry'!AE$5),10*((IF('Council Entry'!AE$4="Logarithm",LN(0.001+IF(AND(ISNUMBER('Council Entry'!AE$8),ISNUMBER('Council Entry'!AE$9)),MAX(MIN('Council Entry'!AE80,'Council Entry'!AE$9),'Council Entry'!AE$8),'Council Entry'!AE80)),IF('Council Entry'!AE$4="Exponential",EXP(IF(AND(ISNUMBER('Council Entry'!AE$8),ISNUMBER('Council Entry'!AE$9)),MAX(MIN('Council Entry'!AE80,'Council Entry'!AE$9),'Council Entry'!AE$8),'Council Entry'!AE80)),IF(AND(ISNUMBER('Council Entry'!AE$8),ISNUMBER('Council Entry'!AE$9)),MAX(MIN('Council Entry'!AE80,'Council Entry'!AE$9),'Council Entry'!AE$8),'Council Entry'!AE80))))-'Council Entry'!AE$5)/('Council Entry'!AE$6-'Council Entry'!AE$5)),1))),"No data"))</f>
        <v/>
      </c>
      <c r="AF80" s="13">
        <f>IF('Council Entry'!AF80="","",IFERROR(MAX(0,MIN(10,ROUND(IF('Council Entry'!AF$7="Decrease Risk",10-10*((IF('Council Entry'!AF$4="Logarithm",LN(0.001+IF(AND(ISNUMBER('Council Entry'!AF$8),ISNUMBER('Council Entry'!AF$9)),MAX(MIN('Council Entry'!AF80,'Council Entry'!AF$9),'Council Entry'!AF$8),'Council Entry'!AF80)),IF('Council Entry'!AF$4="Exponential",EXP(IF(AND(ISNUMBER('Council Entry'!AF$8),ISNUMBER('Council Entry'!AF$9)),MAX(MIN('Council Entry'!AF80,'Council Entry'!AF$9),'Council Entry'!AF$8),'Council Entry'!AF80)),IF(AND(ISNUMBER('Council Entry'!AF$8),ISNUMBER('Council Entry'!AF$9)),MAX(MIN('Council Entry'!AF80,'Council Entry'!AF$9),'Council Entry'!AF$8),'Council Entry'!AF80))))-'Council Entry'!AF$5)/('Council Entry'!AF$6-'Council Entry'!AF$5),10*((IF('Council Entry'!AF$4="Logarithm",LN(0.001+IF(AND(ISNUMBER('Council Entry'!AF$8),ISNUMBER('Council Entry'!AF$9)),MAX(MIN('Council Entry'!AF80,'Council Entry'!AF$9),'Council Entry'!AF$8),'Council Entry'!AF80)),IF('Council Entry'!AF$4="Exponential",EXP(IF(AND(ISNUMBER('Council Entry'!AF$8),ISNUMBER('Council Entry'!AF$9)),MAX(MIN('Council Entry'!AF80,'Council Entry'!AF$9),'Council Entry'!AF$8),'Council Entry'!AF80)),IF(AND(ISNUMBER('Council Entry'!AF$8),ISNUMBER('Council Entry'!AF$9)),MAX(MIN('Council Entry'!AF80,'Council Entry'!AF$9),'Council Entry'!AF$8),'Council Entry'!AF80))))-'Council Entry'!AF$5)/('Council Entry'!AF$6-'Council Entry'!AF$5)),1))),"No data"))</f>
        <v/>
      </c>
      <c r="AG80" s="13">
        <f>IF('Council Entry'!AG80="","",IFERROR(MAX(0,MIN(10,ROUND(IF('Council Entry'!AG$7="Decrease Risk",10-10*((IF('Council Entry'!AG$4="Logarithm",LN(0.001+IF(AND(ISNUMBER('Council Entry'!AG$8),ISNUMBER('Council Entry'!AG$9)),MAX(MIN('Council Entry'!AG80,'Council Entry'!AG$9),'Council Entry'!AG$8),'Council Entry'!AG80)),IF('Council Entry'!AG$4="Exponential",EXP(IF(AND(ISNUMBER('Council Entry'!AG$8),ISNUMBER('Council Entry'!AG$9)),MAX(MIN('Council Entry'!AG80,'Council Entry'!AG$9),'Council Entry'!AG$8),'Council Entry'!AG80)),IF(AND(ISNUMBER('Council Entry'!AG$8),ISNUMBER('Council Entry'!AG$9)),MAX(MIN('Council Entry'!AG80,'Council Entry'!AG$9),'Council Entry'!AG$8),'Council Entry'!AG80))))-'Council Entry'!AG$5)/('Council Entry'!AG$6-'Council Entry'!AG$5),10*((IF('Council Entry'!AG$4="Logarithm",LN(0.001+IF(AND(ISNUMBER('Council Entry'!AG$8),ISNUMBER('Council Entry'!AG$9)),MAX(MIN('Council Entry'!AG80,'Council Entry'!AG$9),'Council Entry'!AG$8),'Council Entry'!AG80)),IF('Council Entry'!AG$4="Exponential",EXP(IF(AND(ISNUMBER('Council Entry'!AG$8),ISNUMBER('Council Entry'!AG$9)),MAX(MIN('Council Entry'!AG80,'Council Entry'!AG$9),'Council Entry'!AG$8),'Council Entry'!AG80)),IF(AND(ISNUMBER('Council Entry'!AG$8),ISNUMBER('Council Entry'!AG$9)),MAX(MIN('Council Entry'!AG80,'Council Entry'!AG$9),'Council Entry'!AG$8),'Council Entry'!AG80))))-'Council Entry'!AG$5)/('Council Entry'!AG$6-'Council Entry'!AG$5)),1))),"No data"))</f>
        <v/>
      </c>
      <c r="AH80" s="13">
        <f>IF('Council Entry'!AH80="","",IFERROR(MAX(0,MIN(10,ROUND(IF('Council Entry'!AH$7="Decrease Risk",10-10*((IF('Council Entry'!AH$4="Logarithm",LN(0.001+IF(AND(ISNUMBER('Council Entry'!AH$8),ISNUMBER('Council Entry'!AH$9)),MAX(MIN('Council Entry'!AH80,'Council Entry'!AH$9),'Council Entry'!AH$8),'Council Entry'!AH80)),IF('Council Entry'!AH$4="Exponential",EXP(IF(AND(ISNUMBER('Council Entry'!AH$8),ISNUMBER('Council Entry'!AH$9)),MAX(MIN('Council Entry'!AH80,'Council Entry'!AH$9),'Council Entry'!AH$8),'Council Entry'!AH80)),IF(AND(ISNUMBER('Council Entry'!AH$8),ISNUMBER('Council Entry'!AH$9)),MAX(MIN('Council Entry'!AH80,'Council Entry'!AH$9),'Council Entry'!AH$8),'Council Entry'!AH80))))-'Council Entry'!AH$5)/('Council Entry'!AH$6-'Council Entry'!AH$5),10*((IF('Council Entry'!AH$4="Logarithm",LN(0.001+IF(AND(ISNUMBER('Council Entry'!AH$8),ISNUMBER('Council Entry'!AH$9)),MAX(MIN('Council Entry'!AH80,'Council Entry'!AH$9),'Council Entry'!AH$8),'Council Entry'!AH80)),IF('Council Entry'!AH$4="Exponential",EXP(IF(AND(ISNUMBER('Council Entry'!AH$8),ISNUMBER('Council Entry'!AH$9)),MAX(MIN('Council Entry'!AH80,'Council Entry'!AH$9),'Council Entry'!AH$8),'Council Entry'!AH80)),IF(AND(ISNUMBER('Council Entry'!AH$8),ISNUMBER('Council Entry'!AH$9)),MAX(MIN('Council Entry'!AH80,'Council Entry'!AH$9),'Council Entry'!AH$8),'Council Entry'!AH80))))-'Council Entry'!AH$5)/('Council Entry'!AH$6-'Council Entry'!AH$5)),1))),"No data"))</f>
        <v/>
      </c>
      <c r="AI80" s="13">
        <f>IF('Council Entry'!AI80="","",IFERROR(MAX(0,MIN(10,ROUND(IF('Council Entry'!AI$7="Decrease Risk",10-10*((IF('Council Entry'!AI$4="Logarithm",LN(0.001+IF(AND(ISNUMBER('Council Entry'!AI$8),ISNUMBER('Council Entry'!AI$9)),MAX(MIN('Council Entry'!AI80,'Council Entry'!AI$9),'Council Entry'!AI$8),'Council Entry'!AI80)),IF('Council Entry'!AI$4="Exponential",EXP(IF(AND(ISNUMBER('Council Entry'!AI$8),ISNUMBER('Council Entry'!AI$9)),MAX(MIN('Council Entry'!AI80,'Council Entry'!AI$9),'Council Entry'!AI$8),'Council Entry'!AI80)),IF(AND(ISNUMBER('Council Entry'!AI$8),ISNUMBER('Council Entry'!AI$9)),MAX(MIN('Council Entry'!AI80,'Council Entry'!AI$9),'Council Entry'!AI$8),'Council Entry'!AI80))))-'Council Entry'!AI$5)/('Council Entry'!AI$6-'Council Entry'!AI$5),10*((IF('Council Entry'!AI$4="Logarithm",LN(0.001+IF(AND(ISNUMBER('Council Entry'!AI$8),ISNUMBER('Council Entry'!AI$9)),MAX(MIN('Council Entry'!AI80,'Council Entry'!AI$9),'Council Entry'!AI$8),'Council Entry'!AI80)),IF('Council Entry'!AI$4="Exponential",EXP(IF(AND(ISNUMBER('Council Entry'!AI$8),ISNUMBER('Council Entry'!AI$9)),MAX(MIN('Council Entry'!AI80,'Council Entry'!AI$9),'Council Entry'!AI$8),'Council Entry'!AI80)),IF(AND(ISNUMBER('Council Entry'!AI$8),ISNUMBER('Council Entry'!AI$9)),MAX(MIN('Council Entry'!AI80,'Council Entry'!AI$9),'Council Entry'!AI$8),'Council Entry'!AI80))))-'Council Entry'!AI$5)/('Council Entry'!AI$6-'Council Entry'!AI$5)),1))),"No data"))</f>
        <v/>
      </c>
      <c r="AJ80" s="13">
        <f>IF('Council Entry'!AJ80="","",IFERROR(MAX(0,MIN(10,ROUND(IF('Council Entry'!AJ$7="Decrease Risk",10-10*((IF('Council Entry'!AJ$4="Logarithm",LN(0.001+IF(AND(ISNUMBER('Council Entry'!AJ$8),ISNUMBER('Council Entry'!AJ$9)),MAX(MIN('Council Entry'!AJ80,'Council Entry'!AJ$9),'Council Entry'!AJ$8),'Council Entry'!AJ80)),IF('Council Entry'!AJ$4="Exponential",EXP(IF(AND(ISNUMBER('Council Entry'!AJ$8),ISNUMBER('Council Entry'!AJ$9)),MAX(MIN('Council Entry'!AJ80,'Council Entry'!AJ$9),'Council Entry'!AJ$8),'Council Entry'!AJ80)),IF(AND(ISNUMBER('Council Entry'!AJ$8),ISNUMBER('Council Entry'!AJ$9)),MAX(MIN('Council Entry'!AJ80,'Council Entry'!AJ$9),'Council Entry'!AJ$8),'Council Entry'!AJ80))))-'Council Entry'!AJ$5)/('Council Entry'!AJ$6-'Council Entry'!AJ$5),10*((IF('Council Entry'!AJ$4="Logarithm",LN(0.001+IF(AND(ISNUMBER('Council Entry'!AJ$8),ISNUMBER('Council Entry'!AJ$9)),MAX(MIN('Council Entry'!AJ80,'Council Entry'!AJ$9),'Council Entry'!AJ$8),'Council Entry'!AJ80)),IF('Council Entry'!AJ$4="Exponential",EXP(IF(AND(ISNUMBER('Council Entry'!AJ$8),ISNUMBER('Council Entry'!AJ$9)),MAX(MIN('Council Entry'!AJ80,'Council Entry'!AJ$9),'Council Entry'!AJ$8),'Council Entry'!AJ80)),IF(AND(ISNUMBER('Council Entry'!AJ$8),ISNUMBER('Council Entry'!AJ$9)),MAX(MIN('Council Entry'!AJ80,'Council Entry'!AJ$9),'Council Entry'!AJ$8),'Council Entry'!AJ80))))-'Council Entry'!AJ$5)/('Council Entry'!AJ$6-'Council Entry'!AJ$5)),1))),"No data"))</f>
        <v/>
      </c>
      <c r="AK80" s="13">
        <f>IF('Council Entry'!AK80="","",IFERROR(MAX(0,MIN(10,ROUND(IF('Council Entry'!AK$7="Decrease Risk",10-10*((IF('Council Entry'!AK$4="Logarithm",LN(0.001+IF(AND(ISNUMBER('Council Entry'!AK$8),ISNUMBER('Council Entry'!AK$9)),MAX(MIN('Council Entry'!AK80,'Council Entry'!AK$9),'Council Entry'!AK$8),'Council Entry'!AK80)),IF('Council Entry'!AK$4="Exponential",EXP(IF(AND(ISNUMBER('Council Entry'!AK$8),ISNUMBER('Council Entry'!AK$9)),MAX(MIN('Council Entry'!AK80,'Council Entry'!AK$9),'Council Entry'!AK$8),'Council Entry'!AK80)),IF(AND(ISNUMBER('Council Entry'!AK$8),ISNUMBER('Council Entry'!AK$9)),MAX(MIN('Council Entry'!AK80,'Council Entry'!AK$9),'Council Entry'!AK$8),'Council Entry'!AK80))))-'Council Entry'!AK$5)/('Council Entry'!AK$6-'Council Entry'!AK$5),10*((IF('Council Entry'!AK$4="Logarithm",LN(0.001+IF(AND(ISNUMBER('Council Entry'!AK$8),ISNUMBER('Council Entry'!AK$9)),MAX(MIN('Council Entry'!AK80,'Council Entry'!AK$9),'Council Entry'!AK$8),'Council Entry'!AK80)),IF('Council Entry'!AK$4="Exponential",EXP(IF(AND(ISNUMBER('Council Entry'!AK$8),ISNUMBER('Council Entry'!AK$9)),MAX(MIN('Council Entry'!AK80,'Council Entry'!AK$9),'Council Entry'!AK$8),'Council Entry'!AK80)),IF(AND(ISNUMBER('Council Entry'!AK$8),ISNUMBER('Council Entry'!AK$9)),MAX(MIN('Council Entry'!AK80,'Council Entry'!AK$9),'Council Entry'!AK$8),'Council Entry'!AK80))))-'Council Entry'!AK$5)/('Council Entry'!AK$6-'Council Entry'!AK$5)),1))),"No data"))</f>
        <v/>
      </c>
      <c r="AL80" s="13">
        <f>IF('Council Entry'!AL80="","",IFERROR(MAX(0,MIN(10,ROUND(IF('Council Entry'!AL$7="Decrease Risk",10-10*((IF('Council Entry'!AL$4="Logarithm",LN(0.001+IF(AND(ISNUMBER('Council Entry'!AL$8),ISNUMBER('Council Entry'!AL$9)),MAX(MIN('Council Entry'!AL80,'Council Entry'!AL$9),'Council Entry'!AL$8),'Council Entry'!AL80)),IF('Council Entry'!AL$4="Exponential",EXP(IF(AND(ISNUMBER('Council Entry'!AL$8),ISNUMBER('Council Entry'!AL$9)),MAX(MIN('Council Entry'!AL80,'Council Entry'!AL$9),'Council Entry'!AL$8),'Council Entry'!AL80)),IF(AND(ISNUMBER('Council Entry'!AL$8),ISNUMBER('Council Entry'!AL$9)),MAX(MIN('Council Entry'!AL80,'Council Entry'!AL$9),'Council Entry'!AL$8),'Council Entry'!AL80))))-'Council Entry'!AL$5)/('Council Entry'!AL$6-'Council Entry'!AL$5),10*((IF('Council Entry'!AL$4="Logarithm",LN(0.001+IF(AND(ISNUMBER('Council Entry'!AL$8),ISNUMBER('Council Entry'!AL$9)),MAX(MIN('Council Entry'!AL80,'Council Entry'!AL$9),'Council Entry'!AL$8),'Council Entry'!AL80)),IF('Council Entry'!AL$4="Exponential",EXP(IF(AND(ISNUMBER('Council Entry'!AL$8),ISNUMBER('Council Entry'!AL$9)),MAX(MIN('Council Entry'!AL80,'Council Entry'!AL$9),'Council Entry'!AL$8),'Council Entry'!AL80)),IF(AND(ISNUMBER('Council Entry'!AL$8),ISNUMBER('Council Entry'!AL$9)),MAX(MIN('Council Entry'!AL80,'Council Entry'!AL$9),'Council Entry'!AL$8),'Council Entry'!AL80))))-'Council Entry'!AL$5)/('Council Entry'!AL$6-'Council Entry'!AL$5)),1))),"No data"))</f>
        <v/>
      </c>
      <c r="AM80" s="13">
        <f>IF('Council Entry'!AM80="","",IFERROR(MAX(0,MIN(10,ROUND(IF('Council Entry'!AM$7="Decrease Risk",10-10*((IF('Council Entry'!AM$4="Logarithm",LN(0.001+IF(AND(ISNUMBER('Council Entry'!AM$8),ISNUMBER('Council Entry'!AM$9)),MAX(MIN('Council Entry'!AM80,'Council Entry'!AM$9),'Council Entry'!AM$8),'Council Entry'!AM80)),IF('Council Entry'!AM$4="Exponential",EXP(IF(AND(ISNUMBER('Council Entry'!AM$8),ISNUMBER('Council Entry'!AM$9)),MAX(MIN('Council Entry'!AM80,'Council Entry'!AM$9),'Council Entry'!AM$8),'Council Entry'!AM80)),IF(AND(ISNUMBER('Council Entry'!AM$8),ISNUMBER('Council Entry'!AM$9)),MAX(MIN('Council Entry'!AM80,'Council Entry'!AM$9),'Council Entry'!AM$8),'Council Entry'!AM80))))-'Council Entry'!AM$5)/('Council Entry'!AM$6-'Council Entry'!AM$5),10*((IF('Council Entry'!AM$4="Logarithm",LN(0.001+IF(AND(ISNUMBER('Council Entry'!AM$8),ISNUMBER('Council Entry'!AM$9)),MAX(MIN('Council Entry'!AM80,'Council Entry'!AM$9),'Council Entry'!AM$8),'Council Entry'!AM80)),IF('Council Entry'!AM$4="Exponential",EXP(IF(AND(ISNUMBER('Council Entry'!AM$8),ISNUMBER('Council Entry'!AM$9)),MAX(MIN('Council Entry'!AM80,'Council Entry'!AM$9),'Council Entry'!AM$8),'Council Entry'!AM80)),IF(AND(ISNUMBER('Council Entry'!AM$8),ISNUMBER('Council Entry'!AM$9)),MAX(MIN('Council Entry'!AM80,'Council Entry'!AM$9),'Council Entry'!AM$8),'Council Entry'!AM80))))-'Council Entry'!AM$5)/('Council Entry'!AM$6-'Council Entry'!AM$5)),1))),"No data"))</f>
        <v/>
      </c>
      <c r="AN80" s="13">
        <f>IF('Council Entry'!AN80="","",IFERROR(MAX(0,MIN(10,ROUND(IF('Council Entry'!AN$7="Decrease Risk",10-10*((IF('Council Entry'!AN$4="Logarithm",LN(0.001+IF(AND(ISNUMBER('Council Entry'!AN$8),ISNUMBER('Council Entry'!AN$9)),MAX(MIN('Council Entry'!AN80,'Council Entry'!AN$9),'Council Entry'!AN$8),'Council Entry'!AN80)),IF('Council Entry'!AN$4="Exponential",EXP(IF(AND(ISNUMBER('Council Entry'!AN$8),ISNUMBER('Council Entry'!AN$9)),MAX(MIN('Council Entry'!AN80,'Council Entry'!AN$9),'Council Entry'!AN$8),'Council Entry'!AN80)),IF(AND(ISNUMBER('Council Entry'!AN$8),ISNUMBER('Council Entry'!AN$9)),MAX(MIN('Council Entry'!AN80,'Council Entry'!AN$9),'Council Entry'!AN$8),'Council Entry'!AN80))))-'Council Entry'!AN$5)/('Council Entry'!AN$6-'Council Entry'!AN$5),10*((IF('Council Entry'!AN$4="Logarithm",LN(0.001+IF(AND(ISNUMBER('Council Entry'!AN$8),ISNUMBER('Council Entry'!AN$9)),MAX(MIN('Council Entry'!AN80,'Council Entry'!AN$9),'Council Entry'!AN$8),'Council Entry'!AN80)),IF('Council Entry'!AN$4="Exponential",EXP(IF(AND(ISNUMBER('Council Entry'!AN$8),ISNUMBER('Council Entry'!AN$9)),MAX(MIN('Council Entry'!AN80,'Council Entry'!AN$9),'Council Entry'!AN$8),'Council Entry'!AN80)),IF(AND(ISNUMBER('Council Entry'!AN$8),ISNUMBER('Council Entry'!AN$9)),MAX(MIN('Council Entry'!AN80,'Council Entry'!AN$9),'Council Entry'!AN$8),'Council Entry'!AN80))))-'Council Entry'!AN$5)/('Council Entry'!AN$6-'Council Entry'!AN$5)),1))),"No data"))</f>
        <v/>
      </c>
      <c r="AO80" s="13">
        <f>IF('Council Entry'!AO80="","",IFERROR(MAX(0,MIN(10,ROUND(IF('Council Entry'!AO$7="Decrease Risk",10-10*((IF('Council Entry'!AO$4="Logarithm",LN(0.001+IF(AND(ISNUMBER('Council Entry'!AO$8),ISNUMBER('Council Entry'!AO$9)),MAX(MIN('Council Entry'!AO80,'Council Entry'!AO$9),'Council Entry'!AO$8),'Council Entry'!AO80)),IF('Council Entry'!AO$4="Exponential",EXP(IF(AND(ISNUMBER('Council Entry'!AO$8),ISNUMBER('Council Entry'!AO$9)),MAX(MIN('Council Entry'!AO80,'Council Entry'!AO$9),'Council Entry'!AO$8),'Council Entry'!AO80)),IF(AND(ISNUMBER('Council Entry'!AO$8),ISNUMBER('Council Entry'!AO$9)),MAX(MIN('Council Entry'!AO80,'Council Entry'!AO$9),'Council Entry'!AO$8),'Council Entry'!AO80))))-'Council Entry'!AO$5)/('Council Entry'!AO$6-'Council Entry'!AO$5),10*((IF('Council Entry'!AO$4="Logarithm",LN(0.001+IF(AND(ISNUMBER('Council Entry'!AO$8),ISNUMBER('Council Entry'!AO$9)),MAX(MIN('Council Entry'!AO80,'Council Entry'!AO$9),'Council Entry'!AO$8),'Council Entry'!AO80)),IF('Council Entry'!AO$4="Exponential",EXP(IF(AND(ISNUMBER('Council Entry'!AO$8),ISNUMBER('Council Entry'!AO$9)),MAX(MIN('Council Entry'!AO80,'Council Entry'!AO$9),'Council Entry'!AO$8),'Council Entry'!AO80)),IF(AND(ISNUMBER('Council Entry'!AO$8),ISNUMBER('Council Entry'!AO$9)),MAX(MIN('Council Entry'!AO80,'Council Entry'!AO$9),'Council Entry'!AO$8),'Council Entry'!AO80))))-'Council Entry'!AO$5)/('Council Entry'!AO$6-'Council Entry'!AO$5)),1))),"No data"))</f>
        <v/>
      </c>
      <c r="AP80" s="13">
        <f>IF('Council Entry'!AP80="","",IFERROR(MAX(0,MIN(10,ROUND(IF('Council Entry'!AP$7="Decrease Risk",10-10*((IF('Council Entry'!AP$4="Logarithm",LN(0.001+IF(AND(ISNUMBER('Council Entry'!AP$8),ISNUMBER('Council Entry'!AP$9)),MAX(MIN('Council Entry'!AP80,'Council Entry'!AP$9),'Council Entry'!AP$8),'Council Entry'!AP80)),IF('Council Entry'!AP$4="Exponential",EXP(IF(AND(ISNUMBER('Council Entry'!AP$8),ISNUMBER('Council Entry'!AP$9)),MAX(MIN('Council Entry'!AP80,'Council Entry'!AP$9),'Council Entry'!AP$8),'Council Entry'!AP80)),IF(AND(ISNUMBER('Council Entry'!AP$8),ISNUMBER('Council Entry'!AP$9)),MAX(MIN('Council Entry'!AP80,'Council Entry'!AP$9),'Council Entry'!AP$8),'Council Entry'!AP80))))-'Council Entry'!AP$5)/('Council Entry'!AP$6-'Council Entry'!AP$5),10*((IF('Council Entry'!AP$4="Logarithm",LN(0.001+IF(AND(ISNUMBER('Council Entry'!AP$8),ISNUMBER('Council Entry'!AP$9)),MAX(MIN('Council Entry'!AP80,'Council Entry'!AP$9),'Council Entry'!AP$8),'Council Entry'!AP80)),IF('Council Entry'!AP$4="Exponential",EXP(IF(AND(ISNUMBER('Council Entry'!AP$8),ISNUMBER('Council Entry'!AP$9)),MAX(MIN('Council Entry'!AP80,'Council Entry'!AP$9),'Council Entry'!AP$8),'Council Entry'!AP80)),IF(AND(ISNUMBER('Council Entry'!AP$8),ISNUMBER('Council Entry'!AP$9)),MAX(MIN('Council Entry'!AP80,'Council Entry'!AP$9),'Council Entry'!AP$8),'Council Entry'!AP80))))-'Council Entry'!AP$5)/('Council Entry'!AP$6-'Council Entry'!AP$5)),1))),"No data"))</f>
        <v/>
      </c>
      <c r="AQ80" s="13">
        <f>IF('Council Entry'!AQ80="","",IFERROR(MAX(0,MIN(10,ROUND(IF('Council Entry'!AQ$7="Decrease Risk",10-10*((IF('Council Entry'!AQ$4="Logarithm",LN(0.001+IF(AND(ISNUMBER('Council Entry'!AQ$8),ISNUMBER('Council Entry'!AQ$9)),MAX(MIN('Council Entry'!AQ80,'Council Entry'!AQ$9),'Council Entry'!AQ$8),'Council Entry'!AQ80)),IF('Council Entry'!AQ$4="Exponential",EXP(IF(AND(ISNUMBER('Council Entry'!AQ$8),ISNUMBER('Council Entry'!AQ$9)),MAX(MIN('Council Entry'!AQ80,'Council Entry'!AQ$9),'Council Entry'!AQ$8),'Council Entry'!AQ80)),IF(AND(ISNUMBER('Council Entry'!AQ$8),ISNUMBER('Council Entry'!AQ$9)),MAX(MIN('Council Entry'!AQ80,'Council Entry'!AQ$9),'Council Entry'!AQ$8),'Council Entry'!AQ80))))-'Council Entry'!AQ$5)/('Council Entry'!AQ$6-'Council Entry'!AQ$5),10*((IF('Council Entry'!AQ$4="Logarithm",LN(0.001+IF(AND(ISNUMBER('Council Entry'!AQ$8),ISNUMBER('Council Entry'!AQ$9)),MAX(MIN('Council Entry'!AQ80,'Council Entry'!AQ$9),'Council Entry'!AQ$8),'Council Entry'!AQ80)),IF('Council Entry'!AQ$4="Exponential",EXP(IF(AND(ISNUMBER('Council Entry'!AQ$8),ISNUMBER('Council Entry'!AQ$9)),MAX(MIN('Council Entry'!AQ80,'Council Entry'!AQ$9),'Council Entry'!AQ$8),'Council Entry'!AQ80)),IF(AND(ISNUMBER('Council Entry'!AQ$8),ISNUMBER('Council Entry'!AQ$9)),MAX(MIN('Council Entry'!AQ80,'Council Entry'!AQ$9),'Council Entry'!AQ$8),'Council Entry'!AQ80))))-'Council Entry'!AQ$5)/('Council Entry'!AQ$6-'Council Entry'!AQ$5)),1))),"No data"))</f>
        <v/>
      </c>
      <c r="AR80" s="13">
        <f>IF('Council Entry'!AR80="","",IFERROR(MAX(0,MIN(10,ROUND(IF('Council Entry'!AR$7="Decrease Risk",10-10*((IF('Council Entry'!AR$4="Logarithm",LN(0.001+IF(AND(ISNUMBER('Council Entry'!AR$8),ISNUMBER('Council Entry'!AR$9)),MAX(MIN('Council Entry'!AR80,'Council Entry'!AR$9),'Council Entry'!AR$8),'Council Entry'!AR80)),IF('Council Entry'!AR$4="Exponential",EXP(IF(AND(ISNUMBER('Council Entry'!AR$8),ISNUMBER('Council Entry'!AR$9)),MAX(MIN('Council Entry'!AR80,'Council Entry'!AR$9),'Council Entry'!AR$8),'Council Entry'!AR80)),IF(AND(ISNUMBER('Council Entry'!AR$8),ISNUMBER('Council Entry'!AR$9)),MAX(MIN('Council Entry'!AR80,'Council Entry'!AR$9),'Council Entry'!AR$8),'Council Entry'!AR80))))-'Council Entry'!AR$5)/('Council Entry'!AR$6-'Council Entry'!AR$5),10*((IF('Council Entry'!AR$4="Logarithm",LN(0.001+IF(AND(ISNUMBER('Council Entry'!AR$8),ISNUMBER('Council Entry'!AR$9)),MAX(MIN('Council Entry'!AR80,'Council Entry'!AR$9),'Council Entry'!AR$8),'Council Entry'!AR80)),IF('Council Entry'!AR$4="Exponential",EXP(IF(AND(ISNUMBER('Council Entry'!AR$8),ISNUMBER('Council Entry'!AR$9)),MAX(MIN('Council Entry'!AR80,'Council Entry'!AR$9),'Council Entry'!AR$8),'Council Entry'!AR80)),IF(AND(ISNUMBER('Council Entry'!AR$8),ISNUMBER('Council Entry'!AR$9)),MAX(MIN('Council Entry'!AR80,'Council Entry'!AR$9),'Council Entry'!AR$8),'Council Entry'!AR80))))-'Council Entry'!AR$5)/('Council Entry'!AR$6-'Council Entry'!AR$5)),1))),"No data"))</f>
        <v/>
      </c>
      <c r="AS80" s="13">
        <f>IF('Council Entry'!AS80="","",IFERROR(MAX(0,MIN(10,ROUND(IF('Council Entry'!AS$7="Decrease Risk",10-10*((IF('Council Entry'!AS$4="Logarithm",LN(0.001+IF(AND(ISNUMBER('Council Entry'!AS$8),ISNUMBER('Council Entry'!AS$9)),MAX(MIN('Council Entry'!AS80,'Council Entry'!AS$9),'Council Entry'!AS$8),'Council Entry'!AS80)),IF('Council Entry'!AS$4="Exponential",EXP(IF(AND(ISNUMBER('Council Entry'!AS$8),ISNUMBER('Council Entry'!AS$9)),MAX(MIN('Council Entry'!AS80,'Council Entry'!AS$9),'Council Entry'!AS$8),'Council Entry'!AS80)),IF(AND(ISNUMBER('Council Entry'!AS$8),ISNUMBER('Council Entry'!AS$9)),MAX(MIN('Council Entry'!AS80,'Council Entry'!AS$9),'Council Entry'!AS$8),'Council Entry'!AS80))))-'Council Entry'!AS$5)/('Council Entry'!AS$6-'Council Entry'!AS$5),10*((IF('Council Entry'!AS$4="Logarithm",LN(0.001+IF(AND(ISNUMBER('Council Entry'!AS$8),ISNUMBER('Council Entry'!AS$9)),MAX(MIN('Council Entry'!AS80,'Council Entry'!AS$9),'Council Entry'!AS$8),'Council Entry'!AS80)),IF('Council Entry'!AS$4="Exponential",EXP(IF(AND(ISNUMBER('Council Entry'!AS$8),ISNUMBER('Council Entry'!AS$9)),MAX(MIN('Council Entry'!AS80,'Council Entry'!AS$9),'Council Entry'!AS$8),'Council Entry'!AS80)),IF(AND(ISNUMBER('Council Entry'!AS$8),ISNUMBER('Council Entry'!AS$9)),MAX(MIN('Council Entry'!AS80,'Council Entry'!AS$9),'Council Entry'!AS$8),'Council Entry'!AS80))))-'Council Entry'!AS$5)/('Council Entry'!AS$6-'Council Entry'!AS$5)),1))),"No data"))</f>
        <v/>
      </c>
      <c r="AT80" s="13">
        <f>IF('Council Entry'!AT80="","",IFERROR(MAX(0,MIN(10,ROUND(IF('Council Entry'!AT$7="Decrease Risk",10-10*((IF('Council Entry'!AT$4="Logarithm",LN(0.001+IF(AND(ISNUMBER('Council Entry'!AT$8),ISNUMBER('Council Entry'!AT$9)),MAX(MIN('Council Entry'!AT80,'Council Entry'!AT$9),'Council Entry'!AT$8),'Council Entry'!AT80)),IF('Council Entry'!AT$4="Exponential",EXP(IF(AND(ISNUMBER('Council Entry'!AT$8),ISNUMBER('Council Entry'!AT$9)),MAX(MIN('Council Entry'!AT80,'Council Entry'!AT$9),'Council Entry'!AT$8),'Council Entry'!AT80)),IF(AND(ISNUMBER('Council Entry'!AT$8),ISNUMBER('Council Entry'!AT$9)),MAX(MIN('Council Entry'!AT80,'Council Entry'!AT$9),'Council Entry'!AT$8),'Council Entry'!AT80))))-'Council Entry'!AT$5)/('Council Entry'!AT$6-'Council Entry'!AT$5),10*((IF('Council Entry'!AT$4="Logarithm",LN(0.001+IF(AND(ISNUMBER('Council Entry'!AT$8),ISNUMBER('Council Entry'!AT$9)),MAX(MIN('Council Entry'!AT80,'Council Entry'!AT$9),'Council Entry'!AT$8),'Council Entry'!AT80)),IF('Council Entry'!AT$4="Exponential",EXP(IF(AND(ISNUMBER('Council Entry'!AT$8),ISNUMBER('Council Entry'!AT$9)),MAX(MIN('Council Entry'!AT80,'Council Entry'!AT$9),'Council Entry'!AT$8),'Council Entry'!AT80)),IF(AND(ISNUMBER('Council Entry'!AT$8),ISNUMBER('Council Entry'!AT$9)),MAX(MIN('Council Entry'!AT80,'Council Entry'!AT$9),'Council Entry'!AT$8),'Council Entry'!AT80))))-'Council Entry'!AT$5)/('Council Entry'!AT$6-'Council Entry'!AT$5)),1))),"No data"))</f>
        <v/>
      </c>
      <c r="AU80" s="13">
        <f>IF('Council Entry'!AU80="","",IFERROR(MAX(0,MIN(10,ROUND(IF('Council Entry'!AU$7="Decrease Risk",10-10*((IF('Council Entry'!AU$4="Logarithm",LN(0.001+IF(AND(ISNUMBER('Council Entry'!AU$8),ISNUMBER('Council Entry'!AU$9)),MAX(MIN('Council Entry'!AU80,'Council Entry'!AU$9),'Council Entry'!AU$8),'Council Entry'!AU80)),IF('Council Entry'!AU$4="Exponential",EXP(IF(AND(ISNUMBER('Council Entry'!AU$8),ISNUMBER('Council Entry'!AU$9)),MAX(MIN('Council Entry'!AU80,'Council Entry'!AU$9),'Council Entry'!AU$8),'Council Entry'!AU80)),IF(AND(ISNUMBER('Council Entry'!AU$8),ISNUMBER('Council Entry'!AU$9)),MAX(MIN('Council Entry'!AU80,'Council Entry'!AU$9),'Council Entry'!AU$8),'Council Entry'!AU80))))-'Council Entry'!AU$5)/('Council Entry'!AU$6-'Council Entry'!AU$5),10*((IF('Council Entry'!AU$4="Logarithm",LN(0.001+IF(AND(ISNUMBER('Council Entry'!AU$8),ISNUMBER('Council Entry'!AU$9)),MAX(MIN('Council Entry'!AU80,'Council Entry'!AU$9),'Council Entry'!AU$8),'Council Entry'!AU80)),IF('Council Entry'!AU$4="Exponential",EXP(IF(AND(ISNUMBER('Council Entry'!AU$8),ISNUMBER('Council Entry'!AU$9)),MAX(MIN('Council Entry'!AU80,'Council Entry'!AU$9),'Council Entry'!AU$8),'Council Entry'!AU80)),IF(AND(ISNUMBER('Council Entry'!AU$8),ISNUMBER('Council Entry'!AU$9)),MAX(MIN('Council Entry'!AU80,'Council Entry'!AU$9),'Council Entry'!AU$8),'Council Entry'!AU80))))-'Council Entry'!AU$5)/('Council Entry'!AU$6-'Council Entry'!AU$5)),1))),"No data"))</f>
        <v/>
      </c>
      <c r="AV80" s="13">
        <f>IF('Council Entry'!AV80="","",IFERROR(MAX(0,MIN(10,ROUND(IF('Council Entry'!AV$7="Decrease Risk",10-10*((IF('Council Entry'!AV$4="Logarithm",LN(0.001+IF(AND(ISNUMBER('Council Entry'!AV$8),ISNUMBER('Council Entry'!AV$9)),MAX(MIN('Council Entry'!AV80,'Council Entry'!AV$9),'Council Entry'!AV$8),'Council Entry'!AV80)),IF('Council Entry'!AV$4="Exponential",EXP(IF(AND(ISNUMBER('Council Entry'!AV$8),ISNUMBER('Council Entry'!AV$9)),MAX(MIN('Council Entry'!AV80,'Council Entry'!AV$9),'Council Entry'!AV$8),'Council Entry'!AV80)),IF(AND(ISNUMBER('Council Entry'!AV$8),ISNUMBER('Council Entry'!AV$9)),MAX(MIN('Council Entry'!AV80,'Council Entry'!AV$9),'Council Entry'!AV$8),'Council Entry'!AV80))))-'Council Entry'!AV$5)/('Council Entry'!AV$6-'Council Entry'!AV$5),10*((IF('Council Entry'!AV$4="Logarithm",LN(0.001+IF(AND(ISNUMBER('Council Entry'!AV$8),ISNUMBER('Council Entry'!AV$9)),MAX(MIN('Council Entry'!AV80,'Council Entry'!AV$9),'Council Entry'!AV$8),'Council Entry'!AV80)),IF('Council Entry'!AV$4="Exponential",EXP(IF(AND(ISNUMBER('Council Entry'!AV$8),ISNUMBER('Council Entry'!AV$9)),MAX(MIN('Council Entry'!AV80,'Council Entry'!AV$9),'Council Entry'!AV$8),'Council Entry'!AV80)),IF(AND(ISNUMBER('Council Entry'!AV$8),ISNUMBER('Council Entry'!AV$9)),MAX(MIN('Council Entry'!AV80,'Council Entry'!AV$9),'Council Entry'!AV$8),'Council Entry'!AV80))))-'Council Entry'!AV$5)/('Council Entry'!AV$6-'Council Entry'!AV$5)),1))),"No data"))</f>
        <v/>
      </c>
      <c r="AW80" s="13">
        <f>IF('Council Entry'!AW80="","",IFERROR(MAX(0,MIN(10,ROUND(IF('Council Entry'!AW$7="Decrease Risk",10-10*((IF('Council Entry'!AW$4="Logarithm",LN(0.001+IF(AND(ISNUMBER('Council Entry'!AW$8),ISNUMBER('Council Entry'!AW$9)),MAX(MIN('Council Entry'!AW80,'Council Entry'!AW$9),'Council Entry'!AW$8),'Council Entry'!AW80)),IF('Council Entry'!AW$4="Exponential",EXP(IF(AND(ISNUMBER('Council Entry'!AW$8),ISNUMBER('Council Entry'!AW$9)),MAX(MIN('Council Entry'!AW80,'Council Entry'!AW$9),'Council Entry'!AW$8),'Council Entry'!AW80)),IF(AND(ISNUMBER('Council Entry'!AW$8),ISNUMBER('Council Entry'!AW$9)),MAX(MIN('Council Entry'!AW80,'Council Entry'!AW$9),'Council Entry'!AW$8),'Council Entry'!AW80))))-'Council Entry'!AW$5)/('Council Entry'!AW$6-'Council Entry'!AW$5),10*((IF('Council Entry'!AW$4="Logarithm",LN(0.001+IF(AND(ISNUMBER('Council Entry'!AW$8),ISNUMBER('Council Entry'!AW$9)),MAX(MIN('Council Entry'!AW80,'Council Entry'!AW$9),'Council Entry'!AW$8),'Council Entry'!AW80)),IF('Council Entry'!AW$4="Exponential",EXP(IF(AND(ISNUMBER('Council Entry'!AW$8),ISNUMBER('Council Entry'!AW$9)),MAX(MIN('Council Entry'!AW80,'Council Entry'!AW$9),'Council Entry'!AW$8),'Council Entry'!AW80)),IF(AND(ISNUMBER('Council Entry'!AW$8),ISNUMBER('Council Entry'!AW$9)),MAX(MIN('Council Entry'!AW80,'Council Entry'!AW$9),'Council Entry'!AW$8),'Council Entry'!AW80))))-'Council Entry'!AW$5)/('Council Entry'!AW$6-'Council Entry'!AW$5)),1))),"No data"))</f>
        <v/>
      </c>
      <c r="AX80" s="13">
        <f>IF('Council Entry'!AX80="","",IFERROR(MAX(0,MIN(10,ROUND(IF('Council Entry'!AX$7="Decrease Risk",10-10*((IF('Council Entry'!AX$4="Logarithm",LN(0.001+IF(AND(ISNUMBER('Council Entry'!AX$8),ISNUMBER('Council Entry'!AX$9)),MAX(MIN('Council Entry'!AX80,'Council Entry'!AX$9),'Council Entry'!AX$8),'Council Entry'!AX80)),IF('Council Entry'!AX$4="Exponential",EXP(IF(AND(ISNUMBER('Council Entry'!AX$8),ISNUMBER('Council Entry'!AX$9)),MAX(MIN('Council Entry'!AX80,'Council Entry'!AX$9),'Council Entry'!AX$8),'Council Entry'!AX80)),IF(AND(ISNUMBER('Council Entry'!AX$8),ISNUMBER('Council Entry'!AX$9)),MAX(MIN('Council Entry'!AX80,'Council Entry'!AX$9),'Council Entry'!AX$8),'Council Entry'!AX80))))-'Council Entry'!AX$5)/('Council Entry'!AX$6-'Council Entry'!AX$5),10*((IF('Council Entry'!AX$4="Logarithm",LN(0.001+IF(AND(ISNUMBER('Council Entry'!AX$8),ISNUMBER('Council Entry'!AX$9)),MAX(MIN('Council Entry'!AX80,'Council Entry'!AX$9),'Council Entry'!AX$8),'Council Entry'!AX80)),IF('Council Entry'!AX$4="Exponential",EXP(IF(AND(ISNUMBER('Council Entry'!AX$8),ISNUMBER('Council Entry'!AX$9)),MAX(MIN('Council Entry'!AX80,'Council Entry'!AX$9),'Council Entry'!AX$8),'Council Entry'!AX80)),IF(AND(ISNUMBER('Council Entry'!AX$8),ISNUMBER('Council Entry'!AX$9)),MAX(MIN('Council Entry'!AX80,'Council Entry'!AX$9),'Council Entry'!AX$8),'Council Entry'!AX80))))-'Council Entry'!AX$5)/('Council Entry'!AX$6-'Council Entry'!AX$5)),1))),"No data"))</f>
        <v/>
      </c>
      <c r="AY80" s="13">
        <f>IF('Council Entry'!AY80="","",IFERROR(MAX(0,MIN(10,ROUND(IF('Council Entry'!AY$7="Decrease Risk",10-10*((IF('Council Entry'!AY$4="Logarithm",LN(0.001+IF(AND(ISNUMBER('Council Entry'!AY$8),ISNUMBER('Council Entry'!AY$9)),MAX(MIN('Council Entry'!AY80,'Council Entry'!AY$9),'Council Entry'!AY$8),'Council Entry'!AY80)),IF('Council Entry'!AY$4="Exponential",EXP(IF(AND(ISNUMBER('Council Entry'!AY$8),ISNUMBER('Council Entry'!AY$9)),MAX(MIN('Council Entry'!AY80,'Council Entry'!AY$9),'Council Entry'!AY$8),'Council Entry'!AY80)),IF(AND(ISNUMBER('Council Entry'!AY$8),ISNUMBER('Council Entry'!AY$9)),MAX(MIN('Council Entry'!AY80,'Council Entry'!AY$9),'Council Entry'!AY$8),'Council Entry'!AY80))))-'Council Entry'!AY$5)/('Council Entry'!AY$6-'Council Entry'!AY$5),10*((IF('Council Entry'!AY$4="Logarithm",LN(0.001+IF(AND(ISNUMBER('Council Entry'!AY$8),ISNUMBER('Council Entry'!AY$9)),MAX(MIN('Council Entry'!AY80,'Council Entry'!AY$9),'Council Entry'!AY$8),'Council Entry'!AY80)),IF('Council Entry'!AY$4="Exponential",EXP(IF(AND(ISNUMBER('Council Entry'!AY$8),ISNUMBER('Council Entry'!AY$9)),MAX(MIN('Council Entry'!AY80,'Council Entry'!AY$9),'Council Entry'!AY$8),'Council Entry'!AY80)),IF(AND(ISNUMBER('Council Entry'!AY$8),ISNUMBER('Council Entry'!AY$9)),MAX(MIN('Council Entry'!AY80,'Council Entry'!AY$9),'Council Entry'!AY$8),'Council Entry'!AY80))))-'Council Entry'!AY$5)/('Council Entry'!AY$6-'Council Entry'!AY$5)),1))),"No data"))</f>
        <v/>
      </c>
      <c r="AZ80" s="13">
        <f>IF('Council Entry'!AZ80="","",IFERROR(MAX(0,MIN(10,ROUND(IF('Council Entry'!AZ$7="Decrease Risk",10-10*((IF('Council Entry'!AZ$4="Logarithm",LN(0.001+IF(AND(ISNUMBER('Council Entry'!AZ$8),ISNUMBER('Council Entry'!AZ$9)),MAX(MIN('Council Entry'!AZ80,'Council Entry'!AZ$9),'Council Entry'!AZ$8),'Council Entry'!AZ80)),IF('Council Entry'!AZ$4="Exponential",EXP(IF(AND(ISNUMBER('Council Entry'!AZ$8),ISNUMBER('Council Entry'!AZ$9)),MAX(MIN('Council Entry'!AZ80,'Council Entry'!AZ$9),'Council Entry'!AZ$8),'Council Entry'!AZ80)),IF(AND(ISNUMBER('Council Entry'!AZ$8),ISNUMBER('Council Entry'!AZ$9)),MAX(MIN('Council Entry'!AZ80,'Council Entry'!AZ$9),'Council Entry'!AZ$8),'Council Entry'!AZ80))))-'Council Entry'!AZ$5)/('Council Entry'!AZ$6-'Council Entry'!AZ$5),10*((IF('Council Entry'!AZ$4="Logarithm",LN(0.001+IF(AND(ISNUMBER('Council Entry'!AZ$8),ISNUMBER('Council Entry'!AZ$9)),MAX(MIN('Council Entry'!AZ80,'Council Entry'!AZ$9),'Council Entry'!AZ$8),'Council Entry'!AZ80)),IF('Council Entry'!AZ$4="Exponential",EXP(IF(AND(ISNUMBER('Council Entry'!AZ$8),ISNUMBER('Council Entry'!AZ$9)),MAX(MIN('Council Entry'!AZ80,'Council Entry'!AZ$9),'Council Entry'!AZ$8),'Council Entry'!AZ80)),IF(AND(ISNUMBER('Council Entry'!AZ$8),ISNUMBER('Council Entry'!AZ$9)),MAX(MIN('Council Entry'!AZ80,'Council Entry'!AZ$9),'Council Entry'!AZ$8),'Council Entry'!AZ80))))-'Council Entry'!AZ$5)/('Council Entry'!AZ$6-'Council Entry'!AZ$5)),1))),"No data"))</f>
        <v/>
      </c>
      <c r="BA80" s="13">
        <f>IF('Council Entry'!BA80="","",IFERROR(MAX(0,MIN(10,ROUND(IF('Council Entry'!BA$7="Decrease Risk",10-10*((IF('Council Entry'!BA$4="Logarithm",LN(0.001+IF(AND(ISNUMBER('Council Entry'!BA$8),ISNUMBER('Council Entry'!BA$9)),MAX(MIN('Council Entry'!BA80,'Council Entry'!BA$9),'Council Entry'!BA$8),'Council Entry'!BA80)),IF('Council Entry'!BA$4="Exponential",EXP(IF(AND(ISNUMBER('Council Entry'!BA$8),ISNUMBER('Council Entry'!BA$9)),MAX(MIN('Council Entry'!BA80,'Council Entry'!BA$9),'Council Entry'!BA$8),'Council Entry'!BA80)),IF(AND(ISNUMBER('Council Entry'!BA$8),ISNUMBER('Council Entry'!BA$9)),MAX(MIN('Council Entry'!BA80,'Council Entry'!BA$9),'Council Entry'!BA$8),'Council Entry'!BA80))))-'Council Entry'!BA$5)/('Council Entry'!BA$6-'Council Entry'!BA$5),10*((IF('Council Entry'!BA$4="Logarithm",LN(0.001+IF(AND(ISNUMBER('Council Entry'!BA$8),ISNUMBER('Council Entry'!BA$9)),MAX(MIN('Council Entry'!BA80,'Council Entry'!BA$9),'Council Entry'!BA$8),'Council Entry'!BA80)),IF('Council Entry'!BA$4="Exponential",EXP(IF(AND(ISNUMBER('Council Entry'!BA$8),ISNUMBER('Council Entry'!BA$9)),MAX(MIN('Council Entry'!BA80,'Council Entry'!BA$9),'Council Entry'!BA$8),'Council Entry'!BA80)),IF(AND(ISNUMBER('Council Entry'!BA$8),ISNUMBER('Council Entry'!BA$9)),MAX(MIN('Council Entry'!BA80,'Council Entry'!BA$9),'Council Entry'!BA$8),'Council Entry'!BA80))))-'Council Entry'!BA$5)/('Council Entry'!BA$6-'Council Entry'!BA$5)),1))),"No data"))</f>
        <v/>
      </c>
      <c r="BB80" s="13">
        <f>IF('Council Entry'!BB80="","",IFERROR(MAX(0,MIN(10,ROUND(IF('Council Entry'!BB$7="Decrease Risk",10-10*((IF('Council Entry'!BB$4="Logarithm",LN(0.001+IF(AND(ISNUMBER('Council Entry'!BB$8),ISNUMBER('Council Entry'!BB$9)),MAX(MIN('Council Entry'!BB80,'Council Entry'!BB$9),'Council Entry'!BB$8),'Council Entry'!BB80)),IF('Council Entry'!BB$4="Exponential",EXP(IF(AND(ISNUMBER('Council Entry'!BB$8),ISNUMBER('Council Entry'!BB$9)),MAX(MIN('Council Entry'!BB80,'Council Entry'!BB$9),'Council Entry'!BB$8),'Council Entry'!BB80)),IF(AND(ISNUMBER('Council Entry'!BB$8),ISNUMBER('Council Entry'!BB$9)),MAX(MIN('Council Entry'!BB80,'Council Entry'!BB$9),'Council Entry'!BB$8),'Council Entry'!BB80))))-'Council Entry'!BB$5)/('Council Entry'!BB$6-'Council Entry'!BB$5),10*((IF('Council Entry'!BB$4="Logarithm",LN(0.001+IF(AND(ISNUMBER('Council Entry'!BB$8),ISNUMBER('Council Entry'!BB$9)),MAX(MIN('Council Entry'!BB80,'Council Entry'!BB$9),'Council Entry'!BB$8),'Council Entry'!BB80)),IF('Council Entry'!BB$4="Exponential",EXP(IF(AND(ISNUMBER('Council Entry'!BB$8),ISNUMBER('Council Entry'!BB$9)),MAX(MIN('Council Entry'!BB80,'Council Entry'!BB$9),'Council Entry'!BB$8),'Council Entry'!BB80)),IF(AND(ISNUMBER('Council Entry'!BB$8),ISNUMBER('Council Entry'!BB$9)),MAX(MIN('Council Entry'!BB80,'Council Entry'!BB$9),'Council Entry'!BB$8),'Council Entry'!BB80))))-'Council Entry'!BB$5)/('Council Entry'!BB$6-'Council Entry'!BB$5)),1))),"No data"))</f>
        <v/>
      </c>
      <c r="BC80" s="13">
        <f>IF('Council Entry'!BC80="","",IFERROR(MAX(0,MIN(10,ROUND(IF('Council Entry'!BC$7="Decrease Risk",10-10*((IF('Council Entry'!BC$4="Logarithm",LN(0.001+IF(AND(ISNUMBER('Council Entry'!BC$8),ISNUMBER('Council Entry'!BC$9)),MAX(MIN('Council Entry'!BC80,'Council Entry'!BC$9),'Council Entry'!BC$8),'Council Entry'!BC80)),IF('Council Entry'!BC$4="Exponential",EXP(IF(AND(ISNUMBER('Council Entry'!BC$8),ISNUMBER('Council Entry'!BC$9)),MAX(MIN('Council Entry'!BC80,'Council Entry'!BC$9),'Council Entry'!BC$8),'Council Entry'!BC80)),IF(AND(ISNUMBER('Council Entry'!BC$8),ISNUMBER('Council Entry'!BC$9)),MAX(MIN('Council Entry'!BC80,'Council Entry'!BC$9),'Council Entry'!BC$8),'Council Entry'!BC80))))-'Council Entry'!BC$5)/('Council Entry'!BC$6-'Council Entry'!BC$5),10*((IF('Council Entry'!BC$4="Logarithm",LN(0.001+IF(AND(ISNUMBER('Council Entry'!BC$8),ISNUMBER('Council Entry'!BC$9)),MAX(MIN('Council Entry'!BC80,'Council Entry'!BC$9),'Council Entry'!BC$8),'Council Entry'!BC80)),IF('Council Entry'!BC$4="Exponential",EXP(IF(AND(ISNUMBER('Council Entry'!BC$8),ISNUMBER('Council Entry'!BC$9)),MAX(MIN('Council Entry'!BC80,'Council Entry'!BC$9),'Council Entry'!BC$8),'Council Entry'!BC80)),IF(AND(ISNUMBER('Council Entry'!BC$8),ISNUMBER('Council Entry'!BC$9)),MAX(MIN('Council Entry'!BC80,'Council Entry'!BC$9),'Council Entry'!BC$8),'Council Entry'!BC80))))-'Council Entry'!BC$5)/('Council Entry'!BC$6-'Council Entry'!BC$5)),1))),"No data"))</f>
        <v/>
      </c>
      <c r="BD80" s="13">
        <f>IF('Council Entry'!BD80="","",IFERROR(MAX(0,MIN(10,ROUND(IF('Council Entry'!BD$7="Decrease Risk",10-10*((IF('Council Entry'!BD$4="Logarithm",LN(0.001+IF(AND(ISNUMBER('Council Entry'!BD$8),ISNUMBER('Council Entry'!BD$9)),MAX(MIN('Council Entry'!BD80,'Council Entry'!BD$9),'Council Entry'!BD$8),'Council Entry'!BD80)),IF('Council Entry'!BD$4="Exponential",EXP(IF(AND(ISNUMBER('Council Entry'!BD$8),ISNUMBER('Council Entry'!BD$9)),MAX(MIN('Council Entry'!BD80,'Council Entry'!BD$9),'Council Entry'!BD$8),'Council Entry'!BD80)),IF(AND(ISNUMBER('Council Entry'!BD$8),ISNUMBER('Council Entry'!BD$9)),MAX(MIN('Council Entry'!BD80,'Council Entry'!BD$9),'Council Entry'!BD$8),'Council Entry'!BD80))))-'Council Entry'!BD$5)/('Council Entry'!BD$6-'Council Entry'!BD$5),10*((IF('Council Entry'!BD$4="Logarithm",LN(0.001+IF(AND(ISNUMBER('Council Entry'!BD$8),ISNUMBER('Council Entry'!BD$9)),MAX(MIN('Council Entry'!BD80,'Council Entry'!BD$9),'Council Entry'!BD$8),'Council Entry'!BD80)),IF('Council Entry'!BD$4="Exponential",EXP(IF(AND(ISNUMBER('Council Entry'!BD$8),ISNUMBER('Council Entry'!BD$9)),MAX(MIN('Council Entry'!BD80,'Council Entry'!BD$9),'Council Entry'!BD$8),'Council Entry'!BD80)),IF(AND(ISNUMBER('Council Entry'!BD$8),ISNUMBER('Council Entry'!BD$9)),MAX(MIN('Council Entry'!BD80,'Council Entry'!BD$9),'Council Entry'!BD$8),'Council Entry'!BD80))))-'Council Entry'!BD$5)/('Council Entry'!BD$6-'Council Entry'!BD$5)),1))),"No data"))</f>
        <v/>
      </c>
    </row>
    <row r="81">
      <c r="A81" t="inlineStr">
        <is>
          <t>Lindi</t>
        </is>
      </c>
      <c r="B81" t="inlineStr">
        <is>
          <t>Mtama District</t>
        </is>
      </c>
      <c r="C81" t="inlineStr">
        <is>
          <t>C058</t>
        </is>
      </c>
      <c r="D81" s="13">
        <f>IF('Council Entry'!D81="","",IFERROR(MAX(0,MIN(10,ROUND(IF('Council Entry'!D$7="Decrease Risk",10-10*((IF('Council Entry'!D$4="Logarithm",LN(0.001+IF(AND(ISNUMBER('Council Entry'!D$8),ISNUMBER('Council Entry'!D$9)),MAX(MIN('Council Entry'!D81,'Council Entry'!D$9),'Council Entry'!D$8),'Council Entry'!D81)),IF('Council Entry'!D$4="Exponential",EXP(IF(AND(ISNUMBER('Council Entry'!D$8),ISNUMBER('Council Entry'!D$9)),MAX(MIN('Council Entry'!D81,'Council Entry'!D$9),'Council Entry'!D$8),'Council Entry'!D81)),IF(AND(ISNUMBER('Council Entry'!D$8),ISNUMBER('Council Entry'!D$9)),MAX(MIN('Council Entry'!D81,'Council Entry'!D$9),'Council Entry'!D$8),'Council Entry'!D81))))-'Council Entry'!D$5)/('Council Entry'!D$6-'Council Entry'!D$5),10*((IF('Council Entry'!D$4="Logarithm",LN(0.001+IF(AND(ISNUMBER('Council Entry'!D$8),ISNUMBER('Council Entry'!D$9)),MAX(MIN('Council Entry'!D81,'Council Entry'!D$9),'Council Entry'!D$8),'Council Entry'!D81)),IF('Council Entry'!D$4="Exponential",EXP(IF(AND(ISNUMBER('Council Entry'!D$8),ISNUMBER('Council Entry'!D$9)),MAX(MIN('Council Entry'!D81,'Council Entry'!D$9),'Council Entry'!D$8),'Council Entry'!D81)),IF(AND(ISNUMBER('Council Entry'!D$8),ISNUMBER('Council Entry'!D$9)),MAX(MIN('Council Entry'!D81,'Council Entry'!D$9),'Council Entry'!D$8),'Council Entry'!D81))))-'Council Entry'!D$5)/('Council Entry'!D$6-'Council Entry'!D$5)),1))),"No data"))</f>
        <v/>
      </c>
      <c r="E81" s="13">
        <f>IF('Council Entry'!E81="","",IFERROR(MAX(0,MIN(10,ROUND(IF('Council Entry'!E$7="Decrease Risk",10-10*((IF('Council Entry'!E$4="Logarithm",LN(0.001+IF(AND(ISNUMBER('Council Entry'!E$8),ISNUMBER('Council Entry'!E$9)),MAX(MIN('Council Entry'!E81,'Council Entry'!E$9),'Council Entry'!E$8),'Council Entry'!E81)),IF('Council Entry'!E$4="Exponential",EXP(IF(AND(ISNUMBER('Council Entry'!E$8),ISNUMBER('Council Entry'!E$9)),MAX(MIN('Council Entry'!E81,'Council Entry'!E$9),'Council Entry'!E$8),'Council Entry'!E81)),IF(AND(ISNUMBER('Council Entry'!E$8),ISNUMBER('Council Entry'!E$9)),MAX(MIN('Council Entry'!E81,'Council Entry'!E$9),'Council Entry'!E$8),'Council Entry'!E81))))-'Council Entry'!E$5)/('Council Entry'!E$6-'Council Entry'!E$5),10*((IF('Council Entry'!E$4="Logarithm",LN(0.001+IF(AND(ISNUMBER('Council Entry'!E$8),ISNUMBER('Council Entry'!E$9)),MAX(MIN('Council Entry'!E81,'Council Entry'!E$9),'Council Entry'!E$8),'Council Entry'!E81)),IF('Council Entry'!E$4="Exponential",EXP(IF(AND(ISNUMBER('Council Entry'!E$8),ISNUMBER('Council Entry'!E$9)),MAX(MIN('Council Entry'!E81,'Council Entry'!E$9),'Council Entry'!E$8),'Council Entry'!E81)),IF(AND(ISNUMBER('Council Entry'!E$8),ISNUMBER('Council Entry'!E$9)),MAX(MIN('Council Entry'!E81,'Council Entry'!E$9),'Council Entry'!E$8),'Council Entry'!E81))))-'Council Entry'!E$5)/('Council Entry'!E$6-'Council Entry'!E$5)),1))),"No data"))</f>
        <v/>
      </c>
      <c r="F81" s="13">
        <f>IF('Council Entry'!F81="","",IFERROR(MAX(0,MIN(10,ROUND(IF('Council Entry'!F$7="Decrease Risk",10-10*((IF('Council Entry'!F$4="Logarithm",LN(0.001+IF(AND(ISNUMBER('Council Entry'!F$8),ISNUMBER('Council Entry'!F$9)),MAX(MIN('Council Entry'!F81,'Council Entry'!F$9),'Council Entry'!F$8),'Council Entry'!F81)),IF('Council Entry'!F$4="Exponential",EXP(IF(AND(ISNUMBER('Council Entry'!F$8),ISNUMBER('Council Entry'!F$9)),MAX(MIN('Council Entry'!F81,'Council Entry'!F$9),'Council Entry'!F$8),'Council Entry'!F81)),IF(AND(ISNUMBER('Council Entry'!F$8),ISNUMBER('Council Entry'!F$9)),MAX(MIN('Council Entry'!F81,'Council Entry'!F$9),'Council Entry'!F$8),'Council Entry'!F81))))-'Council Entry'!F$5)/('Council Entry'!F$6-'Council Entry'!F$5),10*((IF('Council Entry'!F$4="Logarithm",LN(0.001+IF(AND(ISNUMBER('Council Entry'!F$8),ISNUMBER('Council Entry'!F$9)),MAX(MIN('Council Entry'!F81,'Council Entry'!F$9),'Council Entry'!F$8),'Council Entry'!F81)),IF('Council Entry'!F$4="Exponential",EXP(IF(AND(ISNUMBER('Council Entry'!F$8),ISNUMBER('Council Entry'!F$9)),MAX(MIN('Council Entry'!F81,'Council Entry'!F$9),'Council Entry'!F$8),'Council Entry'!F81)),IF(AND(ISNUMBER('Council Entry'!F$8),ISNUMBER('Council Entry'!F$9)),MAX(MIN('Council Entry'!F81,'Council Entry'!F$9),'Council Entry'!F$8),'Council Entry'!F81))))-'Council Entry'!F$5)/('Council Entry'!F$6-'Council Entry'!F$5)),1))),"No data"))</f>
        <v/>
      </c>
      <c r="G81" s="13">
        <f>IF('Council Entry'!G81="","",IFERROR(MAX(0,MIN(10,ROUND(IF('Council Entry'!G$7="Decrease Risk",10-10*((IF('Council Entry'!G$4="Logarithm",LN(0.001+IF(AND(ISNUMBER('Council Entry'!G$8),ISNUMBER('Council Entry'!G$9)),MAX(MIN('Council Entry'!G81,'Council Entry'!G$9),'Council Entry'!G$8),'Council Entry'!G81)),IF('Council Entry'!G$4="Exponential",EXP(IF(AND(ISNUMBER('Council Entry'!G$8),ISNUMBER('Council Entry'!G$9)),MAX(MIN('Council Entry'!G81,'Council Entry'!G$9),'Council Entry'!G$8),'Council Entry'!G81)),IF(AND(ISNUMBER('Council Entry'!G$8),ISNUMBER('Council Entry'!G$9)),MAX(MIN('Council Entry'!G81,'Council Entry'!G$9),'Council Entry'!G$8),'Council Entry'!G81))))-'Council Entry'!G$5)/('Council Entry'!G$6-'Council Entry'!G$5),10*((IF('Council Entry'!G$4="Logarithm",LN(0.001+IF(AND(ISNUMBER('Council Entry'!G$8),ISNUMBER('Council Entry'!G$9)),MAX(MIN('Council Entry'!G81,'Council Entry'!G$9),'Council Entry'!G$8),'Council Entry'!G81)),IF('Council Entry'!G$4="Exponential",EXP(IF(AND(ISNUMBER('Council Entry'!G$8),ISNUMBER('Council Entry'!G$9)),MAX(MIN('Council Entry'!G81,'Council Entry'!G$9),'Council Entry'!G$8),'Council Entry'!G81)),IF(AND(ISNUMBER('Council Entry'!G$8),ISNUMBER('Council Entry'!G$9)),MAX(MIN('Council Entry'!G81,'Council Entry'!G$9),'Council Entry'!G$8),'Council Entry'!G81))))-'Council Entry'!G$5)/('Council Entry'!G$6-'Council Entry'!G$5)),1))),"No data"))</f>
        <v/>
      </c>
      <c r="H81" s="13">
        <f>IF('Council Entry'!H81="","",IFERROR(MAX(0,MIN(10,ROUND(IF('Council Entry'!H$7="Decrease Risk",10-10*((IF('Council Entry'!H$4="Logarithm",LN(0.001+IF(AND(ISNUMBER('Council Entry'!H$8),ISNUMBER('Council Entry'!H$9)),MAX(MIN('Council Entry'!H81,'Council Entry'!H$9),'Council Entry'!H$8),'Council Entry'!H81)),IF('Council Entry'!H$4="Exponential",EXP(IF(AND(ISNUMBER('Council Entry'!H$8),ISNUMBER('Council Entry'!H$9)),MAX(MIN('Council Entry'!H81,'Council Entry'!H$9),'Council Entry'!H$8),'Council Entry'!H81)),IF(AND(ISNUMBER('Council Entry'!H$8),ISNUMBER('Council Entry'!H$9)),MAX(MIN('Council Entry'!H81,'Council Entry'!H$9),'Council Entry'!H$8),'Council Entry'!H81))))-'Council Entry'!H$5)/('Council Entry'!H$6-'Council Entry'!H$5),10*((IF('Council Entry'!H$4="Logarithm",LN(0.001+IF(AND(ISNUMBER('Council Entry'!H$8),ISNUMBER('Council Entry'!H$9)),MAX(MIN('Council Entry'!H81,'Council Entry'!H$9),'Council Entry'!H$8),'Council Entry'!H81)),IF('Council Entry'!H$4="Exponential",EXP(IF(AND(ISNUMBER('Council Entry'!H$8),ISNUMBER('Council Entry'!H$9)),MAX(MIN('Council Entry'!H81,'Council Entry'!H$9),'Council Entry'!H$8),'Council Entry'!H81)),IF(AND(ISNUMBER('Council Entry'!H$8),ISNUMBER('Council Entry'!H$9)),MAX(MIN('Council Entry'!H81,'Council Entry'!H$9),'Council Entry'!H$8),'Council Entry'!H81))))-'Council Entry'!H$5)/('Council Entry'!H$6-'Council Entry'!H$5)),1))),"No data"))</f>
        <v/>
      </c>
      <c r="I81" s="13">
        <f>IF('Council Entry'!I81="","",IFERROR(MAX(0,MIN(10,ROUND(IF('Council Entry'!I$7="Decrease Risk",10-10*((IF('Council Entry'!I$4="Logarithm",LN(0.001+IF(AND(ISNUMBER('Council Entry'!I$8),ISNUMBER('Council Entry'!I$9)),MAX(MIN('Council Entry'!I81,'Council Entry'!I$9),'Council Entry'!I$8),'Council Entry'!I81)),IF('Council Entry'!I$4="Exponential",EXP(IF(AND(ISNUMBER('Council Entry'!I$8),ISNUMBER('Council Entry'!I$9)),MAX(MIN('Council Entry'!I81,'Council Entry'!I$9),'Council Entry'!I$8),'Council Entry'!I81)),IF(AND(ISNUMBER('Council Entry'!I$8),ISNUMBER('Council Entry'!I$9)),MAX(MIN('Council Entry'!I81,'Council Entry'!I$9),'Council Entry'!I$8),'Council Entry'!I81))))-'Council Entry'!I$5)/('Council Entry'!I$6-'Council Entry'!I$5),10*((IF('Council Entry'!I$4="Logarithm",LN(0.001+IF(AND(ISNUMBER('Council Entry'!I$8),ISNUMBER('Council Entry'!I$9)),MAX(MIN('Council Entry'!I81,'Council Entry'!I$9),'Council Entry'!I$8),'Council Entry'!I81)),IF('Council Entry'!I$4="Exponential",EXP(IF(AND(ISNUMBER('Council Entry'!I$8),ISNUMBER('Council Entry'!I$9)),MAX(MIN('Council Entry'!I81,'Council Entry'!I$9),'Council Entry'!I$8),'Council Entry'!I81)),IF(AND(ISNUMBER('Council Entry'!I$8),ISNUMBER('Council Entry'!I$9)),MAX(MIN('Council Entry'!I81,'Council Entry'!I$9),'Council Entry'!I$8),'Council Entry'!I81))))-'Council Entry'!I$5)/('Council Entry'!I$6-'Council Entry'!I$5)),1))),"No data"))</f>
        <v/>
      </c>
      <c r="J81" s="13">
        <f>IF('Council Entry'!J81="","",IFERROR(MAX(0,MIN(10,ROUND(IF('Council Entry'!J$7="Decrease Risk",10-10*((IF('Council Entry'!J$4="Logarithm",LN(0.001+IF(AND(ISNUMBER('Council Entry'!J$8),ISNUMBER('Council Entry'!J$9)),MAX(MIN('Council Entry'!J81,'Council Entry'!J$9),'Council Entry'!J$8),'Council Entry'!J81)),IF('Council Entry'!J$4="Exponential",EXP(IF(AND(ISNUMBER('Council Entry'!J$8),ISNUMBER('Council Entry'!J$9)),MAX(MIN('Council Entry'!J81,'Council Entry'!J$9),'Council Entry'!J$8),'Council Entry'!J81)),IF(AND(ISNUMBER('Council Entry'!J$8),ISNUMBER('Council Entry'!J$9)),MAX(MIN('Council Entry'!J81,'Council Entry'!J$9),'Council Entry'!J$8),'Council Entry'!J81))))-'Council Entry'!J$5)/('Council Entry'!J$6-'Council Entry'!J$5),10*((IF('Council Entry'!J$4="Logarithm",LN(0.001+IF(AND(ISNUMBER('Council Entry'!J$8),ISNUMBER('Council Entry'!J$9)),MAX(MIN('Council Entry'!J81,'Council Entry'!J$9),'Council Entry'!J$8),'Council Entry'!J81)),IF('Council Entry'!J$4="Exponential",EXP(IF(AND(ISNUMBER('Council Entry'!J$8),ISNUMBER('Council Entry'!J$9)),MAX(MIN('Council Entry'!J81,'Council Entry'!J$9),'Council Entry'!J$8),'Council Entry'!J81)),IF(AND(ISNUMBER('Council Entry'!J$8),ISNUMBER('Council Entry'!J$9)),MAX(MIN('Council Entry'!J81,'Council Entry'!J$9),'Council Entry'!J$8),'Council Entry'!J81))))-'Council Entry'!J$5)/('Council Entry'!J$6-'Council Entry'!J$5)),1))),"No data"))</f>
        <v/>
      </c>
      <c r="K81" s="13">
        <f>IF('Council Entry'!K81="","",IFERROR(MAX(0,MIN(10,ROUND(IF('Council Entry'!K$7="Decrease Risk",10-10*((IF('Council Entry'!K$4="Logarithm",LN(0.001+IF(AND(ISNUMBER('Council Entry'!K$8),ISNUMBER('Council Entry'!K$9)),MAX(MIN('Council Entry'!K81,'Council Entry'!K$9),'Council Entry'!K$8),'Council Entry'!K81)),IF('Council Entry'!K$4="Exponential",EXP(IF(AND(ISNUMBER('Council Entry'!K$8),ISNUMBER('Council Entry'!K$9)),MAX(MIN('Council Entry'!K81,'Council Entry'!K$9),'Council Entry'!K$8),'Council Entry'!K81)),IF(AND(ISNUMBER('Council Entry'!K$8),ISNUMBER('Council Entry'!K$9)),MAX(MIN('Council Entry'!K81,'Council Entry'!K$9),'Council Entry'!K$8),'Council Entry'!K81))))-'Council Entry'!K$5)/('Council Entry'!K$6-'Council Entry'!K$5),10*((IF('Council Entry'!K$4="Logarithm",LN(0.001+IF(AND(ISNUMBER('Council Entry'!K$8),ISNUMBER('Council Entry'!K$9)),MAX(MIN('Council Entry'!K81,'Council Entry'!K$9),'Council Entry'!K$8),'Council Entry'!K81)),IF('Council Entry'!K$4="Exponential",EXP(IF(AND(ISNUMBER('Council Entry'!K$8),ISNUMBER('Council Entry'!K$9)),MAX(MIN('Council Entry'!K81,'Council Entry'!K$9),'Council Entry'!K$8),'Council Entry'!K81)),IF(AND(ISNUMBER('Council Entry'!K$8),ISNUMBER('Council Entry'!K$9)),MAX(MIN('Council Entry'!K81,'Council Entry'!K$9),'Council Entry'!K$8),'Council Entry'!K81))))-'Council Entry'!K$5)/('Council Entry'!K$6-'Council Entry'!K$5)),1))),"No data"))</f>
        <v/>
      </c>
      <c r="L81" s="13">
        <f>IF('Council Entry'!L81="","",IFERROR(MAX(0,MIN(10,ROUND(IF('Council Entry'!L$7="Decrease Risk",10-10*((IF('Council Entry'!L$4="Logarithm",LN(0.001+IF(AND(ISNUMBER('Council Entry'!L$8),ISNUMBER('Council Entry'!L$9)),MAX(MIN('Council Entry'!L81,'Council Entry'!L$9),'Council Entry'!L$8),'Council Entry'!L81)),IF('Council Entry'!L$4="Exponential",EXP(IF(AND(ISNUMBER('Council Entry'!L$8),ISNUMBER('Council Entry'!L$9)),MAX(MIN('Council Entry'!L81,'Council Entry'!L$9),'Council Entry'!L$8),'Council Entry'!L81)),IF(AND(ISNUMBER('Council Entry'!L$8),ISNUMBER('Council Entry'!L$9)),MAX(MIN('Council Entry'!L81,'Council Entry'!L$9),'Council Entry'!L$8),'Council Entry'!L81))))-'Council Entry'!L$5)/('Council Entry'!L$6-'Council Entry'!L$5),10*((IF('Council Entry'!L$4="Logarithm",LN(0.001+IF(AND(ISNUMBER('Council Entry'!L$8),ISNUMBER('Council Entry'!L$9)),MAX(MIN('Council Entry'!L81,'Council Entry'!L$9),'Council Entry'!L$8),'Council Entry'!L81)),IF('Council Entry'!L$4="Exponential",EXP(IF(AND(ISNUMBER('Council Entry'!L$8),ISNUMBER('Council Entry'!L$9)),MAX(MIN('Council Entry'!L81,'Council Entry'!L$9),'Council Entry'!L$8),'Council Entry'!L81)),IF(AND(ISNUMBER('Council Entry'!L$8),ISNUMBER('Council Entry'!L$9)),MAX(MIN('Council Entry'!L81,'Council Entry'!L$9),'Council Entry'!L$8),'Council Entry'!L81))))-'Council Entry'!L$5)/('Council Entry'!L$6-'Council Entry'!L$5)),1))),"No data"))</f>
        <v/>
      </c>
      <c r="M81" s="13">
        <f>IF('Council Entry'!M81="","",IFERROR(MAX(0,MIN(10,ROUND(IF('Council Entry'!M$7="Decrease Risk",10-10*((IF('Council Entry'!M$4="Logarithm",LN(0.001+IF(AND(ISNUMBER('Council Entry'!M$8),ISNUMBER('Council Entry'!M$9)),MAX(MIN('Council Entry'!M81,'Council Entry'!M$9),'Council Entry'!M$8),'Council Entry'!M81)),IF('Council Entry'!M$4="Exponential",EXP(IF(AND(ISNUMBER('Council Entry'!M$8),ISNUMBER('Council Entry'!M$9)),MAX(MIN('Council Entry'!M81,'Council Entry'!M$9),'Council Entry'!M$8),'Council Entry'!M81)),IF(AND(ISNUMBER('Council Entry'!M$8),ISNUMBER('Council Entry'!M$9)),MAX(MIN('Council Entry'!M81,'Council Entry'!M$9),'Council Entry'!M$8),'Council Entry'!M81))))-'Council Entry'!M$5)/('Council Entry'!M$6-'Council Entry'!M$5),10*((IF('Council Entry'!M$4="Logarithm",LN(0.001+IF(AND(ISNUMBER('Council Entry'!M$8),ISNUMBER('Council Entry'!M$9)),MAX(MIN('Council Entry'!M81,'Council Entry'!M$9),'Council Entry'!M$8),'Council Entry'!M81)),IF('Council Entry'!M$4="Exponential",EXP(IF(AND(ISNUMBER('Council Entry'!M$8),ISNUMBER('Council Entry'!M$9)),MAX(MIN('Council Entry'!M81,'Council Entry'!M$9),'Council Entry'!M$8),'Council Entry'!M81)),IF(AND(ISNUMBER('Council Entry'!M$8),ISNUMBER('Council Entry'!M$9)),MAX(MIN('Council Entry'!M81,'Council Entry'!M$9),'Council Entry'!M$8),'Council Entry'!M81))))-'Council Entry'!M$5)/('Council Entry'!M$6-'Council Entry'!M$5)),1))),"No data"))</f>
        <v/>
      </c>
      <c r="N81" s="13">
        <f>IF('Council Entry'!N81="","",IFERROR(MAX(0,MIN(10,ROUND(IF('Council Entry'!N$7="Decrease Risk",10-10*((IF('Council Entry'!N$4="Logarithm",LN(0.001+IF(AND(ISNUMBER('Council Entry'!N$8),ISNUMBER('Council Entry'!N$9)),MAX(MIN('Council Entry'!N81,'Council Entry'!N$9),'Council Entry'!N$8),'Council Entry'!N81)),IF('Council Entry'!N$4="Exponential",EXP(IF(AND(ISNUMBER('Council Entry'!N$8),ISNUMBER('Council Entry'!N$9)),MAX(MIN('Council Entry'!N81,'Council Entry'!N$9),'Council Entry'!N$8),'Council Entry'!N81)),IF(AND(ISNUMBER('Council Entry'!N$8),ISNUMBER('Council Entry'!N$9)),MAX(MIN('Council Entry'!N81,'Council Entry'!N$9),'Council Entry'!N$8),'Council Entry'!N81))))-'Council Entry'!N$5)/('Council Entry'!N$6-'Council Entry'!N$5),10*((IF('Council Entry'!N$4="Logarithm",LN(0.001+IF(AND(ISNUMBER('Council Entry'!N$8),ISNUMBER('Council Entry'!N$9)),MAX(MIN('Council Entry'!N81,'Council Entry'!N$9),'Council Entry'!N$8),'Council Entry'!N81)),IF('Council Entry'!N$4="Exponential",EXP(IF(AND(ISNUMBER('Council Entry'!N$8),ISNUMBER('Council Entry'!N$9)),MAX(MIN('Council Entry'!N81,'Council Entry'!N$9),'Council Entry'!N$8),'Council Entry'!N81)),IF(AND(ISNUMBER('Council Entry'!N$8),ISNUMBER('Council Entry'!N$9)),MAX(MIN('Council Entry'!N81,'Council Entry'!N$9),'Council Entry'!N$8),'Council Entry'!N81))))-'Council Entry'!N$5)/('Council Entry'!N$6-'Council Entry'!N$5)),1))),"No data"))</f>
        <v/>
      </c>
      <c r="O81" s="13">
        <f>IF('Council Entry'!O81="","",IFERROR(MAX(0,MIN(10,ROUND(IF('Council Entry'!O$7="Decrease Risk",10-10*((IF('Council Entry'!O$4="Logarithm",LN(0.001+IF(AND(ISNUMBER('Council Entry'!O$8),ISNUMBER('Council Entry'!O$9)),MAX(MIN('Council Entry'!O81,'Council Entry'!O$9),'Council Entry'!O$8),'Council Entry'!O81)),IF('Council Entry'!O$4="Exponential",EXP(IF(AND(ISNUMBER('Council Entry'!O$8),ISNUMBER('Council Entry'!O$9)),MAX(MIN('Council Entry'!O81,'Council Entry'!O$9),'Council Entry'!O$8),'Council Entry'!O81)),IF(AND(ISNUMBER('Council Entry'!O$8),ISNUMBER('Council Entry'!O$9)),MAX(MIN('Council Entry'!O81,'Council Entry'!O$9),'Council Entry'!O$8),'Council Entry'!O81))))-'Council Entry'!O$5)/('Council Entry'!O$6-'Council Entry'!O$5),10*((IF('Council Entry'!O$4="Logarithm",LN(0.001+IF(AND(ISNUMBER('Council Entry'!O$8),ISNUMBER('Council Entry'!O$9)),MAX(MIN('Council Entry'!O81,'Council Entry'!O$9),'Council Entry'!O$8),'Council Entry'!O81)),IF('Council Entry'!O$4="Exponential",EXP(IF(AND(ISNUMBER('Council Entry'!O$8),ISNUMBER('Council Entry'!O$9)),MAX(MIN('Council Entry'!O81,'Council Entry'!O$9),'Council Entry'!O$8),'Council Entry'!O81)),IF(AND(ISNUMBER('Council Entry'!O$8),ISNUMBER('Council Entry'!O$9)),MAX(MIN('Council Entry'!O81,'Council Entry'!O$9),'Council Entry'!O$8),'Council Entry'!O81))))-'Council Entry'!O$5)/('Council Entry'!O$6-'Council Entry'!O$5)),1))),"No data"))</f>
        <v/>
      </c>
      <c r="P81" s="13">
        <f>IF('Council Entry'!P81="","",IFERROR(MAX(0,MIN(10,ROUND(IF('Council Entry'!P$7="Decrease Risk",10-10*((IF('Council Entry'!P$4="Logarithm",LN(0.001+IF(AND(ISNUMBER('Council Entry'!P$8),ISNUMBER('Council Entry'!P$9)),MAX(MIN('Council Entry'!P81,'Council Entry'!P$9),'Council Entry'!P$8),'Council Entry'!P81)),IF('Council Entry'!P$4="Exponential",EXP(IF(AND(ISNUMBER('Council Entry'!P$8),ISNUMBER('Council Entry'!P$9)),MAX(MIN('Council Entry'!P81,'Council Entry'!P$9),'Council Entry'!P$8),'Council Entry'!P81)),IF(AND(ISNUMBER('Council Entry'!P$8),ISNUMBER('Council Entry'!P$9)),MAX(MIN('Council Entry'!P81,'Council Entry'!P$9),'Council Entry'!P$8),'Council Entry'!P81))))-'Council Entry'!P$5)/('Council Entry'!P$6-'Council Entry'!P$5),10*((IF('Council Entry'!P$4="Logarithm",LN(0.001+IF(AND(ISNUMBER('Council Entry'!P$8),ISNUMBER('Council Entry'!P$9)),MAX(MIN('Council Entry'!P81,'Council Entry'!P$9),'Council Entry'!P$8),'Council Entry'!P81)),IF('Council Entry'!P$4="Exponential",EXP(IF(AND(ISNUMBER('Council Entry'!P$8),ISNUMBER('Council Entry'!P$9)),MAX(MIN('Council Entry'!P81,'Council Entry'!P$9),'Council Entry'!P$8),'Council Entry'!P81)),IF(AND(ISNUMBER('Council Entry'!P$8),ISNUMBER('Council Entry'!P$9)),MAX(MIN('Council Entry'!P81,'Council Entry'!P$9),'Council Entry'!P$8),'Council Entry'!P81))))-'Council Entry'!P$5)/('Council Entry'!P$6-'Council Entry'!P$5)),1))),"No data"))</f>
        <v/>
      </c>
      <c r="Q81" s="13">
        <f>IF('Council Entry'!Q81="","",IFERROR(MAX(0,MIN(10,ROUND(IF('Council Entry'!Q$7="Decrease Risk",10-10*((IF('Council Entry'!Q$4="Logarithm",LN(0.001+IF(AND(ISNUMBER('Council Entry'!Q$8),ISNUMBER('Council Entry'!Q$9)),MAX(MIN('Council Entry'!Q81,'Council Entry'!Q$9),'Council Entry'!Q$8),'Council Entry'!Q81)),IF('Council Entry'!Q$4="Exponential",EXP(IF(AND(ISNUMBER('Council Entry'!Q$8),ISNUMBER('Council Entry'!Q$9)),MAX(MIN('Council Entry'!Q81,'Council Entry'!Q$9),'Council Entry'!Q$8),'Council Entry'!Q81)),IF(AND(ISNUMBER('Council Entry'!Q$8),ISNUMBER('Council Entry'!Q$9)),MAX(MIN('Council Entry'!Q81,'Council Entry'!Q$9),'Council Entry'!Q$8),'Council Entry'!Q81))))-'Council Entry'!Q$5)/('Council Entry'!Q$6-'Council Entry'!Q$5),10*((IF('Council Entry'!Q$4="Logarithm",LN(0.001+IF(AND(ISNUMBER('Council Entry'!Q$8),ISNUMBER('Council Entry'!Q$9)),MAX(MIN('Council Entry'!Q81,'Council Entry'!Q$9),'Council Entry'!Q$8),'Council Entry'!Q81)),IF('Council Entry'!Q$4="Exponential",EXP(IF(AND(ISNUMBER('Council Entry'!Q$8),ISNUMBER('Council Entry'!Q$9)),MAX(MIN('Council Entry'!Q81,'Council Entry'!Q$9),'Council Entry'!Q$8),'Council Entry'!Q81)),IF(AND(ISNUMBER('Council Entry'!Q$8),ISNUMBER('Council Entry'!Q$9)),MAX(MIN('Council Entry'!Q81,'Council Entry'!Q$9),'Council Entry'!Q$8),'Council Entry'!Q81))))-'Council Entry'!Q$5)/('Council Entry'!Q$6-'Council Entry'!Q$5)),1))),"No data"))</f>
        <v/>
      </c>
      <c r="R81" s="13">
        <f>IF('Council Entry'!R81="","",IFERROR(MAX(0,MIN(10,ROUND(IF('Council Entry'!R$7="Decrease Risk",10-10*((IF('Council Entry'!R$4="Logarithm",LN(0.001+IF(AND(ISNUMBER('Council Entry'!R$8),ISNUMBER('Council Entry'!R$9)),MAX(MIN('Council Entry'!R81,'Council Entry'!R$9),'Council Entry'!R$8),'Council Entry'!R81)),IF('Council Entry'!R$4="Exponential",EXP(IF(AND(ISNUMBER('Council Entry'!R$8),ISNUMBER('Council Entry'!R$9)),MAX(MIN('Council Entry'!R81,'Council Entry'!R$9),'Council Entry'!R$8),'Council Entry'!R81)),IF(AND(ISNUMBER('Council Entry'!R$8),ISNUMBER('Council Entry'!R$9)),MAX(MIN('Council Entry'!R81,'Council Entry'!R$9),'Council Entry'!R$8),'Council Entry'!R81))))-'Council Entry'!R$5)/('Council Entry'!R$6-'Council Entry'!R$5),10*((IF('Council Entry'!R$4="Logarithm",LN(0.001+IF(AND(ISNUMBER('Council Entry'!R$8),ISNUMBER('Council Entry'!R$9)),MAX(MIN('Council Entry'!R81,'Council Entry'!R$9),'Council Entry'!R$8),'Council Entry'!R81)),IF('Council Entry'!R$4="Exponential",EXP(IF(AND(ISNUMBER('Council Entry'!R$8),ISNUMBER('Council Entry'!R$9)),MAX(MIN('Council Entry'!R81,'Council Entry'!R$9),'Council Entry'!R$8),'Council Entry'!R81)),IF(AND(ISNUMBER('Council Entry'!R$8),ISNUMBER('Council Entry'!R$9)),MAX(MIN('Council Entry'!R81,'Council Entry'!R$9),'Council Entry'!R$8),'Council Entry'!R81))))-'Council Entry'!R$5)/('Council Entry'!R$6-'Council Entry'!R$5)),1))),"No data"))</f>
        <v/>
      </c>
      <c r="S81" s="13">
        <f>IF('Council Entry'!S81="","",IFERROR(MAX(0,MIN(10,ROUND(IF('Council Entry'!S$7="Decrease Risk",10-10*((IF('Council Entry'!S$4="Logarithm",LN(0.001+IF(AND(ISNUMBER('Council Entry'!S$8),ISNUMBER('Council Entry'!S$9)),MAX(MIN('Council Entry'!S81,'Council Entry'!S$9),'Council Entry'!S$8),'Council Entry'!S81)),IF('Council Entry'!S$4="Exponential",EXP(IF(AND(ISNUMBER('Council Entry'!S$8),ISNUMBER('Council Entry'!S$9)),MAX(MIN('Council Entry'!S81,'Council Entry'!S$9),'Council Entry'!S$8),'Council Entry'!S81)),IF(AND(ISNUMBER('Council Entry'!S$8),ISNUMBER('Council Entry'!S$9)),MAX(MIN('Council Entry'!S81,'Council Entry'!S$9),'Council Entry'!S$8),'Council Entry'!S81))))-'Council Entry'!S$5)/('Council Entry'!S$6-'Council Entry'!S$5),10*((IF('Council Entry'!S$4="Logarithm",LN(0.001+IF(AND(ISNUMBER('Council Entry'!S$8),ISNUMBER('Council Entry'!S$9)),MAX(MIN('Council Entry'!S81,'Council Entry'!S$9),'Council Entry'!S$8),'Council Entry'!S81)),IF('Council Entry'!S$4="Exponential",EXP(IF(AND(ISNUMBER('Council Entry'!S$8),ISNUMBER('Council Entry'!S$9)),MAX(MIN('Council Entry'!S81,'Council Entry'!S$9),'Council Entry'!S$8),'Council Entry'!S81)),IF(AND(ISNUMBER('Council Entry'!S$8),ISNUMBER('Council Entry'!S$9)),MAX(MIN('Council Entry'!S81,'Council Entry'!S$9),'Council Entry'!S$8),'Council Entry'!S81))))-'Council Entry'!S$5)/('Council Entry'!S$6-'Council Entry'!S$5)),1))),"No data"))</f>
        <v/>
      </c>
      <c r="T81" s="13">
        <f>IF('Council Entry'!T81="","",IFERROR(MAX(0,MIN(10,ROUND(IF('Council Entry'!T$7="Decrease Risk",10-10*((IF('Council Entry'!T$4="Logarithm",LN(0.001+IF(AND(ISNUMBER('Council Entry'!T$8),ISNUMBER('Council Entry'!T$9)),MAX(MIN('Council Entry'!T81,'Council Entry'!T$9),'Council Entry'!T$8),'Council Entry'!T81)),IF('Council Entry'!T$4="Exponential",EXP(IF(AND(ISNUMBER('Council Entry'!T$8),ISNUMBER('Council Entry'!T$9)),MAX(MIN('Council Entry'!T81,'Council Entry'!T$9),'Council Entry'!T$8),'Council Entry'!T81)),IF(AND(ISNUMBER('Council Entry'!T$8),ISNUMBER('Council Entry'!T$9)),MAX(MIN('Council Entry'!T81,'Council Entry'!T$9),'Council Entry'!T$8),'Council Entry'!T81))))-'Council Entry'!T$5)/('Council Entry'!T$6-'Council Entry'!T$5),10*((IF('Council Entry'!T$4="Logarithm",LN(0.001+IF(AND(ISNUMBER('Council Entry'!T$8),ISNUMBER('Council Entry'!T$9)),MAX(MIN('Council Entry'!T81,'Council Entry'!T$9),'Council Entry'!T$8),'Council Entry'!T81)),IF('Council Entry'!T$4="Exponential",EXP(IF(AND(ISNUMBER('Council Entry'!T$8),ISNUMBER('Council Entry'!T$9)),MAX(MIN('Council Entry'!T81,'Council Entry'!T$9),'Council Entry'!T$8),'Council Entry'!T81)),IF(AND(ISNUMBER('Council Entry'!T$8),ISNUMBER('Council Entry'!T$9)),MAX(MIN('Council Entry'!T81,'Council Entry'!T$9),'Council Entry'!T$8),'Council Entry'!T81))))-'Council Entry'!T$5)/('Council Entry'!T$6-'Council Entry'!T$5)),1))),"No data"))</f>
        <v/>
      </c>
      <c r="U81" s="13">
        <f>IF('Council Entry'!U81="","",IFERROR(MAX(0,MIN(10,ROUND(IF('Council Entry'!U$7="Decrease Risk",10-10*((IF('Council Entry'!U$4="Logarithm",LN(0.001+IF(AND(ISNUMBER('Council Entry'!U$8),ISNUMBER('Council Entry'!U$9)),MAX(MIN('Council Entry'!U81,'Council Entry'!U$9),'Council Entry'!U$8),'Council Entry'!U81)),IF('Council Entry'!U$4="Exponential",EXP(IF(AND(ISNUMBER('Council Entry'!U$8),ISNUMBER('Council Entry'!U$9)),MAX(MIN('Council Entry'!U81,'Council Entry'!U$9),'Council Entry'!U$8),'Council Entry'!U81)),IF(AND(ISNUMBER('Council Entry'!U$8),ISNUMBER('Council Entry'!U$9)),MAX(MIN('Council Entry'!U81,'Council Entry'!U$9),'Council Entry'!U$8),'Council Entry'!U81))))-'Council Entry'!U$5)/('Council Entry'!U$6-'Council Entry'!U$5),10*((IF('Council Entry'!U$4="Logarithm",LN(0.001+IF(AND(ISNUMBER('Council Entry'!U$8),ISNUMBER('Council Entry'!U$9)),MAX(MIN('Council Entry'!U81,'Council Entry'!U$9),'Council Entry'!U$8),'Council Entry'!U81)),IF('Council Entry'!U$4="Exponential",EXP(IF(AND(ISNUMBER('Council Entry'!U$8),ISNUMBER('Council Entry'!U$9)),MAX(MIN('Council Entry'!U81,'Council Entry'!U$9),'Council Entry'!U$8),'Council Entry'!U81)),IF(AND(ISNUMBER('Council Entry'!U$8),ISNUMBER('Council Entry'!U$9)),MAX(MIN('Council Entry'!U81,'Council Entry'!U$9),'Council Entry'!U$8),'Council Entry'!U81))))-'Council Entry'!U$5)/('Council Entry'!U$6-'Council Entry'!U$5)),1))),"No data"))</f>
        <v/>
      </c>
      <c r="V81" s="13">
        <f>IF('Council Entry'!V81="","",IFERROR(MAX(0,MIN(10,ROUND(IF('Council Entry'!V$7="Decrease Risk",10-10*((IF('Council Entry'!V$4="Logarithm",LN(0.001+IF(AND(ISNUMBER('Council Entry'!V$8),ISNUMBER('Council Entry'!V$9)),MAX(MIN('Council Entry'!V81,'Council Entry'!V$9),'Council Entry'!V$8),'Council Entry'!V81)),IF('Council Entry'!V$4="Exponential",EXP(IF(AND(ISNUMBER('Council Entry'!V$8),ISNUMBER('Council Entry'!V$9)),MAX(MIN('Council Entry'!V81,'Council Entry'!V$9),'Council Entry'!V$8),'Council Entry'!V81)),IF(AND(ISNUMBER('Council Entry'!V$8),ISNUMBER('Council Entry'!V$9)),MAX(MIN('Council Entry'!V81,'Council Entry'!V$9),'Council Entry'!V$8),'Council Entry'!V81))))-'Council Entry'!V$5)/('Council Entry'!V$6-'Council Entry'!V$5),10*((IF('Council Entry'!V$4="Logarithm",LN(0.001+IF(AND(ISNUMBER('Council Entry'!V$8),ISNUMBER('Council Entry'!V$9)),MAX(MIN('Council Entry'!V81,'Council Entry'!V$9),'Council Entry'!V$8),'Council Entry'!V81)),IF('Council Entry'!V$4="Exponential",EXP(IF(AND(ISNUMBER('Council Entry'!V$8),ISNUMBER('Council Entry'!V$9)),MAX(MIN('Council Entry'!V81,'Council Entry'!V$9),'Council Entry'!V$8),'Council Entry'!V81)),IF(AND(ISNUMBER('Council Entry'!V$8),ISNUMBER('Council Entry'!V$9)),MAX(MIN('Council Entry'!V81,'Council Entry'!V$9),'Council Entry'!V$8),'Council Entry'!V81))))-'Council Entry'!V$5)/('Council Entry'!V$6-'Council Entry'!V$5)),1))),"No data"))</f>
        <v/>
      </c>
      <c r="W81" s="13">
        <f>IF('Council Entry'!W81="","",IFERROR(MAX(0,MIN(10,ROUND(IF('Council Entry'!W$7="Decrease Risk",10-10*((IF('Council Entry'!W$4="Logarithm",LN(0.001+IF(AND(ISNUMBER('Council Entry'!W$8),ISNUMBER('Council Entry'!W$9)),MAX(MIN('Council Entry'!W81,'Council Entry'!W$9),'Council Entry'!W$8),'Council Entry'!W81)),IF('Council Entry'!W$4="Exponential",EXP(IF(AND(ISNUMBER('Council Entry'!W$8),ISNUMBER('Council Entry'!W$9)),MAX(MIN('Council Entry'!W81,'Council Entry'!W$9),'Council Entry'!W$8),'Council Entry'!W81)),IF(AND(ISNUMBER('Council Entry'!W$8),ISNUMBER('Council Entry'!W$9)),MAX(MIN('Council Entry'!W81,'Council Entry'!W$9),'Council Entry'!W$8),'Council Entry'!W81))))-'Council Entry'!W$5)/('Council Entry'!W$6-'Council Entry'!W$5),10*((IF('Council Entry'!W$4="Logarithm",LN(0.001+IF(AND(ISNUMBER('Council Entry'!W$8),ISNUMBER('Council Entry'!W$9)),MAX(MIN('Council Entry'!W81,'Council Entry'!W$9),'Council Entry'!W$8),'Council Entry'!W81)),IF('Council Entry'!W$4="Exponential",EXP(IF(AND(ISNUMBER('Council Entry'!W$8),ISNUMBER('Council Entry'!W$9)),MAX(MIN('Council Entry'!W81,'Council Entry'!W$9),'Council Entry'!W$8),'Council Entry'!W81)),IF(AND(ISNUMBER('Council Entry'!W$8),ISNUMBER('Council Entry'!W$9)),MAX(MIN('Council Entry'!W81,'Council Entry'!W$9),'Council Entry'!W$8),'Council Entry'!W81))))-'Council Entry'!W$5)/('Council Entry'!W$6-'Council Entry'!W$5)),1))),"No data"))</f>
        <v/>
      </c>
      <c r="X81" s="13">
        <f>IF('Council Entry'!X81="","",IFERROR(MAX(0,MIN(10,ROUND(IF('Council Entry'!X$7="Decrease Risk",10-10*((IF('Council Entry'!X$4="Logarithm",LN(0.001+IF(AND(ISNUMBER('Council Entry'!X$8),ISNUMBER('Council Entry'!X$9)),MAX(MIN('Council Entry'!X81,'Council Entry'!X$9),'Council Entry'!X$8),'Council Entry'!X81)),IF('Council Entry'!X$4="Exponential",EXP(IF(AND(ISNUMBER('Council Entry'!X$8),ISNUMBER('Council Entry'!X$9)),MAX(MIN('Council Entry'!X81,'Council Entry'!X$9),'Council Entry'!X$8),'Council Entry'!X81)),IF(AND(ISNUMBER('Council Entry'!X$8),ISNUMBER('Council Entry'!X$9)),MAX(MIN('Council Entry'!X81,'Council Entry'!X$9),'Council Entry'!X$8),'Council Entry'!X81))))-'Council Entry'!X$5)/('Council Entry'!X$6-'Council Entry'!X$5),10*((IF('Council Entry'!X$4="Logarithm",LN(0.001+IF(AND(ISNUMBER('Council Entry'!X$8),ISNUMBER('Council Entry'!X$9)),MAX(MIN('Council Entry'!X81,'Council Entry'!X$9),'Council Entry'!X$8),'Council Entry'!X81)),IF('Council Entry'!X$4="Exponential",EXP(IF(AND(ISNUMBER('Council Entry'!X$8),ISNUMBER('Council Entry'!X$9)),MAX(MIN('Council Entry'!X81,'Council Entry'!X$9),'Council Entry'!X$8),'Council Entry'!X81)),IF(AND(ISNUMBER('Council Entry'!X$8),ISNUMBER('Council Entry'!X$9)),MAX(MIN('Council Entry'!X81,'Council Entry'!X$9),'Council Entry'!X$8),'Council Entry'!X81))))-'Council Entry'!X$5)/('Council Entry'!X$6-'Council Entry'!X$5)),1))),"No data"))</f>
        <v/>
      </c>
      <c r="Y81" s="13">
        <f>IF('Council Entry'!Y81="","",IFERROR(MAX(0,MIN(10,ROUND(IF('Council Entry'!Y$7="Decrease Risk",10-10*((IF('Council Entry'!Y$4="Logarithm",LN(0.001+IF(AND(ISNUMBER('Council Entry'!Y$8),ISNUMBER('Council Entry'!Y$9)),MAX(MIN('Council Entry'!Y81,'Council Entry'!Y$9),'Council Entry'!Y$8),'Council Entry'!Y81)),IF('Council Entry'!Y$4="Exponential",EXP(IF(AND(ISNUMBER('Council Entry'!Y$8),ISNUMBER('Council Entry'!Y$9)),MAX(MIN('Council Entry'!Y81,'Council Entry'!Y$9),'Council Entry'!Y$8),'Council Entry'!Y81)),IF(AND(ISNUMBER('Council Entry'!Y$8),ISNUMBER('Council Entry'!Y$9)),MAX(MIN('Council Entry'!Y81,'Council Entry'!Y$9),'Council Entry'!Y$8),'Council Entry'!Y81))))-'Council Entry'!Y$5)/('Council Entry'!Y$6-'Council Entry'!Y$5),10*((IF('Council Entry'!Y$4="Logarithm",LN(0.001+IF(AND(ISNUMBER('Council Entry'!Y$8),ISNUMBER('Council Entry'!Y$9)),MAX(MIN('Council Entry'!Y81,'Council Entry'!Y$9),'Council Entry'!Y$8),'Council Entry'!Y81)),IF('Council Entry'!Y$4="Exponential",EXP(IF(AND(ISNUMBER('Council Entry'!Y$8),ISNUMBER('Council Entry'!Y$9)),MAX(MIN('Council Entry'!Y81,'Council Entry'!Y$9),'Council Entry'!Y$8),'Council Entry'!Y81)),IF(AND(ISNUMBER('Council Entry'!Y$8),ISNUMBER('Council Entry'!Y$9)),MAX(MIN('Council Entry'!Y81,'Council Entry'!Y$9),'Council Entry'!Y$8),'Council Entry'!Y81))))-'Council Entry'!Y$5)/('Council Entry'!Y$6-'Council Entry'!Y$5)),1))),"No data"))</f>
        <v/>
      </c>
      <c r="Z81" s="13">
        <f>IF('Council Entry'!Z81="","",IFERROR(MAX(0,MIN(10,ROUND(IF('Council Entry'!Z$7="Decrease Risk",10-10*((IF('Council Entry'!Z$4="Logarithm",LN(0.001+IF(AND(ISNUMBER('Council Entry'!Z$8),ISNUMBER('Council Entry'!Z$9)),MAX(MIN('Council Entry'!Z81,'Council Entry'!Z$9),'Council Entry'!Z$8),'Council Entry'!Z81)),IF('Council Entry'!Z$4="Exponential",EXP(IF(AND(ISNUMBER('Council Entry'!Z$8),ISNUMBER('Council Entry'!Z$9)),MAX(MIN('Council Entry'!Z81,'Council Entry'!Z$9),'Council Entry'!Z$8),'Council Entry'!Z81)),IF(AND(ISNUMBER('Council Entry'!Z$8),ISNUMBER('Council Entry'!Z$9)),MAX(MIN('Council Entry'!Z81,'Council Entry'!Z$9),'Council Entry'!Z$8),'Council Entry'!Z81))))-'Council Entry'!Z$5)/('Council Entry'!Z$6-'Council Entry'!Z$5),10*((IF('Council Entry'!Z$4="Logarithm",LN(0.001+IF(AND(ISNUMBER('Council Entry'!Z$8),ISNUMBER('Council Entry'!Z$9)),MAX(MIN('Council Entry'!Z81,'Council Entry'!Z$9),'Council Entry'!Z$8),'Council Entry'!Z81)),IF('Council Entry'!Z$4="Exponential",EXP(IF(AND(ISNUMBER('Council Entry'!Z$8),ISNUMBER('Council Entry'!Z$9)),MAX(MIN('Council Entry'!Z81,'Council Entry'!Z$9),'Council Entry'!Z$8),'Council Entry'!Z81)),IF(AND(ISNUMBER('Council Entry'!Z$8),ISNUMBER('Council Entry'!Z$9)),MAX(MIN('Council Entry'!Z81,'Council Entry'!Z$9),'Council Entry'!Z$8),'Council Entry'!Z81))))-'Council Entry'!Z$5)/('Council Entry'!Z$6-'Council Entry'!Z$5)),1))),"No data"))</f>
        <v/>
      </c>
      <c r="AA81" s="13">
        <f>IF('Council Entry'!AA81="","",IFERROR(MAX(0,MIN(10,ROUND(IF('Council Entry'!AA$7="Decrease Risk",10-10*((IF('Council Entry'!AA$4="Logarithm",LN(0.001+IF(AND(ISNUMBER('Council Entry'!AA$8),ISNUMBER('Council Entry'!AA$9)),MAX(MIN('Council Entry'!AA81,'Council Entry'!AA$9),'Council Entry'!AA$8),'Council Entry'!AA81)),IF('Council Entry'!AA$4="Exponential",EXP(IF(AND(ISNUMBER('Council Entry'!AA$8),ISNUMBER('Council Entry'!AA$9)),MAX(MIN('Council Entry'!AA81,'Council Entry'!AA$9),'Council Entry'!AA$8),'Council Entry'!AA81)),IF(AND(ISNUMBER('Council Entry'!AA$8),ISNUMBER('Council Entry'!AA$9)),MAX(MIN('Council Entry'!AA81,'Council Entry'!AA$9),'Council Entry'!AA$8),'Council Entry'!AA81))))-'Council Entry'!AA$5)/('Council Entry'!AA$6-'Council Entry'!AA$5),10*((IF('Council Entry'!AA$4="Logarithm",LN(0.001+IF(AND(ISNUMBER('Council Entry'!AA$8),ISNUMBER('Council Entry'!AA$9)),MAX(MIN('Council Entry'!AA81,'Council Entry'!AA$9),'Council Entry'!AA$8),'Council Entry'!AA81)),IF('Council Entry'!AA$4="Exponential",EXP(IF(AND(ISNUMBER('Council Entry'!AA$8),ISNUMBER('Council Entry'!AA$9)),MAX(MIN('Council Entry'!AA81,'Council Entry'!AA$9),'Council Entry'!AA$8),'Council Entry'!AA81)),IF(AND(ISNUMBER('Council Entry'!AA$8),ISNUMBER('Council Entry'!AA$9)),MAX(MIN('Council Entry'!AA81,'Council Entry'!AA$9),'Council Entry'!AA$8),'Council Entry'!AA81))))-'Council Entry'!AA$5)/('Council Entry'!AA$6-'Council Entry'!AA$5)),1))),"No data"))</f>
        <v/>
      </c>
      <c r="AB81" s="13">
        <f>IF('Council Entry'!AB81="","",IFERROR(MAX(0,MIN(10,ROUND(IF('Council Entry'!AB$7="Decrease Risk",10-10*((IF('Council Entry'!AB$4="Logarithm",LN(0.001+IF(AND(ISNUMBER('Council Entry'!AB$8),ISNUMBER('Council Entry'!AB$9)),MAX(MIN('Council Entry'!AB81,'Council Entry'!AB$9),'Council Entry'!AB$8),'Council Entry'!AB81)),IF('Council Entry'!AB$4="Exponential",EXP(IF(AND(ISNUMBER('Council Entry'!AB$8),ISNUMBER('Council Entry'!AB$9)),MAX(MIN('Council Entry'!AB81,'Council Entry'!AB$9),'Council Entry'!AB$8),'Council Entry'!AB81)),IF(AND(ISNUMBER('Council Entry'!AB$8),ISNUMBER('Council Entry'!AB$9)),MAX(MIN('Council Entry'!AB81,'Council Entry'!AB$9),'Council Entry'!AB$8),'Council Entry'!AB81))))-'Council Entry'!AB$5)/('Council Entry'!AB$6-'Council Entry'!AB$5),10*((IF('Council Entry'!AB$4="Logarithm",LN(0.001+IF(AND(ISNUMBER('Council Entry'!AB$8),ISNUMBER('Council Entry'!AB$9)),MAX(MIN('Council Entry'!AB81,'Council Entry'!AB$9),'Council Entry'!AB$8),'Council Entry'!AB81)),IF('Council Entry'!AB$4="Exponential",EXP(IF(AND(ISNUMBER('Council Entry'!AB$8),ISNUMBER('Council Entry'!AB$9)),MAX(MIN('Council Entry'!AB81,'Council Entry'!AB$9),'Council Entry'!AB$8),'Council Entry'!AB81)),IF(AND(ISNUMBER('Council Entry'!AB$8),ISNUMBER('Council Entry'!AB$9)),MAX(MIN('Council Entry'!AB81,'Council Entry'!AB$9),'Council Entry'!AB$8),'Council Entry'!AB81))))-'Council Entry'!AB$5)/('Council Entry'!AB$6-'Council Entry'!AB$5)),1))),"No data"))</f>
        <v/>
      </c>
      <c r="AC81" s="13">
        <f>IF('Council Entry'!AC81="","",IFERROR(MAX(0,MIN(10,ROUND(IF('Council Entry'!AC$7="Decrease Risk",10-10*((IF('Council Entry'!AC$4="Logarithm",LN(0.001+IF(AND(ISNUMBER('Council Entry'!AC$8),ISNUMBER('Council Entry'!AC$9)),MAX(MIN('Council Entry'!AC81,'Council Entry'!AC$9),'Council Entry'!AC$8),'Council Entry'!AC81)),IF('Council Entry'!AC$4="Exponential",EXP(IF(AND(ISNUMBER('Council Entry'!AC$8),ISNUMBER('Council Entry'!AC$9)),MAX(MIN('Council Entry'!AC81,'Council Entry'!AC$9),'Council Entry'!AC$8),'Council Entry'!AC81)),IF(AND(ISNUMBER('Council Entry'!AC$8),ISNUMBER('Council Entry'!AC$9)),MAX(MIN('Council Entry'!AC81,'Council Entry'!AC$9),'Council Entry'!AC$8),'Council Entry'!AC81))))-'Council Entry'!AC$5)/('Council Entry'!AC$6-'Council Entry'!AC$5),10*((IF('Council Entry'!AC$4="Logarithm",LN(0.001+IF(AND(ISNUMBER('Council Entry'!AC$8),ISNUMBER('Council Entry'!AC$9)),MAX(MIN('Council Entry'!AC81,'Council Entry'!AC$9),'Council Entry'!AC$8),'Council Entry'!AC81)),IF('Council Entry'!AC$4="Exponential",EXP(IF(AND(ISNUMBER('Council Entry'!AC$8),ISNUMBER('Council Entry'!AC$9)),MAX(MIN('Council Entry'!AC81,'Council Entry'!AC$9),'Council Entry'!AC$8),'Council Entry'!AC81)),IF(AND(ISNUMBER('Council Entry'!AC$8),ISNUMBER('Council Entry'!AC$9)),MAX(MIN('Council Entry'!AC81,'Council Entry'!AC$9),'Council Entry'!AC$8),'Council Entry'!AC81))))-'Council Entry'!AC$5)/('Council Entry'!AC$6-'Council Entry'!AC$5)),1))),"No data"))</f>
        <v/>
      </c>
      <c r="AD81" s="13">
        <f>IF('Council Entry'!AD81="","",IFERROR(MAX(0,MIN(10,ROUND(IF('Council Entry'!AD$7="Decrease Risk",10-10*((IF('Council Entry'!AD$4="Logarithm",LN(0.001+IF(AND(ISNUMBER('Council Entry'!AD$8),ISNUMBER('Council Entry'!AD$9)),MAX(MIN('Council Entry'!AD81,'Council Entry'!AD$9),'Council Entry'!AD$8),'Council Entry'!AD81)),IF('Council Entry'!AD$4="Exponential",EXP(IF(AND(ISNUMBER('Council Entry'!AD$8),ISNUMBER('Council Entry'!AD$9)),MAX(MIN('Council Entry'!AD81,'Council Entry'!AD$9),'Council Entry'!AD$8),'Council Entry'!AD81)),IF(AND(ISNUMBER('Council Entry'!AD$8),ISNUMBER('Council Entry'!AD$9)),MAX(MIN('Council Entry'!AD81,'Council Entry'!AD$9),'Council Entry'!AD$8),'Council Entry'!AD81))))-'Council Entry'!AD$5)/('Council Entry'!AD$6-'Council Entry'!AD$5),10*((IF('Council Entry'!AD$4="Logarithm",LN(0.001+IF(AND(ISNUMBER('Council Entry'!AD$8),ISNUMBER('Council Entry'!AD$9)),MAX(MIN('Council Entry'!AD81,'Council Entry'!AD$9),'Council Entry'!AD$8),'Council Entry'!AD81)),IF('Council Entry'!AD$4="Exponential",EXP(IF(AND(ISNUMBER('Council Entry'!AD$8),ISNUMBER('Council Entry'!AD$9)),MAX(MIN('Council Entry'!AD81,'Council Entry'!AD$9),'Council Entry'!AD$8),'Council Entry'!AD81)),IF(AND(ISNUMBER('Council Entry'!AD$8),ISNUMBER('Council Entry'!AD$9)),MAX(MIN('Council Entry'!AD81,'Council Entry'!AD$9),'Council Entry'!AD$8),'Council Entry'!AD81))))-'Council Entry'!AD$5)/('Council Entry'!AD$6-'Council Entry'!AD$5)),1))),"No data"))</f>
        <v/>
      </c>
      <c r="AE81" s="13">
        <f>IF('Council Entry'!AE81="","",IFERROR(MAX(0,MIN(10,ROUND(IF('Council Entry'!AE$7="Decrease Risk",10-10*((IF('Council Entry'!AE$4="Logarithm",LN(0.001+IF(AND(ISNUMBER('Council Entry'!AE$8),ISNUMBER('Council Entry'!AE$9)),MAX(MIN('Council Entry'!AE81,'Council Entry'!AE$9),'Council Entry'!AE$8),'Council Entry'!AE81)),IF('Council Entry'!AE$4="Exponential",EXP(IF(AND(ISNUMBER('Council Entry'!AE$8),ISNUMBER('Council Entry'!AE$9)),MAX(MIN('Council Entry'!AE81,'Council Entry'!AE$9),'Council Entry'!AE$8),'Council Entry'!AE81)),IF(AND(ISNUMBER('Council Entry'!AE$8),ISNUMBER('Council Entry'!AE$9)),MAX(MIN('Council Entry'!AE81,'Council Entry'!AE$9),'Council Entry'!AE$8),'Council Entry'!AE81))))-'Council Entry'!AE$5)/('Council Entry'!AE$6-'Council Entry'!AE$5),10*((IF('Council Entry'!AE$4="Logarithm",LN(0.001+IF(AND(ISNUMBER('Council Entry'!AE$8),ISNUMBER('Council Entry'!AE$9)),MAX(MIN('Council Entry'!AE81,'Council Entry'!AE$9),'Council Entry'!AE$8),'Council Entry'!AE81)),IF('Council Entry'!AE$4="Exponential",EXP(IF(AND(ISNUMBER('Council Entry'!AE$8),ISNUMBER('Council Entry'!AE$9)),MAX(MIN('Council Entry'!AE81,'Council Entry'!AE$9),'Council Entry'!AE$8),'Council Entry'!AE81)),IF(AND(ISNUMBER('Council Entry'!AE$8),ISNUMBER('Council Entry'!AE$9)),MAX(MIN('Council Entry'!AE81,'Council Entry'!AE$9),'Council Entry'!AE$8),'Council Entry'!AE81))))-'Council Entry'!AE$5)/('Council Entry'!AE$6-'Council Entry'!AE$5)),1))),"No data"))</f>
        <v/>
      </c>
      <c r="AF81" s="13">
        <f>IF('Council Entry'!AF81="","",IFERROR(MAX(0,MIN(10,ROUND(IF('Council Entry'!AF$7="Decrease Risk",10-10*((IF('Council Entry'!AF$4="Logarithm",LN(0.001+IF(AND(ISNUMBER('Council Entry'!AF$8),ISNUMBER('Council Entry'!AF$9)),MAX(MIN('Council Entry'!AF81,'Council Entry'!AF$9),'Council Entry'!AF$8),'Council Entry'!AF81)),IF('Council Entry'!AF$4="Exponential",EXP(IF(AND(ISNUMBER('Council Entry'!AF$8),ISNUMBER('Council Entry'!AF$9)),MAX(MIN('Council Entry'!AF81,'Council Entry'!AF$9),'Council Entry'!AF$8),'Council Entry'!AF81)),IF(AND(ISNUMBER('Council Entry'!AF$8),ISNUMBER('Council Entry'!AF$9)),MAX(MIN('Council Entry'!AF81,'Council Entry'!AF$9),'Council Entry'!AF$8),'Council Entry'!AF81))))-'Council Entry'!AF$5)/('Council Entry'!AF$6-'Council Entry'!AF$5),10*((IF('Council Entry'!AF$4="Logarithm",LN(0.001+IF(AND(ISNUMBER('Council Entry'!AF$8),ISNUMBER('Council Entry'!AF$9)),MAX(MIN('Council Entry'!AF81,'Council Entry'!AF$9),'Council Entry'!AF$8),'Council Entry'!AF81)),IF('Council Entry'!AF$4="Exponential",EXP(IF(AND(ISNUMBER('Council Entry'!AF$8),ISNUMBER('Council Entry'!AF$9)),MAX(MIN('Council Entry'!AF81,'Council Entry'!AF$9),'Council Entry'!AF$8),'Council Entry'!AF81)),IF(AND(ISNUMBER('Council Entry'!AF$8),ISNUMBER('Council Entry'!AF$9)),MAX(MIN('Council Entry'!AF81,'Council Entry'!AF$9),'Council Entry'!AF$8),'Council Entry'!AF81))))-'Council Entry'!AF$5)/('Council Entry'!AF$6-'Council Entry'!AF$5)),1))),"No data"))</f>
        <v/>
      </c>
      <c r="AG81" s="13">
        <f>IF('Council Entry'!AG81="","",IFERROR(MAX(0,MIN(10,ROUND(IF('Council Entry'!AG$7="Decrease Risk",10-10*((IF('Council Entry'!AG$4="Logarithm",LN(0.001+IF(AND(ISNUMBER('Council Entry'!AG$8),ISNUMBER('Council Entry'!AG$9)),MAX(MIN('Council Entry'!AG81,'Council Entry'!AG$9),'Council Entry'!AG$8),'Council Entry'!AG81)),IF('Council Entry'!AG$4="Exponential",EXP(IF(AND(ISNUMBER('Council Entry'!AG$8),ISNUMBER('Council Entry'!AG$9)),MAX(MIN('Council Entry'!AG81,'Council Entry'!AG$9),'Council Entry'!AG$8),'Council Entry'!AG81)),IF(AND(ISNUMBER('Council Entry'!AG$8),ISNUMBER('Council Entry'!AG$9)),MAX(MIN('Council Entry'!AG81,'Council Entry'!AG$9),'Council Entry'!AG$8),'Council Entry'!AG81))))-'Council Entry'!AG$5)/('Council Entry'!AG$6-'Council Entry'!AG$5),10*((IF('Council Entry'!AG$4="Logarithm",LN(0.001+IF(AND(ISNUMBER('Council Entry'!AG$8),ISNUMBER('Council Entry'!AG$9)),MAX(MIN('Council Entry'!AG81,'Council Entry'!AG$9),'Council Entry'!AG$8),'Council Entry'!AG81)),IF('Council Entry'!AG$4="Exponential",EXP(IF(AND(ISNUMBER('Council Entry'!AG$8),ISNUMBER('Council Entry'!AG$9)),MAX(MIN('Council Entry'!AG81,'Council Entry'!AG$9),'Council Entry'!AG$8),'Council Entry'!AG81)),IF(AND(ISNUMBER('Council Entry'!AG$8),ISNUMBER('Council Entry'!AG$9)),MAX(MIN('Council Entry'!AG81,'Council Entry'!AG$9),'Council Entry'!AG$8),'Council Entry'!AG81))))-'Council Entry'!AG$5)/('Council Entry'!AG$6-'Council Entry'!AG$5)),1))),"No data"))</f>
        <v/>
      </c>
      <c r="AH81" s="13">
        <f>IF('Council Entry'!AH81="","",IFERROR(MAX(0,MIN(10,ROUND(IF('Council Entry'!AH$7="Decrease Risk",10-10*((IF('Council Entry'!AH$4="Logarithm",LN(0.001+IF(AND(ISNUMBER('Council Entry'!AH$8),ISNUMBER('Council Entry'!AH$9)),MAX(MIN('Council Entry'!AH81,'Council Entry'!AH$9),'Council Entry'!AH$8),'Council Entry'!AH81)),IF('Council Entry'!AH$4="Exponential",EXP(IF(AND(ISNUMBER('Council Entry'!AH$8),ISNUMBER('Council Entry'!AH$9)),MAX(MIN('Council Entry'!AH81,'Council Entry'!AH$9),'Council Entry'!AH$8),'Council Entry'!AH81)),IF(AND(ISNUMBER('Council Entry'!AH$8),ISNUMBER('Council Entry'!AH$9)),MAX(MIN('Council Entry'!AH81,'Council Entry'!AH$9),'Council Entry'!AH$8),'Council Entry'!AH81))))-'Council Entry'!AH$5)/('Council Entry'!AH$6-'Council Entry'!AH$5),10*((IF('Council Entry'!AH$4="Logarithm",LN(0.001+IF(AND(ISNUMBER('Council Entry'!AH$8),ISNUMBER('Council Entry'!AH$9)),MAX(MIN('Council Entry'!AH81,'Council Entry'!AH$9),'Council Entry'!AH$8),'Council Entry'!AH81)),IF('Council Entry'!AH$4="Exponential",EXP(IF(AND(ISNUMBER('Council Entry'!AH$8),ISNUMBER('Council Entry'!AH$9)),MAX(MIN('Council Entry'!AH81,'Council Entry'!AH$9),'Council Entry'!AH$8),'Council Entry'!AH81)),IF(AND(ISNUMBER('Council Entry'!AH$8),ISNUMBER('Council Entry'!AH$9)),MAX(MIN('Council Entry'!AH81,'Council Entry'!AH$9),'Council Entry'!AH$8),'Council Entry'!AH81))))-'Council Entry'!AH$5)/('Council Entry'!AH$6-'Council Entry'!AH$5)),1))),"No data"))</f>
        <v/>
      </c>
      <c r="AI81" s="13">
        <f>IF('Council Entry'!AI81="","",IFERROR(MAX(0,MIN(10,ROUND(IF('Council Entry'!AI$7="Decrease Risk",10-10*((IF('Council Entry'!AI$4="Logarithm",LN(0.001+IF(AND(ISNUMBER('Council Entry'!AI$8),ISNUMBER('Council Entry'!AI$9)),MAX(MIN('Council Entry'!AI81,'Council Entry'!AI$9),'Council Entry'!AI$8),'Council Entry'!AI81)),IF('Council Entry'!AI$4="Exponential",EXP(IF(AND(ISNUMBER('Council Entry'!AI$8),ISNUMBER('Council Entry'!AI$9)),MAX(MIN('Council Entry'!AI81,'Council Entry'!AI$9),'Council Entry'!AI$8),'Council Entry'!AI81)),IF(AND(ISNUMBER('Council Entry'!AI$8),ISNUMBER('Council Entry'!AI$9)),MAX(MIN('Council Entry'!AI81,'Council Entry'!AI$9),'Council Entry'!AI$8),'Council Entry'!AI81))))-'Council Entry'!AI$5)/('Council Entry'!AI$6-'Council Entry'!AI$5),10*((IF('Council Entry'!AI$4="Logarithm",LN(0.001+IF(AND(ISNUMBER('Council Entry'!AI$8),ISNUMBER('Council Entry'!AI$9)),MAX(MIN('Council Entry'!AI81,'Council Entry'!AI$9),'Council Entry'!AI$8),'Council Entry'!AI81)),IF('Council Entry'!AI$4="Exponential",EXP(IF(AND(ISNUMBER('Council Entry'!AI$8),ISNUMBER('Council Entry'!AI$9)),MAX(MIN('Council Entry'!AI81,'Council Entry'!AI$9),'Council Entry'!AI$8),'Council Entry'!AI81)),IF(AND(ISNUMBER('Council Entry'!AI$8),ISNUMBER('Council Entry'!AI$9)),MAX(MIN('Council Entry'!AI81,'Council Entry'!AI$9),'Council Entry'!AI$8),'Council Entry'!AI81))))-'Council Entry'!AI$5)/('Council Entry'!AI$6-'Council Entry'!AI$5)),1))),"No data"))</f>
        <v/>
      </c>
      <c r="AJ81" s="13">
        <f>IF('Council Entry'!AJ81="","",IFERROR(MAX(0,MIN(10,ROUND(IF('Council Entry'!AJ$7="Decrease Risk",10-10*((IF('Council Entry'!AJ$4="Logarithm",LN(0.001+IF(AND(ISNUMBER('Council Entry'!AJ$8),ISNUMBER('Council Entry'!AJ$9)),MAX(MIN('Council Entry'!AJ81,'Council Entry'!AJ$9),'Council Entry'!AJ$8),'Council Entry'!AJ81)),IF('Council Entry'!AJ$4="Exponential",EXP(IF(AND(ISNUMBER('Council Entry'!AJ$8),ISNUMBER('Council Entry'!AJ$9)),MAX(MIN('Council Entry'!AJ81,'Council Entry'!AJ$9),'Council Entry'!AJ$8),'Council Entry'!AJ81)),IF(AND(ISNUMBER('Council Entry'!AJ$8),ISNUMBER('Council Entry'!AJ$9)),MAX(MIN('Council Entry'!AJ81,'Council Entry'!AJ$9),'Council Entry'!AJ$8),'Council Entry'!AJ81))))-'Council Entry'!AJ$5)/('Council Entry'!AJ$6-'Council Entry'!AJ$5),10*((IF('Council Entry'!AJ$4="Logarithm",LN(0.001+IF(AND(ISNUMBER('Council Entry'!AJ$8),ISNUMBER('Council Entry'!AJ$9)),MAX(MIN('Council Entry'!AJ81,'Council Entry'!AJ$9),'Council Entry'!AJ$8),'Council Entry'!AJ81)),IF('Council Entry'!AJ$4="Exponential",EXP(IF(AND(ISNUMBER('Council Entry'!AJ$8),ISNUMBER('Council Entry'!AJ$9)),MAX(MIN('Council Entry'!AJ81,'Council Entry'!AJ$9),'Council Entry'!AJ$8),'Council Entry'!AJ81)),IF(AND(ISNUMBER('Council Entry'!AJ$8),ISNUMBER('Council Entry'!AJ$9)),MAX(MIN('Council Entry'!AJ81,'Council Entry'!AJ$9),'Council Entry'!AJ$8),'Council Entry'!AJ81))))-'Council Entry'!AJ$5)/('Council Entry'!AJ$6-'Council Entry'!AJ$5)),1))),"No data"))</f>
        <v/>
      </c>
      <c r="AK81" s="13">
        <f>IF('Council Entry'!AK81="","",IFERROR(MAX(0,MIN(10,ROUND(IF('Council Entry'!AK$7="Decrease Risk",10-10*((IF('Council Entry'!AK$4="Logarithm",LN(0.001+IF(AND(ISNUMBER('Council Entry'!AK$8),ISNUMBER('Council Entry'!AK$9)),MAX(MIN('Council Entry'!AK81,'Council Entry'!AK$9),'Council Entry'!AK$8),'Council Entry'!AK81)),IF('Council Entry'!AK$4="Exponential",EXP(IF(AND(ISNUMBER('Council Entry'!AK$8),ISNUMBER('Council Entry'!AK$9)),MAX(MIN('Council Entry'!AK81,'Council Entry'!AK$9),'Council Entry'!AK$8),'Council Entry'!AK81)),IF(AND(ISNUMBER('Council Entry'!AK$8),ISNUMBER('Council Entry'!AK$9)),MAX(MIN('Council Entry'!AK81,'Council Entry'!AK$9),'Council Entry'!AK$8),'Council Entry'!AK81))))-'Council Entry'!AK$5)/('Council Entry'!AK$6-'Council Entry'!AK$5),10*((IF('Council Entry'!AK$4="Logarithm",LN(0.001+IF(AND(ISNUMBER('Council Entry'!AK$8),ISNUMBER('Council Entry'!AK$9)),MAX(MIN('Council Entry'!AK81,'Council Entry'!AK$9),'Council Entry'!AK$8),'Council Entry'!AK81)),IF('Council Entry'!AK$4="Exponential",EXP(IF(AND(ISNUMBER('Council Entry'!AK$8),ISNUMBER('Council Entry'!AK$9)),MAX(MIN('Council Entry'!AK81,'Council Entry'!AK$9),'Council Entry'!AK$8),'Council Entry'!AK81)),IF(AND(ISNUMBER('Council Entry'!AK$8),ISNUMBER('Council Entry'!AK$9)),MAX(MIN('Council Entry'!AK81,'Council Entry'!AK$9),'Council Entry'!AK$8),'Council Entry'!AK81))))-'Council Entry'!AK$5)/('Council Entry'!AK$6-'Council Entry'!AK$5)),1))),"No data"))</f>
        <v/>
      </c>
      <c r="AL81" s="13">
        <f>IF('Council Entry'!AL81="","",IFERROR(MAX(0,MIN(10,ROUND(IF('Council Entry'!AL$7="Decrease Risk",10-10*((IF('Council Entry'!AL$4="Logarithm",LN(0.001+IF(AND(ISNUMBER('Council Entry'!AL$8),ISNUMBER('Council Entry'!AL$9)),MAX(MIN('Council Entry'!AL81,'Council Entry'!AL$9),'Council Entry'!AL$8),'Council Entry'!AL81)),IF('Council Entry'!AL$4="Exponential",EXP(IF(AND(ISNUMBER('Council Entry'!AL$8),ISNUMBER('Council Entry'!AL$9)),MAX(MIN('Council Entry'!AL81,'Council Entry'!AL$9),'Council Entry'!AL$8),'Council Entry'!AL81)),IF(AND(ISNUMBER('Council Entry'!AL$8),ISNUMBER('Council Entry'!AL$9)),MAX(MIN('Council Entry'!AL81,'Council Entry'!AL$9),'Council Entry'!AL$8),'Council Entry'!AL81))))-'Council Entry'!AL$5)/('Council Entry'!AL$6-'Council Entry'!AL$5),10*((IF('Council Entry'!AL$4="Logarithm",LN(0.001+IF(AND(ISNUMBER('Council Entry'!AL$8),ISNUMBER('Council Entry'!AL$9)),MAX(MIN('Council Entry'!AL81,'Council Entry'!AL$9),'Council Entry'!AL$8),'Council Entry'!AL81)),IF('Council Entry'!AL$4="Exponential",EXP(IF(AND(ISNUMBER('Council Entry'!AL$8),ISNUMBER('Council Entry'!AL$9)),MAX(MIN('Council Entry'!AL81,'Council Entry'!AL$9),'Council Entry'!AL$8),'Council Entry'!AL81)),IF(AND(ISNUMBER('Council Entry'!AL$8),ISNUMBER('Council Entry'!AL$9)),MAX(MIN('Council Entry'!AL81,'Council Entry'!AL$9),'Council Entry'!AL$8),'Council Entry'!AL81))))-'Council Entry'!AL$5)/('Council Entry'!AL$6-'Council Entry'!AL$5)),1))),"No data"))</f>
        <v/>
      </c>
      <c r="AM81" s="13">
        <f>IF('Council Entry'!AM81="","",IFERROR(MAX(0,MIN(10,ROUND(IF('Council Entry'!AM$7="Decrease Risk",10-10*((IF('Council Entry'!AM$4="Logarithm",LN(0.001+IF(AND(ISNUMBER('Council Entry'!AM$8),ISNUMBER('Council Entry'!AM$9)),MAX(MIN('Council Entry'!AM81,'Council Entry'!AM$9),'Council Entry'!AM$8),'Council Entry'!AM81)),IF('Council Entry'!AM$4="Exponential",EXP(IF(AND(ISNUMBER('Council Entry'!AM$8),ISNUMBER('Council Entry'!AM$9)),MAX(MIN('Council Entry'!AM81,'Council Entry'!AM$9),'Council Entry'!AM$8),'Council Entry'!AM81)),IF(AND(ISNUMBER('Council Entry'!AM$8),ISNUMBER('Council Entry'!AM$9)),MAX(MIN('Council Entry'!AM81,'Council Entry'!AM$9),'Council Entry'!AM$8),'Council Entry'!AM81))))-'Council Entry'!AM$5)/('Council Entry'!AM$6-'Council Entry'!AM$5),10*((IF('Council Entry'!AM$4="Logarithm",LN(0.001+IF(AND(ISNUMBER('Council Entry'!AM$8),ISNUMBER('Council Entry'!AM$9)),MAX(MIN('Council Entry'!AM81,'Council Entry'!AM$9),'Council Entry'!AM$8),'Council Entry'!AM81)),IF('Council Entry'!AM$4="Exponential",EXP(IF(AND(ISNUMBER('Council Entry'!AM$8),ISNUMBER('Council Entry'!AM$9)),MAX(MIN('Council Entry'!AM81,'Council Entry'!AM$9),'Council Entry'!AM$8),'Council Entry'!AM81)),IF(AND(ISNUMBER('Council Entry'!AM$8),ISNUMBER('Council Entry'!AM$9)),MAX(MIN('Council Entry'!AM81,'Council Entry'!AM$9),'Council Entry'!AM$8),'Council Entry'!AM81))))-'Council Entry'!AM$5)/('Council Entry'!AM$6-'Council Entry'!AM$5)),1))),"No data"))</f>
        <v/>
      </c>
      <c r="AN81" s="13">
        <f>IF('Council Entry'!AN81="","",IFERROR(MAX(0,MIN(10,ROUND(IF('Council Entry'!AN$7="Decrease Risk",10-10*((IF('Council Entry'!AN$4="Logarithm",LN(0.001+IF(AND(ISNUMBER('Council Entry'!AN$8),ISNUMBER('Council Entry'!AN$9)),MAX(MIN('Council Entry'!AN81,'Council Entry'!AN$9),'Council Entry'!AN$8),'Council Entry'!AN81)),IF('Council Entry'!AN$4="Exponential",EXP(IF(AND(ISNUMBER('Council Entry'!AN$8),ISNUMBER('Council Entry'!AN$9)),MAX(MIN('Council Entry'!AN81,'Council Entry'!AN$9),'Council Entry'!AN$8),'Council Entry'!AN81)),IF(AND(ISNUMBER('Council Entry'!AN$8),ISNUMBER('Council Entry'!AN$9)),MAX(MIN('Council Entry'!AN81,'Council Entry'!AN$9),'Council Entry'!AN$8),'Council Entry'!AN81))))-'Council Entry'!AN$5)/('Council Entry'!AN$6-'Council Entry'!AN$5),10*((IF('Council Entry'!AN$4="Logarithm",LN(0.001+IF(AND(ISNUMBER('Council Entry'!AN$8),ISNUMBER('Council Entry'!AN$9)),MAX(MIN('Council Entry'!AN81,'Council Entry'!AN$9),'Council Entry'!AN$8),'Council Entry'!AN81)),IF('Council Entry'!AN$4="Exponential",EXP(IF(AND(ISNUMBER('Council Entry'!AN$8),ISNUMBER('Council Entry'!AN$9)),MAX(MIN('Council Entry'!AN81,'Council Entry'!AN$9),'Council Entry'!AN$8),'Council Entry'!AN81)),IF(AND(ISNUMBER('Council Entry'!AN$8),ISNUMBER('Council Entry'!AN$9)),MAX(MIN('Council Entry'!AN81,'Council Entry'!AN$9),'Council Entry'!AN$8),'Council Entry'!AN81))))-'Council Entry'!AN$5)/('Council Entry'!AN$6-'Council Entry'!AN$5)),1))),"No data"))</f>
        <v/>
      </c>
      <c r="AO81" s="13">
        <f>IF('Council Entry'!AO81="","",IFERROR(MAX(0,MIN(10,ROUND(IF('Council Entry'!AO$7="Decrease Risk",10-10*((IF('Council Entry'!AO$4="Logarithm",LN(0.001+IF(AND(ISNUMBER('Council Entry'!AO$8),ISNUMBER('Council Entry'!AO$9)),MAX(MIN('Council Entry'!AO81,'Council Entry'!AO$9),'Council Entry'!AO$8),'Council Entry'!AO81)),IF('Council Entry'!AO$4="Exponential",EXP(IF(AND(ISNUMBER('Council Entry'!AO$8),ISNUMBER('Council Entry'!AO$9)),MAX(MIN('Council Entry'!AO81,'Council Entry'!AO$9),'Council Entry'!AO$8),'Council Entry'!AO81)),IF(AND(ISNUMBER('Council Entry'!AO$8),ISNUMBER('Council Entry'!AO$9)),MAX(MIN('Council Entry'!AO81,'Council Entry'!AO$9),'Council Entry'!AO$8),'Council Entry'!AO81))))-'Council Entry'!AO$5)/('Council Entry'!AO$6-'Council Entry'!AO$5),10*((IF('Council Entry'!AO$4="Logarithm",LN(0.001+IF(AND(ISNUMBER('Council Entry'!AO$8),ISNUMBER('Council Entry'!AO$9)),MAX(MIN('Council Entry'!AO81,'Council Entry'!AO$9),'Council Entry'!AO$8),'Council Entry'!AO81)),IF('Council Entry'!AO$4="Exponential",EXP(IF(AND(ISNUMBER('Council Entry'!AO$8),ISNUMBER('Council Entry'!AO$9)),MAX(MIN('Council Entry'!AO81,'Council Entry'!AO$9),'Council Entry'!AO$8),'Council Entry'!AO81)),IF(AND(ISNUMBER('Council Entry'!AO$8),ISNUMBER('Council Entry'!AO$9)),MAX(MIN('Council Entry'!AO81,'Council Entry'!AO$9),'Council Entry'!AO$8),'Council Entry'!AO81))))-'Council Entry'!AO$5)/('Council Entry'!AO$6-'Council Entry'!AO$5)),1))),"No data"))</f>
        <v/>
      </c>
      <c r="AP81" s="13">
        <f>IF('Council Entry'!AP81="","",IFERROR(MAX(0,MIN(10,ROUND(IF('Council Entry'!AP$7="Decrease Risk",10-10*((IF('Council Entry'!AP$4="Logarithm",LN(0.001+IF(AND(ISNUMBER('Council Entry'!AP$8),ISNUMBER('Council Entry'!AP$9)),MAX(MIN('Council Entry'!AP81,'Council Entry'!AP$9),'Council Entry'!AP$8),'Council Entry'!AP81)),IF('Council Entry'!AP$4="Exponential",EXP(IF(AND(ISNUMBER('Council Entry'!AP$8),ISNUMBER('Council Entry'!AP$9)),MAX(MIN('Council Entry'!AP81,'Council Entry'!AP$9),'Council Entry'!AP$8),'Council Entry'!AP81)),IF(AND(ISNUMBER('Council Entry'!AP$8),ISNUMBER('Council Entry'!AP$9)),MAX(MIN('Council Entry'!AP81,'Council Entry'!AP$9),'Council Entry'!AP$8),'Council Entry'!AP81))))-'Council Entry'!AP$5)/('Council Entry'!AP$6-'Council Entry'!AP$5),10*((IF('Council Entry'!AP$4="Logarithm",LN(0.001+IF(AND(ISNUMBER('Council Entry'!AP$8),ISNUMBER('Council Entry'!AP$9)),MAX(MIN('Council Entry'!AP81,'Council Entry'!AP$9),'Council Entry'!AP$8),'Council Entry'!AP81)),IF('Council Entry'!AP$4="Exponential",EXP(IF(AND(ISNUMBER('Council Entry'!AP$8),ISNUMBER('Council Entry'!AP$9)),MAX(MIN('Council Entry'!AP81,'Council Entry'!AP$9),'Council Entry'!AP$8),'Council Entry'!AP81)),IF(AND(ISNUMBER('Council Entry'!AP$8),ISNUMBER('Council Entry'!AP$9)),MAX(MIN('Council Entry'!AP81,'Council Entry'!AP$9),'Council Entry'!AP$8),'Council Entry'!AP81))))-'Council Entry'!AP$5)/('Council Entry'!AP$6-'Council Entry'!AP$5)),1))),"No data"))</f>
        <v/>
      </c>
      <c r="AQ81" s="13">
        <f>IF('Council Entry'!AQ81="","",IFERROR(MAX(0,MIN(10,ROUND(IF('Council Entry'!AQ$7="Decrease Risk",10-10*((IF('Council Entry'!AQ$4="Logarithm",LN(0.001+IF(AND(ISNUMBER('Council Entry'!AQ$8),ISNUMBER('Council Entry'!AQ$9)),MAX(MIN('Council Entry'!AQ81,'Council Entry'!AQ$9),'Council Entry'!AQ$8),'Council Entry'!AQ81)),IF('Council Entry'!AQ$4="Exponential",EXP(IF(AND(ISNUMBER('Council Entry'!AQ$8),ISNUMBER('Council Entry'!AQ$9)),MAX(MIN('Council Entry'!AQ81,'Council Entry'!AQ$9),'Council Entry'!AQ$8),'Council Entry'!AQ81)),IF(AND(ISNUMBER('Council Entry'!AQ$8),ISNUMBER('Council Entry'!AQ$9)),MAX(MIN('Council Entry'!AQ81,'Council Entry'!AQ$9),'Council Entry'!AQ$8),'Council Entry'!AQ81))))-'Council Entry'!AQ$5)/('Council Entry'!AQ$6-'Council Entry'!AQ$5),10*((IF('Council Entry'!AQ$4="Logarithm",LN(0.001+IF(AND(ISNUMBER('Council Entry'!AQ$8),ISNUMBER('Council Entry'!AQ$9)),MAX(MIN('Council Entry'!AQ81,'Council Entry'!AQ$9),'Council Entry'!AQ$8),'Council Entry'!AQ81)),IF('Council Entry'!AQ$4="Exponential",EXP(IF(AND(ISNUMBER('Council Entry'!AQ$8),ISNUMBER('Council Entry'!AQ$9)),MAX(MIN('Council Entry'!AQ81,'Council Entry'!AQ$9),'Council Entry'!AQ$8),'Council Entry'!AQ81)),IF(AND(ISNUMBER('Council Entry'!AQ$8),ISNUMBER('Council Entry'!AQ$9)),MAX(MIN('Council Entry'!AQ81,'Council Entry'!AQ$9),'Council Entry'!AQ$8),'Council Entry'!AQ81))))-'Council Entry'!AQ$5)/('Council Entry'!AQ$6-'Council Entry'!AQ$5)),1))),"No data"))</f>
        <v/>
      </c>
      <c r="AR81" s="13">
        <f>IF('Council Entry'!AR81="","",IFERROR(MAX(0,MIN(10,ROUND(IF('Council Entry'!AR$7="Decrease Risk",10-10*((IF('Council Entry'!AR$4="Logarithm",LN(0.001+IF(AND(ISNUMBER('Council Entry'!AR$8),ISNUMBER('Council Entry'!AR$9)),MAX(MIN('Council Entry'!AR81,'Council Entry'!AR$9),'Council Entry'!AR$8),'Council Entry'!AR81)),IF('Council Entry'!AR$4="Exponential",EXP(IF(AND(ISNUMBER('Council Entry'!AR$8),ISNUMBER('Council Entry'!AR$9)),MAX(MIN('Council Entry'!AR81,'Council Entry'!AR$9),'Council Entry'!AR$8),'Council Entry'!AR81)),IF(AND(ISNUMBER('Council Entry'!AR$8),ISNUMBER('Council Entry'!AR$9)),MAX(MIN('Council Entry'!AR81,'Council Entry'!AR$9),'Council Entry'!AR$8),'Council Entry'!AR81))))-'Council Entry'!AR$5)/('Council Entry'!AR$6-'Council Entry'!AR$5),10*((IF('Council Entry'!AR$4="Logarithm",LN(0.001+IF(AND(ISNUMBER('Council Entry'!AR$8),ISNUMBER('Council Entry'!AR$9)),MAX(MIN('Council Entry'!AR81,'Council Entry'!AR$9),'Council Entry'!AR$8),'Council Entry'!AR81)),IF('Council Entry'!AR$4="Exponential",EXP(IF(AND(ISNUMBER('Council Entry'!AR$8),ISNUMBER('Council Entry'!AR$9)),MAX(MIN('Council Entry'!AR81,'Council Entry'!AR$9),'Council Entry'!AR$8),'Council Entry'!AR81)),IF(AND(ISNUMBER('Council Entry'!AR$8),ISNUMBER('Council Entry'!AR$9)),MAX(MIN('Council Entry'!AR81,'Council Entry'!AR$9),'Council Entry'!AR$8),'Council Entry'!AR81))))-'Council Entry'!AR$5)/('Council Entry'!AR$6-'Council Entry'!AR$5)),1))),"No data"))</f>
        <v/>
      </c>
      <c r="AS81" s="13">
        <f>IF('Council Entry'!AS81="","",IFERROR(MAX(0,MIN(10,ROUND(IF('Council Entry'!AS$7="Decrease Risk",10-10*((IF('Council Entry'!AS$4="Logarithm",LN(0.001+IF(AND(ISNUMBER('Council Entry'!AS$8),ISNUMBER('Council Entry'!AS$9)),MAX(MIN('Council Entry'!AS81,'Council Entry'!AS$9),'Council Entry'!AS$8),'Council Entry'!AS81)),IF('Council Entry'!AS$4="Exponential",EXP(IF(AND(ISNUMBER('Council Entry'!AS$8),ISNUMBER('Council Entry'!AS$9)),MAX(MIN('Council Entry'!AS81,'Council Entry'!AS$9),'Council Entry'!AS$8),'Council Entry'!AS81)),IF(AND(ISNUMBER('Council Entry'!AS$8),ISNUMBER('Council Entry'!AS$9)),MAX(MIN('Council Entry'!AS81,'Council Entry'!AS$9),'Council Entry'!AS$8),'Council Entry'!AS81))))-'Council Entry'!AS$5)/('Council Entry'!AS$6-'Council Entry'!AS$5),10*((IF('Council Entry'!AS$4="Logarithm",LN(0.001+IF(AND(ISNUMBER('Council Entry'!AS$8),ISNUMBER('Council Entry'!AS$9)),MAX(MIN('Council Entry'!AS81,'Council Entry'!AS$9),'Council Entry'!AS$8),'Council Entry'!AS81)),IF('Council Entry'!AS$4="Exponential",EXP(IF(AND(ISNUMBER('Council Entry'!AS$8),ISNUMBER('Council Entry'!AS$9)),MAX(MIN('Council Entry'!AS81,'Council Entry'!AS$9),'Council Entry'!AS$8),'Council Entry'!AS81)),IF(AND(ISNUMBER('Council Entry'!AS$8),ISNUMBER('Council Entry'!AS$9)),MAX(MIN('Council Entry'!AS81,'Council Entry'!AS$9),'Council Entry'!AS$8),'Council Entry'!AS81))))-'Council Entry'!AS$5)/('Council Entry'!AS$6-'Council Entry'!AS$5)),1))),"No data"))</f>
        <v/>
      </c>
      <c r="AT81" s="13">
        <f>IF('Council Entry'!AT81="","",IFERROR(MAX(0,MIN(10,ROUND(IF('Council Entry'!AT$7="Decrease Risk",10-10*((IF('Council Entry'!AT$4="Logarithm",LN(0.001+IF(AND(ISNUMBER('Council Entry'!AT$8),ISNUMBER('Council Entry'!AT$9)),MAX(MIN('Council Entry'!AT81,'Council Entry'!AT$9),'Council Entry'!AT$8),'Council Entry'!AT81)),IF('Council Entry'!AT$4="Exponential",EXP(IF(AND(ISNUMBER('Council Entry'!AT$8),ISNUMBER('Council Entry'!AT$9)),MAX(MIN('Council Entry'!AT81,'Council Entry'!AT$9),'Council Entry'!AT$8),'Council Entry'!AT81)),IF(AND(ISNUMBER('Council Entry'!AT$8),ISNUMBER('Council Entry'!AT$9)),MAX(MIN('Council Entry'!AT81,'Council Entry'!AT$9),'Council Entry'!AT$8),'Council Entry'!AT81))))-'Council Entry'!AT$5)/('Council Entry'!AT$6-'Council Entry'!AT$5),10*((IF('Council Entry'!AT$4="Logarithm",LN(0.001+IF(AND(ISNUMBER('Council Entry'!AT$8),ISNUMBER('Council Entry'!AT$9)),MAX(MIN('Council Entry'!AT81,'Council Entry'!AT$9),'Council Entry'!AT$8),'Council Entry'!AT81)),IF('Council Entry'!AT$4="Exponential",EXP(IF(AND(ISNUMBER('Council Entry'!AT$8),ISNUMBER('Council Entry'!AT$9)),MAX(MIN('Council Entry'!AT81,'Council Entry'!AT$9),'Council Entry'!AT$8),'Council Entry'!AT81)),IF(AND(ISNUMBER('Council Entry'!AT$8),ISNUMBER('Council Entry'!AT$9)),MAX(MIN('Council Entry'!AT81,'Council Entry'!AT$9),'Council Entry'!AT$8),'Council Entry'!AT81))))-'Council Entry'!AT$5)/('Council Entry'!AT$6-'Council Entry'!AT$5)),1))),"No data"))</f>
        <v/>
      </c>
      <c r="AU81" s="13">
        <f>IF('Council Entry'!AU81="","",IFERROR(MAX(0,MIN(10,ROUND(IF('Council Entry'!AU$7="Decrease Risk",10-10*((IF('Council Entry'!AU$4="Logarithm",LN(0.001+IF(AND(ISNUMBER('Council Entry'!AU$8),ISNUMBER('Council Entry'!AU$9)),MAX(MIN('Council Entry'!AU81,'Council Entry'!AU$9),'Council Entry'!AU$8),'Council Entry'!AU81)),IF('Council Entry'!AU$4="Exponential",EXP(IF(AND(ISNUMBER('Council Entry'!AU$8),ISNUMBER('Council Entry'!AU$9)),MAX(MIN('Council Entry'!AU81,'Council Entry'!AU$9),'Council Entry'!AU$8),'Council Entry'!AU81)),IF(AND(ISNUMBER('Council Entry'!AU$8),ISNUMBER('Council Entry'!AU$9)),MAX(MIN('Council Entry'!AU81,'Council Entry'!AU$9),'Council Entry'!AU$8),'Council Entry'!AU81))))-'Council Entry'!AU$5)/('Council Entry'!AU$6-'Council Entry'!AU$5),10*((IF('Council Entry'!AU$4="Logarithm",LN(0.001+IF(AND(ISNUMBER('Council Entry'!AU$8),ISNUMBER('Council Entry'!AU$9)),MAX(MIN('Council Entry'!AU81,'Council Entry'!AU$9),'Council Entry'!AU$8),'Council Entry'!AU81)),IF('Council Entry'!AU$4="Exponential",EXP(IF(AND(ISNUMBER('Council Entry'!AU$8),ISNUMBER('Council Entry'!AU$9)),MAX(MIN('Council Entry'!AU81,'Council Entry'!AU$9),'Council Entry'!AU$8),'Council Entry'!AU81)),IF(AND(ISNUMBER('Council Entry'!AU$8),ISNUMBER('Council Entry'!AU$9)),MAX(MIN('Council Entry'!AU81,'Council Entry'!AU$9),'Council Entry'!AU$8),'Council Entry'!AU81))))-'Council Entry'!AU$5)/('Council Entry'!AU$6-'Council Entry'!AU$5)),1))),"No data"))</f>
        <v/>
      </c>
      <c r="AV81" s="13">
        <f>IF('Council Entry'!AV81="","",IFERROR(MAX(0,MIN(10,ROUND(IF('Council Entry'!AV$7="Decrease Risk",10-10*((IF('Council Entry'!AV$4="Logarithm",LN(0.001+IF(AND(ISNUMBER('Council Entry'!AV$8),ISNUMBER('Council Entry'!AV$9)),MAX(MIN('Council Entry'!AV81,'Council Entry'!AV$9),'Council Entry'!AV$8),'Council Entry'!AV81)),IF('Council Entry'!AV$4="Exponential",EXP(IF(AND(ISNUMBER('Council Entry'!AV$8),ISNUMBER('Council Entry'!AV$9)),MAX(MIN('Council Entry'!AV81,'Council Entry'!AV$9),'Council Entry'!AV$8),'Council Entry'!AV81)),IF(AND(ISNUMBER('Council Entry'!AV$8),ISNUMBER('Council Entry'!AV$9)),MAX(MIN('Council Entry'!AV81,'Council Entry'!AV$9),'Council Entry'!AV$8),'Council Entry'!AV81))))-'Council Entry'!AV$5)/('Council Entry'!AV$6-'Council Entry'!AV$5),10*((IF('Council Entry'!AV$4="Logarithm",LN(0.001+IF(AND(ISNUMBER('Council Entry'!AV$8),ISNUMBER('Council Entry'!AV$9)),MAX(MIN('Council Entry'!AV81,'Council Entry'!AV$9),'Council Entry'!AV$8),'Council Entry'!AV81)),IF('Council Entry'!AV$4="Exponential",EXP(IF(AND(ISNUMBER('Council Entry'!AV$8),ISNUMBER('Council Entry'!AV$9)),MAX(MIN('Council Entry'!AV81,'Council Entry'!AV$9),'Council Entry'!AV$8),'Council Entry'!AV81)),IF(AND(ISNUMBER('Council Entry'!AV$8),ISNUMBER('Council Entry'!AV$9)),MAX(MIN('Council Entry'!AV81,'Council Entry'!AV$9),'Council Entry'!AV$8),'Council Entry'!AV81))))-'Council Entry'!AV$5)/('Council Entry'!AV$6-'Council Entry'!AV$5)),1))),"No data"))</f>
        <v/>
      </c>
      <c r="AW81" s="13">
        <f>IF('Council Entry'!AW81="","",IFERROR(MAX(0,MIN(10,ROUND(IF('Council Entry'!AW$7="Decrease Risk",10-10*((IF('Council Entry'!AW$4="Logarithm",LN(0.001+IF(AND(ISNUMBER('Council Entry'!AW$8),ISNUMBER('Council Entry'!AW$9)),MAX(MIN('Council Entry'!AW81,'Council Entry'!AW$9),'Council Entry'!AW$8),'Council Entry'!AW81)),IF('Council Entry'!AW$4="Exponential",EXP(IF(AND(ISNUMBER('Council Entry'!AW$8),ISNUMBER('Council Entry'!AW$9)),MAX(MIN('Council Entry'!AW81,'Council Entry'!AW$9),'Council Entry'!AW$8),'Council Entry'!AW81)),IF(AND(ISNUMBER('Council Entry'!AW$8),ISNUMBER('Council Entry'!AW$9)),MAX(MIN('Council Entry'!AW81,'Council Entry'!AW$9),'Council Entry'!AW$8),'Council Entry'!AW81))))-'Council Entry'!AW$5)/('Council Entry'!AW$6-'Council Entry'!AW$5),10*((IF('Council Entry'!AW$4="Logarithm",LN(0.001+IF(AND(ISNUMBER('Council Entry'!AW$8),ISNUMBER('Council Entry'!AW$9)),MAX(MIN('Council Entry'!AW81,'Council Entry'!AW$9),'Council Entry'!AW$8),'Council Entry'!AW81)),IF('Council Entry'!AW$4="Exponential",EXP(IF(AND(ISNUMBER('Council Entry'!AW$8),ISNUMBER('Council Entry'!AW$9)),MAX(MIN('Council Entry'!AW81,'Council Entry'!AW$9),'Council Entry'!AW$8),'Council Entry'!AW81)),IF(AND(ISNUMBER('Council Entry'!AW$8),ISNUMBER('Council Entry'!AW$9)),MAX(MIN('Council Entry'!AW81,'Council Entry'!AW$9),'Council Entry'!AW$8),'Council Entry'!AW81))))-'Council Entry'!AW$5)/('Council Entry'!AW$6-'Council Entry'!AW$5)),1))),"No data"))</f>
        <v/>
      </c>
      <c r="AX81" s="13">
        <f>IF('Council Entry'!AX81="","",IFERROR(MAX(0,MIN(10,ROUND(IF('Council Entry'!AX$7="Decrease Risk",10-10*((IF('Council Entry'!AX$4="Logarithm",LN(0.001+IF(AND(ISNUMBER('Council Entry'!AX$8),ISNUMBER('Council Entry'!AX$9)),MAX(MIN('Council Entry'!AX81,'Council Entry'!AX$9),'Council Entry'!AX$8),'Council Entry'!AX81)),IF('Council Entry'!AX$4="Exponential",EXP(IF(AND(ISNUMBER('Council Entry'!AX$8),ISNUMBER('Council Entry'!AX$9)),MAX(MIN('Council Entry'!AX81,'Council Entry'!AX$9),'Council Entry'!AX$8),'Council Entry'!AX81)),IF(AND(ISNUMBER('Council Entry'!AX$8),ISNUMBER('Council Entry'!AX$9)),MAX(MIN('Council Entry'!AX81,'Council Entry'!AX$9),'Council Entry'!AX$8),'Council Entry'!AX81))))-'Council Entry'!AX$5)/('Council Entry'!AX$6-'Council Entry'!AX$5),10*((IF('Council Entry'!AX$4="Logarithm",LN(0.001+IF(AND(ISNUMBER('Council Entry'!AX$8),ISNUMBER('Council Entry'!AX$9)),MAX(MIN('Council Entry'!AX81,'Council Entry'!AX$9),'Council Entry'!AX$8),'Council Entry'!AX81)),IF('Council Entry'!AX$4="Exponential",EXP(IF(AND(ISNUMBER('Council Entry'!AX$8),ISNUMBER('Council Entry'!AX$9)),MAX(MIN('Council Entry'!AX81,'Council Entry'!AX$9),'Council Entry'!AX$8),'Council Entry'!AX81)),IF(AND(ISNUMBER('Council Entry'!AX$8),ISNUMBER('Council Entry'!AX$9)),MAX(MIN('Council Entry'!AX81,'Council Entry'!AX$9),'Council Entry'!AX$8),'Council Entry'!AX81))))-'Council Entry'!AX$5)/('Council Entry'!AX$6-'Council Entry'!AX$5)),1))),"No data"))</f>
        <v/>
      </c>
      <c r="AY81" s="13">
        <f>IF('Council Entry'!AY81="","",IFERROR(MAX(0,MIN(10,ROUND(IF('Council Entry'!AY$7="Decrease Risk",10-10*((IF('Council Entry'!AY$4="Logarithm",LN(0.001+IF(AND(ISNUMBER('Council Entry'!AY$8),ISNUMBER('Council Entry'!AY$9)),MAX(MIN('Council Entry'!AY81,'Council Entry'!AY$9),'Council Entry'!AY$8),'Council Entry'!AY81)),IF('Council Entry'!AY$4="Exponential",EXP(IF(AND(ISNUMBER('Council Entry'!AY$8),ISNUMBER('Council Entry'!AY$9)),MAX(MIN('Council Entry'!AY81,'Council Entry'!AY$9),'Council Entry'!AY$8),'Council Entry'!AY81)),IF(AND(ISNUMBER('Council Entry'!AY$8),ISNUMBER('Council Entry'!AY$9)),MAX(MIN('Council Entry'!AY81,'Council Entry'!AY$9),'Council Entry'!AY$8),'Council Entry'!AY81))))-'Council Entry'!AY$5)/('Council Entry'!AY$6-'Council Entry'!AY$5),10*((IF('Council Entry'!AY$4="Logarithm",LN(0.001+IF(AND(ISNUMBER('Council Entry'!AY$8),ISNUMBER('Council Entry'!AY$9)),MAX(MIN('Council Entry'!AY81,'Council Entry'!AY$9),'Council Entry'!AY$8),'Council Entry'!AY81)),IF('Council Entry'!AY$4="Exponential",EXP(IF(AND(ISNUMBER('Council Entry'!AY$8),ISNUMBER('Council Entry'!AY$9)),MAX(MIN('Council Entry'!AY81,'Council Entry'!AY$9),'Council Entry'!AY$8),'Council Entry'!AY81)),IF(AND(ISNUMBER('Council Entry'!AY$8),ISNUMBER('Council Entry'!AY$9)),MAX(MIN('Council Entry'!AY81,'Council Entry'!AY$9),'Council Entry'!AY$8),'Council Entry'!AY81))))-'Council Entry'!AY$5)/('Council Entry'!AY$6-'Council Entry'!AY$5)),1))),"No data"))</f>
        <v/>
      </c>
      <c r="AZ81" s="13">
        <f>IF('Council Entry'!AZ81="","",IFERROR(MAX(0,MIN(10,ROUND(IF('Council Entry'!AZ$7="Decrease Risk",10-10*((IF('Council Entry'!AZ$4="Logarithm",LN(0.001+IF(AND(ISNUMBER('Council Entry'!AZ$8),ISNUMBER('Council Entry'!AZ$9)),MAX(MIN('Council Entry'!AZ81,'Council Entry'!AZ$9),'Council Entry'!AZ$8),'Council Entry'!AZ81)),IF('Council Entry'!AZ$4="Exponential",EXP(IF(AND(ISNUMBER('Council Entry'!AZ$8),ISNUMBER('Council Entry'!AZ$9)),MAX(MIN('Council Entry'!AZ81,'Council Entry'!AZ$9),'Council Entry'!AZ$8),'Council Entry'!AZ81)),IF(AND(ISNUMBER('Council Entry'!AZ$8),ISNUMBER('Council Entry'!AZ$9)),MAX(MIN('Council Entry'!AZ81,'Council Entry'!AZ$9),'Council Entry'!AZ$8),'Council Entry'!AZ81))))-'Council Entry'!AZ$5)/('Council Entry'!AZ$6-'Council Entry'!AZ$5),10*((IF('Council Entry'!AZ$4="Logarithm",LN(0.001+IF(AND(ISNUMBER('Council Entry'!AZ$8),ISNUMBER('Council Entry'!AZ$9)),MAX(MIN('Council Entry'!AZ81,'Council Entry'!AZ$9),'Council Entry'!AZ$8),'Council Entry'!AZ81)),IF('Council Entry'!AZ$4="Exponential",EXP(IF(AND(ISNUMBER('Council Entry'!AZ$8),ISNUMBER('Council Entry'!AZ$9)),MAX(MIN('Council Entry'!AZ81,'Council Entry'!AZ$9),'Council Entry'!AZ$8),'Council Entry'!AZ81)),IF(AND(ISNUMBER('Council Entry'!AZ$8),ISNUMBER('Council Entry'!AZ$9)),MAX(MIN('Council Entry'!AZ81,'Council Entry'!AZ$9),'Council Entry'!AZ$8),'Council Entry'!AZ81))))-'Council Entry'!AZ$5)/('Council Entry'!AZ$6-'Council Entry'!AZ$5)),1))),"No data"))</f>
        <v/>
      </c>
      <c r="BA81" s="13">
        <f>IF('Council Entry'!BA81="","",IFERROR(MAX(0,MIN(10,ROUND(IF('Council Entry'!BA$7="Decrease Risk",10-10*((IF('Council Entry'!BA$4="Logarithm",LN(0.001+IF(AND(ISNUMBER('Council Entry'!BA$8),ISNUMBER('Council Entry'!BA$9)),MAX(MIN('Council Entry'!BA81,'Council Entry'!BA$9),'Council Entry'!BA$8),'Council Entry'!BA81)),IF('Council Entry'!BA$4="Exponential",EXP(IF(AND(ISNUMBER('Council Entry'!BA$8),ISNUMBER('Council Entry'!BA$9)),MAX(MIN('Council Entry'!BA81,'Council Entry'!BA$9),'Council Entry'!BA$8),'Council Entry'!BA81)),IF(AND(ISNUMBER('Council Entry'!BA$8),ISNUMBER('Council Entry'!BA$9)),MAX(MIN('Council Entry'!BA81,'Council Entry'!BA$9),'Council Entry'!BA$8),'Council Entry'!BA81))))-'Council Entry'!BA$5)/('Council Entry'!BA$6-'Council Entry'!BA$5),10*((IF('Council Entry'!BA$4="Logarithm",LN(0.001+IF(AND(ISNUMBER('Council Entry'!BA$8),ISNUMBER('Council Entry'!BA$9)),MAX(MIN('Council Entry'!BA81,'Council Entry'!BA$9),'Council Entry'!BA$8),'Council Entry'!BA81)),IF('Council Entry'!BA$4="Exponential",EXP(IF(AND(ISNUMBER('Council Entry'!BA$8),ISNUMBER('Council Entry'!BA$9)),MAX(MIN('Council Entry'!BA81,'Council Entry'!BA$9),'Council Entry'!BA$8),'Council Entry'!BA81)),IF(AND(ISNUMBER('Council Entry'!BA$8),ISNUMBER('Council Entry'!BA$9)),MAX(MIN('Council Entry'!BA81,'Council Entry'!BA$9),'Council Entry'!BA$8),'Council Entry'!BA81))))-'Council Entry'!BA$5)/('Council Entry'!BA$6-'Council Entry'!BA$5)),1))),"No data"))</f>
        <v/>
      </c>
      <c r="BB81" s="13">
        <f>IF('Council Entry'!BB81="","",IFERROR(MAX(0,MIN(10,ROUND(IF('Council Entry'!BB$7="Decrease Risk",10-10*((IF('Council Entry'!BB$4="Logarithm",LN(0.001+IF(AND(ISNUMBER('Council Entry'!BB$8),ISNUMBER('Council Entry'!BB$9)),MAX(MIN('Council Entry'!BB81,'Council Entry'!BB$9),'Council Entry'!BB$8),'Council Entry'!BB81)),IF('Council Entry'!BB$4="Exponential",EXP(IF(AND(ISNUMBER('Council Entry'!BB$8),ISNUMBER('Council Entry'!BB$9)),MAX(MIN('Council Entry'!BB81,'Council Entry'!BB$9),'Council Entry'!BB$8),'Council Entry'!BB81)),IF(AND(ISNUMBER('Council Entry'!BB$8),ISNUMBER('Council Entry'!BB$9)),MAX(MIN('Council Entry'!BB81,'Council Entry'!BB$9),'Council Entry'!BB$8),'Council Entry'!BB81))))-'Council Entry'!BB$5)/('Council Entry'!BB$6-'Council Entry'!BB$5),10*((IF('Council Entry'!BB$4="Logarithm",LN(0.001+IF(AND(ISNUMBER('Council Entry'!BB$8),ISNUMBER('Council Entry'!BB$9)),MAX(MIN('Council Entry'!BB81,'Council Entry'!BB$9),'Council Entry'!BB$8),'Council Entry'!BB81)),IF('Council Entry'!BB$4="Exponential",EXP(IF(AND(ISNUMBER('Council Entry'!BB$8),ISNUMBER('Council Entry'!BB$9)),MAX(MIN('Council Entry'!BB81,'Council Entry'!BB$9),'Council Entry'!BB$8),'Council Entry'!BB81)),IF(AND(ISNUMBER('Council Entry'!BB$8),ISNUMBER('Council Entry'!BB$9)),MAX(MIN('Council Entry'!BB81,'Council Entry'!BB$9),'Council Entry'!BB$8),'Council Entry'!BB81))))-'Council Entry'!BB$5)/('Council Entry'!BB$6-'Council Entry'!BB$5)),1))),"No data"))</f>
        <v/>
      </c>
      <c r="BC81" s="13">
        <f>IF('Council Entry'!BC81="","",IFERROR(MAX(0,MIN(10,ROUND(IF('Council Entry'!BC$7="Decrease Risk",10-10*((IF('Council Entry'!BC$4="Logarithm",LN(0.001+IF(AND(ISNUMBER('Council Entry'!BC$8),ISNUMBER('Council Entry'!BC$9)),MAX(MIN('Council Entry'!BC81,'Council Entry'!BC$9),'Council Entry'!BC$8),'Council Entry'!BC81)),IF('Council Entry'!BC$4="Exponential",EXP(IF(AND(ISNUMBER('Council Entry'!BC$8),ISNUMBER('Council Entry'!BC$9)),MAX(MIN('Council Entry'!BC81,'Council Entry'!BC$9),'Council Entry'!BC$8),'Council Entry'!BC81)),IF(AND(ISNUMBER('Council Entry'!BC$8),ISNUMBER('Council Entry'!BC$9)),MAX(MIN('Council Entry'!BC81,'Council Entry'!BC$9),'Council Entry'!BC$8),'Council Entry'!BC81))))-'Council Entry'!BC$5)/('Council Entry'!BC$6-'Council Entry'!BC$5),10*((IF('Council Entry'!BC$4="Logarithm",LN(0.001+IF(AND(ISNUMBER('Council Entry'!BC$8),ISNUMBER('Council Entry'!BC$9)),MAX(MIN('Council Entry'!BC81,'Council Entry'!BC$9),'Council Entry'!BC$8),'Council Entry'!BC81)),IF('Council Entry'!BC$4="Exponential",EXP(IF(AND(ISNUMBER('Council Entry'!BC$8),ISNUMBER('Council Entry'!BC$9)),MAX(MIN('Council Entry'!BC81,'Council Entry'!BC$9),'Council Entry'!BC$8),'Council Entry'!BC81)),IF(AND(ISNUMBER('Council Entry'!BC$8),ISNUMBER('Council Entry'!BC$9)),MAX(MIN('Council Entry'!BC81,'Council Entry'!BC$9),'Council Entry'!BC$8),'Council Entry'!BC81))))-'Council Entry'!BC$5)/('Council Entry'!BC$6-'Council Entry'!BC$5)),1))),"No data"))</f>
        <v/>
      </c>
      <c r="BD81" s="13">
        <f>IF('Council Entry'!BD81="","",IFERROR(MAX(0,MIN(10,ROUND(IF('Council Entry'!BD$7="Decrease Risk",10-10*((IF('Council Entry'!BD$4="Logarithm",LN(0.001+IF(AND(ISNUMBER('Council Entry'!BD$8),ISNUMBER('Council Entry'!BD$9)),MAX(MIN('Council Entry'!BD81,'Council Entry'!BD$9),'Council Entry'!BD$8),'Council Entry'!BD81)),IF('Council Entry'!BD$4="Exponential",EXP(IF(AND(ISNUMBER('Council Entry'!BD$8),ISNUMBER('Council Entry'!BD$9)),MAX(MIN('Council Entry'!BD81,'Council Entry'!BD$9),'Council Entry'!BD$8),'Council Entry'!BD81)),IF(AND(ISNUMBER('Council Entry'!BD$8),ISNUMBER('Council Entry'!BD$9)),MAX(MIN('Council Entry'!BD81,'Council Entry'!BD$9),'Council Entry'!BD$8),'Council Entry'!BD81))))-'Council Entry'!BD$5)/('Council Entry'!BD$6-'Council Entry'!BD$5),10*((IF('Council Entry'!BD$4="Logarithm",LN(0.001+IF(AND(ISNUMBER('Council Entry'!BD$8),ISNUMBER('Council Entry'!BD$9)),MAX(MIN('Council Entry'!BD81,'Council Entry'!BD$9),'Council Entry'!BD$8),'Council Entry'!BD81)),IF('Council Entry'!BD$4="Exponential",EXP(IF(AND(ISNUMBER('Council Entry'!BD$8),ISNUMBER('Council Entry'!BD$9)),MAX(MIN('Council Entry'!BD81,'Council Entry'!BD$9),'Council Entry'!BD$8),'Council Entry'!BD81)),IF(AND(ISNUMBER('Council Entry'!BD$8),ISNUMBER('Council Entry'!BD$9)),MAX(MIN('Council Entry'!BD81,'Council Entry'!BD$9),'Council Entry'!BD$8),'Council Entry'!BD81))))-'Council Entry'!BD$5)/('Council Entry'!BD$6-'Council Entry'!BD$5)),1))),"No data"))</f>
        <v/>
      </c>
    </row>
    <row r="82">
      <c r="A82" t="inlineStr">
        <is>
          <t>Lindi</t>
        </is>
      </c>
      <c r="B82" t="inlineStr">
        <is>
          <t>Nachingwea District</t>
        </is>
      </c>
      <c r="C82" t="inlineStr">
        <is>
          <t>C060</t>
        </is>
      </c>
      <c r="D82" s="13">
        <f>IF('Council Entry'!D82="","",IFERROR(MAX(0,MIN(10,ROUND(IF('Council Entry'!D$7="Decrease Risk",10-10*((IF('Council Entry'!D$4="Logarithm",LN(0.001+IF(AND(ISNUMBER('Council Entry'!D$8),ISNUMBER('Council Entry'!D$9)),MAX(MIN('Council Entry'!D82,'Council Entry'!D$9),'Council Entry'!D$8),'Council Entry'!D82)),IF('Council Entry'!D$4="Exponential",EXP(IF(AND(ISNUMBER('Council Entry'!D$8),ISNUMBER('Council Entry'!D$9)),MAX(MIN('Council Entry'!D82,'Council Entry'!D$9),'Council Entry'!D$8),'Council Entry'!D82)),IF(AND(ISNUMBER('Council Entry'!D$8),ISNUMBER('Council Entry'!D$9)),MAX(MIN('Council Entry'!D82,'Council Entry'!D$9),'Council Entry'!D$8),'Council Entry'!D82))))-'Council Entry'!D$5)/('Council Entry'!D$6-'Council Entry'!D$5),10*((IF('Council Entry'!D$4="Logarithm",LN(0.001+IF(AND(ISNUMBER('Council Entry'!D$8),ISNUMBER('Council Entry'!D$9)),MAX(MIN('Council Entry'!D82,'Council Entry'!D$9),'Council Entry'!D$8),'Council Entry'!D82)),IF('Council Entry'!D$4="Exponential",EXP(IF(AND(ISNUMBER('Council Entry'!D$8),ISNUMBER('Council Entry'!D$9)),MAX(MIN('Council Entry'!D82,'Council Entry'!D$9),'Council Entry'!D$8),'Council Entry'!D82)),IF(AND(ISNUMBER('Council Entry'!D$8),ISNUMBER('Council Entry'!D$9)),MAX(MIN('Council Entry'!D82,'Council Entry'!D$9),'Council Entry'!D$8),'Council Entry'!D82))))-'Council Entry'!D$5)/('Council Entry'!D$6-'Council Entry'!D$5)),1))),"No data"))</f>
        <v/>
      </c>
      <c r="E82" s="13">
        <f>IF('Council Entry'!E82="","",IFERROR(MAX(0,MIN(10,ROUND(IF('Council Entry'!E$7="Decrease Risk",10-10*((IF('Council Entry'!E$4="Logarithm",LN(0.001+IF(AND(ISNUMBER('Council Entry'!E$8),ISNUMBER('Council Entry'!E$9)),MAX(MIN('Council Entry'!E82,'Council Entry'!E$9),'Council Entry'!E$8),'Council Entry'!E82)),IF('Council Entry'!E$4="Exponential",EXP(IF(AND(ISNUMBER('Council Entry'!E$8),ISNUMBER('Council Entry'!E$9)),MAX(MIN('Council Entry'!E82,'Council Entry'!E$9),'Council Entry'!E$8),'Council Entry'!E82)),IF(AND(ISNUMBER('Council Entry'!E$8),ISNUMBER('Council Entry'!E$9)),MAX(MIN('Council Entry'!E82,'Council Entry'!E$9),'Council Entry'!E$8),'Council Entry'!E82))))-'Council Entry'!E$5)/('Council Entry'!E$6-'Council Entry'!E$5),10*((IF('Council Entry'!E$4="Logarithm",LN(0.001+IF(AND(ISNUMBER('Council Entry'!E$8),ISNUMBER('Council Entry'!E$9)),MAX(MIN('Council Entry'!E82,'Council Entry'!E$9),'Council Entry'!E$8),'Council Entry'!E82)),IF('Council Entry'!E$4="Exponential",EXP(IF(AND(ISNUMBER('Council Entry'!E$8),ISNUMBER('Council Entry'!E$9)),MAX(MIN('Council Entry'!E82,'Council Entry'!E$9),'Council Entry'!E$8),'Council Entry'!E82)),IF(AND(ISNUMBER('Council Entry'!E$8),ISNUMBER('Council Entry'!E$9)),MAX(MIN('Council Entry'!E82,'Council Entry'!E$9),'Council Entry'!E$8),'Council Entry'!E82))))-'Council Entry'!E$5)/('Council Entry'!E$6-'Council Entry'!E$5)),1))),"No data"))</f>
        <v/>
      </c>
      <c r="F82" s="13">
        <f>IF('Council Entry'!F82="","",IFERROR(MAX(0,MIN(10,ROUND(IF('Council Entry'!F$7="Decrease Risk",10-10*((IF('Council Entry'!F$4="Logarithm",LN(0.001+IF(AND(ISNUMBER('Council Entry'!F$8),ISNUMBER('Council Entry'!F$9)),MAX(MIN('Council Entry'!F82,'Council Entry'!F$9),'Council Entry'!F$8),'Council Entry'!F82)),IF('Council Entry'!F$4="Exponential",EXP(IF(AND(ISNUMBER('Council Entry'!F$8),ISNUMBER('Council Entry'!F$9)),MAX(MIN('Council Entry'!F82,'Council Entry'!F$9),'Council Entry'!F$8),'Council Entry'!F82)),IF(AND(ISNUMBER('Council Entry'!F$8),ISNUMBER('Council Entry'!F$9)),MAX(MIN('Council Entry'!F82,'Council Entry'!F$9),'Council Entry'!F$8),'Council Entry'!F82))))-'Council Entry'!F$5)/('Council Entry'!F$6-'Council Entry'!F$5),10*((IF('Council Entry'!F$4="Logarithm",LN(0.001+IF(AND(ISNUMBER('Council Entry'!F$8),ISNUMBER('Council Entry'!F$9)),MAX(MIN('Council Entry'!F82,'Council Entry'!F$9),'Council Entry'!F$8),'Council Entry'!F82)),IF('Council Entry'!F$4="Exponential",EXP(IF(AND(ISNUMBER('Council Entry'!F$8),ISNUMBER('Council Entry'!F$9)),MAX(MIN('Council Entry'!F82,'Council Entry'!F$9),'Council Entry'!F$8),'Council Entry'!F82)),IF(AND(ISNUMBER('Council Entry'!F$8),ISNUMBER('Council Entry'!F$9)),MAX(MIN('Council Entry'!F82,'Council Entry'!F$9),'Council Entry'!F$8),'Council Entry'!F82))))-'Council Entry'!F$5)/('Council Entry'!F$6-'Council Entry'!F$5)),1))),"No data"))</f>
        <v/>
      </c>
      <c r="G82" s="13">
        <f>IF('Council Entry'!G82="","",IFERROR(MAX(0,MIN(10,ROUND(IF('Council Entry'!G$7="Decrease Risk",10-10*((IF('Council Entry'!G$4="Logarithm",LN(0.001+IF(AND(ISNUMBER('Council Entry'!G$8),ISNUMBER('Council Entry'!G$9)),MAX(MIN('Council Entry'!G82,'Council Entry'!G$9),'Council Entry'!G$8),'Council Entry'!G82)),IF('Council Entry'!G$4="Exponential",EXP(IF(AND(ISNUMBER('Council Entry'!G$8),ISNUMBER('Council Entry'!G$9)),MAX(MIN('Council Entry'!G82,'Council Entry'!G$9),'Council Entry'!G$8),'Council Entry'!G82)),IF(AND(ISNUMBER('Council Entry'!G$8),ISNUMBER('Council Entry'!G$9)),MAX(MIN('Council Entry'!G82,'Council Entry'!G$9),'Council Entry'!G$8),'Council Entry'!G82))))-'Council Entry'!G$5)/('Council Entry'!G$6-'Council Entry'!G$5),10*((IF('Council Entry'!G$4="Logarithm",LN(0.001+IF(AND(ISNUMBER('Council Entry'!G$8),ISNUMBER('Council Entry'!G$9)),MAX(MIN('Council Entry'!G82,'Council Entry'!G$9),'Council Entry'!G$8),'Council Entry'!G82)),IF('Council Entry'!G$4="Exponential",EXP(IF(AND(ISNUMBER('Council Entry'!G$8),ISNUMBER('Council Entry'!G$9)),MAX(MIN('Council Entry'!G82,'Council Entry'!G$9),'Council Entry'!G$8),'Council Entry'!G82)),IF(AND(ISNUMBER('Council Entry'!G$8),ISNUMBER('Council Entry'!G$9)),MAX(MIN('Council Entry'!G82,'Council Entry'!G$9),'Council Entry'!G$8),'Council Entry'!G82))))-'Council Entry'!G$5)/('Council Entry'!G$6-'Council Entry'!G$5)),1))),"No data"))</f>
        <v/>
      </c>
      <c r="H82" s="13">
        <f>IF('Council Entry'!H82="","",IFERROR(MAX(0,MIN(10,ROUND(IF('Council Entry'!H$7="Decrease Risk",10-10*((IF('Council Entry'!H$4="Logarithm",LN(0.001+IF(AND(ISNUMBER('Council Entry'!H$8),ISNUMBER('Council Entry'!H$9)),MAX(MIN('Council Entry'!H82,'Council Entry'!H$9),'Council Entry'!H$8),'Council Entry'!H82)),IF('Council Entry'!H$4="Exponential",EXP(IF(AND(ISNUMBER('Council Entry'!H$8),ISNUMBER('Council Entry'!H$9)),MAX(MIN('Council Entry'!H82,'Council Entry'!H$9),'Council Entry'!H$8),'Council Entry'!H82)),IF(AND(ISNUMBER('Council Entry'!H$8),ISNUMBER('Council Entry'!H$9)),MAX(MIN('Council Entry'!H82,'Council Entry'!H$9),'Council Entry'!H$8),'Council Entry'!H82))))-'Council Entry'!H$5)/('Council Entry'!H$6-'Council Entry'!H$5),10*((IF('Council Entry'!H$4="Logarithm",LN(0.001+IF(AND(ISNUMBER('Council Entry'!H$8),ISNUMBER('Council Entry'!H$9)),MAX(MIN('Council Entry'!H82,'Council Entry'!H$9),'Council Entry'!H$8),'Council Entry'!H82)),IF('Council Entry'!H$4="Exponential",EXP(IF(AND(ISNUMBER('Council Entry'!H$8),ISNUMBER('Council Entry'!H$9)),MAX(MIN('Council Entry'!H82,'Council Entry'!H$9),'Council Entry'!H$8),'Council Entry'!H82)),IF(AND(ISNUMBER('Council Entry'!H$8),ISNUMBER('Council Entry'!H$9)),MAX(MIN('Council Entry'!H82,'Council Entry'!H$9),'Council Entry'!H$8),'Council Entry'!H82))))-'Council Entry'!H$5)/('Council Entry'!H$6-'Council Entry'!H$5)),1))),"No data"))</f>
        <v/>
      </c>
      <c r="I82" s="13">
        <f>IF('Council Entry'!I82="","",IFERROR(MAX(0,MIN(10,ROUND(IF('Council Entry'!I$7="Decrease Risk",10-10*((IF('Council Entry'!I$4="Logarithm",LN(0.001+IF(AND(ISNUMBER('Council Entry'!I$8),ISNUMBER('Council Entry'!I$9)),MAX(MIN('Council Entry'!I82,'Council Entry'!I$9),'Council Entry'!I$8),'Council Entry'!I82)),IF('Council Entry'!I$4="Exponential",EXP(IF(AND(ISNUMBER('Council Entry'!I$8),ISNUMBER('Council Entry'!I$9)),MAX(MIN('Council Entry'!I82,'Council Entry'!I$9),'Council Entry'!I$8),'Council Entry'!I82)),IF(AND(ISNUMBER('Council Entry'!I$8),ISNUMBER('Council Entry'!I$9)),MAX(MIN('Council Entry'!I82,'Council Entry'!I$9),'Council Entry'!I$8),'Council Entry'!I82))))-'Council Entry'!I$5)/('Council Entry'!I$6-'Council Entry'!I$5),10*((IF('Council Entry'!I$4="Logarithm",LN(0.001+IF(AND(ISNUMBER('Council Entry'!I$8),ISNUMBER('Council Entry'!I$9)),MAX(MIN('Council Entry'!I82,'Council Entry'!I$9),'Council Entry'!I$8),'Council Entry'!I82)),IF('Council Entry'!I$4="Exponential",EXP(IF(AND(ISNUMBER('Council Entry'!I$8),ISNUMBER('Council Entry'!I$9)),MAX(MIN('Council Entry'!I82,'Council Entry'!I$9),'Council Entry'!I$8),'Council Entry'!I82)),IF(AND(ISNUMBER('Council Entry'!I$8),ISNUMBER('Council Entry'!I$9)),MAX(MIN('Council Entry'!I82,'Council Entry'!I$9),'Council Entry'!I$8),'Council Entry'!I82))))-'Council Entry'!I$5)/('Council Entry'!I$6-'Council Entry'!I$5)),1))),"No data"))</f>
        <v/>
      </c>
      <c r="J82" s="13">
        <f>IF('Council Entry'!J82="","",IFERROR(MAX(0,MIN(10,ROUND(IF('Council Entry'!J$7="Decrease Risk",10-10*((IF('Council Entry'!J$4="Logarithm",LN(0.001+IF(AND(ISNUMBER('Council Entry'!J$8),ISNUMBER('Council Entry'!J$9)),MAX(MIN('Council Entry'!J82,'Council Entry'!J$9),'Council Entry'!J$8),'Council Entry'!J82)),IF('Council Entry'!J$4="Exponential",EXP(IF(AND(ISNUMBER('Council Entry'!J$8),ISNUMBER('Council Entry'!J$9)),MAX(MIN('Council Entry'!J82,'Council Entry'!J$9),'Council Entry'!J$8),'Council Entry'!J82)),IF(AND(ISNUMBER('Council Entry'!J$8),ISNUMBER('Council Entry'!J$9)),MAX(MIN('Council Entry'!J82,'Council Entry'!J$9),'Council Entry'!J$8),'Council Entry'!J82))))-'Council Entry'!J$5)/('Council Entry'!J$6-'Council Entry'!J$5),10*((IF('Council Entry'!J$4="Logarithm",LN(0.001+IF(AND(ISNUMBER('Council Entry'!J$8),ISNUMBER('Council Entry'!J$9)),MAX(MIN('Council Entry'!J82,'Council Entry'!J$9),'Council Entry'!J$8),'Council Entry'!J82)),IF('Council Entry'!J$4="Exponential",EXP(IF(AND(ISNUMBER('Council Entry'!J$8),ISNUMBER('Council Entry'!J$9)),MAX(MIN('Council Entry'!J82,'Council Entry'!J$9),'Council Entry'!J$8),'Council Entry'!J82)),IF(AND(ISNUMBER('Council Entry'!J$8),ISNUMBER('Council Entry'!J$9)),MAX(MIN('Council Entry'!J82,'Council Entry'!J$9),'Council Entry'!J$8),'Council Entry'!J82))))-'Council Entry'!J$5)/('Council Entry'!J$6-'Council Entry'!J$5)),1))),"No data"))</f>
        <v/>
      </c>
      <c r="K82" s="13">
        <f>IF('Council Entry'!K82="","",IFERROR(MAX(0,MIN(10,ROUND(IF('Council Entry'!K$7="Decrease Risk",10-10*((IF('Council Entry'!K$4="Logarithm",LN(0.001+IF(AND(ISNUMBER('Council Entry'!K$8),ISNUMBER('Council Entry'!K$9)),MAX(MIN('Council Entry'!K82,'Council Entry'!K$9),'Council Entry'!K$8),'Council Entry'!K82)),IF('Council Entry'!K$4="Exponential",EXP(IF(AND(ISNUMBER('Council Entry'!K$8),ISNUMBER('Council Entry'!K$9)),MAX(MIN('Council Entry'!K82,'Council Entry'!K$9),'Council Entry'!K$8),'Council Entry'!K82)),IF(AND(ISNUMBER('Council Entry'!K$8),ISNUMBER('Council Entry'!K$9)),MAX(MIN('Council Entry'!K82,'Council Entry'!K$9),'Council Entry'!K$8),'Council Entry'!K82))))-'Council Entry'!K$5)/('Council Entry'!K$6-'Council Entry'!K$5),10*((IF('Council Entry'!K$4="Logarithm",LN(0.001+IF(AND(ISNUMBER('Council Entry'!K$8),ISNUMBER('Council Entry'!K$9)),MAX(MIN('Council Entry'!K82,'Council Entry'!K$9),'Council Entry'!K$8),'Council Entry'!K82)),IF('Council Entry'!K$4="Exponential",EXP(IF(AND(ISNUMBER('Council Entry'!K$8),ISNUMBER('Council Entry'!K$9)),MAX(MIN('Council Entry'!K82,'Council Entry'!K$9),'Council Entry'!K$8),'Council Entry'!K82)),IF(AND(ISNUMBER('Council Entry'!K$8),ISNUMBER('Council Entry'!K$9)),MAX(MIN('Council Entry'!K82,'Council Entry'!K$9),'Council Entry'!K$8),'Council Entry'!K82))))-'Council Entry'!K$5)/('Council Entry'!K$6-'Council Entry'!K$5)),1))),"No data"))</f>
        <v/>
      </c>
      <c r="L82" s="13">
        <f>IF('Council Entry'!L82="","",IFERROR(MAX(0,MIN(10,ROUND(IF('Council Entry'!L$7="Decrease Risk",10-10*((IF('Council Entry'!L$4="Logarithm",LN(0.001+IF(AND(ISNUMBER('Council Entry'!L$8),ISNUMBER('Council Entry'!L$9)),MAX(MIN('Council Entry'!L82,'Council Entry'!L$9),'Council Entry'!L$8),'Council Entry'!L82)),IF('Council Entry'!L$4="Exponential",EXP(IF(AND(ISNUMBER('Council Entry'!L$8),ISNUMBER('Council Entry'!L$9)),MAX(MIN('Council Entry'!L82,'Council Entry'!L$9),'Council Entry'!L$8),'Council Entry'!L82)),IF(AND(ISNUMBER('Council Entry'!L$8),ISNUMBER('Council Entry'!L$9)),MAX(MIN('Council Entry'!L82,'Council Entry'!L$9),'Council Entry'!L$8),'Council Entry'!L82))))-'Council Entry'!L$5)/('Council Entry'!L$6-'Council Entry'!L$5),10*((IF('Council Entry'!L$4="Logarithm",LN(0.001+IF(AND(ISNUMBER('Council Entry'!L$8),ISNUMBER('Council Entry'!L$9)),MAX(MIN('Council Entry'!L82,'Council Entry'!L$9),'Council Entry'!L$8),'Council Entry'!L82)),IF('Council Entry'!L$4="Exponential",EXP(IF(AND(ISNUMBER('Council Entry'!L$8),ISNUMBER('Council Entry'!L$9)),MAX(MIN('Council Entry'!L82,'Council Entry'!L$9),'Council Entry'!L$8),'Council Entry'!L82)),IF(AND(ISNUMBER('Council Entry'!L$8),ISNUMBER('Council Entry'!L$9)),MAX(MIN('Council Entry'!L82,'Council Entry'!L$9),'Council Entry'!L$8),'Council Entry'!L82))))-'Council Entry'!L$5)/('Council Entry'!L$6-'Council Entry'!L$5)),1))),"No data"))</f>
        <v/>
      </c>
      <c r="M82" s="13">
        <f>IF('Council Entry'!M82="","",IFERROR(MAX(0,MIN(10,ROUND(IF('Council Entry'!M$7="Decrease Risk",10-10*((IF('Council Entry'!M$4="Logarithm",LN(0.001+IF(AND(ISNUMBER('Council Entry'!M$8),ISNUMBER('Council Entry'!M$9)),MAX(MIN('Council Entry'!M82,'Council Entry'!M$9),'Council Entry'!M$8),'Council Entry'!M82)),IF('Council Entry'!M$4="Exponential",EXP(IF(AND(ISNUMBER('Council Entry'!M$8),ISNUMBER('Council Entry'!M$9)),MAX(MIN('Council Entry'!M82,'Council Entry'!M$9),'Council Entry'!M$8),'Council Entry'!M82)),IF(AND(ISNUMBER('Council Entry'!M$8),ISNUMBER('Council Entry'!M$9)),MAX(MIN('Council Entry'!M82,'Council Entry'!M$9),'Council Entry'!M$8),'Council Entry'!M82))))-'Council Entry'!M$5)/('Council Entry'!M$6-'Council Entry'!M$5),10*((IF('Council Entry'!M$4="Logarithm",LN(0.001+IF(AND(ISNUMBER('Council Entry'!M$8),ISNUMBER('Council Entry'!M$9)),MAX(MIN('Council Entry'!M82,'Council Entry'!M$9),'Council Entry'!M$8),'Council Entry'!M82)),IF('Council Entry'!M$4="Exponential",EXP(IF(AND(ISNUMBER('Council Entry'!M$8),ISNUMBER('Council Entry'!M$9)),MAX(MIN('Council Entry'!M82,'Council Entry'!M$9),'Council Entry'!M$8),'Council Entry'!M82)),IF(AND(ISNUMBER('Council Entry'!M$8),ISNUMBER('Council Entry'!M$9)),MAX(MIN('Council Entry'!M82,'Council Entry'!M$9),'Council Entry'!M$8),'Council Entry'!M82))))-'Council Entry'!M$5)/('Council Entry'!M$6-'Council Entry'!M$5)),1))),"No data"))</f>
        <v/>
      </c>
      <c r="N82" s="13">
        <f>IF('Council Entry'!N82="","",IFERROR(MAX(0,MIN(10,ROUND(IF('Council Entry'!N$7="Decrease Risk",10-10*((IF('Council Entry'!N$4="Logarithm",LN(0.001+IF(AND(ISNUMBER('Council Entry'!N$8),ISNUMBER('Council Entry'!N$9)),MAX(MIN('Council Entry'!N82,'Council Entry'!N$9),'Council Entry'!N$8),'Council Entry'!N82)),IF('Council Entry'!N$4="Exponential",EXP(IF(AND(ISNUMBER('Council Entry'!N$8),ISNUMBER('Council Entry'!N$9)),MAX(MIN('Council Entry'!N82,'Council Entry'!N$9),'Council Entry'!N$8),'Council Entry'!N82)),IF(AND(ISNUMBER('Council Entry'!N$8),ISNUMBER('Council Entry'!N$9)),MAX(MIN('Council Entry'!N82,'Council Entry'!N$9),'Council Entry'!N$8),'Council Entry'!N82))))-'Council Entry'!N$5)/('Council Entry'!N$6-'Council Entry'!N$5),10*((IF('Council Entry'!N$4="Logarithm",LN(0.001+IF(AND(ISNUMBER('Council Entry'!N$8),ISNUMBER('Council Entry'!N$9)),MAX(MIN('Council Entry'!N82,'Council Entry'!N$9),'Council Entry'!N$8),'Council Entry'!N82)),IF('Council Entry'!N$4="Exponential",EXP(IF(AND(ISNUMBER('Council Entry'!N$8),ISNUMBER('Council Entry'!N$9)),MAX(MIN('Council Entry'!N82,'Council Entry'!N$9),'Council Entry'!N$8),'Council Entry'!N82)),IF(AND(ISNUMBER('Council Entry'!N$8),ISNUMBER('Council Entry'!N$9)),MAX(MIN('Council Entry'!N82,'Council Entry'!N$9),'Council Entry'!N$8),'Council Entry'!N82))))-'Council Entry'!N$5)/('Council Entry'!N$6-'Council Entry'!N$5)),1))),"No data"))</f>
        <v/>
      </c>
      <c r="O82" s="13">
        <f>IF('Council Entry'!O82="","",IFERROR(MAX(0,MIN(10,ROUND(IF('Council Entry'!O$7="Decrease Risk",10-10*((IF('Council Entry'!O$4="Logarithm",LN(0.001+IF(AND(ISNUMBER('Council Entry'!O$8),ISNUMBER('Council Entry'!O$9)),MAX(MIN('Council Entry'!O82,'Council Entry'!O$9),'Council Entry'!O$8),'Council Entry'!O82)),IF('Council Entry'!O$4="Exponential",EXP(IF(AND(ISNUMBER('Council Entry'!O$8),ISNUMBER('Council Entry'!O$9)),MAX(MIN('Council Entry'!O82,'Council Entry'!O$9),'Council Entry'!O$8),'Council Entry'!O82)),IF(AND(ISNUMBER('Council Entry'!O$8),ISNUMBER('Council Entry'!O$9)),MAX(MIN('Council Entry'!O82,'Council Entry'!O$9),'Council Entry'!O$8),'Council Entry'!O82))))-'Council Entry'!O$5)/('Council Entry'!O$6-'Council Entry'!O$5),10*((IF('Council Entry'!O$4="Logarithm",LN(0.001+IF(AND(ISNUMBER('Council Entry'!O$8),ISNUMBER('Council Entry'!O$9)),MAX(MIN('Council Entry'!O82,'Council Entry'!O$9),'Council Entry'!O$8),'Council Entry'!O82)),IF('Council Entry'!O$4="Exponential",EXP(IF(AND(ISNUMBER('Council Entry'!O$8),ISNUMBER('Council Entry'!O$9)),MAX(MIN('Council Entry'!O82,'Council Entry'!O$9),'Council Entry'!O$8),'Council Entry'!O82)),IF(AND(ISNUMBER('Council Entry'!O$8),ISNUMBER('Council Entry'!O$9)),MAX(MIN('Council Entry'!O82,'Council Entry'!O$9),'Council Entry'!O$8),'Council Entry'!O82))))-'Council Entry'!O$5)/('Council Entry'!O$6-'Council Entry'!O$5)),1))),"No data"))</f>
        <v/>
      </c>
      <c r="P82" s="13">
        <f>IF('Council Entry'!P82="","",IFERROR(MAX(0,MIN(10,ROUND(IF('Council Entry'!P$7="Decrease Risk",10-10*((IF('Council Entry'!P$4="Logarithm",LN(0.001+IF(AND(ISNUMBER('Council Entry'!P$8),ISNUMBER('Council Entry'!P$9)),MAX(MIN('Council Entry'!P82,'Council Entry'!P$9),'Council Entry'!P$8),'Council Entry'!P82)),IF('Council Entry'!P$4="Exponential",EXP(IF(AND(ISNUMBER('Council Entry'!P$8),ISNUMBER('Council Entry'!P$9)),MAX(MIN('Council Entry'!P82,'Council Entry'!P$9),'Council Entry'!P$8),'Council Entry'!P82)),IF(AND(ISNUMBER('Council Entry'!P$8),ISNUMBER('Council Entry'!P$9)),MAX(MIN('Council Entry'!P82,'Council Entry'!P$9),'Council Entry'!P$8),'Council Entry'!P82))))-'Council Entry'!P$5)/('Council Entry'!P$6-'Council Entry'!P$5),10*((IF('Council Entry'!P$4="Logarithm",LN(0.001+IF(AND(ISNUMBER('Council Entry'!P$8),ISNUMBER('Council Entry'!P$9)),MAX(MIN('Council Entry'!P82,'Council Entry'!P$9),'Council Entry'!P$8),'Council Entry'!P82)),IF('Council Entry'!P$4="Exponential",EXP(IF(AND(ISNUMBER('Council Entry'!P$8),ISNUMBER('Council Entry'!P$9)),MAX(MIN('Council Entry'!P82,'Council Entry'!P$9),'Council Entry'!P$8),'Council Entry'!P82)),IF(AND(ISNUMBER('Council Entry'!P$8),ISNUMBER('Council Entry'!P$9)),MAX(MIN('Council Entry'!P82,'Council Entry'!P$9),'Council Entry'!P$8),'Council Entry'!P82))))-'Council Entry'!P$5)/('Council Entry'!P$6-'Council Entry'!P$5)),1))),"No data"))</f>
        <v/>
      </c>
      <c r="Q82" s="13">
        <f>IF('Council Entry'!Q82="","",IFERROR(MAX(0,MIN(10,ROUND(IF('Council Entry'!Q$7="Decrease Risk",10-10*((IF('Council Entry'!Q$4="Logarithm",LN(0.001+IF(AND(ISNUMBER('Council Entry'!Q$8),ISNUMBER('Council Entry'!Q$9)),MAX(MIN('Council Entry'!Q82,'Council Entry'!Q$9),'Council Entry'!Q$8),'Council Entry'!Q82)),IF('Council Entry'!Q$4="Exponential",EXP(IF(AND(ISNUMBER('Council Entry'!Q$8),ISNUMBER('Council Entry'!Q$9)),MAX(MIN('Council Entry'!Q82,'Council Entry'!Q$9),'Council Entry'!Q$8),'Council Entry'!Q82)),IF(AND(ISNUMBER('Council Entry'!Q$8),ISNUMBER('Council Entry'!Q$9)),MAX(MIN('Council Entry'!Q82,'Council Entry'!Q$9),'Council Entry'!Q$8),'Council Entry'!Q82))))-'Council Entry'!Q$5)/('Council Entry'!Q$6-'Council Entry'!Q$5),10*((IF('Council Entry'!Q$4="Logarithm",LN(0.001+IF(AND(ISNUMBER('Council Entry'!Q$8),ISNUMBER('Council Entry'!Q$9)),MAX(MIN('Council Entry'!Q82,'Council Entry'!Q$9),'Council Entry'!Q$8),'Council Entry'!Q82)),IF('Council Entry'!Q$4="Exponential",EXP(IF(AND(ISNUMBER('Council Entry'!Q$8),ISNUMBER('Council Entry'!Q$9)),MAX(MIN('Council Entry'!Q82,'Council Entry'!Q$9),'Council Entry'!Q$8),'Council Entry'!Q82)),IF(AND(ISNUMBER('Council Entry'!Q$8),ISNUMBER('Council Entry'!Q$9)),MAX(MIN('Council Entry'!Q82,'Council Entry'!Q$9),'Council Entry'!Q$8),'Council Entry'!Q82))))-'Council Entry'!Q$5)/('Council Entry'!Q$6-'Council Entry'!Q$5)),1))),"No data"))</f>
        <v/>
      </c>
      <c r="R82" s="13">
        <f>IF('Council Entry'!R82="","",IFERROR(MAX(0,MIN(10,ROUND(IF('Council Entry'!R$7="Decrease Risk",10-10*((IF('Council Entry'!R$4="Logarithm",LN(0.001+IF(AND(ISNUMBER('Council Entry'!R$8),ISNUMBER('Council Entry'!R$9)),MAX(MIN('Council Entry'!R82,'Council Entry'!R$9),'Council Entry'!R$8),'Council Entry'!R82)),IF('Council Entry'!R$4="Exponential",EXP(IF(AND(ISNUMBER('Council Entry'!R$8),ISNUMBER('Council Entry'!R$9)),MAX(MIN('Council Entry'!R82,'Council Entry'!R$9),'Council Entry'!R$8),'Council Entry'!R82)),IF(AND(ISNUMBER('Council Entry'!R$8),ISNUMBER('Council Entry'!R$9)),MAX(MIN('Council Entry'!R82,'Council Entry'!R$9),'Council Entry'!R$8),'Council Entry'!R82))))-'Council Entry'!R$5)/('Council Entry'!R$6-'Council Entry'!R$5),10*((IF('Council Entry'!R$4="Logarithm",LN(0.001+IF(AND(ISNUMBER('Council Entry'!R$8),ISNUMBER('Council Entry'!R$9)),MAX(MIN('Council Entry'!R82,'Council Entry'!R$9),'Council Entry'!R$8),'Council Entry'!R82)),IF('Council Entry'!R$4="Exponential",EXP(IF(AND(ISNUMBER('Council Entry'!R$8),ISNUMBER('Council Entry'!R$9)),MAX(MIN('Council Entry'!R82,'Council Entry'!R$9),'Council Entry'!R$8),'Council Entry'!R82)),IF(AND(ISNUMBER('Council Entry'!R$8),ISNUMBER('Council Entry'!R$9)),MAX(MIN('Council Entry'!R82,'Council Entry'!R$9),'Council Entry'!R$8),'Council Entry'!R82))))-'Council Entry'!R$5)/('Council Entry'!R$6-'Council Entry'!R$5)),1))),"No data"))</f>
        <v/>
      </c>
      <c r="S82" s="13">
        <f>IF('Council Entry'!S82="","",IFERROR(MAX(0,MIN(10,ROUND(IF('Council Entry'!S$7="Decrease Risk",10-10*((IF('Council Entry'!S$4="Logarithm",LN(0.001+IF(AND(ISNUMBER('Council Entry'!S$8),ISNUMBER('Council Entry'!S$9)),MAX(MIN('Council Entry'!S82,'Council Entry'!S$9),'Council Entry'!S$8),'Council Entry'!S82)),IF('Council Entry'!S$4="Exponential",EXP(IF(AND(ISNUMBER('Council Entry'!S$8),ISNUMBER('Council Entry'!S$9)),MAX(MIN('Council Entry'!S82,'Council Entry'!S$9),'Council Entry'!S$8),'Council Entry'!S82)),IF(AND(ISNUMBER('Council Entry'!S$8),ISNUMBER('Council Entry'!S$9)),MAX(MIN('Council Entry'!S82,'Council Entry'!S$9),'Council Entry'!S$8),'Council Entry'!S82))))-'Council Entry'!S$5)/('Council Entry'!S$6-'Council Entry'!S$5),10*((IF('Council Entry'!S$4="Logarithm",LN(0.001+IF(AND(ISNUMBER('Council Entry'!S$8),ISNUMBER('Council Entry'!S$9)),MAX(MIN('Council Entry'!S82,'Council Entry'!S$9),'Council Entry'!S$8),'Council Entry'!S82)),IF('Council Entry'!S$4="Exponential",EXP(IF(AND(ISNUMBER('Council Entry'!S$8),ISNUMBER('Council Entry'!S$9)),MAX(MIN('Council Entry'!S82,'Council Entry'!S$9),'Council Entry'!S$8),'Council Entry'!S82)),IF(AND(ISNUMBER('Council Entry'!S$8),ISNUMBER('Council Entry'!S$9)),MAX(MIN('Council Entry'!S82,'Council Entry'!S$9),'Council Entry'!S$8),'Council Entry'!S82))))-'Council Entry'!S$5)/('Council Entry'!S$6-'Council Entry'!S$5)),1))),"No data"))</f>
        <v/>
      </c>
      <c r="T82" s="13">
        <f>IF('Council Entry'!T82="","",IFERROR(MAX(0,MIN(10,ROUND(IF('Council Entry'!T$7="Decrease Risk",10-10*((IF('Council Entry'!T$4="Logarithm",LN(0.001+IF(AND(ISNUMBER('Council Entry'!T$8),ISNUMBER('Council Entry'!T$9)),MAX(MIN('Council Entry'!T82,'Council Entry'!T$9),'Council Entry'!T$8),'Council Entry'!T82)),IF('Council Entry'!T$4="Exponential",EXP(IF(AND(ISNUMBER('Council Entry'!T$8),ISNUMBER('Council Entry'!T$9)),MAX(MIN('Council Entry'!T82,'Council Entry'!T$9),'Council Entry'!T$8),'Council Entry'!T82)),IF(AND(ISNUMBER('Council Entry'!T$8),ISNUMBER('Council Entry'!T$9)),MAX(MIN('Council Entry'!T82,'Council Entry'!T$9),'Council Entry'!T$8),'Council Entry'!T82))))-'Council Entry'!T$5)/('Council Entry'!T$6-'Council Entry'!T$5),10*((IF('Council Entry'!T$4="Logarithm",LN(0.001+IF(AND(ISNUMBER('Council Entry'!T$8),ISNUMBER('Council Entry'!T$9)),MAX(MIN('Council Entry'!T82,'Council Entry'!T$9),'Council Entry'!T$8),'Council Entry'!T82)),IF('Council Entry'!T$4="Exponential",EXP(IF(AND(ISNUMBER('Council Entry'!T$8),ISNUMBER('Council Entry'!T$9)),MAX(MIN('Council Entry'!T82,'Council Entry'!T$9),'Council Entry'!T$8),'Council Entry'!T82)),IF(AND(ISNUMBER('Council Entry'!T$8),ISNUMBER('Council Entry'!T$9)),MAX(MIN('Council Entry'!T82,'Council Entry'!T$9),'Council Entry'!T$8),'Council Entry'!T82))))-'Council Entry'!T$5)/('Council Entry'!T$6-'Council Entry'!T$5)),1))),"No data"))</f>
        <v/>
      </c>
      <c r="U82" s="13">
        <f>IF('Council Entry'!U82="","",IFERROR(MAX(0,MIN(10,ROUND(IF('Council Entry'!U$7="Decrease Risk",10-10*((IF('Council Entry'!U$4="Logarithm",LN(0.001+IF(AND(ISNUMBER('Council Entry'!U$8),ISNUMBER('Council Entry'!U$9)),MAX(MIN('Council Entry'!U82,'Council Entry'!U$9),'Council Entry'!U$8),'Council Entry'!U82)),IF('Council Entry'!U$4="Exponential",EXP(IF(AND(ISNUMBER('Council Entry'!U$8),ISNUMBER('Council Entry'!U$9)),MAX(MIN('Council Entry'!U82,'Council Entry'!U$9),'Council Entry'!U$8),'Council Entry'!U82)),IF(AND(ISNUMBER('Council Entry'!U$8),ISNUMBER('Council Entry'!U$9)),MAX(MIN('Council Entry'!U82,'Council Entry'!U$9),'Council Entry'!U$8),'Council Entry'!U82))))-'Council Entry'!U$5)/('Council Entry'!U$6-'Council Entry'!U$5),10*((IF('Council Entry'!U$4="Logarithm",LN(0.001+IF(AND(ISNUMBER('Council Entry'!U$8),ISNUMBER('Council Entry'!U$9)),MAX(MIN('Council Entry'!U82,'Council Entry'!U$9),'Council Entry'!U$8),'Council Entry'!U82)),IF('Council Entry'!U$4="Exponential",EXP(IF(AND(ISNUMBER('Council Entry'!U$8),ISNUMBER('Council Entry'!U$9)),MAX(MIN('Council Entry'!U82,'Council Entry'!U$9),'Council Entry'!U$8),'Council Entry'!U82)),IF(AND(ISNUMBER('Council Entry'!U$8),ISNUMBER('Council Entry'!U$9)),MAX(MIN('Council Entry'!U82,'Council Entry'!U$9),'Council Entry'!U$8),'Council Entry'!U82))))-'Council Entry'!U$5)/('Council Entry'!U$6-'Council Entry'!U$5)),1))),"No data"))</f>
        <v/>
      </c>
      <c r="V82" s="13">
        <f>IF('Council Entry'!V82="","",IFERROR(MAX(0,MIN(10,ROUND(IF('Council Entry'!V$7="Decrease Risk",10-10*((IF('Council Entry'!V$4="Logarithm",LN(0.001+IF(AND(ISNUMBER('Council Entry'!V$8),ISNUMBER('Council Entry'!V$9)),MAX(MIN('Council Entry'!V82,'Council Entry'!V$9),'Council Entry'!V$8),'Council Entry'!V82)),IF('Council Entry'!V$4="Exponential",EXP(IF(AND(ISNUMBER('Council Entry'!V$8),ISNUMBER('Council Entry'!V$9)),MAX(MIN('Council Entry'!V82,'Council Entry'!V$9),'Council Entry'!V$8),'Council Entry'!V82)),IF(AND(ISNUMBER('Council Entry'!V$8),ISNUMBER('Council Entry'!V$9)),MAX(MIN('Council Entry'!V82,'Council Entry'!V$9),'Council Entry'!V$8),'Council Entry'!V82))))-'Council Entry'!V$5)/('Council Entry'!V$6-'Council Entry'!V$5),10*((IF('Council Entry'!V$4="Logarithm",LN(0.001+IF(AND(ISNUMBER('Council Entry'!V$8),ISNUMBER('Council Entry'!V$9)),MAX(MIN('Council Entry'!V82,'Council Entry'!V$9),'Council Entry'!V$8),'Council Entry'!V82)),IF('Council Entry'!V$4="Exponential",EXP(IF(AND(ISNUMBER('Council Entry'!V$8),ISNUMBER('Council Entry'!V$9)),MAX(MIN('Council Entry'!V82,'Council Entry'!V$9),'Council Entry'!V$8),'Council Entry'!V82)),IF(AND(ISNUMBER('Council Entry'!V$8),ISNUMBER('Council Entry'!V$9)),MAX(MIN('Council Entry'!V82,'Council Entry'!V$9),'Council Entry'!V$8),'Council Entry'!V82))))-'Council Entry'!V$5)/('Council Entry'!V$6-'Council Entry'!V$5)),1))),"No data"))</f>
        <v/>
      </c>
      <c r="W82" s="13">
        <f>IF('Council Entry'!W82="","",IFERROR(MAX(0,MIN(10,ROUND(IF('Council Entry'!W$7="Decrease Risk",10-10*((IF('Council Entry'!W$4="Logarithm",LN(0.001+IF(AND(ISNUMBER('Council Entry'!W$8),ISNUMBER('Council Entry'!W$9)),MAX(MIN('Council Entry'!W82,'Council Entry'!W$9),'Council Entry'!W$8),'Council Entry'!W82)),IF('Council Entry'!W$4="Exponential",EXP(IF(AND(ISNUMBER('Council Entry'!W$8),ISNUMBER('Council Entry'!W$9)),MAX(MIN('Council Entry'!W82,'Council Entry'!W$9),'Council Entry'!W$8),'Council Entry'!W82)),IF(AND(ISNUMBER('Council Entry'!W$8),ISNUMBER('Council Entry'!W$9)),MAX(MIN('Council Entry'!W82,'Council Entry'!W$9),'Council Entry'!W$8),'Council Entry'!W82))))-'Council Entry'!W$5)/('Council Entry'!W$6-'Council Entry'!W$5),10*((IF('Council Entry'!W$4="Logarithm",LN(0.001+IF(AND(ISNUMBER('Council Entry'!W$8),ISNUMBER('Council Entry'!W$9)),MAX(MIN('Council Entry'!W82,'Council Entry'!W$9),'Council Entry'!W$8),'Council Entry'!W82)),IF('Council Entry'!W$4="Exponential",EXP(IF(AND(ISNUMBER('Council Entry'!W$8),ISNUMBER('Council Entry'!W$9)),MAX(MIN('Council Entry'!W82,'Council Entry'!W$9),'Council Entry'!W$8),'Council Entry'!W82)),IF(AND(ISNUMBER('Council Entry'!W$8),ISNUMBER('Council Entry'!W$9)),MAX(MIN('Council Entry'!W82,'Council Entry'!W$9),'Council Entry'!W$8),'Council Entry'!W82))))-'Council Entry'!W$5)/('Council Entry'!W$6-'Council Entry'!W$5)),1))),"No data"))</f>
        <v/>
      </c>
      <c r="X82" s="13">
        <f>IF('Council Entry'!X82="","",IFERROR(MAX(0,MIN(10,ROUND(IF('Council Entry'!X$7="Decrease Risk",10-10*((IF('Council Entry'!X$4="Logarithm",LN(0.001+IF(AND(ISNUMBER('Council Entry'!X$8),ISNUMBER('Council Entry'!X$9)),MAX(MIN('Council Entry'!X82,'Council Entry'!X$9),'Council Entry'!X$8),'Council Entry'!X82)),IF('Council Entry'!X$4="Exponential",EXP(IF(AND(ISNUMBER('Council Entry'!X$8),ISNUMBER('Council Entry'!X$9)),MAX(MIN('Council Entry'!X82,'Council Entry'!X$9),'Council Entry'!X$8),'Council Entry'!X82)),IF(AND(ISNUMBER('Council Entry'!X$8),ISNUMBER('Council Entry'!X$9)),MAX(MIN('Council Entry'!X82,'Council Entry'!X$9),'Council Entry'!X$8),'Council Entry'!X82))))-'Council Entry'!X$5)/('Council Entry'!X$6-'Council Entry'!X$5),10*((IF('Council Entry'!X$4="Logarithm",LN(0.001+IF(AND(ISNUMBER('Council Entry'!X$8),ISNUMBER('Council Entry'!X$9)),MAX(MIN('Council Entry'!X82,'Council Entry'!X$9),'Council Entry'!X$8),'Council Entry'!X82)),IF('Council Entry'!X$4="Exponential",EXP(IF(AND(ISNUMBER('Council Entry'!X$8),ISNUMBER('Council Entry'!X$9)),MAX(MIN('Council Entry'!X82,'Council Entry'!X$9),'Council Entry'!X$8),'Council Entry'!X82)),IF(AND(ISNUMBER('Council Entry'!X$8),ISNUMBER('Council Entry'!X$9)),MAX(MIN('Council Entry'!X82,'Council Entry'!X$9),'Council Entry'!X$8),'Council Entry'!X82))))-'Council Entry'!X$5)/('Council Entry'!X$6-'Council Entry'!X$5)),1))),"No data"))</f>
        <v/>
      </c>
      <c r="Y82" s="13">
        <f>IF('Council Entry'!Y82="","",IFERROR(MAX(0,MIN(10,ROUND(IF('Council Entry'!Y$7="Decrease Risk",10-10*((IF('Council Entry'!Y$4="Logarithm",LN(0.001+IF(AND(ISNUMBER('Council Entry'!Y$8),ISNUMBER('Council Entry'!Y$9)),MAX(MIN('Council Entry'!Y82,'Council Entry'!Y$9),'Council Entry'!Y$8),'Council Entry'!Y82)),IF('Council Entry'!Y$4="Exponential",EXP(IF(AND(ISNUMBER('Council Entry'!Y$8),ISNUMBER('Council Entry'!Y$9)),MAX(MIN('Council Entry'!Y82,'Council Entry'!Y$9),'Council Entry'!Y$8),'Council Entry'!Y82)),IF(AND(ISNUMBER('Council Entry'!Y$8),ISNUMBER('Council Entry'!Y$9)),MAX(MIN('Council Entry'!Y82,'Council Entry'!Y$9),'Council Entry'!Y$8),'Council Entry'!Y82))))-'Council Entry'!Y$5)/('Council Entry'!Y$6-'Council Entry'!Y$5),10*((IF('Council Entry'!Y$4="Logarithm",LN(0.001+IF(AND(ISNUMBER('Council Entry'!Y$8),ISNUMBER('Council Entry'!Y$9)),MAX(MIN('Council Entry'!Y82,'Council Entry'!Y$9),'Council Entry'!Y$8),'Council Entry'!Y82)),IF('Council Entry'!Y$4="Exponential",EXP(IF(AND(ISNUMBER('Council Entry'!Y$8),ISNUMBER('Council Entry'!Y$9)),MAX(MIN('Council Entry'!Y82,'Council Entry'!Y$9),'Council Entry'!Y$8),'Council Entry'!Y82)),IF(AND(ISNUMBER('Council Entry'!Y$8),ISNUMBER('Council Entry'!Y$9)),MAX(MIN('Council Entry'!Y82,'Council Entry'!Y$9),'Council Entry'!Y$8),'Council Entry'!Y82))))-'Council Entry'!Y$5)/('Council Entry'!Y$6-'Council Entry'!Y$5)),1))),"No data"))</f>
        <v/>
      </c>
      <c r="Z82" s="13">
        <f>IF('Council Entry'!Z82="","",IFERROR(MAX(0,MIN(10,ROUND(IF('Council Entry'!Z$7="Decrease Risk",10-10*((IF('Council Entry'!Z$4="Logarithm",LN(0.001+IF(AND(ISNUMBER('Council Entry'!Z$8),ISNUMBER('Council Entry'!Z$9)),MAX(MIN('Council Entry'!Z82,'Council Entry'!Z$9),'Council Entry'!Z$8),'Council Entry'!Z82)),IF('Council Entry'!Z$4="Exponential",EXP(IF(AND(ISNUMBER('Council Entry'!Z$8),ISNUMBER('Council Entry'!Z$9)),MAX(MIN('Council Entry'!Z82,'Council Entry'!Z$9),'Council Entry'!Z$8),'Council Entry'!Z82)),IF(AND(ISNUMBER('Council Entry'!Z$8),ISNUMBER('Council Entry'!Z$9)),MAX(MIN('Council Entry'!Z82,'Council Entry'!Z$9),'Council Entry'!Z$8),'Council Entry'!Z82))))-'Council Entry'!Z$5)/('Council Entry'!Z$6-'Council Entry'!Z$5),10*((IF('Council Entry'!Z$4="Logarithm",LN(0.001+IF(AND(ISNUMBER('Council Entry'!Z$8),ISNUMBER('Council Entry'!Z$9)),MAX(MIN('Council Entry'!Z82,'Council Entry'!Z$9),'Council Entry'!Z$8),'Council Entry'!Z82)),IF('Council Entry'!Z$4="Exponential",EXP(IF(AND(ISNUMBER('Council Entry'!Z$8),ISNUMBER('Council Entry'!Z$9)),MAX(MIN('Council Entry'!Z82,'Council Entry'!Z$9),'Council Entry'!Z$8),'Council Entry'!Z82)),IF(AND(ISNUMBER('Council Entry'!Z$8),ISNUMBER('Council Entry'!Z$9)),MAX(MIN('Council Entry'!Z82,'Council Entry'!Z$9),'Council Entry'!Z$8),'Council Entry'!Z82))))-'Council Entry'!Z$5)/('Council Entry'!Z$6-'Council Entry'!Z$5)),1))),"No data"))</f>
        <v/>
      </c>
      <c r="AA82" s="13">
        <f>IF('Council Entry'!AA82="","",IFERROR(MAX(0,MIN(10,ROUND(IF('Council Entry'!AA$7="Decrease Risk",10-10*((IF('Council Entry'!AA$4="Logarithm",LN(0.001+IF(AND(ISNUMBER('Council Entry'!AA$8),ISNUMBER('Council Entry'!AA$9)),MAX(MIN('Council Entry'!AA82,'Council Entry'!AA$9),'Council Entry'!AA$8),'Council Entry'!AA82)),IF('Council Entry'!AA$4="Exponential",EXP(IF(AND(ISNUMBER('Council Entry'!AA$8),ISNUMBER('Council Entry'!AA$9)),MAX(MIN('Council Entry'!AA82,'Council Entry'!AA$9),'Council Entry'!AA$8),'Council Entry'!AA82)),IF(AND(ISNUMBER('Council Entry'!AA$8),ISNUMBER('Council Entry'!AA$9)),MAX(MIN('Council Entry'!AA82,'Council Entry'!AA$9),'Council Entry'!AA$8),'Council Entry'!AA82))))-'Council Entry'!AA$5)/('Council Entry'!AA$6-'Council Entry'!AA$5),10*((IF('Council Entry'!AA$4="Logarithm",LN(0.001+IF(AND(ISNUMBER('Council Entry'!AA$8),ISNUMBER('Council Entry'!AA$9)),MAX(MIN('Council Entry'!AA82,'Council Entry'!AA$9),'Council Entry'!AA$8),'Council Entry'!AA82)),IF('Council Entry'!AA$4="Exponential",EXP(IF(AND(ISNUMBER('Council Entry'!AA$8),ISNUMBER('Council Entry'!AA$9)),MAX(MIN('Council Entry'!AA82,'Council Entry'!AA$9),'Council Entry'!AA$8),'Council Entry'!AA82)),IF(AND(ISNUMBER('Council Entry'!AA$8),ISNUMBER('Council Entry'!AA$9)),MAX(MIN('Council Entry'!AA82,'Council Entry'!AA$9),'Council Entry'!AA$8),'Council Entry'!AA82))))-'Council Entry'!AA$5)/('Council Entry'!AA$6-'Council Entry'!AA$5)),1))),"No data"))</f>
        <v/>
      </c>
      <c r="AB82" s="13">
        <f>IF('Council Entry'!AB82="","",IFERROR(MAX(0,MIN(10,ROUND(IF('Council Entry'!AB$7="Decrease Risk",10-10*((IF('Council Entry'!AB$4="Logarithm",LN(0.001+IF(AND(ISNUMBER('Council Entry'!AB$8),ISNUMBER('Council Entry'!AB$9)),MAX(MIN('Council Entry'!AB82,'Council Entry'!AB$9),'Council Entry'!AB$8),'Council Entry'!AB82)),IF('Council Entry'!AB$4="Exponential",EXP(IF(AND(ISNUMBER('Council Entry'!AB$8),ISNUMBER('Council Entry'!AB$9)),MAX(MIN('Council Entry'!AB82,'Council Entry'!AB$9),'Council Entry'!AB$8),'Council Entry'!AB82)),IF(AND(ISNUMBER('Council Entry'!AB$8),ISNUMBER('Council Entry'!AB$9)),MAX(MIN('Council Entry'!AB82,'Council Entry'!AB$9),'Council Entry'!AB$8),'Council Entry'!AB82))))-'Council Entry'!AB$5)/('Council Entry'!AB$6-'Council Entry'!AB$5),10*((IF('Council Entry'!AB$4="Logarithm",LN(0.001+IF(AND(ISNUMBER('Council Entry'!AB$8),ISNUMBER('Council Entry'!AB$9)),MAX(MIN('Council Entry'!AB82,'Council Entry'!AB$9),'Council Entry'!AB$8),'Council Entry'!AB82)),IF('Council Entry'!AB$4="Exponential",EXP(IF(AND(ISNUMBER('Council Entry'!AB$8),ISNUMBER('Council Entry'!AB$9)),MAX(MIN('Council Entry'!AB82,'Council Entry'!AB$9),'Council Entry'!AB$8),'Council Entry'!AB82)),IF(AND(ISNUMBER('Council Entry'!AB$8),ISNUMBER('Council Entry'!AB$9)),MAX(MIN('Council Entry'!AB82,'Council Entry'!AB$9),'Council Entry'!AB$8),'Council Entry'!AB82))))-'Council Entry'!AB$5)/('Council Entry'!AB$6-'Council Entry'!AB$5)),1))),"No data"))</f>
        <v/>
      </c>
      <c r="AC82" s="13">
        <f>IF('Council Entry'!AC82="","",IFERROR(MAX(0,MIN(10,ROUND(IF('Council Entry'!AC$7="Decrease Risk",10-10*((IF('Council Entry'!AC$4="Logarithm",LN(0.001+IF(AND(ISNUMBER('Council Entry'!AC$8),ISNUMBER('Council Entry'!AC$9)),MAX(MIN('Council Entry'!AC82,'Council Entry'!AC$9),'Council Entry'!AC$8),'Council Entry'!AC82)),IF('Council Entry'!AC$4="Exponential",EXP(IF(AND(ISNUMBER('Council Entry'!AC$8),ISNUMBER('Council Entry'!AC$9)),MAX(MIN('Council Entry'!AC82,'Council Entry'!AC$9),'Council Entry'!AC$8),'Council Entry'!AC82)),IF(AND(ISNUMBER('Council Entry'!AC$8),ISNUMBER('Council Entry'!AC$9)),MAX(MIN('Council Entry'!AC82,'Council Entry'!AC$9),'Council Entry'!AC$8),'Council Entry'!AC82))))-'Council Entry'!AC$5)/('Council Entry'!AC$6-'Council Entry'!AC$5),10*((IF('Council Entry'!AC$4="Logarithm",LN(0.001+IF(AND(ISNUMBER('Council Entry'!AC$8),ISNUMBER('Council Entry'!AC$9)),MAX(MIN('Council Entry'!AC82,'Council Entry'!AC$9),'Council Entry'!AC$8),'Council Entry'!AC82)),IF('Council Entry'!AC$4="Exponential",EXP(IF(AND(ISNUMBER('Council Entry'!AC$8),ISNUMBER('Council Entry'!AC$9)),MAX(MIN('Council Entry'!AC82,'Council Entry'!AC$9),'Council Entry'!AC$8),'Council Entry'!AC82)),IF(AND(ISNUMBER('Council Entry'!AC$8),ISNUMBER('Council Entry'!AC$9)),MAX(MIN('Council Entry'!AC82,'Council Entry'!AC$9),'Council Entry'!AC$8),'Council Entry'!AC82))))-'Council Entry'!AC$5)/('Council Entry'!AC$6-'Council Entry'!AC$5)),1))),"No data"))</f>
        <v/>
      </c>
      <c r="AD82" s="13">
        <f>IF('Council Entry'!AD82="","",IFERROR(MAX(0,MIN(10,ROUND(IF('Council Entry'!AD$7="Decrease Risk",10-10*((IF('Council Entry'!AD$4="Logarithm",LN(0.001+IF(AND(ISNUMBER('Council Entry'!AD$8),ISNUMBER('Council Entry'!AD$9)),MAX(MIN('Council Entry'!AD82,'Council Entry'!AD$9),'Council Entry'!AD$8),'Council Entry'!AD82)),IF('Council Entry'!AD$4="Exponential",EXP(IF(AND(ISNUMBER('Council Entry'!AD$8),ISNUMBER('Council Entry'!AD$9)),MAX(MIN('Council Entry'!AD82,'Council Entry'!AD$9),'Council Entry'!AD$8),'Council Entry'!AD82)),IF(AND(ISNUMBER('Council Entry'!AD$8),ISNUMBER('Council Entry'!AD$9)),MAX(MIN('Council Entry'!AD82,'Council Entry'!AD$9),'Council Entry'!AD$8),'Council Entry'!AD82))))-'Council Entry'!AD$5)/('Council Entry'!AD$6-'Council Entry'!AD$5),10*((IF('Council Entry'!AD$4="Logarithm",LN(0.001+IF(AND(ISNUMBER('Council Entry'!AD$8),ISNUMBER('Council Entry'!AD$9)),MAX(MIN('Council Entry'!AD82,'Council Entry'!AD$9),'Council Entry'!AD$8),'Council Entry'!AD82)),IF('Council Entry'!AD$4="Exponential",EXP(IF(AND(ISNUMBER('Council Entry'!AD$8),ISNUMBER('Council Entry'!AD$9)),MAX(MIN('Council Entry'!AD82,'Council Entry'!AD$9),'Council Entry'!AD$8),'Council Entry'!AD82)),IF(AND(ISNUMBER('Council Entry'!AD$8),ISNUMBER('Council Entry'!AD$9)),MAX(MIN('Council Entry'!AD82,'Council Entry'!AD$9),'Council Entry'!AD$8),'Council Entry'!AD82))))-'Council Entry'!AD$5)/('Council Entry'!AD$6-'Council Entry'!AD$5)),1))),"No data"))</f>
        <v/>
      </c>
      <c r="AE82" s="13">
        <f>IF('Council Entry'!AE82="","",IFERROR(MAX(0,MIN(10,ROUND(IF('Council Entry'!AE$7="Decrease Risk",10-10*((IF('Council Entry'!AE$4="Logarithm",LN(0.001+IF(AND(ISNUMBER('Council Entry'!AE$8),ISNUMBER('Council Entry'!AE$9)),MAX(MIN('Council Entry'!AE82,'Council Entry'!AE$9),'Council Entry'!AE$8),'Council Entry'!AE82)),IF('Council Entry'!AE$4="Exponential",EXP(IF(AND(ISNUMBER('Council Entry'!AE$8),ISNUMBER('Council Entry'!AE$9)),MAX(MIN('Council Entry'!AE82,'Council Entry'!AE$9),'Council Entry'!AE$8),'Council Entry'!AE82)),IF(AND(ISNUMBER('Council Entry'!AE$8),ISNUMBER('Council Entry'!AE$9)),MAX(MIN('Council Entry'!AE82,'Council Entry'!AE$9),'Council Entry'!AE$8),'Council Entry'!AE82))))-'Council Entry'!AE$5)/('Council Entry'!AE$6-'Council Entry'!AE$5),10*((IF('Council Entry'!AE$4="Logarithm",LN(0.001+IF(AND(ISNUMBER('Council Entry'!AE$8),ISNUMBER('Council Entry'!AE$9)),MAX(MIN('Council Entry'!AE82,'Council Entry'!AE$9),'Council Entry'!AE$8),'Council Entry'!AE82)),IF('Council Entry'!AE$4="Exponential",EXP(IF(AND(ISNUMBER('Council Entry'!AE$8),ISNUMBER('Council Entry'!AE$9)),MAX(MIN('Council Entry'!AE82,'Council Entry'!AE$9),'Council Entry'!AE$8),'Council Entry'!AE82)),IF(AND(ISNUMBER('Council Entry'!AE$8),ISNUMBER('Council Entry'!AE$9)),MAX(MIN('Council Entry'!AE82,'Council Entry'!AE$9),'Council Entry'!AE$8),'Council Entry'!AE82))))-'Council Entry'!AE$5)/('Council Entry'!AE$6-'Council Entry'!AE$5)),1))),"No data"))</f>
        <v/>
      </c>
      <c r="AF82" s="13">
        <f>IF('Council Entry'!AF82="","",IFERROR(MAX(0,MIN(10,ROUND(IF('Council Entry'!AF$7="Decrease Risk",10-10*((IF('Council Entry'!AF$4="Logarithm",LN(0.001+IF(AND(ISNUMBER('Council Entry'!AF$8),ISNUMBER('Council Entry'!AF$9)),MAX(MIN('Council Entry'!AF82,'Council Entry'!AF$9),'Council Entry'!AF$8),'Council Entry'!AF82)),IF('Council Entry'!AF$4="Exponential",EXP(IF(AND(ISNUMBER('Council Entry'!AF$8),ISNUMBER('Council Entry'!AF$9)),MAX(MIN('Council Entry'!AF82,'Council Entry'!AF$9),'Council Entry'!AF$8),'Council Entry'!AF82)),IF(AND(ISNUMBER('Council Entry'!AF$8),ISNUMBER('Council Entry'!AF$9)),MAX(MIN('Council Entry'!AF82,'Council Entry'!AF$9),'Council Entry'!AF$8),'Council Entry'!AF82))))-'Council Entry'!AF$5)/('Council Entry'!AF$6-'Council Entry'!AF$5),10*((IF('Council Entry'!AF$4="Logarithm",LN(0.001+IF(AND(ISNUMBER('Council Entry'!AF$8),ISNUMBER('Council Entry'!AF$9)),MAX(MIN('Council Entry'!AF82,'Council Entry'!AF$9),'Council Entry'!AF$8),'Council Entry'!AF82)),IF('Council Entry'!AF$4="Exponential",EXP(IF(AND(ISNUMBER('Council Entry'!AF$8),ISNUMBER('Council Entry'!AF$9)),MAX(MIN('Council Entry'!AF82,'Council Entry'!AF$9),'Council Entry'!AF$8),'Council Entry'!AF82)),IF(AND(ISNUMBER('Council Entry'!AF$8),ISNUMBER('Council Entry'!AF$9)),MAX(MIN('Council Entry'!AF82,'Council Entry'!AF$9),'Council Entry'!AF$8),'Council Entry'!AF82))))-'Council Entry'!AF$5)/('Council Entry'!AF$6-'Council Entry'!AF$5)),1))),"No data"))</f>
        <v/>
      </c>
      <c r="AG82" s="13">
        <f>IF('Council Entry'!AG82="","",IFERROR(MAX(0,MIN(10,ROUND(IF('Council Entry'!AG$7="Decrease Risk",10-10*((IF('Council Entry'!AG$4="Logarithm",LN(0.001+IF(AND(ISNUMBER('Council Entry'!AG$8),ISNUMBER('Council Entry'!AG$9)),MAX(MIN('Council Entry'!AG82,'Council Entry'!AG$9),'Council Entry'!AG$8),'Council Entry'!AG82)),IF('Council Entry'!AG$4="Exponential",EXP(IF(AND(ISNUMBER('Council Entry'!AG$8),ISNUMBER('Council Entry'!AG$9)),MAX(MIN('Council Entry'!AG82,'Council Entry'!AG$9),'Council Entry'!AG$8),'Council Entry'!AG82)),IF(AND(ISNUMBER('Council Entry'!AG$8),ISNUMBER('Council Entry'!AG$9)),MAX(MIN('Council Entry'!AG82,'Council Entry'!AG$9),'Council Entry'!AG$8),'Council Entry'!AG82))))-'Council Entry'!AG$5)/('Council Entry'!AG$6-'Council Entry'!AG$5),10*((IF('Council Entry'!AG$4="Logarithm",LN(0.001+IF(AND(ISNUMBER('Council Entry'!AG$8),ISNUMBER('Council Entry'!AG$9)),MAX(MIN('Council Entry'!AG82,'Council Entry'!AG$9),'Council Entry'!AG$8),'Council Entry'!AG82)),IF('Council Entry'!AG$4="Exponential",EXP(IF(AND(ISNUMBER('Council Entry'!AG$8),ISNUMBER('Council Entry'!AG$9)),MAX(MIN('Council Entry'!AG82,'Council Entry'!AG$9),'Council Entry'!AG$8),'Council Entry'!AG82)),IF(AND(ISNUMBER('Council Entry'!AG$8),ISNUMBER('Council Entry'!AG$9)),MAX(MIN('Council Entry'!AG82,'Council Entry'!AG$9),'Council Entry'!AG$8),'Council Entry'!AG82))))-'Council Entry'!AG$5)/('Council Entry'!AG$6-'Council Entry'!AG$5)),1))),"No data"))</f>
        <v/>
      </c>
      <c r="AH82" s="13">
        <f>IF('Council Entry'!AH82="","",IFERROR(MAX(0,MIN(10,ROUND(IF('Council Entry'!AH$7="Decrease Risk",10-10*((IF('Council Entry'!AH$4="Logarithm",LN(0.001+IF(AND(ISNUMBER('Council Entry'!AH$8),ISNUMBER('Council Entry'!AH$9)),MAX(MIN('Council Entry'!AH82,'Council Entry'!AH$9),'Council Entry'!AH$8),'Council Entry'!AH82)),IF('Council Entry'!AH$4="Exponential",EXP(IF(AND(ISNUMBER('Council Entry'!AH$8),ISNUMBER('Council Entry'!AH$9)),MAX(MIN('Council Entry'!AH82,'Council Entry'!AH$9),'Council Entry'!AH$8),'Council Entry'!AH82)),IF(AND(ISNUMBER('Council Entry'!AH$8),ISNUMBER('Council Entry'!AH$9)),MAX(MIN('Council Entry'!AH82,'Council Entry'!AH$9),'Council Entry'!AH$8),'Council Entry'!AH82))))-'Council Entry'!AH$5)/('Council Entry'!AH$6-'Council Entry'!AH$5),10*((IF('Council Entry'!AH$4="Logarithm",LN(0.001+IF(AND(ISNUMBER('Council Entry'!AH$8),ISNUMBER('Council Entry'!AH$9)),MAX(MIN('Council Entry'!AH82,'Council Entry'!AH$9),'Council Entry'!AH$8),'Council Entry'!AH82)),IF('Council Entry'!AH$4="Exponential",EXP(IF(AND(ISNUMBER('Council Entry'!AH$8),ISNUMBER('Council Entry'!AH$9)),MAX(MIN('Council Entry'!AH82,'Council Entry'!AH$9),'Council Entry'!AH$8),'Council Entry'!AH82)),IF(AND(ISNUMBER('Council Entry'!AH$8),ISNUMBER('Council Entry'!AH$9)),MAX(MIN('Council Entry'!AH82,'Council Entry'!AH$9),'Council Entry'!AH$8),'Council Entry'!AH82))))-'Council Entry'!AH$5)/('Council Entry'!AH$6-'Council Entry'!AH$5)),1))),"No data"))</f>
        <v/>
      </c>
      <c r="AI82" s="13">
        <f>IF('Council Entry'!AI82="","",IFERROR(MAX(0,MIN(10,ROUND(IF('Council Entry'!AI$7="Decrease Risk",10-10*((IF('Council Entry'!AI$4="Logarithm",LN(0.001+IF(AND(ISNUMBER('Council Entry'!AI$8),ISNUMBER('Council Entry'!AI$9)),MAX(MIN('Council Entry'!AI82,'Council Entry'!AI$9),'Council Entry'!AI$8),'Council Entry'!AI82)),IF('Council Entry'!AI$4="Exponential",EXP(IF(AND(ISNUMBER('Council Entry'!AI$8),ISNUMBER('Council Entry'!AI$9)),MAX(MIN('Council Entry'!AI82,'Council Entry'!AI$9),'Council Entry'!AI$8),'Council Entry'!AI82)),IF(AND(ISNUMBER('Council Entry'!AI$8),ISNUMBER('Council Entry'!AI$9)),MAX(MIN('Council Entry'!AI82,'Council Entry'!AI$9),'Council Entry'!AI$8),'Council Entry'!AI82))))-'Council Entry'!AI$5)/('Council Entry'!AI$6-'Council Entry'!AI$5),10*((IF('Council Entry'!AI$4="Logarithm",LN(0.001+IF(AND(ISNUMBER('Council Entry'!AI$8),ISNUMBER('Council Entry'!AI$9)),MAX(MIN('Council Entry'!AI82,'Council Entry'!AI$9),'Council Entry'!AI$8),'Council Entry'!AI82)),IF('Council Entry'!AI$4="Exponential",EXP(IF(AND(ISNUMBER('Council Entry'!AI$8),ISNUMBER('Council Entry'!AI$9)),MAX(MIN('Council Entry'!AI82,'Council Entry'!AI$9),'Council Entry'!AI$8),'Council Entry'!AI82)),IF(AND(ISNUMBER('Council Entry'!AI$8),ISNUMBER('Council Entry'!AI$9)),MAX(MIN('Council Entry'!AI82,'Council Entry'!AI$9),'Council Entry'!AI$8),'Council Entry'!AI82))))-'Council Entry'!AI$5)/('Council Entry'!AI$6-'Council Entry'!AI$5)),1))),"No data"))</f>
        <v/>
      </c>
      <c r="AJ82" s="13">
        <f>IF('Council Entry'!AJ82="","",IFERROR(MAX(0,MIN(10,ROUND(IF('Council Entry'!AJ$7="Decrease Risk",10-10*((IF('Council Entry'!AJ$4="Logarithm",LN(0.001+IF(AND(ISNUMBER('Council Entry'!AJ$8),ISNUMBER('Council Entry'!AJ$9)),MAX(MIN('Council Entry'!AJ82,'Council Entry'!AJ$9),'Council Entry'!AJ$8),'Council Entry'!AJ82)),IF('Council Entry'!AJ$4="Exponential",EXP(IF(AND(ISNUMBER('Council Entry'!AJ$8),ISNUMBER('Council Entry'!AJ$9)),MAX(MIN('Council Entry'!AJ82,'Council Entry'!AJ$9),'Council Entry'!AJ$8),'Council Entry'!AJ82)),IF(AND(ISNUMBER('Council Entry'!AJ$8),ISNUMBER('Council Entry'!AJ$9)),MAX(MIN('Council Entry'!AJ82,'Council Entry'!AJ$9),'Council Entry'!AJ$8),'Council Entry'!AJ82))))-'Council Entry'!AJ$5)/('Council Entry'!AJ$6-'Council Entry'!AJ$5),10*((IF('Council Entry'!AJ$4="Logarithm",LN(0.001+IF(AND(ISNUMBER('Council Entry'!AJ$8),ISNUMBER('Council Entry'!AJ$9)),MAX(MIN('Council Entry'!AJ82,'Council Entry'!AJ$9),'Council Entry'!AJ$8),'Council Entry'!AJ82)),IF('Council Entry'!AJ$4="Exponential",EXP(IF(AND(ISNUMBER('Council Entry'!AJ$8),ISNUMBER('Council Entry'!AJ$9)),MAX(MIN('Council Entry'!AJ82,'Council Entry'!AJ$9),'Council Entry'!AJ$8),'Council Entry'!AJ82)),IF(AND(ISNUMBER('Council Entry'!AJ$8),ISNUMBER('Council Entry'!AJ$9)),MAX(MIN('Council Entry'!AJ82,'Council Entry'!AJ$9),'Council Entry'!AJ$8),'Council Entry'!AJ82))))-'Council Entry'!AJ$5)/('Council Entry'!AJ$6-'Council Entry'!AJ$5)),1))),"No data"))</f>
        <v/>
      </c>
      <c r="AK82" s="13">
        <f>IF('Council Entry'!AK82="","",IFERROR(MAX(0,MIN(10,ROUND(IF('Council Entry'!AK$7="Decrease Risk",10-10*((IF('Council Entry'!AK$4="Logarithm",LN(0.001+IF(AND(ISNUMBER('Council Entry'!AK$8),ISNUMBER('Council Entry'!AK$9)),MAX(MIN('Council Entry'!AK82,'Council Entry'!AK$9),'Council Entry'!AK$8),'Council Entry'!AK82)),IF('Council Entry'!AK$4="Exponential",EXP(IF(AND(ISNUMBER('Council Entry'!AK$8),ISNUMBER('Council Entry'!AK$9)),MAX(MIN('Council Entry'!AK82,'Council Entry'!AK$9),'Council Entry'!AK$8),'Council Entry'!AK82)),IF(AND(ISNUMBER('Council Entry'!AK$8),ISNUMBER('Council Entry'!AK$9)),MAX(MIN('Council Entry'!AK82,'Council Entry'!AK$9),'Council Entry'!AK$8),'Council Entry'!AK82))))-'Council Entry'!AK$5)/('Council Entry'!AK$6-'Council Entry'!AK$5),10*((IF('Council Entry'!AK$4="Logarithm",LN(0.001+IF(AND(ISNUMBER('Council Entry'!AK$8),ISNUMBER('Council Entry'!AK$9)),MAX(MIN('Council Entry'!AK82,'Council Entry'!AK$9),'Council Entry'!AK$8),'Council Entry'!AK82)),IF('Council Entry'!AK$4="Exponential",EXP(IF(AND(ISNUMBER('Council Entry'!AK$8),ISNUMBER('Council Entry'!AK$9)),MAX(MIN('Council Entry'!AK82,'Council Entry'!AK$9),'Council Entry'!AK$8),'Council Entry'!AK82)),IF(AND(ISNUMBER('Council Entry'!AK$8),ISNUMBER('Council Entry'!AK$9)),MAX(MIN('Council Entry'!AK82,'Council Entry'!AK$9),'Council Entry'!AK$8),'Council Entry'!AK82))))-'Council Entry'!AK$5)/('Council Entry'!AK$6-'Council Entry'!AK$5)),1))),"No data"))</f>
        <v/>
      </c>
      <c r="AL82" s="13">
        <f>IF('Council Entry'!AL82="","",IFERROR(MAX(0,MIN(10,ROUND(IF('Council Entry'!AL$7="Decrease Risk",10-10*((IF('Council Entry'!AL$4="Logarithm",LN(0.001+IF(AND(ISNUMBER('Council Entry'!AL$8),ISNUMBER('Council Entry'!AL$9)),MAX(MIN('Council Entry'!AL82,'Council Entry'!AL$9),'Council Entry'!AL$8),'Council Entry'!AL82)),IF('Council Entry'!AL$4="Exponential",EXP(IF(AND(ISNUMBER('Council Entry'!AL$8),ISNUMBER('Council Entry'!AL$9)),MAX(MIN('Council Entry'!AL82,'Council Entry'!AL$9),'Council Entry'!AL$8),'Council Entry'!AL82)),IF(AND(ISNUMBER('Council Entry'!AL$8),ISNUMBER('Council Entry'!AL$9)),MAX(MIN('Council Entry'!AL82,'Council Entry'!AL$9),'Council Entry'!AL$8),'Council Entry'!AL82))))-'Council Entry'!AL$5)/('Council Entry'!AL$6-'Council Entry'!AL$5),10*((IF('Council Entry'!AL$4="Logarithm",LN(0.001+IF(AND(ISNUMBER('Council Entry'!AL$8),ISNUMBER('Council Entry'!AL$9)),MAX(MIN('Council Entry'!AL82,'Council Entry'!AL$9),'Council Entry'!AL$8),'Council Entry'!AL82)),IF('Council Entry'!AL$4="Exponential",EXP(IF(AND(ISNUMBER('Council Entry'!AL$8),ISNUMBER('Council Entry'!AL$9)),MAX(MIN('Council Entry'!AL82,'Council Entry'!AL$9),'Council Entry'!AL$8),'Council Entry'!AL82)),IF(AND(ISNUMBER('Council Entry'!AL$8),ISNUMBER('Council Entry'!AL$9)),MAX(MIN('Council Entry'!AL82,'Council Entry'!AL$9),'Council Entry'!AL$8),'Council Entry'!AL82))))-'Council Entry'!AL$5)/('Council Entry'!AL$6-'Council Entry'!AL$5)),1))),"No data"))</f>
        <v/>
      </c>
      <c r="AM82" s="13">
        <f>IF('Council Entry'!AM82="","",IFERROR(MAX(0,MIN(10,ROUND(IF('Council Entry'!AM$7="Decrease Risk",10-10*((IF('Council Entry'!AM$4="Logarithm",LN(0.001+IF(AND(ISNUMBER('Council Entry'!AM$8),ISNUMBER('Council Entry'!AM$9)),MAX(MIN('Council Entry'!AM82,'Council Entry'!AM$9),'Council Entry'!AM$8),'Council Entry'!AM82)),IF('Council Entry'!AM$4="Exponential",EXP(IF(AND(ISNUMBER('Council Entry'!AM$8),ISNUMBER('Council Entry'!AM$9)),MAX(MIN('Council Entry'!AM82,'Council Entry'!AM$9),'Council Entry'!AM$8),'Council Entry'!AM82)),IF(AND(ISNUMBER('Council Entry'!AM$8),ISNUMBER('Council Entry'!AM$9)),MAX(MIN('Council Entry'!AM82,'Council Entry'!AM$9),'Council Entry'!AM$8),'Council Entry'!AM82))))-'Council Entry'!AM$5)/('Council Entry'!AM$6-'Council Entry'!AM$5),10*((IF('Council Entry'!AM$4="Logarithm",LN(0.001+IF(AND(ISNUMBER('Council Entry'!AM$8),ISNUMBER('Council Entry'!AM$9)),MAX(MIN('Council Entry'!AM82,'Council Entry'!AM$9),'Council Entry'!AM$8),'Council Entry'!AM82)),IF('Council Entry'!AM$4="Exponential",EXP(IF(AND(ISNUMBER('Council Entry'!AM$8),ISNUMBER('Council Entry'!AM$9)),MAX(MIN('Council Entry'!AM82,'Council Entry'!AM$9),'Council Entry'!AM$8),'Council Entry'!AM82)),IF(AND(ISNUMBER('Council Entry'!AM$8),ISNUMBER('Council Entry'!AM$9)),MAX(MIN('Council Entry'!AM82,'Council Entry'!AM$9),'Council Entry'!AM$8),'Council Entry'!AM82))))-'Council Entry'!AM$5)/('Council Entry'!AM$6-'Council Entry'!AM$5)),1))),"No data"))</f>
        <v/>
      </c>
      <c r="AN82" s="13">
        <f>IF('Council Entry'!AN82="","",IFERROR(MAX(0,MIN(10,ROUND(IF('Council Entry'!AN$7="Decrease Risk",10-10*((IF('Council Entry'!AN$4="Logarithm",LN(0.001+IF(AND(ISNUMBER('Council Entry'!AN$8),ISNUMBER('Council Entry'!AN$9)),MAX(MIN('Council Entry'!AN82,'Council Entry'!AN$9),'Council Entry'!AN$8),'Council Entry'!AN82)),IF('Council Entry'!AN$4="Exponential",EXP(IF(AND(ISNUMBER('Council Entry'!AN$8),ISNUMBER('Council Entry'!AN$9)),MAX(MIN('Council Entry'!AN82,'Council Entry'!AN$9),'Council Entry'!AN$8),'Council Entry'!AN82)),IF(AND(ISNUMBER('Council Entry'!AN$8),ISNUMBER('Council Entry'!AN$9)),MAX(MIN('Council Entry'!AN82,'Council Entry'!AN$9),'Council Entry'!AN$8),'Council Entry'!AN82))))-'Council Entry'!AN$5)/('Council Entry'!AN$6-'Council Entry'!AN$5),10*((IF('Council Entry'!AN$4="Logarithm",LN(0.001+IF(AND(ISNUMBER('Council Entry'!AN$8),ISNUMBER('Council Entry'!AN$9)),MAX(MIN('Council Entry'!AN82,'Council Entry'!AN$9),'Council Entry'!AN$8),'Council Entry'!AN82)),IF('Council Entry'!AN$4="Exponential",EXP(IF(AND(ISNUMBER('Council Entry'!AN$8),ISNUMBER('Council Entry'!AN$9)),MAX(MIN('Council Entry'!AN82,'Council Entry'!AN$9),'Council Entry'!AN$8),'Council Entry'!AN82)),IF(AND(ISNUMBER('Council Entry'!AN$8),ISNUMBER('Council Entry'!AN$9)),MAX(MIN('Council Entry'!AN82,'Council Entry'!AN$9),'Council Entry'!AN$8),'Council Entry'!AN82))))-'Council Entry'!AN$5)/('Council Entry'!AN$6-'Council Entry'!AN$5)),1))),"No data"))</f>
        <v/>
      </c>
      <c r="AO82" s="13">
        <f>IF('Council Entry'!AO82="","",IFERROR(MAX(0,MIN(10,ROUND(IF('Council Entry'!AO$7="Decrease Risk",10-10*((IF('Council Entry'!AO$4="Logarithm",LN(0.001+IF(AND(ISNUMBER('Council Entry'!AO$8),ISNUMBER('Council Entry'!AO$9)),MAX(MIN('Council Entry'!AO82,'Council Entry'!AO$9),'Council Entry'!AO$8),'Council Entry'!AO82)),IF('Council Entry'!AO$4="Exponential",EXP(IF(AND(ISNUMBER('Council Entry'!AO$8),ISNUMBER('Council Entry'!AO$9)),MAX(MIN('Council Entry'!AO82,'Council Entry'!AO$9),'Council Entry'!AO$8),'Council Entry'!AO82)),IF(AND(ISNUMBER('Council Entry'!AO$8),ISNUMBER('Council Entry'!AO$9)),MAX(MIN('Council Entry'!AO82,'Council Entry'!AO$9),'Council Entry'!AO$8),'Council Entry'!AO82))))-'Council Entry'!AO$5)/('Council Entry'!AO$6-'Council Entry'!AO$5),10*((IF('Council Entry'!AO$4="Logarithm",LN(0.001+IF(AND(ISNUMBER('Council Entry'!AO$8),ISNUMBER('Council Entry'!AO$9)),MAX(MIN('Council Entry'!AO82,'Council Entry'!AO$9),'Council Entry'!AO$8),'Council Entry'!AO82)),IF('Council Entry'!AO$4="Exponential",EXP(IF(AND(ISNUMBER('Council Entry'!AO$8),ISNUMBER('Council Entry'!AO$9)),MAX(MIN('Council Entry'!AO82,'Council Entry'!AO$9),'Council Entry'!AO$8),'Council Entry'!AO82)),IF(AND(ISNUMBER('Council Entry'!AO$8),ISNUMBER('Council Entry'!AO$9)),MAX(MIN('Council Entry'!AO82,'Council Entry'!AO$9),'Council Entry'!AO$8),'Council Entry'!AO82))))-'Council Entry'!AO$5)/('Council Entry'!AO$6-'Council Entry'!AO$5)),1))),"No data"))</f>
        <v/>
      </c>
      <c r="AP82" s="13">
        <f>IF('Council Entry'!AP82="","",IFERROR(MAX(0,MIN(10,ROUND(IF('Council Entry'!AP$7="Decrease Risk",10-10*((IF('Council Entry'!AP$4="Logarithm",LN(0.001+IF(AND(ISNUMBER('Council Entry'!AP$8),ISNUMBER('Council Entry'!AP$9)),MAX(MIN('Council Entry'!AP82,'Council Entry'!AP$9),'Council Entry'!AP$8),'Council Entry'!AP82)),IF('Council Entry'!AP$4="Exponential",EXP(IF(AND(ISNUMBER('Council Entry'!AP$8),ISNUMBER('Council Entry'!AP$9)),MAX(MIN('Council Entry'!AP82,'Council Entry'!AP$9),'Council Entry'!AP$8),'Council Entry'!AP82)),IF(AND(ISNUMBER('Council Entry'!AP$8),ISNUMBER('Council Entry'!AP$9)),MAX(MIN('Council Entry'!AP82,'Council Entry'!AP$9),'Council Entry'!AP$8),'Council Entry'!AP82))))-'Council Entry'!AP$5)/('Council Entry'!AP$6-'Council Entry'!AP$5),10*((IF('Council Entry'!AP$4="Logarithm",LN(0.001+IF(AND(ISNUMBER('Council Entry'!AP$8),ISNUMBER('Council Entry'!AP$9)),MAX(MIN('Council Entry'!AP82,'Council Entry'!AP$9),'Council Entry'!AP$8),'Council Entry'!AP82)),IF('Council Entry'!AP$4="Exponential",EXP(IF(AND(ISNUMBER('Council Entry'!AP$8),ISNUMBER('Council Entry'!AP$9)),MAX(MIN('Council Entry'!AP82,'Council Entry'!AP$9),'Council Entry'!AP$8),'Council Entry'!AP82)),IF(AND(ISNUMBER('Council Entry'!AP$8),ISNUMBER('Council Entry'!AP$9)),MAX(MIN('Council Entry'!AP82,'Council Entry'!AP$9),'Council Entry'!AP$8),'Council Entry'!AP82))))-'Council Entry'!AP$5)/('Council Entry'!AP$6-'Council Entry'!AP$5)),1))),"No data"))</f>
        <v/>
      </c>
      <c r="AQ82" s="13">
        <f>IF('Council Entry'!AQ82="","",IFERROR(MAX(0,MIN(10,ROUND(IF('Council Entry'!AQ$7="Decrease Risk",10-10*((IF('Council Entry'!AQ$4="Logarithm",LN(0.001+IF(AND(ISNUMBER('Council Entry'!AQ$8),ISNUMBER('Council Entry'!AQ$9)),MAX(MIN('Council Entry'!AQ82,'Council Entry'!AQ$9),'Council Entry'!AQ$8),'Council Entry'!AQ82)),IF('Council Entry'!AQ$4="Exponential",EXP(IF(AND(ISNUMBER('Council Entry'!AQ$8),ISNUMBER('Council Entry'!AQ$9)),MAX(MIN('Council Entry'!AQ82,'Council Entry'!AQ$9),'Council Entry'!AQ$8),'Council Entry'!AQ82)),IF(AND(ISNUMBER('Council Entry'!AQ$8),ISNUMBER('Council Entry'!AQ$9)),MAX(MIN('Council Entry'!AQ82,'Council Entry'!AQ$9),'Council Entry'!AQ$8),'Council Entry'!AQ82))))-'Council Entry'!AQ$5)/('Council Entry'!AQ$6-'Council Entry'!AQ$5),10*((IF('Council Entry'!AQ$4="Logarithm",LN(0.001+IF(AND(ISNUMBER('Council Entry'!AQ$8),ISNUMBER('Council Entry'!AQ$9)),MAX(MIN('Council Entry'!AQ82,'Council Entry'!AQ$9),'Council Entry'!AQ$8),'Council Entry'!AQ82)),IF('Council Entry'!AQ$4="Exponential",EXP(IF(AND(ISNUMBER('Council Entry'!AQ$8),ISNUMBER('Council Entry'!AQ$9)),MAX(MIN('Council Entry'!AQ82,'Council Entry'!AQ$9),'Council Entry'!AQ$8),'Council Entry'!AQ82)),IF(AND(ISNUMBER('Council Entry'!AQ$8),ISNUMBER('Council Entry'!AQ$9)),MAX(MIN('Council Entry'!AQ82,'Council Entry'!AQ$9),'Council Entry'!AQ$8),'Council Entry'!AQ82))))-'Council Entry'!AQ$5)/('Council Entry'!AQ$6-'Council Entry'!AQ$5)),1))),"No data"))</f>
        <v/>
      </c>
      <c r="AR82" s="13">
        <f>IF('Council Entry'!AR82="","",IFERROR(MAX(0,MIN(10,ROUND(IF('Council Entry'!AR$7="Decrease Risk",10-10*((IF('Council Entry'!AR$4="Logarithm",LN(0.001+IF(AND(ISNUMBER('Council Entry'!AR$8),ISNUMBER('Council Entry'!AR$9)),MAX(MIN('Council Entry'!AR82,'Council Entry'!AR$9),'Council Entry'!AR$8),'Council Entry'!AR82)),IF('Council Entry'!AR$4="Exponential",EXP(IF(AND(ISNUMBER('Council Entry'!AR$8),ISNUMBER('Council Entry'!AR$9)),MAX(MIN('Council Entry'!AR82,'Council Entry'!AR$9),'Council Entry'!AR$8),'Council Entry'!AR82)),IF(AND(ISNUMBER('Council Entry'!AR$8),ISNUMBER('Council Entry'!AR$9)),MAX(MIN('Council Entry'!AR82,'Council Entry'!AR$9),'Council Entry'!AR$8),'Council Entry'!AR82))))-'Council Entry'!AR$5)/('Council Entry'!AR$6-'Council Entry'!AR$5),10*((IF('Council Entry'!AR$4="Logarithm",LN(0.001+IF(AND(ISNUMBER('Council Entry'!AR$8),ISNUMBER('Council Entry'!AR$9)),MAX(MIN('Council Entry'!AR82,'Council Entry'!AR$9),'Council Entry'!AR$8),'Council Entry'!AR82)),IF('Council Entry'!AR$4="Exponential",EXP(IF(AND(ISNUMBER('Council Entry'!AR$8),ISNUMBER('Council Entry'!AR$9)),MAX(MIN('Council Entry'!AR82,'Council Entry'!AR$9),'Council Entry'!AR$8),'Council Entry'!AR82)),IF(AND(ISNUMBER('Council Entry'!AR$8),ISNUMBER('Council Entry'!AR$9)),MAX(MIN('Council Entry'!AR82,'Council Entry'!AR$9),'Council Entry'!AR$8),'Council Entry'!AR82))))-'Council Entry'!AR$5)/('Council Entry'!AR$6-'Council Entry'!AR$5)),1))),"No data"))</f>
        <v/>
      </c>
      <c r="AS82" s="13">
        <f>IF('Council Entry'!AS82="","",IFERROR(MAX(0,MIN(10,ROUND(IF('Council Entry'!AS$7="Decrease Risk",10-10*((IF('Council Entry'!AS$4="Logarithm",LN(0.001+IF(AND(ISNUMBER('Council Entry'!AS$8),ISNUMBER('Council Entry'!AS$9)),MAX(MIN('Council Entry'!AS82,'Council Entry'!AS$9),'Council Entry'!AS$8),'Council Entry'!AS82)),IF('Council Entry'!AS$4="Exponential",EXP(IF(AND(ISNUMBER('Council Entry'!AS$8),ISNUMBER('Council Entry'!AS$9)),MAX(MIN('Council Entry'!AS82,'Council Entry'!AS$9),'Council Entry'!AS$8),'Council Entry'!AS82)),IF(AND(ISNUMBER('Council Entry'!AS$8),ISNUMBER('Council Entry'!AS$9)),MAX(MIN('Council Entry'!AS82,'Council Entry'!AS$9),'Council Entry'!AS$8),'Council Entry'!AS82))))-'Council Entry'!AS$5)/('Council Entry'!AS$6-'Council Entry'!AS$5),10*((IF('Council Entry'!AS$4="Logarithm",LN(0.001+IF(AND(ISNUMBER('Council Entry'!AS$8),ISNUMBER('Council Entry'!AS$9)),MAX(MIN('Council Entry'!AS82,'Council Entry'!AS$9),'Council Entry'!AS$8),'Council Entry'!AS82)),IF('Council Entry'!AS$4="Exponential",EXP(IF(AND(ISNUMBER('Council Entry'!AS$8),ISNUMBER('Council Entry'!AS$9)),MAX(MIN('Council Entry'!AS82,'Council Entry'!AS$9),'Council Entry'!AS$8),'Council Entry'!AS82)),IF(AND(ISNUMBER('Council Entry'!AS$8),ISNUMBER('Council Entry'!AS$9)),MAX(MIN('Council Entry'!AS82,'Council Entry'!AS$9),'Council Entry'!AS$8),'Council Entry'!AS82))))-'Council Entry'!AS$5)/('Council Entry'!AS$6-'Council Entry'!AS$5)),1))),"No data"))</f>
        <v/>
      </c>
      <c r="AT82" s="13">
        <f>IF('Council Entry'!AT82="","",IFERROR(MAX(0,MIN(10,ROUND(IF('Council Entry'!AT$7="Decrease Risk",10-10*((IF('Council Entry'!AT$4="Logarithm",LN(0.001+IF(AND(ISNUMBER('Council Entry'!AT$8),ISNUMBER('Council Entry'!AT$9)),MAX(MIN('Council Entry'!AT82,'Council Entry'!AT$9),'Council Entry'!AT$8),'Council Entry'!AT82)),IF('Council Entry'!AT$4="Exponential",EXP(IF(AND(ISNUMBER('Council Entry'!AT$8),ISNUMBER('Council Entry'!AT$9)),MAX(MIN('Council Entry'!AT82,'Council Entry'!AT$9),'Council Entry'!AT$8),'Council Entry'!AT82)),IF(AND(ISNUMBER('Council Entry'!AT$8),ISNUMBER('Council Entry'!AT$9)),MAX(MIN('Council Entry'!AT82,'Council Entry'!AT$9),'Council Entry'!AT$8),'Council Entry'!AT82))))-'Council Entry'!AT$5)/('Council Entry'!AT$6-'Council Entry'!AT$5),10*((IF('Council Entry'!AT$4="Logarithm",LN(0.001+IF(AND(ISNUMBER('Council Entry'!AT$8),ISNUMBER('Council Entry'!AT$9)),MAX(MIN('Council Entry'!AT82,'Council Entry'!AT$9),'Council Entry'!AT$8),'Council Entry'!AT82)),IF('Council Entry'!AT$4="Exponential",EXP(IF(AND(ISNUMBER('Council Entry'!AT$8),ISNUMBER('Council Entry'!AT$9)),MAX(MIN('Council Entry'!AT82,'Council Entry'!AT$9),'Council Entry'!AT$8),'Council Entry'!AT82)),IF(AND(ISNUMBER('Council Entry'!AT$8),ISNUMBER('Council Entry'!AT$9)),MAX(MIN('Council Entry'!AT82,'Council Entry'!AT$9),'Council Entry'!AT$8),'Council Entry'!AT82))))-'Council Entry'!AT$5)/('Council Entry'!AT$6-'Council Entry'!AT$5)),1))),"No data"))</f>
        <v/>
      </c>
      <c r="AU82" s="13">
        <f>IF('Council Entry'!AU82="","",IFERROR(MAX(0,MIN(10,ROUND(IF('Council Entry'!AU$7="Decrease Risk",10-10*((IF('Council Entry'!AU$4="Logarithm",LN(0.001+IF(AND(ISNUMBER('Council Entry'!AU$8),ISNUMBER('Council Entry'!AU$9)),MAX(MIN('Council Entry'!AU82,'Council Entry'!AU$9),'Council Entry'!AU$8),'Council Entry'!AU82)),IF('Council Entry'!AU$4="Exponential",EXP(IF(AND(ISNUMBER('Council Entry'!AU$8),ISNUMBER('Council Entry'!AU$9)),MAX(MIN('Council Entry'!AU82,'Council Entry'!AU$9),'Council Entry'!AU$8),'Council Entry'!AU82)),IF(AND(ISNUMBER('Council Entry'!AU$8),ISNUMBER('Council Entry'!AU$9)),MAX(MIN('Council Entry'!AU82,'Council Entry'!AU$9),'Council Entry'!AU$8),'Council Entry'!AU82))))-'Council Entry'!AU$5)/('Council Entry'!AU$6-'Council Entry'!AU$5),10*((IF('Council Entry'!AU$4="Logarithm",LN(0.001+IF(AND(ISNUMBER('Council Entry'!AU$8),ISNUMBER('Council Entry'!AU$9)),MAX(MIN('Council Entry'!AU82,'Council Entry'!AU$9),'Council Entry'!AU$8),'Council Entry'!AU82)),IF('Council Entry'!AU$4="Exponential",EXP(IF(AND(ISNUMBER('Council Entry'!AU$8),ISNUMBER('Council Entry'!AU$9)),MAX(MIN('Council Entry'!AU82,'Council Entry'!AU$9),'Council Entry'!AU$8),'Council Entry'!AU82)),IF(AND(ISNUMBER('Council Entry'!AU$8),ISNUMBER('Council Entry'!AU$9)),MAX(MIN('Council Entry'!AU82,'Council Entry'!AU$9),'Council Entry'!AU$8),'Council Entry'!AU82))))-'Council Entry'!AU$5)/('Council Entry'!AU$6-'Council Entry'!AU$5)),1))),"No data"))</f>
        <v/>
      </c>
      <c r="AV82" s="13">
        <f>IF('Council Entry'!AV82="","",IFERROR(MAX(0,MIN(10,ROUND(IF('Council Entry'!AV$7="Decrease Risk",10-10*((IF('Council Entry'!AV$4="Logarithm",LN(0.001+IF(AND(ISNUMBER('Council Entry'!AV$8),ISNUMBER('Council Entry'!AV$9)),MAX(MIN('Council Entry'!AV82,'Council Entry'!AV$9),'Council Entry'!AV$8),'Council Entry'!AV82)),IF('Council Entry'!AV$4="Exponential",EXP(IF(AND(ISNUMBER('Council Entry'!AV$8),ISNUMBER('Council Entry'!AV$9)),MAX(MIN('Council Entry'!AV82,'Council Entry'!AV$9),'Council Entry'!AV$8),'Council Entry'!AV82)),IF(AND(ISNUMBER('Council Entry'!AV$8),ISNUMBER('Council Entry'!AV$9)),MAX(MIN('Council Entry'!AV82,'Council Entry'!AV$9),'Council Entry'!AV$8),'Council Entry'!AV82))))-'Council Entry'!AV$5)/('Council Entry'!AV$6-'Council Entry'!AV$5),10*((IF('Council Entry'!AV$4="Logarithm",LN(0.001+IF(AND(ISNUMBER('Council Entry'!AV$8),ISNUMBER('Council Entry'!AV$9)),MAX(MIN('Council Entry'!AV82,'Council Entry'!AV$9),'Council Entry'!AV$8),'Council Entry'!AV82)),IF('Council Entry'!AV$4="Exponential",EXP(IF(AND(ISNUMBER('Council Entry'!AV$8),ISNUMBER('Council Entry'!AV$9)),MAX(MIN('Council Entry'!AV82,'Council Entry'!AV$9),'Council Entry'!AV$8),'Council Entry'!AV82)),IF(AND(ISNUMBER('Council Entry'!AV$8),ISNUMBER('Council Entry'!AV$9)),MAX(MIN('Council Entry'!AV82,'Council Entry'!AV$9),'Council Entry'!AV$8),'Council Entry'!AV82))))-'Council Entry'!AV$5)/('Council Entry'!AV$6-'Council Entry'!AV$5)),1))),"No data"))</f>
        <v/>
      </c>
      <c r="AW82" s="13">
        <f>IF('Council Entry'!AW82="","",IFERROR(MAX(0,MIN(10,ROUND(IF('Council Entry'!AW$7="Decrease Risk",10-10*((IF('Council Entry'!AW$4="Logarithm",LN(0.001+IF(AND(ISNUMBER('Council Entry'!AW$8),ISNUMBER('Council Entry'!AW$9)),MAX(MIN('Council Entry'!AW82,'Council Entry'!AW$9),'Council Entry'!AW$8),'Council Entry'!AW82)),IF('Council Entry'!AW$4="Exponential",EXP(IF(AND(ISNUMBER('Council Entry'!AW$8),ISNUMBER('Council Entry'!AW$9)),MAX(MIN('Council Entry'!AW82,'Council Entry'!AW$9),'Council Entry'!AW$8),'Council Entry'!AW82)),IF(AND(ISNUMBER('Council Entry'!AW$8),ISNUMBER('Council Entry'!AW$9)),MAX(MIN('Council Entry'!AW82,'Council Entry'!AW$9),'Council Entry'!AW$8),'Council Entry'!AW82))))-'Council Entry'!AW$5)/('Council Entry'!AW$6-'Council Entry'!AW$5),10*((IF('Council Entry'!AW$4="Logarithm",LN(0.001+IF(AND(ISNUMBER('Council Entry'!AW$8),ISNUMBER('Council Entry'!AW$9)),MAX(MIN('Council Entry'!AW82,'Council Entry'!AW$9),'Council Entry'!AW$8),'Council Entry'!AW82)),IF('Council Entry'!AW$4="Exponential",EXP(IF(AND(ISNUMBER('Council Entry'!AW$8),ISNUMBER('Council Entry'!AW$9)),MAX(MIN('Council Entry'!AW82,'Council Entry'!AW$9),'Council Entry'!AW$8),'Council Entry'!AW82)),IF(AND(ISNUMBER('Council Entry'!AW$8),ISNUMBER('Council Entry'!AW$9)),MAX(MIN('Council Entry'!AW82,'Council Entry'!AW$9),'Council Entry'!AW$8),'Council Entry'!AW82))))-'Council Entry'!AW$5)/('Council Entry'!AW$6-'Council Entry'!AW$5)),1))),"No data"))</f>
        <v/>
      </c>
      <c r="AX82" s="13">
        <f>IF('Council Entry'!AX82="","",IFERROR(MAX(0,MIN(10,ROUND(IF('Council Entry'!AX$7="Decrease Risk",10-10*((IF('Council Entry'!AX$4="Logarithm",LN(0.001+IF(AND(ISNUMBER('Council Entry'!AX$8),ISNUMBER('Council Entry'!AX$9)),MAX(MIN('Council Entry'!AX82,'Council Entry'!AX$9),'Council Entry'!AX$8),'Council Entry'!AX82)),IF('Council Entry'!AX$4="Exponential",EXP(IF(AND(ISNUMBER('Council Entry'!AX$8),ISNUMBER('Council Entry'!AX$9)),MAX(MIN('Council Entry'!AX82,'Council Entry'!AX$9),'Council Entry'!AX$8),'Council Entry'!AX82)),IF(AND(ISNUMBER('Council Entry'!AX$8),ISNUMBER('Council Entry'!AX$9)),MAX(MIN('Council Entry'!AX82,'Council Entry'!AX$9),'Council Entry'!AX$8),'Council Entry'!AX82))))-'Council Entry'!AX$5)/('Council Entry'!AX$6-'Council Entry'!AX$5),10*((IF('Council Entry'!AX$4="Logarithm",LN(0.001+IF(AND(ISNUMBER('Council Entry'!AX$8),ISNUMBER('Council Entry'!AX$9)),MAX(MIN('Council Entry'!AX82,'Council Entry'!AX$9),'Council Entry'!AX$8),'Council Entry'!AX82)),IF('Council Entry'!AX$4="Exponential",EXP(IF(AND(ISNUMBER('Council Entry'!AX$8),ISNUMBER('Council Entry'!AX$9)),MAX(MIN('Council Entry'!AX82,'Council Entry'!AX$9),'Council Entry'!AX$8),'Council Entry'!AX82)),IF(AND(ISNUMBER('Council Entry'!AX$8),ISNUMBER('Council Entry'!AX$9)),MAX(MIN('Council Entry'!AX82,'Council Entry'!AX$9),'Council Entry'!AX$8),'Council Entry'!AX82))))-'Council Entry'!AX$5)/('Council Entry'!AX$6-'Council Entry'!AX$5)),1))),"No data"))</f>
        <v/>
      </c>
      <c r="AY82" s="13">
        <f>IF('Council Entry'!AY82="","",IFERROR(MAX(0,MIN(10,ROUND(IF('Council Entry'!AY$7="Decrease Risk",10-10*((IF('Council Entry'!AY$4="Logarithm",LN(0.001+IF(AND(ISNUMBER('Council Entry'!AY$8),ISNUMBER('Council Entry'!AY$9)),MAX(MIN('Council Entry'!AY82,'Council Entry'!AY$9),'Council Entry'!AY$8),'Council Entry'!AY82)),IF('Council Entry'!AY$4="Exponential",EXP(IF(AND(ISNUMBER('Council Entry'!AY$8),ISNUMBER('Council Entry'!AY$9)),MAX(MIN('Council Entry'!AY82,'Council Entry'!AY$9),'Council Entry'!AY$8),'Council Entry'!AY82)),IF(AND(ISNUMBER('Council Entry'!AY$8),ISNUMBER('Council Entry'!AY$9)),MAX(MIN('Council Entry'!AY82,'Council Entry'!AY$9),'Council Entry'!AY$8),'Council Entry'!AY82))))-'Council Entry'!AY$5)/('Council Entry'!AY$6-'Council Entry'!AY$5),10*((IF('Council Entry'!AY$4="Logarithm",LN(0.001+IF(AND(ISNUMBER('Council Entry'!AY$8),ISNUMBER('Council Entry'!AY$9)),MAX(MIN('Council Entry'!AY82,'Council Entry'!AY$9),'Council Entry'!AY$8),'Council Entry'!AY82)),IF('Council Entry'!AY$4="Exponential",EXP(IF(AND(ISNUMBER('Council Entry'!AY$8),ISNUMBER('Council Entry'!AY$9)),MAX(MIN('Council Entry'!AY82,'Council Entry'!AY$9),'Council Entry'!AY$8),'Council Entry'!AY82)),IF(AND(ISNUMBER('Council Entry'!AY$8),ISNUMBER('Council Entry'!AY$9)),MAX(MIN('Council Entry'!AY82,'Council Entry'!AY$9),'Council Entry'!AY$8),'Council Entry'!AY82))))-'Council Entry'!AY$5)/('Council Entry'!AY$6-'Council Entry'!AY$5)),1))),"No data"))</f>
        <v/>
      </c>
      <c r="AZ82" s="13">
        <f>IF('Council Entry'!AZ82="","",IFERROR(MAX(0,MIN(10,ROUND(IF('Council Entry'!AZ$7="Decrease Risk",10-10*((IF('Council Entry'!AZ$4="Logarithm",LN(0.001+IF(AND(ISNUMBER('Council Entry'!AZ$8),ISNUMBER('Council Entry'!AZ$9)),MAX(MIN('Council Entry'!AZ82,'Council Entry'!AZ$9),'Council Entry'!AZ$8),'Council Entry'!AZ82)),IF('Council Entry'!AZ$4="Exponential",EXP(IF(AND(ISNUMBER('Council Entry'!AZ$8),ISNUMBER('Council Entry'!AZ$9)),MAX(MIN('Council Entry'!AZ82,'Council Entry'!AZ$9),'Council Entry'!AZ$8),'Council Entry'!AZ82)),IF(AND(ISNUMBER('Council Entry'!AZ$8),ISNUMBER('Council Entry'!AZ$9)),MAX(MIN('Council Entry'!AZ82,'Council Entry'!AZ$9),'Council Entry'!AZ$8),'Council Entry'!AZ82))))-'Council Entry'!AZ$5)/('Council Entry'!AZ$6-'Council Entry'!AZ$5),10*((IF('Council Entry'!AZ$4="Logarithm",LN(0.001+IF(AND(ISNUMBER('Council Entry'!AZ$8),ISNUMBER('Council Entry'!AZ$9)),MAX(MIN('Council Entry'!AZ82,'Council Entry'!AZ$9),'Council Entry'!AZ$8),'Council Entry'!AZ82)),IF('Council Entry'!AZ$4="Exponential",EXP(IF(AND(ISNUMBER('Council Entry'!AZ$8),ISNUMBER('Council Entry'!AZ$9)),MAX(MIN('Council Entry'!AZ82,'Council Entry'!AZ$9),'Council Entry'!AZ$8),'Council Entry'!AZ82)),IF(AND(ISNUMBER('Council Entry'!AZ$8),ISNUMBER('Council Entry'!AZ$9)),MAX(MIN('Council Entry'!AZ82,'Council Entry'!AZ$9),'Council Entry'!AZ$8),'Council Entry'!AZ82))))-'Council Entry'!AZ$5)/('Council Entry'!AZ$6-'Council Entry'!AZ$5)),1))),"No data"))</f>
        <v/>
      </c>
      <c r="BA82" s="13">
        <f>IF('Council Entry'!BA82="","",IFERROR(MAX(0,MIN(10,ROUND(IF('Council Entry'!BA$7="Decrease Risk",10-10*((IF('Council Entry'!BA$4="Logarithm",LN(0.001+IF(AND(ISNUMBER('Council Entry'!BA$8),ISNUMBER('Council Entry'!BA$9)),MAX(MIN('Council Entry'!BA82,'Council Entry'!BA$9),'Council Entry'!BA$8),'Council Entry'!BA82)),IF('Council Entry'!BA$4="Exponential",EXP(IF(AND(ISNUMBER('Council Entry'!BA$8),ISNUMBER('Council Entry'!BA$9)),MAX(MIN('Council Entry'!BA82,'Council Entry'!BA$9),'Council Entry'!BA$8),'Council Entry'!BA82)),IF(AND(ISNUMBER('Council Entry'!BA$8),ISNUMBER('Council Entry'!BA$9)),MAX(MIN('Council Entry'!BA82,'Council Entry'!BA$9),'Council Entry'!BA$8),'Council Entry'!BA82))))-'Council Entry'!BA$5)/('Council Entry'!BA$6-'Council Entry'!BA$5),10*((IF('Council Entry'!BA$4="Logarithm",LN(0.001+IF(AND(ISNUMBER('Council Entry'!BA$8),ISNUMBER('Council Entry'!BA$9)),MAX(MIN('Council Entry'!BA82,'Council Entry'!BA$9),'Council Entry'!BA$8),'Council Entry'!BA82)),IF('Council Entry'!BA$4="Exponential",EXP(IF(AND(ISNUMBER('Council Entry'!BA$8),ISNUMBER('Council Entry'!BA$9)),MAX(MIN('Council Entry'!BA82,'Council Entry'!BA$9),'Council Entry'!BA$8),'Council Entry'!BA82)),IF(AND(ISNUMBER('Council Entry'!BA$8),ISNUMBER('Council Entry'!BA$9)),MAX(MIN('Council Entry'!BA82,'Council Entry'!BA$9),'Council Entry'!BA$8),'Council Entry'!BA82))))-'Council Entry'!BA$5)/('Council Entry'!BA$6-'Council Entry'!BA$5)),1))),"No data"))</f>
        <v/>
      </c>
      <c r="BB82" s="13">
        <f>IF('Council Entry'!BB82="","",IFERROR(MAX(0,MIN(10,ROUND(IF('Council Entry'!BB$7="Decrease Risk",10-10*((IF('Council Entry'!BB$4="Logarithm",LN(0.001+IF(AND(ISNUMBER('Council Entry'!BB$8),ISNUMBER('Council Entry'!BB$9)),MAX(MIN('Council Entry'!BB82,'Council Entry'!BB$9),'Council Entry'!BB$8),'Council Entry'!BB82)),IF('Council Entry'!BB$4="Exponential",EXP(IF(AND(ISNUMBER('Council Entry'!BB$8),ISNUMBER('Council Entry'!BB$9)),MAX(MIN('Council Entry'!BB82,'Council Entry'!BB$9),'Council Entry'!BB$8),'Council Entry'!BB82)),IF(AND(ISNUMBER('Council Entry'!BB$8),ISNUMBER('Council Entry'!BB$9)),MAX(MIN('Council Entry'!BB82,'Council Entry'!BB$9),'Council Entry'!BB$8),'Council Entry'!BB82))))-'Council Entry'!BB$5)/('Council Entry'!BB$6-'Council Entry'!BB$5),10*((IF('Council Entry'!BB$4="Logarithm",LN(0.001+IF(AND(ISNUMBER('Council Entry'!BB$8),ISNUMBER('Council Entry'!BB$9)),MAX(MIN('Council Entry'!BB82,'Council Entry'!BB$9),'Council Entry'!BB$8),'Council Entry'!BB82)),IF('Council Entry'!BB$4="Exponential",EXP(IF(AND(ISNUMBER('Council Entry'!BB$8),ISNUMBER('Council Entry'!BB$9)),MAX(MIN('Council Entry'!BB82,'Council Entry'!BB$9),'Council Entry'!BB$8),'Council Entry'!BB82)),IF(AND(ISNUMBER('Council Entry'!BB$8),ISNUMBER('Council Entry'!BB$9)),MAX(MIN('Council Entry'!BB82,'Council Entry'!BB$9),'Council Entry'!BB$8),'Council Entry'!BB82))))-'Council Entry'!BB$5)/('Council Entry'!BB$6-'Council Entry'!BB$5)),1))),"No data"))</f>
        <v/>
      </c>
      <c r="BC82" s="13">
        <f>IF('Council Entry'!BC82="","",IFERROR(MAX(0,MIN(10,ROUND(IF('Council Entry'!BC$7="Decrease Risk",10-10*((IF('Council Entry'!BC$4="Logarithm",LN(0.001+IF(AND(ISNUMBER('Council Entry'!BC$8),ISNUMBER('Council Entry'!BC$9)),MAX(MIN('Council Entry'!BC82,'Council Entry'!BC$9),'Council Entry'!BC$8),'Council Entry'!BC82)),IF('Council Entry'!BC$4="Exponential",EXP(IF(AND(ISNUMBER('Council Entry'!BC$8),ISNUMBER('Council Entry'!BC$9)),MAX(MIN('Council Entry'!BC82,'Council Entry'!BC$9),'Council Entry'!BC$8),'Council Entry'!BC82)),IF(AND(ISNUMBER('Council Entry'!BC$8),ISNUMBER('Council Entry'!BC$9)),MAX(MIN('Council Entry'!BC82,'Council Entry'!BC$9),'Council Entry'!BC$8),'Council Entry'!BC82))))-'Council Entry'!BC$5)/('Council Entry'!BC$6-'Council Entry'!BC$5),10*((IF('Council Entry'!BC$4="Logarithm",LN(0.001+IF(AND(ISNUMBER('Council Entry'!BC$8),ISNUMBER('Council Entry'!BC$9)),MAX(MIN('Council Entry'!BC82,'Council Entry'!BC$9),'Council Entry'!BC$8),'Council Entry'!BC82)),IF('Council Entry'!BC$4="Exponential",EXP(IF(AND(ISNUMBER('Council Entry'!BC$8),ISNUMBER('Council Entry'!BC$9)),MAX(MIN('Council Entry'!BC82,'Council Entry'!BC$9),'Council Entry'!BC$8),'Council Entry'!BC82)),IF(AND(ISNUMBER('Council Entry'!BC$8),ISNUMBER('Council Entry'!BC$9)),MAX(MIN('Council Entry'!BC82,'Council Entry'!BC$9),'Council Entry'!BC$8),'Council Entry'!BC82))))-'Council Entry'!BC$5)/('Council Entry'!BC$6-'Council Entry'!BC$5)),1))),"No data"))</f>
        <v/>
      </c>
      <c r="BD82" s="13">
        <f>IF('Council Entry'!BD82="","",IFERROR(MAX(0,MIN(10,ROUND(IF('Council Entry'!BD$7="Decrease Risk",10-10*((IF('Council Entry'!BD$4="Logarithm",LN(0.001+IF(AND(ISNUMBER('Council Entry'!BD$8),ISNUMBER('Council Entry'!BD$9)),MAX(MIN('Council Entry'!BD82,'Council Entry'!BD$9),'Council Entry'!BD$8),'Council Entry'!BD82)),IF('Council Entry'!BD$4="Exponential",EXP(IF(AND(ISNUMBER('Council Entry'!BD$8),ISNUMBER('Council Entry'!BD$9)),MAX(MIN('Council Entry'!BD82,'Council Entry'!BD$9),'Council Entry'!BD$8),'Council Entry'!BD82)),IF(AND(ISNUMBER('Council Entry'!BD$8),ISNUMBER('Council Entry'!BD$9)),MAX(MIN('Council Entry'!BD82,'Council Entry'!BD$9),'Council Entry'!BD$8),'Council Entry'!BD82))))-'Council Entry'!BD$5)/('Council Entry'!BD$6-'Council Entry'!BD$5),10*((IF('Council Entry'!BD$4="Logarithm",LN(0.001+IF(AND(ISNUMBER('Council Entry'!BD$8),ISNUMBER('Council Entry'!BD$9)),MAX(MIN('Council Entry'!BD82,'Council Entry'!BD$9),'Council Entry'!BD$8),'Council Entry'!BD82)),IF('Council Entry'!BD$4="Exponential",EXP(IF(AND(ISNUMBER('Council Entry'!BD$8),ISNUMBER('Council Entry'!BD$9)),MAX(MIN('Council Entry'!BD82,'Council Entry'!BD$9),'Council Entry'!BD$8),'Council Entry'!BD82)),IF(AND(ISNUMBER('Council Entry'!BD$8),ISNUMBER('Council Entry'!BD$9)),MAX(MIN('Council Entry'!BD82,'Council Entry'!BD$9),'Council Entry'!BD$8),'Council Entry'!BD82))))-'Council Entry'!BD$5)/('Council Entry'!BD$6-'Council Entry'!BD$5)),1))),"No data"))</f>
        <v/>
      </c>
    </row>
    <row r="83">
      <c r="A83" t="inlineStr">
        <is>
          <t>Lindi</t>
        </is>
      </c>
      <c r="B83" t="inlineStr">
        <is>
          <t>Ruangwa District</t>
        </is>
      </c>
      <c r="C83" t="inlineStr">
        <is>
          <t>C062</t>
        </is>
      </c>
      <c r="D83" s="13">
        <f>IF('Council Entry'!D83="","",IFERROR(MAX(0,MIN(10,ROUND(IF('Council Entry'!D$7="Decrease Risk",10-10*((IF('Council Entry'!D$4="Logarithm",LN(0.001+IF(AND(ISNUMBER('Council Entry'!D$8),ISNUMBER('Council Entry'!D$9)),MAX(MIN('Council Entry'!D83,'Council Entry'!D$9),'Council Entry'!D$8),'Council Entry'!D83)),IF('Council Entry'!D$4="Exponential",EXP(IF(AND(ISNUMBER('Council Entry'!D$8),ISNUMBER('Council Entry'!D$9)),MAX(MIN('Council Entry'!D83,'Council Entry'!D$9),'Council Entry'!D$8),'Council Entry'!D83)),IF(AND(ISNUMBER('Council Entry'!D$8),ISNUMBER('Council Entry'!D$9)),MAX(MIN('Council Entry'!D83,'Council Entry'!D$9),'Council Entry'!D$8),'Council Entry'!D83))))-'Council Entry'!D$5)/('Council Entry'!D$6-'Council Entry'!D$5),10*((IF('Council Entry'!D$4="Logarithm",LN(0.001+IF(AND(ISNUMBER('Council Entry'!D$8),ISNUMBER('Council Entry'!D$9)),MAX(MIN('Council Entry'!D83,'Council Entry'!D$9),'Council Entry'!D$8),'Council Entry'!D83)),IF('Council Entry'!D$4="Exponential",EXP(IF(AND(ISNUMBER('Council Entry'!D$8),ISNUMBER('Council Entry'!D$9)),MAX(MIN('Council Entry'!D83,'Council Entry'!D$9),'Council Entry'!D$8),'Council Entry'!D83)),IF(AND(ISNUMBER('Council Entry'!D$8),ISNUMBER('Council Entry'!D$9)),MAX(MIN('Council Entry'!D83,'Council Entry'!D$9),'Council Entry'!D$8),'Council Entry'!D83))))-'Council Entry'!D$5)/('Council Entry'!D$6-'Council Entry'!D$5)),1))),"No data"))</f>
        <v/>
      </c>
      <c r="E83" s="13">
        <f>IF('Council Entry'!E83="","",IFERROR(MAX(0,MIN(10,ROUND(IF('Council Entry'!E$7="Decrease Risk",10-10*((IF('Council Entry'!E$4="Logarithm",LN(0.001+IF(AND(ISNUMBER('Council Entry'!E$8),ISNUMBER('Council Entry'!E$9)),MAX(MIN('Council Entry'!E83,'Council Entry'!E$9),'Council Entry'!E$8),'Council Entry'!E83)),IF('Council Entry'!E$4="Exponential",EXP(IF(AND(ISNUMBER('Council Entry'!E$8),ISNUMBER('Council Entry'!E$9)),MAX(MIN('Council Entry'!E83,'Council Entry'!E$9),'Council Entry'!E$8),'Council Entry'!E83)),IF(AND(ISNUMBER('Council Entry'!E$8),ISNUMBER('Council Entry'!E$9)),MAX(MIN('Council Entry'!E83,'Council Entry'!E$9),'Council Entry'!E$8),'Council Entry'!E83))))-'Council Entry'!E$5)/('Council Entry'!E$6-'Council Entry'!E$5),10*((IF('Council Entry'!E$4="Logarithm",LN(0.001+IF(AND(ISNUMBER('Council Entry'!E$8),ISNUMBER('Council Entry'!E$9)),MAX(MIN('Council Entry'!E83,'Council Entry'!E$9),'Council Entry'!E$8),'Council Entry'!E83)),IF('Council Entry'!E$4="Exponential",EXP(IF(AND(ISNUMBER('Council Entry'!E$8),ISNUMBER('Council Entry'!E$9)),MAX(MIN('Council Entry'!E83,'Council Entry'!E$9),'Council Entry'!E$8),'Council Entry'!E83)),IF(AND(ISNUMBER('Council Entry'!E$8),ISNUMBER('Council Entry'!E$9)),MAX(MIN('Council Entry'!E83,'Council Entry'!E$9),'Council Entry'!E$8),'Council Entry'!E83))))-'Council Entry'!E$5)/('Council Entry'!E$6-'Council Entry'!E$5)),1))),"No data"))</f>
        <v/>
      </c>
      <c r="F83" s="13">
        <f>IF('Council Entry'!F83="","",IFERROR(MAX(0,MIN(10,ROUND(IF('Council Entry'!F$7="Decrease Risk",10-10*((IF('Council Entry'!F$4="Logarithm",LN(0.001+IF(AND(ISNUMBER('Council Entry'!F$8),ISNUMBER('Council Entry'!F$9)),MAX(MIN('Council Entry'!F83,'Council Entry'!F$9),'Council Entry'!F$8),'Council Entry'!F83)),IF('Council Entry'!F$4="Exponential",EXP(IF(AND(ISNUMBER('Council Entry'!F$8),ISNUMBER('Council Entry'!F$9)),MAX(MIN('Council Entry'!F83,'Council Entry'!F$9),'Council Entry'!F$8),'Council Entry'!F83)),IF(AND(ISNUMBER('Council Entry'!F$8),ISNUMBER('Council Entry'!F$9)),MAX(MIN('Council Entry'!F83,'Council Entry'!F$9),'Council Entry'!F$8),'Council Entry'!F83))))-'Council Entry'!F$5)/('Council Entry'!F$6-'Council Entry'!F$5),10*((IF('Council Entry'!F$4="Logarithm",LN(0.001+IF(AND(ISNUMBER('Council Entry'!F$8),ISNUMBER('Council Entry'!F$9)),MAX(MIN('Council Entry'!F83,'Council Entry'!F$9),'Council Entry'!F$8),'Council Entry'!F83)),IF('Council Entry'!F$4="Exponential",EXP(IF(AND(ISNUMBER('Council Entry'!F$8),ISNUMBER('Council Entry'!F$9)),MAX(MIN('Council Entry'!F83,'Council Entry'!F$9),'Council Entry'!F$8),'Council Entry'!F83)),IF(AND(ISNUMBER('Council Entry'!F$8),ISNUMBER('Council Entry'!F$9)),MAX(MIN('Council Entry'!F83,'Council Entry'!F$9),'Council Entry'!F$8),'Council Entry'!F83))))-'Council Entry'!F$5)/('Council Entry'!F$6-'Council Entry'!F$5)),1))),"No data"))</f>
        <v/>
      </c>
      <c r="G83" s="13">
        <f>IF('Council Entry'!G83="","",IFERROR(MAX(0,MIN(10,ROUND(IF('Council Entry'!G$7="Decrease Risk",10-10*((IF('Council Entry'!G$4="Logarithm",LN(0.001+IF(AND(ISNUMBER('Council Entry'!G$8),ISNUMBER('Council Entry'!G$9)),MAX(MIN('Council Entry'!G83,'Council Entry'!G$9),'Council Entry'!G$8),'Council Entry'!G83)),IF('Council Entry'!G$4="Exponential",EXP(IF(AND(ISNUMBER('Council Entry'!G$8),ISNUMBER('Council Entry'!G$9)),MAX(MIN('Council Entry'!G83,'Council Entry'!G$9),'Council Entry'!G$8),'Council Entry'!G83)),IF(AND(ISNUMBER('Council Entry'!G$8),ISNUMBER('Council Entry'!G$9)),MAX(MIN('Council Entry'!G83,'Council Entry'!G$9),'Council Entry'!G$8),'Council Entry'!G83))))-'Council Entry'!G$5)/('Council Entry'!G$6-'Council Entry'!G$5),10*((IF('Council Entry'!G$4="Logarithm",LN(0.001+IF(AND(ISNUMBER('Council Entry'!G$8),ISNUMBER('Council Entry'!G$9)),MAX(MIN('Council Entry'!G83,'Council Entry'!G$9),'Council Entry'!G$8),'Council Entry'!G83)),IF('Council Entry'!G$4="Exponential",EXP(IF(AND(ISNUMBER('Council Entry'!G$8),ISNUMBER('Council Entry'!G$9)),MAX(MIN('Council Entry'!G83,'Council Entry'!G$9),'Council Entry'!G$8),'Council Entry'!G83)),IF(AND(ISNUMBER('Council Entry'!G$8),ISNUMBER('Council Entry'!G$9)),MAX(MIN('Council Entry'!G83,'Council Entry'!G$9),'Council Entry'!G$8),'Council Entry'!G83))))-'Council Entry'!G$5)/('Council Entry'!G$6-'Council Entry'!G$5)),1))),"No data"))</f>
        <v/>
      </c>
      <c r="H83" s="13">
        <f>IF('Council Entry'!H83="","",IFERROR(MAX(0,MIN(10,ROUND(IF('Council Entry'!H$7="Decrease Risk",10-10*((IF('Council Entry'!H$4="Logarithm",LN(0.001+IF(AND(ISNUMBER('Council Entry'!H$8),ISNUMBER('Council Entry'!H$9)),MAX(MIN('Council Entry'!H83,'Council Entry'!H$9),'Council Entry'!H$8),'Council Entry'!H83)),IF('Council Entry'!H$4="Exponential",EXP(IF(AND(ISNUMBER('Council Entry'!H$8),ISNUMBER('Council Entry'!H$9)),MAX(MIN('Council Entry'!H83,'Council Entry'!H$9),'Council Entry'!H$8),'Council Entry'!H83)),IF(AND(ISNUMBER('Council Entry'!H$8),ISNUMBER('Council Entry'!H$9)),MAX(MIN('Council Entry'!H83,'Council Entry'!H$9),'Council Entry'!H$8),'Council Entry'!H83))))-'Council Entry'!H$5)/('Council Entry'!H$6-'Council Entry'!H$5),10*((IF('Council Entry'!H$4="Logarithm",LN(0.001+IF(AND(ISNUMBER('Council Entry'!H$8),ISNUMBER('Council Entry'!H$9)),MAX(MIN('Council Entry'!H83,'Council Entry'!H$9),'Council Entry'!H$8),'Council Entry'!H83)),IF('Council Entry'!H$4="Exponential",EXP(IF(AND(ISNUMBER('Council Entry'!H$8),ISNUMBER('Council Entry'!H$9)),MAX(MIN('Council Entry'!H83,'Council Entry'!H$9),'Council Entry'!H$8),'Council Entry'!H83)),IF(AND(ISNUMBER('Council Entry'!H$8),ISNUMBER('Council Entry'!H$9)),MAX(MIN('Council Entry'!H83,'Council Entry'!H$9),'Council Entry'!H$8),'Council Entry'!H83))))-'Council Entry'!H$5)/('Council Entry'!H$6-'Council Entry'!H$5)),1))),"No data"))</f>
        <v/>
      </c>
      <c r="I83" s="13">
        <f>IF('Council Entry'!I83="","",IFERROR(MAX(0,MIN(10,ROUND(IF('Council Entry'!I$7="Decrease Risk",10-10*((IF('Council Entry'!I$4="Logarithm",LN(0.001+IF(AND(ISNUMBER('Council Entry'!I$8),ISNUMBER('Council Entry'!I$9)),MAX(MIN('Council Entry'!I83,'Council Entry'!I$9),'Council Entry'!I$8),'Council Entry'!I83)),IF('Council Entry'!I$4="Exponential",EXP(IF(AND(ISNUMBER('Council Entry'!I$8),ISNUMBER('Council Entry'!I$9)),MAX(MIN('Council Entry'!I83,'Council Entry'!I$9),'Council Entry'!I$8),'Council Entry'!I83)),IF(AND(ISNUMBER('Council Entry'!I$8),ISNUMBER('Council Entry'!I$9)),MAX(MIN('Council Entry'!I83,'Council Entry'!I$9),'Council Entry'!I$8),'Council Entry'!I83))))-'Council Entry'!I$5)/('Council Entry'!I$6-'Council Entry'!I$5),10*((IF('Council Entry'!I$4="Logarithm",LN(0.001+IF(AND(ISNUMBER('Council Entry'!I$8),ISNUMBER('Council Entry'!I$9)),MAX(MIN('Council Entry'!I83,'Council Entry'!I$9),'Council Entry'!I$8),'Council Entry'!I83)),IF('Council Entry'!I$4="Exponential",EXP(IF(AND(ISNUMBER('Council Entry'!I$8),ISNUMBER('Council Entry'!I$9)),MAX(MIN('Council Entry'!I83,'Council Entry'!I$9),'Council Entry'!I$8),'Council Entry'!I83)),IF(AND(ISNUMBER('Council Entry'!I$8),ISNUMBER('Council Entry'!I$9)),MAX(MIN('Council Entry'!I83,'Council Entry'!I$9),'Council Entry'!I$8),'Council Entry'!I83))))-'Council Entry'!I$5)/('Council Entry'!I$6-'Council Entry'!I$5)),1))),"No data"))</f>
        <v/>
      </c>
      <c r="J83" s="13">
        <f>IF('Council Entry'!J83="","",IFERROR(MAX(0,MIN(10,ROUND(IF('Council Entry'!J$7="Decrease Risk",10-10*((IF('Council Entry'!J$4="Logarithm",LN(0.001+IF(AND(ISNUMBER('Council Entry'!J$8),ISNUMBER('Council Entry'!J$9)),MAX(MIN('Council Entry'!J83,'Council Entry'!J$9),'Council Entry'!J$8),'Council Entry'!J83)),IF('Council Entry'!J$4="Exponential",EXP(IF(AND(ISNUMBER('Council Entry'!J$8),ISNUMBER('Council Entry'!J$9)),MAX(MIN('Council Entry'!J83,'Council Entry'!J$9),'Council Entry'!J$8),'Council Entry'!J83)),IF(AND(ISNUMBER('Council Entry'!J$8),ISNUMBER('Council Entry'!J$9)),MAX(MIN('Council Entry'!J83,'Council Entry'!J$9),'Council Entry'!J$8),'Council Entry'!J83))))-'Council Entry'!J$5)/('Council Entry'!J$6-'Council Entry'!J$5),10*((IF('Council Entry'!J$4="Logarithm",LN(0.001+IF(AND(ISNUMBER('Council Entry'!J$8),ISNUMBER('Council Entry'!J$9)),MAX(MIN('Council Entry'!J83,'Council Entry'!J$9),'Council Entry'!J$8),'Council Entry'!J83)),IF('Council Entry'!J$4="Exponential",EXP(IF(AND(ISNUMBER('Council Entry'!J$8),ISNUMBER('Council Entry'!J$9)),MAX(MIN('Council Entry'!J83,'Council Entry'!J$9),'Council Entry'!J$8),'Council Entry'!J83)),IF(AND(ISNUMBER('Council Entry'!J$8),ISNUMBER('Council Entry'!J$9)),MAX(MIN('Council Entry'!J83,'Council Entry'!J$9),'Council Entry'!J$8),'Council Entry'!J83))))-'Council Entry'!J$5)/('Council Entry'!J$6-'Council Entry'!J$5)),1))),"No data"))</f>
        <v/>
      </c>
      <c r="K83" s="13">
        <f>IF('Council Entry'!K83="","",IFERROR(MAX(0,MIN(10,ROUND(IF('Council Entry'!K$7="Decrease Risk",10-10*((IF('Council Entry'!K$4="Logarithm",LN(0.001+IF(AND(ISNUMBER('Council Entry'!K$8),ISNUMBER('Council Entry'!K$9)),MAX(MIN('Council Entry'!K83,'Council Entry'!K$9),'Council Entry'!K$8),'Council Entry'!K83)),IF('Council Entry'!K$4="Exponential",EXP(IF(AND(ISNUMBER('Council Entry'!K$8),ISNUMBER('Council Entry'!K$9)),MAX(MIN('Council Entry'!K83,'Council Entry'!K$9),'Council Entry'!K$8),'Council Entry'!K83)),IF(AND(ISNUMBER('Council Entry'!K$8),ISNUMBER('Council Entry'!K$9)),MAX(MIN('Council Entry'!K83,'Council Entry'!K$9),'Council Entry'!K$8),'Council Entry'!K83))))-'Council Entry'!K$5)/('Council Entry'!K$6-'Council Entry'!K$5),10*((IF('Council Entry'!K$4="Logarithm",LN(0.001+IF(AND(ISNUMBER('Council Entry'!K$8),ISNUMBER('Council Entry'!K$9)),MAX(MIN('Council Entry'!K83,'Council Entry'!K$9),'Council Entry'!K$8),'Council Entry'!K83)),IF('Council Entry'!K$4="Exponential",EXP(IF(AND(ISNUMBER('Council Entry'!K$8),ISNUMBER('Council Entry'!K$9)),MAX(MIN('Council Entry'!K83,'Council Entry'!K$9),'Council Entry'!K$8),'Council Entry'!K83)),IF(AND(ISNUMBER('Council Entry'!K$8),ISNUMBER('Council Entry'!K$9)),MAX(MIN('Council Entry'!K83,'Council Entry'!K$9),'Council Entry'!K$8),'Council Entry'!K83))))-'Council Entry'!K$5)/('Council Entry'!K$6-'Council Entry'!K$5)),1))),"No data"))</f>
        <v/>
      </c>
      <c r="L83" s="13">
        <f>IF('Council Entry'!L83="","",IFERROR(MAX(0,MIN(10,ROUND(IF('Council Entry'!L$7="Decrease Risk",10-10*((IF('Council Entry'!L$4="Logarithm",LN(0.001+IF(AND(ISNUMBER('Council Entry'!L$8),ISNUMBER('Council Entry'!L$9)),MAX(MIN('Council Entry'!L83,'Council Entry'!L$9),'Council Entry'!L$8),'Council Entry'!L83)),IF('Council Entry'!L$4="Exponential",EXP(IF(AND(ISNUMBER('Council Entry'!L$8),ISNUMBER('Council Entry'!L$9)),MAX(MIN('Council Entry'!L83,'Council Entry'!L$9),'Council Entry'!L$8),'Council Entry'!L83)),IF(AND(ISNUMBER('Council Entry'!L$8),ISNUMBER('Council Entry'!L$9)),MAX(MIN('Council Entry'!L83,'Council Entry'!L$9),'Council Entry'!L$8),'Council Entry'!L83))))-'Council Entry'!L$5)/('Council Entry'!L$6-'Council Entry'!L$5),10*((IF('Council Entry'!L$4="Logarithm",LN(0.001+IF(AND(ISNUMBER('Council Entry'!L$8),ISNUMBER('Council Entry'!L$9)),MAX(MIN('Council Entry'!L83,'Council Entry'!L$9),'Council Entry'!L$8),'Council Entry'!L83)),IF('Council Entry'!L$4="Exponential",EXP(IF(AND(ISNUMBER('Council Entry'!L$8),ISNUMBER('Council Entry'!L$9)),MAX(MIN('Council Entry'!L83,'Council Entry'!L$9),'Council Entry'!L$8),'Council Entry'!L83)),IF(AND(ISNUMBER('Council Entry'!L$8),ISNUMBER('Council Entry'!L$9)),MAX(MIN('Council Entry'!L83,'Council Entry'!L$9),'Council Entry'!L$8),'Council Entry'!L83))))-'Council Entry'!L$5)/('Council Entry'!L$6-'Council Entry'!L$5)),1))),"No data"))</f>
        <v/>
      </c>
      <c r="M83" s="13">
        <f>IF('Council Entry'!M83="","",IFERROR(MAX(0,MIN(10,ROUND(IF('Council Entry'!M$7="Decrease Risk",10-10*((IF('Council Entry'!M$4="Logarithm",LN(0.001+IF(AND(ISNUMBER('Council Entry'!M$8),ISNUMBER('Council Entry'!M$9)),MAX(MIN('Council Entry'!M83,'Council Entry'!M$9),'Council Entry'!M$8),'Council Entry'!M83)),IF('Council Entry'!M$4="Exponential",EXP(IF(AND(ISNUMBER('Council Entry'!M$8),ISNUMBER('Council Entry'!M$9)),MAX(MIN('Council Entry'!M83,'Council Entry'!M$9),'Council Entry'!M$8),'Council Entry'!M83)),IF(AND(ISNUMBER('Council Entry'!M$8),ISNUMBER('Council Entry'!M$9)),MAX(MIN('Council Entry'!M83,'Council Entry'!M$9),'Council Entry'!M$8),'Council Entry'!M83))))-'Council Entry'!M$5)/('Council Entry'!M$6-'Council Entry'!M$5),10*((IF('Council Entry'!M$4="Logarithm",LN(0.001+IF(AND(ISNUMBER('Council Entry'!M$8),ISNUMBER('Council Entry'!M$9)),MAX(MIN('Council Entry'!M83,'Council Entry'!M$9),'Council Entry'!M$8),'Council Entry'!M83)),IF('Council Entry'!M$4="Exponential",EXP(IF(AND(ISNUMBER('Council Entry'!M$8),ISNUMBER('Council Entry'!M$9)),MAX(MIN('Council Entry'!M83,'Council Entry'!M$9),'Council Entry'!M$8),'Council Entry'!M83)),IF(AND(ISNUMBER('Council Entry'!M$8),ISNUMBER('Council Entry'!M$9)),MAX(MIN('Council Entry'!M83,'Council Entry'!M$9),'Council Entry'!M$8),'Council Entry'!M83))))-'Council Entry'!M$5)/('Council Entry'!M$6-'Council Entry'!M$5)),1))),"No data"))</f>
        <v/>
      </c>
      <c r="N83" s="13">
        <f>IF('Council Entry'!N83="","",IFERROR(MAX(0,MIN(10,ROUND(IF('Council Entry'!N$7="Decrease Risk",10-10*((IF('Council Entry'!N$4="Logarithm",LN(0.001+IF(AND(ISNUMBER('Council Entry'!N$8),ISNUMBER('Council Entry'!N$9)),MAX(MIN('Council Entry'!N83,'Council Entry'!N$9),'Council Entry'!N$8),'Council Entry'!N83)),IF('Council Entry'!N$4="Exponential",EXP(IF(AND(ISNUMBER('Council Entry'!N$8),ISNUMBER('Council Entry'!N$9)),MAX(MIN('Council Entry'!N83,'Council Entry'!N$9),'Council Entry'!N$8),'Council Entry'!N83)),IF(AND(ISNUMBER('Council Entry'!N$8),ISNUMBER('Council Entry'!N$9)),MAX(MIN('Council Entry'!N83,'Council Entry'!N$9),'Council Entry'!N$8),'Council Entry'!N83))))-'Council Entry'!N$5)/('Council Entry'!N$6-'Council Entry'!N$5),10*((IF('Council Entry'!N$4="Logarithm",LN(0.001+IF(AND(ISNUMBER('Council Entry'!N$8),ISNUMBER('Council Entry'!N$9)),MAX(MIN('Council Entry'!N83,'Council Entry'!N$9),'Council Entry'!N$8),'Council Entry'!N83)),IF('Council Entry'!N$4="Exponential",EXP(IF(AND(ISNUMBER('Council Entry'!N$8),ISNUMBER('Council Entry'!N$9)),MAX(MIN('Council Entry'!N83,'Council Entry'!N$9),'Council Entry'!N$8),'Council Entry'!N83)),IF(AND(ISNUMBER('Council Entry'!N$8),ISNUMBER('Council Entry'!N$9)),MAX(MIN('Council Entry'!N83,'Council Entry'!N$9),'Council Entry'!N$8),'Council Entry'!N83))))-'Council Entry'!N$5)/('Council Entry'!N$6-'Council Entry'!N$5)),1))),"No data"))</f>
        <v/>
      </c>
      <c r="O83" s="13">
        <f>IF('Council Entry'!O83="","",IFERROR(MAX(0,MIN(10,ROUND(IF('Council Entry'!O$7="Decrease Risk",10-10*((IF('Council Entry'!O$4="Logarithm",LN(0.001+IF(AND(ISNUMBER('Council Entry'!O$8),ISNUMBER('Council Entry'!O$9)),MAX(MIN('Council Entry'!O83,'Council Entry'!O$9),'Council Entry'!O$8),'Council Entry'!O83)),IF('Council Entry'!O$4="Exponential",EXP(IF(AND(ISNUMBER('Council Entry'!O$8),ISNUMBER('Council Entry'!O$9)),MAX(MIN('Council Entry'!O83,'Council Entry'!O$9),'Council Entry'!O$8),'Council Entry'!O83)),IF(AND(ISNUMBER('Council Entry'!O$8),ISNUMBER('Council Entry'!O$9)),MAX(MIN('Council Entry'!O83,'Council Entry'!O$9),'Council Entry'!O$8),'Council Entry'!O83))))-'Council Entry'!O$5)/('Council Entry'!O$6-'Council Entry'!O$5),10*((IF('Council Entry'!O$4="Logarithm",LN(0.001+IF(AND(ISNUMBER('Council Entry'!O$8),ISNUMBER('Council Entry'!O$9)),MAX(MIN('Council Entry'!O83,'Council Entry'!O$9),'Council Entry'!O$8),'Council Entry'!O83)),IF('Council Entry'!O$4="Exponential",EXP(IF(AND(ISNUMBER('Council Entry'!O$8),ISNUMBER('Council Entry'!O$9)),MAX(MIN('Council Entry'!O83,'Council Entry'!O$9),'Council Entry'!O$8),'Council Entry'!O83)),IF(AND(ISNUMBER('Council Entry'!O$8),ISNUMBER('Council Entry'!O$9)),MAX(MIN('Council Entry'!O83,'Council Entry'!O$9),'Council Entry'!O$8),'Council Entry'!O83))))-'Council Entry'!O$5)/('Council Entry'!O$6-'Council Entry'!O$5)),1))),"No data"))</f>
        <v/>
      </c>
      <c r="P83" s="13">
        <f>IF('Council Entry'!P83="","",IFERROR(MAX(0,MIN(10,ROUND(IF('Council Entry'!P$7="Decrease Risk",10-10*((IF('Council Entry'!P$4="Logarithm",LN(0.001+IF(AND(ISNUMBER('Council Entry'!P$8),ISNUMBER('Council Entry'!P$9)),MAX(MIN('Council Entry'!P83,'Council Entry'!P$9),'Council Entry'!P$8),'Council Entry'!P83)),IF('Council Entry'!P$4="Exponential",EXP(IF(AND(ISNUMBER('Council Entry'!P$8),ISNUMBER('Council Entry'!P$9)),MAX(MIN('Council Entry'!P83,'Council Entry'!P$9),'Council Entry'!P$8),'Council Entry'!P83)),IF(AND(ISNUMBER('Council Entry'!P$8),ISNUMBER('Council Entry'!P$9)),MAX(MIN('Council Entry'!P83,'Council Entry'!P$9),'Council Entry'!P$8),'Council Entry'!P83))))-'Council Entry'!P$5)/('Council Entry'!P$6-'Council Entry'!P$5),10*((IF('Council Entry'!P$4="Logarithm",LN(0.001+IF(AND(ISNUMBER('Council Entry'!P$8),ISNUMBER('Council Entry'!P$9)),MAX(MIN('Council Entry'!P83,'Council Entry'!P$9),'Council Entry'!P$8),'Council Entry'!P83)),IF('Council Entry'!P$4="Exponential",EXP(IF(AND(ISNUMBER('Council Entry'!P$8),ISNUMBER('Council Entry'!P$9)),MAX(MIN('Council Entry'!P83,'Council Entry'!P$9),'Council Entry'!P$8),'Council Entry'!P83)),IF(AND(ISNUMBER('Council Entry'!P$8),ISNUMBER('Council Entry'!P$9)),MAX(MIN('Council Entry'!P83,'Council Entry'!P$9),'Council Entry'!P$8),'Council Entry'!P83))))-'Council Entry'!P$5)/('Council Entry'!P$6-'Council Entry'!P$5)),1))),"No data"))</f>
        <v/>
      </c>
      <c r="Q83" s="13">
        <f>IF('Council Entry'!Q83="","",IFERROR(MAX(0,MIN(10,ROUND(IF('Council Entry'!Q$7="Decrease Risk",10-10*((IF('Council Entry'!Q$4="Logarithm",LN(0.001+IF(AND(ISNUMBER('Council Entry'!Q$8),ISNUMBER('Council Entry'!Q$9)),MAX(MIN('Council Entry'!Q83,'Council Entry'!Q$9),'Council Entry'!Q$8),'Council Entry'!Q83)),IF('Council Entry'!Q$4="Exponential",EXP(IF(AND(ISNUMBER('Council Entry'!Q$8),ISNUMBER('Council Entry'!Q$9)),MAX(MIN('Council Entry'!Q83,'Council Entry'!Q$9),'Council Entry'!Q$8),'Council Entry'!Q83)),IF(AND(ISNUMBER('Council Entry'!Q$8),ISNUMBER('Council Entry'!Q$9)),MAX(MIN('Council Entry'!Q83,'Council Entry'!Q$9),'Council Entry'!Q$8),'Council Entry'!Q83))))-'Council Entry'!Q$5)/('Council Entry'!Q$6-'Council Entry'!Q$5),10*((IF('Council Entry'!Q$4="Logarithm",LN(0.001+IF(AND(ISNUMBER('Council Entry'!Q$8),ISNUMBER('Council Entry'!Q$9)),MAX(MIN('Council Entry'!Q83,'Council Entry'!Q$9),'Council Entry'!Q$8),'Council Entry'!Q83)),IF('Council Entry'!Q$4="Exponential",EXP(IF(AND(ISNUMBER('Council Entry'!Q$8),ISNUMBER('Council Entry'!Q$9)),MAX(MIN('Council Entry'!Q83,'Council Entry'!Q$9),'Council Entry'!Q$8),'Council Entry'!Q83)),IF(AND(ISNUMBER('Council Entry'!Q$8),ISNUMBER('Council Entry'!Q$9)),MAX(MIN('Council Entry'!Q83,'Council Entry'!Q$9),'Council Entry'!Q$8),'Council Entry'!Q83))))-'Council Entry'!Q$5)/('Council Entry'!Q$6-'Council Entry'!Q$5)),1))),"No data"))</f>
        <v/>
      </c>
      <c r="R83" s="13">
        <f>IF('Council Entry'!R83="","",IFERROR(MAX(0,MIN(10,ROUND(IF('Council Entry'!R$7="Decrease Risk",10-10*((IF('Council Entry'!R$4="Logarithm",LN(0.001+IF(AND(ISNUMBER('Council Entry'!R$8),ISNUMBER('Council Entry'!R$9)),MAX(MIN('Council Entry'!R83,'Council Entry'!R$9),'Council Entry'!R$8),'Council Entry'!R83)),IF('Council Entry'!R$4="Exponential",EXP(IF(AND(ISNUMBER('Council Entry'!R$8),ISNUMBER('Council Entry'!R$9)),MAX(MIN('Council Entry'!R83,'Council Entry'!R$9),'Council Entry'!R$8),'Council Entry'!R83)),IF(AND(ISNUMBER('Council Entry'!R$8),ISNUMBER('Council Entry'!R$9)),MAX(MIN('Council Entry'!R83,'Council Entry'!R$9),'Council Entry'!R$8),'Council Entry'!R83))))-'Council Entry'!R$5)/('Council Entry'!R$6-'Council Entry'!R$5),10*((IF('Council Entry'!R$4="Logarithm",LN(0.001+IF(AND(ISNUMBER('Council Entry'!R$8),ISNUMBER('Council Entry'!R$9)),MAX(MIN('Council Entry'!R83,'Council Entry'!R$9),'Council Entry'!R$8),'Council Entry'!R83)),IF('Council Entry'!R$4="Exponential",EXP(IF(AND(ISNUMBER('Council Entry'!R$8),ISNUMBER('Council Entry'!R$9)),MAX(MIN('Council Entry'!R83,'Council Entry'!R$9),'Council Entry'!R$8),'Council Entry'!R83)),IF(AND(ISNUMBER('Council Entry'!R$8),ISNUMBER('Council Entry'!R$9)),MAX(MIN('Council Entry'!R83,'Council Entry'!R$9),'Council Entry'!R$8),'Council Entry'!R83))))-'Council Entry'!R$5)/('Council Entry'!R$6-'Council Entry'!R$5)),1))),"No data"))</f>
        <v/>
      </c>
      <c r="S83" s="13">
        <f>IF('Council Entry'!S83="","",IFERROR(MAX(0,MIN(10,ROUND(IF('Council Entry'!S$7="Decrease Risk",10-10*((IF('Council Entry'!S$4="Logarithm",LN(0.001+IF(AND(ISNUMBER('Council Entry'!S$8),ISNUMBER('Council Entry'!S$9)),MAX(MIN('Council Entry'!S83,'Council Entry'!S$9),'Council Entry'!S$8),'Council Entry'!S83)),IF('Council Entry'!S$4="Exponential",EXP(IF(AND(ISNUMBER('Council Entry'!S$8),ISNUMBER('Council Entry'!S$9)),MAX(MIN('Council Entry'!S83,'Council Entry'!S$9),'Council Entry'!S$8),'Council Entry'!S83)),IF(AND(ISNUMBER('Council Entry'!S$8),ISNUMBER('Council Entry'!S$9)),MAX(MIN('Council Entry'!S83,'Council Entry'!S$9),'Council Entry'!S$8),'Council Entry'!S83))))-'Council Entry'!S$5)/('Council Entry'!S$6-'Council Entry'!S$5),10*((IF('Council Entry'!S$4="Logarithm",LN(0.001+IF(AND(ISNUMBER('Council Entry'!S$8),ISNUMBER('Council Entry'!S$9)),MAX(MIN('Council Entry'!S83,'Council Entry'!S$9),'Council Entry'!S$8),'Council Entry'!S83)),IF('Council Entry'!S$4="Exponential",EXP(IF(AND(ISNUMBER('Council Entry'!S$8),ISNUMBER('Council Entry'!S$9)),MAX(MIN('Council Entry'!S83,'Council Entry'!S$9),'Council Entry'!S$8),'Council Entry'!S83)),IF(AND(ISNUMBER('Council Entry'!S$8),ISNUMBER('Council Entry'!S$9)),MAX(MIN('Council Entry'!S83,'Council Entry'!S$9),'Council Entry'!S$8),'Council Entry'!S83))))-'Council Entry'!S$5)/('Council Entry'!S$6-'Council Entry'!S$5)),1))),"No data"))</f>
        <v/>
      </c>
      <c r="T83" s="13">
        <f>IF('Council Entry'!T83="","",IFERROR(MAX(0,MIN(10,ROUND(IF('Council Entry'!T$7="Decrease Risk",10-10*((IF('Council Entry'!T$4="Logarithm",LN(0.001+IF(AND(ISNUMBER('Council Entry'!T$8),ISNUMBER('Council Entry'!T$9)),MAX(MIN('Council Entry'!T83,'Council Entry'!T$9),'Council Entry'!T$8),'Council Entry'!T83)),IF('Council Entry'!T$4="Exponential",EXP(IF(AND(ISNUMBER('Council Entry'!T$8),ISNUMBER('Council Entry'!T$9)),MAX(MIN('Council Entry'!T83,'Council Entry'!T$9),'Council Entry'!T$8),'Council Entry'!T83)),IF(AND(ISNUMBER('Council Entry'!T$8),ISNUMBER('Council Entry'!T$9)),MAX(MIN('Council Entry'!T83,'Council Entry'!T$9),'Council Entry'!T$8),'Council Entry'!T83))))-'Council Entry'!T$5)/('Council Entry'!T$6-'Council Entry'!T$5),10*((IF('Council Entry'!T$4="Logarithm",LN(0.001+IF(AND(ISNUMBER('Council Entry'!T$8),ISNUMBER('Council Entry'!T$9)),MAX(MIN('Council Entry'!T83,'Council Entry'!T$9),'Council Entry'!T$8),'Council Entry'!T83)),IF('Council Entry'!T$4="Exponential",EXP(IF(AND(ISNUMBER('Council Entry'!T$8),ISNUMBER('Council Entry'!T$9)),MAX(MIN('Council Entry'!T83,'Council Entry'!T$9),'Council Entry'!T$8),'Council Entry'!T83)),IF(AND(ISNUMBER('Council Entry'!T$8),ISNUMBER('Council Entry'!T$9)),MAX(MIN('Council Entry'!T83,'Council Entry'!T$9),'Council Entry'!T$8),'Council Entry'!T83))))-'Council Entry'!T$5)/('Council Entry'!T$6-'Council Entry'!T$5)),1))),"No data"))</f>
        <v/>
      </c>
      <c r="U83" s="13">
        <f>IF('Council Entry'!U83="","",IFERROR(MAX(0,MIN(10,ROUND(IF('Council Entry'!U$7="Decrease Risk",10-10*((IF('Council Entry'!U$4="Logarithm",LN(0.001+IF(AND(ISNUMBER('Council Entry'!U$8),ISNUMBER('Council Entry'!U$9)),MAX(MIN('Council Entry'!U83,'Council Entry'!U$9),'Council Entry'!U$8),'Council Entry'!U83)),IF('Council Entry'!U$4="Exponential",EXP(IF(AND(ISNUMBER('Council Entry'!U$8),ISNUMBER('Council Entry'!U$9)),MAX(MIN('Council Entry'!U83,'Council Entry'!U$9),'Council Entry'!U$8),'Council Entry'!U83)),IF(AND(ISNUMBER('Council Entry'!U$8),ISNUMBER('Council Entry'!U$9)),MAX(MIN('Council Entry'!U83,'Council Entry'!U$9),'Council Entry'!U$8),'Council Entry'!U83))))-'Council Entry'!U$5)/('Council Entry'!U$6-'Council Entry'!U$5),10*((IF('Council Entry'!U$4="Logarithm",LN(0.001+IF(AND(ISNUMBER('Council Entry'!U$8),ISNUMBER('Council Entry'!U$9)),MAX(MIN('Council Entry'!U83,'Council Entry'!U$9),'Council Entry'!U$8),'Council Entry'!U83)),IF('Council Entry'!U$4="Exponential",EXP(IF(AND(ISNUMBER('Council Entry'!U$8),ISNUMBER('Council Entry'!U$9)),MAX(MIN('Council Entry'!U83,'Council Entry'!U$9),'Council Entry'!U$8),'Council Entry'!U83)),IF(AND(ISNUMBER('Council Entry'!U$8),ISNUMBER('Council Entry'!U$9)),MAX(MIN('Council Entry'!U83,'Council Entry'!U$9),'Council Entry'!U$8),'Council Entry'!U83))))-'Council Entry'!U$5)/('Council Entry'!U$6-'Council Entry'!U$5)),1))),"No data"))</f>
        <v/>
      </c>
      <c r="V83" s="13">
        <f>IF('Council Entry'!V83="","",IFERROR(MAX(0,MIN(10,ROUND(IF('Council Entry'!V$7="Decrease Risk",10-10*((IF('Council Entry'!V$4="Logarithm",LN(0.001+IF(AND(ISNUMBER('Council Entry'!V$8),ISNUMBER('Council Entry'!V$9)),MAX(MIN('Council Entry'!V83,'Council Entry'!V$9),'Council Entry'!V$8),'Council Entry'!V83)),IF('Council Entry'!V$4="Exponential",EXP(IF(AND(ISNUMBER('Council Entry'!V$8),ISNUMBER('Council Entry'!V$9)),MAX(MIN('Council Entry'!V83,'Council Entry'!V$9),'Council Entry'!V$8),'Council Entry'!V83)),IF(AND(ISNUMBER('Council Entry'!V$8),ISNUMBER('Council Entry'!V$9)),MAX(MIN('Council Entry'!V83,'Council Entry'!V$9),'Council Entry'!V$8),'Council Entry'!V83))))-'Council Entry'!V$5)/('Council Entry'!V$6-'Council Entry'!V$5),10*((IF('Council Entry'!V$4="Logarithm",LN(0.001+IF(AND(ISNUMBER('Council Entry'!V$8),ISNUMBER('Council Entry'!V$9)),MAX(MIN('Council Entry'!V83,'Council Entry'!V$9),'Council Entry'!V$8),'Council Entry'!V83)),IF('Council Entry'!V$4="Exponential",EXP(IF(AND(ISNUMBER('Council Entry'!V$8),ISNUMBER('Council Entry'!V$9)),MAX(MIN('Council Entry'!V83,'Council Entry'!V$9),'Council Entry'!V$8),'Council Entry'!V83)),IF(AND(ISNUMBER('Council Entry'!V$8),ISNUMBER('Council Entry'!V$9)),MAX(MIN('Council Entry'!V83,'Council Entry'!V$9),'Council Entry'!V$8),'Council Entry'!V83))))-'Council Entry'!V$5)/('Council Entry'!V$6-'Council Entry'!V$5)),1))),"No data"))</f>
        <v/>
      </c>
      <c r="W83" s="13">
        <f>IF('Council Entry'!W83="","",IFERROR(MAX(0,MIN(10,ROUND(IF('Council Entry'!W$7="Decrease Risk",10-10*((IF('Council Entry'!W$4="Logarithm",LN(0.001+IF(AND(ISNUMBER('Council Entry'!W$8),ISNUMBER('Council Entry'!W$9)),MAX(MIN('Council Entry'!W83,'Council Entry'!W$9),'Council Entry'!W$8),'Council Entry'!W83)),IF('Council Entry'!W$4="Exponential",EXP(IF(AND(ISNUMBER('Council Entry'!W$8),ISNUMBER('Council Entry'!W$9)),MAX(MIN('Council Entry'!W83,'Council Entry'!W$9),'Council Entry'!W$8),'Council Entry'!W83)),IF(AND(ISNUMBER('Council Entry'!W$8),ISNUMBER('Council Entry'!W$9)),MAX(MIN('Council Entry'!W83,'Council Entry'!W$9),'Council Entry'!W$8),'Council Entry'!W83))))-'Council Entry'!W$5)/('Council Entry'!W$6-'Council Entry'!W$5),10*((IF('Council Entry'!W$4="Logarithm",LN(0.001+IF(AND(ISNUMBER('Council Entry'!W$8),ISNUMBER('Council Entry'!W$9)),MAX(MIN('Council Entry'!W83,'Council Entry'!W$9),'Council Entry'!W$8),'Council Entry'!W83)),IF('Council Entry'!W$4="Exponential",EXP(IF(AND(ISNUMBER('Council Entry'!W$8),ISNUMBER('Council Entry'!W$9)),MAX(MIN('Council Entry'!W83,'Council Entry'!W$9),'Council Entry'!W$8),'Council Entry'!W83)),IF(AND(ISNUMBER('Council Entry'!W$8),ISNUMBER('Council Entry'!W$9)),MAX(MIN('Council Entry'!W83,'Council Entry'!W$9),'Council Entry'!W$8),'Council Entry'!W83))))-'Council Entry'!W$5)/('Council Entry'!W$6-'Council Entry'!W$5)),1))),"No data"))</f>
        <v/>
      </c>
      <c r="X83" s="13">
        <f>IF('Council Entry'!X83="","",IFERROR(MAX(0,MIN(10,ROUND(IF('Council Entry'!X$7="Decrease Risk",10-10*((IF('Council Entry'!X$4="Logarithm",LN(0.001+IF(AND(ISNUMBER('Council Entry'!X$8),ISNUMBER('Council Entry'!X$9)),MAX(MIN('Council Entry'!X83,'Council Entry'!X$9),'Council Entry'!X$8),'Council Entry'!X83)),IF('Council Entry'!X$4="Exponential",EXP(IF(AND(ISNUMBER('Council Entry'!X$8),ISNUMBER('Council Entry'!X$9)),MAX(MIN('Council Entry'!X83,'Council Entry'!X$9),'Council Entry'!X$8),'Council Entry'!X83)),IF(AND(ISNUMBER('Council Entry'!X$8),ISNUMBER('Council Entry'!X$9)),MAX(MIN('Council Entry'!X83,'Council Entry'!X$9),'Council Entry'!X$8),'Council Entry'!X83))))-'Council Entry'!X$5)/('Council Entry'!X$6-'Council Entry'!X$5),10*((IF('Council Entry'!X$4="Logarithm",LN(0.001+IF(AND(ISNUMBER('Council Entry'!X$8),ISNUMBER('Council Entry'!X$9)),MAX(MIN('Council Entry'!X83,'Council Entry'!X$9),'Council Entry'!X$8),'Council Entry'!X83)),IF('Council Entry'!X$4="Exponential",EXP(IF(AND(ISNUMBER('Council Entry'!X$8),ISNUMBER('Council Entry'!X$9)),MAX(MIN('Council Entry'!X83,'Council Entry'!X$9),'Council Entry'!X$8),'Council Entry'!X83)),IF(AND(ISNUMBER('Council Entry'!X$8),ISNUMBER('Council Entry'!X$9)),MAX(MIN('Council Entry'!X83,'Council Entry'!X$9),'Council Entry'!X$8),'Council Entry'!X83))))-'Council Entry'!X$5)/('Council Entry'!X$6-'Council Entry'!X$5)),1))),"No data"))</f>
        <v/>
      </c>
      <c r="Y83" s="13">
        <f>IF('Council Entry'!Y83="","",IFERROR(MAX(0,MIN(10,ROUND(IF('Council Entry'!Y$7="Decrease Risk",10-10*((IF('Council Entry'!Y$4="Logarithm",LN(0.001+IF(AND(ISNUMBER('Council Entry'!Y$8),ISNUMBER('Council Entry'!Y$9)),MAX(MIN('Council Entry'!Y83,'Council Entry'!Y$9),'Council Entry'!Y$8),'Council Entry'!Y83)),IF('Council Entry'!Y$4="Exponential",EXP(IF(AND(ISNUMBER('Council Entry'!Y$8),ISNUMBER('Council Entry'!Y$9)),MAX(MIN('Council Entry'!Y83,'Council Entry'!Y$9),'Council Entry'!Y$8),'Council Entry'!Y83)),IF(AND(ISNUMBER('Council Entry'!Y$8),ISNUMBER('Council Entry'!Y$9)),MAX(MIN('Council Entry'!Y83,'Council Entry'!Y$9),'Council Entry'!Y$8),'Council Entry'!Y83))))-'Council Entry'!Y$5)/('Council Entry'!Y$6-'Council Entry'!Y$5),10*((IF('Council Entry'!Y$4="Logarithm",LN(0.001+IF(AND(ISNUMBER('Council Entry'!Y$8),ISNUMBER('Council Entry'!Y$9)),MAX(MIN('Council Entry'!Y83,'Council Entry'!Y$9),'Council Entry'!Y$8),'Council Entry'!Y83)),IF('Council Entry'!Y$4="Exponential",EXP(IF(AND(ISNUMBER('Council Entry'!Y$8),ISNUMBER('Council Entry'!Y$9)),MAX(MIN('Council Entry'!Y83,'Council Entry'!Y$9),'Council Entry'!Y$8),'Council Entry'!Y83)),IF(AND(ISNUMBER('Council Entry'!Y$8),ISNUMBER('Council Entry'!Y$9)),MAX(MIN('Council Entry'!Y83,'Council Entry'!Y$9),'Council Entry'!Y$8),'Council Entry'!Y83))))-'Council Entry'!Y$5)/('Council Entry'!Y$6-'Council Entry'!Y$5)),1))),"No data"))</f>
        <v/>
      </c>
      <c r="Z83" s="13">
        <f>IF('Council Entry'!Z83="","",IFERROR(MAX(0,MIN(10,ROUND(IF('Council Entry'!Z$7="Decrease Risk",10-10*((IF('Council Entry'!Z$4="Logarithm",LN(0.001+IF(AND(ISNUMBER('Council Entry'!Z$8),ISNUMBER('Council Entry'!Z$9)),MAX(MIN('Council Entry'!Z83,'Council Entry'!Z$9),'Council Entry'!Z$8),'Council Entry'!Z83)),IF('Council Entry'!Z$4="Exponential",EXP(IF(AND(ISNUMBER('Council Entry'!Z$8),ISNUMBER('Council Entry'!Z$9)),MAX(MIN('Council Entry'!Z83,'Council Entry'!Z$9),'Council Entry'!Z$8),'Council Entry'!Z83)),IF(AND(ISNUMBER('Council Entry'!Z$8),ISNUMBER('Council Entry'!Z$9)),MAX(MIN('Council Entry'!Z83,'Council Entry'!Z$9),'Council Entry'!Z$8),'Council Entry'!Z83))))-'Council Entry'!Z$5)/('Council Entry'!Z$6-'Council Entry'!Z$5),10*((IF('Council Entry'!Z$4="Logarithm",LN(0.001+IF(AND(ISNUMBER('Council Entry'!Z$8),ISNUMBER('Council Entry'!Z$9)),MAX(MIN('Council Entry'!Z83,'Council Entry'!Z$9),'Council Entry'!Z$8),'Council Entry'!Z83)),IF('Council Entry'!Z$4="Exponential",EXP(IF(AND(ISNUMBER('Council Entry'!Z$8),ISNUMBER('Council Entry'!Z$9)),MAX(MIN('Council Entry'!Z83,'Council Entry'!Z$9),'Council Entry'!Z$8),'Council Entry'!Z83)),IF(AND(ISNUMBER('Council Entry'!Z$8),ISNUMBER('Council Entry'!Z$9)),MAX(MIN('Council Entry'!Z83,'Council Entry'!Z$9),'Council Entry'!Z$8),'Council Entry'!Z83))))-'Council Entry'!Z$5)/('Council Entry'!Z$6-'Council Entry'!Z$5)),1))),"No data"))</f>
        <v/>
      </c>
      <c r="AA83" s="13">
        <f>IF('Council Entry'!AA83="","",IFERROR(MAX(0,MIN(10,ROUND(IF('Council Entry'!AA$7="Decrease Risk",10-10*((IF('Council Entry'!AA$4="Logarithm",LN(0.001+IF(AND(ISNUMBER('Council Entry'!AA$8),ISNUMBER('Council Entry'!AA$9)),MAX(MIN('Council Entry'!AA83,'Council Entry'!AA$9),'Council Entry'!AA$8),'Council Entry'!AA83)),IF('Council Entry'!AA$4="Exponential",EXP(IF(AND(ISNUMBER('Council Entry'!AA$8),ISNUMBER('Council Entry'!AA$9)),MAX(MIN('Council Entry'!AA83,'Council Entry'!AA$9),'Council Entry'!AA$8),'Council Entry'!AA83)),IF(AND(ISNUMBER('Council Entry'!AA$8),ISNUMBER('Council Entry'!AA$9)),MAX(MIN('Council Entry'!AA83,'Council Entry'!AA$9),'Council Entry'!AA$8),'Council Entry'!AA83))))-'Council Entry'!AA$5)/('Council Entry'!AA$6-'Council Entry'!AA$5),10*((IF('Council Entry'!AA$4="Logarithm",LN(0.001+IF(AND(ISNUMBER('Council Entry'!AA$8),ISNUMBER('Council Entry'!AA$9)),MAX(MIN('Council Entry'!AA83,'Council Entry'!AA$9),'Council Entry'!AA$8),'Council Entry'!AA83)),IF('Council Entry'!AA$4="Exponential",EXP(IF(AND(ISNUMBER('Council Entry'!AA$8),ISNUMBER('Council Entry'!AA$9)),MAX(MIN('Council Entry'!AA83,'Council Entry'!AA$9),'Council Entry'!AA$8),'Council Entry'!AA83)),IF(AND(ISNUMBER('Council Entry'!AA$8),ISNUMBER('Council Entry'!AA$9)),MAX(MIN('Council Entry'!AA83,'Council Entry'!AA$9),'Council Entry'!AA$8),'Council Entry'!AA83))))-'Council Entry'!AA$5)/('Council Entry'!AA$6-'Council Entry'!AA$5)),1))),"No data"))</f>
        <v/>
      </c>
      <c r="AB83" s="13">
        <f>IF('Council Entry'!AB83="","",IFERROR(MAX(0,MIN(10,ROUND(IF('Council Entry'!AB$7="Decrease Risk",10-10*((IF('Council Entry'!AB$4="Logarithm",LN(0.001+IF(AND(ISNUMBER('Council Entry'!AB$8),ISNUMBER('Council Entry'!AB$9)),MAX(MIN('Council Entry'!AB83,'Council Entry'!AB$9),'Council Entry'!AB$8),'Council Entry'!AB83)),IF('Council Entry'!AB$4="Exponential",EXP(IF(AND(ISNUMBER('Council Entry'!AB$8),ISNUMBER('Council Entry'!AB$9)),MAX(MIN('Council Entry'!AB83,'Council Entry'!AB$9),'Council Entry'!AB$8),'Council Entry'!AB83)),IF(AND(ISNUMBER('Council Entry'!AB$8),ISNUMBER('Council Entry'!AB$9)),MAX(MIN('Council Entry'!AB83,'Council Entry'!AB$9),'Council Entry'!AB$8),'Council Entry'!AB83))))-'Council Entry'!AB$5)/('Council Entry'!AB$6-'Council Entry'!AB$5),10*((IF('Council Entry'!AB$4="Logarithm",LN(0.001+IF(AND(ISNUMBER('Council Entry'!AB$8),ISNUMBER('Council Entry'!AB$9)),MAX(MIN('Council Entry'!AB83,'Council Entry'!AB$9),'Council Entry'!AB$8),'Council Entry'!AB83)),IF('Council Entry'!AB$4="Exponential",EXP(IF(AND(ISNUMBER('Council Entry'!AB$8),ISNUMBER('Council Entry'!AB$9)),MAX(MIN('Council Entry'!AB83,'Council Entry'!AB$9),'Council Entry'!AB$8),'Council Entry'!AB83)),IF(AND(ISNUMBER('Council Entry'!AB$8),ISNUMBER('Council Entry'!AB$9)),MAX(MIN('Council Entry'!AB83,'Council Entry'!AB$9),'Council Entry'!AB$8),'Council Entry'!AB83))))-'Council Entry'!AB$5)/('Council Entry'!AB$6-'Council Entry'!AB$5)),1))),"No data"))</f>
        <v/>
      </c>
      <c r="AC83" s="13">
        <f>IF('Council Entry'!AC83="","",IFERROR(MAX(0,MIN(10,ROUND(IF('Council Entry'!AC$7="Decrease Risk",10-10*((IF('Council Entry'!AC$4="Logarithm",LN(0.001+IF(AND(ISNUMBER('Council Entry'!AC$8),ISNUMBER('Council Entry'!AC$9)),MAX(MIN('Council Entry'!AC83,'Council Entry'!AC$9),'Council Entry'!AC$8),'Council Entry'!AC83)),IF('Council Entry'!AC$4="Exponential",EXP(IF(AND(ISNUMBER('Council Entry'!AC$8),ISNUMBER('Council Entry'!AC$9)),MAX(MIN('Council Entry'!AC83,'Council Entry'!AC$9),'Council Entry'!AC$8),'Council Entry'!AC83)),IF(AND(ISNUMBER('Council Entry'!AC$8),ISNUMBER('Council Entry'!AC$9)),MAX(MIN('Council Entry'!AC83,'Council Entry'!AC$9),'Council Entry'!AC$8),'Council Entry'!AC83))))-'Council Entry'!AC$5)/('Council Entry'!AC$6-'Council Entry'!AC$5),10*((IF('Council Entry'!AC$4="Logarithm",LN(0.001+IF(AND(ISNUMBER('Council Entry'!AC$8),ISNUMBER('Council Entry'!AC$9)),MAX(MIN('Council Entry'!AC83,'Council Entry'!AC$9),'Council Entry'!AC$8),'Council Entry'!AC83)),IF('Council Entry'!AC$4="Exponential",EXP(IF(AND(ISNUMBER('Council Entry'!AC$8),ISNUMBER('Council Entry'!AC$9)),MAX(MIN('Council Entry'!AC83,'Council Entry'!AC$9),'Council Entry'!AC$8),'Council Entry'!AC83)),IF(AND(ISNUMBER('Council Entry'!AC$8),ISNUMBER('Council Entry'!AC$9)),MAX(MIN('Council Entry'!AC83,'Council Entry'!AC$9),'Council Entry'!AC$8),'Council Entry'!AC83))))-'Council Entry'!AC$5)/('Council Entry'!AC$6-'Council Entry'!AC$5)),1))),"No data"))</f>
        <v/>
      </c>
      <c r="AD83" s="13">
        <f>IF('Council Entry'!AD83="","",IFERROR(MAX(0,MIN(10,ROUND(IF('Council Entry'!AD$7="Decrease Risk",10-10*((IF('Council Entry'!AD$4="Logarithm",LN(0.001+IF(AND(ISNUMBER('Council Entry'!AD$8),ISNUMBER('Council Entry'!AD$9)),MAX(MIN('Council Entry'!AD83,'Council Entry'!AD$9),'Council Entry'!AD$8),'Council Entry'!AD83)),IF('Council Entry'!AD$4="Exponential",EXP(IF(AND(ISNUMBER('Council Entry'!AD$8),ISNUMBER('Council Entry'!AD$9)),MAX(MIN('Council Entry'!AD83,'Council Entry'!AD$9),'Council Entry'!AD$8),'Council Entry'!AD83)),IF(AND(ISNUMBER('Council Entry'!AD$8),ISNUMBER('Council Entry'!AD$9)),MAX(MIN('Council Entry'!AD83,'Council Entry'!AD$9),'Council Entry'!AD$8),'Council Entry'!AD83))))-'Council Entry'!AD$5)/('Council Entry'!AD$6-'Council Entry'!AD$5),10*((IF('Council Entry'!AD$4="Logarithm",LN(0.001+IF(AND(ISNUMBER('Council Entry'!AD$8),ISNUMBER('Council Entry'!AD$9)),MAX(MIN('Council Entry'!AD83,'Council Entry'!AD$9),'Council Entry'!AD$8),'Council Entry'!AD83)),IF('Council Entry'!AD$4="Exponential",EXP(IF(AND(ISNUMBER('Council Entry'!AD$8),ISNUMBER('Council Entry'!AD$9)),MAX(MIN('Council Entry'!AD83,'Council Entry'!AD$9),'Council Entry'!AD$8),'Council Entry'!AD83)),IF(AND(ISNUMBER('Council Entry'!AD$8),ISNUMBER('Council Entry'!AD$9)),MAX(MIN('Council Entry'!AD83,'Council Entry'!AD$9),'Council Entry'!AD$8),'Council Entry'!AD83))))-'Council Entry'!AD$5)/('Council Entry'!AD$6-'Council Entry'!AD$5)),1))),"No data"))</f>
        <v/>
      </c>
      <c r="AE83" s="13">
        <f>IF('Council Entry'!AE83="","",IFERROR(MAX(0,MIN(10,ROUND(IF('Council Entry'!AE$7="Decrease Risk",10-10*((IF('Council Entry'!AE$4="Logarithm",LN(0.001+IF(AND(ISNUMBER('Council Entry'!AE$8),ISNUMBER('Council Entry'!AE$9)),MAX(MIN('Council Entry'!AE83,'Council Entry'!AE$9),'Council Entry'!AE$8),'Council Entry'!AE83)),IF('Council Entry'!AE$4="Exponential",EXP(IF(AND(ISNUMBER('Council Entry'!AE$8),ISNUMBER('Council Entry'!AE$9)),MAX(MIN('Council Entry'!AE83,'Council Entry'!AE$9),'Council Entry'!AE$8),'Council Entry'!AE83)),IF(AND(ISNUMBER('Council Entry'!AE$8),ISNUMBER('Council Entry'!AE$9)),MAX(MIN('Council Entry'!AE83,'Council Entry'!AE$9),'Council Entry'!AE$8),'Council Entry'!AE83))))-'Council Entry'!AE$5)/('Council Entry'!AE$6-'Council Entry'!AE$5),10*((IF('Council Entry'!AE$4="Logarithm",LN(0.001+IF(AND(ISNUMBER('Council Entry'!AE$8),ISNUMBER('Council Entry'!AE$9)),MAX(MIN('Council Entry'!AE83,'Council Entry'!AE$9),'Council Entry'!AE$8),'Council Entry'!AE83)),IF('Council Entry'!AE$4="Exponential",EXP(IF(AND(ISNUMBER('Council Entry'!AE$8),ISNUMBER('Council Entry'!AE$9)),MAX(MIN('Council Entry'!AE83,'Council Entry'!AE$9),'Council Entry'!AE$8),'Council Entry'!AE83)),IF(AND(ISNUMBER('Council Entry'!AE$8),ISNUMBER('Council Entry'!AE$9)),MAX(MIN('Council Entry'!AE83,'Council Entry'!AE$9),'Council Entry'!AE$8),'Council Entry'!AE83))))-'Council Entry'!AE$5)/('Council Entry'!AE$6-'Council Entry'!AE$5)),1))),"No data"))</f>
        <v/>
      </c>
      <c r="AF83" s="13">
        <f>IF('Council Entry'!AF83="","",IFERROR(MAX(0,MIN(10,ROUND(IF('Council Entry'!AF$7="Decrease Risk",10-10*((IF('Council Entry'!AF$4="Logarithm",LN(0.001+IF(AND(ISNUMBER('Council Entry'!AF$8),ISNUMBER('Council Entry'!AF$9)),MAX(MIN('Council Entry'!AF83,'Council Entry'!AF$9),'Council Entry'!AF$8),'Council Entry'!AF83)),IF('Council Entry'!AF$4="Exponential",EXP(IF(AND(ISNUMBER('Council Entry'!AF$8),ISNUMBER('Council Entry'!AF$9)),MAX(MIN('Council Entry'!AF83,'Council Entry'!AF$9),'Council Entry'!AF$8),'Council Entry'!AF83)),IF(AND(ISNUMBER('Council Entry'!AF$8),ISNUMBER('Council Entry'!AF$9)),MAX(MIN('Council Entry'!AF83,'Council Entry'!AF$9),'Council Entry'!AF$8),'Council Entry'!AF83))))-'Council Entry'!AF$5)/('Council Entry'!AF$6-'Council Entry'!AF$5),10*((IF('Council Entry'!AF$4="Logarithm",LN(0.001+IF(AND(ISNUMBER('Council Entry'!AF$8),ISNUMBER('Council Entry'!AF$9)),MAX(MIN('Council Entry'!AF83,'Council Entry'!AF$9),'Council Entry'!AF$8),'Council Entry'!AF83)),IF('Council Entry'!AF$4="Exponential",EXP(IF(AND(ISNUMBER('Council Entry'!AF$8),ISNUMBER('Council Entry'!AF$9)),MAX(MIN('Council Entry'!AF83,'Council Entry'!AF$9),'Council Entry'!AF$8),'Council Entry'!AF83)),IF(AND(ISNUMBER('Council Entry'!AF$8),ISNUMBER('Council Entry'!AF$9)),MAX(MIN('Council Entry'!AF83,'Council Entry'!AF$9),'Council Entry'!AF$8),'Council Entry'!AF83))))-'Council Entry'!AF$5)/('Council Entry'!AF$6-'Council Entry'!AF$5)),1))),"No data"))</f>
        <v/>
      </c>
      <c r="AG83" s="13">
        <f>IF('Council Entry'!AG83="","",IFERROR(MAX(0,MIN(10,ROUND(IF('Council Entry'!AG$7="Decrease Risk",10-10*((IF('Council Entry'!AG$4="Logarithm",LN(0.001+IF(AND(ISNUMBER('Council Entry'!AG$8),ISNUMBER('Council Entry'!AG$9)),MAX(MIN('Council Entry'!AG83,'Council Entry'!AG$9),'Council Entry'!AG$8),'Council Entry'!AG83)),IF('Council Entry'!AG$4="Exponential",EXP(IF(AND(ISNUMBER('Council Entry'!AG$8),ISNUMBER('Council Entry'!AG$9)),MAX(MIN('Council Entry'!AG83,'Council Entry'!AG$9),'Council Entry'!AG$8),'Council Entry'!AG83)),IF(AND(ISNUMBER('Council Entry'!AG$8),ISNUMBER('Council Entry'!AG$9)),MAX(MIN('Council Entry'!AG83,'Council Entry'!AG$9),'Council Entry'!AG$8),'Council Entry'!AG83))))-'Council Entry'!AG$5)/('Council Entry'!AG$6-'Council Entry'!AG$5),10*((IF('Council Entry'!AG$4="Logarithm",LN(0.001+IF(AND(ISNUMBER('Council Entry'!AG$8),ISNUMBER('Council Entry'!AG$9)),MAX(MIN('Council Entry'!AG83,'Council Entry'!AG$9),'Council Entry'!AG$8),'Council Entry'!AG83)),IF('Council Entry'!AG$4="Exponential",EXP(IF(AND(ISNUMBER('Council Entry'!AG$8),ISNUMBER('Council Entry'!AG$9)),MAX(MIN('Council Entry'!AG83,'Council Entry'!AG$9),'Council Entry'!AG$8),'Council Entry'!AG83)),IF(AND(ISNUMBER('Council Entry'!AG$8),ISNUMBER('Council Entry'!AG$9)),MAX(MIN('Council Entry'!AG83,'Council Entry'!AG$9),'Council Entry'!AG$8),'Council Entry'!AG83))))-'Council Entry'!AG$5)/('Council Entry'!AG$6-'Council Entry'!AG$5)),1))),"No data"))</f>
        <v/>
      </c>
      <c r="AH83" s="13">
        <f>IF('Council Entry'!AH83="","",IFERROR(MAX(0,MIN(10,ROUND(IF('Council Entry'!AH$7="Decrease Risk",10-10*((IF('Council Entry'!AH$4="Logarithm",LN(0.001+IF(AND(ISNUMBER('Council Entry'!AH$8),ISNUMBER('Council Entry'!AH$9)),MAX(MIN('Council Entry'!AH83,'Council Entry'!AH$9),'Council Entry'!AH$8),'Council Entry'!AH83)),IF('Council Entry'!AH$4="Exponential",EXP(IF(AND(ISNUMBER('Council Entry'!AH$8),ISNUMBER('Council Entry'!AH$9)),MAX(MIN('Council Entry'!AH83,'Council Entry'!AH$9),'Council Entry'!AH$8),'Council Entry'!AH83)),IF(AND(ISNUMBER('Council Entry'!AH$8),ISNUMBER('Council Entry'!AH$9)),MAX(MIN('Council Entry'!AH83,'Council Entry'!AH$9),'Council Entry'!AH$8),'Council Entry'!AH83))))-'Council Entry'!AH$5)/('Council Entry'!AH$6-'Council Entry'!AH$5),10*((IF('Council Entry'!AH$4="Logarithm",LN(0.001+IF(AND(ISNUMBER('Council Entry'!AH$8),ISNUMBER('Council Entry'!AH$9)),MAX(MIN('Council Entry'!AH83,'Council Entry'!AH$9),'Council Entry'!AH$8),'Council Entry'!AH83)),IF('Council Entry'!AH$4="Exponential",EXP(IF(AND(ISNUMBER('Council Entry'!AH$8),ISNUMBER('Council Entry'!AH$9)),MAX(MIN('Council Entry'!AH83,'Council Entry'!AH$9),'Council Entry'!AH$8),'Council Entry'!AH83)),IF(AND(ISNUMBER('Council Entry'!AH$8),ISNUMBER('Council Entry'!AH$9)),MAX(MIN('Council Entry'!AH83,'Council Entry'!AH$9),'Council Entry'!AH$8),'Council Entry'!AH83))))-'Council Entry'!AH$5)/('Council Entry'!AH$6-'Council Entry'!AH$5)),1))),"No data"))</f>
        <v/>
      </c>
      <c r="AI83" s="13">
        <f>IF('Council Entry'!AI83="","",IFERROR(MAX(0,MIN(10,ROUND(IF('Council Entry'!AI$7="Decrease Risk",10-10*((IF('Council Entry'!AI$4="Logarithm",LN(0.001+IF(AND(ISNUMBER('Council Entry'!AI$8),ISNUMBER('Council Entry'!AI$9)),MAX(MIN('Council Entry'!AI83,'Council Entry'!AI$9),'Council Entry'!AI$8),'Council Entry'!AI83)),IF('Council Entry'!AI$4="Exponential",EXP(IF(AND(ISNUMBER('Council Entry'!AI$8),ISNUMBER('Council Entry'!AI$9)),MAX(MIN('Council Entry'!AI83,'Council Entry'!AI$9),'Council Entry'!AI$8),'Council Entry'!AI83)),IF(AND(ISNUMBER('Council Entry'!AI$8),ISNUMBER('Council Entry'!AI$9)),MAX(MIN('Council Entry'!AI83,'Council Entry'!AI$9),'Council Entry'!AI$8),'Council Entry'!AI83))))-'Council Entry'!AI$5)/('Council Entry'!AI$6-'Council Entry'!AI$5),10*((IF('Council Entry'!AI$4="Logarithm",LN(0.001+IF(AND(ISNUMBER('Council Entry'!AI$8),ISNUMBER('Council Entry'!AI$9)),MAX(MIN('Council Entry'!AI83,'Council Entry'!AI$9),'Council Entry'!AI$8),'Council Entry'!AI83)),IF('Council Entry'!AI$4="Exponential",EXP(IF(AND(ISNUMBER('Council Entry'!AI$8),ISNUMBER('Council Entry'!AI$9)),MAX(MIN('Council Entry'!AI83,'Council Entry'!AI$9),'Council Entry'!AI$8),'Council Entry'!AI83)),IF(AND(ISNUMBER('Council Entry'!AI$8),ISNUMBER('Council Entry'!AI$9)),MAX(MIN('Council Entry'!AI83,'Council Entry'!AI$9),'Council Entry'!AI$8),'Council Entry'!AI83))))-'Council Entry'!AI$5)/('Council Entry'!AI$6-'Council Entry'!AI$5)),1))),"No data"))</f>
        <v/>
      </c>
      <c r="AJ83" s="13">
        <f>IF('Council Entry'!AJ83="","",IFERROR(MAX(0,MIN(10,ROUND(IF('Council Entry'!AJ$7="Decrease Risk",10-10*((IF('Council Entry'!AJ$4="Logarithm",LN(0.001+IF(AND(ISNUMBER('Council Entry'!AJ$8),ISNUMBER('Council Entry'!AJ$9)),MAX(MIN('Council Entry'!AJ83,'Council Entry'!AJ$9),'Council Entry'!AJ$8),'Council Entry'!AJ83)),IF('Council Entry'!AJ$4="Exponential",EXP(IF(AND(ISNUMBER('Council Entry'!AJ$8),ISNUMBER('Council Entry'!AJ$9)),MAX(MIN('Council Entry'!AJ83,'Council Entry'!AJ$9),'Council Entry'!AJ$8),'Council Entry'!AJ83)),IF(AND(ISNUMBER('Council Entry'!AJ$8),ISNUMBER('Council Entry'!AJ$9)),MAX(MIN('Council Entry'!AJ83,'Council Entry'!AJ$9),'Council Entry'!AJ$8),'Council Entry'!AJ83))))-'Council Entry'!AJ$5)/('Council Entry'!AJ$6-'Council Entry'!AJ$5),10*((IF('Council Entry'!AJ$4="Logarithm",LN(0.001+IF(AND(ISNUMBER('Council Entry'!AJ$8),ISNUMBER('Council Entry'!AJ$9)),MAX(MIN('Council Entry'!AJ83,'Council Entry'!AJ$9),'Council Entry'!AJ$8),'Council Entry'!AJ83)),IF('Council Entry'!AJ$4="Exponential",EXP(IF(AND(ISNUMBER('Council Entry'!AJ$8),ISNUMBER('Council Entry'!AJ$9)),MAX(MIN('Council Entry'!AJ83,'Council Entry'!AJ$9),'Council Entry'!AJ$8),'Council Entry'!AJ83)),IF(AND(ISNUMBER('Council Entry'!AJ$8),ISNUMBER('Council Entry'!AJ$9)),MAX(MIN('Council Entry'!AJ83,'Council Entry'!AJ$9),'Council Entry'!AJ$8),'Council Entry'!AJ83))))-'Council Entry'!AJ$5)/('Council Entry'!AJ$6-'Council Entry'!AJ$5)),1))),"No data"))</f>
        <v/>
      </c>
      <c r="AK83" s="13">
        <f>IF('Council Entry'!AK83="","",IFERROR(MAX(0,MIN(10,ROUND(IF('Council Entry'!AK$7="Decrease Risk",10-10*((IF('Council Entry'!AK$4="Logarithm",LN(0.001+IF(AND(ISNUMBER('Council Entry'!AK$8),ISNUMBER('Council Entry'!AK$9)),MAX(MIN('Council Entry'!AK83,'Council Entry'!AK$9),'Council Entry'!AK$8),'Council Entry'!AK83)),IF('Council Entry'!AK$4="Exponential",EXP(IF(AND(ISNUMBER('Council Entry'!AK$8),ISNUMBER('Council Entry'!AK$9)),MAX(MIN('Council Entry'!AK83,'Council Entry'!AK$9),'Council Entry'!AK$8),'Council Entry'!AK83)),IF(AND(ISNUMBER('Council Entry'!AK$8),ISNUMBER('Council Entry'!AK$9)),MAX(MIN('Council Entry'!AK83,'Council Entry'!AK$9),'Council Entry'!AK$8),'Council Entry'!AK83))))-'Council Entry'!AK$5)/('Council Entry'!AK$6-'Council Entry'!AK$5),10*((IF('Council Entry'!AK$4="Logarithm",LN(0.001+IF(AND(ISNUMBER('Council Entry'!AK$8),ISNUMBER('Council Entry'!AK$9)),MAX(MIN('Council Entry'!AK83,'Council Entry'!AK$9),'Council Entry'!AK$8),'Council Entry'!AK83)),IF('Council Entry'!AK$4="Exponential",EXP(IF(AND(ISNUMBER('Council Entry'!AK$8),ISNUMBER('Council Entry'!AK$9)),MAX(MIN('Council Entry'!AK83,'Council Entry'!AK$9),'Council Entry'!AK$8),'Council Entry'!AK83)),IF(AND(ISNUMBER('Council Entry'!AK$8),ISNUMBER('Council Entry'!AK$9)),MAX(MIN('Council Entry'!AK83,'Council Entry'!AK$9),'Council Entry'!AK$8),'Council Entry'!AK83))))-'Council Entry'!AK$5)/('Council Entry'!AK$6-'Council Entry'!AK$5)),1))),"No data"))</f>
        <v/>
      </c>
      <c r="AL83" s="13">
        <f>IF('Council Entry'!AL83="","",IFERROR(MAX(0,MIN(10,ROUND(IF('Council Entry'!AL$7="Decrease Risk",10-10*((IF('Council Entry'!AL$4="Logarithm",LN(0.001+IF(AND(ISNUMBER('Council Entry'!AL$8),ISNUMBER('Council Entry'!AL$9)),MAX(MIN('Council Entry'!AL83,'Council Entry'!AL$9),'Council Entry'!AL$8),'Council Entry'!AL83)),IF('Council Entry'!AL$4="Exponential",EXP(IF(AND(ISNUMBER('Council Entry'!AL$8),ISNUMBER('Council Entry'!AL$9)),MAX(MIN('Council Entry'!AL83,'Council Entry'!AL$9),'Council Entry'!AL$8),'Council Entry'!AL83)),IF(AND(ISNUMBER('Council Entry'!AL$8),ISNUMBER('Council Entry'!AL$9)),MAX(MIN('Council Entry'!AL83,'Council Entry'!AL$9),'Council Entry'!AL$8),'Council Entry'!AL83))))-'Council Entry'!AL$5)/('Council Entry'!AL$6-'Council Entry'!AL$5),10*((IF('Council Entry'!AL$4="Logarithm",LN(0.001+IF(AND(ISNUMBER('Council Entry'!AL$8),ISNUMBER('Council Entry'!AL$9)),MAX(MIN('Council Entry'!AL83,'Council Entry'!AL$9),'Council Entry'!AL$8),'Council Entry'!AL83)),IF('Council Entry'!AL$4="Exponential",EXP(IF(AND(ISNUMBER('Council Entry'!AL$8),ISNUMBER('Council Entry'!AL$9)),MAX(MIN('Council Entry'!AL83,'Council Entry'!AL$9),'Council Entry'!AL$8),'Council Entry'!AL83)),IF(AND(ISNUMBER('Council Entry'!AL$8),ISNUMBER('Council Entry'!AL$9)),MAX(MIN('Council Entry'!AL83,'Council Entry'!AL$9),'Council Entry'!AL$8),'Council Entry'!AL83))))-'Council Entry'!AL$5)/('Council Entry'!AL$6-'Council Entry'!AL$5)),1))),"No data"))</f>
        <v/>
      </c>
      <c r="AM83" s="13">
        <f>IF('Council Entry'!AM83="","",IFERROR(MAX(0,MIN(10,ROUND(IF('Council Entry'!AM$7="Decrease Risk",10-10*((IF('Council Entry'!AM$4="Logarithm",LN(0.001+IF(AND(ISNUMBER('Council Entry'!AM$8),ISNUMBER('Council Entry'!AM$9)),MAX(MIN('Council Entry'!AM83,'Council Entry'!AM$9),'Council Entry'!AM$8),'Council Entry'!AM83)),IF('Council Entry'!AM$4="Exponential",EXP(IF(AND(ISNUMBER('Council Entry'!AM$8),ISNUMBER('Council Entry'!AM$9)),MAX(MIN('Council Entry'!AM83,'Council Entry'!AM$9),'Council Entry'!AM$8),'Council Entry'!AM83)),IF(AND(ISNUMBER('Council Entry'!AM$8),ISNUMBER('Council Entry'!AM$9)),MAX(MIN('Council Entry'!AM83,'Council Entry'!AM$9),'Council Entry'!AM$8),'Council Entry'!AM83))))-'Council Entry'!AM$5)/('Council Entry'!AM$6-'Council Entry'!AM$5),10*((IF('Council Entry'!AM$4="Logarithm",LN(0.001+IF(AND(ISNUMBER('Council Entry'!AM$8),ISNUMBER('Council Entry'!AM$9)),MAX(MIN('Council Entry'!AM83,'Council Entry'!AM$9),'Council Entry'!AM$8),'Council Entry'!AM83)),IF('Council Entry'!AM$4="Exponential",EXP(IF(AND(ISNUMBER('Council Entry'!AM$8),ISNUMBER('Council Entry'!AM$9)),MAX(MIN('Council Entry'!AM83,'Council Entry'!AM$9),'Council Entry'!AM$8),'Council Entry'!AM83)),IF(AND(ISNUMBER('Council Entry'!AM$8),ISNUMBER('Council Entry'!AM$9)),MAX(MIN('Council Entry'!AM83,'Council Entry'!AM$9),'Council Entry'!AM$8),'Council Entry'!AM83))))-'Council Entry'!AM$5)/('Council Entry'!AM$6-'Council Entry'!AM$5)),1))),"No data"))</f>
        <v/>
      </c>
      <c r="AN83" s="13">
        <f>IF('Council Entry'!AN83="","",IFERROR(MAX(0,MIN(10,ROUND(IF('Council Entry'!AN$7="Decrease Risk",10-10*((IF('Council Entry'!AN$4="Logarithm",LN(0.001+IF(AND(ISNUMBER('Council Entry'!AN$8),ISNUMBER('Council Entry'!AN$9)),MAX(MIN('Council Entry'!AN83,'Council Entry'!AN$9),'Council Entry'!AN$8),'Council Entry'!AN83)),IF('Council Entry'!AN$4="Exponential",EXP(IF(AND(ISNUMBER('Council Entry'!AN$8),ISNUMBER('Council Entry'!AN$9)),MAX(MIN('Council Entry'!AN83,'Council Entry'!AN$9),'Council Entry'!AN$8),'Council Entry'!AN83)),IF(AND(ISNUMBER('Council Entry'!AN$8),ISNUMBER('Council Entry'!AN$9)),MAX(MIN('Council Entry'!AN83,'Council Entry'!AN$9),'Council Entry'!AN$8),'Council Entry'!AN83))))-'Council Entry'!AN$5)/('Council Entry'!AN$6-'Council Entry'!AN$5),10*((IF('Council Entry'!AN$4="Logarithm",LN(0.001+IF(AND(ISNUMBER('Council Entry'!AN$8),ISNUMBER('Council Entry'!AN$9)),MAX(MIN('Council Entry'!AN83,'Council Entry'!AN$9),'Council Entry'!AN$8),'Council Entry'!AN83)),IF('Council Entry'!AN$4="Exponential",EXP(IF(AND(ISNUMBER('Council Entry'!AN$8),ISNUMBER('Council Entry'!AN$9)),MAX(MIN('Council Entry'!AN83,'Council Entry'!AN$9),'Council Entry'!AN$8),'Council Entry'!AN83)),IF(AND(ISNUMBER('Council Entry'!AN$8),ISNUMBER('Council Entry'!AN$9)),MAX(MIN('Council Entry'!AN83,'Council Entry'!AN$9),'Council Entry'!AN$8),'Council Entry'!AN83))))-'Council Entry'!AN$5)/('Council Entry'!AN$6-'Council Entry'!AN$5)),1))),"No data"))</f>
        <v/>
      </c>
      <c r="AO83" s="13">
        <f>IF('Council Entry'!AO83="","",IFERROR(MAX(0,MIN(10,ROUND(IF('Council Entry'!AO$7="Decrease Risk",10-10*((IF('Council Entry'!AO$4="Logarithm",LN(0.001+IF(AND(ISNUMBER('Council Entry'!AO$8),ISNUMBER('Council Entry'!AO$9)),MAX(MIN('Council Entry'!AO83,'Council Entry'!AO$9),'Council Entry'!AO$8),'Council Entry'!AO83)),IF('Council Entry'!AO$4="Exponential",EXP(IF(AND(ISNUMBER('Council Entry'!AO$8),ISNUMBER('Council Entry'!AO$9)),MAX(MIN('Council Entry'!AO83,'Council Entry'!AO$9),'Council Entry'!AO$8),'Council Entry'!AO83)),IF(AND(ISNUMBER('Council Entry'!AO$8),ISNUMBER('Council Entry'!AO$9)),MAX(MIN('Council Entry'!AO83,'Council Entry'!AO$9),'Council Entry'!AO$8),'Council Entry'!AO83))))-'Council Entry'!AO$5)/('Council Entry'!AO$6-'Council Entry'!AO$5),10*((IF('Council Entry'!AO$4="Logarithm",LN(0.001+IF(AND(ISNUMBER('Council Entry'!AO$8),ISNUMBER('Council Entry'!AO$9)),MAX(MIN('Council Entry'!AO83,'Council Entry'!AO$9),'Council Entry'!AO$8),'Council Entry'!AO83)),IF('Council Entry'!AO$4="Exponential",EXP(IF(AND(ISNUMBER('Council Entry'!AO$8),ISNUMBER('Council Entry'!AO$9)),MAX(MIN('Council Entry'!AO83,'Council Entry'!AO$9),'Council Entry'!AO$8),'Council Entry'!AO83)),IF(AND(ISNUMBER('Council Entry'!AO$8),ISNUMBER('Council Entry'!AO$9)),MAX(MIN('Council Entry'!AO83,'Council Entry'!AO$9),'Council Entry'!AO$8),'Council Entry'!AO83))))-'Council Entry'!AO$5)/('Council Entry'!AO$6-'Council Entry'!AO$5)),1))),"No data"))</f>
        <v/>
      </c>
      <c r="AP83" s="13">
        <f>IF('Council Entry'!AP83="","",IFERROR(MAX(0,MIN(10,ROUND(IF('Council Entry'!AP$7="Decrease Risk",10-10*((IF('Council Entry'!AP$4="Logarithm",LN(0.001+IF(AND(ISNUMBER('Council Entry'!AP$8),ISNUMBER('Council Entry'!AP$9)),MAX(MIN('Council Entry'!AP83,'Council Entry'!AP$9),'Council Entry'!AP$8),'Council Entry'!AP83)),IF('Council Entry'!AP$4="Exponential",EXP(IF(AND(ISNUMBER('Council Entry'!AP$8),ISNUMBER('Council Entry'!AP$9)),MAX(MIN('Council Entry'!AP83,'Council Entry'!AP$9),'Council Entry'!AP$8),'Council Entry'!AP83)),IF(AND(ISNUMBER('Council Entry'!AP$8),ISNUMBER('Council Entry'!AP$9)),MAX(MIN('Council Entry'!AP83,'Council Entry'!AP$9),'Council Entry'!AP$8),'Council Entry'!AP83))))-'Council Entry'!AP$5)/('Council Entry'!AP$6-'Council Entry'!AP$5),10*((IF('Council Entry'!AP$4="Logarithm",LN(0.001+IF(AND(ISNUMBER('Council Entry'!AP$8),ISNUMBER('Council Entry'!AP$9)),MAX(MIN('Council Entry'!AP83,'Council Entry'!AP$9),'Council Entry'!AP$8),'Council Entry'!AP83)),IF('Council Entry'!AP$4="Exponential",EXP(IF(AND(ISNUMBER('Council Entry'!AP$8),ISNUMBER('Council Entry'!AP$9)),MAX(MIN('Council Entry'!AP83,'Council Entry'!AP$9),'Council Entry'!AP$8),'Council Entry'!AP83)),IF(AND(ISNUMBER('Council Entry'!AP$8),ISNUMBER('Council Entry'!AP$9)),MAX(MIN('Council Entry'!AP83,'Council Entry'!AP$9),'Council Entry'!AP$8),'Council Entry'!AP83))))-'Council Entry'!AP$5)/('Council Entry'!AP$6-'Council Entry'!AP$5)),1))),"No data"))</f>
        <v/>
      </c>
      <c r="AQ83" s="13">
        <f>IF('Council Entry'!AQ83="","",IFERROR(MAX(0,MIN(10,ROUND(IF('Council Entry'!AQ$7="Decrease Risk",10-10*((IF('Council Entry'!AQ$4="Logarithm",LN(0.001+IF(AND(ISNUMBER('Council Entry'!AQ$8),ISNUMBER('Council Entry'!AQ$9)),MAX(MIN('Council Entry'!AQ83,'Council Entry'!AQ$9),'Council Entry'!AQ$8),'Council Entry'!AQ83)),IF('Council Entry'!AQ$4="Exponential",EXP(IF(AND(ISNUMBER('Council Entry'!AQ$8),ISNUMBER('Council Entry'!AQ$9)),MAX(MIN('Council Entry'!AQ83,'Council Entry'!AQ$9),'Council Entry'!AQ$8),'Council Entry'!AQ83)),IF(AND(ISNUMBER('Council Entry'!AQ$8),ISNUMBER('Council Entry'!AQ$9)),MAX(MIN('Council Entry'!AQ83,'Council Entry'!AQ$9),'Council Entry'!AQ$8),'Council Entry'!AQ83))))-'Council Entry'!AQ$5)/('Council Entry'!AQ$6-'Council Entry'!AQ$5),10*((IF('Council Entry'!AQ$4="Logarithm",LN(0.001+IF(AND(ISNUMBER('Council Entry'!AQ$8),ISNUMBER('Council Entry'!AQ$9)),MAX(MIN('Council Entry'!AQ83,'Council Entry'!AQ$9),'Council Entry'!AQ$8),'Council Entry'!AQ83)),IF('Council Entry'!AQ$4="Exponential",EXP(IF(AND(ISNUMBER('Council Entry'!AQ$8),ISNUMBER('Council Entry'!AQ$9)),MAX(MIN('Council Entry'!AQ83,'Council Entry'!AQ$9),'Council Entry'!AQ$8),'Council Entry'!AQ83)),IF(AND(ISNUMBER('Council Entry'!AQ$8),ISNUMBER('Council Entry'!AQ$9)),MAX(MIN('Council Entry'!AQ83,'Council Entry'!AQ$9),'Council Entry'!AQ$8),'Council Entry'!AQ83))))-'Council Entry'!AQ$5)/('Council Entry'!AQ$6-'Council Entry'!AQ$5)),1))),"No data"))</f>
        <v/>
      </c>
      <c r="AR83" s="13">
        <f>IF('Council Entry'!AR83="","",IFERROR(MAX(0,MIN(10,ROUND(IF('Council Entry'!AR$7="Decrease Risk",10-10*((IF('Council Entry'!AR$4="Logarithm",LN(0.001+IF(AND(ISNUMBER('Council Entry'!AR$8),ISNUMBER('Council Entry'!AR$9)),MAX(MIN('Council Entry'!AR83,'Council Entry'!AR$9),'Council Entry'!AR$8),'Council Entry'!AR83)),IF('Council Entry'!AR$4="Exponential",EXP(IF(AND(ISNUMBER('Council Entry'!AR$8),ISNUMBER('Council Entry'!AR$9)),MAX(MIN('Council Entry'!AR83,'Council Entry'!AR$9),'Council Entry'!AR$8),'Council Entry'!AR83)),IF(AND(ISNUMBER('Council Entry'!AR$8),ISNUMBER('Council Entry'!AR$9)),MAX(MIN('Council Entry'!AR83,'Council Entry'!AR$9),'Council Entry'!AR$8),'Council Entry'!AR83))))-'Council Entry'!AR$5)/('Council Entry'!AR$6-'Council Entry'!AR$5),10*((IF('Council Entry'!AR$4="Logarithm",LN(0.001+IF(AND(ISNUMBER('Council Entry'!AR$8),ISNUMBER('Council Entry'!AR$9)),MAX(MIN('Council Entry'!AR83,'Council Entry'!AR$9),'Council Entry'!AR$8),'Council Entry'!AR83)),IF('Council Entry'!AR$4="Exponential",EXP(IF(AND(ISNUMBER('Council Entry'!AR$8),ISNUMBER('Council Entry'!AR$9)),MAX(MIN('Council Entry'!AR83,'Council Entry'!AR$9),'Council Entry'!AR$8),'Council Entry'!AR83)),IF(AND(ISNUMBER('Council Entry'!AR$8),ISNUMBER('Council Entry'!AR$9)),MAX(MIN('Council Entry'!AR83,'Council Entry'!AR$9),'Council Entry'!AR$8),'Council Entry'!AR83))))-'Council Entry'!AR$5)/('Council Entry'!AR$6-'Council Entry'!AR$5)),1))),"No data"))</f>
        <v/>
      </c>
      <c r="AS83" s="13">
        <f>IF('Council Entry'!AS83="","",IFERROR(MAX(0,MIN(10,ROUND(IF('Council Entry'!AS$7="Decrease Risk",10-10*((IF('Council Entry'!AS$4="Logarithm",LN(0.001+IF(AND(ISNUMBER('Council Entry'!AS$8),ISNUMBER('Council Entry'!AS$9)),MAX(MIN('Council Entry'!AS83,'Council Entry'!AS$9),'Council Entry'!AS$8),'Council Entry'!AS83)),IF('Council Entry'!AS$4="Exponential",EXP(IF(AND(ISNUMBER('Council Entry'!AS$8),ISNUMBER('Council Entry'!AS$9)),MAX(MIN('Council Entry'!AS83,'Council Entry'!AS$9),'Council Entry'!AS$8),'Council Entry'!AS83)),IF(AND(ISNUMBER('Council Entry'!AS$8),ISNUMBER('Council Entry'!AS$9)),MAX(MIN('Council Entry'!AS83,'Council Entry'!AS$9),'Council Entry'!AS$8),'Council Entry'!AS83))))-'Council Entry'!AS$5)/('Council Entry'!AS$6-'Council Entry'!AS$5),10*((IF('Council Entry'!AS$4="Logarithm",LN(0.001+IF(AND(ISNUMBER('Council Entry'!AS$8),ISNUMBER('Council Entry'!AS$9)),MAX(MIN('Council Entry'!AS83,'Council Entry'!AS$9),'Council Entry'!AS$8),'Council Entry'!AS83)),IF('Council Entry'!AS$4="Exponential",EXP(IF(AND(ISNUMBER('Council Entry'!AS$8),ISNUMBER('Council Entry'!AS$9)),MAX(MIN('Council Entry'!AS83,'Council Entry'!AS$9),'Council Entry'!AS$8),'Council Entry'!AS83)),IF(AND(ISNUMBER('Council Entry'!AS$8),ISNUMBER('Council Entry'!AS$9)),MAX(MIN('Council Entry'!AS83,'Council Entry'!AS$9),'Council Entry'!AS$8),'Council Entry'!AS83))))-'Council Entry'!AS$5)/('Council Entry'!AS$6-'Council Entry'!AS$5)),1))),"No data"))</f>
        <v/>
      </c>
      <c r="AT83" s="13">
        <f>IF('Council Entry'!AT83="","",IFERROR(MAX(0,MIN(10,ROUND(IF('Council Entry'!AT$7="Decrease Risk",10-10*((IF('Council Entry'!AT$4="Logarithm",LN(0.001+IF(AND(ISNUMBER('Council Entry'!AT$8),ISNUMBER('Council Entry'!AT$9)),MAX(MIN('Council Entry'!AT83,'Council Entry'!AT$9),'Council Entry'!AT$8),'Council Entry'!AT83)),IF('Council Entry'!AT$4="Exponential",EXP(IF(AND(ISNUMBER('Council Entry'!AT$8),ISNUMBER('Council Entry'!AT$9)),MAX(MIN('Council Entry'!AT83,'Council Entry'!AT$9),'Council Entry'!AT$8),'Council Entry'!AT83)),IF(AND(ISNUMBER('Council Entry'!AT$8),ISNUMBER('Council Entry'!AT$9)),MAX(MIN('Council Entry'!AT83,'Council Entry'!AT$9),'Council Entry'!AT$8),'Council Entry'!AT83))))-'Council Entry'!AT$5)/('Council Entry'!AT$6-'Council Entry'!AT$5),10*((IF('Council Entry'!AT$4="Logarithm",LN(0.001+IF(AND(ISNUMBER('Council Entry'!AT$8),ISNUMBER('Council Entry'!AT$9)),MAX(MIN('Council Entry'!AT83,'Council Entry'!AT$9),'Council Entry'!AT$8),'Council Entry'!AT83)),IF('Council Entry'!AT$4="Exponential",EXP(IF(AND(ISNUMBER('Council Entry'!AT$8),ISNUMBER('Council Entry'!AT$9)),MAX(MIN('Council Entry'!AT83,'Council Entry'!AT$9),'Council Entry'!AT$8),'Council Entry'!AT83)),IF(AND(ISNUMBER('Council Entry'!AT$8),ISNUMBER('Council Entry'!AT$9)),MAX(MIN('Council Entry'!AT83,'Council Entry'!AT$9),'Council Entry'!AT$8),'Council Entry'!AT83))))-'Council Entry'!AT$5)/('Council Entry'!AT$6-'Council Entry'!AT$5)),1))),"No data"))</f>
        <v/>
      </c>
      <c r="AU83" s="13">
        <f>IF('Council Entry'!AU83="","",IFERROR(MAX(0,MIN(10,ROUND(IF('Council Entry'!AU$7="Decrease Risk",10-10*((IF('Council Entry'!AU$4="Logarithm",LN(0.001+IF(AND(ISNUMBER('Council Entry'!AU$8),ISNUMBER('Council Entry'!AU$9)),MAX(MIN('Council Entry'!AU83,'Council Entry'!AU$9),'Council Entry'!AU$8),'Council Entry'!AU83)),IF('Council Entry'!AU$4="Exponential",EXP(IF(AND(ISNUMBER('Council Entry'!AU$8),ISNUMBER('Council Entry'!AU$9)),MAX(MIN('Council Entry'!AU83,'Council Entry'!AU$9),'Council Entry'!AU$8),'Council Entry'!AU83)),IF(AND(ISNUMBER('Council Entry'!AU$8),ISNUMBER('Council Entry'!AU$9)),MAX(MIN('Council Entry'!AU83,'Council Entry'!AU$9),'Council Entry'!AU$8),'Council Entry'!AU83))))-'Council Entry'!AU$5)/('Council Entry'!AU$6-'Council Entry'!AU$5),10*((IF('Council Entry'!AU$4="Logarithm",LN(0.001+IF(AND(ISNUMBER('Council Entry'!AU$8),ISNUMBER('Council Entry'!AU$9)),MAX(MIN('Council Entry'!AU83,'Council Entry'!AU$9),'Council Entry'!AU$8),'Council Entry'!AU83)),IF('Council Entry'!AU$4="Exponential",EXP(IF(AND(ISNUMBER('Council Entry'!AU$8),ISNUMBER('Council Entry'!AU$9)),MAX(MIN('Council Entry'!AU83,'Council Entry'!AU$9),'Council Entry'!AU$8),'Council Entry'!AU83)),IF(AND(ISNUMBER('Council Entry'!AU$8),ISNUMBER('Council Entry'!AU$9)),MAX(MIN('Council Entry'!AU83,'Council Entry'!AU$9),'Council Entry'!AU$8),'Council Entry'!AU83))))-'Council Entry'!AU$5)/('Council Entry'!AU$6-'Council Entry'!AU$5)),1))),"No data"))</f>
        <v/>
      </c>
      <c r="AV83" s="13">
        <f>IF('Council Entry'!AV83="","",IFERROR(MAX(0,MIN(10,ROUND(IF('Council Entry'!AV$7="Decrease Risk",10-10*((IF('Council Entry'!AV$4="Logarithm",LN(0.001+IF(AND(ISNUMBER('Council Entry'!AV$8),ISNUMBER('Council Entry'!AV$9)),MAX(MIN('Council Entry'!AV83,'Council Entry'!AV$9),'Council Entry'!AV$8),'Council Entry'!AV83)),IF('Council Entry'!AV$4="Exponential",EXP(IF(AND(ISNUMBER('Council Entry'!AV$8),ISNUMBER('Council Entry'!AV$9)),MAX(MIN('Council Entry'!AV83,'Council Entry'!AV$9),'Council Entry'!AV$8),'Council Entry'!AV83)),IF(AND(ISNUMBER('Council Entry'!AV$8),ISNUMBER('Council Entry'!AV$9)),MAX(MIN('Council Entry'!AV83,'Council Entry'!AV$9),'Council Entry'!AV$8),'Council Entry'!AV83))))-'Council Entry'!AV$5)/('Council Entry'!AV$6-'Council Entry'!AV$5),10*((IF('Council Entry'!AV$4="Logarithm",LN(0.001+IF(AND(ISNUMBER('Council Entry'!AV$8),ISNUMBER('Council Entry'!AV$9)),MAX(MIN('Council Entry'!AV83,'Council Entry'!AV$9),'Council Entry'!AV$8),'Council Entry'!AV83)),IF('Council Entry'!AV$4="Exponential",EXP(IF(AND(ISNUMBER('Council Entry'!AV$8),ISNUMBER('Council Entry'!AV$9)),MAX(MIN('Council Entry'!AV83,'Council Entry'!AV$9),'Council Entry'!AV$8),'Council Entry'!AV83)),IF(AND(ISNUMBER('Council Entry'!AV$8),ISNUMBER('Council Entry'!AV$9)),MAX(MIN('Council Entry'!AV83,'Council Entry'!AV$9),'Council Entry'!AV$8),'Council Entry'!AV83))))-'Council Entry'!AV$5)/('Council Entry'!AV$6-'Council Entry'!AV$5)),1))),"No data"))</f>
        <v/>
      </c>
      <c r="AW83" s="13">
        <f>IF('Council Entry'!AW83="","",IFERROR(MAX(0,MIN(10,ROUND(IF('Council Entry'!AW$7="Decrease Risk",10-10*((IF('Council Entry'!AW$4="Logarithm",LN(0.001+IF(AND(ISNUMBER('Council Entry'!AW$8),ISNUMBER('Council Entry'!AW$9)),MAX(MIN('Council Entry'!AW83,'Council Entry'!AW$9),'Council Entry'!AW$8),'Council Entry'!AW83)),IF('Council Entry'!AW$4="Exponential",EXP(IF(AND(ISNUMBER('Council Entry'!AW$8),ISNUMBER('Council Entry'!AW$9)),MAX(MIN('Council Entry'!AW83,'Council Entry'!AW$9),'Council Entry'!AW$8),'Council Entry'!AW83)),IF(AND(ISNUMBER('Council Entry'!AW$8),ISNUMBER('Council Entry'!AW$9)),MAX(MIN('Council Entry'!AW83,'Council Entry'!AW$9),'Council Entry'!AW$8),'Council Entry'!AW83))))-'Council Entry'!AW$5)/('Council Entry'!AW$6-'Council Entry'!AW$5),10*((IF('Council Entry'!AW$4="Logarithm",LN(0.001+IF(AND(ISNUMBER('Council Entry'!AW$8),ISNUMBER('Council Entry'!AW$9)),MAX(MIN('Council Entry'!AW83,'Council Entry'!AW$9),'Council Entry'!AW$8),'Council Entry'!AW83)),IF('Council Entry'!AW$4="Exponential",EXP(IF(AND(ISNUMBER('Council Entry'!AW$8),ISNUMBER('Council Entry'!AW$9)),MAX(MIN('Council Entry'!AW83,'Council Entry'!AW$9),'Council Entry'!AW$8),'Council Entry'!AW83)),IF(AND(ISNUMBER('Council Entry'!AW$8),ISNUMBER('Council Entry'!AW$9)),MAX(MIN('Council Entry'!AW83,'Council Entry'!AW$9),'Council Entry'!AW$8),'Council Entry'!AW83))))-'Council Entry'!AW$5)/('Council Entry'!AW$6-'Council Entry'!AW$5)),1))),"No data"))</f>
        <v/>
      </c>
      <c r="AX83" s="13">
        <f>IF('Council Entry'!AX83="","",IFERROR(MAX(0,MIN(10,ROUND(IF('Council Entry'!AX$7="Decrease Risk",10-10*((IF('Council Entry'!AX$4="Logarithm",LN(0.001+IF(AND(ISNUMBER('Council Entry'!AX$8),ISNUMBER('Council Entry'!AX$9)),MAX(MIN('Council Entry'!AX83,'Council Entry'!AX$9),'Council Entry'!AX$8),'Council Entry'!AX83)),IF('Council Entry'!AX$4="Exponential",EXP(IF(AND(ISNUMBER('Council Entry'!AX$8),ISNUMBER('Council Entry'!AX$9)),MAX(MIN('Council Entry'!AX83,'Council Entry'!AX$9),'Council Entry'!AX$8),'Council Entry'!AX83)),IF(AND(ISNUMBER('Council Entry'!AX$8),ISNUMBER('Council Entry'!AX$9)),MAX(MIN('Council Entry'!AX83,'Council Entry'!AX$9),'Council Entry'!AX$8),'Council Entry'!AX83))))-'Council Entry'!AX$5)/('Council Entry'!AX$6-'Council Entry'!AX$5),10*((IF('Council Entry'!AX$4="Logarithm",LN(0.001+IF(AND(ISNUMBER('Council Entry'!AX$8),ISNUMBER('Council Entry'!AX$9)),MAX(MIN('Council Entry'!AX83,'Council Entry'!AX$9),'Council Entry'!AX$8),'Council Entry'!AX83)),IF('Council Entry'!AX$4="Exponential",EXP(IF(AND(ISNUMBER('Council Entry'!AX$8),ISNUMBER('Council Entry'!AX$9)),MAX(MIN('Council Entry'!AX83,'Council Entry'!AX$9),'Council Entry'!AX$8),'Council Entry'!AX83)),IF(AND(ISNUMBER('Council Entry'!AX$8),ISNUMBER('Council Entry'!AX$9)),MAX(MIN('Council Entry'!AX83,'Council Entry'!AX$9),'Council Entry'!AX$8),'Council Entry'!AX83))))-'Council Entry'!AX$5)/('Council Entry'!AX$6-'Council Entry'!AX$5)),1))),"No data"))</f>
        <v/>
      </c>
      <c r="AY83" s="13">
        <f>IF('Council Entry'!AY83="","",IFERROR(MAX(0,MIN(10,ROUND(IF('Council Entry'!AY$7="Decrease Risk",10-10*((IF('Council Entry'!AY$4="Logarithm",LN(0.001+IF(AND(ISNUMBER('Council Entry'!AY$8),ISNUMBER('Council Entry'!AY$9)),MAX(MIN('Council Entry'!AY83,'Council Entry'!AY$9),'Council Entry'!AY$8),'Council Entry'!AY83)),IF('Council Entry'!AY$4="Exponential",EXP(IF(AND(ISNUMBER('Council Entry'!AY$8),ISNUMBER('Council Entry'!AY$9)),MAX(MIN('Council Entry'!AY83,'Council Entry'!AY$9),'Council Entry'!AY$8),'Council Entry'!AY83)),IF(AND(ISNUMBER('Council Entry'!AY$8),ISNUMBER('Council Entry'!AY$9)),MAX(MIN('Council Entry'!AY83,'Council Entry'!AY$9),'Council Entry'!AY$8),'Council Entry'!AY83))))-'Council Entry'!AY$5)/('Council Entry'!AY$6-'Council Entry'!AY$5),10*((IF('Council Entry'!AY$4="Logarithm",LN(0.001+IF(AND(ISNUMBER('Council Entry'!AY$8),ISNUMBER('Council Entry'!AY$9)),MAX(MIN('Council Entry'!AY83,'Council Entry'!AY$9),'Council Entry'!AY$8),'Council Entry'!AY83)),IF('Council Entry'!AY$4="Exponential",EXP(IF(AND(ISNUMBER('Council Entry'!AY$8),ISNUMBER('Council Entry'!AY$9)),MAX(MIN('Council Entry'!AY83,'Council Entry'!AY$9),'Council Entry'!AY$8),'Council Entry'!AY83)),IF(AND(ISNUMBER('Council Entry'!AY$8),ISNUMBER('Council Entry'!AY$9)),MAX(MIN('Council Entry'!AY83,'Council Entry'!AY$9),'Council Entry'!AY$8),'Council Entry'!AY83))))-'Council Entry'!AY$5)/('Council Entry'!AY$6-'Council Entry'!AY$5)),1))),"No data"))</f>
        <v/>
      </c>
      <c r="AZ83" s="13">
        <f>IF('Council Entry'!AZ83="","",IFERROR(MAX(0,MIN(10,ROUND(IF('Council Entry'!AZ$7="Decrease Risk",10-10*((IF('Council Entry'!AZ$4="Logarithm",LN(0.001+IF(AND(ISNUMBER('Council Entry'!AZ$8),ISNUMBER('Council Entry'!AZ$9)),MAX(MIN('Council Entry'!AZ83,'Council Entry'!AZ$9),'Council Entry'!AZ$8),'Council Entry'!AZ83)),IF('Council Entry'!AZ$4="Exponential",EXP(IF(AND(ISNUMBER('Council Entry'!AZ$8),ISNUMBER('Council Entry'!AZ$9)),MAX(MIN('Council Entry'!AZ83,'Council Entry'!AZ$9),'Council Entry'!AZ$8),'Council Entry'!AZ83)),IF(AND(ISNUMBER('Council Entry'!AZ$8),ISNUMBER('Council Entry'!AZ$9)),MAX(MIN('Council Entry'!AZ83,'Council Entry'!AZ$9),'Council Entry'!AZ$8),'Council Entry'!AZ83))))-'Council Entry'!AZ$5)/('Council Entry'!AZ$6-'Council Entry'!AZ$5),10*((IF('Council Entry'!AZ$4="Logarithm",LN(0.001+IF(AND(ISNUMBER('Council Entry'!AZ$8),ISNUMBER('Council Entry'!AZ$9)),MAX(MIN('Council Entry'!AZ83,'Council Entry'!AZ$9),'Council Entry'!AZ$8),'Council Entry'!AZ83)),IF('Council Entry'!AZ$4="Exponential",EXP(IF(AND(ISNUMBER('Council Entry'!AZ$8),ISNUMBER('Council Entry'!AZ$9)),MAX(MIN('Council Entry'!AZ83,'Council Entry'!AZ$9),'Council Entry'!AZ$8),'Council Entry'!AZ83)),IF(AND(ISNUMBER('Council Entry'!AZ$8),ISNUMBER('Council Entry'!AZ$9)),MAX(MIN('Council Entry'!AZ83,'Council Entry'!AZ$9),'Council Entry'!AZ$8),'Council Entry'!AZ83))))-'Council Entry'!AZ$5)/('Council Entry'!AZ$6-'Council Entry'!AZ$5)),1))),"No data"))</f>
        <v/>
      </c>
      <c r="BA83" s="13">
        <f>IF('Council Entry'!BA83="","",IFERROR(MAX(0,MIN(10,ROUND(IF('Council Entry'!BA$7="Decrease Risk",10-10*((IF('Council Entry'!BA$4="Logarithm",LN(0.001+IF(AND(ISNUMBER('Council Entry'!BA$8),ISNUMBER('Council Entry'!BA$9)),MAX(MIN('Council Entry'!BA83,'Council Entry'!BA$9),'Council Entry'!BA$8),'Council Entry'!BA83)),IF('Council Entry'!BA$4="Exponential",EXP(IF(AND(ISNUMBER('Council Entry'!BA$8),ISNUMBER('Council Entry'!BA$9)),MAX(MIN('Council Entry'!BA83,'Council Entry'!BA$9),'Council Entry'!BA$8),'Council Entry'!BA83)),IF(AND(ISNUMBER('Council Entry'!BA$8),ISNUMBER('Council Entry'!BA$9)),MAX(MIN('Council Entry'!BA83,'Council Entry'!BA$9),'Council Entry'!BA$8),'Council Entry'!BA83))))-'Council Entry'!BA$5)/('Council Entry'!BA$6-'Council Entry'!BA$5),10*((IF('Council Entry'!BA$4="Logarithm",LN(0.001+IF(AND(ISNUMBER('Council Entry'!BA$8),ISNUMBER('Council Entry'!BA$9)),MAX(MIN('Council Entry'!BA83,'Council Entry'!BA$9),'Council Entry'!BA$8),'Council Entry'!BA83)),IF('Council Entry'!BA$4="Exponential",EXP(IF(AND(ISNUMBER('Council Entry'!BA$8),ISNUMBER('Council Entry'!BA$9)),MAX(MIN('Council Entry'!BA83,'Council Entry'!BA$9),'Council Entry'!BA$8),'Council Entry'!BA83)),IF(AND(ISNUMBER('Council Entry'!BA$8),ISNUMBER('Council Entry'!BA$9)),MAX(MIN('Council Entry'!BA83,'Council Entry'!BA$9),'Council Entry'!BA$8),'Council Entry'!BA83))))-'Council Entry'!BA$5)/('Council Entry'!BA$6-'Council Entry'!BA$5)),1))),"No data"))</f>
        <v/>
      </c>
      <c r="BB83" s="13">
        <f>IF('Council Entry'!BB83="","",IFERROR(MAX(0,MIN(10,ROUND(IF('Council Entry'!BB$7="Decrease Risk",10-10*((IF('Council Entry'!BB$4="Logarithm",LN(0.001+IF(AND(ISNUMBER('Council Entry'!BB$8),ISNUMBER('Council Entry'!BB$9)),MAX(MIN('Council Entry'!BB83,'Council Entry'!BB$9),'Council Entry'!BB$8),'Council Entry'!BB83)),IF('Council Entry'!BB$4="Exponential",EXP(IF(AND(ISNUMBER('Council Entry'!BB$8),ISNUMBER('Council Entry'!BB$9)),MAX(MIN('Council Entry'!BB83,'Council Entry'!BB$9),'Council Entry'!BB$8),'Council Entry'!BB83)),IF(AND(ISNUMBER('Council Entry'!BB$8),ISNUMBER('Council Entry'!BB$9)),MAX(MIN('Council Entry'!BB83,'Council Entry'!BB$9),'Council Entry'!BB$8),'Council Entry'!BB83))))-'Council Entry'!BB$5)/('Council Entry'!BB$6-'Council Entry'!BB$5),10*((IF('Council Entry'!BB$4="Logarithm",LN(0.001+IF(AND(ISNUMBER('Council Entry'!BB$8),ISNUMBER('Council Entry'!BB$9)),MAX(MIN('Council Entry'!BB83,'Council Entry'!BB$9),'Council Entry'!BB$8),'Council Entry'!BB83)),IF('Council Entry'!BB$4="Exponential",EXP(IF(AND(ISNUMBER('Council Entry'!BB$8),ISNUMBER('Council Entry'!BB$9)),MAX(MIN('Council Entry'!BB83,'Council Entry'!BB$9),'Council Entry'!BB$8),'Council Entry'!BB83)),IF(AND(ISNUMBER('Council Entry'!BB$8),ISNUMBER('Council Entry'!BB$9)),MAX(MIN('Council Entry'!BB83,'Council Entry'!BB$9),'Council Entry'!BB$8),'Council Entry'!BB83))))-'Council Entry'!BB$5)/('Council Entry'!BB$6-'Council Entry'!BB$5)),1))),"No data"))</f>
        <v/>
      </c>
      <c r="BC83" s="13">
        <f>IF('Council Entry'!BC83="","",IFERROR(MAX(0,MIN(10,ROUND(IF('Council Entry'!BC$7="Decrease Risk",10-10*((IF('Council Entry'!BC$4="Logarithm",LN(0.001+IF(AND(ISNUMBER('Council Entry'!BC$8),ISNUMBER('Council Entry'!BC$9)),MAX(MIN('Council Entry'!BC83,'Council Entry'!BC$9),'Council Entry'!BC$8),'Council Entry'!BC83)),IF('Council Entry'!BC$4="Exponential",EXP(IF(AND(ISNUMBER('Council Entry'!BC$8),ISNUMBER('Council Entry'!BC$9)),MAX(MIN('Council Entry'!BC83,'Council Entry'!BC$9),'Council Entry'!BC$8),'Council Entry'!BC83)),IF(AND(ISNUMBER('Council Entry'!BC$8),ISNUMBER('Council Entry'!BC$9)),MAX(MIN('Council Entry'!BC83,'Council Entry'!BC$9),'Council Entry'!BC$8),'Council Entry'!BC83))))-'Council Entry'!BC$5)/('Council Entry'!BC$6-'Council Entry'!BC$5),10*((IF('Council Entry'!BC$4="Logarithm",LN(0.001+IF(AND(ISNUMBER('Council Entry'!BC$8),ISNUMBER('Council Entry'!BC$9)),MAX(MIN('Council Entry'!BC83,'Council Entry'!BC$9),'Council Entry'!BC$8),'Council Entry'!BC83)),IF('Council Entry'!BC$4="Exponential",EXP(IF(AND(ISNUMBER('Council Entry'!BC$8),ISNUMBER('Council Entry'!BC$9)),MAX(MIN('Council Entry'!BC83,'Council Entry'!BC$9),'Council Entry'!BC$8),'Council Entry'!BC83)),IF(AND(ISNUMBER('Council Entry'!BC$8),ISNUMBER('Council Entry'!BC$9)),MAX(MIN('Council Entry'!BC83,'Council Entry'!BC$9),'Council Entry'!BC$8),'Council Entry'!BC83))))-'Council Entry'!BC$5)/('Council Entry'!BC$6-'Council Entry'!BC$5)),1))),"No data"))</f>
        <v/>
      </c>
      <c r="BD83" s="13">
        <f>IF('Council Entry'!BD83="","",IFERROR(MAX(0,MIN(10,ROUND(IF('Council Entry'!BD$7="Decrease Risk",10-10*((IF('Council Entry'!BD$4="Logarithm",LN(0.001+IF(AND(ISNUMBER('Council Entry'!BD$8),ISNUMBER('Council Entry'!BD$9)),MAX(MIN('Council Entry'!BD83,'Council Entry'!BD$9),'Council Entry'!BD$8),'Council Entry'!BD83)),IF('Council Entry'!BD$4="Exponential",EXP(IF(AND(ISNUMBER('Council Entry'!BD$8),ISNUMBER('Council Entry'!BD$9)),MAX(MIN('Council Entry'!BD83,'Council Entry'!BD$9),'Council Entry'!BD$8),'Council Entry'!BD83)),IF(AND(ISNUMBER('Council Entry'!BD$8),ISNUMBER('Council Entry'!BD$9)),MAX(MIN('Council Entry'!BD83,'Council Entry'!BD$9),'Council Entry'!BD$8),'Council Entry'!BD83))))-'Council Entry'!BD$5)/('Council Entry'!BD$6-'Council Entry'!BD$5),10*((IF('Council Entry'!BD$4="Logarithm",LN(0.001+IF(AND(ISNUMBER('Council Entry'!BD$8),ISNUMBER('Council Entry'!BD$9)),MAX(MIN('Council Entry'!BD83,'Council Entry'!BD$9),'Council Entry'!BD$8),'Council Entry'!BD83)),IF('Council Entry'!BD$4="Exponential",EXP(IF(AND(ISNUMBER('Council Entry'!BD$8),ISNUMBER('Council Entry'!BD$9)),MAX(MIN('Council Entry'!BD83,'Council Entry'!BD$9),'Council Entry'!BD$8),'Council Entry'!BD83)),IF(AND(ISNUMBER('Council Entry'!BD$8),ISNUMBER('Council Entry'!BD$9)),MAX(MIN('Council Entry'!BD83,'Council Entry'!BD$9),'Council Entry'!BD$8),'Council Entry'!BD83))))-'Council Entry'!BD$5)/('Council Entry'!BD$6-'Council Entry'!BD$5)),1))),"No data"))</f>
        <v/>
      </c>
    </row>
    <row r="84">
      <c r="A84" t="inlineStr">
        <is>
          <t>Manyara</t>
        </is>
      </c>
      <c r="B84" t="inlineStr">
        <is>
          <t>Babati District</t>
        </is>
      </c>
      <c r="C84" t="inlineStr">
        <is>
          <t>C150</t>
        </is>
      </c>
      <c r="D84" s="13">
        <f>IF('Council Entry'!D84="","",IFERROR(MAX(0,MIN(10,ROUND(IF('Council Entry'!D$7="Decrease Risk",10-10*((IF('Council Entry'!D$4="Logarithm",LN(0.001+IF(AND(ISNUMBER('Council Entry'!D$8),ISNUMBER('Council Entry'!D$9)),MAX(MIN('Council Entry'!D84,'Council Entry'!D$9),'Council Entry'!D$8),'Council Entry'!D84)),IF('Council Entry'!D$4="Exponential",EXP(IF(AND(ISNUMBER('Council Entry'!D$8),ISNUMBER('Council Entry'!D$9)),MAX(MIN('Council Entry'!D84,'Council Entry'!D$9),'Council Entry'!D$8),'Council Entry'!D84)),IF(AND(ISNUMBER('Council Entry'!D$8),ISNUMBER('Council Entry'!D$9)),MAX(MIN('Council Entry'!D84,'Council Entry'!D$9),'Council Entry'!D$8),'Council Entry'!D84))))-'Council Entry'!D$5)/('Council Entry'!D$6-'Council Entry'!D$5),10*((IF('Council Entry'!D$4="Logarithm",LN(0.001+IF(AND(ISNUMBER('Council Entry'!D$8),ISNUMBER('Council Entry'!D$9)),MAX(MIN('Council Entry'!D84,'Council Entry'!D$9),'Council Entry'!D$8),'Council Entry'!D84)),IF('Council Entry'!D$4="Exponential",EXP(IF(AND(ISNUMBER('Council Entry'!D$8),ISNUMBER('Council Entry'!D$9)),MAX(MIN('Council Entry'!D84,'Council Entry'!D$9),'Council Entry'!D$8),'Council Entry'!D84)),IF(AND(ISNUMBER('Council Entry'!D$8),ISNUMBER('Council Entry'!D$9)),MAX(MIN('Council Entry'!D84,'Council Entry'!D$9),'Council Entry'!D$8),'Council Entry'!D84))))-'Council Entry'!D$5)/('Council Entry'!D$6-'Council Entry'!D$5)),1))),"No data"))</f>
        <v/>
      </c>
      <c r="E84" s="13">
        <f>IF('Council Entry'!E84="","",IFERROR(MAX(0,MIN(10,ROUND(IF('Council Entry'!E$7="Decrease Risk",10-10*((IF('Council Entry'!E$4="Logarithm",LN(0.001+IF(AND(ISNUMBER('Council Entry'!E$8),ISNUMBER('Council Entry'!E$9)),MAX(MIN('Council Entry'!E84,'Council Entry'!E$9),'Council Entry'!E$8),'Council Entry'!E84)),IF('Council Entry'!E$4="Exponential",EXP(IF(AND(ISNUMBER('Council Entry'!E$8),ISNUMBER('Council Entry'!E$9)),MAX(MIN('Council Entry'!E84,'Council Entry'!E$9),'Council Entry'!E$8),'Council Entry'!E84)),IF(AND(ISNUMBER('Council Entry'!E$8),ISNUMBER('Council Entry'!E$9)),MAX(MIN('Council Entry'!E84,'Council Entry'!E$9),'Council Entry'!E$8),'Council Entry'!E84))))-'Council Entry'!E$5)/('Council Entry'!E$6-'Council Entry'!E$5),10*((IF('Council Entry'!E$4="Logarithm",LN(0.001+IF(AND(ISNUMBER('Council Entry'!E$8),ISNUMBER('Council Entry'!E$9)),MAX(MIN('Council Entry'!E84,'Council Entry'!E$9),'Council Entry'!E$8),'Council Entry'!E84)),IF('Council Entry'!E$4="Exponential",EXP(IF(AND(ISNUMBER('Council Entry'!E$8),ISNUMBER('Council Entry'!E$9)),MAX(MIN('Council Entry'!E84,'Council Entry'!E$9),'Council Entry'!E$8),'Council Entry'!E84)),IF(AND(ISNUMBER('Council Entry'!E$8),ISNUMBER('Council Entry'!E$9)),MAX(MIN('Council Entry'!E84,'Council Entry'!E$9),'Council Entry'!E$8),'Council Entry'!E84))))-'Council Entry'!E$5)/('Council Entry'!E$6-'Council Entry'!E$5)),1))),"No data"))</f>
        <v/>
      </c>
      <c r="F84" s="13">
        <f>IF('Council Entry'!F84="","",IFERROR(MAX(0,MIN(10,ROUND(IF('Council Entry'!F$7="Decrease Risk",10-10*((IF('Council Entry'!F$4="Logarithm",LN(0.001+IF(AND(ISNUMBER('Council Entry'!F$8),ISNUMBER('Council Entry'!F$9)),MAX(MIN('Council Entry'!F84,'Council Entry'!F$9),'Council Entry'!F$8),'Council Entry'!F84)),IF('Council Entry'!F$4="Exponential",EXP(IF(AND(ISNUMBER('Council Entry'!F$8),ISNUMBER('Council Entry'!F$9)),MAX(MIN('Council Entry'!F84,'Council Entry'!F$9),'Council Entry'!F$8),'Council Entry'!F84)),IF(AND(ISNUMBER('Council Entry'!F$8),ISNUMBER('Council Entry'!F$9)),MAX(MIN('Council Entry'!F84,'Council Entry'!F$9),'Council Entry'!F$8),'Council Entry'!F84))))-'Council Entry'!F$5)/('Council Entry'!F$6-'Council Entry'!F$5),10*((IF('Council Entry'!F$4="Logarithm",LN(0.001+IF(AND(ISNUMBER('Council Entry'!F$8),ISNUMBER('Council Entry'!F$9)),MAX(MIN('Council Entry'!F84,'Council Entry'!F$9),'Council Entry'!F$8),'Council Entry'!F84)),IF('Council Entry'!F$4="Exponential",EXP(IF(AND(ISNUMBER('Council Entry'!F$8),ISNUMBER('Council Entry'!F$9)),MAX(MIN('Council Entry'!F84,'Council Entry'!F$9),'Council Entry'!F$8),'Council Entry'!F84)),IF(AND(ISNUMBER('Council Entry'!F$8),ISNUMBER('Council Entry'!F$9)),MAX(MIN('Council Entry'!F84,'Council Entry'!F$9),'Council Entry'!F$8),'Council Entry'!F84))))-'Council Entry'!F$5)/('Council Entry'!F$6-'Council Entry'!F$5)),1))),"No data"))</f>
        <v/>
      </c>
      <c r="G84" s="13">
        <f>IF('Council Entry'!G84="","",IFERROR(MAX(0,MIN(10,ROUND(IF('Council Entry'!G$7="Decrease Risk",10-10*((IF('Council Entry'!G$4="Logarithm",LN(0.001+IF(AND(ISNUMBER('Council Entry'!G$8),ISNUMBER('Council Entry'!G$9)),MAX(MIN('Council Entry'!G84,'Council Entry'!G$9),'Council Entry'!G$8),'Council Entry'!G84)),IF('Council Entry'!G$4="Exponential",EXP(IF(AND(ISNUMBER('Council Entry'!G$8),ISNUMBER('Council Entry'!G$9)),MAX(MIN('Council Entry'!G84,'Council Entry'!G$9),'Council Entry'!G$8),'Council Entry'!G84)),IF(AND(ISNUMBER('Council Entry'!G$8),ISNUMBER('Council Entry'!G$9)),MAX(MIN('Council Entry'!G84,'Council Entry'!G$9),'Council Entry'!G$8),'Council Entry'!G84))))-'Council Entry'!G$5)/('Council Entry'!G$6-'Council Entry'!G$5),10*((IF('Council Entry'!G$4="Logarithm",LN(0.001+IF(AND(ISNUMBER('Council Entry'!G$8),ISNUMBER('Council Entry'!G$9)),MAX(MIN('Council Entry'!G84,'Council Entry'!G$9),'Council Entry'!G$8),'Council Entry'!G84)),IF('Council Entry'!G$4="Exponential",EXP(IF(AND(ISNUMBER('Council Entry'!G$8),ISNUMBER('Council Entry'!G$9)),MAX(MIN('Council Entry'!G84,'Council Entry'!G$9),'Council Entry'!G$8),'Council Entry'!G84)),IF(AND(ISNUMBER('Council Entry'!G$8),ISNUMBER('Council Entry'!G$9)),MAX(MIN('Council Entry'!G84,'Council Entry'!G$9),'Council Entry'!G$8),'Council Entry'!G84))))-'Council Entry'!G$5)/('Council Entry'!G$6-'Council Entry'!G$5)),1))),"No data"))</f>
        <v/>
      </c>
      <c r="H84" s="13">
        <f>IF('Council Entry'!H84="","",IFERROR(MAX(0,MIN(10,ROUND(IF('Council Entry'!H$7="Decrease Risk",10-10*((IF('Council Entry'!H$4="Logarithm",LN(0.001+IF(AND(ISNUMBER('Council Entry'!H$8),ISNUMBER('Council Entry'!H$9)),MAX(MIN('Council Entry'!H84,'Council Entry'!H$9),'Council Entry'!H$8),'Council Entry'!H84)),IF('Council Entry'!H$4="Exponential",EXP(IF(AND(ISNUMBER('Council Entry'!H$8),ISNUMBER('Council Entry'!H$9)),MAX(MIN('Council Entry'!H84,'Council Entry'!H$9),'Council Entry'!H$8),'Council Entry'!H84)),IF(AND(ISNUMBER('Council Entry'!H$8),ISNUMBER('Council Entry'!H$9)),MAX(MIN('Council Entry'!H84,'Council Entry'!H$9),'Council Entry'!H$8),'Council Entry'!H84))))-'Council Entry'!H$5)/('Council Entry'!H$6-'Council Entry'!H$5),10*((IF('Council Entry'!H$4="Logarithm",LN(0.001+IF(AND(ISNUMBER('Council Entry'!H$8),ISNUMBER('Council Entry'!H$9)),MAX(MIN('Council Entry'!H84,'Council Entry'!H$9),'Council Entry'!H$8),'Council Entry'!H84)),IF('Council Entry'!H$4="Exponential",EXP(IF(AND(ISNUMBER('Council Entry'!H$8),ISNUMBER('Council Entry'!H$9)),MAX(MIN('Council Entry'!H84,'Council Entry'!H$9),'Council Entry'!H$8),'Council Entry'!H84)),IF(AND(ISNUMBER('Council Entry'!H$8),ISNUMBER('Council Entry'!H$9)),MAX(MIN('Council Entry'!H84,'Council Entry'!H$9),'Council Entry'!H$8),'Council Entry'!H84))))-'Council Entry'!H$5)/('Council Entry'!H$6-'Council Entry'!H$5)),1))),"No data"))</f>
        <v/>
      </c>
      <c r="I84" s="13">
        <f>IF('Council Entry'!I84="","",IFERROR(MAX(0,MIN(10,ROUND(IF('Council Entry'!I$7="Decrease Risk",10-10*((IF('Council Entry'!I$4="Logarithm",LN(0.001+IF(AND(ISNUMBER('Council Entry'!I$8),ISNUMBER('Council Entry'!I$9)),MAX(MIN('Council Entry'!I84,'Council Entry'!I$9),'Council Entry'!I$8),'Council Entry'!I84)),IF('Council Entry'!I$4="Exponential",EXP(IF(AND(ISNUMBER('Council Entry'!I$8),ISNUMBER('Council Entry'!I$9)),MAX(MIN('Council Entry'!I84,'Council Entry'!I$9),'Council Entry'!I$8),'Council Entry'!I84)),IF(AND(ISNUMBER('Council Entry'!I$8),ISNUMBER('Council Entry'!I$9)),MAX(MIN('Council Entry'!I84,'Council Entry'!I$9),'Council Entry'!I$8),'Council Entry'!I84))))-'Council Entry'!I$5)/('Council Entry'!I$6-'Council Entry'!I$5),10*((IF('Council Entry'!I$4="Logarithm",LN(0.001+IF(AND(ISNUMBER('Council Entry'!I$8),ISNUMBER('Council Entry'!I$9)),MAX(MIN('Council Entry'!I84,'Council Entry'!I$9),'Council Entry'!I$8),'Council Entry'!I84)),IF('Council Entry'!I$4="Exponential",EXP(IF(AND(ISNUMBER('Council Entry'!I$8),ISNUMBER('Council Entry'!I$9)),MAX(MIN('Council Entry'!I84,'Council Entry'!I$9),'Council Entry'!I$8),'Council Entry'!I84)),IF(AND(ISNUMBER('Council Entry'!I$8),ISNUMBER('Council Entry'!I$9)),MAX(MIN('Council Entry'!I84,'Council Entry'!I$9),'Council Entry'!I$8),'Council Entry'!I84))))-'Council Entry'!I$5)/('Council Entry'!I$6-'Council Entry'!I$5)),1))),"No data"))</f>
        <v/>
      </c>
      <c r="J84" s="13">
        <f>IF('Council Entry'!J84="","",IFERROR(MAX(0,MIN(10,ROUND(IF('Council Entry'!J$7="Decrease Risk",10-10*((IF('Council Entry'!J$4="Logarithm",LN(0.001+IF(AND(ISNUMBER('Council Entry'!J$8),ISNUMBER('Council Entry'!J$9)),MAX(MIN('Council Entry'!J84,'Council Entry'!J$9),'Council Entry'!J$8),'Council Entry'!J84)),IF('Council Entry'!J$4="Exponential",EXP(IF(AND(ISNUMBER('Council Entry'!J$8),ISNUMBER('Council Entry'!J$9)),MAX(MIN('Council Entry'!J84,'Council Entry'!J$9),'Council Entry'!J$8),'Council Entry'!J84)),IF(AND(ISNUMBER('Council Entry'!J$8),ISNUMBER('Council Entry'!J$9)),MAX(MIN('Council Entry'!J84,'Council Entry'!J$9),'Council Entry'!J$8),'Council Entry'!J84))))-'Council Entry'!J$5)/('Council Entry'!J$6-'Council Entry'!J$5),10*((IF('Council Entry'!J$4="Logarithm",LN(0.001+IF(AND(ISNUMBER('Council Entry'!J$8),ISNUMBER('Council Entry'!J$9)),MAX(MIN('Council Entry'!J84,'Council Entry'!J$9),'Council Entry'!J$8),'Council Entry'!J84)),IF('Council Entry'!J$4="Exponential",EXP(IF(AND(ISNUMBER('Council Entry'!J$8),ISNUMBER('Council Entry'!J$9)),MAX(MIN('Council Entry'!J84,'Council Entry'!J$9),'Council Entry'!J$8),'Council Entry'!J84)),IF(AND(ISNUMBER('Council Entry'!J$8),ISNUMBER('Council Entry'!J$9)),MAX(MIN('Council Entry'!J84,'Council Entry'!J$9),'Council Entry'!J$8),'Council Entry'!J84))))-'Council Entry'!J$5)/('Council Entry'!J$6-'Council Entry'!J$5)),1))),"No data"))</f>
        <v/>
      </c>
      <c r="K84" s="13">
        <f>IF('Council Entry'!K84="","",IFERROR(MAX(0,MIN(10,ROUND(IF('Council Entry'!K$7="Decrease Risk",10-10*((IF('Council Entry'!K$4="Logarithm",LN(0.001+IF(AND(ISNUMBER('Council Entry'!K$8),ISNUMBER('Council Entry'!K$9)),MAX(MIN('Council Entry'!K84,'Council Entry'!K$9),'Council Entry'!K$8),'Council Entry'!K84)),IF('Council Entry'!K$4="Exponential",EXP(IF(AND(ISNUMBER('Council Entry'!K$8),ISNUMBER('Council Entry'!K$9)),MAX(MIN('Council Entry'!K84,'Council Entry'!K$9),'Council Entry'!K$8),'Council Entry'!K84)),IF(AND(ISNUMBER('Council Entry'!K$8),ISNUMBER('Council Entry'!K$9)),MAX(MIN('Council Entry'!K84,'Council Entry'!K$9),'Council Entry'!K$8),'Council Entry'!K84))))-'Council Entry'!K$5)/('Council Entry'!K$6-'Council Entry'!K$5),10*((IF('Council Entry'!K$4="Logarithm",LN(0.001+IF(AND(ISNUMBER('Council Entry'!K$8),ISNUMBER('Council Entry'!K$9)),MAX(MIN('Council Entry'!K84,'Council Entry'!K$9),'Council Entry'!K$8),'Council Entry'!K84)),IF('Council Entry'!K$4="Exponential",EXP(IF(AND(ISNUMBER('Council Entry'!K$8),ISNUMBER('Council Entry'!K$9)),MAX(MIN('Council Entry'!K84,'Council Entry'!K$9),'Council Entry'!K$8),'Council Entry'!K84)),IF(AND(ISNUMBER('Council Entry'!K$8),ISNUMBER('Council Entry'!K$9)),MAX(MIN('Council Entry'!K84,'Council Entry'!K$9),'Council Entry'!K$8),'Council Entry'!K84))))-'Council Entry'!K$5)/('Council Entry'!K$6-'Council Entry'!K$5)),1))),"No data"))</f>
        <v/>
      </c>
      <c r="L84" s="13">
        <f>IF('Council Entry'!L84="","",IFERROR(MAX(0,MIN(10,ROUND(IF('Council Entry'!L$7="Decrease Risk",10-10*((IF('Council Entry'!L$4="Logarithm",LN(0.001+IF(AND(ISNUMBER('Council Entry'!L$8),ISNUMBER('Council Entry'!L$9)),MAX(MIN('Council Entry'!L84,'Council Entry'!L$9),'Council Entry'!L$8),'Council Entry'!L84)),IF('Council Entry'!L$4="Exponential",EXP(IF(AND(ISNUMBER('Council Entry'!L$8),ISNUMBER('Council Entry'!L$9)),MAX(MIN('Council Entry'!L84,'Council Entry'!L$9),'Council Entry'!L$8),'Council Entry'!L84)),IF(AND(ISNUMBER('Council Entry'!L$8),ISNUMBER('Council Entry'!L$9)),MAX(MIN('Council Entry'!L84,'Council Entry'!L$9),'Council Entry'!L$8),'Council Entry'!L84))))-'Council Entry'!L$5)/('Council Entry'!L$6-'Council Entry'!L$5),10*((IF('Council Entry'!L$4="Logarithm",LN(0.001+IF(AND(ISNUMBER('Council Entry'!L$8),ISNUMBER('Council Entry'!L$9)),MAX(MIN('Council Entry'!L84,'Council Entry'!L$9),'Council Entry'!L$8),'Council Entry'!L84)),IF('Council Entry'!L$4="Exponential",EXP(IF(AND(ISNUMBER('Council Entry'!L$8),ISNUMBER('Council Entry'!L$9)),MAX(MIN('Council Entry'!L84,'Council Entry'!L$9),'Council Entry'!L$8),'Council Entry'!L84)),IF(AND(ISNUMBER('Council Entry'!L$8),ISNUMBER('Council Entry'!L$9)),MAX(MIN('Council Entry'!L84,'Council Entry'!L$9),'Council Entry'!L$8),'Council Entry'!L84))))-'Council Entry'!L$5)/('Council Entry'!L$6-'Council Entry'!L$5)),1))),"No data"))</f>
        <v/>
      </c>
      <c r="M84" s="13">
        <f>IF('Council Entry'!M84="","",IFERROR(MAX(0,MIN(10,ROUND(IF('Council Entry'!M$7="Decrease Risk",10-10*((IF('Council Entry'!M$4="Logarithm",LN(0.001+IF(AND(ISNUMBER('Council Entry'!M$8),ISNUMBER('Council Entry'!M$9)),MAX(MIN('Council Entry'!M84,'Council Entry'!M$9),'Council Entry'!M$8),'Council Entry'!M84)),IF('Council Entry'!M$4="Exponential",EXP(IF(AND(ISNUMBER('Council Entry'!M$8),ISNUMBER('Council Entry'!M$9)),MAX(MIN('Council Entry'!M84,'Council Entry'!M$9),'Council Entry'!M$8),'Council Entry'!M84)),IF(AND(ISNUMBER('Council Entry'!M$8),ISNUMBER('Council Entry'!M$9)),MAX(MIN('Council Entry'!M84,'Council Entry'!M$9),'Council Entry'!M$8),'Council Entry'!M84))))-'Council Entry'!M$5)/('Council Entry'!M$6-'Council Entry'!M$5),10*((IF('Council Entry'!M$4="Logarithm",LN(0.001+IF(AND(ISNUMBER('Council Entry'!M$8),ISNUMBER('Council Entry'!M$9)),MAX(MIN('Council Entry'!M84,'Council Entry'!M$9),'Council Entry'!M$8),'Council Entry'!M84)),IF('Council Entry'!M$4="Exponential",EXP(IF(AND(ISNUMBER('Council Entry'!M$8),ISNUMBER('Council Entry'!M$9)),MAX(MIN('Council Entry'!M84,'Council Entry'!M$9),'Council Entry'!M$8),'Council Entry'!M84)),IF(AND(ISNUMBER('Council Entry'!M$8),ISNUMBER('Council Entry'!M$9)),MAX(MIN('Council Entry'!M84,'Council Entry'!M$9),'Council Entry'!M$8),'Council Entry'!M84))))-'Council Entry'!M$5)/('Council Entry'!M$6-'Council Entry'!M$5)),1))),"No data"))</f>
        <v/>
      </c>
      <c r="N84" s="13">
        <f>IF('Council Entry'!N84="","",IFERROR(MAX(0,MIN(10,ROUND(IF('Council Entry'!N$7="Decrease Risk",10-10*((IF('Council Entry'!N$4="Logarithm",LN(0.001+IF(AND(ISNUMBER('Council Entry'!N$8),ISNUMBER('Council Entry'!N$9)),MAX(MIN('Council Entry'!N84,'Council Entry'!N$9),'Council Entry'!N$8),'Council Entry'!N84)),IF('Council Entry'!N$4="Exponential",EXP(IF(AND(ISNUMBER('Council Entry'!N$8),ISNUMBER('Council Entry'!N$9)),MAX(MIN('Council Entry'!N84,'Council Entry'!N$9),'Council Entry'!N$8),'Council Entry'!N84)),IF(AND(ISNUMBER('Council Entry'!N$8),ISNUMBER('Council Entry'!N$9)),MAX(MIN('Council Entry'!N84,'Council Entry'!N$9),'Council Entry'!N$8),'Council Entry'!N84))))-'Council Entry'!N$5)/('Council Entry'!N$6-'Council Entry'!N$5),10*((IF('Council Entry'!N$4="Logarithm",LN(0.001+IF(AND(ISNUMBER('Council Entry'!N$8),ISNUMBER('Council Entry'!N$9)),MAX(MIN('Council Entry'!N84,'Council Entry'!N$9),'Council Entry'!N$8),'Council Entry'!N84)),IF('Council Entry'!N$4="Exponential",EXP(IF(AND(ISNUMBER('Council Entry'!N$8),ISNUMBER('Council Entry'!N$9)),MAX(MIN('Council Entry'!N84,'Council Entry'!N$9),'Council Entry'!N$8),'Council Entry'!N84)),IF(AND(ISNUMBER('Council Entry'!N$8),ISNUMBER('Council Entry'!N$9)),MAX(MIN('Council Entry'!N84,'Council Entry'!N$9),'Council Entry'!N$8),'Council Entry'!N84))))-'Council Entry'!N$5)/('Council Entry'!N$6-'Council Entry'!N$5)),1))),"No data"))</f>
        <v/>
      </c>
      <c r="O84" s="13">
        <f>IF('Council Entry'!O84="","",IFERROR(MAX(0,MIN(10,ROUND(IF('Council Entry'!O$7="Decrease Risk",10-10*((IF('Council Entry'!O$4="Logarithm",LN(0.001+IF(AND(ISNUMBER('Council Entry'!O$8),ISNUMBER('Council Entry'!O$9)),MAX(MIN('Council Entry'!O84,'Council Entry'!O$9),'Council Entry'!O$8),'Council Entry'!O84)),IF('Council Entry'!O$4="Exponential",EXP(IF(AND(ISNUMBER('Council Entry'!O$8),ISNUMBER('Council Entry'!O$9)),MAX(MIN('Council Entry'!O84,'Council Entry'!O$9),'Council Entry'!O$8),'Council Entry'!O84)),IF(AND(ISNUMBER('Council Entry'!O$8),ISNUMBER('Council Entry'!O$9)),MAX(MIN('Council Entry'!O84,'Council Entry'!O$9),'Council Entry'!O$8),'Council Entry'!O84))))-'Council Entry'!O$5)/('Council Entry'!O$6-'Council Entry'!O$5),10*((IF('Council Entry'!O$4="Logarithm",LN(0.001+IF(AND(ISNUMBER('Council Entry'!O$8),ISNUMBER('Council Entry'!O$9)),MAX(MIN('Council Entry'!O84,'Council Entry'!O$9),'Council Entry'!O$8),'Council Entry'!O84)),IF('Council Entry'!O$4="Exponential",EXP(IF(AND(ISNUMBER('Council Entry'!O$8),ISNUMBER('Council Entry'!O$9)),MAX(MIN('Council Entry'!O84,'Council Entry'!O$9),'Council Entry'!O$8),'Council Entry'!O84)),IF(AND(ISNUMBER('Council Entry'!O$8),ISNUMBER('Council Entry'!O$9)),MAX(MIN('Council Entry'!O84,'Council Entry'!O$9),'Council Entry'!O$8),'Council Entry'!O84))))-'Council Entry'!O$5)/('Council Entry'!O$6-'Council Entry'!O$5)),1))),"No data"))</f>
        <v/>
      </c>
      <c r="P84" s="13">
        <f>IF('Council Entry'!P84="","",IFERROR(MAX(0,MIN(10,ROUND(IF('Council Entry'!P$7="Decrease Risk",10-10*((IF('Council Entry'!P$4="Logarithm",LN(0.001+IF(AND(ISNUMBER('Council Entry'!P$8),ISNUMBER('Council Entry'!P$9)),MAX(MIN('Council Entry'!P84,'Council Entry'!P$9),'Council Entry'!P$8),'Council Entry'!P84)),IF('Council Entry'!P$4="Exponential",EXP(IF(AND(ISNUMBER('Council Entry'!P$8),ISNUMBER('Council Entry'!P$9)),MAX(MIN('Council Entry'!P84,'Council Entry'!P$9),'Council Entry'!P$8),'Council Entry'!P84)),IF(AND(ISNUMBER('Council Entry'!P$8),ISNUMBER('Council Entry'!P$9)),MAX(MIN('Council Entry'!P84,'Council Entry'!P$9),'Council Entry'!P$8),'Council Entry'!P84))))-'Council Entry'!P$5)/('Council Entry'!P$6-'Council Entry'!P$5),10*((IF('Council Entry'!P$4="Logarithm",LN(0.001+IF(AND(ISNUMBER('Council Entry'!P$8),ISNUMBER('Council Entry'!P$9)),MAX(MIN('Council Entry'!P84,'Council Entry'!P$9),'Council Entry'!P$8),'Council Entry'!P84)),IF('Council Entry'!P$4="Exponential",EXP(IF(AND(ISNUMBER('Council Entry'!P$8),ISNUMBER('Council Entry'!P$9)),MAX(MIN('Council Entry'!P84,'Council Entry'!P$9),'Council Entry'!P$8),'Council Entry'!P84)),IF(AND(ISNUMBER('Council Entry'!P$8),ISNUMBER('Council Entry'!P$9)),MAX(MIN('Council Entry'!P84,'Council Entry'!P$9),'Council Entry'!P$8),'Council Entry'!P84))))-'Council Entry'!P$5)/('Council Entry'!P$6-'Council Entry'!P$5)),1))),"No data"))</f>
        <v/>
      </c>
      <c r="Q84" s="13">
        <f>IF('Council Entry'!Q84="","",IFERROR(MAX(0,MIN(10,ROUND(IF('Council Entry'!Q$7="Decrease Risk",10-10*((IF('Council Entry'!Q$4="Logarithm",LN(0.001+IF(AND(ISNUMBER('Council Entry'!Q$8),ISNUMBER('Council Entry'!Q$9)),MAX(MIN('Council Entry'!Q84,'Council Entry'!Q$9),'Council Entry'!Q$8),'Council Entry'!Q84)),IF('Council Entry'!Q$4="Exponential",EXP(IF(AND(ISNUMBER('Council Entry'!Q$8),ISNUMBER('Council Entry'!Q$9)),MAX(MIN('Council Entry'!Q84,'Council Entry'!Q$9),'Council Entry'!Q$8),'Council Entry'!Q84)),IF(AND(ISNUMBER('Council Entry'!Q$8),ISNUMBER('Council Entry'!Q$9)),MAX(MIN('Council Entry'!Q84,'Council Entry'!Q$9),'Council Entry'!Q$8),'Council Entry'!Q84))))-'Council Entry'!Q$5)/('Council Entry'!Q$6-'Council Entry'!Q$5),10*((IF('Council Entry'!Q$4="Logarithm",LN(0.001+IF(AND(ISNUMBER('Council Entry'!Q$8),ISNUMBER('Council Entry'!Q$9)),MAX(MIN('Council Entry'!Q84,'Council Entry'!Q$9),'Council Entry'!Q$8),'Council Entry'!Q84)),IF('Council Entry'!Q$4="Exponential",EXP(IF(AND(ISNUMBER('Council Entry'!Q$8),ISNUMBER('Council Entry'!Q$9)),MAX(MIN('Council Entry'!Q84,'Council Entry'!Q$9),'Council Entry'!Q$8),'Council Entry'!Q84)),IF(AND(ISNUMBER('Council Entry'!Q$8),ISNUMBER('Council Entry'!Q$9)),MAX(MIN('Council Entry'!Q84,'Council Entry'!Q$9),'Council Entry'!Q$8),'Council Entry'!Q84))))-'Council Entry'!Q$5)/('Council Entry'!Q$6-'Council Entry'!Q$5)),1))),"No data"))</f>
        <v/>
      </c>
      <c r="R84" s="13">
        <f>IF('Council Entry'!R84="","",IFERROR(MAX(0,MIN(10,ROUND(IF('Council Entry'!R$7="Decrease Risk",10-10*((IF('Council Entry'!R$4="Logarithm",LN(0.001+IF(AND(ISNUMBER('Council Entry'!R$8),ISNUMBER('Council Entry'!R$9)),MAX(MIN('Council Entry'!R84,'Council Entry'!R$9),'Council Entry'!R$8),'Council Entry'!R84)),IF('Council Entry'!R$4="Exponential",EXP(IF(AND(ISNUMBER('Council Entry'!R$8),ISNUMBER('Council Entry'!R$9)),MAX(MIN('Council Entry'!R84,'Council Entry'!R$9),'Council Entry'!R$8),'Council Entry'!R84)),IF(AND(ISNUMBER('Council Entry'!R$8),ISNUMBER('Council Entry'!R$9)),MAX(MIN('Council Entry'!R84,'Council Entry'!R$9),'Council Entry'!R$8),'Council Entry'!R84))))-'Council Entry'!R$5)/('Council Entry'!R$6-'Council Entry'!R$5),10*((IF('Council Entry'!R$4="Logarithm",LN(0.001+IF(AND(ISNUMBER('Council Entry'!R$8),ISNUMBER('Council Entry'!R$9)),MAX(MIN('Council Entry'!R84,'Council Entry'!R$9),'Council Entry'!R$8),'Council Entry'!R84)),IF('Council Entry'!R$4="Exponential",EXP(IF(AND(ISNUMBER('Council Entry'!R$8),ISNUMBER('Council Entry'!R$9)),MAX(MIN('Council Entry'!R84,'Council Entry'!R$9),'Council Entry'!R$8),'Council Entry'!R84)),IF(AND(ISNUMBER('Council Entry'!R$8),ISNUMBER('Council Entry'!R$9)),MAX(MIN('Council Entry'!R84,'Council Entry'!R$9),'Council Entry'!R$8),'Council Entry'!R84))))-'Council Entry'!R$5)/('Council Entry'!R$6-'Council Entry'!R$5)),1))),"No data"))</f>
        <v/>
      </c>
      <c r="S84" s="13">
        <f>IF('Council Entry'!S84="","",IFERROR(MAX(0,MIN(10,ROUND(IF('Council Entry'!S$7="Decrease Risk",10-10*((IF('Council Entry'!S$4="Logarithm",LN(0.001+IF(AND(ISNUMBER('Council Entry'!S$8),ISNUMBER('Council Entry'!S$9)),MAX(MIN('Council Entry'!S84,'Council Entry'!S$9),'Council Entry'!S$8),'Council Entry'!S84)),IF('Council Entry'!S$4="Exponential",EXP(IF(AND(ISNUMBER('Council Entry'!S$8),ISNUMBER('Council Entry'!S$9)),MAX(MIN('Council Entry'!S84,'Council Entry'!S$9),'Council Entry'!S$8),'Council Entry'!S84)),IF(AND(ISNUMBER('Council Entry'!S$8),ISNUMBER('Council Entry'!S$9)),MAX(MIN('Council Entry'!S84,'Council Entry'!S$9),'Council Entry'!S$8),'Council Entry'!S84))))-'Council Entry'!S$5)/('Council Entry'!S$6-'Council Entry'!S$5),10*((IF('Council Entry'!S$4="Logarithm",LN(0.001+IF(AND(ISNUMBER('Council Entry'!S$8),ISNUMBER('Council Entry'!S$9)),MAX(MIN('Council Entry'!S84,'Council Entry'!S$9),'Council Entry'!S$8),'Council Entry'!S84)),IF('Council Entry'!S$4="Exponential",EXP(IF(AND(ISNUMBER('Council Entry'!S$8),ISNUMBER('Council Entry'!S$9)),MAX(MIN('Council Entry'!S84,'Council Entry'!S$9),'Council Entry'!S$8),'Council Entry'!S84)),IF(AND(ISNUMBER('Council Entry'!S$8),ISNUMBER('Council Entry'!S$9)),MAX(MIN('Council Entry'!S84,'Council Entry'!S$9),'Council Entry'!S$8),'Council Entry'!S84))))-'Council Entry'!S$5)/('Council Entry'!S$6-'Council Entry'!S$5)),1))),"No data"))</f>
        <v/>
      </c>
      <c r="T84" s="13">
        <f>IF('Council Entry'!T84="","",IFERROR(MAX(0,MIN(10,ROUND(IF('Council Entry'!T$7="Decrease Risk",10-10*((IF('Council Entry'!T$4="Logarithm",LN(0.001+IF(AND(ISNUMBER('Council Entry'!T$8),ISNUMBER('Council Entry'!T$9)),MAX(MIN('Council Entry'!T84,'Council Entry'!T$9),'Council Entry'!T$8),'Council Entry'!T84)),IF('Council Entry'!T$4="Exponential",EXP(IF(AND(ISNUMBER('Council Entry'!T$8),ISNUMBER('Council Entry'!T$9)),MAX(MIN('Council Entry'!T84,'Council Entry'!T$9),'Council Entry'!T$8),'Council Entry'!T84)),IF(AND(ISNUMBER('Council Entry'!T$8),ISNUMBER('Council Entry'!T$9)),MAX(MIN('Council Entry'!T84,'Council Entry'!T$9),'Council Entry'!T$8),'Council Entry'!T84))))-'Council Entry'!T$5)/('Council Entry'!T$6-'Council Entry'!T$5),10*((IF('Council Entry'!T$4="Logarithm",LN(0.001+IF(AND(ISNUMBER('Council Entry'!T$8),ISNUMBER('Council Entry'!T$9)),MAX(MIN('Council Entry'!T84,'Council Entry'!T$9),'Council Entry'!T$8),'Council Entry'!T84)),IF('Council Entry'!T$4="Exponential",EXP(IF(AND(ISNUMBER('Council Entry'!T$8),ISNUMBER('Council Entry'!T$9)),MAX(MIN('Council Entry'!T84,'Council Entry'!T$9),'Council Entry'!T$8),'Council Entry'!T84)),IF(AND(ISNUMBER('Council Entry'!T$8),ISNUMBER('Council Entry'!T$9)),MAX(MIN('Council Entry'!T84,'Council Entry'!T$9),'Council Entry'!T$8),'Council Entry'!T84))))-'Council Entry'!T$5)/('Council Entry'!T$6-'Council Entry'!T$5)),1))),"No data"))</f>
        <v/>
      </c>
      <c r="U84" s="13">
        <f>IF('Council Entry'!U84="","",IFERROR(MAX(0,MIN(10,ROUND(IF('Council Entry'!U$7="Decrease Risk",10-10*((IF('Council Entry'!U$4="Logarithm",LN(0.001+IF(AND(ISNUMBER('Council Entry'!U$8),ISNUMBER('Council Entry'!U$9)),MAX(MIN('Council Entry'!U84,'Council Entry'!U$9),'Council Entry'!U$8),'Council Entry'!U84)),IF('Council Entry'!U$4="Exponential",EXP(IF(AND(ISNUMBER('Council Entry'!U$8),ISNUMBER('Council Entry'!U$9)),MAX(MIN('Council Entry'!U84,'Council Entry'!U$9),'Council Entry'!U$8),'Council Entry'!U84)),IF(AND(ISNUMBER('Council Entry'!U$8),ISNUMBER('Council Entry'!U$9)),MAX(MIN('Council Entry'!U84,'Council Entry'!U$9),'Council Entry'!U$8),'Council Entry'!U84))))-'Council Entry'!U$5)/('Council Entry'!U$6-'Council Entry'!U$5),10*((IF('Council Entry'!U$4="Logarithm",LN(0.001+IF(AND(ISNUMBER('Council Entry'!U$8),ISNUMBER('Council Entry'!U$9)),MAX(MIN('Council Entry'!U84,'Council Entry'!U$9),'Council Entry'!U$8),'Council Entry'!U84)),IF('Council Entry'!U$4="Exponential",EXP(IF(AND(ISNUMBER('Council Entry'!U$8),ISNUMBER('Council Entry'!U$9)),MAX(MIN('Council Entry'!U84,'Council Entry'!U$9),'Council Entry'!U$8),'Council Entry'!U84)),IF(AND(ISNUMBER('Council Entry'!U$8),ISNUMBER('Council Entry'!U$9)),MAX(MIN('Council Entry'!U84,'Council Entry'!U$9),'Council Entry'!U$8),'Council Entry'!U84))))-'Council Entry'!U$5)/('Council Entry'!U$6-'Council Entry'!U$5)),1))),"No data"))</f>
        <v/>
      </c>
      <c r="V84" s="13">
        <f>IF('Council Entry'!V84="","",IFERROR(MAX(0,MIN(10,ROUND(IF('Council Entry'!V$7="Decrease Risk",10-10*((IF('Council Entry'!V$4="Logarithm",LN(0.001+IF(AND(ISNUMBER('Council Entry'!V$8),ISNUMBER('Council Entry'!V$9)),MAX(MIN('Council Entry'!V84,'Council Entry'!V$9),'Council Entry'!V$8),'Council Entry'!V84)),IF('Council Entry'!V$4="Exponential",EXP(IF(AND(ISNUMBER('Council Entry'!V$8),ISNUMBER('Council Entry'!V$9)),MAX(MIN('Council Entry'!V84,'Council Entry'!V$9),'Council Entry'!V$8),'Council Entry'!V84)),IF(AND(ISNUMBER('Council Entry'!V$8),ISNUMBER('Council Entry'!V$9)),MAX(MIN('Council Entry'!V84,'Council Entry'!V$9),'Council Entry'!V$8),'Council Entry'!V84))))-'Council Entry'!V$5)/('Council Entry'!V$6-'Council Entry'!V$5),10*((IF('Council Entry'!V$4="Logarithm",LN(0.001+IF(AND(ISNUMBER('Council Entry'!V$8),ISNUMBER('Council Entry'!V$9)),MAX(MIN('Council Entry'!V84,'Council Entry'!V$9),'Council Entry'!V$8),'Council Entry'!V84)),IF('Council Entry'!V$4="Exponential",EXP(IF(AND(ISNUMBER('Council Entry'!V$8),ISNUMBER('Council Entry'!V$9)),MAX(MIN('Council Entry'!V84,'Council Entry'!V$9),'Council Entry'!V$8),'Council Entry'!V84)),IF(AND(ISNUMBER('Council Entry'!V$8),ISNUMBER('Council Entry'!V$9)),MAX(MIN('Council Entry'!V84,'Council Entry'!V$9),'Council Entry'!V$8),'Council Entry'!V84))))-'Council Entry'!V$5)/('Council Entry'!V$6-'Council Entry'!V$5)),1))),"No data"))</f>
        <v/>
      </c>
      <c r="W84" s="13">
        <f>IF('Council Entry'!W84="","",IFERROR(MAX(0,MIN(10,ROUND(IF('Council Entry'!W$7="Decrease Risk",10-10*((IF('Council Entry'!W$4="Logarithm",LN(0.001+IF(AND(ISNUMBER('Council Entry'!W$8),ISNUMBER('Council Entry'!W$9)),MAX(MIN('Council Entry'!W84,'Council Entry'!W$9),'Council Entry'!W$8),'Council Entry'!W84)),IF('Council Entry'!W$4="Exponential",EXP(IF(AND(ISNUMBER('Council Entry'!W$8),ISNUMBER('Council Entry'!W$9)),MAX(MIN('Council Entry'!W84,'Council Entry'!W$9),'Council Entry'!W$8),'Council Entry'!W84)),IF(AND(ISNUMBER('Council Entry'!W$8),ISNUMBER('Council Entry'!W$9)),MAX(MIN('Council Entry'!W84,'Council Entry'!W$9),'Council Entry'!W$8),'Council Entry'!W84))))-'Council Entry'!W$5)/('Council Entry'!W$6-'Council Entry'!W$5),10*((IF('Council Entry'!W$4="Logarithm",LN(0.001+IF(AND(ISNUMBER('Council Entry'!W$8),ISNUMBER('Council Entry'!W$9)),MAX(MIN('Council Entry'!W84,'Council Entry'!W$9),'Council Entry'!W$8),'Council Entry'!W84)),IF('Council Entry'!W$4="Exponential",EXP(IF(AND(ISNUMBER('Council Entry'!W$8),ISNUMBER('Council Entry'!W$9)),MAX(MIN('Council Entry'!W84,'Council Entry'!W$9),'Council Entry'!W$8),'Council Entry'!W84)),IF(AND(ISNUMBER('Council Entry'!W$8),ISNUMBER('Council Entry'!W$9)),MAX(MIN('Council Entry'!W84,'Council Entry'!W$9),'Council Entry'!W$8),'Council Entry'!W84))))-'Council Entry'!W$5)/('Council Entry'!W$6-'Council Entry'!W$5)),1))),"No data"))</f>
        <v/>
      </c>
      <c r="X84" s="13">
        <f>IF('Council Entry'!X84="","",IFERROR(MAX(0,MIN(10,ROUND(IF('Council Entry'!X$7="Decrease Risk",10-10*((IF('Council Entry'!X$4="Logarithm",LN(0.001+IF(AND(ISNUMBER('Council Entry'!X$8),ISNUMBER('Council Entry'!X$9)),MAX(MIN('Council Entry'!X84,'Council Entry'!X$9),'Council Entry'!X$8),'Council Entry'!X84)),IF('Council Entry'!X$4="Exponential",EXP(IF(AND(ISNUMBER('Council Entry'!X$8),ISNUMBER('Council Entry'!X$9)),MAX(MIN('Council Entry'!X84,'Council Entry'!X$9),'Council Entry'!X$8),'Council Entry'!X84)),IF(AND(ISNUMBER('Council Entry'!X$8),ISNUMBER('Council Entry'!X$9)),MAX(MIN('Council Entry'!X84,'Council Entry'!X$9),'Council Entry'!X$8),'Council Entry'!X84))))-'Council Entry'!X$5)/('Council Entry'!X$6-'Council Entry'!X$5),10*((IF('Council Entry'!X$4="Logarithm",LN(0.001+IF(AND(ISNUMBER('Council Entry'!X$8),ISNUMBER('Council Entry'!X$9)),MAX(MIN('Council Entry'!X84,'Council Entry'!X$9),'Council Entry'!X$8),'Council Entry'!X84)),IF('Council Entry'!X$4="Exponential",EXP(IF(AND(ISNUMBER('Council Entry'!X$8),ISNUMBER('Council Entry'!X$9)),MAX(MIN('Council Entry'!X84,'Council Entry'!X$9),'Council Entry'!X$8),'Council Entry'!X84)),IF(AND(ISNUMBER('Council Entry'!X$8),ISNUMBER('Council Entry'!X$9)),MAX(MIN('Council Entry'!X84,'Council Entry'!X$9),'Council Entry'!X$8),'Council Entry'!X84))))-'Council Entry'!X$5)/('Council Entry'!X$6-'Council Entry'!X$5)),1))),"No data"))</f>
        <v/>
      </c>
      <c r="Y84" s="13">
        <f>IF('Council Entry'!Y84="","",IFERROR(MAX(0,MIN(10,ROUND(IF('Council Entry'!Y$7="Decrease Risk",10-10*((IF('Council Entry'!Y$4="Logarithm",LN(0.001+IF(AND(ISNUMBER('Council Entry'!Y$8),ISNUMBER('Council Entry'!Y$9)),MAX(MIN('Council Entry'!Y84,'Council Entry'!Y$9),'Council Entry'!Y$8),'Council Entry'!Y84)),IF('Council Entry'!Y$4="Exponential",EXP(IF(AND(ISNUMBER('Council Entry'!Y$8),ISNUMBER('Council Entry'!Y$9)),MAX(MIN('Council Entry'!Y84,'Council Entry'!Y$9),'Council Entry'!Y$8),'Council Entry'!Y84)),IF(AND(ISNUMBER('Council Entry'!Y$8),ISNUMBER('Council Entry'!Y$9)),MAX(MIN('Council Entry'!Y84,'Council Entry'!Y$9),'Council Entry'!Y$8),'Council Entry'!Y84))))-'Council Entry'!Y$5)/('Council Entry'!Y$6-'Council Entry'!Y$5),10*((IF('Council Entry'!Y$4="Logarithm",LN(0.001+IF(AND(ISNUMBER('Council Entry'!Y$8),ISNUMBER('Council Entry'!Y$9)),MAX(MIN('Council Entry'!Y84,'Council Entry'!Y$9),'Council Entry'!Y$8),'Council Entry'!Y84)),IF('Council Entry'!Y$4="Exponential",EXP(IF(AND(ISNUMBER('Council Entry'!Y$8),ISNUMBER('Council Entry'!Y$9)),MAX(MIN('Council Entry'!Y84,'Council Entry'!Y$9),'Council Entry'!Y$8),'Council Entry'!Y84)),IF(AND(ISNUMBER('Council Entry'!Y$8),ISNUMBER('Council Entry'!Y$9)),MAX(MIN('Council Entry'!Y84,'Council Entry'!Y$9),'Council Entry'!Y$8),'Council Entry'!Y84))))-'Council Entry'!Y$5)/('Council Entry'!Y$6-'Council Entry'!Y$5)),1))),"No data"))</f>
        <v/>
      </c>
      <c r="Z84" s="13">
        <f>IF('Council Entry'!Z84="","",IFERROR(MAX(0,MIN(10,ROUND(IF('Council Entry'!Z$7="Decrease Risk",10-10*((IF('Council Entry'!Z$4="Logarithm",LN(0.001+IF(AND(ISNUMBER('Council Entry'!Z$8),ISNUMBER('Council Entry'!Z$9)),MAX(MIN('Council Entry'!Z84,'Council Entry'!Z$9),'Council Entry'!Z$8),'Council Entry'!Z84)),IF('Council Entry'!Z$4="Exponential",EXP(IF(AND(ISNUMBER('Council Entry'!Z$8),ISNUMBER('Council Entry'!Z$9)),MAX(MIN('Council Entry'!Z84,'Council Entry'!Z$9),'Council Entry'!Z$8),'Council Entry'!Z84)),IF(AND(ISNUMBER('Council Entry'!Z$8),ISNUMBER('Council Entry'!Z$9)),MAX(MIN('Council Entry'!Z84,'Council Entry'!Z$9),'Council Entry'!Z$8),'Council Entry'!Z84))))-'Council Entry'!Z$5)/('Council Entry'!Z$6-'Council Entry'!Z$5),10*((IF('Council Entry'!Z$4="Logarithm",LN(0.001+IF(AND(ISNUMBER('Council Entry'!Z$8),ISNUMBER('Council Entry'!Z$9)),MAX(MIN('Council Entry'!Z84,'Council Entry'!Z$9),'Council Entry'!Z$8),'Council Entry'!Z84)),IF('Council Entry'!Z$4="Exponential",EXP(IF(AND(ISNUMBER('Council Entry'!Z$8),ISNUMBER('Council Entry'!Z$9)),MAX(MIN('Council Entry'!Z84,'Council Entry'!Z$9),'Council Entry'!Z$8),'Council Entry'!Z84)),IF(AND(ISNUMBER('Council Entry'!Z$8),ISNUMBER('Council Entry'!Z$9)),MAX(MIN('Council Entry'!Z84,'Council Entry'!Z$9),'Council Entry'!Z$8),'Council Entry'!Z84))))-'Council Entry'!Z$5)/('Council Entry'!Z$6-'Council Entry'!Z$5)),1))),"No data"))</f>
        <v/>
      </c>
      <c r="AA84" s="13">
        <f>IF('Council Entry'!AA84="","",IFERROR(MAX(0,MIN(10,ROUND(IF('Council Entry'!AA$7="Decrease Risk",10-10*((IF('Council Entry'!AA$4="Logarithm",LN(0.001+IF(AND(ISNUMBER('Council Entry'!AA$8),ISNUMBER('Council Entry'!AA$9)),MAX(MIN('Council Entry'!AA84,'Council Entry'!AA$9),'Council Entry'!AA$8),'Council Entry'!AA84)),IF('Council Entry'!AA$4="Exponential",EXP(IF(AND(ISNUMBER('Council Entry'!AA$8),ISNUMBER('Council Entry'!AA$9)),MAX(MIN('Council Entry'!AA84,'Council Entry'!AA$9),'Council Entry'!AA$8),'Council Entry'!AA84)),IF(AND(ISNUMBER('Council Entry'!AA$8),ISNUMBER('Council Entry'!AA$9)),MAX(MIN('Council Entry'!AA84,'Council Entry'!AA$9),'Council Entry'!AA$8),'Council Entry'!AA84))))-'Council Entry'!AA$5)/('Council Entry'!AA$6-'Council Entry'!AA$5),10*((IF('Council Entry'!AA$4="Logarithm",LN(0.001+IF(AND(ISNUMBER('Council Entry'!AA$8),ISNUMBER('Council Entry'!AA$9)),MAX(MIN('Council Entry'!AA84,'Council Entry'!AA$9),'Council Entry'!AA$8),'Council Entry'!AA84)),IF('Council Entry'!AA$4="Exponential",EXP(IF(AND(ISNUMBER('Council Entry'!AA$8),ISNUMBER('Council Entry'!AA$9)),MAX(MIN('Council Entry'!AA84,'Council Entry'!AA$9),'Council Entry'!AA$8),'Council Entry'!AA84)),IF(AND(ISNUMBER('Council Entry'!AA$8),ISNUMBER('Council Entry'!AA$9)),MAX(MIN('Council Entry'!AA84,'Council Entry'!AA$9),'Council Entry'!AA$8),'Council Entry'!AA84))))-'Council Entry'!AA$5)/('Council Entry'!AA$6-'Council Entry'!AA$5)),1))),"No data"))</f>
        <v/>
      </c>
      <c r="AB84" s="13">
        <f>IF('Council Entry'!AB84="","",IFERROR(MAX(0,MIN(10,ROUND(IF('Council Entry'!AB$7="Decrease Risk",10-10*((IF('Council Entry'!AB$4="Logarithm",LN(0.001+IF(AND(ISNUMBER('Council Entry'!AB$8),ISNUMBER('Council Entry'!AB$9)),MAX(MIN('Council Entry'!AB84,'Council Entry'!AB$9),'Council Entry'!AB$8),'Council Entry'!AB84)),IF('Council Entry'!AB$4="Exponential",EXP(IF(AND(ISNUMBER('Council Entry'!AB$8),ISNUMBER('Council Entry'!AB$9)),MAX(MIN('Council Entry'!AB84,'Council Entry'!AB$9),'Council Entry'!AB$8),'Council Entry'!AB84)),IF(AND(ISNUMBER('Council Entry'!AB$8),ISNUMBER('Council Entry'!AB$9)),MAX(MIN('Council Entry'!AB84,'Council Entry'!AB$9),'Council Entry'!AB$8),'Council Entry'!AB84))))-'Council Entry'!AB$5)/('Council Entry'!AB$6-'Council Entry'!AB$5),10*((IF('Council Entry'!AB$4="Logarithm",LN(0.001+IF(AND(ISNUMBER('Council Entry'!AB$8),ISNUMBER('Council Entry'!AB$9)),MAX(MIN('Council Entry'!AB84,'Council Entry'!AB$9),'Council Entry'!AB$8),'Council Entry'!AB84)),IF('Council Entry'!AB$4="Exponential",EXP(IF(AND(ISNUMBER('Council Entry'!AB$8),ISNUMBER('Council Entry'!AB$9)),MAX(MIN('Council Entry'!AB84,'Council Entry'!AB$9),'Council Entry'!AB$8),'Council Entry'!AB84)),IF(AND(ISNUMBER('Council Entry'!AB$8),ISNUMBER('Council Entry'!AB$9)),MAX(MIN('Council Entry'!AB84,'Council Entry'!AB$9),'Council Entry'!AB$8),'Council Entry'!AB84))))-'Council Entry'!AB$5)/('Council Entry'!AB$6-'Council Entry'!AB$5)),1))),"No data"))</f>
        <v/>
      </c>
      <c r="AC84" s="13">
        <f>IF('Council Entry'!AC84="","",IFERROR(MAX(0,MIN(10,ROUND(IF('Council Entry'!AC$7="Decrease Risk",10-10*((IF('Council Entry'!AC$4="Logarithm",LN(0.001+IF(AND(ISNUMBER('Council Entry'!AC$8),ISNUMBER('Council Entry'!AC$9)),MAX(MIN('Council Entry'!AC84,'Council Entry'!AC$9),'Council Entry'!AC$8),'Council Entry'!AC84)),IF('Council Entry'!AC$4="Exponential",EXP(IF(AND(ISNUMBER('Council Entry'!AC$8),ISNUMBER('Council Entry'!AC$9)),MAX(MIN('Council Entry'!AC84,'Council Entry'!AC$9),'Council Entry'!AC$8),'Council Entry'!AC84)),IF(AND(ISNUMBER('Council Entry'!AC$8),ISNUMBER('Council Entry'!AC$9)),MAX(MIN('Council Entry'!AC84,'Council Entry'!AC$9),'Council Entry'!AC$8),'Council Entry'!AC84))))-'Council Entry'!AC$5)/('Council Entry'!AC$6-'Council Entry'!AC$5),10*((IF('Council Entry'!AC$4="Logarithm",LN(0.001+IF(AND(ISNUMBER('Council Entry'!AC$8),ISNUMBER('Council Entry'!AC$9)),MAX(MIN('Council Entry'!AC84,'Council Entry'!AC$9),'Council Entry'!AC$8),'Council Entry'!AC84)),IF('Council Entry'!AC$4="Exponential",EXP(IF(AND(ISNUMBER('Council Entry'!AC$8),ISNUMBER('Council Entry'!AC$9)),MAX(MIN('Council Entry'!AC84,'Council Entry'!AC$9),'Council Entry'!AC$8),'Council Entry'!AC84)),IF(AND(ISNUMBER('Council Entry'!AC$8),ISNUMBER('Council Entry'!AC$9)),MAX(MIN('Council Entry'!AC84,'Council Entry'!AC$9),'Council Entry'!AC$8),'Council Entry'!AC84))))-'Council Entry'!AC$5)/('Council Entry'!AC$6-'Council Entry'!AC$5)),1))),"No data"))</f>
        <v/>
      </c>
      <c r="AD84" s="13">
        <f>IF('Council Entry'!AD84="","",IFERROR(MAX(0,MIN(10,ROUND(IF('Council Entry'!AD$7="Decrease Risk",10-10*((IF('Council Entry'!AD$4="Logarithm",LN(0.001+IF(AND(ISNUMBER('Council Entry'!AD$8),ISNUMBER('Council Entry'!AD$9)),MAX(MIN('Council Entry'!AD84,'Council Entry'!AD$9),'Council Entry'!AD$8),'Council Entry'!AD84)),IF('Council Entry'!AD$4="Exponential",EXP(IF(AND(ISNUMBER('Council Entry'!AD$8),ISNUMBER('Council Entry'!AD$9)),MAX(MIN('Council Entry'!AD84,'Council Entry'!AD$9),'Council Entry'!AD$8),'Council Entry'!AD84)),IF(AND(ISNUMBER('Council Entry'!AD$8),ISNUMBER('Council Entry'!AD$9)),MAX(MIN('Council Entry'!AD84,'Council Entry'!AD$9),'Council Entry'!AD$8),'Council Entry'!AD84))))-'Council Entry'!AD$5)/('Council Entry'!AD$6-'Council Entry'!AD$5),10*((IF('Council Entry'!AD$4="Logarithm",LN(0.001+IF(AND(ISNUMBER('Council Entry'!AD$8),ISNUMBER('Council Entry'!AD$9)),MAX(MIN('Council Entry'!AD84,'Council Entry'!AD$9),'Council Entry'!AD$8),'Council Entry'!AD84)),IF('Council Entry'!AD$4="Exponential",EXP(IF(AND(ISNUMBER('Council Entry'!AD$8),ISNUMBER('Council Entry'!AD$9)),MAX(MIN('Council Entry'!AD84,'Council Entry'!AD$9),'Council Entry'!AD$8),'Council Entry'!AD84)),IF(AND(ISNUMBER('Council Entry'!AD$8),ISNUMBER('Council Entry'!AD$9)),MAX(MIN('Council Entry'!AD84,'Council Entry'!AD$9),'Council Entry'!AD$8),'Council Entry'!AD84))))-'Council Entry'!AD$5)/('Council Entry'!AD$6-'Council Entry'!AD$5)),1))),"No data"))</f>
        <v/>
      </c>
      <c r="AE84" s="13">
        <f>IF('Council Entry'!AE84="","",IFERROR(MAX(0,MIN(10,ROUND(IF('Council Entry'!AE$7="Decrease Risk",10-10*((IF('Council Entry'!AE$4="Logarithm",LN(0.001+IF(AND(ISNUMBER('Council Entry'!AE$8),ISNUMBER('Council Entry'!AE$9)),MAX(MIN('Council Entry'!AE84,'Council Entry'!AE$9),'Council Entry'!AE$8),'Council Entry'!AE84)),IF('Council Entry'!AE$4="Exponential",EXP(IF(AND(ISNUMBER('Council Entry'!AE$8),ISNUMBER('Council Entry'!AE$9)),MAX(MIN('Council Entry'!AE84,'Council Entry'!AE$9),'Council Entry'!AE$8),'Council Entry'!AE84)),IF(AND(ISNUMBER('Council Entry'!AE$8),ISNUMBER('Council Entry'!AE$9)),MAX(MIN('Council Entry'!AE84,'Council Entry'!AE$9),'Council Entry'!AE$8),'Council Entry'!AE84))))-'Council Entry'!AE$5)/('Council Entry'!AE$6-'Council Entry'!AE$5),10*((IF('Council Entry'!AE$4="Logarithm",LN(0.001+IF(AND(ISNUMBER('Council Entry'!AE$8),ISNUMBER('Council Entry'!AE$9)),MAX(MIN('Council Entry'!AE84,'Council Entry'!AE$9),'Council Entry'!AE$8),'Council Entry'!AE84)),IF('Council Entry'!AE$4="Exponential",EXP(IF(AND(ISNUMBER('Council Entry'!AE$8),ISNUMBER('Council Entry'!AE$9)),MAX(MIN('Council Entry'!AE84,'Council Entry'!AE$9),'Council Entry'!AE$8),'Council Entry'!AE84)),IF(AND(ISNUMBER('Council Entry'!AE$8),ISNUMBER('Council Entry'!AE$9)),MAX(MIN('Council Entry'!AE84,'Council Entry'!AE$9),'Council Entry'!AE$8),'Council Entry'!AE84))))-'Council Entry'!AE$5)/('Council Entry'!AE$6-'Council Entry'!AE$5)),1))),"No data"))</f>
        <v/>
      </c>
      <c r="AF84" s="13">
        <f>IF('Council Entry'!AF84="","",IFERROR(MAX(0,MIN(10,ROUND(IF('Council Entry'!AF$7="Decrease Risk",10-10*((IF('Council Entry'!AF$4="Logarithm",LN(0.001+IF(AND(ISNUMBER('Council Entry'!AF$8),ISNUMBER('Council Entry'!AF$9)),MAX(MIN('Council Entry'!AF84,'Council Entry'!AF$9),'Council Entry'!AF$8),'Council Entry'!AF84)),IF('Council Entry'!AF$4="Exponential",EXP(IF(AND(ISNUMBER('Council Entry'!AF$8),ISNUMBER('Council Entry'!AF$9)),MAX(MIN('Council Entry'!AF84,'Council Entry'!AF$9),'Council Entry'!AF$8),'Council Entry'!AF84)),IF(AND(ISNUMBER('Council Entry'!AF$8),ISNUMBER('Council Entry'!AF$9)),MAX(MIN('Council Entry'!AF84,'Council Entry'!AF$9),'Council Entry'!AF$8),'Council Entry'!AF84))))-'Council Entry'!AF$5)/('Council Entry'!AF$6-'Council Entry'!AF$5),10*((IF('Council Entry'!AF$4="Logarithm",LN(0.001+IF(AND(ISNUMBER('Council Entry'!AF$8),ISNUMBER('Council Entry'!AF$9)),MAX(MIN('Council Entry'!AF84,'Council Entry'!AF$9),'Council Entry'!AF$8),'Council Entry'!AF84)),IF('Council Entry'!AF$4="Exponential",EXP(IF(AND(ISNUMBER('Council Entry'!AF$8),ISNUMBER('Council Entry'!AF$9)),MAX(MIN('Council Entry'!AF84,'Council Entry'!AF$9),'Council Entry'!AF$8),'Council Entry'!AF84)),IF(AND(ISNUMBER('Council Entry'!AF$8),ISNUMBER('Council Entry'!AF$9)),MAX(MIN('Council Entry'!AF84,'Council Entry'!AF$9),'Council Entry'!AF$8),'Council Entry'!AF84))))-'Council Entry'!AF$5)/('Council Entry'!AF$6-'Council Entry'!AF$5)),1))),"No data"))</f>
        <v/>
      </c>
      <c r="AG84" s="13">
        <f>IF('Council Entry'!AG84="","",IFERROR(MAX(0,MIN(10,ROUND(IF('Council Entry'!AG$7="Decrease Risk",10-10*((IF('Council Entry'!AG$4="Logarithm",LN(0.001+IF(AND(ISNUMBER('Council Entry'!AG$8),ISNUMBER('Council Entry'!AG$9)),MAX(MIN('Council Entry'!AG84,'Council Entry'!AG$9),'Council Entry'!AG$8),'Council Entry'!AG84)),IF('Council Entry'!AG$4="Exponential",EXP(IF(AND(ISNUMBER('Council Entry'!AG$8),ISNUMBER('Council Entry'!AG$9)),MAX(MIN('Council Entry'!AG84,'Council Entry'!AG$9),'Council Entry'!AG$8),'Council Entry'!AG84)),IF(AND(ISNUMBER('Council Entry'!AG$8),ISNUMBER('Council Entry'!AG$9)),MAX(MIN('Council Entry'!AG84,'Council Entry'!AG$9),'Council Entry'!AG$8),'Council Entry'!AG84))))-'Council Entry'!AG$5)/('Council Entry'!AG$6-'Council Entry'!AG$5),10*((IF('Council Entry'!AG$4="Logarithm",LN(0.001+IF(AND(ISNUMBER('Council Entry'!AG$8),ISNUMBER('Council Entry'!AG$9)),MAX(MIN('Council Entry'!AG84,'Council Entry'!AG$9),'Council Entry'!AG$8),'Council Entry'!AG84)),IF('Council Entry'!AG$4="Exponential",EXP(IF(AND(ISNUMBER('Council Entry'!AG$8),ISNUMBER('Council Entry'!AG$9)),MAX(MIN('Council Entry'!AG84,'Council Entry'!AG$9),'Council Entry'!AG$8),'Council Entry'!AG84)),IF(AND(ISNUMBER('Council Entry'!AG$8),ISNUMBER('Council Entry'!AG$9)),MAX(MIN('Council Entry'!AG84,'Council Entry'!AG$9),'Council Entry'!AG$8),'Council Entry'!AG84))))-'Council Entry'!AG$5)/('Council Entry'!AG$6-'Council Entry'!AG$5)),1))),"No data"))</f>
        <v/>
      </c>
      <c r="AH84" s="13">
        <f>IF('Council Entry'!AH84="","",IFERROR(MAX(0,MIN(10,ROUND(IF('Council Entry'!AH$7="Decrease Risk",10-10*((IF('Council Entry'!AH$4="Logarithm",LN(0.001+IF(AND(ISNUMBER('Council Entry'!AH$8),ISNUMBER('Council Entry'!AH$9)),MAX(MIN('Council Entry'!AH84,'Council Entry'!AH$9),'Council Entry'!AH$8),'Council Entry'!AH84)),IF('Council Entry'!AH$4="Exponential",EXP(IF(AND(ISNUMBER('Council Entry'!AH$8),ISNUMBER('Council Entry'!AH$9)),MAX(MIN('Council Entry'!AH84,'Council Entry'!AH$9),'Council Entry'!AH$8),'Council Entry'!AH84)),IF(AND(ISNUMBER('Council Entry'!AH$8),ISNUMBER('Council Entry'!AH$9)),MAX(MIN('Council Entry'!AH84,'Council Entry'!AH$9),'Council Entry'!AH$8),'Council Entry'!AH84))))-'Council Entry'!AH$5)/('Council Entry'!AH$6-'Council Entry'!AH$5),10*((IF('Council Entry'!AH$4="Logarithm",LN(0.001+IF(AND(ISNUMBER('Council Entry'!AH$8),ISNUMBER('Council Entry'!AH$9)),MAX(MIN('Council Entry'!AH84,'Council Entry'!AH$9),'Council Entry'!AH$8),'Council Entry'!AH84)),IF('Council Entry'!AH$4="Exponential",EXP(IF(AND(ISNUMBER('Council Entry'!AH$8),ISNUMBER('Council Entry'!AH$9)),MAX(MIN('Council Entry'!AH84,'Council Entry'!AH$9),'Council Entry'!AH$8),'Council Entry'!AH84)),IF(AND(ISNUMBER('Council Entry'!AH$8),ISNUMBER('Council Entry'!AH$9)),MAX(MIN('Council Entry'!AH84,'Council Entry'!AH$9),'Council Entry'!AH$8),'Council Entry'!AH84))))-'Council Entry'!AH$5)/('Council Entry'!AH$6-'Council Entry'!AH$5)),1))),"No data"))</f>
        <v/>
      </c>
      <c r="AI84" s="13">
        <f>IF('Council Entry'!AI84="","",IFERROR(MAX(0,MIN(10,ROUND(IF('Council Entry'!AI$7="Decrease Risk",10-10*((IF('Council Entry'!AI$4="Logarithm",LN(0.001+IF(AND(ISNUMBER('Council Entry'!AI$8),ISNUMBER('Council Entry'!AI$9)),MAX(MIN('Council Entry'!AI84,'Council Entry'!AI$9),'Council Entry'!AI$8),'Council Entry'!AI84)),IF('Council Entry'!AI$4="Exponential",EXP(IF(AND(ISNUMBER('Council Entry'!AI$8),ISNUMBER('Council Entry'!AI$9)),MAX(MIN('Council Entry'!AI84,'Council Entry'!AI$9),'Council Entry'!AI$8),'Council Entry'!AI84)),IF(AND(ISNUMBER('Council Entry'!AI$8),ISNUMBER('Council Entry'!AI$9)),MAX(MIN('Council Entry'!AI84,'Council Entry'!AI$9),'Council Entry'!AI$8),'Council Entry'!AI84))))-'Council Entry'!AI$5)/('Council Entry'!AI$6-'Council Entry'!AI$5),10*((IF('Council Entry'!AI$4="Logarithm",LN(0.001+IF(AND(ISNUMBER('Council Entry'!AI$8),ISNUMBER('Council Entry'!AI$9)),MAX(MIN('Council Entry'!AI84,'Council Entry'!AI$9),'Council Entry'!AI$8),'Council Entry'!AI84)),IF('Council Entry'!AI$4="Exponential",EXP(IF(AND(ISNUMBER('Council Entry'!AI$8),ISNUMBER('Council Entry'!AI$9)),MAX(MIN('Council Entry'!AI84,'Council Entry'!AI$9),'Council Entry'!AI$8),'Council Entry'!AI84)),IF(AND(ISNUMBER('Council Entry'!AI$8),ISNUMBER('Council Entry'!AI$9)),MAX(MIN('Council Entry'!AI84,'Council Entry'!AI$9),'Council Entry'!AI$8),'Council Entry'!AI84))))-'Council Entry'!AI$5)/('Council Entry'!AI$6-'Council Entry'!AI$5)),1))),"No data"))</f>
        <v/>
      </c>
      <c r="AJ84" s="13">
        <f>IF('Council Entry'!AJ84="","",IFERROR(MAX(0,MIN(10,ROUND(IF('Council Entry'!AJ$7="Decrease Risk",10-10*((IF('Council Entry'!AJ$4="Logarithm",LN(0.001+IF(AND(ISNUMBER('Council Entry'!AJ$8),ISNUMBER('Council Entry'!AJ$9)),MAX(MIN('Council Entry'!AJ84,'Council Entry'!AJ$9),'Council Entry'!AJ$8),'Council Entry'!AJ84)),IF('Council Entry'!AJ$4="Exponential",EXP(IF(AND(ISNUMBER('Council Entry'!AJ$8),ISNUMBER('Council Entry'!AJ$9)),MAX(MIN('Council Entry'!AJ84,'Council Entry'!AJ$9),'Council Entry'!AJ$8),'Council Entry'!AJ84)),IF(AND(ISNUMBER('Council Entry'!AJ$8),ISNUMBER('Council Entry'!AJ$9)),MAX(MIN('Council Entry'!AJ84,'Council Entry'!AJ$9),'Council Entry'!AJ$8),'Council Entry'!AJ84))))-'Council Entry'!AJ$5)/('Council Entry'!AJ$6-'Council Entry'!AJ$5),10*((IF('Council Entry'!AJ$4="Logarithm",LN(0.001+IF(AND(ISNUMBER('Council Entry'!AJ$8),ISNUMBER('Council Entry'!AJ$9)),MAX(MIN('Council Entry'!AJ84,'Council Entry'!AJ$9),'Council Entry'!AJ$8),'Council Entry'!AJ84)),IF('Council Entry'!AJ$4="Exponential",EXP(IF(AND(ISNUMBER('Council Entry'!AJ$8),ISNUMBER('Council Entry'!AJ$9)),MAX(MIN('Council Entry'!AJ84,'Council Entry'!AJ$9),'Council Entry'!AJ$8),'Council Entry'!AJ84)),IF(AND(ISNUMBER('Council Entry'!AJ$8),ISNUMBER('Council Entry'!AJ$9)),MAX(MIN('Council Entry'!AJ84,'Council Entry'!AJ$9),'Council Entry'!AJ$8),'Council Entry'!AJ84))))-'Council Entry'!AJ$5)/('Council Entry'!AJ$6-'Council Entry'!AJ$5)),1))),"No data"))</f>
        <v/>
      </c>
      <c r="AK84" s="13">
        <f>IF('Council Entry'!AK84="","",IFERROR(MAX(0,MIN(10,ROUND(IF('Council Entry'!AK$7="Decrease Risk",10-10*((IF('Council Entry'!AK$4="Logarithm",LN(0.001+IF(AND(ISNUMBER('Council Entry'!AK$8),ISNUMBER('Council Entry'!AK$9)),MAX(MIN('Council Entry'!AK84,'Council Entry'!AK$9),'Council Entry'!AK$8),'Council Entry'!AK84)),IF('Council Entry'!AK$4="Exponential",EXP(IF(AND(ISNUMBER('Council Entry'!AK$8),ISNUMBER('Council Entry'!AK$9)),MAX(MIN('Council Entry'!AK84,'Council Entry'!AK$9),'Council Entry'!AK$8),'Council Entry'!AK84)),IF(AND(ISNUMBER('Council Entry'!AK$8),ISNUMBER('Council Entry'!AK$9)),MAX(MIN('Council Entry'!AK84,'Council Entry'!AK$9),'Council Entry'!AK$8),'Council Entry'!AK84))))-'Council Entry'!AK$5)/('Council Entry'!AK$6-'Council Entry'!AK$5),10*((IF('Council Entry'!AK$4="Logarithm",LN(0.001+IF(AND(ISNUMBER('Council Entry'!AK$8),ISNUMBER('Council Entry'!AK$9)),MAX(MIN('Council Entry'!AK84,'Council Entry'!AK$9),'Council Entry'!AK$8),'Council Entry'!AK84)),IF('Council Entry'!AK$4="Exponential",EXP(IF(AND(ISNUMBER('Council Entry'!AK$8),ISNUMBER('Council Entry'!AK$9)),MAX(MIN('Council Entry'!AK84,'Council Entry'!AK$9),'Council Entry'!AK$8),'Council Entry'!AK84)),IF(AND(ISNUMBER('Council Entry'!AK$8),ISNUMBER('Council Entry'!AK$9)),MAX(MIN('Council Entry'!AK84,'Council Entry'!AK$9),'Council Entry'!AK$8),'Council Entry'!AK84))))-'Council Entry'!AK$5)/('Council Entry'!AK$6-'Council Entry'!AK$5)),1))),"No data"))</f>
        <v/>
      </c>
      <c r="AL84" s="13">
        <f>IF('Council Entry'!AL84="","",IFERROR(MAX(0,MIN(10,ROUND(IF('Council Entry'!AL$7="Decrease Risk",10-10*((IF('Council Entry'!AL$4="Logarithm",LN(0.001+IF(AND(ISNUMBER('Council Entry'!AL$8),ISNUMBER('Council Entry'!AL$9)),MAX(MIN('Council Entry'!AL84,'Council Entry'!AL$9),'Council Entry'!AL$8),'Council Entry'!AL84)),IF('Council Entry'!AL$4="Exponential",EXP(IF(AND(ISNUMBER('Council Entry'!AL$8),ISNUMBER('Council Entry'!AL$9)),MAX(MIN('Council Entry'!AL84,'Council Entry'!AL$9),'Council Entry'!AL$8),'Council Entry'!AL84)),IF(AND(ISNUMBER('Council Entry'!AL$8),ISNUMBER('Council Entry'!AL$9)),MAX(MIN('Council Entry'!AL84,'Council Entry'!AL$9),'Council Entry'!AL$8),'Council Entry'!AL84))))-'Council Entry'!AL$5)/('Council Entry'!AL$6-'Council Entry'!AL$5),10*((IF('Council Entry'!AL$4="Logarithm",LN(0.001+IF(AND(ISNUMBER('Council Entry'!AL$8),ISNUMBER('Council Entry'!AL$9)),MAX(MIN('Council Entry'!AL84,'Council Entry'!AL$9),'Council Entry'!AL$8),'Council Entry'!AL84)),IF('Council Entry'!AL$4="Exponential",EXP(IF(AND(ISNUMBER('Council Entry'!AL$8),ISNUMBER('Council Entry'!AL$9)),MAX(MIN('Council Entry'!AL84,'Council Entry'!AL$9),'Council Entry'!AL$8),'Council Entry'!AL84)),IF(AND(ISNUMBER('Council Entry'!AL$8),ISNUMBER('Council Entry'!AL$9)),MAX(MIN('Council Entry'!AL84,'Council Entry'!AL$9),'Council Entry'!AL$8),'Council Entry'!AL84))))-'Council Entry'!AL$5)/('Council Entry'!AL$6-'Council Entry'!AL$5)),1))),"No data"))</f>
        <v/>
      </c>
      <c r="AM84" s="13">
        <f>IF('Council Entry'!AM84="","",IFERROR(MAX(0,MIN(10,ROUND(IF('Council Entry'!AM$7="Decrease Risk",10-10*((IF('Council Entry'!AM$4="Logarithm",LN(0.001+IF(AND(ISNUMBER('Council Entry'!AM$8),ISNUMBER('Council Entry'!AM$9)),MAX(MIN('Council Entry'!AM84,'Council Entry'!AM$9),'Council Entry'!AM$8),'Council Entry'!AM84)),IF('Council Entry'!AM$4="Exponential",EXP(IF(AND(ISNUMBER('Council Entry'!AM$8),ISNUMBER('Council Entry'!AM$9)),MAX(MIN('Council Entry'!AM84,'Council Entry'!AM$9),'Council Entry'!AM$8),'Council Entry'!AM84)),IF(AND(ISNUMBER('Council Entry'!AM$8),ISNUMBER('Council Entry'!AM$9)),MAX(MIN('Council Entry'!AM84,'Council Entry'!AM$9),'Council Entry'!AM$8),'Council Entry'!AM84))))-'Council Entry'!AM$5)/('Council Entry'!AM$6-'Council Entry'!AM$5),10*((IF('Council Entry'!AM$4="Logarithm",LN(0.001+IF(AND(ISNUMBER('Council Entry'!AM$8),ISNUMBER('Council Entry'!AM$9)),MAX(MIN('Council Entry'!AM84,'Council Entry'!AM$9),'Council Entry'!AM$8),'Council Entry'!AM84)),IF('Council Entry'!AM$4="Exponential",EXP(IF(AND(ISNUMBER('Council Entry'!AM$8),ISNUMBER('Council Entry'!AM$9)),MAX(MIN('Council Entry'!AM84,'Council Entry'!AM$9),'Council Entry'!AM$8),'Council Entry'!AM84)),IF(AND(ISNUMBER('Council Entry'!AM$8),ISNUMBER('Council Entry'!AM$9)),MAX(MIN('Council Entry'!AM84,'Council Entry'!AM$9),'Council Entry'!AM$8),'Council Entry'!AM84))))-'Council Entry'!AM$5)/('Council Entry'!AM$6-'Council Entry'!AM$5)),1))),"No data"))</f>
        <v/>
      </c>
      <c r="AN84" s="13">
        <f>IF('Council Entry'!AN84="","",IFERROR(MAX(0,MIN(10,ROUND(IF('Council Entry'!AN$7="Decrease Risk",10-10*((IF('Council Entry'!AN$4="Logarithm",LN(0.001+IF(AND(ISNUMBER('Council Entry'!AN$8),ISNUMBER('Council Entry'!AN$9)),MAX(MIN('Council Entry'!AN84,'Council Entry'!AN$9),'Council Entry'!AN$8),'Council Entry'!AN84)),IF('Council Entry'!AN$4="Exponential",EXP(IF(AND(ISNUMBER('Council Entry'!AN$8),ISNUMBER('Council Entry'!AN$9)),MAX(MIN('Council Entry'!AN84,'Council Entry'!AN$9),'Council Entry'!AN$8),'Council Entry'!AN84)),IF(AND(ISNUMBER('Council Entry'!AN$8),ISNUMBER('Council Entry'!AN$9)),MAX(MIN('Council Entry'!AN84,'Council Entry'!AN$9),'Council Entry'!AN$8),'Council Entry'!AN84))))-'Council Entry'!AN$5)/('Council Entry'!AN$6-'Council Entry'!AN$5),10*((IF('Council Entry'!AN$4="Logarithm",LN(0.001+IF(AND(ISNUMBER('Council Entry'!AN$8),ISNUMBER('Council Entry'!AN$9)),MAX(MIN('Council Entry'!AN84,'Council Entry'!AN$9),'Council Entry'!AN$8),'Council Entry'!AN84)),IF('Council Entry'!AN$4="Exponential",EXP(IF(AND(ISNUMBER('Council Entry'!AN$8),ISNUMBER('Council Entry'!AN$9)),MAX(MIN('Council Entry'!AN84,'Council Entry'!AN$9),'Council Entry'!AN$8),'Council Entry'!AN84)),IF(AND(ISNUMBER('Council Entry'!AN$8),ISNUMBER('Council Entry'!AN$9)),MAX(MIN('Council Entry'!AN84,'Council Entry'!AN$9),'Council Entry'!AN$8),'Council Entry'!AN84))))-'Council Entry'!AN$5)/('Council Entry'!AN$6-'Council Entry'!AN$5)),1))),"No data"))</f>
        <v/>
      </c>
      <c r="AO84" s="13">
        <f>IF('Council Entry'!AO84="","",IFERROR(MAX(0,MIN(10,ROUND(IF('Council Entry'!AO$7="Decrease Risk",10-10*((IF('Council Entry'!AO$4="Logarithm",LN(0.001+IF(AND(ISNUMBER('Council Entry'!AO$8),ISNUMBER('Council Entry'!AO$9)),MAX(MIN('Council Entry'!AO84,'Council Entry'!AO$9),'Council Entry'!AO$8),'Council Entry'!AO84)),IF('Council Entry'!AO$4="Exponential",EXP(IF(AND(ISNUMBER('Council Entry'!AO$8),ISNUMBER('Council Entry'!AO$9)),MAX(MIN('Council Entry'!AO84,'Council Entry'!AO$9),'Council Entry'!AO$8),'Council Entry'!AO84)),IF(AND(ISNUMBER('Council Entry'!AO$8),ISNUMBER('Council Entry'!AO$9)),MAX(MIN('Council Entry'!AO84,'Council Entry'!AO$9),'Council Entry'!AO$8),'Council Entry'!AO84))))-'Council Entry'!AO$5)/('Council Entry'!AO$6-'Council Entry'!AO$5),10*((IF('Council Entry'!AO$4="Logarithm",LN(0.001+IF(AND(ISNUMBER('Council Entry'!AO$8),ISNUMBER('Council Entry'!AO$9)),MAX(MIN('Council Entry'!AO84,'Council Entry'!AO$9),'Council Entry'!AO$8),'Council Entry'!AO84)),IF('Council Entry'!AO$4="Exponential",EXP(IF(AND(ISNUMBER('Council Entry'!AO$8),ISNUMBER('Council Entry'!AO$9)),MAX(MIN('Council Entry'!AO84,'Council Entry'!AO$9),'Council Entry'!AO$8),'Council Entry'!AO84)),IF(AND(ISNUMBER('Council Entry'!AO$8),ISNUMBER('Council Entry'!AO$9)),MAX(MIN('Council Entry'!AO84,'Council Entry'!AO$9),'Council Entry'!AO$8),'Council Entry'!AO84))))-'Council Entry'!AO$5)/('Council Entry'!AO$6-'Council Entry'!AO$5)),1))),"No data"))</f>
        <v/>
      </c>
      <c r="AP84" s="13">
        <f>IF('Council Entry'!AP84="","",IFERROR(MAX(0,MIN(10,ROUND(IF('Council Entry'!AP$7="Decrease Risk",10-10*((IF('Council Entry'!AP$4="Logarithm",LN(0.001+IF(AND(ISNUMBER('Council Entry'!AP$8),ISNUMBER('Council Entry'!AP$9)),MAX(MIN('Council Entry'!AP84,'Council Entry'!AP$9),'Council Entry'!AP$8),'Council Entry'!AP84)),IF('Council Entry'!AP$4="Exponential",EXP(IF(AND(ISNUMBER('Council Entry'!AP$8),ISNUMBER('Council Entry'!AP$9)),MAX(MIN('Council Entry'!AP84,'Council Entry'!AP$9),'Council Entry'!AP$8),'Council Entry'!AP84)),IF(AND(ISNUMBER('Council Entry'!AP$8),ISNUMBER('Council Entry'!AP$9)),MAX(MIN('Council Entry'!AP84,'Council Entry'!AP$9),'Council Entry'!AP$8),'Council Entry'!AP84))))-'Council Entry'!AP$5)/('Council Entry'!AP$6-'Council Entry'!AP$5),10*((IF('Council Entry'!AP$4="Logarithm",LN(0.001+IF(AND(ISNUMBER('Council Entry'!AP$8),ISNUMBER('Council Entry'!AP$9)),MAX(MIN('Council Entry'!AP84,'Council Entry'!AP$9),'Council Entry'!AP$8),'Council Entry'!AP84)),IF('Council Entry'!AP$4="Exponential",EXP(IF(AND(ISNUMBER('Council Entry'!AP$8),ISNUMBER('Council Entry'!AP$9)),MAX(MIN('Council Entry'!AP84,'Council Entry'!AP$9),'Council Entry'!AP$8),'Council Entry'!AP84)),IF(AND(ISNUMBER('Council Entry'!AP$8),ISNUMBER('Council Entry'!AP$9)),MAX(MIN('Council Entry'!AP84,'Council Entry'!AP$9),'Council Entry'!AP$8),'Council Entry'!AP84))))-'Council Entry'!AP$5)/('Council Entry'!AP$6-'Council Entry'!AP$5)),1))),"No data"))</f>
        <v/>
      </c>
      <c r="AQ84" s="13">
        <f>IF('Council Entry'!AQ84="","",IFERROR(MAX(0,MIN(10,ROUND(IF('Council Entry'!AQ$7="Decrease Risk",10-10*((IF('Council Entry'!AQ$4="Logarithm",LN(0.001+IF(AND(ISNUMBER('Council Entry'!AQ$8),ISNUMBER('Council Entry'!AQ$9)),MAX(MIN('Council Entry'!AQ84,'Council Entry'!AQ$9),'Council Entry'!AQ$8),'Council Entry'!AQ84)),IF('Council Entry'!AQ$4="Exponential",EXP(IF(AND(ISNUMBER('Council Entry'!AQ$8),ISNUMBER('Council Entry'!AQ$9)),MAX(MIN('Council Entry'!AQ84,'Council Entry'!AQ$9),'Council Entry'!AQ$8),'Council Entry'!AQ84)),IF(AND(ISNUMBER('Council Entry'!AQ$8),ISNUMBER('Council Entry'!AQ$9)),MAX(MIN('Council Entry'!AQ84,'Council Entry'!AQ$9),'Council Entry'!AQ$8),'Council Entry'!AQ84))))-'Council Entry'!AQ$5)/('Council Entry'!AQ$6-'Council Entry'!AQ$5),10*((IF('Council Entry'!AQ$4="Logarithm",LN(0.001+IF(AND(ISNUMBER('Council Entry'!AQ$8),ISNUMBER('Council Entry'!AQ$9)),MAX(MIN('Council Entry'!AQ84,'Council Entry'!AQ$9),'Council Entry'!AQ$8),'Council Entry'!AQ84)),IF('Council Entry'!AQ$4="Exponential",EXP(IF(AND(ISNUMBER('Council Entry'!AQ$8),ISNUMBER('Council Entry'!AQ$9)),MAX(MIN('Council Entry'!AQ84,'Council Entry'!AQ$9),'Council Entry'!AQ$8),'Council Entry'!AQ84)),IF(AND(ISNUMBER('Council Entry'!AQ$8),ISNUMBER('Council Entry'!AQ$9)),MAX(MIN('Council Entry'!AQ84,'Council Entry'!AQ$9),'Council Entry'!AQ$8),'Council Entry'!AQ84))))-'Council Entry'!AQ$5)/('Council Entry'!AQ$6-'Council Entry'!AQ$5)),1))),"No data"))</f>
        <v/>
      </c>
      <c r="AR84" s="13">
        <f>IF('Council Entry'!AR84="","",IFERROR(MAX(0,MIN(10,ROUND(IF('Council Entry'!AR$7="Decrease Risk",10-10*((IF('Council Entry'!AR$4="Logarithm",LN(0.001+IF(AND(ISNUMBER('Council Entry'!AR$8),ISNUMBER('Council Entry'!AR$9)),MAX(MIN('Council Entry'!AR84,'Council Entry'!AR$9),'Council Entry'!AR$8),'Council Entry'!AR84)),IF('Council Entry'!AR$4="Exponential",EXP(IF(AND(ISNUMBER('Council Entry'!AR$8),ISNUMBER('Council Entry'!AR$9)),MAX(MIN('Council Entry'!AR84,'Council Entry'!AR$9),'Council Entry'!AR$8),'Council Entry'!AR84)),IF(AND(ISNUMBER('Council Entry'!AR$8),ISNUMBER('Council Entry'!AR$9)),MAX(MIN('Council Entry'!AR84,'Council Entry'!AR$9),'Council Entry'!AR$8),'Council Entry'!AR84))))-'Council Entry'!AR$5)/('Council Entry'!AR$6-'Council Entry'!AR$5),10*((IF('Council Entry'!AR$4="Logarithm",LN(0.001+IF(AND(ISNUMBER('Council Entry'!AR$8),ISNUMBER('Council Entry'!AR$9)),MAX(MIN('Council Entry'!AR84,'Council Entry'!AR$9),'Council Entry'!AR$8),'Council Entry'!AR84)),IF('Council Entry'!AR$4="Exponential",EXP(IF(AND(ISNUMBER('Council Entry'!AR$8),ISNUMBER('Council Entry'!AR$9)),MAX(MIN('Council Entry'!AR84,'Council Entry'!AR$9),'Council Entry'!AR$8),'Council Entry'!AR84)),IF(AND(ISNUMBER('Council Entry'!AR$8),ISNUMBER('Council Entry'!AR$9)),MAX(MIN('Council Entry'!AR84,'Council Entry'!AR$9),'Council Entry'!AR$8),'Council Entry'!AR84))))-'Council Entry'!AR$5)/('Council Entry'!AR$6-'Council Entry'!AR$5)),1))),"No data"))</f>
        <v/>
      </c>
      <c r="AS84" s="13">
        <f>IF('Council Entry'!AS84="","",IFERROR(MAX(0,MIN(10,ROUND(IF('Council Entry'!AS$7="Decrease Risk",10-10*((IF('Council Entry'!AS$4="Logarithm",LN(0.001+IF(AND(ISNUMBER('Council Entry'!AS$8),ISNUMBER('Council Entry'!AS$9)),MAX(MIN('Council Entry'!AS84,'Council Entry'!AS$9),'Council Entry'!AS$8),'Council Entry'!AS84)),IF('Council Entry'!AS$4="Exponential",EXP(IF(AND(ISNUMBER('Council Entry'!AS$8),ISNUMBER('Council Entry'!AS$9)),MAX(MIN('Council Entry'!AS84,'Council Entry'!AS$9),'Council Entry'!AS$8),'Council Entry'!AS84)),IF(AND(ISNUMBER('Council Entry'!AS$8),ISNUMBER('Council Entry'!AS$9)),MAX(MIN('Council Entry'!AS84,'Council Entry'!AS$9),'Council Entry'!AS$8),'Council Entry'!AS84))))-'Council Entry'!AS$5)/('Council Entry'!AS$6-'Council Entry'!AS$5),10*((IF('Council Entry'!AS$4="Logarithm",LN(0.001+IF(AND(ISNUMBER('Council Entry'!AS$8),ISNUMBER('Council Entry'!AS$9)),MAX(MIN('Council Entry'!AS84,'Council Entry'!AS$9),'Council Entry'!AS$8),'Council Entry'!AS84)),IF('Council Entry'!AS$4="Exponential",EXP(IF(AND(ISNUMBER('Council Entry'!AS$8),ISNUMBER('Council Entry'!AS$9)),MAX(MIN('Council Entry'!AS84,'Council Entry'!AS$9),'Council Entry'!AS$8),'Council Entry'!AS84)),IF(AND(ISNUMBER('Council Entry'!AS$8),ISNUMBER('Council Entry'!AS$9)),MAX(MIN('Council Entry'!AS84,'Council Entry'!AS$9),'Council Entry'!AS$8),'Council Entry'!AS84))))-'Council Entry'!AS$5)/('Council Entry'!AS$6-'Council Entry'!AS$5)),1))),"No data"))</f>
        <v/>
      </c>
      <c r="AT84" s="13">
        <f>IF('Council Entry'!AT84="","",IFERROR(MAX(0,MIN(10,ROUND(IF('Council Entry'!AT$7="Decrease Risk",10-10*((IF('Council Entry'!AT$4="Logarithm",LN(0.001+IF(AND(ISNUMBER('Council Entry'!AT$8),ISNUMBER('Council Entry'!AT$9)),MAX(MIN('Council Entry'!AT84,'Council Entry'!AT$9),'Council Entry'!AT$8),'Council Entry'!AT84)),IF('Council Entry'!AT$4="Exponential",EXP(IF(AND(ISNUMBER('Council Entry'!AT$8),ISNUMBER('Council Entry'!AT$9)),MAX(MIN('Council Entry'!AT84,'Council Entry'!AT$9),'Council Entry'!AT$8),'Council Entry'!AT84)),IF(AND(ISNUMBER('Council Entry'!AT$8),ISNUMBER('Council Entry'!AT$9)),MAX(MIN('Council Entry'!AT84,'Council Entry'!AT$9),'Council Entry'!AT$8),'Council Entry'!AT84))))-'Council Entry'!AT$5)/('Council Entry'!AT$6-'Council Entry'!AT$5),10*((IF('Council Entry'!AT$4="Logarithm",LN(0.001+IF(AND(ISNUMBER('Council Entry'!AT$8),ISNUMBER('Council Entry'!AT$9)),MAX(MIN('Council Entry'!AT84,'Council Entry'!AT$9),'Council Entry'!AT$8),'Council Entry'!AT84)),IF('Council Entry'!AT$4="Exponential",EXP(IF(AND(ISNUMBER('Council Entry'!AT$8),ISNUMBER('Council Entry'!AT$9)),MAX(MIN('Council Entry'!AT84,'Council Entry'!AT$9),'Council Entry'!AT$8),'Council Entry'!AT84)),IF(AND(ISNUMBER('Council Entry'!AT$8),ISNUMBER('Council Entry'!AT$9)),MAX(MIN('Council Entry'!AT84,'Council Entry'!AT$9),'Council Entry'!AT$8),'Council Entry'!AT84))))-'Council Entry'!AT$5)/('Council Entry'!AT$6-'Council Entry'!AT$5)),1))),"No data"))</f>
        <v/>
      </c>
      <c r="AU84" s="13">
        <f>IF('Council Entry'!AU84="","",IFERROR(MAX(0,MIN(10,ROUND(IF('Council Entry'!AU$7="Decrease Risk",10-10*((IF('Council Entry'!AU$4="Logarithm",LN(0.001+IF(AND(ISNUMBER('Council Entry'!AU$8),ISNUMBER('Council Entry'!AU$9)),MAX(MIN('Council Entry'!AU84,'Council Entry'!AU$9),'Council Entry'!AU$8),'Council Entry'!AU84)),IF('Council Entry'!AU$4="Exponential",EXP(IF(AND(ISNUMBER('Council Entry'!AU$8),ISNUMBER('Council Entry'!AU$9)),MAX(MIN('Council Entry'!AU84,'Council Entry'!AU$9),'Council Entry'!AU$8),'Council Entry'!AU84)),IF(AND(ISNUMBER('Council Entry'!AU$8),ISNUMBER('Council Entry'!AU$9)),MAX(MIN('Council Entry'!AU84,'Council Entry'!AU$9),'Council Entry'!AU$8),'Council Entry'!AU84))))-'Council Entry'!AU$5)/('Council Entry'!AU$6-'Council Entry'!AU$5),10*((IF('Council Entry'!AU$4="Logarithm",LN(0.001+IF(AND(ISNUMBER('Council Entry'!AU$8),ISNUMBER('Council Entry'!AU$9)),MAX(MIN('Council Entry'!AU84,'Council Entry'!AU$9),'Council Entry'!AU$8),'Council Entry'!AU84)),IF('Council Entry'!AU$4="Exponential",EXP(IF(AND(ISNUMBER('Council Entry'!AU$8),ISNUMBER('Council Entry'!AU$9)),MAX(MIN('Council Entry'!AU84,'Council Entry'!AU$9),'Council Entry'!AU$8),'Council Entry'!AU84)),IF(AND(ISNUMBER('Council Entry'!AU$8),ISNUMBER('Council Entry'!AU$9)),MAX(MIN('Council Entry'!AU84,'Council Entry'!AU$9),'Council Entry'!AU$8),'Council Entry'!AU84))))-'Council Entry'!AU$5)/('Council Entry'!AU$6-'Council Entry'!AU$5)),1))),"No data"))</f>
        <v/>
      </c>
      <c r="AV84" s="13">
        <f>IF('Council Entry'!AV84="","",IFERROR(MAX(0,MIN(10,ROUND(IF('Council Entry'!AV$7="Decrease Risk",10-10*((IF('Council Entry'!AV$4="Logarithm",LN(0.001+IF(AND(ISNUMBER('Council Entry'!AV$8),ISNUMBER('Council Entry'!AV$9)),MAX(MIN('Council Entry'!AV84,'Council Entry'!AV$9),'Council Entry'!AV$8),'Council Entry'!AV84)),IF('Council Entry'!AV$4="Exponential",EXP(IF(AND(ISNUMBER('Council Entry'!AV$8),ISNUMBER('Council Entry'!AV$9)),MAX(MIN('Council Entry'!AV84,'Council Entry'!AV$9),'Council Entry'!AV$8),'Council Entry'!AV84)),IF(AND(ISNUMBER('Council Entry'!AV$8),ISNUMBER('Council Entry'!AV$9)),MAX(MIN('Council Entry'!AV84,'Council Entry'!AV$9),'Council Entry'!AV$8),'Council Entry'!AV84))))-'Council Entry'!AV$5)/('Council Entry'!AV$6-'Council Entry'!AV$5),10*((IF('Council Entry'!AV$4="Logarithm",LN(0.001+IF(AND(ISNUMBER('Council Entry'!AV$8),ISNUMBER('Council Entry'!AV$9)),MAX(MIN('Council Entry'!AV84,'Council Entry'!AV$9),'Council Entry'!AV$8),'Council Entry'!AV84)),IF('Council Entry'!AV$4="Exponential",EXP(IF(AND(ISNUMBER('Council Entry'!AV$8),ISNUMBER('Council Entry'!AV$9)),MAX(MIN('Council Entry'!AV84,'Council Entry'!AV$9),'Council Entry'!AV$8),'Council Entry'!AV84)),IF(AND(ISNUMBER('Council Entry'!AV$8),ISNUMBER('Council Entry'!AV$9)),MAX(MIN('Council Entry'!AV84,'Council Entry'!AV$9),'Council Entry'!AV$8),'Council Entry'!AV84))))-'Council Entry'!AV$5)/('Council Entry'!AV$6-'Council Entry'!AV$5)),1))),"No data"))</f>
        <v/>
      </c>
      <c r="AW84" s="13">
        <f>IF('Council Entry'!AW84="","",IFERROR(MAX(0,MIN(10,ROUND(IF('Council Entry'!AW$7="Decrease Risk",10-10*((IF('Council Entry'!AW$4="Logarithm",LN(0.001+IF(AND(ISNUMBER('Council Entry'!AW$8),ISNUMBER('Council Entry'!AW$9)),MAX(MIN('Council Entry'!AW84,'Council Entry'!AW$9),'Council Entry'!AW$8),'Council Entry'!AW84)),IF('Council Entry'!AW$4="Exponential",EXP(IF(AND(ISNUMBER('Council Entry'!AW$8),ISNUMBER('Council Entry'!AW$9)),MAX(MIN('Council Entry'!AW84,'Council Entry'!AW$9),'Council Entry'!AW$8),'Council Entry'!AW84)),IF(AND(ISNUMBER('Council Entry'!AW$8),ISNUMBER('Council Entry'!AW$9)),MAX(MIN('Council Entry'!AW84,'Council Entry'!AW$9),'Council Entry'!AW$8),'Council Entry'!AW84))))-'Council Entry'!AW$5)/('Council Entry'!AW$6-'Council Entry'!AW$5),10*((IF('Council Entry'!AW$4="Logarithm",LN(0.001+IF(AND(ISNUMBER('Council Entry'!AW$8),ISNUMBER('Council Entry'!AW$9)),MAX(MIN('Council Entry'!AW84,'Council Entry'!AW$9),'Council Entry'!AW$8),'Council Entry'!AW84)),IF('Council Entry'!AW$4="Exponential",EXP(IF(AND(ISNUMBER('Council Entry'!AW$8),ISNUMBER('Council Entry'!AW$9)),MAX(MIN('Council Entry'!AW84,'Council Entry'!AW$9),'Council Entry'!AW$8),'Council Entry'!AW84)),IF(AND(ISNUMBER('Council Entry'!AW$8),ISNUMBER('Council Entry'!AW$9)),MAX(MIN('Council Entry'!AW84,'Council Entry'!AW$9),'Council Entry'!AW$8),'Council Entry'!AW84))))-'Council Entry'!AW$5)/('Council Entry'!AW$6-'Council Entry'!AW$5)),1))),"No data"))</f>
        <v/>
      </c>
      <c r="AX84" s="13">
        <f>IF('Council Entry'!AX84="","",IFERROR(MAX(0,MIN(10,ROUND(IF('Council Entry'!AX$7="Decrease Risk",10-10*((IF('Council Entry'!AX$4="Logarithm",LN(0.001+IF(AND(ISNUMBER('Council Entry'!AX$8),ISNUMBER('Council Entry'!AX$9)),MAX(MIN('Council Entry'!AX84,'Council Entry'!AX$9),'Council Entry'!AX$8),'Council Entry'!AX84)),IF('Council Entry'!AX$4="Exponential",EXP(IF(AND(ISNUMBER('Council Entry'!AX$8),ISNUMBER('Council Entry'!AX$9)),MAX(MIN('Council Entry'!AX84,'Council Entry'!AX$9),'Council Entry'!AX$8),'Council Entry'!AX84)),IF(AND(ISNUMBER('Council Entry'!AX$8),ISNUMBER('Council Entry'!AX$9)),MAX(MIN('Council Entry'!AX84,'Council Entry'!AX$9),'Council Entry'!AX$8),'Council Entry'!AX84))))-'Council Entry'!AX$5)/('Council Entry'!AX$6-'Council Entry'!AX$5),10*((IF('Council Entry'!AX$4="Logarithm",LN(0.001+IF(AND(ISNUMBER('Council Entry'!AX$8),ISNUMBER('Council Entry'!AX$9)),MAX(MIN('Council Entry'!AX84,'Council Entry'!AX$9),'Council Entry'!AX$8),'Council Entry'!AX84)),IF('Council Entry'!AX$4="Exponential",EXP(IF(AND(ISNUMBER('Council Entry'!AX$8),ISNUMBER('Council Entry'!AX$9)),MAX(MIN('Council Entry'!AX84,'Council Entry'!AX$9),'Council Entry'!AX$8),'Council Entry'!AX84)),IF(AND(ISNUMBER('Council Entry'!AX$8),ISNUMBER('Council Entry'!AX$9)),MAX(MIN('Council Entry'!AX84,'Council Entry'!AX$9),'Council Entry'!AX$8),'Council Entry'!AX84))))-'Council Entry'!AX$5)/('Council Entry'!AX$6-'Council Entry'!AX$5)),1))),"No data"))</f>
        <v/>
      </c>
      <c r="AY84" s="13">
        <f>IF('Council Entry'!AY84="","",IFERROR(MAX(0,MIN(10,ROUND(IF('Council Entry'!AY$7="Decrease Risk",10-10*((IF('Council Entry'!AY$4="Logarithm",LN(0.001+IF(AND(ISNUMBER('Council Entry'!AY$8),ISNUMBER('Council Entry'!AY$9)),MAX(MIN('Council Entry'!AY84,'Council Entry'!AY$9),'Council Entry'!AY$8),'Council Entry'!AY84)),IF('Council Entry'!AY$4="Exponential",EXP(IF(AND(ISNUMBER('Council Entry'!AY$8),ISNUMBER('Council Entry'!AY$9)),MAX(MIN('Council Entry'!AY84,'Council Entry'!AY$9),'Council Entry'!AY$8),'Council Entry'!AY84)),IF(AND(ISNUMBER('Council Entry'!AY$8),ISNUMBER('Council Entry'!AY$9)),MAX(MIN('Council Entry'!AY84,'Council Entry'!AY$9),'Council Entry'!AY$8),'Council Entry'!AY84))))-'Council Entry'!AY$5)/('Council Entry'!AY$6-'Council Entry'!AY$5),10*((IF('Council Entry'!AY$4="Logarithm",LN(0.001+IF(AND(ISNUMBER('Council Entry'!AY$8),ISNUMBER('Council Entry'!AY$9)),MAX(MIN('Council Entry'!AY84,'Council Entry'!AY$9),'Council Entry'!AY$8),'Council Entry'!AY84)),IF('Council Entry'!AY$4="Exponential",EXP(IF(AND(ISNUMBER('Council Entry'!AY$8),ISNUMBER('Council Entry'!AY$9)),MAX(MIN('Council Entry'!AY84,'Council Entry'!AY$9),'Council Entry'!AY$8),'Council Entry'!AY84)),IF(AND(ISNUMBER('Council Entry'!AY$8),ISNUMBER('Council Entry'!AY$9)),MAX(MIN('Council Entry'!AY84,'Council Entry'!AY$9),'Council Entry'!AY$8),'Council Entry'!AY84))))-'Council Entry'!AY$5)/('Council Entry'!AY$6-'Council Entry'!AY$5)),1))),"No data"))</f>
        <v/>
      </c>
      <c r="AZ84" s="13">
        <f>IF('Council Entry'!AZ84="","",IFERROR(MAX(0,MIN(10,ROUND(IF('Council Entry'!AZ$7="Decrease Risk",10-10*((IF('Council Entry'!AZ$4="Logarithm",LN(0.001+IF(AND(ISNUMBER('Council Entry'!AZ$8),ISNUMBER('Council Entry'!AZ$9)),MAX(MIN('Council Entry'!AZ84,'Council Entry'!AZ$9),'Council Entry'!AZ$8),'Council Entry'!AZ84)),IF('Council Entry'!AZ$4="Exponential",EXP(IF(AND(ISNUMBER('Council Entry'!AZ$8),ISNUMBER('Council Entry'!AZ$9)),MAX(MIN('Council Entry'!AZ84,'Council Entry'!AZ$9),'Council Entry'!AZ$8),'Council Entry'!AZ84)),IF(AND(ISNUMBER('Council Entry'!AZ$8),ISNUMBER('Council Entry'!AZ$9)),MAX(MIN('Council Entry'!AZ84,'Council Entry'!AZ$9),'Council Entry'!AZ$8),'Council Entry'!AZ84))))-'Council Entry'!AZ$5)/('Council Entry'!AZ$6-'Council Entry'!AZ$5),10*((IF('Council Entry'!AZ$4="Logarithm",LN(0.001+IF(AND(ISNUMBER('Council Entry'!AZ$8),ISNUMBER('Council Entry'!AZ$9)),MAX(MIN('Council Entry'!AZ84,'Council Entry'!AZ$9),'Council Entry'!AZ$8),'Council Entry'!AZ84)),IF('Council Entry'!AZ$4="Exponential",EXP(IF(AND(ISNUMBER('Council Entry'!AZ$8),ISNUMBER('Council Entry'!AZ$9)),MAX(MIN('Council Entry'!AZ84,'Council Entry'!AZ$9),'Council Entry'!AZ$8),'Council Entry'!AZ84)),IF(AND(ISNUMBER('Council Entry'!AZ$8),ISNUMBER('Council Entry'!AZ$9)),MAX(MIN('Council Entry'!AZ84,'Council Entry'!AZ$9),'Council Entry'!AZ$8),'Council Entry'!AZ84))))-'Council Entry'!AZ$5)/('Council Entry'!AZ$6-'Council Entry'!AZ$5)),1))),"No data"))</f>
        <v/>
      </c>
      <c r="BA84" s="13">
        <f>IF('Council Entry'!BA84="","",IFERROR(MAX(0,MIN(10,ROUND(IF('Council Entry'!BA$7="Decrease Risk",10-10*((IF('Council Entry'!BA$4="Logarithm",LN(0.001+IF(AND(ISNUMBER('Council Entry'!BA$8),ISNUMBER('Council Entry'!BA$9)),MAX(MIN('Council Entry'!BA84,'Council Entry'!BA$9),'Council Entry'!BA$8),'Council Entry'!BA84)),IF('Council Entry'!BA$4="Exponential",EXP(IF(AND(ISNUMBER('Council Entry'!BA$8),ISNUMBER('Council Entry'!BA$9)),MAX(MIN('Council Entry'!BA84,'Council Entry'!BA$9),'Council Entry'!BA$8),'Council Entry'!BA84)),IF(AND(ISNUMBER('Council Entry'!BA$8),ISNUMBER('Council Entry'!BA$9)),MAX(MIN('Council Entry'!BA84,'Council Entry'!BA$9),'Council Entry'!BA$8),'Council Entry'!BA84))))-'Council Entry'!BA$5)/('Council Entry'!BA$6-'Council Entry'!BA$5),10*((IF('Council Entry'!BA$4="Logarithm",LN(0.001+IF(AND(ISNUMBER('Council Entry'!BA$8),ISNUMBER('Council Entry'!BA$9)),MAX(MIN('Council Entry'!BA84,'Council Entry'!BA$9),'Council Entry'!BA$8),'Council Entry'!BA84)),IF('Council Entry'!BA$4="Exponential",EXP(IF(AND(ISNUMBER('Council Entry'!BA$8),ISNUMBER('Council Entry'!BA$9)),MAX(MIN('Council Entry'!BA84,'Council Entry'!BA$9),'Council Entry'!BA$8),'Council Entry'!BA84)),IF(AND(ISNUMBER('Council Entry'!BA$8),ISNUMBER('Council Entry'!BA$9)),MAX(MIN('Council Entry'!BA84,'Council Entry'!BA$9),'Council Entry'!BA$8),'Council Entry'!BA84))))-'Council Entry'!BA$5)/('Council Entry'!BA$6-'Council Entry'!BA$5)),1))),"No data"))</f>
        <v/>
      </c>
      <c r="BB84" s="13">
        <f>IF('Council Entry'!BB84="","",IFERROR(MAX(0,MIN(10,ROUND(IF('Council Entry'!BB$7="Decrease Risk",10-10*((IF('Council Entry'!BB$4="Logarithm",LN(0.001+IF(AND(ISNUMBER('Council Entry'!BB$8),ISNUMBER('Council Entry'!BB$9)),MAX(MIN('Council Entry'!BB84,'Council Entry'!BB$9),'Council Entry'!BB$8),'Council Entry'!BB84)),IF('Council Entry'!BB$4="Exponential",EXP(IF(AND(ISNUMBER('Council Entry'!BB$8),ISNUMBER('Council Entry'!BB$9)),MAX(MIN('Council Entry'!BB84,'Council Entry'!BB$9),'Council Entry'!BB$8),'Council Entry'!BB84)),IF(AND(ISNUMBER('Council Entry'!BB$8),ISNUMBER('Council Entry'!BB$9)),MAX(MIN('Council Entry'!BB84,'Council Entry'!BB$9),'Council Entry'!BB$8),'Council Entry'!BB84))))-'Council Entry'!BB$5)/('Council Entry'!BB$6-'Council Entry'!BB$5),10*((IF('Council Entry'!BB$4="Logarithm",LN(0.001+IF(AND(ISNUMBER('Council Entry'!BB$8),ISNUMBER('Council Entry'!BB$9)),MAX(MIN('Council Entry'!BB84,'Council Entry'!BB$9),'Council Entry'!BB$8),'Council Entry'!BB84)),IF('Council Entry'!BB$4="Exponential",EXP(IF(AND(ISNUMBER('Council Entry'!BB$8),ISNUMBER('Council Entry'!BB$9)),MAX(MIN('Council Entry'!BB84,'Council Entry'!BB$9),'Council Entry'!BB$8),'Council Entry'!BB84)),IF(AND(ISNUMBER('Council Entry'!BB$8),ISNUMBER('Council Entry'!BB$9)),MAX(MIN('Council Entry'!BB84,'Council Entry'!BB$9),'Council Entry'!BB$8),'Council Entry'!BB84))))-'Council Entry'!BB$5)/('Council Entry'!BB$6-'Council Entry'!BB$5)),1))),"No data"))</f>
        <v/>
      </c>
      <c r="BC84" s="13">
        <f>IF('Council Entry'!BC84="","",IFERROR(MAX(0,MIN(10,ROUND(IF('Council Entry'!BC$7="Decrease Risk",10-10*((IF('Council Entry'!BC$4="Logarithm",LN(0.001+IF(AND(ISNUMBER('Council Entry'!BC$8),ISNUMBER('Council Entry'!BC$9)),MAX(MIN('Council Entry'!BC84,'Council Entry'!BC$9),'Council Entry'!BC$8),'Council Entry'!BC84)),IF('Council Entry'!BC$4="Exponential",EXP(IF(AND(ISNUMBER('Council Entry'!BC$8),ISNUMBER('Council Entry'!BC$9)),MAX(MIN('Council Entry'!BC84,'Council Entry'!BC$9),'Council Entry'!BC$8),'Council Entry'!BC84)),IF(AND(ISNUMBER('Council Entry'!BC$8),ISNUMBER('Council Entry'!BC$9)),MAX(MIN('Council Entry'!BC84,'Council Entry'!BC$9),'Council Entry'!BC$8),'Council Entry'!BC84))))-'Council Entry'!BC$5)/('Council Entry'!BC$6-'Council Entry'!BC$5),10*((IF('Council Entry'!BC$4="Logarithm",LN(0.001+IF(AND(ISNUMBER('Council Entry'!BC$8),ISNUMBER('Council Entry'!BC$9)),MAX(MIN('Council Entry'!BC84,'Council Entry'!BC$9),'Council Entry'!BC$8),'Council Entry'!BC84)),IF('Council Entry'!BC$4="Exponential",EXP(IF(AND(ISNUMBER('Council Entry'!BC$8),ISNUMBER('Council Entry'!BC$9)),MAX(MIN('Council Entry'!BC84,'Council Entry'!BC$9),'Council Entry'!BC$8),'Council Entry'!BC84)),IF(AND(ISNUMBER('Council Entry'!BC$8),ISNUMBER('Council Entry'!BC$9)),MAX(MIN('Council Entry'!BC84,'Council Entry'!BC$9),'Council Entry'!BC$8),'Council Entry'!BC84))))-'Council Entry'!BC$5)/('Council Entry'!BC$6-'Council Entry'!BC$5)),1))),"No data"))</f>
        <v/>
      </c>
      <c r="BD84" s="13">
        <f>IF('Council Entry'!BD84="","",IFERROR(MAX(0,MIN(10,ROUND(IF('Council Entry'!BD$7="Decrease Risk",10-10*((IF('Council Entry'!BD$4="Logarithm",LN(0.001+IF(AND(ISNUMBER('Council Entry'!BD$8),ISNUMBER('Council Entry'!BD$9)),MAX(MIN('Council Entry'!BD84,'Council Entry'!BD$9),'Council Entry'!BD$8),'Council Entry'!BD84)),IF('Council Entry'!BD$4="Exponential",EXP(IF(AND(ISNUMBER('Council Entry'!BD$8),ISNUMBER('Council Entry'!BD$9)),MAX(MIN('Council Entry'!BD84,'Council Entry'!BD$9),'Council Entry'!BD$8),'Council Entry'!BD84)),IF(AND(ISNUMBER('Council Entry'!BD$8),ISNUMBER('Council Entry'!BD$9)),MAX(MIN('Council Entry'!BD84,'Council Entry'!BD$9),'Council Entry'!BD$8),'Council Entry'!BD84))))-'Council Entry'!BD$5)/('Council Entry'!BD$6-'Council Entry'!BD$5),10*((IF('Council Entry'!BD$4="Logarithm",LN(0.001+IF(AND(ISNUMBER('Council Entry'!BD$8),ISNUMBER('Council Entry'!BD$9)),MAX(MIN('Council Entry'!BD84,'Council Entry'!BD$9),'Council Entry'!BD$8),'Council Entry'!BD84)),IF('Council Entry'!BD$4="Exponential",EXP(IF(AND(ISNUMBER('Council Entry'!BD$8),ISNUMBER('Council Entry'!BD$9)),MAX(MIN('Council Entry'!BD84,'Council Entry'!BD$9),'Council Entry'!BD$8),'Council Entry'!BD84)),IF(AND(ISNUMBER('Council Entry'!BD$8),ISNUMBER('Council Entry'!BD$9)),MAX(MIN('Council Entry'!BD84,'Council Entry'!BD$9),'Council Entry'!BD$8),'Council Entry'!BD84))))-'Council Entry'!BD$5)/('Council Entry'!BD$6-'Council Entry'!BD$5)),1))),"No data"))</f>
        <v/>
      </c>
    </row>
    <row r="85">
      <c r="A85" t="inlineStr">
        <is>
          <t>Manyara</t>
        </is>
      </c>
      <c r="B85" t="inlineStr">
        <is>
          <t>Babati Town</t>
        </is>
      </c>
      <c r="C85" t="inlineStr">
        <is>
          <t>C151</t>
        </is>
      </c>
      <c r="D85" s="13">
        <f>IF('Council Entry'!D85="","",IFERROR(MAX(0,MIN(10,ROUND(IF('Council Entry'!D$7="Decrease Risk",10-10*((IF('Council Entry'!D$4="Logarithm",LN(0.001+IF(AND(ISNUMBER('Council Entry'!D$8),ISNUMBER('Council Entry'!D$9)),MAX(MIN('Council Entry'!D85,'Council Entry'!D$9),'Council Entry'!D$8),'Council Entry'!D85)),IF('Council Entry'!D$4="Exponential",EXP(IF(AND(ISNUMBER('Council Entry'!D$8),ISNUMBER('Council Entry'!D$9)),MAX(MIN('Council Entry'!D85,'Council Entry'!D$9),'Council Entry'!D$8),'Council Entry'!D85)),IF(AND(ISNUMBER('Council Entry'!D$8),ISNUMBER('Council Entry'!D$9)),MAX(MIN('Council Entry'!D85,'Council Entry'!D$9),'Council Entry'!D$8),'Council Entry'!D85))))-'Council Entry'!D$5)/('Council Entry'!D$6-'Council Entry'!D$5),10*((IF('Council Entry'!D$4="Logarithm",LN(0.001+IF(AND(ISNUMBER('Council Entry'!D$8),ISNUMBER('Council Entry'!D$9)),MAX(MIN('Council Entry'!D85,'Council Entry'!D$9),'Council Entry'!D$8),'Council Entry'!D85)),IF('Council Entry'!D$4="Exponential",EXP(IF(AND(ISNUMBER('Council Entry'!D$8),ISNUMBER('Council Entry'!D$9)),MAX(MIN('Council Entry'!D85,'Council Entry'!D$9),'Council Entry'!D$8),'Council Entry'!D85)),IF(AND(ISNUMBER('Council Entry'!D$8),ISNUMBER('Council Entry'!D$9)),MAX(MIN('Council Entry'!D85,'Council Entry'!D$9),'Council Entry'!D$8),'Council Entry'!D85))))-'Council Entry'!D$5)/('Council Entry'!D$6-'Council Entry'!D$5)),1))),"No data"))</f>
        <v/>
      </c>
      <c r="E85" s="13">
        <f>IF('Council Entry'!E85="","",IFERROR(MAX(0,MIN(10,ROUND(IF('Council Entry'!E$7="Decrease Risk",10-10*((IF('Council Entry'!E$4="Logarithm",LN(0.001+IF(AND(ISNUMBER('Council Entry'!E$8),ISNUMBER('Council Entry'!E$9)),MAX(MIN('Council Entry'!E85,'Council Entry'!E$9),'Council Entry'!E$8),'Council Entry'!E85)),IF('Council Entry'!E$4="Exponential",EXP(IF(AND(ISNUMBER('Council Entry'!E$8),ISNUMBER('Council Entry'!E$9)),MAX(MIN('Council Entry'!E85,'Council Entry'!E$9),'Council Entry'!E$8),'Council Entry'!E85)),IF(AND(ISNUMBER('Council Entry'!E$8),ISNUMBER('Council Entry'!E$9)),MAX(MIN('Council Entry'!E85,'Council Entry'!E$9),'Council Entry'!E$8),'Council Entry'!E85))))-'Council Entry'!E$5)/('Council Entry'!E$6-'Council Entry'!E$5),10*((IF('Council Entry'!E$4="Logarithm",LN(0.001+IF(AND(ISNUMBER('Council Entry'!E$8),ISNUMBER('Council Entry'!E$9)),MAX(MIN('Council Entry'!E85,'Council Entry'!E$9),'Council Entry'!E$8),'Council Entry'!E85)),IF('Council Entry'!E$4="Exponential",EXP(IF(AND(ISNUMBER('Council Entry'!E$8),ISNUMBER('Council Entry'!E$9)),MAX(MIN('Council Entry'!E85,'Council Entry'!E$9),'Council Entry'!E$8),'Council Entry'!E85)),IF(AND(ISNUMBER('Council Entry'!E$8),ISNUMBER('Council Entry'!E$9)),MAX(MIN('Council Entry'!E85,'Council Entry'!E$9),'Council Entry'!E$8),'Council Entry'!E85))))-'Council Entry'!E$5)/('Council Entry'!E$6-'Council Entry'!E$5)),1))),"No data"))</f>
        <v/>
      </c>
      <c r="F85" s="13">
        <f>IF('Council Entry'!F85="","",IFERROR(MAX(0,MIN(10,ROUND(IF('Council Entry'!F$7="Decrease Risk",10-10*((IF('Council Entry'!F$4="Logarithm",LN(0.001+IF(AND(ISNUMBER('Council Entry'!F$8),ISNUMBER('Council Entry'!F$9)),MAX(MIN('Council Entry'!F85,'Council Entry'!F$9),'Council Entry'!F$8),'Council Entry'!F85)),IF('Council Entry'!F$4="Exponential",EXP(IF(AND(ISNUMBER('Council Entry'!F$8),ISNUMBER('Council Entry'!F$9)),MAX(MIN('Council Entry'!F85,'Council Entry'!F$9),'Council Entry'!F$8),'Council Entry'!F85)),IF(AND(ISNUMBER('Council Entry'!F$8),ISNUMBER('Council Entry'!F$9)),MAX(MIN('Council Entry'!F85,'Council Entry'!F$9),'Council Entry'!F$8),'Council Entry'!F85))))-'Council Entry'!F$5)/('Council Entry'!F$6-'Council Entry'!F$5),10*((IF('Council Entry'!F$4="Logarithm",LN(0.001+IF(AND(ISNUMBER('Council Entry'!F$8),ISNUMBER('Council Entry'!F$9)),MAX(MIN('Council Entry'!F85,'Council Entry'!F$9),'Council Entry'!F$8),'Council Entry'!F85)),IF('Council Entry'!F$4="Exponential",EXP(IF(AND(ISNUMBER('Council Entry'!F$8),ISNUMBER('Council Entry'!F$9)),MAX(MIN('Council Entry'!F85,'Council Entry'!F$9),'Council Entry'!F$8),'Council Entry'!F85)),IF(AND(ISNUMBER('Council Entry'!F$8),ISNUMBER('Council Entry'!F$9)),MAX(MIN('Council Entry'!F85,'Council Entry'!F$9),'Council Entry'!F$8),'Council Entry'!F85))))-'Council Entry'!F$5)/('Council Entry'!F$6-'Council Entry'!F$5)),1))),"No data"))</f>
        <v/>
      </c>
      <c r="G85" s="13">
        <f>IF('Council Entry'!G85="","",IFERROR(MAX(0,MIN(10,ROUND(IF('Council Entry'!G$7="Decrease Risk",10-10*((IF('Council Entry'!G$4="Logarithm",LN(0.001+IF(AND(ISNUMBER('Council Entry'!G$8),ISNUMBER('Council Entry'!G$9)),MAX(MIN('Council Entry'!G85,'Council Entry'!G$9),'Council Entry'!G$8),'Council Entry'!G85)),IF('Council Entry'!G$4="Exponential",EXP(IF(AND(ISNUMBER('Council Entry'!G$8),ISNUMBER('Council Entry'!G$9)),MAX(MIN('Council Entry'!G85,'Council Entry'!G$9),'Council Entry'!G$8),'Council Entry'!G85)),IF(AND(ISNUMBER('Council Entry'!G$8),ISNUMBER('Council Entry'!G$9)),MAX(MIN('Council Entry'!G85,'Council Entry'!G$9),'Council Entry'!G$8),'Council Entry'!G85))))-'Council Entry'!G$5)/('Council Entry'!G$6-'Council Entry'!G$5),10*((IF('Council Entry'!G$4="Logarithm",LN(0.001+IF(AND(ISNUMBER('Council Entry'!G$8),ISNUMBER('Council Entry'!G$9)),MAX(MIN('Council Entry'!G85,'Council Entry'!G$9),'Council Entry'!G$8),'Council Entry'!G85)),IF('Council Entry'!G$4="Exponential",EXP(IF(AND(ISNUMBER('Council Entry'!G$8),ISNUMBER('Council Entry'!G$9)),MAX(MIN('Council Entry'!G85,'Council Entry'!G$9),'Council Entry'!G$8),'Council Entry'!G85)),IF(AND(ISNUMBER('Council Entry'!G$8),ISNUMBER('Council Entry'!G$9)),MAX(MIN('Council Entry'!G85,'Council Entry'!G$9),'Council Entry'!G$8),'Council Entry'!G85))))-'Council Entry'!G$5)/('Council Entry'!G$6-'Council Entry'!G$5)),1))),"No data"))</f>
        <v/>
      </c>
      <c r="H85" s="13">
        <f>IF('Council Entry'!H85="","",IFERROR(MAX(0,MIN(10,ROUND(IF('Council Entry'!H$7="Decrease Risk",10-10*((IF('Council Entry'!H$4="Logarithm",LN(0.001+IF(AND(ISNUMBER('Council Entry'!H$8),ISNUMBER('Council Entry'!H$9)),MAX(MIN('Council Entry'!H85,'Council Entry'!H$9),'Council Entry'!H$8),'Council Entry'!H85)),IF('Council Entry'!H$4="Exponential",EXP(IF(AND(ISNUMBER('Council Entry'!H$8),ISNUMBER('Council Entry'!H$9)),MAX(MIN('Council Entry'!H85,'Council Entry'!H$9),'Council Entry'!H$8),'Council Entry'!H85)),IF(AND(ISNUMBER('Council Entry'!H$8),ISNUMBER('Council Entry'!H$9)),MAX(MIN('Council Entry'!H85,'Council Entry'!H$9),'Council Entry'!H$8),'Council Entry'!H85))))-'Council Entry'!H$5)/('Council Entry'!H$6-'Council Entry'!H$5),10*((IF('Council Entry'!H$4="Logarithm",LN(0.001+IF(AND(ISNUMBER('Council Entry'!H$8),ISNUMBER('Council Entry'!H$9)),MAX(MIN('Council Entry'!H85,'Council Entry'!H$9),'Council Entry'!H$8),'Council Entry'!H85)),IF('Council Entry'!H$4="Exponential",EXP(IF(AND(ISNUMBER('Council Entry'!H$8),ISNUMBER('Council Entry'!H$9)),MAX(MIN('Council Entry'!H85,'Council Entry'!H$9),'Council Entry'!H$8),'Council Entry'!H85)),IF(AND(ISNUMBER('Council Entry'!H$8),ISNUMBER('Council Entry'!H$9)),MAX(MIN('Council Entry'!H85,'Council Entry'!H$9),'Council Entry'!H$8),'Council Entry'!H85))))-'Council Entry'!H$5)/('Council Entry'!H$6-'Council Entry'!H$5)),1))),"No data"))</f>
        <v/>
      </c>
      <c r="I85" s="13">
        <f>IF('Council Entry'!I85="","",IFERROR(MAX(0,MIN(10,ROUND(IF('Council Entry'!I$7="Decrease Risk",10-10*((IF('Council Entry'!I$4="Logarithm",LN(0.001+IF(AND(ISNUMBER('Council Entry'!I$8),ISNUMBER('Council Entry'!I$9)),MAX(MIN('Council Entry'!I85,'Council Entry'!I$9),'Council Entry'!I$8),'Council Entry'!I85)),IF('Council Entry'!I$4="Exponential",EXP(IF(AND(ISNUMBER('Council Entry'!I$8),ISNUMBER('Council Entry'!I$9)),MAX(MIN('Council Entry'!I85,'Council Entry'!I$9),'Council Entry'!I$8),'Council Entry'!I85)),IF(AND(ISNUMBER('Council Entry'!I$8),ISNUMBER('Council Entry'!I$9)),MAX(MIN('Council Entry'!I85,'Council Entry'!I$9),'Council Entry'!I$8),'Council Entry'!I85))))-'Council Entry'!I$5)/('Council Entry'!I$6-'Council Entry'!I$5),10*((IF('Council Entry'!I$4="Logarithm",LN(0.001+IF(AND(ISNUMBER('Council Entry'!I$8),ISNUMBER('Council Entry'!I$9)),MAX(MIN('Council Entry'!I85,'Council Entry'!I$9),'Council Entry'!I$8),'Council Entry'!I85)),IF('Council Entry'!I$4="Exponential",EXP(IF(AND(ISNUMBER('Council Entry'!I$8),ISNUMBER('Council Entry'!I$9)),MAX(MIN('Council Entry'!I85,'Council Entry'!I$9),'Council Entry'!I$8),'Council Entry'!I85)),IF(AND(ISNUMBER('Council Entry'!I$8),ISNUMBER('Council Entry'!I$9)),MAX(MIN('Council Entry'!I85,'Council Entry'!I$9),'Council Entry'!I$8),'Council Entry'!I85))))-'Council Entry'!I$5)/('Council Entry'!I$6-'Council Entry'!I$5)),1))),"No data"))</f>
        <v/>
      </c>
      <c r="J85" s="13">
        <f>IF('Council Entry'!J85="","",IFERROR(MAX(0,MIN(10,ROUND(IF('Council Entry'!J$7="Decrease Risk",10-10*((IF('Council Entry'!J$4="Logarithm",LN(0.001+IF(AND(ISNUMBER('Council Entry'!J$8),ISNUMBER('Council Entry'!J$9)),MAX(MIN('Council Entry'!J85,'Council Entry'!J$9),'Council Entry'!J$8),'Council Entry'!J85)),IF('Council Entry'!J$4="Exponential",EXP(IF(AND(ISNUMBER('Council Entry'!J$8),ISNUMBER('Council Entry'!J$9)),MAX(MIN('Council Entry'!J85,'Council Entry'!J$9),'Council Entry'!J$8),'Council Entry'!J85)),IF(AND(ISNUMBER('Council Entry'!J$8),ISNUMBER('Council Entry'!J$9)),MAX(MIN('Council Entry'!J85,'Council Entry'!J$9),'Council Entry'!J$8),'Council Entry'!J85))))-'Council Entry'!J$5)/('Council Entry'!J$6-'Council Entry'!J$5),10*((IF('Council Entry'!J$4="Logarithm",LN(0.001+IF(AND(ISNUMBER('Council Entry'!J$8),ISNUMBER('Council Entry'!J$9)),MAX(MIN('Council Entry'!J85,'Council Entry'!J$9),'Council Entry'!J$8),'Council Entry'!J85)),IF('Council Entry'!J$4="Exponential",EXP(IF(AND(ISNUMBER('Council Entry'!J$8),ISNUMBER('Council Entry'!J$9)),MAX(MIN('Council Entry'!J85,'Council Entry'!J$9),'Council Entry'!J$8),'Council Entry'!J85)),IF(AND(ISNUMBER('Council Entry'!J$8),ISNUMBER('Council Entry'!J$9)),MAX(MIN('Council Entry'!J85,'Council Entry'!J$9),'Council Entry'!J$8),'Council Entry'!J85))))-'Council Entry'!J$5)/('Council Entry'!J$6-'Council Entry'!J$5)),1))),"No data"))</f>
        <v/>
      </c>
      <c r="K85" s="13">
        <f>IF('Council Entry'!K85="","",IFERROR(MAX(0,MIN(10,ROUND(IF('Council Entry'!K$7="Decrease Risk",10-10*((IF('Council Entry'!K$4="Logarithm",LN(0.001+IF(AND(ISNUMBER('Council Entry'!K$8),ISNUMBER('Council Entry'!K$9)),MAX(MIN('Council Entry'!K85,'Council Entry'!K$9),'Council Entry'!K$8),'Council Entry'!K85)),IF('Council Entry'!K$4="Exponential",EXP(IF(AND(ISNUMBER('Council Entry'!K$8),ISNUMBER('Council Entry'!K$9)),MAX(MIN('Council Entry'!K85,'Council Entry'!K$9),'Council Entry'!K$8),'Council Entry'!K85)),IF(AND(ISNUMBER('Council Entry'!K$8),ISNUMBER('Council Entry'!K$9)),MAX(MIN('Council Entry'!K85,'Council Entry'!K$9),'Council Entry'!K$8),'Council Entry'!K85))))-'Council Entry'!K$5)/('Council Entry'!K$6-'Council Entry'!K$5),10*((IF('Council Entry'!K$4="Logarithm",LN(0.001+IF(AND(ISNUMBER('Council Entry'!K$8),ISNUMBER('Council Entry'!K$9)),MAX(MIN('Council Entry'!K85,'Council Entry'!K$9),'Council Entry'!K$8),'Council Entry'!K85)),IF('Council Entry'!K$4="Exponential",EXP(IF(AND(ISNUMBER('Council Entry'!K$8),ISNUMBER('Council Entry'!K$9)),MAX(MIN('Council Entry'!K85,'Council Entry'!K$9),'Council Entry'!K$8),'Council Entry'!K85)),IF(AND(ISNUMBER('Council Entry'!K$8),ISNUMBER('Council Entry'!K$9)),MAX(MIN('Council Entry'!K85,'Council Entry'!K$9),'Council Entry'!K$8),'Council Entry'!K85))))-'Council Entry'!K$5)/('Council Entry'!K$6-'Council Entry'!K$5)),1))),"No data"))</f>
        <v/>
      </c>
      <c r="L85" s="13">
        <f>IF('Council Entry'!L85="","",IFERROR(MAX(0,MIN(10,ROUND(IF('Council Entry'!L$7="Decrease Risk",10-10*((IF('Council Entry'!L$4="Logarithm",LN(0.001+IF(AND(ISNUMBER('Council Entry'!L$8),ISNUMBER('Council Entry'!L$9)),MAX(MIN('Council Entry'!L85,'Council Entry'!L$9),'Council Entry'!L$8),'Council Entry'!L85)),IF('Council Entry'!L$4="Exponential",EXP(IF(AND(ISNUMBER('Council Entry'!L$8),ISNUMBER('Council Entry'!L$9)),MAX(MIN('Council Entry'!L85,'Council Entry'!L$9),'Council Entry'!L$8),'Council Entry'!L85)),IF(AND(ISNUMBER('Council Entry'!L$8),ISNUMBER('Council Entry'!L$9)),MAX(MIN('Council Entry'!L85,'Council Entry'!L$9),'Council Entry'!L$8),'Council Entry'!L85))))-'Council Entry'!L$5)/('Council Entry'!L$6-'Council Entry'!L$5),10*((IF('Council Entry'!L$4="Logarithm",LN(0.001+IF(AND(ISNUMBER('Council Entry'!L$8),ISNUMBER('Council Entry'!L$9)),MAX(MIN('Council Entry'!L85,'Council Entry'!L$9),'Council Entry'!L$8),'Council Entry'!L85)),IF('Council Entry'!L$4="Exponential",EXP(IF(AND(ISNUMBER('Council Entry'!L$8),ISNUMBER('Council Entry'!L$9)),MAX(MIN('Council Entry'!L85,'Council Entry'!L$9),'Council Entry'!L$8),'Council Entry'!L85)),IF(AND(ISNUMBER('Council Entry'!L$8),ISNUMBER('Council Entry'!L$9)),MAX(MIN('Council Entry'!L85,'Council Entry'!L$9),'Council Entry'!L$8),'Council Entry'!L85))))-'Council Entry'!L$5)/('Council Entry'!L$6-'Council Entry'!L$5)),1))),"No data"))</f>
        <v/>
      </c>
      <c r="M85" s="13">
        <f>IF('Council Entry'!M85="","",IFERROR(MAX(0,MIN(10,ROUND(IF('Council Entry'!M$7="Decrease Risk",10-10*((IF('Council Entry'!M$4="Logarithm",LN(0.001+IF(AND(ISNUMBER('Council Entry'!M$8),ISNUMBER('Council Entry'!M$9)),MAX(MIN('Council Entry'!M85,'Council Entry'!M$9),'Council Entry'!M$8),'Council Entry'!M85)),IF('Council Entry'!M$4="Exponential",EXP(IF(AND(ISNUMBER('Council Entry'!M$8),ISNUMBER('Council Entry'!M$9)),MAX(MIN('Council Entry'!M85,'Council Entry'!M$9),'Council Entry'!M$8),'Council Entry'!M85)),IF(AND(ISNUMBER('Council Entry'!M$8),ISNUMBER('Council Entry'!M$9)),MAX(MIN('Council Entry'!M85,'Council Entry'!M$9),'Council Entry'!M$8),'Council Entry'!M85))))-'Council Entry'!M$5)/('Council Entry'!M$6-'Council Entry'!M$5),10*((IF('Council Entry'!M$4="Logarithm",LN(0.001+IF(AND(ISNUMBER('Council Entry'!M$8),ISNUMBER('Council Entry'!M$9)),MAX(MIN('Council Entry'!M85,'Council Entry'!M$9),'Council Entry'!M$8),'Council Entry'!M85)),IF('Council Entry'!M$4="Exponential",EXP(IF(AND(ISNUMBER('Council Entry'!M$8),ISNUMBER('Council Entry'!M$9)),MAX(MIN('Council Entry'!M85,'Council Entry'!M$9),'Council Entry'!M$8),'Council Entry'!M85)),IF(AND(ISNUMBER('Council Entry'!M$8),ISNUMBER('Council Entry'!M$9)),MAX(MIN('Council Entry'!M85,'Council Entry'!M$9),'Council Entry'!M$8),'Council Entry'!M85))))-'Council Entry'!M$5)/('Council Entry'!M$6-'Council Entry'!M$5)),1))),"No data"))</f>
        <v/>
      </c>
      <c r="N85" s="13">
        <f>IF('Council Entry'!N85="","",IFERROR(MAX(0,MIN(10,ROUND(IF('Council Entry'!N$7="Decrease Risk",10-10*((IF('Council Entry'!N$4="Logarithm",LN(0.001+IF(AND(ISNUMBER('Council Entry'!N$8),ISNUMBER('Council Entry'!N$9)),MAX(MIN('Council Entry'!N85,'Council Entry'!N$9),'Council Entry'!N$8),'Council Entry'!N85)),IF('Council Entry'!N$4="Exponential",EXP(IF(AND(ISNUMBER('Council Entry'!N$8),ISNUMBER('Council Entry'!N$9)),MAX(MIN('Council Entry'!N85,'Council Entry'!N$9),'Council Entry'!N$8),'Council Entry'!N85)),IF(AND(ISNUMBER('Council Entry'!N$8),ISNUMBER('Council Entry'!N$9)),MAX(MIN('Council Entry'!N85,'Council Entry'!N$9),'Council Entry'!N$8),'Council Entry'!N85))))-'Council Entry'!N$5)/('Council Entry'!N$6-'Council Entry'!N$5),10*((IF('Council Entry'!N$4="Logarithm",LN(0.001+IF(AND(ISNUMBER('Council Entry'!N$8),ISNUMBER('Council Entry'!N$9)),MAX(MIN('Council Entry'!N85,'Council Entry'!N$9),'Council Entry'!N$8),'Council Entry'!N85)),IF('Council Entry'!N$4="Exponential",EXP(IF(AND(ISNUMBER('Council Entry'!N$8),ISNUMBER('Council Entry'!N$9)),MAX(MIN('Council Entry'!N85,'Council Entry'!N$9),'Council Entry'!N$8),'Council Entry'!N85)),IF(AND(ISNUMBER('Council Entry'!N$8),ISNUMBER('Council Entry'!N$9)),MAX(MIN('Council Entry'!N85,'Council Entry'!N$9),'Council Entry'!N$8),'Council Entry'!N85))))-'Council Entry'!N$5)/('Council Entry'!N$6-'Council Entry'!N$5)),1))),"No data"))</f>
        <v/>
      </c>
      <c r="O85" s="13">
        <f>IF('Council Entry'!O85="","",IFERROR(MAX(0,MIN(10,ROUND(IF('Council Entry'!O$7="Decrease Risk",10-10*((IF('Council Entry'!O$4="Logarithm",LN(0.001+IF(AND(ISNUMBER('Council Entry'!O$8),ISNUMBER('Council Entry'!O$9)),MAX(MIN('Council Entry'!O85,'Council Entry'!O$9),'Council Entry'!O$8),'Council Entry'!O85)),IF('Council Entry'!O$4="Exponential",EXP(IF(AND(ISNUMBER('Council Entry'!O$8),ISNUMBER('Council Entry'!O$9)),MAX(MIN('Council Entry'!O85,'Council Entry'!O$9),'Council Entry'!O$8),'Council Entry'!O85)),IF(AND(ISNUMBER('Council Entry'!O$8),ISNUMBER('Council Entry'!O$9)),MAX(MIN('Council Entry'!O85,'Council Entry'!O$9),'Council Entry'!O$8),'Council Entry'!O85))))-'Council Entry'!O$5)/('Council Entry'!O$6-'Council Entry'!O$5),10*((IF('Council Entry'!O$4="Logarithm",LN(0.001+IF(AND(ISNUMBER('Council Entry'!O$8),ISNUMBER('Council Entry'!O$9)),MAX(MIN('Council Entry'!O85,'Council Entry'!O$9),'Council Entry'!O$8),'Council Entry'!O85)),IF('Council Entry'!O$4="Exponential",EXP(IF(AND(ISNUMBER('Council Entry'!O$8),ISNUMBER('Council Entry'!O$9)),MAX(MIN('Council Entry'!O85,'Council Entry'!O$9),'Council Entry'!O$8),'Council Entry'!O85)),IF(AND(ISNUMBER('Council Entry'!O$8),ISNUMBER('Council Entry'!O$9)),MAX(MIN('Council Entry'!O85,'Council Entry'!O$9),'Council Entry'!O$8),'Council Entry'!O85))))-'Council Entry'!O$5)/('Council Entry'!O$6-'Council Entry'!O$5)),1))),"No data"))</f>
        <v/>
      </c>
      <c r="P85" s="13">
        <f>IF('Council Entry'!P85="","",IFERROR(MAX(0,MIN(10,ROUND(IF('Council Entry'!P$7="Decrease Risk",10-10*((IF('Council Entry'!P$4="Logarithm",LN(0.001+IF(AND(ISNUMBER('Council Entry'!P$8),ISNUMBER('Council Entry'!P$9)),MAX(MIN('Council Entry'!P85,'Council Entry'!P$9),'Council Entry'!P$8),'Council Entry'!P85)),IF('Council Entry'!P$4="Exponential",EXP(IF(AND(ISNUMBER('Council Entry'!P$8),ISNUMBER('Council Entry'!P$9)),MAX(MIN('Council Entry'!P85,'Council Entry'!P$9),'Council Entry'!P$8),'Council Entry'!P85)),IF(AND(ISNUMBER('Council Entry'!P$8),ISNUMBER('Council Entry'!P$9)),MAX(MIN('Council Entry'!P85,'Council Entry'!P$9),'Council Entry'!P$8),'Council Entry'!P85))))-'Council Entry'!P$5)/('Council Entry'!P$6-'Council Entry'!P$5),10*((IF('Council Entry'!P$4="Logarithm",LN(0.001+IF(AND(ISNUMBER('Council Entry'!P$8),ISNUMBER('Council Entry'!P$9)),MAX(MIN('Council Entry'!P85,'Council Entry'!P$9),'Council Entry'!P$8),'Council Entry'!P85)),IF('Council Entry'!P$4="Exponential",EXP(IF(AND(ISNUMBER('Council Entry'!P$8),ISNUMBER('Council Entry'!P$9)),MAX(MIN('Council Entry'!P85,'Council Entry'!P$9),'Council Entry'!P$8),'Council Entry'!P85)),IF(AND(ISNUMBER('Council Entry'!P$8),ISNUMBER('Council Entry'!P$9)),MAX(MIN('Council Entry'!P85,'Council Entry'!P$9),'Council Entry'!P$8),'Council Entry'!P85))))-'Council Entry'!P$5)/('Council Entry'!P$6-'Council Entry'!P$5)),1))),"No data"))</f>
        <v/>
      </c>
      <c r="Q85" s="13">
        <f>IF('Council Entry'!Q85="","",IFERROR(MAX(0,MIN(10,ROUND(IF('Council Entry'!Q$7="Decrease Risk",10-10*((IF('Council Entry'!Q$4="Logarithm",LN(0.001+IF(AND(ISNUMBER('Council Entry'!Q$8),ISNUMBER('Council Entry'!Q$9)),MAX(MIN('Council Entry'!Q85,'Council Entry'!Q$9),'Council Entry'!Q$8),'Council Entry'!Q85)),IF('Council Entry'!Q$4="Exponential",EXP(IF(AND(ISNUMBER('Council Entry'!Q$8),ISNUMBER('Council Entry'!Q$9)),MAX(MIN('Council Entry'!Q85,'Council Entry'!Q$9),'Council Entry'!Q$8),'Council Entry'!Q85)),IF(AND(ISNUMBER('Council Entry'!Q$8),ISNUMBER('Council Entry'!Q$9)),MAX(MIN('Council Entry'!Q85,'Council Entry'!Q$9),'Council Entry'!Q$8),'Council Entry'!Q85))))-'Council Entry'!Q$5)/('Council Entry'!Q$6-'Council Entry'!Q$5),10*((IF('Council Entry'!Q$4="Logarithm",LN(0.001+IF(AND(ISNUMBER('Council Entry'!Q$8),ISNUMBER('Council Entry'!Q$9)),MAX(MIN('Council Entry'!Q85,'Council Entry'!Q$9),'Council Entry'!Q$8),'Council Entry'!Q85)),IF('Council Entry'!Q$4="Exponential",EXP(IF(AND(ISNUMBER('Council Entry'!Q$8),ISNUMBER('Council Entry'!Q$9)),MAX(MIN('Council Entry'!Q85,'Council Entry'!Q$9),'Council Entry'!Q$8),'Council Entry'!Q85)),IF(AND(ISNUMBER('Council Entry'!Q$8),ISNUMBER('Council Entry'!Q$9)),MAX(MIN('Council Entry'!Q85,'Council Entry'!Q$9),'Council Entry'!Q$8),'Council Entry'!Q85))))-'Council Entry'!Q$5)/('Council Entry'!Q$6-'Council Entry'!Q$5)),1))),"No data"))</f>
        <v/>
      </c>
      <c r="R85" s="13">
        <f>IF('Council Entry'!R85="","",IFERROR(MAX(0,MIN(10,ROUND(IF('Council Entry'!R$7="Decrease Risk",10-10*((IF('Council Entry'!R$4="Logarithm",LN(0.001+IF(AND(ISNUMBER('Council Entry'!R$8),ISNUMBER('Council Entry'!R$9)),MAX(MIN('Council Entry'!R85,'Council Entry'!R$9),'Council Entry'!R$8),'Council Entry'!R85)),IF('Council Entry'!R$4="Exponential",EXP(IF(AND(ISNUMBER('Council Entry'!R$8),ISNUMBER('Council Entry'!R$9)),MAX(MIN('Council Entry'!R85,'Council Entry'!R$9),'Council Entry'!R$8),'Council Entry'!R85)),IF(AND(ISNUMBER('Council Entry'!R$8),ISNUMBER('Council Entry'!R$9)),MAX(MIN('Council Entry'!R85,'Council Entry'!R$9),'Council Entry'!R$8),'Council Entry'!R85))))-'Council Entry'!R$5)/('Council Entry'!R$6-'Council Entry'!R$5),10*((IF('Council Entry'!R$4="Logarithm",LN(0.001+IF(AND(ISNUMBER('Council Entry'!R$8),ISNUMBER('Council Entry'!R$9)),MAX(MIN('Council Entry'!R85,'Council Entry'!R$9),'Council Entry'!R$8),'Council Entry'!R85)),IF('Council Entry'!R$4="Exponential",EXP(IF(AND(ISNUMBER('Council Entry'!R$8),ISNUMBER('Council Entry'!R$9)),MAX(MIN('Council Entry'!R85,'Council Entry'!R$9),'Council Entry'!R$8),'Council Entry'!R85)),IF(AND(ISNUMBER('Council Entry'!R$8),ISNUMBER('Council Entry'!R$9)),MAX(MIN('Council Entry'!R85,'Council Entry'!R$9),'Council Entry'!R$8),'Council Entry'!R85))))-'Council Entry'!R$5)/('Council Entry'!R$6-'Council Entry'!R$5)),1))),"No data"))</f>
        <v/>
      </c>
      <c r="S85" s="13">
        <f>IF('Council Entry'!S85="","",IFERROR(MAX(0,MIN(10,ROUND(IF('Council Entry'!S$7="Decrease Risk",10-10*((IF('Council Entry'!S$4="Logarithm",LN(0.001+IF(AND(ISNUMBER('Council Entry'!S$8),ISNUMBER('Council Entry'!S$9)),MAX(MIN('Council Entry'!S85,'Council Entry'!S$9),'Council Entry'!S$8),'Council Entry'!S85)),IF('Council Entry'!S$4="Exponential",EXP(IF(AND(ISNUMBER('Council Entry'!S$8),ISNUMBER('Council Entry'!S$9)),MAX(MIN('Council Entry'!S85,'Council Entry'!S$9),'Council Entry'!S$8),'Council Entry'!S85)),IF(AND(ISNUMBER('Council Entry'!S$8),ISNUMBER('Council Entry'!S$9)),MAX(MIN('Council Entry'!S85,'Council Entry'!S$9),'Council Entry'!S$8),'Council Entry'!S85))))-'Council Entry'!S$5)/('Council Entry'!S$6-'Council Entry'!S$5),10*((IF('Council Entry'!S$4="Logarithm",LN(0.001+IF(AND(ISNUMBER('Council Entry'!S$8),ISNUMBER('Council Entry'!S$9)),MAX(MIN('Council Entry'!S85,'Council Entry'!S$9),'Council Entry'!S$8),'Council Entry'!S85)),IF('Council Entry'!S$4="Exponential",EXP(IF(AND(ISNUMBER('Council Entry'!S$8),ISNUMBER('Council Entry'!S$9)),MAX(MIN('Council Entry'!S85,'Council Entry'!S$9),'Council Entry'!S$8),'Council Entry'!S85)),IF(AND(ISNUMBER('Council Entry'!S$8),ISNUMBER('Council Entry'!S$9)),MAX(MIN('Council Entry'!S85,'Council Entry'!S$9),'Council Entry'!S$8),'Council Entry'!S85))))-'Council Entry'!S$5)/('Council Entry'!S$6-'Council Entry'!S$5)),1))),"No data"))</f>
        <v/>
      </c>
      <c r="T85" s="13">
        <f>IF('Council Entry'!T85="","",IFERROR(MAX(0,MIN(10,ROUND(IF('Council Entry'!T$7="Decrease Risk",10-10*((IF('Council Entry'!T$4="Logarithm",LN(0.001+IF(AND(ISNUMBER('Council Entry'!T$8),ISNUMBER('Council Entry'!T$9)),MAX(MIN('Council Entry'!T85,'Council Entry'!T$9),'Council Entry'!T$8),'Council Entry'!T85)),IF('Council Entry'!T$4="Exponential",EXP(IF(AND(ISNUMBER('Council Entry'!T$8),ISNUMBER('Council Entry'!T$9)),MAX(MIN('Council Entry'!T85,'Council Entry'!T$9),'Council Entry'!T$8),'Council Entry'!T85)),IF(AND(ISNUMBER('Council Entry'!T$8),ISNUMBER('Council Entry'!T$9)),MAX(MIN('Council Entry'!T85,'Council Entry'!T$9),'Council Entry'!T$8),'Council Entry'!T85))))-'Council Entry'!T$5)/('Council Entry'!T$6-'Council Entry'!T$5),10*((IF('Council Entry'!T$4="Logarithm",LN(0.001+IF(AND(ISNUMBER('Council Entry'!T$8),ISNUMBER('Council Entry'!T$9)),MAX(MIN('Council Entry'!T85,'Council Entry'!T$9),'Council Entry'!T$8),'Council Entry'!T85)),IF('Council Entry'!T$4="Exponential",EXP(IF(AND(ISNUMBER('Council Entry'!T$8),ISNUMBER('Council Entry'!T$9)),MAX(MIN('Council Entry'!T85,'Council Entry'!T$9),'Council Entry'!T$8),'Council Entry'!T85)),IF(AND(ISNUMBER('Council Entry'!T$8),ISNUMBER('Council Entry'!T$9)),MAX(MIN('Council Entry'!T85,'Council Entry'!T$9),'Council Entry'!T$8),'Council Entry'!T85))))-'Council Entry'!T$5)/('Council Entry'!T$6-'Council Entry'!T$5)),1))),"No data"))</f>
        <v/>
      </c>
      <c r="U85" s="13">
        <f>IF('Council Entry'!U85="","",IFERROR(MAX(0,MIN(10,ROUND(IF('Council Entry'!U$7="Decrease Risk",10-10*((IF('Council Entry'!U$4="Logarithm",LN(0.001+IF(AND(ISNUMBER('Council Entry'!U$8),ISNUMBER('Council Entry'!U$9)),MAX(MIN('Council Entry'!U85,'Council Entry'!U$9),'Council Entry'!U$8),'Council Entry'!U85)),IF('Council Entry'!U$4="Exponential",EXP(IF(AND(ISNUMBER('Council Entry'!U$8),ISNUMBER('Council Entry'!U$9)),MAX(MIN('Council Entry'!U85,'Council Entry'!U$9),'Council Entry'!U$8),'Council Entry'!U85)),IF(AND(ISNUMBER('Council Entry'!U$8),ISNUMBER('Council Entry'!U$9)),MAX(MIN('Council Entry'!U85,'Council Entry'!U$9),'Council Entry'!U$8),'Council Entry'!U85))))-'Council Entry'!U$5)/('Council Entry'!U$6-'Council Entry'!U$5),10*((IF('Council Entry'!U$4="Logarithm",LN(0.001+IF(AND(ISNUMBER('Council Entry'!U$8),ISNUMBER('Council Entry'!U$9)),MAX(MIN('Council Entry'!U85,'Council Entry'!U$9),'Council Entry'!U$8),'Council Entry'!U85)),IF('Council Entry'!U$4="Exponential",EXP(IF(AND(ISNUMBER('Council Entry'!U$8),ISNUMBER('Council Entry'!U$9)),MAX(MIN('Council Entry'!U85,'Council Entry'!U$9),'Council Entry'!U$8),'Council Entry'!U85)),IF(AND(ISNUMBER('Council Entry'!U$8),ISNUMBER('Council Entry'!U$9)),MAX(MIN('Council Entry'!U85,'Council Entry'!U$9),'Council Entry'!U$8),'Council Entry'!U85))))-'Council Entry'!U$5)/('Council Entry'!U$6-'Council Entry'!U$5)),1))),"No data"))</f>
        <v/>
      </c>
      <c r="V85" s="13">
        <f>IF('Council Entry'!V85="","",IFERROR(MAX(0,MIN(10,ROUND(IF('Council Entry'!V$7="Decrease Risk",10-10*((IF('Council Entry'!V$4="Logarithm",LN(0.001+IF(AND(ISNUMBER('Council Entry'!V$8),ISNUMBER('Council Entry'!V$9)),MAX(MIN('Council Entry'!V85,'Council Entry'!V$9),'Council Entry'!V$8),'Council Entry'!V85)),IF('Council Entry'!V$4="Exponential",EXP(IF(AND(ISNUMBER('Council Entry'!V$8),ISNUMBER('Council Entry'!V$9)),MAX(MIN('Council Entry'!V85,'Council Entry'!V$9),'Council Entry'!V$8),'Council Entry'!V85)),IF(AND(ISNUMBER('Council Entry'!V$8),ISNUMBER('Council Entry'!V$9)),MAX(MIN('Council Entry'!V85,'Council Entry'!V$9),'Council Entry'!V$8),'Council Entry'!V85))))-'Council Entry'!V$5)/('Council Entry'!V$6-'Council Entry'!V$5),10*((IF('Council Entry'!V$4="Logarithm",LN(0.001+IF(AND(ISNUMBER('Council Entry'!V$8),ISNUMBER('Council Entry'!V$9)),MAX(MIN('Council Entry'!V85,'Council Entry'!V$9),'Council Entry'!V$8),'Council Entry'!V85)),IF('Council Entry'!V$4="Exponential",EXP(IF(AND(ISNUMBER('Council Entry'!V$8),ISNUMBER('Council Entry'!V$9)),MAX(MIN('Council Entry'!V85,'Council Entry'!V$9),'Council Entry'!V$8),'Council Entry'!V85)),IF(AND(ISNUMBER('Council Entry'!V$8),ISNUMBER('Council Entry'!V$9)),MAX(MIN('Council Entry'!V85,'Council Entry'!V$9),'Council Entry'!V$8),'Council Entry'!V85))))-'Council Entry'!V$5)/('Council Entry'!V$6-'Council Entry'!V$5)),1))),"No data"))</f>
        <v/>
      </c>
      <c r="W85" s="13">
        <f>IF('Council Entry'!W85="","",IFERROR(MAX(0,MIN(10,ROUND(IF('Council Entry'!W$7="Decrease Risk",10-10*((IF('Council Entry'!W$4="Logarithm",LN(0.001+IF(AND(ISNUMBER('Council Entry'!W$8),ISNUMBER('Council Entry'!W$9)),MAX(MIN('Council Entry'!W85,'Council Entry'!W$9),'Council Entry'!W$8),'Council Entry'!W85)),IF('Council Entry'!W$4="Exponential",EXP(IF(AND(ISNUMBER('Council Entry'!W$8),ISNUMBER('Council Entry'!W$9)),MAX(MIN('Council Entry'!W85,'Council Entry'!W$9),'Council Entry'!W$8),'Council Entry'!W85)),IF(AND(ISNUMBER('Council Entry'!W$8),ISNUMBER('Council Entry'!W$9)),MAX(MIN('Council Entry'!W85,'Council Entry'!W$9),'Council Entry'!W$8),'Council Entry'!W85))))-'Council Entry'!W$5)/('Council Entry'!W$6-'Council Entry'!W$5),10*((IF('Council Entry'!W$4="Logarithm",LN(0.001+IF(AND(ISNUMBER('Council Entry'!W$8),ISNUMBER('Council Entry'!W$9)),MAX(MIN('Council Entry'!W85,'Council Entry'!W$9),'Council Entry'!W$8),'Council Entry'!W85)),IF('Council Entry'!W$4="Exponential",EXP(IF(AND(ISNUMBER('Council Entry'!W$8),ISNUMBER('Council Entry'!W$9)),MAX(MIN('Council Entry'!W85,'Council Entry'!W$9),'Council Entry'!W$8),'Council Entry'!W85)),IF(AND(ISNUMBER('Council Entry'!W$8),ISNUMBER('Council Entry'!W$9)),MAX(MIN('Council Entry'!W85,'Council Entry'!W$9),'Council Entry'!W$8),'Council Entry'!W85))))-'Council Entry'!W$5)/('Council Entry'!W$6-'Council Entry'!W$5)),1))),"No data"))</f>
        <v/>
      </c>
      <c r="X85" s="13">
        <f>IF('Council Entry'!X85="","",IFERROR(MAX(0,MIN(10,ROUND(IF('Council Entry'!X$7="Decrease Risk",10-10*((IF('Council Entry'!X$4="Logarithm",LN(0.001+IF(AND(ISNUMBER('Council Entry'!X$8),ISNUMBER('Council Entry'!X$9)),MAX(MIN('Council Entry'!X85,'Council Entry'!X$9),'Council Entry'!X$8),'Council Entry'!X85)),IF('Council Entry'!X$4="Exponential",EXP(IF(AND(ISNUMBER('Council Entry'!X$8),ISNUMBER('Council Entry'!X$9)),MAX(MIN('Council Entry'!X85,'Council Entry'!X$9),'Council Entry'!X$8),'Council Entry'!X85)),IF(AND(ISNUMBER('Council Entry'!X$8),ISNUMBER('Council Entry'!X$9)),MAX(MIN('Council Entry'!X85,'Council Entry'!X$9),'Council Entry'!X$8),'Council Entry'!X85))))-'Council Entry'!X$5)/('Council Entry'!X$6-'Council Entry'!X$5),10*((IF('Council Entry'!X$4="Logarithm",LN(0.001+IF(AND(ISNUMBER('Council Entry'!X$8),ISNUMBER('Council Entry'!X$9)),MAX(MIN('Council Entry'!X85,'Council Entry'!X$9),'Council Entry'!X$8),'Council Entry'!X85)),IF('Council Entry'!X$4="Exponential",EXP(IF(AND(ISNUMBER('Council Entry'!X$8),ISNUMBER('Council Entry'!X$9)),MAX(MIN('Council Entry'!X85,'Council Entry'!X$9),'Council Entry'!X$8),'Council Entry'!X85)),IF(AND(ISNUMBER('Council Entry'!X$8),ISNUMBER('Council Entry'!X$9)),MAX(MIN('Council Entry'!X85,'Council Entry'!X$9),'Council Entry'!X$8),'Council Entry'!X85))))-'Council Entry'!X$5)/('Council Entry'!X$6-'Council Entry'!X$5)),1))),"No data"))</f>
        <v/>
      </c>
      <c r="Y85" s="13">
        <f>IF('Council Entry'!Y85="","",IFERROR(MAX(0,MIN(10,ROUND(IF('Council Entry'!Y$7="Decrease Risk",10-10*((IF('Council Entry'!Y$4="Logarithm",LN(0.001+IF(AND(ISNUMBER('Council Entry'!Y$8),ISNUMBER('Council Entry'!Y$9)),MAX(MIN('Council Entry'!Y85,'Council Entry'!Y$9),'Council Entry'!Y$8),'Council Entry'!Y85)),IF('Council Entry'!Y$4="Exponential",EXP(IF(AND(ISNUMBER('Council Entry'!Y$8),ISNUMBER('Council Entry'!Y$9)),MAX(MIN('Council Entry'!Y85,'Council Entry'!Y$9),'Council Entry'!Y$8),'Council Entry'!Y85)),IF(AND(ISNUMBER('Council Entry'!Y$8),ISNUMBER('Council Entry'!Y$9)),MAX(MIN('Council Entry'!Y85,'Council Entry'!Y$9),'Council Entry'!Y$8),'Council Entry'!Y85))))-'Council Entry'!Y$5)/('Council Entry'!Y$6-'Council Entry'!Y$5),10*((IF('Council Entry'!Y$4="Logarithm",LN(0.001+IF(AND(ISNUMBER('Council Entry'!Y$8),ISNUMBER('Council Entry'!Y$9)),MAX(MIN('Council Entry'!Y85,'Council Entry'!Y$9),'Council Entry'!Y$8),'Council Entry'!Y85)),IF('Council Entry'!Y$4="Exponential",EXP(IF(AND(ISNUMBER('Council Entry'!Y$8),ISNUMBER('Council Entry'!Y$9)),MAX(MIN('Council Entry'!Y85,'Council Entry'!Y$9),'Council Entry'!Y$8),'Council Entry'!Y85)),IF(AND(ISNUMBER('Council Entry'!Y$8),ISNUMBER('Council Entry'!Y$9)),MAX(MIN('Council Entry'!Y85,'Council Entry'!Y$9),'Council Entry'!Y$8),'Council Entry'!Y85))))-'Council Entry'!Y$5)/('Council Entry'!Y$6-'Council Entry'!Y$5)),1))),"No data"))</f>
        <v/>
      </c>
      <c r="Z85" s="13">
        <f>IF('Council Entry'!Z85="","",IFERROR(MAX(0,MIN(10,ROUND(IF('Council Entry'!Z$7="Decrease Risk",10-10*((IF('Council Entry'!Z$4="Logarithm",LN(0.001+IF(AND(ISNUMBER('Council Entry'!Z$8),ISNUMBER('Council Entry'!Z$9)),MAX(MIN('Council Entry'!Z85,'Council Entry'!Z$9),'Council Entry'!Z$8),'Council Entry'!Z85)),IF('Council Entry'!Z$4="Exponential",EXP(IF(AND(ISNUMBER('Council Entry'!Z$8),ISNUMBER('Council Entry'!Z$9)),MAX(MIN('Council Entry'!Z85,'Council Entry'!Z$9),'Council Entry'!Z$8),'Council Entry'!Z85)),IF(AND(ISNUMBER('Council Entry'!Z$8),ISNUMBER('Council Entry'!Z$9)),MAX(MIN('Council Entry'!Z85,'Council Entry'!Z$9),'Council Entry'!Z$8),'Council Entry'!Z85))))-'Council Entry'!Z$5)/('Council Entry'!Z$6-'Council Entry'!Z$5),10*((IF('Council Entry'!Z$4="Logarithm",LN(0.001+IF(AND(ISNUMBER('Council Entry'!Z$8),ISNUMBER('Council Entry'!Z$9)),MAX(MIN('Council Entry'!Z85,'Council Entry'!Z$9),'Council Entry'!Z$8),'Council Entry'!Z85)),IF('Council Entry'!Z$4="Exponential",EXP(IF(AND(ISNUMBER('Council Entry'!Z$8),ISNUMBER('Council Entry'!Z$9)),MAX(MIN('Council Entry'!Z85,'Council Entry'!Z$9),'Council Entry'!Z$8),'Council Entry'!Z85)),IF(AND(ISNUMBER('Council Entry'!Z$8),ISNUMBER('Council Entry'!Z$9)),MAX(MIN('Council Entry'!Z85,'Council Entry'!Z$9),'Council Entry'!Z$8),'Council Entry'!Z85))))-'Council Entry'!Z$5)/('Council Entry'!Z$6-'Council Entry'!Z$5)),1))),"No data"))</f>
        <v/>
      </c>
      <c r="AA85" s="13">
        <f>IF('Council Entry'!AA85="","",IFERROR(MAX(0,MIN(10,ROUND(IF('Council Entry'!AA$7="Decrease Risk",10-10*((IF('Council Entry'!AA$4="Logarithm",LN(0.001+IF(AND(ISNUMBER('Council Entry'!AA$8),ISNUMBER('Council Entry'!AA$9)),MAX(MIN('Council Entry'!AA85,'Council Entry'!AA$9),'Council Entry'!AA$8),'Council Entry'!AA85)),IF('Council Entry'!AA$4="Exponential",EXP(IF(AND(ISNUMBER('Council Entry'!AA$8),ISNUMBER('Council Entry'!AA$9)),MAX(MIN('Council Entry'!AA85,'Council Entry'!AA$9),'Council Entry'!AA$8),'Council Entry'!AA85)),IF(AND(ISNUMBER('Council Entry'!AA$8),ISNUMBER('Council Entry'!AA$9)),MAX(MIN('Council Entry'!AA85,'Council Entry'!AA$9),'Council Entry'!AA$8),'Council Entry'!AA85))))-'Council Entry'!AA$5)/('Council Entry'!AA$6-'Council Entry'!AA$5),10*((IF('Council Entry'!AA$4="Logarithm",LN(0.001+IF(AND(ISNUMBER('Council Entry'!AA$8),ISNUMBER('Council Entry'!AA$9)),MAX(MIN('Council Entry'!AA85,'Council Entry'!AA$9),'Council Entry'!AA$8),'Council Entry'!AA85)),IF('Council Entry'!AA$4="Exponential",EXP(IF(AND(ISNUMBER('Council Entry'!AA$8),ISNUMBER('Council Entry'!AA$9)),MAX(MIN('Council Entry'!AA85,'Council Entry'!AA$9),'Council Entry'!AA$8),'Council Entry'!AA85)),IF(AND(ISNUMBER('Council Entry'!AA$8),ISNUMBER('Council Entry'!AA$9)),MAX(MIN('Council Entry'!AA85,'Council Entry'!AA$9),'Council Entry'!AA$8),'Council Entry'!AA85))))-'Council Entry'!AA$5)/('Council Entry'!AA$6-'Council Entry'!AA$5)),1))),"No data"))</f>
        <v/>
      </c>
      <c r="AB85" s="13">
        <f>IF('Council Entry'!AB85="","",IFERROR(MAX(0,MIN(10,ROUND(IF('Council Entry'!AB$7="Decrease Risk",10-10*((IF('Council Entry'!AB$4="Logarithm",LN(0.001+IF(AND(ISNUMBER('Council Entry'!AB$8),ISNUMBER('Council Entry'!AB$9)),MAX(MIN('Council Entry'!AB85,'Council Entry'!AB$9),'Council Entry'!AB$8),'Council Entry'!AB85)),IF('Council Entry'!AB$4="Exponential",EXP(IF(AND(ISNUMBER('Council Entry'!AB$8),ISNUMBER('Council Entry'!AB$9)),MAX(MIN('Council Entry'!AB85,'Council Entry'!AB$9),'Council Entry'!AB$8),'Council Entry'!AB85)),IF(AND(ISNUMBER('Council Entry'!AB$8),ISNUMBER('Council Entry'!AB$9)),MAX(MIN('Council Entry'!AB85,'Council Entry'!AB$9),'Council Entry'!AB$8),'Council Entry'!AB85))))-'Council Entry'!AB$5)/('Council Entry'!AB$6-'Council Entry'!AB$5),10*((IF('Council Entry'!AB$4="Logarithm",LN(0.001+IF(AND(ISNUMBER('Council Entry'!AB$8),ISNUMBER('Council Entry'!AB$9)),MAX(MIN('Council Entry'!AB85,'Council Entry'!AB$9),'Council Entry'!AB$8),'Council Entry'!AB85)),IF('Council Entry'!AB$4="Exponential",EXP(IF(AND(ISNUMBER('Council Entry'!AB$8),ISNUMBER('Council Entry'!AB$9)),MAX(MIN('Council Entry'!AB85,'Council Entry'!AB$9),'Council Entry'!AB$8),'Council Entry'!AB85)),IF(AND(ISNUMBER('Council Entry'!AB$8),ISNUMBER('Council Entry'!AB$9)),MAX(MIN('Council Entry'!AB85,'Council Entry'!AB$9),'Council Entry'!AB$8),'Council Entry'!AB85))))-'Council Entry'!AB$5)/('Council Entry'!AB$6-'Council Entry'!AB$5)),1))),"No data"))</f>
        <v/>
      </c>
      <c r="AC85" s="13">
        <f>IF('Council Entry'!AC85="","",IFERROR(MAX(0,MIN(10,ROUND(IF('Council Entry'!AC$7="Decrease Risk",10-10*((IF('Council Entry'!AC$4="Logarithm",LN(0.001+IF(AND(ISNUMBER('Council Entry'!AC$8),ISNUMBER('Council Entry'!AC$9)),MAX(MIN('Council Entry'!AC85,'Council Entry'!AC$9),'Council Entry'!AC$8),'Council Entry'!AC85)),IF('Council Entry'!AC$4="Exponential",EXP(IF(AND(ISNUMBER('Council Entry'!AC$8),ISNUMBER('Council Entry'!AC$9)),MAX(MIN('Council Entry'!AC85,'Council Entry'!AC$9),'Council Entry'!AC$8),'Council Entry'!AC85)),IF(AND(ISNUMBER('Council Entry'!AC$8),ISNUMBER('Council Entry'!AC$9)),MAX(MIN('Council Entry'!AC85,'Council Entry'!AC$9),'Council Entry'!AC$8),'Council Entry'!AC85))))-'Council Entry'!AC$5)/('Council Entry'!AC$6-'Council Entry'!AC$5),10*((IF('Council Entry'!AC$4="Logarithm",LN(0.001+IF(AND(ISNUMBER('Council Entry'!AC$8),ISNUMBER('Council Entry'!AC$9)),MAX(MIN('Council Entry'!AC85,'Council Entry'!AC$9),'Council Entry'!AC$8),'Council Entry'!AC85)),IF('Council Entry'!AC$4="Exponential",EXP(IF(AND(ISNUMBER('Council Entry'!AC$8),ISNUMBER('Council Entry'!AC$9)),MAX(MIN('Council Entry'!AC85,'Council Entry'!AC$9),'Council Entry'!AC$8),'Council Entry'!AC85)),IF(AND(ISNUMBER('Council Entry'!AC$8),ISNUMBER('Council Entry'!AC$9)),MAX(MIN('Council Entry'!AC85,'Council Entry'!AC$9),'Council Entry'!AC$8),'Council Entry'!AC85))))-'Council Entry'!AC$5)/('Council Entry'!AC$6-'Council Entry'!AC$5)),1))),"No data"))</f>
        <v/>
      </c>
      <c r="AD85" s="13">
        <f>IF('Council Entry'!AD85="","",IFERROR(MAX(0,MIN(10,ROUND(IF('Council Entry'!AD$7="Decrease Risk",10-10*((IF('Council Entry'!AD$4="Logarithm",LN(0.001+IF(AND(ISNUMBER('Council Entry'!AD$8),ISNUMBER('Council Entry'!AD$9)),MAX(MIN('Council Entry'!AD85,'Council Entry'!AD$9),'Council Entry'!AD$8),'Council Entry'!AD85)),IF('Council Entry'!AD$4="Exponential",EXP(IF(AND(ISNUMBER('Council Entry'!AD$8),ISNUMBER('Council Entry'!AD$9)),MAX(MIN('Council Entry'!AD85,'Council Entry'!AD$9),'Council Entry'!AD$8),'Council Entry'!AD85)),IF(AND(ISNUMBER('Council Entry'!AD$8),ISNUMBER('Council Entry'!AD$9)),MAX(MIN('Council Entry'!AD85,'Council Entry'!AD$9),'Council Entry'!AD$8),'Council Entry'!AD85))))-'Council Entry'!AD$5)/('Council Entry'!AD$6-'Council Entry'!AD$5),10*((IF('Council Entry'!AD$4="Logarithm",LN(0.001+IF(AND(ISNUMBER('Council Entry'!AD$8),ISNUMBER('Council Entry'!AD$9)),MAX(MIN('Council Entry'!AD85,'Council Entry'!AD$9),'Council Entry'!AD$8),'Council Entry'!AD85)),IF('Council Entry'!AD$4="Exponential",EXP(IF(AND(ISNUMBER('Council Entry'!AD$8),ISNUMBER('Council Entry'!AD$9)),MAX(MIN('Council Entry'!AD85,'Council Entry'!AD$9),'Council Entry'!AD$8),'Council Entry'!AD85)),IF(AND(ISNUMBER('Council Entry'!AD$8),ISNUMBER('Council Entry'!AD$9)),MAX(MIN('Council Entry'!AD85,'Council Entry'!AD$9),'Council Entry'!AD$8),'Council Entry'!AD85))))-'Council Entry'!AD$5)/('Council Entry'!AD$6-'Council Entry'!AD$5)),1))),"No data"))</f>
        <v/>
      </c>
      <c r="AE85" s="13">
        <f>IF('Council Entry'!AE85="","",IFERROR(MAX(0,MIN(10,ROUND(IF('Council Entry'!AE$7="Decrease Risk",10-10*((IF('Council Entry'!AE$4="Logarithm",LN(0.001+IF(AND(ISNUMBER('Council Entry'!AE$8),ISNUMBER('Council Entry'!AE$9)),MAX(MIN('Council Entry'!AE85,'Council Entry'!AE$9),'Council Entry'!AE$8),'Council Entry'!AE85)),IF('Council Entry'!AE$4="Exponential",EXP(IF(AND(ISNUMBER('Council Entry'!AE$8),ISNUMBER('Council Entry'!AE$9)),MAX(MIN('Council Entry'!AE85,'Council Entry'!AE$9),'Council Entry'!AE$8),'Council Entry'!AE85)),IF(AND(ISNUMBER('Council Entry'!AE$8),ISNUMBER('Council Entry'!AE$9)),MAX(MIN('Council Entry'!AE85,'Council Entry'!AE$9),'Council Entry'!AE$8),'Council Entry'!AE85))))-'Council Entry'!AE$5)/('Council Entry'!AE$6-'Council Entry'!AE$5),10*((IF('Council Entry'!AE$4="Logarithm",LN(0.001+IF(AND(ISNUMBER('Council Entry'!AE$8),ISNUMBER('Council Entry'!AE$9)),MAX(MIN('Council Entry'!AE85,'Council Entry'!AE$9),'Council Entry'!AE$8),'Council Entry'!AE85)),IF('Council Entry'!AE$4="Exponential",EXP(IF(AND(ISNUMBER('Council Entry'!AE$8),ISNUMBER('Council Entry'!AE$9)),MAX(MIN('Council Entry'!AE85,'Council Entry'!AE$9),'Council Entry'!AE$8),'Council Entry'!AE85)),IF(AND(ISNUMBER('Council Entry'!AE$8),ISNUMBER('Council Entry'!AE$9)),MAX(MIN('Council Entry'!AE85,'Council Entry'!AE$9),'Council Entry'!AE$8),'Council Entry'!AE85))))-'Council Entry'!AE$5)/('Council Entry'!AE$6-'Council Entry'!AE$5)),1))),"No data"))</f>
        <v/>
      </c>
      <c r="AF85" s="13">
        <f>IF('Council Entry'!AF85="","",IFERROR(MAX(0,MIN(10,ROUND(IF('Council Entry'!AF$7="Decrease Risk",10-10*((IF('Council Entry'!AF$4="Logarithm",LN(0.001+IF(AND(ISNUMBER('Council Entry'!AF$8),ISNUMBER('Council Entry'!AF$9)),MAX(MIN('Council Entry'!AF85,'Council Entry'!AF$9),'Council Entry'!AF$8),'Council Entry'!AF85)),IF('Council Entry'!AF$4="Exponential",EXP(IF(AND(ISNUMBER('Council Entry'!AF$8),ISNUMBER('Council Entry'!AF$9)),MAX(MIN('Council Entry'!AF85,'Council Entry'!AF$9),'Council Entry'!AF$8),'Council Entry'!AF85)),IF(AND(ISNUMBER('Council Entry'!AF$8),ISNUMBER('Council Entry'!AF$9)),MAX(MIN('Council Entry'!AF85,'Council Entry'!AF$9),'Council Entry'!AF$8),'Council Entry'!AF85))))-'Council Entry'!AF$5)/('Council Entry'!AF$6-'Council Entry'!AF$5),10*((IF('Council Entry'!AF$4="Logarithm",LN(0.001+IF(AND(ISNUMBER('Council Entry'!AF$8),ISNUMBER('Council Entry'!AF$9)),MAX(MIN('Council Entry'!AF85,'Council Entry'!AF$9),'Council Entry'!AF$8),'Council Entry'!AF85)),IF('Council Entry'!AF$4="Exponential",EXP(IF(AND(ISNUMBER('Council Entry'!AF$8),ISNUMBER('Council Entry'!AF$9)),MAX(MIN('Council Entry'!AF85,'Council Entry'!AF$9),'Council Entry'!AF$8),'Council Entry'!AF85)),IF(AND(ISNUMBER('Council Entry'!AF$8),ISNUMBER('Council Entry'!AF$9)),MAX(MIN('Council Entry'!AF85,'Council Entry'!AF$9),'Council Entry'!AF$8),'Council Entry'!AF85))))-'Council Entry'!AF$5)/('Council Entry'!AF$6-'Council Entry'!AF$5)),1))),"No data"))</f>
        <v/>
      </c>
      <c r="AG85" s="13">
        <f>IF('Council Entry'!AG85="","",IFERROR(MAX(0,MIN(10,ROUND(IF('Council Entry'!AG$7="Decrease Risk",10-10*((IF('Council Entry'!AG$4="Logarithm",LN(0.001+IF(AND(ISNUMBER('Council Entry'!AG$8),ISNUMBER('Council Entry'!AG$9)),MAX(MIN('Council Entry'!AG85,'Council Entry'!AG$9),'Council Entry'!AG$8),'Council Entry'!AG85)),IF('Council Entry'!AG$4="Exponential",EXP(IF(AND(ISNUMBER('Council Entry'!AG$8),ISNUMBER('Council Entry'!AG$9)),MAX(MIN('Council Entry'!AG85,'Council Entry'!AG$9),'Council Entry'!AG$8),'Council Entry'!AG85)),IF(AND(ISNUMBER('Council Entry'!AG$8),ISNUMBER('Council Entry'!AG$9)),MAX(MIN('Council Entry'!AG85,'Council Entry'!AG$9),'Council Entry'!AG$8),'Council Entry'!AG85))))-'Council Entry'!AG$5)/('Council Entry'!AG$6-'Council Entry'!AG$5),10*((IF('Council Entry'!AG$4="Logarithm",LN(0.001+IF(AND(ISNUMBER('Council Entry'!AG$8),ISNUMBER('Council Entry'!AG$9)),MAX(MIN('Council Entry'!AG85,'Council Entry'!AG$9),'Council Entry'!AG$8),'Council Entry'!AG85)),IF('Council Entry'!AG$4="Exponential",EXP(IF(AND(ISNUMBER('Council Entry'!AG$8),ISNUMBER('Council Entry'!AG$9)),MAX(MIN('Council Entry'!AG85,'Council Entry'!AG$9),'Council Entry'!AG$8),'Council Entry'!AG85)),IF(AND(ISNUMBER('Council Entry'!AG$8),ISNUMBER('Council Entry'!AG$9)),MAX(MIN('Council Entry'!AG85,'Council Entry'!AG$9),'Council Entry'!AG$8),'Council Entry'!AG85))))-'Council Entry'!AG$5)/('Council Entry'!AG$6-'Council Entry'!AG$5)),1))),"No data"))</f>
        <v/>
      </c>
      <c r="AH85" s="13">
        <f>IF('Council Entry'!AH85="","",IFERROR(MAX(0,MIN(10,ROUND(IF('Council Entry'!AH$7="Decrease Risk",10-10*((IF('Council Entry'!AH$4="Logarithm",LN(0.001+IF(AND(ISNUMBER('Council Entry'!AH$8),ISNUMBER('Council Entry'!AH$9)),MAX(MIN('Council Entry'!AH85,'Council Entry'!AH$9),'Council Entry'!AH$8),'Council Entry'!AH85)),IF('Council Entry'!AH$4="Exponential",EXP(IF(AND(ISNUMBER('Council Entry'!AH$8),ISNUMBER('Council Entry'!AH$9)),MAX(MIN('Council Entry'!AH85,'Council Entry'!AH$9),'Council Entry'!AH$8),'Council Entry'!AH85)),IF(AND(ISNUMBER('Council Entry'!AH$8),ISNUMBER('Council Entry'!AH$9)),MAX(MIN('Council Entry'!AH85,'Council Entry'!AH$9),'Council Entry'!AH$8),'Council Entry'!AH85))))-'Council Entry'!AH$5)/('Council Entry'!AH$6-'Council Entry'!AH$5),10*((IF('Council Entry'!AH$4="Logarithm",LN(0.001+IF(AND(ISNUMBER('Council Entry'!AH$8),ISNUMBER('Council Entry'!AH$9)),MAX(MIN('Council Entry'!AH85,'Council Entry'!AH$9),'Council Entry'!AH$8),'Council Entry'!AH85)),IF('Council Entry'!AH$4="Exponential",EXP(IF(AND(ISNUMBER('Council Entry'!AH$8),ISNUMBER('Council Entry'!AH$9)),MAX(MIN('Council Entry'!AH85,'Council Entry'!AH$9),'Council Entry'!AH$8),'Council Entry'!AH85)),IF(AND(ISNUMBER('Council Entry'!AH$8),ISNUMBER('Council Entry'!AH$9)),MAX(MIN('Council Entry'!AH85,'Council Entry'!AH$9),'Council Entry'!AH$8),'Council Entry'!AH85))))-'Council Entry'!AH$5)/('Council Entry'!AH$6-'Council Entry'!AH$5)),1))),"No data"))</f>
        <v/>
      </c>
      <c r="AI85" s="13">
        <f>IF('Council Entry'!AI85="","",IFERROR(MAX(0,MIN(10,ROUND(IF('Council Entry'!AI$7="Decrease Risk",10-10*((IF('Council Entry'!AI$4="Logarithm",LN(0.001+IF(AND(ISNUMBER('Council Entry'!AI$8),ISNUMBER('Council Entry'!AI$9)),MAX(MIN('Council Entry'!AI85,'Council Entry'!AI$9),'Council Entry'!AI$8),'Council Entry'!AI85)),IF('Council Entry'!AI$4="Exponential",EXP(IF(AND(ISNUMBER('Council Entry'!AI$8),ISNUMBER('Council Entry'!AI$9)),MAX(MIN('Council Entry'!AI85,'Council Entry'!AI$9),'Council Entry'!AI$8),'Council Entry'!AI85)),IF(AND(ISNUMBER('Council Entry'!AI$8),ISNUMBER('Council Entry'!AI$9)),MAX(MIN('Council Entry'!AI85,'Council Entry'!AI$9),'Council Entry'!AI$8),'Council Entry'!AI85))))-'Council Entry'!AI$5)/('Council Entry'!AI$6-'Council Entry'!AI$5),10*((IF('Council Entry'!AI$4="Logarithm",LN(0.001+IF(AND(ISNUMBER('Council Entry'!AI$8),ISNUMBER('Council Entry'!AI$9)),MAX(MIN('Council Entry'!AI85,'Council Entry'!AI$9),'Council Entry'!AI$8),'Council Entry'!AI85)),IF('Council Entry'!AI$4="Exponential",EXP(IF(AND(ISNUMBER('Council Entry'!AI$8),ISNUMBER('Council Entry'!AI$9)),MAX(MIN('Council Entry'!AI85,'Council Entry'!AI$9),'Council Entry'!AI$8),'Council Entry'!AI85)),IF(AND(ISNUMBER('Council Entry'!AI$8),ISNUMBER('Council Entry'!AI$9)),MAX(MIN('Council Entry'!AI85,'Council Entry'!AI$9),'Council Entry'!AI$8),'Council Entry'!AI85))))-'Council Entry'!AI$5)/('Council Entry'!AI$6-'Council Entry'!AI$5)),1))),"No data"))</f>
        <v/>
      </c>
      <c r="AJ85" s="13">
        <f>IF('Council Entry'!AJ85="","",IFERROR(MAX(0,MIN(10,ROUND(IF('Council Entry'!AJ$7="Decrease Risk",10-10*((IF('Council Entry'!AJ$4="Logarithm",LN(0.001+IF(AND(ISNUMBER('Council Entry'!AJ$8),ISNUMBER('Council Entry'!AJ$9)),MAX(MIN('Council Entry'!AJ85,'Council Entry'!AJ$9),'Council Entry'!AJ$8),'Council Entry'!AJ85)),IF('Council Entry'!AJ$4="Exponential",EXP(IF(AND(ISNUMBER('Council Entry'!AJ$8),ISNUMBER('Council Entry'!AJ$9)),MAX(MIN('Council Entry'!AJ85,'Council Entry'!AJ$9),'Council Entry'!AJ$8),'Council Entry'!AJ85)),IF(AND(ISNUMBER('Council Entry'!AJ$8),ISNUMBER('Council Entry'!AJ$9)),MAX(MIN('Council Entry'!AJ85,'Council Entry'!AJ$9),'Council Entry'!AJ$8),'Council Entry'!AJ85))))-'Council Entry'!AJ$5)/('Council Entry'!AJ$6-'Council Entry'!AJ$5),10*((IF('Council Entry'!AJ$4="Logarithm",LN(0.001+IF(AND(ISNUMBER('Council Entry'!AJ$8),ISNUMBER('Council Entry'!AJ$9)),MAX(MIN('Council Entry'!AJ85,'Council Entry'!AJ$9),'Council Entry'!AJ$8),'Council Entry'!AJ85)),IF('Council Entry'!AJ$4="Exponential",EXP(IF(AND(ISNUMBER('Council Entry'!AJ$8),ISNUMBER('Council Entry'!AJ$9)),MAX(MIN('Council Entry'!AJ85,'Council Entry'!AJ$9),'Council Entry'!AJ$8),'Council Entry'!AJ85)),IF(AND(ISNUMBER('Council Entry'!AJ$8),ISNUMBER('Council Entry'!AJ$9)),MAX(MIN('Council Entry'!AJ85,'Council Entry'!AJ$9),'Council Entry'!AJ$8),'Council Entry'!AJ85))))-'Council Entry'!AJ$5)/('Council Entry'!AJ$6-'Council Entry'!AJ$5)),1))),"No data"))</f>
        <v/>
      </c>
      <c r="AK85" s="13">
        <f>IF('Council Entry'!AK85="","",IFERROR(MAX(0,MIN(10,ROUND(IF('Council Entry'!AK$7="Decrease Risk",10-10*((IF('Council Entry'!AK$4="Logarithm",LN(0.001+IF(AND(ISNUMBER('Council Entry'!AK$8),ISNUMBER('Council Entry'!AK$9)),MAX(MIN('Council Entry'!AK85,'Council Entry'!AK$9),'Council Entry'!AK$8),'Council Entry'!AK85)),IF('Council Entry'!AK$4="Exponential",EXP(IF(AND(ISNUMBER('Council Entry'!AK$8),ISNUMBER('Council Entry'!AK$9)),MAX(MIN('Council Entry'!AK85,'Council Entry'!AK$9),'Council Entry'!AK$8),'Council Entry'!AK85)),IF(AND(ISNUMBER('Council Entry'!AK$8),ISNUMBER('Council Entry'!AK$9)),MAX(MIN('Council Entry'!AK85,'Council Entry'!AK$9),'Council Entry'!AK$8),'Council Entry'!AK85))))-'Council Entry'!AK$5)/('Council Entry'!AK$6-'Council Entry'!AK$5),10*((IF('Council Entry'!AK$4="Logarithm",LN(0.001+IF(AND(ISNUMBER('Council Entry'!AK$8),ISNUMBER('Council Entry'!AK$9)),MAX(MIN('Council Entry'!AK85,'Council Entry'!AK$9),'Council Entry'!AK$8),'Council Entry'!AK85)),IF('Council Entry'!AK$4="Exponential",EXP(IF(AND(ISNUMBER('Council Entry'!AK$8),ISNUMBER('Council Entry'!AK$9)),MAX(MIN('Council Entry'!AK85,'Council Entry'!AK$9),'Council Entry'!AK$8),'Council Entry'!AK85)),IF(AND(ISNUMBER('Council Entry'!AK$8),ISNUMBER('Council Entry'!AK$9)),MAX(MIN('Council Entry'!AK85,'Council Entry'!AK$9),'Council Entry'!AK$8),'Council Entry'!AK85))))-'Council Entry'!AK$5)/('Council Entry'!AK$6-'Council Entry'!AK$5)),1))),"No data"))</f>
        <v/>
      </c>
      <c r="AL85" s="13">
        <f>IF('Council Entry'!AL85="","",IFERROR(MAX(0,MIN(10,ROUND(IF('Council Entry'!AL$7="Decrease Risk",10-10*((IF('Council Entry'!AL$4="Logarithm",LN(0.001+IF(AND(ISNUMBER('Council Entry'!AL$8),ISNUMBER('Council Entry'!AL$9)),MAX(MIN('Council Entry'!AL85,'Council Entry'!AL$9),'Council Entry'!AL$8),'Council Entry'!AL85)),IF('Council Entry'!AL$4="Exponential",EXP(IF(AND(ISNUMBER('Council Entry'!AL$8),ISNUMBER('Council Entry'!AL$9)),MAX(MIN('Council Entry'!AL85,'Council Entry'!AL$9),'Council Entry'!AL$8),'Council Entry'!AL85)),IF(AND(ISNUMBER('Council Entry'!AL$8),ISNUMBER('Council Entry'!AL$9)),MAX(MIN('Council Entry'!AL85,'Council Entry'!AL$9),'Council Entry'!AL$8),'Council Entry'!AL85))))-'Council Entry'!AL$5)/('Council Entry'!AL$6-'Council Entry'!AL$5),10*((IF('Council Entry'!AL$4="Logarithm",LN(0.001+IF(AND(ISNUMBER('Council Entry'!AL$8),ISNUMBER('Council Entry'!AL$9)),MAX(MIN('Council Entry'!AL85,'Council Entry'!AL$9),'Council Entry'!AL$8),'Council Entry'!AL85)),IF('Council Entry'!AL$4="Exponential",EXP(IF(AND(ISNUMBER('Council Entry'!AL$8),ISNUMBER('Council Entry'!AL$9)),MAX(MIN('Council Entry'!AL85,'Council Entry'!AL$9),'Council Entry'!AL$8),'Council Entry'!AL85)),IF(AND(ISNUMBER('Council Entry'!AL$8),ISNUMBER('Council Entry'!AL$9)),MAX(MIN('Council Entry'!AL85,'Council Entry'!AL$9),'Council Entry'!AL$8),'Council Entry'!AL85))))-'Council Entry'!AL$5)/('Council Entry'!AL$6-'Council Entry'!AL$5)),1))),"No data"))</f>
        <v/>
      </c>
      <c r="AM85" s="13">
        <f>IF('Council Entry'!AM85="","",IFERROR(MAX(0,MIN(10,ROUND(IF('Council Entry'!AM$7="Decrease Risk",10-10*((IF('Council Entry'!AM$4="Logarithm",LN(0.001+IF(AND(ISNUMBER('Council Entry'!AM$8),ISNUMBER('Council Entry'!AM$9)),MAX(MIN('Council Entry'!AM85,'Council Entry'!AM$9),'Council Entry'!AM$8),'Council Entry'!AM85)),IF('Council Entry'!AM$4="Exponential",EXP(IF(AND(ISNUMBER('Council Entry'!AM$8),ISNUMBER('Council Entry'!AM$9)),MAX(MIN('Council Entry'!AM85,'Council Entry'!AM$9),'Council Entry'!AM$8),'Council Entry'!AM85)),IF(AND(ISNUMBER('Council Entry'!AM$8),ISNUMBER('Council Entry'!AM$9)),MAX(MIN('Council Entry'!AM85,'Council Entry'!AM$9),'Council Entry'!AM$8),'Council Entry'!AM85))))-'Council Entry'!AM$5)/('Council Entry'!AM$6-'Council Entry'!AM$5),10*((IF('Council Entry'!AM$4="Logarithm",LN(0.001+IF(AND(ISNUMBER('Council Entry'!AM$8),ISNUMBER('Council Entry'!AM$9)),MAX(MIN('Council Entry'!AM85,'Council Entry'!AM$9),'Council Entry'!AM$8),'Council Entry'!AM85)),IF('Council Entry'!AM$4="Exponential",EXP(IF(AND(ISNUMBER('Council Entry'!AM$8),ISNUMBER('Council Entry'!AM$9)),MAX(MIN('Council Entry'!AM85,'Council Entry'!AM$9),'Council Entry'!AM$8),'Council Entry'!AM85)),IF(AND(ISNUMBER('Council Entry'!AM$8),ISNUMBER('Council Entry'!AM$9)),MAX(MIN('Council Entry'!AM85,'Council Entry'!AM$9),'Council Entry'!AM$8),'Council Entry'!AM85))))-'Council Entry'!AM$5)/('Council Entry'!AM$6-'Council Entry'!AM$5)),1))),"No data"))</f>
        <v/>
      </c>
      <c r="AN85" s="13">
        <f>IF('Council Entry'!AN85="","",IFERROR(MAX(0,MIN(10,ROUND(IF('Council Entry'!AN$7="Decrease Risk",10-10*((IF('Council Entry'!AN$4="Logarithm",LN(0.001+IF(AND(ISNUMBER('Council Entry'!AN$8),ISNUMBER('Council Entry'!AN$9)),MAX(MIN('Council Entry'!AN85,'Council Entry'!AN$9),'Council Entry'!AN$8),'Council Entry'!AN85)),IF('Council Entry'!AN$4="Exponential",EXP(IF(AND(ISNUMBER('Council Entry'!AN$8),ISNUMBER('Council Entry'!AN$9)),MAX(MIN('Council Entry'!AN85,'Council Entry'!AN$9),'Council Entry'!AN$8),'Council Entry'!AN85)),IF(AND(ISNUMBER('Council Entry'!AN$8),ISNUMBER('Council Entry'!AN$9)),MAX(MIN('Council Entry'!AN85,'Council Entry'!AN$9),'Council Entry'!AN$8),'Council Entry'!AN85))))-'Council Entry'!AN$5)/('Council Entry'!AN$6-'Council Entry'!AN$5),10*((IF('Council Entry'!AN$4="Logarithm",LN(0.001+IF(AND(ISNUMBER('Council Entry'!AN$8),ISNUMBER('Council Entry'!AN$9)),MAX(MIN('Council Entry'!AN85,'Council Entry'!AN$9),'Council Entry'!AN$8),'Council Entry'!AN85)),IF('Council Entry'!AN$4="Exponential",EXP(IF(AND(ISNUMBER('Council Entry'!AN$8),ISNUMBER('Council Entry'!AN$9)),MAX(MIN('Council Entry'!AN85,'Council Entry'!AN$9),'Council Entry'!AN$8),'Council Entry'!AN85)),IF(AND(ISNUMBER('Council Entry'!AN$8),ISNUMBER('Council Entry'!AN$9)),MAX(MIN('Council Entry'!AN85,'Council Entry'!AN$9),'Council Entry'!AN$8),'Council Entry'!AN85))))-'Council Entry'!AN$5)/('Council Entry'!AN$6-'Council Entry'!AN$5)),1))),"No data"))</f>
        <v/>
      </c>
      <c r="AO85" s="13">
        <f>IF('Council Entry'!AO85="","",IFERROR(MAX(0,MIN(10,ROUND(IF('Council Entry'!AO$7="Decrease Risk",10-10*((IF('Council Entry'!AO$4="Logarithm",LN(0.001+IF(AND(ISNUMBER('Council Entry'!AO$8),ISNUMBER('Council Entry'!AO$9)),MAX(MIN('Council Entry'!AO85,'Council Entry'!AO$9),'Council Entry'!AO$8),'Council Entry'!AO85)),IF('Council Entry'!AO$4="Exponential",EXP(IF(AND(ISNUMBER('Council Entry'!AO$8),ISNUMBER('Council Entry'!AO$9)),MAX(MIN('Council Entry'!AO85,'Council Entry'!AO$9),'Council Entry'!AO$8),'Council Entry'!AO85)),IF(AND(ISNUMBER('Council Entry'!AO$8),ISNUMBER('Council Entry'!AO$9)),MAX(MIN('Council Entry'!AO85,'Council Entry'!AO$9),'Council Entry'!AO$8),'Council Entry'!AO85))))-'Council Entry'!AO$5)/('Council Entry'!AO$6-'Council Entry'!AO$5),10*((IF('Council Entry'!AO$4="Logarithm",LN(0.001+IF(AND(ISNUMBER('Council Entry'!AO$8),ISNUMBER('Council Entry'!AO$9)),MAX(MIN('Council Entry'!AO85,'Council Entry'!AO$9),'Council Entry'!AO$8),'Council Entry'!AO85)),IF('Council Entry'!AO$4="Exponential",EXP(IF(AND(ISNUMBER('Council Entry'!AO$8),ISNUMBER('Council Entry'!AO$9)),MAX(MIN('Council Entry'!AO85,'Council Entry'!AO$9),'Council Entry'!AO$8),'Council Entry'!AO85)),IF(AND(ISNUMBER('Council Entry'!AO$8),ISNUMBER('Council Entry'!AO$9)),MAX(MIN('Council Entry'!AO85,'Council Entry'!AO$9),'Council Entry'!AO$8),'Council Entry'!AO85))))-'Council Entry'!AO$5)/('Council Entry'!AO$6-'Council Entry'!AO$5)),1))),"No data"))</f>
        <v/>
      </c>
      <c r="AP85" s="13">
        <f>IF('Council Entry'!AP85="","",IFERROR(MAX(0,MIN(10,ROUND(IF('Council Entry'!AP$7="Decrease Risk",10-10*((IF('Council Entry'!AP$4="Logarithm",LN(0.001+IF(AND(ISNUMBER('Council Entry'!AP$8),ISNUMBER('Council Entry'!AP$9)),MAX(MIN('Council Entry'!AP85,'Council Entry'!AP$9),'Council Entry'!AP$8),'Council Entry'!AP85)),IF('Council Entry'!AP$4="Exponential",EXP(IF(AND(ISNUMBER('Council Entry'!AP$8),ISNUMBER('Council Entry'!AP$9)),MAX(MIN('Council Entry'!AP85,'Council Entry'!AP$9),'Council Entry'!AP$8),'Council Entry'!AP85)),IF(AND(ISNUMBER('Council Entry'!AP$8),ISNUMBER('Council Entry'!AP$9)),MAX(MIN('Council Entry'!AP85,'Council Entry'!AP$9),'Council Entry'!AP$8),'Council Entry'!AP85))))-'Council Entry'!AP$5)/('Council Entry'!AP$6-'Council Entry'!AP$5),10*((IF('Council Entry'!AP$4="Logarithm",LN(0.001+IF(AND(ISNUMBER('Council Entry'!AP$8),ISNUMBER('Council Entry'!AP$9)),MAX(MIN('Council Entry'!AP85,'Council Entry'!AP$9),'Council Entry'!AP$8),'Council Entry'!AP85)),IF('Council Entry'!AP$4="Exponential",EXP(IF(AND(ISNUMBER('Council Entry'!AP$8),ISNUMBER('Council Entry'!AP$9)),MAX(MIN('Council Entry'!AP85,'Council Entry'!AP$9),'Council Entry'!AP$8),'Council Entry'!AP85)),IF(AND(ISNUMBER('Council Entry'!AP$8),ISNUMBER('Council Entry'!AP$9)),MAX(MIN('Council Entry'!AP85,'Council Entry'!AP$9),'Council Entry'!AP$8),'Council Entry'!AP85))))-'Council Entry'!AP$5)/('Council Entry'!AP$6-'Council Entry'!AP$5)),1))),"No data"))</f>
        <v/>
      </c>
      <c r="AQ85" s="13">
        <f>IF('Council Entry'!AQ85="","",IFERROR(MAX(0,MIN(10,ROUND(IF('Council Entry'!AQ$7="Decrease Risk",10-10*((IF('Council Entry'!AQ$4="Logarithm",LN(0.001+IF(AND(ISNUMBER('Council Entry'!AQ$8),ISNUMBER('Council Entry'!AQ$9)),MAX(MIN('Council Entry'!AQ85,'Council Entry'!AQ$9),'Council Entry'!AQ$8),'Council Entry'!AQ85)),IF('Council Entry'!AQ$4="Exponential",EXP(IF(AND(ISNUMBER('Council Entry'!AQ$8),ISNUMBER('Council Entry'!AQ$9)),MAX(MIN('Council Entry'!AQ85,'Council Entry'!AQ$9),'Council Entry'!AQ$8),'Council Entry'!AQ85)),IF(AND(ISNUMBER('Council Entry'!AQ$8),ISNUMBER('Council Entry'!AQ$9)),MAX(MIN('Council Entry'!AQ85,'Council Entry'!AQ$9),'Council Entry'!AQ$8),'Council Entry'!AQ85))))-'Council Entry'!AQ$5)/('Council Entry'!AQ$6-'Council Entry'!AQ$5),10*((IF('Council Entry'!AQ$4="Logarithm",LN(0.001+IF(AND(ISNUMBER('Council Entry'!AQ$8),ISNUMBER('Council Entry'!AQ$9)),MAX(MIN('Council Entry'!AQ85,'Council Entry'!AQ$9),'Council Entry'!AQ$8),'Council Entry'!AQ85)),IF('Council Entry'!AQ$4="Exponential",EXP(IF(AND(ISNUMBER('Council Entry'!AQ$8),ISNUMBER('Council Entry'!AQ$9)),MAX(MIN('Council Entry'!AQ85,'Council Entry'!AQ$9),'Council Entry'!AQ$8),'Council Entry'!AQ85)),IF(AND(ISNUMBER('Council Entry'!AQ$8),ISNUMBER('Council Entry'!AQ$9)),MAX(MIN('Council Entry'!AQ85,'Council Entry'!AQ$9),'Council Entry'!AQ$8),'Council Entry'!AQ85))))-'Council Entry'!AQ$5)/('Council Entry'!AQ$6-'Council Entry'!AQ$5)),1))),"No data"))</f>
        <v/>
      </c>
      <c r="AR85" s="13">
        <f>IF('Council Entry'!AR85="","",IFERROR(MAX(0,MIN(10,ROUND(IF('Council Entry'!AR$7="Decrease Risk",10-10*((IF('Council Entry'!AR$4="Logarithm",LN(0.001+IF(AND(ISNUMBER('Council Entry'!AR$8),ISNUMBER('Council Entry'!AR$9)),MAX(MIN('Council Entry'!AR85,'Council Entry'!AR$9),'Council Entry'!AR$8),'Council Entry'!AR85)),IF('Council Entry'!AR$4="Exponential",EXP(IF(AND(ISNUMBER('Council Entry'!AR$8),ISNUMBER('Council Entry'!AR$9)),MAX(MIN('Council Entry'!AR85,'Council Entry'!AR$9),'Council Entry'!AR$8),'Council Entry'!AR85)),IF(AND(ISNUMBER('Council Entry'!AR$8),ISNUMBER('Council Entry'!AR$9)),MAX(MIN('Council Entry'!AR85,'Council Entry'!AR$9),'Council Entry'!AR$8),'Council Entry'!AR85))))-'Council Entry'!AR$5)/('Council Entry'!AR$6-'Council Entry'!AR$5),10*((IF('Council Entry'!AR$4="Logarithm",LN(0.001+IF(AND(ISNUMBER('Council Entry'!AR$8),ISNUMBER('Council Entry'!AR$9)),MAX(MIN('Council Entry'!AR85,'Council Entry'!AR$9),'Council Entry'!AR$8),'Council Entry'!AR85)),IF('Council Entry'!AR$4="Exponential",EXP(IF(AND(ISNUMBER('Council Entry'!AR$8),ISNUMBER('Council Entry'!AR$9)),MAX(MIN('Council Entry'!AR85,'Council Entry'!AR$9),'Council Entry'!AR$8),'Council Entry'!AR85)),IF(AND(ISNUMBER('Council Entry'!AR$8),ISNUMBER('Council Entry'!AR$9)),MAX(MIN('Council Entry'!AR85,'Council Entry'!AR$9),'Council Entry'!AR$8),'Council Entry'!AR85))))-'Council Entry'!AR$5)/('Council Entry'!AR$6-'Council Entry'!AR$5)),1))),"No data"))</f>
        <v/>
      </c>
      <c r="AS85" s="13">
        <f>IF('Council Entry'!AS85="","",IFERROR(MAX(0,MIN(10,ROUND(IF('Council Entry'!AS$7="Decrease Risk",10-10*((IF('Council Entry'!AS$4="Logarithm",LN(0.001+IF(AND(ISNUMBER('Council Entry'!AS$8),ISNUMBER('Council Entry'!AS$9)),MAX(MIN('Council Entry'!AS85,'Council Entry'!AS$9),'Council Entry'!AS$8),'Council Entry'!AS85)),IF('Council Entry'!AS$4="Exponential",EXP(IF(AND(ISNUMBER('Council Entry'!AS$8),ISNUMBER('Council Entry'!AS$9)),MAX(MIN('Council Entry'!AS85,'Council Entry'!AS$9),'Council Entry'!AS$8),'Council Entry'!AS85)),IF(AND(ISNUMBER('Council Entry'!AS$8),ISNUMBER('Council Entry'!AS$9)),MAX(MIN('Council Entry'!AS85,'Council Entry'!AS$9),'Council Entry'!AS$8),'Council Entry'!AS85))))-'Council Entry'!AS$5)/('Council Entry'!AS$6-'Council Entry'!AS$5),10*((IF('Council Entry'!AS$4="Logarithm",LN(0.001+IF(AND(ISNUMBER('Council Entry'!AS$8),ISNUMBER('Council Entry'!AS$9)),MAX(MIN('Council Entry'!AS85,'Council Entry'!AS$9),'Council Entry'!AS$8),'Council Entry'!AS85)),IF('Council Entry'!AS$4="Exponential",EXP(IF(AND(ISNUMBER('Council Entry'!AS$8),ISNUMBER('Council Entry'!AS$9)),MAX(MIN('Council Entry'!AS85,'Council Entry'!AS$9),'Council Entry'!AS$8),'Council Entry'!AS85)),IF(AND(ISNUMBER('Council Entry'!AS$8),ISNUMBER('Council Entry'!AS$9)),MAX(MIN('Council Entry'!AS85,'Council Entry'!AS$9),'Council Entry'!AS$8),'Council Entry'!AS85))))-'Council Entry'!AS$5)/('Council Entry'!AS$6-'Council Entry'!AS$5)),1))),"No data"))</f>
        <v/>
      </c>
      <c r="AT85" s="13">
        <f>IF('Council Entry'!AT85="","",IFERROR(MAX(0,MIN(10,ROUND(IF('Council Entry'!AT$7="Decrease Risk",10-10*((IF('Council Entry'!AT$4="Logarithm",LN(0.001+IF(AND(ISNUMBER('Council Entry'!AT$8),ISNUMBER('Council Entry'!AT$9)),MAX(MIN('Council Entry'!AT85,'Council Entry'!AT$9),'Council Entry'!AT$8),'Council Entry'!AT85)),IF('Council Entry'!AT$4="Exponential",EXP(IF(AND(ISNUMBER('Council Entry'!AT$8),ISNUMBER('Council Entry'!AT$9)),MAX(MIN('Council Entry'!AT85,'Council Entry'!AT$9),'Council Entry'!AT$8),'Council Entry'!AT85)),IF(AND(ISNUMBER('Council Entry'!AT$8),ISNUMBER('Council Entry'!AT$9)),MAX(MIN('Council Entry'!AT85,'Council Entry'!AT$9),'Council Entry'!AT$8),'Council Entry'!AT85))))-'Council Entry'!AT$5)/('Council Entry'!AT$6-'Council Entry'!AT$5),10*((IF('Council Entry'!AT$4="Logarithm",LN(0.001+IF(AND(ISNUMBER('Council Entry'!AT$8),ISNUMBER('Council Entry'!AT$9)),MAX(MIN('Council Entry'!AT85,'Council Entry'!AT$9),'Council Entry'!AT$8),'Council Entry'!AT85)),IF('Council Entry'!AT$4="Exponential",EXP(IF(AND(ISNUMBER('Council Entry'!AT$8),ISNUMBER('Council Entry'!AT$9)),MAX(MIN('Council Entry'!AT85,'Council Entry'!AT$9),'Council Entry'!AT$8),'Council Entry'!AT85)),IF(AND(ISNUMBER('Council Entry'!AT$8),ISNUMBER('Council Entry'!AT$9)),MAX(MIN('Council Entry'!AT85,'Council Entry'!AT$9),'Council Entry'!AT$8),'Council Entry'!AT85))))-'Council Entry'!AT$5)/('Council Entry'!AT$6-'Council Entry'!AT$5)),1))),"No data"))</f>
        <v/>
      </c>
      <c r="AU85" s="13">
        <f>IF('Council Entry'!AU85="","",IFERROR(MAX(0,MIN(10,ROUND(IF('Council Entry'!AU$7="Decrease Risk",10-10*((IF('Council Entry'!AU$4="Logarithm",LN(0.001+IF(AND(ISNUMBER('Council Entry'!AU$8),ISNUMBER('Council Entry'!AU$9)),MAX(MIN('Council Entry'!AU85,'Council Entry'!AU$9),'Council Entry'!AU$8),'Council Entry'!AU85)),IF('Council Entry'!AU$4="Exponential",EXP(IF(AND(ISNUMBER('Council Entry'!AU$8),ISNUMBER('Council Entry'!AU$9)),MAX(MIN('Council Entry'!AU85,'Council Entry'!AU$9),'Council Entry'!AU$8),'Council Entry'!AU85)),IF(AND(ISNUMBER('Council Entry'!AU$8),ISNUMBER('Council Entry'!AU$9)),MAX(MIN('Council Entry'!AU85,'Council Entry'!AU$9),'Council Entry'!AU$8),'Council Entry'!AU85))))-'Council Entry'!AU$5)/('Council Entry'!AU$6-'Council Entry'!AU$5),10*((IF('Council Entry'!AU$4="Logarithm",LN(0.001+IF(AND(ISNUMBER('Council Entry'!AU$8),ISNUMBER('Council Entry'!AU$9)),MAX(MIN('Council Entry'!AU85,'Council Entry'!AU$9),'Council Entry'!AU$8),'Council Entry'!AU85)),IF('Council Entry'!AU$4="Exponential",EXP(IF(AND(ISNUMBER('Council Entry'!AU$8),ISNUMBER('Council Entry'!AU$9)),MAX(MIN('Council Entry'!AU85,'Council Entry'!AU$9),'Council Entry'!AU$8),'Council Entry'!AU85)),IF(AND(ISNUMBER('Council Entry'!AU$8),ISNUMBER('Council Entry'!AU$9)),MAX(MIN('Council Entry'!AU85,'Council Entry'!AU$9),'Council Entry'!AU$8),'Council Entry'!AU85))))-'Council Entry'!AU$5)/('Council Entry'!AU$6-'Council Entry'!AU$5)),1))),"No data"))</f>
        <v/>
      </c>
      <c r="AV85" s="13">
        <f>IF('Council Entry'!AV85="","",IFERROR(MAX(0,MIN(10,ROUND(IF('Council Entry'!AV$7="Decrease Risk",10-10*((IF('Council Entry'!AV$4="Logarithm",LN(0.001+IF(AND(ISNUMBER('Council Entry'!AV$8),ISNUMBER('Council Entry'!AV$9)),MAX(MIN('Council Entry'!AV85,'Council Entry'!AV$9),'Council Entry'!AV$8),'Council Entry'!AV85)),IF('Council Entry'!AV$4="Exponential",EXP(IF(AND(ISNUMBER('Council Entry'!AV$8),ISNUMBER('Council Entry'!AV$9)),MAX(MIN('Council Entry'!AV85,'Council Entry'!AV$9),'Council Entry'!AV$8),'Council Entry'!AV85)),IF(AND(ISNUMBER('Council Entry'!AV$8),ISNUMBER('Council Entry'!AV$9)),MAX(MIN('Council Entry'!AV85,'Council Entry'!AV$9),'Council Entry'!AV$8),'Council Entry'!AV85))))-'Council Entry'!AV$5)/('Council Entry'!AV$6-'Council Entry'!AV$5),10*((IF('Council Entry'!AV$4="Logarithm",LN(0.001+IF(AND(ISNUMBER('Council Entry'!AV$8),ISNUMBER('Council Entry'!AV$9)),MAX(MIN('Council Entry'!AV85,'Council Entry'!AV$9),'Council Entry'!AV$8),'Council Entry'!AV85)),IF('Council Entry'!AV$4="Exponential",EXP(IF(AND(ISNUMBER('Council Entry'!AV$8),ISNUMBER('Council Entry'!AV$9)),MAX(MIN('Council Entry'!AV85,'Council Entry'!AV$9),'Council Entry'!AV$8),'Council Entry'!AV85)),IF(AND(ISNUMBER('Council Entry'!AV$8),ISNUMBER('Council Entry'!AV$9)),MAX(MIN('Council Entry'!AV85,'Council Entry'!AV$9),'Council Entry'!AV$8),'Council Entry'!AV85))))-'Council Entry'!AV$5)/('Council Entry'!AV$6-'Council Entry'!AV$5)),1))),"No data"))</f>
        <v/>
      </c>
      <c r="AW85" s="13">
        <f>IF('Council Entry'!AW85="","",IFERROR(MAX(0,MIN(10,ROUND(IF('Council Entry'!AW$7="Decrease Risk",10-10*((IF('Council Entry'!AW$4="Logarithm",LN(0.001+IF(AND(ISNUMBER('Council Entry'!AW$8),ISNUMBER('Council Entry'!AW$9)),MAX(MIN('Council Entry'!AW85,'Council Entry'!AW$9),'Council Entry'!AW$8),'Council Entry'!AW85)),IF('Council Entry'!AW$4="Exponential",EXP(IF(AND(ISNUMBER('Council Entry'!AW$8),ISNUMBER('Council Entry'!AW$9)),MAX(MIN('Council Entry'!AW85,'Council Entry'!AW$9),'Council Entry'!AW$8),'Council Entry'!AW85)),IF(AND(ISNUMBER('Council Entry'!AW$8),ISNUMBER('Council Entry'!AW$9)),MAX(MIN('Council Entry'!AW85,'Council Entry'!AW$9),'Council Entry'!AW$8),'Council Entry'!AW85))))-'Council Entry'!AW$5)/('Council Entry'!AW$6-'Council Entry'!AW$5),10*((IF('Council Entry'!AW$4="Logarithm",LN(0.001+IF(AND(ISNUMBER('Council Entry'!AW$8),ISNUMBER('Council Entry'!AW$9)),MAX(MIN('Council Entry'!AW85,'Council Entry'!AW$9),'Council Entry'!AW$8),'Council Entry'!AW85)),IF('Council Entry'!AW$4="Exponential",EXP(IF(AND(ISNUMBER('Council Entry'!AW$8),ISNUMBER('Council Entry'!AW$9)),MAX(MIN('Council Entry'!AW85,'Council Entry'!AW$9),'Council Entry'!AW$8),'Council Entry'!AW85)),IF(AND(ISNUMBER('Council Entry'!AW$8),ISNUMBER('Council Entry'!AW$9)),MAX(MIN('Council Entry'!AW85,'Council Entry'!AW$9),'Council Entry'!AW$8),'Council Entry'!AW85))))-'Council Entry'!AW$5)/('Council Entry'!AW$6-'Council Entry'!AW$5)),1))),"No data"))</f>
        <v/>
      </c>
      <c r="AX85" s="13">
        <f>IF('Council Entry'!AX85="","",IFERROR(MAX(0,MIN(10,ROUND(IF('Council Entry'!AX$7="Decrease Risk",10-10*((IF('Council Entry'!AX$4="Logarithm",LN(0.001+IF(AND(ISNUMBER('Council Entry'!AX$8),ISNUMBER('Council Entry'!AX$9)),MAX(MIN('Council Entry'!AX85,'Council Entry'!AX$9),'Council Entry'!AX$8),'Council Entry'!AX85)),IF('Council Entry'!AX$4="Exponential",EXP(IF(AND(ISNUMBER('Council Entry'!AX$8),ISNUMBER('Council Entry'!AX$9)),MAX(MIN('Council Entry'!AX85,'Council Entry'!AX$9),'Council Entry'!AX$8),'Council Entry'!AX85)),IF(AND(ISNUMBER('Council Entry'!AX$8),ISNUMBER('Council Entry'!AX$9)),MAX(MIN('Council Entry'!AX85,'Council Entry'!AX$9),'Council Entry'!AX$8),'Council Entry'!AX85))))-'Council Entry'!AX$5)/('Council Entry'!AX$6-'Council Entry'!AX$5),10*((IF('Council Entry'!AX$4="Logarithm",LN(0.001+IF(AND(ISNUMBER('Council Entry'!AX$8),ISNUMBER('Council Entry'!AX$9)),MAX(MIN('Council Entry'!AX85,'Council Entry'!AX$9),'Council Entry'!AX$8),'Council Entry'!AX85)),IF('Council Entry'!AX$4="Exponential",EXP(IF(AND(ISNUMBER('Council Entry'!AX$8),ISNUMBER('Council Entry'!AX$9)),MAX(MIN('Council Entry'!AX85,'Council Entry'!AX$9),'Council Entry'!AX$8),'Council Entry'!AX85)),IF(AND(ISNUMBER('Council Entry'!AX$8),ISNUMBER('Council Entry'!AX$9)),MAX(MIN('Council Entry'!AX85,'Council Entry'!AX$9),'Council Entry'!AX$8),'Council Entry'!AX85))))-'Council Entry'!AX$5)/('Council Entry'!AX$6-'Council Entry'!AX$5)),1))),"No data"))</f>
        <v/>
      </c>
      <c r="AY85" s="13">
        <f>IF('Council Entry'!AY85="","",IFERROR(MAX(0,MIN(10,ROUND(IF('Council Entry'!AY$7="Decrease Risk",10-10*((IF('Council Entry'!AY$4="Logarithm",LN(0.001+IF(AND(ISNUMBER('Council Entry'!AY$8),ISNUMBER('Council Entry'!AY$9)),MAX(MIN('Council Entry'!AY85,'Council Entry'!AY$9),'Council Entry'!AY$8),'Council Entry'!AY85)),IF('Council Entry'!AY$4="Exponential",EXP(IF(AND(ISNUMBER('Council Entry'!AY$8),ISNUMBER('Council Entry'!AY$9)),MAX(MIN('Council Entry'!AY85,'Council Entry'!AY$9),'Council Entry'!AY$8),'Council Entry'!AY85)),IF(AND(ISNUMBER('Council Entry'!AY$8),ISNUMBER('Council Entry'!AY$9)),MAX(MIN('Council Entry'!AY85,'Council Entry'!AY$9),'Council Entry'!AY$8),'Council Entry'!AY85))))-'Council Entry'!AY$5)/('Council Entry'!AY$6-'Council Entry'!AY$5),10*((IF('Council Entry'!AY$4="Logarithm",LN(0.001+IF(AND(ISNUMBER('Council Entry'!AY$8),ISNUMBER('Council Entry'!AY$9)),MAX(MIN('Council Entry'!AY85,'Council Entry'!AY$9),'Council Entry'!AY$8),'Council Entry'!AY85)),IF('Council Entry'!AY$4="Exponential",EXP(IF(AND(ISNUMBER('Council Entry'!AY$8),ISNUMBER('Council Entry'!AY$9)),MAX(MIN('Council Entry'!AY85,'Council Entry'!AY$9),'Council Entry'!AY$8),'Council Entry'!AY85)),IF(AND(ISNUMBER('Council Entry'!AY$8),ISNUMBER('Council Entry'!AY$9)),MAX(MIN('Council Entry'!AY85,'Council Entry'!AY$9),'Council Entry'!AY$8),'Council Entry'!AY85))))-'Council Entry'!AY$5)/('Council Entry'!AY$6-'Council Entry'!AY$5)),1))),"No data"))</f>
        <v/>
      </c>
      <c r="AZ85" s="13">
        <f>IF('Council Entry'!AZ85="","",IFERROR(MAX(0,MIN(10,ROUND(IF('Council Entry'!AZ$7="Decrease Risk",10-10*((IF('Council Entry'!AZ$4="Logarithm",LN(0.001+IF(AND(ISNUMBER('Council Entry'!AZ$8),ISNUMBER('Council Entry'!AZ$9)),MAX(MIN('Council Entry'!AZ85,'Council Entry'!AZ$9),'Council Entry'!AZ$8),'Council Entry'!AZ85)),IF('Council Entry'!AZ$4="Exponential",EXP(IF(AND(ISNUMBER('Council Entry'!AZ$8),ISNUMBER('Council Entry'!AZ$9)),MAX(MIN('Council Entry'!AZ85,'Council Entry'!AZ$9),'Council Entry'!AZ$8),'Council Entry'!AZ85)),IF(AND(ISNUMBER('Council Entry'!AZ$8),ISNUMBER('Council Entry'!AZ$9)),MAX(MIN('Council Entry'!AZ85,'Council Entry'!AZ$9),'Council Entry'!AZ$8),'Council Entry'!AZ85))))-'Council Entry'!AZ$5)/('Council Entry'!AZ$6-'Council Entry'!AZ$5),10*((IF('Council Entry'!AZ$4="Logarithm",LN(0.001+IF(AND(ISNUMBER('Council Entry'!AZ$8),ISNUMBER('Council Entry'!AZ$9)),MAX(MIN('Council Entry'!AZ85,'Council Entry'!AZ$9),'Council Entry'!AZ$8),'Council Entry'!AZ85)),IF('Council Entry'!AZ$4="Exponential",EXP(IF(AND(ISNUMBER('Council Entry'!AZ$8),ISNUMBER('Council Entry'!AZ$9)),MAX(MIN('Council Entry'!AZ85,'Council Entry'!AZ$9),'Council Entry'!AZ$8),'Council Entry'!AZ85)),IF(AND(ISNUMBER('Council Entry'!AZ$8),ISNUMBER('Council Entry'!AZ$9)),MAX(MIN('Council Entry'!AZ85,'Council Entry'!AZ$9),'Council Entry'!AZ$8),'Council Entry'!AZ85))))-'Council Entry'!AZ$5)/('Council Entry'!AZ$6-'Council Entry'!AZ$5)),1))),"No data"))</f>
        <v/>
      </c>
      <c r="BA85" s="13">
        <f>IF('Council Entry'!BA85="","",IFERROR(MAX(0,MIN(10,ROUND(IF('Council Entry'!BA$7="Decrease Risk",10-10*((IF('Council Entry'!BA$4="Logarithm",LN(0.001+IF(AND(ISNUMBER('Council Entry'!BA$8),ISNUMBER('Council Entry'!BA$9)),MAX(MIN('Council Entry'!BA85,'Council Entry'!BA$9),'Council Entry'!BA$8),'Council Entry'!BA85)),IF('Council Entry'!BA$4="Exponential",EXP(IF(AND(ISNUMBER('Council Entry'!BA$8),ISNUMBER('Council Entry'!BA$9)),MAX(MIN('Council Entry'!BA85,'Council Entry'!BA$9),'Council Entry'!BA$8),'Council Entry'!BA85)),IF(AND(ISNUMBER('Council Entry'!BA$8),ISNUMBER('Council Entry'!BA$9)),MAX(MIN('Council Entry'!BA85,'Council Entry'!BA$9),'Council Entry'!BA$8),'Council Entry'!BA85))))-'Council Entry'!BA$5)/('Council Entry'!BA$6-'Council Entry'!BA$5),10*((IF('Council Entry'!BA$4="Logarithm",LN(0.001+IF(AND(ISNUMBER('Council Entry'!BA$8),ISNUMBER('Council Entry'!BA$9)),MAX(MIN('Council Entry'!BA85,'Council Entry'!BA$9),'Council Entry'!BA$8),'Council Entry'!BA85)),IF('Council Entry'!BA$4="Exponential",EXP(IF(AND(ISNUMBER('Council Entry'!BA$8),ISNUMBER('Council Entry'!BA$9)),MAX(MIN('Council Entry'!BA85,'Council Entry'!BA$9),'Council Entry'!BA$8),'Council Entry'!BA85)),IF(AND(ISNUMBER('Council Entry'!BA$8),ISNUMBER('Council Entry'!BA$9)),MAX(MIN('Council Entry'!BA85,'Council Entry'!BA$9),'Council Entry'!BA$8),'Council Entry'!BA85))))-'Council Entry'!BA$5)/('Council Entry'!BA$6-'Council Entry'!BA$5)),1))),"No data"))</f>
        <v/>
      </c>
      <c r="BB85" s="13">
        <f>IF('Council Entry'!BB85="","",IFERROR(MAX(0,MIN(10,ROUND(IF('Council Entry'!BB$7="Decrease Risk",10-10*((IF('Council Entry'!BB$4="Logarithm",LN(0.001+IF(AND(ISNUMBER('Council Entry'!BB$8),ISNUMBER('Council Entry'!BB$9)),MAX(MIN('Council Entry'!BB85,'Council Entry'!BB$9),'Council Entry'!BB$8),'Council Entry'!BB85)),IF('Council Entry'!BB$4="Exponential",EXP(IF(AND(ISNUMBER('Council Entry'!BB$8),ISNUMBER('Council Entry'!BB$9)),MAX(MIN('Council Entry'!BB85,'Council Entry'!BB$9),'Council Entry'!BB$8),'Council Entry'!BB85)),IF(AND(ISNUMBER('Council Entry'!BB$8),ISNUMBER('Council Entry'!BB$9)),MAX(MIN('Council Entry'!BB85,'Council Entry'!BB$9),'Council Entry'!BB$8),'Council Entry'!BB85))))-'Council Entry'!BB$5)/('Council Entry'!BB$6-'Council Entry'!BB$5),10*((IF('Council Entry'!BB$4="Logarithm",LN(0.001+IF(AND(ISNUMBER('Council Entry'!BB$8),ISNUMBER('Council Entry'!BB$9)),MAX(MIN('Council Entry'!BB85,'Council Entry'!BB$9),'Council Entry'!BB$8),'Council Entry'!BB85)),IF('Council Entry'!BB$4="Exponential",EXP(IF(AND(ISNUMBER('Council Entry'!BB$8),ISNUMBER('Council Entry'!BB$9)),MAX(MIN('Council Entry'!BB85,'Council Entry'!BB$9),'Council Entry'!BB$8),'Council Entry'!BB85)),IF(AND(ISNUMBER('Council Entry'!BB$8),ISNUMBER('Council Entry'!BB$9)),MAX(MIN('Council Entry'!BB85,'Council Entry'!BB$9),'Council Entry'!BB$8),'Council Entry'!BB85))))-'Council Entry'!BB$5)/('Council Entry'!BB$6-'Council Entry'!BB$5)),1))),"No data"))</f>
        <v/>
      </c>
      <c r="BC85" s="13">
        <f>IF('Council Entry'!BC85="","",IFERROR(MAX(0,MIN(10,ROUND(IF('Council Entry'!BC$7="Decrease Risk",10-10*((IF('Council Entry'!BC$4="Logarithm",LN(0.001+IF(AND(ISNUMBER('Council Entry'!BC$8),ISNUMBER('Council Entry'!BC$9)),MAX(MIN('Council Entry'!BC85,'Council Entry'!BC$9),'Council Entry'!BC$8),'Council Entry'!BC85)),IF('Council Entry'!BC$4="Exponential",EXP(IF(AND(ISNUMBER('Council Entry'!BC$8),ISNUMBER('Council Entry'!BC$9)),MAX(MIN('Council Entry'!BC85,'Council Entry'!BC$9),'Council Entry'!BC$8),'Council Entry'!BC85)),IF(AND(ISNUMBER('Council Entry'!BC$8),ISNUMBER('Council Entry'!BC$9)),MAX(MIN('Council Entry'!BC85,'Council Entry'!BC$9),'Council Entry'!BC$8),'Council Entry'!BC85))))-'Council Entry'!BC$5)/('Council Entry'!BC$6-'Council Entry'!BC$5),10*((IF('Council Entry'!BC$4="Logarithm",LN(0.001+IF(AND(ISNUMBER('Council Entry'!BC$8),ISNUMBER('Council Entry'!BC$9)),MAX(MIN('Council Entry'!BC85,'Council Entry'!BC$9),'Council Entry'!BC$8),'Council Entry'!BC85)),IF('Council Entry'!BC$4="Exponential",EXP(IF(AND(ISNUMBER('Council Entry'!BC$8),ISNUMBER('Council Entry'!BC$9)),MAX(MIN('Council Entry'!BC85,'Council Entry'!BC$9),'Council Entry'!BC$8),'Council Entry'!BC85)),IF(AND(ISNUMBER('Council Entry'!BC$8),ISNUMBER('Council Entry'!BC$9)),MAX(MIN('Council Entry'!BC85,'Council Entry'!BC$9),'Council Entry'!BC$8),'Council Entry'!BC85))))-'Council Entry'!BC$5)/('Council Entry'!BC$6-'Council Entry'!BC$5)),1))),"No data"))</f>
        <v/>
      </c>
      <c r="BD85" s="13">
        <f>IF('Council Entry'!BD85="","",IFERROR(MAX(0,MIN(10,ROUND(IF('Council Entry'!BD$7="Decrease Risk",10-10*((IF('Council Entry'!BD$4="Logarithm",LN(0.001+IF(AND(ISNUMBER('Council Entry'!BD$8),ISNUMBER('Council Entry'!BD$9)),MAX(MIN('Council Entry'!BD85,'Council Entry'!BD$9),'Council Entry'!BD$8),'Council Entry'!BD85)),IF('Council Entry'!BD$4="Exponential",EXP(IF(AND(ISNUMBER('Council Entry'!BD$8),ISNUMBER('Council Entry'!BD$9)),MAX(MIN('Council Entry'!BD85,'Council Entry'!BD$9),'Council Entry'!BD$8),'Council Entry'!BD85)),IF(AND(ISNUMBER('Council Entry'!BD$8),ISNUMBER('Council Entry'!BD$9)),MAX(MIN('Council Entry'!BD85,'Council Entry'!BD$9),'Council Entry'!BD$8),'Council Entry'!BD85))))-'Council Entry'!BD$5)/('Council Entry'!BD$6-'Council Entry'!BD$5),10*((IF('Council Entry'!BD$4="Logarithm",LN(0.001+IF(AND(ISNUMBER('Council Entry'!BD$8),ISNUMBER('Council Entry'!BD$9)),MAX(MIN('Council Entry'!BD85,'Council Entry'!BD$9),'Council Entry'!BD$8),'Council Entry'!BD85)),IF('Council Entry'!BD$4="Exponential",EXP(IF(AND(ISNUMBER('Council Entry'!BD$8),ISNUMBER('Council Entry'!BD$9)),MAX(MIN('Council Entry'!BD85,'Council Entry'!BD$9),'Council Entry'!BD$8),'Council Entry'!BD85)),IF(AND(ISNUMBER('Council Entry'!BD$8),ISNUMBER('Council Entry'!BD$9)),MAX(MIN('Council Entry'!BD85,'Council Entry'!BD$9),'Council Entry'!BD$8),'Council Entry'!BD85))))-'Council Entry'!BD$5)/('Council Entry'!BD$6-'Council Entry'!BD$5)),1))),"No data"))</f>
        <v/>
      </c>
    </row>
    <row r="86">
      <c r="A86" t="inlineStr">
        <is>
          <t>Manyara</t>
        </is>
      </c>
      <c r="B86" t="inlineStr">
        <is>
          <t>Hanang District</t>
        </is>
      </c>
      <c r="C86" t="inlineStr">
        <is>
          <t>C152</t>
        </is>
      </c>
      <c r="D86" s="13">
        <f>IF('Council Entry'!D86="","",IFERROR(MAX(0,MIN(10,ROUND(IF('Council Entry'!D$7="Decrease Risk",10-10*((IF('Council Entry'!D$4="Logarithm",LN(0.001+IF(AND(ISNUMBER('Council Entry'!D$8),ISNUMBER('Council Entry'!D$9)),MAX(MIN('Council Entry'!D86,'Council Entry'!D$9),'Council Entry'!D$8),'Council Entry'!D86)),IF('Council Entry'!D$4="Exponential",EXP(IF(AND(ISNUMBER('Council Entry'!D$8),ISNUMBER('Council Entry'!D$9)),MAX(MIN('Council Entry'!D86,'Council Entry'!D$9),'Council Entry'!D$8),'Council Entry'!D86)),IF(AND(ISNUMBER('Council Entry'!D$8),ISNUMBER('Council Entry'!D$9)),MAX(MIN('Council Entry'!D86,'Council Entry'!D$9),'Council Entry'!D$8),'Council Entry'!D86))))-'Council Entry'!D$5)/('Council Entry'!D$6-'Council Entry'!D$5),10*((IF('Council Entry'!D$4="Logarithm",LN(0.001+IF(AND(ISNUMBER('Council Entry'!D$8),ISNUMBER('Council Entry'!D$9)),MAX(MIN('Council Entry'!D86,'Council Entry'!D$9),'Council Entry'!D$8),'Council Entry'!D86)),IF('Council Entry'!D$4="Exponential",EXP(IF(AND(ISNUMBER('Council Entry'!D$8),ISNUMBER('Council Entry'!D$9)),MAX(MIN('Council Entry'!D86,'Council Entry'!D$9),'Council Entry'!D$8),'Council Entry'!D86)),IF(AND(ISNUMBER('Council Entry'!D$8),ISNUMBER('Council Entry'!D$9)),MAX(MIN('Council Entry'!D86,'Council Entry'!D$9),'Council Entry'!D$8),'Council Entry'!D86))))-'Council Entry'!D$5)/('Council Entry'!D$6-'Council Entry'!D$5)),1))),"No data"))</f>
        <v/>
      </c>
      <c r="E86" s="13">
        <f>IF('Council Entry'!E86="","",IFERROR(MAX(0,MIN(10,ROUND(IF('Council Entry'!E$7="Decrease Risk",10-10*((IF('Council Entry'!E$4="Logarithm",LN(0.001+IF(AND(ISNUMBER('Council Entry'!E$8),ISNUMBER('Council Entry'!E$9)),MAX(MIN('Council Entry'!E86,'Council Entry'!E$9),'Council Entry'!E$8),'Council Entry'!E86)),IF('Council Entry'!E$4="Exponential",EXP(IF(AND(ISNUMBER('Council Entry'!E$8),ISNUMBER('Council Entry'!E$9)),MAX(MIN('Council Entry'!E86,'Council Entry'!E$9),'Council Entry'!E$8),'Council Entry'!E86)),IF(AND(ISNUMBER('Council Entry'!E$8),ISNUMBER('Council Entry'!E$9)),MAX(MIN('Council Entry'!E86,'Council Entry'!E$9),'Council Entry'!E$8),'Council Entry'!E86))))-'Council Entry'!E$5)/('Council Entry'!E$6-'Council Entry'!E$5),10*((IF('Council Entry'!E$4="Logarithm",LN(0.001+IF(AND(ISNUMBER('Council Entry'!E$8),ISNUMBER('Council Entry'!E$9)),MAX(MIN('Council Entry'!E86,'Council Entry'!E$9),'Council Entry'!E$8),'Council Entry'!E86)),IF('Council Entry'!E$4="Exponential",EXP(IF(AND(ISNUMBER('Council Entry'!E$8),ISNUMBER('Council Entry'!E$9)),MAX(MIN('Council Entry'!E86,'Council Entry'!E$9),'Council Entry'!E$8),'Council Entry'!E86)),IF(AND(ISNUMBER('Council Entry'!E$8),ISNUMBER('Council Entry'!E$9)),MAX(MIN('Council Entry'!E86,'Council Entry'!E$9),'Council Entry'!E$8),'Council Entry'!E86))))-'Council Entry'!E$5)/('Council Entry'!E$6-'Council Entry'!E$5)),1))),"No data"))</f>
        <v/>
      </c>
      <c r="F86" s="13">
        <f>IF('Council Entry'!F86="","",IFERROR(MAX(0,MIN(10,ROUND(IF('Council Entry'!F$7="Decrease Risk",10-10*((IF('Council Entry'!F$4="Logarithm",LN(0.001+IF(AND(ISNUMBER('Council Entry'!F$8),ISNUMBER('Council Entry'!F$9)),MAX(MIN('Council Entry'!F86,'Council Entry'!F$9),'Council Entry'!F$8),'Council Entry'!F86)),IF('Council Entry'!F$4="Exponential",EXP(IF(AND(ISNUMBER('Council Entry'!F$8),ISNUMBER('Council Entry'!F$9)),MAX(MIN('Council Entry'!F86,'Council Entry'!F$9),'Council Entry'!F$8),'Council Entry'!F86)),IF(AND(ISNUMBER('Council Entry'!F$8),ISNUMBER('Council Entry'!F$9)),MAX(MIN('Council Entry'!F86,'Council Entry'!F$9),'Council Entry'!F$8),'Council Entry'!F86))))-'Council Entry'!F$5)/('Council Entry'!F$6-'Council Entry'!F$5),10*((IF('Council Entry'!F$4="Logarithm",LN(0.001+IF(AND(ISNUMBER('Council Entry'!F$8),ISNUMBER('Council Entry'!F$9)),MAX(MIN('Council Entry'!F86,'Council Entry'!F$9),'Council Entry'!F$8),'Council Entry'!F86)),IF('Council Entry'!F$4="Exponential",EXP(IF(AND(ISNUMBER('Council Entry'!F$8),ISNUMBER('Council Entry'!F$9)),MAX(MIN('Council Entry'!F86,'Council Entry'!F$9),'Council Entry'!F$8),'Council Entry'!F86)),IF(AND(ISNUMBER('Council Entry'!F$8),ISNUMBER('Council Entry'!F$9)),MAX(MIN('Council Entry'!F86,'Council Entry'!F$9),'Council Entry'!F$8),'Council Entry'!F86))))-'Council Entry'!F$5)/('Council Entry'!F$6-'Council Entry'!F$5)),1))),"No data"))</f>
        <v/>
      </c>
      <c r="G86" s="13">
        <f>IF('Council Entry'!G86="","",IFERROR(MAX(0,MIN(10,ROUND(IF('Council Entry'!G$7="Decrease Risk",10-10*((IF('Council Entry'!G$4="Logarithm",LN(0.001+IF(AND(ISNUMBER('Council Entry'!G$8),ISNUMBER('Council Entry'!G$9)),MAX(MIN('Council Entry'!G86,'Council Entry'!G$9),'Council Entry'!G$8),'Council Entry'!G86)),IF('Council Entry'!G$4="Exponential",EXP(IF(AND(ISNUMBER('Council Entry'!G$8),ISNUMBER('Council Entry'!G$9)),MAX(MIN('Council Entry'!G86,'Council Entry'!G$9),'Council Entry'!G$8),'Council Entry'!G86)),IF(AND(ISNUMBER('Council Entry'!G$8),ISNUMBER('Council Entry'!G$9)),MAX(MIN('Council Entry'!G86,'Council Entry'!G$9),'Council Entry'!G$8),'Council Entry'!G86))))-'Council Entry'!G$5)/('Council Entry'!G$6-'Council Entry'!G$5),10*((IF('Council Entry'!G$4="Logarithm",LN(0.001+IF(AND(ISNUMBER('Council Entry'!G$8),ISNUMBER('Council Entry'!G$9)),MAX(MIN('Council Entry'!G86,'Council Entry'!G$9),'Council Entry'!G$8),'Council Entry'!G86)),IF('Council Entry'!G$4="Exponential",EXP(IF(AND(ISNUMBER('Council Entry'!G$8),ISNUMBER('Council Entry'!G$9)),MAX(MIN('Council Entry'!G86,'Council Entry'!G$9),'Council Entry'!G$8),'Council Entry'!G86)),IF(AND(ISNUMBER('Council Entry'!G$8),ISNUMBER('Council Entry'!G$9)),MAX(MIN('Council Entry'!G86,'Council Entry'!G$9),'Council Entry'!G$8),'Council Entry'!G86))))-'Council Entry'!G$5)/('Council Entry'!G$6-'Council Entry'!G$5)),1))),"No data"))</f>
        <v/>
      </c>
      <c r="H86" s="13">
        <f>IF('Council Entry'!H86="","",IFERROR(MAX(0,MIN(10,ROUND(IF('Council Entry'!H$7="Decrease Risk",10-10*((IF('Council Entry'!H$4="Logarithm",LN(0.001+IF(AND(ISNUMBER('Council Entry'!H$8),ISNUMBER('Council Entry'!H$9)),MAX(MIN('Council Entry'!H86,'Council Entry'!H$9),'Council Entry'!H$8),'Council Entry'!H86)),IF('Council Entry'!H$4="Exponential",EXP(IF(AND(ISNUMBER('Council Entry'!H$8),ISNUMBER('Council Entry'!H$9)),MAX(MIN('Council Entry'!H86,'Council Entry'!H$9),'Council Entry'!H$8),'Council Entry'!H86)),IF(AND(ISNUMBER('Council Entry'!H$8),ISNUMBER('Council Entry'!H$9)),MAX(MIN('Council Entry'!H86,'Council Entry'!H$9),'Council Entry'!H$8),'Council Entry'!H86))))-'Council Entry'!H$5)/('Council Entry'!H$6-'Council Entry'!H$5),10*((IF('Council Entry'!H$4="Logarithm",LN(0.001+IF(AND(ISNUMBER('Council Entry'!H$8),ISNUMBER('Council Entry'!H$9)),MAX(MIN('Council Entry'!H86,'Council Entry'!H$9),'Council Entry'!H$8),'Council Entry'!H86)),IF('Council Entry'!H$4="Exponential",EXP(IF(AND(ISNUMBER('Council Entry'!H$8),ISNUMBER('Council Entry'!H$9)),MAX(MIN('Council Entry'!H86,'Council Entry'!H$9),'Council Entry'!H$8),'Council Entry'!H86)),IF(AND(ISNUMBER('Council Entry'!H$8),ISNUMBER('Council Entry'!H$9)),MAX(MIN('Council Entry'!H86,'Council Entry'!H$9),'Council Entry'!H$8),'Council Entry'!H86))))-'Council Entry'!H$5)/('Council Entry'!H$6-'Council Entry'!H$5)),1))),"No data"))</f>
        <v/>
      </c>
      <c r="I86" s="13">
        <f>IF('Council Entry'!I86="","",IFERROR(MAX(0,MIN(10,ROUND(IF('Council Entry'!I$7="Decrease Risk",10-10*((IF('Council Entry'!I$4="Logarithm",LN(0.001+IF(AND(ISNUMBER('Council Entry'!I$8),ISNUMBER('Council Entry'!I$9)),MAX(MIN('Council Entry'!I86,'Council Entry'!I$9),'Council Entry'!I$8),'Council Entry'!I86)),IF('Council Entry'!I$4="Exponential",EXP(IF(AND(ISNUMBER('Council Entry'!I$8),ISNUMBER('Council Entry'!I$9)),MAX(MIN('Council Entry'!I86,'Council Entry'!I$9),'Council Entry'!I$8),'Council Entry'!I86)),IF(AND(ISNUMBER('Council Entry'!I$8),ISNUMBER('Council Entry'!I$9)),MAX(MIN('Council Entry'!I86,'Council Entry'!I$9),'Council Entry'!I$8),'Council Entry'!I86))))-'Council Entry'!I$5)/('Council Entry'!I$6-'Council Entry'!I$5),10*((IF('Council Entry'!I$4="Logarithm",LN(0.001+IF(AND(ISNUMBER('Council Entry'!I$8),ISNUMBER('Council Entry'!I$9)),MAX(MIN('Council Entry'!I86,'Council Entry'!I$9),'Council Entry'!I$8),'Council Entry'!I86)),IF('Council Entry'!I$4="Exponential",EXP(IF(AND(ISNUMBER('Council Entry'!I$8),ISNUMBER('Council Entry'!I$9)),MAX(MIN('Council Entry'!I86,'Council Entry'!I$9),'Council Entry'!I$8),'Council Entry'!I86)),IF(AND(ISNUMBER('Council Entry'!I$8),ISNUMBER('Council Entry'!I$9)),MAX(MIN('Council Entry'!I86,'Council Entry'!I$9),'Council Entry'!I$8),'Council Entry'!I86))))-'Council Entry'!I$5)/('Council Entry'!I$6-'Council Entry'!I$5)),1))),"No data"))</f>
        <v/>
      </c>
      <c r="J86" s="13">
        <f>IF('Council Entry'!J86="","",IFERROR(MAX(0,MIN(10,ROUND(IF('Council Entry'!J$7="Decrease Risk",10-10*((IF('Council Entry'!J$4="Logarithm",LN(0.001+IF(AND(ISNUMBER('Council Entry'!J$8),ISNUMBER('Council Entry'!J$9)),MAX(MIN('Council Entry'!J86,'Council Entry'!J$9),'Council Entry'!J$8),'Council Entry'!J86)),IF('Council Entry'!J$4="Exponential",EXP(IF(AND(ISNUMBER('Council Entry'!J$8),ISNUMBER('Council Entry'!J$9)),MAX(MIN('Council Entry'!J86,'Council Entry'!J$9),'Council Entry'!J$8),'Council Entry'!J86)),IF(AND(ISNUMBER('Council Entry'!J$8),ISNUMBER('Council Entry'!J$9)),MAX(MIN('Council Entry'!J86,'Council Entry'!J$9),'Council Entry'!J$8),'Council Entry'!J86))))-'Council Entry'!J$5)/('Council Entry'!J$6-'Council Entry'!J$5),10*((IF('Council Entry'!J$4="Logarithm",LN(0.001+IF(AND(ISNUMBER('Council Entry'!J$8),ISNUMBER('Council Entry'!J$9)),MAX(MIN('Council Entry'!J86,'Council Entry'!J$9),'Council Entry'!J$8),'Council Entry'!J86)),IF('Council Entry'!J$4="Exponential",EXP(IF(AND(ISNUMBER('Council Entry'!J$8),ISNUMBER('Council Entry'!J$9)),MAX(MIN('Council Entry'!J86,'Council Entry'!J$9),'Council Entry'!J$8),'Council Entry'!J86)),IF(AND(ISNUMBER('Council Entry'!J$8),ISNUMBER('Council Entry'!J$9)),MAX(MIN('Council Entry'!J86,'Council Entry'!J$9),'Council Entry'!J$8),'Council Entry'!J86))))-'Council Entry'!J$5)/('Council Entry'!J$6-'Council Entry'!J$5)),1))),"No data"))</f>
        <v/>
      </c>
      <c r="K86" s="13">
        <f>IF('Council Entry'!K86="","",IFERROR(MAX(0,MIN(10,ROUND(IF('Council Entry'!K$7="Decrease Risk",10-10*((IF('Council Entry'!K$4="Logarithm",LN(0.001+IF(AND(ISNUMBER('Council Entry'!K$8),ISNUMBER('Council Entry'!K$9)),MAX(MIN('Council Entry'!K86,'Council Entry'!K$9),'Council Entry'!K$8),'Council Entry'!K86)),IF('Council Entry'!K$4="Exponential",EXP(IF(AND(ISNUMBER('Council Entry'!K$8),ISNUMBER('Council Entry'!K$9)),MAX(MIN('Council Entry'!K86,'Council Entry'!K$9),'Council Entry'!K$8),'Council Entry'!K86)),IF(AND(ISNUMBER('Council Entry'!K$8),ISNUMBER('Council Entry'!K$9)),MAX(MIN('Council Entry'!K86,'Council Entry'!K$9),'Council Entry'!K$8),'Council Entry'!K86))))-'Council Entry'!K$5)/('Council Entry'!K$6-'Council Entry'!K$5),10*((IF('Council Entry'!K$4="Logarithm",LN(0.001+IF(AND(ISNUMBER('Council Entry'!K$8),ISNUMBER('Council Entry'!K$9)),MAX(MIN('Council Entry'!K86,'Council Entry'!K$9),'Council Entry'!K$8),'Council Entry'!K86)),IF('Council Entry'!K$4="Exponential",EXP(IF(AND(ISNUMBER('Council Entry'!K$8),ISNUMBER('Council Entry'!K$9)),MAX(MIN('Council Entry'!K86,'Council Entry'!K$9),'Council Entry'!K$8),'Council Entry'!K86)),IF(AND(ISNUMBER('Council Entry'!K$8),ISNUMBER('Council Entry'!K$9)),MAX(MIN('Council Entry'!K86,'Council Entry'!K$9),'Council Entry'!K$8),'Council Entry'!K86))))-'Council Entry'!K$5)/('Council Entry'!K$6-'Council Entry'!K$5)),1))),"No data"))</f>
        <v/>
      </c>
      <c r="L86" s="13">
        <f>IF('Council Entry'!L86="","",IFERROR(MAX(0,MIN(10,ROUND(IF('Council Entry'!L$7="Decrease Risk",10-10*((IF('Council Entry'!L$4="Logarithm",LN(0.001+IF(AND(ISNUMBER('Council Entry'!L$8),ISNUMBER('Council Entry'!L$9)),MAX(MIN('Council Entry'!L86,'Council Entry'!L$9),'Council Entry'!L$8),'Council Entry'!L86)),IF('Council Entry'!L$4="Exponential",EXP(IF(AND(ISNUMBER('Council Entry'!L$8),ISNUMBER('Council Entry'!L$9)),MAX(MIN('Council Entry'!L86,'Council Entry'!L$9),'Council Entry'!L$8),'Council Entry'!L86)),IF(AND(ISNUMBER('Council Entry'!L$8),ISNUMBER('Council Entry'!L$9)),MAX(MIN('Council Entry'!L86,'Council Entry'!L$9),'Council Entry'!L$8),'Council Entry'!L86))))-'Council Entry'!L$5)/('Council Entry'!L$6-'Council Entry'!L$5),10*((IF('Council Entry'!L$4="Logarithm",LN(0.001+IF(AND(ISNUMBER('Council Entry'!L$8),ISNUMBER('Council Entry'!L$9)),MAX(MIN('Council Entry'!L86,'Council Entry'!L$9),'Council Entry'!L$8),'Council Entry'!L86)),IF('Council Entry'!L$4="Exponential",EXP(IF(AND(ISNUMBER('Council Entry'!L$8),ISNUMBER('Council Entry'!L$9)),MAX(MIN('Council Entry'!L86,'Council Entry'!L$9),'Council Entry'!L$8),'Council Entry'!L86)),IF(AND(ISNUMBER('Council Entry'!L$8),ISNUMBER('Council Entry'!L$9)),MAX(MIN('Council Entry'!L86,'Council Entry'!L$9),'Council Entry'!L$8),'Council Entry'!L86))))-'Council Entry'!L$5)/('Council Entry'!L$6-'Council Entry'!L$5)),1))),"No data"))</f>
        <v/>
      </c>
      <c r="M86" s="13">
        <f>IF('Council Entry'!M86="","",IFERROR(MAX(0,MIN(10,ROUND(IF('Council Entry'!M$7="Decrease Risk",10-10*((IF('Council Entry'!M$4="Logarithm",LN(0.001+IF(AND(ISNUMBER('Council Entry'!M$8),ISNUMBER('Council Entry'!M$9)),MAX(MIN('Council Entry'!M86,'Council Entry'!M$9),'Council Entry'!M$8),'Council Entry'!M86)),IF('Council Entry'!M$4="Exponential",EXP(IF(AND(ISNUMBER('Council Entry'!M$8),ISNUMBER('Council Entry'!M$9)),MAX(MIN('Council Entry'!M86,'Council Entry'!M$9),'Council Entry'!M$8),'Council Entry'!M86)),IF(AND(ISNUMBER('Council Entry'!M$8),ISNUMBER('Council Entry'!M$9)),MAX(MIN('Council Entry'!M86,'Council Entry'!M$9),'Council Entry'!M$8),'Council Entry'!M86))))-'Council Entry'!M$5)/('Council Entry'!M$6-'Council Entry'!M$5),10*((IF('Council Entry'!M$4="Logarithm",LN(0.001+IF(AND(ISNUMBER('Council Entry'!M$8),ISNUMBER('Council Entry'!M$9)),MAX(MIN('Council Entry'!M86,'Council Entry'!M$9),'Council Entry'!M$8),'Council Entry'!M86)),IF('Council Entry'!M$4="Exponential",EXP(IF(AND(ISNUMBER('Council Entry'!M$8),ISNUMBER('Council Entry'!M$9)),MAX(MIN('Council Entry'!M86,'Council Entry'!M$9),'Council Entry'!M$8),'Council Entry'!M86)),IF(AND(ISNUMBER('Council Entry'!M$8),ISNUMBER('Council Entry'!M$9)),MAX(MIN('Council Entry'!M86,'Council Entry'!M$9),'Council Entry'!M$8),'Council Entry'!M86))))-'Council Entry'!M$5)/('Council Entry'!M$6-'Council Entry'!M$5)),1))),"No data"))</f>
        <v/>
      </c>
      <c r="N86" s="13">
        <f>IF('Council Entry'!N86="","",IFERROR(MAX(0,MIN(10,ROUND(IF('Council Entry'!N$7="Decrease Risk",10-10*((IF('Council Entry'!N$4="Logarithm",LN(0.001+IF(AND(ISNUMBER('Council Entry'!N$8),ISNUMBER('Council Entry'!N$9)),MAX(MIN('Council Entry'!N86,'Council Entry'!N$9),'Council Entry'!N$8),'Council Entry'!N86)),IF('Council Entry'!N$4="Exponential",EXP(IF(AND(ISNUMBER('Council Entry'!N$8),ISNUMBER('Council Entry'!N$9)),MAX(MIN('Council Entry'!N86,'Council Entry'!N$9),'Council Entry'!N$8),'Council Entry'!N86)),IF(AND(ISNUMBER('Council Entry'!N$8),ISNUMBER('Council Entry'!N$9)),MAX(MIN('Council Entry'!N86,'Council Entry'!N$9),'Council Entry'!N$8),'Council Entry'!N86))))-'Council Entry'!N$5)/('Council Entry'!N$6-'Council Entry'!N$5),10*((IF('Council Entry'!N$4="Logarithm",LN(0.001+IF(AND(ISNUMBER('Council Entry'!N$8),ISNUMBER('Council Entry'!N$9)),MAX(MIN('Council Entry'!N86,'Council Entry'!N$9),'Council Entry'!N$8),'Council Entry'!N86)),IF('Council Entry'!N$4="Exponential",EXP(IF(AND(ISNUMBER('Council Entry'!N$8),ISNUMBER('Council Entry'!N$9)),MAX(MIN('Council Entry'!N86,'Council Entry'!N$9),'Council Entry'!N$8),'Council Entry'!N86)),IF(AND(ISNUMBER('Council Entry'!N$8),ISNUMBER('Council Entry'!N$9)),MAX(MIN('Council Entry'!N86,'Council Entry'!N$9),'Council Entry'!N$8),'Council Entry'!N86))))-'Council Entry'!N$5)/('Council Entry'!N$6-'Council Entry'!N$5)),1))),"No data"))</f>
        <v/>
      </c>
      <c r="O86" s="13">
        <f>IF('Council Entry'!O86="","",IFERROR(MAX(0,MIN(10,ROUND(IF('Council Entry'!O$7="Decrease Risk",10-10*((IF('Council Entry'!O$4="Logarithm",LN(0.001+IF(AND(ISNUMBER('Council Entry'!O$8),ISNUMBER('Council Entry'!O$9)),MAX(MIN('Council Entry'!O86,'Council Entry'!O$9),'Council Entry'!O$8),'Council Entry'!O86)),IF('Council Entry'!O$4="Exponential",EXP(IF(AND(ISNUMBER('Council Entry'!O$8),ISNUMBER('Council Entry'!O$9)),MAX(MIN('Council Entry'!O86,'Council Entry'!O$9),'Council Entry'!O$8),'Council Entry'!O86)),IF(AND(ISNUMBER('Council Entry'!O$8),ISNUMBER('Council Entry'!O$9)),MAX(MIN('Council Entry'!O86,'Council Entry'!O$9),'Council Entry'!O$8),'Council Entry'!O86))))-'Council Entry'!O$5)/('Council Entry'!O$6-'Council Entry'!O$5),10*((IF('Council Entry'!O$4="Logarithm",LN(0.001+IF(AND(ISNUMBER('Council Entry'!O$8),ISNUMBER('Council Entry'!O$9)),MAX(MIN('Council Entry'!O86,'Council Entry'!O$9),'Council Entry'!O$8),'Council Entry'!O86)),IF('Council Entry'!O$4="Exponential",EXP(IF(AND(ISNUMBER('Council Entry'!O$8),ISNUMBER('Council Entry'!O$9)),MAX(MIN('Council Entry'!O86,'Council Entry'!O$9),'Council Entry'!O$8),'Council Entry'!O86)),IF(AND(ISNUMBER('Council Entry'!O$8),ISNUMBER('Council Entry'!O$9)),MAX(MIN('Council Entry'!O86,'Council Entry'!O$9),'Council Entry'!O$8),'Council Entry'!O86))))-'Council Entry'!O$5)/('Council Entry'!O$6-'Council Entry'!O$5)),1))),"No data"))</f>
        <v/>
      </c>
      <c r="P86" s="13">
        <f>IF('Council Entry'!P86="","",IFERROR(MAX(0,MIN(10,ROUND(IF('Council Entry'!P$7="Decrease Risk",10-10*((IF('Council Entry'!P$4="Logarithm",LN(0.001+IF(AND(ISNUMBER('Council Entry'!P$8),ISNUMBER('Council Entry'!P$9)),MAX(MIN('Council Entry'!P86,'Council Entry'!P$9),'Council Entry'!P$8),'Council Entry'!P86)),IF('Council Entry'!P$4="Exponential",EXP(IF(AND(ISNUMBER('Council Entry'!P$8),ISNUMBER('Council Entry'!P$9)),MAX(MIN('Council Entry'!P86,'Council Entry'!P$9),'Council Entry'!P$8),'Council Entry'!P86)),IF(AND(ISNUMBER('Council Entry'!P$8),ISNUMBER('Council Entry'!P$9)),MAX(MIN('Council Entry'!P86,'Council Entry'!P$9),'Council Entry'!P$8),'Council Entry'!P86))))-'Council Entry'!P$5)/('Council Entry'!P$6-'Council Entry'!P$5),10*((IF('Council Entry'!P$4="Logarithm",LN(0.001+IF(AND(ISNUMBER('Council Entry'!P$8),ISNUMBER('Council Entry'!P$9)),MAX(MIN('Council Entry'!P86,'Council Entry'!P$9),'Council Entry'!P$8),'Council Entry'!P86)),IF('Council Entry'!P$4="Exponential",EXP(IF(AND(ISNUMBER('Council Entry'!P$8),ISNUMBER('Council Entry'!P$9)),MAX(MIN('Council Entry'!P86,'Council Entry'!P$9),'Council Entry'!P$8),'Council Entry'!P86)),IF(AND(ISNUMBER('Council Entry'!P$8),ISNUMBER('Council Entry'!P$9)),MAX(MIN('Council Entry'!P86,'Council Entry'!P$9),'Council Entry'!P$8),'Council Entry'!P86))))-'Council Entry'!P$5)/('Council Entry'!P$6-'Council Entry'!P$5)),1))),"No data"))</f>
        <v/>
      </c>
      <c r="Q86" s="13">
        <f>IF('Council Entry'!Q86="","",IFERROR(MAX(0,MIN(10,ROUND(IF('Council Entry'!Q$7="Decrease Risk",10-10*((IF('Council Entry'!Q$4="Logarithm",LN(0.001+IF(AND(ISNUMBER('Council Entry'!Q$8),ISNUMBER('Council Entry'!Q$9)),MAX(MIN('Council Entry'!Q86,'Council Entry'!Q$9),'Council Entry'!Q$8),'Council Entry'!Q86)),IF('Council Entry'!Q$4="Exponential",EXP(IF(AND(ISNUMBER('Council Entry'!Q$8),ISNUMBER('Council Entry'!Q$9)),MAX(MIN('Council Entry'!Q86,'Council Entry'!Q$9),'Council Entry'!Q$8),'Council Entry'!Q86)),IF(AND(ISNUMBER('Council Entry'!Q$8),ISNUMBER('Council Entry'!Q$9)),MAX(MIN('Council Entry'!Q86,'Council Entry'!Q$9),'Council Entry'!Q$8),'Council Entry'!Q86))))-'Council Entry'!Q$5)/('Council Entry'!Q$6-'Council Entry'!Q$5),10*((IF('Council Entry'!Q$4="Logarithm",LN(0.001+IF(AND(ISNUMBER('Council Entry'!Q$8),ISNUMBER('Council Entry'!Q$9)),MAX(MIN('Council Entry'!Q86,'Council Entry'!Q$9),'Council Entry'!Q$8),'Council Entry'!Q86)),IF('Council Entry'!Q$4="Exponential",EXP(IF(AND(ISNUMBER('Council Entry'!Q$8),ISNUMBER('Council Entry'!Q$9)),MAX(MIN('Council Entry'!Q86,'Council Entry'!Q$9),'Council Entry'!Q$8),'Council Entry'!Q86)),IF(AND(ISNUMBER('Council Entry'!Q$8),ISNUMBER('Council Entry'!Q$9)),MAX(MIN('Council Entry'!Q86,'Council Entry'!Q$9),'Council Entry'!Q$8),'Council Entry'!Q86))))-'Council Entry'!Q$5)/('Council Entry'!Q$6-'Council Entry'!Q$5)),1))),"No data"))</f>
        <v/>
      </c>
      <c r="R86" s="13">
        <f>IF('Council Entry'!R86="","",IFERROR(MAX(0,MIN(10,ROUND(IF('Council Entry'!R$7="Decrease Risk",10-10*((IF('Council Entry'!R$4="Logarithm",LN(0.001+IF(AND(ISNUMBER('Council Entry'!R$8),ISNUMBER('Council Entry'!R$9)),MAX(MIN('Council Entry'!R86,'Council Entry'!R$9),'Council Entry'!R$8),'Council Entry'!R86)),IF('Council Entry'!R$4="Exponential",EXP(IF(AND(ISNUMBER('Council Entry'!R$8),ISNUMBER('Council Entry'!R$9)),MAX(MIN('Council Entry'!R86,'Council Entry'!R$9),'Council Entry'!R$8),'Council Entry'!R86)),IF(AND(ISNUMBER('Council Entry'!R$8),ISNUMBER('Council Entry'!R$9)),MAX(MIN('Council Entry'!R86,'Council Entry'!R$9),'Council Entry'!R$8),'Council Entry'!R86))))-'Council Entry'!R$5)/('Council Entry'!R$6-'Council Entry'!R$5),10*((IF('Council Entry'!R$4="Logarithm",LN(0.001+IF(AND(ISNUMBER('Council Entry'!R$8),ISNUMBER('Council Entry'!R$9)),MAX(MIN('Council Entry'!R86,'Council Entry'!R$9),'Council Entry'!R$8),'Council Entry'!R86)),IF('Council Entry'!R$4="Exponential",EXP(IF(AND(ISNUMBER('Council Entry'!R$8),ISNUMBER('Council Entry'!R$9)),MAX(MIN('Council Entry'!R86,'Council Entry'!R$9),'Council Entry'!R$8),'Council Entry'!R86)),IF(AND(ISNUMBER('Council Entry'!R$8),ISNUMBER('Council Entry'!R$9)),MAX(MIN('Council Entry'!R86,'Council Entry'!R$9),'Council Entry'!R$8),'Council Entry'!R86))))-'Council Entry'!R$5)/('Council Entry'!R$6-'Council Entry'!R$5)),1))),"No data"))</f>
        <v/>
      </c>
      <c r="S86" s="13">
        <f>IF('Council Entry'!S86="","",IFERROR(MAX(0,MIN(10,ROUND(IF('Council Entry'!S$7="Decrease Risk",10-10*((IF('Council Entry'!S$4="Logarithm",LN(0.001+IF(AND(ISNUMBER('Council Entry'!S$8),ISNUMBER('Council Entry'!S$9)),MAX(MIN('Council Entry'!S86,'Council Entry'!S$9),'Council Entry'!S$8),'Council Entry'!S86)),IF('Council Entry'!S$4="Exponential",EXP(IF(AND(ISNUMBER('Council Entry'!S$8),ISNUMBER('Council Entry'!S$9)),MAX(MIN('Council Entry'!S86,'Council Entry'!S$9),'Council Entry'!S$8),'Council Entry'!S86)),IF(AND(ISNUMBER('Council Entry'!S$8),ISNUMBER('Council Entry'!S$9)),MAX(MIN('Council Entry'!S86,'Council Entry'!S$9),'Council Entry'!S$8),'Council Entry'!S86))))-'Council Entry'!S$5)/('Council Entry'!S$6-'Council Entry'!S$5),10*((IF('Council Entry'!S$4="Logarithm",LN(0.001+IF(AND(ISNUMBER('Council Entry'!S$8),ISNUMBER('Council Entry'!S$9)),MAX(MIN('Council Entry'!S86,'Council Entry'!S$9),'Council Entry'!S$8),'Council Entry'!S86)),IF('Council Entry'!S$4="Exponential",EXP(IF(AND(ISNUMBER('Council Entry'!S$8),ISNUMBER('Council Entry'!S$9)),MAX(MIN('Council Entry'!S86,'Council Entry'!S$9),'Council Entry'!S$8),'Council Entry'!S86)),IF(AND(ISNUMBER('Council Entry'!S$8),ISNUMBER('Council Entry'!S$9)),MAX(MIN('Council Entry'!S86,'Council Entry'!S$9),'Council Entry'!S$8),'Council Entry'!S86))))-'Council Entry'!S$5)/('Council Entry'!S$6-'Council Entry'!S$5)),1))),"No data"))</f>
        <v/>
      </c>
      <c r="T86" s="13">
        <f>IF('Council Entry'!T86="","",IFERROR(MAX(0,MIN(10,ROUND(IF('Council Entry'!T$7="Decrease Risk",10-10*((IF('Council Entry'!T$4="Logarithm",LN(0.001+IF(AND(ISNUMBER('Council Entry'!T$8),ISNUMBER('Council Entry'!T$9)),MAX(MIN('Council Entry'!T86,'Council Entry'!T$9),'Council Entry'!T$8),'Council Entry'!T86)),IF('Council Entry'!T$4="Exponential",EXP(IF(AND(ISNUMBER('Council Entry'!T$8),ISNUMBER('Council Entry'!T$9)),MAX(MIN('Council Entry'!T86,'Council Entry'!T$9),'Council Entry'!T$8),'Council Entry'!T86)),IF(AND(ISNUMBER('Council Entry'!T$8),ISNUMBER('Council Entry'!T$9)),MAX(MIN('Council Entry'!T86,'Council Entry'!T$9),'Council Entry'!T$8),'Council Entry'!T86))))-'Council Entry'!T$5)/('Council Entry'!T$6-'Council Entry'!T$5),10*((IF('Council Entry'!T$4="Logarithm",LN(0.001+IF(AND(ISNUMBER('Council Entry'!T$8),ISNUMBER('Council Entry'!T$9)),MAX(MIN('Council Entry'!T86,'Council Entry'!T$9),'Council Entry'!T$8),'Council Entry'!T86)),IF('Council Entry'!T$4="Exponential",EXP(IF(AND(ISNUMBER('Council Entry'!T$8),ISNUMBER('Council Entry'!T$9)),MAX(MIN('Council Entry'!T86,'Council Entry'!T$9),'Council Entry'!T$8),'Council Entry'!T86)),IF(AND(ISNUMBER('Council Entry'!T$8),ISNUMBER('Council Entry'!T$9)),MAX(MIN('Council Entry'!T86,'Council Entry'!T$9),'Council Entry'!T$8),'Council Entry'!T86))))-'Council Entry'!T$5)/('Council Entry'!T$6-'Council Entry'!T$5)),1))),"No data"))</f>
        <v/>
      </c>
      <c r="U86" s="13">
        <f>IF('Council Entry'!U86="","",IFERROR(MAX(0,MIN(10,ROUND(IF('Council Entry'!U$7="Decrease Risk",10-10*((IF('Council Entry'!U$4="Logarithm",LN(0.001+IF(AND(ISNUMBER('Council Entry'!U$8),ISNUMBER('Council Entry'!U$9)),MAX(MIN('Council Entry'!U86,'Council Entry'!U$9),'Council Entry'!U$8),'Council Entry'!U86)),IF('Council Entry'!U$4="Exponential",EXP(IF(AND(ISNUMBER('Council Entry'!U$8),ISNUMBER('Council Entry'!U$9)),MAX(MIN('Council Entry'!U86,'Council Entry'!U$9),'Council Entry'!U$8),'Council Entry'!U86)),IF(AND(ISNUMBER('Council Entry'!U$8),ISNUMBER('Council Entry'!U$9)),MAX(MIN('Council Entry'!U86,'Council Entry'!U$9),'Council Entry'!U$8),'Council Entry'!U86))))-'Council Entry'!U$5)/('Council Entry'!U$6-'Council Entry'!U$5),10*((IF('Council Entry'!U$4="Logarithm",LN(0.001+IF(AND(ISNUMBER('Council Entry'!U$8),ISNUMBER('Council Entry'!U$9)),MAX(MIN('Council Entry'!U86,'Council Entry'!U$9),'Council Entry'!U$8),'Council Entry'!U86)),IF('Council Entry'!U$4="Exponential",EXP(IF(AND(ISNUMBER('Council Entry'!U$8),ISNUMBER('Council Entry'!U$9)),MAX(MIN('Council Entry'!U86,'Council Entry'!U$9),'Council Entry'!U$8),'Council Entry'!U86)),IF(AND(ISNUMBER('Council Entry'!U$8),ISNUMBER('Council Entry'!U$9)),MAX(MIN('Council Entry'!U86,'Council Entry'!U$9),'Council Entry'!U$8),'Council Entry'!U86))))-'Council Entry'!U$5)/('Council Entry'!U$6-'Council Entry'!U$5)),1))),"No data"))</f>
        <v/>
      </c>
      <c r="V86" s="13">
        <f>IF('Council Entry'!V86="","",IFERROR(MAX(0,MIN(10,ROUND(IF('Council Entry'!V$7="Decrease Risk",10-10*((IF('Council Entry'!V$4="Logarithm",LN(0.001+IF(AND(ISNUMBER('Council Entry'!V$8),ISNUMBER('Council Entry'!V$9)),MAX(MIN('Council Entry'!V86,'Council Entry'!V$9),'Council Entry'!V$8),'Council Entry'!V86)),IF('Council Entry'!V$4="Exponential",EXP(IF(AND(ISNUMBER('Council Entry'!V$8),ISNUMBER('Council Entry'!V$9)),MAX(MIN('Council Entry'!V86,'Council Entry'!V$9),'Council Entry'!V$8),'Council Entry'!V86)),IF(AND(ISNUMBER('Council Entry'!V$8),ISNUMBER('Council Entry'!V$9)),MAX(MIN('Council Entry'!V86,'Council Entry'!V$9),'Council Entry'!V$8),'Council Entry'!V86))))-'Council Entry'!V$5)/('Council Entry'!V$6-'Council Entry'!V$5),10*((IF('Council Entry'!V$4="Logarithm",LN(0.001+IF(AND(ISNUMBER('Council Entry'!V$8),ISNUMBER('Council Entry'!V$9)),MAX(MIN('Council Entry'!V86,'Council Entry'!V$9),'Council Entry'!V$8),'Council Entry'!V86)),IF('Council Entry'!V$4="Exponential",EXP(IF(AND(ISNUMBER('Council Entry'!V$8),ISNUMBER('Council Entry'!V$9)),MAX(MIN('Council Entry'!V86,'Council Entry'!V$9),'Council Entry'!V$8),'Council Entry'!V86)),IF(AND(ISNUMBER('Council Entry'!V$8),ISNUMBER('Council Entry'!V$9)),MAX(MIN('Council Entry'!V86,'Council Entry'!V$9),'Council Entry'!V$8),'Council Entry'!V86))))-'Council Entry'!V$5)/('Council Entry'!V$6-'Council Entry'!V$5)),1))),"No data"))</f>
        <v/>
      </c>
      <c r="W86" s="13">
        <f>IF('Council Entry'!W86="","",IFERROR(MAX(0,MIN(10,ROUND(IF('Council Entry'!W$7="Decrease Risk",10-10*((IF('Council Entry'!W$4="Logarithm",LN(0.001+IF(AND(ISNUMBER('Council Entry'!W$8),ISNUMBER('Council Entry'!W$9)),MAX(MIN('Council Entry'!W86,'Council Entry'!W$9),'Council Entry'!W$8),'Council Entry'!W86)),IF('Council Entry'!W$4="Exponential",EXP(IF(AND(ISNUMBER('Council Entry'!W$8),ISNUMBER('Council Entry'!W$9)),MAX(MIN('Council Entry'!W86,'Council Entry'!W$9),'Council Entry'!W$8),'Council Entry'!W86)),IF(AND(ISNUMBER('Council Entry'!W$8),ISNUMBER('Council Entry'!W$9)),MAX(MIN('Council Entry'!W86,'Council Entry'!W$9),'Council Entry'!W$8),'Council Entry'!W86))))-'Council Entry'!W$5)/('Council Entry'!W$6-'Council Entry'!W$5),10*((IF('Council Entry'!W$4="Logarithm",LN(0.001+IF(AND(ISNUMBER('Council Entry'!W$8),ISNUMBER('Council Entry'!W$9)),MAX(MIN('Council Entry'!W86,'Council Entry'!W$9),'Council Entry'!W$8),'Council Entry'!W86)),IF('Council Entry'!W$4="Exponential",EXP(IF(AND(ISNUMBER('Council Entry'!W$8),ISNUMBER('Council Entry'!W$9)),MAX(MIN('Council Entry'!W86,'Council Entry'!W$9),'Council Entry'!W$8),'Council Entry'!W86)),IF(AND(ISNUMBER('Council Entry'!W$8),ISNUMBER('Council Entry'!W$9)),MAX(MIN('Council Entry'!W86,'Council Entry'!W$9),'Council Entry'!W$8),'Council Entry'!W86))))-'Council Entry'!W$5)/('Council Entry'!W$6-'Council Entry'!W$5)),1))),"No data"))</f>
        <v/>
      </c>
      <c r="X86" s="13">
        <f>IF('Council Entry'!X86="","",IFERROR(MAX(0,MIN(10,ROUND(IF('Council Entry'!X$7="Decrease Risk",10-10*((IF('Council Entry'!X$4="Logarithm",LN(0.001+IF(AND(ISNUMBER('Council Entry'!X$8),ISNUMBER('Council Entry'!X$9)),MAX(MIN('Council Entry'!X86,'Council Entry'!X$9),'Council Entry'!X$8),'Council Entry'!X86)),IF('Council Entry'!X$4="Exponential",EXP(IF(AND(ISNUMBER('Council Entry'!X$8),ISNUMBER('Council Entry'!X$9)),MAX(MIN('Council Entry'!X86,'Council Entry'!X$9),'Council Entry'!X$8),'Council Entry'!X86)),IF(AND(ISNUMBER('Council Entry'!X$8),ISNUMBER('Council Entry'!X$9)),MAX(MIN('Council Entry'!X86,'Council Entry'!X$9),'Council Entry'!X$8),'Council Entry'!X86))))-'Council Entry'!X$5)/('Council Entry'!X$6-'Council Entry'!X$5),10*((IF('Council Entry'!X$4="Logarithm",LN(0.001+IF(AND(ISNUMBER('Council Entry'!X$8),ISNUMBER('Council Entry'!X$9)),MAX(MIN('Council Entry'!X86,'Council Entry'!X$9),'Council Entry'!X$8),'Council Entry'!X86)),IF('Council Entry'!X$4="Exponential",EXP(IF(AND(ISNUMBER('Council Entry'!X$8),ISNUMBER('Council Entry'!X$9)),MAX(MIN('Council Entry'!X86,'Council Entry'!X$9),'Council Entry'!X$8),'Council Entry'!X86)),IF(AND(ISNUMBER('Council Entry'!X$8),ISNUMBER('Council Entry'!X$9)),MAX(MIN('Council Entry'!X86,'Council Entry'!X$9),'Council Entry'!X$8),'Council Entry'!X86))))-'Council Entry'!X$5)/('Council Entry'!X$6-'Council Entry'!X$5)),1))),"No data"))</f>
        <v/>
      </c>
      <c r="Y86" s="13">
        <f>IF('Council Entry'!Y86="","",IFERROR(MAX(0,MIN(10,ROUND(IF('Council Entry'!Y$7="Decrease Risk",10-10*((IF('Council Entry'!Y$4="Logarithm",LN(0.001+IF(AND(ISNUMBER('Council Entry'!Y$8),ISNUMBER('Council Entry'!Y$9)),MAX(MIN('Council Entry'!Y86,'Council Entry'!Y$9),'Council Entry'!Y$8),'Council Entry'!Y86)),IF('Council Entry'!Y$4="Exponential",EXP(IF(AND(ISNUMBER('Council Entry'!Y$8),ISNUMBER('Council Entry'!Y$9)),MAX(MIN('Council Entry'!Y86,'Council Entry'!Y$9),'Council Entry'!Y$8),'Council Entry'!Y86)),IF(AND(ISNUMBER('Council Entry'!Y$8),ISNUMBER('Council Entry'!Y$9)),MAX(MIN('Council Entry'!Y86,'Council Entry'!Y$9),'Council Entry'!Y$8),'Council Entry'!Y86))))-'Council Entry'!Y$5)/('Council Entry'!Y$6-'Council Entry'!Y$5),10*((IF('Council Entry'!Y$4="Logarithm",LN(0.001+IF(AND(ISNUMBER('Council Entry'!Y$8),ISNUMBER('Council Entry'!Y$9)),MAX(MIN('Council Entry'!Y86,'Council Entry'!Y$9),'Council Entry'!Y$8),'Council Entry'!Y86)),IF('Council Entry'!Y$4="Exponential",EXP(IF(AND(ISNUMBER('Council Entry'!Y$8),ISNUMBER('Council Entry'!Y$9)),MAX(MIN('Council Entry'!Y86,'Council Entry'!Y$9),'Council Entry'!Y$8),'Council Entry'!Y86)),IF(AND(ISNUMBER('Council Entry'!Y$8),ISNUMBER('Council Entry'!Y$9)),MAX(MIN('Council Entry'!Y86,'Council Entry'!Y$9),'Council Entry'!Y$8),'Council Entry'!Y86))))-'Council Entry'!Y$5)/('Council Entry'!Y$6-'Council Entry'!Y$5)),1))),"No data"))</f>
        <v/>
      </c>
      <c r="Z86" s="13">
        <f>IF('Council Entry'!Z86="","",IFERROR(MAX(0,MIN(10,ROUND(IF('Council Entry'!Z$7="Decrease Risk",10-10*((IF('Council Entry'!Z$4="Logarithm",LN(0.001+IF(AND(ISNUMBER('Council Entry'!Z$8),ISNUMBER('Council Entry'!Z$9)),MAX(MIN('Council Entry'!Z86,'Council Entry'!Z$9),'Council Entry'!Z$8),'Council Entry'!Z86)),IF('Council Entry'!Z$4="Exponential",EXP(IF(AND(ISNUMBER('Council Entry'!Z$8),ISNUMBER('Council Entry'!Z$9)),MAX(MIN('Council Entry'!Z86,'Council Entry'!Z$9),'Council Entry'!Z$8),'Council Entry'!Z86)),IF(AND(ISNUMBER('Council Entry'!Z$8),ISNUMBER('Council Entry'!Z$9)),MAX(MIN('Council Entry'!Z86,'Council Entry'!Z$9),'Council Entry'!Z$8),'Council Entry'!Z86))))-'Council Entry'!Z$5)/('Council Entry'!Z$6-'Council Entry'!Z$5),10*((IF('Council Entry'!Z$4="Logarithm",LN(0.001+IF(AND(ISNUMBER('Council Entry'!Z$8),ISNUMBER('Council Entry'!Z$9)),MAX(MIN('Council Entry'!Z86,'Council Entry'!Z$9),'Council Entry'!Z$8),'Council Entry'!Z86)),IF('Council Entry'!Z$4="Exponential",EXP(IF(AND(ISNUMBER('Council Entry'!Z$8),ISNUMBER('Council Entry'!Z$9)),MAX(MIN('Council Entry'!Z86,'Council Entry'!Z$9),'Council Entry'!Z$8),'Council Entry'!Z86)),IF(AND(ISNUMBER('Council Entry'!Z$8),ISNUMBER('Council Entry'!Z$9)),MAX(MIN('Council Entry'!Z86,'Council Entry'!Z$9),'Council Entry'!Z$8),'Council Entry'!Z86))))-'Council Entry'!Z$5)/('Council Entry'!Z$6-'Council Entry'!Z$5)),1))),"No data"))</f>
        <v/>
      </c>
      <c r="AA86" s="13">
        <f>IF('Council Entry'!AA86="","",IFERROR(MAX(0,MIN(10,ROUND(IF('Council Entry'!AA$7="Decrease Risk",10-10*((IF('Council Entry'!AA$4="Logarithm",LN(0.001+IF(AND(ISNUMBER('Council Entry'!AA$8),ISNUMBER('Council Entry'!AA$9)),MAX(MIN('Council Entry'!AA86,'Council Entry'!AA$9),'Council Entry'!AA$8),'Council Entry'!AA86)),IF('Council Entry'!AA$4="Exponential",EXP(IF(AND(ISNUMBER('Council Entry'!AA$8),ISNUMBER('Council Entry'!AA$9)),MAX(MIN('Council Entry'!AA86,'Council Entry'!AA$9),'Council Entry'!AA$8),'Council Entry'!AA86)),IF(AND(ISNUMBER('Council Entry'!AA$8),ISNUMBER('Council Entry'!AA$9)),MAX(MIN('Council Entry'!AA86,'Council Entry'!AA$9),'Council Entry'!AA$8),'Council Entry'!AA86))))-'Council Entry'!AA$5)/('Council Entry'!AA$6-'Council Entry'!AA$5),10*((IF('Council Entry'!AA$4="Logarithm",LN(0.001+IF(AND(ISNUMBER('Council Entry'!AA$8),ISNUMBER('Council Entry'!AA$9)),MAX(MIN('Council Entry'!AA86,'Council Entry'!AA$9),'Council Entry'!AA$8),'Council Entry'!AA86)),IF('Council Entry'!AA$4="Exponential",EXP(IF(AND(ISNUMBER('Council Entry'!AA$8),ISNUMBER('Council Entry'!AA$9)),MAX(MIN('Council Entry'!AA86,'Council Entry'!AA$9),'Council Entry'!AA$8),'Council Entry'!AA86)),IF(AND(ISNUMBER('Council Entry'!AA$8),ISNUMBER('Council Entry'!AA$9)),MAX(MIN('Council Entry'!AA86,'Council Entry'!AA$9),'Council Entry'!AA$8),'Council Entry'!AA86))))-'Council Entry'!AA$5)/('Council Entry'!AA$6-'Council Entry'!AA$5)),1))),"No data"))</f>
        <v/>
      </c>
      <c r="AB86" s="13">
        <f>IF('Council Entry'!AB86="","",IFERROR(MAX(0,MIN(10,ROUND(IF('Council Entry'!AB$7="Decrease Risk",10-10*((IF('Council Entry'!AB$4="Logarithm",LN(0.001+IF(AND(ISNUMBER('Council Entry'!AB$8),ISNUMBER('Council Entry'!AB$9)),MAX(MIN('Council Entry'!AB86,'Council Entry'!AB$9),'Council Entry'!AB$8),'Council Entry'!AB86)),IF('Council Entry'!AB$4="Exponential",EXP(IF(AND(ISNUMBER('Council Entry'!AB$8),ISNUMBER('Council Entry'!AB$9)),MAX(MIN('Council Entry'!AB86,'Council Entry'!AB$9),'Council Entry'!AB$8),'Council Entry'!AB86)),IF(AND(ISNUMBER('Council Entry'!AB$8),ISNUMBER('Council Entry'!AB$9)),MAX(MIN('Council Entry'!AB86,'Council Entry'!AB$9),'Council Entry'!AB$8),'Council Entry'!AB86))))-'Council Entry'!AB$5)/('Council Entry'!AB$6-'Council Entry'!AB$5),10*((IF('Council Entry'!AB$4="Logarithm",LN(0.001+IF(AND(ISNUMBER('Council Entry'!AB$8),ISNUMBER('Council Entry'!AB$9)),MAX(MIN('Council Entry'!AB86,'Council Entry'!AB$9),'Council Entry'!AB$8),'Council Entry'!AB86)),IF('Council Entry'!AB$4="Exponential",EXP(IF(AND(ISNUMBER('Council Entry'!AB$8),ISNUMBER('Council Entry'!AB$9)),MAX(MIN('Council Entry'!AB86,'Council Entry'!AB$9),'Council Entry'!AB$8),'Council Entry'!AB86)),IF(AND(ISNUMBER('Council Entry'!AB$8),ISNUMBER('Council Entry'!AB$9)),MAX(MIN('Council Entry'!AB86,'Council Entry'!AB$9),'Council Entry'!AB$8),'Council Entry'!AB86))))-'Council Entry'!AB$5)/('Council Entry'!AB$6-'Council Entry'!AB$5)),1))),"No data"))</f>
        <v/>
      </c>
      <c r="AC86" s="13">
        <f>IF('Council Entry'!AC86="","",IFERROR(MAX(0,MIN(10,ROUND(IF('Council Entry'!AC$7="Decrease Risk",10-10*((IF('Council Entry'!AC$4="Logarithm",LN(0.001+IF(AND(ISNUMBER('Council Entry'!AC$8),ISNUMBER('Council Entry'!AC$9)),MAX(MIN('Council Entry'!AC86,'Council Entry'!AC$9),'Council Entry'!AC$8),'Council Entry'!AC86)),IF('Council Entry'!AC$4="Exponential",EXP(IF(AND(ISNUMBER('Council Entry'!AC$8),ISNUMBER('Council Entry'!AC$9)),MAX(MIN('Council Entry'!AC86,'Council Entry'!AC$9),'Council Entry'!AC$8),'Council Entry'!AC86)),IF(AND(ISNUMBER('Council Entry'!AC$8),ISNUMBER('Council Entry'!AC$9)),MAX(MIN('Council Entry'!AC86,'Council Entry'!AC$9),'Council Entry'!AC$8),'Council Entry'!AC86))))-'Council Entry'!AC$5)/('Council Entry'!AC$6-'Council Entry'!AC$5),10*((IF('Council Entry'!AC$4="Logarithm",LN(0.001+IF(AND(ISNUMBER('Council Entry'!AC$8),ISNUMBER('Council Entry'!AC$9)),MAX(MIN('Council Entry'!AC86,'Council Entry'!AC$9),'Council Entry'!AC$8),'Council Entry'!AC86)),IF('Council Entry'!AC$4="Exponential",EXP(IF(AND(ISNUMBER('Council Entry'!AC$8),ISNUMBER('Council Entry'!AC$9)),MAX(MIN('Council Entry'!AC86,'Council Entry'!AC$9),'Council Entry'!AC$8),'Council Entry'!AC86)),IF(AND(ISNUMBER('Council Entry'!AC$8),ISNUMBER('Council Entry'!AC$9)),MAX(MIN('Council Entry'!AC86,'Council Entry'!AC$9),'Council Entry'!AC$8),'Council Entry'!AC86))))-'Council Entry'!AC$5)/('Council Entry'!AC$6-'Council Entry'!AC$5)),1))),"No data"))</f>
        <v/>
      </c>
      <c r="AD86" s="13">
        <f>IF('Council Entry'!AD86="","",IFERROR(MAX(0,MIN(10,ROUND(IF('Council Entry'!AD$7="Decrease Risk",10-10*((IF('Council Entry'!AD$4="Logarithm",LN(0.001+IF(AND(ISNUMBER('Council Entry'!AD$8),ISNUMBER('Council Entry'!AD$9)),MAX(MIN('Council Entry'!AD86,'Council Entry'!AD$9),'Council Entry'!AD$8),'Council Entry'!AD86)),IF('Council Entry'!AD$4="Exponential",EXP(IF(AND(ISNUMBER('Council Entry'!AD$8),ISNUMBER('Council Entry'!AD$9)),MAX(MIN('Council Entry'!AD86,'Council Entry'!AD$9),'Council Entry'!AD$8),'Council Entry'!AD86)),IF(AND(ISNUMBER('Council Entry'!AD$8),ISNUMBER('Council Entry'!AD$9)),MAX(MIN('Council Entry'!AD86,'Council Entry'!AD$9),'Council Entry'!AD$8),'Council Entry'!AD86))))-'Council Entry'!AD$5)/('Council Entry'!AD$6-'Council Entry'!AD$5),10*((IF('Council Entry'!AD$4="Logarithm",LN(0.001+IF(AND(ISNUMBER('Council Entry'!AD$8),ISNUMBER('Council Entry'!AD$9)),MAX(MIN('Council Entry'!AD86,'Council Entry'!AD$9),'Council Entry'!AD$8),'Council Entry'!AD86)),IF('Council Entry'!AD$4="Exponential",EXP(IF(AND(ISNUMBER('Council Entry'!AD$8),ISNUMBER('Council Entry'!AD$9)),MAX(MIN('Council Entry'!AD86,'Council Entry'!AD$9),'Council Entry'!AD$8),'Council Entry'!AD86)),IF(AND(ISNUMBER('Council Entry'!AD$8),ISNUMBER('Council Entry'!AD$9)),MAX(MIN('Council Entry'!AD86,'Council Entry'!AD$9),'Council Entry'!AD$8),'Council Entry'!AD86))))-'Council Entry'!AD$5)/('Council Entry'!AD$6-'Council Entry'!AD$5)),1))),"No data"))</f>
        <v/>
      </c>
      <c r="AE86" s="13">
        <f>IF('Council Entry'!AE86="","",IFERROR(MAX(0,MIN(10,ROUND(IF('Council Entry'!AE$7="Decrease Risk",10-10*((IF('Council Entry'!AE$4="Logarithm",LN(0.001+IF(AND(ISNUMBER('Council Entry'!AE$8),ISNUMBER('Council Entry'!AE$9)),MAX(MIN('Council Entry'!AE86,'Council Entry'!AE$9),'Council Entry'!AE$8),'Council Entry'!AE86)),IF('Council Entry'!AE$4="Exponential",EXP(IF(AND(ISNUMBER('Council Entry'!AE$8),ISNUMBER('Council Entry'!AE$9)),MAX(MIN('Council Entry'!AE86,'Council Entry'!AE$9),'Council Entry'!AE$8),'Council Entry'!AE86)),IF(AND(ISNUMBER('Council Entry'!AE$8),ISNUMBER('Council Entry'!AE$9)),MAX(MIN('Council Entry'!AE86,'Council Entry'!AE$9),'Council Entry'!AE$8),'Council Entry'!AE86))))-'Council Entry'!AE$5)/('Council Entry'!AE$6-'Council Entry'!AE$5),10*((IF('Council Entry'!AE$4="Logarithm",LN(0.001+IF(AND(ISNUMBER('Council Entry'!AE$8),ISNUMBER('Council Entry'!AE$9)),MAX(MIN('Council Entry'!AE86,'Council Entry'!AE$9),'Council Entry'!AE$8),'Council Entry'!AE86)),IF('Council Entry'!AE$4="Exponential",EXP(IF(AND(ISNUMBER('Council Entry'!AE$8),ISNUMBER('Council Entry'!AE$9)),MAX(MIN('Council Entry'!AE86,'Council Entry'!AE$9),'Council Entry'!AE$8),'Council Entry'!AE86)),IF(AND(ISNUMBER('Council Entry'!AE$8),ISNUMBER('Council Entry'!AE$9)),MAX(MIN('Council Entry'!AE86,'Council Entry'!AE$9),'Council Entry'!AE$8),'Council Entry'!AE86))))-'Council Entry'!AE$5)/('Council Entry'!AE$6-'Council Entry'!AE$5)),1))),"No data"))</f>
        <v/>
      </c>
      <c r="AF86" s="13">
        <f>IF('Council Entry'!AF86="","",IFERROR(MAX(0,MIN(10,ROUND(IF('Council Entry'!AF$7="Decrease Risk",10-10*((IF('Council Entry'!AF$4="Logarithm",LN(0.001+IF(AND(ISNUMBER('Council Entry'!AF$8),ISNUMBER('Council Entry'!AF$9)),MAX(MIN('Council Entry'!AF86,'Council Entry'!AF$9),'Council Entry'!AF$8),'Council Entry'!AF86)),IF('Council Entry'!AF$4="Exponential",EXP(IF(AND(ISNUMBER('Council Entry'!AF$8),ISNUMBER('Council Entry'!AF$9)),MAX(MIN('Council Entry'!AF86,'Council Entry'!AF$9),'Council Entry'!AF$8),'Council Entry'!AF86)),IF(AND(ISNUMBER('Council Entry'!AF$8),ISNUMBER('Council Entry'!AF$9)),MAX(MIN('Council Entry'!AF86,'Council Entry'!AF$9),'Council Entry'!AF$8),'Council Entry'!AF86))))-'Council Entry'!AF$5)/('Council Entry'!AF$6-'Council Entry'!AF$5),10*((IF('Council Entry'!AF$4="Logarithm",LN(0.001+IF(AND(ISNUMBER('Council Entry'!AF$8),ISNUMBER('Council Entry'!AF$9)),MAX(MIN('Council Entry'!AF86,'Council Entry'!AF$9),'Council Entry'!AF$8),'Council Entry'!AF86)),IF('Council Entry'!AF$4="Exponential",EXP(IF(AND(ISNUMBER('Council Entry'!AF$8),ISNUMBER('Council Entry'!AF$9)),MAX(MIN('Council Entry'!AF86,'Council Entry'!AF$9),'Council Entry'!AF$8),'Council Entry'!AF86)),IF(AND(ISNUMBER('Council Entry'!AF$8),ISNUMBER('Council Entry'!AF$9)),MAX(MIN('Council Entry'!AF86,'Council Entry'!AF$9),'Council Entry'!AF$8),'Council Entry'!AF86))))-'Council Entry'!AF$5)/('Council Entry'!AF$6-'Council Entry'!AF$5)),1))),"No data"))</f>
        <v/>
      </c>
      <c r="AG86" s="13">
        <f>IF('Council Entry'!AG86="","",IFERROR(MAX(0,MIN(10,ROUND(IF('Council Entry'!AG$7="Decrease Risk",10-10*((IF('Council Entry'!AG$4="Logarithm",LN(0.001+IF(AND(ISNUMBER('Council Entry'!AG$8),ISNUMBER('Council Entry'!AG$9)),MAX(MIN('Council Entry'!AG86,'Council Entry'!AG$9),'Council Entry'!AG$8),'Council Entry'!AG86)),IF('Council Entry'!AG$4="Exponential",EXP(IF(AND(ISNUMBER('Council Entry'!AG$8),ISNUMBER('Council Entry'!AG$9)),MAX(MIN('Council Entry'!AG86,'Council Entry'!AG$9),'Council Entry'!AG$8),'Council Entry'!AG86)),IF(AND(ISNUMBER('Council Entry'!AG$8),ISNUMBER('Council Entry'!AG$9)),MAX(MIN('Council Entry'!AG86,'Council Entry'!AG$9),'Council Entry'!AG$8),'Council Entry'!AG86))))-'Council Entry'!AG$5)/('Council Entry'!AG$6-'Council Entry'!AG$5),10*((IF('Council Entry'!AG$4="Logarithm",LN(0.001+IF(AND(ISNUMBER('Council Entry'!AG$8),ISNUMBER('Council Entry'!AG$9)),MAX(MIN('Council Entry'!AG86,'Council Entry'!AG$9),'Council Entry'!AG$8),'Council Entry'!AG86)),IF('Council Entry'!AG$4="Exponential",EXP(IF(AND(ISNUMBER('Council Entry'!AG$8),ISNUMBER('Council Entry'!AG$9)),MAX(MIN('Council Entry'!AG86,'Council Entry'!AG$9),'Council Entry'!AG$8),'Council Entry'!AG86)),IF(AND(ISNUMBER('Council Entry'!AG$8),ISNUMBER('Council Entry'!AG$9)),MAX(MIN('Council Entry'!AG86,'Council Entry'!AG$9),'Council Entry'!AG$8),'Council Entry'!AG86))))-'Council Entry'!AG$5)/('Council Entry'!AG$6-'Council Entry'!AG$5)),1))),"No data"))</f>
        <v/>
      </c>
      <c r="AH86" s="13">
        <f>IF('Council Entry'!AH86="","",IFERROR(MAX(0,MIN(10,ROUND(IF('Council Entry'!AH$7="Decrease Risk",10-10*((IF('Council Entry'!AH$4="Logarithm",LN(0.001+IF(AND(ISNUMBER('Council Entry'!AH$8),ISNUMBER('Council Entry'!AH$9)),MAX(MIN('Council Entry'!AH86,'Council Entry'!AH$9),'Council Entry'!AH$8),'Council Entry'!AH86)),IF('Council Entry'!AH$4="Exponential",EXP(IF(AND(ISNUMBER('Council Entry'!AH$8),ISNUMBER('Council Entry'!AH$9)),MAX(MIN('Council Entry'!AH86,'Council Entry'!AH$9),'Council Entry'!AH$8),'Council Entry'!AH86)),IF(AND(ISNUMBER('Council Entry'!AH$8),ISNUMBER('Council Entry'!AH$9)),MAX(MIN('Council Entry'!AH86,'Council Entry'!AH$9),'Council Entry'!AH$8),'Council Entry'!AH86))))-'Council Entry'!AH$5)/('Council Entry'!AH$6-'Council Entry'!AH$5),10*((IF('Council Entry'!AH$4="Logarithm",LN(0.001+IF(AND(ISNUMBER('Council Entry'!AH$8),ISNUMBER('Council Entry'!AH$9)),MAX(MIN('Council Entry'!AH86,'Council Entry'!AH$9),'Council Entry'!AH$8),'Council Entry'!AH86)),IF('Council Entry'!AH$4="Exponential",EXP(IF(AND(ISNUMBER('Council Entry'!AH$8),ISNUMBER('Council Entry'!AH$9)),MAX(MIN('Council Entry'!AH86,'Council Entry'!AH$9),'Council Entry'!AH$8),'Council Entry'!AH86)),IF(AND(ISNUMBER('Council Entry'!AH$8),ISNUMBER('Council Entry'!AH$9)),MAX(MIN('Council Entry'!AH86,'Council Entry'!AH$9),'Council Entry'!AH$8),'Council Entry'!AH86))))-'Council Entry'!AH$5)/('Council Entry'!AH$6-'Council Entry'!AH$5)),1))),"No data"))</f>
        <v/>
      </c>
      <c r="AI86" s="13">
        <f>IF('Council Entry'!AI86="","",IFERROR(MAX(0,MIN(10,ROUND(IF('Council Entry'!AI$7="Decrease Risk",10-10*((IF('Council Entry'!AI$4="Logarithm",LN(0.001+IF(AND(ISNUMBER('Council Entry'!AI$8),ISNUMBER('Council Entry'!AI$9)),MAX(MIN('Council Entry'!AI86,'Council Entry'!AI$9),'Council Entry'!AI$8),'Council Entry'!AI86)),IF('Council Entry'!AI$4="Exponential",EXP(IF(AND(ISNUMBER('Council Entry'!AI$8),ISNUMBER('Council Entry'!AI$9)),MAX(MIN('Council Entry'!AI86,'Council Entry'!AI$9),'Council Entry'!AI$8),'Council Entry'!AI86)),IF(AND(ISNUMBER('Council Entry'!AI$8),ISNUMBER('Council Entry'!AI$9)),MAX(MIN('Council Entry'!AI86,'Council Entry'!AI$9),'Council Entry'!AI$8),'Council Entry'!AI86))))-'Council Entry'!AI$5)/('Council Entry'!AI$6-'Council Entry'!AI$5),10*((IF('Council Entry'!AI$4="Logarithm",LN(0.001+IF(AND(ISNUMBER('Council Entry'!AI$8),ISNUMBER('Council Entry'!AI$9)),MAX(MIN('Council Entry'!AI86,'Council Entry'!AI$9),'Council Entry'!AI$8),'Council Entry'!AI86)),IF('Council Entry'!AI$4="Exponential",EXP(IF(AND(ISNUMBER('Council Entry'!AI$8),ISNUMBER('Council Entry'!AI$9)),MAX(MIN('Council Entry'!AI86,'Council Entry'!AI$9),'Council Entry'!AI$8),'Council Entry'!AI86)),IF(AND(ISNUMBER('Council Entry'!AI$8),ISNUMBER('Council Entry'!AI$9)),MAX(MIN('Council Entry'!AI86,'Council Entry'!AI$9),'Council Entry'!AI$8),'Council Entry'!AI86))))-'Council Entry'!AI$5)/('Council Entry'!AI$6-'Council Entry'!AI$5)),1))),"No data"))</f>
        <v/>
      </c>
      <c r="AJ86" s="13">
        <f>IF('Council Entry'!AJ86="","",IFERROR(MAX(0,MIN(10,ROUND(IF('Council Entry'!AJ$7="Decrease Risk",10-10*((IF('Council Entry'!AJ$4="Logarithm",LN(0.001+IF(AND(ISNUMBER('Council Entry'!AJ$8),ISNUMBER('Council Entry'!AJ$9)),MAX(MIN('Council Entry'!AJ86,'Council Entry'!AJ$9),'Council Entry'!AJ$8),'Council Entry'!AJ86)),IF('Council Entry'!AJ$4="Exponential",EXP(IF(AND(ISNUMBER('Council Entry'!AJ$8),ISNUMBER('Council Entry'!AJ$9)),MAX(MIN('Council Entry'!AJ86,'Council Entry'!AJ$9),'Council Entry'!AJ$8),'Council Entry'!AJ86)),IF(AND(ISNUMBER('Council Entry'!AJ$8),ISNUMBER('Council Entry'!AJ$9)),MAX(MIN('Council Entry'!AJ86,'Council Entry'!AJ$9),'Council Entry'!AJ$8),'Council Entry'!AJ86))))-'Council Entry'!AJ$5)/('Council Entry'!AJ$6-'Council Entry'!AJ$5),10*((IF('Council Entry'!AJ$4="Logarithm",LN(0.001+IF(AND(ISNUMBER('Council Entry'!AJ$8),ISNUMBER('Council Entry'!AJ$9)),MAX(MIN('Council Entry'!AJ86,'Council Entry'!AJ$9),'Council Entry'!AJ$8),'Council Entry'!AJ86)),IF('Council Entry'!AJ$4="Exponential",EXP(IF(AND(ISNUMBER('Council Entry'!AJ$8),ISNUMBER('Council Entry'!AJ$9)),MAX(MIN('Council Entry'!AJ86,'Council Entry'!AJ$9),'Council Entry'!AJ$8),'Council Entry'!AJ86)),IF(AND(ISNUMBER('Council Entry'!AJ$8),ISNUMBER('Council Entry'!AJ$9)),MAX(MIN('Council Entry'!AJ86,'Council Entry'!AJ$9),'Council Entry'!AJ$8),'Council Entry'!AJ86))))-'Council Entry'!AJ$5)/('Council Entry'!AJ$6-'Council Entry'!AJ$5)),1))),"No data"))</f>
        <v/>
      </c>
      <c r="AK86" s="13">
        <f>IF('Council Entry'!AK86="","",IFERROR(MAX(0,MIN(10,ROUND(IF('Council Entry'!AK$7="Decrease Risk",10-10*((IF('Council Entry'!AK$4="Logarithm",LN(0.001+IF(AND(ISNUMBER('Council Entry'!AK$8),ISNUMBER('Council Entry'!AK$9)),MAX(MIN('Council Entry'!AK86,'Council Entry'!AK$9),'Council Entry'!AK$8),'Council Entry'!AK86)),IF('Council Entry'!AK$4="Exponential",EXP(IF(AND(ISNUMBER('Council Entry'!AK$8),ISNUMBER('Council Entry'!AK$9)),MAX(MIN('Council Entry'!AK86,'Council Entry'!AK$9),'Council Entry'!AK$8),'Council Entry'!AK86)),IF(AND(ISNUMBER('Council Entry'!AK$8),ISNUMBER('Council Entry'!AK$9)),MAX(MIN('Council Entry'!AK86,'Council Entry'!AK$9),'Council Entry'!AK$8),'Council Entry'!AK86))))-'Council Entry'!AK$5)/('Council Entry'!AK$6-'Council Entry'!AK$5),10*((IF('Council Entry'!AK$4="Logarithm",LN(0.001+IF(AND(ISNUMBER('Council Entry'!AK$8),ISNUMBER('Council Entry'!AK$9)),MAX(MIN('Council Entry'!AK86,'Council Entry'!AK$9),'Council Entry'!AK$8),'Council Entry'!AK86)),IF('Council Entry'!AK$4="Exponential",EXP(IF(AND(ISNUMBER('Council Entry'!AK$8),ISNUMBER('Council Entry'!AK$9)),MAX(MIN('Council Entry'!AK86,'Council Entry'!AK$9),'Council Entry'!AK$8),'Council Entry'!AK86)),IF(AND(ISNUMBER('Council Entry'!AK$8),ISNUMBER('Council Entry'!AK$9)),MAX(MIN('Council Entry'!AK86,'Council Entry'!AK$9),'Council Entry'!AK$8),'Council Entry'!AK86))))-'Council Entry'!AK$5)/('Council Entry'!AK$6-'Council Entry'!AK$5)),1))),"No data"))</f>
        <v/>
      </c>
      <c r="AL86" s="13">
        <f>IF('Council Entry'!AL86="","",IFERROR(MAX(0,MIN(10,ROUND(IF('Council Entry'!AL$7="Decrease Risk",10-10*((IF('Council Entry'!AL$4="Logarithm",LN(0.001+IF(AND(ISNUMBER('Council Entry'!AL$8),ISNUMBER('Council Entry'!AL$9)),MAX(MIN('Council Entry'!AL86,'Council Entry'!AL$9),'Council Entry'!AL$8),'Council Entry'!AL86)),IF('Council Entry'!AL$4="Exponential",EXP(IF(AND(ISNUMBER('Council Entry'!AL$8),ISNUMBER('Council Entry'!AL$9)),MAX(MIN('Council Entry'!AL86,'Council Entry'!AL$9),'Council Entry'!AL$8),'Council Entry'!AL86)),IF(AND(ISNUMBER('Council Entry'!AL$8),ISNUMBER('Council Entry'!AL$9)),MAX(MIN('Council Entry'!AL86,'Council Entry'!AL$9),'Council Entry'!AL$8),'Council Entry'!AL86))))-'Council Entry'!AL$5)/('Council Entry'!AL$6-'Council Entry'!AL$5),10*((IF('Council Entry'!AL$4="Logarithm",LN(0.001+IF(AND(ISNUMBER('Council Entry'!AL$8),ISNUMBER('Council Entry'!AL$9)),MAX(MIN('Council Entry'!AL86,'Council Entry'!AL$9),'Council Entry'!AL$8),'Council Entry'!AL86)),IF('Council Entry'!AL$4="Exponential",EXP(IF(AND(ISNUMBER('Council Entry'!AL$8),ISNUMBER('Council Entry'!AL$9)),MAX(MIN('Council Entry'!AL86,'Council Entry'!AL$9),'Council Entry'!AL$8),'Council Entry'!AL86)),IF(AND(ISNUMBER('Council Entry'!AL$8),ISNUMBER('Council Entry'!AL$9)),MAX(MIN('Council Entry'!AL86,'Council Entry'!AL$9),'Council Entry'!AL$8),'Council Entry'!AL86))))-'Council Entry'!AL$5)/('Council Entry'!AL$6-'Council Entry'!AL$5)),1))),"No data"))</f>
        <v/>
      </c>
      <c r="AM86" s="13">
        <f>IF('Council Entry'!AM86="","",IFERROR(MAX(0,MIN(10,ROUND(IF('Council Entry'!AM$7="Decrease Risk",10-10*((IF('Council Entry'!AM$4="Logarithm",LN(0.001+IF(AND(ISNUMBER('Council Entry'!AM$8),ISNUMBER('Council Entry'!AM$9)),MAX(MIN('Council Entry'!AM86,'Council Entry'!AM$9),'Council Entry'!AM$8),'Council Entry'!AM86)),IF('Council Entry'!AM$4="Exponential",EXP(IF(AND(ISNUMBER('Council Entry'!AM$8),ISNUMBER('Council Entry'!AM$9)),MAX(MIN('Council Entry'!AM86,'Council Entry'!AM$9),'Council Entry'!AM$8),'Council Entry'!AM86)),IF(AND(ISNUMBER('Council Entry'!AM$8),ISNUMBER('Council Entry'!AM$9)),MAX(MIN('Council Entry'!AM86,'Council Entry'!AM$9),'Council Entry'!AM$8),'Council Entry'!AM86))))-'Council Entry'!AM$5)/('Council Entry'!AM$6-'Council Entry'!AM$5),10*((IF('Council Entry'!AM$4="Logarithm",LN(0.001+IF(AND(ISNUMBER('Council Entry'!AM$8),ISNUMBER('Council Entry'!AM$9)),MAX(MIN('Council Entry'!AM86,'Council Entry'!AM$9),'Council Entry'!AM$8),'Council Entry'!AM86)),IF('Council Entry'!AM$4="Exponential",EXP(IF(AND(ISNUMBER('Council Entry'!AM$8),ISNUMBER('Council Entry'!AM$9)),MAX(MIN('Council Entry'!AM86,'Council Entry'!AM$9),'Council Entry'!AM$8),'Council Entry'!AM86)),IF(AND(ISNUMBER('Council Entry'!AM$8),ISNUMBER('Council Entry'!AM$9)),MAX(MIN('Council Entry'!AM86,'Council Entry'!AM$9),'Council Entry'!AM$8),'Council Entry'!AM86))))-'Council Entry'!AM$5)/('Council Entry'!AM$6-'Council Entry'!AM$5)),1))),"No data"))</f>
        <v/>
      </c>
      <c r="AN86" s="13">
        <f>IF('Council Entry'!AN86="","",IFERROR(MAX(0,MIN(10,ROUND(IF('Council Entry'!AN$7="Decrease Risk",10-10*((IF('Council Entry'!AN$4="Logarithm",LN(0.001+IF(AND(ISNUMBER('Council Entry'!AN$8),ISNUMBER('Council Entry'!AN$9)),MAX(MIN('Council Entry'!AN86,'Council Entry'!AN$9),'Council Entry'!AN$8),'Council Entry'!AN86)),IF('Council Entry'!AN$4="Exponential",EXP(IF(AND(ISNUMBER('Council Entry'!AN$8),ISNUMBER('Council Entry'!AN$9)),MAX(MIN('Council Entry'!AN86,'Council Entry'!AN$9),'Council Entry'!AN$8),'Council Entry'!AN86)),IF(AND(ISNUMBER('Council Entry'!AN$8),ISNUMBER('Council Entry'!AN$9)),MAX(MIN('Council Entry'!AN86,'Council Entry'!AN$9),'Council Entry'!AN$8),'Council Entry'!AN86))))-'Council Entry'!AN$5)/('Council Entry'!AN$6-'Council Entry'!AN$5),10*((IF('Council Entry'!AN$4="Logarithm",LN(0.001+IF(AND(ISNUMBER('Council Entry'!AN$8),ISNUMBER('Council Entry'!AN$9)),MAX(MIN('Council Entry'!AN86,'Council Entry'!AN$9),'Council Entry'!AN$8),'Council Entry'!AN86)),IF('Council Entry'!AN$4="Exponential",EXP(IF(AND(ISNUMBER('Council Entry'!AN$8),ISNUMBER('Council Entry'!AN$9)),MAX(MIN('Council Entry'!AN86,'Council Entry'!AN$9),'Council Entry'!AN$8),'Council Entry'!AN86)),IF(AND(ISNUMBER('Council Entry'!AN$8),ISNUMBER('Council Entry'!AN$9)),MAX(MIN('Council Entry'!AN86,'Council Entry'!AN$9),'Council Entry'!AN$8),'Council Entry'!AN86))))-'Council Entry'!AN$5)/('Council Entry'!AN$6-'Council Entry'!AN$5)),1))),"No data"))</f>
        <v/>
      </c>
      <c r="AO86" s="13">
        <f>IF('Council Entry'!AO86="","",IFERROR(MAX(0,MIN(10,ROUND(IF('Council Entry'!AO$7="Decrease Risk",10-10*((IF('Council Entry'!AO$4="Logarithm",LN(0.001+IF(AND(ISNUMBER('Council Entry'!AO$8),ISNUMBER('Council Entry'!AO$9)),MAX(MIN('Council Entry'!AO86,'Council Entry'!AO$9),'Council Entry'!AO$8),'Council Entry'!AO86)),IF('Council Entry'!AO$4="Exponential",EXP(IF(AND(ISNUMBER('Council Entry'!AO$8),ISNUMBER('Council Entry'!AO$9)),MAX(MIN('Council Entry'!AO86,'Council Entry'!AO$9),'Council Entry'!AO$8),'Council Entry'!AO86)),IF(AND(ISNUMBER('Council Entry'!AO$8),ISNUMBER('Council Entry'!AO$9)),MAX(MIN('Council Entry'!AO86,'Council Entry'!AO$9),'Council Entry'!AO$8),'Council Entry'!AO86))))-'Council Entry'!AO$5)/('Council Entry'!AO$6-'Council Entry'!AO$5),10*((IF('Council Entry'!AO$4="Logarithm",LN(0.001+IF(AND(ISNUMBER('Council Entry'!AO$8),ISNUMBER('Council Entry'!AO$9)),MAX(MIN('Council Entry'!AO86,'Council Entry'!AO$9),'Council Entry'!AO$8),'Council Entry'!AO86)),IF('Council Entry'!AO$4="Exponential",EXP(IF(AND(ISNUMBER('Council Entry'!AO$8),ISNUMBER('Council Entry'!AO$9)),MAX(MIN('Council Entry'!AO86,'Council Entry'!AO$9),'Council Entry'!AO$8),'Council Entry'!AO86)),IF(AND(ISNUMBER('Council Entry'!AO$8),ISNUMBER('Council Entry'!AO$9)),MAX(MIN('Council Entry'!AO86,'Council Entry'!AO$9),'Council Entry'!AO$8),'Council Entry'!AO86))))-'Council Entry'!AO$5)/('Council Entry'!AO$6-'Council Entry'!AO$5)),1))),"No data"))</f>
        <v/>
      </c>
      <c r="AP86" s="13">
        <f>IF('Council Entry'!AP86="","",IFERROR(MAX(0,MIN(10,ROUND(IF('Council Entry'!AP$7="Decrease Risk",10-10*((IF('Council Entry'!AP$4="Logarithm",LN(0.001+IF(AND(ISNUMBER('Council Entry'!AP$8),ISNUMBER('Council Entry'!AP$9)),MAX(MIN('Council Entry'!AP86,'Council Entry'!AP$9),'Council Entry'!AP$8),'Council Entry'!AP86)),IF('Council Entry'!AP$4="Exponential",EXP(IF(AND(ISNUMBER('Council Entry'!AP$8),ISNUMBER('Council Entry'!AP$9)),MAX(MIN('Council Entry'!AP86,'Council Entry'!AP$9),'Council Entry'!AP$8),'Council Entry'!AP86)),IF(AND(ISNUMBER('Council Entry'!AP$8),ISNUMBER('Council Entry'!AP$9)),MAX(MIN('Council Entry'!AP86,'Council Entry'!AP$9),'Council Entry'!AP$8),'Council Entry'!AP86))))-'Council Entry'!AP$5)/('Council Entry'!AP$6-'Council Entry'!AP$5),10*((IF('Council Entry'!AP$4="Logarithm",LN(0.001+IF(AND(ISNUMBER('Council Entry'!AP$8),ISNUMBER('Council Entry'!AP$9)),MAX(MIN('Council Entry'!AP86,'Council Entry'!AP$9),'Council Entry'!AP$8),'Council Entry'!AP86)),IF('Council Entry'!AP$4="Exponential",EXP(IF(AND(ISNUMBER('Council Entry'!AP$8),ISNUMBER('Council Entry'!AP$9)),MAX(MIN('Council Entry'!AP86,'Council Entry'!AP$9),'Council Entry'!AP$8),'Council Entry'!AP86)),IF(AND(ISNUMBER('Council Entry'!AP$8),ISNUMBER('Council Entry'!AP$9)),MAX(MIN('Council Entry'!AP86,'Council Entry'!AP$9),'Council Entry'!AP$8),'Council Entry'!AP86))))-'Council Entry'!AP$5)/('Council Entry'!AP$6-'Council Entry'!AP$5)),1))),"No data"))</f>
        <v/>
      </c>
      <c r="AQ86" s="13">
        <f>IF('Council Entry'!AQ86="","",IFERROR(MAX(0,MIN(10,ROUND(IF('Council Entry'!AQ$7="Decrease Risk",10-10*((IF('Council Entry'!AQ$4="Logarithm",LN(0.001+IF(AND(ISNUMBER('Council Entry'!AQ$8),ISNUMBER('Council Entry'!AQ$9)),MAX(MIN('Council Entry'!AQ86,'Council Entry'!AQ$9),'Council Entry'!AQ$8),'Council Entry'!AQ86)),IF('Council Entry'!AQ$4="Exponential",EXP(IF(AND(ISNUMBER('Council Entry'!AQ$8),ISNUMBER('Council Entry'!AQ$9)),MAX(MIN('Council Entry'!AQ86,'Council Entry'!AQ$9),'Council Entry'!AQ$8),'Council Entry'!AQ86)),IF(AND(ISNUMBER('Council Entry'!AQ$8),ISNUMBER('Council Entry'!AQ$9)),MAX(MIN('Council Entry'!AQ86,'Council Entry'!AQ$9),'Council Entry'!AQ$8),'Council Entry'!AQ86))))-'Council Entry'!AQ$5)/('Council Entry'!AQ$6-'Council Entry'!AQ$5),10*((IF('Council Entry'!AQ$4="Logarithm",LN(0.001+IF(AND(ISNUMBER('Council Entry'!AQ$8),ISNUMBER('Council Entry'!AQ$9)),MAX(MIN('Council Entry'!AQ86,'Council Entry'!AQ$9),'Council Entry'!AQ$8),'Council Entry'!AQ86)),IF('Council Entry'!AQ$4="Exponential",EXP(IF(AND(ISNUMBER('Council Entry'!AQ$8),ISNUMBER('Council Entry'!AQ$9)),MAX(MIN('Council Entry'!AQ86,'Council Entry'!AQ$9),'Council Entry'!AQ$8),'Council Entry'!AQ86)),IF(AND(ISNUMBER('Council Entry'!AQ$8),ISNUMBER('Council Entry'!AQ$9)),MAX(MIN('Council Entry'!AQ86,'Council Entry'!AQ$9),'Council Entry'!AQ$8),'Council Entry'!AQ86))))-'Council Entry'!AQ$5)/('Council Entry'!AQ$6-'Council Entry'!AQ$5)),1))),"No data"))</f>
        <v/>
      </c>
      <c r="AR86" s="13">
        <f>IF('Council Entry'!AR86="","",IFERROR(MAX(0,MIN(10,ROUND(IF('Council Entry'!AR$7="Decrease Risk",10-10*((IF('Council Entry'!AR$4="Logarithm",LN(0.001+IF(AND(ISNUMBER('Council Entry'!AR$8),ISNUMBER('Council Entry'!AR$9)),MAX(MIN('Council Entry'!AR86,'Council Entry'!AR$9),'Council Entry'!AR$8),'Council Entry'!AR86)),IF('Council Entry'!AR$4="Exponential",EXP(IF(AND(ISNUMBER('Council Entry'!AR$8),ISNUMBER('Council Entry'!AR$9)),MAX(MIN('Council Entry'!AR86,'Council Entry'!AR$9),'Council Entry'!AR$8),'Council Entry'!AR86)),IF(AND(ISNUMBER('Council Entry'!AR$8),ISNUMBER('Council Entry'!AR$9)),MAX(MIN('Council Entry'!AR86,'Council Entry'!AR$9),'Council Entry'!AR$8),'Council Entry'!AR86))))-'Council Entry'!AR$5)/('Council Entry'!AR$6-'Council Entry'!AR$5),10*((IF('Council Entry'!AR$4="Logarithm",LN(0.001+IF(AND(ISNUMBER('Council Entry'!AR$8),ISNUMBER('Council Entry'!AR$9)),MAX(MIN('Council Entry'!AR86,'Council Entry'!AR$9),'Council Entry'!AR$8),'Council Entry'!AR86)),IF('Council Entry'!AR$4="Exponential",EXP(IF(AND(ISNUMBER('Council Entry'!AR$8),ISNUMBER('Council Entry'!AR$9)),MAX(MIN('Council Entry'!AR86,'Council Entry'!AR$9),'Council Entry'!AR$8),'Council Entry'!AR86)),IF(AND(ISNUMBER('Council Entry'!AR$8),ISNUMBER('Council Entry'!AR$9)),MAX(MIN('Council Entry'!AR86,'Council Entry'!AR$9),'Council Entry'!AR$8),'Council Entry'!AR86))))-'Council Entry'!AR$5)/('Council Entry'!AR$6-'Council Entry'!AR$5)),1))),"No data"))</f>
        <v/>
      </c>
      <c r="AS86" s="13">
        <f>IF('Council Entry'!AS86="","",IFERROR(MAX(0,MIN(10,ROUND(IF('Council Entry'!AS$7="Decrease Risk",10-10*((IF('Council Entry'!AS$4="Logarithm",LN(0.001+IF(AND(ISNUMBER('Council Entry'!AS$8),ISNUMBER('Council Entry'!AS$9)),MAX(MIN('Council Entry'!AS86,'Council Entry'!AS$9),'Council Entry'!AS$8),'Council Entry'!AS86)),IF('Council Entry'!AS$4="Exponential",EXP(IF(AND(ISNUMBER('Council Entry'!AS$8),ISNUMBER('Council Entry'!AS$9)),MAX(MIN('Council Entry'!AS86,'Council Entry'!AS$9),'Council Entry'!AS$8),'Council Entry'!AS86)),IF(AND(ISNUMBER('Council Entry'!AS$8),ISNUMBER('Council Entry'!AS$9)),MAX(MIN('Council Entry'!AS86,'Council Entry'!AS$9),'Council Entry'!AS$8),'Council Entry'!AS86))))-'Council Entry'!AS$5)/('Council Entry'!AS$6-'Council Entry'!AS$5),10*((IF('Council Entry'!AS$4="Logarithm",LN(0.001+IF(AND(ISNUMBER('Council Entry'!AS$8),ISNUMBER('Council Entry'!AS$9)),MAX(MIN('Council Entry'!AS86,'Council Entry'!AS$9),'Council Entry'!AS$8),'Council Entry'!AS86)),IF('Council Entry'!AS$4="Exponential",EXP(IF(AND(ISNUMBER('Council Entry'!AS$8),ISNUMBER('Council Entry'!AS$9)),MAX(MIN('Council Entry'!AS86,'Council Entry'!AS$9),'Council Entry'!AS$8),'Council Entry'!AS86)),IF(AND(ISNUMBER('Council Entry'!AS$8),ISNUMBER('Council Entry'!AS$9)),MAX(MIN('Council Entry'!AS86,'Council Entry'!AS$9),'Council Entry'!AS$8),'Council Entry'!AS86))))-'Council Entry'!AS$5)/('Council Entry'!AS$6-'Council Entry'!AS$5)),1))),"No data"))</f>
        <v/>
      </c>
      <c r="AT86" s="13">
        <f>IF('Council Entry'!AT86="","",IFERROR(MAX(0,MIN(10,ROUND(IF('Council Entry'!AT$7="Decrease Risk",10-10*((IF('Council Entry'!AT$4="Logarithm",LN(0.001+IF(AND(ISNUMBER('Council Entry'!AT$8),ISNUMBER('Council Entry'!AT$9)),MAX(MIN('Council Entry'!AT86,'Council Entry'!AT$9),'Council Entry'!AT$8),'Council Entry'!AT86)),IF('Council Entry'!AT$4="Exponential",EXP(IF(AND(ISNUMBER('Council Entry'!AT$8),ISNUMBER('Council Entry'!AT$9)),MAX(MIN('Council Entry'!AT86,'Council Entry'!AT$9),'Council Entry'!AT$8),'Council Entry'!AT86)),IF(AND(ISNUMBER('Council Entry'!AT$8),ISNUMBER('Council Entry'!AT$9)),MAX(MIN('Council Entry'!AT86,'Council Entry'!AT$9),'Council Entry'!AT$8),'Council Entry'!AT86))))-'Council Entry'!AT$5)/('Council Entry'!AT$6-'Council Entry'!AT$5),10*((IF('Council Entry'!AT$4="Logarithm",LN(0.001+IF(AND(ISNUMBER('Council Entry'!AT$8),ISNUMBER('Council Entry'!AT$9)),MAX(MIN('Council Entry'!AT86,'Council Entry'!AT$9),'Council Entry'!AT$8),'Council Entry'!AT86)),IF('Council Entry'!AT$4="Exponential",EXP(IF(AND(ISNUMBER('Council Entry'!AT$8),ISNUMBER('Council Entry'!AT$9)),MAX(MIN('Council Entry'!AT86,'Council Entry'!AT$9),'Council Entry'!AT$8),'Council Entry'!AT86)),IF(AND(ISNUMBER('Council Entry'!AT$8),ISNUMBER('Council Entry'!AT$9)),MAX(MIN('Council Entry'!AT86,'Council Entry'!AT$9),'Council Entry'!AT$8),'Council Entry'!AT86))))-'Council Entry'!AT$5)/('Council Entry'!AT$6-'Council Entry'!AT$5)),1))),"No data"))</f>
        <v/>
      </c>
      <c r="AU86" s="13">
        <f>IF('Council Entry'!AU86="","",IFERROR(MAX(0,MIN(10,ROUND(IF('Council Entry'!AU$7="Decrease Risk",10-10*((IF('Council Entry'!AU$4="Logarithm",LN(0.001+IF(AND(ISNUMBER('Council Entry'!AU$8),ISNUMBER('Council Entry'!AU$9)),MAX(MIN('Council Entry'!AU86,'Council Entry'!AU$9),'Council Entry'!AU$8),'Council Entry'!AU86)),IF('Council Entry'!AU$4="Exponential",EXP(IF(AND(ISNUMBER('Council Entry'!AU$8),ISNUMBER('Council Entry'!AU$9)),MAX(MIN('Council Entry'!AU86,'Council Entry'!AU$9),'Council Entry'!AU$8),'Council Entry'!AU86)),IF(AND(ISNUMBER('Council Entry'!AU$8),ISNUMBER('Council Entry'!AU$9)),MAX(MIN('Council Entry'!AU86,'Council Entry'!AU$9),'Council Entry'!AU$8),'Council Entry'!AU86))))-'Council Entry'!AU$5)/('Council Entry'!AU$6-'Council Entry'!AU$5),10*((IF('Council Entry'!AU$4="Logarithm",LN(0.001+IF(AND(ISNUMBER('Council Entry'!AU$8),ISNUMBER('Council Entry'!AU$9)),MAX(MIN('Council Entry'!AU86,'Council Entry'!AU$9),'Council Entry'!AU$8),'Council Entry'!AU86)),IF('Council Entry'!AU$4="Exponential",EXP(IF(AND(ISNUMBER('Council Entry'!AU$8),ISNUMBER('Council Entry'!AU$9)),MAX(MIN('Council Entry'!AU86,'Council Entry'!AU$9),'Council Entry'!AU$8),'Council Entry'!AU86)),IF(AND(ISNUMBER('Council Entry'!AU$8),ISNUMBER('Council Entry'!AU$9)),MAX(MIN('Council Entry'!AU86,'Council Entry'!AU$9),'Council Entry'!AU$8),'Council Entry'!AU86))))-'Council Entry'!AU$5)/('Council Entry'!AU$6-'Council Entry'!AU$5)),1))),"No data"))</f>
        <v/>
      </c>
      <c r="AV86" s="13">
        <f>IF('Council Entry'!AV86="","",IFERROR(MAX(0,MIN(10,ROUND(IF('Council Entry'!AV$7="Decrease Risk",10-10*((IF('Council Entry'!AV$4="Logarithm",LN(0.001+IF(AND(ISNUMBER('Council Entry'!AV$8),ISNUMBER('Council Entry'!AV$9)),MAX(MIN('Council Entry'!AV86,'Council Entry'!AV$9),'Council Entry'!AV$8),'Council Entry'!AV86)),IF('Council Entry'!AV$4="Exponential",EXP(IF(AND(ISNUMBER('Council Entry'!AV$8),ISNUMBER('Council Entry'!AV$9)),MAX(MIN('Council Entry'!AV86,'Council Entry'!AV$9),'Council Entry'!AV$8),'Council Entry'!AV86)),IF(AND(ISNUMBER('Council Entry'!AV$8),ISNUMBER('Council Entry'!AV$9)),MAX(MIN('Council Entry'!AV86,'Council Entry'!AV$9),'Council Entry'!AV$8),'Council Entry'!AV86))))-'Council Entry'!AV$5)/('Council Entry'!AV$6-'Council Entry'!AV$5),10*((IF('Council Entry'!AV$4="Logarithm",LN(0.001+IF(AND(ISNUMBER('Council Entry'!AV$8),ISNUMBER('Council Entry'!AV$9)),MAX(MIN('Council Entry'!AV86,'Council Entry'!AV$9),'Council Entry'!AV$8),'Council Entry'!AV86)),IF('Council Entry'!AV$4="Exponential",EXP(IF(AND(ISNUMBER('Council Entry'!AV$8),ISNUMBER('Council Entry'!AV$9)),MAX(MIN('Council Entry'!AV86,'Council Entry'!AV$9),'Council Entry'!AV$8),'Council Entry'!AV86)),IF(AND(ISNUMBER('Council Entry'!AV$8),ISNUMBER('Council Entry'!AV$9)),MAX(MIN('Council Entry'!AV86,'Council Entry'!AV$9),'Council Entry'!AV$8),'Council Entry'!AV86))))-'Council Entry'!AV$5)/('Council Entry'!AV$6-'Council Entry'!AV$5)),1))),"No data"))</f>
        <v/>
      </c>
      <c r="AW86" s="13">
        <f>IF('Council Entry'!AW86="","",IFERROR(MAX(0,MIN(10,ROUND(IF('Council Entry'!AW$7="Decrease Risk",10-10*((IF('Council Entry'!AW$4="Logarithm",LN(0.001+IF(AND(ISNUMBER('Council Entry'!AW$8),ISNUMBER('Council Entry'!AW$9)),MAX(MIN('Council Entry'!AW86,'Council Entry'!AW$9),'Council Entry'!AW$8),'Council Entry'!AW86)),IF('Council Entry'!AW$4="Exponential",EXP(IF(AND(ISNUMBER('Council Entry'!AW$8),ISNUMBER('Council Entry'!AW$9)),MAX(MIN('Council Entry'!AW86,'Council Entry'!AW$9),'Council Entry'!AW$8),'Council Entry'!AW86)),IF(AND(ISNUMBER('Council Entry'!AW$8),ISNUMBER('Council Entry'!AW$9)),MAX(MIN('Council Entry'!AW86,'Council Entry'!AW$9),'Council Entry'!AW$8),'Council Entry'!AW86))))-'Council Entry'!AW$5)/('Council Entry'!AW$6-'Council Entry'!AW$5),10*((IF('Council Entry'!AW$4="Logarithm",LN(0.001+IF(AND(ISNUMBER('Council Entry'!AW$8),ISNUMBER('Council Entry'!AW$9)),MAX(MIN('Council Entry'!AW86,'Council Entry'!AW$9),'Council Entry'!AW$8),'Council Entry'!AW86)),IF('Council Entry'!AW$4="Exponential",EXP(IF(AND(ISNUMBER('Council Entry'!AW$8),ISNUMBER('Council Entry'!AW$9)),MAX(MIN('Council Entry'!AW86,'Council Entry'!AW$9),'Council Entry'!AW$8),'Council Entry'!AW86)),IF(AND(ISNUMBER('Council Entry'!AW$8),ISNUMBER('Council Entry'!AW$9)),MAX(MIN('Council Entry'!AW86,'Council Entry'!AW$9),'Council Entry'!AW$8),'Council Entry'!AW86))))-'Council Entry'!AW$5)/('Council Entry'!AW$6-'Council Entry'!AW$5)),1))),"No data"))</f>
        <v/>
      </c>
      <c r="AX86" s="13">
        <f>IF('Council Entry'!AX86="","",IFERROR(MAX(0,MIN(10,ROUND(IF('Council Entry'!AX$7="Decrease Risk",10-10*((IF('Council Entry'!AX$4="Logarithm",LN(0.001+IF(AND(ISNUMBER('Council Entry'!AX$8),ISNUMBER('Council Entry'!AX$9)),MAX(MIN('Council Entry'!AX86,'Council Entry'!AX$9),'Council Entry'!AX$8),'Council Entry'!AX86)),IF('Council Entry'!AX$4="Exponential",EXP(IF(AND(ISNUMBER('Council Entry'!AX$8),ISNUMBER('Council Entry'!AX$9)),MAX(MIN('Council Entry'!AX86,'Council Entry'!AX$9),'Council Entry'!AX$8),'Council Entry'!AX86)),IF(AND(ISNUMBER('Council Entry'!AX$8),ISNUMBER('Council Entry'!AX$9)),MAX(MIN('Council Entry'!AX86,'Council Entry'!AX$9),'Council Entry'!AX$8),'Council Entry'!AX86))))-'Council Entry'!AX$5)/('Council Entry'!AX$6-'Council Entry'!AX$5),10*((IF('Council Entry'!AX$4="Logarithm",LN(0.001+IF(AND(ISNUMBER('Council Entry'!AX$8),ISNUMBER('Council Entry'!AX$9)),MAX(MIN('Council Entry'!AX86,'Council Entry'!AX$9),'Council Entry'!AX$8),'Council Entry'!AX86)),IF('Council Entry'!AX$4="Exponential",EXP(IF(AND(ISNUMBER('Council Entry'!AX$8),ISNUMBER('Council Entry'!AX$9)),MAX(MIN('Council Entry'!AX86,'Council Entry'!AX$9),'Council Entry'!AX$8),'Council Entry'!AX86)),IF(AND(ISNUMBER('Council Entry'!AX$8),ISNUMBER('Council Entry'!AX$9)),MAX(MIN('Council Entry'!AX86,'Council Entry'!AX$9),'Council Entry'!AX$8),'Council Entry'!AX86))))-'Council Entry'!AX$5)/('Council Entry'!AX$6-'Council Entry'!AX$5)),1))),"No data"))</f>
        <v/>
      </c>
      <c r="AY86" s="13">
        <f>IF('Council Entry'!AY86="","",IFERROR(MAX(0,MIN(10,ROUND(IF('Council Entry'!AY$7="Decrease Risk",10-10*((IF('Council Entry'!AY$4="Logarithm",LN(0.001+IF(AND(ISNUMBER('Council Entry'!AY$8),ISNUMBER('Council Entry'!AY$9)),MAX(MIN('Council Entry'!AY86,'Council Entry'!AY$9),'Council Entry'!AY$8),'Council Entry'!AY86)),IF('Council Entry'!AY$4="Exponential",EXP(IF(AND(ISNUMBER('Council Entry'!AY$8),ISNUMBER('Council Entry'!AY$9)),MAX(MIN('Council Entry'!AY86,'Council Entry'!AY$9),'Council Entry'!AY$8),'Council Entry'!AY86)),IF(AND(ISNUMBER('Council Entry'!AY$8),ISNUMBER('Council Entry'!AY$9)),MAX(MIN('Council Entry'!AY86,'Council Entry'!AY$9),'Council Entry'!AY$8),'Council Entry'!AY86))))-'Council Entry'!AY$5)/('Council Entry'!AY$6-'Council Entry'!AY$5),10*((IF('Council Entry'!AY$4="Logarithm",LN(0.001+IF(AND(ISNUMBER('Council Entry'!AY$8),ISNUMBER('Council Entry'!AY$9)),MAX(MIN('Council Entry'!AY86,'Council Entry'!AY$9),'Council Entry'!AY$8),'Council Entry'!AY86)),IF('Council Entry'!AY$4="Exponential",EXP(IF(AND(ISNUMBER('Council Entry'!AY$8),ISNUMBER('Council Entry'!AY$9)),MAX(MIN('Council Entry'!AY86,'Council Entry'!AY$9),'Council Entry'!AY$8),'Council Entry'!AY86)),IF(AND(ISNUMBER('Council Entry'!AY$8),ISNUMBER('Council Entry'!AY$9)),MAX(MIN('Council Entry'!AY86,'Council Entry'!AY$9),'Council Entry'!AY$8),'Council Entry'!AY86))))-'Council Entry'!AY$5)/('Council Entry'!AY$6-'Council Entry'!AY$5)),1))),"No data"))</f>
        <v/>
      </c>
      <c r="AZ86" s="13">
        <f>IF('Council Entry'!AZ86="","",IFERROR(MAX(0,MIN(10,ROUND(IF('Council Entry'!AZ$7="Decrease Risk",10-10*((IF('Council Entry'!AZ$4="Logarithm",LN(0.001+IF(AND(ISNUMBER('Council Entry'!AZ$8),ISNUMBER('Council Entry'!AZ$9)),MAX(MIN('Council Entry'!AZ86,'Council Entry'!AZ$9),'Council Entry'!AZ$8),'Council Entry'!AZ86)),IF('Council Entry'!AZ$4="Exponential",EXP(IF(AND(ISNUMBER('Council Entry'!AZ$8),ISNUMBER('Council Entry'!AZ$9)),MAX(MIN('Council Entry'!AZ86,'Council Entry'!AZ$9),'Council Entry'!AZ$8),'Council Entry'!AZ86)),IF(AND(ISNUMBER('Council Entry'!AZ$8),ISNUMBER('Council Entry'!AZ$9)),MAX(MIN('Council Entry'!AZ86,'Council Entry'!AZ$9),'Council Entry'!AZ$8),'Council Entry'!AZ86))))-'Council Entry'!AZ$5)/('Council Entry'!AZ$6-'Council Entry'!AZ$5),10*((IF('Council Entry'!AZ$4="Logarithm",LN(0.001+IF(AND(ISNUMBER('Council Entry'!AZ$8),ISNUMBER('Council Entry'!AZ$9)),MAX(MIN('Council Entry'!AZ86,'Council Entry'!AZ$9),'Council Entry'!AZ$8),'Council Entry'!AZ86)),IF('Council Entry'!AZ$4="Exponential",EXP(IF(AND(ISNUMBER('Council Entry'!AZ$8),ISNUMBER('Council Entry'!AZ$9)),MAX(MIN('Council Entry'!AZ86,'Council Entry'!AZ$9),'Council Entry'!AZ$8),'Council Entry'!AZ86)),IF(AND(ISNUMBER('Council Entry'!AZ$8),ISNUMBER('Council Entry'!AZ$9)),MAX(MIN('Council Entry'!AZ86,'Council Entry'!AZ$9),'Council Entry'!AZ$8),'Council Entry'!AZ86))))-'Council Entry'!AZ$5)/('Council Entry'!AZ$6-'Council Entry'!AZ$5)),1))),"No data"))</f>
        <v/>
      </c>
      <c r="BA86" s="13">
        <f>IF('Council Entry'!BA86="","",IFERROR(MAX(0,MIN(10,ROUND(IF('Council Entry'!BA$7="Decrease Risk",10-10*((IF('Council Entry'!BA$4="Logarithm",LN(0.001+IF(AND(ISNUMBER('Council Entry'!BA$8),ISNUMBER('Council Entry'!BA$9)),MAX(MIN('Council Entry'!BA86,'Council Entry'!BA$9),'Council Entry'!BA$8),'Council Entry'!BA86)),IF('Council Entry'!BA$4="Exponential",EXP(IF(AND(ISNUMBER('Council Entry'!BA$8),ISNUMBER('Council Entry'!BA$9)),MAX(MIN('Council Entry'!BA86,'Council Entry'!BA$9),'Council Entry'!BA$8),'Council Entry'!BA86)),IF(AND(ISNUMBER('Council Entry'!BA$8),ISNUMBER('Council Entry'!BA$9)),MAX(MIN('Council Entry'!BA86,'Council Entry'!BA$9),'Council Entry'!BA$8),'Council Entry'!BA86))))-'Council Entry'!BA$5)/('Council Entry'!BA$6-'Council Entry'!BA$5),10*((IF('Council Entry'!BA$4="Logarithm",LN(0.001+IF(AND(ISNUMBER('Council Entry'!BA$8),ISNUMBER('Council Entry'!BA$9)),MAX(MIN('Council Entry'!BA86,'Council Entry'!BA$9),'Council Entry'!BA$8),'Council Entry'!BA86)),IF('Council Entry'!BA$4="Exponential",EXP(IF(AND(ISNUMBER('Council Entry'!BA$8),ISNUMBER('Council Entry'!BA$9)),MAX(MIN('Council Entry'!BA86,'Council Entry'!BA$9),'Council Entry'!BA$8),'Council Entry'!BA86)),IF(AND(ISNUMBER('Council Entry'!BA$8),ISNUMBER('Council Entry'!BA$9)),MAX(MIN('Council Entry'!BA86,'Council Entry'!BA$9),'Council Entry'!BA$8),'Council Entry'!BA86))))-'Council Entry'!BA$5)/('Council Entry'!BA$6-'Council Entry'!BA$5)),1))),"No data"))</f>
        <v/>
      </c>
      <c r="BB86" s="13">
        <f>IF('Council Entry'!BB86="","",IFERROR(MAX(0,MIN(10,ROUND(IF('Council Entry'!BB$7="Decrease Risk",10-10*((IF('Council Entry'!BB$4="Logarithm",LN(0.001+IF(AND(ISNUMBER('Council Entry'!BB$8),ISNUMBER('Council Entry'!BB$9)),MAX(MIN('Council Entry'!BB86,'Council Entry'!BB$9),'Council Entry'!BB$8),'Council Entry'!BB86)),IF('Council Entry'!BB$4="Exponential",EXP(IF(AND(ISNUMBER('Council Entry'!BB$8),ISNUMBER('Council Entry'!BB$9)),MAX(MIN('Council Entry'!BB86,'Council Entry'!BB$9),'Council Entry'!BB$8),'Council Entry'!BB86)),IF(AND(ISNUMBER('Council Entry'!BB$8),ISNUMBER('Council Entry'!BB$9)),MAX(MIN('Council Entry'!BB86,'Council Entry'!BB$9),'Council Entry'!BB$8),'Council Entry'!BB86))))-'Council Entry'!BB$5)/('Council Entry'!BB$6-'Council Entry'!BB$5),10*((IF('Council Entry'!BB$4="Logarithm",LN(0.001+IF(AND(ISNUMBER('Council Entry'!BB$8),ISNUMBER('Council Entry'!BB$9)),MAX(MIN('Council Entry'!BB86,'Council Entry'!BB$9),'Council Entry'!BB$8),'Council Entry'!BB86)),IF('Council Entry'!BB$4="Exponential",EXP(IF(AND(ISNUMBER('Council Entry'!BB$8),ISNUMBER('Council Entry'!BB$9)),MAX(MIN('Council Entry'!BB86,'Council Entry'!BB$9),'Council Entry'!BB$8),'Council Entry'!BB86)),IF(AND(ISNUMBER('Council Entry'!BB$8),ISNUMBER('Council Entry'!BB$9)),MAX(MIN('Council Entry'!BB86,'Council Entry'!BB$9),'Council Entry'!BB$8),'Council Entry'!BB86))))-'Council Entry'!BB$5)/('Council Entry'!BB$6-'Council Entry'!BB$5)),1))),"No data"))</f>
        <v/>
      </c>
      <c r="BC86" s="13">
        <f>IF('Council Entry'!BC86="","",IFERROR(MAX(0,MIN(10,ROUND(IF('Council Entry'!BC$7="Decrease Risk",10-10*((IF('Council Entry'!BC$4="Logarithm",LN(0.001+IF(AND(ISNUMBER('Council Entry'!BC$8),ISNUMBER('Council Entry'!BC$9)),MAX(MIN('Council Entry'!BC86,'Council Entry'!BC$9),'Council Entry'!BC$8),'Council Entry'!BC86)),IF('Council Entry'!BC$4="Exponential",EXP(IF(AND(ISNUMBER('Council Entry'!BC$8),ISNUMBER('Council Entry'!BC$9)),MAX(MIN('Council Entry'!BC86,'Council Entry'!BC$9),'Council Entry'!BC$8),'Council Entry'!BC86)),IF(AND(ISNUMBER('Council Entry'!BC$8),ISNUMBER('Council Entry'!BC$9)),MAX(MIN('Council Entry'!BC86,'Council Entry'!BC$9),'Council Entry'!BC$8),'Council Entry'!BC86))))-'Council Entry'!BC$5)/('Council Entry'!BC$6-'Council Entry'!BC$5),10*((IF('Council Entry'!BC$4="Logarithm",LN(0.001+IF(AND(ISNUMBER('Council Entry'!BC$8),ISNUMBER('Council Entry'!BC$9)),MAX(MIN('Council Entry'!BC86,'Council Entry'!BC$9),'Council Entry'!BC$8),'Council Entry'!BC86)),IF('Council Entry'!BC$4="Exponential",EXP(IF(AND(ISNUMBER('Council Entry'!BC$8),ISNUMBER('Council Entry'!BC$9)),MAX(MIN('Council Entry'!BC86,'Council Entry'!BC$9),'Council Entry'!BC$8),'Council Entry'!BC86)),IF(AND(ISNUMBER('Council Entry'!BC$8),ISNUMBER('Council Entry'!BC$9)),MAX(MIN('Council Entry'!BC86,'Council Entry'!BC$9),'Council Entry'!BC$8),'Council Entry'!BC86))))-'Council Entry'!BC$5)/('Council Entry'!BC$6-'Council Entry'!BC$5)),1))),"No data"))</f>
        <v/>
      </c>
      <c r="BD86" s="13">
        <f>IF('Council Entry'!BD86="","",IFERROR(MAX(0,MIN(10,ROUND(IF('Council Entry'!BD$7="Decrease Risk",10-10*((IF('Council Entry'!BD$4="Logarithm",LN(0.001+IF(AND(ISNUMBER('Council Entry'!BD$8),ISNUMBER('Council Entry'!BD$9)),MAX(MIN('Council Entry'!BD86,'Council Entry'!BD$9),'Council Entry'!BD$8),'Council Entry'!BD86)),IF('Council Entry'!BD$4="Exponential",EXP(IF(AND(ISNUMBER('Council Entry'!BD$8),ISNUMBER('Council Entry'!BD$9)),MAX(MIN('Council Entry'!BD86,'Council Entry'!BD$9),'Council Entry'!BD$8),'Council Entry'!BD86)),IF(AND(ISNUMBER('Council Entry'!BD$8),ISNUMBER('Council Entry'!BD$9)),MAX(MIN('Council Entry'!BD86,'Council Entry'!BD$9),'Council Entry'!BD$8),'Council Entry'!BD86))))-'Council Entry'!BD$5)/('Council Entry'!BD$6-'Council Entry'!BD$5),10*((IF('Council Entry'!BD$4="Logarithm",LN(0.001+IF(AND(ISNUMBER('Council Entry'!BD$8),ISNUMBER('Council Entry'!BD$9)),MAX(MIN('Council Entry'!BD86,'Council Entry'!BD$9),'Council Entry'!BD$8),'Council Entry'!BD86)),IF('Council Entry'!BD$4="Exponential",EXP(IF(AND(ISNUMBER('Council Entry'!BD$8),ISNUMBER('Council Entry'!BD$9)),MAX(MIN('Council Entry'!BD86,'Council Entry'!BD$9),'Council Entry'!BD$8),'Council Entry'!BD86)),IF(AND(ISNUMBER('Council Entry'!BD$8),ISNUMBER('Council Entry'!BD$9)),MAX(MIN('Council Entry'!BD86,'Council Entry'!BD$9),'Council Entry'!BD$8),'Council Entry'!BD86))))-'Council Entry'!BD$5)/('Council Entry'!BD$6-'Council Entry'!BD$5)),1))),"No data"))</f>
        <v/>
      </c>
    </row>
    <row r="87">
      <c r="A87" t="inlineStr">
        <is>
          <t>Manyara</t>
        </is>
      </c>
      <c r="B87" t="inlineStr">
        <is>
          <t>Kiteto District</t>
        </is>
      </c>
      <c r="C87" t="inlineStr">
        <is>
          <t>C156</t>
        </is>
      </c>
      <c r="D87" s="13">
        <f>IF('Council Entry'!D87="","",IFERROR(MAX(0,MIN(10,ROUND(IF('Council Entry'!D$7="Decrease Risk",10-10*((IF('Council Entry'!D$4="Logarithm",LN(0.001+IF(AND(ISNUMBER('Council Entry'!D$8),ISNUMBER('Council Entry'!D$9)),MAX(MIN('Council Entry'!D87,'Council Entry'!D$9),'Council Entry'!D$8),'Council Entry'!D87)),IF('Council Entry'!D$4="Exponential",EXP(IF(AND(ISNUMBER('Council Entry'!D$8),ISNUMBER('Council Entry'!D$9)),MAX(MIN('Council Entry'!D87,'Council Entry'!D$9),'Council Entry'!D$8),'Council Entry'!D87)),IF(AND(ISNUMBER('Council Entry'!D$8),ISNUMBER('Council Entry'!D$9)),MAX(MIN('Council Entry'!D87,'Council Entry'!D$9),'Council Entry'!D$8),'Council Entry'!D87))))-'Council Entry'!D$5)/('Council Entry'!D$6-'Council Entry'!D$5),10*((IF('Council Entry'!D$4="Logarithm",LN(0.001+IF(AND(ISNUMBER('Council Entry'!D$8),ISNUMBER('Council Entry'!D$9)),MAX(MIN('Council Entry'!D87,'Council Entry'!D$9),'Council Entry'!D$8),'Council Entry'!D87)),IF('Council Entry'!D$4="Exponential",EXP(IF(AND(ISNUMBER('Council Entry'!D$8),ISNUMBER('Council Entry'!D$9)),MAX(MIN('Council Entry'!D87,'Council Entry'!D$9),'Council Entry'!D$8),'Council Entry'!D87)),IF(AND(ISNUMBER('Council Entry'!D$8),ISNUMBER('Council Entry'!D$9)),MAX(MIN('Council Entry'!D87,'Council Entry'!D$9),'Council Entry'!D$8),'Council Entry'!D87))))-'Council Entry'!D$5)/('Council Entry'!D$6-'Council Entry'!D$5)),1))),"No data"))</f>
        <v/>
      </c>
      <c r="E87" s="13">
        <f>IF('Council Entry'!E87="","",IFERROR(MAX(0,MIN(10,ROUND(IF('Council Entry'!E$7="Decrease Risk",10-10*((IF('Council Entry'!E$4="Logarithm",LN(0.001+IF(AND(ISNUMBER('Council Entry'!E$8),ISNUMBER('Council Entry'!E$9)),MAX(MIN('Council Entry'!E87,'Council Entry'!E$9),'Council Entry'!E$8),'Council Entry'!E87)),IF('Council Entry'!E$4="Exponential",EXP(IF(AND(ISNUMBER('Council Entry'!E$8),ISNUMBER('Council Entry'!E$9)),MAX(MIN('Council Entry'!E87,'Council Entry'!E$9),'Council Entry'!E$8),'Council Entry'!E87)),IF(AND(ISNUMBER('Council Entry'!E$8),ISNUMBER('Council Entry'!E$9)),MAX(MIN('Council Entry'!E87,'Council Entry'!E$9),'Council Entry'!E$8),'Council Entry'!E87))))-'Council Entry'!E$5)/('Council Entry'!E$6-'Council Entry'!E$5),10*((IF('Council Entry'!E$4="Logarithm",LN(0.001+IF(AND(ISNUMBER('Council Entry'!E$8),ISNUMBER('Council Entry'!E$9)),MAX(MIN('Council Entry'!E87,'Council Entry'!E$9),'Council Entry'!E$8),'Council Entry'!E87)),IF('Council Entry'!E$4="Exponential",EXP(IF(AND(ISNUMBER('Council Entry'!E$8),ISNUMBER('Council Entry'!E$9)),MAX(MIN('Council Entry'!E87,'Council Entry'!E$9),'Council Entry'!E$8),'Council Entry'!E87)),IF(AND(ISNUMBER('Council Entry'!E$8),ISNUMBER('Council Entry'!E$9)),MAX(MIN('Council Entry'!E87,'Council Entry'!E$9),'Council Entry'!E$8),'Council Entry'!E87))))-'Council Entry'!E$5)/('Council Entry'!E$6-'Council Entry'!E$5)),1))),"No data"))</f>
        <v/>
      </c>
      <c r="F87" s="13">
        <f>IF('Council Entry'!F87="","",IFERROR(MAX(0,MIN(10,ROUND(IF('Council Entry'!F$7="Decrease Risk",10-10*((IF('Council Entry'!F$4="Logarithm",LN(0.001+IF(AND(ISNUMBER('Council Entry'!F$8),ISNUMBER('Council Entry'!F$9)),MAX(MIN('Council Entry'!F87,'Council Entry'!F$9),'Council Entry'!F$8),'Council Entry'!F87)),IF('Council Entry'!F$4="Exponential",EXP(IF(AND(ISNUMBER('Council Entry'!F$8),ISNUMBER('Council Entry'!F$9)),MAX(MIN('Council Entry'!F87,'Council Entry'!F$9),'Council Entry'!F$8),'Council Entry'!F87)),IF(AND(ISNUMBER('Council Entry'!F$8),ISNUMBER('Council Entry'!F$9)),MAX(MIN('Council Entry'!F87,'Council Entry'!F$9),'Council Entry'!F$8),'Council Entry'!F87))))-'Council Entry'!F$5)/('Council Entry'!F$6-'Council Entry'!F$5),10*((IF('Council Entry'!F$4="Logarithm",LN(0.001+IF(AND(ISNUMBER('Council Entry'!F$8),ISNUMBER('Council Entry'!F$9)),MAX(MIN('Council Entry'!F87,'Council Entry'!F$9),'Council Entry'!F$8),'Council Entry'!F87)),IF('Council Entry'!F$4="Exponential",EXP(IF(AND(ISNUMBER('Council Entry'!F$8),ISNUMBER('Council Entry'!F$9)),MAX(MIN('Council Entry'!F87,'Council Entry'!F$9),'Council Entry'!F$8),'Council Entry'!F87)),IF(AND(ISNUMBER('Council Entry'!F$8),ISNUMBER('Council Entry'!F$9)),MAX(MIN('Council Entry'!F87,'Council Entry'!F$9),'Council Entry'!F$8),'Council Entry'!F87))))-'Council Entry'!F$5)/('Council Entry'!F$6-'Council Entry'!F$5)),1))),"No data"))</f>
        <v/>
      </c>
      <c r="G87" s="13">
        <f>IF('Council Entry'!G87="","",IFERROR(MAX(0,MIN(10,ROUND(IF('Council Entry'!G$7="Decrease Risk",10-10*((IF('Council Entry'!G$4="Logarithm",LN(0.001+IF(AND(ISNUMBER('Council Entry'!G$8),ISNUMBER('Council Entry'!G$9)),MAX(MIN('Council Entry'!G87,'Council Entry'!G$9),'Council Entry'!G$8),'Council Entry'!G87)),IF('Council Entry'!G$4="Exponential",EXP(IF(AND(ISNUMBER('Council Entry'!G$8),ISNUMBER('Council Entry'!G$9)),MAX(MIN('Council Entry'!G87,'Council Entry'!G$9),'Council Entry'!G$8),'Council Entry'!G87)),IF(AND(ISNUMBER('Council Entry'!G$8),ISNUMBER('Council Entry'!G$9)),MAX(MIN('Council Entry'!G87,'Council Entry'!G$9),'Council Entry'!G$8),'Council Entry'!G87))))-'Council Entry'!G$5)/('Council Entry'!G$6-'Council Entry'!G$5),10*((IF('Council Entry'!G$4="Logarithm",LN(0.001+IF(AND(ISNUMBER('Council Entry'!G$8),ISNUMBER('Council Entry'!G$9)),MAX(MIN('Council Entry'!G87,'Council Entry'!G$9),'Council Entry'!G$8),'Council Entry'!G87)),IF('Council Entry'!G$4="Exponential",EXP(IF(AND(ISNUMBER('Council Entry'!G$8),ISNUMBER('Council Entry'!G$9)),MAX(MIN('Council Entry'!G87,'Council Entry'!G$9),'Council Entry'!G$8),'Council Entry'!G87)),IF(AND(ISNUMBER('Council Entry'!G$8),ISNUMBER('Council Entry'!G$9)),MAX(MIN('Council Entry'!G87,'Council Entry'!G$9),'Council Entry'!G$8),'Council Entry'!G87))))-'Council Entry'!G$5)/('Council Entry'!G$6-'Council Entry'!G$5)),1))),"No data"))</f>
        <v/>
      </c>
      <c r="H87" s="13">
        <f>IF('Council Entry'!H87="","",IFERROR(MAX(0,MIN(10,ROUND(IF('Council Entry'!H$7="Decrease Risk",10-10*((IF('Council Entry'!H$4="Logarithm",LN(0.001+IF(AND(ISNUMBER('Council Entry'!H$8),ISNUMBER('Council Entry'!H$9)),MAX(MIN('Council Entry'!H87,'Council Entry'!H$9),'Council Entry'!H$8),'Council Entry'!H87)),IF('Council Entry'!H$4="Exponential",EXP(IF(AND(ISNUMBER('Council Entry'!H$8),ISNUMBER('Council Entry'!H$9)),MAX(MIN('Council Entry'!H87,'Council Entry'!H$9),'Council Entry'!H$8),'Council Entry'!H87)),IF(AND(ISNUMBER('Council Entry'!H$8),ISNUMBER('Council Entry'!H$9)),MAX(MIN('Council Entry'!H87,'Council Entry'!H$9),'Council Entry'!H$8),'Council Entry'!H87))))-'Council Entry'!H$5)/('Council Entry'!H$6-'Council Entry'!H$5),10*((IF('Council Entry'!H$4="Logarithm",LN(0.001+IF(AND(ISNUMBER('Council Entry'!H$8),ISNUMBER('Council Entry'!H$9)),MAX(MIN('Council Entry'!H87,'Council Entry'!H$9),'Council Entry'!H$8),'Council Entry'!H87)),IF('Council Entry'!H$4="Exponential",EXP(IF(AND(ISNUMBER('Council Entry'!H$8),ISNUMBER('Council Entry'!H$9)),MAX(MIN('Council Entry'!H87,'Council Entry'!H$9),'Council Entry'!H$8),'Council Entry'!H87)),IF(AND(ISNUMBER('Council Entry'!H$8),ISNUMBER('Council Entry'!H$9)),MAX(MIN('Council Entry'!H87,'Council Entry'!H$9),'Council Entry'!H$8),'Council Entry'!H87))))-'Council Entry'!H$5)/('Council Entry'!H$6-'Council Entry'!H$5)),1))),"No data"))</f>
        <v/>
      </c>
      <c r="I87" s="13">
        <f>IF('Council Entry'!I87="","",IFERROR(MAX(0,MIN(10,ROUND(IF('Council Entry'!I$7="Decrease Risk",10-10*((IF('Council Entry'!I$4="Logarithm",LN(0.001+IF(AND(ISNUMBER('Council Entry'!I$8),ISNUMBER('Council Entry'!I$9)),MAX(MIN('Council Entry'!I87,'Council Entry'!I$9),'Council Entry'!I$8),'Council Entry'!I87)),IF('Council Entry'!I$4="Exponential",EXP(IF(AND(ISNUMBER('Council Entry'!I$8),ISNUMBER('Council Entry'!I$9)),MAX(MIN('Council Entry'!I87,'Council Entry'!I$9),'Council Entry'!I$8),'Council Entry'!I87)),IF(AND(ISNUMBER('Council Entry'!I$8),ISNUMBER('Council Entry'!I$9)),MAX(MIN('Council Entry'!I87,'Council Entry'!I$9),'Council Entry'!I$8),'Council Entry'!I87))))-'Council Entry'!I$5)/('Council Entry'!I$6-'Council Entry'!I$5),10*((IF('Council Entry'!I$4="Logarithm",LN(0.001+IF(AND(ISNUMBER('Council Entry'!I$8),ISNUMBER('Council Entry'!I$9)),MAX(MIN('Council Entry'!I87,'Council Entry'!I$9),'Council Entry'!I$8),'Council Entry'!I87)),IF('Council Entry'!I$4="Exponential",EXP(IF(AND(ISNUMBER('Council Entry'!I$8),ISNUMBER('Council Entry'!I$9)),MAX(MIN('Council Entry'!I87,'Council Entry'!I$9),'Council Entry'!I$8),'Council Entry'!I87)),IF(AND(ISNUMBER('Council Entry'!I$8),ISNUMBER('Council Entry'!I$9)),MAX(MIN('Council Entry'!I87,'Council Entry'!I$9),'Council Entry'!I$8),'Council Entry'!I87))))-'Council Entry'!I$5)/('Council Entry'!I$6-'Council Entry'!I$5)),1))),"No data"))</f>
        <v/>
      </c>
      <c r="J87" s="13">
        <f>IF('Council Entry'!J87="","",IFERROR(MAX(0,MIN(10,ROUND(IF('Council Entry'!J$7="Decrease Risk",10-10*((IF('Council Entry'!J$4="Logarithm",LN(0.001+IF(AND(ISNUMBER('Council Entry'!J$8),ISNUMBER('Council Entry'!J$9)),MAX(MIN('Council Entry'!J87,'Council Entry'!J$9),'Council Entry'!J$8),'Council Entry'!J87)),IF('Council Entry'!J$4="Exponential",EXP(IF(AND(ISNUMBER('Council Entry'!J$8),ISNUMBER('Council Entry'!J$9)),MAX(MIN('Council Entry'!J87,'Council Entry'!J$9),'Council Entry'!J$8),'Council Entry'!J87)),IF(AND(ISNUMBER('Council Entry'!J$8),ISNUMBER('Council Entry'!J$9)),MAX(MIN('Council Entry'!J87,'Council Entry'!J$9),'Council Entry'!J$8),'Council Entry'!J87))))-'Council Entry'!J$5)/('Council Entry'!J$6-'Council Entry'!J$5),10*((IF('Council Entry'!J$4="Logarithm",LN(0.001+IF(AND(ISNUMBER('Council Entry'!J$8),ISNUMBER('Council Entry'!J$9)),MAX(MIN('Council Entry'!J87,'Council Entry'!J$9),'Council Entry'!J$8),'Council Entry'!J87)),IF('Council Entry'!J$4="Exponential",EXP(IF(AND(ISNUMBER('Council Entry'!J$8),ISNUMBER('Council Entry'!J$9)),MAX(MIN('Council Entry'!J87,'Council Entry'!J$9),'Council Entry'!J$8),'Council Entry'!J87)),IF(AND(ISNUMBER('Council Entry'!J$8),ISNUMBER('Council Entry'!J$9)),MAX(MIN('Council Entry'!J87,'Council Entry'!J$9),'Council Entry'!J$8),'Council Entry'!J87))))-'Council Entry'!J$5)/('Council Entry'!J$6-'Council Entry'!J$5)),1))),"No data"))</f>
        <v/>
      </c>
      <c r="K87" s="13">
        <f>IF('Council Entry'!K87="","",IFERROR(MAX(0,MIN(10,ROUND(IF('Council Entry'!K$7="Decrease Risk",10-10*((IF('Council Entry'!K$4="Logarithm",LN(0.001+IF(AND(ISNUMBER('Council Entry'!K$8),ISNUMBER('Council Entry'!K$9)),MAX(MIN('Council Entry'!K87,'Council Entry'!K$9),'Council Entry'!K$8),'Council Entry'!K87)),IF('Council Entry'!K$4="Exponential",EXP(IF(AND(ISNUMBER('Council Entry'!K$8),ISNUMBER('Council Entry'!K$9)),MAX(MIN('Council Entry'!K87,'Council Entry'!K$9),'Council Entry'!K$8),'Council Entry'!K87)),IF(AND(ISNUMBER('Council Entry'!K$8),ISNUMBER('Council Entry'!K$9)),MAX(MIN('Council Entry'!K87,'Council Entry'!K$9),'Council Entry'!K$8),'Council Entry'!K87))))-'Council Entry'!K$5)/('Council Entry'!K$6-'Council Entry'!K$5),10*((IF('Council Entry'!K$4="Logarithm",LN(0.001+IF(AND(ISNUMBER('Council Entry'!K$8),ISNUMBER('Council Entry'!K$9)),MAX(MIN('Council Entry'!K87,'Council Entry'!K$9),'Council Entry'!K$8),'Council Entry'!K87)),IF('Council Entry'!K$4="Exponential",EXP(IF(AND(ISNUMBER('Council Entry'!K$8),ISNUMBER('Council Entry'!K$9)),MAX(MIN('Council Entry'!K87,'Council Entry'!K$9),'Council Entry'!K$8),'Council Entry'!K87)),IF(AND(ISNUMBER('Council Entry'!K$8),ISNUMBER('Council Entry'!K$9)),MAX(MIN('Council Entry'!K87,'Council Entry'!K$9),'Council Entry'!K$8),'Council Entry'!K87))))-'Council Entry'!K$5)/('Council Entry'!K$6-'Council Entry'!K$5)),1))),"No data"))</f>
        <v/>
      </c>
      <c r="L87" s="13">
        <f>IF('Council Entry'!L87="","",IFERROR(MAX(0,MIN(10,ROUND(IF('Council Entry'!L$7="Decrease Risk",10-10*((IF('Council Entry'!L$4="Logarithm",LN(0.001+IF(AND(ISNUMBER('Council Entry'!L$8),ISNUMBER('Council Entry'!L$9)),MAX(MIN('Council Entry'!L87,'Council Entry'!L$9),'Council Entry'!L$8),'Council Entry'!L87)),IF('Council Entry'!L$4="Exponential",EXP(IF(AND(ISNUMBER('Council Entry'!L$8),ISNUMBER('Council Entry'!L$9)),MAX(MIN('Council Entry'!L87,'Council Entry'!L$9),'Council Entry'!L$8),'Council Entry'!L87)),IF(AND(ISNUMBER('Council Entry'!L$8),ISNUMBER('Council Entry'!L$9)),MAX(MIN('Council Entry'!L87,'Council Entry'!L$9),'Council Entry'!L$8),'Council Entry'!L87))))-'Council Entry'!L$5)/('Council Entry'!L$6-'Council Entry'!L$5),10*((IF('Council Entry'!L$4="Logarithm",LN(0.001+IF(AND(ISNUMBER('Council Entry'!L$8),ISNUMBER('Council Entry'!L$9)),MAX(MIN('Council Entry'!L87,'Council Entry'!L$9),'Council Entry'!L$8),'Council Entry'!L87)),IF('Council Entry'!L$4="Exponential",EXP(IF(AND(ISNUMBER('Council Entry'!L$8),ISNUMBER('Council Entry'!L$9)),MAX(MIN('Council Entry'!L87,'Council Entry'!L$9),'Council Entry'!L$8),'Council Entry'!L87)),IF(AND(ISNUMBER('Council Entry'!L$8),ISNUMBER('Council Entry'!L$9)),MAX(MIN('Council Entry'!L87,'Council Entry'!L$9),'Council Entry'!L$8),'Council Entry'!L87))))-'Council Entry'!L$5)/('Council Entry'!L$6-'Council Entry'!L$5)),1))),"No data"))</f>
        <v/>
      </c>
      <c r="M87" s="13">
        <f>IF('Council Entry'!M87="","",IFERROR(MAX(0,MIN(10,ROUND(IF('Council Entry'!M$7="Decrease Risk",10-10*((IF('Council Entry'!M$4="Logarithm",LN(0.001+IF(AND(ISNUMBER('Council Entry'!M$8),ISNUMBER('Council Entry'!M$9)),MAX(MIN('Council Entry'!M87,'Council Entry'!M$9),'Council Entry'!M$8),'Council Entry'!M87)),IF('Council Entry'!M$4="Exponential",EXP(IF(AND(ISNUMBER('Council Entry'!M$8),ISNUMBER('Council Entry'!M$9)),MAX(MIN('Council Entry'!M87,'Council Entry'!M$9),'Council Entry'!M$8),'Council Entry'!M87)),IF(AND(ISNUMBER('Council Entry'!M$8),ISNUMBER('Council Entry'!M$9)),MAX(MIN('Council Entry'!M87,'Council Entry'!M$9),'Council Entry'!M$8),'Council Entry'!M87))))-'Council Entry'!M$5)/('Council Entry'!M$6-'Council Entry'!M$5),10*((IF('Council Entry'!M$4="Logarithm",LN(0.001+IF(AND(ISNUMBER('Council Entry'!M$8),ISNUMBER('Council Entry'!M$9)),MAX(MIN('Council Entry'!M87,'Council Entry'!M$9),'Council Entry'!M$8),'Council Entry'!M87)),IF('Council Entry'!M$4="Exponential",EXP(IF(AND(ISNUMBER('Council Entry'!M$8),ISNUMBER('Council Entry'!M$9)),MAX(MIN('Council Entry'!M87,'Council Entry'!M$9),'Council Entry'!M$8),'Council Entry'!M87)),IF(AND(ISNUMBER('Council Entry'!M$8),ISNUMBER('Council Entry'!M$9)),MAX(MIN('Council Entry'!M87,'Council Entry'!M$9),'Council Entry'!M$8),'Council Entry'!M87))))-'Council Entry'!M$5)/('Council Entry'!M$6-'Council Entry'!M$5)),1))),"No data"))</f>
        <v/>
      </c>
      <c r="N87" s="13">
        <f>IF('Council Entry'!N87="","",IFERROR(MAX(0,MIN(10,ROUND(IF('Council Entry'!N$7="Decrease Risk",10-10*((IF('Council Entry'!N$4="Logarithm",LN(0.001+IF(AND(ISNUMBER('Council Entry'!N$8),ISNUMBER('Council Entry'!N$9)),MAX(MIN('Council Entry'!N87,'Council Entry'!N$9),'Council Entry'!N$8),'Council Entry'!N87)),IF('Council Entry'!N$4="Exponential",EXP(IF(AND(ISNUMBER('Council Entry'!N$8),ISNUMBER('Council Entry'!N$9)),MAX(MIN('Council Entry'!N87,'Council Entry'!N$9),'Council Entry'!N$8),'Council Entry'!N87)),IF(AND(ISNUMBER('Council Entry'!N$8),ISNUMBER('Council Entry'!N$9)),MAX(MIN('Council Entry'!N87,'Council Entry'!N$9),'Council Entry'!N$8),'Council Entry'!N87))))-'Council Entry'!N$5)/('Council Entry'!N$6-'Council Entry'!N$5),10*((IF('Council Entry'!N$4="Logarithm",LN(0.001+IF(AND(ISNUMBER('Council Entry'!N$8),ISNUMBER('Council Entry'!N$9)),MAX(MIN('Council Entry'!N87,'Council Entry'!N$9),'Council Entry'!N$8),'Council Entry'!N87)),IF('Council Entry'!N$4="Exponential",EXP(IF(AND(ISNUMBER('Council Entry'!N$8),ISNUMBER('Council Entry'!N$9)),MAX(MIN('Council Entry'!N87,'Council Entry'!N$9),'Council Entry'!N$8),'Council Entry'!N87)),IF(AND(ISNUMBER('Council Entry'!N$8),ISNUMBER('Council Entry'!N$9)),MAX(MIN('Council Entry'!N87,'Council Entry'!N$9),'Council Entry'!N$8),'Council Entry'!N87))))-'Council Entry'!N$5)/('Council Entry'!N$6-'Council Entry'!N$5)),1))),"No data"))</f>
        <v/>
      </c>
      <c r="O87" s="13">
        <f>IF('Council Entry'!O87="","",IFERROR(MAX(0,MIN(10,ROUND(IF('Council Entry'!O$7="Decrease Risk",10-10*((IF('Council Entry'!O$4="Logarithm",LN(0.001+IF(AND(ISNUMBER('Council Entry'!O$8),ISNUMBER('Council Entry'!O$9)),MAX(MIN('Council Entry'!O87,'Council Entry'!O$9),'Council Entry'!O$8),'Council Entry'!O87)),IF('Council Entry'!O$4="Exponential",EXP(IF(AND(ISNUMBER('Council Entry'!O$8),ISNUMBER('Council Entry'!O$9)),MAX(MIN('Council Entry'!O87,'Council Entry'!O$9),'Council Entry'!O$8),'Council Entry'!O87)),IF(AND(ISNUMBER('Council Entry'!O$8),ISNUMBER('Council Entry'!O$9)),MAX(MIN('Council Entry'!O87,'Council Entry'!O$9),'Council Entry'!O$8),'Council Entry'!O87))))-'Council Entry'!O$5)/('Council Entry'!O$6-'Council Entry'!O$5),10*((IF('Council Entry'!O$4="Logarithm",LN(0.001+IF(AND(ISNUMBER('Council Entry'!O$8),ISNUMBER('Council Entry'!O$9)),MAX(MIN('Council Entry'!O87,'Council Entry'!O$9),'Council Entry'!O$8),'Council Entry'!O87)),IF('Council Entry'!O$4="Exponential",EXP(IF(AND(ISNUMBER('Council Entry'!O$8),ISNUMBER('Council Entry'!O$9)),MAX(MIN('Council Entry'!O87,'Council Entry'!O$9),'Council Entry'!O$8),'Council Entry'!O87)),IF(AND(ISNUMBER('Council Entry'!O$8),ISNUMBER('Council Entry'!O$9)),MAX(MIN('Council Entry'!O87,'Council Entry'!O$9),'Council Entry'!O$8),'Council Entry'!O87))))-'Council Entry'!O$5)/('Council Entry'!O$6-'Council Entry'!O$5)),1))),"No data"))</f>
        <v/>
      </c>
      <c r="P87" s="13">
        <f>IF('Council Entry'!P87="","",IFERROR(MAX(0,MIN(10,ROUND(IF('Council Entry'!P$7="Decrease Risk",10-10*((IF('Council Entry'!P$4="Logarithm",LN(0.001+IF(AND(ISNUMBER('Council Entry'!P$8),ISNUMBER('Council Entry'!P$9)),MAX(MIN('Council Entry'!P87,'Council Entry'!P$9),'Council Entry'!P$8),'Council Entry'!P87)),IF('Council Entry'!P$4="Exponential",EXP(IF(AND(ISNUMBER('Council Entry'!P$8),ISNUMBER('Council Entry'!P$9)),MAX(MIN('Council Entry'!P87,'Council Entry'!P$9),'Council Entry'!P$8),'Council Entry'!P87)),IF(AND(ISNUMBER('Council Entry'!P$8),ISNUMBER('Council Entry'!P$9)),MAX(MIN('Council Entry'!P87,'Council Entry'!P$9),'Council Entry'!P$8),'Council Entry'!P87))))-'Council Entry'!P$5)/('Council Entry'!P$6-'Council Entry'!P$5),10*((IF('Council Entry'!P$4="Logarithm",LN(0.001+IF(AND(ISNUMBER('Council Entry'!P$8),ISNUMBER('Council Entry'!P$9)),MAX(MIN('Council Entry'!P87,'Council Entry'!P$9),'Council Entry'!P$8),'Council Entry'!P87)),IF('Council Entry'!P$4="Exponential",EXP(IF(AND(ISNUMBER('Council Entry'!P$8),ISNUMBER('Council Entry'!P$9)),MAX(MIN('Council Entry'!P87,'Council Entry'!P$9),'Council Entry'!P$8),'Council Entry'!P87)),IF(AND(ISNUMBER('Council Entry'!P$8),ISNUMBER('Council Entry'!P$9)),MAX(MIN('Council Entry'!P87,'Council Entry'!P$9),'Council Entry'!P$8),'Council Entry'!P87))))-'Council Entry'!P$5)/('Council Entry'!P$6-'Council Entry'!P$5)),1))),"No data"))</f>
        <v/>
      </c>
      <c r="Q87" s="13">
        <f>IF('Council Entry'!Q87="","",IFERROR(MAX(0,MIN(10,ROUND(IF('Council Entry'!Q$7="Decrease Risk",10-10*((IF('Council Entry'!Q$4="Logarithm",LN(0.001+IF(AND(ISNUMBER('Council Entry'!Q$8),ISNUMBER('Council Entry'!Q$9)),MAX(MIN('Council Entry'!Q87,'Council Entry'!Q$9),'Council Entry'!Q$8),'Council Entry'!Q87)),IF('Council Entry'!Q$4="Exponential",EXP(IF(AND(ISNUMBER('Council Entry'!Q$8),ISNUMBER('Council Entry'!Q$9)),MAX(MIN('Council Entry'!Q87,'Council Entry'!Q$9),'Council Entry'!Q$8),'Council Entry'!Q87)),IF(AND(ISNUMBER('Council Entry'!Q$8),ISNUMBER('Council Entry'!Q$9)),MAX(MIN('Council Entry'!Q87,'Council Entry'!Q$9),'Council Entry'!Q$8),'Council Entry'!Q87))))-'Council Entry'!Q$5)/('Council Entry'!Q$6-'Council Entry'!Q$5),10*((IF('Council Entry'!Q$4="Logarithm",LN(0.001+IF(AND(ISNUMBER('Council Entry'!Q$8),ISNUMBER('Council Entry'!Q$9)),MAX(MIN('Council Entry'!Q87,'Council Entry'!Q$9),'Council Entry'!Q$8),'Council Entry'!Q87)),IF('Council Entry'!Q$4="Exponential",EXP(IF(AND(ISNUMBER('Council Entry'!Q$8),ISNUMBER('Council Entry'!Q$9)),MAX(MIN('Council Entry'!Q87,'Council Entry'!Q$9),'Council Entry'!Q$8),'Council Entry'!Q87)),IF(AND(ISNUMBER('Council Entry'!Q$8),ISNUMBER('Council Entry'!Q$9)),MAX(MIN('Council Entry'!Q87,'Council Entry'!Q$9),'Council Entry'!Q$8),'Council Entry'!Q87))))-'Council Entry'!Q$5)/('Council Entry'!Q$6-'Council Entry'!Q$5)),1))),"No data"))</f>
        <v/>
      </c>
      <c r="R87" s="13">
        <f>IF('Council Entry'!R87="","",IFERROR(MAX(0,MIN(10,ROUND(IF('Council Entry'!R$7="Decrease Risk",10-10*((IF('Council Entry'!R$4="Logarithm",LN(0.001+IF(AND(ISNUMBER('Council Entry'!R$8),ISNUMBER('Council Entry'!R$9)),MAX(MIN('Council Entry'!R87,'Council Entry'!R$9),'Council Entry'!R$8),'Council Entry'!R87)),IF('Council Entry'!R$4="Exponential",EXP(IF(AND(ISNUMBER('Council Entry'!R$8),ISNUMBER('Council Entry'!R$9)),MAX(MIN('Council Entry'!R87,'Council Entry'!R$9),'Council Entry'!R$8),'Council Entry'!R87)),IF(AND(ISNUMBER('Council Entry'!R$8),ISNUMBER('Council Entry'!R$9)),MAX(MIN('Council Entry'!R87,'Council Entry'!R$9),'Council Entry'!R$8),'Council Entry'!R87))))-'Council Entry'!R$5)/('Council Entry'!R$6-'Council Entry'!R$5),10*((IF('Council Entry'!R$4="Logarithm",LN(0.001+IF(AND(ISNUMBER('Council Entry'!R$8),ISNUMBER('Council Entry'!R$9)),MAX(MIN('Council Entry'!R87,'Council Entry'!R$9),'Council Entry'!R$8),'Council Entry'!R87)),IF('Council Entry'!R$4="Exponential",EXP(IF(AND(ISNUMBER('Council Entry'!R$8),ISNUMBER('Council Entry'!R$9)),MAX(MIN('Council Entry'!R87,'Council Entry'!R$9),'Council Entry'!R$8),'Council Entry'!R87)),IF(AND(ISNUMBER('Council Entry'!R$8),ISNUMBER('Council Entry'!R$9)),MAX(MIN('Council Entry'!R87,'Council Entry'!R$9),'Council Entry'!R$8),'Council Entry'!R87))))-'Council Entry'!R$5)/('Council Entry'!R$6-'Council Entry'!R$5)),1))),"No data"))</f>
        <v/>
      </c>
      <c r="S87" s="13">
        <f>IF('Council Entry'!S87="","",IFERROR(MAX(0,MIN(10,ROUND(IF('Council Entry'!S$7="Decrease Risk",10-10*((IF('Council Entry'!S$4="Logarithm",LN(0.001+IF(AND(ISNUMBER('Council Entry'!S$8),ISNUMBER('Council Entry'!S$9)),MAX(MIN('Council Entry'!S87,'Council Entry'!S$9),'Council Entry'!S$8),'Council Entry'!S87)),IF('Council Entry'!S$4="Exponential",EXP(IF(AND(ISNUMBER('Council Entry'!S$8),ISNUMBER('Council Entry'!S$9)),MAX(MIN('Council Entry'!S87,'Council Entry'!S$9),'Council Entry'!S$8),'Council Entry'!S87)),IF(AND(ISNUMBER('Council Entry'!S$8),ISNUMBER('Council Entry'!S$9)),MAX(MIN('Council Entry'!S87,'Council Entry'!S$9),'Council Entry'!S$8),'Council Entry'!S87))))-'Council Entry'!S$5)/('Council Entry'!S$6-'Council Entry'!S$5),10*((IF('Council Entry'!S$4="Logarithm",LN(0.001+IF(AND(ISNUMBER('Council Entry'!S$8),ISNUMBER('Council Entry'!S$9)),MAX(MIN('Council Entry'!S87,'Council Entry'!S$9),'Council Entry'!S$8),'Council Entry'!S87)),IF('Council Entry'!S$4="Exponential",EXP(IF(AND(ISNUMBER('Council Entry'!S$8),ISNUMBER('Council Entry'!S$9)),MAX(MIN('Council Entry'!S87,'Council Entry'!S$9),'Council Entry'!S$8),'Council Entry'!S87)),IF(AND(ISNUMBER('Council Entry'!S$8),ISNUMBER('Council Entry'!S$9)),MAX(MIN('Council Entry'!S87,'Council Entry'!S$9),'Council Entry'!S$8),'Council Entry'!S87))))-'Council Entry'!S$5)/('Council Entry'!S$6-'Council Entry'!S$5)),1))),"No data"))</f>
        <v/>
      </c>
      <c r="T87" s="13">
        <f>IF('Council Entry'!T87="","",IFERROR(MAX(0,MIN(10,ROUND(IF('Council Entry'!T$7="Decrease Risk",10-10*((IF('Council Entry'!T$4="Logarithm",LN(0.001+IF(AND(ISNUMBER('Council Entry'!T$8),ISNUMBER('Council Entry'!T$9)),MAX(MIN('Council Entry'!T87,'Council Entry'!T$9),'Council Entry'!T$8),'Council Entry'!T87)),IF('Council Entry'!T$4="Exponential",EXP(IF(AND(ISNUMBER('Council Entry'!T$8),ISNUMBER('Council Entry'!T$9)),MAX(MIN('Council Entry'!T87,'Council Entry'!T$9),'Council Entry'!T$8),'Council Entry'!T87)),IF(AND(ISNUMBER('Council Entry'!T$8),ISNUMBER('Council Entry'!T$9)),MAX(MIN('Council Entry'!T87,'Council Entry'!T$9),'Council Entry'!T$8),'Council Entry'!T87))))-'Council Entry'!T$5)/('Council Entry'!T$6-'Council Entry'!T$5),10*((IF('Council Entry'!T$4="Logarithm",LN(0.001+IF(AND(ISNUMBER('Council Entry'!T$8),ISNUMBER('Council Entry'!T$9)),MAX(MIN('Council Entry'!T87,'Council Entry'!T$9),'Council Entry'!T$8),'Council Entry'!T87)),IF('Council Entry'!T$4="Exponential",EXP(IF(AND(ISNUMBER('Council Entry'!T$8),ISNUMBER('Council Entry'!T$9)),MAX(MIN('Council Entry'!T87,'Council Entry'!T$9),'Council Entry'!T$8),'Council Entry'!T87)),IF(AND(ISNUMBER('Council Entry'!T$8),ISNUMBER('Council Entry'!T$9)),MAX(MIN('Council Entry'!T87,'Council Entry'!T$9),'Council Entry'!T$8),'Council Entry'!T87))))-'Council Entry'!T$5)/('Council Entry'!T$6-'Council Entry'!T$5)),1))),"No data"))</f>
        <v/>
      </c>
      <c r="U87" s="13">
        <f>IF('Council Entry'!U87="","",IFERROR(MAX(0,MIN(10,ROUND(IF('Council Entry'!U$7="Decrease Risk",10-10*((IF('Council Entry'!U$4="Logarithm",LN(0.001+IF(AND(ISNUMBER('Council Entry'!U$8),ISNUMBER('Council Entry'!U$9)),MAX(MIN('Council Entry'!U87,'Council Entry'!U$9),'Council Entry'!U$8),'Council Entry'!U87)),IF('Council Entry'!U$4="Exponential",EXP(IF(AND(ISNUMBER('Council Entry'!U$8),ISNUMBER('Council Entry'!U$9)),MAX(MIN('Council Entry'!U87,'Council Entry'!U$9),'Council Entry'!U$8),'Council Entry'!U87)),IF(AND(ISNUMBER('Council Entry'!U$8),ISNUMBER('Council Entry'!U$9)),MAX(MIN('Council Entry'!U87,'Council Entry'!U$9),'Council Entry'!U$8),'Council Entry'!U87))))-'Council Entry'!U$5)/('Council Entry'!U$6-'Council Entry'!U$5),10*((IF('Council Entry'!U$4="Logarithm",LN(0.001+IF(AND(ISNUMBER('Council Entry'!U$8),ISNUMBER('Council Entry'!U$9)),MAX(MIN('Council Entry'!U87,'Council Entry'!U$9),'Council Entry'!U$8),'Council Entry'!U87)),IF('Council Entry'!U$4="Exponential",EXP(IF(AND(ISNUMBER('Council Entry'!U$8),ISNUMBER('Council Entry'!U$9)),MAX(MIN('Council Entry'!U87,'Council Entry'!U$9),'Council Entry'!U$8),'Council Entry'!U87)),IF(AND(ISNUMBER('Council Entry'!U$8),ISNUMBER('Council Entry'!U$9)),MAX(MIN('Council Entry'!U87,'Council Entry'!U$9),'Council Entry'!U$8),'Council Entry'!U87))))-'Council Entry'!U$5)/('Council Entry'!U$6-'Council Entry'!U$5)),1))),"No data"))</f>
        <v/>
      </c>
      <c r="V87" s="13">
        <f>IF('Council Entry'!V87="","",IFERROR(MAX(0,MIN(10,ROUND(IF('Council Entry'!V$7="Decrease Risk",10-10*((IF('Council Entry'!V$4="Logarithm",LN(0.001+IF(AND(ISNUMBER('Council Entry'!V$8),ISNUMBER('Council Entry'!V$9)),MAX(MIN('Council Entry'!V87,'Council Entry'!V$9),'Council Entry'!V$8),'Council Entry'!V87)),IF('Council Entry'!V$4="Exponential",EXP(IF(AND(ISNUMBER('Council Entry'!V$8),ISNUMBER('Council Entry'!V$9)),MAX(MIN('Council Entry'!V87,'Council Entry'!V$9),'Council Entry'!V$8),'Council Entry'!V87)),IF(AND(ISNUMBER('Council Entry'!V$8),ISNUMBER('Council Entry'!V$9)),MAX(MIN('Council Entry'!V87,'Council Entry'!V$9),'Council Entry'!V$8),'Council Entry'!V87))))-'Council Entry'!V$5)/('Council Entry'!V$6-'Council Entry'!V$5),10*((IF('Council Entry'!V$4="Logarithm",LN(0.001+IF(AND(ISNUMBER('Council Entry'!V$8),ISNUMBER('Council Entry'!V$9)),MAX(MIN('Council Entry'!V87,'Council Entry'!V$9),'Council Entry'!V$8),'Council Entry'!V87)),IF('Council Entry'!V$4="Exponential",EXP(IF(AND(ISNUMBER('Council Entry'!V$8),ISNUMBER('Council Entry'!V$9)),MAX(MIN('Council Entry'!V87,'Council Entry'!V$9),'Council Entry'!V$8),'Council Entry'!V87)),IF(AND(ISNUMBER('Council Entry'!V$8),ISNUMBER('Council Entry'!V$9)),MAX(MIN('Council Entry'!V87,'Council Entry'!V$9),'Council Entry'!V$8),'Council Entry'!V87))))-'Council Entry'!V$5)/('Council Entry'!V$6-'Council Entry'!V$5)),1))),"No data"))</f>
        <v/>
      </c>
      <c r="W87" s="13">
        <f>IF('Council Entry'!W87="","",IFERROR(MAX(0,MIN(10,ROUND(IF('Council Entry'!W$7="Decrease Risk",10-10*((IF('Council Entry'!W$4="Logarithm",LN(0.001+IF(AND(ISNUMBER('Council Entry'!W$8),ISNUMBER('Council Entry'!W$9)),MAX(MIN('Council Entry'!W87,'Council Entry'!W$9),'Council Entry'!W$8),'Council Entry'!W87)),IF('Council Entry'!W$4="Exponential",EXP(IF(AND(ISNUMBER('Council Entry'!W$8),ISNUMBER('Council Entry'!W$9)),MAX(MIN('Council Entry'!W87,'Council Entry'!W$9),'Council Entry'!W$8),'Council Entry'!W87)),IF(AND(ISNUMBER('Council Entry'!W$8),ISNUMBER('Council Entry'!W$9)),MAX(MIN('Council Entry'!W87,'Council Entry'!W$9),'Council Entry'!W$8),'Council Entry'!W87))))-'Council Entry'!W$5)/('Council Entry'!W$6-'Council Entry'!W$5),10*((IF('Council Entry'!W$4="Logarithm",LN(0.001+IF(AND(ISNUMBER('Council Entry'!W$8),ISNUMBER('Council Entry'!W$9)),MAX(MIN('Council Entry'!W87,'Council Entry'!W$9),'Council Entry'!W$8),'Council Entry'!W87)),IF('Council Entry'!W$4="Exponential",EXP(IF(AND(ISNUMBER('Council Entry'!W$8),ISNUMBER('Council Entry'!W$9)),MAX(MIN('Council Entry'!W87,'Council Entry'!W$9),'Council Entry'!W$8),'Council Entry'!W87)),IF(AND(ISNUMBER('Council Entry'!W$8),ISNUMBER('Council Entry'!W$9)),MAX(MIN('Council Entry'!W87,'Council Entry'!W$9),'Council Entry'!W$8),'Council Entry'!W87))))-'Council Entry'!W$5)/('Council Entry'!W$6-'Council Entry'!W$5)),1))),"No data"))</f>
        <v/>
      </c>
      <c r="X87" s="13">
        <f>IF('Council Entry'!X87="","",IFERROR(MAX(0,MIN(10,ROUND(IF('Council Entry'!X$7="Decrease Risk",10-10*((IF('Council Entry'!X$4="Logarithm",LN(0.001+IF(AND(ISNUMBER('Council Entry'!X$8),ISNUMBER('Council Entry'!X$9)),MAX(MIN('Council Entry'!X87,'Council Entry'!X$9),'Council Entry'!X$8),'Council Entry'!X87)),IF('Council Entry'!X$4="Exponential",EXP(IF(AND(ISNUMBER('Council Entry'!X$8),ISNUMBER('Council Entry'!X$9)),MAX(MIN('Council Entry'!X87,'Council Entry'!X$9),'Council Entry'!X$8),'Council Entry'!X87)),IF(AND(ISNUMBER('Council Entry'!X$8),ISNUMBER('Council Entry'!X$9)),MAX(MIN('Council Entry'!X87,'Council Entry'!X$9),'Council Entry'!X$8),'Council Entry'!X87))))-'Council Entry'!X$5)/('Council Entry'!X$6-'Council Entry'!X$5),10*((IF('Council Entry'!X$4="Logarithm",LN(0.001+IF(AND(ISNUMBER('Council Entry'!X$8),ISNUMBER('Council Entry'!X$9)),MAX(MIN('Council Entry'!X87,'Council Entry'!X$9),'Council Entry'!X$8),'Council Entry'!X87)),IF('Council Entry'!X$4="Exponential",EXP(IF(AND(ISNUMBER('Council Entry'!X$8),ISNUMBER('Council Entry'!X$9)),MAX(MIN('Council Entry'!X87,'Council Entry'!X$9),'Council Entry'!X$8),'Council Entry'!X87)),IF(AND(ISNUMBER('Council Entry'!X$8),ISNUMBER('Council Entry'!X$9)),MAX(MIN('Council Entry'!X87,'Council Entry'!X$9),'Council Entry'!X$8),'Council Entry'!X87))))-'Council Entry'!X$5)/('Council Entry'!X$6-'Council Entry'!X$5)),1))),"No data"))</f>
        <v/>
      </c>
      <c r="Y87" s="13">
        <f>IF('Council Entry'!Y87="","",IFERROR(MAX(0,MIN(10,ROUND(IF('Council Entry'!Y$7="Decrease Risk",10-10*((IF('Council Entry'!Y$4="Logarithm",LN(0.001+IF(AND(ISNUMBER('Council Entry'!Y$8),ISNUMBER('Council Entry'!Y$9)),MAX(MIN('Council Entry'!Y87,'Council Entry'!Y$9),'Council Entry'!Y$8),'Council Entry'!Y87)),IF('Council Entry'!Y$4="Exponential",EXP(IF(AND(ISNUMBER('Council Entry'!Y$8),ISNUMBER('Council Entry'!Y$9)),MAX(MIN('Council Entry'!Y87,'Council Entry'!Y$9),'Council Entry'!Y$8),'Council Entry'!Y87)),IF(AND(ISNUMBER('Council Entry'!Y$8),ISNUMBER('Council Entry'!Y$9)),MAX(MIN('Council Entry'!Y87,'Council Entry'!Y$9),'Council Entry'!Y$8),'Council Entry'!Y87))))-'Council Entry'!Y$5)/('Council Entry'!Y$6-'Council Entry'!Y$5),10*((IF('Council Entry'!Y$4="Logarithm",LN(0.001+IF(AND(ISNUMBER('Council Entry'!Y$8),ISNUMBER('Council Entry'!Y$9)),MAX(MIN('Council Entry'!Y87,'Council Entry'!Y$9),'Council Entry'!Y$8),'Council Entry'!Y87)),IF('Council Entry'!Y$4="Exponential",EXP(IF(AND(ISNUMBER('Council Entry'!Y$8),ISNUMBER('Council Entry'!Y$9)),MAX(MIN('Council Entry'!Y87,'Council Entry'!Y$9),'Council Entry'!Y$8),'Council Entry'!Y87)),IF(AND(ISNUMBER('Council Entry'!Y$8),ISNUMBER('Council Entry'!Y$9)),MAX(MIN('Council Entry'!Y87,'Council Entry'!Y$9),'Council Entry'!Y$8),'Council Entry'!Y87))))-'Council Entry'!Y$5)/('Council Entry'!Y$6-'Council Entry'!Y$5)),1))),"No data"))</f>
        <v/>
      </c>
      <c r="Z87" s="13">
        <f>IF('Council Entry'!Z87="","",IFERROR(MAX(0,MIN(10,ROUND(IF('Council Entry'!Z$7="Decrease Risk",10-10*((IF('Council Entry'!Z$4="Logarithm",LN(0.001+IF(AND(ISNUMBER('Council Entry'!Z$8),ISNUMBER('Council Entry'!Z$9)),MAX(MIN('Council Entry'!Z87,'Council Entry'!Z$9),'Council Entry'!Z$8),'Council Entry'!Z87)),IF('Council Entry'!Z$4="Exponential",EXP(IF(AND(ISNUMBER('Council Entry'!Z$8),ISNUMBER('Council Entry'!Z$9)),MAX(MIN('Council Entry'!Z87,'Council Entry'!Z$9),'Council Entry'!Z$8),'Council Entry'!Z87)),IF(AND(ISNUMBER('Council Entry'!Z$8),ISNUMBER('Council Entry'!Z$9)),MAX(MIN('Council Entry'!Z87,'Council Entry'!Z$9),'Council Entry'!Z$8),'Council Entry'!Z87))))-'Council Entry'!Z$5)/('Council Entry'!Z$6-'Council Entry'!Z$5),10*((IF('Council Entry'!Z$4="Logarithm",LN(0.001+IF(AND(ISNUMBER('Council Entry'!Z$8),ISNUMBER('Council Entry'!Z$9)),MAX(MIN('Council Entry'!Z87,'Council Entry'!Z$9),'Council Entry'!Z$8),'Council Entry'!Z87)),IF('Council Entry'!Z$4="Exponential",EXP(IF(AND(ISNUMBER('Council Entry'!Z$8),ISNUMBER('Council Entry'!Z$9)),MAX(MIN('Council Entry'!Z87,'Council Entry'!Z$9),'Council Entry'!Z$8),'Council Entry'!Z87)),IF(AND(ISNUMBER('Council Entry'!Z$8),ISNUMBER('Council Entry'!Z$9)),MAX(MIN('Council Entry'!Z87,'Council Entry'!Z$9),'Council Entry'!Z$8),'Council Entry'!Z87))))-'Council Entry'!Z$5)/('Council Entry'!Z$6-'Council Entry'!Z$5)),1))),"No data"))</f>
        <v/>
      </c>
      <c r="AA87" s="13">
        <f>IF('Council Entry'!AA87="","",IFERROR(MAX(0,MIN(10,ROUND(IF('Council Entry'!AA$7="Decrease Risk",10-10*((IF('Council Entry'!AA$4="Logarithm",LN(0.001+IF(AND(ISNUMBER('Council Entry'!AA$8),ISNUMBER('Council Entry'!AA$9)),MAX(MIN('Council Entry'!AA87,'Council Entry'!AA$9),'Council Entry'!AA$8),'Council Entry'!AA87)),IF('Council Entry'!AA$4="Exponential",EXP(IF(AND(ISNUMBER('Council Entry'!AA$8),ISNUMBER('Council Entry'!AA$9)),MAX(MIN('Council Entry'!AA87,'Council Entry'!AA$9),'Council Entry'!AA$8),'Council Entry'!AA87)),IF(AND(ISNUMBER('Council Entry'!AA$8),ISNUMBER('Council Entry'!AA$9)),MAX(MIN('Council Entry'!AA87,'Council Entry'!AA$9),'Council Entry'!AA$8),'Council Entry'!AA87))))-'Council Entry'!AA$5)/('Council Entry'!AA$6-'Council Entry'!AA$5),10*((IF('Council Entry'!AA$4="Logarithm",LN(0.001+IF(AND(ISNUMBER('Council Entry'!AA$8),ISNUMBER('Council Entry'!AA$9)),MAX(MIN('Council Entry'!AA87,'Council Entry'!AA$9),'Council Entry'!AA$8),'Council Entry'!AA87)),IF('Council Entry'!AA$4="Exponential",EXP(IF(AND(ISNUMBER('Council Entry'!AA$8),ISNUMBER('Council Entry'!AA$9)),MAX(MIN('Council Entry'!AA87,'Council Entry'!AA$9),'Council Entry'!AA$8),'Council Entry'!AA87)),IF(AND(ISNUMBER('Council Entry'!AA$8),ISNUMBER('Council Entry'!AA$9)),MAX(MIN('Council Entry'!AA87,'Council Entry'!AA$9),'Council Entry'!AA$8),'Council Entry'!AA87))))-'Council Entry'!AA$5)/('Council Entry'!AA$6-'Council Entry'!AA$5)),1))),"No data"))</f>
        <v/>
      </c>
      <c r="AB87" s="13">
        <f>IF('Council Entry'!AB87="","",IFERROR(MAX(0,MIN(10,ROUND(IF('Council Entry'!AB$7="Decrease Risk",10-10*((IF('Council Entry'!AB$4="Logarithm",LN(0.001+IF(AND(ISNUMBER('Council Entry'!AB$8),ISNUMBER('Council Entry'!AB$9)),MAX(MIN('Council Entry'!AB87,'Council Entry'!AB$9),'Council Entry'!AB$8),'Council Entry'!AB87)),IF('Council Entry'!AB$4="Exponential",EXP(IF(AND(ISNUMBER('Council Entry'!AB$8),ISNUMBER('Council Entry'!AB$9)),MAX(MIN('Council Entry'!AB87,'Council Entry'!AB$9),'Council Entry'!AB$8),'Council Entry'!AB87)),IF(AND(ISNUMBER('Council Entry'!AB$8),ISNUMBER('Council Entry'!AB$9)),MAX(MIN('Council Entry'!AB87,'Council Entry'!AB$9),'Council Entry'!AB$8),'Council Entry'!AB87))))-'Council Entry'!AB$5)/('Council Entry'!AB$6-'Council Entry'!AB$5),10*((IF('Council Entry'!AB$4="Logarithm",LN(0.001+IF(AND(ISNUMBER('Council Entry'!AB$8),ISNUMBER('Council Entry'!AB$9)),MAX(MIN('Council Entry'!AB87,'Council Entry'!AB$9),'Council Entry'!AB$8),'Council Entry'!AB87)),IF('Council Entry'!AB$4="Exponential",EXP(IF(AND(ISNUMBER('Council Entry'!AB$8),ISNUMBER('Council Entry'!AB$9)),MAX(MIN('Council Entry'!AB87,'Council Entry'!AB$9),'Council Entry'!AB$8),'Council Entry'!AB87)),IF(AND(ISNUMBER('Council Entry'!AB$8),ISNUMBER('Council Entry'!AB$9)),MAX(MIN('Council Entry'!AB87,'Council Entry'!AB$9),'Council Entry'!AB$8),'Council Entry'!AB87))))-'Council Entry'!AB$5)/('Council Entry'!AB$6-'Council Entry'!AB$5)),1))),"No data"))</f>
        <v/>
      </c>
      <c r="AC87" s="13">
        <f>IF('Council Entry'!AC87="","",IFERROR(MAX(0,MIN(10,ROUND(IF('Council Entry'!AC$7="Decrease Risk",10-10*((IF('Council Entry'!AC$4="Logarithm",LN(0.001+IF(AND(ISNUMBER('Council Entry'!AC$8),ISNUMBER('Council Entry'!AC$9)),MAX(MIN('Council Entry'!AC87,'Council Entry'!AC$9),'Council Entry'!AC$8),'Council Entry'!AC87)),IF('Council Entry'!AC$4="Exponential",EXP(IF(AND(ISNUMBER('Council Entry'!AC$8),ISNUMBER('Council Entry'!AC$9)),MAX(MIN('Council Entry'!AC87,'Council Entry'!AC$9),'Council Entry'!AC$8),'Council Entry'!AC87)),IF(AND(ISNUMBER('Council Entry'!AC$8),ISNUMBER('Council Entry'!AC$9)),MAX(MIN('Council Entry'!AC87,'Council Entry'!AC$9),'Council Entry'!AC$8),'Council Entry'!AC87))))-'Council Entry'!AC$5)/('Council Entry'!AC$6-'Council Entry'!AC$5),10*((IF('Council Entry'!AC$4="Logarithm",LN(0.001+IF(AND(ISNUMBER('Council Entry'!AC$8),ISNUMBER('Council Entry'!AC$9)),MAX(MIN('Council Entry'!AC87,'Council Entry'!AC$9),'Council Entry'!AC$8),'Council Entry'!AC87)),IF('Council Entry'!AC$4="Exponential",EXP(IF(AND(ISNUMBER('Council Entry'!AC$8),ISNUMBER('Council Entry'!AC$9)),MAX(MIN('Council Entry'!AC87,'Council Entry'!AC$9),'Council Entry'!AC$8),'Council Entry'!AC87)),IF(AND(ISNUMBER('Council Entry'!AC$8),ISNUMBER('Council Entry'!AC$9)),MAX(MIN('Council Entry'!AC87,'Council Entry'!AC$9),'Council Entry'!AC$8),'Council Entry'!AC87))))-'Council Entry'!AC$5)/('Council Entry'!AC$6-'Council Entry'!AC$5)),1))),"No data"))</f>
        <v/>
      </c>
      <c r="AD87" s="13">
        <f>IF('Council Entry'!AD87="","",IFERROR(MAX(0,MIN(10,ROUND(IF('Council Entry'!AD$7="Decrease Risk",10-10*((IF('Council Entry'!AD$4="Logarithm",LN(0.001+IF(AND(ISNUMBER('Council Entry'!AD$8),ISNUMBER('Council Entry'!AD$9)),MAX(MIN('Council Entry'!AD87,'Council Entry'!AD$9),'Council Entry'!AD$8),'Council Entry'!AD87)),IF('Council Entry'!AD$4="Exponential",EXP(IF(AND(ISNUMBER('Council Entry'!AD$8),ISNUMBER('Council Entry'!AD$9)),MAX(MIN('Council Entry'!AD87,'Council Entry'!AD$9),'Council Entry'!AD$8),'Council Entry'!AD87)),IF(AND(ISNUMBER('Council Entry'!AD$8),ISNUMBER('Council Entry'!AD$9)),MAX(MIN('Council Entry'!AD87,'Council Entry'!AD$9),'Council Entry'!AD$8),'Council Entry'!AD87))))-'Council Entry'!AD$5)/('Council Entry'!AD$6-'Council Entry'!AD$5),10*((IF('Council Entry'!AD$4="Logarithm",LN(0.001+IF(AND(ISNUMBER('Council Entry'!AD$8),ISNUMBER('Council Entry'!AD$9)),MAX(MIN('Council Entry'!AD87,'Council Entry'!AD$9),'Council Entry'!AD$8),'Council Entry'!AD87)),IF('Council Entry'!AD$4="Exponential",EXP(IF(AND(ISNUMBER('Council Entry'!AD$8),ISNUMBER('Council Entry'!AD$9)),MAX(MIN('Council Entry'!AD87,'Council Entry'!AD$9),'Council Entry'!AD$8),'Council Entry'!AD87)),IF(AND(ISNUMBER('Council Entry'!AD$8),ISNUMBER('Council Entry'!AD$9)),MAX(MIN('Council Entry'!AD87,'Council Entry'!AD$9),'Council Entry'!AD$8),'Council Entry'!AD87))))-'Council Entry'!AD$5)/('Council Entry'!AD$6-'Council Entry'!AD$5)),1))),"No data"))</f>
        <v/>
      </c>
      <c r="AE87" s="13">
        <f>IF('Council Entry'!AE87="","",IFERROR(MAX(0,MIN(10,ROUND(IF('Council Entry'!AE$7="Decrease Risk",10-10*((IF('Council Entry'!AE$4="Logarithm",LN(0.001+IF(AND(ISNUMBER('Council Entry'!AE$8),ISNUMBER('Council Entry'!AE$9)),MAX(MIN('Council Entry'!AE87,'Council Entry'!AE$9),'Council Entry'!AE$8),'Council Entry'!AE87)),IF('Council Entry'!AE$4="Exponential",EXP(IF(AND(ISNUMBER('Council Entry'!AE$8),ISNUMBER('Council Entry'!AE$9)),MAX(MIN('Council Entry'!AE87,'Council Entry'!AE$9),'Council Entry'!AE$8),'Council Entry'!AE87)),IF(AND(ISNUMBER('Council Entry'!AE$8),ISNUMBER('Council Entry'!AE$9)),MAX(MIN('Council Entry'!AE87,'Council Entry'!AE$9),'Council Entry'!AE$8),'Council Entry'!AE87))))-'Council Entry'!AE$5)/('Council Entry'!AE$6-'Council Entry'!AE$5),10*((IF('Council Entry'!AE$4="Logarithm",LN(0.001+IF(AND(ISNUMBER('Council Entry'!AE$8),ISNUMBER('Council Entry'!AE$9)),MAX(MIN('Council Entry'!AE87,'Council Entry'!AE$9),'Council Entry'!AE$8),'Council Entry'!AE87)),IF('Council Entry'!AE$4="Exponential",EXP(IF(AND(ISNUMBER('Council Entry'!AE$8),ISNUMBER('Council Entry'!AE$9)),MAX(MIN('Council Entry'!AE87,'Council Entry'!AE$9),'Council Entry'!AE$8),'Council Entry'!AE87)),IF(AND(ISNUMBER('Council Entry'!AE$8),ISNUMBER('Council Entry'!AE$9)),MAX(MIN('Council Entry'!AE87,'Council Entry'!AE$9),'Council Entry'!AE$8),'Council Entry'!AE87))))-'Council Entry'!AE$5)/('Council Entry'!AE$6-'Council Entry'!AE$5)),1))),"No data"))</f>
        <v/>
      </c>
      <c r="AF87" s="13">
        <f>IF('Council Entry'!AF87="","",IFERROR(MAX(0,MIN(10,ROUND(IF('Council Entry'!AF$7="Decrease Risk",10-10*((IF('Council Entry'!AF$4="Logarithm",LN(0.001+IF(AND(ISNUMBER('Council Entry'!AF$8),ISNUMBER('Council Entry'!AF$9)),MAX(MIN('Council Entry'!AF87,'Council Entry'!AF$9),'Council Entry'!AF$8),'Council Entry'!AF87)),IF('Council Entry'!AF$4="Exponential",EXP(IF(AND(ISNUMBER('Council Entry'!AF$8),ISNUMBER('Council Entry'!AF$9)),MAX(MIN('Council Entry'!AF87,'Council Entry'!AF$9),'Council Entry'!AF$8),'Council Entry'!AF87)),IF(AND(ISNUMBER('Council Entry'!AF$8),ISNUMBER('Council Entry'!AF$9)),MAX(MIN('Council Entry'!AF87,'Council Entry'!AF$9),'Council Entry'!AF$8),'Council Entry'!AF87))))-'Council Entry'!AF$5)/('Council Entry'!AF$6-'Council Entry'!AF$5),10*((IF('Council Entry'!AF$4="Logarithm",LN(0.001+IF(AND(ISNUMBER('Council Entry'!AF$8),ISNUMBER('Council Entry'!AF$9)),MAX(MIN('Council Entry'!AF87,'Council Entry'!AF$9),'Council Entry'!AF$8),'Council Entry'!AF87)),IF('Council Entry'!AF$4="Exponential",EXP(IF(AND(ISNUMBER('Council Entry'!AF$8),ISNUMBER('Council Entry'!AF$9)),MAX(MIN('Council Entry'!AF87,'Council Entry'!AF$9),'Council Entry'!AF$8),'Council Entry'!AF87)),IF(AND(ISNUMBER('Council Entry'!AF$8),ISNUMBER('Council Entry'!AF$9)),MAX(MIN('Council Entry'!AF87,'Council Entry'!AF$9),'Council Entry'!AF$8),'Council Entry'!AF87))))-'Council Entry'!AF$5)/('Council Entry'!AF$6-'Council Entry'!AF$5)),1))),"No data"))</f>
        <v/>
      </c>
      <c r="AG87" s="13">
        <f>IF('Council Entry'!AG87="","",IFERROR(MAX(0,MIN(10,ROUND(IF('Council Entry'!AG$7="Decrease Risk",10-10*((IF('Council Entry'!AG$4="Logarithm",LN(0.001+IF(AND(ISNUMBER('Council Entry'!AG$8),ISNUMBER('Council Entry'!AG$9)),MAX(MIN('Council Entry'!AG87,'Council Entry'!AG$9),'Council Entry'!AG$8),'Council Entry'!AG87)),IF('Council Entry'!AG$4="Exponential",EXP(IF(AND(ISNUMBER('Council Entry'!AG$8),ISNUMBER('Council Entry'!AG$9)),MAX(MIN('Council Entry'!AG87,'Council Entry'!AG$9),'Council Entry'!AG$8),'Council Entry'!AG87)),IF(AND(ISNUMBER('Council Entry'!AG$8),ISNUMBER('Council Entry'!AG$9)),MAX(MIN('Council Entry'!AG87,'Council Entry'!AG$9),'Council Entry'!AG$8),'Council Entry'!AG87))))-'Council Entry'!AG$5)/('Council Entry'!AG$6-'Council Entry'!AG$5),10*((IF('Council Entry'!AG$4="Logarithm",LN(0.001+IF(AND(ISNUMBER('Council Entry'!AG$8),ISNUMBER('Council Entry'!AG$9)),MAX(MIN('Council Entry'!AG87,'Council Entry'!AG$9),'Council Entry'!AG$8),'Council Entry'!AG87)),IF('Council Entry'!AG$4="Exponential",EXP(IF(AND(ISNUMBER('Council Entry'!AG$8),ISNUMBER('Council Entry'!AG$9)),MAX(MIN('Council Entry'!AG87,'Council Entry'!AG$9),'Council Entry'!AG$8),'Council Entry'!AG87)),IF(AND(ISNUMBER('Council Entry'!AG$8),ISNUMBER('Council Entry'!AG$9)),MAX(MIN('Council Entry'!AG87,'Council Entry'!AG$9),'Council Entry'!AG$8),'Council Entry'!AG87))))-'Council Entry'!AG$5)/('Council Entry'!AG$6-'Council Entry'!AG$5)),1))),"No data"))</f>
        <v/>
      </c>
      <c r="AH87" s="13">
        <f>IF('Council Entry'!AH87="","",IFERROR(MAX(0,MIN(10,ROUND(IF('Council Entry'!AH$7="Decrease Risk",10-10*((IF('Council Entry'!AH$4="Logarithm",LN(0.001+IF(AND(ISNUMBER('Council Entry'!AH$8),ISNUMBER('Council Entry'!AH$9)),MAX(MIN('Council Entry'!AH87,'Council Entry'!AH$9),'Council Entry'!AH$8),'Council Entry'!AH87)),IF('Council Entry'!AH$4="Exponential",EXP(IF(AND(ISNUMBER('Council Entry'!AH$8),ISNUMBER('Council Entry'!AH$9)),MAX(MIN('Council Entry'!AH87,'Council Entry'!AH$9),'Council Entry'!AH$8),'Council Entry'!AH87)),IF(AND(ISNUMBER('Council Entry'!AH$8),ISNUMBER('Council Entry'!AH$9)),MAX(MIN('Council Entry'!AH87,'Council Entry'!AH$9),'Council Entry'!AH$8),'Council Entry'!AH87))))-'Council Entry'!AH$5)/('Council Entry'!AH$6-'Council Entry'!AH$5),10*((IF('Council Entry'!AH$4="Logarithm",LN(0.001+IF(AND(ISNUMBER('Council Entry'!AH$8),ISNUMBER('Council Entry'!AH$9)),MAX(MIN('Council Entry'!AH87,'Council Entry'!AH$9),'Council Entry'!AH$8),'Council Entry'!AH87)),IF('Council Entry'!AH$4="Exponential",EXP(IF(AND(ISNUMBER('Council Entry'!AH$8),ISNUMBER('Council Entry'!AH$9)),MAX(MIN('Council Entry'!AH87,'Council Entry'!AH$9),'Council Entry'!AH$8),'Council Entry'!AH87)),IF(AND(ISNUMBER('Council Entry'!AH$8),ISNUMBER('Council Entry'!AH$9)),MAX(MIN('Council Entry'!AH87,'Council Entry'!AH$9),'Council Entry'!AH$8),'Council Entry'!AH87))))-'Council Entry'!AH$5)/('Council Entry'!AH$6-'Council Entry'!AH$5)),1))),"No data"))</f>
        <v/>
      </c>
      <c r="AI87" s="13">
        <f>IF('Council Entry'!AI87="","",IFERROR(MAX(0,MIN(10,ROUND(IF('Council Entry'!AI$7="Decrease Risk",10-10*((IF('Council Entry'!AI$4="Logarithm",LN(0.001+IF(AND(ISNUMBER('Council Entry'!AI$8),ISNUMBER('Council Entry'!AI$9)),MAX(MIN('Council Entry'!AI87,'Council Entry'!AI$9),'Council Entry'!AI$8),'Council Entry'!AI87)),IF('Council Entry'!AI$4="Exponential",EXP(IF(AND(ISNUMBER('Council Entry'!AI$8),ISNUMBER('Council Entry'!AI$9)),MAX(MIN('Council Entry'!AI87,'Council Entry'!AI$9),'Council Entry'!AI$8),'Council Entry'!AI87)),IF(AND(ISNUMBER('Council Entry'!AI$8),ISNUMBER('Council Entry'!AI$9)),MAX(MIN('Council Entry'!AI87,'Council Entry'!AI$9),'Council Entry'!AI$8),'Council Entry'!AI87))))-'Council Entry'!AI$5)/('Council Entry'!AI$6-'Council Entry'!AI$5),10*((IF('Council Entry'!AI$4="Logarithm",LN(0.001+IF(AND(ISNUMBER('Council Entry'!AI$8),ISNUMBER('Council Entry'!AI$9)),MAX(MIN('Council Entry'!AI87,'Council Entry'!AI$9),'Council Entry'!AI$8),'Council Entry'!AI87)),IF('Council Entry'!AI$4="Exponential",EXP(IF(AND(ISNUMBER('Council Entry'!AI$8),ISNUMBER('Council Entry'!AI$9)),MAX(MIN('Council Entry'!AI87,'Council Entry'!AI$9),'Council Entry'!AI$8),'Council Entry'!AI87)),IF(AND(ISNUMBER('Council Entry'!AI$8),ISNUMBER('Council Entry'!AI$9)),MAX(MIN('Council Entry'!AI87,'Council Entry'!AI$9),'Council Entry'!AI$8),'Council Entry'!AI87))))-'Council Entry'!AI$5)/('Council Entry'!AI$6-'Council Entry'!AI$5)),1))),"No data"))</f>
        <v/>
      </c>
      <c r="AJ87" s="13">
        <f>IF('Council Entry'!AJ87="","",IFERROR(MAX(0,MIN(10,ROUND(IF('Council Entry'!AJ$7="Decrease Risk",10-10*((IF('Council Entry'!AJ$4="Logarithm",LN(0.001+IF(AND(ISNUMBER('Council Entry'!AJ$8),ISNUMBER('Council Entry'!AJ$9)),MAX(MIN('Council Entry'!AJ87,'Council Entry'!AJ$9),'Council Entry'!AJ$8),'Council Entry'!AJ87)),IF('Council Entry'!AJ$4="Exponential",EXP(IF(AND(ISNUMBER('Council Entry'!AJ$8),ISNUMBER('Council Entry'!AJ$9)),MAX(MIN('Council Entry'!AJ87,'Council Entry'!AJ$9),'Council Entry'!AJ$8),'Council Entry'!AJ87)),IF(AND(ISNUMBER('Council Entry'!AJ$8),ISNUMBER('Council Entry'!AJ$9)),MAX(MIN('Council Entry'!AJ87,'Council Entry'!AJ$9),'Council Entry'!AJ$8),'Council Entry'!AJ87))))-'Council Entry'!AJ$5)/('Council Entry'!AJ$6-'Council Entry'!AJ$5),10*((IF('Council Entry'!AJ$4="Logarithm",LN(0.001+IF(AND(ISNUMBER('Council Entry'!AJ$8),ISNUMBER('Council Entry'!AJ$9)),MAX(MIN('Council Entry'!AJ87,'Council Entry'!AJ$9),'Council Entry'!AJ$8),'Council Entry'!AJ87)),IF('Council Entry'!AJ$4="Exponential",EXP(IF(AND(ISNUMBER('Council Entry'!AJ$8),ISNUMBER('Council Entry'!AJ$9)),MAX(MIN('Council Entry'!AJ87,'Council Entry'!AJ$9),'Council Entry'!AJ$8),'Council Entry'!AJ87)),IF(AND(ISNUMBER('Council Entry'!AJ$8),ISNUMBER('Council Entry'!AJ$9)),MAX(MIN('Council Entry'!AJ87,'Council Entry'!AJ$9),'Council Entry'!AJ$8),'Council Entry'!AJ87))))-'Council Entry'!AJ$5)/('Council Entry'!AJ$6-'Council Entry'!AJ$5)),1))),"No data"))</f>
        <v/>
      </c>
      <c r="AK87" s="13">
        <f>IF('Council Entry'!AK87="","",IFERROR(MAX(0,MIN(10,ROUND(IF('Council Entry'!AK$7="Decrease Risk",10-10*((IF('Council Entry'!AK$4="Logarithm",LN(0.001+IF(AND(ISNUMBER('Council Entry'!AK$8),ISNUMBER('Council Entry'!AK$9)),MAX(MIN('Council Entry'!AK87,'Council Entry'!AK$9),'Council Entry'!AK$8),'Council Entry'!AK87)),IF('Council Entry'!AK$4="Exponential",EXP(IF(AND(ISNUMBER('Council Entry'!AK$8),ISNUMBER('Council Entry'!AK$9)),MAX(MIN('Council Entry'!AK87,'Council Entry'!AK$9),'Council Entry'!AK$8),'Council Entry'!AK87)),IF(AND(ISNUMBER('Council Entry'!AK$8),ISNUMBER('Council Entry'!AK$9)),MAX(MIN('Council Entry'!AK87,'Council Entry'!AK$9),'Council Entry'!AK$8),'Council Entry'!AK87))))-'Council Entry'!AK$5)/('Council Entry'!AK$6-'Council Entry'!AK$5),10*((IF('Council Entry'!AK$4="Logarithm",LN(0.001+IF(AND(ISNUMBER('Council Entry'!AK$8),ISNUMBER('Council Entry'!AK$9)),MAX(MIN('Council Entry'!AK87,'Council Entry'!AK$9),'Council Entry'!AK$8),'Council Entry'!AK87)),IF('Council Entry'!AK$4="Exponential",EXP(IF(AND(ISNUMBER('Council Entry'!AK$8),ISNUMBER('Council Entry'!AK$9)),MAX(MIN('Council Entry'!AK87,'Council Entry'!AK$9),'Council Entry'!AK$8),'Council Entry'!AK87)),IF(AND(ISNUMBER('Council Entry'!AK$8),ISNUMBER('Council Entry'!AK$9)),MAX(MIN('Council Entry'!AK87,'Council Entry'!AK$9),'Council Entry'!AK$8),'Council Entry'!AK87))))-'Council Entry'!AK$5)/('Council Entry'!AK$6-'Council Entry'!AK$5)),1))),"No data"))</f>
        <v/>
      </c>
      <c r="AL87" s="13">
        <f>IF('Council Entry'!AL87="","",IFERROR(MAX(0,MIN(10,ROUND(IF('Council Entry'!AL$7="Decrease Risk",10-10*((IF('Council Entry'!AL$4="Logarithm",LN(0.001+IF(AND(ISNUMBER('Council Entry'!AL$8),ISNUMBER('Council Entry'!AL$9)),MAX(MIN('Council Entry'!AL87,'Council Entry'!AL$9),'Council Entry'!AL$8),'Council Entry'!AL87)),IF('Council Entry'!AL$4="Exponential",EXP(IF(AND(ISNUMBER('Council Entry'!AL$8),ISNUMBER('Council Entry'!AL$9)),MAX(MIN('Council Entry'!AL87,'Council Entry'!AL$9),'Council Entry'!AL$8),'Council Entry'!AL87)),IF(AND(ISNUMBER('Council Entry'!AL$8),ISNUMBER('Council Entry'!AL$9)),MAX(MIN('Council Entry'!AL87,'Council Entry'!AL$9),'Council Entry'!AL$8),'Council Entry'!AL87))))-'Council Entry'!AL$5)/('Council Entry'!AL$6-'Council Entry'!AL$5),10*((IF('Council Entry'!AL$4="Logarithm",LN(0.001+IF(AND(ISNUMBER('Council Entry'!AL$8),ISNUMBER('Council Entry'!AL$9)),MAX(MIN('Council Entry'!AL87,'Council Entry'!AL$9),'Council Entry'!AL$8),'Council Entry'!AL87)),IF('Council Entry'!AL$4="Exponential",EXP(IF(AND(ISNUMBER('Council Entry'!AL$8),ISNUMBER('Council Entry'!AL$9)),MAX(MIN('Council Entry'!AL87,'Council Entry'!AL$9),'Council Entry'!AL$8),'Council Entry'!AL87)),IF(AND(ISNUMBER('Council Entry'!AL$8),ISNUMBER('Council Entry'!AL$9)),MAX(MIN('Council Entry'!AL87,'Council Entry'!AL$9),'Council Entry'!AL$8),'Council Entry'!AL87))))-'Council Entry'!AL$5)/('Council Entry'!AL$6-'Council Entry'!AL$5)),1))),"No data"))</f>
        <v/>
      </c>
      <c r="AM87" s="13">
        <f>IF('Council Entry'!AM87="","",IFERROR(MAX(0,MIN(10,ROUND(IF('Council Entry'!AM$7="Decrease Risk",10-10*((IF('Council Entry'!AM$4="Logarithm",LN(0.001+IF(AND(ISNUMBER('Council Entry'!AM$8),ISNUMBER('Council Entry'!AM$9)),MAX(MIN('Council Entry'!AM87,'Council Entry'!AM$9),'Council Entry'!AM$8),'Council Entry'!AM87)),IF('Council Entry'!AM$4="Exponential",EXP(IF(AND(ISNUMBER('Council Entry'!AM$8),ISNUMBER('Council Entry'!AM$9)),MAX(MIN('Council Entry'!AM87,'Council Entry'!AM$9),'Council Entry'!AM$8),'Council Entry'!AM87)),IF(AND(ISNUMBER('Council Entry'!AM$8),ISNUMBER('Council Entry'!AM$9)),MAX(MIN('Council Entry'!AM87,'Council Entry'!AM$9),'Council Entry'!AM$8),'Council Entry'!AM87))))-'Council Entry'!AM$5)/('Council Entry'!AM$6-'Council Entry'!AM$5),10*((IF('Council Entry'!AM$4="Logarithm",LN(0.001+IF(AND(ISNUMBER('Council Entry'!AM$8),ISNUMBER('Council Entry'!AM$9)),MAX(MIN('Council Entry'!AM87,'Council Entry'!AM$9),'Council Entry'!AM$8),'Council Entry'!AM87)),IF('Council Entry'!AM$4="Exponential",EXP(IF(AND(ISNUMBER('Council Entry'!AM$8),ISNUMBER('Council Entry'!AM$9)),MAX(MIN('Council Entry'!AM87,'Council Entry'!AM$9),'Council Entry'!AM$8),'Council Entry'!AM87)),IF(AND(ISNUMBER('Council Entry'!AM$8),ISNUMBER('Council Entry'!AM$9)),MAX(MIN('Council Entry'!AM87,'Council Entry'!AM$9),'Council Entry'!AM$8),'Council Entry'!AM87))))-'Council Entry'!AM$5)/('Council Entry'!AM$6-'Council Entry'!AM$5)),1))),"No data"))</f>
        <v/>
      </c>
      <c r="AN87" s="13">
        <f>IF('Council Entry'!AN87="","",IFERROR(MAX(0,MIN(10,ROUND(IF('Council Entry'!AN$7="Decrease Risk",10-10*((IF('Council Entry'!AN$4="Logarithm",LN(0.001+IF(AND(ISNUMBER('Council Entry'!AN$8),ISNUMBER('Council Entry'!AN$9)),MAX(MIN('Council Entry'!AN87,'Council Entry'!AN$9),'Council Entry'!AN$8),'Council Entry'!AN87)),IF('Council Entry'!AN$4="Exponential",EXP(IF(AND(ISNUMBER('Council Entry'!AN$8),ISNUMBER('Council Entry'!AN$9)),MAX(MIN('Council Entry'!AN87,'Council Entry'!AN$9),'Council Entry'!AN$8),'Council Entry'!AN87)),IF(AND(ISNUMBER('Council Entry'!AN$8),ISNUMBER('Council Entry'!AN$9)),MAX(MIN('Council Entry'!AN87,'Council Entry'!AN$9),'Council Entry'!AN$8),'Council Entry'!AN87))))-'Council Entry'!AN$5)/('Council Entry'!AN$6-'Council Entry'!AN$5),10*((IF('Council Entry'!AN$4="Logarithm",LN(0.001+IF(AND(ISNUMBER('Council Entry'!AN$8),ISNUMBER('Council Entry'!AN$9)),MAX(MIN('Council Entry'!AN87,'Council Entry'!AN$9),'Council Entry'!AN$8),'Council Entry'!AN87)),IF('Council Entry'!AN$4="Exponential",EXP(IF(AND(ISNUMBER('Council Entry'!AN$8),ISNUMBER('Council Entry'!AN$9)),MAX(MIN('Council Entry'!AN87,'Council Entry'!AN$9),'Council Entry'!AN$8),'Council Entry'!AN87)),IF(AND(ISNUMBER('Council Entry'!AN$8),ISNUMBER('Council Entry'!AN$9)),MAX(MIN('Council Entry'!AN87,'Council Entry'!AN$9),'Council Entry'!AN$8),'Council Entry'!AN87))))-'Council Entry'!AN$5)/('Council Entry'!AN$6-'Council Entry'!AN$5)),1))),"No data"))</f>
        <v/>
      </c>
      <c r="AO87" s="13">
        <f>IF('Council Entry'!AO87="","",IFERROR(MAX(0,MIN(10,ROUND(IF('Council Entry'!AO$7="Decrease Risk",10-10*((IF('Council Entry'!AO$4="Logarithm",LN(0.001+IF(AND(ISNUMBER('Council Entry'!AO$8),ISNUMBER('Council Entry'!AO$9)),MAX(MIN('Council Entry'!AO87,'Council Entry'!AO$9),'Council Entry'!AO$8),'Council Entry'!AO87)),IF('Council Entry'!AO$4="Exponential",EXP(IF(AND(ISNUMBER('Council Entry'!AO$8),ISNUMBER('Council Entry'!AO$9)),MAX(MIN('Council Entry'!AO87,'Council Entry'!AO$9),'Council Entry'!AO$8),'Council Entry'!AO87)),IF(AND(ISNUMBER('Council Entry'!AO$8),ISNUMBER('Council Entry'!AO$9)),MAX(MIN('Council Entry'!AO87,'Council Entry'!AO$9),'Council Entry'!AO$8),'Council Entry'!AO87))))-'Council Entry'!AO$5)/('Council Entry'!AO$6-'Council Entry'!AO$5),10*((IF('Council Entry'!AO$4="Logarithm",LN(0.001+IF(AND(ISNUMBER('Council Entry'!AO$8),ISNUMBER('Council Entry'!AO$9)),MAX(MIN('Council Entry'!AO87,'Council Entry'!AO$9),'Council Entry'!AO$8),'Council Entry'!AO87)),IF('Council Entry'!AO$4="Exponential",EXP(IF(AND(ISNUMBER('Council Entry'!AO$8),ISNUMBER('Council Entry'!AO$9)),MAX(MIN('Council Entry'!AO87,'Council Entry'!AO$9),'Council Entry'!AO$8),'Council Entry'!AO87)),IF(AND(ISNUMBER('Council Entry'!AO$8),ISNUMBER('Council Entry'!AO$9)),MAX(MIN('Council Entry'!AO87,'Council Entry'!AO$9),'Council Entry'!AO$8),'Council Entry'!AO87))))-'Council Entry'!AO$5)/('Council Entry'!AO$6-'Council Entry'!AO$5)),1))),"No data"))</f>
        <v/>
      </c>
      <c r="AP87" s="13">
        <f>IF('Council Entry'!AP87="","",IFERROR(MAX(0,MIN(10,ROUND(IF('Council Entry'!AP$7="Decrease Risk",10-10*((IF('Council Entry'!AP$4="Logarithm",LN(0.001+IF(AND(ISNUMBER('Council Entry'!AP$8),ISNUMBER('Council Entry'!AP$9)),MAX(MIN('Council Entry'!AP87,'Council Entry'!AP$9),'Council Entry'!AP$8),'Council Entry'!AP87)),IF('Council Entry'!AP$4="Exponential",EXP(IF(AND(ISNUMBER('Council Entry'!AP$8),ISNUMBER('Council Entry'!AP$9)),MAX(MIN('Council Entry'!AP87,'Council Entry'!AP$9),'Council Entry'!AP$8),'Council Entry'!AP87)),IF(AND(ISNUMBER('Council Entry'!AP$8),ISNUMBER('Council Entry'!AP$9)),MAX(MIN('Council Entry'!AP87,'Council Entry'!AP$9),'Council Entry'!AP$8),'Council Entry'!AP87))))-'Council Entry'!AP$5)/('Council Entry'!AP$6-'Council Entry'!AP$5),10*((IF('Council Entry'!AP$4="Logarithm",LN(0.001+IF(AND(ISNUMBER('Council Entry'!AP$8),ISNUMBER('Council Entry'!AP$9)),MAX(MIN('Council Entry'!AP87,'Council Entry'!AP$9),'Council Entry'!AP$8),'Council Entry'!AP87)),IF('Council Entry'!AP$4="Exponential",EXP(IF(AND(ISNUMBER('Council Entry'!AP$8),ISNUMBER('Council Entry'!AP$9)),MAX(MIN('Council Entry'!AP87,'Council Entry'!AP$9),'Council Entry'!AP$8),'Council Entry'!AP87)),IF(AND(ISNUMBER('Council Entry'!AP$8),ISNUMBER('Council Entry'!AP$9)),MAX(MIN('Council Entry'!AP87,'Council Entry'!AP$9),'Council Entry'!AP$8),'Council Entry'!AP87))))-'Council Entry'!AP$5)/('Council Entry'!AP$6-'Council Entry'!AP$5)),1))),"No data"))</f>
        <v/>
      </c>
      <c r="AQ87" s="13">
        <f>IF('Council Entry'!AQ87="","",IFERROR(MAX(0,MIN(10,ROUND(IF('Council Entry'!AQ$7="Decrease Risk",10-10*((IF('Council Entry'!AQ$4="Logarithm",LN(0.001+IF(AND(ISNUMBER('Council Entry'!AQ$8),ISNUMBER('Council Entry'!AQ$9)),MAX(MIN('Council Entry'!AQ87,'Council Entry'!AQ$9),'Council Entry'!AQ$8),'Council Entry'!AQ87)),IF('Council Entry'!AQ$4="Exponential",EXP(IF(AND(ISNUMBER('Council Entry'!AQ$8),ISNUMBER('Council Entry'!AQ$9)),MAX(MIN('Council Entry'!AQ87,'Council Entry'!AQ$9),'Council Entry'!AQ$8),'Council Entry'!AQ87)),IF(AND(ISNUMBER('Council Entry'!AQ$8),ISNUMBER('Council Entry'!AQ$9)),MAX(MIN('Council Entry'!AQ87,'Council Entry'!AQ$9),'Council Entry'!AQ$8),'Council Entry'!AQ87))))-'Council Entry'!AQ$5)/('Council Entry'!AQ$6-'Council Entry'!AQ$5),10*((IF('Council Entry'!AQ$4="Logarithm",LN(0.001+IF(AND(ISNUMBER('Council Entry'!AQ$8),ISNUMBER('Council Entry'!AQ$9)),MAX(MIN('Council Entry'!AQ87,'Council Entry'!AQ$9),'Council Entry'!AQ$8),'Council Entry'!AQ87)),IF('Council Entry'!AQ$4="Exponential",EXP(IF(AND(ISNUMBER('Council Entry'!AQ$8),ISNUMBER('Council Entry'!AQ$9)),MAX(MIN('Council Entry'!AQ87,'Council Entry'!AQ$9),'Council Entry'!AQ$8),'Council Entry'!AQ87)),IF(AND(ISNUMBER('Council Entry'!AQ$8),ISNUMBER('Council Entry'!AQ$9)),MAX(MIN('Council Entry'!AQ87,'Council Entry'!AQ$9),'Council Entry'!AQ$8),'Council Entry'!AQ87))))-'Council Entry'!AQ$5)/('Council Entry'!AQ$6-'Council Entry'!AQ$5)),1))),"No data"))</f>
        <v/>
      </c>
      <c r="AR87" s="13">
        <f>IF('Council Entry'!AR87="","",IFERROR(MAX(0,MIN(10,ROUND(IF('Council Entry'!AR$7="Decrease Risk",10-10*((IF('Council Entry'!AR$4="Logarithm",LN(0.001+IF(AND(ISNUMBER('Council Entry'!AR$8),ISNUMBER('Council Entry'!AR$9)),MAX(MIN('Council Entry'!AR87,'Council Entry'!AR$9),'Council Entry'!AR$8),'Council Entry'!AR87)),IF('Council Entry'!AR$4="Exponential",EXP(IF(AND(ISNUMBER('Council Entry'!AR$8),ISNUMBER('Council Entry'!AR$9)),MAX(MIN('Council Entry'!AR87,'Council Entry'!AR$9),'Council Entry'!AR$8),'Council Entry'!AR87)),IF(AND(ISNUMBER('Council Entry'!AR$8),ISNUMBER('Council Entry'!AR$9)),MAX(MIN('Council Entry'!AR87,'Council Entry'!AR$9),'Council Entry'!AR$8),'Council Entry'!AR87))))-'Council Entry'!AR$5)/('Council Entry'!AR$6-'Council Entry'!AR$5),10*((IF('Council Entry'!AR$4="Logarithm",LN(0.001+IF(AND(ISNUMBER('Council Entry'!AR$8),ISNUMBER('Council Entry'!AR$9)),MAX(MIN('Council Entry'!AR87,'Council Entry'!AR$9),'Council Entry'!AR$8),'Council Entry'!AR87)),IF('Council Entry'!AR$4="Exponential",EXP(IF(AND(ISNUMBER('Council Entry'!AR$8),ISNUMBER('Council Entry'!AR$9)),MAX(MIN('Council Entry'!AR87,'Council Entry'!AR$9),'Council Entry'!AR$8),'Council Entry'!AR87)),IF(AND(ISNUMBER('Council Entry'!AR$8),ISNUMBER('Council Entry'!AR$9)),MAX(MIN('Council Entry'!AR87,'Council Entry'!AR$9),'Council Entry'!AR$8),'Council Entry'!AR87))))-'Council Entry'!AR$5)/('Council Entry'!AR$6-'Council Entry'!AR$5)),1))),"No data"))</f>
        <v/>
      </c>
      <c r="AS87" s="13">
        <f>IF('Council Entry'!AS87="","",IFERROR(MAX(0,MIN(10,ROUND(IF('Council Entry'!AS$7="Decrease Risk",10-10*((IF('Council Entry'!AS$4="Logarithm",LN(0.001+IF(AND(ISNUMBER('Council Entry'!AS$8),ISNUMBER('Council Entry'!AS$9)),MAX(MIN('Council Entry'!AS87,'Council Entry'!AS$9),'Council Entry'!AS$8),'Council Entry'!AS87)),IF('Council Entry'!AS$4="Exponential",EXP(IF(AND(ISNUMBER('Council Entry'!AS$8),ISNUMBER('Council Entry'!AS$9)),MAX(MIN('Council Entry'!AS87,'Council Entry'!AS$9),'Council Entry'!AS$8),'Council Entry'!AS87)),IF(AND(ISNUMBER('Council Entry'!AS$8),ISNUMBER('Council Entry'!AS$9)),MAX(MIN('Council Entry'!AS87,'Council Entry'!AS$9),'Council Entry'!AS$8),'Council Entry'!AS87))))-'Council Entry'!AS$5)/('Council Entry'!AS$6-'Council Entry'!AS$5),10*((IF('Council Entry'!AS$4="Logarithm",LN(0.001+IF(AND(ISNUMBER('Council Entry'!AS$8),ISNUMBER('Council Entry'!AS$9)),MAX(MIN('Council Entry'!AS87,'Council Entry'!AS$9),'Council Entry'!AS$8),'Council Entry'!AS87)),IF('Council Entry'!AS$4="Exponential",EXP(IF(AND(ISNUMBER('Council Entry'!AS$8),ISNUMBER('Council Entry'!AS$9)),MAX(MIN('Council Entry'!AS87,'Council Entry'!AS$9),'Council Entry'!AS$8),'Council Entry'!AS87)),IF(AND(ISNUMBER('Council Entry'!AS$8),ISNUMBER('Council Entry'!AS$9)),MAX(MIN('Council Entry'!AS87,'Council Entry'!AS$9),'Council Entry'!AS$8),'Council Entry'!AS87))))-'Council Entry'!AS$5)/('Council Entry'!AS$6-'Council Entry'!AS$5)),1))),"No data"))</f>
        <v/>
      </c>
      <c r="AT87" s="13">
        <f>IF('Council Entry'!AT87="","",IFERROR(MAX(0,MIN(10,ROUND(IF('Council Entry'!AT$7="Decrease Risk",10-10*((IF('Council Entry'!AT$4="Logarithm",LN(0.001+IF(AND(ISNUMBER('Council Entry'!AT$8),ISNUMBER('Council Entry'!AT$9)),MAX(MIN('Council Entry'!AT87,'Council Entry'!AT$9),'Council Entry'!AT$8),'Council Entry'!AT87)),IF('Council Entry'!AT$4="Exponential",EXP(IF(AND(ISNUMBER('Council Entry'!AT$8),ISNUMBER('Council Entry'!AT$9)),MAX(MIN('Council Entry'!AT87,'Council Entry'!AT$9),'Council Entry'!AT$8),'Council Entry'!AT87)),IF(AND(ISNUMBER('Council Entry'!AT$8),ISNUMBER('Council Entry'!AT$9)),MAX(MIN('Council Entry'!AT87,'Council Entry'!AT$9),'Council Entry'!AT$8),'Council Entry'!AT87))))-'Council Entry'!AT$5)/('Council Entry'!AT$6-'Council Entry'!AT$5),10*((IF('Council Entry'!AT$4="Logarithm",LN(0.001+IF(AND(ISNUMBER('Council Entry'!AT$8),ISNUMBER('Council Entry'!AT$9)),MAX(MIN('Council Entry'!AT87,'Council Entry'!AT$9),'Council Entry'!AT$8),'Council Entry'!AT87)),IF('Council Entry'!AT$4="Exponential",EXP(IF(AND(ISNUMBER('Council Entry'!AT$8),ISNUMBER('Council Entry'!AT$9)),MAX(MIN('Council Entry'!AT87,'Council Entry'!AT$9),'Council Entry'!AT$8),'Council Entry'!AT87)),IF(AND(ISNUMBER('Council Entry'!AT$8),ISNUMBER('Council Entry'!AT$9)),MAX(MIN('Council Entry'!AT87,'Council Entry'!AT$9),'Council Entry'!AT$8),'Council Entry'!AT87))))-'Council Entry'!AT$5)/('Council Entry'!AT$6-'Council Entry'!AT$5)),1))),"No data"))</f>
        <v/>
      </c>
      <c r="AU87" s="13">
        <f>IF('Council Entry'!AU87="","",IFERROR(MAX(0,MIN(10,ROUND(IF('Council Entry'!AU$7="Decrease Risk",10-10*((IF('Council Entry'!AU$4="Logarithm",LN(0.001+IF(AND(ISNUMBER('Council Entry'!AU$8),ISNUMBER('Council Entry'!AU$9)),MAX(MIN('Council Entry'!AU87,'Council Entry'!AU$9),'Council Entry'!AU$8),'Council Entry'!AU87)),IF('Council Entry'!AU$4="Exponential",EXP(IF(AND(ISNUMBER('Council Entry'!AU$8),ISNUMBER('Council Entry'!AU$9)),MAX(MIN('Council Entry'!AU87,'Council Entry'!AU$9),'Council Entry'!AU$8),'Council Entry'!AU87)),IF(AND(ISNUMBER('Council Entry'!AU$8),ISNUMBER('Council Entry'!AU$9)),MAX(MIN('Council Entry'!AU87,'Council Entry'!AU$9),'Council Entry'!AU$8),'Council Entry'!AU87))))-'Council Entry'!AU$5)/('Council Entry'!AU$6-'Council Entry'!AU$5),10*((IF('Council Entry'!AU$4="Logarithm",LN(0.001+IF(AND(ISNUMBER('Council Entry'!AU$8),ISNUMBER('Council Entry'!AU$9)),MAX(MIN('Council Entry'!AU87,'Council Entry'!AU$9),'Council Entry'!AU$8),'Council Entry'!AU87)),IF('Council Entry'!AU$4="Exponential",EXP(IF(AND(ISNUMBER('Council Entry'!AU$8),ISNUMBER('Council Entry'!AU$9)),MAX(MIN('Council Entry'!AU87,'Council Entry'!AU$9),'Council Entry'!AU$8),'Council Entry'!AU87)),IF(AND(ISNUMBER('Council Entry'!AU$8),ISNUMBER('Council Entry'!AU$9)),MAX(MIN('Council Entry'!AU87,'Council Entry'!AU$9),'Council Entry'!AU$8),'Council Entry'!AU87))))-'Council Entry'!AU$5)/('Council Entry'!AU$6-'Council Entry'!AU$5)),1))),"No data"))</f>
        <v/>
      </c>
      <c r="AV87" s="13">
        <f>IF('Council Entry'!AV87="","",IFERROR(MAX(0,MIN(10,ROUND(IF('Council Entry'!AV$7="Decrease Risk",10-10*((IF('Council Entry'!AV$4="Logarithm",LN(0.001+IF(AND(ISNUMBER('Council Entry'!AV$8),ISNUMBER('Council Entry'!AV$9)),MAX(MIN('Council Entry'!AV87,'Council Entry'!AV$9),'Council Entry'!AV$8),'Council Entry'!AV87)),IF('Council Entry'!AV$4="Exponential",EXP(IF(AND(ISNUMBER('Council Entry'!AV$8),ISNUMBER('Council Entry'!AV$9)),MAX(MIN('Council Entry'!AV87,'Council Entry'!AV$9),'Council Entry'!AV$8),'Council Entry'!AV87)),IF(AND(ISNUMBER('Council Entry'!AV$8),ISNUMBER('Council Entry'!AV$9)),MAX(MIN('Council Entry'!AV87,'Council Entry'!AV$9),'Council Entry'!AV$8),'Council Entry'!AV87))))-'Council Entry'!AV$5)/('Council Entry'!AV$6-'Council Entry'!AV$5),10*((IF('Council Entry'!AV$4="Logarithm",LN(0.001+IF(AND(ISNUMBER('Council Entry'!AV$8),ISNUMBER('Council Entry'!AV$9)),MAX(MIN('Council Entry'!AV87,'Council Entry'!AV$9),'Council Entry'!AV$8),'Council Entry'!AV87)),IF('Council Entry'!AV$4="Exponential",EXP(IF(AND(ISNUMBER('Council Entry'!AV$8),ISNUMBER('Council Entry'!AV$9)),MAX(MIN('Council Entry'!AV87,'Council Entry'!AV$9),'Council Entry'!AV$8),'Council Entry'!AV87)),IF(AND(ISNUMBER('Council Entry'!AV$8),ISNUMBER('Council Entry'!AV$9)),MAX(MIN('Council Entry'!AV87,'Council Entry'!AV$9),'Council Entry'!AV$8),'Council Entry'!AV87))))-'Council Entry'!AV$5)/('Council Entry'!AV$6-'Council Entry'!AV$5)),1))),"No data"))</f>
        <v/>
      </c>
      <c r="AW87" s="13">
        <f>IF('Council Entry'!AW87="","",IFERROR(MAX(0,MIN(10,ROUND(IF('Council Entry'!AW$7="Decrease Risk",10-10*((IF('Council Entry'!AW$4="Logarithm",LN(0.001+IF(AND(ISNUMBER('Council Entry'!AW$8),ISNUMBER('Council Entry'!AW$9)),MAX(MIN('Council Entry'!AW87,'Council Entry'!AW$9),'Council Entry'!AW$8),'Council Entry'!AW87)),IF('Council Entry'!AW$4="Exponential",EXP(IF(AND(ISNUMBER('Council Entry'!AW$8),ISNUMBER('Council Entry'!AW$9)),MAX(MIN('Council Entry'!AW87,'Council Entry'!AW$9),'Council Entry'!AW$8),'Council Entry'!AW87)),IF(AND(ISNUMBER('Council Entry'!AW$8),ISNUMBER('Council Entry'!AW$9)),MAX(MIN('Council Entry'!AW87,'Council Entry'!AW$9),'Council Entry'!AW$8),'Council Entry'!AW87))))-'Council Entry'!AW$5)/('Council Entry'!AW$6-'Council Entry'!AW$5),10*((IF('Council Entry'!AW$4="Logarithm",LN(0.001+IF(AND(ISNUMBER('Council Entry'!AW$8),ISNUMBER('Council Entry'!AW$9)),MAX(MIN('Council Entry'!AW87,'Council Entry'!AW$9),'Council Entry'!AW$8),'Council Entry'!AW87)),IF('Council Entry'!AW$4="Exponential",EXP(IF(AND(ISNUMBER('Council Entry'!AW$8),ISNUMBER('Council Entry'!AW$9)),MAX(MIN('Council Entry'!AW87,'Council Entry'!AW$9),'Council Entry'!AW$8),'Council Entry'!AW87)),IF(AND(ISNUMBER('Council Entry'!AW$8),ISNUMBER('Council Entry'!AW$9)),MAX(MIN('Council Entry'!AW87,'Council Entry'!AW$9),'Council Entry'!AW$8),'Council Entry'!AW87))))-'Council Entry'!AW$5)/('Council Entry'!AW$6-'Council Entry'!AW$5)),1))),"No data"))</f>
        <v/>
      </c>
      <c r="AX87" s="13">
        <f>IF('Council Entry'!AX87="","",IFERROR(MAX(0,MIN(10,ROUND(IF('Council Entry'!AX$7="Decrease Risk",10-10*((IF('Council Entry'!AX$4="Logarithm",LN(0.001+IF(AND(ISNUMBER('Council Entry'!AX$8),ISNUMBER('Council Entry'!AX$9)),MAX(MIN('Council Entry'!AX87,'Council Entry'!AX$9),'Council Entry'!AX$8),'Council Entry'!AX87)),IF('Council Entry'!AX$4="Exponential",EXP(IF(AND(ISNUMBER('Council Entry'!AX$8),ISNUMBER('Council Entry'!AX$9)),MAX(MIN('Council Entry'!AX87,'Council Entry'!AX$9),'Council Entry'!AX$8),'Council Entry'!AX87)),IF(AND(ISNUMBER('Council Entry'!AX$8),ISNUMBER('Council Entry'!AX$9)),MAX(MIN('Council Entry'!AX87,'Council Entry'!AX$9),'Council Entry'!AX$8),'Council Entry'!AX87))))-'Council Entry'!AX$5)/('Council Entry'!AX$6-'Council Entry'!AX$5),10*((IF('Council Entry'!AX$4="Logarithm",LN(0.001+IF(AND(ISNUMBER('Council Entry'!AX$8),ISNUMBER('Council Entry'!AX$9)),MAX(MIN('Council Entry'!AX87,'Council Entry'!AX$9),'Council Entry'!AX$8),'Council Entry'!AX87)),IF('Council Entry'!AX$4="Exponential",EXP(IF(AND(ISNUMBER('Council Entry'!AX$8),ISNUMBER('Council Entry'!AX$9)),MAX(MIN('Council Entry'!AX87,'Council Entry'!AX$9),'Council Entry'!AX$8),'Council Entry'!AX87)),IF(AND(ISNUMBER('Council Entry'!AX$8),ISNUMBER('Council Entry'!AX$9)),MAX(MIN('Council Entry'!AX87,'Council Entry'!AX$9),'Council Entry'!AX$8),'Council Entry'!AX87))))-'Council Entry'!AX$5)/('Council Entry'!AX$6-'Council Entry'!AX$5)),1))),"No data"))</f>
        <v/>
      </c>
      <c r="AY87" s="13">
        <f>IF('Council Entry'!AY87="","",IFERROR(MAX(0,MIN(10,ROUND(IF('Council Entry'!AY$7="Decrease Risk",10-10*((IF('Council Entry'!AY$4="Logarithm",LN(0.001+IF(AND(ISNUMBER('Council Entry'!AY$8),ISNUMBER('Council Entry'!AY$9)),MAX(MIN('Council Entry'!AY87,'Council Entry'!AY$9),'Council Entry'!AY$8),'Council Entry'!AY87)),IF('Council Entry'!AY$4="Exponential",EXP(IF(AND(ISNUMBER('Council Entry'!AY$8),ISNUMBER('Council Entry'!AY$9)),MAX(MIN('Council Entry'!AY87,'Council Entry'!AY$9),'Council Entry'!AY$8),'Council Entry'!AY87)),IF(AND(ISNUMBER('Council Entry'!AY$8),ISNUMBER('Council Entry'!AY$9)),MAX(MIN('Council Entry'!AY87,'Council Entry'!AY$9),'Council Entry'!AY$8),'Council Entry'!AY87))))-'Council Entry'!AY$5)/('Council Entry'!AY$6-'Council Entry'!AY$5),10*((IF('Council Entry'!AY$4="Logarithm",LN(0.001+IF(AND(ISNUMBER('Council Entry'!AY$8),ISNUMBER('Council Entry'!AY$9)),MAX(MIN('Council Entry'!AY87,'Council Entry'!AY$9),'Council Entry'!AY$8),'Council Entry'!AY87)),IF('Council Entry'!AY$4="Exponential",EXP(IF(AND(ISNUMBER('Council Entry'!AY$8),ISNUMBER('Council Entry'!AY$9)),MAX(MIN('Council Entry'!AY87,'Council Entry'!AY$9),'Council Entry'!AY$8),'Council Entry'!AY87)),IF(AND(ISNUMBER('Council Entry'!AY$8),ISNUMBER('Council Entry'!AY$9)),MAX(MIN('Council Entry'!AY87,'Council Entry'!AY$9),'Council Entry'!AY$8),'Council Entry'!AY87))))-'Council Entry'!AY$5)/('Council Entry'!AY$6-'Council Entry'!AY$5)),1))),"No data"))</f>
        <v/>
      </c>
      <c r="AZ87" s="13">
        <f>IF('Council Entry'!AZ87="","",IFERROR(MAX(0,MIN(10,ROUND(IF('Council Entry'!AZ$7="Decrease Risk",10-10*((IF('Council Entry'!AZ$4="Logarithm",LN(0.001+IF(AND(ISNUMBER('Council Entry'!AZ$8),ISNUMBER('Council Entry'!AZ$9)),MAX(MIN('Council Entry'!AZ87,'Council Entry'!AZ$9),'Council Entry'!AZ$8),'Council Entry'!AZ87)),IF('Council Entry'!AZ$4="Exponential",EXP(IF(AND(ISNUMBER('Council Entry'!AZ$8),ISNUMBER('Council Entry'!AZ$9)),MAX(MIN('Council Entry'!AZ87,'Council Entry'!AZ$9),'Council Entry'!AZ$8),'Council Entry'!AZ87)),IF(AND(ISNUMBER('Council Entry'!AZ$8),ISNUMBER('Council Entry'!AZ$9)),MAX(MIN('Council Entry'!AZ87,'Council Entry'!AZ$9),'Council Entry'!AZ$8),'Council Entry'!AZ87))))-'Council Entry'!AZ$5)/('Council Entry'!AZ$6-'Council Entry'!AZ$5),10*((IF('Council Entry'!AZ$4="Logarithm",LN(0.001+IF(AND(ISNUMBER('Council Entry'!AZ$8),ISNUMBER('Council Entry'!AZ$9)),MAX(MIN('Council Entry'!AZ87,'Council Entry'!AZ$9),'Council Entry'!AZ$8),'Council Entry'!AZ87)),IF('Council Entry'!AZ$4="Exponential",EXP(IF(AND(ISNUMBER('Council Entry'!AZ$8),ISNUMBER('Council Entry'!AZ$9)),MAX(MIN('Council Entry'!AZ87,'Council Entry'!AZ$9),'Council Entry'!AZ$8),'Council Entry'!AZ87)),IF(AND(ISNUMBER('Council Entry'!AZ$8),ISNUMBER('Council Entry'!AZ$9)),MAX(MIN('Council Entry'!AZ87,'Council Entry'!AZ$9),'Council Entry'!AZ$8),'Council Entry'!AZ87))))-'Council Entry'!AZ$5)/('Council Entry'!AZ$6-'Council Entry'!AZ$5)),1))),"No data"))</f>
        <v/>
      </c>
      <c r="BA87" s="13">
        <f>IF('Council Entry'!BA87="","",IFERROR(MAX(0,MIN(10,ROUND(IF('Council Entry'!BA$7="Decrease Risk",10-10*((IF('Council Entry'!BA$4="Logarithm",LN(0.001+IF(AND(ISNUMBER('Council Entry'!BA$8),ISNUMBER('Council Entry'!BA$9)),MAX(MIN('Council Entry'!BA87,'Council Entry'!BA$9),'Council Entry'!BA$8),'Council Entry'!BA87)),IF('Council Entry'!BA$4="Exponential",EXP(IF(AND(ISNUMBER('Council Entry'!BA$8),ISNUMBER('Council Entry'!BA$9)),MAX(MIN('Council Entry'!BA87,'Council Entry'!BA$9),'Council Entry'!BA$8),'Council Entry'!BA87)),IF(AND(ISNUMBER('Council Entry'!BA$8),ISNUMBER('Council Entry'!BA$9)),MAX(MIN('Council Entry'!BA87,'Council Entry'!BA$9),'Council Entry'!BA$8),'Council Entry'!BA87))))-'Council Entry'!BA$5)/('Council Entry'!BA$6-'Council Entry'!BA$5),10*((IF('Council Entry'!BA$4="Logarithm",LN(0.001+IF(AND(ISNUMBER('Council Entry'!BA$8),ISNUMBER('Council Entry'!BA$9)),MAX(MIN('Council Entry'!BA87,'Council Entry'!BA$9),'Council Entry'!BA$8),'Council Entry'!BA87)),IF('Council Entry'!BA$4="Exponential",EXP(IF(AND(ISNUMBER('Council Entry'!BA$8),ISNUMBER('Council Entry'!BA$9)),MAX(MIN('Council Entry'!BA87,'Council Entry'!BA$9),'Council Entry'!BA$8),'Council Entry'!BA87)),IF(AND(ISNUMBER('Council Entry'!BA$8),ISNUMBER('Council Entry'!BA$9)),MAX(MIN('Council Entry'!BA87,'Council Entry'!BA$9),'Council Entry'!BA$8),'Council Entry'!BA87))))-'Council Entry'!BA$5)/('Council Entry'!BA$6-'Council Entry'!BA$5)),1))),"No data"))</f>
        <v/>
      </c>
      <c r="BB87" s="13">
        <f>IF('Council Entry'!BB87="","",IFERROR(MAX(0,MIN(10,ROUND(IF('Council Entry'!BB$7="Decrease Risk",10-10*((IF('Council Entry'!BB$4="Logarithm",LN(0.001+IF(AND(ISNUMBER('Council Entry'!BB$8),ISNUMBER('Council Entry'!BB$9)),MAX(MIN('Council Entry'!BB87,'Council Entry'!BB$9),'Council Entry'!BB$8),'Council Entry'!BB87)),IF('Council Entry'!BB$4="Exponential",EXP(IF(AND(ISNUMBER('Council Entry'!BB$8),ISNUMBER('Council Entry'!BB$9)),MAX(MIN('Council Entry'!BB87,'Council Entry'!BB$9),'Council Entry'!BB$8),'Council Entry'!BB87)),IF(AND(ISNUMBER('Council Entry'!BB$8),ISNUMBER('Council Entry'!BB$9)),MAX(MIN('Council Entry'!BB87,'Council Entry'!BB$9),'Council Entry'!BB$8),'Council Entry'!BB87))))-'Council Entry'!BB$5)/('Council Entry'!BB$6-'Council Entry'!BB$5),10*((IF('Council Entry'!BB$4="Logarithm",LN(0.001+IF(AND(ISNUMBER('Council Entry'!BB$8),ISNUMBER('Council Entry'!BB$9)),MAX(MIN('Council Entry'!BB87,'Council Entry'!BB$9),'Council Entry'!BB$8),'Council Entry'!BB87)),IF('Council Entry'!BB$4="Exponential",EXP(IF(AND(ISNUMBER('Council Entry'!BB$8),ISNUMBER('Council Entry'!BB$9)),MAX(MIN('Council Entry'!BB87,'Council Entry'!BB$9),'Council Entry'!BB$8),'Council Entry'!BB87)),IF(AND(ISNUMBER('Council Entry'!BB$8),ISNUMBER('Council Entry'!BB$9)),MAX(MIN('Council Entry'!BB87,'Council Entry'!BB$9),'Council Entry'!BB$8),'Council Entry'!BB87))))-'Council Entry'!BB$5)/('Council Entry'!BB$6-'Council Entry'!BB$5)),1))),"No data"))</f>
        <v/>
      </c>
      <c r="BC87" s="13">
        <f>IF('Council Entry'!BC87="","",IFERROR(MAX(0,MIN(10,ROUND(IF('Council Entry'!BC$7="Decrease Risk",10-10*((IF('Council Entry'!BC$4="Logarithm",LN(0.001+IF(AND(ISNUMBER('Council Entry'!BC$8),ISNUMBER('Council Entry'!BC$9)),MAX(MIN('Council Entry'!BC87,'Council Entry'!BC$9),'Council Entry'!BC$8),'Council Entry'!BC87)),IF('Council Entry'!BC$4="Exponential",EXP(IF(AND(ISNUMBER('Council Entry'!BC$8),ISNUMBER('Council Entry'!BC$9)),MAX(MIN('Council Entry'!BC87,'Council Entry'!BC$9),'Council Entry'!BC$8),'Council Entry'!BC87)),IF(AND(ISNUMBER('Council Entry'!BC$8),ISNUMBER('Council Entry'!BC$9)),MAX(MIN('Council Entry'!BC87,'Council Entry'!BC$9),'Council Entry'!BC$8),'Council Entry'!BC87))))-'Council Entry'!BC$5)/('Council Entry'!BC$6-'Council Entry'!BC$5),10*((IF('Council Entry'!BC$4="Logarithm",LN(0.001+IF(AND(ISNUMBER('Council Entry'!BC$8),ISNUMBER('Council Entry'!BC$9)),MAX(MIN('Council Entry'!BC87,'Council Entry'!BC$9),'Council Entry'!BC$8),'Council Entry'!BC87)),IF('Council Entry'!BC$4="Exponential",EXP(IF(AND(ISNUMBER('Council Entry'!BC$8),ISNUMBER('Council Entry'!BC$9)),MAX(MIN('Council Entry'!BC87,'Council Entry'!BC$9),'Council Entry'!BC$8),'Council Entry'!BC87)),IF(AND(ISNUMBER('Council Entry'!BC$8),ISNUMBER('Council Entry'!BC$9)),MAX(MIN('Council Entry'!BC87,'Council Entry'!BC$9),'Council Entry'!BC$8),'Council Entry'!BC87))))-'Council Entry'!BC$5)/('Council Entry'!BC$6-'Council Entry'!BC$5)),1))),"No data"))</f>
        <v/>
      </c>
      <c r="BD87" s="13">
        <f>IF('Council Entry'!BD87="","",IFERROR(MAX(0,MIN(10,ROUND(IF('Council Entry'!BD$7="Decrease Risk",10-10*((IF('Council Entry'!BD$4="Logarithm",LN(0.001+IF(AND(ISNUMBER('Council Entry'!BD$8),ISNUMBER('Council Entry'!BD$9)),MAX(MIN('Council Entry'!BD87,'Council Entry'!BD$9),'Council Entry'!BD$8),'Council Entry'!BD87)),IF('Council Entry'!BD$4="Exponential",EXP(IF(AND(ISNUMBER('Council Entry'!BD$8),ISNUMBER('Council Entry'!BD$9)),MAX(MIN('Council Entry'!BD87,'Council Entry'!BD$9),'Council Entry'!BD$8),'Council Entry'!BD87)),IF(AND(ISNUMBER('Council Entry'!BD$8),ISNUMBER('Council Entry'!BD$9)),MAX(MIN('Council Entry'!BD87,'Council Entry'!BD$9),'Council Entry'!BD$8),'Council Entry'!BD87))))-'Council Entry'!BD$5)/('Council Entry'!BD$6-'Council Entry'!BD$5),10*((IF('Council Entry'!BD$4="Logarithm",LN(0.001+IF(AND(ISNUMBER('Council Entry'!BD$8),ISNUMBER('Council Entry'!BD$9)),MAX(MIN('Council Entry'!BD87,'Council Entry'!BD$9),'Council Entry'!BD$8),'Council Entry'!BD87)),IF('Council Entry'!BD$4="Exponential",EXP(IF(AND(ISNUMBER('Council Entry'!BD$8),ISNUMBER('Council Entry'!BD$9)),MAX(MIN('Council Entry'!BD87,'Council Entry'!BD$9),'Council Entry'!BD$8),'Council Entry'!BD87)),IF(AND(ISNUMBER('Council Entry'!BD$8),ISNUMBER('Council Entry'!BD$9)),MAX(MIN('Council Entry'!BD87,'Council Entry'!BD$9),'Council Entry'!BD$8),'Council Entry'!BD87))))-'Council Entry'!BD$5)/('Council Entry'!BD$6-'Council Entry'!BD$5)),1))),"No data"))</f>
        <v/>
      </c>
    </row>
    <row r="88">
      <c r="A88" t="inlineStr">
        <is>
          <t>Manyara</t>
        </is>
      </c>
      <c r="B88" t="inlineStr">
        <is>
          <t>Mbulu District</t>
        </is>
      </c>
      <c r="C88" t="inlineStr">
        <is>
          <t>C153</t>
        </is>
      </c>
      <c r="D88" s="13">
        <f>IF('Council Entry'!D88="","",IFERROR(MAX(0,MIN(10,ROUND(IF('Council Entry'!D$7="Decrease Risk",10-10*((IF('Council Entry'!D$4="Logarithm",LN(0.001+IF(AND(ISNUMBER('Council Entry'!D$8),ISNUMBER('Council Entry'!D$9)),MAX(MIN('Council Entry'!D88,'Council Entry'!D$9),'Council Entry'!D$8),'Council Entry'!D88)),IF('Council Entry'!D$4="Exponential",EXP(IF(AND(ISNUMBER('Council Entry'!D$8),ISNUMBER('Council Entry'!D$9)),MAX(MIN('Council Entry'!D88,'Council Entry'!D$9),'Council Entry'!D$8),'Council Entry'!D88)),IF(AND(ISNUMBER('Council Entry'!D$8),ISNUMBER('Council Entry'!D$9)),MAX(MIN('Council Entry'!D88,'Council Entry'!D$9),'Council Entry'!D$8),'Council Entry'!D88))))-'Council Entry'!D$5)/('Council Entry'!D$6-'Council Entry'!D$5),10*((IF('Council Entry'!D$4="Logarithm",LN(0.001+IF(AND(ISNUMBER('Council Entry'!D$8),ISNUMBER('Council Entry'!D$9)),MAX(MIN('Council Entry'!D88,'Council Entry'!D$9),'Council Entry'!D$8),'Council Entry'!D88)),IF('Council Entry'!D$4="Exponential",EXP(IF(AND(ISNUMBER('Council Entry'!D$8),ISNUMBER('Council Entry'!D$9)),MAX(MIN('Council Entry'!D88,'Council Entry'!D$9),'Council Entry'!D$8),'Council Entry'!D88)),IF(AND(ISNUMBER('Council Entry'!D$8),ISNUMBER('Council Entry'!D$9)),MAX(MIN('Council Entry'!D88,'Council Entry'!D$9),'Council Entry'!D$8),'Council Entry'!D88))))-'Council Entry'!D$5)/('Council Entry'!D$6-'Council Entry'!D$5)),1))),"No data"))</f>
        <v/>
      </c>
      <c r="E88" s="13">
        <f>IF('Council Entry'!E88="","",IFERROR(MAX(0,MIN(10,ROUND(IF('Council Entry'!E$7="Decrease Risk",10-10*((IF('Council Entry'!E$4="Logarithm",LN(0.001+IF(AND(ISNUMBER('Council Entry'!E$8),ISNUMBER('Council Entry'!E$9)),MAX(MIN('Council Entry'!E88,'Council Entry'!E$9),'Council Entry'!E$8),'Council Entry'!E88)),IF('Council Entry'!E$4="Exponential",EXP(IF(AND(ISNUMBER('Council Entry'!E$8),ISNUMBER('Council Entry'!E$9)),MAX(MIN('Council Entry'!E88,'Council Entry'!E$9),'Council Entry'!E$8),'Council Entry'!E88)),IF(AND(ISNUMBER('Council Entry'!E$8),ISNUMBER('Council Entry'!E$9)),MAX(MIN('Council Entry'!E88,'Council Entry'!E$9),'Council Entry'!E$8),'Council Entry'!E88))))-'Council Entry'!E$5)/('Council Entry'!E$6-'Council Entry'!E$5),10*((IF('Council Entry'!E$4="Logarithm",LN(0.001+IF(AND(ISNUMBER('Council Entry'!E$8),ISNUMBER('Council Entry'!E$9)),MAX(MIN('Council Entry'!E88,'Council Entry'!E$9),'Council Entry'!E$8),'Council Entry'!E88)),IF('Council Entry'!E$4="Exponential",EXP(IF(AND(ISNUMBER('Council Entry'!E$8),ISNUMBER('Council Entry'!E$9)),MAX(MIN('Council Entry'!E88,'Council Entry'!E$9),'Council Entry'!E$8),'Council Entry'!E88)),IF(AND(ISNUMBER('Council Entry'!E$8),ISNUMBER('Council Entry'!E$9)),MAX(MIN('Council Entry'!E88,'Council Entry'!E$9),'Council Entry'!E$8),'Council Entry'!E88))))-'Council Entry'!E$5)/('Council Entry'!E$6-'Council Entry'!E$5)),1))),"No data"))</f>
        <v/>
      </c>
      <c r="F88" s="13">
        <f>IF('Council Entry'!F88="","",IFERROR(MAX(0,MIN(10,ROUND(IF('Council Entry'!F$7="Decrease Risk",10-10*((IF('Council Entry'!F$4="Logarithm",LN(0.001+IF(AND(ISNUMBER('Council Entry'!F$8),ISNUMBER('Council Entry'!F$9)),MAX(MIN('Council Entry'!F88,'Council Entry'!F$9),'Council Entry'!F$8),'Council Entry'!F88)),IF('Council Entry'!F$4="Exponential",EXP(IF(AND(ISNUMBER('Council Entry'!F$8),ISNUMBER('Council Entry'!F$9)),MAX(MIN('Council Entry'!F88,'Council Entry'!F$9),'Council Entry'!F$8),'Council Entry'!F88)),IF(AND(ISNUMBER('Council Entry'!F$8),ISNUMBER('Council Entry'!F$9)),MAX(MIN('Council Entry'!F88,'Council Entry'!F$9),'Council Entry'!F$8),'Council Entry'!F88))))-'Council Entry'!F$5)/('Council Entry'!F$6-'Council Entry'!F$5),10*((IF('Council Entry'!F$4="Logarithm",LN(0.001+IF(AND(ISNUMBER('Council Entry'!F$8),ISNUMBER('Council Entry'!F$9)),MAX(MIN('Council Entry'!F88,'Council Entry'!F$9),'Council Entry'!F$8),'Council Entry'!F88)),IF('Council Entry'!F$4="Exponential",EXP(IF(AND(ISNUMBER('Council Entry'!F$8),ISNUMBER('Council Entry'!F$9)),MAX(MIN('Council Entry'!F88,'Council Entry'!F$9),'Council Entry'!F$8),'Council Entry'!F88)),IF(AND(ISNUMBER('Council Entry'!F$8),ISNUMBER('Council Entry'!F$9)),MAX(MIN('Council Entry'!F88,'Council Entry'!F$9),'Council Entry'!F$8),'Council Entry'!F88))))-'Council Entry'!F$5)/('Council Entry'!F$6-'Council Entry'!F$5)),1))),"No data"))</f>
        <v/>
      </c>
      <c r="G88" s="13">
        <f>IF('Council Entry'!G88="","",IFERROR(MAX(0,MIN(10,ROUND(IF('Council Entry'!G$7="Decrease Risk",10-10*((IF('Council Entry'!G$4="Logarithm",LN(0.001+IF(AND(ISNUMBER('Council Entry'!G$8),ISNUMBER('Council Entry'!G$9)),MAX(MIN('Council Entry'!G88,'Council Entry'!G$9),'Council Entry'!G$8),'Council Entry'!G88)),IF('Council Entry'!G$4="Exponential",EXP(IF(AND(ISNUMBER('Council Entry'!G$8),ISNUMBER('Council Entry'!G$9)),MAX(MIN('Council Entry'!G88,'Council Entry'!G$9),'Council Entry'!G$8),'Council Entry'!G88)),IF(AND(ISNUMBER('Council Entry'!G$8),ISNUMBER('Council Entry'!G$9)),MAX(MIN('Council Entry'!G88,'Council Entry'!G$9),'Council Entry'!G$8),'Council Entry'!G88))))-'Council Entry'!G$5)/('Council Entry'!G$6-'Council Entry'!G$5),10*((IF('Council Entry'!G$4="Logarithm",LN(0.001+IF(AND(ISNUMBER('Council Entry'!G$8),ISNUMBER('Council Entry'!G$9)),MAX(MIN('Council Entry'!G88,'Council Entry'!G$9),'Council Entry'!G$8),'Council Entry'!G88)),IF('Council Entry'!G$4="Exponential",EXP(IF(AND(ISNUMBER('Council Entry'!G$8),ISNUMBER('Council Entry'!G$9)),MAX(MIN('Council Entry'!G88,'Council Entry'!G$9),'Council Entry'!G$8),'Council Entry'!G88)),IF(AND(ISNUMBER('Council Entry'!G$8),ISNUMBER('Council Entry'!G$9)),MAX(MIN('Council Entry'!G88,'Council Entry'!G$9),'Council Entry'!G$8),'Council Entry'!G88))))-'Council Entry'!G$5)/('Council Entry'!G$6-'Council Entry'!G$5)),1))),"No data"))</f>
        <v/>
      </c>
      <c r="H88" s="13">
        <f>IF('Council Entry'!H88="","",IFERROR(MAX(0,MIN(10,ROUND(IF('Council Entry'!H$7="Decrease Risk",10-10*((IF('Council Entry'!H$4="Logarithm",LN(0.001+IF(AND(ISNUMBER('Council Entry'!H$8),ISNUMBER('Council Entry'!H$9)),MAX(MIN('Council Entry'!H88,'Council Entry'!H$9),'Council Entry'!H$8),'Council Entry'!H88)),IF('Council Entry'!H$4="Exponential",EXP(IF(AND(ISNUMBER('Council Entry'!H$8),ISNUMBER('Council Entry'!H$9)),MAX(MIN('Council Entry'!H88,'Council Entry'!H$9),'Council Entry'!H$8),'Council Entry'!H88)),IF(AND(ISNUMBER('Council Entry'!H$8),ISNUMBER('Council Entry'!H$9)),MAX(MIN('Council Entry'!H88,'Council Entry'!H$9),'Council Entry'!H$8),'Council Entry'!H88))))-'Council Entry'!H$5)/('Council Entry'!H$6-'Council Entry'!H$5),10*((IF('Council Entry'!H$4="Logarithm",LN(0.001+IF(AND(ISNUMBER('Council Entry'!H$8),ISNUMBER('Council Entry'!H$9)),MAX(MIN('Council Entry'!H88,'Council Entry'!H$9),'Council Entry'!H$8),'Council Entry'!H88)),IF('Council Entry'!H$4="Exponential",EXP(IF(AND(ISNUMBER('Council Entry'!H$8),ISNUMBER('Council Entry'!H$9)),MAX(MIN('Council Entry'!H88,'Council Entry'!H$9),'Council Entry'!H$8),'Council Entry'!H88)),IF(AND(ISNUMBER('Council Entry'!H$8),ISNUMBER('Council Entry'!H$9)),MAX(MIN('Council Entry'!H88,'Council Entry'!H$9),'Council Entry'!H$8),'Council Entry'!H88))))-'Council Entry'!H$5)/('Council Entry'!H$6-'Council Entry'!H$5)),1))),"No data"))</f>
        <v/>
      </c>
      <c r="I88" s="13">
        <f>IF('Council Entry'!I88="","",IFERROR(MAX(0,MIN(10,ROUND(IF('Council Entry'!I$7="Decrease Risk",10-10*((IF('Council Entry'!I$4="Logarithm",LN(0.001+IF(AND(ISNUMBER('Council Entry'!I$8),ISNUMBER('Council Entry'!I$9)),MAX(MIN('Council Entry'!I88,'Council Entry'!I$9),'Council Entry'!I$8),'Council Entry'!I88)),IF('Council Entry'!I$4="Exponential",EXP(IF(AND(ISNUMBER('Council Entry'!I$8),ISNUMBER('Council Entry'!I$9)),MAX(MIN('Council Entry'!I88,'Council Entry'!I$9),'Council Entry'!I$8),'Council Entry'!I88)),IF(AND(ISNUMBER('Council Entry'!I$8),ISNUMBER('Council Entry'!I$9)),MAX(MIN('Council Entry'!I88,'Council Entry'!I$9),'Council Entry'!I$8),'Council Entry'!I88))))-'Council Entry'!I$5)/('Council Entry'!I$6-'Council Entry'!I$5),10*((IF('Council Entry'!I$4="Logarithm",LN(0.001+IF(AND(ISNUMBER('Council Entry'!I$8),ISNUMBER('Council Entry'!I$9)),MAX(MIN('Council Entry'!I88,'Council Entry'!I$9),'Council Entry'!I$8),'Council Entry'!I88)),IF('Council Entry'!I$4="Exponential",EXP(IF(AND(ISNUMBER('Council Entry'!I$8),ISNUMBER('Council Entry'!I$9)),MAX(MIN('Council Entry'!I88,'Council Entry'!I$9),'Council Entry'!I$8),'Council Entry'!I88)),IF(AND(ISNUMBER('Council Entry'!I$8),ISNUMBER('Council Entry'!I$9)),MAX(MIN('Council Entry'!I88,'Council Entry'!I$9),'Council Entry'!I$8),'Council Entry'!I88))))-'Council Entry'!I$5)/('Council Entry'!I$6-'Council Entry'!I$5)),1))),"No data"))</f>
        <v/>
      </c>
      <c r="J88" s="13">
        <f>IF('Council Entry'!J88="","",IFERROR(MAX(0,MIN(10,ROUND(IF('Council Entry'!J$7="Decrease Risk",10-10*((IF('Council Entry'!J$4="Logarithm",LN(0.001+IF(AND(ISNUMBER('Council Entry'!J$8),ISNUMBER('Council Entry'!J$9)),MAX(MIN('Council Entry'!J88,'Council Entry'!J$9),'Council Entry'!J$8),'Council Entry'!J88)),IF('Council Entry'!J$4="Exponential",EXP(IF(AND(ISNUMBER('Council Entry'!J$8),ISNUMBER('Council Entry'!J$9)),MAX(MIN('Council Entry'!J88,'Council Entry'!J$9),'Council Entry'!J$8),'Council Entry'!J88)),IF(AND(ISNUMBER('Council Entry'!J$8),ISNUMBER('Council Entry'!J$9)),MAX(MIN('Council Entry'!J88,'Council Entry'!J$9),'Council Entry'!J$8),'Council Entry'!J88))))-'Council Entry'!J$5)/('Council Entry'!J$6-'Council Entry'!J$5),10*((IF('Council Entry'!J$4="Logarithm",LN(0.001+IF(AND(ISNUMBER('Council Entry'!J$8),ISNUMBER('Council Entry'!J$9)),MAX(MIN('Council Entry'!J88,'Council Entry'!J$9),'Council Entry'!J$8),'Council Entry'!J88)),IF('Council Entry'!J$4="Exponential",EXP(IF(AND(ISNUMBER('Council Entry'!J$8),ISNUMBER('Council Entry'!J$9)),MAX(MIN('Council Entry'!J88,'Council Entry'!J$9),'Council Entry'!J$8),'Council Entry'!J88)),IF(AND(ISNUMBER('Council Entry'!J$8),ISNUMBER('Council Entry'!J$9)),MAX(MIN('Council Entry'!J88,'Council Entry'!J$9),'Council Entry'!J$8),'Council Entry'!J88))))-'Council Entry'!J$5)/('Council Entry'!J$6-'Council Entry'!J$5)),1))),"No data"))</f>
        <v/>
      </c>
      <c r="K88" s="13">
        <f>IF('Council Entry'!K88="","",IFERROR(MAX(0,MIN(10,ROUND(IF('Council Entry'!K$7="Decrease Risk",10-10*((IF('Council Entry'!K$4="Logarithm",LN(0.001+IF(AND(ISNUMBER('Council Entry'!K$8),ISNUMBER('Council Entry'!K$9)),MAX(MIN('Council Entry'!K88,'Council Entry'!K$9),'Council Entry'!K$8),'Council Entry'!K88)),IF('Council Entry'!K$4="Exponential",EXP(IF(AND(ISNUMBER('Council Entry'!K$8),ISNUMBER('Council Entry'!K$9)),MAX(MIN('Council Entry'!K88,'Council Entry'!K$9),'Council Entry'!K$8),'Council Entry'!K88)),IF(AND(ISNUMBER('Council Entry'!K$8),ISNUMBER('Council Entry'!K$9)),MAX(MIN('Council Entry'!K88,'Council Entry'!K$9),'Council Entry'!K$8),'Council Entry'!K88))))-'Council Entry'!K$5)/('Council Entry'!K$6-'Council Entry'!K$5),10*((IF('Council Entry'!K$4="Logarithm",LN(0.001+IF(AND(ISNUMBER('Council Entry'!K$8),ISNUMBER('Council Entry'!K$9)),MAX(MIN('Council Entry'!K88,'Council Entry'!K$9),'Council Entry'!K$8),'Council Entry'!K88)),IF('Council Entry'!K$4="Exponential",EXP(IF(AND(ISNUMBER('Council Entry'!K$8),ISNUMBER('Council Entry'!K$9)),MAX(MIN('Council Entry'!K88,'Council Entry'!K$9),'Council Entry'!K$8),'Council Entry'!K88)),IF(AND(ISNUMBER('Council Entry'!K$8),ISNUMBER('Council Entry'!K$9)),MAX(MIN('Council Entry'!K88,'Council Entry'!K$9),'Council Entry'!K$8),'Council Entry'!K88))))-'Council Entry'!K$5)/('Council Entry'!K$6-'Council Entry'!K$5)),1))),"No data"))</f>
        <v/>
      </c>
      <c r="L88" s="13">
        <f>IF('Council Entry'!L88="","",IFERROR(MAX(0,MIN(10,ROUND(IF('Council Entry'!L$7="Decrease Risk",10-10*((IF('Council Entry'!L$4="Logarithm",LN(0.001+IF(AND(ISNUMBER('Council Entry'!L$8),ISNUMBER('Council Entry'!L$9)),MAX(MIN('Council Entry'!L88,'Council Entry'!L$9),'Council Entry'!L$8),'Council Entry'!L88)),IF('Council Entry'!L$4="Exponential",EXP(IF(AND(ISNUMBER('Council Entry'!L$8),ISNUMBER('Council Entry'!L$9)),MAX(MIN('Council Entry'!L88,'Council Entry'!L$9),'Council Entry'!L$8),'Council Entry'!L88)),IF(AND(ISNUMBER('Council Entry'!L$8),ISNUMBER('Council Entry'!L$9)),MAX(MIN('Council Entry'!L88,'Council Entry'!L$9),'Council Entry'!L$8),'Council Entry'!L88))))-'Council Entry'!L$5)/('Council Entry'!L$6-'Council Entry'!L$5),10*((IF('Council Entry'!L$4="Logarithm",LN(0.001+IF(AND(ISNUMBER('Council Entry'!L$8),ISNUMBER('Council Entry'!L$9)),MAX(MIN('Council Entry'!L88,'Council Entry'!L$9),'Council Entry'!L$8),'Council Entry'!L88)),IF('Council Entry'!L$4="Exponential",EXP(IF(AND(ISNUMBER('Council Entry'!L$8),ISNUMBER('Council Entry'!L$9)),MAX(MIN('Council Entry'!L88,'Council Entry'!L$9),'Council Entry'!L$8),'Council Entry'!L88)),IF(AND(ISNUMBER('Council Entry'!L$8),ISNUMBER('Council Entry'!L$9)),MAX(MIN('Council Entry'!L88,'Council Entry'!L$9),'Council Entry'!L$8),'Council Entry'!L88))))-'Council Entry'!L$5)/('Council Entry'!L$6-'Council Entry'!L$5)),1))),"No data"))</f>
        <v/>
      </c>
      <c r="M88" s="13">
        <f>IF('Council Entry'!M88="","",IFERROR(MAX(0,MIN(10,ROUND(IF('Council Entry'!M$7="Decrease Risk",10-10*((IF('Council Entry'!M$4="Logarithm",LN(0.001+IF(AND(ISNUMBER('Council Entry'!M$8),ISNUMBER('Council Entry'!M$9)),MAX(MIN('Council Entry'!M88,'Council Entry'!M$9),'Council Entry'!M$8),'Council Entry'!M88)),IF('Council Entry'!M$4="Exponential",EXP(IF(AND(ISNUMBER('Council Entry'!M$8),ISNUMBER('Council Entry'!M$9)),MAX(MIN('Council Entry'!M88,'Council Entry'!M$9),'Council Entry'!M$8),'Council Entry'!M88)),IF(AND(ISNUMBER('Council Entry'!M$8),ISNUMBER('Council Entry'!M$9)),MAX(MIN('Council Entry'!M88,'Council Entry'!M$9),'Council Entry'!M$8),'Council Entry'!M88))))-'Council Entry'!M$5)/('Council Entry'!M$6-'Council Entry'!M$5),10*((IF('Council Entry'!M$4="Logarithm",LN(0.001+IF(AND(ISNUMBER('Council Entry'!M$8),ISNUMBER('Council Entry'!M$9)),MAX(MIN('Council Entry'!M88,'Council Entry'!M$9),'Council Entry'!M$8),'Council Entry'!M88)),IF('Council Entry'!M$4="Exponential",EXP(IF(AND(ISNUMBER('Council Entry'!M$8),ISNUMBER('Council Entry'!M$9)),MAX(MIN('Council Entry'!M88,'Council Entry'!M$9),'Council Entry'!M$8),'Council Entry'!M88)),IF(AND(ISNUMBER('Council Entry'!M$8),ISNUMBER('Council Entry'!M$9)),MAX(MIN('Council Entry'!M88,'Council Entry'!M$9),'Council Entry'!M$8),'Council Entry'!M88))))-'Council Entry'!M$5)/('Council Entry'!M$6-'Council Entry'!M$5)),1))),"No data"))</f>
        <v/>
      </c>
      <c r="N88" s="13">
        <f>IF('Council Entry'!N88="","",IFERROR(MAX(0,MIN(10,ROUND(IF('Council Entry'!N$7="Decrease Risk",10-10*((IF('Council Entry'!N$4="Logarithm",LN(0.001+IF(AND(ISNUMBER('Council Entry'!N$8),ISNUMBER('Council Entry'!N$9)),MAX(MIN('Council Entry'!N88,'Council Entry'!N$9),'Council Entry'!N$8),'Council Entry'!N88)),IF('Council Entry'!N$4="Exponential",EXP(IF(AND(ISNUMBER('Council Entry'!N$8),ISNUMBER('Council Entry'!N$9)),MAX(MIN('Council Entry'!N88,'Council Entry'!N$9),'Council Entry'!N$8),'Council Entry'!N88)),IF(AND(ISNUMBER('Council Entry'!N$8),ISNUMBER('Council Entry'!N$9)),MAX(MIN('Council Entry'!N88,'Council Entry'!N$9),'Council Entry'!N$8),'Council Entry'!N88))))-'Council Entry'!N$5)/('Council Entry'!N$6-'Council Entry'!N$5),10*((IF('Council Entry'!N$4="Logarithm",LN(0.001+IF(AND(ISNUMBER('Council Entry'!N$8),ISNUMBER('Council Entry'!N$9)),MAX(MIN('Council Entry'!N88,'Council Entry'!N$9),'Council Entry'!N$8),'Council Entry'!N88)),IF('Council Entry'!N$4="Exponential",EXP(IF(AND(ISNUMBER('Council Entry'!N$8),ISNUMBER('Council Entry'!N$9)),MAX(MIN('Council Entry'!N88,'Council Entry'!N$9),'Council Entry'!N$8),'Council Entry'!N88)),IF(AND(ISNUMBER('Council Entry'!N$8),ISNUMBER('Council Entry'!N$9)),MAX(MIN('Council Entry'!N88,'Council Entry'!N$9),'Council Entry'!N$8),'Council Entry'!N88))))-'Council Entry'!N$5)/('Council Entry'!N$6-'Council Entry'!N$5)),1))),"No data"))</f>
        <v/>
      </c>
      <c r="O88" s="13">
        <f>IF('Council Entry'!O88="","",IFERROR(MAX(0,MIN(10,ROUND(IF('Council Entry'!O$7="Decrease Risk",10-10*((IF('Council Entry'!O$4="Logarithm",LN(0.001+IF(AND(ISNUMBER('Council Entry'!O$8),ISNUMBER('Council Entry'!O$9)),MAX(MIN('Council Entry'!O88,'Council Entry'!O$9),'Council Entry'!O$8),'Council Entry'!O88)),IF('Council Entry'!O$4="Exponential",EXP(IF(AND(ISNUMBER('Council Entry'!O$8),ISNUMBER('Council Entry'!O$9)),MAX(MIN('Council Entry'!O88,'Council Entry'!O$9),'Council Entry'!O$8),'Council Entry'!O88)),IF(AND(ISNUMBER('Council Entry'!O$8),ISNUMBER('Council Entry'!O$9)),MAX(MIN('Council Entry'!O88,'Council Entry'!O$9),'Council Entry'!O$8),'Council Entry'!O88))))-'Council Entry'!O$5)/('Council Entry'!O$6-'Council Entry'!O$5),10*((IF('Council Entry'!O$4="Logarithm",LN(0.001+IF(AND(ISNUMBER('Council Entry'!O$8),ISNUMBER('Council Entry'!O$9)),MAX(MIN('Council Entry'!O88,'Council Entry'!O$9),'Council Entry'!O$8),'Council Entry'!O88)),IF('Council Entry'!O$4="Exponential",EXP(IF(AND(ISNUMBER('Council Entry'!O$8),ISNUMBER('Council Entry'!O$9)),MAX(MIN('Council Entry'!O88,'Council Entry'!O$9),'Council Entry'!O$8),'Council Entry'!O88)),IF(AND(ISNUMBER('Council Entry'!O$8),ISNUMBER('Council Entry'!O$9)),MAX(MIN('Council Entry'!O88,'Council Entry'!O$9),'Council Entry'!O$8),'Council Entry'!O88))))-'Council Entry'!O$5)/('Council Entry'!O$6-'Council Entry'!O$5)),1))),"No data"))</f>
        <v/>
      </c>
      <c r="P88" s="13">
        <f>IF('Council Entry'!P88="","",IFERROR(MAX(0,MIN(10,ROUND(IF('Council Entry'!P$7="Decrease Risk",10-10*((IF('Council Entry'!P$4="Logarithm",LN(0.001+IF(AND(ISNUMBER('Council Entry'!P$8),ISNUMBER('Council Entry'!P$9)),MAX(MIN('Council Entry'!P88,'Council Entry'!P$9),'Council Entry'!P$8),'Council Entry'!P88)),IF('Council Entry'!P$4="Exponential",EXP(IF(AND(ISNUMBER('Council Entry'!P$8),ISNUMBER('Council Entry'!P$9)),MAX(MIN('Council Entry'!P88,'Council Entry'!P$9),'Council Entry'!P$8),'Council Entry'!P88)),IF(AND(ISNUMBER('Council Entry'!P$8),ISNUMBER('Council Entry'!P$9)),MAX(MIN('Council Entry'!P88,'Council Entry'!P$9),'Council Entry'!P$8),'Council Entry'!P88))))-'Council Entry'!P$5)/('Council Entry'!P$6-'Council Entry'!P$5),10*((IF('Council Entry'!P$4="Logarithm",LN(0.001+IF(AND(ISNUMBER('Council Entry'!P$8),ISNUMBER('Council Entry'!P$9)),MAX(MIN('Council Entry'!P88,'Council Entry'!P$9),'Council Entry'!P$8),'Council Entry'!P88)),IF('Council Entry'!P$4="Exponential",EXP(IF(AND(ISNUMBER('Council Entry'!P$8),ISNUMBER('Council Entry'!P$9)),MAX(MIN('Council Entry'!P88,'Council Entry'!P$9),'Council Entry'!P$8),'Council Entry'!P88)),IF(AND(ISNUMBER('Council Entry'!P$8),ISNUMBER('Council Entry'!P$9)),MAX(MIN('Council Entry'!P88,'Council Entry'!P$9),'Council Entry'!P$8),'Council Entry'!P88))))-'Council Entry'!P$5)/('Council Entry'!P$6-'Council Entry'!P$5)),1))),"No data"))</f>
        <v/>
      </c>
      <c r="Q88" s="13">
        <f>IF('Council Entry'!Q88="","",IFERROR(MAX(0,MIN(10,ROUND(IF('Council Entry'!Q$7="Decrease Risk",10-10*((IF('Council Entry'!Q$4="Logarithm",LN(0.001+IF(AND(ISNUMBER('Council Entry'!Q$8),ISNUMBER('Council Entry'!Q$9)),MAX(MIN('Council Entry'!Q88,'Council Entry'!Q$9),'Council Entry'!Q$8),'Council Entry'!Q88)),IF('Council Entry'!Q$4="Exponential",EXP(IF(AND(ISNUMBER('Council Entry'!Q$8),ISNUMBER('Council Entry'!Q$9)),MAX(MIN('Council Entry'!Q88,'Council Entry'!Q$9),'Council Entry'!Q$8),'Council Entry'!Q88)),IF(AND(ISNUMBER('Council Entry'!Q$8),ISNUMBER('Council Entry'!Q$9)),MAX(MIN('Council Entry'!Q88,'Council Entry'!Q$9),'Council Entry'!Q$8),'Council Entry'!Q88))))-'Council Entry'!Q$5)/('Council Entry'!Q$6-'Council Entry'!Q$5),10*((IF('Council Entry'!Q$4="Logarithm",LN(0.001+IF(AND(ISNUMBER('Council Entry'!Q$8),ISNUMBER('Council Entry'!Q$9)),MAX(MIN('Council Entry'!Q88,'Council Entry'!Q$9),'Council Entry'!Q$8),'Council Entry'!Q88)),IF('Council Entry'!Q$4="Exponential",EXP(IF(AND(ISNUMBER('Council Entry'!Q$8),ISNUMBER('Council Entry'!Q$9)),MAX(MIN('Council Entry'!Q88,'Council Entry'!Q$9),'Council Entry'!Q$8),'Council Entry'!Q88)),IF(AND(ISNUMBER('Council Entry'!Q$8),ISNUMBER('Council Entry'!Q$9)),MAX(MIN('Council Entry'!Q88,'Council Entry'!Q$9),'Council Entry'!Q$8),'Council Entry'!Q88))))-'Council Entry'!Q$5)/('Council Entry'!Q$6-'Council Entry'!Q$5)),1))),"No data"))</f>
        <v/>
      </c>
      <c r="R88" s="13">
        <f>IF('Council Entry'!R88="","",IFERROR(MAX(0,MIN(10,ROUND(IF('Council Entry'!R$7="Decrease Risk",10-10*((IF('Council Entry'!R$4="Logarithm",LN(0.001+IF(AND(ISNUMBER('Council Entry'!R$8),ISNUMBER('Council Entry'!R$9)),MAX(MIN('Council Entry'!R88,'Council Entry'!R$9),'Council Entry'!R$8),'Council Entry'!R88)),IF('Council Entry'!R$4="Exponential",EXP(IF(AND(ISNUMBER('Council Entry'!R$8),ISNUMBER('Council Entry'!R$9)),MAX(MIN('Council Entry'!R88,'Council Entry'!R$9),'Council Entry'!R$8),'Council Entry'!R88)),IF(AND(ISNUMBER('Council Entry'!R$8),ISNUMBER('Council Entry'!R$9)),MAX(MIN('Council Entry'!R88,'Council Entry'!R$9),'Council Entry'!R$8),'Council Entry'!R88))))-'Council Entry'!R$5)/('Council Entry'!R$6-'Council Entry'!R$5),10*((IF('Council Entry'!R$4="Logarithm",LN(0.001+IF(AND(ISNUMBER('Council Entry'!R$8),ISNUMBER('Council Entry'!R$9)),MAX(MIN('Council Entry'!R88,'Council Entry'!R$9),'Council Entry'!R$8),'Council Entry'!R88)),IF('Council Entry'!R$4="Exponential",EXP(IF(AND(ISNUMBER('Council Entry'!R$8),ISNUMBER('Council Entry'!R$9)),MAX(MIN('Council Entry'!R88,'Council Entry'!R$9),'Council Entry'!R$8),'Council Entry'!R88)),IF(AND(ISNUMBER('Council Entry'!R$8),ISNUMBER('Council Entry'!R$9)),MAX(MIN('Council Entry'!R88,'Council Entry'!R$9),'Council Entry'!R$8),'Council Entry'!R88))))-'Council Entry'!R$5)/('Council Entry'!R$6-'Council Entry'!R$5)),1))),"No data"))</f>
        <v/>
      </c>
      <c r="S88" s="13">
        <f>IF('Council Entry'!S88="","",IFERROR(MAX(0,MIN(10,ROUND(IF('Council Entry'!S$7="Decrease Risk",10-10*((IF('Council Entry'!S$4="Logarithm",LN(0.001+IF(AND(ISNUMBER('Council Entry'!S$8),ISNUMBER('Council Entry'!S$9)),MAX(MIN('Council Entry'!S88,'Council Entry'!S$9),'Council Entry'!S$8),'Council Entry'!S88)),IF('Council Entry'!S$4="Exponential",EXP(IF(AND(ISNUMBER('Council Entry'!S$8),ISNUMBER('Council Entry'!S$9)),MAX(MIN('Council Entry'!S88,'Council Entry'!S$9),'Council Entry'!S$8),'Council Entry'!S88)),IF(AND(ISNUMBER('Council Entry'!S$8),ISNUMBER('Council Entry'!S$9)),MAX(MIN('Council Entry'!S88,'Council Entry'!S$9),'Council Entry'!S$8),'Council Entry'!S88))))-'Council Entry'!S$5)/('Council Entry'!S$6-'Council Entry'!S$5),10*((IF('Council Entry'!S$4="Logarithm",LN(0.001+IF(AND(ISNUMBER('Council Entry'!S$8),ISNUMBER('Council Entry'!S$9)),MAX(MIN('Council Entry'!S88,'Council Entry'!S$9),'Council Entry'!S$8),'Council Entry'!S88)),IF('Council Entry'!S$4="Exponential",EXP(IF(AND(ISNUMBER('Council Entry'!S$8),ISNUMBER('Council Entry'!S$9)),MAX(MIN('Council Entry'!S88,'Council Entry'!S$9),'Council Entry'!S$8),'Council Entry'!S88)),IF(AND(ISNUMBER('Council Entry'!S$8),ISNUMBER('Council Entry'!S$9)),MAX(MIN('Council Entry'!S88,'Council Entry'!S$9),'Council Entry'!S$8),'Council Entry'!S88))))-'Council Entry'!S$5)/('Council Entry'!S$6-'Council Entry'!S$5)),1))),"No data"))</f>
        <v/>
      </c>
      <c r="T88" s="13">
        <f>IF('Council Entry'!T88="","",IFERROR(MAX(0,MIN(10,ROUND(IF('Council Entry'!T$7="Decrease Risk",10-10*((IF('Council Entry'!T$4="Logarithm",LN(0.001+IF(AND(ISNUMBER('Council Entry'!T$8),ISNUMBER('Council Entry'!T$9)),MAX(MIN('Council Entry'!T88,'Council Entry'!T$9),'Council Entry'!T$8),'Council Entry'!T88)),IF('Council Entry'!T$4="Exponential",EXP(IF(AND(ISNUMBER('Council Entry'!T$8),ISNUMBER('Council Entry'!T$9)),MAX(MIN('Council Entry'!T88,'Council Entry'!T$9),'Council Entry'!T$8),'Council Entry'!T88)),IF(AND(ISNUMBER('Council Entry'!T$8),ISNUMBER('Council Entry'!T$9)),MAX(MIN('Council Entry'!T88,'Council Entry'!T$9),'Council Entry'!T$8),'Council Entry'!T88))))-'Council Entry'!T$5)/('Council Entry'!T$6-'Council Entry'!T$5),10*((IF('Council Entry'!T$4="Logarithm",LN(0.001+IF(AND(ISNUMBER('Council Entry'!T$8),ISNUMBER('Council Entry'!T$9)),MAX(MIN('Council Entry'!T88,'Council Entry'!T$9),'Council Entry'!T$8),'Council Entry'!T88)),IF('Council Entry'!T$4="Exponential",EXP(IF(AND(ISNUMBER('Council Entry'!T$8),ISNUMBER('Council Entry'!T$9)),MAX(MIN('Council Entry'!T88,'Council Entry'!T$9),'Council Entry'!T$8),'Council Entry'!T88)),IF(AND(ISNUMBER('Council Entry'!T$8),ISNUMBER('Council Entry'!T$9)),MAX(MIN('Council Entry'!T88,'Council Entry'!T$9),'Council Entry'!T$8),'Council Entry'!T88))))-'Council Entry'!T$5)/('Council Entry'!T$6-'Council Entry'!T$5)),1))),"No data"))</f>
        <v/>
      </c>
      <c r="U88" s="13">
        <f>IF('Council Entry'!U88="","",IFERROR(MAX(0,MIN(10,ROUND(IF('Council Entry'!U$7="Decrease Risk",10-10*((IF('Council Entry'!U$4="Logarithm",LN(0.001+IF(AND(ISNUMBER('Council Entry'!U$8),ISNUMBER('Council Entry'!U$9)),MAX(MIN('Council Entry'!U88,'Council Entry'!U$9),'Council Entry'!U$8),'Council Entry'!U88)),IF('Council Entry'!U$4="Exponential",EXP(IF(AND(ISNUMBER('Council Entry'!U$8),ISNUMBER('Council Entry'!U$9)),MAX(MIN('Council Entry'!U88,'Council Entry'!U$9),'Council Entry'!U$8),'Council Entry'!U88)),IF(AND(ISNUMBER('Council Entry'!U$8),ISNUMBER('Council Entry'!U$9)),MAX(MIN('Council Entry'!U88,'Council Entry'!U$9),'Council Entry'!U$8),'Council Entry'!U88))))-'Council Entry'!U$5)/('Council Entry'!U$6-'Council Entry'!U$5),10*((IF('Council Entry'!U$4="Logarithm",LN(0.001+IF(AND(ISNUMBER('Council Entry'!U$8),ISNUMBER('Council Entry'!U$9)),MAX(MIN('Council Entry'!U88,'Council Entry'!U$9),'Council Entry'!U$8),'Council Entry'!U88)),IF('Council Entry'!U$4="Exponential",EXP(IF(AND(ISNUMBER('Council Entry'!U$8),ISNUMBER('Council Entry'!U$9)),MAX(MIN('Council Entry'!U88,'Council Entry'!U$9),'Council Entry'!U$8),'Council Entry'!U88)),IF(AND(ISNUMBER('Council Entry'!U$8),ISNUMBER('Council Entry'!U$9)),MAX(MIN('Council Entry'!U88,'Council Entry'!U$9),'Council Entry'!U$8),'Council Entry'!U88))))-'Council Entry'!U$5)/('Council Entry'!U$6-'Council Entry'!U$5)),1))),"No data"))</f>
        <v/>
      </c>
      <c r="V88" s="13">
        <f>IF('Council Entry'!V88="","",IFERROR(MAX(0,MIN(10,ROUND(IF('Council Entry'!V$7="Decrease Risk",10-10*((IF('Council Entry'!V$4="Logarithm",LN(0.001+IF(AND(ISNUMBER('Council Entry'!V$8),ISNUMBER('Council Entry'!V$9)),MAX(MIN('Council Entry'!V88,'Council Entry'!V$9),'Council Entry'!V$8),'Council Entry'!V88)),IF('Council Entry'!V$4="Exponential",EXP(IF(AND(ISNUMBER('Council Entry'!V$8),ISNUMBER('Council Entry'!V$9)),MAX(MIN('Council Entry'!V88,'Council Entry'!V$9),'Council Entry'!V$8),'Council Entry'!V88)),IF(AND(ISNUMBER('Council Entry'!V$8),ISNUMBER('Council Entry'!V$9)),MAX(MIN('Council Entry'!V88,'Council Entry'!V$9),'Council Entry'!V$8),'Council Entry'!V88))))-'Council Entry'!V$5)/('Council Entry'!V$6-'Council Entry'!V$5),10*((IF('Council Entry'!V$4="Logarithm",LN(0.001+IF(AND(ISNUMBER('Council Entry'!V$8),ISNUMBER('Council Entry'!V$9)),MAX(MIN('Council Entry'!V88,'Council Entry'!V$9),'Council Entry'!V$8),'Council Entry'!V88)),IF('Council Entry'!V$4="Exponential",EXP(IF(AND(ISNUMBER('Council Entry'!V$8),ISNUMBER('Council Entry'!V$9)),MAX(MIN('Council Entry'!V88,'Council Entry'!V$9),'Council Entry'!V$8),'Council Entry'!V88)),IF(AND(ISNUMBER('Council Entry'!V$8),ISNUMBER('Council Entry'!V$9)),MAX(MIN('Council Entry'!V88,'Council Entry'!V$9),'Council Entry'!V$8),'Council Entry'!V88))))-'Council Entry'!V$5)/('Council Entry'!V$6-'Council Entry'!V$5)),1))),"No data"))</f>
        <v/>
      </c>
      <c r="W88" s="13">
        <f>IF('Council Entry'!W88="","",IFERROR(MAX(0,MIN(10,ROUND(IF('Council Entry'!W$7="Decrease Risk",10-10*((IF('Council Entry'!W$4="Logarithm",LN(0.001+IF(AND(ISNUMBER('Council Entry'!W$8),ISNUMBER('Council Entry'!W$9)),MAX(MIN('Council Entry'!W88,'Council Entry'!W$9),'Council Entry'!W$8),'Council Entry'!W88)),IF('Council Entry'!W$4="Exponential",EXP(IF(AND(ISNUMBER('Council Entry'!W$8),ISNUMBER('Council Entry'!W$9)),MAX(MIN('Council Entry'!W88,'Council Entry'!W$9),'Council Entry'!W$8),'Council Entry'!W88)),IF(AND(ISNUMBER('Council Entry'!W$8),ISNUMBER('Council Entry'!W$9)),MAX(MIN('Council Entry'!W88,'Council Entry'!W$9),'Council Entry'!W$8),'Council Entry'!W88))))-'Council Entry'!W$5)/('Council Entry'!W$6-'Council Entry'!W$5),10*((IF('Council Entry'!W$4="Logarithm",LN(0.001+IF(AND(ISNUMBER('Council Entry'!W$8),ISNUMBER('Council Entry'!W$9)),MAX(MIN('Council Entry'!W88,'Council Entry'!W$9),'Council Entry'!W$8),'Council Entry'!W88)),IF('Council Entry'!W$4="Exponential",EXP(IF(AND(ISNUMBER('Council Entry'!W$8),ISNUMBER('Council Entry'!W$9)),MAX(MIN('Council Entry'!W88,'Council Entry'!W$9),'Council Entry'!W$8),'Council Entry'!W88)),IF(AND(ISNUMBER('Council Entry'!W$8),ISNUMBER('Council Entry'!W$9)),MAX(MIN('Council Entry'!W88,'Council Entry'!W$9),'Council Entry'!W$8),'Council Entry'!W88))))-'Council Entry'!W$5)/('Council Entry'!W$6-'Council Entry'!W$5)),1))),"No data"))</f>
        <v/>
      </c>
      <c r="X88" s="13">
        <f>IF('Council Entry'!X88="","",IFERROR(MAX(0,MIN(10,ROUND(IF('Council Entry'!X$7="Decrease Risk",10-10*((IF('Council Entry'!X$4="Logarithm",LN(0.001+IF(AND(ISNUMBER('Council Entry'!X$8),ISNUMBER('Council Entry'!X$9)),MAX(MIN('Council Entry'!X88,'Council Entry'!X$9),'Council Entry'!X$8),'Council Entry'!X88)),IF('Council Entry'!X$4="Exponential",EXP(IF(AND(ISNUMBER('Council Entry'!X$8),ISNUMBER('Council Entry'!X$9)),MAX(MIN('Council Entry'!X88,'Council Entry'!X$9),'Council Entry'!X$8),'Council Entry'!X88)),IF(AND(ISNUMBER('Council Entry'!X$8),ISNUMBER('Council Entry'!X$9)),MAX(MIN('Council Entry'!X88,'Council Entry'!X$9),'Council Entry'!X$8),'Council Entry'!X88))))-'Council Entry'!X$5)/('Council Entry'!X$6-'Council Entry'!X$5),10*((IF('Council Entry'!X$4="Logarithm",LN(0.001+IF(AND(ISNUMBER('Council Entry'!X$8),ISNUMBER('Council Entry'!X$9)),MAX(MIN('Council Entry'!X88,'Council Entry'!X$9),'Council Entry'!X$8),'Council Entry'!X88)),IF('Council Entry'!X$4="Exponential",EXP(IF(AND(ISNUMBER('Council Entry'!X$8),ISNUMBER('Council Entry'!X$9)),MAX(MIN('Council Entry'!X88,'Council Entry'!X$9),'Council Entry'!X$8),'Council Entry'!X88)),IF(AND(ISNUMBER('Council Entry'!X$8),ISNUMBER('Council Entry'!X$9)),MAX(MIN('Council Entry'!X88,'Council Entry'!X$9),'Council Entry'!X$8),'Council Entry'!X88))))-'Council Entry'!X$5)/('Council Entry'!X$6-'Council Entry'!X$5)),1))),"No data"))</f>
        <v/>
      </c>
      <c r="Y88" s="13">
        <f>IF('Council Entry'!Y88="","",IFERROR(MAX(0,MIN(10,ROUND(IF('Council Entry'!Y$7="Decrease Risk",10-10*((IF('Council Entry'!Y$4="Logarithm",LN(0.001+IF(AND(ISNUMBER('Council Entry'!Y$8),ISNUMBER('Council Entry'!Y$9)),MAX(MIN('Council Entry'!Y88,'Council Entry'!Y$9),'Council Entry'!Y$8),'Council Entry'!Y88)),IF('Council Entry'!Y$4="Exponential",EXP(IF(AND(ISNUMBER('Council Entry'!Y$8),ISNUMBER('Council Entry'!Y$9)),MAX(MIN('Council Entry'!Y88,'Council Entry'!Y$9),'Council Entry'!Y$8),'Council Entry'!Y88)),IF(AND(ISNUMBER('Council Entry'!Y$8),ISNUMBER('Council Entry'!Y$9)),MAX(MIN('Council Entry'!Y88,'Council Entry'!Y$9),'Council Entry'!Y$8),'Council Entry'!Y88))))-'Council Entry'!Y$5)/('Council Entry'!Y$6-'Council Entry'!Y$5),10*((IF('Council Entry'!Y$4="Logarithm",LN(0.001+IF(AND(ISNUMBER('Council Entry'!Y$8),ISNUMBER('Council Entry'!Y$9)),MAX(MIN('Council Entry'!Y88,'Council Entry'!Y$9),'Council Entry'!Y$8),'Council Entry'!Y88)),IF('Council Entry'!Y$4="Exponential",EXP(IF(AND(ISNUMBER('Council Entry'!Y$8),ISNUMBER('Council Entry'!Y$9)),MAX(MIN('Council Entry'!Y88,'Council Entry'!Y$9),'Council Entry'!Y$8),'Council Entry'!Y88)),IF(AND(ISNUMBER('Council Entry'!Y$8),ISNUMBER('Council Entry'!Y$9)),MAX(MIN('Council Entry'!Y88,'Council Entry'!Y$9),'Council Entry'!Y$8),'Council Entry'!Y88))))-'Council Entry'!Y$5)/('Council Entry'!Y$6-'Council Entry'!Y$5)),1))),"No data"))</f>
        <v/>
      </c>
      <c r="Z88" s="13">
        <f>IF('Council Entry'!Z88="","",IFERROR(MAX(0,MIN(10,ROUND(IF('Council Entry'!Z$7="Decrease Risk",10-10*((IF('Council Entry'!Z$4="Logarithm",LN(0.001+IF(AND(ISNUMBER('Council Entry'!Z$8),ISNUMBER('Council Entry'!Z$9)),MAX(MIN('Council Entry'!Z88,'Council Entry'!Z$9),'Council Entry'!Z$8),'Council Entry'!Z88)),IF('Council Entry'!Z$4="Exponential",EXP(IF(AND(ISNUMBER('Council Entry'!Z$8),ISNUMBER('Council Entry'!Z$9)),MAX(MIN('Council Entry'!Z88,'Council Entry'!Z$9),'Council Entry'!Z$8),'Council Entry'!Z88)),IF(AND(ISNUMBER('Council Entry'!Z$8),ISNUMBER('Council Entry'!Z$9)),MAX(MIN('Council Entry'!Z88,'Council Entry'!Z$9),'Council Entry'!Z$8),'Council Entry'!Z88))))-'Council Entry'!Z$5)/('Council Entry'!Z$6-'Council Entry'!Z$5),10*((IF('Council Entry'!Z$4="Logarithm",LN(0.001+IF(AND(ISNUMBER('Council Entry'!Z$8),ISNUMBER('Council Entry'!Z$9)),MAX(MIN('Council Entry'!Z88,'Council Entry'!Z$9),'Council Entry'!Z$8),'Council Entry'!Z88)),IF('Council Entry'!Z$4="Exponential",EXP(IF(AND(ISNUMBER('Council Entry'!Z$8),ISNUMBER('Council Entry'!Z$9)),MAX(MIN('Council Entry'!Z88,'Council Entry'!Z$9),'Council Entry'!Z$8),'Council Entry'!Z88)),IF(AND(ISNUMBER('Council Entry'!Z$8),ISNUMBER('Council Entry'!Z$9)),MAX(MIN('Council Entry'!Z88,'Council Entry'!Z$9),'Council Entry'!Z$8),'Council Entry'!Z88))))-'Council Entry'!Z$5)/('Council Entry'!Z$6-'Council Entry'!Z$5)),1))),"No data"))</f>
        <v/>
      </c>
      <c r="AA88" s="13">
        <f>IF('Council Entry'!AA88="","",IFERROR(MAX(0,MIN(10,ROUND(IF('Council Entry'!AA$7="Decrease Risk",10-10*((IF('Council Entry'!AA$4="Logarithm",LN(0.001+IF(AND(ISNUMBER('Council Entry'!AA$8),ISNUMBER('Council Entry'!AA$9)),MAX(MIN('Council Entry'!AA88,'Council Entry'!AA$9),'Council Entry'!AA$8),'Council Entry'!AA88)),IF('Council Entry'!AA$4="Exponential",EXP(IF(AND(ISNUMBER('Council Entry'!AA$8),ISNUMBER('Council Entry'!AA$9)),MAX(MIN('Council Entry'!AA88,'Council Entry'!AA$9),'Council Entry'!AA$8),'Council Entry'!AA88)),IF(AND(ISNUMBER('Council Entry'!AA$8),ISNUMBER('Council Entry'!AA$9)),MAX(MIN('Council Entry'!AA88,'Council Entry'!AA$9),'Council Entry'!AA$8),'Council Entry'!AA88))))-'Council Entry'!AA$5)/('Council Entry'!AA$6-'Council Entry'!AA$5),10*((IF('Council Entry'!AA$4="Logarithm",LN(0.001+IF(AND(ISNUMBER('Council Entry'!AA$8),ISNUMBER('Council Entry'!AA$9)),MAX(MIN('Council Entry'!AA88,'Council Entry'!AA$9),'Council Entry'!AA$8),'Council Entry'!AA88)),IF('Council Entry'!AA$4="Exponential",EXP(IF(AND(ISNUMBER('Council Entry'!AA$8),ISNUMBER('Council Entry'!AA$9)),MAX(MIN('Council Entry'!AA88,'Council Entry'!AA$9),'Council Entry'!AA$8),'Council Entry'!AA88)),IF(AND(ISNUMBER('Council Entry'!AA$8),ISNUMBER('Council Entry'!AA$9)),MAX(MIN('Council Entry'!AA88,'Council Entry'!AA$9),'Council Entry'!AA$8),'Council Entry'!AA88))))-'Council Entry'!AA$5)/('Council Entry'!AA$6-'Council Entry'!AA$5)),1))),"No data"))</f>
        <v/>
      </c>
      <c r="AB88" s="13">
        <f>IF('Council Entry'!AB88="","",IFERROR(MAX(0,MIN(10,ROUND(IF('Council Entry'!AB$7="Decrease Risk",10-10*((IF('Council Entry'!AB$4="Logarithm",LN(0.001+IF(AND(ISNUMBER('Council Entry'!AB$8),ISNUMBER('Council Entry'!AB$9)),MAX(MIN('Council Entry'!AB88,'Council Entry'!AB$9),'Council Entry'!AB$8),'Council Entry'!AB88)),IF('Council Entry'!AB$4="Exponential",EXP(IF(AND(ISNUMBER('Council Entry'!AB$8),ISNUMBER('Council Entry'!AB$9)),MAX(MIN('Council Entry'!AB88,'Council Entry'!AB$9),'Council Entry'!AB$8),'Council Entry'!AB88)),IF(AND(ISNUMBER('Council Entry'!AB$8),ISNUMBER('Council Entry'!AB$9)),MAX(MIN('Council Entry'!AB88,'Council Entry'!AB$9),'Council Entry'!AB$8),'Council Entry'!AB88))))-'Council Entry'!AB$5)/('Council Entry'!AB$6-'Council Entry'!AB$5),10*((IF('Council Entry'!AB$4="Logarithm",LN(0.001+IF(AND(ISNUMBER('Council Entry'!AB$8),ISNUMBER('Council Entry'!AB$9)),MAX(MIN('Council Entry'!AB88,'Council Entry'!AB$9),'Council Entry'!AB$8),'Council Entry'!AB88)),IF('Council Entry'!AB$4="Exponential",EXP(IF(AND(ISNUMBER('Council Entry'!AB$8),ISNUMBER('Council Entry'!AB$9)),MAX(MIN('Council Entry'!AB88,'Council Entry'!AB$9),'Council Entry'!AB$8),'Council Entry'!AB88)),IF(AND(ISNUMBER('Council Entry'!AB$8),ISNUMBER('Council Entry'!AB$9)),MAX(MIN('Council Entry'!AB88,'Council Entry'!AB$9),'Council Entry'!AB$8),'Council Entry'!AB88))))-'Council Entry'!AB$5)/('Council Entry'!AB$6-'Council Entry'!AB$5)),1))),"No data"))</f>
        <v/>
      </c>
      <c r="AC88" s="13">
        <f>IF('Council Entry'!AC88="","",IFERROR(MAX(0,MIN(10,ROUND(IF('Council Entry'!AC$7="Decrease Risk",10-10*((IF('Council Entry'!AC$4="Logarithm",LN(0.001+IF(AND(ISNUMBER('Council Entry'!AC$8),ISNUMBER('Council Entry'!AC$9)),MAX(MIN('Council Entry'!AC88,'Council Entry'!AC$9),'Council Entry'!AC$8),'Council Entry'!AC88)),IF('Council Entry'!AC$4="Exponential",EXP(IF(AND(ISNUMBER('Council Entry'!AC$8),ISNUMBER('Council Entry'!AC$9)),MAX(MIN('Council Entry'!AC88,'Council Entry'!AC$9),'Council Entry'!AC$8),'Council Entry'!AC88)),IF(AND(ISNUMBER('Council Entry'!AC$8),ISNUMBER('Council Entry'!AC$9)),MAX(MIN('Council Entry'!AC88,'Council Entry'!AC$9),'Council Entry'!AC$8),'Council Entry'!AC88))))-'Council Entry'!AC$5)/('Council Entry'!AC$6-'Council Entry'!AC$5),10*((IF('Council Entry'!AC$4="Logarithm",LN(0.001+IF(AND(ISNUMBER('Council Entry'!AC$8),ISNUMBER('Council Entry'!AC$9)),MAX(MIN('Council Entry'!AC88,'Council Entry'!AC$9),'Council Entry'!AC$8),'Council Entry'!AC88)),IF('Council Entry'!AC$4="Exponential",EXP(IF(AND(ISNUMBER('Council Entry'!AC$8),ISNUMBER('Council Entry'!AC$9)),MAX(MIN('Council Entry'!AC88,'Council Entry'!AC$9),'Council Entry'!AC$8),'Council Entry'!AC88)),IF(AND(ISNUMBER('Council Entry'!AC$8),ISNUMBER('Council Entry'!AC$9)),MAX(MIN('Council Entry'!AC88,'Council Entry'!AC$9),'Council Entry'!AC$8),'Council Entry'!AC88))))-'Council Entry'!AC$5)/('Council Entry'!AC$6-'Council Entry'!AC$5)),1))),"No data"))</f>
        <v/>
      </c>
      <c r="AD88" s="13">
        <f>IF('Council Entry'!AD88="","",IFERROR(MAX(0,MIN(10,ROUND(IF('Council Entry'!AD$7="Decrease Risk",10-10*((IF('Council Entry'!AD$4="Logarithm",LN(0.001+IF(AND(ISNUMBER('Council Entry'!AD$8),ISNUMBER('Council Entry'!AD$9)),MAX(MIN('Council Entry'!AD88,'Council Entry'!AD$9),'Council Entry'!AD$8),'Council Entry'!AD88)),IF('Council Entry'!AD$4="Exponential",EXP(IF(AND(ISNUMBER('Council Entry'!AD$8),ISNUMBER('Council Entry'!AD$9)),MAX(MIN('Council Entry'!AD88,'Council Entry'!AD$9),'Council Entry'!AD$8),'Council Entry'!AD88)),IF(AND(ISNUMBER('Council Entry'!AD$8),ISNUMBER('Council Entry'!AD$9)),MAX(MIN('Council Entry'!AD88,'Council Entry'!AD$9),'Council Entry'!AD$8),'Council Entry'!AD88))))-'Council Entry'!AD$5)/('Council Entry'!AD$6-'Council Entry'!AD$5),10*((IF('Council Entry'!AD$4="Logarithm",LN(0.001+IF(AND(ISNUMBER('Council Entry'!AD$8),ISNUMBER('Council Entry'!AD$9)),MAX(MIN('Council Entry'!AD88,'Council Entry'!AD$9),'Council Entry'!AD$8),'Council Entry'!AD88)),IF('Council Entry'!AD$4="Exponential",EXP(IF(AND(ISNUMBER('Council Entry'!AD$8),ISNUMBER('Council Entry'!AD$9)),MAX(MIN('Council Entry'!AD88,'Council Entry'!AD$9),'Council Entry'!AD$8),'Council Entry'!AD88)),IF(AND(ISNUMBER('Council Entry'!AD$8),ISNUMBER('Council Entry'!AD$9)),MAX(MIN('Council Entry'!AD88,'Council Entry'!AD$9),'Council Entry'!AD$8),'Council Entry'!AD88))))-'Council Entry'!AD$5)/('Council Entry'!AD$6-'Council Entry'!AD$5)),1))),"No data"))</f>
        <v/>
      </c>
      <c r="AE88" s="13">
        <f>IF('Council Entry'!AE88="","",IFERROR(MAX(0,MIN(10,ROUND(IF('Council Entry'!AE$7="Decrease Risk",10-10*((IF('Council Entry'!AE$4="Logarithm",LN(0.001+IF(AND(ISNUMBER('Council Entry'!AE$8),ISNUMBER('Council Entry'!AE$9)),MAX(MIN('Council Entry'!AE88,'Council Entry'!AE$9),'Council Entry'!AE$8),'Council Entry'!AE88)),IF('Council Entry'!AE$4="Exponential",EXP(IF(AND(ISNUMBER('Council Entry'!AE$8),ISNUMBER('Council Entry'!AE$9)),MAX(MIN('Council Entry'!AE88,'Council Entry'!AE$9),'Council Entry'!AE$8),'Council Entry'!AE88)),IF(AND(ISNUMBER('Council Entry'!AE$8),ISNUMBER('Council Entry'!AE$9)),MAX(MIN('Council Entry'!AE88,'Council Entry'!AE$9),'Council Entry'!AE$8),'Council Entry'!AE88))))-'Council Entry'!AE$5)/('Council Entry'!AE$6-'Council Entry'!AE$5),10*((IF('Council Entry'!AE$4="Logarithm",LN(0.001+IF(AND(ISNUMBER('Council Entry'!AE$8),ISNUMBER('Council Entry'!AE$9)),MAX(MIN('Council Entry'!AE88,'Council Entry'!AE$9),'Council Entry'!AE$8),'Council Entry'!AE88)),IF('Council Entry'!AE$4="Exponential",EXP(IF(AND(ISNUMBER('Council Entry'!AE$8),ISNUMBER('Council Entry'!AE$9)),MAX(MIN('Council Entry'!AE88,'Council Entry'!AE$9),'Council Entry'!AE$8),'Council Entry'!AE88)),IF(AND(ISNUMBER('Council Entry'!AE$8),ISNUMBER('Council Entry'!AE$9)),MAX(MIN('Council Entry'!AE88,'Council Entry'!AE$9),'Council Entry'!AE$8),'Council Entry'!AE88))))-'Council Entry'!AE$5)/('Council Entry'!AE$6-'Council Entry'!AE$5)),1))),"No data"))</f>
        <v/>
      </c>
      <c r="AF88" s="13">
        <f>IF('Council Entry'!AF88="","",IFERROR(MAX(0,MIN(10,ROUND(IF('Council Entry'!AF$7="Decrease Risk",10-10*((IF('Council Entry'!AF$4="Logarithm",LN(0.001+IF(AND(ISNUMBER('Council Entry'!AF$8),ISNUMBER('Council Entry'!AF$9)),MAX(MIN('Council Entry'!AF88,'Council Entry'!AF$9),'Council Entry'!AF$8),'Council Entry'!AF88)),IF('Council Entry'!AF$4="Exponential",EXP(IF(AND(ISNUMBER('Council Entry'!AF$8),ISNUMBER('Council Entry'!AF$9)),MAX(MIN('Council Entry'!AF88,'Council Entry'!AF$9),'Council Entry'!AF$8),'Council Entry'!AF88)),IF(AND(ISNUMBER('Council Entry'!AF$8),ISNUMBER('Council Entry'!AF$9)),MAX(MIN('Council Entry'!AF88,'Council Entry'!AF$9),'Council Entry'!AF$8),'Council Entry'!AF88))))-'Council Entry'!AF$5)/('Council Entry'!AF$6-'Council Entry'!AF$5),10*((IF('Council Entry'!AF$4="Logarithm",LN(0.001+IF(AND(ISNUMBER('Council Entry'!AF$8),ISNUMBER('Council Entry'!AF$9)),MAX(MIN('Council Entry'!AF88,'Council Entry'!AF$9),'Council Entry'!AF$8),'Council Entry'!AF88)),IF('Council Entry'!AF$4="Exponential",EXP(IF(AND(ISNUMBER('Council Entry'!AF$8),ISNUMBER('Council Entry'!AF$9)),MAX(MIN('Council Entry'!AF88,'Council Entry'!AF$9),'Council Entry'!AF$8),'Council Entry'!AF88)),IF(AND(ISNUMBER('Council Entry'!AF$8),ISNUMBER('Council Entry'!AF$9)),MAX(MIN('Council Entry'!AF88,'Council Entry'!AF$9),'Council Entry'!AF$8),'Council Entry'!AF88))))-'Council Entry'!AF$5)/('Council Entry'!AF$6-'Council Entry'!AF$5)),1))),"No data"))</f>
        <v/>
      </c>
      <c r="AG88" s="13">
        <f>IF('Council Entry'!AG88="","",IFERROR(MAX(0,MIN(10,ROUND(IF('Council Entry'!AG$7="Decrease Risk",10-10*((IF('Council Entry'!AG$4="Logarithm",LN(0.001+IF(AND(ISNUMBER('Council Entry'!AG$8),ISNUMBER('Council Entry'!AG$9)),MAX(MIN('Council Entry'!AG88,'Council Entry'!AG$9),'Council Entry'!AG$8),'Council Entry'!AG88)),IF('Council Entry'!AG$4="Exponential",EXP(IF(AND(ISNUMBER('Council Entry'!AG$8),ISNUMBER('Council Entry'!AG$9)),MAX(MIN('Council Entry'!AG88,'Council Entry'!AG$9),'Council Entry'!AG$8),'Council Entry'!AG88)),IF(AND(ISNUMBER('Council Entry'!AG$8),ISNUMBER('Council Entry'!AG$9)),MAX(MIN('Council Entry'!AG88,'Council Entry'!AG$9),'Council Entry'!AG$8),'Council Entry'!AG88))))-'Council Entry'!AG$5)/('Council Entry'!AG$6-'Council Entry'!AG$5),10*((IF('Council Entry'!AG$4="Logarithm",LN(0.001+IF(AND(ISNUMBER('Council Entry'!AG$8),ISNUMBER('Council Entry'!AG$9)),MAX(MIN('Council Entry'!AG88,'Council Entry'!AG$9),'Council Entry'!AG$8),'Council Entry'!AG88)),IF('Council Entry'!AG$4="Exponential",EXP(IF(AND(ISNUMBER('Council Entry'!AG$8),ISNUMBER('Council Entry'!AG$9)),MAX(MIN('Council Entry'!AG88,'Council Entry'!AG$9),'Council Entry'!AG$8),'Council Entry'!AG88)),IF(AND(ISNUMBER('Council Entry'!AG$8),ISNUMBER('Council Entry'!AG$9)),MAX(MIN('Council Entry'!AG88,'Council Entry'!AG$9),'Council Entry'!AG$8),'Council Entry'!AG88))))-'Council Entry'!AG$5)/('Council Entry'!AG$6-'Council Entry'!AG$5)),1))),"No data"))</f>
        <v/>
      </c>
      <c r="AH88" s="13">
        <f>IF('Council Entry'!AH88="","",IFERROR(MAX(0,MIN(10,ROUND(IF('Council Entry'!AH$7="Decrease Risk",10-10*((IF('Council Entry'!AH$4="Logarithm",LN(0.001+IF(AND(ISNUMBER('Council Entry'!AH$8),ISNUMBER('Council Entry'!AH$9)),MAX(MIN('Council Entry'!AH88,'Council Entry'!AH$9),'Council Entry'!AH$8),'Council Entry'!AH88)),IF('Council Entry'!AH$4="Exponential",EXP(IF(AND(ISNUMBER('Council Entry'!AH$8),ISNUMBER('Council Entry'!AH$9)),MAX(MIN('Council Entry'!AH88,'Council Entry'!AH$9),'Council Entry'!AH$8),'Council Entry'!AH88)),IF(AND(ISNUMBER('Council Entry'!AH$8),ISNUMBER('Council Entry'!AH$9)),MAX(MIN('Council Entry'!AH88,'Council Entry'!AH$9),'Council Entry'!AH$8),'Council Entry'!AH88))))-'Council Entry'!AH$5)/('Council Entry'!AH$6-'Council Entry'!AH$5),10*((IF('Council Entry'!AH$4="Logarithm",LN(0.001+IF(AND(ISNUMBER('Council Entry'!AH$8),ISNUMBER('Council Entry'!AH$9)),MAX(MIN('Council Entry'!AH88,'Council Entry'!AH$9),'Council Entry'!AH$8),'Council Entry'!AH88)),IF('Council Entry'!AH$4="Exponential",EXP(IF(AND(ISNUMBER('Council Entry'!AH$8),ISNUMBER('Council Entry'!AH$9)),MAX(MIN('Council Entry'!AH88,'Council Entry'!AH$9),'Council Entry'!AH$8),'Council Entry'!AH88)),IF(AND(ISNUMBER('Council Entry'!AH$8),ISNUMBER('Council Entry'!AH$9)),MAX(MIN('Council Entry'!AH88,'Council Entry'!AH$9),'Council Entry'!AH$8),'Council Entry'!AH88))))-'Council Entry'!AH$5)/('Council Entry'!AH$6-'Council Entry'!AH$5)),1))),"No data"))</f>
        <v/>
      </c>
      <c r="AI88" s="13">
        <f>IF('Council Entry'!AI88="","",IFERROR(MAX(0,MIN(10,ROUND(IF('Council Entry'!AI$7="Decrease Risk",10-10*((IF('Council Entry'!AI$4="Logarithm",LN(0.001+IF(AND(ISNUMBER('Council Entry'!AI$8),ISNUMBER('Council Entry'!AI$9)),MAX(MIN('Council Entry'!AI88,'Council Entry'!AI$9),'Council Entry'!AI$8),'Council Entry'!AI88)),IF('Council Entry'!AI$4="Exponential",EXP(IF(AND(ISNUMBER('Council Entry'!AI$8),ISNUMBER('Council Entry'!AI$9)),MAX(MIN('Council Entry'!AI88,'Council Entry'!AI$9),'Council Entry'!AI$8),'Council Entry'!AI88)),IF(AND(ISNUMBER('Council Entry'!AI$8),ISNUMBER('Council Entry'!AI$9)),MAX(MIN('Council Entry'!AI88,'Council Entry'!AI$9),'Council Entry'!AI$8),'Council Entry'!AI88))))-'Council Entry'!AI$5)/('Council Entry'!AI$6-'Council Entry'!AI$5),10*((IF('Council Entry'!AI$4="Logarithm",LN(0.001+IF(AND(ISNUMBER('Council Entry'!AI$8),ISNUMBER('Council Entry'!AI$9)),MAX(MIN('Council Entry'!AI88,'Council Entry'!AI$9),'Council Entry'!AI$8),'Council Entry'!AI88)),IF('Council Entry'!AI$4="Exponential",EXP(IF(AND(ISNUMBER('Council Entry'!AI$8),ISNUMBER('Council Entry'!AI$9)),MAX(MIN('Council Entry'!AI88,'Council Entry'!AI$9),'Council Entry'!AI$8),'Council Entry'!AI88)),IF(AND(ISNUMBER('Council Entry'!AI$8),ISNUMBER('Council Entry'!AI$9)),MAX(MIN('Council Entry'!AI88,'Council Entry'!AI$9),'Council Entry'!AI$8),'Council Entry'!AI88))))-'Council Entry'!AI$5)/('Council Entry'!AI$6-'Council Entry'!AI$5)),1))),"No data"))</f>
        <v/>
      </c>
      <c r="AJ88" s="13">
        <f>IF('Council Entry'!AJ88="","",IFERROR(MAX(0,MIN(10,ROUND(IF('Council Entry'!AJ$7="Decrease Risk",10-10*((IF('Council Entry'!AJ$4="Logarithm",LN(0.001+IF(AND(ISNUMBER('Council Entry'!AJ$8),ISNUMBER('Council Entry'!AJ$9)),MAX(MIN('Council Entry'!AJ88,'Council Entry'!AJ$9),'Council Entry'!AJ$8),'Council Entry'!AJ88)),IF('Council Entry'!AJ$4="Exponential",EXP(IF(AND(ISNUMBER('Council Entry'!AJ$8),ISNUMBER('Council Entry'!AJ$9)),MAX(MIN('Council Entry'!AJ88,'Council Entry'!AJ$9),'Council Entry'!AJ$8),'Council Entry'!AJ88)),IF(AND(ISNUMBER('Council Entry'!AJ$8),ISNUMBER('Council Entry'!AJ$9)),MAX(MIN('Council Entry'!AJ88,'Council Entry'!AJ$9),'Council Entry'!AJ$8),'Council Entry'!AJ88))))-'Council Entry'!AJ$5)/('Council Entry'!AJ$6-'Council Entry'!AJ$5),10*((IF('Council Entry'!AJ$4="Logarithm",LN(0.001+IF(AND(ISNUMBER('Council Entry'!AJ$8),ISNUMBER('Council Entry'!AJ$9)),MAX(MIN('Council Entry'!AJ88,'Council Entry'!AJ$9),'Council Entry'!AJ$8),'Council Entry'!AJ88)),IF('Council Entry'!AJ$4="Exponential",EXP(IF(AND(ISNUMBER('Council Entry'!AJ$8),ISNUMBER('Council Entry'!AJ$9)),MAX(MIN('Council Entry'!AJ88,'Council Entry'!AJ$9),'Council Entry'!AJ$8),'Council Entry'!AJ88)),IF(AND(ISNUMBER('Council Entry'!AJ$8),ISNUMBER('Council Entry'!AJ$9)),MAX(MIN('Council Entry'!AJ88,'Council Entry'!AJ$9),'Council Entry'!AJ$8),'Council Entry'!AJ88))))-'Council Entry'!AJ$5)/('Council Entry'!AJ$6-'Council Entry'!AJ$5)),1))),"No data"))</f>
        <v/>
      </c>
      <c r="AK88" s="13">
        <f>IF('Council Entry'!AK88="","",IFERROR(MAX(0,MIN(10,ROUND(IF('Council Entry'!AK$7="Decrease Risk",10-10*((IF('Council Entry'!AK$4="Logarithm",LN(0.001+IF(AND(ISNUMBER('Council Entry'!AK$8),ISNUMBER('Council Entry'!AK$9)),MAX(MIN('Council Entry'!AK88,'Council Entry'!AK$9),'Council Entry'!AK$8),'Council Entry'!AK88)),IF('Council Entry'!AK$4="Exponential",EXP(IF(AND(ISNUMBER('Council Entry'!AK$8),ISNUMBER('Council Entry'!AK$9)),MAX(MIN('Council Entry'!AK88,'Council Entry'!AK$9),'Council Entry'!AK$8),'Council Entry'!AK88)),IF(AND(ISNUMBER('Council Entry'!AK$8),ISNUMBER('Council Entry'!AK$9)),MAX(MIN('Council Entry'!AK88,'Council Entry'!AK$9),'Council Entry'!AK$8),'Council Entry'!AK88))))-'Council Entry'!AK$5)/('Council Entry'!AK$6-'Council Entry'!AK$5),10*((IF('Council Entry'!AK$4="Logarithm",LN(0.001+IF(AND(ISNUMBER('Council Entry'!AK$8),ISNUMBER('Council Entry'!AK$9)),MAX(MIN('Council Entry'!AK88,'Council Entry'!AK$9),'Council Entry'!AK$8),'Council Entry'!AK88)),IF('Council Entry'!AK$4="Exponential",EXP(IF(AND(ISNUMBER('Council Entry'!AK$8),ISNUMBER('Council Entry'!AK$9)),MAX(MIN('Council Entry'!AK88,'Council Entry'!AK$9),'Council Entry'!AK$8),'Council Entry'!AK88)),IF(AND(ISNUMBER('Council Entry'!AK$8),ISNUMBER('Council Entry'!AK$9)),MAX(MIN('Council Entry'!AK88,'Council Entry'!AK$9),'Council Entry'!AK$8),'Council Entry'!AK88))))-'Council Entry'!AK$5)/('Council Entry'!AK$6-'Council Entry'!AK$5)),1))),"No data"))</f>
        <v/>
      </c>
      <c r="AL88" s="13">
        <f>IF('Council Entry'!AL88="","",IFERROR(MAX(0,MIN(10,ROUND(IF('Council Entry'!AL$7="Decrease Risk",10-10*((IF('Council Entry'!AL$4="Logarithm",LN(0.001+IF(AND(ISNUMBER('Council Entry'!AL$8),ISNUMBER('Council Entry'!AL$9)),MAX(MIN('Council Entry'!AL88,'Council Entry'!AL$9),'Council Entry'!AL$8),'Council Entry'!AL88)),IF('Council Entry'!AL$4="Exponential",EXP(IF(AND(ISNUMBER('Council Entry'!AL$8),ISNUMBER('Council Entry'!AL$9)),MAX(MIN('Council Entry'!AL88,'Council Entry'!AL$9),'Council Entry'!AL$8),'Council Entry'!AL88)),IF(AND(ISNUMBER('Council Entry'!AL$8),ISNUMBER('Council Entry'!AL$9)),MAX(MIN('Council Entry'!AL88,'Council Entry'!AL$9),'Council Entry'!AL$8),'Council Entry'!AL88))))-'Council Entry'!AL$5)/('Council Entry'!AL$6-'Council Entry'!AL$5),10*((IF('Council Entry'!AL$4="Logarithm",LN(0.001+IF(AND(ISNUMBER('Council Entry'!AL$8),ISNUMBER('Council Entry'!AL$9)),MAX(MIN('Council Entry'!AL88,'Council Entry'!AL$9),'Council Entry'!AL$8),'Council Entry'!AL88)),IF('Council Entry'!AL$4="Exponential",EXP(IF(AND(ISNUMBER('Council Entry'!AL$8),ISNUMBER('Council Entry'!AL$9)),MAX(MIN('Council Entry'!AL88,'Council Entry'!AL$9),'Council Entry'!AL$8),'Council Entry'!AL88)),IF(AND(ISNUMBER('Council Entry'!AL$8),ISNUMBER('Council Entry'!AL$9)),MAX(MIN('Council Entry'!AL88,'Council Entry'!AL$9),'Council Entry'!AL$8),'Council Entry'!AL88))))-'Council Entry'!AL$5)/('Council Entry'!AL$6-'Council Entry'!AL$5)),1))),"No data"))</f>
        <v/>
      </c>
      <c r="AM88" s="13">
        <f>IF('Council Entry'!AM88="","",IFERROR(MAX(0,MIN(10,ROUND(IF('Council Entry'!AM$7="Decrease Risk",10-10*((IF('Council Entry'!AM$4="Logarithm",LN(0.001+IF(AND(ISNUMBER('Council Entry'!AM$8),ISNUMBER('Council Entry'!AM$9)),MAX(MIN('Council Entry'!AM88,'Council Entry'!AM$9),'Council Entry'!AM$8),'Council Entry'!AM88)),IF('Council Entry'!AM$4="Exponential",EXP(IF(AND(ISNUMBER('Council Entry'!AM$8),ISNUMBER('Council Entry'!AM$9)),MAX(MIN('Council Entry'!AM88,'Council Entry'!AM$9),'Council Entry'!AM$8),'Council Entry'!AM88)),IF(AND(ISNUMBER('Council Entry'!AM$8),ISNUMBER('Council Entry'!AM$9)),MAX(MIN('Council Entry'!AM88,'Council Entry'!AM$9),'Council Entry'!AM$8),'Council Entry'!AM88))))-'Council Entry'!AM$5)/('Council Entry'!AM$6-'Council Entry'!AM$5),10*((IF('Council Entry'!AM$4="Logarithm",LN(0.001+IF(AND(ISNUMBER('Council Entry'!AM$8),ISNUMBER('Council Entry'!AM$9)),MAX(MIN('Council Entry'!AM88,'Council Entry'!AM$9),'Council Entry'!AM$8),'Council Entry'!AM88)),IF('Council Entry'!AM$4="Exponential",EXP(IF(AND(ISNUMBER('Council Entry'!AM$8),ISNUMBER('Council Entry'!AM$9)),MAX(MIN('Council Entry'!AM88,'Council Entry'!AM$9),'Council Entry'!AM$8),'Council Entry'!AM88)),IF(AND(ISNUMBER('Council Entry'!AM$8),ISNUMBER('Council Entry'!AM$9)),MAX(MIN('Council Entry'!AM88,'Council Entry'!AM$9),'Council Entry'!AM$8),'Council Entry'!AM88))))-'Council Entry'!AM$5)/('Council Entry'!AM$6-'Council Entry'!AM$5)),1))),"No data"))</f>
        <v/>
      </c>
      <c r="AN88" s="13">
        <f>IF('Council Entry'!AN88="","",IFERROR(MAX(0,MIN(10,ROUND(IF('Council Entry'!AN$7="Decrease Risk",10-10*((IF('Council Entry'!AN$4="Logarithm",LN(0.001+IF(AND(ISNUMBER('Council Entry'!AN$8),ISNUMBER('Council Entry'!AN$9)),MAX(MIN('Council Entry'!AN88,'Council Entry'!AN$9),'Council Entry'!AN$8),'Council Entry'!AN88)),IF('Council Entry'!AN$4="Exponential",EXP(IF(AND(ISNUMBER('Council Entry'!AN$8),ISNUMBER('Council Entry'!AN$9)),MAX(MIN('Council Entry'!AN88,'Council Entry'!AN$9),'Council Entry'!AN$8),'Council Entry'!AN88)),IF(AND(ISNUMBER('Council Entry'!AN$8),ISNUMBER('Council Entry'!AN$9)),MAX(MIN('Council Entry'!AN88,'Council Entry'!AN$9),'Council Entry'!AN$8),'Council Entry'!AN88))))-'Council Entry'!AN$5)/('Council Entry'!AN$6-'Council Entry'!AN$5),10*((IF('Council Entry'!AN$4="Logarithm",LN(0.001+IF(AND(ISNUMBER('Council Entry'!AN$8),ISNUMBER('Council Entry'!AN$9)),MAX(MIN('Council Entry'!AN88,'Council Entry'!AN$9),'Council Entry'!AN$8),'Council Entry'!AN88)),IF('Council Entry'!AN$4="Exponential",EXP(IF(AND(ISNUMBER('Council Entry'!AN$8),ISNUMBER('Council Entry'!AN$9)),MAX(MIN('Council Entry'!AN88,'Council Entry'!AN$9),'Council Entry'!AN$8),'Council Entry'!AN88)),IF(AND(ISNUMBER('Council Entry'!AN$8),ISNUMBER('Council Entry'!AN$9)),MAX(MIN('Council Entry'!AN88,'Council Entry'!AN$9),'Council Entry'!AN$8),'Council Entry'!AN88))))-'Council Entry'!AN$5)/('Council Entry'!AN$6-'Council Entry'!AN$5)),1))),"No data"))</f>
        <v/>
      </c>
      <c r="AO88" s="13">
        <f>IF('Council Entry'!AO88="","",IFERROR(MAX(0,MIN(10,ROUND(IF('Council Entry'!AO$7="Decrease Risk",10-10*((IF('Council Entry'!AO$4="Logarithm",LN(0.001+IF(AND(ISNUMBER('Council Entry'!AO$8),ISNUMBER('Council Entry'!AO$9)),MAX(MIN('Council Entry'!AO88,'Council Entry'!AO$9),'Council Entry'!AO$8),'Council Entry'!AO88)),IF('Council Entry'!AO$4="Exponential",EXP(IF(AND(ISNUMBER('Council Entry'!AO$8),ISNUMBER('Council Entry'!AO$9)),MAX(MIN('Council Entry'!AO88,'Council Entry'!AO$9),'Council Entry'!AO$8),'Council Entry'!AO88)),IF(AND(ISNUMBER('Council Entry'!AO$8),ISNUMBER('Council Entry'!AO$9)),MAX(MIN('Council Entry'!AO88,'Council Entry'!AO$9),'Council Entry'!AO$8),'Council Entry'!AO88))))-'Council Entry'!AO$5)/('Council Entry'!AO$6-'Council Entry'!AO$5),10*((IF('Council Entry'!AO$4="Logarithm",LN(0.001+IF(AND(ISNUMBER('Council Entry'!AO$8),ISNUMBER('Council Entry'!AO$9)),MAX(MIN('Council Entry'!AO88,'Council Entry'!AO$9),'Council Entry'!AO$8),'Council Entry'!AO88)),IF('Council Entry'!AO$4="Exponential",EXP(IF(AND(ISNUMBER('Council Entry'!AO$8),ISNUMBER('Council Entry'!AO$9)),MAX(MIN('Council Entry'!AO88,'Council Entry'!AO$9),'Council Entry'!AO$8),'Council Entry'!AO88)),IF(AND(ISNUMBER('Council Entry'!AO$8),ISNUMBER('Council Entry'!AO$9)),MAX(MIN('Council Entry'!AO88,'Council Entry'!AO$9),'Council Entry'!AO$8),'Council Entry'!AO88))))-'Council Entry'!AO$5)/('Council Entry'!AO$6-'Council Entry'!AO$5)),1))),"No data"))</f>
        <v/>
      </c>
      <c r="AP88" s="13">
        <f>IF('Council Entry'!AP88="","",IFERROR(MAX(0,MIN(10,ROUND(IF('Council Entry'!AP$7="Decrease Risk",10-10*((IF('Council Entry'!AP$4="Logarithm",LN(0.001+IF(AND(ISNUMBER('Council Entry'!AP$8),ISNUMBER('Council Entry'!AP$9)),MAX(MIN('Council Entry'!AP88,'Council Entry'!AP$9),'Council Entry'!AP$8),'Council Entry'!AP88)),IF('Council Entry'!AP$4="Exponential",EXP(IF(AND(ISNUMBER('Council Entry'!AP$8),ISNUMBER('Council Entry'!AP$9)),MAX(MIN('Council Entry'!AP88,'Council Entry'!AP$9),'Council Entry'!AP$8),'Council Entry'!AP88)),IF(AND(ISNUMBER('Council Entry'!AP$8),ISNUMBER('Council Entry'!AP$9)),MAX(MIN('Council Entry'!AP88,'Council Entry'!AP$9),'Council Entry'!AP$8),'Council Entry'!AP88))))-'Council Entry'!AP$5)/('Council Entry'!AP$6-'Council Entry'!AP$5),10*((IF('Council Entry'!AP$4="Logarithm",LN(0.001+IF(AND(ISNUMBER('Council Entry'!AP$8),ISNUMBER('Council Entry'!AP$9)),MAX(MIN('Council Entry'!AP88,'Council Entry'!AP$9),'Council Entry'!AP$8),'Council Entry'!AP88)),IF('Council Entry'!AP$4="Exponential",EXP(IF(AND(ISNUMBER('Council Entry'!AP$8),ISNUMBER('Council Entry'!AP$9)),MAX(MIN('Council Entry'!AP88,'Council Entry'!AP$9),'Council Entry'!AP$8),'Council Entry'!AP88)),IF(AND(ISNUMBER('Council Entry'!AP$8),ISNUMBER('Council Entry'!AP$9)),MAX(MIN('Council Entry'!AP88,'Council Entry'!AP$9),'Council Entry'!AP$8),'Council Entry'!AP88))))-'Council Entry'!AP$5)/('Council Entry'!AP$6-'Council Entry'!AP$5)),1))),"No data"))</f>
        <v/>
      </c>
      <c r="AQ88" s="13">
        <f>IF('Council Entry'!AQ88="","",IFERROR(MAX(0,MIN(10,ROUND(IF('Council Entry'!AQ$7="Decrease Risk",10-10*((IF('Council Entry'!AQ$4="Logarithm",LN(0.001+IF(AND(ISNUMBER('Council Entry'!AQ$8),ISNUMBER('Council Entry'!AQ$9)),MAX(MIN('Council Entry'!AQ88,'Council Entry'!AQ$9),'Council Entry'!AQ$8),'Council Entry'!AQ88)),IF('Council Entry'!AQ$4="Exponential",EXP(IF(AND(ISNUMBER('Council Entry'!AQ$8),ISNUMBER('Council Entry'!AQ$9)),MAX(MIN('Council Entry'!AQ88,'Council Entry'!AQ$9),'Council Entry'!AQ$8),'Council Entry'!AQ88)),IF(AND(ISNUMBER('Council Entry'!AQ$8),ISNUMBER('Council Entry'!AQ$9)),MAX(MIN('Council Entry'!AQ88,'Council Entry'!AQ$9),'Council Entry'!AQ$8),'Council Entry'!AQ88))))-'Council Entry'!AQ$5)/('Council Entry'!AQ$6-'Council Entry'!AQ$5),10*((IF('Council Entry'!AQ$4="Logarithm",LN(0.001+IF(AND(ISNUMBER('Council Entry'!AQ$8),ISNUMBER('Council Entry'!AQ$9)),MAX(MIN('Council Entry'!AQ88,'Council Entry'!AQ$9),'Council Entry'!AQ$8),'Council Entry'!AQ88)),IF('Council Entry'!AQ$4="Exponential",EXP(IF(AND(ISNUMBER('Council Entry'!AQ$8),ISNUMBER('Council Entry'!AQ$9)),MAX(MIN('Council Entry'!AQ88,'Council Entry'!AQ$9),'Council Entry'!AQ$8),'Council Entry'!AQ88)),IF(AND(ISNUMBER('Council Entry'!AQ$8),ISNUMBER('Council Entry'!AQ$9)),MAX(MIN('Council Entry'!AQ88,'Council Entry'!AQ$9),'Council Entry'!AQ$8),'Council Entry'!AQ88))))-'Council Entry'!AQ$5)/('Council Entry'!AQ$6-'Council Entry'!AQ$5)),1))),"No data"))</f>
        <v/>
      </c>
      <c r="AR88" s="13">
        <f>IF('Council Entry'!AR88="","",IFERROR(MAX(0,MIN(10,ROUND(IF('Council Entry'!AR$7="Decrease Risk",10-10*((IF('Council Entry'!AR$4="Logarithm",LN(0.001+IF(AND(ISNUMBER('Council Entry'!AR$8),ISNUMBER('Council Entry'!AR$9)),MAX(MIN('Council Entry'!AR88,'Council Entry'!AR$9),'Council Entry'!AR$8),'Council Entry'!AR88)),IF('Council Entry'!AR$4="Exponential",EXP(IF(AND(ISNUMBER('Council Entry'!AR$8),ISNUMBER('Council Entry'!AR$9)),MAX(MIN('Council Entry'!AR88,'Council Entry'!AR$9),'Council Entry'!AR$8),'Council Entry'!AR88)),IF(AND(ISNUMBER('Council Entry'!AR$8),ISNUMBER('Council Entry'!AR$9)),MAX(MIN('Council Entry'!AR88,'Council Entry'!AR$9),'Council Entry'!AR$8),'Council Entry'!AR88))))-'Council Entry'!AR$5)/('Council Entry'!AR$6-'Council Entry'!AR$5),10*((IF('Council Entry'!AR$4="Logarithm",LN(0.001+IF(AND(ISNUMBER('Council Entry'!AR$8),ISNUMBER('Council Entry'!AR$9)),MAX(MIN('Council Entry'!AR88,'Council Entry'!AR$9),'Council Entry'!AR$8),'Council Entry'!AR88)),IF('Council Entry'!AR$4="Exponential",EXP(IF(AND(ISNUMBER('Council Entry'!AR$8),ISNUMBER('Council Entry'!AR$9)),MAX(MIN('Council Entry'!AR88,'Council Entry'!AR$9),'Council Entry'!AR$8),'Council Entry'!AR88)),IF(AND(ISNUMBER('Council Entry'!AR$8),ISNUMBER('Council Entry'!AR$9)),MAX(MIN('Council Entry'!AR88,'Council Entry'!AR$9),'Council Entry'!AR$8),'Council Entry'!AR88))))-'Council Entry'!AR$5)/('Council Entry'!AR$6-'Council Entry'!AR$5)),1))),"No data"))</f>
        <v/>
      </c>
      <c r="AS88" s="13">
        <f>IF('Council Entry'!AS88="","",IFERROR(MAX(0,MIN(10,ROUND(IF('Council Entry'!AS$7="Decrease Risk",10-10*((IF('Council Entry'!AS$4="Logarithm",LN(0.001+IF(AND(ISNUMBER('Council Entry'!AS$8),ISNUMBER('Council Entry'!AS$9)),MAX(MIN('Council Entry'!AS88,'Council Entry'!AS$9),'Council Entry'!AS$8),'Council Entry'!AS88)),IF('Council Entry'!AS$4="Exponential",EXP(IF(AND(ISNUMBER('Council Entry'!AS$8),ISNUMBER('Council Entry'!AS$9)),MAX(MIN('Council Entry'!AS88,'Council Entry'!AS$9),'Council Entry'!AS$8),'Council Entry'!AS88)),IF(AND(ISNUMBER('Council Entry'!AS$8),ISNUMBER('Council Entry'!AS$9)),MAX(MIN('Council Entry'!AS88,'Council Entry'!AS$9),'Council Entry'!AS$8),'Council Entry'!AS88))))-'Council Entry'!AS$5)/('Council Entry'!AS$6-'Council Entry'!AS$5),10*((IF('Council Entry'!AS$4="Logarithm",LN(0.001+IF(AND(ISNUMBER('Council Entry'!AS$8),ISNUMBER('Council Entry'!AS$9)),MAX(MIN('Council Entry'!AS88,'Council Entry'!AS$9),'Council Entry'!AS$8),'Council Entry'!AS88)),IF('Council Entry'!AS$4="Exponential",EXP(IF(AND(ISNUMBER('Council Entry'!AS$8),ISNUMBER('Council Entry'!AS$9)),MAX(MIN('Council Entry'!AS88,'Council Entry'!AS$9),'Council Entry'!AS$8),'Council Entry'!AS88)),IF(AND(ISNUMBER('Council Entry'!AS$8),ISNUMBER('Council Entry'!AS$9)),MAX(MIN('Council Entry'!AS88,'Council Entry'!AS$9),'Council Entry'!AS$8),'Council Entry'!AS88))))-'Council Entry'!AS$5)/('Council Entry'!AS$6-'Council Entry'!AS$5)),1))),"No data"))</f>
        <v/>
      </c>
      <c r="AT88" s="13">
        <f>IF('Council Entry'!AT88="","",IFERROR(MAX(0,MIN(10,ROUND(IF('Council Entry'!AT$7="Decrease Risk",10-10*((IF('Council Entry'!AT$4="Logarithm",LN(0.001+IF(AND(ISNUMBER('Council Entry'!AT$8),ISNUMBER('Council Entry'!AT$9)),MAX(MIN('Council Entry'!AT88,'Council Entry'!AT$9),'Council Entry'!AT$8),'Council Entry'!AT88)),IF('Council Entry'!AT$4="Exponential",EXP(IF(AND(ISNUMBER('Council Entry'!AT$8),ISNUMBER('Council Entry'!AT$9)),MAX(MIN('Council Entry'!AT88,'Council Entry'!AT$9),'Council Entry'!AT$8),'Council Entry'!AT88)),IF(AND(ISNUMBER('Council Entry'!AT$8),ISNUMBER('Council Entry'!AT$9)),MAX(MIN('Council Entry'!AT88,'Council Entry'!AT$9),'Council Entry'!AT$8),'Council Entry'!AT88))))-'Council Entry'!AT$5)/('Council Entry'!AT$6-'Council Entry'!AT$5),10*((IF('Council Entry'!AT$4="Logarithm",LN(0.001+IF(AND(ISNUMBER('Council Entry'!AT$8),ISNUMBER('Council Entry'!AT$9)),MAX(MIN('Council Entry'!AT88,'Council Entry'!AT$9),'Council Entry'!AT$8),'Council Entry'!AT88)),IF('Council Entry'!AT$4="Exponential",EXP(IF(AND(ISNUMBER('Council Entry'!AT$8),ISNUMBER('Council Entry'!AT$9)),MAX(MIN('Council Entry'!AT88,'Council Entry'!AT$9),'Council Entry'!AT$8),'Council Entry'!AT88)),IF(AND(ISNUMBER('Council Entry'!AT$8),ISNUMBER('Council Entry'!AT$9)),MAX(MIN('Council Entry'!AT88,'Council Entry'!AT$9),'Council Entry'!AT$8),'Council Entry'!AT88))))-'Council Entry'!AT$5)/('Council Entry'!AT$6-'Council Entry'!AT$5)),1))),"No data"))</f>
        <v/>
      </c>
      <c r="AU88" s="13">
        <f>IF('Council Entry'!AU88="","",IFERROR(MAX(0,MIN(10,ROUND(IF('Council Entry'!AU$7="Decrease Risk",10-10*((IF('Council Entry'!AU$4="Logarithm",LN(0.001+IF(AND(ISNUMBER('Council Entry'!AU$8),ISNUMBER('Council Entry'!AU$9)),MAX(MIN('Council Entry'!AU88,'Council Entry'!AU$9),'Council Entry'!AU$8),'Council Entry'!AU88)),IF('Council Entry'!AU$4="Exponential",EXP(IF(AND(ISNUMBER('Council Entry'!AU$8),ISNUMBER('Council Entry'!AU$9)),MAX(MIN('Council Entry'!AU88,'Council Entry'!AU$9),'Council Entry'!AU$8),'Council Entry'!AU88)),IF(AND(ISNUMBER('Council Entry'!AU$8),ISNUMBER('Council Entry'!AU$9)),MAX(MIN('Council Entry'!AU88,'Council Entry'!AU$9),'Council Entry'!AU$8),'Council Entry'!AU88))))-'Council Entry'!AU$5)/('Council Entry'!AU$6-'Council Entry'!AU$5),10*((IF('Council Entry'!AU$4="Logarithm",LN(0.001+IF(AND(ISNUMBER('Council Entry'!AU$8),ISNUMBER('Council Entry'!AU$9)),MAX(MIN('Council Entry'!AU88,'Council Entry'!AU$9),'Council Entry'!AU$8),'Council Entry'!AU88)),IF('Council Entry'!AU$4="Exponential",EXP(IF(AND(ISNUMBER('Council Entry'!AU$8),ISNUMBER('Council Entry'!AU$9)),MAX(MIN('Council Entry'!AU88,'Council Entry'!AU$9),'Council Entry'!AU$8),'Council Entry'!AU88)),IF(AND(ISNUMBER('Council Entry'!AU$8),ISNUMBER('Council Entry'!AU$9)),MAX(MIN('Council Entry'!AU88,'Council Entry'!AU$9),'Council Entry'!AU$8),'Council Entry'!AU88))))-'Council Entry'!AU$5)/('Council Entry'!AU$6-'Council Entry'!AU$5)),1))),"No data"))</f>
        <v/>
      </c>
      <c r="AV88" s="13">
        <f>IF('Council Entry'!AV88="","",IFERROR(MAX(0,MIN(10,ROUND(IF('Council Entry'!AV$7="Decrease Risk",10-10*((IF('Council Entry'!AV$4="Logarithm",LN(0.001+IF(AND(ISNUMBER('Council Entry'!AV$8),ISNUMBER('Council Entry'!AV$9)),MAX(MIN('Council Entry'!AV88,'Council Entry'!AV$9),'Council Entry'!AV$8),'Council Entry'!AV88)),IF('Council Entry'!AV$4="Exponential",EXP(IF(AND(ISNUMBER('Council Entry'!AV$8),ISNUMBER('Council Entry'!AV$9)),MAX(MIN('Council Entry'!AV88,'Council Entry'!AV$9),'Council Entry'!AV$8),'Council Entry'!AV88)),IF(AND(ISNUMBER('Council Entry'!AV$8),ISNUMBER('Council Entry'!AV$9)),MAX(MIN('Council Entry'!AV88,'Council Entry'!AV$9),'Council Entry'!AV$8),'Council Entry'!AV88))))-'Council Entry'!AV$5)/('Council Entry'!AV$6-'Council Entry'!AV$5),10*((IF('Council Entry'!AV$4="Logarithm",LN(0.001+IF(AND(ISNUMBER('Council Entry'!AV$8),ISNUMBER('Council Entry'!AV$9)),MAX(MIN('Council Entry'!AV88,'Council Entry'!AV$9),'Council Entry'!AV$8),'Council Entry'!AV88)),IF('Council Entry'!AV$4="Exponential",EXP(IF(AND(ISNUMBER('Council Entry'!AV$8),ISNUMBER('Council Entry'!AV$9)),MAX(MIN('Council Entry'!AV88,'Council Entry'!AV$9),'Council Entry'!AV$8),'Council Entry'!AV88)),IF(AND(ISNUMBER('Council Entry'!AV$8),ISNUMBER('Council Entry'!AV$9)),MAX(MIN('Council Entry'!AV88,'Council Entry'!AV$9),'Council Entry'!AV$8),'Council Entry'!AV88))))-'Council Entry'!AV$5)/('Council Entry'!AV$6-'Council Entry'!AV$5)),1))),"No data"))</f>
        <v/>
      </c>
      <c r="AW88" s="13">
        <f>IF('Council Entry'!AW88="","",IFERROR(MAX(0,MIN(10,ROUND(IF('Council Entry'!AW$7="Decrease Risk",10-10*((IF('Council Entry'!AW$4="Logarithm",LN(0.001+IF(AND(ISNUMBER('Council Entry'!AW$8),ISNUMBER('Council Entry'!AW$9)),MAX(MIN('Council Entry'!AW88,'Council Entry'!AW$9),'Council Entry'!AW$8),'Council Entry'!AW88)),IF('Council Entry'!AW$4="Exponential",EXP(IF(AND(ISNUMBER('Council Entry'!AW$8),ISNUMBER('Council Entry'!AW$9)),MAX(MIN('Council Entry'!AW88,'Council Entry'!AW$9),'Council Entry'!AW$8),'Council Entry'!AW88)),IF(AND(ISNUMBER('Council Entry'!AW$8),ISNUMBER('Council Entry'!AW$9)),MAX(MIN('Council Entry'!AW88,'Council Entry'!AW$9),'Council Entry'!AW$8),'Council Entry'!AW88))))-'Council Entry'!AW$5)/('Council Entry'!AW$6-'Council Entry'!AW$5),10*((IF('Council Entry'!AW$4="Logarithm",LN(0.001+IF(AND(ISNUMBER('Council Entry'!AW$8),ISNUMBER('Council Entry'!AW$9)),MAX(MIN('Council Entry'!AW88,'Council Entry'!AW$9),'Council Entry'!AW$8),'Council Entry'!AW88)),IF('Council Entry'!AW$4="Exponential",EXP(IF(AND(ISNUMBER('Council Entry'!AW$8),ISNUMBER('Council Entry'!AW$9)),MAX(MIN('Council Entry'!AW88,'Council Entry'!AW$9),'Council Entry'!AW$8),'Council Entry'!AW88)),IF(AND(ISNUMBER('Council Entry'!AW$8),ISNUMBER('Council Entry'!AW$9)),MAX(MIN('Council Entry'!AW88,'Council Entry'!AW$9),'Council Entry'!AW$8),'Council Entry'!AW88))))-'Council Entry'!AW$5)/('Council Entry'!AW$6-'Council Entry'!AW$5)),1))),"No data"))</f>
        <v/>
      </c>
      <c r="AX88" s="13">
        <f>IF('Council Entry'!AX88="","",IFERROR(MAX(0,MIN(10,ROUND(IF('Council Entry'!AX$7="Decrease Risk",10-10*((IF('Council Entry'!AX$4="Logarithm",LN(0.001+IF(AND(ISNUMBER('Council Entry'!AX$8),ISNUMBER('Council Entry'!AX$9)),MAX(MIN('Council Entry'!AX88,'Council Entry'!AX$9),'Council Entry'!AX$8),'Council Entry'!AX88)),IF('Council Entry'!AX$4="Exponential",EXP(IF(AND(ISNUMBER('Council Entry'!AX$8),ISNUMBER('Council Entry'!AX$9)),MAX(MIN('Council Entry'!AX88,'Council Entry'!AX$9),'Council Entry'!AX$8),'Council Entry'!AX88)),IF(AND(ISNUMBER('Council Entry'!AX$8),ISNUMBER('Council Entry'!AX$9)),MAX(MIN('Council Entry'!AX88,'Council Entry'!AX$9),'Council Entry'!AX$8),'Council Entry'!AX88))))-'Council Entry'!AX$5)/('Council Entry'!AX$6-'Council Entry'!AX$5),10*((IF('Council Entry'!AX$4="Logarithm",LN(0.001+IF(AND(ISNUMBER('Council Entry'!AX$8),ISNUMBER('Council Entry'!AX$9)),MAX(MIN('Council Entry'!AX88,'Council Entry'!AX$9),'Council Entry'!AX$8),'Council Entry'!AX88)),IF('Council Entry'!AX$4="Exponential",EXP(IF(AND(ISNUMBER('Council Entry'!AX$8),ISNUMBER('Council Entry'!AX$9)),MAX(MIN('Council Entry'!AX88,'Council Entry'!AX$9),'Council Entry'!AX$8),'Council Entry'!AX88)),IF(AND(ISNUMBER('Council Entry'!AX$8),ISNUMBER('Council Entry'!AX$9)),MAX(MIN('Council Entry'!AX88,'Council Entry'!AX$9),'Council Entry'!AX$8),'Council Entry'!AX88))))-'Council Entry'!AX$5)/('Council Entry'!AX$6-'Council Entry'!AX$5)),1))),"No data"))</f>
        <v/>
      </c>
      <c r="AY88" s="13">
        <f>IF('Council Entry'!AY88="","",IFERROR(MAX(0,MIN(10,ROUND(IF('Council Entry'!AY$7="Decrease Risk",10-10*((IF('Council Entry'!AY$4="Logarithm",LN(0.001+IF(AND(ISNUMBER('Council Entry'!AY$8),ISNUMBER('Council Entry'!AY$9)),MAX(MIN('Council Entry'!AY88,'Council Entry'!AY$9),'Council Entry'!AY$8),'Council Entry'!AY88)),IF('Council Entry'!AY$4="Exponential",EXP(IF(AND(ISNUMBER('Council Entry'!AY$8),ISNUMBER('Council Entry'!AY$9)),MAX(MIN('Council Entry'!AY88,'Council Entry'!AY$9),'Council Entry'!AY$8),'Council Entry'!AY88)),IF(AND(ISNUMBER('Council Entry'!AY$8),ISNUMBER('Council Entry'!AY$9)),MAX(MIN('Council Entry'!AY88,'Council Entry'!AY$9),'Council Entry'!AY$8),'Council Entry'!AY88))))-'Council Entry'!AY$5)/('Council Entry'!AY$6-'Council Entry'!AY$5),10*((IF('Council Entry'!AY$4="Logarithm",LN(0.001+IF(AND(ISNUMBER('Council Entry'!AY$8),ISNUMBER('Council Entry'!AY$9)),MAX(MIN('Council Entry'!AY88,'Council Entry'!AY$9),'Council Entry'!AY$8),'Council Entry'!AY88)),IF('Council Entry'!AY$4="Exponential",EXP(IF(AND(ISNUMBER('Council Entry'!AY$8),ISNUMBER('Council Entry'!AY$9)),MAX(MIN('Council Entry'!AY88,'Council Entry'!AY$9),'Council Entry'!AY$8),'Council Entry'!AY88)),IF(AND(ISNUMBER('Council Entry'!AY$8),ISNUMBER('Council Entry'!AY$9)),MAX(MIN('Council Entry'!AY88,'Council Entry'!AY$9),'Council Entry'!AY$8),'Council Entry'!AY88))))-'Council Entry'!AY$5)/('Council Entry'!AY$6-'Council Entry'!AY$5)),1))),"No data"))</f>
        <v/>
      </c>
      <c r="AZ88" s="13">
        <f>IF('Council Entry'!AZ88="","",IFERROR(MAX(0,MIN(10,ROUND(IF('Council Entry'!AZ$7="Decrease Risk",10-10*((IF('Council Entry'!AZ$4="Logarithm",LN(0.001+IF(AND(ISNUMBER('Council Entry'!AZ$8),ISNUMBER('Council Entry'!AZ$9)),MAX(MIN('Council Entry'!AZ88,'Council Entry'!AZ$9),'Council Entry'!AZ$8),'Council Entry'!AZ88)),IF('Council Entry'!AZ$4="Exponential",EXP(IF(AND(ISNUMBER('Council Entry'!AZ$8),ISNUMBER('Council Entry'!AZ$9)),MAX(MIN('Council Entry'!AZ88,'Council Entry'!AZ$9),'Council Entry'!AZ$8),'Council Entry'!AZ88)),IF(AND(ISNUMBER('Council Entry'!AZ$8),ISNUMBER('Council Entry'!AZ$9)),MAX(MIN('Council Entry'!AZ88,'Council Entry'!AZ$9),'Council Entry'!AZ$8),'Council Entry'!AZ88))))-'Council Entry'!AZ$5)/('Council Entry'!AZ$6-'Council Entry'!AZ$5),10*((IF('Council Entry'!AZ$4="Logarithm",LN(0.001+IF(AND(ISNUMBER('Council Entry'!AZ$8),ISNUMBER('Council Entry'!AZ$9)),MAX(MIN('Council Entry'!AZ88,'Council Entry'!AZ$9),'Council Entry'!AZ$8),'Council Entry'!AZ88)),IF('Council Entry'!AZ$4="Exponential",EXP(IF(AND(ISNUMBER('Council Entry'!AZ$8),ISNUMBER('Council Entry'!AZ$9)),MAX(MIN('Council Entry'!AZ88,'Council Entry'!AZ$9),'Council Entry'!AZ$8),'Council Entry'!AZ88)),IF(AND(ISNUMBER('Council Entry'!AZ$8),ISNUMBER('Council Entry'!AZ$9)),MAX(MIN('Council Entry'!AZ88,'Council Entry'!AZ$9),'Council Entry'!AZ$8),'Council Entry'!AZ88))))-'Council Entry'!AZ$5)/('Council Entry'!AZ$6-'Council Entry'!AZ$5)),1))),"No data"))</f>
        <v/>
      </c>
      <c r="BA88" s="13">
        <f>IF('Council Entry'!BA88="","",IFERROR(MAX(0,MIN(10,ROUND(IF('Council Entry'!BA$7="Decrease Risk",10-10*((IF('Council Entry'!BA$4="Logarithm",LN(0.001+IF(AND(ISNUMBER('Council Entry'!BA$8),ISNUMBER('Council Entry'!BA$9)),MAX(MIN('Council Entry'!BA88,'Council Entry'!BA$9),'Council Entry'!BA$8),'Council Entry'!BA88)),IF('Council Entry'!BA$4="Exponential",EXP(IF(AND(ISNUMBER('Council Entry'!BA$8),ISNUMBER('Council Entry'!BA$9)),MAX(MIN('Council Entry'!BA88,'Council Entry'!BA$9),'Council Entry'!BA$8),'Council Entry'!BA88)),IF(AND(ISNUMBER('Council Entry'!BA$8),ISNUMBER('Council Entry'!BA$9)),MAX(MIN('Council Entry'!BA88,'Council Entry'!BA$9),'Council Entry'!BA$8),'Council Entry'!BA88))))-'Council Entry'!BA$5)/('Council Entry'!BA$6-'Council Entry'!BA$5),10*((IF('Council Entry'!BA$4="Logarithm",LN(0.001+IF(AND(ISNUMBER('Council Entry'!BA$8),ISNUMBER('Council Entry'!BA$9)),MAX(MIN('Council Entry'!BA88,'Council Entry'!BA$9),'Council Entry'!BA$8),'Council Entry'!BA88)),IF('Council Entry'!BA$4="Exponential",EXP(IF(AND(ISNUMBER('Council Entry'!BA$8),ISNUMBER('Council Entry'!BA$9)),MAX(MIN('Council Entry'!BA88,'Council Entry'!BA$9),'Council Entry'!BA$8),'Council Entry'!BA88)),IF(AND(ISNUMBER('Council Entry'!BA$8),ISNUMBER('Council Entry'!BA$9)),MAX(MIN('Council Entry'!BA88,'Council Entry'!BA$9),'Council Entry'!BA$8),'Council Entry'!BA88))))-'Council Entry'!BA$5)/('Council Entry'!BA$6-'Council Entry'!BA$5)),1))),"No data"))</f>
        <v/>
      </c>
      <c r="BB88" s="13">
        <f>IF('Council Entry'!BB88="","",IFERROR(MAX(0,MIN(10,ROUND(IF('Council Entry'!BB$7="Decrease Risk",10-10*((IF('Council Entry'!BB$4="Logarithm",LN(0.001+IF(AND(ISNUMBER('Council Entry'!BB$8),ISNUMBER('Council Entry'!BB$9)),MAX(MIN('Council Entry'!BB88,'Council Entry'!BB$9),'Council Entry'!BB$8),'Council Entry'!BB88)),IF('Council Entry'!BB$4="Exponential",EXP(IF(AND(ISNUMBER('Council Entry'!BB$8),ISNUMBER('Council Entry'!BB$9)),MAX(MIN('Council Entry'!BB88,'Council Entry'!BB$9),'Council Entry'!BB$8),'Council Entry'!BB88)),IF(AND(ISNUMBER('Council Entry'!BB$8),ISNUMBER('Council Entry'!BB$9)),MAX(MIN('Council Entry'!BB88,'Council Entry'!BB$9),'Council Entry'!BB$8),'Council Entry'!BB88))))-'Council Entry'!BB$5)/('Council Entry'!BB$6-'Council Entry'!BB$5),10*((IF('Council Entry'!BB$4="Logarithm",LN(0.001+IF(AND(ISNUMBER('Council Entry'!BB$8),ISNUMBER('Council Entry'!BB$9)),MAX(MIN('Council Entry'!BB88,'Council Entry'!BB$9),'Council Entry'!BB$8),'Council Entry'!BB88)),IF('Council Entry'!BB$4="Exponential",EXP(IF(AND(ISNUMBER('Council Entry'!BB$8),ISNUMBER('Council Entry'!BB$9)),MAX(MIN('Council Entry'!BB88,'Council Entry'!BB$9),'Council Entry'!BB$8),'Council Entry'!BB88)),IF(AND(ISNUMBER('Council Entry'!BB$8),ISNUMBER('Council Entry'!BB$9)),MAX(MIN('Council Entry'!BB88,'Council Entry'!BB$9),'Council Entry'!BB$8),'Council Entry'!BB88))))-'Council Entry'!BB$5)/('Council Entry'!BB$6-'Council Entry'!BB$5)),1))),"No data"))</f>
        <v/>
      </c>
      <c r="BC88" s="13">
        <f>IF('Council Entry'!BC88="","",IFERROR(MAX(0,MIN(10,ROUND(IF('Council Entry'!BC$7="Decrease Risk",10-10*((IF('Council Entry'!BC$4="Logarithm",LN(0.001+IF(AND(ISNUMBER('Council Entry'!BC$8),ISNUMBER('Council Entry'!BC$9)),MAX(MIN('Council Entry'!BC88,'Council Entry'!BC$9),'Council Entry'!BC$8),'Council Entry'!BC88)),IF('Council Entry'!BC$4="Exponential",EXP(IF(AND(ISNUMBER('Council Entry'!BC$8),ISNUMBER('Council Entry'!BC$9)),MAX(MIN('Council Entry'!BC88,'Council Entry'!BC$9),'Council Entry'!BC$8),'Council Entry'!BC88)),IF(AND(ISNUMBER('Council Entry'!BC$8),ISNUMBER('Council Entry'!BC$9)),MAX(MIN('Council Entry'!BC88,'Council Entry'!BC$9),'Council Entry'!BC$8),'Council Entry'!BC88))))-'Council Entry'!BC$5)/('Council Entry'!BC$6-'Council Entry'!BC$5),10*((IF('Council Entry'!BC$4="Logarithm",LN(0.001+IF(AND(ISNUMBER('Council Entry'!BC$8),ISNUMBER('Council Entry'!BC$9)),MAX(MIN('Council Entry'!BC88,'Council Entry'!BC$9),'Council Entry'!BC$8),'Council Entry'!BC88)),IF('Council Entry'!BC$4="Exponential",EXP(IF(AND(ISNUMBER('Council Entry'!BC$8),ISNUMBER('Council Entry'!BC$9)),MAX(MIN('Council Entry'!BC88,'Council Entry'!BC$9),'Council Entry'!BC$8),'Council Entry'!BC88)),IF(AND(ISNUMBER('Council Entry'!BC$8),ISNUMBER('Council Entry'!BC$9)),MAX(MIN('Council Entry'!BC88,'Council Entry'!BC$9),'Council Entry'!BC$8),'Council Entry'!BC88))))-'Council Entry'!BC$5)/('Council Entry'!BC$6-'Council Entry'!BC$5)),1))),"No data"))</f>
        <v/>
      </c>
      <c r="BD88" s="13">
        <f>IF('Council Entry'!BD88="","",IFERROR(MAX(0,MIN(10,ROUND(IF('Council Entry'!BD$7="Decrease Risk",10-10*((IF('Council Entry'!BD$4="Logarithm",LN(0.001+IF(AND(ISNUMBER('Council Entry'!BD$8),ISNUMBER('Council Entry'!BD$9)),MAX(MIN('Council Entry'!BD88,'Council Entry'!BD$9),'Council Entry'!BD$8),'Council Entry'!BD88)),IF('Council Entry'!BD$4="Exponential",EXP(IF(AND(ISNUMBER('Council Entry'!BD$8),ISNUMBER('Council Entry'!BD$9)),MAX(MIN('Council Entry'!BD88,'Council Entry'!BD$9),'Council Entry'!BD$8),'Council Entry'!BD88)),IF(AND(ISNUMBER('Council Entry'!BD$8),ISNUMBER('Council Entry'!BD$9)),MAX(MIN('Council Entry'!BD88,'Council Entry'!BD$9),'Council Entry'!BD$8),'Council Entry'!BD88))))-'Council Entry'!BD$5)/('Council Entry'!BD$6-'Council Entry'!BD$5),10*((IF('Council Entry'!BD$4="Logarithm",LN(0.001+IF(AND(ISNUMBER('Council Entry'!BD$8),ISNUMBER('Council Entry'!BD$9)),MAX(MIN('Council Entry'!BD88,'Council Entry'!BD$9),'Council Entry'!BD$8),'Council Entry'!BD88)),IF('Council Entry'!BD$4="Exponential",EXP(IF(AND(ISNUMBER('Council Entry'!BD$8),ISNUMBER('Council Entry'!BD$9)),MAX(MIN('Council Entry'!BD88,'Council Entry'!BD$9),'Council Entry'!BD$8),'Council Entry'!BD88)),IF(AND(ISNUMBER('Council Entry'!BD$8),ISNUMBER('Council Entry'!BD$9)),MAX(MIN('Council Entry'!BD88,'Council Entry'!BD$9),'Council Entry'!BD$8),'Council Entry'!BD88))))-'Council Entry'!BD$5)/('Council Entry'!BD$6-'Council Entry'!BD$5)),1))),"No data"))</f>
        <v/>
      </c>
    </row>
    <row r="89">
      <c r="A89" t="inlineStr">
        <is>
          <t>Manyara</t>
        </is>
      </c>
      <c r="B89" t="inlineStr">
        <is>
          <t>Mbulu Town</t>
        </is>
      </c>
      <c r="C89" t="inlineStr">
        <is>
          <t>C154</t>
        </is>
      </c>
      <c r="D89" s="13">
        <f>IF('Council Entry'!D89="","",IFERROR(MAX(0,MIN(10,ROUND(IF('Council Entry'!D$7="Decrease Risk",10-10*((IF('Council Entry'!D$4="Logarithm",LN(0.001+IF(AND(ISNUMBER('Council Entry'!D$8),ISNUMBER('Council Entry'!D$9)),MAX(MIN('Council Entry'!D89,'Council Entry'!D$9),'Council Entry'!D$8),'Council Entry'!D89)),IF('Council Entry'!D$4="Exponential",EXP(IF(AND(ISNUMBER('Council Entry'!D$8),ISNUMBER('Council Entry'!D$9)),MAX(MIN('Council Entry'!D89,'Council Entry'!D$9),'Council Entry'!D$8),'Council Entry'!D89)),IF(AND(ISNUMBER('Council Entry'!D$8),ISNUMBER('Council Entry'!D$9)),MAX(MIN('Council Entry'!D89,'Council Entry'!D$9),'Council Entry'!D$8),'Council Entry'!D89))))-'Council Entry'!D$5)/('Council Entry'!D$6-'Council Entry'!D$5),10*((IF('Council Entry'!D$4="Logarithm",LN(0.001+IF(AND(ISNUMBER('Council Entry'!D$8),ISNUMBER('Council Entry'!D$9)),MAX(MIN('Council Entry'!D89,'Council Entry'!D$9),'Council Entry'!D$8),'Council Entry'!D89)),IF('Council Entry'!D$4="Exponential",EXP(IF(AND(ISNUMBER('Council Entry'!D$8),ISNUMBER('Council Entry'!D$9)),MAX(MIN('Council Entry'!D89,'Council Entry'!D$9),'Council Entry'!D$8),'Council Entry'!D89)),IF(AND(ISNUMBER('Council Entry'!D$8),ISNUMBER('Council Entry'!D$9)),MAX(MIN('Council Entry'!D89,'Council Entry'!D$9),'Council Entry'!D$8),'Council Entry'!D89))))-'Council Entry'!D$5)/('Council Entry'!D$6-'Council Entry'!D$5)),1))),"No data"))</f>
        <v/>
      </c>
      <c r="E89" s="13">
        <f>IF('Council Entry'!E89="","",IFERROR(MAX(0,MIN(10,ROUND(IF('Council Entry'!E$7="Decrease Risk",10-10*((IF('Council Entry'!E$4="Logarithm",LN(0.001+IF(AND(ISNUMBER('Council Entry'!E$8),ISNUMBER('Council Entry'!E$9)),MAX(MIN('Council Entry'!E89,'Council Entry'!E$9),'Council Entry'!E$8),'Council Entry'!E89)),IF('Council Entry'!E$4="Exponential",EXP(IF(AND(ISNUMBER('Council Entry'!E$8),ISNUMBER('Council Entry'!E$9)),MAX(MIN('Council Entry'!E89,'Council Entry'!E$9),'Council Entry'!E$8),'Council Entry'!E89)),IF(AND(ISNUMBER('Council Entry'!E$8),ISNUMBER('Council Entry'!E$9)),MAX(MIN('Council Entry'!E89,'Council Entry'!E$9),'Council Entry'!E$8),'Council Entry'!E89))))-'Council Entry'!E$5)/('Council Entry'!E$6-'Council Entry'!E$5),10*((IF('Council Entry'!E$4="Logarithm",LN(0.001+IF(AND(ISNUMBER('Council Entry'!E$8),ISNUMBER('Council Entry'!E$9)),MAX(MIN('Council Entry'!E89,'Council Entry'!E$9),'Council Entry'!E$8),'Council Entry'!E89)),IF('Council Entry'!E$4="Exponential",EXP(IF(AND(ISNUMBER('Council Entry'!E$8),ISNUMBER('Council Entry'!E$9)),MAX(MIN('Council Entry'!E89,'Council Entry'!E$9),'Council Entry'!E$8),'Council Entry'!E89)),IF(AND(ISNUMBER('Council Entry'!E$8),ISNUMBER('Council Entry'!E$9)),MAX(MIN('Council Entry'!E89,'Council Entry'!E$9),'Council Entry'!E$8),'Council Entry'!E89))))-'Council Entry'!E$5)/('Council Entry'!E$6-'Council Entry'!E$5)),1))),"No data"))</f>
        <v/>
      </c>
      <c r="F89" s="13">
        <f>IF('Council Entry'!F89="","",IFERROR(MAX(0,MIN(10,ROUND(IF('Council Entry'!F$7="Decrease Risk",10-10*((IF('Council Entry'!F$4="Logarithm",LN(0.001+IF(AND(ISNUMBER('Council Entry'!F$8),ISNUMBER('Council Entry'!F$9)),MAX(MIN('Council Entry'!F89,'Council Entry'!F$9),'Council Entry'!F$8),'Council Entry'!F89)),IF('Council Entry'!F$4="Exponential",EXP(IF(AND(ISNUMBER('Council Entry'!F$8),ISNUMBER('Council Entry'!F$9)),MAX(MIN('Council Entry'!F89,'Council Entry'!F$9),'Council Entry'!F$8),'Council Entry'!F89)),IF(AND(ISNUMBER('Council Entry'!F$8),ISNUMBER('Council Entry'!F$9)),MAX(MIN('Council Entry'!F89,'Council Entry'!F$9),'Council Entry'!F$8),'Council Entry'!F89))))-'Council Entry'!F$5)/('Council Entry'!F$6-'Council Entry'!F$5),10*((IF('Council Entry'!F$4="Logarithm",LN(0.001+IF(AND(ISNUMBER('Council Entry'!F$8),ISNUMBER('Council Entry'!F$9)),MAX(MIN('Council Entry'!F89,'Council Entry'!F$9),'Council Entry'!F$8),'Council Entry'!F89)),IF('Council Entry'!F$4="Exponential",EXP(IF(AND(ISNUMBER('Council Entry'!F$8),ISNUMBER('Council Entry'!F$9)),MAX(MIN('Council Entry'!F89,'Council Entry'!F$9),'Council Entry'!F$8),'Council Entry'!F89)),IF(AND(ISNUMBER('Council Entry'!F$8),ISNUMBER('Council Entry'!F$9)),MAX(MIN('Council Entry'!F89,'Council Entry'!F$9),'Council Entry'!F$8),'Council Entry'!F89))))-'Council Entry'!F$5)/('Council Entry'!F$6-'Council Entry'!F$5)),1))),"No data"))</f>
        <v/>
      </c>
      <c r="G89" s="13">
        <f>IF('Council Entry'!G89="","",IFERROR(MAX(0,MIN(10,ROUND(IF('Council Entry'!G$7="Decrease Risk",10-10*((IF('Council Entry'!G$4="Logarithm",LN(0.001+IF(AND(ISNUMBER('Council Entry'!G$8),ISNUMBER('Council Entry'!G$9)),MAX(MIN('Council Entry'!G89,'Council Entry'!G$9),'Council Entry'!G$8),'Council Entry'!G89)),IF('Council Entry'!G$4="Exponential",EXP(IF(AND(ISNUMBER('Council Entry'!G$8),ISNUMBER('Council Entry'!G$9)),MAX(MIN('Council Entry'!G89,'Council Entry'!G$9),'Council Entry'!G$8),'Council Entry'!G89)),IF(AND(ISNUMBER('Council Entry'!G$8),ISNUMBER('Council Entry'!G$9)),MAX(MIN('Council Entry'!G89,'Council Entry'!G$9),'Council Entry'!G$8),'Council Entry'!G89))))-'Council Entry'!G$5)/('Council Entry'!G$6-'Council Entry'!G$5),10*((IF('Council Entry'!G$4="Logarithm",LN(0.001+IF(AND(ISNUMBER('Council Entry'!G$8),ISNUMBER('Council Entry'!G$9)),MAX(MIN('Council Entry'!G89,'Council Entry'!G$9),'Council Entry'!G$8),'Council Entry'!G89)),IF('Council Entry'!G$4="Exponential",EXP(IF(AND(ISNUMBER('Council Entry'!G$8),ISNUMBER('Council Entry'!G$9)),MAX(MIN('Council Entry'!G89,'Council Entry'!G$9),'Council Entry'!G$8),'Council Entry'!G89)),IF(AND(ISNUMBER('Council Entry'!G$8),ISNUMBER('Council Entry'!G$9)),MAX(MIN('Council Entry'!G89,'Council Entry'!G$9),'Council Entry'!G$8),'Council Entry'!G89))))-'Council Entry'!G$5)/('Council Entry'!G$6-'Council Entry'!G$5)),1))),"No data"))</f>
        <v/>
      </c>
      <c r="H89" s="13">
        <f>IF('Council Entry'!H89="","",IFERROR(MAX(0,MIN(10,ROUND(IF('Council Entry'!H$7="Decrease Risk",10-10*((IF('Council Entry'!H$4="Logarithm",LN(0.001+IF(AND(ISNUMBER('Council Entry'!H$8),ISNUMBER('Council Entry'!H$9)),MAX(MIN('Council Entry'!H89,'Council Entry'!H$9),'Council Entry'!H$8),'Council Entry'!H89)),IF('Council Entry'!H$4="Exponential",EXP(IF(AND(ISNUMBER('Council Entry'!H$8),ISNUMBER('Council Entry'!H$9)),MAX(MIN('Council Entry'!H89,'Council Entry'!H$9),'Council Entry'!H$8),'Council Entry'!H89)),IF(AND(ISNUMBER('Council Entry'!H$8),ISNUMBER('Council Entry'!H$9)),MAX(MIN('Council Entry'!H89,'Council Entry'!H$9),'Council Entry'!H$8),'Council Entry'!H89))))-'Council Entry'!H$5)/('Council Entry'!H$6-'Council Entry'!H$5),10*((IF('Council Entry'!H$4="Logarithm",LN(0.001+IF(AND(ISNUMBER('Council Entry'!H$8),ISNUMBER('Council Entry'!H$9)),MAX(MIN('Council Entry'!H89,'Council Entry'!H$9),'Council Entry'!H$8),'Council Entry'!H89)),IF('Council Entry'!H$4="Exponential",EXP(IF(AND(ISNUMBER('Council Entry'!H$8),ISNUMBER('Council Entry'!H$9)),MAX(MIN('Council Entry'!H89,'Council Entry'!H$9),'Council Entry'!H$8),'Council Entry'!H89)),IF(AND(ISNUMBER('Council Entry'!H$8),ISNUMBER('Council Entry'!H$9)),MAX(MIN('Council Entry'!H89,'Council Entry'!H$9),'Council Entry'!H$8),'Council Entry'!H89))))-'Council Entry'!H$5)/('Council Entry'!H$6-'Council Entry'!H$5)),1))),"No data"))</f>
        <v/>
      </c>
      <c r="I89" s="13">
        <f>IF('Council Entry'!I89="","",IFERROR(MAX(0,MIN(10,ROUND(IF('Council Entry'!I$7="Decrease Risk",10-10*((IF('Council Entry'!I$4="Logarithm",LN(0.001+IF(AND(ISNUMBER('Council Entry'!I$8),ISNUMBER('Council Entry'!I$9)),MAX(MIN('Council Entry'!I89,'Council Entry'!I$9),'Council Entry'!I$8),'Council Entry'!I89)),IF('Council Entry'!I$4="Exponential",EXP(IF(AND(ISNUMBER('Council Entry'!I$8),ISNUMBER('Council Entry'!I$9)),MAX(MIN('Council Entry'!I89,'Council Entry'!I$9),'Council Entry'!I$8),'Council Entry'!I89)),IF(AND(ISNUMBER('Council Entry'!I$8),ISNUMBER('Council Entry'!I$9)),MAX(MIN('Council Entry'!I89,'Council Entry'!I$9),'Council Entry'!I$8),'Council Entry'!I89))))-'Council Entry'!I$5)/('Council Entry'!I$6-'Council Entry'!I$5),10*((IF('Council Entry'!I$4="Logarithm",LN(0.001+IF(AND(ISNUMBER('Council Entry'!I$8),ISNUMBER('Council Entry'!I$9)),MAX(MIN('Council Entry'!I89,'Council Entry'!I$9),'Council Entry'!I$8),'Council Entry'!I89)),IF('Council Entry'!I$4="Exponential",EXP(IF(AND(ISNUMBER('Council Entry'!I$8),ISNUMBER('Council Entry'!I$9)),MAX(MIN('Council Entry'!I89,'Council Entry'!I$9),'Council Entry'!I$8),'Council Entry'!I89)),IF(AND(ISNUMBER('Council Entry'!I$8),ISNUMBER('Council Entry'!I$9)),MAX(MIN('Council Entry'!I89,'Council Entry'!I$9),'Council Entry'!I$8),'Council Entry'!I89))))-'Council Entry'!I$5)/('Council Entry'!I$6-'Council Entry'!I$5)),1))),"No data"))</f>
        <v/>
      </c>
      <c r="J89" s="13">
        <f>IF('Council Entry'!J89="","",IFERROR(MAX(0,MIN(10,ROUND(IF('Council Entry'!J$7="Decrease Risk",10-10*((IF('Council Entry'!J$4="Logarithm",LN(0.001+IF(AND(ISNUMBER('Council Entry'!J$8),ISNUMBER('Council Entry'!J$9)),MAX(MIN('Council Entry'!J89,'Council Entry'!J$9),'Council Entry'!J$8),'Council Entry'!J89)),IF('Council Entry'!J$4="Exponential",EXP(IF(AND(ISNUMBER('Council Entry'!J$8),ISNUMBER('Council Entry'!J$9)),MAX(MIN('Council Entry'!J89,'Council Entry'!J$9),'Council Entry'!J$8),'Council Entry'!J89)),IF(AND(ISNUMBER('Council Entry'!J$8),ISNUMBER('Council Entry'!J$9)),MAX(MIN('Council Entry'!J89,'Council Entry'!J$9),'Council Entry'!J$8),'Council Entry'!J89))))-'Council Entry'!J$5)/('Council Entry'!J$6-'Council Entry'!J$5),10*((IF('Council Entry'!J$4="Logarithm",LN(0.001+IF(AND(ISNUMBER('Council Entry'!J$8),ISNUMBER('Council Entry'!J$9)),MAX(MIN('Council Entry'!J89,'Council Entry'!J$9),'Council Entry'!J$8),'Council Entry'!J89)),IF('Council Entry'!J$4="Exponential",EXP(IF(AND(ISNUMBER('Council Entry'!J$8),ISNUMBER('Council Entry'!J$9)),MAX(MIN('Council Entry'!J89,'Council Entry'!J$9),'Council Entry'!J$8),'Council Entry'!J89)),IF(AND(ISNUMBER('Council Entry'!J$8),ISNUMBER('Council Entry'!J$9)),MAX(MIN('Council Entry'!J89,'Council Entry'!J$9),'Council Entry'!J$8),'Council Entry'!J89))))-'Council Entry'!J$5)/('Council Entry'!J$6-'Council Entry'!J$5)),1))),"No data"))</f>
        <v/>
      </c>
      <c r="K89" s="13">
        <f>IF('Council Entry'!K89="","",IFERROR(MAX(0,MIN(10,ROUND(IF('Council Entry'!K$7="Decrease Risk",10-10*((IF('Council Entry'!K$4="Logarithm",LN(0.001+IF(AND(ISNUMBER('Council Entry'!K$8),ISNUMBER('Council Entry'!K$9)),MAX(MIN('Council Entry'!K89,'Council Entry'!K$9),'Council Entry'!K$8),'Council Entry'!K89)),IF('Council Entry'!K$4="Exponential",EXP(IF(AND(ISNUMBER('Council Entry'!K$8),ISNUMBER('Council Entry'!K$9)),MAX(MIN('Council Entry'!K89,'Council Entry'!K$9),'Council Entry'!K$8),'Council Entry'!K89)),IF(AND(ISNUMBER('Council Entry'!K$8),ISNUMBER('Council Entry'!K$9)),MAX(MIN('Council Entry'!K89,'Council Entry'!K$9),'Council Entry'!K$8),'Council Entry'!K89))))-'Council Entry'!K$5)/('Council Entry'!K$6-'Council Entry'!K$5),10*((IF('Council Entry'!K$4="Logarithm",LN(0.001+IF(AND(ISNUMBER('Council Entry'!K$8),ISNUMBER('Council Entry'!K$9)),MAX(MIN('Council Entry'!K89,'Council Entry'!K$9),'Council Entry'!K$8),'Council Entry'!K89)),IF('Council Entry'!K$4="Exponential",EXP(IF(AND(ISNUMBER('Council Entry'!K$8),ISNUMBER('Council Entry'!K$9)),MAX(MIN('Council Entry'!K89,'Council Entry'!K$9),'Council Entry'!K$8),'Council Entry'!K89)),IF(AND(ISNUMBER('Council Entry'!K$8),ISNUMBER('Council Entry'!K$9)),MAX(MIN('Council Entry'!K89,'Council Entry'!K$9),'Council Entry'!K$8),'Council Entry'!K89))))-'Council Entry'!K$5)/('Council Entry'!K$6-'Council Entry'!K$5)),1))),"No data"))</f>
        <v/>
      </c>
      <c r="L89" s="13">
        <f>IF('Council Entry'!L89="","",IFERROR(MAX(0,MIN(10,ROUND(IF('Council Entry'!L$7="Decrease Risk",10-10*((IF('Council Entry'!L$4="Logarithm",LN(0.001+IF(AND(ISNUMBER('Council Entry'!L$8),ISNUMBER('Council Entry'!L$9)),MAX(MIN('Council Entry'!L89,'Council Entry'!L$9),'Council Entry'!L$8),'Council Entry'!L89)),IF('Council Entry'!L$4="Exponential",EXP(IF(AND(ISNUMBER('Council Entry'!L$8),ISNUMBER('Council Entry'!L$9)),MAX(MIN('Council Entry'!L89,'Council Entry'!L$9),'Council Entry'!L$8),'Council Entry'!L89)),IF(AND(ISNUMBER('Council Entry'!L$8),ISNUMBER('Council Entry'!L$9)),MAX(MIN('Council Entry'!L89,'Council Entry'!L$9),'Council Entry'!L$8),'Council Entry'!L89))))-'Council Entry'!L$5)/('Council Entry'!L$6-'Council Entry'!L$5),10*((IF('Council Entry'!L$4="Logarithm",LN(0.001+IF(AND(ISNUMBER('Council Entry'!L$8),ISNUMBER('Council Entry'!L$9)),MAX(MIN('Council Entry'!L89,'Council Entry'!L$9),'Council Entry'!L$8),'Council Entry'!L89)),IF('Council Entry'!L$4="Exponential",EXP(IF(AND(ISNUMBER('Council Entry'!L$8),ISNUMBER('Council Entry'!L$9)),MAX(MIN('Council Entry'!L89,'Council Entry'!L$9),'Council Entry'!L$8),'Council Entry'!L89)),IF(AND(ISNUMBER('Council Entry'!L$8),ISNUMBER('Council Entry'!L$9)),MAX(MIN('Council Entry'!L89,'Council Entry'!L$9),'Council Entry'!L$8),'Council Entry'!L89))))-'Council Entry'!L$5)/('Council Entry'!L$6-'Council Entry'!L$5)),1))),"No data"))</f>
        <v/>
      </c>
      <c r="M89" s="13">
        <f>IF('Council Entry'!M89="","",IFERROR(MAX(0,MIN(10,ROUND(IF('Council Entry'!M$7="Decrease Risk",10-10*((IF('Council Entry'!M$4="Logarithm",LN(0.001+IF(AND(ISNUMBER('Council Entry'!M$8),ISNUMBER('Council Entry'!M$9)),MAX(MIN('Council Entry'!M89,'Council Entry'!M$9),'Council Entry'!M$8),'Council Entry'!M89)),IF('Council Entry'!M$4="Exponential",EXP(IF(AND(ISNUMBER('Council Entry'!M$8),ISNUMBER('Council Entry'!M$9)),MAX(MIN('Council Entry'!M89,'Council Entry'!M$9),'Council Entry'!M$8),'Council Entry'!M89)),IF(AND(ISNUMBER('Council Entry'!M$8),ISNUMBER('Council Entry'!M$9)),MAX(MIN('Council Entry'!M89,'Council Entry'!M$9),'Council Entry'!M$8),'Council Entry'!M89))))-'Council Entry'!M$5)/('Council Entry'!M$6-'Council Entry'!M$5),10*((IF('Council Entry'!M$4="Logarithm",LN(0.001+IF(AND(ISNUMBER('Council Entry'!M$8),ISNUMBER('Council Entry'!M$9)),MAX(MIN('Council Entry'!M89,'Council Entry'!M$9),'Council Entry'!M$8),'Council Entry'!M89)),IF('Council Entry'!M$4="Exponential",EXP(IF(AND(ISNUMBER('Council Entry'!M$8),ISNUMBER('Council Entry'!M$9)),MAX(MIN('Council Entry'!M89,'Council Entry'!M$9),'Council Entry'!M$8),'Council Entry'!M89)),IF(AND(ISNUMBER('Council Entry'!M$8),ISNUMBER('Council Entry'!M$9)),MAX(MIN('Council Entry'!M89,'Council Entry'!M$9),'Council Entry'!M$8),'Council Entry'!M89))))-'Council Entry'!M$5)/('Council Entry'!M$6-'Council Entry'!M$5)),1))),"No data"))</f>
        <v/>
      </c>
      <c r="N89" s="13">
        <f>IF('Council Entry'!N89="","",IFERROR(MAX(0,MIN(10,ROUND(IF('Council Entry'!N$7="Decrease Risk",10-10*((IF('Council Entry'!N$4="Logarithm",LN(0.001+IF(AND(ISNUMBER('Council Entry'!N$8),ISNUMBER('Council Entry'!N$9)),MAX(MIN('Council Entry'!N89,'Council Entry'!N$9),'Council Entry'!N$8),'Council Entry'!N89)),IF('Council Entry'!N$4="Exponential",EXP(IF(AND(ISNUMBER('Council Entry'!N$8),ISNUMBER('Council Entry'!N$9)),MAX(MIN('Council Entry'!N89,'Council Entry'!N$9),'Council Entry'!N$8),'Council Entry'!N89)),IF(AND(ISNUMBER('Council Entry'!N$8),ISNUMBER('Council Entry'!N$9)),MAX(MIN('Council Entry'!N89,'Council Entry'!N$9),'Council Entry'!N$8),'Council Entry'!N89))))-'Council Entry'!N$5)/('Council Entry'!N$6-'Council Entry'!N$5),10*((IF('Council Entry'!N$4="Logarithm",LN(0.001+IF(AND(ISNUMBER('Council Entry'!N$8),ISNUMBER('Council Entry'!N$9)),MAX(MIN('Council Entry'!N89,'Council Entry'!N$9),'Council Entry'!N$8),'Council Entry'!N89)),IF('Council Entry'!N$4="Exponential",EXP(IF(AND(ISNUMBER('Council Entry'!N$8),ISNUMBER('Council Entry'!N$9)),MAX(MIN('Council Entry'!N89,'Council Entry'!N$9),'Council Entry'!N$8),'Council Entry'!N89)),IF(AND(ISNUMBER('Council Entry'!N$8),ISNUMBER('Council Entry'!N$9)),MAX(MIN('Council Entry'!N89,'Council Entry'!N$9),'Council Entry'!N$8),'Council Entry'!N89))))-'Council Entry'!N$5)/('Council Entry'!N$6-'Council Entry'!N$5)),1))),"No data"))</f>
        <v/>
      </c>
      <c r="O89" s="13">
        <f>IF('Council Entry'!O89="","",IFERROR(MAX(0,MIN(10,ROUND(IF('Council Entry'!O$7="Decrease Risk",10-10*((IF('Council Entry'!O$4="Logarithm",LN(0.001+IF(AND(ISNUMBER('Council Entry'!O$8),ISNUMBER('Council Entry'!O$9)),MAX(MIN('Council Entry'!O89,'Council Entry'!O$9),'Council Entry'!O$8),'Council Entry'!O89)),IF('Council Entry'!O$4="Exponential",EXP(IF(AND(ISNUMBER('Council Entry'!O$8),ISNUMBER('Council Entry'!O$9)),MAX(MIN('Council Entry'!O89,'Council Entry'!O$9),'Council Entry'!O$8),'Council Entry'!O89)),IF(AND(ISNUMBER('Council Entry'!O$8),ISNUMBER('Council Entry'!O$9)),MAX(MIN('Council Entry'!O89,'Council Entry'!O$9),'Council Entry'!O$8),'Council Entry'!O89))))-'Council Entry'!O$5)/('Council Entry'!O$6-'Council Entry'!O$5),10*((IF('Council Entry'!O$4="Logarithm",LN(0.001+IF(AND(ISNUMBER('Council Entry'!O$8),ISNUMBER('Council Entry'!O$9)),MAX(MIN('Council Entry'!O89,'Council Entry'!O$9),'Council Entry'!O$8),'Council Entry'!O89)),IF('Council Entry'!O$4="Exponential",EXP(IF(AND(ISNUMBER('Council Entry'!O$8),ISNUMBER('Council Entry'!O$9)),MAX(MIN('Council Entry'!O89,'Council Entry'!O$9),'Council Entry'!O$8),'Council Entry'!O89)),IF(AND(ISNUMBER('Council Entry'!O$8),ISNUMBER('Council Entry'!O$9)),MAX(MIN('Council Entry'!O89,'Council Entry'!O$9),'Council Entry'!O$8),'Council Entry'!O89))))-'Council Entry'!O$5)/('Council Entry'!O$6-'Council Entry'!O$5)),1))),"No data"))</f>
        <v/>
      </c>
      <c r="P89" s="13">
        <f>IF('Council Entry'!P89="","",IFERROR(MAX(0,MIN(10,ROUND(IF('Council Entry'!P$7="Decrease Risk",10-10*((IF('Council Entry'!P$4="Logarithm",LN(0.001+IF(AND(ISNUMBER('Council Entry'!P$8),ISNUMBER('Council Entry'!P$9)),MAX(MIN('Council Entry'!P89,'Council Entry'!P$9),'Council Entry'!P$8),'Council Entry'!P89)),IF('Council Entry'!P$4="Exponential",EXP(IF(AND(ISNUMBER('Council Entry'!P$8),ISNUMBER('Council Entry'!P$9)),MAX(MIN('Council Entry'!P89,'Council Entry'!P$9),'Council Entry'!P$8),'Council Entry'!P89)),IF(AND(ISNUMBER('Council Entry'!P$8),ISNUMBER('Council Entry'!P$9)),MAX(MIN('Council Entry'!P89,'Council Entry'!P$9),'Council Entry'!P$8),'Council Entry'!P89))))-'Council Entry'!P$5)/('Council Entry'!P$6-'Council Entry'!P$5),10*((IF('Council Entry'!P$4="Logarithm",LN(0.001+IF(AND(ISNUMBER('Council Entry'!P$8),ISNUMBER('Council Entry'!P$9)),MAX(MIN('Council Entry'!P89,'Council Entry'!P$9),'Council Entry'!P$8),'Council Entry'!P89)),IF('Council Entry'!P$4="Exponential",EXP(IF(AND(ISNUMBER('Council Entry'!P$8),ISNUMBER('Council Entry'!P$9)),MAX(MIN('Council Entry'!P89,'Council Entry'!P$9),'Council Entry'!P$8),'Council Entry'!P89)),IF(AND(ISNUMBER('Council Entry'!P$8),ISNUMBER('Council Entry'!P$9)),MAX(MIN('Council Entry'!P89,'Council Entry'!P$9),'Council Entry'!P$8),'Council Entry'!P89))))-'Council Entry'!P$5)/('Council Entry'!P$6-'Council Entry'!P$5)),1))),"No data"))</f>
        <v/>
      </c>
      <c r="Q89" s="13">
        <f>IF('Council Entry'!Q89="","",IFERROR(MAX(0,MIN(10,ROUND(IF('Council Entry'!Q$7="Decrease Risk",10-10*((IF('Council Entry'!Q$4="Logarithm",LN(0.001+IF(AND(ISNUMBER('Council Entry'!Q$8),ISNUMBER('Council Entry'!Q$9)),MAX(MIN('Council Entry'!Q89,'Council Entry'!Q$9),'Council Entry'!Q$8),'Council Entry'!Q89)),IF('Council Entry'!Q$4="Exponential",EXP(IF(AND(ISNUMBER('Council Entry'!Q$8),ISNUMBER('Council Entry'!Q$9)),MAX(MIN('Council Entry'!Q89,'Council Entry'!Q$9),'Council Entry'!Q$8),'Council Entry'!Q89)),IF(AND(ISNUMBER('Council Entry'!Q$8),ISNUMBER('Council Entry'!Q$9)),MAX(MIN('Council Entry'!Q89,'Council Entry'!Q$9),'Council Entry'!Q$8),'Council Entry'!Q89))))-'Council Entry'!Q$5)/('Council Entry'!Q$6-'Council Entry'!Q$5),10*((IF('Council Entry'!Q$4="Logarithm",LN(0.001+IF(AND(ISNUMBER('Council Entry'!Q$8),ISNUMBER('Council Entry'!Q$9)),MAX(MIN('Council Entry'!Q89,'Council Entry'!Q$9),'Council Entry'!Q$8),'Council Entry'!Q89)),IF('Council Entry'!Q$4="Exponential",EXP(IF(AND(ISNUMBER('Council Entry'!Q$8),ISNUMBER('Council Entry'!Q$9)),MAX(MIN('Council Entry'!Q89,'Council Entry'!Q$9),'Council Entry'!Q$8),'Council Entry'!Q89)),IF(AND(ISNUMBER('Council Entry'!Q$8),ISNUMBER('Council Entry'!Q$9)),MAX(MIN('Council Entry'!Q89,'Council Entry'!Q$9),'Council Entry'!Q$8),'Council Entry'!Q89))))-'Council Entry'!Q$5)/('Council Entry'!Q$6-'Council Entry'!Q$5)),1))),"No data"))</f>
        <v/>
      </c>
      <c r="R89" s="13">
        <f>IF('Council Entry'!R89="","",IFERROR(MAX(0,MIN(10,ROUND(IF('Council Entry'!R$7="Decrease Risk",10-10*((IF('Council Entry'!R$4="Logarithm",LN(0.001+IF(AND(ISNUMBER('Council Entry'!R$8),ISNUMBER('Council Entry'!R$9)),MAX(MIN('Council Entry'!R89,'Council Entry'!R$9),'Council Entry'!R$8),'Council Entry'!R89)),IF('Council Entry'!R$4="Exponential",EXP(IF(AND(ISNUMBER('Council Entry'!R$8),ISNUMBER('Council Entry'!R$9)),MAX(MIN('Council Entry'!R89,'Council Entry'!R$9),'Council Entry'!R$8),'Council Entry'!R89)),IF(AND(ISNUMBER('Council Entry'!R$8),ISNUMBER('Council Entry'!R$9)),MAX(MIN('Council Entry'!R89,'Council Entry'!R$9),'Council Entry'!R$8),'Council Entry'!R89))))-'Council Entry'!R$5)/('Council Entry'!R$6-'Council Entry'!R$5),10*((IF('Council Entry'!R$4="Logarithm",LN(0.001+IF(AND(ISNUMBER('Council Entry'!R$8),ISNUMBER('Council Entry'!R$9)),MAX(MIN('Council Entry'!R89,'Council Entry'!R$9),'Council Entry'!R$8),'Council Entry'!R89)),IF('Council Entry'!R$4="Exponential",EXP(IF(AND(ISNUMBER('Council Entry'!R$8),ISNUMBER('Council Entry'!R$9)),MAX(MIN('Council Entry'!R89,'Council Entry'!R$9),'Council Entry'!R$8),'Council Entry'!R89)),IF(AND(ISNUMBER('Council Entry'!R$8),ISNUMBER('Council Entry'!R$9)),MAX(MIN('Council Entry'!R89,'Council Entry'!R$9),'Council Entry'!R$8),'Council Entry'!R89))))-'Council Entry'!R$5)/('Council Entry'!R$6-'Council Entry'!R$5)),1))),"No data"))</f>
        <v/>
      </c>
      <c r="S89" s="13">
        <f>IF('Council Entry'!S89="","",IFERROR(MAX(0,MIN(10,ROUND(IF('Council Entry'!S$7="Decrease Risk",10-10*((IF('Council Entry'!S$4="Logarithm",LN(0.001+IF(AND(ISNUMBER('Council Entry'!S$8),ISNUMBER('Council Entry'!S$9)),MAX(MIN('Council Entry'!S89,'Council Entry'!S$9),'Council Entry'!S$8),'Council Entry'!S89)),IF('Council Entry'!S$4="Exponential",EXP(IF(AND(ISNUMBER('Council Entry'!S$8),ISNUMBER('Council Entry'!S$9)),MAX(MIN('Council Entry'!S89,'Council Entry'!S$9),'Council Entry'!S$8),'Council Entry'!S89)),IF(AND(ISNUMBER('Council Entry'!S$8),ISNUMBER('Council Entry'!S$9)),MAX(MIN('Council Entry'!S89,'Council Entry'!S$9),'Council Entry'!S$8),'Council Entry'!S89))))-'Council Entry'!S$5)/('Council Entry'!S$6-'Council Entry'!S$5),10*((IF('Council Entry'!S$4="Logarithm",LN(0.001+IF(AND(ISNUMBER('Council Entry'!S$8),ISNUMBER('Council Entry'!S$9)),MAX(MIN('Council Entry'!S89,'Council Entry'!S$9),'Council Entry'!S$8),'Council Entry'!S89)),IF('Council Entry'!S$4="Exponential",EXP(IF(AND(ISNUMBER('Council Entry'!S$8),ISNUMBER('Council Entry'!S$9)),MAX(MIN('Council Entry'!S89,'Council Entry'!S$9),'Council Entry'!S$8),'Council Entry'!S89)),IF(AND(ISNUMBER('Council Entry'!S$8),ISNUMBER('Council Entry'!S$9)),MAX(MIN('Council Entry'!S89,'Council Entry'!S$9),'Council Entry'!S$8),'Council Entry'!S89))))-'Council Entry'!S$5)/('Council Entry'!S$6-'Council Entry'!S$5)),1))),"No data"))</f>
        <v/>
      </c>
      <c r="T89" s="13">
        <f>IF('Council Entry'!T89="","",IFERROR(MAX(0,MIN(10,ROUND(IF('Council Entry'!T$7="Decrease Risk",10-10*((IF('Council Entry'!T$4="Logarithm",LN(0.001+IF(AND(ISNUMBER('Council Entry'!T$8),ISNUMBER('Council Entry'!T$9)),MAX(MIN('Council Entry'!T89,'Council Entry'!T$9),'Council Entry'!T$8),'Council Entry'!T89)),IF('Council Entry'!T$4="Exponential",EXP(IF(AND(ISNUMBER('Council Entry'!T$8),ISNUMBER('Council Entry'!T$9)),MAX(MIN('Council Entry'!T89,'Council Entry'!T$9),'Council Entry'!T$8),'Council Entry'!T89)),IF(AND(ISNUMBER('Council Entry'!T$8),ISNUMBER('Council Entry'!T$9)),MAX(MIN('Council Entry'!T89,'Council Entry'!T$9),'Council Entry'!T$8),'Council Entry'!T89))))-'Council Entry'!T$5)/('Council Entry'!T$6-'Council Entry'!T$5),10*((IF('Council Entry'!T$4="Logarithm",LN(0.001+IF(AND(ISNUMBER('Council Entry'!T$8),ISNUMBER('Council Entry'!T$9)),MAX(MIN('Council Entry'!T89,'Council Entry'!T$9),'Council Entry'!T$8),'Council Entry'!T89)),IF('Council Entry'!T$4="Exponential",EXP(IF(AND(ISNUMBER('Council Entry'!T$8),ISNUMBER('Council Entry'!T$9)),MAX(MIN('Council Entry'!T89,'Council Entry'!T$9),'Council Entry'!T$8),'Council Entry'!T89)),IF(AND(ISNUMBER('Council Entry'!T$8),ISNUMBER('Council Entry'!T$9)),MAX(MIN('Council Entry'!T89,'Council Entry'!T$9),'Council Entry'!T$8),'Council Entry'!T89))))-'Council Entry'!T$5)/('Council Entry'!T$6-'Council Entry'!T$5)),1))),"No data"))</f>
        <v/>
      </c>
      <c r="U89" s="13">
        <f>IF('Council Entry'!U89="","",IFERROR(MAX(0,MIN(10,ROUND(IF('Council Entry'!U$7="Decrease Risk",10-10*((IF('Council Entry'!U$4="Logarithm",LN(0.001+IF(AND(ISNUMBER('Council Entry'!U$8),ISNUMBER('Council Entry'!U$9)),MAX(MIN('Council Entry'!U89,'Council Entry'!U$9),'Council Entry'!U$8),'Council Entry'!U89)),IF('Council Entry'!U$4="Exponential",EXP(IF(AND(ISNUMBER('Council Entry'!U$8),ISNUMBER('Council Entry'!U$9)),MAX(MIN('Council Entry'!U89,'Council Entry'!U$9),'Council Entry'!U$8),'Council Entry'!U89)),IF(AND(ISNUMBER('Council Entry'!U$8),ISNUMBER('Council Entry'!U$9)),MAX(MIN('Council Entry'!U89,'Council Entry'!U$9),'Council Entry'!U$8),'Council Entry'!U89))))-'Council Entry'!U$5)/('Council Entry'!U$6-'Council Entry'!U$5),10*((IF('Council Entry'!U$4="Logarithm",LN(0.001+IF(AND(ISNUMBER('Council Entry'!U$8),ISNUMBER('Council Entry'!U$9)),MAX(MIN('Council Entry'!U89,'Council Entry'!U$9),'Council Entry'!U$8),'Council Entry'!U89)),IF('Council Entry'!U$4="Exponential",EXP(IF(AND(ISNUMBER('Council Entry'!U$8),ISNUMBER('Council Entry'!U$9)),MAX(MIN('Council Entry'!U89,'Council Entry'!U$9),'Council Entry'!U$8),'Council Entry'!U89)),IF(AND(ISNUMBER('Council Entry'!U$8),ISNUMBER('Council Entry'!U$9)),MAX(MIN('Council Entry'!U89,'Council Entry'!U$9),'Council Entry'!U$8),'Council Entry'!U89))))-'Council Entry'!U$5)/('Council Entry'!U$6-'Council Entry'!U$5)),1))),"No data"))</f>
        <v/>
      </c>
      <c r="V89" s="13">
        <f>IF('Council Entry'!V89="","",IFERROR(MAX(0,MIN(10,ROUND(IF('Council Entry'!V$7="Decrease Risk",10-10*((IF('Council Entry'!V$4="Logarithm",LN(0.001+IF(AND(ISNUMBER('Council Entry'!V$8),ISNUMBER('Council Entry'!V$9)),MAX(MIN('Council Entry'!V89,'Council Entry'!V$9),'Council Entry'!V$8),'Council Entry'!V89)),IF('Council Entry'!V$4="Exponential",EXP(IF(AND(ISNUMBER('Council Entry'!V$8),ISNUMBER('Council Entry'!V$9)),MAX(MIN('Council Entry'!V89,'Council Entry'!V$9),'Council Entry'!V$8),'Council Entry'!V89)),IF(AND(ISNUMBER('Council Entry'!V$8),ISNUMBER('Council Entry'!V$9)),MAX(MIN('Council Entry'!V89,'Council Entry'!V$9),'Council Entry'!V$8),'Council Entry'!V89))))-'Council Entry'!V$5)/('Council Entry'!V$6-'Council Entry'!V$5),10*((IF('Council Entry'!V$4="Logarithm",LN(0.001+IF(AND(ISNUMBER('Council Entry'!V$8),ISNUMBER('Council Entry'!V$9)),MAX(MIN('Council Entry'!V89,'Council Entry'!V$9),'Council Entry'!V$8),'Council Entry'!V89)),IF('Council Entry'!V$4="Exponential",EXP(IF(AND(ISNUMBER('Council Entry'!V$8),ISNUMBER('Council Entry'!V$9)),MAX(MIN('Council Entry'!V89,'Council Entry'!V$9),'Council Entry'!V$8),'Council Entry'!V89)),IF(AND(ISNUMBER('Council Entry'!V$8),ISNUMBER('Council Entry'!V$9)),MAX(MIN('Council Entry'!V89,'Council Entry'!V$9),'Council Entry'!V$8),'Council Entry'!V89))))-'Council Entry'!V$5)/('Council Entry'!V$6-'Council Entry'!V$5)),1))),"No data"))</f>
        <v/>
      </c>
      <c r="W89" s="13">
        <f>IF('Council Entry'!W89="","",IFERROR(MAX(0,MIN(10,ROUND(IF('Council Entry'!W$7="Decrease Risk",10-10*((IF('Council Entry'!W$4="Logarithm",LN(0.001+IF(AND(ISNUMBER('Council Entry'!W$8),ISNUMBER('Council Entry'!W$9)),MAX(MIN('Council Entry'!W89,'Council Entry'!W$9),'Council Entry'!W$8),'Council Entry'!W89)),IF('Council Entry'!W$4="Exponential",EXP(IF(AND(ISNUMBER('Council Entry'!W$8),ISNUMBER('Council Entry'!W$9)),MAX(MIN('Council Entry'!W89,'Council Entry'!W$9),'Council Entry'!W$8),'Council Entry'!W89)),IF(AND(ISNUMBER('Council Entry'!W$8),ISNUMBER('Council Entry'!W$9)),MAX(MIN('Council Entry'!W89,'Council Entry'!W$9),'Council Entry'!W$8),'Council Entry'!W89))))-'Council Entry'!W$5)/('Council Entry'!W$6-'Council Entry'!W$5),10*((IF('Council Entry'!W$4="Logarithm",LN(0.001+IF(AND(ISNUMBER('Council Entry'!W$8),ISNUMBER('Council Entry'!W$9)),MAX(MIN('Council Entry'!W89,'Council Entry'!W$9),'Council Entry'!W$8),'Council Entry'!W89)),IF('Council Entry'!W$4="Exponential",EXP(IF(AND(ISNUMBER('Council Entry'!W$8),ISNUMBER('Council Entry'!W$9)),MAX(MIN('Council Entry'!W89,'Council Entry'!W$9),'Council Entry'!W$8),'Council Entry'!W89)),IF(AND(ISNUMBER('Council Entry'!W$8),ISNUMBER('Council Entry'!W$9)),MAX(MIN('Council Entry'!W89,'Council Entry'!W$9),'Council Entry'!W$8),'Council Entry'!W89))))-'Council Entry'!W$5)/('Council Entry'!W$6-'Council Entry'!W$5)),1))),"No data"))</f>
        <v/>
      </c>
      <c r="X89" s="13">
        <f>IF('Council Entry'!X89="","",IFERROR(MAX(0,MIN(10,ROUND(IF('Council Entry'!X$7="Decrease Risk",10-10*((IF('Council Entry'!X$4="Logarithm",LN(0.001+IF(AND(ISNUMBER('Council Entry'!X$8),ISNUMBER('Council Entry'!X$9)),MAX(MIN('Council Entry'!X89,'Council Entry'!X$9),'Council Entry'!X$8),'Council Entry'!X89)),IF('Council Entry'!X$4="Exponential",EXP(IF(AND(ISNUMBER('Council Entry'!X$8),ISNUMBER('Council Entry'!X$9)),MAX(MIN('Council Entry'!X89,'Council Entry'!X$9),'Council Entry'!X$8),'Council Entry'!X89)),IF(AND(ISNUMBER('Council Entry'!X$8),ISNUMBER('Council Entry'!X$9)),MAX(MIN('Council Entry'!X89,'Council Entry'!X$9),'Council Entry'!X$8),'Council Entry'!X89))))-'Council Entry'!X$5)/('Council Entry'!X$6-'Council Entry'!X$5),10*((IF('Council Entry'!X$4="Logarithm",LN(0.001+IF(AND(ISNUMBER('Council Entry'!X$8),ISNUMBER('Council Entry'!X$9)),MAX(MIN('Council Entry'!X89,'Council Entry'!X$9),'Council Entry'!X$8),'Council Entry'!X89)),IF('Council Entry'!X$4="Exponential",EXP(IF(AND(ISNUMBER('Council Entry'!X$8),ISNUMBER('Council Entry'!X$9)),MAX(MIN('Council Entry'!X89,'Council Entry'!X$9),'Council Entry'!X$8),'Council Entry'!X89)),IF(AND(ISNUMBER('Council Entry'!X$8),ISNUMBER('Council Entry'!X$9)),MAX(MIN('Council Entry'!X89,'Council Entry'!X$9),'Council Entry'!X$8),'Council Entry'!X89))))-'Council Entry'!X$5)/('Council Entry'!X$6-'Council Entry'!X$5)),1))),"No data"))</f>
        <v/>
      </c>
      <c r="Y89" s="13">
        <f>IF('Council Entry'!Y89="","",IFERROR(MAX(0,MIN(10,ROUND(IF('Council Entry'!Y$7="Decrease Risk",10-10*((IF('Council Entry'!Y$4="Logarithm",LN(0.001+IF(AND(ISNUMBER('Council Entry'!Y$8),ISNUMBER('Council Entry'!Y$9)),MAX(MIN('Council Entry'!Y89,'Council Entry'!Y$9),'Council Entry'!Y$8),'Council Entry'!Y89)),IF('Council Entry'!Y$4="Exponential",EXP(IF(AND(ISNUMBER('Council Entry'!Y$8),ISNUMBER('Council Entry'!Y$9)),MAX(MIN('Council Entry'!Y89,'Council Entry'!Y$9),'Council Entry'!Y$8),'Council Entry'!Y89)),IF(AND(ISNUMBER('Council Entry'!Y$8),ISNUMBER('Council Entry'!Y$9)),MAX(MIN('Council Entry'!Y89,'Council Entry'!Y$9),'Council Entry'!Y$8),'Council Entry'!Y89))))-'Council Entry'!Y$5)/('Council Entry'!Y$6-'Council Entry'!Y$5),10*((IF('Council Entry'!Y$4="Logarithm",LN(0.001+IF(AND(ISNUMBER('Council Entry'!Y$8),ISNUMBER('Council Entry'!Y$9)),MAX(MIN('Council Entry'!Y89,'Council Entry'!Y$9),'Council Entry'!Y$8),'Council Entry'!Y89)),IF('Council Entry'!Y$4="Exponential",EXP(IF(AND(ISNUMBER('Council Entry'!Y$8),ISNUMBER('Council Entry'!Y$9)),MAX(MIN('Council Entry'!Y89,'Council Entry'!Y$9),'Council Entry'!Y$8),'Council Entry'!Y89)),IF(AND(ISNUMBER('Council Entry'!Y$8),ISNUMBER('Council Entry'!Y$9)),MAX(MIN('Council Entry'!Y89,'Council Entry'!Y$9),'Council Entry'!Y$8),'Council Entry'!Y89))))-'Council Entry'!Y$5)/('Council Entry'!Y$6-'Council Entry'!Y$5)),1))),"No data"))</f>
        <v/>
      </c>
      <c r="Z89" s="13">
        <f>IF('Council Entry'!Z89="","",IFERROR(MAX(0,MIN(10,ROUND(IF('Council Entry'!Z$7="Decrease Risk",10-10*((IF('Council Entry'!Z$4="Logarithm",LN(0.001+IF(AND(ISNUMBER('Council Entry'!Z$8),ISNUMBER('Council Entry'!Z$9)),MAX(MIN('Council Entry'!Z89,'Council Entry'!Z$9),'Council Entry'!Z$8),'Council Entry'!Z89)),IF('Council Entry'!Z$4="Exponential",EXP(IF(AND(ISNUMBER('Council Entry'!Z$8),ISNUMBER('Council Entry'!Z$9)),MAX(MIN('Council Entry'!Z89,'Council Entry'!Z$9),'Council Entry'!Z$8),'Council Entry'!Z89)),IF(AND(ISNUMBER('Council Entry'!Z$8),ISNUMBER('Council Entry'!Z$9)),MAX(MIN('Council Entry'!Z89,'Council Entry'!Z$9),'Council Entry'!Z$8),'Council Entry'!Z89))))-'Council Entry'!Z$5)/('Council Entry'!Z$6-'Council Entry'!Z$5),10*((IF('Council Entry'!Z$4="Logarithm",LN(0.001+IF(AND(ISNUMBER('Council Entry'!Z$8),ISNUMBER('Council Entry'!Z$9)),MAX(MIN('Council Entry'!Z89,'Council Entry'!Z$9),'Council Entry'!Z$8),'Council Entry'!Z89)),IF('Council Entry'!Z$4="Exponential",EXP(IF(AND(ISNUMBER('Council Entry'!Z$8),ISNUMBER('Council Entry'!Z$9)),MAX(MIN('Council Entry'!Z89,'Council Entry'!Z$9),'Council Entry'!Z$8),'Council Entry'!Z89)),IF(AND(ISNUMBER('Council Entry'!Z$8),ISNUMBER('Council Entry'!Z$9)),MAX(MIN('Council Entry'!Z89,'Council Entry'!Z$9),'Council Entry'!Z$8),'Council Entry'!Z89))))-'Council Entry'!Z$5)/('Council Entry'!Z$6-'Council Entry'!Z$5)),1))),"No data"))</f>
        <v/>
      </c>
      <c r="AA89" s="13">
        <f>IF('Council Entry'!AA89="","",IFERROR(MAX(0,MIN(10,ROUND(IF('Council Entry'!AA$7="Decrease Risk",10-10*((IF('Council Entry'!AA$4="Logarithm",LN(0.001+IF(AND(ISNUMBER('Council Entry'!AA$8),ISNUMBER('Council Entry'!AA$9)),MAX(MIN('Council Entry'!AA89,'Council Entry'!AA$9),'Council Entry'!AA$8),'Council Entry'!AA89)),IF('Council Entry'!AA$4="Exponential",EXP(IF(AND(ISNUMBER('Council Entry'!AA$8),ISNUMBER('Council Entry'!AA$9)),MAX(MIN('Council Entry'!AA89,'Council Entry'!AA$9),'Council Entry'!AA$8),'Council Entry'!AA89)),IF(AND(ISNUMBER('Council Entry'!AA$8),ISNUMBER('Council Entry'!AA$9)),MAX(MIN('Council Entry'!AA89,'Council Entry'!AA$9),'Council Entry'!AA$8),'Council Entry'!AA89))))-'Council Entry'!AA$5)/('Council Entry'!AA$6-'Council Entry'!AA$5),10*((IF('Council Entry'!AA$4="Logarithm",LN(0.001+IF(AND(ISNUMBER('Council Entry'!AA$8),ISNUMBER('Council Entry'!AA$9)),MAX(MIN('Council Entry'!AA89,'Council Entry'!AA$9),'Council Entry'!AA$8),'Council Entry'!AA89)),IF('Council Entry'!AA$4="Exponential",EXP(IF(AND(ISNUMBER('Council Entry'!AA$8),ISNUMBER('Council Entry'!AA$9)),MAX(MIN('Council Entry'!AA89,'Council Entry'!AA$9),'Council Entry'!AA$8),'Council Entry'!AA89)),IF(AND(ISNUMBER('Council Entry'!AA$8),ISNUMBER('Council Entry'!AA$9)),MAX(MIN('Council Entry'!AA89,'Council Entry'!AA$9),'Council Entry'!AA$8),'Council Entry'!AA89))))-'Council Entry'!AA$5)/('Council Entry'!AA$6-'Council Entry'!AA$5)),1))),"No data"))</f>
        <v/>
      </c>
      <c r="AB89" s="13">
        <f>IF('Council Entry'!AB89="","",IFERROR(MAX(0,MIN(10,ROUND(IF('Council Entry'!AB$7="Decrease Risk",10-10*((IF('Council Entry'!AB$4="Logarithm",LN(0.001+IF(AND(ISNUMBER('Council Entry'!AB$8),ISNUMBER('Council Entry'!AB$9)),MAX(MIN('Council Entry'!AB89,'Council Entry'!AB$9),'Council Entry'!AB$8),'Council Entry'!AB89)),IF('Council Entry'!AB$4="Exponential",EXP(IF(AND(ISNUMBER('Council Entry'!AB$8),ISNUMBER('Council Entry'!AB$9)),MAX(MIN('Council Entry'!AB89,'Council Entry'!AB$9),'Council Entry'!AB$8),'Council Entry'!AB89)),IF(AND(ISNUMBER('Council Entry'!AB$8),ISNUMBER('Council Entry'!AB$9)),MAX(MIN('Council Entry'!AB89,'Council Entry'!AB$9),'Council Entry'!AB$8),'Council Entry'!AB89))))-'Council Entry'!AB$5)/('Council Entry'!AB$6-'Council Entry'!AB$5),10*((IF('Council Entry'!AB$4="Logarithm",LN(0.001+IF(AND(ISNUMBER('Council Entry'!AB$8),ISNUMBER('Council Entry'!AB$9)),MAX(MIN('Council Entry'!AB89,'Council Entry'!AB$9),'Council Entry'!AB$8),'Council Entry'!AB89)),IF('Council Entry'!AB$4="Exponential",EXP(IF(AND(ISNUMBER('Council Entry'!AB$8),ISNUMBER('Council Entry'!AB$9)),MAX(MIN('Council Entry'!AB89,'Council Entry'!AB$9),'Council Entry'!AB$8),'Council Entry'!AB89)),IF(AND(ISNUMBER('Council Entry'!AB$8),ISNUMBER('Council Entry'!AB$9)),MAX(MIN('Council Entry'!AB89,'Council Entry'!AB$9),'Council Entry'!AB$8),'Council Entry'!AB89))))-'Council Entry'!AB$5)/('Council Entry'!AB$6-'Council Entry'!AB$5)),1))),"No data"))</f>
        <v/>
      </c>
      <c r="AC89" s="13">
        <f>IF('Council Entry'!AC89="","",IFERROR(MAX(0,MIN(10,ROUND(IF('Council Entry'!AC$7="Decrease Risk",10-10*((IF('Council Entry'!AC$4="Logarithm",LN(0.001+IF(AND(ISNUMBER('Council Entry'!AC$8),ISNUMBER('Council Entry'!AC$9)),MAX(MIN('Council Entry'!AC89,'Council Entry'!AC$9),'Council Entry'!AC$8),'Council Entry'!AC89)),IF('Council Entry'!AC$4="Exponential",EXP(IF(AND(ISNUMBER('Council Entry'!AC$8),ISNUMBER('Council Entry'!AC$9)),MAX(MIN('Council Entry'!AC89,'Council Entry'!AC$9),'Council Entry'!AC$8),'Council Entry'!AC89)),IF(AND(ISNUMBER('Council Entry'!AC$8),ISNUMBER('Council Entry'!AC$9)),MAX(MIN('Council Entry'!AC89,'Council Entry'!AC$9),'Council Entry'!AC$8),'Council Entry'!AC89))))-'Council Entry'!AC$5)/('Council Entry'!AC$6-'Council Entry'!AC$5),10*((IF('Council Entry'!AC$4="Logarithm",LN(0.001+IF(AND(ISNUMBER('Council Entry'!AC$8),ISNUMBER('Council Entry'!AC$9)),MAX(MIN('Council Entry'!AC89,'Council Entry'!AC$9),'Council Entry'!AC$8),'Council Entry'!AC89)),IF('Council Entry'!AC$4="Exponential",EXP(IF(AND(ISNUMBER('Council Entry'!AC$8),ISNUMBER('Council Entry'!AC$9)),MAX(MIN('Council Entry'!AC89,'Council Entry'!AC$9),'Council Entry'!AC$8),'Council Entry'!AC89)),IF(AND(ISNUMBER('Council Entry'!AC$8),ISNUMBER('Council Entry'!AC$9)),MAX(MIN('Council Entry'!AC89,'Council Entry'!AC$9),'Council Entry'!AC$8),'Council Entry'!AC89))))-'Council Entry'!AC$5)/('Council Entry'!AC$6-'Council Entry'!AC$5)),1))),"No data"))</f>
        <v/>
      </c>
      <c r="AD89" s="13">
        <f>IF('Council Entry'!AD89="","",IFERROR(MAX(0,MIN(10,ROUND(IF('Council Entry'!AD$7="Decrease Risk",10-10*((IF('Council Entry'!AD$4="Logarithm",LN(0.001+IF(AND(ISNUMBER('Council Entry'!AD$8),ISNUMBER('Council Entry'!AD$9)),MAX(MIN('Council Entry'!AD89,'Council Entry'!AD$9),'Council Entry'!AD$8),'Council Entry'!AD89)),IF('Council Entry'!AD$4="Exponential",EXP(IF(AND(ISNUMBER('Council Entry'!AD$8),ISNUMBER('Council Entry'!AD$9)),MAX(MIN('Council Entry'!AD89,'Council Entry'!AD$9),'Council Entry'!AD$8),'Council Entry'!AD89)),IF(AND(ISNUMBER('Council Entry'!AD$8),ISNUMBER('Council Entry'!AD$9)),MAX(MIN('Council Entry'!AD89,'Council Entry'!AD$9),'Council Entry'!AD$8),'Council Entry'!AD89))))-'Council Entry'!AD$5)/('Council Entry'!AD$6-'Council Entry'!AD$5),10*((IF('Council Entry'!AD$4="Logarithm",LN(0.001+IF(AND(ISNUMBER('Council Entry'!AD$8),ISNUMBER('Council Entry'!AD$9)),MAX(MIN('Council Entry'!AD89,'Council Entry'!AD$9),'Council Entry'!AD$8),'Council Entry'!AD89)),IF('Council Entry'!AD$4="Exponential",EXP(IF(AND(ISNUMBER('Council Entry'!AD$8),ISNUMBER('Council Entry'!AD$9)),MAX(MIN('Council Entry'!AD89,'Council Entry'!AD$9),'Council Entry'!AD$8),'Council Entry'!AD89)),IF(AND(ISNUMBER('Council Entry'!AD$8),ISNUMBER('Council Entry'!AD$9)),MAX(MIN('Council Entry'!AD89,'Council Entry'!AD$9),'Council Entry'!AD$8),'Council Entry'!AD89))))-'Council Entry'!AD$5)/('Council Entry'!AD$6-'Council Entry'!AD$5)),1))),"No data"))</f>
        <v/>
      </c>
      <c r="AE89" s="13">
        <f>IF('Council Entry'!AE89="","",IFERROR(MAX(0,MIN(10,ROUND(IF('Council Entry'!AE$7="Decrease Risk",10-10*((IF('Council Entry'!AE$4="Logarithm",LN(0.001+IF(AND(ISNUMBER('Council Entry'!AE$8),ISNUMBER('Council Entry'!AE$9)),MAX(MIN('Council Entry'!AE89,'Council Entry'!AE$9),'Council Entry'!AE$8),'Council Entry'!AE89)),IF('Council Entry'!AE$4="Exponential",EXP(IF(AND(ISNUMBER('Council Entry'!AE$8),ISNUMBER('Council Entry'!AE$9)),MAX(MIN('Council Entry'!AE89,'Council Entry'!AE$9),'Council Entry'!AE$8),'Council Entry'!AE89)),IF(AND(ISNUMBER('Council Entry'!AE$8),ISNUMBER('Council Entry'!AE$9)),MAX(MIN('Council Entry'!AE89,'Council Entry'!AE$9),'Council Entry'!AE$8),'Council Entry'!AE89))))-'Council Entry'!AE$5)/('Council Entry'!AE$6-'Council Entry'!AE$5),10*((IF('Council Entry'!AE$4="Logarithm",LN(0.001+IF(AND(ISNUMBER('Council Entry'!AE$8),ISNUMBER('Council Entry'!AE$9)),MAX(MIN('Council Entry'!AE89,'Council Entry'!AE$9),'Council Entry'!AE$8),'Council Entry'!AE89)),IF('Council Entry'!AE$4="Exponential",EXP(IF(AND(ISNUMBER('Council Entry'!AE$8),ISNUMBER('Council Entry'!AE$9)),MAX(MIN('Council Entry'!AE89,'Council Entry'!AE$9),'Council Entry'!AE$8),'Council Entry'!AE89)),IF(AND(ISNUMBER('Council Entry'!AE$8),ISNUMBER('Council Entry'!AE$9)),MAX(MIN('Council Entry'!AE89,'Council Entry'!AE$9),'Council Entry'!AE$8),'Council Entry'!AE89))))-'Council Entry'!AE$5)/('Council Entry'!AE$6-'Council Entry'!AE$5)),1))),"No data"))</f>
        <v/>
      </c>
      <c r="AF89" s="13">
        <f>IF('Council Entry'!AF89="","",IFERROR(MAX(0,MIN(10,ROUND(IF('Council Entry'!AF$7="Decrease Risk",10-10*((IF('Council Entry'!AF$4="Logarithm",LN(0.001+IF(AND(ISNUMBER('Council Entry'!AF$8),ISNUMBER('Council Entry'!AF$9)),MAX(MIN('Council Entry'!AF89,'Council Entry'!AF$9),'Council Entry'!AF$8),'Council Entry'!AF89)),IF('Council Entry'!AF$4="Exponential",EXP(IF(AND(ISNUMBER('Council Entry'!AF$8),ISNUMBER('Council Entry'!AF$9)),MAX(MIN('Council Entry'!AF89,'Council Entry'!AF$9),'Council Entry'!AF$8),'Council Entry'!AF89)),IF(AND(ISNUMBER('Council Entry'!AF$8),ISNUMBER('Council Entry'!AF$9)),MAX(MIN('Council Entry'!AF89,'Council Entry'!AF$9),'Council Entry'!AF$8),'Council Entry'!AF89))))-'Council Entry'!AF$5)/('Council Entry'!AF$6-'Council Entry'!AF$5),10*((IF('Council Entry'!AF$4="Logarithm",LN(0.001+IF(AND(ISNUMBER('Council Entry'!AF$8),ISNUMBER('Council Entry'!AF$9)),MAX(MIN('Council Entry'!AF89,'Council Entry'!AF$9),'Council Entry'!AF$8),'Council Entry'!AF89)),IF('Council Entry'!AF$4="Exponential",EXP(IF(AND(ISNUMBER('Council Entry'!AF$8),ISNUMBER('Council Entry'!AF$9)),MAX(MIN('Council Entry'!AF89,'Council Entry'!AF$9),'Council Entry'!AF$8),'Council Entry'!AF89)),IF(AND(ISNUMBER('Council Entry'!AF$8),ISNUMBER('Council Entry'!AF$9)),MAX(MIN('Council Entry'!AF89,'Council Entry'!AF$9),'Council Entry'!AF$8),'Council Entry'!AF89))))-'Council Entry'!AF$5)/('Council Entry'!AF$6-'Council Entry'!AF$5)),1))),"No data"))</f>
        <v/>
      </c>
      <c r="AG89" s="13">
        <f>IF('Council Entry'!AG89="","",IFERROR(MAX(0,MIN(10,ROUND(IF('Council Entry'!AG$7="Decrease Risk",10-10*((IF('Council Entry'!AG$4="Logarithm",LN(0.001+IF(AND(ISNUMBER('Council Entry'!AG$8),ISNUMBER('Council Entry'!AG$9)),MAX(MIN('Council Entry'!AG89,'Council Entry'!AG$9),'Council Entry'!AG$8),'Council Entry'!AG89)),IF('Council Entry'!AG$4="Exponential",EXP(IF(AND(ISNUMBER('Council Entry'!AG$8),ISNUMBER('Council Entry'!AG$9)),MAX(MIN('Council Entry'!AG89,'Council Entry'!AG$9),'Council Entry'!AG$8),'Council Entry'!AG89)),IF(AND(ISNUMBER('Council Entry'!AG$8),ISNUMBER('Council Entry'!AG$9)),MAX(MIN('Council Entry'!AG89,'Council Entry'!AG$9),'Council Entry'!AG$8),'Council Entry'!AG89))))-'Council Entry'!AG$5)/('Council Entry'!AG$6-'Council Entry'!AG$5),10*((IF('Council Entry'!AG$4="Logarithm",LN(0.001+IF(AND(ISNUMBER('Council Entry'!AG$8),ISNUMBER('Council Entry'!AG$9)),MAX(MIN('Council Entry'!AG89,'Council Entry'!AG$9),'Council Entry'!AG$8),'Council Entry'!AG89)),IF('Council Entry'!AG$4="Exponential",EXP(IF(AND(ISNUMBER('Council Entry'!AG$8),ISNUMBER('Council Entry'!AG$9)),MAX(MIN('Council Entry'!AG89,'Council Entry'!AG$9),'Council Entry'!AG$8),'Council Entry'!AG89)),IF(AND(ISNUMBER('Council Entry'!AG$8),ISNUMBER('Council Entry'!AG$9)),MAX(MIN('Council Entry'!AG89,'Council Entry'!AG$9),'Council Entry'!AG$8),'Council Entry'!AG89))))-'Council Entry'!AG$5)/('Council Entry'!AG$6-'Council Entry'!AG$5)),1))),"No data"))</f>
        <v/>
      </c>
      <c r="AH89" s="13">
        <f>IF('Council Entry'!AH89="","",IFERROR(MAX(0,MIN(10,ROUND(IF('Council Entry'!AH$7="Decrease Risk",10-10*((IF('Council Entry'!AH$4="Logarithm",LN(0.001+IF(AND(ISNUMBER('Council Entry'!AH$8),ISNUMBER('Council Entry'!AH$9)),MAX(MIN('Council Entry'!AH89,'Council Entry'!AH$9),'Council Entry'!AH$8),'Council Entry'!AH89)),IF('Council Entry'!AH$4="Exponential",EXP(IF(AND(ISNUMBER('Council Entry'!AH$8),ISNUMBER('Council Entry'!AH$9)),MAX(MIN('Council Entry'!AH89,'Council Entry'!AH$9),'Council Entry'!AH$8),'Council Entry'!AH89)),IF(AND(ISNUMBER('Council Entry'!AH$8),ISNUMBER('Council Entry'!AH$9)),MAX(MIN('Council Entry'!AH89,'Council Entry'!AH$9),'Council Entry'!AH$8),'Council Entry'!AH89))))-'Council Entry'!AH$5)/('Council Entry'!AH$6-'Council Entry'!AH$5),10*((IF('Council Entry'!AH$4="Logarithm",LN(0.001+IF(AND(ISNUMBER('Council Entry'!AH$8),ISNUMBER('Council Entry'!AH$9)),MAX(MIN('Council Entry'!AH89,'Council Entry'!AH$9),'Council Entry'!AH$8),'Council Entry'!AH89)),IF('Council Entry'!AH$4="Exponential",EXP(IF(AND(ISNUMBER('Council Entry'!AH$8),ISNUMBER('Council Entry'!AH$9)),MAX(MIN('Council Entry'!AH89,'Council Entry'!AH$9),'Council Entry'!AH$8),'Council Entry'!AH89)),IF(AND(ISNUMBER('Council Entry'!AH$8),ISNUMBER('Council Entry'!AH$9)),MAX(MIN('Council Entry'!AH89,'Council Entry'!AH$9),'Council Entry'!AH$8),'Council Entry'!AH89))))-'Council Entry'!AH$5)/('Council Entry'!AH$6-'Council Entry'!AH$5)),1))),"No data"))</f>
        <v/>
      </c>
      <c r="AI89" s="13">
        <f>IF('Council Entry'!AI89="","",IFERROR(MAX(0,MIN(10,ROUND(IF('Council Entry'!AI$7="Decrease Risk",10-10*((IF('Council Entry'!AI$4="Logarithm",LN(0.001+IF(AND(ISNUMBER('Council Entry'!AI$8),ISNUMBER('Council Entry'!AI$9)),MAX(MIN('Council Entry'!AI89,'Council Entry'!AI$9),'Council Entry'!AI$8),'Council Entry'!AI89)),IF('Council Entry'!AI$4="Exponential",EXP(IF(AND(ISNUMBER('Council Entry'!AI$8),ISNUMBER('Council Entry'!AI$9)),MAX(MIN('Council Entry'!AI89,'Council Entry'!AI$9),'Council Entry'!AI$8),'Council Entry'!AI89)),IF(AND(ISNUMBER('Council Entry'!AI$8),ISNUMBER('Council Entry'!AI$9)),MAX(MIN('Council Entry'!AI89,'Council Entry'!AI$9),'Council Entry'!AI$8),'Council Entry'!AI89))))-'Council Entry'!AI$5)/('Council Entry'!AI$6-'Council Entry'!AI$5),10*((IF('Council Entry'!AI$4="Logarithm",LN(0.001+IF(AND(ISNUMBER('Council Entry'!AI$8),ISNUMBER('Council Entry'!AI$9)),MAX(MIN('Council Entry'!AI89,'Council Entry'!AI$9),'Council Entry'!AI$8),'Council Entry'!AI89)),IF('Council Entry'!AI$4="Exponential",EXP(IF(AND(ISNUMBER('Council Entry'!AI$8),ISNUMBER('Council Entry'!AI$9)),MAX(MIN('Council Entry'!AI89,'Council Entry'!AI$9),'Council Entry'!AI$8),'Council Entry'!AI89)),IF(AND(ISNUMBER('Council Entry'!AI$8),ISNUMBER('Council Entry'!AI$9)),MAX(MIN('Council Entry'!AI89,'Council Entry'!AI$9),'Council Entry'!AI$8),'Council Entry'!AI89))))-'Council Entry'!AI$5)/('Council Entry'!AI$6-'Council Entry'!AI$5)),1))),"No data"))</f>
        <v/>
      </c>
      <c r="AJ89" s="13">
        <f>IF('Council Entry'!AJ89="","",IFERROR(MAX(0,MIN(10,ROUND(IF('Council Entry'!AJ$7="Decrease Risk",10-10*((IF('Council Entry'!AJ$4="Logarithm",LN(0.001+IF(AND(ISNUMBER('Council Entry'!AJ$8),ISNUMBER('Council Entry'!AJ$9)),MAX(MIN('Council Entry'!AJ89,'Council Entry'!AJ$9),'Council Entry'!AJ$8),'Council Entry'!AJ89)),IF('Council Entry'!AJ$4="Exponential",EXP(IF(AND(ISNUMBER('Council Entry'!AJ$8),ISNUMBER('Council Entry'!AJ$9)),MAX(MIN('Council Entry'!AJ89,'Council Entry'!AJ$9),'Council Entry'!AJ$8),'Council Entry'!AJ89)),IF(AND(ISNUMBER('Council Entry'!AJ$8),ISNUMBER('Council Entry'!AJ$9)),MAX(MIN('Council Entry'!AJ89,'Council Entry'!AJ$9),'Council Entry'!AJ$8),'Council Entry'!AJ89))))-'Council Entry'!AJ$5)/('Council Entry'!AJ$6-'Council Entry'!AJ$5),10*((IF('Council Entry'!AJ$4="Logarithm",LN(0.001+IF(AND(ISNUMBER('Council Entry'!AJ$8),ISNUMBER('Council Entry'!AJ$9)),MAX(MIN('Council Entry'!AJ89,'Council Entry'!AJ$9),'Council Entry'!AJ$8),'Council Entry'!AJ89)),IF('Council Entry'!AJ$4="Exponential",EXP(IF(AND(ISNUMBER('Council Entry'!AJ$8),ISNUMBER('Council Entry'!AJ$9)),MAX(MIN('Council Entry'!AJ89,'Council Entry'!AJ$9),'Council Entry'!AJ$8),'Council Entry'!AJ89)),IF(AND(ISNUMBER('Council Entry'!AJ$8),ISNUMBER('Council Entry'!AJ$9)),MAX(MIN('Council Entry'!AJ89,'Council Entry'!AJ$9),'Council Entry'!AJ$8),'Council Entry'!AJ89))))-'Council Entry'!AJ$5)/('Council Entry'!AJ$6-'Council Entry'!AJ$5)),1))),"No data"))</f>
        <v/>
      </c>
      <c r="AK89" s="13">
        <f>IF('Council Entry'!AK89="","",IFERROR(MAX(0,MIN(10,ROUND(IF('Council Entry'!AK$7="Decrease Risk",10-10*((IF('Council Entry'!AK$4="Logarithm",LN(0.001+IF(AND(ISNUMBER('Council Entry'!AK$8),ISNUMBER('Council Entry'!AK$9)),MAX(MIN('Council Entry'!AK89,'Council Entry'!AK$9),'Council Entry'!AK$8),'Council Entry'!AK89)),IF('Council Entry'!AK$4="Exponential",EXP(IF(AND(ISNUMBER('Council Entry'!AK$8),ISNUMBER('Council Entry'!AK$9)),MAX(MIN('Council Entry'!AK89,'Council Entry'!AK$9),'Council Entry'!AK$8),'Council Entry'!AK89)),IF(AND(ISNUMBER('Council Entry'!AK$8),ISNUMBER('Council Entry'!AK$9)),MAX(MIN('Council Entry'!AK89,'Council Entry'!AK$9),'Council Entry'!AK$8),'Council Entry'!AK89))))-'Council Entry'!AK$5)/('Council Entry'!AK$6-'Council Entry'!AK$5),10*((IF('Council Entry'!AK$4="Logarithm",LN(0.001+IF(AND(ISNUMBER('Council Entry'!AK$8),ISNUMBER('Council Entry'!AK$9)),MAX(MIN('Council Entry'!AK89,'Council Entry'!AK$9),'Council Entry'!AK$8),'Council Entry'!AK89)),IF('Council Entry'!AK$4="Exponential",EXP(IF(AND(ISNUMBER('Council Entry'!AK$8),ISNUMBER('Council Entry'!AK$9)),MAX(MIN('Council Entry'!AK89,'Council Entry'!AK$9),'Council Entry'!AK$8),'Council Entry'!AK89)),IF(AND(ISNUMBER('Council Entry'!AK$8),ISNUMBER('Council Entry'!AK$9)),MAX(MIN('Council Entry'!AK89,'Council Entry'!AK$9),'Council Entry'!AK$8),'Council Entry'!AK89))))-'Council Entry'!AK$5)/('Council Entry'!AK$6-'Council Entry'!AK$5)),1))),"No data"))</f>
        <v/>
      </c>
      <c r="AL89" s="13">
        <f>IF('Council Entry'!AL89="","",IFERROR(MAX(0,MIN(10,ROUND(IF('Council Entry'!AL$7="Decrease Risk",10-10*((IF('Council Entry'!AL$4="Logarithm",LN(0.001+IF(AND(ISNUMBER('Council Entry'!AL$8),ISNUMBER('Council Entry'!AL$9)),MAX(MIN('Council Entry'!AL89,'Council Entry'!AL$9),'Council Entry'!AL$8),'Council Entry'!AL89)),IF('Council Entry'!AL$4="Exponential",EXP(IF(AND(ISNUMBER('Council Entry'!AL$8),ISNUMBER('Council Entry'!AL$9)),MAX(MIN('Council Entry'!AL89,'Council Entry'!AL$9),'Council Entry'!AL$8),'Council Entry'!AL89)),IF(AND(ISNUMBER('Council Entry'!AL$8),ISNUMBER('Council Entry'!AL$9)),MAX(MIN('Council Entry'!AL89,'Council Entry'!AL$9),'Council Entry'!AL$8),'Council Entry'!AL89))))-'Council Entry'!AL$5)/('Council Entry'!AL$6-'Council Entry'!AL$5),10*((IF('Council Entry'!AL$4="Logarithm",LN(0.001+IF(AND(ISNUMBER('Council Entry'!AL$8),ISNUMBER('Council Entry'!AL$9)),MAX(MIN('Council Entry'!AL89,'Council Entry'!AL$9),'Council Entry'!AL$8),'Council Entry'!AL89)),IF('Council Entry'!AL$4="Exponential",EXP(IF(AND(ISNUMBER('Council Entry'!AL$8),ISNUMBER('Council Entry'!AL$9)),MAX(MIN('Council Entry'!AL89,'Council Entry'!AL$9),'Council Entry'!AL$8),'Council Entry'!AL89)),IF(AND(ISNUMBER('Council Entry'!AL$8),ISNUMBER('Council Entry'!AL$9)),MAX(MIN('Council Entry'!AL89,'Council Entry'!AL$9),'Council Entry'!AL$8),'Council Entry'!AL89))))-'Council Entry'!AL$5)/('Council Entry'!AL$6-'Council Entry'!AL$5)),1))),"No data"))</f>
        <v/>
      </c>
      <c r="AM89" s="13">
        <f>IF('Council Entry'!AM89="","",IFERROR(MAX(0,MIN(10,ROUND(IF('Council Entry'!AM$7="Decrease Risk",10-10*((IF('Council Entry'!AM$4="Logarithm",LN(0.001+IF(AND(ISNUMBER('Council Entry'!AM$8),ISNUMBER('Council Entry'!AM$9)),MAX(MIN('Council Entry'!AM89,'Council Entry'!AM$9),'Council Entry'!AM$8),'Council Entry'!AM89)),IF('Council Entry'!AM$4="Exponential",EXP(IF(AND(ISNUMBER('Council Entry'!AM$8),ISNUMBER('Council Entry'!AM$9)),MAX(MIN('Council Entry'!AM89,'Council Entry'!AM$9),'Council Entry'!AM$8),'Council Entry'!AM89)),IF(AND(ISNUMBER('Council Entry'!AM$8),ISNUMBER('Council Entry'!AM$9)),MAX(MIN('Council Entry'!AM89,'Council Entry'!AM$9),'Council Entry'!AM$8),'Council Entry'!AM89))))-'Council Entry'!AM$5)/('Council Entry'!AM$6-'Council Entry'!AM$5),10*((IF('Council Entry'!AM$4="Logarithm",LN(0.001+IF(AND(ISNUMBER('Council Entry'!AM$8),ISNUMBER('Council Entry'!AM$9)),MAX(MIN('Council Entry'!AM89,'Council Entry'!AM$9),'Council Entry'!AM$8),'Council Entry'!AM89)),IF('Council Entry'!AM$4="Exponential",EXP(IF(AND(ISNUMBER('Council Entry'!AM$8),ISNUMBER('Council Entry'!AM$9)),MAX(MIN('Council Entry'!AM89,'Council Entry'!AM$9),'Council Entry'!AM$8),'Council Entry'!AM89)),IF(AND(ISNUMBER('Council Entry'!AM$8),ISNUMBER('Council Entry'!AM$9)),MAX(MIN('Council Entry'!AM89,'Council Entry'!AM$9),'Council Entry'!AM$8),'Council Entry'!AM89))))-'Council Entry'!AM$5)/('Council Entry'!AM$6-'Council Entry'!AM$5)),1))),"No data"))</f>
        <v/>
      </c>
      <c r="AN89" s="13">
        <f>IF('Council Entry'!AN89="","",IFERROR(MAX(0,MIN(10,ROUND(IF('Council Entry'!AN$7="Decrease Risk",10-10*((IF('Council Entry'!AN$4="Logarithm",LN(0.001+IF(AND(ISNUMBER('Council Entry'!AN$8),ISNUMBER('Council Entry'!AN$9)),MAX(MIN('Council Entry'!AN89,'Council Entry'!AN$9),'Council Entry'!AN$8),'Council Entry'!AN89)),IF('Council Entry'!AN$4="Exponential",EXP(IF(AND(ISNUMBER('Council Entry'!AN$8),ISNUMBER('Council Entry'!AN$9)),MAX(MIN('Council Entry'!AN89,'Council Entry'!AN$9),'Council Entry'!AN$8),'Council Entry'!AN89)),IF(AND(ISNUMBER('Council Entry'!AN$8),ISNUMBER('Council Entry'!AN$9)),MAX(MIN('Council Entry'!AN89,'Council Entry'!AN$9),'Council Entry'!AN$8),'Council Entry'!AN89))))-'Council Entry'!AN$5)/('Council Entry'!AN$6-'Council Entry'!AN$5),10*((IF('Council Entry'!AN$4="Logarithm",LN(0.001+IF(AND(ISNUMBER('Council Entry'!AN$8),ISNUMBER('Council Entry'!AN$9)),MAX(MIN('Council Entry'!AN89,'Council Entry'!AN$9),'Council Entry'!AN$8),'Council Entry'!AN89)),IF('Council Entry'!AN$4="Exponential",EXP(IF(AND(ISNUMBER('Council Entry'!AN$8),ISNUMBER('Council Entry'!AN$9)),MAX(MIN('Council Entry'!AN89,'Council Entry'!AN$9),'Council Entry'!AN$8),'Council Entry'!AN89)),IF(AND(ISNUMBER('Council Entry'!AN$8),ISNUMBER('Council Entry'!AN$9)),MAX(MIN('Council Entry'!AN89,'Council Entry'!AN$9),'Council Entry'!AN$8),'Council Entry'!AN89))))-'Council Entry'!AN$5)/('Council Entry'!AN$6-'Council Entry'!AN$5)),1))),"No data"))</f>
        <v/>
      </c>
      <c r="AO89" s="13">
        <f>IF('Council Entry'!AO89="","",IFERROR(MAX(0,MIN(10,ROUND(IF('Council Entry'!AO$7="Decrease Risk",10-10*((IF('Council Entry'!AO$4="Logarithm",LN(0.001+IF(AND(ISNUMBER('Council Entry'!AO$8),ISNUMBER('Council Entry'!AO$9)),MAX(MIN('Council Entry'!AO89,'Council Entry'!AO$9),'Council Entry'!AO$8),'Council Entry'!AO89)),IF('Council Entry'!AO$4="Exponential",EXP(IF(AND(ISNUMBER('Council Entry'!AO$8),ISNUMBER('Council Entry'!AO$9)),MAX(MIN('Council Entry'!AO89,'Council Entry'!AO$9),'Council Entry'!AO$8),'Council Entry'!AO89)),IF(AND(ISNUMBER('Council Entry'!AO$8),ISNUMBER('Council Entry'!AO$9)),MAX(MIN('Council Entry'!AO89,'Council Entry'!AO$9),'Council Entry'!AO$8),'Council Entry'!AO89))))-'Council Entry'!AO$5)/('Council Entry'!AO$6-'Council Entry'!AO$5),10*((IF('Council Entry'!AO$4="Logarithm",LN(0.001+IF(AND(ISNUMBER('Council Entry'!AO$8),ISNUMBER('Council Entry'!AO$9)),MAX(MIN('Council Entry'!AO89,'Council Entry'!AO$9),'Council Entry'!AO$8),'Council Entry'!AO89)),IF('Council Entry'!AO$4="Exponential",EXP(IF(AND(ISNUMBER('Council Entry'!AO$8),ISNUMBER('Council Entry'!AO$9)),MAX(MIN('Council Entry'!AO89,'Council Entry'!AO$9),'Council Entry'!AO$8),'Council Entry'!AO89)),IF(AND(ISNUMBER('Council Entry'!AO$8),ISNUMBER('Council Entry'!AO$9)),MAX(MIN('Council Entry'!AO89,'Council Entry'!AO$9),'Council Entry'!AO$8),'Council Entry'!AO89))))-'Council Entry'!AO$5)/('Council Entry'!AO$6-'Council Entry'!AO$5)),1))),"No data"))</f>
        <v/>
      </c>
      <c r="AP89" s="13">
        <f>IF('Council Entry'!AP89="","",IFERROR(MAX(0,MIN(10,ROUND(IF('Council Entry'!AP$7="Decrease Risk",10-10*((IF('Council Entry'!AP$4="Logarithm",LN(0.001+IF(AND(ISNUMBER('Council Entry'!AP$8),ISNUMBER('Council Entry'!AP$9)),MAX(MIN('Council Entry'!AP89,'Council Entry'!AP$9),'Council Entry'!AP$8),'Council Entry'!AP89)),IF('Council Entry'!AP$4="Exponential",EXP(IF(AND(ISNUMBER('Council Entry'!AP$8),ISNUMBER('Council Entry'!AP$9)),MAX(MIN('Council Entry'!AP89,'Council Entry'!AP$9),'Council Entry'!AP$8),'Council Entry'!AP89)),IF(AND(ISNUMBER('Council Entry'!AP$8),ISNUMBER('Council Entry'!AP$9)),MAX(MIN('Council Entry'!AP89,'Council Entry'!AP$9),'Council Entry'!AP$8),'Council Entry'!AP89))))-'Council Entry'!AP$5)/('Council Entry'!AP$6-'Council Entry'!AP$5),10*((IF('Council Entry'!AP$4="Logarithm",LN(0.001+IF(AND(ISNUMBER('Council Entry'!AP$8),ISNUMBER('Council Entry'!AP$9)),MAX(MIN('Council Entry'!AP89,'Council Entry'!AP$9),'Council Entry'!AP$8),'Council Entry'!AP89)),IF('Council Entry'!AP$4="Exponential",EXP(IF(AND(ISNUMBER('Council Entry'!AP$8),ISNUMBER('Council Entry'!AP$9)),MAX(MIN('Council Entry'!AP89,'Council Entry'!AP$9),'Council Entry'!AP$8),'Council Entry'!AP89)),IF(AND(ISNUMBER('Council Entry'!AP$8),ISNUMBER('Council Entry'!AP$9)),MAX(MIN('Council Entry'!AP89,'Council Entry'!AP$9),'Council Entry'!AP$8),'Council Entry'!AP89))))-'Council Entry'!AP$5)/('Council Entry'!AP$6-'Council Entry'!AP$5)),1))),"No data"))</f>
        <v/>
      </c>
      <c r="AQ89" s="13">
        <f>IF('Council Entry'!AQ89="","",IFERROR(MAX(0,MIN(10,ROUND(IF('Council Entry'!AQ$7="Decrease Risk",10-10*((IF('Council Entry'!AQ$4="Logarithm",LN(0.001+IF(AND(ISNUMBER('Council Entry'!AQ$8),ISNUMBER('Council Entry'!AQ$9)),MAX(MIN('Council Entry'!AQ89,'Council Entry'!AQ$9),'Council Entry'!AQ$8),'Council Entry'!AQ89)),IF('Council Entry'!AQ$4="Exponential",EXP(IF(AND(ISNUMBER('Council Entry'!AQ$8),ISNUMBER('Council Entry'!AQ$9)),MAX(MIN('Council Entry'!AQ89,'Council Entry'!AQ$9),'Council Entry'!AQ$8),'Council Entry'!AQ89)),IF(AND(ISNUMBER('Council Entry'!AQ$8),ISNUMBER('Council Entry'!AQ$9)),MAX(MIN('Council Entry'!AQ89,'Council Entry'!AQ$9),'Council Entry'!AQ$8),'Council Entry'!AQ89))))-'Council Entry'!AQ$5)/('Council Entry'!AQ$6-'Council Entry'!AQ$5),10*((IF('Council Entry'!AQ$4="Logarithm",LN(0.001+IF(AND(ISNUMBER('Council Entry'!AQ$8),ISNUMBER('Council Entry'!AQ$9)),MAX(MIN('Council Entry'!AQ89,'Council Entry'!AQ$9),'Council Entry'!AQ$8),'Council Entry'!AQ89)),IF('Council Entry'!AQ$4="Exponential",EXP(IF(AND(ISNUMBER('Council Entry'!AQ$8),ISNUMBER('Council Entry'!AQ$9)),MAX(MIN('Council Entry'!AQ89,'Council Entry'!AQ$9),'Council Entry'!AQ$8),'Council Entry'!AQ89)),IF(AND(ISNUMBER('Council Entry'!AQ$8),ISNUMBER('Council Entry'!AQ$9)),MAX(MIN('Council Entry'!AQ89,'Council Entry'!AQ$9),'Council Entry'!AQ$8),'Council Entry'!AQ89))))-'Council Entry'!AQ$5)/('Council Entry'!AQ$6-'Council Entry'!AQ$5)),1))),"No data"))</f>
        <v/>
      </c>
      <c r="AR89" s="13">
        <f>IF('Council Entry'!AR89="","",IFERROR(MAX(0,MIN(10,ROUND(IF('Council Entry'!AR$7="Decrease Risk",10-10*((IF('Council Entry'!AR$4="Logarithm",LN(0.001+IF(AND(ISNUMBER('Council Entry'!AR$8),ISNUMBER('Council Entry'!AR$9)),MAX(MIN('Council Entry'!AR89,'Council Entry'!AR$9),'Council Entry'!AR$8),'Council Entry'!AR89)),IF('Council Entry'!AR$4="Exponential",EXP(IF(AND(ISNUMBER('Council Entry'!AR$8),ISNUMBER('Council Entry'!AR$9)),MAX(MIN('Council Entry'!AR89,'Council Entry'!AR$9),'Council Entry'!AR$8),'Council Entry'!AR89)),IF(AND(ISNUMBER('Council Entry'!AR$8),ISNUMBER('Council Entry'!AR$9)),MAX(MIN('Council Entry'!AR89,'Council Entry'!AR$9),'Council Entry'!AR$8),'Council Entry'!AR89))))-'Council Entry'!AR$5)/('Council Entry'!AR$6-'Council Entry'!AR$5),10*((IF('Council Entry'!AR$4="Logarithm",LN(0.001+IF(AND(ISNUMBER('Council Entry'!AR$8),ISNUMBER('Council Entry'!AR$9)),MAX(MIN('Council Entry'!AR89,'Council Entry'!AR$9),'Council Entry'!AR$8),'Council Entry'!AR89)),IF('Council Entry'!AR$4="Exponential",EXP(IF(AND(ISNUMBER('Council Entry'!AR$8),ISNUMBER('Council Entry'!AR$9)),MAX(MIN('Council Entry'!AR89,'Council Entry'!AR$9),'Council Entry'!AR$8),'Council Entry'!AR89)),IF(AND(ISNUMBER('Council Entry'!AR$8),ISNUMBER('Council Entry'!AR$9)),MAX(MIN('Council Entry'!AR89,'Council Entry'!AR$9),'Council Entry'!AR$8),'Council Entry'!AR89))))-'Council Entry'!AR$5)/('Council Entry'!AR$6-'Council Entry'!AR$5)),1))),"No data"))</f>
        <v/>
      </c>
      <c r="AS89" s="13">
        <f>IF('Council Entry'!AS89="","",IFERROR(MAX(0,MIN(10,ROUND(IF('Council Entry'!AS$7="Decrease Risk",10-10*((IF('Council Entry'!AS$4="Logarithm",LN(0.001+IF(AND(ISNUMBER('Council Entry'!AS$8),ISNUMBER('Council Entry'!AS$9)),MAX(MIN('Council Entry'!AS89,'Council Entry'!AS$9),'Council Entry'!AS$8),'Council Entry'!AS89)),IF('Council Entry'!AS$4="Exponential",EXP(IF(AND(ISNUMBER('Council Entry'!AS$8),ISNUMBER('Council Entry'!AS$9)),MAX(MIN('Council Entry'!AS89,'Council Entry'!AS$9),'Council Entry'!AS$8),'Council Entry'!AS89)),IF(AND(ISNUMBER('Council Entry'!AS$8),ISNUMBER('Council Entry'!AS$9)),MAX(MIN('Council Entry'!AS89,'Council Entry'!AS$9),'Council Entry'!AS$8),'Council Entry'!AS89))))-'Council Entry'!AS$5)/('Council Entry'!AS$6-'Council Entry'!AS$5),10*((IF('Council Entry'!AS$4="Logarithm",LN(0.001+IF(AND(ISNUMBER('Council Entry'!AS$8),ISNUMBER('Council Entry'!AS$9)),MAX(MIN('Council Entry'!AS89,'Council Entry'!AS$9),'Council Entry'!AS$8),'Council Entry'!AS89)),IF('Council Entry'!AS$4="Exponential",EXP(IF(AND(ISNUMBER('Council Entry'!AS$8),ISNUMBER('Council Entry'!AS$9)),MAX(MIN('Council Entry'!AS89,'Council Entry'!AS$9),'Council Entry'!AS$8),'Council Entry'!AS89)),IF(AND(ISNUMBER('Council Entry'!AS$8),ISNUMBER('Council Entry'!AS$9)),MAX(MIN('Council Entry'!AS89,'Council Entry'!AS$9),'Council Entry'!AS$8),'Council Entry'!AS89))))-'Council Entry'!AS$5)/('Council Entry'!AS$6-'Council Entry'!AS$5)),1))),"No data"))</f>
        <v/>
      </c>
      <c r="AT89" s="13">
        <f>IF('Council Entry'!AT89="","",IFERROR(MAX(0,MIN(10,ROUND(IF('Council Entry'!AT$7="Decrease Risk",10-10*((IF('Council Entry'!AT$4="Logarithm",LN(0.001+IF(AND(ISNUMBER('Council Entry'!AT$8),ISNUMBER('Council Entry'!AT$9)),MAX(MIN('Council Entry'!AT89,'Council Entry'!AT$9),'Council Entry'!AT$8),'Council Entry'!AT89)),IF('Council Entry'!AT$4="Exponential",EXP(IF(AND(ISNUMBER('Council Entry'!AT$8),ISNUMBER('Council Entry'!AT$9)),MAX(MIN('Council Entry'!AT89,'Council Entry'!AT$9),'Council Entry'!AT$8),'Council Entry'!AT89)),IF(AND(ISNUMBER('Council Entry'!AT$8),ISNUMBER('Council Entry'!AT$9)),MAX(MIN('Council Entry'!AT89,'Council Entry'!AT$9),'Council Entry'!AT$8),'Council Entry'!AT89))))-'Council Entry'!AT$5)/('Council Entry'!AT$6-'Council Entry'!AT$5),10*((IF('Council Entry'!AT$4="Logarithm",LN(0.001+IF(AND(ISNUMBER('Council Entry'!AT$8),ISNUMBER('Council Entry'!AT$9)),MAX(MIN('Council Entry'!AT89,'Council Entry'!AT$9),'Council Entry'!AT$8),'Council Entry'!AT89)),IF('Council Entry'!AT$4="Exponential",EXP(IF(AND(ISNUMBER('Council Entry'!AT$8),ISNUMBER('Council Entry'!AT$9)),MAX(MIN('Council Entry'!AT89,'Council Entry'!AT$9),'Council Entry'!AT$8),'Council Entry'!AT89)),IF(AND(ISNUMBER('Council Entry'!AT$8),ISNUMBER('Council Entry'!AT$9)),MAX(MIN('Council Entry'!AT89,'Council Entry'!AT$9),'Council Entry'!AT$8),'Council Entry'!AT89))))-'Council Entry'!AT$5)/('Council Entry'!AT$6-'Council Entry'!AT$5)),1))),"No data"))</f>
        <v/>
      </c>
      <c r="AU89" s="13">
        <f>IF('Council Entry'!AU89="","",IFERROR(MAX(0,MIN(10,ROUND(IF('Council Entry'!AU$7="Decrease Risk",10-10*((IF('Council Entry'!AU$4="Logarithm",LN(0.001+IF(AND(ISNUMBER('Council Entry'!AU$8),ISNUMBER('Council Entry'!AU$9)),MAX(MIN('Council Entry'!AU89,'Council Entry'!AU$9),'Council Entry'!AU$8),'Council Entry'!AU89)),IF('Council Entry'!AU$4="Exponential",EXP(IF(AND(ISNUMBER('Council Entry'!AU$8),ISNUMBER('Council Entry'!AU$9)),MAX(MIN('Council Entry'!AU89,'Council Entry'!AU$9),'Council Entry'!AU$8),'Council Entry'!AU89)),IF(AND(ISNUMBER('Council Entry'!AU$8),ISNUMBER('Council Entry'!AU$9)),MAX(MIN('Council Entry'!AU89,'Council Entry'!AU$9),'Council Entry'!AU$8),'Council Entry'!AU89))))-'Council Entry'!AU$5)/('Council Entry'!AU$6-'Council Entry'!AU$5),10*((IF('Council Entry'!AU$4="Logarithm",LN(0.001+IF(AND(ISNUMBER('Council Entry'!AU$8),ISNUMBER('Council Entry'!AU$9)),MAX(MIN('Council Entry'!AU89,'Council Entry'!AU$9),'Council Entry'!AU$8),'Council Entry'!AU89)),IF('Council Entry'!AU$4="Exponential",EXP(IF(AND(ISNUMBER('Council Entry'!AU$8),ISNUMBER('Council Entry'!AU$9)),MAX(MIN('Council Entry'!AU89,'Council Entry'!AU$9),'Council Entry'!AU$8),'Council Entry'!AU89)),IF(AND(ISNUMBER('Council Entry'!AU$8),ISNUMBER('Council Entry'!AU$9)),MAX(MIN('Council Entry'!AU89,'Council Entry'!AU$9),'Council Entry'!AU$8),'Council Entry'!AU89))))-'Council Entry'!AU$5)/('Council Entry'!AU$6-'Council Entry'!AU$5)),1))),"No data"))</f>
        <v/>
      </c>
      <c r="AV89" s="13">
        <f>IF('Council Entry'!AV89="","",IFERROR(MAX(0,MIN(10,ROUND(IF('Council Entry'!AV$7="Decrease Risk",10-10*((IF('Council Entry'!AV$4="Logarithm",LN(0.001+IF(AND(ISNUMBER('Council Entry'!AV$8),ISNUMBER('Council Entry'!AV$9)),MAX(MIN('Council Entry'!AV89,'Council Entry'!AV$9),'Council Entry'!AV$8),'Council Entry'!AV89)),IF('Council Entry'!AV$4="Exponential",EXP(IF(AND(ISNUMBER('Council Entry'!AV$8),ISNUMBER('Council Entry'!AV$9)),MAX(MIN('Council Entry'!AV89,'Council Entry'!AV$9),'Council Entry'!AV$8),'Council Entry'!AV89)),IF(AND(ISNUMBER('Council Entry'!AV$8),ISNUMBER('Council Entry'!AV$9)),MAX(MIN('Council Entry'!AV89,'Council Entry'!AV$9),'Council Entry'!AV$8),'Council Entry'!AV89))))-'Council Entry'!AV$5)/('Council Entry'!AV$6-'Council Entry'!AV$5),10*((IF('Council Entry'!AV$4="Logarithm",LN(0.001+IF(AND(ISNUMBER('Council Entry'!AV$8),ISNUMBER('Council Entry'!AV$9)),MAX(MIN('Council Entry'!AV89,'Council Entry'!AV$9),'Council Entry'!AV$8),'Council Entry'!AV89)),IF('Council Entry'!AV$4="Exponential",EXP(IF(AND(ISNUMBER('Council Entry'!AV$8),ISNUMBER('Council Entry'!AV$9)),MAX(MIN('Council Entry'!AV89,'Council Entry'!AV$9),'Council Entry'!AV$8),'Council Entry'!AV89)),IF(AND(ISNUMBER('Council Entry'!AV$8),ISNUMBER('Council Entry'!AV$9)),MAX(MIN('Council Entry'!AV89,'Council Entry'!AV$9),'Council Entry'!AV$8),'Council Entry'!AV89))))-'Council Entry'!AV$5)/('Council Entry'!AV$6-'Council Entry'!AV$5)),1))),"No data"))</f>
        <v/>
      </c>
      <c r="AW89" s="13">
        <f>IF('Council Entry'!AW89="","",IFERROR(MAX(0,MIN(10,ROUND(IF('Council Entry'!AW$7="Decrease Risk",10-10*((IF('Council Entry'!AW$4="Logarithm",LN(0.001+IF(AND(ISNUMBER('Council Entry'!AW$8),ISNUMBER('Council Entry'!AW$9)),MAX(MIN('Council Entry'!AW89,'Council Entry'!AW$9),'Council Entry'!AW$8),'Council Entry'!AW89)),IF('Council Entry'!AW$4="Exponential",EXP(IF(AND(ISNUMBER('Council Entry'!AW$8),ISNUMBER('Council Entry'!AW$9)),MAX(MIN('Council Entry'!AW89,'Council Entry'!AW$9),'Council Entry'!AW$8),'Council Entry'!AW89)),IF(AND(ISNUMBER('Council Entry'!AW$8),ISNUMBER('Council Entry'!AW$9)),MAX(MIN('Council Entry'!AW89,'Council Entry'!AW$9),'Council Entry'!AW$8),'Council Entry'!AW89))))-'Council Entry'!AW$5)/('Council Entry'!AW$6-'Council Entry'!AW$5),10*((IF('Council Entry'!AW$4="Logarithm",LN(0.001+IF(AND(ISNUMBER('Council Entry'!AW$8),ISNUMBER('Council Entry'!AW$9)),MAX(MIN('Council Entry'!AW89,'Council Entry'!AW$9),'Council Entry'!AW$8),'Council Entry'!AW89)),IF('Council Entry'!AW$4="Exponential",EXP(IF(AND(ISNUMBER('Council Entry'!AW$8),ISNUMBER('Council Entry'!AW$9)),MAX(MIN('Council Entry'!AW89,'Council Entry'!AW$9),'Council Entry'!AW$8),'Council Entry'!AW89)),IF(AND(ISNUMBER('Council Entry'!AW$8),ISNUMBER('Council Entry'!AW$9)),MAX(MIN('Council Entry'!AW89,'Council Entry'!AW$9),'Council Entry'!AW$8),'Council Entry'!AW89))))-'Council Entry'!AW$5)/('Council Entry'!AW$6-'Council Entry'!AW$5)),1))),"No data"))</f>
        <v/>
      </c>
      <c r="AX89" s="13">
        <f>IF('Council Entry'!AX89="","",IFERROR(MAX(0,MIN(10,ROUND(IF('Council Entry'!AX$7="Decrease Risk",10-10*((IF('Council Entry'!AX$4="Logarithm",LN(0.001+IF(AND(ISNUMBER('Council Entry'!AX$8),ISNUMBER('Council Entry'!AX$9)),MAX(MIN('Council Entry'!AX89,'Council Entry'!AX$9),'Council Entry'!AX$8),'Council Entry'!AX89)),IF('Council Entry'!AX$4="Exponential",EXP(IF(AND(ISNUMBER('Council Entry'!AX$8),ISNUMBER('Council Entry'!AX$9)),MAX(MIN('Council Entry'!AX89,'Council Entry'!AX$9),'Council Entry'!AX$8),'Council Entry'!AX89)),IF(AND(ISNUMBER('Council Entry'!AX$8),ISNUMBER('Council Entry'!AX$9)),MAX(MIN('Council Entry'!AX89,'Council Entry'!AX$9),'Council Entry'!AX$8),'Council Entry'!AX89))))-'Council Entry'!AX$5)/('Council Entry'!AX$6-'Council Entry'!AX$5),10*((IF('Council Entry'!AX$4="Logarithm",LN(0.001+IF(AND(ISNUMBER('Council Entry'!AX$8),ISNUMBER('Council Entry'!AX$9)),MAX(MIN('Council Entry'!AX89,'Council Entry'!AX$9),'Council Entry'!AX$8),'Council Entry'!AX89)),IF('Council Entry'!AX$4="Exponential",EXP(IF(AND(ISNUMBER('Council Entry'!AX$8),ISNUMBER('Council Entry'!AX$9)),MAX(MIN('Council Entry'!AX89,'Council Entry'!AX$9),'Council Entry'!AX$8),'Council Entry'!AX89)),IF(AND(ISNUMBER('Council Entry'!AX$8),ISNUMBER('Council Entry'!AX$9)),MAX(MIN('Council Entry'!AX89,'Council Entry'!AX$9),'Council Entry'!AX$8),'Council Entry'!AX89))))-'Council Entry'!AX$5)/('Council Entry'!AX$6-'Council Entry'!AX$5)),1))),"No data"))</f>
        <v/>
      </c>
      <c r="AY89" s="13">
        <f>IF('Council Entry'!AY89="","",IFERROR(MAX(0,MIN(10,ROUND(IF('Council Entry'!AY$7="Decrease Risk",10-10*((IF('Council Entry'!AY$4="Logarithm",LN(0.001+IF(AND(ISNUMBER('Council Entry'!AY$8),ISNUMBER('Council Entry'!AY$9)),MAX(MIN('Council Entry'!AY89,'Council Entry'!AY$9),'Council Entry'!AY$8),'Council Entry'!AY89)),IF('Council Entry'!AY$4="Exponential",EXP(IF(AND(ISNUMBER('Council Entry'!AY$8),ISNUMBER('Council Entry'!AY$9)),MAX(MIN('Council Entry'!AY89,'Council Entry'!AY$9),'Council Entry'!AY$8),'Council Entry'!AY89)),IF(AND(ISNUMBER('Council Entry'!AY$8),ISNUMBER('Council Entry'!AY$9)),MAX(MIN('Council Entry'!AY89,'Council Entry'!AY$9),'Council Entry'!AY$8),'Council Entry'!AY89))))-'Council Entry'!AY$5)/('Council Entry'!AY$6-'Council Entry'!AY$5),10*((IF('Council Entry'!AY$4="Logarithm",LN(0.001+IF(AND(ISNUMBER('Council Entry'!AY$8),ISNUMBER('Council Entry'!AY$9)),MAX(MIN('Council Entry'!AY89,'Council Entry'!AY$9),'Council Entry'!AY$8),'Council Entry'!AY89)),IF('Council Entry'!AY$4="Exponential",EXP(IF(AND(ISNUMBER('Council Entry'!AY$8),ISNUMBER('Council Entry'!AY$9)),MAX(MIN('Council Entry'!AY89,'Council Entry'!AY$9),'Council Entry'!AY$8),'Council Entry'!AY89)),IF(AND(ISNUMBER('Council Entry'!AY$8),ISNUMBER('Council Entry'!AY$9)),MAX(MIN('Council Entry'!AY89,'Council Entry'!AY$9),'Council Entry'!AY$8),'Council Entry'!AY89))))-'Council Entry'!AY$5)/('Council Entry'!AY$6-'Council Entry'!AY$5)),1))),"No data"))</f>
        <v/>
      </c>
      <c r="AZ89" s="13">
        <f>IF('Council Entry'!AZ89="","",IFERROR(MAX(0,MIN(10,ROUND(IF('Council Entry'!AZ$7="Decrease Risk",10-10*((IF('Council Entry'!AZ$4="Logarithm",LN(0.001+IF(AND(ISNUMBER('Council Entry'!AZ$8),ISNUMBER('Council Entry'!AZ$9)),MAX(MIN('Council Entry'!AZ89,'Council Entry'!AZ$9),'Council Entry'!AZ$8),'Council Entry'!AZ89)),IF('Council Entry'!AZ$4="Exponential",EXP(IF(AND(ISNUMBER('Council Entry'!AZ$8),ISNUMBER('Council Entry'!AZ$9)),MAX(MIN('Council Entry'!AZ89,'Council Entry'!AZ$9),'Council Entry'!AZ$8),'Council Entry'!AZ89)),IF(AND(ISNUMBER('Council Entry'!AZ$8),ISNUMBER('Council Entry'!AZ$9)),MAX(MIN('Council Entry'!AZ89,'Council Entry'!AZ$9),'Council Entry'!AZ$8),'Council Entry'!AZ89))))-'Council Entry'!AZ$5)/('Council Entry'!AZ$6-'Council Entry'!AZ$5),10*((IF('Council Entry'!AZ$4="Logarithm",LN(0.001+IF(AND(ISNUMBER('Council Entry'!AZ$8),ISNUMBER('Council Entry'!AZ$9)),MAX(MIN('Council Entry'!AZ89,'Council Entry'!AZ$9),'Council Entry'!AZ$8),'Council Entry'!AZ89)),IF('Council Entry'!AZ$4="Exponential",EXP(IF(AND(ISNUMBER('Council Entry'!AZ$8),ISNUMBER('Council Entry'!AZ$9)),MAX(MIN('Council Entry'!AZ89,'Council Entry'!AZ$9),'Council Entry'!AZ$8),'Council Entry'!AZ89)),IF(AND(ISNUMBER('Council Entry'!AZ$8),ISNUMBER('Council Entry'!AZ$9)),MAX(MIN('Council Entry'!AZ89,'Council Entry'!AZ$9),'Council Entry'!AZ$8),'Council Entry'!AZ89))))-'Council Entry'!AZ$5)/('Council Entry'!AZ$6-'Council Entry'!AZ$5)),1))),"No data"))</f>
        <v/>
      </c>
      <c r="BA89" s="13">
        <f>IF('Council Entry'!BA89="","",IFERROR(MAX(0,MIN(10,ROUND(IF('Council Entry'!BA$7="Decrease Risk",10-10*((IF('Council Entry'!BA$4="Logarithm",LN(0.001+IF(AND(ISNUMBER('Council Entry'!BA$8),ISNUMBER('Council Entry'!BA$9)),MAX(MIN('Council Entry'!BA89,'Council Entry'!BA$9),'Council Entry'!BA$8),'Council Entry'!BA89)),IF('Council Entry'!BA$4="Exponential",EXP(IF(AND(ISNUMBER('Council Entry'!BA$8),ISNUMBER('Council Entry'!BA$9)),MAX(MIN('Council Entry'!BA89,'Council Entry'!BA$9),'Council Entry'!BA$8),'Council Entry'!BA89)),IF(AND(ISNUMBER('Council Entry'!BA$8),ISNUMBER('Council Entry'!BA$9)),MAX(MIN('Council Entry'!BA89,'Council Entry'!BA$9),'Council Entry'!BA$8),'Council Entry'!BA89))))-'Council Entry'!BA$5)/('Council Entry'!BA$6-'Council Entry'!BA$5),10*((IF('Council Entry'!BA$4="Logarithm",LN(0.001+IF(AND(ISNUMBER('Council Entry'!BA$8),ISNUMBER('Council Entry'!BA$9)),MAX(MIN('Council Entry'!BA89,'Council Entry'!BA$9),'Council Entry'!BA$8),'Council Entry'!BA89)),IF('Council Entry'!BA$4="Exponential",EXP(IF(AND(ISNUMBER('Council Entry'!BA$8),ISNUMBER('Council Entry'!BA$9)),MAX(MIN('Council Entry'!BA89,'Council Entry'!BA$9),'Council Entry'!BA$8),'Council Entry'!BA89)),IF(AND(ISNUMBER('Council Entry'!BA$8),ISNUMBER('Council Entry'!BA$9)),MAX(MIN('Council Entry'!BA89,'Council Entry'!BA$9),'Council Entry'!BA$8),'Council Entry'!BA89))))-'Council Entry'!BA$5)/('Council Entry'!BA$6-'Council Entry'!BA$5)),1))),"No data"))</f>
        <v/>
      </c>
      <c r="BB89" s="13">
        <f>IF('Council Entry'!BB89="","",IFERROR(MAX(0,MIN(10,ROUND(IF('Council Entry'!BB$7="Decrease Risk",10-10*((IF('Council Entry'!BB$4="Logarithm",LN(0.001+IF(AND(ISNUMBER('Council Entry'!BB$8),ISNUMBER('Council Entry'!BB$9)),MAX(MIN('Council Entry'!BB89,'Council Entry'!BB$9),'Council Entry'!BB$8),'Council Entry'!BB89)),IF('Council Entry'!BB$4="Exponential",EXP(IF(AND(ISNUMBER('Council Entry'!BB$8),ISNUMBER('Council Entry'!BB$9)),MAX(MIN('Council Entry'!BB89,'Council Entry'!BB$9),'Council Entry'!BB$8),'Council Entry'!BB89)),IF(AND(ISNUMBER('Council Entry'!BB$8),ISNUMBER('Council Entry'!BB$9)),MAX(MIN('Council Entry'!BB89,'Council Entry'!BB$9),'Council Entry'!BB$8),'Council Entry'!BB89))))-'Council Entry'!BB$5)/('Council Entry'!BB$6-'Council Entry'!BB$5),10*((IF('Council Entry'!BB$4="Logarithm",LN(0.001+IF(AND(ISNUMBER('Council Entry'!BB$8),ISNUMBER('Council Entry'!BB$9)),MAX(MIN('Council Entry'!BB89,'Council Entry'!BB$9),'Council Entry'!BB$8),'Council Entry'!BB89)),IF('Council Entry'!BB$4="Exponential",EXP(IF(AND(ISNUMBER('Council Entry'!BB$8),ISNUMBER('Council Entry'!BB$9)),MAX(MIN('Council Entry'!BB89,'Council Entry'!BB$9),'Council Entry'!BB$8),'Council Entry'!BB89)),IF(AND(ISNUMBER('Council Entry'!BB$8),ISNUMBER('Council Entry'!BB$9)),MAX(MIN('Council Entry'!BB89,'Council Entry'!BB$9),'Council Entry'!BB$8),'Council Entry'!BB89))))-'Council Entry'!BB$5)/('Council Entry'!BB$6-'Council Entry'!BB$5)),1))),"No data"))</f>
        <v/>
      </c>
      <c r="BC89" s="13">
        <f>IF('Council Entry'!BC89="","",IFERROR(MAX(0,MIN(10,ROUND(IF('Council Entry'!BC$7="Decrease Risk",10-10*((IF('Council Entry'!BC$4="Logarithm",LN(0.001+IF(AND(ISNUMBER('Council Entry'!BC$8),ISNUMBER('Council Entry'!BC$9)),MAX(MIN('Council Entry'!BC89,'Council Entry'!BC$9),'Council Entry'!BC$8),'Council Entry'!BC89)),IF('Council Entry'!BC$4="Exponential",EXP(IF(AND(ISNUMBER('Council Entry'!BC$8),ISNUMBER('Council Entry'!BC$9)),MAX(MIN('Council Entry'!BC89,'Council Entry'!BC$9),'Council Entry'!BC$8),'Council Entry'!BC89)),IF(AND(ISNUMBER('Council Entry'!BC$8),ISNUMBER('Council Entry'!BC$9)),MAX(MIN('Council Entry'!BC89,'Council Entry'!BC$9),'Council Entry'!BC$8),'Council Entry'!BC89))))-'Council Entry'!BC$5)/('Council Entry'!BC$6-'Council Entry'!BC$5),10*((IF('Council Entry'!BC$4="Logarithm",LN(0.001+IF(AND(ISNUMBER('Council Entry'!BC$8),ISNUMBER('Council Entry'!BC$9)),MAX(MIN('Council Entry'!BC89,'Council Entry'!BC$9),'Council Entry'!BC$8),'Council Entry'!BC89)),IF('Council Entry'!BC$4="Exponential",EXP(IF(AND(ISNUMBER('Council Entry'!BC$8),ISNUMBER('Council Entry'!BC$9)),MAX(MIN('Council Entry'!BC89,'Council Entry'!BC$9),'Council Entry'!BC$8),'Council Entry'!BC89)),IF(AND(ISNUMBER('Council Entry'!BC$8),ISNUMBER('Council Entry'!BC$9)),MAX(MIN('Council Entry'!BC89,'Council Entry'!BC$9),'Council Entry'!BC$8),'Council Entry'!BC89))))-'Council Entry'!BC$5)/('Council Entry'!BC$6-'Council Entry'!BC$5)),1))),"No data"))</f>
        <v/>
      </c>
      <c r="BD89" s="13">
        <f>IF('Council Entry'!BD89="","",IFERROR(MAX(0,MIN(10,ROUND(IF('Council Entry'!BD$7="Decrease Risk",10-10*((IF('Council Entry'!BD$4="Logarithm",LN(0.001+IF(AND(ISNUMBER('Council Entry'!BD$8),ISNUMBER('Council Entry'!BD$9)),MAX(MIN('Council Entry'!BD89,'Council Entry'!BD$9),'Council Entry'!BD$8),'Council Entry'!BD89)),IF('Council Entry'!BD$4="Exponential",EXP(IF(AND(ISNUMBER('Council Entry'!BD$8),ISNUMBER('Council Entry'!BD$9)),MAX(MIN('Council Entry'!BD89,'Council Entry'!BD$9),'Council Entry'!BD$8),'Council Entry'!BD89)),IF(AND(ISNUMBER('Council Entry'!BD$8),ISNUMBER('Council Entry'!BD$9)),MAX(MIN('Council Entry'!BD89,'Council Entry'!BD$9),'Council Entry'!BD$8),'Council Entry'!BD89))))-'Council Entry'!BD$5)/('Council Entry'!BD$6-'Council Entry'!BD$5),10*((IF('Council Entry'!BD$4="Logarithm",LN(0.001+IF(AND(ISNUMBER('Council Entry'!BD$8),ISNUMBER('Council Entry'!BD$9)),MAX(MIN('Council Entry'!BD89,'Council Entry'!BD$9),'Council Entry'!BD$8),'Council Entry'!BD89)),IF('Council Entry'!BD$4="Exponential",EXP(IF(AND(ISNUMBER('Council Entry'!BD$8),ISNUMBER('Council Entry'!BD$9)),MAX(MIN('Council Entry'!BD89,'Council Entry'!BD$9),'Council Entry'!BD$8),'Council Entry'!BD89)),IF(AND(ISNUMBER('Council Entry'!BD$8),ISNUMBER('Council Entry'!BD$9)),MAX(MIN('Council Entry'!BD89,'Council Entry'!BD$9),'Council Entry'!BD$8),'Council Entry'!BD89))))-'Council Entry'!BD$5)/('Council Entry'!BD$6-'Council Entry'!BD$5)),1))),"No data"))</f>
        <v/>
      </c>
    </row>
    <row r="90">
      <c r="A90" t="inlineStr">
        <is>
          <t>Manyara</t>
        </is>
      </c>
      <c r="B90" t="inlineStr">
        <is>
          <t>Simanjiro District</t>
        </is>
      </c>
      <c r="C90" t="inlineStr">
        <is>
          <t>C155</t>
        </is>
      </c>
      <c r="D90" s="13">
        <f>IF('Council Entry'!D90="","",IFERROR(MAX(0,MIN(10,ROUND(IF('Council Entry'!D$7="Decrease Risk",10-10*((IF('Council Entry'!D$4="Logarithm",LN(0.001+IF(AND(ISNUMBER('Council Entry'!D$8),ISNUMBER('Council Entry'!D$9)),MAX(MIN('Council Entry'!D90,'Council Entry'!D$9),'Council Entry'!D$8),'Council Entry'!D90)),IF('Council Entry'!D$4="Exponential",EXP(IF(AND(ISNUMBER('Council Entry'!D$8),ISNUMBER('Council Entry'!D$9)),MAX(MIN('Council Entry'!D90,'Council Entry'!D$9),'Council Entry'!D$8),'Council Entry'!D90)),IF(AND(ISNUMBER('Council Entry'!D$8),ISNUMBER('Council Entry'!D$9)),MAX(MIN('Council Entry'!D90,'Council Entry'!D$9),'Council Entry'!D$8),'Council Entry'!D90))))-'Council Entry'!D$5)/('Council Entry'!D$6-'Council Entry'!D$5),10*((IF('Council Entry'!D$4="Logarithm",LN(0.001+IF(AND(ISNUMBER('Council Entry'!D$8),ISNUMBER('Council Entry'!D$9)),MAX(MIN('Council Entry'!D90,'Council Entry'!D$9),'Council Entry'!D$8),'Council Entry'!D90)),IF('Council Entry'!D$4="Exponential",EXP(IF(AND(ISNUMBER('Council Entry'!D$8),ISNUMBER('Council Entry'!D$9)),MAX(MIN('Council Entry'!D90,'Council Entry'!D$9),'Council Entry'!D$8),'Council Entry'!D90)),IF(AND(ISNUMBER('Council Entry'!D$8),ISNUMBER('Council Entry'!D$9)),MAX(MIN('Council Entry'!D90,'Council Entry'!D$9),'Council Entry'!D$8),'Council Entry'!D90))))-'Council Entry'!D$5)/('Council Entry'!D$6-'Council Entry'!D$5)),1))),"No data"))</f>
        <v/>
      </c>
      <c r="E90" s="13">
        <f>IF('Council Entry'!E90="","",IFERROR(MAX(0,MIN(10,ROUND(IF('Council Entry'!E$7="Decrease Risk",10-10*((IF('Council Entry'!E$4="Logarithm",LN(0.001+IF(AND(ISNUMBER('Council Entry'!E$8),ISNUMBER('Council Entry'!E$9)),MAX(MIN('Council Entry'!E90,'Council Entry'!E$9),'Council Entry'!E$8),'Council Entry'!E90)),IF('Council Entry'!E$4="Exponential",EXP(IF(AND(ISNUMBER('Council Entry'!E$8),ISNUMBER('Council Entry'!E$9)),MAX(MIN('Council Entry'!E90,'Council Entry'!E$9),'Council Entry'!E$8),'Council Entry'!E90)),IF(AND(ISNUMBER('Council Entry'!E$8),ISNUMBER('Council Entry'!E$9)),MAX(MIN('Council Entry'!E90,'Council Entry'!E$9),'Council Entry'!E$8),'Council Entry'!E90))))-'Council Entry'!E$5)/('Council Entry'!E$6-'Council Entry'!E$5),10*((IF('Council Entry'!E$4="Logarithm",LN(0.001+IF(AND(ISNUMBER('Council Entry'!E$8),ISNUMBER('Council Entry'!E$9)),MAX(MIN('Council Entry'!E90,'Council Entry'!E$9),'Council Entry'!E$8),'Council Entry'!E90)),IF('Council Entry'!E$4="Exponential",EXP(IF(AND(ISNUMBER('Council Entry'!E$8),ISNUMBER('Council Entry'!E$9)),MAX(MIN('Council Entry'!E90,'Council Entry'!E$9),'Council Entry'!E$8),'Council Entry'!E90)),IF(AND(ISNUMBER('Council Entry'!E$8),ISNUMBER('Council Entry'!E$9)),MAX(MIN('Council Entry'!E90,'Council Entry'!E$9),'Council Entry'!E$8),'Council Entry'!E90))))-'Council Entry'!E$5)/('Council Entry'!E$6-'Council Entry'!E$5)),1))),"No data"))</f>
        <v/>
      </c>
      <c r="F90" s="13">
        <f>IF('Council Entry'!F90="","",IFERROR(MAX(0,MIN(10,ROUND(IF('Council Entry'!F$7="Decrease Risk",10-10*((IF('Council Entry'!F$4="Logarithm",LN(0.001+IF(AND(ISNUMBER('Council Entry'!F$8),ISNUMBER('Council Entry'!F$9)),MAX(MIN('Council Entry'!F90,'Council Entry'!F$9),'Council Entry'!F$8),'Council Entry'!F90)),IF('Council Entry'!F$4="Exponential",EXP(IF(AND(ISNUMBER('Council Entry'!F$8),ISNUMBER('Council Entry'!F$9)),MAX(MIN('Council Entry'!F90,'Council Entry'!F$9),'Council Entry'!F$8),'Council Entry'!F90)),IF(AND(ISNUMBER('Council Entry'!F$8),ISNUMBER('Council Entry'!F$9)),MAX(MIN('Council Entry'!F90,'Council Entry'!F$9),'Council Entry'!F$8),'Council Entry'!F90))))-'Council Entry'!F$5)/('Council Entry'!F$6-'Council Entry'!F$5),10*((IF('Council Entry'!F$4="Logarithm",LN(0.001+IF(AND(ISNUMBER('Council Entry'!F$8),ISNUMBER('Council Entry'!F$9)),MAX(MIN('Council Entry'!F90,'Council Entry'!F$9),'Council Entry'!F$8),'Council Entry'!F90)),IF('Council Entry'!F$4="Exponential",EXP(IF(AND(ISNUMBER('Council Entry'!F$8),ISNUMBER('Council Entry'!F$9)),MAX(MIN('Council Entry'!F90,'Council Entry'!F$9),'Council Entry'!F$8),'Council Entry'!F90)),IF(AND(ISNUMBER('Council Entry'!F$8),ISNUMBER('Council Entry'!F$9)),MAX(MIN('Council Entry'!F90,'Council Entry'!F$9),'Council Entry'!F$8),'Council Entry'!F90))))-'Council Entry'!F$5)/('Council Entry'!F$6-'Council Entry'!F$5)),1))),"No data"))</f>
        <v/>
      </c>
      <c r="G90" s="13">
        <f>IF('Council Entry'!G90="","",IFERROR(MAX(0,MIN(10,ROUND(IF('Council Entry'!G$7="Decrease Risk",10-10*((IF('Council Entry'!G$4="Logarithm",LN(0.001+IF(AND(ISNUMBER('Council Entry'!G$8),ISNUMBER('Council Entry'!G$9)),MAX(MIN('Council Entry'!G90,'Council Entry'!G$9),'Council Entry'!G$8),'Council Entry'!G90)),IF('Council Entry'!G$4="Exponential",EXP(IF(AND(ISNUMBER('Council Entry'!G$8),ISNUMBER('Council Entry'!G$9)),MAX(MIN('Council Entry'!G90,'Council Entry'!G$9),'Council Entry'!G$8),'Council Entry'!G90)),IF(AND(ISNUMBER('Council Entry'!G$8),ISNUMBER('Council Entry'!G$9)),MAX(MIN('Council Entry'!G90,'Council Entry'!G$9),'Council Entry'!G$8),'Council Entry'!G90))))-'Council Entry'!G$5)/('Council Entry'!G$6-'Council Entry'!G$5),10*((IF('Council Entry'!G$4="Logarithm",LN(0.001+IF(AND(ISNUMBER('Council Entry'!G$8),ISNUMBER('Council Entry'!G$9)),MAX(MIN('Council Entry'!G90,'Council Entry'!G$9),'Council Entry'!G$8),'Council Entry'!G90)),IF('Council Entry'!G$4="Exponential",EXP(IF(AND(ISNUMBER('Council Entry'!G$8),ISNUMBER('Council Entry'!G$9)),MAX(MIN('Council Entry'!G90,'Council Entry'!G$9),'Council Entry'!G$8),'Council Entry'!G90)),IF(AND(ISNUMBER('Council Entry'!G$8),ISNUMBER('Council Entry'!G$9)),MAX(MIN('Council Entry'!G90,'Council Entry'!G$9),'Council Entry'!G$8),'Council Entry'!G90))))-'Council Entry'!G$5)/('Council Entry'!G$6-'Council Entry'!G$5)),1))),"No data"))</f>
        <v/>
      </c>
      <c r="H90" s="13">
        <f>IF('Council Entry'!H90="","",IFERROR(MAX(0,MIN(10,ROUND(IF('Council Entry'!H$7="Decrease Risk",10-10*((IF('Council Entry'!H$4="Logarithm",LN(0.001+IF(AND(ISNUMBER('Council Entry'!H$8),ISNUMBER('Council Entry'!H$9)),MAX(MIN('Council Entry'!H90,'Council Entry'!H$9),'Council Entry'!H$8),'Council Entry'!H90)),IF('Council Entry'!H$4="Exponential",EXP(IF(AND(ISNUMBER('Council Entry'!H$8),ISNUMBER('Council Entry'!H$9)),MAX(MIN('Council Entry'!H90,'Council Entry'!H$9),'Council Entry'!H$8),'Council Entry'!H90)),IF(AND(ISNUMBER('Council Entry'!H$8),ISNUMBER('Council Entry'!H$9)),MAX(MIN('Council Entry'!H90,'Council Entry'!H$9),'Council Entry'!H$8),'Council Entry'!H90))))-'Council Entry'!H$5)/('Council Entry'!H$6-'Council Entry'!H$5),10*((IF('Council Entry'!H$4="Logarithm",LN(0.001+IF(AND(ISNUMBER('Council Entry'!H$8),ISNUMBER('Council Entry'!H$9)),MAX(MIN('Council Entry'!H90,'Council Entry'!H$9),'Council Entry'!H$8),'Council Entry'!H90)),IF('Council Entry'!H$4="Exponential",EXP(IF(AND(ISNUMBER('Council Entry'!H$8),ISNUMBER('Council Entry'!H$9)),MAX(MIN('Council Entry'!H90,'Council Entry'!H$9),'Council Entry'!H$8),'Council Entry'!H90)),IF(AND(ISNUMBER('Council Entry'!H$8),ISNUMBER('Council Entry'!H$9)),MAX(MIN('Council Entry'!H90,'Council Entry'!H$9),'Council Entry'!H$8),'Council Entry'!H90))))-'Council Entry'!H$5)/('Council Entry'!H$6-'Council Entry'!H$5)),1))),"No data"))</f>
        <v/>
      </c>
      <c r="I90" s="13">
        <f>IF('Council Entry'!I90="","",IFERROR(MAX(0,MIN(10,ROUND(IF('Council Entry'!I$7="Decrease Risk",10-10*((IF('Council Entry'!I$4="Logarithm",LN(0.001+IF(AND(ISNUMBER('Council Entry'!I$8),ISNUMBER('Council Entry'!I$9)),MAX(MIN('Council Entry'!I90,'Council Entry'!I$9),'Council Entry'!I$8),'Council Entry'!I90)),IF('Council Entry'!I$4="Exponential",EXP(IF(AND(ISNUMBER('Council Entry'!I$8),ISNUMBER('Council Entry'!I$9)),MAX(MIN('Council Entry'!I90,'Council Entry'!I$9),'Council Entry'!I$8),'Council Entry'!I90)),IF(AND(ISNUMBER('Council Entry'!I$8),ISNUMBER('Council Entry'!I$9)),MAX(MIN('Council Entry'!I90,'Council Entry'!I$9),'Council Entry'!I$8),'Council Entry'!I90))))-'Council Entry'!I$5)/('Council Entry'!I$6-'Council Entry'!I$5),10*((IF('Council Entry'!I$4="Logarithm",LN(0.001+IF(AND(ISNUMBER('Council Entry'!I$8),ISNUMBER('Council Entry'!I$9)),MAX(MIN('Council Entry'!I90,'Council Entry'!I$9),'Council Entry'!I$8),'Council Entry'!I90)),IF('Council Entry'!I$4="Exponential",EXP(IF(AND(ISNUMBER('Council Entry'!I$8),ISNUMBER('Council Entry'!I$9)),MAX(MIN('Council Entry'!I90,'Council Entry'!I$9),'Council Entry'!I$8),'Council Entry'!I90)),IF(AND(ISNUMBER('Council Entry'!I$8),ISNUMBER('Council Entry'!I$9)),MAX(MIN('Council Entry'!I90,'Council Entry'!I$9),'Council Entry'!I$8),'Council Entry'!I90))))-'Council Entry'!I$5)/('Council Entry'!I$6-'Council Entry'!I$5)),1))),"No data"))</f>
        <v/>
      </c>
      <c r="J90" s="13">
        <f>IF('Council Entry'!J90="","",IFERROR(MAX(0,MIN(10,ROUND(IF('Council Entry'!J$7="Decrease Risk",10-10*((IF('Council Entry'!J$4="Logarithm",LN(0.001+IF(AND(ISNUMBER('Council Entry'!J$8),ISNUMBER('Council Entry'!J$9)),MAX(MIN('Council Entry'!J90,'Council Entry'!J$9),'Council Entry'!J$8),'Council Entry'!J90)),IF('Council Entry'!J$4="Exponential",EXP(IF(AND(ISNUMBER('Council Entry'!J$8),ISNUMBER('Council Entry'!J$9)),MAX(MIN('Council Entry'!J90,'Council Entry'!J$9),'Council Entry'!J$8),'Council Entry'!J90)),IF(AND(ISNUMBER('Council Entry'!J$8),ISNUMBER('Council Entry'!J$9)),MAX(MIN('Council Entry'!J90,'Council Entry'!J$9),'Council Entry'!J$8),'Council Entry'!J90))))-'Council Entry'!J$5)/('Council Entry'!J$6-'Council Entry'!J$5),10*((IF('Council Entry'!J$4="Logarithm",LN(0.001+IF(AND(ISNUMBER('Council Entry'!J$8),ISNUMBER('Council Entry'!J$9)),MAX(MIN('Council Entry'!J90,'Council Entry'!J$9),'Council Entry'!J$8),'Council Entry'!J90)),IF('Council Entry'!J$4="Exponential",EXP(IF(AND(ISNUMBER('Council Entry'!J$8),ISNUMBER('Council Entry'!J$9)),MAX(MIN('Council Entry'!J90,'Council Entry'!J$9),'Council Entry'!J$8),'Council Entry'!J90)),IF(AND(ISNUMBER('Council Entry'!J$8),ISNUMBER('Council Entry'!J$9)),MAX(MIN('Council Entry'!J90,'Council Entry'!J$9),'Council Entry'!J$8),'Council Entry'!J90))))-'Council Entry'!J$5)/('Council Entry'!J$6-'Council Entry'!J$5)),1))),"No data"))</f>
        <v/>
      </c>
      <c r="K90" s="13">
        <f>IF('Council Entry'!K90="","",IFERROR(MAX(0,MIN(10,ROUND(IF('Council Entry'!K$7="Decrease Risk",10-10*((IF('Council Entry'!K$4="Logarithm",LN(0.001+IF(AND(ISNUMBER('Council Entry'!K$8),ISNUMBER('Council Entry'!K$9)),MAX(MIN('Council Entry'!K90,'Council Entry'!K$9),'Council Entry'!K$8),'Council Entry'!K90)),IF('Council Entry'!K$4="Exponential",EXP(IF(AND(ISNUMBER('Council Entry'!K$8),ISNUMBER('Council Entry'!K$9)),MAX(MIN('Council Entry'!K90,'Council Entry'!K$9),'Council Entry'!K$8),'Council Entry'!K90)),IF(AND(ISNUMBER('Council Entry'!K$8),ISNUMBER('Council Entry'!K$9)),MAX(MIN('Council Entry'!K90,'Council Entry'!K$9),'Council Entry'!K$8),'Council Entry'!K90))))-'Council Entry'!K$5)/('Council Entry'!K$6-'Council Entry'!K$5),10*((IF('Council Entry'!K$4="Logarithm",LN(0.001+IF(AND(ISNUMBER('Council Entry'!K$8),ISNUMBER('Council Entry'!K$9)),MAX(MIN('Council Entry'!K90,'Council Entry'!K$9),'Council Entry'!K$8),'Council Entry'!K90)),IF('Council Entry'!K$4="Exponential",EXP(IF(AND(ISNUMBER('Council Entry'!K$8),ISNUMBER('Council Entry'!K$9)),MAX(MIN('Council Entry'!K90,'Council Entry'!K$9),'Council Entry'!K$8),'Council Entry'!K90)),IF(AND(ISNUMBER('Council Entry'!K$8),ISNUMBER('Council Entry'!K$9)),MAX(MIN('Council Entry'!K90,'Council Entry'!K$9),'Council Entry'!K$8),'Council Entry'!K90))))-'Council Entry'!K$5)/('Council Entry'!K$6-'Council Entry'!K$5)),1))),"No data"))</f>
        <v/>
      </c>
      <c r="L90" s="13">
        <f>IF('Council Entry'!L90="","",IFERROR(MAX(0,MIN(10,ROUND(IF('Council Entry'!L$7="Decrease Risk",10-10*((IF('Council Entry'!L$4="Logarithm",LN(0.001+IF(AND(ISNUMBER('Council Entry'!L$8),ISNUMBER('Council Entry'!L$9)),MAX(MIN('Council Entry'!L90,'Council Entry'!L$9),'Council Entry'!L$8),'Council Entry'!L90)),IF('Council Entry'!L$4="Exponential",EXP(IF(AND(ISNUMBER('Council Entry'!L$8),ISNUMBER('Council Entry'!L$9)),MAX(MIN('Council Entry'!L90,'Council Entry'!L$9),'Council Entry'!L$8),'Council Entry'!L90)),IF(AND(ISNUMBER('Council Entry'!L$8),ISNUMBER('Council Entry'!L$9)),MAX(MIN('Council Entry'!L90,'Council Entry'!L$9),'Council Entry'!L$8),'Council Entry'!L90))))-'Council Entry'!L$5)/('Council Entry'!L$6-'Council Entry'!L$5),10*((IF('Council Entry'!L$4="Logarithm",LN(0.001+IF(AND(ISNUMBER('Council Entry'!L$8),ISNUMBER('Council Entry'!L$9)),MAX(MIN('Council Entry'!L90,'Council Entry'!L$9),'Council Entry'!L$8),'Council Entry'!L90)),IF('Council Entry'!L$4="Exponential",EXP(IF(AND(ISNUMBER('Council Entry'!L$8),ISNUMBER('Council Entry'!L$9)),MAX(MIN('Council Entry'!L90,'Council Entry'!L$9),'Council Entry'!L$8),'Council Entry'!L90)),IF(AND(ISNUMBER('Council Entry'!L$8),ISNUMBER('Council Entry'!L$9)),MAX(MIN('Council Entry'!L90,'Council Entry'!L$9),'Council Entry'!L$8),'Council Entry'!L90))))-'Council Entry'!L$5)/('Council Entry'!L$6-'Council Entry'!L$5)),1))),"No data"))</f>
        <v/>
      </c>
      <c r="M90" s="13">
        <f>IF('Council Entry'!M90="","",IFERROR(MAX(0,MIN(10,ROUND(IF('Council Entry'!M$7="Decrease Risk",10-10*((IF('Council Entry'!M$4="Logarithm",LN(0.001+IF(AND(ISNUMBER('Council Entry'!M$8),ISNUMBER('Council Entry'!M$9)),MAX(MIN('Council Entry'!M90,'Council Entry'!M$9),'Council Entry'!M$8),'Council Entry'!M90)),IF('Council Entry'!M$4="Exponential",EXP(IF(AND(ISNUMBER('Council Entry'!M$8),ISNUMBER('Council Entry'!M$9)),MAX(MIN('Council Entry'!M90,'Council Entry'!M$9),'Council Entry'!M$8),'Council Entry'!M90)),IF(AND(ISNUMBER('Council Entry'!M$8),ISNUMBER('Council Entry'!M$9)),MAX(MIN('Council Entry'!M90,'Council Entry'!M$9),'Council Entry'!M$8),'Council Entry'!M90))))-'Council Entry'!M$5)/('Council Entry'!M$6-'Council Entry'!M$5),10*((IF('Council Entry'!M$4="Logarithm",LN(0.001+IF(AND(ISNUMBER('Council Entry'!M$8),ISNUMBER('Council Entry'!M$9)),MAX(MIN('Council Entry'!M90,'Council Entry'!M$9),'Council Entry'!M$8),'Council Entry'!M90)),IF('Council Entry'!M$4="Exponential",EXP(IF(AND(ISNUMBER('Council Entry'!M$8),ISNUMBER('Council Entry'!M$9)),MAX(MIN('Council Entry'!M90,'Council Entry'!M$9),'Council Entry'!M$8),'Council Entry'!M90)),IF(AND(ISNUMBER('Council Entry'!M$8),ISNUMBER('Council Entry'!M$9)),MAX(MIN('Council Entry'!M90,'Council Entry'!M$9),'Council Entry'!M$8),'Council Entry'!M90))))-'Council Entry'!M$5)/('Council Entry'!M$6-'Council Entry'!M$5)),1))),"No data"))</f>
        <v/>
      </c>
      <c r="N90" s="13">
        <f>IF('Council Entry'!N90="","",IFERROR(MAX(0,MIN(10,ROUND(IF('Council Entry'!N$7="Decrease Risk",10-10*((IF('Council Entry'!N$4="Logarithm",LN(0.001+IF(AND(ISNUMBER('Council Entry'!N$8),ISNUMBER('Council Entry'!N$9)),MAX(MIN('Council Entry'!N90,'Council Entry'!N$9),'Council Entry'!N$8),'Council Entry'!N90)),IF('Council Entry'!N$4="Exponential",EXP(IF(AND(ISNUMBER('Council Entry'!N$8),ISNUMBER('Council Entry'!N$9)),MAX(MIN('Council Entry'!N90,'Council Entry'!N$9),'Council Entry'!N$8),'Council Entry'!N90)),IF(AND(ISNUMBER('Council Entry'!N$8),ISNUMBER('Council Entry'!N$9)),MAX(MIN('Council Entry'!N90,'Council Entry'!N$9),'Council Entry'!N$8),'Council Entry'!N90))))-'Council Entry'!N$5)/('Council Entry'!N$6-'Council Entry'!N$5),10*((IF('Council Entry'!N$4="Logarithm",LN(0.001+IF(AND(ISNUMBER('Council Entry'!N$8),ISNUMBER('Council Entry'!N$9)),MAX(MIN('Council Entry'!N90,'Council Entry'!N$9),'Council Entry'!N$8),'Council Entry'!N90)),IF('Council Entry'!N$4="Exponential",EXP(IF(AND(ISNUMBER('Council Entry'!N$8),ISNUMBER('Council Entry'!N$9)),MAX(MIN('Council Entry'!N90,'Council Entry'!N$9),'Council Entry'!N$8),'Council Entry'!N90)),IF(AND(ISNUMBER('Council Entry'!N$8),ISNUMBER('Council Entry'!N$9)),MAX(MIN('Council Entry'!N90,'Council Entry'!N$9),'Council Entry'!N$8),'Council Entry'!N90))))-'Council Entry'!N$5)/('Council Entry'!N$6-'Council Entry'!N$5)),1))),"No data"))</f>
        <v/>
      </c>
      <c r="O90" s="13">
        <f>IF('Council Entry'!O90="","",IFERROR(MAX(0,MIN(10,ROUND(IF('Council Entry'!O$7="Decrease Risk",10-10*((IF('Council Entry'!O$4="Logarithm",LN(0.001+IF(AND(ISNUMBER('Council Entry'!O$8),ISNUMBER('Council Entry'!O$9)),MAX(MIN('Council Entry'!O90,'Council Entry'!O$9),'Council Entry'!O$8),'Council Entry'!O90)),IF('Council Entry'!O$4="Exponential",EXP(IF(AND(ISNUMBER('Council Entry'!O$8),ISNUMBER('Council Entry'!O$9)),MAX(MIN('Council Entry'!O90,'Council Entry'!O$9),'Council Entry'!O$8),'Council Entry'!O90)),IF(AND(ISNUMBER('Council Entry'!O$8),ISNUMBER('Council Entry'!O$9)),MAX(MIN('Council Entry'!O90,'Council Entry'!O$9),'Council Entry'!O$8),'Council Entry'!O90))))-'Council Entry'!O$5)/('Council Entry'!O$6-'Council Entry'!O$5),10*((IF('Council Entry'!O$4="Logarithm",LN(0.001+IF(AND(ISNUMBER('Council Entry'!O$8),ISNUMBER('Council Entry'!O$9)),MAX(MIN('Council Entry'!O90,'Council Entry'!O$9),'Council Entry'!O$8),'Council Entry'!O90)),IF('Council Entry'!O$4="Exponential",EXP(IF(AND(ISNUMBER('Council Entry'!O$8),ISNUMBER('Council Entry'!O$9)),MAX(MIN('Council Entry'!O90,'Council Entry'!O$9),'Council Entry'!O$8),'Council Entry'!O90)),IF(AND(ISNUMBER('Council Entry'!O$8),ISNUMBER('Council Entry'!O$9)),MAX(MIN('Council Entry'!O90,'Council Entry'!O$9),'Council Entry'!O$8),'Council Entry'!O90))))-'Council Entry'!O$5)/('Council Entry'!O$6-'Council Entry'!O$5)),1))),"No data"))</f>
        <v/>
      </c>
      <c r="P90" s="13">
        <f>IF('Council Entry'!P90="","",IFERROR(MAX(0,MIN(10,ROUND(IF('Council Entry'!P$7="Decrease Risk",10-10*((IF('Council Entry'!P$4="Logarithm",LN(0.001+IF(AND(ISNUMBER('Council Entry'!P$8),ISNUMBER('Council Entry'!P$9)),MAX(MIN('Council Entry'!P90,'Council Entry'!P$9),'Council Entry'!P$8),'Council Entry'!P90)),IF('Council Entry'!P$4="Exponential",EXP(IF(AND(ISNUMBER('Council Entry'!P$8),ISNUMBER('Council Entry'!P$9)),MAX(MIN('Council Entry'!P90,'Council Entry'!P$9),'Council Entry'!P$8),'Council Entry'!P90)),IF(AND(ISNUMBER('Council Entry'!P$8),ISNUMBER('Council Entry'!P$9)),MAX(MIN('Council Entry'!P90,'Council Entry'!P$9),'Council Entry'!P$8),'Council Entry'!P90))))-'Council Entry'!P$5)/('Council Entry'!P$6-'Council Entry'!P$5),10*((IF('Council Entry'!P$4="Logarithm",LN(0.001+IF(AND(ISNUMBER('Council Entry'!P$8),ISNUMBER('Council Entry'!P$9)),MAX(MIN('Council Entry'!P90,'Council Entry'!P$9),'Council Entry'!P$8),'Council Entry'!P90)),IF('Council Entry'!P$4="Exponential",EXP(IF(AND(ISNUMBER('Council Entry'!P$8),ISNUMBER('Council Entry'!P$9)),MAX(MIN('Council Entry'!P90,'Council Entry'!P$9),'Council Entry'!P$8),'Council Entry'!P90)),IF(AND(ISNUMBER('Council Entry'!P$8),ISNUMBER('Council Entry'!P$9)),MAX(MIN('Council Entry'!P90,'Council Entry'!P$9),'Council Entry'!P$8),'Council Entry'!P90))))-'Council Entry'!P$5)/('Council Entry'!P$6-'Council Entry'!P$5)),1))),"No data"))</f>
        <v/>
      </c>
      <c r="Q90" s="13">
        <f>IF('Council Entry'!Q90="","",IFERROR(MAX(0,MIN(10,ROUND(IF('Council Entry'!Q$7="Decrease Risk",10-10*((IF('Council Entry'!Q$4="Logarithm",LN(0.001+IF(AND(ISNUMBER('Council Entry'!Q$8),ISNUMBER('Council Entry'!Q$9)),MAX(MIN('Council Entry'!Q90,'Council Entry'!Q$9),'Council Entry'!Q$8),'Council Entry'!Q90)),IF('Council Entry'!Q$4="Exponential",EXP(IF(AND(ISNUMBER('Council Entry'!Q$8),ISNUMBER('Council Entry'!Q$9)),MAX(MIN('Council Entry'!Q90,'Council Entry'!Q$9),'Council Entry'!Q$8),'Council Entry'!Q90)),IF(AND(ISNUMBER('Council Entry'!Q$8),ISNUMBER('Council Entry'!Q$9)),MAX(MIN('Council Entry'!Q90,'Council Entry'!Q$9),'Council Entry'!Q$8),'Council Entry'!Q90))))-'Council Entry'!Q$5)/('Council Entry'!Q$6-'Council Entry'!Q$5),10*((IF('Council Entry'!Q$4="Logarithm",LN(0.001+IF(AND(ISNUMBER('Council Entry'!Q$8),ISNUMBER('Council Entry'!Q$9)),MAX(MIN('Council Entry'!Q90,'Council Entry'!Q$9),'Council Entry'!Q$8),'Council Entry'!Q90)),IF('Council Entry'!Q$4="Exponential",EXP(IF(AND(ISNUMBER('Council Entry'!Q$8),ISNUMBER('Council Entry'!Q$9)),MAX(MIN('Council Entry'!Q90,'Council Entry'!Q$9),'Council Entry'!Q$8),'Council Entry'!Q90)),IF(AND(ISNUMBER('Council Entry'!Q$8),ISNUMBER('Council Entry'!Q$9)),MAX(MIN('Council Entry'!Q90,'Council Entry'!Q$9),'Council Entry'!Q$8),'Council Entry'!Q90))))-'Council Entry'!Q$5)/('Council Entry'!Q$6-'Council Entry'!Q$5)),1))),"No data"))</f>
        <v/>
      </c>
      <c r="R90" s="13">
        <f>IF('Council Entry'!R90="","",IFERROR(MAX(0,MIN(10,ROUND(IF('Council Entry'!R$7="Decrease Risk",10-10*((IF('Council Entry'!R$4="Logarithm",LN(0.001+IF(AND(ISNUMBER('Council Entry'!R$8),ISNUMBER('Council Entry'!R$9)),MAX(MIN('Council Entry'!R90,'Council Entry'!R$9),'Council Entry'!R$8),'Council Entry'!R90)),IF('Council Entry'!R$4="Exponential",EXP(IF(AND(ISNUMBER('Council Entry'!R$8),ISNUMBER('Council Entry'!R$9)),MAX(MIN('Council Entry'!R90,'Council Entry'!R$9),'Council Entry'!R$8),'Council Entry'!R90)),IF(AND(ISNUMBER('Council Entry'!R$8),ISNUMBER('Council Entry'!R$9)),MAX(MIN('Council Entry'!R90,'Council Entry'!R$9),'Council Entry'!R$8),'Council Entry'!R90))))-'Council Entry'!R$5)/('Council Entry'!R$6-'Council Entry'!R$5),10*((IF('Council Entry'!R$4="Logarithm",LN(0.001+IF(AND(ISNUMBER('Council Entry'!R$8),ISNUMBER('Council Entry'!R$9)),MAX(MIN('Council Entry'!R90,'Council Entry'!R$9),'Council Entry'!R$8),'Council Entry'!R90)),IF('Council Entry'!R$4="Exponential",EXP(IF(AND(ISNUMBER('Council Entry'!R$8),ISNUMBER('Council Entry'!R$9)),MAX(MIN('Council Entry'!R90,'Council Entry'!R$9),'Council Entry'!R$8),'Council Entry'!R90)),IF(AND(ISNUMBER('Council Entry'!R$8),ISNUMBER('Council Entry'!R$9)),MAX(MIN('Council Entry'!R90,'Council Entry'!R$9),'Council Entry'!R$8),'Council Entry'!R90))))-'Council Entry'!R$5)/('Council Entry'!R$6-'Council Entry'!R$5)),1))),"No data"))</f>
        <v/>
      </c>
      <c r="S90" s="13">
        <f>IF('Council Entry'!S90="","",IFERROR(MAX(0,MIN(10,ROUND(IF('Council Entry'!S$7="Decrease Risk",10-10*((IF('Council Entry'!S$4="Logarithm",LN(0.001+IF(AND(ISNUMBER('Council Entry'!S$8),ISNUMBER('Council Entry'!S$9)),MAX(MIN('Council Entry'!S90,'Council Entry'!S$9),'Council Entry'!S$8),'Council Entry'!S90)),IF('Council Entry'!S$4="Exponential",EXP(IF(AND(ISNUMBER('Council Entry'!S$8),ISNUMBER('Council Entry'!S$9)),MAX(MIN('Council Entry'!S90,'Council Entry'!S$9),'Council Entry'!S$8),'Council Entry'!S90)),IF(AND(ISNUMBER('Council Entry'!S$8),ISNUMBER('Council Entry'!S$9)),MAX(MIN('Council Entry'!S90,'Council Entry'!S$9),'Council Entry'!S$8),'Council Entry'!S90))))-'Council Entry'!S$5)/('Council Entry'!S$6-'Council Entry'!S$5),10*((IF('Council Entry'!S$4="Logarithm",LN(0.001+IF(AND(ISNUMBER('Council Entry'!S$8),ISNUMBER('Council Entry'!S$9)),MAX(MIN('Council Entry'!S90,'Council Entry'!S$9),'Council Entry'!S$8),'Council Entry'!S90)),IF('Council Entry'!S$4="Exponential",EXP(IF(AND(ISNUMBER('Council Entry'!S$8),ISNUMBER('Council Entry'!S$9)),MAX(MIN('Council Entry'!S90,'Council Entry'!S$9),'Council Entry'!S$8),'Council Entry'!S90)),IF(AND(ISNUMBER('Council Entry'!S$8),ISNUMBER('Council Entry'!S$9)),MAX(MIN('Council Entry'!S90,'Council Entry'!S$9),'Council Entry'!S$8),'Council Entry'!S90))))-'Council Entry'!S$5)/('Council Entry'!S$6-'Council Entry'!S$5)),1))),"No data"))</f>
        <v/>
      </c>
      <c r="T90" s="13">
        <f>IF('Council Entry'!T90="","",IFERROR(MAX(0,MIN(10,ROUND(IF('Council Entry'!T$7="Decrease Risk",10-10*((IF('Council Entry'!T$4="Logarithm",LN(0.001+IF(AND(ISNUMBER('Council Entry'!T$8),ISNUMBER('Council Entry'!T$9)),MAX(MIN('Council Entry'!T90,'Council Entry'!T$9),'Council Entry'!T$8),'Council Entry'!T90)),IF('Council Entry'!T$4="Exponential",EXP(IF(AND(ISNUMBER('Council Entry'!T$8),ISNUMBER('Council Entry'!T$9)),MAX(MIN('Council Entry'!T90,'Council Entry'!T$9),'Council Entry'!T$8),'Council Entry'!T90)),IF(AND(ISNUMBER('Council Entry'!T$8),ISNUMBER('Council Entry'!T$9)),MAX(MIN('Council Entry'!T90,'Council Entry'!T$9),'Council Entry'!T$8),'Council Entry'!T90))))-'Council Entry'!T$5)/('Council Entry'!T$6-'Council Entry'!T$5),10*((IF('Council Entry'!T$4="Logarithm",LN(0.001+IF(AND(ISNUMBER('Council Entry'!T$8),ISNUMBER('Council Entry'!T$9)),MAX(MIN('Council Entry'!T90,'Council Entry'!T$9),'Council Entry'!T$8),'Council Entry'!T90)),IF('Council Entry'!T$4="Exponential",EXP(IF(AND(ISNUMBER('Council Entry'!T$8),ISNUMBER('Council Entry'!T$9)),MAX(MIN('Council Entry'!T90,'Council Entry'!T$9),'Council Entry'!T$8),'Council Entry'!T90)),IF(AND(ISNUMBER('Council Entry'!T$8),ISNUMBER('Council Entry'!T$9)),MAX(MIN('Council Entry'!T90,'Council Entry'!T$9),'Council Entry'!T$8),'Council Entry'!T90))))-'Council Entry'!T$5)/('Council Entry'!T$6-'Council Entry'!T$5)),1))),"No data"))</f>
        <v/>
      </c>
      <c r="U90" s="13">
        <f>IF('Council Entry'!U90="","",IFERROR(MAX(0,MIN(10,ROUND(IF('Council Entry'!U$7="Decrease Risk",10-10*((IF('Council Entry'!U$4="Logarithm",LN(0.001+IF(AND(ISNUMBER('Council Entry'!U$8),ISNUMBER('Council Entry'!U$9)),MAX(MIN('Council Entry'!U90,'Council Entry'!U$9),'Council Entry'!U$8),'Council Entry'!U90)),IF('Council Entry'!U$4="Exponential",EXP(IF(AND(ISNUMBER('Council Entry'!U$8),ISNUMBER('Council Entry'!U$9)),MAX(MIN('Council Entry'!U90,'Council Entry'!U$9),'Council Entry'!U$8),'Council Entry'!U90)),IF(AND(ISNUMBER('Council Entry'!U$8),ISNUMBER('Council Entry'!U$9)),MAX(MIN('Council Entry'!U90,'Council Entry'!U$9),'Council Entry'!U$8),'Council Entry'!U90))))-'Council Entry'!U$5)/('Council Entry'!U$6-'Council Entry'!U$5),10*((IF('Council Entry'!U$4="Logarithm",LN(0.001+IF(AND(ISNUMBER('Council Entry'!U$8),ISNUMBER('Council Entry'!U$9)),MAX(MIN('Council Entry'!U90,'Council Entry'!U$9),'Council Entry'!U$8),'Council Entry'!U90)),IF('Council Entry'!U$4="Exponential",EXP(IF(AND(ISNUMBER('Council Entry'!U$8),ISNUMBER('Council Entry'!U$9)),MAX(MIN('Council Entry'!U90,'Council Entry'!U$9),'Council Entry'!U$8),'Council Entry'!U90)),IF(AND(ISNUMBER('Council Entry'!U$8),ISNUMBER('Council Entry'!U$9)),MAX(MIN('Council Entry'!U90,'Council Entry'!U$9),'Council Entry'!U$8),'Council Entry'!U90))))-'Council Entry'!U$5)/('Council Entry'!U$6-'Council Entry'!U$5)),1))),"No data"))</f>
        <v/>
      </c>
      <c r="V90" s="13">
        <f>IF('Council Entry'!V90="","",IFERROR(MAX(0,MIN(10,ROUND(IF('Council Entry'!V$7="Decrease Risk",10-10*((IF('Council Entry'!V$4="Logarithm",LN(0.001+IF(AND(ISNUMBER('Council Entry'!V$8),ISNUMBER('Council Entry'!V$9)),MAX(MIN('Council Entry'!V90,'Council Entry'!V$9),'Council Entry'!V$8),'Council Entry'!V90)),IF('Council Entry'!V$4="Exponential",EXP(IF(AND(ISNUMBER('Council Entry'!V$8),ISNUMBER('Council Entry'!V$9)),MAX(MIN('Council Entry'!V90,'Council Entry'!V$9),'Council Entry'!V$8),'Council Entry'!V90)),IF(AND(ISNUMBER('Council Entry'!V$8),ISNUMBER('Council Entry'!V$9)),MAX(MIN('Council Entry'!V90,'Council Entry'!V$9),'Council Entry'!V$8),'Council Entry'!V90))))-'Council Entry'!V$5)/('Council Entry'!V$6-'Council Entry'!V$5),10*((IF('Council Entry'!V$4="Logarithm",LN(0.001+IF(AND(ISNUMBER('Council Entry'!V$8),ISNUMBER('Council Entry'!V$9)),MAX(MIN('Council Entry'!V90,'Council Entry'!V$9),'Council Entry'!V$8),'Council Entry'!V90)),IF('Council Entry'!V$4="Exponential",EXP(IF(AND(ISNUMBER('Council Entry'!V$8),ISNUMBER('Council Entry'!V$9)),MAX(MIN('Council Entry'!V90,'Council Entry'!V$9),'Council Entry'!V$8),'Council Entry'!V90)),IF(AND(ISNUMBER('Council Entry'!V$8),ISNUMBER('Council Entry'!V$9)),MAX(MIN('Council Entry'!V90,'Council Entry'!V$9),'Council Entry'!V$8),'Council Entry'!V90))))-'Council Entry'!V$5)/('Council Entry'!V$6-'Council Entry'!V$5)),1))),"No data"))</f>
        <v/>
      </c>
      <c r="W90" s="13">
        <f>IF('Council Entry'!W90="","",IFERROR(MAX(0,MIN(10,ROUND(IF('Council Entry'!W$7="Decrease Risk",10-10*((IF('Council Entry'!W$4="Logarithm",LN(0.001+IF(AND(ISNUMBER('Council Entry'!W$8),ISNUMBER('Council Entry'!W$9)),MAX(MIN('Council Entry'!W90,'Council Entry'!W$9),'Council Entry'!W$8),'Council Entry'!W90)),IF('Council Entry'!W$4="Exponential",EXP(IF(AND(ISNUMBER('Council Entry'!W$8),ISNUMBER('Council Entry'!W$9)),MAX(MIN('Council Entry'!W90,'Council Entry'!W$9),'Council Entry'!W$8),'Council Entry'!W90)),IF(AND(ISNUMBER('Council Entry'!W$8),ISNUMBER('Council Entry'!W$9)),MAX(MIN('Council Entry'!W90,'Council Entry'!W$9),'Council Entry'!W$8),'Council Entry'!W90))))-'Council Entry'!W$5)/('Council Entry'!W$6-'Council Entry'!W$5),10*((IF('Council Entry'!W$4="Logarithm",LN(0.001+IF(AND(ISNUMBER('Council Entry'!W$8),ISNUMBER('Council Entry'!W$9)),MAX(MIN('Council Entry'!W90,'Council Entry'!W$9),'Council Entry'!W$8),'Council Entry'!W90)),IF('Council Entry'!W$4="Exponential",EXP(IF(AND(ISNUMBER('Council Entry'!W$8),ISNUMBER('Council Entry'!W$9)),MAX(MIN('Council Entry'!W90,'Council Entry'!W$9),'Council Entry'!W$8),'Council Entry'!W90)),IF(AND(ISNUMBER('Council Entry'!W$8),ISNUMBER('Council Entry'!W$9)),MAX(MIN('Council Entry'!W90,'Council Entry'!W$9),'Council Entry'!W$8),'Council Entry'!W90))))-'Council Entry'!W$5)/('Council Entry'!W$6-'Council Entry'!W$5)),1))),"No data"))</f>
        <v/>
      </c>
      <c r="X90" s="13">
        <f>IF('Council Entry'!X90="","",IFERROR(MAX(0,MIN(10,ROUND(IF('Council Entry'!X$7="Decrease Risk",10-10*((IF('Council Entry'!X$4="Logarithm",LN(0.001+IF(AND(ISNUMBER('Council Entry'!X$8),ISNUMBER('Council Entry'!X$9)),MAX(MIN('Council Entry'!X90,'Council Entry'!X$9),'Council Entry'!X$8),'Council Entry'!X90)),IF('Council Entry'!X$4="Exponential",EXP(IF(AND(ISNUMBER('Council Entry'!X$8),ISNUMBER('Council Entry'!X$9)),MAX(MIN('Council Entry'!X90,'Council Entry'!X$9),'Council Entry'!X$8),'Council Entry'!X90)),IF(AND(ISNUMBER('Council Entry'!X$8),ISNUMBER('Council Entry'!X$9)),MAX(MIN('Council Entry'!X90,'Council Entry'!X$9),'Council Entry'!X$8),'Council Entry'!X90))))-'Council Entry'!X$5)/('Council Entry'!X$6-'Council Entry'!X$5),10*((IF('Council Entry'!X$4="Logarithm",LN(0.001+IF(AND(ISNUMBER('Council Entry'!X$8),ISNUMBER('Council Entry'!X$9)),MAX(MIN('Council Entry'!X90,'Council Entry'!X$9),'Council Entry'!X$8),'Council Entry'!X90)),IF('Council Entry'!X$4="Exponential",EXP(IF(AND(ISNUMBER('Council Entry'!X$8),ISNUMBER('Council Entry'!X$9)),MAX(MIN('Council Entry'!X90,'Council Entry'!X$9),'Council Entry'!X$8),'Council Entry'!X90)),IF(AND(ISNUMBER('Council Entry'!X$8),ISNUMBER('Council Entry'!X$9)),MAX(MIN('Council Entry'!X90,'Council Entry'!X$9),'Council Entry'!X$8),'Council Entry'!X90))))-'Council Entry'!X$5)/('Council Entry'!X$6-'Council Entry'!X$5)),1))),"No data"))</f>
        <v/>
      </c>
      <c r="Y90" s="13">
        <f>IF('Council Entry'!Y90="","",IFERROR(MAX(0,MIN(10,ROUND(IF('Council Entry'!Y$7="Decrease Risk",10-10*((IF('Council Entry'!Y$4="Logarithm",LN(0.001+IF(AND(ISNUMBER('Council Entry'!Y$8),ISNUMBER('Council Entry'!Y$9)),MAX(MIN('Council Entry'!Y90,'Council Entry'!Y$9),'Council Entry'!Y$8),'Council Entry'!Y90)),IF('Council Entry'!Y$4="Exponential",EXP(IF(AND(ISNUMBER('Council Entry'!Y$8),ISNUMBER('Council Entry'!Y$9)),MAX(MIN('Council Entry'!Y90,'Council Entry'!Y$9),'Council Entry'!Y$8),'Council Entry'!Y90)),IF(AND(ISNUMBER('Council Entry'!Y$8),ISNUMBER('Council Entry'!Y$9)),MAX(MIN('Council Entry'!Y90,'Council Entry'!Y$9),'Council Entry'!Y$8),'Council Entry'!Y90))))-'Council Entry'!Y$5)/('Council Entry'!Y$6-'Council Entry'!Y$5),10*((IF('Council Entry'!Y$4="Logarithm",LN(0.001+IF(AND(ISNUMBER('Council Entry'!Y$8),ISNUMBER('Council Entry'!Y$9)),MAX(MIN('Council Entry'!Y90,'Council Entry'!Y$9),'Council Entry'!Y$8),'Council Entry'!Y90)),IF('Council Entry'!Y$4="Exponential",EXP(IF(AND(ISNUMBER('Council Entry'!Y$8),ISNUMBER('Council Entry'!Y$9)),MAX(MIN('Council Entry'!Y90,'Council Entry'!Y$9),'Council Entry'!Y$8),'Council Entry'!Y90)),IF(AND(ISNUMBER('Council Entry'!Y$8),ISNUMBER('Council Entry'!Y$9)),MAX(MIN('Council Entry'!Y90,'Council Entry'!Y$9),'Council Entry'!Y$8),'Council Entry'!Y90))))-'Council Entry'!Y$5)/('Council Entry'!Y$6-'Council Entry'!Y$5)),1))),"No data"))</f>
        <v/>
      </c>
      <c r="Z90" s="13">
        <f>IF('Council Entry'!Z90="","",IFERROR(MAX(0,MIN(10,ROUND(IF('Council Entry'!Z$7="Decrease Risk",10-10*((IF('Council Entry'!Z$4="Logarithm",LN(0.001+IF(AND(ISNUMBER('Council Entry'!Z$8),ISNUMBER('Council Entry'!Z$9)),MAX(MIN('Council Entry'!Z90,'Council Entry'!Z$9),'Council Entry'!Z$8),'Council Entry'!Z90)),IF('Council Entry'!Z$4="Exponential",EXP(IF(AND(ISNUMBER('Council Entry'!Z$8),ISNUMBER('Council Entry'!Z$9)),MAX(MIN('Council Entry'!Z90,'Council Entry'!Z$9),'Council Entry'!Z$8),'Council Entry'!Z90)),IF(AND(ISNUMBER('Council Entry'!Z$8),ISNUMBER('Council Entry'!Z$9)),MAX(MIN('Council Entry'!Z90,'Council Entry'!Z$9),'Council Entry'!Z$8),'Council Entry'!Z90))))-'Council Entry'!Z$5)/('Council Entry'!Z$6-'Council Entry'!Z$5),10*((IF('Council Entry'!Z$4="Logarithm",LN(0.001+IF(AND(ISNUMBER('Council Entry'!Z$8),ISNUMBER('Council Entry'!Z$9)),MAX(MIN('Council Entry'!Z90,'Council Entry'!Z$9),'Council Entry'!Z$8),'Council Entry'!Z90)),IF('Council Entry'!Z$4="Exponential",EXP(IF(AND(ISNUMBER('Council Entry'!Z$8),ISNUMBER('Council Entry'!Z$9)),MAX(MIN('Council Entry'!Z90,'Council Entry'!Z$9),'Council Entry'!Z$8),'Council Entry'!Z90)),IF(AND(ISNUMBER('Council Entry'!Z$8),ISNUMBER('Council Entry'!Z$9)),MAX(MIN('Council Entry'!Z90,'Council Entry'!Z$9),'Council Entry'!Z$8),'Council Entry'!Z90))))-'Council Entry'!Z$5)/('Council Entry'!Z$6-'Council Entry'!Z$5)),1))),"No data"))</f>
        <v/>
      </c>
      <c r="AA90" s="13">
        <f>IF('Council Entry'!AA90="","",IFERROR(MAX(0,MIN(10,ROUND(IF('Council Entry'!AA$7="Decrease Risk",10-10*((IF('Council Entry'!AA$4="Logarithm",LN(0.001+IF(AND(ISNUMBER('Council Entry'!AA$8),ISNUMBER('Council Entry'!AA$9)),MAX(MIN('Council Entry'!AA90,'Council Entry'!AA$9),'Council Entry'!AA$8),'Council Entry'!AA90)),IF('Council Entry'!AA$4="Exponential",EXP(IF(AND(ISNUMBER('Council Entry'!AA$8),ISNUMBER('Council Entry'!AA$9)),MAX(MIN('Council Entry'!AA90,'Council Entry'!AA$9),'Council Entry'!AA$8),'Council Entry'!AA90)),IF(AND(ISNUMBER('Council Entry'!AA$8),ISNUMBER('Council Entry'!AA$9)),MAX(MIN('Council Entry'!AA90,'Council Entry'!AA$9),'Council Entry'!AA$8),'Council Entry'!AA90))))-'Council Entry'!AA$5)/('Council Entry'!AA$6-'Council Entry'!AA$5),10*((IF('Council Entry'!AA$4="Logarithm",LN(0.001+IF(AND(ISNUMBER('Council Entry'!AA$8),ISNUMBER('Council Entry'!AA$9)),MAX(MIN('Council Entry'!AA90,'Council Entry'!AA$9),'Council Entry'!AA$8),'Council Entry'!AA90)),IF('Council Entry'!AA$4="Exponential",EXP(IF(AND(ISNUMBER('Council Entry'!AA$8),ISNUMBER('Council Entry'!AA$9)),MAX(MIN('Council Entry'!AA90,'Council Entry'!AA$9),'Council Entry'!AA$8),'Council Entry'!AA90)),IF(AND(ISNUMBER('Council Entry'!AA$8),ISNUMBER('Council Entry'!AA$9)),MAX(MIN('Council Entry'!AA90,'Council Entry'!AA$9),'Council Entry'!AA$8),'Council Entry'!AA90))))-'Council Entry'!AA$5)/('Council Entry'!AA$6-'Council Entry'!AA$5)),1))),"No data"))</f>
        <v/>
      </c>
      <c r="AB90" s="13">
        <f>IF('Council Entry'!AB90="","",IFERROR(MAX(0,MIN(10,ROUND(IF('Council Entry'!AB$7="Decrease Risk",10-10*((IF('Council Entry'!AB$4="Logarithm",LN(0.001+IF(AND(ISNUMBER('Council Entry'!AB$8),ISNUMBER('Council Entry'!AB$9)),MAX(MIN('Council Entry'!AB90,'Council Entry'!AB$9),'Council Entry'!AB$8),'Council Entry'!AB90)),IF('Council Entry'!AB$4="Exponential",EXP(IF(AND(ISNUMBER('Council Entry'!AB$8),ISNUMBER('Council Entry'!AB$9)),MAX(MIN('Council Entry'!AB90,'Council Entry'!AB$9),'Council Entry'!AB$8),'Council Entry'!AB90)),IF(AND(ISNUMBER('Council Entry'!AB$8),ISNUMBER('Council Entry'!AB$9)),MAX(MIN('Council Entry'!AB90,'Council Entry'!AB$9),'Council Entry'!AB$8),'Council Entry'!AB90))))-'Council Entry'!AB$5)/('Council Entry'!AB$6-'Council Entry'!AB$5),10*((IF('Council Entry'!AB$4="Logarithm",LN(0.001+IF(AND(ISNUMBER('Council Entry'!AB$8),ISNUMBER('Council Entry'!AB$9)),MAX(MIN('Council Entry'!AB90,'Council Entry'!AB$9),'Council Entry'!AB$8),'Council Entry'!AB90)),IF('Council Entry'!AB$4="Exponential",EXP(IF(AND(ISNUMBER('Council Entry'!AB$8),ISNUMBER('Council Entry'!AB$9)),MAX(MIN('Council Entry'!AB90,'Council Entry'!AB$9),'Council Entry'!AB$8),'Council Entry'!AB90)),IF(AND(ISNUMBER('Council Entry'!AB$8),ISNUMBER('Council Entry'!AB$9)),MAX(MIN('Council Entry'!AB90,'Council Entry'!AB$9),'Council Entry'!AB$8),'Council Entry'!AB90))))-'Council Entry'!AB$5)/('Council Entry'!AB$6-'Council Entry'!AB$5)),1))),"No data"))</f>
        <v/>
      </c>
      <c r="AC90" s="13">
        <f>IF('Council Entry'!AC90="","",IFERROR(MAX(0,MIN(10,ROUND(IF('Council Entry'!AC$7="Decrease Risk",10-10*((IF('Council Entry'!AC$4="Logarithm",LN(0.001+IF(AND(ISNUMBER('Council Entry'!AC$8),ISNUMBER('Council Entry'!AC$9)),MAX(MIN('Council Entry'!AC90,'Council Entry'!AC$9),'Council Entry'!AC$8),'Council Entry'!AC90)),IF('Council Entry'!AC$4="Exponential",EXP(IF(AND(ISNUMBER('Council Entry'!AC$8),ISNUMBER('Council Entry'!AC$9)),MAX(MIN('Council Entry'!AC90,'Council Entry'!AC$9),'Council Entry'!AC$8),'Council Entry'!AC90)),IF(AND(ISNUMBER('Council Entry'!AC$8),ISNUMBER('Council Entry'!AC$9)),MAX(MIN('Council Entry'!AC90,'Council Entry'!AC$9),'Council Entry'!AC$8),'Council Entry'!AC90))))-'Council Entry'!AC$5)/('Council Entry'!AC$6-'Council Entry'!AC$5),10*((IF('Council Entry'!AC$4="Logarithm",LN(0.001+IF(AND(ISNUMBER('Council Entry'!AC$8),ISNUMBER('Council Entry'!AC$9)),MAX(MIN('Council Entry'!AC90,'Council Entry'!AC$9),'Council Entry'!AC$8),'Council Entry'!AC90)),IF('Council Entry'!AC$4="Exponential",EXP(IF(AND(ISNUMBER('Council Entry'!AC$8),ISNUMBER('Council Entry'!AC$9)),MAX(MIN('Council Entry'!AC90,'Council Entry'!AC$9),'Council Entry'!AC$8),'Council Entry'!AC90)),IF(AND(ISNUMBER('Council Entry'!AC$8),ISNUMBER('Council Entry'!AC$9)),MAX(MIN('Council Entry'!AC90,'Council Entry'!AC$9),'Council Entry'!AC$8),'Council Entry'!AC90))))-'Council Entry'!AC$5)/('Council Entry'!AC$6-'Council Entry'!AC$5)),1))),"No data"))</f>
        <v/>
      </c>
      <c r="AD90" s="13">
        <f>IF('Council Entry'!AD90="","",IFERROR(MAX(0,MIN(10,ROUND(IF('Council Entry'!AD$7="Decrease Risk",10-10*((IF('Council Entry'!AD$4="Logarithm",LN(0.001+IF(AND(ISNUMBER('Council Entry'!AD$8),ISNUMBER('Council Entry'!AD$9)),MAX(MIN('Council Entry'!AD90,'Council Entry'!AD$9),'Council Entry'!AD$8),'Council Entry'!AD90)),IF('Council Entry'!AD$4="Exponential",EXP(IF(AND(ISNUMBER('Council Entry'!AD$8),ISNUMBER('Council Entry'!AD$9)),MAX(MIN('Council Entry'!AD90,'Council Entry'!AD$9),'Council Entry'!AD$8),'Council Entry'!AD90)),IF(AND(ISNUMBER('Council Entry'!AD$8),ISNUMBER('Council Entry'!AD$9)),MAX(MIN('Council Entry'!AD90,'Council Entry'!AD$9),'Council Entry'!AD$8),'Council Entry'!AD90))))-'Council Entry'!AD$5)/('Council Entry'!AD$6-'Council Entry'!AD$5),10*((IF('Council Entry'!AD$4="Logarithm",LN(0.001+IF(AND(ISNUMBER('Council Entry'!AD$8),ISNUMBER('Council Entry'!AD$9)),MAX(MIN('Council Entry'!AD90,'Council Entry'!AD$9),'Council Entry'!AD$8),'Council Entry'!AD90)),IF('Council Entry'!AD$4="Exponential",EXP(IF(AND(ISNUMBER('Council Entry'!AD$8),ISNUMBER('Council Entry'!AD$9)),MAX(MIN('Council Entry'!AD90,'Council Entry'!AD$9),'Council Entry'!AD$8),'Council Entry'!AD90)),IF(AND(ISNUMBER('Council Entry'!AD$8),ISNUMBER('Council Entry'!AD$9)),MAX(MIN('Council Entry'!AD90,'Council Entry'!AD$9),'Council Entry'!AD$8),'Council Entry'!AD90))))-'Council Entry'!AD$5)/('Council Entry'!AD$6-'Council Entry'!AD$5)),1))),"No data"))</f>
        <v/>
      </c>
      <c r="AE90" s="13">
        <f>IF('Council Entry'!AE90="","",IFERROR(MAX(0,MIN(10,ROUND(IF('Council Entry'!AE$7="Decrease Risk",10-10*((IF('Council Entry'!AE$4="Logarithm",LN(0.001+IF(AND(ISNUMBER('Council Entry'!AE$8),ISNUMBER('Council Entry'!AE$9)),MAX(MIN('Council Entry'!AE90,'Council Entry'!AE$9),'Council Entry'!AE$8),'Council Entry'!AE90)),IF('Council Entry'!AE$4="Exponential",EXP(IF(AND(ISNUMBER('Council Entry'!AE$8),ISNUMBER('Council Entry'!AE$9)),MAX(MIN('Council Entry'!AE90,'Council Entry'!AE$9),'Council Entry'!AE$8),'Council Entry'!AE90)),IF(AND(ISNUMBER('Council Entry'!AE$8),ISNUMBER('Council Entry'!AE$9)),MAX(MIN('Council Entry'!AE90,'Council Entry'!AE$9),'Council Entry'!AE$8),'Council Entry'!AE90))))-'Council Entry'!AE$5)/('Council Entry'!AE$6-'Council Entry'!AE$5),10*((IF('Council Entry'!AE$4="Logarithm",LN(0.001+IF(AND(ISNUMBER('Council Entry'!AE$8),ISNUMBER('Council Entry'!AE$9)),MAX(MIN('Council Entry'!AE90,'Council Entry'!AE$9),'Council Entry'!AE$8),'Council Entry'!AE90)),IF('Council Entry'!AE$4="Exponential",EXP(IF(AND(ISNUMBER('Council Entry'!AE$8),ISNUMBER('Council Entry'!AE$9)),MAX(MIN('Council Entry'!AE90,'Council Entry'!AE$9),'Council Entry'!AE$8),'Council Entry'!AE90)),IF(AND(ISNUMBER('Council Entry'!AE$8),ISNUMBER('Council Entry'!AE$9)),MAX(MIN('Council Entry'!AE90,'Council Entry'!AE$9),'Council Entry'!AE$8),'Council Entry'!AE90))))-'Council Entry'!AE$5)/('Council Entry'!AE$6-'Council Entry'!AE$5)),1))),"No data"))</f>
        <v/>
      </c>
      <c r="AF90" s="13">
        <f>IF('Council Entry'!AF90="","",IFERROR(MAX(0,MIN(10,ROUND(IF('Council Entry'!AF$7="Decrease Risk",10-10*((IF('Council Entry'!AF$4="Logarithm",LN(0.001+IF(AND(ISNUMBER('Council Entry'!AF$8),ISNUMBER('Council Entry'!AF$9)),MAX(MIN('Council Entry'!AF90,'Council Entry'!AF$9),'Council Entry'!AF$8),'Council Entry'!AF90)),IF('Council Entry'!AF$4="Exponential",EXP(IF(AND(ISNUMBER('Council Entry'!AF$8),ISNUMBER('Council Entry'!AF$9)),MAX(MIN('Council Entry'!AF90,'Council Entry'!AF$9),'Council Entry'!AF$8),'Council Entry'!AF90)),IF(AND(ISNUMBER('Council Entry'!AF$8),ISNUMBER('Council Entry'!AF$9)),MAX(MIN('Council Entry'!AF90,'Council Entry'!AF$9),'Council Entry'!AF$8),'Council Entry'!AF90))))-'Council Entry'!AF$5)/('Council Entry'!AF$6-'Council Entry'!AF$5),10*((IF('Council Entry'!AF$4="Logarithm",LN(0.001+IF(AND(ISNUMBER('Council Entry'!AF$8),ISNUMBER('Council Entry'!AF$9)),MAX(MIN('Council Entry'!AF90,'Council Entry'!AF$9),'Council Entry'!AF$8),'Council Entry'!AF90)),IF('Council Entry'!AF$4="Exponential",EXP(IF(AND(ISNUMBER('Council Entry'!AF$8),ISNUMBER('Council Entry'!AF$9)),MAX(MIN('Council Entry'!AF90,'Council Entry'!AF$9),'Council Entry'!AF$8),'Council Entry'!AF90)),IF(AND(ISNUMBER('Council Entry'!AF$8),ISNUMBER('Council Entry'!AF$9)),MAX(MIN('Council Entry'!AF90,'Council Entry'!AF$9),'Council Entry'!AF$8),'Council Entry'!AF90))))-'Council Entry'!AF$5)/('Council Entry'!AF$6-'Council Entry'!AF$5)),1))),"No data"))</f>
        <v/>
      </c>
      <c r="AG90" s="13">
        <f>IF('Council Entry'!AG90="","",IFERROR(MAX(0,MIN(10,ROUND(IF('Council Entry'!AG$7="Decrease Risk",10-10*((IF('Council Entry'!AG$4="Logarithm",LN(0.001+IF(AND(ISNUMBER('Council Entry'!AG$8),ISNUMBER('Council Entry'!AG$9)),MAX(MIN('Council Entry'!AG90,'Council Entry'!AG$9),'Council Entry'!AG$8),'Council Entry'!AG90)),IF('Council Entry'!AG$4="Exponential",EXP(IF(AND(ISNUMBER('Council Entry'!AG$8),ISNUMBER('Council Entry'!AG$9)),MAX(MIN('Council Entry'!AG90,'Council Entry'!AG$9),'Council Entry'!AG$8),'Council Entry'!AG90)),IF(AND(ISNUMBER('Council Entry'!AG$8),ISNUMBER('Council Entry'!AG$9)),MAX(MIN('Council Entry'!AG90,'Council Entry'!AG$9),'Council Entry'!AG$8),'Council Entry'!AG90))))-'Council Entry'!AG$5)/('Council Entry'!AG$6-'Council Entry'!AG$5),10*((IF('Council Entry'!AG$4="Logarithm",LN(0.001+IF(AND(ISNUMBER('Council Entry'!AG$8),ISNUMBER('Council Entry'!AG$9)),MAX(MIN('Council Entry'!AG90,'Council Entry'!AG$9),'Council Entry'!AG$8),'Council Entry'!AG90)),IF('Council Entry'!AG$4="Exponential",EXP(IF(AND(ISNUMBER('Council Entry'!AG$8),ISNUMBER('Council Entry'!AG$9)),MAX(MIN('Council Entry'!AG90,'Council Entry'!AG$9),'Council Entry'!AG$8),'Council Entry'!AG90)),IF(AND(ISNUMBER('Council Entry'!AG$8),ISNUMBER('Council Entry'!AG$9)),MAX(MIN('Council Entry'!AG90,'Council Entry'!AG$9),'Council Entry'!AG$8),'Council Entry'!AG90))))-'Council Entry'!AG$5)/('Council Entry'!AG$6-'Council Entry'!AG$5)),1))),"No data"))</f>
        <v/>
      </c>
      <c r="AH90" s="13">
        <f>IF('Council Entry'!AH90="","",IFERROR(MAX(0,MIN(10,ROUND(IF('Council Entry'!AH$7="Decrease Risk",10-10*((IF('Council Entry'!AH$4="Logarithm",LN(0.001+IF(AND(ISNUMBER('Council Entry'!AH$8),ISNUMBER('Council Entry'!AH$9)),MAX(MIN('Council Entry'!AH90,'Council Entry'!AH$9),'Council Entry'!AH$8),'Council Entry'!AH90)),IF('Council Entry'!AH$4="Exponential",EXP(IF(AND(ISNUMBER('Council Entry'!AH$8),ISNUMBER('Council Entry'!AH$9)),MAX(MIN('Council Entry'!AH90,'Council Entry'!AH$9),'Council Entry'!AH$8),'Council Entry'!AH90)),IF(AND(ISNUMBER('Council Entry'!AH$8),ISNUMBER('Council Entry'!AH$9)),MAX(MIN('Council Entry'!AH90,'Council Entry'!AH$9),'Council Entry'!AH$8),'Council Entry'!AH90))))-'Council Entry'!AH$5)/('Council Entry'!AH$6-'Council Entry'!AH$5),10*((IF('Council Entry'!AH$4="Logarithm",LN(0.001+IF(AND(ISNUMBER('Council Entry'!AH$8),ISNUMBER('Council Entry'!AH$9)),MAX(MIN('Council Entry'!AH90,'Council Entry'!AH$9),'Council Entry'!AH$8),'Council Entry'!AH90)),IF('Council Entry'!AH$4="Exponential",EXP(IF(AND(ISNUMBER('Council Entry'!AH$8),ISNUMBER('Council Entry'!AH$9)),MAX(MIN('Council Entry'!AH90,'Council Entry'!AH$9),'Council Entry'!AH$8),'Council Entry'!AH90)),IF(AND(ISNUMBER('Council Entry'!AH$8),ISNUMBER('Council Entry'!AH$9)),MAX(MIN('Council Entry'!AH90,'Council Entry'!AH$9),'Council Entry'!AH$8),'Council Entry'!AH90))))-'Council Entry'!AH$5)/('Council Entry'!AH$6-'Council Entry'!AH$5)),1))),"No data"))</f>
        <v/>
      </c>
      <c r="AI90" s="13">
        <f>IF('Council Entry'!AI90="","",IFERROR(MAX(0,MIN(10,ROUND(IF('Council Entry'!AI$7="Decrease Risk",10-10*((IF('Council Entry'!AI$4="Logarithm",LN(0.001+IF(AND(ISNUMBER('Council Entry'!AI$8),ISNUMBER('Council Entry'!AI$9)),MAX(MIN('Council Entry'!AI90,'Council Entry'!AI$9),'Council Entry'!AI$8),'Council Entry'!AI90)),IF('Council Entry'!AI$4="Exponential",EXP(IF(AND(ISNUMBER('Council Entry'!AI$8),ISNUMBER('Council Entry'!AI$9)),MAX(MIN('Council Entry'!AI90,'Council Entry'!AI$9),'Council Entry'!AI$8),'Council Entry'!AI90)),IF(AND(ISNUMBER('Council Entry'!AI$8),ISNUMBER('Council Entry'!AI$9)),MAX(MIN('Council Entry'!AI90,'Council Entry'!AI$9),'Council Entry'!AI$8),'Council Entry'!AI90))))-'Council Entry'!AI$5)/('Council Entry'!AI$6-'Council Entry'!AI$5),10*((IF('Council Entry'!AI$4="Logarithm",LN(0.001+IF(AND(ISNUMBER('Council Entry'!AI$8),ISNUMBER('Council Entry'!AI$9)),MAX(MIN('Council Entry'!AI90,'Council Entry'!AI$9),'Council Entry'!AI$8),'Council Entry'!AI90)),IF('Council Entry'!AI$4="Exponential",EXP(IF(AND(ISNUMBER('Council Entry'!AI$8),ISNUMBER('Council Entry'!AI$9)),MAX(MIN('Council Entry'!AI90,'Council Entry'!AI$9),'Council Entry'!AI$8),'Council Entry'!AI90)),IF(AND(ISNUMBER('Council Entry'!AI$8),ISNUMBER('Council Entry'!AI$9)),MAX(MIN('Council Entry'!AI90,'Council Entry'!AI$9),'Council Entry'!AI$8),'Council Entry'!AI90))))-'Council Entry'!AI$5)/('Council Entry'!AI$6-'Council Entry'!AI$5)),1))),"No data"))</f>
        <v/>
      </c>
      <c r="AJ90" s="13">
        <f>IF('Council Entry'!AJ90="","",IFERROR(MAX(0,MIN(10,ROUND(IF('Council Entry'!AJ$7="Decrease Risk",10-10*((IF('Council Entry'!AJ$4="Logarithm",LN(0.001+IF(AND(ISNUMBER('Council Entry'!AJ$8),ISNUMBER('Council Entry'!AJ$9)),MAX(MIN('Council Entry'!AJ90,'Council Entry'!AJ$9),'Council Entry'!AJ$8),'Council Entry'!AJ90)),IF('Council Entry'!AJ$4="Exponential",EXP(IF(AND(ISNUMBER('Council Entry'!AJ$8),ISNUMBER('Council Entry'!AJ$9)),MAX(MIN('Council Entry'!AJ90,'Council Entry'!AJ$9),'Council Entry'!AJ$8),'Council Entry'!AJ90)),IF(AND(ISNUMBER('Council Entry'!AJ$8),ISNUMBER('Council Entry'!AJ$9)),MAX(MIN('Council Entry'!AJ90,'Council Entry'!AJ$9),'Council Entry'!AJ$8),'Council Entry'!AJ90))))-'Council Entry'!AJ$5)/('Council Entry'!AJ$6-'Council Entry'!AJ$5),10*((IF('Council Entry'!AJ$4="Logarithm",LN(0.001+IF(AND(ISNUMBER('Council Entry'!AJ$8),ISNUMBER('Council Entry'!AJ$9)),MAX(MIN('Council Entry'!AJ90,'Council Entry'!AJ$9),'Council Entry'!AJ$8),'Council Entry'!AJ90)),IF('Council Entry'!AJ$4="Exponential",EXP(IF(AND(ISNUMBER('Council Entry'!AJ$8),ISNUMBER('Council Entry'!AJ$9)),MAX(MIN('Council Entry'!AJ90,'Council Entry'!AJ$9),'Council Entry'!AJ$8),'Council Entry'!AJ90)),IF(AND(ISNUMBER('Council Entry'!AJ$8),ISNUMBER('Council Entry'!AJ$9)),MAX(MIN('Council Entry'!AJ90,'Council Entry'!AJ$9),'Council Entry'!AJ$8),'Council Entry'!AJ90))))-'Council Entry'!AJ$5)/('Council Entry'!AJ$6-'Council Entry'!AJ$5)),1))),"No data"))</f>
        <v/>
      </c>
      <c r="AK90" s="13">
        <f>IF('Council Entry'!AK90="","",IFERROR(MAX(0,MIN(10,ROUND(IF('Council Entry'!AK$7="Decrease Risk",10-10*((IF('Council Entry'!AK$4="Logarithm",LN(0.001+IF(AND(ISNUMBER('Council Entry'!AK$8),ISNUMBER('Council Entry'!AK$9)),MAX(MIN('Council Entry'!AK90,'Council Entry'!AK$9),'Council Entry'!AK$8),'Council Entry'!AK90)),IF('Council Entry'!AK$4="Exponential",EXP(IF(AND(ISNUMBER('Council Entry'!AK$8),ISNUMBER('Council Entry'!AK$9)),MAX(MIN('Council Entry'!AK90,'Council Entry'!AK$9),'Council Entry'!AK$8),'Council Entry'!AK90)),IF(AND(ISNUMBER('Council Entry'!AK$8),ISNUMBER('Council Entry'!AK$9)),MAX(MIN('Council Entry'!AK90,'Council Entry'!AK$9),'Council Entry'!AK$8),'Council Entry'!AK90))))-'Council Entry'!AK$5)/('Council Entry'!AK$6-'Council Entry'!AK$5),10*((IF('Council Entry'!AK$4="Logarithm",LN(0.001+IF(AND(ISNUMBER('Council Entry'!AK$8),ISNUMBER('Council Entry'!AK$9)),MAX(MIN('Council Entry'!AK90,'Council Entry'!AK$9),'Council Entry'!AK$8),'Council Entry'!AK90)),IF('Council Entry'!AK$4="Exponential",EXP(IF(AND(ISNUMBER('Council Entry'!AK$8),ISNUMBER('Council Entry'!AK$9)),MAX(MIN('Council Entry'!AK90,'Council Entry'!AK$9),'Council Entry'!AK$8),'Council Entry'!AK90)),IF(AND(ISNUMBER('Council Entry'!AK$8),ISNUMBER('Council Entry'!AK$9)),MAX(MIN('Council Entry'!AK90,'Council Entry'!AK$9),'Council Entry'!AK$8),'Council Entry'!AK90))))-'Council Entry'!AK$5)/('Council Entry'!AK$6-'Council Entry'!AK$5)),1))),"No data"))</f>
        <v/>
      </c>
      <c r="AL90" s="13">
        <f>IF('Council Entry'!AL90="","",IFERROR(MAX(0,MIN(10,ROUND(IF('Council Entry'!AL$7="Decrease Risk",10-10*((IF('Council Entry'!AL$4="Logarithm",LN(0.001+IF(AND(ISNUMBER('Council Entry'!AL$8),ISNUMBER('Council Entry'!AL$9)),MAX(MIN('Council Entry'!AL90,'Council Entry'!AL$9),'Council Entry'!AL$8),'Council Entry'!AL90)),IF('Council Entry'!AL$4="Exponential",EXP(IF(AND(ISNUMBER('Council Entry'!AL$8),ISNUMBER('Council Entry'!AL$9)),MAX(MIN('Council Entry'!AL90,'Council Entry'!AL$9),'Council Entry'!AL$8),'Council Entry'!AL90)),IF(AND(ISNUMBER('Council Entry'!AL$8),ISNUMBER('Council Entry'!AL$9)),MAX(MIN('Council Entry'!AL90,'Council Entry'!AL$9),'Council Entry'!AL$8),'Council Entry'!AL90))))-'Council Entry'!AL$5)/('Council Entry'!AL$6-'Council Entry'!AL$5),10*((IF('Council Entry'!AL$4="Logarithm",LN(0.001+IF(AND(ISNUMBER('Council Entry'!AL$8),ISNUMBER('Council Entry'!AL$9)),MAX(MIN('Council Entry'!AL90,'Council Entry'!AL$9),'Council Entry'!AL$8),'Council Entry'!AL90)),IF('Council Entry'!AL$4="Exponential",EXP(IF(AND(ISNUMBER('Council Entry'!AL$8),ISNUMBER('Council Entry'!AL$9)),MAX(MIN('Council Entry'!AL90,'Council Entry'!AL$9),'Council Entry'!AL$8),'Council Entry'!AL90)),IF(AND(ISNUMBER('Council Entry'!AL$8),ISNUMBER('Council Entry'!AL$9)),MAX(MIN('Council Entry'!AL90,'Council Entry'!AL$9),'Council Entry'!AL$8),'Council Entry'!AL90))))-'Council Entry'!AL$5)/('Council Entry'!AL$6-'Council Entry'!AL$5)),1))),"No data"))</f>
        <v/>
      </c>
      <c r="AM90" s="13">
        <f>IF('Council Entry'!AM90="","",IFERROR(MAX(0,MIN(10,ROUND(IF('Council Entry'!AM$7="Decrease Risk",10-10*((IF('Council Entry'!AM$4="Logarithm",LN(0.001+IF(AND(ISNUMBER('Council Entry'!AM$8),ISNUMBER('Council Entry'!AM$9)),MAX(MIN('Council Entry'!AM90,'Council Entry'!AM$9),'Council Entry'!AM$8),'Council Entry'!AM90)),IF('Council Entry'!AM$4="Exponential",EXP(IF(AND(ISNUMBER('Council Entry'!AM$8),ISNUMBER('Council Entry'!AM$9)),MAX(MIN('Council Entry'!AM90,'Council Entry'!AM$9),'Council Entry'!AM$8),'Council Entry'!AM90)),IF(AND(ISNUMBER('Council Entry'!AM$8),ISNUMBER('Council Entry'!AM$9)),MAX(MIN('Council Entry'!AM90,'Council Entry'!AM$9),'Council Entry'!AM$8),'Council Entry'!AM90))))-'Council Entry'!AM$5)/('Council Entry'!AM$6-'Council Entry'!AM$5),10*((IF('Council Entry'!AM$4="Logarithm",LN(0.001+IF(AND(ISNUMBER('Council Entry'!AM$8),ISNUMBER('Council Entry'!AM$9)),MAX(MIN('Council Entry'!AM90,'Council Entry'!AM$9),'Council Entry'!AM$8),'Council Entry'!AM90)),IF('Council Entry'!AM$4="Exponential",EXP(IF(AND(ISNUMBER('Council Entry'!AM$8),ISNUMBER('Council Entry'!AM$9)),MAX(MIN('Council Entry'!AM90,'Council Entry'!AM$9),'Council Entry'!AM$8),'Council Entry'!AM90)),IF(AND(ISNUMBER('Council Entry'!AM$8),ISNUMBER('Council Entry'!AM$9)),MAX(MIN('Council Entry'!AM90,'Council Entry'!AM$9),'Council Entry'!AM$8),'Council Entry'!AM90))))-'Council Entry'!AM$5)/('Council Entry'!AM$6-'Council Entry'!AM$5)),1))),"No data"))</f>
        <v/>
      </c>
      <c r="AN90" s="13">
        <f>IF('Council Entry'!AN90="","",IFERROR(MAX(0,MIN(10,ROUND(IF('Council Entry'!AN$7="Decrease Risk",10-10*((IF('Council Entry'!AN$4="Logarithm",LN(0.001+IF(AND(ISNUMBER('Council Entry'!AN$8),ISNUMBER('Council Entry'!AN$9)),MAX(MIN('Council Entry'!AN90,'Council Entry'!AN$9),'Council Entry'!AN$8),'Council Entry'!AN90)),IF('Council Entry'!AN$4="Exponential",EXP(IF(AND(ISNUMBER('Council Entry'!AN$8),ISNUMBER('Council Entry'!AN$9)),MAX(MIN('Council Entry'!AN90,'Council Entry'!AN$9),'Council Entry'!AN$8),'Council Entry'!AN90)),IF(AND(ISNUMBER('Council Entry'!AN$8),ISNUMBER('Council Entry'!AN$9)),MAX(MIN('Council Entry'!AN90,'Council Entry'!AN$9),'Council Entry'!AN$8),'Council Entry'!AN90))))-'Council Entry'!AN$5)/('Council Entry'!AN$6-'Council Entry'!AN$5),10*((IF('Council Entry'!AN$4="Logarithm",LN(0.001+IF(AND(ISNUMBER('Council Entry'!AN$8),ISNUMBER('Council Entry'!AN$9)),MAX(MIN('Council Entry'!AN90,'Council Entry'!AN$9),'Council Entry'!AN$8),'Council Entry'!AN90)),IF('Council Entry'!AN$4="Exponential",EXP(IF(AND(ISNUMBER('Council Entry'!AN$8),ISNUMBER('Council Entry'!AN$9)),MAX(MIN('Council Entry'!AN90,'Council Entry'!AN$9),'Council Entry'!AN$8),'Council Entry'!AN90)),IF(AND(ISNUMBER('Council Entry'!AN$8),ISNUMBER('Council Entry'!AN$9)),MAX(MIN('Council Entry'!AN90,'Council Entry'!AN$9),'Council Entry'!AN$8),'Council Entry'!AN90))))-'Council Entry'!AN$5)/('Council Entry'!AN$6-'Council Entry'!AN$5)),1))),"No data"))</f>
        <v/>
      </c>
      <c r="AO90" s="13">
        <f>IF('Council Entry'!AO90="","",IFERROR(MAX(0,MIN(10,ROUND(IF('Council Entry'!AO$7="Decrease Risk",10-10*((IF('Council Entry'!AO$4="Logarithm",LN(0.001+IF(AND(ISNUMBER('Council Entry'!AO$8),ISNUMBER('Council Entry'!AO$9)),MAX(MIN('Council Entry'!AO90,'Council Entry'!AO$9),'Council Entry'!AO$8),'Council Entry'!AO90)),IF('Council Entry'!AO$4="Exponential",EXP(IF(AND(ISNUMBER('Council Entry'!AO$8),ISNUMBER('Council Entry'!AO$9)),MAX(MIN('Council Entry'!AO90,'Council Entry'!AO$9),'Council Entry'!AO$8),'Council Entry'!AO90)),IF(AND(ISNUMBER('Council Entry'!AO$8),ISNUMBER('Council Entry'!AO$9)),MAX(MIN('Council Entry'!AO90,'Council Entry'!AO$9),'Council Entry'!AO$8),'Council Entry'!AO90))))-'Council Entry'!AO$5)/('Council Entry'!AO$6-'Council Entry'!AO$5),10*((IF('Council Entry'!AO$4="Logarithm",LN(0.001+IF(AND(ISNUMBER('Council Entry'!AO$8),ISNUMBER('Council Entry'!AO$9)),MAX(MIN('Council Entry'!AO90,'Council Entry'!AO$9),'Council Entry'!AO$8),'Council Entry'!AO90)),IF('Council Entry'!AO$4="Exponential",EXP(IF(AND(ISNUMBER('Council Entry'!AO$8),ISNUMBER('Council Entry'!AO$9)),MAX(MIN('Council Entry'!AO90,'Council Entry'!AO$9),'Council Entry'!AO$8),'Council Entry'!AO90)),IF(AND(ISNUMBER('Council Entry'!AO$8),ISNUMBER('Council Entry'!AO$9)),MAX(MIN('Council Entry'!AO90,'Council Entry'!AO$9),'Council Entry'!AO$8),'Council Entry'!AO90))))-'Council Entry'!AO$5)/('Council Entry'!AO$6-'Council Entry'!AO$5)),1))),"No data"))</f>
        <v/>
      </c>
      <c r="AP90" s="13">
        <f>IF('Council Entry'!AP90="","",IFERROR(MAX(0,MIN(10,ROUND(IF('Council Entry'!AP$7="Decrease Risk",10-10*((IF('Council Entry'!AP$4="Logarithm",LN(0.001+IF(AND(ISNUMBER('Council Entry'!AP$8),ISNUMBER('Council Entry'!AP$9)),MAX(MIN('Council Entry'!AP90,'Council Entry'!AP$9),'Council Entry'!AP$8),'Council Entry'!AP90)),IF('Council Entry'!AP$4="Exponential",EXP(IF(AND(ISNUMBER('Council Entry'!AP$8),ISNUMBER('Council Entry'!AP$9)),MAX(MIN('Council Entry'!AP90,'Council Entry'!AP$9),'Council Entry'!AP$8),'Council Entry'!AP90)),IF(AND(ISNUMBER('Council Entry'!AP$8),ISNUMBER('Council Entry'!AP$9)),MAX(MIN('Council Entry'!AP90,'Council Entry'!AP$9),'Council Entry'!AP$8),'Council Entry'!AP90))))-'Council Entry'!AP$5)/('Council Entry'!AP$6-'Council Entry'!AP$5),10*((IF('Council Entry'!AP$4="Logarithm",LN(0.001+IF(AND(ISNUMBER('Council Entry'!AP$8),ISNUMBER('Council Entry'!AP$9)),MAX(MIN('Council Entry'!AP90,'Council Entry'!AP$9),'Council Entry'!AP$8),'Council Entry'!AP90)),IF('Council Entry'!AP$4="Exponential",EXP(IF(AND(ISNUMBER('Council Entry'!AP$8),ISNUMBER('Council Entry'!AP$9)),MAX(MIN('Council Entry'!AP90,'Council Entry'!AP$9),'Council Entry'!AP$8),'Council Entry'!AP90)),IF(AND(ISNUMBER('Council Entry'!AP$8),ISNUMBER('Council Entry'!AP$9)),MAX(MIN('Council Entry'!AP90,'Council Entry'!AP$9),'Council Entry'!AP$8),'Council Entry'!AP90))))-'Council Entry'!AP$5)/('Council Entry'!AP$6-'Council Entry'!AP$5)),1))),"No data"))</f>
        <v/>
      </c>
      <c r="AQ90" s="13">
        <f>IF('Council Entry'!AQ90="","",IFERROR(MAX(0,MIN(10,ROUND(IF('Council Entry'!AQ$7="Decrease Risk",10-10*((IF('Council Entry'!AQ$4="Logarithm",LN(0.001+IF(AND(ISNUMBER('Council Entry'!AQ$8),ISNUMBER('Council Entry'!AQ$9)),MAX(MIN('Council Entry'!AQ90,'Council Entry'!AQ$9),'Council Entry'!AQ$8),'Council Entry'!AQ90)),IF('Council Entry'!AQ$4="Exponential",EXP(IF(AND(ISNUMBER('Council Entry'!AQ$8),ISNUMBER('Council Entry'!AQ$9)),MAX(MIN('Council Entry'!AQ90,'Council Entry'!AQ$9),'Council Entry'!AQ$8),'Council Entry'!AQ90)),IF(AND(ISNUMBER('Council Entry'!AQ$8),ISNUMBER('Council Entry'!AQ$9)),MAX(MIN('Council Entry'!AQ90,'Council Entry'!AQ$9),'Council Entry'!AQ$8),'Council Entry'!AQ90))))-'Council Entry'!AQ$5)/('Council Entry'!AQ$6-'Council Entry'!AQ$5),10*((IF('Council Entry'!AQ$4="Logarithm",LN(0.001+IF(AND(ISNUMBER('Council Entry'!AQ$8),ISNUMBER('Council Entry'!AQ$9)),MAX(MIN('Council Entry'!AQ90,'Council Entry'!AQ$9),'Council Entry'!AQ$8),'Council Entry'!AQ90)),IF('Council Entry'!AQ$4="Exponential",EXP(IF(AND(ISNUMBER('Council Entry'!AQ$8),ISNUMBER('Council Entry'!AQ$9)),MAX(MIN('Council Entry'!AQ90,'Council Entry'!AQ$9),'Council Entry'!AQ$8),'Council Entry'!AQ90)),IF(AND(ISNUMBER('Council Entry'!AQ$8),ISNUMBER('Council Entry'!AQ$9)),MAX(MIN('Council Entry'!AQ90,'Council Entry'!AQ$9),'Council Entry'!AQ$8),'Council Entry'!AQ90))))-'Council Entry'!AQ$5)/('Council Entry'!AQ$6-'Council Entry'!AQ$5)),1))),"No data"))</f>
        <v/>
      </c>
      <c r="AR90" s="13">
        <f>IF('Council Entry'!AR90="","",IFERROR(MAX(0,MIN(10,ROUND(IF('Council Entry'!AR$7="Decrease Risk",10-10*((IF('Council Entry'!AR$4="Logarithm",LN(0.001+IF(AND(ISNUMBER('Council Entry'!AR$8),ISNUMBER('Council Entry'!AR$9)),MAX(MIN('Council Entry'!AR90,'Council Entry'!AR$9),'Council Entry'!AR$8),'Council Entry'!AR90)),IF('Council Entry'!AR$4="Exponential",EXP(IF(AND(ISNUMBER('Council Entry'!AR$8),ISNUMBER('Council Entry'!AR$9)),MAX(MIN('Council Entry'!AR90,'Council Entry'!AR$9),'Council Entry'!AR$8),'Council Entry'!AR90)),IF(AND(ISNUMBER('Council Entry'!AR$8),ISNUMBER('Council Entry'!AR$9)),MAX(MIN('Council Entry'!AR90,'Council Entry'!AR$9),'Council Entry'!AR$8),'Council Entry'!AR90))))-'Council Entry'!AR$5)/('Council Entry'!AR$6-'Council Entry'!AR$5),10*((IF('Council Entry'!AR$4="Logarithm",LN(0.001+IF(AND(ISNUMBER('Council Entry'!AR$8),ISNUMBER('Council Entry'!AR$9)),MAX(MIN('Council Entry'!AR90,'Council Entry'!AR$9),'Council Entry'!AR$8),'Council Entry'!AR90)),IF('Council Entry'!AR$4="Exponential",EXP(IF(AND(ISNUMBER('Council Entry'!AR$8),ISNUMBER('Council Entry'!AR$9)),MAX(MIN('Council Entry'!AR90,'Council Entry'!AR$9),'Council Entry'!AR$8),'Council Entry'!AR90)),IF(AND(ISNUMBER('Council Entry'!AR$8),ISNUMBER('Council Entry'!AR$9)),MAX(MIN('Council Entry'!AR90,'Council Entry'!AR$9),'Council Entry'!AR$8),'Council Entry'!AR90))))-'Council Entry'!AR$5)/('Council Entry'!AR$6-'Council Entry'!AR$5)),1))),"No data"))</f>
        <v/>
      </c>
      <c r="AS90" s="13">
        <f>IF('Council Entry'!AS90="","",IFERROR(MAX(0,MIN(10,ROUND(IF('Council Entry'!AS$7="Decrease Risk",10-10*((IF('Council Entry'!AS$4="Logarithm",LN(0.001+IF(AND(ISNUMBER('Council Entry'!AS$8),ISNUMBER('Council Entry'!AS$9)),MAX(MIN('Council Entry'!AS90,'Council Entry'!AS$9),'Council Entry'!AS$8),'Council Entry'!AS90)),IF('Council Entry'!AS$4="Exponential",EXP(IF(AND(ISNUMBER('Council Entry'!AS$8),ISNUMBER('Council Entry'!AS$9)),MAX(MIN('Council Entry'!AS90,'Council Entry'!AS$9),'Council Entry'!AS$8),'Council Entry'!AS90)),IF(AND(ISNUMBER('Council Entry'!AS$8),ISNUMBER('Council Entry'!AS$9)),MAX(MIN('Council Entry'!AS90,'Council Entry'!AS$9),'Council Entry'!AS$8),'Council Entry'!AS90))))-'Council Entry'!AS$5)/('Council Entry'!AS$6-'Council Entry'!AS$5),10*((IF('Council Entry'!AS$4="Logarithm",LN(0.001+IF(AND(ISNUMBER('Council Entry'!AS$8),ISNUMBER('Council Entry'!AS$9)),MAX(MIN('Council Entry'!AS90,'Council Entry'!AS$9),'Council Entry'!AS$8),'Council Entry'!AS90)),IF('Council Entry'!AS$4="Exponential",EXP(IF(AND(ISNUMBER('Council Entry'!AS$8),ISNUMBER('Council Entry'!AS$9)),MAX(MIN('Council Entry'!AS90,'Council Entry'!AS$9),'Council Entry'!AS$8),'Council Entry'!AS90)),IF(AND(ISNUMBER('Council Entry'!AS$8),ISNUMBER('Council Entry'!AS$9)),MAX(MIN('Council Entry'!AS90,'Council Entry'!AS$9),'Council Entry'!AS$8),'Council Entry'!AS90))))-'Council Entry'!AS$5)/('Council Entry'!AS$6-'Council Entry'!AS$5)),1))),"No data"))</f>
        <v/>
      </c>
      <c r="AT90" s="13">
        <f>IF('Council Entry'!AT90="","",IFERROR(MAX(0,MIN(10,ROUND(IF('Council Entry'!AT$7="Decrease Risk",10-10*((IF('Council Entry'!AT$4="Logarithm",LN(0.001+IF(AND(ISNUMBER('Council Entry'!AT$8),ISNUMBER('Council Entry'!AT$9)),MAX(MIN('Council Entry'!AT90,'Council Entry'!AT$9),'Council Entry'!AT$8),'Council Entry'!AT90)),IF('Council Entry'!AT$4="Exponential",EXP(IF(AND(ISNUMBER('Council Entry'!AT$8),ISNUMBER('Council Entry'!AT$9)),MAX(MIN('Council Entry'!AT90,'Council Entry'!AT$9),'Council Entry'!AT$8),'Council Entry'!AT90)),IF(AND(ISNUMBER('Council Entry'!AT$8),ISNUMBER('Council Entry'!AT$9)),MAX(MIN('Council Entry'!AT90,'Council Entry'!AT$9),'Council Entry'!AT$8),'Council Entry'!AT90))))-'Council Entry'!AT$5)/('Council Entry'!AT$6-'Council Entry'!AT$5),10*((IF('Council Entry'!AT$4="Logarithm",LN(0.001+IF(AND(ISNUMBER('Council Entry'!AT$8),ISNUMBER('Council Entry'!AT$9)),MAX(MIN('Council Entry'!AT90,'Council Entry'!AT$9),'Council Entry'!AT$8),'Council Entry'!AT90)),IF('Council Entry'!AT$4="Exponential",EXP(IF(AND(ISNUMBER('Council Entry'!AT$8),ISNUMBER('Council Entry'!AT$9)),MAX(MIN('Council Entry'!AT90,'Council Entry'!AT$9),'Council Entry'!AT$8),'Council Entry'!AT90)),IF(AND(ISNUMBER('Council Entry'!AT$8),ISNUMBER('Council Entry'!AT$9)),MAX(MIN('Council Entry'!AT90,'Council Entry'!AT$9),'Council Entry'!AT$8),'Council Entry'!AT90))))-'Council Entry'!AT$5)/('Council Entry'!AT$6-'Council Entry'!AT$5)),1))),"No data"))</f>
        <v/>
      </c>
      <c r="AU90" s="13">
        <f>IF('Council Entry'!AU90="","",IFERROR(MAX(0,MIN(10,ROUND(IF('Council Entry'!AU$7="Decrease Risk",10-10*((IF('Council Entry'!AU$4="Logarithm",LN(0.001+IF(AND(ISNUMBER('Council Entry'!AU$8),ISNUMBER('Council Entry'!AU$9)),MAX(MIN('Council Entry'!AU90,'Council Entry'!AU$9),'Council Entry'!AU$8),'Council Entry'!AU90)),IF('Council Entry'!AU$4="Exponential",EXP(IF(AND(ISNUMBER('Council Entry'!AU$8),ISNUMBER('Council Entry'!AU$9)),MAX(MIN('Council Entry'!AU90,'Council Entry'!AU$9),'Council Entry'!AU$8),'Council Entry'!AU90)),IF(AND(ISNUMBER('Council Entry'!AU$8),ISNUMBER('Council Entry'!AU$9)),MAX(MIN('Council Entry'!AU90,'Council Entry'!AU$9),'Council Entry'!AU$8),'Council Entry'!AU90))))-'Council Entry'!AU$5)/('Council Entry'!AU$6-'Council Entry'!AU$5),10*((IF('Council Entry'!AU$4="Logarithm",LN(0.001+IF(AND(ISNUMBER('Council Entry'!AU$8),ISNUMBER('Council Entry'!AU$9)),MAX(MIN('Council Entry'!AU90,'Council Entry'!AU$9),'Council Entry'!AU$8),'Council Entry'!AU90)),IF('Council Entry'!AU$4="Exponential",EXP(IF(AND(ISNUMBER('Council Entry'!AU$8),ISNUMBER('Council Entry'!AU$9)),MAX(MIN('Council Entry'!AU90,'Council Entry'!AU$9),'Council Entry'!AU$8),'Council Entry'!AU90)),IF(AND(ISNUMBER('Council Entry'!AU$8),ISNUMBER('Council Entry'!AU$9)),MAX(MIN('Council Entry'!AU90,'Council Entry'!AU$9),'Council Entry'!AU$8),'Council Entry'!AU90))))-'Council Entry'!AU$5)/('Council Entry'!AU$6-'Council Entry'!AU$5)),1))),"No data"))</f>
        <v/>
      </c>
      <c r="AV90" s="13">
        <f>IF('Council Entry'!AV90="","",IFERROR(MAX(0,MIN(10,ROUND(IF('Council Entry'!AV$7="Decrease Risk",10-10*((IF('Council Entry'!AV$4="Logarithm",LN(0.001+IF(AND(ISNUMBER('Council Entry'!AV$8),ISNUMBER('Council Entry'!AV$9)),MAX(MIN('Council Entry'!AV90,'Council Entry'!AV$9),'Council Entry'!AV$8),'Council Entry'!AV90)),IF('Council Entry'!AV$4="Exponential",EXP(IF(AND(ISNUMBER('Council Entry'!AV$8),ISNUMBER('Council Entry'!AV$9)),MAX(MIN('Council Entry'!AV90,'Council Entry'!AV$9),'Council Entry'!AV$8),'Council Entry'!AV90)),IF(AND(ISNUMBER('Council Entry'!AV$8),ISNUMBER('Council Entry'!AV$9)),MAX(MIN('Council Entry'!AV90,'Council Entry'!AV$9),'Council Entry'!AV$8),'Council Entry'!AV90))))-'Council Entry'!AV$5)/('Council Entry'!AV$6-'Council Entry'!AV$5),10*((IF('Council Entry'!AV$4="Logarithm",LN(0.001+IF(AND(ISNUMBER('Council Entry'!AV$8),ISNUMBER('Council Entry'!AV$9)),MAX(MIN('Council Entry'!AV90,'Council Entry'!AV$9),'Council Entry'!AV$8),'Council Entry'!AV90)),IF('Council Entry'!AV$4="Exponential",EXP(IF(AND(ISNUMBER('Council Entry'!AV$8),ISNUMBER('Council Entry'!AV$9)),MAX(MIN('Council Entry'!AV90,'Council Entry'!AV$9),'Council Entry'!AV$8),'Council Entry'!AV90)),IF(AND(ISNUMBER('Council Entry'!AV$8),ISNUMBER('Council Entry'!AV$9)),MAX(MIN('Council Entry'!AV90,'Council Entry'!AV$9),'Council Entry'!AV$8),'Council Entry'!AV90))))-'Council Entry'!AV$5)/('Council Entry'!AV$6-'Council Entry'!AV$5)),1))),"No data"))</f>
        <v/>
      </c>
      <c r="AW90" s="13">
        <f>IF('Council Entry'!AW90="","",IFERROR(MAX(0,MIN(10,ROUND(IF('Council Entry'!AW$7="Decrease Risk",10-10*((IF('Council Entry'!AW$4="Logarithm",LN(0.001+IF(AND(ISNUMBER('Council Entry'!AW$8),ISNUMBER('Council Entry'!AW$9)),MAX(MIN('Council Entry'!AW90,'Council Entry'!AW$9),'Council Entry'!AW$8),'Council Entry'!AW90)),IF('Council Entry'!AW$4="Exponential",EXP(IF(AND(ISNUMBER('Council Entry'!AW$8),ISNUMBER('Council Entry'!AW$9)),MAX(MIN('Council Entry'!AW90,'Council Entry'!AW$9),'Council Entry'!AW$8),'Council Entry'!AW90)),IF(AND(ISNUMBER('Council Entry'!AW$8),ISNUMBER('Council Entry'!AW$9)),MAX(MIN('Council Entry'!AW90,'Council Entry'!AW$9),'Council Entry'!AW$8),'Council Entry'!AW90))))-'Council Entry'!AW$5)/('Council Entry'!AW$6-'Council Entry'!AW$5),10*((IF('Council Entry'!AW$4="Logarithm",LN(0.001+IF(AND(ISNUMBER('Council Entry'!AW$8),ISNUMBER('Council Entry'!AW$9)),MAX(MIN('Council Entry'!AW90,'Council Entry'!AW$9),'Council Entry'!AW$8),'Council Entry'!AW90)),IF('Council Entry'!AW$4="Exponential",EXP(IF(AND(ISNUMBER('Council Entry'!AW$8),ISNUMBER('Council Entry'!AW$9)),MAX(MIN('Council Entry'!AW90,'Council Entry'!AW$9),'Council Entry'!AW$8),'Council Entry'!AW90)),IF(AND(ISNUMBER('Council Entry'!AW$8),ISNUMBER('Council Entry'!AW$9)),MAX(MIN('Council Entry'!AW90,'Council Entry'!AW$9),'Council Entry'!AW$8),'Council Entry'!AW90))))-'Council Entry'!AW$5)/('Council Entry'!AW$6-'Council Entry'!AW$5)),1))),"No data"))</f>
        <v/>
      </c>
      <c r="AX90" s="13">
        <f>IF('Council Entry'!AX90="","",IFERROR(MAX(0,MIN(10,ROUND(IF('Council Entry'!AX$7="Decrease Risk",10-10*((IF('Council Entry'!AX$4="Logarithm",LN(0.001+IF(AND(ISNUMBER('Council Entry'!AX$8),ISNUMBER('Council Entry'!AX$9)),MAX(MIN('Council Entry'!AX90,'Council Entry'!AX$9),'Council Entry'!AX$8),'Council Entry'!AX90)),IF('Council Entry'!AX$4="Exponential",EXP(IF(AND(ISNUMBER('Council Entry'!AX$8),ISNUMBER('Council Entry'!AX$9)),MAX(MIN('Council Entry'!AX90,'Council Entry'!AX$9),'Council Entry'!AX$8),'Council Entry'!AX90)),IF(AND(ISNUMBER('Council Entry'!AX$8),ISNUMBER('Council Entry'!AX$9)),MAX(MIN('Council Entry'!AX90,'Council Entry'!AX$9),'Council Entry'!AX$8),'Council Entry'!AX90))))-'Council Entry'!AX$5)/('Council Entry'!AX$6-'Council Entry'!AX$5),10*((IF('Council Entry'!AX$4="Logarithm",LN(0.001+IF(AND(ISNUMBER('Council Entry'!AX$8),ISNUMBER('Council Entry'!AX$9)),MAX(MIN('Council Entry'!AX90,'Council Entry'!AX$9),'Council Entry'!AX$8),'Council Entry'!AX90)),IF('Council Entry'!AX$4="Exponential",EXP(IF(AND(ISNUMBER('Council Entry'!AX$8),ISNUMBER('Council Entry'!AX$9)),MAX(MIN('Council Entry'!AX90,'Council Entry'!AX$9),'Council Entry'!AX$8),'Council Entry'!AX90)),IF(AND(ISNUMBER('Council Entry'!AX$8),ISNUMBER('Council Entry'!AX$9)),MAX(MIN('Council Entry'!AX90,'Council Entry'!AX$9),'Council Entry'!AX$8),'Council Entry'!AX90))))-'Council Entry'!AX$5)/('Council Entry'!AX$6-'Council Entry'!AX$5)),1))),"No data"))</f>
        <v/>
      </c>
      <c r="AY90" s="13">
        <f>IF('Council Entry'!AY90="","",IFERROR(MAX(0,MIN(10,ROUND(IF('Council Entry'!AY$7="Decrease Risk",10-10*((IF('Council Entry'!AY$4="Logarithm",LN(0.001+IF(AND(ISNUMBER('Council Entry'!AY$8),ISNUMBER('Council Entry'!AY$9)),MAX(MIN('Council Entry'!AY90,'Council Entry'!AY$9),'Council Entry'!AY$8),'Council Entry'!AY90)),IF('Council Entry'!AY$4="Exponential",EXP(IF(AND(ISNUMBER('Council Entry'!AY$8),ISNUMBER('Council Entry'!AY$9)),MAX(MIN('Council Entry'!AY90,'Council Entry'!AY$9),'Council Entry'!AY$8),'Council Entry'!AY90)),IF(AND(ISNUMBER('Council Entry'!AY$8),ISNUMBER('Council Entry'!AY$9)),MAX(MIN('Council Entry'!AY90,'Council Entry'!AY$9),'Council Entry'!AY$8),'Council Entry'!AY90))))-'Council Entry'!AY$5)/('Council Entry'!AY$6-'Council Entry'!AY$5),10*((IF('Council Entry'!AY$4="Logarithm",LN(0.001+IF(AND(ISNUMBER('Council Entry'!AY$8),ISNUMBER('Council Entry'!AY$9)),MAX(MIN('Council Entry'!AY90,'Council Entry'!AY$9),'Council Entry'!AY$8),'Council Entry'!AY90)),IF('Council Entry'!AY$4="Exponential",EXP(IF(AND(ISNUMBER('Council Entry'!AY$8),ISNUMBER('Council Entry'!AY$9)),MAX(MIN('Council Entry'!AY90,'Council Entry'!AY$9),'Council Entry'!AY$8),'Council Entry'!AY90)),IF(AND(ISNUMBER('Council Entry'!AY$8),ISNUMBER('Council Entry'!AY$9)),MAX(MIN('Council Entry'!AY90,'Council Entry'!AY$9),'Council Entry'!AY$8),'Council Entry'!AY90))))-'Council Entry'!AY$5)/('Council Entry'!AY$6-'Council Entry'!AY$5)),1))),"No data"))</f>
        <v/>
      </c>
      <c r="AZ90" s="13">
        <f>IF('Council Entry'!AZ90="","",IFERROR(MAX(0,MIN(10,ROUND(IF('Council Entry'!AZ$7="Decrease Risk",10-10*((IF('Council Entry'!AZ$4="Logarithm",LN(0.001+IF(AND(ISNUMBER('Council Entry'!AZ$8),ISNUMBER('Council Entry'!AZ$9)),MAX(MIN('Council Entry'!AZ90,'Council Entry'!AZ$9),'Council Entry'!AZ$8),'Council Entry'!AZ90)),IF('Council Entry'!AZ$4="Exponential",EXP(IF(AND(ISNUMBER('Council Entry'!AZ$8),ISNUMBER('Council Entry'!AZ$9)),MAX(MIN('Council Entry'!AZ90,'Council Entry'!AZ$9),'Council Entry'!AZ$8),'Council Entry'!AZ90)),IF(AND(ISNUMBER('Council Entry'!AZ$8),ISNUMBER('Council Entry'!AZ$9)),MAX(MIN('Council Entry'!AZ90,'Council Entry'!AZ$9),'Council Entry'!AZ$8),'Council Entry'!AZ90))))-'Council Entry'!AZ$5)/('Council Entry'!AZ$6-'Council Entry'!AZ$5),10*((IF('Council Entry'!AZ$4="Logarithm",LN(0.001+IF(AND(ISNUMBER('Council Entry'!AZ$8),ISNUMBER('Council Entry'!AZ$9)),MAX(MIN('Council Entry'!AZ90,'Council Entry'!AZ$9),'Council Entry'!AZ$8),'Council Entry'!AZ90)),IF('Council Entry'!AZ$4="Exponential",EXP(IF(AND(ISNUMBER('Council Entry'!AZ$8),ISNUMBER('Council Entry'!AZ$9)),MAX(MIN('Council Entry'!AZ90,'Council Entry'!AZ$9),'Council Entry'!AZ$8),'Council Entry'!AZ90)),IF(AND(ISNUMBER('Council Entry'!AZ$8),ISNUMBER('Council Entry'!AZ$9)),MAX(MIN('Council Entry'!AZ90,'Council Entry'!AZ$9),'Council Entry'!AZ$8),'Council Entry'!AZ90))))-'Council Entry'!AZ$5)/('Council Entry'!AZ$6-'Council Entry'!AZ$5)),1))),"No data"))</f>
        <v/>
      </c>
      <c r="BA90" s="13">
        <f>IF('Council Entry'!BA90="","",IFERROR(MAX(0,MIN(10,ROUND(IF('Council Entry'!BA$7="Decrease Risk",10-10*((IF('Council Entry'!BA$4="Logarithm",LN(0.001+IF(AND(ISNUMBER('Council Entry'!BA$8),ISNUMBER('Council Entry'!BA$9)),MAX(MIN('Council Entry'!BA90,'Council Entry'!BA$9),'Council Entry'!BA$8),'Council Entry'!BA90)),IF('Council Entry'!BA$4="Exponential",EXP(IF(AND(ISNUMBER('Council Entry'!BA$8),ISNUMBER('Council Entry'!BA$9)),MAX(MIN('Council Entry'!BA90,'Council Entry'!BA$9),'Council Entry'!BA$8),'Council Entry'!BA90)),IF(AND(ISNUMBER('Council Entry'!BA$8),ISNUMBER('Council Entry'!BA$9)),MAX(MIN('Council Entry'!BA90,'Council Entry'!BA$9),'Council Entry'!BA$8),'Council Entry'!BA90))))-'Council Entry'!BA$5)/('Council Entry'!BA$6-'Council Entry'!BA$5),10*((IF('Council Entry'!BA$4="Logarithm",LN(0.001+IF(AND(ISNUMBER('Council Entry'!BA$8),ISNUMBER('Council Entry'!BA$9)),MAX(MIN('Council Entry'!BA90,'Council Entry'!BA$9),'Council Entry'!BA$8),'Council Entry'!BA90)),IF('Council Entry'!BA$4="Exponential",EXP(IF(AND(ISNUMBER('Council Entry'!BA$8),ISNUMBER('Council Entry'!BA$9)),MAX(MIN('Council Entry'!BA90,'Council Entry'!BA$9),'Council Entry'!BA$8),'Council Entry'!BA90)),IF(AND(ISNUMBER('Council Entry'!BA$8),ISNUMBER('Council Entry'!BA$9)),MAX(MIN('Council Entry'!BA90,'Council Entry'!BA$9),'Council Entry'!BA$8),'Council Entry'!BA90))))-'Council Entry'!BA$5)/('Council Entry'!BA$6-'Council Entry'!BA$5)),1))),"No data"))</f>
        <v/>
      </c>
      <c r="BB90" s="13">
        <f>IF('Council Entry'!BB90="","",IFERROR(MAX(0,MIN(10,ROUND(IF('Council Entry'!BB$7="Decrease Risk",10-10*((IF('Council Entry'!BB$4="Logarithm",LN(0.001+IF(AND(ISNUMBER('Council Entry'!BB$8),ISNUMBER('Council Entry'!BB$9)),MAX(MIN('Council Entry'!BB90,'Council Entry'!BB$9),'Council Entry'!BB$8),'Council Entry'!BB90)),IF('Council Entry'!BB$4="Exponential",EXP(IF(AND(ISNUMBER('Council Entry'!BB$8),ISNUMBER('Council Entry'!BB$9)),MAX(MIN('Council Entry'!BB90,'Council Entry'!BB$9),'Council Entry'!BB$8),'Council Entry'!BB90)),IF(AND(ISNUMBER('Council Entry'!BB$8),ISNUMBER('Council Entry'!BB$9)),MAX(MIN('Council Entry'!BB90,'Council Entry'!BB$9),'Council Entry'!BB$8),'Council Entry'!BB90))))-'Council Entry'!BB$5)/('Council Entry'!BB$6-'Council Entry'!BB$5),10*((IF('Council Entry'!BB$4="Logarithm",LN(0.001+IF(AND(ISNUMBER('Council Entry'!BB$8),ISNUMBER('Council Entry'!BB$9)),MAX(MIN('Council Entry'!BB90,'Council Entry'!BB$9),'Council Entry'!BB$8),'Council Entry'!BB90)),IF('Council Entry'!BB$4="Exponential",EXP(IF(AND(ISNUMBER('Council Entry'!BB$8),ISNUMBER('Council Entry'!BB$9)),MAX(MIN('Council Entry'!BB90,'Council Entry'!BB$9),'Council Entry'!BB$8),'Council Entry'!BB90)),IF(AND(ISNUMBER('Council Entry'!BB$8),ISNUMBER('Council Entry'!BB$9)),MAX(MIN('Council Entry'!BB90,'Council Entry'!BB$9),'Council Entry'!BB$8),'Council Entry'!BB90))))-'Council Entry'!BB$5)/('Council Entry'!BB$6-'Council Entry'!BB$5)),1))),"No data"))</f>
        <v/>
      </c>
      <c r="BC90" s="13">
        <f>IF('Council Entry'!BC90="","",IFERROR(MAX(0,MIN(10,ROUND(IF('Council Entry'!BC$7="Decrease Risk",10-10*((IF('Council Entry'!BC$4="Logarithm",LN(0.001+IF(AND(ISNUMBER('Council Entry'!BC$8),ISNUMBER('Council Entry'!BC$9)),MAX(MIN('Council Entry'!BC90,'Council Entry'!BC$9),'Council Entry'!BC$8),'Council Entry'!BC90)),IF('Council Entry'!BC$4="Exponential",EXP(IF(AND(ISNUMBER('Council Entry'!BC$8),ISNUMBER('Council Entry'!BC$9)),MAX(MIN('Council Entry'!BC90,'Council Entry'!BC$9),'Council Entry'!BC$8),'Council Entry'!BC90)),IF(AND(ISNUMBER('Council Entry'!BC$8),ISNUMBER('Council Entry'!BC$9)),MAX(MIN('Council Entry'!BC90,'Council Entry'!BC$9),'Council Entry'!BC$8),'Council Entry'!BC90))))-'Council Entry'!BC$5)/('Council Entry'!BC$6-'Council Entry'!BC$5),10*((IF('Council Entry'!BC$4="Logarithm",LN(0.001+IF(AND(ISNUMBER('Council Entry'!BC$8),ISNUMBER('Council Entry'!BC$9)),MAX(MIN('Council Entry'!BC90,'Council Entry'!BC$9),'Council Entry'!BC$8),'Council Entry'!BC90)),IF('Council Entry'!BC$4="Exponential",EXP(IF(AND(ISNUMBER('Council Entry'!BC$8),ISNUMBER('Council Entry'!BC$9)),MAX(MIN('Council Entry'!BC90,'Council Entry'!BC$9),'Council Entry'!BC$8),'Council Entry'!BC90)),IF(AND(ISNUMBER('Council Entry'!BC$8),ISNUMBER('Council Entry'!BC$9)),MAX(MIN('Council Entry'!BC90,'Council Entry'!BC$9),'Council Entry'!BC$8),'Council Entry'!BC90))))-'Council Entry'!BC$5)/('Council Entry'!BC$6-'Council Entry'!BC$5)),1))),"No data"))</f>
        <v/>
      </c>
      <c r="BD90" s="13">
        <f>IF('Council Entry'!BD90="","",IFERROR(MAX(0,MIN(10,ROUND(IF('Council Entry'!BD$7="Decrease Risk",10-10*((IF('Council Entry'!BD$4="Logarithm",LN(0.001+IF(AND(ISNUMBER('Council Entry'!BD$8),ISNUMBER('Council Entry'!BD$9)),MAX(MIN('Council Entry'!BD90,'Council Entry'!BD$9),'Council Entry'!BD$8),'Council Entry'!BD90)),IF('Council Entry'!BD$4="Exponential",EXP(IF(AND(ISNUMBER('Council Entry'!BD$8),ISNUMBER('Council Entry'!BD$9)),MAX(MIN('Council Entry'!BD90,'Council Entry'!BD$9),'Council Entry'!BD$8),'Council Entry'!BD90)),IF(AND(ISNUMBER('Council Entry'!BD$8),ISNUMBER('Council Entry'!BD$9)),MAX(MIN('Council Entry'!BD90,'Council Entry'!BD$9),'Council Entry'!BD$8),'Council Entry'!BD90))))-'Council Entry'!BD$5)/('Council Entry'!BD$6-'Council Entry'!BD$5),10*((IF('Council Entry'!BD$4="Logarithm",LN(0.001+IF(AND(ISNUMBER('Council Entry'!BD$8),ISNUMBER('Council Entry'!BD$9)),MAX(MIN('Council Entry'!BD90,'Council Entry'!BD$9),'Council Entry'!BD$8),'Council Entry'!BD90)),IF('Council Entry'!BD$4="Exponential",EXP(IF(AND(ISNUMBER('Council Entry'!BD$8),ISNUMBER('Council Entry'!BD$9)),MAX(MIN('Council Entry'!BD90,'Council Entry'!BD$9),'Council Entry'!BD$8),'Council Entry'!BD90)),IF(AND(ISNUMBER('Council Entry'!BD$8),ISNUMBER('Council Entry'!BD$9)),MAX(MIN('Council Entry'!BD90,'Council Entry'!BD$9),'Council Entry'!BD$8),'Council Entry'!BD90))))-'Council Entry'!BD$5)/('Council Entry'!BD$6-'Council Entry'!BD$5)),1))),"No data"))</f>
        <v/>
      </c>
    </row>
    <row r="91">
      <c r="A91" t="inlineStr">
        <is>
          <t>Mara</t>
        </is>
      </c>
      <c r="B91" t="inlineStr">
        <is>
          <t>Bunda District</t>
        </is>
      </c>
      <c r="C91" t="inlineStr">
        <is>
          <t>C146</t>
        </is>
      </c>
      <c r="D91" s="13">
        <f>IF('Council Entry'!D91="","",IFERROR(MAX(0,MIN(10,ROUND(IF('Council Entry'!D$7="Decrease Risk",10-10*((IF('Council Entry'!D$4="Logarithm",LN(0.001+IF(AND(ISNUMBER('Council Entry'!D$8),ISNUMBER('Council Entry'!D$9)),MAX(MIN('Council Entry'!D91,'Council Entry'!D$9),'Council Entry'!D$8),'Council Entry'!D91)),IF('Council Entry'!D$4="Exponential",EXP(IF(AND(ISNUMBER('Council Entry'!D$8),ISNUMBER('Council Entry'!D$9)),MAX(MIN('Council Entry'!D91,'Council Entry'!D$9),'Council Entry'!D$8),'Council Entry'!D91)),IF(AND(ISNUMBER('Council Entry'!D$8),ISNUMBER('Council Entry'!D$9)),MAX(MIN('Council Entry'!D91,'Council Entry'!D$9),'Council Entry'!D$8),'Council Entry'!D91))))-'Council Entry'!D$5)/('Council Entry'!D$6-'Council Entry'!D$5),10*((IF('Council Entry'!D$4="Logarithm",LN(0.001+IF(AND(ISNUMBER('Council Entry'!D$8),ISNUMBER('Council Entry'!D$9)),MAX(MIN('Council Entry'!D91,'Council Entry'!D$9),'Council Entry'!D$8),'Council Entry'!D91)),IF('Council Entry'!D$4="Exponential",EXP(IF(AND(ISNUMBER('Council Entry'!D$8),ISNUMBER('Council Entry'!D$9)),MAX(MIN('Council Entry'!D91,'Council Entry'!D$9),'Council Entry'!D$8),'Council Entry'!D91)),IF(AND(ISNUMBER('Council Entry'!D$8),ISNUMBER('Council Entry'!D$9)),MAX(MIN('Council Entry'!D91,'Council Entry'!D$9),'Council Entry'!D$8),'Council Entry'!D91))))-'Council Entry'!D$5)/('Council Entry'!D$6-'Council Entry'!D$5)),1))),"No data"))</f>
        <v/>
      </c>
      <c r="E91" s="13">
        <f>IF('Council Entry'!E91="","",IFERROR(MAX(0,MIN(10,ROUND(IF('Council Entry'!E$7="Decrease Risk",10-10*((IF('Council Entry'!E$4="Logarithm",LN(0.001+IF(AND(ISNUMBER('Council Entry'!E$8),ISNUMBER('Council Entry'!E$9)),MAX(MIN('Council Entry'!E91,'Council Entry'!E$9),'Council Entry'!E$8),'Council Entry'!E91)),IF('Council Entry'!E$4="Exponential",EXP(IF(AND(ISNUMBER('Council Entry'!E$8),ISNUMBER('Council Entry'!E$9)),MAX(MIN('Council Entry'!E91,'Council Entry'!E$9),'Council Entry'!E$8),'Council Entry'!E91)),IF(AND(ISNUMBER('Council Entry'!E$8),ISNUMBER('Council Entry'!E$9)),MAX(MIN('Council Entry'!E91,'Council Entry'!E$9),'Council Entry'!E$8),'Council Entry'!E91))))-'Council Entry'!E$5)/('Council Entry'!E$6-'Council Entry'!E$5),10*((IF('Council Entry'!E$4="Logarithm",LN(0.001+IF(AND(ISNUMBER('Council Entry'!E$8),ISNUMBER('Council Entry'!E$9)),MAX(MIN('Council Entry'!E91,'Council Entry'!E$9),'Council Entry'!E$8),'Council Entry'!E91)),IF('Council Entry'!E$4="Exponential",EXP(IF(AND(ISNUMBER('Council Entry'!E$8),ISNUMBER('Council Entry'!E$9)),MAX(MIN('Council Entry'!E91,'Council Entry'!E$9),'Council Entry'!E$8),'Council Entry'!E91)),IF(AND(ISNUMBER('Council Entry'!E$8),ISNUMBER('Council Entry'!E$9)),MAX(MIN('Council Entry'!E91,'Council Entry'!E$9),'Council Entry'!E$8),'Council Entry'!E91))))-'Council Entry'!E$5)/('Council Entry'!E$6-'Council Entry'!E$5)),1))),"No data"))</f>
        <v/>
      </c>
      <c r="F91" s="13">
        <f>IF('Council Entry'!F91="","",IFERROR(MAX(0,MIN(10,ROUND(IF('Council Entry'!F$7="Decrease Risk",10-10*((IF('Council Entry'!F$4="Logarithm",LN(0.001+IF(AND(ISNUMBER('Council Entry'!F$8),ISNUMBER('Council Entry'!F$9)),MAX(MIN('Council Entry'!F91,'Council Entry'!F$9),'Council Entry'!F$8),'Council Entry'!F91)),IF('Council Entry'!F$4="Exponential",EXP(IF(AND(ISNUMBER('Council Entry'!F$8),ISNUMBER('Council Entry'!F$9)),MAX(MIN('Council Entry'!F91,'Council Entry'!F$9),'Council Entry'!F$8),'Council Entry'!F91)),IF(AND(ISNUMBER('Council Entry'!F$8),ISNUMBER('Council Entry'!F$9)),MAX(MIN('Council Entry'!F91,'Council Entry'!F$9),'Council Entry'!F$8),'Council Entry'!F91))))-'Council Entry'!F$5)/('Council Entry'!F$6-'Council Entry'!F$5),10*((IF('Council Entry'!F$4="Logarithm",LN(0.001+IF(AND(ISNUMBER('Council Entry'!F$8),ISNUMBER('Council Entry'!F$9)),MAX(MIN('Council Entry'!F91,'Council Entry'!F$9),'Council Entry'!F$8),'Council Entry'!F91)),IF('Council Entry'!F$4="Exponential",EXP(IF(AND(ISNUMBER('Council Entry'!F$8),ISNUMBER('Council Entry'!F$9)),MAX(MIN('Council Entry'!F91,'Council Entry'!F$9),'Council Entry'!F$8),'Council Entry'!F91)),IF(AND(ISNUMBER('Council Entry'!F$8),ISNUMBER('Council Entry'!F$9)),MAX(MIN('Council Entry'!F91,'Council Entry'!F$9),'Council Entry'!F$8),'Council Entry'!F91))))-'Council Entry'!F$5)/('Council Entry'!F$6-'Council Entry'!F$5)),1))),"No data"))</f>
        <v/>
      </c>
      <c r="G91" s="13">
        <f>IF('Council Entry'!G91="","",IFERROR(MAX(0,MIN(10,ROUND(IF('Council Entry'!G$7="Decrease Risk",10-10*((IF('Council Entry'!G$4="Logarithm",LN(0.001+IF(AND(ISNUMBER('Council Entry'!G$8),ISNUMBER('Council Entry'!G$9)),MAX(MIN('Council Entry'!G91,'Council Entry'!G$9),'Council Entry'!G$8),'Council Entry'!G91)),IF('Council Entry'!G$4="Exponential",EXP(IF(AND(ISNUMBER('Council Entry'!G$8),ISNUMBER('Council Entry'!G$9)),MAX(MIN('Council Entry'!G91,'Council Entry'!G$9),'Council Entry'!G$8),'Council Entry'!G91)),IF(AND(ISNUMBER('Council Entry'!G$8),ISNUMBER('Council Entry'!G$9)),MAX(MIN('Council Entry'!G91,'Council Entry'!G$9),'Council Entry'!G$8),'Council Entry'!G91))))-'Council Entry'!G$5)/('Council Entry'!G$6-'Council Entry'!G$5),10*((IF('Council Entry'!G$4="Logarithm",LN(0.001+IF(AND(ISNUMBER('Council Entry'!G$8),ISNUMBER('Council Entry'!G$9)),MAX(MIN('Council Entry'!G91,'Council Entry'!G$9),'Council Entry'!G$8),'Council Entry'!G91)),IF('Council Entry'!G$4="Exponential",EXP(IF(AND(ISNUMBER('Council Entry'!G$8),ISNUMBER('Council Entry'!G$9)),MAX(MIN('Council Entry'!G91,'Council Entry'!G$9),'Council Entry'!G$8),'Council Entry'!G91)),IF(AND(ISNUMBER('Council Entry'!G$8),ISNUMBER('Council Entry'!G$9)),MAX(MIN('Council Entry'!G91,'Council Entry'!G$9),'Council Entry'!G$8),'Council Entry'!G91))))-'Council Entry'!G$5)/('Council Entry'!G$6-'Council Entry'!G$5)),1))),"No data"))</f>
        <v/>
      </c>
      <c r="H91" s="13">
        <f>IF('Council Entry'!H91="","",IFERROR(MAX(0,MIN(10,ROUND(IF('Council Entry'!H$7="Decrease Risk",10-10*((IF('Council Entry'!H$4="Logarithm",LN(0.001+IF(AND(ISNUMBER('Council Entry'!H$8),ISNUMBER('Council Entry'!H$9)),MAX(MIN('Council Entry'!H91,'Council Entry'!H$9),'Council Entry'!H$8),'Council Entry'!H91)),IF('Council Entry'!H$4="Exponential",EXP(IF(AND(ISNUMBER('Council Entry'!H$8),ISNUMBER('Council Entry'!H$9)),MAX(MIN('Council Entry'!H91,'Council Entry'!H$9),'Council Entry'!H$8),'Council Entry'!H91)),IF(AND(ISNUMBER('Council Entry'!H$8),ISNUMBER('Council Entry'!H$9)),MAX(MIN('Council Entry'!H91,'Council Entry'!H$9),'Council Entry'!H$8),'Council Entry'!H91))))-'Council Entry'!H$5)/('Council Entry'!H$6-'Council Entry'!H$5),10*((IF('Council Entry'!H$4="Logarithm",LN(0.001+IF(AND(ISNUMBER('Council Entry'!H$8),ISNUMBER('Council Entry'!H$9)),MAX(MIN('Council Entry'!H91,'Council Entry'!H$9),'Council Entry'!H$8),'Council Entry'!H91)),IF('Council Entry'!H$4="Exponential",EXP(IF(AND(ISNUMBER('Council Entry'!H$8),ISNUMBER('Council Entry'!H$9)),MAX(MIN('Council Entry'!H91,'Council Entry'!H$9),'Council Entry'!H$8),'Council Entry'!H91)),IF(AND(ISNUMBER('Council Entry'!H$8),ISNUMBER('Council Entry'!H$9)),MAX(MIN('Council Entry'!H91,'Council Entry'!H$9),'Council Entry'!H$8),'Council Entry'!H91))))-'Council Entry'!H$5)/('Council Entry'!H$6-'Council Entry'!H$5)),1))),"No data"))</f>
        <v/>
      </c>
      <c r="I91" s="13">
        <f>IF('Council Entry'!I91="","",IFERROR(MAX(0,MIN(10,ROUND(IF('Council Entry'!I$7="Decrease Risk",10-10*((IF('Council Entry'!I$4="Logarithm",LN(0.001+IF(AND(ISNUMBER('Council Entry'!I$8),ISNUMBER('Council Entry'!I$9)),MAX(MIN('Council Entry'!I91,'Council Entry'!I$9),'Council Entry'!I$8),'Council Entry'!I91)),IF('Council Entry'!I$4="Exponential",EXP(IF(AND(ISNUMBER('Council Entry'!I$8),ISNUMBER('Council Entry'!I$9)),MAX(MIN('Council Entry'!I91,'Council Entry'!I$9),'Council Entry'!I$8),'Council Entry'!I91)),IF(AND(ISNUMBER('Council Entry'!I$8),ISNUMBER('Council Entry'!I$9)),MAX(MIN('Council Entry'!I91,'Council Entry'!I$9),'Council Entry'!I$8),'Council Entry'!I91))))-'Council Entry'!I$5)/('Council Entry'!I$6-'Council Entry'!I$5),10*((IF('Council Entry'!I$4="Logarithm",LN(0.001+IF(AND(ISNUMBER('Council Entry'!I$8),ISNUMBER('Council Entry'!I$9)),MAX(MIN('Council Entry'!I91,'Council Entry'!I$9),'Council Entry'!I$8),'Council Entry'!I91)),IF('Council Entry'!I$4="Exponential",EXP(IF(AND(ISNUMBER('Council Entry'!I$8),ISNUMBER('Council Entry'!I$9)),MAX(MIN('Council Entry'!I91,'Council Entry'!I$9),'Council Entry'!I$8),'Council Entry'!I91)),IF(AND(ISNUMBER('Council Entry'!I$8),ISNUMBER('Council Entry'!I$9)),MAX(MIN('Council Entry'!I91,'Council Entry'!I$9),'Council Entry'!I$8),'Council Entry'!I91))))-'Council Entry'!I$5)/('Council Entry'!I$6-'Council Entry'!I$5)),1))),"No data"))</f>
        <v/>
      </c>
      <c r="J91" s="13">
        <f>IF('Council Entry'!J91="","",IFERROR(MAX(0,MIN(10,ROUND(IF('Council Entry'!J$7="Decrease Risk",10-10*((IF('Council Entry'!J$4="Logarithm",LN(0.001+IF(AND(ISNUMBER('Council Entry'!J$8),ISNUMBER('Council Entry'!J$9)),MAX(MIN('Council Entry'!J91,'Council Entry'!J$9),'Council Entry'!J$8),'Council Entry'!J91)),IF('Council Entry'!J$4="Exponential",EXP(IF(AND(ISNUMBER('Council Entry'!J$8),ISNUMBER('Council Entry'!J$9)),MAX(MIN('Council Entry'!J91,'Council Entry'!J$9),'Council Entry'!J$8),'Council Entry'!J91)),IF(AND(ISNUMBER('Council Entry'!J$8),ISNUMBER('Council Entry'!J$9)),MAX(MIN('Council Entry'!J91,'Council Entry'!J$9),'Council Entry'!J$8),'Council Entry'!J91))))-'Council Entry'!J$5)/('Council Entry'!J$6-'Council Entry'!J$5),10*((IF('Council Entry'!J$4="Logarithm",LN(0.001+IF(AND(ISNUMBER('Council Entry'!J$8),ISNUMBER('Council Entry'!J$9)),MAX(MIN('Council Entry'!J91,'Council Entry'!J$9),'Council Entry'!J$8),'Council Entry'!J91)),IF('Council Entry'!J$4="Exponential",EXP(IF(AND(ISNUMBER('Council Entry'!J$8),ISNUMBER('Council Entry'!J$9)),MAX(MIN('Council Entry'!J91,'Council Entry'!J$9),'Council Entry'!J$8),'Council Entry'!J91)),IF(AND(ISNUMBER('Council Entry'!J$8),ISNUMBER('Council Entry'!J$9)),MAX(MIN('Council Entry'!J91,'Council Entry'!J$9),'Council Entry'!J$8),'Council Entry'!J91))))-'Council Entry'!J$5)/('Council Entry'!J$6-'Council Entry'!J$5)),1))),"No data"))</f>
        <v/>
      </c>
      <c r="K91" s="13">
        <f>IF('Council Entry'!K91="","",IFERROR(MAX(0,MIN(10,ROUND(IF('Council Entry'!K$7="Decrease Risk",10-10*((IF('Council Entry'!K$4="Logarithm",LN(0.001+IF(AND(ISNUMBER('Council Entry'!K$8),ISNUMBER('Council Entry'!K$9)),MAX(MIN('Council Entry'!K91,'Council Entry'!K$9),'Council Entry'!K$8),'Council Entry'!K91)),IF('Council Entry'!K$4="Exponential",EXP(IF(AND(ISNUMBER('Council Entry'!K$8),ISNUMBER('Council Entry'!K$9)),MAX(MIN('Council Entry'!K91,'Council Entry'!K$9),'Council Entry'!K$8),'Council Entry'!K91)),IF(AND(ISNUMBER('Council Entry'!K$8),ISNUMBER('Council Entry'!K$9)),MAX(MIN('Council Entry'!K91,'Council Entry'!K$9),'Council Entry'!K$8),'Council Entry'!K91))))-'Council Entry'!K$5)/('Council Entry'!K$6-'Council Entry'!K$5),10*((IF('Council Entry'!K$4="Logarithm",LN(0.001+IF(AND(ISNUMBER('Council Entry'!K$8),ISNUMBER('Council Entry'!K$9)),MAX(MIN('Council Entry'!K91,'Council Entry'!K$9),'Council Entry'!K$8),'Council Entry'!K91)),IF('Council Entry'!K$4="Exponential",EXP(IF(AND(ISNUMBER('Council Entry'!K$8),ISNUMBER('Council Entry'!K$9)),MAX(MIN('Council Entry'!K91,'Council Entry'!K$9),'Council Entry'!K$8),'Council Entry'!K91)),IF(AND(ISNUMBER('Council Entry'!K$8),ISNUMBER('Council Entry'!K$9)),MAX(MIN('Council Entry'!K91,'Council Entry'!K$9),'Council Entry'!K$8),'Council Entry'!K91))))-'Council Entry'!K$5)/('Council Entry'!K$6-'Council Entry'!K$5)),1))),"No data"))</f>
        <v/>
      </c>
      <c r="L91" s="13">
        <f>IF('Council Entry'!L91="","",IFERROR(MAX(0,MIN(10,ROUND(IF('Council Entry'!L$7="Decrease Risk",10-10*((IF('Council Entry'!L$4="Logarithm",LN(0.001+IF(AND(ISNUMBER('Council Entry'!L$8),ISNUMBER('Council Entry'!L$9)),MAX(MIN('Council Entry'!L91,'Council Entry'!L$9),'Council Entry'!L$8),'Council Entry'!L91)),IF('Council Entry'!L$4="Exponential",EXP(IF(AND(ISNUMBER('Council Entry'!L$8),ISNUMBER('Council Entry'!L$9)),MAX(MIN('Council Entry'!L91,'Council Entry'!L$9),'Council Entry'!L$8),'Council Entry'!L91)),IF(AND(ISNUMBER('Council Entry'!L$8),ISNUMBER('Council Entry'!L$9)),MAX(MIN('Council Entry'!L91,'Council Entry'!L$9),'Council Entry'!L$8),'Council Entry'!L91))))-'Council Entry'!L$5)/('Council Entry'!L$6-'Council Entry'!L$5),10*((IF('Council Entry'!L$4="Logarithm",LN(0.001+IF(AND(ISNUMBER('Council Entry'!L$8),ISNUMBER('Council Entry'!L$9)),MAX(MIN('Council Entry'!L91,'Council Entry'!L$9),'Council Entry'!L$8),'Council Entry'!L91)),IF('Council Entry'!L$4="Exponential",EXP(IF(AND(ISNUMBER('Council Entry'!L$8),ISNUMBER('Council Entry'!L$9)),MAX(MIN('Council Entry'!L91,'Council Entry'!L$9),'Council Entry'!L$8),'Council Entry'!L91)),IF(AND(ISNUMBER('Council Entry'!L$8),ISNUMBER('Council Entry'!L$9)),MAX(MIN('Council Entry'!L91,'Council Entry'!L$9),'Council Entry'!L$8),'Council Entry'!L91))))-'Council Entry'!L$5)/('Council Entry'!L$6-'Council Entry'!L$5)),1))),"No data"))</f>
        <v/>
      </c>
      <c r="M91" s="13">
        <f>IF('Council Entry'!M91="","",IFERROR(MAX(0,MIN(10,ROUND(IF('Council Entry'!M$7="Decrease Risk",10-10*((IF('Council Entry'!M$4="Logarithm",LN(0.001+IF(AND(ISNUMBER('Council Entry'!M$8),ISNUMBER('Council Entry'!M$9)),MAX(MIN('Council Entry'!M91,'Council Entry'!M$9),'Council Entry'!M$8),'Council Entry'!M91)),IF('Council Entry'!M$4="Exponential",EXP(IF(AND(ISNUMBER('Council Entry'!M$8),ISNUMBER('Council Entry'!M$9)),MAX(MIN('Council Entry'!M91,'Council Entry'!M$9),'Council Entry'!M$8),'Council Entry'!M91)),IF(AND(ISNUMBER('Council Entry'!M$8),ISNUMBER('Council Entry'!M$9)),MAX(MIN('Council Entry'!M91,'Council Entry'!M$9),'Council Entry'!M$8),'Council Entry'!M91))))-'Council Entry'!M$5)/('Council Entry'!M$6-'Council Entry'!M$5),10*((IF('Council Entry'!M$4="Logarithm",LN(0.001+IF(AND(ISNUMBER('Council Entry'!M$8),ISNUMBER('Council Entry'!M$9)),MAX(MIN('Council Entry'!M91,'Council Entry'!M$9),'Council Entry'!M$8),'Council Entry'!M91)),IF('Council Entry'!M$4="Exponential",EXP(IF(AND(ISNUMBER('Council Entry'!M$8),ISNUMBER('Council Entry'!M$9)),MAX(MIN('Council Entry'!M91,'Council Entry'!M$9),'Council Entry'!M$8),'Council Entry'!M91)),IF(AND(ISNUMBER('Council Entry'!M$8),ISNUMBER('Council Entry'!M$9)),MAX(MIN('Council Entry'!M91,'Council Entry'!M$9),'Council Entry'!M$8),'Council Entry'!M91))))-'Council Entry'!M$5)/('Council Entry'!M$6-'Council Entry'!M$5)),1))),"No data"))</f>
        <v/>
      </c>
      <c r="N91" s="13">
        <f>IF('Council Entry'!N91="","",IFERROR(MAX(0,MIN(10,ROUND(IF('Council Entry'!N$7="Decrease Risk",10-10*((IF('Council Entry'!N$4="Logarithm",LN(0.001+IF(AND(ISNUMBER('Council Entry'!N$8),ISNUMBER('Council Entry'!N$9)),MAX(MIN('Council Entry'!N91,'Council Entry'!N$9),'Council Entry'!N$8),'Council Entry'!N91)),IF('Council Entry'!N$4="Exponential",EXP(IF(AND(ISNUMBER('Council Entry'!N$8),ISNUMBER('Council Entry'!N$9)),MAX(MIN('Council Entry'!N91,'Council Entry'!N$9),'Council Entry'!N$8),'Council Entry'!N91)),IF(AND(ISNUMBER('Council Entry'!N$8),ISNUMBER('Council Entry'!N$9)),MAX(MIN('Council Entry'!N91,'Council Entry'!N$9),'Council Entry'!N$8),'Council Entry'!N91))))-'Council Entry'!N$5)/('Council Entry'!N$6-'Council Entry'!N$5),10*((IF('Council Entry'!N$4="Logarithm",LN(0.001+IF(AND(ISNUMBER('Council Entry'!N$8),ISNUMBER('Council Entry'!N$9)),MAX(MIN('Council Entry'!N91,'Council Entry'!N$9),'Council Entry'!N$8),'Council Entry'!N91)),IF('Council Entry'!N$4="Exponential",EXP(IF(AND(ISNUMBER('Council Entry'!N$8),ISNUMBER('Council Entry'!N$9)),MAX(MIN('Council Entry'!N91,'Council Entry'!N$9),'Council Entry'!N$8),'Council Entry'!N91)),IF(AND(ISNUMBER('Council Entry'!N$8),ISNUMBER('Council Entry'!N$9)),MAX(MIN('Council Entry'!N91,'Council Entry'!N$9),'Council Entry'!N$8),'Council Entry'!N91))))-'Council Entry'!N$5)/('Council Entry'!N$6-'Council Entry'!N$5)),1))),"No data"))</f>
        <v/>
      </c>
      <c r="O91" s="13">
        <f>IF('Council Entry'!O91="","",IFERROR(MAX(0,MIN(10,ROUND(IF('Council Entry'!O$7="Decrease Risk",10-10*((IF('Council Entry'!O$4="Logarithm",LN(0.001+IF(AND(ISNUMBER('Council Entry'!O$8),ISNUMBER('Council Entry'!O$9)),MAX(MIN('Council Entry'!O91,'Council Entry'!O$9),'Council Entry'!O$8),'Council Entry'!O91)),IF('Council Entry'!O$4="Exponential",EXP(IF(AND(ISNUMBER('Council Entry'!O$8),ISNUMBER('Council Entry'!O$9)),MAX(MIN('Council Entry'!O91,'Council Entry'!O$9),'Council Entry'!O$8),'Council Entry'!O91)),IF(AND(ISNUMBER('Council Entry'!O$8),ISNUMBER('Council Entry'!O$9)),MAX(MIN('Council Entry'!O91,'Council Entry'!O$9),'Council Entry'!O$8),'Council Entry'!O91))))-'Council Entry'!O$5)/('Council Entry'!O$6-'Council Entry'!O$5),10*((IF('Council Entry'!O$4="Logarithm",LN(0.001+IF(AND(ISNUMBER('Council Entry'!O$8),ISNUMBER('Council Entry'!O$9)),MAX(MIN('Council Entry'!O91,'Council Entry'!O$9),'Council Entry'!O$8),'Council Entry'!O91)),IF('Council Entry'!O$4="Exponential",EXP(IF(AND(ISNUMBER('Council Entry'!O$8),ISNUMBER('Council Entry'!O$9)),MAX(MIN('Council Entry'!O91,'Council Entry'!O$9),'Council Entry'!O$8),'Council Entry'!O91)),IF(AND(ISNUMBER('Council Entry'!O$8),ISNUMBER('Council Entry'!O$9)),MAX(MIN('Council Entry'!O91,'Council Entry'!O$9),'Council Entry'!O$8),'Council Entry'!O91))))-'Council Entry'!O$5)/('Council Entry'!O$6-'Council Entry'!O$5)),1))),"No data"))</f>
        <v/>
      </c>
      <c r="P91" s="13">
        <f>IF('Council Entry'!P91="","",IFERROR(MAX(0,MIN(10,ROUND(IF('Council Entry'!P$7="Decrease Risk",10-10*((IF('Council Entry'!P$4="Logarithm",LN(0.001+IF(AND(ISNUMBER('Council Entry'!P$8),ISNUMBER('Council Entry'!P$9)),MAX(MIN('Council Entry'!P91,'Council Entry'!P$9),'Council Entry'!P$8),'Council Entry'!P91)),IF('Council Entry'!P$4="Exponential",EXP(IF(AND(ISNUMBER('Council Entry'!P$8),ISNUMBER('Council Entry'!P$9)),MAX(MIN('Council Entry'!P91,'Council Entry'!P$9),'Council Entry'!P$8),'Council Entry'!P91)),IF(AND(ISNUMBER('Council Entry'!P$8),ISNUMBER('Council Entry'!P$9)),MAX(MIN('Council Entry'!P91,'Council Entry'!P$9),'Council Entry'!P$8),'Council Entry'!P91))))-'Council Entry'!P$5)/('Council Entry'!P$6-'Council Entry'!P$5),10*((IF('Council Entry'!P$4="Logarithm",LN(0.001+IF(AND(ISNUMBER('Council Entry'!P$8),ISNUMBER('Council Entry'!P$9)),MAX(MIN('Council Entry'!P91,'Council Entry'!P$9),'Council Entry'!P$8),'Council Entry'!P91)),IF('Council Entry'!P$4="Exponential",EXP(IF(AND(ISNUMBER('Council Entry'!P$8),ISNUMBER('Council Entry'!P$9)),MAX(MIN('Council Entry'!P91,'Council Entry'!P$9),'Council Entry'!P$8),'Council Entry'!P91)),IF(AND(ISNUMBER('Council Entry'!P$8),ISNUMBER('Council Entry'!P$9)),MAX(MIN('Council Entry'!P91,'Council Entry'!P$9),'Council Entry'!P$8),'Council Entry'!P91))))-'Council Entry'!P$5)/('Council Entry'!P$6-'Council Entry'!P$5)),1))),"No data"))</f>
        <v/>
      </c>
      <c r="Q91" s="13">
        <f>IF('Council Entry'!Q91="","",IFERROR(MAX(0,MIN(10,ROUND(IF('Council Entry'!Q$7="Decrease Risk",10-10*((IF('Council Entry'!Q$4="Logarithm",LN(0.001+IF(AND(ISNUMBER('Council Entry'!Q$8),ISNUMBER('Council Entry'!Q$9)),MAX(MIN('Council Entry'!Q91,'Council Entry'!Q$9),'Council Entry'!Q$8),'Council Entry'!Q91)),IF('Council Entry'!Q$4="Exponential",EXP(IF(AND(ISNUMBER('Council Entry'!Q$8),ISNUMBER('Council Entry'!Q$9)),MAX(MIN('Council Entry'!Q91,'Council Entry'!Q$9),'Council Entry'!Q$8),'Council Entry'!Q91)),IF(AND(ISNUMBER('Council Entry'!Q$8),ISNUMBER('Council Entry'!Q$9)),MAX(MIN('Council Entry'!Q91,'Council Entry'!Q$9),'Council Entry'!Q$8),'Council Entry'!Q91))))-'Council Entry'!Q$5)/('Council Entry'!Q$6-'Council Entry'!Q$5),10*((IF('Council Entry'!Q$4="Logarithm",LN(0.001+IF(AND(ISNUMBER('Council Entry'!Q$8),ISNUMBER('Council Entry'!Q$9)),MAX(MIN('Council Entry'!Q91,'Council Entry'!Q$9),'Council Entry'!Q$8),'Council Entry'!Q91)),IF('Council Entry'!Q$4="Exponential",EXP(IF(AND(ISNUMBER('Council Entry'!Q$8),ISNUMBER('Council Entry'!Q$9)),MAX(MIN('Council Entry'!Q91,'Council Entry'!Q$9),'Council Entry'!Q$8),'Council Entry'!Q91)),IF(AND(ISNUMBER('Council Entry'!Q$8),ISNUMBER('Council Entry'!Q$9)),MAX(MIN('Council Entry'!Q91,'Council Entry'!Q$9),'Council Entry'!Q$8),'Council Entry'!Q91))))-'Council Entry'!Q$5)/('Council Entry'!Q$6-'Council Entry'!Q$5)),1))),"No data"))</f>
        <v/>
      </c>
      <c r="R91" s="13">
        <f>IF('Council Entry'!R91="","",IFERROR(MAX(0,MIN(10,ROUND(IF('Council Entry'!R$7="Decrease Risk",10-10*((IF('Council Entry'!R$4="Logarithm",LN(0.001+IF(AND(ISNUMBER('Council Entry'!R$8),ISNUMBER('Council Entry'!R$9)),MAX(MIN('Council Entry'!R91,'Council Entry'!R$9),'Council Entry'!R$8),'Council Entry'!R91)),IF('Council Entry'!R$4="Exponential",EXP(IF(AND(ISNUMBER('Council Entry'!R$8),ISNUMBER('Council Entry'!R$9)),MAX(MIN('Council Entry'!R91,'Council Entry'!R$9),'Council Entry'!R$8),'Council Entry'!R91)),IF(AND(ISNUMBER('Council Entry'!R$8),ISNUMBER('Council Entry'!R$9)),MAX(MIN('Council Entry'!R91,'Council Entry'!R$9),'Council Entry'!R$8),'Council Entry'!R91))))-'Council Entry'!R$5)/('Council Entry'!R$6-'Council Entry'!R$5),10*((IF('Council Entry'!R$4="Logarithm",LN(0.001+IF(AND(ISNUMBER('Council Entry'!R$8),ISNUMBER('Council Entry'!R$9)),MAX(MIN('Council Entry'!R91,'Council Entry'!R$9),'Council Entry'!R$8),'Council Entry'!R91)),IF('Council Entry'!R$4="Exponential",EXP(IF(AND(ISNUMBER('Council Entry'!R$8),ISNUMBER('Council Entry'!R$9)),MAX(MIN('Council Entry'!R91,'Council Entry'!R$9),'Council Entry'!R$8),'Council Entry'!R91)),IF(AND(ISNUMBER('Council Entry'!R$8),ISNUMBER('Council Entry'!R$9)),MAX(MIN('Council Entry'!R91,'Council Entry'!R$9),'Council Entry'!R$8),'Council Entry'!R91))))-'Council Entry'!R$5)/('Council Entry'!R$6-'Council Entry'!R$5)),1))),"No data"))</f>
        <v/>
      </c>
      <c r="S91" s="13">
        <f>IF('Council Entry'!S91="","",IFERROR(MAX(0,MIN(10,ROUND(IF('Council Entry'!S$7="Decrease Risk",10-10*((IF('Council Entry'!S$4="Logarithm",LN(0.001+IF(AND(ISNUMBER('Council Entry'!S$8),ISNUMBER('Council Entry'!S$9)),MAX(MIN('Council Entry'!S91,'Council Entry'!S$9),'Council Entry'!S$8),'Council Entry'!S91)),IF('Council Entry'!S$4="Exponential",EXP(IF(AND(ISNUMBER('Council Entry'!S$8),ISNUMBER('Council Entry'!S$9)),MAX(MIN('Council Entry'!S91,'Council Entry'!S$9),'Council Entry'!S$8),'Council Entry'!S91)),IF(AND(ISNUMBER('Council Entry'!S$8),ISNUMBER('Council Entry'!S$9)),MAX(MIN('Council Entry'!S91,'Council Entry'!S$9),'Council Entry'!S$8),'Council Entry'!S91))))-'Council Entry'!S$5)/('Council Entry'!S$6-'Council Entry'!S$5),10*((IF('Council Entry'!S$4="Logarithm",LN(0.001+IF(AND(ISNUMBER('Council Entry'!S$8),ISNUMBER('Council Entry'!S$9)),MAX(MIN('Council Entry'!S91,'Council Entry'!S$9),'Council Entry'!S$8),'Council Entry'!S91)),IF('Council Entry'!S$4="Exponential",EXP(IF(AND(ISNUMBER('Council Entry'!S$8),ISNUMBER('Council Entry'!S$9)),MAX(MIN('Council Entry'!S91,'Council Entry'!S$9),'Council Entry'!S$8),'Council Entry'!S91)),IF(AND(ISNUMBER('Council Entry'!S$8),ISNUMBER('Council Entry'!S$9)),MAX(MIN('Council Entry'!S91,'Council Entry'!S$9),'Council Entry'!S$8),'Council Entry'!S91))))-'Council Entry'!S$5)/('Council Entry'!S$6-'Council Entry'!S$5)),1))),"No data"))</f>
        <v/>
      </c>
      <c r="T91" s="13">
        <f>IF('Council Entry'!T91="","",IFERROR(MAX(0,MIN(10,ROUND(IF('Council Entry'!T$7="Decrease Risk",10-10*((IF('Council Entry'!T$4="Logarithm",LN(0.001+IF(AND(ISNUMBER('Council Entry'!T$8),ISNUMBER('Council Entry'!T$9)),MAX(MIN('Council Entry'!T91,'Council Entry'!T$9),'Council Entry'!T$8),'Council Entry'!T91)),IF('Council Entry'!T$4="Exponential",EXP(IF(AND(ISNUMBER('Council Entry'!T$8),ISNUMBER('Council Entry'!T$9)),MAX(MIN('Council Entry'!T91,'Council Entry'!T$9),'Council Entry'!T$8),'Council Entry'!T91)),IF(AND(ISNUMBER('Council Entry'!T$8),ISNUMBER('Council Entry'!T$9)),MAX(MIN('Council Entry'!T91,'Council Entry'!T$9),'Council Entry'!T$8),'Council Entry'!T91))))-'Council Entry'!T$5)/('Council Entry'!T$6-'Council Entry'!T$5),10*((IF('Council Entry'!T$4="Logarithm",LN(0.001+IF(AND(ISNUMBER('Council Entry'!T$8),ISNUMBER('Council Entry'!T$9)),MAX(MIN('Council Entry'!T91,'Council Entry'!T$9),'Council Entry'!T$8),'Council Entry'!T91)),IF('Council Entry'!T$4="Exponential",EXP(IF(AND(ISNUMBER('Council Entry'!T$8),ISNUMBER('Council Entry'!T$9)),MAX(MIN('Council Entry'!T91,'Council Entry'!T$9),'Council Entry'!T$8),'Council Entry'!T91)),IF(AND(ISNUMBER('Council Entry'!T$8),ISNUMBER('Council Entry'!T$9)),MAX(MIN('Council Entry'!T91,'Council Entry'!T$9),'Council Entry'!T$8),'Council Entry'!T91))))-'Council Entry'!T$5)/('Council Entry'!T$6-'Council Entry'!T$5)),1))),"No data"))</f>
        <v/>
      </c>
      <c r="U91" s="13">
        <f>IF('Council Entry'!U91="","",IFERROR(MAX(0,MIN(10,ROUND(IF('Council Entry'!U$7="Decrease Risk",10-10*((IF('Council Entry'!U$4="Logarithm",LN(0.001+IF(AND(ISNUMBER('Council Entry'!U$8),ISNUMBER('Council Entry'!U$9)),MAX(MIN('Council Entry'!U91,'Council Entry'!U$9),'Council Entry'!U$8),'Council Entry'!U91)),IF('Council Entry'!U$4="Exponential",EXP(IF(AND(ISNUMBER('Council Entry'!U$8),ISNUMBER('Council Entry'!U$9)),MAX(MIN('Council Entry'!U91,'Council Entry'!U$9),'Council Entry'!U$8),'Council Entry'!U91)),IF(AND(ISNUMBER('Council Entry'!U$8),ISNUMBER('Council Entry'!U$9)),MAX(MIN('Council Entry'!U91,'Council Entry'!U$9),'Council Entry'!U$8),'Council Entry'!U91))))-'Council Entry'!U$5)/('Council Entry'!U$6-'Council Entry'!U$5),10*((IF('Council Entry'!U$4="Logarithm",LN(0.001+IF(AND(ISNUMBER('Council Entry'!U$8),ISNUMBER('Council Entry'!U$9)),MAX(MIN('Council Entry'!U91,'Council Entry'!U$9),'Council Entry'!U$8),'Council Entry'!U91)),IF('Council Entry'!U$4="Exponential",EXP(IF(AND(ISNUMBER('Council Entry'!U$8),ISNUMBER('Council Entry'!U$9)),MAX(MIN('Council Entry'!U91,'Council Entry'!U$9),'Council Entry'!U$8),'Council Entry'!U91)),IF(AND(ISNUMBER('Council Entry'!U$8),ISNUMBER('Council Entry'!U$9)),MAX(MIN('Council Entry'!U91,'Council Entry'!U$9),'Council Entry'!U$8),'Council Entry'!U91))))-'Council Entry'!U$5)/('Council Entry'!U$6-'Council Entry'!U$5)),1))),"No data"))</f>
        <v/>
      </c>
      <c r="V91" s="13">
        <f>IF('Council Entry'!V91="","",IFERROR(MAX(0,MIN(10,ROUND(IF('Council Entry'!V$7="Decrease Risk",10-10*((IF('Council Entry'!V$4="Logarithm",LN(0.001+IF(AND(ISNUMBER('Council Entry'!V$8),ISNUMBER('Council Entry'!V$9)),MAX(MIN('Council Entry'!V91,'Council Entry'!V$9),'Council Entry'!V$8),'Council Entry'!V91)),IF('Council Entry'!V$4="Exponential",EXP(IF(AND(ISNUMBER('Council Entry'!V$8),ISNUMBER('Council Entry'!V$9)),MAX(MIN('Council Entry'!V91,'Council Entry'!V$9),'Council Entry'!V$8),'Council Entry'!V91)),IF(AND(ISNUMBER('Council Entry'!V$8),ISNUMBER('Council Entry'!V$9)),MAX(MIN('Council Entry'!V91,'Council Entry'!V$9),'Council Entry'!V$8),'Council Entry'!V91))))-'Council Entry'!V$5)/('Council Entry'!V$6-'Council Entry'!V$5),10*((IF('Council Entry'!V$4="Logarithm",LN(0.001+IF(AND(ISNUMBER('Council Entry'!V$8),ISNUMBER('Council Entry'!V$9)),MAX(MIN('Council Entry'!V91,'Council Entry'!V$9),'Council Entry'!V$8),'Council Entry'!V91)),IF('Council Entry'!V$4="Exponential",EXP(IF(AND(ISNUMBER('Council Entry'!V$8),ISNUMBER('Council Entry'!V$9)),MAX(MIN('Council Entry'!V91,'Council Entry'!V$9),'Council Entry'!V$8),'Council Entry'!V91)),IF(AND(ISNUMBER('Council Entry'!V$8),ISNUMBER('Council Entry'!V$9)),MAX(MIN('Council Entry'!V91,'Council Entry'!V$9),'Council Entry'!V$8),'Council Entry'!V91))))-'Council Entry'!V$5)/('Council Entry'!V$6-'Council Entry'!V$5)),1))),"No data"))</f>
        <v/>
      </c>
      <c r="W91" s="13">
        <f>IF('Council Entry'!W91="","",IFERROR(MAX(0,MIN(10,ROUND(IF('Council Entry'!W$7="Decrease Risk",10-10*((IF('Council Entry'!W$4="Logarithm",LN(0.001+IF(AND(ISNUMBER('Council Entry'!W$8),ISNUMBER('Council Entry'!W$9)),MAX(MIN('Council Entry'!W91,'Council Entry'!W$9),'Council Entry'!W$8),'Council Entry'!W91)),IF('Council Entry'!W$4="Exponential",EXP(IF(AND(ISNUMBER('Council Entry'!W$8),ISNUMBER('Council Entry'!W$9)),MAX(MIN('Council Entry'!W91,'Council Entry'!W$9),'Council Entry'!W$8),'Council Entry'!W91)),IF(AND(ISNUMBER('Council Entry'!W$8),ISNUMBER('Council Entry'!W$9)),MAX(MIN('Council Entry'!W91,'Council Entry'!W$9),'Council Entry'!W$8),'Council Entry'!W91))))-'Council Entry'!W$5)/('Council Entry'!W$6-'Council Entry'!W$5),10*((IF('Council Entry'!W$4="Logarithm",LN(0.001+IF(AND(ISNUMBER('Council Entry'!W$8),ISNUMBER('Council Entry'!W$9)),MAX(MIN('Council Entry'!W91,'Council Entry'!W$9),'Council Entry'!W$8),'Council Entry'!W91)),IF('Council Entry'!W$4="Exponential",EXP(IF(AND(ISNUMBER('Council Entry'!W$8),ISNUMBER('Council Entry'!W$9)),MAX(MIN('Council Entry'!W91,'Council Entry'!W$9),'Council Entry'!W$8),'Council Entry'!W91)),IF(AND(ISNUMBER('Council Entry'!W$8),ISNUMBER('Council Entry'!W$9)),MAX(MIN('Council Entry'!W91,'Council Entry'!W$9),'Council Entry'!W$8),'Council Entry'!W91))))-'Council Entry'!W$5)/('Council Entry'!W$6-'Council Entry'!W$5)),1))),"No data"))</f>
        <v/>
      </c>
      <c r="X91" s="13">
        <f>IF('Council Entry'!X91="","",IFERROR(MAX(0,MIN(10,ROUND(IF('Council Entry'!X$7="Decrease Risk",10-10*((IF('Council Entry'!X$4="Logarithm",LN(0.001+IF(AND(ISNUMBER('Council Entry'!X$8),ISNUMBER('Council Entry'!X$9)),MAX(MIN('Council Entry'!X91,'Council Entry'!X$9),'Council Entry'!X$8),'Council Entry'!X91)),IF('Council Entry'!X$4="Exponential",EXP(IF(AND(ISNUMBER('Council Entry'!X$8),ISNUMBER('Council Entry'!X$9)),MAX(MIN('Council Entry'!X91,'Council Entry'!X$9),'Council Entry'!X$8),'Council Entry'!X91)),IF(AND(ISNUMBER('Council Entry'!X$8),ISNUMBER('Council Entry'!X$9)),MAX(MIN('Council Entry'!X91,'Council Entry'!X$9),'Council Entry'!X$8),'Council Entry'!X91))))-'Council Entry'!X$5)/('Council Entry'!X$6-'Council Entry'!X$5),10*((IF('Council Entry'!X$4="Logarithm",LN(0.001+IF(AND(ISNUMBER('Council Entry'!X$8),ISNUMBER('Council Entry'!X$9)),MAX(MIN('Council Entry'!X91,'Council Entry'!X$9),'Council Entry'!X$8),'Council Entry'!X91)),IF('Council Entry'!X$4="Exponential",EXP(IF(AND(ISNUMBER('Council Entry'!X$8),ISNUMBER('Council Entry'!X$9)),MAX(MIN('Council Entry'!X91,'Council Entry'!X$9),'Council Entry'!X$8),'Council Entry'!X91)),IF(AND(ISNUMBER('Council Entry'!X$8),ISNUMBER('Council Entry'!X$9)),MAX(MIN('Council Entry'!X91,'Council Entry'!X$9),'Council Entry'!X$8),'Council Entry'!X91))))-'Council Entry'!X$5)/('Council Entry'!X$6-'Council Entry'!X$5)),1))),"No data"))</f>
        <v/>
      </c>
      <c r="Y91" s="13">
        <f>IF('Council Entry'!Y91="","",IFERROR(MAX(0,MIN(10,ROUND(IF('Council Entry'!Y$7="Decrease Risk",10-10*((IF('Council Entry'!Y$4="Logarithm",LN(0.001+IF(AND(ISNUMBER('Council Entry'!Y$8),ISNUMBER('Council Entry'!Y$9)),MAX(MIN('Council Entry'!Y91,'Council Entry'!Y$9),'Council Entry'!Y$8),'Council Entry'!Y91)),IF('Council Entry'!Y$4="Exponential",EXP(IF(AND(ISNUMBER('Council Entry'!Y$8),ISNUMBER('Council Entry'!Y$9)),MAX(MIN('Council Entry'!Y91,'Council Entry'!Y$9),'Council Entry'!Y$8),'Council Entry'!Y91)),IF(AND(ISNUMBER('Council Entry'!Y$8),ISNUMBER('Council Entry'!Y$9)),MAX(MIN('Council Entry'!Y91,'Council Entry'!Y$9),'Council Entry'!Y$8),'Council Entry'!Y91))))-'Council Entry'!Y$5)/('Council Entry'!Y$6-'Council Entry'!Y$5),10*((IF('Council Entry'!Y$4="Logarithm",LN(0.001+IF(AND(ISNUMBER('Council Entry'!Y$8),ISNUMBER('Council Entry'!Y$9)),MAX(MIN('Council Entry'!Y91,'Council Entry'!Y$9),'Council Entry'!Y$8),'Council Entry'!Y91)),IF('Council Entry'!Y$4="Exponential",EXP(IF(AND(ISNUMBER('Council Entry'!Y$8),ISNUMBER('Council Entry'!Y$9)),MAX(MIN('Council Entry'!Y91,'Council Entry'!Y$9),'Council Entry'!Y$8),'Council Entry'!Y91)),IF(AND(ISNUMBER('Council Entry'!Y$8),ISNUMBER('Council Entry'!Y$9)),MAX(MIN('Council Entry'!Y91,'Council Entry'!Y$9),'Council Entry'!Y$8),'Council Entry'!Y91))))-'Council Entry'!Y$5)/('Council Entry'!Y$6-'Council Entry'!Y$5)),1))),"No data"))</f>
        <v/>
      </c>
      <c r="Z91" s="13">
        <f>IF('Council Entry'!Z91="","",IFERROR(MAX(0,MIN(10,ROUND(IF('Council Entry'!Z$7="Decrease Risk",10-10*((IF('Council Entry'!Z$4="Logarithm",LN(0.001+IF(AND(ISNUMBER('Council Entry'!Z$8),ISNUMBER('Council Entry'!Z$9)),MAX(MIN('Council Entry'!Z91,'Council Entry'!Z$9),'Council Entry'!Z$8),'Council Entry'!Z91)),IF('Council Entry'!Z$4="Exponential",EXP(IF(AND(ISNUMBER('Council Entry'!Z$8),ISNUMBER('Council Entry'!Z$9)),MAX(MIN('Council Entry'!Z91,'Council Entry'!Z$9),'Council Entry'!Z$8),'Council Entry'!Z91)),IF(AND(ISNUMBER('Council Entry'!Z$8),ISNUMBER('Council Entry'!Z$9)),MAX(MIN('Council Entry'!Z91,'Council Entry'!Z$9),'Council Entry'!Z$8),'Council Entry'!Z91))))-'Council Entry'!Z$5)/('Council Entry'!Z$6-'Council Entry'!Z$5),10*((IF('Council Entry'!Z$4="Logarithm",LN(0.001+IF(AND(ISNUMBER('Council Entry'!Z$8),ISNUMBER('Council Entry'!Z$9)),MAX(MIN('Council Entry'!Z91,'Council Entry'!Z$9),'Council Entry'!Z$8),'Council Entry'!Z91)),IF('Council Entry'!Z$4="Exponential",EXP(IF(AND(ISNUMBER('Council Entry'!Z$8),ISNUMBER('Council Entry'!Z$9)),MAX(MIN('Council Entry'!Z91,'Council Entry'!Z$9),'Council Entry'!Z$8),'Council Entry'!Z91)),IF(AND(ISNUMBER('Council Entry'!Z$8),ISNUMBER('Council Entry'!Z$9)),MAX(MIN('Council Entry'!Z91,'Council Entry'!Z$9),'Council Entry'!Z$8),'Council Entry'!Z91))))-'Council Entry'!Z$5)/('Council Entry'!Z$6-'Council Entry'!Z$5)),1))),"No data"))</f>
        <v/>
      </c>
      <c r="AA91" s="13">
        <f>IF('Council Entry'!AA91="","",IFERROR(MAX(0,MIN(10,ROUND(IF('Council Entry'!AA$7="Decrease Risk",10-10*((IF('Council Entry'!AA$4="Logarithm",LN(0.001+IF(AND(ISNUMBER('Council Entry'!AA$8),ISNUMBER('Council Entry'!AA$9)),MAX(MIN('Council Entry'!AA91,'Council Entry'!AA$9),'Council Entry'!AA$8),'Council Entry'!AA91)),IF('Council Entry'!AA$4="Exponential",EXP(IF(AND(ISNUMBER('Council Entry'!AA$8),ISNUMBER('Council Entry'!AA$9)),MAX(MIN('Council Entry'!AA91,'Council Entry'!AA$9),'Council Entry'!AA$8),'Council Entry'!AA91)),IF(AND(ISNUMBER('Council Entry'!AA$8),ISNUMBER('Council Entry'!AA$9)),MAX(MIN('Council Entry'!AA91,'Council Entry'!AA$9),'Council Entry'!AA$8),'Council Entry'!AA91))))-'Council Entry'!AA$5)/('Council Entry'!AA$6-'Council Entry'!AA$5),10*((IF('Council Entry'!AA$4="Logarithm",LN(0.001+IF(AND(ISNUMBER('Council Entry'!AA$8),ISNUMBER('Council Entry'!AA$9)),MAX(MIN('Council Entry'!AA91,'Council Entry'!AA$9),'Council Entry'!AA$8),'Council Entry'!AA91)),IF('Council Entry'!AA$4="Exponential",EXP(IF(AND(ISNUMBER('Council Entry'!AA$8),ISNUMBER('Council Entry'!AA$9)),MAX(MIN('Council Entry'!AA91,'Council Entry'!AA$9),'Council Entry'!AA$8),'Council Entry'!AA91)),IF(AND(ISNUMBER('Council Entry'!AA$8),ISNUMBER('Council Entry'!AA$9)),MAX(MIN('Council Entry'!AA91,'Council Entry'!AA$9),'Council Entry'!AA$8),'Council Entry'!AA91))))-'Council Entry'!AA$5)/('Council Entry'!AA$6-'Council Entry'!AA$5)),1))),"No data"))</f>
        <v/>
      </c>
      <c r="AB91" s="13">
        <f>IF('Council Entry'!AB91="","",IFERROR(MAX(0,MIN(10,ROUND(IF('Council Entry'!AB$7="Decrease Risk",10-10*((IF('Council Entry'!AB$4="Logarithm",LN(0.001+IF(AND(ISNUMBER('Council Entry'!AB$8),ISNUMBER('Council Entry'!AB$9)),MAX(MIN('Council Entry'!AB91,'Council Entry'!AB$9),'Council Entry'!AB$8),'Council Entry'!AB91)),IF('Council Entry'!AB$4="Exponential",EXP(IF(AND(ISNUMBER('Council Entry'!AB$8),ISNUMBER('Council Entry'!AB$9)),MAX(MIN('Council Entry'!AB91,'Council Entry'!AB$9),'Council Entry'!AB$8),'Council Entry'!AB91)),IF(AND(ISNUMBER('Council Entry'!AB$8),ISNUMBER('Council Entry'!AB$9)),MAX(MIN('Council Entry'!AB91,'Council Entry'!AB$9),'Council Entry'!AB$8),'Council Entry'!AB91))))-'Council Entry'!AB$5)/('Council Entry'!AB$6-'Council Entry'!AB$5),10*((IF('Council Entry'!AB$4="Logarithm",LN(0.001+IF(AND(ISNUMBER('Council Entry'!AB$8),ISNUMBER('Council Entry'!AB$9)),MAX(MIN('Council Entry'!AB91,'Council Entry'!AB$9),'Council Entry'!AB$8),'Council Entry'!AB91)),IF('Council Entry'!AB$4="Exponential",EXP(IF(AND(ISNUMBER('Council Entry'!AB$8),ISNUMBER('Council Entry'!AB$9)),MAX(MIN('Council Entry'!AB91,'Council Entry'!AB$9),'Council Entry'!AB$8),'Council Entry'!AB91)),IF(AND(ISNUMBER('Council Entry'!AB$8),ISNUMBER('Council Entry'!AB$9)),MAX(MIN('Council Entry'!AB91,'Council Entry'!AB$9),'Council Entry'!AB$8),'Council Entry'!AB91))))-'Council Entry'!AB$5)/('Council Entry'!AB$6-'Council Entry'!AB$5)),1))),"No data"))</f>
        <v/>
      </c>
      <c r="AC91" s="13">
        <f>IF('Council Entry'!AC91="","",IFERROR(MAX(0,MIN(10,ROUND(IF('Council Entry'!AC$7="Decrease Risk",10-10*((IF('Council Entry'!AC$4="Logarithm",LN(0.001+IF(AND(ISNUMBER('Council Entry'!AC$8),ISNUMBER('Council Entry'!AC$9)),MAX(MIN('Council Entry'!AC91,'Council Entry'!AC$9),'Council Entry'!AC$8),'Council Entry'!AC91)),IF('Council Entry'!AC$4="Exponential",EXP(IF(AND(ISNUMBER('Council Entry'!AC$8),ISNUMBER('Council Entry'!AC$9)),MAX(MIN('Council Entry'!AC91,'Council Entry'!AC$9),'Council Entry'!AC$8),'Council Entry'!AC91)),IF(AND(ISNUMBER('Council Entry'!AC$8),ISNUMBER('Council Entry'!AC$9)),MAX(MIN('Council Entry'!AC91,'Council Entry'!AC$9),'Council Entry'!AC$8),'Council Entry'!AC91))))-'Council Entry'!AC$5)/('Council Entry'!AC$6-'Council Entry'!AC$5),10*((IF('Council Entry'!AC$4="Logarithm",LN(0.001+IF(AND(ISNUMBER('Council Entry'!AC$8),ISNUMBER('Council Entry'!AC$9)),MAX(MIN('Council Entry'!AC91,'Council Entry'!AC$9),'Council Entry'!AC$8),'Council Entry'!AC91)),IF('Council Entry'!AC$4="Exponential",EXP(IF(AND(ISNUMBER('Council Entry'!AC$8),ISNUMBER('Council Entry'!AC$9)),MAX(MIN('Council Entry'!AC91,'Council Entry'!AC$9),'Council Entry'!AC$8),'Council Entry'!AC91)),IF(AND(ISNUMBER('Council Entry'!AC$8),ISNUMBER('Council Entry'!AC$9)),MAX(MIN('Council Entry'!AC91,'Council Entry'!AC$9),'Council Entry'!AC$8),'Council Entry'!AC91))))-'Council Entry'!AC$5)/('Council Entry'!AC$6-'Council Entry'!AC$5)),1))),"No data"))</f>
        <v/>
      </c>
      <c r="AD91" s="13">
        <f>IF('Council Entry'!AD91="","",IFERROR(MAX(0,MIN(10,ROUND(IF('Council Entry'!AD$7="Decrease Risk",10-10*((IF('Council Entry'!AD$4="Logarithm",LN(0.001+IF(AND(ISNUMBER('Council Entry'!AD$8),ISNUMBER('Council Entry'!AD$9)),MAX(MIN('Council Entry'!AD91,'Council Entry'!AD$9),'Council Entry'!AD$8),'Council Entry'!AD91)),IF('Council Entry'!AD$4="Exponential",EXP(IF(AND(ISNUMBER('Council Entry'!AD$8),ISNUMBER('Council Entry'!AD$9)),MAX(MIN('Council Entry'!AD91,'Council Entry'!AD$9),'Council Entry'!AD$8),'Council Entry'!AD91)),IF(AND(ISNUMBER('Council Entry'!AD$8),ISNUMBER('Council Entry'!AD$9)),MAX(MIN('Council Entry'!AD91,'Council Entry'!AD$9),'Council Entry'!AD$8),'Council Entry'!AD91))))-'Council Entry'!AD$5)/('Council Entry'!AD$6-'Council Entry'!AD$5),10*((IF('Council Entry'!AD$4="Logarithm",LN(0.001+IF(AND(ISNUMBER('Council Entry'!AD$8),ISNUMBER('Council Entry'!AD$9)),MAX(MIN('Council Entry'!AD91,'Council Entry'!AD$9),'Council Entry'!AD$8),'Council Entry'!AD91)),IF('Council Entry'!AD$4="Exponential",EXP(IF(AND(ISNUMBER('Council Entry'!AD$8),ISNUMBER('Council Entry'!AD$9)),MAX(MIN('Council Entry'!AD91,'Council Entry'!AD$9),'Council Entry'!AD$8),'Council Entry'!AD91)),IF(AND(ISNUMBER('Council Entry'!AD$8),ISNUMBER('Council Entry'!AD$9)),MAX(MIN('Council Entry'!AD91,'Council Entry'!AD$9),'Council Entry'!AD$8),'Council Entry'!AD91))))-'Council Entry'!AD$5)/('Council Entry'!AD$6-'Council Entry'!AD$5)),1))),"No data"))</f>
        <v/>
      </c>
      <c r="AE91" s="13">
        <f>IF('Council Entry'!AE91="","",IFERROR(MAX(0,MIN(10,ROUND(IF('Council Entry'!AE$7="Decrease Risk",10-10*((IF('Council Entry'!AE$4="Logarithm",LN(0.001+IF(AND(ISNUMBER('Council Entry'!AE$8),ISNUMBER('Council Entry'!AE$9)),MAX(MIN('Council Entry'!AE91,'Council Entry'!AE$9),'Council Entry'!AE$8),'Council Entry'!AE91)),IF('Council Entry'!AE$4="Exponential",EXP(IF(AND(ISNUMBER('Council Entry'!AE$8),ISNUMBER('Council Entry'!AE$9)),MAX(MIN('Council Entry'!AE91,'Council Entry'!AE$9),'Council Entry'!AE$8),'Council Entry'!AE91)),IF(AND(ISNUMBER('Council Entry'!AE$8),ISNUMBER('Council Entry'!AE$9)),MAX(MIN('Council Entry'!AE91,'Council Entry'!AE$9),'Council Entry'!AE$8),'Council Entry'!AE91))))-'Council Entry'!AE$5)/('Council Entry'!AE$6-'Council Entry'!AE$5),10*((IF('Council Entry'!AE$4="Logarithm",LN(0.001+IF(AND(ISNUMBER('Council Entry'!AE$8),ISNUMBER('Council Entry'!AE$9)),MAX(MIN('Council Entry'!AE91,'Council Entry'!AE$9),'Council Entry'!AE$8),'Council Entry'!AE91)),IF('Council Entry'!AE$4="Exponential",EXP(IF(AND(ISNUMBER('Council Entry'!AE$8),ISNUMBER('Council Entry'!AE$9)),MAX(MIN('Council Entry'!AE91,'Council Entry'!AE$9),'Council Entry'!AE$8),'Council Entry'!AE91)),IF(AND(ISNUMBER('Council Entry'!AE$8),ISNUMBER('Council Entry'!AE$9)),MAX(MIN('Council Entry'!AE91,'Council Entry'!AE$9),'Council Entry'!AE$8),'Council Entry'!AE91))))-'Council Entry'!AE$5)/('Council Entry'!AE$6-'Council Entry'!AE$5)),1))),"No data"))</f>
        <v/>
      </c>
      <c r="AF91" s="13">
        <f>IF('Council Entry'!AF91="","",IFERROR(MAX(0,MIN(10,ROUND(IF('Council Entry'!AF$7="Decrease Risk",10-10*((IF('Council Entry'!AF$4="Logarithm",LN(0.001+IF(AND(ISNUMBER('Council Entry'!AF$8),ISNUMBER('Council Entry'!AF$9)),MAX(MIN('Council Entry'!AF91,'Council Entry'!AF$9),'Council Entry'!AF$8),'Council Entry'!AF91)),IF('Council Entry'!AF$4="Exponential",EXP(IF(AND(ISNUMBER('Council Entry'!AF$8),ISNUMBER('Council Entry'!AF$9)),MAX(MIN('Council Entry'!AF91,'Council Entry'!AF$9),'Council Entry'!AF$8),'Council Entry'!AF91)),IF(AND(ISNUMBER('Council Entry'!AF$8),ISNUMBER('Council Entry'!AF$9)),MAX(MIN('Council Entry'!AF91,'Council Entry'!AF$9),'Council Entry'!AF$8),'Council Entry'!AF91))))-'Council Entry'!AF$5)/('Council Entry'!AF$6-'Council Entry'!AF$5),10*((IF('Council Entry'!AF$4="Logarithm",LN(0.001+IF(AND(ISNUMBER('Council Entry'!AF$8),ISNUMBER('Council Entry'!AF$9)),MAX(MIN('Council Entry'!AF91,'Council Entry'!AF$9),'Council Entry'!AF$8),'Council Entry'!AF91)),IF('Council Entry'!AF$4="Exponential",EXP(IF(AND(ISNUMBER('Council Entry'!AF$8),ISNUMBER('Council Entry'!AF$9)),MAX(MIN('Council Entry'!AF91,'Council Entry'!AF$9),'Council Entry'!AF$8),'Council Entry'!AF91)),IF(AND(ISNUMBER('Council Entry'!AF$8),ISNUMBER('Council Entry'!AF$9)),MAX(MIN('Council Entry'!AF91,'Council Entry'!AF$9),'Council Entry'!AF$8),'Council Entry'!AF91))))-'Council Entry'!AF$5)/('Council Entry'!AF$6-'Council Entry'!AF$5)),1))),"No data"))</f>
        <v/>
      </c>
      <c r="AG91" s="13">
        <f>IF('Council Entry'!AG91="","",IFERROR(MAX(0,MIN(10,ROUND(IF('Council Entry'!AG$7="Decrease Risk",10-10*((IF('Council Entry'!AG$4="Logarithm",LN(0.001+IF(AND(ISNUMBER('Council Entry'!AG$8),ISNUMBER('Council Entry'!AG$9)),MAX(MIN('Council Entry'!AG91,'Council Entry'!AG$9),'Council Entry'!AG$8),'Council Entry'!AG91)),IF('Council Entry'!AG$4="Exponential",EXP(IF(AND(ISNUMBER('Council Entry'!AG$8),ISNUMBER('Council Entry'!AG$9)),MAX(MIN('Council Entry'!AG91,'Council Entry'!AG$9),'Council Entry'!AG$8),'Council Entry'!AG91)),IF(AND(ISNUMBER('Council Entry'!AG$8),ISNUMBER('Council Entry'!AG$9)),MAX(MIN('Council Entry'!AG91,'Council Entry'!AG$9),'Council Entry'!AG$8),'Council Entry'!AG91))))-'Council Entry'!AG$5)/('Council Entry'!AG$6-'Council Entry'!AG$5),10*((IF('Council Entry'!AG$4="Logarithm",LN(0.001+IF(AND(ISNUMBER('Council Entry'!AG$8),ISNUMBER('Council Entry'!AG$9)),MAX(MIN('Council Entry'!AG91,'Council Entry'!AG$9),'Council Entry'!AG$8),'Council Entry'!AG91)),IF('Council Entry'!AG$4="Exponential",EXP(IF(AND(ISNUMBER('Council Entry'!AG$8),ISNUMBER('Council Entry'!AG$9)),MAX(MIN('Council Entry'!AG91,'Council Entry'!AG$9),'Council Entry'!AG$8),'Council Entry'!AG91)),IF(AND(ISNUMBER('Council Entry'!AG$8),ISNUMBER('Council Entry'!AG$9)),MAX(MIN('Council Entry'!AG91,'Council Entry'!AG$9),'Council Entry'!AG$8),'Council Entry'!AG91))))-'Council Entry'!AG$5)/('Council Entry'!AG$6-'Council Entry'!AG$5)),1))),"No data"))</f>
        <v/>
      </c>
      <c r="AH91" s="13">
        <f>IF('Council Entry'!AH91="","",IFERROR(MAX(0,MIN(10,ROUND(IF('Council Entry'!AH$7="Decrease Risk",10-10*((IF('Council Entry'!AH$4="Logarithm",LN(0.001+IF(AND(ISNUMBER('Council Entry'!AH$8),ISNUMBER('Council Entry'!AH$9)),MAX(MIN('Council Entry'!AH91,'Council Entry'!AH$9),'Council Entry'!AH$8),'Council Entry'!AH91)),IF('Council Entry'!AH$4="Exponential",EXP(IF(AND(ISNUMBER('Council Entry'!AH$8),ISNUMBER('Council Entry'!AH$9)),MAX(MIN('Council Entry'!AH91,'Council Entry'!AH$9),'Council Entry'!AH$8),'Council Entry'!AH91)),IF(AND(ISNUMBER('Council Entry'!AH$8),ISNUMBER('Council Entry'!AH$9)),MAX(MIN('Council Entry'!AH91,'Council Entry'!AH$9),'Council Entry'!AH$8),'Council Entry'!AH91))))-'Council Entry'!AH$5)/('Council Entry'!AH$6-'Council Entry'!AH$5),10*((IF('Council Entry'!AH$4="Logarithm",LN(0.001+IF(AND(ISNUMBER('Council Entry'!AH$8),ISNUMBER('Council Entry'!AH$9)),MAX(MIN('Council Entry'!AH91,'Council Entry'!AH$9),'Council Entry'!AH$8),'Council Entry'!AH91)),IF('Council Entry'!AH$4="Exponential",EXP(IF(AND(ISNUMBER('Council Entry'!AH$8),ISNUMBER('Council Entry'!AH$9)),MAX(MIN('Council Entry'!AH91,'Council Entry'!AH$9),'Council Entry'!AH$8),'Council Entry'!AH91)),IF(AND(ISNUMBER('Council Entry'!AH$8),ISNUMBER('Council Entry'!AH$9)),MAX(MIN('Council Entry'!AH91,'Council Entry'!AH$9),'Council Entry'!AH$8),'Council Entry'!AH91))))-'Council Entry'!AH$5)/('Council Entry'!AH$6-'Council Entry'!AH$5)),1))),"No data"))</f>
        <v/>
      </c>
      <c r="AI91" s="13">
        <f>IF('Council Entry'!AI91="","",IFERROR(MAX(0,MIN(10,ROUND(IF('Council Entry'!AI$7="Decrease Risk",10-10*((IF('Council Entry'!AI$4="Logarithm",LN(0.001+IF(AND(ISNUMBER('Council Entry'!AI$8),ISNUMBER('Council Entry'!AI$9)),MAX(MIN('Council Entry'!AI91,'Council Entry'!AI$9),'Council Entry'!AI$8),'Council Entry'!AI91)),IF('Council Entry'!AI$4="Exponential",EXP(IF(AND(ISNUMBER('Council Entry'!AI$8),ISNUMBER('Council Entry'!AI$9)),MAX(MIN('Council Entry'!AI91,'Council Entry'!AI$9),'Council Entry'!AI$8),'Council Entry'!AI91)),IF(AND(ISNUMBER('Council Entry'!AI$8),ISNUMBER('Council Entry'!AI$9)),MAX(MIN('Council Entry'!AI91,'Council Entry'!AI$9),'Council Entry'!AI$8),'Council Entry'!AI91))))-'Council Entry'!AI$5)/('Council Entry'!AI$6-'Council Entry'!AI$5),10*((IF('Council Entry'!AI$4="Logarithm",LN(0.001+IF(AND(ISNUMBER('Council Entry'!AI$8),ISNUMBER('Council Entry'!AI$9)),MAX(MIN('Council Entry'!AI91,'Council Entry'!AI$9),'Council Entry'!AI$8),'Council Entry'!AI91)),IF('Council Entry'!AI$4="Exponential",EXP(IF(AND(ISNUMBER('Council Entry'!AI$8),ISNUMBER('Council Entry'!AI$9)),MAX(MIN('Council Entry'!AI91,'Council Entry'!AI$9),'Council Entry'!AI$8),'Council Entry'!AI91)),IF(AND(ISNUMBER('Council Entry'!AI$8),ISNUMBER('Council Entry'!AI$9)),MAX(MIN('Council Entry'!AI91,'Council Entry'!AI$9),'Council Entry'!AI$8),'Council Entry'!AI91))))-'Council Entry'!AI$5)/('Council Entry'!AI$6-'Council Entry'!AI$5)),1))),"No data"))</f>
        <v/>
      </c>
      <c r="AJ91" s="13">
        <f>IF('Council Entry'!AJ91="","",IFERROR(MAX(0,MIN(10,ROUND(IF('Council Entry'!AJ$7="Decrease Risk",10-10*((IF('Council Entry'!AJ$4="Logarithm",LN(0.001+IF(AND(ISNUMBER('Council Entry'!AJ$8),ISNUMBER('Council Entry'!AJ$9)),MAX(MIN('Council Entry'!AJ91,'Council Entry'!AJ$9),'Council Entry'!AJ$8),'Council Entry'!AJ91)),IF('Council Entry'!AJ$4="Exponential",EXP(IF(AND(ISNUMBER('Council Entry'!AJ$8),ISNUMBER('Council Entry'!AJ$9)),MAX(MIN('Council Entry'!AJ91,'Council Entry'!AJ$9),'Council Entry'!AJ$8),'Council Entry'!AJ91)),IF(AND(ISNUMBER('Council Entry'!AJ$8),ISNUMBER('Council Entry'!AJ$9)),MAX(MIN('Council Entry'!AJ91,'Council Entry'!AJ$9),'Council Entry'!AJ$8),'Council Entry'!AJ91))))-'Council Entry'!AJ$5)/('Council Entry'!AJ$6-'Council Entry'!AJ$5),10*((IF('Council Entry'!AJ$4="Logarithm",LN(0.001+IF(AND(ISNUMBER('Council Entry'!AJ$8),ISNUMBER('Council Entry'!AJ$9)),MAX(MIN('Council Entry'!AJ91,'Council Entry'!AJ$9),'Council Entry'!AJ$8),'Council Entry'!AJ91)),IF('Council Entry'!AJ$4="Exponential",EXP(IF(AND(ISNUMBER('Council Entry'!AJ$8),ISNUMBER('Council Entry'!AJ$9)),MAX(MIN('Council Entry'!AJ91,'Council Entry'!AJ$9),'Council Entry'!AJ$8),'Council Entry'!AJ91)),IF(AND(ISNUMBER('Council Entry'!AJ$8),ISNUMBER('Council Entry'!AJ$9)),MAX(MIN('Council Entry'!AJ91,'Council Entry'!AJ$9),'Council Entry'!AJ$8),'Council Entry'!AJ91))))-'Council Entry'!AJ$5)/('Council Entry'!AJ$6-'Council Entry'!AJ$5)),1))),"No data"))</f>
        <v/>
      </c>
      <c r="AK91" s="13">
        <f>IF('Council Entry'!AK91="","",IFERROR(MAX(0,MIN(10,ROUND(IF('Council Entry'!AK$7="Decrease Risk",10-10*((IF('Council Entry'!AK$4="Logarithm",LN(0.001+IF(AND(ISNUMBER('Council Entry'!AK$8),ISNUMBER('Council Entry'!AK$9)),MAX(MIN('Council Entry'!AK91,'Council Entry'!AK$9),'Council Entry'!AK$8),'Council Entry'!AK91)),IF('Council Entry'!AK$4="Exponential",EXP(IF(AND(ISNUMBER('Council Entry'!AK$8),ISNUMBER('Council Entry'!AK$9)),MAX(MIN('Council Entry'!AK91,'Council Entry'!AK$9),'Council Entry'!AK$8),'Council Entry'!AK91)),IF(AND(ISNUMBER('Council Entry'!AK$8),ISNUMBER('Council Entry'!AK$9)),MAX(MIN('Council Entry'!AK91,'Council Entry'!AK$9),'Council Entry'!AK$8),'Council Entry'!AK91))))-'Council Entry'!AK$5)/('Council Entry'!AK$6-'Council Entry'!AK$5),10*((IF('Council Entry'!AK$4="Logarithm",LN(0.001+IF(AND(ISNUMBER('Council Entry'!AK$8),ISNUMBER('Council Entry'!AK$9)),MAX(MIN('Council Entry'!AK91,'Council Entry'!AK$9),'Council Entry'!AK$8),'Council Entry'!AK91)),IF('Council Entry'!AK$4="Exponential",EXP(IF(AND(ISNUMBER('Council Entry'!AK$8),ISNUMBER('Council Entry'!AK$9)),MAX(MIN('Council Entry'!AK91,'Council Entry'!AK$9),'Council Entry'!AK$8),'Council Entry'!AK91)),IF(AND(ISNUMBER('Council Entry'!AK$8),ISNUMBER('Council Entry'!AK$9)),MAX(MIN('Council Entry'!AK91,'Council Entry'!AK$9),'Council Entry'!AK$8),'Council Entry'!AK91))))-'Council Entry'!AK$5)/('Council Entry'!AK$6-'Council Entry'!AK$5)),1))),"No data"))</f>
        <v/>
      </c>
      <c r="AL91" s="13">
        <f>IF('Council Entry'!AL91="","",IFERROR(MAX(0,MIN(10,ROUND(IF('Council Entry'!AL$7="Decrease Risk",10-10*((IF('Council Entry'!AL$4="Logarithm",LN(0.001+IF(AND(ISNUMBER('Council Entry'!AL$8),ISNUMBER('Council Entry'!AL$9)),MAX(MIN('Council Entry'!AL91,'Council Entry'!AL$9),'Council Entry'!AL$8),'Council Entry'!AL91)),IF('Council Entry'!AL$4="Exponential",EXP(IF(AND(ISNUMBER('Council Entry'!AL$8),ISNUMBER('Council Entry'!AL$9)),MAX(MIN('Council Entry'!AL91,'Council Entry'!AL$9),'Council Entry'!AL$8),'Council Entry'!AL91)),IF(AND(ISNUMBER('Council Entry'!AL$8),ISNUMBER('Council Entry'!AL$9)),MAX(MIN('Council Entry'!AL91,'Council Entry'!AL$9),'Council Entry'!AL$8),'Council Entry'!AL91))))-'Council Entry'!AL$5)/('Council Entry'!AL$6-'Council Entry'!AL$5),10*((IF('Council Entry'!AL$4="Logarithm",LN(0.001+IF(AND(ISNUMBER('Council Entry'!AL$8),ISNUMBER('Council Entry'!AL$9)),MAX(MIN('Council Entry'!AL91,'Council Entry'!AL$9),'Council Entry'!AL$8),'Council Entry'!AL91)),IF('Council Entry'!AL$4="Exponential",EXP(IF(AND(ISNUMBER('Council Entry'!AL$8),ISNUMBER('Council Entry'!AL$9)),MAX(MIN('Council Entry'!AL91,'Council Entry'!AL$9),'Council Entry'!AL$8),'Council Entry'!AL91)),IF(AND(ISNUMBER('Council Entry'!AL$8),ISNUMBER('Council Entry'!AL$9)),MAX(MIN('Council Entry'!AL91,'Council Entry'!AL$9),'Council Entry'!AL$8),'Council Entry'!AL91))))-'Council Entry'!AL$5)/('Council Entry'!AL$6-'Council Entry'!AL$5)),1))),"No data"))</f>
        <v/>
      </c>
      <c r="AM91" s="13">
        <f>IF('Council Entry'!AM91="","",IFERROR(MAX(0,MIN(10,ROUND(IF('Council Entry'!AM$7="Decrease Risk",10-10*((IF('Council Entry'!AM$4="Logarithm",LN(0.001+IF(AND(ISNUMBER('Council Entry'!AM$8),ISNUMBER('Council Entry'!AM$9)),MAX(MIN('Council Entry'!AM91,'Council Entry'!AM$9),'Council Entry'!AM$8),'Council Entry'!AM91)),IF('Council Entry'!AM$4="Exponential",EXP(IF(AND(ISNUMBER('Council Entry'!AM$8),ISNUMBER('Council Entry'!AM$9)),MAX(MIN('Council Entry'!AM91,'Council Entry'!AM$9),'Council Entry'!AM$8),'Council Entry'!AM91)),IF(AND(ISNUMBER('Council Entry'!AM$8),ISNUMBER('Council Entry'!AM$9)),MAX(MIN('Council Entry'!AM91,'Council Entry'!AM$9),'Council Entry'!AM$8),'Council Entry'!AM91))))-'Council Entry'!AM$5)/('Council Entry'!AM$6-'Council Entry'!AM$5),10*((IF('Council Entry'!AM$4="Logarithm",LN(0.001+IF(AND(ISNUMBER('Council Entry'!AM$8),ISNUMBER('Council Entry'!AM$9)),MAX(MIN('Council Entry'!AM91,'Council Entry'!AM$9),'Council Entry'!AM$8),'Council Entry'!AM91)),IF('Council Entry'!AM$4="Exponential",EXP(IF(AND(ISNUMBER('Council Entry'!AM$8),ISNUMBER('Council Entry'!AM$9)),MAX(MIN('Council Entry'!AM91,'Council Entry'!AM$9),'Council Entry'!AM$8),'Council Entry'!AM91)),IF(AND(ISNUMBER('Council Entry'!AM$8),ISNUMBER('Council Entry'!AM$9)),MAX(MIN('Council Entry'!AM91,'Council Entry'!AM$9),'Council Entry'!AM$8),'Council Entry'!AM91))))-'Council Entry'!AM$5)/('Council Entry'!AM$6-'Council Entry'!AM$5)),1))),"No data"))</f>
        <v/>
      </c>
      <c r="AN91" s="13">
        <f>IF('Council Entry'!AN91="","",IFERROR(MAX(0,MIN(10,ROUND(IF('Council Entry'!AN$7="Decrease Risk",10-10*((IF('Council Entry'!AN$4="Logarithm",LN(0.001+IF(AND(ISNUMBER('Council Entry'!AN$8),ISNUMBER('Council Entry'!AN$9)),MAX(MIN('Council Entry'!AN91,'Council Entry'!AN$9),'Council Entry'!AN$8),'Council Entry'!AN91)),IF('Council Entry'!AN$4="Exponential",EXP(IF(AND(ISNUMBER('Council Entry'!AN$8),ISNUMBER('Council Entry'!AN$9)),MAX(MIN('Council Entry'!AN91,'Council Entry'!AN$9),'Council Entry'!AN$8),'Council Entry'!AN91)),IF(AND(ISNUMBER('Council Entry'!AN$8),ISNUMBER('Council Entry'!AN$9)),MAX(MIN('Council Entry'!AN91,'Council Entry'!AN$9),'Council Entry'!AN$8),'Council Entry'!AN91))))-'Council Entry'!AN$5)/('Council Entry'!AN$6-'Council Entry'!AN$5),10*((IF('Council Entry'!AN$4="Logarithm",LN(0.001+IF(AND(ISNUMBER('Council Entry'!AN$8),ISNUMBER('Council Entry'!AN$9)),MAX(MIN('Council Entry'!AN91,'Council Entry'!AN$9),'Council Entry'!AN$8),'Council Entry'!AN91)),IF('Council Entry'!AN$4="Exponential",EXP(IF(AND(ISNUMBER('Council Entry'!AN$8),ISNUMBER('Council Entry'!AN$9)),MAX(MIN('Council Entry'!AN91,'Council Entry'!AN$9),'Council Entry'!AN$8),'Council Entry'!AN91)),IF(AND(ISNUMBER('Council Entry'!AN$8),ISNUMBER('Council Entry'!AN$9)),MAX(MIN('Council Entry'!AN91,'Council Entry'!AN$9),'Council Entry'!AN$8),'Council Entry'!AN91))))-'Council Entry'!AN$5)/('Council Entry'!AN$6-'Council Entry'!AN$5)),1))),"No data"))</f>
        <v/>
      </c>
      <c r="AO91" s="13">
        <f>IF('Council Entry'!AO91="","",IFERROR(MAX(0,MIN(10,ROUND(IF('Council Entry'!AO$7="Decrease Risk",10-10*((IF('Council Entry'!AO$4="Logarithm",LN(0.001+IF(AND(ISNUMBER('Council Entry'!AO$8),ISNUMBER('Council Entry'!AO$9)),MAX(MIN('Council Entry'!AO91,'Council Entry'!AO$9),'Council Entry'!AO$8),'Council Entry'!AO91)),IF('Council Entry'!AO$4="Exponential",EXP(IF(AND(ISNUMBER('Council Entry'!AO$8),ISNUMBER('Council Entry'!AO$9)),MAX(MIN('Council Entry'!AO91,'Council Entry'!AO$9),'Council Entry'!AO$8),'Council Entry'!AO91)),IF(AND(ISNUMBER('Council Entry'!AO$8),ISNUMBER('Council Entry'!AO$9)),MAX(MIN('Council Entry'!AO91,'Council Entry'!AO$9),'Council Entry'!AO$8),'Council Entry'!AO91))))-'Council Entry'!AO$5)/('Council Entry'!AO$6-'Council Entry'!AO$5),10*((IF('Council Entry'!AO$4="Logarithm",LN(0.001+IF(AND(ISNUMBER('Council Entry'!AO$8),ISNUMBER('Council Entry'!AO$9)),MAX(MIN('Council Entry'!AO91,'Council Entry'!AO$9),'Council Entry'!AO$8),'Council Entry'!AO91)),IF('Council Entry'!AO$4="Exponential",EXP(IF(AND(ISNUMBER('Council Entry'!AO$8),ISNUMBER('Council Entry'!AO$9)),MAX(MIN('Council Entry'!AO91,'Council Entry'!AO$9),'Council Entry'!AO$8),'Council Entry'!AO91)),IF(AND(ISNUMBER('Council Entry'!AO$8),ISNUMBER('Council Entry'!AO$9)),MAX(MIN('Council Entry'!AO91,'Council Entry'!AO$9),'Council Entry'!AO$8),'Council Entry'!AO91))))-'Council Entry'!AO$5)/('Council Entry'!AO$6-'Council Entry'!AO$5)),1))),"No data"))</f>
        <v/>
      </c>
      <c r="AP91" s="13">
        <f>IF('Council Entry'!AP91="","",IFERROR(MAX(0,MIN(10,ROUND(IF('Council Entry'!AP$7="Decrease Risk",10-10*((IF('Council Entry'!AP$4="Logarithm",LN(0.001+IF(AND(ISNUMBER('Council Entry'!AP$8),ISNUMBER('Council Entry'!AP$9)),MAX(MIN('Council Entry'!AP91,'Council Entry'!AP$9),'Council Entry'!AP$8),'Council Entry'!AP91)),IF('Council Entry'!AP$4="Exponential",EXP(IF(AND(ISNUMBER('Council Entry'!AP$8),ISNUMBER('Council Entry'!AP$9)),MAX(MIN('Council Entry'!AP91,'Council Entry'!AP$9),'Council Entry'!AP$8),'Council Entry'!AP91)),IF(AND(ISNUMBER('Council Entry'!AP$8),ISNUMBER('Council Entry'!AP$9)),MAX(MIN('Council Entry'!AP91,'Council Entry'!AP$9),'Council Entry'!AP$8),'Council Entry'!AP91))))-'Council Entry'!AP$5)/('Council Entry'!AP$6-'Council Entry'!AP$5),10*((IF('Council Entry'!AP$4="Logarithm",LN(0.001+IF(AND(ISNUMBER('Council Entry'!AP$8),ISNUMBER('Council Entry'!AP$9)),MAX(MIN('Council Entry'!AP91,'Council Entry'!AP$9),'Council Entry'!AP$8),'Council Entry'!AP91)),IF('Council Entry'!AP$4="Exponential",EXP(IF(AND(ISNUMBER('Council Entry'!AP$8),ISNUMBER('Council Entry'!AP$9)),MAX(MIN('Council Entry'!AP91,'Council Entry'!AP$9),'Council Entry'!AP$8),'Council Entry'!AP91)),IF(AND(ISNUMBER('Council Entry'!AP$8),ISNUMBER('Council Entry'!AP$9)),MAX(MIN('Council Entry'!AP91,'Council Entry'!AP$9),'Council Entry'!AP$8),'Council Entry'!AP91))))-'Council Entry'!AP$5)/('Council Entry'!AP$6-'Council Entry'!AP$5)),1))),"No data"))</f>
        <v/>
      </c>
      <c r="AQ91" s="13">
        <f>IF('Council Entry'!AQ91="","",IFERROR(MAX(0,MIN(10,ROUND(IF('Council Entry'!AQ$7="Decrease Risk",10-10*((IF('Council Entry'!AQ$4="Logarithm",LN(0.001+IF(AND(ISNUMBER('Council Entry'!AQ$8),ISNUMBER('Council Entry'!AQ$9)),MAX(MIN('Council Entry'!AQ91,'Council Entry'!AQ$9),'Council Entry'!AQ$8),'Council Entry'!AQ91)),IF('Council Entry'!AQ$4="Exponential",EXP(IF(AND(ISNUMBER('Council Entry'!AQ$8),ISNUMBER('Council Entry'!AQ$9)),MAX(MIN('Council Entry'!AQ91,'Council Entry'!AQ$9),'Council Entry'!AQ$8),'Council Entry'!AQ91)),IF(AND(ISNUMBER('Council Entry'!AQ$8),ISNUMBER('Council Entry'!AQ$9)),MAX(MIN('Council Entry'!AQ91,'Council Entry'!AQ$9),'Council Entry'!AQ$8),'Council Entry'!AQ91))))-'Council Entry'!AQ$5)/('Council Entry'!AQ$6-'Council Entry'!AQ$5),10*((IF('Council Entry'!AQ$4="Logarithm",LN(0.001+IF(AND(ISNUMBER('Council Entry'!AQ$8),ISNUMBER('Council Entry'!AQ$9)),MAX(MIN('Council Entry'!AQ91,'Council Entry'!AQ$9),'Council Entry'!AQ$8),'Council Entry'!AQ91)),IF('Council Entry'!AQ$4="Exponential",EXP(IF(AND(ISNUMBER('Council Entry'!AQ$8),ISNUMBER('Council Entry'!AQ$9)),MAX(MIN('Council Entry'!AQ91,'Council Entry'!AQ$9),'Council Entry'!AQ$8),'Council Entry'!AQ91)),IF(AND(ISNUMBER('Council Entry'!AQ$8),ISNUMBER('Council Entry'!AQ$9)),MAX(MIN('Council Entry'!AQ91,'Council Entry'!AQ$9),'Council Entry'!AQ$8),'Council Entry'!AQ91))))-'Council Entry'!AQ$5)/('Council Entry'!AQ$6-'Council Entry'!AQ$5)),1))),"No data"))</f>
        <v/>
      </c>
      <c r="AR91" s="13">
        <f>IF('Council Entry'!AR91="","",IFERROR(MAX(0,MIN(10,ROUND(IF('Council Entry'!AR$7="Decrease Risk",10-10*((IF('Council Entry'!AR$4="Logarithm",LN(0.001+IF(AND(ISNUMBER('Council Entry'!AR$8),ISNUMBER('Council Entry'!AR$9)),MAX(MIN('Council Entry'!AR91,'Council Entry'!AR$9),'Council Entry'!AR$8),'Council Entry'!AR91)),IF('Council Entry'!AR$4="Exponential",EXP(IF(AND(ISNUMBER('Council Entry'!AR$8),ISNUMBER('Council Entry'!AR$9)),MAX(MIN('Council Entry'!AR91,'Council Entry'!AR$9),'Council Entry'!AR$8),'Council Entry'!AR91)),IF(AND(ISNUMBER('Council Entry'!AR$8),ISNUMBER('Council Entry'!AR$9)),MAX(MIN('Council Entry'!AR91,'Council Entry'!AR$9),'Council Entry'!AR$8),'Council Entry'!AR91))))-'Council Entry'!AR$5)/('Council Entry'!AR$6-'Council Entry'!AR$5),10*((IF('Council Entry'!AR$4="Logarithm",LN(0.001+IF(AND(ISNUMBER('Council Entry'!AR$8),ISNUMBER('Council Entry'!AR$9)),MAX(MIN('Council Entry'!AR91,'Council Entry'!AR$9),'Council Entry'!AR$8),'Council Entry'!AR91)),IF('Council Entry'!AR$4="Exponential",EXP(IF(AND(ISNUMBER('Council Entry'!AR$8),ISNUMBER('Council Entry'!AR$9)),MAX(MIN('Council Entry'!AR91,'Council Entry'!AR$9),'Council Entry'!AR$8),'Council Entry'!AR91)),IF(AND(ISNUMBER('Council Entry'!AR$8),ISNUMBER('Council Entry'!AR$9)),MAX(MIN('Council Entry'!AR91,'Council Entry'!AR$9),'Council Entry'!AR$8),'Council Entry'!AR91))))-'Council Entry'!AR$5)/('Council Entry'!AR$6-'Council Entry'!AR$5)),1))),"No data"))</f>
        <v/>
      </c>
      <c r="AS91" s="13">
        <f>IF('Council Entry'!AS91="","",IFERROR(MAX(0,MIN(10,ROUND(IF('Council Entry'!AS$7="Decrease Risk",10-10*((IF('Council Entry'!AS$4="Logarithm",LN(0.001+IF(AND(ISNUMBER('Council Entry'!AS$8),ISNUMBER('Council Entry'!AS$9)),MAX(MIN('Council Entry'!AS91,'Council Entry'!AS$9),'Council Entry'!AS$8),'Council Entry'!AS91)),IF('Council Entry'!AS$4="Exponential",EXP(IF(AND(ISNUMBER('Council Entry'!AS$8),ISNUMBER('Council Entry'!AS$9)),MAX(MIN('Council Entry'!AS91,'Council Entry'!AS$9),'Council Entry'!AS$8),'Council Entry'!AS91)),IF(AND(ISNUMBER('Council Entry'!AS$8),ISNUMBER('Council Entry'!AS$9)),MAX(MIN('Council Entry'!AS91,'Council Entry'!AS$9),'Council Entry'!AS$8),'Council Entry'!AS91))))-'Council Entry'!AS$5)/('Council Entry'!AS$6-'Council Entry'!AS$5),10*((IF('Council Entry'!AS$4="Logarithm",LN(0.001+IF(AND(ISNUMBER('Council Entry'!AS$8),ISNUMBER('Council Entry'!AS$9)),MAX(MIN('Council Entry'!AS91,'Council Entry'!AS$9),'Council Entry'!AS$8),'Council Entry'!AS91)),IF('Council Entry'!AS$4="Exponential",EXP(IF(AND(ISNUMBER('Council Entry'!AS$8),ISNUMBER('Council Entry'!AS$9)),MAX(MIN('Council Entry'!AS91,'Council Entry'!AS$9),'Council Entry'!AS$8),'Council Entry'!AS91)),IF(AND(ISNUMBER('Council Entry'!AS$8),ISNUMBER('Council Entry'!AS$9)),MAX(MIN('Council Entry'!AS91,'Council Entry'!AS$9),'Council Entry'!AS$8),'Council Entry'!AS91))))-'Council Entry'!AS$5)/('Council Entry'!AS$6-'Council Entry'!AS$5)),1))),"No data"))</f>
        <v/>
      </c>
      <c r="AT91" s="13">
        <f>IF('Council Entry'!AT91="","",IFERROR(MAX(0,MIN(10,ROUND(IF('Council Entry'!AT$7="Decrease Risk",10-10*((IF('Council Entry'!AT$4="Logarithm",LN(0.001+IF(AND(ISNUMBER('Council Entry'!AT$8),ISNUMBER('Council Entry'!AT$9)),MAX(MIN('Council Entry'!AT91,'Council Entry'!AT$9),'Council Entry'!AT$8),'Council Entry'!AT91)),IF('Council Entry'!AT$4="Exponential",EXP(IF(AND(ISNUMBER('Council Entry'!AT$8),ISNUMBER('Council Entry'!AT$9)),MAX(MIN('Council Entry'!AT91,'Council Entry'!AT$9),'Council Entry'!AT$8),'Council Entry'!AT91)),IF(AND(ISNUMBER('Council Entry'!AT$8),ISNUMBER('Council Entry'!AT$9)),MAX(MIN('Council Entry'!AT91,'Council Entry'!AT$9),'Council Entry'!AT$8),'Council Entry'!AT91))))-'Council Entry'!AT$5)/('Council Entry'!AT$6-'Council Entry'!AT$5),10*((IF('Council Entry'!AT$4="Logarithm",LN(0.001+IF(AND(ISNUMBER('Council Entry'!AT$8),ISNUMBER('Council Entry'!AT$9)),MAX(MIN('Council Entry'!AT91,'Council Entry'!AT$9),'Council Entry'!AT$8),'Council Entry'!AT91)),IF('Council Entry'!AT$4="Exponential",EXP(IF(AND(ISNUMBER('Council Entry'!AT$8),ISNUMBER('Council Entry'!AT$9)),MAX(MIN('Council Entry'!AT91,'Council Entry'!AT$9),'Council Entry'!AT$8),'Council Entry'!AT91)),IF(AND(ISNUMBER('Council Entry'!AT$8),ISNUMBER('Council Entry'!AT$9)),MAX(MIN('Council Entry'!AT91,'Council Entry'!AT$9),'Council Entry'!AT$8),'Council Entry'!AT91))))-'Council Entry'!AT$5)/('Council Entry'!AT$6-'Council Entry'!AT$5)),1))),"No data"))</f>
        <v/>
      </c>
      <c r="AU91" s="13">
        <f>IF('Council Entry'!AU91="","",IFERROR(MAX(0,MIN(10,ROUND(IF('Council Entry'!AU$7="Decrease Risk",10-10*((IF('Council Entry'!AU$4="Logarithm",LN(0.001+IF(AND(ISNUMBER('Council Entry'!AU$8),ISNUMBER('Council Entry'!AU$9)),MAX(MIN('Council Entry'!AU91,'Council Entry'!AU$9),'Council Entry'!AU$8),'Council Entry'!AU91)),IF('Council Entry'!AU$4="Exponential",EXP(IF(AND(ISNUMBER('Council Entry'!AU$8),ISNUMBER('Council Entry'!AU$9)),MAX(MIN('Council Entry'!AU91,'Council Entry'!AU$9),'Council Entry'!AU$8),'Council Entry'!AU91)),IF(AND(ISNUMBER('Council Entry'!AU$8),ISNUMBER('Council Entry'!AU$9)),MAX(MIN('Council Entry'!AU91,'Council Entry'!AU$9),'Council Entry'!AU$8),'Council Entry'!AU91))))-'Council Entry'!AU$5)/('Council Entry'!AU$6-'Council Entry'!AU$5),10*((IF('Council Entry'!AU$4="Logarithm",LN(0.001+IF(AND(ISNUMBER('Council Entry'!AU$8),ISNUMBER('Council Entry'!AU$9)),MAX(MIN('Council Entry'!AU91,'Council Entry'!AU$9),'Council Entry'!AU$8),'Council Entry'!AU91)),IF('Council Entry'!AU$4="Exponential",EXP(IF(AND(ISNUMBER('Council Entry'!AU$8),ISNUMBER('Council Entry'!AU$9)),MAX(MIN('Council Entry'!AU91,'Council Entry'!AU$9),'Council Entry'!AU$8),'Council Entry'!AU91)),IF(AND(ISNUMBER('Council Entry'!AU$8),ISNUMBER('Council Entry'!AU$9)),MAX(MIN('Council Entry'!AU91,'Council Entry'!AU$9),'Council Entry'!AU$8),'Council Entry'!AU91))))-'Council Entry'!AU$5)/('Council Entry'!AU$6-'Council Entry'!AU$5)),1))),"No data"))</f>
        <v/>
      </c>
      <c r="AV91" s="13">
        <f>IF('Council Entry'!AV91="","",IFERROR(MAX(0,MIN(10,ROUND(IF('Council Entry'!AV$7="Decrease Risk",10-10*((IF('Council Entry'!AV$4="Logarithm",LN(0.001+IF(AND(ISNUMBER('Council Entry'!AV$8),ISNUMBER('Council Entry'!AV$9)),MAX(MIN('Council Entry'!AV91,'Council Entry'!AV$9),'Council Entry'!AV$8),'Council Entry'!AV91)),IF('Council Entry'!AV$4="Exponential",EXP(IF(AND(ISNUMBER('Council Entry'!AV$8),ISNUMBER('Council Entry'!AV$9)),MAX(MIN('Council Entry'!AV91,'Council Entry'!AV$9),'Council Entry'!AV$8),'Council Entry'!AV91)),IF(AND(ISNUMBER('Council Entry'!AV$8),ISNUMBER('Council Entry'!AV$9)),MAX(MIN('Council Entry'!AV91,'Council Entry'!AV$9),'Council Entry'!AV$8),'Council Entry'!AV91))))-'Council Entry'!AV$5)/('Council Entry'!AV$6-'Council Entry'!AV$5),10*((IF('Council Entry'!AV$4="Logarithm",LN(0.001+IF(AND(ISNUMBER('Council Entry'!AV$8),ISNUMBER('Council Entry'!AV$9)),MAX(MIN('Council Entry'!AV91,'Council Entry'!AV$9),'Council Entry'!AV$8),'Council Entry'!AV91)),IF('Council Entry'!AV$4="Exponential",EXP(IF(AND(ISNUMBER('Council Entry'!AV$8),ISNUMBER('Council Entry'!AV$9)),MAX(MIN('Council Entry'!AV91,'Council Entry'!AV$9),'Council Entry'!AV$8),'Council Entry'!AV91)),IF(AND(ISNUMBER('Council Entry'!AV$8),ISNUMBER('Council Entry'!AV$9)),MAX(MIN('Council Entry'!AV91,'Council Entry'!AV$9),'Council Entry'!AV$8),'Council Entry'!AV91))))-'Council Entry'!AV$5)/('Council Entry'!AV$6-'Council Entry'!AV$5)),1))),"No data"))</f>
        <v/>
      </c>
      <c r="AW91" s="13">
        <f>IF('Council Entry'!AW91="","",IFERROR(MAX(0,MIN(10,ROUND(IF('Council Entry'!AW$7="Decrease Risk",10-10*((IF('Council Entry'!AW$4="Logarithm",LN(0.001+IF(AND(ISNUMBER('Council Entry'!AW$8),ISNUMBER('Council Entry'!AW$9)),MAX(MIN('Council Entry'!AW91,'Council Entry'!AW$9),'Council Entry'!AW$8),'Council Entry'!AW91)),IF('Council Entry'!AW$4="Exponential",EXP(IF(AND(ISNUMBER('Council Entry'!AW$8),ISNUMBER('Council Entry'!AW$9)),MAX(MIN('Council Entry'!AW91,'Council Entry'!AW$9),'Council Entry'!AW$8),'Council Entry'!AW91)),IF(AND(ISNUMBER('Council Entry'!AW$8),ISNUMBER('Council Entry'!AW$9)),MAX(MIN('Council Entry'!AW91,'Council Entry'!AW$9),'Council Entry'!AW$8),'Council Entry'!AW91))))-'Council Entry'!AW$5)/('Council Entry'!AW$6-'Council Entry'!AW$5),10*((IF('Council Entry'!AW$4="Logarithm",LN(0.001+IF(AND(ISNUMBER('Council Entry'!AW$8),ISNUMBER('Council Entry'!AW$9)),MAX(MIN('Council Entry'!AW91,'Council Entry'!AW$9),'Council Entry'!AW$8),'Council Entry'!AW91)),IF('Council Entry'!AW$4="Exponential",EXP(IF(AND(ISNUMBER('Council Entry'!AW$8),ISNUMBER('Council Entry'!AW$9)),MAX(MIN('Council Entry'!AW91,'Council Entry'!AW$9),'Council Entry'!AW$8),'Council Entry'!AW91)),IF(AND(ISNUMBER('Council Entry'!AW$8),ISNUMBER('Council Entry'!AW$9)),MAX(MIN('Council Entry'!AW91,'Council Entry'!AW$9),'Council Entry'!AW$8),'Council Entry'!AW91))))-'Council Entry'!AW$5)/('Council Entry'!AW$6-'Council Entry'!AW$5)),1))),"No data"))</f>
        <v/>
      </c>
      <c r="AX91" s="13">
        <f>IF('Council Entry'!AX91="","",IFERROR(MAX(0,MIN(10,ROUND(IF('Council Entry'!AX$7="Decrease Risk",10-10*((IF('Council Entry'!AX$4="Logarithm",LN(0.001+IF(AND(ISNUMBER('Council Entry'!AX$8),ISNUMBER('Council Entry'!AX$9)),MAX(MIN('Council Entry'!AX91,'Council Entry'!AX$9),'Council Entry'!AX$8),'Council Entry'!AX91)),IF('Council Entry'!AX$4="Exponential",EXP(IF(AND(ISNUMBER('Council Entry'!AX$8),ISNUMBER('Council Entry'!AX$9)),MAX(MIN('Council Entry'!AX91,'Council Entry'!AX$9),'Council Entry'!AX$8),'Council Entry'!AX91)),IF(AND(ISNUMBER('Council Entry'!AX$8),ISNUMBER('Council Entry'!AX$9)),MAX(MIN('Council Entry'!AX91,'Council Entry'!AX$9),'Council Entry'!AX$8),'Council Entry'!AX91))))-'Council Entry'!AX$5)/('Council Entry'!AX$6-'Council Entry'!AX$5),10*((IF('Council Entry'!AX$4="Logarithm",LN(0.001+IF(AND(ISNUMBER('Council Entry'!AX$8),ISNUMBER('Council Entry'!AX$9)),MAX(MIN('Council Entry'!AX91,'Council Entry'!AX$9),'Council Entry'!AX$8),'Council Entry'!AX91)),IF('Council Entry'!AX$4="Exponential",EXP(IF(AND(ISNUMBER('Council Entry'!AX$8),ISNUMBER('Council Entry'!AX$9)),MAX(MIN('Council Entry'!AX91,'Council Entry'!AX$9),'Council Entry'!AX$8),'Council Entry'!AX91)),IF(AND(ISNUMBER('Council Entry'!AX$8),ISNUMBER('Council Entry'!AX$9)),MAX(MIN('Council Entry'!AX91,'Council Entry'!AX$9),'Council Entry'!AX$8),'Council Entry'!AX91))))-'Council Entry'!AX$5)/('Council Entry'!AX$6-'Council Entry'!AX$5)),1))),"No data"))</f>
        <v/>
      </c>
      <c r="AY91" s="13">
        <f>IF('Council Entry'!AY91="","",IFERROR(MAX(0,MIN(10,ROUND(IF('Council Entry'!AY$7="Decrease Risk",10-10*((IF('Council Entry'!AY$4="Logarithm",LN(0.001+IF(AND(ISNUMBER('Council Entry'!AY$8),ISNUMBER('Council Entry'!AY$9)),MAX(MIN('Council Entry'!AY91,'Council Entry'!AY$9),'Council Entry'!AY$8),'Council Entry'!AY91)),IF('Council Entry'!AY$4="Exponential",EXP(IF(AND(ISNUMBER('Council Entry'!AY$8),ISNUMBER('Council Entry'!AY$9)),MAX(MIN('Council Entry'!AY91,'Council Entry'!AY$9),'Council Entry'!AY$8),'Council Entry'!AY91)),IF(AND(ISNUMBER('Council Entry'!AY$8),ISNUMBER('Council Entry'!AY$9)),MAX(MIN('Council Entry'!AY91,'Council Entry'!AY$9),'Council Entry'!AY$8),'Council Entry'!AY91))))-'Council Entry'!AY$5)/('Council Entry'!AY$6-'Council Entry'!AY$5),10*((IF('Council Entry'!AY$4="Logarithm",LN(0.001+IF(AND(ISNUMBER('Council Entry'!AY$8),ISNUMBER('Council Entry'!AY$9)),MAX(MIN('Council Entry'!AY91,'Council Entry'!AY$9),'Council Entry'!AY$8),'Council Entry'!AY91)),IF('Council Entry'!AY$4="Exponential",EXP(IF(AND(ISNUMBER('Council Entry'!AY$8),ISNUMBER('Council Entry'!AY$9)),MAX(MIN('Council Entry'!AY91,'Council Entry'!AY$9),'Council Entry'!AY$8),'Council Entry'!AY91)),IF(AND(ISNUMBER('Council Entry'!AY$8),ISNUMBER('Council Entry'!AY$9)),MAX(MIN('Council Entry'!AY91,'Council Entry'!AY$9),'Council Entry'!AY$8),'Council Entry'!AY91))))-'Council Entry'!AY$5)/('Council Entry'!AY$6-'Council Entry'!AY$5)),1))),"No data"))</f>
        <v/>
      </c>
      <c r="AZ91" s="13">
        <f>IF('Council Entry'!AZ91="","",IFERROR(MAX(0,MIN(10,ROUND(IF('Council Entry'!AZ$7="Decrease Risk",10-10*((IF('Council Entry'!AZ$4="Logarithm",LN(0.001+IF(AND(ISNUMBER('Council Entry'!AZ$8),ISNUMBER('Council Entry'!AZ$9)),MAX(MIN('Council Entry'!AZ91,'Council Entry'!AZ$9),'Council Entry'!AZ$8),'Council Entry'!AZ91)),IF('Council Entry'!AZ$4="Exponential",EXP(IF(AND(ISNUMBER('Council Entry'!AZ$8),ISNUMBER('Council Entry'!AZ$9)),MAX(MIN('Council Entry'!AZ91,'Council Entry'!AZ$9),'Council Entry'!AZ$8),'Council Entry'!AZ91)),IF(AND(ISNUMBER('Council Entry'!AZ$8),ISNUMBER('Council Entry'!AZ$9)),MAX(MIN('Council Entry'!AZ91,'Council Entry'!AZ$9),'Council Entry'!AZ$8),'Council Entry'!AZ91))))-'Council Entry'!AZ$5)/('Council Entry'!AZ$6-'Council Entry'!AZ$5),10*((IF('Council Entry'!AZ$4="Logarithm",LN(0.001+IF(AND(ISNUMBER('Council Entry'!AZ$8),ISNUMBER('Council Entry'!AZ$9)),MAX(MIN('Council Entry'!AZ91,'Council Entry'!AZ$9),'Council Entry'!AZ$8),'Council Entry'!AZ91)),IF('Council Entry'!AZ$4="Exponential",EXP(IF(AND(ISNUMBER('Council Entry'!AZ$8),ISNUMBER('Council Entry'!AZ$9)),MAX(MIN('Council Entry'!AZ91,'Council Entry'!AZ$9),'Council Entry'!AZ$8),'Council Entry'!AZ91)),IF(AND(ISNUMBER('Council Entry'!AZ$8),ISNUMBER('Council Entry'!AZ$9)),MAX(MIN('Council Entry'!AZ91,'Council Entry'!AZ$9),'Council Entry'!AZ$8),'Council Entry'!AZ91))))-'Council Entry'!AZ$5)/('Council Entry'!AZ$6-'Council Entry'!AZ$5)),1))),"No data"))</f>
        <v/>
      </c>
      <c r="BA91" s="13">
        <f>IF('Council Entry'!BA91="","",IFERROR(MAX(0,MIN(10,ROUND(IF('Council Entry'!BA$7="Decrease Risk",10-10*((IF('Council Entry'!BA$4="Logarithm",LN(0.001+IF(AND(ISNUMBER('Council Entry'!BA$8),ISNUMBER('Council Entry'!BA$9)),MAX(MIN('Council Entry'!BA91,'Council Entry'!BA$9),'Council Entry'!BA$8),'Council Entry'!BA91)),IF('Council Entry'!BA$4="Exponential",EXP(IF(AND(ISNUMBER('Council Entry'!BA$8),ISNUMBER('Council Entry'!BA$9)),MAX(MIN('Council Entry'!BA91,'Council Entry'!BA$9),'Council Entry'!BA$8),'Council Entry'!BA91)),IF(AND(ISNUMBER('Council Entry'!BA$8),ISNUMBER('Council Entry'!BA$9)),MAX(MIN('Council Entry'!BA91,'Council Entry'!BA$9),'Council Entry'!BA$8),'Council Entry'!BA91))))-'Council Entry'!BA$5)/('Council Entry'!BA$6-'Council Entry'!BA$5),10*((IF('Council Entry'!BA$4="Logarithm",LN(0.001+IF(AND(ISNUMBER('Council Entry'!BA$8),ISNUMBER('Council Entry'!BA$9)),MAX(MIN('Council Entry'!BA91,'Council Entry'!BA$9),'Council Entry'!BA$8),'Council Entry'!BA91)),IF('Council Entry'!BA$4="Exponential",EXP(IF(AND(ISNUMBER('Council Entry'!BA$8),ISNUMBER('Council Entry'!BA$9)),MAX(MIN('Council Entry'!BA91,'Council Entry'!BA$9),'Council Entry'!BA$8),'Council Entry'!BA91)),IF(AND(ISNUMBER('Council Entry'!BA$8),ISNUMBER('Council Entry'!BA$9)),MAX(MIN('Council Entry'!BA91,'Council Entry'!BA$9),'Council Entry'!BA$8),'Council Entry'!BA91))))-'Council Entry'!BA$5)/('Council Entry'!BA$6-'Council Entry'!BA$5)),1))),"No data"))</f>
        <v/>
      </c>
      <c r="BB91" s="13">
        <f>IF('Council Entry'!BB91="","",IFERROR(MAX(0,MIN(10,ROUND(IF('Council Entry'!BB$7="Decrease Risk",10-10*((IF('Council Entry'!BB$4="Logarithm",LN(0.001+IF(AND(ISNUMBER('Council Entry'!BB$8),ISNUMBER('Council Entry'!BB$9)),MAX(MIN('Council Entry'!BB91,'Council Entry'!BB$9),'Council Entry'!BB$8),'Council Entry'!BB91)),IF('Council Entry'!BB$4="Exponential",EXP(IF(AND(ISNUMBER('Council Entry'!BB$8),ISNUMBER('Council Entry'!BB$9)),MAX(MIN('Council Entry'!BB91,'Council Entry'!BB$9),'Council Entry'!BB$8),'Council Entry'!BB91)),IF(AND(ISNUMBER('Council Entry'!BB$8),ISNUMBER('Council Entry'!BB$9)),MAX(MIN('Council Entry'!BB91,'Council Entry'!BB$9),'Council Entry'!BB$8),'Council Entry'!BB91))))-'Council Entry'!BB$5)/('Council Entry'!BB$6-'Council Entry'!BB$5),10*((IF('Council Entry'!BB$4="Logarithm",LN(0.001+IF(AND(ISNUMBER('Council Entry'!BB$8),ISNUMBER('Council Entry'!BB$9)),MAX(MIN('Council Entry'!BB91,'Council Entry'!BB$9),'Council Entry'!BB$8),'Council Entry'!BB91)),IF('Council Entry'!BB$4="Exponential",EXP(IF(AND(ISNUMBER('Council Entry'!BB$8),ISNUMBER('Council Entry'!BB$9)),MAX(MIN('Council Entry'!BB91,'Council Entry'!BB$9),'Council Entry'!BB$8),'Council Entry'!BB91)),IF(AND(ISNUMBER('Council Entry'!BB$8),ISNUMBER('Council Entry'!BB$9)),MAX(MIN('Council Entry'!BB91,'Council Entry'!BB$9),'Council Entry'!BB$8),'Council Entry'!BB91))))-'Council Entry'!BB$5)/('Council Entry'!BB$6-'Council Entry'!BB$5)),1))),"No data"))</f>
        <v/>
      </c>
      <c r="BC91" s="13">
        <f>IF('Council Entry'!BC91="","",IFERROR(MAX(0,MIN(10,ROUND(IF('Council Entry'!BC$7="Decrease Risk",10-10*((IF('Council Entry'!BC$4="Logarithm",LN(0.001+IF(AND(ISNUMBER('Council Entry'!BC$8),ISNUMBER('Council Entry'!BC$9)),MAX(MIN('Council Entry'!BC91,'Council Entry'!BC$9),'Council Entry'!BC$8),'Council Entry'!BC91)),IF('Council Entry'!BC$4="Exponential",EXP(IF(AND(ISNUMBER('Council Entry'!BC$8),ISNUMBER('Council Entry'!BC$9)),MAX(MIN('Council Entry'!BC91,'Council Entry'!BC$9),'Council Entry'!BC$8),'Council Entry'!BC91)),IF(AND(ISNUMBER('Council Entry'!BC$8),ISNUMBER('Council Entry'!BC$9)),MAX(MIN('Council Entry'!BC91,'Council Entry'!BC$9),'Council Entry'!BC$8),'Council Entry'!BC91))))-'Council Entry'!BC$5)/('Council Entry'!BC$6-'Council Entry'!BC$5),10*((IF('Council Entry'!BC$4="Logarithm",LN(0.001+IF(AND(ISNUMBER('Council Entry'!BC$8),ISNUMBER('Council Entry'!BC$9)),MAX(MIN('Council Entry'!BC91,'Council Entry'!BC$9),'Council Entry'!BC$8),'Council Entry'!BC91)),IF('Council Entry'!BC$4="Exponential",EXP(IF(AND(ISNUMBER('Council Entry'!BC$8),ISNUMBER('Council Entry'!BC$9)),MAX(MIN('Council Entry'!BC91,'Council Entry'!BC$9),'Council Entry'!BC$8),'Council Entry'!BC91)),IF(AND(ISNUMBER('Council Entry'!BC$8),ISNUMBER('Council Entry'!BC$9)),MAX(MIN('Council Entry'!BC91,'Council Entry'!BC$9),'Council Entry'!BC$8),'Council Entry'!BC91))))-'Council Entry'!BC$5)/('Council Entry'!BC$6-'Council Entry'!BC$5)),1))),"No data"))</f>
        <v/>
      </c>
      <c r="BD91" s="13">
        <f>IF('Council Entry'!BD91="","",IFERROR(MAX(0,MIN(10,ROUND(IF('Council Entry'!BD$7="Decrease Risk",10-10*((IF('Council Entry'!BD$4="Logarithm",LN(0.001+IF(AND(ISNUMBER('Council Entry'!BD$8),ISNUMBER('Council Entry'!BD$9)),MAX(MIN('Council Entry'!BD91,'Council Entry'!BD$9),'Council Entry'!BD$8),'Council Entry'!BD91)),IF('Council Entry'!BD$4="Exponential",EXP(IF(AND(ISNUMBER('Council Entry'!BD$8),ISNUMBER('Council Entry'!BD$9)),MAX(MIN('Council Entry'!BD91,'Council Entry'!BD$9),'Council Entry'!BD$8),'Council Entry'!BD91)),IF(AND(ISNUMBER('Council Entry'!BD$8),ISNUMBER('Council Entry'!BD$9)),MAX(MIN('Council Entry'!BD91,'Council Entry'!BD$9),'Council Entry'!BD$8),'Council Entry'!BD91))))-'Council Entry'!BD$5)/('Council Entry'!BD$6-'Council Entry'!BD$5),10*((IF('Council Entry'!BD$4="Logarithm",LN(0.001+IF(AND(ISNUMBER('Council Entry'!BD$8),ISNUMBER('Council Entry'!BD$9)),MAX(MIN('Council Entry'!BD91,'Council Entry'!BD$9),'Council Entry'!BD$8),'Council Entry'!BD91)),IF('Council Entry'!BD$4="Exponential",EXP(IF(AND(ISNUMBER('Council Entry'!BD$8),ISNUMBER('Council Entry'!BD$9)),MAX(MIN('Council Entry'!BD91,'Council Entry'!BD$9),'Council Entry'!BD$8),'Council Entry'!BD91)),IF(AND(ISNUMBER('Council Entry'!BD$8),ISNUMBER('Council Entry'!BD$9)),MAX(MIN('Council Entry'!BD91,'Council Entry'!BD$9),'Council Entry'!BD$8),'Council Entry'!BD91))))-'Council Entry'!BD$5)/('Council Entry'!BD$6-'Council Entry'!BD$5)),1))),"No data"))</f>
        <v/>
      </c>
    </row>
    <row r="92">
      <c r="A92" t="inlineStr">
        <is>
          <t>Mara</t>
        </is>
      </c>
      <c r="B92" t="inlineStr">
        <is>
          <t>Bunda Town</t>
        </is>
      </c>
      <c r="C92" t="inlineStr">
        <is>
          <t>C147</t>
        </is>
      </c>
      <c r="D92" s="13">
        <f>IF('Council Entry'!D92="","",IFERROR(MAX(0,MIN(10,ROUND(IF('Council Entry'!D$7="Decrease Risk",10-10*((IF('Council Entry'!D$4="Logarithm",LN(0.001+IF(AND(ISNUMBER('Council Entry'!D$8),ISNUMBER('Council Entry'!D$9)),MAX(MIN('Council Entry'!D92,'Council Entry'!D$9),'Council Entry'!D$8),'Council Entry'!D92)),IF('Council Entry'!D$4="Exponential",EXP(IF(AND(ISNUMBER('Council Entry'!D$8),ISNUMBER('Council Entry'!D$9)),MAX(MIN('Council Entry'!D92,'Council Entry'!D$9),'Council Entry'!D$8),'Council Entry'!D92)),IF(AND(ISNUMBER('Council Entry'!D$8),ISNUMBER('Council Entry'!D$9)),MAX(MIN('Council Entry'!D92,'Council Entry'!D$9),'Council Entry'!D$8),'Council Entry'!D92))))-'Council Entry'!D$5)/('Council Entry'!D$6-'Council Entry'!D$5),10*((IF('Council Entry'!D$4="Logarithm",LN(0.001+IF(AND(ISNUMBER('Council Entry'!D$8),ISNUMBER('Council Entry'!D$9)),MAX(MIN('Council Entry'!D92,'Council Entry'!D$9),'Council Entry'!D$8),'Council Entry'!D92)),IF('Council Entry'!D$4="Exponential",EXP(IF(AND(ISNUMBER('Council Entry'!D$8),ISNUMBER('Council Entry'!D$9)),MAX(MIN('Council Entry'!D92,'Council Entry'!D$9),'Council Entry'!D$8),'Council Entry'!D92)),IF(AND(ISNUMBER('Council Entry'!D$8),ISNUMBER('Council Entry'!D$9)),MAX(MIN('Council Entry'!D92,'Council Entry'!D$9),'Council Entry'!D$8),'Council Entry'!D92))))-'Council Entry'!D$5)/('Council Entry'!D$6-'Council Entry'!D$5)),1))),"No data"))</f>
        <v/>
      </c>
      <c r="E92" s="13">
        <f>IF('Council Entry'!E92="","",IFERROR(MAX(0,MIN(10,ROUND(IF('Council Entry'!E$7="Decrease Risk",10-10*((IF('Council Entry'!E$4="Logarithm",LN(0.001+IF(AND(ISNUMBER('Council Entry'!E$8),ISNUMBER('Council Entry'!E$9)),MAX(MIN('Council Entry'!E92,'Council Entry'!E$9),'Council Entry'!E$8),'Council Entry'!E92)),IF('Council Entry'!E$4="Exponential",EXP(IF(AND(ISNUMBER('Council Entry'!E$8),ISNUMBER('Council Entry'!E$9)),MAX(MIN('Council Entry'!E92,'Council Entry'!E$9),'Council Entry'!E$8),'Council Entry'!E92)),IF(AND(ISNUMBER('Council Entry'!E$8),ISNUMBER('Council Entry'!E$9)),MAX(MIN('Council Entry'!E92,'Council Entry'!E$9),'Council Entry'!E$8),'Council Entry'!E92))))-'Council Entry'!E$5)/('Council Entry'!E$6-'Council Entry'!E$5),10*((IF('Council Entry'!E$4="Logarithm",LN(0.001+IF(AND(ISNUMBER('Council Entry'!E$8),ISNUMBER('Council Entry'!E$9)),MAX(MIN('Council Entry'!E92,'Council Entry'!E$9),'Council Entry'!E$8),'Council Entry'!E92)),IF('Council Entry'!E$4="Exponential",EXP(IF(AND(ISNUMBER('Council Entry'!E$8),ISNUMBER('Council Entry'!E$9)),MAX(MIN('Council Entry'!E92,'Council Entry'!E$9),'Council Entry'!E$8),'Council Entry'!E92)),IF(AND(ISNUMBER('Council Entry'!E$8),ISNUMBER('Council Entry'!E$9)),MAX(MIN('Council Entry'!E92,'Council Entry'!E$9),'Council Entry'!E$8),'Council Entry'!E92))))-'Council Entry'!E$5)/('Council Entry'!E$6-'Council Entry'!E$5)),1))),"No data"))</f>
        <v/>
      </c>
      <c r="F92" s="13">
        <f>IF('Council Entry'!F92="","",IFERROR(MAX(0,MIN(10,ROUND(IF('Council Entry'!F$7="Decrease Risk",10-10*((IF('Council Entry'!F$4="Logarithm",LN(0.001+IF(AND(ISNUMBER('Council Entry'!F$8),ISNUMBER('Council Entry'!F$9)),MAX(MIN('Council Entry'!F92,'Council Entry'!F$9),'Council Entry'!F$8),'Council Entry'!F92)),IF('Council Entry'!F$4="Exponential",EXP(IF(AND(ISNUMBER('Council Entry'!F$8),ISNUMBER('Council Entry'!F$9)),MAX(MIN('Council Entry'!F92,'Council Entry'!F$9),'Council Entry'!F$8),'Council Entry'!F92)),IF(AND(ISNUMBER('Council Entry'!F$8),ISNUMBER('Council Entry'!F$9)),MAX(MIN('Council Entry'!F92,'Council Entry'!F$9),'Council Entry'!F$8),'Council Entry'!F92))))-'Council Entry'!F$5)/('Council Entry'!F$6-'Council Entry'!F$5),10*((IF('Council Entry'!F$4="Logarithm",LN(0.001+IF(AND(ISNUMBER('Council Entry'!F$8),ISNUMBER('Council Entry'!F$9)),MAX(MIN('Council Entry'!F92,'Council Entry'!F$9),'Council Entry'!F$8),'Council Entry'!F92)),IF('Council Entry'!F$4="Exponential",EXP(IF(AND(ISNUMBER('Council Entry'!F$8),ISNUMBER('Council Entry'!F$9)),MAX(MIN('Council Entry'!F92,'Council Entry'!F$9),'Council Entry'!F$8),'Council Entry'!F92)),IF(AND(ISNUMBER('Council Entry'!F$8),ISNUMBER('Council Entry'!F$9)),MAX(MIN('Council Entry'!F92,'Council Entry'!F$9),'Council Entry'!F$8),'Council Entry'!F92))))-'Council Entry'!F$5)/('Council Entry'!F$6-'Council Entry'!F$5)),1))),"No data"))</f>
        <v/>
      </c>
      <c r="G92" s="13">
        <f>IF('Council Entry'!G92="","",IFERROR(MAX(0,MIN(10,ROUND(IF('Council Entry'!G$7="Decrease Risk",10-10*((IF('Council Entry'!G$4="Logarithm",LN(0.001+IF(AND(ISNUMBER('Council Entry'!G$8),ISNUMBER('Council Entry'!G$9)),MAX(MIN('Council Entry'!G92,'Council Entry'!G$9),'Council Entry'!G$8),'Council Entry'!G92)),IF('Council Entry'!G$4="Exponential",EXP(IF(AND(ISNUMBER('Council Entry'!G$8),ISNUMBER('Council Entry'!G$9)),MAX(MIN('Council Entry'!G92,'Council Entry'!G$9),'Council Entry'!G$8),'Council Entry'!G92)),IF(AND(ISNUMBER('Council Entry'!G$8),ISNUMBER('Council Entry'!G$9)),MAX(MIN('Council Entry'!G92,'Council Entry'!G$9),'Council Entry'!G$8),'Council Entry'!G92))))-'Council Entry'!G$5)/('Council Entry'!G$6-'Council Entry'!G$5),10*((IF('Council Entry'!G$4="Logarithm",LN(0.001+IF(AND(ISNUMBER('Council Entry'!G$8),ISNUMBER('Council Entry'!G$9)),MAX(MIN('Council Entry'!G92,'Council Entry'!G$9),'Council Entry'!G$8),'Council Entry'!G92)),IF('Council Entry'!G$4="Exponential",EXP(IF(AND(ISNUMBER('Council Entry'!G$8),ISNUMBER('Council Entry'!G$9)),MAX(MIN('Council Entry'!G92,'Council Entry'!G$9),'Council Entry'!G$8),'Council Entry'!G92)),IF(AND(ISNUMBER('Council Entry'!G$8),ISNUMBER('Council Entry'!G$9)),MAX(MIN('Council Entry'!G92,'Council Entry'!G$9),'Council Entry'!G$8),'Council Entry'!G92))))-'Council Entry'!G$5)/('Council Entry'!G$6-'Council Entry'!G$5)),1))),"No data"))</f>
        <v/>
      </c>
      <c r="H92" s="13">
        <f>IF('Council Entry'!H92="","",IFERROR(MAX(0,MIN(10,ROUND(IF('Council Entry'!H$7="Decrease Risk",10-10*((IF('Council Entry'!H$4="Logarithm",LN(0.001+IF(AND(ISNUMBER('Council Entry'!H$8),ISNUMBER('Council Entry'!H$9)),MAX(MIN('Council Entry'!H92,'Council Entry'!H$9),'Council Entry'!H$8),'Council Entry'!H92)),IF('Council Entry'!H$4="Exponential",EXP(IF(AND(ISNUMBER('Council Entry'!H$8),ISNUMBER('Council Entry'!H$9)),MAX(MIN('Council Entry'!H92,'Council Entry'!H$9),'Council Entry'!H$8),'Council Entry'!H92)),IF(AND(ISNUMBER('Council Entry'!H$8),ISNUMBER('Council Entry'!H$9)),MAX(MIN('Council Entry'!H92,'Council Entry'!H$9),'Council Entry'!H$8),'Council Entry'!H92))))-'Council Entry'!H$5)/('Council Entry'!H$6-'Council Entry'!H$5),10*((IF('Council Entry'!H$4="Logarithm",LN(0.001+IF(AND(ISNUMBER('Council Entry'!H$8),ISNUMBER('Council Entry'!H$9)),MAX(MIN('Council Entry'!H92,'Council Entry'!H$9),'Council Entry'!H$8),'Council Entry'!H92)),IF('Council Entry'!H$4="Exponential",EXP(IF(AND(ISNUMBER('Council Entry'!H$8),ISNUMBER('Council Entry'!H$9)),MAX(MIN('Council Entry'!H92,'Council Entry'!H$9),'Council Entry'!H$8),'Council Entry'!H92)),IF(AND(ISNUMBER('Council Entry'!H$8),ISNUMBER('Council Entry'!H$9)),MAX(MIN('Council Entry'!H92,'Council Entry'!H$9),'Council Entry'!H$8),'Council Entry'!H92))))-'Council Entry'!H$5)/('Council Entry'!H$6-'Council Entry'!H$5)),1))),"No data"))</f>
        <v/>
      </c>
      <c r="I92" s="13">
        <f>IF('Council Entry'!I92="","",IFERROR(MAX(0,MIN(10,ROUND(IF('Council Entry'!I$7="Decrease Risk",10-10*((IF('Council Entry'!I$4="Logarithm",LN(0.001+IF(AND(ISNUMBER('Council Entry'!I$8),ISNUMBER('Council Entry'!I$9)),MAX(MIN('Council Entry'!I92,'Council Entry'!I$9),'Council Entry'!I$8),'Council Entry'!I92)),IF('Council Entry'!I$4="Exponential",EXP(IF(AND(ISNUMBER('Council Entry'!I$8),ISNUMBER('Council Entry'!I$9)),MAX(MIN('Council Entry'!I92,'Council Entry'!I$9),'Council Entry'!I$8),'Council Entry'!I92)),IF(AND(ISNUMBER('Council Entry'!I$8),ISNUMBER('Council Entry'!I$9)),MAX(MIN('Council Entry'!I92,'Council Entry'!I$9),'Council Entry'!I$8),'Council Entry'!I92))))-'Council Entry'!I$5)/('Council Entry'!I$6-'Council Entry'!I$5),10*((IF('Council Entry'!I$4="Logarithm",LN(0.001+IF(AND(ISNUMBER('Council Entry'!I$8),ISNUMBER('Council Entry'!I$9)),MAX(MIN('Council Entry'!I92,'Council Entry'!I$9),'Council Entry'!I$8),'Council Entry'!I92)),IF('Council Entry'!I$4="Exponential",EXP(IF(AND(ISNUMBER('Council Entry'!I$8),ISNUMBER('Council Entry'!I$9)),MAX(MIN('Council Entry'!I92,'Council Entry'!I$9),'Council Entry'!I$8),'Council Entry'!I92)),IF(AND(ISNUMBER('Council Entry'!I$8),ISNUMBER('Council Entry'!I$9)),MAX(MIN('Council Entry'!I92,'Council Entry'!I$9),'Council Entry'!I$8),'Council Entry'!I92))))-'Council Entry'!I$5)/('Council Entry'!I$6-'Council Entry'!I$5)),1))),"No data"))</f>
        <v/>
      </c>
      <c r="J92" s="13">
        <f>IF('Council Entry'!J92="","",IFERROR(MAX(0,MIN(10,ROUND(IF('Council Entry'!J$7="Decrease Risk",10-10*((IF('Council Entry'!J$4="Logarithm",LN(0.001+IF(AND(ISNUMBER('Council Entry'!J$8),ISNUMBER('Council Entry'!J$9)),MAX(MIN('Council Entry'!J92,'Council Entry'!J$9),'Council Entry'!J$8),'Council Entry'!J92)),IF('Council Entry'!J$4="Exponential",EXP(IF(AND(ISNUMBER('Council Entry'!J$8),ISNUMBER('Council Entry'!J$9)),MAX(MIN('Council Entry'!J92,'Council Entry'!J$9),'Council Entry'!J$8),'Council Entry'!J92)),IF(AND(ISNUMBER('Council Entry'!J$8),ISNUMBER('Council Entry'!J$9)),MAX(MIN('Council Entry'!J92,'Council Entry'!J$9),'Council Entry'!J$8),'Council Entry'!J92))))-'Council Entry'!J$5)/('Council Entry'!J$6-'Council Entry'!J$5),10*((IF('Council Entry'!J$4="Logarithm",LN(0.001+IF(AND(ISNUMBER('Council Entry'!J$8),ISNUMBER('Council Entry'!J$9)),MAX(MIN('Council Entry'!J92,'Council Entry'!J$9),'Council Entry'!J$8),'Council Entry'!J92)),IF('Council Entry'!J$4="Exponential",EXP(IF(AND(ISNUMBER('Council Entry'!J$8),ISNUMBER('Council Entry'!J$9)),MAX(MIN('Council Entry'!J92,'Council Entry'!J$9),'Council Entry'!J$8),'Council Entry'!J92)),IF(AND(ISNUMBER('Council Entry'!J$8),ISNUMBER('Council Entry'!J$9)),MAX(MIN('Council Entry'!J92,'Council Entry'!J$9),'Council Entry'!J$8),'Council Entry'!J92))))-'Council Entry'!J$5)/('Council Entry'!J$6-'Council Entry'!J$5)),1))),"No data"))</f>
        <v/>
      </c>
      <c r="K92" s="13">
        <f>IF('Council Entry'!K92="","",IFERROR(MAX(0,MIN(10,ROUND(IF('Council Entry'!K$7="Decrease Risk",10-10*((IF('Council Entry'!K$4="Logarithm",LN(0.001+IF(AND(ISNUMBER('Council Entry'!K$8),ISNUMBER('Council Entry'!K$9)),MAX(MIN('Council Entry'!K92,'Council Entry'!K$9),'Council Entry'!K$8),'Council Entry'!K92)),IF('Council Entry'!K$4="Exponential",EXP(IF(AND(ISNUMBER('Council Entry'!K$8),ISNUMBER('Council Entry'!K$9)),MAX(MIN('Council Entry'!K92,'Council Entry'!K$9),'Council Entry'!K$8),'Council Entry'!K92)),IF(AND(ISNUMBER('Council Entry'!K$8),ISNUMBER('Council Entry'!K$9)),MAX(MIN('Council Entry'!K92,'Council Entry'!K$9),'Council Entry'!K$8),'Council Entry'!K92))))-'Council Entry'!K$5)/('Council Entry'!K$6-'Council Entry'!K$5),10*((IF('Council Entry'!K$4="Logarithm",LN(0.001+IF(AND(ISNUMBER('Council Entry'!K$8),ISNUMBER('Council Entry'!K$9)),MAX(MIN('Council Entry'!K92,'Council Entry'!K$9),'Council Entry'!K$8),'Council Entry'!K92)),IF('Council Entry'!K$4="Exponential",EXP(IF(AND(ISNUMBER('Council Entry'!K$8),ISNUMBER('Council Entry'!K$9)),MAX(MIN('Council Entry'!K92,'Council Entry'!K$9),'Council Entry'!K$8),'Council Entry'!K92)),IF(AND(ISNUMBER('Council Entry'!K$8),ISNUMBER('Council Entry'!K$9)),MAX(MIN('Council Entry'!K92,'Council Entry'!K$9),'Council Entry'!K$8),'Council Entry'!K92))))-'Council Entry'!K$5)/('Council Entry'!K$6-'Council Entry'!K$5)),1))),"No data"))</f>
        <v/>
      </c>
      <c r="L92" s="13">
        <f>IF('Council Entry'!L92="","",IFERROR(MAX(0,MIN(10,ROUND(IF('Council Entry'!L$7="Decrease Risk",10-10*((IF('Council Entry'!L$4="Logarithm",LN(0.001+IF(AND(ISNUMBER('Council Entry'!L$8),ISNUMBER('Council Entry'!L$9)),MAX(MIN('Council Entry'!L92,'Council Entry'!L$9),'Council Entry'!L$8),'Council Entry'!L92)),IF('Council Entry'!L$4="Exponential",EXP(IF(AND(ISNUMBER('Council Entry'!L$8),ISNUMBER('Council Entry'!L$9)),MAX(MIN('Council Entry'!L92,'Council Entry'!L$9),'Council Entry'!L$8),'Council Entry'!L92)),IF(AND(ISNUMBER('Council Entry'!L$8),ISNUMBER('Council Entry'!L$9)),MAX(MIN('Council Entry'!L92,'Council Entry'!L$9),'Council Entry'!L$8),'Council Entry'!L92))))-'Council Entry'!L$5)/('Council Entry'!L$6-'Council Entry'!L$5),10*((IF('Council Entry'!L$4="Logarithm",LN(0.001+IF(AND(ISNUMBER('Council Entry'!L$8),ISNUMBER('Council Entry'!L$9)),MAX(MIN('Council Entry'!L92,'Council Entry'!L$9),'Council Entry'!L$8),'Council Entry'!L92)),IF('Council Entry'!L$4="Exponential",EXP(IF(AND(ISNUMBER('Council Entry'!L$8),ISNUMBER('Council Entry'!L$9)),MAX(MIN('Council Entry'!L92,'Council Entry'!L$9),'Council Entry'!L$8),'Council Entry'!L92)),IF(AND(ISNUMBER('Council Entry'!L$8),ISNUMBER('Council Entry'!L$9)),MAX(MIN('Council Entry'!L92,'Council Entry'!L$9),'Council Entry'!L$8),'Council Entry'!L92))))-'Council Entry'!L$5)/('Council Entry'!L$6-'Council Entry'!L$5)),1))),"No data"))</f>
        <v/>
      </c>
      <c r="M92" s="13">
        <f>IF('Council Entry'!M92="","",IFERROR(MAX(0,MIN(10,ROUND(IF('Council Entry'!M$7="Decrease Risk",10-10*((IF('Council Entry'!M$4="Logarithm",LN(0.001+IF(AND(ISNUMBER('Council Entry'!M$8),ISNUMBER('Council Entry'!M$9)),MAX(MIN('Council Entry'!M92,'Council Entry'!M$9),'Council Entry'!M$8),'Council Entry'!M92)),IF('Council Entry'!M$4="Exponential",EXP(IF(AND(ISNUMBER('Council Entry'!M$8),ISNUMBER('Council Entry'!M$9)),MAX(MIN('Council Entry'!M92,'Council Entry'!M$9),'Council Entry'!M$8),'Council Entry'!M92)),IF(AND(ISNUMBER('Council Entry'!M$8),ISNUMBER('Council Entry'!M$9)),MAX(MIN('Council Entry'!M92,'Council Entry'!M$9),'Council Entry'!M$8),'Council Entry'!M92))))-'Council Entry'!M$5)/('Council Entry'!M$6-'Council Entry'!M$5),10*((IF('Council Entry'!M$4="Logarithm",LN(0.001+IF(AND(ISNUMBER('Council Entry'!M$8),ISNUMBER('Council Entry'!M$9)),MAX(MIN('Council Entry'!M92,'Council Entry'!M$9),'Council Entry'!M$8),'Council Entry'!M92)),IF('Council Entry'!M$4="Exponential",EXP(IF(AND(ISNUMBER('Council Entry'!M$8),ISNUMBER('Council Entry'!M$9)),MAX(MIN('Council Entry'!M92,'Council Entry'!M$9),'Council Entry'!M$8),'Council Entry'!M92)),IF(AND(ISNUMBER('Council Entry'!M$8),ISNUMBER('Council Entry'!M$9)),MAX(MIN('Council Entry'!M92,'Council Entry'!M$9),'Council Entry'!M$8),'Council Entry'!M92))))-'Council Entry'!M$5)/('Council Entry'!M$6-'Council Entry'!M$5)),1))),"No data"))</f>
        <v/>
      </c>
      <c r="N92" s="13">
        <f>IF('Council Entry'!N92="","",IFERROR(MAX(0,MIN(10,ROUND(IF('Council Entry'!N$7="Decrease Risk",10-10*((IF('Council Entry'!N$4="Logarithm",LN(0.001+IF(AND(ISNUMBER('Council Entry'!N$8),ISNUMBER('Council Entry'!N$9)),MAX(MIN('Council Entry'!N92,'Council Entry'!N$9),'Council Entry'!N$8),'Council Entry'!N92)),IF('Council Entry'!N$4="Exponential",EXP(IF(AND(ISNUMBER('Council Entry'!N$8),ISNUMBER('Council Entry'!N$9)),MAX(MIN('Council Entry'!N92,'Council Entry'!N$9),'Council Entry'!N$8),'Council Entry'!N92)),IF(AND(ISNUMBER('Council Entry'!N$8),ISNUMBER('Council Entry'!N$9)),MAX(MIN('Council Entry'!N92,'Council Entry'!N$9),'Council Entry'!N$8),'Council Entry'!N92))))-'Council Entry'!N$5)/('Council Entry'!N$6-'Council Entry'!N$5),10*((IF('Council Entry'!N$4="Logarithm",LN(0.001+IF(AND(ISNUMBER('Council Entry'!N$8),ISNUMBER('Council Entry'!N$9)),MAX(MIN('Council Entry'!N92,'Council Entry'!N$9),'Council Entry'!N$8),'Council Entry'!N92)),IF('Council Entry'!N$4="Exponential",EXP(IF(AND(ISNUMBER('Council Entry'!N$8),ISNUMBER('Council Entry'!N$9)),MAX(MIN('Council Entry'!N92,'Council Entry'!N$9),'Council Entry'!N$8),'Council Entry'!N92)),IF(AND(ISNUMBER('Council Entry'!N$8),ISNUMBER('Council Entry'!N$9)),MAX(MIN('Council Entry'!N92,'Council Entry'!N$9),'Council Entry'!N$8),'Council Entry'!N92))))-'Council Entry'!N$5)/('Council Entry'!N$6-'Council Entry'!N$5)),1))),"No data"))</f>
        <v/>
      </c>
      <c r="O92" s="13">
        <f>IF('Council Entry'!O92="","",IFERROR(MAX(0,MIN(10,ROUND(IF('Council Entry'!O$7="Decrease Risk",10-10*((IF('Council Entry'!O$4="Logarithm",LN(0.001+IF(AND(ISNUMBER('Council Entry'!O$8),ISNUMBER('Council Entry'!O$9)),MAX(MIN('Council Entry'!O92,'Council Entry'!O$9),'Council Entry'!O$8),'Council Entry'!O92)),IF('Council Entry'!O$4="Exponential",EXP(IF(AND(ISNUMBER('Council Entry'!O$8),ISNUMBER('Council Entry'!O$9)),MAX(MIN('Council Entry'!O92,'Council Entry'!O$9),'Council Entry'!O$8),'Council Entry'!O92)),IF(AND(ISNUMBER('Council Entry'!O$8),ISNUMBER('Council Entry'!O$9)),MAX(MIN('Council Entry'!O92,'Council Entry'!O$9),'Council Entry'!O$8),'Council Entry'!O92))))-'Council Entry'!O$5)/('Council Entry'!O$6-'Council Entry'!O$5),10*((IF('Council Entry'!O$4="Logarithm",LN(0.001+IF(AND(ISNUMBER('Council Entry'!O$8),ISNUMBER('Council Entry'!O$9)),MAX(MIN('Council Entry'!O92,'Council Entry'!O$9),'Council Entry'!O$8),'Council Entry'!O92)),IF('Council Entry'!O$4="Exponential",EXP(IF(AND(ISNUMBER('Council Entry'!O$8),ISNUMBER('Council Entry'!O$9)),MAX(MIN('Council Entry'!O92,'Council Entry'!O$9),'Council Entry'!O$8),'Council Entry'!O92)),IF(AND(ISNUMBER('Council Entry'!O$8),ISNUMBER('Council Entry'!O$9)),MAX(MIN('Council Entry'!O92,'Council Entry'!O$9),'Council Entry'!O$8),'Council Entry'!O92))))-'Council Entry'!O$5)/('Council Entry'!O$6-'Council Entry'!O$5)),1))),"No data"))</f>
        <v/>
      </c>
      <c r="P92" s="13">
        <f>IF('Council Entry'!P92="","",IFERROR(MAX(0,MIN(10,ROUND(IF('Council Entry'!P$7="Decrease Risk",10-10*((IF('Council Entry'!P$4="Logarithm",LN(0.001+IF(AND(ISNUMBER('Council Entry'!P$8),ISNUMBER('Council Entry'!P$9)),MAX(MIN('Council Entry'!P92,'Council Entry'!P$9),'Council Entry'!P$8),'Council Entry'!P92)),IF('Council Entry'!P$4="Exponential",EXP(IF(AND(ISNUMBER('Council Entry'!P$8),ISNUMBER('Council Entry'!P$9)),MAX(MIN('Council Entry'!P92,'Council Entry'!P$9),'Council Entry'!P$8),'Council Entry'!P92)),IF(AND(ISNUMBER('Council Entry'!P$8),ISNUMBER('Council Entry'!P$9)),MAX(MIN('Council Entry'!P92,'Council Entry'!P$9),'Council Entry'!P$8),'Council Entry'!P92))))-'Council Entry'!P$5)/('Council Entry'!P$6-'Council Entry'!P$5),10*((IF('Council Entry'!P$4="Logarithm",LN(0.001+IF(AND(ISNUMBER('Council Entry'!P$8),ISNUMBER('Council Entry'!P$9)),MAX(MIN('Council Entry'!P92,'Council Entry'!P$9),'Council Entry'!P$8),'Council Entry'!P92)),IF('Council Entry'!P$4="Exponential",EXP(IF(AND(ISNUMBER('Council Entry'!P$8),ISNUMBER('Council Entry'!P$9)),MAX(MIN('Council Entry'!P92,'Council Entry'!P$9),'Council Entry'!P$8),'Council Entry'!P92)),IF(AND(ISNUMBER('Council Entry'!P$8),ISNUMBER('Council Entry'!P$9)),MAX(MIN('Council Entry'!P92,'Council Entry'!P$9),'Council Entry'!P$8),'Council Entry'!P92))))-'Council Entry'!P$5)/('Council Entry'!P$6-'Council Entry'!P$5)),1))),"No data"))</f>
        <v/>
      </c>
      <c r="Q92" s="13">
        <f>IF('Council Entry'!Q92="","",IFERROR(MAX(0,MIN(10,ROUND(IF('Council Entry'!Q$7="Decrease Risk",10-10*((IF('Council Entry'!Q$4="Logarithm",LN(0.001+IF(AND(ISNUMBER('Council Entry'!Q$8),ISNUMBER('Council Entry'!Q$9)),MAX(MIN('Council Entry'!Q92,'Council Entry'!Q$9),'Council Entry'!Q$8),'Council Entry'!Q92)),IF('Council Entry'!Q$4="Exponential",EXP(IF(AND(ISNUMBER('Council Entry'!Q$8),ISNUMBER('Council Entry'!Q$9)),MAX(MIN('Council Entry'!Q92,'Council Entry'!Q$9),'Council Entry'!Q$8),'Council Entry'!Q92)),IF(AND(ISNUMBER('Council Entry'!Q$8),ISNUMBER('Council Entry'!Q$9)),MAX(MIN('Council Entry'!Q92,'Council Entry'!Q$9),'Council Entry'!Q$8),'Council Entry'!Q92))))-'Council Entry'!Q$5)/('Council Entry'!Q$6-'Council Entry'!Q$5),10*((IF('Council Entry'!Q$4="Logarithm",LN(0.001+IF(AND(ISNUMBER('Council Entry'!Q$8),ISNUMBER('Council Entry'!Q$9)),MAX(MIN('Council Entry'!Q92,'Council Entry'!Q$9),'Council Entry'!Q$8),'Council Entry'!Q92)),IF('Council Entry'!Q$4="Exponential",EXP(IF(AND(ISNUMBER('Council Entry'!Q$8),ISNUMBER('Council Entry'!Q$9)),MAX(MIN('Council Entry'!Q92,'Council Entry'!Q$9),'Council Entry'!Q$8),'Council Entry'!Q92)),IF(AND(ISNUMBER('Council Entry'!Q$8),ISNUMBER('Council Entry'!Q$9)),MAX(MIN('Council Entry'!Q92,'Council Entry'!Q$9),'Council Entry'!Q$8),'Council Entry'!Q92))))-'Council Entry'!Q$5)/('Council Entry'!Q$6-'Council Entry'!Q$5)),1))),"No data"))</f>
        <v/>
      </c>
      <c r="R92" s="13">
        <f>IF('Council Entry'!R92="","",IFERROR(MAX(0,MIN(10,ROUND(IF('Council Entry'!R$7="Decrease Risk",10-10*((IF('Council Entry'!R$4="Logarithm",LN(0.001+IF(AND(ISNUMBER('Council Entry'!R$8),ISNUMBER('Council Entry'!R$9)),MAX(MIN('Council Entry'!R92,'Council Entry'!R$9),'Council Entry'!R$8),'Council Entry'!R92)),IF('Council Entry'!R$4="Exponential",EXP(IF(AND(ISNUMBER('Council Entry'!R$8),ISNUMBER('Council Entry'!R$9)),MAX(MIN('Council Entry'!R92,'Council Entry'!R$9),'Council Entry'!R$8),'Council Entry'!R92)),IF(AND(ISNUMBER('Council Entry'!R$8),ISNUMBER('Council Entry'!R$9)),MAX(MIN('Council Entry'!R92,'Council Entry'!R$9),'Council Entry'!R$8),'Council Entry'!R92))))-'Council Entry'!R$5)/('Council Entry'!R$6-'Council Entry'!R$5),10*((IF('Council Entry'!R$4="Logarithm",LN(0.001+IF(AND(ISNUMBER('Council Entry'!R$8),ISNUMBER('Council Entry'!R$9)),MAX(MIN('Council Entry'!R92,'Council Entry'!R$9),'Council Entry'!R$8),'Council Entry'!R92)),IF('Council Entry'!R$4="Exponential",EXP(IF(AND(ISNUMBER('Council Entry'!R$8),ISNUMBER('Council Entry'!R$9)),MAX(MIN('Council Entry'!R92,'Council Entry'!R$9),'Council Entry'!R$8),'Council Entry'!R92)),IF(AND(ISNUMBER('Council Entry'!R$8),ISNUMBER('Council Entry'!R$9)),MAX(MIN('Council Entry'!R92,'Council Entry'!R$9),'Council Entry'!R$8),'Council Entry'!R92))))-'Council Entry'!R$5)/('Council Entry'!R$6-'Council Entry'!R$5)),1))),"No data"))</f>
        <v/>
      </c>
      <c r="S92" s="13">
        <f>IF('Council Entry'!S92="","",IFERROR(MAX(0,MIN(10,ROUND(IF('Council Entry'!S$7="Decrease Risk",10-10*((IF('Council Entry'!S$4="Logarithm",LN(0.001+IF(AND(ISNUMBER('Council Entry'!S$8),ISNUMBER('Council Entry'!S$9)),MAX(MIN('Council Entry'!S92,'Council Entry'!S$9),'Council Entry'!S$8),'Council Entry'!S92)),IF('Council Entry'!S$4="Exponential",EXP(IF(AND(ISNUMBER('Council Entry'!S$8),ISNUMBER('Council Entry'!S$9)),MAX(MIN('Council Entry'!S92,'Council Entry'!S$9),'Council Entry'!S$8),'Council Entry'!S92)),IF(AND(ISNUMBER('Council Entry'!S$8),ISNUMBER('Council Entry'!S$9)),MAX(MIN('Council Entry'!S92,'Council Entry'!S$9),'Council Entry'!S$8),'Council Entry'!S92))))-'Council Entry'!S$5)/('Council Entry'!S$6-'Council Entry'!S$5),10*((IF('Council Entry'!S$4="Logarithm",LN(0.001+IF(AND(ISNUMBER('Council Entry'!S$8),ISNUMBER('Council Entry'!S$9)),MAX(MIN('Council Entry'!S92,'Council Entry'!S$9),'Council Entry'!S$8),'Council Entry'!S92)),IF('Council Entry'!S$4="Exponential",EXP(IF(AND(ISNUMBER('Council Entry'!S$8),ISNUMBER('Council Entry'!S$9)),MAX(MIN('Council Entry'!S92,'Council Entry'!S$9),'Council Entry'!S$8),'Council Entry'!S92)),IF(AND(ISNUMBER('Council Entry'!S$8),ISNUMBER('Council Entry'!S$9)),MAX(MIN('Council Entry'!S92,'Council Entry'!S$9),'Council Entry'!S$8),'Council Entry'!S92))))-'Council Entry'!S$5)/('Council Entry'!S$6-'Council Entry'!S$5)),1))),"No data"))</f>
        <v/>
      </c>
      <c r="T92" s="13">
        <f>IF('Council Entry'!T92="","",IFERROR(MAX(0,MIN(10,ROUND(IF('Council Entry'!T$7="Decrease Risk",10-10*((IF('Council Entry'!T$4="Logarithm",LN(0.001+IF(AND(ISNUMBER('Council Entry'!T$8),ISNUMBER('Council Entry'!T$9)),MAX(MIN('Council Entry'!T92,'Council Entry'!T$9),'Council Entry'!T$8),'Council Entry'!T92)),IF('Council Entry'!T$4="Exponential",EXP(IF(AND(ISNUMBER('Council Entry'!T$8),ISNUMBER('Council Entry'!T$9)),MAX(MIN('Council Entry'!T92,'Council Entry'!T$9),'Council Entry'!T$8),'Council Entry'!T92)),IF(AND(ISNUMBER('Council Entry'!T$8),ISNUMBER('Council Entry'!T$9)),MAX(MIN('Council Entry'!T92,'Council Entry'!T$9),'Council Entry'!T$8),'Council Entry'!T92))))-'Council Entry'!T$5)/('Council Entry'!T$6-'Council Entry'!T$5),10*((IF('Council Entry'!T$4="Logarithm",LN(0.001+IF(AND(ISNUMBER('Council Entry'!T$8),ISNUMBER('Council Entry'!T$9)),MAX(MIN('Council Entry'!T92,'Council Entry'!T$9),'Council Entry'!T$8),'Council Entry'!T92)),IF('Council Entry'!T$4="Exponential",EXP(IF(AND(ISNUMBER('Council Entry'!T$8),ISNUMBER('Council Entry'!T$9)),MAX(MIN('Council Entry'!T92,'Council Entry'!T$9),'Council Entry'!T$8),'Council Entry'!T92)),IF(AND(ISNUMBER('Council Entry'!T$8),ISNUMBER('Council Entry'!T$9)),MAX(MIN('Council Entry'!T92,'Council Entry'!T$9),'Council Entry'!T$8),'Council Entry'!T92))))-'Council Entry'!T$5)/('Council Entry'!T$6-'Council Entry'!T$5)),1))),"No data"))</f>
        <v/>
      </c>
      <c r="U92" s="13">
        <f>IF('Council Entry'!U92="","",IFERROR(MAX(0,MIN(10,ROUND(IF('Council Entry'!U$7="Decrease Risk",10-10*((IF('Council Entry'!U$4="Logarithm",LN(0.001+IF(AND(ISNUMBER('Council Entry'!U$8),ISNUMBER('Council Entry'!U$9)),MAX(MIN('Council Entry'!U92,'Council Entry'!U$9),'Council Entry'!U$8),'Council Entry'!U92)),IF('Council Entry'!U$4="Exponential",EXP(IF(AND(ISNUMBER('Council Entry'!U$8),ISNUMBER('Council Entry'!U$9)),MAX(MIN('Council Entry'!U92,'Council Entry'!U$9),'Council Entry'!U$8),'Council Entry'!U92)),IF(AND(ISNUMBER('Council Entry'!U$8),ISNUMBER('Council Entry'!U$9)),MAX(MIN('Council Entry'!U92,'Council Entry'!U$9),'Council Entry'!U$8),'Council Entry'!U92))))-'Council Entry'!U$5)/('Council Entry'!U$6-'Council Entry'!U$5),10*((IF('Council Entry'!U$4="Logarithm",LN(0.001+IF(AND(ISNUMBER('Council Entry'!U$8),ISNUMBER('Council Entry'!U$9)),MAX(MIN('Council Entry'!U92,'Council Entry'!U$9),'Council Entry'!U$8),'Council Entry'!U92)),IF('Council Entry'!U$4="Exponential",EXP(IF(AND(ISNUMBER('Council Entry'!U$8),ISNUMBER('Council Entry'!U$9)),MAX(MIN('Council Entry'!U92,'Council Entry'!U$9),'Council Entry'!U$8),'Council Entry'!U92)),IF(AND(ISNUMBER('Council Entry'!U$8),ISNUMBER('Council Entry'!U$9)),MAX(MIN('Council Entry'!U92,'Council Entry'!U$9),'Council Entry'!U$8),'Council Entry'!U92))))-'Council Entry'!U$5)/('Council Entry'!U$6-'Council Entry'!U$5)),1))),"No data"))</f>
        <v/>
      </c>
      <c r="V92" s="13">
        <f>IF('Council Entry'!V92="","",IFERROR(MAX(0,MIN(10,ROUND(IF('Council Entry'!V$7="Decrease Risk",10-10*((IF('Council Entry'!V$4="Logarithm",LN(0.001+IF(AND(ISNUMBER('Council Entry'!V$8),ISNUMBER('Council Entry'!V$9)),MAX(MIN('Council Entry'!V92,'Council Entry'!V$9),'Council Entry'!V$8),'Council Entry'!V92)),IF('Council Entry'!V$4="Exponential",EXP(IF(AND(ISNUMBER('Council Entry'!V$8),ISNUMBER('Council Entry'!V$9)),MAX(MIN('Council Entry'!V92,'Council Entry'!V$9),'Council Entry'!V$8),'Council Entry'!V92)),IF(AND(ISNUMBER('Council Entry'!V$8),ISNUMBER('Council Entry'!V$9)),MAX(MIN('Council Entry'!V92,'Council Entry'!V$9),'Council Entry'!V$8),'Council Entry'!V92))))-'Council Entry'!V$5)/('Council Entry'!V$6-'Council Entry'!V$5),10*((IF('Council Entry'!V$4="Logarithm",LN(0.001+IF(AND(ISNUMBER('Council Entry'!V$8),ISNUMBER('Council Entry'!V$9)),MAX(MIN('Council Entry'!V92,'Council Entry'!V$9),'Council Entry'!V$8),'Council Entry'!V92)),IF('Council Entry'!V$4="Exponential",EXP(IF(AND(ISNUMBER('Council Entry'!V$8),ISNUMBER('Council Entry'!V$9)),MAX(MIN('Council Entry'!V92,'Council Entry'!V$9),'Council Entry'!V$8),'Council Entry'!V92)),IF(AND(ISNUMBER('Council Entry'!V$8),ISNUMBER('Council Entry'!V$9)),MAX(MIN('Council Entry'!V92,'Council Entry'!V$9),'Council Entry'!V$8),'Council Entry'!V92))))-'Council Entry'!V$5)/('Council Entry'!V$6-'Council Entry'!V$5)),1))),"No data"))</f>
        <v/>
      </c>
      <c r="W92" s="13">
        <f>IF('Council Entry'!W92="","",IFERROR(MAX(0,MIN(10,ROUND(IF('Council Entry'!W$7="Decrease Risk",10-10*((IF('Council Entry'!W$4="Logarithm",LN(0.001+IF(AND(ISNUMBER('Council Entry'!W$8),ISNUMBER('Council Entry'!W$9)),MAX(MIN('Council Entry'!W92,'Council Entry'!W$9),'Council Entry'!W$8),'Council Entry'!W92)),IF('Council Entry'!W$4="Exponential",EXP(IF(AND(ISNUMBER('Council Entry'!W$8),ISNUMBER('Council Entry'!W$9)),MAX(MIN('Council Entry'!W92,'Council Entry'!W$9),'Council Entry'!W$8),'Council Entry'!W92)),IF(AND(ISNUMBER('Council Entry'!W$8),ISNUMBER('Council Entry'!W$9)),MAX(MIN('Council Entry'!W92,'Council Entry'!W$9),'Council Entry'!W$8),'Council Entry'!W92))))-'Council Entry'!W$5)/('Council Entry'!W$6-'Council Entry'!W$5),10*((IF('Council Entry'!W$4="Logarithm",LN(0.001+IF(AND(ISNUMBER('Council Entry'!W$8),ISNUMBER('Council Entry'!W$9)),MAX(MIN('Council Entry'!W92,'Council Entry'!W$9),'Council Entry'!W$8),'Council Entry'!W92)),IF('Council Entry'!W$4="Exponential",EXP(IF(AND(ISNUMBER('Council Entry'!W$8),ISNUMBER('Council Entry'!W$9)),MAX(MIN('Council Entry'!W92,'Council Entry'!W$9),'Council Entry'!W$8),'Council Entry'!W92)),IF(AND(ISNUMBER('Council Entry'!W$8),ISNUMBER('Council Entry'!W$9)),MAX(MIN('Council Entry'!W92,'Council Entry'!W$9),'Council Entry'!W$8),'Council Entry'!W92))))-'Council Entry'!W$5)/('Council Entry'!W$6-'Council Entry'!W$5)),1))),"No data"))</f>
        <v/>
      </c>
      <c r="X92" s="13">
        <f>IF('Council Entry'!X92="","",IFERROR(MAX(0,MIN(10,ROUND(IF('Council Entry'!X$7="Decrease Risk",10-10*((IF('Council Entry'!X$4="Logarithm",LN(0.001+IF(AND(ISNUMBER('Council Entry'!X$8),ISNUMBER('Council Entry'!X$9)),MAX(MIN('Council Entry'!X92,'Council Entry'!X$9),'Council Entry'!X$8),'Council Entry'!X92)),IF('Council Entry'!X$4="Exponential",EXP(IF(AND(ISNUMBER('Council Entry'!X$8),ISNUMBER('Council Entry'!X$9)),MAX(MIN('Council Entry'!X92,'Council Entry'!X$9),'Council Entry'!X$8),'Council Entry'!X92)),IF(AND(ISNUMBER('Council Entry'!X$8),ISNUMBER('Council Entry'!X$9)),MAX(MIN('Council Entry'!X92,'Council Entry'!X$9),'Council Entry'!X$8),'Council Entry'!X92))))-'Council Entry'!X$5)/('Council Entry'!X$6-'Council Entry'!X$5),10*((IF('Council Entry'!X$4="Logarithm",LN(0.001+IF(AND(ISNUMBER('Council Entry'!X$8),ISNUMBER('Council Entry'!X$9)),MAX(MIN('Council Entry'!X92,'Council Entry'!X$9),'Council Entry'!X$8),'Council Entry'!X92)),IF('Council Entry'!X$4="Exponential",EXP(IF(AND(ISNUMBER('Council Entry'!X$8),ISNUMBER('Council Entry'!X$9)),MAX(MIN('Council Entry'!X92,'Council Entry'!X$9),'Council Entry'!X$8),'Council Entry'!X92)),IF(AND(ISNUMBER('Council Entry'!X$8),ISNUMBER('Council Entry'!X$9)),MAX(MIN('Council Entry'!X92,'Council Entry'!X$9),'Council Entry'!X$8),'Council Entry'!X92))))-'Council Entry'!X$5)/('Council Entry'!X$6-'Council Entry'!X$5)),1))),"No data"))</f>
        <v/>
      </c>
      <c r="Y92" s="13">
        <f>IF('Council Entry'!Y92="","",IFERROR(MAX(0,MIN(10,ROUND(IF('Council Entry'!Y$7="Decrease Risk",10-10*((IF('Council Entry'!Y$4="Logarithm",LN(0.001+IF(AND(ISNUMBER('Council Entry'!Y$8),ISNUMBER('Council Entry'!Y$9)),MAX(MIN('Council Entry'!Y92,'Council Entry'!Y$9),'Council Entry'!Y$8),'Council Entry'!Y92)),IF('Council Entry'!Y$4="Exponential",EXP(IF(AND(ISNUMBER('Council Entry'!Y$8),ISNUMBER('Council Entry'!Y$9)),MAX(MIN('Council Entry'!Y92,'Council Entry'!Y$9),'Council Entry'!Y$8),'Council Entry'!Y92)),IF(AND(ISNUMBER('Council Entry'!Y$8),ISNUMBER('Council Entry'!Y$9)),MAX(MIN('Council Entry'!Y92,'Council Entry'!Y$9),'Council Entry'!Y$8),'Council Entry'!Y92))))-'Council Entry'!Y$5)/('Council Entry'!Y$6-'Council Entry'!Y$5),10*((IF('Council Entry'!Y$4="Logarithm",LN(0.001+IF(AND(ISNUMBER('Council Entry'!Y$8),ISNUMBER('Council Entry'!Y$9)),MAX(MIN('Council Entry'!Y92,'Council Entry'!Y$9),'Council Entry'!Y$8),'Council Entry'!Y92)),IF('Council Entry'!Y$4="Exponential",EXP(IF(AND(ISNUMBER('Council Entry'!Y$8),ISNUMBER('Council Entry'!Y$9)),MAX(MIN('Council Entry'!Y92,'Council Entry'!Y$9),'Council Entry'!Y$8),'Council Entry'!Y92)),IF(AND(ISNUMBER('Council Entry'!Y$8),ISNUMBER('Council Entry'!Y$9)),MAX(MIN('Council Entry'!Y92,'Council Entry'!Y$9),'Council Entry'!Y$8),'Council Entry'!Y92))))-'Council Entry'!Y$5)/('Council Entry'!Y$6-'Council Entry'!Y$5)),1))),"No data"))</f>
        <v/>
      </c>
      <c r="Z92" s="13">
        <f>IF('Council Entry'!Z92="","",IFERROR(MAX(0,MIN(10,ROUND(IF('Council Entry'!Z$7="Decrease Risk",10-10*((IF('Council Entry'!Z$4="Logarithm",LN(0.001+IF(AND(ISNUMBER('Council Entry'!Z$8),ISNUMBER('Council Entry'!Z$9)),MAX(MIN('Council Entry'!Z92,'Council Entry'!Z$9),'Council Entry'!Z$8),'Council Entry'!Z92)),IF('Council Entry'!Z$4="Exponential",EXP(IF(AND(ISNUMBER('Council Entry'!Z$8),ISNUMBER('Council Entry'!Z$9)),MAX(MIN('Council Entry'!Z92,'Council Entry'!Z$9),'Council Entry'!Z$8),'Council Entry'!Z92)),IF(AND(ISNUMBER('Council Entry'!Z$8),ISNUMBER('Council Entry'!Z$9)),MAX(MIN('Council Entry'!Z92,'Council Entry'!Z$9),'Council Entry'!Z$8),'Council Entry'!Z92))))-'Council Entry'!Z$5)/('Council Entry'!Z$6-'Council Entry'!Z$5),10*((IF('Council Entry'!Z$4="Logarithm",LN(0.001+IF(AND(ISNUMBER('Council Entry'!Z$8),ISNUMBER('Council Entry'!Z$9)),MAX(MIN('Council Entry'!Z92,'Council Entry'!Z$9),'Council Entry'!Z$8),'Council Entry'!Z92)),IF('Council Entry'!Z$4="Exponential",EXP(IF(AND(ISNUMBER('Council Entry'!Z$8),ISNUMBER('Council Entry'!Z$9)),MAX(MIN('Council Entry'!Z92,'Council Entry'!Z$9),'Council Entry'!Z$8),'Council Entry'!Z92)),IF(AND(ISNUMBER('Council Entry'!Z$8),ISNUMBER('Council Entry'!Z$9)),MAX(MIN('Council Entry'!Z92,'Council Entry'!Z$9),'Council Entry'!Z$8),'Council Entry'!Z92))))-'Council Entry'!Z$5)/('Council Entry'!Z$6-'Council Entry'!Z$5)),1))),"No data"))</f>
        <v/>
      </c>
      <c r="AA92" s="13">
        <f>IF('Council Entry'!AA92="","",IFERROR(MAX(0,MIN(10,ROUND(IF('Council Entry'!AA$7="Decrease Risk",10-10*((IF('Council Entry'!AA$4="Logarithm",LN(0.001+IF(AND(ISNUMBER('Council Entry'!AA$8),ISNUMBER('Council Entry'!AA$9)),MAX(MIN('Council Entry'!AA92,'Council Entry'!AA$9),'Council Entry'!AA$8),'Council Entry'!AA92)),IF('Council Entry'!AA$4="Exponential",EXP(IF(AND(ISNUMBER('Council Entry'!AA$8),ISNUMBER('Council Entry'!AA$9)),MAX(MIN('Council Entry'!AA92,'Council Entry'!AA$9),'Council Entry'!AA$8),'Council Entry'!AA92)),IF(AND(ISNUMBER('Council Entry'!AA$8),ISNUMBER('Council Entry'!AA$9)),MAX(MIN('Council Entry'!AA92,'Council Entry'!AA$9),'Council Entry'!AA$8),'Council Entry'!AA92))))-'Council Entry'!AA$5)/('Council Entry'!AA$6-'Council Entry'!AA$5),10*((IF('Council Entry'!AA$4="Logarithm",LN(0.001+IF(AND(ISNUMBER('Council Entry'!AA$8),ISNUMBER('Council Entry'!AA$9)),MAX(MIN('Council Entry'!AA92,'Council Entry'!AA$9),'Council Entry'!AA$8),'Council Entry'!AA92)),IF('Council Entry'!AA$4="Exponential",EXP(IF(AND(ISNUMBER('Council Entry'!AA$8),ISNUMBER('Council Entry'!AA$9)),MAX(MIN('Council Entry'!AA92,'Council Entry'!AA$9),'Council Entry'!AA$8),'Council Entry'!AA92)),IF(AND(ISNUMBER('Council Entry'!AA$8),ISNUMBER('Council Entry'!AA$9)),MAX(MIN('Council Entry'!AA92,'Council Entry'!AA$9),'Council Entry'!AA$8),'Council Entry'!AA92))))-'Council Entry'!AA$5)/('Council Entry'!AA$6-'Council Entry'!AA$5)),1))),"No data"))</f>
        <v/>
      </c>
      <c r="AB92" s="13">
        <f>IF('Council Entry'!AB92="","",IFERROR(MAX(0,MIN(10,ROUND(IF('Council Entry'!AB$7="Decrease Risk",10-10*((IF('Council Entry'!AB$4="Logarithm",LN(0.001+IF(AND(ISNUMBER('Council Entry'!AB$8),ISNUMBER('Council Entry'!AB$9)),MAX(MIN('Council Entry'!AB92,'Council Entry'!AB$9),'Council Entry'!AB$8),'Council Entry'!AB92)),IF('Council Entry'!AB$4="Exponential",EXP(IF(AND(ISNUMBER('Council Entry'!AB$8),ISNUMBER('Council Entry'!AB$9)),MAX(MIN('Council Entry'!AB92,'Council Entry'!AB$9),'Council Entry'!AB$8),'Council Entry'!AB92)),IF(AND(ISNUMBER('Council Entry'!AB$8),ISNUMBER('Council Entry'!AB$9)),MAX(MIN('Council Entry'!AB92,'Council Entry'!AB$9),'Council Entry'!AB$8),'Council Entry'!AB92))))-'Council Entry'!AB$5)/('Council Entry'!AB$6-'Council Entry'!AB$5),10*((IF('Council Entry'!AB$4="Logarithm",LN(0.001+IF(AND(ISNUMBER('Council Entry'!AB$8),ISNUMBER('Council Entry'!AB$9)),MAX(MIN('Council Entry'!AB92,'Council Entry'!AB$9),'Council Entry'!AB$8),'Council Entry'!AB92)),IF('Council Entry'!AB$4="Exponential",EXP(IF(AND(ISNUMBER('Council Entry'!AB$8),ISNUMBER('Council Entry'!AB$9)),MAX(MIN('Council Entry'!AB92,'Council Entry'!AB$9),'Council Entry'!AB$8),'Council Entry'!AB92)),IF(AND(ISNUMBER('Council Entry'!AB$8),ISNUMBER('Council Entry'!AB$9)),MAX(MIN('Council Entry'!AB92,'Council Entry'!AB$9),'Council Entry'!AB$8),'Council Entry'!AB92))))-'Council Entry'!AB$5)/('Council Entry'!AB$6-'Council Entry'!AB$5)),1))),"No data"))</f>
        <v/>
      </c>
      <c r="AC92" s="13">
        <f>IF('Council Entry'!AC92="","",IFERROR(MAX(0,MIN(10,ROUND(IF('Council Entry'!AC$7="Decrease Risk",10-10*((IF('Council Entry'!AC$4="Logarithm",LN(0.001+IF(AND(ISNUMBER('Council Entry'!AC$8),ISNUMBER('Council Entry'!AC$9)),MAX(MIN('Council Entry'!AC92,'Council Entry'!AC$9),'Council Entry'!AC$8),'Council Entry'!AC92)),IF('Council Entry'!AC$4="Exponential",EXP(IF(AND(ISNUMBER('Council Entry'!AC$8),ISNUMBER('Council Entry'!AC$9)),MAX(MIN('Council Entry'!AC92,'Council Entry'!AC$9),'Council Entry'!AC$8),'Council Entry'!AC92)),IF(AND(ISNUMBER('Council Entry'!AC$8),ISNUMBER('Council Entry'!AC$9)),MAX(MIN('Council Entry'!AC92,'Council Entry'!AC$9),'Council Entry'!AC$8),'Council Entry'!AC92))))-'Council Entry'!AC$5)/('Council Entry'!AC$6-'Council Entry'!AC$5),10*((IF('Council Entry'!AC$4="Logarithm",LN(0.001+IF(AND(ISNUMBER('Council Entry'!AC$8),ISNUMBER('Council Entry'!AC$9)),MAX(MIN('Council Entry'!AC92,'Council Entry'!AC$9),'Council Entry'!AC$8),'Council Entry'!AC92)),IF('Council Entry'!AC$4="Exponential",EXP(IF(AND(ISNUMBER('Council Entry'!AC$8),ISNUMBER('Council Entry'!AC$9)),MAX(MIN('Council Entry'!AC92,'Council Entry'!AC$9),'Council Entry'!AC$8),'Council Entry'!AC92)),IF(AND(ISNUMBER('Council Entry'!AC$8),ISNUMBER('Council Entry'!AC$9)),MAX(MIN('Council Entry'!AC92,'Council Entry'!AC$9),'Council Entry'!AC$8),'Council Entry'!AC92))))-'Council Entry'!AC$5)/('Council Entry'!AC$6-'Council Entry'!AC$5)),1))),"No data"))</f>
        <v/>
      </c>
      <c r="AD92" s="13">
        <f>IF('Council Entry'!AD92="","",IFERROR(MAX(0,MIN(10,ROUND(IF('Council Entry'!AD$7="Decrease Risk",10-10*((IF('Council Entry'!AD$4="Logarithm",LN(0.001+IF(AND(ISNUMBER('Council Entry'!AD$8),ISNUMBER('Council Entry'!AD$9)),MAX(MIN('Council Entry'!AD92,'Council Entry'!AD$9),'Council Entry'!AD$8),'Council Entry'!AD92)),IF('Council Entry'!AD$4="Exponential",EXP(IF(AND(ISNUMBER('Council Entry'!AD$8),ISNUMBER('Council Entry'!AD$9)),MAX(MIN('Council Entry'!AD92,'Council Entry'!AD$9),'Council Entry'!AD$8),'Council Entry'!AD92)),IF(AND(ISNUMBER('Council Entry'!AD$8),ISNUMBER('Council Entry'!AD$9)),MAX(MIN('Council Entry'!AD92,'Council Entry'!AD$9),'Council Entry'!AD$8),'Council Entry'!AD92))))-'Council Entry'!AD$5)/('Council Entry'!AD$6-'Council Entry'!AD$5),10*((IF('Council Entry'!AD$4="Logarithm",LN(0.001+IF(AND(ISNUMBER('Council Entry'!AD$8),ISNUMBER('Council Entry'!AD$9)),MAX(MIN('Council Entry'!AD92,'Council Entry'!AD$9),'Council Entry'!AD$8),'Council Entry'!AD92)),IF('Council Entry'!AD$4="Exponential",EXP(IF(AND(ISNUMBER('Council Entry'!AD$8),ISNUMBER('Council Entry'!AD$9)),MAX(MIN('Council Entry'!AD92,'Council Entry'!AD$9),'Council Entry'!AD$8),'Council Entry'!AD92)),IF(AND(ISNUMBER('Council Entry'!AD$8),ISNUMBER('Council Entry'!AD$9)),MAX(MIN('Council Entry'!AD92,'Council Entry'!AD$9),'Council Entry'!AD$8),'Council Entry'!AD92))))-'Council Entry'!AD$5)/('Council Entry'!AD$6-'Council Entry'!AD$5)),1))),"No data"))</f>
        <v/>
      </c>
      <c r="AE92" s="13">
        <f>IF('Council Entry'!AE92="","",IFERROR(MAX(0,MIN(10,ROUND(IF('Council Entry'!AE$7="Decrease Risk",10-10*((IF('Council Entry'!AE$4="Logarithm",LN(0.001+IF(AND(ISNUMBER('Council Entry'!AE$8),ISNUMBER('Council Entry'!AE$9)),MAX(MIN('Council Entry'!AE92,'Council Entry'!AE$9),'Council Entry'!AE$8),'Council Entry'!AE92)),IF('Council Entry'!AE$4="Exponential",EXP(IF(AND(ISNUMBER('Council Entry'!AE$8),ISNUMBER('Council Entry'!AE$9)),MAX(MIN('Council Entry'!AE92,'Council Entry'!AE$9),'Council Entry'!AE$8),'Council Entry'!AE92)),IF(AND(ISNUMBER('Council Entry'!AE$8),ISNUMBER('Council Entry'!AE$9)),MAX(MIN('Council Entry'!AE92,'Council Entry'!AE$9),'Council Entry'!AE$8),'Council Entry'!AE92))))-'Council Entry'!AE$5)/('Council Entry'!AE$6-'Council Entry'!AE$5),10*((IF('Council Entry'!AE$4="Logarithm",LN(0.001+IF(AND(ISNUMBER('Council Entry'!AE$8),ISNUMBER('Council Entry'!AE$9)),MAX(MIN('Council Entry'!AE92,'Council Entry'!AE$9),'Council Entry'!AE$8),'Council Entry'!AE92)),IF('Council Entry'!AE$4="Exponential",EXP(IF(AND(ISNUMBER('Council Entry'!AE$8),ISNUMBER('Council Entry'!AE$9)),MAX(MIN('Council Entry'!AE92,'Council Entry'!AE$9),'Council Entry'!AE$8),'Council Entry'!AE92)),IF(AND(ISNUMBER('Council Entry'!AE$8),ISNUMBER('Council Entry'!AE$9)),MAX(MIN('Council Entry'!AE92,'Council Entry'!AE$9),'Council Entry'!AE$8),'Council Entry'!AE92))))-'Council Entry'!AE$5)/('Council Entry'!AE$6-'Council Entry'!AE$5)),1))),"No data"))</f>
        <v/>
      </c>
      <c r="AF92" s="13">
        <f>IF('Council Entry'!AF92="","",IFERROR(MAX(0,MIN(10,ROUND(IF('Council Entry'!AF$7="Decrease Risk",10-10*((IF('Council Entry'!AF$4="Logarithm",LN(0.001+IF(AND(ISNUMBER('Council Entry'!AF$8),ISNUMBER('Council Entry'!AF$9)),MAX(MIN('Council Entry'!AF92,'Council Entry'!AF$9),'Council Entry'!AF$8),'Council Entry'!AF92)),IF('Council Entry'!AF$4="Exponential",EXP(IF(AND(ISNUMBER('Council Entry'!AF$8),ISNUMBER('Council Entry'!AF$9)),MAX(MIN('Council Entry'!AF92,'Council Entry'!AF$9),'Council Entry'!AF$8),'Council Entry'!AF92)),IF(AND(ISNUMBER('Council Entry'!AF$8),ISNUMBER('Council Entry'!AF$9)),MAX(MIN('Council Entry'!AF92,'Council Entry'!AF$9),'Council Entry'!AF$8),'Council Entry'!AF92))))-'Council Entry'!AF$5)/('Council Entry'!AF$6-'Council Entry'!AF$5),10*((IF('Council Entry'!AF$4="Logarithm",LN(0.001+IF(AND(ISNUMBER('Council Entry'!AF$8),ISNUMBER('Council Entry'!AF$9)),MAX(MIN('Council Entry'!AF92,'Council Entry'!AF$9),'Council Entry'!AF$8),'Council Entry'!AF92)),IF('Council Entry'!AF$4="Exponential",EXP(IF(AND(ISNUMBER('Council Entry'!AF$8),ISNUMBER('Council Entry'!AF$9)),MAX(MIN('Council Entry'!AF92,'Council Entry'!AF$9),'Council Entry'!AF$8),'Council Entry'!AF92)),IF(AND(ISNUMBER('Council Entry'!AF$8),ISNUMBER('Council Entry'!AF$9)),MAX(MIN('Council Entry'!AF92,'Council Entry'!AF$9),'Council Entry'!AF$8),'Council Entry'!AF92))))-'Council Entry'!AF$5)/('Council Entry'!AF$6-'Council Entry'!AF$5)),1))),"No data"))</f>
        <v/>
      </c>
      <c r="AG92" s="13">
        <f>IF('Council Entry'!AG92="","",IFERROR(MAX(0,MIN(10,ROUND(IF('Council Entry'!AG$7="Decrease Risk",10-10*((IF('Council Entry'!AG$4="Logarithm",LN(0.001+IF(AND(ISNUMBER('Council Entry'!AG$8),ISNUMBER('Council Entry'!AG$9)),MAX(MIN('Council Entry'!AG92,'Council Entry'!AG$9),'Council Entry'!AG$8),'Council Entry'!AG92)),IF('Council Entry'!AG$4="Exponential",EXP(IF(AND(ISNUMBER('Council Entry'!AG$8),ISNUMBER('Council Entry'!AG$9)),MAX(MIN('Council Entry'!AG92,'Council Entry'!AG$9),'Council Entry'!AG$8),'Council Entry'!AG92)),IF(AND(ISNUMBER('Council Entry'!AG$8),ISNUMBER('Council Entry'!AG$9)),MAX(MIN('Council Entry'!AG92,'Council Entry'!AG$9),'Council Entry'!AG$8),'Council Entry'!AG92))))-'Council Entry'!AG$5)/('Council Entry'!AG$6-'Council Entry'!AG$5),10*((IF('Council Entry'!AG$4="Logarithm",LN(0.001+IF(AND(ISNUMBER('Council Entry'!AG$8),ISNUMBER('Council Entry'!AG$9)),MAX(MIN('Council Entry'!AG92,'Council Entry'!AG$9),'Council Entry'!AG$8),'Council Entry'!AG92)),IF('Council Entry'!AG$4="Exponential",EXP(IF(AND(ISNUMBER('Council Entry'!AG$8),ISNUMBER('Council Entry'!AG$9)),MAX(MIN('Council Entry'!AG92,'Council Entry'!AG$9),'Council Entry'!AG$8),'Council Entry'!AG92)),IF(AND(ISNUMBER('Council Entry'!AG$8),ISNUMBER('Council Entry'!AG$9)),MAX(MIN('Council Entry'!AG92,'Council Entry'!AG$9),'Council Entry'!AG$8),'Council Entry'!AG92))))-'Council Entry'!AG$5)/('Council Entry'!AG$6-'Council Entry'!AG$5)),1))),"No data"))</f>
        <v/>
      </c>
      <c r="AH92" s="13">
        <f>IF('Council Entry'!AH92="","",IFERROR(MAX(0,MIN(10,ROUND(IF('Council Entry'!AH$7="Decrease Risk",10-10*((IF('Council Entry'!AH$4="Logarithm",LN(0.001+IF(AND(ISNUMBER('Council Entry'!AH$8),ISNUMBER('Council Entry'!AH$9)),MAX(MIN('Council Entry'!AH92,'Council Entry'!AH$9),'Council Entry'!AH$8),'Council Entry'!AH92)),IF('Council Entry'!AH$4="Exponential",EXP(IF(AND(ISNUMBER('Council Entry'!AH$8),ISNUMBER('Council Entry'!AH$9)),MAX(MIN('Council Entry'!AH92,'Council Entry'!AH$9),'Council Entry'!AH$8),'Council Entry'!AH92)),IF(AND(ISNUMBER('Council Entry'!AH$8),ISNUMBER('Council Entry'!AH$9)),MAX(MIN('Council Entry'!AH92,'Council Entry'!AH$9),'Council Entry'!AH$8),'Council Entry'!AH92))))-'Council Entry'!AH$5)/('Council Entry'!AH$6-'Council Entry'!AH$5),10*((IF('Council Entry'!AH$4="Logarithm",LN(0.001+IF(AND(ISNUMBER('Council Entry'!AH$8),ISNUMBER('Council Entry'!AH$9)),MAX(MIN('Council Entry'!AH92,'Council Entry'!AH$9),'Council Entry'!AH$8),'Council Entry'!AH92)),IF('Council Entry'!AH$4="Exponential",EXP(IF(AND(ISNUMBER('Council Entry'!AH$8),ISNUMBER('Council Entry'!AH$9)),MAX(MIN('Council Entry'!AH92,'Council Entry'!AH$9),'Council Entry'!AH$8),'Council Entry'!AH92)),IF(AND(ISNUMBER('Council Entry'!AH$8),ISNUMBER('Council Entry'!AH$9)),MAX(MIN('Council Entry'!AH92,'Council Entry'!AH$9),'Council Entry'!AH$8),'Council Entry'!AH92))))-'Council Entry'!AH$5)/('Council Entry'!AH$6-'Council Entry'!AH$5)),1))),"No data"))</f>
        <v/>
      </c>
      <c r="AI92" s="13">
        <f>IF('Council Entry'!AI92="","",IFERROR(MAX(0,MIN(10,ROUND(IF('Council Entry'!AI$7="Decrease Risk",10-10*((IF('Council Entry'!AI$4="Logarithm",LN(0.001+IF(AND(ISNUMBER('Council Entry'!AI$8),ISNUMBER('Council Entry'!AI$9)),MAX(MIN('Council Entry'!AI92,'Council Entry'!AI$9),'Council Entry'!AI$8),'Council Entry'!AI92)),IF('Council Entry'!AI$4="Exponential",EXP(IF(AND(ISNUMBER('Council Entry'!AI$8),ISNUMBER('Council Entry'!AI$9)),MAX(MIN('Council Entry'!AI92,'Council Entry'!AI$9),'Council Entry'!AI$8),'Council Entry'!AI92)),IF(AND(ISNUMBER('Council Entry'!AI$8),ISNUMBER('Council Entry'!AI$9)),MAX(MIN('Council Entry'!AI92,'Council Entry'!AI$9),'Council Entry'!AI$8),'Council Entry'!AI92))))-'Council Entry'!AI$5)/('Council Entry'!AI$6-'Council Entry'!AI$5),10*((IF('Council Entry'!AI$4="Logarithm",LN(0.001+IF(AND(ISNUMBER('Council Entry'!AI$8),ISNUMBER('Council Entry'!AI$9)),MAX(MIN('Council Entry'!AI92,'Council Entry'!AI$9),'Council Entry'!AI$8),'Council Entry'!AI92)),IF('Council Entry'!AI$4="Exponential",EXP(IF(AND(ISNUMBER('Council Entry'!AI$8),ISNUMBER('Council Entry'!AI$9)),MAX(MIN('Council Entry'!AI92,'Council Entry'!AI$9),'Council Entry'!AI$8),'Council Entry'!AI92)),IF(AND(ISNUMBER('Council Entry'!AI$8),ISNUMBER('Council Entry'!AI$9)),MAX(MIN('Council Entry'!AI92,'Council Entry'!AI$9),'Council Entry'!AI$8),'Council Entry'!AI92))))-'Council Entry'!AI$5)/('Council Entry'!AI$6-'Council Entry'!AI$5)),1))),"No data"))</f>
        <v/>
      </c>
      <c r="AJ92" s="13">
        <f>IF('Council Entry'!AJ92="","",IFERROR(MAX(0,MIN(10,ROUND(IF('Council Entry'!AJ$7="Decrease Risk",10-10*((IF('Council Entry'!AJ$4="Logarithm",LN(0.001+IF(AND(ISNUMBER('Council Entry'!AJ$8),ISNUMBER('Council Entry'!AJ$9)),MAX(MIN('Council Entry'!AJ92,'Council Entry'!AJ$9),'Council Entry'!AJ$8),'Council Entry'!AJ92)),IF('Council Entry'!AJ$4="Exponential",EXP(IF(AND(ISNUMBER('Council Entry'!AJ$8),ISNUMBER('Council Entry'!AJ$9)),MAX(MIN('Council Entry'!AJ92,'Council Entry'!AJ$9),'Council Entry'!AJ$8),'Council Entry'!AJ92)),IF(AND(ISNUMBER('Council Entry'!AJ$8),ISNUMBER('Council Entry'!AJ$9)),MAX(MIN('Council Entry'!AJ92,'Council Entry'!AJ$9),'Council Entry'!AJ$8),'Council Entry'!AJ92))))-'Council Entry'!AJ$5)/('Council Entry'!AJ$6-'Council Entry'!AJ$5),10*((IF('Council Entry'!AJ$4="Logarithm",LN(0.001+IF(AND(ISNUMBER('Council Entry'!AJ$8),ISNUMBER('Council Entry'!AJ$9)),MAX(MIN('Council Entry'!AJ92,'Council Entry'!AJ$9),'Council Entry'!AJ$8),'Council Entry'!AJ92)),IF('Council Entry'!AJ$4="Exponential",EXP(IF(AND(ISNUMBER('Council Entry'!AJ$8),ISNUMBER('Council Entry'!AJ$9)),MAX(MIN('Council Entry'!AJ92,'Council Entry'!AJ$9),'Council Entry'!AJ$8),'Council Entry'!AJ92)),IF(AND(ISNUMBER('Council Entry'!AJ$8),ISNUMBER('Council Entry'!AJ$9)),MAX(MIN('Council Entry'!AJ92,'Council Entry'!AJ$9),'Council Entry'!AJ$8),'Council Entry'!AJ92))))-'Council Entry'!AJ$5)/('Council Entry'!AJ$6-'Council Entry'!AJ$5)),1))),"No data"))</f>
        <v/>
      </c>
      <c r="AK92" s="13">
        <f>IF('Council Entry'!AK92="","",IFERROR(MAX(0,MIN(10,ROUND(IF('Council Entry'!AK$7="Decrease Risk",10-10*((IF('Council Entry'!AK$4="Logarithm",LN(0.001+IF(AND(ISNUMBER('Council Entry'!AK$8),ISNUMBER('Council Entry'!AK$9)),MAX(MIN('Council Entry'!AK92,'Council Entry'!AK$9),'Council Entry'!AK$8),'Council Entry'!AK92)),IF('Council Entry'!AK$4="Exponential",EXP(IF(AND(ISNUMBER('Council Entry'!AK$8),ISNUMBER('Council Entry'!AK$9)),MAX(MIN('Council Entry'!AK92,'Council Entry'!AK$9),'Council Entry'!AK$8),'Council Entry'!AK92)),IF(AND(ISNUMBER('Council Entry'!AK$8),ISNUMBER('Council Entry'!AK$9)),MAX(MIN('Council Entry'!AK92,'Council Entry'!AK$9),'Council Entry'!AK$8),'Council Entry'!AK92))))-'Council Entry'!AK$5)/('Council Entry'!AK$6-'Council Entry'!AK$5),10*((IF('Council Entry'!AK$4="Logarithm",LN(0.001+IF(AND(ISNUMBER('Council Entry'!AK$8),ISNUMBER('Council Entry'!AK$9)),MAX(MIN('Council Entry'!AK92,'Council Entry'!AK$9),'Council Entry'!AK$8),'Council Entry'!AK92)),IF('Council Entry'!AK$4="Exponential",EXP(IF(AND(ISNUMBER('Council Entry'!AK$8),ISNUMBER('Council Entry'!AK$9)),MAX(MIN('Council Entry'!AK92,'Council Entry'!AK$9),'Council Entry'!AK$8),'Council Entry'!AK92)),IF(AND(ISNUMBER('Council Entry'!AK$8),ISNUMBER('Council Entry'!AK$9)),MAX(MIN('Council Entry'!AK92,'Council Entry'!AK$9),'Council Entry'!AK$8),'Council Entry'!AK92))))-'Council Entry'!AK$5)/('Council Entry'!AK$6-'Council Entry'!AK$5)),1))),"No data"))</f>
        <v/>
      </c>
      <c r="AL92" s="13">
        <f>IF('Council Entry'!AL92="","",IFERROR(MAX(0,MIN(10,ROUND(IF('Council Entry'!AL$7="Decrease Risk",10-10*((IF('Council Entry'!AL$4="Logarithm",LN(0.001+IF(AND(ISNUMBER('Council Entry'!AL$8),ISNUMBER('Council Entry'!AL$9)),MAX(MIN('Council Entry'!AL92,'Council Entry'!AL$9),'Council Entry'!AL$8),'Council Entry'!AL92)),IF('Council Entry'!AL$4="Exponential",EXP(IF(AND(ISNUMBER('Council Entry'!AL$8),ISNUMBER('Council Entry'!AL$9)),MAX(MIN('Council Entry'!AL92,'Council Entry'!AL$9),'Council Entry'!AL$8),'Council Entry'!AL92)),IF(AND(ISNUMBER('Council Entry'!AL$8),ISNUMBER('Council Entry'!AL$9)),MAX(MIN('Council Entry'!AL92,'Council Entry'!AL$9),'Council Entry'!AL$8),'Council Entry'!AL92))))-'Council Entry'!AL$5)/('Council Entry'!AL$6-'Council Entry'!AL$5),10*((IF('Council Entry'!AL$4="Logarithm",LN(0.001+IF(AND(ISNUMBER('Council Entry'!AL$8),ISNUMBER('Council Entry'!AL$9)),MAX(MIN('Council Entry'!AL92,'Council Entry'!AL$9),'Council Entry'!AL$8),'Council Entry'!AL92)),IF('Council Entry'!AL$4="Exponential",EXP(IF(AND(ISNUMBER('Council Entry'!AL$8),ISNUMBER('Council Entry'!AL$9)),MAX(MIN('Council Entry'!AL92,'Council Entry'!AL$9),'Council Entry'!AL$8),'Council Entry'!AL92)),IF(AND(ISNUMBER('Council Entry'!AL$8),ISNUMBER('Council Entry'!AL$9)),MAX(MIN('Council Entry'!AL92,'Council Entry'!AL$9),'Council Entry'!AL$8),'Council Entry'!AL92))))-'Council Entry'!AL$5)/('Council Entry'!AL$6-'Council Entry'!AL$5)),1))),"No data"))</f>
        <v/>
      </c>
      <c r="AM92" s="13">
        <f>IF('Council Entry'!AM92="","",IFERROR(MAX(0,MIN(10,ROUND(IF('Council Entry'!AM$7="Decrease Risk",10-10*((IF('Council Entry'!AM$4="Logarithm",LN(0.001+IF(AND(ISNUMBER('Council Entry'!AM$8),ISNUMBER('Council Entry'!AM$9)),MAX(MIN('Council Entry'!AM92,'Council Entry'!AM$9),'Council Entry'!AM$8),'Council Entry'!AM92)),IF('Council Entry'!AM$4="Exponential",EXP(IF(AND(ISNUMBER('Council Entry'!AM$8),ISNUMBER('Council Entry'!AM$9)),MAX(MIN('Council Entry'!AM92,'Council Entry'!AM$9),'Council Entry'!AM$8),'Council Entry'!AM92)),IF(AND(ISNUMBER('Council Entry'!AM$8),ISNUMBER('Council Entry'!AM$9)),MAX(MIN('Council Entry'!AM92,'Council Entry'!AM$9),'Council Entry'!AM$8),'Council Entry'!AM92))))-'Council Entry'!AM$5)/('Council Entry'!AM$6-'Council Entry'!AM$5),10*((IF('Council Entry'!AM$4="Logarithm",LN(0.001+IF(AND(ISNUMBER('Council Entry'!AM$8),ISNUMBER('Council Entry'!AM$9)),MAX(MIN('Council Entry'!AM92,'Council Entry'!AM$9),'Council Entry'!AM$8),'Council Entry'!AM92)),IF('Council Entry'!AM$4="Exponential",EXP(IF(AND(ISNUMBER('Council Entry'!AM$8),ISNUMBER('Council Entry'!AM$9)),MAX(MIN('Council Entry'!AM92,'Council Entry'!AM$9),'Council Entry'!AM$8),'Council Entry'!AM92)),IF(AND(ISNUMBER('Council Entry'!AM$8),ISNUMBER('Council Entry'!AM$9)),MAX(MIN('Council Entry'!AM92,'Council Entry'!AM$9),'Council Entry'!AM$8),'Council Entry'!AM92))))-'Council Entry'!AM$5)/('Council Entry'!AM$6-'Council Entry'!AM$5)),1))),"No data"))</f>
        <v/>
      </c>
      <c r="AN92" s="13">
        <f>IF('Council Entry'!AN92="","",IFERROR(MAX(0,MIN(10,ROUND(IF('Council Entry'!AN$7="Decrease Risk",10-10*((IF('Council Entry'!AN$4="Logarithm",LN(0.001+IF(AND(ISNUMBER('Council Entry'!AN$8),ISNUMBER('Council Entry'!AN$9)),MAX(MIN('Council Entry'!AN92,'Council Entry'!AN$9),'Council Entry'!AN$8),'Council Entry'!AN92)),IF('Council Entry'!AN$4="Exponential",EXP(IF(AND(ISNUMBER('Council Entry'!AN$8),ISNUMBER('Council Entry'!AN$9)),MAX(MIN('Council Entry'!AN92,'Council Entry'!AN$9),'Council Entry'!AN$8),'Council Entry'!AN92)),IF(AND(ISNUMBER('Council Entry'!AN$8),ISNUMBER('Council Entry'!AN$9)),MAX(MIN('Council Entry'!AN92,'Council Entry'!AN$9),'Council Entry'!AN$8),'Council Entry'!AN92))))-'Council Entry'!AN$5)/('Council Entry'!AN$6-'Council Entry'!AN$5),10*((IF('Council Entry'!AN$4="Logarithm",LN(0.001+IF(AND(ISNUMBER('Council Entry'!AN$8),ISNUMBER('Council Entry'!AN$9)),MAX(MIN('Council Entry'!AN92,'Council Entry'!AN$9),'Council Entry'!AN$8),'Council Entry'!AN92)),IF('Council Entry'!AN$4="Exponential",EXP(IF(AND(ISNUMBER('Council Entry'!AN$8),ISNUMBER('Council Entry'!AN$9)),MAX(MIN('Council Entry'!AN92,'Council Entry'!AN$9),'Council Entry'!AN$8),'Council Entry'!AN92)),IF(AND(ISNUMBER('Council Entry'!AN$8),ISNUMBER('Council Entry'!AN$9)),MAX(MIN('Council Entry'!AN92,'Council Entry'!AN$9),'Council Entry'!AN$8),'Council Entry'!AN92))))-'Council Entry'!AN$5)/('Council Entry'!AN$6-'Council Entry'!AN$5)),1))),"No data"))</f>
        <v/>
      </c>
      <c r="AO92" s="13">
        <f>IF('Council Entry'!AO92="","",IFERROR(MAX(0,MIN(10,ROUND(IF('Council Entry'!AO$7="Decrease Risk",10-10*((IF('Council Entry'!AO$4="Logarithm",LN(0.001+IF(AND(ISNUMBER('Council Entry'!AO$8),ISNUMBER('Council Entry'!AO$9)),MAX(MIN('Council Entry'!AO92,'Council Entry'!AO$9),'Council Entry'!AO$8),'Council Entry'!AO92)),IF('Council Entry'!AO$4="Exponential",EXP(IF(AND(ISNUMBER('Council Entry'!AO$8),ISNUMBER('Council Entry'!AO$9)),MAX(MIN('Council Entry'!AO92,'Council Entry'!AO$9),'Council Entry'!AO$8),'Council Entry'!AO92)),IF(AND(ISNUMBER('Council Entry'!AO$8),ISNUMBER('Council Entry'!AO$9)),MAX(MIN('Council Entry'!AO92,'Council Entry'!AO$9),'Council Entry'!AO$8),'Council Entry'!AO92))))-'Council Entry'!AO$5)/('Council Entry'!AO$6-'Council Entry'!AO$5),10*((IF('Council Entry'!AO$4="Logarithm",LN(0.001+IF(AND(ISNUMBER('Council Entry'!AO$8),ISNUMBER('Council Entry'!AO$9)),MAX(MIN('Council Entry'!AO92,'Council Entry'!AO$9),'Council Entry'!AO$8),'Council Entry'!AO92)),IF('Council Entry'!AO$4="Exponential",EXP(IF(AND(ISNUMBER('Council Entry'!AO$8),ISNUMBER('Council Entry'!AO$9)),MAX(MIN('Council Entry'!AO92,'Council Entry'!AO$9),'Council Entry'!AO$8),'Council Entry'!AO92)),IF(AND(ISNUMBER('Council Entry'!AO$8),ISNUMBER('Council Entry'!AO$9)),MAX(MIN('Council Entry'!AO92,'Council Entry'!AO$9),'Council Entry'!AO$8),'Council Entry'!AO92))))-'Council Entry'!AO$5)/('Council Entry'!AO$6-'Council Entry'!AO$5)),1))),"No data"))</f>
        <v/>
      </c>
      <c r="AP92" s="13">
        <f>IF('Council Entry'!AP92="","",IFERROR(MAX(0,MIN(10,ROUND(IF('Council Entry'!AP$7="Decrease Risk",10-10*((IF('Council Entry'!AP$4="Logarithm",LN(0.001+IF(AND(ISNUMBER('Council Entry'!AP$8),ISNUMBER('Council Entry'!AP$9)),MAX(MIN('Council Entry'!AP92,'Council Entry'!AP$9),'Council Entry'!AP$8),'Council Entry'!AP92)),IF('Council Entry'!AP$4="Exponential",EXP(IF(AND(ISNUMBER('Council Entry'!AP$8),ISNUMBER('Council Entry'!AP$9)),MAX(MIN('Council Entry'!AP92,'Council Entry'!AP$9),'Council Entry'!AP$8),'Council Entry'!AP92)),IF(AND(ISNUMBER('Council Entry'!AP$8),ISNUMBER('Council Entry'!AP$9)),MAX(MIN('Council Entry'!AP92,'Council Entry'!AP$9),'Council Entry'!AP$8),'Council Entry'!AP92))))-'Council Entry'!AP$5)/('Council Entry'!AP$6-'Council Entry'!AP$5),10*((IF('Council Entry'!AP$4="Logarithm",LN(0.001+IF(AND(ISNUMBER('Council Entry'!AP$8),ISNUMBER('Council Entry'!AP$9)),MAX(MIN('Council Entry'!AP92,'Council Entry'!AP$9),'Council Entry'!AP$8),'Council Entry'!AP92)),IF('Council Entry'!AP$4="Exponential",EXP(IF(AND(ISNUMBER('Council Entry'!AP$8),ISNUMBER('Council Entry'!AP$9)),MAX(MIN('Council Entry'!AP92,'Council Entry'!AP$9),'Council Entry'!AP$8),'Council Entry'!AP92)),IF(AND(ISNUMBER('Council Entry'!AP$8),ISNUMBER('Council Entry'!AP$9)),MAX(MIN('Council Entry'!AP92,'Council Entry'!AP$9),'Council Entry'!AP$8),'Council Entry'!AP92))))-'Council Entry'!AP$5)/('Council Entry'!AP$6-'Council Entry'!AP$5)),1))),"No data"))</f>
        <v/>
      </c>
      <c r="AQ92" s="13">
        <f>IF('Council Entry'!AQ92="","",IFERROR(MAX(0,MIN(10,ROUND(IF('Council Entry'!AQ$7="Decrease Risk",10-10*((IF('Council Entry'!AQ$4="Logarithm",LN(0.001+IF(AND(ISNUMBER('Council Entry'!AQ$8),ISNUMBER('Council Entry'!AQ$9)),MAX(MIN('Council Entry'!AQ92,'Council Entry'!AQ$9),'Council Entry'!AQ$8),'Council Entry'!AQ92)),IF('Council Entry'!AQ$4="Exponential",EXP(IF(AND(ISNUMBER('Council Entry'!AQ$8),ISNUMBER('Council Entry'!AQ$9)),MAX(MIN('Council Entry'!AQ92,'Council Entry'!AQ$9),'Council Entry'!AQ$8),'Council Entry'!AQ92)),IF(AND(ISNUMBER('Council Entry'!AQ$8),ISNUMBER('Council Entry'!AQ$9)),MAX(MIN('Council Entry'!AQ92,'Council Entry'!AQ$9),'Council Entry'!AQ$8),'Council Entry'!AQ92))))-'Council Entry'!AQ$5)/('Council Entry'!AQ$6-'Council Entry'!AQ$5),10*((IF('Council Entry'!AQ$4="Logarithm",LN(0.001+IF(AND(ISNUMBER('Council Entry'!AQ$8),ISNUMBER('Council Entry'!AQ$9)),MAX(MIN('Council Entry'!AQ92,'Council Entry'!AQ$9),'Council Entry'!AQ$8),'Council Entry'!AQ92)),IF('Council Entry'!AQ$4="Exponential",EXP(IF(AND(ISNUMBER('Council Entry'!AQ$8),ISNUMBER('Council Entry'!AQ$9)),MAX(MIN('Council Entry'!AQ92,'Council Entry'!AQ$9),'Council Entry'!AQ$8),'Council Entry'!AQ92)),IF(AND(ISNUMBER('Council Entry'!AQ$8),ISNUMBER('Council Entry'!AQ$9)),MAX(MIN('Council Entry'!AQ92,'Council Entry'!AQ$9),'Council Entry'!AQ$8),'Council Entry'!AQ92))))-'Council Entry'!AQ$5)/('Council Entry'!AQ$6-'Council Entry'!AQ$5)),1))),"No data"))</f>
        <v/>
      </c>
      <c r="AR92" s="13">
        <f>IF('Council Entry'!AR92="","",IFERROR(MAX(0,MIN(10,ROUND(IF('Council Entry'!AR$7="Decrease Risk",10-10*((IF('Council Entry'!AR$4="Logarithm",LN(0.001+IF(AND(ISNUMBER('Council Entry'!AR$8),ISNUMBER('Council Entry'!AR$9)),MAX(MIN('Council Entry'!AR92,'Council Entry'!AR$9),'Council Entry'!AR$8),'Council Entry'!AR92)),IF('Council Entry'!AR$4="Exponential",EXP(IF(AND(ISNUMBER('Council Entry'!AR$8),ISNUMBER('Council Entry'!AR$9)),MAX(MIN('Council Entry'!AR92,'Council Entry'!AR$9),'Council Entry'!AR$8),'Council Entry'!AR92)),IF(AND(ISNUMBER('Council Entry'!AR$8),ISNUMBER('Council Entry'!AR$9)),MAX(MIN('Council Entry'!AR92,'Council Entry'!AR$9),'Council Entry'!AR$8),'Council Entry'!AR92))))-'Council Entry'!AR$5)/('Council Entry'!AR$6-'Council Entry'!AR$5),10*((IF('Council Entry'!AR$4="Logarithm",LN(0.001+IF(AND(ISNUMBER('Council Entry'!AR$8),ISNUMBER('Council Entry'!AR$9)),MAX(MIN('Council Entry'!AR92,'Council Entry'!AR$9),'Council Entry'!AR$8),'Council Entry'!AR92)),IF('Council Entry'!AR$4="Exponential",EXP(IF(AND(ISNUMBER('Council Entry'!AR$8),ISNUMBER('Council Entry'!AR$9)),MAX(MIN('Council Entry'!AR92,'Council Entry'!AR$9),'Council Entry'!AR$8),'Council Entry'!AR92)),IF(AND(ISNUMBER('Council Entry'!AR$8),ISNUMBER('Council Entry'!AR$9)),MAX(MIN('Council Entry'!AR92,'Council Entry'!AR$9),'Council Entry'!AR$8),'Council Entry'!AR92))))-'Council Entry'!AR$5)/('Council Entry'!AR$6-'Council Entry'!AR$5)),1))),"No data"))</f>
        <v/>
      </c>
      <c r="AS92" s="13">
        <f>IF('Council Entry'!AS92="","",IFERROR(MAX(0,MIN(10,ROUND(IF('Council Entry'!AS$7="Decrease Risk",10-10*((IF('Council Entry'!AS$4="Logarithm",LN(0.001+IF(AND(ISNUMBER('Council Entry'!AS$8),ISNUMBER('Council Entry'!AS$9)),MAX(MIN('Council Entry'!AS92,'Council Entry'!AS$9),'Council Entry'!AS$8),'Council Entry'!AS92)),IF('Council Entry'!AS$4="Exponential",EXP(IF(AND(ISNUMBER('Council Entry'!AS$8),ISNUMBER('Council Entry'!AS$9)),MAX(MIN('Council Entry'!AS92,'Council Entry'!AS$9),'Council Entry'!AS$8),'Council Entry'!AS92)),IF(AND(ISNUMBER('Council Entry'!AS$8),ISNUMBER('Council Entry'!AS$9)),MAX(MIN('Council Entry'!AS92,'Council Entry'!AS$9),'Council Entry'!AS$8),'Council Entry'!AS92))))-'Council Entry'!AS$5)/('Council Entry'!AS$6-'Council Entry'!AS$5),10*((IF('Council Entry'!AS$4="Logarithm",LN(0.001+IF(AND(ISNUMBER('Council Entry'!AS$8),ISNUMBER('Council Entry'!AS$9)),MAX(MIN('Council Entry'!AS92,'Council Entry'!AS$9),'Council Entry'!AS$8),'Council Entry'!AS92)),IF('Council Entry'!AS$4="Exponential",EXP(IF(AND(ISNUMBER('Council Entry'!AS$8),ISNUMBER('Council Entry'!AS$9)),MAX(MIN('Council Entry'!AS92,'Council Entry'!AS$9),'Council Entry'!AS$8),'Council Entry'!AS92)),IF(AND(ISNUMBER('Council Entry'!AS$8),ISNUMBER('Council Entry'!AS$9)),MAX(MIN('Council Entry'!AS92,'Council Entry'!AS$9),'Council Entry'!AS$8),'Council Entry'!AS92))))-'Council Entry'!AS$5)/('Council Entry'!AS$6-'Council Entry'!AS$5)),1))),"No data"))</f>
        <v/>
      </c>
      <c r="AT92" s="13">
        <f>IF('Council Entry'!AT92="","",IFERROR(MAX(0,MIN(10,ROUND(IF('Council Entry'!AT$7="Decrease Risk",10-10*((IF('Council Entry'!AT$4="Logarithm",LN(0.001+IF(AND(ISNUMBER('Council Entry'!AT$8),ISNUMBER('Council Entry'!AT$9)),MAX(MIN('Council Entry'!AT92,'Council Entry'!AT$9),'Council Entry'!AT$8),'Council Entry'!AT92)),IF('Council Entry'!AT$4="Exponential",EXP(IF(AND(ISNUMBER('Council Entry'!AT$8),ISNUMBER('Council Entry'!AT$9)),MAX(MIN('Council Entry'!AT92,'Council Entry'!AT$9),'Council Entry'!AT$8),'Council Entry'!AT92)),IF(AND(ISNUMBER('Council Entry'!AT$8),ISNUMBER('Council Entry'!AT$9)),MAX(MIN('Council Entry'!AT92,'Council Entry'!AT$9),'Council Entry'!AT$8),'Council Entry'!AT92))))-'Council Entry'!AT$5)/('Council Entry'!AT$6-'Council Entry'!AT$5),10*((IF('Council Entry'!AT$4="Logarithm",LN(0.001+IF(AND(ISNUMBER('Council Entry'!AT$8),ISNUMBER('Council Entry'!AT$9)),MAX(MIN('Council Entry'!AT92,'Council Entry'!AT$9),'Council Entry'!AT$8),'Council Entry'!AT92)),IF('Council Entry'!AT$4="Exponential",EXP(IF(AND(ISNUMBER('Council Entry'!AT$8),ISNUMBER('Council Entry'!AT$9)),MAX(MIN('Council Entry'!AT92,'Council Entry'!AT$9),'Council Entry'!AT$8),'Council Entry'!AT92)),IF(AND(ISNUMBER('Council Entry'!AT$8),ISNUMBER('Council Entry'!AT$9)),MAX(MIN('Council Entry'!AT92,'Council Entry'!AT$9),'Council Entry'!AT$8),'Council Entry'!AT92))))-'Council Entry'!AT$5)/('Council Entry'!AT$6-'Council Entry'!AT$5)),1))),"No data"))</f>
        <v/>
      </c>
      <c r="AU92" s="13">
        <f>IF('Council Entry'!AU92="","",IFERROR(MAX(0,MIN(10,ROUND(IF('Council Entry'!AU$7="Decrease Risk",10-10*((IF('Council Entry'!AU$4="Logarithm",LN(0.001+IF(AND(ISNUMBER('Council Entry'!AU$8),ISNUMBER('Council Entry'!AU$9)),MAX(MIN('Council Entry'!AU92,'Council Entry'!AU$9),'Council Entry'!AU$8),'Council Entry'!AU92)),IF('Council Entry'!AU$4="Exponential",EXP(IF(AND(ISNUMBER('Council Entry'!AU$8),ISNUMBER('Council Entry'!AU$9)),MAX(MIN('Council Entry'!AU92,'Council Entry'!AU$9),'Council Entry'!AU$8),'Council Entry'!AU92)),IF(AND(ISNUMBER('Council Entry'!AU$8),ISNUMBER('Council Entry'!AU$9)),MAX(MIN('Council Entry'!AU92,'Council Entry'!AU$9),'Council Entry'!AU$8),'Council Entry'!AU92))))-'Council Entry'!AU$5)/('Council Entry'!AU$6-'Council Entry'!AU$5),10*((IF('Council Entry'!AU$4="Logarithm",LN(0.001+IF(AND(ISNUMBER('Council Entry'!AU$8),ISNUMBER('Council Entry'!AU$9)),MAX(MIN('Council Entry'!AU92,'Council Entry'!AU$9),'Council Entry'!AU$8),'Council Entry'!AU92)),IF('Council Entry'!AU$4="Exponential",EXP(IF(AND(ISNUMBER('Council Entry'!AU$8),ISNUMBER('Council Entry'!AU$9)),MAX(MIN('Council Entry'!AU92,'Council Entry'!AU$9),'Council Entry'!AU$8),'Council Entry'!AU92)),IF(AND(ISNUMBER('Council Entry'!AU$8),ISNUMBER('Council Entry'!AU$9)),MAX(MIN('Council Entry'!AU92,'Council Entry'!AU$9),'Council Entry'!AU$8),'Council Entry'!AU92))))-'Council Entry'!AU$5)/('Council Entry'!AU$6-'Council Entry'!AU$5)),1))),"No data"))</f>
        <v/>
      </c>
      <c r="AV92" s="13">
        <f>IF('Council Entry'!AV92="","",IFERROR(MAX(0,MIN(10,ROUND(IF('Council Entry'!AV$7="Decrease Risk",10-10*((IF('Council Entry'!AV$4="Logarithm",LN(0.001+IF(AND(ISNUMBER('Council Entry'!AV$8),ISNUMBER('Council Entry'!AV$9)),MAX(MIN('Council Entry'!AV92,'Council Entry'!AV$9),'Council Entry'!AV$8),'Council Entry'!AV92)),IF('Council Entry'!AV$4="Exponential",EXP(IF(AND(ISNUMBER('Council Entry'!AV$8),ISNUMBER('Council Entry'!AV$9)),MAX(MIN('Council Entry'!AV92,'Council Entry'!AV$9),'Council Entry'!AV$8),'Council Entry'!AV92)),IF(AND(ISNUMBER('Council Entry'!AV$8),ISNUMBER('Council Entry'!AV$9)),MAX(MIN('Council Entry'!AV92,'Council Entry'!AV$9),'Council Entry'!AV$8),'Council Entry'!AV92))))-'Council Entry'!AV$5)/('Council Entry'!AV$6-'Council Entry'!AV$5),10*((IF('Council Entry'!AV$4="Logarithm",LN(0.001+IF(AND(ISNUMBER('Council Entry'!AV$8),ISNUMBER('Council Entry'!AV$9)),MAX(MIN('Council Entry'!AV92,'Council Entry'!AV$9),'Council Entry'!AV$8),'Council Entry'!AV92)),IF('Council Entry'!AV$4="Exponential",EXP(IF(AND(ISNUMBER('Council Entry'!AV$8),ISNUMBER('Council Entry'!AV$9)),MAX(MIN('Council Entry'!AV92,'Council Entry'!AV$9),'Council Entry'!AV$8),'Council Entry'!AV92)),IF(AND(ISNUMBER('Council Entry'!AV$8),ISNUMBER('Council Entry'!AV$9)),MAX(MIN('Council Entry'!AV92,'Council Entry'!AV$9),'Council Entry'!AV$8),'Council Entry'!AV92))))-'Council Entry'!AV$5)/('Council Entry'!AV$6-'Council Entry'!AV$5)),1))),"No data"))</f>
        <v/>
      </c>
      <c r="AW92" s="13">
        <f>IF('Council Entry'!AW92="","",IFERROR(MAX(0,MIN(10,ROUND(IF('Council Entry'!AW$7="Decrease Risk",10-10*((IF('Council Entry'!AW$4="Logarithm",LN(0.001+IF(AND(ISNUMBER('Council Entry'!AW$8),ISNUMBER('Council Entry'!AW$9)),MAX(MIN('Council Entry'!AW92,'Council Entry'!AW$9),'Council Entry'!AW$8),'Council Entry'!AW92)),IF('Council Entry'!AW$4="Exponential",EXP(IF(AND(ISNUMBER('Council Entry'!AW$8),ISNUMBER('Council Entry'!AW$9)),MAX(MIN('Council Entry'!AW92,'Council Entry'!AW$9),'Council Entry'!AW$8),'Council Entry'!AW92)),IF(AND(ISNUMBER('Council Entry'!AW$8),ISNUMBER('Council Entry'!AW$9)),MAX(MIN('Council Entry'!AW92,'Council Entry'!AW$9),'Council Entry'!AW$8),'Council Entry'!AW92))))-'Council Entry'!AW$5)/('Council Entry'!AW$6-'Council Entry'!AW$5),10*((IF('Council Entry'!AW$4="Logarithm",LN(0.001+IF(AND(ISNUMBER('Council Entry'!AW$8),ISNUMBER('Council Entry'!AW$9)),MAX(MIN('Council Entry'!AW92,'Council Entry'!AW$9),'Council Entry'!AW$8),'Council Entry'!AW92)),IF('Council Entry'!AW$4="Exponential",EXP(IF(AND(ISNUMBER('Council Entry'!AW$8),ISNUMBER('Council Entry'!AW$9)),MAX(MIN('Council Entry'!AW92,'Council Entry'!AW$9),'Council Entry'!AW$8),'Council Entry'!AW92)),IF(AND(ISNUMBER('Council Entry'!AW$8),ISNUMBER('Council Entry'!AW$9)),MAX(MIN('Council Entry'!AW92,'Council Entry'!AW$9),'Council Entry'!AW$8),'Council Entry'!AW92))))-'Council Entry'!AW$5)/('Council Entry'!AW$6-'Council Entry'!AW$5)),1))),"No data"))</f>
        <v/>
      </c>
      <c r="AX92" s="13">
        <f>IF('Council Entry'!AX92="","",IFERROR(MAX(0,MIN(10,ROUND(IF('Council Entry'!AX$7="Decrease Risk",10-10*((IF('Council Entry'!AX$4="Logarithm",LN(0.001+IF(AND(ISNUMBER('Council Entry'!AX$8),ISNUMBER('Council Entry'!AX$9)),MAX(MIN('Council Entry'!AX92,'Council Entry'!AX$9),'Council Entry'!AX$8),'Council Entry'!AX92)),IF('Council Entry'!AX$4="Exponential",EXP(IF(AND(ISNUMBER('Council Entry'!AX$8),ISNUMBER('Council Entry'!AX$9)),MAX(MIN('Council Entry'!AX92,'Council Entry'!AX$9),'Council Entry'!AX$8),'Council Entry'!AX92)),IF(AND(ISNUMBER('Council Entry'!AX$8),ISNUMBER('Council Entry'!AX$9)),MAX(MIN('Council Entry'!AX92,'Council Entry'!AX$9),'Council Entry'!AX$8),'Council Entry'!AX92))))-'Council Entry'!AX$5)/('Council Entry'!AX$6-'Council Entry'!AX$5),10*((IF('Council Entry'!AX$4="Logarithm",LN(0.001+IF(AND(ISNUMBER('Council Entry'!AX$8),ISNUMBER('Council Entry'!AX$9)),MAX(MIN('Council Entry'!AX92,'Council Entry'!AX$9),'Council Entry'!AX$8),'Council Entry'!AX92)),IF('Council Entry'!AX$4="Exponential",EXP(IF(AND(ISNUMBER('Council Entry'!AX$8),ISNUMBER('Council Entry'!AX$9)),MAX(MIN('Council Entry'!AX92,'Council Entry'!AX$9),'Council Entry'!AX$8),'Council Entry'!AX92)),IF(AND(ISNUMBER('Council Entry'!AX$8),ISNUMBER('Council Entry'!AX$9)),MAX(MIN('Council Entry'!AX92,'Council Entry'!AX$9),'Council Entry'!AX$8),'Council Entry'!AX92))))-'Council Entry'!AX$5)/('Council Entry'!AX$6-'Council Entry'!AX$5)),1))),"No data"))</f>
        <v/>
      </c>
      <c r="AY92" s="13">
        <f>IF('Council Entry'!AY92="","",IFERROR(MAX(0,MIN(10,ROUND(IF('Council Entry'!AY$7="Decrease Risk",10-10*((IF('Council Entry'!AY$4="Logarithm",LN(0.001+IF(AND(ISNUMBER('Council Entry'!AY$8),ISNUMBER('Council Entry'!AY$9)),MAX(MIN('Council Entry'!AY92,'Council Entry'!AY$9),'Council Entry'!AY$8),'Council Entry'!AY92)),IF('Council Entry'!AY$4="Exponential",EXP(IF(AND(ISNUMBER('Council Entry'!AY$8),ISNUMBER('Council Entry'!AY$9)),MAX(MIN('Council Entry'!AY92,'Council Entry'!AY$9),'Council Entry'!AY$8),'Council Entry'!AY92)),IF(AND(ISNUMBER('Council Entry'!AY$8),ISNUMBER('Council Entry'!AY$9)),MAX(MIN('Council Entry'!AY92,'Council Entry'!AY$9),'Council Entry'!AY$8),'Council Entry'!AY92))))-'Council Entry'!AY$5)/('Council Entry'!AY$6-'Council Entry'!AY$5),10*((IF('Council Entry'!AY$4="Logarithm",LN(0.001+IF(AND(ISNUMBER('Council Entry'!AY$8),ISNUMBER('Council Entry'!AY$9)),MAX(MIN('Council Entry'!AY92,'Council Entry'!AY$9),'Council Entry'!AY$8),'Council Entry'!AY92)),IF('Council Entry'!AY$4="Exponential",EXP(IF(AND(ISNUMBER('Council Entry'!AY$8),ISNUMBER('Council Entry'!AY$9)),MAX(MIN('Council Entry'!AY92,'Council Entry'!AY$9),'Council Entry'!AY$8),'Council Entry'!AY92)),IF(AND(ISNUMBER('Council Entry'!AY$8),ISNUMBER('Council Entry'!AY$9)),MAX(MIN('Council Entry'!AY92,'Council Entry'!AY$9),'Council Entry'!AY$8),'Council Entry'!AY92))))-'Council Entry'!AY$5)/('Council Entry'!AY$6-'Council Entry'!AY$5)),1))),"No data"))</f>
        <v/>
      </c>
      <c r="AZ92" s="13">
        <f>IF('Council Entry'!AZ92="","",IFERROR(MAX(0,MIN(10,ROUND(IF('Council Entry'!AZ$7="Decrease Risk",10-10*((IF('Council Entry'!AZ$4="Logarithm",LN(0.001+IF(AND(ISNUMBER('Council Entry'!AZ$8),ISNUMBER('Council Entry'!AZ$9)),MAX(MIN('Council Entry'!AZ92,'Council Entry'!AZ$9),'Council Entry'!AZ$8),'Council Entry'!AZ92)),IF('Council Entry'!AZ$4="Exponential",EXP(IF(AND(ISNUMBER('Council Entry'!AZ$8),ISNUMBER('Council Entry'!AZ$9)),MAX(MIN('Council Entry'!AZ92,'Council Entry'!AZ$9),'Council Entry'!AZ$8),'Council Entry'!AZ92)),IF(AND(ISNUMBER('Council Entry'!AZ$8),ISNUMBER('Council Entry'!AZ$9)),MAX(MIN('Council Entry'!AZ92,'Council Entry'!AZ$9),'Council Entry'!AZ$8),'Council Entry'!AZ92))))-'Council Entry'!AZ$5)/('Council Entry'!AZ$6-'Council Entry'!AZ$5),10*((IF('Council Entry'!AZ$4="Logarithm",LN(0.001+IF(AND(ISNUMBER('Council Entry'!AZ$8),ISNUMBER('Council Entry'!AZ$9)),MAX(MIN('Council Entry'!AZ92,'Council Entry'!AZ$9),'Council Entry'!AZ$8),'Council Entry'!AZ92)),IF('Council Entry'!AZ$4="Exponential",EXP(IF(AND(ISNUMBER('Council Entry'!AZ$8),ISNUMBER('Council Entry'!AZ$9)),MAX(MIN('Council Entry'!AZ92,'Council Entry'!AZ$9),'Council Entry'!AZ$8),'Council Entry'!AZ92)),IF(AND(ISNUMBER('Council Entry'!AZ$8),ISNUMBER('Council Entry'!AZ$9)),MAX(MIN('Council Entry'!AZ92,'Council Entry'!AZ$9),'Council Entry'!AZ$8),'Council Entry'!AZ92))))-'Council Entry'!AZ$5)/('Council Entry'!AZ$6-'Council Entry'!AZ$5)),1))),"No data"))</f>
        <v/>
      </c>
      <c r="BA92" s="13">
        <f>IF('Council Entry'!BA92="","",IFERROR(MAX(0,MIN(10,ROUND(IF('Council Entry'!BA$7="Decrease Risk",10-10*((IF('Council Entry'!BA$4="Logarithm",LN(0.001+IF(AND(ISNUMBER('Council Entry'!BA$8),ISNUMBER('Council Entry'!BA$9)),MAX(MIN('Council Entry'!BA92,'Council Entry'!BA$9),'Council Entry'!BA$8),'Council Entry'!BA92)),IF('Council Entry'!BA$4="Exponential",EXP(IF(AND(ISNUMBER('Council Entry'!BA$8),ISNUMBER('Council Entry'!BA$9)),MAX(MIN('Council Entry'!BA92,'Council Entry'!BA$9),'Council Entry'!BA$8),'Council Entry'!BA92)),IF(AND(ISNUMBER('Council Entry'!BA$8),ISNUMBER('Council Entry'!BA$9)),MAX(MIN('Council Entry'!BA92,'Council Entry'!BA$9),'Council Entry'!BA$8),'Council Entry'!BA92))))-'Council Entry'!BA$5)/('Council Entry'!BA$6-'Council Entry'!BA$5),10*((IF('Council Entry'!BA$4="Logarithm",LN(0.001+IF(AND(ISNUMBER('Council Entry'!BA$8),ISNUMBER('Council Entry'!BA$9)),MAX(MIN('Council Entry'!BA92,'Council Entry'!BA$9),'Council Entry'!BA$8),'Council Entry'!BA92)),IF('Council Entry'!BA$4="Exponential",EXP(IF(AND(ISNUMBER('Council Entry'!BA$8),ISNUMBER('Council Entry'!BA$9)),MAX(MIN('Council Entry'!BA92,'Council Entry'!BA$9),'Council Entry'!BA$8),'Council Entry'!BA92)),IF(AND(ISNUMBER('Council Entry'!BA$8),ISNUMBER('Council Entry'!BA$9)),MAX(MIN('Council Entry'!BA92,'Council Entry'!BA$9),'Council Entry'!BA$8),'Council Entry'!BA92))))-'Council Entry'!BA$5)/('Council Entry'!BA$6-'Council Entry'!BA$5)),1))),"No data"))</f>
        <v/>
      </c>
      <c r="BB92" s="13">
        <f>IF('Council Entry'!BB92="","",IFERROR(MAX(0,MIN(10,ROUND(IF('Council Entry'!BB$7="Decrease Risk",10-10*((IF('Council Entry'!BB$4="Logarithm",LN(0.001+IF(AND(ISNUMBER('Council Entry'!BB$8),ISNUMBER('Council Entry'!BB$9)),MAX(MIN('Council Entry'!BB92,'Council Entry'!BB$9),'Council Entry'!BB$8),'Council Entry'!BB92)),IF('Council Entry'!BB$4="Exponential",EXP(IF(AND(ISNUMBER('Council Entry'!BB$8),ISNUMBER('Council Entry'!BB$9)),MAX(MIN('Council Entry'!BB92,'Council Entry'!BB$9),'Council Entry'!BB$8),'Council Entry'!BB92)),IF(AND(ISNUMBER('Council Entry'!BB$8),ISNUMBER('Council Entry'!BB$9)),MAX(MIN('Council Entry'!BB92,'Council Entry'!BB$9),'Council Entry'!BB$8),'Council Entry'!BB92))))-'Council Entry'!BB$5)/('Council Entry'!BB$6-'Council Entry'!BB$5),10*((IF('Council Entry'!BB$4="Logarithm",LN(0.001+IF(AND(ISNUMBER('Council Entry'!BB$8),ISNUMBER('Council Entry'!BB$9)),MAX(MIN('Council Entry'!BB92,'Council Entry'!BB$9),'Council Entry'!BB$8),'Council Entry'!BB92)),IF('Council Entry'!BB$4="Exponential",EXP(IF(AND(ISNUMBER('Council Entry'!BB$8),ISNUMBER('Council Entry'!BB$9)),MAX(MIN('Council Entry'!BB92,'Council Entry'!BB$9),'Council Entry'!BB$8),'Council Entry'!BB92)),IF(AND(ISNUMBER('Council Entry'!BB$8),ISNUMBER('Council Entry'!BB$9)),MAX(MIN('Council Entry'!BB92,'Council Entry'!BB$9),'Council Entry'!BB$8),'Council Entry'!BB92))))-'Council Entry'!BB$5)/('Council Entry'!BB$6-'Council Entry'!BB$5)),1))),"No data"))</f>
        <v/>
      </c>
      <c r="BC92" s="13">
        <f>IF('Council Entry'!BC92="","",IFERROR(MAX(0,MIN(10,ROUND(IF('Council Entry'!BC$7="Decrease Risk",10-10*((IF('Council Entry'!BC$4="Logarithm",LN(0.001+IF(AND(ISNUMBER('Council Entry'!BC$8),ISNUMBER('Council Entry'!BC$9)),MAX(MIN('Council Entry'!BC92,'Council Entry'!BC$9),'Council Entry'!BC$8),'Council Entry'!BC92)),IF('Council Entry'!BC$4="Exponential",EXP(IF(AND(ISNUMBER('Council Entry'!BC$8),ISNUMBER('Council Entry'!BC$9)),MAX(MIN('Council Entry'!BC92,'Council Entry'!BC$9),'Council Entry'!BC$8),'Council Entry'!BC92)),IF(AND(ISNUMBER('Council Entry'!BC$8),ISNUMBER('Council Entry'!BC$9)),MAX(MIN('Council Entry'!BC92,'Council Entry'!BC$9),'Council Entry'!BC$8),'Council Entry'!BC92))))-'Council Entry'!BC$5)/('Council Entry'!BC$6-'Council Entry'!BC$5),10*((IF('Council Entry'!BC$4="Logarithm",LN(0.001+IF(AND(ISNUMBER('Council Entry'!BC$8),ISNUMBER('Council Entry'!BC$9)),MAX(MIN('Council Entry'!BC92,'Council Entry'!BC$9),'Council Entry'!BC$8),'Council Entry'!BC92)),IF('Council Entry'!BC$4="Exponential",EXP(IF(AND(ISNUMBER('Council Entry'!BC$8),ISNUMBER('Council Entry'!BC$9)),MAX(MIN('Council Entry'!BC92,'Council Entry'!BC$9),'Council Entry'!BC$8),'Council Entry'!BC92)),IF(AND(ISNUMBER('Council Entry'!BC$8),ISNUMBER('Council Entry'!BC$9)),MAX(MIN('Council Entry'!BC92,'Council Entry'!BC$9),'Council Entry'!BC$8),'Council Entry'!BC92))))-'Council Entry'!BC$5)/('Council Entry'!BC$6-'Council Entry'!BC$5)),1))),"No data"))</f>
        <v/>
      </c>
      <c r="BD92" s="13">
        <f>IF('Council Entry'!BD92="","",IFERROR(MAX(0,MIN(10,ROUND(IF('Council Entry'!BD$7="Decrease Risk",10-10*((IF('Council Entry'!BD$4="Logarithm",LN(0.001+IF(AND(ISNUMBER('Council Entry'!BD$8),ISNUMBER('Council Entry'!BD$9)),MAX(MIN('Council Entry'!BD92,'Council Entry'!BD$9),'Council Entry'!BD$8),'Council Entry'!BD92)),IF('Council Entry'!BD$4="Exponential",EXP(IF(AND(ISNUMBER('Council Entry'!BD$8),ISNUMBER('Council Entry'!BD$9)),MAX(MIN('Council Entry'!BD92,'Council Entry'!BD$9),'Council Entry'!BD$8),'Council Entry'!BD92)),IF(AND(ISNUMBER('Council Entry'!BD$8),ISNUMBER('Council Entry'!BD$9)),MAX(MIN('Council Entry'!BD92,'Council Entry'!BD$9),'Council Entry'!BD$8),'Council Entry'!BD92))))-'Council Entry'!BD$5)/('Council Entry'!BD$6-'Council Entry'!BD$5),10*((IF('Council Entry'!BD$4="Logarithm",LN(0.001+IF(AND(ISNUMBER('Council Entry'!BD$8),ISNUMBER('Council Entry'!BD$9)),MAX(MIN('Council Entry'!BD92,'Council Entry'!BD$9),'Council Entry'!BD$8),'Council Entry'!BD92)),IF('Council Entry'!BD$4="Exponential",EXP(IF(AND(ISNUMBER('Council Entry'!BD$8),ISNUMBER('Council Entry'!BD$9)),MAX(MIN('Council Entry'!BD92,'Council Entry'!BD$9),'Council Entry'!BD$8),'Council Entry'!BD92)),IF(AND(ISNUMBER('Council Entry'!BD$8),ISNUMBER('Council Entry'!BD$9)),MAX(MIN('Council Entry'!BD92,'Council Entry'!BD$9),'Council Entry'!BD$8),'Council Entry'!BD92))))-'Council Entry'!BD$5)/('Council Entry'!BD$6-'Council Entry'!BD$5)),1))),"No data"))</f>
        <v/>
      </c>
    </row>
    <row r="93">
      <c r="A93" t="inlineStr">
        <is>
          <t>Mara</t>
        </is>
      </c>
      <c r="B93" t="inlineStr">
        <is>
          <t>Butiama District</t>
        </is>
      </c>
      <c r="C93" t="inlineStr">
        <is>
          <t>C148</t>
        </is>
      </c>
      <c r="D93" s="13">
        <f>IF('Council Entry'!D93="","",IFERROR(MAX(0,MIN(10,ROUND(IF('Council Entry'!D$7="Decrease Risk",10-10*((IF('Council Entry'!D$4="Logarithm",LN(0.001+IF(AND(ISNUMBER('Council Entry'!D$8),ISNUMBER('Council Entry'!D$9)),MAX(MIN('Council Entry'!D93,'Council Entry'!D$9),'Council Entry'!D$8),'Council Entry'!D93)),IF('Council Entry'!D$4="Exponential",EXP(IF(AND(ISNUMBER('Council Entry'!D$8),ISNUMBER('Council Entry'!D$9)),MAX(MIN('Council Entry'!D93,'Council Entry'!D$9),'Council Entry'!D$8),'Council Entry'!D93)),IF(AND(ISNUMBER('Council Entry'!D$8),ISNUMBER('Council Entry'!D$9)),MAX(MIN('Council Entry'!D93,'Council Entry'!D$9),'Council Entry'!D$8),'Council Entry'!D93))))-'Council Entry'!D$5)/('Council Entry'!D$6-'Council Entry'!D$5),10*((IF('Council Entry'!D$4="Logarithm",LN(0.001+IF(AND(ISNUMBER('Council Entry'!D$8),ISNUMBER('Council Entry'!D$9)),MAX(MIN('Council Entry'!D93,'Council Entry'!D$9),'Council Entry'!D$8),'Council Entry'!D93)),IF('Council Entry'!D$4="Exponential",EXP(IF(AND(ISNUMBER('Council Entry'!D$8),ISNUMBER('Council Entry'!D$9)),MAX(MIN('Council Entry'!D93,'Council Entry'!D$9),'Council Entry'!D$8),'Council Entry'!D93)),IF(AND(ISNUMBER('Council Entry'!D$8),ISNUMBER('Council Entry'!D$9)),MAX(MIN('Council Entry'!D93,'Council Entry'!D$9),'Council Entry'!D$8),'Council Entry'!D93))))-'Council Entry'!D$5)/('Council Entry'!D$6-'Council Entry'!D$5)),1))),"No data"))</f>
        <v/>
      </c>
      <c r="E93" s="13">
        <f>IF('Council Entry'!E93="","",IFERROR(MAX(0,MIN(10,ROUND(IF('Council Entry'!E$7="Decrease Risk",10-10*((IF('Council Entry'!E$4="Logarithm",LN(0.001+IF(AND(ISNUMBER('Council Entry'!E$8),ISNUMBER('Council Entry'!E$9)),MAX(MIN('Council Entry'!E93,'Council Entry'!E$9),'Council Entry'!E$8),'Council Entry'!E93)),IF('Council Entry'!E$4="Exponential",EXP(IF(AND(ISNUMBER('Council Entry'!E$8),ISNUMBER('Council Entry'!E$9)),MAX(MIN('Council Entry'!E93,'Council Entry'!E$9),'Council Entry'!E$8),'Council Entry'!E93)),IF(AND(ISNUMBER('Council Entry'!E$8),ISNUMBER('Council Entry'!E$9)),MAX(MIN('Council Entry'!E93,'Council Entry'!E$9),'Council Entry'!E$8),'Council Entry'!E93))))-'Council Entry'!E$5)/('Council Entry'!E$6-'Council Entry'!E$5),10*((IF('Council Entry'!E$4="Logarithm",LN(0.001+IF(AND(ISNUMBER('Council Entry'!E$8),ISNUMBER('Council Entry'!E$9)),MAX(MIN('Council Entry'!E93,'Council Entry'!E$9),'Council Entry'!E$8),'Council Entry'!E93)),IF('Council Entry'!E$4="Exponential",EXP(IF(AND(ISNUMBER('Council Entry'!E$8),ISNUMBER('Council Entry'!E$9)),MAX(MIN('Council Entry'!E93,'Council Entry'!E$9),'Council Entry'!E$8),'Council Entry'!E93)),IF(AND(ISNUMBER('Council Entry'!E$8),ISNUMBER('Council Entry'!E$9)),MAX(MIN('Council Entry'!E93,'Council Entry'!E$9),'Council Entry'!E$8),'Council Entry'!E93))))-'Council Entry'!E$5)/('Council Entry'!E$6-'Council Entry'!E$5)),1))),"No data"))</f>
        <v/>
      </c>
      <c r="F93" s="13">
        <f>IF('Council Entry'!F93="","",IFERROR(MAX(0,MIN(10,ROUND(IF('Council Entry'!F$7="Decrease Risk",10-10*((IF('Council Entry'!F$4="Logarithm",LN(0.001+IF(AND(ISNUMBER('Council Entry'!F$8),ISNUMBER('Council Entry'!F$9)),MAX(MIN('Council Entry'!F93,'Council Entry'!F$9),'Council Entry'!F$8),'Council Entry'!F93)),IF('Council Entry'!F$4="Exponential",EXP(IF(AND(ISNUMBER('Council Entry'!F$8),ISNUMBER('Council Entry'!F$9)),MAX(MIN('Council Entry'!F93,'Council Entry'!F$9),'Council Entry'!F$8),'Council Entry'!F93)),IF(AND(ISNUMBER('Council Entry'!F$8),ISNUMBER('Council Entry'!F$9)),MAX(MIN('Council Entry'!F93,'Council Entry'!F$9),'Council Entry'!F$8),'Council Entry'!F93))))-'Council Entry'!F$5)/('Council Entry'!F$6-'Council Entry'!F$5),10*((IF('Council Entry'!F$4="Logarithm",LN(0.001+IF(AND(ISNUMBER('Council Entry'!F$8),ISNUMBER('Council Entry'!F$9)),MAX(MIN('Council Entry'!F93,'Council Entry'!F$9),'Council Entry'!F$8),'Council Entry'!F93)),IF('Council Entry'!F$4="Exponential",EXP(IF(AND(ISNUMBER('Council Entry'!F$8),ISNUMBER('Council Entry'!F$9)),MAX(MIN('Council Entry'!F93,'Council Entry'!F$9),'Council Entry'!F$8),'Council Entry'!F93)),IF(AND(ISNUMBER('Council Entry'!F$8),ISNUMBER('Council Entry'!F$9)),MAX(MIN('Council Entry'!F93,'Council Entry'!F$9),'Council Entry'!F$8),'Council Entry'!F93))))-'Council Entry'!F$5)/('Council Entry'!F$6-'Council Entry'!F$5)),1))),"No data"))</f>
        <v/>
      </c>
      <c r="G93" s="13">
        <f>IF('Council Entry'!G93="","",IFERROR(MAX(0,MIN(10,ROUND(IF('Council Entry'!G$7="Decrease Risk",10-10*((IF('Council Entry'!G$4="Logarithm",LN(0.001+IF(AND(ISNUMBER('Council Entry'!G$8),ISNUMBER('Council Entry'!G$9)),MAX(MIN('Council Entry'!G93,'Council Entry'!G$9),'Council Entry'!G$8),'Council Entry'!G93)),IF('Council Entry'!G$4="Exponential",EXP(IF(AND(ISNUMBER('Council Entry'!G$8),ISNUMBER('Council Entry'!G$9)),MAX(MIN('Council Entry'!G93,'Council Entry'!G$9),'Council Entry'!G$8),'Council Entry'!G93)),IF(AND(ISNUMBER('Council Entry'!G$8),ISNUMBER('Council Entry'!G$9)),MAX(MIN('Council Entry'!G93,'Council Entry'!G$9),'Council Entry'!G$8),'Council Entry'!G93))))-'Council Entry'!G$5)/('Council Entry'!G$6-'Council Entry'!G$5),10*((IF('Council Entry'!G$4="Logarithm",LN(0.001+IF(AND(ISNUMBER('Council Entry'!G$8),ISNUMBER('Council Entry'!G$9)),MAX(MIN('Council Entry'!G93,'Council Entry'!G$9),'Council Entry'!G$8),'Council Entry'!G93)),IF('Council Entry'!G$4="Exponential",EXP(IF(AND(ISNUMBER('Council Entry'!G$8),ISNUMBER('Council Entry'!G$9)),MAX(MIN('Council Entry'!G93,'Council Entry'!G$9),'Council Entry'!G$8),'Council Entry'!G93)),IF(AND(ISNUMBER('Council Entry'!G$8),ISNUMBER('Council Entry'!G$9)),MAX(MIN('Council Entry'!G93,'Council Entry'!G$9),'Council Entry'!G$8),'Council Entry'!G93))))-'Council Entry'!G$5)/('Council Entry'!G$6-'Council Entry'!G$5)),1))),"No data"))</f>
        <v/>
      </c>
      <c r="H93" s="13">
        <f>IF('Council Entry'!H93="","",IFERROR(MAX(0,MIN(10,ROUND(IF('Council Entry'!H$7="Decrease Risk",10-10*((IF('Council Entry'!H$4="Logarithm",LN(0.001+IF(AND(ISNUMBER('Council Entry'!H$8),ISNUMBER('Council Entry'!H$9)),MAX(MIN('Council Entry'!H93,'Council Entry'!H$9),'Council Entry'!H$8),'Council Entry'!H93)),IF('Council Entry'!H$4="Exponential",EXP(IF(AND(ISNUMBER('Council Entry'!H$8),ISNUMBER('Council Entry'!H$9)),MAX(MIN('Council Entry'!H93,'Council Entry'!H$9),'Council Entry'!H$8),'Council Entry'!H93)),IF(AND(ISNUMBER('Council Entry'!H$8),ISNUMBER('Council Entry'!H$9)),MAX(MIN('Council Entry'!H93,'Council Entry'!H$9),'Council Entry'!H$8),'Council Entry'!H93))))-'Council Entry'!H$5)/('Council Entry'!H$6-'Council Entry'!H$5),10*((IF('Council Entry'!H$4="Logarithm",LN(0.001+IF(AND(ISNUMBER('Council Entry'!H$8),ISNUMBER('Council Entry'!H$9)),MAX(MIN('Council Entry'!H93,'Council Entry'!H$9),'Council Entry'!H$8),'Council Entry'!H93)),IF('Council Entry'!H$4="Exponential",EXP(IF(AND(ISNUMBER('Council Entry'!H$8),ISNUMBER('Council Entry'!H$9)),MAX(MIN('Council Entry'!H93,'Council Entry'!H$9),'Council Entry'!H$8),'Council Entry'!H93)),IF(AND(ISNUMBER('Council Entry'!H$8),ISNUMBER('Council Entry'!H$9)),MAX(MIN('Council Entry'!H93,'Council Entry'!H$9),'Council Entry'!H$8),'Council Entry'!H93))))-'Council Entry'!H$5)/('Council Entry'!H$6-'Council Entry'!H$5)),1))),"No data"))</f>
        <v/>
      </c>
      <c r="I93" s="13">
        <f>IF('Council Entry'!I93="","",IFERROR(MAX(0,MIN(10,ROUND(IF('Council Entry'!I$7="Decrease Risk",10-10*((IF('Council Entry'!I$4="Logarithm",LN(0.001+IF(AND(ISNUMBER('Council Entry'!I$8),ISNUMBER('Council Entry'!I$9)),MAX(MIN('Council Entry'!I93,'Council Entry'!I$9),'Council Entry'!I$8),'Council Entry'!I93)),IF('Council Entry'!I$4="Exponential",EXP(IF(AND(ISNUMBER('Council Entry'!I$8),ISNUMBER('Council Entry'!I$9)),MAX(MIN('Council Entry'!I93,'Council Entry'!I$9),'Council Entry'!I$8),'Council Entry'!I93)),IF(AND(ISNUMBER('Council Entry'!I$8),ISNUMBER('Council Entry'!I$9)),MAX(MIN('Council Entry'!I93,'Council Entry'!I$9),'Council Entry'!I$8),'Council Entry'!I93))))-'Council Entry'!I$5)/('Council Entry'!I$6-'Council Entry'!I$5),10*((IF('Council Entry'!I$4="Logarithm",LN(0.001+IF(AND(ISNUMBER('Council Entry'!I$8),ISNUMBER('Council Entry'!I$9)),MAX(MIN('Council Entry'!I93,'Council Entry'!I$9),'Council Entry'!I$8),'Council Entry'!I93)),IF('Council Entry'!I$4="Exponential",EXP(IF(AND(ISNUMBER('Council Entry'!I$8),ISNUMBER('Council Entry'!I$9)),MAX(MIN('Council Entry'!I93,'Council Entry'!I$9),'Council Entry'!I$8),'Council Entry'!I93)),IF(AND(ISNUMBER('Council Entry'!I$8),ISNUMBER('Council Entry'!I$9)),MAX(MIN('Council Entry'!I93,'Council Entry'!I$9),'Council Entry'!I$8),'Council Entry'!I93))))-'Council Entry'!I$5)/('Council Entry'!I$6-'Council Entry'!I$5)),1))),"No data"))</f>
        <v/>
      </c>
      <c r="J93" s="13">
        <f>IF('Council Entry'!J93="","",IFERROR(MAX(0,MIN(10,ROUND(IF('Council Entry'!J$7="Decrease Risk",10-10*((IF('Council Entry'!J$4="Logarithm",LN(0.001+IF(AND(ISNUMBER('Council Entry'!J$8),ISNUMBER('Council Entry'!J$9)),MAX(MIN('Council Entry'!J93,'Council Entry'!J$9),'Council Entry'!J$8),'Council Entry'!J93)),IF('Council Entry'!J$4="Exponential",EXP(IF(AND(ISNUMBER('Council Entry'!J$8),ISNUMBER('Council Entry'!J$9)),MAX(MIN('Council Entry'!J93,'Council Entry'!J$9),'Council Entry'!J$8),'Council Entry'!J93)),IF(AND(ISNUMBER('Council Entry'!J$8),ISNUMBER('Council Entry'!J$9)),MAX(MIN('Council Entry'!J93,'Council Entry'!J$9),'Council Entry'!J$8),'Council Entry'!J93))))-'Council Entry'!J$5)/('Council Entry'!J$6-'Council Entry'!J$5),10*((IF('Council Entry'!J$4="Logarithm",LN(0.001+IF(AND(ISNUMBER('Council Entry'!J$8),ISNUMBER('Council Entry'!J$9)),MAX(MIN('Council Entry'!J93,'Council Entry'!J$9),'Council Entry'!J$8),'Council Entry'!J93)),IF('Council Entry'!J$4="Exponential",EXP(IF(AND(ISNUMBER('Council Entry'!J$8),ISNUMBER('Council Entry'!J$9)),MAX(MIN('Council Entry'!J93,'Council Entry'!J$9),'Council Entry'!J$8),'Council Entry'!J93)),IF(AND(ISNUMBER('Council Entry'!J$8),ISNUMBER('Council Entry'!J$9)),MAX(MIN('Council Entry'!J93,'Council Entry'!J$9),'Council Entry'!J$8),'Council Entry'!J93))))-'Council Entry'!J$5)/('Council Entry'!J$6-'Council Entry'!J$5)),1))),"No data"))</f>
        <v/>
      </c>
      <c r="K93" s="13">
        <f>IF('Council Entry'!K93="","",IFERROR(MAX(0,MIN(10,ROUND(IF('Council Entry'!K$7="Decrease Risk",10-10*((IF('Council Entry'!K$4="Logarithm",LN(0.001+IF(AND(ISNUMBER('Council Entry'!K$8),ISNUMBER('Council Entry'!K$9)),MAX(MIN('Council Entry'!K93,'Council Entry'!K$9),'Council Entry'!K$8),'Council Entry'!K93)),IF('Council Entry'!K$4="Exponential",EXP(IF(AND(ISNUMBER('Council Entry'!K$8),ISNUMBER('Council Entry'!K$9)),MAX(MIN('Council Entry'!K93,'Council Entry'!K$9),'Council Entry'!K$8),'Council Entry'!K93)),IF(AND(ISNUMBER('Council Entry'!K$8),ISNUMBER('Council Entry'!K$9)),MAX(MIN('Council Entry'!K93,'Council Entry'!K$9),'Council Entry'!K$8),'Council Entry'!K93))))-'Council Entry'!K$5)/('Council Entry'!K$6-'Council Entry'!K$5),10*((IF('Council Entry'!K$4="Logarithm",LN(0.001+IF(AND(ISNUMBER('Council Entry'!K$8),ISNUMBER('Council Entry'!K$9)),MAX(MIN('Council Entry'!K93,'Council Entry'!K$9),'Council Entry'!K$8),'Council Entry'!K93)),IF('Council Entry'!K$4="Exponential",EXP(IF(AND(ISNUMBER('Council Entry'!K$8),ISNUMBER('Council Entry'!K$9)),MAX(MIN('Council Entry'!K93,'Council Entry'!K$9),'Council Entry'!K$8),'Council Entry'!K93)),IF(AND(ISNUMBER('Council Entry'!K$8),ISNUMBER('Council Entry'!K$9)),MAX(MIN('Council Entry'!K93,'Council Entry'!K$9),'Council Entry'!K$8),'Council Entry'!K93))))-'Council Entry'!K$5)/('Council Entry'!K$6-'Council Entry'!K$5)),1))),"No data"))</f>
        <v/>
      </c>
      <c r="L93" s="13">
        <f>IF('Council Entry'!L93="","",IFERROR(MAX(0,MIN(10,ROUND(IF('Council Entry'!L$7="Decrease Risk",10-10*((IF('Council Entry'!L$4="Logarithm",LN(0.001+IF(AND(ISNUMBER('Council Entry'!L$8),ISNUMBER('Council Entry'!L$9)),MAX(MIN('Council Entry'!L93,'Council Entry'!L$9),'Council Entry'!L$8),'Council Entry'!L93)),IF('Council Entry'!L$4="Exponential",EXP(IF(AND(ISNUMBER('Council Entry'!L$8),ISNUMBER('Council Entry'!L$9)),MAX(MIN('Council Entry'!L93,'Council Entry'!L$9),'Council Entry'!L$8),'Council Entry'!L93)),IF(AND(ISNUMBER('Council Entry'!L$8),ISNUMBER('Council Entry'!L$9)),MAX(MIN('Council Entry'!L93,'Council Entry'!L$9),'Council Entry'!L$8),'Council Entry'!L93))))-'Council Entry'!L$5)/('Council Entry'!L$6-'Council Entry'!L$5),10*((IF('Council Entry'!L$4="Logarithm",LN(0.001+IF(AND(ISNUMBER('Council Entry'!L$8),ISNUMBER('Council Entry'!L$9)),MAX(MIN('Council Entry'!L93,'Council Entry'!L$9),'Council Entry'!L$8),'Council Entry'!L93)),IF('Council Entry'!L$4="Exponential",EXP(IF(AND(ISNUMBER('Council Entry'!L$8),ISNUMBER('Council Entry'!L$9)),MAX(MIN('Council Entry'!L93,'Council Entry'!L$9),'Council Entry'!L$8),'Council Entry'!L93)),IF(AND(ISNUMBER('Council Entry'!L$8),ISNUMBER('Council Entry'!L$9)),MAX(MIN('Council Entry'!L93,'Council Entry'!L$9),'Council Entry'!L$8),'Council Entry'!L93))))-'Council Entry'!L$5)/('Council Entry'!L$6-'Council Entry'!L$5)),1))),"No data"))</f>
        <v/>
      </c>
      <c r="M93" s="13">
        <f>IF('Council Entry'!M93="","",IFERROR(MAX(0,MIN(10,ROUND(IF('Council Entry'!M$7="Decrease Risk",10-10*((IF('Council Entry'!M$4="Logarithm",LN(0.001+IF(AND(ISNUMBER('Council Entry'!M$8),ISNUMBER('Council Entry'!M$9)),MAX(MIN('Council Entry'!M93,'Council Entry'!M$9),'Council Entry'!M$8),'Council Entry'!M93)),IF('Council Entry'!M$4="Exponential",EXP(IF(AND(ISNUMBER('Council Entry'!M$8),ISNUMBER('Council Entry'!M$9)),MAX(MIN('Council Entry'!M93,'Council Entry'!M$9),'Council Entry'!M$8),'Council Entry'!M93)),IF(AND(ISNUMBER('Council Entry'!M$8),ISNUMBER('Council Entry'!M$9)),MAX(MIN('Council Entry'!M93,'Council Entry'!M$9),'Council Entry'!M$8),'Council Entry'!M93))))-'Council Entry'!M$5)/('Council Entry'!M$6-'Council Entry'!M$5),10*((IF('Council Entry'!M$4="Logarithm",LN(0.001+IF(AND(ISNUMBER('Council Entry'!M$8),ISNUMBER('Council Entry'!M$9)),MAX(MIN('Council Entry'!M93,'Council Entry'!M$9),'Council Entry'!M$8),'Council Entry'!M93)),IF('Council Entry'!M$4="Exponential",EXP(IF(AND(ISNUMBER('Council Entry'!M$8),ISNUMBER('Council Entry'!M$9)),MAX(MIN('Council Entry'!M93,'Council Entry'!M$9),'Council Entry'!M$8),'Council Entry'!M93)),IF(AND(ISNUMBER('Council Entry'!M$8),ISNUMBER('Council Entry'!M$9)),MAX(MIN('Council Entry'!M93,'Council Entry'!M$9),'Council Entry'!M$8),'Council Entry'!M93))))-'Council Entry'!M$5)/('Council Entry'!M$6-'Council Entry'!M$5)),1))),"No data"))</f>
        <v/>
      </c>
      <c r="N93" s="13">
        <f>IF('Council Entry'!N93="","",IFERROR(MAX(0,MIN(10,ROUND(IF('Council Entry'!N$7="Decrease Risk",10-10*((IF('Council Entry'!N$4="Logarithm",LN(0.001+IF(AND(ISNUMBER('Council Entry'!N$8),ISNUMBER('Council Entry'!N$9)),MAX(MIN('Council Entry'!N93,'Council Entry'!N$9),'Council Entry'!N$8),'Council Entry'!N93)),IF('Council Entry'!N$4="Exponential",EXP(IF(AND(ISNUMBER('Council Entry'!N$8),ISNUMBER('Council Entry'!N$9)),MAX(MIN('Council Entry'!N93,'Council Entry'!N$9),'Council Entry'!N$8),'Council Entry'!N93)),IF(AND(ISNUMBER('Council Entry'!N$8),ISNUMBER('Council Entry'!N$9)),MAX(MIN('Council Entry'!N93,'Council Entry'!N$9),'Council Entry'!N$8),'Council Entry'!N93))))-'Council Entry'!N$5)/('Council Entry'!N$6-'Council Entry'!N$5),10*((IF('Council Entry'!N$4="Logarithm",LN(0.001+IF(AND(ISNUMBER('Council Entry'!N$8),ISNUMBER('Council Entry'!N$9)),MAX(MIN('Council Entry'!N93,'Council Entry'!N$9),'Council Entry'!N$8),'Council Entry'!N93)),IF('Council Entry'!N$4="Exponential",EXP(IF(AND(ISNUMBER('Council Entry'!N$8),ISNUMBER('Council Entry'!N$9)),MAX(MIN('Council Entry'!N93,'Council Entry'!N$9),'Council Entry'!N$8),'Council Entry'!N93)),IF(AND(ISNUMBER('Council Entry'!N$8),ISNUMBER('Council Entry'!N$9)),MAX(MIN('Council Entry'!N93,'Council Entry'!N$9),'Council Entry'!N$8),'Council Entry'!N93))))-'Council Entry'!N$5)/('Council Entry'!N$6-'Council Entry'!N$5)),1))),"No data"))</f>
        <v/>
      </c>
      <c r="O93" s="13">
        <f>IF('Council Entry'!O93="","",IFERROR(MAX(0,MIN(10,ROUND(IF('Council Entry'!O$7="Decrease Risk",10-10*((IF('Council Entry'!O$4="Logarithm",LN(0.001+IF(AND(ISNUMBER('Council Entry'!O$8),ISNUMBER('Council Entry'!O$9)),MAX(MIN('Council Entry'!O93,'Council Entry'!O$9),'Council Entry'!O$8),'Council Entry'!O93)),IF('Council Entry'!O$4="Exponential",EXP(IF(AND(ISNUMBER('Council Entry'!O$8),ISNUMBER('Council Entry'!O$9)),MAX(MIN('Council Entry'!O93,'Council Entry'!O$9),'Council Entry'!O$8),'Council Entry'!O93)),IF(AND(ISNUMBER('Council Entry'!O$8),ISNUMBER('Council Entry'!O$9)),MAX(MIN('Council Entry'!O93,'Council Entry'!O$9),'Council Entry'!O$8),'Council Entry'!O93))))-'Council Entry'!O$5)/('Council Entry'!O$6-'Council Entry'!O$5),10*((IF('Council Entry'!O$4="Logarithm",LN(0.001+IF(AND(ISNUMBER('Council Entry'!O$8),ISNUMBER('Council Entry'!O$9)),MAX(MIN('Council Entry'!O93,'Council Entry'!O$9),'Council Entry'!O$8),'Council Entry'!O93)),IF('Council Entry'!O$4="Exponential",EXP(IF(AND(ISNUMBER('Council Entry'!O$8),ISNUMBER('Council Entry'!O$9)),MAX(MIN('Council Entry'!O93,'Council Entry'!O$9),'Council Entry'!O$8),'Council Entry'!O93)),IF(AND(ISNUMBER('Council Entry'!O$8),ISNUMBER('Council Entry'!O$9)),MAX(MIN('Council Entry'!O93,'Council Entry'!O$9),'Council Entry'!O$8),'Council Entry'!O93))))-'Council Entry'!O$5)/('Council Entry'!O$6-'Council Entry'!O$5)),1))),"No data"))</f>
        <v/>
      </c>
      <c r="P93" s="13">
        <f>IF('Council Entry'!P93="","",IFERROR(MAX(0,MIN(10,ROUND(IF('Council Entry'!P$7="Decrease Risk",10-10*((IF('Council Entry'!P$4="Logarithm",LN(0.001+IF(AND(ISNUMBER('Council Entry'!P$8),ISNUMBER('Council Entry'!P$9)),MAX(MIN('Council Entry'!P93,'Council Entry'!P$9),'Council Entry'!P$8),'Council Entry'!P93)),IF('Council Entry'!P$4="Exponential",EXP(IF(AND(ISNUMBER('Council Entry'!P$8),ISNUMBER('Council Entry'!P$9)),MAX(MIN('Council Entry'!P93,'Council Entry'!P$9),'Council Entry'!P$8),'Council Entry'!P93)),IF(AND(ISNUMBER('Council Entry'!P$8),ISNUMBER('Council Entry'!P$9)),MAX(MIN('Council Entry'!P93,'Council Entry'!P$9),'Council Entry'!P$8),'Council Entry'!P93))))-'Council Entry'!P$5)/('Council Entry'!P$6-'Council Entry'!P$5),10*((IF('Council Entry'!P$4="Logarithm",LN(0.001+IF(AND(ISNUMBER('Council Entry'!P$8),ISNUMBER('Council Entry'!P$9)),MAX(MIN('Council Entry'!P93,'Council Entry'!P$9),'Council Entry'!P$8),'Council Entry'!P93)),IF('Council Entry'!P$4="Exponential",EXP(IF(AND(ISNUMBER('Council Entry'!P$8),ISNUMBER('Council Entry'!P$9)),MAX(MIN('Council Entry'!P93,'Council Entry'!P$9),'Council Entry'!P$8),'Council Entry'!P93)),IF(AND(ISNUMBER('Council Entry'!P$8),ISNUMBER('Council Entry'!P$9)),MAX(MIN('Council Entry'!P93,'Council Entry'!P$9),'Council Entry'!P$8),'Council Entry'!P93))))-'Council Entry'!P$5)/('Council Entry'!P$6-'Council Entry'!P$5)),1))),"No data"))</f>
        <v/>
      </c>
      <c r="Q93" s="13">
        <f>IF('Council Entry'!Q93="","",IFERROR(MAX(0,MIN(10,ROUND(IF('Council Entry'!Q$7="Decrease Risk",10-10*((IF('Council Entry'!Q$4="Logarithm",LN(0.001+IF(AND(ISNUMBER('Council Entry'!Q$8),ISNUMBER('Council Entry'!Q$9)),MAX(MIN('Council Entry'!Q93,'Council Entry'!Q$9),'Council Entry'!Q$8),'Council Entry'!Q93)),IF('Council Entry'!Q$4="Exponential",EXP(IF(AND(ISNUMBER('Council Entry'!Q$8),ISNUMBER('Council Entry'!Q$9)),MAX(MIN('Council Entry'!Q93,'Council Entry'!Q$9),'Council Entry'!Q$8),'Council Entry'!Q93)),IF(AND(ISNUMBER('Council Entry'!Q$8),ISNUMBER('Council Entry'!Q$9)),MAX(MIN('Council Entry'!Q93,'Council Entry'!Q$9),'Council Entry'!Q$8),'Council Entry'!Q93))))-'Council Entry'!Q$5)/('Council Entry'!Q$6-'Council Entry'!Q$5),10*((IF('Council Entry'!Q$4="Logarithm",LN(0.001+IF(AND(ISNUMBER('Council Entry'!Q$8),ISNUMBER('Council Entry'!Q$9)),MAX(MIN('Council Entry'!Q93,'Council Entry'!Q$9),'Council Entry'!Q$8),'Council Entry'!Q93)),IF('Council Entry'!Q$4="Exponential",EXP(IF(AND(ISNUMBER('Council Entry'!Q$8),ISNUMBER('Council Entry'!Q$9)),MAX(MIN('Council Entry'!Q93,'Council Entry'!Q$9),'Council Entry'!Q$8),'Council Entry'!Q93)),IF(AND(ISNUMBER('Council Entry'!Q$8),ISNUMBER('Council Entry'!Q$9)),MAX(MIN('Council Entry'!Q93,'Council Entry'!Q$9),'Council Entry'!Q$8),'Council Entry'!Q93))))-'Council Entry'!Q$5)/('Council Entry'!Q$6-'Council Entry'!Q$5)),1))),"No data"))</f>
        <v/>
      </c>
      <c r="R93" s="13">
        <f>IF('Council Entry'!R93="","",IFERROR(MAX(0,MIN(10,ROUND(IF('Council Entry'!R$7="Decrease Risk",10-10*((IF('Council Entry'!R$4="Logarithm",LN(0.001+IF(AND(ISNUMBER('Council Entry'!R$8),ISNUMBER('Council Entry'!R$9)),MAX(MIN('Council Entry'!R93,'Council Entry'!R$9),'Council Entry'!R$8),'Council Entry'!R93)),IF('Council Entry'!R$4="Exponential",EXP(IF(AND(ISNUMBER('Council Entry'!R$8),ISNUMBER('Council Entry'!R$9)),MAX(MIN('Council Entry'!R93,'Council Entry'!R$9),'Council Entry'!R$8),'Council Entry'!R93)),IF(AND(ISNUMBER('Council Entry'!R$8),ISNUMBER('Council Entry'!R$9)),MAX(MIN('Council Entry'!R93,'Council Entry'!R$9),'Council Entry'!R$8),'Council Entry'!R93))))-'Council Entry'!R$5)/('Council Entry'!R$6-'Council Entry'!R$5),10*((IF('Council Entry'!R$4="Logarithm",LN(0.001+IF(AND(ISNUMBER('Council Entry'!R$8),ISNUMBER('Council Entry'!R$9)),MAX(MIN('Council Entry'!R93,'Council Entry'!R$9),'Council Entry'!R$8),'Council Entry'!R93)),IF('Council Entry'!R$4="Exponential",EXP(IF(AND(ISNUMBER('Council Entry'!R$8),ISNUMBER('Council Entry'!R$9)),MAX(MIN('Council Entry'!R93,'Council Entry'!R$9),'Council Entry'!R$8),'Council Entry'!R93)),IF(AND(ISNUMBER('Council Entry'!R$8),ISNUMBER('Council Entry'!R$9)),MAX(MIN('Council Entry'!R93,'Council Entry'!R$9),'Council Entry'!R$8),'Council Entry'!R93))))-'Council Entry'!R$5)/('Council Entry'!R$6-'Council Entry'!R$5)),1))),"No data"))</f>
        <v/>
      </c>
      <c r="S93" s="13">
        <f>IF('Council Entry'!S93="","",IFERROR(MAX(0,MIN(10,ROUND(IF('Council Entry'!S$7="Decrease Risk",10-10*((IF('Council Entry'!S$4="Logarithm",LN(0.001+IF(AND(ISNUMBER('Council Entry'!S$8),ISNUMBER('Council Entry'!S$9)),MAX(MIN('Council Entry'!S93,'Council Entry'!S$9),'Council Entry'!S$8),'Council Entry'!S93)),IF('Council Entry'!S$4="Exponential",EXP(IF(AND(ISNUMBER('Council Entry'!S$8),ISNUMBER('Council Entry'!S$9)),MAX(MIN('Council Entry'!S93,'Council Entry'!S$9),'Council Entry'!S$8),'Council Entry'!S93)),IF(AND(ISNUMBER('Council Entry'!S$8),ISNUMBER('Council Entry'!S$9)),MAX(MIN('Council Entry'!S93,'Council Entry'!S$9),'Council Entry'!S$8),'Council Entry'!S93))))-'Council Entry'!S$5)/('Council Entry'!S$6-'Council Entry'!S$5),10*((IF('Council Entry'!S$4="Logarithm",LN(0.001+IF(AND(ISNUMBER('Council Entry'!S$8),ISNUMBER('Council Entry'!S$9)),MAX(MIN('Council Entry'!S93,'Council Entry'!S$9),'Council Entry'!S$8),'Council Entry'!S93)),IF('Council Entry'!S$4="Exponential",EXP(IF(AND(ISNUMBER('Council Entry'!S$8),ISNUMBER('Council Entry'!S$9)),MAX(MIN('Council Entry'!S93,'Council Entry'!S$9),'Council Entry'!S$8),'Council Entry'!S93)),IF(AND(ISNUMBER('Council Entry'!S$8),ISNUMBER('Council Entry'!S$9)),MAX(MIN('Council Entry'!S93,'Council Entry'!S$9),'Council Entry'!S$8),'Council Entry'!S93))))-'Council Entry'!S$5)/('Council Entry'!S$6-'Council Entry'!S$5)),1))),"No data"))</f>
        <v/>
      </c>
      <c r="T93" s="13">
        <f>IF('Council Entry'!T93="","",IFERROR(MAX(0,MIN(10,ROUND(IF('Council Entry'!T$7="Decrease Risk",10-10*((IF('Council Entry'!T$4="Logarithm",LN(0.001+IF(AND(ISNUMBER('Council Entry'!T$8),ISNUMBER('Council Entry'!T$9)),MAX(MIN('Council Entry'!T93,'Council Entry'!T$9),'Council Entry'!T$8),'Council Entry'!T93)),IF('Council Entry'!T$4="Exponential",EXP(IF(AND(ISNUMBER('Council Entry'!T$8),ISNUMBER('Council Entry'!T$9)),MAX(MIN('Council Entry'!T93,'Council Entry'!T$9),'Council Entry'!T$8),'Council Entry'!T93)),IF(AND(ISNUMBER('Council Entry'!T$8),ISNUMBER('Council Entry'!T$9)),MAX(MIN('Council Entry'!T93,'Council Entry'!T$9),'Council Entry'!T$8),'Council Entry'!T93))))-'Council Entry'!T$5)/('Council Entry'!T$6-'Council Entry'!T$5),10*((IF('Council Entry'!T$4="Logarithm",LN(0.001+IF(AND(ISNUMBER('Council Entry'!T$8),ISNUMBER('Council Entry'!T$9)),MAX(MIN('Council Entry'!T93,'Council Entry'!T$9),'Council Entry'!T$8),'Council Entry'!T93)),IF('Council Entry'!T$4="Exponential",EXP(IF(AND(ISNUMBER('Council Entry'!T$8),ISNUMBER('Council Entry'!T$9)),MAX(MIN('Council Entry'!T93,'Council Entry'!T$9),'Council Entry'!T$8),'Council Entry'!T93)),IF(AND(ISNUMBER('Council Entry'!T$8),ISNUMBER('Council Entry'!T$9)),MAX(MIN('Council Entry'!T93,'Council Entry'!T$9),'Council Entry'!T$8),'Council Entry'!T93))))-'Council Entry'!T$5)/('Council Entry'!T$6-'Council Entry'!T$5)),1))),"No data"))</f>
        <v/>
      </c>
      <c r="U93" s="13">
        <f>IF('Council Entry'!U93="","",IFERROR(MAX(0,MIN(10,ROUND(IF('Council Entry'!U$7="Decrease Risk",10-10*((IF('Council Entry'!U$4="Logarithm",LN(0.001+IF(AND(ISNUMBER('Council Entry'!U$8),ISNUMBER('Council Entry'!U$9)),MAX(MIN('Council Entry'!U93,'Council Entry'!U$9),'Council Entry'!U$8),'Council Entry'!U93)),IF('Council Entry'!U$4="Exponential",EXP(IF(AND(ISNUMBER('Council Entry'!U$8),ISNUMBER('Council Entry'!U$9)),MAX(MIN('Council Entry'!U93,'Council Entry'!U$9),'Council Entry'!U$8),'Council Entry'!U93)),IF(AND(ISNUMBER('Council Entry'!U$8),ISNUMBER('Council Entry'!U$9)),MAX(MIN('Council Entry'!U93,'Council Entry'!U$9),'Council Entry'!U$8),'Council Entry'!U93))))-'Council Entry'!U$5)/('Council Entry'!U$6-'Council Entry'!U$5),10*((IF('Council Entry'!U$4="Logarithm",LN(0.001+IF(AND(ISNUMBER('Council Entry'!U$8),ISNUMBER('Council Entry'!U$9)),MAX(MIN('Council Entry'!U93,'Council Entry'!U$9),'Council Entry'!U$8),'Council Entry'!U93)),IF('Council Entry'!U$4="Exponential",EXP(IF(AND(ISNUMBER('Council Entry'!U$8),ISNUMBER('Council Entry'!U$9)),MAX(MIN('Council Entry'!U93,'Council Entry'!U$9),'Council Entry'!U$8),'Council Entry'!U93)),IF(AND(ISNUMBER('Council Entry'!U$8),ISNUMBER('Council Entry'!U$9)),MAX(MIN('Council Entry'!U93,'Council Entry'!U$9),'Council Entry'!U$8),'Council Entry'!U93))))-'Council Entry'!U$5)/('Council Entry'!U$6-'Council Entry'!U$5)),1))),"No data"))</f>
        <v/>
      </c>
      <c r="V93" s="13">
        <f>IF('Council Entry'!V93="","",IFERROR(MAX(0,MIN(10,ROUND(IF('Council Entry'!V$7="Decrease Risk",10-10*((IF('Council Entry'!V$4="Logarithm",LN(0.001+IF(AND(ISNUMBER('Council Entry'!V$8),ISNUMBER('Council Entry'!V$9)),MAX(MIN('Council Entry'!V93,'Council Entry'!V$9),'Council Entry'!V$8),'Council Entry'!V93)),IF('Council Entry'!V$4="Exponential",EXP(IF(AND(ISNUMBER('Council Entry'!V$8),ISNUMBER('Council Entry'!V$9)),MAX(MIN('Council Entry'!V93,'Council Entry'!V$9),'Council Entry'!V$8),'Council Entry'!V93)),IF(AND(ISNUMBER('Council Entry'!V$8),ISNUMBER('Council Entry'!V$9)),MAX(MIN('Council Entry'!V93,'Council Entry'!V$9),'Council Entry'!V$8),'Council Entry'!V93))))-'Council Entry'!V$5)/('Council Entry'!V$6-'Council Entry'!V$5),10*((IF('Council Entry'!V$4="Logarithm",LN(0.001+IF(AND(ISNUMBER('Council Entry'!V$8),ISNUMBER('Council Entry'!V$9)),MAX(MIN('Council Entry'!V93,'Council Entry'!V$9),'Council Entry'!V$8),'Council Entry'!V93)),IF('Council Entry'!V$4="Exponential",EXP(IF(AND(ISNUMBER('Council Entry'!V$8),ISNUMBER('Council Entry'!V$9)),MAX(MIN('Council Entry'!V93,'Council Entry'!V$9),'Council Entry'!V$8),'Council Entry'!V93)),IF(AND(ISNUMBER('Council Entry'!V$8),ISNUMBER('Council Entry'!V$9)),MAX(MIN('Council Entry'!V93,'Council Entry'!V$9),'Council Entry'!V$8),'Council Entry'!V93))))-'Council Entry'!V$5)/('Council Entry'!V$6-'Council Entry'!V$5)),1))),"No data"))</f>
        <v/>
      </c>
      <c r="W93" s="13">
        <f>IF('Council Entry'!W93="","",IFERROR(MAX(0,MIN(10,ROUND(IF('Council Entry'!W$7="Decrease Risk",10-10*((IF('Council Entry'!W$4="Logarithm",LN(0.001+IF(AND(ISNUMBER('Council Entry'!W$8),ISNUMBER('Council Entry'!W$9)),MAX(MIN('Council Entry'!W93,'Council Entry'!W$9),'Council Entry'!W$8),'Council Entry'!W93)),IF('Council Entry'!W$4="Exponential",EXP(IF(AND(ISNUMBER('Council Entry'!W$8),ISNUMBER('Council Entry'!W$9)),MAX(MIN('Council Entry'!W93,'Council Entry'!W$9),'Council Entry'!W$8),'Council Entry'!W93)),IF(AND(ISNUMBER('Council Entry'!W$8),ISNUMBER('Council Entry'!W$9)),MAX(MIN('Council Entry'!W93,'Council Entry'!W$9),'Council Entry'!W$8),'Council Entry'!W93))))-'Council Entry'!W$5)/('Council Entry'!W$6-'Council Entry'!W$5),10*((IF('Council Entry'!W$4="Logarithm",LN(0.001+IF(AND(ISNUMBER('Council Entry'!W$8),ISNUMBER('Council Entry'!W$9)),MAX(MIN('Council Entry'!W93,'Council Entry'!W$9),'Council Entry'!W$8),'Council Entry'!W93)),IF('Council Entry'!W$4="Exponential",EXP(IF(AND(ISNUMBER('Council Entry'!W$8),ISNUMBER('Council Entry'!W$9)),MAX(MIN('Council Entry'!W93,'Council Entry'!W$9),'Council Entry'!W$8),'Council Entry'!W93)),IF(AND(ISNUMBER('Council Entry'!W$8),ISNUMBER('Council Entry'!W$9)),MAX(MIN('Council Entry'!W93,'Council Entry'!W$9),'Council Entry'!W$8),'Council Entry'!W93))))-'Council Entry'!W$5)/('Council Entry'!W$6-'Council Entry'!W$5)),1))),"No data"))</f>
        <v/>
      </c>
      <c r="X93" s="13">
        <f>IF('Council Entry'!X93="","",IFERROR(MAX(0,MIN(10,ROUND(IF('Council Entry'!X$7="Decrease Risk",10-10*((IF('Council Entry'!X$4="Logarithm",LN(0.001+IF(AND(ISNUMBER('Council Entry'!X$8),ISNUMBER('Council Entry'!X$9)),MAX(MIN('Council Entry'!X93,'Council Entry'!X$9),'Council Entry'!X$8),'Council Entry'!X93)),IF('Council Entry'!X$4="Exponential",EXP(IF(AND(ISNUMBER('Council Entry'!X$8),ISNUMBER('Council Entry'!X$9)),MAX(MIN('Council Entry'!X93,'Council Entry'!X$9),'Council Entry'!X$8),'Council Entry'!X93)),IF(AND(ISNUMBER('Council Entry'!X$8),ISNUMBER('Council Entry'!X$9)),MAX(MIN('Council Entry'!X93,'Council Entry'!X$9),'Council Entry'!X$8),'Council Entry'!X93))))-'Council Entry'!X$5)/('Council Entry'!X$6-'Council Entry'!X$5),10*((IF('Council Entry'!X$4="Logarithm",LN(0.001+IF(AND(ISNUMBER('Council Entry'!X$8),ISNUMBER('Council Entry'!X$9)),MAX(MIN('Council Entry'!X93,'Council Entry'!X$9),'Council Entry'!X$8),'Council Entry'!X93)),IF('Council Entry'!X$4="Exponential",EXP(IF(AND(ISNUMBER('Council Entry'!X$8),ISNUMBER('Council Entry'!X$9)),MAX(MIN('Council Entry'!X93,'Council Entry'!X$9),'Council Entry'!X$8),'Council Entry'!X93)),IF(AND(ISNUMBER('Council Entry'!X$8),ISNUMBER('Council Entry'!X$9)),MAX(MIN('Council Entry'!X93,'Council Entry'!X$9),'Council Entry'!X$8),'Council Entry'!X93))))-'Council Entry'!X$5)/('Council Entry'!X$6-'Council Entry'!X$5)),1))),"No data"))</f>
        <v/>
      </c>
      <c r="Y93" s="13">
        <f>IF('Council Entry'!Y93="","",IFERROR(MAX(0,MIN(10,ROUND(IF('Council Entry'!Y$7="Decrease Risk",10-10*((IF('Council Entry'!Y$4="Logarithm",LN(0.001+IF(AND(ISNUMBER('Council Entry'!Y$8),ISNUMBER('Council Entry'!Y$9)),MAX(MIN('Council Entry'!Y93,'Council Entry'!Y$9),'Council Entry'!Y$8),'Council Entry'!Y93)),IF('Council Entry'!Y$4="Exponential",EXP(IF(AND(ISNUMBER('Council Entry'!Y$8),ISNUMBER('Council Entry'!Y$9)),MAX(MIN('Council Entry'!Y93,'Council Entry'!Y$9),'Council Entry'!Y$8),'Council Entry'!Y93)),IF(AND(ISNUMBER('Council Entry'!Y$8),ISNUMBER('Council Entry'!Y$9)),MAX(MIN('Council Entry'!Y93,'Council Entry'!Y$9),'Council Entry'!Y$8),'Council Entry'!Y93))))-'Council Entry'!Y$5)/('Council Entry'!Y$6-'Council Entry'!Y$5),10*((IF('Council Entry'!Y$4="Logarithm",LN(0.001+IF(AND(ISNUMBER('Council Entry'!Y$8),ISNUMBER('Council Entry'!Y$9)),MAX(MIN('Council Entry'!Y93,'Council Entry'!Y$9),'Council Entry'!Y$8),'Council Entry'!Y93)),IF('Council Entry'!Y$4="Exponential",EXP(IF(AND(ISNUMBER('Council Entry'!Y$8),ISNUMBER('Council Entry'!Y$9)),MAX(MIN('Council Entry'!Y93,'Council Entry'!Y$9),'Council Entry'!Y$8),'Council Entry'!Y93)),IF(AND(ISNUMBER('Council Entry'!Y$8),ISNUMBER('Council Entry'!Y$9)),MAX(MIN('Council Entry'!Y93,'Council Entry'!Y$9),'Council Entry'!Y$8),'Council Entry'!Y93))))-'Council Entry'!Y$5)/('Council Entry'!Y$6-'Council Entry'!Y$5)),1))),"No data"))</f>
        <v/>
      </c>
      <c r="Z93" s="13">
        <f>IF('Council Entry'!Z93="","",IFERROR(MAX(0,MIN(10,ROUND(IF('Council Entry'!Z$7="Decrease Risk",10-10*((IF('Council Entry'!Z$4="Logarithm",LN(0.001+IF(AND(ISNUMBER('Council Entry'!Z$8),ISNUMBER('Council Entry'!Z$9)),MAX(MIN('Council Entry'!Z93,'Council Entry'!Z$9),'Council Entry'!Z$8),'Council Entry'!Z93)),IF('Council Entry'!Z$4="Exponential",EXP(IF(AND(ISNUMBER('Council Entry'!Z$8),ISNUMBER('Council Entry'!Z$9)),MAX(MIN('Council Entry'!Z93,'Council Entry'!Z$9),'Council Entry'!Z$8),'Council Entry'!Z93)),IF(AND(ISNUMBER('Council Entry'!Z$8),ISNUMBER('Council Entry'!Z$9)),MAX(MIN('Council Entry'!Z93,'Council Entry'!Z$9),'Council Entry'!Z$8),'Council Entry'!Z93))))-'Council Entry'!Z$5)/('Council Entry'!Z$6-'Council Entry'!Z$5),10*((IF('Council Entry'!Z$4="Logarithm",LN(0.001+IF(AND(ISNUMBER('Council Entry'!Z$8),ISNUMBER('Council Entry'!Z$9)),MAX(MIN('Council Entry'!Z93,'Council Entry'!Z$9),'Council Entry'!Z$8),'Council Entry'!Z93)),IF('Council Entry'!Z$4="Exponential",EXP(IF(AND(ISNUMBER('Council Entry'!Z$8),ISNUMBER('Council Entry'!Z$9)),MAX(MIN('Council Entry'!Z93,'Council Entry'!Z$9),'Council Entry'!Z$8),'Council Entry'!Z93)),IF(AND(ISNUMBER('Council Entry'!Z$8),ISNUMBER('Council Entry'!Z$9)),MAX(MIN('Council Entry'!Z93,'Council Entry'!Z$9),'Council Entry'!Z$8),'Council Entry'!Z93))))-'Council Entry'!Z$5)/('Council Entry'!Z$6-'Council Entry'!Z$5)),1))),"No data"))</f>
        <v/>
      </c>
      <c r="AA93" s="13">
        <f>IF('Council Entry'!AA93="","",IFERROR(MAX(0,MIN(10,ROUND(IF('Council Entry'!AA$7="Decrease Risk",10-10*((IF('Council Entry'!AA$4="Logarithm",LN(0.001+IF(AND(ISNUMBER('Council Entry'!AA$8),ISNUMBER('Council Entry'!AA$9)),MAX(MIN('Council Entry'!AA93,'Council Entry'!AA$9),'Council Entry'!AA$8),'Council Entry'!AA93)),IF('Council Entry'!AA$4="Exponential",EXP(IF(AND(ISNUMBER('Council Entry'!AA$8),ISNUMBER('Council Entry'!AA$9)),MAX(MIN('Council Entry'!AA93,'Council Entry'!AA$9),'Council Entry'!AA$8),'Council Entry'!AA93)),IF(AND(ISNUMBER('Council Entry'!AA$8),ISNUMBER('Council Entry'!AA$9)),MAX(MIN('Council Entry'!AA93,'Council Entry'!AA$9),'Council Entry'!AA$8),'Council Entry'!AA93))))-'Council Entry'!AA$5)/('Council Entry'!AA$6-'Council Entry'!AA$5),10*((IF('Council Entry'!AA$4="Logarithm",LN(0.001+IF(AND(ISNUMBER('Council Entry'!AA$8),ISNUMBER('Council Entry'!AA$9)),MAX(MIN('Council Entry'!AA93,'Council Entry'!AA$9),'Council Entry'!AA$8),'Council Entry'!AA93)),IF('Council Entry'!AA$4="Exponential",EXP(IF(AND(ISNUMBER('Council Entry'!AA$8),ISNUMBER('Council Entry'!AA$9)),MAX(MIN('Council Entry'!AA93,'Council Entry'!AA$9),'Council Entry'!AA$8),'Council Entry'!AA93)),IF(AND(ISNUMBER('Council Entry'!AA$8),ISNUMBER('Council Entry'!AA$9)),MAX(MIN('Council Entry'!AA93,'Council Entry'!AA$9),'Council Entry'!AA$8),'Council Entry'!AA93))))-'Council Entry'!AA$5)/('Council Entry'!AA$6-'Council Entry'!AA$5)),1))),"No data"))</f>
        <v/>
      </c>
      <c r="AB93" s="13">
        <f>IF('Council Entry'!AB93="","",IFERROR(MAX(0,MIN(10,ROUND(IF('Council Entry'!AB$7="Decrease Risk",10-10*((IF('Council Entry'!AB$4="Logarithm",LN(0.001+IF(AND(ISNUMBER('Council Entry'!AB$8),ISNUMBER('Council Entry'!AB$9)),MAX(MIN('Council Entry'!AB93,'Council Entry'!AB$9),'Council Entry'!AB$8),'Council Entry'!AB93)),IF('Council Entry'!AB$4="Exponential",EXP(IF(AND(ISNUMBER('Council Entry'!AB$8),ISNUMBER('Council Entry'!AB$9)),MAX(MIN('Council Entry'!AB93,'Council Entry'!AB$9),'Council Entry'!AB$8),'Council Entry'!AB93)),IF(AND(ISNUMBER('Council Entry'!AB$8),ISNUMBER('Council Entry'!AB$9)),MAX(MIN('Council Entry'!AB93,'Council Entry'!AB$9),'Council Entry'!AB$8),'Council Entry'!AB93))))-'Council Entry'!AB$5)/('Council Entry'!AB$6-'Council Entry'!AB$5),10*((IF('Council Entry'!AB$4="Logarithm",LN(0.001+IF(AND(ISNUMBER('Council Entry'!AB$8),ISNUMBER('Council Entry'!AB$9)),MAX(MIN('Council Entry'!AB93,'Council Entry'!AB$9),'Council Entry'!AB$8),'Council Entry'!AB93)),IF('Council Entry'!AB$4="Exponential",EXP(IF(AND(ISNUMBER('Council Entry'!AB$8),ISNUMBER('Council Entry'!AB$9)),MAX(MIN('Council Entry'!AB93,'Council Entry'!AB$9),'Council Entry'!AB$8),'Council Entry'!AB93)),IF(AND(ISNUMBER('Council Entry'!AB$8),ISNUMBER('Council Entry'!AB$9)),MAX(MIN('Council Entry'!AB93,'Council Entry'!AB$9),'Council Entry'!AB$8),'Council Entry'!AB93))))-'Council Entry'!AB$5)/('Council Entry'!AB$6-'Council Entry'!AB$5)),1))),"No data"))</f>
        <v/>
      </c>
      <c r="AC93" s="13">
        <f>IF('Council Entry'!AC93="","",IFERROR(MAX(0,MIN(10,ROUND(IF('Council Entry'!AC$7="Decrease Risk",10-10*((IF('Council Entry'!AC$4="Logarithm",LN(0.001+IF(AND(ISNUMBER('Council Entry'!AC$8),ISNUMBER('Council Entry'!AC$9)),MAX(MIN('Council Entry'!AC93,'Council Entry'!AC$9),'Council Entry'!AC$8),'Council Entry'!AC93)),IF('Council Entry'!AC$4="Exponential",EXP(IF(AND(ISNUMBER('Council Entry'!AC$8),ISNUMBER('Council Entry'!AC$9)),MAX(MIN('Council Entry'!AC93,'Council Entry'!AC$9),'Council Entry'!AC$8),'Council Entry'!AC93)),IF(AND(ISNUMBER('Council Entry'!AC$8),ISNUMBER('Council Entry'!AC$9)),MAX(MIN('Council Entry'!AC93,'Council Entry'!AC$9),'Council Entry'!AC$8),'Council Entry'!AC93))))-'Council Entry'!AC$5)/('Council Entry'!AC$6-'Council Entry'!AC$5),10*((IF('Council Entry'!AC$4="Logarithm",LN(0.001+IF(AND(ISNUMBER('Council Entry'!AC$8),ISNUMBER('Council Entry'!AC$9)),MAX(MIN('Council Entry'!AC93,'Council Entry'!AC$9),'Council Entry'!AC$8),'Council Entry'!AC93)),IF('Council Entry'!AC$4="Exponential",EXP(IF(AND(ISNUMBER('Council Entry'!AC$8),ISNUMBER('Council Entry'!AC$9)),MAX(MIN('Council Entry'!AC93,'Council Entry'!AC$9),'Council Entry'!AC$8),'Council Entry'!AC93)),IF(AND(ISNUMBER('Council Entry'!AC$8),ISNUMBER('Council Entry'!AC$9)),MAX(MIN('Council Entry'!AC93,'Council Entry'!AC$9),'Council Entry'!AC$8),'Council Entry'!AC93))))-'Council Entry'!AC$5)/('Council Entry'!AC$6-'Council Entry'!AC$5)),1))),"No data"))</f>
        <v/>
      </c>
      <c r="AD93" s="13">
        <f>IF('Council Entry'!AD93="","",IFERROR(MAX(0,MIN(10,ROUND(IF('Council Entry'!AD$7="Decrease Risk",10-10*((IF('Council Entry'!AD$4="Logarithm",LN(0.001+IF(AND(ISNUMBER('Council Entry'!AD$8),ISNUMBER('Council Entry'!AD$9)),MAX(MIN('Council Entry'!AD93,'Council Entry'!AD$9),'Council Entry'!AD$8),'Council Entry'!AD93)),IF('Council Entry'!AD$4="Exponential",EXP(IF(AND(ISNUMBER('Council Entry'!AD$8),ISNUMBER('Council Entry'!AD$9)),MAX(MIN('Council Entry'!AD93,'Council Entry'!AD$9),'Council Entry'!AD$8),'Council Entry'!AD93)),IF(AND(ISNUMBER('Council Entry'!AD$8),ISNUMBER('Council Entry'!AD$9)),MAX(MIN('Council Entry'!AD93,'Council Entry'!AD$9),'Council Entry'!AD$8),'Council Entry'!AD93))))-'Council Entry'!AD$5)/('Council Entry'!AD$6-'Council Entry'!AD$5),10*((IF('Council Entry'!AD$4="Logarithm",LN(0.001+IF(AND(ISNUMBER('Council Entry'!AD$8),ISNUMBER('Council Entry'!AD$9)),MAX(MIN('Council Entry'!AD93,'Council Entry'!AD$9),'Council Entry'!AD$8),'Council Entry'!AD93)),IF('Council Entry'!AD$4="Exponential",EXP(IF(AND(ISNUMBER('Council Entry'!AD$8),ISNUMBER('Council Entry'!AD$9)),MAX(MIN('Council Entry'!AD93,'Council Entry'!AD$9),'Council Entry'!AD$8),'Council Entry'!AD93)),IF(AND(ISNUMBER('Council Entry'!AD$8),ISNUMBER('Council Entry'!AD$9)),MAX(MIN('Council Entry'!AD93,'Council Entry'!AD$9),'Council Entry'!AD$8),'Council Entry'!AD93))))-'Council Entry'!AD$5)/('Council Entry'!AD$6-'Council Entry'!AD$5)),1))),"No data"))</f>
        <v/>
      </c>
      <c r="AE93" s="13">
        <f>IF('Council Entry'!AE93="","",IFERROR(MAX(0,MIN(10,ROUND(IF('Council Entry'!AE$7="Decrease Risk",10-10*((IF('Council Entry'!AE$4="Logarithm",LN(0.001+IF(AND(ISNUMBER('Council Entry'!AE$8),ISNUMBER('Council Entry'!AE$9)),MAX(MIN('Council Entry'!AE93,'Council Entry'!AE$9),'Council Entry'!AE$8),'Council Entry'!AE93)),IF('Council Entry'!AE$4="Exponential",EXP(IF(AND(ISNUMBER('Council Entry'!AE$8),ISNUMBER('Council Entry'!AE$9)),MAX(MIN('Council Entry'!AE93,'Council Entry'!AE$9),'Council Entry'!AE$8),'Council Entry'!AE93)),IF(AND(ISNUMBER('Council Entry'!AE$8),ISNUMBER('Council Entry'!AE$9)),MAX(MIN('Council Entry'!AE93,'Council Entry'!AE$9),'Council Entry'!AE$8),'Council Entry'!AE93))))-'Council Entry'!AE$5)/('Council Entry'!AE$6-'Council Entry'!AE$5),10*((IF('Council Entry'!AE$4="Logarithm",LN(0.001+IF(AND(ISNUMBER('Council Entry'!AE$8),ISNUMBER('Council Entry'!AE$9)),MAX(MIN('Council Entry'!AE93,'Council Entry'!AE$9),'Council Entry'!AE$8),'Council Entry'!AE93)),IF('Council Entry'!AE$4="Exponential",EXP(IF(AND(ISNUMBER('Council Entry'!AE$8),ISNUMBER('Council Entry'!AE$9)),MAX(MIN('Council Entry'!AE93,'Council Entry'!AE$9),'Council Entry'!AE$8),'Council Entry'!AE93)),IF(AND(ISNUMBER('Council Entry'!AE$8),ISNUMBER('Council Entry'!AE$9)),MAX(MIN('Council Entry'!AE93,'Council Entry'!AE$9),'Council Entry'!AE$8),'Council Entry'!AE93))))-'Council Entry'!AE$5)/('Council Entry'!AE$6-'Council Entry'!AE$5)),1))),"No data"))</f>
        <v/>
      </c>
      <c r="AF93" s="13">
        <f>IF('Council Entry'!AF93="","",IFERROR(MAX(0,MIN(10,ROUND(IF('Council Entry'!AF$7="Decrease Risk",10-10*((IF('Council Entry'!AF$4="Logarithm",LN(0.001+IF(AND(ISNUMBER('Council Entry'!AF$8),ISNUMBER('Council Entry'!AF$9)),MAX(MIN('Council Entry'!AF93,'Council Entry'!AF$9),'Council Entry'!AF$8),'Council Entry'!AF93)),IF('Council Entry'!AF$4="Exponential",EXP(IF(AND(ISNUMBER('Council Entry'!AF$8),ISNUMBER('Council Entry'!AF$9)),MAX(MIN('Council Entry'!AF93,'Council Entry'!AF$9),'Council Entry'!AF$8),'Council Entry'!AF93)),IF(AND(ISNUMBER('Council Entry'!AF$8),ISNUMBER('Council Entry'!AF$9)),MAX(MIN('Council Entry'!AF93,'Council Entry'!AF$9),'Council Entry'!AF$8),'Council Entry'!AF93))))-'Council Entry'!AF$5)/('Council Entry'!AF$6-'Council Entry'!AF$5),10*((IF('Council Entry'!AF$4="Logarithm",LN(0.001+IF(AND(ISNUMBER('Council Entry'!AF$8),ISNUMBER('Council Entry'!AF$9)),MAX(MIN('Council Entry'!AF93,'Council Entry'!AF$9),'Council Entry'!AF$8),'Council Entry'!AF93)),IF('Council Entry'!AF$4="Exponential",EXP(IF(AND(ISNUMBER('Council Entry'!AF$8),ISNUMBER('Council Entry'!AF$9)),MAX(MIN('Council Entry'!AF93,'Council Entry'!AF$9),'Council Entry'!AF$8),'Council Entry'!AF93)),IF(AND(ISNUMBER('Council Entry'!AF$8),ISNUMBER('Council Entry'!AF$9)),MAX(MIN('Council Entry'!AF93,'Council Entry'!AF$9),'Council Entry'!AF$8),'Council Entry'!AF93))))-'Council Entry'!AF$5)/('Council Entry'!AF$6-'Council Entry'!AF$5)),1))),"No data"))</f>
        <v/>
      </c>
      <c r="AG93" s="13">
        <f>IF('Council Entry'!AG93="","",IFERROR(MAX(0,MIN(10,ROUND(IF('Council Entry'!AG$7="Decrease Risk",10-10*((IF('Council Entry'!AG$4="Logarithm",LN(0.001+IF(AND(ISNUMBER('Council Entry'!AG$8),ISNUMBER('Council Entry'!AG$9)),MAX(MIN('Council Entry'!AG93,'Council Entry'!AG$9),'Council Entry'!AG$8),'Council Entry'!AG93)),IF('Council Entry'!AG$4="Exponential",EXP(IF(AND(ISNUMBER('Council Entry'!AG$8),ISNUMBER('Council Entry'!AG$9)),MAX(MIN('Council Entry'!AG93,'Council Entry'!AG$9),'Council Entry'!AG$8),'Council Entry'!AG93)),IF(AND(ISNUMBER('Council Entry'!AG$8),ISNUMBER('Council Entry'!AG$9)),MAX(MIN('Council Entry'!AG93,'Council Entry'!AG$9),'Council Entry'!AG$8),'Council Entry'!AG93))))-'Council Entry'!AG$5)/('Council Entry'!AG$6-'Council Entry'!AG$5),10*((IF('Council Entry'!AG$4="Logarithm",LN(0.001+IF(AND(ISNUMBER('Council Entry'!AG$8),ISNUMBER('Council Entry'!AG$9)),MAX(MIN('Council Entry'!AG93,'Council Entry'!AG$9),'Council Entry'!AG$8),'Council Entry'!AG93)),IF('Council Entry'!AG$4="Exponential",EXP(IF(AND(ISNUMBER('Council Entry'!AG$8),ISNUMBER('Council Entry'!AG$9)),MAX(MIN('Council Entry'!AG93,'Council Entry'!AG$9),'Council Entry'!AG$8),'Council Entry'!AG93)),IF(AND(ISNUMBER('Council Entry'!AG$8),ISNUMBER('Council Entry'!AG$9)),MAX(MIN('Council Entry'!AG93,'Council Entry'!AG$9),'Council Entry'!AG$8),'Council Entry'!AG93))))-'Council Entry'!AG$5)/('Council Entry'!AG$6-'Council Entry'!AG$5)),1))),"No data"))</f>
        <v/>
      </c>
      <c r="AH93" s="13">
        <f>IF('Council Entry'!AH93="","",IFERROR(MAX(0,MIN(10,ROUND(IF('Council Entry'!AH$7="Decrease Risk",10-10*((IF('Council Entry'!AH$4="Logarithm",LN(0.001+IF(AND(ISNUMBER('Council Entry'!AH$8),ISNUMBER('Council Entry'!AH$9)),MAX(MIN('Council Entry'!AH93,'Council Entry'!AH$9),'Council Entry'!AH$8),'Council Entry'!AH93)),IF('Council Entry'!AH$4="Exponential",EXP(IF(AND(ISNUMBER('Council Entry'!AH$8),ISNUMBER('Council Entry'!AH$9)),MAX(MIN('Council Entry'!AH93,'Council Entry'!AH$9),'Council Entry'!AH$8),'Council Entry'!AH93)),IF(AND(ISNUMBER('Council Entry'!AH$8),ISNUMBER('Council Entry'!AH$9)),MAX(MIN('Council Entry'!AH93,'Council Entry'!AH$9),'Council Entry'!AH$8),'Council Entry'!AH93))))-'Council Entry'!AH$5)/('Council Entry'!AH$6-'Council Entry'!AH$5),10*((IF('Council Entry'!AH$4="Logarithm",LN(0.001+IF(AND(ISNUMBER('Council Entry'!AH$8),ISNUMBER('Council Entry'!AH$9)),MAX(MIN('Council Entry'!AH93,'Council Entry'!AH$9),'Council Entry'!AH$8),'Council Entry'!AH93)),IF('Council Entry'!AH$4="Exponential",EXP(IF(AND(ISNUMBER('Council Entry'!AH$8),ISNUMBER('Council Entry'!AH$9)),MAX(MIN('Council Entry'!AH93,'Council Entry'!AH$9),'Council Entry'!AH$8),'Council Entry'!AH93)),IF(AND(ISNUMBER('Council Entry'!AH$8),ISNUMBER('Council Entry'!AH$9)),MAX(MIN('Council Entry'!AH93,'Council Entry'!AH$9),'Council Entry'!AH$8),'Council Entry'!AH93))))-'Council Entry'!AH$5)/('Council Entry'!AH$6-'Council Entry'!AH$5)),1))),"No data"))</f>
        <v/>
      </c>
      <c r="AI93" s="13">
        <f>IF('Council Entry'!AI93="","",IFERROR(MAX(0,MIN(10,ROUND(IF('Council Entry'!AI$7="Decrease Risk",10-10*((IF('Council Entry'!AI$4="Logarithm",LN(0.001+IF(AND(ISNUMBER('Council Entry'!AI$8),ISNUMBER('Council Entry'!AI$9)),MAX(MIN('Council Entry'!AI93,'Council Entry'!AI$9),'Council Entry'!AI$8),'Council Entry'!AI93)),IF('Council Entry'!AI$4="Exponential",EXP(IF(AND(ISNUMBER('Council Entry'!AI$8),ISNUMBER('Council Entry'!AI$9)),MAX(MIN('Council Entry'!AI93,'Council Entry'!AI$9),'Council Entry'!AI$8),'Council Entry'!AI93)),IF(AND(ISNUMBER('Council Entry'!AI$8),ISNUMBER('Council Entry'!AI$9)),MAX(MIN('Council Entry'!AI93,'Council Entry'!AI$9),'Council Entry'!AI$8),'Council Entry'!AI93))))-'Council Entry'!AI$5)/('Council Entry'!AI$6-'Council Entry'!AI$5),10*((IF('Council Entry'!AI$4="Logarithm",LN(0.001+IF(AND(ISNUMBER('Council Entry'!AI$8),ISNUMBER('Council Entry'!AI$9)),MAX(MIN('Council Entry'!AI93,'Council Entry'!AI$9),'Council Entry'!AI$8),'Council Entry'!AI93)),IF('Council Entry'!AI$4="Exponential",EXP(IF(AND(ISNUMBER('Council Entry'!AI$8),ISNUMBER('Council Entry'!AI$9)),MAX(MIN('Council Entry'!AI93,'Council Entry'!AI$9),'Council Entry'!AI$8),'Council Entry'!AI93)),IF(AND(ISNUMBER('Council Entry'!AI$8),ISNUMBER('Council Entry'!AI$9)),MAX(MIN('Council Entry'!AI93,'Council Entry'!AI$9),'Council Entry'!AI$8),'Council Entry'!AI93))))-'Council Entry'!AI$5)/('Council Entry'!AI$6-'Council Entry'!AI$5)),1))),"No data"))</f>
        <v/>
      </c>
      <c r="AJ93" s="13">
        <f>IF('Council Entry'!AJ93="","",IFERROR(MAX(0,MIN(10,ROUND(IF('Council Entry'!AJ$7="Decrease Risk",10-10*((IF('Council Entry'!AJ$4="Logarithm",LN(0.001+IF(AND(ISNUMBER('Council Entry'!AJ$8),ISNUMBER('Council Entry'!AJ$9)),MAX(MIN('Council Entry'!AJ93,'Council Entry'!AJ$9),'Council Entry'!AJ$8),'Council Entry'!AJ93)),IF('Council Entry'!AJ$4="Exponential",EXP(IF(AND(ISNUMBER('Council Entry'!AJ$8),ISNUMBER('Council Entry'!AJ$9)),MAX(MIN('Council Entry'!AJ93,'Council Entry'!AJ$9),'Council Entry'!AJ$8),'Council Entry'!AJ93)),IF(AND(ISNUMBER('Council Entry'!AJ$8),ISNUMBER('Council Entry'!AJ$9)),MAX(MIN('Council Entry'!AJ93,'Council Entry'!AJ$9),'Council Entry'!AJ$8),'Council Entry'!AJ93))))-'Council Entry'!AJ$5)/('Council Entry'!AJ$6-'Council Entry'!AJ$5),10*((IF('Council Entry'!AJ$4="Logarithm",LN(0.001+IF(AND(ISNUMBER('Council Entry'!AJ$8),ISNUMBER('Council Entry'!AJ$9)),MAX(MIN('Council Entry'!AJ93,'Council Entry'!AJ$9),'Council Entry'!AJ$8),'Council Entry'!AJ93)),IF('Council Entry'!AJ$4="Exponential",EXP(IF(AND(ISNUMBER('Council Entry'!AJ$8),ISNUMBER('Council Entry'!AJ$9)),MAX(MIN('Council Entry'!AJ93,'Council Entry'!AJ$9),'Council Entry'!AJ$8),'Council Entry'!AJ93)),IF(AND(ISNUMBER('Council Entry'!AJ$8),ISNUMBER('Council Entry'!AJ$9)),MAX(MIN('Council Entry'!AJ93,'Council Entry'!AJ$9),'Council Entry'!AJ$8),'Council Entry'!AJ93))))-'Council Entry'!AJ$5)/('Council Entry'!AJ$6-'Council Entry'!AJ$5)),1))),"No data"))</f>
        <v/>
      </c>
      <c r="AK93" s="13">
        <f>IF('Council Entry'!AK93="","",IFERROR(MAX(0,MIN(10,ROUND(IF('Council Entry'!AK$7="Decrease Risk",10-10*((IF('Council Entry'!AK$4="Logarithm",LN(0.001+IF(AND(ISNUMBER('Council Entry'!AK$8),ISNUMBER('Council Entry'!AK$9)),MAX(MIN('Council Entry'!AK93,'Council Entry'!AK$9),'Council Entry'!AK$8),'Council Entry'!AK93)),IF('Council Entry'!AK$4="Exponential",EXP(IF(AND(ISNUMBER('Council Entry'!AK$8),ISNUMBER('Council Entry'!AK$9)),MAX(MIN('Council Entry'!AK93,'Council Entry'!AK$9),'Council Entry'!AK$8),'Council Entry'!AK93)),IF(AND(ISNUMBER('Council Entry'!AK$8),ISNUMBER('Council Entry'!AK$9)),MAX(MIN('Council Entry'!AK93,'Council Entry'!AK$9),'Council Entry'!AK$8),'Council Entry'!AK93))))-'Council Entry'!AK$5)/('Council Entry'!AK$6-'Council Entry'!AK$5),10*((IF('Council Entry'!AK$4="Logarithm",LN(0.001+IF(AND(ISNUMBER('Council Entry'!AK$8),ISNUMBER('Council Entry'!AK$9)),MAX(MIN('Council Entry'!AK93,'Council Entry'!AK$9),'Council Entry'!AK$8),'Council Entry'!AK93)),IF('Council Entry'!AK$4="Exponential",EXP(IF(AND(ISNUMBER('Council Entry'!AK$8),ISNUMBER('Council Entry'!AK$9)),MAX(MIN('Council Entry'!AK93,'Council Entry'!AK$9),'Council Entry'!AK$8),'Council Entry'!AK93)),IF(AND(ISNUMBER('Council Entry'!AK$8),ISNUMBER('Council Entry'!AK$9)),MAX(MIN('Council Entry'!AK93,'Council Entry'!AK$9),'Council Entry'!AK$8),'Council Entry'!AK93))))-'Council Entry'!AK$5)/('Council Entry'!AK$6-'Council Entry'!AK$5)),1))),"No data"))</f>
        <v/>
      </c>
      <c r="AL93" s="13">
        <f>IF('Council Entry'!AL93="","",IFERROR(MAX(0,MIN(10,ROUND(IF('Council Entry'!AL$7="Decrease Risk",10-10*((IF('Council Entry'!AL$4="Logarithm",LN(0.001+IF(AND(ISNUMBER('Council Entry'!AL$8),ISNUMBER('Council Entry'!AL$9)),MAX(MIN('Council Entry'!AL93,'Council Entry'!AL$9),'Council Entry'!AL$8),'Council Entry'!AL93)),IF('Council Entry'!AL$4="Exponential",EXP(IF(AND(ISNUMBER('Council Entry'!AL$8),ISNUMBER('Council Entry'!AL$9)),MAX(MIN('Council Entry'!AL93,'Council Entry'!AL$9),'Council Entry'!AL$8),'Council Entry'!AL93)),IF(AND(ISNUMBER('Council Entry'!AL$8),ISNUMBER('Council Entry'!AL$9)),MAX(MIN('Council Entry'!AL93,'Council Entry'!AL$9),'Council Entry'!AL$8),'Council Entry'!AL93))))-'Council Entry'!AL$5)/('Council Entry'!AL$6-'Council Entry'!AL$5),10*((IF('Council Entry'!AL$4="Logarithm",LN(0.001+IF(AND(ISNUMBER('Council Entry'!AL$8),ISNUMBER('Council Entry'!AL$9)),MAX(MIN('Council Entry'!AL93,'Council Entry'!AL$9),'Council Entry'!AL$8),'Council Entry'!AL93)),IF('Council Entry'!AL$4="Exponential",EXP(IF(AND(ISNUMBER('Council Entry'!AL$8),ISNUMBER('Council Entry'!AL$9)),MAX(MIN('Council Entry'!AL93,'Council Entry'!AL$9),'Council Entry'!AL$8),'Council Entry'!AL93)),IF(AND(ISNUMBER('Council Entry'!AL$8),ISNUMBER('Council Entry'!AL$9)),MAX(MIN('Council Entry'!AL93,'Council Entry'!AL$9),'Council Entry'!AL$8),'Council Entry'!AL93))))-'Council Entry'!AL$5)/('Council Entry'!AL$6-'Council Entry'!AL$5)),1))),"No data"))</f>
        <v/>
      </c>
      <c r="AM93" s="13">
        <f>IF('Council Entry'!AM93="","",IFERROR(MAX(0,MIN(10,ROUND(IF('Council Entry'!AM$7="Decrease Risk",10-10*((IF('Council Entry'!AM$4="Logarithm",LN(0.001+IF(AND(ISNUMBER('Council Entry'!AM$8),ISNUMBER('Council Entry'!AM$9)),MAX(MIN('Council Entry'!AM93,'Council Entry'!AM$9),'Council Entry'!AM$8),'Council Entry'!AM93)),IF('Council Entry'!AM$4="Exponential",EXP(IF(AND(ISNUMBER('Council Entry'!AM$8),ISNUMBER('Council Entry'!AM$9)),MAX(MIN('Council Entry'!AM93,'Council Entry'!AM$9),'Council Entry'!AM$8),'Council Entry'!AM93)),IF(AND(ISNUMBER('Council Entry'!AM$8),ISNUMBER('Council Entry'!AM$9)),MAX(MIN('Council Entry'!AM93,'Council Entry'!AM$9),'Council Entry'!AM$8),'Council Entry'!AM93))))-'Council Entry'!AM$5)/('Council Entry'!AM$6-'Council Entry'!AM$5),10*((IF('Council Entry'!AM$4="Logarithm",LN(0.001+IF(AND(ISNUMBER('Council Entry'!AM$8),ISNUMBER('Council Entry'!AM$9)),MAX(MIN('Council Entry'!AM93,'Council Entry'!AM$9),'Council Entry'!AM$8),'Council Entry'!AM93)),IF('Council Entry'!AM$4="Exponential",EXP(IF(AND(ISNUMBER('Council Entry'!AM$8),ISNUMBER('Council Entry'!AM$9)),MAX(MIN('Council Entry'!AM93,'Council Entry'!AM$9),'Council Entry'!AM$8),'Council Entry'!AM93)),IF(AND(ISNUMBER('Council Entry'!AM$8),ISNUMBER('Council Entry'!AM$9)),MAX(MIN('Council Entry'!AM93,'Council Entry'!AM$9),'Council Entry'!AM$8),'Council Entry'!AM93))))-'Council Entry'!AM$5)/('Council Entry'!AM$6-'Council Entry'!AM$5)),1))),"No data"))</f>
        <v/>
      </c>
      <c r="AN93" s="13">
        <f>IF('Council Entry'!AN93="","",IFERROR(MAX(0,MIN(10,ROUND(IF('Council Entry'!AN$7="Decrease Risk",10-10*((IF('Council Entry'!AN$4="Logarithm",LN(0.001+IF(AND(ISNUMBER('Council Entry'!AN$8),ISNUMBER('Council Entry'!AN$9)),MAX(MIN('Council Entry'!AN93,'Council Entry'!AN$9),'Council Entry'!AN$8),'Council Entry'!AN93)),IF('Council Entry'!AN$4="Exponential",EXP(IF(AND(ISNUMBER('Council Entry'!AN$8),ISNUMBER('Council Entry'!AN$9)),MAX(MIN('Council Entry'!AN93,'Council Entry'!AN$9),'Council Entry'!AN$8),'Council Entry'!AN93)),IF(AND(ISNUMBER('Council Entry'!AN$8),ISNUMBER('Council Entry'!AN$9)),MAX(MIN('Council Entry'!AN93,'Council Entry'!AN$9),'Council Entry'!AN$8),'Council Entry'!AN93))))-'Council Entry'!AN$5)/('Council Entry'!AN$6-'Council Entry'!AN$5),10*((IF('Council Entry'!AN$4="Logarithm",LN(0.001+IF(AND(ISNUMBER('Council Entry'!AN$8),ISNUMBER('Council Entry'!AN$9)),MAX(MIN('Council Entry'!AN93,'Council Entry'!AN$9),'Council Entry'!AN$8),'Council Entry'!AN93)),IF('Council Entry'!AN$4="Exponential",EXP(IF(AND(ISNUMBER('Council Entry'!AN$8),ISNUMBER('Council Entry'!AN$9)),MAX(MIN('Council Entry'!AN93,'Council Entry'!AN$9),'Council Entry'!AN$8),'Council Entry'!AN93)),IF(AND(ISNUMBER('Council Entry'!AN$8),ISNUMBER('Council Entry'!AN$9)),MAX(MIN('Council Entry'!AN93,'Council Entry'!AN$9),'Council Entry'!AN$8),'Council Entry'!AN93))))-'Council Entry'!AN$5)/('Council Entry'!AN$6-'Council Entry'!AN$5)),1))),"No data"))</f>
        <v/>
      </c>
      <c r="AO93" s="13">
        <f>IF('Council Entry'!AO93="","",IFERROR(MAX(0,MIN(10,ROUND(IF('Council Entry'!AO$7="Decrease Risk",10-10*((IF('Council Entry'!AO$4="Logarithm",LN(0.001+IF(AND(ISNUMBER('Council Entry'!AO$8),ISNUMBER('Council Entry'!AO$9)),MAX(MIN('Council Entry'!AO93,'Council Entry'!AO$9),'Council Entry'!AO$8),'Council Entry'!AO93)),IF('Council Entry'!AO$4="Exponential",EXP(IF(AND(ISNUMBER('Council Entry'!AO$8),ISNUMBER('Council Entry'!AO$9)),MAX(MIN('Council Entry'!AO93,'Council Entry'!AO$9),'Council Entry'!AO$8),'Council Entry'!AO93)),IF(AND(ISNUMBER('Council Entry'!AO$8),ISNUMBER('Council Entry'!AO$9)),MAX(MIN('Council Entry'!AO93,'Council Entry'!AO$9),'Council Entry'!AO$8),'Council Entry'!AO93))))-'Council Entry'!AO$5)/('Council Entry'!AO$6-'Council Entry'!AO$5),10*((IF('Council Entry'!AO$4="Logarithm",LN(0.001+IF(AND(ISNUMBER('Council Entry'!AO$8),ISNUMBER('Council Entry'!AO$9)),MAX(MIN('Council Entry'!AO93,'Council Entry'!AO$9),'Council Entry'!AO$8),'Council Entry'!AO93)),IF('Council Entry'!AO$4="Exponential",EXP(IF(AND(ISNUMBER('Council Entry'!AO$8),ISNUMBER('Council Entry'!AO$9)),MAX(MIN('Council Entry'!AO93,'Council Entry'!AO$9),'Council Entry'!AO$8),'Council Entry'!AO93)),IF(AND(ISNUMBER('Council Entry'!AO$8),ISNUMBER('Council Entry'!AO$9)),MAX(MIN('Council Entry'!AO93,'Council Entry'!AO$9),'Council Entry'!AO$8),'Council Entry'!AO93))))-'Council Entry'!AO$5)/('Council Entry'!AO$6-'Council Entry'!AO$5)),1))),"No data"))</f>
        <v/>
      </c>
      <c r="AP93" s="13">
        <f>IF('Council Entry'!AP93="","",IFERROR(MAX(0,MIN(10,ROUND(IF('Council Entry'!AP$7="Decrease Risk",10-10*((IF('Council Entry'!AP$4="Logarithm",LN(0.001+IF(AND(ISNUMBER('Council Entry'!AP$8),ISNUMBER('Council Entry'!AP$9)),MAX(MIN('Council Entry'!AP93,'Council Entry'!AP$9),'Council Entry'!AP$8),'Council Entry'!AP93)),IF('Council Entry'!AP$4="Exponential",EXP(IF(AND(ISNUMBER('Council Entry'!AP$8),ISNUMBER('Council Entry'!AP$9)),MAX(MIN('Council Entry'!AP93,'Council Entry'!AP$9),'Council Entry'!AP$8),'Council Entry'!AP93)),IF(AND(ISNUMBER('Council Entry'!AP$8),ISNUMBER('Council Entry'!AP$9)),MAX(MIN('Council Entry'!AP93,'Council Entry'!AP$9),'Council Entry'!AP$8),'Council Entry'!AP93))))-'Council Entry'!AP$5)/('Council Entry'!AP$6-'Council Entry'!AP$5),10*((IF('Council Entry'!AP$4="Logarithm",LN(0.001+IF(AND(ISNUMBER('Council Entry'!AP$8),ISNUMBER('Council Entry'!AP$9)),MAX(MIN('Council Entry'!AP93,'Council Entry'!AP$9),'Council Entry'!AP$8),'Council Entry'!AP93)),IF('Council Entry'!AP$4="Exponential",EXP(IF(AND(ISNUMBER('Council Entry'!AP$8),ISNUMBER('Council Entry'!AP$9)),MAX(MIN('Council Entry'!AP93,'Council Entry'!AP$9),'Council Entry'!AP$8),'Council Entry'!AP93)),IF(AND(ISNUMBER('Council Entry'!AP$8),ISNUMBER('Council Entry'!AP$9)),MAX(MIN('Council Entry'!AP93,'Council Entry'!AP$9),'Council Entry'!AP$8),'Council Entry'!AP93))))-'Council Entry'!AP$5)/('Council Entry'!AP$6-'Council Entry'!AP$5)),1))),"No data"))</f>
        <v/>
      </c>
      <c r="AQ93" s="13">
        <f>IF('Council Entry'!AQ93="","",IFERROR(MAX(0,MIN(10,ROUND(IF('Council Entry'!AQ$7="Decrease Risk",10-10*((IF('Council Entry'!AQ$4="Logarithm",LN(0.001+IF(AND(ISNUMBER('Council Entry'!AQ$8),ISNUMBER('Council Entry'!AQ$9)),MAX(MIN('Council Entry'!AQ93,'Council Entry'!AQ$9),'Council Entry'!AQ$8),'Council Entry'!AQ93)),IF('Council Entry'!AQ$4="Exponential",EXP(IF(AND(ISNUMBER('Council Entry'!AQ$8),ISNUMBER('Council Entry'!AQ$9)),MAX(MIN('Council Entry'!AQ93,'Council Entry'!AQ$9),'Council Entry'!AQ$8),'Council Entry'!AQ93)),IF(AND(ISNUMBER('Council Entry'!AQ$8),ISNUMBER('Council Entry'!AQ$9)),MAX(MIN('Council Entry'!AQ93,'Council Entry'!AQ$9),'Council Entry'!AQ$8),'Council Entry'!AQ93))))-'Council Entry'!AQ$5)/('Council Entry'!AQ$6-'Council Entry'!AQ$5),10*((IF('Council Entry'!AQ$4="Logarithm",LN(0.001+IF(AND(ISNUMBER('Council Entry'!AQ$8),ISNUMBER('Council Entry'!AQ$9)),MAX(MIN('Council Entry'!AQ93,'Council Entry'!AQ$9),'Council Entry'!AQ$8),'Council Entry'!AQ93)),IF('Council Entry'!AQ$4="Exponential",EXP(IF(AND(ISNUMBER('Council Entry'!AQ$8),ISNUMBER('Council Entry'!AQ$9)),MAX(MIN('Council Entry'!AQ93,'Council Entry'!AQ$9),'Council Entry'!AQ$8),'Council Entry'!AQ93)),IF(AND(ISNUMBER('Council Entry'!AQ$8),ISNUMBER('Council Entry'!AQ$9)),MAX(MIN('Council Entry'!AQ93,'Council Entry'!AQ$9),'Council Entry'!AQ$8),'Council Entry'!AQ93))))-'Council Entry'!AQ$5)/('Council Entry'!AQ$6-'Council Entry'!AQ$5)),1))),"No data"))</f>
        <v/>
      </c>
      <c r="AR93" s="13">
        <f>IF('Council Entry'!AR93="","",IFERROR(MAX(0,MIN(10,ROUND(IF('Council Entry'!AR$7="Decrease Risk",10-10*((IF('Council Entry'!AR$4="Logarithm",LN(0.001+IF(AND(ISNUMBER('Council Entry'!AR$8),ISNUMBER('Council Entry'!AR$9)),MAX(MIN('Council Entry'!AR93,'Council Entry'!AR$9),'Council Entry'!AR$8),'Council Entry'!AR93)),IF('Council Entry'!AR$4="Exponential",EXP(IF(AND(ISNUMBER('Council Entry'!AR$8),ISNUMBER('Council Entry'!AR$9)),MAX(MIN('Council Entry'!AR93,'Council Entry'!AR$9),'Council Entry'!AR$8),'Council Entry'!AR93)),IF(AND(ISNUMBER('Council Entry'!AR$8),ISNUMBER('Council Entry'!AR$9)),MAX(MIN('Council Entry'!AR93,'Council Entry'!AR$9),'Council Entry'!AR$8),'Council Entry'!AR93))))-'Council Entry'!AR$5)/('Council Entry'!AR$6-'Council Entry'!AR$5),10*((IF('Council Entry'!AR$4="Logarithm",LN(0.001+IF(AND(ISNUMBER('Council Entry'!AR$8),ISNUMBER('Council Entry'!AR$9)),MAX(MIN('Council Entry'!AR93,'Council Entry'!AR$9),'Council Entry'!AR$8),'Council Entry'!AR93)),IF('Council Entry'!AR$4="Exponential",EXP(IF(AND(ISNUMBER('Council Entry'!AR$8),ISNUMBER('Council Entry'!AR$9)),MAX(MIN('Council Entry'!AR93,'Council Entry'!AR$9),'Council Entry'!AR$8),'Council Entry'!AR93)),IF(AND(ISNUMBER('Council Entry'!AR$8),ISNUMBER('Council Entry'!AR$9)),MAX(MIN('Council Entry'!AR93,'Council Entry'!AR$9),'Council Entry'!AR$8),'Council Entry'!AR93))))-'Council Entry'!AR$5)/('Council Entry'!AR$6-'Council Entry'!AR$5)),1))),"No data"))</f>
        <v/>
      </c>
      <c r="AS93" s="13">
        <f>IF('Council Entry'!AS93="","",IFERROR(MAX(0,MIN(10,ROUND(IF('Council Entry'!AS$7="Decrease Risk",10-10*((IF('Council Entry'!AS$4="Logarithm",LN(0.001+IF(AND(ISNUMBER('Council Entry'!AS$8),ISNUMBER('Council Entry'!AS$9)),MAX(MIN('Council Entry'!AS93,'Council Entry'!AS$9),'Council Entry'!AS$8),'Council Entry'!AS93)),IF('Council Entry'!AS$4="Exponential",EXP(IF(AND(ISNUMBER('Council Entry'!AS$8),ISNUMBER('Council Entry'!AS$9)),MAX(MIN('Council Entry'!AS93,'Council Entry'!AS$9),'Council Entry'!AS$8),'Council Entry'!AS93)),IF(AND(ISNUMBER('Council Entry'!AS$8),ISNUMBER('Council Entry'!AS$9)),MAX(MIN('Council Entry'!AS93,'Council Entry'!AS$9),'Council Entry'!AS$8),'Council Entry'!AS93))))-'Council Entry'!AS$5)/('Council Entry'!AS$6-'Council Entry'!AS$5),10*((IF('Council Entry'!AS$4="Logarithm",LN(0.001+IF(AND(ISNUMBER('Council Entry'!AS$8),ISNUMBER('Council Entry'!AS$9)),MAX(MIN('Council Entry'!AS93,'Council Entry'!AS$9),'Council Entry'!AS$8),'Council Entry'!AS93)),IF('Council Entry'!AS$4="Exponential",EXP(IF(AND(ISNUMBER('Council Entry'!AS$8),ISNUMBER('Council Entry'!AS$9)),MAX(MIN('Council Entry'!AS93,'Council Entry'!AS$9),'Council Entry'!AS$8),'Council Entry'!AS93)),IF(AND(ISNUMBER('Council Entry'!AS$8),ISNUMBER('Council Entry'!AS$9)),MAX(MIN('Council Entry'!AS93,'Council Entry'!AS$9),'Council Entry'!AS$8),'Council Entry'!AS93))))-'Council Entry'!AS$5)/('Council Entry'!AS$6-'Council Entry'!AS$5)),1))),"No data"))</f>
        <v/>
      </c>
      <c r="AT93" s="13">
        <f>IF('Council Entry'!AT93="","",IFERROR(MAX(0,MIN(10,ROUND(IF('Council Entry'!AT$7="Decrease Risk",10-10*((IF('Council Entry'!AT$4="Logarithm",LN(0.001+IF(AND(ISNUMBER('Council Entry'!AT$8),ISNUMBER('Council Entry'!AT$9)),MAX(MIN('Council Entry'!AT93,'Council Entry'!AT$9),'Council Entry'!AT$8),'Council Entry'!AT93)),IF('Council Entry'!AT$4="Exponential",EXP(IF(AND(ISNUMBER('Council Entry'!AT$8),ISNUMBER('Council Entry'!AT$9)),MAX(MIN('Council Entry'!AT93,'Council Entry'!AT$9),'Council Entry'!AT$8),'Council Entry'!AT93)),IF(AND(ISNUMBER('Council Entry'!AT$8),ISNUMBER('Council Entry'!AT$9)),MAX(MIN('Council Entry'!AT93,'Council Entry'!AT$9),'Council Entry'!AT$8),'Council Entry'!AT93))))-'Council Entry'!AT$5)/('Council Entry'!AT$6-'Council Entry'!AT$5),10*((IF('Council Entry'!AT$4="Logarithm",LN(0.001+IF(AND(ISNUMBER('Council Entry'!AT$8),ISNUMBER('Council Entry'!AT$9)),MAX(MIN('Council Entry'!AT93,'Council Entry'!AT$9),'Council Entry'!AT$8),'Council Entry'!AT93)),IF('Council Entry'!AT$4="Exponential",EXP(IF(AND(ISNUMBER('Council Entry'!AT$8),ISNUMBER('Council Entry'!AT$9)),MAX(MIN('Council Entry'!AT93,'Council Entry'!AT$9),'Council Entry'!AT$8),'Council Entry'!AT93)),IF(AND(ISNUMBER('Council Entry'!AT$8),ISNUMBER('Council Entry'!AT$9)),MAX(MIN('Council Entry'!AT93,'Council Entry'!AT$9),'Council Entry'!AT$8),'Council Entry'!AT93))))-'Council Entry'!AT$5)/('Council Entry'!AT$6-'Council Entry'!AT$5)),1))),"No data"))</f>
        <v/>
      </c>
      <c r="AU93" s="13">
        <f>IF('Council Entry'!AU93="","",IFERROR(MAX(0,MIN(10,ROUND(IF('Council Entry'!AU$7="Decrease Risk",10-10*((IF('Council Entry'!AU$4="Logarithm",LN(0.001+IF(AND(ISNUMBER('Council Entry'!AU$8),ISNUMBER('Council Entry'!AU$9)),MAX(MIN('Council Entry'!AU93,'Council Entry'!AU$9),'Council Entry'!AU$8),'Council Entry'!AU93)),IF('Council Entry'!AU$4="Exponential",EXP(IF(AND(ISNUMBER('Council Entry'!AU$8),ISNUMBER('Council Entry'!AU$9)),MAX(MIN('Council Entry'!AU93,'Council Entry'!AU$9),'Council Entry'!AU$8),'Council Entry'!AU93)),IF(AND(ISNUMBER('Council Entry'!AU$8),ISNUMBER('Council Entry'!AU$9)),MAX(MIN('Council Entry'!AU93,'Council Entry'!AU$9),'Council Entry'!AU$8),'Council Entry'!AU93))))-'Council Entry'!AU$5)/('Council Entry'!AU$6-'Council Entry'!AU$5),10*((IF('Council Entry'!AU$4="Logarithm",LN(0.001+IF(AND(ISNUMBER('Council Entry'!AU$8),ISNUMBER('Council Entry'!AU$9)),MAX(MIN('Council Entry'!AU93,'Council Entry'!AU$9),'Council Entry'!AU$8),'Council Entry'!AU93)),IF('Council Entry'!AU$4="Exponential",EXP(IF(AND(ISNUMBER('Council Entry'!AU$8),ISNUMBER('Council Entry'!AU$9)),MAX(MIN('Council Entry'!AU93,'Council Entry'!AU$9),'Council Entry'!AU$8),'Council Entry'!AU93)),IF(AND(ISNUMBER('Council Entry'!AU$8),ISNUMBER('Council Entry'!AU$9)),MAX(MIN('Council Entry'!AU93,'Council Entry'!AU$9),'Council Entry'!AU$8),'Council Entry'!AU93))))-'Council Entry'!AU$5)/('Council Entry'!AU$6-'Council Entry'!AU$5)),1))),"No data"))</f>
        <v/>
      </c>
      <c r="AV93" s="13">
        <f>IF('Council Entry'!AV93="","",IFERROR(MAX(0,MIN(10,ROUND(IF('Council Entry'!AV$7="Decrease Risk",10-10*((IF('Council Entry'!AV$4="Logarithm",LN(0.001+IF(AND(ISNUMBER('Council Entry'!AV$8),ISNUMBER('Council Entry'!AV$9)),MAX(MIN('Council Entry'!AV93,'Council Entry'!AV$9),'Council Entry'!AV$8),'Council Entry'!AV93)),IF('Council Entry'!AV$4="Exponential",EXP(IF(AND(ISNUMBER('Council Entry'!AV$8),ISNUMBER('Council Entry'!AV$9)),MAX(MIN('Council Entry'!AV93,'Council Entry'!AV$9),'Council Entry'!AV$8),'Council Entry'!AV93)),IF(AND(ISNUMBER('Council Entry'!AV$8),ISNUMBER('Council Entry'!AV$9)),MAX(MIN('Council Entry'!AV93,'Council Entry'!AV$9),'Council Entry'!AV$8),'Council Entry'!AV93))))-'Council Entry'!AV$5)/('Council Entry'!AV$6-'Council Entry'!AV$5),10*((IF('Council Entry'!AV$4="Logarithm",LN(0.001+IF(AND(ISNUMBER('Council Entry'!AV$8),ISNUMBER('Council Entry'!AV$9)),MAX(MIN('Council Entry'!AV93,'Council Entry'!AV$9),'Council Entry'!AV$8),'Council Entry'!AV93)),IF('Council Entry'!AV$4="Exponential",EXP(IF(AND(ISNUMBER('Council Entry'!AV$8),ISNUMBER('Council Entry'!AV$9)),MAX(MIN('Council Entry'!AV93,'Council Entry'!AV$9),'Council Entry'!AV$8),'Council Entry'!AV93)),IF(AND(ISNUMBER('Council Entry'!AV$8),ISNUMBER('Council Entry'!AV$9)),MAX(MIN('Council Entry'!AV93,'Council Entry'!AV$9),'Council Entry'!AV$8),'Council Entry'!AV93))))-'Council Entry'!AV$5)/('Council Entry'!AV$6-'Council Entry'!AV$5)),1))),"No data"))</f>
        <v/>
      </c>
      <c r="AW93" s="13">
        <f>IF('Council Entry'!AW93="","",IFERROR(MAX(0,MIN(10,ROUND(IF('Council Entry'!AW$7="Decrease Risk",10-10*((IF('Council Entry'!AW$4="Logarithm",LN(0.001+IF(AND(ISNUMBER('Council Entry'!AW$8),ISNUMBER('Council Entry'!AW$9)),MAX(MIN('Council Entry'!AW93,'Council Entry'!AW$9),'Council Entry'!AW$8),'Council Entry'!AW93)),IF('Council Entry'!AW$4="Exponential",EXP(IF(AND(ISNUMBER('Council Entry'!AW$8),ISNUMBER('Council Entry'!AW$9)),MAX(MIN('Council Entry'!AW93,'Council Entry'!AW$9),'Council Entry'!AW$8),'Council Entry'!AW93)),IF(AND(ISNUMBER('Council Entry'!AW$8),ISNUMBER('Council Entry'!AW$9)),MAX(MIN('Council Entry'!AW93,'Council Entry'!AW$9),'Council Entry'!AW$8),'Council Entry'!AW93))))-'Council Entry'!AW$5)/('Council Entry'!AW$6-'Council Entry'!AW$5),10*((IF('Council Entry'!AW$4="Logarithm",LN(0.001+IF(AND(ISNUMBER('Council Entry'!AW$8),ISNUMBER('Council Entry'!AW$9)),MAX(MIN('Council Entry'!AW93,'Council Entry'!AW$9),'Council Entry'!AW$8),'Council Entry'!AW93)),IF('Council Entry'!AW$4="Exponential",EXP(IF(AND(ISNUMBER('Council Entry'!AW$8),ISNUMBER('Council Entry'!AW$9)),MAX(MIN('Council Entry'!AW93,'Council Entry'!AW$9),'Council Entry'!AW$8),'Council Entry'!AW93)),IF(AND(ISNUMBER('Council Entry'!AW$8),ISNUMBER('Council Entry'!AW$9)),MAX(MIN('Council Entry'!AW93,'Council Entry'!AW$9),'Council Entry'!AW$8),'Council Entry'!AW93))))-'Council Entry'!AW$5)/('Council Entry'!AW$6-'Council Entry'!AW$5)),1))),"No data"))</f>
        <v/>
      </c>
      <c r="AX93" s="13">
        <f>IF('Council Entry'!AX93="","",IFERROR(MAX(0,MIN(10,ROUND(IF('Council Entry'!AX$7="Decrease Risk",10-10*((IF('Council Entry'!AX$4="Logarithm",LN(0.001+IF(AND(ISNUMBER('Council Entry'!AX$8),ISNUMBER('Council Entry'!AX$9)),MAX(MIN('Council Entry'!AX93,'Council Entry'!AX$9),'Council Entry'!AX$8),'Council Entry'!AX93)),IF('Council Entry'!AX$4="Exponential",EXP(IF(AND(ISNUMBER('Council Entry'!AX$8),ISNUMBER('Council Entry'!AX$9)),MAX(MIN('Council Entry'!AX93,'Council Entry'!AX$9),'Council Entry'!AX$8),'Council Entry'!AX93)),IF(AND(ISNUMBER('Council Entry'!AX$8),ISNUMBER('Council Entry'!AX$9)),MAX(MIN('Council Entry'!AX93,'Council Entry'!AX$9),'Council Entry'!AX$8),'Council Entry'!AX93))))-'Council Entry'!AX$5)/('Council Entry'!AX$6-'Council Entry'!AX$5),10*((IF('Council Entry'!AX$4="Logarithm",LN(0.001+IF(AND(ISNUMBER('Council Entry'!AX$8),ISNUMBER('Council Entry'!AX$9)),MAX(MIN('Council Entry'!AX93,'Council Entry'!AX$9),'Council Entry'!AX$8),'Council Entry'!AX93)),IF('Council Entry'!AX$4="Exponential",EXP(IF(AND(ISNUMBER('Council Entry'!AX$8),ISNUMBER('Council Entry'!AX$9)),MAX(MIN('Council Entry'!AX93,'Council Entry'!AX$9),'Council Entry'!AX$8),'Council Entry'!AX93)),IF(AND(ISNUMBER('Council Entry'!AX$8),ISNUMBER('Council Entry'!AX$9)),MAX(MIN('Council Entry'!AX93,'Council Entry'!AX$9),'Council Entry'!AX$8),'Council Entry'!AX93))))-'Council Entry'!AX$5)/('Council Entry'!AX$6-'Council Entry'!AX$5)),1))),"No data"))</f>
        <v/>
      </c>
      <c r="AY93" s="13">
        <f>IF('Council Entry'!AY93="","",IFERROR(MAX(0,MIN(10,ROUND(IF('Council Entry'!AY$7="Decrease Risk",10-10*((IF('Council Entry'!AY$4="Logarithm",LN(0.001+IF(AND(ISNUMBER('Council Entry'!AY$8),ISNUMBER('Council Entry'!AY$9)),MAX(MIN('Council Entry'!AY93,'Council Entry'!AY$9),'Council Entry'!AY$8),'Council Entry'!AY93)),IF('Council Entry'!AY$4="Exponential",EXP(IF(AND(ISNUMBER('Council Entry'!AY$8),ISNUMBER('Council Entry'!AY$9)),MAX(MIN('Council Entry'!AY93,'Council Entry'!AY$9),'Council Entry'!AY$8),'Council Entry'!AY93)),IF(AND(ISNUMBER('Council Entry'!AY$8),ISNUMBER('Council Entry'!AY$9)),MAX(MIN('Council Entry'!AY93,'Council Entry'!AY$9),'Council Entry'!AY$8),'Council Entry'!AY93))))-'Council Entry'!AY$5)/('Council Entry'!AY$6-'Council Entry'!AY$5),10*((IF('Council Entry'!AY$4="Logarithm",LN(0.001+IF(AND(ISNUMBER('Council Entry'!AY$8),ISNUMBER('Council Entry'!AY$9)),MAX(MIN('Council Entry'!AY93,'Council Entry'!AY$9),'Council Entry'!AY$8),'Council Entry'!AY93)),IF('Council Entry'!AY$4="Exponential",EXP(IF(AND(ISNUMBER('Council Entry'!AY$8),ISNUMBER('Council Entry'!AY$9)),MAX(MIN('Council Entry'!AY93,'Council Entry'!AY$9),'Council Entry'!AY$8),'Council Entry'!AY93)),IF(AND(ISNUMBER('Council Entry'!AY$8),ISNUMBER('Council Entry'!AY$9)),MAX(MIN('Council Entry'!AY93,'Council Entry'!AY$9),'Council Entry'!AY$8),'Council Entry'!AY93))))-'Council Entry'!AY$5)/('Council Entry'!AY$6-'Council Entry'!AY$5)),1))),"No data"))</f>
        <v/>
      </c>
      <c r="AZ93" s="13">
        <f>IF('Council Entry'!AZ93="","",IFERROR(MAX(0,MIN(10,ROUND(IF('Council Entry'!AZ$7="Decrease Risk",10-10*((IF('Council Entry'!AZ$4="Logarithm",LN(0.001+IF(AND(ISNUMBER('Council Entry'!AZ$8),ISNUMBER('Council Entry'!AZ$9)),MAX(MIN('Council Entry'!AZ93,'Council Entry'!AZ$9),'Council Entry'!AZ$8),'Council Entry'!AZ93)),IF('Council Entry'!AZ$4="Exponential",EXP(IF(AND(ISNUMBER('Council Entry'!AZ$8),ISNUMBER('Council Entry'!AZ$9)),MAX(MIN('Council Entry'!AZ93,'Council Entry'!AZ$9),'Council Entry'!AZ$8),'Council Entry'!AZ93)),IF(AND(ISNUMBER('Council Entry'!AZ$8),ISNUMBER('Council Entry'!AZ$9)),MAX(MIN('Council Entry'!AZ93,'Council Entry'!AZ$9),'Council Entry'!AZ$8),'Council Entry'!AZ93))))-'Council Entry'!AZ$5)/('Council Entry'!AZ$6-'Council Entry'!AZ$5),10*((IF('Council Entry'!AZ$4="Logarithm",LN(0.001+IF(AND(ISNUMBER('Council Entry'!AZ$8),ISNUMBER('Council Entry'!AZ$9)),MAX(MIN('Council Entry'!AZ93,'Council Entry'!AZ$9),'Council Entry'!AZ$8),'Council Entry'!AZ93)),IF('Council Entry'!AZ$4="Exponential",EXP(IF(AND(ISNUMBER('Council Entry'!AZ$8),ISNUMBER('Council Entry'!AZ$9)),MAX(MIN('Council Entry'!AZ93,'Council Entry'!AZ$9),'Council Entry'!AZ$8),'Council Entry'!AZ93)),IF(AND(ISNUMBER('Council Entry'!AZ$8),ISNUMBER('Council Entry'!AZ$9)),MAX(MIN('Council Entry'!AZ93,'Council Entry'!AZ$9),'Council Entry'!AZ$8),'Council Entry'!AZ93))))-'Council Entry'!AZ$5)/('Council Entry'!AZ$6-'Council Entry'!AZ$5)),1))),"No data"))</f>
        <v/>
      </c>
      <c r="BA93" s="13">
        <f>IF('Council Entry'!BA93="","",IFERROR(MAX(0,MIN(10,ROUND(IF('Council Entry'!BA$7="Decrease Risk",10-10*((IF('Council Entry'!BA$4="Logarithm",LN(0.001+IF(AND(ISNUMBER('Council Entry'!BA$8),ISNUMBER('Council Entry'!BA$9)),MAX(MIN('Council Entry'!BA93,'Council Entry'!BA$9),'Council Entry'!BA$8),'Council Entry'!BA93)),IF('Council Entry'!BA$4="Exponential",EXP(IF(AND(ISNUMBER('Council Entry'!BA$8),ISNUMBER('Council Entry'!BA$9)),MAX(MIN('Council Entry'!BA93,'Council Entry'!BA$9),'Council Entry'!BA$8),'Council Entry'!BA93)),IF(AND(ISNUMBER('Council Entry'!BA$8),ISNUMBER('Council Entry'!BA$9)),MAX(MIN('Council Entry'!BA93,'Council Entry'!BA$9),'Council Entry'!BA$8),'Council Entry'!BA93))))-'Council Entry'!BA$5)/('Council Entry'!BA$6-'Council Entry'!BA$5),10*((IF('Council Entry'!BA$4="Logarithm",LN(0.001+IF(AND(ISNUMBER('Council Entry'!BA$8),ISNUMBER('Council Entry'!BA$9)),MAX(MIN('Council Entry'!BA93,'Council Entry'!BA$9),'Council Entry'!BA$8),'Council Entry'!BA93)),IF('Council Entry'!BA$4="Exponential",EXP(IF(AND(ISNUMBER('Council Entry'!BA$8),ISNUMBER('Council Entry'!BA$9)),MAX(MIN('Council Entry'!BA93,'Council Entry'!BA$9),'Council Entry'!BA$8),'Council Entry'!BA93)),IF(AND(ISNUMBER('Council Entry'!BA$8),ISNUMBER('Council Entry'!BA$9)),MAX(MIN('Council Entry'!BA93,'Council Entry'!BA$9),'Council Entry'!BA$8),'Council Entry'!BA93))))-'Council Entry'!BA$5)/('Council Entry'!BA$6-'Council Entry'!BA$5)),1))),"No data"))</f>
        <v/>
      </c>
      <c r="BB93" s="13">
        <f>IF('Council Entry'!BB93="","",IFERROR(MAX(0,MIN(10,ROUND(IF('Council Entry'!BB$7="Decrease Risk",10-10*((IF('Council Entry'!BB$4="Logarithm",LN(0.001+IF(AND(ISNUMBER('Council Entry'!BB$8),ISNUMBER('Council Entry'!BB$9)),MAX(MIN('Council Entry'!BB93,'Council Entry'!BB$9),'Council Entry'!BB$8),'Council Entry'!BB93)),IF('Council Entry'!BB$4="Exponential",EXP(IF(AND(ISNUMBER('Council Entry'!BB$8),ISNUMBER('Council Entry'!BB$9)),MAX(MIN('Council Entry'!BB93,'Council Entry'!BB$9),'Council Entry'!BB$8),'Council Entry'!BB93)),IF(AND(ISNUMBER('Council Entry'!BB$8),ISNUMBER('Council Entry'!BB$9)),MAX(MIN('Council Entry'!BB93,'Council Entry'!BB$9),'Council Entry'!BB$8),'Council Entry'!BB93))))-'Council Entry'!BB$5)/('Council Entry'!BB$6-'Council Entry'!BB$5),10*((IF('Council Entry'!BB$4="Logarithm",LN(0.001+IF(AND(ISNUMBER('Council Entry'!BB$8),ISNUMBER('Council Entry'!BB$9)),MAX(MIN('Council Entry'!BB93,'Council Entry'!BB$9),'Council Entry'!BB$8),'Council Entry'!BB93)),IF('Council Entry'!BB$4="Exponential",EXP(IF(AND(ISNUMBER('Council Entry'!BB$8),ISNUMBER('Council Entry'!BB$9)),MAX(MIN('Council Entry'!BB93,'Council Entry'!BB$9),'Council Entry'!BB$8),'Council Entry'!BB93)),IF(AND(ISNUMBER('Council Entry'!BB$8),ISNUMBER('Council Entry'!BB$9)),MAX(MIN('Council Entry'!BB93,'Council Entry'!BB$9),'Council Entry'!BB$8),'Council Entry'!BB93))))-'Council Entry'!BB$5)/('Council Entry'!BB$6-'Council Entry'!BB$5)),1))),"No data"))</f>
        <v/>
      </c>
      <c r="BC93" s="13">
        <f>IF('Council Entry'!BC93="","",IFERROR(MAX(0,MIN(10,ROUND(IF('Council Entry'!BC$7="Decrease Risk",10-10*((IF('Council Entry'!BC$4="Logarithm",LN(0.001+IF(AND(ISNUMBER('Council Entry'!BC$8),ISNUMBER('Council Entry'!BC$9)),MAX(MIN('Council Entry'!BC93,'Council Entry'!BC$9),'Council Entry'!BC$8),'Council Entry'!BC93)),IF('Council Entry'!BC$4="Exponential",EXP(IF(AND(ISNUMBER('Council Entry'!BC$8),ISNUMBER('Council Entry'!BC$9)),MAX(MIN('Council Entry'!BC93,'Council Entry'!BC$9),'Council Entry'!BC$8),'Council Entry'!BC93)),IF(AND(ISNUMBER('Council Entry'!BC$8),ISNUMBER('Council Entry'!BC$9)),MAX(MIN('Council Entry'!BC93,'Council Entry'!BC$9),'Council Entry'!BC$8),'Council Entry'!BC93))))-'Council Entry'!BC$5)/('Council Entry'!BC$6-'Council Entry'!BC$5),10*((IF('Council Entry'!BC$4="Logarithm",LN(0.001+IF(AND(ISNUMBER('Council Entry'!BC$8),ISNUMBER('Council Entry'!BC$9)),MAX(MIN('Council Entry'!BC93,'Council Entry'!BC$9),'Council Entry'!BC$8),'Council Entry'!BC93)),IF('Council Entry'!BC$4="Exponential",EXP(IF(AND(ISNUMBER('Council Entry'!BC$8),ISNUMBER('Council Entry'!BC$9)),MAX(MIN('Council Entry'!BC93,'Council Entry'!BC$9),'Council Entry'!BC$8),'Council Entry'!BC93)),IF(AND(ISNUMBER('Council Entry'!BC$8),ISNUMBER('Council Entry'!BC$9)),MAX(MIN('Council Entry'!BC93,'Council Entry'!BC$9),'Council Entry'!BC$8),'Council Entry'!BC93))))-'Council Entry'!BC$5)/('Council Entry'!BC$6-'Council Entry'!BC$5)),1))),"No data"))</f>
        <v/>
      </c>
      <c r="BD93" s="13">
        <f>IF('Council Entry'!BD93="","",IFERROR(MAX(0,MIN(10,ROUND(IF('Council Entry'!BD$7="Decrease Risk",10-10*((IF('Council Entry'!BD$4="Logarithm",LN(0.001+IF(AND(ISNUMBER('Council Entry'!BD$8),ISNUMBER('Council Entry'!BD$9)),MAX(MIN('Council Entry'!BD93,'Council Entry'!BD$9),'Council Entry'!BD$8),'Council Entry'!BD93)),IF('Council Entry'!BD$4="Exponential",EXP(IF(AND(ISNUMBER('Council Entry'!BD$8),ISNUMBER('Council Entry'!BD$9)),MAX(MIN('Council Entry'!BD93,'Council Entry'!BD$9),'Council Entry'!BD$8),'Council Entry'!BD93)),IF(AND(ISNUMBER('Council Entry'!BD$8),ISNUMBER('Council Entry'!BD$9)),MAX(MIN('Council Entry'!BD93,'Council Entry'!BD$9),'Council Entry'!BD$8),'Council Entry'!BD93))))-'Council Entry'!BD$5)/('Council Entry'!BD$6-'Council Entry'!BD$5),10*((IF('Council Entry'!BD$4="Logarithm",LN(0.001+IF(AND(ISNUMBER('Council Entry'!BD$8),ISNUMBER('Council Entry'!BD$9)),MAX(MIN('Council Entry'!BD93,'Council Entry'!BD$9),'Council Entry'!BD$8),'Council Entry'!BD93)),IF('Council Entry'!BD$4="Exponential",EXP(IF(AND(ISNUMBER('Council Entry'!BD$8),ISNUMBER('Council Entry'!BD$9)),MAX(MIN('Council Entry'!BD93,'Council Entry'!BD$9),'Council Entry'!BD$8),'Council Entry'!BD93)),IF(AND(ISNUMBER('Council Entry'!BD$8),ISNUMBER('Council Entry'!BD$9)),MAX(MIN('Council Entry'!BD93,'Council Entry'!BD$9),'Council Entry'!BD$8),'Council Entry'!BD93))))-'Council Entry'!BD$5)/('Council Entry'!BD$6-'Council Entry'!BD$5)),1))),"No data"))</f>
        <v/>
      </c>
    </row>
    <row r="94">
      <c r="A94" t="inlineStr">
        <is>
          <t>Mara</t>
        </is>
      </c>
      <c r="B94" t="inlineStr">
        <is>
          <t>Musoma District</t>
        </is>
      </c>
      <c r="C94" t="inlineStr">
        <is>
          <t>C144</t>
        </is>
      </c>
      <c r="D94" s="13">
        <f>IF('Council Entry'!D94="","",IFERROR(MAX(0,MIN(10,ROUND(IF('Council Entry'!D$7="Decrease Risk",10-10*((IF('Council Entry'!D$4="Logarithm",LN(0.001+IF(AND(ISNUMBER('Council Entry'!D$8),ISNUMBER('Council Entry'!D$9)),MAX(MIN('Council Entry'!D94,'Council Entry'!D$9),'Council Entry'!D$8),'Council Entry'!D94)),IF('Council Entry'!D$4="Exponential",EXP(IF(AND(ISNUMBER('Council Entry'!D$8),ISNUMBER('Council Entry'!D$9)),MAX(MIN('Council Entry'!D94,'Council Entry'!D$9),'Council Entry'!D$8),'Council Entry'!D94)),IF(AND(ISNUMBER('Council Entry'!D$8),ISNUMBER('Council Entry'!D$9)),MAX(MIN('Council Entry'!D94,'Council Entry'!D$9),'Council Entry'!D$8),'Council Entry'!D94))))-'Council Entry'!D$5)/('Council Entry'!D$6-'Council Entry'!D$5),10*((IF('Council Entry'!D$4="Logarithm",LN(0.001+IF(AND(ISNUMBER('Council Entry'!D$8),ISNUMBER('Council Entry'!D$9)),MAX(MIN('Council Entry'!D94,'Council Entry'!D$9),'Council Entry'!D$8),'Council Entry'!D94)),IF('Council Entry'!D$4="Exponential",EXP(IF(AND(ISNUMBER('Council Entry'!D$8),ISNUMBER('Council Entry'!D$9)),MAX(MIN('Council Entry'!D94,'Council Entry'!D$9),'Council Entry'!D$8),'Council Entry'!D94)),IF(AND(ISNUMBER('Council Entry'!D$8),ISNUMBER('Council Entry'!D$9)),MAX(MIN('Council Entry'!D94,'Council Entry'!D$9),'Council Entry'!D$8),'Council Entry'!D94))))-'Council Entry'!D$5)/('Council Entry'!D$6-'Council Entry'!D$5)),1))),"No data"))</f>
        <v/>
      </c>
      <c r="E94" s="13">
        <f>IF('Council Entry'!E94="","",IFERROR(MAX(0,MIN(10,ROUND(IF('Council Entry'!E$7="Decrease Risk",10-10*((IF('Council Entry'!E$4="Logarithm",LN(0.001+IF(AND(ISNUMBER('Council Entry'!E$8),ISNUMBER('Council Entry'!E$9)),MAX(MIN('Council Entry'!E94,'Council Entry'!E$9),'Council Entry'!E$8),'Council Entry'!E94)),IF('Council Entry'!E$4="Exponential",EXP(IF(AND(ISNUMBER('Council Entry'!E$8),ISNUMBER('Council Entry'!E$9)),MAX(MIN('Council Entry'!E94,'Council Entry'!E$9),'Council Entry'!E$8),'Council Entry'!E94)),IF(AND(ISNUMBER('Council Entry'!E$8),ISNUMBER('Council Entry'!E$9)),MAX(MIN('Council Entry'!E94,'Council Entry'!E$9),'Council Entry'!E$8),'Council Entry'!E94))))-'Council Entry'!E$5)/('Council Entry'!E$6-'Council Entry'!E$5),10*((IF('Council Entry'!E$4="Logarithm",LN(0.001+IF(AND(ISNUMBER('Council Entry'!E$8),ISNUMBER('Council Entry'!E$9)),MAX(MIN('Council Entry'!E94,'Council Entry'!E$9),'Council Entry'!E$8),'Council Entry'!E94)),IF('Council Entry'!E$4="Exponential",EXP(IF(AND(ISNUMBER('Council Entry'!E$8),ISNUMBER('Council Entry'!E$9)),MAX(MIN('Council Entry'!E94,'Council Entry'!E$9),'Council Entry'!E$8),'Council Entry'!E94)),IF(AND(ISNUMBER('Council Entry'!E$8),ISNUMBER('Council Entry'!E$9)),MAX(MIN('Council Entry'!E94,'Council Entry'!E$9),'Council Entry'!E$8),'Council Entry'!E94))))-'Council Entry'!E$5)/('Council Entry'!E$6-'Council Entry'!E$5)),1))),"No data"))</f>
        <v/>
      </c>
      <c r="F94" s="13">
        <f>IF('Council Entry'!F94="","",IFERROR(MAX(0,MIN(10,ROUND(IF('Council Entry'!F$7="Decrease Risk",10-10*((IF('Council Entry'!F$4="Logarithm",LN(0.001+IF(AND(ISNUMBER('Council Entry'!F$8),ISNUMBER('Council Entry'!F$9)),MAX(MIN('Council Entry'!F94,'Council Entry'!F$9),'Council Entry'!F$8),'Council Entry'!F94)),IF('Council Entry'!F$4="Exponential",EXP(IF(AND(ISNUMBER('Council Entry'!F$8),ISNUMBER('Council Entry'!F$9)),MAX(MIN('Council Entry'!F94,'Council Entry'!F$9),'Council Entry'!F$8),'Council Entry'!F94)),IF(AND(ISNUMBER('Council Entry'!F$8),ISNUMBER('Council Entry'!F$9)),MAX(MIN('Council Entry'!F94,'Council Entry'!F$9),'Council Entry'!F$8),'Council Entry'!F94))))-'Council Entry'!F$5)/('Council Entry'!F$6-'Council Entry'!F$5),10*((IF('Council Entry'!F$4="Logarithm",LN(0.001+IF(AND(ISNUMBER('Council Entry'!F$8),ISNUMBER('Council Entry'!F$9)),MAX(MIN('Council Entry'!F94,'Council Entry'!F$9),'Council Entry'!F$8),'Council Entry'!F94)),IF('Council Entry'!F$4="Exponential",EXP(IF(AND(ISNUMBER('Council Entry'!F$8),ISNUMBER('Council Entry'!F$9)),MAX(MIN('Council Entry'!F94,'Council Entry'!F$9),'Council Entry'!F$8),'Council Entry'!F94)),IF(AND(ISNUMBER('Council Entry'!F$8),ISNUMBER('Council Entry'!F$9)),MAX(MIN('Council Entry'!F94,'Council Entry'!F$9),'Council Entry'!F$8),'Council Entry'!F94))))-'Council Entry'!F$5)/('Council Entry'!F$6-'Council Entry'!F$5)),1))),"No data"))</f>
        <v/>
      </c>
      <c r="G94" s="13">
        <f>IF('Council Entry'!G94="","",IFERROR(MAX(0,MIN(10,ROUND(IF('Council Entry'!G$7="Decrease Risk",10-10*((IF('Council Entry'!G$4="Logarithm",LN(0.001+IF(AND(ISNUMBER('Council Entry'!G$8),ISNUMBER('Council Entry'!G$9)),MAX(MIN('Council Entry'!G94,'Council Entry'!G$9),'Council Entry'!G$8),'Council Entry'!G94)),IF('Council Entry'!G$4="Exponential",EXP(IF(AND(ISNUMBER('Council Entry'!G$8),ISNUMBER('Council Entry'!G$9)),MAX(MIN('Council Entry'!G94,'Council Entry'!G$9),'Council Entry'!G$8),'Council Entry'!G94)),IF(AND(ISNUMBER('Council Entry'!G$8),ISNUMBER('Council Entry'!G$9)),MAX(MIN('Council Entry'!G94,'Council Entry'!G$9),'Council Entry'!G$8),'Council Entry'!G94))))-'Council Entry'!G$5)/('Council Entry'!G$6-'Council Entry'!G$5),10*((IF('Council Entry'!G$4="Logarithm",LN(0.001+IF(AND(ISNUMBER('Council Entry'!G$8),ISNUMBER('Council Entry'!G$9)),MAX(MIN('Council Entry'!G94,'Council Entry'!G$9),'Council Entry'!G$8),'Council Entry'!G94)),IF('Council Entry'!G$4="Exponential",EXP(IF(AND(ISNUMBER('Council Entry'!G$8),ISNUMBER('Council Entry'!G$9)),MAX(MIN('Council Entry'!G94,'Council Entry'!G$9),'Council Entry'!G$8),'Council Entry'!G94)),IF(AND(ISNUMBER('Council Entry'!G$8),ISNUMBER('Council Entry'!G$9)),MAX(MIN('Council Entry'!G94,'Council Entry'!G$9),'Council Entry'!G$8),'Council Entry'!G94))))-'Council Entry'!G$5)/('Council Entry'!G$6-'Council Entry'!G$5)),1))),"No data"))</f>
        <v/>
      </c>
      <c r="H94" s="13">
        <f>IF('Council Entry'!H94="","",IFERROR(MAX(0,MIN(10,ROUND(IF('Council Entry'!H$7="Decrease Risk",10-10*((IF('Council Entry'!H$4="Logarithm",LN(0.001+IF(AND(ISNUMBER('Council Entry'!H$8),ISNUMBER('Council Entry'!H$9)),MAX(MIN('Council Entry'!H94,'Council Entry'!H$9),'Council Entry'!H$8),'Council Entry'!H94)),IF('Council Entry'!H$4="Exponential",EXP(IF(AND(ISNUMBER('Council Entry'!H$8),ISNUMBER('Council Entry'!H$9)),MAX(MIN('Council Entry'!H94,'Council Entry'!H$9),'Council Entry'!H$8),'Council Entry'!H94)),IF(AND(ISNUMBER('Council Entry'!H$8),ISNUMBER('Council Entry'!H$9)),MAX(MIN('Council Entry'!H94,'Council Entry'!H$9),'Council Entry'!H$8),'Council Entry'!H94))))-'Council Entry'!H$5)/('Council Entry'!H$6-'Council Entry'!H$5),10*((IF('Council Entry'!H$4="Logarithm",LN(0.001+IF(AND(ISNUMBER('Council Entry'!H$8),ISNUMBER('Council Entry'!H$9)),MAX(MIN('Council Entry'!H94,'Council Entry'!H$9),'Council Entry'!H$8),'Council Entry'!H94)),IF('Council Entry'!H$4="Exponential",EXP(IF(AND(ISNUMBER('Council Entry'!H$8),ISNUMBER('Council Entry'!H$9)),MAX(MIN('Council Entry'!H94,'Council Entry'!H$9),'Council Entry'!H$8),'Council Entry'!H94)),IF(AND(ISNUMBER('Council Entry'!H$8),ISNUMBER('Council Entry'!H$9)),MAX(MIN('Council Entry'!H94,'Council Entry'!H$9),'Council Entry'!H$8),'Council Entry'!H94))))-'Council Entry'!H$5)/('Council Entry'!H$6-'Council Entry'!H$5)),1))),"No data"))</f>
        <v/>
      </c>
      <c r="I94" s="13">
        <f>IF('Council Entry'!I94="","",IFERROR(MAX(0,MIN(10,ROUND(IF('Council Entry'!I$7="Decrease Risk",10-10*((IF('Council Entry'!I$4="Logarithm",LN(0.001+IF(AND(ISNUMBER('Council Entry'!I$8),ISNUMBER('Council Entry'!I$9)),MAX(MIN('Council Entry'!I94,'Council Entry'!I$9),'Council Entry'!I$8),'Council Entry'!I94)),IF('Council Entry'!I$4="Exponential",EXP(IF(AND(ISNUMBER('Council Entry'!I$8),ISNUMBER('Council Entry'!I$9)),MAX(MIN('Council Entry'!I94,'Council Entry'!I$9),'Council Entry'!I$8),'Council Entry'!I94)),IF(AND(ISNUMBER('Council Entry'!I$8),ISNUMBER('Council Entry'!I$9)),MAX(MIN('Council Entry'!I94,'Council Entry'!I$9),'Council Entry'!I$8),'Council Entry'!I94))))-'Council Entry'!I$5)/('Council Entry'!I$6-'Council Entry'!I$5),10*((IF('Council Entry'!I$4="Logarithm",LN(0.001+IF(AND(ISNUMBER('Council Entry'!I$8),ISNUMBER('Council Entry'!I$9)),MAX(MIN('Council Entry'!I94,'Council Entry'!I$9),'Council Entry'!I$8),'Council Entry'!I94)),IF('Council Entry'!I$4="Exponential",EXP(IF(AND(ISNUMBER('Council Entry'!I$8),ISNUMBER('Council Entry'!I$9)),MAX(MIN('Council Entry'!I94,'Council Entry'!I$9),'Council Entry'!I$8),'Council Entry'!I94)),IF(AND(ISNUMBER('Council Entry'!I$8),ISNUMBER('Council Entry'!I$9)),MAX(MIN('Council Entry'!I94,'Council Entry'!I$9),'Council Entry'!I$8),'Council Entry'!I94))))-'Council Entry'!I$5)/('Council Entry'!I$6-'Council Entry'!I$5)),1))),"No data"))</f>
        <v/>
      </c>
      <c r="J94" s="13">
        <f>IF('Council Entry'!J94="","",IFERROR(MAX(0,MIN(10,ROUND(IF('Council Entry'!J$7="Decrease Risk",10-10*((IF('Council Entry'!J$4="Logarithm",LN(0.001+IF(AND(ISNUMBER('Council Entry'!J$8),ISNUMBER('Council Entry'!J$9)),MAX(MIN('Council Entry'!J94,'Council Entry'!J$9),'Council Entry'!J$8),'Council Entry'!J94)),IF('Council Entry'!J$4="Exponential",EXP(IF(AND(ISNUMBER('Council Entry'!J$8),ISNUMBER('Council Entry'!J$9)),MAX(MIN('Council Entry'!J94,'Council Entry'!J$9),'Council Entry'!J$8),'Council Entry'!J94)),IF(AND(ISNUMBER('Council Entry'!J$8),ISNUMBER('Council Entry'!J$9)),MAX(MIN('Council Entry'!J94,'Council Entry'!J$9),'Council Entry'!J$8),'Council Entry'!J94))))-'Council Entry'!J$5)/('Council Entry'!J$6-'Council Entry'!J$5),10*((IF('Council Entry'!J$4="Logarithm",LN(0.001+IF(AND(ISNUMBER('Council Entry'!J$8),ISNUMBER('Council Entry'!J$9)),MAX(MIN('Council Entry'!J94,'Council Entry'!J$9),'Council Entry'!J$8),'Council Entry'!J94)),IF('Council Entry'!J$4="Exponential",EXP(IF(AND(ISNUMBER('Council Entry'!J$8),ISNUMBER('Council Entry'!J$9)),MAX(MIN('Council Entry'!J94,'Council Entry'!J$9),'Council Entry'!J$8),'Council Entry'!J94)),IF(AND(ISNUMBER('Council Entry'!J$8),ISNUMBER('Council Entry'!J$9)),MAX(MIN('Council Entry'!J94,'Council Entry'!J$9),'Council Entry'!J$8),'Council Entry'!J94))))-'Council Entry'!J$5)/('Council Entry'!J$6-'Council Entry'!J$5)),1))),"No data"))</f>
        <v/>
      </c>
      <c r="K94" s="13">
        <f>IF('Council Entry'!K94="","",IFERROR(MAX(0,MIN(10,ROUND(IF('Council Entry'!K$7="Decrease Risk",10-10*((IF('Council Entry'!K$4="Logarithm",LN(0.001+IF(AND(ISNUMBER('Council Entry'!K$8),ISNUMBER('Council Entry'!K$9)),MAX(MIN('Council Entry'!K94,'Council Entry'!K$9),'Council Entry'!K$8),'Council Entry'!K94)),IF('Council Entry'!K$4="Exponential",EXP(IF(AND(ISNUMBER('Council Entry'!K$8),ISNUMBER('Council Entry'!K$9)),MAX(MIN('Council Entry'!K94,'Council Entry'!K$9),'Council Entry'!K$8),'Council Entry'!K94)),IF(AND(ISNUMBER('Council Entry'!K$8),ISNUMBER('Council Entry'!K$9)),MAX(MIN('Council Entry'!K94,'Council Entry'!K$9),'Council Entry'!K$8),'Council Entry'!K94))))-'Council Entry'!K$5)/('Council Entry'!K$6-'Council Entry'!K$5),10*((IF('Council Entry'!K$4="Logarithm",LN(0.001+IF(AND(ISNUMBER('Council Entry'!K$8),ISNUMBER('Council Entry'!K$9)),MAX(MIN('Council Entry'!K94,'Council Entry'!K$9),'Council Entry'!K$8),'Council Entry'!K94)),IF('Council Entry'!K$4="Exponential",EXP(IF(AND(ISNUMBER('Council Entry'!K$8),ISNUMBER('Council Entry'!K$9)),MAX(MIN('Council Entry'!K94,'Council Entry'!K$9),'Council Entry'!K$8),'Council Entry'!K94)),IF(AND(ISNUMBER('Council Entry'!K$8),ISNUMBER('Council Entry'!K$9)),MAX(MIN('Council Entry'!K94,'Council Entry'!K$9),'Council Entry'!K$8),'Council Entry'!K94))))-'Council Entry'!K$5)/('Council Entry'!K$6-'Council Entry'!K$5)),1))),"No data"))</f>
        <v/>
      </c>
      <c r="L94" s="13">
        <f>IF('Council Entry'!L94="","",IFERROR(MAX(0,MIN(10,ROUND(IF('Council Entry'!L$7="Decrease Risk",10-10*((IF('Council Entry'!L$4="Logarithm",LN(0.001+IF(AND(ISNUMBER('Council Entry'!L$8),ISNUMBER('Council Entry'!L$9)),MAX(MIN('Council Entry'!L94,'Council Entry'!L$9),'Council Entry'!L$8),'Council Entry'!L94)),IF('Council Entry'!L$4="Exponential",EXP(IF(AND(ISNUMBER('Council Entry'!L$8),ISNUMBER('Council Entry'!L$9)),MAX(MIN('Council Entry'!L94,'Council Entry'!L$9),'Council Entry'!L$8),'Council Entry'!L94)),IF(AND(ISNUMBER('Council Entry'!L$8),ISNUMBER('Council Entry'!L$9)),MAX(MIN('Council Entry'!L94,'Council Entry'!L$9),'Council Entry'!L$8),'Council Entry'!L94))))-'Council Entry'!L$5)/('Council Entry'!L$6-'Council Entry'!L$5),10*((IF('Council Entry'!L$4="Logarithm",LN(0.001+IF(AND(ISNUMBER('Council Entry'!L$8),ISNUMBER('Council Entry'!L$9)),MAX(MIN('Council Entry'!L94,'Council Entry'!L$9),'Council Entry'!L$8),'Council Entry'!L94)),IF('Council Entry'!L$4="Exponential",EXP(IF(AND(ISNUMBER('Council Entry'!L$8),ISNUMBER('Council Entry'!L$9)),MAX(MIN('Council Entry'!L94,'Council Entry'!L$9),'Council Entry'!L$8),'Council Entry'!L94)),IF(AND(ISNUMBER('Council Entry'!L$8),ISNUMBER('Council Entry'!L$9)),MAX(MIN('Council Entry'!L94,'Council Entry'!L$9),'Council Entry'!L$8),'Council Entry'!L94))))-'Council Entry'!L$5)/('Council Entry'!L$6-'Council Entry'!L$5)),1))),"No data"))</f>
        <v/>
      </c>
      <c r="M94" s="13">
        <f>IF('Council Entry'!M94="","",IFERROR(MAX(0,MIN(10,ROUND(IF('Council Entry'!M$7="Decrease Risk",10-10*((IF('Council Entry'!M$4="Logarithm",LN(0.001+IF(AND(ISNUMBER('Council Entry'!M$8),ISNUMBER('Council Entry'!M$9)),MAX(MIN('Council Entry'!M94,'Council Entry'!M$9),'Council Entry'!M$8),'Council Entry'!M94)),IF('Council Entry'!M$4="Exponential",EXP(IF(AND(ISNUMBER('Council Entry'!M$8),ISNUMBER('Council Entry'!M$9)),MAX(MIN('Council Entry'!M94,'Council Entry'!M$9),'Council Entry'!M$8),'Council Entry'!M94)),IF(AND(ISNUMBER('Council Entry'!M$8),ISNUMBER('Council Entry'!M$9)),MAX(MIN('Council Entry'!M94,'Council Entry'!M$9),'Council Entry'!M$8),'Council Entry'!M94))))-'Council Entry'!M$5)/('Council Entry'!M$6-'Council Entry'!M$5),10*((IF('Council Entry'!M$4="Logarithm",LN(0.001+IF(AND(ISNUMBER('Council Entry'!M$8),ISNUMBER('Council Entry'!M$9)),MAX(MIN('Council Entry'!M94,'Council Entry'!M$9),'Council Entry'!M$8),'Council Entry'!M94)),IF('Council Entry'!M$4="Exponential",EXP(IF(AND(ISNUMBER('Council Entry'!M$8),ISNUMBER('Council Entry'!M$9)),MAX(MIN('Council Entry'!M94,'Council Entry'!M$9),'Council Entry'!M$8),'Council Entry'!M94)),IF(AND(ISNUMBER('Council Entry'!M$8),ISNUMBER('Council Entry'!M$9)),MAX(MIN('Council Entry'!M94,'Council Entry'!M$9),'Council Entry'!M$8),'Council Entry'!M94))))-'Council Entry'!M$5)/('Council Entry'!M$6-'Council Entry'!M$5)),1))),"No data"))</f>
        <v/>
      </c>
      <c r="N94" s="13">
        <f>IF('Council Entry'!N94="","",IFERROR(MAX(0,MIN(10,ROUND(IF('Council Entry'!N$7="Decrease Risk",10-10*((IF('Council Entry'!N$4="Logarithm",LN(0.001+IF(AND(ISNUMBER('Council Entry'!N$8),ISNUMBER('Council Entry'!N$9)),MAX(MIN('Council Entry'!N94,'Council Entry'!N$9),'Council Entry'!N$8),'Council Entry'!N94)),IF('Council Entry'!N$4="Exponential",EXP(IF(AND(ISNUMBER('Council Entry'!N$8),ISNUMBER('Council Entry'!N$9)),MAX(MIN('Council Entry'!N94,'Council Entry'!N$9),'Council Entry'!N$8),'Council Entry'!N94)),IF(AND(ISNUMBER('Council Entry'!N$8),ISNUMBER('Council Entry'!N$9)),MAX(MIN('Council Entry'!N94,'Council Entry'!N$9),'Council Entry'!N$8),'Council Entry'!N94))))-'Council Entry'!N$5)/('Council Entry'!N$6-'Council Entry'!N$5),10*((IF('Council Entry'!N$4="Logarithm",LN(0.001+IF(AND(ISNUMBER('Council Entry'!N$8),ISNUMBER('Council Entry'!N$9)),MAX(MIN('Council Entry'!N94,'Council Entry'!N$9),'Council Entry'!N$8),'Council Entry'!N94)),IF('Council Entry'!N$4="Exponential",EXP(IF(AND(ISNUMBER('Council Entry'!N$8),ISNUMBER('Council Entry'!N$9)),MAX(MIN('Council Entry'!N94,'Council Entry'!N$9),'Council Entry'!N$8),'Council Entry'!N94)),IF(AND(ISNUMBER('Council Entry'!N$8),ISNUMBER('Council Entry'!N$9)),MAX(MIN('Council Entry'!N94,'Council Entry'!N$9),'Council Entry'!N$8),'Council Entry'!N94))))-'Council Entry'!N$5)/('Council Entry'!N$6-'Council Entry'!N$5)),1))),"No data"))</f>
        <v/>
      </c>
      <c r="O94" s="13">
        <f>IF('Council Entry'!O94="","",IFERROR(MAX(0,MIN(10,ROUND(IF('Council Entry'!O$7="Decrease Risk",10-10*((IF('Council Entry'!O$4="Logarithm",LN(0.001+IF(AND(ISNUMBER('Council Entry'!O$8),ISNUMBER('Council Entry'!O$9)),MAX(MIN('Council Entry'!O94,'Council Entry'!O$9),'Council Entry'!O$8),'Council Entry'!O94)),IF('Council Entry'!O$4="Exponential",EXP(IF(AND(ISNUMBER('Council Entry'!O$8),ISNUMBER('Council Entry'!O$9)),MAX(MIN('Council Entry'!O94,'Council Entry'!O$9),'Council Entry'!O$8),'Council Entry'!O94)),IF(AND(ISNUMBER('Council Entry'!O$8),ISNUMBER('Council Entry'!O$9)),MAX(MIN('Council Entry'!O94,'Council Entry'!O$9),'Council Entry'!O$8),'Council Entry'!O94))))-'Council Entry'!O$5)/('Council Entry'!O$6-'Council Entry'!O$5),10*((IF('Council Entry'!O$4="Logarithm",LN(0.001+IF(AND(ISNUMBER('Council Entry'!O$8),ISNUMBER('Council Entry'!O$9)),MAX(MIN('Council Entry'!O94,'Council Entry'!O$9),'Council Entry'!O$8),'Council Entry'!O94)),IF('Council Entry'!O$4="Exponential",EXP(IF(AND(ISNUMBER('Council Entry'!O$8),ISNUMBER('Council Entry'!O$9)),MAX(MIN('Council Entry'!O94,'Council Entry'!O$9),'Council Entry'!O$8),'Council Entry'!O94)),IF(AND(ISNUMBER('Council Entry'!O$8),ISNUMBER('Council Entry'!O$9)),MAX(MIN('Council Entry'!O94,'Council Entry'!O$9),'Council Entry'!O$8),'Council Entry'!O94))))-'Council Entry'!O$5)/('Council Entry'!O$6-'Council Entry'!O$5)),1))),"No data"))</f>
        <v/>
      </c>
      <c r="P94" s="13">
        <f>IF('Council Entry'!P94="","",IFERROR(MAX(0,MIN(10,ROUND(IF('Council Entry'!P$7="Decrease Risk",10-10*((IF('Council Entry'!P$4="Logarithm",LN(0.001+IF(AND(ISNUMBER('Council Entry'!P$8),ISNUMBER('Council Entry'!P$9)),MAX(MIN('Council Entry'!P94,'Council Entry'!P$9),'Council Entry'!P$8),'Council Entry'!P94)),IF('Council Entry'!P$4="Exponential",EXP(IF(AND(ISNUMBER('Council Entry'!P$8),ISNUMBER('Council Entry'!P$9)),MAX(MIN('Council Entry'!P94,'Council Entry'!P$9),'Council Entry'!P$8),'Council Entry'!P94)),IF(AND(ISNUMBER('Council Entry'!P$8),ISNUMBER('Council Entry'!P$9)),MAX(MIN('Council Entry'!P94,'Council Entry'!P$9),'Council Entry'!P$8),'Council Entry'!P94))))-'Council Entry'!P$5)/('Council Entry'!P$6-'Council Entry'!P$5),10*((IF('Council Entry'!P$4="Logarithm",LN(0.001+IF(AND(ISNUMBER('Council Entry'!P$8),ISNUMBER('Council Entry'!P$9)),MAX(MIN('Council Entry'!P94,'Council Entry'!P$9),'Council Entry'!P$8),'Council Entry'!P94)),IF('Council Entry'!P$4="Exponential",EXP(IF(AND(ISNUMBER('Council Entry'!P$8),ISNUMBER('Council Entry'!P$9)),MAX(MIN('Council Entry'!P94,'Council Entry'!P$9),'Council Entry'!P$8),'Council Entry'!P94)),IF(AND(ISNUMBER('Council Entry'!P$8),ISNUMBER('Council Entry'!P$9)),MAX(MIN('Council Entry'!P94,'Council Entry'!P$9),'Council Entry'!P$8),'Council Entry'!P94))))-'Council Entry'!P$5)/('Council Entry'!P$6-'Council Entry'!P$5)),1))),"No data"))</f>
        <v/>
      </c>
      <c r="Q94" s="13">
        <f>IF('Council Entry'!Q94="","",IFERROR(MAX(0,MIN(10,ROUND(IF('Council Entry'!Q$7="Decrease Risk",10-10*((IF('Council Entry'!Q$4="Logarithm",LN(0.001+IF(AND(ISNUMBER('Council Entry'!Q$8),ISNUMBER('Council Entry'!Q$9)),MAX(MIN('Council Entry'!Q94,'Council Entry'!Q$9),'Council Entry'!Q$8),'Council Entry'!Q94)),IF('Council Entry'!Q$4="Exponential",EXP(IF(AND(ISNUMBER('Council Entry'!Q$8),ISNUMBER('Council Entry'!Q$9)),MAX(MIN('Council Entry'!Q94,'Council Entry'!Q$9),'Council Entry'!Q$8),'Council Entry'!Q94)),IF(AND(ISNUMBER('Council Entry'!Q$8),ISNUMBER('Council Entry'!Q$9)),MAX(MIN('Council Entry'!Q94,'Council Entry'!Q$9),'Council Entry'!Q$8),'Council Entry'!Q94))))-'Council Entry'!Q$5)/('Council Entry'!Q$6-'Council Entry'!Q$5),10*((IF('Council Entry'!Q$4="Logarithm",LN(0.001+IF(AND(ISNUMBER('Council Entry'!Q$8),ISNUMBER('Council Entry'!Q$9)),MAX(MIN('Council Entry'!Q94,'Council Entry'!Q$9),'Council Entry'!Q$8),'Council Entry'!Q94)),IF('Council Entry'!Q$4="Exponential",EXP(IF(AND(ISNUMBER('Council Entry'!Q$8),ISNUMBER('Council Entry'!Q$9)),MAX(MIN('Council Entry'!Q94,'Council Entry'!Q$9),'Council Entry'!Q$8),'Council Entry'!Q94)),IF(AND(ISNUMBER('Council Entry'!Q$8),ISNUMBER('Council Entry'!Q$9)),MAX(MIN('Council Entry'!Q94,'Council Entry'!Q$9),'Council Entry'!Q$8),'Council Entry'!Q94))))-'Council Entry'!Q$5)/('Council Entry'!Q$6-'Council Entry'!Q$5)),1))),"No data"))</f>
        <v/>
      </c>
      <c r="R94" s="13">
        <f>IF('Council Entry'!R94="","",IFERROR(MAX(0,MIN(10,ROUND(IF('Council Entry'!R$7="Decrease Risk",10-10*((IF('Council Entry'!R$4="Logarithm",LN(0.001+IF(AND(ISNUMBER('Council Entry'!R$8),ISNUMBER('Council Entry'!R$9)),MAX(MIN('Council Entry'!R94,'Council Entry'!R$9),'Council Entry'!R$8),'Council Entry'!R94)),IF('Council Entry'!R$4="Exponential",EXP(IF(AND(ISNUMBER('Council Entry'!R$8),ISNUMBER('Council Entry'!R$9)),MAX(MIN('Council Entry'!R94,'Council Entry'!R$9),'Council Entry'!R$8),'Council Entry'!R94)),IF(AND(ISNUMBER('Council Entry'!R$8),ISNUMBER('Council Entry'!R$9)),MAX(MIN('Council Entry'!R94,'Council Entry'!R$9),'Council Entry'!R$8),'Council Entry'!R94))))-'Council Entry'!R$5)/('Council Entry'!R$6-'Council Entry'!R$5),10*((IF('Council Entry'!R$4="Logarithm",LN(0.001+IF(AND(ISNUMBER('Council Entry'!R$8),ISNUMBER('Council Entry'!R$9)),MAX(MIN('Council Entry'!R94,'Council Entry'!R$9),'Council Entry'!R$8),'Council Entry'!R94)),IF('Council Entry'!R$4="Exponential",EXP(IF(AND(ISNUMBER('Council Entry'!R$8),ISNUMBER('Council Entry'!R$9)),MAX(MIN('Council Entry'!R94,'Council Entry'!R$9),'Council Entry'!R$8),'Council Entry'!R94)),IF(AND(ISNUMBER('Council Entry'!R$8),ISNUMBER('Council Entry'!R$9)),MAX(MIN('Council Entry'!R94,'Council Entry'!R$9),'Council Entry'!R$8),'Council Entry'!R94))))-'Council Entry'!R$5)/('Council Entry'!R$6-'Council Entry'!R$5)),1))),"No data"))</f>
        <v/>
      </c>
      <c r="S94" s="13">
        <f>IF('Council Entry'!S94="","",IFERROR(MAX(0,MIN(10,ROUND(IF('Council Entry'!S$7="Decrease Risk",10-10*((IF('Council Entry'!S$4="Logarithm",LN(0.001+IF(AND(ISNUMBER('Council Entry'!S$8),ISNUMBER('Council Entry'!S$9)),MAX(MIN('Council Entry'!S94,'Council Entry'!S$9),'Council Entry'!S$8),'Council Entry'!S94)),IF('Council Entry'!S$4="Exponential",EXP(IF(AND(ISNUMBER('Council Entry'!S$8),ISNUMBER('Council Entry'!S$9)),MAX(MIN('Council Entry'!S94,'Council Entry'!S$9),'Council Entry'!S$8),'Council Entry'!S94)),IF(AND(ISNUMBER('Council Entry'!S$8),ISNUMBER('Council Entry'!S$9)),MAX(MIN('Council Entry'!S94,'Council Entry'!S$9),'Council Entry'!S$8),'Council Entry'!S94))))-'Council Entry'!S$5)/('Council Entry'!S$6-'Council Entry'!S$5),10*((IF('Council Entry'!S$4="Logarithm",LN(0.001+IF(AND(ISNUMBER('Council Entry'!S$8),ISNUMBER('Council Entry'!S$9)),MAX(MIN('Council Entry'!S94,'Council Entry'!S$9),'Council Entry'!S$8),'Council Entry'!S94)),IF('Council Entry'!S$4="Exponential",EXP(IF(AND(ISNUMBER('Council Entry'!S$8),ISNUMBER('Council Entry'!S$9)),MAX(MIN('Council Entry'!S94,'Council Entry'!S$9),'Council Entry'!S$8),'Council Entry'!S94)),IF(AND(ISNUMBER('Council Entry'!S$8),ISNUMBER('Council Entry'!S$9)),MAX(MIN('Council Entry'!S94,'Council Entry'!S$9),'Council Entry'!S$8),'Council Entry'!S94))))-'Council Entry'!S$5)/('Council Entry'!S$6-'Council Entry'!S$5)),1))),"No data"))</f>
        <v/>
      </c>
      <c r="T94" s="13">
        <f>IF('Council Entry'!T94="","",IFERROR(MAX(0,MIN(10,ROUND(IF('Council Entry'!T$7="Decrease Risk",10-10*((IF('Council Entry'!T$4="Logarithm",LN(0.001+IF(AND(ISNUMBER('Council Entry'!T$8),ISNUMBER('Council Entry'!T$9)),MAX(MIN('Council Entry'!T94,'Council Entry'!T$9),'Council Entry'!T$8),'Council Entry'!T94)),IF('Council Entry'!T$4="Exponential",EXP(IF(AND(ISNUMBER('Council Entry'!T$8),ISNUMBER('Council Entry'!T$9)),MAX(MIN('Council Entry'!T94,'Council Entry'!T$9),'Council Entry'!T$8),'Council Entry'!T94)),IF(AND(ISNUMBER('Council Entry'!T$8),ISNUMBER('Council Entry'!T$9)),MAX(MIN('Council Entry'!T94,'Council Entry'!T$9),'Council Entry'!T$8),'Council Entry'!T94))))-'Council Entry'!T$5)/('Council Entry'!T$6-'Council Entry'!T$5),10*((IF('Council Entry'!T$4="Logarithm",LN(0.001+IF(AND(ISNUMBER('Council Entry'!T$8),ISNUMBER('Council Entry'!T$9)),MAX(MIN('Council Entry'!T94,'Council Entry'!T$9),'Council Entry'!T$8),'Council Entry'!T94)),IF('Council Entry'!T$4="Exponential",EXP(IF(AND(ISNUMBER('Council Entry'!T$8),ISNUMBER('Council Entry'!T$9)),MAX(MIN('Council Entry'!T94,'Council Entry'!T$9),'Council Entry'!T$8),'Council Entry'!T94)),IF(AND(ISNUMBER('Council Entry'!T$8),ISNUMBER('Council Entry'!T$9)),MAX(MIN('Council Entry'!T94,'Council Entry'!T$9),'Council Entry'!T$8),'Council Entry'!T94))))-'Council Entry'!T$5)/('Council Entry'!T$6-'Council Entry'!T$5)),1))),"No data"))</f>
        <v/>
      </c>
      <c r="U94" s="13">
        <f>IF('Council Entry'!U94="","",IFERROR(MAX(0,MIN(10,ROUND(IF('Council Entry'!U$7="Decrease Risk",10-10*((IF('Council Entry'!U$4="Logarithm",LN(0.001+IF(AND(ISNUMBER('Council Entry'!U$8),ISNUMBER('Council Entry'!U$9)),MAX(MIN('Council Entry'!U94,'Council Entry'!U$9),'Council Entry'!U$8),'Council Entry'!U94)),IF('Council Entry'!U$4="Exponential",EXP(IF(AND(ISNUMBER('Council Entry'!U$8),ISNUMBER('Council Entry'!U$9)),MAX(MIN('Council Entry'!U94,'Council Entry'!U$9),'Council Entry'!U$8),'Council Entry'!U94)),IF(AND(ISNUMBER('Council Entry'!U$8),ISNUMBER('Council Entry'!U$9)),MAX(MIN('Council Entry'!U94,'Council Entry'!U$9),'Council Entry'!U$8),'Council Entry'!U94))))-'Council Entry'!U$5)/('Council Entry'!U$6-'Council Entry'!U$5),10*((IF('Council Entry'!U$4="Logarithm",LN(0.001+IF(AND(ISNUMBER('Council Entry'!U$8),ISNUMBER('Council Entry'!U$9)),MAX(MIN('Council Entry'!U94,'Council Entry'!U$9),'Council Entry'!U$8),'Council Entry'!U94)),IF('Council Entry'!U$4="Exponential",EXP(IF(AND(ISNUMBER('Council Entry'!U$8),ISNUMBER('Council Entry'!U$9)),MAX(MIN('Council Entry'!U94,'Council Entry'!U$9),'Council Entry'!U$8),'Council Entry'!U94)),IF(AND(ISNUMBER('Council Entry'!U$8),ISNUMBER('Council Entry'!U$9)),MAX(MIN('Council Entry'!U94,'Council Entry'!U$9),'Council Entry'!U$8),'Council Entry'!U94))))-'Council Entry'!U$5)/('Council Entry'!U$6-'Council Entry'!U$5)),1))),"No data"))</f>
        <v/>
      </c>
      <c r="V94" s="13">
        <f>IF('Council Entry'!V94="","",IFERROR(MAX(0,MIN(10,ROUND(IF('Council Entry'!V$7="Decrease Risk",10-10*((IF('Council Entry'!V$4="Logarithm",LN(0.001+IF(AND(ISNUMBER('Council Entry'!V$8),ISNUMBER('Council Entry'!V$9)),MAX(MIN('Council Entry'!V94,'Council Entry'!V$9),'Council Entry'!V$8),'Council Entry'!V94)),IF('Council Entry'!V$4="Exponential",EXP(IF(AND(ISNUMBER('Council Entry'!V$8),ISNUMBER('Council Entry'!V$9)),MAX(MIN('Council Entry'!V94,'Council Entry'!V$9),'Council Entry'!V$8),'Council Entry'!V94)),IF(AND(ISNUMBER('Council Entry'!V$8),ISNUMBER('Council Entry'!V$9)),MAX(MIN('Council Entry'!V94,'Council Entry'!V$9),'Council Entry'!V$8),'Council Entry'!V94))))-'Council Entry'!V$5)/('Council Entry'!V$6-'Council Entry'!V$5),10*((IF('Council Entry'!V$4="Logarithm",LN(0.001+IF(AND(ISNUMBER('Council Entry'!V$8),ISNUMBER('Council Entry'!V$9)),MAX(MIN('Council Entry'!V94,'Council Entry'!V$9),'Council Entry'!V$8),'Council Entry'!V94)),IF('Council Entry'!V$4="Exponential",EXP(IF(AND(ISNUMBER('Council Entry'!V$8),ISNUMBER('Council Entry'!V$9)),MAX(MIN('Council Entry'!V94,'Council Entry'!V$9),'Council Entry'!V$8),'Council Entry'!V94)),IF(AND(ISNUMBER('Council Entry'!V$8),ISNUMBER('Council Entry'!V$9)),MAX(MIN('Council Entry'!V94,'Council Entry'!V$9),'Council Entry'!V$8),'Council Entry'!V94))))-'Council Entry'!V$5)/('Council Entry'!V$6-'Council Entry'!V$5)),1))),"No data"))</f>
        <v/>
      </c>
      <c r="W94" s="13">
        <f>IF('Council Entry'!W94="","",IFERROR(MAX(0,MIN(10,ROUND(IF('Council Entry'!W$7="Decrease Risk",10-10*((IF('Council Entry'!W$4="Logarithm",LN(0.001+IF(AND(ISNUMBER('Council Entry'!W$8),ISNUMBER('Council Entry'!W$9)),MAX(MIN('Council Entry'!W94,'Council Entry'!W$9),'Council Entry'!W$8),'Council Entry'!W94)),IF('Council Entry'!W$4="Exponential",EXP(IF(AND(ISNUMBER('Council Entry'!W$8),ISNUMBER('Council Entry'!W$9)),MAX(MIN('Council Entry'!W94,'Council Entry'!W$9),'Council Entry'!W$8),'Council Entry'!W94)),IF(AND(ISNUMBER('Council Entry'!W$8),ISNUMBER('Council Entry'!W$9)),MAX(MIN('Council Entry'!W94,'Council Entry'!W$9),'Council Entry'!W$8),'Council Entry'!W94))))-'Council Entry'!W$5)/('Council Entry'!W$6-'Council Entry'!W$5),10*((IF('Council Entry'!W$4="Logarithm",LN(0.001+IF(AND(ISNUMBER('Council Entry'!W$8),ISNUMBER('Council Entry'!W$9)),MAX(MIN('Council Entry'!W94,'Council Entry'!W$9),'Council Entry'!W$8),'Council Entry'!W94)),IF('Council Entry'!W$4="Exponential",EXP(IF(AND(ISNUMBER('Council Entry'!W$8),ISNUMBER('Council Entry'!W$9)),MAX(MIN('Council Entry'!W94,'Council Entry'!W$9),'Council Entry'!W$8),'Council Entry'!W94)),IF(AND(ISNUMBER('Council Entry'!W$8),ISNUMBER('Council Entry'!W$9)),MAX(MIN('Council Entry'!W94,'Council Entry'!W$9),'Council Entry'!W$8),'Council Entry'!W94))))-'Council Entry'!W$5)/('Council Entry'!W$6-'Council Entry'!W$5)),1))),"No data"))</f>
        <v/>
      </c>
      <c r="X94" s="13">
        <f>IF('Council Entry'!X94="","",IFERROR(MAX(0,MIN(10,ROUND(IF('Council Entry'!X$7="Decrease Risk",10-10*((IF('Council Entry'!X$4="Logarithm",LN(0.001+IF(AND(ISNUMBER('Council Entry'!X$8),ISNUMBER('Council Entry'!X$9)),MAX(MIN('Council Entry'!X94,'Council Entry'!X$9),'Council Entry'!X$8),'Council Entry'!X94)),IF('Council Entry'!X$4="Exponential",EXP(IF(AND(ISNUMBER('Council Entry'!X$8),ISNUMBER('Council Entry'!X$9)),MAX(MIN('Council Entry'!X94,'Council Entry'!X$9),'Council Entry'!X$8),'Council Entry'!X94)),IF(AND(ISNUMBER('Council Entry'!X$8),ISNUMBER('Council Entry'!X$9)),MAX(MIN('Council Entry'!X94,'Council Entry'!X$9),'Council Entry'!X$8),'Council Entry'!X94))))-'Council Entry'!X$5)/('Council Entry'!X$6-'Council Entry'!X$5),10*((IF('Council Entry'!X$4="Logarithm",LN(0.001+IF(AND(ISNUMBER('Council Entry'!X$8),ISNUMBER('Council Entry'!X$9)),MAX(MIN('Council Entry'!X94,'Council Entry'!X$9),'Council Entry'!X$8),'Council Entry'!X94)),IF('Council Entry'!X$4="Exponential",EXP(IF(AND(ISNUMBER('Council Entry'!X$8),ISNUMBER('Council Entry'!X$9)),MAX(MIN('Council Entry'!X94,'Council Entry'!X$9),'Council Entry'!X$8),'Council Entry'!X94)),IF(AND(ISNUMBER('Council Entry'!X$8),ISNUMBER('Council Entry'!X$9)),MAX(MIN('Council Entry'!X94,'Council Entry'!X$9),'Council Entry'!X$8),'Council Entry'!X94))))-'Council Entry'!X$5)/('Council Entry'!X$6-'Council Entry'!X$5)),1))),"No data"))</f>
        <v/>
      </c>
      <c r="Y94" s="13">
        <f>IF('Council Entry'!Y94="","",IFERROR(MAX(0,MIN(10,ROUND(IF('Council Entry'!Y$7="Decrease Risk",10-10*((IF('Council Entry'!Y$4="Logarithm",LN(0.001+IF(AND(ISNUMBER('Council Entry'!Y$8),ISNUMBER('Council Entry'!Y$9)),MAX(MIN('Council Entry'!Y94,'Council Entry'!Y$9),'Council Entry'!Y$8),'Council Entry'!Y94)),IF('Council Entry'!Y$4="Exponential",EXP(IF(AND(ISNUMBER('Council Entry'!Y$8),ISNUMBER('Council Entry'!Y$9)),MAX(MIN('Council Entry'!Y94,'Council Entry'!Y$9),'Council Entry'!Y$8),'Council Entry'!Y94)),IF(AND(ISNUMBER('Council Entry'!Y$8),ISNUMBER('Council Entry'!Y$9)),MAX(MIN('Council Entry'!Y94,'Council Entry'!Y$9),'Council Entry'!Y$8),'Council Entry'!Y94))))-'Council Entry'!Y$5)/('Council Entry'!Y$6-'Council Entry'!Y$5),10*((IF('Council Entry'!Y$4="Logarithm",LN(0.001+IF(AND(ISNUMBER('Council Entry'!Y$8),ISNUMBER('Council Entry'!Y$9)),MAX(MIN('Council Entry'!Y94,'Council Entry'!Y$9),'Council Entry'!Y$8),'Council Entry'!Y94)),IF('Council Entry'!Y$4="Exponential",EXP(IF(AND(ISNUMBER('Council Entry'!Y$8),ISNUMBER('Council Entry'!Y$9)),MAX(MIN('Council Entry'!Y94,'Council Entry'!Y$9),'Council Entry'!Y$8),'Council Entry'!Y94)),IF(AND(ISNUMBER('Council Entry'!Y$8),ISNUMBER('Council Entry'!Y$9)),MAX(MIN('Council Entry'!Y94,'Council Entry'!Y$9),'Council Entry'!Y$8),'Council Entry'!Y94))))-'Council Entry'!Y$5)/('Council Entry'!Y$6-'Council Entry'!Y$5)),1))),"No data"))</f>
        <v/>
      </c>
      <c r="Z94" s="13">
        <f>IF('Council Entry'!Z94="","",IFERROR(MAX(0,MIN(10,ROUND(IF('Council Entry'!Z$7="Decrease Risk",10-10*((IF('Council Entry'!Z$4="Logarithm",LN(0.001+IF(AND(ISNUMBER('Council Entry'!Z$8),ISNUMBER('Council Entry'!Z$9)),MAX(MIN('Council Entry'!Z94,'Council Entry'!Z$9),'Council Entry'!Z$8),'Council Entry'!Z94)),IF('Council Entry'!Z$4="Exponential",EXP(IF(AND(ISNUMBER('Council Entry'!Z$8),ISNUMBER('Council Entry'!Z$9)),MAX(MIN('Council Entry'!Z94,'Council Entry'!Z$9),'Council Entry'!Z$8),'Council Entry'!Z94)),IF(AND(ISNUMBER('Council Entry'!Z$8),ISNUMBER('Council Entry'!Z$9)),MAX(MIN('Council Entry'!Z94,'Council Entry'!Z$9),'Council Entry'!Z$8),'Council Entry'!Z94))))-'Council Entry'!Z$5)/('Council Entry'!Z$6-'Council Entry'!Z$5),10*((IF('Council Entry'!Z$4="Logarithm",LN(0.001+IF(AND(ISNUMBER('Council Entry'!Z$8),ISNUMBER('Council Entry'!Z$9)),MAX(MIN('Council Entry'!Z94,'Council Entry'!Z$9),'Council Entry'!Z$8),'Council Entry'!Z94)),IF('Council Entry'!Z$4="Exponential",EXP(IF(AND(ISNUMBER('Council Entry'!Z$8),ISNUMBER('Council Entry'!Z$9)),MAX(MIN('Council Entry'!Z94,'Council Entry'!Z$9),'Council Entry'!Z$8),'Council Entry'!Z94)),IF(AND(ISNUMBER('Council Entry'!Z$8),ISNUMBER('Council Entry'!Z$9)),MAX(MIN('Council Entry'!Z94,'Council Entry'!Z$9),'Council Entry'!Z$8),'Council Entry'!Z94))))-'Council Entry'!Z$5)/('Council Entry'!Z$6-'Council Entry'!Z$5)),1))),"No data"))</f>
        <v/>
      </c>
      <c r="AA94" s="13">
        <f>IF('Council Entry'!AA94="","",IFERROR(MAX(0,MIN(10,ROUND(IF('Council Entry'!AA$7="Decrease Risk",10-10*((IF('Council Entry'!AA$4="Logarithm",LN(0.001+IF(AND(ISNUMBER('Council Entry'!AA$8),ISNUMBER('Council Entry'!AA$9)),MAX(MIN('Council Entry'!AA94,'Council Entry'!AA$9),'Council Entry'!AA$8),'Council Entry'!AA94)),IF('Council Entry'!AA$4="Exponential",EXP(IF(AND(ISNUMBER('Council Entry'!AA$8),ISNUMBER('Council Entry'!AA$9)),MAX(MIN('Council Entry'!AA94,'Council Entry'!AA$9),'Council Entry'!AA$8),'Council Entry'!AA94)),IF(AND(ISNUMBER('Council Entry'!AA$8),ISNUMBER('Council Entry'!AA$9)),MAX(MIN('Council Entry'!AA94,'Council Entry'!AA$9),'Council Entry'!AA$8),'Council Entry'!AA94))))-'Council Entry'!AA$5)/('Council Entry'!AA$6-'Council Entry'!AA$5),10*((IF('Council Entry'!AA$4="Logarithm",LN(0.001+IF(AND(ISNUMBER('Council Entry'!AA$8),ISNUMBER('Council Entry'!AA$9)),MAX(MIN('Council Entry'!AA94,'Council Entry'!AA$9),'Council Entry'!AA$8),'Council Entry'!AA94)),IF('Council Entry'!AA$4="Exponential",EXP(IF(AND(ISNUMBER('Council Entry'!AA$8),ISNUMBER('Council Entry'!AA$9)),MAX(MIN('Council Entry'!AA94,'Council Entry'!AA$9),'Council Entry'!AA$8),'Council Entry'!AA94)),IF(AND(ISNUMBER('Council Entry'!AA$8),ISNUMBER('Council Entry'!AA$9)),MAX(MIN('Council Entry'!AA94,'Council Entry'!AA$9),'Council Entry'!AA$8),'Council Entry'!AA94))))-'Council Entry'!AA$5)/('Council Entry'!AA$6-'Council Entry'!AA$5)),1))),"No data"))</f>
        <v/>
      </c>
      <c r="AB94" s="13">
        <f>IF('Council Entry'!AB94="","",IFERROR(MAX(0,MIN(10,ROUND(IF('Council Entry'!AB$7="Decrease Risk",10-10*((IF('Council Entry'!AB$4="Logarithm",LN(0.001+IF(AND(ISNUMBER('Council Entry'!AB$8),ISNUMBER('Council Entry'!AB$9)),MAX(MIN('Council Entry'!AB94,'Council Entry'!AB$9),'Council Entry'!AB$8),'Council Entry'!AB94)),IF('Council Entry'!AB$4="Exponential",EXP(IF(AND(ISNUMBER('Council Entry'!AB$8),ISNUMBER('Council Entry'!AB$9)),MAX(MIN('Council Entry'!AB94,'Council Entry'!AB$9),'Council Entry'!AB$8),'Council Entry'!AB94)),IF(AND(ISNUMBER('Council Entry'!AB$8),ISNUMBER('Council Entry'!AB$9)),MAX(MIN('Council Entry'!AB94,'Council Entry'!AB$9),'Council Entry'!AB$8),'Council Entry'!AB94))))-'Council Entry'!AB$5)/('Council Entry'!AB$6-'Council Entry'!AB$5),10*((IF('Council Entry'!AB$4="Logarithm",LN(0.001+IF(AND(ISNUMBER('Council Entry'!AB$8),ISNUMBER('Council Entry'!AB$9)),MAX(MIN('Council Entry'!AB94,'Council Entry'!AB$9),'Council Entry'!AB$8),'Council Entry'!AB94)),IF('Council Entry'!AB$4="Exponential",EXP(IF(AND(ISNUMBER('Council Entry'!AB$8),ISNUMBER('Council Entry'!AB$9)),MAX(MIN('Council Entry'!AB94,'Council Entry'!AB$9),'Council Entry'!AB$8),'Council Entry'!AB94)),IF(AND(ISNUMBER('Council Entry'!AB$8),ISNUMBER('Council Entry'!AB$9)),MAX(MIN('Council Entry'!AB94,'Council Entry'!AB$9),'Council Entry'!AB$8),'Council Entry'!AB94))))-'Council Entry'!AB$5)/('Council Entry'!AB$6-'Council Entry'!AB$5)),1))),"No data"))</f>
        <v/>
      </c>
      <c r="AC94" s="13">
        <f>IF('Council Entry'!AC94="","",IFERROR(MAX(0,MIN(10,ROUND(IF('Council Entry'!AC$7="Decrease Risk",10-10*((IF('Council Entry'!AC$4="Logarithm",LN(0.001+IF(AND(ISNUMBER('Council Entry'!AC$8),ISNUMBER('Council Entry'!AC$9)),MAX(MIN('Council Entry'!AC94,'Council Entry'!AC$9),'Council Entry'!AC$8),'Council Entry'!AC94)),IF('Council Entry'!AC$4="Exponential",EXP(IF(AND(ISNUMBER('Council Entry'!AC$8),ISNUMBER('Council Entry'!AC$9)),MAX(MIN('Council Entry'!AC94,'Council Entry'!AC$9),'Council Entry'!AC$8),'Council Entry'!AC94)),IF(AND(ISNUMBER('Council Entry'!AC$8),ISNUMBER('Council Entry'!AC$9)),MAX(MIN('Council Entry'!AC94,'Council Entry'!AC$9),'Council Entry'!AC$8),'Council Entry'!AC94))))-'Council Entry'!AC$5)/('Council Entry'!AC$6-'Council Entry'!AC$5),10*((IF('Council Entry'!AC$4="Logarithm",LN(0.001+IF(AND(ISNUMBER('Council Entry'!AC$8),ISNUMBER('Council Entry'!AC$9)),MAX(MIN('Council Entry'!AC94,'Council Entry'!AC$9),'Council Entry'!AC$8),'Council Entry'!AC94)),IF('Council Entry'!AC$4="Exponential",EXP(IF(AND(ISNUMBER('Council Entry'!AC$8),ISNUMBER('Council Entry'!AC$9)),MAX(MIN('Council Entry'!AC94,'Council Entry'!AC$9),'Council Entry'!AC$8),'Council Entry'!AC94)),IF(AND(ISNUMBER('Council Entry'!AC$8),ISNUMBER('Council Entry'!AC$9)),MAX(MIN('Council Entry'!AC94,'Council Entry'!AC$9),'Council Entry'!AC$8),'Council Entry'!AC94))))-'Council Entry'!AC$5)/('Council Entry'!AC$6-'Council Entry'!AC$5)),1))),"No data"))</f>
        <v/>
      </c>
      <c r="AD94" s="13">
        <f>IF('Council Entry'!AD94="","",IFERROR(MAX(0,MIN(10,ROUND(IF('Council Entry'!AD$7="Decrease Risk",10-10*((IF('Council Entry'!AD$4="Logarithm",LN(0.001+IF(AND(ISNUMBER('Council Entry'!AD$8),ISNUMBER('Council Entry'!AD$9)),MAX(MIN('Council Entry'!AD94,'Council Entry'!AD$9),'Council Entry'!AD$8),'Council Entry'!AD94)),IF('Council Entry'!AD$4="Exponential",EXP(IF(AND(ISNUMBER('Council Entry'!AD$8),ISNUMBER('Council Entry'!AD$9)),MAX(MIN('Council Entry'!AD94,'Council Entry'!AD$9),'Council Entry'!AD$8),'Council Entry'!AD94)),IF(AND(ISNUMBER('Council Entry'!AD$8),ISNUMBER('Council Entry'!AD$9)),MAX(MIN('Council Entry'!AD94,'Council Entry'!AD$9),'Council Entry'!AD$8),'Council Entry'!AD94))))-'Council Entry'!AD$5)/('Council Entry'!AD$6-'Council Entry'!AD$5),10*((IF('Council Entry'!AD$4="Logarithm",LN(0.001+IF(AND(ISNUMBER('Council Entry'!AD$8),ISNUMBER('Council Entry'!AD$9)),MAX(MIN('Council Entry'!AD94,'Council Entry'!AD$9),'Council Entry'!AD$8),'Council Entry'!AD94)),IF('Council Entry'!AD$4="Exponential",EXP(IF(AND(ISNUMBER('Council Entry'!AD$8),ISNUMBER('Council Entry'!AD$9)),MAX(MIN('Council Entry'!AD94,'Council Entry'!AD$9),'Council Entry'!AD$8),'Council Entry'!AD94)),IF(AND(ISNUMBER('Council Entry'!AD$8),ISNUMBER('Council Entry'!AD$9)),MAX(MIN('Council Entry'!AD94,'Council Entry'!AD$9),'Council Entry'!AD$8),'Council Entry'!AD94))))-'Council Entry'!AD$5)/('Council Entry'!AD$6-'Council Entry'!AD$5)),1))),"No data"))</f>
        <v/>
      </c>
      <c r="AE94" s="13">
        <f>IF('Council Entry'!AE94="","",IFERROR(MAX(0,MIN(10,ROUND(IF('Council Entry'!AE$7="Decrease Risk",10-10*((IF('Council Entry'!AE$4="Logarithm",LN(0.001+IF(AND(ISNUMBER('Council Entry'!AE$8),ISNUMBER('Council Entry'!AE$9)),MAX(MIN('Council Entry'!AE94,'Council Entry'!AE$9),'Council Entry'!AE$8),'Council Entry'!AE94)),IF('Council Entry'!AE$4="Exponential",EXP(IF(AND(ISNUMBER('Council Entry'!AE$8),ISNUMBER('Council Entry'!AE$9)),MAX(MIN('Council Entry'!AE94,'Council Entry'!AE$9),'Council Entry'!AE$8),'Council Entry'!AE94)),IF(AND(ISNUMBER('Council Entry'!AE$8),ISNUMBER('Council Entry'!AE$9)),MAX(MIN('Council Entry'!AE94,'Council Entry'!AE$9),'Council Entry'!AE$8),'Council Entry'!AE94))))-'Council Entry'!AE$5)/('Council Entry'!AE$6-'Council Entry'!AE$5),10*((IF('Council Entry'!AE$4="Logarithm",LN(0.001+IF(AND(ISNUMBER('Council Entry'!AE$8),ISNUMBER('Council Entry'!AE$9)),MAX(MIN('Council Entry'!AE94,'Council Entry'!AE$9),'Council Entry'!AE$8),'Council Entry'!AE94)),IF('Council Entry'!AE$4="Exponential",EXP(IF(AND(ISNUMBER('Council Entry'!AE$8),ISNUMBER('Council Entry'!AE$9)),MAX(MIN('Council Entry'!AE94,'Council Entry'!AE$9),'Council Entry'!AE$8),'Council Entry'!AE94)),IF(AND(ISNUMBER('Council Entry'!AE$8),ISNUMBER('Council Entry'!AE$9)),MAX(MIN('Council Entry'!AE94,'Council Entry'!AE$9),'Council Entry'!AE$8),'Council Entry'!AE94))))-'Council Entry'!AE$5)/('Council Entry'!AE$6-'Council Entry'!AE$5)),1))),"No data"))</f>
        <v/>
      </c>
      <c r="AF94" s="13">
        <f>IF('Council Entry'!AF94="","",IFERROR(MAX(0,MIN(10,ROUND(IF('Council Entry'!AF$7="Decrease Risk",10-10*((IF('Council Entry'!AF$4="Logarithm",LN(0.001+IF(AND(ISNUMBER('Council Entry'!AF$8),ISNUMBER('Council Entry'!AF$9)),MAX(MIN('Council Entry'!AF94,'Council Entry'!AF$9),'Council Entry'!AF$8),'Council Entry'!AF94)),IF('Council Entry'!AF$4="Exponential",EXP(IF(AND(ISNUMBER('Council Entry'!AF$8),ISNUMBER('Council Entry'!AF$9)),MAX(MIN('Council Entry'!AF94,'Council Entry'!AF$9),'Council Entry'!AF$8),'Council Entry'!AF94)),IF(AND(ISNUMBER('Council Entry'!AF$8),ISNUMBER('Council Entry'!AF$9)),MAX(MIN('Council Entry'!AF94,'Council Entry'!AF$9),'Council Entry'!AF$8),'Council Entry'!AF94))))-'Council Entry'!AF$5)/('Council Entry'!AF$6-'Council Entry'!AF$5),10*((IF('Council Entry'!AF$4="Logarithm",LN(0.001+IF(AND(ISNUMBER('Council Entry'!AF$8),ISNUMBER('Council Entry'!AF$9)),MAX(MIN('Council Entry'!AF94,'Council Entry'!AF$9),'Council Entry'!AF$8),'Council Entry'!AF94)),IF('Council Entry'!AF$4="Exponential",EXP(IF(AND(ISNUMBER('Council Entry'!AF$8),ISNUMBER('Council Entry'!AF$9)),MAX(MIN('Council Entry'!AF94,'Council Entry'!AF$9),'Council Entry'!AF$8),'Council Entry'!AF94)),IF(AND(ISNUMBER('Council Entry'!AF$8),ISNUMBER('Council Entry'!AF$9)),MAX(MIN('Council Entry'!AF94,'Council Entry'!AF$9),'Council Entry'!AF$8),'Council Entry'!AF94))))-'Council Entry'!AF$5)/('Council Entry'!AF$6-'Council Entry'!AF$5)),1))),"No data"))</f>
        <v/>
      </c>
      <c r="AG94" s="13">
        <f>IF('Council Entry'!AG94="","",IFERROR(MAX(0,MIN(10,ROUND(IF('Council Entry'!AG$7="Decrease Risk",10-10*((IF('Council Entry'!AG$4="Logarithm",LN(0.001+IF(AND(ISNUMBER('Council Entry'!AG$8),ISNUMBER('Council Entry'!AG$9)),MAX(MIN('Council Entry'!AG94,'Council Entry'!AG$9),'Council Entry'!AG$8),'Council Entry'!AG94)),IF('Council Entry'!AG$4="Exponential",EXP(IF(AND(ISNUMBER('Council Entry'!AG$8),ISNUMBER('Council Entry'!AG$9)),MAX(MIN('Council Entry'!AG94,'Council Entry'!AG$9),'Council Entry'!AG$8),'Council Entry'!AG94)),IF(AND(ISNUMBER('Council Entry'!AG$8),ISNUMBER('Council Entry'!AG$9)),MAX(MIN('Council Entry'!AG94,'Council Entry'!AG$9),'Council Entry'!AG$8),'Council Entry'!AG94))))-'Council Entry'!AG$5)/('Council Entry'!AG$6-'Council Entry'!AG$5),10*((IF('Council Entry'!AG$4="Logarithm",LN(0.001+IF(AND(ISNUMBER('Council Entry'!AG$8),ISNUMBER('Council Entry'!AG$9)),MAX(MIN('Council Entry'!AG94,'Council Entry'!AG$9),'Council Entry'!AG$8),'Council Entry'!AG94)),IF('Council Entry'!AG$4="Exponential",EXP(IF(AND(ISNUMBER('Council Entry'!AG$8),ISNUMBER('Council Entry'!AG$9)),MAX(MIN('Council Entry'!AG94,'Council Entry'!AG$9),'Council Entry'!AG$8),'Council Entry'!AG94)),IF(AND(ISNUMBER('Council Entry'!AG$8),ISNUMBER('Council Entry'!AG$9)),MAX(MIN('Council Entry'!AG94,'Council Entry'!AG$9),'Council Entry'!AG$8),'Council Entry'!AG94))))-'Council Entry'!AG$5)/('Council Entry'!AG$6-'Council Entry'!AG$5)),1))),"No data"))</f>
        <v/>
      </c>
      <c r="AH94" s="13">
        <f>IF('Council Entry'!AH94="","",IFERROR(MAX(0,MIN(10,ROUND(IF('Council Entry'!AH$7="Decrease Risk",10-10*((IF('Council Entry'!AH$4="Logarithm",LN(0.001+IF(AND(ISNUMBER('Council Entry'!AH$8),ISNUMBER('Council Entry'!AH$9)),MAX(MIN('Council Entry'!AH94,'Council Entry'!AH$9),'Council Entry'!AH$8),'Council Entry'!AH94)),IF('Council Entry'!AH$4="Exponential",EXP(IF(AND(ISNUMBER('Council Entry'!AH$8),ISNUMBER('Council Entry'!AH$9)),MAX(MIN('Council Entry'!AH94,'Council Entry'!AH$9),'Council Entry'!AH$8),'Council Entry'!AH94)),IF(AND(ISNUMBER('Council Entry'!AH$8),ISNUMBER('Council Entry'!AH$9)),MAX(MIN('Council Entry'!AH94,'Council Entry'!AH$9),'Council Entry'!AH$8),'Council Entry'!AH94))))-'Council Entry'!AH$5)/('Council Entry'!AH$6-'Council Entry'!AH$5),10*((IF('Council Entry'!AH$4="Logarithm",LN(0.001+IF(AND(ISNUMBER('Council Entry'!AH$8),ISNUMBER('Council Entry'!AH$9)),MAX(MIN('Council Entry'!AH94,'Council Entry'!AH$9),'Council Entry'!AH$8),'Council Entry'!AH94)),IF('Council Entry'!AH$4="Exponential",EXP(IF(AND(ISNUMBER('Council Entry'!AH$8),ISNUMBER('Council Entry'!AH$9)),MAX(MIN('Council Entry'!AH94,'Council Entry'!AH$9),'Council Entry'!AH$8),'Council Entry'!AH94)),IF(AND(ISNUMBER('Council Entry'!AH$8),ISNUMBER('Council Entry'!AH$9)),MAX(MIN('Council Entry'!AH94,'Council Entry'!AH$9),'Council Entry'!AH$8),'Council Entry'!AH94))))-'Council Entry'!AH$5)/('Council Entry'!AH$6-'Council Entry'!AH$5)),1))),"No data"))</f>
        <v/>
      </c>
      <c r="AI94" s="13">
        <f>IF('Council Entry'!AI94="","",IFERROR(MAX(0,MIN(10,ROUND(IF('Council Entry'!AI$7="Decrease Risk",10-10*((IF('Council Entry'!AI$4="Logarithm",LN(0.001+IF(AND(ISNUMBER('Council Entry'!AI$8),ISNUMBER('Council Entry'!AI$9)),MAX(MIN('Council Entry'!AI94,'Council Entry'!AI$9),'Council Entry'!AI$8),'Council Entry'!AI94)),IF('Council Entry'!AI$4="Exponential",EXP(IF(AND(ISNUMBER('Council Entry'!AI$8),ISNUMBER('Council Entry'!AI$9)),MAX(MIN('Council Entry'!AI94,'Council Entry'!AI$9),'Council Entry'!AI$8),'Council Entry'!AI94)),IF(AND(ISNUMBER('Council Entry'!AI$8),ISNUMBER('Council Entry'!AI$9)),MAX(MIN('Council Entry'!AI94,'Council Entry'!AI$9),'Council Entry'!AI$8),'Council Entry'!AI94))))-'Council Entry'!AI$5)/('Council Entry'!AI$6-'Council Entry'!AI$5),10*((IF('Council Entry'!AI$4="Logarithm",LN(0.001+IF(AND(ISNUMBER('Council Entry'!AI$8),ISNUMBER('Council Entry'!AI$9)),MAX(MIN('Council Entry'!AI94,'Council Entry'!AI$9),'Council Entry'!AI$8),'Council Entry'!AI94)),IF('Council Entry'!AI$4="Exponential",EXP(IF(AND(ISNUMBER('Council Entry'!AI$8),ISNUMBER('Council Entry'!AI$9)),MAX(MIN('Council Entry'!AI94,'Council Entry'!AI$9),'Council Entry'!AI$8),'Council Entry'!AI94)),IF(AND(ISNUMBER('Council Entry'!AI$8),ISNUMBER('Council Entry'!AI$9)),MAX(MIN('Council Entry'!AI94,'Council Entry'!AI$9),'Council Entry'!AI$8),'Council Entry'!AI94))))-'Council Entry'!AI$5)/('Council Entry'!AI$6-'Council Entry'!AI$5)),1))),"No data"))</f>
        <v/>
      </c>
      <c r="AJ94" s="13">
        <f>IF('Council Entry'!AJ94="","",IFERROR(MAX(0,MIN(10,ROUND(IF('Council Entry'!AJ$7="Decrease Risk",10-10*((IF('Council Entry'!AJ$4="Logarithm",LN(0.001+IF(AND(ISNUMBER('Council Entry'!AJ$8),ISNUMBER('Council Entry'!AJ$9)),MAX(MIN('Council Entry'!AJ94,'Council Entry'!AJ$9),'Council Entry'!AJ$8),'Council Entry'!AJ94)),IF('Council Entry'!AJ$4="Exponential",EXP(IF(AND(ISNUMBER('Council Entry'!AJ$8),ISNUMBER('Council Entry'!AJ$9)),MAX(MIN('Council Entry'!AJ94,'Council Entry'!AJ$9),'Council Entry'!AJ$8),'Council Entry'!AJ94)),IF(AND(ISNUMBER('Council Entry'!AJ$8),ISNUMBER('Council Entry'!AJ$9)),MAX(MIN('Council Entry'!AJ94,'Council Entry'!AJ$9),'Council Entry'!AJ$8),'Council Entry'!AJ94))))-'Council Entry'!AJ$5)/('Council Entry'!AJ$6-'Council Entry'!AJ$5),10*((IF('Council Entry'!AJ$4="Logarithm",LN(0.001+IF(AND(ISNUMBER('Council Entry'!AJ$8),ISNUMBER('Council Entry'!AJ$9)),MAX(MIN('Council Entry'!AJ94,'Council Entry'!AJ$9),'Council Entry'!AJ$8),'Council Entry'!AJ94)),IF('Council Entry'!AJ$4="Exponential",EXP(IF(AND(ISNUMBER('Council Entry'!AJ$8),ISNUMBER('Council Entry'!AJ$9)),MAX(MIN('Council Entry'!AJ94,'Council Entry'!AJ$9),'Council Entry'!AJ$8),'Council Entry'!AJ94)),IF(AND(ISNUMBER('Council Entry'!AJ$8),ISNUMBER('Council Entry'!AJ$9)),MAX(MIN('Council Entry'!AJ94,'Council Entry'!AJ$9),'Council Entry'!AJ$8),'Council Entry'!AJ94))))-'Council Entry'!AJ$5)/('Council Entry'!AJ$6-'Council Entry'!AJ$5)),1))),"No data"))</f>
        <v/>
      </c>
      <c r="AK94" s="13">
        <f>IF('Council Entry'!AK94="","",IFERROR(MAX(0,MIN(10,ROUND(IF('Council Entry'!AK$7="Decrease Risk",10-10*((IF('Council Entry'!AK$4="Logarithm",LN(0.001+IF(AND(ISNUMBER('Council Entry'!AK$8),ISNUMBER('Council Entry'!AK$9)),MAX(MIN('Council Entry'!AK94,'Council Entry'!AK$9),'Council Entry'!AK$8),'Council Entry'!AK94)),IF('Council Entry'!AK$4="Exponential",EXP(IF(AND(ISNUMBER('Council Entry'!AK$8),ISNUMBER('Council Entry'!AK$9)),MAX(MIN('Council Entry'!AK94,'Council Entry'!AK$9),'Council Entry'!AK$8),'Council Entry'!AK94)),IF(AND(ISNUMBER('Council Entry'!AK$8),ISNUMBER('Council Entry'!AK$9)),MAX(MIN('Council Entry'!AK94,'Council Entry'!AK$9),'Council Entry'!AK$8),'Council Entry'!AK94))))-'Council Entry'!AK$5)/('Council Entry'!AK$6-'Council Entry'!AK$5),10*((IF('Council Entry'!AK$4="Logarithm",LN(0.001+IF(AND(ISNUMBER('Council Entry'!AK$8),ISNUMBER('Council Entry'!AK$9)),MAX(MIN('Council Entry'!AK94,'Council Entry'!AK$9),'Council Entry'!AK$8),'Council Entry'!AK94)),IF('Council Entry'!AK$4="Exponential",EXP(IF(AND(ISNUMBER('Council Entry'!AK$8),ISNUMBER('Council Entry'!AK$9)),MAX(MIN('Council Entry'!AK94,'Council Entry'!AK$9),'Council Entry'!AK$8),'Council Entry'!AK94)),IF(AND(ISNUMBER('Council Entry'!AK$8),ISNUMBER('Council Entry'!AK$9)),MAX(MIN('Council Entry'!AK94,'Council Entry'!AK$9),'Council Entry'!AK$8),'Council Entry'!AK94))))-'Council Entry'!AK$5)/('Council Entry'!AK$6-'Council Entry'!AK$5)),1))),"No data"))</f>
        <v/>
      </c>
      <c r="AL94" s="13">
        <f>IF('Council Entry'!AL94="","",IFERROR(MAX(0,MIN(10,ROUND(IF('Council Entry'!AL$7="Decrease Risk",10-10*((IF('Council Entry'!AL$4="Logarithm",LN(0.001+IF(AND(ISNUMBER('Council Entry'!AL$8),ISNUMBER('Council Entry'!AL$9)),MAX(MIN('Council Entry'!AL94,'Council Entry'!AL$9),'Council Entry'!AL$8),'Council Entry'!AL94)),IF('Council Entry'!AL$4="Exponential",EXP(IF(AND(ISNUMBER('Council Entry'!AL$8),ISNUMBER('Council Entry'!AL$9)),MAX(MIN('Council Entry'!AL94,'Council Entry'!AL$9),'Council Entry'!AL$8),'Council Entry'!AL94)),IF(AND(ISNUMBER('Council Entry'!AL$8),ISNUMBER('Council Entry'!AL$9)),MAX(MIN('Council Entry'!AL94,'Council Entry'!AL$9),'Council Entry'!AL$8),'Council Entry'!AL94))))-'Council Entry'!AL$5)/('Council Entry'!AL$6-'Council Entry'!AL$5),10*((IF('Council Entry'!AL$4="Logarithm",LN(0.001+IF(AND(ISNUMBER('Council Entry'!AL$8),ISNUMBER('Council Entry'!AL$9)),MAX(MIN('Council Entry'!AL94,'Council Entry'!AL$9),'Council Entry'!AL$8),'Council Entry'!AL94)),IF('Council Entry'!AL$4="Exponential",EXP(IF(AND(ISNUMBER('Council Entry'!AL$8),ISNUMBER('Council Entry'!AL$9)),MAX(MIN('Council Entry'!AL94,'Council Entry'!AL$9),'Council Entry'!AL$8),'Council Entry'!AL94)),IF(AND(ISNUMBER('Council Entry'!AL$8),ISNUMBER('Council Entry'!AL$9)),MAX(MIN('Council Entry'!AL94,'Council Entry'!AL$9),'Council Entry'!AL$8),'Council Entry'!AL94))))-'Council Entry'!AL$5)/('Council Entry'!AL$6-'Council Entry'!AL$5)),1))),"No data"))</f>
        <v/>
      </c>
      <c r="AM94" s="13">
        <f>IF('Council Entry'!AM94="","",IFERROR(MAX(0,MIN(10,ROUND(IF('Council Entry'!AM$7="Decrease Risk",10-10*((IF('Council Entry'!AM$4="Logarithm",LN(0.001+IF(AND(ISNUMBER('Council Entry'!AM$8),ISNUMBER('Council Entry'!AM$9)),MAX(MIN('Council Entry'!AM94,'Council Entry'!AM$9),'Council Entry'!AM$8),'Council Entry'!AM94)),IF('Council Entry'!AM$4="Exponential",EXP(IF(AND(ISNUMBER('Council Entry'!AM$8),ISNUMBER('Council Entry'!AM$9)),MAX(MIN('Council Entry'!AM94,'Council Entry'!AM$9),'Council Entry'!AM$8),'Council Entry'!AM94)),IF(AND(ISNUMBER('Council Entry'!AM$8),ISNUMBER('Council Entry'!AM$9)),MAX(MIN('Council Entry'!AM94,'Council Entry'!AM$9),'Council Entry'!AM$8),'Council Entry'!AM94))))-'Council Entry'!AM$5)/('Council Entry'!AM$6-'Council Entry'!AM$5),10*((IF('Council Entry'!AM$4="Logarithm",LN(0.001+IF(AND(ISNUMBER('Council Entry'!AM$8),ISNUMBER('Council Entry'!AM$9)),MAX(MIN('Council Entry'!AM94,'Council Entry'!AM$9),'Council Entry'!AM$8),'Council Entry'!AM94)),IF('Council Entry'!AM$4="Exponential",EXP(IF(AND(ISNUMBER('Council Entry'!AM$8),ISNUMBER('Council Entry'!AM$9)),MAX(MIN('Council Entry'!AM94,'Council Entry'!AM$9),'Council Entry'!AM$8),'Council Entry'!AM94)),IF(AND(ISNUMBER('Council Entry'!AM$8),ISNUMBER('Council Entry'!AM$9)),MAX(MIN('Council Entry'!AM94,'Council Entry'!AM$9),'Council Entry'!AM$8),'Council Entry'!AM94))))-'Council Entry'!AM$5)/('Council Entry'!AM$6-'Council Entry'!AM$5)),1))),"No data"))</f>
        <v/>
      </c>
      <c r="AN94" s="13">
        <f>IF('Council Entry'!AN94="","",IFERROR(MAX(0,MIN(10,ROUND(IF('Council Entry'!AN$7="Decrease Risk",10-10*((IF('Council Entry'!AN$4="Logarithm",LN(0.001+IF(AND(ISNUMBER('Council Entry'!AN$8),ISNUMBER('Council Entry'!AN$9)),MAX(MIN('Council Entry'!AN94,'Council Entry'!AN$9),'Council Entry'!AN$8),'Council Entry'!AN94)),IF('Council Entry'!AN$4="Exponential",EXP(IF(AND(ISNUMBER('Council Entry'!AN$8),ISNUMBER('Council Entry'!AN$9)),MAX(MIN('Council Entry'!AN94,'Council Entry'!AN$9),'Council Entry'!AN$8),'Council Entry'!AN94)),IF(AND(ISNUMBER('Council Entry'!AN$8),ISNUMBER('Council Entry'!AN$9)),MAX(MIN('Council Entry'!AN94,'Council Entry'!AN$9),'Council Entry'!AN$8),'Council Entry'!AN94))))-'Council Entry'!AN$5)/('Council Entry'!AN$6-'Council Entry'!AN$5),10*((IF('Council Entry'!AN$4="Logarithm",LN(0.001+IF(AND(ISNUMBER('Council Entry'!AN$8),ISNUMBER('Council Entry'!AN$9)),MAX(MIN('Council Entry'!AN94,'Council Entry'!AN$9),'Council Entry'!AN$8),'Council Entry'!AN94)),IF('Council Entry'!AN$4="Exponential",EXP(IF(AND(ISNUMBER('Council Entry'!AN$8),ISNUMBER('Council Entry'!AN$9)),MAX(MIN('Council Entry'!AN94,'Council Entry'!AN$9),'Council Entry'!AN$8),'Council Entry'!AN94)),IF(AND(ISNUMBER('Council Entry'!AN$8),ISNUMBER('Council Entry'!AN$9)),MAX(MIN('Council Entry'!AN94,'Council Entry'!AN$9),'Council Entry'!AN$8),'Council Entry'!AN94))))-'Council Entry'!AN$5)/('Council Entry'!AN$6-'Council Entry'!AN$5)),1))),"No data"))</f>
        <v/>
      </c>
      <c r="AO94" s="13">
        <f>IF('Council Entry'!AO94="","",IFERROR(MAX(0,MIN(10,ROUND(IF('Council Entry'!AO$7="Decrease Risk",10-10*((IF('Council Entry'!AO$4="Logarithm",LN(0.001+IF(AND(ISNUMBER('Council Entry'!AO$8),ISNUMBER('Council Entry'!AO$9)),MAX(MIN('Council Entry'!AO94,'Council Entry'!AO$9),'Council Entry'!AO$8),'Council Entry'!AO94)),IF('Council Entry'!AO$4="Exponential",EXP(IF(AND(ISNUMBER('Council Entry'!AO$8),ISNUMBER('Council Entry'!AO$9)),MAX(MIN('Council Entry'!AO94,'Council Entry'!AO$9),'Council Entry'!AO$8),'Council Entry'!AO94)),IF(AND(ISNUMBER('Council Entry'!AO$8),ISNUMBER('Council Entry'!AO$9)),MAX(MIN('Council Entry'!AO94,'Council Entry'!AO$9),'Council Entry'!AO$8),'Council Entry'!AO94))))-'Council Entry'!AO$5)/('Council Entry'!AO$6-'Council Entry'!AO$5),10*((IF('Council Entry'!AO$4="Logarithm",LN(0.001+IF(AND(ISNUMBER('Council Entry'!AO$8),ISNUMBER('Council Entry'!AO$9)),MAX(MIN('Council Entry'!AO94,'Council Entry'!AO$9),'Council Entry'!AO$8),'Council Entry'!AO94)),IF('Council Entry'!AO$4="Exponential",EXP(IF(AND(ISNUMBER('Council Entry'!AO$8),ISNUMBER('Council Entry'!AO$9)),MAX(MIN('Council Entry'!AO94,'Council Entry'!AO$9),'Council Entry'!AO$8),'Council Entry'!AO94)),IF(AND(ISNUMBER('Council Entry'!AO$8),ISNUMBER('Council Entry'!AO$9)),MAX(MIN('Council Entry'!AO94,'Council Entry'!AO$9),'Council Entry'!AO$8),'Council Entry'!AO94))))-'Council Entry'!AO$5)/('Council Entry'!AO$6-'Council Entry'!AO$5)),1))),"No data"))</f>
        <v/>
      </c>
      <c r="AP94" s="13">
        <f>IF('Council Entry'!AP94="","",IFERROR(MAX(0,MIN(10,ROUND(IF('Council Entry'!AP$7="Decrease Risk",10-10*((IF('Council Entry'!AP$4="Logarithm",LN(0.001+IF(AND(ISNUMBER('Council Entry'!AP$8),ISNUMBER('Council Entry'!AP$9)),MAX(MIN('Council Entry'!AP94,'Council Entry'!AP$9),'Council Entry'!AP$8),'Council Entry'!AP94)),IF('Council Entry'!AP$4="Exponential",EXP(IF(AND(ISNUMBER('Council Entry'!AP$8),ISNUMBER('Council Entry'!AP$9)),MAX(MIN('Council Entry'!AP94,'Council Entry'!AP$9),'Council Entry'!AP$8),'Council Entry'!AP94)),IF(AND(ISNUMBER('Council Entry'!AP$8),ISNUMBER('Council Entry'!AP$9)),MAX(MIN('Council Entry'!AP94,'Council Entry'!AP$9),'Council Entry'!AP$8),'Council Entry'!AP94))))-'Council Entry'!AP$5)/('Council Entry'!AP$6-'Council Entry'!AP$5),10*((IF('Council Entry'!AP$4="Logarithm",LN(0.001+IF(AND(ISNUMBER('Council Entry'!AP$8),ISNUMBER('Council Entry'!AP$9)),MAX(MIN('Council Entry'!AP94,'Council Entry'!AP$9),'Council Entry'!AP$8),'Council Entry'!AP94)),IF('Council Entry'!AP$4="Exponential",EXP(IF(AND(ISNUMBER('Council Entry'!AP$8),ISNUMBER('Council Entry'!AP$9)),MAX(MIN('Council Entry'!AP94,'Council Entry'!AP$9),'Council Entry'!AP$8),'Council Entry'!AP94)),IF(AND(ISNUMBER('Council Entry'!AP$8),ISNUMBER('Council Entry'!AP$9)),MAX(MIN('Council Entry'!AP94,'Council Entry'!AP$9),'Council Entry'!AP$8),'Council Entry'!AP94))))-'Council Entry'!AP$5)/('Council Entry'!AP$6-'Council Entry'!AP$5)),1))),"No data"))</f>
        <v/>
      </c>
      <c r="AQ94" s="13">
        <f>IF('Council Entry'!AQ94="","",IFERROR(MAX(0,MIN(10,ROUND(IF('Council Entry'!AQ$7="Decrease Risk",10-10*((IF('Council Entry'!AQ$4="Logarithm",LN(0.001+IF(AND(ISNUMBER('Council Entry'!AQ$8),ISNUMBER('Council Entry'!AQ$9)),MAX(MIN('Council Entry'!AQ94,'Council Entry'!AQ$9),'Council Entry'!AQ$8),'Council Entry'!AQ94)),IF('Council Entry'!AQ$4="Exponential",EXP(IF(AND(ISNUMBER('Council Entry'!AQ$8),ISNUMBER('Council Entry'!AQ$9)),MAX(MIN('Council Entry'!AQ94,'Council Entry'!AQ$9),'Council Entry'!AQ$8),'Council Entry'!AQ94)),IF(AND(ISNUMBER('Council Entry'!AQ$8),ISNUMBER('Council Entry'!AQ$9)),MAX(MIN('Council Entry'!AQ94,'Council Entry'!AQ$9),'Council Entry'!AQ$8),'Council Entry'!AQ94))))-'Council Entry'!AQ$5)/('Council Entry'!AQ$6-'Council Entry'!AQ$5),10*((IF('Council Entry'!AQ$4="Logarithm",LN(0.001+IF(AND(ISNUMBER('Council Entry'!AQ$8),ISNUMBER('Council Entry'!AQ$9)),MAX(MIN('Council Entry'!AQ94,'Council Entry'!AQ$9),'Council Entry'!AQ$8),'Council Entry'!AQ94)),IF('Council Entry'!AQ$4="Exponential",EXP(IF(AND(ISNUMBER('Council Entry'!AQ$8),ISNUMBER('Council Entry'!AQ$9)),MAX(MIN('Council Entry'!AQ94,'Council Entry'!AQ$9),'Council Entry'!AQ$8),'Council Entry'!AQ94)),IF(AND(ISNUMBER('Council Entry'!AQ$8),ISNUMBER('Council Entry'!AQ$9)),MAX(MIN('Council Entry'!AQ94,'Council Entry'!AQ$9),'Council Entry'!AQ$8),'Council Entry'!AQ94))))-'Council Entry'!AQ$5)/('Council Entry'!AQ$6-'Council Entry'!AQ$5)),1))),"No data"))</f>
        <v/>
      </c>
      <c r="AR94" s="13">
        <f>IF('Council Entry'!AR94="","",IFERROR(MAX(0,MIN(10,ROUND(IF('Council Entry'!AR$7="Decrease Risk",10-10*((IF('Council Entry'!AR$4="Logarithm",LN(0.001+IF(AND(ISNUMBER('Council Entry'!AR$8),ISNUMBER('Council Entry'!AR$9)),MAX(MIN('Council Entry'!AR94,'Council Entry'!AR$9),'Council Entry'!AR$8),'Council Entry'!AR94)),IF('Council Entry'!AR$4="Exponential",EXP(IF(AND(ISNUMBER('Council Entry'!AR$8),ISNUMBER('Council Entry'!AR$9)),MAX(MIN('Council Entry'!AR94,'Council Entry'!AR$9),'Council Entry'!AR$8),'Council Entry'!AR94)),IF(AND(ISNUMBER('Council Entry'!AR$8),ISNUMBER('Council Entry'!AR$9)),MAX(MIN('Council Entry'!AR94,'Council Entry'!AR$9),'Council Entry'!AR$8),'Council Entry'!AR94))))-'Council Entry'!AR$5)/('Council Entry'!AR$6-'Council Entry'!AR$5),10*((IF('Council Entry'!AR$4="Logarithm",LN(0.001+IF(AND(ISNUMBER('Council Entry'!AR$8),ISNUMBER('Council Entry'!AR$9)),MAX(MIN('Council Entry'!AR94,'Council Entry'!AR$9),'Council Entry'!AR$8),'Council Entry'!AR94)),IF('Council Entry'!AR$4="Exponential",EXP(IF(AND(ISNUMBER('Council Entry'!AR$8),ISNUMBER('Council Entry'!AR$9)),MAX(MIN('Council Entry'!AR94,'Council Entry'!AR$9),'Council Entry'!AR$8),'Council Entry'!AR94)),IF(AND(ISNUMBER('Council Entry'!AR$8),ISNUMBER('Council Entry'!AR$9)),MAX(MIN('Council Entry'!AR94,'Council Entry'!AR$9),'Council Entry'!AR$8),'Council Entry'!AR94))))-'Council Entry'!AR$5)/('Council Entry'!AR$6-'Council Entry'!AR$5)),1))),"No data"))</f>
        <v/>
      </c>
      <c r="AS94" s="13">
        <f>IF('Council Entry'!AS94="","",IFERROR(MAX(0,MIN(10,ROUND(IF('Council Entry'!AS$7="Decrease Risk",10-10*((IF('Council Entry'!AS$4="Logarithm",LN(0.001+IF(AND(ISNUMBER('Council Entry'!AS$8),ISNUMBER('Council Entry'!AS$9)),MAX(MIN('Council Entry'!AS94,'Council Entry'!AS$9),'Council Entry'!AS$8),'Council Entry'!AS94)),IF('Council Entry'!AS$4="Exponential",EXP(IF(AND(ISNUMBER('Council Entry'!AS$8),ISNUMBER('Council Entry'!AS$9)),MAX(MIN('Council Entry'!AS94,'Council Entry'!AS$9),'Council Entry'!AS$8),'Council Entry'!AS94)),IF(AND(ISNUMBER('Council Entry'!AS$8),ISNUMBER('Council Entry'!AS$9)),MAX(MIN('Council Entry'!AS94,'Council Entry'!AS$9),'Council Entry'!AS$8),'Council Entry'!AS94))))-'Council Entry'!AS$5)/('Council Entry'!AS$6-'Council Entry'!AS$5),10*((IF('Council Entry'!AS$4="Logarithm",LN(0.001+IF(AND(ISNUMBER('Council Entry'!AS$8),ISNUMBER('Council Entry'!AS$9)),MAX(MIN('Council Entry'!AS94,'Council Entry'!AS$9),'Council Entry'!AS$8),'Council Entry'!AS94)),IF('Council Entry'!AS$4="Exponential",EXP(IF(AND(ISNUMBER('Council Entry'!AS$8),ISNUMBER('Council Entry'!AS$9)),MAX(MIN('Council Entry'!AS94,'Council Entry'!AS$9),'Council Entry'!AS$8),'Council Entry'!AS94)),IF(AND(ISNUMBER('Council Entry'!AS$8),ISNUMBER('Council Entry'!AS$9)),MAX(MIN('Council Entry'!AS94,'Council Entry'!AS$9),'Council Entry'!AS$8),'Council Entry'!AS94))))-'Council Entry'!AS$5)/('Council Entry'!AS$6-'Council Entry'!AS$5)),1))),"No data"))</f>
        <v/>
      </c>
      <c r="AT94" s="13">
        <f>IF('Council Entry'!AT94="","",IFERROR(MAX(0,MIN(10,ROUND(IF('Council Entry'!AT$7="Decrease Risk",10-10*((IF('Council Entry'!AT$4="Logarithm",LN(0.001+IF(AND(ISNUMBER('Council Entry'!AT$8),ISNUMBER('Council Entry'!AT$9)),MAX(MIN('Council Entry'!AT94,'Council Entry'!AT$9),'Council Entry'!AT$8),'Council Entry'!AT94)),IF('Council Entry'!AT$4="Exponential",EXP(IF(AND(ISNUMBER('Council Entry'!AT$8),ISNUMBER('Council Entry'!AT$9)),MAX(MIN('Council Entry'!AT94,'Council Entry'!AT$9),'Council Entry'!AT$8),'Council Entry'!AT94)),IF(AND(ISNUMBER('Council Entry'!AT$8),ISNUMBER('Council Entry'!AT$9)),MAX(MIN('Council Entry'!AT94,'Council Entry'!AT$9),'Council Entry'!AT$8),'Council Entry'!AT94))))-'Council Entry'!AT$5)/('Council Entry'!AT$6-'Council Entry'!AT$5),10*((IF('Council Entry'!AT$4="Logarithm",LN(0.001+IF(AND(ISNUMBER('Council Entry'!AT$8),ISNUMBER('Council Entry'!AT$9)),MAX(MIN('Council Entry'!AT94,'Council Entry'!AT$9),'Council Entry'!AT$8),'Council Entry'!AT94)),IF('Council Entry'!AT$4="Exponential",EXP(IF(AND(ISNUMBER('Council Entry'!AT$8),ISNUMBER('Council Entry'!AT$9)),MAX(MIN('Council Entry'!AT94,'Council Entry'!AT$9),'Council Entry'!AT$8),'Council Entry'!AT94)),IF(AND(ISNUMBER('Council Entry'!AT$8),ISNUMBER('Council Entry'!AT$9)),MAX(MIN('Council Entry'!AT94,'Council Entry'!AT$9),'Council Entry'!AT$8),'Council Entry'!AT94))))-'Council Entry'!AT$5)/('Council Entry'!AT$6-'Council Entry'!AT$5)),1))),"No data"))</f>
        <v/>
      </c>
      <c r="AU94" s="13">
        <f>IF('Council Entry'!AU94="","",IFERROR(MAX(0,MIN(10,ROUND(IF('Council Entry'!AU$7="Decrease Risk",10-10*((IF('Council Entry'!AU$4="Logarithm",LN(0.001+IF(AND(ISNUMBER('Council Entry'!AU$8),ISNUMBER('Council Entry'!AU$9)),MAX(MIN('Council Entry'!AU94,'Council Entry'!AU$9),'Council Entry'!AU$8),'Council Entry'!AU94)),IF('Council Entry'!AU$4="Exponential",EXP(IF(AND(ISNUMBER('Council Entry'!AU$8),ISNUMBER('Council Entry'!AU$9)),MAX(MIN('Council Entry'!AU94,'Council Entry'!AU$9),'Council Entry'!AU$8),'Council Entry'!AU94)),IF(AND(ISNUMBER('Council Entry'!AU$8),ISNUMBER('Council Entry'!AU$9)),MAX(MIN('Council Entry'!AU94,'Council Entry'!AU$9),'Council Entry'!AU$8),'Council Entry'!AU94))))-'Council Entry'!AU$5)/('Council Entry'!AU$6-'Council Entry'!AU$5),10*((IF('Council Entry'!AU$4="Logarithm",LN(0.001+IF(AND(ISNUMBER('Council Entry'!AU$8),ISNUMBER('Council Entry'!AU$9)),MAX(MIN('Council Entry'!AU94,'Council Entry'!AU$9),'Council Entry'!AU$8),'Council Entry'!AU94)),IF('Council Entry'!AU$4="Exponential",EXP(IF(AND(ISNUMBER('Council Entry'!AU$8),ISNUMBER('Council Entry'!AU$9)),MAX(MIN('Council Entry'!AU94,'Council Entry'!AU$9),'Council Entry'!AU$8),'Council Entry'!AU94)),IF(AND(ISNUMBER('Council Entry'!AU$8),ISNUMBER('Council Entry'!AU$9)),MAX(MIN('Council Entry'!AU94,'Council Entry'!AU$9),'Council Entry'!AU$8),'Council Entry'!AU94))))-'Council Entry'!AU$5)/('Council Entry'!AU$6-'Council Entry'!AU$5)),1))),"No data"))</f>
        <v/>
      </c>
      <c r="AV94" s="13">
        <f>IF('Council Entry'!AV94="","",IFERROR(MAX(0,MIN(10,ROUND(IF('Council Entry'!AV$7="Decrease Risk",10-10*((IF('Council Entry'!AV$4="Logarithm",LN(0.001+IF(AND(ISNUMBER('Council Entry'!AV$8),ISNUMBER('Council Entry'!AV$9)),MAX(MIN('Council Entry'!AV94,'Council Entry'!AV$9),'Council Entry'!AV$8),'Council Entry'!AV94)),IF('Council Entry'!AV$4="Exponential",EXP(IF(AND(ISNUMBER('Council Entry'!AV$8),ISNUMBER('Council Entry'!AV$9)),MAX(MIN('Council Entry'!AV94,'Council Entry'!AV$9),'Council Entry'!AV$8),'Council Entry'!AV94)),IF(AND(ISNUMBER('Council Entry'!AV$8),ISNUMBER('Council Entry'!AV$9)),MAX(MIN('Council Entry'!AV94,'Council Entry'!AV$9),'Council Entry'!AV$8),'Council Entry'!AV94))))-'Council Entry'!AV$5)/('Council Entry'!AV$6-'Council Entry'!AV$5),10*((IF('Council Entry'!AV$4="Logarithm",LN(0.001+IF(AND(ISNUMBER('Council Entry'!AV$8),ISNUMBER('Council Entry'!AV$9)),MAX(MIN('Council Entry'!AV94,'Council Entry'!AV$9),'Council Entry'!AV$8),'Council Entry'!AV94)),IF('Council Entry'!AV$4="Exponential",EXP(IF(AND(ISNUMBER('Council Entry'!AV$8),ISNUMBER('Council Entry'!AV$9)),MAX(MIN('Council Entry'!AV94,'Council Entry'!AV$9),'Council Entry'!AV$8),'Council Entry'!AV94)),IF(AND(ISNUMBER('Council Entry'!AV$8),ISNUMBER('Council Entry'!AV$9)),MAX(MIN('Council Entry'!AV94,'Council Entry'!AV$9),'Council Entry'!AV$8),'Council Entry'!AV94))))-'Council Entry'!AV$5)/('Council Entry'!AV$6-'Council Entry'!AV$5)),1))),"No data"))</f>
        <v/>
      </c>
      <c r="AW94" s="13">
        <f>IF('Council Entry'!AW94="","",IFERROR(MAX(0,MIN(10,ROUND(IF('Council Entry'!AW$7="Decrease Risk",10-10*((IF('Council Entry'!AW$4="Logarithm",LN(0.001+IF(AND(ISNUMBER('Council Entry'!AW$8),ISNUMBER('Council Entry'!AW$9)),MAX(MIN('Council Entry'!AW94,'Council Entry'!AW$9),'Council Entry'!AW$8),'Council Entry'!AW94)),IF('Council Entry'!AW$4="Exponential",EXP(IF(AND(ISNUMBER('Council Entry'!AW$8),ISNUMBER('Council Entry'!AW$9)),MAX(MIN('Council Entry'!AW94,'Council Entry'!AW$9),'Council Entry'!AW$8),'Council Entry'!AW94)),IF(AND(ISNUMBER('Council Entry'!AW$8),ISNUMBER('Council Entry'!AW$9)),MAX(MIN('Council Entry'!AW94,'Council Entry'!AW$9),'Council Entry'!AW$8),'Council Entry'!AW94))))-'Council Entry'!AW$5)/('Council Entry'!AW$6-'Council Entry'!AW$5),10*((IF('Council Entry'!AW$4="Logarithm",LN(0.001+IF(AND(ISNUMBER('Council Entry'!AW$8),ISNUMBER('Council Entry'!AW$9)),MAX(MIN('Council Entry'!AW94,'Council Entry'!AW$9),'Council Entry'!AW$8),'Council Entry'!AW94)),IF('Council Entry'!AW$4="Exponential",EXP(IF(AND(ISNUMBER('Council Entry'!AW$8),ISNUMBER('Council Entry'!AW$9)),MAX(MIN('Council Entry'!AW94,'Council Entry'!AW$9),'Council Entry'!AW$8),'Council Entry'!AW94)),IF(AND(ISNUMBER('Council Entry'!AW$8),ISNUMBER('Council Entry'!AW$9)),MAX(MIN('Council Entry'!AW94,'Council Entry'!AW$9),'Council Entry'!AW$8),'Council Entry'!AW94))))-'Council Entry'!AW$5)/('Council Entry'!AW$6-'Council Entry'!AW$5)),1))),"No data"))</f>
        <v/>
      </c>
      <c r="AX94" s="13">
        <f>IF('Council Entry'!AX94="","",IFERROR(MAX(0,MIN(10,ROUND(IF('Council Entry'!AX$7="Decrease Risk",10-10*((IF('Council Entry'!AX$4="Logarithm",LN(0.001+IF(AND(ISNUMBER('Council Entry'!AX$8),ISNUMBER('Council Entry'!AX$9)),MAX(MIN('Council Entry'!AX94,'Council Entry'!AX$9),'Council Entry'!AX$8),'Council Entry'!AX94)),IF('Council Entry'!AX$4="Exponential",EXP(IF(AND(ISNUMBER('Council Entry'!AX$8),ISNUMBER('Council Entry'!AX$9)),MAX(MIN('Council Entry'!AX94,'Council Entry'!AX$9),'Council Entry'!AX$8),'Council Entry'!AX94)),IF(AND(ISNUMBER('Council Entry'!AX$8),ISNUMBER('Council Entry'!AX$9)),MAX(MIN('Council Entry'!AX94,'Council Entry'!AX$9),'Council Entry'!AX$8),'Council Entry'!AX94))))-'Council Entry'!AX$5)/('Council Entry'!AX$6-'Council Entry'!AX$5),10*((IF('Council Entry'!AX$4="Logarithm",LN(0.001+IF(AND(ISNUMBER('Council Entry'!AX$8),ISNUMBER('Council Entry'!AX$9)),MAX(MIN('Council Entry'!AX94,'Council Entry'!AX$9),'Council Entry'!AX$8),'Council Entry'!AX94)),IF('Council Entry'!AX$4="Exponential",EXP(IF(AND(ISNUMBER('Council Entry'!AX$8),ISNUMBER('Council Entry'!AX$9)),MAX(MIN('Council Entry'!AX94,'Council Entry'!AX$9),'Council Entry'!AX$8),'Council Entry'!AX94)),IF(AND(ISNUMBER('Council Entry'!AX$8),ISNUMBER('Council Entry'!AX$9)),MAX(MIN('Council Entry'!AX94,'Council Entry'!AX$9),'Council Entry'!AX$8),'Council Entry'!AX94))))-'Council Entry'!AX$5)/('Council Entry'!AX$6-'Council Entry'!AX$5)),1))),"No data"))</f>
        <v/>
      </c>
      <c r="AY94" s="13">
        <f>IF('Council Entry'!AY94="","",IFERROR(MAX(0,MIN(10,ROUND(IF('Council Entry'!AY$7="Decrease Risk",10-10*((IF('Council Entry'!AY$4="Logarithm",LN(0.001+IF(AND(ISNUMBER('Council Entry'!AY$8),ISNUMBER('Council Entry'!AY$9)),MAX(MIN('Council Entry'!AY94,'Council Entry'!AY$9),'Council Entry'!AY$8),'Council Entry'!AY94)),IF('Council Entry'!AY$4="Exponential",EXP(IF(AND(ISNUMBER('Council Entry'!AY$8),ISNUMBER('Council Entry'!AY$9)),MAX(MIN('Council Entry'!AY94,'Council Entry'!AY$9),'Council Entry'!AY$8),'Council Entry'!AY94)),IF(AND(ISNUMBER('Council Entry'!AY$8),ISNUMBER('Council Entry'!AY$9)),MAX(MIN('Council Entry'!AY94,'Council Entry'!AY$9),'Council Entry'!AY$8),'Council Entry'!AY94))))-'Council Entry'!AY$5)/('Council Entry'!AY$6-'Council Entry'!AY$5),10*((IF('Council Entry'!AY$4="Logarithm",LN(0.001+IF(AND(ISNUMBER('Council Entry'!AY$8),ISNUMBER('Council Entry'!AY$9)),MAX(MIN('Council Entry'!AY94,'Council Entry'!AY$9),'Council Entry'!AY$8),'Council Entry'!AY94)),IF('Council Entry'!AY$4="Exponential",EXP(IF(AND(ISNUMBER('Council Entry'!AY$8),ISNUMBER('Council Entry'!AY$9)),MAX(MIN('Council Entry'!AY94,'Council Entry'!AY$9),'Council Entry'!AY$8),'Council Entry'!AY94)),IF(AND(ISNUMBER('Council Entry'!AY$8),ISNUMBER('Council Entry'!AY$9)),MAX(MIN('Council Entry'!AY94,'Council Entry'!AY$9),'Council Entry'!AY$8),'Council Entry'!AY94))))-'Council Entry'!AY$5)/('Council Entry'!AY$6-'Council Entry'!AY$5)),1))),"No data"))</f>
        <v/>
      </c>
      <c r="AZ94" s="13">
        <f>IF('Council Entry'!AZ94="","",IFERROR(MAX(0,MIN(10,ROUND(IF('Council Entry'!AZ$7="Decrease Risk",10-10*((IF('Council Entry'!AZ$4="Logarithm",LN(0.001+IF(AND(ISNUMBER('Council Entry'!AZ$8),ISNUMBER('Council Entry'!AZ$9)),MAX(MIN('Council Entry'!AZ94,'Council Entry'!AZ$9),'Council Entry'!AZ$8),'Council Entry'!AZ94)),IF('Council Entry'!AZ$4="Exponential",EXP(IF(AND(ISNUMBER('Council Entry'!AZ$8),ISNUMBER('Council Entry'!AZ$9)),MAX(MIN('Council Entry'!AZ94,'Council Entry'!AZ$9),'Council Entry'!AZ$8),'Council Entry'!AZ94)),IF(AND(ISNUMBER('Council Entry'!AZ$8),ISNUMBER('Council Entry'!AZ$9)),MAX(MIN('Council Entry'!AZ94,'Council Entry'!AZ$9),'Council Entry'!AZ$8),'Council Entry'!AZ94))))-'Council Entry'!AZ$5)/('Council Entry'!AZ$6-'Council Entry'!AZ$5),10*((IF('Council Entry'!AZ$4="Logarithm",LN(0.001+IF(AND(ISNUMBER('Council Entry'!AZ$8),ISNUMBER('Council Entry'!AZ$9)),MAX(MIN('Council Entry'!AZ94,'Council Entry'!AZ$9),'Council Entry'!AZ$8),'Council Entry'!AZ94)),IF('Council Entry'!AZ$4="Exponential",EXP(IF(AND(ISNUMBER('Council Entry'!AZ$8),ISNUMBER('Council Entry'!AZ$9)),MAX(MIN('Council Entry'!AZ94,'Council Entry'!AZ$9),'Council Entry'!AZ$8),'Council Entry'!AZ94)),IF(AND(ISNUMBER('Council Entry'!AZ$8),ISNUMBER('Council Entry'!AZ$9)),MAX(MIN('Council Entry'!AZ94,'Council Entry'!AZ$9),'Council Entry'!AZ$8),'Council Entry'!AZ94))))-'Council Entry'!AZ$5)/('Council Entry'!AZ$6-'Council Entry'!AZ$5)),1))),"No data"))</f>
        <v/>
      </c>
      <c r="BA94" s="13">
        <f>IF('Council Entry'!BA94="","",IFERROR(MAX(0,MIN(10,ROUND(IF('Council Entry'!BA$7="Decrease Risk",10-10*((IF('Council Entry'!BA$4="Logarithm",LN(0.001+IF(AND(ISNUMBER('Council Entry'!BA$8),ISNUMBER('Council Entry'!BA$9)),MAX(MIN('Council Entry'!BA94,'Council Entry'!BA$9),'Council Entry'!BA$8),'Council Entry'!BA94)),IF('Council Entry'!BA$4="Exponential",EXP(IF(AND(ISNUMBER('Council Entry'!BA$8),ISNUMBER('Council Entry'!BA$9)),MAX(MIN('Council Entry'!BA94,'Council Entry'!BA$9),'Council Entry'!BA$8),'Council Entry'!BA94)),IF(AND(ISNUMBER('Council Entry'!BA$8),ISNUMBER('Council Entry'!BA$9)),MAX(MIN('Council Entry'!BA94,'Council Entry'!BA$9),'Council Entry'!BA$8),'Council Entry'!BA94))))-'Council Entry'!BA$5)/('Council Entry'!BA$6-'Council Entry'!BA$5),10*((IF('Council Entry'!BA$4="Logarithm",LN(0.001+IF(AND(ISNUMBER('Council Entry'!BA$8),ISNUMBER('Council Entry'!BA$9)),MAX(MIN('Council Entry'!BA94,'Council Entry'!BA$9),'Council Entry'!BA$8),'Council Entry'!BA94)),IF('Council Entry'!BA$4="Exponential",EXP(IF(AND(ISNUMBER('Council Entry'!BA$8),ISNUMBER('Council Entry'!BA$9)),MAX(MIN('Council Entry'!BA94,'Council Entry'!BA$9),'Council Entry'!BA$8),'Council Entry'!BA94)),IF(AND(ISNUMBER('Council Entry'!BA$8),ISNUMBER('Council Entry'!BA$9)),MAX(MIN('Council Entry'!BA94,'Council Entry'!BA$9),'Council Entry'!BA$8),'Council Entry'!BA94))))-'Council Entry'!BA$5)/('Council Entry'!BA$6-'Council Entry'!BA$5)),1))),"No data"))</f>
        <v/>
      </c>
      <c r="BB94" s="13">
        <f>IF('Council Entry'!BB94="","",IFERROR(MAX(0,MIN(10,ROUND(IF('Council Entry'!BB$7="Decrease Risk",10-10*((IF('Council Entry'!BB$4="Logarithm",LN(0.001+IF(AND(ISNUMBER('Council Entry'!BB$8),ISNUMBER('Council Entry'!BB$9)),MAX(MIN('Council Entry'!BB94,'Council Entry'!BB$9),'Council Entry'!BB$8),'Council Entry'!BB94)),IF('Council Entry'!BB$4="Exponential",EXP(IF(AND(ISNUMBER('Council Entry'!BB$8),ISNUMBER('Council Entry'!BB$9)),MAX(MIN('Council Entry'!BB94,'Council Entry'!BB$9),'Council Entry'!BB$8),'Council Entry'!BB94)),IF(AND(ISNUMBER('Council Entry'!BB$8),ISNUMBER('Council Entry'!BB$9)),MAX(MIN('Council Entry'!BB94,'Council Entry'!BB$9),'Council Entry'!BB$8),'Council Entry'!BB94))))-'Council Entry'!BB$5)/('Council Entry'!BB$6-'Council Entry'!BB$5),10*((IF('Council Entry'!BB$4="Logarithm",LN(0.001+IF(AND(ISNUMBER('Council Entry'!BB$8),ISNUMBER('Council Entry'!BB$9)),MAX(MIN('Council Entry'!BB94,'Council Entry'!BB$9),'Council Entry'!BB$8),'Council Entry'!BB94)),IF('Council Entry'!BB$4="Exponential",EXP(IF(AND(ISNUMBER('Council Entry'!BB$8),ISNUMBER('Council Entry'!BB$9)),MAX(MIN('Council Entry'!BB94,'Council Entry'!BB$9),'Council Entry'!BB$8),'Council Entry'!BB94)),IF(AND(ISNUMBER('Council Entry'!BB$8),ISNUMBER('Council Entry'!BB$9)),MAX(MIN('Council Entry'!BB94,'Council Entry'!BB$9),'Council Entry'!BB$8),'Council Entry'!BB94))))-'Council Entry'!BB$5)/('Council Entry'!BB$6-'Council Entry'!BB$5)),1))),"No data"))</f>
        <v/>
      </c>
      <c r="BC94" s="13">
        <f>IF('Council Entry'!BC94="","",IFERROR(MAX(0,MIN(10,ROUND(IF('Council Entry'!BC$7="Decrease Risk",10-10*((IF('Council Entry'!BC$4="Logarithm",LN(0.001+IF(AND(ISNUMBER('Council Entry'!BC$8),ISNUMBER('Council Entry'!BC$9)),MAX(MIN('Council Entry'!BC94,'Council Entry'!BC$9),'Council Entry'!BC$8),'Council Entry'!BC94)),IF('Council Entry'!BC$4="Exponential",EXP(IF(AND(ISNUMBER('Council Entry'!BC$8),ISNUMBER('Council Entry'!BC$9)),MAX(MIN('Council Entry'!BC94,'Council Entry'!BC$9),'Council Entry'!BC$8),'Council Entry'!BC94)),IF(AND(ISNUMBER('Council Entry'!BC$8),ISNUMBER('Council Entry'!BC$9)),MAX(MIN('Council Entry'!BC94,'Council Entry'!BC$9),'Council Entry'!BC$8),'Council Entry'!BC94))))-'Council Entry'!BC$5)/('Council Entry'!BC$6-'Council Entry'!BC$5),10*((IF('Council Entry'!BC$4="Logarithm",LN(0.001+IF(AND(ISNUMBER('Council Entry'!BC$8),ISNUMBER('Council Entry'!BC$9)),MAX(MIN('Council Entry'!BC94,'Council Entry'!BC$9),'Council Entry'!BC$8),'Council Entry'!BC94)),IF('Council Entry'!BC$4="Exponential",EXP(IF(AND(ISNUMBER('Council Entry'!BC$8),ISNUMBER('Council Entry'!BC$9)),MAX(MIN('Council Entry'!BC94,'Council Entry'!BC$9),'Council Entry'!BC$8),'Council Entry'!BC94)),IF(AND(ISNUMBER('Council Entry'!BC$8),ISNUMBER('Council Entry'!BC$9)),MAX(MIN('Council Entry'!BC94,'Council Entry'!BC$9),'Council Entry'!BC$8),'Council Entry'!BC94))))-'Council Entry'!BC$5)/('Council Entry'!BC$6-'Council Entry'!BC$5)),1))),"No data"))</f>
        <v/>
      </c>
      <c r="BD94" s="13">
        <f>IF('Council Entry'!BD94="","",IFERROR(MAX(0,MIN(10,ROUND(IF('Council Entry'!BD$7="Decrease Risk",10-10*((IF('Council Entry'!BD$4="Logarithm",LN(0.001+IF(AND(ISNUMBER('Council Entry'!BD$8),ISNUMBER('Council Entry'!BD$9)),MAX(MIN('Council Entry'!BD94,'Council Entry'!BD$9),'Council Entry'!BD$8),'Council Entry'!BD94)),IF('Council Entry'!BD$4="Exponential",EXP(IF(AND(ISNUMBER('Council Entry'!BD$8),ISNUMBER('Council Entry'!BD$9)),MAX(MIN('Council Entry'!BD94,'Council Entry'!BD$9),'Council Entry'!BD$8),'Council Entry'!BD94)),IF(AND(ISNUMBER('Council Entry'!BD$8),ISNUMBER('Council Entry'!BD$9)),MAX(MIN('Council Entry'!BD94,'Council Entry'!BD$9),'Council Entry'!BD$8),'Council Entry'!BD94))))-'Council Entry'!BD$5)/('Council Entry'!BD$6-'Council Entry'!BD$5),10*((IF('Council Entry'!BD$4="Logarithm",LN(0.001+IF(AND(ISNUMBER('Council Entry'!BD$8),ISNUMBER('Council Entry'!BD$9)),MAX(MIN('Council Entry'!BD94,'Council Entry'!BD$9),'Council Entry'!BD$8),'Council Entry'!BD94)),IF('Council Entry'!BD$4="Exponential",EXP(IF(AND(ISNUMBER('Council Entry'!BD$8),ISNUMBER('Council Entry'!BD$9)),MAX(MIN('Council Entry'!BD94,'Council Entry'!BD$9),'Council Entry'!BD$8),'Council Entry'!BD94)),IF(AND(ISNUMBER('Council Entry'!BD$8),ISNUMBER('Council Entry'!BD$9)),MAX(MIN('Council Entry'!BD94,'Council Entry'!BD$9),'Council Entry'!BD$8),'Council Entry'!BD94))))-'Council Entry'!BD$5)/('Council Entry'!BD$6-'Council Entry'!BD$5)),1))),"No data"))</f>
        <v/>
      </c>
    </row>
    <row r="95">
      <c r="A95" t="inlineStr">
        <is>
          <t>Mara</t>
        </is>
      </c>
      <c r="B95" t="inlineStr">
        <is>
          <t>Musoma Municipal</t>
        </is>
      </c>
      <c r="C95" t="inlineStr">
        <is>
          <t>C145</t>
        </is>
      </c>
      <c r="D95" s="13">
        <f>IF('Council Entry'!D95="","",IFERROR(MAX(0,MIN(10,ROUND(IF('Council Entry'!D$7="Decrease Risk",10-10*((IF('Council Entry'!D$4="Logarithm",LN(0.001+IF(AND(ISNUMBER('Council Entry'!D$8),ISNUMBER('Council Entry'!D$9)),MAX(MIN('Council Entry'!D95,'Council Entry'!D$9),'Council Entry'!D$8),'Council Entry'!D95)),IF('Council Entry'!D$4="Exponential",EXP(IF(AND(ISNUMBER('Council Entry'!D$8),ISNUMBER('Council Entry'!D$9)),MAX(MIN('Council Entry'!D95,'Council Entry'!D$9),'Council Entry'!D$8),'Council Entry'!D95)),IF(AND(ISNUMBER('Council Entry'!D$8),ISNUMBER('Council Entry'!D$9)),MAX(MIN('Council Entry'!D95,'Council Entry'!D$9),'Council Entry'!D$8),'Council Entry'!D95))))-'Council Entry'!D$5)/('Council Entry'!D$6-'Council Entry'!D$5),10*((IF('Council Entry'!D$4="Logarithm",LN(0.001+IF(AND(ISNUMBER('Council Entry'!D$8),ISNUMBER('Council Entry'!D$9)),MAX(MIN('Council Entry'!D95,'Council Entry'!D$9),'Council Entry'!D$8),'Council Entry'!D95)),IF('Council Entry'!D$4="Exponential",EXP(IF(AND(ISNUMBER('Council Entry'!D$8),ISNUMBER('Council Entry'!D$9)),MAX(MIN('Council Entry'!D95,'Council Entry'!D$9),'Council Entry'!D$8),'Council Entry'!D95)),IF(AND(ISNUMBER('Council Entry'!D$8),ISNUMBER('Council Entry'!D$9)),MAX(MIN('Council Entry'!D95,'Council Entry'!D$9),'Council Entry'!D$8),'Council Entry'!D95))))-'Council Entry'!D$5)/('Council Entry'!D$6-'Council Entry'!D$5)),1))),"No data"))</f>
        <v/>
      </c>
      <c r="E95" s="13">
        <f>IF('Council Entry'!E95="","",IFERROR(MAX(0,MIN(10,ROUND(IF('Council Entry'!E$7="Decrease Risk",10-10*((IF('Council Entry'!E$4="Logarithm",LN(0.001+IF(AND(ISNUMBER('Council Entry'!E$8),ISNUMBER('Council Entry'!E$9)),MAX(MIN('Council Entry'!E95,'Council Entry'!E$9),'Council Entry'!E$8),'Council Entry'!E95)),IF('Council Entry'!E$4="Exponential",EXP(IF(AND(ISNUMBER('Council Entry'!E$8),ISNUMBER('Council Entry'!E$9)),MAX(MIN('Council Entry'!E95,'Council Entry'!E$9),'Council Entry'!E$8),'Council Entry'!E95)),IF(AND(ISNUMBER('Council Entry'!E$8),ISNUMBER('Council Entry'!E$9)),MAX(MIN('Council Entry'!E95,'Council Entry'!E$9),'Council Entry'!E$8),'Council Entry'!E95))))-'Council Entry'!E$5)/('Council Entry'!E$6-'Council Entry'!E$5),10*((IF('Council Entry'!E$4="Logarithm",LN(0.001+IF(AND(ISNUMBER('Council Entry'!E$8),ISNUMBER('Council Entry'!E$9)),MAX(MIN('Council Entry'!E95,'Council Entry'!E$9),'Council Entry'!E$8),'Council Entry'!E95)),IF('Council Entry'!E$4="Exponential",EXP(IF(AND(ISNUMBER('Council Entry'!E$8),ISNUMBER('Council Entry'!E$9)),MAX(MIN('Council Entry'!E95,'Council Entry'!E$9),'Council Entry'!E$8),'Council Entry'!E95)),IF(AND(ISNUMBER('Council Entry'!E$8),ISNUMBER('Council Entry'!E$9)),MAX(MIN('Council Entry'!E95,'Council Entry'!E$9),'Council Entry'!E$8),'Council Entry'!E95))))-'Council Entry'!E$5)/('Council Entry'!E$6-'Council Entry'!E$5)),1))),"No data"))</f>
        <v/>
      </c>
      <c r="F95" s="13">
        <f>IF('Council Entry'!F95="","",IFERROR(MAX(0,MIN(10,ROUND(IF('Council Entry'!F$7="Decrease Risk",10-10*((IF('Council Entry'!F$4="Logarithm",LN(0.001+IF(AND(ISNUMBER('Council Entry'!F$8),ISNUMBER('Council Entry'!F$9)),MAX(MIN('Council Entry'!F95,'Council Entry'!F$9),'Council Entry'!F$8),'Council Entry'!F95)),IF('Council Entry'!F$4="Exponential",EXP(IF(AND(ISNUMBER('Council Entry'!F$8),ISNUMBER('Council Entry'!F$9)),MAX(MIN('Council Entry'!F95,'Council Entry'!F$9),'Council Entry'!F$8),'Council Entry'!F95)),IF(AND(ISNUMBER('Council Entry'!F$8),ISNUMBER('Council Entry'!F$9)),MAX(MIN('Council Entry'!F95,'Council Entry'!F$9),'Council Entry'!F$8),'Council Entry'!F95))))-'Council Entry'!F$5)/('Council Entry'!F$6-'Council Entry'!F$5),10*((IF('Council Entry'!F$4="Logarithm",LN(0.001+IF(AND(ISNUMBER('Council Entry'!F$8),ISNUMBER('Council Entry'!F$9)),MAX(MIN('Council Entry'!F95,'Council Entry'!F$9),'Council Entry'!F$8),'Council Entry'!F95)),IF('Council Entry'!F$4="Exponential",EXP(IF(AND(ISNUMBER('Council Entry'!F$8),ISNUMBER('Council Entry'!F$9)),MAX(MIN('Council Entry'!F95,'Council Entry'!F$9),'Council Entry'!F$8),'Council Entry'!F95)),IF(AND(ISNUMBER('Council Entry'!F$8),ISNUMBER('Council Entry'!F$9)),MAX(MIN('Council Entry'!F95,'Council Entry'!F$9),'Council Entry'!F$8),'Council Entry'!F95))))-'Council Entry'!F$5)/('Council Entry'!F$6-'Council Entry'!F$5)),1))),"No data"))</f>
        <v/>
      </c>
      <c r="G95" s="13">
        <f>IF('Council Entry'!G95="","",IFERROR(MAX(0,MIN(10,ROUND(IF('Council Entry'!G$7="Decrease Risk",10-10*((IF('Council Entry'!G$4="Logarithm",LN(0.001+IF(AND(ISNUMBER('Council Entry'!G$8),ISNUMBER('Council Entry'!G$9)),MAX(MIN('Council Entry'!G95,'Council Entry'!G$9),'Council Entry'!G$8),'Council Entry'!G95)),IF('Council Entry'!G$4="Exponential",EXP(IF(AND(ISNUMBER('Council Entry'!G$8),ISNUMBER('Council Entry'!G$9)),MAX(MIN('Council Entry'!G95,'Council Entry'!G$9),'Council Entry'!G$8),'Council Entry'!G95)),IF(AND(ISNUMBER('Council Entry'!G$8),ISNUMBER('Council Entry'!G$9)),MAX(MIN('Council Entry'!G95,'Council Entry'!G$9),'Council Entry'!G$8),'Council Entry'!G95))))-'Council Entry'!G$5)/('Council Entry'!G$6-'Council Entry'!G$5),10*((IF('Council Entry'!G$4="Logarithm",LN(0.001+IF(AND(ISNUMBER('Council Entry'!G$8),ISNUMBER('Council Entry'!G$9)),MAX(MIN('Council Entry'!G95,'Council Entry'!G$9),'Council Entry'!G$8),'Council Entry'!G95)),IF('Council Entry'!G$4="Exponential",EXP(IF(AND(ISNUMBER('Council Entry'!G$8),ISNUMBER('Council Entry'!G$9)),MAX(MIN('Council Entry'!G95,'Council Entry'!G$9),'Council Entry'!G$8),'Council Entry'!G95)),IF(AND(ISNUMBER('Council Entry'!G$8),ISNUMBER('Council Entry'!G$9)),MAX(MIN('Council Entry'!G95,'Council Entry'!G$9),'Council Entry'!G$8),'Council Entry'!G95))))-'Council Entry'!G$5)/('Council Entry'!G$6-'Council Entry'!G$5)),1))),"No data"))</f>
        <v/>
      </c>
      <c r="H95" s="13">
        <f>IF('Council Entry'!H95="","",IFERROR(MAX(0,MIN(10,ROUND(IF('Council Entry'!H$7="Decrease Risk",10-10*((IF('Council Entry'!H$4="Logarithm",LN(0.001+IF(AND(ISNUMBER('Council Entry'!H$8),ISNUMBER('Council Entry'!H$9)),MAX(MIN('Council Entry'!H95,'Council Entry'!H$9),'Council Entry'!H$8),'Council Entry'!H95)),IF('Council Entry'!H$4="Exponential",EXP(IF(AND(ISNUMBER('Council Entry'!H$8),ISNUMBER('Council Entry'!H$9)),MAX(MIN('Council Entry'!H95,'Council Entry'!H$9),'Council Entry'!H$8),'Council Entry'!H95)),IF(AND(ISNUMBER('Council Entry'!H$8),ISNUMBER('Council Entry'!H$9)),MAX(MIN('Council Entry'!H95,'Council Entry'!H$9),'Council Entry'!H$8),'Council Entry'!H95))))-'Council Entry'!H$5)/('Council Entry'!H$6-'Council Entry'!H$5),10*((IF('Council Entry'!H$4="Logarithm",LN(0.001+IF(AND(ISNUMBER('Council Entry'!H$8),ISNUMBER('Council Entry'!H$9)),MAX(MIN('Council Entry'!H95,'Council Entry'!H$9),'Council Entry'!H$8),'Council Entry'!H95)),IF('Council Entry'!H$4="Exponential",EXP(IF(AND(ISNUMBER('Council Entry'!H$8),ISNUMBER('Council Entry'!H$9)),MAX(MIN('Council Entry'!H95,'Council Entry'!H$9),'Council Entry'!H$8),'Council Entry'!H95)),IF(AND(ISNUMBER('Council Entry'!H$8),ISNUMBER('Council Entry'!H$9)),MAX(MIN('Council Entry'!H95,'Council Entry'!H$9),'Council Entry'!H$8),'Council Entry'!H95))))-'Council Entry'!H$5)/('Council Entry'!H$6-'Council Entry'!H$5)),1))),"No data"))</f>
        <v/>
      </c>
      <c r="I95" s="13">
        <f>IF('Council Entry'!I95="","",IFERROR(MAX(0,MIN(10,ROUND(IF('Council Entry'!I$7="Decrease Risk",10-10*((IF('Council Entry'!I$4="Logarithm",LN(0.001+IF(AND(ISNUMBER('Council Entry'!I$8),ISNUMBER('Council Entry'!I$9)),MAX(MIN('Council Entry'!I95,'Council Entry'!I$9),'Council Entry'!I$8),'Council Entry'!I95)),IF('Council Entry'!I$4="Exponential",EXP(IF(AND(ISNUMBER('Council Entry'!I$8),ISNUMBER('Council Entry'!I$9)),MAX(MIN('Council Entry'!I95,'Council Entry'!I$9),'Council Entry'!I$8),'Council Entry'!I95)),IF(AND(ISNUMBER('Council Entry'!I$8),ISNUMBER('Council Entry'!I$9)),MAX(MIN('Council Entry'!I95,'Council Entry'!I$9),'Council Entry'!I$8),'Council Entry'!I95))))-'Council Entry'!I$5)/('Council Entry'!I$6-'Council Entry'!I$5),10*((IF('Council Entry'!I$4="Logarithm",LN(0.001+IF(AND(ISNUMBER('Council Entry'!I$8),ISNUMBER('Council Entry'!I$9)),MAX(MIN('Council Entry'!I95,'Council Entry'!I$9),'Council Entry'!I$8),'Council Entry'!I95)),IF('Council Entry'!I$4="Exponential",EXP(IF(AND(ISNUMBER('Council Entry'!I$8),ISNUMBER('Council Entry'!I$9)),MAX(MIN('Council Entry'!I95,'Council Entry'!I$9),'Council Entry'!I$8),'Council Entry'!I95)),IF(AND(ISNUMBER('Council Entry'!I$8),ISNUMBER('Council Entry'!I$9)),MAX(MIN('Council Entry'!I95,'Council Entry'!I$9),'Council Entry'!I$8),'Council Entry'!I95))))-'Council Entry'!I$5)/('Council Entry'!I$6-'Council Entry'!I$5)),1))),"No data"))</f>
        <v/>
      </c>
      <c r="J95" s="13">
        <f>IF('Council Entry'!J95="","",IFERROR(MAX(0,MIN(10,ROUND(IF('Council Entry'!J$7="Decrease Risk",10-10*((IF('Council Entry'!J$4="Logarithm",LN(0.001+IF(AND(ISNUMBER('Council Entry'!J$8),ISNUMBER('Council Entry'!J$9)),MAX(MIN('Council Entry'!J95,'Council Entry'!J$9),'Council Entry'!J$8),'Council Entry'!J95)),IF('Council Entry'!J$4="Exponential",EXP(IF(AND(ISNUMBER('Council Entry'!J$8),ISNUMBER('Council Entry'!J$9)),MAX(MIN('Council Entry'!J95,'Council Entry'!J$9),'Council Entry'!J$8),'Council Entry'!J95)),IF(AND(ISNUMBER('Council Entry'!J$8),ISNUMBER('Council Entry'!J$9)),MAX(MIN('Council Entry'!J95,'Council Entry'!J$9),'Council Entry'!J$8),'Council Entry'!J95))))-'Council Entry'!J$5)/('Council Entry'!J$6-'Council Entry'!J$5),10*((IF('Council Entry'!J$4="Logarithm",LN(0.001+IF(AND(ISNUMBER('Council Entry'!J$8),ISNUMBER('Council Entry'!J$9)),MAX(MIN('Council Entry'!J95,'Council Entry'!J$9),'Council Entry'!J$8),'Council Entry'!J95)),IF('Council Entry'!J$4="Exponential",EXP(IF(AND(ISNUMBER('Council Entry'!J$8),ISNUMBER('Council Entry'!J$9)),MAX(MIN('Council Entry'!J95,'Council Entry'!J$9),'Council Entry'!J$8),'Council Entry'!J95)),IF(AND(ISNUMBER('Council Entry'!J$8),ISNUMBER('Council Entry'!J$9)),MAX(MIN('Council Entry'!J95,'Council Entry'!J$9),'Council Entry'!J$8),'Council Entry'!J95))))-'Council Entry'!J$5)/('Council Entry'!J$6-'Council Entry'!J$5)),1))),"No data"))</f>
        <v/>
      </c>
      <c r="K95" s="13">
        <f>IF('Council Entry'!K95="","",IFERROR(MAX(0,MIN(10,ROUND(IF('Council Entry'!K$7="Decrease Risk",10-10*((IF('Council Entry'!K$4="Logarithm",LN(0.001+IF(AND(ISNUMBER('Council Entry'!K$8),ISNUMBER('Council Entry'!K$9)),MAX(MIN('Council Entry'!K95,'Council Entry'!K$9),'Council Entry'!K$8),'Council Entry'!K95)),IF('Council Entry'!K$4="Exponential",EXP(IF(AND(ISNUMBER('Council Entry'!K$8),ISNUMBER('Council Entry'!K$9)),MAX(MIN('Council Entry'!K95,'Council Entry'!K$9),'Council Entry'!K$8),'Council Entry'!K95)),IF(AND(ISNUMBER('Council Entry'!K$8),ISNUMBER('Council Entry'!K$9)),MAX(MIN('Council Entry'!K95,'Council Entry'!K$9),'Council Entry'!K$8),'Council Entry'!K95))))-'Council Entry'!K$5)/('Council Entry'!K$6-'Council Entry'!K$5),10*((IF('Council Entry'!K$4="Logarithm",LN(0.001+IF(AND(ISNUMBER('Council Entry'!K$8),ISNUMBER('Council Entry'!K$9)),MAX(MIN('Council Entry'!K95,'Council Entry'!K$9),'Council Entry'!K$8),'Council Entry'!K95)),IF('Council Entry'!K$4="Exponential",EXP(IF(AND(ISNUMBER('Council Entry'!K$8),ISNUMBER('Council Entry'!K$9)),MAX(MIN('Council Entry'!K95,'Council Entry'!K$9),'Council Entry'!K$8),'Council Entry'!K95)),IF(AND(ISNUMBER('Council Entry'!K$8),ISNUMBER('Council Entry'!K$9)),MAX(MIN('Council Entry'!K95,'Council Entry'!K$9),'Council Entry'!K$8),'Council Entry'!K95))))-'Council Entry'!K$5)/('Council Entry'!K$6-'Council Entry'!K$5)),1))),"No data"))</f>
        <v/>
      </c>
      <c r="L95" s="13">
        <f>IF('Council Entry'!L95="","",IFERROR(MAX(0,MIN(10,ROUND(IF('Council Entry'!L$7="Decrease Risk",10-10*((IF('Council Entry'!L$4="Logarithm",LN(0.001+IF(AND(ISNUMBER('Council Entry'!L$8),ISNUMBER('Council Entry'!L$9)),MAX(MIN('Council Entry'!L95,'Council Entry'!L$9),'Council Entry'!L$8),'Council Entry'!L95)),IF('Council Entry'!L$4="Exponential",EXP(IF(AND(ISNUMBER('Council Entry'!L$8),ISNUMBER('Council Entry'!L$9)),MAX(MIN('Council Entry'!L95,'Council Entry'!L$9),'Council Entry'!L$8),'Council Entry'!L95)),IF(AND(ISNUMBER('Council Entry'!L$8),ISNUMBER('Council Entry'!L$9)),MAX(MIN('Council Entry'!L95,'Council Entry'!L$9),'Council Entry'!L$8),'Council Entry'!L95))))-'Council Entry'!L$5)/('Council Entry'!L$6-'Council Entry'!L$5),10*((IF('Council Entry'!L$4="Logarithm",LN(0.001+IF(AND(ISNUMBER('Council Entry'!L$8),ISNUMBER('Council Entry'!L$9)),MAX(MIN('Council Entry'!L95,'Council Entry'!L$9),'Council Entry'!L$8),'Council Entry'!L95)),IF('Council Entry'!L$4="Exponential",EXP(IF(AND(ISNUMBER('Council Entry'!L$8),ISNUMBER('Council Entry'!L$9)),MAX(MIN('Council Entry'!L95,'Council Entry'!L$9),'Council Entry'!L$8),'Council Entry'!L95)),IF(AND(ISNUMBER('Council Entry'!L$8),ISNUMBER('Council Entry'!L$9)),MAX(MIN('Council Entry'!L95,'Council Entry'!L$9),'Council Entry'!L$8),'Council Entry'!L95))))-'Council Entry'!L$5)/('Council Entry'!L$6-'Council Entry'!L$5)),1))),"No data"))</f>
        <v/>
      </c>
      <c r="M95" s="13">
        <f>IF('Council Entry'!M95="","",IFERROR(MAX(0,MIN(10,ROUND(IF('Council Entry'!M$7="Decrease Risk",10-10*((IF('Council Entry'!M$4="Logarithm",LN(0.001+IF(AND(ISNUMBER('Council Entry'!M$8),ISNUMBER('Council Entry'!M$9)),MAX(MIN('Council Entry'!M95,'Council Entry'!M$9),'Council Entry'!M$8),'Council Entry'!M95)),IF('Council Entry'!M$4="Exponential",EXP(IF(AND(ISNUMBER('Council Entry'!M$8),ISNUMBER('Council Entry'!M$9)),MAX(MIN('Council Entry'!M95,'Council Entry'!M$9),'Council Entry'!M$8),'Council Entry'!M95)),IF(AND(ISNUMBER('Council Entry'!M$8),ISNUMBER('Council Entry'!M$9)),MAX(MIN('Council Entry'!M95,'Council Entry'!M$9),'Council Entry'!M$8),'Council Entry'!M95))))-'Council Entry'!M$5)/('Council Entry'!M$6-'Council Entry'!M$5),10*((IF('Council Entry'!M$4="Logarithm",LN(0.001+IF(AND(ISNUMBER('Council Entry'!M$8),ISNUMBER('Council Entry'!M$9)),MAX(MIN('Council Entry'!M95,'Council Entry'!M$9),'Council Entry'!M$8),'Council Entry'!M95)),IF('Council Entry'!M$4="Exponential",EXP(IF(AND(ISNUMBER('Council Entry'!M$8),ISNUMBER('Council Entry'!M$9)),MAX(MIN('Council Entry'!M95,'Council Entry'!M$9),'Council Entry'!M$8),'Council Entry'!M95)),IF(AND(ISNUMBER('Council Entry'!M$8),ISNUMBER('Council Entry'!M$9)),MAX(MIN('Council Entry'!M95,'Council Entry'!M$9),'Council Entry'!M$8),'Council Entry'!M95))))-'Council Entry'!M$5)/('Council Entry'!M$6-'Council Entry'!M$5)),1))),"No data"))</f>
        <v/>
      </c>
      <c r="N95" s="13">
        <f>IF('Council Entry'!N95="","",IFERROR(MAX(0,MIN(10,ROUND(IF('Council Entry'!N$7="Decrease Risk",10-10*((IF('Council Entry'!N$4="Logarithm",LN(0.001+IF(AND(ISNUMBER('Council Entry'!N$8),ISNUMBER('Council Entry'!N$9)),MAX(MIN('Council Entry'!N95,'Council Entry'!N$9),'Council Entry'!N$8),'Council Entry'!N95)),IF('Council Entry'!N$4="Exponential",EXP(IF(AND(ISNUMBER('Council Entry'!N$8),ISNUMBER('Council Entry'!N$9)),MAX(MIN('Council Entry'!N95,'Council Entry'!N$9),'Council Entry'!N$8),'Council Entry'!N95)),IF(AND(ISNUMBER('Council Entry'!N$8),ISNUMBER('Council Entry'!N$9)),MAX(MIN('Council Entry'!N95,'Council Entry'!N$9),'Council Entry'!N$8),'Council Entry'!N95))))-'Council Entry'!N$5)/('Council Entry'!N$6-'Council Entry'!N$5),10*((IF('Council Entry'!N$4="Logarithm",LN(0.001+IF(AND(ISNUMBER('Council Entry'!N$8),ISNUMBER('Council Entry'!N$9)),MAX(MIN('Council Entry'!N95,'Council Entry'!N$9),'Council Entry'!N$8),'Council Entry'!N95)),IF('Council Entry'!N$4="Exponential",EXP(IF(AND(ISNUMBER('Council Entry'!N$8),ISNUMBER('Council Entry'!N$9)),MAX(MIN('Council Entry'!N95,'Council Entry'!N$9),'Council Entry'!N$8),'Council Entry'!N95)),IF(AND(ISNUMBER('Council Entry'!N$8),ISNUMBER('Council Entry'!N$9)),MAX(MIN('Council Entry'!N95,'Council Entry'!N$9),'Council Entry'!N$8),'Council Entry'!N95))))-'Council Entry'!N$5)/('Council Entry'!N$6-'Council Entry'!N$5)),1))),"No data"))</f>
        <v/>
      </c>
      <c r="O95" s="13">
        <f>IF('Council Entry'!O95="","",IFERROR(MAX(0,MIN(10,ROUND(IF('Council Entry'!O$7="Decrease Risk",10-10*((IF('Council Entry'!O$4="Logarithm",LN(0.001+IF(AND(ISNUMBER('Council Entry'!O$8),ISNUMBER('Council Entry'!O$9)),MAX(MIN('Council Entry'!O95,'Council Entry'!O$9),'Council Entry'!O$8),'Council Entry'!O95)),IF('Council Entry'!O$4="Exponential",EXP(IF(AND(ISNUMBER('Council Entry'!O$8),ISNUMBER('Council Entry'!O$9)),MAX(MIN('Council Entry'!O95,'Council Entry'!O$9),'Council Entry'!O$8),'Council Entry'!O95)),IF(AND(ISNUMBER('Council Entry'!O$8),ISNUMBER('Council Entry'!O$9)),MAX(MIN('Council Entry'!O95,'Council Entry'!O$9),'Council Entry'!O$8),'Council Entry'!O95))))-'Council Entry'!O$5)/('Council Entry'!O$6-'Council Entry'!O$5),10*((IF('Council Entry'!O$4="Logarithm",LN(0.001+IF(AND(ISNUMBER('Council Entry'!O$8),ISNUMBER('Council Entry'!O$9)),MAX(MIN('Council Entry'!O95,'Council Entry'!O$9),'Council Entry'!O$8),'Council Entry'!O95)),IF('Council Entry'!O$4="Exponential",EXP(IF(AND(ISNUMBER('Council Entry'!O$8),ISNUMBER('Council Entry'!O$9)),MAX(MIN('Council Entry'!O95,'Council Entry'!O$9),'Council Entry'!O$8),'Council Entry'!O95)),IF(AND(ISNUMBER('Council Entry'!O$8),ISNUMBER('Council Entry'!O$9)),MAX(MIN('Council Entry'!O95,'Council Entry'!O$9),'Council Entry'!O$8),'Council Entry'!O95))))-'Council Entry'!O$5)/('Council Entry'!O$6-'Council Entry'!O$5)),1))),"No data"))</f>
        <v/>
      </c>
      <c r="P95" s="13">
        <f>IF('Council Entry'!P95="","",IFERROR(MAX(0,MIN(10,ROUND(IF('Council Entry'!P$7="Decrease Risk",10-10*((IF('Council Entry'!P$4="Logarithm",LN(0.001+IF(AND(ISNUMBER('Council Entry'!P$8),ISNUMBER('Council Entry'!P$9)),MAX(MIN('Council Entry'!P95,'Council Entry'!P$9),'Council Entry'!P$8),'Council Entry'!P95)),IF('Council Entry'!P$4="Exponential",EXP(IF(AND(ISNUMBER('Council Entry'!P$8),ISNUMBER('Council Entry'!P$9)),MAX(MIN('Council Entry'!P95,'Council Entry'!P$9),'Council Entry'!P$8),'Council Entry'!P95)),IF(AND(ISNUMBER('Council Entry'!P$8),ISNUMBER('Council Entry'!P$9)),MAX(MIN('Council Entry'!P95,'Council Entry'!P$9),'Council Entry'!P$8),'Council Entry'!P95))))-'Council Entry'!P$5)/('Council Entry'!P$6-'Council Entry'!P$5),10*((IF('Council Entry'!P$4="Logarithm",LN(0.001+IF(AND(ISNUMBER('Council Entry'!P$8),ISNUMBER('Council Entry'!P$9)),MAX(MIN('Council Entry'!P95,'Council Entry'!P$9),'Council Entry'!P$8),'Council Entry'!P95)),IF('Council Entry'!P$4="Exponential",EXP(IF(AND(ISNUMBER('Council Entry'!P$8),ISNUMBER('Council Entry'!P$9)),MAX(MIN('Council Entry'!P95,'Council Entry'!P$9),'Council Entry'!P$8),'Council Entry'!P95)),IF(AND(ISNUMBER('Council Entry'!P$8),ISNUMBER('Council Entry'!P$9)),MAX(MIN('Council Entry'!P95,'Council Entry'!P$9),'Council Entry'!P$8),'Council Entry'!P95))))-'Council Entry'!P$5)/('Council Entry'!P$6-'Council Entry'!P$5)),1))),"No data"))</f>
        <v/>
      </c>
      <c r="Q95" s="13">
        <f>IF('Council Entry'!Q95="","",IFERROR(MAX(0,MIN(10,ROUND(IF('Council Entry'!Q$7="Decrease Risk",10-10*((IF('Council Entry'!Q$4="Logarithm",LN(0.001+IF(AND(ISNUMBER('Council Entry'!Q$8),ISNUMBER('Council Entry'!Q$9)),MAX(MIN('Council Entry'!Q95,'Council Entry'!Q$9),'Council Entry'!Q$8),'Council Entry'!Q95)),IF('Council Entry'!Q$4="Exponential",EXP(IF(AND(ISNUMBER('Council Entry'!Q$8),ISNUMBER('Council Entry'!Q$9)),MAX(MIN('Council Entry'!Q95,'Council Entry'!Q$9),'Council Entry'!Q$8),'Council Entry'!Q95)),IF(AND(ISNUMBER('Council Entry'!Q$8),ISNUMBER('Council Entry'!Q$9)),MAX(MIN('Council Entry'!Q95,'Council Entry'!Q$9),'Council Entry'!Q$8),'Council Entry'!Q95))))-'Council Entry'!Q$5)/('Council Entry'!Q$6-'Council Entry'!Q$5),10*((IF('Council Entry'!Q$4="Logarithm",LN(0.001+IF(AND(ISNUMBER('Council Entry'!Q$8),ISNUMBER('Council Entry'!Q$9)),MAX(MIN('Council Entry'!Q95,'Council Entry'!Q$9),'Council Entry'!Q$8),'Council Entry'!Q95)),IF('Council Entry'!Q$4="Exponential",EXP(IF(AND(ISNUMBER('Council Entry'!Q$8),ISNUMBER('Council Entry'!Q$9)),MAX(MIN('Council Entry'!Q95,'Council Entry'!Q$9),'Council Entry'!Q$8),'Council Entry'!Q95)),IF(AND(ISNUMBER('Council Entry'!Q$8),ISNUMBER('Council Entry'!Q$9)),MAX(MIN('Council Entry'!Q95,'Council Entry'!Q$9),'Council Entry'!Q$8),'Council Entry'!Q95))))-'Council Entry'!Q$5)/('Council Entry'!Q$6-'Council Entry'!Q$5)),1))),"No data"))</f>
        <v/>
      </c>
      <c r="R95" s="13">
        <f>IF('Council Entry'!R95="","",IFERROR(MAX(0,MIN(10,ROUND(IF('Council Entry'!R$7="Decrease Risk",10-10*((IF('Council Entry'!R$4="Logarithm",LN(0.001+IF(AND(ISNUMBER('Council Entry'!R$8),ISNUMBER('Council Entry'!R$9)),MAX(MIN('Council Entry'!R95,'Council Entry'!R$9),'Council Entry'!R$8),'Council Entry'!R95)),IF('Council Entry'!R$4="Exponential",EXP(IF(AND(ISNUMBER('Council Entry'!R$8),ISNUMBER('Council Entry'!R$9)),MAX(MIN('Council Entry'!R95,'Council Entry'!R$9),'Council Entry'!R$8),'Council Entry'!R95)),IF(AND(ISNUMBER('Council Entry'!R$8),ISNUMBER('Council Entry'!R$9)),MAX(MIN('Council Entry'!R95,'Council Entry'!R$9),'Council Entry'!R$8),'Council Entry'!R95))))-'Council Entry'!R$5)/('Council Entry'!R$6-'Council Entry'!R$5),10*((IF('Council Entry'!R$4="Logarithm",LN(0.001+IF(AND(ISNUMBER('Council Entry'!R$8),ISNUMBER('Council Entry'!R$9)),MAX(MIN('Council Entry'!R95,'Council Entry'!R$9),'Council Entry'!R$8),'Council Entry'!R95)),IF('Council Entry'!R$4="Exponential",EXP(IF(AND(ISNUMBER('Council Entry'!R$8),ISNUMBER('Council Entry'!R$9)),MAX(MIN('Council Entry'!R95,'Council Entry'!R$9),'Council Entry'!R$8),'Council Entry'!R95)),IF(AND(ISNUMBER('Council Entry'!R$8),ISNUMBER('Council Entry'!R$9)),MAX(MIN('Council Entry'!R95,'Council Entry'!R$9),'Council Entry'!R$8),'Council Entry'!R95))))-'Council Entry'!R$5)/('Council Entry'!R$6-'Council Entry'!R$5)),1))),"No data"))</f>
        <v/>
      </c>
      <c r="S95" s="13">
        <f>IF('Council Entry'!S95="","",IFERROR(MAX(0,MIN(10,ROUND(IF('Council Entry'!S$7="Decrease Risk",10-10*((IF('Council Entry'!S$4="Logarithm",LN(0.001+IF(AND(ISNUMBER('Council Entry'!S$8),ISNUMBER('Council Entry'!S$9)),MAX(MIN('Council Entry'!S95,'Council Entry'!S$9),'Council Entry'!S$8),'Council Entry'!S95)),IF('Council Entry'!S$4="Exponential",EXP(IF(AND(ISNUMBER('Council Entry'!S$8),ISNUMBER('Council Entry'!S$9)),MAX(MIN('Council Entry'!S95,'Council Entry'!S$9),'Council Entry'!S$8),'Council Entry'!S95)),IF(AND(ISNUMBER('Council Entry'!S$8),ISNUMBER('Council Entry'!S$9)),MAX(MIN('Council Entry'!S95,'Council Entry'!S$9),'Council Entry'!S$8),'Council Entry'!S95))))-'Council Entry'!S$5)/('Council Entry'!S$6-'Council Entry'!S$5),10*((IF('Council Entry'!S$4="Logarithm",LN(0.001+IF(AND(ISNUMBER('Council Entry'!S$8),ISNUMBER('Council Entry'!S$9)),MAX(MIN('Council Entry'!S95,'Council Entry'!S$9),'Council Entry'!S$8),'Council Entry'!S95)),IF('Council Entry'!S$4="Exponential",EXP(IF(AND(ISNUMBER('Council Entry'!S$8),ISNUMBER('Council Entry'!S$9)),MAX(MIN('Council Entry'!S95,'Council Entry'!S$9),'Council Entry'!S$8),'Council Entry'!S95)),IF(AND(ISNUMBER('Council Entry'!S$8),ISNUMBER('Council Entry'!S$9)),MAX(MIN('Council Entry'!S95,'Council Entry'!S$9),'Council Entry'!S$8),'Council Entry'!S95))))-'Council Entry'!S$5)/('Council Entry'!S$6-'Council Entry'!S$5)),1))),"No data"))</f>
        <v/>
      </c>
      <c r="T95" s="13">
        <f>IF('Council Entry'!T95="","",IFERROR(MAX(0,MIN(10,ROUND(IF('Council Entry'!T$7="Decrease Risk",10-10*((IF('Council Entry'!T$4="Logarithm",LN(0.001+IF(AND(ISNUMBER('Council Entry'!T$8),ISNUMBER('Council Entry'!T$9)),MAX(MIN('Council Entry'!T95,'Council Entry'!T$9),'Council Entry'!T$8),'Council Entry'!T95)),IF('Council Entry'!T$4="Exponential",EXP(IF(AND(ISNUMBER('Council Entry'!T$8),ISNUMBER('Council Entry'!T$9)),MAX(MIN('Council Entry'!T95,'Council Entry'!T$9),'Council Entry'!T$8),'Council Entry'!T95)),IF(AND(ISNUMBER('Council Entry'!T$8),ISNUMBER('Council Entry'!T$9)),MAX(MIN('Council Entry'!T95,'Council Entry'!T$9),'Council Entry'!T$8),'Council Entry'!T95))))-'Council Entry'!T$5)/('Council Entry'!T$6-'Council Entry'!T$5),10*((IF('Council Entry'!T$4="Logarithm",LN(0.001+IF(AND(ISNUMBER('Council Entry'!T$8),ISNUMBER('Council Entry'!T$9)),MAX(MIN('Council Entry'!T95,'Council Entry'!T$9),'Council Entry'!T$8),'Council Entry'!T95)),IF('Council Entry'!T$4="Exponential",EXP(IF(AND(ISNUMBER('Council Entry'!T$8),ISNUMBER('Council Entry'!T$9)),MAX(MIN('Council Entry'!T95,'Council Entry'!T$9),'Council Entry'!T$8),'Council Entry'!T95)),IF(AND(ISNUMBER('Council Entry'!T$8),ISNUMBER('Council Entry'!T$9)),MAX(MIN('Council Entry'!T95,'Council Entry'!T$9),'Council Entry'!T$8),'Council Entry'!T95))))-'Council Entry'!T$5)/('Council Entry'!T$6-'Council Entry'!T$5)),1))),"No data"))</f>
        <v/>
      </c>
      <c r="U95" s="13">
        <f>IF('Council Entry'!U95="","",IFERROR(MAX(0,MIN(10,ROUND(IF('Council Entry'!U$7="Decrease Risk",10-10*((IF('Council Entry'!U$4="Logarithm",LN(0.001+IF(AND(ISNUMBER('Council Entry'!U$8),ISNUMBER('Council Entry'!U$9)),MAX(MIN('Council Entry'!U95,'Council Entry'!U$9),'Council Entry'!U$8),'Council Entry'!U95)),IF('Council Entry'!U$4="Exponential",EXP(IF(AND(ISNUMBER('Council Entry'!U$8),ISNUMBER('Council Entry'!U$9)),MAX(MIN('Council Entry'!U95,'Council Entry'!U$9),'Council Entry'!U$8),'Council Entry'!U95)),IF(AND(ISNUMBER('Council Entry'!U$8),ISNUMBER('Council Entry'!U$9)),MAX(MIN('Council Entry'!U95,'Council Entry'!U$9),'Council Entry'!U$8),'Council Entry'!U95))))-'Council Entry'!U$5)/('Council Entry'!U$6-'Council Entry'!U$5),10*((IF('Council Entry'!U$4="Logarithm",LN(0.001+IF(AND(ISNUMBER('Council Entry'!U$8),ISNUMBER('Council Entry'!U$9)),MAX(MIN('Council Entry'!U95,'Council Entry'!U$9),'Council Entry'!U$8),'Council Entry'!U95)),IF('Council Entry'!U$4="Exponential",EXP(IF(AND(ISNUMBER('Council Entry'!U$8),ISNUMBER('Council Entry'!U$9)),MAX(MIN('Council Entry'!U95,'Council Entry'!U$9),'Council Entry'!U$8),'Council Entry'!U95)),IF(AND(ISNUMBER('Council Entry'!U$8),ISNUMBER('Council Entry'!U$9)),MAX(MIN('Council Entry'!U95,'Council Entry'!U$9),'Council Entry'!U$8),'Council Entry'!U95))))-'Council Entry'!U$5)/('Council Entry'!U$6-'Council Entry'!U$5)),1))),"No data"))</f>
        <v/>
      </c>
      <c r="V95" s="13">
        <f>IF('Council Entry'!V95="","",IFERROR(MAX(0,MIN(10,ROUND(IF('Council Entry'!V$7="Decrease Risk",10-10*((IF('Council Entry'!V$4="Logarithm",LN(0.001+IF(AND(ISNUMBER('Council Entry'!V$8),ISNUMBER('Council Entry'!V$9)),MAX(MIN('Council Entry'!V95,'Council Entry'!V$9),'Council Entry'!V$8),'Council Entry'!V95)),IF('Council Entry'!V$4="Exponential",EXP(IF(AND(ISNUMBER('Council Entry'!V$8),ISNUMBER('Council Entry'!V$9)),MAX(MIN('Council Entry'!V95,'Council Entry'!V$9),'Council Entry'!V$8),'Council Entry'!V95)),IF(AND(ISNUMBER('Council Entry'!V$8),ISNUMBER('Council Entry'!V$9)),MAX(MIN('Council Entry'!V95,'Council Entry'!V$9),'Council Entry'!V$8),'Council Entry'!V95))))-'Council Entry'!V$5)/('Council Entry'!V$6-'Council Entry'!V$5),10*((IF('Council Entry'!V$4="Logarithm",LN(0.001+IF(AND(ISNUMBER('Council Entry'!V$8),ISNUMBER('Council Entry'!V$9)),MAX(MIN('Council Entry'!V95,'Council Entry'!V$9),'Council Entry'!V$8),'Council Entry'!V95)),IF('Council Entry'!V$4="Exponential",EXP(IF(AND(ISNUMBER('Council Entry'!V$8),ISNUMBER('Council Entry'!V$9)),MAX(MIN('Council Entry'!V95,'Council Entry'!V$9),'Council Entry'!V$8),'Council Entry'!V95)),IF(AND(ISNUMBER('Council Entry'!V$8),ISNUMBER('Council Entry'!V$9)),MAX(MIN('Council Entry'!V95,'Council Entry'!V$9),'Council Entry'!V$8),'Council Entry'!V95))))-'Council Entry'!V$5)/('Council Entry'!V$6-'Council Entry'!V$5)),1))),"No data"))</f>
        <v/>
      </c>
      <c r="W95" s="13">
        <f>IF('Council Entry'!W95="","",IFERROR(MAX(0,MIN(10,ROUND(IF('Council Entry'!W$7="Decrease Risk",10-10*((IF('Council Entry'!W$4="Logarithm",LN(0.001+IF(AND(ISNUMBER('Council Entry'!W$8),ISNUMBER('Council Entry'!W$9)),MAX(MIN('Council Entry'!W95,'Council Entry'!W$9),'Council Entry'!W$8),'Council Entry'!W95)),IF('Council Entry'!W$4="Exponential",EXP(IF(AND(ISNUMBER('Council Entry'!W$8),ISNUMBER('Council Entry'!W$9)),MAX(MIN('Council Entry'!W95,'Council Entry'!W$9),'Council Entry'!W$8),'Council Entry'!W95)),IF(AND(ISNUMBER('Council Entry'!W$8),ISNUMBER('Council Entry'!W$9)),MAX(MIN('Council Entry'!W95,'Council Entry'!W$9),'Council Entry'!W$8),'Council Entry'!W95))))-'Council Entry'!W$5)/('Council Entry'!W$6-'Council Entry'!W$5),10*((IF('Council Entry'!W$4="Logarithm",LN(0.001+IF(AND(ISNUMBER('Council Entry'!W$8),ISNUMBER('Council Entry'!W$9)),MAX(MIN('Council Entry'!W95,'Council Entry'!W$9),'Council Entry'!W$8),'Council Entry'!W95)),IF('Council Entry'!W$4="Exponential",EXP(IF(AND(ISNUMBER('Council Entry'!W$8),ISNUMBER('Council Entry'!W$9)),MAX(MIN('Council Entry'!W95,'Council Entry'!W$9),'Council Entry'!W$8),'Council Entry'!W95)),IF(AND(ISNUMBER('Council Entry'!W$8),ISNUMBER('Council Entry'!W$9)),MAX(MIN('Council Entry'!W95,'Council Entry'!W$9),'Council Entry'!W$8),'Council Entry'!W95))))-'Council Entry'!W$5)/('Council Entry'!W$6-'Council Entry'!W$5)),1))),"No data"))</f>
        <v/>
      </c>
      <c r="X95" s="13">
        <f>IF('Council Entry'!X95="","",IFERROR(MAX(0,MIN(10,ROUND(IF('Council Entry'!X$7="Decrease Risk",10-10*((IF('Council Entry'!X$4="Logarithm",LN(0.001+IF(AND(ISNUMBER('Council Entry'!X$8),ISNUMBER('Council Entry'!X$9)),MAX(MIN('Council Entry'!X95,'Council Entry'!X$9),'Council Entry'!X$8),'Council Entry'!X95)),IF('Council Entry'!X$4="Exponential",EXP(IF(AND(ISNUMBER('Council Entry'!X$8),ISNUMBER('Council Entry'!X$9)),MAX(MIN('Council Entry'!X95,'Council Entry'!X$9),'Council Entry'!X$8),'Council Entry'!X95)),IF(AND(ISNUMBER('Council Entry'!X$8),ISNUMBER('Council Entry'!X$9)),MAX(MIN('Council Entry'!X95,'Council Entry'!X$9),'Council Entry'!X$8),'Council Entry'!X95))))-'Council Entry'!X$5)/('Council Entry'!X$6-'Council Entry'!X$5),10*((IF('Council Entry'!X$4="Logarithm",LN(0.001+IF(AND(ISNUMBER('Council Entry'!X$8),ISNUMBER('Council Entry'!X$9)),MAX(MIN('Council Entry'!X95,'Council Entry'!X$9),'Council Entry'!X$8),'Council Entry'!X95)),IF('Council Entry'!X$4="Exponential",EXP(IF(AND(ISNUMBER('Council Entry'!X$8),ISNUMBER('Council Entry'!X$9)),MAX(MIN('Council Entry'!X95,'Council Entry'!X$9),'Council Entry'!X$8),'Council Entry'!X95)),IF(AND(ISNUMBER('Council Entry'!X$8),ISNUMBER('Council Entry'!X$9)),MAX(MIN('Council Entry'!X95,'Council Entry'!X$9),'Council Entry'!X$8),'Council Entry'!X95))))-'Council Entry'!X$5)/('Council Entry'!X$6-'Council Entry'!X$5)),1))),"No data"))</f>
        <v/>
      </c>
      <c r="Y95" s="13">
        <f>IF('Council Entry'!Y95="","",IFERROR(MAX(0,MIN(10,ROUND(IF('Council Entry'!Y$7="Decrease Risk",10-10*((IF('Council Entry'!Y$4="Logarithm",LN(0.001+IF(AND(ISNUMBER('Council Entry'!Y$8),ISNUMBER('Council Entry'!Y$9)),MAX(MIN('Council Entry'!Y95,'Council Entry'!Y$9),'Council Entry'!Y$8),'Council Entry'!Y95)),IF('Council Entry'!Y$4="Exponential",EXP(IF(AND(ISNUMBER('Council Entry'!Y$8),ISNUMBER('Council Entry'!Y$9)),MAX(MIN('Council Entry'!Y95,'Council Entry'!Y$9),'Council Entry'!Y$8),'Council Entry'!Y95)),IF(AND(ISNUMBER('Council Entry'!Y$8),ISNUMBER('Council Entry'!Y$9)),MAX(MIN('Council Entry'!Y95,'Council Entry'!Y$9),'Council Entry'!Y$8),'Council Entry'!Y95))))-'Council Entry'!Y$5)/('Council Entry'!Y$6-'Council Entry'!Y$5),10*((IF('Council Entry'!Y$4="Logarithm",LN(0.001+IF(AND(ISNUMBER('Council Entry'!Y$8),ISNUMBER('Council Entry'!Y$9)),MAX(MIN('Council Entry'!Y95,'Council Entry'!Y$9),'Council Entry'!Y$8),'Council Entry'!Y95)),IF('Council Entry'!Y$4="Exponential",EXP(IF(AND(ISNUMBER('Council Entry'!Y$8),ISNUMBER('Council Entry'!Y$9)),MAX(MIN('Council Entry'!Y95,'Council Entry'!Y$9),'Council Entry'!Y$8),'Council Entry'!Y95)),IF(AND(ISNUMBER('Council Entry'!Y$8),ISNUMBER('Council Entry'!Y$9)),MAX(MIN('Council Entry'!Y95,'Council Entry'!Y$9),'Council Entry'!Y$8),'Council Entry'!Y95))))-'Council Entry'!Y$5)/('Council Entry'!Y$6-'Council Entry'!Y$5)),1))),"No data"))</f>
        <v/>
      </c>
      <c r="Z95" s="13">
        <f>IF('Council Entry'!Z95="","",IFERROR(MAX(0,MIN(10,ROUND(IF('Council Entry'!Z$7="Decrease Risk",10-10*((IF('Council Entry'!Z$4="Logarithm",LN(0.001+IF(AND(ISNUMBER('Council Entry'!Z$8),ISNUMBER('Council Entry'!Z$9)),MAX(MIN('Council Entry'!Z95,'Council Entry'!Z$9),'Council Entry'!Z$8),'Council Entry'!Z95)),IF('Council Entry'!Z$4="Exponential",EXP(IF(AND(ISNUMBER('Council Entry'!Z$8),ISNUMBER('Council Entry'!Z$9)),MAX(MIN('Council Entry'!Z95,'Council Entry'!Z$9),'Council Entry'!Z$8),'Council Entry'!Z95)),IF(AND(ISNUMBER('Council Entry'!Z$8),ISNUMBER('Council Entry'!Z$9)),MAX(MIN('Council Entry'!Z95,'Council Entry'!Z$9),'Council Entry'!Z$8),'Council Entry'!Z95))))-'Council Entry'!Z$5)/('Council Entry'!Z$6-'Council Entry'!Z$5),10*((IF('Council Entry'!Z$4="Logarithm",LN(0.001+IF(AND(ISNUMBER('Council Entry'!Z$8),ISNUMBER('Council Entry'!Z$9)),MAX(MIN('Council Entry'!Z95,'Council Entry'!Z$9),'Council Entry'!Z$8),'Council Entry'!Z95)),IF('Council Entry'!Z$4="Exponential",EXP(IF(AND(ISNUMBER('Council Entry'!Z$8),ISNUMBER('Council Entry'!Z$9)),MAX(MIN('Council Entry'!Z95,'Council Entry'!Z$9),'Council Entry'!Z$8),'Council Entry'!Z95)),IF(AND(ISNUMBER('Council Entry'!Z$8),ISNUMBER('Council Entry'!Z$9)),MAX(MIN('Council Entry'!Z95,'Council Entry'!Z$9),'Council Entry'!Z$8),'Council Entry'!Z95))))-'Council Entry'!Z$5)/('Council Entry'!Z$6-'Council Entry'!Z$5)),1))),"No data"))</f>
        <v/>
      </c>
      <c r="AA95" s="13">
        <f>IF('Council Entry'!AA95="","",IFERROR(MAX(0,MIN(10,ROUND(IF('Council Entry'!AA$7="Decrease Risk",10-10*((IF('Council Entry'!AA$4="Logarithm",LN(0.001+IF(AND(ISNUMBER('Council Entry'!AA$8),ISNUMBER('Council Entry'!AA$9)),MAX(MIN('Council Entry'!AA95,'Council Entry'!AA$9),'Council Entry'!AA$8),'Council Entry'!AA95)),IF('Council Entry'!AA$4="Exponential",EXP(IF(AND(ISNUMBER('Council Entry'!AA$8),ISNUMBER('Council Entry'!AA$9)),MAX(MIN('Council Entry'!AA95,'Council Entry'!AA$9),'Council Entry'!AA$8),'Council Entry'!AA95)),IF(AND(ISNUMBER('Council Entry'!AA$8),ISNUMBER('Council Entry'!AA$9)),MAX(MIN('Council Entry'!AA95,'Council Entry'!AA$9),'Council Entry'!AA$8),'Council Entry'!AA95))))-'Council Entry'!AA$5)/('Council Entry'!AA$6-'Council Entry'!AA$5),10*((IF('Council Entry'!AA$4="Logarithm",LN(0.001+IF(AND(ISNUMBER('Council Entry'!AA$8),ISNUMBER('Council Entry'!AA$9)),MAX(MIN('Council Entry'!AA95,'Council Entry'!AA$9),'Council Entry'!AA$8),'Council Entry'!AA95)),IF('Council Entry'!AA$4="Exponential",EXP(IF(AND(ISNUMBER('Council Entry'!AA$8),ISNUMBER('Council Entry'!AA$9)),MAX(MIN('Council Entry'!AA95,'Council Entry'!AA$9),'Council Entry'!AA$8),'Council Entry'!AA95)),IF(AND(ISNUMBER('Council Entry'!AA$8),ISNUMBER('Council Entry'!AA$9)),MAX(MIN('Council Entry'!AA95,'Council Entry'!AA$9),'Council Entry'!AA$8),'Council Entry'!AA95))))-'Council Entry'!AA$5)/('Council Entry'!AA$6-'Council Entry'!AA$5)),1))),"No data"))</f>
        <v/>
      </c>
      <c r="AB95" s="13">
        <f>IF('Council Entry'!AB95="","",IFERROR(MAX(0,MIN(10,ROUND(IF('Council Entry'!AB$7="Decrease Risk",10-10*((IF('Council Entry'!AB$4="Logarithm",LN(0.001+IF(AND(ISNUMBER('Council Entry'!AB$8),ISNUMBER('Council Entry'!AB$9)),MAX(MIN('Council Entry'!AB95,'Council Entry'!AB$9),'Council Entry'!AB$8),'Council Entry'!AB95)),IF('Council Entry'!AB$4="Exponential",EXP(IF(AND(ISNUMBER('Council Entry'!AB$8),ISNUMBER('Council Entry'!AB$9)),MAX(MIN('Council Entry'!AB95,'Council Entry'!AB$9),'Council Entry'!AB$8),'Council Entry'!AB95)),IF(AND(ISNUMBER('Council Entry'!AB$8),ISNUMBER('Council Entry'!AB$9)),MAX(MIN('Council Entry'!AB95,'Council Entry'!AB$9),'Council Entry'!AB$8),'Council Entry'!AB95))))-'Council Entry'!AB$5)/('Council Entry'!AB$6-'Council Entry'!AB$5),10*((IF('Council Entry'!AB$4="Logarithm",LN(0.001+IF(AND(ISNUMBER('Council Entry'!AB$8),ISNUMBER('Council Entry'!AB$9)),MAX(MIN('Council Entry'!AB95,'Council Entry'!AB$9),'Council Entry'!AB$8),'Council Entry'!AB95)),IF('Council Entry'!AB$4="Exponential",EXP(IF(AND(ISNUMBER('Council Entry'!AB$8),ISNUMBER('Council Entry'!AB$9)),MAX(MIN('Council Entry'!AB95,'Council Entry'!AB$9),'Council Entry'!AB$8),'Council Entry'!AB95)),IF(AND(ISNUMBER('Council Entry'!AB$8),ISNUMBER('Council Entry'!AB$9)),MAX(MIN('Council Entry'!AB95,'Council Entry'!AB$9),'Council Entry'!AB$8),'Council Entry'!AB95))))-'Council Entry'!AB$5)/('Council Entry'!AB$6-'Council Entry'!AB$5)),1))),"No data"))</f>
        <v/>
      </c>
      <c r="AC95" s="13">
        <f>IF('Council Entry'!AC95="","",IFERROR(MAX(0,MIN(10,ROUND(IF('Council Entry'!AC$7="Decrease Risk",10-10*((IF('Council Entry'!AC$4="Logarithm",LN(0.001+IF(AND(ISNUMBER('Council Entry'!AC$8),ISNUMBER('Council Entry'!AC$9)),MAX(MIN('Council Entry'!AC95,'Council Entry'!AC$9),'Council Entry'!AC$8),'Council Entry'!AC95)),IF('Council Entry'!AC$4="Exponential",EXP(IF(AND(ISNUMBER('Council Entry'!AC$8),ISNUMBER('Council Entry'!AC$9)),MAX(MIN('Council Entry'!AC95,'Council Entry'!AC$9),'Council Entry'!AC$8),'Council Entry'!AC95)),IF(AND(ISNUMBER('Council Entry'!AC$8),ISNUMBER('Council Entry'!AC$9)),MAX(MIN('Council Entry'!AC95,'Council Entry'!AC$9),'Council Entry'!AC$8),'Council Entry'!AC95))))-'Council Entry'!AC$5)/('Council Entry'!AC$6-'Council Entry'!AC$5),10*((IF('Council Entry'!AC$4="Logarithm",LN(0.001+IF(AND(ISNUMBER('Council Entry'!AC$8),ISNUMBER('Council Entry'!AC$9)),MAX(MIN('Council Entry'!AC95,'Council Entry'!AC$9),'Council Entry'!AC$8),'Council Entry'!AC95)),IF('Council Entry'!AC$4="Exponential",EXP(IF(AND(ISNUMBER('Council Entry'!AC$8),ISNUMBER('Council Entry'!AC$9)),MAX(MIN('Council Entry'!AC95,'Council Entry'!AC$9),'Council Entry'!AC$8),'Council Entry'!AC95)),IF(AND(ISNUMBER('Council Entry'!AC$8),ISNUMBER('Council Entry'!AC$9)),MAX(MIN('Council Entry'!AC95,'Council Entry'!AC$9),'Council Entry'!AC$8),'Council Entry'!AC95))))-'Council Entry'!AC$5)/('Council Entry'!AC$6-'Council Entry'!AC$5)),1))),"No data"))</f>
        <v/>
      </c>
      <c r="AD95" s="13">
        <f>IF('Council Entry'!AD95="","",IFERROR(MAX(0,MIN(10,ROUND(IF('Council Entry'!AD$7="Decrease Risk",10-10*((IF('Council Entry'!AD$4="Logarithm",LN(0.001+IF(AND(ISNUMBER('Council Entry'!AD$8),ISNUMBER('Council Entry'!AD$9)),MAX(MIN('Council Entry'!AD95,'Council Entry'!AD$9),'Council Entry'!AD$8),'Council Entry'!AD95)),IF('Council Entry'!AD$4="Exponential",EXP(IF(AND(ISNUMBER('Council Entry'!AD$8),ISNUMBER('Council Entry'!AD$9)),MAX(MIN('Council Entry'!AD95,'Council Entry'!AD$9),'Council Entry'!AD$8),'Council Entry'!AD95)),IF(AND(ISNUMBER('Council Entry'!AD$8),ISNUMBER('Council Entry'!AD$9)),MAX(MIN('Council Entry'!AD95,'Council Entry'!AD$9),'Council Entry'!AD$8),'Council Entry'!AD95))))-'Council Entry'!AD$5)/('Council Entry'!AD$6-'Council Entry'!AD$5),10*((IF('Council Entry'!AD$4="Logarithm",LN(0.001+IF(AND(ISNUMBER('Council Entry'!AD$8),ISNUMBER('Council Entry'!AD$9)),MAX(MIN('Council Entry'!AD95,'Council Entry'!AD$9),'Council Entry'!AD$8),'Council Entry'!AD95)),IF('Council Entry'!AD$4="Exponential",EXP(IF(AND(ISNUMBER('Council Entry'!AD$8),ISNUMBER('Council Entry'!AD$9)),MAX(MIN('Council Entry'!AD95,'Council Entry'!AD$9),'Council Entry'!AD$8),'Council Entry'!AD95)),IF(AND(ISNUMBER('Council Entry'!AD$8),ISNUMBER('Council Entry'!AD$9)),MAX(MIN('Council Entry'!AD95,'Council Entry'!AD$9),'Council Entry'!AD$8),'Council Entry'!AD95))))-'Council Entry'!AD$5)/('Council Entry'!AD$6-'Council Entry'!AD$5)),1))),"No data"))</f>
        <v/>
      </c>
      <c r="AE95" s="13">
        <f>IF('Council Entry'!AE95="","",IFERROR(MAX(0,MIN(10,ROUND(IF('Council Entry'!AE$7="Decrease Risk",10-10*((IF('Council Entry'!AE$4="Logarithm",LN(0.001+IF(AND(ISNUMBER('Council Entry'!AE$8),ISNUMBER('Council Entry'!AE$9)),MAX(MIN('Council Entry'!AE95,'Council Entry'!AE$9),'Council Entry'!AE$8),'Council Entry'!AE95)),IF('Council Entry'!AE$4="Exponential",EXP(IF(AND(ISNUMBER('Council Entry'!AE$8),ISNUMBER('Council Entry'!AE$9)),MAX(MIN('Council Entry'!AE95,'Council Entry'!AE$9),'Council Entry'!AE$8),'Council Entry'!AE95)),IF(AND(ISNUMBER('Council Entry'!AE$8),ISNUMBER('Council Entry'!AE$9)),MAX(MIN('Council Entry'!AE95,'Council Entry'!AE$9),'Council Entry'!AE$8),'Council Entry'!AE95))))-'Council Entry'!AE$5)/('Council Entry'!AE$6-'Council Entry'!AE$5),10*((IF('Council Entry'!AE$4="Logarithm",LN(0.001+IF(AND(ISNUMBER('Council Entry'!AE$8),ISNUMBER('Council Entry'!AE$9)),MAX(MIN('Council Entry'!AE95,'Council Entry'!AE$9),'Council Entry'!AE$8),'Council Entry'!AE95)),IF('Council Entry'!AE$4="Exponential",EXP(IF(AND(ISNUMBER('Council Entry'!AE$8),ISNUMBER('Council Entry'!AE$9)),MAX(MIN('Council Entry'!AE95,'Council Entry'!AE$9),'Council Entry'!AE$8),'Council Entry'!AE95)),IF(AND(ISNUMBER('Council Entry'!AE$8),ISNUMBER('Council Entry'!AE$9)),MAX(MIN('Council Entry'!AE95,'Council Entry'!AE$9),'Council Entry'!AE$8),'Council Entry'!AE95))))-'Council Entry'!AE$5)/('Council Entry'!AE$6-'Council Entry'!AE$5)),1))),"No data"))</f>
        <v/>
      </c>
      <c r="AF95" s="13">
        <f>IF('Council Entry'!AF95="","",IFERROR(MAX(0,MIN(10,ROUND(IF('Council Entry'!AF$7="Decrease Risk",10-10*((IF('Council Entry'!AF$4="Logarithm",LN(0.001+IF(AND(ISNUMBER('Council Entry'!AF$8),ISNUMBER('Council Entry'!AF$9)),MAX(MIN('Council Entry'!AF95,'Council Entry'!AF$9),'Council Entry'!AF$8),'Council Entry'!AF95)),IF('Council Entry'!AF$4="Exponential",EXP(IF(AND(ISNUMBER('Council Entry'!AF$8),ISNUMBER('Council Entry'!AF$9)),MAX(MIN('Council Entry'!AF95,'Council Entry'!AF$9),'Council Entry'!AF$8),'Council Entry'!AF95)),IF(AND(ISNUMBER('Council Entry'!AF$8),ISNUMBER('Council Entry'!AF$9)),MAX(MIN('Council Entry'!AF95,'Council Entry'!AF$9),'Council Entry'!AF$8),'Council Entry'!AF95))))-'Council Entry'!AF$5)/('Council Entry'!AF$6-'Council Entry'!AF$5),10*((IF('Council Entry'!AF$4="Logarithm",LN(0.001+IF(AND(ISNUMBER('Council Entry'!AF$8),ISNUMBER('Council Entry'!AF$9)),MAX(MIN('Council Entry'!AF95,'Council Entry'!AF$9),'Council Entry'!AF$8),'Council Entry'!AF95)),IF('Council Entry'!AF$4="Exponential",EXP(IF(AND(ISNUMBER('Council Entry'!AF$8),ISNUMBER('Council Entry'!AF$9)),MAX(MIN('Council Entry'!AF95,'Council Entry'!AF$9),'Council Entry'!AF$8),'Council Entry'!AF95)),IF(AND(ISNUMBER('Council Entry'!AF$8),ISNUMBER('Council Entry'!AF$9)),MAX(MIN('Council Entry'!AF95,'Council Entry'!AF$9),'Council Entry'!AF$8),'Council Entry'!AF95))))-'Council Entry'!AF$5)/('Council Entry'!AF$6-'Council Entry'!AF$5)),1))),"No data"))</f>
        <v/>
      </c>
      <c r="AG95" s="13">
        <f>IF('Council Entry'!AG95="","",IFERROR(MAX(0,MIN(10,ROUND(IF('Council Entry'!AG$7="Decrease Risk",10-10*((IF('Council Entry'!AG$4="Logarithm",LN(0.001+IF(AND(ISNUMBER('Council Entry'!AG$8),ISNUMBER('Council Entry'!AG$9)),MAX(MIN('Council Entry'!AG95,'Council Entry'!AG$9),'Council Entry'!AG$8),'Council Entry'!AG95)),IF('Council Entry'!AG$4="Exponential",EXP(IF(AND(ISNUMBER('Council Entry'!AG$8),ISNUMBER('Council Entry'!AG$9)),MAX(MIN('Council Entry'!AG95,'Council Entry'!AG$9),'Council Entry'!AG$8),'Council Entry'!AG95)),IF(AND(ISNUMBER('Council Entry'!AG$8),ISNUMBER('Council Entry'!AG$9)),MAX(MIN('Council Entry'!AG95,'Council Entry'!AG$9),'Council Entry'!AG$8),'Council Entry'!AG95))))-'Council Entry'!AG$5)/('Council Entry'!AG$6-'Council Entry'!AG$5),10*((IF('Council Entry'!AG$4="Logarithm",LN(0.001+IF(AND(ISNUMBER('Council Entry'!AG$8),ISNUMBER('Council Entry'!AG$9)),MAX(MIN('Council Entry'!AG95,'Council Entry'!AG$9),'Council Entry'!AG$8),'Council Entry'!AG95)),IF('Council Entry'!AG$4="Exponential",EXP(IF(AND(ISNUMBER('Council Entry'!AG$8),ISNUMBER('Council Entry'!AG$9)),MAX(MIN('Council Entry'!AG95,'Council Entry'!AG$9),'Council Entry'!AG$8),'Council Entry'!AG95)),IF(AND(ISNUMBER('Council Entry'!AG$8),ISNUMBER('Council Entry'!AG$9)),MAX(MIN('Council Entry'!AG95,'Council Entry'!AG$9),'Council Entry'!AG$8),'Council Entry'!AG95))))-'Council Entry'!AG$5)/('Council Entry'!AG$6-'Council Entry'!AG$5)),1))),"No data"))</f>
        <v/>
      </c>
      <c r="AH95" s="13">
        <f>IF('Council Entry'!AH95="","",IFERROR(MAX(0,MIN(10,ROUND(IF('Council Entry'!AH$7="Decrease Risk",10-10*((IF('Council Entry'!AH$4="Logarithm",LN(0.001+IF(AND(ISNUMBER('Council Entry'!AH$8),ISNUMBER('Council Entry'!AH$9)),MAX(MIN('Council Entry'!AH95,'Council Entry'!AH$9),'Council Entry'!AH$8),'Council Entry'!AH95)),IF('Council Entry'!AH$4="Exponential",EXP(IF(AND(ISNUMBER('Council Entry'!AH$8),ISNUMBER('Council Entry'!AH$9)),MAX(MIN('Council Entry'!AH95,'Council Entry'!AH$9),'Council Entry'!AH$8),'Council Entry'!AH95)),IF(AND(ISNUMBER('Council Entry'!AH$8),ISNUMBER('Council Entry'!AH$9)),MAX(MIN('Council Entry'!AH95,'Council Entry'!AH$9),'Council Entry'!AH$8),'Council Entry'!AH95))))-'Council Entry'!AH$5)/('Council Entry'!AH$6-'Council Entry'!AH$5),10*((IF('Council Entry'!AH$4="Logarithm",LN(0.001+IF(AND(ISNUMBER('Council Entry'!AH$8),ISNUMBER('Council Entry'!AH$9)),MAX(MIN('Council Entry'!AH95,'Council Entry'!AH$9),'Council Entry'!AH$8),'Council Entry'!AH95)),IF('Council Entry'!AH$4="Exponential",EXP(IF(AND(ISNUMBER('Council Entry'!AH$8),ISNUMBER('Council Entry'!AH$9)),MAX(MIN('Council Entry'!AH95,'Council Entry'!AH$9),'Council Entry'!AH$8),'Council Entry'!AH95)),IF(AND(ISNUMBER('Council Entry'!AH$8),ISNUMBER('Council Entry'!AH$9)),MAX(MIN('Council Entry'!AH95,'Council Entry'!AH$9),'Council Entry'!AH$8),'Council Entry'!AH95))))-'Council Entry'!AH$5)/('Council Entry'!AH$6-'Council Entry'!AH$5)),1))),"No data"))</f>
        <v/>
      </c>
      <c r="AI95" s="13">
        <f>IF('Council Entry'!AI95="","",IFERROR(MAX(0,MIN(10,ROUND(IF('Council Entry'!AI$7="Decrease Risk",10-10*((IF('Council Entry'!AI$4="Logarithm",LN(0.001+IF(AND(ISNUMBER('Council Entry'!AI$8),ISNUMBER('Council Entry'!AI$9)),MAX(MIN('Council Entry'!AI95,'Council Entry'!AI$9),'Council Entry'!AI$8),'Council Entry'!AI95)),IF('Council Entry'!AI$4="Exponential",EXP(IF(AND(ISNUMBER('Council Entry'!AI$8),ISNUMBER('Council Entry'!AI$9)),MAX(MIN('Council Entry'!AI95,'Council Entry'!AI$9),'Council Entry'!AI$8),'Council Entry'!AI95)),IF(AND(ISNUMBER('Council Entry'!AI$8),ISNUMBER('Council Entry'!AI$9)),MAX(MIN('Council Entry'!AI95,'Council Entry'!AI$9),'Council Entry'!AI$8),'Council Entry'!AI95))))-'Council Entry'!AI$5)/('Council Entry'!AI$6-'Council Entry'!AI$5),10*((IF('Council Entry'!AI$4="Logarithm",LN(0.001+IF(AND(ISNUMBER('Council Entry'!AI$8),ISNUMBER('Council Entry'!AI$9)),MAX(MIN('Council Entry'!AI95,'Council Entry'!AI$9),'Council Entry'!AI$8),'Council Entry'!AI95)),IF('Council Entry'!AI$4="Exponential",EXP(IF(AND(ISNUMBER('Council Entry'!AI$8),ISNUMBER('Council Entry'!AI$9)),MAX(MIN('Council Entry'!AI95,'Council Entry'!AI$9),'Council Entry'!AI$8),'Council Entry'!AI95)),IF(AND(ISNUMBER('Council Entry'!AI$8),ISNUMBER('Council Entry'!AI$9)),MAX(MIN('Council Entry'!AI95,'Council Entry'!AI$9),'Council Entry'!AI$8),'Council Entry'!AI95))))-'Council Entry'!AI$5)/('Council Entry'!AI$6-'Council Entry'!AI$5)),1))),"No data"))</f>
        <v/>
      </c>
      <c r="AJ95" s="13">
        <f>IF('Council Entry'!AJ95="","",IFERROR(MAX(0,MIN(10,ROUND(IF('Council Entry'!AJ$7="Decrease Risk",10-10*((IF('Council Entry'!AJ$4="Logarithm",LN(0.001+IF(AND(ISNUMBER('Council Entry'!AJ$8),ISNUMBER('Council Entry'!AJ$9)),MAX(MIN('Council Entry'!AJ95,'Council Entry'!AJ$9),'Council Entry'!AJ$8),'Council Entry'!AJ95)),IF('Council Entry'!AJ$4="Exponential",EXP(IF(AND(ISNUMBER('Council Entry'!AJ$8),ISNUMBER('Council Entry'!AJ$9)),MAX(MIN('Council Entry'!AJ95,'Council Entry'!AJ$9),'Council Entry'!AJ$8),'Council Entry'!AJ95)),IF(AND(ISNUMBER('Council Entry'!AJ$8),ISNUMBER('Council Entry'!AJ$9)),MAX(MIN('Council Entry'!AJ95,'Council Entry'!AJ$9),'Council Entry'!AJ$8),'Council Entry'!AJ95))))-'Council Entry'!AJ$5)/('Council Entry'!AJ$6-'Council Entry'!AJ$5),10*((IF('Council Entry'!AJ$4="Logarithm",LN(0.001+IF(AND(ISNUMBER('Council Entry'!AJ$8),ISNUMBER('Council Entry'!AJ$9)),MAX(MIN('Council Entry'!AJ95,'Council Entry'!AJ$9),'Council Entry'!AJ$8),'Council Entry'!AJ95)),IF('Council Entry'!AJ$4="Exponential",EXP(IF(AND(ISNUMBER('Council Entry'!AJ$8),ISNUMBER('Council Entry'!AJ$9)),MAX(MIN('Council Entry'!AJ95,'Council Entry'!AJ$9),'Council Entry'!AJ$8),'Council Entry'!AJ95)),IF(AND(ISNUMBER('Council Entry'!AJ$8),ISNUMBER('Council Entry'!AJ$9)),MAX(MIN('Council Entry'!AJ95,'Council Entry'!AJ$9),'Council Entry'!AJ$8),'Council Entry'!AJ95))))-'Council Entry'!AJ$5)/('Council Entry'!AJ$6-'Council Entry'!AJ$5)),1))),"No data"))</f>
        <v/>
      </c>
      <c r="AK95" s="13">
        <f>IF('Council Entry'!AK95="","",IFERROR(MAX(0,MIN(10,ROUND(IF('Council Entry'!AK$7="Decrease Risk",10-10*((IF('Council Entry'!AK$4="Logarithm",LN(0.001+IF(AND(ISNUMBER('Council Entry'!AK$8),ISNUMBER('Council Entry'!AK$9)),MAX(MIN('Council Entry'!AK95,'Council Entry'!AK$9),'Council Entry'!AK$8),'Council Entry'!AK95)),IF('Council Entry'!AK$4="Exponential",EXP(IF(AND(ISNUMBER('Council Entry'!AK$8),ISNUMBER('Council Entry'!AK$9)),MAX(MIN('Council Entry'!AK95,'Council Entry'!AK$9),'Council Entry'!AK$8),'Council Entry'!AK95)),IF(AND(ISNUMBER('Council Entry'!AK$8),ISNUMBER('Council Entry'!AK$9)),MAX(MIN('Council Entry'!AK95,'Council Entry'!AK$9),'Council Entry'!AK$8),'Council Entry'!AK95))))-'Council Entry'!AK$5)/('Council Entry'!AK$6-'Council Entry'!AK$5),10*((IF('Council Entry'!AK$4="Logarithm",LN(0.001+IF(AND(ISNUMBER('Council Entry'!AK$8),ISNUMBER('Council Entry'!AK$9)),MAX(MIN('Council Entry'!AK95,'Council Entry'!AK$9),'Council Entry'!AK$8),'Council Entry'!AK95)),IF('Council Entry'!AK$4="Exponential",EXP(IF(AND(ISNUMBER('Council Entry'!AK$8),ISNUMBER('Council Entry'!AK$9)),MAX(MIN('Council Entry'!AK95,'Council Entry'!AK$9),'Council Entry'!AK$8),'Council Entry'!AK95)),IF(AND(ISNUMBER('Council Entry'!AK$8),ISNUMBER('Council Entry'!AK$9)),MAX(MIN('Council Entry'!AK95,'Council Entry'!AK$9),'Council Entry'!AK$8),'Council Entry'!AK95))))-'Council Entry'!AK$5)/('Council Entry'!AK$6-'Council Entry'!AK$5)),1))),"No data"))</f>
        <v/>
      </c>
      <c r="AL95" s="13">
        <f>IF('Council Entry'!AL95="","",IFERROR(MAX(0,MIN(10,ROUND(IF('Council Entry'!AL$7="Decrease Risk",10-10*((IF('Council Entry'!AL$4="Logarithm",LN(0.001+IF(AND(ISNUMBER('Council Entry'!AL$8),ISNUMBER('Council Entry'!AL$9)),MAX(MIN('Council Entry'!AL95,'Council Entry'!AL$9),'Council Entry'!AL$8),'Council Entry'!AL95)),IF('Council Entry'!AL$4="Exponential",EXP(IF(AND(ISNUMBER('Council Entry'!AL$8),ISNUMBER('Council Entry'!AL$9)),MAX(MIN('Council Entry'!AL95,'Council Entry'!AL$9),'Council Entry'!AL$8),'Council Entry'!AL95)),IF(AND(ISNUMBER('Council Entry'!AL$8),ISNUMBER('Council Entry'!AL$9)),MAX(MIN('Council Entry'!AL95,'Council Entry'!AL$9),'Council Entry'!AL$8),'Council Entry'!AL95))))-'Council Entry'!AL$5)/('Council Entry'!AL$6-'Council Entry'!AL$5),10*((IF('Council Entry'!AL$4="Logarithm",LN(0.001+IF(AND(ISNUMBER('Council Entry'!AL$8),ISNUMBER('Council Entry'!AL$9)),MAX(MIN('Council Entry'!AL95,'Council Entry'!AL$9),'Council Entry'!AL$8),'Council Entry'!AL95)),IF('Council Entry'!AL$4="Exponential",EXP(IF(AND(ISNUMBER('Council Entry'!AL$8),ISNUMBER('Council Entry'!AL$9)),MAX(MIN('Council Entry'!AL95,'Council Entry'!AL$9),'Council Entry'!AL$8),'Council Entry'!AL95)),IF(AND(ISNUMBER('Council Entry'!AL$8),ISNUMBER('Council Entry'!AL$9)),MAX(MIN('Council Entry'!AL95,'Council Entry'!AL$9),'Council Entry'!AL$8),'Council Entry'!AL95))))-'Council Entry'!AL$5)/('Council Entry'!AL$6-'Council Entry'!AL$5)),1))),"No data"))</f>
        <v/>
      </c>
      <c r="AM95" s="13">
        <f>IF('Council Entry'!AM95="","",IFERROR(MAX(0,MIN(10,ROUND(IF('Council Entry'!AM$7="Decrease Risk",10-10*((IF('Council Entry'!AM$4="Logarithm",LN(0.001+IF(AND(ISNUMBER('Council Entry'!AM$8),ISNUMBER('Council Entry'!AM$9)),MAX(MIN('Council Entry'!AM95,'Council Entry'!AM$9),'Council Entry'!AM$8),'Council Entry'!AM95)),IF('Council Entry'!AM$4="Exponential",EXP(IF(AND(ISNUMBER('Council Entry'!AM$8),ISNUMBER('Council Entry'!AM$9)),MAX(MIN('Council Entry'!AM95,'Council Entry'!AM$9),'Council Entry'!AM$8),'Council Entry'!AM95)),IF(AND(ISNUMBER('Council Entry'!AM$8),ISNUMBER('Council Entry'!AM$9)),MAX(MIN('Council Entry'!AM95,'Council Entry'!AM$9),'Council Entry'!AM$8),'Council Entry'!AM95))))-'Council Entry'!AM$5)/('Council Entry'!AM$6-'Council Entry'!AM$5),10*((IF('Council Entry'!AM$4="Logarithm",LN(0.001+IF(AND(ISNUMBER('Council Entry'!AM$8),ISNUMBER('Council Entry'!AM$9)),MAX(MIN('Council Entry'!AM95,'Council Entry'!AM$9),'Council Entry'!AM$8),'Council Entry'!AM95)),IF('Council Entry'!AM$4="Exponential",EXP(IF(AND(ISNUMBER('Council Entry'!AM$8),ISNUMBER('Council Entry'!AM$9)),MAX(MIN('Council Entry'!AM95,'Council Entry'!AM$9),'Council Entry'!AM$8),'Council Entry'!AM95)),IF(AND(ISNUMBER('Council Entry'!AM$8),ISNUMBER('Council Entry'!AM$9)),MAX(MIN('Council Entry'!AM95,'Council Entry'!AM$9),'Council Entry'!AM$8),'Council Entry'!AM95))))-'Council Entry'!AM$5)/('Council Entry'!AM$6-'Council Entry'!AM$5)),1))),"No data"))</f>
        <v/>
      </c>
      <c r="AN95" s="13">
        <f>IF('Council Entry'!AN95="","",IFERROR(MAX(0,MIN(10,ROUND(IF('Council Entry'!AN$7="Decrease Risk",10-10*((IF('Council Entry'!AN$4="Logarithm",LN(0.001+IF(AND(ISNUMBER('Council Entry'!AN$8),ISNUMBER('Council Entry'!AN$9)),MAX(MIN('Council Entry'!AN95,'Council Entry'!AN$9),'Council Entry'!AN$8),'Council Entry'!AN95)),IF('Council Entry'!AN$4="Exponential",EXP(IF(AND(ISNUMBER('Council Entry'!AN$8),ISNUMBER('Council Entry'!AN$9)),MAX(MIN('Council Entry'!AN95,'Council Entry'!AN$9),'Council Entry'!AN$8),'Council Entry'!AN95)),IF(AND(ISNUMBER('Council Entry'!AN$8),ISNUMBER('Council Entry'!AN$9)),MAX(MIN('Council Entry'!AN95,'Council Entry'!AN$9),'Council Entry'!AN$8),'Council Entry'!AN95))))-'Council Entry'!AN$5)/('Council Entry'!AN$6-'Council Entry'!AN$5),10*((IF('Council Entry'!AN$4="Logarithm",LN(0.001+IF(AND(ISNUMBER('Council Entry'!AN$8),ISNUMBER('Council Entry'!AN$9)),MAX(MIN('Council Entry'!AN95,'Council Entry'!AN$9),'Council Entry'!AN$8),'Council Entry'!AN95)),IF('Council Entry'!AN$4="Exponential",EXP(IF(AND(ISNUMBER('Council Entry'!AN$8),ISNUMBER('Council Entry'!AN$9)),MAX(MIN('Council Entry'!AN95,'Council Entry'!AN$9),'Council Entry'!AN$8),'Council Entry'!AN95)),IF(AND(ISNUMBER('Council Entry'!AN$8),ISNUMBER('Council Entry'!AN$9)),MAX(MIN('Council Entry'!AN95,'Council Entry'!AN$9),'Council Entry'!AN$8),'Council Entry'!AN95))))-'Council Entry'!AN$5)/('Council Entry'!AN$6-'Council Entry'!AN$5)),1))),"No data"))</f>
        <v/>
      </c>
      <c r="AO95" s="13">
        <f>IF('Council Entry'!AO95="","",IFERROR(MAX(0,MIN(10,ROUND(IF('Council Entry'!AO$7="Decrease Risk",10-10*((IF('Council Entry'!AO$4="Logarithm",LN(0.001+IF(AND(ISNUMBER('Council Entry'!AO$8),ISNUMBER('Council Entry'!AO$9)),MAX(MIN('Council Entry'!AO95,'Council Entry'!AO$9),'Council Entry'!AO$8),'Council Entry'!AO95)),IF('Council Entry'!AO$4="Exponential",EXP(IF(AND(ISNUMBER('Council Entry'!AO$8),ISNUMBER('Council Entry'!AO$9)),MAX(MIN('Council Entry'!AO95,'Council Entry'!AO$9),'Council Entry'!AO$8),'Council Entry'!AO95)),IF(AND(ISNUMBER('Council Entry'!AO$8),ISNUMBER('Council Entry'!AO$9)),MAX(MIN('Council Entry'!AO95,'Council Entry'!AO$9),'Council Entry'!AO$8),'Council Entry'!AO95))))-'Council Entry'!AO$5)/('Council Entry'!AO$6-'Council Entry'!AO$5),10*((IF('Council Entry'!AO$4="Logarithm",LN(0.001+IF(AND(ISNUMBER('Council Entry'!AO$8),ISNUMBER('Council Entry'!AO$9)),MAX(MIN('Council Entry'!AO95,'Council Entry'!AO$9),'Council Entry'!AO$8),'Council Entry'!AO95)),IF('Council Entry'!AO$4="Exponential",EXP(IF(AND(ISNUMBER('Council Entry'!AO$8),ISNUMBER('Council Entry'!AO$9)),MAX(MIN('Council Entry'!AO95,'Council Entry'!AO$9),'Council Entry'!AO$8),'Council Entry'!AO95)),IF(AND(ISNUMBER('Council Entry'!AO$8),ISNUMBER('Council Entry'!AO$9)),MAX(MIN('Council Entry'!AO95,'Council Entry'!AO$9),'Council Entry'!AO$8),'Council Entry'!AO95))))-'Council Entry'!AO$5)/('Council Entry'!AO$6-'Council Entry'!AO$5)),1))),"No data"))</f>
        <v/>
      </c>
      <c r="AP95" s="13">
        <f>IF('Council Entry'!AP95="","",IFERROR(MAX(0,MIN(10,ROUND(IF('Council Entry'!AP$7="Decrease Risk",10-10*((IF('Council Entry'!AP$4="Logarithm",LN(0.001+IF(AND(ISNUMBER('Council Entry'!AP$8),ISNUMBER('Council Entry'!AP$9)),MAX(MIN('Council Entry'!AP95,'Council Entry'!AP$9),'Council Entry'!AP$8),'Council Entry'!AP95)),IF('Council Entry'!AP$4="Exponential",EXP(IF(AND(ISNUMBER('Council Entry'!AP$8),ISNUMBER('Council Entry'!AP$9)),MAX(MIN('Council Entry'!AP95,'Council Entry'!AP$9),'Council Entry'!AP$8),'Council Entry'!AP95)),IF(AND(ISNUMBER('Council Entry'!AP$8),ISNUMBER('Council Entry'!AP$9)),MAX(MIN('Council Entry'!AP95,'Council Entry'!AP$9),'Council Entry'!AP$8),'Council Entry'!AP95))))-'Council Entry'!AP$5)/('Council Entry'!AP$6-'Council Entry'!AP$5),10*((IF('Council Entry'!AP$4="Logarithm",LN(0.001+IF(AND(ISNUMBER('Council Entry'!AP$8),ISNUMBER('Council Entry'!AP$9)),MAX(MIN('Council Entry'!AP95,'Council Entry'!AP$9),'Council Entry'!AP$8),'Council Entry'!AP95)),IF('Council Entry'!AP$4="Exponential",EXP(IF(AND(ISNUMBER('Council Entry'!AP$8),ISNUMBER('Council Entry'!AP$9)),MAX(MIN('Council Entry'!AP95,'Council Entry'!AP$9),'Council Entry'!AP$8),'Council Entry'!AP95)),IF(AND(ISNUMBER('Council Entry'!AP$8),ISNUMBER('Council Entry'!AP$9)),MAX(MIN('Council Entry'!AP95,'Council Entry'!AP$9),'Council Entry'!AP$8),'Council Entry'!AP95))))-'Council Entry'!AP$5)/('Council Entry'!AP$6-'Council Entry'!AP$5)),1))),"No data"))</f>
        <v/>
      </c>
      <c r="AQ95" s="13">
        <f>IF('Council Entry'!AQ95="","",IFERROR(MAX(0,MIN(10,ROUND(IF('Council Entry'!AQ$7="Decrease Risk",10-10*((IF('Council Entry'!AQ$4="Logarithm",LN(0.001+IF(AND(ISNUMBER('Council Entry'!AQ$8),ISNUMBER('Council Entry'!AQ$9)),MAX(MIN('Council Entry'!AQ95,'Council Entry'!AQ$9),'Council Entry'!AQ$8),'Council Entry'!AQ95)),IF('Council Entry'!AQ$4="Exponential",EXP(IF(AND(ISNUMBER('Council Entry'!AQ$8),ISNUMBER('Council Entry'!AQ$9)),MAX(MIN('Council Entry'!AQ95,'Council Entry'!AQ$9),'Council Entry'!AQ$8),'Council Entry'!AQ95)),IF(AND(ISNUMBER('Council Entry'!AQ$8),ISNUMBER('Council Entry'!AQ$9)),MAX(MIN('Council Entry'!AQ95,'Council Entry'!AQ$9),'Council Entry'!AQ$8),'Council Entry'!AQ95))))-'Council Entry'!AQ$5)/('Council Entry'!AQ$6-'Council Entry'!AQ$5),10*((IF('Council Entry'!AQ$4="Logarithm",LN(0.001+IF(AND(ISNUMBER('Council Entry'!AQ$8),ISNUMBER('Council Entry'!AQ$9)),MAX(MIN('Council Entry'!AQ95,'Council Entry'!AQ$9),'Council Entry'!AQ$8),'Council Entry'!AQ95)),IF('Council Entry'!AQ$4="Exponential",EXP(IF(AND(ISNUMBER('Council Entry'!AQ$8),ISNUMBER('Council Entry'!AQ$9)),MAX(MIN('Council Entry'!AQ95,'Council Entry'!AQ$9),'Council Entry'!AQ$8),'Council Entry'!AQ95)),IF(AND(ISNUMBER('Council Entry'!AQ$8),ISNUMBER('Council Entry'!AQ$9)),MAX(MIN('Council Entry'!AQ95,'Council Entry'!AQ$9),'Council Entry'!AQ$8),'Council Entry'!AQ95))))-'Council Entry'!AQ$5)/('Council Entry'!AQ$6-'Council Entry'!AQ$5)),1))),"No data"))</f>
        <v/>
      </c>
      <c r="AR95" s="13">
        <f>IF('Council Entry'!AR95="","",IFERROR(MAX(0,MIN(10,ROUND(IF('Council Entry'!AR$7="Decrease Risk",10-10*((IF('Council Entry'!AR$4="Logarithm",LN(0.001+IF(AND(ISNUMBER('Council Entry'!AR$8),ISNUMBER('Council Entry'!AR$9)),MAX(MIN('Council Entry'!AR95,'Council Entry'!AR$9),'Council Entry'!AR$8),'Council Entry'!AR95)),IF('Council Entry'!AR$4="Exponential",EXP(IF(AND(ISNUMBER('Council Entry'!AR$8),ISNUMBER('Council Entry'!AR$9)),MAX(MIN('Council Entry'!AR95,'Council Entry'!AR$9),'Council Entry'!AR$8),'Council Entry'!AR95)),IF(AND(ISNUMBER('Council Entry'!AR$8),ISNUMBER('Council Entry'!AR$9)),MAX(MIN('Council Entry'!AR95,'Council Entry'!AR$9),'Council Entry'!AR$8),'Council Entry'!AR95))))-'Council Entry'!AR$5)/('Council Entry'!AR$6-'Council Entry'!AR$5),10*((IF('Council Entry'!AR$4="Logarithm",LN(0.001+IF(AND(ISNUMBER('Council Entry'!AR$8),ISNUMBER('Council Entry'!AR$9)),MAX(MIN('Council Entry'!AR95,'Council Entry'!AR$9),'Council Entry'!AR$8),'Council Entry'!AR95)),IF('Council Entry'!AR$4="Exponential",EXP(IF(AND(ISNUMBER('Council Entry'!AR$8),ISNUMBER('Council Entry'!AR$9)),MAX(MIN('Council Entry'!AR95,'Council Entry'!AR$9),'Council Entry'!AR$8),'Council Entry'!AR95)),IF(AND(ISNUMBER('Council Entry'!AR$8),ISNUMBER('Council Entry'!AR$9)),MAX(MIN('Council Entry'!AR95,'Council Entry'!AR$9),'Council Entry'!AR$8),'Council Entry'!AR95))))-'Council Entry'!AR$5)/('Council Entry'!AR$6-'Council Entry'!AR$5)),1))),"No data"))</f>
        <v/>
      </c>
      <c r="AS95" s="13">
        <f>IF('Council Entry'!AS95="","",IFERROR(MAX(0,MIN(10,ROUND(IF('Council Entry'!AS$7="Decrease Risk",10-10*((IF('Council Entry'!AS$4="Logarithm",LN(0.001+IF(AND(ISNUMBER('Council Entry'!AS$8),ISNUMBER('Council Entry'!AS$9)),MAX(MIN('Council Entry'!AS95,'Council Entry'!AS$9),'Council Entry'!AS$8),'Council Entry'!AS95)),IF('Council Entry'!AS$4="Exponential",EXP(IF(AND(ISNUMBER('Council Entry'!AS$8),ISNUMBER('Council Entry'!AS$9)),MAX(MIN('Council Entry'!AS95,'Council Entry'!AS$9),'Council Entry'!AS$8),'Council Entry'!AS95)),IF(AND(ISNUMBER('Council Entry'!AS$8),ISNUMBER('Council Entry'!AS$9)),MAX(MIN('Council Entry'!AS95,'Council Entry'!AS$9),'Council Entry'!AS$8),'Council Entry'!AS95))))-'Council Entry'!AS$5)/('Council Entry'!AS$6-'Council Entry'!AS$5),10*((IF('Council Entry'!AS$4="Logarithm",LN(0.001+IF(AND(ISNUMBER('Council Entry'!AS$8),ISNUMBER('Council Entry'!AS$9)),MAX(MIN('Council Entry'!AS95,'Council Entry'!AS$9),'Council Entry'!AS$8),'Council Entry'!AS95)),IF('Council Entry'!AS$4="Exponential",EXP(IF(AND(ISNUMBER('Council Entry'!AS$8),ISNUMBER('Council Entry'!AS$9)),MAX(MIN('Council Entry'!AS95,'Council Entry'!AS$9),'Council Entry'!AS$8),'Council Entry'!AS95)),IF(AND(ISNUMBER('Council Entry'!AS$8),ISNUMBER('Council Entry'!AS$9)),MAX(MIN('Council Entry'!AS95,'Council Entry'!AS$9),'Council Entry'!AS$8),'Council Entry'!AS95))))-'Council Entry'!AS$5)/('Council Entry'!AS$6-'Council Entry'!AS$5)),1))),"No data"))</f>
        <v/>
      </c>
      <c r="AT95" s="13">
        <f>IF('Council Entry'!AT95="","",IFERROR(MAX(0,MIN(10,ROUND(IF('Council Entry'!AT$7="Decrease Risk",10-10*((IF('Council Entry'!AT$4="Logarithm",LN(0.001+IF(AND(ISNUMBER('Council Entry'!AT$8),ISNUMBER('Council Entry'!AT$9)),MAX(MIN('Council Entry'!AT95,'Council Entry'!AT$9),'Council Entry'!AT$8),'Council Entry'!AT95)),IF('Council Entry'!AT$4="Exponential",EXP(IF(AND(ISNUMBER('Council Entry'!AT$8),ISNUMBER('Council Entry'!AT$9)),MAX(MIN('Council Entry'!AT95,'Council Entry'!AT$9),'Council Entry'!AT$8),'Council Entry'!AT95)),IF(AND(ISNUMBER('Council Entry'!AT$8),ISNUMBER('Council Entry'!AT$9)),MAX(MIN('Council Entry'!AT95,'Council Entry'!AT$9),'Council Entry'!AT$8),'Council Entry'!AT95))))-'Council Entry'!AT$5)/('Council Entry'!AT$6-'Council Entry'!AT$5),10*((IF('Council Entry'!AT$4="Logarithm",LN(0.001+IF(AND(ISNUMBER('Council Entry'!AT$8),ISNUMBER('Council Entry'!AT$9)),MAX(MIN('Council Entry'!AT95,'Council Entry'!AT$9),'Council Entry'!AT$8),'Council Entry'!AT95)),IF('Council Entry'!AT$4="Exponential",EXP(IF(AND(ISNUMBER('Council Entry'!AT$8),ISNUMBER('Council Entry'!AT$9)),MAX(MIN('Council Entry'!AT95,'Council Entry'!AT$9),'Council Entry'!AT$8),'Council Entry'!AT95)),IF(AND(ISNUMBER('Council Entry'!AT$8),ISNUMBER('Council Entry'!AT$9)),MAX(MIN('Council Entry'!AT95,'Council Entry'!AT$9),'Council Entry'!AT$8),'Council Entry'!AT95))))-'Council Entry'!AT$5)/('Council Entry'!AT$6-'Council Entry'!AT$5)),1))),"No data"))</f>
        <v/>
      </c>
      <c r="AU95" s="13">
        <f>IF('Council Entry'!AU95="","",IFERROR(MAX(0,MIN(10,ROUND(IF('Council Entry'!AU$7="Decrease Risk",10-10*((IF('Council Entry'!AU$4="Logarithm",LN(0.001+IF(AND(ISNUMBER('Council Entry'!AU$8),ISNUMBER('Council Entry'!AU$9)),MAX(MIN('Council Entry'!AU95,'Council Entry'!AU$9),'Council Entry'!AU$8),'Council Entry'!AU95)),IF('Council Entry'!AU$4="Exponential",EXP(IF(AND(ISNUMBER('Council Entry'!AU$8),ISNUMBER('Council Entry'!AU$9)),MAX(MIN('Council Entry'!AU95,'Council Entry'!AU$9),'Council Entry'!AU$8),'Council Entry'!AU95)),IF(AND(ISNUMBER('Council Entry'!AU$8),ISNUMBER('Council Entry'!AU$9)),MAX(MIN('Council Entry'!AU95,'Council Entry'!AU$9),'Council Entry'!AU$8),'Council Entry'!AU95))))-'Council Entry'!AU$5)/('Council Entry'!AU$6-'Council Entry'!AU$5),10*((IF('Council Entry'!AU$4="Logarithm",LN(0.001+IF(AND(ISNUMBER('Council Entry'!AU$8),ISNUMBER('Council Entry'!AU$9)),MAX(MIN('Council Entry'!AU95,'Council Entry'!AU$9),'Council Entry'!AU$8),'Council Entry'!AU95)),IF('Council Entry'!AU$4="Exponential",EXP(IF(AND(ISNUMBER('Council Entry'!AU$8),ISNUMBER('Council Entry'!AU$9)),MAX(MIN('Council Entry'!AU95,'Council Entry'!AU$9),'Council Entry'!AU$8),'Council Entry'!AU95)),IF(AND(ISNUMBER('Council Entry'!AU$8),ISNUMBER('Council Entry'!AU$9)),MAX(MIN('Council Entry'!AU95,'Council Entry'!AU$9),'Council Entry'!AU$8),'Council Entry'!AU95))))-'Council Entry'!AU$5)/('Council Entry'!AU$6-'Council Entry'!AU$5)),1))),"No data"))</f>
        <v/>
      </c>
      <c r="AV95" s="13">
        <f>IF('Council Entry'!AV95="","",IFERROR(MAX(0,MIN(10,ROUND(IF('Council Entry'!AV$7="Decrease Risk",10-10*((IF('Council Entry'!AV$4="Logarithm",LN(0.001+IF(AND(ISNUMBER('Council Entry'!AV$8),ISNUMBER('Council Entry'!AV$9)),MAX(MIN('Council Entry'!AV95,'Council Entry'!AV$9),'Council Entry'!AV$8),'Council Entry'!AV95)),IF('Council Entry'!AV$4="Exponential",EXP(IF(AND(ISNUMBER('Council Entry'!AV$8),ISNUMBER('Council Entry'!AV$9)),MAX(MIN('Council Entry'!AV95,'Council Entry'!AV$9),'Council Entry'!AV$8),'Council Entry'!AV95)),IF(AND(ISNUMBER('Council Entry'!AV$8),ISNUMBER('Council Entry'!AV$9)),MAX(MIN('Council Entry'!AV95,'Council Entry'!AV$9),'Council Entry'!AV$8),'Council Entry'!AV95))))-'Council Entry'!AV$5)/('Council Entry'!AV$6-'Council Entry'!AV$5),10*((IF('Council Entry'!AV$4="Logarithm",LN(0.001+IF(AND(ISNUMBER('Council Entry'!AV$8),ISNUMBER('Council Entry'!AV$9)),MAX(MIN('Council Entry'!AV95,'Council Entry'!AV$9),'Council Entry'!AV$8),'Council Entry'!AV95)),IF('Council Entry'!AV$4="Exponential",EXP(IF(AND(ISNUMBER('Council Entry'!AV$8),ISNUMBER('Council Entry'!AV$9)),MAX(MIN('Council Entry'!AV95,'Council Entry'!AV$9),'Council Entry'!AV$8),'Council Entry'!AV95)),IF(AND(ISNUMBER('Council Entry'!AV$8),ISNUMBER('Council Entry'!AV$9)),MAX(MIN('Council Entry'!AV95,'Council Entry'!AV$9),'Council Entry'!AV$8),'Council Entry'!AV95))))-'Council Entry'!AV$5)/('Council Entry'!AV$6-'Council Entry'!AV$5)),1))),"No data"))</f>
        <v/>
      </c>
      <c r="AW95" s="13">
        <f>IF('Council Entry'!AW95="","",IFERROR(MAX(0,MIN(10,ROUND(IF('Council Entry'!AW$7="Decrease Risk",10-10*((IF('Council Entry'!AW$4="Logarithm",LN(0.001+IF(AND(ISNUMBER('Council Entry'!AW$8),ISNUMBER('Council Entry'!AW$9)),MAX(MIN('Council Entry'!AW95,'Council Entry'!AW$9),'Council Entry'!AW$8),'Council Entry'!AW95)),IF('Council Entry'!AW$4="Exponential",EXP(IF(AND(ISNUMBER('Council Entry'!AW$8),ISNUMBER('Council Entry'!AW$9)),MAX(MIN('Council Entry'!AW95,'Council Entry'!AW$9),'Council Entry'!AW$8),'Council Entry'!AW95)),IF(AND(ISNUMBER('Council Entry'!AW$8),ISNUMBER('Council Entry'!AW$9)),MAX(MIN('Council Entry'!AW95,'Council Entry'!AW$9),'Council Entry'!AW$8),'Council Entry'!AW95))))-'Council Entry'!AW$5)/('Council Entry'!AW$6-'Council Entry'!AW$5),10*((IF('Council Entry'!AW$4="Logarithm",LN(0.001+IF(AND(ISNUMBER('Council Entry'!AW$8),ISNUMBER('Council Entry'!AW$9)),MAX(MIN('Council Entry'!AW95,'Council Entry'!AW$9),'Council Entry'!AW$8),'Council Entry'!AW95)),IF('Council Entry'!AW$4="Exponential",EXP(IF(AND(ISNUMBER('Council Entry'!AW$8),ISNUMBER('Council Entry'!AW$9)),MAX(MIN('Council Entry'!AW95,'Council Entry'!AW$9),'Council Entry'!AW$8),'Council Entry'!AW95)),IF(AND(ISNUMBER('Council Entry'!AW$8),ISNUMBER('Council Entry'!AW$9)),MAX(MIN('Council Entry'!AW95,'Council Entry'!AW$9),'Council Entry'!AW$8),'Council Entry'!AW95))))-'Council Entry'!AW$5)/('Council Entry'!AW$6-'Council Entry'!AW$5)),1))),"No data"))</f>
        <v/>
      </c>
      <c r="AX95" s="13">
        <f>IF('Council Entry'!AX95="","",IFERROR(MAX(0,MIN(10,ROUND(IF('Council Entry'!AX$7="Decrease Risk",10-10*((IF('Council Entry'!AX$4="Logarithm",LN(0.001+IF(AND(ISNUMBER('Council Entry'!AX$8),ISNUMBER('Council Entry'!AX$9)),MAX(MIN('Council Entry'!AX95,'Council Entry'!AX$9),'Council Entry'!AX$8),'Council Entry'!AX95)),IF('Council Entry'!AX$4="Exponential",EXP(IF(AND(ISNUMBER('Council Entry'!AX$8),ISNUMBER('Council Entry'!AX$9)),MAX(MIN('Council Entry'!AX95,'Council Entry'!AX$9),'Council Entry'!AX$8),'Council Entry'!AX95)),IF(AND(ISNUMBER('Council Entry'!AX$8),ISNUMBER('Council Entry'!AX$9)),MAX(MIN('Council Entry'!AX95,'Council Entry'!AX$9),'Council Entry'!AX$8),'Council Entry'!AX95))))-'Council Entry'!AX$5)/('Council Entry'!AX$6-'Council Entry'!AX$5),10*((IF('Council Entry'!AX$4="Logarithm",LN(0.001+IF(AND(ISNUMBER('Council Entry'!AX$8),ISNUMBER('Council Entry'!AX$9)),MAX(MIN('Council Entry'!AX95,'Council Entry'!AX$9),'Council Entry'!AX$8),'Council Entry'!AX95)),IF('Council Entry'!AX$4="Exponential",EXP(IF(AND(ISNUMBER('Council Entry'!AX$8),ISNUMBER('Council Entry'!AX$9)),MAX(MIN('Council Entry'!AX95,'Council Entry'!AX$9),'Council Entry'!AX$8),'Council Entry'!AX95)),IF(AND(ISNUMBER('Council Entry'!AX$8),ISNUMBER('Council Entry'!AX$9)),MAX(MIN('Council Entry'!AX95,'Council Entry'!AX$9),'Council Entry'!AX$8),'Council Entry'!AX95))))-'Council Entry'!AX$5)/('Council Entry'!AX$6-'Council Entry'!AX$5)),1))),"No data"))</f>
        <v/>
      </c>
      <c r="AY95" s="13">
        <f>IF('Council Entry'!AY95="","",IFERROR(MAX(0,MIN(10,ROUND(IF('Council Entry'!AY$7="Decrease Risk",10-10*((IF('Council Entry'!AY$4="Logarithm",LN(0.001+IF(AND(ISNUMBER('Council Entry'!AY$8),ISNUMBER('Council Entry'!AY$9)),MAX(MIN('Council Entry'!AY95,'Council Entry'!AY$9),'Council Entry'!AY$8),'Council Entry'!AY95)),IF('Council Entry'!AY$4="Exponential",EXP(IF(AND(ISNUMBER('Council Entry'!AY$8),ISNUMBER('Council Entry'!AY$9)),MAX(MIN('Council Entry'!AY95,'Council Entry'!AY$9),'Council Entry'!AY$8),'Council Entry'!AY95)),IF(AND(ISNUMBER('Council Entry'!AY$8),ISNUMBER('Council Entry'!AY$9)),MAX(MIN('Council Entry'!AY95,'Council Entry'!AY$9),'Council Entry'!AY$8),'Council Entry'!AY95))))-'Council Entry'!AY$5)/('Council Entry'!AY$6-'Council Entry'!AY$5),10*((IF('Council Entry'!AY$4="Logarithm",LN(0.001+IF(AND(ISNUMBER('Council Entry'!AY$8),ISNUMBER('Council Entry'!AY$9)),MAX(MIN('Council Entry'!AY95,'Council Entry'!AY$9),'Council Entry'!AY$8),'Council Entry'!AY95)),IF('Council Entry'!AY$4="Exponential",EXP(IF(AND(ISNUMBER('Council Entry'!AY$8),ISNUMBER('Council Entry'!AY$9)),MAX(MIN('Council Entry'!AY95,'Council Entry'!AY$9),'Council Entry'!AY$8),'Council Entry'!AY95)),IF(AND(ISNUMBER('Council Entry'!AY$8),ISNUMBER('Council Entry'!AY$9)),MAX(MIN('Council Entry'!AY95,'Council Entry'!AY$9),'Council Entry'!AY$8),'Council Entry'!AY95))))-'Council Entry'!AY$5)/('Council Entry'!AY$6-'Council Entry'!AY$5)),1))),"No data"))</f>
        <v/>
      </c>
      <c r="AZ95" s="13">
        <f>IF('Council Entry'!AZ95="","",IFERROR(MAX(0,MIN(10,ROUND(IF('Council Entry'!AZ$7="Decrease Risk",10-10*((IF('Council Entry'!AZ$4="Logarithm",LN(0.001+IF(AND(ISNUMBER('Council Entry'!AZ$8),ISNUMBER('Council Entry'!AZ$9)),MAX(MIN('Council Entry'!AZ95,'Council Entry'!AZ$9),'Council Entry'!AZ$8),'Council Entry'!AZ95)),IF('Council Entry'!AZ$4="Exponential",EXP(IF(AND(ISNUMBER('Council Entry'!AZ$8),ISNUMBER('Council Entry'!AZ$9)),MAX(MIN('Council Entry'!AZ95,'Council Entry'!AZ$9),'Council Entry'!AZ$8),'Council Entry'!AZ95)),IF(AND(ISNUMBER('Council Entry'!AZ$8),ISNUMBER('Council Entry'!AZ$9)),MAX(MIN('Council Entry'!AZ95,'Council Entry'!AZ$9),'Council Entry'!AZ$8),'Council Entry'!AZ95))))-'Council Entry'!AZ$5)/('Council Entry'!AZ$6-'Council Entry'!AZ$5),10*((IF('Council Entry'!AZ$4="Logarithm",LN(0.001+IF(AND(ISNUMBER('Council Entry'!AZ$8),ISNUMBER('Council Entry'!AZ$9)),MAX(MIN('Council Entry'!AZ95,'Council Entry'!AZ$9),'Council Entry'!AZ$8),'Council Entry'!AZ95)),IF('Council Entry'!AZ$4="Exponential",EXP(IF(AND(ISNUMBER('Council Entry'!AZ$8),ISNUMBER('Council Entry'!AZ$9)),MAX(MIN('Council Entry'!AZ95,'Council Entry'!AZ$9),'Council Entry'!AZ$8),'Council Entry'!AZ95)),IF(AND(ISNUMBER('Council Entry'!AZ$8),ISNUMBER('Council Entry'!AZ$9)),MAX(MIN('Council Entry'!AZ95,'Council Entry'!AZ$9),'Council Entry'!AZ$8),'Council Entry'!AZ95))))-'Council Entry'!AZ$5)/('Council Entry'!AZ$6-'Council Entry'!AZ$5)),1))),"No data"))</f>
        <v/>
      </c>
      <c r="BA95" s="13">
        <f>IF('Council Entry'!BA95="","",IFERROR(MAX(0,MIN(10,ROUND(IF('Council Entry'!BA$7="Decrease Risk",10-10*((IF('Council Entry'!BA$4="Logarithm",LN(0.001+IF(AND(ISNUMBER('Council Entry'!BA$8),ISNUMBER('Council Entry'!BA$9)),MAX(MIN('Council Entry'!BA95,'Council Entry'!BA$9),'Council Entry'!BA$8),'Council Entry'!BA95)),IF('Council Entry'!BA$4="Exponential",EXP(IF(AND(ISNUMBER('Council Entry'!BA$8),ISNUMBER('Council Entry'!BA$9)),MAX(MIN('Council Entry'!BA95,'Council Entry'!BA$9),'Council Entry'!BA$8),'Council Entry'!BA95)),IF(AND(ISNUMBER('Council Entry'!BA$8),ISNUMBER('Council Entry'!BA$9)),MAX(MIN('Council Entry'!BA95,'Council Entry'!BA$9),'Council Entry'!BA$8),'Council Entry'!BA95))))-'Council Entry'!BA$5)/('Council Entry'!BA$6-'Council Entry'!BA$5),10*((IF('Council Entry'!BA$4="Logarithm",LN(0.001+IF(AND(ISNUMBER('Council Entry'!BA$8),ISNUMBER('Council Entry'!BA$9)),MAX(MIN('Council Entry'!BA95,'Council Entry'!BA$9),'Council Entry'!BA$8),'Council Entry'!BA95)),IF('Council Entry'!BA$4="Exponential",EXP(IF(AND(ISNUMBER('Council Entry'!BA$8),ISNUMBER('Council Entry'!BA$9)),MAX(MIN('Council Entry'!BA95,'Council Entry'!BA$9),'Council Entry'!BA$8),'Council Entry'!BA95)),IF(AND(ISNUMBER('Council Entry'!BA$8),ISNUMBER('Council Entry'!BA$9)),MAX(MIN('Council Entry'!BA95,'Council Entry'!BA$9),'Council Entry'!BA$8),'Council Entry'!BA95))))-'Council Entry'!BA$5)/('Council Entry'!BA$6-'Council Entry'!BA$5)),1))),"No data"))</f>
        <v/>
      </c>
      <c r="BB95" s="13">
        <f>IF('Council Entry'!BB95="","",IFERROR(MAX(0,MIN(10,ROUND(IF('Council Entry'!BB$7="Decrease Risk",10-10*((IF('Council Entry'!BB$4="Logarithm",LN(0.001+IF(AND(ISNUMBER('Council Entry'!BB$8),ISNUMBER('Council Entry'!BB$9)),MAX(MIN('Council Entry'!BB95,'Council Entry'!BB$9),'Council Entry'!BB$8),'Council Entry'!BB95)),IF('Council Entry'!BB$4="Exponential",EXP(IF(AND(ISNUMBER('Council Entry'!BB$8),ISNUMBER('Council Entry'!BB$9)),MAX(MIN('Council Entry'!BB95,'Council Entry'!BB$9),'Council Entry'!BB$8),'Council Entry'!BB95)),IF(AND(ISNUMBER('Council Entry'!BB$8),ISNUMBER('Council Entry'!BB$9)),MAX(MIN('Council Entry'!BB95,'Council Entry'!BB$9),'Council Entry'!BB$8),'Council Entry'!BB95))))-'Council Entry'!BB$5)/('Council Entry'!BB$6-'Council Entry'!BB$5),10*((IF('Council Entry'!BB$4="Logarithm",LN(0.001+IF(AND(ISNUMBER('Council Entry'!BB$8),ISNUMBER('Council Entry'!BB$9)),MAX(MIN('Council Entry'!BB95,'Council Entry'!BB$9),'Council Entry'!BB$8),'Council Entry'!BB95)),IF('Council Entry'!BB$4="Exponential",EXP(IF(AND(ISNUMBER('Council Entry'!BB$8),ISNUMBER('Council Entry'!BB$9)),MAX(MIN('Council Entry'!BB95,'Council Entry'!BB$9),'Council Entry'!BB$8),'Council Entry'!BB95)),IF(AND(ISNUMBER('Council Entry'!BB$8),ISNUMBER('Council Entry'!BB$9)),MAX(MIN('Council Entry'!BB95,'Council Entry'!BB$9),'Council Entry'!BB$8),'Council Entry'!BB95))))-'Council Entry'!BB$5)/('Council Entry'!BB$6-'Council Entry'!BB$5)),1))),"No data"))</f>
        <v/>
      </c>
      <c r="BC95" s="13">
        <f>IF('Council Entry'!BC95="","",IFERROR(MAX(0,MIN(10,ROUND(IF('Council Entry'!BC$7="Decrease Risk",10-10*((IF('Council Entry'!BC$4="Logarithm",LN(0.001+IF(AND(ISNUMBER('Council Entry'!BC$8),ISNUMBER('Council Entry'!BC$9)),MAX(MIN('Council Entry'!BC95,'Council Entry'!BC$9),'Council Entry'!BC$8),'Council Entry'!BC95)),IF('Council Entry'!BC$4="Exponential",EXP(IF(AND(ISNUMBER('Council Entry'!BC$8),ISNUMBER('Council Entry'!BC$9)),MAX(MIN('Council Entry'!BC95,'Council Entry'!BC$9),'Council Entry'!BC$8),'Council Entry'!BC95)),IF(AND(ISNUMBER('Council Entry'!BC$8),ISNUMBER('Council Entry'!BC$9)),MAX(MIN('Council Entry'!BC95,'Council Entry'!BC$9),'Council Entry'!BC$8),'Council Entry'!BC95))))-'Council Entry'!BC$5)/('Council Entry'!BC$6-'Council Entry'!BC$5),10*((IF('Council Entry'!BC$4="Logarithm",LN(0.001+IF(AND(ISNUMBER('Council Entry'!BC$8),ISNUMBER('Council Entry'!BC$9)),MAX(MIN('Council Entry'!BC95,'Council Entry'!BC$9),'Council Entry'!BC$8),'Council Entry'!BC95)),IF('Council Entry'!BC$4="Exponential",EXP(IF(AND(ISNUMBER('Council Entry'!BC$8),ISNUMBER('Council Entry'!BC$9)),MAX(MIN('Council Entry'!BC95,'Council Entry'!BC$9),'Council Entry'!BC$8),'Council Entry'!BC95)),IF(AND(ISNUMBER('Council Entry'!BC$8),ISNUMBER('Council Entry'!BC$9)),MAX(MIN('Council Entry'!BC95,'Council Entry'!BC$9),'Council Entry'!BC$8),'Council Entry'!BC95))))-'Council Entry'!BC$5)/('Council Entry'!BC$6-'Council Entry'!BC$5)),1))),"No data"))</f>
        <v/>
      </c>
      <c r="BD95" s="13">
        <f>IF('Council Entry'!BD95="","",IFERROR(MAX(0,MIN(10,ROUND(IF('Council Entry'!BD$7="Decrease Risk",10-10*((IF('Council Entry'!BD$4="Logarithm",LN(0.001+IF(AND(ISNUMBER('Council Entry'!BD$8),ISNUMBER('Council Entry'!BD$9)),MAX(MIN('Council Entry'!BD95,'Council Entry'!BD$9),'Council Entry'!BD$8),'Council Entry'!BD95)),IF('Council Entry'!BD$4="Exponential",EXP(IF(AND(ISNUMBER('Council Entry'!BD$8),ISNUMBER('Council Entry'!BD$9)),MAX(MIN('Council Entry'!BD95,'Council Entry'!BD$9),'Council Entry'!BD$8),'Council Entry'!BD95)),IF(AND(ISNUMBER('Council Entry'!BD$8),ISNUMBER('Council Entry'!BD$9)),MAX(MIN('Council Entry'!BD95,'Council Entry'!BD$9),'Council Entry'!BD$8),'Council Entry'!BD95))))-'Council Entry'!BD$5)/('Council Entry'!BD$6-'Council Entry'!BD$5),10*((IF('Council Entry'!BD$4="Logarithm",LN(0.001+IF(AND(ISNUMBER('Council Entry'!BD$8),ISNUMBER('Council Entry'!BD$9)),MAX(MIN('Council Entry'!BD95,'Council Entry'!BD$9),'Council Entry'!BD$8),'Council Entry'!BD95)),IF('Council Entry'!BD$4="Exponential",EXP(IF(AND(ISNUMBER('Council Entry'!BD$8),ISNUMBER('Council Entry'!BD$9)),MAX(MIN('Council Entry'!BD95,'Council Entry'!BD$9),'Council Entry'!BD$8),'Council Entry'!BD95)),IF(AND(ISNUMBER('Council Entry'!BD$8),ISNUMBER('Council Entry'!BD$9)),MAX(MIN('Council Entry'!BD95,'Council Entry'!BD$9),'Council Entry'!BD$8),'Council Entry'!BD95))))-'Council Entry'!BD$5)/('Council Entry'!BD$6-'Council Entry'!BD$5)),1))),"No data"))</f>
        <v/>
      </c>
    </row>
    <row r="96">
      <c r="A96" t="inlineStr">
        <is>
          <t>Mara</t>
        </is>
      </c>
      <c r="B96" t="inlineStr">
        <is>
          <t>Rorya District</t>
        </is>
      </c>
      <c r="C96" t="inlineStr">
        <is>
          <t>C149</t>
        </is>
      </c>
      <c r="D96" s="13">
        <f>IF('Council Entry'!D96="","",IFERROR(MAX(0,MIN(10,ROUND(IF('Council Entry'!D$7="Decrease Risk",10-10*((IF('Council Entry'!D$4="Logarithm",LN(0.001+IF(AND(ISNUMBER('Council Entry'!D$8),ISNUMBER('Council Entry'!D$9)),MAX(MIN('Council Entry'!D96,'Council Entry'!D$9),'Council Entry'!D$8),'Council Entry'!D96)),IF('Council Entry'!D$4="Exponential",EXP(IF(AND(ISNUMBER('Council Entry'!D$8),ISNUMBER('Council Entry'!D$9)),MAX(MIN('Council Entry'!D96,'Council Entry'!D$9),'Council Entry'!D$8),'Council Entry'!D96)),IF(AND(ISNUMBER('Council Entry'!D$8),ISNUMBER('Council Entry'!D$9)),MAX(MIN('Council Entry'!D96,'Council Entry'!D$9),'Council Entry'!D$8),'Council Entry'!D96))))-'Council Entry'!D$5)/('Council Entry'!D$6-'Council Entry'!D$5),10*((IF('Council Entry'!D$4="Logarithm",LN(0.001+IF(AND(ISNUMBER('Council Entry'!D$8),ISNUMBER('Council Entry'!D$9)),MAX(MIN('Council Entry'!D96,'Council Entry'!D$9),'Council Entry'!D$8),'Council Entry'!D96)),IF('Council Entry'!D$4="Exponential",EXP(IF(AND(ISNUMBER('Council Entry'!D$8),ISNUMBER('Council Entry'!D$9)),MAX(MIN('Council Entry'!D96,'Council Entry'!D$9),'Council Entry'!D$8),'Council Entry'!D96)),IF(AND(ISNUMBER('Council Entry'!D$8),ISNUMBER('Council Entry'!D$9)),MAX(MIN('Council Entry'!D96,'Council Entry'!D$9),'Council Entry'!D$8),'Council Entry'!D96))))-'Council Entry'!D$5)/('Council Entry'!D$6-'Council Entry'!D$5)),1))),"No data"))</f>
        <v/>
      </c>
      <c r="E96" s="13">
        <f>IF('Council Entry'!E96="","",IFERROR(MAX(0,MIN(10,ROUND(IF('Council Entry'!E$7="Decrease Risk",10-10*((IF('Council Entry'!E$4="Logarithm",LN(0.001+IF(AND(ISNUMBER('Council Entry'!E$8),ISNUMBER('Council Entry'!E$9)),MAX(MIN('Council Entry'!E96,'Council Entry'!E$9),'Council Entry'!E$8),'Council Entry'!E96)),IF('Council Entry'!E$4="Exponential",EXP(IF(AND(ISNUMBER('Council Entry'!E$8),ISNUMBER('Council Entry'!E$9)),MAX(MIN('Council Entry'!E96,'Council Entry'!E$9),'Council Entry'!E$8),'Council Entry'!E96)),IF(AND(ISNUMBER('Council Entry'!E$8),ISNUMBER('Council Entry'!E$9)),MAX(MIN('Council Entry'!E96,'Council Entry'!E$9),'Council Entry'!E$8),'Council Entry'!E96))))-'Council Entry'!E$5)/('Council Entry'!E$6-'Council Entry'!E$5),10*((IF('Council Entry'!E$4="Logarithm",LN(0.001+IF(AND(ISNUMBER('Council Entry'!E$8),ISNUMBER('Council Entry'!E$9)),MAX(MIN('Council Entry'!E96,'Council Entry'!E$9),'Council Entry'!E$8),'Council Entry'!E96)),IF('Council Entry'!E$4="Exponential",EXP(IF(AND(ISNUMBER('Council Entry'!E$8),ISNUMBER('Council Entry'!E$9)),MAX(MIN('Council Entry'!E96,'Council Entry'!E$9),'Council Entry'!E$8),'Council Entry'!E96)),IF(AND(ISNUMBER('Council Entry'!E$8),ISNUMBER('Council Entry'!E$9)),MAX(MIN('Council Entry'!E96,'Council Entry'!E$9),'Council Entry'!E$8),'Council Entry'!E96))))-'Council Entry'!E$5)/('Council Entry'!E$6-'Council Entry'!E$5)),1))),"No data"))</f>
        <v/>
      </c>
      <c r="F96" s="13">
        <f>IF('Council Entry'!F96="","",IFERROR(MAX(0,MIN(10,ROUND(IF('Council Entry'!F$7="Decrease Risk",10-10*((IF('Council Entry'!F$4="Logarithm",LN(0.001+IF(AND(ISNUMBER('Council Entry'!F$8),ISNUMBER('Council Entry'!F$9)),MAX(MIN('Council Entry'!F96,'Council Entry'!F$9),'Council Entry'!F$8),'Council Entry'!F96)),IF('Council Entry'!F$4="Exponential",EXP(IF(AND(ISNUMBER('Council Entry'!F$8),ISNUMBER('Council Entry'!F$9)),MAX(MIN('Council Entry'!F96,'Council Entry'!F$9),'Council Entry'!F$8),'Council Entry'!F96)),IF(AND(ISNUMBER('Council Entry'!F$8),ISNUMBER('Council Entry'!F$9)),MAX(MIN('Council Entry'!F96,'Council Entry'!F$9),'Council Entry'!F$8),'Council Entry'!F96))))-'Council Entry'!F$5)/('Council Entry'!F$6-'Council Entry'!F$5),10*((IF('Council Entry'!F$4="Logarithm",LN(0.001+IF(AND(ISNUMBER('Council Entry'!F$8),ISNUMBER('Council Entry'!F$9)),MAX(MIN('Council Entry'!F96,'Council Entry'!F$9),'Council Entry'!F$8),'Council Entry'!F96)),IF('Council Entry'!F$4="Exponential",EXP(IF(AND(ISNUMBER('Council Entry'!F$8),ISNUMBER('Council Entry'!F$9)),MAX(MIN('Council Entry'!F96,'Council Entry'!F$9),'Council Entry'!F$8),'Council Entry'!F96)),IF(AND(ISNUMBER('Council Entry'!F$8),ISNUMBER('Council Entry'!F$9)),MAX(MIN('Council Entry'!F96,'Council Entry'!F$9),'Council Entry'!F$8),'Council Entry'!F96))))-'Council Entry'!F$5)/('Council Entry'!F$6-'Council Entry'!F$5)),1))),"No data"))</f>
        <v/>
      </c>
      <c r="G96" s="13">
        <f>IF('Council Entry'!G96="","",IFERROR(MAX(0,MIN(10,ROUND(IF('Council Entry'!G$7="Decrease Risk",10-10*((IF('Council Entry'!G$4="Logarithm",LN(0.001+IF(AND(ISNUMBER('Council Entry'!G$8),ISNUMBER('Council Entry'!G$9)),MAX(MIN('Council Entry'!G96,'Council Entry'!G$9),'Council Entry'!G$8),'Council Entry'!G96)),IF('Council Entry'!G$4="Exponential",EXP(IF(AND(ISNUMBER('Council Entry'!G$8),ISNUMBER('Council Entry'!G$9)),MAX(MIN('Council Entry'!G96,'Council Entry'!G$9),'Council Entry'!G$8),'Council Entry'!G96)),IF(AND(ISNUMBER('Council Entry'!G$8),ISNUMBER('Council Entry'!G$9)),MAX(MIN('Council Entry'!G96,'Council Entry'!G$9),'Council Entry'!G$8),'Council Entry'!G96))))-'Council Entry'!G$5)/('Council Entry'!G$6-'Council Entry'!G$5),10*((IF('Council Entry'!G$4="Logarithm",LN(0.001+IF(AND(ISNUMBER('Council Entry'!G$8),ISNUMBER('Council Entry'!G$9)),MAX(MIN('Council Entry'!G96,'Council Entry'!G$9),'Council Entry'!G$8),'Council Entry'!G96)),IF('Council Entry'!G$4="Exponential",EXP(IF(AND(ISNUMBER('Council Entry'!G$8),ISNUMBER('Council Entry'!G$9)),MAX(MIN('Council Entry'!G96,'Council Entry'!G$9),'Council Entry'!G$8),'Council Entry'!G96)),IF(AND(ISNUMBER('Council Entry'!G$8),ISNUMBER('Council Entry'!G$9)),MAX(MIN('Council Entry'!G96,'Council Entry'!G$9),'Council Entry'!G$8),'Council Entry'!G96))))-'Council Entry'!G$5)/('Council Entry'!G$6-'Council Entry'!G$5)),1))),"No data"))</f>
        <v/>
      </c>
      <c r="H96" s="13">
        <f>IF('Council Entry'!H96="","",IFERROR(MAX(0,MIN(10,ROUND(IF('Council Entry'!H$7="Decrease Risk",10-10*((IF('Council Entry'!H$4="Logarithm",LN(0.001+IF(AND(ISNUMBER('Council Entry'!H$8),ISNUMBER('Council Entry'!H$9)),MAX(MIN('Council Entry'!H96,'Council Entry'!H$9),'Council Entry'!H$8),'Council Entry'!H96)),IF('Council Entry'!H$4="Exponential",EXP(IF(AND(ISNUMBER('Council Entry'!H$8),ISNUMBER('Council Entry'!H$9)),MAX(MIN('Council Entry'!H96,'Council Entry'!H$9),'Council Entry'!H$8),'Council Entry'!H96)),IF(AND(ISNUMBER('Council Entry'!H$8),ISNUMBER('Council Entry'!H$9)),MAX(MIN('Council Entry'!H96,'Council Entry'!H$9),'Council Entry'!H$8),'Council Entry'!H96))))-'Council Entry'!H$5)/('Council Entry'!H$6-'Council Entry'!H$5),10*((IF('Council Entry'!H$4="Logarithm",LN(0.001+IF(AND(ISNUMBER('Council Entry'!H$8),ISNUMBER('Council Entry'!H$9)),MAX(MIN('Council Entry'!H96,'Council Entry'!H$9),'Council Entry'!H$8),'Council Entry'!H96)),IF('Council Entry'!H$4="Exponential",EXP(IF(AND(ISNUMBER('Council Entry'!H$8),ISNUMBER('Council Entry'!H$9)),MAX(MIN('Council Entry'!H96,'Council Entry'!H$9),'Council Entry'!H$8),'Council Entry'!H96)),IF(AND(ISNUMBER('Council Entry'!H$8),ISNUMBER('Council Entry'!H$9)),MAX(MIN('Council Entry'!H96,'Council Entry'!H$9),'Council Entry'!H$8),'Council Entry'!H96))))-'Council Entry'!H$5)/('Council Entry'!H$6-'Council Entry'!H$5)),1))),"No data"))</f>
        <v/>
      </c>
      <c r="I96" s="13">
        <f>IF('Council Entry'!I96="","",IFERROR(MAX(0,MIN(10,ROUND(IF('Council Entry'!I$7="Decrease Risk",10-10*((IF('Council Entry'!I$4="Logarithm",LN(0.001+IF(AND(ISNUMBER('Council Entry'!I$8),ISNUMBER('Council Entry'!I$9)),MAX(MIN('Council Entry'!I96,'Council Entry'!I$9),'Council Entry'!I$8),'Council Entry'!I96)),IF('Council Entry'!I$4="Exponential",EXP(IF(AND(ISNUMBER('Council Entry'!I$8),ISNUMBER('Council Entry'!I$9)),MAX(MIN('Council Entry'!I96,'Council Entry'!I$9),'Council Entry'!I$8),'Council Entry'!I96)),IF(AND(ISNUMBER('Council Entry'!I$8),ISNUMBER('Council Entry'!I$9)),MAX(MIN('Council Entry'!I96,'Council Entry'!I$9),'Council Entry'!I$8),'Council Entry'!I96))))-'Council Entry'!I$5)/('Council Entry'!I$6-'Council Entry'!I$5),10*((IF('Council Entry'!I$4="Logarithm",LN(0.001+IF(AND(ISNUMBER('Council Entry'!I$8),ISNUMBER('Council Entry'!I$9)),MAX(MIN('Council Entry'!I96,'Council Entry'!I$9),'Council Entry'!I$8),'Council Entry'!I96)),IF('Council Entry'!I$4="Exponential",EXP(IF(AND(ISNUMBER('Council Entry'!I$8),ISNUMBER('Council Entry'!I$9)),MAX(MIN('Council Entry'!I96,'Council Entry'!I$9),'Council Entry'!I$8),'Council Entry'!I96)),IF(AND(ISNUMBER('Council Entry'!I$8),ISNUMBER('Council Entry'!I$9)),MAX(MIN('Council Entry'!I96,'Council Entry'!I$9),'Council Entry'!I$8),'Council Entry'!I96))))-'Council Entry'!I$5)/('Council Entry'!I$6-'Council Entry'!I$5)),1))),"No data"))</f>
        <v/>
      </c>
      <c r="J96" s="13">
        <f>IF('Council Entry'!J96="","",IFERROR(MAX(0,MIN(10,ROUND(IF('Council Entry'!J$7="Decrease Risk",10-10*((IF('Council Entry'!J$4="Logarithm",LN(0.001+IF(AND(ISNUMBER('Council Entry'!J$8),ISNUMBER('Council Entry'!J$9)),MAX(MIN('Council Entry'!J96,'Council Entry'!J$9),'Council Entry'!J$8),'Council Entry'!J96)),IF('Council Entry'!J$4="Exponential",EXP(IF(AND(ISNUMBER('Council Entry'!J$8),ISNUMBER('Council Entry'!J$9)),MAX(MIN('Council Entry'!J96,'Council Entry'!J$9),'Council Entry'!J$8),'Council Entry'!J96)),IF(AND(ISNUMBER('Council Entry'!J$8),ISNUMBER('Council Entry'!J$9)),MAX(MIN('Council Entry'!J96,'Council Entry'!J$9),'Council Entry'!J$8),'Council Entry'!J96))))-'Council Entry'!J$5)/('Council Entry'!J$6-'Council Entry'!J$5),10*((IF('Council Entry'!J$4="Logarithm",LN(0.001+IF(AND(ISNUMBER('Council Entry'!J$8),ISNUMBER('Council Entry'!J$9)),MAX(MIN('Council Entry'!J96,'Council Entry'!J$9),'Council Entry'!J$8),'Council Entry'!J96)),IF('Council Entry'!J$4="Exponential",EXP(IF(AND(ISNUMBER('Council Entry'!J$8),ISNUMBER('Council Entry'!J$9)),MAX(MIN('Council Entry'!J96,'Council Entry'!J$9),'Council Entry'!J$8),'Council Entry'!J96)),IF(AND(ISNUMBER('Council Entry'!J$8),ISNUMBER('Council Entry'!J$9)),MAX(MIN('Council Entry'!J96,'Council Entry'!J$9),'Council Entry'!J$8),'Council Entry'!J96))))-'Council Entry'!J$5)/('Council Entry'!J$6-'Council Entry'!J$5)),1))),"No data"))</f>
        <v/>
      </c>
      <c r="K96" s="13">
        <f>IF('Council Entry'!K96="","",IFERROR(MAX(0,MIN(10,ROUND(IF('Council Entry'!K$7="Decrease Risk",10-10*((IF('Council Entry'!K$4="Logarithm",LN(0.001+IF(AND(ISNUMBER('Council Entry'!K$8),ISNUMBER('Council Entry'!K$9)),MAX(MIN('Council Entry'!K96,'Council Entry'!K$9),'Council Entry'!K$8),'Council Entry'!K96)),IF('Council Entry'!K$4="Exponential",EXP(IF(AND(ISNUMBER('Council Entry'!K$8),ISNUMBER('Council Entry'!K$9)),MAX(MIN('Council Entry'!K96,'Council Entry'!K$9),'Council Entry'!K$8),'Council Entry'!K96)),IF(AND(ISNUMBER('Council Entry'!K$8),ISNUMBER('Council Entry'!K$9)),MAX(MIN('Council Entry'!K96,'Council Entry'!K$9),'Council Entry'!K$8),'Council Entry'!K96))))-'Council Entry'!K$5)/('Council Entry'!K$6-'Council Entry'!K$5),10*((IF('Council Entry'!K$4="Logarithm",LN(0.001+IF(AND(ISNUMBER('Council Entry'!K$8),ISNUMBER('Council Entry'!K$9)),MAX(MIN('Council Entry'!K96,'Council Entry'!K$9),'Council Entry'!K$8),'Council Entry'!K96)),IF('Council Entry'!K$4="Exponential",EXP(IF(AND(ISNUMBER('Council Entry'!K$8),ISNUMBER('Council Entry'!K$9)),MAX(MIN('Council Entry'!K96,'Council Entry'!K$9),'Council Entry'!K$8),'Council Entry'!K96)),IF(AND(ISNUMBER('Council Entry'!K$8),ISNUMBER('Council Entry'!K$9)),MAX(MIN('Council Entry'!K96,'Council Entry'!K$9),'Council Entry'!K$8),'Council Entry'!K96))))-'Council Entry'!K$5)/('Council Entry'!K$6-'Council Entry'!K$5)),1))),"No data"))</f>
        <v/>
      </c>
      <c r="L96" s="13">
        <f>IF('Council Entry'!L96="","",IFERROR(MAX(0,MIN(10,ROUND(IF('Council Entry'!L$7="Decrease Risk",10-10*((IF('Council Entry'!L$4="Logarithm",LN(0.001+IF(AND(ISNUMBER('Council Entry'!L$8),ISNUMBER('Council Entry'!L$9)),MAX(MIN('Council Entry'!L96,'Council Entry'!L$9),'Council Entry'!L$8),'Council Entry'!L96)),IF('Council Entry'!L$4="Exponential",EXP(IF(AND(ISNUMBER('Council Entry'!L$8),ISNUMBER('Council Entry'!L$9)),MAX(MIN('Council Entry'!L96,'Council Entry'!L$9),'Council Entry'!L$8),'Council Entry'!L96)),IF(AND(ISNUMBER('Council Entry'!L$8),ISNUMBER('Council Entry'!L$9)),MAX(MIN('Council Entry'!L96,'Council Entry'!L$9),'Council Entry'!L$8),'Council Entry'!L96))))-'Council Entry'!L$5)/('Council Entry'!L$6-'Council Entry'!L$5),10*((IF('Council Entry'!L$4="Logarithm",LN(0.001+IF(AND(ISNUMBER('Council Entry'!L$8),ISNUMBER('Council Entry'!L$9)),MAX(MIN('Council Entry'!L96,'Council Entry'!L$9),'Council Entry'!L$8),'Council Entry'!L96)),IF('Council Entry'!L$4="Exponential",EXP(IF(AND(ISNUMBER('Council Entry'!L$8),ISNUMBER('Council Entry'!L$9)),MAX(MIN('Council Entry'!L96,'Council Entry'!L$9),'Council Entry'!L$8),'Council Entry'!L96)),IF(AND(ISNUMBER('Council Entry'!L$8),ISNUMBER('Council Entry'!L$9)),MAX(MIN('Council Entry'!L96,'Council Entry'!L$9),'Council Entry'!L$8),'Council Entry'!L96))))-'Council Entry'!L$5)/('Council Entry'!L$6-'Council Entry'!L$5)),1))),"No data"))</f>
        <v/>
      </c>
      <c r="M96" s="13">
        <f>IF('Council Entry'!M96="","",IFERROR(MAX(0,MIN(10,ROUND(IF('Council Entry'!M$7="Decrease Risk",10-10*((IF('Council Entry'!M$4="Logarithm",LN(0.001+IF(AND(ISNUMBER('Council Entry'!M$8),ISNUMBER('Council Entry'!M$9)),MAX(MIN('Council Entry'!M96,'Council Entry'!M$9),'Council Entry'!M$8),'Council Entry'!M96)),IF('Council Entry'!M$4="Exponential",EXP(IF(AND(ISNUMBER('Council Entry'!M$8),ISNUMBER('Council Entry'!M$9)),MAX(MIN('Council Entry'!M96,'Council Entry'!M$9),'Council Entry'!M$8),'Council Entry'!M96)),IF(AND(ISNUMBER('Council Entry'!M$8),ISNUMBER('Council Entry'!M$9)),MAX(MIN('Council Entry'!M96,'Council Entry'!M$9),'Council Entry'!M$8),'Council Entry'!M96))))-'Council Entry'!M$5)/('Council Entry'!M$6-'Council Entry'!M$5),10*((IF('Council Entry'!M$4="Logarithm",LN(0.001+IF(AND(ISNUMBER('Council Entry'!M$8),ISNUMBER('Council Entry'!M$9)),MAX(MIN('Council Entry'!M96,'Council Entry'!M$9),'Council Entry'!M$8),'Council Entry'!M96)),IF('Council Entry'!M$4="Exponential",EXP(IF(AND(ISNUMBER('Council Entry'!M$8),ISNUMBER('Council Entry'!M$9)),MAX(MIN('Council Entry'!M96,'Council Entry'!M$9),'Council Entry'!M$8),'Council Entry'!M96)),IF(AND(ISNUMBER('Council Entry'!M$8),ISNUMBER('Council Entry'!M$9)),MAX(MIN('Council Entry'!M96,'Council Entry'!M$9),'Council Entry'!M$8),'Council Entry'!M96))))-'Council Entry'!M$5)/('Council Entry'!M$6-'Council Entry'!M$5)),1))),"No data"))</f>
        <v/>
      </c>
      <c r="N96" s="13">
        <f>IF('Council Entry'!N96="","",IFERROR(MAX(0,MIN(10,ROUND(IF('Council Entry'!N$7="Decrease Risk",10-10*((IF('Council Entry'!N$4="Logarithm",LN(0.001+IF(AND(ISNUMBER('Council Entry'!N$8),ISNUMBER('Council Entry'!N$9)),MAX(MIN('Council Entry'!N96,'Council Entry'!N$9),'Council Entry'!N$8),'Council Entry'!N96)),IF('Council Entry'!N$4="Exponential",EXP(IF(AND(ISNUMBER('Council Entry'!N$8),ISNUMBER('Council Entry'!N$9)),MAX(MIN('Council Entry'!N96,'Council Entry'!N$9),'Council Entry'!N$8),'Council Entry'!N96)),IF(AND(ISNUMBER('Council Entry'!N$8),ISNUMBER('Council Entry'!N$9)),MAX(MIN('Council Entry'!N96,'Council Entry'!N$9),'Council Entry'!N$8),'Council Entry'!N96))))-'Council Entry'!N$5)/('Council Entry'!N$6-'Council Entry'!N$5),10*((IF('Council Entry'!N$4="Logarithm",LN(0.001+IF(AND(ISNUMBER('Council Entry'!N$8),ISNUMBER('Council Entry'!N$9)),MAX(MIN('Council Entry'!N96,'Council Entry'!N$9),'Council Entry'!N$8),'Council Entry'!N96)),IF('Council Entry'!N$4="Exponential",EXP(IF(AND(ISNUMBER('Council Entry'!N$8),ISNUMBER('Council Entry'!N$9)),MAX(MIN('Council Entry'!N96,'Council Entry'!N$9),'Council Entry'!N$8),'Council Entry'!N96)),IF(AND(ISNUMBER('Council Entry'!N$8),ISNUMBER('Council Entry'!N$9)),MAX(MIN('Council Entry'!N96,'Council Entry'!N$9),'Council Entry'!N$8),'Council Entry'!N96))))-'Council Entry'!N$5)/('Council Entry'!N$6-'Council Entry'!N$5)),1))),"No data"))</f>
        <v/>
      </c>
      <c r="O96" s="13">
        <f>IF('Council Entry'!O96="","",IFERROR(MAX(0,MIN(10,ROUND(IF('Council Entry'!O$7="Decrease Risk",10-10*((IF('Council Entry'!O$4="Logarithm",LN(0.001+IF(AND(ISNUMBER('Council Entry'!O$8),ISNUMBER('Council Entry'!O$9)),MAX(MIN('Council Entry'!O96,'Council Entry'!O$9),'Council Entry'!O$8),'Council Entry'!O96)),IF('Council Entry'!O$4="Exponential",EXP(IF(AND(ISNUMBER('Council Entry'!O$8),ISNUMBER('Council Entry'!O$9)),MAX(MIN('Council Entry'!O96,'Council Entry'!O$9),'Council Entry'!O$8),'Council Entry'!O96)),IF(AND(ISNUMBER('Council Entry'!O$8),ISNUMBER('Council Entry'!O$9)),MAX(MIN('Council Entry'!O96,'Council Entry'!O$9),'Council Entry'!O$8),'Council Entry'!O96))))-'Council Entry'!O$5)/('Council Entry'!O$6-'Council Entry'!O$5),10*((IF('Council Entry'!O$4="Logarithm",LN(0.001+IF(AND(ISNUMBER('Council Entry'!O$8),ISNUMBER('Council Entry'!O$9)),MAX(MIN('Council Entry'!O96,'Council Entry'!O$9),'Council Entry'!O$8),'Council Entry'!O96)),IF('Council Entry'!O$4="Exponential",EXP(IF(AND(ISNUMBER('Council Entry'!O$8),ISNUMBER('Council Entry'!O$9)),MAX(MIN('Council Entry'!O96,'Council Entry'!O$9),'Council Entry'!O$8),'Council Entry'!O96)),IF(AND(ISNUMBER('Council Entry'!O$8),ISNUMBER('Council Entry'!O$9)),MAX(MIN('Council Entry'!O96,'Council Entry'!O$9),'Council Entry'!O$8),'Council Entry'!O96))))-'Council Entry'!O$5)/('Council Entry'!O$6-'Council Entry'!O$5)),1))),"No data"))</f>
        <v/>
      </c>
      <c r="P96" s="13">
        <f>IF('Council Entry'!P96="","",IFERROR(MAX(0,MIN(10,ROUND(IF('Council Entry'!P$7="Decrease Risk",10-10*((IF('Council Entry'!P$4="Logarithm",LN(0.001+IF(AND(ISNUMBER('Council Entry'!P$8),ISNUMBER('Council Entry'!P$9)),MAX(MIN('Council Entry'!P96,'Council Entry'!P$9),'Council Entry'!P$8),'Council Entry'!P96)),IF('Council Entry'!P$4="Exponential",EXP(IF(AND(ISNUMBER('Council Entry'!P$8),ISNUMBER('Council Entry'!P$9)),MAX(MIN('Council Entry'!P96,'Council Entry'!P$9),'Council Entry'!P$8),'Council Entry'!P96)),IF(AND(ISNUMBER('Council Entry'!P$8),ISNUMBER('Council Entry'!P$9)),MAX(MIN('Council Entry'!P96,'Council Entry'!P$9),'Council Entry'!P$8),'Council Entry'!P96))))-'Council Entry'!P$5)/('Council Entry'!P$6-'Council Entry'!P$5),10*((IF('Council Entry'!P$4="Logarithm",LN(0.001+IF(AND(ISNUMBER('Council Entry'!P$8),ISNUMBER('Council Entry'!P$9)),MAX(MIN('Council Entry'!P96,'Council Entry'!P$9),'Council Entry'!P$8),'Council Entry'!P96)),IF('Council Entry'!P$4="Exponential",EXP(IF(AND(ISNUMBER('Council Entry'!P$8),ISNUMBER('Council Entry'!P$9)),MAX(MIN('Council Entry'!P96,'Council Entry'!P$9),'Council Entry'!P$8),'Council Entry'!P96)),IF(AND(ISNUMBER('Council Entry'!P$8),ISNUMBER('Council Entry'!P$9)),MAX(MIN('Council Entry'!P96,'Council Entry'!P$9),'Council Entry'!P$8),'Council Entry'!P96))))-'Council Entry'!P$5)/('Council Entry'!P$6-'Council Entry'!P$5)),1))),"No data"))</f>
        <v/>
      </c>
      <c r="Q96" s="13">
        <f>IF('Council Entry'!Q96="","",IFERROR(MAX(0,MIN(10,ROUND(IF('Council Entry'!Q$7="Decrease Risk",10-10*((IF('Council Entry'!Q$4="Logarithm",LN(0.001+IF(AND(ISNUMBER('Council Entry'!Q$8),ISNUMBER('Council Entry'!Q$9)),MAX(MIN('Council Entry'!Q96,'Council Entry'!Q$9),'Council Entry'!Q$8),'Council Entry'!Q96)),IF('Council Entry'!Q$4="Exponential",EXP(IF(AND(ISNUMBER('Council Entry'!Q$8),ISNUMBER('Council Entry'!Q$9)),MAX(MIN('Council Entry'!Q96,'Council Entry'!Q$9),'Council Entry'!Q$8),'Council Entry'!Q96)),IF(AND(ISNUMBER('Council Entry'!Q$8),ISNUMBER('Council Entry'!Q$9)),MAX(MIN('Council Entry'!Q96,'Council Entry'!Q$9),'Council Entry'!Q$8),'Council Entry'!Q96))))-'Council Entry'!Q$5)/('Council Entry'!Q$6-'Council Entry'!Q$5),10*((IF('Council Entry'!Q$4="Logarithm",LN(0.001+IF(AND(ISNUMBER('Council Entry'!Q$8),ISNUMBER('Council Entry'!Q$9)),MAX(MIN('Council Entry'!Q96,'Council Entry'!Q$9),'Council Entry'!Q$8),'Council Entry'!Q96)),IF('Council Entry'!Q$4="Exponential",EXP(IF(AND(ISNUMBER('Council Entry'!Q$8),ISNUMBER('Council Entry'!Q$9)),MAX(MIN('Council Entry'!Q96,'Council Entry'!Q$9),'Council Entry'!Q$8),'Council Entry'!Q96)),IF(AND(ISNUMBER('Council Entry'!Q$8),ISNUMBER('Council Entry'!Q$9)),MAX(MIN('Council Entry'!Q96,'Council Entry'!Q$9),'Council Entry'!Q$8),'Council Entry'!Q96))))-'Council Entry'!Q$5)/('Council Entry'!Q$6-'Council Entry'!Q$5)),1))),"No data"))</f>
        <v/>
      </c>
      <c r="R96" s="13">
        <f>IF('Council Entry'!R96="","",IFERROR(MAX(0,MIN(10,ROUND(IF('Council Entry'!R$7="Decrease Risk",10-10*((IF('Council Entry'!R$4="Logarithm",LN(0.001+IF(AND(ISNUMBER('Council Entry'!R$8),ISNUMBER('Council Entry'!R$9)),MAX(MIN('Council Entry'!R96,'Council Entry'!R$9),'Council Entry'!R$8),'Council Entry'!R96)),IF('Council Entry'!R$4="Exponential",EXP(IF(AND(ISNUMBER('Council Entry'!R$8),ISNUMBER('Council Entry'!R$9)),MAX(MIN('Council Entry'!R96,'Council Entry'!R$9),'Council Entry'!R$8),'Council Entry'!R96)),IF(AND(ISNUMBER('Council Entry'!R$8),ISNUMBER('Council Entry'!R$9)),MAX(MIN('Council Entry'!R96,'Council Entry'!R$9),'Council Entry'!R$8),'Council Entry'!R96))))-'Council Entry'!R$5)/('Council Entry'!R$6-'Council Entry'!R$5),10*((IF('Council Entry'!R$4="Logarithm",LN(0.001+IF(AND(ISNUMBER('Council Entry'!R$8),ISNUMBER('Council Entry'!R$9)),MAX(MIN('Council Entry'!R96,'Council Entry'!R$9),'Council Entry'!R$8),'Council Entry'!R96)),IF('Council Entry'!R$4="Exponential",EXP(IF(AND(ISNUMBER('Council Entry'!R$8),ISNUMBER('Council Entry'!R$9)),MAX(MIN('Council Entry'!R96,'Council Entry'!R$9),'Council Entry'!R$8),'Council Entry'!R96)),IF(AND(ISNUMBER('Council Entry'!R$8),ISNUMBER('Council Entry'!R$9)),MAX(MIN('Council Entry'!R96,'Council Entry'!R$9),'Council Entry'!R$8),'Council Entry'!R96))))-'Council Entry'!R$5)/('Council Entry'!R$6-'Council Entry'!R$5)),1))),"No data"))</f>
        <v/>
      </c>
      <c r="S96" s="13">
        <f>IF('Council Entry'!S96="","",IFERROR(MAX(0,MIN(10,ROUND(IF('Council Entry'!S$7="Decrease Risk",10-10*((IF('Council Entry'!S$4="Logarithm",LN(0.001+IF(AND(ISNUMBER('Council Entry'!S$8),ISNUMBER('Council Entry'!S$9)),MAX(MIN('Council Entry'!S96,'Council Entry'!S$9),'Council Entry'!S$8),'Council Entry'!S96)),IF('Council Entry'!S$4="Exponential",EXP(IF(AND(ISNUMBER('Council Entry'!S$8),ISNUMBER('Council Entry'!S$9)),MAX(MIN('Council Entry'!S96,'Council Entry'!S$9),'Council Entry'!S$8),'Council Entry'!S96)),IF(AND(ISNUMBER('Council Entry'!S$8),ISNUMBER('Council Entry'!S$9)),MAX(MIN('Council Entry'!S96,'Council Entry'!S$9),'Council Entry'!S$8),'Council Entry'!S96))))-'Council Entry'!S$5)/('Council Entry'!S$6-'Council Entry'!S$5),10*((IF('Council Entry'!S$4="Logarithm",LN(0.001+IF(AND(ISNUMBER('Council Entry'!S$8),ISNUMBER('Council Entry'!S$9)),MAX(MIN('Council Entry'!S96,'Council Entry'!S$9),'Council Entry'!S$8),'Council Entry'!S96)),IF('Council Entry'!S$4="Exponential",EXP(IF(AND(ISNUMBER('Council Entry'!S$8),ISNUMBER('Council Entry'!S$9)),MAX(MIN('Council Entry'!S96,'Council Entry'!S$9),'Council Entry'!S$8),'Council Entry'!S96)),IF(AND(ISNUMBER('Council Entry'!S$8),ISNUMBER('Council Entry'!S$9)),MAX(MIN('Council Entry'!S96,'Council Entry'!S$9),'Council Entry'!S$8),'Council Entry'!S96))))-'Council Entry'!S$5)/('Council Entry'!S$6-'Council Entry'!S$5)),1))),"No data"))</f>
        <v/>
      </c>
      <c r="T96" s="13">
        <f>IF('Council Entry'!T96="","",IFERROR(MAX(0,MIN(10,ROUND(IF('Council Entry'!T$7="Decrease Risk",10-10*((IF('Council Entry'!T$4="Logarithm",LN(0.001+IF(AND(ISNUMBER('Council Entry'!T$8),ISNUMBER('Council Entry'!T$9)),MAX(MIN('Council Entry'!T96,'Council Entry'!T$9),'Council Entry'!T$8),'Council Entry'!T96)),IF('Council Entry'!T$4="Exponential",EXP(IF(AND(ISNUMBER('Council Entry'!T$8),ISNUMBER('Council Entry'!T$9)),MAX(MIN('Council Entry'!T96,'Council Entry'!T$9),'Council Entry'!T$8),'Council Entry'!T96)),IF(AND(ISNUMBER('Council Entry'!T$8),ISNUMBER('Council Entry'!T$9)),MAX(MIN('Council Entry'!T96,'Council Entry'!T$9),'Council Entry'!T$8),'Council Entry'!T96))))-'Council Entry'!T$5)/('Council Entry'!T$6-'Council Entry'!T$5),10*((IF('Council Entry'!T$4="Logarithm",LN(0.001+IF(AND(ISNUMBER('Council Entry'!T$8),ISNUMBER('Council Entry'!T$9)),MAX(MIN('Council Entry'!T96,'Council Entry'!T$9),'Council Entry'!T$8),'Council Entry'!T96)),IF('Council Entry'!T$4="Exponential",EXP(IF(AND(ISNUMBER('Council Entry'!T$8),ISNUMBER('Council Entry'!T$9)),MAX(MIN('Council Entry'!T96,'Council Entry'!T$9),'Council Entry'!T$8),'Council Entry'!T96)),IF(AND(ISNUMBER('Council Entry'!T$8),ISNUMBER('Council Entry'!T$9)),MAX(MIN('Council Entry'!T96,'Council Entry'!T$9),'Council Entry'!T$8),'Council Entry'!T96))))-'Council Entry'!T$5)/('Council Entry'!T$6-'Council Entry'!T$5)),1))),"No data"))</f>
        <v/>
      </c>
      <c r="U96" s="13">
        <f>IF('Council Entry'!U96="","",IFERROR(MAX(0,MIN(10,ROUND(IF('Council Entry'!U$7="Decrease Risk",10-10*((IF('Council Entry'!U$4="Logarithm",LN(0.001+IF(AND(ISNUMBER('Council Entry'!U$8),ISNUMBER('Council Entry'!U$9)),MAX(MIN('Council Entry'!U96,'Council Entry'!U$9),'Council Entry'!U$8),'Council Entry'!U96)),IF('Council Entry'!U$4="Exponential",EXP(IF(AND(ISNUMBER('Council Entry'!U$8),ISNUMBER('Council Entry'!U$9)),MAX(MIN('Council Entry'!U96,'Council Entry'!U$9),'Council Entry'!U$8),'Council Entry'!U96)),IF(AND(ISNUMBER('Council Entry'!U$8),ISNUMBER('Council Entry'!U$9)),MAX(MIN('Council Entry'!U96,'Council Entry'!U$9),'Council Entry'!U$8),'Council Entry'!U96))))-'Council Entry'!U$5)/('Council Entry'!U$6-'Council Entry'!U$5),10*((IF('Council Entry'!U$4="Logarithm",LN(0.001+IF(AND(ISNUMBER('Council Entry'!U$8),ISNUMBER('Council Entry'!U$9)),MAX(MIN('Council Entry'!U96,'Council Entry'!U$9),'Council Entry'!U$8),'Council Entry'!U96)),IF('Council Entry'!U$4="Exponential",EXP(IF(AND(ISNUMBER('Council Entry'!U$8),ISNUMBER('Council Entry'!U$9)),MAX(MIN('Council Entry'!U96,'Council Entry'!U$9),'Council Entry'!U$8),'Council Entry'!U96)),IF(AND(ISNUMBER('Council Entry'!U$8),ISNUMBER('Council Entry'!U$9)),MAX(MIN('Council Entry'!U96,'Council Entry'!U$9),'Council Entry'!U$8),'Council Entry'!U96))))-'Council Entry'!U$5)/('Council Entry'!U$6-'Council Entry'!U$5)),1))),"No data"))</f>
        <v/>
      </c>
      <c r="V96" s="13">
        <f>IF('Council Entry'!V96="","",IFERROR(MAX(0,MIN(10,ROUND(IF('Council Entry'!V$7="Decrease Risk",10-10*((IF('Council Entry'!V$4="Logarithm",LN(0.001+IF(AND(ISNUMBER('Council Entry'!V$8),ISNUMBER('Council Entry'!V$9)),MAX(MIN('Council Entry'!V96,'Council Entry'!V$9),'Council Entry'!V$8),'Council Entry'!V96)),IF('Council Entry'!V$4="Exponential",EXP(IF(AND(ISNUMBER('Council Entry'!V$8),ISNUMBER('Council Entry'!V$9)),MAX(MIN('Council Entry'!V96,'Council Entry'!V$9),'Council Entry'!V$8),'Council Entry'!V96)),IF(AND(ISNUMBER('Council Entry'!V$8),ISNUMBER('Council Entry'!V$9)),MAX(MIN('Council Entry'!V96,'Council Entry'!V$9),'Council Entry'!V$8),'Council Entry'!V96))))-'Council Entry'!V$5)/('Council Entry'!V$6-'Council Entry'!V$5),10*((IF('Council Entry'!V$4="Logarithm",LN(0.001+IF(AND(ISNUMBER('Council Entry'!V$8),ISNUMBER('Council Entry'!V$9)),MAX(MIN('Council Entry'!V96,'Council Entry'!V$9),'Council Entry'!V$8),'Council Entry'!V96)),IF('Council Entry'!V$4="Exponential",EXP(IF(AND(ISNUMBER('Council Entry'!V$8),ISNUMBER('Council Entry'!V$9)),MAX(MIN('Council Entry'!V96,'Council Entry'!V$9),'Council Entry'!V$8),'Council Entry'!V96)),IF(AND(ISNUMBER('Council Entry'!V$8),ISNUMBER('Council Entry'!V$9)),MAX(MIN('Council Entry'!V96,'Council Entry'!V$9),'Council Entry'!V$8),'Council Entry'!V96))))-'Council Entry'!V$5)/('Council Entry'!V$6-'Council Entry'!V$5)),1))),"No data"))</f>
        <v/>
      </c>
      <c r="W96" s="13">
        <f>IF('Council Entry'!W96="","",IFERROR(MAX(0,MIN(10,ROUND(IF('Council Entry'!W$7="Decrease Risk",10-10*((IF('Council Entry'!W$4="Logarithm",LN(0.001+IF(AND(ISNUMBER('Council Entry'!W$8),ISNUMBER('Council Entry'!W$9)),MAX(MIN('Council Entry'!W96,'Council Entry'!W$9),'Council Entry'!W$8),'Council Entry'!W96)),IF('Council Entry'!W$4="Exponential",EXP(IF(AND(ISNUMBER('Council Entry'!W$8),ISNUMBER('Council Entry'!W$9)),MAX(MIN('Council Entry'!W96,'Council Entry'!W$9),'Council Entry'!W$8),'Council Entry'!W96)),IF(AND(ISNUMBER('Council Entry'!W$8),ISNUMBER('Council Entry'!W$9)),MAX(MIN('Council Entry'!W96,'Council Entry'!W$9),'Council Entry'!W$8),'Council Entry'!W96))))-'Council Entry'!W$5)/('Council Entry'!W$6-'Council Entry'!W$5),10*((IF('Council Entry'!W$4="Logarithm",LN(0.001+IF(AND(ISNUMBER('Council Entry'!W$8),ISNUMBER('Council Entry'!W$9)),MAX(MIN('Council Entry'!W96,'Council Entry'!W$9),'Council Entry'!W$8),'Council Entry'!W96)),IF('Council Entry'!W$4="Exponential",EXP(IF(AND(ISNUMBER('Council Entry'!W$8),ISNUMBER('Council Entry'!W$9)),MAX(MIN('Council Entry'!W96,'Council Entry'!W$9),'Council Entry'!W$8),'Council Entry'!W96)),IF(AND(ISNUMBER('Council Entry'!W$8),ISNUMBER('Council Entry'!W$9)),MAX(MIN('Council Entry'!W96,'Council Entry'!W$9),'Council Entry'!W$8),'Council Entry'!W96))))-'Council Entry'!W$5)/('Council Entry'!W$6-'Council Entry'!W$5)),1))),"No data"))</f>
        <v/>
      </c>
      <c r="X96" s="13">
        <f>IF('Council Entry'!X96="","",IFERROR(MAX(0,MIN(10,ROUND(IF('Council Entry'!X$7="Decrease Risk",10-10*((IF('Council Entry'!X$4="Logarithm",LN(0.001+IF(AND(ISNUMBER('Council Entry'!X$8),ISNUMBER('Council Entry'!X$9)),MAX(MIN('Council Entry'!X96,'Council Entry'!X$9),'Council Entry'!X$8),'Council Entry'!X96)),IF('Council Entry'!X$4="Exponential",EXP(IF(AND(ISNUMBER('Council Entry'!X$8),ISNUMBER('Council Entry'!X$9)),MAX(MIN('Council Entry'!X96,'Council Entry'!X$9),'Council Entry'!X$8),'Council Entry'!X96)),IF(AND(ISNUMBER('Council Entry'!X$8),ISNUMBER('Council Entry'!X$9)),MAX(MIN('Council Entry'!X96,'Council Entry'!X$9),'Council Entry'!X$8),'Council Entry'!X96))))-'Council Entry'!X$5)/('Council Entry'!X$6-'Council Entry'!X$5),10*((IF('Council Entry'!X$4="Logarithm",LN(0.001+IF(AND(ISNUMBER('Council Entry'!X$8),ISNUMBER('Council Entry'!X$9)),MAX(MIN('Council Entry'!X96,'Council Entry'!X$9),'Council Entry'!X$8),'Council Entry'!X96)),IF('Council Entry'!X$4="Exponential",EXP(IF(AND(ISNUMBER('Council Entry'!X$8),ISNUMBER('Council Entry'!X$9)),MAX(MIN('Council Entry'!X96,'Council Entry'!X$9),'Council Entry'!X$8),'Council Entry'!X96)),IF(AND(ISNUMBER('Council Entry'!X$8),ISNUMBER('Council Entry'!X$9)),MAX(MIN('Council Entry'!X96,'Council Entry'!X$9),'Council Entry'!X$8),'Council Entry'!X96))))-'Council Entry'!X$5)/('Council Entry'!X$6-'Council Entry'!X$5)),1))),"No data"))</f>
        <v/>
      </c>
      <c r="Y96" s="13">
        <f>IF('Council Entry'!Y96="","",IFERROR(MAX(0,MIN(10,ROUND(IF('Council Entry'!Y$7="Decrease Risk",10-10*((IF('Council Entry'!Y$4="Logarithm",LN(0.001+IF(AND(ISNUMBER('Council Entry'!Y$8),ISNUMBER('Council Entry'!Y$9)),MAX(MIN('Council Entry'!Y96,'Council Entry'!Y$9),'Council Entry'!Y$8),'Council Entry'!Y96)),IF('Council Entry'!Y$4="Exponential",EXP(IF(AND(ISNUMBER('Council Entry'!Y$8),ISNUMBER('Council Entry'!Y$9)),MAX(MIN('Council Entry'!Y96,'Council Entry'!Y$9),'Council Entry'!Y$8),'Council Entry'!Y96)),IF(AND(ISNUMBER('Council Entry'!Y$8),ISNUMBER('Council Entry'!Y$9)),MAX(MIN('Council Entry'!Y96,'Council Entry'!Y$9),'Council Entry'!Y$8),'Council Entry'!Y96))))-'Council Entry'!Y$5)/('Council Entry'!Y$6-'Council Entry'!Y$5),10*((IF('Council Entry'!Y$4="Logarithm",LN(0.001+IF(AND(ISNUMBER('Council Entry'!Y$8),ISNUMBER('Council Entry'!Y$9)),MAX(MIN('Council Entry'!Y96,'Council Entry'!Y$9),'Council Entry'!Y$8),'Council Entry'!Y96)),IF('Council Entry'!Y$4="Exponential",EXP(IF(AND(ISNUMBER('Council Entry'!Y$8),ISNUMBER('Council Entry'!Y$9)),MAX(MIN('Council Entry'!Y96,'Council Entry'!Y$9),'Council Entry'!Y$8),'Council Entry'!Y96)),IF(AND(ISNUMBER('Council Entry'!Y$8),ISNUMBER('Council Entry'!Y$9)),MAX(MIN('Council Entry'!Y96,'Council Entry'!Y$9),'Council Entry'!Y$8),'Council Entry'!Y96))))-'Council Entry'!Y$5)/('Council Entry'!Y$6-'Council Entry'!Y$5)),1))),"No data"))</f>
        <v/>
      </c>
      <c r="Z96" s="13">
        <f>IF('Council Entry'!Z96="","",IFERROR(MAX(0,MIN(10,ROUND(IF('Council Entry'!Z$7="Decrease Risk",10-10*((IF('Council Entry'!Z$4="Logarithm",LN(0.001+IF(AND(ISNUMBER('Council Entry'!Z$8),ISNUMBER('Council Entry'!Z$9)),MAX(MIN('Council Entry'!Z96,'Council Entry'!Z$9),'Council Entry'!Z$8),'Council Entry'!Z96)),IF('Council Entry'!Z$4="Exponential",EXP(IF(AND(ISNUMBER('Council Entry'!Z$8),ISNUMBER('Council Entry'!Z$9)),MAX(MIN('Council Entry'!Z96,'Council Entry'!Z$9),'Council Entry'!Z$8),'Council Entry'!Z96)),IF(AND(ISNUMBER('Council Entry'!Z$8),ISNUMBER('Council Entry'!Z$9)),MAX(MIN('Council Entry'!Z96,'Council Entry'!Z$9),'Council Entry'!Z$8),'Council Entry'!Z96))))-'Council Entry'!Z$5)/('Council Entry'!Z$6-'Council Entry'!Z$5),10*((IF('Council Entry'!Z$4="Logarithm",LN(0.001+IF(AND(ISNUMBER('Council Entry'!Z$8),ISNUMBER('Council Entry'!Z$9)),MAX(MIN('Council Entry'!Z96,'Council Entry'!Z$9),'Council Entry'!Z$8),'Council Entry'!Z96)),IF('Council Entry'!Z$4="Exponential",EXP(IF(AND(ISNUMBER('Council Entry'!Z$8),ISNUMBER('Council Entry'!Z$9)),MAX(MIN('Council Entry'!Z96,'Council Entry'!Z$9),'Council Entry'!Z$8),'Council Entry'!Z96)),IF(AND(ISNUMBER('Council Entry'!Z$8),ISNUMBER('Council Entry'!Z$9)),MAX(MIN('Council Entry'!Z96,'Council Entry'!Z$9),'Council Entry'!Z$8),'Council Entry'!Z96))))-'Council Entry'!Z$5)/('Council Entry'!Z$6-'Council Entry'!Z$5)),1))),"No data"))</f>
        <v/>
      </c>
      <c r="AA96" s="13">
        <f>IF('Council Entry'!AA96="","",IFERROR(MAX(0,MIN(10,ROUND(IF('Council Entry'!AA$7="Decrease Risk",10-10*((IF('Council Entry'!AA$4="Logarithm",LN(0.001+IF(AND(ISNUMBER('Council Entry'!AA$8),ISNUMBER('Council Entry'!AA$9)),MAX(MIN('Council Entry'!AA96,'Council Entry'!AA$9),'Council Entry'!AA$8),'Council Entry'!AA96)),IF('Council Entry'!AA$4="Exponential",EXP(IF(AND(ISNUMBER('Council Entry'!AA$8),ISNUMBER('Council Entry'!AA$9)),MAX(MIN('Council Entry'!AA96,'Council Entry'!AA$9),'Council Entry'!AA$8),'Council Entry'!AA96)),IF(AND(ISNUMBER('Council Entry'!AA$8),ISNUMBER('Council Entry'!AA$9)),MAX(MIN('Council Entry'!AA96,'Council Entry'!AA$9),'Council Entry'!AA$8),'Council Entry'!AA96))))-'Council Entry'!AA$5)/('Council Entry'!AA$6-'Council Entry'!AA$5),10*((IF('Council Entry'!AA$4="Logarithm",LN(0.001+IF(AND(ISNUMBER('Council Entry'!AA$8),ISNUMBER('Council Entry'!AA$9)),MAX(MIN('Council Entry'!AA96,'Council Entry'!AA$9),'Council Entry'!AA$8),'Council Entry'!AA96)),IF('Council Entry'!AA$4="Exponential",EXP(IF(AND(ISNUMBER('Council Entry'!AA$8),ISNUMBER('Council Entry'!AA$9)),MAX(MIN('Council Entry'!AA96,'Council Entry'!AA$9),'Council Entry'!AA$8),'Council Entry'!AA96)),IF(AND(ISNUMBER('Council Entry'!AA$8),ISNUMBER('Council Entry'!AA$9)),MAX(MIN('Council Entry'!AA96,'Council Entry'!AA$9),'Council Entry'!AA$8),'Council Entry'!AA96))))-'Council Entry'!AA$5)/('Council Entry'!AA$6-'Council Entry'!AA$5)),1))),"No data"))</f>
        <v/>
      </c>
      <c r="AB96" s="13">
        <f>IF('Council Entry'!AB96="","",IFERROR(MAX(0,MIN(10,ROUND(IF('Council Entry'!AB$7="Decrease Risk",10-10*((IF('Council Entry'!AB$4="Logarithm",LN(0.001+IF(AND(ISNUMBER('Council Entry'!AB$8),ISNUMBER('Council Entry'!AB$9)),MAX(MIN('Council Entry'!AB96,'Council Entry'!AB$9),'Council Entry'!AB$8),'Council Entry'!AB96)),IF('Council Entry'!AB$4="Exponential",EXP(IF(AND(ISNUMBER('Council Entry'!AB$8),ISNUMBER('Council Entry'!AB$9)),MAX(MIN('Council Entry'!AB96,'Council Entry'!AB$9),'Council Entry'!AB$8),'Council Entry'!AB96)),IF(AND(ISNUMBER('Council Entry'!AB$8),ISNUMBER('Council Entry'!AB$9)),MAX(MIN('Council Entry'!AB96,'Council Entry'!AB$9),'Council Entry'!AB$8),'Council Entry'!AB96))))-'Council Entry'!AB$5)/('Council Entry'!AB$6-'Council Entry'!AB$5),10*((IF('Council Entry'!AB$4="Logarithm",LN(0.001+IF(AND(ISNUMBER('Council Entry'!AB$8),ISNUMBER('Council Entry'!AB$9)),MAX(MIN('Council Entry'!AB96,'Council Entry'!AB$9),'Council Entry'!AB$8),'Council Entry'!AB96)),IF('Council Entry'!AB$4="Exponential",EXP(IF(AND(ISNUMBER('Council Entry'!AB$8),ISNUMBER('Council Entry'!AB$9)),MAX(MIN('Council Entry'!AB96,'Council Entry'!AB$9),'Council Entry'!AB$8),'Council Entry'!AB96)),IF(AND(ISNUMBER('Council Entry'!AB$8),ISNUMBER('Council Entry'!AB$9)),MAX(MIN('Council Entry'!AB96,'Council Entry'!AB$9),'Council Entry'!AB$8),'Council Entry'!AB96))))-'Council Entry'!AB$5)/('Council Entry'!AB$6-'Council Entry'!AB$5)),1))),"No data"))</f>
        <v/>
      </c>
      <c r="AC96" s="13">
        <f>IF('Council Entry'!AC96="","",IFERROR(MAX(0,MIN(10,ROUND(IF('Council Entry'!AC$7="Decrease Risk",10-10*((IF('Council Entry'!AC$4="Logarithm",LN(0.001+IF(AND(ISNUMBER('Council Entry'!AC$8),ISNUMBER('Council Entry'!AC$9)),MAX(MIN('Council Entry'!AC96,'Council Entry'!AC$9),'Council Entry'!AC$8),'Council Entry'!AC96)),IF('Council Entry'!AC$4="Exponential",EXP(IF(AND(ISNUMBER('Council Entry'!AC$8),ISNUMBER('Council Entry'!AC$9)),MAX(MIN('Council Entry'!AC96,'Council Entry'!AC$9),'Council Entry'!AC$8),'Council Entry'!AC96)),IF(AND(ISNUMBER('Council Entry'!AC$8),ISNUMBER('Council Entry'!AC$9)),MAX(MIN('Council Entry'!AC96,'Council Entry'!AC$9),'Council Entry'!AC$8),'Council Entry'!AC96))))-'Council Entry'!AC$5)/('Council Entry'!AC$6-'Council Entry'!AC$5),10*((IF('Council Entry'!AC$4="Logarithm",LN(0.001+IF(AND(ISNUMBER('Council Entry'!AC$8),ISNUMBER('Council Entry'!AC$9)),MAX(MIN('Council Entry'!AC96,'Council Entry'!AC$9),'Council Entry'!AC$8),'Council Entry'!AC96)),IF('Council Entry'!AC$4="Exponential",EXP(IF(AND(ISNUMBER('Council Entry'!AC$8),ISNUMBER('Council Entry'!AC$9)),MAX(MIN('Council Entry'!AC96,'Council Entry'!AC$9),'Council Entry'!AC$8),'Council Entry'!AC96)),IF(AND(ISNUMBER('Council Entry'!AC$8),ISNUMBER('Council Entry'!AC$9)),MAX(MIN('Council Entry'!AC96,'Council Entry'!AC$9),'Council Entry'!AC$8),'Council Entry'!AC96))))-'Council Entry'!AC$5)/('Council Entry'!AC$6-'Council Entry'!AC$5)),1))),"No data"))</f>
        <v/>
      </c>
      <c r="AD96" s="13">
        <f>IF('Council Entry'!AD96="","",IFERROR(MAX(0,MIN(10,ROUND(IF('Council Entry'!AD$7="Decrease Risk",10-10*((IF('Council Entry'!AD$4="Logarithm",LN(0.001+IF(AND(ISNUMBER('Council Entry'!AD$8),ISNUMBER('Council Entry'!AD$9)),MAX(MIN('Council Entry'!AD96,'Council Entry'!AD$9),'Council Entry'!AD$8),'Council Entry'!AD96)),IF('Council Entry'!AD$4="Exponential",EXP(IF(AND(ISNUMBER('Council Entry'!AD$8),ISNUMBER('Council Entry'!AD$9)),MAX(MIN('Council Entry'!AD96,'Council Entry'!AD$9),'Council Entry'!AD$8),'Council Entry'!AD96)),IF(AND(ISNUMBER('Council Entry'!AD$8),ISNUMBER('Council Entry'!AD$9)),MAX(MIN('Council Entry'!AD96,'Council Entry'!AD$9),'Council Entry'!AD$8),'Council Entry'!AD96))))-'Council Entry'!AD$5)/('Council Entry'!AD$6-'Council Entry'!AD$5),10*((IF('Council Entry'!AD$4="Logarithm",LN(0.001+IF(AND(ISNUMBER('Council Entry'!AD$8),ISNUMBER('Council Entry'!AD$9)),MAX(MIN('Council Entry'!AD96,'Council Entry'!AD$9),'Council Entry'!AD$8),'Council Entry'!AD96)),IF('Council Entry'!AD$4="Exponential",EXP(IF(AND(ISNUMBER('Council Entry'!AD$8),ISNUMBER('Council Entry'!AD$9)),MAX(MIN('Council Entry'!AD96,'Council Entry'!AD$9),'Council Entry'!AD$8),'Council Entry'!AD96)),IF(AND(ISNUMBER('Council Entry'!AD$8),ISNUMBER('Council Entry'!AD$9)),MAX(MIN('Council Entry'!AD96,'Council Entry'!AD$9),'Council Entry'!AD$8),'Council Entry'!AD96))))-'Council Entry'!AD$5)/('Council Entry'!AD$6-'Council Entry'!AD$5)),1))),"No data"))</f>
        <v/>
      </c>
      <c r="AE96" s="13">
        <f>IF('Council Entry'!AE96="","",IFERROR(MAX(0,MIN(10,ROUND(IF('Council Entry'!AE$7="Decrease Risk",10-10*((IF('Council Entry'!AE$4="Logarithm",LN(0.001+IF(AND(ISNUMBER('Council Entry'!AE$8),ISNUMBER('Council Entry'!AE$9)),MAX(MIN('Council Entry'!AE96,'Council Entry'!AE$9),'Council Entry'!AE$8),'Council Entry'!AE96)),IF('Council Entry'!AE$4="Exponential",EXP(IF(AND(ISNUMBER('Council Entry'!AE$8),ISNUMBER('Council Entry'!AE$9)),MAX(MIN('Council Entry'!AE96,'Council Entry'!AE$9),'Council Entry'!AE$8),'Council Entry'!AE96)),IF(AND(ISNUMBER('Council Entry'!AE$8),ISNUMBER('Council Entry'!AE$9)),MAX(MIN('Council Entry'!AE96,'Council Entry'!AE$9),'Council Entry'!AE$8),'Council Entry'!AE96))))-'Council Entry'!AE$5)/('Council Entry'!AE$6-'Council Entry'!AE$5),10*((IF('Council Entry'!AE$4="Logarithm",LN(0.001+IF(AND(ISNUMBER('Council Entry'!AE$8),ISNUMBER('Council Entry'!AE$9)),MAX(MIN('Council Entry'!AE96,'Council Entry'!AE$9),'Council Entry'!AE$8),'Council Entry'!AE96)),IF('Council Entry'!AE$4="Exponential",EXP(IF(AND(ISNUMBER('Council Entry'!AE$8),ISNUMBER('Council Entry'!AE$9)),MAX(MIN('Council Entry'!AE96,'Council Entry'!AE$9),'Council Entry'!AE$8),'Council Entry'!AE96)),IF(AND(ISNUMBER('Council Entry'!AE$8),ISNUMBER('Council Entry'!AE$9)),MAX(MIN('Council Entry'!AE96,'Council Entry'!AE$9),'Council Entry'!AE$8),'Council Entry'!AE96))))-'Council Entry'!AE$5)/('Council Entry'!AE$6-'Council Entry'!AE$5)),1))),"No data"))</f>
        <v/>
      </c>
      <c r="AF96" s="13">
        <f>IF('Council Entry'!AF96="","",IFERROR(MAX(0,MIN(10,ROUND(IF('Council Entry'!AF$7="Decrease Risk",10-10*((IF('Council Entry'!AF$4="Logarithm",LN(0.001+IF(AND(ISNUMBER('Council Entry'!AF$8),ISNUMBER('Council Entry'!AF$9)),MAX(MIN('Council Entry'!AF96,'Council Entry'!AF$9),'Council Entry'!AF$8),'Council Entry'!AF96)),IF('Council Entry'!AF$4="Exponential",EXP(IF(AND(ISNUMBER('Council Entry'!AF$8),ISNUMBER('Council Entry'!AF$9)),MAX(MIN('Council Entry'!AF96,'Council Entry'!AF$9),'Council Entry'!AF$8),'Council Entry'!AF96)),IF(AND(ISNUMBER('Council Entry'!AF$8),ISNUMBER('Council Entry'!AF$9)),MAX(MIN('Council Entry'!AF96,'Council Entry'!AF$9),'Council Entry'!AF$8),'Council Entry'!AF96))))-'Council Entry'!AF$5)/('Council Entry'!AF$6-'Council Entry'!AF$5),10*((IF('Council Entry'!AF$4="Logarithm",LN(0.001+IF(AND(ISNUMBER('Council Entry'!AF$8),ISNUMBER('Council Entry'!AF$9)),MAX(MIN('Council Entry'!AF96,'Council Entry'!AF$9),'Council Entry'!AF$8),'Council Entry'!AF96)),IF('Council Entry'!AF$4="Exponential",EXP(IF(AND(ISNUMBER('Council Entry'!AF$8),ISNUMBER('Council Entry'!AF$9)),MAX(MIN('Council Entry'!AF96,'Council Entry'!AF$9),'Council Entry'!AF$8),'Council Entry'!AF96)),IF(AND(ISNUMBER('Council Entry'!AF$8),ISNUMBER('Council Entry'!AF$9)),MAX(MIN('Council Entry'!AF96,'Council Entry'!AF$9),'Council Entry'!AF$8),'Council Entry'!AF96))))-'Council Entry'!AF$5)/('Council Entry'!AF$6-'Council Entry'!AF$5)),1))),"No data"))</f>
        <v/>
      </c>
      <c r="AG96" s="13">
        <f>IF('Council Entry'!AG96="","",IFERROR(MAX(0,MIN(10,ROUND(IF('Council Entry'!AG$7="Decrease Risk",10-10*((IF('Council Entry'!AG$4="Logarithm",LN(0.001+IF(AND(ISNUMBER('Council Entry'!AG$8),ISNUMBER('Council Entry'!AG$9)),MAX(MIN('Council Entry'!AG96,'Council Entry'!AG$9),'Council Entry'!AG$8),'Council Entry'!AG96)),IF('Council Entry'!AG$4="Exponential",EXP(IF(AND(ISNUMBER('Council Entry'!AG$8),ISNUMBER('Council Entry'!AG$9)),MAX(MIN('Council Entry'!AG96,'Council Entry'!AG$9),'Council Entry'!AG$8),'Council Entry'!AG96)),IF(AND(ISNUMBER('Council Entry'!AG$8),ISNUMBER('Council Entry'!AG$9)),MAX(MIN('Council Entry'!AG96,'Council Entry'!AG$9),'Council Entry'!AG$8),'Council Entry'!AG96))))-'Council Entry'!AG$5)/('Council Entry'!AG$6-'Council Entry'!AG$5),10*((IF('Council Entry'!AG$4="Logarithm",LN(0.001+IF(AND(ISNUMBER('Council Entry'!AG$8),ISNUMBER('Council Entry'!AG$9)),MAX(MIN('Council Entry'!AG96,'Council Entry'!AG$9),'Council Entry'!AG$8),'Council Entry'!AG96)),IF('Council Entry'!AG$4="Exponential",EXP(IF(AND(ISNUMBER('Council Entry'!AG$8),ISNUMBER('Council Entry'!AG$9)),MAX(MIN('Council Entry'!AG96,'Council Entry'!AG$9),'Council Entry'!AG$8),'Council Entry'!AG96)),IF(AND(ISNUMBER('Council Entry'!AG$8),ISNUMBER('Council Entry'!AG$9)),MAX(MIN('Council Entry'!AG96,'Council Entry'!AG$9),'Council Entry'!AG$8),'Council Entry'!AG96))))-'Council Entry'!AG$5)/('Council Entry'!AG$6-'Council Entry'!AG$5)),1))),"No data"))</f>
        <v/>
      </c>
      <c r="AH96" s="13">
        <f>IF('Council Entry'!AH96="","",IFERROR(MAX(0,MIN(10,ROUND(IF('Council Entry'!AH$7="Decrease Risk",10-10*((IF('Council Entry'!AH$4="Logarithm",LN(0.001+IF(AND(ISNUMBER('Council Entry'!AH$8),ISNUMBER('Council Entry'!AH$9)),MAX(MIN('Council Entry'!AH96,'Council Entry'!AH$9),'Council Entry'!AH$8),'Council Entry'!AH96)),IF('Council Entry'!AH$4="Exponential",EXP(IF(AND(ISNUMBER('Council Entry'!AH$8),ISNUMBER('Council Entry'!AH$9)),MAX(MIN('Council Entry'!AH96,'Council Entry'!AH$9),'Council Entry'!AH$8),'Council Entry'!AH96)),IF(AND(ISNUMBER('Council Entry'!AH$8),ISNUMBER('Council Entry'!AH$9)),MAX(MIN('Council Entry'!AH96,'Council Entry'!AH$9),'Council Entry'!AH$8),'Council Entry'!AH96))))-'Council Entry'!AH$5)/('Council Entry'!AH$6-'Council Entry'!AH$5),10*((IF('Council Entry'!AH$4="Logarithm",LN(0.001+IF(AND(ISNUMBER('Council Entry'!AH$8),ISNUMBER('Council Entry'!AH$9)),MAX(MIN('Council Entry'!AH96,'Council Entry'!AH$9),'Council Entry'!AH$8),'Council Entry'!AH96)),IF('Council Entry'!AH$4="Exponential",EXP(IF(AND(ISNUMBER('Council Entry'!AH$8),ISNUMBER('Council Entry'!AH$9)),MAX(MIN('Council Entry'!AH96,'Council Entry'!AH$9),'Council Entry'!AH$8),'Council Entry'!AH96)),IF(AND(ISNUMBER('Council Entry'!AH$8),ISNUMBER('Council Entry'!AH$9)),MAX(MIN('Council Entry'!AH96,'Council Entry'!AH$9),'Council Entry'!AH$8),'Council Entry'!AH96))))-'Council Entry'!AH$5)/('Council Entry'!AH$6-'Council Entry'!AH$5)),1))),"No data"))</f>
        <v/>
      </c>
      <c r="AI96" s="13">
        <f>IF('Council Entry'!AI96="","",IFERROR(MAX(0,MIN(10,ROUND(IF('Council Entry'!AI$7="Decrease Risk",10-10*((IF('Council Entry'!AI$4="Logarithm",LN(0.001+IF(AND(ISNUMBER('Council Entry'!AI$8),ISNUMBER('Council Entry'!AI$9)),MAX(MIN('Council Entry'!AI96,'Council Entry'!AI$9),'Council Entry'!AI$8),'Council Entry'!AI96)),IF('Council Entry'!AI$4="Exponential",EXP(IF(AND(ISNUMBER('Council Entry'!AI$8),ISNUMBER('Council Entry'!AI$9)),MAX(MIN('Council Entry'!AI96,'Council Entry'!AI$9),'Council Entry'!AI$8),'Council Entry'!AI96)),IF(AND(ISNUMBER('Council Entry'!AI$8),ISNUMBER('Council Entry'!AI$9)),MAX(MIN('Council Entry'!AI96,'Council Entry'!AI$9),'Council Entry'!AI$8),'Council Entry'!AI96))))-'Council Entry'!AI$5)/('Council Entry'!AI$6-'Council Entry'!AI$5),10*((IF('Council Entry'!AI$4="Logarithm",LN(0.001+IF(AND(ISNUMBER('Council Entry'!AI$8),ISNUMBER('Council Entry'!AI$9)),MAX(MIN('Council Entry'!AI96,'Council Entry'!AI$9),'Council Entry'!AI$8),'Council Entry'!AI96)),IF('Council Entry'!AI$4="Exponential",EXP(IF(AND(ISNUMBER('Council Entry'!AI$8),ISNUMBER('Council Entry'!AI$9)),MAX(MIN('Council Entry'!AI96,'Council Entry'!AI$9),'Council Entry'!AI$8),'Council Entry'!AI96)),IF(AND(ISNUMBER('Council Entry'!AI$8),ISNUMBER('Council Entry'!AI$9)),MAX(MIN('Council Entry'!AI96,'Council Entry'!AI$9),'Council Entry'!AI$8),'Council Entry'!AI96))))-'Council Entry'!AI$5)/('Council Entry'!AI$6-'Council Entry'!AI$5)),1))),"No data"))</f>
        <v/>
      </c>
      <c r="AJ96" s="13">
        <f>IF('Council Entry'!AJ96="","",IFERROR(MAX(0,MIN(10,ROUND(IF('Council Entry'!AJ$7="Decrease Risk",10-10*((IF('Council Entry'!AJ$4="Logarithm",LN(0.001+IF(AND(ISNUMBER('Council Entry'!AJ$8),ISNUMBER('Council Entry'!AJ$9)),MAX(MIN('Council Entry'!AJ96,'Council Entry'!AJ$9),'Council Entry'!AJ$8),'Council Entry'!AJ96)),IF('Council Entry'!AJ$4="Exponential",EXP(IF(AND(ISNUMBER('Council Entry'!AJ$8),ISNUMBER('Council Entry'!AJ$9)),MAX(MIN('Council Entry'!AJ96,'Council Entry'!AJ$9),'Council Entry'!AJ$8),'Council Entry'!AJ96)),IF(AND(ISNUMBER('Council Entry'!AJ$8),ISNUMBER('Council Entry'!AJ$9)),MAX(MIN('Council Entry'!AJ96,'Council Entry'!AJ$9),'Council Entry'!AJ$8),'Council Entry'!AJ96))))-'Council Entry'!AJ$5)/('Council Entry'!AJ$6-'Council Entry'!AJ$5),10*((IF('Council Entry'!AJ$4="Logarithm",LN(0.001+IF(AND(ISNUMBER('Council Entry'!AJ$8),ISNUMBER('Council Entry'!AJ$9)),MAX(MIN('Council Entry'!AJ96,'Council Entry'!AJ$9),'Council Entry'!AJ$8),'Council Entry'!AJ96)),IF('Council Entry'!AJ$4="Exponential",EXP(IF(AND(ISNUMBER('Council Entry'!AJ$8),ISNUMBER('Council Entry'!AJ$9)),MAX(MIN('Council Entry'!AJ96,'Council Entry'!AJ$9),'Council Entry'!AJ$8),'Council Entry'!AJ96)),IF(AND(ISNUMBER('Council Entry'!AJ$8),ISNUMBER('Council Entry'!AJ$9)),MAX(MIN('Council Entry'!AJ96,'Council Entry'!AJ$9),'Council Entry'!AJ$8),'Council Entry'!AJ96))))-'Council Entry'!AJ$5)/('Council Entry'!AJ$6-'Council Entry'!AJ$5)),1))),"No data"))</f>
        <v/>
      </c>
      <c r="AK96" s="13">
        <f>IF('Council Entry'!AK96="","",IFERROR(MAX(0,MIN(10,ROUND(IF('Council Entry'!AK$7="Decrease Risk",10-10*((IF('Council Entry'!AK$4="Logarithm",LN(0.001+IF(AND(ISNUMBER('Council Entry'!AK$8),ISNUMBER('Council Entry'!AK$9)),MAX(MIN('Council Entry'!AK96,'Council Entry'!AK$9),'Council Entry'!AK$8),'Council Entry'!AK96)),IF('Council Entry'!AK$4="Exponential",EXP(IF(AND(ISNUMBER('Council Entry'!AK$8),ISNUMBER('Council Entry'!AK$9)),MAX(MIN('Council Entry'!AK96,'Council Entry'!AK$9),'Council Entry'!AK$8),'Council Entry'!AK96)),IF(AND(ISNUMBER('Council Entry'!AK$8),ISNUMBER('Council Entry'!AK$9)),MAX(MIN('Council Entry'!AK96,'Council Entry'!AK$9),'Council Entry'!AK$8),'Council Entry'!AK96))))-'Council Entry'!AK$5)/('Council Entry'!AK$6-'Council Entry'!AK$5),10*((IF('Council Entry'!AK$4="Logarithm",LN(0.001+IF(AND(ISNUMBER('Council Entry'!AK$8),ISNUMBER('Council Entry'!AK$9)),MAX(MIN('Council Entry'!AK96,'Council Entry'!AK$9),'Council Entry'!AK$8),'Council Entry'!AK96)),IF('Council Entry'!AK$4="Exponential",EXP(IF(AND(ISNUMBER('Council Entry'!AK$8),ISNUMBER('Council Entry'!AK$9)),MAX(MIN('Council Entry'!AK96,'Council Entry'!AK$9),'Council Entry'!AK$8),'Council Entry'!AK96)),IF(AND(ISNUMBER('Council Entry'!AK$8),ISNUMBER('Council Entry'!AK$9)),MAX(MIN('Council Entry'!AK96,'Council Entry'!AK$9),'Council Entry'!AK$8),'Council Entry'!AK96))))-'Council Entry'!AK$5)/('Council Entry'!AK$6-'Council Entry'!AK$5)),1))),"No data"))</f>
        <v/>
      </c>
      <c r="AL96" s="13">
        <f>IF('Council Entry'!AL96="","",IFERROR(MAX(0,MIN(10,ROUND(IF('Council Entry'!AL$7="Decrease Risk",10-10*((IF('Council Entry'!AL$4="Logarithm",LN(0.001+IF(AND(ISNUMBER('Council Entry'!AL$8),ISNUMBER('Council Entry'!AL$9)),MAX(MIN('Council Entry'!AL96,'Council Entry'!AL$9),'Council Entry'!AL$8),'Council Entry'!AL96)),IF('Council Entry'!AL$4="Exponential",EXP(IF(AND(ISNUMBER('Council Entry'!AL$8),ISNUMBER('Council Entry'!AL$9)),MAX(MIN('Council Entry'!AL96,'Council Entry'!AL$9),'Council Entry'!AL$8),'Council Entry'!AL96)),IF(AND(ISNUMBER('Council Entry'!AL$8),ISNUMBER('Council Entry'!AL$9)),MAX(MIN('Council Entry'!AL96,'Council Entry'!AL$9),'Council Entry'!AL$8),'Council Entry'!AL96))))-'Council Entry'!AL$5)/('Council Entry'!AL$6-'Council Entry'!AL$5),10*((IF('Council Entry'!AL$4="Logarithm",LN(0.001+IF(AND(ISNUMBER('Council Entry'!AL$8),ISNUMBER('Council Entry'!AL$9)),MAX(MIN('Council Entry'!AL96,'Council Entry'!AL$9),'Council Entry'!AL$8),'Council Entry'!AL96)),IF('Council Entry'!AL$4="Exponential",EXP(IF(AND(ISNUMBER('Council Entry'!AL$8),ISNUMBER('Council Entry'!AL$9)),MAX(MIN('Council Entry'!AL96,'Council Entry'!AL$9),'Council Entry'!AL$8),'Council Entry'!AL96)),IF(AND(ISNUMBER('Council Entry'!AL$8),ISNUMBER('Council Entry'!AL$9)),MAX(MIN('Council Entry'!AL96,'Council Entry'!AL$9),'Council Entry'!AL$8),'Council Entry'!AL96))))-'Council Entry'!AL$5)/('Council Entry'!AL$6-'Council Entry'!AL$5)),1))),"No data"))</f>
        <v/>
      </c>
      <c r="AM96" s="13">
        <f>IF('Council Entry'!AM96="","",IFERROR(MAX(0,MIN(10,ROUND(IF('Council Entry'!AM$7="Decrease Risk",10-10*((IF('Council Entry'!AM$4="Logarithm",LN(0.001+IF(AND(ISNUMBER('Council Entry'!AM$8),ISNUMBER('Council Entry'!AM$9)),MAX(MIN('Council Entry'!AM96,'Council Entry'!AM$9),'Council Entry'!AM$8),'Council Entry'!AM96)),IF('Council Entry'!AM$4="Exponential",EXP(IF(AND(ISNUMBER('Council Entry'!AM$8),ISNUMBER('Council Entry'!AM$9)),MAX(MIN('Council Entry'!AM96,'Council Entry'!AM$9),'Council Entry'!AM$8),'Council Entry'!AM96)),IF(AND(ISNUMBER('Council Entry'!AM$8),ISNUMBER('Council Entry'!AM$9)),MAX(MIN('Council Entry'!AM96,'Council Entry'!AM$9),'Council Entry'!AM$8),'Council Entry'!AM96))))-'Council Entry'!AM$5)/('Council Entry'!AM$6-'Council Entry'!AM$5),10*((IF('Council Entry'!AM$4="Logarithm",LN(0.001+IF(AND(ISNUMBER('Council Entry'!AM$8),ISNUMBER('Council Entry'!AM$9)),MAX(MIN('Council Entry'!AM96,'Council Entry'!AM$9),'Council Entry'!AM$8),'Council Entry'!AM96)),IF('Council Entry'!AM$4="Exponential",EXP(IF(AND(ISNUMBER('Council Entry'!AM$8),ISNUMBER('Council Entry'!AM$9)),MAX(MIN('Council Entry'!AM96,'Council Entry'!AM$9),'Council Entry'!AM$8),'Council Entry'!AM96)),IF(AND(ISNUMBER('Council Entry'!AM$8),ISNUMBER('Council Entry'!AM$9)),MAX(MIN('Council Entry'!AM96,'Council Entry'!AM$9),'Council Entry'!AM$8),'Council Entry'!AM96))))-'Council Entry'!AM$5)/('Council Entry'!AM$6-'Council Entry'!AM$5)),1))),"No data"))</f>
        <v/>
      </c>
      <c r="AN96" s="13">
        <f>IF('Council Entry'!AN96="","",IFERROR(MAX(0,MIN(10,ROUND(IF('Council Entry'!AN$7="Decrease Risk",10-10*((IF('Council Entry'!AN$4="Logarithm",LN(0.001+IF(AND(ISNUMBER('Council Entry'!AN$8),ISNUMBER('Council Entry'!AN$9)),MAX(MIN('Council Entry'!AN96,'Council Entry'!AN$9),'Council Entry'!AN$8),'Council Entry'!AN96)),IF('Council Entry'!AN$4="Exponential",EXP(IF(AND(ISNUMBER('Council Entry'!AN$8),ISNUMBER('Council Entry'!AN$9)),MAX(MIN('Council Entry'!AN96,'Council Entry'!AN$9),'Council Entry'!AN$8),'Council Entry'!AN96)),IF(AND(ISNUMBER('Council Entry'!AN$8),ISNUMBER('Council Entry'!AN$9)),MAX(MIN('Council Entry'!AN96,'Council Entry'!AN$9),'Council Entry'!AN$8),'Council Entry'!AN96))))-'Council Entry'!AN$5)/('Council Entry'!AN$6-'Council Entry'!AN$5),10*((IF('Council Entry'!AN$4="Logarithm",LN(0.001+IF(AND(ISNUMBER('Council Entry'!AN$8),ISNUMBER('Council Entry'!AN$9)),MAX(MIN('Council Entry'!AN96,'Council Entry'!AN$9),'Council Entry'!AN$8),'Council Entry'!AN96)),IF('Council Entry'!AN$4="Exponential",EXP(IF(AND(ISNUMBER('Council Entry'!AN$8),ISNUMBER('Council Entry'!AN$9)),MAX(MIN('Council Entry'!AN96,'Council Entry'!AN$9),'Council Entry'!AN$8),'Council Entry'!AN96)),IF(AND(ISNUMBER('Council Entry'!AN$8),ISNUMBER('Council Entry'!AN$9)),MAX(MIN('Council Entry'!AN96,'Council Entry'!AN$9),'Council Entry'!AN$8),'Council Entry'!AN96))))-'Council Entry'!AN$5)/('Council Entry'!AN$6-'Council Entry'!AN$5)),1))),"No data"))</f>
        <v/>
      </c>
      <c r="AO96" s="13">
        <f>IF('Council Entry'!AO96="","",IFERROR(MAX(0,MIN(10,ROUND(IF('Council Entry'!AO$7="Decrease Risk",10-10*((IF('Council Entry'!AO$4="Logarithm",LN(0.001+IF(AND(ISNUMBER('Council Entry'!AO$8),ISNUMBER('Council Entry'!AO$9)),MAX(MIN('Council Entry'!AO96,'Council Entry'!AO$9),'Council Entry'!AO$8),'Council Entry'!AO96)),IF('Council Entry'!AO$4="Exponential",EXP(IF(AND(ISNUMBER('Council Entry'!AO$8),ISNUMBER('Council Entry'!AO$9)),MAX(MIN('Council Entry'!AO96,'Council Entry'!AO$9),'Council Entry'!AO$8),'Council Entry'!AO96)),IF(AND(ISNUMBER('Council Entry'!AO$8),ISNUMBER('Council Entry'!AO$9)),MAX(MIN('Council Entry'!AO96,'Council Entry'!AO$9),'Council Entry'!AO$8),'Council Entry'!AO96))))-'Council Entry'!AO$5)/('Council Entry'!AO$6-'Council Entry'!AO$5),10*((IF('Council Entry'!AO$4="Logarithm",LN(0.001+IF(AND(ISNUMBER('Council Entry'!AO$8),ISNUMBER('Council Entry'!AO$9)),MAX(MIN('Council Entry'!AO96,'Council Entry'!AO$9),'Council Entry'!AO$8),'Council Entry'!AO96)),IF('Council Entry'!AO$4="Exponential",EXP(IF(AND(ISNUMBER('Council Entry'!AO$8),ISNUMBER('Council Entry'!AO$9)),MAX(MIN('Council Entry'!AO96,'Council Entry'!AO$9),'Council Entry'!AO$8),'Council Entry'!AO96)),IF(AND(ISNUMBER('Council Entry'!AO$8),ISNUMBER('Council Entry'!AO$9)),MAX(MIN('Council Entry'!AO96,'Council Entry'!AO$9),'Council Entry'!AO$8),'Council Entry'!AO96))))-'Council Entry'!AO$5)/('Council Entry'!AO$6-'Council Entry'!AO$5)),1))),"No data"))</f>
        <v/>
      </c>
      <c r="AP96" s="13">
        <f>IF('Council Entry'!AP96="","",IFERROR(MAX(0,MIN(10,ROUND(IF('Council Entry'!AP$7="Decrease Risk",10-10*((IF('Council Entry'!AP$4="Logarithm",LN(0.001+IF(AND(ISNUMBER('Council Entry'!AP$8),ISNUMBER('Council Entry'!AP$9)),MAX(MIN('Council Entry'!AP96,'Council Entry'!AP$9),'Council Entry'!AP$8),'Council Entry'!AP96)),IF('Council Entry'!AP$4="Exponential",EXP(IF(AND(ISNUMBER('Council Entry'!AP$8),ISNUMBER('Council Entry'!AP$9)),MAX(MIN('Council Entry'!AP96,'Council Entry'!AP$9),'Council Entry'!AP$8),'Council Entry'!AP96)),IF(AND(ISNUMBER('Council Entry'!AP$8),ISNUMBER('Council Entry'!AP$9)),MAX(MIN('Council Entry'!AP96,'Council Entry'!AP$9),'Council Entry'!AP$8),'Council Entry'!AP96))))-'Council Entry'!AP$5)/('Council Entry'!AP$6-'Council Entry'!AP$5),10*((IF('Council Entry'!AP$4="Logarithm",LN(0.001+IF(AND(ISNUMBER('Council Entry'!AP$8),ISNUMBER('Council Entry'!AP$9)),MAX(MIN('Council Entry'!AP96,'Council Entry'!AP$9),'Council Entry'!AP$8),'Council Entry'!AP96)),IF('Council Entry'!AP$4="Exponential",EXP(IF(AND(ISNUMBER('Council Entry'!AP$8),ISNUMBER('Council Entry'!AP$9)),MAX(MIN('Council Entry'!AP96,'Council Entry'!AP$9),'Council Entry'!AP$8),'Council Entry'!AP96)),IF(AND(ISNUMBER('Council Entry'!AP$8),ISNUMBER('Council Entry'!AP$9)),MAX(MIN('Council Entry'!AP96,'Council Entry'!AP$9),'Council Entry'!AP$8),'Council Entry'!AP96))))-'Council Entry'!AP$5)/('Council Entry'!AP$6-'Council Entry'!AP$5)),1))),"No data"))</f>
        <v/>
      </c>
      <c r="AQ96" s="13">
        <f>IF('Council Entry'!AQ96="","",IFERROR(MAX(0,MIN(10,ROUND(IF('Council Entry'!AQ$7="Decrease Risk",10-10*((IF('Council Entry'!AQ$4="Logarithm",LN(0.001+IF(AND(ISNUMBER('Council Entry'!AQ$8),ISNUMBER('Council Entry'!AQ$9)),MAX(MIN('Council Entry'!AQ96,'Council Entry'!AQ$9),'Council Entry'!AQ$8),'Council Entry'!AQ96)),IF('Council Entry'!AQ$4="Exponential",EXP(IF(AND(ISNUMBER('Council Entry'!AQ$8),ISNUMBER('Council Entry'!AQ$9)),MAX(MIN('Council Entry'!AQ96,'Council Entry'!AQ$9),'Council Entry'!AQ$8),'Council Entry'!AQ96)),IF(AND(ISNUMBER('Council Entry'!AQ$8),ISNUMBER('Council Entry'!AQ$9)),MAX(MIN('Council Entry'!AQ96,'Council Entry'!AQ$9),'Council Entry'!AQ$8),'Council Entry'!AQ96))))-'Council Entry'!AQ$5)/('Council Entry'!AQ$6-'Council Entry'!AQ$5),10*((IF('Council Entry'!AQ$4="Logarithm",LN(0.001+IF(AND(ISNUMBER('Council Entry'!AQ$8),ISNUMBER('Council Entry'!AQ$9)),MAX(MIN('Council Entry'!AQ96,'Council Entry'!AQ$9),'Council Entry'!AQ$8),'Council Entry'!AQ96)),IF('Council Entry'!AQ$4="Exponential",EXP(IF(AND(ISNUMBER('Council Entry'!AQ$8),ISNUMBER('Council Entry'!AQ$9)),MAX(MIN('Council Entry'!AQ96,'Council Entry'!AQ$9),'Council Entry'!AQ$8),'Council Entry'!AQ96)),IF(AND(ISNUMBER('Council Entry'!AQ$8),ISNUMBER('Council Entry'!AQ$9)),MAX(MIN('Council Entry'!AQ96,'Council Entry'!AQ$9),'Council Entry'!AQ$8),'Council Entry'!AQ96))))-'Council Entry'!AQ$5)/('Council Entry'!AQ$6-'Council Entry'!AQ$5)),1))),"No data"))</f>
        <v/>
      </c>
      <c r="AR96" s="13">
        <f>IF('Council Entry'!AR96="","",IFERROR(MAX(0,MIN(10,ROUND(IF('Council Entry'!AR$7="Decrease Risk",10-10*((IF('Council Entry'!AR$4="Logarithm",LN(0.001+IF(AND(ISNUMBER('Council Entry'!AR$8),ISNUMBER('Council Entry'!AR$9)),MAX(MIN('Council Entry'!AR96,'Council Entry'!AR$9),'Council Entry'!AR$8),'Council Entry'!AR96)),IF('Council Entry'!AR$4="Exponential",EXP(IF(AND(ISNUMBER('Council Entry'!AR$8),ISNUMBER('Council Entry'!AR$9)),MAX(MIN('Council Entry'!AR96,'Council Entry'!AR$9),'Council Entry'!AR$8),'Council Entry'!AR96)),IF(AND(ISNUMBER('Council Entry'!AR$8),ISNUMBER('Council Entry'!AR$9)),MAX(MIN('Council Entry'!AR96,'Council Entry'!AR$9),'Council Entry'!AR$8),'Council Entry'!AR96))))-'Council Entry'!AR$5)/('Council Entry'!AR$6-'Council Entry'!AR$5),10*((IF('Council Entry'!AR$4="Logarithm",LN(0.001+IF(AND(ISNUMBER('Council Entry'!AR$8),ISNUMBER('Council Entry'!AR$9)),MAX(MIN('Council Entry'!AR96,'Council Entry'!AR$9),'Council Entry'!AR$8),'Council Entry'!AR96)),IF('Council Entry'!AR$4="Exponential",EXP(IF(AND(ISNUMBER('Council Entry'!AR$8),ISNUMBER('Council Entry'!AR$9)),MAX(MIN('Council Entry'!AR96,'Council Entry'!AR$9),'Council Entry'!AR$8),'Council Entry'!AR96)),IF(AND(ISNUMBER('Council Entry'!AR$8),ISNUMBER('Council Entry'!AR$9)),MAX(MIN('Council Entry'!AR96,'Council Entry'!AR$9),'Council Entry'!AR$8),'Council Entry'!AR96))))-'Council Entry'!AR$5)/('Council Entry'!AR$6-'Council Entry'!AR$5)),1))),"No data"))</f>
        <v/>
      </c>
      <c r="AS96" s="13">
        <f>IF('Council Entry'!AS96="","",IFERROR(MAX(0,MIN(10,ROUND(IF('Council Entry'!AS$7="Decrease Risk",10-10*((IF('Council Entry'!AS$4="Logarithm",LN(0.001+IF(AND(ISNUMBER('Council Entry'!AS$8),ISNUMBER('Council Entry'!AS$9)),MAX(MIN('Council Entry'!AS96,'Council Entry'!AS$9),'Council Entry'!AS$8),'Council Entry'!AS96)),IF('Council Entry'!AS$4="Exponential",EXP(IF(AND(ISNUMBER('Council Entry'!AS$8),ISNUMBER('Council Entry'!AS$9)),MAX(MIN('Council Entry'!AS96,'Council Entry'!AS$9),'Council Entry'!AS$8),'Council Entry'!AS96)),IF(AND(ISNUMBER('Council Entry'!AS$8),ISNUMBER('Council Entry'!AS$9)),MAX(MIN('Council Entry'!AS96,'Council Entry'!AS$9),'Council Entry'!AS$8),'Council Entry'!AS96))))-'Council Entry'!AS$5)/('Council Entry'!AS$6-'Council Entry'!AS$5),10*((IF('Council Entry'!AS$4="Logarithm",LN(0.001+IF(AND(ISNUMBER('Council Entry'!AS$8),ISNUMBER('Council Entry'!AS$9)),MAX(MIN('Council Entry'!AS96,'Council Entry'!AS$9),'Council Entry'!AS$8),'Council Entry'!AS96)),IF('Council Entry'!AS$4="Exponential",EXP(IF(AND(ISNUMBER('Council Entry'!AS$8),ISNUMBER('Council Entry'!AS$9)),MAX(MIN('Council Entry'!AS96,'Council Entry'!AS$9),'Council Entry'!AS$8),'Council Entry'!AS96)),IF(AND(ISNUMBER('Council Entry'!AS$8),ISNUMBER('Council Entry'!AS$9)),MAX(MIN('Council Entry'!AS96,'Council Entry'!AS$9),'Council Entry'!AS$8),'Council Entry'!AS96))))-'Council Entry'!AS$5)/('Council Entry'!AS$6-'Council Entry'!AS$5)),1))),"No data"))</f>
        <v/>
      </c>
      <c r="AT96" s="13">
        <f>IF('Council Entry'!AT96="","",IFERROR(MAX(0,MIN(10,ROUND(IF('Council Entry'!AT$7="Decrease Risk",10-10*((IF('Council Entry'!AT$4="Logarithm",LN(0.001+IF(AND(ISNUMBER('Council Entry'!AT$8),ISNUMBER('Council Entry'!AT$9)),MAX(MIN('Council Entry'!AT96,'Council Entry'!AT$9),'Council Entry'!AT$8),'Council Entry'!AT96)),IF('Council Entry'!AT$4="Exponential",EXP(IF(AND(ISNUMBER('Council Entry'!AT$8),ISNUMBER('Council Entry'!AT$9)),MAX(MIN('Council Entry'!AT96,'Council Entry'!AT$9),'Council Entry'!AT$8),'Council Entry'!AT96)),IF(AND(ISNUMBER('Council Entry'!AT$8),ISNUMBER('Council Entry'!AT$9)),MAX(MIN('Council Entry'!AT96,'Council Entry'!AT$9),'Council Entry'!AT$8),'Council Entry'!AT96))))-'Council Entry'!AT$5)/('Council Entry'!AT$6-'Council Entry'!AT$5),10*((IF('Council Entry'!AT$4="Logarithm",LN(0.001+IF(AND(ISNUMBER('Council Entry'!AT$8),ISNUMBER('Council Entry'!AT$9)),MAX(MIN('Council Entry'!AT96,'Council Entry'!AT$9),'Council Entry'!AT$8),'Council Entry'!AT96)),IF('Council Entry'!AT$4="Exponential",EXP(IF(AND(ISNUMBER('Council Entry'!AT$8),ISNUMBER('Council Entry'!AT$9)),MAX(MIN('Council Entry'!AT96,'Council Entry'!AT$9),'Council Entry'!AT$8),'Council Entry'!AT96)),IF(AND(ISNUMBER('Council Entry'!AT$8),ISNUMBER('Council Entry'!AT$9)),MAX(MIN('Council Entry'!AT96,'Council Entry'!AT$9),'Council Entry'!AT$8),'Council Entry'!AT96))))-'Council Entry'!AT$5)/('Council Entry'!AT$6-'Council Entry'!AT$5)),1))),"No data"))</f>
        <v/>
      </c>
      <c r="AU96" s="13">
        <f>IF('Council Entry'!AU96="","",IFERROR(MAX(0,MIN(10,ROUND(IF('Council Entry'!AU$7="Decrease Risk",10-10*((IF('Council Entry'!AU$4="Logarithm",LN(0.001+IF(AND(ISNUMBER('Council Entry'!AU$8),ISNUMBER('Council Entry'!AU$9)),MAX(MIN('Council Entry'!AU96,'Council Entry'!AU$9),'Council Entry'!AU$8),'Council Entry'!AU96)),IF('Council Entry'!AU$4="Exponential",EXP(IF(AND(ISNUMBER('Council Entry'!AU$8),ISNUMBER('Council Entry'!AU$9)),MAX(MIN('Council Entry'!AU96,'Council Entry'!AU$9),'Council Entry'!AU$8),'Council Entry'!AU96)),IF(AND(ISNUMBER('Council Entry'!AU$8),ISNUMBER('Council Entry'!AU$9)),MAX(MIN('Council Entry'!AU96,'Council Entry'!AU$9),'Council Entry'!AU$8),'Council Entry'!AU96))))-'Council Entry'!AU$5)/('Council Entry'!AU$6-'Council Entry'!AU$5),10*((IF('Council Entry'!AU$4="Logarithm",LN(0.001+IF(AND(ISNUMBER('Council Entry'!AU$8),ISNUMBER('Council Entry'!AU$9)),MAX(MIN('Council Entry'!AU96,'Council Entry'!AU$9),'Council Entry'!AU$8),'Council Entry'!AU96)),IF('Council Entry'!AU$4="Exponential",EXP(IF(AND(ISNUMBER('Council Entry'!AU$8),ISNUMBER('Council Entry'!AU$9)),MAX(MIN('Council Entry'!AU96,'Council Entry'!AU$9),'Council Entry'!AU$8),'Council Entry'!AU96)),IF(AND(ISNUMBER('Council Entry'!AU$8),ISNUMBER('Council Entry'!AU$9)),MAX(MIN('Council Entry'!AU96,'Council Entry'!AU$9),'Council Entry'!AU$8),'Council Entry'!AU96))))-'Council Entry'!AU$5)/('Council Entry'!AU$6-'Council Entry'!AU$5)),1))),"No data"))</f>
        <v/>
      </c>
      <c r="AV96" s="13">
        <f>IF('Council Entry'!AV96="","",IFERROR(MAX(0,MIN(10,ROUND(IF('Council Entry'!AV$7="Decrease Risk",10-10*((IF('Council Entry'!AV$4="Logarithm",LN(0.001+IF(AND(ISNUMBER('Council Entry'!AV$8),ISNUMBER('Council Entry'!AV$9)),MAX(MIN('Council Entry'!AV96,'Council Entry'!AV$9),'Council Entry'!AV$8),'Council Entry'!AV96)),IF('Council Entry'!AV$4="Exponential",EXP(IF(AND(ISNUMBER('Council Entry'!AV$8),ISNUMBER('Council Entry'!AV$9)),MAX(MIN('Council Entry'!AV96,'Council Entry'!AV$9),'Council Entry'!AV$8),'Council Entry'!AV96)),IF(AND(ISNUMBER('Council Entry'!AV$8),ISNUMBER('Council Entry'!AV$9)),MAX(MIN('Council Entry'!AV96,'Council Entry'!AV$9),'Council Entry'!AV$8),'Council Entry'!AV96))))-'Council Entry'!AV$5)/('Council Entry'!AV$6-'Council Entry'!AV$5),10*((IF('Council Entry'!AV$4="Logarithm",LN(0.001+IF(AND(ISNUMBER('Council Entry'!AV$8),ISNUMBER('Council Entry'!AV$9)),MAX(MIN('Council Entry'!AV96,'Council Entry'!AV$9),'Council Entry'!AV$8),'Council Entry'!AV96)),IF('Council Entry'!AV$4="Exponential",EXP(IF(AND(ISNUMBER('Council Entry'!AV$8),ISNUMBER('Council Entry'!AV$9)),MAX(MIN('Council Entry'!AV96,'Council Entry'!AV$9),'Council Entry'!AV$8),'Council Entry'!AV96)),IF(AND(ISNUMBER('Council Entry'!AV$8),ISNUMBER('Council Entry'!AV$9)),MAX(MIN('Council Entry'!AV96,'Council Entry'!AV$9),'Council Entry'!AV$8),'Council Entry'!AV96))))-'Council Entry'!AV$5)/('Council Entry'!AV$6-'Council Entry'!AV$5)),1))),"No data"))</f>
        <v/>
      </c>
      <c r="AW96" s="13">
        <f>IF('Council Entry'!AW96="","",IFERROR(MAX(0,MIN(10,ROUND(IF('Council Entry'!AW$7="Decrease Risk",10-10*((IF('Council Entry'!AW$4="Logarithm",LN(0.001+IF(AND(ISNUMBER('Council Entry'!AW$8),ISNUMBER('Council Entry'!AW$9)),MAX(MIN('Council Entry'!AW96,'Council Entry'!AW$9),'Council Entry'!AW$8),'Council Entry'!AW96)),IF('Council Entry'!AW$4="Exponential",EXP(IF(AND(ISNUMBER('Council Entry'!AW$8),ISNUMBER('Council Entry'!AW$9)),MAX(MIN('Council Entry'!AW96,'Council Entry'!AW$9),'Council Entry'!AW$8),'Council Entry'!AW96)),IF(AND(ISNUMBER('Council Entry'!AW$8),ISNUMBER('Council Entry'!AW$9)),MAX(MIN('Council Entry'!AW96,'Council Entry'!AW$9),'Council Entry'!AW$8),'Council Entry'!AW96))))-'Council Entry'!AW$5)/('Council Entry'!AW$6-'Council Entry'!AW$5),10*((IF('Council Entry'!AW$4="Logarithm",LN(0.001+IF(AND(ISNUMBER('Council Entry'!AW$8),ISNUMBER('Council Entry'!AW$9)),MAX(MIN('Council Entry'!AW96,'Council Entry'!AW$9),'Council Entry'!AW$8),'Council Entry'!AW96)),IF('Council Entry'!AW$4="Exponential",EXP(IF(AND(ISNUMBER('Council Entry'!AW$8),ISNUMBER('Council Entry'!AW$9)),MAX(MIN('Council Entry'!AW96,'Council Entry'!AW$9),'Council Entry'!AW$8),'Council Entry'!AW96)),IF(AND(ISNUMBER('Council Entry'!AW$8),ISNUMBER('Council Entry'!AW$9)),MAX(MIN('Council Entry'!AW96,'Council Entry'!AW$9),'Council Entry'!AW$8),'Council Entry'!AW96))))-'Council Entry'!AW$5)/('Council Entry'!AW$6-'Council Entry'!AW$5)),1))),"No data"))</f>
        <v/>
      </c>
      <c r="AX96" s="13">
        <f>IF('Council Entry'!AX96="","",IFERROR(MAX(0,MIN(10,ROUND(IF('Council Entry'!AX$7="Decrease Risk",10-10*((IF('Council Entry'!AX$4="Logarithm",LN(0.001+IF(AND(ISNUMBER('Council Entry'!AX$8),ISNUMBER('Council Entry'!AX$9)),MAX(MIN('Council Entry'!AX96,'Council Entry'!AX$9),'Council Entry'!AX$8),'Council Entry'!AX96)),IF('Council Entry'!AX$4="Exponential",EXP(IF(AND(ISNUMBER('Council Entry'!AX$8),ISNUMBER('Council Entry'!AX$9)),MAX(MIN('Council Entry'!AX96,'Council Entry'!AX$9),'Council Entry'!AX$8),'Council Entry'!AX96)),IF(AND(ISNUMBER('Council Entry'!AX$8),ISNUMBER('Council Entry'!AX$9)),MAX(MIN('Council Entry'!AX96,'Council Entry'!AX$9),'Council Entry'!AX$8),'Council Entry'!AX96))))-'Council Entry'!AX$5)/('Council Entry'!AX$6-'Council Entry'!AX$5),10*((IF('Council Entry'!AX$4="Logarithm",LN(0.001+IF(AND(ISNUMBER('Council Entry'!AX$8),ISNUMBER('Council Entry'!AX$9)),MAX(MIN('Council Entry'!AX96,'Council Entry'!AX$9),'Council Entry'!AX$8),'Council Entry'!AX96)),IF('Council Entry'!AX$4="Exponential",EXP(IF(AND(ISNUMBER('Council Entry'!AX$8),ISNUMBER('Council Entry'!AX$9)),MAX(MIN('Council Entry'!AX96,'Council Entry'!AX$9),'Council Entry'!AX$8),'Council Entry'!AX96)),IF(AND(ISNUMBER('Council Entry'!AX$8),ISNUMBER('Council Entry'!AX$9)),MAX(MIN('Council Entry'!AX96,'Council Entry'!AX$9),'Council Entry'!AX$8),'Council Entry'!AX96))))-'Council Entry'!AX$5)/('Council Entry'!AX$6-'Council Entry'!AX$5)),1))),"No data"))</f>
        <v/>
      </c>
      <c r="AY96" s="13">
        <f>IF('Council Entry'!AY96="","",IFERROR(MAX(0,MIN(10,ROUND(IF('Council Entry'!AY$7="Decrease Risk",10-10*((IF('Council Entry'!AY$4="Logarithm",LN(0.001+IF(AND(ISNUMBER('Council Entry'!AY$8),ISNUMBER('Council Entry'!AY$9)),MAX(MIN('Council Entry'!AY96,'Council Entry'!AY$9),'Council Entry'!AY$8),'Council Entry'!AY96)),IF('Council Entry'!AY$4="Exponential",EXP(IF(AND(ISNUMBER('Council Entry'!AY$8),ISNUMBER('Council Entry'!AY$9)),MAX(MIN('Council Entry'!AY96,'Council Entry'!AY$9),'Council Entry'!AY$8),'Council Entry'!AY96)),IF(AND(ISNUMBER('Council Entry'!AY$8),ISNUMBER('Council Entry'!AY$9)),MAX(MIN('Council Entry'!AY96,'Council Entry'!AY$9),'Council Entry'!AY$8),'Council Entry'!AY96))))-'Council Entry'!AY$5)/('Council Entry'!AY$6-'Council Entry'!AY$5),10*((IF('Council Entry'!AY$4="Logarithm",LN(0.001+IF(AND(ISNUMBER('Council Entry'!AY$8),ISNUMBER('Council Entry'!AY$9)),MAX(MIN('Council Entry'!AY96,'Council Entry'!AY$9),'Council Entry'!AY$8),'Council Entry'!AY96)),IF('Council Entry'!AY$4="Exponential",EXP(IF(AND(ISNUMBER('Council Entry'!AY$8),ISNUMBER('Council Entry'!AY$9)),MAX(MIN('Council Entry'!AY96,'Council Entry'!AY$9),'Council Entry'!AY$8),'Council Entry'!AY96)),IF(AND(ISNUMBER('Council Entry'!AY$8),ISNUMBER('Council Entry'!AY$9)),MAX(MIN('Council Entry'!AY96,'Council Entry'!AY$9),'Council Entry'!AY$8),'Council Entry'!AY96))))-'Council Entry'!AY$5)/('Council Entry'!AY$6-'Council Entry'!AY$5)),1))),"No data"))</f>
        <v/>
      </c>
      <c r="AZ96" s="13">
        <f>IF('Council Entry'!AZ96="","",IFERROR(MAX(0,MIN(10,ROUND(IF('Council Entry'!AZ$7="Decrease Risk",10-10*((IF('Council Entry'!AZ$4="Logarithm",LN(0.001+IF(AND(ISNUMBER('Council Entry'!AZ$8),ISNUMBER('Council Entry'!AZ$9)),MAX(MIN('Council Entry'!AZ96,'Council Entry'!AZ$9),'Council Entry'!AZ$8),'Council Entry'!AZ96)),IF('Council Entry'!AZ$4="Exponential",EXP(IF(AND(ISNUMBER('Council Entry'!AZ$8),ISNUMBER('Council Entry'!AZ$9)),MAX(MIN('Council Entry'!AZ96,'Council Entry'!AZ$9),'Council Entry'!AZ$8),'Council Entry'!AZ96)),IF(AND(ISNUMBER('Council Entry'!AZ$8),ISNUMBER('Council Entry'!AZ$9)),MAX(MIN('Council Entry'!AZ96,'Council Entry'!AZ$9),'Council Entry'!AZ$8),'Council Entry'!AZ96))))-'Council Entry'!AZ$5)/('Council Entry'!AZ$6-'Council Entry'!AZ$5),10*((IF('Council Entry'!AZ$4="Logarithm",LN(0.001+IF(AND(ISNUMBER('Council Entry'!AZ$8),ISNUMBER('Council Entry'!AZ$9)),MAX(MIN('Council Entry'!AZ96,'Council Entry'!AZ$9),'Council Entry'!AZ$8),'Council Entry'!AZ96)),IF('Council Entry'!AZ$4="Exponential",EXP(IF(AND(ISNUMBER('Council Entry'!AZ$8),ISNUMBER('Council Entry'!AZ$9)),MAX(MIN('Council Entry'!AZ96,'Council Entry'!AZ$9),'Council Entry'!AZ$8),'Council Entry'!AZ96)),IF(AND(ISNUMBER('Council Entry'!AZ$8),ISNUMBER('Council Entry'!AZ$9)),MAX(MIN('Council Entry'!AZ96,'Council Entry'!AZ$9),'Council Entry'!AZ$8),'Council Entry'!AZ96))))-'Council Entry'!AZ$5)/('Council Entry'!AZ$6-'Council Entry'!AZ$5)),1))),"No data"))</f>
        <v/>
      </c>
      <c r="BA96" s="13">
        <f>IF('Council Entry'!BA96="","",IFERROR(MAX(0,MIN(10,ROUND(IF('Council Entry'!BA$7="Decrease Risk",10-10*((IF('Council Entry'!BA$4="Logarithm",LN(0.001+IF(AND(ISNUMBER('Council Entry'!BA$8),ISNUMBER('Council Entry'!BA$9)),MAX(MIN('Council Entry'!BA96,'Council Entry'!BA$9),'Council Entry'!BA$8),'Council Entry'!BA96)),IF('Council Entry'!BA$4="Exponential",EXP(IF(AND(ISNUMBER('Council Entry'!BA$8),ISNUMBER('Council Entry'!BA$9)),MAX(MIN('Council Entry'!BA96,'Council Entry'!BA$9),'Council Entry'!BA$8),'Council Entry'!BA96)),IF(AND(ISNUMBER('Council Entry'!BA$8),ISNUMBER('Council Entry'!BA$9)),MAX(MIN('Council Entry'!BA96,'Council Entry'!BA$9),'Council Entry'!BA$8),'Council Entry'!BA96))))-'Council Entry'!BA$5)/('Council Entry'!BA$6-'Council Entry'!BA$5),10*((IF('Council Entry'!BA$4="Logarithm",LN(0.001+IF(AND(ISNUMBER('Council Entry'!BA$8),ISNUMBER('Council Entry'!BA$9)),MAX(MIN('Council Entry'!BA96,'Council Entry'!BA$9),'Council Entry'!BA$8),'Council Entry'!BA96)),IF('Council Entry'!BA$4="Exponential",EXP(IF(AND(ISNUMBER('Council Entry'!BA$8),ISNUMBER('Council Entry'!BA$9)),MAX(MIN('Council Entry'!BA96,'Council Entry'!BA$9),'Council Entry'!BA$8),'Council Entry'!BA96)),IF(AND(ISNUMBER('Council Entry'!BA$8),ISNUMBER('Council Entry'!BA$9)),MAX(MIN('Council Entry'!BA96,'Council Entry'!BA$9),'Council Entry'!BA$8),'Council Entry'!BA96))))-'Council Entry'!BA$5)/('Council Entry'!BA$6-'Council Entry'!BA$5)),1))),"No data"))</f>
        <v/>
      </c>
      <c r="BB96" s="13">
        <f>IF('Council Entry'!BB96="","",IFERROR(MAX(0,MIN(10,ROUND(IF('Council Entry'!BB$7="Decrease Risk",10-10*((IF('Council Entry'!BB$4="Logarithm",LN(0.001+IF(AND(ISNUMBER('Council Entry'!BB$8),ISNUMBER('Council Entry'!BB$9)),MAX(MIN('Council Entry'!BB96,'Council Entry'!BB$9),'Council Entry'!BB$8),'Council Entry'!BB96)),IF('Council Entry'!BB$4="Exponential",EXP(IF(AND(ISNUMBER('Council Entry'!BB$8),ISNUMBER('Council Entry'!BB$9)),MAX(MIN('Council Entry'!BB96,'Council Entry'!BB$9),'Council Entry'!BB$8),'Council Entry'!BB96)),IF(AND(ISNUMBER('Council Entry'!BB$8),ISNUMBER('Council Entry'!BB$9)),MAX(MIN('Council Entry'!BB96,'Council Entry'!BB$9),'Council Entry'!BB$8),'Council Entry'!BB96))))-'Council Entry'!BB$5)/('Council Entry'!BB$6-'Council Entry'!BB$5),10*((IF('Council Entry'!BB$4="Logarithm",LN(0.001+IF(AND(ISNUMBER('Council Entry'!BB$8),ISNUMBER('Council Entry'!BB$9)),MAX(MIN('Council Entry'!BB96,'Council Entry'!BB$9),'Council Entry'!BB$8),'Council Entry'!BB96)),IF('Council Entry'!BB$4="Exponential",EXP(IF(AND(ISNUMBER('Council Entry'!BB$8),ISNUMBER('Council Entry'!BB$9)),MAX(MIN('Council Entry'!BB96,'Council Entry'!BB$9),'Council Entry'!BB$8),'Council Entry'!BB96)),IF(AND(ISNUMBER('Council Entry'!BB$8),ISNUMBER('Council Entry'!BB$9)),MAX(MIN('Council Entry'!BB96,'Council Entry'!BB$9),'Council Entry'!BB$8),'Council Entry'!BB96))))-'Council Entry'!BB$5)/('Council Entry'!BB$6-'Council Entry'!BB$5)),1))),"No data"))</f>
        <v/>
      </c>
      <c r="BC96" s="13">
        <f>IF('Council Entry'!BC96="","",IFERROR(MAX(0,MIN(10,ROUND(IF('Council Entry'!BC$7="Decrease Risk",10-10*((IF('Council Entry'!BC$4="Logarithm",LN(0.001+IF(AND(ISNUMBER('Council Entry'!BC$8),ISNUMBER('Council Entry'!BC$9)),MAX(MIN('Council Entry'!BC96,'Council Entry'!BC$9),'Council Entry'!BC$8),'Council Entry'!BC96)),IF('Council Entry'!BC$4="Exponential",EXP(IF(AND(ISNUMBER('Council Entry'!BC$8),ISNUMBER('Council Entry'!BC$9)),MAX(MIN('Council Entry'!BC96,'Council Entry'!BC$9),'Council Entry'!BC$8),'Council Entry'!BC96)),IF(AND(ISNUMBER('Council Entry'!BC$8),ISNUMBER('Council Entry'!BC$9)),MAX(MIN('Council Entry'!BC96,'Council Entry'!BC$9),'Council Entry'!BC$8),'Council Entry'!BC96))))-'Council Entry'!BC$5)/('Council Entry'!BC$6-'Council Entry'!BC$5),10*((IF('Council Entry'!BC$4="Logarithm",LN(0.001+IF(AND(ISNUMBER('Council Entry'!BC$8),ISNUMBER('Council Entry'!BC$9)),MAX(MIN('Council Entry'!BC96,'Council Entry'!BC$9),'Council Entry'!BC$8),'Council Entry'!BC96)),IF('Council Entry'!BC$4="Exponential",EXP(IF(AND(ISNUMBER('Council Entry'!BC$8),ISNUMBER('Council Entry'!BC$9)),MAX(MIN('Council Entry'!BC96,'Council Entry'!BC$9),'Council Entry'!BC$8),'Council Entry'!BC96)),IF(AND(ISNUMBER('Council Entry'!BC$8),ISNUMBER('Council Entry'!BC$9)),MAX(MIN('Council Entry'!BC96,'Council Entry'!BC$9),'Council Entry'!BC$8),'Council Entry'!BC96))))-'Council Entry'!BC$5)/('Council Entry'!BC$6-'Council Entry'!BC$5)),1))),"No data"))</f>
        <v/>
      </c>
      <c r="BD96" s="13">
        <f>IF('Council Entry'!BD96="","",IFERROR(MAX(0,MIN(10,ROUND(IF('Council Entry'!BD$7="Decrease Risk",10-10*((IF('Council Entry'!BD$4="Logarithm",LN(0.001+IF(AND(ISNUMBER('Council Entry'!BD$8),ISNUMBER('Council Entry'!BD$9)),MAX(MIN('Council Entry'!BD96,'Council Entry'!BD$9),'Council Entry'!BD$8),'Council Entry'!BD96)),IF('Council Entry'!BD$4="Exponential",EXP(IF(AND(ISNUMBER('Council Entry'!BD$8),ISNUMBER('Council Entry'!BD$9)),MAX(MIN('Council Entry'!BD96,'Council Entry'!BD$9),'Council Entry'!BD$8),'Council Entry'!BD96)),IF(AND(ISNUMBER('Council Entry'!BD$8),ISNUMBER('Council Entry'!BD$9)),MAX(MIN('Council Entry'!BD96,'Council Entry'!BD$9),'Council Entry'!BD$8),'Council Entry'!BD96))))-'Council Entry'!BD$5)/('Council Entry'!BD$6-'Council Entry'!BD$5),10*((IF('Council Entry'!BD$4="Logarithm",LN(0.001+IF(AND(ISNUMBER('Council Entry'!BD$8),ISNUMBER('Council Entry'!BD$9)),MAX(MIN('Council Entry'!BD96,'Council Entry'!BD$9),'Council Entry'!BD$8),'Council Entry'!BD96)),IF('Council Entry'!BD$4="Exponential",EXP(IF(AND(ISNUMBER('Council Entry'!BD$8),ISNUMBER('Council Entry'!BD$9)),MAX(MIN('Council Entry'!BD96,'Council Entry'!BD$9),'Council Entry'!BD$8),'Council Entry'!BD96)),IF(AND(ISNUMBER('Council Entry'!BD$8),ISNUMBER('Council Entry'!BD$9)),MAX(MIN('Council Entry'!BD96,'Council Entry'!BD$9),'Council Entry'!BD$8),'Council Entry'!BD96))))-'Council Entry'!BD$5)/('Council Entry'!BD$6-'Council Entry'!BD$5)),1))),"No data"))</f>
        <v/>
      </c>
    </row>
    <row r="97">
      <c r="A97" t="inlineStr">
        <is>
          <t>Mara</t>
        </is>
      </c>
      <c r="B97" t="inlineStr">
        <is>
          <t>Serengeti District</t>
        </is>
      </c>
      <c r="C97" t="inlineStr">
        <is>
          <t>C143</t>
        </is>
      </c>
      <c r="D97" s="13">
        <f>IF('Council Entry'!D97="","",IFERROR(MAX(0,MIN(10,ROUND(IF('Council Entry'!D$7="Decrease Risk",10-10*((IF('Council Entry'!D$4="Logarithm",LN(0.001+IF(AND(ISNUMBER('Council Entry'!D$8),ISNUMBER('Council Entry'!D$9)),MAX(MIN('Council Entry'!D97,'Council Entry'!D$9),'Council Entry'!D$8),'Council Entry'!D97)),IF('Council Entry'!D$4="Exponential",EXP(IF(AND(ISNUMBER('Council Entry'!D$8),ISNUMBER('Council Entry'!D$9)),MAX(MIN('Council Entry'!D97,'Council Entry'!D$9),'Council Entry'!D$8),'Council Entry'!D97)),IF(AND(ISNUMBER('Council Entry'!D$8),ISNUMBER('Council Entry'!D$9)),MAX(MIN('Council Entry'!D97,'Council Entry'!D$9),'Council Entry'!D$8),'Council Entry'!D97))))-'Council Entry'!D$5)/('Council Entry'!D$6-'Council Entry'!D$5),10*((IF('Council Entry'!D$4="Logarithm",LN(0.001+IF(AND(ISNUMBER('Council Entry'!D$8),ISNUMBER('Council Entry'!D$9)),MAX(MIN('Council Entry'!D97,'Council Entry'!D$9),'Council Entry'!D$8),'Council Entry'!D97)),IF('Council Entry'!D$4="Exponential",EXP(IF(AND(ISNUMBER('Council Entry'!D$8),ISNUMBER('Council Entry'!D$9)),MAX(MIN('Council Entry'!D97,'Council Entry'!D$9),'Council Entry'!D$8),'Council Entry'!D97)),IF(AND(ISNUMBER('Council Entry'!D$8),ISNUMBER('Council Entry'!D$9)),MAX(MIN('Council Entry'!D97,'Council Entry'!D$9),'Council Entry'!D$8),'Council Entry'!D97))))-'Council Entry'!D$5)/('Council Entry'!D$6-'Council Entry'!D$5)),1))),"No data"))</f>
        <v/>
      </c>
      <c r="E97" s="13">
        <f>IF('Council Entry'!E97="","",IFERROR(MAX(0,MIN(10,ROUND(IF('Council Entry'!E$7="Decrease Risk",10-10*((IF('Council Entry'!E$4="Logarithm",LN(0.001+IF(AND(ISNUMBER('Council Entry'!E$8),ISNUMBER('Council Entry'!E$9)),MAX(MIN('Council Entry'!E97,'Council Entry'!E$9),'Council Entry'!E$8),'Council Entry'!E97)),IF('Council Entry'!E$4="Exponential",EXP(IF(AND(ISNUMBER('Council Entry'!E$8),ISNUMBER('Council Entry'!E$9)),MAX(MIN('Council Entry'!E97,'Council Entry'!E$9),'Council Entry'!E$8),'Council Entry'!E97)),IF(AND(ISNUMBER('Council Entry'!E$8),ISNUMBER('Council Entry'!E$9)),MAX(MIN('Council Entry'!E97,'Council Entry'!E$9),'Council Entry'!E$8),'Council Entry'!E97))))-'Council Entry'!E$5)/('Council Entry'!E$6-'Council Entry'!E$5),10*((IF('Council Entry'!E$4="Logarithm",LN(0.001+IF(AND(ISNUMBER('Council Entry'!E$8),ISNUMBER('Council Entry'!E$9)),MAX(MIN('Council Entry'!E97,'Council Entry'!E$9),'Council Entry'!E$8),'Council Entry'!E97)),IF('Council Entry'!E$4="Exponential",EXP(IF(AND(ISNUMBER('Council Entry'!E$8),ISNUMBER('Council Entry'!E$9)),MAX(MIN('Council Entry'!E97,'Council Entry'!E$9),'Council Entry'!E$8),'Council Entry'!E97)),IF(AND(ISNUMBER('Council Entry'!E$8),ISNUMBER('Council Entry'!E$9)),MAX(MIN('Council Entry'!E97,'Council Entry'!E$9),'Council Entry'!E$8),'Council Entry'!E97))))-'Council Entry'!E$5)/('Council Entry'!E$6-'Council Entry'!E$5)),1))),"No data"))</f>
        <v/>
      </c>
      <c r="F97" s="13">
        <f>IF('Council Entry'!F97="","",IFERROR(MAX(0,MIN(10,ROUND(IF('Council Entry'!F$7="Decrease Risk",10-10*((IF('Council Entry'!F$4="Logarithm",LN(0.001+IF(AND(ISNUMBER('Council Entry'!F$8),ISNUMBER('Council Entry'!F$9)),MAX(MIN('Council Entry'!F97,'Council Entry'!F$9),'Council Entry'!F$8),'Council Entry'!F97)),IF('Council Entry'!F$4="Exponential",EXP(IF(AND(ISNUMBER('Council Entry'!F$8),ISNUMBER('Council Entry'!F$9)),MAX(MIN('Council Entry'!F97,'Council Entry'!F$9),'Council Entry'!F$8),'Council Entry'!F97)),IF(AND(ISNUMBER('Council Entry'!F$8),ISNUMBER('Council Entry'!F$9)),MAX(MIN('Council Entry'!F97,'Council Entry'!F$9),'Council Entry'!F$8),'Council Entry'!F97))))-'Council Entry'!F$5)/('Council Entry'!F$6-'Council Entry'!F$5),10*((IF('Council Entry'!F$4="Logarithm",LN(0.001+IF(AND(ISNUMBER('Council Entry'!F$8),ISNUMBER('Council Entry'!F$9)),MAX(MIN('Council Entry'!F97,'Council Entry'!F$9),'Council Entry'!F$8),'Council Entry'!F97)),IF('Council Entry'!F$4="Exponential",EXP(IF(AND(ISNUMBER('Council Entry'!F$8),ISNUMBER('Council Entry'!F$9)),MAX(MIN('Council Entry'!F97,'Council Entry'!F$9),'Council Entry'!F$8),'Council Entry'!F97)),IF(AND(ISNUMBER('Council Entry'!F$8),ISNUMBER('Council Entry'!F$9)),MAX(MIN('Council Entry'!F97,'Council Entry'!F$9),'Council Entry'!F$8),'Council Entry'!F97))))-'Council Entry'!F$5)/('Council Entry'!F$6-'Council Entry'!F$5)),1))),"No data"))</f>
        <v/>
      </c>
      <c r="G97" s="13">
        <f>IF('Council Entry'!G97="","",IFERROR(MAX(0,MIN(10,ROUND(IF('Council Entry'!G$7="Decrease Risk",10-10*((IF('Council Entry'!G$4="Logarithm",LN(0.001+IF(AND(ISNUMBER('Council Entry'!G$8),ISNUMBER('Council Entry'!G$9)),MAX(MIN('Council Entry'!G97,'Council Entry'!G$9),'Council Entry'!G$8),'Council Entry'!G97)),IF('Council Entry'!G$4="Exponential",EXP(IF(AND(ISNUMBER('Council Entry'!G$8),ISNUMBER('Council Entry'!G$9)),MAX(MIN('Council Entry'!G97,'Council Entry'!G$9),'Council Entry'!G$8),'Council Entry'!G97)),IF(AND(ISNUMBER('Council Entry'!G$8),ISNUMBER('Council Entry'!G$9)),MAX(MIN('Council Entry'!G97,'Council Entry'!G$9),'Council Entry'!G$8),'Council Entry'!G97))))-'Council Entry'!G$5)/('Council Entry'!G$6-'Council Entry'!G$5),10*((IF('Council Entry'!G$4="Logarithm",LN(0.001+IF(AND(ISNUMBER('Council Entry'!G$8),ISNUMBER('Council Entry'!G$9)),MAX(MIN('Council Entry'!G97,'Council Entry'!G$9),'Council Entry'!G$8),'Council Entry'!G97)),IF('Council Entry'!G$4="Exponential",EXP(IF(AND(ISNUMBER('Council Entry'!G$8),ISNUMBER('Council Entry'!G$9)),MAX(MIN('Council Entry'!G97,'Council Entry'!G$9),'Council Entry'!G$8),'Council Entry'!G97)),IF(AND(ISNUMBER('Council Entry'!G$8),ISNUMBER('Council Entry'!G$9)),MAX(MIN('Council Entry'!G97,'Council Entry'!G$9),'Council Entry'!G$8),'Council Entry'!G97))))-'Council Entry'!G$5)/('Council Entry'!G$6-'Council Entry'!G$5)),1))),"No data"))</f>
        <v/>
      </c>
      <c r="H97" s="13">
        <f>IF('Council Entry'!H97="","",IFERROR(MAX(0,MIN(10,ROUND(IF('Council Entry'!H$7="Decrease Risk",10-10*((IF('Council Entry'!H$4="Logarithm",LN(0.001+IF(AND(ISNUMBER('Council Entry'!H$8),ISNUMBER('Council Entry'!H$9)),MAX(MIN('Council Entry'!H97,'Council Entry'!H$9),'Council Entry'!H$8),'Council Entry'!H97)),IF('Council Entry'!H$4="Exponential",EXP(IF(AND(ISNUMBER('Council Entry'!H$8),ISNUMBER('Council Entry'!H$9)),MAX(MIN('Council Entry'!H97,'Council Entry'!H$9),'Council Entry'!H$8),'Council Entry'!H97)),IF(AND(ISNUMBER('Council Entry'!H$8),ISNUMBER('Council Entry'!H$9)),MAX(MIN('Council Entry'!H97,'Council Entry'!H$9),'Council Entry'!H$8),'Council Entry'!H97))))-'Council Entry'!H$5)/('Council Entry'!H$6-'Council Entry'!H$5),10*((IF('Council Entry'!H$4="Logarithm",LN(0.001+IF(AND(ISNUMBER('Council Entry'!H$8),ISNUMBER('Council Entry'!H$9)),MAX(MIN('Council Entry'!H97,'Council Entry'!H$9),'Council Entry'!H$8),'Council Entry'!H97)),IF('Council Entry'!H$4="Exponential",EXP(IF(AND(ISNUMBER('Council Entry'!H$8),ISNUMBER('Council Entry'!H$9)),MAX(MIN('Council Entry'!H97,'Council Entry'!H$9),'Council Entry'!H$8),'Council Entry'!H97)),IF(AND(ISNUMBER('Council Entry'!H$8),ISNUMBER('Council Entry'!H$9)),MAX(MIN('Council Entry'!H97,'Council Entry'!H$9),'Council Entry'!H$8),'Council Entry'!H97))))-'Council Entry'!H$5)/('Council Entry'!H$6-'Council Entry'!H$5)),1))),"No data"))</f>
        <v/>
      </c>
      <c r="I97" s="13">
        <f>IF('Council Entry'!I97="","",IFERROR(MAX(0,MIN(10,ROUND(IF('Council Entry'!I$7="Decrease Risk",10-10*((IF('Council Entry'!I$4="Logarithm",LN(0.001+IF(AND(ISNUMBER('Council Entry'!I$8),ISNUMBER('Council Entry'!I$9)),MAX(MIN('Council Entry'!I97,'Council Entry'!I$9),'Council Entry'!I$8),'Council Entry'!I97)),IF('Council Entry'!I$4="Exponential",EXP(IF(AND(ISNUMBER('Council Entry'!I$8),ISNUMBER('Council Entry'!I$9)),MAX(MIN('Council Entry'!I97,'Council Entry'!I$9),'Council Entry'!I$8),'Council Entry'!I97)),IF(AND(ISNUMBER('Council Entry'!I$8),ISNUMBER('Council Entry'!I$9)),MAX(MIN('Council Entry'!I97,'Council Entry'!I$9),'Council Entry'!I$8),'Council Entry'!I97))))-'Council Entry'!I$5)/('Council Entry'!I$6-'Council Entry'!I$5),10*((IF('Council Entry'!I$4="Logarithm",LN(0.001+IF(AND(ISNUMBER('Council Entry'!I$8),ISNUMBER('Council Entry'!I$9)),MAX(MIN('Council Entry'!I97,'Council Entry'!I$9),'Council Entry'!I$8),'Council Entry'!I97)),IF('Council Entry'!I$4="Exponential",EXP(IF(AND(ISNUMBER('Council Entry'!I$8),ISNUMBER('Council Entry'!I$9)),MAX(MIN('Council Entry'!I97,'Council Entry'!I$9),'Council Entry'!I$8),'Council Entry'!I97)),IF(AND(ISNUMBER('Council Entry'!I$8),ISNUMBER('Council Entry'!I$9)),MAX(MIN('Council Entry'!I97,'Council Entry'!I$9),'Council Entry'!I$8),'Council Entry'!I97))))-'Council Entry'!I$5)/('Council Entry'!I$6-'Council Entry'!I$5)),1))),"No data"))</f>
        <v/>
      </c>
      <c r="J97" s="13">
        <f>IF('Council Entry'!J97="","",IFERROR(MAX(0,MIN(10,ROUND(IF('Council Entry'!J$7="Decrease Risk",10-10*((IF('Council Entry'!J$4="Logarithm",LN(0.001+IF(AND(ISNUMBER('Council Entry'!J$8),ISNUMBER('Council Entry'!J$9)),MAX(MIN('Council Entry'!J97,'Council Entry'!J$9),'Council Entry'!J$8),'Council Entry'!J97)),IF('Council Entry'!J$4="Exponential",EXP(IF(AND(ISNUMBER('Council Entry'!J$8),ISNUMBER('Council Entry'!J$9)),MAX(MIN('Council Entry'!J97,'Council Entry'!J$9),'Council Entry'!J$8),'Council Entry'!J97)),IF(AND(ISNUMBER('Council Entry'!J$8),ISNUMBER('Council Entry'!J$9)),MAX(MIN('Council Entry'!J97,'Council Entry'!J$9),'Council Entry'!J$8),'Council Entry'!J97))))-'Council Entry'!J$5)/('Council Entry'!J$6-'Council Entry'!J$5),10*((IF('Council Entry'!J$4="Logarithm",LN(0.001+IF(AND(ISNUMBER('Council Entry'!J$8),ISNUMBER('Council Entry'!J$9)),MAX(MIN('Council Entry'!J97,'Council Entry'!J$9),'Council Entry'!J$8),'Council Entry'!J97)),IF('Council Entry'!J$4="Exponential",EXP(IF(AND(ISNUMBER('Council Entry'!J$8),ISNUMBER('Council Entry'!J$9)),MAX(MIN('Council Entry'!J97,'Council Entry'!J$9),'Council Entry'!J$8),'Council Entry'!J97)),IF(AND(ISNUMBER('Council Entry'!J$8),ISNUMBER('Council Entry'!J$9)),MAX(MIN('Council Entry'!J97,'Council Entry'!J$9),'Council Entry'!J$8),'Council Entry'!J97))))-'Council Entry'!J$5)/('Council Entry'!J$6-'Council Entry'!J$5)),1))),"No data"))</f>
        <v/>
      </c>
      <c r="K97" s="13">
        <f>IF('Council Entry'!K97="","",IFERROR(MAX(0,MIN(10,ROUND(IF('Council Entry'!K$7="Decrease Risk",10-10*((IF('Council Entry'!K$4="Logarithm",LN(0.001+IF(AND(ISNUMBER('Council Entry'!K$8),ISNUMBER('Council Entry'!K$9)),MAX(MIN('Council Entry'!K97,'Council Entry'!K$9),'Council Entry'!K$8),'Council Entry'!K97)),IF('Council Entry'!K$4="Exponential",EXP(IF(AND(ISNUMBER('Council Entry'!K$8),ISNUMBER('Council Entry'!K$9)),MAX(MIN('Council Entry'!K97,'Council Entry'!K$9),'Council Entry'!K$8),'Council Entry'!K97)),IF(AND(ISNUMBER('Council Entry'!K$8),ISNUMBER('Council Entry'!K$9)),MAX(MIN('Council Entry'!K97,'Council Entry'!K$9),'Council Entry'!K$8),'Council Entry'!K97))))-'Council Entry'!K$5)/('Council Entry'!K$6-'Council Entry'!K$5),10*((IF('Council Entry'!K$4="Logarithm",LN(0.001+IF(AND(ISNUMBER('Council Entry'!K$8),ISNUMBER('Council Entry'!K$9)),MAX(MIN('Council Entry'!K97,'Council Entry'!K$9),'Council Entry'!K$8),'Council Entry'!K97)),IF('Council Entry'!K$4="Exponential",EXP(IF(AND(ISNUMBER('Council Entry'!K$8),ISNUMBER('Council Entry'!K$9)),MAX(MIN('Council Entry'!K97,'Council Entry'!K$9),'Council Entry'!K$8),'Council Entry'!K97)),IF(AND(ISNUMBER('Council Entry'!K$8),ISNUMBER('Council Entry'!K$9)),MAX(MIN('Council Entry'!K97,'Council Entry'!K$9),'Council Entry'!K$8),'Council Entry'!K97))))-'Council Entry'!K$5)/('Council Entry'!K$6-'Council Entry'!K$5)),1))),"No data"))</f>
        <v/>
      </c>
      <c r="L97" s="13">
        <f>IF('Council Entry'!L97="","",IFERROR(MAX(0,MIN(10,ROUND(IF('Council Entry'!L$7="Decrease Risk",10-10*((IF('Council Entry'!L$4="Logarithm",LN(0.001+IF(AND(ISNUMBER('Council Entry'!L$8),ISNUMBER('Council Entry'!L$9)),MAX(MIN('Council Entry'!L97,'Council Entry'!L$9),'Council Entry'!L$8),'Council Entry'!L97)),IF('Council Entry'!L$4="Exponential",EXP(IF(AND(ISNUMBER('Council Entry'!L$8),ISNUMBER('Council Entry'!L$9)),MAX(MIN('Council Entry'!L97,'Council Entry'!L$9),'Council Entry'!L$8),'Council Entry'!L97)),IF(AND(ISNUMBER('Council Entry'!L$8),ISNUMBER('Council Entry'!L$9)),MAX(MIN('Council Entry'!L97,'Council Entry'!L$9),'Council Entry'!L$8),'Council Entry'!L97))))-'Council Entry'!L$5)/('Council Entry'!L$6-'Council Entry'!L$5),10*((IF('Council Entry'!L$4="Logarithm",LN(0.001+IF(AND(ISNUMBER('Council Entry'!L$8),ISNUMBER('Council Entry'!L$9)),MAX(MIN('Council Entry'!L97,'Council Entry'!L$9),'Council Entry'!L$8),'Council Entry'!L97)),IF('Council Entry'!L$4="Exponential",EXP(IF(AND(ISNUMBER('Council Entry'!L$8),ISNUMBER('Council Entry'!L$9)),MAX(MIN('Council Entry'!L97,'Council Entry'!L$9),'Council Entry'!L$8),'Council Entry'!L97)),IF(AND(ISNUMBER('Council Entry'!L$8),ISNUMBER('Council Entry'!L$9)),MAX(MIN('Council Entry'!L97,'Council Entry'!L$9),'Council Entry'!L$8),'Council Entry'!L97))))-'Council Entry'!L$5)/('Council Entry'!L$6-'Council Entry'!L$5)),1))),"No data"))</f>
        <v/>
      </c>
      <c r="M97" s="13">
        <f>IF('Council Entry'!M97="","",IFERROR(MAX(0,MIN(10,ROUND(IF('Council Entry'!M$7="Decrease Risk",10-10*((IF('Council Entry'!M$4="Logarithm",LN(0.001+IF(AND(ISNUMBER('Council Entry'!M$8),ISNUMBER('Council Entry'!M$9)),MAX(MIN('Council Entry'!M97,'Council Entry'!M$9),'Council Entry'!M$8),'Council Entry'!M97)),IF('Council Entry'!M$4="Exponential",EXP(IF(AND(ISNUMBER('Council Entry'!M$8),ISNUMBER('Council Entry'!M$9)),MAX(MIN('Council Entry'!M97,'Council Entry'!M$9),'Council Entry'!M$8),'Council Entry'!M97)),IF(AND(ISNUMBER('Council Entry'!M$8),ISNUMBER('Council Entry'!M$9)),MAX(MIN('Council Entry'!M97,'Council Entry'!M$9),'Council Entry'!M$8),'Council Entry'!M97))))-'Council Entry'!M$5)/('Council Entry'!M$6-'Council Entry'!M$5),10*((IF('Council Entry'!M$4="Logarithm",LN(0.001+IF(AND(ISNUMBER('Council Entry'!M$8),ISNUMBER('Council Entry'!M$9)),MAX(MIN('Council Entry'!M97,'Council Entry'!M$9),'Council Entry'!M$8),'Council Entry'!M97)),IF('Council Entry'!M$4="Exponential",EXP(IF(AND(ISNUMBER('Council Entry'!M$8),ISNUMBER('Council Entry'!M$9)),MAX(MIN('Council Entry'!M97,'Council Entry'!M$9),'Council Entry'!M$8),'Council Entry'!M97)),IF(AND(ISNUMBER('Council Entry'!M$8),ISNUMBER('Council Entry'!M$9)),MAX(MIN('Council Entry'!M97,'Council Entry'!M$9),'Council Entry'!M$8),'Council Entry'!M97))))-'Council Entry'!M$5)/('Council Entry'!M$6-'Council Entry'!M$5)),1))),"No data"))</f>
        <v/>
      </c>
      <c r="N97" s="13">
        <f>IF('Council Entry'!N97="","",IFERROR(MAX(0,MIN(10,ROUND(IF('Council Entry'!N$7="Decrease Risk",10-10*((IF('Council Entry'!N$4="Logarithm",LN(0.001+IF(AND(ISNUMBER('Council Entry'!N$8),ISNUMBER('Council Entry'!N$9)),MAX(MIN('Council Entry'!N97,'Council Entry'!N$9),'Council Entry'!N$8),'Council Entry'!N97)),IF('Council Entry'!N$4="Exponential",EXP(IF(AND(ISNUMBER('Council Entry'!N$8),ISNUMBER('Council Entry'!N$9)),MAX(MIN('Council Entry'!N97,'Council Entry'!N$9),'Council Entry'!N$8),'Council Entry'!N97)),IF(AND(ISNUMBER('Council Entry'!N$8),ISNUMBER('Council Entry'!N$9)),MAX(MIN('Council Entry'!N97,'Council Entry'!N$9),'Council Entry'!N$8),'Council Entry'!N97))))-'Council Entry'!N$5)/('Council Entry'!N$6-'Council Entry'!N$5),10*((IF('Council Entry'!N$4="Logarithm",LN(0.001+IF(AND(ISNUMBER('Council Entry'!N$8),ISNUMBER('Council Entry'!N$9)),MAX(MIN('Council Entry'!N97,'Council Entry'!N$9),'Council Entry'!N$8),'Council Entry'!N97)),IF('Council Entry'!N$4="Exponential",EXP(IF(AND(ISNUMBER('Council Entry'!N$8),ISNUMBER('Council Entry'!N$9)),MAX(MIN('Council Entry'!N97,'Council Entry'!N$9),'Council Entry'!N$8),'Council Entry'!N97)),IF(AND(ISNUMBER('Council Entry'!N$8),ISNUMBER('Council Entry'!N$9)),MAX(MIN('Council Entry'!N97,'Council Entry'!N$9),'Council Entry'!N$8),'Council Entry'!N97))))-'Council Entry'!N$5)/('Council Entry'!N$6-'Council Entry'!N$5)),1))),"No data"))</f>
        <v/>
      </c>
      <c r="O97" s="13">
        <f>IF('Council Entry'!O97="","",IFERROR(MAX(0,MIN(10,ROUND(IF('Council Entry'!O$7="Decrease Risk",10-10*((IF('Council Entry'!O$4="Logarithm",LN(0.001+IF(AND(ISNUMBER('Council Entry'!O$8),ISNUMBER('Council Entry'!O$9)),MAX(MIN('Council Entry'!O97,'Council Entry'!O$9),'Council Entry'!O$8),'Council Entry'!O97)),IF('Council Entry'!O$4="Exponential",EXP(IF(AND(ISNUMBER('Council Entry'!O$8),ISNUMBER('Council Entry'!O$9)),MAX(MIN('Council Entry'!O97,'Council Entry'!O$9),'Council Entry'!O$8),'Council Entry'!O97)),IF(AND(ISNUMBER('Council Entry'!O$8),ISNUMBER('Council Entry'!O$9)),MAX(MIN('Council Entry'!O97,'Council Entry'!O$9),'Council Entry'!O$8),'Council Entry'!O97))))-'Council Entry'!O$5)/('Council Entry'!O$6-'Council Entry'!O$5),10*((IF('Council Entry'!O$4="Logarithm",LN(0.001+IF(AND(ISNUMBER('Council Entry'!O$8),ISNUMBER('Council Entry'!O$9)),MAX(MIN('Council Entry'!O97,'Council Entry'!O$9),'Council Entry'!O$8),'Council Entry'!O97)),IF('Council Entry'!O$4="Exponential",EXP(IF(AND(ISNUMBER('Council Entry'!O$8),ISNUMBER('Council Entry'!O$9)),MAX(MIN('Council Entry'!O97,'Council Entry'!O$9),'Council Entry'!O$8),'Council Entry'!O97)),IF(AND(ISNUMBER('Council Entry'!O$8),ISNUMBER('Council Entry'!O$9)),MAX(MIN('Council Entry'!O97,'Council Entry'!O$9),'Council Entry'!O$8),'Council Entry'!O97))))-'Council Entry'!O$5)/('Council Entry'!O$6-'Council Entry'!O$5)),1))),"No data"))</f>
        <v/>
      </c>
      <c r="P97" s="13">
        <f>IF('Council Entry'!P97="","",IFERROR(MAX(0,MIN(10,ROUND(IF('Council Entry'!P$7="Decrease Risk",10-10*((IF('Council Entry'!P$4="Logarithm",LN(0.001+IF(AND(ISNUMBER('Council Entry'!P$8),ISNUMBER('Council Entry'!P$9)),MAX(MIN('Council Entry'!P97,'Council Entry'!P$9),'Council Entry'!P$8),'Council Entry'!P97)),IF('Council Entry'!P$4="Exponential",EXP(IF(AND(ISNUMBER('Council Entry'!P$8),ISNUMBER('Council Entry'!P$9)),MAX(MIN('Council Entry'!P97,'Council Entry'!P$9),'Council Entry'!P$8),'Council Entry'!P97)),IF(AND(ISNUMBER('Council Entry'!P$8),ISNUMBER('Council Entry'!P$9)),MAX(MIN('Council Entry'!P97,'Council Entry'!P$9),'Council Entry'!P$8),'Council Entry'!P97))))-'Council Entry'!P$5)/('Council Entry'!P$6-'Council Entry'!P$5),10*((IF('Council Entry'!P$4="Logarithm",LN(0.001+IF(AND(ISNUMBER('Council Entry'!P$8),ISNUMBER('Council Entry'!P$9)),MAX(MIN('Council Entry'!P97,'Council Entry'!P$9),'Council Entry'!P$8),'Council Entry'!P97)),IF('Council Entry'!P$4="Exponential",EXP(IF(AND(ISNUMBER('Council Entry'!P$8),ISNUMBER('Council Entry'!P$9)),MAX(MIN('Council Entry'!P97,'Council Entry'!P$9),'Council Entry'!P$8),'Council Entry'!P97)),IF(AND(ISNUMBER('Council Entry'!P$8),ISNUMBER('Council Entry'!P$9)),MAX(MIN('Council Entry'!P97,'Council Entry'!P$9),'Council Entry'!P$8),'Council Entry'!P97))))-'Council Entry'!P$5)/('Council Entry'!P$6-'Council Entry'!P$5)),1))),"No data"))</f>
        <v/>
      </c>
      <c r="Q97" s="13">
        <f>IF('Council Entry'!Q97="","",IFERROR(MAX(0,MIN(10,ROUND(IF('Council Entry'!Q$7="Decrease Risk",10-10*((IF('Council Entry'!Q$4="Logarithm",LN(0.001+IF(AND(ISNUMBER('Council Entry'!Q$8),ISNUMBER('Council Entry'!Q$9)),MAX(MIN('Council Entry'!Q97,'Council Entry'!Q$9),'Council Entry'!Q$8),'Council Entry'!Q97)),IF('Council Entry'!Q$4="Exponential",EXP(IF(AND(ISNUMBER('Council Entry'!Q$8),ISNUMBER('Council Entry'!Q$9)),MAX(MIN('Council Entry'!Q97,'Council Entry'!Q$9),'Council Entry'!Q$8),'Council Entry'!Q97)),IF(AND(ISNUMBER('Council Entry'!Q$8),ISNUMBER('Council Entry'!Q$9)),MAX(MIN('Council Entry'!Q97,'Council Entry'!Q$9),'Council Entry'!Q$8),'Council Entry'!Q97))))-'Council Entry'!Q$5)/('Council Entry'!Q$6-'Council Entry'!Q$5),10*((IF('Council Entry'!Q$4="Logarithm",LN(0.001+IF(AND(ISNUMBER('Council Entry'!Q$8),ISNUMBER('Council Entry'!Q$9)),MAX(MIN('Council Entry'!Q97,'Council Entry'!Q$9),'Council Entry'!Q$8),'Council Entry'!Q97)),IF('Council Entry'!Q$4="Exponential",EXP(IF(AND(ISNUMBER('Council Entry'!Q$8),ISNUMBER('Council Entry'!Q$9)),MAX(MIN('Council Entry'!Q97,'Council Entry'!Q$9),'Council Entry'!Q$8),'Council Entry'!Q97)),IF(AND(ISNUMBER('Council Entry'!Q$8),ISNUMBER('Council Entry'!Q$9)),MAX(MIN('Council Entry'!Q97,'Council Entry'!Q$9),'Council Entry'!Q$8),'Council Entry'!Q97))))-'Council Entry'!Q$5)/('Council Entry'!Q$6-'Council Entry'!Q$5)),1))),"No data"))</f>
        <v/>
      </c>
      <c r="R97" s="13">
        <f>IF('Council Entry'!R97="","",IFERROR(MAX(0,MIN(10,ROUND(IF('Council Entry'!R$7="Decrease Risk",10-10*((IF('Council Entry'!R$4="Logarithm",LN(0.001+IF(AND(ISNUMBER('Council Entry'!R$8),ISNUMBER('Council Entry'!R$9)),MAX(MIN('Council Entry'!R97,'Council Entry'!R$9),'Council Entry'!R$8),'Council Entry'!R97)),IF('Council Entry'!R$4="Exponential",EXP(IF(AND(ISNUMBER('Council Entry'!R$8),ISNUMBER('Council Entry'!R$9)),MAX(MIN('Council Entry'!R97,'Council Entry'!R$9),'Council Entry'!R$8),'Council Entry'!R97)),IF(AND(ISNUMBER('Council Entry'!R$8),ISNUMBER('Council Entry'!R$9)),MAX(MIN('Council Entry'!R97,'Council Entry'!R$9),'Council Entry'!R$8),'Council Entry'!R97))))-'Council Entry'!R$5)/('Council Entry'!R$6-'Council Entry'!R$5),10*((IF('Council Entry'!R$4="Logarithm",LN(0.001+IF(AND(ISNUMBER('Council Entry'!R$8),ISNUMBER('Council Entry'!R$9)),MAX(MIN('Council Entry'!R97,'Council Entry'!R$9),'Council Entry'!R$8),'Council Entry'!R97)),IF('Council Entry'!R$4="Exponential",EXP(IF(AND(ISNUMBER('Council Entry'!R$8),ISNUMBER('Council Entry'!R$9)),MAX(MIN('Council Entry'!R97,'Council Entry'!R$9),'Council Entry'!R$8),'Council Entry'!R97)),IF(AND(ISNUMBER('Council Entry'!R$8),ISNUMBER('Council Entry'!R$9)),MAX(MIN('Council Entry'!R97,'Council Entry'!R$9),'Council Entry'!R$8),'Council Entry'!R97))))-'Council Entry'!R$5)/('Council Entry'!R$6-'Council Entry'!R$5)),1))),"No data"))</f>
        <v/>
      </c>
      <c r="S97" s="13">
        <f>IF('Council Entry'!S97="","",IFERROR(MAX(0,MIN(10,ROUND(IF('Council Entry'!S$7="Decrease Risk",10-10*((IF('Council Entry'!S$4="Logarithm",LN(0.001+IF(AND(ISNUMBER('Council Entry'!S$8),ISNUMBER('Council Entry'!S$9)),MAX(MIN('Council Entry'!S97,'Council Entry'!S$9),'Council Entry'!S$8),'Council Entry'!S97)),IF('Council Entry'!S$4="Exponential",EXP(IF(AND(ISNUMBER('Council Entry'!S$8),ISNUMBER('Council Entry'!S$9)),MAX(MIN('Council Entry'!S97,'Council Entry'!S$9),'Council Entry'!S$8),'Council Entry'!S97)),IF(AND(ISNUMBER('Council Entry'!S$8),ISNUMBER('Council Entry'!S$9)),MAX(MIN('Council Entry'!S97,'Council Entry'!S$9),'Council Entry'!S$8),'Council Entry'!S97))))-'Council Entry'!S$5)/('Council Entry'!S$6-'Council Entry'!S$5),10*((IF('Council Entry'!S$4="Logarithm",LN(0.001+IF(AND(ISNUMBER('Council Entry'!S$8),ISNUMBER('Council Entry'!S$9)),MAX(MIN('Council Entry'!S97,'Council Entry'!S$9),'Council Entry'!S$8),'Council Entry'!S97)),IF('Council Entry'!S$4="Exponential",EXP(IF(AND(ISNUMBER('Council Entry'!S$8),ISNUMBER('Council Entry'!S$9)),MAX(MIN('Council Entry'!S97,'Council Entry'!S$9),'Council Entry'!S$8),'Council Entry'!S97)),IF(AND(ISNUMBER('Council Entry'!S$8),ISNUMBER('Council Entry'!S$9)),MAX(MIN('Council Entry'!S97,'Council Entry'!S$9),'Council Entry'!S$8),'Council Entry'!S97))))-'Council Entry'!S$5)/('Council Entry'!S$6-'Council Entry'!S$5)),1))),"No data"))</f>
        <v/>
      </c>
      <c r="T97" s="13">
        <f>IF('Council Entry'!T97="","",IFERROR(MAX(0,MIN(10,ROUND(IF('Council Entry'!T$7="Decrease Risk",10-10*((IF('Council Entry'!T$4="Logarithm",LN(0.001+IF(AND(ISNUMBER('Council Entry'!T$8),ISNUMBER('Council Entry'!T$9)),MAX(MIN('Council Entry'!T97,'Council Entry'!T$9),'Council Entry'!T$8),'Council Entry'!T97)),IF('Council Entry'!T$4="Exponential",EXP(IF(AND(ISNUMBER('Council Entry'!T$8),ISNUMBER('Council Entry'!T$9)),MAX(MIN('Council Entry'!T97,'Council Entry'!T$9),'Council Entry'!T$8),'Council Entry'!T97)),IF(AND(ISNUMBER('Council Entry'!T$8),ISNUMBER('Council Entry'!T$9)),MAX(MIN('Council Entry'!T97,'Council Entry'!T$9),'Council Entry'!T$8),'Council Entry'!T97))))-'Council Entry'!T$5)/('Council Entry'!T$6-'Council Entry'!T$5),10*((IF('Council Entry'!T$4="Logarithm",LN(0.001+IF(AND(ISNUMBER('Council Entry'!T$8),ISNUMBER('Council Entry'!T$9)),MAX(MIN('Council Entry'!T97,'Council Entry'!T$9),'Council Entry'!T$8),'Council Entry'!T97)),IF('Council Entry'!T$4="Exponential",EXP(IF(AND(ISNUMBER('Council Entry'!T$8),ISNUMBER('Council Entry'!T$9)),MAX(MIN('Council Entry'!T97,'Council Entry'!T$9),'Council Entry'!T$8),'Council Entry'!T97)),IF(AND(ISNUMBER('Council Entry'!T$8),ISNUMBER('Council Entry'!T$9)),MAX(MIN('Council Entry'!T97,'Council Entry'!T$9),'Council Entry'!T$8),'Council Entry'!T97))))-'Council Entry'!T$5)/('Council Entry'!T$6-'Council Entry'!T$5)),1))),"No data"))</f>
        <v/>
      </c>
      <c r="U97" s="13">
        <f>IF('Council Entry'!U97="","",IFERROR(MAX(0,MIN(10,ROUND(IF('Council Entry'!U$7="Decrease Risk",10-10*((IF('Council Entry'!U$4="Logarithm",LN(0.001+IF(AND(ISNUMBER('Council Entry'!U$8),ISNUMBER('Council Entry'!U$9)),MAX(MIN('Council Entry'!U97,'Council Entry'!U$9),'Council Entry'!U$8),'Council Entry'!U97)),IF('Council Entry'!U$4="Exponential",EXP(IF(AND(ISNUMBER('Council Entry'!U$8),ISNUMBER('Council Entry'!U$9)),MAX(MIN('Council Entry'!U97,'Council Entry'!U$9),'Council Entry'!U$8),'Council Entry'!U97)),IF(AND(ISNUMBER('Council Entry'!U$8),ISNUMBER('Council Entry'!U$9)),MAX(MIN('Council Entry'!U97,'Council Entry'!U$9),'Council Entry'!U$8),'Council Entry'!U97))))-'Council Entry'!U$5)/('Council Entry'!U$6-'Council Entry'!U$5),10*((IF('Council Entry'!U$4="Logarithm",LN(0.001+IF(AND(ISNUMBER('Council Entry'!U$8),ISNUMBER('Council Entry'!U$9)),MAX(MIN('Council Entry'!U97,'Council Entry'!U$9),'Council Entry'!U$8),'Council Entry'!U97)),IF('Council Entry'!U$4="Exponential",EXP(IF(AND(ISNUMBER('Council Entry'!U$8),ISNUMBER('Council Entry'!U$9)),MAX(MIN('Council Entry'!U97,'Council Entry'!U$9),'Council Entry'!U$8),'Council Entry'!U97)),IF(AND(ISNUMBER('Council Entry'!U$8),ISNUMBER('Council Entry'!U$9)),MAX(MIN('Council Entry'!U97,'Council Entry'!U$9),'Council Entry'!U$8),'Council Entry'!U97))))-'Council Entry'!U$5)/('Council Entry'!U$6-'Council Entry'!U$5)),1))),"No data"))</f>
        <v/>
      </c>
      <c r="V97" s="13">
        <f>IF('Council Entry'!V97="","",IFERROR(MAX(0,MIN(10,ROUND(IF('Council Entry'!V$7="Decrease Risk",10-10*((IF('Council Entry'!V$4="Logarithm",LN(0.001+IF(AND(ISNUMBER('Council Entry'!V$8),ISNUMBER('Council Entry'!V$9)),MAX(MIN('Council Entry'!V97,'Council Entry'!V$9),'Council Entry'!V$8),'Council Entry'!V97)),IF('Council Entry'!V$4="Exponential",EXP(IF(AND(ISNUMBER('Council Entry'!V$8),ISNUMBER('Council Entry'!V$9)),MAX(MIN('Council Entry'!V97,'Council Entry'!V$9),'Council Entry'!V$8),'Council Entry'!V97)),IF(AND(ISNUMBER('Council Entry'!V$8),ISNUMBER('Council Entry'!V$9)),MAX(MIN('Council Entry'!V97,'Council Entry'!V$9),'Council Entry'!V$8),'Council Entry'!V97))))-'Council Entry'!V$5)/('Council Entry'!V$6-'Council Entry'!V$5),10*((IF('Council Entry'!V$4="Logarithm",LN(0.001+IF(AND(ISNUMBER('Council Entry'!V$8),ISNUMBER('Council Entry'!V$9)),MAX(MIN('Council Entry'!V97,'Council Entry'!V$9),'Council Entry'!V$8),'Council Entry'!V97)),IF('Council Entry'!V$4="Exponential",EXP(IF(AND(ISNUMBER('Council Entry'!V$8),ISNUMBER('Council Entry'!V$9)),MAX(MIN('Council Entry'!V97,'Council Entry'!V$9),'Council Entry'!V$8),'Council Entry'!V97)),IF(AND(ISNUMBER('Council Entry'!V$8),ISNUMBER('Council Entry'!V$9)),MAX(MIN('Council Entry'!V97,'Council Entry'!V$9),'Council Entry'!V$8),'Council Entry'!V97))))-'Council Entry'!V$5)/('Council Entry'!V$6-'Council Entry'!V$5)),1))),"No data"))</f>
        <v/>
      </c>
      <c r="W97" s="13">
        <f>IF('Council Entry'!W97="","",IFERROR(MAX(0,MIN(10,ROUND(IF('Council Entry'!W$7="Decrease Risk",10-10*((IF('Council Entry'!W$4="Logarithm",LN(0.001+IF(AND(ISNUMBER('Council Entry'!W$8),ISNUMBER('Council Entry'!W$9)),MAX(MIN('Council Entry'!W97,'Council Entry'!W$9),'Council Entry'!W$8),'Council Entry'!W97)),IF('Council Entry'!W$4="Exponential",EXP(IF(AND(ISNUMBER('Council Entry'!W$8),ISNUMBER('Council Entry'!W$9)),MAX(MIN('Council Entry'!W97,'Council Entry'!W$9),'Council Entry'!W$8),'Council Entry'!W97)),IF(AND(ISNUMBER('Council Entry'!W$8),ISNUMBER('Council Entry'!W$9)),MAX(MIN('Council Entry'!W97,'Council Entry'!W$9),'Council Entry'!W$8),'Council Entry'!W97))))-'Council Entry'!W$5)/('Council Entry'!W$6-'Council Entry'!W$5),10*((IF('Council Entry'!W$4="Logarithm",LN(0.001+IF(AND(ISNUMBER('Council Entry'!W$8),ISNUMBER('Council Entry'!W$9)),MAX(MIN('Council Entry'!W97,'Council Entry'!W$9),'Council Entry'!W$8),'Council Entry'!W97)),IF('Council Entry'!W$4="Exponential",EXP(IF(AND(ISNUMBER('Council Entry'!W$8),ISNUMBER('Council Entry'!W$9)),MAX(MIN('Council Entry'!W97,'Council Entry'!W$9),'Council Entry'!W$8),'Council Entry'!W97)),IF(AND(ISNUMBER('Council Entry'!W$8),ISNUMBER('Council Entry'!W$9)),MAX(MIN('Council Entry'!W97,'Council Entry'!W$9),'Council Entry'!W$8),'Council Entry'!W97))))-'Council Entry'!W$5)/('Council Entry'!W$6-'Council Entry'!W$5)),1))),"No data"))</f>
        <v/>
      </c>
      <c r="X97" s="13">
        <f>IF('Council Entry'!X97="","",IFERROR(MAX(0,MIN(10,ROUND(IF('Council Entry'!X$7="Decrease Risk",10-10*((IF('Council Entry'!X$4="Logarithm",LN(0.001+IF(AND(ISNUMBER('Council Entry'!X$8),ISNUMBER('Council Entry'!X$9)),MAX(MIN('Council Entry'!X97,'Council Entry'!X$9),'Council Entry'!X$8),'Council Entry'!X97)),IF('Council Entry'!X$4="Exponential",EXP(IF(AND(ISNUMBER('Council Entry'!X$8),ISNUMBER('Council Entry'!X$9)),MAX(MIN('Council Entry'!X97,'Council Entry'!X$9),'Council Entry'!X$8),'Council Entry'!X97)),IF(AND(ISNUMBER('Council Entry'!X$8),ISNUMBER('Council Entry'!X$9)),MAX(MIN('Council Entry'!X97,'Council Entry'!X$9),'Council Entry'!X$8),'Council Entry'!X97))))-'Council Entry'!X$5)/('Council Entry'!X$6-'Council Entry'!X$5),10*((IF('Council Entry'!X$4="Logarithm",LN(0.001+IF(AND(ISNUMBER('Council Entry'!X$8),ISNUMBER('Council Entry'!X$9)),MAX(MIN('Council Entry'!X97,'Council Entry'!X$9),'Council Entry'!X$8),'Council Entry'!X97)),IF('Council Entry'!X$4="Exponential",EXP(IF(AND(ISNUMBER('Council Entry'!X$8),ISNUMBER('Council Entry'!X$9)),MAX(MIN('Council Entry'!X97,'Council Entry'!X$9),'Council Entry'!X$8),'Council Entry'!X97)),IF(AND(ISNUMBER('Council Entry'!X$8),ISNUMBER('Council Entry'!X$9)),MAX(MIN('Council Entry'!X97,'Council Entry'!X$9),'Council Entry'!X$8),'Council Entry'!X97))))-'Council Entry'!X$5)/('Council Entry'!X$6-'Council Entry'!X$5)),1))),"No data"))</f>
        <v/>
      </c>
      <c r="Y97" s="13">
        <f>IF('Council Entry'!Y97="","",IFERROR(MAX(0,MIN(10,ROUND(IF('Council Entry'!Y$7="Decrease Risk",10-10*((IF('Council Entry'!Y$4="Logarithm",LN(0.001+IF(AND(ISNUMBER('Council Entry'!Y$8),ISNUMBER('Council Entry'!Y$9)),MAX(MIN('Council Entry'!Y97,'Council Entry'!Y$9),'Council Entry'!Y$8),'Council Entry'!Y97)),IF('Council Entry'!Y$4="Exponential",EXP(IF(AND(ISNUMBER('Council Entry'!Y$8),ISNUMBER('Council Entry'!Y$9)),MAX(MIN('Council Entry'!Y97,'Council Entry'!Y$9),'Council Entry'!Y$8),'Council Entry'!Y97)),IF(AND(ISNUMBER('Council Entry'!Y$8),ISNUMBER('Council Entry'!Y$9)),MAX(MIN('Council Entry'!Y97,'Council Entry'!Y$9),'Council Entry'!Y$8),'Council Entry'!Y97))))-'Council Entry'!Y$5)/('Council Entry'!Y$6-'Council Entry'!Y$5),10*((IF('Council Entry'!Y$4="Logarithm",LN(0.001+IF(AND(ISNUMBER('Council Entry'!Y$8),ISNUMBER('Council Entry'!Y$9)),MAX(MIN('Council Entry'!Y97,'Council Entry'!Y$9),'Council Entry'!Y$8),'Council Entry'!Y97)),IF('Council Entry'!Y$4="Exponential",EXP(IF(AND(ISNUMBER('Council Entry'!Y$8),ISNUMBER('Council Entry'!Y$9)),MAX(MIN('Council Entry'!Y97,'Council Entry'!Y$9),'Council Entry'!Y$8),'Council Entry'!Y97)),IF(AND(ISNUMBER('Council Entry'!Y$8),ISNUMBER('Council Entry'!Y$9)),MAX(MIN('Council Entry'!Y97,'Council Entry'!Y$9),'Council Entry'!Y$8),'Council Entry'!Y97))))-'Council Entry'!Y$5)/('Council Entry'!Y$6-'Council Entry'!Y$5)),1))),"No data"))</f>
        <v/>
      </c>
      <c r="Z97" s="13">
        <f>IF('Council Entry'!Z97="","",IFERROR(MAX(0,MIN(10,ROUND(IF('Council Entry'!Z$7="Decrease Risk",10-10*((IF('Council Entry'!Z$4="Logarithm",LN(0.001+IF(AND(ISNUMBER('Council Entry'!Z$8),ISNUMBER('Council Entry'!Z$9)),MAX(MIN('Council Entry'!Z97,'Council Entry'!Z$9),'Council Entry'!Z$8),'Council Entry'!Z97)),IF('Council Entry'!Z$4="Exponential",EXP(IF(AND(ISNUMBER('Council Entry'!Z$8),ISNUMBER('Council Entry'!Z$9)),MAX(MIN('Council Entry'!Z97,'Council Entry'!Z$9),'Council Entry'!Z$8),'Council Entry'!Z97)),IF(AND(ISNUMBER('Council Entry'!Z$8),ISNUMBER('Council Entry'!Z$9)),MAX(MIN('Council Entry'!Z97,'Council Entry'!Z$9),'Council Entry'!Z$8),'Council Entry'!Z97))))-'Council Entry'!Z$5)/('Council Entry'!Z$6-'Council Entry'!Z$5),10*((IF('Council Entry'!Z$4="Logarithm",LN(0.001+IF(AND(ISNUMBER('Council Entry'!Z$8),ISNUMBER('Council Entry'!Z$9)),MAX(MIN('Council Entry'!Z97,'Council Entry'!Z$9),'Council Entry'!Z$8),'Council Entry'!Z97)),IF('Council Entry'!Z$4="Exponential",EXP(IF(AND(ISNUMBER('Council Entry'!Z$8),ISNUMBER('Council Entry'!Z$9)),MAX(MIN('Council Entry'!Z97,'Council Entry'!Z$9),'Council Entry'!Z$8),'Council Entry'!Z97)),IF(AND(ISNUMBER('Council Entry'!Z$8),ISNUMBER('Council Entry'!Z$9)),MAX(MIN('Council Entry'!Z97,'Council Entry'!Z$9),'Council Entry'!Z$8),'Council Entry'!Z97))))-'Council Entry'!Z$5)/('Council Entry'!Z$6-'Council Entry'!Z$5)),1))),"No data"))</f>
        <v/>
      </c>
      <c r="AA97" s="13">
        <f>IF('Council Entry'!AA97="","",IFERROR(MAX(0,MIN(10,ROUND(IF('Council Entry'!AA$7="Decrease Risk",10-10*((IF('Council Entry'!AA$4="Logarithm",LN(0.001+IF(AND(ISNUMBER('Council Entry'!AA$8),ISNUMBER('Council Entry'!AA$9)),MAX(MIN('Council Entry'!AA97,'Council Entry'!AA$9),'Council Entry'!AA$8),'Council Entry'!AA97)),IF('Council Entry'!AA$4="Exponential",EXP(IF(AND(ISNUMBER('Council Entry'!AA$8),ISNUMBER('Council Entry'!AA$9)),MAX(MIN('Council Entry'!AA97,'Council Entry'!AA$9),'Council Entry'!AA$8),'Council Entry'!AA97)),IF(AND(ISNUMBER('Council Entry'!AA$8),ISNUMBER('Council Entry'!AA$9)),MAX(MIN('Council Entry'!AA97,'Council Entry'!AA$9),'Council Entry'!AA$8),'Council Entry'!AA97))))-'Council Entry'!AA$5)/('Council Entry'!AA$6-'Council Entry'!AA$5),10*((IF('Council Entry'!AA$4="Logarithm",LN(0.001+IF(AND(ISNUMBER('Council Entry'!AA$8),ISNUMBER('Council Entry'!AA$9)),MAX(MIN('Council Entry'!AA97,'Council Entry'!AA$9),'Council Entry'!AA$8),'Council Entry'!AA97)),IF('Council Entry'!AA$4="Exponential",EXP(IF(AND(ISNUMBER('Council Entry'!AA$8),ISNUMBER('Council Entry'!AA$9)),MAX(MIN('Council Entry'!AA97,'Council Entry'!AA$9),'Council Entry'!AA$8),'Council Entry'!AA97)),IF(AND(ISNUMBER('Council Entry'!AA$8),ISNUMBER('Council Entry'!AA$9)),MAX(MIN('Council Entry'!AA97,'Council Entry'!AA$9),'Council Entry'!AA$8),'Council Entry'!AA97))))-'Council Entry'!AA$5)/('Council Entry'!AA$6-'Council Entry'!AA$5)),1))),"No data"))</f>
        <v/>
      </c>
      <c r="AB97" s="13">
        <f>IF('Council Entry'!AB97="","",IFERROR(MAX(0,MIN(10,ROUND(IF('Council Entry'!AB$7="Decrease Risk",10-10*((IF('Council Entry'!AB$4="Logarithm",LN(0.001+IF(AND(ISNUMBER('Council Entry'!AB$8),ISNUMBER('Council Entry'!AB$9)),MAX(MIN('Council Entry'!AB97,'Council Entry'!AB$9),'Council Entry'!AB$8),'Council Entry'!AB97)),IF('Council Entry'!AB$4="Exponential",EXP(IF(AND(ISNUMBER('Council Entry'!AB$8),ISNUMBER('Council Entry'!AB$9)),MAX(MIN('Council Entry'!AB97,'Council Entry'!AB$9),'Council Entry'!AB$8),'Council Entry'!AB97)),IF(AND(ISNUMBER('Council Entry'!AB$8),ISNUMBER('Council Entry'!AB$9)),MAX(MIN('Council Entry'!AB97,'Council Entry'!AB$9),'Council Entry'!AB$8),'Council Entry'!AB97))))-'Council Entry'!AB$5)/('Council Entry'!AB$6-'Council Entry'!AB$5),10*((IF('Council Entry'!AB$4="Logarithm",LN(0.001+IF(AND(ISNUMBER('Council Entry'!AB$8),ISNUMBER('Council Entry'!AB$9)),MAX(MIN('Council Entry'!AB97,'Council Entry'!AB$9),'Council Entry'!AB$8),'Council Entry'!AB97)),IF('Council Entry'!AB$4="Exponential",EXP(IF(AND(ISNUMBER('Council Entry'!AB$8),ISNUMBER('Council Entry'!AB$9)),MAX(MIN('Council Entry'!AB97,'Council Entry'!AB$9),'Council Entry'!AB$8),'Council Entry'!AB97)),IF(AND(ISNUMBER('Council Entry'!AB$8),ISNUMBER('Council Entry'!AB$9)),MAX(MIN('Council Entry'!AB97,'Council Entry'!AB$9),'Council Entry'!AB$8),'Council Entry'!AB97))))-'Council Entry'!AB$5)/('Council Entry'!AB$6-'Council Entry'!AB$5)),1))),"No data"))</f>
        <v/>
      </c>
      <c r="AC97" s="13">
        <f>IF('Council Entry'!AC97="","",IFERROR(MAX(0,MIN(10,ROUND(IF('Council Entry'!AC$7="Decrease Risk",10-10*((IF('Council Entry'!AC$4="Logarithm",LN(0.001+IF(AND(ISNUMBER('Council Entry'!AC$8),ISNUMBER('Council Entry'!AC$9)),MAX(MIN('Council Entry'!AC97,'Council Entry'!AC$9),'Council Entry'!AC$8),'Council Entry'!AC97)),IF('Council Entry'!AC$4="Exponential",EXP(IF(AND(ISNUMBER('Council Entry'!AC$8),ISNUMBER('Council Entry'!AC$9)),MAX(MIN('Council Entry'!AC97,'Council Entry'!AC$9),'Council Entry'!AC$8),'Council Entry'!AC97)),IF(AND(ISNUMBER('Council Entry'!AC$8),ISNUMBER('Council Entry'!AC$9)),MAX(MIN('Council Entry'!AC97,'Council Entry'!AC$9),'Council Entry'!AC$8),'Council Entry'!AC97))))-'Council Entry'!AC$5)/('Council Entry'!AC$6-'Council Entry'!AC$5),10*((IF('Council Entry'!AC$4="Logarithm",LN(0.001+IF(AND(ISNUMBER('Council Entry'!AC$8),ISNUMBER('Council Entry'!AC$9)),MAX(MIN('Council Entry'!AC97,'Council Entry'!AC$9),'Council Entry'!AC$8),'Council Entry'!AC97)),IF('Council Entry'!AC$4="Exponential",EXP(IF(AND(ISNUMBER('Council Entry'!AC$8),ISNUMBER('Council Entry'!AC$9)),MAX(MIN('Council Entry'!AC97,'Council Entry'!AC$9),'Council Entry'!AC$8),'Council Entry'!AC97)),IF(AND(ISNUMBER('Council Entry'!AC$8),ISNUMBER('Council Entry'!AC$9)),MAX(MIN('Council Entry'!AC97,'Council Entry'!AC$9),'Council Entry'!AC$8),'Council Entry'!AC97))))-'Council Entry'!AC$5)/('Council Entry'!AC$6-'Council Entry'!AC$5)),1))),"No data"))</f>
        <v/>
      </c>
      <c r="AD97" s="13">
        <f>IF('Council Entry'!AD97="","",IFERROR(MAX(0,MIN(10,ROUND(IF('Council Entry'!AD$7="Decrease Risk",10-10*((IF('Council Entry'!AD$4="Logarithm",LN(0.001+IF(AND(ISNUMBER('Council Entry'!AD$8),ISNUMBER('Council Entry'!AD$9)),MAX(MIN('Council Entry'!AD97,'Council Entry'!AD$9),'Council Entry'!AD$8),'Council Entry'!AD97)),IF('Council Entry'!AD$4="Exponential",EXP(IF(AND(ISNUMBER('Council Entry'!AD$8),ISNUMBER('Council Entry'!AD$9)),MAX(MIN('Council Entry'!AD97,'Council Entry'!AD$9),'Council Entry'!AD$8),'Council Entry'!AD97)),IF(AND(ISNUMBER('Council Entry'!AD$8),ISNUMBER('Council Entry'!AD$9)),MAX(MIN('Council Entry'!AD97,'Council Entry'!AD$9),'Council Entry'!AD$8),'Council Entry'!AD97))))-'Council Entry'!AD$5)/('Council Entry'!AD$6-'Council Entry'!AD$5),10*((IF('Council Entry'!AD$4="Logarithm",LN(0.001+IF(AND(ISNUMBER('Council Entry'!AD$8),ISNUMBER('Council Entry'!AD$9)),MAX(MIN('Council Entry'!AD97,'Council Entry'!AD$9),'Council Entry'!AD$8),'Council Entry'!AD97)),IF('Council Entry'!AD$4="Exponential",EXP(IF(AND(ISNUMBER('Council Entry'!AD$8),ISNUMBER('Council Entry'!AD$9)),MAX(MIN('Council Entry'!AD97,'Council Entry'!AD$9),'Council Entry'!AD$8),'Council Entry'!AD97)),IF(AND(ISNUMBER('Council Entry'!AD$8),ISNUMBER('Council Entry'!AD$9)),MAX(MIN('Council Entry'!AD97,'Council Entry'!AD$9),'Council Entry'!AD$8),'Council Entry'!AD97))))-'Council Entry'!AD$5)/('Council Entry'!AD$6-'Council Entry'!AD$5)),1))),"No data"))</f>
        <v/>
      </c>
      <c r="AE97" s="13">
        <f>IF('Council Entry'!AE97="","",IFERROR(MAX(0,MIN(10,ROUND(IF('Council Entry'!AE$7="Decrease Risk",10-10*((IF('Council Entry'!AE$4="Logarithm",LN(0.001+IF(AND(ISNUMBER('Council Entry'!AE$8),ISNUMBER('Council Entry'!AE$9)),MAX(MIN('Council Entry'!AE97,'Council Entry'!AE$9),'Council Entry'!AE$8),'Council Entry'!AE97)),IF('Council Entry'!AE$4="Exponential",EXP(IF(AND(ISNUMBER('Council Entry'!AE$8),ISNUMBER('Council Entry'!AE$9)),MAX(MIN('Council Entry'!AE97,'Council Entry'!AE$9),'Council Entry'!AE$8),'Council Entry'!AE97)),IF(AND(ISNUMBER('Council Entry'!AE$8),ISNUMBER('Council Entry'!AE$9)),MAX(MIN('Council Entry'!AE97,'Council Entry'!AE$9),'Council Entry'!AE$8),'Council Entry'!AE97))))-'Council Entry'!AE$5)/('Council Entry'!AE$6-'Council Entry'!AE$5),10*((IF('Council Entry'!AE$4="Logarithm",LN(0.001+IF(AND(ISNUMBER('Council Entry'!AE$8),ISNUMBER('Council Entry'!AE$9)),MAX(MIN('Council Entry'!AE97,'Council Entry'!AE$9),'Council Entry'!AE$8),'Council Entry'!AE97)),IF('Council Entry'!AE$4="Exponential",EXP(IF(AND(ISNUMBER('Council Entry'!AE$8),ISNUMBER('Council Entry'!AE$9)),MAX(MIN('Council Entry'!AE97,'Council Entry'!AE$9),'Council Entry'!AE$8),'Council Entry'!AE97)),IF(AND(ISNUMBER('Council Entry'!AE$8),ISNUMBER('Council Entry'!AE$9)),MAX(MIN('Council Entry'!AE97,'Council Entry'!AE$9),'Council Entry'!AE$8),'Council Entry'!AE97))))-'Council Entry'!AE$5)/('Council Entry'!AE$6-'Council Entry'!AE$5)),1))),"No data"))</f>
        <v/>
      </c>
      <c r="AF97" s="13">
        <f>IF('Council Entry'!AF97="","",IFERROR(MAX(0,MIN(10,ROUND(IF('Council Entry'!AF$7="Decrease Risk",10-10*((IF('Council Entry'!AF$4="Logarithm",LN(0.001+IF(AND(ISNUMBER('Council Entry'!AF$8),ISNUMBER('Council Entry'!AF$9)),MAX(MIN('Council Entry'!AF97,'Council Entry'!AF$9),'Council Entry'!AF$8),'Council Entry'!AF97)),IF('Council Entry'!AF$4="Exponential",EXP(IF(AND(ISNUMBER('Council Entry'!AF$8),ISNUMBER('Council Entry'!AF$9)),MAX(MIN('Council Entry'!AF97,'Council Entry'!AF$9),'Council Entry'!AF$8),'Council Entry'!AF97)),IF(AND(ISNUMBER('Council Entry'!AF$8),ISNUMBER('Council Entry'!AF$9)),MAX(MIN('Council Entry'!AF97,'Council Entry'!AF$9),'Council Entry'!AF$8),'Council Entry'!AF97))))-'Council Entry'!AF$5)/('Council Entry'!AF$6-'Council Entry'!AF$5),10*((IF('Council Entry'!AF$4="Logarithm",LN(0.001+IF(AND(ISNUMBER('Council Entry'!AF$8),ISNUMBER('Council Entry'!AF$9)),MAX(MIN('Council Entry'!AF97,'Council Entry'!AF$9),'Council Entry'!AF$8),'Council Entry'!AF97)),IF('Council Entry'!AF$4="Exponential",EXP(IF(AND(ISNUMBER('Council Entry'!AF$8),ISNUMBER('Council Entry'!AF$9)),MAX(MIN('Council Entry'!AF97,'Council Entry'!AF$9),'Council Entry'!AF$8),'Council Entry'!AF97)),IF(AND(ISNUMBER('Council Entry'!AF$8),ISNUMBER('Council Entry'!AF$9)),MAX(MIN('Council Entry'!AF97,'Council Entry'!AF$9),'Council Entry'!AF$8),'Council Entry'!AF97))))-'Council Entry'!AF$5)/('Council Entry'!AF$6-'Council Entry'!AF$5)),1))),"No data"))</f>
        <v/>
      </c>
      <c r="AG97" s="13">
        <f>IF('Council Entry'!AG97="","",IFERROR(MAX(0,MIN(10,ROUND(IF('Council Entry'!AG$7="Decrease Risk",10-10*((IF('Council Entry'!AG$4="Logarithm",LN(0.001+IF(AND(ISNUMBER('Council Entry'!AG$8),ISNUMBER('Council Entry'!AG$9)),MAX(MIN('Council Entry'!AG97,'Council Entry'!AG$9),'Council Entry'!AG$8),'Council Entry'!AG97)),IF('Council Entry'!AG$4="Exponential",EXP(IF(AND(ISNUMBER('Council Entry'!AG$8),ISNUMBER('Council Entry'!AG$9)),MAX(MIN('Council Entry'!AG97,'Council Entry'!AG$9),'Council Entry'!AG$8),'Council Entry'!AG97)),IF(AND(ISNUMBER('Council Entry'!AG$8),ISNUMBER('Council Entry'!AG$9)),MAX(MIN('Council Entry'!AG97,'Council Entry'!AG$9),'Council Entry'!AG$8),'Council Entry'!AG97))))-'Council Entry'!AG$5)/('Council Entry'!AG$6-'Council Entry'!AG$5),10*((IF('Council Entry'!AG$4="Logarithm",LN(0.001+IF(AND(ISNUMBER('Council Entry'!AG$8),ISNUMBER('Council Entry'!AG$9)),MAX(MIN('Council Entry'!AG97,'Council Entry'!AG$9),'Council Entry'!AG$8),'Council Entry'!AG97)),IF('Council Entry'!AG$4="Exponential",EXP(IF(AND(ISNUMBER('Council Entry'!AG$8),ISNUMBER('Council Entry'!AG$9)),MAX(MIN('Council Entry'!AG97,'Council Entry'!AG$9),'Council Entry'!AG$8),'Council Entry'!AG97)),IF(AND(ISNUMBER('Council Entry'!AG$8),ISNUMBER('Council Entry'!AG$9)),MAX(MIN('Council Entry'!AG97,'Council Entry'!AG$9),'Council Entry'!AG$8),'Council Entry'!AG97))))-'Council Entry'!AG$5)/('Council Entry'!AG$6-'Council Entry'!AG$5)),1))),"No data"))</f>
        <v/>
      </c>
      <c r="AH97" s="13">
        <f>IF('Council Entry'!AH97="","",IFERROR(MAX(0,MIN(10,ROUND(IF('Council Entry'!AH$7="Decrease Risk",10-10*((IF('Council Entry'!AH$4="Logarithm",LN(0.001+IF(AND(ISNUMBER('Council Entry'!AH$8),ISNUMBER('Council Entry'!AH$9)),MAX(MIN('Council Entry'!AH97,'Council Entry'!AH$9),'Council Entry'!AH$8),'Council Entry'!AH97)),IF('Council Entry'!AH$4="Exponential",EXP(IF(AND(ISNUMBER('Council Entry'!AH$8),ISNUMBER('Council Entry'!AH$9)),MAX(MIN('Council Entry'!AH97,'Council Entry'!AH$9),'Council Entry'!AH$8),'Council Entry'!AH97)),IF(AND(ISNUMBER('Council Entry'!AH$8),ISNUMBER('Council Entry'!AH$9)),MAX(MIN('Council Entry'!AH97,'Council Entry'!AH$9),'Council Entry'!AH$8),'Council Entry'!AH97))))-'Council Entry'!AH$5)/('Council Entry'!AH$6-'Council Entry'!AH$5),10*((IF('Council Entry'!AH$4="Logarithm",LN(0.001+IF(AND(ISNUMBER('Council Entry'!AH$8),ISNUMBER('Council Entry'!AH$9)),MAX(MIN('Council Entry'!AH97,'Council Entry'!AH$9),'Council Entry'!AH$8),'Council Entry'!AH97)),IF('Council Entry'!AH$4="Exponential",EXP(IF(AND(ISNUMBER('Council Entry'!AH$8),ISNUMBER('Council Entry'!AH$9)),MAX(MIN('Council Entry'!AH97,'Council Entry'!AH$9),'Council Entry'!AH$8),'Council Entry'!AH97)),IF(AND(ISNUMBER('Council Entry'!AH$8),ISNUMBER('Council Entry'!AH$9)),MAX(MIN('Council Entry'!AH97,'Council Entry'!AH$9),'Council Entry'!AH$8),'Council Entry'!AH97))))-'Council Entry'!AH$5)/('Council Entry'!AH$6-'Council Entry'!AH$5)),1))),"No data"))</f>
        <v/>
      </c>
      <c r="AI97" s="13">
        <f>IF('Council Entry'!AI97="","",IFERROR(MAX(0,MIN(10,ROUND(IF('Council Entry'!AI$7="Decrease Risk",10-10*((IF('Council Entry'!AI$4="Logarithm",LN(0.001+IF(AND(ISNUMBER('Council Entry'!AI$8),ISNUMBER('Council Entry'!AI$9)),MAX(MIN('Council Entry'!AI97,'Council Entry'!AI$9),'Council Entry'!AI$8),'Council Entry'!AI97)),IF('Council Entry'!AI$4="Exponential",EXP(IF(AND(ISNUMBER('Council Entry'!AI$8),ISNUMBER('Council Entry'!AI$9)),MAX(MIN('Council Entry'!AI97,'Council Entry'!AI$9),'Council Entry'!AI$8),'Council Entry'!AI97)),IF(AND(ISNUMBER('Council Entry'!AI$8),ISNUMBER('Council Entry'!AI$9)),MAX(MIN('Council Entry'!AI97,'Council Entry'!AI$9),'Council Entry'!AI$8),'Council Entry'!AI97))))-'Council Entry'!AI$5)/('Council Entry'!AI$6-'Council Entry'!AI$5),10*((IF('Council Entry'!AI$4="Logarithm",LN(0.001+IF(AND(ISNUMBER('Council Entry'!AI$8),ISNUMBER('Council Entry'!AI$9)),MAX(MIN('Council Entry'!AI97,'Council Entry'!AI$9),'Council Entry'!AI$8),'Council Entry'!AI97)),IF('Council Entry'!AI$4="Exponential",EXP(IF(AND(ISNUMBER('Council Entry'!AI$8),ISNUMBER('Council Entry'!AI$9)),MAX(MIN('Council Entry'!AI97,'Council Entry'!AI$9),'Council Entry'!AI$8),'Council Entry'!AI97)),IF(AND(ISNUMBER('Council Entry'!AI$8),ISNUMBER('Council Entry'!AI$9)),MAX(MIN('Council Entry'!AI97,'Council Entry'!AI$9),'Council Entry'!AI$8),'Council Entry'!AI97))))-'Council Entry'!AI$5)/('Council Entry'!AI$6-'Council Entry'!AI$5)),1))),"No data"))</f>
        <v/>
      </c>
      <c r="AJ97" s="13">
        <f>IF('Council Entry'!AJ97="","",IFERROR(MAX(0,MIN(10,ROUND(IF('Council Entry'!AJ$7="Decrease Risk",10-10*((IF('Council Entry'!AJ$4="Logarithm",LN(0.001+IF(AND(ISNUMBER('Council Entry'!AJ$8),ISNUMBER('Council Entry'!AJ$9)),MAX(MIN('Council Entry'!AJ97,'Council Entry'!AJ$9),'Council Entry'!AJ$8),'Council Entry'!AJ97)),IF('Council Entry'!AJ$4="Exponential",EXP(IF(AND(ISNUMBER('Council Entry'!AJ$8),ISNUMBER('Council Entry'!AJ$9)),MAX(MIN('Council Entry'!AJ97,'Council Entry'!AJ$9),'Council Entry'!AJ$8),'Council Entry'!AJ97)),IF(AND(ISNUMBER('Council Entry'!AJ$8),ISNUMBER('Council Entry'!AJ$9)),MAX(MIN('Council Entry'!AJ97,'Council Entry'!AJ$9),'Council Entry'!AJ$8),'Council Entry'!AJ97))))-'Council Entry'!AJ$5)/('Council Entry'!AJ$6-'Council Entry'!AJ$5),10*((IF('Council Entry'!AJ$4="Logarithm",LN(0.001+IF(AND(ISNUMBER('Council Entry'!AJ$8),ISNUMBER('Council Entry'!AJ$9)),MAX(MIN('Council Entry'!AJ97,'Council Entry'!AJ$9),'Council Entry'!AJ$8),'Council Entry'!AJ97)),IF('Council Entry'!AJ$4="Exponential",EXP(IF(AND(ISNUMBER('Council Entry'!AJ$8),ISNUMBER('Council Entry'!AJ$9)),MAX(MIN('Council Entry'!AJ97,'Council Entry'!AJ$9),'Council Entry'!AJ$8),'Council Entry'!AJ97)),IF(AND(ISNUMBER('Council Entry'!AJ$8),ISNUMBER('Council Entry'!AJ$9)),MAX(MIN('Council Entry'!AJ97,'Council Entry'!AJ$9),'Council Entry'!AJ$8),'Council Entry'!AJ97))))-'Council Entry'!AJ$5)/('Council Entry'!AJ$6-'Council Entry'!AJ$5)),1))),"No data"))</f>
        <v/>
      </c>
      <c r="AK97" s="13">
        <f>IF('Council Entry'!AK97="","",IFERROR(MAX(0,MIN(10,ROUND(IF('Council Entry'!AK$7="Decrease Risk",10-10*((IF('Council Entry'!AK$4="Logarithm",LN(0.001+IF(AND(ISNUMBER('Council Entry'!AK$8),ISNUMBER('Council Entry'!AK$9)),MAX(MIN('Council Entry'!AK97,'Council Entry'!AK$9),'Council Entry'!AK$8),'Council Entry'!AK97)),IF('Council Entry'!AK$4="Exponential",EXP(IF(AND(ISNUMBER('Council Entry'!AK$8),ISNUMBER('Council Entry'!AK$9)),MAX(MIN('Council Entry'!AK97,'Council Entry'!AK$9),'Council Entry'!AK$8),'Council Entry'!AK97)),IF(AND(ISNUMBER('Council Entry'!AK$8),ISNUMBER('Council Entry'!AK$9)),MAX(MIN('Council Entry'!AK97,'Council Entry'!AK$9),'Council Entry'!AK$8),'Council Entry'!AK97))))-'Council Entry'!AK$5)/('Council Entry'!AK$6-'Council Entry'!AK$5),10*((IF('Council Entry'!AK$4="Logarithm",LN(0.001+IF(AND(ISNUMBER('Council Entry'!AK$8),ISNUMBER('Council Entry'!AK$9)),MAX(MIN('Council Entry'!AK97,'Council Entry'!AK$9),'Council Entry'!AK$8),'Council Entry'!AK97)),IF('Council Entry'!AK$4="Exponential",EXP(IF(AND(ISNUMBER('Council Entry'!AK$8),ISNUMBER('Council Entry'!AK$9)),MAX(MIN('Council Entry'!AK97,'Council Entry'!AK$9),'Council Entry'!AK$8),'Council Entry'!AK97)),IF(AND(ISNUMBER('Council Entry'!AK$8),ISNUMBER('Council Entry'!AK$9)),MAX(MIN('Council Entry'!AK97,'Council Entry'!AK$9),'Council Entry'!AK$8),'Council Entry'!AK97))))-'Council Entry'!AK$5)/('Council Entry'!AK$6-'Council Entry'!AK$5)),1))),"No data"))</f>
        <v/>
      </c>
      <c r="AL97" s="13">
        <f>IF('Council Entry'!AL97="","",IFERROR(MAX(0,MIN(10,ROUND(IF('Council Entry'!AL$7="Decrease Risk",10-10*((IF('Council Entry'!AL$4="Logarithm",LN(0.001+IF(AND(ISNUMBER('Council Entry'!AL$8),ISNUMBER('Council Entry'!AL$9)),MAX(MIN('Council Entry'!AL97,'Council Entry'!AL$9),'Council Entry'!AL$8),'Council Entry'!AL97)),IF('Council Entry'!AL$4="Exponential",EXP(IF(AND(ISNUMBER('Council Entry'!AL$8),ISNUMBER('Council Entry'!AL$9)),MAX(MIN('Council Entry'!AL97,'Council Entry'!AL$9),'Council Entry'!AL$8),'Council Entry'!AL97)),IF(AND(ISNUMBER('Council Entry'!AL$8),ISNUMBER('Council Entry'!AL$9)),MAX(MIN('Council Entry'!AL97,'Council Entry'!AL$9),'Council Entry'!AL$8),'Council Entry'!AL97))))-'Council Entry'!AL$5)/('Council Entry'!AL$6-'Council Entry'!AL$5),10*((IF('Council Entry'!AL$4="Logarithm",LN(0.001+IF(AND(ISNUMBER('Council Entry'!AL$8),ISNUMBER('Council Entry'!AL$9)),MAX(MIN('Council Entry'!AL97,'Council Entry'!AL$9),'Council Entry'!AL$8),'Council Entry'!AL97)),IF('Council Entry'!AL$4="Exponential",EXP(IF(AND(ISNUMBER('Council Entry'!AL$8),ISNUMBER('Council Entry'!AL$9)),MAX(MIN('Council Entry'!AL97,'Council Entry'!AL$9),'Council Entry'!AL$8),'Council Entry'!AL97)),IF(AND(ISNUMBER('Council Entry'!AL$8),ISNUMBER('Council Entry'!AL$9)),MAX(MIN('Council Entry'!AL97,'Council Entry'!AL$9),'Council Entry'!AL$8),'Council Entry'!AL97))))-'Council Entry'!AL$5)/('Council Entry'!AL$6-'Council Entry'!AL$5)),1))),"No data"))</f>
        <v/>
      </c>
      <c r="AM97" s="13">
        <f>IF('Council Entry'!AM97="","",IFERROR(MAX(0,MIN(10,ROUND(IF('Council Entry'!AM$7="Decrease Risk",10-10*((IF('Council Entry'!AM$4="Logarithm",LN(0.001+IF(AND(ISNUMBER('Council Entry'!AM$8),ISNUMBER('Council Entry'!AM$9)),MAX(MIN('Council Entry'!AM97,'Council Entry'!AM$9),'Council Entry'!AM$8),'Council Entry'!AM97)),IF('Council Entry'!AM$4="Exponential",EXP(IF(AND(ISNUMBER('Council Entry'!AM$8),ISNUMBER('Council Entry'!AM$9)),MAX(MIN('Council Entry'!AM97,'Council Entry'!AM$9),'Council Entry'!AM$8),'Council Entry'!AM97)),IF(AND(ISNUMBER('Council Entry'!AM$8),ISNUMBER('Council Entry'!AM$9)),MAX(MIN('Council Entry'!AM97,'Council Entry'!AM$9),'Council Entry'!AM$8),'Council Entry'!AM97))))-'Council Entry'!AM$5)/('Council Entry'!AM$6-'Council Entry'!AM$5),10*((IF('Council Entry'!AM$4="Logarithm",LN(0.001+IF(AND(ISNUMBER('Council Entry'!AM$8),ISNUMBER('Council Entry'!AM$9)),MAX(MIN('Council Entry'!AM97,'Council Entry'!AM$9),'Council Entry'!AM$8),'Council Entry'!AM97)),IF('Council Entry'!AM$4="Exponential",EXP(IF(AND(ISNUMBER('Council Entry'!AM$8),ISNUMBER('Council Entry'!AM$9)),MAX(MIN('Council Entry'!AM97,'Council Entry'!AM$9),'Council Entry'!AM$8),'Council Entry'!AM97)),IF(AND(ISNUMBER('Council Entry'!AM$8),ISNUMBER('Council Entry'!AM$9)),MAX(MIN('Council Entry'!AM97,'Council Entry'!AM$9),'Council Entry'!AM$8),'Council Entry'!AM97))))-'Council Entry'!AM$5)/('Council Entry'!AM$6-'Council Entry'!AM$5)),1))),"No data"))</f>
        <v/>
      </c>
      <c r="AN97" s="13">
        <f>IF('Council Entry'!AN97="","",IFERROR(MAX(0,MIN(10,ROUND(IF('Council Entry'!AN$7="Decrease Risk",10-10*((IF('Council Entry'!AN$4="Logarithm",LN(0.001+IF(AND(ISNUMBER('Council Entry'!AN$8),ISNUMBER('Council Entry'!AN$9)),MAX(MIN('Council Entry'!AN97,'Council Entry'!AN$9),'Council Entry'!AN$8),'Council Entry'!AN97)),IF('Council Entry'!AN$4="Exponential",EXP(IF(AND(ISNUMBER('Council Entry'!AN$8),ISNUMBER('Council Entry'!AN$9)),MAX(MIN('Council Entry'!AN97,'Council Entry'!AN$9),'Council Entry'!AN$8),'Council Entry'!AN97)),IF(AND(ISNUMBER('Council Entry'!AN$8),ISNUMBER('Council Entry'!AN$9)),MAX(MIN('Council Entry'!AN97,'Council Entry'!AN$9),'Council Entry'!AN$8),'Council Entry'!AN97))))-'Council Entry'!AN$5)/('Council Entry'!AN$6-'Council Entry'!AN$5),10*((IF('Council Entry'!AN$4="Logarithm",LN(0.001+IF(AND(ISNUMBER('Council Entry'!AN$8),ISNUMBER('Council Entry'!AN$9)),MAX(MIN('Council Entry'!AN97,'Council Entry'!AN$9),'Council Entry'!AN$8),'Council Entry'!AN97)),IF('Council Entry'!AN$4="Exponential",EXP(IF(AND(ISNUMBER('Council Entry'!AN$8),ISNUMBER('Council Entry'!AN$9)),MAX(MIN('Council Entry'!AN97,'Council Entry'!AN$9),'Council Entry'!AN$8),'Council Entry'!AN97)),IF(AND(ISNUMBER('Council Entry'!AN$8),ISNUMBER('Council Entry'!AN$9)),MAX(MIN('Council Entry'!AN97,'Council Entry'!AN$9),'Council Entry'!AN$8),'Council Entry'!AN97))))-'Council Entry'!AN$5)/('Council Entry'!AN$6-'Council Entry'!AN$5)),1))),"No data"))</f>
        <v/>
      </c>
      <c r="AO97" s="13">
        <f>IF('Council Entry'!AO97="","",IFERROR(MAX(0,MIN(10,ROUND(IF('Council Entry'!AO$7="Decrease Risk",10-10*((IF('Council Entry'!AO$4="Logarithm",LN(0.001+IF(AND(ISNUMBER('Council Entry'!AO$8),ISNUMBER('Council Entry'!AO$9)),MAX(MIN('Council Entry'!AO97,'Council Entry'!AO$9),'Council Entry'!AO$8),'Council Entry'!AO97)),IF('Council Entry'!AO$4="Exponential",EXP(IF(AND(ISNUMBER('Council Entry'!AO$8),ISNUMBER('Council Entry'!AO$9)),MAX(MIN('Council Entry'!AO97,'Council Entry'!AO$9),'Council Entry'!AO$8),'Council Entry'!AO97)),IF(AND(ISNUMBER('Council Entry'!AO$8),ISNUMBER('Council Entry'!AO$9)),MAX(MIN('Council Entry'!AO97,'Council Entry'!AO$9),'Council Entry'!AO$8),'Council Entry'!AO97))))-'Council Entry'!AO$5)/('Council Entry'!AO$6-'Council Entry'!AO$5),10*((IF('Council Entry'!AO$4="Logarithm",LN(0.001+IF(AND(ISNUMBER('Council Entry'!AO$8),ISNUMBER('Council Entry'!AO$9)),MAX(MIN('Council Entry'!AO97,'Council Entry'!AO$9),'Council Entry'!AO$8),'Council Entry'!AO97)),IF('Council Entry'!AO$4="Exponential",EXP(IF(AND(ISNUMBER('Council Entry'!AO$8),ISNUMBER('Council Entry'!AO$9)),MAX(MIN('Council Entry'!AO97,'Council Entry'!AO$9),'Council Entry'!AO$8),'Council Entry'!AO97)),IF(AND(ISNUMBER('Council Entry'!AO$8),ISNUMBER('Council Entry'!AO$9)),MAX(MIN('Council Entry'!AO97,'Council Entry'!AO$9),'Council Entry'!AO$8),'Council Entry'!AO97))))-'Council Entry'!AO$5)/('Council Entry'!AO$6-'Council Entry'!AO$5)),1))),"No data"))</f>
        <v/>
      </c>
      <c r="AP97" s="13">
        <f>IF('Council Entry'!AP97="","",IFERROR(MAX(0,MIN(10,ROUND(IF('Council Entry'!AP$7="Decrease Risk",10-10*((IF('Council Entry'!AP$4="Logarithm",LN(0.001+IF(AND(ISNUMBER('Council Entry'!AP$8),ISNUMBER('Council Entry'!AP$9)),MAX(MIN('Council Entry'!AP97,'Council Entry'!AP$9),'Council Entry'!AP$8),'Council Entry'!AP97)),IF('Council Entry'!AP$4="Exponential",EXP(IF(AND(ISNUMBER('Council Entry'!AP$8),ISNUMBER('Council Entry'!AP$9)),MAX(MIN('Council Entry'!AP97,'Council Entry'!AP$9),'Council Entry'!AP$8),'Council Entry'!AP97)),IF(AND(ISNUMBER('Council Entry'!AP$8),ISNUMBER('Council Entry'!AP$9)),MAX(MIN('Council Entry'!AP97,'Council Entry'!AP$9),'Council Entry'!AP$8),'Council Entry'!AP97))))-'Council Entry'!AP$5)/('Council Entry'!AP$6-'Council Entry'!AP$5),10*((IF('Council Entry'!AP$4="Logarithm",LN(0.001+IF(AND(ISNUMBER('Council Entry'!AP$8),ISNUMBER('Council Entry'!AP$9)),MAX(MIN('Council Entry'!AP97,'Council Entry'!AP$9),'Council Entry'!AP$8),'Council Entry'!AP97)),IF('Council Entry'!AP$4="Exponential",EXP(IF(AND(ISNUMBER('Council Entry'!AP$8),ISNUMBER('Council Entry'!AP$9)),MAX(MIN('Council Entry'!AP97,'Council Entry'!AP$9),'Council Entry'!AP$8),'Council Entry'!AP97)),IF(AND(ISNUMBER('Council Entry'!AP$8),ISNUMBER('Council Entry'!AP$9)),MAX(MIN('Council Entry'!AP97,'Council Entry'!AP$9),'Council Entry'!AP$8),'Council Entry'!AP97))))-'Council Entry'!AP$5)/('Council Entry'!AP$6-'Council Entry'!AP$5)),1))),"No data"))</f>
        <v/>
      </c>
      <c r="AQ97" s="13">
        <f>IF('Council Entry'!AQ97="","",IFERROR(MAX(0,MIN(10,ROUND(IF('Council Entry'!AQ$7="Decrease Risk",10-10*((IF('Council Entry'!AQ$4="Logarithm",LN(0.001+IF(AND(ISNUMBER('Council Entry'!AQ$8),ISNUMBER('Council Entry'!AQ$9)),MAX(MIN('Council Entry'!AQ97,'Council Entry'!AQ$9),'Council Entry'!AQ$8),'Council Entry'!AQ97)),IF('Council Entry'!AQ$4="Exponential",EXP(IF(AND(ISNUMBER('Council Entry'!AQ$8),ISNUMBER('Council Entry'!AQ$9)),MAX(MIN('Council Entry'!AQ97,'Council Entry'!AQ$9),'Council Entry'!AQ$8),'Council Entry'!AQ97)),IF(AND(ISNUMBER('Council Entry'!AQ$8),ISNUMBER('Council Entry'!AQ$9)),MAX(MIN('Council Entry'!AQ97,'Council Entry'!AQ$9),'Council Entry'!AQ$8),'Council Entry'!AQ97))))-'Council Entry'!AQ$5)/('Council Entry'!AQ$6-'Council Entry'!AQ$5),10*((IF('Council Entry'!AQ$4="Logarithm",LN(0.001+IF(AND(ISNUMBER('Council Entry'!AQ$8),ISNUMBER('Council Entry'!AQ$9)),MAX(MIN('Council Entry'!AQ97,'Council Entry'!AQ$9),'Council Entry'!AQ$8),'Council Entry'!AQ97)),IF('Council Entry'!AQ$4="Exponential",EXP(IF(AND(ISNUMBER('Council Entry'!AQ$8),ISNUMBER('Council Entry'!AQ$9)),MAX(MIN('Council Entry'!AQ97,'Council Entry'!AQ$9),'Council Entry'!AQ$8),'Council Entry'!AQ97)),IF(AND(ISNUMBER('Council Entry'!AQ$8),ISNUMBER('Council Entry'!AQ$9)),MAX(MIN('Council Entry'!AQ97,'Council Entry'!AQ$9),'Council Entry'!AQ$8),'Council Entry'!AQ97))))-'Council Entry'!AQ$5)/('Council Entry'!AQ$6-'Council Entry'!AQ$5)),1))),"No data"))</f>
        <v/>
      </c>
      <c r="AR97" s="13">
        <f>IF('Council Entry'!AR97="","",IFERROR(MAX(0,MIN(10,ROUND(IF('Council Entry'!AR$7="Decrease Risk",10-10*((IF('Council Entry'!AR$4="Logarithm",LN(0.001+IF(AND(ISNUMBER('Council Entry'!AR$8),ISNUMBER('Council Entry'!AR$9)),MAX(MIN('Council Entry'!AR97,'Council Entry'!AR$9),'Council Entry'!AR$8),'Council Entry'!AR97)),IF('Council Entry'!AR$4="Exponential",EXP(IF(AND(ISNUMBER('Council Entry'!AR$8),ISNUMBER('Council Entry'!AR$9)),MAX(MIN('Council Entry'!AR97,'Council Entry'!AR$9),'Council Entry'!AR$8),'Council Entry'!AR97)),IF(AND(ISNUMBER('Council Entry'!AR$8),ISNUMBER('Council Entry'!AR$9)),MAX(MIN('Council Entry'!AR97,'Council Entry'!AR$9),'Council Entry'!AR$8),'Council Entry'!AR97))))-'Council Entry'!AR$5)/('Council Entry'!AR$6-'Council Entry'!AR$5),10*((IF('Council Entry'!AR$4="Logarithm",LN(0.001+IF(AND(ISNUMBER('Council Entry'!AR$8),ISNUMBER('Council Entry'!AR$9)),MAX(MIN('Council Entry'!AR97,'Council Entry'!AR$9),'Council Entry'!AR$8),'Council Entry'!AR97)),IF('Council Entry'!AR$4="Exponential",EXP(IF(AND(ISNUMBER('Council Entry'!AR$8),ISNUMBER('Council Entry'!AR$9)),MAX(MIN('Council Entry'!AR97,'Council Entry'!AR$9),'Council Entry'!AR$8),'Council Entry'!AR97)),IF(AND(ISNUMBER('Council Entry'!AR$8),ISNUMBER('Council Entry'!AR$9)),MAX(MIN('Council Entry'!AR97,'Council Entry'!AR$9),'Council Entry'!AR$8),'Council Entry'!AR97))))-'Council Entry'!AR$5)/('Council Entry'!AR$6-'Council Entry'!AR$5)),1))),"No data"))</f>
        <v/>
      </c>
      <c r="AS97" s="13">
        <f>IF('Council Entry'!AS97="","",IFERROR(MAX(0,MIN(10,ROUND(IF('Council Entry'!AS$7="Decrease Risk",10-10*((IF('Council Entry'!AS$4="Logarithm",LN(0.001+IF(AND(ISNUMBER('Council Entry'!AS$8),ISNUMBER('Council Entry'!AS$9)),MAX(MIN('Council Entry'!AS97,'Council Entry'!AS$9),'Council Entry'!AS$8),'Council Entry'!AS97)),IF('Council Entry'!AS$4="Exponential",EXP(IF(AND(ISNUMBER('Council Entry'!AS$8),ISNUMBER('Council Entry'!AS$9)),MAX(MIN('Council Entry'!AS97,'Council Entry'!AS$9),'Council Entry'!AS$8),'Council Entry'!AS97)),IF(AND(ISNUMBER('Council Entry'!AS$8),ISNUMBER('Council Entry'!AS$9)),MAX(MIN('Council Entry'!AS97,'Council Entry'!AS$9),'Council Entry'!AS$8),'Council Entry'!AS97))))-'Council Entry'!AS$5)/('Council Entry'!AS$6-'Council Entry'!AS$5),10*((IF('Council Entry'!AS$4="Logarithm",LN(0.001+IF(AND(ISNUMBER('Council Entry'!AS$8),ISNUMBER('Council Entry'!AS$9)),MAX(MIN('Council Entry'!AS97,'Council Entry'!AS$9),'Council Entry'!AS$8),'Council Entry'!AS97)),IF('Council Entry'!AS$4="Exponential",EXP(IF(AND(ISNUMBER('Council Entry'!AS$8),ISNUMBER('Council Entry'!AS$9)),MAX(MIN('Council Entry'!AS97,'Council Entry'!AS$9),'Council Entry'!AS$8),'Council Entry'!AS97)),IF(AND(ISNUMBER('Council Entry'!AS$8),ISNUMBER('Council Entry'!AS$9)),MAX(MIN('Council Entry'!AS97,'Council Entry'!AS$9),'Council Entry'!AS$8),'Council Entry'!AS97))))-'Council Entry'!AS$5)/('Council Entry'!AS$6-'Council Entry'!AS$5)),1))),"No data"))</f>
        <v/>
      </c>
      <c r="AT97" s="13">
        <f>IF('Council Entry'!AT97="","",IFERROR(MAX(0,MIN(10,ROUND(IF('Council Entry'!AT$7="Decrease Risk",10-10*((IF('Council Entry'!AT$4="Logarithm",LN(0.001+IF(AND(ISNUMBER('Council Entry'!AT$8),ISNUMBER('Council Entry'!AT$9)),MAX(MIN('Council Entry'!AT97,'Council Entry'!AT$9),'Council Entry'!AT$8),'Council Entry'!AT97)),IF('Council Entry'!AT$4="Exponential",EXP(IF(AND(ISNUMBER('Council Entry'!AT$8),ISNUMBER('Council Entry'!AT$9)),MAX(MIN('Council Entry'!AT97,'Council Entry'!AT$9),'Council Entry'!AT$8),'Council Entry'!AT97)),IF(AND(ISNUMBER('Council Entry'!AT$8),ISNUMBER('Council Entry'!AT$9)),MAX(MIN('Council Entry'!AT97,'Council Entry'!AT$9),'Council Entry'!AT$8),'Council Entry'!AT97))))-'Council Entry'!AT$5)/('Council Entry'!AT$6-'Council Entry'!AT$5),10*((IF('Council Entry'!AT$4="Logarithm",LN(0.001+IF(AND(ISNUMBER('Council Entry'!AT$8),ISNUMBER('Council Entry'!AT$9)),MAX(MIN('Council Entry'!AT97,'Council Entry'!AT$9),'Council Entry'!AT$8),'Council Entry'!AT97)),IF('Council Entry'!AT$4="Exponential",EXP(IF(AND(ISNUMBER('Council Entry'!AT$8),ISNUMBER('Council Entry'!AT$9)),MAX(MIN('Council Entry'!AT97,'Council Entry'!AT$9),'Council Entry'!AT$8),'Council Entry'!AT97)),IF(AND(ISNUMBER('Council Entry'!AT$8),ISNUMBER('Council Entry'!AT$9)),MAX(MIN('Council Entry'!AT97,'Council Entry'!AT$9),'Council Entry'!AT$8),'Council Entry'!AT97))))-'Council Entry'!AT$5)/('Council Entry'!AT$6-'Council Entry'!AT$5)),1))),"No data"))</f>
        <v/>
      </c>
      <c r="AU97" s="13">
        <f>IF('Council Entry'!AU97="","",IFERROR(MAX(0,MIN(10,ROUND(IF('Council Entry'!AU$7="Decrease Risk",10-10*((IF('Council Entry'!AU$4="Logarithm",LN(0.001+IF(AND(ISNUMBER('Council Entry'!AU$8),ISNUMBER('Council Entry'!AU$9)),MAX(MIN('Council Entry'!AU97,'Council Entry'!AU$9),'Council Entry'!AU$8),'Council Entry'!AU97)),IF('Council Entry'!AU$4="Exponential",EXP(IF(AND(ISNUMBER('Council Entry'!AU$8),ISNUMBER('Council Entry'!AU$9)),MAX(MIN('Council Entry'!AU97,'Council Entry'!AU$9),'Council Entry'!AU$8),'Council Entry'!AU97)),IF(AND(ISNUMBER('Council Entry'!AU$8),ISNUMBER('Council Entry'!AU$9)),MAX(MIN('Council Entry'!AU97,'Council Entry'!AU$9),'Council Entry'!AU$8),'Council Entry'!AU97))))-'Council Entry'!AU$5)/('Council Entry'!AU$6-'Council Entry'!AU$5),10*((IF('Council Entry'!AU$4="Logarithm",LN(0.001+IF(AND(ISNUMBER('Council Entry'!AU$8),ISNUMBER('Council Entry'!AU$9)),MAX(MIN('Council Entry'!AU97,'Council Entry'!AU$9),'Council Entry'!AU$8),'Council Entry'!AU97)),IF('Council Entry'!AU$4="Exponential",EXP(IF(AND(ISNUMBER('Council Entry'!AU$8),ISNUMBER('Council Entry'!AU$9)),MAX(MIN('Council Entry'!AU97,'Council Entry'!AU$9),'Council Entry'!AU$8),'Council Entry'!AU97)),IF(AND(ISNUMBER('Council Entry'!AU$8),ISNUMBER('Council Entry'!AU$9)),MAX(MIN('Council Entry'!AU97,'Council Entry'!AU$9),'Council Entry'!AU$8),'Council Entry'!AU97))))-'Council Entry'!AU$5)/('Council Entry'!AU$6-'Council Entry'!AU$5)),1))),"No data"))</f>
        <v/>
      </c>
      <c r="AV97" s="13">
        <f>IF('Council Entry'!AV97="","",IFERROR(MAX(0,MIN(10,ROUND(IF('Council Entry'!AV$7="Decrease Risk",10-10*((IF('Council Entry'!AV$4="Logarithm",LN(0.001+IF(AND(ISNUMBER('Council Entry'!AV$8),ISNUMBER('Council Entry'!AV$9)),MAX(MIN('Council Entry'!AV97,'Council Entry'!AV$9),'Council Entry'!AV$8),'Council Entry'!AV97)),IF('Council Entry'!AV$4="Exponential",EXP(IF(AND(ISNUMBER('Council Entry'!AV$8),ISNUMBER('Council Entry'!AV$9)),MAX(MIN('Council Entry'!AV97,'Council Entry'!AV$9),'Council Entry'!AV$8),'Council Entry'!AV97)),IF(AND(ISNUMBER('Council Entry'!AV$8),ISNUMBER('Council Entry'!AV$9)),MAX(MIN('Council Entry'!AV97,'Council Entry'!AV$9),'Council Entry'!AV$8),'Council Entry'!AV97))))-'Council Entry'!AV$5)/('Council Entry'!AV$6-'Council Entry'!AV$5),10*((IF('Council Entry'!AV$4="Logarithm",LN(0.001+IF(AND(ISNUMBER('Council Entry'!AV$8),ISNUMBER('Council Entry'!AV$9)),MAX(MIN('Council Entry'!AV97,'Council Entry'!AV$9),'Council Entry'!AV$8),'Council Entry'!AV97)),IF('Council Entry'!AV$4="Exponential",EXP(IF(AND(ISNUMBER('Council Entry'!AV$8),ISNUMBER('Council Entry'!AV$9)),MAX(MIN('Council Entry'!AV97,'Council Entry'!AV$9),'Council Entry'!AV$8),'Council Entry'!AV97)),IF(AND(ISNUMBER('Council Entry'!AV$8),ISNUMBER('Council Entry'!AV$9)),MAX(MIN('Council Entry'!AV97,'Council Entry'!AV$9),'Council Entry'!AV$8),'Council Entry'!AV97))))-'Council Entry'!AV$5)/('Council Entry'!AV$6-'Council Entry'!AV$5)),1))),"No data"))</f>
        <v/>
      </c>
      <c r="AW97" s="13">
        <f>IF('Council Entry'!AW97="","",IFERROR(MAX(0,MIN(10,ROUND(IF('Council Entry'!AW$7="Decrease Risk",10-10*((IF('Council Entry'!AW$4="Logarithm",LN(0.001+IF(AND(ISNUMBER('Council Entry'!AW$8),ISNUMBER('Council Entry'!AW$9)),MAX(MIN('Council Entry'!AW97,'Council Entry'!AW$9),'Council Entry'!AW$8),'Council Entry'!AW97)),IF('Council Entry'!AW$4="Exponential",EXP(IF(AND(ISNUMBER('Council Entry'!AW$8),ISNUMBER('Council Entry'!AW$9)),MAX(MIN('Council Entry'!AW97,'Council Entry'!AW$9),'Council Entry'!AW$8),'Council Entry'!AW97)),IF(AND(ISNUMBER('Council Entry'!AW$8),ISNUMBER('Council Entry'!AW$9)),MAX(MIN('Council Entry'!AW97,'Council Entry'!AW$9),'Council Entry'!AW$8),'Council Entry'!AW97))))-'Council Entry'!AW$5)/('Council Entry'!AW$6-'Council Entry'!AW$5),10*((IF('Council Entry'!AW$4="Logarithm",LN(0.001+IF(AND(ISNUMBER('Council Entry'!AW$8),ISNUMBER('Council Entry'!AW$9)),MAX(MIN('Council Entry'!AW97,'Council Entry'!AW$9),'Council Entry'!AW$8),'Council Entry'!AW97)),IF('Council Entry'!AW$4="Exponential",EXP(IF(AND(ISNUMBER('Council Entry'!AW$8),ISNUMBER('Council Entry'!AW$9)),MAX(MIN('Council Entry'!AW97,'Council Entry'!AW$9),'Council Entry'!AW$8),'Council Entry'!AW97)),IF(AND(ISNUMBER('Council Entry'!AW$8),ISNUMBER('Council Entry'!AW$9)),MAX(MIN('Council Entry'!AW97,'Council Entry'!AW$9),'Council Entry'!AW$8),'Council Entry'!AW97))))-'Council Entry'!AW$5)/('Council Entry'!AW$6-'Council Entry'!AW$5)),1))),"No data"))</f>
        <v/>
      </c>
      <c r="AX97" s="13">
        <f>IF('Council Entry'!AX97="","",IFERROR(MAX(0,MIN(10,ROUND(IF('Council Entry'!AX$7="Decrease Risk",10-10*((IF('Council Entry'!AX$4="Logarithm",LN(0.001+IF(AND(ISNUMBER('Council Entry'!AX$8),ISNUMBER('Council Entry'!AX$9)),MAX(MIN('Council Entry'!AX97,'Council Entry'!AX$9),'Council Entry'!AX$8),'Council Entry'!AX97)),IF('Council Entry'!AX$4="Exponential",EXP(IF(AND(ISNUMBER('Council Entry'!AX$8),ISNUMBER('Council Entry'!AX$9)),MAX(MIN('Council Entry'!AX97,'Council Entry'!AX$9),'Council Entry'!AX$8),'Council Entry'!AX97)),IF(AND(ISNUMBER('Council Entry'!AX$8),ISNUMBER('Council Entry'!AX$9)),MAX(MIN('Council Entry'!AX97,'Council Entry'!AX$9),'Council Entry'!AX$8),'Council Entry'!AX97))))-'Council Entry'!AX$5)/('Council Entry'!AX$6-'Council Entry'!AX$5),10*((IF('Council Entry'!AX$4="Logarithm",LN(0.001+IF(AND(ISNUMBER('Council Entry'!AX$8),ISNUMBER('Council Entry'!AX$9)),MAX(MIN('Council Entry'!AX97,'Council Entry'!AX$9),'Council Entry'!AX$8),'Council Entry'!AX97)),IF('Council Entry'!AX$4="Exponential",EXP(IF(AND(ISNUMBER('Council Entry'!AX$8),ISNUMBER('Council Entry'!AX$9)),MAX(MIN('Council Entry'!AX97,'Council Entry'!AX$9),'Council Entry'!AX$8),'Council Entry'!AX97)),IF(AND(ISNUMBER('Council Entry'!AX$8),ISNUMBER('Council Entry'!AX$9)),MAX(MIN('Council Entry'!AX97,'Council Entry'!AX$9),'Council Entry'!AX$8),'Council Entry'!AX97))))-'Council Entry'!AX$5)/('Council Entry'!AX$6-'Council Entry'!AX$5)),1))),"No data"))</f>
        <v/>
      </c>
      <c r="AY97" s="13">
        <f>IF('Council Entry'!AY97="","",IFERROR(MAX(0,MIN(10,ROUND(IF('Council Entry'!AY$7="Decrease Risk",10-10*((IF('Council Entry'!AY$4="Logarithm",LN(0.001+IF(AND(ISNUMBER('Council Entry'!AY$8),ISNUMBER('Council Entry'!AY$9)),MAX(MIN('Council Entry'!AY97,'Council Entry'!AY$9),'Council Entry'!AY$8),'Council Entry'!AY97)),IF('Council Entry'!AY$4="Exponential",EXP(IF(AND(ISNUMBER('Council Entry'!AY$8),ISNUMBER('Council Entry'!AY$9)),MAX(MIN('Council Entry'!AY97,'Council Entry'!AY$9),'Council Entry'!AY$8),'Council Entry'!AY97)),IF(AND(ISNUMBER('Council Entry'!AY$8),ISNUMBER('Council Entry'!AY$9)),MAX(MIN('Council Entry'!AY97,'Council Entry'!AY$9),'Council Entry'!AY$8),'Council Entry'!AY97))))-'Council Entry'!AY$5)/('Council Entry'!AY$6-'Council Entry'!AY$5),10*((IF('Council Entry'!AY$4="Logarithm",LN(0.001+IF(AND(ISNUMBER('Council Entry'!AY$8),ISNUMBER('Council Entry'!AY$9)),MAX(MIN('Council Entry'!AY97,'Council Entry'!AY$9),'Council Entry'!AY$8),'Council Entry'!AY97)),IF('Council Entry'!AY$4="Exponential",EXP(IF(AND(ISNUMBER('Council Entry'!AY$8),ISNUMBER('Council Entry'!AY$9)),MAX(MIN('Council Entry'!AY97,'Council Entry'!AY$9),'Council Entry'!AY$8),'Council Entry'!AY97)),IF(AND(ISNUMBER('Council Entry'!AY$8),ISNUMBER('Council Entry'!AY$9)),MAX(MIN('Council Entry'!AY97,'Council Entry'!AY$9),'Council Entry'!AY$8),'Council Entry'!AY97))))-'Council Entry'!AY$5)/('Council Entry'!AY$6-'Council Entry'!AY$5)),1))),"No data"))</f>
        <v/>
      </c>
      <c r="AZ97" s="13">
        <f>IF('Council Entry'!AZ97="","",IFERROR(MAX(0,MIN(10,ROUND(IF('Council Entry'!AZ$7="Decrease Risk",10-10*((IF('Council Entry'!AZ$4="Logarithm",LN(0.001+IF(AND(ISNUMBER('Council Entry'!AZ$8),ISNUMBER('Council Entry'!AZ$9)),MAX(MIN('Council Entry'!AZ97,'Council Entry'!AZ$9),'Council Entry'!AZ$8),'Council Entry'!AZ97)),IF('Council Entry'!AZ$4="Exponential",EXP(IF(AND(ISNUMBER('Council Entry'!AZ$8),ISNUMBER('Council Entry'!AZ$9)),MAX(MIN('Council Entry'!AZ97,'Council Entry'!AZ$9),'Council Entry'!AZ$8),'Council Entry'!AZ97)),IF(AND(ISNUMBER('Council Entry'!AZ$8),ISNUMBER('Council Entry'!AZ$9)),MAX(MIN('Council Entry'!AZ97,'Council Entry'!AZ$9),'Council Entry'!AZ$8),'Council Entry'!AZ97))))-'Council Entry'!AZ$5)/('Council Entry'!AZ$6-'Council Entry'!AZ$5),10*((IF('Council Entry'!AZ$4="Logarithm",LN(0.001+IF(AND(ISNUMBER('Council Entry'!AZ$8),ISNUMBER('Council Entry'!AZ$9)),MAX(MIN('Council Entry'!AZ97,'Council Entry'!AZ$9),'Council Entry'!AZ$8),'Council Entry'!AZ97)),IF('Council Entry'!AZ$4="Exponential",EXP(IF(AND(ISNUMBER('Council Entry'!AZ$8),ISNUMBER('Council Entry'!AZ$9)),MAX(MIN('Council Entry'!AZ97,'Council Entry'!AZ$9),'Council Entry'!AZ$8),'Council Entry'!AZ97)),IF(AND(ISNUMBER('Council Entry'!AZ$8),ISNUMBER('Council Entry'!AZ$9)),MAX(MIN('Council Entry'!AZ97,'Council Entry'!AZ$9),'Council Entry'!AZ$8),'Council Entry'!AZ97))))-'Council Entry'!AZ$5)/('Council Entry'!AZ$6-'Council Entry'!AZ$5)),1))),"No data"))</f>
        <v/>
      </c>
      <c r="BA97" s="13">
        <f>IF('Council Entry'!BA97="","",IFERROR(MAX(0,MIN(10,ROUND(IF('Council Entry'!BA$7="Decrease Risk",10-10*((IF('Council Entry'!BA$4="Logarithm",LN(0.001+IF(AND(ISNUMBER('Council Entry'!BA$8),ISNUMBER('Council Entry'!BA$9)),MAX(MIN('Council Entry'!BA97,'Council Entry'!BA$9),'Council Entry'!BA$8),'Council Entry'!BA97)),IF('Council Entry'!BA$4="Exponential",EXP(IF(AND(ISNUMBER('Council Entry'!BA$8),ISNUMBER('Council Entry'!BA$9)),MAX(MIN('Council Entry'!BA97,'Council Entry'!BA$9),'Council Entry'!BA$8),'Council Entry'!BA97)),IF(AND(ISNUMBER('Council Entry'!BA$8),ISNUMBER('Council Entry'!BA$9)),MAX(MIN('Council Entry'!BA97,'Council Entry'!BA$9),'Council Entry'!BA$8),'Council Entry'!BA97))))-'Council Entry'!BA$5)/('Council Entry'!BA$6-'Council Entry'!BA$5),10*((IF('Council Entry'!BA$4="Logarithm",LN(0.001+IF(AND(ISNUMBER('Council Entry'!BA$8),ISNUMBER('Council Entry'!BA$9)),MAX(MIN('Council Entry'!BA97,'Council Entry'!BA$9),'Council Entry'!BA$8),'Council Entry'!BA97)),IF('Council Entry'!BA$4="Exponential",EXP(IF(AND(ISNUMBER('Council Entry'!BA$8),ISNUMBER('Council Entry'!BA$9)),MAX(MIN('Council Entry'!BA97,'Council Entry'!BA$9),'Council Entry'!BA$8),'Council Entry'!BA97)),IF(AND(ISNUMBER('Council Entry'!BA$8),ISNUMBER('Council Entry'!BA$9)),MAX(MIN('Council Entry'!BA97,'Council Entry'!BA$9),'Council Entry'!BA$8),'Council Entry'!BA97))))-'Council Entry'!BA$5)/('Council Entry'!BA$6-'Council Entry'!BA$5)),1))),"No data"))</f>
        <v/>
      </c>
      <c r="BB97" s="13">
        <f>IF('Council Entry'!BB97="","",IFERROR(MAX(0,MIN(10,ROUND(IF('Council Entry'!BB$7="Decrease Risk",10-10*((IF('Council Entry'!BB$4="Logarithm",LN(0.001+IF(AND(ISNUMBER('Council Entry'!BB$8),ISNUMBER('Council Entry'!BB$9)),MAX(MIN('Council Entry'!BB97,'Council Entry'!BB$9),'Council Entry'!BB$8),'Council Entry'!BB97)),IF('Council Entry'!BB$4="Exponential",EXP(IF(AND(ISNUMBER('Council Entry'!BB$8),ISNUMBER('Council Entry'!BB$9)),MAX(MIN('Council Entry'!BB97,'Council Entry'!BB$9),'Council Entry'!BB$8),'Council Entry'!BB97)),IF(AND(ISNUMBER('Council Entry'!BB$8),ISNUMBER('Council Entry'!BB$9)),MAX(MIN('Council Entry'!BB97,'Council Entry'!BB$9),'Council Entry'!BB$8),'Council Entry'!BB97))))-'Council Entry'!BB$5)/('Council Entry'!BB$6-'Council Entry'!BB$5),10*((IF('Council Entry'!BB$4="Logarithm",LN(0.001+IF(AND(ISNUMBER('Council Entry'!BB$8),ISNUMBER('Council Entry'!BB$9)),MAX(MIN('Council Entry'!BB97,'Council Entry'!BB$9),'Council Entry'!BB$8),'Council Entry'!BB97)),IF('Council Entry'!BB$4="Exponential",EXP(IF(AND(ISNUMBER('Council Entry'!BB$8),ISNUMBER('Council Entry'!BB$9)),MAX(MIN('Council Entry'!BB97,'Council Entry'!BB$9),'Council Entry'!BB$8),'Council Entry'!BB97)),IF(AND(ISNUMBER('Council Entry'!BB$8),ISNUMBER('Council Entry'!BB$9)),MAX(MIN('Council Entry'!BB97,'Council Entry'!BB$9),'Council Entry'!BB$8),'Council Entry'!BB97))))-'Council Entry'!BB$5)/('Council Entry'!BB$6-'Council Entry'!BB$5)),1))),"No data"))</f>
        <v/>
      </c>
      <c r="BC97" s="13">
        <f>IF('Council Entry'!BC97="","",IFERROR(MAX(0,MIN(10,ROUND(IF('Council Entry'!BC$7="Decrease Risk",10-10*((IF('Council Entry'!BC$4="Logarithm",LN(0.001+IF(AND(ISNUMBER('Council Entry'!BC$8),ISNUMBER('Council Entry'!BC$9)),MAX(MIN('Council Entry'!BC97,'Council Entry'!BC$9),'Council Entry'!BC$8),'Council Entry'!BC97)),IF('Council Entry'!BC$4="Exponential",EXP(IF(AND(ISNUMBER('Council Entry'!BC$8),ISNUMBER('Council Entry'!BC$9)),MAX(MIN('Council Entry'!BC97,'Council Entry'!BC$9),'Council Entry'!BC$8),'Council Entry'!BC97)),IF(AND(ISNUMBER('Council Entry'!BC$8),ISNUMBER('Council Entry'!BC$9)),MAX(MIN('Council Entry'!BC97,'Council Entry'!BC$9),'Council Entry'!BC$8),'Council Entry'!BC97))))-'Council Entry'!BC$5)/('Council Entry'!BC$6-'Council Entry'!BC$5),10*((IF('Council Entry'!BC$4="Logarithm",LN(0.001+IF(AND(ISNUMBER('Council Entry'!BC$8),ISNUMBER('Council Entry'!BC$9)),MAX(MIN('Council Entry'!BC97,'Council Entry'!BC$9),'Council Entry'!BC$8),'Council Entry'!BC97)),IF('Council Entry'!BC$4="Exponential",EXP(IF(AND(ISNUMBER('Council Entry'!BC$8),ISNUMBER('Council Entry'!BC$9)),MAX(MIN('Council Entry'!BC97,'Council Entry'!BC$9),'Council Entry'!BC$8),'Council Entry'!BC97)),IF(AND(ISNUMBER('Council Entry'!BC$8),ISNUMBER('Council Entry'!BC$9)),MAX(MIN('Council Entry'!BC97,'Council Entry'!BC$9),'Council Entry'!BC$8),'Council Entry'!BC97))))-'Council Entry'!BC$5)/('Council Entry'!BC$6-'Council Entry'!BC$5)),1))),"No data"))</f>
        <v/>
      </c>
      <c r="BD97" s="13">
        <f>IF('Council Entry'!BD97="","",IFERROR(MAX(0,MIN(10,ROUND(IF('Council Entry'!BD$7="Decrease Risk",10-10*((IF('Council Entry'!BD$4="Logarithm",LN(0.001+IF(AND(ISNUMBER('Council Entry'!BD$8),ISNUMBER('Council Entry'!BD$9)),MAX(MIN('Council Entry'!BD97,'Council Entry'!BD$9),'Council Entry'!BD$8),'Council Entry'!BD97)),IF('Council Entry'!BD$4="Exponential",EXP(IF(AND(ISNUMBER('Council Entry'!BD$8),ISNUMBER('Council Entry'!BD$9)),MAX(MIN('Council Entry'!BD97,'Council Entry'!BD$9),'Council Entry'!BD$8),'Council Entry'!BD97)),IF(AND(ISNUMBER('Council Entry'!BD$8),ISNUMBER('Council Entry'!BD$9)),MAX(MIN('Council Entry'!BD97,'Council Entry'!BD$9),'Council Entry'!BD$8),'Council Entry'!BD97))))-'Council Entry'!BD$5)/('Council Entry'!BD$6-'Council Entry'!BD$5),10*((IF('Council Entry'!BD$4="Logarithm",LN(0.001+IF(AND(ISNUMBER('Council Entry'!BD$8),ISNUMBER('Council Entry'!BD$9)),MAX(MIN('Council Entry'!BD97,'Council Entry'!BD$9),'Council Entry'!BD$8),'Council Entry'!BD97)),IF('Council Entry'!BD$4="Exponential",EXP(IF(AND(ISNUMBER('Council Entry'!BD$8),ISNUMBER('Council Entry'!BD$9)),MAX(MIN('Council Entry'!BD97,'Council Entry'!BD$9),'Council Entry'!BD$8),'Council Entry'!BD97)),IF(AND(ISNUMBER('Council Entry'!BD$8),ISNUMBER('Council Entry'!BD$9)),MAX(MIN('Council Entry'!BD97,'Council Entry'!BD$9),'Council Entry'!BD$8),'Council Entry'!BD97))))-'Council Entry'!BD$5)/('Council Entry'!BD$6-'Council Entry'!BD$5)),1))),"No data"))</f>
        <v/>
      </c>
    </row>
    <row r="98">
      <c r="A98" t="inlineStr">
        <is>
          <t>Mara</t>
        </is>
      </c>
      <c r="B98" t="inlineStr">
        <is>
          <t>Tarime District</t>
        </is>
      </c>
      <c r="C98" t="inlineStr">
        <is>
          <t>C141</t>
        </is>
      </c>
      <c r="D98" s="13">
        <f>IF('Council Entry'!D98="","",IFERROR(MAX(0,MIN(10,ROUND(IF('Council Entry'!D$7="Decrease Risk",10-10*((IF('Council Entry'!D$4="Logarithm",LN(0.001+IF(AND(ISNUMBER('Council Entry'!D$8),ISNUMBER('Council Entry'!D$9)),MAX(MIN('Council Entry'!D98,'Council Entry'!D$9),'Council Entry'!D$8),'Council Entry'!D98)),IF('Council Entry'!D$4="Exponential",EXP(IF(AND(ISNUMBER('Council Entry'!D$8),ISNUMBER('Council Entry'!D$9)),MAX(MIN('Council Entry'!D98,'Council Entry'!D$9),'Council Entry'!D$8),'Council Entry'!D98)),IF(AND(ISNUMBER('Council Entry'!D$8),ISNUMBER('Council Entry'!D$9)),MAX(MIN('Council Entry'!D98,'Council Entry'!D$9),'Council Entry'!D$8),'Council Entry'!D98))))-'Council Entry'!D$5)/('Council Entry'!D$6-'Council Entry'!D$5),10*((IF('Council Entry'!D$4="Logarithm",LN(0.001+IF(AND(ISNUMBER('Council Entry'!D$8),ISNUMBER('Council Entry'!D$9)),MAX(MIN('Council Entry'!D98,'Council Entry'!D$9),'Council Entry'!D$8),'Council Entry'!D98)),IF('Council Entry'!D$4="Exponential",EXP(IF(AND(ISNUMBER('Council Entry'!D$8),ISNUMBER('Council Entry'!D$9)),MAX(MIN('Council Entry'!D98,'Council Entry'!D$9),'Council Entry'!D$8),'Council Entry'!D98)),IF(AND(ISNUMBER('Council Entry'!D$8),ISNUMBER('Council Entry'!D$9)),MAX(MIN('Council Entry'!D98,'Council Entry'!D$9),'Council Entry'!D$8),'Council Entry'!D98))))-'Council Entry'!D$5)/('Council Entry'!D$6-'Council Entry'!D$5)),1))),"No data"))</f>
        <v/>
      </c>
      <c r="E98" s="13">
        <f>IF('Council Entry'!E98="","",IFERROR(MAX(0,MIN(10,ROUND(IF('Council Entry'!E$7="Decrease Risk",10-10*((IF('Council Entry'!E$4="Logarithm",LN(0.001+IF(AND(ISNUMBER('Council Entry'!E$8),ISNUMBER('Council Entry'!E$9)),MAX(MIN('Council Entry'!E98,'Council Entry'!E$9),'Council Entry'!E$8),'Council Entry'!E98)),IF('Council Entry'!E$4="Exponential",EXP(IF(AND(ISNUMBER('Council Entry'!E$8),ISNUMBER('Council Entry'!E$9)),MAX(MIN('Council Entry'!E98,'Council Entry'!E$9),'Council Entry'!E$8),'Council Entry'!E98)),IF(AND(ISNUMBER('Council Entry'!E$8),ISNUMBER('Council Entry'!E$9)),MAX(MIN('Council Entry'!E98,'Council Entry'!E$9),'Council Entry'!E$8),'Council Entry'!E98))))-'Council Entry'!E$5)/('Council Entry'!E$6-'Council Entry'!E$5),10*((IF('Council Entry'!E$4="Logarithm",LN(0.001+IF(AND(ISNUMBER('Council Entry'!E$8),ISNUMBER('Council Entry'!E$9)),MAX(MIN('Council Entry'!E98,'Council Entry'!E$9),'Council Entry'!E$8),'Council Entry'!E98)),IF('Council Entry'!E$4="Exponential",EXP(IF(AND(ISNUMBER('Council Entry'!E$8),ISNUMBER('Council Entry'!E$9)),MAX(MIN('Council Entry'!E98,'Council Entry'!E$9),'Council Entry'!E$8),'Council Entry'!E98)),IF(AND(ISNUMBER('Council Entry'!E$8),ISNUMBER('Council Entry'!E$9)),MAX(MIN('Council Entry'!E98,'Council Entry'!E$9),'Council Entry'!E$8),'Council Entry'!E98))))-'Council Entry'!E$5)/('Council Entry'!E$6-'Council Entry'!E$5)),1))),"No data"))</f>
        <v/>
      </c>
      <c r="F98" s="13">
        <f>IF('Council Entry'!F98="","",IFERROR(MAX(0,MIN(10,ROUND(IF('Council Entry'!F$7="Decrease Risk",10-10*((IF('Council Entry'!F$4="Logarithm",LN(0.001+IF(AND(ISNUMBER('Council Entry'!F$8),ISNUMBER('Council Entry'!F$9)),MAX(MIN('Council Entry'!F98,'Council Entry'!F$9),'Council Entry'!F$8),'Council Entry'!F98)),IF('Council Entry'!F$4="Exponential",EXP(IF(AND(ISNUMBER('Council Entry'!F$8),ISNUMBER('Council Entry'!F$9)),MAX(MIN('Council Entry'!F98,'Council Entry'!F$9),'Council Entry'!F$8),'Council Entry'!F98)),IF(AND(ISNUMBER('Council Entry'!F$8),ISNUMBER('Council Entry'!F$9)),MAX(MIN('Council Entry'!F98,'Council Entry'!F$9),'Council Entry'!F$8),'Council Entry'!F98))))-'Council Entry'!F$5)/('Council Entry'!F$6-'Council Entry'!F$5),10*((IF('Council Entry'!F$4="Logarithm",LN(0.001+IF(AND(ISNUMBER('Council Entry'!F$8),ISNUMBER('Council Entry'!F$9)),MAX(MIN('Council Entry'!F98,'Council Entry'!F$9),'Council Entry'!F$8),'Council Entry'!F98)),IF('Council Entry'!F$4="Exponential",EXP(IF(AND(ISNUMBER('Council Entry'!F$8),ISNUMBER('Council Entry'!F$9)),MAX(MIN('Council Entry'!F98,'Council Entry'!F$9),'Council Entry'!F$8),'Council Entry'!F98)),IF(AND(ISNUMBER('Council Entry'!F$8),ISNUMBER('Council Entry'!F$9)),MAX(MIN('Council Entry'!F98,'Council Entry'!F$9),'Council Entry'!F$8),'Council Entry'!F98))))-'Council Entry'!F$5)/('Council Entry'!F$6-'Council Entry'!F$5)),1))),"No data"))</f>
        <v/>
      </c>
      <c r="G98" s="13">
        <f>IF('Council Entry'!G98="","",IFERROR(MAX(0,MIN(10,ROUND(IF('Council Entry'!G$7="Decrease Risk",10-10*((IF('Council Entry'!G$4="Logarithm",LN(0.001+IF(AND(ISNUMBER('Council Entry'!G$8),ISNUMBER('Council Entry'!G$9)),MAX(MIN('Council Entry'!G98,'Council Entry'!G$9),'Council Entry'!G$8),'Council Entry'!G98)),IF('Council Entry'!G$4="Exponential",EXP(IF(AND(ISNUMBER('Council Entry'!G$8),ISNUMBER('Council Entry'!G$9)),MAX(MIN('Council Entry'!G98,'Council Entry'!G$9),'Council Entry'!G$8),'Council Entry'!G98)),IF(AND(ISNUMBER('Council Entry'!G$8),ISNUMBER('Council Entry'!G$9)),MAX(MIN('Council Entry'!G98,'Council Entry'!G$9),'Council Entry'!G$8),'Council Entry'!G98))))-'Council Entry'!G$5)/('Council Entry'!G$6-'Council Entry'!G$5),10*((IF('Council Entry'!G$4="Logarithm",LN(0.001+IF(AND(ISNUMBER('Council Entry'!G$8),ISNUMBER('Council Entry'!G$9)),MAX(MIN('Council Entry'!G98,'Council Entry'!G$9),'Council Entry'!G$8),'Council Entry'!G98)),IF('Council Entry'!G$4="Exponential",EXP(IF(AND(ISNUMBER('Council Entry'!G$8),ISNUMBER('Council Entry'!G$9)),MAX(MIN('Council Entry'!G98,'Council Entry'!G$9),'Council Entry'!G$8),'Council Entry'!G98)),IF(AND(ISNUMBER('Council Entry'!G$8),ISNUMBER('Council Entry'!G$9)),MAX(MIN('Council Entry'!G98,'Council Entry'!G$9),'Council Entry'!G$8),'Council Entry'!G98))))-'Council Entry'!G$5)/('Council Entry'!G$6-'Council Entry'!G$5)),1))),"No data"))</f>
        <v/>
      </c>
      <c r="H98" s="13">
        <f>IF('Council Entry'!H98="","",IFERROR(MAX(0,MIN(10,ROUND(IF('Council Entry'!H$7="Decrease Risk",10-10*((IF('Council Entry'!H$4="Logarithm",LN(0.001+IF(AND(ISNUMBER('Council Entry'!H$8),ISNUMBER('Council Entry'!H$9)),MAX(MIN('Council Entry'!H98,'Council Entry'!H$9),'Council Entry'!H$8),'Council Entry'!H98)),IF('Council Entry'!H$4="Exponential",EXP(IF(AND(ISNUMBER('Council Entry'!H$8),ISNUMBER('Council Entry'!H$9)),MAX(MIN('Council Entry'!H98,'Council Entry'!H$9),'Council Entry'!H$8),'Council Entry'!H98)),IF(AND(ISNUMBER('Council Entry'!H$8),ISNUMBER('Council Entry'!H$9)),MAX(MIN('Council Entry'!H98,'Council Entry'!H$9),'Council Entry'!H$8),'Council Entry'!H98))))-'Council Entry'!H$5)/('Council Entry'!H$6-'Council Entry'!H$5),10*((IF('Council Entry'!H$4="Logarithm",LN(0.001+IF(AND(ISNUMBER('Council Entry'!H$8),ISNUMBER('Council Entry'!H$9)),MAX(MIN('Council Entry'!H98,'Council Entry'!H$9),'Council Entry'!H$8),'Council Entry'!H98)),IF('Council Entry'!H$4="Exponential",EXP(IF(AND(ISNUMBER('Council Entry'!H$8),ISNUMBER('Council Entry'!H$9)),MAX(MIN('Council Entry'!H98,'Council Entry'!H$9),'Council Entry'!H$8),'Council Entry'!H98)),IF(AND(ISNUMBER('Council Entry'!H$8),ISNUMBER('Council Entry'!H$9)),MAX(MIN('Council Entry'!H98,'Council Entry'!H$9),'Council Entry'!H$8),'Council Entry'!H98))))-'Council Entry'!H$5)/('Council Entry'!H$6-'Council Entry'!H$5)),1))),"No data"))</f>
        <v/>
      </c>
      <c r="I98" s="13">
        <f>IF('Council Entry'!I98="","",IFERROR(MAX(0,MIN(10,ROUND(IF('Council Entry'!I$7="Decrease Risk",10-10*((IF('Council Entry'!I$4="Logarithm",LN(0.001+IF(AND(ISNUMBER('Council Entry'!I$8),ISNUMBER('Council Entry'!I$9)),MAX(MIN('Council Entry'!I98,'Council Entry'!I$9),'Council Entry'!I$8),'Council Entry'!I98)),IF('Council Entry'!I$4="Exponential",EXP(IF(AND(ISNUMBER('Council Entry'!I$8),ISNUMBER('Council Entry'!I$9)),MAX(MIN('Council Entry'!I98,'Council Entry'!I$9),'Council Entry'!I$8),'Council Entry'!I98)),IF(AND(ISNUMBER('Council Entry'!I$8),ISNUMBER('Council Entry'!I$9)),MAX(MIN('Council Entry'!I98,'Council Entry'!I$9),'Council Entry'!I$8),'Council Entry'!I98))))-'Council Entry'!I$5)/('Council Entry'!I$6-'Council Entry'!I$5),10*((IF('Council Entry'!I$4="Logarithm",LN(0.001+IF(AND(ISNUMBER('Council Entry'!I$8),ISNUMBER('Council Entry'!I$9)),MAX(MIN('Council Entry'!I98,'Council Entry'!I$9),'Council Entry'!I$8),'Council Entry'!I98)),IF('Council Entry'!I$4="Exponential",EXP(IF(AND(ISNUMBER('Council Entry'!I$8),ISNUMBER('Council Entry'!I$9)),MAX(MIN('Council Entry'!I98,'Council Entry'!I$9),'Council Entry'!I$8),'Council Entry'!I98)),IF(AND(ISNUMBER('Council Entry'!I$8),ISNUMBER('Council Entry'!I$9)),MAX(MIN('Council Entry'!I98,'Council Entry'!I$9),'Council Entry'!I$8),'Council Entry'!I98))))-'Council Entry'!I$5)/('Council Entry'!I$6-'Council Entry'!I$5)),1))),"No data"))</f>
        <v/>
      </c>
      <c r="J98" s="13">
        <f>IF('Council Entry'!J98="","",IFERROR(MAX(0,MIN(10,ROUND(IF('Council Entry'!J$7="Decrease Risk",10-10*((IF('Council Entry'!J$4="Logarithm",LN(0.001+IF(AND(ISNUMBER('Council Entry'!J$8),ISNUMBER('Council Entry'!J$9)),MAX(MIN('Council Entry'!J98,'Council Entry'!J$9),'Council Entry'!J$8),'Council Entry'!J98)),IF('Council Entry'!J$4="Exponential",EXP(IF(AND(ISNUMBER('Council Entry'!J$8),ISNUMBER('Council Entry'!J$9)),MAX(MIN('Council Entry'!J98,'Council Entry'!J$9),'Council Entry'!J$8),'Council Entry'!J98)),IF(AND(ISNUMBER('Council Entry'!J$8),ISNUMBER('Council Entry'!J$9)),MAX(MIN('Council Entry'!J98,'Council Entry'!J$9),'Council Entry'!J$8),'Council Entry'!J98))))-'Council Entry'!J$5)/('Council Entry'!J$6-'Council Entry'!J$5),10*((IF('Council Entry'!J$4="Logarithm",LN(0.001+IF(AND(ISNUMBER('Council Entry'!J$8),ISNUMBER('Council Entry'!J$9)),MAX(MIN('Council Entry'!J98,'Council Entry'!J$9),'Council Entry'!J$8),'Council Entry'!J98)),IF('Council Entry'!J$4="Exponential",EXP(IF(AND(ISNUMBER('Council Entry'!J$8),ISNUMBER('Council Entry'!J$9)),MAX(MIN('Council Entry'!J98,'Council Entry'!J$9),'Council Entry'!J$8),'Council Entry'!J98)),IF(AND(ISNUMBER('Council Entry'!J$8),ISNUMBER('Council Entry'!J$9)),MAX(MIN('Council Entry'!J98,'Council Entry'!J$9),'Council Entry'!J$8),'Council Entry'!J98))))-'Council Entry'!J$5)/('Council Entry'!J$6-'Council Entry'!J$5)),1))),"No data"))</f>
        <v/>
      </c>
      <c r="K98" s="13">
        <f>IF('Council Entry'!K98="","",IFERROR(MAX(0,MIN(10,ROUND(IF('Council Entry'!K$7="Decrease Risk",10-10*((IF('Council Entry'!K$4="Logarithm",LN(0.001+IF(AND(ISNUMBER('Council Entry'!K$8),ISNUMBER('Council Entry'!K$9)),MAX(MIN('Council Entry'!K98,'Council Entry'!K$9),'Council Entry'!K$8),'Council Entry'!K98)),IF('Council Entry'!K$4="Exponential",EXP(IF(AND(ISNUMBER('Council Entry'!K$8),ISNUMBER('Council Entry'!K$9)),MAX(MIN('Council Entry'!K98,'Council Entry'!K$9),'Council Entry'!K$8),'Council Entry'!K98)),IF(AND(ISNUMBER('Council Entry'!K$8),ISNUMBER('Council Entry'!K$9)),MAX(MIN('Council Entry'!K98,'Council Entry'!K$9),'Council Entry'!K$8),'Council Entry'!K98))))-'Council Entry'!K$5)/('Council Entry'!K$6-'Council Entry'!K$5),10*((IF('Council Entry'!K$4="Logarithm",LN(0.001+IF(AND(ISNUMBER('Council Entry'!K$8),ISNUMBER('Council Entry'!K$9)),MAX(MIN('Council Entry'!K98,'Council Entry'!K$9),'Council Entry'!K$8),'Council Entry'!K98)),IF('Council Entry'!K$4="Exponential",EXP(IF(AND(ISNUMBER('Council Entry'!K$8),ISNUMBER('Council Entry'!K$9)),MAX(MIN('Council Entry'!K98,'Council Entry'!K$9),'Council Entry'!K$8),'Council Entry'!K98)),IF(AND(ISNUMBER('Council Entry'!K$8),ISNUMBER('Council Entry'!K$9)),MAX(MIN('Council Entry'!K98,'Council Entry'!K$9),'Council Entry'!K$8),'Council Entry'!K98))))-'Council Entry'!K$5)/('Council Entry'!K$6-'Council Entry'!K$5)),1))),"No data"))</f>
        <v/>
      </c>
      <c r="L98" s="13">
        <f>IF('Council Entry'!L98="","",IFERROR(MAX(0,MIN(10,ROUND(IF('Council Entry'!L$7="Decrease Risk",10-10*((IF('Council Entry'!L$4="Logarithm",LN(0.001+IF(AND(ISNUMBER('Council Entry'!L$8),ISNUMBER('Council Entry'!L$9)),MAX(MIN('Council Entry'!L98,'Council Entry'!L$9),'Council Entry'!L$8),'Council Entry'!L98)),IF('Council Entry'!L$4="Exponential",EXP(IF(AND(ISNUMBER('Council Entry'!L$8),ISNUMBER('Council Entry'!L$9)),MAX(MIN('Council Entry'!L98,'Council Entry'!L$9),'Council Entry'!L$8),'Council Entry'!L98)),IF(AND(ISNUMBER('Council Entry'!L$8),ISNUMBER('Council Entry'!L$9)),MAX(MIN('Council Entry'!L98,'Council Entry'!L$9),'Council Entry'!L$8),'Council Entry'!L98))))-'Council Entry'!L$5)/('Council Entry'!L$6-'Council Entry'!L$5),10*((IF('Council Entry'!L$4="Logarithm",LN(0.001+IF(AND(ISNUMBER('Council Entry'!L$8),ISNUMBER('Council Entry'!L$9)),MAX(MIN('Council Entry'!L98,'Council Entry'!L$9),'Council Entry'!L$8),'Council Entry'!L98)),IF('Council Entry'!L$4="Exponential",EXP(IF(AND(ISNUMBER('Council Entry'!L$8),ISNUMBER('Council Entry'!L$9)),MAX(MIN('Council Entry'!L98,'Council Entry'!L$9),'Council Entry'!L$8),'Council Entry'!L98)),IF(AND(ISNUMBER('Council Entry'!L$8),ISNUMBER('Council Entry'!L$9)),MAX(MIN('Council Entry'!L98,'Council Entry'!L$9),'Council Entry'!L$8),'Council Entry'!L98))))-'Council Entry'!L$5)/('Council Entry'!L$6-'Council Entry'!L$5)),1))),"No data"))</f>
        <v/>
      </c>
      <c r="M98" s="13">
        <f>IF('Council Entry'!M98="","",IFERROR(MAX(0,MIN(10,ROUND(IF('Council Entry'!M$7="Decrease Risk",10-10*((IF('Council Entry'!M$4="Logarithm",LN(0.001+IF(AND(ISNUMBER('Council Entry'!M$8),ISNUMBER('Council Entry'!M$9)),MAX(MIN('Council Entry'!M98,'Council Entry'!M$9),'Council Entry'!M$8),'Council Entry'!M98)),IF('Council Entry'!M$4="Exponential",EXP(IF(AND(ISNUMBER('Council Entry'!M$8),ISNUMBER('Council Entry'!M$9)),MAX(MIN('Council Entry'!M98,'Council Entry'!M$9),'Council Entry'!M$8),'Council Entry'!M98)),IF(AND(ISNUMBER('Council Entry'!M$8),ISNUMBER('Council Entry'!M$9)),MAX(MIN('Council Entry'!M98,'Council Entry'!M$9),'Council Entry'!M$8),'Council Entry'!M98))))-'Council Entry'!M$5)/('Council Entry'!M$6-'Council Entry'!M$5),10*((IF('Council Entry'!M$4="Logarithm",LN(0.001+IF(AND(ISNUMBER('Council Entry'!M$8),ISNUMBER('Council Entry'!M$9)),MAX(MIN('Council Entry'!M98,'Council Entry'!M$9),'Council Entry'!M$8),'Council Entry'!M98)),IF('Council Entry'!M$4="Exponential",EXP(IF(AND(ISNUMBER('Council Entry'!M$8),ISNUMBER('Council Entry'!M$9)),MAX(MIN('Council Entry'!M98,'Council Entry'!M$9),'Council Entry'!M$8),'Council Entry'!M98)),IF(AND(ISNUMBER('Council Entry'!M$8),ISNUMBER('Council Entry'!M$9)),MAX(MIN('Council Entry'!M98,'Council Entry'!M$9),'Council Entry'!M$8),'Council Entry'!M98))))-'Council Entry'!M$5)/('Council Entry'!M$6-'Council Entry'!M$5)),1))),"No data"))</f>
        <v/>
      </c>
      <c r="N98" s="13">
        <f>IF('Council Entry'!N98="","",IFERROR(MAX(0,MIN(10,ROUND(IF('Council Entry'!N$7="Decrease Risk",10-10*((IF('Council Entry'!N$4="Logarithm",LN(0.001+IF(AND(ISNUMBER('Council Entry'!N$8),ISNUMBER('Council Entry'!N$9)),MAX(MIN('Council Entry'!N98,'Council Entry'!N$9),'Council Entry'!N$8),'Council Entry'!N98)),IF('Council Entry'!N$4="Exponential",EXP(IF(AND(ISNUMBER('Council Entry'!N$8),ISNUMBER('Council Entry'!N$9)),MAX(MIN('Council Entry'!N98,'Council Entry'!N$9),'Council Entry'!N$8),'Council Entry'!N98)),IF(AND(ISNUMBER('Council Entry'!N$8),ISNUMBER('Council Entry'!N$9)),MAX(MIN('Council Entry'!N98,'Council Entry'!N$9),'Council Entry'!N$8),'Council Entry'!N98))))-'Council Entry'!N$5)/('Council Entry'!N$6-'Council Entry'!N$5),10*((IF('Council Entry'!N$4="Logarithm",LN(0.001+IF(AND(ISNUMBER('Council Entry'!N$8),ISNUMBER('Council Entry'!N$9)),MAX(MIN('Council Entry'!N98,'Council Entry'!N$9),'Council Entry'!N$8),'Council Entry'!N98)),IF('Council Entry'!N$4="Exponential",EXP(IF(AND(ISNUMBER('Council Entry'!N$8),ISNUMBER('Council Entry'!N$9)),MAX(MIN('Council Entry'!N98,'Council Entry'!N$9),'Council Entry'!N$8),'Council Entry'!N98)),IF(AND(ISNUMBER('Council Entry'!N$8),ISNUMBER('Council Entry'!N$9)),MAX(MIN('Council Entry'!N98,'Council Entry'!N$9),'Council Entry'!N$8),'Council Entry'!N98))))-'Council Entry'!N$5)/('Council Entry'!N$6-'Council Entry'!N$5)),1))),"No data"))</f>
        <v/>
      </c>
      <c r="O98" s="13">
        <f>IF('Council Entry'!O98="","",IFERROR(MAX(0,MIN(10,ROUND(IF('Council Entry'!O$7="Decrease Risk",10-10*((IF('Council Entry'!O$4="Logarithm",LN(0.001+IF(AND(ISNUMBER('Council Entry'!O$8),ISNUMBER('Council Entry'!O$9)),MAX(MIN('Council Entry'!O98,'Council Entry'!O$9),'Council Entry'!O$8),'Council Entry'!O98)),IF('Council Entry'!O$4="Exponential",EXP(IF(AND(ISNUMBER('Council Entry'!O$8),ISNUMBER('Council Entry'!O$9)),MAX(MIN('Council Entry'!O98,'Council Entry'!O$9),'Council Entry'!O$8),'Council Entry'!O98)),IF(AND(ISNUMBER('Council Entry'!O$8),ISNUMBER('Council Entry'!O$9)),MAX(MIN('Council Entry'!O98,'Council Entry'!O$9),'Council Entry'!O$8),'Council Entry'!O98))))-'Council Entry'!O$5)/('Council Entry'!O$6-'Council Entry'!O$5),10*((IF('Council Entry'!O$4="Logarithm",LN(0.001+IF(AND(ISNUMBER('Council Entry'!O$8),ISNUMBER('Council Entry'!O$9)),MAX(MIN('Council Entry'!O98,'Council Entry'!O$9),'Council Entry'!O$8),'Council Entry'!O98)),IF('Council Entry'!O$4="Exponential",EXP(IF(AND(ISNUMBER('Council Entry'!O$8),ISNUMBER('Council Entry'!O$9)),MAX(MIN('Council Entry'!O98,'Council Entry'!O$9),'Council Entry'!O$8),'Council Entry'!O98)),IF(AND(ISNUMBER('Council Entry'!O$8),ISNUMBER('Council Entry'!O$9)),MAX(MIN('Council Entry'!O98,'Council Entry'!O$9),'Council Entry'!O$8),'Council Entry'!O98))))-'Council Entry'!O$5)/('Council Entry'!O$6-'Council Entry'!O$5)),1))),"No data"))</f>
        <v/>
      </c>
      <c r="P98" s="13">
        <f>IF('Council Entry'!P98="","",IFERROR(MAX(0,MIN(10,ROUND(IF('Council Entry'!P$7="Decrease Risk",10-10*((IF('Council Entry'!P$4="Logarithm",LN(0.001+IF(AND(ISNUMBER('Council Entry'!P$8),ISNUMBER('Council Entry'!P$9)),MAX(MIN('Council Entry'!P98,'Council Entry'!P$9),'Council Entry'!P$8),'Council Entry'!P98)),IF('Council Entry'!P$4="Exponential",EXP(IF(AND(ISNUMBER('Council Entry'!P$8),ISNUMBER('Council Entry'!P$9)),MAX(MIN('Council Entry'!P98,'Council Entry'!P$9),'Council Entry'!P$8),'Council Entry'!P98)),IF(AND(ISNUMBER('Council Entry'!P$8),ISNUMBER('Council Entry'!P$9)),MAX(MIN('Council Entry'!P98,'Council Entry'!P$9),'Council Entry'!P$8),'Council Entry'!P98))))-'Council Entry'!P$5)/('Council Entry'!P$6-'Council Entry'!P$5),10*((IF('Council Entry'!P$4="Logarithm",LN(0.001+IF(AND(ISNUMBER('Council Entry'!P$8),ISNUMBER('Council Entry'!P$9)),MAX(MIN('Council Entry'!P98,'Council Entry'!P$9),'Council Entry'!P$8),'Council Entry'!P98)),IF('Council Entry'!P$4="Exponential",EXP(IF(AND(ISNUMBER('Council Entry'!P$8),ISNUMBER('Council Entry'!P$9)),MAX(MIN('Council Entry'!P98,'Council Entry'!P$9),'Council Entry'!P$8),'Council Entry'!P98)),IF(AND(ISNUMBER('Council Entry'!P$8),ISNUMBER('Council Entry'!P$9)),MAX(MIN('Council Entry'!P98,'Council Entry'!P$9),'Council Entry'!P$8),'Council Entry'!P98))))-'Council Entry'!P$5)/('Council Entry'!P$6-'Council Entry'!P$5)),1))),"No data"))</f>
        <v/>
      </c>
      <c r="Q98" s="13">
        <f>IF('Council Entry'!Q98="","",IFERROR(MAX(0,MIN(10,ROUND(IF('Council Entry'!Q$7="Decrease Risk",10-10*((IF('Council Entry'!Q$4="Logarithm",LN(0.001+IF(AND(ISNUMBER('Council Entry'!Q$8),ISNUMBER('Council Entry'!Q$9)),MAX(MIN('Council Entry'!Q98,'Council Entry'!Q$9),'Council Entry'!Q$8),'Council Entry'!Q98)),IF('Council Entry'!Q$4="Exponential",EXP(IF(AND(ISNUMBER('Council Entry'!Q$8),ISNUMBER('Council Entry'!Q$9)),MAX(MIN('Council Entry'!Q98,'Council Entry'!Q$9),'Council Entry'!Q$8),'Council Entry'!Q98)),IF(AND(ISNUMBER('Council Entry'!Q$8),ISNUMBER('Council Entry'!Q$9)),MAX(MIN('Council Entry'!Q98,'Council Entry'!Q$9),'Council Entry'!Q$8),'Council Entry'!Q98))))-'Council Entry'!Q$5)/('Council Entry'!Q$6-'Council Entry'!Q$5),10*((IF('Council Entry'!Q$4="Logarithm",LN(0.001+IF(AND(ISNUMBER('Council Entry'!Q$8),ISNUMBER('Council Entry'!Q$9)),MAX(MIN('Council Entry'!Q98,'Council Entry'!Q$9),'Council Entry'!Q$8),'Council Entry'!Q98)),IF('Council Entry'!Q$4="Exponential",EXP(IF(AND(ISNUMBER('Council Entry'!Q$8),ISNUMBER('Council Entry'!Q$9)),MAX(MIN('Council Entry'!Q98,'Council Entry'!Q$9),'Council Entry'!Q$8),'Council Entry'!Q98)),IF(AND(ISNUMBER('Council Entry'!Q$8),ISNUMBER('Council Entry'!Q$9)),MAX(MIN('Council Entry'!Q98,'Council Entry'!Q$9),'Council Entry'!Q$8),'Council Entry'!Q98))))-'Council Entry'!Q$5)/('Council Entry'!Q$6-'Council Entry'!Q$5)),1))),"No data"))</f>
        <v/>
      </c>
      <c r="R98" s="13">
        <f>IF('Council Entry'!R98="","",IFERROR(MAX(0,MIN(10,ROUND(IF('Council Entry'!R$7="Decrease Risk",10-10*((IF('Council Entry'!R$4="Logarithm",LN(0.001+IF(AND(ISNUMBER('Council Entry'!R$8),ISNUMBER('Council Entry'!R$9)),MAX(MIN('Council Entry'!R98,'Council Entry'!R$9),'Council Entry'!R$8),'Council Entry'!R98)),IF('Council Entry'!R$4="Exponential",EXP(IF(AND(ISNUMBER('Council Entry'!R$8),ISNUMBER('Council Entry'!R$9)),MAX(MIN('Council Entry'!R98,'Council Entry'!R$9),'Council Entry'!R$8),'Council Entry'!R98)),IF(AND(ISNUMBER('Council Entry'!R$8),ISNUMBER('Council Entry'!R$9)),MAX(MIN('Council Entry'!R98,'Council Entry'!R$9),'Council Entry'!R$8),'Council Entry'!R98))))-'Council Entry'!R$5)/('Council Entry'!R$6-'Council Entry'!R$5),10*((IF('Council Entry'!R$4="Logarithm",LN(0.001+IF(AND(ISNUMBER('Council Entry'!R$8),ISNUMBER('Council Entry'!R$9)),MAX(MIN('Council Entry'!R98,'Council Entry'!R$9),'Council Entry'!R$8),'Council Entry'!R98)),IF('Council Entry'!R$4="Exponential",EXP(IF(AND(ISNUMBER('Council Entry'!R$8),ISNUMBER('Council Entry'!R$9)),MAX(MIN('Council Entry'!R98,'Council Entry'!R$9),'Council Entry'!R$8),'Council Entry'!R98)),IF(AND(ISNUMBER('Council Entry'!R$8),ISNUMBER('Council Entry'!R$9)),MAX(MIN('Council Entry'!R98,'Council Entry'!R$9),'Council Entry'!R$8),'Council Entry'!R98))))-'Council Entry'!R$5)/('Council Entry'!R$6-'Council Entry'!R$5)),1))),"No data"))</f>
        <v/>
      </c>
      <c r="S98" s="13">
        <f>IF('Council Entry'!S98="","",IFERROR(MAX(0,MIN(10,ROUND(IF('Council Entry'!S$7="Decrease Risk",10-10*((IF('Council Entry'!S$4="Logarithm",LN(0.001+IF(AND(ISNUMBER('Council Entry'!S$8),ISNUMBER('Council Entry'!S$9)),MAX(MIN('Council Entry'!S98,'Council Entry'!S$9),'Council Entry'!S$8),'Council Entry'!S98)),IF('Council Entry'!S$4="Exponential",EXP(IF(AND(ISNUMBER('Council Entry'!S$8),ISNUMBER('Council Entry'!S$9)),MAX(MIN('Council Entry'!S98,'Council Entry'!S$9),'Council Entry'!S$8),'Council Entry'!S98)),IF(AND(ISNUMBER('Council Entry'!S$8),ISNUMBER('Council Entry'!S$9)),MAX(MIN('Council Entry'!S98,'Council Entry'!S$9),'Council Entry'!S$8),'Council Entry'!S98))))-'Council Entry'!S$5)/('Council Entry'!S$6-'Council Entry'!S$5),10*((IF('Council Entry'!S$4="Logarithm",LN(0.001+IF(AND(ISNUMBER('Council Entry'!S$8),ISNUMBER('Council Entry'!S$9)),MAX(MIN('Council Entry'!S98,'Council Entry'!S$9),'Council Entry'!S$8),'Council Entry'!S98)),IF('Council Entry'!S$4="Exponential",EXP(IF(AND(ISNUMBER('Council Entry'!S$8),ISNUMBER('Council Entry'!S$9)),MAX(MIN('Council Entry'!S98,'Council Entry'!S$9),'Council Entry'!S$8),'Council Entry'!S98)),IF(AND(ISNUMBER('Council Entry'!S$8),ISNUMBER('Council Entry'!S$9)),MAX(MIN('Council Entry'!S98,'Council Entry'!S$9),'Council Entry'!S$8),'Council Entry'!S98))))-'Council Entry'!S$5)/('Council Entry'!S$6-'Council Entry'!S$5)),1))),"No data"))</f>
        <v/>
      </c>
      <c r="T98" s="13">
        <f>IF('Council Entry'!T98="","",IFERROR(MAX(0,MIN(10,ROUND(IF('Council Entry'!T$7="Decrease Risk",10-10*((IF('Council Entry'!T$4="Logarithm",LN(0.001+IF(AND(ISNUMBER('Council Entry'!T$8),ISNUMBER('Council Entry'!T$9)),MAX(MIN('Council Entry'!T98,'Council Entry'!T$9),'Council Entry'!T$8),'Council Entry'!T98)),IF('Council Entry'!T$4="Exponential",EXP(IF(AND(ISNUMBER('Council Entry'!T$8),ISNUMBER('Council Entry'!T$9)),MAX(MIN('Council Entry'!T98,'Council Entry'!T$9),'Council Entry'!T$8),'Council Entry'!T98)),IF(AND(ISNUMBER('Council Entry'!T$8),ISNUMBER('Council Entry'!T$9)),MAX(MIN('Council Entry'!T98,'Council Entry'!T$9),'Council Entry'!T$8),'Council Entry'!T98))))-'Council Entry'!T$5)/('Council Entry'!T$6-'Council Entry'!T$5),10*((IF('Council Entry'!T$4="Logarithm",LN(0.001+IF(AND(ISNUMBER('Council Entry'!T$8),ISNUMBER('Council Entry'!T$9)),MAX(MIN('Council Entry'!T98,'Council Entry'!T$9),'Council Entry'!T$8),'Council Entry'!T98)),IF('Council Entry'!T$4="Exponential",EXP(IF(AND(ISNUMBER('Council Entry'!T$8),ISNUMBER('Council Entry'!T$9)),MAX(MIN('Council Entry'!T98,'Council Entry'!T$9),'Council Entry'!T$8),'Council Entry'!T98)),IF(AND(ISNUMBER('Council Entry'!T$8),ISNUMBER('Council Entry'!T$9)),MAX(MIN('Council Entry'!T98,'Council Entry'!T$9),'Council Entry'!T$8),'Council Entry'!T98))))-'Council Entry'!T$5)/('Council Entry'!T$6-'Council Entry'!T$5)),1))),"No data"))</f>
        <v/>
      </c>
      <c r="U98" s="13">
        <f>IF('Council Entry'!U98="","",IFERROR(MAX(0,MIN(10,ROUND(IF('Council Entry'!U$7="Decrease Risk",10-10*((IF('Council Entry'!U$4="Logarithm",LN(0.001+IF(AND(ISNUMBER('Council Entry'!U$8),ISNUMBER('Council Entry'!U$9)),MAX(MIN('Council Entry'!U98,'Council Entry'!U$9),'Council Entry'!U$8),'Council Entry'!U98)),IF('Council Entry'!U$4="Exponential",EXP(IF(AND(ISNUMBER('Council Entry'!U$8),ISNUMBER('Council Entry'!U$9)),MAX(MIN('Council Entry'!U98,'Council Entry'!U$9),'Council Entry'!U$8),'Council Entry'!U98)),IF(AND(ISNUMBER('Council Entry'!U$8),ISNUMBER('Council Entry'!U$9)),MAX(MIN('Council Entry'!U98,'Council Entry'!U$9),'Council Entry'!U$8),'Council Entry'!U98))))-'Council Entry'!U$5)/('Council Entry'!U$6-'Council Entry'!U$5),10*((IF('Council Entry'!U$4="Logarithm",LN(0.001+IF(AND(ISNUMBER('Council Entry'!U$8),ISNUMBER('Council Entry'!U$9)),MAX(MIN('Council Entry'!U98,'Council Entry'!U$9),'Council Entry'!U$8),'Council Entry'!U98)),IF('Council Entry'!U$4="Exponential",EXP(IF(AND(ISNUMBER('Council Entry'!U$8),ISNUMBER('Council Entry'!U$9)),MAX(MIN('Council Entry'!U98,'Council Entry'!U$9),'Council Entry'!U$8),'Council Entry'!U98)),IF(AND(ISNUMBER('Council Entry'!U$8),ISNUMBER('Council Entry'!U$9)),MAX(MIN('Council Entry'!U98,'Council Entry'!U$9),'Council Entry'!U$8),'Council Entry'!U98))))-'Council Entry'!U$5)/('Council Entry'!U$6-'Council Entry'!U$5)),1))),"No data"))</f>
        <v/>
      </c>
      <c r="V98" s="13">
        <f>IF('Council Entry'!V98="","",IFERROR(MAX(0,MIN(10,ROUND(IF('Council Entry'!V$7="Decrease Risk",10-10*((IF('Council Entry'!V$4="Logarithm",LN(0.001+IF(AND(ISNUMBER('Council Entry'!V$8),ISNUMBER('Council Entry'!V$9)),MAX(MIN('Council Entry'!V98,'Council Entry'!V$9),'Council Entry'!V$8),'Council Entry'!V98)),IF('Council Entry'!V$4="Exponential",EXP(IF(AND(ISNUMBER('Council Entry'!V$8),ISNUMBER('Council Entry'!V$9)),MAX(MIN('Council Entry'!V98,'Council Entry'!V$9),'Council Entry'!V$8),'Council Entry'!V98)),IF(AND(ISNUMBER('Council Entry'!V$8),ISNUMBER('Council Entry'!V$9)),MAX(MIN('Council Entry'!V98,'Council Entry'!V$9),'Council Entry'!V$8),'Council Entry'!V98))))-'Council Entry'!V$5)/('Council Entry'!V$6-'Council Entry'!V$5),10*((IF('Council Entry'!V$4="Logarithm",LN(0.001+IF(AND(ISNUMBER('Council Entry'!V$8),ISNUMBER('Council Entry'!V$9)),MAX(MIN('Council Entry'!V98,'Council Entry'!V$9),'Council Entry'!V$8),'Council Entry'!V98)),IF('Council Entry'!V$4="Exponential",EXP(IF(AND(ISNUMBER('Council Entry'!V$8),ISNUMBER('Council Entry'!V$9)),MAX(MIN('Council Entry'!V98,'Council Entry'!V$9),'Council Entry'!V$8),'Council Entry'!V98)),IF(AND(ISNUMBER('Council Entry'!V$8),ISNUMBER('Council Entry'!V$9)),MAX(MIN('Council Entry'!V98,'Council Entry'!V$9),'Council Entry'!V$8),'Council Entry'!V98))))-'Council Entry'!V$5)/('Council Entry'!V$6-'Council Entry'!V$5)),1))),"No data"))</f>
        <v/>
      </c>
      <c r="W98" s="13">
        <f>IF('Council Entry'!W98="","",IFERROR(MAX(0,MIN(10,ROUND(IF('Council Entry'!W$7="Decrease Risk",10-10*((IF('Council Entry'!W$4="Logarithm",LN(0.001+IF(AND(ISNUMBER('Council Entry'!W$8),ISNUMBER('Council Entry'!W$9)),MAX(MIN('Council Entry'!W98,'Council Entry'!W$9),'Council Entry'!W$8),'Council Entry'!W98)),IF('Council Entry'!W$4="Exponential",EXP(IF(AND(ISNUMBER('Council Entry'!W$8),ISNUMBER('Council Entry'!W$9)),MAX(MIN('Council Entry'!W98,'Council Entry'!W$9),'Council Entry'!W$8),'Council Entry'!W98)),IF(AND(ISNUMBER('Council Entry'!W$8),ISNUMBER('Council Entry'!W$9)),MAX(MIN('Council Entry'!W98,'Council Entry'!W$9),'Council Entry'!W$8),'Council Entry'!W98))))-'Council Entry'!W$5)/('Council Entry'!W$6-'Council Entry'!W$5),10*((IF('Council Entry'!W$4="Logarithm",LN(0.001+IF(AND(ISNUMBER('Council Entry'!W$8),ISNUMBER('Council Entry'!W$9)),MAX(MIN('Council Entry'!W98,'Council Entry'!W$9),'Council Entry'!W$8),'Council Entry'!W98)),IF('Council Entry'!W$4="Exponential",EXP(IF(AND(ISNUMBER('Council Entry'!W$8),ISNUMBER('Council Entry'!W$9)),MAX(MIN('Council Entry'!W98,'Council Entry'!W$9),'Council Entry'!W$8),'Council Entry'!W98)),IF(AND(ISNUMBER('Council Entry'!W$8),ISNUMBER('Council Entry'!W$9)),MAX(MIN('Council Entry'!W98,'Council Entry'!W$9),'Council Entry'!W$8),'Council Entry'!W98))))-'Council Entry'!W$5)/('Council Entry'!W$6-'Council Entry'!W$5)),1))),"No data"))</f>
        <v/>
      </c>
      <c r="X98" s="13">
        <f>IF('Council Entry'!X98="","",IFERROR(MAX(0,MIN(10,ROUND(IF('Council Entry'!X$7="Decrease Risk",10-10*((IF('Council Entry'!X$4="Logarithm",LN(0.001+IF(AND(ISNUMBER('Council Entry'!X$8),ISNUMBER('Council Entry'!X$9)),MAX(MIN('Council Entry'!X98,'Council Entry'!X$9),'Council Entry'!X$8),'Council Entry'!X98)),IF('Council Entry'!X$4="Exponential",EXP(IF(AND(ISNUMBER('Council Entry'!X$8),ISNUMBER('Council Entry'!X$9)),MAX(MIN('Council Entry'!X98,'Council Entry'!X$9),'Council Entry'!X$8),'Council Entry'!X98)),IF(AND(ISNUMBER('Council Entry'!X$8),ISNUMBER('Council Entry'!X$9)),MAX(MIN('Council Entry'!X98,'Council Entry'!X$9),'Council Entry'!X$8),'Council Entry'!X98))))-'Council Entry'!X$5)/('Council Entry'!X$6-'Council Entry'!X$5),10*((IF('Council Entry'!X$4="Logarithm",LN(0.001+IF(AND(ISNUMBER('Council Entry'!X$8),ISNUMBER('Council Entry'!X$9)),MAX(MIN('Council Entry'!X98,'Council Entry'!X$9),'Council Entry'!X$8),'Council Entry'!X98)),IF('Council Entry'!X$4="Exponential",EXP(IF(AND(ISNUMBER('Council Entry'!X$8),ISNUMBER('Council Entry'!X$9)),MAX(MIN('Council Entry'!X98,'Council Entry'!X$9),'Council Entry'!X$8),'Council Entry'!X98)),IF(AND(ISNUMBER('Council Entry'!X$8),ISNUMBER('Council Entry'!X$9)),MAX(MIN('Council Entry'!X98,'Council Entry'!X$9),'Council Entry'!X$8),'Council Entry'!X98))))-'Council Entry'!X$5)/('Council Entry'!X$6-'Council Entry'!X$5)),1))),"No data"))</f>
        <v/>
      </c>
      <c r="Y98" s="13">
        <f>IF('Council Entry'!Y98="","",IFERROR(MAX(0,MIN(10,ROUND(IF('Council Entry'!Y$7="Decrease Risk",10-10*((IF('Council Entry'!Y$4="Logarithm",LN(0.001+IF(AND(ISNUMBER('Council Entry'!Y$8),ISNUMBER('Council Entry'!Y$9)),MAX(MIN('Council Entry'!Y98,'Council Entry'!Y$9),'Council Entry'!Y$8),'Council Entry'!Y98)),IF('Council Entry'!Y$4="Exponential",EXP(IF(AND(ISNUMBER('Council Entry'!Y$8),ISNUMBER('Council Entry'!Y$9)),MAX(MIN('Council Entry'!Y98,'Council Entry'!Y$9),'Council Entry'!Y$8),'Council Entry'!Y98)),IF(AND(ISNUMBER('Council Entry'!Y$8),ISNUMBER('Council Entry'!Y$9)),MAX(MIN('Council Entry'!Y98,'Council Entry'!Y$9),'Council Entry'!Y$8),'Council Entry'!Y98))))-'Council Entry'!Y$5)/('Council Entry'!Y$6-'Council Entry'!Y$5),10*((IF('Council Entry'!Y$4="Logarithm",LN(0.001+IF(AND(ISNUMBER('Council Entry'!Y$8),ISNUMBER('Council Entry'!Y$9)),MAX(MIN('Council Entry'!Y98,'Council Entry'!Y$9),'Council Entry'!Y$8),'Council Entry'!Y98)),IF('Council Entry'!Y$4="Exponential",EXP(IF(AND(ISNUMBER('Council Entry'!Y$8),ISNUMBER('Council Entry'!Y$9)),MAX(MIN('Council Entry'!Y98,'Council Entry'!Y$9),'Council Entry'!Y$8),'Council Entry'!Y98)),IF(AND(ISNUMBER('Council Entry'!Y$8),ISNUMBER('Council Entry'!Y$9)),MAX(MIN('Council Entry'!Y98,'Council Entry'!Y$9),'Council Entry'!Y$8),'Council Entry'!Y98))))-'Council Entry'!Y$5)/('Council Entry'!Y$6-'Council Entry'!Y$5)),1))),"No data"))</f>
        <v/>
      </c>
      <c r="Z98" s="13">
        <f>IF('Council Entry'!Z98="","",IFERROR(MAX(0,MIN(10,ROUND(IF('Council Entry'!Z$7="Decrease Risk",10-10*((IF('Council Entry'!Z$4="Logarithm",LN(0.001+IF(AND(ISNUMBER('Council Entry'!Z$8),ISNUMBER('Council Entry'!Z$9)),MAX(MIN('Council Entry'!Z98,'Council Entry'!Z$9),'Council Entry'!Z$8),'Council Entry'!Z98)),IF('Council Entry'!Z$4="Exponential",EXP(IF(AND(ISNUMBER('Council Entry'!Z$8),ISNUMBER('Council Entry'!Z$9)),MAX(MIN('Council Entry'!Z98,'Council Entry'!Z$9),'Council Entry'!Z$8),'Council Entry'!Z98)),IF(AND(ISNUMBER('Council Entry'!Z$8),ISNUMBER('Council Entry'!Z$9)),MAX(MIN('Council Entry'!Z98,'Council Entry'!Z$9),'Council Entry'!Z$8),'Council Entry'!Z98))))-'Council Entry'!Z$5)/('Council Entry'!Z$6-'Council Entry'!Z$5),10*((IF('Council Entry'!Z$4="Logarithm",LN(0.001+IF(AND(ISNUMBER('Council Entry'!Z$8),ISNUMBER('Council Entry'!Z$9)),MAX(MIN('Council Entry'!Z98,'Council Entry'!Z$9),'Council Entry'!Z$8),'Council Entry'!Z98)),IF('Council Entry'!Z$4="Exponential",EXP(IF(AND(ISNUMBER('Council Entry'!Z$8),ISNUMBER('Council Entry'!Z$9)),MAX(MIN('Council Entry'!Z98,'Council Entry'!Z$9),'Council Entry'!Z$8),'Council Entry'!Z98)),IF(AND(ISNUMBER('Council Entry'!Z$8),ISNUMBER('Council Entry'!Z$9)),MAX(MIN('Council Entry'!Z98,'Council Entry'!Z$9),'Council Entry'!Z$8),'Council Entry'!Z98))))-'Council Entry'!Z$5)/('Council Entry'!Z$6-'Council Entry'!Z$5)),1))),"No data"))</f>
        <v/>
      </c>
      <c r="AA98" s="13">
        <f>IF('Council Entry'!AA98="","",IFERROR(MAX(0,MIN(10,ROUND(IF('Council Entry'!AA$7="Decrease Risk",10-10*((IF('Council Entry'!AA$4="Logarithm",LN(0.001+IF(AND(ISNUMBER('Council Entry'!AA$8),ISNUMBER('Council Entry'!AA$9)),MAX(MIN('Council Entry'!AA98,'Council Entry'!AA$9),'Council Entry'!AA$8),'Council Entry'!AA98)),IF('Council Entry'!AA$4="Exponential",EXP(IF(AND(ISNUMBER('Council Entry'!AA$8),ISNUMBER('Council Entry'!AA$9)),MAX(MIN('Council Entry'!AA98,'Council Entry'!AA$9),'Council Entry'!AA$8),'Council Entry'!AA98)),IF(AND(ISNUMBER('Council Entry'!AA$8),ISNUMBER('Council Entry'!AA$9)),MAX(MIN('Council Entry'!AA98,'Council Entry'!AA$9),'Council Entry'!AA$8),'Council Entry'!AA98))))-'Council Entry'!AA$5)/('Council Entry'!AA$6-'Council Entry'!AA$5),10*((IF('Council Entry'!AA$4="Logarithm",LN(0.001+IF(AND(ISNUMBER('Council Entry'!AA$8),ISNUMBER('Council Entry'!AA$9)),MAX(MIN('Council Entry'!AA98,'Council Entry'!AA$9),'Council Entry'!AA$8),'Council Entry'!AA98)),IF('Council Entry'!AA$4="Exponential",EXP(IF(AND(ISNUMBER('Council Entry'!AA$8),ISNUMBER('Council Entry'!AA$9)),MAX(MIN('Council Entry'!AA98,'Council Entry'!AA$9),'Council Entry'!AA$8),'Council Entry'!AA98)),IF(AND(ISNUMBER('Council Entry'!AA$8),ISNUMBER('Council Entry'!AA$9)),MAX(MIN('Council Entry'!AA98,'Council Entry'!AA$9),'Council Entry'!AA$8),'Council Entry'!AA98))))-'Council Entry'!AA$5)/('Council Entry'!AA$6-'Council Entry'!AA$5)),1))),"No data"))</f>
        <v/>
      </c>
      <c r="AB98" s="13">
        <f>IF('Council Entry'!AB98="","",IFERROR(MAX(0,MIN(10,ROUND(IF('Council Entry'!AB$7="Decrease Risk",10-10*((IF('Council Entry'!AB$4="Logarithm",LN(0.001+IF(AND(ISNUMBER('Council Entry'!AB$8),ISNUMBER('Council Entry'!AB$9)),MAX(MIN('Council Entry'!AB98,'Council Entry'!AB$9),'Council Entry'!AB$8),'Council Entry'!AB98)),IF('Council Entry'!AB$4="Exponential",EXP(IF(AND(ISNUMBER('Council Entry'!AB$8),ISNUMBER('Council Entry'!AB$9)),MAX(MIN('Council Entry'!AB98,'Council Entry'!AB$9),'Council Entry'!AB$8),'Council Entry'!AB98)),IF(AND(ISNUMBER('Council Entry'!AB$8),ISNUMBER('Council Entry'!AB$9)),MAX(MIN('Council Entry'!AB98,'Council Entry'!AB$9),'Council Entry'!AB$8),'Council Entry'!AB98))))-'Council Entry'!AB$5)/('Council Entry'!AB$6-'Council Entry'!AB$5),10*((IF('Council Entry'!AB$4="Logarithm",LN(0.001+IF(AND(ISNUMBER('Council Entry'!AB$8),ISNUMBER('Council Entry'!AB$9)),MAX(MIN('Council Entry'!AB98,'Council Entry'!AB$9),'Council Entry'!AB$8),'Council Entry'!AB98)),IF('Council Entry'!AB$4="Exponential",EXP(IF(AND(ISNUMBER('Council Entry'!AB$8),ISNUMBER('Council Entry'!AB$9)),MAX(MIN('Council Entry'!AB98,'Council Entry'!AB$9),'Council Entry'!AB$8),'Council Entry'!AB98)),IF(AND(ISNUMBER('Council Entry'!AB$8),ISNUMBER('Council Entry'!AB$9)),MAX(MIN('Council Entry'!AB98,'Council Entry'!AB$9),'Council Entry'!AB$8),'Council Entry'!AB98))))-'Council Entry'!AB$5)/('Council Entry'!AB$6-'Council Entry'!AB$5)),1))),"No data"))</f>
        <v/>
      </c>
      <c r="AC98" s="13">
        <f>IF('Council Entry'!AC98="","",IFERROR(MAX(0,MIN(10,ROUND(IF('Council Entry'!AC$7="Decrease Risk",10-10*((IF('Council Entry'!AC$4="Logarithm",LN(0.001+IF(AND(ISNUMBER('Council Entry'!AC$8),ISNUMBER('Council Entry'!AC$9)),MAX(MIN('Council Entry'!AC98,'Council Entry'!AC$9),'Council Entry'!AC$8),'Council Entry'!AC98)),IF('Council Entry'!AC$4="Exponential",EXP(IF(AND(ISNUMBER('Council Entry'!AC$8),ISNUMBER('Council Entry'!AC$9)),MAX(MIN('Council Entry'!AC98,'Council Entry'!AC$9),'Council Entry'!AC$8),'Council Entry'!AC98)),IF(AND(ISNUMBER('Council Entry'!AC$8),ISNUMBER('Council Entry'!AC$9)),MAX(MIN('Council Entry'!AC98,'Council Entry'!AC$9),'Council Entry'!AC$8),'Council Entry'!AC98))))-'Council Entry'!AC$5)/('Council Entry'!AC$6-'Council Entry'!AC$5),10*((IF('Council Entry'!AC$4="Logarithm",LN(0.001+IF(AND(ISNUMBER('Council Entry'!AC$8),ISNUMBER('Council Entry'!AC$9)),MAX(MIN('Council Entry'!AC98,'Council Entry'!AC$9),'Council Entry'!AC$8),'Council Entry'!AC98)),IF('Council Entry'!AC$4="Exponential",EXP(IF(AND(ISNUMBER('Council Entry'!AC$8),ISNUMBER('Council Entry'!AC$9)),MAX(MIN('Council Entry'!AC98,'Council Entry'!AC$9),'Council Entry'!AC$8),'Council Entry'!AC98)),IF(AND(ISNUMBER('Council Entry'!AC$8),ISNUMBER('Council Entry'!AC$9)),MAX(MIN('Council Entry'!AC98,'Council Entry'!AC$9),'Council Entry'!AC$8),'Council Entry'!AC98))))-'Council Entry'!AC$5)/('Council Entry'!AC$6-'Council Entry'!AC$5)),1))),"No data"))</f>
        <v/>
      </c>
      <c r="AD98" s="13">
        <f>IF('Council Entry'!AD98="","",IFERROR(MAX(0,MIN(10,ROUND(IF('Council Entry'!AD$7="Decrease Risk",10-10*((IF('Council Entry'!AD$4="Logarithm",LN(0.001+IF(AND(ISNUMBER('Council Entry'!AD$8),ISNUMBER('Council Entry'!AD$9)),MAX(MIN('Council Entry'!AD98,'Council Entry'!AD$9),'Council Entry'!AD$8),'Council Entry'!AD98)),IF('Council Entry'!AD$4="Exponential",EXP(IF(AND(ISNUMBER('Council Entry'!AD$8),ISNUMBER('Council Entry'!AD$9)),MAX(MIN('Council Entry'!AD98,'Council Entry'!AD$9),'Council Entry'!AD$8),'Council Entry'!AD98)),IF(AND(ISNUMBER('Council Entry'!AD$8),ISNUMBER('Council Entry'!AD$9)),MAX(MIN('Council Entry'!AD98,'Council Entry'!AD$9),'Council Entry'!AD$8),'Council Entry'!AD98))))-'Council Entry'!AD$5)/('Council Entry'!AD$6-'Council Entry'!AD$5),10*((IF('Council Entry'!AD$4="Logarithm",LN(0.001+IF(AND(ISNUMBER('Council Entry'!AD$8),ISNUMBER('Council Entry'!AD$9)),MAX(MIN('Council Entry'!AD98,'Council Entry'!AD$9),'Council Entry'!AD$8),'Council Entry'!AD98)),IF('Council Entry'!AD$4="Exponential",EXP(IF(AND(ISNUMBER('Council Entry'!AD$8),ISNUMBER('Council Entry'!AD$9)),MAX(MIN('Council Entry'!AD98,'Council Entry'!AD$9),'Council Entry'!AD$8),'Council Entry'!AD98)),IF(AND(ISNUMBER('Council Entry'!AD$8),ISNUMBER('Council Entry'!AD$9)),MAX(MIN('Council Entry'!AD98,'Council Entry'!AD$9),'Council Entry'!AD$8),'Council Entry'!AD98))))-'Council Entry'!AD$5)/('Council Entry'!AD$6-'Council Entry'!AD$5)),1))),"No data"))</f>
        <v/>
      </c>
      <c r="AE98" s="13">
        <f>IF('Council Entry'!AE98="","",IFERROR(MAX(0,MIN(10,ROUND(IF('Council Entry'!AE$7="Decrease Risk",10-10*((IF('Council Entry'!AE$4="Logarithm",LN(0.001+IF(AND(ISNUMBER('Council Entry'!AE$8),ISNUMBER('Council Entry'!AE$9)),MAX(MIN('Council Entry'!AE98,'Council Entry'!AE$9),'Council Entry'!AE$8),'Council Entry'!AE98)),IF('Council Entry'!AE$4="Exponential",EXP(IF(AND(ISNUMBER('Council Entry'!AE$8),ISNUMBER('Council Entry'!AE$9)),MAX(MIN('Council Entry'!AE98,'Council Entry'!AE$9),'Council Entry'!AE$8),'Council Entry'!AE98)),IF(AND(ISNUMBER('Council Entry'!AE$8),ISNUMBER('Council Entry'!AE$9)),MAX(MIN('Council Entry'!AE98,'Council Entry'!AE$9),'Council Entry'!AE$8),'Council Entry'!AE98))))-'Council Entry'!AE$5)/('Council Entry'!AE$6-'Council Entry'!AE$5),10*((IF('Council Entry'!AE$4="Logarithm",LN(0.001+IF(AND(ISNUMBER('Council Entry'!AE$8),ISNUMBER('Council Entry'!AE$9)),MAX(MIN('Council Entry'!AE98,'Council Entry'!AE$9),'Council Entry'!AE$8),'Council Entry'!AE98)),IF('Council Entry'!AE$4="Exponential",EXP(IF(AND(ISNUMBER('Council Entry'!AE$8),ISNUMBER('Council Entry'!AE$9)),MAX(MIN('Council Entry'!AE98,'Council Entry'!AE$9),'Council Entry'!AE$8),'Council Entry'!AE98)),IF(AND(ISNUMBER('Council Entry'!AE$8),ISNUMBER('Council Entry'!AE$9)),MAX(MIN('Council Entry'!AE98,'Council Entry'!AE$9),'Council Entry'!AE$8),'Council Entry'!AE98))))-'Council Entry'!AE$5)/('Council Entry'!AE$6-'Council Entry'!AE$5)),1))),"No data"))</f>
        <v/>
      </c>
      <c r="AF98" s="13">
        <f>IF('Council Entry'!AF98="","",IFERROR(MAX(0,MIN(10,ROUND(IF('Council Entry'!AF$7="Decrease Risk",10-10*((IF('Council Entry'!AF$4="Logarithm",LN(0.001+IF(AND(ISNUMBER('Council Entry'!AF$8),ISNUMBER('Council Entry'!AF$9)),MAX(MIN('Council Entry'!AF98,'Council Entry'!AF$9),'Council Entry'!AF$8),'Council Entry'!AF98)),IF('Council Entry'!AF$4="Exponential",EXP(IF(AND(ISNUMBER('Council Entry'!AF$8),ISNUMBER('Council Entry'!AF$9)),MAX(MIN('Council Entry'!AF98,'Council Entry'!AF$9),'Council Entry'!AF$8),'Council Entry'!AF98)),IF(AND(ISNUMBER('Council Entry'!AF$8),ISNUMBER('Council Entry'!AF$9)),MAX(MIN('Council Entry'!AF98,'Council Entry'!AF$9),'Council Entry'!AF$8),'Council Entry'!AF98))))-'Council Entry'!AF$5)/('Council Entry'!AF$6-'Council Entry'!AF$5),10*((IF('Council Entry'!AF$4="Logarithm",LN(0.001+IF(AND(ISNUMBER('Council Entry'!AF$8),ISNUMBER('Council Entry'!AF$9)),MAX(MIN('Council Entry'!AF98,'Council Entry'!AF$9),'Council Entry'!AF$8),'Council Entry'!AF98)),IF('Council Entry'!AF$4="Exponential",EXP(IF(AND(ISNUMBER('Council Entry'!AF$8),ISNUMBER('Council Entry'!AF$9)),MAX(MIN('Council Entry'!AF98,'Council Entry'!AF$9),'Council Entry'!AF$8),'Council Entry'!AF98)),IF(AND(ISNUMBER('Council Entry'!AF$8),ISNUMBER('Council Entry'!AF$9)),MAX(MIN('Council Entry'!AF98,'Council Entry'!AF$9),'Council Entry'!AF$8),'Council Entry'!AF98))))-'Council Entry'!AF$5)/('Council Entry'!AF$6-'Council Entry'!AF$5)),1))),"No data"))</f>
        <v/>
      </c>
      <c r="AG98" s="13">
        <f>IF('Council Entry'!AG98="","",IFERROR(MAX(0,MIN(10,ROUND(IF('Council Entry'!AG$7="Decrease Risk",10-10*((IF('Council Entry'!AG$4="Logarithm",LN(0.001+IF(AND(ISNUMBER('Council Entry'!AG$8),ISNUMBER('Council Entry'!AG$9)),MAX(MIN('Council Entry'!AG98,'Council Entry'!AG$9),'Council Entry'!AG$8),'Council Entry'!AG98)),IF('Council Entry'!AG$4="Exponential",EXP(IF(AND(ISNUMBER('Council Entry'!AG$8),ISNUMBER('Council Entry'!AG$9)),MAX(MIN('Council Entry'!AG98,'Council Entry'!AG$9),'Council Entry'!AG$8),'Council Entry'!AG98)),IF(AND(ISNUMBER('Council Entry'!AG$8),ISNUMBER('Council Entry'!AG$9)),MAX(MIN('Council Entry'!AG98,'Council Entry'!AG$9),'Council Entry'!AG$8),'Council Entry'!AG98))))-'Council Entry'!AG$5)/('Council Entry'!AG$6-'Council Entry'!AG$5),10*((IF('Council Entry'!AG$4="Logarithm",LN(0.001+IF(AND(ISNUMBER('Council Entry'!AG$8),ISNUMBER('Council Entry'!AG$9)),MAX(MIN('Council Entry'!AG98,'Council Entry'!AG$9),'Council Entry'!AG$8),'Council Entry'!AG98)),IF('Council Entry'!AG$4="Exponential",EXP(IF(AND(ISNUMBER('Council Entry'!AG$8),ISNUMBER('Council Entry'!AG$9)),MAX(MIN('Council Entry'!AG98,'Council Entry'!AG$9),'Council Entry'!AG$8),'Council Entry'!AG98)),IF(AND(ISNUMBER('Council Entry'!AG$8),ISNUMBER('Council Entry'!AG$9)),MAX(MIN('Council Entry'!AG98,'Council Entry'!AG$9),'Council Entry'!AG$8),'Council Entry'!AG98))))-'Council Entry'!AG$5)/('Council Entry'!AG$6-'Council Entry'!AG$5)),1))),"No data"))</f>
        <v/>
      </c>
      <c r="AH98" s="13">
        <f>IF('Council Entry'!AH98="","",IFERROR(MAX(0,MIN(10,ROUND(IF('Council Entry'!AH$7="Decrease Risk",10-10*((IF('Council Entry'!AH$4="Logarithm",LN(0.001+IF(AND(ISNUMBER('Council Entry'!AH$8),ISNUMBER('Council Entry'!AH$9)),MAX(MIN('Council Entry'!AH98,'Council Entry'!AH$9),'Council Entry'!AH$8),'Council Entry'!AH98)),IF('Council Entry'!AH$4="Exponential",EXP(IF(AND(ISNUMBER('Council Entry'!AH$8),ISNUMBER('Council Entry'!AH$9)),MAX(MIN('Council Entry'!AH98,'Council Entry'!AH$9),'Council Entry'!AH$8),'Council Entry'!AH98)),IF(AND(ISNUMBER('Council Entry'!AH$8),ISNUMBER('Council Entry'!AH$9)),MAX(MIN('Council Entry'!AH98,'Council Entry'!AH$9),'Council Entry'!AH$8),'Council Entry'!AH98))))-'Council Entry'!AH$5)/('Council Entry'!AH$6-'Council Entry'!AH$5),10*((IF('Council Entry'!AH$4="Logarithm",LN(0.001+IF(AND(ISNUMBER('Council Entry'!AH$8),ISNUMBER('Council Entry'!AH$9)),MAX(MIN('Council Entry'!AH98,'Council Entry'!AH$9),'Council Entry'!AH$8),'Council Entry'!AH98)),IF('Council Entry'!AH$4="Exponential",EXP(IF(AND(ISNUMBER('Council Entry'!AH$8),ISNUMBER('Council Entry'!AH$9)),MAX(MIN('Council Entry'!AH98,'Council Entry'!AH$9),'Council Entry'!AH$8),'Council Entry'!AH98)),IF(AND(ISNUMBER('Council Entry'!AH$8),ISNUMBER('Council Entry'!AH$9)),MAX(MIN('Council Entry'!AH98,'Council Entry'!AH$9),'Council Entry'!AH$8),'Council Entry'!AH98))))-'Council Entry'!AH$5)/('Council Entry'!AH$6-'Council Entry'!AH$5)),1))),"No data"))</f>
        <v/>
      </c>
      <c r="AI98" s="13">
        <f>IF('Council Entry'!AI98="","",IFERROR(MAX(0,MIN(10,ROUND(IF('Council Entry'!AI$7="Decrease Risk",10-10*((IF('Council Entry'!AI$4="Logarithm",LN(0.001+IF(AND(ISNUMBER('Council Entry'!AI$8),ISNUMBER('Council Entry'!AI$9)),MAX(MIN('Council Entry'!AI98,'Council Entry'!AI$9),'Council Entry'!AI$8),'Council Entry'!AI98)),IF('Council Entry'!AI$4="Exponential",EXP(IF(AND(ISNUMBER('Council Entry'!AI$8),ISNUMBER('Council Entry'!AI$9)),MAX(MIN('Council Entry'!AI98,'Council Entry'!AI$9),'Council Entry'!AI$8),'Council Entry'!AI98)),IF(AND(ISNUMBER('Council Entry'!AI$8),ISNUMBER('Council Entry'!AI$9)),MAX(MIN('Council Entry'!AI98,'Council Entry'!AI$9),'Council Entry'!AI$8),'Council Entry'!AI98))))-'Council Entry'!AI$5)/('Council Entry'!AI$6-'Council Entry'!AI$5),10*((IF('Council Entry'!AI$4="Logarithm",LN(0.001+IF(AND(ISNUMBER('Council Entry'!AI$8),ISNUMBER('Council Entry'!AI$9)),MAX(MIN('Council Entry'!AI98,'Council Entry'!AI$9),'Council Entry'!AI$8),'Council Entry'!AI98)),IF('Council Entry'!AI$4="Exponential",EXP(IF(AND(ISNUMBER('Council Entry'!AI$8),ISNUMBER('Council Entry'!AI$9)),MAX(MIN('Council Entry'!AI98,'Council Entry'!AI$9),'Council Entry'!AI$8),'Council Entry'!AI98)),IF(AND(ISNUMBER('Council Entry'!AI$8),ISNUMBER('Council Entry'!AI$9)),MAX(MIN('Council Entry'!AI98,'Council Entry'!AI$9),'Council Entry'!AI$8),'Council Entry'!AI98))))-'Council Entry'!AI$5)/('Council Entry'!AI$6-'Council Entry'!AI$5)),1))),"No data"))</f>
        <v/>
      </c>
      <c r="AJ98" s="13">
        <f>IF('Council Entry'!AJ98="","",IFERROR(MAX(0,MIN(10,ROUND(IF('Council Entry'!AJ$7="Decrease Risk",10-10*((IF('Council Entry'!AJ$4="Logarithm",LN(0.001+IF(AND(ISNUMBER('Council Entry'!AJ$8),ISNUMBER('Council Entry'!AJ$9)),MAX(MIN('Council Entry'!AJ98,'Council Entry'!AJ$9),'Council Entry'!AJ$8),'Council Entry'!AJ98)),IF('Council Entry'!AJ$4="Exponential",EXP(IF(AND(ISNUMBER('Council Entry'!AJ$8),ISNUMBER('Council Entry'!AJ$9)),MAX(MIN('Council Entry'!AJ98,'Council Entry'!AJ$9),'Council Entry'!AJ$8),'Council Entry'!AJ98)),IF(AND(ISNUMBER('Council Entry'!AJ$8),ISNUMBER('Council Entry'!AJ$9)),MAX(MIN('Council Entry'!AJ98,'Council Entry'!AJ$9),'Council Entry'!AJ$8),'Council Entry'!AJ98))))-'Council Entry'!AJ$5)/('Council Entry'!AJ$6-'Council Entry'!AJ$5),10*((IF('Council Entry'!AJ$4="Logarithm",LN(0.001+IF(AND(ISNUMBER('Council Entry'!AJ$8),ISNUMBER('Council Entry'!AJ$9)),MAX(MIN('Council Entry'!AJ98,'Council Entry'!AJ$9),'Council Entry'!AJ$8),'Council Entry'!AJ98)),IF('Council Entry'!AJ$4="Exponential",EXP(IF(AND(ISNUMBER('Council Entry'!AJ$8),ISNUMBER('Council Entry'!AJ$9)),MAX(MIN('Council Entry'!AJ98,'Council Entry'!AJ$9),'Council Entry'!AJ$8),'Council Entry'!AJ98)),IF(AND(ISNUMBER('Council Entry'!AJ$8),ISNUMBER('Council Entry'!AJ$9)),MAX(MIN('Council Entry'!AJ98,'Council Entry'!AJ$9),'Council Entry'!AJ$8),'Council Entry'!AJ98))))-'Council Entry'!AJ$5)/('Council Entry'!AJ$6-'Council Entry'!AJ$5)),1))),"No data"))</f>
        <v/>
      </c>
      <c r="AK98" s="13">
        <f>IF('Council Entry'!AK98="","",IFERROR(MAX(0,MIN(10,ROUND(IF('Council Entry'!AK$7="Decrease Risk",10-10*((IF('Council Entry'!AK$4="Logarithm",LN(0.001+IF(AND(ISNUMBER('Council Entry'!AK$8),ISNUMBER('Council Entry'!AK$9)),MAX(MIN('Council Entry'!AK98,'Council Entry'!AK$9),'Council Entry'!AK$8),'Council Entry'!AK98)),IF('Council Entry'!AK$4="Exponential",EXP(IF(AND(ISNUMBER('Council Entry'!AK$8),ISNUMBER('Council Entry'!AK$9)),MAX(MIN('Council Entry'!AK98,'Council Entry'!AK$9),'Council Entry'!AK$8),'Council Entry'!AK98)),IF(AND(ISNUMBER('Council Entry'!AK$8),ISNUMBER('Council Entry'!AK$9)),MAX(MIN('Council Entry'!AK98,'Council Entry'!AK$9),'Council Entry'!AK$8),'Council Entry'!AK98))))-'Council Entry'!AK$5)/('Council Entry'!AK$6-'Council Entry'!AK$5),10*((IF('Council Entry'!AK$4="Logarithm",LN(0.001+IF(AND(ISNUMBER('Council Entry'!AK$8),ISNUMBER('Council Entry'!AK$9)),MAX(MIN('Council Entry'!AK98,'Council Entry'!AK$9),'Council Entry'!AK$8),'Council Entry'!AK98)),IF('Council Entry'!AK$4="Exponential",EXP(IF(AND(ISNUMBER('Council Entry'!AK$8),ISNUMBER('Council Entry'!AK$9)),MAX(MIN('Council Entry'!AK98,'Council Entry'!AK$9),'Council Entry'!AK$8),'Council Entry'!AK98)),IF(AND(ISNUMBER('Council Entry'!AK$8),ISNUMBER('Council Entry'!AK$9)),MAX(MIN('Council Entry'!AK98,'Council Entry'!AK$9),'Council Entry'!AK$8),'Council Entry'!AK98))))-'Council Entry'!AK$5)/('Council Entry'!AK$6-'Council Entry'!AK$5)),1))),"No data"))</f>
        <v/>
      </c>
      <c r="AL98" s="13">
        <f>IF('Council Entry'!AL98="","",IFERROR(MAX(0,MIN(10,ROUND(IF('Council Entry'!AL$7="Decrease Risk",10-10*((IF('Council Entry'!AL$4="Logarithm",LN(0.001+IF(AND(ISNUMBER('Council Entry'!AL$8),ISNUMBER('Council Entry'!AL$9)),MAX(MIN('Council Entry'!AL98,'Council Entry'!AL$9),'Council Entry'!AL$8),'Council Entry'!AL98)),IF('Council Entry'!AL$4="Exponential",EXP(IF(AND(ISNUMBER('Council Entry'!AL$8),ISNUMBER('Council Entry'!AL$9)),MAX(MIN('Council Entry'!AL98,'Council Entry'!AL$9),'Council Entry'!AL$8),'Council Entry'!AL98)),IF(AND(ISNUMBER('Council Entry'!AL$8),ISNUMBER('Council Entry'!AL$9)),MAX(MIN('Council Entry'!AL98,'Council Entry'!AL$9),'Council Entry'!AL$8),'Council Entry'!AL98))))-'Council Entry'!AL$5)/('Council Entry'!AL$6-'Council Entry'!AL$5),10*((IF('Council Entry'!AL$4="Logarithm",LN(0.001+IF(AND(ISNUMBER('Council Entry'!AL$8),ISNUMBER('Council Entry'!AL$9)),MAX(MIN('Council Entry'!AL98,'Council Entry'!AL$9),'Council Entry'!AL$8),'Council Entry'!AL98)),IF('Council Entry'!AL$4="Exponential",EXP(IF(AND(ISNUMBER('Council Entry'!AL$8),ISNUMBER('Council Entry'!AL$9)),MAX(MIN('Council Entry'!AL98,'Council Entry'!AL$9),'Council Entry'!AL$8),'Council Entry'!AL98)),IF(AND(ISNUMBER('Council Entry'!AL$8),ISNUMBER('Council Entry'!AL$9)),MAX(MIN('Council Entry'!AL98,'Council Entry'!AL$9),'Council Entry'!AL$8),'Council Entry'!AL98))))-'Council Entry'!AL$5)/('Council Entry'!AL$6-'Council Entry'!AL$5)),1))),"No data"))</f>
        <v/>
      </c>
      <c r="AM98" s="13">
        <f>IF('Council Entry'!AM98="","",IFERROR(MAX(0,MIN(10,ROUND(IF('Council Entry'!AM$7="Decrease Risk",10-10*((IF('Council Entry'!AM$4="Logarithm",LN(0.001+IF(AND(ISNUMBER('Council Entry'!AM$8),ISNUMBER('Council Entry'!AM$9)),MAX(MIN('Council Entry'!AM98,'Council Entry'!AM$9),'Council Entry'!AM$8),'Council Entry'!AM98)),IF('Council Entry'!AM$4="Exponential",EXP(IF(AND(ISNUMBER('Council Entry'!AM$8),ISNUMBER('Council Entry'!AM$9)),MAX(MIN('Council Entry'!AM98,'Council Entry'!AM$9),'Council Entry'!AM$8),'Council Entry'!AM98)),IF(AND(ISNUMBER('Council Entry'!AM$8),ISNUMBER('Council Entry'!AM$9)),MAX(MIN('Council Entry'!AM98,'Council Entry'!AM$9),'Council Entry'!AM$8),'Council Entry'!AM98))))-'Council Entry'!AM$5)/('Council Entry'!AM$6-'Council Entry'!AM$5),10*((IF('Council Entry'!AM$4="Logarithm",LN(0.001+IF(AND(ISNUMBER('Council Entry'!AM$8),ISNUMBER('Council Entry'!AM$9)),MAX(MIN('Council Entry'!AM98,'Council Entry'!AM$9),'Council Entry'!AM$8),'Council Entry'!AM98)),IF('Council Entry'!AM$4="Exponential",EXP(IF(AND(ISNUMBER('Council Entry'!AM$8),ISNUMBER('Council Entry'!AM$9)),MAX(MIN('Council Entry'!AM98,'Council Entry'!AM$9),'Council Entry'!AM$8),'Council Entry'!AM98)),IF(AND(ISNUMBER('Council Entry'!AM$8),ISNUMBER('Council Entry'!AM$9)),MAX(MIN('Council Entry'!AM98,'Council Entry'!AM$9),'Council Entry'!AM$8),'Council Entry'!AM98))))-'Council Entry'!AM$5)/('Council Entry'!AM$6-'Council Entry'!AM$5)),1))),"No data"))</f>
        <v/>
      </c>
      <c r="AN98" s="13">
        <f>IF('Council Entry'!AN98="","",IFERROR(MAX(0,MIN(10,ROUND(IF('Council Entry'!AN$7="Decrease Risk",10-10*((IF('Council Entry'!AN$4="Logarithm",LN(0.001+IF(AND(ISNUMBER('Council Entry'!AN$8),ISNUMBER('Council Entry'!AN$9)),MAX(MIN('Council Entry'!AN98,'Council Entry'!AN$9),'Council Entry'!AN$8),'Council Entry'!AN98)),IF('Council Entry'!AN$4="Exponential",EXP(IF(AND(ISNUMBER('Council Entry'!AN$8),ISNUMBER('Council Entry'!AN$9)),MAX(MIN('Council Entry'!AN98,'Council Entry'!AN$9),'Council Entry'!AN$8),'Council Entry'!AN98)),IF(AND(ISNUMBER('Council Entry'!AN$8),ISNUMBER('Council Entry'!AN$9)),MAX(MIN('Council Entry'!AN98,'Council Entry'!AN$9),'Council Entry'!AN$8),'Council Entry'!AN98))))-'Council Entry'!AN$5)/('Council Entry'!AN$6-'Council Entry'!AN$5),10*((IF('Council Entry'!AN$4="Logarithm",LN(0.001+IF(AND(ISNUMBER('Council Entry'!AN$8),ISNUMBER('Council Entry'!AN$9)),MAX(MIN('Council Entry'!AN98,'Council Entry'!AN$9),'Council Entry'!AN$8),'Council Entry'!AN98)),IF('Council Entry'!AN$4="Exponential",EXP(IF(AND(ISNUMBER('Council Entry'!AN$8),ISNUMBER('Council Entry'!AN$9)),MAX(MIN('Council Entry'!AN98,'Council Entry'!AN$9),'Council Entry'!AN$8),'Council Entry'!AN98)),IF(AND(ISNUMBER('Council Entry'!AN$8),ISNUMBER('Council Entry'!AN$9)),MAX(MIN('Council Entry'!AN98,'Council Entry'!AN$9),'Council Entry'!AN$8),'Council Entry'!AN98))))-'Council Entry'!AN$5)/('Council Entry'!AN$6-'Council Entry'!AN$5)),1))),"No data"))</f>
        <v/>
      </c>
      <c r="AO98" s="13">
        <f>IF('Council Entry'!AO98="","",IFERROR(MAX(0,MIN(10,ROUND(IF('Council Entry'!AO$7="Decrease Risk",10-10*((IF('Council Entry'!AO$4="Logarithm",LN(0.001+IF(AND(ISNUMBER('Council Entry'!AO$8),ISNUMBER('Council Entry'!AO$9)),MAX(MIN('Council Entry'!AO98,'Council Entry'!AO$9),'Council Entry'!AO$8),'Council Entry'!AO98)),IF('Council Entry'!AO$4="Exponential",EXP(IF(AND(ISNUMBER('Council Entry'!AO$8),ISNUMBER('Council Entry'!AO$9)),MAX(MIN('Council Entry'!AO98,'Council Entry'!AO$9),'Council Entry'!AO$8),'Council Entry'!AO98)),IF(AND(ISNUMBER('Council Entry'!AO$8),ISNUMBER('Council Entry'!AO$9)),MAX(MIN('Council Entry'!AO98,'Council Entry'!AO$9),'Council Entry'!AO$8),'Council Entry'!AO98))))-'Council Entry'!AO$5)/('Council Entry'!AO$6-'Council Entry'!AO$5),10*((IF('Council Entry'!AO$4="Logarithm",LN(0.001+IF(AND(ISNUMBER('Council Entry'!AO$8),ISNUMBER('Council Entry'!AO$9)),MAX(MIN('Council Entry'!AO98,'Council Entry'!AO$9),'Council Entry'!AO$8),'Council Entry'!AO98)),IF('Council Entry'!AO$4="Exponential",EXP(IF(AND(ISNUMBER('Council Entry'!AO$8),ISNUMBER('Council Entry'!AO$9)),MAX(MIN('Council Entry'!AO98,'Council Entry'!AO$9),'Council Entry'!AO$8),'Council Entry'!AO98)),IF(AND(ISNUMBER('Council Entry'!AO$8),ISNUMBER('Council Entry'!AO$9)),MAX(MIN('Council Entry'!AO98,'Council Entry'!AO$9),'Council Entry'!AO$8),'Council Entry'!AO98))))-'Council Entry'!AO$5)/('Council Entry'!AO$6-'Council Entry'!AO$5)),1))),"No data"))</f>
        <v/>
      </c>
      <c r="AP98" s="13">
        <f>IF('Council Entry'!AP98="","",IFERROR(MAX(0,MIN(10,ROUND(IF('Council Entry'!AP$7="Decrease Risk",10-10*((IF('Council Entry'!AP$4="Logarithm",LN(0.001+IF(AND(ISNUMBER('Council Entry'!AP$8),ISNUMBER('Council Entry'!AP$9)),MAX(MIN('Council Entry'!AP98,'Council Entry'!AP$9),'Council Entry'!AP$8),'Council Entry'!AP98)),IF('Council Entry'!AP$4="Exponential",EXP(IF(AND(ISNUMBER('Council Entry'!AP$8),ISNUMBER('Council Entry'!AP$9)),MAX(MIN('Council Entry'!AP98,'Council Entry'!AP$9),'Council Entry'!AP$8),'Council Entry'!AP98)),IF(AND(ISNUMBER('Council Entry'!AP$8),ISNUMBER('Council Entry'!AP$9)),MAX(MIN('Council Entry'!AP98,'Council Entry'!AP$9),'Council Entry'!AP$8),'Council Entry'!AP98))))-'Council Entry'!AP$5)/('Council Entry'!AP$6-'Council Entry'!AP$5),10*((IF('Council Entry'!AP$4="Logarithm",LN(0.001+IF(AND(ISNUMBER('Council Entry'!AP$8),ISNUMBER('Council Entry'!AP$9)),MAX(MIN('Council Entry'!AP98,'Council Entry'!AP$9),'Council Entry'!AP$8),'Council Entry'!AP98)),IF('Council Entry'!AP$4="Exponential",EXP(IF(AND(ISNUMBER('Council Entry'!AP$8),ISNUMBER('Council Entry'!AP$9)),MAX(MIN('Council Entry'!AP98,'Council Entry'!AP$9),'Council Entry'!AP$8),'Council Entry'!AP98)),IF(AND(ISNUMBER('Council Entry'!AP$8),ISNUMBER('Council Entry'!AP$9)),MAX(MIN('Council Entry'!AP98,'Council Entry'!AP$9),'Council Entry'!AP$8),'Council Entry'!AP98))))-'Council Entry'!AP$5)/('Council Entry'!AP$6-'Council Entry'!AP$5)),1))),"No data"))</f>
        <v/>
      </c>
      <c r="AQ98" s="13">
        <f>IF('Council Entry'!AQ98="","",IFERROR(MAX(0,MIN(10,ROUND(IF('Council Entry'!AQ$7="Decrease Risk",10-10*((IF('Council Entry'!AQ$4="Logarithm",LN(0.001+IF(AND(ISNUMBER('Council Entry'!AQ$8),ISNUMBER('Council Entry'!AQ$9)),MAX(MIN('Council Entry'!AQ98,'Council Entry'!AQ$9),'Council Entry'!AQ$8),'Council Entry'!AQ98)),IF('Council Entry'!AQ$4="Exponential",EXP(IF(AND(ISNUMBER('Council Entry'!AQ$8),ISNUMBER('Council Entry'!AQ$9)),MAX(MIN('Council Entry'!AQ98,'Council Entry'!AQ$9),'Council Entry'!AQ$8),'Council Entry'!AQ98)),IF(AND(ISNUMBER('Council Entry'!AQ$8),ISNUMBER('Council Entry'!AQ$9)),MAX(MIN('Council Entry'!AQ98,'Council Entry'!AQ$9),'Council Entry'!AQ$8),'Council Entry'!AQ98))))-'Council Entry'!AQ$5)/('Council Entry'!AQ$6-'Council Entry'!AQ$5),10*((IF('Council Entry'!AQ$4="Logarithm",LN(0.001+IF(AND(ISNUMBER('Council Entry'!AQ$8),ISNUMBER('Council Entry'!AQ$9)),MAX(MIN('Council Entry'!AQ98,'Council Entry'!AQ$9),'Council Entry'!AQ$8),'Council Entry'!AQ98)),IF('Council Entry'!AQ$4="Exponential",EXP(IF(AND(ISNUMBER('Council Entry'!AQ$8),ISNUMBER('Council Entry'!AQ$9)),MAX(MIN('Council Entry'!AQ98,'Council Entry'!AQ$9),'Council Entry'!AQ$8),'Council Entry'!AQ98)),IF(AND(ISNUMBER('Council Entry'!AQ$8),ISNUMBER('Council Entry'!AQ$9)),MAX(MIN('Council Entry'!AQ98,'Council Entry'!AQ$9),'Council Entry'!AQ$8),'Council Entry'!AQ98))))-'Council Entry'!AQ$5)/('Council Entry'!AQ$6-'Council Entry'!AQ$5)),1))),"No data"))</f>
        <v/>
      </c>
      <c r="AR98" s="13">
        <f>IF('Council Entry'!AR98="","",IFERROR(MAX(0,MIN(10,ROUND(IF('Council Entry'!AR$7="Decrease Risk",10-10*((IF('Council Entry'!AR$4="Logarithm",LN(0.001+IF(AND(ISNUMBER('Council Entry'!AR$8),ISNUMBER('Council Entry'!AR$9)),MAX(MIN('Council Entry'!AR98,'Council Entry'!AR$9),'Council Entry'!AR$8),'Council Entry'!AR98)),IF('Council Entry'!AR$4="Exponential",EXP(IF(AND(ISNUMBER('Council Entry'!AR$8),ISNUMBER('Council Entry'!AR$9)),MAX(MIN('Council Entry'!AR98,'Council Entry'!AR$9),'Council Entry'!AR$8),'Council Entry'!AR98)),IF(AND(ISNUMBER('Council Entry'!AR$8),ISNUMBER('Council Entry'!AR$9)),MAX(MIN('Council Entry'!AR98,'Council Entry'!AR$9),'Council Entry'!AR$8),'Council Entry'!AR98))))-'Council Entry'!AR$5)/('Council Entry'!AR$6-'Council Entry'!AR$5),10*((IF('Council Entry'!AR$4="Logarithm",LN(0.001+IF(AND(ISNUMBER('Council Entry'!AR$8),ISNUMBER('Council Entry'!AR$9)),MAX(MIN('Council Entry'!AR98,'Council Entry'!AR$9),'Council Entry'!AR$8),'Council Entry'!AR98)),IF('Council Entry'!AR$4="Exponential",EXP(IF(AND(ISNUMBER('Council Entry'!AR$8),ISNUMBER('Council Entry'!AR$9)),MAX(MIN('Council Entry'!AR98,'Council Entry'!AR$9),'Council Entry'!AR$8),'Council Entry'!AR98)),IF(AND(ISNUMBER('Council Entry'!AR$8),ISNUMBER('Council Entry'!AR$9)),MAX(MIN('Council Entry'!AR98,'Council Entry'!AR$9),'Council Entry'!AR$8),'Council Entry'!AR98))))-'Council Entry'!AR$5)/('Council Entry'!AR$6-'Council Entry'!AR$5)),1))),"No data"))</f>
        <v/>
      </c>
      <c r="AS98" s="13">
        <f>IF('Council Entry'!AS98="","",IFERROR(MAX(0,MIN(10,ROUND(IF('Council Entry'!AS$7="Decrease Risk",10-10*((IF('Council Entry'!AS$4="Logarithm",LN(0.001+IF(AND(ISNUMBER('Council Entry'!AS$8),ISNUMBER('Council Entry'!AS$9)),MAX(MIN('Council Entry'!AS98,'Council Entry'!AS$9),'Council Entry'!AS$8),'Council Entry'!AS98)),IF('Council Entry'!AS$4="Exponential",EXP(IF(AND(ISNUMBER('Council Entry'!AS$8),ISNUMBER('Council Entry'!AS$9)),MAX(MIN('Council Entry'!AS98,'Council Entry'!AS$9),'Council Entry'!AS$8),'Council Entry'!AS98)),IF(AND(ISNUMBER('Council Entry'!AS$8),ISNUMBER('Council Entry'!AS$9)),MAX(MIN('Council Entry'!AS98,'Council Entry'!AS$9),'Council Entry'!AS$8),'Council Entry'!AS98))))-'Council Entry'!AS$5)/('Council Entry'!AS$6-'Council Entry'!AS$5),10*((IF('Council Entry'!AS$4="Logarithm",LN(0.001+IF(AND(ISNUMBER('Council Entry'!AS$8),ISNUMBER('Council Entry'!AS$9)),MAX(MIN('Council Entry'!AS98,'Council Entry'!AS$9),'Council Entry'!AS$8),'Council Entry'!AS98)),IF('Council Entry'!AS$4="Exponential",EXP(IF(AND(ISNUMBER('Council Entry'!AS$8),ISNUMBER('Council Entry'!AS$9)),MAX(MIN('Council Entry'!AS98,'Council Entry'!AS$9),'Council Entry'!AS$8),'Council Entry'!AS98)),IF(AND(ISNUMBER('Council Entry'!AS$8),ISNUMBER('Council Entry'!AS$9)),MAX(MIN('Council Entry'!AS98,'Council Entry'!AS$9),'Council Entry'!AS$8),'Council Entry'!AS98))))-'Council Entry'!AS$5)/('Council Entry'!AS$6-'Council Entry'!AS$5)),1))),"No data"))</f>
        <v/>
      </c>
      <c r="AT98" s="13">
        <f>IF('Council Entry'!AT98="","",IFERROR(MAX(0,MIN(10,ROUND(IF('Council Entry'!AT$7="Decrease Risk",10-10*((IF('Council Entry'!AT$4="Logarithm",LN(0.001+IF(AND(ISNUMBER('Council Entry'!AT$8),ISNUMBER('Council Entry'!AT$9)),MAX(MIN('Council Entry'!AT98,'Council Entry'!AT$9),'Council Entry'!AT$8),'Council Entry'!AT98)),IF('Council Entry'!AT$4="Exponential",EXP(IF(AND(ISNUMBER('Council Entry'!AT$8),ISNUMBER('Council Entry'!AT$9)),MAX(MIN('Council Entry'!AT98,'Council Entry'!AT$9),'Council Entry'!AT$8),'Council Entry'!AT98)),IF(AND(ISNUMBER('Council Entry'!AT$8),ISNUMBER('Council Entry'!AT$9)),MAX(MIN('Council Entry'!AT98,'Council Entry'!AT$9),'Council Entry'!AT$8),'Council Entry'!AT98))))-'Council Entry'!AT$5)/('Council Entry'!AT$6-'Council Entry'!AT$5),10*((IF('Council Entry'!AT$4="Logarithm",LN(0.001+IF(AND(ISNUMBER('Council Entry'!AT$8),ISNUMBER('Council Entry'!AT$9)),MAX(MIN('Council Entry'!AT98,'Council Entry'!AT$9),'Council Entry'!AT$8),'Council Entry'!AT98)),IF('Council Entry'!AT$4="Exponential",EXP(IF(AND(ISNUMBER('Council Entry'!AT$8),ISNUMBER('Council Entry'!AT$9)),MAX(MIN('Council Entry'!AT98,'Council Entry'!AT$9),'Council Entry'!AT$8),'Council Entry'!AT98)),IF(AND(ISNUMBER('Council Entry'!AT$8),ISNUMBER('Council Entry'!AT$9)),MAX(MIN('Council Entry'!AT98,'Council Entry'!AT$9),'Council Entry'!AT$8),'Council Entry'!AT98))))-'Council Entry'!AT$5)/('Council Entry'!AT$6-'Council Entry'!AT$5)),1))),"No data"))</f>
        <v/>
      </c>
      <c r="AU98" s="13">
        <f>IF('Council Entry'!AU98="","",IFERROR(MAX(0,MIN(10,ROUND(IF('Council Entry'!AU$7="Decrease Risk",10-10*((IF('Council Entry'!AU$4="Logarithm",LN(0.001+IF(AND(ISNUMBER('Council Entry'!AU$8),ISNUMBER('Council Entry'!AU$9)),MAX(MIN('Council Entry'!AU98,'Council Entry'!AU$9),'Council Entry'!AU$8),'Council Entry'!AU98)),IF('Council Entry'!AU$4="Exponential",EXP(IF(AND(ISNUMBER('Council Entry'!AU$8),ISNUMBER('Council Entry'!AU$9)),MAX(MIN('Council Entry'!AU98,'Council Entry'!AU$9),'Council Entry'!AU$8),'Council Entry'!AU98)),IF(AND(ISNUMBER('Council Entry'!AU$8),ISNUMBER('Council Entry'!AU$9)),MAX(MIN('Council Entry'!AU98,'Council Entry'!AU$9),'Council Entry'!AU$8),'Council Entry'!AU98))))-'Council Entry'!AU$5)/('Council Entry'!AU$6-'Council Entry'!AU$5),10*((IF('Council Entry'!AU$4="Logarithm",LN(0.001+IF(AND(ISNUMBER('Council Entry'!AU$8),ISNUMBER('Council Entry'!AU$9)),MAX(MIN('Council Entry'!AU98,'Council Entry'!AU$9),'Council Entry'!AU$8),'Council Entry'!AU98)),IF('Council Entry'!AU$4="Exponential",EXP(IF(AND(ISNUMBER('Council Entry'!AU$8),ISNUMBER('Council Entry'!AU$9)),MAX(MIN('Council Entry'!AU98,'Council Entry'!AU$9),'Council Entry'!AU$8),'Council Entry'!AU98)),IF(AND(ISNUMBER('Council Entry'!AU$8),ISNUMBER('Council Entry'!AU$9)),MAX(MIN('Council Entry'!AU98,'Council Entry'!AU$9),'Council Entry'!AU$8),'Council Entry'!AU98))))-'Council Entry'!AU$5)/('Council Entry'!AU$6-'Council Entry'!AU$5)),1))),"No data"))</f>
        <v/>
      </c>
      <c r="AV98" s="13">
        <f>IF('Council Entry'!AV98="","",IFERROR(MAX(0,MIN(10,ROUND(IF('Council Entry'!AV$7="Decrease Risk",10-10*((IF('Council Entry'!AV$4="Logarithm",LN(0.001+IF(AND(ISNUMBER('Council Entry'!AV$8),ISNUMBER('Council Entry'!AV$9)),MAX(MIN('Council Entry'!AV98,'Council Entry'!AV$9),'Council Entry'!AV$8),'Council Entry'!AV98)),IF('Council Entry'!AV$4="Exponential",EXP(IF(AND(ISNUMBER('Council Entry'!AV$8),ISNUMBER('Council Entry'!AV$9)),MAX(MIN('Council Entry'!AV98,'Council Entry'!AV$9),'Council Entry'!AV$8),'Council Entry'!AV98)),IF(AND(ISNUMBER('Council Entry'!AV$8),ISNUMBER('Council Entry'!AV$9)),MAX(MIN('Council Entry'!AV98,'Council Entry'!AV$9),'Council Entry'!AV$8),'Council Entry'!AV98))))-'Council Entry'!AV$5)/('Council Entry'!AV$6-'Council Entry'!AV$5),10*((IF('Council Entry'!AV$4="Logarithm",LN(0.001+IF(AND(ISNUMBER('Council Entry'!AV$8),ISNUMBER('Council Entry'!AV$9)),MAX(MIN('Council Entry'!AV98,'Council Entry'!AV$9),'Council Entry'!AV$8),'Council Entry'!AV98)),IF('Council Entry'!AV$4="Exponential",EXP(IF(AND(ISNUMBER('Council Entry'!AV$8),ISNUMBER('Council Entry'!AV$9)),MAX(MIN('Council Entry'!AV98,'Council Entry'!AV$9),'Council Entry'!AV$8),'Council Entry'!AV98)),IF(AND(ISNUMBER('Council Entry'!AV$8),ISNUMBER('Council Entry'!AV$9)),MAX(MIN('Council Entry'!AV98,'Council Entry'!AV$9),'Council Entry'!AV$8),'Council Entry'!AV98))))-'Council Entry'!AV$5)/('Council Entry'!AV$6-'Council Entry'!AV$5)),1))),"No data"))</f>
        <v/>
      </c>
      <c r="AW98" s="13">
        <f>IF('Council Entry'!AW98="","",IFERROR(MAX(0,MIN(10,ROUND(IF('Council Entry'!AW$7="Decrease Risk",10-10*((IF('Council Entry'!AW$4="Logarithm",LN(0.001+IF(AND(ISNUMBER('Council Entry'!AW$8),ISNUMBER('Council Entry'!AW$9)),MAX(MIN('Council Entry'!AW98,'Council Entry'!AW$9),'Council Entry'!AW$8),'Council Entry'!AW98)),IF('Council Entry'!AW$4="Exponential",EXP(IF(AND(ISNUMBER('Council Entry'!AW$8),ISNUMBER('Council Entry'!AW$9)),MAX(MIN('Council Entry'!AW98,'Council Entry'!AW$9),'Council Entry'!AW$8),'Council Entry'!AW98)),IF(AND(ISNUMBER('Council Entry'!AW$8),ISNUMBER('Council Entry'!AW$9)),MAX(MIN('Council Entry'!AW98,'Council Entry'!AW$9),'Council Entry'!AW$8),'Council Entry'!AW98))))-'Council Entry'!AW$5)/('Council Entry'!AW$6-'Council Entry'!AW$5),10*((IF('Council Entry'!AW$4="Logarithm",LN(0.001+IF(AND(ISNUMBER('Council Entry'!AW$8),ISNUMBER('Council Entry'!AW$9)),MAX(MIN('Council Entry'!AW98,'Council Entry'!AW$9),'Council Entry'!AW$8),'Council Entry'!AW98)),IF('Council Entry'!AW$4="Exponential",EXP(IF(AND(ISNUMBER('Council Entry'!AW$8),ISNUMBER('Council Entry'!AW$9)),MAX(MIN('Council Entry'!AW98,'Council Entry'!AW$9),'Council Entry'!AW$8),'Council Entry'!AW98)),IF(AND(ISNUMBER('Council Entry'!AW$8),ISNUMBER('Council Entry'!AW$9)),MAX(MIN('Council Entry'!AW98,'Council Entry'!AW$9),'Council Entry'!AW$8),'Council Entry'!AW98))))-'Council Entry'!AW$5)/('Council Entry'!AW$6-'Council Entry'!AW$5)),1))),"No data"))</f>
        <v/>
      </c>
      <c r="AX98" s="13">
        <f>IF('Council Entry'!AX98="","",IFERROR(MAX(0,MIN(10,ROUND(IF('Council Entry'!AX$7="Decrease Risk",10-10*((IF('Council Entry'!AX$4="Logarithm",LN(0.001+IF(AND(ISNUMBER('Council Entry'!AX$8),ISNUMBER('Council Entry'!AX$9)),MAX(MIN('Council Entry'!AX98,'Council Entry'!AX$9),'Council Entry'!AX$8),'Council Entry'!AX98)),IF('Council Entry'!AX$4="Exponential",EXP(IF(AND(ISNUMBER('Council Entry'!AX$8),ISNUMBER('Council Entry'!AX$9)),MAX(MIN('Council Entry'!AX98,'Council Entry'!AX$9),'Council Entry'!AX$8),'Council Entry'!AX98)),IF(AND(ISNUMBER('Council Entry'!AX$8),ISNUMBER('Council Entry'!AX$9)),MAX(MIN('Council Entry'!AX98,'Council Entry'!AX$9),'Council Entry'!AX$8),'Council Entry'!AX98))))-'Council Entry'!AX$5)/('Council Entry'!AX$6-'Council Entry'!AX$5),10*((IF('Council Entry'!AX$4="Logarithm",LN(0.001+IF(AND(ISNUMBER('Council Entry'!AX$8),ISNUMBER('Council Entry'!AX$9)),MAX(MIN('Council Entry'!AX98,'Council Entry'!AX$9),'Council Entry'!AX$8),'Council Entry'!AX98)),IF('Council Entry'!AX$4="Exponential",EXP(IF(AND(ISNUMBER('Council Entry'!AX$8),ISNUMBER('Council Entry'!AX$9)),MAX(MIN('Council Entry'!AX98,'Council Entry'!AX$9),'Council Entry'!AX$8),'Council Entry'!AX98)),IF(AND(ISNUMBER('Council Entry'!AX$8),ISNUMBER('Council Entry'!AX$9)),MAX(MIN('Council Entry'!AX98,'Council Entry'!AX$9),'Council Entry'!AX$8),'Council Entry'!AX98))))-'Council Entry'!AX$5)/('Council Entry'!AX$6-'Council Entry'!AX$5)),1))),"No data"))</f>
        <v/>
      </c>
      <c r="AY98" s="13">
        <f>IF('Council Entry'!AY98="","",IFERROR(MAX(0,MIN(10,ROUND(IF('Council Entry'!AY$7="Decrease Risk",10-10*((IF('Council Entry'!AY$4="Logarithm",LN(0.001+IF(AND(ISNUMBER('Council Entry'!AY$8),ISNUMBER('Council Entry'!AY$9)),MAX(MIN('Council Entry'!AY98,'Council Entry'!AY$9),'Council Entry'!AY$8),'Council Entry'!AY98)),IF('Council Entry'!AY$4="Exponential",EXP(IF(AND(ISNUMBER('Council Entry'!AY$8),ISNUMBER('Council Entry'!AY$9)),MAX(MIN('Council Entry'!AY98,'Council Entry'!AY$9),'Council Entry'!AY$8),'Council Entry'!AY98)),IF(AND(ISNUMBER('Council Entry'!AY$8),ISNUMBER('Council Entry'!AY$9)),MAX(MIN('Council Entry'!AY98,'Council Entry'!AY$9),'Council Entry'!AY$8),'Council Entry'!AY98))))-'Council Entry'!AY$5)/('Council Entry'!AY$6-'Council Entry'!AY$5),10*((IF('Council Entry'!AY$4="Logarithm",LN(0.001+IF(AND(ISNUMBER('Council Entry'!AY$8),ISNUMBER('Council Entry'!AY$9)),MAX(MIN('Council Entry'!AY98,'Council Entry'!AY$9),'Council Entry'!AY$8),'Council Entry'!AY98)),IF('Council Entry'!AY$4="Exponential",EXP(IF(AND(ISNUMBER('Council Entry'!AY$8),ISNUMBER('Council Entry'!AY$9)),MAX(MIN('Council Entry'!AY98,'Council Entry'!AY$9),'Council Entry'!AY$8),'Council Entry'!AY98)),IF(AND(ISNUMBER('Council Entry'!AY$8),ISNUMBER('Council Entry'!AY$9)),MAX(MIN('Council Entry'!AY98,'Council Entry'!AY$9),'Council Entry'!AY$8),'Council Entry'!AY98))))-'Council Entry'!AY$5)/('Council Entry'!AY$6-'Council Entry'!AY$5)),1))),"No data"))</f>
        <v/>
      </c>
      <c r="AZ98" s="13">
        <f>IF('Council Entry'!AZ98="","",IFERROR(MAX(0,MIN(10,ROUND(IF('Council Entry'!AZ$7="Decrease Risk",10-10*((IF('Council Entry'!AZ$4="Logarithm",LN(0.001+IF(AND(ISNUMBER('Council Entry'!AZ$8),ISNUMBER('Council Entry'!AZ$9)),MAX(MIN('Council Entry'!AZ98,'Council Entry'!AZ$9),'Council Entry'!AZ$8),'Council Entry'!AZ98)),IF('Council Entry'!AZ$4="Exponential",EXP(IF(AND(ISNUMBER('Council Entry'!AZ$8),ISNUMBER('Council Entry'!AZ$9)),MAX(MIN('Council Entry'!AZ98,'Council Entry'!AZ$9),'Council Entry'!AZ$8),'Council Entry'!AZ98)),IF(AND(ISNUMBER('Council Entry'!AZ$8),ISNUMBER('Council Entry'!AZ$9)),MAX(MIN('Council Entry'!AZ98,'Council Entry'!AZ$9),'Council Entry'!AZ$8),'Council Entry'!AZ98))))-'Council Entry'!AZ$5)/('Council Entry'!AZ$6-'Council Entry'!AZ$5),10*((IF('Council Entry'!AZ$4="Logarithm",LN(0.001+IF(AND(ISNUMBER('Council Entry'!AZ$8),ISNUMBER('Council Entry'!AZ$9)),MAX(MIN('Council Entry'!AZ98,'Council Entry'!AZ$9),'Council Entry'!AZ$8),'Council Entry'!AZ98)),IF('Council Entry'!AZ$4="Exponential",EXP(IF(AND(ISNUMBER('Council Entry'!AZ$8),ISNUMBER('Council Entry'!AZ$9)),MAX(MIN('Council Entry'!AZ98,'Council Entry'!AZ$9),'Council Entry'!AZ$8),'Council Entry'!AZ98)),IF(AND(ISNUMBER('Council Entry'!AZ$8),ISNUMBER('Council Entry'!AZ$9)),MAX(MIN('Council Entry'!AZ98,'Council Entry'!AZ$9),'Council Entry'!AZ$8),'Council Entry'!AZ98))))-'Council Entry'!AZ$5)/('Council Entry'!AZ$6-'Council Entry'!AZ$5)),1))),"No data"))</f>
        <v/>
      </c>
      <c r="BA98" s="13">
        <f>IF('Council Entry'!BA98="","",IFERROR(MAX(0,MIN(10,ROUND(IF('Council Entry'!BA$7="Decrease Risk",10-10*((IF('Council Entry'!BA$4="Logarithm",LN(0.001+IF(AND(ISNUMBER('Council Entry'!BA$8),ISNUMBER('Council Entry'!BA$9)),MAX(MIN('Council Entry'!BA98,'Council Entry'!BA$9),'Council Entry'!BA$8),'Council Entry'!BA98)),IF('Council Entry'!BA$4="Exponential",EXP(IF(AND(ISNUMBER('Council Entry'!BA$8),ISNUMBER('Council Entry'!BA$9)),MAX(MIN('Council Entry'!BA98,'Council Entry'!BA$9),'Council Entry'!BA$8),'Council Entry'!BA98)),IF(AND(ISNUMBER('Council Entry'!BA$8),ISNUMBER('Council Entry'!BA$9)),MAX(MIN('Council Entry'!BA98,'Council Entry'!BA$9),'Council Entry'!BA$8),'Council Entry'!BA98))))-'Council Entry'!BA$5)/('Council Entry'!BA$6-'Council Entry'!BA$5),10*((IF('Council Entry'!BA$4="Logarithm",LN(0.001+IF(AND(ISNUMBER('Council Entry'!BA$8),ISNUMBER('Council Entry'!BA$9)),MAX(MIN('Council Entry'!BA98,'Council Entry'!BA$9),'Council Entry'!BA$8),'Council Entry'!BA98)),IF('Council Entry'!BA$4="Exponential",EXP(IF(AND(ISNUMBER('Council Entry'!BA$8),ISNUMBER('Council Entry'!BA$9)),MAX(MIN('Council Entry'!BA98,'Council Entry'!BA$9),'Council Entry'!BA$8),'Council Entry'!BA98)),IF(AND(ISNUMBER('Council Entry'!BA$8),ISNUMBER('Council Entry'!BA$9)),MAX(MIN('Council Entry'!BA98,'Council Entry'!BA$9),'Council Entry'!BA$8),'Council Entry'!BA98))))-'Council Entry'!BA$5)/('Council Entry'!BA$6-'Council Entry'!BA$5)),1))),"No data"))</f>
        <v/>
      </c>
      <c r="BB98" s="13">
        <f>IF('Council Entry'!BB98="","",IFERROR(MAX(0,MIN(10,ROUND(IF('Council Entry'!BB$7="Decrease Risk",10-10*((IF('Council Entry'!BB$4="Logarithm",LN(0.001+IF(AND(ISNUMBER('Council Entry'!BB$8),ISNUMBER('Council Entry'!BB$9)),MAX(MIN('Council Entry'!BB98,'Council Entry'!BB$9),'Council Entry'!BB$8),'Council Entry'!BB98)),IF('Council Entry'!BB$4="Exponential",EXP(IF(AND(ISNUMBER('Council Entry'!BB$8),ISNUMBER('Council Entry'!BB$9)),MAX(MIN('Council Entry'!BB98,'Council Entry'!BB$9),'Council Entry'!BB$8),'Council Entry'!BB98)),IF(AND(ISNUMBER('Council Entry'!BB$8),ISNUMBER('Council Entry'!BB$9)),MAX(MIN('Council Entry'!BB98,'Council Entry'!BB$9),'Council Entry'!BB$8),'Council Entry'!BB98))))-'Council Entry'!BB$5)/('Council Entry'!BB$6-'Council Entry'!BB$5),10*((IF('Council Entry'!BB$4="Logarithm",LN(0.001+IF(AND(ISNUMBER('Council Entry'!BB$8),ISNUMBER('Council Entry'!BB$9)),MAX(MIN('Council Entry'!BB98,'Council Entry'!BB$9),'Council Entry'!BB$8),'Council Entry'!BB98)),IF('Council Entry'!BB$4="Exponential",EXP(IF(AND(ISNUMBER('Council Entry'!BB$8),ISNUMBER('Council Entry'!BB$9)),MAX(MIN('Council Entry'!BB98,'Council Entry'!BB$9),'Council Entry'!BB$8),'Council Entry'!BB98)),IF(AND(ISNUMBER('Council Entry'!BB$8),ISNUMBER('Council Entry'!BB$9)),MAX(MIN('Council Entry'!BB98,'Council Entry'!BB$9),'Council Entry'!BB$8),'Council Entry'!BB98))))-'Council Entry'!BB$5)/('Council Entry'!BB$6-'Council Entry'!BB$5)),1))),"No data"))</f>
        <v/>
      </c>
      <c r="BC98" s="13">
        <f>IF('Council Entry'!BC98="","",IFERROR(MAX(0,MIN(10,ROUND(IF('Council Entry'!BC$7="Decrease Risk",10-10*((IF('Council Entry'!BC$4="Logarithm",LN(0.001+IF(AND(ISNUMBER('Council Entry'!BC$8),ISNUMBER('Council Entry'!BC$9)),MAX(MIN('Council Entry'!BC98,'Council Entry'!BC$9),'Council Entry'!BC$8),'Council Entry'!BC98)),IF('Council Entry'!BC$4="Exponential",EXP(IF(AND(ISNUMBER('Council Entry'!BC$8),ISNUMBER('Council Entry'!BC$9)),MAX(MIN('Council Entry'!BC98,'Council Entry'!BC$9),'Council Entry'!BC$8),'Council Entry'!BC98)),IF(AND(ISNUMBER('Council Entry'!BC$8),ISNUMBER('Council Entry'!BC$9)),MAX(MIN('Council Entry'!BC98,'Council Entry'!BC$9),'Council Entry'!BC$8),'Council Entry'!BC98))))-'Council Entry'!BC$5)/('Council Entry'!BC$6-'Council Entry'!BC$5),10*((IF('Council Entry'!BC$4="Logarithm",LN(0.001+IF(AND(ISNUMBER('Council Entry'!BC$8),ISNUMBER('Council Entry'!BC$9)),MAX(MIN('Council Entry'!BC98,'Council Entry'!BC$9),'Council Entry'!BC$8),'Council Entry'!BC98)),IF('Council Entry'!BC$4="Exponential",EXP(IF(AND(ISNUMBER('Council Entry'!BC$8),ISNUMBER('Council Entry'!BC$9)),MAX(MIN('Council Entry'!BC98,'Council Entry'!BC$9),'Council Entry'!BC$8),'Council Entry'!BC98)),IF(AND(ISNUMBER('Council Entry'!BC$8),ISNUMBER('Council Entry'!BC$9)),MAX(MIN('Council Entry'!BC98,'Council Entry'!BC$9),'Council Entry'!BC$8),'Council Entry'!BC98))))-'Council Entry'!BC$5)/('Council Entry'!BC$6-'Council Entry'!BC$5)),1))),"No data"))</f>
        <v/>
      </c>
      <c r="BD98" s="13">
        <f>IF('Council Entry'!BD98="","",IFERROR(MAX(0,MIN(10,ROUND(IF('Council Entry'!BD$7="Decrease Risk",10-10*((IF('Council Entry'!BD$4="Logarithm",LN(0.001+IF(AND(ISNUMBER('Council Entry'!BD$8),ISNUMBER('Council Entry'!BD$9)),MAX(MIN('Council Entry'!BD98,'Council Entry'!BD$9),'Council Entry'!BD$8),'Council Entry'!BD98)),IF('Council Entry'!BD$4="Exponential",EXP(IF(AND(ISNUMBER('Council Entry'!BD$8),ISNUMBER('Council Entry'!BD$9)),MAX(MIN('Council Entry'!BD98,'Council Entry'!BD$9),'Council Entry'!BD$8),'Council Entry'!BD98)),IF(AND(ISNUMBER('Council Entry'!BD$8),ISNUMBER('Council Entry'!BD$9)),MAX(MIN('Council Entry'!BD98,'Council Entry'!BD$9),'Council Entry'!BD$8),'Council Entry'!BD98))))-'Council Entry'!BD$5)/('Council Entry'!BD$6-'Council Entry'!BD$5),10*((IF('Council Entry'!BD$4="Logarithm",LN(0.001+IF(AND(ISNUMBER('Council Entry'!BD$8),ISNUMBER('Council Entry'!BD$9)),MAX(MIN('Council Entry'!BD98,'Council Entry'!BD$9),'Council Entry'!BD$8),'Council Entry'!BD98)),IF('Council Entry'!BD$4="Exponential",EXP(IF(AND(ISNUMBER('Council Entry'!BD$8),ISNUMBER('Council Entry'!BD$9)),MAX(MIN('Council Entry'!BD98,'Council Entry'!BD$9),'Council Entry'!BD$8),'Council Entry'!BD98)),IF(AND(ISNUMBER('Council Entry'!BD$8),ISNUMBER('Council Entry'!BD$9)),MAX(MIN('Council Entry'!BD98,'Council Entry'!BD$9),'Council Entry'!BD$8),'Council Entry'!BD98))))-'Council Entry'!BD$5)/('Council Entry'!BD$6-'Council Entry'!BD$5)),1))),"No data"))</f>
        <v/>
      </c>
    </row>
    <row r="99">
      <c r="A99" t="inlineStr">
        <is>
          <t>Mara</t>
        </is>
      </c>
      <c r="B99" t="inlineStr">
        <is>
          <t>Tarime Town</t>
        </is>
      </c>
      <c r="C99" t="inlineStr">
        <is>
          <t>C142</t>
        </is>
      </c>
      <c r="D99" s="13">
        <f>IF('Council Entry'!D99="","",IFERROR(MAX(0,MIN(10,ROUND(IF('Council Entry'!D$7="Decrease Risk",10-10*((IF('Council Entry'!D$4="Logarithm",LN(0.001+IF(AND(ISNUMBER('Council Entry'!D$8),ISNUMBER('Council Entry'!D$9)),MAX(MIN('Council Entry'!D99,'Council Entry'!D$9),'Council Entry'!D$8),'Council Entry'!D99)),IF('Council Entry'!D$4="Exponential",EXP(IF(AND(ISNUMBER('Council Entry'!D$8),ISNUMBER('Council Entry'!D$9)),MAX(MIN('Council Entry'!D99,'Council Entry'!D$9),'Council Entry'!D$8),'Council Entry'!D99)),IF(AND(ISNUMBER('Council Entry'!D$8),ISNUMBER('Council Entry'!D$9)),MAX(MIN('Council Entry'!D99,'Council Entry'!D$9),'Council Entry'!D$8),'Council Entry'!D99))))-'Council Entry'!D$5)/('Council Entry'!D$6-'Council Entry'!D$5),10*((IF('Council Entry'!D$4="Logarithm",LN(0.001+IF(AND(ISNUMBER('Council Entry'!D$8),ISNUMBER('Council Entry'!D$9)),MAX(MIN('Council Entry'!D99,'Council Entry'!D$9),'Council Entry'!D$8),'Council Entry'!D99)),IF('Council Entry'!D$4="Exponential",EXP(IF(AND(ISNUMBER('Council Entry'!D$8),ISNUMBER('Council Entry'!D$9)),MAX(MIN('Council Entry'!D99,'Council Entry'!D$9),'Council Entry'!D$8),'Council Entry'!D99)),IF(AND(ISNUMBER('Council Entry'!D$8),ISNUMBER('Council Entry'!D$9)),MAX(MIN('Council Entry'!D99,'Council Entry'!D$9),'Council Entry'!D$8),'Council Entry'!D99))))-'Council Entry'!D$5)/('Council Entry'!D$6-'Council Entry'!D$5)),1))),"No data"))</f>
        <v/>
      </c>
      <c r="E99" s="13">
        <f>IF('Council Entry'!E99="","",IFERROR(MAX(0,MIN(10,ROUND(IF('Council Entry'!E$7="Decrease Risk",10-10*((IF('Council Entry'!E$4="Logarithm",LN(0.001+IF(AND(ISNUMBER('Council Entry'!E$8),ISNUMBER('Council Entry'!E$9)),MAX(MIN('Council Entry'!E99,'Council Entry'!E$9),'Council Entry'!E$8),'Council Entry'!E99)),IF('Council Entry'!E$4="Exponential",EXP(IF(AND(ISNUMBER('Council Entry'!E$8),ISNUMBER('Council Entry'!E$9)),MAX(MIN('Council Entry'!E99,'Council Entry'!E$9),'Council Entry'!E$8),'Council Entry'!E99)),IF(AND(ISNUMBER('Council Entry'!E$8),ISNUMBER('Council Entry'!E$9)),MAX(MIN('Council Entry'!E99,'Council Entry'!E$9),'Council Entry'!E$8),'Council Entry'!E99))))-'Council Entry'!E$5)/('Council Entry'!E$6-'Council Entry'!E$5),10*((IF('Council Entry'!E$4="Logarithm",LN(0.001+IF(AND(ISNUMBER('Council Entry'!E$8),ISNUMBER('Council Entry'!E$9)),MAX(MIN('Council Entry'!E99,'Council Entry'!E$9),'Council Entry'!E$8),'Council Entry'!E99)),IF('Council Entry'!E$4="Exponential",EXP(IF(AND(ISNUMBER('Council Entry'!E$8),ISNUMBER('Council Entry'!E$9)),MAX(MIN('Council Entry'!E99,'Council Entry'!E$9),'Council Entry'!E$8),'Council Entry'!E99)),IF(AND(ISNUMBER('Council Entry'!E$8),ISNUMBER('Council Entry'!E$9)),MAX(MIN('Council Entry'!E99,'Council Entry'!E$9),'Council Entry'!E$8),'Council Entry'!E99))))-'Council Entry'!E$5)/('Council Entry'!E$6-'Council Entry'!E$5)),1))),"No data"))</f>
        <v/>
      </c>
      <c r="F99" s="13">
        <f>IF('Council Entry'!F99="","",IFERROR(MAX(0,MIN(10,ROUND(IF('Council Entry'!F$7="Decrease Risk",10-10*((IF('Council Entry'!F$4="Logarithm",LN(0.001+IF(AND(ISNUMBER('Council Entry'!F$8),ISNUMBER('Council Entry'!F$9)),MAX(MIN('Council Entry'!F99,'Council Entry'!F$9),'Council Entry'!F$8),'Council Entry'!F99)),IF('Council Entry'!F$4="Exponential",EXP(IF(AND(ISNUMBER('Council Entry'!F$8),ISNUMBER('Council Entry'!F$9)),MAX(MIN('Council Entry'!F99,'Council Entry'!F$9),'Council Entry'!F$8),'Council Entry'!F99)),IF(AND(ISNUMBER('Council Entry'!F$8),ISNUMBER('Council Entry'!F$9)),MAX(MIN('Council Entry'!F99,'Council Entry'!F$9),'Council Entry'!F$8),'Council Entry'!F99))))-'Council Entry'!F$5)/('Council Entry'!F$6-'Council Entry'!F$5),10*((IF('Council Entry'!F$4="Logarithm",LN(0.001+IF(AND(ISNUMBER('Council Entry'!F$8),ISNUMBER('Council Entry'!F$9)),MAX(MIN('Council Entry'!F99,'Council Entry'!F$9),'Council Entry'!F$8),'Council Entry'!F99)),IF('Council Entry'!F$4="Exponential",EXP(IF(AND(ISNUMBER('Council Entry'!F$8),ISNUMBER('Council Entry'!F$9)),MAX(MIN('Council Entry'!F99,'Council Entry'!F$9),'Council Entry'!F$8),'Council Entry'!F99)),IF(AND(ISNUMBER('Council Entry'!F$8),ISNUMBER('Council Entry'!F$9)),MAX(MIN('Council Entry'!F99,'Council Entry'!F$9),'Council Entry'!F$8),'Council Entry'!F99))))-'Council Entry'!F$5)/('Council Entry'!F$6-'Council Entry'!F$5)),1))),"No data"))</f>
        <v/>
      </c>
      <c r="G99" s="13">
        <f>IF('Council Entry'!G99="","",IFERROR(MAX(0,MIN(10,ROUND(IF('Council Entry'!G$7="Decrease Risk",10-10*((IF('Council Entry'!G$4="Logarithm",LN(0.001+IF(AND(ISNUMBER('Council Entry'!G$8),ISNUMBER('Council Entry'!G$9)),MAX(MIN('Council Entry'!G99,'Council Entry'!G$9),'Council Entry'!G$8),'Council Entry'!G99)),IF('Council Entry'!G$4="Exponential",EXP(IF(AND(ISNUMBER('Council Entry'!G$8),ISNUMBER('Council Entry'!G$9)),MAX(MIN('Council Entry'!G99,'Council Entry'!G$9),'Council Entry'!G$8),'Council Entry'!G99)),IF(AND(ISNUMBER('Council Entry'!G$8),ISNUMBER('Council Entry'!G$9)),MAX(MIN('Council Entry'!G99,'Council Entry'!G$9),'Council Entry'!G$8),'Council Entry'!G99))))-'Council Entry'!G$5)/('Council Entry'!G$6-'Council Entry'!G$5),10*((IF('Council Entry'!G$4="Logarithm",LN(0.001+IF(AND(ISNUMBER('Council Entry'!G$8),ISNUMBER('Council Entry'!G$9)),MAX(MIN('Council Entry'!G99,'Council Entry'!G$9),'Council Entry'!G$8),'Council Entry'!G99)),IF('Council Entry'!G$4="Exponential",EXP(IF(AND(ISNUMBER('Council Entry'!G$8),ISNUMBER('Council Entry'!G$9)),MAX(MIN('Council Entry'!G99,'Council Entry'!G$9),'Council Entry'!G$8),'Council Entry'!G99)),IF(AND(ISNUMBER('Council Entry'!G$8),ISNUMBER('Council Entry'!G$9)),MAX(MIN('Council Entry'!G99,'Council Entry'!G$9),'Council Entry'!G$8),'Council Entry'!G99))))-'Council Entry'!G$5)/('Council Entry'!G$6-'Council Entry'!G$5)),1))),"No data"))</f>
        <v/>
      </c>
      <c r="H99" s="13">
        <f>IF('Council Entry'!H99="","",IFERROR(MAX(0,MIN(10,ROUND(IF('Council Entry'!H$7="Decrease Risk",10-10*((IF('Council Entry'!H$4="Logarithm",LN(0.001+IF(AND(ISNUMBER('Council Entry'!H$8),ISNUMBER('Council Entry'!H$9)),MAX(MIN('Council Entry'!H99,'Council Entry'!H$9),'Council Entry'!H$8),'Council Entry'!H99)),IF('Council Entry'!H$4="Exponential",EXP(IF(AND(ISNUMBER('Council Entry'!H$8),ISNUMBER('Council Entry'!H$9)),MAX(MIN('Council Entry'!H99,'Council Entry'!H$9),'Council Entry'!H$8),'Council Entry'!H99)),IF(AND(ISNUMBER('Council Entry'!H$8),ISNUMBER('Council Entry'!H$9)),MAX(MIN('Council Entry'!H99,'Council Entry'!H$9),'Council Entry'!H$8),'Council Entry'!H99))))-'Council Entry'!H$5)/('Council Entry'!H$6-'Council Entry'!H$5),10*((IF('Council Entry'!H$4="Logarithm",LN(0.001+IF(AND(ISNUMBER('Council Entry'!H$8),ISNUMBER('Council Entry'!H$9)),MAX(MIN('Council Entry'!H99,'Council Entry'!H$9),'Council Entry'!H$8),'Council Entry'!H99)),IF('Council Entry'!H$4="Exponential",EXP(IF(AND(ISNUMBER('Council Entry'!H$8),ISNUMBER('Council Entry'!H$9)),MAX(MIN('Council Entry'!H99,'Council Entry'!H$9),'Council Entry'!H$8),'Council Entry'!H99)),IF(AND(ISNUMBER('Council Entry'!H$8),ISNUMBER('Council Entry'!H$9)),MAX(MIN('Council Entry'!H99,'Council Entry'!H$9),'Council Entry'!H$8),'Council Entry'!H99))))-'Council Entry'!H$5)/('Council Entry'!H$6-'Council Entry'!H$5)),1))),"No data"))</f>
        <v/>
      </c>
      <c r="I99" s="13">
        <f>IF('Council Entry'!I99="","",IFERROR(MAX(0,MIN(10,ROUND(IF('Council Entry'!I$7="Decrease Risk",10-10*((IF('Council Entry'!I$4="Logarithm",LN(0.001+IF(AND(ISNUMBER('Council Entry'!I$8),ISNUMBER('Council Entry'!I$9)),MAX(MIN('Council Entry'!I99,'Council Entry'!I$9),'Council Entry'!I$8),'Council Entry'!I99)),IF('Council Entry'!I$4="Exponential",EXP(IF(AND(ISNUMBER('Council Entry'!I$8),ISNUMBER('Council Entry'!I$9)),MAX(MIN('Council Entry'!I99,'Council Entry'!I$9),'Council Entry'!I$8),'Council Entry'!I99)),IF(AND(ISNUMBER('Council Entry'!I$8),ISNUMBER('Council Entry'!I$9)),MAX(MIN('Council Entry'!I99,'Council Entry'!I$9),'Council Entry'!I$8),'Council Entry'!I99))))-'Council Entry'!I$5)/('Council Entry'!I$6-'Council Entry'!I$5),10*((IF('Council Entry'!I$4="Logarithm",LN(0.001+IF(AND(ISNUMBER('Council Entry'!I$8),ISNUMBER('Council Entry'!I$9)),MAX(MIN('Council Entry'!I99,'Council Entry'!I$9),'Council Entry'!I$8),'Council Entry'!I99)),IF('Council Entry'!I$4="Exponential",EXP(IF(AND(ISNUMBER('Council Entry'!I$8),ISNUMBER('Council Entry'!I$9)),MAX(MIN('Council Entry'!I99,'Council Entry'!I$9),'Council Entry'!I$8),'Council Entry'!I99)),IF(AND(ISNUMBER('Council Entry'!I$8),ISNUMBER('Council Entry'!I$9)),MAX(MIN('Council Entry'!I99,'Council Entry'!I$9),'Council Entry'!I$8),'Council Entry'!I99))))-'Council Entry'!I$5)/('Council Entry'!I$6-'Council Entry'!I$5)),1))),"No data"))</f>
        <v/>
      </c>
      <c r="J99" s="13">
        <f>IF('Council Entry'!J99="","",IFERROR(MAX(0,MIN(10,ROUND(IF('Council Entry'!J$7="Decrease Risk",10-10*((IF('Council Entry'!J$4="Logarithm",LN(0.001+IF(AND(ISNUMBER('Council Entry'!J$8),ISNUMBER('Council Entry'!J$9)),MAX(MIN('Council Entry'!J99,'Council Entry'!J$9),'Council Entry'!J$8),'Council Entry'!J99)),IF('Council Entry'!J$4="Exponential",EXP(IF(AND(ISNUMBER('Council Entry'!J$8),ISNUMBER('Council Entry'!J$9)),MAX(MIN('Council Entry'!J99,'Council Entry'!J$9),'Council Entry'!J$8),'Council Entry'!J99)),IF(AND(ISNUMBER('Council Entry'!J$8),ISNUMBER('Council Entry'!J$9)),MAX(MIN('Council Entry'!J99,'Council Entry'!J$9),'Council Entry'!J$8),'Council Entry'!J99))))-'Council Entry'!J$5)/('Council Entry'!J$6-'Council Entry'!J$5),10*((IF('Council Entry'!J$4="Logarithm",LN(0.001+IF(AND(ISNUMBER('Council Entry'!J$8),ISNUMBER('Council Entry'!J$9)),MAX(MIN('Council Entry'!J99,'Council Entry'!J$9),'Council Entry'!J$8),'Council Entry'!J99)),IF('Council Entry'!J$4="Exponential",EXP(IF(AND(ISNUMBER('Council Entry'!J$8),ISNUMBER('Council Entry'!J$9)),MAX(MIN('Council Entry'!J99,'Council Entry'!J$9),'Council Entry'!J$8),'Council Entry'!J99)),IF(AND(ISNUMBER('Council Entry'!J$8),ISNUMBER('Council Entry'!J$9)),MAX(MIN('Council Entry'!J99,'Council Entry'!J$9),'Council Entry'!J$8),'Council Entry'!J99))))-'Council Entry'!J$5)/('Council Entry'!J$6-'Council Entry'!J$5)),1))),"No data"))</f>
        <v/>
      </c>
      <c r="K99" s="13">
        <f>IF('Council Entry'!K99="","",IFERROR(MAX(0,MIN(10,ROUND(IF('Council Entry'!K$7="Decrease Risk",10-10*((IF('Council Entry'!K$4="Logarithm",LN(0.001+IF(AND(ISNUMBER('Council Entry'!K$8),ISNUMBER('Council Entry'!K$9)),MAX(MIN('Council Entry'!K99,'Council Entry'!K$9),'Council Entry'!K$8),'Council Entry'!K99)),IF('Council Entry'!K$4="Exponential",EXP(IF(AND(ISNUMBER('Council Entry'!K$8),ISNUMBER('Council Entry'!K$9)),MAX(MIN('Council Entry'!K99,'Council Entry'!K$9),'Council Entry'!K$8),'Council Entry'!K99)),IF(AND(ISNUMBER('Council Entry'!K$8),ISNUMBER('Council Entry'!K$9)),MAX(MIN('Council Entry'!K99,'Council Entry'!K$9),'Council Entry'!K$8),'Council Entry'!K99))))-'Council Entry'!K$5)/('Council Entry'!K$6-'Council Entry'!K$5),10*((IF('Council Entry'!K$4="Logarithm",LN(0.001+IF(AND(ISNUMBER('Council Entry'!K$8),ISNUMBER('Council Entry'!K$9)),MAX(MIN('Council Entry'!K99,'Council Entry'!K$9),'Council Entry'!K$8),'Council Entry'!K99)),IF('Council Entry'!K$4="Exponential",EXP(IF(AND(ISNUMBER('Council Entry'!K$8),ISNUMBER('Council Entry'!K$9)),MAX(MIN('Council Entry'!K99,'Council Entry'!K$9),'Council Entry'!K$8),'Council Entry'!K99)),IF(AND(ISNUMBER('Council Entry'!K$8),ISNUMBER('Council Entry'!K$9)),MAX(MIN('Council Entry'!K99,'Council Entry'!K$9),'Council Entry'!K$8),'Council Entry'!K99))))-'Council Entry'!K$5)/('Council Entry'!K$6-'Council Entry'!K$5)),1))),"No data"))</f>
        <v/>
      </c>
      <c r="L99" s="13">
        <f>IF('Council Entry'!L99="","",IFERROR(MAX(0,MIN(10,ROUND(IF('Council Entry'!L$7="Decrease Risk",10-10*((IF('Council Entry'!L$4="Logarithm",LN(0.001+IF(AND(ISNUMBER('Council Entry'!L$8),ISNUMBER('Council Entry'!L$9)),MAX(MIN('Council Entry'!L99,'Council Entry'!L$9),'Council Entry'!L$8),'Council Entry'!L99)),IF('Council Entry'!L$4="Exponential",EXP(IF(AND(ISNUMBER('Council Entry'!L$8),ISNUMBER('Council Entry'!L$9)),MAX(MIN('Council Entry'!L99,'Council Entry'!L$9),'Council Entry'!L$8),'Council Entry'!L99)),IF(AND(ISNUMBER('Council Entry'!L$8),ISNUMBER('Council Entry'!L$9)),MAX(MIN('Council Entry'!L99,'Council Entry'!L$9),'Council Entry'!L$8),'Council Entry'!L99))))-'Council Entry'!L$5)/('Council Entry'!L$6-'Council Entry'!L$5),10*((IF('Council Entry'!L$4="Logarithm",LN(0.001+IF(AND(ISNUMBER('Council Entry'!L$8),ISNUMBER('Council Entry'!L$9)),MAX(MIN('Council Entry'!L99,'Council Entry'!L$9),'Council Entry'!L$8),'Council Entry'!L99)),IF('Council Entry'!L$4="Exponential",EXP(IF(AND(ISNUMBER('Council Entry'!L$8),ISNUMBER('Council Entry'!L$9)),MAX(MIN('Council Entry'!L99,'Council Entry'!L$9),'Council Entry'!L$8),'Council Entry'!L99)),IF(AND(ISNUMBER('Council Entry'!L$8),ISNUMBER('Council Entry'!L$9)),MAX(MIN('Council Entry'!L99,'Council Entry'!L$9),'Council Entry'!L$8),'Council Entry'!L99))))-'Council Entry'!L$5)/('Council Entry'!L$6-'Council Entry'!L$5)),1))),"No data"))</f>
        <v/>
      </c>
      <c r="M99" s="13">
        <f>IF('Council Entry'!M99="","",IFERROR(MAX(0,MIN(10,ROUND(IF('Council Entry'!M$7="Decrease Risk",10-10*((IF('Council Entry'!M$4="Logarithm",LN(0.001+IF(AND(ISNUMBER('Council Entry'!M$8),ISNUMBER('Council Entry'!M$9)),MAX(MIN('Council Entry'!M99,'Council Entry'!M$9),'Council Entry'!M$8),'Council Entry'!M99)),IF('Council Entry'!M$4="Exponential",EXP(IF(AND(ISNUMBER('Council Entry'!M$8),ISNUMBER('Council Entry'!M$9)),MAX(MIN('Council Entry'!M99,'Council Entry'!M$9),'Council Entry'!M$8),'Council Entry'!M99)),IF(AND(ISNUMBER('Council Entry'!M$8),ISNUMBER('Council Entry'!M$9)),MAX(MIN('Council Entry'!M99,'Council Entry'!M$9),'Council Entry'!M$8),'Council Entry'!M99))))-'Council Entry'!M$5)/('Council Entry'!M$6-'Council Entry'!M$5),10*((IF('Council Entry'!M$4="Logarithm",LN(0.001+IF(AND(ISNUMBER('Council Entry'!M$8),ISNUMBER('Council Entry'!M$9)),MAX(MIN('Council Entry'!M99,'Council Entry'!M$9),'Council Entry'!M$8),'Council Entry'!M99)),IF('Council Entry'!M$4="Exponential",EXP(IF(AND(ISNUMBER('Council Entry'!M$8),ISNUMBER('Council Entry'!M$9)),MAX(MIN('Council Entry'!M99,'Council Entry'!M$9),'Council Entry'!M$8),'Council Entry'!M99)),IF(AND(ISNUMBER('Council Entry'!M$8),ISNUMBER('Council Entry'!M$9)),MAX(MIN('Council Entry'!M99,'Council Entry'!M$9),'Council Entry'!M$8),'Council Entry'!M99))))-'Council Entry'!M$5)/('Council Entry'!M$6-'Council Entry'!M$5)),1))),"No data"))</f>
        <v/>
      </c>
      <c r="N99" s="13">
        <f>IF('Council Entry'!N99="","",IFERROR(MAX(0,MIN(10,ROUND(IF('Council Entry'!N$7="Decrease Risk",10-10*((IF('Council Entry'!N$4="Logarithm",LN(0.001+IF(AND(ISNUMBER('Council Entry'!N$8),ISNUMBER('Council Entry'!N$9)),MAX(MIN('Council Entry'!N99,'Council Entry'!N$9),'Council Entry'!N$8),'Council Entry'!N99)),IF('Council Entry'!N$4="Exponential",EXP(IF(AND(ISNUMBER('Council Entry'!N$8),ISNUMBER('Council Entry'!N$9)),MAX(MIN('Council Entry'!N99,'Council Entry'!N$9),'Council Entry'!N$8),'Council Entry'!N99)),IF(AND(ISNUMBER('Council Entry'!N$8),ISNUMBER('Council Entry'!N$9)),MAX(MIN('Council Entry'!N99,'Council Entry'!N$9),'Council Entry'!N$8),'Council Entry'!N99))))-'Council Entry'!N$5)/('Council Entry'!N$6-'Council Entry'!N$5),10*((IF('Council Entry'!N$4="Logarithm",LN(0.001+IF(AND(ISNUMBER('Council Entry'!N$8),ISNUMBER('Council Entry'!N$9)),MAX(MIN('Council Entry'!N99,'Council Entry'!N$9),'Council Entry'!N$8),'Council Entry'!N99)),IF('Council Entry'!N$4="Exponential",EXP(IF(AND(ISNUMBER('Council Entry'!N$8),ISNUMBER('Council Entry'!N$9)),MAX(MIN('Council Entry'!N99,'Council Entry'!N$9),'Council Entry'!N$8),'Council Entry'!N99)),IF(AND(ISNUMBER('Council Entry'!N$8),ISNUMBER('Council Entry'!N$9)),MAX(MIN('Council Entry'!N99,'Council Entry'!N$9),'Council Entry'!N$8),'Council Entry'!N99))))-'Council Entry'!N$5)/('Council Entry'!N$6-'Council Entry'!N$5)),1))),"No data"))</f>
        <v/>
      </c>
      <c r="O99" s="13">
        <f>IF('Council Entry'!O99="","",IFERROR(MAX(0,MIN(10,ROUND(IF('Council Entry'!O$7="Decrease Risk",10-10*((IF('Council Entry'!O$4="Logarithm",LN(0.001+IF(AND(ISNUMBER('Council Entry'!O$8),ISNUMBER('Council Entry'!O$9)),MAX(MIN('Council Entry'!O99,'Council Entry'!O$9),'Council Entry'!O$8),'Council Entry'!O99)),IF('Council Entry'!O$4="Exponential",EXP(IF(AND(ISNUMBER('Council Entry'!O$8),ISNUMBER('Council Entry'!O$9)),MAX(MIN('Council Entry'!O99,'Council Entry'!O$9),'Council Entry'!O$8),'Council Entry'!O99)),IF(AND(ISNUMBER('Council Entry'!O$8),ISNUMBER('Council Entry'!O$9)),MAX(MIN('Council Entry'!O99,'Council Entry'!O$9),'Council Entry'!O$8),'Council Entry'!O99))))-'Council Entry'!O$5)/('Council Entry'!O$6-'Council Entry'!O$5),10*((IF('Council Entry'!O$4="Logarithm",LN(0.001+IF(AND(ISNUMBER('Council Entry'!O$8),ISNUMBER('Council Entry'!O$9)),MAX(MIN('Council Entry'!O99,'Council Entry'!O$9),'Council Entry'!O$8),'Council Entry'!O99)),IF('Council Entry'!O$4="Exponential",EXP(IF(AND(ISNUMBER('Council Entry'!O$8),ISNUMBER('Council Entry'!O$9)),MAX(MIN('Council Entry'!O99,'Council Entry'!O$9),'Council Entry'!O$8),'Council Entry'!O99)),IF(AND(ISNUMBER('Council Entry'!O$8),ISNUMBER('Council Entry'!O$9)),MAX(MIN('Council Entry'!O99,'Council Entry'!O$9),'Council Entry'!O$8),'Council Entry'!O99))))-'Council Entry'!O$5)/('Council Entry'!O$6-'Council Entry'!O$5)),1))),"No data"))</f>
        <v/>
      </c>
      <c r="P99" s="13">
        <f>IF('Council Entry'!P99="","",IFERROR(MAX(0,MIN(10,ROUND(IF('Council Entry'!P$7="Decrease Risk",10-10*((IF('Council Entry'!P$4="Logarithm",LN(0.001+IF(AND(ISNUMBER('Council Entry'!P$8),ISNUMBER('Council Entry'!P$9)),MAX(MIN('Council Entry'!P99,'Council Entry'!P$9),'Council Entry'!P$8),'Council Entry'!P99)),IF('Council Entry'!P$4="Exponential",EXP(IF(AND(ISNUMBER('Council Entry'!P$8),ISNUMBER('Council Entry'!P$9)),MAX(MIN('Council Entry'!P99,'Council Entry'!P$9),'Council Entry'!P$8),'Council Entry'!P99)),IF(AND(ISNUMBER('Council Entry'!P$8),ISNUMBER('Council Entry'!P$9)),MAX(MIN('Council Entry'!P99,'Council Entry'!P$9),'Council Entry'!P$8),'Council Entry'!P99))))-'Council Entry'!P$5)/('Council Entry'!P$6-'Council Entry'!P$5),10*((IF('Council Entry'!P$4="Logarithm",LN(0.001+IF(AND(ISNUMBER('Council Entry'!P$8),ISNUMBER('Council Entry'!P$9)),MAX(MIN('Council Entry'!P99,'Council Entry'!P$9),'Council Entry'!P$8),'Council Entry'!P99)),IF('Council Entry'!P$4="Exponential",EXP(IF(AND(ISNUMBER('Council Entry'!P$8),ISNUMBER('Council Entry'!P$9)),MAX(MIN('Council Entry'!P99,'Council Entry'!P$9),'Council Entry'!P$8),'Council Entry'!P99)),IF(AND(ISNUMBER('Council Entry'!P$8),ISNUMBER('Council Entry'!P$9)),MAX(MIN('Council Entry'!P99,'Council Entry'!P$9),'Council Entry'!P$8),'Council Entry'!P99))))-'Council Entry'!P$5)/('Council Entry'!P$6-'Council Entry'!P$5)),1))),"No data"))</f>
        <v/>
      </c>
      <c r="Q99" s="13">
        <f>IF('Council Entry'!Q99="","",IFERROR(MAX(0,MIN(10,ROUND(IF('Council Entry'!Q$7="Decrease Risk",10-10*((IF('Council Entry'!Q$4="Logarithm",LN(0.001+IF(AND(ISNUMBER('Council Entry'!Q$8),ISNUMBER('Council Entry'!Q$9)),MAX(MIN('Council Entry'!Q99,'Council Entry'!Q$9),'Council Entry'!Q$8),'Council Entry'!Q99)),IF('Council Entry'!Q$4="Exponential",EXP(IF(AND(ISNUMBER('Council Entry'!Q$8),ISNUMBER('Council Entry'!Q$9)),MAX(MIN('Council Entry'!Q99,'Council Entry'!Q$9),'Council Entry'!Q$8),'Council Entry'!Q99)),IF(AND(ISNUMBER('Council Entry'!Q$8),ISNUMBER('Council Entry'!Q$9)),MAX(MIN('Council Entry'!Q99,'Council Entry'!Q$9),'Council Entry'!Q$8),'Council Entry'!Q99))))-'Council Entry'!Q$5)/('Council Entry'!Q$6-'Council Entry'!Q$5),10*((IF('Council Entry'!Q$4="Logarithm",LN(0.001+IF(AND(ISNUMBER('Council Entry'!Q$8),ISNUMBER('Council Entry'!Q$9)),MAX(MIN('Council Entry'!Q99,'Council Entry'!Q$9),'Council Entry'!Q$8),'Council Entry'!Q99)),IF('Council Entry'!Q$4="Exponential",EXP(IF(AND(ISNUMBER('Council Entry'!Q$8),ISNUMBER('Council Entry'!Q$9)),MAX(MIN('Council Entry'!Q99,'Council Entry'!Q$9),'Council Entry'!Q$8),'Council Entry'!Q99)),IF(AND(ISNUMBER('Council Entry'!Q$8),ISNUMBER('Council Entry'!Q$9)),MAX(MIN('Council Entry'!Q99,'Council Entry'!Q$9),'Council Entry'!Q$8),'Council Entry'!Q99))))-'Council Entry'!Q$5)/('Council Entry'!Q$6-'Council Entry'!Q$5)),1))),"No data"))</f>
        <v/>
      </c>
      <c r="R99" s="13">
        <f>IF('Council Entry'!R99="","",IFERROR(MAX(0,MIN(10,ROUND(IF('Council Entry'!R$7="Decrease Risk",10-10*((IF('Council Entry'!R$4="Logarithm",LN(0.001+IF(AND(ISNUMBER('Council Entry'!R$8),ISNUMBER('Council Entry'!R$9)),MAX(MIN('Council Entry'!R99,'Council Entry'!R$9),'Council Entry'!R$8),'Council Entry'!R99)),IF('Council Entry'!R$4="Exponential",EXP(IF(AND(ISNUMBER('Council Entry'!R$8),ISNUMBER('Council Entry'!R$9)),MAX(MIN('Council Entry'!R99,'Council Entry'!R$9),'Council Entry'!R$8),'Council Entry'!R99)),IF(AND(ISNUMBER('Council Entry'!R$8),ISNUMBER('Council Entry'!R$9)),MAX(MIN('Council Entry'!R99,'Council Entry'!R$9),'Council Entry'!R$8),'Council Entry'!R99))))-'Council Entry'!R$5)/('Council Entry'!R$6-'Council Entry'!R$5),10*((IF('Council Entry'!R$4="Logarithm",LN(0.001+IF(AND(ISNUMBER('Council Entry'!R$8),ISNUMBER('Council Entry'!R$9)),MAX(MIN('Council Entry'!R99,'Council Entry'!R$9),'Council Entry'!R$8),'Council Entry'!R99)),IF('Council Entry'!R$4="Exponential",EXP(IF(AND(ISNUMBER('Council Entry'!R$8),ISNUMBER('Council Entry'!R$9)),MAX(MIN('Council Entry'!R99,'Council Entry'!R$9),'Council Entry'!R$8),'Council Entry'!R99)),IF(AND(ISNUMBER('Council Entry'!R$8),ISNUMBER('Council Entry'!R$9)),MAX(MIN('Council Entry'!R99,'Council Entry'!R$9),'Council Entry'!R$8),'Council Entry'!R99))))-'Council Entry'!R$5)/('Council Entry'!R$6-'Council Entry'!R$5)),1))),"No data"))</f>
        <v/>
      </c>
      <c r="S99" s="13">
        <f>IF('Council Entry'!S99="","",IFERROR(MAX(0,MIN(10,ROUND(IF('Council Entry'!S$7="Decrease Risk",10-10*((IF('Council Entry'!S$4="Logarithm",LN(0.001+IF(AND(ISNUMBER('Council Entry'!S$8),ISNUMBER('Council Entry'!S$9)),MAX(MIN('Council Entry'!S99,'Council Entry'!S$9),'Council Entry'!S$8),'Council Entry'!S99)),IF('Council Entry'!S$4="Exponential",EXP(IF(AND(ISNUMBER('Council Entry'!S$8),ISNUMBER('Council Entry'!S$9)),MAX(MIN('Council Entry'!S99,'Council Entry'!S$9),'Council Entry'!S$8),'Council Entry'!S99)),IF(AND(ISNUMBER('Council Entry'!S$8),ISNUMBER('Council Entry'!S$9)),MAX(MIN('Council Entry'!S99,'Council Entry'!S$9),'Council Entry'!S$8),'Council Entry'!S99))))-'Council Entry'!S$5)/('Council Entry'!S$6-'Council Entry'!S$5),10*((IF('Council Entry'!S$4="Logarithm",LN(0.001+IF(AND(ISNUMBER('Council Entry'!S$8),ISNUMBER('Council Entry'!S$9)),MAX(MIN('Council Entry'!S99,'Council Entry'!S$9),'Council Entry'!S$8),'Council Entry'!S99)),IF('Council Entry'!S$4="Exponential",EXP(IF(AND(ISNUMBER('Council Entry'!S$8),ISNUMBER('Council Entry'!S$9)),MAX(MIN('Council Entry'!S99,'Council Entry'!S$9),'Council Entry'!S$8),'Council Entry'!S99)),IF(AND(ISNUMBER('Council Entry'!S$8),ISNUMBER('Council Entry'!S$9)),MAX(MIN('Council Entry'!S99,'Council Entry'!S$9),'Council Entry'!S$8),'Council Entry'!S99))))-'Council Entry'!S$5)/('Council Entry'!S$6-'Council Entry'!S$5)),1))),"No data"))</f>
        <v/>
      </c>
      <c r="T99" s="13">
        <f>IF('Council Entry'!T99="","",IFERROR(MAX(0,MIN(10,ROUND(IF('Council Entry'!T$7="Decrease Risk",10-10*((IF('Council Entry'!T$4="Logarithm",LN(0.001+IF(AND(ISNUMBER('Council Entry'!T$8),ISNUMBER('Council Entry'!T$9)),MAX(MIN('Council Entry'!T99,'Council Entry'!T$9),'Council Entry'!T$8),'Council Entry'!T99)),IF('Council Entry'!T$4="Exponential",EXP(IF(AND(ISNUMBER('Council Entry'!T$8),ISNUMBER('Council Entry'!T$9)),MAX(MIN('Council Entry'!T99,'Council Entry'!T$9),'Council Entry'!T$8),'Council Entry'!T99)),IF(AND(ISNUMBER('Council Entry'!T$8),ISNUMBER('Council Entry'!T$9)),MAX(MIN('Council Entry'!T99,'Council Entry'!T$9),'Council Entry'!T$8),'Council Entry'!T99))))-'Council Entry'!T$5)/('Council Entry'!T$6-'Council Entry'!T$5),10*((IF('Council Entry'!T$4="Logarithm",LN(0.001+IF(AND(ISNUMBER('Council Entry'!T$8),ISNUMBER('Council Entry'!T$9)),MAX(MIN('Council Entry'!T99,'Council Entry'!T$9),'Council Entry'!T$8),'Council Entry'!T99)),IF('Council Entry'!T$4="Exponential",EXP(IF(AND(ISNUMBER('Council Entry'!T$8),ISNUMBER('Council Entry'!T$9)),MAX(MIN('Council Entry'!T99,'Council Entry'!T$9),'Council Entry'!T$8),'Council Entry'!T99)),IF(AND(ISNUMBER('Council Entry'!T$8),ISNUMBER('Council Entry'!T$9)),MAX(MIN('Council Entry'!T99,'Council Entry'!T$9),'Council Entry'!T$8),'Council Entry'!T99))))-'Council Entry'!T$5)/('Council Entry'!T$6-'Council Entry'!T$5)),1))),"No data"))</f>
        <v/>
      </c>
      <c r="U99" s="13">
        <f>IF('Council Entry'!U99="","",IFERROR(MAX(0,MIN(10,ROUND(IF('Council Entry'!U$7="Decrease Risk",10-10*((IF('Council Entry'!U$4="Logarithm",LN(0.001+IF(AND(ISNUMBER('Council Entry'!U$8),ISNUMBER('Council Entry'!U$9)),MAX(MIN('Council Entry'!U99,'Council Entry'!U$9),'Council Entry'!U$8),'Council Entry'!U99)),IF('Council Entry'!U$4="Exponential",EXP(IF(AND(ISNUMBER('Council Entry'!U$8),ISNUMBER('Council Entry'!U$9)),MAX(MIN('Council Entry'!U99,'Council Entry'!U$9),'Council Entry'!U$8),'Council Entry'!U99)),IF(AND(ISNUMBER('Council Entry'!U$8),ISNUMBER('Council Entry'!U$9)),MAX(MIN('Council Entry'!U99,'Council Entry'!U$9),'Council Entry'!U$8),'Council Entry'!U99))))-'Council Entry'!U$5)/('Council Entry'!U$6-'Council Entry'!U$5),10*((IF('Council Entry'!U$4="Logarithm",LN(0.001+IF(AND(ISNUMBER('Council Entry'!U$8),ISNUMBER('Council Entry'!U$9)),MAX(MIN('Council Entry'!U99,'Council Entry'!U$9),'Council Entry'!U$8),'Council Entry'!U99)),IF('Council Entry'!U$4="Exponential",EXP(IF(AND(ISNUMBER('Council Entry'!U$8),ISNUMBER('Council Entry'!U$9)),MAX(MIN('Council Entry'!U99,'Council Entry'!U$9),'Council Entry'!U$8),'Council Entry'!U99)),IF(AND(ISNUMBER('Council Entry'!U$8),ISNUMBER('Council Entry'!U$9)),MAX(MIN('Council Entry'!U99,'Council Entry'!U$9),'Council Entry'!U$8),'Council Entry'!U99))))-'Council Entry'!U$5)/('Council Entry'!U$6-'Council Entry'!U$5)),1))),"No data"))</f>
        <v/>
      </c>
      <c r="V99" s="13">
        <f>IF('Council Entry'!V99="","",IFERROR(MAX(0,MIN(10,ROUND(IF('Council Entry'!V$7="Decrease Risk",10-10*((IF('Council Entry'!V$4="Logarithm",LN(0.001+IF(AND(ISNUMBER('Council Entry'!V$8),ISNUMBER('Council Entry'!V$9)),MAX(MIN('Council Entry'!V99,'Council Entry'!V$9),'Council Entry'!V$8),'Council Entry'!V99)),IF('Council Entry'!V$4="Exponential",EXP(IF(AND(ISNUMBER('Council Entry'!V$8),ISNUMBER('Council Entry'!V$9)),MAX(MIN('Council Entry'!V99,'Council Entry'!V$9),'Council Entry'!V$8),'Council Entry'!V99)),IF(AND(ISNUMBER('Council Entry'!V$8),ISNUMBER('Council Entry'!V$9)),MAX(MIN('Council Entry'!V99,'Council Entry'!V$9),'Council Entry'!V$8),'Council Entry'!V99))))-'Council Entry'!V$5)/('Council Entry'!V$6-'Council Entry'!V$5),10*((IF('Council Entry'!V$4="Logarithm",LN(0.001+IF(AND(ISNUMBER('Council Entry'!V$8),ISNUMBER('Council Entry'!V$9)),MAX(MIN('Council Entry'!V99,'Council Entry'!V$9),'Council Entry'!V$8),'Council Entry'!V99)),IF('Council Entry'!V$4="Exponential",EXP(IF(AND(ISNUMBER('Council Entry'!V$8),ISNUMBER('Council Entry'!V$9)),MAX(MIN('Council Entry'!V99,'Council Entry'!V$9),'Council Entry'!V$8),'Council Entry'!V99)),IF(AND(ISNUMBER('Council Entry'!V$8),ISNUMBER('Council Entry'!V$9)),MAX(MIN('Council Entry'!V99,'Council Entry'!V$9),'Council Entry'!V$8),'Council Entry'!V99))))-'Council Entry'!V$5)/('Council Entry'!V$6-'Council Entry'!V$5)),1))),"No data"))</f>
        <v/>
      </c>
      <c r="W99" s="13">
        <f>IF('Council Entry'!W99="","",IFERROR(MAX(0,MIN(10,ROUND(IF('Council Entry'!W$7="Decrease Risk",10-10*((IF('Council Entry'!W$4="Logarithm",LN(0.001+IF(AND(ISNUMBER('Council Entry'!W$8),ISNUMBER('Council Entry'!W$9)),MAX(MIN('Council Entry'!W99,'Council Entry'!W$9),'Council Entry'!W$8),'Council Entry'!W99)),IF('Council Entry'!W$4="Exponential",EXP(IF(AND(ISNUMBER('Council Entry'!W$8),ISNUMBER('Council Entry'!W$9)),MAX(MIN('Council Entry'!W99,'Council Entry'!W$9),'Council Entry'!W$8),'Council Entry'!W99)),IF(AND(ISNUMBER('Council Entry'!W$8),ISNUMBER('Council Entry'!W$9)),MAX(MIN('Council Entry'!W99,'Council Entry'!W$9),'Council Entry'!W$8),'Council Entry'!W99))))-'Council Entry'!W$5)/('Council Entry'!W$6-'Council Entry'!W$5),10*((IF('Council Entry'!W$4="Logarithm",LN(0.001+IF(AND(ISNUMBER('Council Entry'!W$8),ISNUMBER('Council Entry'!W$9)),MAX(MIN('Council Entry'!W99,'Council Entry'!W$9),'Council Entry'!W$8),'Council Entry'!W99)),IF('Council Entry'!W$4="Exponential",EXP(IF(AND(ISNUMBER('Council Entry'!W$8),ISNUMBER('Council Entry'!W$9)),MAX(MIN('Council Entry'!W99,'Council Entry'!W$9),'Council Entry'!W$8),'Council Entry'!W99)),IF(AND(ISNUMBER('Council Entry'!W$8),ISNUMBER('Council Entry'!W$9)),MAX(MIN('Council Entry'!W99,'Council Entry'!W$9),'Council Entry'!W$8),'Council Entry'!W99))))-'Council Entry'!W$5)/('Council Entry'!W$6-'Council Entry'!W$5)),1))),"No data"))</f>
        <v/>
      </c>
      <c r="X99" s="13">
        <f>IF('Council Entry'!X99="","",IFERROR(MAX(0,MIN(10,ROUND(IF('Council Entry'!X$7="Decrease Risk",10-10*((IF('Council Entry'!X$4="Logarithm",LN(0.001+IF(AND(ISNUMBER('Council Entry'!X$8),ISNUMBER('Council Entry'!X$9)),MAX(MIN('Council Entry'!X99,'Council Entry'!X$9),'Council Entry'!X$8),'Council Entry'!X99)),IF('Council Entry'!X$4="Exponential",EXP(IF(AND(ISNUMBER('Council Entry'!X$8),ISNUMBER('Council Entry'!X$9)),MAX(MIN('Council Entry'!X99,'Council Entry'!X$9),'Council Entry'!X$8),'Council Entry'!X99)),IF(AND(ISNUMBER('Council Entry'!X$8),ISNUMBER('Council Entry'!X$9)),MAX(MIN('Council Entry'!X99,'Council Entry'!X$9),'Council Entry'!X$8),'Council Entry'!X99))))-'Council Entry'!X$5)/('Council Entry'!X$6-'Council Entry'!X$5),10*((IF('Council Entry'!X$4="Logarithm",LN(0.001+IF(AND(ISNUMBER('Council Entry'!X$8),ISNUMBER('Council Entry'!X$9)),MAX(MIN('Council Entry'!X99,'Council Entry'!X$9),'Council Entry'!X$8),'Council Entry'!X99)),IF('Council Entry'!X$4="Exponential",EXP(IF(AND(ISNUMBER('Council Entry'!X$8),ISNUMBER('Council Entry'!X$9)),MAX(MIN('Council Entry'!X99,'Council Entry'!X$9),'Council Entry'!X$8),'Council Entry'!X99)),IF(AND(ISNUMBER('Council Entry'!X$8),ISNUMBER('Council Entry'!X$9)),MAX(MIN('Council Entry'!X99,'Council Entry'!X$9),'Council Entry'!X$8),'Council Entry'!X99))))-'Council Entry'!X$5)/('Council Entry'!X$6-'Council Entry'!X$5)),1))),"No data"))</f>
        <v/>
      </c>
      <c r="Y99" s="13">
        <f>IF('Council Entry'!Y99="","",IFERROR(MAX(0,MIN(10,ROUND(IF('Council Entry'!Y$7="Decrease Risk",10-10*((IF('Council Entry'!Y$4="Logarithm",LN(0.001+IF(AND(ISNUMBER('Council Entry'!Y$8),ISNUMBER('Council Entry'!Y$9)),MAX(MIN('Council Entry'!Y99,'Council Entry'!Y$9),'Council Entry'!Y$8),'Council Entry'!Y99)),IF('Council Entry'!Y$4="Exponential",EXP(IF(AND(ISNUMBER('Council Entry'!Y$8),ISNUMBER('Council Entry'!Y$9)),MAX(MIN('Council Entry'!Y99,'Council Entry'!Y$9),'Council Entry'!Y$8),'Council Entry'!Y99)),IF(AND(ISNUMBER('Council Entry'!Y$8),ISNUMBER('Council Entry'!Y$9)),MAX(MIN('Council Entry'!Y99,'Council Entry'!Y$9),'Council Entry'!Y$8),'Council Entry'!Y99))))-'Council Entry'!Y$5)/('Council Entry'!Y$6-'Council Entry'!Y$5),10*((IF('Council Entry'!Y$4="Logarithm",LN(0.001+IF(AND(ISNUMBER('Council Entry'!Y$8),ISNUMBER('Council Entry'!Y$9)),MAX(MIN('Council Entry'!Y99,'Council Entry'!Y$9),'Council Entry'!Y$8),'Council Entry'!Y99)),IF('Council Entry'!Y$4="Exponential",EXP(IF(AND(ISNUMBER('Council Entry'!Y$8),ISNUMBER('Council Entry'!Y$9)),MAX(MIN('Council Entry'!Y99,'Council Entry'!Y$9),'Council Entry'!Y$8),'Council Entry'!Y99)),IF(AND(ISNUMBER('Council Entry'!Y$8),ISNUMBER('Council Entry'!Y$9)),MAX(MIN('Council Entry'!Y99,'Council Entry'!Y$9),'Council Entry'!Y$8),'Council Entry'!Y99))))-'Council Entry'!Y$5)/('Council Entry'!Y$6-'Council Entry'!Y$5)),1))),"No data"))</f>
        <v/>
      </c>
      <c r="Z99" s="13">
        <f>IF('Council Entry'!Z99="","",IFERROR(MAX(0,MIN(10,ROUND(IF('Council Entry'!Z$7="Decrease Risk",10-10*((IF('Council Entry'!Z$4="Logarithm",LN(0.001+IF(AND(ISNUMBER('Council Entry'!Z$8),ISNUMBER('Council Entry'!Z$9)),MAX(MIN('Council Entry'!Z99,'Council Entry'!Z$9),'Council Entry'!Z$8),'Council Entry'!Z99)),IF('Council Entry'!Z$4="Exponential",EXP(IF(AND(ISNUMBER('Council Entry'!Z$8),ISNUMBER('Council Entry'!Z$9)),MAX(MIN('Council Entry'!Z99,'Council Entry'!Z$9),'Council Entry'!Z$8),'Council Entry'!Z99)),IF(AND(ISNUMBER('Council Entry'!Z$8),ISNUMBER('Council Entry'!Z$9)),MAX(MIN('Council Entry'!Z99,'Council Entry'!Z$9),'Council Entry'!Z$8),'Council Entry'!Z99))))-'Council Entry'!Z$5)/('Council Entry'!Z$6-'Council Entry'!Z$5),10*((IF('Council Entry'!Z$4="Logarithm",LN(0.001+IF(AND(ISNUMBER('Council Entry'!Z$8),ISNUMBER('Council Entry'!Z$9)),MAX(MIN('Council Entry'!Z99,'Council Entry'!Z$9),'Council Entry'!Z$8),'Council Entry'!Z99)),IF('Council Entry'!Z$4="Exponential",EXP(IF(AND(ISNUMBER('Council Entry'!Z$8),ISNUMBER('Council Entry'!Z$9)),MAX(MIN('Council Entry'!Z99,'Council Entry'!Z$9),'Council Entry'!Z$8),'Council Entry'!Z99)),IF(AND(ISNUMBER('Council Entry'!Z$8),ISNUMBER('Council Entry'!Z$9)),MAX(MIN('Council Entry'!Z99,'Council Entry'!Z$9),'Council Entry'!Z$8),'Council Entry'!Z99))))-'Council Entry'!Z$5)/('Council Entry'!Z$6-'Council Entry'!Z$5)),1))),"No data"))</f>
        <v/>
      </c>
      <c r="AA99" s="13">
        <f>IF('Council Entry'!AA99="","",IFERROR(MAX(0,MIN(10,ROUND(IF('Council Entry'!AA$7="Decrease Risk",10-10*((IF('Council Entry'!AA$4="Logarithm",LN(0.001+IF(AND(ISNUMBER('Council Entry'!AA$8),ISNUMBER('Council Entry'!AA$9)),MAX(MIN('Council Entry'!AA99,'Council Entry'!AA$9),'Council Entry'!AA$8),'Council Entry'!AA99)),IF('Council Entry'!AA$4="Exponential",EXP(IF(AND(ISNUMBER('Council Entry'!AA$8),ISNUMBER('Council Entry'!AA$9)),MAX(MIN('Council Entry'!AA99,'Council Entry'!AA$9),'Council Entry'!AA$8),'Council Entry'!AA99)),IF(AND(ISNUMBER('Council Entry'!AA$8),ISNUMBER('Council Entry'!AA$9)),MAX(MIN('Council Entry'!AA99,'Council Entry'!AA$9),'Council Entry'!AA$8),'Council Entry'!AA99))))-'Council Entry'!AA$5)/('Council Entry'!AA$6-'Council Entry'!AA$5),10*((IF('Council Entry'!AA$4="Logarithm",LN(0.001+IF(AND(ISNUMBER('Council Entry'!AA$8),ISNUMBER('Council Entry'!AA$9)),MAX(MIN('Council Entry'!AA99,'Council Entry'!AA$9),'Council Entry'!AA$8),'Council Entry'!AA99)),IF('Council Entry'!AA$4="Exponential",EXP(IF(AND(ISNUMBER('Council Entry'!AA$8),ISNUMBER('Council Entry'!AA$9)),MAX(MIN('Council Entry'!AA99,'Council Entry'!AA$9),'Council Entry'!AA$8),'Council Entry'!AA99)),IF(AND(ISNUMBER('Council Entry'!AA$8),ISNUMBER('Council Entry'!AA$9)),MAX(MIN('Council Entry'!AA99,'Council Entry'!AA$9),'Council Entry'!AA$8),'Council Entry'!AA99))))-'Council Entry'!AA$5)/('Council Entry'!AA$6-'Council Entry'!AA$5)),1))),"No data"))</f>
        <v/>
      </c>
      <c r="AB99" s="13">
        <f>IF('Council Entry'!AB99="","",IFERROR(MAX(0,MIN(10,ROUND(IF('Council Entry'!AB$7="Decrease Risk",10-10*((IF('Council Entry'!AB$4="Logarithm",LN(0.001+IF(AND(ISNUMBER('Council Entry'!AB$8),ISNUMBER('Council Entry'!AB$9)),MAX(MIN('Council Entry'!AB99,'Council Entry'!AB$9),'Council Entry'!AB$8),'Council Entry'!AB99)),IF('Council Entry'!AB$4="Exponential",EXP(IF(AND(ISNUMBER('Council Entry'!AB$8),ISNUMBER('Council Entry'!AB$9)),MAX(MIN('Council Entry'!AB99,'Council Entry'!AB$9),'Council Entry'!AB$8),'Council Entry'!AB99)),IF(AND(ISNUMBER('Council Entry'!AB$8),ISNUMBER('Council Entry'!AB$9)),MAX(MIN('Council Entry'!AB99,'Council Entry'!AB$9),'Council Entry'!AB$8),'Council Entry'!AB99))))-'Council Entry'!AB$5)/('Council Entry'!AB$6-'Council Entry'!AB$5),10*((IF('Council Entry'!AB$4="Logarithm",LN(0.001+IF(AND(ISNUMBER('Council Entry'!AB$8),ISNUMBER('Council Entry'!AB$9)),MAX(MIN('Council Entry'!AB99,'Council Entry'!AB$9),'Council Entry'!AB$8),'Council Entry'!AB99)),IF('Council Entry'!AB$4="Exponential",EXP(IF(AND(ISNUMBER('Council Entry'!AB$8),ISNUMBER('Council Entry'!AB$9)),MAX(MIN('Council Entry'!AB99,'Council Entry'!AB$9),'Council Entry'!AB$8),'Council Entry'!AB99)),IF(AND(ISNUMBER('Council Entry'!AB$8),ISNUMBER('Council Entry'!AB$9)),MAX(MIN('Council Entry'!AB99,'Council Entry'!AB$9),'Council Entry'!AB$8),'Council Entry'!AB99))))-'Council Entry'!AB$5)/('Council Entry'!AB$6-'Council Entry'!AB$5)),1))),"No data"))</f>
        <v/>
      </c>
      <c r="AC99" s="13">
        <f>IF('Council Entry'!AC99="","",IFERROR(MAX(0,MIN(10,ROUND(IF('Council Entry'!AC$7="Decrease Risk",10-10*((IF('Council Entry'!AC$4="Logarithm",LN(0.001+IF(AND(ISNUMBER('Council Entry'!AC$8),ISNUMBER('Council Entry'!AC$9)),MAX(MIN('Council Entry'!AC99,'Council Entry'!AC$9),'Council Entry'!AC$8),'Council Entry'!AC99)),IF('Council Entry'!AC$4="Exponential",EXP(IF(AND(ISNUMBER('Council Entry'!AC$8),ISNUMBER('Council Entry'!AC$9)),MAX(MIN('Council Entry'!AC99,'Council Entry'!AC$9),'Council Entry'!AC$8),'Council Entry'!AC99)),IF(AND(ISNUMBER('Council Entry'!AC$8),ISNUMBER('Council Entry'!AC$9)),MAX(MIN('Council Entry'!AC99,'Council Entry'!AC$9),'Council Entry'!AC$8),'Council Entry'!AC99))))-'Council Entry'!AC$5)/('Council Entry'!AC$6-'Council Entry'!AC$5),10*((IF('Council Entry'!AC$4="Logarithm",LN(0.001+IF(AND(ISNUMBER('Council Entry'!AC$8),ISNUMBER('Council Entry'!AC$9)),MAX(MIN('Council Entry'!AC99,'Council Entry'!AC$9),'Council Entry'!AC$8),'Council Entry'!AC99)),IF('Council Entry'!AC$4="Exponential",EXP(IF(AND(ISNUMBER('Council Entry'!AC$8),ISNUMBER('Council Entry'!AC$9)),MAX(MIN('Council Entry'!AC99,'Council Entry'!AC$9),'Council Entry'!AC$8),'Council Entry'!AC99)),IF(AND(ISNUMBER('Council Entry'!AC$8),ISNUMBER('Council Entry'!AC$9)),MAX(MIN('Council Entry'!AC99,'Council Entry'!AC$9),'Council Entry'!AC$8),'Council Entry'!AC99))))-'Council Entry'!AC$5)/('Council Entry'!AC$6-'Council Entry'!AC$5)),1))),"No data"))</f>
        <v/>
      </c>
      <c r="AD99" s="13">
        <f>IF('Council Entry'!AD99="","",IFERROR(MAX(0,MIN(10,ROUND(IF('Council Entry'!AD$7="Decrease Risk",10-10*((IF('Council Entry'!AD$4="Logarithm",LN(0.001+IF(AND(ISNUMBER('Council Entry'!AD$8),ISNUMBER('Council Entry'!AD$9)),MAX(MIN('Council Entry'!AD99,'Council Entry'!AD$9),'Council Entry'!AD$8),'Council Entry'!AD99)),IF('Council Entry'!AD$4="Exponential",EXP(IF(AND(ISNUMBER('Council Entry'!AD$8),ISNUMBER('Council Entry'!AD$9)),MAX(MIN('Council Entry'!AD99,'Council Entry'!AD$9),'Council Entry'!AD$8),'Council Entry'!AD99)),IF(AND(ISNUMBER('Council Entry'!AD$8),ISNUMBER('Council Entry'!AD$9)),MAX(MIN('Council Entry'!AD99,'Council Entry'!AD$9),'Council Entry'!AD$8),'Council Entry'!AD99))))-'Council Entry'!AD$5)/('Council Entry'!AD$6-'Council Entry'!AD$5),10*((IF('Council Entry'!AD$4="Logarithm",LN(0.001+IF(AND(ISNUMBER('Council Entry'!AD$8),ISNUMBER('Council Entry'!AD$9)),MAX(MIN('Council Entry'!AD99,'Council Entry'!AD$9),'Council Entry'!AD$8),'Council Entry'!AD99)),IF('Council Entry'!AD$4="Exponential",EXP(IF(AND(ISNUMBER('Council Entry'!AD$8),ISNUMBER('Council Entry'!AD$9)),MAX(MIN('Council Entry'!AD99,'Council Entry'!AD$9),'Council Entry'!AD$8),'Council Entry'!AD99)),IF(AND(ISNUMBER('Council Entry'!AD$8),ISNUMBER('Council Entry'!AD$9)),MAX(MIN('Council Entry'!AD99,'Council Entry'!AD$9),'Council Entry'!AD$8),'Council Entry'!AD99))))-'Council Entry'!AD$5)/('Council Entry'!AD$6-'Council Entry'!AD$5)),1))),"No data"))</f>
        <v/>
      </c>
      <c r="AE99" s="13">
        <f>IF('Council Entry'!AE99="","",IFERROR(MAX(0,MIN(10,ROUND(IF('Council Entry'!AE$7="Decrease Risk",10-10*((IF('Council Entry'!AE$4="Logarithm",LN(0.001+IF(AND(ISNUMBER('Council Entry'!AE$8),ISNUMBER('Council Entry'!AE$9)),MAX(MIN('Council Entry'!AE99,'Council Entry'!AE$9),'Council Entry'!AE$8),'Council Entry'!AE99)),IF('Council Entry'!AE$4="Exponential",EXP(IF(AND(ISNUMBER('Council Entry'!AE$8),ISNUMBER('Council Entry'!AE$9)),MAX(MIN('Council Entry'!AE99,'Council Entry'!AE$9),'Council Entry'!AE$8),'Council Entry'!AE99)),IF(AND(ISNUMBER('Council Entry'!AE$8),ISNUMBER('Council Entry'!AE$9)),MAX(MIN('Council Entry'!AE99,'Council Entry'!AE$9),'Council Entry'!AE$8),'Council Entry'!AE99))))-'Council Entry'!AE$5)/('Council Entry'!AE$6-'Council Entry'!AE$5),10*((IF('Council Entry'!AE$4="Logarithm",LN(0.001+IF(AND(ISNUMBER('Council Entry'!AE$8),ISNUMBER('Council Entry'!AE$9)),MAX(MIN('Council Entry'!AE99,'Council Entry'!AE$9),'Council Entry'!AE$8),'Council Entry'!AE99)),IF('Council Entry'!AE$4="Exponential",EXP(IF(AND(ISNUMBER('Council Entry'!AE$8),ISNUMBER('Council Entry'!AE$9)),MAX(MIN('Council Entry'!AE99,'Council Entry'!AE$9),'Council Entry'!AE$8),'Council Entry'!AE99)),IF(AND(ISNUMBER('Council Entry'!AE$8),ISNUMBER('Council Entry'!AE$9)),MAX(MIN('Council Entry'!AE99,'Council Entry'!AE$9),'Council Entry'!AE$8),'Council Entry'!AE99))))-'Council Entry'!AE$5)/('Council Entry'!AE$6-'Council Entry'!AE$5)),1))),"No data"))</f>
        <v/>
      </c>
      <c r="AF99" s="13">
        <f>IF('Council Entry'!AF99="","",IFERROR(MAX(0,MIN(10,ROUND(IF('Council Entry'!AF$7="Decrease Risk",10-10*((IF('Council Entry'!AF$4="Logarithm",LN(0.001+IF(AND(ISNUMBER('Council Entry'!AF$8),ISNUMBER('Council Entry'!AF$9)),MAX(MIN('Council Entry'!AF99,'Council Entry'!AF$9),'Council Entry'!AF$8),'Council Entry'!AF99)),IF('Council Entry'!AF$4="Exponential",EXP(IF(AND(ISNUMBER('Council Entry'!AF$8),ISNUMBER('Council Entry'!AF$9)),MAX(MIN('Council Entry'!AF99,'Council Entry'!AF$9),'Council Entry'!AF$8),'Council Entry'!AF99)),IF(AND(ISNUMBER('Council Entry'!AF$8),ISNUMBER('Council Entry'!AF$9)),MAX(MIN('Council Entry'!AF99,'Council Entry'!AF$9),'Council Entry'!AF$8),'Council Entry'!AF99))))-'Council Entry'!AF$5)/('Council Entry'!AF$6-'Council Entry'!AF$5),10*((IF('Council Entry'!AF$4="Logarithm",LN(0.001+IF(AND(ISNUMBER('Council Entry'!AF$8),ISNUMBER('Council Entry'!AF$9)),MAX(MIN('Council Entry'!AF99,'Council Entry'!AF$9),'Council Entry'!AF$8),'Council Entry'!AF99)),IF('Council Entry'!AF$4="Exponential",EXP(IF(AND(ISNUMBER('Council Entry'!AF$8),ISNUMBER('Council Entry'!AF$9)),MAX(MIN('Council Entry'!AF99,'Council Entry'!AF$9),'Council Entry'!AF$8),'Council Entry'!AF99)),IF(AND(ISNUMBER('Council Entry'!AF$8),ISNUMBER('Council Entry'!AF$9)),MAX(MIN('Council Entry'!AF99,'Council Entry'!AF$9),'Council Entry'!AF$8),'Council Entry'!AF99))))-'Council Entry'!AF$5)/('Council Entry'!AF$6-'Council Entry'!AF$5)),1))),"No data"))</f>
        <v/>
      </c>
      <c r="AG99" s="13">
        <f>IF('Council Entry'!AG99="","",IFERROR(MAX(0,MIN(10,ROUND(IF('Council Entry'!AG$7="Decrease Risk",10-10*((IF('Council Entry'!AG$4="Logarithm",LN(0.001+IF(AND(ISNUMBER('Council Entry'!AG$8),ISNUMBER('Council Entry'!AG$9)),MAX(MIN('Council Entry'!AG99,'Council Entry'!AG$9),'Council Entry'!AG$8),'Council Entry'!AG99)),IF('Council Entry'!AG$4="Exponential",EXP(IF(AND(ISNUMBER('Council Entry'!AG$8),ISNUMBER('Council Entry'!AG$9)),MAX(MIN('Council Entry'!AG99,'Council Entry'!AG$9),'Council Entry'!AG$8),'Council Entry'!AG99)),IF(AND(ISNUMBER('Council Entry'!AG$8),ISNUMBER('Council Entry'!AG$9)),MAX(MIN('Council Entry'!AG99,'Council Entry'!AG$9),'Council Entry'!AG$8),'Council Entry'!AG99))))-'Council Entry'!AG$5)/('Council Entry'!AG$6-'Council Entry'!AG$5),10*((IF('Council Entry'!AG$4="Logarithm",LN(0.001+IF(AND(ISNUMBER('Council Entry'!AG$8),ISNUMBER('Council Entry'!AG$9)),MAX(MIN('Council Entry'!AG99,'Council Entry'!AG$9),'Council Entry'!AG$8),'Council Entry'!AG99)),IF('Council Entry'!AG$4="Exponential",EXP(IF(AND(ISNUMBER('Council Entry'!AG$8),ISNUMBER('Council Entry'!AG$9)),MAX(MIN('Council Entry'!AG99,'Council Entry'!AG$9),'Council Entry'!AG$8),'Council Entry'!AG99)),IF(AND(ISNUMBER('Council Entry'!AG$8),ISNUMBER('Council Entry'!AG$9)),MAX(MIN('Council Entry'!AG99,'Council Entry'!AG$9),'Council Entry'!AG$8),'Council Entry'!AG99))))-'Council Entry'!AG$5)/('Council Entry'!AG$6-'Council Entry'!AG$5)),1))),"No data"))</f>
        <v/>
      </c>
      <c r="AH99" s="13">
        <f>IF('Council Entry'!AH99="","",IFERROR(MAX(0,MIN(10,ROUND(IF('Council Entry'!AH$7="Decrease Risk",10-10*((IF('Council Entry'!AH$4="Logarithm",LN(0.001+IF(AND(ISNUMBER('Council Entry'!AH$8),ISNUMBER('Council Entry'!AH$9)),MAX(MIN('Council Entry'!AH99,'Council Entry'!AH$9),'Council Entry'!AH$8),'Council Entry'!AH99)),IF('Council Entry'!AH$4="Exponential",EXP(IF(AND(ISNUMBER('Council Entry'!AH$8),ISNUMBER('Council Entry'!AH$9)),MAX(MIN('Council Entry'!AH99,'Council Entry'!AH$9),'Council Entry'!AH$8),'Council Entry'!AH99)),IF(AND(ISNUMBER('Council Entry'!AH$8),ISNUMBER('Council Entry'!AH$9)),MAX(MIN('Council Entry'!AH99,'Council Entry'!AH$9),'Council Entry'!AH$8),'Council Entry'!AH99))))-'Council Entry'!AH$5)/('Council Entry'!AH$6-'Council Entry'!AH$5),10*((IF('Council Entry'!AH$4="Logarithm",LN(0.001+IF(AND(ISNUMBER('Council Entry'!AH$8),ISNUMBER('Council Entry'!AH$9)),MAX(MIN('Council Entry'!AH99,'Council Entry'!AH$9),'Council Entry'!AH$8),'Council Entry'!AH99)),IF('Council Entry'!AH$4="Exponential",EXP(IF(AND(ISNUMBER('Council Entry'!AH$8),ISNUMBER('Council Entry'!AH$9)),MAX(MIN('Council Entry'!AH99,'Council Entry'!AH$9),'Council Entry'!AH$8),'Council Entry'!AH99)),IF(AND(ISNUMBER('Council Entry'!AH$8),ISNUMBER('Council Entry'!AH$9)),MAX(MIN('Council Entry'!AH99,'Council Entry'!AH$9),'Council Entry'!AH$8),'Council Entry'!AH99))))-'Council Entry'!AH$5)/('Council Entry'!AH$6-'Council Entry'!AH$5)),1))),"No data"))</f>
        <v/>
      </c>
      <c r="AI99" s="13">
        <f>IF('Council Entry'!AI99="","",IFERROR(MAX(0,MIN(10,ROUND(IF('Council Entry'!AI$7="Decrease Risk",10-10*((IF('Council Entry'!AI$4="Logarithm",LN(0.001+IF(AND(ISNUMBER('Council Entry'!AI$8),ISNUMBER('Council Entry'!AI$9)),MAX(MIN('Council Entry'!AI99,'Council Entry'!AI$9),'Council Entry'!AI$8),'Council Entry'!AI99)),IF('Council Entry'!AI$4="Exponential",EXP(IF(AND(ISNUMBER('Council Entry'!AI$8),ISNUMBER('Council Entry'!AI$9)),MAX(MIN('Council Entry'!AI99,'Council Entry'!AI$9),'Council Entry'!AI$8),'Council Entry'!AI99)),IF(AND(ISNUMBER('Council Entry'!AI$8),ISNUMBER('Council Entry'!AI$9)),MAX(MIN('Council Entry'!AI99,'Council Entry'!AI$9),'Council Entry'!AI$8),'Council Entry'!AI99))))-'Council Entry'!AI$5)/('Council Entry'!AI$6-'Council Entry'!AI$5),10*((IF('Council Entry'!AI$4="Logarithm",LN(0.001+IF(AND(ISNUMBER('Council Entry'!AI$8),ISNUMBER('Council Entry'!AI$9)),MAX(MIN('Council Entry'!AI99,'Council Entry'!AI$9),'Council Entry'!AI$8),'Council Entry'!AI99)),IF('Council Entry'!AI$4="Exponential",EXP(IF(AND(ISNUMBER('Council Entry'!AI$8),ISNUMBER('Council Entry'!AI$9)),MAX(MIN('Council Entry'!AI99,'Council Entry'!AI$9),'Council Entry'!AI$8),'Council Entry'!AI99)),IF(AND(ISNUMBER('Council Entry'!AI$8),ISNUMBER('Council Entry'!AI$9)),MAX(MIN('Council Entry'!AI99,'Council Entry'!AI$9),'Council Entry'!AI$8),'Council Entry'!AI99))))-'Council Entry'!AI$5)/('Council Entry'!AI$6-'Council Entry'!AI$5)),1))),"No data"))</f>
        <v/>
      </c>
      <c r="AJ99" s="13">
        <f>IF('Council Entry'!AJ99="","",IFERROR(MAX(0,MIN(10,ROUND(IF('Council Entry'!AJ$7="Decrease Risk",10-10*((IF('Council Entry'!AJ$4="Logarithm",LN(0.001+IF(AND(ISNUMBER('Council Entry'!AJ$8),ISNUMBER('Council Entry'!AJ$9)),MAX(MIN('Council Entry'!AJ99,'Council Entry'!AJ$9),'Council Entry'!AJ$8),'Council Entry'!AJ99)),IF('Council Entry'!AJ$4="Exponential",EXP(IF(AND(ISNUMBER('Council Entry'!AJ$8),ISNUMBER('Council Entry'!AJ$9)),MAX(MIN('Council Entry'!AJ99,'Council Entry'!AJ$9),'Council Entry'!AJ$8),'Council Entry'!AJ99)),IF(AND(ISNUMBER('Council Entry'!AJ$8),ISNUMBER('Council Entry'!AJ$9)),MAX(MIN('Council Entry'!AJ99,'Council Entry'!AJ$9),'Council Entry'!AJ$8),'Council Entry'!AJ99))))-'Council Entry'!AJ$5)/('Council Entry'!AJ$6-'Council Entry'!AJ$5),10*((IF('Council Entry'!AJ$4="Logarithm",LN(0.001+IF(AND(ISNUMBER('Council Entry'!AJ$8),ISNUMBER('Council Entry'!AJ$9)),MAX(MIN('Council Entry'!AJ99,'Council Entry'!AJ$9),'Council Entry'!AJ$8),'Council Entry'!AJ99)),IF('Council Entry'!AJ$4="Exponential",EXP(IF(AND(ISNUMBER('Council Entry'!AJ$8),ISNUMBER('Council Entry'!AJ$9)),MAX(MIN('Council Entry'!AJ99,'Council Entry'!AJ$9),'Council Entry'!AJ$8),'Council Entry'!AJ99)),IF(AND(ISNUMBER('Council Entry'!AJ$8),ISNUMBER('Council Entry'!AJ$9)),MAX(MIN('Council Entry'!AJ99,'Council Entry'!AJ$9),'Council Entry'!AJ$8),'Council Entry'!AJ99))))-'Council Entry'!AJ$5)/('Council Entry'!AJ$6-'Council Entry'!AJ$5)),1))),"No data"))</f>
        <v/>
      </c>
      <c r="AK99" s="13">
        <f>IF('Council Entry'!AK99="","",IFERROR(MAX(0,MIN(10,ROUND(IF('Council Entry'!AK$7="Decrease Risk",10-10*((IF('Council Entry'!AK$4="Logarithm",LN(0.001+IF(AND(ISNUMBER('Council Entry'!AK$8),ISNUMBER('Council Entry'!AK$9)),MAX(MIN('Council Entry'!AK99,'Council Entry'!AK$9),'Council Entry'!AK$8),'Council Entry'!AK99)),IF('Council Entry'!AK$4="Exponential",EXP(IF(AND(ISNUMBER('Council Entry'!AK$8),ISNUMBER('Council Entry'!AK$9)),MAX(MIN('Council Entry'!AK99,'Council Entry'!AK$9),'Council Entry'!AK$8),'Council Entry'!AK99)),IF(AND(ISNUMBER('Council Entry'!AK$8),ISNUMBER('Council Entry'!AK$9)),MAX(MIN('Council Entry'!AK99,'Council Entry'!AK$9),'Council Entry'!AK$8),'Council Entry'!AK99))))-'Council Entry'!AK$5)/('Council Entry'!AK$6-'Council Entry'!AK$5),10*((IF('Council Entry'!AK$4="Logarithm",LN(0.001+IF(AND(ISNUMBER('Council Entry'!AK$8),ISNUMBER('Council Entry'!AK$9)),MAX(MIN('Council Entry'!AK99,'Council Entry'!AK$9),'Council Entry'!AK$8),'Council Entry'!AK99)),IF('Council Entry'!AK$4="Exponential",EXP(IF(AND(ISNUMBER('Council Entry'!AK$8),ISNUMBER('Council Entry'!AK$9)),MAX(MIN('Council Entry'!AK99,'Council Entry'!AK$9),'Council Entry'!AK$8),'Council Entry'!AK99)),IF(AND(ISNUMBER('Council Entry'!AK$8),ISNUMBER('Council Entry'!AK$9)),MAX(MIN('Council Entry'!AK99,'Council Entry'!AK$9),'Council Entry'!AK$8),'Council Entry'!AK99))))-'Council Entry'!AK$5)/('Council Entry'!AK$6-'Council Entry'!AK$5)),1))),"No data"))</f>
        <v/>
      </c>
      <c r="AL99" s="13">
        <f>IF('Council Entry'!AL99="","",IFERROR(MAX(0,MIN(10,ROUND(IF('Council Entry'!AL$7="Decrease Risk",10-10*((IF('Council Entry'!AL$4="Logarithm",LN(0.001+IF(AND(ISNUMBER('Council Entry'!AL$8),ISNUMBER('Council Entry'!AL$9)),MAX(MIN('Council Entry'!AL99,'Council Entry'!AL$9),'Council Entry'!AL$8),'Council Entry'!AL99)),IF('Council Entry'!AL$4="Exponential",EXP(IF(AND(ISNUMBER('Council Entry'!AL$8),ISNUMBER('Council Entry'!AL$9)),MAX(MIN('Council Entry'!AL99,'Council Entry'!AL$9),'Council Entry'!AL$8),'Council Entry'!AL99)),IF(AND(ISNUMBER('Council Entry'!AL$8),ISNUMBER('Council Entry'!AL$9)),MAX(MIN('Council Entry'!AL99,'Council Entry'!AL$9),'Council Entry'!AL$8),'Council Entry'!AL99))))-'Council Entry'!AL$5)/('Council Entry'!AL$6-'Council Entry'!AL$5),10*((IF('Council Entry'!AL$4="Logarithm",LN(0.001+IF(AND(ISNUMBER('Council Entry'!AL$8),ISNUMBER('Council Entry'!AL$9)),MAX(MIN('Council Entry'!AL99,'Council Entry'!AL$9),'Council Entry'!AL$8),'Council Entry'!AL99)),IF('Council Entry'!AL$4="Exponential",EXP(IF(AND(ISNUMBER('Council Entry'!AL$8),ISNUMBER('Council Entry'!AL$9)),MAX(MIN('Council Entry'!AL99,'Council Entry'!AL$9),'Council Entry'!AL$8),'Council Entry'!AL99)),IF(AND(ISNUMBER('Council Entry'!AL$8),ISNUMBER('Council Entry'!AL$9)),MAX(MIN('Council Entry'!AL99,'Council Entry'!AL$9),'Council Entry'!AL$8),'Council Entry'!AL99))))-'Council Entry'!AL$5)/('Council Entry'!AL$6-'Council Entry'!AL$5)),1))),"No data"))</f>
        <v/>
      </c>
      <c r="AM99" s="13">
        <f>IF('Council Entry'!AM99="","",IFERROR(MAX(0,MIN(10,ROUND(IF('Council Entry'!AM$7="Decrease Risk",10-10*((IF('Council Entry'!AM$4="Logarithm",LN(0.001+IF(AND(ISNUMBER('Council Entry'!AM$8),ISNUMBER('Council Entry'!AM$9)),MAX(MIN('Council Entry'!AM99,'Council Entry'!AM$9),'Council Entry'!AM$8),'Council Entry'!AM99)),IF('Council Entry'!AM$4="Exponential",EXP(IF(AND(ISNUMBER('Council Entry'!AM$8),ISNUMBER('Council Entry'!AM$9)),MAX(MIN('Council Entry'!AM99,'Council Entry'!AM$9),'Council Entry'!AM$8),'Council Entry'!AM99)),IF(AND(ISNUMBER('Council Entry'!AM$8),ISNUMBER('Council Entry'!AM$9)),MAX(MIN('Council Entry'!AM99,'Council Entry'!AM$9),'Council Entry'!AM$8),'Council Entry'!AM99))))-'Council Entry'!AM$5)/('Council Entry'!AM$6-'Council Entry'!AM$5),10*((IF('Council Entry'!AM$4="Logarithm",LN(0.001+IF(AND(ISNUMBER('Council Entry'!AM$8),ISNUMBER('Council Entry'!AM$9)),MAX(MIN('Council Entry'!AM99,'Council Entry'!AM$9),'Council Entry'!AM$8),'Council Entry'!AM99)),IF('Council Entry'!AM$4="Exponential",EXP(IF(AND(ISNUMBER('Council Entry'!AM$8),ISNUMBER('Council Entry'!AM$9)),MAX(MIN('Council Entry'!AM99,'Council Entry'!AM$9),'Council Entry'!AM$8),'Council Entry'!AM99)),IF(AND(ISNUMBER('Council Entry'!AM$8),ISNUMBER('Council Entry'!AM$9)),MAX(MIN('Council Entry'!AM99,'Council Entry'!AM$9),'Council Entry'!AM$8),'Council Entry'!AM99))))-'Council Entry'!AM$5)/('Council Entry'!AM$6-'Council Entry'!AM$5)),1))),"No data"))</f>
        <v/>
      </c>
      <c r="AN99" s="13">
        <f>IF('Council Entry'!AN99="","",IFERROR(MAX(0,MIN(10,ROUND(IF('Council Entry'!AN$7="Decrease Risk",10-10*((IF('Council Entry'!AN$4="Logarithm",LN(0.001+IF(AND(ISNUMBER('Council Entry'!AN$8),ISNUMBER('Council Entry'!AN$9)),MAX(MIN('Council Entry'!AN99,'Council Entry'!AN$9),'Council Entry'!AN$8),'Council Entry'!AN99)),IF('Council Entry'!AN$4="Exponential",EXP(IF(AND(ISNUMBER('Council Entry'!AN$8),ISNUMBER('Council Entry'!AN$9)),MAX(MIN('Council Entry'!AN99,'Council Entry'!AN$9),'Council Entry'!AN$8),'Council Entry'!AN99)),IF(AND(ISNUMBER('Council Entry'!AN$8),ISNUMBER('Council Entry'!AN$9)),MAX(MIN('Council Entry'!AN99,'Council Entry'!AN$9),'Council Entry'!AN$8),'Council Entry'!AN99))))-'Council Entry'!AN$5)/('Council Entry'!AN$6-'Council Entry'!AN$5),10*((IF('Council Entry'!AN$4="Logarithm",LN(0.001+IF(AND(ISNUMBER('Council Entry'!AN$8),ISNUMBER('Council Entry'!AN$9)),MAX(MIN('Council Entry'!AN99,'Council Entry'!AN$9),'Council Entry'!AN$8),'Council Entry'!AN99)),IF('Council Entry'!AN$4="Exponential",EXP(IF(AND(ISNUMBER('Council Entry'!AN$8),ISNUMBER('Council Entry'!AN$9)),MAX(MIN('Council Entry'!AN99,'Council Entry'!AN$9),'Council Entry'!AN$8),'Council Entry'!AN99)),IF(AND(ISNUMBER('Council Entry'!AN$8),ISNUMBER('Council Entry'!AN$9)),MAX(MIN('Council Entry'!AN99,'Council Entry'!AN$9),'Council Entry'!AN$8),'Council Entry'!AN99))))-'Council Entry'!AN$5)/('Council Entry'!AN$6-'Council Entry'!AN$5)),1))),"No data"))</f>
        <v/>
      </c>
      <c r="AO99" s="13">
        <f>IF('Council Entry'!AO99="","",IFERROR(MAX(0,MIN(10,ROUND(IF('Council Entry'!AO$7="Decrease Risk",10-10*((IF('Council Entry'!AO$4="Logarithm",LN(0.001+IF(AND(ISNUMBER('Council Entry'!AO$8),ISNUMBER('Council Entry'!AO$9)),MAX(MIN('Council Entry'!AO99,'Council Entry'!AO$9),'Council Entry'!AO$8),'Council Entry'!AO99)),IF('Council Entry'!AO$4="Exponential",EXP(IF(AND(ISNUMBER('Council Entry'!AO$8),ISNUMBER('Council Entry'!AO$9)),MAX(MIN('Council Entry'!AO99,'Council Entry'!AO$9),'Council Entry'!AO$8),'Council Entry'!AO99)),IF(AND(ISNUMBER('Council Entry'!AO$8),ISNUMBER('Council Entry'!AO$9)),MAX(MIN('Council Entry'!AO99,'Council Entry'!AO$9),'Council Entry'!AO$8),'Council Entry'!AO99))))-'Council Entry'!AO$5)/('Council Entry'!AO$6-'Council Entry'!AO$5),10*((IF('Council Entry'!AO$4="Logarithm",LN(0.001+IF(AND(ISNUMBER('Council Entry'!AO$8),ISNUMBER('Council Entry'!AO$9)),MAX(MIN('Council Entry'!AO99,'Council Entry'!AO$9),'Council Entry'!AO$8),'Council Entry'!AO99)),IF('Council Entry'!AO$4="Exponential",EXP(IF(AND(ISNUMBER('Council Entry'!AO$8),ISNUMBER('Council Entry'!AO$9)),MAX(MIN('Council Entry'!AO99,'Council Entry'!AO$9),'Council Entry'!AO$8),'Council Entry'!AO99)),IF(AND(ISNUMBER('Council Entry'!AO$8),ISNUMBER('Council Entry'!AO$9)),MAX(MIN('Council Entry'!AO99,'Council Entry'!AO$9),'Council Entry'!AO$8),'Council Entry'!AO99))))-'Council Entry'!AO$5)/('Council Entry'!AO$6-'Council Entry'!AO$5)),1))),"No data"))</f>
        <v/>
      </c>
      <c r="AP99" s="13">
        <f>IF('Council Entry'!AP99="","",IFERROR(MAX(0,MIN(10,ROUND(IF('Council Entry'!AP$7="Decrease Risk",10-10*((IF('Council Entry'!AP$4="Logarithm",LN(0.001+IF(AND(ISNUMBER('Council Entry'!AP$8),ISNUMBER('Council Entry'!AP$9)),MAX(MIN('Council Entry'!AP99,'Council Entry'!AP$9),'Council Entry'!AP$8),'Council Entry'!AP99)),IF('Council Entry'!AP$4="Exponential",EXP(IF(AND(ISNUMBER('Council Entry'!AP$8),ISNUMBER('Council Entry'!AP$9)),MAX(MIN('Council Entry'!AP99,'Council Entry'!AP$9),'Council Entry'!AP$8),'Council Entry'!AP99)),IF(AND(ISNUMBER('Council Entry'!AP$8),ISNUMBER('Council Entry'!AP$9)),MAX(MIN('Council Entry'!AP99,'Council Entry'!AP$9),'Council Entry'!AP$8),'Council Entry'!AP99))))-'Council Entry'!AP$5)/('Council Entry'!AP$6-'Council Entry'!AP$5),10*((IF('Council Entry'!AP$4="Logarithm",LN(0.001+IF(AND(ISNUMBER('Council Entry'!AP$8),ISNUMBER('Council Entry'!AP$9)),MAX(MIN('Council Entry'!AP99,'Council Entry'!AP$9),'Council Entry'!AP$8),'Council Entry'!AP99)),IF('Council Entry'!AP$4="Exponential",EXP(IF(AND(ISNUMBER('Council Entry'!AP$8),ISNUMBER('Council Entry'!AP$9)),MAX(MIN('Council Entry'!AP99,'Council Entry'!AP$9),'Council Entry'!AP$8),'Council Entry'!AP99)),IF(AND(ISNUMBER('Council Entry'!AP$8),ISNUMBER('Council Entry'!AP$9)),MAX(MIN('Council Entry'!AP99,'Council Entry'!AP$9),'Council Entry'!AP$8),'Council Entry'!AP99))))-'Council Entry'!AP$5)/('Council Entry'!AP$6-'Council Entry'!AP$5)),1))),"No data"))</f>
        <v/>
      </c>
      <c r="AQ99" s="13">
        <f>IF('Council Entry'!AQ99="","",IFERROR(MAX(0,MIN(10,ROUND(IF('Council Entry'!AQ$7="Decrease Risk",10-10*((IF('Council Entry'!AQ$4="Logarithm",LN(0.001+IF(AND(ISNUMBER('Council Entry'!AQ$8),ISNUMBER('Council Entry'!AQ$9)),MAX(MIN('Council Entry'!AQ99,'Council Entry'!AQ$9),'Council Entry'!AQ$8),'Council Entry'!AQ99)),IF('Council Entry'!AQ$4="Exponential",EXP(IF(AND(ISNUMBER('Council Entry'!AQ$8),ISNUMBER('Council Entry'!AQ$9)),MAX(MIN('Council Entry'!AQ99,'Council Entry'!AQ$9),'Council Entry'!AQ$8),'Council Entry'!AQ99)),IF(AND(ISNUMBER('Council Entry'!AQ$8),ISNUMBER('Council Entry'!AQ$9)),MAX(MIN('Council Entry'!AQ99,'Council Entry'!AQ$9),'Council Entry'!AQ$8),'Council Entry'!AQ99))))-'Council Entry'!AQ$5)/('Council Entry'!AQ$6-'Council Entry'!AQ$5),10*((IF('Council Entry'!AQ$4="Logarithm",LN(0.001+IF(AND(ISNUMBER('Council Entry'!AQ$8),ISNUMBER('Council Entry'!AQ$9)),MAX(MIN('Council Entry'!AQ99,'Council Entry'!AQ$9),'Council Entry'!AQ$8),'Council Entry'!AQ99)),IF('Council Entry'!AQ$4="Exponential",EXP(IF(AND(ISNUMBER('Council Entry'!AQ$8),ISNUMBER('Council Entry'!AQ$9)),MAX(MIN('Council Entry'!AQ99,'Council Entry'!AQ$9),'Council Entry'!AQ$8),'Council Entry'!AQ99)),IF(AND(ISNUMBER('Council Entry'!AQ$8),ISNUMBER('Council Entry'!AQ$9)),MAX(MIN('Council Entry'!AQ99,'Council Entry'!AQ$9),'Council Entry'!AQ$8),'Council Entry'!AQ99))))-'Council Entry'!AQ$5)/('Council Entry'!AQ$6-'Council Entry'!AQ$5)),1))),"No data"))</f>
        <v/>
      </c>
      <c r="AR99" s="13">
        <f>IF('Council Entry'!AR99="","",IFERROR(MAX(0,MIN(10,ROUND(IF('Council Entry'!AR$7="Decrease Risk",10-10*((IF('Council Entry'!AR$4="Logarithm",LN(0.001+IF(AND(ISNUMBER('Council Entry'!AR$8),ISNUMBER('Council Entry'!AR$9)),MAX(MIN('Council Entry'!AR99,'Council Entry'!AR$9),'Council Entry'!AR$8),'Council Entry'!AR99)),IF('Council Entry'!AR$4="Exponential",EXP(IF(AND(ISNUMBER('Council Entry'!AR$8),ISNUMBER('Council Entry'!AR$9)),MAX(MIN('Council Entry'!AR99,'Council Entry'!AR$9),'Council Entry'!AR$8),'Council Entry'!AR99)),IF(AND(ISNUMBER('Council Entry'!AR$8),ISNUMBER('Council Entry'!AR$9)),MAX(MIN('Council Entry'!AR99,'Council Entry'!AR$9),'Council Entry'!AR$8),'Council Entry'!AR99))))-'Council Entry'!AR$5)/('Council Entry'!AR$6-'Council Entry'!AR$5),10*((IF('Council Entry'!AR$4="Logarithm",LN(0.001+IF(AND(ISNUMBER('Council Entry'!AR$8),ISNUMBER('Council Entry'!AR$9)),MAX(MIN('Council Entry'!AR99,'Council Entry'!AR$9),'Council Entry'!AR$8),'Council Entry'!AR99)),IF('Council Entry'!AR$4="Exponential",EXP(IF(AND(ISNUMBER('Council Entry'!AR$8),ISNUMBER('Council Entry'!AR$9)),MAX(MIN('Council Entry'!AR99,'Council Entry'!AR$9),'Council Entry'!AR$8),'Council Entry'!AR99)),IF(AND(ISNUMBER('Council Entry'!AR$8),ISNUMBER('Council Entry'!AR$9)),MAX(MIN('Council Entry'!AR99,'Council Entry'!AR$9),'Council Entry'!AR$8),'Council Entry'!AR99))))-'Council Entry'!AR$5)/('Council Entry'!AR$6-'Council Entry'!AR$5)),1))),"No data"))</f>
        <v/>
      </c>
      <c r="AS99" s="13">
        <f>IF('Council Entry'!AS99="","",IFERROR(MAX(0,MIN(10,ROUND(IF('Council Entry'!AS$7="Decrease Risk",10-10*((IF('Council Entry'!AS$4="Logarithm",LN(0.001+IF(AND(ISNUMBER('Council Entry'!AS$8),ISNUMBER('Council Entry'!AS$9)),MAX(MIN('Council Entry'!AS99,'Council Entry'!AS$9),'Council Entry'!AS$8),'Council Entry'!AS99)),IF('Council Entry'!AS$4="Exponential",EXP(IF(AND(ISNUMBER('Council Entry'!AS$8),ISNUMBER('Council Entry'!AS$9)),MAX(MIN('Council Entry'!AS99,'Council Entry'!AS$9),'Council Entry'!AS$8),'Council Entry'!AS99)),IF(AND(ISNUMBER('Council Entry'!AS$8),ISNUMBER('Council Entry'!AS$9)),MAX(MIN('Council Entry'!AS99,'Council Entry'!AS$9),'Council Entry'!AS$8),'Council Entry'!AS99))))-'Council Entry'!AS$5)/('Council Entry'!AS$6-'Council Entry'!AS$5),10*((IF('Council Entry'!AS$4="Logarithm",LN(0.001+IF(AND(ISNUMBER('Council Entry'!AS$8),ISNUMBER('Council Entry'!AS$9)),MAX(MIN('Council Entry'!AS99,'Council Entry'!AS$9),'Council Entry'!AS$8),'Council Entry'!AS99)),IF('Council Entry'!AS$4="Exponential",EXP(IF(AND(ISNUMBER('Council Entry'!AS$8),ISNUMBER('Council Entry'!AS$9)),MAX(MIN('Council Entry'!AS99,'Council Entry'!AS$9),'Council Entry'!AS$8),'Council Entry'!AS99)),IF(AND(ISNUMBER('Council Entry'!AS$8),ISNUMBER('Council Entry'!AS$9)),MAX(MIN('Council Entry'!AS99,'Council Entry'!AS$9),'Council Entry'!AS$8),'Council Entry'!AS99))))-'Council Entry'!AS$5)/('Council Entry'!AS$6-'Council Entry'!AS$5)),1))),"No data"))</f>
        <v/>
      </c>
      <c r="AT99" s="13">
        <f>IF('Council Entry'!AT99="","",IFERROR(MAX(0,MIN(10,ROUND(IF('Council Entry'!AT$7="Decrease Risk",10-10*((IF('Council Entry'!AT$4="Logarithm",LN(0.001+IF(AND(ISNUMBER('Council Entry'!AT$8),ISNUMBER('Council Entry'!AT$9)),MAX(MIN('Council Entry'!AT99,'Council Entry'!AT$9),'Council Entry'!AT$8),'Council Entry'!AT99)),IF('Council Entry'!AT$4="Exponential",EXP(IF(AND(ISNUMBER('Council Entry'!AT$8),ISNUMBER('Council Entry'!AT$9)),MAX(MIN('Council Entry'!AT99,'Council Entry'!AT$9),'Council Entry'!AT$8),'Council Entry'!AT99)),IF(AND(ISNUMBER('Council Entry'!AT$8),ISNUMBER('Council Entry'!AT$9)),MAX(MIN('Council Entry'!AT99,'Council Entry'!AT$9),'Council Entry'!AT$8),'Council Entry'!AT99))))-'Council Entry'!AT$5)/('Council Entry'!AT$6-'Council Entry'!AT$5),10*((IF('Council Entry'!AT$4="Logarithm",LN(0.001+IF(AND(ISNUMBER('Council Entry'!AT$8),ISNUMBER('Council Entry'!AT$9)),MAX(MIN('Council Entry'!AT99,'Council Entry'!AT$9),'Council Entry'!AT$8),'Council Entry'!AT99)),IF('Council Entry'!AT$4="Exponential",EXP(IF(AND(ISNUMBER('Council Entry'!AT$8),ISNUMBER('Council Entry'!AT$9)),MAX(MIN('Council Entry'!AT99,'Council Entry'!AT$9),'Council Entry'!AT$8),'Council Entry'!AT99)),IF(AND(ISNUMBER('Council Entry'!AT$8),ISNUMBER('Council Entry'!AT$9)),MAX(MIN('Council Entry'!AT99,'Council Entry'!AT$9),'Council Entry'!AT$8),'Council Entry'!AT99))))-'Council Entry'!AT$5)/('Council Entry'!AT$6-'Council Entry'!AT$5)),1))),"No data"))</f>
        <v/>
      </c>
      <c r="AU99" s="13">
        <f>IF('Council Entry'!AU99="","",IFERROR(MAX(0,MIN(10,ROUND(IF('Council Entry'!AU$7="Decrease Risk",10-10*((IF('Council Entry'!AU$4="Logarithm",LN(0.001+IF(AND(ISNUMBER('Council Entry'!AU$8),ISNUMBER('Council Entry'!AU$9)),MAX(MIN('Council Entry'!AU99,'Council Entry'!AU$9),'Council Entry'!AU$8),'Council Entry'!AU99)),IF('Council Entry'!AU$4="Exponential",EXP(IF(AND(ISNUMBER('Council Entry'!AU$8),ISNUMBER('Council Entry'!AU$9)),MAX(MIN('Council Entry'!AU99,'Council Entry'!AU$9),'Council Entry'!AU$8),'Council Entry'!AU99)),IF(AND(ISNUMBER('Council Entry'!AU$8),ISNUMBER('Council Entry'!AU$9)),MAX(MIN('Council Entry'!AU99,'Council Entry'!AU$9),'Council Entry'!AU$8),'Council Entry'!AU99))))-'Council Entry'!AU$5)/('Council Entry'!AU$6-'Council Entry'!AU$5),10*((IF('Council Entry'!AU$4="Logarithm",LN(0.001+IF(AND(ISNUMBER('Council Entry'!AU$8),ISNUMBER('Council Entry'!AU$9)),MAX(MIN('Council Entry'!AU99,'Council Entry'!AU$9),'Council Entry'!AU$8),'Council Entry'!AU99)),IF('Council Entry'!AU$4="Exponential",EXP(IF(AND(ISNUMBER('Council Entry'!AU$8),ISNUMBER('Council Entry'!AU$9)),MAX(MIN('Council Entry'!AU99,'Council Entry'!AU$9),'Council Entry'!AU$8),'Council Entry'!AU99)),IF(AND(ISNUMBER('Council Entry'!AU$8),ISNUMBER('Council Entry'!AU$9)),MAX(MIN('Council Entry'!AU99,'Council Entry'!AU$9),'Council Entry'!AU$8),'Council Entry'!AU99))))-'Council Entry'!AU$5)/('Council Entry'!AU$6-'Council Entry'!AU$5)),1))),"No data"))</f>
        <v/>
      </c>
      <c r="AV99" s="13">
        <f>IF('Council Entry'!AV99="","",IFERROR(MAX(0,MIN(10,ROUND(IF('Council Entry'!AV$7="Decrease Risk",10-10*((IF('Council Entry'!AV$4="Logarithm",LN(0.001+IF(AND(ISNUMBER('Council Entry'!AV$8),ISNUMBER('Council Entry'!AV$9)),MAX(MIN('Council Entry'!AV99,'Council Entry'!AV$9),'Council Entry'!AV$8),'Council Entry'!AV99)),IF('Council Entry'!AV$4="Exponential",EXP(IF(AND(ISNUMBER('Council Entry'!AV$8),ISNUMBER('Council Entry'!AV$9)),MAX(MIN('Council Entry'!AV99,'Council Entry'!AV$9),'Council Entry'!AV$8),'Council Entry'!AV99)),IF(AND(ISNUMBER('Council Entry'!AV$8),ISNUMBER('Council Entry'!AV$9)),MAX(MIN('Council Entry'!AV99,'Council Entry'!AV$9),'Council Entry'!AV$8),'Council Entry'!AV99))))-'Council Entry'!AV$5)/('Council Entry'!AV$6-'Council Entry'!AV$5),10*((IF('Council Entry'!AV$4="Logarithm",LN(0.001+IF(AND(ISNUMBER('Council Entry'!AV$8),ISNUMBER('Council Entry'!AV$9)),MAX(MIN('Council Entry'!AV99,'Council Entry'!AV$9),'Council Entry'!AV$8),'Council Entry'!AV99)),IF('Council Entry'!AV$4="Exponential",EXP(IF(AND(ISNUMBER('Council Entry'!AV$8),ISNUMBER('Council Entry'!AV$9)),MAX(MIN('Council Entry'!AV99,'Council Entry'!AV$9),'Council Entry'!AV$8),'Council Entry'!AV99)),IF(AND(ISNUMBER('Council Entry'!AV$8),ISNUMBER('Council Entry'!AV$9)),MAX(MIN('Council Entry'!AV99,'Council Entry'!AV$9),'Council Entry'!AV$8),'Council Entry'!AV99))))-'Council Entry'!AV$5)/('Council Entry'!AV$6-'Council Entry'!AV$5)),1))),"No data"))</f>
        <v/>
      </c>
      <c r="AW99" s="13">
        <f>IF('Council Entry'!AW99="","",IFERROR(MAX(0,MIN(10,ROUND(IF('Council Entry'!AW$7="Decrease Risk",10-10*((IF('Council Entry'!AW$4="Logarithm",LN(0.001+IF(AND(ISNUMBER('Council Entry'!AW$8),ISNUMBER('Council Entry'!AW$9)),MAX(MIN('Council Entry'!AW99,'Council Entry'!AW$9),'Council Entry'!AW$8),'Council Entry'!AW99)),IF('Council Entry'!AW$4="Exponential",EXP(IF(AND(ISNUMBER('Council Entry'!AW$8),ISNUMBER('Council Entry'!AW$9)),MAX(MIN('Council Entry'!AW99,'Council Entry'!AW$9),'Council Entry'!AW$8),'Council Entry'!AW99)),IF(AND(ISNUMBER('Council Entry'!AW$8),ISNUMBER('Council Entry'!AW$9)),MAX(MIN('Council Entry'!AW99,'Council Entry'!AW$9),'Council Entry'!AW$8),'Council Entry'!AW99))))-'Council Entry'!AW$5)/('Council Entry'!AW$6-'Council Entry'!AW$5),10*((IF('Council Entry'!AW$4="Logarithm",LN(0.001+IF(AND(ISNUMBER('Council Entry'!AW$8),ISNUMBER('Council Entry'!AW$9)),MAX(MIN('Council Entry'!AW99,'Council Entry'!AW$9),'Council Entry'!AW$8),'Council Entry'!AW99)),IF('Council Entry'!AW$4="Exponential",EXP(IF(AND(ISNUMBER('Council Entry'!AW$8),ISNUMBER('Council Entry'!AW$9)),MAX(MIN('Council Entry'!AW99,'Council Entry'!AW$9),'Council Entry'!AW$8),'Council Entry'!AW99)),IF(AND(ISNUMBER('Council Entry'!AW$8),ISNUMBER('Council Entry'!AW$9)),MAX(MIN('Council Entry'!AW99,'Council Entry'!AW$9),'Council Entry'!AW$8),'Council Entry'!AW99))))-'Council Entry'!AW$5)/('Council Entry'!AW$6-'Council Entry'!AW$5)),1))),"No data"))</f>
        <v/>
      </c>
      <c r="AX99" s="13">
        <f>IF('Council Entry'!AX99="","",IFERROR(MAX(0,MIN(10,ROUND(IF('Council Entry'!AX$7="Decrease Risk",10-10*((IF('Council Entry'!AX$4="Logarithm",LN(0.001+IF(AND(ISNUMBER('Council Entry'!AX$8),ISNUMBER('Council Entry'!AX$9)),MAX(MIN('Council Entry'!AX99,'Council Entry'!AX$9),'Council Entry'!AX$8),'Council Entry'!AX99)),IF('Council Entry'!AX$4="Exponential",EXP(IF(AND(ISNUMBER('Council Entry'!AX$8),ISNUMBER('Council Entry'!AX$9)),MAX(MIN('Council Entry'!AX99,'Council Entry'!AX$9),'Council Entry'!AX$8),'Council Entry'!AX99)),IF(AND(ISNUMBER('Council Entry'!AX$8),ISNUMBER('Council Entry'!AX$9)),MAX(MIN('Council Entry'!AX99,'Council Entry'!AX$9),'Council Entry'!AX$8),'Council Entry'!AX99))))-'Council Entry'!AX$5)/('Council Entry'!AX$6-'Council Entry'!AX$5),10*((IF('Council Entry'!AX$4="Logarithm",LN(0.001+IF(AND(ISNUMBER('Council Entry'!AX$8),ISNUMBER('Council Entry'!AX$9)),MAX(MIN('Council Entry'!AX99,'Council Entry'!AX$9),'Council Entry'!AX$8),'Council Entry'!AX99)),IF('Council Entry'!AX$4="Exponential",EXP(IF(AND(ISNUMBER('Council Entry'!AX$8),ISNUMBER('Council Entry'!AX$9)),MAX(MIN('Council Entry'!AX99,'Council Entry'!AX$9),'Council Entry'!AX$8),'Council Entry'!AX99)),IF(AND(ISNUMBER('Council Entry'!AX$8),ISNUMBER('Council Entry'!AX$9)),MAX(MIN('Council Entry'!AX99,'Council Entry'!AX$9),'Council Entry'!AX$8),'Council Entry'!AX99))))-'Council Entry'!AX$5)/('Council Entry'!AX$6-'Council Entry'!AX$5)),1))),"No data"))</f>
        <v/>
      </c>
      <c r="AY99" s="13">
        <f>IF('Council Entry'!AY99="","",IFERROR(MAX(0,MIN(10,ROUND(IF('Council Entry'!AY$7="Decrease Risk",10-10*((IF('Council Entry'!AY$4="Logarithm",LN(0.001+IF(AND(ISNUMBER('Council Entry'!AY$8),ISNUMBER('Council Entry'!AY$9)),MAX(MIN('Council Entry'!AY99,'Council Entry'!AY$9),'Council Entry'!AY$8),'Council Entry'!AY99)),IF('Council Entry'!AY$4="Exponential",EXP(IF(AND(ISNUMBER('Council Entry'!AY$8),ISNUMBER('Council Entry'!AY$9)),MAX(MIN('Council Entry'!AY99,'Council Entry'!AY$9),'Council Entry'!AY$8),'Council Entry'!AY99)),IF(AND(ISNUMBER('Council Entry'!AY$8),ISNUMBER('Council Entry'!AY$9)),MAX(MIN('Council Entry'!AY99,'Council Entry'!AY$9),'Council Entry'!AY$8),'Council Entry'!AY99))))-'Council Entry'!AY$5)/('Council Entry'!AY$6-'Council Entry'!AY$5),10*((IF('Council Entry'!AY$4="Logarithm",LN(0.001+IF(AND(ISNUMBER('Council Entry'!AY$8),ISNUMBER('Council Entry'!AY$9)),MAX(MIN('Council Entry'!AY99,'Council Entry'!AY$9),'Council Entry'!AY$8),'Council Entry'!AY99)),IF('Council Entry'!AY$4="Exponential",EXP(IF(AND(ISNUMBER('Council Entry'!AY$8),ISNUMBER('Council Entry'!AY$9)),MAX(MIN('Council Entry'!AY99,'Council Entry'!AY$9),'Council Entry'!AY$8),'Council Entry'!AY99)),IF(AND(ISNUMBER('Council Entry'!AY$8),ISNUMBER('Council Entry'!AY$9)),MAX(MIN('Council Entry'!AY99,'Council Entry'!AY$9),'Council Entry'!AY$8),'Council Entry'!AY99))))-'Council Entry'!AY$5)/('Council Entry'!AY$6-'Council Entry'!AY$5)),1))),"No data"))</f>
        <v/>
      </c>
      <c r="AZ99" s="13">
        <f>IF('Council Entry'!AZ99="","",IFERROR(MAX(0,MIN(10,ROUND(IF('Council Entry'!AZ$7="Decrease Risk",10-10*((IF('Council Entry'!AZ$4="Logarithm",LN(0.001+IF(AND(ISNUMBER('Council Entry'!AZ$8),ISNUMBER('Council Entry'!AZ$9)),MAX(MIN('Council Entry'!AZ99,'Council Entry'!AZ$9),'Council Entry'!AZ$8),'Council Entry'!AZ99)),IF('Council Entry'!AZ$4="Exponential",EXP(IF(AND(ISNUMBER('Council Entry'!AZ$8),ISNUMBER('Council Entry'!AZ$9)),MAX(MIN('Council Entry'!AZ99,'Council Entry'!AZ$9),'Council Entry'!AZ$8),'Council Entry'!AZ99)),IF(AND(ISNUMBER('Council Entry'!AZ$8),ISNUMBER('Council Entry'!AZ$9)),MAX(MIN('Council Entry'!AZ99,'Council Entry'!AZ$9),'Council Entry'!AZ$8),'Council Entry'!AZ99))))-'Council Entry'!AZ$5)/('Council Entry'!AZ$6-'Council Entry'!AZ$5),10*((IF('Council Entry'!AZ$4="Logarithm",LN(0.001+IF(AND(ISNUMBER('Council Entry'!AZ$8),ISNUMBER('Council Entry'!AZ$9)),MAX(MIN('Council Entry'!AZ99,'Council Entry'!AZ$9),'Council Entry'!AZ$8),'Council Entry'!AZ99)),IF('Council Entry'!AZ$4="Exponential",EXP(IF(AND(ISNUMBER('Council Entry'!AZ$8),ISNUMBER('Council Entry'!AZ$9)),MAX(MIN('Council Entry'!AZ99,'Council Entry'!AZ$9),'Council Entry'!AZ$8),'Council Entry'!AZ99)),IF(AND(ISNUMBER('Council Entry'!AZ$8),ISNUMBER('Council Entry'!AZ$9)),MAX(MIN('Council Entry'!AZ99,'Council Entry'!AZ$9),'Council Entry'!AZ$8),'Council Entry'!AZ99))))-'Council Entry'!AZ$5)/('Council Entry'!AZ$6-'Council Entry'!AZ$5)),1))),"No data"))</f>
        <v/>
      </c>
      <c r="BA99" s="13">
        <f>IF('Council Entry'!BA99="","",IFERROR(MAX(0,MIN(10,ROUND(IF('Council Entry'!BA$7="Decrease Risk",10-10*((IF('Council Entry'!BA$4="Logarithm",LN(0.001+IF(AND(ISNUMBER('Council Entry'!BA$8),ISNUMBER('Council Entry'!BA$9)),MAX(MIN('Council Entry'!BA99,'Council Entry'!BA$9),'Council Entry'!BA$8),'Council Entry'!BA99)),IF('Council Entry'!BA$4="Exponential",EXP(IF(AND(ISNUMBER('Council Entry'!BA$8),ISNUMBER('Council Entry'!BA$9)),MAX(MIN('Council Entry'!BA99,'Council Entry'!BA$9),'Council Entry'!BA$8),'Council Entry'!BA99)),IF(AND(ISNUMBER('Council Entry'!BA$8),ISNUMBER('Council Entry'!BA$9)),MAX(MIN('Council Entry'!BA99,'Council Entry'!BA$9),'Council Entry'!BA$8),'Council Entry'!BA99))))-'Council Entry'!BA$5)/('Council Entry'!BA$6-'Council Entry'!BA$5),10*((IF('Council Entry'!BA$4="Logarithm",LN(0.001+IF(AND(ISNUMBER('Council Entry'!BA$8),ISNUMBER('Council Entry'!BA$9)),MAX(MIN('Council Entry'!BA99,'Council Entry'!BA$9),'Council Entry'!BA$8),'Council Entry'!BA99)),IF('Council Entry'!BA$4="Exponential",EXP(IF(AND(ISNUMBER('Council Entry'!BA$8),ISNUMBER('Council Entry'!BA$9)),MAX(MIN('Council Entry'!BA99,'Council Entry'!BA$9),'Council Entry'!BA$8),'Council Entry'!BA99)),IF(AND(ISNUMBER('Council Entry'!BA$8),ISNUMBER('Council Entry'!BA$9)),MAX(MIN('Council Entry'!BA99,'Council Entry'!BA$9),'Council Entry'!BA$8),'Council Entry'!BA99))))-'Council Entry'!BA$5)/('Council Entry'!BA$6-'Council Entry'!BA$5)),1))),"No data"))</f>
        <v/>
      </c>
      <c r="BB99" s="13">
        <f>IF('Council Entry'!BB99="","",IFERROR(MAX(0,MIN(10,ROUND(IF('Council Entry'!BB$7="Decrease Risk",10-10*((IF('Council Entry'!BB$4="Logarithm",LN(0.001+IF(AND(ISNUMBER('Council Entry'!BB$8),ISNUMBER('Council Entry'!BB$9)),MAX(MIN('Council Entry'!BB99,'Council Entry'!BB$9),'Council Entry'!BB$8),'Council Entry'!BB99)),IF('Council Entry'!BB$4="Exponential",EXP(IF(AND(ISNUMBER('Council Entry'!BB$8),ISNUMBER('Council Entry'!BB$9)),MAX(MIN('Council Entry'!BB99,'Council Entry'!BB$9),'Council Entry'!BB$8),'Council Entry'!BB99)),IF(AND(ISNUMBER('Council Entry'!BB$8),ISNUMBER('Council Entry'!BB$9)),MAX(MIN('Council Entry'!BB99,'Council Entry'!BB$9),'Council Entry'!BB$8),'Council Entry'!BB99))))-'Council Entry'!BB$5)/('Council Entry'!BB$6-'Council Entry'!BB$5),10*((IF('Council Entry'!BB$4="Logarithm",LN(0.001+IF(AND(ISNUMBER('Council Entry'!BB$8),ISNUMBER('Council Entry'!BB$9)),MAX(MIN('Council Entry'!BB99,'Council Entry'!BB$9),'Council Entry'!BB$8),'Council Entry'!BB99)),IF('Council Entry'!BB$4="Exponential",EXP(IF(AND(ISNUMBER('Council Entry'!BB$8),ISNUMBER('Council Entry'!BB$9)),MAX(MIN('Council Entry'!BB99,'Council Entry'!BB$9),'Council Entry'!BB$8),'Council Entry'!BB99)),IF(AND(ISNUMBER('Council Entry'!BB$8),ISNUMBER('Council Entry'!BB$9)),MAX(MIN('Council Entry'!BB99,'Council Entry'!BB$9),'Council Entry'!BB$8),'Council Entry'!BB99))))-'Council Entry'!BB$5)/('Council Entry'!BB$6-'Council Entry'!BB$5)),1))),"No data"))</f>
        <v/>
      </c>
      <c r="BC99" s="13">
        <f>IF('Council Entry'!BC99="","",IFERROR(MAX(0,MIN(10,ROUND(IF('Council Entry'!BC$7="Decrease Risk",10-10*((IF('Council Entry'!BC$4="Logarithm",LN(0.001+IF(AND(ISNUMBER('Council Entry'!BC$8),ISNUMBER('Council Entry'!BC$9)),MAX(MIN('Council Entry'!BC99,'Council Entry'!BC$9),'Council Entry'!BC$8),'Council Entry'!BC99)),IF('Council Entry'!BC$4="Exponential",EXP(IF(AND(ISNUMBER('Council Entry'!BC$8),ISNUMBER('Council Entry'!BC$9)),MAX(MIN('Council Entry'!BC99,'Council Entry'!BC$9),'Council Entry'!BC$8),'Council Entry'!BC99)),IF(AND(ISNUMBER('Council Entry'!BC$8),ISNUMBER('Council Entry'!BC$9)),MAX(MIN('Council Entry'!BC99,'Council Entry'!BC$9),'Council Entry'!BC$8),'Council Entry'!BC99))))-'Council Entry'!BC$5)/('Council Entry'!BC$6-'Council Entry'!BC$5),10*((IF('Council Entry'!BC$4="Logarithm",LN(0.001+IF(AND(ISNUMBER('Council Entry'!BC$8),ISNUMBER('Council Entry'!BC$9)),MAX(MIN('Council Entry'!BC99,'Council Entry'!BC$9),'Council Entry'!BC$8),'Council Entry'!BC99)),IF('Council Entry'!BC$4="Exponential",EXP(IF(AND(ISNUMBER('Council Entry'!BC$8),ISNUMBER('Council Entry'!BC$9)),MAX(MIN('Council Entry'!BC99,'Council Entry'!BC$9),'Council Entry'!BC$8),'Council Entry'!BC99)),IF(AND(ISNUMBER('Council Entry'!BC$8),ISNUMBER('Council Entry'!BC$9)),MAX(MIN('Council Entry'!BC99,'Council Entry'!BC$9),'Council Entry'!BC$8),'Council Entry'!BC99))))-'Council Entry'!BC$5)/('Council Entry'!BC$6-'Council Entry'!BC$5)),1))),"No data"))</f>
        <v/>
      </c>
      <c r="BD99" s="13">
        <f>IF('Council Entry'!BD99="","",IFERROR(MAX(0,MIN(10,ROUND(IF('Council Entry'!BD$7="Decrease Risk",10-10*((IF('Council Entry'!BD$4="Logarithm",LN(0.001+IF(AND(ISNUMBER('Council Entry'!BD$8),ISNUMBER('Council Entry'!BD$9)),MAX(MIN('Council Entry'!BD99,'Council Entry'!BD$9),'Council Entry'!BD$8),'Council Entry'!BD99)),IF('Council Entry'!BD$4="Exponential",EXP(IF(AND(ISNUMBER('Council Entry'!BD$8),ISNUMBER('Council Entry'!BD$9)),MAX(MIN('Council Entry'!BD99,'Council Entry'!BD$9),'Council Entry'!BD$8),'Council Entry'!BD99)),IF(AND(ISNUMBER('Council Entry'!BD$8),ISNUMBER('Council Entry'!BD$9)),MAX(MIN('Council Entry'!BD99,'Council Entry'!BD$9),'Council Entry'!BD$8),'Council Entry'!BD99))))-'Council Entry'!BD$5)/('Council Entry'!BD$6-'Council Entry'!BD$5),10*((IF('Council Entry'!BD$4="Logarithm",LN(0.001+IF(AND(ISNUMBER('Council Entry'!BD$8),ISNUMBER('Council Entry'!BD$9)),MAX(MIN('Council Entry'!BD99,'Council Entry'!BD$9),'Council Entry'!BD$8),'Council Entry'!BD99)),IF('Council Entry'!BD$4="Exponential",EXP(IF(AND(ISNUMBER('Council Entry'!BD$8),ISNUMBER('Council Entry'!BD$9)),MAX(MIN('Council Entry'!BD99,'Council Entry'!BD$9),'Council Entry'!BD$8),'Council Entry'!BD99)),IF(AND(ISNUMBER('Council Entry'!BD$8),ISNUMBER('Council Entry'!BD$9)),MAX(MIN('Council Entry'!BD99,'Council Entry'!BD$9),'Council Entry'!BD$8),'Council Entry'!BD99))))-'Council Entry'!BD$5)/('Council Entry'!BD$6-'Council Entry'!BD$5)),1))),"No data"))</f>
        <v/>
      </c>
    </row>
    <row r="100">
      <c r="A100" t="inlineStr">
        <is>
          <t>Mbeya</t>
        </is>
      </c>
      <c r="B100" t="inlineStr">
        <is>
          <t>Busokelo District</t>
        </is>
      </c>
      <c r="C100" t="inlineStr">
        <is>
          <t>C090</t>
        </is>
      </c>
      <c r="D100" s="13">
        <f>IF('Council Entry'!D100="","",IFERROR(MAX(0,MIN(10,ROUND(IF('Council Entry'!D$7="Decrease Risk",10-10*((IF('Council Entry'!D$4="Logarithm",LN(0.001+IF(AND(ISNUMBER('Council Entry'!D$8),ISNUMBER('Council Entry'!D$9)),MAX(MIN('Council Entry'!D100,'Council Entry'!D$9),'Council Entry'!D$8),'Council Entry'!D100)),IF('Council Entry'!D$4="Exponential",EXP(IF(AND(ISNUMBER('Council Entry'!D$8),ISNUMBER('Council Entry'!D$9)),MAX(MIN('Council Entry'!D100,'Council Entry'!D$9),'Council Entry'!D$8),'Council Entry'!D100)),IF(AND(ISNUMBER('Council Entry'!D$8),ISNUMBER('Council Entry'!D$9)),MAX(MIN('Council Entry'!D100,'Council Entry'!D$9),'Council Entry'!D$8),'Council Entry'!D100))))-'Council Entry'!D$5)/('Council Entry'!D$6-'Council Entry'!D$5),10*((IF('Council Entry'!D$4="Logarithm",LN(0.001+IF(AND(ISNUMBER('Council Entry'!D$8),ISNUMBER('Council Entry'!D$9)),MAX(MIN('Council Entry'!D100,'Council Entry'!D$9),'Council Entry'!D$8),'Council Entry'!D100)),IF('Council Entry'!D$4="Exponential",EXP(IF(AND(ISNUMBER('Council Entry'!D$8),ISNUMBER('Council Entry'!D$9)),MAX(MIN('Council Entry'!D100,'Council Entry'!D$9),'Council Entry'!D$8),'Council Entry'!D100)),IF(AND(ISNUMBER('Council Entry'!D$8),ISNUMBER('Council Entry'!D$9)),MAX(MIN('Council Entry'!D100,'Council Entry'!D$9),'Council Entry'!D$8),'Council Entry'!D100))))-'Council Entry'!D$5)/('Council Entry'!D$6-'Council Entry'!D$5)),1))),"No data"))</f>
        <v/>
      </c>
      <c r="E100" s="13">
        <f>IF('Council Entry'!E100="","",IFERROR(MAX(0,MIN(10,ROUND(IF('Council Entry'!E$7="Decrease Risk",10-10*((IF('Council Entry'!E$4="Logarithm",LN(0.001+IF(AND(ISNUMBER('Council Entry'!E$8),ISNUMBER('Council Entry'!E$9)),MAX(MIN('Council Entry'!E100,'Council Entry'!E$9),'Council Entry'!E$8),'Council Entry'!E100)),IF('Council Entry'!E$4="Exponential",EXP(IF(AND(ISNUMBER('Council Entry'!E$8),ISNUMBER('Council Entry'!E$9)),MAX(MIN('Council Entry'!E100,'Council Entry'!E$9),'Council Entry'!E$8),'Council Entry'!E100)),IF(AND(ISNUMBER('Council Entry'!E$8),ISNUMBER('Council Entry'!E$9)),MAX(MIN('Council Entry'!E100,'Council Entry'!E$9),'Council Entry'!E$8),'Council Entry'!E100))))-'Council Entry'!E$5)/('Council Entry'!E$6-'Council Entry'!E$5),10*((IF('Council Entry'!E$4="Logarithm",LN(0.001+IF(AND(ISNUMBER('Council Entry'!E$8),ISNUMBER('Council Entry'!E$9)),MAX(MIN('Council Entry'!E100,'Council Entry'!E$9),'Council Entry'!E$8),'Council Entry'!E100)),IF('Council Entry'!E$4="Exponential",EXP(IF(AND(ISNUMBER('Council Entry'!E$8),ISNUMBER('Council Entry'!E$9)),MAX(MIN('Council Entry'!E100,'Council Entry'!E$9),'Council Entry'!E$8),'Council Entry'!E100)),IF(AND(ISNUMBER('Council Entry'!E$8),ISNUMBER('Council Entry'!E$9)),MAX(MIN('Council Entry'!E100,'Council Entry'!E$9),'Council Entry'!E$8),'Council Entry'!E100))))-'Council Entry'!E$5)/('Council Entry'!E$6-'Council Entry'!E$5)),1))),"No data"))</f>
        <v/>
      </c>
      <c r="F100" s="13">
        <f>IF('Council Entry'!F100="","",IFERROR(MAX(0,MIN(10,ROUND(IF('Council Entry'!F$7="Decrease Risk",10-10*((IF('Council Entry'!F$4="Logarithm",LN(0.001+IF(AND(ISNUMBER('Council Entry'!F$8),ISNUMBER('Council Entry'!F$9)),MAX(MIN('Council Entry'!F100,'Council Entry'!F$9),'Council Entry'!F$8),'Council Entry'!F100)),IF('Council Entry'!F$4="Exponential",EXP(IF(AND(ISNUMBER('Council Entry'!F$8),ISNUMBER('Council Entry'!F$9)),MAX(MIN('Council Entry'!F100,'Council Entry'!F$9),'Council Entry'!F$8),'Council Entry'!F100)),IF(AND(ISNUMBER('Council Entry'!F$8),ISNUMBER('Council Entry'!F$9)),MAX(MIN('Council Entry'!F100,'Council Entry'!F$9),'Council Entry'!F$8),'Council Entry'!F100))))-'Council Entry'!F$5)/('Council Entry'!F$6-'Council Entry'!F$5),10*((IF('Council Entry'!F$4="Logarithm",LN(0.001+IF(AND(ISNUMBER('Council Entry'!F$8),ISNUMBER('Council Entry'!F$9)),MAX(MIN('Council Entry'!F100,'Council Entry'!F$9),'Council Entry'!F$8),'Council Entry'!F100)),IF('Council Entry'!F$4="Exponential",EXP(IF(AND(ISNUMBER('Council Entry'!F$8),ISNUMBER('Council Entry'!F$9)),MAX(MIN('Council Entry'!F100,'Council Entry'!F$9),'Council Entry'!F$8),'Council Entry'!F100)),IF(AND(ISNUMBER('Council Entry'!F$8),ISNUMBER('Council Entry'!F$9)),MAX(MIN('Council Entry'!F100,'Council Entry'!F$9),'Council Entry'!F$8),'Council Entry'!F100))))-'Council Entry'!F$5)/('Council Entry'!F$6-'Council Entry'!F$5)),1))),"No data"))</f>
        <v/>
      </c>
      <c r="G100" s="13">
        <f>IF('Council Entry'!G100="","",IFERROR(MAX(0,MIN(10,ROUND(IF('Council Entry'!G$7="Decrease Risk",10-10*((IF('Council Entry'!G$4="Logarithm",LN(0.001+IF(AND(ISNUMBER('Council Entry'!G$8),ISNUMBER('Council Entry'!G$9)),MAX(MIN('Council Entry'!G100,'Council Entry'!G$9),'Council Entry'!G$8),'Council Entry'!G100)),IF('Council Entry'!G$4="Exponential",EXP(IF(AND(ISNUMBER('Council Entry'!G$8),ISNUMBER('Council Entry'!G$9)),MAX(MIN('Council Entry'!G100,'Council Entry'!G$9),'Council Entry'!G$8),'Council Entry'!G100)),IF(AND(ISNUMBER('Council Entry'!G$8),ISNUMBER('Council Entry'!G$9)),MAX(MIN('Council Entry'!G100,'Council Entry'!G$9),'Council Entry'!G$8),'Council Entry'!G100))))-'Council Entry'!G$5)/('Council Entry'!G$6-'Council Entry'!G$5),10*((IF('Council Entry'!G$4="Logarithm",LN(0.001+IF(AND(ISNUMBER('Council Entry'!G$8),ISNUMBER('Council Entry'!G$9)),MAX(MIN('Council Entry'!G100,'Council Entry'!G$9),'Council Entry'!G$8),'Council Entry'!G100)),IF('Council Entry'!G$4="Exponential",EXP(IF(AND(ISNUMBER('Council Entry'!G$8),ISNUMBER('Council Entry'!G$9)),MAX(MIN('Council Entry'!G100,'Council Entry'!G$9),'Council Entry'!G$8),'Council Entry'!G100)),IF(AND(ISNUMBER('Council Entry'!G$8),ISNUMBER('Council Entry'!G$9)),MAX(MIN('Council Entry'!G100,'Council Entry'!G$9),'Council Entry'!G$8),'Council Entry'!G100))))-'Council Entry'!G$5)/('Council Entry'!G$6-'Council Entry'!G$5)),1))),"No data"))</f>
        <v/>
      </c>
      <c r="H100" s="13">
        <f>IF('Council Entry'!H100="","",IFERROR(MAX(0,MIN(10,ROUND(IF('Council Entry'!H$7="Decrease Risk",10-10*((IF('Council Entry'!H$4="Logarithm",LN(0.001+IF(AND(ISNUMBER('Council Entry'!H$8),ISNUMBER('Council Entry'!H$9)),MAX(MIN('Council Entry'!H100,'Council Entry'!H$9),'Council Entry'!H$8),'Council Entry'!H100)),IF('Council Entry'!H$4="Exponential",EXP(IF(AND(ISNUMBER('Council Entry'!H$8),ISNUMBER('Council Entry'!H$9)),MAX(MIN('Council Entry'!H100,'Council Entry'!H$9),'Council Entry'!H$8),'Council Entry'!H100)),IF(AND(ISNUMBER('Council Entry'!H$8),ISNUMBER('Council Entry'!H$9)),MAX(MIN('Council Entry'!H100,'Council Entry'!H$9),'Council Entry'!H$8),'Council Entry'!H100))))-'Council Entry'!H$5)/('Council Entry'!H$6-'Council Entry'!H$5),10*((IF('Council Entry'!H$4="Logarithm",LN(0.001+IF(AND(ISNUMBER('Council Entry'!H$8),ISNUMBER('Council Entry'!H$9)),MAX(MIN('Council Entry'!H100,'Council Entry'!H$9),'Council Entry'!H$8),'Council Entry'!H100)),IF('Council Entry'!H$4="Exponential",EXP(IF(AND(ISNUMBER('Council Entry'!H$8),ISNUMBER('Council Entry'!H$9)),MAX(MIN('Council Entry'!H100,'Council Entry'!H$9),'Council Entry'!H$8),'Council Entry'!H100)),IF(AND(ISNUMBER('Council Entry'!H$8),ISNUMBER('Council Entry'!H$9)),MAX(MIN('Council Entry'!H100,'Council Entry'!H$9),'Council Entry'!H$8),'Council Entry'!H100))))-'Council Entry'!H$5)/('Council Entry'!H$6-'Council Entry'!H$5)),1))),"No data"))</f>
        <v/>
      </c>
      <c r="I100" s="13">
        <f>IF('Council Entry'!I100="","",IFERROR(MAX(0,MIN(10,ROUND(IF('Council Entry'!I$7="Decrease Risk",10-10*((IF('Council Entry'!I$4="Logarithm",LN(0.001+IF(AND(ISNUMBER('Council Entry'!I$8),ISNUMBER('Council Entry'!I$9)),MAX(MIN('Council Entry'!I100,'Council Entry'!I$9),'Council Entry'!I$8),'Council Entry'!I100)),IF('Council Entry'!I$4="Exponential",EXP(IF(AND(ISNUMBER('Council Entry'!I$8),ISNUMBER('Council Entry'!I$9)),MAX(MIN('Council Entry'!I100,'Council Entry'!I$9),'Council Entry'!I$8),'Council Entry'!I100)),IF(AND(ISNUMBER('Council Entry'!I$8),ISNUMBER('Council Entry'!I$9)),MAX(MIN('Council Entry'!I100,'Council Entry'!I$9),'Council Entry'!I$8),'Council Entry'!I100))))-'Council Entry'!I$5)/('Council Entry'!I$6-'Council Entry'!I$5),10*((IF('Council Entry'!I$4="Logarithm",LN(0.001+IF(AND(ISNUMBER('Council Entry'!I$8),ISNUMBER('Council Entry'!I$9)),MAX(MIN('Council Entry'!I100,'Council Entry'!I$9),'Council Entry'!I$8),'Council Entry'!I100)),IF('Council Entry'!I$4="Exponential",EXP(IF(AND(ISNUMBER('Council Entry'!I$8),ISNUMBER('Council Entry'!I$9)),MAX(MIN('Council Entry'!I100,'Council Entry'!I$9),'Council Entry'!I$8),'Council Entry'!I100)),IF(AND(ISNUMBER('Council Entry'!I$8),ISNUMBER('Council Entry'!I$9)),MAX(MIN('Council Entry'!I100,'Council Entry'!I$9),'Council Entry'!I$8),'Council Entry'!I100))))-'Council Entry'!I$5)/('Council Entry'!I$6-'Council Entry'!I$5)),1))),"No data"))</f>
        <v/>
      </c>
      <c r="J100" s="13">
        <f>IF('Council Entry'!J100="","",IFERROR(MAX(0,MIN(10,ROUND(IF('Council Entry'!J$7="Decrease Risk",10-10*((IF('Council Entry'!J$4="Logarithm",LN(0.001+IF(AND(ISNUMBER('Council Entry'!J$8),ISNUMBER('Council Entry'!J$9)),MAX(MIN('Council Entry'!J100,'Council Entry'!J$9),'Council Entry'!J$8),'Council Entry'!J100)),IF('Council Entry'!J$4="Exponential",EXP(IF(AND(ISNUMBER('Council Entry'!J$8),ISNUMBER('Council Entry'!J$9)),MAX(MIN('Council Entry'!J100,'Council Entry'!J$9),'Council Entry'!J$8),'Council Entry'!J100)),IF(AND(ISNUMBER('Council Entry'!J$8),ISNUMBER('Council Entry'!J$9)),MAX(MIN('Council Entry'!J100,'Council Entry'!J$9),'Council Entry'!J$8),'Council Entry'!J100))))-'Council Entry'!J$5)/('Council Entry'!J$6-'Council Entry'!J$5),10*((IF('Council Entry'!J$4="Logarithm",LN(0.001+IF(AND(ISNUMBER('Council Entry'!J$8),ISNUMBER('Council Entry'!J$9)),MAX(MIN('Council Entry'!J100,'Council Entry'!J$9),'Council Entry'!J$8),'Council Entry'!J100)),IF('Council Entry'!J$4="Exponential",EXP(IF(AND(ISNUMBER('Council Entry'!J$8),ISNUMBER('Council Entry'!J$9)),MAX(MIN('Council Entry'!J100,'Council Entry'!J$9),'Council Entry'!J$8),'Council Entry'!J100)),IF(AND(ISNUMBER('Council Entry'!J$8),ISNUMBER('Council Entry'!J$9)),MAX(MIN('Council Entry'!J100,'Council Entry'!J$9),'Council Entry'!J$8),'Council Entry'!J100))))-'Council Entry'!J$5)/('Council Entry'!J$6-'Council Entry'!J$5)),1))),"No data"))</f>
        <v/>
      </c>
      <c r="K100" s="13">
        <f>IF('Council Entry'!K100="","",IFERROR(MAX(0,MIN(10,ROUND(IF('Council Entry'!K$7="Decrease Risk",10-10*((IF('Council Entry'!K$4="Logarithm",LN(0.001+IF(AND(ISNUMBER('Council Entry'!K$8),ISNUMBER('Council Entry'!K$9)),MAX(MIN('Council Entry'!K100,'Council Entry'!K$9),'Council Entry'!K$8),'Council Entry'!K100)),IF('Council Entry'!K$4="Exponential",EXP(IF(AND(ISNUMBER('Council Entry'!K$8),ISNUMBER('Council Entry'!K$9)),MAX(MIN('Council Entry'!K100,'Council Entry'!K$9),'Council Entry'!K$8),'Council Entry'!K100)),IF(AND(ISNUMBER('Council Entry'!K$8),ISNUMBER('Council Entry'!K$9)),MAX(MIN('Council Entry'!K100,'Council Entry'!K$9),'Council Entry'!K$8),'Council Entry'!K100))))-'Council Entry'!K$5)/('Council Entry'!K$6-'Council Entry'!K$5),10*((IF('Council Entry'!K$4="Logarithm",LN(0.001+IF(AND(ISNUMBER('Council Entry'!K$8),ISNUMBER('Council Entry'!K$9)),MAX(MIN('Council Entry'!K100,'Council Entry'!K$9),'Council Entry'!K$8),'Council Entry'!K100)),IF('Council Entry'!K$4="Exponential",EXP(IF(AND(ISNUMBER('Council Entry'!K$8),ISNUMBER('Council Entry'!K$9)),MAX(MIN('Council Entry'!K100,'Council Entry'!K$9),'Council Entry'!K$8),'Council Entry'!K100)),IF(AND(ISNUMBER('Council Entry'!K$8),ISNUMBER('Council Entry'!K$9)),MAX(MIN('Council Entry'!K100,'Council Entry'!K$9),'Council Entry'!K$8),'Council Entry'!K100))))-'Council Entry'!K$5)/('Council Entry'!K$6-'Council Entry'!K$5)),1))),"No data"))</f>
        <v/>
      </c>
      <c r="L100" s="13">
        <f>IF('Council Entry'!L100="","",IFERROR(MAX(0,MIN(10,ROUND(IF('Council Entry'!L$7="Decrease Risk",10-10*((IF('Council Entry'!L$4="Logarithm",LN(0.001+IF(AND(ISNUMBER('Council Entry'!L$8),ISNUMBER('Council Entry'!L$9)),MAX(MIN('Council Entry'!L100,'Council Entry'!L$9),'Council Entry'!L$8),'Council Entry'!L100)),IF('Council Entry'!L$4="Exponential",EXP(IF(AND(ISNUMBER('Council Entry'!L$8),ISNUMBER('Council Entry'!L$9)),MAX(MIN('Council Entry'!L100,'Council Entry'!L$9),'Council Entry'!L$8),'Council Entry'!L100)),IF(AND(ISNUMBER('Council Entry'!L$8),ISNUMBER('Council Entry'!L$9)),MAX(MIN('Council Entry'!L100,'Council Entry'!L$9),'Council Entry'!L$8),'Council Entry'!L100))))-'Council Entry'!L$5)/('Council Entry'!L$6-'Council Entry'!L$5),10*((IF('Council Entry'!L$4="Logarithm",LN(0.001+IF(AND(ISNUMBER('Council Entry'!L$8),ISNUMBER('Council Entry'!L$9)),MAX(MIN('Council Entry'!L100,'Council Entry'!L$9),'Council Entry'!L$8),'Council Entry'!L100)),IF('Council Entry'!L$4="Exponential",EXP(IF(AND(ISNUMBER('Council Entry'!L$8),ISNUMBER('Council Entry'!L$9)),MAX(MIN('Council Entry'!L100,'Council Entry'!L$9),'Council Entry'!L$8),'Council Entry'!L100)),IF(AND(ISNUMBER('Council Entry'!L$8),ISNUMBER('Council Entry'!L$9)),MAX(MIN('Council Entry'!L100,'Council Entry'!L$9),'Council Entry'!L$8),'Council Entry'!L100))))-'Council Entry'!L$5)/('Council Entry'!L$6-'Council Entry'!L$5)),1))),"No data"))</f>
        <v/>
      </c>
      <c r="M100" s="13">
        <f>IF('Council Entry'!M100="","",IFERROR(MAX(0,MIN(10,ROUND(IF('Council Entry'!M$7="Decrease Risk",10-10*((IF('Council Entry'!M$4="Logarithm",LN(0.001+IF(AND(ISNUMBER('Council Entry'!M$8),ISNUMBER('Council Entry'!M$9)),MAX(MIN('Council Entry'!M100,'Council Entry'!M$9),'Council Entry'!M$8),'Council Entry'!M100)),IF('Council Entry'!M$4="Exponential",EXP(IF(AND(ISNUMBER('Council Entry'!M$8),ISNUMBER('Council Entry'!M$9)),MAX(MIN('Council Entry'!M100,'Council Entry'!M$9),'Council Entry'!M$8),'Council Entry'!M100)),IF(AND(ISNUMBER('Council Entry'!M$8),ISNUMBER('Council Entry'!M$9)),MAX(MIN('Council Entry'!M100,'Council Entry'!M$9),'Council Entry'!M$8),'Council Entry'!M100))))-'Council Entry'!M$5)/('Council Entry'!M$6-'Council Entry'!M$5),10*((IF('Council Entry'!M$4="Logarithm",LN(0.001+IF(AND(ISNUMBER('Council Entry'!M$8),ISNUMBER('Council Entry'!M$9)),MAX(MIN('Council Entry'!M100,'Council Entry'!M$9),'Council Entry'!M$8),'Council Entry'!M100)),IF('Council Entry'!M$4="Exponential",EXP(IF(AND(ISNUMBER('Council Entry'!M$8),ISNUMBER('Council Entry'!M$9)),MAX(MIN('Council Entry'!M100,'Council Entry'!M$9),'Council Entry'!M$8),'Council Entry'!M100)),IF(AND(ISNUMBER('Council Entry'!M$8),ISNUMBER('Council Entry'!M$9)),MAX(MIN('Council Entry'!M100,'Council Entry'!M$9),'Council Entry'!M$8),'Council Entry'!M100))))-'Council Entry'!M$5)/('Council Entry'!M$6-'Council Entry'!M$5)),1))),"No data"))</f>
        <v/>
      </c>
      <c r="N100" s="13">
        <f>IF('Council Entry'!N100="","",IFERROR(MAX(0,MIN(10,ROUND(IF('Council Entry'!N$7="Decrease Risk",10-10*((IF('Council Entry'!N$4="Logarithm",LN(0.001+IF(AND(ISNUMBER('Council Entry'!N$8),ISNUMBER('Council Entry'!N$9)),MAX(MIN('Council Entry'!N100,'Council Entry'!N$9),'Council Entry'!N$8),'Council Entry'!N100)),IF('Council Entry'!N$4="Exponential",EXP(IF(AND(ISNUMBER('Council Entry'!N$8),ISNUMBER('Council Entry'!N$9)),MAX(MIN('Council Entry'!N100,'Council Entry'!N$9),'Council Entry'!N$8),'Council Entry'!N100)),IF(AND(ISNUMBER('Council Entry'!N$8),ISNUMBER('Council Entry'!N$9)),MAX(MIN('Council Entry'!N100,'Council Entry'!N$9),'Council Entry'!N$8),'Council Entry'!N100))))-'Council Entry'!N$5)/('Council Entry'!N$6-'Council Entry'!N$5),10*((IF('Council Entry'!N$4="Logarithm",LN(0.001+IF(AND(ISNUMBER('Council Entry'!N$8),ISNUMBER('Council Entry'!N$9)),MAX(MIN('Council Entry'!N100,'Council Entry'!N$9),'Council Entry'!N$8),'Council Entry'!N100)),IF('Council Entry'!N$4="Exponential",EXP(IF(AND(ISNUMBER('Council Entry'!N$8),ISNUMBER('Council Entry'!N$9)),MAX(MIN('Council Entry'!N100,'Council Entry'!N$9),'Council Entry'!N$8),'Council Entry'!N100)),IF(AND(ISNUMBER('Council Entry'!N$8),ISNUMBER('Council Entry'!N$9)),MAX(MIN('Council Entry'!N100,'Council Entry'!N$9),'Council Entry'!N$8),'Council Entry'!N100))))-'Council Entry'!N$5)/('Council Entry'!N$6-'Council Entry'!N$5)),1))),"No data"))</f>
        <v/>
      </c>
      <c r="O100" s="13">
        <f>IF('Council Entry'!O100="","",IFERROR(MAX(0,MIN(10,ROUND(IF('Council Entry'!O$7="Decrease Risk",10-10*((IF('Council Entry'!O$4="Logarithm",LN(0.001+IF(AND(ISNUMBER('Council Entry'!O$8),ISNUMBER('Council Entry'!O$9)),MAX(MIN('Council Entry'!O100,'Council Entry'!O$9),'Council Entry'!O$8),'Council Entry'!O100)),IF('Council Entry'!O$4="Exponential",EXP(IF(AND(ISNUMBER('Council Entry'!O$8),ISNUMBER('Council Entry'!O$9)),MAX(MIN('Council Entry'!O100,'Council Entry'!O$9),'Council Entry'!O$8),'Council Entry'!O100)),IF(AND(ISNUMBER('Council Entry'!O$8),ISNUMBER('Council Entry'!O$9)),MAX(MIN('Council Entry'!O100,'Council Entry'!O$9),'Council Entry'!O$8),'Council Entry'!O100))))-'Council Entry'!O$5)/('Council Entry'!O$6-'Council Entry'!O$5),10*((IF('Council Entry'!O$4="Logarithm",LN(0.001+IF(AND(ISNUMBER('Council Entry'!O$8),ISNUMBER('Council Entry'!O$9)),MAX(MIN('Council Entry'!O100,'Council Entry'!O$9),'Council Entry'!O$8),'Council Entry'!O100)),IF('Council Entry'!O$4="Exponential",EXP(IF(AND(ISNUMBER('Council Entry'!O$8),ISNUMBER('Council Entry'!O$9)),MAX(MIN('Council Entry'!O100,'Council Entry'!O$9),'Council Entry'!O$8),'Council Entry'!O100)),IF(AND(ISNUMBER('Council Entry'!O$8),ISNUMBER('Council Entry'!O$9)),MAX(MIN('Council Entry'!O100,'Council Entry'!O$9),'Council Entry'!O$8),'Council Entry'!O100))))-'Council Entry'!O$5)/('Council Entry'!O$6-'Council Entry'!O$5)),1))),"No data"))</f>
        <v/>
      </c>
      <c r="P100" s="13">
        <f>IF('Council Entry'!P100="","",IFERROR(MAX(0,MIN(10,ROUND(IF('Council Entry'!P$7="Decrease Risk",10-10*((IF('Council Entry'!P$4="Logarithm",LN(0.001+IF(AND(ISNUMBER('Council Entry'!P$8),ISNUMBER('Council Entry'!P$9)),MAX(MIN('Council Entry'!P100,'Council Entry'!P$9),'Council Entry'!P$8),'Council Entry'!P100)),IF('Council Entry'!P$4="Exponential",EXP(IF(AND(ISNUMBER('Council Entry'!P$8),ISNUMBER('Council Entry'!P$9)),MAX(MIN('Council Entry'!P100,'Council Entry'!P$9),'Council Entry'!P$8),'Council Entry'!P100)),IF(AND(ISNUMBER('Council Entry'!P$8),ISNUMBER('Council Entry'!P$9)),MAX(MIN('Council Entry'!P100,'Council Entry'!P$9),'Council Entry'!P$8),'Council Entry'!P100))))-'Council Entry'!P$5)/('Council Entry'!P$6-'Council Entry'!P$5),10*((IF('Council Entry'!P$4="Logarithm",LN(0.001+IF(AND(ISNUMBER('Council Entry'!P$8),ISNUMBER('Council Entry'!P$9)),MAX(MIN('Council Entry'!P100,'Council Entry'!P$9),'Council Entry'!P$8),'Council Entry'!P100)),IF('Council Entry'!P$4="Exponential",EXP(IF(AND(ISNUMBER('Council Entry'!P$8),ISNUMBER('Council Entry'!P$9)),MAX(MIN('Council Entry'!P100,'Council Entry'!P$9),'Council Entry'!P$8),'Council Entry'!P100)),IF(AND(ISNUMBER('Council Entry'!P$8),ISNUMBER('Council Entry'!P$9)),MAX(MIN('Council Entry'!P100,'Council Entry'!P$9),'Council Entry'!P$8),'Council Entry'!P100))))-'Council Entry'!P$5)/('Council Entry'!P$6-'Council Entry'!P$5)),1))),"No data"))</f>
        <v/>
      </c>
      <c r="Q100" s="13">
        <f>IF('Council Entry'!Q100="","",IFERROR(MAX(0,MIN(10,ROUND(IF('Council Entry'!Q$7="Decrease Risk",10-10*((IF('Council Entry'!Q$4="Logarithm",LN(0.001+IF(AND(ISNUMBER('Council Entry'!Q$8),ISNUMBER('Council Entry'!Q$9)),MAX(MIN('Council Entry'!Q100,'Council Entry'!Q$9),'Council Entry'!Q$8),'Council Entry'!Q100)),IF('Council Entry'!Q$4="Exponential",EXP(IF(AND(ISNUMBER('Council Entry'!Q$8),ISNUMBER('Council Entry'!Q$9)),MAX(MIN('Council Entry'!Q100,'Council Entry'!Q$9),'Council Entry'!Q$8),'Council Entry'!Q100)),IF(AND(ISNUMBER('Council Entry'!Q$8),ISNUMBER('Council Entry'!Q$9)),MAX(MIN('Council Entry'!Q100,'Council Entry'!Q$9),'Council Entry'!Q$8),'Council Entry'!Q100))))-'Council Entry'!Q$5)/('Council Entry'!Q$6-'Council Entry'!Q$5),10*((IF('Council Entry'!Q$4="Logarithm",LN(0.001+IF(AND(ISNUMBER('Council Entry'!Q$8),ISNUMBER('Council Entry'!Q$9)),MAX(MIN('Council Entry'!Q100,'Council Entry'!Q$9),'Council Entry'!Q$8),'Council Entry'!Q100)),IF('Council Entry'!Q$4="Exponential",EXP(IF(AND(ISNUMBER('Council Entry'!Q$8),ISNUMBER('Council Entry'!Q$9)),MAX(MIN('Council Entry'!Q100,'Council Entry'!Q$9),'Council Entry'!Q$8),'Council Entry'!Q100)),IF(AND(ISNUMBER('Council Entry'!Q$8),ISNUMBER('Council Entry'!Q$9)),MAX(MIN('Council Entry'!Q100,'Council Entry'!Q$9),'Council Entry'!Q$8),'Council Entry'!Q100))))-'Council Entry'!Q$5)/('Council Entry'!Q$6-'Council Entry'!Q$5)),1))),"No data"))</f>
        <v/>
      </c>
      <c r="R100" s="13">
        <f>IF('Council Entry'!R100="","",IFERROR(MAX(0,MIN(10,ROUND(IF('Council Entry'!R$7="Decrease Risk",10-10*((IF('Council Entry'!R$4="Logarithm",LN(0.001+IF(AND(ISNUMBER('Council Entry'!R$8),ISNUMBER('Council Entry'!R$9)),MAX(MIN('Council Entry'!R100,'Council Entry'!R$9),'Council Entry'!R$8),'Council Entry'!R100)),IF('Council Entry'!R$4="Exponential",EXP(IF(AND(ISNUMBER('Council Entry'!R$8),ISNUMBER('Council Entry'!R$9)),MAX(MIN('Council Entry'!R100,'Council Entry'!R$9),'Council Entry'!R$8),'Council Entry'!R100)),IF(AND(ISNUMBER('Council Entry'!R$8),ISNUMBER('Council Entry'!R$9)),MAX(MIN('Council Entry'!R100,'Council Entry'!R$9),'Council Entry'!R$8),'Council Entry'!R100))))-'Council Entry'!R$5)/('Council Entry'!R$6-'Council Entry'!R$5),10*((IF('Council Entry'!R$4="Logarithm",LN(0.001+IF(AND(ISNUMBER('Council Entry'!R$8),ISNUMBER('Council Entry'!R$9)),MAX(MIN('Council Entry'!R100,'Council Entry'!R$9),'Council Entry'!R$8),'Council Entry'!R100)),IF('Council Entry'!R$4="Exponential",EXP(IF(AND(ISNUMBER('Council Entry'!R$8),ISNUMBER('Council Entry'!R$9)),MAX(MIN('Council Entry'!R100,'Council Entry'!R$9),'Council Entry'!R$8),'Council Entry'!R100)),IF(AND(ISNUMBER('Council Entry'!R$8),ISNUMBER('Council Entry'!R$9)),MAX(MIN('Council Entry'!R100,'Council Entry'!R$9),'Council Entry'!R$8),'Council Entry'!R100))))-'Council Entry'!R$5)/('Council Entry'!R$6-'Council Entry'!R$5)),1))),"No data"))</f>
        <v/>
      </c>
      <c r="S100" s="13">
        <f>IF('Council Entry'!S100="","",IFERROR(MAX(0,MIN(10,ROUND(IF('Council Entry'!S$7="Decrease Risk",10-10*((IF('Council Entry'!S$4="Logarithm",LN(0.001+IF(AND(ISNUMBER('Council Entry'!S$8),ISNUMBER('Council Entry'!S$9)),MAX(MIN('Council Entry'!S100,'Council Entry'!S$9),'Council Entry'!S$8),'Council Entry'!S100)),IF('Council Entry'!S$4="Exponential",EXP(IF(AND(ISNUMBER('Council Entry'!S$8),ISNUMBER('Council Entry'!S$9)),MAX(MIN('Council Entry'!S100,'Council Entry'!S$9),'Council Entry'!S$8),'Council Entry'!S100)),IF(AND(ISNUMBER('Council Entry'!S$8),ISNUMBER('Council Entry'!S$9)),MAX(MIN('Council Entry'!S100,'Council Entry'!S$9),'Council Entry'!S$8),'Council Entry'!S100))))-'Council Entry'!S$5)/('Council Entry'!S$6-'Council Entry'!S$5),10*((IF('Council Entry'!S$4="Logarithm",LN(0.001+IF(AND(ISNUMBER('Council Entry'!S$8),ISNUMBER('Council Entry'!S$9)),MAX(MIN('Council Entry'!S100,'Council Entry'!S$9),'Council Entry'!S$8),'Council Entry'!S100)),IF('Council Entry'!S$4="Exponential",EXP(IF(AND(ISNUMBER('Council Entry'!S$8),ISNUMBER('Council Entry'!S$9)),MAX(MIN('Council Entry'!S100,'Council Entry'!S$9),'Council Entry'!S$8),'Council Entry'!S100)),IF(AND(ISNUMBER('Council Entry'!S$8),ISNUMBER('Council Entry'!S$9)),MAX(MIN('Council Entry'!S100,'Council Entry'!S$9),'Council Entry'!S$8),'Council Entry'!S100))))-'Council Entry'!S$5)/('Council Entry'!S$6-'Council Entry'!S$5)),1))),"No data"))</f>
        <v/>
      </c>
      <c r="T100" s="13">
        <f>IF('Council Entry'!T100="","",IFERROR(MAX(0,MIN(10,ROUND(IF('Council Entry'!T$7="Decrease Risk",10-10*((IF('Council Entry'!T$4="Logarithm",LN(0.001+IF(AND(ISNUMBER('Council Entry'!T$8),ISNUMBER('Council Entry'!T$9)),MAX(MIN('Council Entry'!T100,'Council Entry'!T$9),'Council Entry'!T$8),'Council Entry'!T100)),IF('Council Entry'!T$4="Exponential",EXP(IF(AND(ISNUMBER('Council Entry'!T$8),ISNUMBER('Council Entry'!T$9)),MAX(MIN('Council Entry'!T100,'Council Entry'!T$9),'Council Entry'!T$8),'Council Entry'!T100)),IF(AND(ISNUMBER('Council Entry'!T$8),ISNUMBER('Council Entry'!T$9)),MAX(MIN('Council Entry'!T100,'Council Entry'!T$9),'Council Entry'!T$8),'Council Entry'!T100))))-'Council Entry'!T$5)/('Council Entry'!T$6-'Council Entry'!T$5),10*((IF('Council Entry'!T$4="Logarithm",LN(0.001+IF(AND(ISNUMBER('Council Entry'!T$8),ISNUMBER('Council Entry'!T$9)),MAX(MIN('Council Entry'!T100,'Council Entry'!T$9),'Council Entry'!T$8),'Council Entry'!T100)),IF('Council Entry'!T$4="Exponential",EXP(IF(AND(ISNUMBER('Council Entry'!T$8),ISNUMBER('Council Entry'!T$9)),MAX(MIN('Council Entry'!T100,'Council Entry'!T$9),'Council Entry'!T$8),'Council Entry'!T100)),IF(AND(ISNUMBER('Council Entry'!T$8),ISNUMBER('Council Entry'!T$9)),MAX(MIN('Council Entry'!T100,'Council Entry'!T$9),'Council Entry'!T$8),'Council Entry'!T100))))-'Council Entry'!T$5)/('Council Entry'!T$6-'Council Entry'!T$5)),1))),"No data"))</f>
        <v/>
      </c>
      <c r="U100" s="13">
        <f>IF('Council Entry'!U100="","",IFERROR(MAX(0,MIN(10,ROUND(IF('Council Entry'!U$7="Decrease Risk",10-10*((IF('Council Entry'!U$4="Logarithm",LN(0.001+IF(AND(ISNUMBER('Council Entry'!U$8),ISNUMBER('Council Entry'!U$9)),MAX(MIN('Council Entry'!U100,'Council Entry'!U$9),'Council Entry'!U$8),'Council Entry'!U100)),IF('Council Entry'!U$4="Exponential",EXP(IF(AND(ISNUMBER('Council Entry'!U$8),ISNUMBER('Council Entry'!U$9)),MAX(MIN('Council Entry'!U100,'Council Entry'!U$9),'Council Entry'!U$8),'Council Entry'!U100)),IF(AND(ISNUMBER('Council Entry'!U$8),ISNUMBER('Council Entry'!U$9)),MAX(MIN('Council Entry'!U100,'Council Entry'!U$9),'Council Entry'!U$8),'Council Entry'!U100))))-'Council Entry'!U$5)/('Council Entry'!U$6-'Council Entry'!U$5),10*((IF('Council Entry'!U$4="Logarithm",LN(0.001+IF(AND(ISNUMBER('Council Entry'!U$8),ISNUMBER('Council Entry'!U$9)),MAX(MIN('Council Entry'!U100,'Council Entry'!U$9),'Council Entry'!U$8),'Council Entry'!U100)),IF('Council Entry'!U$4="Exponential",EXP(IF(AND(ISNUMBER('Council Entry'!U$8),ISNUMBER('Council Entry'!U$9)),MAX(MIN('Council Entry'!U100,'Council Entry'!U$9),'Council Entry'!U$8),'Council Entry'!U100)),IF(AND(ISNUMBER('Council Entry'!U$8),ISNUMBER('Council Entry'!U$9)),MAX(MIN('Council Entry'!U100,'Council Entry'!U$9),'Council Entry'!U$8),'Council Entry'!U100))))-'Council Entry'!U$5)/('Council Entry'!U$6-'Council Entry'!U$5)),1))),"No data"))</f>
        <v/>
      </c>
      <c r="V100" s="13">
        <f>IF('Council Entry'!V100="","",IFERROR(MAX(0,MIN(10,ROUND(IF('Council Entry'!V$7="Decrease Risk",10-10*((IF('Council Entry'!V$4="Logarithm",LN(0.001+IF(AND(ISNUMBER('Council Entry'!V$8),ISNUMBER('Council Entry'!V$9)),MAX(MIN('Council Entry'!V100,'Council Entry'!V$9),'Council Entry'!V$8),'Council Entry'!V100)),IF('Council Entry'!V$4="Exponential",EXP(IF(AND(ISNUMBER('Council Entry'!V$8),ISNUMBER('Council Entry'!V$9)),MAX(MIN('Council Entry'!V100,'Council Entry'!V$9),'Council Entry'!V$8),'Council Entry'!V100)),IF(AND(ISNUMBER('Council Entry'!V$8),ISNUMBER('Council Entry'!V$9)),MAX(MIN('Council Entry'!V100,'Council Entry'!V$9),'Council Entry'!V$8),'Council Entry'!V100))))-'Council Entry'!V$5)/('Council Entry'!V$6-'Council Entry'!V$5),10*((IF('Council Entry'!V$4="Logarithm",LN(0.001+IF(AND(ISNUMBER('Council Entry'!V$8),ISNUMBER('Council Entry'!V$9)),MAX(MIN('Council Entry'!V100,'Council Entry'!V$9),'Council Entry'!V$8),'Council Entry'!V100)),IF('Council Entry'!V$4="Exponential",EXP(IF(AND(ISNUMBER('Council Entry'!V$8),ISNUMBER('Council Entry'!V$9)),MAX(MIN('Council Entry'!V100,'Council Entry'!V$9),'Council Entry'!V$8),'Council Entry'!V100)),IF(AND(ISNUMBER('Council Entry'!V$8),ISNUMBER('Council Entry'!V$9)),MAX(MIN('Council Entry'!V100,'Council Entry'!V$9),'Council Entry'!V$8),'Council Entry'!V100))))-'Council Entry'!V$5)/('Council Entry'!V$6-'Council Entry'!V$5)),1))),"No data"))</f>
        <v/>
      </c>
      <c r="W100" s="13">
        <f>IF('Council Entry'!W100="","",IFERROR(MAX(0,MIN(10,ROUND(IF('Council Entry'!W$7="Decrease Risk",10-10*((IF('Council Entry'!W$4="Logarithm",LN(0.001+IF(AND(ISNUMBER('Council Entry'!W$8),ISNUMBER('Council Entry'!W$9)),MAX(MIN('Council Entry'!W100,'Council Entry'!W$9),'Council Entry'!W$8),'Council Entry'!W100)),IF('Council Entry'!W$4="Exponential",EXP(IF(AND(ISNUMBER('Council Entry'!W$8),ISNUMBER('Council Entry'!W$9)),MAX(MIN('Council Entry'!W100,'Council Entry'!W$9),'Council Entry'!W$8),'Council Entry'!W100)),IF(AND(ISNUMBER('Council Entry'!W$8),ISNUMBER('Council Entry'!W$9)),MAX(MIN('Council Entry'!W100,'Council Entry'!W$9),'Council Entry'!W$8),'Council Entry'!W100))))-'Council Entry'!W$5)/('Council Entry'!W$6-'Council Entry'!W$5),10*((IF('Council Entry'!W$4="Logarithm",LN(0.001+IF(AND(ISNUMBER('Council Entry'!W$8),ISNUMBER('Council Entry'!W$9)),MAX(MIN('Council Entry'!W100,'Council Entry'!W$9),'Council Entry'!W$8),'Council Entry'!W100)),IF('Council Entry'!W$4="Exponential",EXP(IF(AND(ISNUMBER('Council Entry'!W$8),ISNUMBER('Council Entry'!W$9)),MAX(MIN('Council Entry'!W100,'Council Entry'!W$9),'Council Entry'!W$8),'Council Entry'!W100)),IF(AND(ISNUMBER('Council Entry'!W$8),ISNUMBER('Council Entry'!W$9)),MAX(MIN('Council Entry'!W100,'Council Entry'!W$9),'Council Entry'!W$8),'Council Entry'!W100))))-'Council Entry'!W$5)/('Council Entry'!W$6-'Council Entry'!W$5)),1))),"No data"))</f>
        <v/>
      </c>
      <c r="X100" s="13">
        <f>IF('Council Entry'!X100="","",IFERROR(MAX(0,MIN(10,ROUND(IF('Council Entry'!X$7="Decrease Risk",10-10*((IF('Council Entry'!X$4="Logarithm",LN(0.001+IF(AND(ISNUMBER('Council Entry'!X$8),ISNUMBER('Council Entry'!X$9)),MAX(MIN('Council Entry'!X100,'Council Entry'!X$9),'Council Entry'!X$8),'Council Entry'!X100)),IF('Council Entry'!X$4="Exponential",EXP(IF(AND(ISNUMBER('Council Entry'!X$8),ISNUMBER('Council Entry'!X$9)),MAX(MIN('Council Entry'!X100,'Council Entry'!X$9),'Council Entry'!X$8),'Council Entry'!X100)),IF(AND(ISNUMBER('Council Entry'!X$8),ISNUMBER('Council Entry'!X$9)),MAX(MIN('Council Entry'!X100,'Council Entry'!X$9),'Council Entry'!X$8),'Council Entry'!X100))))-'Council Entry'!X$5)/('Council Entry'!X$6-'Council Entry'!X$5),10*((IF('Council Entry'!X$4="Logarithm",LN(0.001+IF(AND(ISNUMBER('Council Entry'!X$8),ISNUMBER('Council Entry'!X$9)),MAX(MIN('Council Entry'!X100,'Council Entry'!X$9),'Council Entry'!X$8),'Council Entry'!X100)),IF('Council Entry'!X$4="Exponential",EXP(IF(AND(ISNUMBER('Council Entry'!X$8),ISNUMBER('Council Entry'!X$9)),MAX(MIN('Council Entry'!X100,'Council Entry'!X$9),'Council Entry'!X$8),'Council Entry'!X100)),IF(AND(ISNUMBER('Council Entry'!X$8),ISNUMBER('Council Entry'!X$9)),MAX(MIN('Council Entry'!X100,'Council Entry'!X$9),'Council Entry'!X$8),'Council Entry'!X100))))-'Council Entry'!X$5)/('Council Entry'!X$6-'Council Entry'!X$5)),1))),"No data"))</f>
        <v/>
      </c>
      <c r="Y100" s="13">
        <f>IF('Council Entry'!Y100="","",IFERROR(MAX(0,MIN(10,ROUND(IF('Council Entry'!Y$7="Decrease Risk",10-10*((IF('Council Entry'!Y$4="Logarithm",LN(0.001+IF(AND(ISNUMBER('Council Entry'!Y$8),ISNUMBER('Council Entry'!Y$9)),MAX(MIN('Council Entry'!Y100,'Council Entry'!Y$9),'Council Entry'!Y$8),'Council Entry'!Y100)),IF('Council Entry'!Y$4="Exponential",EXP(IF(AND(ISNUMBER('Council Entry'!Y$8),ISNUMBER('Council Entry'!Y$9)),MAX(MIN('Council Entry'!Y100,'Council Entry'!Y$9),'Council Entry'!Y$8),'Council Entry'!Y100)),IF(AND(ISNUMBER('Council Entry'!Y$8),ISNUMBER('Council Entry'!Y$9)),MAX(MIN('Council Entry'!Y100,'Council Entry'!Y$9),'Council Entry'!Y$8),'Council Entry'!Y100))))-'Council Entry'!Y$5)/('Council Entry'!Y$6-'Council Entry'!Y$5),10*((IF('Council Entry'!Y$4="Logarithm",LN(0.001+IF(AND(ISNUMBER('Council Entry'!Y$8),ISNUMBER('Council Entry'!Y$9)),MAX(MIN('Council Entry'!Y100,'Council Entry'!Y$9),'Council Entry'!Y$8),'Council Entry'!Y100)),IF('Council Entry'!Y$4="Exponential",EXP(IF(AND(ISNUMBER('Council Entry'!Y$8),ISNUMBER('Council Entry'!Y$9)),MAX(MIN('Council Entry'!Y100,'Council Entry'!Y$9),'Council Entry'!Y$8),'Council Entry'!Y100)),IF(AND(ISNUMBER('Council Entry'!Y$8),ISNUMBER('Council Entry'!Y$9)),MAX(MIN('Council Entry'!Y100,'Council Entry'!Y$9),'Council Entry'!Y$8),'Council Entry'!Y100))))-'Council Entry'!Y$5)/('Council Entry'!Y$6-'Council Entry'!Y$5)),1))),"No data"))</f>
        <v/>
      </c>
      <c r="Z100" s="13">
        <f>IF('Council Entry'!Z100="","",IFERROR(MAX(0,MIN(10,ROUND(IF('Council Entry'!Z$7="Decrease Risk",10-10*((IF('Council Entry'!Z$4="Logarithm",LN(0.001+IF(AND(ISNUMBER('Council Entry'!Z$8),ISNUMBER('Council Entry'!Z$9)),MAX(MIN('Council Entry'!Z100,'Council Entry'!Z$9),'Council Entry'!Z$8),'Council Entry'!Z100)),IF('Council Entry'!Z$4="Exponential",EXP(IF(AND(ISNUMBER('Council Entry'!Z$8),ISNUMBER('Council Entry'!Z$9)),MAX(MIN('Council Entry'!Z100,'Council Entry'!Z$9),'Council Entry'!Z$8),'Council Entry'!Z100)),IF(AND(ISNUMBER('Council Entry'!Z$8),ISNUMBER('Council Entry'!Z$9)),MAX(MIN('Council Entry'!Z100,'Council Entry'!Z$9),'Council Entry'!Z$8),'Council Entry'!Z100))))-'Council Entry'!Z$5)/('Council Entry'!Z$6-'Council Entry'!Z$5),10*((IF('Council Entry'!Z$4="Logarithm",LN(0.001+IF(AND(ISNUMBER('Council Entry'!Z$8),ISNUMBER('Council Entry'!Z$9)),MAX(MIN('Council Entry'!Z100,'Council Entry'!Z$9),'Council Entry'!Z$8),'Council Entry'!Z100)),IF('Council Entry'!Z$4="Exponential",EXP(IF(AND(ISNUMBER('Council Entry'!Z$8),ISNUMBER('Council Entry'!Z$9)),MAX(MIN('Council Entry'!Z100,'Council Entry'!Z$9),'Council Entry'!Z$8),'Council Entry'!Z100)),IF(AND(ISNUMBER('Council Entry'!Z$8),ISNUMBER('Council Entry'!Z$9)),MAX(MIN('Council Entry'!Z100,'Council Entry'!Z$9),'Council Entry'!Z$8),'Council Entry'!Z100))))-'Council Entry'!Z$5)/('Council Entry'!Z$6-'Council Entry'!Z$5)),1))),"No data"))</f>
        <v/>
      </c>
      <c r="AA100" s="13">
        <f>IF('Council Entry'!AA100="","",IFERROR(MAX(0,MIN(10,ROUND(IF('Council Entry'!AA$7="Decrease Risk",10-10*((IF('Council Entry'!AA$4="Logarithm",LN(0.001+IF(AND(ISNUMBER('Council Entry'!AA$8),ISNUMBER('Council Entry'!AA$9)),MAX(MIN('Council Entry'!AA100,'Council Entry'!AA$9),'Council Entry'!AA$8),'Council Entry'!AA100)),IF('Council Entry'!AA$4="Exponential",EXP(IF(AND(ISNUMBER('Council Entry'!AA$8),ISNUMBER('Council Entry'!AA$9)),MAX(MIN('Council Entry'!AA100,'Council Entry'!AA$9),'Council Entry'!AA$8),'Council Entry'!AA100)),IF(AND(ISNUMBER('Council Entry'!AA$8),ISNUMBER('Council Entry'!AA$9)),MAX(MIN('Council Entry'!AA100,'Council Entry'!AA$9),'Council Entry'!AA$8),'Council Entry'!AA100))))-'Council Entry'!AA$5)/('Council Entry'!AA$6-'Council Entry'!AA$5),10*((IF('Council Entry'!AA$4="Logarithm",LN(0.001+IF(AND(ISNUMBER('Council Entry'!AA$8),ISNUMBER('Council Entry'!AA$9)),MAX(MIN('Council Entry'!AA100,'Council Entry'!AA$9),'Council Entry'!AA$8),'Council Entry'!AA100)),IF('Council Entry'!AA$4="Exponential",EXP(IF(AND(ISNUMBER('Council Entry'!AA$8),ISNUMBER('Council Entry'!AA$9)),MAX(MIN('Council Entry'!AA100,'Council Entry'!AA$9),'Council Entry'!AA$8),'Council Entry'!AA100)),IF(AND(ISNUMBER('Council Entry'!AA$8),ISNUMBER('Council Entry'!AA$9)),MAX(MIN('Council Entry'!AA100,'Council Entry'!AA$9),'Council Entry'!AA$8),'Council Entry'!AA100))))-'Council Entry'!AA$5)/('Council Entry'!AA$6-'Council Entry'!AA$5)),1))),"No data"))</f>
        <v/>
      </c>
      <c r="AB100" s="13">
        <f>IF('Council Entry'!AB100="","",IFERROR(MAX(0,MIN(10,ROUND(IF('Council Entry'!AB$7="Decrease Risk",10-10*((IF('Council Entry'!AB$4="Logarithm",LN(0.001+IF(AND(ISNUMBER('Council Entry'!AB$8),ISNUMBER('Council Entry'!AB$9)),MAX(MIN('Council Entry'!AB100,'Council Entry'!AB$9),'Council Entry'!AB$8),'Council Entry'!AB100)),IF('Council Entry'!AB$4="Exponential",EXP(IF(AND(ISNUMBER('Council Entry'!AB$8),ISNUMBER('Council Entry'!AB$9)),MAX(MIN('Council Entry'!AB100,'Council Entry'!AB$9),'Council Entry'!AB$8),'Council Entry'!AB100)),IF(AND(ISNUMBER('Council Entry'!AB$8),ISNUMBER('Council Entry'!AB$9)),MAX(MIN('Council Entry'!AB100,'Council Entry'!AB$9),'Council Entry'!AB$8),'Council Entry'!AB100))))-'Council Entry'!AB$5)/('Council Entry'!AB$6-'Council Entry'!AB$5),10*((IF('Council Entry'!AB$4="Logarithm",LN(0.001+IF(AND(ISNUMBER('Council Entry'!AB$8),ISNUMBER('Council Entry'!AB$9)),MAX(MIN('Council Entry'!AB100,'Council Entry'!AB$9),'Council Entry'!AB$8),'Council Entry'!AB100)),IF('Council Entry'!AB$4="Exponential",EXP(IF(AND(ISNUMBER('Council Entry'!AB$8),ISNUMBER('Council Entry'!AB$9)),MAX(MIN('Council Entry'!AB100,'Council Entry'!AB$9),'Council Entry'!AB$8),'Council Entry'!AB100)),IF(AND(ISNUMBER('Council Entry'!AB$8),ISNUMBER('Council Entry'!AB$9)),MAX(MIN('Council Entry'!AB100,'Council Entry'!AB$9),'Council Entry'!AB$8),'Council Entry'!AB100))))-'Council Entry'!AB$5)/('Council Entry'!AB$6-'Council Entry'!AB$5)),1))),"No data"))</f>
        <v/>
      </c>
      <c r="AC100" s="13">
        <f>IF('Council Entry'!AC100="","",IFERROR(MAX(0,MIN(10,ROUND(IF('Council Entry'!AC$7="Decrease Risk",10-10*((IF('Council Entry'!AC$4="Logarithm",LN(0.001+IF(AND(ISNUMBER('Council Entry'!AC$8),ISNUMBER('Council Entry'!AC$9)),MAX(MIN('Council Entry'!AC100,'Council Entry'!AC$9),'Council Entry'!AC$8),'Council Entry'!AC100)),IF('Council Entry'!AC$4="Exponential",EXP(IF(AND(ISNUMBER('Council Entry'!AC$8),ISNUMBER('Council Entry'!AC$9)),MAX(MIN('Council Entry'!AC100,'Council Entry'!AC$9),'Council Entry'!AC$8),'Council Entry'!AC100)),IF(AND(ISNUMBER('Council Entry'!AC$8),ISNUMBER('Council Entry'!AC$9)),MAX(MIN('Council Entry'!AC100,'Council Entry'!AC$9),'Council Entry'!AC$8),'Council Entry'!AC100))))-'Council Entry'!AC$5)/('Council Entry'!AC$6-'Council Entry'!AC$5),10*((IF('Council Entry'!AC$4="Logarithm",LN(0.001+IF(AND(ISNUMBER('Council Entry'!AC$8),ISNUMBER('Council Entry'!AC$9)),MAX(MIN('Council Entry'!AC100,'Council Entry'!AC$9),'Council Entry'!AC$8),'Council Entry'!AC100)),IF('Council Entry'!AC$4="Exponential",EXP(IF(AND(ISNUMBER('Council Entry'!AC$8),ISNUMBER('Council Entry'!AC$9)),MAX(MIN('Council Entry'!AC100,'Council Entry'!AC$9),'Council Entry'!AC$8),'Council Entry'!AC100)),IF(AND(ISNUMBER('Council Entry'!AC$8),ISNUMBER('Council Entry'!AC$9)),MAX(MIN('Council Entry'!AC100,'Council Entry'!AC$9),'Council Entry'!AC$8),'Council Entry'!AC100))))-'Council Entry'!AC$5)/('Council Entry'!AC$6-'Council Entry'!AC$5)),1))),"No data"))</f>
        <v/>
      </c>
      <c r="AD100" s="13">
        <f>IF('Council Entry'!AD100="","",IFERROR(MAX(0,MIN(10,ROUND(IF('Council Entry'!AD$7="Decrease Risk",10-10*((IF('Council Entry'!AD$4="Logarithm",LN(0.001+IF(AND(ISNUMBER('Council Entry'!AD$8),ISNUMBER('Council Entry'!AD$9)),MAX(MIN('Council Entry'!AD100,'Council Entry'!AD$9),'Council Entry'!AD$8),'Council Entry'!AD100)),IF('Council Entry'!AD$4="Exponential",EXP(IF(AND(ISNUMBER('Council Entry'!AD$8),ISNUMBER('Council Entry'!AD$9)),MAX(MIN('Council Entry'!AD100,'Council Entry'!AD$9),'Council Entry'!AD$8),'Council Entry'!AD100)),IF(AND(ISNUMBER('Council Entry'!AD$8),ISNUMBER('Council Entry'!AD$9)),MAX(MIN('Council Entry'!AD100,'Council Entry'!AD$9),'Council Entry'!AD$8),'Council Entry'!AD100))))-'Council Entry'!AD$5)/('Council Entry'!AD$6-'Council Entry'!AD$5),10*((IF('Council Entry'!AD$4="Logarithm",LN(0.001+IF(AND(ISNUMBER('Council Entry'!AD$8),ISNUMBER('Council Entry'!AD$9)),MAX(MIN('Council Entry'!AD100,'Council Entry'!AD$9),'Council Entry'!AD$8),'Council Entry'!AD100)),IF('Council Entry'!AD$4="Exponential",EXP(IF(AND(ISNUMBER('Council Entry'!AD$8),ISNUMBER('Council Entry'!AD$9)),MAX(MIN('Council Entry'!AD100,'Council Entry'!AD$9),'Council Entry'!AD$8),'Council Entry'!AD100)),IF(AND(ISNUMBER('Council Entry'!AD$8),ISNUMBER('Council Entry'!AD$9)),MAX(MIN('Council Entry'!AD100,'Council Entry'!AD$9),'Council Entry'!AD$8),'Council Entry'!AD100))))-'Council Entry'!AD$5)/('Council Entry'!AD$6-'Council Entry'!AD$5)),1))),"No data"))</f>
        <v/>
      </c>
      <c r="AE100" s="13">
        <f>IF('Council Entry'!AE100="","",IFERROR(MAX(0,MIN(10,ROUND(IF('Council Entry'!AE$7="Decrease Risk",10-10*((IF('Council Entry'!AE$4="Logarithm",LN(0.001+IF(AND(ISNUMBER('Council Entry'!AE$8),ISNUMBER('Council Entry'!AE$9)),MAX(MIN('Council Entry'!AE100,'Council Entry'!AE$9),'Council Entry'!AE$8),'Council Entry'!AE100)),IF('Council Entry'!AE$4="Exponential",EXP(IF(AND(ISNUMBER('Council Entry'!AE$8),ISNUMBER('Council Entry'!AE$9)),MAX(MIN('Council Entry'!AE100,'Council Entry'!AE$9),'Council Entry'!AE$8),'Council Entry'!AE100)),IF(AND(ISNUMBER('Council Entry'!AE$8),ISNUMBER('Council Entry'!AE$9)),MAX(MIN('Council Entry'!AE100,'Council Entry'!AE$9),'Council Entry'!AE$8),'Council Entry'!AE100))))-'Council Entry'!AE$5)/('Council Entry'!AE$6-'Council Entry'!AE$5),10*((IF('Council Entry'!AE$4="Logarithm",LN(0.001+IF(AND(ISNUMBER('Council Entry'!AE$8),ISNUMBER('Council Entry'!AE$9)),MAX(MIN('Council Entry'!AE100,'Council Entry'!AE$9),'Council Entry'!AE$8),'Council Entry'!AE100)),IF('Council Entry'!AE$4="Exponential",EXP(IF(AND(ISNUMBER('Council Entry'!AE$8),ISNUMBER('Council Entry'!AE$9)),MAX(MIN('Council Entry'!AE100,'Council Entry'!AE$9),'Council Entry'!AE$8),'Council Entry'!AE100)),IF(AND(ISNUMBER('Council Entry'!AE$8),ISNUMBER('Council Entry'!AE$9)),MAX(MIN('Council Entry'!AE100,'Council Entry'!AE$9),'Council Entry'!AE$8),'Council Entry'!AE100))))-'Council Entry'!AE$5)/('Council Entry'!AE$6-'Council Entry'!AE$5)),1))),"No data"))</f>
        <v/>
      </c>
      <c r="AF100" s="13">
        <f>IF('Council Entry'!AF100="","",IFERROR(MAX(0,MIN(10,ROUND(IF('Council Entry'!AF$7="Decrease Risk",10-10*((IF('Council Entry'!AF$4="Logarithm",LN(0.001+IF(AND(ISNUMBER('Council Entry'!AF$8),ISNUMBER('Council Entry'!AF$9)),MAX(MIN('Council Entry'!AF100,'Council Entry'!AF$9),'Council Entry'!AF$8),'Council Entry'!AF100)),IF('Council Entry'!AF$4="Exponential",EXP(IF(AND(ISNUMBER('Council Entry'!AF$8),ISNUMBER('Council Entry'!AF$9)),MAX(MIN('Council Entry'!AF100,'Council Entry'!AF$9),'Council Entry'!AF$8),'Council Entry'!AF100)),IF(AND(ISNUMBER('Council Entry'!AF$8),ISNUMBER('Council Entry'!AF$9)),MAX(MIN('Council Entry'!AF100,'Council Entry'!AF$9),'Council Entry'!AF$8),'Council Entry'!AF100))))-'Council Entry'!AF$5)/('Council Entry'!AF$6-'Council Entry'!AF$5),10*((IF('Council Entry'!AF$4="Logarithm",LN(0.001+IF(AND(ISNUMBER('Council Entry'!AF$8),ISNUMBER('Council Entry'!AF$9)),MAX(MIN('Council Entry'!AF100,'Council Entry'!AF$9),'Council Entry'!AF$8),'Council Entry'!AF100)),IF('Council Entry'!AF$4="Exponential",EXP(IF(AND(ISNUMBER('Council Entry'!AF$8),ISNUMBER('Council Entry'!AF$9)),MAX(MIN('Council Entry'!AF100,'Council Entry'!AF$9),'Council Entry'!AF$8),'Council Entry'!AF100)),IF(AND(ISNUMBER('Council Entry'!AF$8),ISNUMBER('Council Entry'!AF$9)),MAX(MIN('Council Entry'!AF100,'Council Entry'!AF$9),'Council Entry'!AF$8),'Council Entry'!AF100))))-'Council Entry'!AF$5)/('Council Entry'!AF$6-'Council Entry'!AF$5)),1))),"No data"))</f>
        <v/>
      </c>
      <c r="AG100" s="13">
        <f>IF('Council Entry'!AG100="","",IFERROR(MAX(0,MIN(10,ROUND(IF('Council Entry'!AG$7="Decrease Risk",10-10*((IF('Council Entry'!AG$4="Logarithm",LN(0.001+IF(AND(ISNUMBER('Council Entry'!AG$8),ISNUMBER('Council Entry'!AG$9)),MAX(MIN('Council Entry'!AG100,'Council Entry'!AG$9),'Council Entry'!AG$8),'Council Entry'!AG100)),IF('Council Entry'!AG$4="Exponential",EXP(IF(AND(ISNUMBER('Council Entry'!AG$8),ISNUMBER('Council Entry'!AG$9)),MAX(MIN('Council Entry'!AG100,'Council Entry'!AG$9),'Council Entry'!AG$8),'Council Entry'!AG100)),IF(AND(ISNUMBER('Council Entry'!AG$8),ISNUMBER('Council Entry'!AG$9)),MAX(MIN('Council Entry'!AG100,'Council Entry'!AG$9),'Council Entry'!AG$8),'Council Entry'!AG100))))-'Council Entry'!AG$5)/('Council Entry'!AG$6-'Council Entry'!AG$5),10*((IF('Council Entry'!AG$4="Logarithm",LN(0.001+IF(AND(ISNUMBER('Council Entry'!AG$8),ISNUMBER('Council Entry'!AG$9)),MAX(MIN('Council Entry'!AG100,'Council Entry'!AG$9),'Council Entry'!AG$8),'Council Entry'!AG100)),IF('Council Entry'!AG$4="Exponential",EXP(IF(AND(ISNUMBER('Council Entry'!AG$8),ISNUMBER('Council Entry'!AG$9)),MAX(MIN('Council Entry'!AG100,'Council Entry'!AG$9),'Council Entry'!AG$8),'Council Entry'!AG100)),IF(AND(ISNUMBER('Council Entry'!AG$8),ISNUMBER('Council Entry'!AG$9)),MAX(MIN('Council Entry'!AG100,'Council Entry'!AG$9),'Council Entry'!AG$8),'Council Entry'!AG100))))-'Council Entry'!AG$5)/('Council Entry'!AG$6-'Council Entry'!AG$5)),1))),"No data"))</f>
        <v/>
      </c>
      <c r="AH100" s="13">
        <f>IF('Council Entry'!AH100="","",IFERROR(MAX(0,MIN(10,ROUND(IF('Council Entry'!AH$7="Decrease Risk",10-10*((IF('Council Entry'!AH$4="Logarithm",LN(0.001+IF(AND(ISNUMBER('Council Entry'!AH$8),ISNUMBER('Council Entry'!AH$9)),MAX(MIN('Council Entry'!AH100,'Council Entry'!AH$9),'Council Entry'!AH$8),'Council Entry'!AH100)),IF('Council Entry'!AH$4="Exponential",EXP(IF(AND(ISNUMBER('Council Entry'!AH$8),ISNUMBER('Council Entry'!AH$9)),MAX(MIN('Council Entry'!AH100,'Council Entry'!AH$9),'Council Entry'!AH$8),'Council Entry'!AH100)),IF(AND(ISNUMBER('Council Entry'!AH$8),ISNUMBER('Council Entry'!AH$9)),MAX(MIN('Council Entry'!AH100,'Council Entry'!AH$9),'Council Entry'!AH$8),'Council Entry'!AH100))))-'Council Entry'!AH$5)/('Council Entry'!AH$6-'Council Entry'!AH$5),10*((IF('Council Entry'!AH$4="Logarithm",LN(0.001+IF(AND(ISNUMBER('Council Entry'!AH$8),ISNUMBER('Council Entry'!AH$9)),MAX(MIN('Council Entry'!AH100,'Council Entry'!AH$9),'Council Entry'!AH$8),'Council Entry'!AH100)),IF('Council Entry'!AH$4="Exponential",EXP(IF(AND(ISNUMBER('Council Entry'!AH$8),ISNUMBER('Council Entry'!AH$9)),MAX(MIN('Council Entry'!AH100,'Council Entry'!AH$9),'Council Entry'!AH$8),'Council Entry'!AH100)),IF(AND(ISNUMBER('Council Entry'!AH$8),ISNUMBER('Council Entry'!AH$9)),MAX(MIN('Council Entry'!AH100,'Council Entry'!AH$9),'Council Entry'!AH$8),'Council Entry'!AH100))))-'Council Entry'!AH$5)/('Council Entry'!AH$6-'Council Entry'!AH$5)),1))),"No data"))</f>
        <v/>
      </c>
      <c r="AI100" s="13">
        <f>IF('Council Entry'!AI100="","",IFERROR(MAX(0,MIN(10,ROUND(IF('Council Entry'!AI$7="Decrease Risk",10-10*((IF('Council Entry'!AI$4="Logarithm",LN(0.001+IF(AND(ISNUMBER('Council Entry'!AI$8),ISNUMBER('Council Entry'!AI$9)),MAX(MIN('Council Entry'!AI100,'Council Entry'!AI$9),'Council Entry'!AI$8),'Council Entry'!AI100)),IF('Council Entry'!AI$4="Exponential",EXP(IF(AND(ISNUMBER('Council Entry'!AI$8),ISNUMBER('Council Entry'!AI$9)),MAX(MIN('Council Entry'!AI100,'Council Entry'!AI$9),'Council Entry'!AI$8),'Council Entry'!AI100)),IF(AND(ISNUMBER('Council Entry'!AI$8),ISNUMBER('Council Entry'!AI$9)),MAX(MIN('Council Entry'!AI100,'Council Entry'!AI$9),'Council Entry'!AI$8),'Council Entry'!AI100))))-'Council Entry'!AI$5)/('Council Entry'!AI$6-'Council Entry'!AI$5),10*((IF('Council Entry'!AI$4="Logarithm",LN(0.001+IF(AND(ISNUMBER('Council Entry'!AI$8),ISNUMBER('Council Entry'!AI$9)),MAX(MIN('Council Entry'!AI100,'Council Entry'!AI$9),'Council Entry'!AI$8),'Council Entry'!AI100)),IF('Council Entry'!AI$4="Exponential",EXP(IF(AND(ISNUMBER('Council Entry'!AI$8),ISNUMBER('Council Entry'!AI$9)),MAX(MIN('Council Entry'!AI100,'Council Entry'!AI$9),'Council Entry'!AI$8),'Council Entry'!AI100)),IF(AND(ISNUMBER('Council Entry'!AI$8),ISNUMBER('Council Entry'!AI$9)),MAX(MIN('Council Entry'!AI100,'Council Entry'!AI$9),'Council Entry'!AI$8),'Council Entry'!AI100))))-'Council Entry'!AI$5)/('Council Entry'!AI$6-'Council Entry'!AI$5)),1))),"No data"))</f>
        <v/>
      </c>
      <c r="AJ100" s="13">
        <f>IF('Council Entry'!AJ100="","",IFERROR(MAX(0,MIN(10,ROUND(IF('Council Entry'!AJ$7="Decrease Risk",10-10*((IF('Council Entry'!AJ$4="Logarithm",LN(0.001+IF(AND(ISNUMBER('Council Entry'!AJ$8),ISNUMBER('Council Entry'!AJ$9)),MAX(MIN('Council Entry'!AJ100,'Council Entry'!AJ$9),'Council Entry'!AJ$8),'Council Entry'!AJ100)),IF('Council Entry'!AJ$4="Exponential",EXP(IF(AND(ISNUMBER('Council Entry'!AJ$8),ISNUMBER('Council Entry'!AJ$9)),MAX(MIN('Council Entry'!AJ100,'Council Entry'!AJ$9),'Council Entry'!AJ$8),'Council Entry'!AJ100)),IF(AND(ISNUMBER('Council Entry'!AJ$8),ISNUMBER('Council Entry'!AJ$9)),MAX(MIN('Council Entry'!AJ100,'Council Entry'!AJ$9),'Council Entry'!AJ$8),'Council Entry'!AJ100))))-'Council Entry'!AJ$5)/('Council Entry'!AJ$6-'Council Entry'!AJ$5),10*((IF('Council Entry'!AJ$4="Logarithm",LN(0.001+IF(AND(ISNUMBER('Council Entry'!AJ$8),ISNUMBER('Council Entry'!AJ$9)),MAX(MIN('Council Entry'!AJ100,'Council Entry'!AJ$9),'Council Entry'!AJ$8),'Council Entry'!AJ100)),IF('Council Entry'!AJ$4="Exponential",EXP(IF(AND(ISNUMBER('Council Entry'!AJ$8),ISNUMBER('Council Entry'!AJ$9)),MAX(MIN('Council Entry'!AJ100,'Council Entry'!AJ$9),'Council Entry'!AJ$8),'Council Entry'!AJ100)),IF(AND(ISNUMBER('Council Entry'!AJ$8),ISNUMBER('Council Entry'!AJ$9)),MAX(MIN('Council Entry'!AJ100,'Council Entry'!AJ$9),'Council Entry'!AJ$8),'Council Entry'!AJ100))))-'Council Entry'!AJ$5)/('Council Entry'!AJ$6-'Council Entry'!AJ$5)),1))),"No data"))</f>
        <v/>
      </c>
      <c r="AK100" s="13">
        <f>IF('Council Entry'!AK100="","",IFERROR(MAX(0,MIN(10,ROUND(IF('Council Entry'!AK$7="Decrease Risk",10-10*((IF('Council Entry'!AK$4="Logarithm",LN(0.001+IF(AND(ISNUMBER('Council Entry'!AK$8),ISNUMBER('Council Entry'!AK$9)),MAX(MIN('Council Entry'!AK100,'Council Entry'!AK$9),'Council Entry'!AK$8),'Council Entry'!AK100)),IF('Council Entry'!AK$4="Exponential",EXP(IF(AND(ISNUMBER('Council Entry'!AK$8),ISNUMBER('Council Entry'!AK$9)),MAX(MIN('Council Entry'!AK100,'Council Entry'!AK$9),'Council Entry'!AK$8),'Council Entry'!AK100)),IF(AND(ISNUMBER('Council Entry'!AK$8),ISNUMBER('Council Entry'!AK$9)),MAX(MIN('Council Entry'!AK100,'Council Entry'!AK$9),'Council Entry'!AK$8),'Council Entry'!AK100))))-'Council Entry'!AK$5)/('Council Entry'!AK$6-'Council Entry'!AK$5),10*((IF('Council Entry'!AK$4="Logarithm",LN(0.001+IF(AND(ISNUMBER('Council Entry'!AK$8),ISNUMBER('Council Entry'!AK$9)),MAX(MIN('Council Entry'!AK100,'Council Entry'!AK$9),'Council Entry'!AK$8),'Council Entry'!AK100)),IF('Council Entry'!AK$4="Exponential",EXP(IF(AND(ISNUMBER('Council Entry'!AK$8),ISNUMBER('Council Entry'!AK$9)),MAX(MIN('Council Entry'!AK100,'Council Entry'!AK$9),'Council Entry'!AK$8),'Council Entry'!AK100)),IF(AND(ISNUMBER('Council Entry'!AK$8),ISNUMBER('Council Entry'!AK$9)),MAX(MIN('Council Entry'!AK100,'Council Entry'!AK$9),'Council Entry'!AK$8),'Council Entry'!AK100))))-'Council Entry'!AK$5)/('Council Entry'!AK$6-'Council Entry'!AK$5)),1))),"No data"))</f>
        <v/>
      </c>
      <c r="AL100" s="13">
        <f>IF('Council Entry'!AL100="","",IFERROR(MAX(0,MIN(10,ROUND(IF('Council Entry'!AL$7="Decrease Risk",10-10*((IF('Council Entry'!AL$4="Logarithm",LN(0.001+IF(AND(ISNUMBER('Council Entry'!AL$8),ISNUMBER('Council Entry'!AL$9)),MAX(MIN('Council Entry'!AL100,'Council Entry'!AL$9),'Council Entry'!AL$8),'Council Entry'!AL100)),IF('Council Entry'!AL$4="Exponential",EXP(IF(AND(ISNUMBER('Council Entry'!AL$8),ISNUMBER('Council Entry'!AL$9)),MAX(MIN('Council Entry'!AL100,'Council Entry'!AL$9),'Council Entry'!AL$8),'Council Entry'!AL100)),IF(AND(ISNUMBER('Council Entry'!AL$8),ISNUMBER('Council Entry'!AL$9)),MAX(MIN('Council Entry'!AL100,'Council Entry'!AL$9),'Council Entry'!AL$8),'Council Entry'!AL100))))-'Council Entry'!AL$5)/('Council Entry'!AL$6-'Council Entry'!AL$5),10*((IF('Council Entry'!AL$4="Logarithm",LN(0.001+IF(AND(ISNUMBER('Council Entry'!AL$8),ISNUMBER('Council Entry'!AL$9)),MAX(MIN('Council Entry'!AL100,'Council Entry'!AL$9),'Council Entry'!AL$8),'Council Entry'!AL100)),IF('Council Entry'!AL$4="Exponential",EXP(IF(AND(ISNUMBER('Council Entry'!AL$8),ISNUMBER('Council Entry'!AL$9)),MAX(MIN('Council Entry'!AL100,'Council Entry'!AL$9),'Council Entry'!AL$8),'Council Entry'!AL100)),IF(AND(ISNUMBER('Council Entry'!AL$8),ISNUMBER('Council Entry'!AL$9)),MAX(MIN('Council Entry'!AL100,'Council Entry'!AL$9),'Council Entry'!AL$8),'Council Entry'!AL100))))-'Council Entry'!AL$5)/('Council Entry'!AL$6-'Council Entry'!AL$5)),1))),"No data"))</f>
        <v/>
      </c>
      <c r="AM100" s="13">
        <f>IF('Council Entry'!AM100="","",IFERROR(MAX(0,MIN(10,ROUND(IF('Council Entry'!AM$7="Decrease Risk",10-10*((IF('Council Entry'!AM$4="Logarithm",LN(0.001+IF(AND(ISNUMBER('Council Entry'!AM$8),ISNUMBER('Council Entry'!AM$9)),MAX(MIN('Council Entry'!AM100,'Council Entry'!AM$9),'Council Entry'!AM$8),'Council Entry'!AM100)),IF('Council Entry'!AM$4="Exponential",EXP(IF(AND(ISNUMBER('Council Entry'!AM$8),ISNUMBER('Council Entry'!AM$9)),MAX(MIN('Council Entry'!AM100,'Council Entry'!AM$9),'Council Entry'!AM$8),'Council Entry'!AM100)),IF(AND(ISNUMBER('Council Entry'!AM$8),ISNUMBER('Council Entry'!AM$9)),MAX(MIN('Council Entry'!AM100,'Council Entry'!AM$9),'Council Entry'!AM$8),'Council Entry'!AM100))))-'Council Entry'!AM$5)/('Council Entry'!AM$6-'Council Entry'!AM$5),10*((IF('Council Entry'!AM$4="Logarithm",LN(0.001+IF(AND(ISNUMBER('Council Entry'!AM$8),ISNUMBER('Council Entry'!AM$9)),MAX(MIN('Council Entry'!AM100,'Council Entry'!AM$9),'Council Entry'!AM$8),'Council Entry'!AM100)),IF('Council Entry'!AM$4="Exponential",EXP(IF(AND(ISNUMBER('Council Entry'!AM$8),ISNUMBER('Council Entry'!AM$9)),MAX(MIN('Council Entry'!AM100,'Council Entry'!AM$9),'Council Entry'!AM$8),'Council Entry'!AM100)),IF(AND(ISNUMBER('Council Entry'!AM$8),ISNUMBER('Council Entry'!AM$9)),MAX(MIN('Council Entry'!AM100,'Council Entry'!AM$9),'Council Entry'!AM$8),'Council Entry'!AM100))))-'Council Entry'!AM$5)/('Council Entry'!AM$6-'Council Entry'!AM$5)),1))),"No data"))</f>
        <v/>
      </c>
      <c r="AN100" s="13">
        <f>IF('Council Entry'!AN100="","",IFERROR(MAX(0,MIN(10,ROUND(IF('Council Entry'!AN$7="Decrease Risk",10-10*((IF('Council Entry'!AN$4="Logarithm",LN(0.001+IF(AND(ISNUMBER('Council Entry'!AN$8),ISNUMBER('Council Entry'!AN$9)),MAX(MIN('Council Entry'!AN100,'Council Entry'!AN$9),'Council Entry'!AN$8),'Council Entry'!AN100)),IF('Council Entry'!AN$4="Exponential",EXP(IF(AND(ISNUMBER('Council Entry'!AN$8),ISNUMBER('Council Entry'!AN$9)),MAX(MIN('Council Entry'!AN100,'Council Entry'!AN$9),'Council Entry'!AN$8),'Council Entry'!AN100)),IF(AND(ISNUMBER('Council Entry'!AN$8),ISNUMBER('Council Entry'!AN$9)),MAX(MIN('Council Entry'!AN100,'Council Entry'!AN$9),'Council Entry'!AN$8),'Council Entry'!AN100))))-'Council Entry'!AN$5)/('Council Entry'!AN$6-'Council Entry'!AN$5),10*((IF('Council Entry'!AN$4="Logarithm",LN(0.001+IF(AND(ISNUMBER('Council Entry'!AN$8),ISNUMBER('Council Entry'!AN$9)),MAX(MIN('Council Entry'!AN100,'Council Entry'!AN$9),'Council Entry'!AN$8),'Council Entry'!AN100)),IF('Council Entry'!AN$4="Exponential",EXP(IF(AND(ISNUMBER('Council Entry'!AN$8),ISNUMBER('Council Entry'!AN$9)),MAX(MIN('Council Entry'!AN100,'Council Entry'!AN$9),'Council Entry'!AN$8),'Council Entry'!AN100)),IF(AND(ISNUMBER('Council Entry'!AN$8),ISNUMBER('Council Entry'!AN$9)),MAX(MIN('Council Entry'!AN100,'Council Entry'!AN$9),'Council Entry'!AN$8),'Council Entry'!AN100))))-'Council Entry'!AN$5)/('Council Entry'!AN$6-'Council Entry'!AN$5)),1))),"No data"))</f>
        <v/>
      </c>
      <c r="AO100" s="13">
        <f>IF('Council Entry'!AO100="","",IFERROR(MAX(0,MIN(10,ROUND(IF('Council Entry'!AO$7="Decrease Risk",10-10*((IF('Council Entry'!AO$4="Logarithm",LN(0.001+IF(AND(ISNUMBER('Council Entry'!AO$8),ISNUMBER('Council Entry'!AO$9)),MAX(MIN('Council Entry'!AO100,'Council Entry'!AO$9),'Council Entry'!AO$8),'Council Entry'!AO100)),IF('Council Entry'!AO$4="Exponential",EXP(IF(AND(ISNUMBER('Council Entry'!AO$8),ISNUMBER('Council Entry'!AO$9)),MAX(MIN('Council Entry'!AO100,'Council Entry'!AO$9),'Council Entry'!AO$8),'Council Entry'!AO100)),IF(AND(ISNUMBER('Council Entry'!AO$8),ISNUMBER('Council Entry'!AO$9)),MAX(MIN('Council Entry'!AO100,'Council Entry'!AO$9),'Council Entry'!AO$8),'Council Entry'!AO100))))-'Council Entry'!AO$5)/('Council Entry'!AO$6-'Council Entry'!AO$5),10*((IF('Council Entry'!AO$4="Logarithm",LN(0.001+IF(AND(ISNUMBER('Council Entry'!AO$8),ISNUMBER('Council Entry'!AO$9)),MAX(MIN('Council Entry'!AO100,'Council Entry'!AO$9),'Council Entry'!AO$8),'Council Entry'!AO100)),IF('Council Entry'!AO$4="Exponential",EXP(IF(AND(ISNUMBER('Council Entry'!AO$8),ISNUMBER('Council Entry'!AO$9)),MAX(MIN('Council Entry'!AO100,'Council Entry'!AO$9),'Council Entry'!AO$8),'Council Entry'!AO100)),IF(AND(ISNUMBER('Council Entry'!AO$8),ISNUMBER('Council Entry'!AO$9)),MAX(MIN('Council Entry'!AO100,'Council Entry'!AO$9),'Council Entry'!AO$8),'Council Entry'!AO100))))-'Council Entry'!AO$5)/('Council Entry'!AO$6-'Council Entry'!AO$5)),1))),"No data"))</f>
        <v/>
      </c>
      <c r="AP100" s="13">
        <f>IF('Council Entry'!AP100="","",IFERROR(MAX(0,MIN(10,ROUND(IF('Council Entry'!AP$7="Decrease Risk",10-10*((IF('Council Entry'!AP$4="Logarithm",LN(0.001+IF(AND(ISNUMBER('Council Entry'!AP$8),ISNUMBER('Council Entry'!AP$9)),MAX(MIN('Council Entry'!AP100,'Council Entry'!AP$9),'Council Entry'!AP$8),'Council Entry'!AP100)),IF('Council Entry'!AP$4="Exponential",EXP(IF(AND(ISNUMBER('Council Entry'!AP$8),ISNUMBER('Council Entry'!AP$9)),MAX(MIN('Council Entry'!AP100,'Council Entry'!AP$9),'Council Entry'!AP$8),'Council Entry'!AP100)),IF(AND(ISNUMBER('Council Entry'!AP$8),ISNUMBER('Council Entry'!AP$9)),MAX(MIN('Council Entry'!AP100,'Council Entry'!AP$9),'Council Entry'!AP$8),'Council Entry'!AP100))))-'Council Entry'!AP$5)/('Council Entry'!AP$6-'Council Entry'!AP$5),10*((IF('Council Entry'!AP$4="Logarithm",LN(0.001+IF(AND(ISNUMBER('Council Entry'!AP$8),ISNUMBER('Council Entry'!AP$9)),MAX(MIN('Council Entry'!AP100,'Council Entry'!AP$9),'Council Entry'!AP$8),'Council Entry'!AP100)),IF('Council Entry'!AP$4="Exponential",EXP(IF(AND(ISNUMBER('Council Entry'!AP$8),ISNUMBER('Council Entry'!AP$9)),MAX(MIN('Council Entry'!AP100,'Council Entry'!AP$9),'Council Entry'!AP$8),'Council Entry'!AP100)),IF(AND(ISNUMBER('Council Entry'!AP$8),ISNUMBER('Council Entry'!AP$9)),MAX(MIN('Council Entry'!AP100,'Council Entry'!AP$9),'Council Entry'!AP$8),'Council Entry'!AP100))))-'Council Entry'!AP$5)/('Council Entry'!AP$6-'Council Entry'!AP$5)),1))),"No data"))</f>
        <v/>
      </c>
      <c r="AQ100" s="13">
        <f>IF('Council Entry'!AQ100="","",IFERROR(MAX(0,MIN(10,ROUND(IF('Council Entry'!AQ$7="Decrease Risk",10-10*((IF('Council Entry'!AQ$4="Logarithm",LN(0.001+IF(AND(ISNUMBER('Council Entry'!AQ$8),ISNUMBER('Council Entry'!AQ$9)),MAX(MIN('Council Entry'!AQ100,'Council Entry'!AQ$9),'Council Entry'!AQ$8),'Council Entry'!AQ100)),IF('Council Entry'!AQ$4="Exponential",EXP(IF(AND(ISNUMBER('Council Entry'!AQ$8),ISNUMBER('Council Entry'!AQ$9)),MAX(MIN('Council Entry'!AQ100,'Council Entry'!AQ$9),'Council Entry'!AQ$8),'Council Entry'!AQ100)),IF(AND(ISNUMBER('Council Entry'!AQ$8),ISNUMBER('Council Entry'!AQ$9)),MAX(MIN('Council Entry'!AQ100,'Council Entry'!AQ$9),'Council Entry'!AQ$8),'Council Entry'!AQ100))))-'Council Entry'!AQ$5)/('Council Entry'!AQ$6-'Council Entry'!AQ$5),10*((IF('Council Entry'!AQ$4="Logarithm",LN(0.001+IF(AND(ISNUMBER('Council Entry'!AQ$8),ISNUMBER('Council Entry'!AQ$9)),MAX(MIN('Council Entry'!AQ100,'Council Entry'!AQ$9),'Council Entry'!AQ$8),'Council Entry'!AQ100)),IF('Council Entry'!AQ$4="Exponential",EXP(IF(AND(ISNUMBER('Council Entry'!AQ$8),ISNUMBER('Council Entry'!AQ$9)),MAX(MIN('Council Entry'!AQ100,'Council Entry'!AQ$9),'Council Entry'!AQ$8),'Council Entry'!AQ100)),IF(AND(ISNUMBER('Council Entry'!AQ$8),ISNUMBER('Council Entry'!AQ$9)),MAX(MIN('Council Entry'!AQ100,'Council Entry'!AQ$9),'Council Entry'!AQ$8),'Council Entry'!AQ100))))-'Council Entry'!AQ$5)/('Council Entry'!AQ$6-'Council Entry'!AQ$5)),1))),"No data"))</f>
        <v/>
      </c>
      <c r="AR100" s="13">
        <f>IF('Council Entry'!AR100="","",IFERROR(MAX(0,MIN(10,ROUND(IF('Council Entry'!AR$7="Decrease Risk",10-10*((IF('Council Entry'!AR$4="Logarithm",LN(0.001+IF(AND(ISNUMBER('Council Entry'!AR$8),ISNUMBER('Council Entry'!AR$9)),MAX(MIN('Council Entry'!AR100,'Council Entry'!AR$9),'Council Entry'!AR$8),'Council Entry'!AR100)),IF('Council Entry'!AR$4="Exponential",EXP(IF(AND(ISNUMBER('Council Entry'!AR$8),ISNUMBER('Council Entry'!AR$9)),MAX(MIN('Council Entry'!AR100,'Council Entry'!AR$9),'Council Entry'!AR$8),'Council Entry'!AR100)),IF(AND(ISNUMBER('Council Entry'!AR$8),ISNUMBER('Council Entry'!AR$9)),MAX(MIN('Council Entry'!AR100,'Council Entry'!AR$9),'Council Entry'!AR$8),'Council Entry'!AR100))))-'Council Entry'!AR$5)/('Council Entry'!AR$6-'Council Entry'!AR$5),10*((IF('Council Entry'!AR$4="Logarithm",LN(0.001+IF(AND(ISNUMBER('Council Entry'!AR$8),ISNUMBER('Council Entry'!AR$9)),MAX(MIN('Council Entry'!AR100,'Council Entry'!AR$9),'Council Entry'!AR$8),'Council Entry'!AR100)),IF('Council Entry'!AR$4="Exponential",EXP(IF(AND(ISNUMBER('Council Entry'!AR$8),ISNUMBER('Council Entry'!AR$9)),MAX(MIN('Council Entry'!AR100,'Council Entry'!AR$9),'Council Entry'!AR$8),'Council Entry'!AR100)),IF(AND(ISNUMBER('Council Entry'!AR$8),ISNUMBER('Council Entry'!AR$9)),MAX(MIN('Council Entry'!AR100,'Council Entry'!AR$9),'Council Entry'!AR$8),'Council Entry'!AR100))))-'Council Entry'!AR$5)/('Council Entry'!AR$6-'Council Entry'!AR$5)),1))),"No data"))</f>
        <v/>
      </c>
      <c r="AS100" s="13">
        <f>IF('Council Entry'!AS100="","",IFERROR(MAX(0,MIN(10,ROUND(IF('Council Entry'!AS$7="Decrease Risk",10-10*((IF('Council Entry'!AS$4="Logarithm",LN(0.001+IF(AND(ISNUMBER('Council Entry'!AS$8),ISNUMBER('Council Entry'!AS$9)),MAX(MIN('Council Entry'!AS100,'Council Entry'!AS$9),'Council Entry'!AS$8),'Council Entry'!AS100)),IF('Council Entry'!AS$4="Exponential",EXP(IF(AND(ISNUMBER('Council Entry'!AS$8),ISNUMBER('Council Entry'!AS$9)),MAX(MIN('Council Entry'!AS100,'Council Entry'!AS$9),'Council Entry'!AS$8),'Council Entry'!AS100)),IF(AND(ISNUMBER('Council Entry'!AS$8),ISNUMBER('Council Entry'!AS$9)),MAX(MIN('Council Entry'!AS100,'Council Entry'!AS$9),'Council Entry'!AS$8),'Council Entry'!AS100))))-'Council Entry'!AS$5)/('Council Entry'!AS$6-'Council Entry'!AS$5),10*((IF('Council Entry'!AS$4="Logarithm",LN(0.001+IF(AND(ISNUMBER('Council Entry'!AS$8),ISNUMBER('Council Entry'!AS$9)),MAX(MIN('Council Entry'!AS100,'Council Entry'!AS$9),'Council Entry'!AS$8),'Council Entry'!AS100)),IF('Council Entry'!AS$4="Exponential",EXP(IF(AND(ISNUMBER('Council Entry'!AS$8),ISNUMBER('Council Entry'!AS$9)),MAX(MIN('Council Entry'!AS100,'Council Entry'!AS$9),'Council Entry'!AS$8),'Council Entry'!AS100)),IF(AND(ISNUMBER('Council Entry'!AS$8),ISNUMBER('Council Entry'!AS$9)),MAX(MIN('Council Entry'!AS100,'Council Entry'!AS$9),'Council Entry'!AS$8),'Council Entry'!AS100))))-'Council Entry'!AS$5)/('Council Entry'!AS$6-'Council Entry'!AS$5)),1))),"No data"))</f>
        <v/>
      </c>
      <c r="AT100" s="13">
        <f>IF('Council Entry'!AT100="","",IFERROR(MAX(0,MIN(10,ROUND(IF('Council Entry'!AT$7="Decrease Risk",10-10*((IF('Council Entry'!AT$4="Logarithm",LN(0.001+IF(AND(ISNUMBER('Council Entry'!AT$8),ISNUMBER('Council Entry'!AT$9)),MAX(MIN('Council Entry'!AT100,'Council Entry'!AT$9),'Council Entry'!AT$8),'Council Entry'!AT100)),IF('Council Entry'!AT$4="Exponential",EXP(IF(AND(ISNUMBER('Council Entry'!AT$8),ISNUMBER('Council Entry'!AT$9)),MAX(MIN('Council Entry'!AT100,'Council Entry'!AT$9),'Council Entry'!AT$8),'Council Entry'!AT100)),IF(AND(ISNUMBER('Council Entry'!AT$8),ISNUMBER('Council Entry'!AT$9)),MAX(MIN('Council Entry'!AT100,'Council Entry'!AT$9),'Council Entry'!AT$8),'Council Entry'!AT100))))-'Council Entry'!AT$5)/('Council Entry'!AT$6-'Council Entry'!AT$5),10*((IF('Council Entry'!AT$4="Logarithm",LN(0.001+IF(AND(ISNUMBER('Council Entry'!AT$8),ISNUMBER('Council Entry'!AT$9)),MAX(MIN('Council Entry'!AT100,'Council Entry'!AT$9),'Council Entry'!AT$8),'Council Entry'!AT100)),IF('Council Entry'!AT$4="Exponential",EXP(IF(AND(ISNUMBER('Council Entry'!AT$8),ISNUMBER('Council Entry'!AT$9)),MAX(MIN('Council Entry'!AT100,'Council Entry'!AT$9),'Council Entry'!AT$8),'Council Entry'!AT100)),IF(AND(ISNUMBER('Council Entry'!AT$8),ISNUMBER('Council Entry'!AT$9)),MAX(MIN('Council Entry'!AT100,'Council Entry'!AT$9),'Council Entry'!AT$8),'Council Entry'!AT100))))-'Council Entry'!AT$5)/('Council Entry'!AT$6-'Council Entry'!AT$5)),1))),"No data"))</f>
        <v/>
      </c>
      <c r="AU100" s="13">
        <f>IF('Council Entry'!AU100="","",IFERROR(MAX(0,MIN(10,ROUND(IF('Council Entry'!AU$7="Decrease Risk",10-10*((IF('Council Entry'!AU$4="Logarithm",LN(0.001+IF(AND(ISNUMBER('Council Entry'!AU$8),ISNUMBER('Council Entry'!AU$9)),MAX(MIN('Council Entry'!AU100,'Council Entry'!AU$9),'Council Entry'!AU$8),'Council Entry'!AU100)),IF('Council Entry'!AU$4="Exponential",EXP(IF(AND(ISNUMBER('Council Entry'!AU$8),ISNUMBER('Council Entry'!AU$9)),MAX(MIN('Council Entry'!AU100,'Council Entry'!AU$9),'Council Entry'!AU$8),'Council Entry'!AU100)),IF(AND(ISNUMBER('Council Entry'!AU$8),ISNUMBER('Council Entry'!AU$9)),MAX(MIN('Council Entry'!AU100,'Council Entry'!AU$9),'Council Entry'!AU$8),'Council Entry'!AU100))))-'Council Entry'!AU$5)/('Council Entry'!AU$6-'Council Entry'!AU$5),10*((IF('Council Entry'!AU$4="Logarithm",LN(0.001+IF(AND(ISNUMBER('Council Entry'!AU$8),ISNUMBER('Council Entry'!AU$9)),MAX(MIN('Council Entry'!AU100,'Council Entry'!AU$9),'Council Entry'!AU$8),'Council Entry'!AU100)),IF('Council Entry'!AU$4="Exponential",EXP(IF(AND(ISNUMBER('Council Entry'!AU$8),ISNUMBER('Council Entry'!AU$9)),MAX(MIN('Council Entry'!AU100,'Council Entry'!AU$9),'Council Entry'!AU$8),'Council Entry'!AU100)),IF(AND(ISNUMBER('Council Entry'!AU$8),ISNUMBER('Council Entry'!AU$9)),MAX(MIN('Council Entry'!AU100,'Council Entry'!AU$9),'Council Entry'!AU$8),'Council Entry'!AU100))))-'Council Entry'!AU$5)/('Council Entry'!AU$6-'Council Entry'!AU$5)),1))),"No data"))</f>
        <v/>
      </c>
      <c r="AV100" s="13">
        <f>IF('Council Entry'!AV100="","",IFERROR(MAX(0,MIN(10,ROUND(IF('Council Entry'!AV$7="Decrease Risk",10-10*((IF('Council Entry'!AV$4="Logarithm",LN(0.001+IF(AND(ISNUMBER('Council Entry'!AV$8),ISNUMBER('Council Entry'!AV$9)),MAX(MIN('Council Entry'!AV100,'Council Entry'!AV$9),'Council Entry'!AV$8),'Council Entry'!AV100)),IF('Council Entry'!AV$4="Exponential",EXP(IF(AND(ISNUMBER('Council Entry'!AV$8),ISNUMBER('Council Entry'!AV$9)),MAX(MIN('Council Entry'!AV100,'Council Entry'!AV$9),'Council Entry'!AV$8),'Council Entry'!AV100)),IF(AND(ISNUMBER('Council Entry'!AV$8),ISNUMBER('Council Entry'!AV$9)),MAX(MIN('Council Entry'!AV100,'Council Entry'!AV$9),'Council Entry'!AV$8),'Council Entry'!AV100))))-'Council Entry'!AV$5)/('Council Entry'!AV$6-'Council Entry'!AV$5),10*((IF('Council Entry'!AV$4="Logarithm",LN(0.001+IF(AND(ISNUMBER('Council Entry'!AV$8),ISNUMBER('Council Entry'!AV$9)),MAX(MIN('Council Entry'!AV100,'Council Entry'!AV$9),'Council Entry'!AV$8),'Council Entry'!AV100)),IF('Council Entry'!AV$4="Exponential",EXP(IF(AND(ISNUMBER('Council Entry'!AV$8),ISNUMBER('Council Entry'!AV$9)),MAX(MIN('Council Entry'!AV100,'Council Entry'!AV$9),'Council Entry'!AV$8),'Council Entry'!AV100)),IF(AND(ISNUMBER('Council Entry'!AV$8),ISNUMBER('Council Entry'!AV$9)),MAX(MIN('Council Entry'!AV100,'Council Entry'!AV$9),'Council Entry'!AV$8),'Council Entry'!AV100))))-'Council Entry'!AV$5)/('Council Entry'!AV$6-'Council Entry'!AV$5)),1))),"No data"))</f>
        <v/>
      </c>
      <c r="AW100" s="13">
        <f>IF('Council Entry'!AW100="","",IFERROR(MAX(0,MIN(10,ROUND(IF('Council Entry'!AW$7="Decrease Risk",10-10*((IF('Council Entry'!AW$4="Logarithm",LN(0.001+IF(AND(ISNUMBER('Council Entry'!AW$8),ISNUMBER('Council Entry'!AW$9)),MAX(MIN('Council Entry'!AW100,'Council Entry'!AW$9),'Council Entry'!AW$8),'Council Entry'!AW100)),IF('Council Entry'!AW$4="Exponential",EXP(IF(AND(ISNUMBER('Council Entry'!AW$8),ISNUMBER('Council Entry'!AW$9)),MAX(MIN('Council Entry'!AW100,'Council Entry'!AW$9),'Council Entry'!AW$8),'Council Entry'!AW100)),IF(AND(ISNUMBER('Council Entry'!AW$8),ISNUMBER('Council Entry'!AW$9)),MAX(MIN('Council Entry'!AW100,'Council Entry'!AW$9),'Council Entry'!AW$8),'Council Entry'!AW100))))-'Council Entry'!AW$5)/('Council Entry'!AW$6-'Council Entry'!AW$5),10*((IF('Council Entry'!AW$4="Logarithm",LN(0.001+IF(AND(ISNUMBER('Council Entry'!AW$8),ISNUMBER('Council Entry'!AW$9)),MAX(MIN('Council Entry'!AW100,'Council Entry'!AW$9),'Council Entry'!AW$8),'Council Entry'!AW100)),IF('Council Entry'!AW$4="Exponential",EXP(IF(AND(ISNUMBER('Council Entry'!AW$8),ISNUMBER('Council Entry'!AW$9)),MAX(MIN('Council Entry'!AW100,'Council Entry'!AW$9),'Council Entry'!AW$8),'Council Entry'!AW100)),IF(AND(ISNUMBER('Council Entry'!AW$8),ISNUMBER('Council Entry'!AW$9)),MAX(MIN('Council Entry'!AW100,'Council Entry'!AW$9),'Council Entry'!AW$8),'Council Entry'!AW100))))-'Council Entry'!AW$5)/('Council Entry'!AW$6-'Council Entry'!AW$5)),1))),"No data"))</f>
        <v/>
      </c>
      <c r="AX100" s="13">
        <f>IF('Council Entry'!AX100="","",IFERROR(MAX(0,MIN(10,ROUND(IF('Council Entry'!AX$7="Decrease Risk",10-10*((IF('Council Entry'!AX$4="Logarithm",LN(0.001+IF(AND(ISNUMBER('Council Entry'!AX$8),ISNUMBER('Council Entry'!AX$9)),MAX(MIN('Council Entry'!AX100,'Council Entry'!AX$9),'Council Entry'!AX$8),'Council Entry'!AX100)),IF('Council Entry'!AX$4="Exponential",EXP(IF(AND(ISNUMBER('Council Entry'!AX$8),ISNUMBER('Council Entry'!AX$9)),MAX(MIN('Council Entry'!AX100,'Council Entry'!AX$9),'Council Entry'!AX$8),'Council Entry'!AX100)),IF(AND(ISNUMBER('Council Entry'!AX$8),ISNUMBER('Council Entry'!AX$9)),MAX(MIN('Council Entry'!AX100,'Council Entry'!AX$9),'Council Entry'!AX$8),'Council Entry'!AX100))))-'Council Entry'!AX$5)/('Council Entry'!AX$6-'Council Entry'!AX$5),10*((IF('Council Entry'!AX$4="Logarithm",LN(0.001+IF(AND(ISNUMBER('Council Entry'!AX$8),ISNUMBER('Council Entry'!AX$9)),MAX(MIN('Council Entry'!AX100,'Council Entry'!AX$9),'Council Entry'!AX$8),'Council Entry'!AX100)),IF('Council Entry'!AX$4="Exponential",EXP(IF(AND(ISNUMBER('Council Entry'!AX$8),ISNUMBER('Council Entry'!AX$9)),MAX(MIN('Council Entry'!AX100,'Council Entry'!AX$9),'Council Entry'!AX$8),'Council Entry'!AX100)),IF(AND(ISNUMBER('Council Entry'!AX$8),ISNUMBER('Council Entry'!AX$9)),MAX(MIN('Council Entry'!AX100,'Council Entry'!AX$9),'Council Entry'!AX$8),'Council Entry'!AX100))))-'Council Entry'!AX$5)/('Council Entry'!AX$6-'Council Entry'!AX$5)),1))),"No data"))</f>
        <v/>
      </c>
      <c r="AY100" s="13">
        <f>IF('Council Entry'!AY100="","",IFERROR(MAX(0,MIN(10,ROUND(IF('Council Entry'!AY$7="Decrease Risk",10-10*((IF('Council Entry'!AY$4="Logarithm",LN(0.001+IF(AND(ISNUMBER('Council Entry'!AY$8),ISNUMBER('Council Entry'!AY$9)),MAX(MIN('Council Entry'!AY100,'Council Entry'!AY$9),'Council Entry'!AY$8),'Council Entry'!AY100)),IF('Council Entry'!AY$4="Exponential",EXP(IF(AND(ISNUMBER('Council Entry'!AY$8),ISNUMBER('Council Entry'!AY$9)),MAX(MIN('Council Entry'!AY100,'Council Entry'!AY$9),'Council Entry'!AY$8),'Council Entry'!AY100)),IF(AND(ISNUMBER('Council Entry'!AY$8),ISNUMBER('Council Entry'!AY$9)),MAX(MIN('Council Entry'!AY100,'Council Entry'!AY$9),'Council Entry'!AY$8),'Council Entry'!AY100))))-'Council Entry'!AY$5)/('Council Entry'!AY$6-'Council Entry'!AY$5),10*((IF('Council Entry'!AY$4="Logarithm",LN(0.001+IF(AND(ISNUMBER('Council Entry'!AY$8),ISNUMBER('Council Entry'!AY$9)),MAX(MIN('Council Entry'!AY100,'Council Entry'!AY$9),'Council Entry'!AY$8),'Council Entry'!AY100)),IF('Council Entry'!AY$4="Exponential",EXP(IF(AND(ISNUMBER('Council Entry'!AY$8),ISNUMBER('Council Entry'!AY$9)),MAX(MIN('Council Entry'!AY100,'Council Entry'!AY$9),'Council Entry'!AY$8),'Council Entry'!AY100)),IF(AND(ISNUMBER('Council Entry'!AY$8),ISNUMBER('Council Entry'!AY$9)),MAX(MIN('Council Entry'!AY100,'Council Entry'!AY$9),'Council Entry'!AY$8),'Council Entry'!AY100))))-'Council Entry'!AY$5)/('Council Entry'!AY$6-'Council Entry'!AY$5)),1))),"No data"))</f>
        <v/>
      </c>
      <c r="AZ100" s="13">
        <f>IF('Council Entry'!AZ100="","",IFERROR(MAX(0,MIN(10,ROUND(IF('Council Entry'!AZ$7="Decrease Risk",10-10*((IF('Council Entry'!AZ$4="Logarithm",LN(0.001+IF(AND(ISNUMBER('Council Entry'!AZ$8),ISNUMBER('Council Entry'!AZ$9)),MAX(MIN('Council Entry'!AZ100,'Council Entry'!AZ$9),'Council Entry'!AZ$8),'Council Entry'!AZ100)),IF('Council Entry'!AZ$4="Exponential",EXP(IF(AND(ISNUMBER('Council Entry'!AZ$8),ISNUMBER('Council Entry'!AZ$9)),MAX(MIN('Council Entry'!AZ100,'Council Entry'!AZ$9),'Council Entry'!AZ$8),'Council Entry'!AZ100)),IF(AND(ISNUMBER('Council Entry'!AZ$8),ISNUMBER('Council Entry'!AZ$9)),MAX(MIN('Council Entry'!AZ100,'Council Entry'!AZ$9),'Council Entry'!AZ$8),'Council Entry'!AZ100))))-'Council Entry'!AZ$5)/('Council Entry'!AZ$6-'Council Entry'!AZ$5),10*((IF('Council Entry'!AZ$4="Logarithm",LN(0.001+IF(AND(ISNUMBER('Council Entry'!AZ$8),ISNUMBER('Council Entry'!AZ$9)),MAX(MIN('Council Entry'!AZ100,'Council Entry'!AZ$9),'Council Entry'!AZ$8),'Council Entry'!AZ100)),IF('Council Entry'!AZ$4="Exponential",EXP(IF(AND(ISNUMBER('Council Entry'!AZ$8),ISNUMBER('Council Entry'!AZ$9)),MAX(MIN('Council Entry'!AZ100,'Council Entry'!AZ$9),'Council Entry'!AZ$8),'Council Entry'!AZ100)),IF(AND(ISNUMBER('Council Entry'!AZ$8),ISNUMBER('Council Entry'!AZ$9)),MAX(MIN('Council Entry'!AZ100,'Council Entry'!AZ$9),'Council Entry'!AZ$8),'Council Entry'!AZ100))))-'Council Entry'!AZ$5)/('Council Entry'!AZ$6-'Council Entry'!AZ$5)),1))),"No data"))</f>
        <v/>
      </c>
      <c r="BA100" s="13">
        <f>IF('Council Entry'!BA100="","",IFERROR(MAX(0,MIN(10,ROUND(IF('Council Entry'!BA$7="Decrease Risk",10-10*((IF('Council Entry'!BA$4="Logarithm",LN(0.001+IF(AND(ISNUMBER('Council Entry'!BA$8),ISNUMBER('Council Entry'!BA$9)),MAX(MIN('Council Entry'!BA100,'Council Entry'!BA$9),'Council Entry'!BA$8),'Council Entry'!BA100)),IF('Council Entry'!BA$4="Exponential",EXP(IF(AND(ISNUMBER('Council Entry'!BA$8),ISNUMBER('Council Entry'!BA$9)),MAX(MIN('Council Entry'!BA100,'Council Entry'!BA$9),'Council Entry'!BA$8),'Council Entry'!BA100)),IF(AND(ISNUMBER('Council Entry'!BA$8),ISNUMBER('Council Entry'!BA$9)),MAX(MIN('Council Entry'!BA100,'Council Entry'!BA$9),'Council Entry'!BA$8),'Council Entry'!BA100))))-'Council Entry'!BA$5)/('Council Entry'!BA$6-'Council Entry'!BA$5),10*((IF('Council Entry'!BA$4="Logarithm",LN(0.001+IF(AND(ISNUMBER('Council Entry'!BA$8),ISNUMBER('Council Entry'!BA$9)),MAX(MIN('Council Entry'!BA100,'Council Entry'!BA$9),'Council Entry'!BA$8),'Council Entry'!BA100)),IF('Council Entry'!BA$4="Exponential",EXP(IF(AND(ISNUMBER('Council Entry'!BA$8),ISNUMBER('Council Entry'!BA$9)),MAX(MIN('Council Entry'!BA100,'Council Entry'!BA$9),'Council Entry'!BA$8),'Council Entry'!BA100)),IF(AND(ISNUMBER('Council Entry'!BA$8),ISNUMBER('Council Entry'!BA$9)),MAX(MIN('Council Entry'!BA100,'Council Entry'!BA$9),'Council Entry'!BA$8),'Council Entry'!BA100))))-'Council Entry'!BA$5)/('Council Entry'!BA$6-'Council Entry'!BA$5)),1))),"No data"))</f>
        <v/>
      </c>
      <c r="BB100" s="13">
        <f>IF('Council Entry'!BB100="","",IFERROR(MAX(0,MIN(10,ROUND(IF('Council Entry'!BB$7="Decrease Risk",10-10*((IF('Council Entry'!BB$4="Logarithm",LN(0.001+IF(AND(ISNUMBER('Council Entry'!BB$8),ISNUMBER('Council Entry'!BB$9)),MAX(MIN('Council Entry'!BB100,'Council Entry'!BB$9),'Council Entry'!BB$8),'Council Entry'!BB100)),IF('Council Entry'!BB$4="Exponential",EXP(IF(AND(ISNUMBER('Council Entry'!BB$8),ISNUMBER('Council Entry'!BB$9)),MAX(MIN('Council Entry'!BB100,'Council Entry'!BB$9),'Council Entry'!BB$8),'Council Entry'!BB100)),IF(AND(ISNUMBER('Council Entry'!BB$8),ISNUMBER('Council Entry'!BB$9)),MAX(MIN('Council Entry'!BB100,'Council Entry'!BB$9),'Council Entry'!BB$8),'Council Entry'!BB100))))-'Council Entry'!BB$5)/('Council Entry'!BB$6-'Council Entry'!BB$5),10*((IF('Council Entry'!BB$4="Logarithm",LN(0.001+IF(AND(ISNUMBER('Council Entry'!BB$8),ISNUMBER('Council Entry'!BB$9)),MAX(MIN('Council Entry'!BB100,'Council Entry'!BB$9),'Council Entry'!BB$8),'Council Entry'!BB100)),IF('Council Entry'!BB$4="Exponential",EXP(IF(AND(ISNUMBER('Council Entry'!BB$8),ISNUMBER('Council Entry'!BB$9)),MAX(MIN('Council Entry'!BB100,'Council Entry'!BB$9),'Council Entry'!BB$8),'Council Entry'!BB100)),IF(AND(ISNUMBER('Council Entry'!BB$8),ISNUMBER('Council Entry'!BB$9)),MAX(MIN('Council Entry'!BB100,'Council Entry'!BB$9),'Council Entry'!BB$8),'Council Entry'!BB100))))-'Council Entry'!BB$5)/('Council Entry'!BB$6-'Council Entry'!BB$5)),1))),"No data"))</f>
        <v/>
      </c>
      <c r="BC100" s="13">
        <f>IF('Council Entry'!BC100="","",IFERROR(MAX(0,MIN(10,ROUND(IF('Council Entry'!BC$7="Decrease Risk",10-10*((IF('Council Entry'!BC$4="Logarithm",LN(0.001+IF(AND(ISNUMBER('Council Entry'!BC$8),ISNUMBER('Council Entry'!BC$9)),MAX(MIN('Council Entry'!BC100,'Council Entry'!BC$9),'Council Entry'!BC$8),'Council Entry'!BC100)),IF('Council Entry'!BC$4="Exponential",EXP(IF(AND(ISNUMBER('Council Entry'!BC$8),ISNUMBER('Council Entry'!BC$9)),MAX(MIN('Council Entry'!BC100,'Council Entry'!BC$9),'Council Entry'!BC$8),'Council Entry'!BC100)),IF(AND(ISNUMBER('Council Entry'!BC$8),ISNUMBER('Council Entry'!BC$9)),MAX(MIN('Council Entry'!BC100,'Council Entry'!BC$9),'Council Entry'!BC$8),'Council Entry'!BC100))))-'Council Entry'!BC$5)/('Council Entry'!BC$6-'Council Entry'!BC$5),10*((IF('Council Entry'!BC$4="Logarithm",LN(0.001+IF(AND(ISNUMBER('Council Entry'!BC$8),ISNUMBER('Council Entry'!BC$9)),MAX(MIN('Council Entry'!BC100,'Council Entry'!BC$9),'Council Entry'!BC$8),'Council Entry'!BC100)),IF('Council Entry'!BC$4="Exponential",EXP(IF(AND(ISNUMBER('Council Entry'!BC$8),ISNUMBER('Council Entry'!BC$9)),MAX(MIN('Council Entry'!BC100,'Council Entry'!BC$9),'Council Entry'!BC$8),'Council Entry'!BC100)),IF(AND(ISNUMBER('Council Entry'!BC$8),ISNUMBER('Council Entry'!BC$9)),MAX(MIN('Council Entry'!BC100,'Council Entry'!BC$9),'Council Entry'!BC$8),'Council Entry'!BC100))))-'Council Entry'!BC$5)/('Council Entry'!BC$6-'Council Entry'!BC$5)),1))),"No data"))</f>
        <v/>
      </c>
      <c r="BD100" s="13">
        <f>IF('Council Entry'!BD100="","",IFERROR(MAX(0,MIN(10,ROUND(IF('Council Entry'!BD$7="Decrease Risk",10-10*((IF('Council Entry'!BD$4="Logarithm",LN(0.001+IF(AND(ISNUMBER('Council Entry'!BD$8),ISNUMBER('Council Entry'!BD$9)),MAX(MIN('Council Entry'!BD100,'Council Entry'!BD$9),'Council Entry'!BD$8),'Council Entry'!BD100)),IF('Council Entry'!BD$4="Exponential",EXP(IF(AND(ISNUMBER('Council Entry'!BD$8),ISNUMBER('Council Entry'!BD$9)),MAX(MIN('Council Entry'!BD100,'Council Entry'!BD$9),'Council Entry'!BD$8),'Council Entry'!BD100)),IF(AND(ISNUMBER('Council Entry'!BD$8),ISNUMBER('Council Entry'!BD$9)),MAX(MIN('Council Entry'!BD100,'Council Entry'!BD$9),'Council Entry'!BD$8),'Council Entry'!BD100))))-'Council Entry'!BD$5)/('Council Entry'!BD$6-'Council Entry'!BD$5),10*((IF('Council Entry'!BD$4="Logarithm",LN(0.001+IF(AND(ISNUMBER('Council Entry'!BD$8),ISNUMBER('Council Entry'!BD$9)),MAX(MIN('Council Entry'!BD100,'Council Entry'!BD$9),'Council Entry'!BD$8),'Council Entry'!BD100)),IF('Council Entry'!BD$4="Exponential",EXP(IF(AND(ISNUMBER('Council Entry'!BD$8),ISNUMBER('Council Entry'!BD$9)),MAX(MIN('Council Entry'!BD100,'Council Entry'!BD$9),'Council Entry'!BD$8),'Council Entry'!BD100)),IF(AND(ISNUMBER('Council Entry'!BD$8),ISNUMBER('Council Entry'!BD$9)),MAX(MIN('Council Entry'!BD100,'Council Entry'!BD$9),'Council Entry'!BD$8),'Council Entry'!BD100))))-'Council Entry'!BD$5)/('Council Entry'!BD$6-'Council Entry'!BD$5)),1))),"No data"))</f>
        <v/>
      </c>
    </row>
    <row r="101">
      <c r="A101" t="inlineStr">
        <is>
          <t>Mbeya</t>
        </is>
      </c>
      <c r="B101" t="inlineStr">
        <is>
          <t>Chunya District</t>
        </is>
      </c>
      <c r="C101" t="inlineStr">
        <is>
          <t>C085</t>
        </is>
      </c>
      <c r="D101" s="13">
        <f>IF('Council Entry'!D101="","",IFERROR(MAX(0,MIN(10,ROUND(IF('Council Entry'!D$7="Decrease Risk",10-10*((IF('Council Entry'!D$4="Logarithm",LN(0.001+IF(AND(ISNUMBER('Council Entry'!D$8),ISNUMBER('Council Entry'!D$9)),MAX(MIN('Council Entry'!D101,'Council Entry'!D$9),'Council Entry'!D$8),'Council Entry'!D101)),IF('Council Entry'!D$4="Exponential",EXP(IF(AND(ISNUMBER('Council Entry'!D$8),ISNUMBER('Council Entry'!D$9)),MAX(MIN('Council Entry'!D101,'Council Entry'!D$9),'Council Entry'!D$8),'Council Entry'!D101)),IF(AND(ISNUMBER('Council Entry'!D$8),ISNUMBER('Council Entry'!D$9)),MAX(MIN('Council Entry'!D101,'Council Entry'!D$9),'Council Entry'!D$8),'Council Entry'!D101))))-'Council Entry'!D$5)/('Council Entry'!D$6-'Council Entry'!D$5),10*((IF('Council Entry'!D$4="Logarithm",LN(0.001+IF(AND(ISNUMBER('Council Entry'!D$8),ISNUMBER('Council Entry'!D$9)),MAX(MIN('Council Entry'!D101,'Council Entry'!D$9),'Council Entry'!D$8),'Council Entry'!D101)),IF('Council Entry'!D$4="Exponential",EXP(IF(AND(ISNUMBER('Council Entry'!D$8),ISNUMBER('Council Entry'!D$9)),MAX(MIN('Council Entry'!D101,'Council Entry'!D$9),'Council Entry'!D$8),'Council Entry'!D101)),IF(AND(ISNUMBER('Council Entry'!D$8),ISNUMBER('Council Entry'!D$9)),MAX(MIN('Council Entry'!D101,'Council Entry'!D$9),'Council Entry'!D$8),'Council Entry'!D101))))-'Council Entry'!D$5)/('Council Entry'!D$6-'Council Entry'!D$5)),1))),"No data"))</f>
        <v/>
      </c>
      <c r="E101" s="13">
        <f>IF('Council Entry'!E101="","",IFERROR(MAX(0,MIN(10,ROUND(IF('Council Entry'!E$7="Decrease Risk",10-10*((IF('Council Entry'!E$4="Logarithm",LN(0.001+IF(AND(ISNUMBER('Council Entry'!E$8),ISNUMBER('Council Entry'!E$9)),MAX(MIN('Council Entry'!E101,'Council Entry'!E$9),'Council Entry'!E$8),'Council Entry'!E101)),IF('Council Entry'!E$4="Exponential",EXP(IF(AND(ISNUMBER('Council Entry'!E$8),ISNUMBER('Council Entry'!E$9)),MAX(MIN('Council Entry'!E101,'Council Entry'!E$9),'Council Entry'!E$8),'Council Entry'!E101)),IF(AND(ISNUMBER('Council Entry'!E$8),ISNUMBER('Council Entry'!E$9)),MAX(MIN('Council Entry'!E101,'Council Entry'!E$9),'Council Entry'!E$8),'Council Entry'!E101))))-'Council Entry'!E$5)/('Council Entry'!E$6-'Council Entry'!E$5),10*((IF('Council Entry'!E$4="Logarithm",LN(0.001+IF(AND(ISNUMBER('Council Entry'!E$8),ISNUMBER('Council Entry'!E$9)),MAX(MIN('Council Entry'!E101,'Council Entry'!E$9),'Council Entry'!E$8),'Council Entry'!E101)),IF('Council Entry'!E$4="Exponential",EXP(IF(AND(ISNUMBER('Council Entry'!E$8),ISNUMBER('Council Entry'!E$9)),MAX(MIN('Council Entry'!E101,'Council Entry'!E$9),'Council Entry'!E$8),'Council Entry'!E101)),IF(AND(ISNUMBER('Council Entry'!E$8),ISNUMBER('Council Entry'!E$9)),MAX(MIN('Council Entry'!E101,'Council Entry'!E$9),'Council Entry'!E$8),'Council Entry'!E101))))-'Council Entry'!E$5)/('Council Entry'!E$6-'Council Entry'!E$5)),1))),"No data"))</f>
        <v/>
      </c>
      <c r="F101" s="13">
        <f>IF('Council Entry'!F101="","",IFERROR(MAX(0,MIN(10,ROUND(IF('Council Entry'!F$7="Decrease Risk",10-10*((IF('Council Entry'!F$4="Logarithm",LN(0.001+IF(AND(ISNUMBER('Council Entry'!F$8),ISNUMBER('Council Entry'!F$9)),MAX(MIN('Council Entry'!F101,'Council Entry'!F$9),'Council Entry'!F$8),'Council Entry'!F101)),IF('Council Entry'!F$4="Exponential",EXP(IF(AND(ISNUMBER('Council Entry'!F$8),ISNUMBER('Council Entry'!F$9)),MAX(MIN('Council Entry'!F101,'Council Entry'!F$9),'Council Entry'!F$8),'Council Entry'!F101)),IF(AND(ISNUMBER('Council Entry'!F$8),ISNUMBER('Council Entry'!F$9)),MAX(MIN('Council Entry'!F101,'Council Entry'!F$9),'Council Entry'!F$8),'Council Entry'!F101))))-'Council Entry'!F$5)/('Council Entry'!F$6-'Council Entry'!F$5),10*((IF('Council Entry'!F$4="Logarithm",LN(0.001+IF(AND(ISNUMBER('Council Entry'!F$8),ISNUMBER('Council Entry'!F$9)),MAX(MIN('Council Entry'!F101,'Council Entry'!F$9),'Council Entry'!F$8),'Council Entry'!F101)),IF('Council Entry'!F$4="Exponential",EXP(IF(AND(ISNUMBER('Council Entry'!F$8),ISNUMBER('Council Entry'!F$9)),MAX(MIN('Council Entry'!F101,'Council Entry'!F$9),'Council Entry'!F$8),'Council Entry'!F101)),IF(AND(ISNUMBER('Council Entry'!F$8),ISNUMBER('Council Entry'!F$9)),MAX(MIN('Council Entry'!F101,'Council Entry'!F$9),'Council Entry'!F$8),'Council Entry'!F101))))-'Council Entry'!F$5)/('Council Entry'!F$6-'Council Entry'!F$5)),1))),"No data"))</f>
        <v/>
      </c>
      <c r="G101" s="13">
        <f>IF('Council Entry'!G101="","",IFERROR(MAX(0,MIN(10,ROUND(IF('Council Entry'!G$7="Decrease Risk",10-10*((IF('Council Entry'!G$4="Logarithm",LN(0.001+IF(AND(ISNUMBER('Council Entry'!G$8),ISNUMBER('Council Entry'!G$9)),MAX(MIN('Council Entry'!G101,'Council Entry'!G$9),'Council Entry'!G$8),'Council Entry'!G101)),IF('Council Entry'!G$4="Exponential",EXP(IF(AND(ISNUMBER('Council Entry'!G$8),ISNUMBER('Council Entry'!G$9)),MAX(MIN('Council Entry'!G101,'Council Entry'!G$9),'Council Entry'!G$8),'Council Entry'!G101)),IF(AND(ISNUMBER('Council Entry'!G$8),ISNUMBER('Council Entry'!G$9)),MAX(MIN('Council Entry'!G101,'Council Entry'!G$9),'Council Entry'!G$8),'Council Entry'!G101))))-'Council Entry'!G$5)/('Council Entry'!G$6-'Council Entry'!G$5),10*((IF('Council Entry'!G$4="Logarithm",LN(0.001+IF(AND(ISNUMBER('Council Entry'!G$8),ISNUMBER('Council Entry'!G$9)),MAX(MIN('Council Entry'!G101,'Council Entry'!G$9),'Council Entry'!G$8),'Council Entry'!G101)),IF('Council Entry'!G$4="Exponential",EXP(IF(AND(ISNUMBER('Council Entry'!G$8),ISNUMBER('Council Entry'!G$9)),MAX(MIN('Council Entry'!G101,'Council Entry'!G$9),'Council Entry'!G$8),'Council Entry'!G101)),IF(AND(ISNUMBER('Council Entry'!G$8),ISNUMBER('Council Entry'!G$9)),MAX(MIN('Council Entry'!G101,'Council Entry'!G$9),'Council Entry'!G$8),'Council Entry'!G101))))-'Council Entry'!G$5)/('Council Entry'!G$6-'Council Entry'!G$5)),1))),"No data"))</f>
        <v/>
      </c>
      <c r="H101" s="13">
        <f>IF('Council Entry'!H101="","",IFERROR(MAX(0,MIN(10,ROUND(IF('Council Entry'!H$7="Decrease Risk",10-10*((IF('Council Entry'!H$4="Logarithm",LN(0.001+IF(AND(ISNUMBER('Council Entry'!H$8),ISNUMBER('Council Entry'!H$9)),MAX(MIN('Council Entry'!H101,'Council Entry'!H$9),'Council Entry'!H$8),'Council Entry'!H101)),IF('Council Entry'!H$4="Exponential",EXP(IF(AND(ISNUMBER('Council Entry'!H$8),ISNUMBER('Council Entry'!H$9)),MAX(MIN('Council Entry'!H101,'Council Entry'!H$9),'Council Entry'!H$8),'Council Entry'!H101)),IF(AND(ISNUMBER('Council Entry'!H$8),ISNUMBER('Council Entry'!H$9)),MAX(MIN('Council Entry'!H101,'Council Entry'!H$9),'Council Entry'!H$8),'Council Entry'!H101))))-'Council Entry'!H$5)/('Council Entry'!H$6-'Council Entry'!H$5),10*((IF('Council Entry'!H$4="Logarithm",LN(0.001+IF(AND(ISNUMBER('Council Entry'!H$8),ISNUMBER('Council Entry'!H$9)),MAX(MIN('Council Entry'!H101,'Council Entry'!H$9),'Council Entry'!H$8),'Council Entry'!H101)),IF('Council Entry'!H$4="Exponential",EXP(IF(AND(ISNUMBER('Council Entry'!H$8),ISNUMBER('Council Entry'!H$9)),MAX(MIN('Council Entry'!H101,'Council Entry'!H$9),'Council Entry'!H$8),'Council Entry'!H101)),IF(AND(ISNUMBER('Council Entry'!H$8),ISNUMBER('Council Entry'!H$9)),MAX(MIN('Council Entry'!H101,'Council Entry'!H$9),'Council Entry'!H$8),'Council Entry'!H101))))-'Council Entry'!H$5)/('Council Entry'!H$6-'Council Entry'!H$5)),1))),"No data"))</f>
        <v/>
      </c>
      <c r="I101" s="13">
        <f>IF('Council Entry'!I101="","",IFERROR(MAX(0,MIN(10,ROUND(IF('Council Entry'!I$7="Decrease Risk",10-10*((IF('Council Entry'!I$4="Logarithm",LN(0.001+IF(AND(ISNUMBER('Council Entry'!I$8),ISNUMBER('Council Entry'!I$9)),MAX(MIN('Council Entry'!I101,'Council Entry'!I$9),'Council Entry'!I$8),'Council Entry'!I101)),IF('Council Entry'!I$4="Exponential",EXP(IF(AND(ISNUMBER('Council Entry'!I$8),ISNUMBER('Council Entry'!I$9)),MAX(MIN('Council Entry'!I101,'Council Entry'!I$9),'Council Entry'!I$8),'Council Entry'!I101)),IF(AND(ISNUMBER('Council Entry'!I$8),ISNUMBER('Council Entry'!I$9)),MAX(MIN('Council Entry'!I101,'Council Entry'!I$9),'Council Entry'!I$8),'Council Entry'!I101))))-'Council Entry'!I$5)/('Council Entry'!I$6-'Council Entry'!I$5),10*((IF('Council Entry'!I$4="Logarithm",LN(0.001+IF(AND(ISNUMBER('Council Entry'!I$8),ISNUMBER('Council Entry'!I$9)),MAX(MIN('Council Entry'!I101,'Council Entry'!I$9),'Council Entry'!I$8),'Council Entry'!I101)),IF('Council Entry'!I$4="Exponential",EXP(IF(AND(ISNUMBER('Council Entry'!I$8),ISNUMBER('Council Entry'!I$9)),MAX(MIN('Council Entry'!I101,'Council Entry'!I$9),'Council Entry'!I$8),'Council Entry'!I101)),IF(AND(ISNUMBER('Council Entry'!I$8),ISNUMBER('Council Entry'!I$9)),MAX(MIN('Council Entry'!I101,'Council Entry'!I$9),'Council Entry'!I$8),'Council Entry'!I101))))-'Council Entry'!I$5)/('Council Entry'!I$6-'Council Entry'!I$5)),1))),"No data"))</f>
        <v/>
      </c>
      <c r="J101" s="13">
        <f>IF('Council Entry'!J101="","",IFERROR(MAX(0,MIN(10,ROUND(IF('Council Entry'!J$7="Decrease Risk",10-10*((IF('Council Entry'!J$4="Logarithm",LN(0.001+IF(AND(ISNUMBER('Council Entry'!J$8),ISNUMBER('Council Entry'!J$9)),MAX(MIN('Council Entry'!J101,'Council Entry'!J$9),'Council Entry'!J$8),'Council Entry'!J101)),IF('Council Entry'!J$4="Exponential",EXP(IF(AND(ISNUMBER('Council Entry'!J$8),ISNUMBER('Council Entry'!J$9)),MAX(MIN('Council Entry'!J101,'Council Entry'!J$9),'Council Entry'!J$8),'Council Entry'!J101)),IF(AND(ISNUMBER('Council Entry'!J$8),ISNUMBER('Council Entry'!J$9)),MAX(MIN('Council Entry'!J101,'Council Entry'!J$9),'Council Entry'!J$8),'Council Entry'!J101))))-'Council Entry'!J$5)/('Council Entry'!J$6-'Council Entry'!J$5),10*((IF('Council Entry'!J$4="Logarithm",LN(0.001+IF(AND(ISNUMBER('Council Entry'!J$8),ISNUMBER('Council Entry'!J$9)),MAX(MIN('Council Entry'!J101,'Council Entry'!J$9),'Council Entry'!J$8),'Council Entry'!J101)),IF('Council Entry'!J$4="Exponential",EXP(IF(AND(ISNUMBER('Council Entry'!J$8),ISNUMBER('Council Entry'!J$9)),MAX(MIN('Council Entry'!J101,'Council Entry'!J$9),'Council Entry'!J$8),'Council Entry'!J101)),IF(AND(ISNUMBER('Council Entry'!J$8),ISNUMBER('Council Entry'!J$9)),MAX(MIN('Council Entry'!J101,'Council Entry'!J$9),'Council Entry'!J$8),'Council Entry'!J101))))-'Council Entry'!J$5)/('Council Entry'!J$6-'Council Entry'!J$5)),1))),"No data"))</f>
        <v/>
      </c>
      <c r="K101" s="13">
        <f>IF('Council Entry'!K101="","",IFERROR(MAX(0,MIN(10,ROUND(IF('Council Entry'!K$7="Decrease Risk",10-10*((IF('Council Entry'!K$4="Logarithm",LN(0.001+IF(AND(ISNUMBER('Council Entry'!K$8),ISNUMBER('Council Entry'!K$9)),MAX(MIN('Council Entry'!K101,'Council Entry'!K$9),'Council Entry'!K$8),'Council Entry'!K101)),IF('Council Entry'!K$4="Exponential",EXP(IF(AND(ISNUMBER('Council Entry'!K$8),ISNUMBER('Council Entry'!K$9)),MAX(MIN('Council Entry'!K101,'Council Entry'!K$9),'Council Entry'!K$8),'Council Entry'!K101)),IF(AND(ISNUMBER('Council Entry'!K$8),ISNUMBER('Council Entry'!K$9)),MAX(MIN('Council Entry'!K101,'Council Entry'!K$9),'Council Entry'!K$8),'Council Entry'!K101))))-'Council Entry'!K$5)/('Council Entry'!K$6-'Council Entry'!K$5),10*((IF('Council Entry'!K$4="Logarithm",LN(0.001+IF(AND(ISNUMBER('Council Entry'!K$8),ISNUMBER('Council Entry'!K$9)),MAX(MIN('Council Entry'!K101,'Council Entry'!K$9),'Council Entry'!K$8),'Council Entry'!K101)),IF('Council Entry'!K$4="Exponential",EXP(IF(AND(ISNUMBER('Council Entry'!K$8),ISNUMBER('Council Entry'!K$9)),MAX(MIN('Council Entry'!K101,'Council Entry'!K$9),'Council Entry'!K$8),'Council Entry'!K101)),IF(AND(ISNUMBER('Council Entry'!K$8),ISNUMBER('Council Entry'!K$9)),MAX(MIN('Council Entry'!K101,'Council Entry'!K$9),'Council Entry'!K$8),'Council Entry'!K101))))-'Council Entry'!K$5)/('Council Entry'!K$6-'Council Entry'!K$5)),1))),"No data"))</f>
        <v/>
      </c>
      <c r="L101" s="13">
        <f>IF('Council Entry'!L101="","",IFERROR(MAX(0,MIN(10,ROUND(IF('Council Entry'!L$7="Decrease Risk",10-10*((IF('Council Entry'!L$4="Logarithm",LN(0.001+IF(AND(ISNUMBER('Council Entry'!L$8),ISNUMBER('Council Entry'!L$9)),MAX(MIN('Council Entry'!L101,'Council Entry'!L$9),'Council Entry'!L$8),'Council Entry'!L101)),IF('Council Entry'!L$4="Exponential",EXP(IF(AND(ISNUMBER('Council Entry'!L$8),ISNUMBER('Council Entry'!L$9)),MAX(MIN('Council Entry'!L101,'Council Entry'!L$9),'Council Entry'!L$8),'Council Entry'!L101)),IF(AND(ISNUMBER('Council Entry'!L$8),ISNUMBER('Council Entry'!L$9)),MAX(MIN('Council Entry'!L101,'Council Entry'!L$9),'Council Entry'!L$8),'Council Entry'!L101))))-'Council Entry'!L$5)/('Council Entry'!L$6-'Council Entry'!L$5),10*((IF('Council Entry'!L$4="Logarithm",LN(0.001+IF(AND(ISNUMBER('Council Entry'!L$8),ISNUMBER('Council Entry'!L$9)),MAX(MIN('Council Entry'!L101,'Council Entry'!L$9),'Council Entry'!L$8),'Council Entry'!L101)),IF('Council Entry'!L$4="Exponential",EXP(IF(AND(ISNUMBER('Council Entry'!L$8),ISNUMBER('Council Entry'!L$9)),MAX(MIN('Council Entry'!L101,'Council Entry'!L$9),'Council Entry'!L$8),'Council Entry'!L101)),IF(AND(ISNUMBER('Council Entry'!L$8),ISNUMBER('Council Entry'!L$9)),MAX(MIN('Council Entry'!L101,'Council Entry'!L$9),'Council Entry'!L$8),'Council Entry'!L101))))-'Council Entry'!L$5)/('Council Entry'!L$6-'Council Entry'!L$5)),1))),"No data"))</f>
        <v/>
      </c>
      <c r="M101" s="13">
        <f>IF('Council Entry'!M101="","",IFERROR(MAX(0,MIN(10,ROUND(IF('Council Entry'!M$7="Decrease Risk",10-10*((IF('Council Entry'!M$4="Logarithm",LN(0.001+IF(AND(ISNUMBER('Council Entry'!M$8),ISNUMBER('Council Entry'!M$9)),MAX(MIN('Council Entry'!M101,'Council Entry'!M$9),'Council Entry'!M$8),'Council Entry'!M101)),IF('Council Entry'!M$4="Exponential",EXP(IF(AND(ISNUMBER('Council Entry'!M$8),ISNUMBER('Council Entry'!M$9)),MAX(MIN('Council Entry'!M101,'Council Entry'!M$9),'Council Entry'!M$8),'Council Entry'!M101)),IF(AND(ISNUMBER('Council Entry'!M$8),ISNUMBER('Council Entry'!M$9)),MAX(MIN('Council Entry'!M101,'Council Entry'!M$9),'Council Entry'!M$8),'Council Entry'!M101))))-'Council Entry'!M$5)/('Council Entry'!M$6-'Council Entry'!M$5),10*((IF('Council Entry'!M$4="Logarithm",LN(0.001+IF(AND(ISNUMBER('Council Entry'!M$8),ISNUMBER('Council Entry'!M$9)),MAX(MIN('Council Entry'!M101,'Council Entry'!M$9),'Council Entry'!M$8),'Council Entry'!M101)),IF('Council Entry'!M$4="Exponential",EXP(IF(AND(ISNUMBER('Council Entry'!M$8),ISNUMBER('Council Entry'!M$9)),MAX(MIN('Council Entry'!M101,'Council Entry'!M$9),'Council Entry'!M$8),'Council Entry'!M101)),IF(AND(ISNUMBER('Council Entry'!M$8),ISNUMBER('Council Entry'!M$9)),MAX(MIN('Council Entry'!M101,'Council Entry'!M$9),'Council Entry'!M$8),'Council Entry'!M101))))-'Council Entry'!M$5)/('Council Entry'!M$6-'Council Entry'!M$5)),1))),"No data"))</f>
        <v/>
      </c>
      <c r="N101" s="13">
        <f>IF('Council Entry'!N101="","",IFERROR(MAX(0,MIN(10,ROUND(IF('Council Entry'!N$7="Decrease Risk",10-10*((IF('Council Entry'!N$4="Logarithm",LN(0.001+IF(AND(ISNUMBER('Council Entry'!N$8),ISNUMBER('Council Entry'!N$9)),MAX(MIN('Council Entry'!N101,'Council Entry'!N$9),'Council Entry'!N$8),'Council Entry'!N101)),IF('Council Entry'!N$4="Exponential",EXP(IF(AND(ISNUMBER('Council Entry'!N$8),ISNUMBER('Council Entry'!N$9)),MAX(MIN('Council Entry'!N101,'Council Entry'!N$9),'Council Entry'!N$8),'Council Entry'!N101)),IF(AND(ISNUMBER('Council Entry'!N$8),ISNUMBER('Council Entry'!N$9)),MAX(MIN('Council Entry'!N101,'Council Entry'!N$9),'Council Entry'!N$8),'Council Entry'!N101))))-'Council Entry'!N$5)/('Council Entry'!N$6-'Council Entry'!N$5),10*((IF('Council Entry'!N$4="Logarithm",LN(0.001+IF(AND(ISNUMBER('Council Entry'!N$8),ISNUMBER('Council Entry'!N$9)),MAX(MIN('Council Entry'!N101,'Council Entry'!N$9),'Council Entry'!N$8),'Council Entry'!N101)),IF('Council Entry'!N$4="Exponential",EXP(IF(AND(ISNUMBER('Council Entry'!N$8),ISNUMBER('Council Entry'!N$9)),MAX(MIN('Council Entry'!N101,'Council Entry'!N$9),'Council Entry'!N$8),'Council Entry'!N101)),IF(AND(ISNUMBER('Council Entry'!N$8),ISNUMBER('Council Entry'!N$9)),MAX(MIN('Council Entry'!N101,'Council Entry'!N$9),'Council Entry'!N$8),'Council Entry'!N101))))-'Council Entry'!N$5)/('Council Entry'!N$6-'Council Entry'!N$5)),1))),"No data"))</f>
        <v/>
      </c>
      <c r="O101" s="13">
        <f>IF('Council Entry'!O101="","",IFERROR(MAX(0,MIN(10,ROUND(IF('Council Entry'!O$7="Decrease Risk",10-10*((IF('Council Entry'!O$4="Logarithm",LN(0.001+IF(AND(ISNUMBER('Council Entry'!O$8),ISNUMBER('Council Entry'!O$9)),MAX(MIN('Council Entry'!O101,'Council Entry'!O$9),'Council Entry'!O$8),'Council Entry'!O101)),IF('Council Entry'!O$4="Exponential",EXP(IF(AND(ISNUMBER('Council Entry'!O$8),ISNUMBER('Council Entry'!O$9)),MAX(MIN('Council Entry'!O101,'Council Entry'!O$9),'Council Entry'!O$8),'Council Entry'!O101)),IF(AND(ISNUMBER('Council Entry'!O$8),ISNUMBER('Council Entry'!O$9)),MAX(MIN('Council Entry'!O101,'Council Entry'!O$9),'Council Entry'!O$8),'Council Entry'!O101))))-'Council Entry'!O$5)/('Council Entry'!O$6-'Council Entry'!O$5),10*((IF('Council Entry'!O$4="Logarithm",LN(0.001+IF(AND(ISNUMBER('Council Entry'!O$8),ISNUMBER('Council Entry'!O$9)),MAX(MIN('Council Entry'!O101,'Council Entry'!O$9),'Council Entry'!O$8),'Council Entry'!O101)),IF('Council Entry'!O$4="Exponential",EXP(IF(AND(ISNUMBER('Council Entry'!O$8),ISNUMBER('Council Entry'!O$9)),MAX(MIN('Council Entry'!O101,'Council Entry'!O$9),'Council Entry'!O$8),'Council Entry'!O101)),IF(AND(ISNUMBER('Council Entry'!O$8),ISNUMBER('Council Entry'!O$9)),MAX(MIN('Council Entry'!O101,'Council Entry'!O$9),'Council Entry'!O$8),'Council Entry'!O101))))-'Council Entry'!O$5)/('Council Entry'!O$6-'Council Entry'!O$5)),1))),"No data"))</f>
        <v/>
      </c>
      <c r="P101" s="13">
        <f>IF('Council Entry'!P101="","",IFERROR(MAX(0,MIN(10,ROUND(IF('Council Entry'!P$7="Decrease Risk",10-10*((IF('Council Entry'!P$4="Logarithm",LN(0.001+IF(AND(ISNUMBER('Council Entry'!P$8),ISNUMBER('Council Entry'!P$9)),MAX(MIN('Council Entry'!P101,'Council Entry'!P$9),'Council Entry'!P$8),'Council Entry'!P101)),IF('Council Entry'!P$4="Exponential",EXP(IF(AND(ISNUMBER('Council Entry'!P$8),ISNUMBER('Council Entry'!P$9)),MAX(MIN('Council Entry'!P101,'Council Entry'!P$9),'Council Entry'!P$8),'Council Entry'!P101)),IF(AND(ISNUMBER('Council Entry'!P$8),ISNUMBER('Council Entry'!P$9)),MAX(MIN('Council Entry'!P101,'Council Entry'!P$9),'Council Entry'!P$8),'Council Entry'!P101))))-'Council Entry'!P$5)/('Council Entry'!P$6-'Council Entry'!P$5),10*((IF('Council Entry'!P$4="Logarithm",LN(0.001+IF(AND(ISNUMBER('Council Entry'!P$8),ISNUMBER('Council Entry'!P$9)),MAX(MIN('Council Entry'!P101,'Council Entry'!P$9),'Council Entry'!P$8),'Council Entry'!P101)),IF('Council Entry'!P$4="Exponential",EXP(IF(AND(ISNUMBER('Council Entry'!P$8),ISNUMBER('Council Entry'!P$9)),MAX(MIN('Council Entry'!P101,'Council Entry'!P$9),'Council Entry'!P$8),'Council Entry'!P101)),IF(AND(ISNUMBER('Council Entry'!P$8),ISNUMBER('Council Entry'!P$9)),MAX(MIN('Council Entry'!P101,'Council Entry'!P$9),'Council Entry'!P$8),'Council Entry'!P101))))-'Council Entry'!P$5)/('Council Entry'!P$6-'Council Entry'!P$5)),1))),"No data"))</f>
        <v/>
      </c>
      <c r="Q101" s="13">
        <f>IF('Council Entry'!Q101="","",IFERROR(MAX(0,MIN(10,ROUND(IF('Council Entry'!Q$7="Decrease Risk",10-10*((IF('Council Entry'!Q$4="Logarithm",LN(0.001+IF(AND(ISNUMBER('Council Entry'!Q$8),ISNUMBER('Council Entry'!Q$9)),MAX(MIN('Council Entry'!Q101,'Council Entry'!Q$9),'Council Entry'!Q$8),'Council Entry'!Q101)),IF('Council Entry'!Q$4="Exponential",EXP(IF(AND(ISNUMBER('Council Entry'!Q$8),ISNUMBER('Council Entry'!Q$9)),MAX(MIN('Council Entry'!Q101,'Council Entry'!Q$9),'Council Entry'!Q$8),'Council Entry'!Q101)),IF(AND(ISNUMBER('Council Entry'!Q$8),ISNUMBER('Council Entry'!Q$9)),MAX(MIN('Council Entry'!Q101,'Council Entry'!Q$9),'Council Entry'!Q$8),'Council Entry'!Q101))))-'Council Entry'!Q$5)/('Council Entry'!Q$6-'Council Entry'!Q$5),10*((IF('Council Entry'!Q$4="Logarithm",LN(0.001+IF(AND(ISNUMBER('Council Entry'!Q$8),ISNUMBER('Council Entry'!Q$9)),MAX(MIN('Council Entry'!Q101,'Council Entry'!Q$9),'Council Entry'!Q$8),'Council Entry'!Q101)),IF('Council Entry'!Q$4="Exponential",EXP(IF(AND(ISNUMBER('Council Entry'!Q$8),ISNUMBER('Council Entry'!Q$9)),MAX(MIN('Council Entry'!Q101,'Council Entry'!Q$9),'Council Entry'!Q$8),'Council Entry'!Q101)),IF(AND(ISNUMBER('Council Entry'!Q$8),ISNUMBER('Council Entry'!Q$9)),MAX(MIN('Council Entry'!Q101,'Council Entry'!Q$9),'Council Entry'!Q$8),'Council Entry'!Q101))))-'Council Entry'!Q$5)/('Council Entry'!Q$6-'Council Entry'!Q$5)),1))),"No data"))</f>
        <v/>
      </c>
      <c r="R101" s="13">
        <f>IF('Council Entry'!R101="","",IFERROR(MAX(0,MIN(10,ROUND(IF('Council Entry'!R$7="Decrease Risk",10-10*((IF('Council Entry'!R$4="Logarithm",LN(0.001+IF(AND(ISNUMBER('Council Entry'!R$8),ISNUMBER('Council Entry'!R$9)),MAX(MIN('Council Entry'!R101,'Council Entry'!R$9),'Council Entry'!R$8),'Council Entry'!R101)),IF('Council Entry'!R$4="Exponential",EXP(IF(AND(ISNUMBER('Council Entry'!R$8),ISNUMBER('Council Entry'!R$9)),MAX(MIN('Council Entry'!R101,'Council Entry'!R$9),'Council Entry'!R$8),'Council Entry'!R101)),IF(AND(ISNUMBER('Council Entry'!R$8),ISNUMBER('Council Entry'!R$9)),MAX(MIN('Council Entry'!R101,'Council Entry'!R$9),'Council Entry'!R$8),'Council Entry'!R101))))-'Council Entry'!R$5)/('Council Entry'!R$6-'Council Entry'!R$5),10*((IF('Council Entry'!R$4="Logarithm",LN(0.001+IF(AND(ISNUMBER('Council Entry'!R$8),ISNUMBER('Council Entry'!R$9)),MAX(MIN('Council Entry'!R101,'Council Entry'!R$9),'Council Entry'!R$8),'Council Entry'!R101)),IF('Council Entry'!R$4="Exponential",EXP(IF(AND(ISNUMBER('Council Entry'!R$8),ISNUMBER('Council Entry'!R$9)),MAX(MIN('Council Entry'!R101,'Council Entry'!R$9),'Council Entry'!R$8),'Council Entry'!R101)),IF(AND(ISNUMBER('Council Entry'!R$8),ISNUMBER('Council Entry'!R$9)),MAX(MIN('Council Entry'!R101,'Council Entry'!R$9),'Council Entry'!R$8),'Council Entry'!R101))))-'Council Entry'!R$5)/('Council Entry'!R$6-'Council Entry'!R$5)),1))),"No data"))</f>
        <v/>
      </c>
      <c r="S101" s="13">
        <f>IF('Council Entry'!S101="","",IFERROR(MAX(0,MIN(10,ROUND(IF('Council Entry'!S$7="Decrease Risk",10-10*((IF('Council Entry'!S$4="Logarithm",LN(0.001+IF(AND(ISNUMBER('Council Entry'!S$8),ISNUMBER('Council Entry'!S$9)),MAX(MIN('Council Entry'!S101,'Council Entry'!S$9),'Council Entry'!S$8),'Council Entry'!S101)),IF('Council Entry'!S$4="Exponential",EXP(IF(AND(ISNUMBER('Council Entry'!S$8),ISNUMBER('Council Entry'!S$9)),MAX(MIN('Council Entry'!S101,'Council Entry'!S$9),'Council Entry'!S$8),'Council Entry'!S101)),IF(AND(ISNUMBER('Council Entry'!S$8),ISNUMBER('Council Entry'!S$9)),MAX(MIN('Council Entry'!S101,'Council Entry'!S$9),'Council Entry'!S$8),'Council Entry'!S101))))-'Council Entry'!S$5)/('Council Entry'!S$6-'Council Entry'!S$5),10*((IF('Council Entry'!S$4="Logarithm",LN(0.001+IF(AND(ISNUMBER('Council Entry'!S$8),ISNUMBER('Council Entry'!S$9)),MAX(MIN('Council Entry'!S101,'Council Entry'!S$9),'Council Entry'!S$8),'Council Entry'!S101)),IF('Council Entry'!S$4="Exponential",EXP(IF(AND(ISNUMBER('Council Entry'!S$8),ISNUMBER('Council Entry'!S$9)),MAX(MIN('Council Entry'!S101,'Council Entry'!S$9),'Council Entry'!S$8),'Council Entry'!S101)),IF(AND(ISNUMBER('Council Entry'!S$8),ISNUMBER('Council Entry'!S$9)),MAX(MIN('Council Entry'!S101,'Council Entry'!S$9),'Council Entry'!S$8),'Council Entry'!S101))))-'Council Entry'!S$5)/('Council Entry'!S$6-'Council Entry'!S$5)),1))),"No data"))</f>
        <v/>
      </c>
      <c r="T101" s="13">
        <f>IF('Council Entry'!T101="","",IFERROR(MAX(0,MIN(10,ROUND(IF('Council Entry'!T$7="Decrease Risk",10-10*((IF('Council Entry'!T$4="Logarithm",LN(0.001+IF(AND(ISNUMBER('Council Entry'!T$8),ISNUMBER('Council Entry'!T$9)),MAX(MIN('Council Entry'!T101,'Council Entry'!T$9),'Council Entry'!T$8),'Council Entry'!T101)),IF('Council Entry'!T$4="Exponential",EXP(IF(AND(ISNUMBER('Council Entry'!T$8),ISNUMBER('Council Entry'!T$9)),MAX(MIN('Council Entry'!T101,'Council Entry'!T$9),'Council Entry'!T$8),'Council Entry'!T101)),IF(AND(ISNUMBER('Council Entry'!T$8),ISNUMBER('Council Entry'!T$9)),MAX(MIN('Council Entry'!T101,'Council Entry'!T$9),'Council Entry'!T$8),'Council Entry'!T101))))-'Council Entry'!T$5)/('Council Entry'!T$6-'Council Entry'!T$5),10*((IF('Council Entry'!T$4="Logarithm",LN(0.001+IF(AND(ISNUMBER('Council Entry'!T$8),ISNUMBER('Council Entry'!T$9)),MAX(MIN('Council Entry'!T101,'Council Entry'!T$9),'Council Entry'!T$8),'Council Entry'!T101)),IF('Council Entry'!T$4="Exponential",EXP(IF(AND(ISNUMBER('Council Entry'!T$8),ISNUMBER('Council Entry'!T$9)),MAX(MIN('Council Entry'!T101,'Council Entry'!T$9),'Council Entry'!T$8),'Council Entry'!T101)),IF(AND(ISNUMBER('Council Entry'!T$8),ISNUMBER('Council Entry'!T$9)),MAX(MIN('Council Entry'!T101,'Council Entry'!T$9),'Council Entry'!T$8),'Council Entry'!T101))))-'Council Entry'!T$5)/('Council Entry'!T$6-'Council Entry'!T$5)),1))),"No data"))</f>
        <v/>
      </c>
      <c r="U101" s="13">
        <f>IF('Council Entry'!U101="","",IFERROR(MAX(0,MIN(10,ROUND(IF('Council Entry'!U$7="Decrease Risk",10-10*((IF('Council Entry'!U$4="Logarithm",LN(0.001+IF(AND(ISNUMBER('Council Entry'!U$8),ISNUMBER('Council Entry'!U$9)),MAX(MIN('Council Entry'!U101,'Council Entry'!U$9),'Council Entry'!U$8),'Council Entry'!U101)),IF('Council Entry'!U$4="Exponential",EXP(IF(AND(ISNUMBER('Council Entry'!U$8),ISNUMBER('Council Entry'!U$9)),MAX(MIN('Council Entry'!U101,'Council Entry'!U$9),'Council Entry'!U$8),'Council Entry'!U101)),IF(AND(ISNUMBER('Council Entry'!U$8),ISNUMBER('Council Entry'!U$9)),MAX(MIN('Council Entry'!U101,'Council Entry'!U$9),'Council Entry'!U$8),'Council Entry'!U101))))-'Council Entry'!U$5)/('Council Entry'!U$6-'Council Entry'!U$5),10*((IF('Council Entry'!U$4="Logarithm",LN(0.001+IF(AND(ISNUMBER('Council Entry'!U$8),ISNUMBER('Council Entry'!U$9)),MAX(MIN('Council Entry'!U101,'Council Entry'!U$9),'Council Entry'!U$8),'Council Entry'!U101)),IF('Council Entry'!U$4="Exponential",EXP(IF(AND(ISNUMBER('Council Entry'!U$8),ISNUMBER('Council Entry'!U$9)),MAX(MIN('Council Entry'!U101,'Council Entry'!U$9),'Council Entry'!U$8),'Council Entry'!U101)),IF(AND(ISNUMBER('Council Entry'!U$8),ISNUMBER('Council Entry'!U$9)),MAX(MIN('Council Entry'!U101,'Council Entry'!U$9),'Council Entry'!U$8),'Council Entry'!U101))))-'Council Entry'!U$5)/('Council Entry'!U$6-'Council Entry'!U$5)),1))),"No data"))</f>
        <v/>
      </c>
      <c r="V101" s="13">
        <f>IF('Council Entry'!V101="","",IFERROR(MAX(0,MIN(10,ROUND(IF('Council Entry'!V$7="Decrease Risk",10-10*((IF('Council Entry'!V$4="Logarithm",LN(0.001+IF(AND(ISNUMBER('Council Entry'!V$8),ISNUMBER('Council Entry'!V$9)),MAX(MIN('Council Entry'!V101,'Council Entry'!V$9),'Council Entry'!V$8),'Council Entry'!V101)),IF('Council Entry'!V$4="Exponential",EXP(IF(AND(ISNUMBER('Council Entry'!V$8),ISNUMBER('Council Entry'!V$9)),MAX(MIN('Council Entry'!V101,'Council Entry'!V$9),'Council Entry'!V$8),'Council Entry'!V101)),IF(AND(ISNUMBER('Council Entry'!V$8),ISNUMBER('Council Entry'!V$9)),MAX(MIN('Council Entry'!V101,'Council Entry'!V$9),'Council Entry'!V$8),'Council Entry'!V101))))-'Council Entry'!V$5)/('Council Entry'!V$6-'Council Entry'!V$5),10*((IF('Council Entry'!V$4="Logarithm",LN(0.001+IF(AND(ISNUMBER('Council Entry'!V$8),ISNUMBER('Council Entry'!V$9)),MAX(MIN('Council Entry'!V101,'Council Entry'!V$9),'Council Entry'!V$8),'Council Entry'!V101)),IF('Council Entry'!V$4="Exponential",EXP(IF(AND(ISNUMBER('Council Entry'!V$8),ISNUMBER('Council Entry'!V$9)),MAX(MIN('Council Entry'!V101,'Council Entry'!V$9),'Council Entry'!V$8),'Council Entry'!V101)),IF(AND(ISNUMBER('Council Entry'!V$8),ISNUMBER('Council Entry'!V$9)),MAX(MIN('Council Entry'!V101,'Council Entry'!V$9),'Council Entry'!V$8),'Council Entry'!V101))))-'Council Entry'!V$5)/('Council Entry'!V$6-'Council Entry'!V$5)),1))),"No data"))</f>
        <v/>
      </c>
      <c r="W101" s="13">
        <f>IF('Council Entry'!W101="","",IFERROR(MAX(0,MIN(10,ROUND(IF('Council Entry'!W$7="Decrease Risk",10-10*((IF('Council Entry'!W$4="Logarithm",LN(0.001+IF(AND(ISNUMBER('Council Entry'!W$8),ISNUMBER('Council Entry'!W$9)),MAX(MIN('Council Entry'!W101,'Council Entry'!W$9),'Council Entry'!W$8),'Council Entry'!W101)),IF('Council Entry'!W$4="Exponential",EXP(IF(AND(ISNUMBER('Council Entry'!W$8),ISNUMBER('Council Entry'!W$9)),MAX(MIN('Council Entry'!W101,'Council Entry'!W$9),'Council Entry'!W$8),'Council Entry'!W101)),IF(AND(ISNUMBER('Council Entry'!W$8),ISNUMBER('Council Entry'!W$9)),MAX(MIN('Council Entry'!W101,'Council Entry'!W$9),'Council Entry'!W$8),'Council Entry'!W101))))-'Council Entry'!W$5)/('Council Entry'!W$6-'Council Entry'!W$5),10*((IF('Council Entry'!W$4="Logarithm",LN(0.001+IF(AND(ISNUMBER('Council Entry'!W$8),ISNUMBER('Council Entry'!W$9)),MAX(MIN('Council Entry'!W101,'Council Entry'!W$9),'Council Entry'!W$8),'Council Entry'!W101)),IF('Council Entry'!W$4="Exponential",EXP(IF(AND(ISNUMBER('Council Entry'!W$8),ISNUMBER('Council Entry'!W$9)),MAX(MIN('Council Entry'!W101,'Council Entry'!W$9),'Council Entry'!W$8),'Council Entry'!W101)),IF(AND(ISNUMBER('Council Entry'!W$8),ISNUMBER('Council Entry'!W$9)),MAX(MIN('Council Entry'!W101,'Council Entry'!W$9),'Council Entry'!W$8),'Council Entry'!W101))))-'Council Entry'!W$5)/('Council Entry'!W$6-'Council Entry'!W$5)),1))),"No data"))</f>
        <v/>
      </c>
      <c r="X101" s="13">
        <f>IF('Council Entry'!X101="","",IFERROR(MAX(0,MIN(10,ROUND(IF('Council Entry'!X$7="Decrease Risk",10-10*((IF('Council Entry'!X$4="Logarithm",LN(0.001+IF(AND(ISNUMBER('Council Entry'!X$8),ISNUMBER('Council Entry'!X$9)),MAX(MIN('Council Entry'!X101,'Council Entry'!X$9),'Council Entry'!X$8),'Council Entry'!X101)),IF('Council Entry'!X$4="Exponential",EXP(IF(AND(ISNUMBER('Council Entry'!X$8),ISNUMBER('Council Entry'!X$9)),MAX(MIN('Council Entry'!X101,'Council Entry'!X$9),'Council Entry'!X$8),'Council Entry'!X101)),IF(AND(ISNUMBER('Council Entry'!X$8),ISNUMBER('Council Entry'!X$9)),MAX(MIN('Council Entry'!X101,'Council Entry'!X$9),'Council Entry'!X$8),'Council Entry'!X101))))-'Council Entry'!X$5)/('Council Entry'!X$6-'Council Entry'!X$5),10*((IF('Council Entry'!X$4="Logarithm",LN(0.001+IF(AND(ISNUMBER('Council Entry'!X$8),ISNUMBER('Council Entry'!X$9)),MAX(MIN('Council Entry'!X101,'Council Entry'!X$9),'Council Entry'!X$8),'Council Entry'!X101)),IF('Council Entry'!X$4="Exponential",EXP(IF(AND(ISNUMBER('Council Entry'!X$8),ISNUMBER('Council Entry'!X$9)),MAX(MIN('Council Entry'!X101,'Council Entry'!X$9),'Council Entry'!X$8),'Council Entry'!X101)),IF(AND(ISNUMBER('Council Entry'!X$8),ISNUMBER('Council Entry'!X$9)),MAX(MIN('Council Entry'!X101,'Council Entry'!X$9),'Council Entry'!X$8),'Council Entry'!X101))))-'Council Entry'!X$5)/('Council Entry'!X$6-'Council Entry'!X$5)),1))),"No data"))</f>
        <v/>
      </c>
      <c r="Y101" s="13">
        <f>IF('Council Entry'!Y101="","",IFERROR(MAX(0,MIN(10,ROUND(IF('Council Entry'!Y$7="Decrease Risk",10-10*((IF('Council Entry'!Y$4="Logarithm",LN(0.001+IF(AND(ISNUMBER('Council Entry'!Y$8),ISNUMBER('Council Entry'!Y$9)),MAX(MIN('Council Entry'!Y101,'Council Entry'!Y$9),'Council Entry'!Y$8),'Council Entry'!Y101)),IF('Council Entry'!Y$4="Exponential",EXP(IF(AND(ISNUMBER('Council Entry'!Y$8),ISNUMBER('Council Entry'!Y$9)),MAX(MIN('Council Entry'!Y101,'Council Entry'!Y$9),'Council Entry'!Y$8),'Council Entry'!Y101)),IF(AND(ISNUMBER('Council Entry'!Y$8),ISNUMBER('Council Entry'!Y$9)),MAX(MIN('Council Entry'!Y101,'Council Entry'!Y$9),'Council Entry'!Y$8),'Council Entry'!Y101))))-'Council Entry'!Y$5)/('Council Entry'!Y$6-'Council Entry'!Y$5),10*((IF('Council Entry'!Y$4="Logarithm",LN(0.001+IF(AND(ISNUMBER('Council Entry'!Y$8),ISNUMBER('Council Entry'!Y$9)),MAX(MIN('Council Entry'!Y101,'Council Entry'!Y$9),'Council Entry'!Y$8),'Council Entry'!Y101)),IF('Council Entry'!Y$4="Exponential",EXP(IF(AND(ISNUMBER('Council Entry'!Y$8),ISNUMBER('Council Entry'!Y$9)),MAX(MIN('Council Entry'!Y101,'Council Entry'!Y$9),'Council Entry'!Y$8),'Council Entry'!Y101)),IF(AND(ISNUMBER('Council Entry'!Y$8),ISNUMBER('Council Entry'!Y$9)),MAX(MIN('Council Entry'!Y101,'Council Entry'!Y$9),'Council Entry'!Y$8),'Council Entry'!Y101))))-'Council Entry'!Y$5)/('Council Entry'!Y$6-'Council Entry'!Y$5)),1))),"No data"))</f>
        <v/>
      </c>
      <c r="Z101" s="13">
        <f>IF('Council Entry'!Z101="","",IFERROR(MAX(0,MIN(10,ROUND(IF('Council Entry'!Z$7="Decrease Risk",10-10*((IF('Council Entry'!Z$4="Logarithm",LN(0.001+IF(AND(ISNUMBER('Council Entry'!Z$8),ISNUMBER('Council Entry'!Z$9)),MAX(MIN('Council Entry'!Z101,'Council Entry'!Z$9),'Council Entry'!Z$8),'Council Entry'!Z101)),IF('Council Entry'!Z$4="Exponential",EXP(IF(AND(ISNUMBER('Council Entry'!Z$8),ISNUMBER('Council Entry'!Z$9)),MAX(MIN('Council Entry'!Z101,'Council Entry'!Z$9),'Council Entry'!Z$8),'Council Entry'!Z101)),IF(AND(ISNUMBER('Council Entry'!Z$8),ISNUMBER('Council Entry'!Z$9)),MAX(MIN('Council Entry'!Z101,'Council Entry'!Z$9),'Council Entry'!Z$8),'Council Entry'!Z101))))-'Council Entry'!Z$5)/('Council Entry'!Z$6-'Council Entry'!Z$5),10*((IF('Council Entry'!Z$4="Logarithm",LN(0.001+IF(AND(ISNUMBER('Council Entry'!Z$8),ISNUMBER('Council Entry'!Z$9)),MAX(MIN('Council Entry'!Z101,'Council Entry'!Z$9),'Council Entry'!Z$8),'Council Entry'!Z101)),IF('Council Entry'!Z$4="Exponential",EXP(IF(AND(ISNUMBER('Council Entry'!Z$8),ISNUMBER('Council Entry'!Z$9)),MAX(MIN('Council Entry'!Z101,'Council Entry'!Z$9),'Council Entry'!Z$8),'Council Entry'!Z101)),IF(AND(ISNUMBER('Council Entry'!Z$8),ISNUMBER('Council Entry'!Z$9)),MAX(MIN('Council Entry'!Z101,'Council Entry'!Z$9),'Council Entry'!Z$8),'Council Entry'!Z101))))-'Council Entry'!Z$5)/('Council Entry'!Z$6-'Council Entry'!Z$5)),1))),"No data"))</f>
        <v/>
      </c>
      <c r="AA101" s="13">
        <f>IF('Council Entry'!AA101="","",IFERROR(MAX(0,MIN(10,ROUND(IF('Council Entry'!AA$7="Decrease Risk",10-10*((IF('Council Entry'!AA$4="Logarithm",LN(0.001+IF(AND(ISNUMBER('Council Entry'!AA$8),ISNUMBER('Council Entry'!AA$9)),MAX(MIN('Council Entry'!AA101,'Council Entry'!AA$9),'Council Entry'!AA$8),'Council Entry'!AA101)),IF('Council Entry'!AA$4="Exponential",EXP(IF(AND(ISNUMBER('Council Entry'!AA$8),ISNUMBER('Council Entry'!AA$9)),MAX(MIN('Council Entry'!AA101,'Council Entry'!AA$9),'Council Entry'!AA$8),'Council Entry'!AA101)),IF(AND(ISNUMBER('Council Entry'!AA$8),ISNUMBER('Council Entry'!AA$9)),MAX(MIN('Council Entry'!AA101,'Council Entry'!AA$9),'Council Entry'!AA$8),'Council Entry'!AA101))))-'Council Entry'!AA$5)/('Council Entry'!AA$6-'Council Entry'!AA$5),10*((IF('Council Entry'!AA$4="Logarithm",LN(0.001+IF(AND(ISNUMBER('Council Entry'!AA$8),ISNUMBER('Council Entry'!AA$9)),MAX(MIN('Council Entry'!AA101,'Council Entry'!AA$9),'Council Entry'!AA$8),'Council Entry'!AA101)),IF('Council Entry'!AA$4="Exponential",EXP(IF(AND(ISNUMBER('Council Entry'!AA$8),ISNUMBER('Council Entry'!AA$9)),MAX(MIN('Council Entry'!AA101,'Council Entry'!AA$9),'Council Entry'!AA$8),'Council Entry'!AA101)),IF(AND(ISNUMBER('Council Entry'!AA$8),ISNUMBER('Council Entry'!AA$9)),MAX(MIN('Council Entry'!AA101,'Council Entry'!AA$9),'Council Entry'!AA$8),'Council Entry'!AA101))))-'Council Entry'!AA$5)/('Council Entry'!AA$6-'Council Entry'!AA$5)),1))),"No data"))</f>
        <v/>
      </c>
      <c r="AB101" s="13">
        <f>IF('Council Entry'!AB101="","",IFERROR(MAX(0,MIN(10,ROUND(IF('Council Entry'!AB$7="Decrease Risk",10-10*((IF('Council Entry'!AB$4="Logarithm",LN(0.001+IF(AND(ISNUMBER('Council Entry'!AB$8),ISNUMBER('Council Entry'!AB$9)),MAX(MIN('Council Entry'!AB101,'Council Entry'!AB$9),'Council Entry'!AB$8),'Council Entry'!AB101)),IF('Council Entry'!AB$4="Exponential",EXP(IF(AND(ISNUMBER('Council Entry'!AB$8),ISNUMBER('Council Entry'!AB$9)),MAX(MIN('Council Entry'!AB101,'Council Entry'!AB$9),'Council Entry'!AB$8),'Council Entry'!AB101)),IF(AND(ISNUMBER('Council Entry'!AB$8),ISNUMBER('Council Entry'!AB$9)),MAX(MIN('Council Entry'!AB101,'Council Entry'!AB$9),'Council Entry'!AB$8),'Council Entry'!AB101))))-'Council Entry'!AB$5)/('Council Entry'!AB$6-'Council Entry'!AB$5),10*((IF('Council Entry'!AB$4="Logarithm",LN(0.001+IF(AND(ISNUMBER('Council Entry'!AB$8),ISNUMBER('Council Entry'!AB$9)),MAX(MIN('Council Entry'!AB101,'Council Entry'!AB$9),'Council Entry'!AB$8),'Council Entry'!AB101)),IF('Council Entry'!AB$4="Exponential",EXP(IF(AND(ISNUMBER('Council Entry'!AB$8),ISNUMBER('Council Entry'!AB$9)),MAX(MIN('Council Entry'!AB101,'Council Entry'!AB$9),'Council Entry'!AB$8),'Council Entry'!AB101)),IF(AND(ISNUMBER('Council Entry'!AB$8),ISNUMBER('Council Entry'!AB$9)),MAX(MIN('Council Entry'!AB101,'Council Entry'!AB$9),'Council Entry'!AB$8),'Council Entry'!AB101))))-'Council Entry'!AB$5)/('Council Entry'!AB$6-'Council Entry'!AB$5)),1))),"No data"))</f>
        <v/>
      </c>
      <c r="AC101" s="13">
        <f>IF('Council Entry'!AC101="","",IFERROR(MAX(0,MIN(10,ROUND(IF('Council Entry'!AC$7="Decrease Risk",10-10*((IF('Council Entry'!AC$4="Logarithm",LN(0.001+IF(AND(ISNUMBER('Council Entry'!AC$8),ISNUMBER('Council Entry'!AC$9)),MAX(MIN('Council Entry'!AC101,'Council Entry'!AC$9),'Council Entry'!AC$8),'Council Entry'!AC101)),IF('Council Entry'!AC$4="Exponential",EXP(IF(AND(ISNUMBER('Council Entry'!AC$8),ISNUMBER('Council Entry'!AC$9)),MAX(MIN('Council Entry'!AC101,'Council Entry'!AC$9),'Council Entry'!AC$8),'Council Entry'!AC101)),IF(AND(ISNUMBER('Council Entry'!AC$8),ISNUMBER('Council Entry'!AC$9)),MAX(MIN('Council Entry'!AC101,'Council Entry'!AC$9),'Council Entry'!AC$8),'Council Entry'!AC101))))-'Council Entry'!AC$5)/('Council Entry'!AC$6-'Council Entry'!AC$5),10*((IF('Council Entry'!AC$4="Logarithm",LN(0.001+IF(AND(ISNUMBER('Council Entry'!AC$8),ISNUMBER('Council Entry'!AC$9)),MAX(MIN('Council Entry'!AC101,'Council Entry'!AC$9),'Council Entry'!AC$8),'Council Entry'!AC101)),IF('Council Entry'!AC$4="Exponential",EXP(IF(AND(ISNUMBER('Council Entry'!AC$8),ISNUMBER('Council Entry'!AC$9)),MAX(MIN('Council Entry'!AC101,'Council Entry'!AC$9),'Council Entry'!AC$8),'Council Entry'!AC101)),IF(AND(ISNUMBER('Council Entry'!AC$8),ISNUMBER('Council Entry'!AC$9)),MAX(MIN('Council Entry'!AC101,'Council Entry'!AC$9),'Council Entry'!AC$8),'Council Entry'!AC101))))-'Council Entry'!AC$5)/('Council Entry'!AC$6-'Council Entry'!AC$5)),1))),"No data"))</f>
        <v/>
      </c>
      <c r="AD101" s="13">
        <f>IF('Council Entry'!AD101="","",IFERROR(MAX(0,MIN(10,ROUND(IF('Council Entry'!AD$7="Decrease Risk",10-10*((IF('Council Entry'!AD$4="Logarithm",LN(0.001+IF(AND(ISNUMBER('Council Entry'!AD$8),ISNUMBER('Council Entry'!AD$9)),MAX(MIN('Council Entry'!AD101,'Council Entry'!AD$9),'Council Entry'!AD$8),'Council Entry'!AD101)),IF('Council Entry'!AD$4="Exponential",EXP(IF(AND(ISNUMBER('Council Entry'!AD$8),ISNUMBER('Council Entry'!AD$9)),MAX(MIN('Council Entry'!AD101,'Council Entry'!AD$9),'Council Entry'!AD$8),'Council Entry'!AD101)),IF(AND(ISNUMBER('Council Entry'!AD$8),ISNUMBER('Council Entry'!AD$9)),MAX(MIN('Council Entry'!AD101,'Council Entry'!AD$9),'Council Entry'!AD$8),'Council Entry'!AD101))))-'Council Entry'!AD$5)/('Council Entry'!AD$6-'Council Entry'!AD$5),10*((IF('Council Entry'!AD$4="Logarithm",LN(0.001+IF(AND(ISNUMBER('Council Entry'!AD$8),ISNUMBER('Council Entry'!AD$9)),MAX(MIN('Council Entry'!AD101,'Council Entry'!AD$9),'Council Entry'!AD$8),'Council Entry'!AD101)),IF('Council Entry'!AD$4="Exponential",EXP(IF(AND(ISNUMBER('Council Entry'!AD$8),ISNUMBER('Council Entry'!AD$9)),MAX(MIN('Council Entry'!AD101,'Council Entry'!AD$9),'Council Entry'!AD$8),'Council Entry'!AD101)),IF(AND(ISNUMBER('Council Entry'!AD$8),ISNUMBER('Council Entry'!AD$9)),MAX(MIN('Council Entry'!AD101,'Council Entry'!AD$9),'Council Entry'!AD$8),'Council Entry'!AD101))))-'Council Entry'!AD$5)/('Council Entry'!AD$6-'Council Entry'!AD$5)),1))),"No data"))</f>
        <v/>
      </c>
      <c r="AE101" s="13">
        <f>IF('Council Entry'!AE101="","",IFERROR(MAX(0,MIN(10,ROUND(IF('Council Entry'!AE$7="Decrease Risk",10-10*((IF('Council Entry'!AE$4="Logarithm",LN(0.001+IF(AND(ISNUMBER('Council Entry'!AE$8),ISNUMBER('Council Entry'!AE$9)),MAX(MIN('Council Entry'!AE101,'Council Entry'!AE$9),'Council Entry'!AE$8),'Council Entry'!AE101)),IF('Council Entry'!AE$4="Exponential",EXP(IF(AND(ISNUMBER('Council Entry'!AE$8),ISNUMBER('Council Entry'!AE$9)),MAX(MIN('Council Entry'!AE101,'Council Entry'!AE$9),'Council Entry'!AE$8),'Council Entry'!AE101)),IF(AND(ISNUMBER('Council Entry'!AE$8),ISNUMBER('Council Entry'!AE$9)),MAX(MIN('Council Entry'!AE101,'Council Entry'!AE$9),'Council Entry'!AE$8),'Council Entry'!AE101))))-'Council Entry'!AE$5)/('Council Entry'!AE$6-'Council Entry'!AE$5),10*((IF('Council Entry'!AE$4="Logarithm",LN(0.001+IF(AND(ISNUMBER('Council Entry'!AE$8),ISNUMBER('Council Entry'!AE$9)),MAX(MIN('Council Entry'!AE101,'Council Entry'!AE$9),'Council Entry'!AE$8),'Council Entry'!AE101)),IF('Council Entry'!AE$4="Exponential",EXP(IF(AND(ISNUMBER('Council Entry'!AE$8),ISNUMBER('Council Entry'!AE$9)),MAX(MIN('Council Entry'!AE101,'Council Entry'!AE$9),'Council Entry'!AE$8),'Council Entry'!AE101)),IF(AND(ISNUMBER('Council Entry'!AE$8),ISNUMBER('Council Entry'!AE$9)),MAX(MIN('Council Entry'!AE101,'Council Entry'!AE$9),'Council Entry'!AE$8),'Council Entry'!AE101))))-'Council Entry'!AE$5)/('Council Entry'!AE$6-'Council Entry'!AE$5)),1))),"No data"))</f>
        <v/>
      </c>
      <c r="AF101" s="13">
        <f>IF('Council Entry'!AF101="","",IFERROR(MAX(0,MIN(10,ROUND(IF('Council Entry'!AF$7="Decrease Risk",10-10*((IF('Council Entry'!AF$4="Logarithm",LN(0.001+IF(AND(ISNUMBER('Council Entry'!AF$8),ISNUMBER('Council Entry'!AF$9)),MAX(MIN('Council Entry'!AF101,'Council Entry'!AF$9),'Council Entry'!AF$8),'Council Entry'!AF101)),IF('Council Entry'!AF$4="Exponential",EXP(IF(AND(ISNUMBER('Council Entry'!AF$8),ISNUMBER('Council Entry'!AF$9)),MAX(MIN('Council Entry'!AF101,'Council Entry'!AF$9),'Council Entry'!AF$8),'Council Entry'!AF101)),IF(AND(ISNUMBER('Council Entry'!AF$8),ISNUMBER('Council Entry'!AF$9)),MAX(MIN('Council Entry'!AF101,'Council Entry'!AF$9),'Council Entry'!AF$8),'Council Entry'!AF101))))-'Council Entry'!AF$5)/('Council Entry'!AF$6-'Council Entry'!AF$5),10*((IF('Council Entry'!AF$4="Logarithm",LN(0.001+IF(AND(ISNUMBER('Council Entry'!AF$8),ISNUMBER('Council Entry'!AF$9)),MAX(MIN('Council Entry'!AF101,'Council Entry'!AF$9),'Council Entry'!AF$8),'Council Entry'!AF101)),IF('Council Entry'!AF$4="Exponential",EXP(IF(AND(ISNUMBER('Council Entry'!AF$8),ISNUMBER('Council Entry'!AF$9)),MAX(MIN('Council Entry'!AF101,'Council Entry'!AF$9),'Council Entry'!AF$8),'Council Entry'!AF101)),IF(AND(ISNUMBER('Council Entry'!AF$8),ISNUMBER('Council Entry'!AF$9)),MAX(MIN('Council Entry'!AF101,'Council Entry'!AF$9),'Council Entry'!AF$8),'Council Entry'!AF101))))-'Council Entry'!AF$5)/('Council Entry'!AF$6-'Council Entry'!AF$5)),1))),"No data"))</f>
        <v/>
      </c>
      <c r="AG101" s="13">
        <f>IF('Council Entry'!AG101="","",IFERROR(MAX(0,MIN(10,ROUND(IF('Council Entry'!AG$7="Decrease Risk",10-10*((IF('Council Entry'!AG$4="Logarithm",LN(0.001+IF(AND(ISNUMBER('Council Entry'!AG$8),ISNUMBER('Council Entry'!AG$9)),MAX(MIN('Council Entry'!AG101,'Council Entry'!AG$9),'Council Entry'!AG$8),'Council Entry'!AG101)),IF('Council Entry'!AG$4="Exponential",EXP(IF(AND(ISNUMBER('Council Entry'!AG$8),ISNUMBER('Council Entry'!AG$9)),MAX(MIN('Council Entry'!AG101,'Council Entry'!AG$9),'Council Entry'!AG$8),'Council Entry'!AG101)),IF(AND(ISNUMBER('Council Entry'!AG$8),ISNUMBER('Council Entry'!AG$9)),MAX(MIN('Council Entry'!AG101,'Council Entry'!AG$9),'Council Entry'!AG$8),'Council Entry'!AG101))))-'Council Entry'!AG$5)/('Council Entry'!AG$6-'Council Entry'!AG$5),10*((IF('Council Entry'!AG$4="Logarithm",LN(0.001+IF(AND(ISNUMBER('Council Entry'!AG$8),ISNUMBER('Council Entry'!AG$9)),MAX(MIN('Council Entry'!AG101,'Council Entry'!AG$9),'Council Entry'!AG$8),'Council Entry'!AG101)),IF('Council Entry'!AG$4="Exponential",EXP(IF(AND(ISNUMBER('Council Entry'!AG$8),ISNUMBER('Council Entry'!AG$9)),MAX(MIN('Council Entry'!AG101,'Council Entry'!AG$9),'Council Entry'!AG$8),'Council Entry'!AG101)),IF(AND(ISNUMBER('Council Entry'!AG$8),ISNUMBER('Council Entry'!AG$9)),MAX(MIN('Council Entry'!AG101,'Council Entry'!AG$9),'Council Entry'!AG$8),'Council Entry'!AG101))))-'Council Entry'!AG$5)/('Council Entry'!AG$6-'Council Entry'!AG$5)),1))),"No data"))</f>
        <v/>
      </c>
      <c r="AH101" s="13">
        <f>IF('Council Entry'!AH101="","",IFERROR(MAX(0,MIN(10,ROUND(IF('Council Entry'!AH$7="Decrease Risk",10-10*((IF('Council Entry'!AH$4="Logarithm",LN(0.001+IF(AND(ISNUMBER('Council Entry'!AH$8),ISNUMBER('Council Entry'!AH$9)),MAX(MIN('Council Entry'!AH101,'Council Entry'!AH$9),'Council Entry'!AH$8),'Council Entry'!AH101)),IF('Council Entry'!AH$4="Exponential",EXP(IF(AND(ISNUMBER('Council Entry'!AH$8),ISNUMBER('Council Entry'!AH$9)),MAX(MIN('Council Entry'!AH101,'Council Entry'!AH$9),'Council Entry'!AH$8),'Council Entry'!AH101)),IF(AND(ISNUMBER('Council Entry'!AH$8),ISNUMBER('Council Entry'!AH$9)),MAX(MIN('Council Entry'!AH101,'Council Entry'!AH$9),'Council Entry'!AH$8),'Council Entry'!AH101))))-'Council Entry'!AH$5)/('Council Entry'!AH$6-'Council Entry'!AH$5),10*((IF('Council Entry'!AH$4="Logarithm",LN(0.001+IF(AND(ISNUMBER('Council Entry'!AH$8),ISNUMBER('Council Entry'!AH$9)),MAX(MIN('Council Entry'!AH101,'Council Entry'!AH$9),'Council Entry'!AH$8),'Council Entry'!AH101)),IF('Council Entry'!AH$4="Exponential",EXP(IF(AND(ISNUMBER('Council Entry'!AH$8),ISNUMBER('Council Entry'!AH$9)),MAX(MIN('Council Entry'!AH101,'Council Entry'!AH$9),'Council Entry'!AH$8),'Council Entry'!AH101)),IF(AND(ISNUMBER('Council Entry'!AH$8),ISNUMBER('Council Entry'!AH$9)),MAX(MIN('Council Entry'!AH101,'Council Entry'!AH$9),'Council Entry'!AH$8),'Council Entry'!AH101))))-'Council Entry'!AH$5)/('Council Entry'!AH$6-'Council Entry'!AH$5)),1))),"No data"))</f>
        <v/>
      </c>
      <c r="AI101" s="13">
        <f>IF('Council Entry'!AI101="","",IFERROR(MAX(0,MIN(10,ROUND(IF('Council Entry'!AI$7="Decrease Risk",10-10*((IF('Council Entry'!AI$4="Logarithm",LN(0.001+IF(AND(ISNUMBER('Council Entry'!AI$8),ISNUMBER('Council Entry'!AI$9)),MAX(MIN('Council Entry'!AI101,'Council Entry'!AI$9),'Council Entry'!AI$8),'Council Entry'!AI101)),IF('Council Entry'!AI$4="Exponential",EXP(IF(AND(ISNUMBER('Council Entry'!AI$8),ISNUMBER('Council Entry'!AI$9)),MAX(MIN('Council Entry'!AI101,'Council Entry'!AI$9),'Council Entry'!AI$8),'Council Entry'!AI101)),IF(AND(ISNUMBER('Council Entry'!AI$8),ISNUMBER('Council Entry'!AI$9)),MAX(MIN('Council Entry'!AI101,'Council Entry'!AI$9),'Council Entry'!AI$8),'Council Entry'!AI101))))-'Council Entry'!AI$5)/('Council Entry'!AI$6-'Council Entry'!AI$5),10*((IF('Council Entry'!AI$4="Logarithm",LN(0.001+IF(AND(ISNUMBER('Council Entry'!AI$8),ISNUMBER('Council Entry'!AI$9)),MAX(MIN('Council Entry'!AI101,'Council Entry'!AI$9),'Council Entry'!AI$8),'Council Entry'!AI101)),IF('Council Entry'!AI$4="Exponential",EXP(IF(AND(ISNUMBER('Council Entry'!AI$8),ISNUMBER('Council Entry'!AI$9)),MAX(MIN('Council Entry'!AI101,'Council Entry'!AI$9),'Council Entry'!AI$8),'Council Entry'!AI101)),IF(AND(ISNUMBER('Council Entry'!AI$8),ISNUMBER('Council Entry'!AI$9)),MAX(MIN('Council Entry'!AI101,'Council Entry'!AI$9),'Council Entry'!AI$8),'Council Entry'!AI101))))-'Council Entry'!AI$5)/('Council Entry'!AI$6-'Council Entry'!AI$5)),1))),"No data"))</f>
        <v/>
      </c>
      <c r="AJ101" s="13">
        <f>IF('Council Entry'!AJ101="","",IFERROR(MAX(0,MIN(10,ROUND(IF('Council Entry'!AJ$7="Decrease Risk",10-10*((IF('Council Entry'!AJ$4="Logarithm",LN(0.001+IF(AND(ISNUMBER('Council Entry'!AJ$8),ISNUMBER('Council Entry'!AJ$9)),MAX(MIN('Council Entry'!AJ101,'Council Entry'!AJ$9),'Council Entry'!AJ$8),'Council Entry'!AJ101)),IF('Council Entry'!AJ$4="Exponential",EXP(IF(AND(ISNUMBER('Council Entry'!AJ$8),ISNUMBER('Council Entry'!AJ$9)),MAX(MIN('Council Entry'!AJ101,'Council Entry'!AJ$9),'Council Entry'!AJ$8),'Council Entry'!AJ101)),IF(AND(ISNUMBER('Council Entry'!AJ$8),ISNUMBER('Council Entry'!AJ$9)),MAX(MIN('Council Entry'!AJ101,'Council Entry'!AJ$9),'Council Entry'!AJ$8),'Council Entry'!AJ101))))-'Council Entry'!AJ$5)/('Council Entry'!AJ$6-'Council Entry'!AJ$5),10*((IF('Council Entry'!AJ$4="Logarithm",LN(0.001+IF(AND(ISNUMBER('Council Entry'!AJ$8),ISNUMBER('Council Entry'!AJ$9)),MAX(MIN('Council Entry'!AJ101,'Council Entry'!AJ$9),'Council Entry'!AJ$8),'Council Entry'!AJ101)),IF('Council Entry'!AJ$4="Exponential",EXP(IF(AND(ISNUMBER('Council Entry'!AJ$8),ISNUMBER('Council Entry'!AJ$9)),MAX(MIN('Council Entry'!AJ101,'Council Entry'!AJ$9),'Council Entry'!AJ$8),'Council Entry'!AJ101)),IF(AND(ISNUMBER('Council Entry'!AJ$8),ISNUMBER('Council Entry'!AJ$9)),MAX(MIN('Council Entry'!AJ101,'Council Entry'!AJ$9),'Council Entry'!AJ$8),'Council Entry'!AJ101))))-'Council Entry'!AJ$5)/('Council Entry'!AJ$6-'Council Entry'!AJ$5)),1))),"No data"))</f>
        <v/>
      </c>
      <c r="AK101" s="13">
        <f>IF('Council Entry'!AK101="","",IFERROR(MAX(0,MIN(10,ROUND(IF('Council Entry'!AK$7="Decrease Risk",10-10*((IF('Council Entry'!AK$4="Logarithm",LN(0.001+IF(AND(ISNUMBER('Council Entry'!AK$8),ISNUMBER('Council Entry'!AK$9)),MAX(MIN('Council Entry'!AK101,'Council Entry'!AK$9),'Council Entry'!AK$8),'Council Entry'!AK101)),IF('Council Entry'!AK$4="Exponential",EXP(IF(AND(ISNUMBER('Council Entry'!AK$8),ISNUMBER('Council Entry'!AK$9)),MAX(MIN('Council Entry'!AK101,'Council Entry'!AK$9),'Council Entry'!AK$8),'Council Entry'!AK101)),IF(AND(ISNUMBER('Council Entry'!AK$8),ISNUMBER('Council Entry'!AK$9)),MAX(MIN('Council Entry'!AK101,'Council Entry'!AK$9),'Council Entry'!AK$8),'Council Entry'!AK101))))-'Council Entry'!AK$5)/('Council Entry'!AK$6-'Council Entry'!AK$5),10*((IF('Council Entry'!AK$4="Logarithm",LN(0.001+IF(AND(ISNUMBER('Council Entry'!AK$8),ISNUMBER('Council Entry'!AK$9)),MAX(MIN('Council Entry'!AK101,'Council Entry'!AK$9),'Council Entry'!AK$8),'Council Entry'!AK101)),IF('Council Entry'!AK$4="Exponential",EXP(IF(AND(ISNUMBER('Council Entry'!AK$8),ISNUMBER('Council Entry'!AK$9)),MAX(MIN('Council Entry'!AK101,'Council Entry'!AK$9),'Council Entry'!AK$8),'Council Entry'!AK101)),IF(AND(ISNUMBER('Council Entry'!AK$8),ISNUMBER('Council Entry'!AK$9)),MAX(MIN('Council Entry'!AK101,'Council Entry'!AK$9),'Council Entry'!AK$8),'Council Entry'!AK101))))-'Council Entry'!AK$5)/('Council Entry'!AK$6-'Council Entry'!AK$5)),1))),"No data"))</f>
        <v/>
      </c>
      <c r="AL101" s="13">
        <f>IF('Council Entry'!AL101="","",IFERROR(MAX(0,MIN(10,ROUND(IF('Council Entry'!AL$7="Decrease Risk",10-10*((IF('Council Entry'!AL$4="Logarithm",LN(0.001+IF(AND(ISNUMBER('Council Entry'!AL$8),ISNUMBER('Council Entry'!AL$9)),MAX(MIN('Council Entry'!AL101,'Council Entry'!AL$9),'Council Entry'!AL$8),'Council Entry'!AL101)),IF('Council Entry'!AL$4="Exponential",EXP(IF(AND(ISNUMBER('Council Entry'!AL$8),ISNUMBER('Council Entry'!AL$9)),MAX(MIN('Council Entry'!AL101,'Council Entry'!AL$9),'Council Entry'!AL$8),'Council Entry'!AL101)),IF(AND(ISNUMBER('Council Entry'!AL$8),ISNUMBER('Council Entry'!AL$9)),MAX(MIN('Council Entry'!AL101,'Council Entry'!AL$9),'Council Entry'!AL$8),'Council Entry'!AL101))))-'Council Entry'!AL$5)/('Council Entry'!AL$6-'Council Entry'!AL$5),10*((IF('Council Entry'!AL$4="Logarithm",LN(0.001+IF(AND(ISNUMBER('Council Entry'!AL$8),ISNUMBER('Council Entry'!AL$9)),MAX(MIN('Council Entry'!AL101,'Council Entry'!AL$9),'Council Entry'!AL$8),'Council Entry'!AL101)),IF('Council Entry'!AL$4="Exponential",EXP(IF(AND(ISNUMBER('Council Entry'!AL$8),ISNUMBER('Council Entry'!AL$9)),MAX(MIN('Council Entry'!AL101,'Council Entry'!AL$9),'Council Entry'!AL$8),'Council Entry'!AL101)),IF(AND(ISNUMBER('Council Entry'!AL$8),ISNUMBER('Council Entry'!AL$9)),MAX(MIN('Council Entry'!AL101,'Council Entry'!AL$9),'Council Entry'!AL$8),'Council Entry'!AL101))))-'Council Entry'!AL$5)/('Council Entry'!AL$6-'Council Entry'!AL$5)),1))),"No data"))</f>
        <v/>
      </c>
      <c r="AM101" s="13">
        <f>IF('Council Entry'!AM101="","",IFERROR(MAX(0,MIN(10,ROUND(IF('Council Entry'!AM$7="Decrease Risk",10-10*((IF('Council Entry'!AM$4="Logarithm",LN(0.001+IF(AND(ISNUMBER('Council Entry'!AM$8),ISNUMBER('Council Entry'!AM$9)),MAX(MIN('Council Entry'!AM101,'Council Entry'!AM$9),'Council Entry'!AM$8),'Council Entry'!AM101)),IF('Council Entry'!AM$4="Exponential",EXP(IF(AND(ISNUMBER('Council Entry'!AM$8),ISNUMBER('Council Entry'!AM$9)),MAX(MIN('Council Entry'!AM101,'Council Entry'!AM$9),'Council Entry'!AM$8),'Council Entry'!AM101)),IF(AND(ISNUMBER('Council Entry'!AM$8),ISNUMBER('Council Entry'!AM$9)),MAX(MIN('Council Entry'!AM101,'Council Entry'!AM$9),'Council Entry'!AM$8),'Council Entry'!AM101))))-'Council Entry'!AM$5)/('Council Entry'!AM$6-'Council Entry'!AM$5),10*((IF('Council Entry'!AM$4="Logarithm",LN(0.001+IF(AND(ISNUMBER('Council Entry'!AM$8),ISNUMBER('Council Entry'!AM$9)),MAX(MIN('Council Entry'!AM101,'Council Entry'!AM$9),'Council Entry'!AM$8),'Council Entry'!AM101)),IF('Council Entry'!AM$4="Exponential",EXP(IF(AND(ISNUMBER('Council Entry'!AM$8),ISNUMBER('Council Entry'!AM$9)),MAX(MIN('Council Entry'!AM101,'Council Entry'!AM$9),'Council Entry'!AM$8),'Council Entry'!AM101)),IF(AND(ISNUMBER('Council Entry'!AM$8),ISNUMBER('Council Entry'!AM$9)),MAX(MIN('Council Entry'!AM101,'Council Entry'!AM$9),'Council Entry'!AM$8),'Council Entry'!AM101))))-'Council Entry'!AM$5)/('Council Entry'!AM$6-'Council Entry'!AM$5)),1))),"No data"))</f>
        <v/>
      </c>
      <c r="AN101" s="13">
        <f>IF('Council Entry'!AN101="","",IFERROR(MAX(0,MIN(10,ROUND(IF('Council Entry'!AN$7="Decrease Risk",10-10*((IF('Council Entry'!AN$4="Logarithm",LN(0.001+IF(AND(ISNUMBER('Council Entry'!AN$8),ISNUMBER('Council Entry'!AN$9)),MAX(MIN('Council Entry'!AN101,'Council Entry'!AN$9),'Council Entry'!AN$8),'Council Entry'!AN101)),IF('Council Entry'!AN$4="Exponential",EXP(IF(AND(ISNUMBER('Council Entry'!AN$8),ISNUMBER('Council Entry'!AN$9)),MAX(MIN('Council Entry'!AN101,'Council Entry'!AN$9),'Council Entry'!AN$8),'Council Entry'!AN101)),IF(AND(ISNUMBER('Council Entry'!AN$8),ISNUMBER('Council Entry'!AN$9)),MAX(MIN('Council Entry'!AN101,'Council Entry'!AN$9),'Council Entry'!AN$8),'Council Entry'!AN101))))-'Council Entry'!AN$5)/('Council Entry'!AN$6-'Council Entry'!AN$5),10*((IF('Council Entry'!AN$4="Logarithm",LN(0.001+IF(AND(ISNUMBER('Council Entry'!AN$8),ISNUMBER('Council Entry'!AN$9)),MAX(MIN('Council Entry'!AN101,'Council Entry'!AN$9),'Council Entry'!AN$8),'Council Entry'!AN101)),IF('Council Entry'!AN$4="Exponential",EXP(IF(AND(ISNUMBER('Council Entry'!AN$8),ISNUMBER('Council Entry'!AN$9)),MAX(MIN('Council Entry'!AN101,'Council Entry'!AN$9),'Council Entry'!AN$8),'Council Entry'!AN101)),IF(AND(ISNUMBER('Council Entry'!AN$8),ISNUMBER('Council Entry'!AN$9)),MAX(MIN('Council Entry'!AN101,'Council Entry'!AN$9),'Council Entry'!AN$8),'Council Entry'!AN101))))-'Council Entry'!AN$5)/('Council Entry'!AN$6-'Council Entry'!AN$5)),1))),"No data"))</f>
        <v/>
      </c>
      <c r="AO101" s="13">
        <f>IF('Council Entry'!AO101="","",IFERROR(MAX(0,MIN(10,ROUND(IF('Council Entry'!AO$7="Decrease Risk",10-10*((IF('Council Entry'!AO$4="Logarithm",LN(0.001+IF(AND(ISNUMBER('Council Entry'!AO$8),ISNUMBER('Council Entry'!AO$9)),MAX(MIN('Council Entry'!AO101,'Council Entry'!AO$9),'Council Entry'!AO$8),'Council Entry'!AO101)),IF('Council Entry'!AO$4="Exponential",EXP(IF(AND(ISNUMBER('Council Entry'!AO$8),ISNUMBER('Council Entry'!AO$9)),MAX(MIN('Council Entry'!AO101,'Council Entry'!AO$9),'Council Entry'!AO$8),'Council Entry'!AO101)),IF(AND(ISNUMBER('Council Entry'!AO$8),ISNUMBER('Council Entry'!AO$9)),MAX(MIN('Council Entry'!AO101,'Council Entry'!AO$9),'Council Entry'!AO$8),'Council Entry'!AO101))))-'Council Entry'!AO$5)/('Council Entry'!AO$6-'Council Entry'!AO$5),10*((IF('Council Entry'!AO$4="Logarithm",LN(0.001+IF(AND(ISNUMBER('Council Entry'!AO$8),ISNUMBER('Council Entry'!AO$9)),MAX(MIN('Council Entry'!AO101,'Council Entry'!AO$9),'Council Entry'!AO$8),'Council Entry'!AO101)),IF('Council Entry'!AO$4="Exponential",EXP(IF(AND(ISNUMBER('Council Entry'!AO$8),ISNUMBER('Council Entry'!AO$9)),MAX(MIN('Council Entry'!AO101,'Council Entry'!AO$9),'Council Entry'!AO$8),'Council Entry'!AO101)),IF(AND(ISNUMBER('Council Entry'!AO$8),ISNUMBER('Council Entry'!AO$9)),MAX(MIN('Council Entry'!AO101,'Council Entry'!AO$9),'Council Entry'!AO$8),'Council Entry'!AO101))))-'Council Entry'!AO$5)/('Council Entry'!AO$6-'Council Entry'!AO$5)),1))),"No data"))</f>
        <v/>
      </c>
      <c r="AP101" s="13">
        <f>IF('Council Entry'!AP101="","",IFERROR(MAX(0,MIN(10,ROUND(IF('Council Entry'!AP$7="Decrease Risk",10-10*((IF('Council Entry'!AP$4="Logarithm",LN(0.001+IF(AND(ISNUMBER('Council Entry'!AP$8),ISNUMBER('Council Entry'!AP$9)),MAX(MIN('Council Entry'!AP101,'Council Entry'!AP$9),'Council Entry'!AP$8),'Council Entry'!AP101)),IF('Council Entry'!AP$4="Exponential",EXP(IF(AND(ISNUMBER('Council Entry'!AP$8),ISNUMBER('Council Entry'!AP$9)),MAX(MIN('Council Entry'!AP101,'Council Entry'!AP$9),'Council Entry'!AP$8),'Council Entry'!AP101)),IF(AND(ISNUMBER('Council Entry'!AP$8),ISNUMBER('Council Entry'!AP$9)),MAX(MIN('Council Entry'!AP101,'Council Entry'!AP$9),'Council Entry'!AP$8),'Council Entry'!AP101))))-'Council Entry'!AP$5)/('Council Entry'!AP$6-'Council Entry'!AP$5),10*((IF('Council Entry'!AP$4="Logarithm",LN(0.001+IF(AND(ISNUMBER('Council Entry'!AP$8),ISNUMBER('Council Entry'!AP$9)),MAX(MIN('Council Entry'!AP101,'Council Entry'!AP$9),'Council Entry'!AP$8),'Council Entry'!AP101)),IF('Council Entry'!AP$4="Exponential",EXP(IF(AND(ISNUMBER('Council Entry'!AP$8),ISNUMBER('Council Entry'!AP$9)),MAX(MIN('Council Entry'!AP101,'Council Entry'!AP$9),'Council Entry'!AP$8),'Council Entry'!AP101)),IF(AND(ISNUMBER('Council Entry'!AP$8),ISNUMBER('Council Entry'!AP$9)),MAX(MIN('Council Entry'!AP101,'Council Entry'!AP$9),'Council Entry'!AP$8),'Council Entry'!AP101))))-'Council Entry'!AP$5)/('Council Entry'!AP$6-'Council Entry'!AP$5)),1))),"No data"))</f>
        <v/>
      </c>
      <c r="AQ101" s="13">
        <f>IF('Council Entry'!AQ101="","",IFERROR(MAX(0,MIN(10,ROUND(IF('Council Entry'!AQ$7="Decrease Risk",10-10*((IF('Council Entry'!AQ$4="Logarithm",LN(0.001+IF(AND(ISNUMBER('Council Entry'!AQ$8),ISNUMBER('Council Entry'!AQ$9)),MAX(MIN('Council Entry'!AQ101,'Council Entry'!AQ$9),'Council Entry'!AQ$8),'Council Entry'!AQ101)),IF('Council Entry'!AQ$4="Exponential",EXP(IF(AND(ISNUMBER('Council Entry'!AQ$8),ISNUMBER('Council Entry'!AQ$9)),MAX(MIN('Council Entry'!AQ101,'Council Entry'!AQ$9),'Council Entry'!AQ$8),'Council Entry'!AQ101)),IF(AND(ISNUMBER('Council Entry'!AQ$8),ISNUMBER('Council Entry'!AQ$9)),MAX(MIN('Council Entry'!AQ101,'Council Entry'!AQ$9),'Council Entry'!AQ$8),'Council Entry'!AQ101))))-'Council Entry'!AQ$5)/('Council Entry'!AQ$6-'Council Entry'!AQ$5),10*((IF('Council Entry'!AQ$4="Logarithm",LN(0.001+IF(AND(ISNUMBER('Council Entry'!AQ$8),ISNUMBER('Council Entry'!AQ$9)),MAX(MIN('Council Entry'!AQ101,'Council Entry'!AQ$9),'Council Entry'!AQ$8),'Council Entry'!AQ101)),IF('Council Entry'!AQ$4="Exponential",EXP(IF(AND(ISNUMBER('Council Entry'!AQ$8),ISNUMBER('Council Entry'!AQ$9)),MAX(MIN('Council Entry'!AQ101,'Council Entry'!AQ$9),'Council Entry'!AQ$8),'Council Entry'!AQ101)),IF(AND(ISNUMBER('Council Entry'!AQ$8),ISNUMBER('Council Entry'!AQ$9)),MAX(MIN('Council Entry'!AQ101,'Council Entry'!AQ$9),'Council Entry'!AQ$8),'Council Entry'!AQ101))))-'Council Entry'!AQ$5)/('Council Entry'!AQ$6-'Council Entry'!AQ$5)),1))),"No data"))</f>
        <v/>
      </c>
      <c r="AR101" s="13">
        <f>IF('Council Entry'!AR101="","",IFERROR(MAX(0,MIN(10,ROUND(IF('Council Entry'!AR$7="Decrease Risk",10-10*((IF('Council Entry'!AR$4="Logarithm",LN(0.001+IF(AND(ISNUMBER('Council Entry'!AR$8),ISNUMBER('Council Entry'!AR$9)),MAX(MIN('Council Entry'!AR101,'Council Entry'!AR$9),'Council Entry'!AR$8),'Council Entry'!AR101)),IF('Council Entry'!AR$4="Exponential",EXP(IF(AND(ISNUMBER('Council Entry'!AR$8),ISNUMBER('Council Entry'!AR$9)),MAX(MIN('Council Entry'!AR101,'Council Entry'!AR$9),'Council Entry'!AR$8),'Council Entry'!AR101)),IF(AND(ISNUMBER('Council Entry'!AR$8),ISNUMBER('Council Entry'!AR$9)),MAX(MIN('Council Entry'!AR101,'Council Entry'!AR$9),'Council Entry'!AR$8),'Council Entry'!AR101))))-'Council Entry'!AR$5)/('Council Entry'!AR$6-'Council Entry'!AR$5),10*((IF('Council Entry'!AR$4="Logarithm",LN(0.001+IF(AND(ISNUMBER('Council Entry'!AR$8),ISNUMBER('Council Entry'!AR$9)),MAX(MIN('Council Entry'!AR101,'Council Entry'!AR$9),'Council Entry'!AR$8),'Council Entry'!AR101)),IF('Council Entry'!AR$4="Exponential",EXP(IF(AND(ISNUMBER('Council Entry'!AR$8),ISNUMBER('Council Entry'!AR$9)),MAX(MIN('Council Entry'!AR101,'Council Entry'!AR$9),'Council Entry'!AR$8),'Council Entry'!AR101)),IF(AND(ISNUMBER('Council Entry'!AR$8),ISNUMBER('Council Entry'!AR$9)),MAX(MIN('Council Entry'!AR101,'Council Entry'!AR$9),'Council Entry'!AR$8),'Council Entry'!AR101))))-'Council Entry'!AR$5)/('Council Entry'!AR$6-'Council Entry'!AR$5)),1))),"No data"))</f>
        <v/>
      </c>
      <c r="AS101" s="13">
        <f>IF('Council Entry'!AS101="","",IFERROR(MAX(0,MIN(10,ROUND(IF('Council Entry'!AS$7="Decrease Risk",10-10*((IF('Council Entry'!AS$4="Logarithm",LN(0.001+IF(AND(ISNUMBER('Council Entry'!AS$8),ISNUMBER('Council Entry'!AS$9)),MAX(MIN('Council Entry'!AS101,'Council Entry'!AS$9),'Council Entry'!AS$8),'Council Entry'!AS101)),IF('Council Entry'!AS$4="Exponential",EXP(IF(AND(ISNUMBER('Council Entry'!AS$8),ISNUMBER('Council Entry'!AS$9)),MAX(MIN('Council Entry'!AS101,'Council Entry'!AS$9),'Council Entry'!AS$8),'Council Entry'!AS101)),IF(AND(ISNUMBER('Council Entry'!AS$8),ISNUMBER('Council Entry'!AS$9)),MAX(MIN('Council Entry'!AS101,'Council Entry'!AS$9),'Council Entry'!AS$8),'Council Entry'!AS101))))-'Council Entry'!AS$5)/('Council Entry'!AS$6-'Council Entry'!AS$5),10*((IF('Council Entry'!AS$4="Logarithm",LN(0.001+IF(AND(ISNUMBER('Council Entry'!AS$8),ISNUMBER('Council Entry'!AS$9)),MAX(MIN('Council Entry'!AS101,'Council Entry'!AS$9),'Council Entry'!AS$8),'Council Entry'!AS101)),IF('Council Entry'!AS$4="Exponential",EXP(IF(AND(ISNUMBER('Council Entry'!AS$8),ISNUMBER('Council Entry'!AS$9)),MAX(MIN('Council Entry'!AS101,'Council Entry'!AS$9),'Council Entry'!AS$8),'Council Entry'!AS101)),IF(AND(ISNUMBER('Council Entry'!AS$8),ISNUMBER('Council Entry'!AS$9)),MAX(MIN('Council Entry'!AS101,'Council Entry'!AS$9),'Council Entry'!AS$8),'Council Entry'!AS101))))-'Council Entry'!AS$5)/('Council Entry'!AS$6-'Council Entry'!AS$5)),1))),"No data"))</f>
        <v/>
      </c>
      <c r="AT101" s="13">
        <f>IF('Council Entry'!AT101="","",IFERROR(MAX(0,MIN(10,ROUND(IF('Council Entry'!AT$7="Decrease Risk",10-10*((IF('Council Entry'!AT$4="Logarithm",LN(0.001+IF(AND(ISNUMBER('Council Entry'!AT$8),ISNUMBER('Council Entry'!AT$9)),MAX(MIN('Council Entry'!AT101,'Council Entry'!AT$9),'Council Entry'!AT$8),'Council Entry'!AT101)),IF('Council Entry'!AT$4="Exponential",EXP(IF(AND(ISNUMBER('Council Entry'!AT$8),ISNUMBER('Council Entry'!AT$9)),MAX(MIN('Council Entry'!AT101,'Council Entry'!AT$9),'Council Entry'!AT$8),'Council Entry'!AT101)),IF(AND(ISNUMBER('Council Entry'!AT$8),ISNUMBER('Council Entry'!AT$9)),MAX(MIN('Council Entry'!AT101,'Council Entry'!AT$9),'Council Entry'!AT$8),'Council Entry'!AT101))))-'Council Entry'!AT$5)/('Council Entry'!AT$6-'Council Entry'!AT$5),10*((IF('Council Entry'!AT$4="Logarithm",LN(0.001+IF(AND(ISNUMBER('Council Entry'!AT$8),ISNUMBER('Council Entry'!AT$9)),MAX(MIN('Council Entry'!AT101,'Council Entry'!AT$9),'Council Entry'!AT$8),'Council Entry'!AT101)),IF('Council Entry'!AT$4="Exponential",EXP(IF(AND(ISNUMBER('Council Entry'!AT$8),ISNUMBER('Council Entry'!AT$9)),MAX(MIN('Council Entry'!AT101,'Council Entry'!AT$9),'Council Entry'!AT$8),'Council Entry'!AT101)),IF(AND(ISNUMBER('Council Entry'!AT$8),ISNUMBER('Council Entry'!AT$9)),MAX(MIN('Council Entry'!AT101,'Council Entry'!AT$9),'Council Entry'!AT$8),'Council Entry'!AT101))))-'Council Entry'!AT$5)/('Council Entry'!AT$6-'Council Entry'!AT$5)),1))),"No data"))</f>
        <v/>
      </c>
      <c r="AU101" s="13">
        <f>IF('Council Entry'!AU101="","",IFERROR(MAX(0,MIN(10,ROUND(IF('Council Entry'!AU$7="Decrease Risk",10-10*((IF('Council Entry'!AU$4="Logarithm",LN(0.001+IF(AND(ISNUMBER('Council Entry'!AU$8),ISNUMBER('Council Entry'!AU$9)),MAX(MIN('Council Entry'!AU101,'Council Entry'!AU$9),'Council Entry'!AU$8),'Council Entry'!AU101)),IF('Council Entry'!AU$4="Exponential",EXP(IF(AND(ISNUMBER('Council Entry'!AU$8),ISNUMBER('Council Entry'!AU$9)),MAX(MIN('Council Entry'!AU101,'Council Entry'!AU$9),'Council Entry'!AU$8),'Council Entry'!AU101)),IF(AND(ISNUMBER('Council Entry'!AU$8),ISNUMBER('Council Entry'!AU$9)),MAX(MIN('Council Entry'!AU101,'Council Entry'!AU$9),'Council Entry'!AU$8),'Council Entry'!AU101))))-'Council Entry'!AU$5)/('Council Entry'!AU$6-'Council Entry'!AU$5),10*((IF('Council Entry'!AU$4="Logarithm",LN(0.001+IF(AND(ISNUMBER('Council Entry'!AU$8),ISNUMBER('Council Entry'!AU$9)),MAX(MIN('Council Entry'!AU101,'Council Entry'!AU$9),'Council Entry'!AU$8),'Council Entry'!AU101)),IF('Council Entry'!AU$4="Exponential",EXP(IF(AND(ISNUMBER('Council Entry'!AU$8),ISNUMBER('Council Entry'!AU$9)),MAX(MIN('Council Entry'!AU101,'Council Entry'!AU$9),'Council Entry'!AU$8),'Council Entry'!AU101)),IF(AND(ISNUMBER('Council Entry'!AU$8),ISNUMBER('Council Entry'!AU$9)),MAX(MIN('Council Entry'!AU101,'Council Entry'!AU$9),'Council Entry'!AU$8),'Council Entry'!AU101))))-'Council Entry'!AU$5)/('Council Entry'!AU$6-'Council Entry'!AU$5)),1))),"No data"))</f>
        <v/>
      </c>
      <c r="AV101" s="13">
        <f>IF('Council Entry'!AV101="","",IFERROR(MAX(0,MIN(10,ROUND(IF('Council Entry'!AV$7="Decrease Risk",10-10*((IF('Council Entry'!AV$4="Logarithm",LN(0.001+IF(AND(ISNUMBER('Council Entry'!AV$8),ISNUMBER('Council Entry'!AV$9)),MAX(MIN('Council Entry'!AV101,'Council Entry'!AV$9),'Council Entry'!AV$8),'Council Entry'!AV101)),IF('Council Entry'!AV$4="Exponential",EXP(IF(AND(ISNUMBER('Council Entry'!AV$8),ISNUMBER('Council Entry'!AV$9)),MAX(MIN('Council Entry'!AV101,'Council Entry'!AV$9),'Council Entry'!AV$8),'Council Entry'!AV101)),IF(AND(ISNUMBER('Council Entry'!AV$8),ISNUMBER('Council Entry'!AV$9)),MAX(MIN('Council Entry'!AV101,'Council Entry'!AV$9),'Council Entry'!AV$8),'Council Entry'!AV101))))-'Council Entry'!AV$5)/('Council Entry'!AV$6-'Council Entry'!AV$5),10*((IF('Council Entry'!AV$4="Logarithm",LN(0.001+IF(AND(ISNUMBER('Council Entry'!AV$8),ISNUMBER('Council Entry'!AV$9)),MAX(MIN('Council Entry'!AV101,'Council Entry'!AV$9),'Council Entry'!AV$8),'Council Entry'!AV101)),IF('Council Entry'!AV$4="Exponential",EXP(IF(AND(ISNUMBER('Council Entry'!AV$8),ISNUMBER('Council Entry'!AV$9)),MAX(MIN('Council Entry'!AV101,'Council Entry'!AV$9),'Council Entry'!AV$8),'Council Entry'!AV101)),IF(AND(ISNUMBER('Council Entry'!AV$8),ISNUMBER('Council Entry'!AV$9)),MAX(MIN('Council Entry'!AV101,'Council Entry'!AV$9),'Council Entry'!AV$8),'Council Entry'!AV101))))-'Council Entry'!AV$5)/('Council Entry'!AV$6-'Council Entry'!AV$5)),1))),"No data"))</f>
        <v/>
      </c>
      <c r="AW101" s="13">
        <f>IF('Council Entry'!AW101="","",IFERROR(MAX(0,MIN(10,ROUND(IF('Council Entry'!AW$7="Decrease Risk",10-10*((IF('Council Entry'!AW$4="Logarithm",LN(0.001+IF(AND(ISNUMBER('Council Entry'!AW$8),ISNUMBER('Council Entry'!AW$9)),MAX(MIN('Council Entry'!AW101,'Council Entry'!AW$9),'Council Entry'!AW$8),'Council Entry'!AW101)),IF('Council Entry'!AW$4="Exponential",EXP(IF(AND(ISNUMBER('Council Entry'!AW$8),ISNUMBER('Council Entry'!AW$9)),MAX(MIN('Council Entry'!AW101,'Council Entry'!AW$9),'Council Entry'!AW$8),'Council Entry'!AW101)),IF(AND(ISNUMBER('Council Entry'!AW$8),ISNUMBER('Council Entry'!AW$9)),MAX(MIN('Council Entry'!AW101,'Council Entry'!AW$9),'Council Entry'!AW$8),'Council Entry'!AW101))))-'Council Entry'!AW$5)/('Council Entry'!AW$6-'Council Entry'!AW$5),10*((IF('Council Entry'!AW$4="Logarithm",LN(0.001+IF(AND(ISNUMBER('Council Entry'!AW$8),ISNUMBER('Council Entry'!AW$9)),MAX(MIN('Council Entry'!AW101,'Council Entry'!AW$9),'Council Entry'!AW$8),'Council Entry'!AW101)),IF('Council Entry'!AW$4="Exponential",EXP(IF(AND(ISNUMBER('Council Entry'!AW$8),ISNUMBER('Council Entry'!AW$9)),MAX(MIN('Council Entry'!AW101,'Council Entry'!AW$9),'Council Entry'!AW$8),'Council Entry'!AW101)),IF(AND(ISNUMBER('Council Entry'!AW$8),ISNUMBER('Council Entry'!AW$9)),MAX(MIN('Council Entry'!AW101,'Council Entry'!AW$9),'Council Entry'!AW$8),'Council Entry'!AW101))))-'Council Entry'!AW$5)/('Council Entry'!AW$6-'Council Entry'!AW$5)),1))),"No data"))</f>
        <v/>
      </c>
      <c r="AX101" s="13">
        <f>IF('Council Entry'!AX101="","",IFERROR(MAX(0,MIN(10,ROUND(IF('Council Entry'!AX$7="Decrease Risk",10-10*((IF('Council Entry'!AX$4="Logarithm",LN(0.001+IF(AND(ISNUMBER('Council Entry'!AX$8),ISNUMBER('Council Entry'!AX$9)),MAX(MIN('Council Entry'!AX101,'Council Entry'!AX$9),'Council Entry'!AX$8),'Council Entry'!AX101)),IF('Council Entry'!AX$4="Exponential",EXP(IF(AND(ISNUMBER('Council Entry'!AX$8),ISNUMBER('Council Entry'!AX$9)),MAX(MIN('Council Entry'!AX101,'Council Entry'!AX$9),'Council Entry'!AX$8),'Council Entry'!AX101)),IF(AND(ISNUMBER('Council Entry'!AX$8),ISNUMBER('Council Entry'!AX$9)),MAX(MIN('Council Entry'!AX101,'Council Entry'!AX$9),'Council Entry'!AX$8),'Council Entry'!AX101))))-'Council Entry'!AX$5)/('Council Entry'!AX$6-'Council Entry'!AX$5),10*((IF('Council Entry'!AX$4="Logarithm",LN(0.001+IF(AND(ISNUMBER('Council Entry'!AX$8),ISNUMBER('Council Entry'!AX$9)),MAX(MIN('Council Entry'!AX101,'Council Entry'!AX$9),'Council Entry'!AX$8),'Council Entry'!AX101)),IF('Council Entry'!AX$4="Exponential",EXP(IF(AND(ISNUMBER('Council Entry'!AX$8),ISNUMBER('Council Entry'!AX$9)),MAX(MIN('Council Entry'!AX101,'Council Entry'!AX$9),'Council Entry'!AX$8),'Council Entry'!AX101)),IF(AND(ISNUMBER('Council Entry'!AX$8),ISNUMBER('Council Entry'!AX$9)),MAX(MIN('Council Entry'!AX101,'Council Entry'!AX$9),'Council Entry'!AX$8),'Council Entry'!AX101))))-'Council Entry'!AX$5)/('Council Entry'!AX$6-'Council Entry'!AX$5)),1))),"No data"))</f>
        <v/>
      </c>
      <c r="AY101" s="13">
        <f>IF('Council Entry'!AY101="","",IFERROR(MAX(0,MIN(10,ROUND(IF('Council Entry'!AY$7="Decrease Risk",10-10*((IF('Council Entry'!AY$4="Logarithm",LN(0.001+IF(AND(ISNUMBER('Council Entry'!AY$8),ISNUMBER('Council Entry'!AY$9)),MAX(MIN('Council Entry'!AY101,'Council Entry'!AY$9),'Council Entry'!AY$8),'Council Entry'!AY101)),IF('Council Entry'!AY$4="Exponential",EXP(IF(AND(ISNUMBER('Council Entry'!AY$8),ISNUMBER('Council Entry'!AY$9)),MAX(MIN('Council Entry'!AY101,'Council Entry'!AY$9),'Council Entry'!AY$8),'Council Entry'!AY101)),IF(AND(ISNUMBER('Council Entry'!AY$8),ISNUMBER('Council Entry'!AY$9)),MAX(MIN('Council Entry'!AY101,'Council Entry'!AY$9),'Council Entry'!AY$8),'Council Entry'!AY101))))-'Council Entry'!AY$5)/('Council Entry'!AY$6-'Council Entry'!AY$5),10*((IF('Council Entry'!AY$4="Logarithm",LN(0.001+IF(AND(ISNUMBER('Council Entry'!AY$8),ISNUMBER('Council Entry'!AY$9)),MAX(MIN('Council Entry'!AY101,'Council Entry'!AY$9),'Council Entry'!AY$8),'Council Entry'!AY101)),IF('Council Entry'!AY$4="Exponential",EXP(IF(AND(ISNUMBER('Council Entry'!AY$8),ISNUMBER('Council Entry'!AY$9)),MAX(MIN('Council Entry'!AY101,'Council Entry'!AY$9),'Council Entry'!AY$8),'Council Entry'!AY101)),IF(AND(ISNUMBER('Council Entry'!AY$8),ISNUMBER('Council Entry'!AY$9)),MAX(MIN('Council Entry'!AY101,'Council Entry'!AY$9),'Council Entry'!AY$8),'Council Entry'!AY101))))-'Council Entry'!AY$5)/('Council Entry'!AY$6-'Council Entry'!AY$5)),1))),"No data"))</f>
        <v/>
      </c>
      <c r="AZ101" s="13">
        <f>IF('Council Entry'!AZ101="","",IFERROR(MAX(0,MIN(10,ROUND(IF('Council Entry'!AZ$7="Decrease Risk",10-10*((IF('Council Entry'!AZ$4="Logarithm",LN(0.001+IF(AND(ISNUMBER('Council Entry'!AZ$8),ISNUMBER('Council Entry'!AZ$9)),MAX(MIN('Council Entry'!AZ101,'Council Entry'!AZ$9),'Council Entry'!AZ$8),'Council Entry'!AZ101)),IF('Council Entry'!AZ$4="Exponential",EXP(IF(AND(ISNUMBER('Council Entry'!AZ$8),ISNUMBER('Council Entry'!AZ$9)),MAX(MIN('Council Entry'!AZ101,'Council Entry'!AZ$9),'Council Entry'!AZ$8),'Council Entry'!AZ101)),IF(AND(ISNUMBER('Council Entry'!AZ$8),ISNUMBER('Council Entry'!AZ$9)),MAX(MIN('Council Entry'!AZ101,'Council Entry'!AZ$9),'Council Entry'!AZ$8),'Council Entry'!AZ101))))-'Council Entry'!AZ$5)/('Council Entry'!AZ$6-'Council Entry'!AZ$5),10*((IF('Council Entry'!AZ$4="Logarithm",LN(0.001+IF(AND(ISNUMBER('Council Entry'!AZ$8),ISNUMBER('Council Entry'!AZ$9)),MAX(MIN('Council Entry'!AZ101,'Council Entry'!AZ$9),'Council Entry'!AZ$8),'Council Entry'!AZ101)),IF('Council Entry'!AZ$4="Exponential",EXP(IF(AND(ISNUMBER('Council Entry'!AZ$8),ISNUMBER('Council Entry'!AZ$9)),MAX(MIN('Council Entry'!AZ101,'Council Entry'!AZ$9),'Council Entry'!AZ$8),'Council Entry'!AZ101)),IF(AND(ISNUMBER('Council Entry'!AZ$8),ISNUMBER('Council Entry'!AZ$9)),MAX(MIN('Council Entry'!AZ101,'Council Entry'!AZ$9),'Council Entry'!AZ$8),'Council Entry'!AZ101))))-'Council Entry'!AZ$5)/('Council Entry'!AZ$6-'Council Entry'!AZ$5)),1))),"No data"))</f>
        <v/>
      </c>
      <c r="BA101" s="13">
        <f>IF('Council Entry'!BA101="","",IFERROR(MAX(0,MIN(10,ROUND(IF('Council Entry'!BA$7="Decrease Risk",10-10*((IF('Council Entry'!BA$4="Logarithm",LN(0.001+IF(AND(ISNUMBER('Council Entry'!BA$8),ISNUMBER('Council Entry'!BA$9)),MAX(MIN('Council Entry'!BA101,'Council Entry'!BA$9),'Council Entry'!BA$8),'Council Entry'!BA101)),IF('Council Entry'!BA$4="Exponential",EXP(IF(AND(ISNUMBER('Council Entry'!BA$8),ISNUMBER('Council Entry'!BA$9)),MAX(MIN('Council Entry'!BA101,'Council Entry'!BA$9),'Council Entry'!BA$8),'Council Entry'!BA101)),IF(AND(ISNUMBER('Council Entry'!BA$8),ISNUMBER('Council Entry'!BA$9)),MAX(MIN('Council Entry'!BA101,'Council Entry'!BA$9),'Council Entry'!BA$8),'Council Entry'!BA101))))-'Council Entry'!BA$5)/('Council Entry'!BA$6-'Council Entry'!BA$5),10*((IF('Council Entry'!BA$4="Logarithm",LN(0.001+IF(AND(ISNUMBER('Council Entry'!BA$8),ISNUMBER('Council Entry'!BA$9)),MAX(MIN('Council Entry'!BA101,'Council Entry'!BA$9),'Council Entry'!BA$8),'Council Entry'!BA101)),IF('Council Entry'!BA$4="Exponential",EXP(IF(AND(ISNUMBER('Council Entry'!BA$8),ISNUMBER('Council Entry'!BA$9)),MAX(MIN('Council Entry'!BA101,'Council Entry'!BA$9),'Council Entry'!BA$8),'Council Entry'!BA101)),IF(AND(ISNUMBER('Council Entry'!BA$8),ISNUMBER('Council Entry'!BA$9)),MAX(MIN('Council Entry'!BA101,'Council Entry'!BA$9),'Council Entry'!BA$8),'Council Entry'!BA101))))-'Council Entry'!BA$5)/('Council Entry'!BA$6-'Council Entry'!BA$5)),1))),"No data"))</f>
        <v/>
      </c>
      <c r="BB101" s="13">
        <f>IF('Council Entry'!BB101="","",IFERROR(MAX(0,MIN(10,ROUND(IF('Council Entry'!BB$7="Decrease Risk",10-10*((IF('Council Entry'!BB$4="Logarithm",LN(0.001+IF(AND(ISNUMBER('Council Entry'!BB$8),ISNUMBER('Council Entry'!BB$9)),MAX(MIN('Council Entry'!BB101,'Council Entry'!BB$9),'Council Entry'!BB$8),'Council Entry'!BB101)),IF('Council Entry'!BB$4="Exponential",EXP(IF(AND(ISNUMBER('Council Entry'!BB$8),ISNUMBER('Council Entry'!BB$9)),MAX(MIN('Council Entry'!BB101,'Council Entry'!BB$9),'Council Entry'!BB$8),'Council Entry'!BB101)),IF(AND(ISNUMBER('Council Entry'!BB$8),ISNUMBER('Council Entry'!BB$9)),MAX(MIN('Council Entry'!BB101,'Council Entry'!BB$9),'Council Entry'!BB$8),'Council Entry'!BB101))))-'Council Entry'!BB$5)/('Council Entry'!BB$6-'Council Entry'!BB$5),10*((IF('Council Entry'!BB$4="Logarithm",LN(0.001+IF(AND(ISNUMBER('Council Entry'!BB$8),ISNUMBER('Council Entry'!BB$9)),MAX(MIN('Council Entry'!BB101,'Council Entry'!BB$9),'Council Entry'!BB$8),'Council Entry'!BB101)),IF('Council Entry'!BB$4="Exponential",EXP(IF(AND(ISNUMBER('Council Entry'!BB$8),ISNUMBER('Council Entry'!BB$9)),MAX(MIN('Council Entry'!BB101,'Council Entry'!BB$9),'Council Entry'!BB$8),'Council Entry'!BB101)),IF(AND(ISNUMBER('Council Entry'!BB$8),ISNUMBER('Council Entry'!BB$9)),MAX(MIN('Council Entry'!BB101,'Council Entry'!BB$9),'Council Entry'!BB$8),'Council Entry'!BB101))))-'Council Entry'!BB$5)/('Council Entry'!BB$6-'Council Entry'!BB$5)),1))),"No data"))</f>
        <v/>
      </c>
      <c r="BC101" s="13">
        <f>IF('Council Entry'!BC101="","",IFERROR(MAX(0,MIN(10,ROUND(IF('Council Entry'!BC$7="Decrease Risk",10-10*((IF('Council Entry'!BC$4="Logarithm",LN(0.001+IF(AND(ISNUMBER('Council Entry'!BC$8),ISNUMBER('Council Entry'!BC$9)),MAX(MIN('Council Entry'!BC101,'Council Entry'!BC$9),'Council Entry'!BC$8),'Council Entry'!BC101)),IF('Council Entry'!BC$4="Exponential",EXP(IF(AND(ISNUMBER('Council Entry'!BC$8),ISNUMBER('Council Entry'!BC$9)),MAX(MIN('Council Entry'!BC101,'Council Entry'!BC$9),'Council Entry'!BC$8),'Council Entry'!BC101)),IF(AND(ISNUMBER('Council Entry'!BC$8),ISNUMBER('Council Entry'!BC$9)),MAX(MIN('Council Entry'!BC101,'Council Entry'!BC$9),'Council Entry'!BC$8),'Council Entry'!BC101))))-'Council Entry'!BC$5)/('Council Entry'!BC$6-'Council Entry'!BC$5),10*((IF('Council Entry'!BC$4="Logarithm",LN(0.001+IF(AND(ISNUMBER('Council Entry'!BC$8),ISNUMBER('Council Entry'!BC$9)),MAX(MIN('Council Entry'!BC101,'Council Entry'!BC$9),'Council Entry'!BC$8),'Council Entry'!BC101)),IF('Council Entry'!BC$4="Exponential",EXP(IF(AND(ISNUMBER('Council Entry'!BC$8),ISNUMBER('Council Entry'!BC$9)),MAX(MIN('Council Entry'!BC101,'Council Entry'!BC$9),'Council Entry'!BC$8),'Council Entry'!BC101)),IF(AND(ISNUMBER('Council Entry'!BC$8),ISNUMBER('Council Entry'!BC$9)),MAX(MIN('Council Entry'!BC101,'Council Entry'!BC$9),'Council Entry'!BC$8),'Council Entry'!BC101))))-'Council Entry'!BC$5)/('Council Entry'!BC$6-'Council Entry'!BC$5)),1))),"No data"))</f>
        <v/>
      </c>
      <c r="BD101" s="13">
        <f>IF('Council Entry'!BD101="","",IFERROR(MAX(0,MIN(10,ROUND(IF('Council Entry'!BD$7="Decrease Risk",10-10*((IF('Council Entry'!BD$4="Logarithm",LN(0.001+IF(AND(ISNUMBER('Council Entry'!BD$8),ISNUMBER('Council Entry'!BD$9)),MAX(MIN('Council Entry'!BD101,'Council Entry'!BD$9),'Council Entry'!BD$8),'Council Entry'!BD101)),IF('Council Entry'!BD$4="Exponential",EXP(IF(AND(ISNUMBER('Council Entry'!BD$8),ISNUMBER('Council Entry'!BD$9)),MAX(MIN('Council Entry'!BD101,'Council Entry'!BD$9),'Council Entry'!BD$8),'Council Entry'!BD101)),IF(AND(ISNUMBER('Council Entry'!BD$8),ISNUMBER('Council Entry'!BD$9)),MAX(MIN('Council Entry'!BD101,'Council Entry'!BD$9),'Council Entry'!BD$8),'Council Entry'!BD101))))-'Council Entry'!BD$5)/('Council Entry'!BD$6-'Council Entry'!BD$5),10*((IF('Council Entry'!BD$4="Logarithm",LN(0.001+IF(AND(ISNUMBER('Council Entry'!BD$8),ISNUMBER('Council Entry'!BD$9)),MAX(MIN('Council Entry'!BD101,'Council Entry'!BD$9),'Council Entry'!BD$8),'Council Entry'!BD101)),IF('Council Entry'!BD$4="Exponential",EXP(IF(AND(ISNUMBER('Council Entry'!BD$8),ISNUMBER('Council Entry'!BD$9)),MAX(MIN('Council Entry'!BD101,'Council Entry'!BD$9),'Council Entry'!BD$8),'Council Entry'!BD101)),IF(AND(ISNUMBER('Council Entry'!BD$8),ISNUMBER('Council Entry'!BD$9)),MAX(MIN('Council Entry'!BD101,'Council Entry'!BD$9),'Council Entry'!BD$8),'Council Entry'!BD101))))-'Council Entry'!BD$5)/('Council Entry'!BD$6-'Council Entry'!BD$5)),1))),"No data"))</f>
        <v/>
      </c>
    </row>
    <row r="102">
      <c r="A102" t="inlineStr">
        <is>
          <t>Mbeya</t>
        </is>
      </c>
      <c r="B102" t="inlineStr">
        <is>
          <t>Kyela District</t>
        </is>
      </c>
      <c r="C102" t="inlineStr">
        <is>
          <t>C088</t>
        </is>
      </c>
      <c r="D102" s="13">
        <f>IF('Council Entry'!D102="","",IFERROR(MAX(0,MIN(10,ROUND(IF('Council Entry'!D$7="Decrease Risk",10-10*((IF('Council Entry'!D$4="Logarithm",LN(0.001+IF(AND(ISNUMBER('Council Entry'!D$8),ISNUMBER('Council Entry'!D$9)),MAX(MIN('Council Entry'!D102,'Council Entry'!D$9),'Council Entry'!D$8),'Council Entry'!D102)),IF('Council Entry'!D$4="Exponential",EXP(IF(AND(ISNUMBER('Council Entry'!D$8),ISNUMBER('Council Entry'!D$9)),MAX(MIN('Council Entry'!D102,'Council Entry'!D$9),'Council Entry'!D$8),'Council Entry'!D102)),IF(AND(ISNUMBER('Council Entry'!D$8),ISNUMBER('Council Entry'!D$9)),MAX(MIN('Council Entry'!D102,'Council Entry'!D$9),'Council Entry'!D$8),'Council Entry'!D102))))-'Council Entry'!D$5)/('Council Entry'!D$6-'Council Entry'!D$5),10*((IF('Council Entry'!D$4="Logarithm",LN(0.001+IF(AND(ISNUMBER('Council Entry'!D$8),ISNUMBER('Council Entry'!D$9)),MAX(MIN('Council Entry'!D102,'Council Entry'!D$9),'Council Entry'!D$8),'Council Entry'!D102)),IF('Council Entry'!D$4="Exponential",EXP(IF(AND(ISNUMBER('Council Entry'!D$8),ISNUMBER('Council Entry'!D$9)),MAX(MIN('Council Entry'!D102,'Council Entry'!D$9),'Council Entry'!D$8),'Council Entry'!D102)),IF(AND(ISNUMBER('Council Entry'!D$8),ISNUMBER('Council Entry'!D$9)),MAX(MIN('Council Entry'!D102,'Council Entry'!D$9),'Council Entry'!D$8),'Council Entry'!D102))))-'Council Entry'!D$5)/('Council Entry'!D$6-'Council Entry'!D$5)),1))),"No data"))</f>
        <v/>
      </c>
      <c r="E102" s="13">
        <f>IF('Council Entry'!E102="","",IFERROR(MAX(0,MIN(10,ROUND(IF('Council Entry'!E$7="Decrease Risk",10-10*((IF('Council Entry'!E$4="Logarithm",LN(0.001+IF(AND(ISNUMBER('Council Entry'!E$8),ISNUMBER('Council Entry'!E$9)),MAX(MIN('Council Entry'!E102,'Council Entry'!E$9),'Council Entry'!E$8),'Council Entry'!E102)),IF('Council Entry'!E$4="Exponential",EXP(IF(AND(ISNUMBER('Council Entry'!E$8),ISNUMBER('Council Entry'!E$9)),MAX(MIN('Council Entry'!E102,'Council Entry'!E$9),'Council Entry'!E$8),'Council Entry'!E102)),IF(AND(ISNUMBER('Council Entry'!E$8),ISNUMBER('Council Entry'!E$9)),MAX(MIN('Council Entry'!E102,'Council Entry'!E$9),'Council Entry'!E$8),'Council Entry'!E102))))-'Council Entry'!E$5)/('Council Entry'!E$6-'Council Entry'!E$5),10*((IF('Council Entry'!E$4="Logarithm",LN(0.001+IF(AND(ISNUMBER('Council Entry'!E$8),ISNUMBER('Council Entry'!E$9)),MAX(MIN('Council Entry'!E102,'Council Entry'!E$9),'Council Entry'!E$8),'Council Entry'!E102)),IF('Council Entry'!E$4="Exponential",EXP(IF(AND(ISNUMBER('Council Entry'!E$8),ISNUMBER('Council Entry'!E$9)),MAX(MIN('Council Entry'!E102,'Council Entry'!E$9),'Council Entry'!E$8),'Council Entry'!E102)),IF(AND(ISNUMBER('Council Entry'!E$8),ISNUMBER('Council Entry'!E$9)),MAX(MIN('Council Entry'!E102,'Council Entry'!E$9),'Council Entry'!E$8),'Council Entry'!E102))))-'Council Entry'!E$5)/('Council Entry'!E$6-'Council Entry'!E$5)),1))),"No data"))</f>
        <v/>
      </c>
      <c r="F102" s="13">
        <f>IF('Council Entry'!F102="","",IFERROR(MAX(0,MIN(10,ROUND(IF('Council Entry'!F$7="Decrease Risk",10-10*((IF('Council Entry'!F$4="Logarithm",LN(0.001+IF(AND(ISNUMBER('Council Entry'!F$8),ISNUMBER('Council Entry'!F$9)),MAX(MIN('Council Entry'!F102,'Council Entry'!F$9),'Council Entry'!F$8),'Council Entry'!F102)),IF('Council Entry'!F$4="Exponential",EXP(IF(AND(ISNUMBER('Council Entry'!F$8),ISNUMBER('Council Entry'!F$9)),MAX(MIN('Council Entry'!F102,'Council Entry'!F$9),'Council Entry'!F$8),'Council Entry'!F102)),IF(AND(ISNUMBER('Council Entry'!F$8),ISNUMBER('Council Entry'!F$9)),MAX(MIN('Council Entry'!F102,'Council Entry'!F$9),'Council Entry'!F$8),'Council Entry'!F102))))-'Council Entry'!F$5)/('Council Entry'!F$6-'Council Entry'!F$5),10*((IF('Council Entry'!F$4="Logarithm",LN(0.001+IF(AND(ISNUMBER('Council Entry'!F$8),ISNUMBER('Council Entry'!F$9)),MAX(MIN('Council Entry'!F102,'Council Entry'!F$9),'Council Entry'!F$8),'Council Entry'!F102)),IF('Council Entry'!F$4="Exponential",EXP(IF(AND(ISNUMBER('Council Entry'!F$8),ISNUMBER('Council Entry'!F$9)),MAX(MIN('Council Entry'!F102,'Council Entry'!F$9),'Council Entry'!F$8),'Council Entry'!F102)),IF(AND(ISNUMBER('Council Entry'!F$8),ISNUMBER('Council Entry'!F$9)),MAX(MIN('Council Entry'!F102,'Council Entry'!F$9),'Council Entry'!F$8),'Council Entry'!F102))))-'Council Entry'!F$5)/('Council Entry'!F$6-'Council Entry'!F$5)),1))),"No data"))</f>
        <v/>
      </c>
      <c r="G102" s="13">
        <f>IF('Council Entry'!G102="","",IFERROR(MAX(0,MIN(10,ROUND(IF('Council Entry'!G$7="Decrease Risk",10-10*((IF('Council Entry'!G$4="Logarithm",LN(0.001+IF(AND(ISNUMBER('Council Entry'!G$8),ISNUMBER('Council Entry'!G$9)),MAX(MIN('Council Entry'!G102,'Council Entry'!G$9),'Council Entry'!G$8),'Council Entry'!G102)),IF('Council Entry'!G$4="Exponential",EXP(IF(AND(ISNUMBER('Council Entry'!G$8),ISNUMBER('Council Entry'!G$9)),MAX(MIN('Council Entry'!G102,'Council Entry'!G$9),'Council Entry'!G$8),'Council Entry'!G102)),IF(AND(ISNUMBER('Council Entry'!G$8),ISNUMBER('Council Entry'!G$9)),MAX(MIN('Council Entry'!G102,'Council Entry'!G$9),'Council Entry'!G$8),'Council Entry'!G102))))-'Council Entry'!G$5)/('Council Entry'!G$6-'Council Entry'!G$5),10*((IF('Council Entry'!G$4="Logarithm",LN(0.001+IF(AND(ISNUMBER('Council Entry'!G$8),ISNUMBER('Council Entry'!G$9)),MAX(MIN('Council Entry'!G102,'Council Entry'!G$9),'Council Entry'!G$8),'Council Entry'!G102)),IF('Council Entry'!G$4="Exponential",EXP(IF(AND(ISNUMBER('Council Entry'!G$8),ISNUMBER('Council Entry'!G$9)),MAX(MIN('Council Entry'!G102,'Council Entry'!G$9),'Council Entry'!G$8),'Council Entry'!G102)),IF(AND(ISNUMBER('Council Entry'!G$8),ISNUMBER('Council Entry'!G$9)),MAX(MIN('Council Entry'!G102,'Council Entry'!G$9),'Council Entry'!G$8),'Council Entry'!G102))))-'Council Entry'!G$5)/('Council Entry'!G$6-'Council Entry'!G$5)),1))),"No data"))</f>
        <v/>
      </c>
      <c r="H102" s="13">
        <f>IF('Council Entry'!H102="","",IFERROR(MAX(0,MIN(10,ROUND(IF('Council Entry'!H$7="Decrease Risk",10-10*((IF('Council Entry'!H$4="Logarithm",LN(0.001+IF(AND(ISNUMBER('Council Entry'!H$8),ISNUMBER('Council Entry'!H$9)),MAX(MIN('Council Entry'!H102,'Council Entry'!H$9),'Council Entry'!H$8),'Council Entry'!H102)),IF('Council Entry'!H$4="Exponential",EXP(IF(AND(ISNUMBER('Council Entry'!H$8),ISNUMBER('Council Entry'!H$9)),MAX(MIN('Council Entry'!H102,'Council Entry'!H$9),'Council Entry'!H$8),'Council Entry'!H102)),IF(AND(ISNUMBER('Council Entry'!H$8),ISNUMBER('Council Entry'!H$9)),MAX(MIN('Council Entry'!H102,'Council Entry'!H$9),'Council Entry'!H$8),'Council Entry'!H102))))-'Council Entry'!H$5)/('Council Entry'!H$6-'Council Entry'!H$5),10*((IF('Council Entry'!H$4="Logarithm",LN(0.001+IF(AND(ISNUMBER('Council Entry'!H$8),ISNUMBER('Council Entry'!H$9)),MAX(MIN('Council Entry'!H102,'Council Entry'!H$9),'Council Entry'!H$8),'Council Entry'!H102)),IF('Council Entry'!H$4="Exponential",EXP(IF(AND(ISNUMBER('Council Entry'!H$8),ISNUMBER('Council Entry'!H$9)),MAX(MIN('Council Entry'!H102,'Council Entry'!H$9),'Council Entry'!H$8),'Council Entry'!H102)),IF(AND(ISNUMBER('Council Entry'!H$8),ISNUMBER('Council Entry'!H$9)),MAX(MIN('Council Entry'!H102,'Council Entry'!H$9),'Council Entry'!H$8),'Council Entry'!H102))))-'Council Entry'!H$5)/('Council Entry'!H$6-'Council Entry'!H$5)),1))),"No data"))</f>
        <v/>
      </c>
      <c r="I102" s="13">
        <f>IF('Council Entry'!I102="","",IFERROR(MAX(0,MIN(10,ROUND(IF('Council Entry'!I$7="Decrease Risk",10-10*((IF('Council Entry'!I$4="Logarithm",LN(0.001+IF(AND(ISNUMBER('Council Entry'!I$8),ISNUMBER('Council Entry'!I$9)),MAX(MIN('Council Entry'!I102,'Council Entry'!I$9),'Council Entry'!I$8),'Council Entry'!I102)),IF('Council Entry'!I$4="Exponential",EXP(IF(AND(ISNUMBER('Council Entry'!I$8),ISNUMBER('Council Entry'!I$9)),MAX(MIN('Council Entry'!I102,'Council Entry'!I$9),'Council Entry'!I$8),'Council Entry'!I102)),IF(AND(ISNUMBER('Council Entry'!I$8),ISNUMBER('Council Entry'!I$9)),MAX(MIN('Council Entry'!I102,'Council Entry'!I$9),'Council Entry'!I$8),'Council Entry'!I102))))-'Council Entry'!I$5)/('Council Entry'!I$6-'Council Entry'!I$5),10*((IF('Council Entry'!I$4="Logarithm",LN(0.001+IF(AND(ISNUMBER('Council Entry'!I$8),ISNUMBER('Council Entry'!I$9)),MAX(MIN('Council Entry'!I102,'Council Entry'!I$9),'Council Entry'!I$8),'Council Entry'!I102)),IF('Council Entry'!I$4="Exponential",EXP(IF(AND(ISNUMBER('Council Entry'!I$8),ISNUMBER('Council Entry'!I$9)),MAX(MIN('Council Entry'!I102,'Council Entry'!I$9),'Council Entry'!I$8),'Council Entry'!I102)),IF(AND(ISNUMBER('Council Entry'!I$8),ISNUMBER('Council Entry'!I$9)),MAX(MIN('Council Entry'!I102,'Council Entry'!I$9),'Council Entry'!I$8),'Council Entry'!I102))))-'Council Entry'!I$5)/('Council Entry'!I$6-'Council Entry'!I$5)),1))),"No data"))</f>
        <v/>
      </c>
      <c r="J102" s="13">
        <f>IF('Council Entry'!J102="","",IFERROR(MAX(0,MIN(10,ROUND(IF('Council Entry'!J$7="Decrease Risk",10-10*((IF('Council Entry'!J$4="Logarithm",LN(0.001+IF(AND(ISNUMBER('Council Entry'!J$8),ISNUMBER('Council Entry'!J$9)),MAX(MIN('Council Entry'!J102,'Council Entry'!J$9),'Council Entry'!J$8),'Council Entry'!J102)),IF('Council Entry'!J$4="Exponential",EXP(IF(AND(ISNUMBER('Council Entry'!J$8),ISNUMBER('Council Entry'!J$9)),MAX(MIN('Council Entry'!J102,'Council Entry'!J$9),'Council Entry'!J$8),'Council Entry'!J102)),IF(AND(ISNUMBER('Council Entry'!J$8),ISNUMBER('Council Entry'!J$9)),MAX(MIN('Council Entry'!J102,'Council Entry'!J$9),'Council Entry'!J$8),'Council Entry'!J102))))-'Council Entry'!J$5)/('Council Entry'!J$6-'Council Entry'!J$5),10*((IF('Council Entry'!J$4="Logarithm",LN(0.001+IF(AND(ISNUMBER('Council Entry'!J$8),ISNUMBER('Council Entry'!J$9)),MAX(MIN('Council Entry'!J102,'Council Entry'!J$9),'Council Entry'!J$8),'Council Entry'!J102)),IF('Council Entry'!J$4="Exponential",EXP(IF(AND(ISNUMBER('Council Entry'!J$8),ISNUMBER('Council Entry'!J$9)),MAX(MIN('Council Entry'!J102,'Council Entry'!J$9),'Council Entry'!J$8),'Council Entry'!J102)),IF(AND(ISNUMBER('Council Entry'!J$8),ISNUMBER('Council Entry'!J$9)),MAX(MIN('Council Entry'!J102,'Council Entry'!J$9),'Council Entry'!J$8),'Council Entry'!J102))))-'Council Entry'!J$5)/('Council Entry'!J$6-'Council Entry'!J$5)),1))),"No data"))</f>
        <v/>
      </c>
      <c r="K102" s="13">
        <f>IF('Council Entry'!K102="","",IFERROR(MAX(0,MIN(10,ROUND(IF('Council Entry'!K$7="Decrease Risk",10-10*((IF('Council Entry'!K$4="Logarithm",LN(0.001+IF(AND(ISNUMBER('Council Entry'!K$8),ISNUMBER('Council Entry'!K$9)),MAX(MIN('Council Entry'!K102,'Council Entry'!K$9),'Council Entry'!K$8),'Council Entry'!K102)),IF('Council Entry'!K$4="Exponential",EXP(IF(AND(ISNUMBER('Council Entry'!K$8),ISNUMBER('Council Entry'!K$9)),MAX(MIN('Council Entry'!K102,'Council Entry'!K$9),'Council Entry'!K$8),'Council Entry'!K102)),IF(AND(ISNUMBER('Council Entry'!K$8),ISNUMBER('Council Entry'!K$9)),MAX(MIN('Council Entry'!K102,'Council Entry'!K$9),'Council Entry'!K$8),'Council Entry'!K102))))-'Council Entry'!K$5)/('Council Entry'!K$6-'Council Entry'!K$5),10*((IF('Council Entry'!K$4="Logarithm",LN(0.001+IF(AND(ISNUMBER('Council Entry'!K$8),ISNUMBER('Council Entry'!K$9)),MAX(MIN('Council Entry'!K102,'Council Entry'!K$9),'Council Entry'!K$8),'Council Entry'!K102)),IF('Council Entry'!K$4="Exponential",EXP(IF(AND(ISNUMBER('Council Entry'!K$8),ISNUMBER('Council Entry'!K$9)),MAX(MIN('Council Entry'!K102,'Council Entry'!K$9),'Council Entry'!K$8),'Council Entry'!K102)),IF(AND(ISNUMBER('Council Entry'!K$8),ISNUMBER('Council Entry'!K$9)),MAX(MIN('Council Entry'!K102,'Council Entry'!K$9),'Council Entry'!K$8),'Council Entry'!K102))))-'Council Entry'!K$5)/('Council Entry'!K$6-'Council Entry'!K$5)),1))),"No data"))</f>
        <v/>
      </c>
      <c r="L102" s="13">
        <f>IF('Council Entry'!L102="","",IFERROR(MAX(0,MIN(10,ROUND(IF('Council Entry'!L$7="Decrease Risk",10-10*((IF('Council Entry'!L$4="Logarithm",LN(0.001+IF(AND(ISNUMBER('Council Entry'!L$8),ISNUMBER('Council Entry'!L$9)),MAX(MIN('Council Entry'!L102,'Council Entry'!L$9),'Council Entry'!L$8),'Council Entry'!L102)),IF('Council Entry'!L$4="Exponential",EXP(IF(AND(ISNUMBER('Council Entry'!L$8),ISNUMBER('Council Entry'!L$9)),MAX(MIN('Council Entry'!L102,'Council Entry'!L$9),'Council Entry'!L$8),'Council Entry'!L102)),IF(AND(ISNUMBER('Council Entry'!L$8),ISNUMBER('Council Entry'!L$9)),MAX(MIN('Council Entry'!L102,'Council Entry'!L$9),'Council Entry'!L$8),'Council Entry'!L102))))-'Council Entry'!L$5)/('Council Entry'!L$6-'Council Entry'!L$5),10*((IF('Council Entry'!L$4="Logarithm",LN(0.001+IF(AND(ISNUMBER('Council Entry'!L$8),ISNUMBER('Council Entry'!L$9)),MAX(MIN('Council Entry'!L102,'Council Entry'!L$9),'Council Entry'!L$8),'Council Entry'!L102)),IF('Council Entry'!L$4="Exponential",EXP(IF(AND(ISNUMBER('Council Entry'!L$8),ISNUMBER('Council Entry'!L$9)),MAX(MIN('Council Entry'!L102,'Council Entry'!L$9),'Council Entry'!L$8),'Council Entry'!L102)),IF(AND(ISNUMBER('Council Entry'!L$8),ISNUMBER('Council Entry'!L$9)),MAX(MIN('Council Entry'!L102,'Council Entry'!L$9),'Council Entry'!L$8),'Council Entry'!L102))))-'Council Entry'!L$5)/('Council Entry'!L$6-'Council Entry'!L$5)),1))),"No data"))</f>
        <v/>
      </c>
      <c r="M102" s="13">
        <f>IF('Council Entry'!M102="","",IFERROR(MAX(0,MIN(10,ROUND(IF('Council Entry'!M$7="Decrease Risk",10-10*((IF('Council Entry'!M$4="Logarithm",LN(0.001+IF(AND(ISNUMBER('Council Entry'!M$8),ISNUMBER('Council Entry'!M$9)),MAX(MIN('Council Entry'!M102,'Council Entry'!M$9),'Council Entry'!M$8),'Council Entry'!M102)),IF('Council Entry'!M$4="Exponential",EXP(IF(AND(ISNUMBER('Council Entry'!M$8),ISNUMBER('Council Entry'!M$9)),MAX(MIN('Council Entry'!M102,'Council Entry'!M$9),'Council Entry'!M$8),'Council Entry'!M102)),IF(AND(ISNUMBER('Council Entry'!M$8),ISNUMBER('Council Entry'!M$9)),MAX(MIN('Council Entry'!M102,'Council Entry'!M$9),'Council Entry'!M$8),'Council Entry'!M102))))-'Council Entry'!M$5)/('Council Entry'!M$6-'Council Entry'!M$5),10*((IF('Council Entry'!M$4="Logarithm",LN(0.001+IF(AND(ISNUMBER('Council Entry'!M$8),ISNUMBER('Council Entry'!M$9)),MAX(MIN('Council Entry'!M102,'Council Entry'!M$9),'Council Entry'!M$8),'Council Entry'!M102)),IF('Council Entry'!M$4="Exponential",EXP(IF(AND(ISNUMBER('Council Entry'!M$8),ISNUMBER('Council Entry'!M$9)),MAX(MIN('Council Entry'!M102,'Council Entry'!M$9),'Council Entry'!M$8),'Council Entry'!M102)),IF(AND(ISNUMBER('Council Entry'!M$8),ISNUMBER('Council Entry'!M$9)),MAX(MIN('Council Entry'!M102,'Council Entry'!M$9),'Council Entry'!M$8),'Council Entry'!M102))))-'Council Entry'!M$5)/('Council Entry'!M$6-'Council Entry'!M$5)),1))),"No data"))</f>
        <v/>
      </c>
      <c r="N102" s="13">
        <f>IF('Council Entry'!N102="","",IFERROR(MAX(0,MIN(10,ROUND(IF('Council Entry'!N$7="Decrease Risk",10-10*((IF('Council Entry'!N$4="Logarithm",LN(0.001+IF(AND(ISNUMBER('Council Entry'!N$8),ISNUMBER('Council Entry'!N$9)),MAX(MIN('Council Entry'!N102,'Council Entry'!N$9),'Council Entry'!N$8),'Council Entry'!N102)),IF('Council Entry'!N$4="Exponential",EXP(IF(AND(ISNUMBER('Council Entry'!N$8),ISNUMBER('Council Entry'!N$9)),MAX(MIN('Council Entry'!N102,'Council Entry'!N$9),'Council Entry'!N$8),'Council Entry'!N102)),IF(AND(ISNUMBER('Council Entry'!N$8),ISNUMBER('Council Entry'!N$9)),MAX(MIN('Council Entry'!N102,'Council Entry'!N$9),'Council Entry'!N$8),'Council Entry'!N102))))-'Council Entry'!N$5)/('Council Entry'!N$6-'Council Entry'!N$5),10*((IF('Council Entry'!N$4="Logarithm",LN(0.001+IF(AND(ISNUMBER('Council Entry'!N$8),ISNUMBER('Council Entry'!N$9)),MAX(MIN('Council Entry'!N102,'Council Entry'!N$9),'Council Entry'!N$8),'Council Entry'!N102)),IF('Council Entry'!N$4="Exponential",EXP(IF(AND(ISNUMBER('Council Entry'!N$8),ISNUMBER('Council Entry'!N$9)),MAX(MIN('Council Entry'!N102,'Council Entry'!N$9),'Council Entry'!N$8),'Council Entry'!N102)),IF(AND(ISNUMBER('Council Entry'!N$8),ISNUMBER('Council Entry'!N$9)),MAX(MIN('Council Entry'!N102,'Council Entry'!N$9),'Council Entry'!N$8),'Council Entry'!N102))))-'Council Entry'!N$5)/('Council Entry'!N$6-'Council Entry'!N$5)),1))),"No data"))</f>
        <v/>
      </c>
      <c r="O102" s="13">
        <f>IF('Council Entry'!O102="","",IFERROR(MAX(0,MIN(10,ROUND(IF('Council Entry'!O$7="Decrease Risk",10-10*((IF('Council Entry'!O$4="Logarithm",LN(0.001+IF(AND(ISNUMBER('Council Entry'!O$8),ISNUMBER('Council Entry'!O$9)),MAX(MIN('Council Entry'!O102,'Council Entry'!O$9),'Council Entry'!O$8),'Council Entry'!O102)),IF('Council Entry'!O$4="Exponential",EXP(IF(AND(ISNUMBER('Council Entry'!O$8),ISNUMBER('Council Entry'!O$9)),MAX(MIN('Council Entry'!O102,'Council Entry'!O$9),'Council Entry'!O$8),'Council Entry'!O102)),IF(AND(ISNUMBER('Council Entry'!O$8),ISNUMBER('Council Entry'!O$9)),MAX(MIN('Council Entry'!O102,'Council Entry'!O$9),'Council Entry'!O$8),'Council Entry'!O102))))-'Council Entry'!O$5)/('Council Entry'!O$6-'Council Entry'!O$5),10*((IF('Council Entry'!O$4="Logarithm",LN(0.001+IF(AND(ISNUMBER('Council Entry'!O$8),ISNUMBER('Council Entry'!O$9)),MAX(MIN('Council Entry'!O102,'Council Entry'!O$9),'Council Entry'!O$8),'Council Entry'!O102)),IF('Council Entry'!O$4="Exponential",EXP(IF(AND(ISNUMBER('Council Entry'!O$8),ISNUMBER('Council Entry'!O$9)),MAX(MIN('Council Entry'!O102,'Council Entry'!O$9),'Council Entry'!O$8),'Council Entry'!O102)),IF(AND(ISNUMBER('Council Entry'!O$8),ISNUMBER('Council Entry'!O$9)),MAX(MIN('Council Entry'!O102,'Council Entry'!O$9),'Council Entry'!O$8),'Council Entry'!O102))))-'Council Entry'!O$5)/('Council Entry'!O$6-'Council Entry'!O$5)),1))),"No data"))</f>
        <v/>
      </c>
      <c r="P102" s="13">
        <f>IF('Council Entry'!P102="","",IFERROR(MAX(0,MIN(10,ROUND(IF('Council Entry'!P$7="Decrease Risk",10-10*((IF('Council Entry'!P$4="Logarithm",LN(0.001+IF(AND(ISNUMBER('Council Entry'!P$8),ISNUMBER('Council Entry'!P$9)),MAX(MIN('Council Entry'!P102,'Council Entry'!P$9),'Council Entry'!P$8),'Council Entry'!P102)),IF('Council Entry'!P$4="Exponential",EXP(IF(AND(ISNUMBER('Council Entry'!P$8),ISNUMBER('Council Entry'!P$9)),MAX(MIN('Council Entry'!P102,'Council Entry'!P$9),'Council Entry'!P$8),'Council Entry'!P102)),IF(AND(ISNUMBER('Council Entry'!P$8),ISNUMBER('Council Entry'!P$9)),MAX(MIN('Council Entry'!P102,'Council Entry'!P$9),'Council Entry'!P$8),'Council Entry'!P102))))-'Council Entry'!P$5)/('Council Entry'!P$6-'Council Entry'!P$5),10*((IF('Council Entry'!P$4="Logarithm",LN(0.001+IF(AND(ISNUMBER('Council Entry'!P$8),ISNUMBER('Council Entry'!P$9)),MAX(MIN('Council Entry'!P102,'Council Entry'!P$9),'Council Entry'!P$8),'Council Entry'!P102)),IF('Council Entry'!P$4="Exponential",EXP(IF(AND(ISNUMBER('Council Entry'!P$8),ISNUMBER('Council Entry'!P$9)),MAX(MIN('Council Entry'!P102,'Council Entry'!P$9),'Council Entry'!P$8),'Council Entry'!P102)),IF(AND(ISNUMBER('Council Entry'!P$8),ISNUMBER('Council Entry'!P$9)),MAX(MIN('Council Entry'!P102,'Council Entry'!P$9),'Council Entry'!P$8),'Council Entry'!P102))))-'Council Entry'!P$5)/('Council Entry'!P$6-'Council Entry'!P$5)),1))),"No data"))</f>
        <v/>
      </c>
      <c r="Q102" s="13">
        <f>IF('Council Entry'!Q102="","",IFERROR(MAX(0,MIN(10,ROUND(IF('Council Entry'!Q$7="Decrease Risk",10-10*((IF('Council Entry'!Q$4="Logarithm",LN(0.001+IF(AND(ISNUMBER('Council Entry'!Q$8),ISNUMBER('Council Entry'!Q$9)),MAX(MIN('Council Entry'!Q102,'Council Entry'!Q$9),'Council Entry'!Q$8),'Council Entry'!Q102)),IF('Council Entry'!Q$4="Exponential",EXP(IF(AND(ISNUMBER('Council Entry'!Q$8),ISNUMBER('Council Entry'!Q$9)),MAX(MIN('Council Entry'!Q102,'Council Entry'!Q$9),'Council Entry'!Q$8),'Council Entry'!Q102)),IF(AND(ISNUMBER('Council Entry'!Q$8),ISNUMBER('Council Entry'!Q$9)),MAX(MIN('Council Entry'!Q102,'Council Entry'!Q$9),'Council Entry'!Q$8),'Council Entry'!Q102))))-'Council Entry'!Q$5)/('Council Entry'!Q$6-'Council Entry'!Q$5),10*((IF('Council Entry'!Q$4="Logarithm",LN(0.001+IF(AND(ISNUMBER('Council Entry'!Q$8),ISNUMBER('Council Entry'!Q$9)),MAX(MIN('Council Entry'!Q102,'Council Entry'!Q$9),'Council Entry'!Q$8),'Council Entry'!Q102)),IF('Council Entry'!Q$4="Exponential",EXP(IF(AND(ISNUMBER('Council Entry'!Q$8),ISNUMBER('Council Entry'!Q$9)),MAX(MIN('Council Entry'!Q102,'Council Entry'!Q$9),'Council Entry'!Q$8),'Council Entry'!Q102)),IF(AND(ISNUMBER('Council Entry'!Q$8),ISNUMBER('Council Entry'!Q$9)),MAX(MIN('Council Entry'!Q102,'Council Entry'!Q$9),'Council Entry'!Q$8),'Council Entry'!Q102))))-'Council Entry'!Q$5)/('Council Entry'!Q$6-'Council Entry'!Q$5)),1))),"No data"))</f>
        <v/>
      </c>
      <c r="R102" s="13">
        <f>IF('Council Entry'!R102="","",IFERROR(MAX(0,MIN(10,ROUND(IF('Council Entry'!R$7="Decrease Risk",10-10*((IF('Council Entry'!R$4="Logarithm",LN(0.001+IF(AND(ISNUMBER('Council Entry'!R$8),ISNUMBER('Council Entry'!R$9)),MAX(MIN('Council Entry'!R102,'Council Entry'!R$9),'Council Entry'!R$8),'Council Entry'!R102)),IF('Council Entry'!R$4="Exponential",EXP(IF(AND(ISNUMBER('Council Entry'!R$8),ISNUMBER('Council Entry'!R$9)),MAX(MIN('Council Entry'!R102,'Council Entry'!R$9),'Council Entry'!R$8),'Council Entry'!R102)),IF(AND(ISNUMBER('Council Entry'!R$8),ISNUMBER('Council Entry'!R$9)),MAX(MIN('Council Entry'!R102,'Council Entry'!R$9),'Council Entry'!R$8),'Council Entry'!R102))))-'Council Entry'!R$5)/('Council Entry'!R$6-'Council Entry'!R$5),10*((IF('Council Entry'!R$4="Logarithm",LN(0.001+IF(AND(ISNUMBER('Council Entry'!R$8),ISNUMBER('Council Entry'!R$9)),MAX(MIN('Council Entry'!R102,'Council Entry'!R$9),'Council Entry'!R$8),'Council Entry'!R102)),IF('Council Entry'!R$4="Exponential",EXP(IF(AND(ISNUMBER('Council Entry'!R$8),ISNUMBER('Council Entry'!R$9)),MAX(MIN('Council Entry'!R102,'Council Entry'!R$9),'Council Entry'!R$8),'Council Entry'!R102)),IF(AND(ISNUMBER('Council Entry'!R$8),ISNUMBER('Council Entry'!R$9)),MAX(MIN('Council Entry'!R102,'Council Entry'!R$9),'Council Entry'!R$8),'Council Entry'!R102))))-'Council Entry'!R$5)/('Council Entry'!R$6-'Council Entry'!R$5)),1))),"No data"))</f>
        <v/>
      </c>
      <c r="S102" s="13">
        <f>IF('Council Entry'!S102="","",IFERROR(MAX(0,MIN(10,ROUND(IF('Council Entry'!S$7="Decrease Risk",10-10*((IF('Council Entry'!S$4="Logarithm",LN(0.001+IF(AND(ISNUMBER('Council Entry'!S$8),ISNUMBER('Council Entry'!S$9)),MAX(MIN('Council Entry'!S102,'Council Entry'!S$9),'Council Entry'!S$8),'Council Entry'!S102)),IF('Council Entry'!S$4="Exponential",EXP(IF(AND(ISNUMBER('Council Entry'!S$8),ISNUMBER('Council Entry'!S$9)),MAX(MIN('Council Entry'!S102,'Council Entry'!S$9),'Council Entry'!S$8),'Council Entry'!S102)),IF(AND(ISNUMBER('Council Entry'!S$8),ISNUMBER('Council Entry'!S$9)),MAX(MIN('Council Entry'!S102,'Council Entry'!S$9),'Council Entry'!S$8),'Council Entry'!S102))))-'Council Entry'!S$5)/('Council Entry'!S$6-'Council Entry'!S$5),10*((IF('Council Entry'!S$4="Logarithm",LN(0.001+IF(AND(ISNUMBER('Council Entry'!S$8),ISNUMBER('Council Entry'!S$9)),MAX(MIN('Council Entry'!S102,'Council Entry'!S$9),'Council Entry'!S$8),'Council Entry'!S102)),IF('Council Entry'!S$4="Exponential",EXP(IF(AND(ISNUMBER('Council Entry'!S$8),ISNUMBER('Council Entry'!S$9)),MAX(MIN('Council Entry'!S102,'Council Entry'!S$9),'Council Entry'!S$8),'Council Entry'!S102)),IF(AND(ISNUMBER('Council Entry'!S$8),ISNUMBER('Council Entry'!S$9)),MAX(MIN('Council Entry'!S102,'Council Entry'!S$9),'Council Entry'!S$8),'Council Entry'!S102))))-'Council Entry'!S$5)/('Council Entry'!S$6-'Council Entry'!S$5)),1))),"No data"))</f>
        <v/>
      </c>
      <c r="T102" s="13">
        <f>IF('Council Entry'!T102="","",IFERROR(MAX(0,MIN(10,ROUND(IF('Council Entry'!T$7="Decrease Risk",10-10*((IF('Council Entry'!T$4="Logarithm",LN(0.001+IF(AND(ISNUMBER('Council Entry'!T$8),ISNUMBER('Council Entry'!T$9)),MAX(MIN('Council Entry'!T102,'Council Entry'!T$9),'Council Entry'!T$8),'Council Entry'!T102)),IF('Council Entry'!T$4="Exponential",EXP(IF(AND(ISNUMBER('Council Entry'!T$8),ISNUMBER('Council Entry'!T$9)),MAX(MIN('Council Entry'!T102,'Council Entry'!T$9),'Council Entry'!T$8),'Council Entry'!T102)),IF(AND(ISNUMBER('Council Entry'!T$8),ISNUMBER('Council Entry'!T$9)),MAX(MIN('Council Entry'!T102,'Council Entry'!T$9),'Council Entry'!T$8),'Council Entry'!T102))))-'Council Entry'!T$5)/('Council Entry'!T$6-'Council Entry'!T$5),10*((IF('Council Entry'!T$4="Logarithm",LN(0.001+IF(AND(ISNUMBER('Council Entry'!T$8),ISNUMBER('Council Entry'!T$9)),MAX(MIN('Council Entry'!T102,'Council Entry'!T$9),'Council Entry'!T$8),'Council Entry'!T102)),IF('Council Entry'!T$4="Exponential",EXP(IF(AND(ISNUMBER('Council Entry'!T$8),ISNUMBER('Council Entry'!T$9)),MAX(MIN('Council Entry'!T102,'Council Entry'!T$9),'Council Entry'!T$8),'Council Entry'!T102)),IF(AND(ISNUMBER('Council Entry'!T$8),ISNUMBER('Council Entry'!T$9)),MAX(MIN('Council Entry'!T102,'Council Entry'!T$9),'Council Entry'!T$8),'Council Entry'!T102))))-'Council Entry'!T$5)/('Council Entry'!T$6-'Council Entry'!T$5)),1))),"No data"))</f>
        <v/>
      </c>
      <c r="U102" s="13">
        <f>IF('Council Entry'!U102="","",IFERROR(MAX(0,MIN(10,ROUND(IF('Council Entry'!U$7="Decrease Risk",10-10*((IF('Council Entry'!U$4="Logarithm",LN(0.001+IF(AND(ISNUMBER('Council Entry'!U$8),ISNUMBER('Council Entry'!U$9)),MAX(MIN('Council Entry'!U102,'Council Entry'!U$9),'Council Entry'!U$8),'Council Entry'!U102)),IF('Council Entry'!U$4="Exponential",EXP(IF(AND(ISNUMBER('Council Entry'!U$8),ISNUMBER('Council Entry'!U$9)),MAX(MIN('Council Entry'!U102,'Council Entry'!U$9),'Council Entry'!U$8),'Council Entry'!U102)),IF(AND(ISNUMBER('Council Entry'!U$8),ISNUMBER('Council Entry'!U$9)),MAX(MIN('Council Entry'!U102,'Council Entry'!U$9),'Council Entry'!U$8),'Council Entry'!U102))))-'Council Entry'!U$5)/('Council Entry'!U$6-'Council Entry'!U$5),10*((IF('Council Entry'!U$4="Logarithm",LN(0.001+IF(AND(ISNUMBER('Council Entry'!U$8),ISNUMBER('Council Entry'!U$9)),MAX(MIN('Council Entry'!U102,'Council Entry'!U$9),'Council Entry'!U$8),'Council Entry'!U102)),IF('Council Entry'!U$4="Exponential",EXP(IF(AND(ISNUMBER('Council Entry'!U$8),ISNUMBER('Council Entry'!U$9)),MAX(MIN('Council Entry'!U102,'Council Entry'!U$9),'Council Entry'!U$8),'Council Entry'!U102)),IF(AND(ISNUMBER('Council Entry'!U$8),ISNUMBER('Council Entry'!U$9)),MAX(MIN('Council Entry'!U102,'Council Entry'!U$9),'Council Entry'!U$8),'Council Entry'!U102))))-'Council Entry'!U$5)/('Council Entry'!U$6-'Council Entry'!U$5)),1))),"No data"))</f>
        <v/>
      </c>
      <c r="V102" s="13">
        <f>IF('Council Entry'!V102="","",IFERROR(MAX(0,MIN(10,ROUND(IF('Council Entry'!V$7="Decrease Risk",10-10*((IF('Council Entry'!V$4="Logarithm",LN(0.001+IF(AND(ISNUMBER('Council Entry'!V$8),ISNUMBER('Council Entry'!V$9)),MAX(MIN('Council Entry'!V102,'Council Entry'!V$9),'Council Entry'!V$8),'Council Entry'!V102)),IF('Council Entry'!V$4="Exponential",EXP(IF(AND(ISNUMBER('Council Entry'!V$8),ISNUMBER('Council Entry'!V$9)),MAX(MIN('Council Entry'!V102,'Council Entry'!V$9),'Council Entry'!V$8),'Council Entry'!V102)),IF(AND(ISNUMBER('Council Entry'!V$8),ISNUMBER('Council Entry'!V$9)),MAX(MIN('Council Entry'!V102,'Council Entry'!V$9),'Council Entry'!V$8),'Council Entry'!V102))))-'Council Entry'!V$5)/('Council Entry'!V$6-'Council Entry'!V$5),10*((IF('Council Entry'!V$4="Logarithm",LN(0.001+IF(AND(ISNUMBER('Council Entry'!V$8),ISNUMBER('Council Entry'!V$9)),MAX(MIN('Council Entry'!V102,'Council Entry'!V$9),'Council Entry'!V$8),'Council Entry'!V102)),IF('Council Entry'!V$4="Exponential",EXP(IF(AND(ISNUMBER('Council Entry'!V$8),ISNUMBER('Council Entry'!V$9)),MAX(MIN('Council Entry'!V102,'Council Entry'!V$9),'Council Entry'!V$8),'Council Entry'!V102)),IF(AND(ISNUMBER('Council Entry'!V$8),ISNUMBER('Council Entry'!V$9)),MAX(MIN('Council Entry'!V102,'Council Entry'!V$9),'Council Entry'!V$8),'Council Entry'!V102))))-'Council Entry'!V$5)/('Council Entry'!V$6-'Council Entry'!V$5)),1))),"No data"))</f>
        <v/>
      </c>
      <c r="W102" s="13">
        <f>IF('Council Entry'!W102="","",IFERROR(MAX(0,MIN(10,ROUND(IF('Council Entry'!W$7="Decrease Risk",10-10*((IF('Council Entry'!W$4="Logarithm",LN(0.001+IF(AND(ISNUMBER('Council Entry'!W$8),ISNUMBER('Council Entry'!W$9)),MAX(MIN('Council Entry'!W102,'Council Entry'!W$9),'Council Entry'!W$8),'Council Entry'!W102)),IF('Council Entry'!W$4="Exponential",EXP(IF(AND(ISNUMBER('Council Entry'!W$8),ISNUMBER('Council Entry'!W$9)),MAX(MIN('Council Entry'!W102,'Council Entry'!W$9),'Council Entry'!W$8),'Council Entry'!W102)),IF(AND(ISNUMBER('Council Entry'!W$8),ISNUMBER('Council Entry'!W$9)),MAX(MIN('Council Entry'!W102,'Council Entry'!W$9),'Council Entry'!W$8),'Council Entry'!W102))))-'Council Entry'!W$5)/('Council Entry'!W$6-'Council Entry'!W$5),10*((IF('Council Entry'!W$4="Logarithm",LN(0.001+IF(AND(ISNUMBER('Council Entry'!W$8),ISNUMBER('Council Entry'!W$9)),MAX(MIN('Council Entry'!W102,'Council Entry'!W$9),'Council Entry'!W$8),'Council Entry'!W102)),IF('Council Entry'!W$4="Exponential",EXP(IF(AND(ISNUMBER('Council Entry'!W$8),ISNUMBER('Council Entry'!W$9)),MAX(MIN('Council Entry'!W102,'Council Entry'!W$9),'Council Entry'!W$8),'Council Entry'!W102)),IF(AND(ISNUMBER('Council Entry'!W$8),ISNUMBER('Council Entry'!W$9)),MAX(MIN('Council Entry'!W102,'Council Entry'!W$9),'Council Entry'!W$8),'Council Entry'!W102))))-'Council Entry'!W$5)/('Council Entry'!W$6-'Council Entry'!W$5)),1))),"No data"))</f>
        <v/>
      </c>
      <c r="X102" s="13">
        <f>IF('Council Entry'!X102="","",IFERROR(MAX(0,MIN(10,ROUND(IF('Council Entry'!X$7="Decrease Risk",10-10*((IF('Council Entry'!X$4="Logarithm",LN(0.001+IF(AND(ISNUMBER('Council Entry'!X$8),ISNUMBER('Council Entry'!X$9)),MAX(MIN('Council Entry'!X102,'Council Entry'!X$9),'Council Entry'!X$8),'Council Entry'!X102)),IF('Council Entry'!X$4="Exponential",EXP(IF(AND(ISNUMBER('Council Entry'!X$8),ISNUMBER('Council Entry'!X$9)),MAX(MIN('Council Entry'!X102,'Council Entry'!X$9),'Council Entry'!X$8),'Council Entry'!X102)),IF(AND(ISNUMBER('Council Entry'!X$8),ISNUMBER('Council Entry'!X$9)),MAX(MIN('Council Entry'!X102,'Council Entry'!X$9),'Council Entry'!X$8),'Council Entry'!X102))))-'Council Entry'!X$5)/('Council Entry'!X$6-'Council Entry'!X$5),10*((IF('Council Entry'!X$4="Logarithm",LN(0.001+IF(AND(ISNUMBER('Council Entry'!X$8),ISNUMBER('Council Entry'!X$9)),MAX(MIN('Council Entry'!X102,'Council Entry'!X$9),'Council Entry'!X$8),'Council Entry'!X102)),IF('Council Entry'!X$4="Exponential",EXP(IF(AND(ISNUMBER('Council Entry'!X$8),ISNUMBER('Council Entry'!X$9)),MAX(MIN('Council Entry'!X102,'Council Entry'!X$9),'Council Entry'!X$8),'Council Entry'!X102)),IF(AND(ISNUMBER('Council Entry'!X$8),ISNUMBER('Council Entry'!X$9)),MAX(MIN('Council Entry'!X102,'Council Entry'!X$9),'Council Entry'!X$8),'Council Entry'!X102))))-'Council Entry'!X$5)/('Council Entry'!X$6-'Council Entry'!X$5)),1))),"No data"))</f>
        <v/>
      </c>
      <c r="Y102" s="13">
        <f>IF('Council Entry'!Y102="","",IFERROR(MAX(0,MIN(10,ROUND(IF('Council Entry'!Y$7="Decrease Risk",10-10*((IF('Council Entry'!Y$4="Logarithm",LN(0.001+IF(AND(ISNUMBER('Council Entry'!Y$8),ISNUMBER('Council Entry'!Y$9)),MAX(MIN('Council Entry'!Y102,'Council Entry'!Y$9),'Council Entry'!Y$8),'Council Entry'!Y102)),IF('Council Entry'!Y$4="Exponential",EXP(IF(AND(ISNUMBER('Council Entry'!Y$8),ISNUMBER('Council Entry'!Y$9)),MAX(MIN('Council Entry'!Y102,'Council Entry'!Y$9),'Council Entry'!Y$8),'Council Entry'!Y102)),IF(AND(ISNUMBER('Council Entry'!Y$8),ISNUMBER('Council Entry'!Y$9)),MAX(MIN('Council Entry'!Y102,'Council Entry'!Y$9),'Council Entry'!Y$8),'Council Entry'!Y102))))-'Council Entry'!Y$5)/('Council Entry'!Y$6-'Council Entry'!Y$5),10*((IF('Council Entry'!Y$4="Logarithm",LN(0.001+IF(AND(ISNUMBER('Council Entry'!Y$8),ISNUMBER('Council Entry'!Y$9)),MAX(MIN('Council Entry'!Y102,'Council Entry'!Y$9),'Council Entry'!Y$8),'Council Entry'!Y102)),IF('Council Entry'!Y$4="Exponential",EXP(IF(AND(ISNUMBER('Council Entry'!Y$8),ISNUMBER('Council Entry'!Y$9)),MAX(MIN('Council Entry'!Y102,'Council Entry'!Y$9),'Council Entry'!Y$8),'Council Entry'!Y102)),IF(AND(ISNUMBER('Council Entry'!Y$8),ISNUMBER('Council Entry'!Y$9)),MAX(MIN('Council Entry'!Y102,'Council Entry'!Y$9),'Council Entry'!Y$8),'Council Entry'!Y102))))-'Council Entry'!Y$5)/('Council Entry'!Y$6-'Council Entry'!Y$5)),1))),"No data"))</f>
        <v/>
      </c>
      <c r="Z102" s="13">
        <f>IF('Council Entry'!Z102="","",IFERROR(MAX(0,MIN(10,ROUND(IF('Council Entry'!Z$7="Decrease Risk",10-10*((IF('Council Entry'!Z$4="Logarithm",LN(0.001+IF(AND(ISNUMBER('Council Entry'!Z$8),ISNUMBER('Council Entry'!Z$9)),MAX(MIN('Council Entry'!Z102,'Council Entry'!Z$9),'Council Entry'!Z$8),'Council Entry'!Z102)),IF('Council Entry'!Z$4="Exponential",EXP(IF(AND(ISNUMBER('Council Entry'!Z$8),ISNUMBER('Council Entry'!Z$9)),MAX(MIN('Council Entry'!Z102,'Council Entry'!Z$9),'Council Entry'!Z$8),'Council Entry'!Z102)),IF(AND(ISNUMBER('Council Entry'!Z$8),ISNUMBER('Council Entry'!Z$9)),MAX(MIN('Council Entry'!Z102,'Council Entry'!Z$9),'Council Entry'!Z$8),'Council Entry'!Z102))))-'Council Entry'!Z$5)/('Council Entry'!Z$6-'Council Entry'!Z$5),10*((IF('Council Entry'!Z$4="Logarithm",LN(0.001+IF(AND(ISNUMBER('Council Entry'!Z$8),ISNUMBER('Council Entry'!Z$9)),MAX(MIN('Council Entry'!Z102,'Council Entry'!Z$9),'Council Entry'!Z$8),'Council Entry'!Z102)),IF('Council Entry'!Z$4="Exponential",EXP(IF(AND(ISNUMBER('Council Entry'!Z$8),ISNUMBER('Council Entry'!Z$9)),MAX(MIN('Council Entry'!Z102,'Council Entry'!Z$9),'Council Entry'!Z$8),'Council Entry'!Z102)),IF(AND(ISNUMBER('Council Entry'!Z$8),ISNUMBER('Council Entry'!Z$9)),MAX(MIN('Council Entry'!Z102,'Council Entry'!Z$9),'Council Entry'!Z$8),'Council Entry'!Z102))))-'Council Entry'!Z$5)/('Council Entry'!Z$6-'Council Entry'!Z$5)),1))),"No data"))</f>
        <v/>
      </c>
      <c r="AA102" s="13">
        <f>IF('Council Entry'!AA102="","",IFERROR(MAX(0,MIN(10,ROUND(IF('Council Entry'!AA$7="Decrease Risk",10-10*((IF('Council Entry'!AA$4="Logarithm",LN(0.001+IF(AND(ISNUMBER('Council Entry'!AA$8),ISNUMBER('Council Entry'!AA$9)),MAX(MIN('Council Entry'!AA102,'Council Entry'!AA$9),'Council Entry'!AA$8),'Council Entry'!AA102)),IF('Council Entry'!AA$4="Exponential",EXP(IF(AND(ISNUMBER('Council Entry'!AA$8),ISNUMBER('Council Entry'!AA$9)),MAX(MIN('Council Entry'!AA102,'Council Entry'!AA$9),'Council Entry'!AA$8),'Council Entry'!AA102)),IF(AND(ISNUMBER('Council Entry'!AA$8),ISNUMBER('Council Entry'!AA$9)),MAX(MIN('Council Entry'!AA102,'Council Entry'!AA$9),'Council Entry'!AA$8),'Council Entry'!AA102))))-'Council Entry'!AA$5)/('Council Entry'!AA$6-'Council Entry'!AA$5),10*((IF('Council Entry'!AA$4="Logarithm",LN(0.001+IF(AND(ISNUMBER('Council Entry'!AA$8),ISNUMBER('Council Entry'!AA$9)),MAX(MIN('Council Entry'!AA102,'Council Entry'!AA$9),'Council Entry'!AA$8),'Council Entry'!AA102)),IF('Council Entry'!AA$4="Exponential",EXP(IF(AND(ISNUMBER('Council Entry'!AA$8),ISNUMBER('Council Entry'!AA$9)),MAX(MIN('Council Entry'!AA102,'Council Entry'!AA$9),'Council Entry'!AA$8),'Council Entry'!AA102)),IF(AND(ISNUMBER('Council Entry'!AA$8),ISNUMBER('Council Entry'!AA$9)),MAX(MIN('Council Entry'!AA102,'Council Entry'!AA$9),'Council Entry'!AA$8),'Council Entry'!AA102))))-'Council Entry'!AA$5)/('Council Entry'!AA$6-'Council Entry'!AA$5)),1))),"No data"))</f>
        <v/>
      </c>
      <c r="AB102" s="13">
        <f>IF('Council Entry'!AB102="","",IFERROR(MAX(0,MIN(10,ROUND(IF('Council Entry'!AB$7="Decrease Risk",10-10*((IF('Council Entry'!AB$4="Logarithm",LN(0.001+IF(AND(ISNUMBER('Council Entry'!AB$8),ISNUMBER('Council Entry'!AB$9)),MAX(MIN('Council Entry'!AB102,'Council Entry'!AB$9),'Council Entry'!AB$8),'Council Entry'!AB102)),IF('Council Entry'!AB$4="Exponential",EXP(IF(AND(ISNUMBER('Council Entry'!AB$8),ISNUMBER('Council Entry'!AB$9)),MAX(MIN('Council Entry'!AB102,'Council Entry'!AB$9),'Council Entry'!AB$8),'Council Entry'!AB102)),IF(AND(ISNUMBER('Council Entry'!AB$8),ISNUMBER('Council Entry'!AB$9)),MAX(MIN('Council Entry'!AB102,'Council Entry'!AB$9),'Council Entry'!AB$8),'Council Entry'!AB102))))-'Council Entry'!AB$5)/('Council Entry'!AB$6-'Council Entry'!AB$5),10*((IF('Council Entry'!AB$4="Logarithm",LN(0.001+IF(AND(ISNUMBER('Council Entry'!AB$8),ISNUMBER('Council Entry'!AB$9)),MAX(MIN('Council Entry'!AB102,'Council Entry'!AB$9),'Council Entry'!AB$8),'Council Entry'!AB102)),IF('Council Entry'!AB$4="Exponential",EXP(IF(AND(ISNUMBER('Council Entry'!AB$8),ISNUMBER('Council Entry'!AB$9)),MAX(MIN('Council Entry'!AB102,'Council Entry'!AB$9),'Council Entry'!AB$8),'Council Entry'!AB102)),IF(AND(ISNUMBER('Council Entry'!AB$8),ISNUMBER('Council Entry'!AB$9)),MAX(MIN('Council Entry'!AB102,'Council Entry'!AB$9),'Council Entry'!AB$8),'Council Entry'!AB102))))-'Council Entry'!AB$5)/('Council Entry'!AB$6-'Council Entry'!AB$5)),1))),"No data"))</f>
        <v/>
      </c>
      <c r="AC102" s="13">
        <f>IF('Council Entry'!AC102="","",IFERROR(MAX(0,MIN(10,ROUND(IF('Council Entry'!AC$7="Decrease Risk",10-10*((IF('Council Entry'!AC$4="Logarithm",LN(0.001+IF(AND(ISNUMBER('Council Entry'!AC$8),ISNUMBER('Council Entry'!AC$9)),MAX(MIN('Council Entry'!AC102,'Council Entry'!AC$9),'Council Entry'!AC$8),'Council Entry'!AC102)),IF('Council Entry'!AC$4="Exponential",EXP(IF(AND(ISNUMBER('Council Entry'!AC$8),ISNUMBER('Council Entry'!AC$9)),MAX(MIN('Council Entry'!AC102,'Council Entry'!AC$9),'Council Entry'!AC$8),'Council Entry'!AC102)),IF(AND(ISNUMBER('Council Entry'!AC$8),ISNUMBER('Council Entry'!AC$9)),MAX(MIN('Council Entry'!AC102,'Council Entry'!AC$9),'Council Entry'!AC$8),'Council Entry'!AC102))))-'Council Entry'!AC$5)/('Council Entry'!AC$6-'Council Entry'!AC$5),10*((IF('Council Entry'!AC$4="Logarithm",LN(0.001+IF(AND(ISNUMBER('Council Entry'!AC$8),ISNUMBER('Council Entry'!AC$9)),MAX(MIN('Council Entry'!AC102,'Council Entry'!AC$9),'Council Entry'!AC$8),'Council Entry'!AC102)),IF('Council Entry'!AC$4="Exponential",EXP(IF(AND(ISNUMBER('Council Entry'!AC$8),ISNUMBER('Council Entry'!AC$9)),MAX(MIN('Council Entry'!AC102,'Council Entry'!AC$9),'Council Entry'!AC$8),'Council Entry'!AC102)),IF(AND(ISNUMBER('Council Entry'!AC$8),ISNUMBER('Council Entry'!AC$9)),MAX(MIN('Council Entry'!AC102,'Council Entry'!AC$9),'Council Entry'!AC$8),'Council Entry'!AC102))))-'Council Entry'!AC$5)/('Council Entry'!AC$6-'Council Entry'!AC$5)),1))),"No data"))</f>
        <v/>
      </c>
      <c r="AD102" s="13">
        <f>IF('Council Entry'!AD102="","",IFERROR(MAX(0,MIN(10,ROUND(IF('Council Entry'!AD$7="Decrease Risk",10-10*((IF('Council Entry'!AD$4="Logarithm",LN(0.001+IF(AND(ISNUMBER('Council Entry'!AD$8),ISNUMBER('Council Entry'!AD$9)),MAX(MIN('Council Entry'!AD102,'Council Entry'!AD$9),'Council Entry'!AD$8),'Council Entry'!AD102)),IF('Council Entry'!AD$4="Exponential",EXP(IF(AND(ISNUMBER('Council Entry'!AD$8),ISNUMBER('Council Entry'!AD$9)),MAX(MIN('Council Entry'!AD102,'Council Entry'!AD$9),'Council Entry'!AD$8),'Council Entry'!AD102)),IF(AND(ISNUMBER('Council Entry'!AD$8),ISNUMBER('Council Entry'!AD$9)),MAX(MIN('Council Entry'!AD102,'Council Entry'!AD$9),'Council Entry'!AD$8),'Council Entry'!AD102))))-'Council Entry'!AD$5)/('Council Entry'!AD$6-'Council Entry'!AD$5),10*((IF('Council Entry'!AD$4="Logarithm",LN(0.001+IF(AND(ISNUMBER('Council Entry'!AD$8),ISNUMBER('Council Entry'!AD$9)),MAX(MIN('Council Entry'!AD102,'Council Entry'!AD$9),'Council Entry'!AD$8),'Council Entry'!AD102)),IF('Council Entry'!AD$4="Exponential",EXP(IF(AND(ISNUMBER('Council Entry'!AD$8),ISNUMBER('Council Entry'!AD$9)),MAX(MIN('Council Entry'!AD102,'Council Entry'!AD$9),'Council Entry'!AD$8),'Council Entry'!AD102)),IF(AND(ISNUMBER('Council Entry'!AD$8),ISNUMBER('Council Entry'!AD$9)),MAX(MIN('Council Entry'!AD102,'Council Entry'!AD$9),'Council Entry'!AD$8),'Council Entry'!AD102))))-'Council Entry'!AD$5)/('Council Entry'!AD$6-'Council Entry'!AD$5)),1))),"No data"))</f>
        <v/>
      </c>
      <c r="AE102" s="13">
        <f>IF('Council Entry'!AE102="","",IFERROR(MAX(0,MIN(10,ROUND(IF('Council Entry'!AE$7="Decrease Risk",10-10*((IF('Council Entry'!AE$4="Logarithm",LN(0.001+IF(AND(ISNUMBER('Council Entry'!AE$8),ISNUMBER('Council Entry'!AE$9)),MAX(MIN('Council Entry'!AE102,'Council Entry'!AE$9),'Council Entry'!AE$8),'Council Entry'!AE102)),IF('Council Entry'!AE$4="Exponential",EXP(IF(AND(ISNUMBER('Council Entry'!AE$8),ISNUMBER('Council Entry'!AE$9)),MAX(MIN('Council Entry'!AE102,'Council Entry'!AE$9),'Council Entry'!AE$8),'Council Entry'!AE102)),IF(AND(ISNUMBER('Council Entry'!AE$8),ISNUMBER('Council Entry'!AE$9)),MAX(MIN('Council Entry'!AE102,'Council Entry'!AE$9),'Council Entry'!AE$8),'Council Entry'!AE102))))-'Council Entry'!AE$5)/('Council Entry'!AE$6-'Council Entry'!AE$5),10*((IF('Council Entry'!AE$4="Logarithm",LN(0.001+IF(AND(ISNUMBER('Council Entry'!AE$8),ISNUMBER('Council Entry'!AE$9)),MAX(MIN('Council Entry'!AE102,'Council Entry'!AE$9),'Council Entry'!AE$8),'Council Entry'!AE102)),IF('Council Entry'!AE$4="Exponential",EXP(IF(AND(ISNUMBER('Council Entry'!AE$8),ISNUMBER('Council Entry'!AE$9)),MAX(MIN('Council Entry'!AE102,'Council Entry'!AE$9),'Council Entry'!AE$8),'Council Entry'!AE102)),IF(AND(ISNUMBER('Council Entry'!AE$8),ISNUMBER('Council Entry'!AE$9)),MAX(MIN('Council Entry'!AE102,'Council Entry'!AE$9),'Council Entry'!AE$8),'Council Entry'!AE102))))-'Council Entry'!AE$5)/('Council Entry'!AE$6-'Council Entry'!AE$5)),1))),"No data"))</f>
        <v/>
      </c>
      <c r="AF102" s="13">
        <f>IF('Council Entry'!AF102="","",IFERROR(MAX(0,MIN(10,ROUND(IF('Council Entry'!AF$7="Decrease Risk",10-10*((IF('Council Entry'!AF$4="Logarithm",LN(0.001+IF(AND(ISNUMBER('Council Entry'!AF$8),ISNUMBER('Council Entry'!AF$9)),MAX(MIN('Council Entry'!AF102,'Council Entry'!AF$9),'Council Entry'!AF$8),'Council Entry'!AF102)),IF('Council Entry'!AF$4="Exponential",EXP(IF(AND(ISNUMBER('Council Entry'!AF$8),ISNUMBER('Council Entry'!AF$9)),MAX(MIN('Council Entry'!AF102,'Council Entry'!AF$9),'Council Entry'!AF$8),'Council Entry'!AF102)),IF(AND(ISNUMBER('Council Entry'!AF$8),ISNUMBER('Council Entry'!AF$9)),MAX(MIN('Council Entry'!AF102,'Council Entry'!AF$9),'Council Entry'!AF$8),'Council Entry'!AF102))))-'Council Entry'!AF$5)/('Council Entry'!AF$6-'Council Entry'!AF$5),10*((IF('Council Entry'!AF$4="Logarithm",LN(0.001+IF(AND(ISNUMBER('Council Entry'!AF$8),ISNUMBER('Council Entry'!AF$9)),MAX(MIN('Council Entry'!AF102,'Council Entry'!AF$9),'Council Entry'!AF$8),'Council Entry'!AF102)),IF('Council Entry'!AF$4="Exponential",EXP(IF(AND(ISNUMBER('Council Entry'!AF$8),ISNUMBER('Council Entry'!AF$9)),MAX(MIN('Council Entry'!AF102,'Council Entry'!AF$9),'Council Entry'!AF$8),'Council Entry'!AF102)),IF(AND(ISNUMBER('Council Entry'!AF$8),ISNUMBER('Council Entry'!AF$9)),MAX(MIN('Council Entry'!AF102,'Council Entry'!AF$9),'Council Entry'!AF$8),'Council Entry'!AF102))))-'Council Entry'!AF$5)/('Council Entry'!AF$6-'Council Entry'!AF$5)),1))),"No data"))</f>
        <v/>
      </c>
      <c r="AG102" s="13">
        <f>IF('Council Entry'!AG102="","",IFERROR(MAX(0,MIN(10,ROUND(IF('Council Entry'!AG$7="Decrease Risk",10-10*((IF('Council Entry'!AG$4="Logarithm",LN(0.001+IF(AND(ISNUMBER('Council Entry'!AG$8),ISNUMBER('Council Entry'!AG$9)),MAX(MIN('Council Entry'!AG102,'Council Entry'!AG$9),'Council Entry'!AG$8),'Council Entry'!AG102)),IF('Council Entry'!AG$4="Exponential",EXP(IF(AND(ISNUMBER('Council Entry'!AG$8),ISNUMBER('Council Entry'!AG$9)),MAX(MIN('Council Entry'!AG102,'Council Entry'!AG$9),'Council Entry'!AG$8),'Council Entry'!AG102)),IF(AND(ISNUMBER('Council Entry'!AG$8),ISNUMBER('Council Entry'!AG$9)),MAX(MIN('Council Entry'!AG102,'Council Entry'!AG$9),'Council Entry'!AG$8),'Council Entry'!AG102))))-'Council Entry'!AG$5)/('Council Entry'!AG$6-'Council Entry'!AG$5),10*((IF('Council Entry'!AG$4="Logarithm",LN(0.001+IF(AND(ISNUMBER('Council Entry'!AG$8),ISNUMBER('Council Entry'!AG$9)),MAX(MIN('Council Entry'!AG102,'Council Entry'!AG$9),'Council Entry'!AG$8),'Council Entry'!AG102)),IF('Council Entry'!AG$4="Exponential",EXP(IF(AND(ISNUMBER('Council Entry'!AG$8),ISNUMBER('Council Entry'!AG$9)),MAX(MIN('Council Entry'!AG102,'Council Entry'!AG$9),'Council Entry'!AG$8),'Council Entry'!AG102)),IF(AND(ISNUMBER('Council Entry'!AG$8),ISNUMBER('Council Entry'!AG$9)),MAX(MIN('Council Entry'!AG102,'Council Entry'!AG$9),'Council Entry'!AG$8),'Council Entry'!AG102))))-'Council Entry'!AG$5)/('Council Entry'!AG$6-'Council Entry'!AG$5)),1))),"No data"))</f>
        <v/>
      </c>
      <c r="AH102" s="13">
        <f>IF('Council Entry'!AH102="","",IFERROR(MAX(0,MIN(10,ROUND(IF('Council Entry'!AH$7="Decrease Risk",10-10*((IF('Council Entry'!AH$4="Logarithm",LN(0.001+IF(AND(ISNUMBER('Council Entry'!AH$8),ISNUMBER('Council Entry'!AH$9)),MAX(MIN('Council Entry'!AH102,'Council Entry'!AH$9),'Council Entry'!AH$8),'Council Entry'!AH102)),IF('Council Entry'!AH$4="Exponential",EXP(IF(AND(ISNUMBER('Council Entry'!AH$8),ISNUMBER('Council Entry'!AH$9)),MAX(MIN('Council Entry'!AH102,'Council Entry'!AH$9),'Council Entry'!AH$8),'Council Entry'!AH102)),IF(AND(ISNUMBER('Council Entry'!AH$8),ISNUMBER('Council Entry'!AH$9)),MAX(MIN('Council Entry'!AH102,'Council Entry'!AH$9),'Council Entry'!AH$8),'Council Entry'!AH102))))-'Council Entry'!AH$5)/('Council Entry'!AH$6-'Council Entry'!AH$5),10*((IF('Council Entry'!AH$4="Logarithm",LN(0.001+IF(AND(ISNUMBER('Council Entry'!AH$8),ISNUMBER('Council Entry'!AH$9)),MAX(MIN('Council Entry'!AH102,'Council Entry'!AH$9),'Council Entry'!AH$8),'Council Entry'!AH102)),IF('Council Entry'!AH$4="Exponential",EXP(IF(AND(ISNUMBER('Council Entry'!AH$8),ISNUMBER('Council Entry'!AH$9)),MAX(MIN('Council Entry'!AH102,'Council Entry'!AH$9),'Council Entry'!AH$8),'Council Entry'!AH102)),IF(AND(ISNUMBER('Council Entry'!AH$8),ISNUMBER('Council Entry'!AH$9)),MAX(MIN('Council Entry'!AH102,'Council Entry'!AH$9),'Council Entry'!AH$8),'Council Entry'!AH102))))-'Council Entry'!AH$5)/('Council Entry'!AH$6-'Council Entry'!AH$5)),1))),"No data"))</f>
        <v/>
      </c>
      <c r="AI102" s="13">
        <f>IF('Council Entry'!AI102="","",IFERROR(MAX(0,MIN(10,ROUND(IF('Council Entry'!AI$7="Decrease Risk",10-10*((IF('Council Entry'!AI$4="Logarithm",LN(0.001+IF(AND(ISNUMBER('Council Entry'!AI$8),ISNUMBER('Council Entry'!AI$9)),MAX(MIN('Council Entry'!AI102,'Council Entry'!AI$9),'Council Entry'!AI$8),'Council Entry'!AI102)),IF('Council Entry'!AI$4="Exponential",EXP(IF(AND(ISNUMBER('Council Entry'!AI$8),ISNUMBER('Council Entry'!AI$9)),MAX(MIN('Council Entry'!AI102,'Council Entry'!AI$9),'Council Entry'!AI$8),'Council Entry'!AI102)),IF(AND(ISNUMBER('Council Entry'!AI$8),ISNUMBER('Council Entry'!AI$9)),MAX(MIN('Council Entry'!AI102,'Council Entry'!AI$9),'Council Entry'!AI$8),'Council Entry'!AI102))))-'Council Entry'!AI$5)/('Council Entry'!AI$6-'Council Entry'!AI$5),10*((IF('Council Entry'!AI$4="Logarithm",LN(0.001+IF(AND(ISNUMBER('Council Entry'!AI$8),ISNUMBER('Council Entry'!AI$9)),MAX(MIN('Council Entry'!AI102,'Council Entry'!AI$9),'Council Entry'!AI$8),'Council Entry'!AI102)),IF('Council Entry'!AI$4="Exponential",EXP(IF(AND(ISNUMBER('Council Entry'!AI$8),ISNUMBER('Council Entry'!AI$9)),MAX(MIN('Council Entry'!AI102,'Council Entry'!AI$9),'Council Entry'!AI$8),'Council Entry'!AI102)),IF(AND(ISNUMBER('Council Entry'!AI$8),ISNUMBER('Council Entry'!AI$9)),MAX(MIN('Council Entry'!AI102,'Council Entry'!AI$9),'Council Entry'!AI$8),'Council Entry'!AI102))))-'Council Entry'!AI$5)/('Council Entry'!AI$6-'Council Entry'!AI$5)),1))),"No data"))</f>
        <v/>
      </c>
      <c r="AJ102" s="13">
        <f>IF('Council Entry'!AJ102="","",IFERROR(MAX(0,MIN(10,ROUND(IF('Council Entry'!AJ$7="Decrease Risk",10-10*((IF('Council Entry'!AJ$4="Logarithm",LN(0.001+IF(AND(ISNUMBER('Council Entry'!AJ$8),ISNUMBER('Council Entry'!AJ$9)),MAX(MIN('Council Entry'!AJ102,'Council Entry'!AJ$9),'Council Entry'!AJ$8),'Council Entry'!AJ102)),IF('Council Entry'!AJ$4="Exponential",EXP(IF(AND(ISNUMBER('Council Entry'!AJ$8),ISNUMBER('Council Entry'!AJ$9)),MAX(MIN('Council Entry'!AJ102,'Council Entry'!AJ$9),'Council Entry'!AJ$8),'Council Entry'!AJ102)),IF(AND(ISNUMBER('Council Entry'!AJ$8),ISNUMBER('Council Entry'!AJ$9)),MAX(MIN('Council Entry'!AJ102,'Council Entry'!AJ$9),'Council Entry'!AJ$8),'Council Entry'!AJ102))))-'Council Entry'!AJ$5)/('Council Entry'!AJ$6-'Council Entry'!AJ$5),10*((IF('Council Entry'!AJ$4="Logarithm",LN(0.001+IF(AND(ISNUMBER('Council Entry'!AJ$8),ISNUMBER('Council Entry'!AJ$9)),MAX(MIN('Council Entry'!AJ102,'Council Entry'!AJ$9),'Council Entry'!AJ$8),'Council Entry'!AJ102)),IF('Council Entry'!AJ$4="Exponential",EXP(IF(AND(ISNUMBER('Council Entry'!AJ$8),ISNUMBER('Council Entry'!AJ$9)),MAX(MIN('Council Entry'!AJ102,'Council Entry'!AJ$9),'Council Entry'!AJ$8),'Council Entry'!AJ102)),IF(AND(ISNUMBER('Council Entry'!AJ$8),ISNUMBER('Council Entry'!AJ$9)),MAX(MIN('Council Entry'!AJ102,'Council Entry'!AJ$9),'Council Entry'!AJ$8),'Council Entry'!AJ102))))-'Council Entry'!AJ$5)/('Council Entry'!AJ$6-'Council Entry'!AJ$5)),1))),"No data"))</f>
        <v/>
      </c>
      <c r="AK102" s="13">
        <f>IF('Council Entry'!AK102="","",IFERROR(MAX(0,MIN(10,ROUND(IF('Council Entry'!AK$7="Decrease Risk",10-10*((IF('Council Entry'!AK$4="Logarithm",LN(0.001+IF(AND(ISNUMBER('Council Entry'!AK$8),ISNUMBER('Council Entry'!AK$9)),MAX(MIN('Council Entry'!AK102,'Council Entry'!AK$9),'Council Entry'!AK$8),'Council Entry'!AK102)),IF('Council Entry'!AK$4="Exponential",EXP(IF(AND(ISNUMBER('Council Entry'!AK$8),ISNUMBER('Council Entry'!AK$9)),MAX(MIN('Council Entry'!AK102,'Council Entry'!AK$9),'Council Entry'!AK$8),'Council Entry'!AK102)),IF(AND(ISNUMBER('Council Entry'!AK$8),ISNUMBER('Council Entry'!AK$9)),MAX(MIN('Council Entry'!AK102,'Council Entry'!AK$9),'Council Entry'!AK$8),'Council Entry'!AK102))))-'Council Entry'!AK$5)/('Council Entry'!AK$6-'Council Entry'!AK$5),10*((IF('Council Entry'!AK$4="Logarithm",LN(0.001+IF(AND(ISNUMBER('Council Entry'!AK$8),ISNUMBER('Council Entry'!AK$9)),MAX(MIN('Council Entry'!AK102,'Council Entry'!AK$9),'Council Entry'!AK$8),'Council Entry'!AK102)),IF('Council Entry'!AK$4="Exponential",EXP(IF(AND(ISNUMBER('Council Entry'!AK$8),ISNUMBER('Council Entry'!AK$9)),MAX(MIN('Council Entry'!AK102,'Council Entry'!AK$9),'Council Entry'!AK$8),'Council Entry'!AK102)),IF(AND(ISNUMBER('Council Entry'!AK$8),ISNUMBER('Council Entry'!AK$9)),MAX(MIN('Council Entry'!AK102,'Council Entry'!AK$9),'Council Entry'!AK$8),'Council Entry'!AK102))))-'Council Entry'!AK$5)/('Council Entry'!AK$6-'Council Entry'!AK$5)),1))),"No data"))</f>
        <v/>
      </c>
      <c r="AL102" s="13">
        <f>IF('Council Entry'!AL102="","",IFERROR(MAX(0,MIN(10,ROUND(IF('Council Entry'!AL$7="Decrease Risk",10-10*((IF('Council Entry'!AL$4="Logarithm",LN(0.001+IF(AND(ISNUMBER('Council Entry'!AL$8),ISNUMBER('Council Entry'!AL$9)),MAX(MIN('Council Entry'!AL102,'Council Entry'!AL$9),'Council Entry'!AL$8),'Council Entry'!AL102)),IF('Council Entry'!AL$4="Exponential",EXP(IF(AND(ISNUMBER('Council Entry'!AL$8),ISNUMBER('Council Entry'!AL$9)),MAX(MIN('Council Entry'!AL102,'Council Entry'!AL$9),'Council Entry'!AL$8),'Council Entry'!AL102)),IF(AND(ISNUMBER('Council Entry'!AL$8),ISNUMBER('Council Entry'!AL$9)),MAX(MIN('Council Entry'!AL102,'Council Entry'!AL$9),'Council Entry'!AL$8),'Council Entry'!AL102))))-'Council Entry'!AL$5)/('Council Entry'!AL$6-'Council Entry'!AL$5),10*((IF('Council Entry'!AL$4="Logarithm",LN(0.001+IF(AND(ISNUMBER('Council Entry'!AL$8),ISNUMBER('Council Entry'!AL$9)),MAX(MIN('Council Entry'!AL102,'Council Entry'!AL$9),'Council Entry'!AL$8),'Council Entry'!AL102)),IF('Council Entry'!AL$4="Exponential",EXP(IF(AND(ISNUMBER('Council Entry'!AL$8),ISNUMBER('Council Entry'!AL$9)),MAX(MIN('Council Entry'!AL102,'Council Entry'!AL$9),'Council Entry'!AL$8),'Council Entry'!AL102)),IF(AND(ISNUMBER('Council Entry'!AL$8),ISNUMBER('Council Entry'!AL$9)),MAX(MIN('Council Entry'!AL102,'Council Entry'!AL$9),'Council Entry'!AL$8),'Council Entry'!AL102))))-'Council Entry'!AL$5)/('Council Entry'!AL$6-'Council Entry'!AL$5)),1))),"No data"))</f>
        <v/>
      </c>
      <c r="AM102" s="13">
        <f>IF('Council Entry'!AM102="","",IFERROR(MAX(0,MIN(10,ROUND(IF('Council Entry'!AM$7="Decrease Risk",10-10*((IF('Council Entry'!AM$4="Logarithm",LN(0.001+IF(AND(ISNUMBER('Council Entry'!AM$8),ISNUMBER('Council Entry'!AM$9)),MAX(MIN('Council Entry'!AM102,'Council Entry'!AM$9),'Council Entry'!AM$8),'Council Entry'!AM102)),IF('Council Entry'!AM$4="Exponential",EXP(IF(AND(ISNUMBER('Council Entry'!AM$8),ISNUMBER('Council Entry'!AM$9)),MAX(MIN('Council Entry'!AM102,'Council Entry'!AM$9),'Council Entry'!AM$8),'Council Entry'!AM102)),IF(AND(ISNUMBER('Council Entry'!AM$8),ISNUMBER('Council Entry'!AM$9)),MAX(MIN('Council Entry'!AM102,'Council Entry'!AM$9),'Council Entry'!AM$8),'Council Entry'!AM102))))-'Council Entry'!AM$5)/('Council Entry'!AM$6-'Council Entry'!AM$5),10*((IF('Council Entry'!AM$4="Logarithm",LN(0.001+IF(AND(ISNUMBER('Council Entry'!AM$8),ISNUMBER('Council Entry'!AM$9)),MAX(MIN('Council Entry'!AM102,'Council Entry'!AM$9),'Council Entry'!AM$8),'Council Entry'!AM102)),IF('Council Entry'!AM$4="Exponential",EXP(IF(AND(ISNUMBER('Council Entry'!AM$8),ISNUMBER('Council Entry'!AM$9)),MAX(MIN('Council Entry'!AM102,'Council Entry'!AM$9),'Council Entry'!AM$8),'Council Entry'!AM102)),IF(AND(ISNUMBER('Council Entry'!AM$8),ISNUMBER('Council Entry'!AM$9)),MAX(MIN('Council Entry'!AM102,'Council Entry'!AM$9),'Council Entry'!AM$8),'Council Entry'!AM102))))-'Council Entry'!AM$5)/('Council Entry'!AM$6-'Council Entry'!AM$5)),1))),"No data"))</f>
        <v/>
      </c>
      <c r="AN102" s="13">
        <f>IF('Council Entry'!AN102="","",IFERROR(MAX(0,MIN(10,ROUND(IF('Council Entry'!AN$7="Decrease Risk",10-10*((IF('Council Entry'!AN$4="Logarithm",LN(0.001+IF(AND(ISNUMBER('Council Entry'!AN$8),ISNUMBER('Council Entry'!AN$9)),MAX(MIN('Council Entry'!AN102,'Council Entry'!AN$9),'Council Entry'!AN$8),'Council Entry'!AN102)),IF('Council Entry'!AN$4="Exponential",EXP(IF(AND(ISNUMBER('Council Entry'!AN$8),ISNUMBER('Council Entry'!AN$9)),MAX(MIN('Council Entry'!AN102,'Council Entry'!AN$9),'Council Entry'!AN$8),'Council Entry'!AN102)),IF(AND(ISNUMBER('Council Entry'!AN$8),ISNUMBER('Council Entry'!AN$9)),MAX(MIN('Council Entry'!AN102,'Council Entry'!AN$9),'Council Entry'!AN$8),'Council Entry'!AN102))))-'Council Entry'!AN$5)/('Council Entry'!AN$6-'Council Entry'!AN$5),10*((IF('Council Entry'!AN$4="Logarithm",LN(0.001+IF(AND(ISNUMBER('Council Entry'!AN$8),ISNUMBER('Council Entry'!AN$9)),MAX(MIN('Council Entry'!AN102,'Council Entry'!AN$9),'Council Entry'!AN$8),'Council Entry'!AN102)),IF('Council Entry'!AN$4="Exponential",EXP(IF(AND(ISNUMBER('Council Entry'!AN$8),ISNUMBER('Council Entry'!AN$9)),MAX(MIN('Council Entry'!AN102,'Council Entry'!AN$9),'Council Entry'!AN$8),'Council Entry'!AN102)),IF(AND(ISNUMBER('Council Entry'!AN$8),ISNUMBER('Council Entry'!AN$9)),MAX(MIN('Council Entry'!AN102,'Council Entry'!AN$9),'Council Entry'!AN$8),'Council Entry'!AN102))))-'Council Entry'!AN$5)/('Council Entry'!AN$6-'Council Entry'!AN$5)),1))),"No data"))</f>
        <v/>
      </c>
      <c r="AO102" s="13">
        <f>IF('Council Entry'!AO102="","",IFERROR(MAX(0,MIN(10,ROUND(IF('Council Entry'!AO$7="Decrease Risk",10-10*((IF('Council Entry'!AO$4="Logarithm",LN(0.001+IF(AND(ISNUMBER('Council Entry'!AO$8),ISNUMBER('Council Entry'!AO$9)),MAX(MIN('Council Entry'!AO102,'Council Entry'!AO$9),'Council Entry'!AO$8),'Council Entry'!AO102)),IF('Council Entry'!AO$4="Exponential",EXP(IF(AND(ISNUMBER('Council Entry'!AO$8),ISNUMBER('Council Entry'!AO$9)),MAX(MIN('Council Entry'!AO102,'Council Entry'!AO$9),'Council Entry'!AO$8),'Council Entry'!AO102)),IF(AND(ISNUMBER('Council Entry'!AO$8),ISNUMBER('Council Entry'!AO$9)),MAX(MIN('Council Entry'!AO102,'Council Entry'!AO$9),'Council Entry'!AO$8),'Council Entry'!AO102))))-'Council Entry'!AO$5)/('Council Entry'!AO$6-'Council Entry'!AO$5),10*((IF('Council Entry'!AO$4="Logarithm",LN(0.001+IF(AND(ISNUMBER('Council Entry'!AO$8),ISNUMBER('Council Entry'!AO$9)),MAX(MIN('Council Entry'!AO102,'Council Entry'!AO$9),'Council Entry'!AO$8),'Council Entry'!AO102)),IF('Council Entry'!AO$4="Exponential",EXP(IF(AND(ISNUMBER('Council Entry'!AO$8),ISNUMBER('Council Entry'!AO$9)),MAX(MIN('Council Entry'!AO102,'Council Entry'!AO$9),'Council Entry'!AO$8),'Council Entry'!AO102)),IF(AND(ISNUMBER('Council Entry'!AO$8),ISNUMBER('Council Entry'!AO$9)),MAX(MIN('Council Entry'!AO102,'Council Entry'!AO$9),'Council Entry'!AO$8),'Council Entry'!AO102))))-'Council Entry'!AO$5)/('Council Entry'!AO$6-'Council Entry'!AO$5)),1))),"No data"))</f>
        <v/>
      </c>
      <c r="AP102" s="13">
        <f>IF('Council Entry'!AP102="","",IFERROR(MAX(0,MIN(10,ROUND(IF('Council Entry'!AP$7="Decrease Risk",10-10*((IF('Council Entry'!AP$4="Logarithm",LN(0.001+IF(AND(ISNUMBER('Council Entry'!AP$8),ISNUMBER('Council Entry'!AP$9)),MAX(MIN('Council Entry'!AP102,'Council Entry'!AP$9),'Council Entry'!AP$8),'Council Entry'!AP102)),IF('Council Entry'!AP$4="Exponential",EXP(IF(AND(ISNUMBER('Council Entry'!AP$8),ISNUMBER('Council Entry'!AP$9)),MAX(MIN('Council Entry'!AP102,'Council Entry'!AP$9),'Council Entry'!AP$8),'Council Entry'!AP102)),IF(AND(ISNUMBER('Council Entry'!AP$8),ISNUMBER('Council Entry'!AP$9)),MAX(MIN('Council Entry'!AP102,'Council Entry'!AP$9),'Council Entry'!AP$8),'Council Entry'!AP102))))-'Council Entry'!AP$5)/('Council Entry'!AP$6-'Council Entry'!AP$5),10*((IF('Council Entry'!AP$4="Logarithm",LN(0.001+IF(AND(ISNUMBER('Council Entry'!AP$8),ISNUMBER('Council Entry'!AP$9)),MAX(MIN('Council Entry'!AP102,'Council Entry'!AP$9),'Council Entry'!AP$8),'Council Entry'!AP102)),IF('Council Entry'!AP$4="Exponential",EXP(IF(AND(ISNUMBER('Council Entry'!AP$8),ISNUMBER('Council Entry'!AP$9)),MAX(MIN('Council Entry'!AP102,'Council Entry'!AP$9),'Council Entry'!AP$8),'Council Entry'!AP102)),IF(AND(ISNUMBER('Council Entry'!AP$8),ISNUMBER('Council Entry'!AP$9)),MAX(MIN('Council Entry'!AP102,'Council Entry'!AP$9),'Council Entry'!AP$8),'Council Entry'!AP102))))-'Council Entry'!AP$5)/('Council Entry'!AP$6-'Council Entry'!AP$5)),1))),"No data"))</f>
        <v/>
      </c>
      <c r="AQ102" s="13">
        <f>IF('Council Entry'!AQ102="","",IFERROR(MAX(0,MIN(10,ROUND(IF('Council Entry'!AQ$7="Decrease Risk",10-10*((IF('Council Entry'!AQ$4="Logarithm",LN(0.001+IF(AND(ISNUMBER('Council Entry'!AQ$8),ISNUMBER('Council Entry'!AQ$9)),MAX(MIN('Council Entry'!AQ102,'Council Entry'!AQ$9),'Council Entry'!AQ$8),'Council Entry'!AQ102)),IF('Council Entry'!AQ$4="Exponential",EXP(IF(AND(ISNUMBER('Council Entry'!AQ$8),ISNUMBER('Council Entry'!AQ$9)),MAX(MIN('Council Entry'!AQ102,'Council Entry'!AQ$9),'Council Entry'!AQ$8),'Council Entry'!AQ102)),IF(AND(ISNUMBER('Council Entry'!AQ$8),ISNUMBER('Council Entry'!AQ$9)),MAX(MIN('Council Entry'!AQ102,'Council Entry'!AQ$9),'Council Entry'!AQ$8),'Council Entry'!AQ102))))-'Council Entry'!AQ$5)/('Council Entry'!AQ$6-'Council Entry'!AQ$5),10*((IF('Council Entry'!AQ$4="Logarithm",LN(0.001+IF(AND(ISNUMBER('Council Entry'!AQ$8),ISNUMBER('Council Entry'!AQ$9)),MAX(MIN('Council Entry'!AQ102,'Council Entry'!AQ$9),'Council Entry'!AQ$8),'Council Entry'!AQ102)),IF('Council Entry'!AQ$4="Exponential",EXP(IF(AND(ISNUMBER('Council Entry'!AQ$8),ISNUMBER('Council Entry'!AQ$9)),MAX(MIN('Council Entry'!AQ102,'Council Entry'!AQ$9),'Council Entry'!AQ$8),'Council Entry'!AQ102)),IF(AND(ISNUMBER('Council Entry'!AQ$8),ISNUMBER('Council Entry'!AQ$9)),MAX(MIN('Council Entry'!AQ102,'Council Entry'!AQ$9),'Council Entry'!AQ$8),'Council Entry'!AQ102))))-'Council Entry'!AQ$5)/('Council Entry'!AQ$6-'Council Entry'!AQ$5)),1))),"No data"))</f>
        <v/>
      </c>
      <c r="AR102" s="13">
        <f>IF('Council Entry'!AR102="","",IFERROR(MAX(0,MIN(10,ROUND(IF('Council Entry'!AR$7="Decrease Risk",10-10*((IF('Council Entry'!AR$4="Logarithm",LN(0.001+IF(AND(ISNUMBER('Council Entry'!AR$8),ISNUMBER('Council Entry'!AR$9)),MAX(MIN('Council Entry'!AR102,'Council Entry'!AR$9),'Council Entry'!AR$8),'Council Entry'!AR102)),IF('Council Entry'!AR$4="Exponential",EXP(IF(AND(ISNUMBER('Council Entry'!AR$8),ISNUMBER('Council Entry'!AR$9)),MAX(MIN('Council Entry'!AR102,'Council Entry'!AR$9),'Council Entry'!AR$8),'Council Entry'!AR102)),IF(AND(ISNUMBER('Council Entry'!AR$8),ISNUMBER('Council Entry'!AR$9)),MAX(MIN('Council Entry'!AR102,'Council Entry'!AR$9),'Council Entry'!AR$8),'Council Entry'!AR102))))-'Council Entry'!AR$5)/('Council Entry'!AR$6-'Council Entry'!AR$5),10*((IF('Council Entry'!AR$4="Logarithm",LN(0.001+IF(AND(ISNUMBER('Council Entry'!AR$8),ISNUMBER('Council Entry'!AR$9)),MAX(MIN('Council Entry'!AR102,'Council Entry'!AR$9),'Council Entry'!AR$8),'Council Entry'!AR102)),IF('Council Entry'!AR$4="Exponential",EXP(IF(AND(ISNUMBER('Council Entry'!AR$8),ISNUMBER('Council Entry'!AR$9)),MAX(MIN('Council Entry'!AR102,'Council Entry'!AR$9),'Council Entry'!AR$8),'Council Entry'!AR102)),IF(AND(ISNUMBER('Council Entry'!AR$8),ISNUMBER('Council Entry'!AR$9)),MAX(MIN('Council Entry'!AR102,'Council Entry'!AR$9),'Council Entry'!AR$8),'Council Entry'!AR102))))-'Council Entry'!AR$5)/('Council Entry'!AR$6-'Council Entry'!AR$5)),1))),"No data"))</f>
        <v/>
      </c>
      <c r="AS102" s="13">
        <f>IF('Council Entry'!AS102="","",IFERROR(MAX(0,MIN(10,ROUND(IF('Council Entry'!AS$7="Decrease Risk",10-10*((IF('Council Entry'!AS$4="Logarithm",LN(0.001+IF(AND(ISNUMBER('Council Entry'!AS$8),ISNUMBER('Council Entry'!AS$9)),MAX(MIN('Council Entry'!AS102,'Council Entry'!AS$9),'Council Entry'!AS$8),'Council Entry'!AS102)),IF('Council Entry'!AS$4="Exponential",EXP(IF(AND(ISNUMBER('Council Entry'!AS$8),ISNUMBER('Council Entry'!AS$9)),MAX(MIN('Council Entry'!AS102,'Council Entry'!AS$9),'Council Entry'!AS$8),'Council Entry'!AS102)),IF(AND(ISNUMBER('Council Entry'!AS$8),ISNUMBER('Council Entry'!AS$9)),MAX(MIN('Council Entry'!AS102,'Council Entry'!AS$9),'Council Entry'!AS$8),'Council Entry'!AS102))))-'Council Entry'!AS$5)/('Council Entry'!AS$6-'Council Entry'!AS$5),10*((IF('Council Entry'!AS$4="Logarithm",LN(0.001+IF(AND(ISNUMBER('Council Entry'!AS$8),ISNUMBER('Council Entry'!AS$9)),MAX(MIN('Council Entry'!AS102,'Council Entry'!AS$9),'Council Entry'!AS$8),'Council Entry'!AS102)),IF('Council Entry'!AS$4="Exponential",EXP(IF(AND(ISNUMBER('Council Entry'!AS$8),ISNUMBER('Council Entry'!AS$9)),MAX(MIN('Council Entry'!AS102,'Council Entry'!AS$9),'Council Entry'!AS$8),'Council Entry'!AS102)),IF(AND(ISNUMBER('Council Entry'!AS$8),ISNUMBER('Council Entry'!AS$9)),MAX(MIN('Council Entry'!AS102,'Council Entry'!AS$9),'Council Entry'!AS$8),'Council Entry'!AS102))))-'Council Entry'!AS$5)/('Council Entry'!AS$6-'Council Entry'!AS$5)),1))),"No data"))</f>
        <v/>
      </c>
      <c r="AT102" s="13">
        <f>IF('Council Entry'!AT102="","",IFERROR(MAX(0,MIN(10,ROUND(IF('Council Entry'!AT$7="Decrease Risk",10-10*((IF('Council Entry'!AT$4="Logarithm",LN(0.001+IF(AND(ISNUMBER('Council Entry'!AT$8),ISNUMBER('Council Entry'!AT$9)),MAX(MIN('Council Entry'!AT102,'Council Entry'!AT$9),'Council Entry'!AT$8),'Council Entry'!AT102)),IF('Council Entry'!AT$4="Exponential",EXP(IF(AND(ISNUMBER('Council Entry'!AT$8),ISNUMBER('Council Entry'!AT$9)),MAX(MIN('Council Entry'!AT102,'Council Entry'!AT$9),'Council Entry'!AT$8),'Council Entry'!AT102)),IF(AND(ISNUMBER('Council Entry'!AT$8),ISNUMBER('Council Entry'!AT$9)),MAX(MIN('Council Entry'!AT102,'Council Entry'!AT$9),'Council Entry'!AT$8),'Council Entry'!AT102))))-'Council Entry'!AT$5)/('Council Entry'!AT$6-'Council Entry'!AT$5),10*((IF('Council Entry'!AT$4="Logarithm",LN(0.001+IF(AND(ISNUMBER('Council Entry'!AT$8),ISNUMBER('Council Entry'!AT$9)),MAX(MIN('Council Entry'!AT102,'Council Entry'!AT$9),'Council Entry'!AT$8),'Council Entry'!AT102)),IF('Council Entry'!AT$4="Exponential",EXP(IF(AND(ISNUMBER('Council Entry'!AT$8),ISNUMBER('Council Entry'!AT$9)),MAX(MIN('Council Entry'!AT102,'Council Entry'!AT$9),'Council Entry'!AT$8),'Council Entry'!AT102)),IF(AND(ISNUMBER('Council Entry'!AT$8),ISNUMBER('Council Entry'!AT$9)),MAX(MIN('Council Entry'!AT102,'Council Entry'!AT$9),'Council Entry'!AT$8),'Council Entry'!AT102))))-'Council Entry'!AT$5)/('Council Entry'!AT$6-'Council Entry'!AT$5)),1))),"No data"))</f>
        <v/>
      </c>
      <c r="AU102" s="13">
        <f>IF('Council Entry'!AU102="","",IFERROR(MAX(0,MIN(10,ROUND(IF('Council Entry'!AU$7="Decrease Risk",10-10*((IF('Council Entry'!AU$4="Logarithm",LN(0.001+IF(AND(ISNUMBER('Council Entry'!AU$8),ISNUMBER('Council Entry'!AU$9)),MAX(MIN('Council Entry'!AU102,'Council Entry'!AU$9),'Council Entry'!AU$8),'Council Entry'!AU102)),IF('Council Entry'!AU$4="Exponential",EXP(IF(AND(ISNUMBER('Council Entry'!AU$8),ISNUMBER('Council Entry'!AU$9)),MAX(MIN('Council Entry'!AU102,'Council Entry'!AU$9),'Council Entry'!AU$8),'Council Entry'!AU102)),IF(AND(ISNUMBER('Council Entry'!AU$8),ISNUMBER('Council Entry'!AU$9)),MAX(MIN('Council Entry'!AU102,'Council Entry'!AU$9),'Council Entry'!AU$8),'Council Entry'!AU102))))-'Council Entry'!AU$5)/('Council Entry'!AU$6-'Council Entry'!AU$5),10*((IF('Council Entry'!AU$4="Logarithm",LN(0.001+IF(AND(ISNUMBER('Council Entry'!AU$8),ISNUMBER('Council Entry'!AU$9)),MAX(MIN('Council Entry'!AU102,'Council Entry'!AU$9),'Council Entry'!AU$8),'Council Entry'!AU102)),IF('Council Entry'!AU$4="Exponential",EXP(IF(AND(ISNUMBER('Council Entry'!AU$8),ISNUMBER('Council Entry'!AU$9)),MAX(MIN('Council Entry'!AU102,'Council Entry'!AU$9),'Council Entry'!AU$8),'Council Entry'!AU102)),IF(AND(ISNUMBER('Council Entry'!AU$8),ISNUMBER('Council Entry'!AU$9)),MAX(MIN('Council Entry'!AU102,'Council Entry'!AU$9),'Council Entry'!AU$8),'Council Entry'!AU102))))-'Council Entry'!AU$5)/('Council Entry'!AU$6-'Council Entry'!AU$5)),1))),"No data"))</f>
        <v/>
      </c>
      <c r="AV102" s="13">
        <f>IF('Council Entry'!AV102="","",IFERROR(MAX(0,MIN(10,ROUND(IF('Council Entry'!AV$7="Decrease Risk",10-10*((IF('Council Entry'!AV$4="Logarithm",LN(0.001+IF(AND(ISNUMBER('Council Entry'!AV$8),ISNUMBER('Council Entry'!AV$9)),MAX(MIN('Council Entry'!AV102,'Council Entry'!AV$9),'Council Entry'!AV$8),'Council Entry'!AV102)),IF('Council Entry'!AV$4="Exponential",EXP(IF(AND(ISNUMBER('Council Entry'!AV$8),ISNUMBER('Council Entry'!AV$9)),MAX(MIN('Council Entry'!AV102,'Council Entry'!AV$9),'Council Entry'!AV$8),'Council Entry'!AV102)),IF(AND(ISNUMBER('Council Entry'!AV$8),ISNUMBER('Council Entry'!AV$9)),MAX(MIN('Council Entry'!AV102,'Council Entry'!AV$9),'Council Entry'!AV$8),'Council Entry'!AV102))))-'Council Entry'!AV$5)/('Council Entry'!AV$6-'Council Entry'!AV$5),10*((IF('Council Entry'!AV$4="Logarithm",LN(0.001+IF(AND(ISNUMBER('Council Entry'!AV$8),ISNUMBER('Council Entry'!AV$9)),MAX(MIN('Council Entry'!AV102,'Council Entry'!AV$9),'Council Entry'!AV$8),'Council Entry'!AV102)),IF('Council Entry'!AV$4="Exponential",EXP(IF(AND(ISNUMBER('Council Entry'!AV$8),ISNUMBER('Council Entry'!AV$9)),MAX(MIN('Council Entry'!AV102,'Council Entry'!AV$9),'Council Entry'!AV$8),'Council Entry'!AV102)),IF(AND(ISNUMBER('Council Entry'!AV$8),ISNUMBER('Council Entry'!AV$9)),MAX(MIN('Council Entry'!AV102,'Council Entry'!AV$9),'Council Entry'!AV$8),'Council Entry'!AV102))))-'Council Entry'!AV$5)/('Council Entry'!AV$6-'Council Entry'!AV$5)),1))),"No data"))</f>
        <v/>
      </c>
      <c r="AW102" s="13">
        <f>IF('Council Entry'!AW102="","",IFERROR(MAX(0,MIN(10,ROUND(IF('Council Entry'!AW$7="Decrease Risk",10-10*((IF('Council Entry'!AW$4="Logarithm",LN(0.001+IF(AND(ISNUMBER('Council Entry'!AW$8),ISNUMBER('Council Entry'!AW$9)),MAX(MIN('Council Entry'!AW102,'Council Entry'!AW$9),'Council Entry'!AW$8),'Council Entry'!AW102)),IF('Council Entry'!AW$4="Exponential",EXP(IF(AND(ISNUMBER('Council Entry'!AW$8),ISNUMBER('Council Entry'!AW$9)),MAX(MIN('Council Entry'!AW102,'Council Entry'!AW$9),'Council Entry'!AW$8),'Council Entry'!AW102)),IF(AND(ISNUMBER('Council Entry'!AW$8),ISNUMBER('Council Entry'!AW$9)),MAX(MIN('Council Entry'!AW102,'Council Entry'!AW$9),'Council Entry'!AW$8),'Council Entry'!AW102))))-'Council Entry'!AW$5)/('Council Entry'!AW$6-'Council Entry'!AW$5),10*((IF('Council Entry'!AW$4="Logarithm",LN(0.001+IF(AND(ISNUMBER('Council Entry'!AW$8),ISNUMBER('Council Entry'!AW$9)),MAX(MIN('Council Entry'!AW102,'Council Entry'!AW$9),'Council Entry'!AW$8),'Council Entry'!AW102)),IF('Council Entry'!AW$4="Exponential",EXP(IF(AND(ISNUMBER('Council Entry'!AW$8),ISNUMBER('Council Entry'!AW$9)),MAX(MIN('Council Entry'!AW102,'Council Entry'!AW$9),'Council Entry'!AW$8),'Council Entry'!AW102)),IF(AND(ISNUMBER('Council Entry'!AW$8),ISNUMBER('Council Entry'!AW$9)),MAX(MIN('Council Entry'!AW102,'Council Entry'!AW$9),'Council Entry'!AW$8),'Council Entry'!AW102))))-'Council Entry'!AW$5)/('Council Entry'!AW$6-'Council Entry'!AW$5)),1))),"No data"))</f>
        <v/>
      </c>
      <c r="AX102" s="13">
        <f>IF('Council Entry'!AX102="","",IFERROR(MAX(0,MIN(10,ROUND(IF('Council Entry'!AX$7="Decrease Risk",10-10*((IF('Council Entry'!AX$4="Logarithm",LN(0.001+IF(AND(ISNUMBER('Council Entry'!AX$8),ISNUMBER('Council Entry'!AX$9)),MAX(MIN('Council Entry'!AX102,'Council Entry'!AX$9),'Council Entry'!AX$8),'Council Entry'!AX102)),IF('Council Entry'!AX$4="Exponential",EXP(IF(AND(ISNUMBER('Council Entry'!AX$8),ISNUMBER('Council Entry'!AX$9)),MAX(MIN('Council Entry'!AX102,'Council Entry'!AX$9),'Council Entry'!AX$8),'Council Entry'!AX102)),IF(AND(ISNUMBER('Council Entry'!AX$8),ISNUMBER('Council Entry'!AX$9)),MAX(MIN('Council Entry'!AX102,'Council Entry'!AX$9),'Council Entry'!AX$8),'Council Entry'!AX102))))-'Council Entry'!AX$5)/('Council Entry'!AX$6-'Council Entry'!AX$5),10*((IF('Council Entry'!AX$4="Logarithm",LN(0.001+IF(AND(ISNUMBER('Council Entry'!AX$8),ISNUMBER('Council Entry'!AX$9)),MAX(MIN('Council Entry'!AX102,'Council Entry'!AX$9),'Council Entry'!AX$8),'Council Entry'!AX102)),IF('Council Entry'!AX$4="Exponential",EXP(IF(AND(ISNUMBER('Council Entry'!AX$8),ISNUMBER('Council Entry'!AX$9)),MAX(MIN('Council Entry'!AX102,'Council Entry'!AX$9),'Council Entry'!AX$8),'Council Entry'!AX102)),IF(AND(ISNUMBER('Council Entry'!AX$8),ISNUMBER('Council Entry'!AX$9)),MAX(MIN('Council Entry'!AX102,'Council Entry'!AX$9),'Council Entry'!AX$8),'Council Entry'!AX102))))-'Council Entry'!AX$5)/('Council Entry'!AX$6-'Council Entry'!AX$5)),1))),"No data"))</f>
        <v/>
      </c>
      <c r="AY102" s="13">
        <f>IF('Council Entry'!AY102="","",IFERROR(MAX(0,MIN(10,ROUND(IF('Council Entry'!AY$7="Decrease Risk",10-10*((IF('Council Entry'!AY$4="Logarithm",LN(0.001+IF(AND(ISNUMBER('Council Entry'!AY$8),ISNUMBER('Council Entry'!AY$9)),MAX(MIN('Council Entry'!AY102,'Council Entry'!AY$9),'Council Entry'!AY$8),'Council Entry'!AY102)),IF('Council Entry'!AY$4="Exponential",EXP(IF(AND(ISNUMBER('Council Entry'!AY$8),ISNUMBER('Council Entry'!AY$9)),MAX(MIN('Council Entry'!AY102,'Council Entry'!AY$9),'Council Entry'!AY$8),'Council Entry'!AY102)),IF(AND(ISNUMBER('Council Entry'!AY$8),ISNUMBER('Council Entry'!AY$9)),MAX(MIN('Council Entry'!AY102,'Council Entry'!AY$9),'Council Entry'!AY$8),'Council Entry'!AY102))))-'Council Entry'!AY$5)/('Council Entry'!AY$6-'Council Entry'!AY$5),10*((IF('Council Entry'!AY$4="Logarithm",LN(0.001+IF(AND(ISNUMBER('Council Entry'!AY$8),ISNUMBER('Council Entry'!AY$9)),MAX(MIN('Council Entry'!AY102,'Council Entry'!AY$9),'Council Entry'!AY$8),'Council Entry'!AY102)),IF('Council Entry'!AY$4="Exponential",EXP(IF(AND(ISNUMBER('Council Entry'!AY$8),ISNUMBER('Council Entry'!AY$9)),MAX(MIN('Council Entry'!AY102,'Council Entry'!AY$9),'Council Entry'!AY$8),'Council Entry'!AY102)),IF(AND(ISNUMBER('Council Entry'!AY$8),ISNUMBER('Council Entry'!AY$9)),MAX(MIN('Council Entry'!AY102,'Council Entry'!AY$9),'Council Entry'!AY$8),'Council Entry'!AY102))))-'Council Entry'!AY$5)/('Council Entry'!AY$6-'Council Entry'!AY$5)),1))),"No data"))</f>
        <v/>
      </c>
      <c r="AZ102" s="13">
        <f>IF('Council Entry'!AZ102="","",IFERROR(MAX(0,MIN(10,ROUND(IF('Council Entry'!AZ$7="Decrease Risk",10-10*((IF('Council Entry'!AZ$4="Logarithm",LN(0.001+IF(AND(ISNUMBER('Council Entry'!AZ$8),ISNUMBER('Council Entry'!AZ$9)),MAX(MIN('Council Entry'!AZ102,'Council Entry'!AZ$9),'Council Entry'!AZ$8),'Council Entry'!AZ102)),IF('Council Entry'!AZ$4="Exponential",EXP(IF(AND(ISNUMBER('Council Entry'!AZ$8),ISNUMBER('Council Entry'!AZ$9)),MAX(MIN('Council Entry'!AZ102,'Council Entry'!AZ$9),'Council Entry'!AZ$8),'Council Entry'!AZ102)),IF(AND(ISNUMBER('Council Entry'!AZ$8),ISNUMBER('Council Entry'!AZ$9)),MAX(MIN('Council Entry'!AZ102,'Council Entry'!AZ$9),'Council Entry'!AZ$8),'Council Entry'!AZ102))))-'Council Entry'!AZ$5)/('Council Entry'!AZ$6-'Council Entry'!AZ$5),10*((IF('Council Entry'!AZ$4="Logarithm",LN(0.001+IF(AND(ISNUMBER('Council Entry'!AZ$8),ISNUMBER('Council Entry'!AZ$9)),MAX(MIN('Council Entry'!AZ102,'Council Entry'!AZ$9),'Council Entry'!AZ$8),'Council Entry'!AZ102)),IF('Council Entry'!AZ$4="Exponential",EXP(IF(AND(ISNUMBER('Council Entry'!AZ$8),ISNUMBER('Council Entry'!AZ$9)),MAX(MIN('Council Entry'!AZ102,'Council Entry'!AZ$9),'Council Entry'!AZ$8),'Council Entry'!AZ102)),IF(AND(ISNUMBER('Council Entry'!AZ$8),ISNUMBER('Council Entry'!AZ$9)),MAX(MIN('Council Entry'!AZ102,'Council Entry'!AZ$9),'Council Entry'!AZ$8),'Council Entry'!AZ102))))-'Council Entry'!AZ$5)/('Council Entry'!AZ$6-'Council Entry'!AZ$5)),1))),"No data"))</f>
        <v/>
      </c>
      <c r="BA102" s="13">
        <f>IF('Council Entry'!BA102="","",IFERROR(MAX(0,MIN(10,ROUND(IF('Council Entry'!BA$7="Decrease Risk",10-10*((IF('Council Entry'!BA$4="Logarithm",LN(0.001+IF(AND(ISNUMBER('Council Entry'!BA$8),ISNUMBER('Council Entry'!BA$9)),MAX(MIN('Council Entry'!BA102,'Council Entry'!BA$9),'Council Entry'!BA$8),'Council Entry'!BA102)),IF('Council Entry'!BA$4="Exponential",EXP(IF(AND(ISNUMBER('Council Entry'!BA$8),ISNUMBER('Council Entry'!BA$9)),MAX(MIN('Council Entry'!BA102,'Council Entry'!BA$9),'Council Entry'!BA$8),'Council Entry'!BA102)),IF(AND(ISNUMBER('Council Entry'!BA$8),ISNUMBER('Council Entry'!BA$9)),MAX(MIN('Council Entry'!BA102,'Council Entry'!BA$9),'Council Entry'!BA$8),'Council Entry'!BA102))))-'Council Entry'!BA$5)/('Council Entry'!BA$6-'Council Entry'!BA$5),10*((IF('Council Entry'!BA$4="Logarithm",LN(0.001+IF(AND(ISNUMBER('Council Entry'!BA$8),ISNUMBER('Council Entry'!BA$9)),MAX(MIN('Council Entry'!BA102,'Council Entry'!BA$9),'Council Entry'!BA$8),'Council Entry'!BA102)),IF('Council Entry'!BA$4="Exponential",EXP(IF(AND(ISNUMBER('Council Entry'!BA$8),ISNUMBER('Council Entry'!BA$9)),MAX(MIN('Council Entry'!BA102,'Council Entry'!BA$9),'Council Entry'!BA$8),'Council Entry'!BA102)),IF(AND(ISNUMBER('Council Entry'!BA$8),ISNUMBER('Council Entry'!BA$9)),MAX(MIN('Council Entry'!BA102,'Council Entry'!BA$9),'Council Entry'!BA$8),'Council Entry'!BA102))))-'Council Entry'!BA$5)/('Council Entry'!BA$6-'Council Entry'!BA$5)),1))),"No data"))</f>
        <v/>
      </c>
      <c r="BB102" s="13">
        <f>IF('Council Entry'!BB102="","",IFERROR(MAX(0,MIN(10,ROUND(IF('Council Entry'!BB$7="Decrease Risk",10-10*((IF('Council Entry'!BB$4="Logarithm",LN(0.001+IF(AND(ISNUMBER('Council Entry'!BB$8),ISNUMBER('Council Entry'!BB$9)),MAX(MIN('Council Entry'!BB102,'Council Entry'!BB$9),'Council Entry'!BB$8),'Council Entry'!BB102)),IF('Council Entry'!BB$4="Exponential",EXP(IF(AND(ISNUMBER('Council Entry'!BB$8),ISNUMBER('Council Entry'!BB$9)),MAX(MIN('Council Entry'!BB102,'Council Entry'!BB$9),'Council Entry'!BB$8),'Council Entry'!BB102)),IF(AND(ISNUMBER('Council Entry'!BB$8),ISNUMBER('Council Entry'!BB$9)),MAX(MIN('Council Entry'!BB102,'Council Entry'!BB$9),'Council Entry'!BB$8),'Council Entry'!BB102))))-'Council Entry'!BB$5)/('Council Entry'!BB$6-'Council Entry'!BB$5),10*((IF('Council Entry'!BB$4="Logarithm",LN(0.001+IF(AND(ISNUMBER('Council Entry'!BB$8),ISNUMBER('Council Entry'!BB$9)),MAX(MIN('Council Entry'!BB102,'Council Entry'!BB$9),'Council Entry'!BB$8),'Council Entry'!BB102)),IF('Council Entry'!BB$4="Exponential",EXP(IF(AND(ISNUMBER('Council Entry'!BB$8),ISNUMBER('Council Entry'!BB$9)),MAX(MIN('Council Entry'!BB102,'Council Entry'!BB$9),'Council Entry'!BB$8),'Council Entry'!BB102)),IF(AND(ISNUMBER('Council Entry'!BB$8),ISNUMBER('Council Entry'!BB$9)),MAX(MIN('Council Entry'!BB102,'Council Entry'!BB$9),'Council Entry'!BB$8),'Council Entry'!BB102))))-'Council Entry'!BB$5)/('Council Entry'!BB$6-'Council Entry'!BB$5)),1))),"No data"))</f>
        <v/>
      </c>
      <c r="BC102" s="13">
        <f>IF('Council Entry'!BC102="","",IFERROR(MAX(0,MIN(10,ROUND(IF('Council Entry'!BC$7="Decrease Risk",10-10*((IF('Council Entry'!BC$4="Logarithm",LN(0.001+IF(AND(ISNUMBER('Council Entry'!BC$8),ISNUMBER('Council Entry'!BC$9)),MAX(MIN('Council Entry'!BC102,'Council Entry'!BC$9),'Council Entry'!BC$8),'Council Entry'!BC102)),IF('Council Entry'!BC$4="Exponential",EXP(IF(AND(ISNUMBER('Council Entry'!BC$8),ISNUMBER('Council Entry'!BC$9)),MAX(MIN('Council Entry'!BC102,'Council Entry'!BC$9),'Council Entry'!BC$8),'Council Entry'!BC102)),IF(AND(ISNUMBER('Council Entry'!BC$8),ISNUMBER('Council Entry'!BC$9)),MAX(MIN('Council Entry'!BC102,'Council Entry'!BC$9),'Council Entry'!BC$8),'Council Entry'!BC102))))-'Council Entry'!BC$5)/('Council Entry'!BC$6-'Council Entry'!BC$5),10*((IF('Council Entry'!BC$4="Logarithm",LN(0.001+IF(AND(ISNUMBER('Council Entry'!BC$8),ISNUMBER('Council Entry'!BC$9)),MAX(MIN('Council Entry'!BC102,'Council Entry'!BC$9),'Council Entry'!BC$8),'Council Entry'!BC102)),IF('Council Entry'!BC$4="Exponential",EXP(IF(AND(ISNUMBER('Council Entry'!BC$8),ISNUMBER('Council Entry'!BC$9)),MAX(MIN('Council Entry'!BC102,'Council Entry'!BC$9),'Council Entry'!BC$8),'Council Entry'!BC102)),IF(AND(ISNUMBER('Council Entry'!BC$8),ISNUMBER('Council Entry'!BC$9)),MAX(MIN('Council Entry'!BC102,'Council Entry'!BC$9),'Council Entry'!BC$8),'Council Entry'!BC102))))-'Council Entry'!BC$5)/('Council Entry'!BC$6-'Council Entry'!BC$5)),1))),"No data"))</f>
        <v/>
      </c>
      <c r="BD102" s="13">
        <f>IF('Council Entry'!BD102="","",IFERROR(MAX(0,MIN(10,ROUND(IF('Council Entry'!BD$7="Decrease Risk",10-10*((IF('Council Entry'!BD$4="Logarithm",LN(0.001+IF(AND(ISNUMBER('Council Entry'!BD$8),ISNUMBER('Council Entry'!BD$9)),MAX(MIN('Council Entry'!BD102,'Council Entry'!BD$9),'Council Entry'!BD$8),'Council Entry'!BD102)),IF('Council Entry'!BD$4="Exponential",EXP(IF(AND(ISNUMBER('Council Entry'!BD$8),ISNUMBER('Council Entry'!BD$9)),MAX(MIN('Council Entry'!BD102,'Council Entry'!BD$9),'Council Entry'!BD$8),'Council Entry'!BD102)),IF(AND(ISNUMBER('Council Entry'!BD$8),ISNUMBER('Council Entry'!BD$9)),MAX(MIN('Council Entry'!BD102,'Council Entry'!BD$9),'Council Entry'!BD$8),'Council Entry'!BD102))))-'Council Entry'!BD$5)/('Council Entry'!BD$6-'Council Entry'!BD$5),10*((IF('Council Entry'!BD$4="Logarithm",LN(0.001+IF(AND(ISNUMBER('Council Entry'!BD$8),ISNUMBER('Council Entry'!BD$9)),MAX(MIN('Council Entry'!BD102,'Council Entry'!BD$9),'Council Entry'!BD$8),'Council Entry'!BD102)),IF('Council Entry'!BD$4="Exponential",EXP(IF(AND(ISNUMBER('Council Entry'!BD$8),ISNUMBER('Council Entry'!BD$9)),MAX(MIN('Council Entry'!BD102,'Council Entry'!BD$9),'Council Entry'!BD$8),'Council Entry'!BD102)),IF(AND(ISNUMBER('Council Entry'!BD$8),ISNUMBER('Council Entry'!BD$9)),MAX(MIN('Council Entry'!BD102,'Council Entry'!BD$9),'Council Entry'!BD$8),'Council Entry'!BD102))))-'Council Entry'!BD$5)/('Council Entry'!BD$6-'Council Entry'!BD$5)),1))),"No data"))</f>
        <v/>
      </c>
    </row>
    <row r="103">
      <c r="A103" t="inlineStr">
        <is>
          <t>Mbeya</t>
        </is>
      </c>
      <c r="B103" t="inlineStr">
        <is>
          <t>Mbarali District</t>
        </is>
      </c>
      <c r="C103" t="inlineStr">
        <is>
          <t>C091</t>
        </is>
      </c>
      <c r="D103" s="13">
        <f>IF('Council Entry'!D103="","",IFERROR(MAX(0,MIN(10,ROUND(IF('Council Entry'!D$7="Decrease Risk",10-10*((IF('Council Entry'!D$4="Logarithm",LN(0.001+IF(AND(ISNUMBER('Council Entry'!D$8),ISNUMBER('Council Entry'!D$9)),MAX(MIN('Council Entry'!D103,'Council Entry'!D$9),'Council Entry'!D$8),'Council Entry'!D103)),IF('Council Entry'!D$4="Exponential",EXP(IF(AND(ISNUMBER('Council Entry'!D$8),ISNUMBER('Council Entry'!D$9)),MAX(MIN('Council Entry'!D103,'Council Entry'!D$9),'Council Entry'!D$8),'Council Entry'!D103)),IF(AND(ISNUMBER('Council Entry'!D$8),ISNUMBER('Council Entry'!D$9)),MAX(MIN('Council Entry'!D103,'Council Entry'!D$9),'Council Entry'!D$8),'Council Entry'!D103))))-'Council Entry'!D$5)/('Council Entry'!D$6-'Council Entry'!D$5),10*((IF('Council Entry'!D$4="Logarithm",LN(0.001+IF(AND(ISNUMBER('Council Entry'!D$8),ISNUMBER('Council Entry'!D$9)),MAX(MIN('Council Entry'!D103,'Council Entry'!D$9),'Council Entry'!D$8),'Council Entry'!D103)),IF('Council Entry'!D$4="Exponential",EXP(IF(AND(ISNUMBER('Council Entry'!D$8),ISNUMBER('Council Entry'!D$9)),MAX(MIN('Council Entry'!D103,'Council Entry'!D$9),'Council Entry'!D$8),'Council Entry'!D103)),IF(AND(ISNUMBER('Council Entry'!D$8),ISNUMBER('Council Entry'!D$9)),MAX(MIN('Council Entry'!D103,'Council Entry'!D$9),'Council Entry'!D$8),'Council Entry'!D103))))-'Council Entry'!D$5)/('Council Entry'!D$6-'Council Entry'!D$5)),1))),"No data"))</f>
        <v/>
      </c>
      <c r="E103" s="13">
        <f>IF('Council Entry'!E103="","",IFERROR(MAX(0,MIN(10,ROUND(IF('Council Entry'!E$7="Decrease Risk",10-10*((IF('Council Entry'!E$4="Logarithm",LN(0.001+IF(AND(ISNUMBER('Council Entry'!E$8),ISNUMBER('Council Entry'!E$9)),MAX(MIN('Council Entry'!E103,'Council Entry'!E$9),'Council Entry'!E$8),'Council Entry'!E103)),IF('Council Entry'!E$4="Exponential",EXP(IF(AND(ISNUMBER('Council Entry'!E$8),ISNUMBER('Council Entry'!E$9)),MAX(MIN('Council Entry'!E103,'Council Entry'!E$9),'Council Entry'!E$8),'Council Entry'!E103)),IF(AND(ISNUMBER('Council Entry'!E$8),ISNUMBER('Council Entry'!E$9)),MAX(MIN('Council Entry'!E103,'Council Entry'!E$9),'Council Entry'!E$8),'Council Entry'!E103))))-'Council Entry'!E$5)/('Council Entry'!E$6-'Council Entry'!E$5),10*((IF('Council Entry'!E$4="Logarithm",LN(0.001+IF(AND(ISNUMBER('Council Entry'!E$8),ISNUMBER('Council Entry'!E$9)),MAX(MIN('Council Entry'!E103,'Council Entry'!E$9),'Council Entry'!E$8),'Council Entry'!E103)),IF('Council Entry'!E$4="Exponential",EXP(IF(AND(ISNUMBER('Council Entry'!E$8),ISNUMBER('Council Entry'!E$9)),MAX(MIN('Council Entry'!E103,'Council Entry'!E$9),'Council Entry'!E$8),'Council Entry'!E103)),IF(AND(ISNUMBER('Council Entry'!E$8),ISNUMBER('Council Entry'!E$9)),MAX(MIN('Council Entry'!E103,'Council Entry'!E$9),'Council Entry'!E$8),'Council Entry'!E103))))-'Council Entry'!E$5)/('Council Entry'!E$6-'Council Entry'!E$5)),1))),"No data"))</f>
        <v/>
      </c>
      <c r="F103" s="13">
        <f>IF('Council Entry'!F103="","",IFERROR(MAX(0,MIN(10,ROUND(IF('Council Entry'!F$7="Decrease Risk",10-10*((IF('Council Entry'!F$4="Logarithm",LN(0.001+IF(AND(ISNUMBER('Council Entry'!F$8),ISNUMBER('Council Entry'!F$9)),MAX(MIN('Council Entry'!F103,'Council Entry'!F$9),'Council Entry'!F$8),'Council Entry'!F103)),IF('Council Entry'!F$4="Exponential",EXP(IF(AND(ISNUMBER('Council Entry'!F$8),ISNUMBER('Council Entry'!F$9)),MAX(MIN('Council Entry'!F103,'Council Entry'!F$9),'Council Entry'!F$8),'Council Entry'!F103)),IF(AND(ISNUMBER('Council Entry'!F$8),ISNUMBER('Council Entry'!F$9)),MAX(MIN('Council Entry'!F103,'Council Entry'!F$9),'Council Entry'!F$8),'Council Entry'!F103))))-'Council Entry'!F$5)/('Council Entry'!F$6-'Council Entry'!F$5),10*((IF('Council Entry'!F$4="Logarithm",LN(0.001+IF(AND(ISNUMBER('Council Entry'!F$8),ISNUMBER('Council Entry'!F$9)),MAX(MIN('Council Entry'!F103,'Council Entry'!F$9),'Council Entry'!F$8),'Council Entry'!F103)),IF('Council Entry'!F$4="Exponential",EXP(IF(AND(ISNUMBER('Council Entry'!F$8),ISNUMBER('Council Entry'!F$9)),MAX(MIN('Council Entry'!F103,'Council Entry'!F$9),'Council Entry'!F$8),'Council Entry'!F103)),IF(AND(ISNUMBER('Council Entry'!F$8),ISNUMBER('Council Entry'!F$9)),MAX(MIN('Council Entry'!F103,'Council Entry'!F$9),'Council Entry'!F$8),'Council Entry'!F103))))-'Council Entry'!F$5)/('Council Entry'!F$6-'Council Entry'!F$5)),1))),"No data"))</f>
        <v/>
      </c>
      <c r="G103" s="13">
        <f>IF('Council Entry'!G103="","",IFERROR(MAX(0,MIN(10,ROUND(IF('Council Entry'!G$7="Decrease Risk",10-10*((IF('Council Entry'!G$4="Logarithm",LN(0.001+IF(AND(ISNUMBER('Council Entry'!G$8),ISNUMBER('Council Entry'!G$9)),MAX(MIN('Council Entry'!G103,'Council Entry'!G$9),'Council Entry'!G$8),'Council Entry'!G103)),IF('Council Entry'!G$4="Exponential",EXP(IF(AND(ISNUMBER('Council Entry'!G$8),ISNUMBER('Council Entry'!G$9)),MAX(MIN('Council Entry'!G103,'Council Entry'!G$9),'Council Entry'!G$8),'Council Entry'!G103)),IF(AND(ISNUMBER('Council Entry'!G$8),ISNUMBER('Council Entry'!G$9)),MAX(MIN('Council Entry'!G103,'Council Entry'!G$9),'Council Entry'!G$8),'Council Entry'!G103))))-'Council Entry'!G$5)/('Council Entry'!G$6-'Council Entry'!G$5),10*((IF('Council Entry'!G$4="Logarithm",LN(0.001+IF(AND(ISNUMBER('Council Entry'!G$8),ISNUMBER('Council Entry'!G$9)),MAX(MIN('Council Entry'!G103,'Council Entry'!G$9),'Council Entry'!G$8),'Council Entry'!G103)),IF('Council Entry'!G$4="Exponential",EXP(IF(AND(ISNUMBER('Council Entry'!G$8),ISNUMBER('Council Entry'!G$9)),MAX(MIN('Council Entry'!G103,'Council Entry'!G$9),'Council Entry'!G$8),'Council Entry'!G103)),IF(AND(ISNUMBER('Council Entry'!G$8),ISNUMBER('Council Entry'!G$9)),MAX(MIN('Council Entry'!G103,'Council Entry'!G$9),'Council Entry'!G$8),'Council Entry'!G103))))-'Council Entry'!G$5)/('Council Entry'!G$6-'Council Entry'!G$5)),1))),"No data"))</f>
        <v/>
      </c>
      <c r="H103" s="13">
        <f>IF('Council Entry'!H103="","",IFERROR(MAX(0,MIN(10,ROUND(IF('Council Entry'!H$7="Decrease Risk",10-10*((IF('Council Entry'!H$4="Logarithm",LN(0.001+IF(AND(ISNUMBER('Council Entry'!H$8),ISNUMBER('Council Entry'!H$9)),MAX(MIN('Council Entry'!H103,'Council Entry'!H$9),'Council Entry'!H$8),'Council Entry'!H103)),IF('Council Entry'!H$4="Exponential",EXP(IF(AND(ISNUMBER('Council Entry'!H$8),ISNUMBER('Council Entry'!H$9)),MAX(MIN('Council Entry'!H103,'Council Entry'!H$9),'Council Entry'!H$8),'Council Entry'!H103)),IF(AND(ISNUMBER('Council Entry'!H$8),ISNUMBER('Council Entry'!H$9)),MAX(MIN('Council Entry'!H103,'Council Entry'!H$9),'Council Entry'!H$8),'Council Entry'!H103))))-'Council Entry'!H$5)/('Council Entry'!H$6-'Council Entry'!H$5),10*((IF('Council Entry'!H$4="Logarithm",LN(0.001+IF(AND(ISNUMBER('Council Entry'!H$8),ISNUMBER('Council Entry'!H$9)),MAX(MIN('Council Entry'!H103,'Council Entry'!H$9),'Council Entry'!H$8),'Council Entry'!H103)),IF('Council Entry'!H$4="Exponential",EXP(IF(AND(ISNUMBER('Council Entry'!H$8),ISNUMBER('Council Entry'!H$9)),MAX(MIN('Council Entry'!H103,'Council Entry'!H$9),'Council Entry'!H$8),'Council Entry'!H103)),IF(AND(ISNUMBER('Council Entry'!H$8),ISNUMBER('Council Entry'!H$9)),MAX(MIN('Council Entry'!H103,'Council Entry'!H$9),'Council Entry'!H$8),'Council Entry'!H103))))-'Council Entry'!H$5)/('Council Entry'!H$6-'Council Entry'!H$5)),1))),"No data"))</f>
        <v/>
      </c>
      <c r="I103" s="13">
        <f>IF('Council Entry'!I103="","",IFERROR(MAX(0,MIN(10,ROUND(IF('Council Entry'!I$7="Decrease Risk",10-10*((IF('Council Entry'!I$4="Logarithm",LN(0.001+IF(AND(ISNUMBER('Council Entry'!I$8),ISNUMBER('Council Entry'!I$9)),MAX(MIN('Council Entry'!I103,'Council Entry'!I$9),'Council Entry'!I$8),'Council Entry'!I103)),IF('Council Entry'!I$4="Exponential",EXP(IF(AND(ISNUMBER('Council Entry'!I$8),ISNUMBER('Council Entry'!I$9)),MAX(MIN('Council Entry'!I103,'Council Entry'!I$9),'Council Entry'!I$8),'Council Entry'!I103)),IF(AND(ISNUMBER('Council Entry'!I$8),ISNUMBER('Council Entry'!I$9)),MAX(MIN('Council Entry'!I103,'Council Entry'!I$9),'Council Entry'!I$8),'Council Entry'!I103))))-'Council Entry'!I$5)/('Council Entry'!I$6-'Council Entry'!I$5),10*((IF('Council Entry'!I$4="Logarithm",LN(0.001+IF(AND(ISNUMBER('Council Entry'!I$8),ISNUMBER('Council Entry'!I$9)),MAX(MIN('Council Entry'!I103,'Council Entry'!I$9),'Council Entry'!I$8),'Council Entry'!I103)),IF('Council Entry'!I$4="Exponential",EXP(IF(AND(ISNUMBER('Council Entry'!I$8),ISNUMBER('Council Entry'!I$9)),MAX(MIN('Council Entry'!I103,'Council Entry'!I$9),'Council Entry'!I$8),'Council Entry'!I103)),IF(AND(ISNUMBER('Council Entry'!I$8),ISNUMBER('Council Entry'!I$9)),MAX(MIN('Council Entry'!I103,'Council Entry'!I$9),'Council Entry'!I$8),'Council Entry'!I103))))-'Council Entry'!I$5)/('Council Entry'!I$6-'Council Entry'!I$5)),1))),"No data"))</f>
        <v/>
      </c>
      <c r="J103" s="13">
        <f>IF('Council Entry'!J103="","",IFERROR(MAX(0,MIN(10,ROUND(IF('Council Entry'!J$7="Decrease Risk",10-10*((IF('Council Entry'!J$4="Logarithm",LN(0.001+IF(AND(ISNUMBER('Council Entry'!J$8),ISNUMBER('Council Entry'!J$9)),MAX(MIN('Council Entry'!J103,'Council Entry'!J$9),'Council Entry'!J$8),'Council Entry'!J103)),IF('Council Entry'!J$4="Exponential",EXP(IF(AND(ISNUMBER('Council Entry'!J$8),ISNUMBER('Council Entry'!J$9)),MAX(MIN('Council Entry'!J103,'Council Entry'!J$9),'Council Entry'!J$8),'Council Entry'!J103)),IF(AND(ISNUMBER('Council Entry'!J$8),ISNUMBER('Council Entry'!J$9)),MAX(MIN('Council Entry'!J103,'Council Entry'!J$9),'Council Entry'!J$8),'Council Entry'!J103))))-'Council Entry'!J$5)/('Council Entry'!J$6-'Council Entry'!J$5),10*((IF('Council Entry'!J$4="Logarithm",LN(0.001+IF(AND(ISNUMBER('Council Entry'!J$8),ISNUMBER('Council Entry'!J$9)),MAX(MIN('Council Entry'!J103,'Council Entry'!J$9),'Council Entry'!J$8),'Council Entry'!J103)),IF('Council Entry'!J$4="Exponential",EXP(IF(AND(ISNUMBER('Council Entry'!J$8),ISNUMBER('Council Entry'!J$9)),MAX(MIN('Council Entry'!J103,'Council Entry'!J$9),'Council Entry'!J$8),'Council Entry'!J103)),IF(AND(ISNUMBER('Council Entry'!J$8),ISNUMBER('Council Entry'!J$9)),MAX(MIN('Council Entry'!J103,'Council Entry'!J$9),'Council Entry'!J$8),'Council Entry'!J103))))-'Council Entry'!J$5)/('Council Entry'!J$6-'Council Entry'!J$5)),1))),"No data"))</f>
        <v/>
      </c>
      <c r="K103" s="13">
        <f>IF('Council Entry'!K103="","",IFERROR(MAX(0,MIN(10,ROUND(IF('Council Entry'!K$7="Decrease Risk",10-10*((IF('Council Entry'!K$4="Logarithm",LN(0.001+IF(AND(ISNUMBER('Council Entry'!K$8),ISNUMBER('Council Entry'!K$9)),MAX(MIN('Council Entry'!K103,'Council Entry'!K$9),'Council Entry'!K$8),'Council Entry'!K103)),IF('Council Entry'!K$4="Exponential",EXP(IF(AND(ISNUMBER('Council Entry'!K$8),ISNUMBER('Council Entry'!K$9)),MAX(MIN('Council Entry'!K103,'Council Entry'!K$9),'Council Entry'!K$8),'Council Entry'!K103)),IF(AND(ISNUMBER('Council Entry'!K$8),ISNUMBER('Council Entry'!K$9)),MAX(MIN('Council Entry'!K103,'Council Entry'!K$9),'Council Entry'!K$8),'Council Entry'!K103))))-'Council Entry'!K$5)/('Council Entry'!K$6-'Council Entry'!K$5),10*((IF('Council Entry'!K$4="Logarithm",LN(0.001+IF(AND(ISNUMBER('Council Entry'!K$8),ISNUMBER('Council Entry'!K$9)),MAX(MIN('Council Entry'!K103,'Council Entry'!K$9),'Council Entry'!K$8),'Council Entry'!K103)),IF('Council Entry'!K$4="Exponential",EXP(IF(AND(ISNUMBER('Council Entry'!K$8),ISNUMBER('Council Entry'!K$9)),MAX(MIN('Council Entry'!K103,'Council Entry'!K$9),'Council Entry'!K$8),'Council Entry'!K103)),IF(AND(ISNUMBER('Council Entry'!K$8),ISNUMBER('Council Entry'!K$9)),MAX(MIN('Council Entry'!K103,'Council Entry'!K$9),'Council Entry'!K$8),'Council Entry'!K103))))-'Council Entry'!K$5)/('Council Entry'!K$6-'Council Entry'!K$5)),1))),"No data"))</f>
        <v/>
      </c>
      <c r="L103" s="13">
        <f>IF('Council Entry'!L103="","",IFERROR(MAX(0,MIN(10,ROUND(IF('Council Entry'!L$7="Decrease Risk",10-10*((IF('Council Entry'!L$4="Logarithm",LN(0.001+IF(AND(ISNUMBER('Council Entry'!L$8),ISNUMBER('Council Entry'!L$9)),MAX(MIN('Council Entry'!L103,'Council Entry'!L$9),'Council Entry'!L$8),'Council Entry'!L103)),IF('Council Entry'!L$4="Exponential",EXP(IF(AND(ISNUMBER('Council Entry'!L$8),ISNUMBER('Council Entry'!L$9)),MAX(MIN('Council Entry'!L103,'Council Entry'!L$9),'Council Entry'!L$8),'Council Entry'!L103)),IF(AND(ISNUMBER('Council Entry'!L$8),ISNUMBER('Council Entry'!L$9)),MAX(MIN('Council Entry'!L103,'Council Entry'!L$9),'Council Entry'!L$8),'Council Entry'!L103))))-'Council Entry'!L$5)/('Council Entry'!L$6-'Council Entry'!L$5),10*((IF('Council Entry'!L$4="Logarithm",LN(0.001+IF(AND(ISNUMBER('Council Entry'!L$8),ISNUMBER('Council Entry'!L$9)),MAX(MIN('Council Entry'!L103,'Council Entry'!L$9),'Council Entry'!L$8),'Council Entry'!L103)),IF('Council Entry'!L$4="Exponential",EXP(IF(AND(ISNUMBER('Council Entry'!L$8),ISNUMBER('Council Entry'!L$9)),MAX(MIN('Council Entry'!L103,'Council Entry'!L$9),'Council Entry'!L$8),'Council Entry'!L103)),IF(AND(ISNUMBER('Council Entry'!L$8),ISNUMBER('Council Entry'!L$9)),MAX(MIN('Council Entry'!L103,'Council Entry'!L$9),'Council Entry'!L$8),'Council Entry'!L103))))-'Council Entry'!L$5)/('Council Entry'!L$6-'Council Entry'!L$5)),1))),"No data"))</f>
        <v/>
      </c>
      <c r="M103" s="13">
        <f>IF('Council Entry'!M103="","",IFERROR(MAX(0,MIN(10,ROUND(IF('Council Entry'!M$7="Decrease Risk",10-10*((IF('Council Entry'!M$4="Logarithm",LN(0.001+IF(AND(ISNUMBER('Council Entry'!M$8),ISNUMBER('Council Entry'!M$9)),MAX(MIN('Council Entry'!M103,'Council Entry'!M$9),'Council Entry'!M$8),'Council Entry'!M103)),IF('Council Entry'!M$4="Exponential",EXP(IF(AND(ISNUMBER('Council Entry'!M$8),ISNUMBER('Council Entry'!M$9)),MAX(MIN('Council Entry'!M103,'Council Entry'!M$9),'Council Entry'!M$8),'Council Entry'!M103)),IF(AND(ISNUMBER('Council Entry'!M$8),ISNUMBER('Council Entry'!M$9)),MAX(MIN('Council Entry'!M103,'Council Entry'!M$9),'Council Entry'!M$8),'Council Entry'!M103))))-'Council Entry'!M$5)/('Council Entry'!M$6-'Council Entry'!M$5),10*((IF('Council Entry'!M$4="Logarithm",LN(0.001+IF(AND(ISNUMBER('Council Entry'!M$8),ISNUMBER('Council Entry'!M$9)),MAX(MIN('Council Entry'!M103,'Council Entry'!M$9),'Council Entry'!M$8),'Council Entry'!M103)),IF('Council Entry'!M$4="Exponential",EXP(IF(AND(ISNUMBER('Council Entry'!M$8),ISNUMBER('Council Entry'!M$9)),MAX(MIN('Council Entry'!M103,'Council Entry'!M$9),'Council Entry'!M$8),'Council Entry'!M103)),IF(AND(ISNUMBER('Council Entry'!M$8),ISNUMBER('Council Entry'!M$9)),MAX(MIN('Council Entry'!M103,'Council Entry'!M$9),'Council Entry'!M$8),'Council Entry'!M103))))-'Council Entry'!M$5)/('Council Entry'!M$6-'Council Entry'!M$5)),1))),"No data"))</f>
        <v/>
      </c>
      <c r="N103" s="13">
        <f>IF('Council Entry'!N103="","",IFERROR(MAX(0,MIN(10,ROUND(IF('Council Entry'!N$7="Decrease Risk",10-10*((IF('Council Entry'!N$4="Logarithm",LN(0.001+IF(AND(ISNUMBER('Council Entry'!N$8),ISNUMBER('Council Entry'!N$9)),MAX(MIN('Council Entry'!N103,'Council Entry'!N$9),'Council Entry'!N$8),'Council Entry'!N103)),IF('Council Entry'!N$4="Exponential",EXP(IF(AND(ISNUMBER('Council Entry'!N$8),ISNUMBER('Council Entry'!N$9)),MAX(MIN('Council Entry'!N103,'Council Entry'!N$9),'Council Entry'!N$8),'Council Entry'!N103)),IF(AND(ISNUMBER('Council Entry'!N$8),ISNUMBER('Council Entry'!N$9)),MAX(MIN('Council Entry'!N103,'Council Entry'!N$9),'Council Entry'!N$8),'Council Entry'!N103))))-'Council Entry'!N$5)/('Council Entry'!N$6-'Council Entry'!N$5),10*((IF('Council Entry'!N$4="Logarithm",LN(0.001+IF(AND(ISNUMBER('Council Entry'!N$8),ISNUMBER('Council Entry'!N$9)),MAX(MIN('Council Entry'!N103,'Council Entry'!N$9),'Council Entry'!N$8),'Council Entry'!N103)),IF('Council Entry'!N$4="Exponential",EXP(IF(AND(ISNUMBER('Council Entry'!N$8),ISNUMBER('Council Entry'!N$9)),MAX(MIN('Council Entry'!N103,'Council Entry'!N$9),'Council Entry'!N$8),'Council Entry'!N103)),IF(AND(ISNUMBER('Council Entry'!N$8),ISNUMBER('Council Entry'!N$9)),MAX(MIN('Council Entry'!N103,'Council Entry'!N$9),'Council Entry'!N$8),'Council Entry'!N103))))-'Council Entry'!N$5)/('Council Entry'!N$6-'Council Entry'!N$5)),1))),"No data"))</f>
        <v/>
      </c>
      <c r="O103" s="13">
        <f>IF('Council Entry'!O103="","",IFERROR(MAX(0,MIN(10,ROUND(IF('Council Entry'!O$7="Decrease Risk",10-10*((IF('Council Entry'!O$4="Logarithm",LN(0.001+IF(AND(ISNUMBER('Council Entry'!O$8),ISNUMBER('Council Entry'!O$9)),MAX(MIN('Council Entry'!O103,'Council Entry'!O$9),'Council Entry'!O$8),'Council Entry'!O103)),IF('Council Entry'!O$4="Exponential",EXP(IF(AND(ISNUMBER('Council Entry'!O$8),ISNUMBER('Council Entry'!O$9)),MAX(MIN('Council Entry'!O103,'Council Entry'!O$9),'Council Entry'!O$8),'Council Entry'!O103)),IF(AND(ISNUMBER('Council Entry'!O$8),ISNUMBER('Council Entry'!O$9)),MAX(MIN('Council Entry'!O103,'Council Entry'!O$9),'Council Entry'!O$8),'Council Entry'!O103))))-'Council Entry'!O$5)/('Council Entry'!O$6-'Council Entry'!O$5),10*((IF('Council Entry'!O$4="Logarithm",LN(0.001+IF(AND(ISNUMBER('Council Entry'!O$8),ISNUMBER('Council Entry'!O$9)),MAX(MIN('Council Entry'!O103,'Council Entry'!O$9),'Council Entry'!O$8),'Council Entry'!O103)),IF('Council Entry'!O$4="Exponential",EXP(IF(AND(ISNUMBER('Council Entry'!O$8),ISNUMBER('Council Entry'!O$9)),MAX(MIN('Council Entry'!O103,'Council Entry'!O$9),'Council Entry'!O$8),'Council Entry'!O103)),IF(AND(ISNUMBER('Council Entry'!O$8),ISNUMBER('Council Entry'!O$9)),MAX(MIN('Council Entry'!O103,'Council Entry'!O$9),'Council Entry'!O$8),'Council Entry'!O103))))-'Council Entry'!O$5)/('Council Entry'!O$6-'Council Entry'!O$5)),1))),"No data"))</f>
        <v/>
      </c>
      <c r="P103" s="13">
        <f>IF('Council Entry'!P103="","",IFERROR(MAX(0,MIN(10,ROUND(IF('Council Entry'!P$7="Decrease Risk",10-10*((IF('Council Entry'!P$4="Logarithm",LN(0.001+IF(AND(ISNUMBER('Council Entry'!P$8),ISNUMBER('Council Entry'!P$9)),MAX(MIN('Council Entry'!P103,'Council Entry'!P$9),'Council Entry'!P$8),'Council Entry'!P103)),IF('Council Entry'!P$4="Exponential",EXP(IF(AND(ISNUMBER('Council Entry'!P$8),ISNUMBER('Council Entry'!P$9)),MAX(MIN('Council Entry'!P103,'Council Entry'!P$9),'Council Entry'!P$8),'Council Entry'!P103)),IF(AND(ISNUMBER('Council Entry'!P$8),ISNUMBER('Council Entry'!P$9)),MAX(MIN('Council Entry'!P103,'Council Entry'!P$9),'Council Entry'!P$8),'Council Entry'!P103))))-'Council Entry'!P$5)/('Council Entry'!P$6-'Council Entry'!P$5),10*((IF('Council Entry'!P$4="Logarithm",LN(0.001+IF(AND(ISNUMBER('Council Entry'!P$8),ISNUMBER('Council Entry'!P$9)),MAX(MIN('Council Entry'!P103,'Council Entry'!P$9),'Council Entry'!P$8),'Council Entry'!P103)),IF('Council Entry'!P$4="Exponential",EXP(IF(AND(ISNUMBER('Council Entry'!P$8),ISNUMBER('Council Entry'!P$9)),MAX(MIN('Council Entry'!P103,'Council Entry'!P$9),'Council Entry'!P$8),'Council Entry'!P103)),IF(AND(ISNUMBER('Council Entry'!P$8),ISNUMBER('Council Entry'!P$9)),MAX(MIN('Council Entry'!P103,'Council Entry'!P$9),'Council Entry'!P$8),'Council Entry'!P103))))-'Council Entry'!P$5)/('Council Entry'!P$6-'Council Entry'!P$5)),1))),"No data"))</f>
        <v/>
      </c>
      <c r="Q103" s="13">
        <f>IF('Council Entry'!Q103="","",IFERROR(MAX(0,MIN(10,ROUND(IF('Council Entry'!Q$7="Decrease Risk",10-10*((IF('Council Entry'!Q$4="Logarithm",LN(0.001+IF(AND(ISNUMBER('Council Entry'!Q$8),ISNUMBER('Council Entry'!Q$9)),MAX(MIN('Council Entry'!Q103,'Council Entry'!Q$9),'Council Entry'!Q$8),'Council Entry'!Q103)),IF('Council Entry'!Q$4="Exponential",EXP(IF(AND(ISNUMBER('Council Entry'!Q$8),ISNUMBER('Council Entry'!Q$9)),MAX(MIN('Council Entry'!Q103,'Council Entry'!Q$9),'Council Entry'!Q$8),'Council Entry'!Q103)),IF(AND(ISNUMBER('Council Entry'!Q$8),ISNUMBER('Council Entry'!Q$9)),MAX(MIN('Council Entry'!Q103,'Council Entry'!Q$9),'Council Entry'!Q$8),'Council Entry'!Q103))))-'Council Entry'!Q$5)/('Council Entry'!Q$6-'Council Entry'!Q$5),10*((IF('Council Entry'!Q$4="Logarithm",LN(0.001+IF(AND(ISNUMBER('Council Entry'!Q$8),ISNUMBER('Council Entry'!Q$9)),MAX(MIN('Council Entry'!Q103,'Council Entry'!Q$9),'Council Entry'!Q$8),'Council Entry'!Q103)),IF('Council Entry'!Q$4="Exponential",EXP(IF(AND(ISNUMBER('Council Entry'!Q$8),ISNUMBER('Council Entry'!Q$9)),MAX(MIN('Council Entry'!Q103,'Council Entry'!Q$9),'Council Entry'!Q$8),'Council Entry'!Q103)),IF(AND(ISNUMBER('Council Entry'!Q$8),ISNUMBER('Council Entry'!Q$9)),MAX(MIN('Council Entry'!Q103,'Council Entry'!Q$9),'Council Entry'!Q$8),'Council Entry'!Q103))))-'Council Entry'!Q$5)/('Council Entry'!Q$6-'Council Entry'!Q$5)),1))),"No data"))</f>
        <v/>
      </c>
      <c r="R103" s="13">
        <f>IF('Council Entry'!R103="","",IFERROR(MAX(0,MIN(10,ROUND(IF('Council Entry'!R$7="Decrease Risk",10-10*((IF('Council Entry'!R$4="Logarithm",LN(0.001+IF(AND(ISNUMBER('Council Entry'!R$8),ISNUMBER('Council Entry'!R$9)),MAX(MIN('Council Entry'!R103,'Council Entry'!R$9),'Council Entry'!R$8),'Council Entry'!R103)),IF('Council Entry'!R$4="Exponential",EXP(IF(AND(ISNUMBER('Council Entry'!R$8),ISNUMBER('Council Entry'!R$9)),MAX(MIN('Council Entry'!R103,'Council Entry'!R$9),'Council Entry'!R$8),'Council Entry'!R103)),IF(AND(ISNUMBER('Council Entry'!R$8),ISNUMBER('Council Entry'!R$9)),MAX(MIN('Council Entry'!R103,'Council Entry'!R$9),'Council Entry'!R$8),'Council Entry'!R103))))-'Council Entry'!R$5)/('Council Entry'!R$6-'Council Entry'!R$5),10*((IF('Council Entry'!R$4="Logarithm",LN(0.001+IF(AND(ISNUMBER('Council Entry'!R$8),ISNUMBER('Council Entry'!R$9)),MAX(MIN('Council Entry'!R103,'Council Entry'!R$9),'Council Entry'!R$8),'Council Entry'!R103)),IF('Council Entry'!R$4="Exponential",EXP(IF(AND(ISNUMBER('Council Entry'!R$8),ISNUMBER('Council Entry'!R$9)),MAX(MIN('Council Entry'!R103,'Council Entry'!R$9),'Council Entry'!R$8),'Council Entry'!R103)),IF(AND(ISNUMBER('Council Entry'!R$8),ISNUMBER('Council Entry'!R$9)),MAX(MIN('Council Entry'!R103,'Council Entry'!R$9),'Council Entry'!R$8),'Council Entry'!R103))))-'Council Entry'!R$5)/('Council Entry'!R$6-'Council Entry'!R$5)),1))),"No data"))</f>
        <v/>
      </c>
      <c r="S103" s="13">
        <f>IF('Council Entry'!S103="","",IFERROR(MAX(0,MIN(10,ROUND(IF('Council Entry'!S$7="Decrease Risk",10-10*((IF('Council Entry'!S$4="Logarithm",LN(0.001+IF(AND(ISNUMBER('Council Entry'!S$8),ISNUMBER('Council Entry'!S$9)),MAX(MIN('Council Entry'!S103,'Council Entry'!S$9),'Council Entry'!S$8),'Council Entry'!S103)),IF('Council Entry'!S$4="Exponential",EXP(IF(AND(ISNUMBER('Council Entry'!S$8),ISNUMBER('Council Entry'!S$9)),MAX(MIN('Council Entry'!S103,'Council Entry'!S$9),'Council Entry'!S$8),'Council Entry'!S103)),IF(AND(ISNUMBER('Council Entry'!S$8),ISNUMBER('Council Entry'!S$9)),MAX(MIN('Council Entry'!S103,'Council Entry'!S$9),'Council Entry'!S$8),'Council Entry'!S103))))-'Council Entry'!S$5)/('Council Entry'!S$6-'Council Entry'!S$5),10*((IF('Council Entry'!S$4="Logarithm",LN(0.001+IF(AND(ISNUMBER('Council Entry'!S$8),ISNUMBER('Council Entry'!S$9)),MAX(MIN('Council Entry'!S103,'Council Entry'!S$9),'Council Entry'!S$8),'Council Entry'!S103)),IF('Council Entry'!S$4="Exponential",EXP(IF(AND(ISNUMBER('Council Entry'!S$8),ISNUMBER('Council Entry'!S$9)),MAX(MIN('Council Entry'!S103,'Council Entry'!S$9),'Council Entry'!S$8),'Council Entry'!S103)),IF(AND(ISNUMBER('Council Entry'!S$8),ISNUMBER('Council Entry'!S$9)),MAX(MIN('Council Entry'!S103,'Council Entry'!S$9),'Council Entry'!S$8),'Council Entry'!S103))))-'Council Entry'!S$5)/('Council Entry'!S$6-'Council Entry'!S$5)),1))),"No data"))</f>
        <v/>
      </c>
      <c r="T103" s="13">
        <f>IF('Council Entry'!T103="","",IFERROR(MAX(0,MIN(10,ROUND(IF('Council Entry'!T$7="Decrease Risk",10-10*((IF('Council Entry'!T$4="Logarithm",LN(0.001+IF(AND(ISNUMBER('Council Entry'!T$8),ISNUMBER('Council Entry'!T$9)),MAX(MIN('Council Entry'!T103,'Council Entry'!T$9),'Council Entry'!T$8),'Council Entry'!T103)),IF('Council Entry'!T$4="Exponential",EXP(IF(AND(ISNUMBER('Council Entry'!T$8),ISNUMBER('Council Entry'!T$9)),MAX(MIN('Council Entry'!T103,'Council Entry'!T$9),'Council Entry'!T$8),'Council Entry'!T103)),IF(AND(ISNUMBER('Council Entry'!T$8),ISNUMBER('Council Entry'!T$9)),MAX(MIN('Council Entry'!T103,'Council Entry'!T$9),'Council Entry'!T$8),'Council Entry'!T103))))-'Council Entry'!T$5)/('Council Entry'!T$6-'Council Entry'!T$5),10*((IF('Council Entry'!T$4="Logarithm",LN(0.001+IF(AND(ISNUMBER('Council Entry'!T$8),ISNUMBER('Council Entry'!T$9)),MAX(MIN('Council Entry'!T103,'Council Entry'!T$9),'Council Entry'!T$8),'Council Entry'!T103)),IF('Council Entry'!T$4="Exponential",EXP(IF(AND(ISNUMBER('Council Entry'!T$8),ISNUMBER('Council Entry'!T$9)),MAX(MIN('Council Entry'!T103,'Council Entry'!T$9),'Council Entry'!T$8),'Council Entry'!T103)),IF(AND(ISNUMBER('Council Entry'!T$8),ISNUMBER('Council Entry'!T$9)),MAX(MIN('Council Entry'!T103,'Council Entry'!T$9),'Council Entry'!T$8),'Council Entry'!T103))))-'Council Entry'!T$5)/('Council Entry'!T$6-'Council Entry'!T$5)),1))),"No data"))</f>
        <v/>
      </c>
      <c r="U103" s="13">
        <f>IF('Council Entry'!U103="","",IFERROR(MAX(0,MIN(10,ROUND(IF('Council Entry'!U$7="Decrease Risk",10-10*((IF('Council Entry'!U$4="Logarithm",LN(0.001+IF(AND(ISNUMBER('Council Entry'!U$8),ISNUMBER('Council Entry'!U$9)),MAX(MIN('Council Entry'!U103,'Council Entry'!U$9),'Council Entry'!U$8),'Council Entry'!U103)),IF('Council Entry'!U$4="Exponential",EXP(IF(AND(ISNUMBER('Council Entry'!U$8),ISNUMBER('Council Entry'!U$9)),MAX(MIN('Council Entry'!U103,'Council Entry'!U$9),'Council Entry'!U$8),'Council Entry'!U103)),IF(AND(ISNUMBER('Council Entry'!U$8),ISNUMBER('Council Entry'!U$9)),MAX(MIN('Council Entry'!U103,'Council Entry'!U$9),'Council Entry'!U$8),'Council Entry'!U103))))-'Council Entry'!U$5)/('Council Entry'!U$6-'Council Entry'!U$5),10*((IF('Council Entry'!U$4="Logarithm",LN(0.001+IF(AND(ISNUMBER('Council Entry'!U$8),ISNUMBER('Council Entry'!U$9)),MAX(MIN('Council Entry'!U103,'Council Entry'!U$9),'Council Entry'!U$8),'Council Entry'!U103)),IF('Council Entry'!U$4="Exponential",EXP(IF(AND(ISNUMBER('Council Entry'!U$8),ISNUMBER('Council Entry'!U$9)),MAX(MIN('Council Entry'!U103,'Council Entry'!U$9),'Council Entry'!U$8),'Council Entry'!U103)),IF(AND(ISNUMBER('Council Entry'!U$8),ISNUMBER('Council Entry'!U$9)),MAX(MIN('Council Entry'!U103,'Council Entry'!U$9),'Council Entry'!U$8),'Council Entry'!U103))))-'Council Entry'!U$5)/('Council Entry'!U$6-'Council Entry'!U$5)),1))),"No data"))</f>
        <v/>
      </c>
      <c r="V103" s="13">
        <f>IF('Council Entry'!V103="","",IFERROR(MAX(0,MIN(10,ROUND(IF('Council Entry'!V$7="Decrease Risk",10-10*((IF('Council Entry'!V$4="Logarithm",LN(0.001+IF(AND(ISNUMBER('Council Entry'!V$8),ISNUMBER('Council Entry'!V$9)),MAX(MIN('Council Entry'!V103,'Council Entry'!V$9),'Council Entry'!V$8),'Council Entry'!V103)),IF('Council Entry'!V$4="Exponential",EXP(IF(AND(ISNUMBER('Council Entry'!V$8),ISNUMBER('Council Entry'!V$9)),MAX(MIN('Council Entry'!V103,'Council Entry'!V$9),'Council Entry'!V$8),'Council Entry'!V103)),IF(AND(ISNUMBER('Council Entry'!V$8),ISNUMBER('Council Entry'!V$9)),MAX(MIN('Council Entry'!V103,'Council Entry'!V$9),'Council Entry'!V$8),'Council Entry'!V103))))-'Council Entry'!V$5)/('Council Entry'!V$6-'Council Entry'!V$5),10*((IF('Council Entry'!V$4="Logarithm",LN(0.001+IF(AND(ISNUMBER('Council Entry'!V$8),ISNUMBER('Council Entry'!V$9)),MAX(MIN('Council Entry'!V103,'Council Entry'!V$9),'Council Entry'!V$8),'Council Entry'!V103)),IF('Council Entry'!V$4="Exponential",EXP(IF(AND(ISNUMBER('Council Entry'!V$8),ISNUMBER('Council Entry'!V$9)),MAX(MIN('Council Entry'!V103,'Council Entry'!V$9),'Council Entry'!V$8),'Council Entry'!V103)),IF(AND(ISNUMBER('Council Entry'!V$8),ISNUMBER('Council Entry'!V$9)),MAX(MIN('Council Entry'!V103,'Council Entry'!V$9),'Council Entry'!V$8),'Council Entry'!V103))))-'Council Entry'!V$5)/('Council Entry'!V$6-'Council Entry'!V$5)),1))),"No data"))</f>
        <v/>
      </c>
      <c r="W103" s="13">
        <f>IF('Council Entry'!W103="","",IFERROR(MAX(0,MIN(10,ROUND(IF('Council Entry'!W$7="Decrease Risk",10-10*((IF('Council Entry'!W$4="Logarithm",LN(0.001+IF(AND(ISNUMBER('Council Entry'!W$8),ISNUMBER('Council Entry'!W$9)),MAX(MIN('Council Entry'!W103,'Council Entry'!W$9),'Council Entry'!W$8),'Council Entry'!W103)),IF('Council Entry'!W$4="Exponential",EXP(IF(AND(ISNUMBER('Council Entry'!W$8),ISNUMBER('Council Entry'!W$9)),MAX(MIN('Council Entry'!W103,'Council Entry'!W$9),'Council Entry'!W$8),'Council Entry'!W103)),IF(AND(ISNUMBER('Council Entry'!W$8),ISNUMBER('Council Entry'!W$9)),MAX(MIN('Council Entry'!W103,'Council Entry'!W$9),'Council Entry'!W$8),'Council Entry'!W103))))-'Council Entry'!W$5)/('Council Entry'!W$6-'Council Entry'!W$5),10*((IF('Council Entry'!W$4="Logarithm",LN(0.001+IF(AND(ISNUMBER('Council Entry'!W$8),ISNUMBER('Council Entry'!W$9)),MAX(MIN('Council Entry'!W103,'Council Entry'!W$9),'Council Entry'!W$8),'Council Entry'!W103)),IF('Council Entry'!W$4="Exponential",EXP(IF(AND(ISNUMBER('Council Entry'!W$8),ISNUMBER('Council Entry'!W$9)),MAX(MIN('Council Entry'!W103,'Council Entry'!W$9),'Council Entry'!W$8),'Council Entry'!W103)),IF(AND(ISNUMBER('Council Entry'!W$8),ISNUMBER('Council Entry'!W$9)),MAX(MIN('Council Entry'!W103,'Council Entry'!W$9),'Council Entry'!W$8),'Council Entry'!W103))))-'Council Entry'!W$5)/('Council Entry'!W$6-'Council Entry'!W$5)),1))),"No data"))</f>
        <v/>
      </c>
      <c r="X103" s="13">
        <f>IF('Council Entry'!X103="","",IFERROR(MAX(0,MIN(10,ROUND(IF('Council Entry'!X$7="Decrease Risk",10-10*((IF('Council Entry'!X$4="Logarithm",LN(0.001+IF(AND(ISNUMBER('Council Entry'!X$8),ISNUMBER('Council Entry'!X$9)),MAX(MIN('Council Entry'!X103,'Council Entry'!X$9),'Council Entry'!X$8),'Council Entry'!X103)),IF('Council Entry'!X$4="Exponential",EXP(IF(AND(ISNUMBER('Council Entry'!X$8),ISNUMBER('Council Entry'!X$9)),MAX(MIN('Council Entry'!X103,'Council Entry'!X$9),'Council Entry'!X$8),'Council Entry'!X103)),IF(AND(ISNUMBER('Council Entry'!X$8),ISNUMBER('Council Entry'!X$9)),MAX(MIN('Council Entry'!X103,'Council Entry'!X$9),'Council Entry'!X$8),'Council Entry'!X103))))-'Council Entry'!X$5)/('Council Entry'!X$6-'Council Entry'!X$5),10*((IF('Council Entry'!X$4="Logarithm",LN(0.001+IF(AND(ISNUMBER('Council Entry'!X$8),ISNUMBER('Council Entry'!X$9)),MAX(MIN('Council Entry'!X103,'Council Entry'!X$9),'Council Entry'!X$8),'Council Entry'!X103)),IF('Council Entry'!X$4="Exponential",EXP(IF(AND(ISNUMBER('Council Entry'!X$8),ISNUMBER('Council Entry'!X$9)),MAX(MIN('Council Entry'!X103,'Council Entry'!X$9),'Council Entry'!X$8),'Council Entry'!X103)),IF(AND(ISNUMBER('Council Entry'!X$8),ISNUMBER('Council Entry'!X$9)),MAX(MIN('Council Entry'!X103,'Council Entry'!X$9),'Council Entry'!X$8),'Council Entry'!X103))))-'Council Entry'!X$5)/('Council Entry'!X$6-'Council Entry'!X$5)),1))),"No data"))</f>
        <v/>
      </c>
      <c r="Y103" s="13">
        <f>IF('Council Entry'!Y103="","",IFERROR(MAX(0,MIN(10,ROUND(IF('Council Entry'!Y$7="Decrease Risk",10-10*((IF('Council Entry'!Y$4="Logarithm",LN(0.001+IF(AND(ISNUMBER('Council Entry'!Y$8),ISNUMBER('Council Entry'!Y$9)),MAX(MIN('Council Entry'!Y103,'Council Entry'!Y$9),'Council Entry'!Y$8),'Council Entry'!Y103)),IF('Council Entry'!Y$4="Exponential",EXP(IF(AND(ISNUMBER('Council Entry'!Y$8),ISNUMBER('Council Entry'!Y$9)),MAX(MIN('Council Entry'!Y103,'Council Entry'!Y$9),'Council Entry'!Y$8),'Council Entry'!Y103)),IF(AND(ISNUMBER('Council Entry'!Y$8),ISNUMBER('Council Entry'!Y$9)),MAX(MIN('Council Entry'!Y103,'Council Entry'!Y$9),'Council Entry'!Y$8),'Council Entry'!Y103))))-'Council Entry'!Y$5)/('Council Entry'!Y$6-'Council Entry'!Y$5),10*((IF('Council Entry'!Y$4="Logarithm",LN(0.001+IF(AND(ISNUMBER('Council Entry'!Y$8),ISNUMBER('Council Entry'!Y$9)),MAX(MIN('Council Entry'!Y103,'Council Entry'!Y$9),'Council Entry'!Y$8),'Council Entry'!Y103)),IF('Council Entry'!Y$4="Exponential",EXP(IF(AND(ISNUMBER('Council Entry'!Y$8),ISNUMBER('Council Entry'!Y$9)),MAX(MIN('Council Entry'!Y103,'Council Entry'!Y$9),'Council Entry'!Y$8),'Council Entry'!Y103)),IF(AND(ISNUMBER('Council Entry'!Y$8),ISNUMBER('Council Entry'!Y$9)),MAX(MIN('Council Entry'!Y103,'Council Entry'!Y$9),'Council Entry'!Y$8),'Council Entry'!Y103))))-'Council Entry'!Y$5)/('Council Entry'!Y$6-'Council Entry'!Y$5)),1))),"No data"))</f>
        <v/>
      </c>
      <c r="Z103" s="13">
        <f>IF('Council Entry'!Z103="","",IFERROR(MAX(0,MIN(10,ROUND(IF('Council Entry'!Z$7="Decrease Risk",10-10*((IF('Council Entry'!Z$4="Logarithm",LN(0.001+IF(AND(ISNUMBER('Council Entry'!Z$8),ISNUMBER('Council Entry'!Z$9)),MAX(MIN('Council Entry'!Z103,'Council Entry'!Z$9),'Council Entry'!Z$8),'Council Entry'!Z103)),IF('Council Entry'!Z$4="Exponential",EXP(IF(AND(ISNUMBER('Council Entry'!Z$8),ISNUMBER('Council Entry'!Z$9)),MAX(MIN('Council Entry'!Z103,'Council Entry'!Z$9),'Council Entry'!Z$8),'Council Entry'!Z103)),IF(AND(ISNUMBER('Council Entry'!Z$8),ISNUMBER('Council Entry'!Z$9)),MAX(MIN('Council Entry'!Z103,'Council Entry'!Z$9),'Council Entry'!Z$8),'Council Entry'!Z103))))-'Council Entry'!Z$5)/('Council Entry'!Z$6-'Council Entry'!Z$5),10*((IF('Council Entry'!Z$4="Logarithm",LN(0.001+IF(AND(ISNUMBER('Council Entry'!Z$8),ISNUMBER('Council Entry'!Z$9)),MAX(MIN('Council Entry'!Z103,'Council Entry'!Z$9),'Council Entry'!Z$8),'Council Entry'!Z103)),IF('Council Entry'!Z$4="Exponential",EXP(IF(AND(ISNUMBER('Council Entry'!Z$8),ISNUMBER('Council Entry'!Z$9)),MAX(MIN('Council Entry'!Z103,'Council Entry'!Z$9),'Council Entry'!Z$8),'Council Entry'!Z103)),IF(AND(ISNUMBER('Council Entry'!Z$8),ISNUMBER('Council Entry'!Z$9)),MAX(MIN('Council Entry'!Z103,'Council Entry'!Z$9),'Council Entry'!Z$8),'Council Entry'!Z103))))-'Council Entry'!Z$5)/('Council Entry'!Z$6-'Council Entry'!Z$5)),1))),"No data"))</f>
        <v/>
      </c>
      <c r="AA103" s="13">
        <f>IF('Council Entry'!AA103="","",IFERROR(MAX(0,MIN(10,ROUND(IF('Council Entry'!AA$7="Decrease Risk",10-10*((IF('Council Entry'!AA$4="Logarithm",LN(0.001+IF(AND(ISNUMBER('Council Entry'!AA$8),ISNUMBER('Council Entry'!AA$9)),MAX(MIN('Council Entry'!AA103,'Council Entry'!AA$9),'Council Entry'!AA$8),'Council Entry'!AA103)),IF('Council Entry'!AA$4="Exponential",EXP(IF(AND(ISNUMBER('Council Entry'!AA$8),ISNUMBER('Council Entry'!AA$9)),MAX(MIN('Council Entry'!AA103,'Council Entry'!AA$9),'Council Entry'!AA$8),'Council Entry'!AA103)),IF(AND(ISNUMBER('Council Entry'!AA$8),ISNUMBER('Council Entry'!AA$9)),MAX(MIN('Council Entry'!AA103,'Council Entry'!AA$9),'Council Entry'!AA$8),'Council Entry'!AA103))))-'Council Entry'!AA$5)/('Council Entry'!AA$6-'Council Entry'!AA$5),10*((IF('Council Entry'!AA$4="Logarithm",LN(0.001+IF(AND(ISNUMBER('Council Entry'!AA$8),ISNUMBER('Council Entry'!AA$9)),MAX(MIN('Council Entry'!AA103,'Council Entry'!AA$9),'Council Entry'!AA$8),'Council Entry'!AA103)),IF('Council Entry'!AA$4="Exponential",EXP(IF(AND(ISNUMBER('Council Entry'!AA$8),ISNUMBER('Council Entry'!AA$9)),MAX(MIN('Council Entry'!AA103,'Council Entry'!AA$9),'Council Entry'!AA$8),'Council Entry'!AA103)),IF(AND(ISNUMBER('Council Entry'!AA$8),ISNUMBER('Council Entry'!AA$9)),MAX(MIN('Council Entry'!AA103,'Council Entry'!AA$9),'Council Entry'!AA$8),'Council Entry'!AA103))))-'Council Entry'!AA$5)/('Council Entry'!AA$6-'Council Entry'!AA$5)),1))),"No data"))</f>
        <v/>
      </c>
      <c r="AB103" s="13">
        <f>IF('Council Entry'!AB103="","",IFERROR(MAX(0,MIN(10,ROUND(IF('Council Entry'!AB$7="Decrease Risk",10-10*((IF('Council Entry'!AB$4="Logarithm",LN(0.001+IF(AND(ISNUMBER('Council Entry'!AB$8),ISNUMBER('Council Entry'!AB$9)),MAX(MIN('Council Entry'!AB103,'Council Entry'!AB$9),'Council Entry'!AB$8),'Council Entry'!AB103)),IF('Council Entry'!AB$4="Exponential",EXP(IF(AND(ISNUMBER('Council Entry'!AB$8),ISNUMBER('Council Entry'!AB$9)),MAX(MIN('Council Entry'!AB103,'Council Entry'!AB$9),'Council Entry'!AB$8),'Council Entry'!AB103)),IF(AND(ISNUMBER('Council Entry'!AB$8),ISNUMBER('Council Entry'!AB$9)),MAX(MIN('Council Entry'!AB103,'Council Entry'!AB$9),'Council Entry'!AB$8),'Council Entry'!AB103))))-'Council Entry'!AB$5)/('Council Entry'!AB$6-'Council Entry'!AB$5),10*((IF('Council Entry'!AB$4="Logarithm",LN(0.001+IF(AND(ISNUMBER('Council Entry'!AB$8),ISNUMBER('Council Entry'!AB$9)),MAX(MIN('Council Entry'!AB103,'Council Entry'!AB$9),'Council Entry'!AB$8),'Council Entry'!AB103)),IF('Council Entry'!AB$4="Exponential",EXP(IF(AND(ISNUMBER('Council Entry'!AB$8),ISNUMBER('Council Entry'!AB$9)),MAX(MIN('Council Entry'!AB103,'Council Entry'!AB$9),'Council Entry'!AB$8),'Council Entry'!AB103)),IF(AND(ISNUMBER('Council Entry'!AB$8),ISNUMBER('Council Entry'!AB$9)),MAX(MIN('Council Entry'!AB103,'Council Entry'!AB$9),'Council Entry'!AB$8),'Council Entry'!AB103))))-'Council Entry'!AB$5)/('Council Entry'!AB$6-'Council Entry'!AB$5)),1))),"No data"))</f>
        <v/>
      </c>
      <c r="AC103" s="13">
        <f>IF('Council Entry'!AC103="","",IFERROR(MAX(0,MIN(10,ROUND(IF('Council Entry'!AC$7="Decrease Risk",10-10*((IF('Council Entry'!AC$4="Logarithm",LN(0.001+IF(AND(ISNUMBER('Council Entry'!AC$8),ISNUMBER('Council Entry'!AC$9)),MAX(MIN('Council Entry'!AC103,'Council Entry'!AC$9),'Council Entry'!AC$8),'Council Entry'!AC103)),IF('Council Entry'!AC$4="Exponential",EXP(IF(AND(ISNUMBER('Council Entry'!AC$8),ISNUMBER('Council Entry'!AC$9)),MAX(MIN('Council Entry'!AC103,'Council Entry'!AC$9),'Council Entry'!AC$8),'Council Entry'!AC103)),IF(AND(ISNUMBER('Council Entry'!AC$8),ISNUMBER('Council Entry'!AC$9)),MAX(MIN('Council Entry'!AC103,'Council Entry'!AC$9),'Council Entry'!AC$8),'Council Entry'!AC103))))-'Council Entry'!AC$5)/('Council Entry'!AC$6-'Council Entry'!AC$5),10*((IF('Council Entry'!AC$4="Logarithm",LN(0.001+IF(AND(ISNUMBER('Council Entry'!AC$8),ISNUMBER('Council Entry'!AC$9)),MAX(MIN('Council Entry'!AC103,'Council Entry'!AC$9),'Council Entry'!AC$8),'Council Entry'!AC103)),IF('Council Entry'!AC$4="Exponential",EXP(IF(AND(ISNUMBER('Council Entry'!AC$8),ISNUMBER('Council Entry'!AC$9)),MAX(MIN('Council Entry'!AC103,'Council Entry'!AC$9),'Council Entry'!AC$8),'Council Entry'!AC103)),IF(AND(ISNUMBER('Council Entry'!AC$8),ISNUMBER('Council Entry'!AC$9)),MAX(MIN('Council Entry'!AC103,'Council Entry'!AC$9),'Council Entry'!AC$8),'Council Entry'!AC103))))-'Council Entry'!AC$5)/('Council Entry'!AC$6-'Council Entry'!AC$5)),1))),"No data"))</f>
        <v/>
      </c>
      <c r="AD103" s="13">
        <f>IF('Council Entry'!AD103="","",IFERROR(MAX(0,MIN(10,ROUND(IF('Council Entry'!AD$7="Decrease Risk",10-10*((IF('Council Entry'!AD$4="Logarithm",LN(0.001+IF(AND(ISNUMBER('Council Entry'!AD$8),ISNUMBER('Council Entry'!AD$9)),MAX(MIN('Council Entry'!AD103,'Council Entry'!AD$9),'Council Entry'!AD$8),'Council Entry'!AD103)),IF('Council Entry'!AD$4="Exponential",EXP(IF(AND(ISNUMBER('Council Entry'!AD$8),ISNUMBER('Council Entry'!AD$9)),MAX(MIN('Council Entry'!AD103,'Council Entry'!AD$9),'Council Entry'!AD$8),'Council Entry'!AD103)),IF(AND(ISNUMBER('Council Entry'!AD$8),ISNUMBER('Council Entry'!AD$9)),MAX(MIN('Council Entry'!AD103,'Council Entry'!AD$9),'Council Entry'!AD$8),'Council Entry'!AD103))))-'Council Entry'!AD$5)/('Council Entry'!AD$6-'Council Entry'!AD$5),10*((IF('Council Entry'!AD$4="Logarithm",LN(0.001+IF(AND(ISNUMBER('Council Entry'!AD$8),ISNUMBER('Council Entry'!AD$9)),MAX(MIN('Council Entry'!AD103,'Council Entry'!AD$9),'Council Entry'!AD$8),'Council Entry'!AD103)),IF('Council Entry'!AD$4="Exponential",EXP(IF(AND(ISNUMBER('Council Entry'!AD$8),ISNUMBER('Council Entry'!AD$9)),MAX(MIN('Council Entry'!AD103,'Council Entry'!AD$9),'Council Entry'!AD$8),'Council Entry'!AD103)),IF(AND(ISNUMBER('Council Entry'!AD$8),ISNUMBER('Council Entry'!AD$9)),MAX(MIN('Council Entry'!AD103,'Council Entry'!AD$9),'Council Entry'!AD$8),'Council Entry'!AD103))))-'Council Entry'!AD$5)/('Council Entry'!AD$6-'Council Entry'!AD$5)),1))),"No data"))</f>
        <v/>
      </c>
      <c r="AE103" s="13">
        <f>IF('Council Entry'!AE103="","",IFERROR(MAX(0,MIN(10,ROUND(IF('Council Entry'!AE$7="Decrease Risk",10-10*((IF('Council Entry'!AE$4="Logarithm",LN(0.001+IF(AND(ISNUMBER('Council Entry'!AE$8),ISNUMBER('Council Entry'!AE$9)),MAX(MIN('Council Entry'!AE103,'Council Entry'!AE$9),'Council Entry'!AE$8),'Council Entry'!AE103)),IF('Council Entry'!AE$4="Exponential",EXP(IF(AND(ISNUMBER('Council Entry'!AE$8),ISNUMBER('Council Entry'!AE$9)),MAX(MIN('Council Entry'!AE103,'Council Entry'!AE$9),'Council Entry'!AE$8),'Council Entry'!AE103)),IF(AND(ISNUMBER('Council Entry'!AE$8),ISNUMBER('Council Entry'!AE$9)),MAX(MIN('Council Entry'!AE103,'Council Entry'!AE$9),'Council Entry'!AE$8),'Council Entry'!AE103))))-'Council Entry'!AE$5)/('Council Entry'!AE$6-'Council Entry'!AE$5),10*((IF('Council Entry'!AE$4="Logarithm",LN(0.001+IF(AND(ISNUMBER('Council Entry'!AE$8),ISNUMBER('Council Entry'!AE$9)),MAX(MIN('Council Entry'!AE103,'Council Entry'!AE$9),'Council Entry'!AE$8),'Council Entry'!AE103)),IF('Council Entry'!AE$4="Exponential",EXP(IF(AND(ISNUMBER('Council Entry'!AE$8),ISNUMBER('Council Entry'!AE$9)),MAX(MIN('Council Entry'!AE103,'Council Entry'!AE$9),'Council Entry'!AE$8),'Council Entry'!AE103)),IF(AND(ISNUMBER('Council Entry'!AE$8),ISNUMBER('Council Entry'!AE$9)),MAX(MIN('Council Entry'!AE103,'Council Entry'!AE$9),'Council Entry'!AE$8),'Council Entry'!AE103))))-'Council Entry'!AE$5)/('Council Entry'!AE$6-'Council Entry'!AE$5)),1))),"No data"))</f>
        <v/>
      </c>
      <c r="AF103" s="13">
        <f>IF('Council Entry'!AF103="","",IFERROR(MAX(0,MIN(10,ROUND(IF('Council Entry'!AF$7="Decrease Risk",10-10*((IF('Council Entry'!AF$4="Logarithm",LN(0.001+IF(AND(ISNUMBER('Council Entry'!AF$8),ISNUMBER('Council Entry'!AF$9)),MAX(MIN('Council Entry'!AF103,'Council Entry'!AF$9),'Council Entry'!AF$8),'Council Entry'!AF103)),IF('Council Entry'!AF$4="Exponential",EXP(IF(AND(ISNUMBER('Council Entry'!AF$8),ISNUMBER('Council Entry'!AF$9)),MAX(MIN('Council Entry'!AF103,'Council Entry'!AF$9),'Council Entry'!AF$8),'Council Entry'!AF103)),IF(AND(ISNUMBER('Council Entry'!AF$8),ISNUMBER('Council Entry'!AF$9)),MAX(MIN('Council Entry'!AF103,'Council Entry'!AF$9),'Council Entry'!AF$8),'Council Entry'!AF103))))-'Council Entry'!AF$5)/('Council Entry'!AF$6-'Council Entry'!AF$5),10*((IF('Council Entry'!AF$4="Logarithm",LN(0.001+IF(AND(ISNUMBER('Council Entry'!AF$8),ISNUMBER('Council Entry'!AF$9)),MAX(MIN('Council Entry'!AF103,'Council Entry'!AF$9),'Council Entry'!AF$8),'Council Entry'!AF103)),IF('Council Entry'!AF$4="Exponential",EXP(IF(AND(ISNUMBER('Council Entry'!AF$8),ISNUMBER('Council Entry'!AF$9)),MAX(MIN('Council Entry'!AF103,'Council Entry'!AF$9),'Council Entry'!AF$8),'Council Entry'!AF103)),IF(AND(ISNUMBER('Council Entry'!AF$8),ISNUMBER('Council Entry'!AF$9)),MAX(MIN('Council Entry'!AF103,'Council Entry'!AF$9),'Council Entry'!AF$8),'Council Entry'!AF103))))-'Council Entry'!AF$5)/('Council Entry'!AF$6-'Council Entry'!AF$5)),1))),"No data"))</f>
        <v/>
      </c>
      <c r="AG103" s="13">
        <f>IF('Council Entry'!AG103="","",IFERROR(MAX(0,MIN(10,ROUND(IF('Council Entry'!AG$7="Decrease Risk",10-10*((IF('Council Entry'!AG$4="Logarithm",LN(0.001+IF(AND(ISNUMBER('Council Entry'!AG$8),ISNUMBER('Council Entry'!AG$9)),MAX(MIN('Council Entry'!AG103,'Council Entry'!AG$9),'Council Entry'!AG$8),'Council Entry'!AG103)),IF('Council Entry'!AG$4="Exponential",EXP(IF(AND(ISNUMBER('Council Entry'!AG$8),ISNUMBER('Council Entry'!AG$9)),MAX(MIN('Council Entry'!AG103,'Council Entry'!AG$9),'Council Entry'!AG$8),'Council Entry'!AG103)),IF(AND(ISNUMBER('Council Entry'!AG$8),ISNUMBER('Council Entry'!AG$9)),MAX(MIN('Council Entry'!AG103,'Council Entry'!AG$9),'Council Entry'!AG$8),'Council Entry'!AG103))))-'Council Entry'!AG$5)/('Council Entry'!AG$6-'Council Entry'!AG$5),10*((IF('Council Entry'!AG$4="Logarithm",LN(0.001+IF(AND(ISNUMBER('Council Entry'!AG$8),ISNUMBER('Council Entry'!AG$9)),MAX(MIN('Council Entry'!AG103,'Council Entry'!AG$9),'Council Entry'!AG$8),'Council Entry'!AG103)),IF('Council Entry'!AG$4="Exponential",EXP(IF(AND(ISNUMBER('Council Entry'!AG$8),ISNUMBER('Council Entry'!AG$9)),MAX(MIN('Council Entry'!AG103,'Council Entry'!AG$9),'Council Entry'!AG$8),'Council Entry'!AG103)),IF(AND(ISNUMBER('Council Entry'!AG$8),ISNUMBER('Council Entry'!AG$9)),MAX(MIN('Council Entry'!AG103,'Council Entry'!AG$9),'Council Entry'!AG$8),'Council Entry'!AG103))))-'Council Entry'!AG$5)/('Council Entry'!AG$6-'Council Entry'!AG$5)),1))),"No data"))</f>
        <v/>
      </c>
      <c r="AH103" s="13">
        <f>IF('Council Entry'!AH103="","",IFERROR(MAX(0,MIN(10,ROUND(IF('Council Entry'!AH$7="Decrease Risk",10-10*((IF('Council Entry'!AH$4="Logarithm",LN(0.001+IF(AND(ISNUMBER('Council Entry'!AH$8),ISNUMBER('Council Entry'!AH$9)),MAX(MIN('Council Entry'!AH103,'Council Entry'!AH$9),'Council Entry'!AH$8),'Council Entry'!AH103)),IF('Council Entry'!AH$4="Exponential",EXP(IF(AND(ISNUMBER('Council Entry'!AH$8),ISNUMBER('Council Entry'!AH$9)),MAX(MIN('Council Entry'!AH103,'Council Entry'!AH$9),'Council Entry'!AH$8),'Council Entry'!AH103)),IF(AND(ISNUMBER('Council Entry'!AH$8),ISNUMBER('Council Entry'!AH$9)),MAX(MIN('Council Entry'!AH103,'Council Entry'!AH$9),'Council Entry'!AH$8),'Council Entry'!AH103))))-'Council Entry'!AH$5)/('Council Entry'!AH$6-'Council Entry'!AH$5),10*((IF('Council Entry'!AH$4="Logarithm",LN(0.001+IF(AND(ISNUMBER('Council Entry'!AH$8),ISNUMBER('Council Entry'!AH$9)),MAX(MIN('Council Entry'!AH103,'Council Entry'!AH$9),'Council Entry'!AH$8),'Council Entry'!AH103)),IF('Council Entry'!AH$4="Exponential",EXP(IF(AND(ISNUMBER('Council Entry'!AH$8),ISNUMBER('Council Entry'!AH$9)),MAX(MIN('Council Entry'!AH103,'Council Entry'!AH$9),'Council Entry'!AH$8),'Council Entry'!AH103)),IF(AND(ISNUMBER('Council Entry'!AH$8),ISNUMBER('Council Entry'!AH$9)),MAX(MIN('Council Entry'!AH103,'Council Entry'!AH$9),'Council Entry'!AH$8),'Council Entry'!AH103))))-'Council Entry'!AH$5)/('Council Entry'!AH$6-'Council Entry'!AH$5)),1))),"No data"))</f>
        <v/>
      </c>
      <c r="AI103" s="13">
        <f>IF('Council Entry'!AI103="","",IFERROR(MAX(0,MIN(10,ROUND(IF('Council Entry'!AI$7="Decrease Risk",10-10*((IF('Council Entry'!AI$4="Logarithm",LN(0.001+IF(AND(ISNUMBER('Council Entry'!AI$8),ISNUMBER('Council Entry'!AI$9)),MAX(MIN('Council Entry'!AI103,'Council Entry'!AI$9),'Council Entry'!AI$8),'Council Entry'!AI103)),IF('Council Entry'!AI$4="Exponential",EXP(IF(AND(ISNUMBER('Council Entry'!AI$8),ISNUMBER('Council Entry'!AI$9)),MAX(MIN('Council Entry'!AI103,'Council Entry'!AI$9),'Council Entry'!AI$8),'Council Entry'!AI103)),IF(AND(ISNUMBER('Council Entry'!AI$8),ISNUMBER('Council Entry'!AI$9)),MAX(MIN('Council Entry'!AI103,'Council Entry'!AI$9),'Council Entry'!AI$8),'Council Entry'!AI103))))-'Council Entry'!AI$5)/('Council Entry'!AI$6-'Council Entry'!AI$5),10*((IF('Council Entry'!AI$4="Logarithm",LN(0.001+IF(AND(ISNUMBER('Council Entry'!AI$8),ISNUMBER('Council Entry'!AI$9)),MAX(MIN('Council Entry'!AI103,'Council Entry'!AI$9),'Council Entry'!AI$8),'Council Entry'!AI103)),IF('Council Entry'!AI$4="Exponential",EXP(IF(AND(ISNUMBER('Council Entry'!AI$8),ISNUMBER('Council Entry'!AI$9)),MAX(MIN('Council Entry'!AI103,'Council Entry'!AI$9),'Council Entry'!AI$8),'Council Entry'!AI103)),IF(AND(ISNUMBER('Council Entry'!AI$8),ISNUMBER('Council Entry'!AI$9)),MAX(MIN('Council Entry'!AI103,'Council Entry'!AI$9),'Council Entry'!AI$8),'Council Entry'!AI103))))-'Council Entry'!AI$5)/('Council Entry'!AI$6-'Council Entry'!AI$5)),1))),"No data"))</f>
        <v/>
      </c>
      <c r="AJ103" s="13">
        <f>IF('Council Entry'!AJ103="","",IFERROR(MAX(0,MIN(10,ROUND(IF('Council Entry'!AJ$7="Decrease Risk",10-10*((IF('Council Entry'!AJ$4="Logarithm",LN(0.001+IF(AND(ISNUMBER('Council Entry'!AJ$8),ISNUMBER('Council Entry'!AJ$9)),MAX(MIN('Council Entry'!AJ103,'Council Entry'!AJ$9),'Council Entry'!AJ$8),'Council Entry'!AJ103)),IF('Council Entry'!AJ$4="Exponential",EXP(IF(AND(ISNUMBER('Council Entry'!AJ$8),ISNUMBER('Council Entry'!AJ$9)),MAX(MIN('Council Entry'!AJ103,'Council Entry'!AJ$9),'Council Entry'!AJ$8),'Council Entry'!AJ103)),IF(AND(ISNUMBER('Council Entry'!AJ$8),ISNUMBER('Council Entry'!AJ$9)),MAX(MIN('Council Entry'!AJ103,'Council Entry'!AJ$9),'Council Entry'!AJ$8),'Council Entry'!AJ103))))-'Council Entry'!AJ$5)/('Council Entry'!AJ$6-'Council Entry'!AJ$5),10*((IF('Council Entry'!AJ$4="Logarithm",LN(0.001+IF(AND(ISNUMBER('Council Entry'!AJ$8),ISNUMBER('Council Entry'!AJ$9)),MAX(MIN('Council Entry'!AJ103,'Council Entry'!AJ$9),'Council Entry'!AJ$8),'Council Entry'!AJ103)),IF('Council Entry'!AJ$4="Exponential",EXP(IF(AND(ISNUMBER('Council Entry'!AJ$8),ISNUMBER('Council Entry'!AJ$9)),MAX(MIN('Council Entry'!AJ103,'Council Entry'!AJ$9),'Council Entry'!AJ$8),'Council Entry'!AJ103)),IF(AND(ISNUMBER('Council Entry'!AJ$8),ISNUMBER('Council Entry'!AJ$9)),MAX(MIN('Council Entry'!AJ103,'Council Entry'!AJ$9),'Council Entry'!AJ$8),'Council Entry'!AJ103))))-'Council Entry'!AJ$5)/('Council Entry'!AJ$6-'Council Entry'!AJ$5)),1))),"No data"))</f>
        <v/>
      </c>
      <c r="AK103" s="13">
        <f>IF('Council Entry'!AK103="","",IFERROR(MAX(0,MIN(10,ROUND(IF('Council Entry'!AK$7="Decrease Risk",10-10*((IF('Council Entry'!AK$4="Logarithm",LN(0.001+IF(AND(ISNUMBER('Council Entry'!AK$8),ISNUMBER('Council Entry'!AK$9)),MAX(MIN('Council Entry'!AK103,'Council Entry'!AK$9),'Council Entry'!AK$8),'Council Entry'!AK103)),IF('Council Entry'!AK$4="Exponential",EXP(IF(AND(ISNUMBER('Council Entry'!AK$8),ISNUMBER('Council Entry'!AK$9)),MAX(MIN('Council Entry'!AK103,'Council Entry'!AK$9),'Council Entry'!AK$8),'Council Entry'!AK103)),IF(AND(ISNUMBER('Council Entry'!AK$8),ISNUMBER('Council Entry'!AK$9)),MAX(MIN('Council Entry'!AK103,'Council Entry'!AK$9),'Council Entry'!AK$8),'Council Entry'!AK103))))-'Council Entry'!AK$5)/('Council Entry'!AK$6-'Council Entry'!AK$5),10*((IF('Council Entry'!AK$4="Logarithm",LN(0.001+IF(AND(ISNUMBER('Council Entry'!AK$8),ISNUMBER('Council Entry'!AK$9)),MAX(MIN('Council Entry'!AK103,'Council Entry'!AK$9),'Council Entry'!AK$8),'Council Entry'!AK103)),IF('Council Entry'!AK$4="Exponential",EXP(IF(AND(ISNUMBER('Council Entry'!AK$8),ISNUMBER('Council Entry'!AK$9)),MAX(MIN('Council Entry'!AK103,'Council Entry'!AK$9),'Council Entry'!AK$8),'Council Entry'!AK103)),IF(AND(ISNUMBER('Council Entry'!AK$8),ISNUMBER('Council Entry'!AK$9)),MAX(MIN('Council Entry'!AK103,'Council Entry'!AK$9),'Council Entry'!AK$8),'Council Entry'!AK103))))-'Council Entry'!AK$5)/('Council Entry'!AK$6-'Council Entry'!AK$5)),1))),"No data"))</f>
        <v/>
      </c>
      <c r="AL103" s="13">
        <f>IF('Council Entry'!AL103="","",IFERROR(MAX(0,MIN(10,ROUND(IF('Council Entry'!AL$7="Decrease Risk",10-10*((IF('Council Entry'!AL$4="Logarithm",LN(0.001+IF(AND(ISNUMBER('Council Entry'!AL$8),ISNUMBER('Council Entry'!AL$9)),MAX(MIN('Council Entry'!AL103,'Council Entry'!AL$9),'Council Entry'!AL$8),'Council Entry'!AL103)),IF('Council Entry'!AL$4="Exponential",EXP(IF(AND(ISNUMBER('Council Entry'!AL$8),ISNUMBER('Council Entry'!AL$9)),MAX(MIN('Council Entry'!AL103,'Council Entry'!AL$9),'Council Entry'!AL$8),'Council Entry'!AL103)),IF(AND(ISNUMBER('Council Entry'!AL$8),ISNUMBER('Council Entry'!AL$9)),MAX(MIN('Council Entry'!AL103,'Council Entry'!AL$9),'Council Entry'!AL$8),'Council Entry'!AL103))))-'Council Entry'!AL$5)/('Council Entry'!AL$6-'Council Entry'!AL$5),10*((IF('Council Entry'!AL$4="Logarithm",LN(0.001+IF(AND(ISNUMBER('Council Entry'!AL$8),ISNUMBER('Council Entry'!AL$9)),MAX(MIN('Council Entry'!AL103,'Council Entry'!AL$9),'Council Entry'!AL$8),'Council Entry'!AL103)),IF('Council Entry'!AL$4="Exponential",EXP(IF(AND(ISNUMBER('Council Entry'!AL$8),ISNUMBER('Council Entry'!AL$9)),MAX(MIN('Council Entry'!AL103,'Council Entry'!AL$9),'Council Entry'!AL$8),'Council Entry'!AL103)),IF(AND(ISNUMBER('Council Entry'!AL$8),ISNUMBER('Council Entry'!AL$9)),MAX(MIN('Council Entry'!AL103,'Council Entry'!AL$9),'Council Entry'!AL$8),'Council Entry'!AL103))))-'Council Entry'!AL$5)/('Council Entry'!AL$6-'Council Entry'!AL$5)),1))),"No data"))</f>
        <v/>
      </c>
      <c r="AM103" s="13">
        <f>IF('Council Entry'!AM103="","",IFERROR(MAX(0,MIN(10,ROUND(IF('Council Entry'!AM$7="Decrease Risk",10-10*((IF('Council Entry'!AM$4="Logarithm",LN(0.001+IF(AND(ISNUMBER('Council Entry'!AM$8),ISNUMBER('Council Entry'!AM$9)),MAX(MIN('Council Entry'!AM103,'Council Entry'!AM$9),'Council Entry'!AM$8),'Council Entry'!AM103)),IF('Council Entry'!AM$4="Exponential",EXP(IF(AND(ISNUMBER('Council Entry'!AM$8),ISNUMBER('Council Entry'!AM$9)),MAX(MIN('Council Entry'!AM103,'Council Entry'!AM$9),'Council Entry'!AM$8),'Council Entry'!AM103)),IF(AND(ISNUMBER('Council Entry'!AM$8),ISNUMBER('Council Entry'!AM$9)),MAX(MIN('Council Entry'!AM103,'Council Entry'!AM$9),'Council Entry'!AM$8),'Council Entry'!AM103))))-'Council Entry'!AM$5)/('Council Entry'!AM$6-'Council Entry'!AM$5),10*((IF('Council Entry'!AM$4="Logarithm",LN(0.001+IF(AND(ISNUMBER('Council Entry'!AM$8),ISNUMBER('Council Entry'!AM$9)),MAX(MIN('Council Entry'!AM103,'Council Entry'!AM$9),'Council Entry'!AM$8),'Council Entry'!AM103)),IF('Council Entry'!AM$4="Exponential",EXP(IF(AND(ISNUMBER('Council Entry'!AM$8),ISNUMBER('Council Entry'!AM$9)),MAX(MIN('Council Entry'!AM103,'Council Entry'!AM$9),'Council Entry'!AM$8),'Council Entry'!AM103)),IF(AND(ISNUMBER('Council Entry'!AM$8),ISNUMBER('Council Entry'!AM$9)),MAX(MIN('Council Entry'!AM103,'Council Entry'!AM$9),'Council Entry'!AM$8),'Council Entry'!AM103))))-'Council Entry'!AM$5)/('Council Entry'!AM$6-'Council Entry'!AM$5)),1))),"No data"))</f>
        <v/>
      </c>
      <c r="AN103" s="13">
        <f>IF('Council Entry'!AN103="","",IFERROR(MAX(0,MIN(10,ROUND(IF('Council Entry'!AN$7="Decrease Risk",10-10*((IF('Council Entry'!AN$4="Logarithm",LN(0.001+IF(AND(ISNUMBER('Council Entry'!AN$8),ISNUMBER('Council Entry'!AN$9)),MAX(MIN('Council Entry'!AN103,'Council Entry'!AN$9),'Council Entry'!AN$8),'Council Entry'!AN103)),IF('Council Entry'!AN$4="Exponential",EXP(IF(AND(ISNUMBER('Council Entry'!AN$8),ISNUMBER('Council Entry'!AN$9)),MAX(MIN('Council Entry'!AN103,'Council Entry'!AN$9),'Council Entry'!AN$8),'Council Entry'!AN103)),IF(AND(ISNUMBER('Council Entry'!AN$8),ISNUMBER('Council Entry'!AN$9)),MAX(MIN('Council Entry'!AN103,'Council Entry'!AN$9),'Council Entry'!AN$8),'Council Entry'!AN103))))-'Council Entry'!AN$5)/('Council Entry'!AN$6-'Council Entry'!AN$5),10*((IF('Council Entry'!AN$4="Logarithm",LN(0.001+IF(AND(ISNUMBER('Council Entry'!AN$8),ISNUMBER('Council Entry'!AN$9)),MAX(MIN('Council Entry'!AN103,'Council Entry'!AN$9),'Council Entry'!AN$8),'Council Entry'!AN103)),IF('Council Entry'!AN$4="Exponential",EXP(IF(AND(ISNUMBER('Council Entry'!AN$8),ISNUMBER('Council Entry'!AN$9)),MAX(MIN('Council Entry'!AN103,'Council Entry'!AN$9),'Council Entry'!AN$8),'Council Entry'!AN103)),IF(AND(ISNUMBER('Council Entry'!AN$8),ISNUMBER('Council Entry'!AN$9)),MAX(MIN('Council Entry'!AN103,'Council Entry'!AN$9),'Council Entry'!AN$8),'Council Entry'!AN103))))-'Council Entry'!AN$5)/('Council Entry'!AN$6-'Council Entry'!AN$5)),1))),"No data"))</f>
        <v/>
      </c>
      <c r="AO103" s="13">
        <f>IF('Council Entry'!AO103="","",IFERROR(MAX(0,MIN(10,ROUND(IF('Council Entry'!AO$7="Decrease Risk",10-10*((IF('Council Entry'!AO$4="Logarithm",LN(0.001+IF(AND(ISNUMBER('Council Entry'!AO$8),ISNUMBER('Council Entry'!AO$9)),MAX(MIN('Council Entry'!AO103,'Council Entry'!AO$9),'Council Entry'!AO$8),'Council Entry'!AO103)),IF('Council Entry'!AO$4="Exponential",EXP(IF(AND(ISNUMBER('Council Entry'!AO$8),ISNUMBER('Council Entry'!AO$9)),MAX(MIN('Council Entry'!AO103,'Council Entry'!AO$9),'Council Entry'!AO$8),'Council Entry'!AO103)),IF(AND(ISNUMBER('Council Entry'!AO$8),ISNUMBER('Council Entry'!AO$9)),MAX(MIN('Council Entry'!AO103,'Council Entry'!AO$9),'Council Entry'!AO$8),'Council Entry'!AO103))))-'Council Entry'!AO$5)/('Council Entry'!AO$6-'Council Entry'!AO$5),10*((IF('Council Entry'!AO$4="Logarithm",LN(0.001+IF(AND(ISNUMBER('Council Entry'!AO$8),ISNUMBER('Council Entry'!AO$9)),MAX(MIN('Council Entry'!AO103,'Council Entry'!AO$9),'Council Entry'!AO$8),'Council Entry'!AO103)),IF('Council Entry'!AO$4="Exponential",EXP(IF(AND(ISNUMBER('Council Entry'!AO$8),ISNUMBER('Council Entry'!AO$9)),MAX(MIN('Council Entry'!AO103,'Council Entry'!AO$9),'Council Entry'!AO$8),'Council Entry'!AO103)),IF(AND(ISNUMBER('Council Entry'!AO$8),ISNUMBER('Council Entry'!AO$9)),MAX(MIN('Council Entry'!AO103,'Council Entry'!AO$9),'Council Entry'!AO$8),'Council Entry'!AO103))))-'Council Entry'!AO$5)/('Council Entry'!AO$6-'Council Entry'!AO$5)),1))),"No data"))</f>
        <v/>
      </c>
      <c r="AP103" s="13">
        <f>IF('Council Entry'!AP103="","",IFERROR(MAX(0,MIN(10,ROUND(IF('Council Entry'!AP$7="Decrease Risk",10-10*((IF('Council Entry'!AP$4="Logarithm",LN(0.001+IF(AND(ISNUMBER('Council Entry'!AP$8),ISNUMBER('Council Entry'!AP$9)),MAX(MIN('Council Entry'!AP103,'Council Entry'!AP$9),'Council Entry'!AP$8),'Council Entry'!AP103)),IF('Council Entry'!AP$4="Exponential",EXP(IF(AND(ISNUMBER('Council Entry'!AP$8),ISNUMBER('Council Entry'!AP$9)),MAX(MIN('Council Entry'!AP103,'Council Entry'!AP$9),'Council Entry'!AP$8),'Council Entry'!AP103)),IF(AND(ISNUMBER('Council Entry'!AP$8),ISNUMBER('Council Entry'!AP$9)),MAX(MIN('Council Entry'!AP103,'Council Entry'!AP$9),'Council Entry'!AP$8),'Council Entry'!AP103))))-'Council Entry'!AP$5)/('Council Entry'!AP$6-'Council Entry'!AP$5),10*((IF('Council Entry'!AP$4="Logarithm",LN(0.001+IF(AND(ISNUMBER('Council Entry'!AP$8),ISNUMBER('Council Entry'!AP$9)),MAX(MIN('Council Entry'!AP103,'Council Entry'!AP$9),'Council Entry'!AP$8),'Council Entry'!AP103)),IF('Council Entry'!AP$4="Exponential",EXP(IF(AND(ISNUMBER('Council Entry'!AP$8),ISNUMBER('Council Entry'!AP$9)),MAX(MIN('Council Entry'!AP103,'Council Entry'!AP$9),'Council Entry'!AP$8),'Council Entry'!AP103)),IF(AND(ISNUMBER('Council Entry'!AP$8),ISNUMBER('Council Entry'!AP$9)),MAX(MIN('Council Entry'!AP103,'Council Entry'!AP$9),'Council Entry'!AP$8),'Council Entry'!AP103))))-'Council Entry'!AP$5)/('Council Entry'!AP$6-'Council Entry'!AP$5)),1))),"No data"))</f>
        <v/>
      </c>
      <c r="AQ103" s="13">
        <f>IF('Council Entry'!AQ103="","",IFERROR(MAX(0,MIN(10,ROUND(IF('Council Entry'!AQ$7="Decrease Risk",10-10*((IF('Council Entry'!AQ$4="Logarithm",LN(0.001+IF(AND(ISNUMBER('Council Entry'!AQ$8),ISNUMBER('Council Entry'!AQ$9)),MAX(MIN('Council Entry'!AQ103,'Council Entry'!AQ$9),'Council Entry'!AQ$8),'Council Entry'!AQ103)),IF('Council Entry'!AQ$4="Exponential",EXP(IF(AND(ISNUMBER('Council Entry'!AQ$8),ISNUMBER('Council Entry'!AQ$9)),MAX(MIN('Council Entry'!AQ103,'Council Entry'!AQ$9),'Council Entry'!AQ$8),'Council Entry'!AQ103)),IF(AND(ISNUMBER('Council Entry'!AQ$8),ISNUMBER('Council Entry'!AQ$9)),MAX(MIN('Council Entry'!AQ103,'Council Entry'!AQ$9),'Council Entry'!AQ$8),'Council Entry'!AQ103))))-'Council Entry'!AQ$5)/('Council Entry'!AQ$6-'Council Entry'!AQ$5),10*((IF('Council Entry'!AQ$4="Logarithm",LN(0.001+IF(AND(ISNUMBER('Council Entry'!AQ$8),ISNUMBER('Council Entry'!AQ$9)),MAX(MIN('Council Entry'!AQ103,'Council Entry'!AQ$9),'Council Entry'!AQ$8),'Council Entry'!AQ103)),IF('Council Entry'!AQ$4="Exponential",EXP(IF(AND(ISNUMBER('Council Entry'!AQ$8),ISNUMBER('Council Entry'!AQ$9)),MAX(MIN('Council Entry'!AQ103,'Council Entry'!AQ$9),'Council Entry'!AQ$8),'Council Entry'!AQ103)),IF(AND(ISNUMBER('Council Entry'!AQ$8),ISNUMBER('Council Entry'!AQ$9)),MAX(MIN('Council Entry'!AQ103,'Council Entry'!AQ$9),'Council Entry'!AQ$8),'Council Entry'!AQ103))))-'Council Entry'!AQ$5)/('Council Entry'!AQ$6-'Council Entry'!AQ$5)),1))),"No data"))</f>
        <v/>
      </c>
      <c r="AR103" s="13">
        <f>IF('Council Entry'!AR103="","",IFERROR(MAX(0,MIN(10,ROUND(IF('Council Entry'!AR$7="Decrease Risk",10-10*((IF('Council Entry'!AR$4="Logarithm",LN(0.001+IF(AND(ISNUMBER('Council Entry'!AR$8),ISNUMBER('Council Entry'!AR$9)),MAX(MIN('Council Entry'!AR103,'Council Entry'!AR$9),'Council Entry'!AR$8),'Council Entry'!AR103)),IF('Council Entry'!AR$4="Exponential",EXP(IF(AND(ISNUMBER('Council Entry'!AR$8),ISNUMBER('Council Entry'!AR$9)),MAX(MIN('Council Entry'!AR103,'Council Entry'!AR$9),'Council Entry'!AR$8),'Council Entry'!AR103)),IF(AND(ISNUMBER('Council Entry'!AR$8),ISNUMBER('Council Entry'!AR$9)),MAX(MIN('Council Entry'!AR103,'Council Entry'!AR$9),'Council Entry'!AR$8),'Council Entry'!AR103))))-'Council Entry'!AR$5)/('Council Entry'!AR$6-'Council Entry'!AR$5),10*((IF('Council Entry'!AR$4="Logarithm",LN(0.001+IF(AND(ISNUMBER('Council Entry'!AR$8),ISNUMBER('Council Entry'!AR$9)),MAX(MIN('Council Entry'!AR103,'Council Entry'!AR$9),'Council Entry'!AR$8),'Council Entry'!AR103)),IF('Council Entry'!AR$4="Exponential",EXP(IF(AND(ISNUMBER('Council Entry'!AR$8),ISNUMBER('Council Entry'!AR$9)),MAX(MIN('Council Entry'!AR103,'Council Entry'!AR$9),'Council Entry'!AR$8),'Council Entry'!AR103)),IF(AND(ISNUMBER('Council Entry'!AR$8),ISNUMBER('Council Entry'!AR$9)),MAX(MIN('Council Entry'!AR103,'Council Entry'!AR$9),'Council Entry'!AR$8),'Council Entry'!AR103))))-'Council Entry'!AR$5)/('Council Entry'!AR$6-'Council Entry'!AR$5)),1))),"No data"))</f>
        <v/>
      </c>
      <c r="AS103" s="13">
        <f>IF('Council Entry'!AS103="","",IFERROR(MAX(0,MIN(10,ROUND(IF('Council Entry'!AS$7="Decrease Risk",10-10*((IF('Council Entry'!AS$4="Logarithm",LN(0.001+IF(AND(ISNUMBER('Council Entry'!AS$8),ISNUMBER('Council Entry'!AS$9)),MAX(MIN('Council Entry'!AS103,'Council Entry'!AS$9),'Council Entry'!AS$8),'Council Entry'!AS103)),IF('Council Entry'!AS$4="Exponential",EXP(IF(AND(ISNUMBER('Council Entry'!AS$8),ISNUMBER('Council Entry'!AS$9)),MAX(MIN('Council Entry'!AS103,'Council Entry'!AS$9),'Council Entry'!AS$8),'Council Entry'!AS103)),IF(AND(ISNUMBER('Council Entry'!AS$8),ISNUMBER('Council Entry'!AS$9)),MAX(MIN('Council Entry'!AS103,'Council Entry'!AS$9),'Council Entry'!AS$8),'Council Entry'!AS103))))-'Council Entry'!AS$5)/('Council Entry'!AS$6-'Council Entry'!AS$5),10*((IF('Council Entry'!AS$4="Logarithm",LN(0.001+IF(AND(ISNUMBER('Council Entry'!AS$8),ISNUMBER('Council Entry'!AS$9)),MAX(MIN('Council Entry'!AS103,'Council Entry'!AS$9),'Council Entry'!AS$8),'Council Entry'!AS103)),IF('Council Entry'!AS$4="Exponential",EXP(IF(AND(ISNUMBER('Council Entry'!AS$8),ISNUMBER('Council Entry'!AS$9)),MAX(MIN('Council Entry'!AS103,'Council Entry'!AS$9),'Council Entry'!AS$8),'Council Entry'!AS103)),IF(AND(ISNUMBER('Council Entry'!AS$8),ISNUMBER('Council Entry'!AS$9)),MAX(MIN('Council Entry'!AS103,'Council Entry'!AS$9),'Council Entry'!AS$8),'Council Entry'!AS103))))-'Council Entry'!AS$5)/('Council Entry'!AS$6-'Council Entry'!AS$5)),1))),"No data"))</f>
        <v/>
      </c>
      <c r="AT103" s="13">
        <f>IF('Council Entry'!AT103="","",IFERROR(MAX(0,MIN(10,ROUND(IF('Council Entry'!AT$7="Decrease Risk",10-10*((IF('Council Entry'!AT$4="Logarithm",LN(0.001+IF(AND(ISNUMBER('Council Entry'!AT$8),ISNUMBER('Council Entry'!AT$9)),MAX(MIN('Council Entry'!AT103,'Council Entry'!AT$9),'Council Entry'!AT$8),'Council Entry'!AT103)),IF('Council Entry'!AT$4="Exponential",EXP(IF(AND(ISNUMBER('Council Entry'!AT$8),ISNUMBER('Council Entry'!AT$9)),MAX(MIN('Council Entry'!AT103,'Council Entry'!AT$9),'Council Entry'!AT$8),'Council Entry'!AT103)),IF(AND(ISNUMBER('Council Entry'!AT$8),ISNUMBER('Council Entry'!AT$9)),MAX(MIN('Council Entry'!AT103,'Council Entry'!AT$9),'Council Entry'!AT$8),'Council Entry'!AT103))))-'Council Entry'!AT$5)/('Council Entry'!AT$6-'Council Entry'!AT$5),10*((IF('Council Entry'!AT$4="Logarithm",LN(0.001+IF(AND(ISNUMBER('Council Entry'!AT$8),ISNUMBER('Council Entry'!AT$9)),MAX(MIN('Council Entry'!AT103,'Council Entry'!AT$9),'Council Entry'!AT$8),'Council Entry'!AT103)),IF('Council Entry'!AT$4="Exponential",EXP(IF(AND(ISNUMBER('Council Entry'!AT$8),ISNUMBER('Council Entry'!AT$9)),MAX(MIN('Council Entry'!AT103,'Council Entry'!AT$9),'Council Entry'!AT$8),'Council Entry'!AT103)),IF(AND(ISNUMBER('Council Entry'!AT$8),ISNUMBER('Council Entry'!AT$9)),MAX(MIN('Council Entry'!AT103,'Council Entry'!AT$9),'Council Entry'!AT$8),'Council Entry'!AT103))))-'Council Entry'!AT$5)/('Council Entry'!AT$6-'Council Entry'!AT$5)),1))),"No data"))</f>
        <v/>
      </c>
      <c r="AU103" s="13">
        <f>IF('Council Entry'!AU103="","",IFERROR(MAX(0,MIN(10,ROUND(IF('Council Entry'!AU$7="Decrease Risk",10-10*((IF('Council Entry'!AU$4="Logarithm",LN(0.001+IF(AND(ISNUMBER('Council Entry'!AU$8),ISNUMBER('Council Entry'!AU$9)),MAX(MIN('Council Entry'!AU103,'Council Entry'!AU$9),'Council Entry'!AU$8),'Council Entry'!AU103)),IF('Council Entry'!AU$4="Exponential",EXP(IF(AND(ISNUMBER('Council Entry'!AU$8),ISNUMBER('Council Entry'!AU$9)),MAX(MIN('Council Entry'!AU103,'Council Entry'!AU$9),'Council Entry'!AU$8),'Council Entry'!AU103)),IF(AND(ISNUMBER('Council Entry'!AU$8),ISNUMBER('Council Entry'!AU$9)),MAX(MIN('Council Entry'!AU103,'Council Entry'!AU$9),'Council Entry'!AU$8),'Council Entry'!AU103))))-'Council Entry'!AU$5)/('Council Entry'!AU$6-'Council Entry'!AU$5),10*((IF('Council Entry'!AU$4="Logarithm",LN(0.001+IF(AND(ISNUMBER('Council Entry'!AU$8),ISNUMBER('Council Entry'!AU$9)),MAX(MIN('Council Entry'!AU103,'Council Entry'!AU$9),'Council Entry'!AU$8),'Council Entry'!AU103)),IF('Council Entry'!AU$4="Exponential",EXP(IF(AND(ISNUMBER('Council Entry'!AU$8),ISNUMBER('Council Entry'!AU$9)),MAX(MIN('Council Entry'!AU103,'Council Entry'!AU$9),'Council Entry'!AU$8),'Council Entry'!AU103)),IF(AND(ISNUMBER('Council Entry'!AU$8),ISNUMBER('Council Entry'!AU$9)),MAX(MIN('Council Entry'!AU103,'Council Entry'!AU$9),'Council Entry'!AU$8),'Council Entry'!AU103))))-'Council Entry'!AU$5)/('Council Entry'!AU$6-'Council Entry'!AU$5)),1))),"No data"))</f>
        <v/>
      </c>
      <c r="AV103" s="13">
        <f>IF('Council Entry'!AV103="","",IFERROR(MAX(0,MIN(10,ROUND(IF('Council Entry'!AV$7="Decrease Risk",10-10*((IF('Council Entry'!AV$4="Logarithm",LN(0.001+IF(AND(ISNUMBER('Council Entry'!AV$8),ISNUMBER('Council Entry'!AV$9)),MAX(MIN('Council Entry'!AV103,'Council Entry'!AV$9),'Council Entry'!AV$8),'Council Entry'!AV103)),IF('Council Entry'!AV$4="Exponential",EXP(IF(AND(ISNUMBER('Council Entry'!AV$8),ISNUMBER('Council Entry'!AV$9)),MAX(MIN('Council Entry'!AV103,'Council Entry'!AV$9),'Council Entry'!AV$8),'Council Entry'!AV103)),IF(AND(ISNUMBER('Council Entry'!AV$8),ISNUMBER('Council Entry'!AV$9)),MAX(MIN('Council Entry'!AV103,'Council Entry'!AV$9),'Council Entry'!AV$8),'Council Entry'!AV103))))-'Council Entry'!AV$5)/('Council Entry'!AV$6-'Council Entry'!AV$5),10*((IF('Council Entry'!AV$4="Logarithm",LN(0.001+IF(AND(ISNUMBER('Council Entry'!AV$8),ISNUMBER('Council Entry'!AV$9)),MAX(MIN('Council Entry'!AV103,'Council Entry'!AV$9),'Council Entry'!AV$8),'Council Entry'!AV103)),IF('Council Entry'!AV$4="Exponential",EXP(IF(AND(ISNUMBER('Council Entry'!AV$8),ISNUMBER('Council Entry'!AV$9)),MAX(MIN('Council Entry'!AV103,'Council Entry'!AV$9),'Council Entry'!AV$8),'Council Entry'!AV103)),IF(AND(ISNUMBER('Council Entry'!AV$8),ISNUMBER('Council Entry'!AV$9)),MAX(MIN('Council Entry'!AV103,'Council Entry'!AV$9),'Council Entry'!AV$8),'Council Entry'!AV103))))-'Council Entry'!AV$5)/('Council Entry'!AV$6-'Council Entry'!AV$5)),1))),"No data"))</f>
        <v/>
      </c>
      <c r="AW103" s="13">
        <f>IF('Council Entry'!AW103="","",IFERROR(MAX(0,MIN(10,ROUND(IF('Council Entry'!AW$7="Decrease Risk",10-10*((IF('Council Entry'!AW$4="Logarithm",LN(0.001+IF(AND(ISNUMBER('Council Entry'!AW$8),ISNUMBER('Council Entry'!AW$9)),MAX(MIN('Council Entry'!AW103,'Council Entry'!AW$9),'Council Entry'!AW$8),'Council Entry'!AW103)),IF('Council Entry'!AW$4="Exponential",EXP(IF(AND(ISNUMBER('Council Entry'!AW$8),ISNUMBER('Council Entry'!AW$9)),MAX(MIN('Council Entry'!AW103,'Council Entry'!AW$9),'Council Entry'!AW$8),'Council Entry'!AW103)),IF(AND(ISNUMBER('Council Entry'!AW$8),ISNUMBER('Council Entry'!AW$9)),MAX(MIN('Council Entry'!AW103,'Council Entry'!AW$9),'Council Entry'!AW$8),'Council Entry'!AW103))))-'Council Entry'!AW$5)/('Council Entry'!AW$6-'Council Entry'!AW$5),10*((IF('Council Entry'!AW$4="Logarithm",LN(0.001+IF(AND(ISNUMBER('Council Entry'!AW$8),ISNUMBER('Council Entry'!AW$9)),MAX(MIN('Council Entry'!AW103,'Council Entry'!AW$9),'Council Entry'!AW$8),'Council Entry'!AW103)),IF('Council Entry'!AW$4="Exponential",EXP(IF(AND(ISNUMBER('Council Entry'!AW$8),ISNUMBER('Council Entry'!AW$9)),MAX(MIN('Council Entry'!AW103,'Council Entry'!AW$9),'Council Entry'!AW$8),'Council Entry'!AW103)),IF(AND(ISNUMBER('Council Entry'!AW$8),ISNUMBER('Council Entry'!AW$9)),MAX(MIN('Council Entry'!AW103,'Council Entry'!AW$9),'Council Entry'!AW$8),'Council Entry'!AW103))))-'Council Entry'!AW$5)/('Council Entry'!AW$6-'Council Entry'!AW$5)),1))),"No data"))</f>
        <v/>
      </c>
      <c r="AX103" s="13">
        <f>IF('Council Entry'!AX103="","",IFERROR(MAX(0,MIN(10,ROUND(IF('Council Entry'!AX$7="Decrease Risk",10-10*((IF('Council Entry'!AX$4="Logarithm",LN(0.001+IF(AND(ISNUMBER('Council Entry'!AX$8),ISNUMBER('Council Entry'!AX$9)),MAX(MIN('Council Entry'!AX103,'Council Entry'!AX$9),'Council Entry'!AX$8),'Council Entry'!AX103)),IF('Council Entry'!AX$4="Exponential",EXP(IF(AND(ISNUMBER('Council Entry'!AX$8),ISNUMBER('Council Entry'!AX$9)),MAX(MIN('Council Entry'!AX103,'Council Entry'!AX$9),'Council Entry'!AX$8),'Council Entry'!AX103)),IF(AND(ISNUMBER('Council Entry'!AX$8),ISNUMBER('Council Entry'!AX$9)),MAX(MIN('Council Entry'!AX103,'Council Entry'!AX$9),'Council Entry'!AX$8),'Council Entry'!AX103))))-'Council Entry'!AX$5)/('Council Entry'!AX$6-'Council Entry'!AX$5),10*((IF('Council Entry'!AX$4="Logarithm",LN(0.001+IF(AND(ISNUMBER('Council Entry'!AX$8),ISNUMBER('Council Entry'!AX$9)),MAX(MIN('Council Entry'!AX103,'Council Entry'!AX$9),'Council Entry'!AX$8),'Council Entry'!AX103)),IF('Council Entry'!AX$4="Exponential",EXP(IF(AND(ISNUMBER('Council Entry'!AX$8),ISNUMBER('Council Entry'!AX$9)),MAX(MIN('Council Entry'!AX103,'Council Entry'!AX$9),'Council Entry'!AX$8),'Council Entry'!AX103)),IF(AND(ISNUMBER('Council Entry'!AX$8),ISNUMBER('Council Entry'!AX$9)),MAX(MIN('Council Entry'!AX103,'Council Entry'!AX$9),'Council Entry'!AX$8),'Council Entry'!AX103))))-'Council Entry'!AX$5)/('Council Entry'!AX$6-'Council Entry'!AX$5)),1))),"No data"))</f>
        <v/>
      </c>
      <c r="AY103" s="13">
        <f>IF('Council Entry'!AY103="","",IFERROR(MAX(0,MIN(10,ROUND(IF('Council Entry'!AY$7="Decrease Risk",10-10*((IF('Council Entry'!AY$4="Logarithm",LN(0.001+IF(AND(ISNUMBER('Council Entry'!AY$8),ISNUMBER('Council Entry'!AY$9)),MAX(MIN('Council Entry'!AY103,'Council Entry'!AY$9),'Council Entry'!AY$8),'Council Entry'!AY103)),IF('Council Entry'!AY$4="Exponential",EXP(IF(AND(ISNUMBER('Council Entry'!AY$8),ISNUMBER('Council Entry'!AY$9)),MAX(MIN('Council Entry'!AY103,'Council Entry'!AY$9),'Council Entry'!AY$8),'Council Entry'!AY103)),IF(AND(ISNUMBER('Council Entry'!AY$8),ISNUMBER('Council Entry'!AY$9)),MAX(MIN('Council Entry'!AY103,'Council Entry'!AY$9),'Council Entry'!AY$8),'Council Entry'!AY103))))-'Council Entry'!AY$5)/('Council Entry'!AY$6-'Council Entry'!AY$5),10*((IF('Council Entry'!AY$4="Logarithm",LN(0.001+IF(AND(ISNUMBER('Council Entry'!AY$8),ISNUMBER('Council Entry'!AY$9)),MAX(MIN('Council Entry'!AY103,'Council Entry'!AY$9),'Council Entry'!AY$8),'Council Entry'!AY103)),IF('Council Entry'!AY$4="Exponential",EXP(IF(AND(ISNUMBER('Council Entry'!AY$8),ISNUMBER('Council Entry'!AY$9)),MAX(MIN('Council Entry'!AY103,'Council Entry'!AY$9),'Council Entry'!AY$8),'Council Entry'!AY103)),IF(AND(ISNUMBER('Council Entry'!AY$8),ISNUMBER('Council Entry'!AY$9)),MAX(MIN('Council Entry'!AY103,'Council Entry'!AY$9),'Council Entry'!AY$8),'Council Entry'!AY103))))-'Council Entry'!AY$5)/('Council Entry'!AY$6-'Council Entry'!AY$5)),1))),"No data"))</f>
        <v/>
      </c>
      <c r="AZ103" s="13">
        <f>IF('Council Entry'!AZ103="","",IFERROR(MAX(0,MIN(10,ROUND(IF('Council Entry'!AZ$7="Decrease Risk",10-10*((IF('Council Entry'!AZ$4="Logarithm",LN(0.001+IF(AND(ISNUMBER('Council Entry'!AZ$8),ISNUMBER('Council Entry'!AZ$9)),MAX(MIN('Council Entry'!AZ103,'Council Entry'!AZ$9),'Council Entry'!AZ$8),'Council Entry'!AZ103)),IF('Council Entry'!AZ$4="Exponential",EXP(IF(AND(ISNUMBER('Council Entry'!AZ$8),ISNUMBER('Council Entry'!AZ$9)),MAX(MIN('Council Entry'!AZ103,'Council Entry'!AZ$9),'Council Entry'!AZ$8),'Council Entry'!AZ103)),IF(AND(ISNUMBER('Council Entry'!AZ$8),ISNUMBER('Council Entry'!AZ$9)),MAX(MIN('Council Entry'!AZ103,'Council Entry'!AZ$9),'Council Entry'!AZ$8),'Council Entry'!AZ103))))-'Council Entry'!AZ$5)/('Council Entry'!AZ$6-'Council Entry'!AZ$5),10*((IF('Council Entry'!AZ$4="Logarithm",LN(0.001+IF(AND(ISNUMBER('Council Entry'!AZ$8),ISNUMBER('Council Entry'!AZ$9)),MAX(MIN('Council Entry'!AZ103,'Council Entry'!AZ$9),'Council Entry'!AZ$8),'Council Entry'!AZ103)),IF('Council Entry'!AZ$4="Exponential",EXP(IF(AND(ISNUMBER('Council Entry'!AZ$8),ISNUMBER('Council Entry'!AZ$9)),MAX(MIN('Council Entry'!AZ103,'Council Entry'!AZ$9),'Council Entry'!AZ$8),'Council Entry'!AZ103)),IF(AND(ISNUMBER('Council Entry'!AZ$8),ISNUMBER('Council Entry'!AZ$9)),MAX(MIN('Council Entry'!AZ103,'Council Entry'!AZ$9),'Council Entry'!AZ$8),'Council Entry'!AZ103))))-'Council Entry'!AZ$5)/('Council Entry'!AZ$6-'Council Entry'!AZ$5)),1))),"No data"))</f>
        <v/>
      </c>
      <c r="BA103" s="13">
        <f>IF('Council Entry'!BA103="","",IFERROR(MAX(0,MIN(10,ROUND(IF('Council Entry'!BA$7="Decrease Risk",10-10*((IF('Council Entry'!BA$4="Logarithm",LN(0.001+IF(AND(ISNUMBER('Council Entry'!BA$8),ISNUMBER('Council Entry'!BA$9)),MAX(MIN('Council Entry'!BA103,'Council Entry'!BA$9),'Council Entry'!BA$8),'Council Entry'!BA103)),IF('Council Entry'!BA$4="Exponential",EXP(IF(AND(ISNUMBER('Council Entry'!BA$8),ISNUMBER('Council Entry'!BA$9)),MAX(MIN('Council Entry'!BA103,'Council Entry'!BA$9),'Council Entry'!BA$8),'Council Entry'!BA103)),IF(AND(ISNUMBER('Council Entry'!BA$8),ISNUMBER('Council Entry'!BA$9)),MAX(MIN('Council Entry'!BA103,'Council Entry'!BA$9),'Council Entry'!BA$8),'Council Entry'!BA103))))-'Council Entry'!BA$5)/('Council Entry'!BA$6-'Council Entry'!BA$5),10*((IF('Council Entry'!BA$4="Logarithm",LN(0.001+IF(AND(ISNUMBER('Council Entry'!BA$8),ISNUMBER('Council Entry'!BA$9)),MAX(MIN('Council Entry'!BA103,'Council Entry'!BA$9),'Council Entry'!BA$8),'Council Entry'!BA103)),IF('Council Entry'!BA$4="Exponential",EXP(IF(AND(ISNUMBER('Council Entry'!BA$8),ISNUMBER('Council Entry'!BA$9)),MAX(MIN('Council Entry'!BA103,'Council Entry'!BA$9),'Council Entry'!BA$8),'Council Entry'!BA103)),IF(AND(ISNUMBER('Council Entry'!BA$8),ISNUMBER('Council Entry'!BA$9)),MAX(MIN('Council Entry'!BA103,'Council Entry'!BA$9),'Council Entry'!BA$8),'Council Entry'!BA103))))-'Council Entry'!BA$5)/('Council Entry'!BA$6-'Council Entry'!BA$5)),1))),"No data"))</f>
        <v/>
      </c>
      <c r="BB103" s="13">
        <f>IF('Council Entry'!BB103="","",IFERROR(MAX(0,MIN(10,ROUND(IF('Council Entry'!BB$7="Decrease Risk",10-10*((IF('Council Entry'!BB$4="Logarithm",LN(0.001+IF(AND(ISNUMBER('Council Entry'!BB$8),ISNUMBER('Council Entry'!BB$9)),MAX(MIN('Council Entry'!BB103,'Council Entry'!BB$9),'Council Entry'!BB$8),'Council Entry'!BB103)),IF('Council Entry'!BB$4="Exponential",EXP(IF(AND(ISNUMBER('Council Entry'!BB$8),ISNUMBER('Council Entry'!BB$9)),MAX(MIN('Council Entry'!BB103,'Council Entry'!BB$9),'Council Entry'!BB$8),'Council Entry'!BB103)),IF(AND(ISNUMBER('Council Entry'!BB$8),ISNUMBER('Council Entry'!BB$9)),MAX(MIN('Council Entry'!BB103,'Council Entry'!BB$9),'Council Entry'!BB$8),'Council Entry'!BB103))))-'Council Entry'!BB$5)/('Council Entry'!BB$6-'Council Entry'!BB$5),10*((IF('Council Entry'!BB$4="Logarithm",LN(0.001+IF(AND(ISNUMBER('Council Entry'!BB$8),ISNUMBER('Council Entry'!BB$9)),MAX(MIN('Council Entry'!BB103,'Council Entry'!BB$9),'Council Entry'!BB$8),'Council Entry'!BB103)),IF('Council Entry'!BB$4="Exponential",EXP(IF(AND(ISNUMBER('Council Entry'!BB$8),ISNUMBER('Council Entry'!BB$9)),MAX(MIN('Council Entry'!BB103,'Council Entry'!BB$9),'Council Entry'!BB$8),'Council Entry'!BB103)),IF(AND(ISNUMBER('Council Entry'!BB$8),ISNUMBER('Council Entry'!BB$9)),MAX(MIN('Council Entry'!BB103,'Council Entry'!BB$9),'Council Entry'!BB$8),'Council Entry'!BB103))))-'Council Entry'!BB$5)/('Council Entry'!BB$6-'Council Entry'!BB$5)),1))),"No data"))</f>
        <v/>
      </c>
      <c r="BC103" s="13">
        <f>IF('Council Entry'!BC103="","",IFERROR(MAX(0,MIN(10,ROUND(IF('Council Entry'!BC$7="Decrease Risk",10-10*((IF('Council Entry'!BC$4="Logarithm",LN(0.001+IF(AND(ISNUMBER('Council Entry'!BC$8),ISNUMBER('Council Entry'!BC$9)),MAX(MIN('Council Entry'!BC103,'Council Entry'!BC$9),'Council Entry'!BC$8),'Council Entry'!BC103)),IF('Council Entry'!BC$4="Exponential",EXP(IF(AND(ISNUMBER('Council Entry'!BC$8),ISNUMBER('Council Entry'!BC$9)),MAX(MIN('Council Entry'!BC103,'Council Entry'!BC$9),'Council Entry'!BC$8),'Council Entry'!BC103)),IF(AND(ISNUMBER('Council Entry'!BC$8),ISNUMBER('Council Entry'!BC$9)),MAX(MIN('Council Entry'!BC103,'Council Entry'!BC$9),'Council Entry'!BC$8),'Council Entry'!BC103))))-'Council Entry'!BC$5)/('Council Entry'!BC$6-'Council Entry'!BC$5),10*((IF('Council Entry'!BC$4="Logarithm",LN(0.001+IF(AND(ISNUMBER('Council Entry'!BC$8),ISNUMBER('Council Entry'!BC$9)),MAX(MIN('Council Entry'!BC103,'Council Entry'!BC$9),'Council Entry'!BC$8),'Council Entry'!BC103)),IF('Council Entry'!BC$4="Exponential",EXP(IF(AND(ISNUMBER('Council Entry'!BC$8),ISNUMBER('Council Entry'!BC$9)),MAX(MIN('Council Entry'!BC103,'Council Entry'!BC$9),'Council Entry'!BC$8),'Council Entry'!BC103)),IF(AND(ISNUMBER('Council Entry'!BC$8),ISNUMBER('Council Entry'!BC$9)),MAX(MIN('Council Entry'!BC103,'Council Entry'!BC$9),'Council Entry'!BC$8),'Council Entry'!BC103))))-'Council Entry'!BC$5)/('Council Entry'!BC$6-'Council Entry'!BC$5)),1))),"No data"))</f>
        <v/>
      </c>
      <c r="BD103" s="13">
        <f>IF('Council Entry'!BD103="","",IFERROR(MAX(0,MIN(10,ROUND(IF('Council Entry'!BD$7="Decrease Risk",10-10*((IF('Council Entry'!BD$4="Logarithm",LN(0.001+IF(AND(ISNUMBER('Council Entry'!BD$8),ISNUMBER('Council Entry'!BD$9)),MAX(MIN('Council Entry'!BD103,'Council Entry'!BD$9),'Council Entry'!BD$8),'Council Entry'!BD103)),IF('Council Entry'!BD$4="Exponential",EXP(IF(AND(ISNUMBER('Council Entry'!BD$8),ISNUMBER('Council Entry'!BD$9)),MAX(MIN('Council Entry'!BD103,'Council Entry'!BD$9),'Council Entry'!BD$8),'Council Entry'!BD103)),IF(AND(ISNUMBER('Council Entry'!BD$8),ISNUMBER('Council Entry'!BD$9)),MAX(MIN('Council Entry'!BD103,'Council Entry'!BD$9),'Council Entry'!BD$8),'Council Entry'!BD103))))-'Council Entry'!BD$5)/('Council Entry'!BD$6-'Council Entry'!BD$5),10*((IF('Council Entry'!BD$4="Logarithm",LN(0.001+IF(AND(ISNUMBER('Council Entry'!BD$8),ISNUMBER('Council Entry'!BD$9)),MAX(MIN('Council Entry'!BD103,'Council Entry'!BD$9),'Council Entry'!BD$8),'Council Entry'!BD103)),IF('Council Entry'!BD$4="Exponential",EXP(IF(AND(ISNUMBER('Council Entry'!BD$8),ISNUMBER('Council Entry'!BD$9)),MAX(MIN('Council Entry'!BD103,'Council Entry'!BD$9),'Council Entry'!BD$8),'Council Entry'!BD103)),IF(AND(ISNUMBER('Council Entry'!BD$8),ISNUMBER('Council Entry'!BD$9)),MAX(MIN('Council Entry'!BD103,'Council Entry'!BD$9),'Council Entry'!BD$8),'Council Entry'!BD103))))-'Council Entry'!BD$5)/('Council Entry'!BD$6-'Council Entry'!BD$5)),1))),"No data"))</f>
        <v/>
      </c>
    </row>
    <row r="104">
      <c r="A104" t="inlineStr">
        <is>
          <t>Mbeya</t>
        </is>
      </c>
      <c r="B104" t="inlineStr">
        <is>
          <t>Mbeya City</t>
        </is>
      </c>
      <c r="C104" t="inlineStr">
        <is>
          <t>C087</t>
        </is>
      </c>
      <c r="D104" s="13">
        <f>IF('Council Entry'!D104="","",IFERROR(MAX(0,MIN(10,ROUND(IF('Council Entry'!D$7="Decrease Risk",10-10*((IF('Council Entry'!D$4="Logarithm",LN(0.001+IF(AND(ISNUMBER('Council Entry'!D$8),ISNUMBER('Council Entry'!D$9)),MAX(MIN('Council Entry'!D104,'Council Entry'!D$9),'Council Entry'!D$8),'Council Entry'!D104)),IF('Council Entry'!D$4="Exponential",EXP(IF(AND(ISNUMBER('Council Entry'!D$8),ISNUMBER('Council Entry'!D$9)),MAX(MIN('Council Entry'!D104,'Council Entry'!D$9),'Council Entry'!D$8),'Council Entry'!D104)),IF(AND(ISNUMBER('Council Entry'!D$8),ISNUMBER('Council Entry'!D$9)),MAX(MIN('Council Entry'!D104,'Council Entry'!D$9),'Council Entry'!D$8),'Council Entry'!D104))))-'Council Entry'!D$5)/('Council Entry'!D$6-'Council Entry'!D$5),10*((IF('Council Entry'!D$4="Logarithm",LN(0.001+IF(AND(ISNUMBER('Council Entry'!D$8),ISNUMBER('Council Entry'!D$9)),MAX(MIN('Council Entry'!D104,'Council Entry'!D$9),'Council Entry'!D$8),'Council Entry'!D104)),IF('Council Entry'!D$4="Exponential",EXP(IF(AND(ISNUMBER('Council Entry'!D$8),ISNUMBER('Council Entry'!D$9)),MAX(MIN('Council Entry'!D104,'Council Entry'!D$9),'Council Entry'!D$8),'Council Entry'!D104)),IF(AND(ISNUMBER('Council Entry'!D$8),ISNUMBER('Council Entry'!D$9)),MAX(MIN('Council Entry'!D104,'Council Entry'!D$9),'Council Entry'!D$8),'Council Entry'!D104))))-'Council Entry'!D$5)/('Council Entry'!D$6-'Council Entry'!D$5)),1))),"No data"))</f>
        <v/>
      </c>
      <c r="E104" s="13">
        <f>IF('Council Entry'!E104="","",IFERROR(MAX(0,MIN(10,ROUND(IF('Council Entry'!E$7="Decrease Risk",10-10*((IF('Council Entry'!E$4="Logarithm",LN(0.001+IF(AND(ISNUMBER('Council Entry'!E$8),ISNUMBER('Council Entry'!E$9)),MAX(MIN('Council Entry'!E104,'Council Entry'!E$9),'Council Entry'!E$8),'Council Entry'!E104)),IF('Council Entry'!E$4="Exponential",EXP(IF(AND(ISNUMBER('Council Entry'!E$8),ISNUMBER('Council Entry'!E$9)),MAX(MIN('Council Entry'!E104,'Council Entry'!E$9),'Council Entry'!E$8),'Council Entry'!E104)),IF(AND(ISNUMBER('Council Entry'!E$8),ISNUMBER('Council Entry'!E$9)),MAX(MIN('Council Entry'!E104,'Council Entry'!E$9),'Council Entry'!E$8),'Council Entry'!E104))))-'Council Entry'!E$5)/('Council Entry'!E$6-'Council Entry'!E$5),10*((IF('Council Entry'!E$4="Logarithm",LN(0.001+IF(AND(ISNUMBER('Council Entry'!E$8),ISNUMBER('Council Entry'!E$9)),MAX(MIN('Council Entry'!E104,'Council Entry'!E$9),'Council Entry'!E$8),'Council Entry'!E104)),IF('Council Entry'!E$4="Exponential",EXP(IF(AND(ISNUMBER('Council Entry'!E$8),ISNUMBER('Council Entry'!E$9)),MAX(MIN('Council Entry'!E104,'Council Entry'!E$9),'Council Entry'!E$8),'Council Entry'!E104)),IF(AND(ISNUMBER('Council Entry'!E$8),ISNUMBER('Council Entry'!E$9)),MAX(MIN('Council Entry'!E104,'Council Entry'!E$9),'Council Entry'!E$8),'Council Entry'!E104))))-'Council Entry'!E$5)/('Council Entry'!E$6-'Council Entry'!E$5)),1))),"No data"))</f>
        <v/>
      </c>
      <c r="F104" s="13">
        <f>IF('Council Entry'!F104="","",IFERROR(MAX(0,MIN(10,ROUND(IF('Council Entry'!F$7="Decrease Risk",10-10*((IF('Council Entry'!F$4="Logarithm",LN(0.001+IF(AND(ISNUMBER('Council Entry'!F$8),ISNUMBER('Council Entry'!F$9)),MAX(MIN('Council Entry'!F104,'Council Entry'!F$9),'Council Entry'!F$8),'Council Entry'!F104)),IF('Council Entry'!F$4="Exponential",EXP(IF(AND(ISNUMBER('Council Entry'!F$8),ISNUMBER('Council Entry'!F$9)),MAX(MIN('Council Entry'!F104,'Council Entry'!F$9),'Council Entry'!F$8),'Council Entry'!F104)),IF(AND(ISNUMBER('Council Entry'!F$8),ISNUMBER('Council Entry'!F$9)),MAX(MIN('Council Entry'!F104,'Council Entry'!F$9),'Council Entry'!F$8),'Council Entry'!F104))))-'Council Entry'!F$5)/('Council Entry'!F$6-'Council Entry'!F$5),10*((IF('Council Entry'!F$4="Logarithm",LN(0.001+IF(AND(ISNUMBER('Council Entry'!F$8),ISNUMBER('Council Entry'!F$9)),MAX(MIN('Council Entry'!F104,'Council Entry'!F$9),'Council Entry'!F$8),'Council Entry'!F104)),IF('Council Entry'!F$4="Exponential",EXP(IF(AND(ISNUMBER('Council Entry'!F$8),ISNUMBER('Council Entry'!F$9)),MAX(MIN('Council Entry'!F104,'Council Entry'!F$9),'Council Entry'!F$8),'Council Entry'!F104)),IF(AND(ISNUMBER('Council Entry'!F$8),ISNUMBER('Council Entry'!F$9)),MAX(MIN('Council Entry'!F104,'Council Entry'!F$9),'Council Entry'!F$8),'Council Entry'!F104))))-'Council Entry'!F$5)/('Council Entry'!F$6-'Council Entry'!F$5)),1))),"No data"))</f>
        <v/>
      </c>
      <c r="G104" s="13">
        <f>IF('Council Entry'!G104="","",IFERROR(MAX(0,MIN(10,ROUND(IF('Council Entry'!G$7="Decrease Risk",10-10*((IF('Council Entry'!G$4="Logarithm",LN(0.001+IF(AND(ISNUMBER('Council Entry'!G$8),ISNUMBER('Council Entry'!G$9)),MAX(MIN('Council Entry'!G104,'Council Entry'!G$9),'Council Entry'!G$8),'Council Entry'!G104)),IF('Council Entry'!G$4="Exponential",EXP(IF(AND(ISNUMBER('Council Entry'!G$8),ISNUMBER('Council Entry'!G$9)),MAX(MIN('Council Entry'!G104,'Council Entry'!G$9),'Council Entry'!G$8),'Council Entry'!G104)),IF(AND(ISNUMBER('Council Entry'!G$8),ISNUMBER('Council Entry'!G$9)),MAX(MIN('Council Entry'!G104,'Council Entry'!G$9),'Council Entry'!G$8),'Council Entry'!G104))))-'Council Entry'!G$5)/('Council Entry'!G$6-'Council Entry'!G$5),10*((IF('Council Entry'!G$4="Logarithm",LN(0.001+IF(AND(ISNUMBER('Council Entry'!G$8),ISNUMBER('Council Entry'!G$9)),MAX(MIN('Council Entry'!G104,'Council Entry'!G$9),'Council Entry'!G$8),'Council Entry'!G104)),IF('Council Entry'!G$4="Exponential",EXP(IF(AND(ISNUMBER('Council Entry'!G$8),ISNUMBER('Council Entry'!G$9)),MAX(MIN('Council Entry'!G104,'Council Entry'!G$9),'Council Entry'!G$8),'Council Entry'!G104)),IF(AND(ISNUMBER('Council Entry'!G$8),ISNUMBER('Council Entry'!G$9)),MAX(MIN('Council Entry'!G104,'Council Entry'!G$9),'Council Entry'!G$8),'Council Entry'!G104))))-'Council Entry'!G$5)/('Council Entry'!G$6-'Council Entry'!G$5)),1))),"No data"))</f>
        <v/>
      </c>
      <c r="H104" s="13">
        <f>IF('Council Entry'!H104="","",IFERROR(MAX(0,MIN(10,ROUND(IF('Council Entry'!H$7="Decrease Risk",10-10*((IF('Council Entry'!H$4="Logarithm",LN(0.001+IF(AND(ISNUMBER('Council Entry'!H$8),ISNUMBER('Council Entry'!H$9)),MAX(MIN('Council Entry'!H104,'Council Entry'!H$9),'Council Entry'!H$8),'Council Entry'!H104)),IF('Council Entry'!H$4="Exponential",EXP(IF(AND(ISNUMBER('Council Entry'!H$8),ISNUMBER('Council Entry'!H$9)),MAX(MIN('Council Entry'!H104,'Council Entry'!H$9),'Council Entry'!H$8),'Council Entry'!H104)),IF(AND(ISNUMBER('Council Entry'!H$8),ISNUMBER('Council Entry'!H$9)),MAX(MIN('Council Entry'!H104,'Council Entry'!H$9),'Council Entry'!H$8),'Council Entry'!H104))))-'Council Entry'!H$5)/('Council Entry'!H$6-'Council Entry'!H$5),10*((IF('Council Entry'!H$4="Logarithm",LN(0.001+IF(AND(ISNUMBER('Council Entry'!H$8),ISNUMBER('Council Entry'!H$9)),MAX(MIN('Council Entry'!H104,'Council Entry'!H$9),'Council Entry'!H$8),'Council Entry'!H104)),IF('Council Entry'!H$4="Exponential",EXP(IF(AND(ISNUMBER('Council Entry'!H$8),ISNUMBER('Council Entry'!H$9)),MAX(MIN('Council Entry'!H104,'Council Entry'!H$9),'Council Entry'!H$8),'Council Entry'!H104)),IF(AND(ISNUMBER('Council Entry'!H$8),ISNUMBER('Council Entry'!H$9)),MAX(MIN('Council Entry'!H104,'Council Entry'!H$9),'Council Entry'!H$8),'Council Entry'!H104))))-'Council Entry'!H$5)/('Council Entry'!H$6-'Council Entry'!H$5)),1))),"No data"))</f>
        <v/>
      </c>
      <c r="I104" s="13">
        <f>IF('Council Entry'!I104="","",IFERROR(MAX(0,MIN(10,ROUND(IF('Council Entry'!I$7="Decrease Risk",10-10*((IF('Council Entry'!I$4="Logarithm",LN(0.001+IF(AND(ISNUMBER('Council Entry'!I$8),ISNUMBER('Council Entry'!I$9)),MAX(MIN('Council Entry'!I104,'Council Entry'!I$9),'Council Entry'!I$8),'Council Entry'!I104)),IF('Council Entry'!I$4="Exponential",EXP(IF(AND(ISNUMBER('Council Entry'!I$8),ISNUMBER('Council Entry'!I$9)),MAX(MIN('Council Entry'!I104,'Council Entry'!I$9),'Council Entry'!I$8),'Council Entry'!I104)),IF(AND(ISNUMBER('Council Entry'!I$8),ISNUMBER('Council Entry'!I$9)),MAX(MIN('Council Entry'!I104,'Council Entry'!I$9),'Council Entry'!I$8),'Council Entry'!I104))))-'Council Entry'!I$5)/('Council Entry'!I$6-'Council Entry'!I$5),10*((IF('Council Entry'!I$4="Logarithm",LN(0.001+IF(AND(ISNUMBER('Council Entry'!I$8),ISNUMBER('Council Entry'!I$9)),MAX(MIN('Council Entry'!I104,'Council Entry'!I$9),'Council Entry'!I$8),'Council Entry'!I104)),IF('Council Entry'!I$4="Exponential",EXP(IF(AND(ISNUMBER('Council Entry'!I$8),ISNUMBER('Council Entry'!I$9)),MAX(MIN('Council Entry'!I104,'Council Entry'!I$9),'Council Entry'!I$8),'Council Entry'!I104)),IF(AND(ISNUMBER('Council Entry'!I$8),ISNUMBER('Council Entry'!I$9)),MAX(MIN('Council Entry'!I104,'Council Entry'!I$9),'Council Entry'!I$8),'Council Entry'!I104))))-'Council Entry'!I$5)/('Council Entry'!I$6-'Council Entry'!I$5)),1))),"No data"))</f>
        <v/>
      </c>
      <c r="J104" s="13">
        <f>IF('Council Entry'!J104="","",IFERROR(MAX(0,MIN(10,ROUND(IF('Council Entry'!J$7="Decrease Risk",10-10*((IF('Council Entry'!J$4="Logarithm",LN(0.001+IF(AND(ISNUMBER('Council Entry'!J$8),ISNUMBER('Council Entry'!J$9)),MAX(MIN('Council Entry'!J104,'Council Entry'!J$9),'Council Entry'!J$8),'Council Entry'!J104)),IF('Council Entry'!J$4="Exponential",EXP(IF(AND(ISNUMBER('Council Entry'!J$8),ISNUMBER('Council Entry'!J$9)),MAX(MIN('Council Entry'!J104,'Council Entry'!J$9),'Council Entry'!J$8),'Council Entry'!J104)),IF(AND(ISNUMBER('Council Entry'!J$8),ISNUMBER('Council Entry'!J$9)),MAX(MIN('Council Entry'!J104,'Council Entry'!J$9),'Council Entry'!J$8),'Council Entry'!J104))))-'Council Entry'!J$5)/('Council Entry'!J$6-'Council Entry'!J$5),10*((IF('Council Entry'!J$4="Logarithm",LN(0.001+IF(AND(ISNUMBER('Council Entry'!J$8),ISNUMBER('Council Entry'!J$9)),MAX(MIN('Council Entry'!J104,'Council Entry'!J$9),'Council Entry'!J$8),'Council Entry'!J104)),IF('Council Entry'!J$4="Exponential",EXP(IF(AND(ISNUMBER('Council Entry'!J$8),ISNUMBER('Council Entry'!J$9)),MAX(MIN('Council Entry'!J104,'Council Entry'!J$9),'Council Entry'!J$8),'Council Entry'!J104)),IF(AND(ISNUMBER('Council Entry'!J$8),ISNUMBER('Council Entry'!J$9)),MAX(MIN('Council Entry'!J104,'Council Entry'!J$9),'Council Entry'!J$8),'Council Entry'!J104))))-'Council Entry'!J$5)/('Council Entry'!J$6-'Council Entry'!J$5)),1))),"No data"))</f>
        <v/>
      </c>
      <c r="K104" s="13">
        <f>IF('Council Entry'!K104="","",IFERROR(MAX(0,MIN(10,ROUND(IF('Council Entry'!K$7="Decrease Risk",10-10*((IF('Council Entry'!K$4="Logarithm",LN(0.001+IF(AND(ISNUMBER('Council Entry'!K$8),ISNUMBER('Council Entry'!K$9)),MAX(MIN('Council Entry'!K104,'Council Entry'!K$9),'Council Entry'!K$8),'Council Entry'!K104)),IF('Council Entry'!K$4="Exponential",EXP(IF(AND(ISNUMBER('Council Entry'!K$8),ISNUMBER('Council Entry'!K$9)),MAX(MIN('Council Entry'!K104,'Council Entry'!K$9),'Council Entry'!K$8),'Council Entry'!K104)),IF(AND(ISNUMBER('Council Entry'!K$8),ISNUMBER('Council Entry'!K$9)),MAX(MIN('Council Entry'!K104,'Council Entry'!K$9),'Council Entry'!K$8),'Council Entry'!K104))))-'Council Entry'!K$5)/('Council Entry'!K$6-'Council Entry'!K$5),10*((IF('Council Entry'!K$4="Logarithm",LN(0.001+IF(AND(ISNUMBER('Council Entry'!K$8),ISNUMBER('Council Entry'!K$9)),MAX(MIN('Council Entry'!K104,'Council Entry'!K$9),'Council Entry'!K$8),'Council Entry'!K104)),IF('Council Entry'!K$4="Exponential",EXP(IF(AND(ISNUMBER('Council Entry'!K$8),ISNUMBER('Council Entry'!K$9)),MAX(MIN('Council Entry'!K104,'Council Entry'!K$9),'Council Entry'!K$8),'Council Entry'!K104)),IF(AND(ISNUMBER('Council Entry'!K$8),ISNUMBER('Council Entry'!K$9)),MAX(MIN('Council Entry'!K104,'Council Entry'!K$9),'Council Entry'!K$8),'Council Entry'!K104))))-'Council Entry'!K$5)/('Council Entry'!K$6-'Council Entry'!K$5)),1))),"No data"))</f>
        <v/>
      </c>
      <c r="L104" s="13">
        <f>IF('Council Entry'!L104="","",IFERROR(MAX(0,MIN(10,ROUND(IF('Council Entry'!L$7="Decrease Risk",10-10*((IF('Council Entry'!L$4="Logarithm",LN(0.001+IF(AND(ISNUMBER('Council Entry'!L$8),ISNUMBER('Council Entry'!L$9)),MAX(MIN('Council Entry'!L104,'Council Entry'!L$9),'Council Entry'!L$8),'Council Entry'!L104)),IF('Council Entry'!L$4="Exponential",EXP(IF(AND(ISNUMBER('Council Entry'!L$8),ISNUMBER('Council Entry'!L$9)),MAX(MIN('Council Entry'!L104,'Council Entry'!L$9),'Council Entry'!L$8),'Council Entry'!L104)),IF(AND(ISNUMBER('Council Entry'!L$8),ISNUMBER('Council Entry'!L$9)),MAX(MIN('Council Entry'!L104,'Council Entry'!L$9),'Council Entry'!L$8),'Council Entry'!L104))))-'Council Entry'!L$5)/('Council Entry'!L$6-'Council Entry'!L$5),10*((IF('Council Entry'!L$4="Logarithm",LN(0.001+IF(AND(ISNUMBER('Council Entry'!L$8),ISNUMBER('Council Entry'!L$9)),MAX(MIN('Council Entry'!L104,'Council Entry'!L$9),'Council Entry'!L$8),'Council Entry'!L104)),IF('Council Entry'!L$4="Exponential",EXP(IF(AND(ISNUMBER('Council Entry'!L$8),ISNUMBER('Council Entry'!L$9)),MAX(MIN('Council Entry'!L104,'Council Entry'!L$9),'Council Entry'!L$8),'Council Entry'!L104)),IF(AND(ISNUMBER('Council Entry'!L$8),ISNUMBER('Council Entry'!L$9)),MAX(MIN('Council Entry'!L104,'Council Entry'!L$9),'Council Entry'!L$8),'Council Entry'!L104))))-'Council Entry'!L$5)/('Council Entry'!L$6-'Council Entry'!L$5)),1))),"No data"))</f>
        <v/>
      </c>
      <c r="M104" s="13">
        <f>IF('Council Entry'!M104="","",IFERROR(MAX(0,MIN(10,ROUND(IF('Council Entry'!M$7="Decrease Risk",10-10*((IF('Council Entry'!M$4="Logarithm",LN(0.001+IF(AND(ISNUMBER('Council Entry'!M$8),ISNUMBER('Council Entry'!M$9)),MAX(MIN('Council Entry'!M104,'Council Entry'!M$9),'Council Entry'!M$8),'Council Entry'!M104)),IF('Council Entry'!M$4="Exponential",EXP(IF(AND(ISNUMBER('Council Entry'!M$8),ISNUMBER('Council Entry'!M$9)),MAX(MIN('Council Entry'!M104,'Council Entry'!M$9),'Council Entry'!M$8),'Council Entry'!M104)),IF(AND(ISNUMBER('Council Entry'!M$8),ISNUMBER('Council Entry'!M$9)),MAX(MIN('Council Entry'!M104,'Council Entry'!M$9),'Council Entry'!M$8),'Council Entry'!M104))))-'Council Entry'!M$5)/('Council Entry'!M$6-'Council Entry'!M$5),10*((IF('Council Entry'!M$4="Logarithm",LN(0.001+IF(AND(ISNUMBER('Council Entry'!M$8),ISNUMBER('Council Entry'!M$9)),MAX(MIN('Council Entry'!M104,'Council Entry'!M$9),'Council Entry'!M$8),'Council Entry'!M104)),IF('Council Entry'!M$4="Exponential",EXP(IF(AND(ISNUMBER('Council Entry'!M$8),ISNUMBER('Council Entry'!M$9)),MAX(MIN('Council Entry'!M104,'Council Entry'!M$9),'Council Entry'!M$8),'Council Entry'!M104)),IF(AND(ISNUMBER('Council Entry'!M$8),ISNUMBER('Council Entry'!M$9)),MAX(MIN('Council Entry'!M104,'Council Entry'!M$9),'Council Entry'!M$8),'Council Entry'!M104))))-'Council Entry'!M$5)/('Council Entry'!M$6-'Council Entry'!M$5)),1))),"No data"))</f>
        <v/>
      </c>
      <c r="N104" s="13">
        <f>IF('Council Entry'!N104="","",IFERROR(MAX(0,MIN(10,ROUND(IF('Council Entry'!N$7="Decrease Risk",10-10*((IF('Council Entry'!N$4="Logarithm",LN(0.001+IF(AND(ISNUMBER('Council Entry'!N$8),ISNUMBER('Council Entry'!N$9)),MAX(MIN('Council Entry'!N104,'Council Entry'!N$9),'Council Entry'!N$8),'Council Entry'!N104)),IF('Council Entry'!N$4="Exponential",EXP(IF(AND(ISNUMBER('Council Entry'!N$8),ISNUMBER('Council Entry'!N$9)),MAX(MIN('Council Entry'!N104,'Council Entry'!N$9),'Council Entry'!N$8),'Council Entry'!N104)),IF(AND(ISNUMBER('Council Entry'!N$8),ISNUMBER('Council Entry'!N$9)),MAX(MIN('Council Entry'!N104,'Council Entry'!N$9),'Council Entry'!N$8),'Council Entry'!N104))))-'Council Entry'!N$5)/('Council Entry'!N$6-'Council Entry'!N$5),10*((IF('Council Entry'!N$4="Logarithm",LN(0.001+IF(AND(ISNUMBER('Council Entry'!N$8),ISNUMBER('Council Entry'!N$9)),MAX(MIN('Council Entry'!N104,'Council Entry'!N$9),'Council Entry'!N$8),'Council Entry'!N104)),IF('Council Entry'!N$4="Exponential",EXP(IF(AND(ISNUMBER('Council Entry'!N$8),ISNUMBER('Council Entry'!N$9)),MAX(MIN('Council Entry'!N104,'Council Entry'!N$9),'Council Entry'!N$8),'Council Entry'!N104)),IF(AND(ISNUMBER('Council Entry'!N$8),ISNUMBER('Council Entry'!N$9)),MAX(MIN('Council Entry'!N104,'Council Entry'!N$9),'Council Entry'!N$8),'Council Entry'!N104))))-'Council Entry'!N$5)/('Council Entry'!N$6-'Council Entry'!N$5)),1))),"No data"))</f>
        <v/>
      </c>
      <c r="O104" s="13">
        <f>IF('Council Entry'!O104="","",IFERROR(MAX(0,MIN(10,ROUND(IF('Council Entry'!O$7="Decrease Risk",10-10*((IF('Council Entry'!O$4="Logarithm",LN(0.001+IF(AND(ISNUMBER('Council Entry'!O$8),ISNUMBER('Council Entry'!O$9)),MAX(MIN('Council Entry'!O104,'Council Entry'!O$9),'Council Entry'!O$8),'Council Entry'!O104)),IF('Council Entry'!O$4="Exponential",EXP(IF(AND(ISNUMBER('Council Entry'!O$8),ISNUMBER('Council Entry'!O$9)),MAX(MIN('Council Entry'!O104,'Council Entry'!O$9),'Council Entry'!O$8),'Council Entry'!O104)),IF(AND(ISNUMBER('Council Entry'!O$8),ISNUMBER('Council Entry'!O$9)),MAX(MIN('Council Entry'!O104,'Council Entry'!O$9),'Council Entry'!O$8),'Council Entry'!O104))))-'Council Entry'!O$5)/('Council Entry'!O$6-'Council Entry'!O$5),10*((IF('Council Entry'!O$4="Logarithm",LN(0.001+IF(AND(ISNUMBER('Council Entry'!O$8),ISNUMBER('Council Entry'!O$9)),MAX(MIN('Council Entry'!O104,'Council Entry'!O$9),'Council Entry'!O$8),'Council Entry'!O104)),IF('Council Entry'!O$4="Exponential",EXP(IF(AND(ISNUMBER('Council Entry'!O$8),ISNUMBER('Council Entry'!O$9)),MAX(MIN('Council Entry'!O104,'Council Entry'!O$9),'Council Entry'!O$8),'Council Entry'!O104)),IF(AND(ISNUMBER('Council Entry'!O$8),ISNUMBER('Council Entry'!O$9)),MAX(MIN('Council Entry'!O104,'Council Entry'!O$9),'Council Entry'!O$8),'Council Entry'!O104))))-'Council Entry'!O$5)/('Council Entry'!O$6-'Council Entry'!O$5)),1))),"No data"))</f>
        <v/>
      </c>
      <c r="P104" s="13">
        <f>IF('Council Entry'!P104="","",IFERROR(MAX(0,MIN(10,ROUND(IF('Council Entry'!P$7="Decrease Risk",10-10*((IF('Council Entry'!P$4="Logarithm",LN(0.001+IF(AND(ISNUMBER('Council Entry'!P$8),ISNUMBER('Council Entry'!P$9)),MAX(MIN('Council Entry'!P104,'Council Entry'!P$9),'Council Entry'!P$8),'Council Entry'!P104)),IF('Council Entry'!P$4="Exponential",EXP(IF(AND(ISNUMBER('Council Entry'!P$8),ISNUMBER('Council Entry'!P$9)),MAX(MIN('Council Entry'!P104,'Council Entry'!P$9),'Council Entry'!P$8),'Council Entry'!P104)),IF(AND(ISNUMBER('Council Entry'!P$8),ISNUMBER('Council Entry'!P$9)),MAX(MIN('Council Entry'!P104,'Council Entry'!P$9),'Council Entry'!P$8),'Council Entry'!P104))))-'Council Entry'!P$5)/('Council Entry'!P$6-'Council Entry'!P$5),10*((IF('Council Entry'!P$4="Logarithm",LN(0.001+IF(AND(ISNUMBER('Council Entry'!P$8),ISNUMBER('Council Entry'!P$9)),MAX(MIN('Council Entry'!P104,'Council Entry'!P$9),'Council Entry'!P$8),'Council Entry'!P104)),IF('Council Entry'!P$4="Exponential",EXP(IF(AND(ISNUMBER('Council Entry'!P$8),ISNUMBER('Council Entry'!P$9)),MAX(MIN('Council Entry'!P104,'Council Entry'!P$9),'Council Entry'!P$8),'Council Entry'!P104)),IF(AND(ISNUMBER('Council Entry'!P$8),ISNUMBER('Council Entry'!P$9)),MAX(MIN('Council Entry'!P104,'Council Entry'!P$9),'Council Entry'!P$8),'Council Entry'!P104))))-'Council Entry'!P$5)/('Council Entry'!P$6-'Council Entry'!P$5)),1))),"No data"))</f>
        <v/>
      </c>
      <c r="Q104" s="13">
        <f>IF('Council Entry'!Q104="","",IFERROR(MAX(0,MIN(10,ROUND(IF('Council Entry'!Q$7="Decrease Risk",10-10*((IF('Council Entry'!Q$4="Logarithm",LN(0.001+IF(AND(ISNUMBER('Council Entry'!Q$8),ISNUMBER('Council Entry'!Q$9)),MAX(MIN('Council Entry'!Q104,'Council Entry'!Q$9),'Council Entry'!Q$8),'Council Entry'!Q104)),IF('Council Entry'!Q$4="Exponential",EXP(IF(AND(ISNUMBER('Council Entry'!Q$8),ISNUMBER('Council Entry'!Q$9)),MAX(MIN('Council Entry'!Q104,'Council Entry'!Q$9),'Council Entry'!Q$8),'Council Entry'!Q104)),IF(AND(ISNUMBER('Council Entry'!Q$8),ISNUMBER('Council Entry'!Q$9)),MAX(MIN('Council Entry'!Q104,'Council Entry'!Q$9),'Council Entry'!Q$8),'Council Entry'!Q104))))-'Council Entry'!Q$5)/('Council Entry'!Q$6-'Council Entry'!Q$5),10*((IF('Council Entry'!Q$4="Logarithm",LN(0.001+IF(AND(ISNUMBER('Council Entry'!Q$8),ISNUMBER('Council Entry'!Q$9)),MAX(MIN('Council Entry'!Q104,'Council Entry'!Q$9),'Council Entry'!Q$8),'Council Entry'!Q104)),IF('Council Entry'!Q$4="Exponential",EXP(IF(AND(ISNUMBER('Council Entry'!Q$8),ISNUMBER('Council Entry'!Q$9)),MAX(MIN('Council Entry'!Q104,'Council Entry'!Q$9),'Council Entry'!Q$8),'Council Entry'!Q104)),IF(AND(ISNUMBER('Council Entry'!Q$8),ISNUMBER('Council Entry'!Q$9)),MAX(MIN('Council Entry'!Q104,'Council Entry'!Q$9),'Council Entry'!Q$8),'Council Entry'!Q104))))-'Council Entry'!Q$5)/('Council Entry'!Q$6-'Council Entry'!Q$5)),1))),"No data"))</f>
        <v/>
      </c>
      <c r="R104" s="13">
        <f>IF('Council Entry'!R104="","",IFERROR(MAX(0,MIN(10,ROUND(IF('Council Entry'!R$7="Decrease Risk",10-10*((IF('Council Entry'!R$4="Logarithm",LN(0.001+IF(AND(ISNUMBER('Council Entry'!R$8),ISNUMBER('Council Entry'!R$9)),MAX(MIN('Council Entry'!R104,'Council Entry'!R$9),'Council Entry'!R$8),'Council Entry'!R104)),IF('Council Entry'!R$4="Exponential",EXP(IF(AND(ISNUMBER('Council Entry'!R$8),ISNUMBER('Council Entry'!R$9)),MAX(MIN('Council Entry'!R104,'Council Entry'!R$9),'Council Entry'!R$8),'Council Entry'!R104)),IF(AND(ISNUMBER('Council Entry'!R$8),ISNUMBER('Council Entry'!R$9)),MAX(MIN('Council Entry'!R104,'Council Entry'!R$9),'Council Entry'!R$8),'Council Entry'!R104))))-'Council Entry'!R$5)/('Council Entry'!R$6-'Council Entry'!R$5),10*((IF('Council Entry'!R$4="Logarithm",LN(0.001+IF(AND(ISNUMBER('Council Entry'!R$8),ISNUMBER('Council Entry'!R$9)),MAX(MIN('Council Entry'!R104,'Council Entry'!R$9),'Council Entry'!R$8),'Council Entry'!R104)),IF('Council Entry'!R$4="Exponential",EXP(IF(AND(ISNUMBER('Council Entry'!R$8),ISNUMBER('Council Entry'!R$9)),MAX(MIN('Council Entry'!R104,'Council Entry'!R$9),'Council Entry'!R$8),'Council Entry'!R104)),IF(AND(ISNUMBER('Council Entry'!R$8),ISNUMBER('Council Entry'!R$9)),MAX(MIN('Council Entry'!R104,'Council Entry'!R$9),'Council Entry'!R$8),'Council Entry'!R104))))-'Council Entry'!R$5)/('Council Entry'!R$6-'Council Entry'!R$5)),1))),"No data"))</f>
        <v/>
      </c>
      <c r="S104" s="13">
        <f>IF('Council Entry'!S104="","",IFERROR(MAX(0,MIN(10,ROUND(IF('Council Entry'!S$7="Decrease Risk",10-10*((IF('Council Entry'!S$4="Logarithm",LN(0.001+IF(AND(ISNUMBER('Council Entry'!S$8),ISNUMBER('Council Entry'!S$9)),MAX(MIN('Council Entry'!S104,'Council Entry'!S$9),'Council Entry'!S$8),'Council Entry'!S104)),IF('Council Entry'!S$4="Exponential",EXP(IF(AND(ISNUMBER('Council Entry'!S$8),ISNUMBER('Council Entry'!S$9)),MAX(MIN('Council Entry'!S104,'Council Entry'!S$9),'Council Entry'!S$8),'Council Entry'!S104)),IF(AND(ISNUMBER('Council Entry'!S$8),ISNUMBER('Council Entry'!S$9)),MAX(MIN('Council Entry'!S104,'Council Entry'!S$9),'Council Entry'!S$8),'Council Entry'!S104))))-'Council Entry'!S$5)/('Council Entry'!S$6-'Council Entry'!S$5),10*((IF('Council Entry'!S$4="Logarithm",LN(0.001+IF(AND(ISNUMBER('Council Entry'!S$8),ISNUMBER('Council Entry'!S$9)),MAX(MIN('Council Entry'!S104,'Council Entry'!S$9),'Council Entry'!S$8),'Council Entry'!S104)),IF('Council Entry'!S$4="Exponential",EXP(IF(AND(ISNUMBER('Council Entry'!S$8),ISNUMBER('Council Entry'!S$9)),MAX(MIN('Council Entry'!S104,'Council Entry'!S$9),'Council Entry'!S$8),'Council Entry'!S104)),IF(AND(ISNUMBER('Council Entry'!S$8),ISNUMBER('Council Entry'!S$9)),MAX(MIN('Council Entry'!S104,'Council Entry'!S$9),'Council Entry'!S$8),'Council Entry'!S104))))-'Council Entry'!S$5)/('Council Entry'!S$6-'Council Entry'!S$5)),1))),"No data"))</f>
        <v/>
      </c>
      <c r="T104" s="13">
        <f>IF('Council Entry'!T104="","",IFERROR(MAX(0,MIN(10,ROUND(IF('Council Entry'!T$7="Decrease Risk",10-10*((IF('Council Entry'!T$4="Logarithm",LN(0.001+IF(AND(ISNUMBER('Council Entry'!T$8),ISNUMBER('Council Entry'!T$9)),MAX(MIN('Council Entry'!T104,'Council Entry'!T$9),'Council Entry'!T$8),'Council Entry'!T104)),IF('Council Entry'!T$4="Exponential",EXP(IF(AND(ISNUMBER('Council Entry'!T$8),ISNUMBER('Council Entry'!T$9)),MAX(MIN('Council Entry'!T104,'Council Entry'!T$9),'Council Entry'!T$8),'Council Entry'!T104)),IF(AND(ISNUMBER('Council Entry'!T$8),ISNUMBER('Council Entry'!T$9)),MAX(MIN('Council Entry'!T104,'Council Entry'!T$9),'Council Entry'!T$8),'Council Entry'!T104))))-'Council Entry'!T$5)/('Council Entry'!T$6-'Council Entry'!T$5),10*((IF('Council Entry'!T$4="Logarithm",LN(0.001+IF(AND(ISNUMBER('Council Entry'!T$8),ISNUMBER('Council Entry'!T$9)),MAX(MIN('Council Entry'!T104,'Council Entry'!T$9),'Council Entry'!T$8),'Council Entry'!T104)),IF('Council Entry'!T$4="Exponential",EXP(IF(AND(ISNUMBER('Council Entry'!T$8),ISNUMBER('Council Entry'!T$9)),MAX(MIN('Council Entry'!T104,'Council Entry'!T$9),'Council Entry'!T$8),'Council Entry'!T104)),IF(AND(ISNUMBER('Council Entry'!T$8),ISNUMBER('Council Entry'!T$9)),MAX(MIN('Council Entry'!T104,'Council Entry'!T$9),'Council Entry'!T$8),'Council Entry'!T104))))-'Council Entry'!T$5)/('Council Entry'!T$6-'Council Entry'!T$5)),1))),"No data"))</f>
        <v/>
      </c>
      <c r="U104" s="13">
        <f>IF('Council Entry'!U104="","",IFERROR(MAX(0,MIN(10,ROUND(IF('Council Entry'!U$7="Decrease Risk",10-10*((IF('Council Entry'!U$4="Logarithm",LN(0.001+IF(AND(ISNUMBER('Council Entry'!U$8),ISNUMBER('Council Entry'!U$9)),MAX(MIN('Council Entry'!U104,'Council Entry'!U$9),'Council Entry'!U$8),'Council Entry'!U104)),IF('Council Entry'!U$4="Exponential",EXP(IF(AND(ISNUMBER('Council Entry'!U$8),ISNUMBER('Council Entry'!U$9)),MAX(MIN('Council Entry'!U104,'Council Entry'!U$9),'Council Entry'!U$8),'Council Entry'!U104)),IF(AND(ISNUMBER('Council Entry'!U$8),ISNUMBER('Council Entry'!U$9)),MAX(MIN('Council Entry'!U104,'Council Entry'!U$9),'Council Entry'!U$8),'Council Entry'!U104))))-'Council Entry'!U$5)/('Council Entry'!U$6-'Council Entry'!U$5),10*((IF('Council Entry'!U$4="Logarithm",LN(0.001+IF(AND(ISNUMBER('Council Entry'!U$8),ISNUMBER('Council Entry'!U$9)),MAX(MIN('Council Entry'!U104,'Council Entry'!U$9),'Council Entry'!U$8),'Council Entry'!U104)),IF('Council Entry'!U$4="Exponential",EXP(IF(AND(ISNUMBER('Council Entry'!U$8),ISNUMBER('Council Entry'!U$9)),MAX(MIN('Council Entry'!U104,'Council Entry'!U$9),'Council Entry'!U$8),'Council Entry'!U104)),IF(AND(ISNUMBER('Council Entry'!U$8),ISNUMBER('Council Entry'!U$9)),MAX(MIN('Council Entry'!U104,'Council Entry'!U$9),'Council Entry'!U$8),'Council Entry'!U104))))-'Council Entry'!U$5)/('Council Entry'!U$6-'Council Entry'!U$5)),1))),"No data"))</f>
        <v/>
      </c>
      <c r="V104" s="13">
        <f>IF('Council Entry'!V104="","",IFERROR(MAX(0,MIN(10,ROUND(IF('Council Entry'!V$7="Decrease Risk",10-10*((IF('Council Entry'!V$4="Logarithm",LN(0.001+IF(AND(ISNUMBER('Council Entry'!V$8),ISNUMBER('Council Entry'!V$9)),MAX(MIN('Council Entry'!V104,'Council Entry'!V$9),'Council Entry'!V$8),'Council Entry'!V104)),IF('Council Entry'!V$4="Exponential",EXP(IF(AND(ISNUMBER('Council Entry'!V$8),ISNUMBER('Council Entry'!V$9)),MAX(MIN('Council Entry'!V104,'Council Entry'!V$9),'Council Entry'!V$8),'Council Entry'!V104)),IF(AND(ISNUMBER('Council Entry'!V$8),ISNUMBER('Council Entry'!V$9)),MAX(MIN('Council Entry'!V104,'Council Entry'!V$9),'Council Entry'!V$8),'Council Entry'!V104))))-'Council Entry'!V$5)/('Council Entry'!V$6-'Council Entry'!V$5),10*((IF('Council Entry'!V$4="Logarithm",LN(0.001+IF(AND(ISNUMBER('Council Entry'!V$8),ISNUMBER('Council Entry'!V$9)),MAX(MIN('Council Entry'!V104,'Council Entry'!V$9),'Council Entry'!V$8),'Council Entry'!V104)),IF('Council Entry'!V$4="Exponential",EXP(IF(AND(ISNUMBER('Council Entry'!V$8),ISNUMBER('Council Entry'!V$9)),MAX(MIN('Council Entry'!V104,'Council Entry'!V$9),'Council Entry'!V$8),'Council Entry'!V104)),IF(AND(ISNUMBER('Council Entry'!V$8),ISNUMBER('Council Entry'!V$9)),MAX(MIN('Council Entry'!V104,'Council Entry'!V$9),'Council Entry'!V$8),'Council Entry'!V104))))-'Council Entry'!V$5)/('Council Entry'!V$6-'Council Entry'!V$5)),1))),"No data"))</f>
        <v/>
      </c>
      <c r="W104" s="13">
        <f>IF('Council Entry'!W104="","",IFERROR(MAX(0,MIN(10,ROUND(IF('Council Entry'!W$7="Decrease Risk",10-10*((IF('Council Entry'!W$4="Logarithm",LN(0.001+IF(AND(ISNUMBER('Council Entry'!W$8),ISNUMBER('Council Entry'!W$9)),MAX(MIN('Council Entry'!W104,'Council Entry'!W$9),'Council Entry'!W$8),'Council Entry'!W104)),IF('Council Entry'!W$4="Exponential",EXP(IF(AND(ISNUMBER('Council Entry'!W$8),ISNUMBER('Council Entry'!W$9)),MAX(MIN('Council Entry'!W104,'Council Entry'!W$9),'Council Entry'!W$8),'Council Entry'!W104)),IF(AND(ISNUMBER('Council Entry'!W$8),ISNUMBER('Council Entry'!W$9)),MAX(MIN('Council Entry'!W104,'Council Entry'!W$9),'Council Entry'!W$8),'Council Entry'!W104))))-'Council Entry'!W$5)/('Council Entry'!W$6-'Council Entry'!W$5),10*((IF('Council Entry'!W$4="Logarithm",LN(0.001+IF(AND(ISNUMBER('Council Entry'!W$8),ISNUMBER('Council Entry'!W$9)),MAX(MIN('Council Entry'!W104,'Council Entry'!W$9),'Council Entry'!W$8),'Council Entry'!W104)),IF('Council Entry'!W$4="Exponential",EXP(IF(AND(ISNUMBER('Council Entry'!W$8),ISNUMBER('Council Entry'!W$9)),MAX(MIN('Council Entry'!W104,'Council Entry'!W$9),'Council Entry'!W$8),'Council Entry'!W104)),IF(AND(ISNUMBER('Council Entry'!W$8),ISNUMBER('Council Entry'!W$9)),MAX(MIN('Council Entry'!W104,'Council Entry'!W$9),'Council Entry'!W$8),'Council Entry'!W104))))-'Council Entry'!W$5)/('Council Entry'!W$6-'Council Entry'!W$5)),1))),"No data"))</f>
        <v/>
      </c>
      <c r="X104" s="13">
        <f>IF('Council Entry'!X104="","",IFERROR(MAX(0,MIN(10,ROUND(IF('Council Entry'!X$7="Decrease Risk",10-10*((IF('Council Entry'!X$4="Logarithm",LN(0.001+IF(AND(ISNUMBER('Council Entry'!X$8),ISNUMBER('Council Entry'!X$9)),MAX(MIN('Council Entry'!X104,'Council Entry'!X$9),'Council Entry'!X$8),'Council Entry'!X104)),IF('Council Entry'!X$4="Exponential",EXP(IF(AND(ISNUMBER('Council Entry'!X$8),ISNUMBER('Council Entry'!X$9)),MAX(MIN('Council Entry'!X104,'Council Entry'!X$9),'Council Entry'!X$8),'Council Entry'!X104)),IF(AND(ISNUMBER('Council Entry'!X$8),ISNUMBER('Council Entry'!X$9)),MAX(MIN('Council Entry'!X104,'Council Entry'!X$9),'Council Entry'!X$8),'Council Entry'!X104))))-'Council Entry'!X$5)/('Council Entry'!X$6-'Council Entry'!X$5),10*((IF('Council Entry'!X$4="Logarithm",LN(0.001+IF(AND(ISNUMBER('Council Entry'!X$8),ISNUMBER('Council Entry'!X$9)),MAX(MIN('Council Entry'!X104,'Council Entry'!X$9),'Council Entry'!X$8),'Council Entry'!X104)),IF('Council Entry'!X$4="Exponential",EXP(IF(AND(ISNUMBER('Council Entry'!X$8),ISNUMBER('Council Entry'!X$9)),MAX(MIN('Council Entry'!X104,'Council Entry'!X$9),'Council Entry'!X$8),'Council Entry'!X104)),IF(AND(ISNUMBER('Council Entry'!X$8),ISNUMBER('Council Entry'!X$9)),MAX(MIN('Council Entry'!X104,'Council Entry'!X$9),'Council Entry'!X$8),'Council Entry'!X104))))-'Council Entry'!X$5)/('Council Entry'!X$6-'Council Entry'!X$5)),1))),"No data"))</f>
        <v/>
      </c>
      <c r="Y104" s="13">
        <f>IF('Council Entry'!Y104="","",IFERROR(MAX(0,MIN(10,ROUND(IF('Council Entry'!Y$7="Decrease Risk",10-10*((IF('Council Entry'!Y$4="Logarithm",LN(0.001+IF(AND(ISNUMBER('Council Entry'!Y$8),ISNUMBER('Council Entry'!Y$9)),MAX(MIN('Council Entry'!Y104,'Council Entry'!Y$9),'Council Entry'!Y$8),'Council Entry'!Y104)),IF('Council Entry'!Y$4="Exponential",EXP(IF(AND(ISNUMBER('Council Entry'!Y$8),ISNUMBER('Council Entry'!Y$9)),MAX(MIN('Council Entry'!Y104,'Council Entry'!Y$9),'Council Entry'!Y$8),'Council Entry'!Y104)),IF(AND(ISNUMBER('Council Entry'!Y$8),ISNUMBER('Council Entry'!Y$9)),MAX(MIN('Council Entry'!Y104,'Council Entry'!Y$9),'Council Entry'!Y$8),'Council Entry'!Y104))))-'Council Entry'!Y$5)/('Council Entry'!Y$6-'Council Entry'!Y$5),10*((IF('Council Entry'!Y$4="Logarithm",LN(0.001+IF(AND(ISNUMBER('Council Entry'!Y$8),ISNUMBER('Council Entry'!Y$9)),MAX(MIN('Council Entry'!Y104,'Council Entry'!Y$9),'Council Entry'!Y$8),'Council Entry'!Y104)),IF('Council Entry'!Y$4="Exponential",EXP(IF(AND(ISNUMBER('Council Entry'!Y$8),ISNUMBER('Council Entry'!Y$9)),MAX(MIN('Council Entry'!Y104,'Council Entry'!Y$9),'Council Entry'!Y$8),'Council Entry'!Y104)),IF(AND(ISNUMBER('Council Entry'!Y$8),ISNUMBER('Council Entry'!Y$9)),MAX(MIN('Council Entry'!Y104,'Council Entry'!Y$9),'Council Entry'!Y$8),'Council Entry'!Y104))))-'Council Entry'!Y$5)/('Council Entry'!Y$6-'Council Entry'!Y$5)),1))),"No data"))</f>
        <v/>
      </c>
      <c r="Z104" s="13">
        <f>IF('Council Entry'!Z104="","",IFERROR(MAX(0,MIN(10,ROUND(IF('Council Entry'!Z$7="Decrease Risk",10-10*((IF('Council Entry'!Z$4="Logarithm",LN(0.001+IF(AND(ISNUMBER('Council Entry'!Z$8),ISNUMBER('Council Entry'!Z$9)),MAX(MIN('Council Entry'!Z104,'Council Entry'!Z$9),'Council Entry'!Z$8),'Council Entry'!Z104)),IF('Council Entry'!Z$4="Exponential",EXP(IF(AND(ISNUMBER('Council Entry'!Z$8),ISNUMBER('Council Entry'!Z$9)),MAX(MIN('Council Entry'!Z104,'Council Entry'!Z$9),'Council Entry'!Z$8),'Council Entry'!Z104)),IF(AND(ISNUMBER('Council Entry'!Z$8),ISNUMBER('Council Entry'!Z$9)),MAX(MIN('Council Entry'!Z104,'Council Entry'!Z$9),'Council Entry'!Z$8),'Council Entry'!Z104))))-'Council Entry'!Z$5)/('Council Entry'!Z$6-'Council Entry'!Z$5),10*((IF('Council Entry'!Z$4="Logarithm",LN(0.001+IF(AND(ISNUMBER('Council Entry'!Z$8),ISNUMBER('Council Entry'!Z$9)),MAX(MIN('Council Entry'!Z104,'Council Entry'!Z$9),'Council Entry'!Z$8),'Council Entry'!Z104)),IF('Council Entry'!Z$4="Exponential",EXP(IF(AND(ISNUMBER('Council Entry'!Z$8),ISNUMBER('Council Entry'!Z$9)),MAX(MIN('Council Entry'!Z104,'Council Entry'!Z$9),'Council Entry'!Z$8),'Council Entry'!Z104)),IF(AND(ISNUMBER('Council Entry'!Z$8),ISNUMBER('Council Entry'!Z$9)),MAX(MIN('Council Entry'!Z104,'Council Entry'!Z$9),'Council Entry'!Z$8),'Council Entry'!Z104))))-'Council Entry'!Z$5)/('Council Entry'!Z$6-'Council Entry'!Z$5)),1))),"No data"))</f>
        <v/>
      </c>
      <c r="AA104" s="13">
        <f>IF('Council Entry'!AA104="","",IFERROR(MAX(0,MIN(10,ROUND(IF('Council Entry'!AA$7="Decrease Risk",10-10*((IF('Council Entry'!AA$4="Logarithm",LN(0.001+IF(AND(ISNUMBER('Council Entry'!AA$8),ISNUMBER('Council Entry'!AA$9)),MAX(MIN('Council Entry'!AA104,'Council Entry'!AA$9),'Council Entry'!AA$8),'Council Entry'!AA104)),IF('Council Entry'!AA$4="Exponential",EXP(IF(AND(ISNUMBER('Council Entry'!AA$8),ISNUMBER('Council Entry'!AA$9)),MAX(MIN('Council Entry'!AA104,'Council Entry'!AA$9),'Council Entry'!AA$8),'Council Entry'!AA104)),IF(AND(ISNUMBER('Council Entry'!AA$8),ISNUMBER('Council Entry'!AA$9)),MAX(MIN('Council Entry'!AA104,'Council Entry'!AA$9),'Council Entry'!AA$8),'Council Entry'!AA104))))-'Council Entry'!AA$5)/('Council Entry'!AA$6-'Council Entry'!AA$5),10*((IF('Council Entry'!AA$4="Logarithm",LN(0.001+IF(AND(ISNUMBER('Council Entry'!AA$8),ISNUMBER('Council Entry'!AA$9)),MAX(MIN('Council Entry'!AA104,'Council Entry'!AA$9),'Council Entry'!AA$8),'Council Entry'!AA104)),IF('Council Entry'!AA$4="Exponential",EXP(IF(AND(ISNUMBER('Council Entry'!AA$8),ISNUMBER('Council Entry'!AA$9)),MAX(MIN('Council Entry'!AA104,'Council Entry'!AA$9),'Council Entry'!AA$8),'Council Entry'!AA104)),IF(AND(ISNUMBER('Council Entry'!AA$8),ISNUMBER('Council Entry'!AA$9)),MAX(MIN('Council Entry'!AA104,'Council Entry'!AA$9),'Council Entry'!AA$8),'Council Entry'!AA104))))-'Council Entry'!AA$5)/('Council Entry'!AA$6-'Council Entry'!AA$5)),1))),"No data"))</f>
        <v/>
      </c>
      <c r="AB104" s="13">
        <f>IF('Council Entry'!AB104="","",IFERROR(MAX(0,MIN(10,ROUND(IF('Council Entry'!AB$7="Decrease Risk",10-10*((IF('Council Entry'!AB$4="Logarithm",LN(0.001+IF(AND(ISNUMBER('Council Entry'!AB$8),ISNUMBER('Council Entry'!AB$9)),MAX(MIN('Council Entry'!AB104,'Council Entry'!AB$9),'Council Entry'!AB$8),'Council Entry'!AB104)),IF('Council Entry'!AB$4="Exponential",EXP(IF(AND(ISNUMBER('Council Entry'!AB$8),ISNUMBER('Council Entry'!AB$9)),MAX(MIN('Council Entry'!AB104,'Council Entry'!AB$9),'Council Entry'!AB$8),'Council Entry'!AB104)),IF(AND(ISNUMBER('Council Entry'!AB$8),ISNUMBER('Council Entry'!AB$9)),MAX(MIN('Council Entry'!AB104,'Council Entry'!AB$9),'Council Entry'!AB$8),'Council Entry'!AB104))))-'Council Entry'!AB$5)/('Council Entry'!AB$6-'Council Entry'!AB$5),10*((IF('Council Entry'!AB$4="Logarithm",LN(0.001+IF(AND(ISNUMBER('Council Entry'!AB$8),ISNUMBER('Council Entry'!AB$9)),MAX(MIN('Council Entry'!AB104,'Council Entry'!AB$9),'Council Entry'!AB$8),'Council Entry'!AB104)),IF('Council Entry'!AB$4="Exponential",EXP(IF(AND(ISNUMBER('Council Entry'!AB$8),ISNUMBER('Council Entry'!AB$9)),MAX(MIN('Council Entry'!AB104,'Council Entry'!AB$9),'Council Entry'!AB$8),'Council Entry'!AB104)),IF(AND(ISNUMBER('Council Entry'!AB$8),ISNUMBER('Council Entry'!AB$9)),MAX(MIN('Council Entry'!AB104,'Council Entry'!AB$9),'Council Entry'!AB$8),'Council Entry'!AB104))))-'Council Entry'!AB$5)/('Council Entry'!AB$6-'Council Entry'!AB$5)),1))),"No data"))</f>
        <v/>
      </c>
      <c r="AC104" s="13">
        <f>IF('Council Entry'!AC104="","",IFERROR(MAX(0,MIN(10,ROUND(IF('Council Entry'!AC$7="Decrease Risk",10-10*((IF('Council Entry'!AC$4="Logarithm",LN(0.001+IF(AND(ISNUMBER('Council Entry'!AC$8),ISNUMBER('Council Entry'!AC$9)),MAX(MIN('Council Entry'!AC104,'Council Entry'!AC$9),'Council Entry'!AC$8),'Council Entry'!AC104)),IF('Council Entry'!AC$4="Exponential",EXP(IF(AND(ISNUMBER('Council Entry'!AC$8),ISNUMBER('Council Entry'!AC$9)),MAX(MIN('Council Entry'!AC104,'Council Entry'!AC$9),'Council Entry'!AC$8),'Council Entry'!AC104)),IF(AND(ISNUMBER('Council Entry'!AC$8),ISNUMBER('Council Entry'!AC$9)),MAX(MIN('Council Entry'!AC104,'Council Entry'!AC$9),'Council Entry'!AC$8),'Council Entry'!AC104))))-'Council Entry'!AC$5)/('Council Entry'!AC$6-'Council Entry'!AC$5),10*((IF('Council Entry'!AC$4="Logarithm",LN(0.001+IF(AND(ISNUMBER('Council Entry'!AC$8),ISNUMBER('Council Entry'!AC$9)),MAX(MIN('Council Entry'!AC104,'Council Entry'!AC$9),'Council Entry'!AC$8),'Council Entry'!AC104)),IF('Council Entry'!AC$4="Exponential",EXP(IF(AND(ISNUMBER('Council Entry'!AC$8),ISNUMBER('Council Entry'!AC$9)),MAX(MIN('Council Entry'!AC104,'Council Entry'!AC$9),'Council Entry'!AC$8),'Council Entry'!AC104)),IF(AND(ISNUMBER('Council Entry'!AC$8),ISNUMBER('Council Entry'!AC$9)),MAX(MIN('Council Entry'!AC104,'Council Entry'!AC$9),'Council Entry'!AC$8),'Council Entry'!AC104))))-'Council Entry'!AC$5)/('Council Entry'!AC$6-'Council Entry'!AC$5)),1))),"No data"))</f>
        <v/>
      </c>
      <c r="AD104" s="13">
        <f>IF('Council Entry'!AD104="","",IFERROR(MAX(0,MIN(10,ROUND(IF('Council Entry'!AD$7="Decrease Risk",10-10*((IF('Council Entry'!AD$4="Logarithm",LN(0.001+IF(AND(ISNUMBER('Council Entry'!AD$8),ISNUMBER('Council Entry'!AD$9)),MAX(MIN('Council Entry'!AD104,'Council Entry'!AD$9),'Council Entry'!AD$8),'Council Entry'!AD104)),IF('Council Entry'!AD$4="Exponential",EXP(IF(AND(ISNUMBER('Council Entry'!AD$8),ISNUMBER('Council Entry'!AD$9)),MAX(MIN('Council Entry'!AD104,'Council Entry'!AD$9),'Council Entry'!AD$8),'Council Entry'!AD104)),IF(AND(ISNUMBER('Council Entry'!AD$8),ISNUMBER('Council Entry'!AD$9)),MAX(MIN('Council Entry'!AD104,'Council Entry'!AD$9),'Council Entry'!AD$8),'Council Entry'!AD104))))-'Council Entry'!AD$5)/('Council Entry'!AD$6-'Council Entry'!AD$5),10*((IF('Council Entry'!AD$4="Logarithm",LN(0.001+IF(AND(ISNUMBER('Council Entry'!AD$8),ISNUMBER('Council Entry'!AD$9)),MAX(MIN('Council Entry'!AD104,'Council Entry'!AD$9),'Council Entry'!AD$8),'Council Entry'!AD104)),IF('Council Entry'!AD$4="Exponential",EXP(IF(AND(ISNUMBER('Council Entry'!AD$8),ISNUMBER('Council Entry'!AD$9)),MAX(MIN('Council Entry'!AD104,'Council Entry'!AD$9),'Council Entry'!AD$8),'Council Entry'!AD104)),IF(AND(ISNUMBER('Council Entry'!AD$8),ISNUMBER('Council Entry'!AD$9)),MAX(MIN('Council Entry'!AD104,'Council Entry'!AD$9),'Council Entry'!AD$8),'Council Entry'!AD104))))-'Council Entry'!AD$5)/('Council Entry'!AD$6-'Council Entry'!AD$5)),1))),"No data"))</f>
        <v/>
      </c>
      <c r="AE104" s="13">
        <f>IF('Council Entry'!AE104="","",IFERROR(MAX(0,MIN(10,ROUND(IF('Council Entry'!AE$7="Decrease Risk",10-10*((IF('Council Entry'!AE$4="Logarithm",LN(0.001+IF(AND(ISNUMBER('Council Entry'!AE$8),ISNUMBER('Council Entry'!AE$9)),MAX(MIN('Council Entry'!AE104,'Council Entry'!AE$9),'Council Entry'!AE$8),'Council Entry'!AE104)),IF('Council Entry'!AE$4="Exponential",EXP(IF(AND(ISNUMBER('Council Entry'!AE$8),ISNUMBER('Council Entry'!AE$9)),MAX(MIN('Council Entry'!AE104,'Council Entry'!AE$9),'Council Entry'!AE$8),'Council Entry'!AE104)),IF(AND(ISNUMBER('Council Entry'!AE$8),ISNUMBER('Council Entry'!AE$9)),MAX(MIN('Council Entry'!AE104,'Council Entry'!AE$9),'Council Entry'!AE$8),'Council Entry'!AE104))))-'Council Entry'!AE$5)/('Council Entry'!AE$6-'Council Entry'!AE$5),10*((IF('Council Entry'!AE$4="Logarithm",LN(0.001+IF(AND(ISNUMBER('Council Entry'!AE$8),ISNUMBER('Council Entry'!AE$9)),MAX(MIN('Council Entry'!AE104,'Council Entry'!AE$9),'Council Entry'!AE$8),'Council Entry'!AE104)),IF('Council Entry'!AE$4="Exponential",EXP(IF(AND(ISNUMBER('Council Entry'!AE$8),ISNUMBER('Council Entry'!AE$9)),MAX(MIN('Council Entry'!AE104,'Council Entry'!AE$9),'Council Entry'!AE$8),'Council Entry'!AE104)),IF(AND(ISNUMBER('Council Entry'!AE$8),ISNUMBER('Council Entry'!AE$9)),MAX(MIN('Council Entry'!AE104,'Council Entry'!AE$9),'Council Entry'!AE$8),'Council Entry'!AE104))))-'Council Entry'!AE$5)/('Council Entry'!AE$6-'Council Entry'!AE$5)),1))),"No data"))</f>
        <v/>
      </c>
      <c r="AF104" s="13">
        <f>IF('Council Entry'!AF104="","",IFERROR(MAX(0,MIN(10,ROUND(IF('Council Entry'!AF$7="Decrease Risk",10-10*((IF('Council Entry'!AF$4="Logarithm",LN(0.001+IF(AND(ISNUMBER('Council Entry'!AF$8),ISNUMBER('Council Entry'!AF$9)),MAX(MIN('Council Entry'!AF104,'Council Entry'!AF$9),'Council Entry'!AF$8),'Council Entry'!AF104)),IF('Council Entry'!AF$4="Exponential",EXP(IF(AND(ISNUMBER('Council Entry'!AF$8),ISNUMBER('Council Entry'!AF$9)),MAX(MIN('Council Entry'!AF104,'Council Entry'!AF$9),'Council Entry'!AF$8),'Council Entry'!AF104)),IF(AND(ISNUMBER('Council Entry'!AF$8),ISNUMBER('Council Entry'!AF$9)),MAX(MIN('Council Entry'!AF104,'Council Entry'!AF$9),'Council Entry'!AF$8),'Council Entry'!AF104))))-'Council Entry'!AF$5)/('Council Entry'!AF$6-'Council Entry'!AF$5),10*((IF('Council Entry'!AF$4="Logarithm",LN(0.001+IF(AND(ISNUMBER('Council Entry'!AF$8),ISNUMBER('Council Entry'!AF$9)),MAX(MIN('Council Entry'!AF104,'Council Entry'!AF$9),'Council Entry'!AF$8),'Council Entry'!AF104)),IF('Council Entry'!AF$4="Exponential",EXP(IF(AND(ISNUMBER('Council Entry'!AF$8),ISNUMBER('Council Entry'!AF$9)),MAX(MIN('Council Entry'!AF104,'Council Entry'!AF$9),'Council Entry'!AF$8),'Council Entry'!AF104)),IF(AND(ISNUMBER('Council Entry'!AF$8),ISNUMBER('Council Entry'!AF$9)),MAX(MIN('Council Entry'!AF104,'Council Entry'!AF$9),'Council Entry'!AF$8),'Council Entry'!AF104))))-'Council Entry'!AF$5)/('Council Entry'!AF$6-'Council Entry'!AF$5)),1))),"No data"))</f>
        <v/>
      </c>
      <c r="AG104" s="13">
        <f>IF('Council Entry'!AG104="","",IFERROR(MAX(0,MIN(10,ROUND(IF('Council Entry'!AG$7="Decrease Risk",10-10*((IF('Council Entry'!AG$4="Logarithm",LN(0.001+IF(AND(ISNUMBER('Council Entry'!AG$8),ISNUMBER('Council Entry'!AG$9)),MAX(MIN('Council Entry'!AG104,'Council Entry'!AG$9),'Council Entry'!AG$8),'Council Entry'!AG104)),IF('Council Entry'!AG$4="Exponential",EXP(IF(AND(ISNUMBER('Council Entry'!AG$8),ISNUMBER('Council Entry'!AG$9)),MAX(MIN('Council Entry'!AG104,'Council Entry'!AG$9),'Council Entry'!AG$8),'Council Entry'!AG104)),IF(AND(ISNUMBER('Council Entry'!AG$8),ISNUMBER('Council Entry'!AG$9)),MAX(MIN('Council Entry'!AG104,'Council Entry'!AG$9),'Council Entry'!AG$8),'Council Entry'!AG104))))-'Council Entry'!AG$5)/('Council Entry'!AG$6-'Council Entry'!AG$5),10*((IF('Council Entry'!AG$4="Logarithm",LN(0.001+IF(AND(ISNUMBER('Council Entry'!AG$8),ISNUMBER('Council Entry'!AG$9)),MAX(MIN('Council Entry'!AG104,'Council Entry'!AG$9),'Council Entry'!AG$8),'Council Entry'!AG104)),IF('Council Entry'!AG$4="Exponential",EXP(IF(AND(ISNUMBER('Council Entry'!AG$8),ISNUMBER('Council Entry'!AG$9)),MAX(MIN('Council Entry'!AG104,'Council Entry'!AG$9),'Council Entry'!AG$8),'Council Entry'!AG104)),IF(AND(ISNUMBER('Council Entry'!AG$8),ISNUMBER('Council Entry'!AG$9)),MAX(MIN('Council Entry'!AG104,'Council Entry'!AG$9),'Council Entry'!AG$8),'Council Entry'!AG104))))-'Council Entry'!AG$5)/('Council Entry'!AG$6-'Council Entry'!AG$5)),1))),"No data"))</f>
        <v/>
      </c>
      <c r="AH104" s="13">
        <f>IF('Council Entry'!AH104="","",IFERROR(MAX(0,MIN(10,ROUND(IF('Council Entry'!AH$7="Decrease Risk",10-10*((IF('Council Entry'!AH$4="Logarithm",LN(0.001+IF(AND(ISNUMBER('Council Entry'!AH$8),ISNUMBER('Council Entry'!AH$9)),MAX(MIN('Council Entry'!AH104,'Council Entry'!AH$9),'Council Entry'!AH$8),'Council Entry'!AH104)),IF('Council Entry'!AH$4="Exponential",EXP(IF(AND(ISNUMBER('Council Entry'!AH$8),ISNUMBER('Council Entry'!AH$9)),MAX(MIN('Council Entry'!AH104,'Council Entry'!AH$9),'Council Entry'!AH$8),'Council Entry'!AH104)),IF(AND(ISNUMBER('Council Entry'!AH$8),ISNUMBER('Council Entry'!AH$9)),MAX(MIN('Council Entry'!AH104,'Council Entry'!AH$9),'Council Entry'!AH$8),'Council Entry'!AH104))))-'Council Entry'!AH$5)/('Council Entry'!AH$6-'Council Entry'!AH$5),10*((IF('Council Entry'!AH$4="Logarithm",LN(0.001+IF(AND(ISNUMBER('Council Entry'!AH$8),ISNUMBER('Council Entry'!AH$9)),MAX(MIN('Council Entry'!AH104,'Council Entry'!AH$9),'Council Entry'!AH$8),'Council Entry'!AH104)),IF('Council Entry'!AH$4="Exponential",EXP(IF(AND(ISNUMBER('Council Entry'!AH$8),ISNUMBER('Council Entry'!AH$9)),MAX(MIN('Council Entry'!AH104,'Council Entry'!AH$9),'Council Entry'!AH$8),'Council Entry'!AH104)),IF(AND(ISNUMBER('Council Entry'!AH$8),ISNUMBER('Council Entry'!AH$9)),MAX(MIN('Council Entry'!AH104,'Council Entry'!AH$9),'Council Entry'!AH$8),'Council Entry'!AH104))))-'Council Entry'!AH$5)/('Council Entry'!AH$6-'Council Entry'!AH$5)),1))),"No data"))</f>
        <v/>
      </c>
      <c r="AI104" s="13">
        <f>IF('Council Entry'!AI104="","",IFERROR(MAX(0,MIN(10,ROUND(IF('Council Entry'!AI$7="Decrease Risk",10-10*((IF('Council Entry'!AI$4="Logarithm",LN(0.001+IF(AND(ISNUMBER('Council Entry'!AI$8),ISNUMBER('Council Entry'!AI$9)),MAX(MIN('Council Entry'!AI104,'Council Entry'!AI$9),'Council Entry'!AI$8),'Council Entry'!AI104)),IF('Council Entry'!AI$4="Exponential",EXP(IF(AND(ISNUMBER('Council Entry'!AI$8),ISNUMBER('Council Entry'!AI$9)),MAX(MIN('Council Entry'!AI104,'Council Entry'!AI$9),'Council Entry'!AI$8),'Council Entry'!AI104)),IF(AND(ISNUMBER('Council Entry'!AI$8),ISNUMBER('Council Entry'!AI$9)),MAX(MIN('Council Entry'!AI104,'Council Entry'!AI$9),'Council Entry'!AI$8),'Council Entry'!AI104))))-'Council Entry'!AI$5)/('Council Entry'!AI$6-'Council Entry'!AI$5),10*((IF('Council Entry'!AI$4="Logarithm",LN(0.001+IF(AND(ISNUMBER('Council Entry'!AI$8),ISNUMBER('Council Entry'!AI$9)),MAX(MIN('Council Entry'!AI104,'Council Entry'!AI$9),'Council Entry'!AI$8),'Council Entry'!AI104)),IF('Council Entry'!AI$4="Exponential",EXP(IF(AND(ISNUMBER('Council Entry'!AI$8),ISNUMBER('Council Entry'!AI$9)),MAX(MIN('Council Entry'!AI104,'Council Entry'!AI$9),'Council Entry'!AI$8),'Council Entry'!AI104)),IF(AND(ISNUMBER('Council Entry'!AI$8),ISNUMBER('Council Entry'!AI$9)),MAX(MIN('Council Entry'!AI104,'Council Entry'!AI$9),'Council Entry'!AI$8),'Council Entry'!AI104))))-'Council Entry'!AI$5)/('Council Entry'!AI$6-'Council Entry'!AI$5)),1))),"No data"))</f>
        <v/>
      </c>
      <c r="AJ104" s="13">
        <f>IF('Council Entry'!AJ104="","",IFERROR(MAX(0,MIN(10,ROUND(IF('Council Entry'!AJ$7="Decrease Risk",10-10*((IF('Council Entry'!AJ$4="Logarithm",LN(0.001+IF(AND(ISNUMBER('Council Entry'!AJ$8),ISNUMBER('Council Entry'!AJ$9)),MAX(MIN('Council Entry'!AJ104,'Council Entry'!AJ$9),'Council Entry'!AJ$8),'Council Entry'!AJ104)),IF('Council Entry'!AJ$4="Exponential",EXP(IF(AND(ISNUMBER('Council Entry'!AJ$8),ISNUMBER('Council Entry'!AJ$9)),MAX(MIN('Council Entry'!AJ104,'Council Entry'!AJ$9),'Council Entry'!AJ$8),'Council Entry'!AJ104)),IF(AND(ISNUMBER('Council Entry'!AJ$8),ISNUMBER('Council Entry'!AJ$9)),MAX(MIN('Council Entry'!AJ104,'Council Entry'!AJ$9),'Council Entry'!AJ$8),'Council Entry'!AJ104))))-'Council Entry'!AJ$5)/('Council Entry'!AJ$6-'Council Entry'!AJ$5),10*((IF('Council Entry'!AJ$4="Logarithm",LN(0.001+IF(AND(ISNUMBER('Council Entry'!AJ$8),ISNUMBER('Council Entry'!AJ$9)),MAX(MIN('Council Entry'!AJ104,'Council Entry'!AJ$9),'Council Entry'!AJ$8),'Council Entry'!AJ104)),IF('Council Entry'!AJ$4="Exponential",EXP(IF(AND(ISNUMBER('Council Entry'!AJ$8),ISNUMBER('Council Entry'!AJ$9)),MAX(MIN('Council Entry'!AJ104,'Council Entry'!AJ$9),'Council Entry'!AJ$8),'Council Entry'!AJ104)),IF(AND(ISNUMBER('Council Entry'!AJ$8),ISNUMBER('Council Entry'!AJ$9)),MAX(MIN('Council Entry'!AJ104,'Council Entry'!AJ$9),'Council Entry'!AJ$8),'Council Entry'!AJ104))))-'Council Entry'!AJ$5)/('Council Entry'!AJ$6-'Council Entry'!AJ$5)),1))),"No data"))</f>
        <v/>
      </c>
      <c r="AK104" s="13">
        <f>IF('Council Entry'!AK104="","",IFERROR(MAX(0,MIN(10,ROUND(IF('Council Entry'!AK$7="Decrease Risk",10-10*((IF('Council Entry'!AK$4="Logarithm",LN(0.001+IF(AND(ISNUMBER('Council Entry'!AK$8),ISNUMBER('Council Entry'!AK$9)),MAX(MIN('Council Entry'!AK104,'Council Entry'!AK$9),'Council Entry'!AK$8),'Council Entry'!AK104)),IF('Council Entry'!AK$4="Exponential",EXP(IF(AND(ISNUMBER('Council Entry'!AK$8),ISNUMBER('Council Entry'!AK$9)),MAX(MIN('Council Entry'!AK104,'Council Entry'!AK$9),'Council Entry'!AK$8),'Council Entry'!AK104)),IF(AND(ISNUMBER('Council Entry'!AK$8),ISNUMBER('Council Entry'!AK$9)),MAX(MIN('Council Entry'!AK104,'Council Entry'!AK$9),'Council Entry'!AK$8),'Council Entry'!AK104))))-'Council Entry'!AK$5)/('Council Entry'!AK$6-'Council Entry'!AK$5),10*((IF('Council Entry'!AK$4="Logarithm",LN(0.001+IF(AND(ISNUMBER('Council Entry'!AK$8),ISNUMBER('Council Entry'!AK$9)),MAX(MIN('Council Entry'!AK104,'Council Entry'!AK$9),'Council Entry'!AK$8),'Council Entry'!AK104)),IF('Council Entry'!AK$4="Exponential",EXP(IF(AND(ISNUMBER('Council Entry'!AK$8),ISNUMBER('Council Entry'!AK$9)),MAX(MIN('Council Entry'!AK104,'Council Entry'!AK$9),'Council Entry'!AK$8),'Council Entry'!AK104)),IF(AND(ISNUMBER('Council Entry'!AK$8),ISNUMBER('Council Entry'!AK$9)),MAX(MIN('Council Entry'!AK104,'Council Entry'!AK$9),'Council Entry'!AK$8),'Council Entry'!AK104))))-'Council Entry'!AK$5)/('Council Entry'!AK$6-'Council Entry'!AK$5)),1))),"No data"))</f>
        <v/>
      </c>
      <c r="AL104" s="13">
        <f>IF('Council Entry'!AL104="","",IFERROR(MAX(0,MIN(10,ROUND(IF('Council Entry'!AL$7="Decrease Risk",10-10*((IF('Council Entry'!AL$4="Logarithm",LN(0.001+IF(AND(ISNUMBER('Council Entry'!AL$8),ISNUMBER('Council Entry'!AL$9)),MAX(MIN('Council Entry'!AL104,'Council Entry'!AL$9),'Council Entry'!AL$8),'Council Entry'!AL104)),IF('Council Entry'!AL$4="Exponential",EXP(IF(AND(ISNUMBER('Council Entry'!AL$8),ISNUMBER('Council Entry'!AL$9)),MAX(MIN('Council Entry'!AL104,'Council Entry'!AL$9),'Council Entry'!AL$8),'Council Entry'!AL104)),IF(AND(ISNUMBER('Council Entry'!AL$8),ISNUMBER('Council Entry'!AL$9)),MAX(MIN('Council Entry'!AL104,'Council Entry'!AL$9),'Council Entry'!AL$8),'Council Entry'!AL104))))-'Council Entry'!AL$5)/('Council Entry'!AL$6-'Council Entry'!AL$5),10*((IF('Council Entry'!AL$4="Logarithm",LN(0.001+IF(AND(ISNUMBER('Council Entry'!AL$8),ISNUMBER('Council Entry'!AL$9)),MAX(MIN('Council Entry'!AL104,'Council Entry'!AL$9),'Council Entry'!AL$8),'Council Entry'!AL104)),IF('Council Entry'!AL$4="Exponential",EXP(IF(AND(ISNUMBER('Council Entry'!AL$8),ISNUMBER('Council Entry'!AL$9)),MAX(MIN('Council Entry'!AL104,'Council Entry'!AL$9),'Council Entry'!AL$8),'Council Entry'!AL104)),IF(AND(ISNUMBER('Council Entry'!AL$8),ISNUMBER('Council Entry'!AL$9)),MAX(MIN('Council Entry'!AL104,'Council Entry'!AL$9),'Council Entry'!AL$8),'Council Entry'!AL104))))-'Council Entry'!AL$5)/('Council Entry'!AL$6-'Council Entry'!AL$5)),1))),"No data"))</f>
        <v/>
      </c>
      <c r="AM104" s="13">
        <f>IF('Council Entry'!AM104="","",IFERROR(MAX(0,MIN(10,ROUND(IF('Council Entry'!AM$7="Decrease Risk",10-10*((IF('Council Entry'!AM$4="Logarithm",LN(0.001+IF(AND(ISNUMBER('Council Entry'!AM$8),ISNUMBER('Council Entry'!AM$9)),MAX(MIN('Council Entry'!AM104,'Council Entry'!AM$9),'Council Entry'!AM$8),'Council Entry'!AM104)),IF('Council Entry'!AM$4="Exponential",EXP(IF(AND(ISNUMBER('Council Entry'!AM$8),ISNUMBER('Council Entry'!AM$9)),MAX(MIN('Council Entry'!AM104,'Council Entry'!AM$9),'Council Entry'!AM$8),'Council Entry'!AM104)),IF(AND(ISNUMBER('Council Entry'!AM$8),ISNUMBER('Council Entry'!AM$9)),MAX(MIN('Council Entry'!AM104,'Council Entry'!AM$9),'Council Entry'!AM$8),'Council Entry'!AM104))))-'Council Entry'!AM$5)/('Council Entry'!AM$6-'Council Entry'!AM$5),10*((IF('Council Entry'!AM$4="Logarithm",LN(0.001+IF(AND(ISNUMBER('Council Entry'!AM$8),ISNUMBER('Council Entry'!AM$9)),MAX(MIN('Council Entry'!AM104,'Council Entry'!AM$9),'Council Entry'!AM$8),'Council Entry'!AM104)),IF('Council Entry'!AM$4="Exponential",EXP(IF(AND(ISNUMBER('Council Entry'!AM$8),ISNUMBER('Council Entry'!AM$9)),MAX(MIN('Council Entry'!AM104,'Council Entry'!AM$9),'Council Entry'!AM$8),'Council Entry'!AM104)),IF(AND(ISNUMBER('Council Entry'!AM$8),ISNUMBER('Council Entry'!AM$9)),MAX(MIN('Council Entry'!AM104,'Council Entry'!AM$9),'Council Entry'!AM$8),'Council Entry'!AM104))))-'Council Entry'!AM$5)/('Council Entry'!AM$6-'Council Entry'!AM$5)),1))),"No data"))</f>
        <v/>
      </c>
      <c r="AN104" s="13">
        <f>IF('Council Entry'!AN104="","",IFERROR(MAX(0,MIN(10,ROUND(IF('Council Entry'!AN$7="Decrease Risk",10-10*((IF('Council Entry'!AN$4="Logarithm",LN(0.001+IF(AND(ISNUMBER('Council Entry'!AN$8),ISNUMBER('Council Entry'!AN$9)),MAX(MIN('Council Entry'!AN104,'Council Entry'!AN$9),'Council Entry'!AN$8),'Council Entry'!AN104)),IF('Council Entry'!AN$4="Exponential",EXP(IF(AND(ISNUMBER('Council Entry'!AN$8),ISNUMBER('Council Entry'!AN$9)),MAX(MIN('Council Entry'!AN104,'Council Entry'!AN$9),'Council Entry'!AN$8),'Council Entry'!AN104)),IF(AND(ISNUMBER('Council Entry'!AN$8),ISNUMBER('Council Entry'!AN$9)),MAX(MIN('Council Entry'!AN104,'Council Entry'!AN$9),'Council Entry'!AN$8),'Council Entry'!AN104))))-'Council Entry'!AN$5)/('Council Entry'!AN$6-'Council Entry'!AN$5),10*((IF('Council Entry'!AN$4="Logarithm",LN(0.001+IF(AND(ISNUMBER('Council Entry'!AN$8),ISNUMBER('Council Entry'!AN$9)),MAX(MIN('Council Entry'!AN104,'Council Entry'!AN$9),'Council Entry'!AN$8),'Council Entry'!AN104)),IF('Council Entry'!AN$4="Exponential",EXP(IF(AND(ISNUMBER('Council Entry'!AN$8),ISNUMBER('Council Entry'!AN$9)),MAX(MIN('Council Entry'!AN104,'Council Entry'!AN$9),'Council Entry'!AN$8),'Council Entry'!AN104)),IF(AND(ISNUMBER('Council Entry'!AN$8),ISNUMBER('Council Entry'!AN$9)),MAX(MIN('Council Entry'!AN104,'Council Entry'!AN$9),'Council Entry'!AN$8),'Council Entry'!AN104))))-'Council Entry'!AN$5)/('Council Entry'!AN$6-'Council Entry'!AN$5)),1))),"No data"))</f>
        <v/>
      </c>
      <c r="AO104" s="13">
        <f>IF('Council Entry'!AO104="","",IFERROR(MAX(0,MIN(10,ROUND(IF('Council Entry'!AO$7="Decrease Risk",10-10*((IF('Council Entry'!AO$4="Logarithm",LN(0.001+IF(AND(ISNUMBER('Council Entry'!AO$8),ISNUMBER('Council Entry'!AO$9)),MAX(MIN('Council Entry'!AO104,'Council Entry'!AO$9),'Council Entry'!AO$8),'Council Entry'!AO104)),IF('Council Entry'!AO$4="Exponential",EXP(IF(AND(ISNUMBER('Council Entry'!AO$8),ISNUMBER('Council Entry'!AO$9)),MAX(MIN('Council Entry'!AO104,'Council Entry'!AO$9),'Council Entry'!AO$8),'Council Entry'!AO104)),IF(AND(ISNUMBER('Council Entry'!AO$8),ISNUMBER('Council Entry'!AO$9)),MAX(MIN('Council Entry'!AO104,'Council Entry'!AO$9),'Council Entry'!AO$8),'Council Entry'!AO104))))-'Council Entry'!AO$5)/('Council Entry'!AO$6-'Council Entry'!AO$5),10*((IF('Council Entry'!AO$4="Logarithm",LN(0.001+IF(AND(ISNUMBER('Council Entry'!AO$8),ISNUMBER('Council Entry'!AO$9)),MAX(MIN('Council Entry'!AO104,'Council Entry'!AO$9),'Council Entry'!AO$8),'Council Entry'!AO104)),IF('Council Entry'!AO$4="Exponential",EXP(IF(AND(ISNUMBER('Council Entry'!AO$8),ISNUMBER('Council Entry'!AO$9)),MAX(MIN('Council Entry'!AO104,'Council Entry'!AO$9),'Council Entry'!AO$8),'Council Entry'!AO104)),IF(AND(ISNUMBER('Council Entry'!AO$8),ISNUMBER('Council Entry'!AO$9)),MAX(MIN('Council Entry'!AO104,'Council Entry'!AO$9),'Council Entry'!AO$8),'Council Entry'!AO104))))-'Council Entry'!AO$5)/('Council Entry'!AO$6-'Council Entry'!AO$5)),1))),"No data"))</f>
        <v/>
      </c>
      <c r="AP104" s="13">
        <f>IF('Council Entry'!AP104="","",IFERROR(MAX(0,MIN(10,ROUND(IF('Council Entry'!AP$7="Decrease Risk",10-10*((IF('Council Entry'!AP$4="Logarithm",LN(0.001+IF(AND(ISNUMBER('Council Entry'!AP$8),ISNUMBER('Council Entry'!AP$9)),MAX(MIN('Council Entry'!AP104,'Council Entry'!AP$9),'Council Entry'!AP$8),'Council Entry'!AP104)),IF('Council Entry'!AP$4="Exponential",EXP(IF(AND(ISNUMBER('Council Entry'!AP$8),ISNUMBER('Council Entry'!AP$9)),MAX(MIN('Council Entry'!AP104,'Council Entry'!AP$9),'Council Entry'!AP$8),'Council Entry'!AP104)),IF(AND(ISNUMBER('Council Entry'!AP$8),ISNUMBER('Council Entry'!AP$9)),MAX(MIN('Council Entry'!AP104,'Council Entry'!AP$9),'Council Entry'!AP$8),'Council Entry'!AP104))))-'Council Entry'!AP$5)/('Council Entry'!AP$6-'Council Entry'!AP$5),10*((IF('Council Entry'!AP$4="Logarithm",LN(0.001+IF(AND(ISNUMBER('Council Entry'!AP$8),ISNUMBER('Council Entry'!AP$9)),MAX(MIN('Council Entry'!AP104,'Council Entry'!AP$9),'Council Entry'!AP$8),'Council Entry'!AP104)),IF('Council Entry'!AP$4="Exponential",EXP(IF(AND(ISNUMBER('Council Entry'!AP$8),ISNUMBER('Council Entry'!AP$9)),MAX(MIN('Council Entry'!AP104,'Council Entry'!AP$9),'Council Entry'!AP$8),'Council Entry'!AP104)),IF(AND(ISNUMBER('Council Entry'!AP$8),ISNUMBER('Council Entry'!AP$9)),MAX(MIN('Council Entry'!AP104,'Council Entry'!AP$9),'Council Entry'!AP$8),'Council Entry'!AP104))))-'Council Entry'!AP$5)/('Council Entry'!AP$6-'Council Entry'!AP$5)),1))),"No data"))</f>
        <v/>
      </c>
      <c r="AQ104" s="13">
        <f>IF('Council Entry'!AQ104="","",IFERROR(MAX(0,MIN(10,ROUND(IF('Council Entry'!AQ$7="Decrease Risk",10-10*((IF('Council Entry'!AQ$4="Logarithm",LN(0.001+IF(AND(ISNUMBER('Council Entry'!AQ$8),ISNUMBER('Council Entry'!AQ$9)),MAX(MIN('Council Entry'!AQ104,'Council Entry'!AQ$9),'Council Entry'!AQ$8),'Council Entry'!AQ104)),IF('Council Entry'!AQ$4="Exponential",EXP(IF(AND(ISNUMBER('Council Entry'!AQ$8),ISNUMBER('Council Entry'!AQ$9)),MAX(MIN('Council Entry'!AQ104,'Council Entry'!AQ$9),'Council Entry'!AQ$8),'Council Entry'!AQ104)),IF(AND(ISNUMBER('Council Entry'!AQ$8),ISNUMBER('Council Entry'!AQ$9)),MAX(MIN('Council Entry'!AQ104,'Council Entry'!AQ$9),'Council Entry'!AQ$8),'Council Entry'!AQ104))))-'Council Entry'!AQ$5)/('Council Entry'!AQ$6-'Council Entry'!AQ$5),10*((IF('Council Entry'!AQ$4="Logarithm",LN(0.001+IF(AND(ISNUMBER('Council Entry'!AQ$8),ISNUMBER('Council Entry'!AQ$9)),MAX(MIN('Council Entry'!AQ104,'Council Entry'!AQ$9),'Council Entry'!AQ$8),'Council Entry'!AQ104)),IF('Council Entry'!AQ$4="Exponential",EXP(IF(AND(ISNUMBER('Council Entry'!AQ$8),ISNUMBER('Council Entry'!AQ$9)),MAX(MIN('Council Entry'!AQ104,'Council Entry'!AQ$9),'Council Entry'!AQ$8),'Council Entry'!AQ104)),IF(AND(ISNUMBER('Council Entry'!AQ$8),ISNUMBER('Council Entry'!AQ$9)),MAX(MIN('Council Entry'!AQ104,'Council Entry'!AQ$9),'Council Entry'!AQ$8),'Council Entry'!AQ104))))-'Council Entry'!AQ$5)/('Council Entry'!AQ$6-'Council Entry'!AQ$5)),1))),"No data"))</f>
        <v/>
      </c>
      <c r="AR104" s="13">
        <f>IF('Council Entry'!AR104="","",IFERROR(MAX(0,MIN(10,ROUND(IF('Council Entry'!AR$7="Decrease Risk",10-10*((IF('Council Entry'!AR$4="Logarithm",LN(0.001+IF(AND(ISNUMBER('Council Entry'!AR$8),ISNUMBER('Council Entry'!AR$9)),MAX(MIN('Council Entry'!AR104,'Council Entry'!AR$9),'Council Entry'!AR$8),'Council Entry'!AR104)),IF('Council Entry'!AR$4="Exponential",EXP(IF(AND(ISNUMBER('Council Entry'!AR$8),ISNUMBER('Council Entry'!AR$9)),MAX(MIN('Council Entry'!AR104,'Council Entry'!AR$9),'Council Entry'!AR$8),'Council Entry'!AR104)),IF(AND(ISNUMBER('Council Entry'!AR$8),ISNUMBER('Council Entry'!AR$9)),MAX(MIN('Council Entry'!AR104,'Council Entry'!AR$9),'Council Entry'!AR$8),'Council Entry'!AR104))))-'Council Entry'!AR$5)/('Council Entry'!AR$6-'Council Entry'!AR$5),10*((IF('Council Entry'!AR$4="Logarithm",LN(0.001+IF(AND(ISNUMBER('Council Entry'!AR$8),ISNUMBER('Council Entry'!AR$9)),MAX(MIN('Council Entry'!AR104,'Council Entry'!AR$9),'Council Entry'!AR$8),'Council Entry'!AR104)),IF('Council Entry'!AR$4="Exponential",EXP(IF(AND(ISNUMBER('Council Entry'!AR$8),ISNUMBER('Council Entry'!AR$9)),MAX(MIN('Council Entry'!AR104,'Council Entry'!AR$9),'Council Entry'!AR$8),'Council Entry'!AR104)),IF(AND(ISNUMBER('Council Entry'!AR$8),ISNUMBER('Council Entry'!AR$9)),MAX(MIN('Council Entry'!AR104,'Council Entry'!AR$9),'Council Entry'!AR$8),'Council Entry'!AR104))))-'Council Entry'!AR$5)/('Council Entry'!AR$6-'Council Entry'!AR$5)),1))),"No data"))</f>
        <v/>
      </c>
      <c r="AS104" s="13">
        <f>IF('Council Entry'!AS104="","",IFERROR(MAX(0,MIN(10,ROUND(IF('Council Entry'!AS$7="Decrease Risk",10-10*((IF('Council Entry'!AS$4="Logarithm",LN(0.001+IF(AND(ISNUMBER('Council Entry'!AS$8),ISNUMBER('Council Entry'!AS$9)),MAX(MIN('Council Entry'!AS104,'Council Entry'!AS$9),'Council Entry'!AS$8),'Council Entry'!AS104)),IF('Council Entry'!AS$4="Exponential",EXP(IF(AND(ISNUMBER('Council Entry'!AS$8),ISNUMBER('Council Entry'!AS$9)),MAX(MIN('Council Entry'!AS104,'Council Entry'!AS$9),'Council Entry'!AS$8),'Council Entry'!AS104)),IF(AND(ISNUMBER('Council Entry'!AS$8),ISNUMBER('Council Entry'!AS$9)),MAX(MIN('Council Entry'!AS104,'Council Entry'!AS$9),'Council Entry'!AS$8),'Council Entry'!AS104))))-'Council Entry'!AS$5)/('Council Entry'!AS$6-'Council Entry'!AS$5),10*((IF('Council Entry'!AS$4="Logarithm",LN(0.001+IF(AND(ISNUMBER('Council Entry'!AS$8),ISNUMBER('Council Entry'!AS$9)),MAX(MIN('Council Entry'!AS104,'Council Entry'!AS$9),'Council Entry'!AS$8),'Council Entry'!AS104)),IF('Council Entry'!AS$4="Exponential",EXP(IF(AND(ISNUMBER('Council Entry'!AS$8),ISNUMBER('Council Entry'!AS$9)),MAX(MIN('Council Entry'!AS104,'Council Entry'!AS$9),'Council Entry'!AS$8),'Council Entry'!AS104)),IF(AND(ISNUMBER('Council Entry'!AS$8),ISNUMBER('Council Entry'!AS$9)),MAX(MIN('Council Entry'!AS104,'Council Entry'!AS$9),'Council Entry'!AS$8),'Council Entry'!AS104))))-'Council Entry'!AS$5)/('Council Entry'!AS$6-'Council Entry'!AS$5)),1))),"No data"))</f>
        <v/>
      </c>
      <c r="AT104" s="13">
        <f>IF('Council Entry'!AT104="","",IFERROR(MAX(0,MIN(10,ROUND(IF('Council Entry'!AT$7="Decrease Risk",10-10*((IF('Council Entry'!AT$4="Logarithm",LN(0.001+IF(AND(ISNUMBER('Council Entry'!AT$8),ISNUMBER('Council Entry'!AT$9)),MAX(MIN('Council Entry'!AT104,'Council Entry'!AT$9),'Council Entry'!AT$8),'Council Entry'!AT104)),IF('Council Entry'!AT$4="Exponential",EXP(IF(AND(ISNUMBER('Council Entry'!AT$8),ISNUMBER('Council Entry'!AT$9)),MAX(MIN('Council Entry'!AT104,'Council Entry'!AT$9),'Council Entry'!AT$8),'Council Entry'!AT104)),IF(AND(ISNUMBER('Council Entry'!AT$8),ISNUMBER('Council Entry'!AT$9)),MAX(MIN('Council Entry'!AT104,'Council Entry'!AT$9),'Council Entry'!AT$8),'Council Entry'!AT104))))-'Council Entry'!AT$5)/('Council Entry'!AT$6-'Council Entry'!AT$5),10*((IF('Council Entry'!AT$4="Logarithm",LN(0.001+IF(AND(ISNUMBER('Council Entry'!AT$8),ISNUMBER('Council Entry'!AT$9)),MAX(MIN('Council Entry'!AT104,'Council Entry'!AT$9),'Council Entry'!AT$8),'Council Entry'!AT104)),IF('Council Entry'!AT$4="Exponential",EXP(IF(AND(ISNUMBER('Council Entry'!AT$8),ISNUMBER('Council Entry'!AT$9)),MAX(MIN('Council Entry'!AT104,'Council Entry'!AT$9),'Council Entry'!AT$8),'Council Entry'!AT104)),IF(AND(ISNUMBER('Council Entry'!AT$8),ISNUMBER('Council Entry'!AT$9)),MAX(MIN('Council Entry'!AT104,'Council Entry'!AT$9),'Council Entry'!AT$8),'Council Entry'!AT104))))-'Council Entry'!AT$5)/('Council Entry'!AT$6-'Council Entry'!AT$5)),1))),"No data"))</f>
        <v/>
      </c>
      <c r="AU104" s="13">
        <f>IF('Council Entry'!AU104="","",IFERROR(MAX(0,MIN(10,ROUND(IF('Council Entry'!AU$7="Decrease Risk",10-10*((IF('Council Entry'!AU$4="Logarithm",LN(0.001+IF(AND(ISNUMBER('Council Entry'!AU$8),ISNUMBER('Council Entry'!AU$9)),MAX(MIN('Council Entry'!AU104,'Council Entry'!AU$9),'Council Entry'!AU$8),'Council Entry'!AU104)),IF('Council Entry'!AU$4="Exponential",EXP(IF(AND(ISNUMBER('Council Entry'!AU$8),ISNUMBER('Council Entry'!AU$9)),MAX(MIN('Council Entry'!AU104,'Council Entry'!AU$9),'Council Entry'!AU$8),'Council Entry'!AU104)),IF(AND(ISNUMBER('Council Entry'!AU$8),ISNUMBER('Council Entry'!AU$9)),MAX(MIN('Council Entry'!AU104,'Council Entry'!AU$9),'Council Entry'!AU$8),'Council Entry'!AU104))))-'Council Entry'!AU$5)/('Council Entry'!AU$6-'Council Entry'!AU$5),10*((IF('Council Entry'!AU$4="Logarithm",LN(0.001+IF(AND(ISNUMBER('Council Entry'!AU$8),ISNUMBER('Council Entry'!AU$9)),MAX(MIN('Council Entry'!AU104,'Council Entry'!AU$9),'Council Entry'!AU$8),'Council Entry'!AU104)),IF('Council Entry'!AU$4="Exponential",EXP(IF(AND(ISNUMBER('Council Entry'!AU$8),ISNUMBER('Council Entry'!AU$9)),MAX(MIN('Council Entry'!AU104,'Council Entry'!AU$9),'Council Entry'!AU$8),'Council Entry'!AU104)),IF(AND(ISNUMBER('Council Entry'!AU$8),ISNUMBER('Council Entry'!AU$9)),MAX(MIN('Council Entry'!AU104,'Council Entry'!AU$9),'Council Entry'!AU$8),'Council Entry'!AU104))))-'Council Entry'!AU$5)/('Council Entry'!AU$6-'Council Entry'!AU$5)),1))),"No data"))</f>
        <v/>
      </c>
      <c r="AV104" s="13">
        <f>IF('Council Entry'!AV104="","",IFERROR(MAX(0,MIN(10,ROUND(IF('Council Entry'!AV$7="Decrease Risk",10-10*((IF('Council Entry'!AV$4="Logarithm",LN(0.001+IF(AND(ISNUMBER('Council Entry'!AV$8),ISNUMBER('Council Entry'!AV$9)),MAX(MIN('Council Entry'!AV104,'Council Entry'!AV$9),'Council Entry'!AV$8),'Council Entry'!AV104)),IF('Council Entry'!AV$4="Exponential",EXP(IF(AND(ISNUMBER('Council Entry'!AV$8),ISNUMBER('Council Entry'!AV$9)),MAX(MIN('Council Entry'!AV104,'Council Entry'!AV$9),'Council Entry'!AV$8),'Council Entry'!AV104)),IF(AND(ISNUMBER('Council Entry'!AV$8),ISNUMBER('Council Entry'!AV$9)),MAX(MIN('Council Entry'!AV104,'Council Entry'!AV$9),'Council Entry'!AV$8),'Council Entry'!AV104))))-'Council Entry'!AV$5)/('Council Entry'!AV$6-'Council Entry'!AV$5),10*((IF('Council Entry'!AV$4="Logarithm",LN(0.001+IF(AND(ISNUMBER('Council Entry'!AV$8),ISNUMBER('Council Entry'!AV$9)),MAX(MIN('Council Entry'!AV104,'Council Entry'!AV$9),'Council Entry'!AV$8),'Council Entry'!AV104)),IF('Council Entry'!AV$4="Exponential",EXP(IF(AND(ISNUMBER('Council Entry'!AV$8),ISNUMBER('Council Entry'!AV$9)),MAX(MIN('Council Entry'!AV104,'Council Entry'!AV$9),'Council Entry'!AV$8),'Council Entry'!AV104)),IF(AND(ISNUMBER('Council Entry'!AV$8),ISNUMBER('Council Entry'!AV$9)),MAX(MIN('Council Entry'!AV104,'Council Entry'!AV$9),'Council Entry'!AV$8),'Council Entry'!AV104))))-'Council Entry'!AV$5)/('Council Entry'!AV$6-'Council Entry'!AV$5)),1))),"No data"))</f>
        <v/>
      </c>
      <c r="AW104" s="13">
        <f>IF('Council Entry'!AW104="","",IFERROR(MAX(0,MIN(10,ROUND(IF('Council Entry'!AW$7="Decrease Risk",10-10*((IF('Council Entry'!AW$4="Logarithm",LN(0.001+IF(AND(ISNUMBER('Council Entry'!AW$8),ISNUMBER('Council Entry'!AW$9)),MAX(MIN('Council Entry'!AW104,'Council Entry'!AW$9),'Council Entry'!AW$8),'Council Entry'!AW104)),IF('Council Entry'!AW$4="Exponential",EXP(IF(AND(ISNUMBER('Council Entry'!AW$8),ISNUMBER('Council Entry'!AW$9)),MAX(MIN('Council Entry'!AW104,'Council Entry'!AW$9),'Council Entry'!AW$8),'Council Entry'!AW104)),IF(AND(ISNUMBER('Council Entry'!AW$8),ISNUMBER('Council Entry'!AW$9)),MAX(MIN('Council Entry'!AW104,'Council Entry'!AW$9),'Council Entry'!AW$8),'Council Entry'!AW104))))-'Council Entry'!AW$5)/('Council Entry'!AW$6-'Council Entry'!AW$5),10*((IF('Council Entry'!AW$4="Logarithm",LN(0.001+IF(AND(ISNUMBER('Council Entry'!AW$8),ISNUMBER('Council Entry'!AW$9)),MAX(MIN('Council Entry'!AW104,'Council Entry'!AW$9),'Council Entry'!AW$8),'Council Entry'!AW104)),IF('Council Entry'!AW$4="Exponential",EXP(IF(AND(ISNUMBER('Council Entry'!AW$8),ISNUMBER('Council Entry'!AW$9)),MAX(MIN('Council Entry'!AW104,'Council Entry'!AW$9),'Council Entry'!AW$8),'Council Entry'!AW104)),IF(AND(ISNUMBER('Council Entry'!AW$8),ISNUMBER('Council Entry'!AW$9)),MAX(MIN('Council Entry'!AW104,'Council Entry'!AW$9),'Council Entry'!AW$8),'Council Entry'!AW104))))-'Council Entry'!AW$5)/('Council Entry'!AW$6-'Council Entry'!AW$5)),1))),"No data"))</f>
        <v/>
      </c>
      <c r="AX104" s="13">
        <f>IF('Council Entry'!AX104="","",IFERROR(MAX(0,MIN(10,ROUND(IF('Council Entry'!AX$7="Decrease Risk",10-10*((IF('Council Entry'!AX$4="Logarithm",LN(0.001+IF(AND(ISNUMBER('Council Entry'!AX$8),ISNUMBER('Council Entry'!AX$9)),MAX(MIN('Council Entry'!AX104,'Council Entry'!AX$9),'Council Entry'!AX$8),'Council Entry'!AX104)),IF('Council Entry'!AX$4="Exponential",EXP(IF(AND(ISNUMBER('Council Entry'!AX$8),ISNUMBER('Council Entry'!AX$9)),MAX(MIN('Council Entry'!AX104,'Council Entry'!AX$9),'Council Entry'!AX$8),'Council Entry'!AX104)),IF(AND(ISNUMBER('Council Entry'!AX$8),ISNUMBER('Council Entry'!AX$9)),MAX(MIN('Council Entry'!AX104,'Council Entry'!AX$9),'Council Entry'!AX$8),'Council Entry'!AX104))))-'Council Entry'!AX$5)/('Council Entry'!AX$6-'Council Entry'!AX$5),10*((IF('Council Entry'!AX$4="Logarithm",LN(0.001+IF(AND(ISNUMBER('Council Entry'!AX$8),ISNUMBER('Council Entry'!AX$9)),MAX(MIN('Council Entry'!AX104,'Council Entry'!AX$9),'Council Entry'!AX$8),'Council Entry'!AX104)),IF('Council Entry'!AX$4="Exponential",EXP(IF(AND(ISNUMBER('Council Entry'!AX$8),ISNUMBER('Council Entry'!AX$9)),MAX(MIN('Council Entry'!AX104,'Council Entry'!AX$9),'Council Entry'!AX$8),'Council Entry'!AX104)),IF(AND(ISNUMBER('Council Entry'!AX$8),ISNUMBER('Council Entry'!AX$9)),MAX(MIN('Council Entry'!AX104,'Council Entry'!AX$9),'Council Entry'!AX$8),'Council Entry'!AX104))))-'Council Entry'!AX$5)/('Council Entry'!AX$6-'Council Entry'!AX$5)),1))),"No data"))</f>
        <v/>
      </c>
      <c r="AY104" s="13">
        <f>IF('Council Entry'!AY104="","",IFERROR(MAX(0,MIN(10,ROUND(IF('Council Entry'!AY$7="Decrease Risk",10-10*((IF('Council Entry'!AY$4="Logarithm",LN(0.001+IF(AND(ISNUMBER('Council Entry'!AY$8),ISNUMBER('Council Entry'!AY$9)),MAX(MIN('Council Entry'!AY104,'Council Entry'!AY$9),'Council Entry'!AY$8),'Council Entry'!AY104)),IF('Council Entry'!AY$4="Exponential",EXP(IF(AND(ISNUMBER('Council Entry'!AY$8),ISNUMBER('Council Entry'!AY$9)),MAX(MIN('Council Entry'!AY104,'Council Entry'!AY$9),'Council Entry'!AY$8),'Council Entry'!AY104)),IF(AND(ISNUMBER('Council Entry'!AY$8),ISNUMBER('Council Entry'!AY$9)),MAX(MIN('Council Entry'!AY104,'Council Entry'!AY$9),'Council Entry'!AY$8),'Council Entry'!AY104))))-'Council Entry'!AY$5)/('Council Entry'!AY$6-'Council Entry'!AY$5),10*((IF('Council Entry'!AY$4="Logarithm",LN(0.001+IF(AND(ISNUMBER('Council Entry'!AY$8),ISNUMBER('Council Entry'!AY$9)),MAX(MIN('Council Entry'!AY104,'Council Entry'!AY$9),'Council Entry'!AY$8),'Council Entry'!AY104)),IF('Council Entry'!AY$4="Exponential",EXP(IF(AND(ISNUMBER('Council Entry'!AY$8),ISNUMBER('Council Entry'!AY$9)),MAX(MIN('Council Entry'!AY104,'Council Entry'!AY$9),'Council Entry'!AY$8),'Council Entry'!AY104)),IF(AND(ISNUMBER('Council Entry'!AY$8),ISNUMBER('Council Entry'!AY$9)),MAX(MIN('Council Entry'!AY104,'Council Entry'!AY$9),'Council Entry'!AY$8),'Council Entry'!AY104))))-'Council Entry'!AY$5)/('Council Entry'!AY$6-'Council Entry'!AY$5)),1))),"No data"))</f>
        <v/>
      </c>
      <c r="AZ104" s="13">
        <f>IF('Council Entry'!AZ104="","",IFERROR(MAX(0,MIN(10,ROUND(IF('Council Entry'!AZ$7="Decrease Risk",10-10*((IF('Council Entry'!AZ$4="Logarithm",LN(0.001+IF(AND(ISNUMBER('Council Entry'!AZ$8),ISNUMBER('Council Entry'!AZ$9)),MAX(MIN('Council Entry'!AZ104,'Council Entry'!AZ$9),'Council Entry'!AZ$8),'Council Entry'!AZ104)),IF('Council Entry'!AZ$4="Exponential",EXP(IF(AND(ISNUMBER('Council Entry'!AZ$8),ISNUMBER('Council Entry'!AZ$9)),MAX(MIN('Council Entry'!AZ104,'Council Entry'!AZ$9),'Council Entry'!AZ$8),'Council Entry'!AZ104)),IF(AND(ISNUMBER('Council Entry'!AZ$8),ISNUMBER('Council Entry'!AZ$9)),MAX(MIN('Council Entry'!AZ104,'Council Entry'!AZ$9),'Council Entry'!AZ$8),'Council Entry'!AZ104))))-'Council Entry'!AZ$5)/('Council Entry'!AZ$6-'Council Entry'!AZ$5),10*((IF('Council Entry'!AZ$4="Logarithm",LN(0.001+IF(AND(ISNUMBER('Council Entry'!AZ$8),ISNUMBER('Council Entry'!AZ$9)),MAX(MIN('Council Entry'!AZ104,'Council Entry'!AZ$9),'Council Entry'!AZ$8),'Council Entry'!AZ104)),IF('Council Entry'!AZ$4="Exponential",EXP(IF(AND(ISNUMBER('Council Entry'!AZ$8),ISNUMBER('Council Entry'!AZ$9)),MAX(MIN('Council Entry'!AZ104,'Council Entry'!AZ$9),'Council Entry'!AZ$8),'Council Entry'!AZ104)),IF(AND(ISNUMBER('Council Entry'!AZ$8),ISNUMBER('Council Entry'!AZ$9)),MAX(MIN('Council Entry'!AZ104,'Council Entry'!AZ$9),'Council Entry'!AZ$8),'Council Entry'!AZ104))))-'Council Entry'!AZ$5)/('Council Entry'!AZ$6-'Council Entry'!AZ$5)),1))),"No data"))</f>
        <v/>
      </c>
      <c r="BA104" s="13">
        <f>IF('Council Entry'!BA104="","",IFERROR(MAX(0,MIN(10,ROUND(IF('Council Entry'!BA$7="Decrease Risk",10-10*((IF('Council Entry'!BA$4="Logarithm",LN(0.001+IF(AND(ISNUMBER('Council Entry'!BA$8),ISNUMBER('Council Entry'!BA$9)),MAX(MIN('Council Entry'!BA104,'Council Entry'!BA$9),'Council Entry'!BA$8),'Council Entry'!BA104)),IF('Council Entry'!BA$4="Exponential",EXP(IF(AND(ISNUMBER('Council Entry'!BA$8),ISNUMBER('Council Entry'!BA$9)),MAX(MIN('Council Entry'!BA104,'Council Entry'!BA$9),'Council Entry'!BA$8),'Council Entry'!BA104)),IF(AND(ISNUMBER('Council Entry'!BA$8),ISNUMBER('Council Entry'!BA$9)),MAX(MIN('Council Entry'!BA104,'Council Entry'!BA$9),'Council Entry'!BA$8),'Council Entry'!BA104))))-'Council Entry'!BA$5)/('Council Entry'!BA$6-'Council Entry'!BA$5),10*((IF('Council Entry'!BA$4="Logarithm",LN(0.001+IF(AND(ISNUMBER('Council Entry'!BA$8),ISNUMBER('Council Entry'!BA$9)),MAX(MIN('Council Entry'!BA104,'Council Entry'!BA$9),'Council Entry'!BA$8),'Council Entry'!BA104)),IF('Council Entry'!BA$4="Exponential",EXP(IF(AND(ISNUMBER('Council Entry'!BA$8),ISNUMBER('Council Entry'!BA$9)),MAX(MIN('Council Entry'!BA104,'Council Entry'!BA$9),'Council Entry'!BA$8),'Council Entry'!BA104)),IF(AND(ISNUMBER('Council Entry'!BA$8),ISNUMBER('Council Entry'!BA$9)),MAX(MIN('Council Entry'!BA104,'Council Entry'!BA$9),'Council Entry'!BA$8),'Council Entry'!BA104))))-'Council Entry'!BA$5)/('Council Entry'!BA$6-'Council Entry'!BA$5)),1))),"No data"))</f>
        <v/>
      </c>
      <c r="BB104" s="13">
        <f>IF('Council Entry'!BB104="","",IFERROR(MAX(0,MIN(10,ROUND(IF('Council Entry'!BB$7="Decrease Risk",10-10*((IF('Council Entry'!BB$4="Logarithm",LN(0.001+IF(AND(ISNUMBER('Council Entry'!BB$8),ISNUMBER('Council Entry'!BB$9)),MAX(MIN('Council Entry'!BB104,'Council Entry'!BB$9),'Council Entry'!BB$8),'Council Entry'!BB104)),IF('Council Entry'!BB$4="Exponential",EXP(IF(AND(ISNUMBER('Council Entry'!BB$8),ISNUMBER('Council Entry'!BB$9)),MAX(MIN('Council Entry'!BB104,'Council Entry'!BB$9),'Council Entry'!BB$8),'Council Entry'!BB104)),IF(AND(ISNUMBER('Council Entry'!BB$8),ISNUMBER('Council Entry'!BB$9)),MAX(MIN('Council Entry'!BB104,'Council Entry'!BB$9),'Council Entry'!BB$8),'Council Entry'!BB104))))-'Council Entry'!BB$5)/('Council Entry'!BB$6-'Council Entry'!BB$5),10*((IF('Council Entry'!BB$4="Logarithm",LN(0.001+IF(AND(ISNUMBER('Council Entry'!BB$8),ISNUMBER('Council Entry'!BB$9)),MAX(MIN('Council Entry'!BB104,'Council Entry'!BB$9),'Council Entry'!BB$8),'Council Entry'!BB104)),IF('Council Entry'!BB$4="Exponential",EXP(IF(AND(ISNUMBER('Council Entry'!BB$8),ISNUMBER('Council Entry'!BB$9)),MAX(MIN('Council Entry'!BB104,'Council Entry'!BB$9),'Council Entry'!BB$8),'Council Entry'!BB104)),IF(AND(ISNUMBER('Council Entry'!BB$8),ISNUMBER('Council Entry'!BB$9)),MAX(MIN('Council Entry'!BB104,'Council Entry'!BB$9),'Council Entry'!BB$8),'Council Entry'!BB104))))-'Council Entry'!BB$5)/('Council Entry'!BB$6-'Council Entry'!BB$5)),1))),"No data"))</f>
        <v/>
      </c>
      <c r="BC104" s="13">
        <f>IF('Council Entry'!BC104="","",IFERROR(MAX(0,MIN(10,ROUND(IF('Council Entry'!BC$7="Decrease Risk",10-10*((IF('Council Entry'!BC$4="Logarithm",LN(0.001+IF(AND(ISNUMBER('Council Entry'!BC$8),ISNUMBER('Council Entry'!BC$9)),MAX(MIN('Council Entry'!BC104,'Council Entry'!BC$9),'Council Entry'!BC$8),'Council Entry'!BC104)),IF('Council Entry'!BC$4="Exponential",EXP(IF(AND(ISNUMBER('Council Entry'!BC$8),ISNUMBER('Council Entry'!BC$9)),MAX(MIN('Council Entry'!BC104,'Council Entry'!BC$9),'Council Entry'!BC$8),'Council Entry'!BC104)),IF(AND(ISNUMBER('Council Entry'!BC$8),ISNUMBER('Council Entry'!BC$9)),MAX(MIN('Council Entry'!BC104,'Council Entry'!BC$9),'Council Entry'!BC$8),'Council Entry'!BC104))))-'Council Entry'!BC$5)/('Council Entry'!BC$6-'Council Entry'!BC$5),10*((IF('Council Entry'!BC$4="Logarithm",LN(0.001+IF(AND(ISNUMBER('Council Entry'!BC$8),ISNUMBER('Council Entry'!BC$9)),MAX(MIN('Council Entry'!BC104,'Council Entry'!BC$9),'Council Entry'!BC$8),'Council Entry'!BC104)),IF('Council Entry'!BC$4="Exponential",EXP(IF(AND(ISNUMBER('Council Entry'!BC$8),ISNUMBER('Council Entry'!BC$9)),MAX(MIN('Council Entry'!BC104,'Council Entry'!BC$9),'Council Entry'!BC$8),'Council Entry'!BC104)),IF(AND(ISNUMBER('Council Entry'!BC$8),ISNUMBER('Council Entry'!BC$9)),MAX(MIN('Council Entry'!BC104,'Council Entry'!BC$9),'Council Entry'!BC$8),'Council Entry'!BC104))))-'Council Entry'!BC$5)/('Council Entry'!BC$6-'Council Entry'!BC$5)),1))),"No data"))</f>
        <v/>
      </c>
      <c r="BD104" s="13">
        <f>IF('Council Entry'!BD104="","",IFERROR(MAX(0,MIN(10,ROUND(IF('Council Entry'!BD$7="Decrease Risk",10-10*((IF('Council Entry'!BD$4="Logarithm",LN(0.001+IF(AND(ISNUMBER('Council Entry'!BD$8),ISNUMBER('Council Entry'!BD$9)),MAX(MIN('Council Entry'!BD104,'Council Entry'!BD$9),'Council Entry'!BD$8),'Council Entry'!BD104)),IF('Council Entry'!BD$4="Exponential",EXP(IF(AND(ISNUMBER('Council Entry'!BD$8),ISNUMBER('Council Entry'!BD$9)),MAX(MIN('Council Entry'!BD104,'Council Entry'!BD$9),'Council Entry'!BD$8),'Council Entry'!BD104)),IF(AND(ISNUMBER('Council Entry'!BD$8),ISNUMBER('Council Entry'!BD$9)),MAX(MIN('Council Entry'!BD104,'Council Entry'!BD$9),'Council Entry'!BD$8),'Council Entry'!BD104))))-'Council Entry'!BD$5)/('Council Entry'!BD$6-'Council Entry'!BD$5),10*((IF('Council Entry'!BD$4="Logarithm",LN(0.001+IF(AND(ISNUMBER('Council Entry'!BD$8),ISNUMBER('Council Entry'!BD$9)),MAX(MIN('Council Entry'!BD104,'Council Entry'!BD$9),'Council Entry'!BD$8),'Council Entry'!BD104)),IF('Council Entry'!BD$4="Exponential",EXP(IF(AND(ISNUMBER('Council Entry'!BD$8),ISNUMBER('Council Entry'!BD$9)),MAX(MIN('Council Entry'!BD104,'Council Entry'!BD$9),'Council Entry'!BD$8),'Council Entry'!BD104)),IF(AND(ISNUMBER('Council Entry'!BD$8),ISNUMBER('Council Entry'!BD$9)),MAX(MIN('Council Entry'!BD104,'Council Entry'!BD$9),'Council Entry'!BD$8),'Council Entry'!BD104))))-'Council Entry'!BD$5)/('Council Entry'!BD$6-'Council Entry'!BD$5)),1))),"No data"))</f>
        <v/>
      </c>
    </row>
    <row r="105">
      <c r="A105" t="inlineStr">
        <is>
          <t>Mbeya</t>
        </is>
      </c>
      <c r="B105" t="inlineStr">
        <is>
          <t>Mbeya District</t>
        </is>
      </c>
      <c r="C105" t="inlineStr">
        <is>
          <t>C086</t>
        </is>
      </c>
      <c r="D105" s="13">
        <f>IF('Council Entry'!D105="","",IFERROR(MAX(0,MIN(10,ROUND(IF('Council Entry'!D$7="Decrease Risk",10-10*((IF('Council Entry'!D$4="Logarithm",LN(0.001+IF(AND(ISNUMBER('Council Entry'!D$8),ISNUMBER('Council Entry'!D$9)),MAX(MIN('Council Entry'!D105,'Council Entry'!D$9),'Council Entry'!D$8),'Council Entry'!D105)),IF('Council Entry'!D$4="Exponential",EXP(IF(AND(ISNUMBER('Council Entry'!D$8),ISNUMBER('Council Entry'!D$9)),MAX(MIN('Council Entry'!D105,'Council Entry'!D$9),'Council Entry'!D$8),'Council Entry'!D105)),IF(AND(ISNUMBER('Council Entry'!D$8),ISNUMBER('Council Entry'!D$9)),MAX(MIN('Council Entry'!D105,'Council Entry'!D$9),'Council Entry'!D$8),'Council Entry'!D105))))-'Council Entry'!D$5)/('Council Entry'!D$6-'Council Entry'!D$5),10*((IF('Council Entry'!D$4="Logarithm",LN(0.001+IF(AND(ISNUMBER('Council Entry'!D$8),ISNUMBER('Council Entry'!D$9)),MAX(MIN('Council Entry'!D105,'Council Entry'!D$9),'Council Entry'!D$8),'Council Entry'!D105)),IF('Council Entry'!D$4="Exponential",EXP(IF(AND(ISNUMBER('Council Entry'!D$8),ISNUMBER('Council Entry'!D$9)),MAX(MIN('Council Entry'!D105,'Council Entry'!D$9),'Council Entry'!D$8),'Council Entry'!D105)),IF(AND(ISNUMBER('Council Entry'!D$8),ISNUMBER('Council Entry'!D$9)),MAX(MIN('Council Entry'!D105,'Council Entry'!D$9),'Council Entry'!D$8),'Council Entry'!D105))))-'Council Entry'!D$5)/('Council Entry'!D$6-'Council Entry'!D$5)),1))),"No data"))</f>
        <v/>
      </c>
      <c r="E105" s="13">
        <f>IF('Council Entry'!E105="","",IFERROR(MAX(0,MIN(10,ROUND(IF('Council Entry'!E$7="Decrease Risk",10-10*((IF('Council Entry'!E$4="Logarithm",LN(0.001+IF(AND(ISNUMBER('Council Entry'!E$8),ISNUMBER('Council Entry'!E$9)),MAX(MIN('Council Entry'!E105,'Council Entry'!E$9),'Council Entry'!E$8),'Council Entry'!E105)),IF('Council Entry'!E$4="Exponential",EXP(IF(AND(ISNUMBER('Council Entry'!E$8),ISNUMBER('Council Entry'!E$9)),MAX(MIN('Council Entry'!E105,'Council Entry'!E$9),'Council Entry'!E$8),'Council Entry'!E105)),IF(AND(ISNUMBER('Council Entry'!E$8),ISNUMBER('Council Entry'!E$9)),MAX(MIN('Council Entry'!E105,'Council Entry'!E$9),'Council Entry'!E$8),'Council Entry'!E105))))-'Council Entry'!E$5)/('Council Entry'!E$6-'Council Entry'!E$5),10*((IF('Council Entry'!E$4="Logarithm",LN(0.001+IF(AND(ISNUMBER('Council Entry'!E$8),ISNUMBER('Council Entry'!E$9)),MAX(MIN('Council Entry'!E105,'Council Entry'!E$9),'Council Entry'!E$8),'Council Entry'!E105)),IF('Council Entry'!E$4="Exponential",EXP(IF(AND(ISNUMBER('Council Entry'!E$8),ISNUMBER('Council Entry'!E$9)),MAX(MIN('Council Entry'!E105,'Council Entry'!E$9),'Council Entry'!E$8),'Council Entry'!E105)),IF(AND(ISNUMBER('Council Entry'!E$8),ISNUMBER('Council Entry'!E$9)),MAX(MIN('Council Entry'!E105,'Council Entry'!E$9),'Council Entry'!E$8),'Council Entry'!E105))))-'Council Entry'!E$5)/('Council Entry'!E$6-'Council Entry'!E$5)),1))),"No data"))</f>
        <v/>
      </c>
      <c r="F105" s="13">
        <f>IF('Council Entry'!F105="","",IFERROR(MAX(0,MIN(10,ROUND(IF('Council Entry'!F$7="Decrease Risk",10-10*((IF('Council Entry'!F$4="Logarithm",LN(0.001+IF(AND(ISNUMBER('Council Entry'!F$8),ISNUMBER('Council Entry'!F$9)),MAX(MIN('Council Entry'!F105,'Council Entry'!F$9),'Council Entry'!F$8),'Council Entry'!F105)),IF('Council Entry'!F$4="Exponential",EXP(IF(AND(ISNUMBER('Council Entry'!F$8),ISNUMBER('Council Entry'!F$9)),MAX(MIN('Council Entry'!F105,'Council Entry'!F$9),'Council Entry'!F$8),'Council Entry'!F105)),IF(AND(ISNUMBER('Council Entry'!F$8),ISNUMBER('Council Entry'!F$9)),MAX(MIN('Council Entry'!F105,'Council Entry'!F$9),'Council Entry'!F$8),'Council Entry'!F105))))-'Council Entry'!F$5)/('Council Entry'!F$6-'Council Entry'!F$5),10*((IF('Council Entry'!F$4="Logarithm",LN(0.001+IF(AND(ISNUMBER('Council Entry'!F$8),ISNUMBER('Council Entry'!F$9)),MAX(MIN('Council Entry'!F105,'Council Entry'!F$9),'Council Entry'!F$8),'Council Entry'!F105)),IF('Council Entry'!F$4="Exponential",EXP(IF(AND(ISNUMBER('Council Entry'!F$8),ISNUMBER('Council Entry'!F$9)),MAX(MIN('Council Entry'!F105,'Council Entry'!F$9),'Council Entry'!F$8),'Council Entry'!F105)),IF(AND(ISNUMBER('Council Entry'!F$8),ISNUMBER('Council Entry'!F$9)),MAX(MIN('Council Entry'!F105,'Council Entry'!F$9),'Council Entry'!F$8),'Council Entry'!F105))))-'Council Entry'!F$5)/('Council Entry'!F$6-'Council Entry'!F$5)),1))),"No data"))</f>
        <v/>
      </c>
      <c r="G105" s="13">
        <f>IF('Council Entry'!G105="","",IFERROR(MAX(0,MIN(10,ROUND(IF('Council Entry'!G$7="Decrease Risk",10-10*((IF('Council Entry'!G$4="Logarithm",LN(0.001+IF(AND(ISNUMBER('Council Entry'!G$8),ISNUMBER('Council Entry'!G$9)),MAX(MIN('Council Entry'!G105,'Council Entry'!G$9),'Council Entry'!G$8),'Council Entry'!G105)),IF('Council Entry'!G$4="Exponential",EXP(IF(AND(ISNUMBER('Council Entry'!G$8),ISNUMBER('Council Entry'!G$9)),MAX(MIN('Council Entry'!G105,'Council Entry'!G$9),'Council Entry'!G$8),'Council Entry'!G105)),IF(AND(ISNUMBER('Council Entry'!G$8),ISNUMBER('Council Entry'!G$9)),MAX(MIN('Council Entry'!G105,'Council Entry'!G$9),'Council Entry'!G$8),'Council Entry'!G105))))-'Council Entry'!G$5)/('Council Entry'!G$6-'Council Entry'!G$5),10*((IF('Council Entry'!G$4="Logarithm",LN(0.001+IF(AND(ISNUMBER('Council Entry'!G$8),ISNUMBER('Council Entry'!G$9)),MAX(MIN('Council Entry'!G105,'Council Entry'!G$9),'Council Entry'!G$8),'Council Entry'!G105)),IF('Council Entry'!G$4="Exponential",EXP(IF(AND(ISNUMBER('Council Entry'!G$8),ISNUMBER('Council Entry'!G$9)),MAX(MIN('Council Entry'!G105,'Council Entry'!G$9),'Council Entry'!G$8),'Council Entry'!G105)),IF(AND(ISNUMBER('Council Entry'!G$8),ISNUMBER('Council Entry'!G$9)),MAX(MIN('Council Entry'!G105,'Council Entry'!G$9),'Council Entry'!G$8),'Council Entry'!G105))))-'Council Entry'!G$5)/('Council Entry'!G$6-'Council Entry'!G$5)),1))),"No data"))</f>
        <v/>
      </c>
      <c r="H105" s="13">
        <f>IF('Council Entry'!H105="","",IFERROR(MAX(0,MIN(10,ROUND(IF('Council Entry'!H$7="Decrease Risk",10-10*((IF('Council Entry'!H$4="Logarithm",LN(0.001+IF(AND(ISNUMBER('Council Entry'!H$8),ISNUMBER('Council Entry'!H$9)),MAX(MIN('Council Entry'!H105,'Council Entry'!H$9),'Council Entry'!H$8),'Council Entry'!H105)),IF('Council Entry'!H$4="Exponential",EXP(IF(AND(ISNUMBER('Council Entry'!H$8),ISNUMBER('Council Entry'!H$9)),MAX(MIN('Council Entry'!H105,'Council Entry'!H$9),'Council Entry'!H$8),'Council Entry'!H105)),IF(AND(ISNUMBER('Council Entry'!H$8),ISNUMBER('Council Entry'!H$9)),MAX(MIN('Council Entry'!H105,'Council Entry'!H$9),'Council Entry'!H$8),'Council Entry'!H105))))-'Council Entry'!H$5)/('Council Entry'!H$6-'Council Entry'!H$5),10*((IF('Council Entry'!H$4="Logarithm",LN(0.001+IF(AND(ISNUMBER('Council Entry'!H$8),ISNUMBER('Council Entry'!H$9)),MAX(MIN('Council Entry'!H105,'Council Entry'!H$9),'Council Entry'!H$8),'Council Entry'!H105)),IF('Council Entry'!H$4="Exponential",EXP(IF(AND(ISNUMBER('Council Entry'!H$8),ISNUMBER('Council Entry'!H$9)),MAX(MIN('Council Entry'!H105,'Council Entry'!H$9),'Council Entry'!H$8),'Council Entry'!H105)),IF(AND(ISNUMBER('Council Entry'!H$8),ISNUMBER('Council Entry'!H$9)),MAX(MIN('Council Entry'!H105,'Council Entry'!H$9),'Council Entry'!H$8),'Council Entry'!H105))))-'Council Entry'!H$5)/('Council Entry'!H$6-'Council Entry'!H$5)),1))),"No data"))</f>
        <v/>
      </c>
      <c r="I105" s="13">
        <f>IF('Council Entry'!I105="","",IFERROR(MAX(0,MIN(10,ROUND(IF('Council Entry'!I$7="Decrease Risk",10-10*((IF('Council Entry'!I$4="Logarithm",LN(0.001+IF(AND(ISNUMBER('Council Entry'!I$8),ISNUMBER('Council Entry'!I$9)),MAX(MIN('Council Entry'!I105,'Council Entry'!I$9),'Council Entry'!I$8),'Council Entry'!I105)),IF('Council Entry'!I$4="Exponential",EXP(IF(AND(ISNUMBER('Council Entry'!I$8),ISNUMBER('Council Entry'!I$9)),MAX(MIN('Council Entry'!I105,'Council Entry'!I$9),'Council Entry'!I$8),'Council Entry'!I105)),IF(AND(ISNUMBER('Council Entry'!I$8),ISNUMBER('Council Entry'!I$9)),MAX(MIN('Council Entry'!I105,'Council Entry'!I$9),'Council Entry'!I$8),'Council Entry'!I105))))-'Council Entry'!I$5)/('Council Entry'!I$6-'Council Entry'!I$5),10*((IF('Council Entry'!I$4="Logarithm",LN(0.001+IF(AND(ISNUMBER('Council Entry'!I$8),ISNUMBER('Council Entry'!I$9)),MAX(MIN('Council Entry'!I105,'Council Entry'!I$9),'Council Entry'!I$8),'Council Entry'!I105)),IF('Council Entry'!I$4="Exponential",EXP(IF(AND(ISNUMBER('Council Entry'!I$8),ISNUMBER('Council Entry'!I$9)),MAX(MIN('Council Entry'!I105,'Council Entry'!I$9),'Council Entry'!I$8),'Council Entry'!I105)),IF(AND(ISNUMBER('Council Entry'!I$8),ISNUMBER('Council Entry'!I$9)),MAX(MIN('Council Entry'!I105,'Council Entry'!I$9),'Council Entry'!I$8),'Council Entry'!I105))))-'Council Entry'!I$5)/('Council Entry'!I$6-'Council Entry'!I$5)),1))),"No data"))</f>
        <v/>
      </c>
      <c r="J105" s="13">
        <f>IF('Council Entry'!J105="","",IFERROR(MAX(0,MIN(10,ROUND(IF('Council Entry'!J$7="Decrease Risk",10-10*((IF('Council Entry'!J$4="Logarithm",LN(0.001+IF(AND(ISNUMBER('Council Entry'!J$8),ISNUMBER('Council Entry'!J$9)),MAX(MIN('Council Entry'!J105,'Council Entry'!J$9),'Council Entry'!J$8),'Council Entry'!J105)),IF('Council Entry'!J$4="Exponential",EXP(IF(AND(ISNUMBER('Council Entry'!J$8),ISNUMBER('Council Entry'!J$9)),MAX(MIN('Council Entry'!J105,'Council Entry'!J$9),'Council Entry'!J$8),'Council Entry'!J105)),IF(AND(ISNUMBER('Council Entry'!J$8),ISNUMBER('Council Entry'!J$9)),MAX(MIN('Council Entry'!J105,'Council Entry'!J$9),'Council Entry'!J$8),'Council Entry'!J105))))-'Council Entry'!J$5)/('Council Entry'!J$6-'Council Entry'!J$5),10*((IF('Council Entry'!J$4="Logarithm",LN(0.001+IF(AND(ISNUMBER('Council Entry'!J$8),ISNUMBER('Council Entry'!J$9)),MAX(MIN('Council Entry'!J105,'Council Entry'!J$9),'Council Entry'!J$8),'Council Entry'!J105)),IF('Council Entry'!J$4="Exponential",EXP(IF(AND(ISNUMBER('Council Entry'!J$8),ISNUMBER('Council Entry'!J$9)),MAX(MIN('Council Entry'!J105,'Council Entry'!J$9),'Council Entry'!J$8),'Council Entry'!J105)),IF(AND(ISNUMBER('Council Entry'!J$8),ISNUMBER('Council Entry'!J$9)),MAX(MIN('Council Entry'!J105,'Council Entry'!J$9),'Council Entry'!J$8),'Council Entry'!J105))))-'Council Entry'!J$5)/('Council Entry'!J$6-'Council Entry'!J$5)),1))),"No data"))</f>
        <v/>
      </c>
      <c r="K105" s="13">
        <f>IF('Council Entry'!K105="","",IFERROR(MAX(0,MIN(10,ROUND(IF('Council Entry'!K$7="Decrease Risk",10-10*((IF('Council Entry'!K$4="Logarithm",LN(0.001+IF(AND(ISNUMBER('Council Entry'!K$8),ISNUMBER('Council Entry'!K$9)),MAX(MIN('Council Entry'!K105,'Council Entry'!K$9),'Council Entry'!K$8),'Council Entry'!K105)),IF('Council Entry'!K$4="Exponential",EXP(IF(AND(ISNUMBER('Council Entry'!K$8),ISNUMBER('Council Entry'!K$9)),MAX(MIN('Council Entry'!K105,'Council Entry'!K$9),'Council Entry'!K$8),'Council Entry'!K105)),IF(AND(ISNUMBER('Council Entry'!K$8),ISNUMBER('Council Entry'!K$9)),MAX(MIN('Council Entry'!K105,'Council Entry'!K$9),'Council Entry'!K$8),'Council Entry'!K105))))-'Council Entry'!K$5)/('Council Entry'!K$6-'Council Entry'!K$5),10*((IF('Council Entry'!K$4="Logarithm",LN(0.001+IF(AND(ISNUMBER('Council Entry'!K$8),ISNUMBER('Council Entry'!K$9)),MAX(MIN('Council Entry'!K105,'Council Entry'!K$9),'Council Entry'!K$8),'Council Entry'!K105)),IF('Council Entry'!K$4="Exponential",EXP(IF(AND(ISNUMBER('Council Entry'!K$8),ISNUMBER('Council Entry'!K$9)),MAX(MIN('Council Entry'!K105,'Council Entry'!K$9),'Council Entry'!K$8),'Council Entry'!K105)),IF(AND(ISNUMBER('Council Entry'!K$8),ISNUMBER('Council Entry'!K$9)),MAX(MIN('Council Entry'!K105,'Council Entry'!K$9),'Council Entry'!K$8),'Council Entry'!K105))))-'Council Entry'!K$5)/('Council Entry'!K$6-'Council Entry'!K$5)),1))),"No data"))</f>
        <v/>
      </c>
      <c r="L105" s="13">
        <f>IF('Council Entry'!L105="","",IFERROR(MAX(0,MIN(10,ROUND(IF('Council Entry'!L$7="Decrease Risk",10-10*((IF('Council Entry'!L$4="Logarithm",LN(0.001+IF(AND(ISNUMBER('Council Entry'!L$8),ISNUMBER('Council Entry'!L$9)),MAX(MIN('Council Entry'!L105,'Council Entry'!L$9),'Council Entry'!L$8),'Council Entry'!L105)),IF('Council Entry'!L$4="Exponential",EXP(IF(AND(ISNUMBER('Council Entry'!L$8),ISNUMBER('Council Entry'!L$9)),MAX(MIN('Council Entry'!L105,'Council Entry'!L$9),'Council Entry'!L$8),'Council Entry'!L105)),IF(AND(ISNUMBER('Council Entry'!L$8),ISNUMBER('Council Entry'!L$9)),MAX(MIN('Council Entry'!L105,'Council Entry'!L$9),'Council Entry'!L$8),'Council Entry'!L105))))-'Council Entry'!L$5)/('Council Entry'!L$6-'Council Entry'!L$5),10*((IF('Council Entry'!L$4="Logarithm",LN(0.001+IF(AND(ISNUMBER('Council Entry'!L$8),ISNUMBER('Council Entry'!L$9)),MAX(MIN('Council Entry'!L105,'Council Entry'!L$9),'Council Entry'!L$8),'Council Entry'!L105)),IF('Council Entry'!L$4="Exponential",EXP(IF(AND(ISNUMBER('Council Entry'!L$8),ISNUMBER('Council Entry'!L$9)),MAX(MIN('Council Entry'!L105,'Council Entry'!L$9),'Council Entry'!L$8),'Council Entry'!L105)),IF(AND(ISNUMBER('Council Entry'!L$8),ISNUMBER('Council Entry'!L$9)),MAX(MIN('Council Entry'!L105,'Council Entry'!L$9),'Council Entry'!L$8),'Council Entry'!L105))))-'Council Entry'!L$5)/('Council Entry'!L$6-'Council Entry'!L$5)),1))),"No data"))</f>
        <v/>
      </c>
      <c r="M105" s="13">
        <f>IF('Council Entry'!M105="","",IFERROR(MAX(0,MIN(10,ROUND(IF('Council Entry'!M$7="Decrease Risk",10-10*((IF('Council Entry'!M$4="Logarithm",LN(0.001+IF(AND(ISNUMBER('Council Entry'!M$8),ISNUMBER('Council Entry'!M$9)),MAX(MIN('Council Entry'!M105,'Council Entry'!M$9),'Council Entry'!M$8),'Council Entry'!M105)),IF('Council Entry'!M$4="Exponential",EXP(IF(AND(ISNUMBER('Council Entry'!M$8),ISNUMBER('Council Entry'!M$9)),MAX(MIN('Council Entry'!M105,'Council Entry'!M$9),'Council Entry'!M$8),'Council Entry'!M105)),IF(AND(ISNUMBER('Council Entry'!M$8),ISNUMBER('Council Entry'!M$9)),MAX(MIN('Council Entry'!M105,'Council Entry'!M$9),'Council Entry'!M$8),'Council Entry'!M105))))-'Council Entry'!M$5)/('Council Entry'!M$6-'Council Entry'!M$5),10*((IF('Council Entry'!M$4="Logarithm",LN(0.001+IF(AND(ISNUMBER('Council Entry'!M$8),ISNUMBER('Council Entry'!M$9)),MAX(MIN('Council Entry'!M105,'Council Entry'!M$9),'Council Entry'!M$8),'Council Entry'!M105)),IF('Council Entry'!M$4="Exponential",EXP(IF(AND(ISNUMBER('Council Entry'!M$8),ISNUMBER('Council Entry'!M$9)),MAX(MIN('Council Entry'!M105,'Council Entry'!M$9),'Council Entry'!M$8),'Council Entry'!M105)),IF(AND(ISNUMBER('Council Entry'!M$8),ISNUMBER('Council Entry'!M$9)),MAX(MIN('Council Entry'!M105,'Council Entry'!M$9),'Council Entry'!M$8),'Council Entry'!M105))))-'Council Entry'!M$5)/('Council Entry'!M$6-'Council Entry'!M$5)),1))),"No data"))</f>
        <v/>
      </c>
      <c r="N105" s="13">
        <f>IF('Council Entry'!N105="","",IFERROR(MAX(0,MIN(10,ROUND(IF('Council Entry'!N$7="Decrease Risk",10-10*((IF('Council Entry'!N$4="Logarithm",LN(0.001+IF(AND(ISNUMBER('Council Entry'!N$8),ISNUMBER('Council Entry'!N$9)),MAX(MIN('Council Entry'!N105,'Council Entry'!N$9),'Council Entry'!N$8),'Council Entry'!N105)),IF('Council Entry'!N$4="Exponential",EXP(IF(AND(ISNUMBER('Council Entry'!N$8),ISNUMBER('Council Entry'!N$9)),MAX(MIN('Council Entry'!N105,'Council Entry'!N$9),'Council Entry'!N$8),'Council Entry'!N105)),IF(AND(ISNUMBER('Council Entry'!N$8),ISNUMBER('Council Entry'!N$9)),MAX(MIN('Council Entry'!N105,'Council Entry'!N$9),'Council Entry'!N$8),'Council Entry'!N105))))-'Council Entry'!N$5)/('Council Entry'!N$6-'Council Entry'!N$5),10*((IF('Council Entry'!N$4="Logarithm",LN(0.001+IF(AND(ISNUMBER('Council Entry'!N$8),ISNUMBER('Council Entry'!N$9)),MAX(MIN('Council Entry'!N105,'Council Entry'!N$9),'Council Entry'!N$8),'Council Entry'!N105)),IF('Council Entry'!N$4="Exponential",EXP(IF(AND(ISNUMBER('Council Entry'!N$8),ISNUMBER('Council Entry'!N$9)),MAX(MIN('Council Entry'!N105,'Council Entry'!N$9),'Council Entry'!N$8),'Council Entry'!N105)),IF(AND(ISNUMBER('Council Entry'!N$8),ISNUMBER('Council Entry'!N$9)),MAX(MIN('Council Entry'!N105,'Council Entry'!N$9),'Council Entry'!N$8),'Council Entry'!N105))))-'Council Entry'!N$5)/('Council Entry'!N$6-'Council Entry'!N$5)),1))),"No data"))</f>
        <v/>
      </c>
      <c r="O105" s="13">
        <f>IF('Council Entry'!O105="","",IFERROR(MAX(0,MIN(10,ROUND(IF('Council Entry'!O$7="Decrease Risk",10-10*((IF('Council Entry'!O$4="Logarithm",LN(0.001+IF(AND(ISNUMBER('Council Entry'!O$8),ISNUMBER('Council Entry'!O$9)),MAX(MIN('Council Entry'!O105,'Council Entry'!O$9),'Council Entry'!O$8),'Council Entry'!O105)),IF('Council Entry'!O$4="Exponential",EXP(IF(AND(ISNUMBER('Council Entry'!O$8),ISNUMBER('Council Entry'!O$9)),MAX(MIN('Council Entry'!O105,'Council Entry'!O$9),'Council Entry'!O$8),'Council Entry'!O105)),IF(AND(ISNUMBER('Council Entry'!O$8),ISNUMBER('Council Entry'!O$9)),MAX(MIN('Council Entry'!O105,'Council Entry'!O$9),'Council Entry'!O$8),'Council Entry'!O105))))-'Council Entry'!O$5)/('Council Entry'!O$6-'Council Entry'!O$5),10*((IF('Council Entry'!O$4="Logarithm",LN(0.001+IF(AND(ISNUMBER('Council Entry'!O$8),ISNUMBER('Council Entry'!O$9)),MAX(MIN('Council Entry'!O105,'Council Entry'!O$9),'Council Entry'!O$8),'Council Entry'!O105)),IF('Council Entry'!O$4="Exponential",EXP(IF(AND(ISNUMBER('Council Entry'!O$8),ISNUMBER('Council Entry'!O$9)),MAX(MIN('Council Entry'!O105,'Council Entry'!O$9),'Council Entry'!O$8),'Council Entry'!O105)),IF(AND(ISNUMBER('Council Entry'!O$8),ISNUMBER('Council Entry'!O$9)),MAX(MIN('Council Entry'!O105,'Council Entry'!O$9),'Council Entry'!O$8),'Council Entry'!O105))))-'Council Entry'!O$5)/('Council Entry'!O$6-'Council Entry'!O$5)),1))),"No data"))</f>
        <v/>
      </c>
      <c r="P105" s="13">
        <f>IF('Council Entry'!P105="","",IFERROR(MAX(0,MIN(10,ROUND(IF('Council Entry'!P$7="Decrease Risk",10-10*((IF('Council Entry'!P$4="Logarithm",LN(0.001+IF(AND(ISNUMBER('Council Entry'!P$8),ISNUMBER('Council Entry'!P$9)),MAX(MIN('Council Entry'!P105,'Council Entry'!P$9),'Council Entry'!P$8),'Council Entry'!P105)),IF('Council Entry'!P$4="Exponential",EXP(IF(AND(ISNUMBER('Council Entry'!P$8),ISNUMBER('Council Entry'!P$9)),MAX(MIN('Council Entry'!P105,'Council Entry'!P$9),'Council Entry'!P$8),'Council Entry'!P105)),IF(AND(ISNUMBER('Council Entry'!P$8),ISNUMBER('Council Entry'!P$9)),MAX(MIN('Council Entry'!P105,'Council Entry'!P$9),'Council Entry'!P$8),'Council Entry'!P105))))-'Council Entry'!P$5)/('Council Entry'!P$6-'Council Entry'!P$5),10*((IF('Council Entry'!P$4="Logarithm",LN(0.001+IF(AND(ISNUMBER('Council Entry'!P$8),ISNUMBER('Council Entry'!P$9)),MAX(MIN('Council Entry'!P105,'Council Entry'!P$9),'Council Entry'!P$8),'Council Entry'!P105)),IF('Council Entry'!P$4="Exponential",EXP(IF(AND(ISNUMBER('Council Entry'!P$8),ISNUMBER('Council Entry'!P$9)),MAX(MIN('Council Entry'!P105,'Council Entry'!P$9),'Council Entry'!P$8),'Council Entry'!P105)),IF(AND(ISNUMBER('Council Entry'!P$8),ISNUMBER('Council Entry'!P$9)),MAX(MIN('Council Entry'!P105,'Council Entry'!P$9),'Council Entry'!P$8),'Council Entry'!P105))))-'Council Entry'!P$5)/('Council Entry'!P$6-'Council Entry'!P$5)),1))),"No data"))</f>
        <v/>
      </c>
      <c r="Q105" s="13">
        <f>IF('Council Entry'!Q105="","",IFERROR(MAX(0,MIN(10,ROUND(IF('Council Entry'!Q$7="Decrease Risk",10-10*((IF('Council Entry'!Q$4="Logarithm",LN(0.001+IF(AND(ISNUMBER('Council Entry'!Q$8),ISNUMBER('Council Entry'!Q$9)),MAX(MIN('Council Entry'!Q105,'Council Entry'!Q$9),'Council Entry'!Q$8),'Council Entry'!Q105)),IF('Council Entry'!Q$4="Exponential",EXP(IF(AND(ISNUMBER('Council Entry'!Q$8),ISNUMBER('Council Entry'!Q$9)),MAX(MIN('Council Entry'!Q105,'Council Entry'!Q$9),'Council Entry'!Q$8),'Council Entry'!Q105)),IF(AND(ISNUMBER('Council Entry'!Q$8),ISNUMBER('Council Entry'!Q$9)),MAX(MIN('Council Entry'!Q105,'Council Entry'!Q$9),'Council Entry'!Q$8),'Council Entry'!Q105))))-'Council Entry'!Q$5)/('Council Entry'!Q$6-'Council Entry'!Q$5),10*((IF('Council Entry'!Q$4="Logarithm",LN(0.001+IF(AND(ISNUMBER('Council Entry'!Q$8),ISNUMBER('Council Entry'!Q$9)),MAX(MIN('Council Entry'!Q105,'Council Entry'!Q$9),'Council Entry'!Q$8),'Council Entry'!Q105)),IF('Council Entry'!Q$4="Exponential",EXP(IF(AND(ISNUMBER('Council Entry'!Q$8),ISNUMBER('Council Entry'!Q$9)),MAX(MIN('Council Entry'!Q105,'Council Entry'!Q$9),'Council Entry'!Q$8),'Council Entry'!Q105)),IF(AND(ISNUMBER('Council Entry'!Q$8),ISNUMBER('Council Entry'!Q$9)),MAX(MIN('Council Entry'!Q105,'Council Entry'!Q$9),'Council Entry'!Q$8),'Council Entry'!Q105))))-'Council Entry'!Q$5)/('Council Entry'!Q$6-'Council Entry'!Q$5)),1))),"No data"))</f>
        <v/>
      </c>
      <c r="R105" s="13">
        <f>IF('Council Entry'!R105="","",IFERROR(MAX(0,MIN(10,ROUND(IF('Council Entry'!R$7="Decrease Risk",10-10*((IF('Council Entry'!R$4="Logarithm",LN(0.001+IF(AND(ISNUMBER('Council Entry'!R$8),ISNUMBER('Council Entry'!R$9)),MAX(MIN('Council Entry'!R105,'Council Entry'!R$9),'Council Entry'!R$8),'Council Entry'!R105)),IF('Council Entry'!R$4="Exponential",EXP(IF(AND(ISNUMBER('Council Entry'!R$8),ISNUMBER('Council Entry'!R$9)),MAX(MIN('Council Entry'!R105,'Council Entry'!R$9),'Council Entry'!R$8),'Council Entry'!R105)),IF(AND(ISNUMBER('Council Entry'!R$8),ISNUMBER('Council Entry'!R$9)),MAX(MIN('Council Entry'!R105,'Council Entry'!R$9),'Council Entry'!R$8),'Council Entry'!R105))))-'Council Entry'!R$5)/('Council Entry'!R$6-'Council Entry'!R$5),10*((IF('Council Entry'!R$4="Logarithm",LN(0.001+IF(AND(ISNUMBER('Council Entry'!R$8),ISNUMBER('Council Entry'!R$9)),MAX(MIN('Council Entry'!R105,'Council Entry'!R$9),'Council Entry'!R$8),'Council Entry'!R105)),IF('Council Entry'!R$4="Exponential",EXP(IF(AND(ISNUMBER('Council Entry'!R$8),ISNUMBER('Council Entry'!R$9)),MAX(MIN('Council Entry'!R105,'Council Entry'!R$9),'Council Entry'!R$8),'Council Entry'!R105)),IF(AND(ISNUMBER('Council Entry'!R$8),ISNUMBER('Council Entry'!R$9)),MAX(MIN('Council Entry'!R105,'Council Entry'!R$9),'Council Entry'!R$8),'Council Entry'!R105))))-'Council Entry'!R$5)/('Council Entry'!R$6-'Council Entry'!R$5)),1))),"No data"))</f>
        <v/>
      </c>
      <c r="S105" s="13">
        <f>IF('Council Entry'!S105="","",IFERROR(MAX(0,MIN(10,ROUND(IF('Council Entry'!S$7="Decrease Risk",10-10*((IF('Council Entry'!S$4="Logarithm",LN(0.001+IF(AND(ISNUMBER('Council Entry'!S$8),ISNUMBER('Council Entry'!S$9)),MAX(MIN('Council Entry'!S105,'Council Entry'!S$9),'Council Entry'!S$8),'Council Entry'!S105)),IF('Council Entry'!S$4="Exponential",EXP(IF(AND(ISNUMBER('Council Entry'!S$8),ISNUMBER('Council Entry'!S$9)),MAX(MIN('Council Entry'!S105,'Council Entry'!S$9),'Council Entry'!S$8),'Council Entry'!S105)),IF(AND(ISNUMBER('Council Entry'!S$8),ISNUMBER('Council Entry'!S$9)),MAX(MIN('Council Entry'!S105,'Council Entry'!S$9),'Council Entry'!S$8),'Council Entry'!S105))))-'Council Entry'!S$5)/('Council Entry'!S$6-'Council Entry'!S$5),10*((IF('Council Entry'!S$4="Logarithm",LN(0.001+IF(AND(ISNUMBER('Council Entry'!S$8),ISNUMBER('Council Entry'!S$9)),MAX(MIN('Council Entry'!S105,'Council Entry'!S$9),'Council Entry'!S$8),'Council Entry'!S105)),IF('Council Entry'!S$4="Exponential",EXP(IF(AND(ISNUMBER('Council Entry'!S$8),ISNUMBER('Council Entry'!S$9)),MAX(MIN('Council Entry'!S105,'Council Entry'!S$9),'Council Entry'!S$8),'Council Entry'!S105)),IF(AND(ISNUMBER('Council Entry'!S$8),ISNUMBER('Council Entry'!S$9)),MAX(MIN('Council Entry'!S105,'Council Entry'!S$9),'Council Entry'!S$8),'Council Entry'!S105))))-'Council Entry'!S$5)/('Council Entry'!S$6-'Council Entry'!S$5)),1))),"No data"))</f>
        <v/>
      </c>
      <c r="T105" s="13">
        <f>IF('Council Entry'!T105="","",IFERROR(MAX(0,MIN(10,ROUND(IF('Council Entry'!T$7="Decrease Risk",10-10*((IF('Council Entry'!T$4="Logarithm",LN(0.001+IF(AND(ISNUMBER('Council Entry'!T$8),ISNUMBER('Council Entry'!T$9)),MAX(MIN('Council Entry'!T105,'Council Entry'!T$9),'Council Entry'!T$8),'Council Entry'!T105)),IF('Council Entry'!T$4="Exponential",EXP(IF(AND(ISNUMBER('Council Entry'!T$8),ISNUMBER('Council Entry'!T$9)),MAX(MIN('Council Entry'!T105,'Council Entry'!T$9),'Council Entry'!T$8),'Council Entry'!T105)),IF(AND(ISNUMBER('Council Entry'!T$8),ISNUMBER('Council Entry'!T$9)),MAX(MIN('Council Entry'!T105,'Council Entry'!T$9),'Council Entry'!T$8),'Council Entry'!T105))))-'Council Entry'!T$5)/('Council Entry'!T$6-'Council Entry'!T$5),10*((IF('Council Entry'!T$4="Logarithm",LN(0.001+IF(AND(ISNUMBER('Council Entry'!T$8),ISNUMBER('Council Entry'!T$9)),MAX(MIN('Council Entry'!T105,'Council Entry'!T$9),'Council Entry'!T$8),'Council Entry'!T105)),IF('Council Entry'!T$4="Exponential",EXP(IF(AND(ISNUMBER('Council Entry'!T$8),ISNUMBER('Council Entry'!T$9)),MAX(MIN('Council Entry'!T105,'Council Entry'!T$9),'Council Entry'!T$8),'Council Entry'!T105)),IF(AND(ISNUMBER('Council Entry'!T$8),ISNUMBER('Council Entry'!T$9)),MAX(MIN('Council Entry'!T105,'Council Entry'!T$9),'Council Entry'!T$8),'Council Entry'!T105))))-'Council Entry'!T$5)/('Council Entry'!T$6-'Council Entry'!T$5)),1))),"No data"))</f>
        <v/>
      </c>
      <c r="U105" s="13">
        <f>IF('Council Entry'!U105="","",IFERROR(MAX(0,MIN(10,ROUND(IF('Council Entry'!U$7="Decrease Risk",10-10*((IF('Council Entry'!U$4="Logarithm",LN(0.001+IF(AND(ISNUMBER('Council Entry'!U$8),ISNUMBER('Council Entry'!U$9)),MAX(MIN('Council Entry'!U105,'Council Entry'!U$9),'Council Entry'!U$8),'Council Entry'!U105)),IF('Council Entry'!U$4="Exponential",EXP(IF(AND(ISNUMBER('Council Entry'!U$8),ISNUMBER('Council Entry'!U$9)),MAX(MIN('Council Entry'!U105,'Council Entry'!U$9),'Council Entry'!U$8),'Council Entry'!U105)),IF(AND(ISNUMBER('Council Entry'!U$8),ISNUMBER('Council Entry'!U$9)),MAX(MIN('Council Entry'!U105,'Council Entry'!U$9),'Council Entry'!U$8),'Council Entry'!U105))))-'Council Entry'!U$5)/('Council Entry'!U$6-'Council Entry'!U$5),10*((IF('Council Entry'!U$4="Logarithm",LN(0.001+IF(AND(ISNUMBER('Council Entry'!U$8),ISNUMBER('Council Entry'!U$9)),MAX(MIN('Council Entry'!U105,'Council Entry'!U$9),'Council Entry'!U$8),'Council Entry'!U105)),IF('Council Entry'!U$4="Exponential",EXP(IF(AND(ISNUMBER('Council Entry'!U$8),ISNUMBER('Council Entry'!U$9)),MAX(MIN('Council Entry'!U105,'Council Entry'!U$9),'Council Entry'!U$8),'Council Entry'!U105)),IF(AND(ISNUMBER('Council Entry'!U$8),ISNUMBER('Council Entry'!U$9)),MAX(MIN('Council Entry'!U105,'Council Entry'!U$9),'Council Entry'!U$8),'Council Entry'!U105))))-'Council Entry'!U$5)/('Council Entry'!U$6-'Council Entry'!U$5)),1))),"No data"))</f>
        <v/>
      </c>
      <c r="V105" s="13">
        <f>IF('Council Entry'!V105="","",IFERROR(MAX(0,MIN(10,ROUND(IF('Council Entry'!V$7="Decrease Risk",10-10*((IF('Council Entry'!V$4="Logarithm",LN(0.001+IF(AND(ISNUMBER('Council Entry'!V$8),ISNUMBER('Council Entry'!V$9)),MAX(MIN('Council Entry'!V105,'Council Entry'!V$9),'Council Entry'!V$8),'Council Entry'!V105)),IF('Council Entry'!V$4="Exponential",EXP(IF(AND(ISNUMBER('Council Entry'!V$8),ISNUMBER('Council Entry'!V$9)),MAX(MIN('Council Entry'!V105,'Council Entry'!V$9),'Council Entry'!V$8),'Council Entry'!V105)),IF(AND(ISNUMBER('Council Entry'!V$8),ISNUMBER('Council Entry'!V$9)),MAX(MIN('Council Entry'!V105,'Council Entry'!V$9),'Council Entry'!V$8),'Council Entry'!V105))))-'Council Entry'!V$5)/('Council Entry'!V$6-'Council Entry'!V$5),10*((IF('Council Entry'!V$4="Logarithm",LN(0.001+IF(AND(ISNUMBER('Council Entry'!V$8),ISNUMBER('Council Entry'!V$9)),MAX(MIN('Council Entry'!V105,'Council Entry'!V$9),'Council Entry'!V$8),'Council Entry'!V105)),IF('Council Entry'!V$4="Exponential",EXP(IF(AND(ISNUMBER('Council Entry'!V$8),ISNUMBER('Council Entry'!V$9)),MAX(MIN('Council Entry'!V105,'Council Entry'!V$9),'Council Entry'!V$8),'Council Entry'!V105)),IF(AND(ISNUMBER('Council Entry'!V$8),ISNUMBER('Council Entry'!V$9)),MAX(MIN('Council Entry'!V105,'Council Entry'!V$9),'Council Entry'!V$8),'Council Entry'!V105))))-'Council Entry'!V$5)/('Council Entry'!V$6-'Council Entry'!V$5)),1))),"No data"))</f>
        <v/>
      </c>
      <c r="W105" s="13">
        <f>IF('Council Entry'!W105="","",IFERROR(MAX(0,MIN(10,ROUND(IF('Council Entry'!W$7="Decrease Risk",10-10*((IF('Council Entry'!W$4="Logarithm",LN(0.001+IF(AND(ISNUMBER('Council Entry'!W$8),ISNUMBER('Council Entry'!W$9)),MAX(MIN('Council Entry'!W105,'Council Entry'!W$9),'Council Entry'!W$8),'Council Entry'!W105)),IF('Council Entry'!W$4="Exponential",EXP(IF(AND(ISNUMBER('Council Entry'!W$8),ISNUMBER('Council Entry'!W$9)),MAX(MIN('Council Entry'!W105,'Council Entry'!W$9),'Council Entry'!W$8),'Council Entry'!W105)),IF(AND(ISNUMBER('Council Entry'!W$8),ISNUMBER('Council Entry'!W$9)),MAX(MIN('Council Entry'!W105,'Council Entry'!W$9),'Council Entry'!W$8),'Council Entry'!W105))))-'Council Entry'!W$5)/('Council Entry'!W$6-'Council Entry'!W$5),10*((IF('Council Entry'!W$4="Logarithm",LN(0.001+IF(AND(ISNUMBER('Council Entry'!W$8),ISNUMBER('Council Entry'!W$9)),MAX(MIN('Council Entry'!W105,'Council Entry'!W$9),'Council Entry'!W$8),'Council Entry'!W105)),IF('Council Entry'!W$4="Exponential",EXP(IF(AND(ISNUMBER('Council Entry'!W$8),ISNUMBER('Council Entry'!W$9)),MAX(MIN('Council Entry'!W105,'Council Entry'!W$9),'Council Entry'!W$8),'Council Entry'!W105)),IF(AND(ISNUMBER('Council Entry'!W$8),ISNUMBER('Council Entry'!W$9)),MAX(MIN('Council Entry'!W105,'Council Entry'!W$9),'Council Entry'!W$8),'Council Entry'!W105))))-'Council Entry'!W$5)/('Council Entry'!W$6-'Council Entry'!W$5)),1))),"No data"))</f>
        <v/>
      </c>
      <c r="X105" s="13">
        <f>IF('Council Entry'!X105="","",IFERROR(MAX(0,MIN(10,ROUND(IF('Council Entry'!X$7="Decrease Risk",10-10*((IF('Council Entry'!X$4="Logarithm",LN(0.001+IF(AND(ISNUMBER('Council Entry'!X$8),ISNUMBER('Council Entry'!X$9)),MAX(MIN('Council Entry'!X105,'Council Entry'!X$9),'Council Entry'!X$8),'Council Entry'!X105)),IF('Council Entry'!X$4="Exponential",EXP(IF(AND(ISNUMBER('Council Entry'!X$8),ISNUMBER('Council Entry'!X$9)),MAX(MIN('Council Entry'!X105,'Council Entry'!X$9),'Council Entry'!X$8),'Council Entry'!X105)),IF(AND(ISNUMBER('Council Entry'!X$8),ISNUMBER('Council Entry'!X$9)),MAX(MIN('Council Entry'!X105,'Council Entry'!X$9),'Council Entry'!X$8),'Council Entry'!X105))))-'Council Entry'!X$5)/('Council Entry'!X$6-'Council Entry'!X$5),10*((IF('Council Entry'!X$4="Logarithm",LN(0.001+IF(AND(ISNUMBER('Council Entry'!X$8),ISNUMBER('Council Entry'!X$9)),MAX(MIN('Council Entry'!X105,'Council Entry'!X$9),'Council Entry'!X$8),'Council Entry'!X105)),IF('Council Entry'!X$4="Exponential",EXP(IF(AND(ISNUMBER('Council Entry'!X$8),ISNUMBER('Council Entry'!X$9)),MAX(MIN('Council Entry'!X105,'Council Entry'!X$9),'Council Entry'!X$8),'Council Entry'!X105)),IF(AND(ISNUMBER('Council Entry'!X$8),ISNUMBER('Council Entry'!X$9)),MAX(MIN('Council Entry'!X105,'Council Entry'!X$9),'Council Entry'!X$8),'Council Entry'!X105))))-'Council Entry'!X$5)/('Council Entry'!X$6-'Council Entry'!X$5)),1))),"No data"))</f>
        <v/>
      </c>
      <c r="Y105" s="13">
        <f>IF('Council Entry'!Y105="","",IFERROR(MAX(0,MIN(10,ROUND(IF('Council Entry'!Y$7="Decrease Risk",10-10*((IF('Council Entry'!Y$4="Logarithm",LN(0.001+IF(AND(ISNUMBER('Council Entry'!Y$8),ISNUMBER('Council Entry'!Y$9)),MAX(MIN('Council Entry'!Y105,'Council Entry'!Y$9),'Council Entry'!Y$8),'Council Entry'!Y105)),IF('Council Entry'!Y$4="Exponential",EXP(IF(AND(ISNUMBER('Council Entry'!Y$8),ISNUMBER('Council Entry'!Y$9)),MAX(MIN('Council Entry'!Y105,'Council Entry'!Y$9),'Council Entry'!Y$8),'Council Entry'!Y105)),IF(AND(ISNUMBER('Council Entry'!Y$8),ISNUMBER('Council Entry'!Y$9)),MAX(MIN('Council Entry'!Y105,'Council Entry'!Y$9),'Council Entry'!Y$8),'Council Entry'!Y105))))-'Council Entry'!Y$5)/('Council Entry'!Y$6-'Council Entry'!Y$5),10*((IF('Council Entry'!Y$4="Logarithm",LN(0.001+IF(AND(ISNUMBER('Council Entry'!Y$8),ISNUMBER('Council Entry'!Y$9)),MAX(MIN('Council Entry'!Y105,'Council Entry'!Y$9),'Council Entry'!Y$8),'Council Entry'!Y105)),IF('Council Entry'!Y$4="Exponential",EXP(IF(AND(ISNUMBER('Council Entry'!Y$8),ISNUMBER('Council Entry'!Y$9)),MAX(MIN('Council Entry'!Y105,'Council Entry'!Y$9),'Council Entry'!Y$8),'Council Entry'!Y105)),IF(AND(ISNUMBER('Council Entry'!Y$8),ISNUMBER('Council Entry'!Y$9)),MAX(MIN('Council Entry'!Y105,'Council Entry'!Y$9),'Council Entry'!Y$8),'Council Entry'!Y105))))-'Council Entry'!Y$5)/('Council Entry'!Y$6-'Council Entry'!Y$5)),1))),"No data"))</f>
        <v/>
      </c>
      <c r="Z105" s="13">
        <f>IF('Council Entry'!Z105="","",IFERROR(MAX(0,MIN(10,ROUND(IF('Council Entry'!Z$7="Decrease Risk",10-10*((IF('Council Entry'!Z$4="Logarithm",LN(0.001+IF(AND(ISNUMBER('Council Entry'!Z$8),ISNUMBER('Council Entry'!Z$9)),MAX(MIN('Council Entry'!Z105,'Council Entry'!Z$9),'Council Entry'!Z$8),'Council Entry'!Z105)),IF('Council Entry'!Z$4="Exponential",EXP(IF(AND(ISNUMBER('Council Entry'!Z$8),ISNUMBER('Council Entry'!Z$9)),MAX(MIN('Council Entry'!Z105,'Council Entry'!Z$9),'Council Entry'!Z$8),'Council Entry'!Z105)),IF(AND(ISNUMBER('Council Entry'!Z$8),ISNUMBER('Council Entry'!Z$9)),MAX(MIN('Council Entry'!Z105,'Council Entry'!Z$9),'Council Entry'!Z$8),'Council Entry'!Z105))))-'Council Entry'!Z$5)/('Council Entry'!Z$6-'Council Entry'!Z$5),10*((IF('Council Entry'!Z$4="Logarithm",LN(0.001+IF(AND(ISNUMBER('Council Entry'!Z$8),ISNUMBER('Council Entry'!Z$9)),MAX(MIN('Council Entry'!Z105,'Council Entry'!Z$9),'Council Entry'!Z$8),'Council Entry'!Z105)),IF('Council Entry'!Z$4="Exponential",EXP(IF(AND(ISNUMBER('Council Entry'!Z$8),ISNUMBER('Council Entry'!Z$9)),MAX(MIN('Council Entry'!Z105,'Council Entry'!Z$9),'Council Entry'!Z$8),'Council Entry'!Z105)),IF(AND(ISNUMBER('Council Entry'!Z$8),ISNUMBER('Council Entry'!Z$9)),MAX(MIN('Council Entry'!Z105,'Council Entry'!Z$9),'Council Entry'!Z$8),'Council Entry'!Z105))))-'Council Entry'!Z$5)/('Council Entry'!Z$6-'Council Entry'!Z$5)),1))),"No data"))</f>
        <v/>
      </c>
      <c r="AA105" s="13">
        <f>IF('Council Entry'!AA105="","",IFERROR(MAX(0,MIN(10,ROUND(IF('Council Entry'!AA$7="Decrease Risk",10-10*((IF('Council Entry'!AA$4="Logarithm",LN(0.001+IF(AND(ISNUMBER('Council Entry'!AA$8),ISNUMBER('Council Entry'!AA$9)),MAX(MIN('Council Entry'!AA105,'Council Entry'!AA$9),'Council Entry'!AA$8),'Council Entry'!AA105)),IF('Council Entry'!AA$4="Exponential",EXP(IF(AND(ISNUMBER('Council Entry'!AA$8),ISNUMBER('Council Entry'!AA$9)),MAX(MIN('Council Entry'!AA105,'Council Entry'!AA$9),'Council Entry'!AA$8),'Council Entry'!AA105)),IF(AND(ISNUMBER('Council Entry'!AA$8),ISNUMBER('Council Entry'!AA$9)),MAX(MIN('Council Entry'!AA105,'Council Entry'!AA$9),'Council Entry'!AA$8),'Council Entry'!AA105))))-'Council Entry'!AA$5)/('Council Entry'!AA$6-'Council Entry'!AA$5),10*((IF('Council Entry'!AA$4="Logarithm",LN(0.001+IF(AND(ISNUMBER('Council Entry'!AA$8),ISNUMBER('Council Entry'!AA$9)),MAX(MIN('Council Entry'!AA105,'Council Entry'!AA$9),'Council Entry'!AA$8),'Council Entry'!AA105)),IF('Council Entry'!AA$4="Exponential",EXP(IF(AND(ISNUMBER('Council Entry'!AA$8),ISNUMBER('Council Entry'!AA$9)),MAX(MIN('Council Entry'!AA105,'Council Entry'!AA$9),'Council Entry'!AA$8),'Council Entry'!AA105)),IF(AND(ISNUMBER('Council Entry'!AA$8),ISNUMBER('Council Entry'!AA$9)),MAX(MIN('Council Entry'!AA105,'Council Entry'!AA$9),'Council Entry'!AA$8),'Council Entry'!AA105))))-'Council Entry'!AA$5)/('Council Entry'!AA$6-'Council Entry'!AA$5)),1))),"No data"))</f>
        <v/>
      </c>
      <c r="AB105" s="13">
        <f>IF('Council Entry'!AB105="","",IFERROR(MAX(0,MIN(10,ROUND(IF('Council Entry'!AB$7="Decrease Risk",10-10*((IF('Council Entry'!AB$4="Logarithm",LN(0.001+IF(AND(ISNUMBER('Council Entry'!AB$8),ISNUMBER('Council Entry'!AB$9)),MAX(MIN('Council Entry'!AB105,'Council Entry'!AB$9),'Council Entry'!AB$8),'Council Entry'!AB105)),IF('Council Entry'!AB$4="Exponential",EXP(IF(AND(ISNUMBER('Council Entry'!AB$8),ISNUMBER('Council Entry'!AB$9)),MAX(MIN('Council Entry'!AB105,'Council Entry'!AB$9),'Council Entry'!AB$8),'Council Entry'!AB105)),IF(AND(ISNUMBER('Council Entry'!AB$8),ISNUMBER('Council Entry'!AB$9)),MAX(MIN('Council Entry'!AB105,'Council Entry'!AB$9),'Council Entry'!AB$8),'Council Entry'!AB105))))-'Council Entry'!AB$5)/('Council Entry'!AB$6-'Council Entry'!AB$5),10*((IF('Council Entry'!AB$4="Logarithm",LN(0.001+IF(AND(ISNUMBER('Council Entry'!AB$8),ISNUMBER('Council Entry'!AB$9)),MAX(MIN('Council Entry'!AB105,'Council Entry'!AB$9),'Council Entry'!AB$8),'Council Entry'!AB105)),IF('Council Entry'!AB$4="Exponential",EXP(IF(AND(ISNUMBER('Council Entry'!AB$8),ISNUMBER('Council Entry'!AB$9)),MAX(MIN('Council Entry'!AB105,'Council Entry'!AB$9),'Council Entry'!AB$8),'Council Entry'!AB105)),IF(AND(ISNUMBER('Council Entry'!AB$8),ISNUMBER('Council Entry'!AB$9)),MAX(MIN('Council Entry'!AB105,'Council Entry'!AB$9),'Council Entry'!AB$8),'Council Entry'!AB105))))-'Council Entry'!AB$5)/('Council Entry'!AB$6-'Council Entry'!AB$5)),1))),"No data"))</f>
        <v/>
      </c>
      <c r="AC105" s="13">
        <f>IF('Council Entry'!AC105="","",IFERROR(MAX(0,MIN(10,ROUND(IF('Council Entry'!AC$7="Decrease Risk",10-10*((IF('Council Entry'!AC$4="Logarithm",LN(0.001+IF(AND(ISNUMBER('Council Entry'!AC$8),ISNUMBER('Council Entry'!AC$9)),MAX(MIN('Council Entry'!AC105,'Council Entry'!AC$9),'Council Entry'!AC$8),'Council Entry'!AC105)),IF('Council Entry'!AC$4="Exponential",EXP(IF(AND(ISNUMBER('Council Entry'!AC$8),ISNUMBER('Council Entry'!AC$9)),MAX(MIN('Council Entry'!AC105,'Council Entry'!AC$9),'Council Entry'!AC$8),'Council Entry'!AC105)),IF(AND(ISNUMBER('Council Entry'!AC$8),ISNUMBER('Council Entry'!AC$9)),MAX(MIN('Council Entry'!AC105,'Council Entry'!AC$9),'Council Entry'!AC$8),'Council Entry'!AC105))))-'Council Entry'!AC$5)/('Council Entry'!AC$6-'Council Entry'!AC$5),10*((IF('Council Entry'!AC$4="Logarithm",LN(0.001+IF(AND(ISNUMBER('Council Entry'!AC$8),ISNUMBER('Council Entry'!AC$9)),MAX(MIN('Council Entry'!AC105,'Council Entry'!AC$9),'Council Entry'!AC$8),'Council Entry'!AC105)),IF('Council Entry'!AC$4="Exponential",EXP(IF(AND(ISNUMBER('Council Entry'!AC$8),ISNUMBER('Council Entry'!AC$9)),MAX(MIN('Council Entry'!AC105,'Council Entry'!AC$9),'Council Entry'!AC$8),'Council Entry'!AC105)),IF(AND(ISNUMBER('Council Entry'!AC$8),ISNUMBER('Council Entry'!AC$9)),MAX(MIN('Council Entry'!AC105,'Council Entry'!AC$9),'Council Entry'!AC$8),'Council Entry'!AC105))))-'Council Entry'!AC$5)/('Council Entry'!AC$6-'Council Entry'!AC$5)),1))),"No data"))</f>
        <v/>
      </c>
      <c r="AD105" s="13">
        <f>IF('Council Entry'!AD105="","",IFERROR(MAX(0,MIN(10,ROUND(IF('Council Entry'!AD$7="Decrease Risk",10-10*((IF('Council Entry'!AD$4="Logarithm",LN(0.001+IF(AND(ISNUMBER('Council Entry'!AD$8),ISNUMBER('Council Entry'!AD$9)),MAX(MIN('Council Entry'!AD105,'Council Entry'!AD$9),'Council Entry'!AD$8),'Council Entry'!AD105)),IF('Council Entry'!AD$4="Exponential",EXP(IF(AND(ISNUMBER('Council Entry'!AD$8),ISNUMBER('Council Entry'!AD$9)),MAX(MIN('Council Entry'!AD105,'Council Entry'!AD$9),'Council Entry'!AD$8),'Council Entry'!AD105)),IF(AND(ISNUMBER('Council Entry'!AD$8),ISNUMBER('Council Entry'!AD$9)),MAX(MIN('Council Entry'!AD105,'Council Entry'!AD$9),'Council Entry'!AD$8),'Council Entry'!AD105))))-'Council Entry'!AD$5)/('Council Entry'!AD$6-'Council Entry'!AD$5),10*((IF('Council Entry'!AD$4="Logarithm",LN(0.001+IF(AND(ISNUMBER('Council Entry'!AD$8),ISNUMBER('Council Entry'!AD$9)),MAX(MIN('Council Entry'!AD105,'Council Entry'!AD$9),'Council Entry'!AD$8),'Council Entry'!AD105)),IF('Council Entry'!AD$4="Exponential",EXP(IF(AND(ISNUMBER('Council Entry'!AD$8),ISNUMBER('Council Entry'!AD$9)),MAX(MIN('Council Entry'!AD105,'Council Entry'!AD$9),'Council Entry'!AD$8),'Council Entry'!AD105)),IF(AND(ISNUMBER('Council Entry'!AD$8),ISNUMBER('Council Entry'!AD$9)),MAX(MIN('Council Entry'!AD105,'Council Entry'!AD$9),'Council Entry'!AD$8),'Council Entry'!AD105))))-'Council Entry'!AD$5)/('Council Entry'!AD$6-'Council Entry'!AD$5)),1))),"No data"))</f>
        <v/>
      </c>
      <c r="AE105" s="13">
        <f>IF('Council Entry'!AE105="","",IFERROR(MAX(0,MIN(10,ROUND(IF('Council Entry'!AE$7="Decrease Risk",10-10*((IF('Council Entry'!AE$4="Logarithm",LN(0.001+IF(AND(ISNUMBER('Council Entry'!AE$8),ISNUMBER('Council Entry'!AE$9)),MAX(MIN('Council Entry'!AE105,'Council Entry'!AE$9),'Council Entry'!AE$8),'Council Entry'!AE105)),IF('Council Entry'!AE$4="Exponential",EXP(IF(AND(ISNUMBER('Council Entry'!AE$8),ISNUMBER('Council Entry'!AE$9)),MAX(MIN('Council Entry'!AE105,'Council Entry'!AE$9),'Council Entry'!AE$8),'Council Entry'!AE105)),IF(AND(ISNUMBER('Council Entry'!AE$8),ISNUMBER('Council Entry'!AE$9)),MAX(MIN('Council Entry'!AE105,'Council Entry'!AE$9),'Council Entry'!AE$8),'Council Entry'!AE105))))-'Council Entry'!AE$5)/('Council Entry'!AE$6-'Council Entry'!AE$5),10*((IF('Council Entry'!AE$4="Logarithm",LN(0.001+IF(AND(ISNUMBER('Council Entry'!AE$8),ISNUMBER('Council Entry'!AE$9)),MAX(MIN('Council Entry'!AE105,'Council Entry'!AE$9),'Council Entry'!AE$8),'Council Entry'!AE105)),IF('Council Entry'!AE$4="Exponential",EXP(IF(AND(ISNUMBER('Council Entry'!AE$8),ISNUMBER('Council Entry'!AE$9)),MAX(MIN('Council Entry'!AE105,'Council Entry'!AE$9),'Council Entry'!AE$8),'Council Entry'!AE105)),IF(AND(ISNUMBER('Council Entry'!AE$8),ISNUMBER('Council Entry'!AE$9)),MAX(MIN('Council Entry'!AE105,'Council Entry'!AE$9),'Council Entry'!AE$8),'Council Entry'!AE105))))-'Council Entry'!AE$5)/('Council Entry'!AE$6-'Council Entry'!AE$5)),1))),"No data"))</f>
        <v/>
      </c>
      <c r="AF105" s="13">
        <f>IF('Council Entry'!AF105="","",IFERROR(MAX(0,MIN(10,ROUND(IF('Council Entry'!AF$7="Decrease Risk",10-10*((IF('Council Entry'!AF$4="Logarithm",LN(0.001+IF(AND(ISNUMBER('Council Entry'!AF$8),ISNUMBER('Council Entry'!AF$9)),MAX(MIN('Council Entry'!AF105,'Council Entry'!AF$9),'Council Entry'!AF$8),'Council Entry'!AF105)),IF('Council Entry'!AF$4="Exponential",EXP(IF(AND(ISNUMBER('Council Entry'!AF$8),ISNUMBER('Council Entry'!AF$9)),MAX(MIN('Council Entry'!AF105,'Council Entry'!AF$9),'Council Entry'!AF$8),'Council Entry'!AF105)),IF(AND(ISNUMBER('Council Entry'!AF$8),ISNUMBER('Council Entry'!AF$9)),MAX(MIN('Council Entry'!AF105,'Council Entry'!AF$9),'Council Entry'!AF$8),'Council Entry'!AF105))))-'Council Entry'!AF$5)/('Council Entry'!AF$6-'Council Entry'!AF$5),10*((IF('Council Entry'!AF$4="Logarithm",LN(0.001+IF(AND(ISNUMBER('Council Entry'!AF$8),ISNUMBER('Council Entry'!AF$9)),MAX(MIN('Council Entry'!AF105,'Council Entry'!AF$9),'Council Entry'!AF$8),'Council Entry'!AF105)),IF('Council Entry'!AF$4="Exponential",EXP(IF(AND(ISNUMBER('Council Entry'!AF$8),ISNUMBER('Council Entry'!AF$9)),MAX(MIN('Council Entry'!AF105,'Council Entry'!AF$9),'Council Entry'!AF$8),'Council Entry'!AF105)),IF(AND(ISNUMBER('Council Entry'!AF$8),ISNUMBER('Council Entry'!AF$9)),MAX(MIN('Council Entry'!AF105,'Council Entry'!AF$9),'Council Entry'!AF$8),'Council Entry'!AF105))))-'Council Entry'!AF$5)/('Council Entry'!AF$6-'Council Entry'!AF$5)),1))),"No data"))</f>
        <v/>
      </c>
      <c r="AG105" s="13">
        <f>IF('Council Entry'!AG105="","",IFERROR(MAX(0,MIN(10,ROUND(IF('Council Entry'!AG$7="Decrease Risk",10-10*((IF('Council Entry'!AG$4="Logarithm",LN(0.001+IF(AND(ISNUMBER('Council Entry'!AG$8),ISNUMBER('Council Entry'!AG$9)),MAX(MIN('Council Entry'!AG105,'Council Entry'!AG$9),'Council Entry'!AG$8),'Council Entry'!AG105)),IF('Council Entry'!AG$4="Exponential",EXP(IF(AND(ISNUMBER('Council Entry'!AG$8),ISNUMBER('Council Entry'!AG$9)),MAX(MIN('Council Entry'!AG105,'Council Entry'!AG$9),'Council Entry'!AG$8),'Council Entry'!AG105)),IF(AND(ISNUMBER('Council Entry'!AG$8),ISNUMBER('Council Entry'!AG$9)),MAX(MIN('Council Entry'!AG105,'Council Entry'!AG$9),'Council Entry'!AG$8),'Council Entry'!AG105))))-'Council Entry'!AG$5)/('Council Entry'!AG$6-'Council Entry'!AG$5),10*((IF('Council Entry'!AG$4="Logarithm",LN(0.001+IF(AND(ISNUMBER('Council Entry'!AG$8),ISNUMBER('Council Entry'!AG$9)),MAX(MIN('Council Entry'!AG105,'Council Entry'!AG$9),'Council Entry'!AG$8),'Council Entry'!AG105)),IF('Council Entry'!AG$4="Exponential",EXP(IF(AND(ISNUMBER('Council Entry'!AG$8),ISNUMBER('Council Entry'!AG$9)),MAX(MIN('Council Entry'!AG105,'Council Entry'!AG$9),'Council Entry'!AG$8),'Council Entry'!AG105)),IF(AND(ISNUMBER('Council Entry'!AG$8),ISNUMBER('Council Entry'!AG$9)),MAX(MIN('Council Entry'!AG105,'Council Entry'!AG$9),'Council Entry'!AG$8),'Council Entry'!AG105))))-'Council Entry'!AG$5)/('Council Entry'!AG$6-'Council Entry'!AG$5)),1))),"No data"))</f>
        <v/>
      </c>
      <c r="AH105" s="13">
        <f>IF('Council Entry'!AH105="","",IFERROR(MAX(0,MIN(10,ROUND(IF('Council Entry'!AH$7="Decrease Risk",10-10*((IF('Council Entry'!AH$4="Logarithm",LN(0.001+IF(AND(ISNUMBER('Council Entry'!AH$8),ISNUMBER('Council Entry'!AH$9)),MAX(MIN('Council Entry'!AH105,'Council Entry'!AH$9),'Council Entry'!AH$8),'Council Entry'!AH105)),IF('Council Entry'!AH$4="Exponential",EXP(IF(AND(ISNUMBER('Council Entry'!AH$8),ISNUMBER('Council Entry'!AH$9)),MAX(MIN('Council Entry'!AH105,'Council Entry'!AH$9),'Council Entry'!AH$8),'Council Entry'!AH105)),IF(AND(ISNUMBER('Council Entry'!AH$8),ISNUMBER('Council Entry'!AH$9)),MAX(MIN('Council Entry'!AH105,'Council Entry'!AH$9),'Council Entry'!AH$8),'Council Entry'!AH105))))-'Council Entry'!AH$5)/('Council Entry'!AH$6-'Council Entry'!AH$5),10*((IF('Council Entry'!AH$4="Logarithm",LN(0.001+IF(AND(ISNUMBER('Council Entry'!AH$8),ISNUMBER('Council Entry'!AH$9)),MAX(MIN('Council Entry'!AH105,'Council Entry'!AH$9),'Council Entry'!AH$8),'Council Entry'!AH105)),IF('Council Entry'!AH$4="Exponential",EXP(IF(AND(ISNUMBER('Council Entry'!AH$8),ISNUMBER('Council Entry'!AH$9)),MAX(MIN('Council Entry'!AH105,'Council Entry'!AH$9),'Council Entry'!AH$8),'Council Entry'!AH105)),IF(AND(ISNUMBER('Council Entry'!AH$8),ISNUMBER('Council Entry'!AH$9)),MAX(MIN('Council Entry'!AH105,'Council Entry'!AH$9),'Council Entry'!AH$8),'Council Entry'!AH105))))-'Council Entry'!AH$5)/('Council Entry'!AH$6-'Council Entry'!AH$5)),1))),"No data"))</f>
        <v/>
      </c>
      <c r="AI105" s="13">
        <f>IF('Council Entry'!AI105="","",IFERROR(MAX(0,MIN(10,ROUND(IF('Council Entry'!AI$7="Decrease Risk",10-10*((IF('Council Entry'!AI$4="Logarithm",LN(0.001+IF(AND(ISNUMBER('Council Entry'!AI$8),ISNUMBER('Council Entry'!AI$9)),MAX(MIN('Council Entry'!AI105,'Council Entry'!AI$9),'Council Entry'!AI$8),'Council Entry'!AI105)),IF('Council Entry'!AI$4="Exponential",EXP(IF(AND(ISNUMBER('Council Entry'!AI$8),ISNUMBER('Council Entry'!AI$9)),MAX(MIN('Council Entry'!AI105,'Council Entry'!AI$9),'Council Entry'!AI$8),'Council Entry'!AI105)),IF(AND(ISNUMBER('Council Entry'!AI$8),ISNUMBER('Council Entry'!AI$9)),MAX(MIN('Council Entry'!AI105,'Council Entry'!AI$9),'Council Entry'!AI$8),'Council Entry'!AI105))))-'Council Entry'!AI$5)/('Council Entry'!AI$6-'Council Entry'!AI$5),10*((IF('Council Entry'!AI$4="Logarithm",LN(0.001+IF(AND(ISNUMBER('Council Entry'!AI$8),ISNUMBER('Council Entry'!AI$9)),MAX(MIN('Council Entry'!AI105,'Council Entry'!AI$9),'Council Entry'!AI$8),'Council Entry'!AI105)),IF('Council Entry'!AI$4="Exponential",EXP(IF(AND(ISNUMBER('Council Entry'!AI$8),ISNUMBER('Council Entry'!AI$9)),MAX(MIN('Council Entry'!AI105,'Council Entry'!AI$9),'Council Entry'!AI$8),'Council Entry'!AI105)),IF(AND(ISNUMBER('Council Entry'!AI$8),ISNUMBER('Council Entry'!AI$9)),MAX(MIN('Council Entry'!AI105,'Council Entry'!AI$9),'Council Entry'!AI$8),'Council Entry'!AI105))))-'Council Entry'!AI$5)/('Council Entry'!AI$6-'Council Entry'!AI$5)),1))),"No data"))</f>
        <v/>
      </c>
      <c r="AJ105" s="13">
        <f>IF('Council Entry'!AJ105="","",IFERROR(MAX(0,MIN(10,ROUND(IF('Council Entry'!AJ$7="Decrease Risk",10-10*((IF('Council Entry'!AJ$4="Logarithm",LN(0.001+IF(AND(ISNUMBER('Council Entry'!AJ$8),ISNUMBER('Council Entry'!AJ$9)),MAX(MIN('Council Entry'!AJ105,'Council Entry'!AJ$9),'Council Entry'!AJ$8),'Council Entry'!AJ105)),IF('Council Entry'!AJ$4="Exponential",EXP(IF(AND(ISNUMBER('Council Entry'!AJ$8),ISNUMBER('Council Entry'!AJ$9)),MAX(MIN('Council Entry'!AJ105,'Council Entry'!AJ$9),'Council Entry'!AJ$8),'Council Entry'!AJ105)),IF(AND(ISNUMBER('Council Entry'!AJ$8),ISNUMBER('Council Entry'!AJ$9)),MAX(MIN('Council Entry'!AJ105,'Council Entry'!AJ$9),'Council Entry'!AJ$8),'Council Entry'!AJ105))))-'Council Entry'!AJ$5)/('Council Entry'!AJ$6-'Council Entry'!AJ$5),10*((IF('Council Entry'!AJ$4="Logarithm",LN(0.001+IF(AND(ISNUMBER('Council Entry'!AJ$8),ISNUMBER('Council Entry'!AJ$9)),MAX(MIN('Council Entry'!AJ105,'Council Entry'!AJ$9),'Council Entry'!AJ$8),'Council Entry'!AJ105)),IF('Council Entry'!AJ$4="Exponential",EXP(IF(AND(ISNUMBER('Council Entry'!AJ$8),ISNUMBER('Council Entry'!AJ$9)),MAX(MIN('Council Entry'!AJ105,'Council Entry'!AJ$9),'Council Entry'!AJ$8),'Council Entry'!AJ105)),IF(AND(ISNUMBER('Council Entry'!AJ$8),ISNUMBER('Council Entry'!AJ$9)),MAX(MIN('Council Entry'!AJ105,'Council Entry'!AJ$9),'Council Entry'!AJ$8),'Council Entry'!AJ105))))-'Council Entry'!AJ$5)/('Council Entry'!AJ$6-'Council Entry'!AJ$5)),1))),"No data"))</f>
        <v/>
      </c>
      <c r="AK105" s="13">
        <f>IF('Council Entry'!AK105="","",IFERROR(MAX(0,MIN(10,ROUND(IF('Council Entry'!AK$7="Decrease Risk",10-10*((IF('Council Entry'!AK$4="Logarithm",LN(0.001+IF(AND(ISNUMBER('Council Entry'!AK$8),ISNUMBER('Council Entry'!AK$9)),MAX(MIN('Council Entry'!AK105,'Council Entry'!AK$9),'Council Entry'!AK$8),'Council Entry'!AK105)),IF('Council Entry'!AK$4="Exponential",EXP(IF(AND(ISNUMBER('Council Entry'!AK$8),ISNUMBER('Council Entry'!AK$9)),MAX(MIN('Council Entry'!AK105,'Council Entry'!AK$9),'Council Entry'!AK$8),'Council Entry'!AK105)),IF(AND(ISNUMBER('Council Entry'!AK$8),ISNUMBER('Council Entry'!AK$9)),MAX(MIN('Council Entry'!AK105,'Council Entry'!AK$9),'Council Entry'!AK$8),'Council Entry'!AK105))))-'Council Entry'!AK$5)/('Council Entry'!AK$6-'Council Entry'!AK$5),10*((IF('Council Entry'!AK$4="Logarithm",LN(0.001+IF(AND(ISNUMBER('Council Entry'!AK$8),ISNUMBER('Council Entry'!AK$9)),MAX(MIN('Council Entry'!AK105,'Council Entry'!AK$9),'Council Entry'!AK$8),'Council Entry'!AK105)),IF('Council Entry'!AK$4="Exponential",EXP(IF(AND(ISNUMBER('Council Entry'!AK$8),ISNUMBER('Council Entry'!AK$9)),MAX(MIN('Council Entry'!AK105,'Council Entry'!AK$9),'Council Entry'!AK$8),'Council Entry'!AK105)),IF(AND(ISNUMBER('Council Entry'!AK$8),ISNUMBER('Council Entry'!AK$9)),MAX(MIN('Council Entry'!AK105,'Council Entry'!AK$9),'Council Entry'!AK$8),'Council Entry'!AK105))))-'Council Entry'!AK$5)/('Council Entry'!AK$6-'Council Entry'!AK$5)),1))),"No data"))</f>
        <v/>
      </c>
      <c r="AL105" s="13">
        <f>IF('Council Entry'!AL105="","",IFERROR(MAX(0,MIN(10,ROUND(IF('Council Entry'!AL$7="Decrease Risk",10-10*((IF('Council Entry'!AL$4="Logarithm",LN(0.001+IF(AND(ISNUMBER('Council Entry'!AL$8),ISNUMBER('Council Entry'!AL$9)),MAX(MIN('Council Entry'!AL105,'Council Entry'!AL$9),'Council Entry'!AL$8),'Council Entry'!AL105)),IF('Council Entry'!AL$4="Exponential",EXP(IF(AND(ISNUMBER('Council Entry'!AL$8),ISNUMBER('Council Entry'!AL$9)),MAX(MIN('Council Entry'!AL105,'Council Entry'!AL$9),'Council Entry'!AL$8),'Council Entry'!AL105)),IF(AND(ISNUMBER('Council Entry'!AL$8),ISNUMBER('Council Entry'!AL$9)),MAX(MIN('Council Entry'!AL105,'Council Entry'!AL$9),'Council Entry'!AL$8),'Council Entry'!AL105))))-'Council Entry'!AL$5)/('Council Entry'!AL$6-'Council Entry'!AL$5),10*((IF('Council Entry'!AL$4="Logarithm",LN(0.001+IF(AND(ISNUMBER('Council Entry'!AL$8),ISNUMBER('Council Entry'!AL$9)),MAX(MIN('Council Entry'!AL105,'Council Entry'!AL$9),'Council Entry'!AL$8),'Council Entry'!AL105)),IF('Council Entry'!AL$4="Exponential",EXP(IF(AND(ISNUMBER('Council Entry'!AL$8),ISNUMBER('Council Entry'!AL$9)),MAX(MIN('Council Entry'!AL105,'Council Entry'!AL$9),'Council Entry'!AL$8),'Council Entry'!AL105)),IF(AND(ISNUMBER('Council Entry'!AL$8),ISNUMBER('Council Entry'!AL$9)),MAX(MIN('Council Entry'!AL105,'Council Entry'!AL$9),'Council Entry'!AL$8),'Council Entry'!AL105))))-'Council Entry'!AL$5)/('Council Entry'!AL$6-'Council Entry'!AL$5)),1))),"No data"))</f>
        <v/>
      </c>
      <c r="AM105" s="13">
        <f>IF('Council Entry'!AM105="","",IFERROR(MAX(0,MIN(10,ROUND(IF('Council Entry'!AM$7="Decrease Risk",10-10*((IF('Council Entry'!AM$4="Logarithm",LN(0.001+IF(AND(ISNUMBER('Council Entry'!AM$8),ISNUMBER('Council Entry'!AM$9)),MAX(MIN('Council Entry'!AM105,'Council Entry'!AM$9),'Council Entry'!AM$8),'Council Entry'!AM105)),IF('Council Entry'!AM$4="Exponential",EXP(IF(AND(ISNUMBER('Council Entry'!AM$8),ISNUMBER('Council Entry'!AM$9)),MAX(MIN('Council Entry'!AM105,'Council Entry'!AM$9),'Council Entry'!AM$8),'Council Entry'!AM105)),IF(AND(ISNUMBER('Council Entry'!AM$8),ISNUMBER('Council Entry'!AM$9)),MAX(MIN('Council Entry'!AM105,'Council Entry'!AM$9),'Council Entry'!AM$8),'Council Entry'!AM105))))-'Council Entry'!AM$5)/('Council Entry'!AM$6-'Council Entry'!AM$5),10*((IF('Council Entry'!AM$4="Logarithm",LN(0.001+IF(AND(ISNUMBER('Council Entry'!AM$8),ISNUMBER('Council Entry'!AM$9)),MAX(MIN('Council Entry'!AM105,'Council Entry'!AM$9),'Council Entry'!AM$8),'Council Entry'!AM105)),IF('Council Entry'!AM$4="Exponential",EXP(IF(AND(ISNUMBER('Council Entry'!AM$8),ISNUMBER('Council Entry'!AM$9)),MAX(MIN('Council Entry'!AM105,'Council Entry'!AM$9),'Council Entry'!AM$8),'Council Entry'!AM105)),IF(AND(ISNUMBER('Council Entry'!AM$8),ISNUMBER('Council Entry'!AM$9)),MAX(MIN('Council Entry'!AM105,'Council Entry'!AM$9),'Council Entry'!AM$8),'Council Entry'!AM105))))-'Council Entry'!AM$5)/('Council Entry'!AM$6-'Council Entry'!AM$5)),1))),"No data"))</f>
        <v/>
      </c>
      <c r="AN105" s="13">
        <f>IF('Council Entry'!AN105="","",IFERROR(MAX(0,MIN(10,ROUND(IF('Council Entry'!AN$7="Decrease Risk",10-10*((IF('Council Entry'!AN$4="Logarithm",LN(0.001+IF(AND(ISNUMBER('Council Entry'!AN$8),ISNUMBER('Council Entry'!AN$9)),MAX(MIN('Council Entry'!AN105,'Council Entry'!AN$9),'Council Entry'!AN$8),'Council Entry'!AN105)),IF('Council Entry'!AN$4="Exponential",EXP(IF(AND(ISNUMBER('Council Entry'!AN$8),ISNUMBER('Council Entry'!AN$9)),MAX(MIN('Council Entry'!AN105,'Council Entry'!AN$9),'Council Entry'!AN$8),'Council Entry'!AN105)),IF(AND(ISNUMBER('Council Entry'!AN$8),ISNUMBER('Council Entry'!AN$9)),MAX(MIN('Council Entry'!AN105,'Council Entry'!AN$9),'Council Entry'!AN$8),'Council Entry'!AN105))))-'Council Entry'!AN$5)/('Council Entry'!AN$6-'Council Entry'!AN$5),10*((IF('Council Entry'!AN$4="Logarithm",LN(0.001+IF(AND(ISNUMBER('Council Entry'!AN$8),ISNUMBER('Council Entry'!AN$9)),MAX(MIN('Council Entry'!AN105,'Council Entry'!AN$9),'Council Entry'!AN$8),'Council Entry'!AN105)),IF('Council Entry'!AN$4="Exponential",EXP(IF(AND(ISNUMBER('Council Entry'!AN$8),ISNUMBER('Council Entry'!AN$9)),MAX(MIN('Council Entry'!AN105,'Council Entry'!AN$9),'Council Entry'!AN$8),'Council Entry'!AN105)),IF(AND(ISNUMBER('Council Entry'!AN$8),ISNUMBER('Council Entry'!AN$9)),MAX(MIN('Council Entry'!AN105,'Council Entry'!AN$9),'Council Entry'!AN$8),'Council Entry'!AN105))))-'Council Entry'!AN$5)/('Council Entry'!AN$6-'Council Entry'!AN$5)),1))),"No data"))</f>
        <v/>
      </c>
      <c r="AO105" s="13">
        <f>IF('Council Entry'!AO105="","",IFERROR(MAX(0,MIN(10,ROUND(IF('Council Entry'!AO$7="Decrease Risk",10-10*((IF('Council Entry'!AO$4="Logarithm",LN(0.001+IF(AND(ISNUMBER('Council Entry'!AO$8),ISNUMBER('Council Entry'!AO$9)),MAX(MIN('Council Entry'!AO105,'Council Entry'!AO$9),'Council Entry'!AO$8),'Council Entry'!AO105)),IF('Council Entry'!AO$4="Exponential",EXP(IF(AND(ISNUMBER('Council Entry'!AO$8),ISNUMBER('Council Entry'!AO$9)),MAX(MIN('Council Entry'!AO105,'Council Entry'!AO$9),'Council Entry'!AO$8),'Council Entry'!AO105)),IF(AND(ISNUMBER('Council Entry'!AO$8),ISNUMBER('Council Entry'!AO$9)),MAX(MIN('Council Entry'!AO105,'Council Entry'!AO$9),'Council Entry'!AO$8),'Council Entry'!AO105))))-'Council Entry'!AO$5)/('Council Entry'!AO$6-'Council Entry'!AO$5),10*((IF('Council Entry'!AO$4="Logarithm",LN(0.001+IF(AND(ISNUMBER('Council Entry'!AO$8),ISNUMBER('Council Entry'!AO$9)),MAX(MIN('Council Entry'!AO105,'Council Entry'!AO$9),'Council Entry'!AO$8),'Council Entry'!AO105)),IF('Council Entry'!AO$4="Exponential",EXP(IF(AND(ISNUMBER('Council Entry'!AO$8),ISNUMBER('Council Entry'!AO$9)),MAX(MIN('Council Entry'!AO105,'Council Entry'!AO$9),'Council Entry'!AO$8),'Council Entry'!AO105)),IF(AND(ISNUMBER('Council Entry'!AO$8),ISNUMBER('Council Entry'!AO$9)),MAX(MIN('Council Entry'!AO105,'Council Entry'!AO$9),'Council Entry'!AO$8),'Council Entry'!AO105))))-'Council Entry'!AO$5)/('Council Entry'!AO$6-'Council Entry'!AO$5)),1))),"No data"))</f>
        <v/>
      </c>
      <c r="AP105" s="13">
        <f>IF('Council Entry'!AP105="","",IFERROR(MAX(0,MIN(10,ROUND(IF('Council Entry'!AP$7="Decrease Risk",10-10*((IF('Council Entry'!AP$4="Logarithm",LN(0.001+IF(AND(ISNUMBER('Council Entry'!AP$8),ISNUMBER('Council Entry'!AP$9)),MAX(MIN('Council Entry'!AP105,'Council Entry'!AP$9),'Council Entry'!AP$8),'Council Entry'!AP105)),IF('Council Entry'!AP$4="Exponential",EXP(IF(AND(ISNUMBER('Council Entry'!AP$8),ISNUMBER('Council Entry'!AP$9)),MAX(MIN('Council Entry'!AP105,'Council Entry'!AP$9),'Council Entry'!AP$8),'Council Entry'!AP105)),IF(AND(ISNUMBER('Council Entry'!AP$8),ISNUMBER('Council Entry'!AP$9)),MAX(MIN('Council Entry'!AP105,'Council Entry'!AP$9),'Council Entry'!AP$8),'Council Entry'!AP105))))-'Council Entry'!AP$5)/('Council Entry'!AP$6-'Council Entry'!AP$5),10*((IF('Council Entry'!AP$4="Logarithm",LN(0.001+IF(AND(ISNUMBER('Council Entry'!AP$8),ISNUMBER('Council Entry'!AP$9)),MAX(MIN('Council Entry'!AP105,'Council Entry'!AP$9),'Council Entry'!AP$8),'Council Entry'!AP105)),IF('Council Entry'!AP$4="Exponential",EXP(IF(AND(ISNUMBER('Council Entry'!AP$8),ISNUMBER('Council Entry'!AP$9)),MAX(MIN('Council Entry'!AP105,'Council Entry'!AP$9),'Council Entry'!AP$8),'Council Entry'!AP105)),IF(AND(ISNUMBER('Council Entry'!AP$8),ISNUMBER('Council Entry'!AP$9)),MAX(MIN('Council Entry'!AP105,'Council Entry'!AP$9),'Council Entry'!AP$8),'Council Entry'!AP105))))-'Council Entry'!AP$5)/('Council Entry'!AP$6-'Council Entry'!AP$5)),1))),"No data"))</f>
        <v/>
      </c>
      <c r="AQ105" s="13">
        <f>IF('Council Entry'!AQ105="","",IFERROR(MAX(0,MIN(10,ROUND(IF('Council Entry'!AQ$7="Decrease Risk",10-10*((IF('Council Entry'!AQ$4="Logarithm",LN(0.001+IF(AND(ISNUMBER('Council Entry'!AQ$8),ISNUMBER('Council Entry'!AQ$9)),MAX(MIN('Council Entry'!AQ105,'Council Entry'!AQ$9),'Council Entry'!AQ$8),'Council Entry'!AQ105)),IF('Council Entry'!AQ$4="Exponential",EXP(IF(AND(ISNUMBER('Council Entry'!AQ$8),ISNUMBER('Council Entry'!AQ$9)),MAX(MIN('Council Entry'!AQ105,'Council Entry'!AQ$9),'Council Entry'!AQ$8),'Council Entry'!AQ105)),IF(AND(ISNUMBER('Council Entry'!AQ$8),ISNUMBER('Council Entry'!AQ$9)),MAX(MIN('Council Entry'!AQ105,'Council Entry'!AQ$9),'Council Entry'!AQ$8),'Council Entry'!AQ105))))-'Council Entry'!AQ$5)/('Council Entry'!AQ$6-'Council Entry'!AQ$5),10*((IF('Council Entry'!AQ$4="Logarithm",LN(0.001+IF(AND(ISNUMBER('Council Entry'!AQ$8),ISNUMBER('Council Entry'!AQ$9)),MAX(MIN('Council Entry'!AQ105,'Council Entry'!AQ$9),'Council Entry'!AQ$8),'Council Entry'!AQ105)),IF('Council Entry'!AQ$4="Exponential",EXP(IF(AND(ISNUMBER('Council Entry'!AQ$8),ISNUMBER('Council Entry'!AQ$9)),MAX(MIN('Council Entry'!AQ105,'Council Entry'!AQ$9),'Council Entry'!AQ$8),'Council Entry'!AQ105)),IF(AND(ISNUMBER('Council Entry'!AQ$8),ISNUMBER('Council Entry'!AQ$9)),MAX(MIN('Council Entry'!AQ105,'Council Entry'!AQ$9),'Council Entry'!AQ$8),'Council Entry'!AQ105))))-'Council Entry'!AQ$5)/('Council Entry'!AQ$6-'Council Entry'!AQ$5)),1))),"No data"))</f>
        <v/>
      </c>
      <c r="AR105" s="13">
        <f>IF('Council Entry'!AR105="","",IFERROR(MAX(0,MIN(10,ROUND(IF('Council Entry'!AR$7="Decrease Risk",10-10*((IF('Council Entry'!AR$4="Logarithm",LN(0.001+IF(AND(ISNUMBER('Council Entry'!AR$8),ISNUMBER('Council Entry'!AR$9)),MAX(MIN('Council Entry'!AR105,'Council Entry'!AR$9),'Council Entry'!AR$8),'Council Entry'!AR105)),IF('Council Entry'!AR$4="Exponential",EXP(IF(AND(ISNUMBER('Council Entry'!AR$8),ISNUMBER('Council Entry'!AR$9)),MAX(MIN('Council Entry'!AR105,'Council Entry'!AR$9),'Council Entry'!AR$8),'Council Entry'!AR105)),IF(AND(ISNUMBER('Council Entry'!AR$8),ISNUMBER('Council Entry'!AR$9)),MAX(MIN('Council Entry'!AR105,'Council Entry'!AR$9),'Council Entry'!AR$8),'Council Entry'!AR105))))-'Council Entry'!AR$5)/('Council Entry'!AR$6-'Council Entry'!AR$5),10*((IF('Council Entry'!AR$4="Logarithm",LN(0.001+IF(AND(ISNUMBER('Council Entry'!AR$8),ISNUMBER('Council Entry'!AR$9)),MAX(MIN('Council Entry'!AR105,'Council Entry'!AR$9),'Council Entry'!AR$8),'Council Entry'!AR105)),IF('Council Entry'!AR$4="Exponential",EXP(IF(AND(ISNUMBER('Council Entry'!AR$8),ISNUMBER('Council Entry'!AR$9)),MAX(MIN('Council Entry'!AR105,'Council Entry'!AR$9),'Council Entry'!AR$8),'Council Entry'!AR105)),IF(AND(ISNUMBER('Council Entry'!AR$8),ISNUMBER('Council Entry'!AR$9)),MAX(MIN('Council Entry'!AR105,'Council Entry'!AR$9),'Council Entry'!AR$8),'Council Entry'!AR105))))-'Council Entry'!AR$5)/('Council Entry'!AR$6-'Council Entry'!AR$5)),1))),"No data"))</f>
        <v/>
      </c>
      <c r="AS105" s="13">
        <f>IF('Council Entry'!AS105="","",IFERROR(MAX(0,MIN(10,ROUND(IF('Council Entry'!AS$7="Decrease Risk",10-10*((IF('Council Entry'!AS$4="Logarithm",LN(0.001+IF(AND(ISNUMBER('Council Entry'!AS$8),ISNUMBER('Council Entry'!AS$9)),MAX(MIN('Council Entry'!AS105,'Council Entry'!AS$9),'Council Entry'!AS$8),'Council Entry'!AS105)),IF('Council Entry'!AS$4="Exponential",EXP(IF(AND(ISNUMBER('Council Entry'!AS$8),ISNUMBER('Council Entry'!AS$9)),MAX(MIN('Council Entry'!AS105,'Council Entry'!AS$9),'Council Entry'!AS$8),'Council Entry'!AS105)),IF(AND(ISNUMBER('Council Entry'!AS$8),ISNUMBER('Council Entry'!AS$9)),MAX(MIN('Council Entry'!AS105,'Council Entry'!AS$9),'Council Entry'!AS$8),'Council Entry'!AS105))))-'Council Entry'!AS$5)/('Council Entry'!AS$6-'Council Entry'!AS$5),10*((IF('Council Entry'!AS$4="Logarithm",LN(0.001+IF(AND(ISNUMBER('Council Entry'!AS$8),ISNUMBER('Council Entry'!AS$9)),MAX(MIN('Council Entry'!AS105,'Council Entry'!AS$9),'Council Entry'!AS$8),'Council Entry'!AS105)),IF('Council Entry'!AS$4="Exponential",EXP(IF(AND(ISNUMBER('Council Entry'!AS$8),ISNUMBER('Council Entry'!AS$9)),MAX(MIN('Council Entry'!AS105,'Council Entry'!AS$9),'Council Entry'!AS$8),'Council Entry'!AS105)),IF(AND(ISNUMBER('Council Entry'!AS$8),ISNUMBER('Council Entry'!AS$9)),MAX(MIN('Council Entry'!AS105,'Council Entry'!AS$9),'Council Entry'!AS$8),'Council Entry'!AS105))))-'Council Entry'!AS$5)/('Council Entry'!AS$6-'Council Entry'!AS$5)),1))),"No data"))</f>
        <v/>
      </c>
      <c r="AT105" s="13">
        <f>IF('Council Entry'!AT105="","",IFERROR(MAX(0,MIN(10,ROUND(IF('Council Entry'!AT$7="Decrease Risk",10-10*((IF('Council Entry'!AT$4="Logarithm",LN(0.001+IF(AND(ISNUMBER('Council Entry'!AT$8),ISNUMBER('Council Entry'!AT$9)),MAX(MIN('Council Entry'!AT105,'Council Entry'!AT$9),'Council Entry'!AT$8),'Council Entry'!AT105)),IF('Council Entry'!AT$4="Exponential",EXP(IF(AND(ISNUMBER('Council Entry'!AT$8),ISNUMBER('Council Entry'!AT$9)),MAX(MIN('Council Entry'!AT105,'Council Entry'!AT$9),'Council Entry'!AT$8),'Council Entry'!AT105)),IF(AND(ISNUMBER('Council Entry'!AT$8),ISNUMBER('Council Entry'!AT$9)),MAX(MIN('Council Entry'!AT105,'Council Entry'!AT$9),'Council Entry'!AT$8),'Council Entry'!AT105))))-'Council Entry'!AT$5)/('Council Entry'!AT$6-'Council Entry'!AT$5),10*((IF('Council Entry'!AT$4="Logarithm",LN(0.001+IF(AND(ISNUMBER('Council Entry'!AT$8),ISNUMBER('Council Entry'!AT$9)),MAX(MIN('Council Entry'!AT105,'Council Entry'!AT$9),'Council Entry'!AT$8),'Council Entry'!AT105)),IF('Council Entry'!AT$4="Exponential",EXP(IF(AND(ISNUMBER('Council Entry'!AT$8),ISNUMBER('Council Entry'!AT$9)),MAX(MIN('Council Entry'!AT105,'Council Entry'!AT$9),'Council Entry'!AT$8),'Council Entry'!AT105)),IF(AND(ISNUMBER('Council Entry'!AT$8),ISNUMBER('Council Entry'!AT$9)),MAX(MIN('Council Entry'!AT105,'Council Entry'!AT$9),'Council Entry'!AT$8),'Council Entry'!AT105))))-'Council Entry'!AT$5)/('Council Entry'!AT$6-'Council Entry'!AT$5)),1))),"No data"))</f>
        <v/>
      </c>
      <c r="AU105" s="13">
        <f>IF('Council Entry'!AU105="","",IFERROR(MAX(0,MIN(10,ROUND(IF('Council Entry'!AU$7="Decrease Risk",10-10*((IF('Council Entry'!AU$4="Logarithm",LN(0.001+IF(AND(ISNUMBER('Council Entry'!AU$8),ISNUMBER('Council Entry'!AU$9)),MAX(MIN('Council Entry'!AU105,'Council Entry'!AU$9),'Council Entry'!AU$8),'Council Entry'!AU105)),IF('Council Entry'!AU$4="Exponential",EXP(IF(AND(ISNUMBER('Council Entry'!AU$8),ISNUMBER('Council Entry'!AU$9)),MAX(MIN('Council Entry'!AU105,'Council Entry'!AU$9),'Council Entry'!AU$8),'Council Entry'!AU105)),IF(AND(ISNUMBER('Council Entry'!AU$8),ISNUMBER('Council Entry'!AU$9)),MAX(MIN('Council Entry'!AU105,'Council Entry'!AU$9),'Council Entry'!AU$8),'Council Entry'!AU105))))-'Council Entry'!AU$5)/('Council Entry'!AU$6-'Council Entry'!AU$5),10*((IF('Council Entry'!AU$4="Logarithm",LN(0.001+IF(AND(ISNUMBER('Council Entry'!AU$8),ISNUMBER('Council Entry'!AU$9)),MAX(MIN('Council Entry'!AU105,'Council Entry'!AU$9),'Council Entry'!AU$8),'Council Entry'!AU105)),IF('Council Entry'!AU$4="Exponential",EXP(IF(AND(ISNUMBER('Council Entry'!AU$8),ISNUMBER('Council Entry'!AU$9)),MAX(MIN('Council Entry'!AU105,'Council Entry'!AU$9),'Council Entry'!AU$8),'Council Entry'!AU105)),IF(AND(ISNUMBER('Council Entry'!AU$8),ISNUMBER('Council Entry'!AU$9)),MAX(MIN('Council Entry'!AU105,'Council Entry'!AU$9),'Council Entry'!AU$8),'Council Entry'!AU105))))-'Council Entry'!AU$5)/('Council Entry'!AU$6-'Council Entry'!AU$5)),1))),"No data"))</f>
        <v/>
      </c>
      <c r="AV105" s="13">
        <f>IF('Council Entry'!AV105="","",IFERROR(MAX(0,MIN(10,ROUND(IF('Council Entry'!AV$7="Decrease Risk",10-10*((IF('Council Entry'!AV$4="Logarithm",LN(0.001+IF(AND(ISNUMBER('Council Entry'!AV$8),ISNUMBER('Council Entry'!AV$9)),MAX(MIN('Council Entry'!AV105,'Council Entry'!AV$9),'Council Entry'!AV$8),'Council Entry'!AV105)),IF('Council Entry'!AV$4="Exponential",EXP(IF(AND(ISNUMBER('Council Entry'!AV$8),ISNUMBER('Council Entry'!AV$9)),MAX(MIN('Council Entry'!AV105,'Council Entry'!AV$9),'Council Entry'!AV$8),'Council Entry'!AV105)),IF(AND(ISNUMBER('Council Entry'!AV$8),ISNUMBER('Council Entry'!AV$9)),MAX(MIN('Council Entry'!AV105,'Council Entry'!AV$9),'Council Entry'!AV$8),'Council Entry'!AV105))))-'Council Entry'!AV$5)/('Council Entry'!AV$6-'Council Entry'!AV$5),10*((IF('Council Entry'!AV$4="Logarithm",LN(0.001+IF(AND(ISNUMBER('Council Entry'!AV$8),ISNUMBER('Council Entry'!AV$9)),MAX(MIN('Council Entry'!AV105,'Council Entry'!AV$9),'Council Entry'!AV$8),'Council Entry'!AV105)),IF('Council Entry'!AV$4="Exponential",EXP(IF(AND(ISNUMBER('Council Entry'!AV$8),ISNUMBER('Council Entry'!AV$9)),MAX(MIN('Council Entry'!AV105,'Council Entry'!AV$9),'Council Entry'!AV$8),'Council Entry'!AV105)),IF(AND(ISNUMBER('Council Entry'!AV$8),ISNUMBER('Council Entry'!AV$9)),MAX(MIN('Council Entry'!AV105,'Council Entry'!AV$9),'Council Entry'!AV$8),'Council Entry'!AV105))))-'Council Entry'!AV$5)/('Council Entry'!AV$6-'Council Entry'!AV$5)),1))),"No data"))</f>
        <v/>
      </c>
      <c r="AW105" s="13">
        <f>IF('Council Entry'!AW105="","",IFERROR(MAX(0,MIN(10,ROUND(IF('Council Entry'!AW$7="Decrease Risk",10-10*((IF('Council Entry'!AW$4="Logarithm",LN(0.001+IF(AND(ISNUMBER('Council Entry'!AW$8),ISNUMBER('Council Entry'!AW$9)),MAX(MIN('Council Entry'!AW105,'Council Entry'!AW$9),'Council Entry'!AW$8),'Council Entry'!AW105)),IF('Council Entry'!AW$4="Exponential",EXP(IF(AND(ISNUMBER('Council Entry'!AW$8),ISNUMBER('Council Entry'!AW$9)),MAX(MIN('Council Entry'!AW105,'Council Entry'!AW$9),'Council Entry'!AW$8),'Council Entry'!AW105)),IF(AND(ISNUMBER('Council Entry'!AW$8),ISNUMBER('Council Entry'!AW$9)),MAX(MIN('Council Entry'!AW105,'Council Entry'!AW$9),'Council Entry'!AW$8),'Council Entry'!AW105))))-'Council Entry'!AW$5)/('Council Entry'!AW$6-'Council Entry'!AW$5),10*((IF('Council Entry'!AW$4="Logarithm",LN(0.001+IF(AND(ISNUMBER('Council Entry'!AW$8),ISNUMBER('Council Entry'!AW$9)),MAX(MIN('Council Entry'!AW105,'Council Entry'!AW$9),'Council Entry'!AW$8),'Council Entry'!AW105)),IF('Council Entry'!AW$4="Exponential",EXP(IF(AND(ISNUMBER('Council Entry'!AW$8),ISNUMBER('Council Entry'!AW$9)),MAX(MIN('Council Entry'!AW105,'Council Entry'!AW$9),'Council Entry'!AW$8),'Council Entry'!AW105)),IF(AND(ISNUMBER('Council Entry'!AW$8),ISNUMBER('Council Entry'!AW$9)),MAX(MIN('Council Entry'!AW105,'Council Entry'!AW$9),'Council Entry'!AW$8),'Council Entry'!AW105))))-'Council Entry'!AW$5)/('Council Entry'!AW$6-'Council Entry'!AW$5)),1))),"No data"))</f>
        <v/>
      </c>
      <c r="AX105" s="13">
        <f>IF('Council Entry'!AX105="","",IFERROR(MAX(0,MIN(10,ROUND(IF('Council Entry'!AX$7="Decrease Risk",10-10*((IF('Council Entry'!AX$4="Logarithm",LN(0.001+IF(AND(ISNUMBER('Council Entry'!AX$8),ISNUMBER('Council Entry'!AX$9)),MAX(MIN('Council Entry'!AX105,'Council Entry'!AX$9),'Council Entry'!AX$8),'Council Entry'!AX105)),IF('Council Entry'!AX$4="Exponential",EXP(IF(AND(ISNUMBER('Council Entry'!AX$8),ISNUMBER('Council Entry'!AX$9)),MAX(MIN('Council Entry'!AX105,'Council Entry'!AX$9),'Council Entry'!AX$8),'Council Entry'!AX105)),IF(AND(ISNUMBER('Council Entry'!AX$8),ISNUMBER('Council Entry'!AX$9)),MAX(MIN('Council Entry'!AX105,'Council Entry'!AX$9),'Council Entry'!AX$8),'Council Entry'!AX105))))-'Council Entry'!AX$5)/('Council Entry'!AX$6-'Council Entry'!AX$5),10*((IF('Council Entry'!AX$4="Logarithm",LN(0.001+IF(AND(ISNUMBER('Council Entry'!AX$8),ISNUMBER('Council Entry'!AX$9)),MAX(MIN('Council Entry'!AX105,'Council Entry'!AX$9),'Council Entry'!AX$8),'Council Entry'!AX105)),IF('Council Entry'!AX$4="Exponential",EXP(IF(AND(ISNUMBER('Council Entry'!AX$8),ISNUMBER('Council Entry'!AX$9)),MAX(MIN('Council Entry'!AX105,'Council Entry'!AX$9),'Council Entry'!AX$8),'Council Entry'!AX105)),IF(AND(ISNUMBER('Council Entry'!AX$8),ISNUMBER('Council Entry'!AX$9)),MAX(MIN('Council Entry'!AX105,'Council Entry'!AX$9),'Council Entry'!AX$8),'Council Entry'!AX105))))-'Council Entry'!AX$5)/('Council Entry'!AX$6-'Council Entry'!AX$5)),1))),"No data"))</f>
        <v/>
      </c>
      <c r="AY105" s="13">
        <f>IF('Council Entry'!AY105="","",IFERROR(MAX(0,MIN(10,ROUND(IF('Council Entry'!AY$7="Decrease Risk",10-10*((IF('Council Entry'!AY$4="Logarithm",LN(0.001+IF(AND(ISNUMBER('Council Entry'!AY$8),ISNUMBER('Council Entry'!AY$9)),MAX(MIN('Council Entry'!AY105,'Council Entry'!AY$9),'Council Entry'!AY$8),'Council Entry'!AY105)),IF('Council Entry'!AY$4="Exponential",EXP(IF(AND(ISNUMBER('Council Entry'!AY$8),ISNUMBER('Council Entry'!AY$9)),MAX(MIN('Council Entry'!AY105,'Council Entry'!AY$9),'Council Entry'!AY$8),'Council Entry'!AY105)),IF(AND(ISNUMBER('Council Entry'!AY$8),ISNUMBER('Council Entry'!AY$9)),MAX(MIN('Council Entry'!AY105,'Council Entry'!AY$9),'Council Entry'!AY$8),'Council Entry'!AY105))))-'Council Entry'!AY$5)/('Council Entry'!AY$6-'Council Entry'!AY$5),10*((IF('Council Entry'!AY$4="Logarithm",LN(0.001+IF(AND(ISNUMBER('Council Entry'!AY$8),ISNUMBER('Council Entry'!AY$9)),MAX(MIN('Council Entry'!AY105,'Council Entry'!AY$9),'Council Entry'!AY$8),'Council Entry'!AY105)),IF('Council Entry'!AY$4="Exponential",EXP(IF(AND(ISNUMBER('Council Entry'!AY$8),ISNUMBER('Council Entry'!AY$9)),MAX(MIN('Council Entry'!AY105,'Council Entry'!AY$9),'Council Entry'!AY$8),'Council Entry'!AY105)),IF(AND(ISNUMBER('Council Entry'!AY$8),ISNUMBER('Council Entry'!AY$9)),MAX(MIN('Council Entry'!AY105,'Council Entry'!AY$9),'Council Entry'!AY$8),'Council Entry'!AY105))))-'Council Entry'!AY$5)/('Council Entry'!AY$6-'Council Entry'!AY$5)),1))),"No data"))</f>
        <v/>
      </c>
      <c r="AZ105" s="13">
        <f>IF('Council Entry'!AZ105="","",IFERROR(MAX(0,MIN(10,ROUND(IF('Council Entry'!AZ$7="Decrease Risk",10-10*((IF('Council Entry'!AZ$4="Logarithm",LN(0.001+IF(AND(ISNUMBER('Council Entry'!AZ$8),ISNUMBER('Council Entry'!AZ$9)),MAX(MIN('Council Entry'!AZ105,'Council Entry'!AZ$9),'Council Entry'!AZ$8),'Council Entry'!AZ105)),IF('Council Entry'!AZ$4="Exponential",EXP(IF(AND(ISNUMBER('Council Entry'!AZ$8),ISNUMBER('Council Entry'!AZ$9)),MAX(MIN('Council Entry'!AZ105,'Council Entry'!AZ$9),'Council Entry'!AZ$8),'Council Entry'!AZ105)),IF(AND(ISNUMBER('Council Entry'!AZ$8),ISNUMBER('Council Entry'!AZ$9)),MAX(MIN('Council Entry'!AZ105,'Council Entry'!AZ$9),'Council Entry'!AZ$8),'Council Entry'!AZ105))))-'Council Entry'!AZ$5)/('Council Entry'!AZ$6-'Council Entry'!AZ$5),10*((IF('Council Entry'!AZ$4="Logarithm",LN(0.001+IF(AND(ISNUMBER('Council Entry'!AZ$8),ISNUMBER('Council Entry'!AZ$9)),MAX(MIN('Council Entry'!AZ105,'Council Entry'!AZ$9),'Council Entry'!AZ$8),'Council Entry'!AZ105)),IF('Council Entry'!AZ$4="Exponential",EXP(IF(AND(ISNUMBER('Council Entry'!AZ$8),ISNUMBER('Council Entry'!AZ$9)),MAX(MIN('Council Entry'!AZ105,'Council Entry'!AZ$9),'Council Entry'!AZ$8),'Council Entry'!AZ105)),IF(AND(ISNUMBER('Council Entry'!AZ$8),ISNUMBER('Council Entry'!AZ$9)),MAX(MIN('Council Entry'!AZ105,'Council Entry'!AZ$9),'Council Entry'!AZ$8),'Council Entry'!AZ105))))-'Council Entry'!AZ$5)/('Council Entry'!AZ$6-'Council Entry'!AZ$5)),1))),"No data"))</f>
        <v/>
      </c>
      <c r="BA105" s="13">
        <f>IF('Council Entry'!BA105="","",IFERROR(MAX(0,MIN(10,ROUND(IF('Council Entry'!BA$7="Decrease Risk",10-10*((IF('Council Entry'!BA$4="Logarithm",LN(0.001+IF(AND(ISNUMBER('Council Entry'!BA$8),ISNUMBER('Council Entry'!BA$9)),MAX(MIN('Council Entry'!BA105,'Council Entry'!BA$9),'Council Entry'!BA$8),'Council Entry'!BA105)),IF('Council Entry'!BA$4="Exponential",EXP(IF(AND(ISNUMBER('Council Entry'!BA$8),ISNUMBER('Council Entry'!BA$9)),MAX(MIN('Council Entry'!BA105,'Council Entry'!BA$9),'Council Entry'!BA$8),'Council Entry'!BA105)),IF(AND(ISNUMBER('Council Entry'!BA$8),ISNUMBER('Council Entry'!BA$9)),MAX(MIN('Council Entry'!BA105,'Council Entry'!BA$9),'Council Entry'!BA$8),'Council Entry'!BA105))))-'Council Entry'!BA$5)/('Council Entry'!BA$6-'Council Entry'!BA$5),10*((IF('Council Entry'!BA$4="Logarithm",LN(0.001+IF(AND(ISNUMBER('Council Entry'!BA$8),ISNUMBER('Council Entry'!BA$9)),MAX(MIN('Council Entry'!BA105,'Council Entry'!BA$9),'Council Entry'!BA$8),'Council Entry'!BA105)),IF('Council Entry'!BA$4="Exponential",EXP(IF(AND(ISNUMBER('Council Entry'!BA$8),ISNUMBER('Council Entry'!BA$9)),MAX(MIN('Council Entry'!BA105,'Council Entry'!BA$9),'Council Entry'!BA$8),'Council Entry'!BA105)),IF(AND(ISNUMBER('Council Entry'!BA$8),ISNUMBER('Council Entry'!BA$9)),MAX(MIN('Council Entry'!BA105,'Council Entry'!BA$9),'Council Entry'!BA$8),'Council Entry'!BA105))))-'Council Entry'!BA$5)/('Council Entry'!BA$6-'Council Entry'!BA$5)),1))),"No data"))</f>
        <v/>
      </c>
      <c r="BB105" s="13">
        <f>IF('Council Entry'!BB105="","",IFERROR(MAX(0,MIN(10,ROUND(IF('Council Entry'!BB$7="Decrease Risk",10-10*((IF('Council Entry'!BB$4="Logarithm",LN(0.001+IF(AND(ISNUMBER('Council Entry'!BB$8),ISNUMBER('Council Entry'!BB$9)),MAX(MIN('Council Entry'!BB105,'Council Entry'!BB$9),'Council Entry'!BB$8),'Council Entry'!BB105)),IF('Council Entry'!BB$4="Exponential",EXP(IF(AND(ISNUMBER('Council Entry'!BB$8),ISNUMBER('Council Entry'!BB$9)),MAX(MIN('Council Entry'!BB105,'Council Entry'!BB$9),'Council Entry'!BB$8),'Council Entry'!BB105)),IF(AND(ISNUMBER('Council Entry'!BB$8),ISNUMBER('Council Entry'!BB$9)),MAX(MIN('Council Entry'!BB105,'Council Entry'!BB$9),'Council Entry'!BB$8),'Council Entry'!BB105))))-'Council Entry'!BB$5)/('Council Entry'!BB$6-'Council Entry'!BB$5),10*((IF('Council Entry'!BB$4="Logarithm",LN(0.001+IF(AND(ISNUMBER('Council Entry'!BB$8),ISNUMBER('Council Entry'!BB$9)),MAX(MIN('Council Entry'!BB105,'Council Entry'!BB$9),'Council Entry'!BB$8),'Council Entry'!BB105)),IF('Council Entry'!BB$4="Exponential",EXP(IF(AND(ISNUMBER('Council Entry'!BB$8),ISNUMBER('Council Entry'!BB$9)),MAX(MIN('Council Entry'!BB105,'Council Entry'!BB$9),'Council Entry'!BB$8),'Council Entry'!BB105)),IF(AND(ISNUMBER('Council Entry'!BB$8),ISNUMBER('Council Entry'!BB$9)),MAX(MIN('Council Entry'!BB105,'Council Entry'!BB$9),'Council Entry'!BB$8),'Council Entry'!BB105))))-'Council Entry'!BB$5)/('Council Entry'!BB$6-'Council Entry'!BB$5)),1))),"No data"))</f>
        <v/>
      </c>
      <c r="BC105" s="13">
        <f>IF('Council Entry'!BC105="","",IFERROR(MAX(0,MIN(10,ROUND(IF('Council Entry'!BC$7="Decrease Risk",10-10*((IF('Council Entry'!BC$4="Logarithm",LN(0.001+IF(AND(ISNUMBER('Council Entry'!BC$8),ISNUMBER('Council Entry'!BC$9)),MAX(MIN('Council Entry'!BC105,'Council Entry'!BC$9),'Council Entry'!BC$8),'Council Entry'!BC105)),IF('Council Entry'!BC$4="Exponential",EXP(IF(AND(ISNUMBER('Council Entry'!BC$8),ISNUMBER('Council Entry'!BC$9)),MAX(MIN('Council Entry'!BC105,'Council Entry'!BC$9),'Council Entry'!BC$8),'Council Entry'!BC105)),IF(AND(ISNUMBER('Council Entry'!BC$8),ISNUMBER('Council Entry'!BC$9)),MAX(MIN('Council Entry'!BC105,'Council Entry'!BC$9),'Council Entry'!BC$8),'Council Entry'!BC105))))-'Council Entry'!BC$5)/('Council Entry'!BC$6-'Council Entry'!BC$5),10*((IF('Council Entry'!BC$4="Logarithm",LN(0.001+IF(AND(ISNUMBER('Council Entry'!BC$8),ISNUMBER('Council Entry'!BC$9)),MAX(MIN('Council Entry'!BC105,'Council Entry'!BC$9),'Council Entry'!BC$8),'Council Entry'!BC105)),IF('Council Entry'!BC$4="Exponential",EXP(IF(AND(ISNUMBER('Council Entry'!BC$8),ISNUMBER('Council Entry'!BC$9)),MAX(MIN('Council Entry'!BC105,'Council Entry'!BC$9),'Council Entry'!BC$8),'Council Entry'!BC105)),IF(AND(ISNUMBER('Council Entry'!BC$8),ISNUMBER('Council Entry'!BC$9)),MAX(MIN('Council Entry'!BC105,'Council Entry'!BC$9),'Council Entry'!BC$8),'Council Entry'!BC105))))-'Council Entry'!BC$5)/('Council Entry'!BC$6-'Council Entry'!BC$5)),1))),"No data"))</f>
        <v/>
      </c>
      <c r="BD105" s="13">
        <f>IF('Council Entry'!BD105="","",IFERROR(MAX(0,MIN(10,ROUND(IF('Council Entry'!BD$7="Decrease Risk",10-10*((IF('Council Entry'!BD$4="Logarithm",LN(0.001+IF(AND(ISNUMBER('Council Entry'!BD$8),ISNUMBER('Council Entry'!BD$9)),MAX(MIN('Council Entry'!BD105,'Council Entry'!BD$9),'Council Entry'!BD$8),'Council Entry'!BD105)),IF('Council Entry'!BD$4="Exponential",EXP(IF(AND(ISNUMBER('Council Entry'!BD$8),ISNUMBER('Council Entry'!BD$9)),MAX(MIN('Council Entry'!BD105,'Council Entry'!BD$9),'Council Entry'!BD$8),'Council Entry'!BD105)),IF(AND(ISNUMBER('Council Entry'!BD$8),ISNUMBER('Council Entry'!BD$9)),MAX(MIN('Council Entry'!BD105,'Council Entry'!BD$9),'Council Entry'!BD$8),'Council Entry'!BD105))))-'Council Entry'!BD$5)/('Council Entry'!BD$6-'Council Entry'!BD$5),10*((IF('Council Entry'!BD$4="Logarithm",LN(0.001+IF(AND(ISNUMBER('Council Entry'!BD$8),ISNUMBER('Council Entry'!BD$9)),MAX(MIN('Council Entry'!BD105,'Council Entry'!BD$9),'Council Entry'!BD$8),'Council Entry'!BD105)),IF('Council Entry'!BD$4="Exponential",EXP(IF(AND(ISNUMBER('Council Entry'!BD$8),ISNUMBER('Council Entry'!BD$9)),MAX(MIN('Council Entry'!BD105,'Council Entry'!BD$9),'Council Entry'!BD$8),'Council Entry'!BD105)),IF(AND(ISNUMBER('Council Entry'!BD$8),ISNUMBER('Council Entry'!BD$9)),MAX(MIN('Council Entry'!BD105,'Council Entry'!BD$9),'Council Entry'!BD$8),'Council Entry'!BD105))))-'Council Entry'!BD$5)/('Council Entry'!BD$6-'Council Entry'!BD$5)),1))),"No data"))</f>
        <v/>
      </c>
    </row>
    <row r="106">
      <c r="A106" t="inlineStr">
        <is>
          <t>Mbeya</t>
        </is>
      </c>
      <c r="B106" t="inlineStr">
        <is>
          <t>Rungwe District</t>
        </is>
      </c>
      <c r="C106" t="inlineStr">
        <is>
          <t>C089</t>
        </is>
      </c>
      <c r="D106" s="13">
        <f>IF('Council Entry'!D106="","",IFERROR(MAX(0,MIN(10,ROUND(IF('Council Entry'!D$7="Decrease Risk",10-10*((IF('Council Entry'!D$4="Logarithm",LN(0.001+IF(AND(ISNUMBER('Council Entry'!D$8),ISNUMBER('Council Entry'!D$9)),MAX(MIN('Council Entry'!D106,'Council Entry'!D$9),'Council Entry'!D$8),'Council Entry'!D106)),IF('Council Entry'!D$4="Exponential",EXP(IF(AND(ISNUMBER('Council Entry'!D$8),ISNUMBER('Council Entry'!D$9)),MAX(MIN('Council Entry'!D106,'Council Entry'!D$9),'Council Entry'!D$8),'Council Entry'!D106)),IF(AND(ISNUMBER('Council Entry'!D$8),ISNUMBER('Council Entry'!D$9)),MAX(MIN('Council Entry'!D106,'Council Entry'!D$9),'Council Entry'!D$8),'Council Entry'!D106))))-'Council Entry'!D$5)/('Council Entry'!D$6-'Council Entry'!D$5),10*((IF('Council Entry'!D$4="Logarithm",LN(0.001+IF(AND(ISNUMBER('Council Entry'!D$8),ISNUMBER('Council Entry'!D$9)),MAX(MIN('Council Entry'!D106,'Council Entry'!D$9),'Council Entry'!D$8),'Council Entry'!D106)),IF('Council Entry'!D$4="Exponential",EXP(IF(AND(ISNUMBER('Council Entry'!D$8),ISNUMBER('Council Entry'!D$9)),MAX(MIN('Council Entry'!D106,'Council Entry'!D$9),'Council Entry'!D$8),'Council Entry'!D106)),IF(AND(ISNUMBER('Council Entry'!D$8),ISNUMBER('Council Entry'!D$9)),MAX(MIN('Council Entry'!D106,'Council Entry'!D$9),'Council Entry'!D$8),'Council Entry'!D106))))-'Council Entry'!D$5)/('Council Entry'!D$6-'Council Entry'!D$5)),1))),"No data"))</f>
        <v/>
      </c>
      <c r="E106" s="13">
        <f>IF('Council Entry'!E106="","",IFERROR(MAX(0,MIN(10,ROUND(IF('Council Entry'!E$7="Decrease Risk",10-10*((IF('Council Entry'!E$4="Logarithm",LN(0.001+IF(AND(ISNUMBER('Council Entry'!E$8),ISNUMBER('Council Entry'!E$9)),MAX(MIN('Council Entry'!E106,'Council Entry'!E$9),'Council Entry'!E$8),'Council Entry'!E106)),IF('Council Entry'!E$4="Exponential",EXP(IF(AND(ISNUMBER('Council Entry'!E$8),ISNUMBER('Council Entry'!E$9)),MAX(MIN('Council Entry'!E106,'Council Entry'!E$9),'Council Entry'!E$8),'Council Entry'!E106)),IF(AND(ISNUMBER('Council Entry'!E$8),ISNUMBER('Council Entry'!E$9)),MAX(MIN('Council Entry'!E106,'Council Entry'!E$9),'Council Entry'!E$8),'Council Entry'!E106))))-'Council Entry'!E$5)/('Council Entry'!E$6-'Council Entry'!E$5),10*((IF('Council Entry'!E$4="Logarithm",LN(0.001+IF(AND(ISNUMBER('Council Entry'!E$8),ISNUMBER('Council Entry'!E$9)),MAX(MIN('Council Entry'!E106,'Council Entry'!E$9),'Council Entry'!E$8),'Council Entry'!E106)),IF('Council Entry'!E$4="Exponential",EXP(IF(AND(ISNUMBER('Council Entry'!E$8),ISNUMBER('Council Entry'!E$9)),MAX(MIN('Council Entry'!E106,'Council Entry'!E$9),'Council Entry'!E$8),'Council Entry'!E106)),IF(AND(ISNUMBER('Council Entry'!E$8),ISNUMBER('Council Entry'!E$9)),MAX(MIN('Council Entry'!E106,'Council Entry'!E$9),'Council Entry'!E$8),'Council Entry'!E106))))-'Council Entry'!E$5)/('Council Entry'!E$6-'Council Entry'!E$5)),1))),"No data"))</f>
        <v/>
      </c>
      <c r="F106" s="13">
        <f>IF('Council Entry'!F106="","",IFERROR(MAX(0,MIN(10,ROUND(IF('Council Entry'!F$7="Decrease Risk",10-10*((IF('Council Entry'!F$4="Logarithm",LN(0.001+IF(AND(ISNUMBER('Council Entry'!F$8),ISNUMBER('Council Entry'!F$9)),MAX(MIN('Council Entry'!F106,'Council Entry'!F$9),'Council Entry'!F$8),'Council Entry'!F106)),IF('Council Entry'!F$4="Exponential",EXP(IF(AND(ISNUMBER('Council Entry'!F$8),ISNUMBER('Council Entry'!F$9)),MAX(MIN('Council Entry'!F106,'Council Entry'!F$9),'Council Entry'!F$8),'Council Entry'!F106)),IF(AND(ISNUMBER('Council Entry'!F$8),ISNUMBER('Council Entry'!F$9)),MAX(MIN('Council Entry'!F106,'Council Entry'!F$9),'Council Entry'!F$8),'Council Entry'!F106))))-'Council Entry'!F$5)/('Council Entry'!F$6-'Council Entry'!F$5),10*((IF('Council Entry'!F$4="Logarithm",LN(0.001+IF(AND(ISNUMBER('Council Entry'!F$8),ISNUMBER('Council Entry'!F$9)),MAX(MIN('Council Entry'!F106,'Council Entry'!F$9),'Council Entry'!F$8),'Council Entry'!F106)),IF('Council Entry'!F$4="Exponential",EXP(IF(AND(ISNUMBER('Council Entry'!F$8),ISNUMBER('Council Entry'!F$9)),MAX(MIN('Council Entry'!F106,'Council Entry'!F$9),'Council Entry'!F$8),'Council Entry'!F106)),IF(AND(ISNUMBER('Council Entry'!F$8),ISNUMBER('Council Entry'!F$9)),MAX(MIN('Council Entry'!F106,'Council Entry'!F$9),'Council Entry'!F$8),'Council Entry'!F106))))-'Council Entry'!F$5)/('Council Entry'!F$6-'Council Entry'!F$5)),1))),"No data"))</f>
        <v/>
      </c>
      <c r="G106" s="13">
        <f>IF('Council Entry'!G106="","",IFERROR(MAX(0,MIN(10,ROUND(IF('Council Entry'!G$7="Decrease Risk",10-10*((IF('Council Entry'!G$4="Logarithm",LN(0.001+IF(AND(ISNUMBER('Council Entry'!G$8),ISNUMBER('Council Entry'!G$9)),MAX(MIN('Council Entry'!G106,'Council Entry'!G$9),'Council Entry'!G$8),'Council Entry'!G106)),IF('Council Entry'!G$4="Exponential",EXP(IF(AND(ISNUMBER('Council Entry'!G$8),ISNUMBER('Council Entry'!G$9)),MAX(MIN('Council Entry'!G106,'Council Entry'!G$9),'Council Entry'!G$8),'Council Entry'!G106)),IF(AND(ISNUMBER('Council Entry'!G$8),ISNUMBER('Council Entry'!G$9)),MAX(MIN('Council Entry'!G106,'Council Entry'!G$9),'Council Entry'!G$8),'Council Entry'!G106))))-'Council Entry'!G$5)/('Council Entry'!G$6-'Council Entry'!G$5),10*((IF('Council Entry'!G$4="Logarithm",LN(0.001+IF(AND(ISNUMBER('Council Entry'!G$8),ISNUMBER('Council Entry'!G$9)),MAX(MIN('Council Entry'!G106,'Council Entry'!G$9),'Council Entry'!G$8),'Council Entry'!G106)),IF('Council Entry'!G$4="Exponential",EXP(IF(AND(ISNUMBER('Council Entry'!G$8),ISNUMBER('Council Entry'!G$9)),MAX(MIN('Council Entry'!G106,'Council Entry'!G$9),'Council Entry'!G$8),'Council Entry'!G106)),IF(AND(ISNUMBER('Council Entry'!G$8),ISNUMBER('Council Entry'!G$9)),MAX(MIN('Council Entry'!G106,'Council Entry'!G$9),'Council Entry'!G$8),'Council Entry'!G106))))-'Council Entry'!G$5)/('Council Entry'!G$6-'Council Entry'!G$5)),1))),"No data"))</f>
        <v/>
      </c>
      <c r="H106" s="13">
        <f>IF('Council Entry'!H106="","",IFERROR(MAX(0,MIN(10,ROUND(IF('Council Entry'!H$7="Decrease Risk",10-10*((IF('Council Entry'!H$4="Logarithm",LN(0.001+IF(AND(ISNUMBER('Council Entry'!H$8),ISNUMBER('Council Entry'!H$9)),MAX(MIN('Council Entry'!H106,'Council Entry'!H$9),'Council Entry'!H$8),'Council Entry'!H106)),IF('Council Entry'!H$4="Exponential",EXP(IF(AND(ISNUMBER('Council Entry'!H$8),ISNUMBER('Council Entry'!H$9)),MAX(MIN('Council Entry'!H106,'Council Entry'!H$9),'Council Entry'!H$8),'Council Entry'!H106)),IF(AND(ISNUMBER('Council Entry'!H$8),ISNUMBER('Council Entry'!H$9)),MAX(MIN('Council Entry'!H106,'Council Entry'!H$9),'Council Entry'!H$8),'Council Entry'!H106))))-'Council Entry'!H$5)/('Council Entry'!H$6-'Council Entry'!H$5),10*((IF('Council Entry'!H$4="Logarithm",LN(0.001+IF(AND(ISNUMBER('Council Entry'!H$8),ISNUMBER('Council Entry'!H$9)),MAX(MIN('Council Entry'!H106,'Council Entry'!H$9),'Council Entry'!H$8),'Council Entry'!H106)),IF('Council Entry'!H$4="Exponential",EXP(IF(AND(ISNUMBER('Council Entry'!H$8),ISNUMBER('Council Entry'!H$9)),MAX(MIN('Council Entry'!H106,'Council Entry'!H$9),'Council Entry'!H$8),'Council Entry'!H106)),IF(AND(ISNUMBER('Council Entry'!H$8),ISNUMBER('Council Entry'!H$9)),MAX(MIN('Council Entry'!H106,'Council Entry'!H$9),'Council Entry'!H$8),'Council Entry'!H106))))-'Council Entry'!H$5)/('Council Entry'!H$6-'Council Entry'!H$5)),1))),"No data"))</f>
        <v/>
      </c>
      <c r="I106" s="13">
        <f>IF('Council Entry'!I106="","",IFERROR(MAX(0,MIN(10,ROUND(IF('Council Entry'!I$7="Decrease Risk",10-10*((IF('Council Entry'!I$4="Logarithm",LN(0.001+IF(AND(ISNUMBER('Council Entry'!I$8),ISNUMBER('Council Entry'!I$9)),MAX(MIN('Council Entry'!I106,'Council Entry'!I$9),'Council Entry'!I$8),'Council Entry'!I106)),IF('Council Entry'!I$4="Exponential",EXP(IF(AND(ISNUMBER('Council Entry'!I$8),ISNUMBER('Council Entry'!I$9)),MAX(MIN('Council Entry'!I106,'Council Entry'!I$9),'Council Entry'!I$8),'Council Entry'!I106)),IF(AND(ISNUMBER('Council Entry'!I$8),ISNUMBER('Council Entry'!I$9)),MAX(MIN('Council Entry'!I106,'Council Entry'!I$9),'Council Entry'!I$8),'Council Entry'!I106))))-'Council Entry'!I$5)/('Council Entry'!I$6-'Council Entry'!I$5),10*((IF('Council Entry'!I$4="Logarithm",LN(0.001+IF(AND(ISNUMBER('Council Entry'!I$8),ISNUMBER('Council Entry'!I$9)),MAX(MIN('Council Entry'!I106,'Council Entry'!I$9),'Council Entry'!I$8),'Council Entry'!I106)),IF('Council Entry'!I$4="Exponential",EXP(IF(AND(ISNUMBER('Council Entry'!I$8),ISNUMBER('Council Entry'!I$9)),MAX(MIN('Council Entry'!I106,'Council Entry'!I$9),'Council Entry'!I$8),'Council Entry'!I106)),IF(AND(ISNUMBER('Council Entry'!I$8),ISNUMBER('Council Entry'!I$9)),MAX(MIN('Council Entry'!I106,'Council Entry'!I$9),'Council Entry'!I$8),'Council Entry'!I106))))-'Council Entry'!I$5)/('Council Entry'!I$6-'Council Entry'!I$5)),1))),"No data"))</f>
        <v/>
      </c>
      <c r="J106" s="13">
        <f>IF('Council Entry'!J106="","",IFERROR(MAX(0,MIN(10,ROUND(IF('Council Entry'!J$7="Decrease Risk",10-10*((IF('Council Entry'!J$4="Logarithm",LN(0.001+IF(AND(ISNUMBER('Council Entry'!J$8),ISNUMBER('Council Entry'!J$9)),MAX(MIN('Council Entry'!J106,'Council Entry'!J$9),'Council Entry'!J$8),'Council Entry'!J106)),IF('Council Entry'!J$4="Exponential",EXP(IF(AND(ISNUMBER('Council Entry'!J$8),ISNUMBER('Council Entry'!J$9)),MAX(MIN('Council Entry'!J106,'Council Entry'!J$9),'Council Entry'!J$8),'Council Entry'!J106)),IF(AND(ISNUMBER('Council Entry'!J$8),ISNUMBER('Council Entry'!J$9)),MAX(MIN('Council Entry'!J106,'Council Entry'!J$9),'Council Entry'!J$8),'Council Entry'!J106))))-'Council Entry'!J$5)/('Council Entry'!J$6-'Council Entry'!J$5),10*((IF('Council Entry'!J$4="Logarithm",LN(0.001+IF(AND(ISNUMBER('Council Entry'!J$8),ISNUMBER('Council Entry'!J$9)),MAX(MIN('Council Entry'!J106,'Council Entry'!J$9),'Council Entry'!J$8),'Council Entry'!J106)),IF('Council Entry'!J$4="Exponential",EXP(IF(AND(ISNUMBER('Council Entry'!J$8),ISNUMBER('Council Entry'!J$9)),MAX(MIN('Council Entry'!J106,'Council Entry'!J$9),'Council Entry'!J$8),'Council Entry'!J106)),IF(AND(ISNUMBER('Council Entry'!J$8),ISNUMBER('Council Entry'!J$9)),MAX(MIN('Council Entry'!J106,'Council Entry'!J$9),'Council Entry'!J$8),'Council Entry'!J106))))-'Council Entry'!J$5)/('Council Entry'!J$6-'Council Entry'!J$5)),1))),"No data"))</f>
        <v/>
      </c>
      <c r="K106" s="13">
        <f>IF('Council Entry'!K106="","",IFERROR(MAX(0,MIN(10,ROUND(IF('Council Entry'!K$7="Decrease Risk",10-10*((IF('Council Entry'!K$4="Logarithm",LN(0.001+IF(AND(ISNUMBER('Council Entry'!K$8),ISNUMBER('Council Entry'!K$9)),MAX(MIN('Council Entry'!K106,'Council Entry'!K$9),'Council Entry'!K$8),'Council Entry'!K106)),IF('Council Entry'!K$4="Exponential",EXP(IF(AND(ISNUMBER('Council Entry'!K$8),ISNUMBER('Council Entry'!K$9)),MAX(MIN('Council Entry'!K106,'Council Entry'!K$9),'Council Entry'!K$8),'Council Entry'!K106)),IF(AND(ISNUMBER('Council Entry'!K$8),ISNUMBER('Council Entry'!K$9)),MAX(MIN('Council Entry'!K106,'Council Entry'!K$9),'Council Entry'!K$8),'Council Entry'!K106))))-'Council Entry'!K$5)/('Council Entry'!K$6-'Council Entry'!K$5),10*((IF('Council Entry'!K$4="Logarithm",LN(0.001+IF(AND(ISNUMBER('Council Entry'!K$8),ISNUMBER('Council Entry'!K$9)),MAX(MIN('Council Entry'!K106,'Council Entry'!K$9),'Council Entry'!K$8),'Council Entry'!K106)),IF('Council Entry'!K$4="Exponential",EXP(IF(AND(ISNUMBER('Council Entry'!K$8),ISNUMBER('Council Entry'!K$9)),MAX(MIN('Council Entry'!K106,'Council Entry'!K$9),'Council Entry'!K$8),'Council Entry'!K106)),IF(AND(ISNUMBER('Council Entry'!K$8),ISNUMBER('Council Entry'!K$9)),MAX(MIN('Council Entry'!K106,'Council Entry'!K$9),'Council Entry'!K$8),'Council Entry'!K106))))-'Council Entry'!K$5)/('Council Entry'!K$6-'Council Entry'!K$5)),1))),"No data"))</f>
        <v/>
      </c>
      <c r="L106" s="13">
        <f>IF('Council Entry'!L106="","",IFERROR(MAX(0,MIN(10,ROUND(IF('Council Entry'!L$7="Decrease Risk",10-10*((IF('Council Entry'!L$4="Logarithm",LN(0.001+IF(AND(ISNUMBER('Council Entry'!L$8),ISNUMBER('Council Entry'!L$9)),MAX(MIN('Council Entry'!L106,'Council Entry'!L$9),'Council Entry'!L$8),'Council Entry'!L106)),IF('Council Entry'!L$4="Exponential",EXP(IF(AND(ISNUMBER('Council Entry'!L$8),ISNUMBER('Council Entry'!L$9)),MAX(MIN('Council Entry'!L106,'Council Entry'!L$9),'Council Entry'!L$8),'Council Entry'!L106)),IF(AND(ISNUMBER('Council Entry'!L$8),ISNUMBER('Council Entry'!L$9)),MAX(MIN('Council Entry'!L106,'Council Entry'!L$9),'Council Entry'!L$8),'Council Entry'!L106))))-'Council Entry'!L$5)/('Council Entry'!L$6-'Council Entry'!L$5),10*((IF('Council Entry'!L$4="Logarithm",LN(0.001+IF(AND(ISNUMBER('Council Entry'!L$8),ISNUMBER('Council Entry'!L$9)),MAX(MIN('Council Entry'!L106,'Council Entry'!L$9),'Council Entry'!L$8),'Council Entry'!L106)),IF('Council Entry'!L$4="Exponential",EXP(IF(AND(ISNUMBER('Council Entry'!L$8),ISNUMBER('Council Entry'!L$9)),MAX(MIN('Council Entry'!L106,'Council Entry'!L$9),'Council Entry'!L$8),'Council Entry'!L106)),IF(AND(ISNUMBER('Council Entry'!L$8),ISNUMBER('Council Entry'!L$9)),MAX(MIN('Council Entry'!L106,'Council Entry'!L$9),'Council Entry'!L$8),'Council Entry'!L106))))-'Council Entry'!L$5)/('Council Entry'!L$6-'Council Entry'!L$5)),1))),"No data"))</f>
        <v/>
      </c>
      <c r="M106" s="13">
        <f>IF('Council Entry'!M106="","",IFERROR(MAX(0,MIN(10,ROUND(IF('Council Entry'!M$7="Decrease Risk",10-10*((IF('Council Entry'!M$4="Logarithm",LN(0.001+IF(AND(ISNUMBER('Council Entry'!M$8),ISNUMBER('Council Entry'!M$9)),MAX(MIN('Council Entry'!M106,'Council Entry'!M$9),'Council Entry'!M$8),'Council Entry'!M106)),IF('Council Entry'!M$4="Exponential",EXP(IF(AND(ISNUMBER('Council Entry'!M$8),ISNUMBER('Council Entry'!M$9)),MAX(MIN('Council Entry'!M106,'Council Entry'!M$9),'Council Entry'!M$8),'Council Entry'!M106)),IF(AND(ISNUMBER('Council Entry'!M$8),ISNUMBER('Council Entry'!M$9)),MAX(MIN('Council Entry'!M106,'Council Entry'!M$9),'Council Entry'!M$8),'Council Entry'!M106))))-'Council Entry'!M$5)/('Council Entry'!M$6-'Council Entry'!M$5),10*((IF('Council Entry'!M$4="Logarithm",LN(0.001+IF(AND(ISNUMBER('Council Entry'!M$8),ISNUMBER('Council Entry'!M$9)),MAX(MIN('Council Entry'!M106,'Council Entry'!M$9),'Council Entry'!M$8),'Council Entry'!M106)),IF('Council Entry'!M$4="Exponential",EXP(IF(AND(ISNUMBER('Council Entry'!M$8),ISNUMBER('Council Entry'!M$9)),MAX(MIN('Council Entry'!M106,'Council Entry'!M$9),'Council Entry'!M$8),'Council Entry'!M106)),IF(AND(ISNUMBER('Council Entry'!M$8),ISNUMBER('Council Entry'!M$9)),MAX(MIN('Council Entry'!M106,'Council Entry'!M$9),'Council Entry'!M$8),'Council Entry'!M106))))-'Council Entry'!M$5)/('Council Entry'!M$6-'Council Entry'!M$5)),1))),"No data"))</f>
        <v/>
      </c>
      <c r="N106" s="13">
        <f>IF('Council Entry'!N106="","",IFERROR(MAX(0,MIN(10,ROUND(IF('Council Entry'!N$7="Decrease Risk",10-10*((IF('Council Entry'!N$4="Logarithm",LN(0.001+IF(AND(ISNUMBER('Council Entry'!N$8),ISNUMBER('Council Entry'!N$9)),MAX(MIN('Council Entry'!N106,'Council Entry'!N$9),'Council Entry'!N$8),'Council Entry'!N106)),IF('Council Entry'!N$4="Exponential",EXP(IF(AND(ISNUMBER('Council Entry'!N$8),ISNUMBER('Council Entry'!N$9)),MAX(MIN('Council Entry'!N106,'Council Entry'!N$9),'Council Entry'!N$8),'Council Entry'!N106)),IF(AND(ISNUMBER('Council Entry'!N$8),ISNUMBER('Council Entry'!N$9)),MAX(MIN('Council Entry'!N106,'Council Entry'!N$9),'Council Entry'!N$8),'Council Entry'!N106))))-'Council Entry'!N$5)/('Council Entry'!N$6-'Council Entry'!N$5),10*((IF('Council Entry'!N$4="Logarithm",LN(0.001+IF(AND(ISNUMBER('Council Entry'!N$8),ISNUMBER('Council Entry'!N$9)),MAX(MIN('Council Entry'!N106,'Council Entry'!N$9),'Council Entry'!N$8),'Council Entry'!N106)),IF('Council Entry'!N$4="Exponential",EXP(IF(AND(ISNUMBER('Council Entry'!N$8),ISNUMBER('Council Entry'!N$9)),MAX(MIN('Council Entry'!N106,'Council Entry'!N$9),'Council Entry'!N$8),'Council Entry'!N106)),IF(AND(ISNUMBER('Council Entry'!N$8),ISNUMBER('Council Entry'!N$9)),MAX(MIN('Council Entry'!N106,'Council Entry'!N$9),'Council Entry'!N$8),'Council Entry'!N106))))-'Council Entry'!N$5)/('Council Entry'!N$6-'Council Entry'!N$5)),1))),"No data"))</f>
        <v/>
      </c>
      <c r="O106" s="13">
        <f>IF('Council Entry'!O106="","",IFERROR(MAX(0,MIN(10,ROUND(IF('Council Entry'!O$7="Decrease Risk",10-10*((IF('Council Entry'!O$4="Logarithm",LN(0.001+IF(AND(ISNUMBER('Council Entry'!O$8),ISNUMBER('Council Entry'!O$9)),MAX(MIN('Council Entry'!O106,'Council Entry'!O$9),'Council Entry'!O$8),'Council Entry'!O106)),IF('Council Entry'!O$4="Exponential",EXP(IF(AND(ISNUMBER('Council Entry'!O$8),ISNUMBER('Council Entry'!O$9)),MAX(MIN('Council Entry'!O106,'Council Entry'!O$9),'Council Entry'!O$8),'Council Entry'!O106)),IF(AND(ISNUMBER('Council Entry'!O$8),ISNUMBER('Council Entry'!O$9)),MAX(MIN('Council Entry'!O106,'Council Entry'!O$9),'Council Entry'!O$8),'Council Entry'!O106))))-'Council Entry'!O$5)/('Council Entry'!O$6-'Council Entry'!O$5),10*((IF('Council Entry'!O$4="Logarithm",LN(0.001+IF(AND(ISNUMBER('Council Entry'!O$8),ISNUMBER('Council Entry'!O$9)),MAX(MIN('Council Entry'!O106,'Council Entry'!O$9),'Council Entry'!O$8),'Council Entry'!O106)),IF('Council Entry'!O$4="Exponential",EXP(IF(AND(ISNUMBER('Council Entry'!O$8),ISNUMBER('Council Entry'!O$9)),MAX(MIN('Council Entry'!O106,'Council Entry'!O$9),'Council Entry'!O$8),'Council Entry'!O106)),IF(AND(ISNUMBER('Council Entry'!O$8),ISNUMBER('Council Entry'!O$9)),MAX(MIN('Council Entry'!O106,'Council Entry'!O$9),'Council Entry'!O$8),'Council Entry'!O106))))-'Council Entry'!O$5)/('Council Entry'!O$6-'Council Entry'!O$5)),1))),"No data"))</f>
        <v/>
      </c>
      <c r="P106" s="13">
        <f>IF('Council Entry'!P106="","",IFERROR(MAX(0,MIN(10,ROUND(IF('Council Entry'!P$7="Decrease Risk",10-10*((IF('Council Entry'!P$4="Logarithm",LN(0.001+IF(AND(ISNUMBER('Council Entry'!P$8),ISNUMBER('Council Entry'!P$9)),MAX(MIN('Council Entry'!P106,'Council Entry'!P$9),'Council Entry'!P$8),'Council Entry'!P106)),IF('Council Entry'!P$4="Exponential",EXP(IF(AND(ISNUMBER('Council Entry'!P$8),ISNUMBER('Council Entry'!P$9)),MAX(MIN('Council Entry'!P106,'Council Entry'!P$9),'Council Entry'!P$8),'Council Entry'!P106)),IF(AND(ISNUMBER('Council Entry'!P$8),ISNUMBER('Council Entry'!P$9)),MAX(MIN('Council Entry'!P106,'Council Entry'!P$9),'Council Entry'!P$8),'Council Entry'!P106))))-'Council Entry'!P$5)/('Council Entry'!P$6-'Council Entry'!P$5),10*((IF('Council Entry'!P$4="Logarithm",LN(0.001+IF(AND(ISNUMBER('Council Entry'!P$8),ISNUMBER('Council Entry'!P$9)),MAX(MIN('Council Entry'!P106,'Council Entry'!P$9),'Council Entry'!P$8),'Council Entry'!P106)),IF('Council Entry'!P$4="Exponential",EXP(IF(AND(ISNUMBER('Council Entry'!P$8),ISNUMBER('Council Entry'!P$9)),MAX(MIN('Council Entry'!P106,'Council Entry'!P$9),'Council Entry'!P$8),'Council Entry'!P106)),IF(AND(ISNUMBER('Council Entry'!P$8),ISNUMBER('Council Entry'!P$9)),MAX(MIN('Council Entry'!P106,'Council Entry'!P$9),'Council Entry'!P$8),'Council Entry'!P106))))-'Council Entry'!P$5)/('Council Entry'!P$6-'Council Entry'!P$5)),1))),"No data"))</f>
        <v/>
      </c>
      <c r="Q106" s="13">
        <f>IF('Council Entry'!Q106="","",IFERROR(MAX(0,MIN(10,ROUND(IF('Council Entry'!Q$7="Decrease Risk",10-10*((IF('Council Entry'!Q$4="Logarithm",LN(0.001+IF(AND(ISNUMBER('Council Entry'!Q$8),ISNUMBER('Council Entry'!Q$9)),MAX(MIN('Council Entry'!Q106,'Council Entry'!Q$9),'Council Entry'!Q$8),'Council Entry'!Q106)),IF('Council Entry'!Q$4="Exponential",EXP(IF(AND(ISNUMBER('Council Entry'!Q$8),ISNUMBER('Council Entry'!Q$9)),MAX(MIN('Council Entry'!Q106,'Council Entry'!Q$9),'Council Entry'!Q$8),'Council Entry'!Q106)),IF(AND(ISNUMBER('Council Entry'!Q$8),ISNUMBER('Council Entry'!Q$9)),MAX(MIN('Council Entry'!Q106,'Council Entry'!Q$9),'Council Entry'!Q$8),'Council Entry'!Q106))))-'Council Entry'!Q$5)/('Council Entry'!Q$6-'Council Entry'!Q$5),10*((IF('Council Entry'!Q$4="Logarithm",LN(0.001+IF(AND(ISNUMBER('Council Entry'!Q$8),ISNUMBER('Council Entry'!Q$9)),MAX(MIN('Council Entry'!Q106,'Council Entry'!Q$9),'Council Entry'!Q$8),'Council Entry'!Q106)),IF('Council Entry'!Q$4="Exponential",EXP(IF(AND(ISNUMBER('Council Entry'!Q$8),ISNUMBER('Council Entry'!Q$9)),MAX(MIN('Council Entry'!Q106,'Council Entry'!Q$9),'Council Entry'!Q$8),'Council Entry'!Q106)),IF(AND(ISNUMBER('Council Entry'!Q$8),ISNUMBER('Council Entry'!Q$9)),MAX(MIN('Council Entry'!Q106,'Council Entry'!Q$9),'Council Entry'!Q$8),'Council Entry'!Q106))))-'Council Entry'!Q$5)/('Council Entry'!Q$6-'Council Entry'!Q$5)),1))),"No data"))</f>
        <v/>
      </c>
      <c r="R106" s="13">
        <f>IF('Council Entry'!R106="","",IFERROR(MAX(0,MIN(10,ROUND(IF('Council Entry'!R$7="Decrease Risk",10-10*((IF('Council Entry'!R$4="Logarithm",LN(0.001+IF(AND(ISNUMBER('Council Entry'!R$8),ISNUMBER('Council Entry'!R$9)),MAX(MIN('Council Entry'!R106,'Council Entry'!R$9),'Council Entry'!R$8),'Council Entry'!R106)),IF('Council Entry'!R$4="Exponential",EXP(IF(AND(ISNUMBER('Council Entry'!R$8),ISNUMBER('Council Entry'!R$9)),MAX(MIN('Council Entry'!R106,'Council Entry'!R$9),'Council Entry'!R$8),'Council Entry'!R106)),IF(AND(ISNUMBER('Council Entry'!R$8),ISNUMBER('Council Entry'!R$9)),MAX(MIN('Council Entry'!R106,'Council Entry'!R$9),'Council Entry'!R$8),'Council Entry'!R106))))-'Council Entry'!R$5)/('Council Entry'!R$6-'Council Entry'!R$5),10*((IF('Council Entry'!R$4="Logarithm",LN(0.001+IF(AND(ISNUMBER('Council Entry'!R$8),ISNUMBER('Council Entry'!R$9)),MAX(MIN('Council Entry'!R106,'Council Entry'!R$9),'Council Entry'!R$8),'Council Entry'!R106)),IF('Council Entry'!R$4="Exponential",EXP(IF(AND(ISNUMBER('Council Entry'!R$8),ISNUMBER('Council Entry'!R$9)),MAX(MIN('Council Entry'!R106,'Council Entry'!R$9),'Council Entry'!R$8),'Council Entry'!R106)),IF(AND(ISNUMBER('Council Entry'!R$8),ISNUMBER('Council Entry'!R$9)),MAX(MIN('Council Entry'!R106,'Council Entry'!R$9),'Council Entry'!R$8),'Council Entry'!R106))))-'Council Entry'!R$5)/('Council Entry'!R$6-'Council Entry'!R$5)),1))),"No data"))</f>
        <v/>
      </c>
      <c r="S106" s="13">
        <f>IF('Council Entry'!S106="","",IFERROR(MAX(0,MIN(10,ROUND(IF('Council Entry'!S$7="Decrease Risk",10-10*((IF('Council Entry'!S$4="Logarithm",LN(0.001+IF(AND(ISNUMBER('Council Entry'!S$8),ISNUMBER('Council Entry'!S$9)),MAX(MIN('Council Entry'!S106,'Council Entry'!S$9),'Council Entry'!S$8),'Council Entry'!S106)),IF('Council Entry'!S$4="Exponential",EXP(IF(AND(ISNUMBER('Council Entry'!S$8),ISNUMBER('Council Entry'!S$9)),MAX(MIN('Council Entry'!S106,'Council Entry'!S$9),'Council Entry'!S$8),'Council Entry'!S106)),IF(AND(ISNUMBER('Council Entry'!S$8),ISNUMBER('Council Entry'!S$9)),MAX(MIN('Council Entry'!S106,'Council Entry'!S$9),'Council Entry'!S$8),'Council Entry'!S106))))-'Council Entry'!S$5)/('Council Entry'!S$6-'Council Entry'!S$5),10*((IF('Council Entry'!S$4="Logarithm",LN(0.001+IF(AND(ISNUMBER('Council Entry'!S$8),ISNUMBER('Council Entry'!S$9)),MAX(MIN('Council Entry'!S106,'Council Entry'!S$9),'Council Entry'!S$8),'Council Entry'!S106)),IF('Council Entry'!S$4="Exponential",EXP(IF(AND(ISNUMBER('Council Entry'!S$8),ISNUMBER('Council Entry'!S$9)),MAX(MIN('Council Entry'!S106,'Council Entry'!S$9),'Council Entry'!S$8),'Council Entry'!S106)),IF(AND(ISNUMBER('Council Entry'!S$8),ISNUMBER('Council Entry'!S$9)),MAX(MIN('Council Entry'!S106,'Council Entry'!S$9),'Council Entry'!S$8),'Council Entry'!S106))))-'Council Entry'!S$5)/('Council Entry'!S$6-'Council Entry'!S$5)),1))),"No data"))</f>
        <v/>
      </c>
      <c r="T106" s="13">
        <f>IF('Council Entry'!T106="","",IFERROR(MAX(0,MIN(10,ROUND(IF('Council Entry'!T$7="Decrease Risk",10-10*((IF('Council Entry'!T$4="Logarithm",LN(0.001+IF(AND(ISNUMBER('Council Entry'!T$8),ISNUMBER('Council Entry'!T$9)),MAX(MIN('Council Entry'!T106,'Council Entry'!T$9),'Council Entry'!T$8),'Council Entry'!T106)),IF('Council Entry'!T$4="Exponential",EXP(IF(AND(ISNUMBER('Council Entry'!T$8),ISNUMBER('Council Entry'!T$9)),MAX(MIN('Council Entry'!T106,'Council Entry'!T$9),'Council Entry'!T$8),'Council Entry'!T106)),IF(AND(ISNUMBER('Council Entry'!T$8),ISNUMBER('Council Entry'!T$9)),MAX(MIN('Council Entry'!T106,'Council Entry'!T$9),'Council Entry'!T$8),'Council Entry'!T106))))-'Council Entry'!T$5)/('Council Entry'!T$6-'Council Entry'!T$5),10*((IF('Council Entry'!T$4="Logarithm",LN(0.001+IF(AND(ISNUMBER('Council Entry'!T$8),ISNUMBER('Council Entry'!T$9)),MAX(MIN('Council Entry'!T106,'Council Entry'!T$9),'Council Entry'!T$8),'Council Entry'!T106)),IF('Council Entry'!T$4="Exponential",EXP(IF(AND(ISNUMBER('Council Entry'!T$8),ISNUMBER('Council Entry'!T$9)),MAX(MIN('Council Entry'!T106,'Council Entry'!T$9),'Council Entry'!T$8),'Council Entry'!T106)),IF(AND(ISNUMBER('Council Entry'!T$8),ISNUMBER('Council Entry'!T$9)),MAX(MIN('Council Entry'!T106,'Council Entry'!T$9),'Council Entry'!T$8),'Council Entry'!T106))))-'Council Entry'!T$5)/('Council Entry'!T$6-'Council Entry'!T$5)),1))),"No data"))</f>
        <v/>
      </c>
      <c r="U106" s="13">
        <f>IF('Council Entry'!U106="","",IFERROR(MAX(0,MIN(10,ROUND(IF('Council Entry'!U$7="Decrease Risk",10-10*((IF('Council Entry'!U$4="Logarithm",LN(0.001+IF(AND(ISNUMBER('Council Entry'!U$8),ISNUMBER('Council Entry'!U$9)),MAX(MIN('Council Entry'!U106,'Council Entry'!U$9),'Council Entry'!U$8),'Council Entry'!U106)),IF('Council Entry'!U$4="Exponential",EXP(IF(AND(ISNUMBER('Council Entry'!U$8),ISNUMBER('Council Entry'!U$9)),MAX(MIN('Council Entry'!U106,'Council Entry'!U$9),'Council Entry'!U$8),'Council Entry'!U106)),IF(AND(ISNUMBER('Council Entry'!U$8),ISNUMBER('Council Entry'!U$9)),MAX(MIN('Council Entry'!U106,'Council Entry'!U$9),'Council Entry'!U$8),'Council Entry'!U106))))-'Council Entry'!U$5)/('Council Entry'!U$6-'Council Entry'!U$5),10*((IF('Council Entry'!U$4="Logarithm",LN(0.001+IF(AND(ISNUMBER('Council Entry'!U$8),ISNUMBER('Council Entry'!U$9)),MAX(MIN('Council Entry'!U106,'Council Entry'!U$9),'Council Entry'!U$8),'Council Entry'!U106)),IF('Council Entry'!U$4="Exponential",EXP(IF(AND(ISNUMBER('Council Entry'!U$8),ISNUMBER('Council Entry'!U$9)),MAX(MIN('Council Entry'!U106,'Council Entry'!U$9),'Council Entry'!U$8),'Council Entry'!U106)),IF(AND(ISNUMBER('Council Entry'!U$8),ISNUMBER('Council Entry'!U$9)),MAX(MIN('Council Entry'!U106,'Council Entry'!U$9),'Council Entry'!U$8),'Council Entry'!U106))))-'Council Entry'!U$5)/('Council Entry'!U$6-'Council Entry'!U$5)),1))),"No data"))</f>
        <v/>
      </c>
      <c r="V106" s="13">
        <f>IF('Council Entry'!V106="","",IFERROR(MAX(0,MIN(10,ROUND(IF('Council Entry'!V$7="Decrease Risk",10-10*((IF('Council Entry'!V$4="Logarithm",LN(0.001+IF(AND(ISNUMBER('Council Entry'!V$8),ISNUMBER('Council Entry'!V$9)),MAX(MIN('Council Entry'!V106,'Council Entry'!V$9),'Council Entry'!V$8),'Council Entry'!V106)),IF('Council Entry'!V$4="Exponential",EXP(IF(AND(ISNUMBER('Council Entry'!V$8),ISNUMBER('Council Entry'!V$9)),MAX(MIN('Council Entry'!V106,'Council Entry'!V$9),'Council Entry'!V$8),'Council Entry'!V106)),IF(AND(ISNUMBER('Council Entry'!V$8),ISNUMBER('Council Entry'!V$9)),MAX(MIN('Council Entry'!V106,'Council Entry'!V$9),'Council Entry'!V$8),'Council Entry'!V106))))-'Council Entry'!V$5)/('Council Entry'!V$6-'Council Entry'!V$5),10*((IF('Council Entry'!V$4="Logarithm",LN(0.001+IF(AND(ISNUMBER('Council Entry'!V$8),ISNUMBER('Council Entry'!V$9)),MAX(MIN('Council Entry'!V106,'Council Entry'!V$9),'Council Entry'!V$8),'Council Entry'!V106)),IF('Council Entry'!V$4="Exponential",EXP(IF(AND(ISNUMBER('Council Entry'!V$8),ISNUMBER('Council Entry'!V$9)),MAX(MIN('Council Entry'!V106,'Council Entry'!V$9),'Council Entry'!V$8),'Council Entry'!V106)),IF(AND(ISNUMBER('Council Entry'!V$8),ISNUMBER('Council Entry'!V$9)),MAX(MIN('Council Entry'!V106,'Council Entry'!V$9),'Council Entry'!V$8),'Council Entry'!V106))))-'Council Entry'!V$5)/('Council Entry'!V$6-'Council Entry'!V$5)),1))),"No data"))</f>
        <v/>
      </c>
      <c r="W106" s="13">
        <f>IF('Council Entry'!W106="","",IFERROR(MAX(0,MIN(10,ROUND(IF('Council Entry'!W$7="Decrease Risk",10-10*((IF('Council Entry'!W$4="Logarithm",LN(0.001+IF(AND(ISNUMBER('Council Entry'!W$8),ISNUMBER('Council Entry'!W$9)),MAX(MIN('Council Entry'!W106,'Council Entry'!W$9),'Council Entry'!W$8),'Council Entry'!W106)),IF('Council Entry'!W$4="Exponential",EXP(IF(AND(ISNUMBER('Council Entry'!W$8),ISNUMBER('Council Entry'!W$9)),MAX(MIN('Council Entry'!W106,'Council Entry'!W$9),'Council Entry'!W$8),'Council Entry'!W106)),IF(AND(ISNUMBER('Council Entry'!W$8),ISNUMBER('Council Entry'!W$9)),MAX(MIN('Council Entry'!W106,'Council Entry'!W$9),'Council Entry'!W$8),'Council Entry'!W106))))-'Council Entry'!W$5)/('Council Entry'!W$6-'Council Entry'!W$5),10*((IF('Council Entry'!W$4="Logarithm",LN(0.001+IF(AND(ISNUMBER('Council Entry'!W$8),ISNUMBER('Council Entry'!W$9)),MAX(MIN('Council Entry'!W106,'Council Entry'!W$9),'Council Entry'!W$8),'Council Entry'!W106)),IF('Council Entry'!W$4="Exponential",EXP(IF(AND(ISNUMBER('Council Entry'!W$8),ISNUMBER('Council Entry'!W$9)),MAX(MIN('Council Entry'!W106,'Council Entry'!W$9),'Council Entry'!W$8),'Council Entry'!W106)),IF(AND(ISNUMBER('Council Entry'!W$8),ISNUMBER('Council Entry'!W$9)),MAX(MIN('Council Entry'!W106,'Council Entry'!W$9),'Council Entry'!W$8),'Council Entry'!W106))))-'Council Entry'!W$5)/('Council Entry'!W$6-'Council Entry'!W$5)),1))),"No data"))</f>
        <v/>
      </c>
      <c r="X106" s="13">
        <f>IF('Council Entry'!X106="","",IFERROR(MAX(0,MIN(10,ROUND(IF('Council Entry'!X$7="Decrease Risk",10-10*((IF('Council Entry'!X$4="Logarithm",LN(0.001+IF(AND(ISNUMBER('Council Entry'!X$8),ISNUMBER('Council Entry'!X$9)),MAX(MIN('Council Entry'!X106,'Council Entry'!X$9),'Council Entry'!X$8),'Council Entry'!X106)),IF('Council Entry'!X$4="Exponential",EXP(IF(AND(ISNUMBER('Council Entry'!X$8),ISNUMBER('Council Entry'!X$9)),MAX(MIN('Council Entry'!X106,'Council Entry'!X$9),'Council Entry'!X$8),'Council Entry'!X106)),IF(AND(ISNUMBER('Council Entry'!X$8),ISNUMBER('Council Entry'!X$9)),MAX(MIN('Council Entry'!X106,'Council Entry'!X$9),'Council Entry'!X$8),'Council Entry'!X106))))-'Council Entry'!X$5)/('Council Entry'!X$6-'Council Entry'!X$5),10*((IF('Council Entry'!X$4="Logarithm",LN(0.001+IF(AND(ISNUMBER('Council Entry'!X$8),ISNUMBER('Council Entry'!X$9)),MAX(MIN('Council Entry'!X106,'Council Entry'!X$9),'Council Entry'!X$8),'Council Entry'!X106)),IF('Council Entry'!X$4="Exponential",EXP(IF(AND(ISNUMBER('Council Entry'!X$8),ISNUMBER('Council Entry'!X$9)),MAX(MIN('Council Entry'!X106,'Council Entry'!X$9),'Council Entry'!X$8),'Council Entry'!X106)),IF(AND(ISNUMBER('Council Entry'!X$8),ISNUMBER('Council Entry'!X$9)),MAX(MIN('Council Entry'!X106,'Council Entry'!X$9),'Council Entry'!X$8),'Council Entry'!X106))))-'Council Entry'!X$5)/('Council Entry'!X$6-'Council Entry'!X$5)),1))),"No data"))</f>
        <v/>
      </c>
      <c r="Y106" s="13">
        <f>IF('Council Entry'!Y106="","",IFERROR(MAX(0,MIN(10,ROUND(IF('Council Entry'!Y$7="Decrease Risk",10-10*((IF('Council Entry'!Y$4="Logarithm",LN(0.001+IF(AND(ISNUMBER('Council Entry'!Y$8),ISNUMBER('Council Entry'!Y$9)),MAX(MIN('Council Entry'!Y106,'Council Entry'!Y$9),'Council Entry'!Y$8),'Council Entry'!Y106)),IF('Council Entry'!Y$4="Exponential",EXP(IF(AND(ISNUMBER('Council Entry'!Y$8),ISNUMBER('Council Entry'!Y$9)),MAX(MIN('Council Entry'!Y106,'Council Entry'!Y$9),'Council Entry'!Y$8),'Council Entry'!Y106)),IF(AND(ISNUMBER('Council Entry'!Y$8),ISNUMBER('Council Entry'!Y$9)),MAX(MIN('Council Entry'!Y106,'Council Entry'!Y$9),'Council Entry'!Y$8),'Council Entry'!Y106))))-'Council Entry'!Y$5)/('Council Entry'!Y$6-'Council Entry'!Y$5),10*((IF('Council Entry'!Y$4="Logarithm",LN(0.001+IF(AND(ISNUMBER('Council Entry'!Y$8),ISNUMBER('Council Entry'!Y$9)),MAX(MIN('Council Entry'!Y106,'Council Entry'!Y$9),'Council Entry'!Y$8),'Council Entry'!Y106)),IF('Council Entry'!Y$4="Exponential",EXP(IF(AND(ISNUMBER('Council Entry'!Y$8),ISNUMBER('Council Entry'!Y$9)),MAX(MIN('Council Entry'!Y106,'Council Entry'!Y$9),'Council Entry'!Y$8),'Council Entry'!Y106)),IF(AND(ISNUMBER('Council Entry'!Y$8),ISNUMBER('Council Entry'!Y$9)),MAX(MIN('Council Entry'!Y106,'Council Entry'!Y$9),'Council Entry'!Y$8),'Council Entry'!Y106))))-'Council Entry'!Y$5)/('Council Entry'!Y$6-'Council Entry'!Y$5)),1))),"No data"))</f>
        <v/>
      </c>
      <c r="Z106" s="13">
        <f>IF('Council Entry'!Z106="","",IFERROR(MAX(0,MIN(10,ROUND(IF('Council Entry'!Z$7="Decrease Risk",10-10*((IF('Council Entry'!Z$4="Logarithm",LN(0.001+IF(AND(ISNUMBER('Council Entry'!Z$8),ISNUMBER('Council Entry'!Z$9)),MAX(MIN('Council Entry'!Z106,'Council Entry'!Z$9),'Council Entry'!Z$8),'Council Entry'!Z106)),IF('Council Entry'!Z$4="Exponential",EXP(IF(AND(ISNUMBER('Council Entry'!Z$8),ISNUMBER('Council Entry'!Z$9)),MAX(MIN('Council Entry'!Z106,'Council Entry'!Z$9),'Council Entry'!Z$8),'Council Entry'!Z106)),IF(AND(ISNUMBER('Council Entry'!Z$8),ISNUMBER('Council Entry'!Z$9)),MAX(MIN('Council Entry'!Z106,'Council Entry'!Z$9),'Council Entry'!Z$8),'Council Entry'!Z106))))-'Council Entry'!Z$5)/('Council Entry'!Z$6-'Council Entry'!Z$5),10*((IF('Council Entry'!Z$4="Logarithm",LN(0.001+IF(AND(ISNUMBER('Council Entry'!Z$8),ISNUMBER('Council Entry'!Z$9)),MAX(MIN('Council Entry'!Z106,'Council Entry'!Z$9),'Council Entry'!Z$8),'Council Entry'!Z106)),IF('Council Entry'!Z$4="Exponential",EXP(IF(AND(ISNUMBER('Council Entry'!Z$8),ISNUMBER('Council Entry'!Z$9)),MAX(MIN('Council Entry'!Z106,'Council Entry'!Z$9),'Council Entry'!Z$8),'Council Entry'!Z106)),IF(AND(ISNUMBER('Council Entry'!Z$8),ISNUMBER('Council Entry'!Z$9)),MAX(MIN('Council Entry'!Z106,'Council Entry'!Z$9),'Council Entry'!Z$8),'Council Entry'!Z106))))-'Council Entry'!Z$5)/('Council Entry'!Z$6-'Council Entry'!Z$5)),1))),"No data"))</f>
        <v/>
      </c>
      <c r="AA106" s="13">
        <f>IF('Council Entry'!AA106="","",IFERROR(MAX(0,MIN(10,ROUND(IF('Council Entry'!AA$7="Decrease Risk",10-10*((IF('Council Entry'!AA$4="Logarithm",LN(0.001+IF(AND(ISNUMBER('Council Entry'!AA$8),ISNUMBER('Council Entry'!AA$9)),MAX(MIN('Council Entry'!AA106,'Council Entry'!AA$9),'Council Entry'!AA$8),'Council Entry'!AA106)),IF('Council Entry'!AA$4="Exponential",EXP(IF(AND(ISNUMBER('Council Entry'!AA$8),ISNUMBER('Council Entry'!AA$9)),MAX(MIN('Council Entry'!AA106,'Council Entry'!AA$9),'Council Entry'!AA$8),'Council Entry'!AA106)),IF(AND(ISNUMBER('Council Entry'!AA$8),ISNUMBER('Council Entry'!AA$9)),MAX(MIN('Council Entry'!AA106,'Council Entry'!AA$9),'Council Entry'!AA$8),'Council Entry'!AA106))))-'Council Entry'!AA$5)/('Council Entry'!AA$6-'Council Entry'!AA$5),10*((IF('Council Entry'!AA$4="Logarithm",LN(0.001+IF(AND(ISNUMBER('Council Entry'!AA$8),ISNUMBER('Council Entry'!AA$9)),MAX(MIN('Council Entry'!AA106,'Council Entry'!AA$9),'Council Entry'!AA$8),'Council Entry'!AA106)),IF('Council Entry'!AA$4="Exponential",EXP(IF(AND(ISNUMBER('Council Entry'!AA$8),ISNUMBER('Council Entry'!AA$9)),MAX(MIN('Council Entry'!AA106,'Council Entry'!AA$9),'Council Entry'!AA$8),'Council Entry'!AA106)),IF(AND(ISNUMBER('Council Entry'!AA$8),ISNUMBER('Council Entry'!AA$9)),MAX(MIN('Council Entry'!AA106,'Council Entry'!AA$9),'Council Entry'!AA$8),'Council Entry'!AA106))))-'Council Entry'!AA$5)/('Council Entry'!AA$6-'Council Entry'!AA$5)),1))),"No data"))</f>
        <v/>
      </c>
      <c r="AB106" s="13">
        <f>IF('Council Entry'!AB106="","",IFERROR(MAX(0,MIN(10,ROUND(IF('Council Entry'!AB$7="Decrease Risk",10-10*((IF('Council Entry'!AB$4="Logarithm",LN(0.001+IF(AND(ISNUMBER('Council Entry'!AB$8),ISNUMBER('Council Entry'!AB$9)),MAX(MIN('Council Entry'!AB106,'Council Entry'!AB$9),'Council Entry'!AB$8),'Council Entry'!AB106)),IF('Council Entry'!AB$4="Exponential",EXP(IF(AND(ISNUMBER('Council Entry'!AB$8),ISNUMBER('Council Entry'!AB$9)),MAX(MIN('Council Entry'!AB106,'Council Entry'!AB$9),'Council Entry'!AB$8),'Council Entry'!AB106)),IF(AND(ISNUMBER('Council Entry'!AB$8),ISNUMBER('Council Entry'!AB$9)),MAX(MIN('Council Entry'!AB106,'Council Entry'!AB$9),'Council Entry'!AB$8),'Council Entry'!AB106))))-'Council Entry'!AB$5)/('Council Entry'!AB$6-'Council Entry'!AB$5),10*((IF('Council Entry'!AB$4="Logarithm",LN(0.001+IF(AND(ISNUMBER('Council Entry'!AB$8),ISNUMBER('Council Entry'!AB$9)),MAX(MIN('Council Entry'!AB106,'Council Entry'!AB$9),'Council Entry'!AB$8),'Council Entry'!AB106)),IF('Council Entry'!AB$4="Exponential",EXP(IF(AND(ISNUMBER('Council Entry'!AB$8),ISNUMBER('Council Entry'!AB$9)),MAX(MIN('Council Entry'!AB106,'Council Entry'!AB$9),'Council Entry'!AB$8),'Council Entry'!AB106)),IF(AND(ISNUMBER('Council Entry'!AB$8),ISNUMBER('Council Entry'!AB$9)),MAX(MIN('Council Entry'!AB106,'Council Entry'!AB$9),'Council Entry'!AB$8),'Council Entry'!AB106))))-'Council Entry'!AB$5)/('Council Entry'!AB$6-'Council Entry'!AB$5)),1))),"No data"))</f>
        <v/>
      </c>
      <c r="AC106" s="13">
        <f>IF('Council Entry'!AC106="","",IFERROR(MAX(0,MIN(10,ROUND(IF('Council Entry'!AC$7="Decrease Risk",10-10*((IF('Council Entry'!AC$4="Logarithm",LN(0.001+IF(AND(ISNUMBER('Council Entry'!AC$8),ISNUMBER('Council Entry'!AC$9)),MAX(MIN('Council Entry'!AC106,'Council Entry'!AC$9),'Council Entry'!AC$8),'Council Entry'!AC106)),IF('Council Entry'!AC$4="Exponential",EXP(IF(AND(ISNUMBER('Council Entry'!AC$8),ISNUMBER('Council Entry'!AC$9)),MAX(MIN('Council Entry'!AC106,'Council Entry'!AC$9),'Council Entry'!AC$8),'Council Entry'!AC106)),IF(AND(ISNUMBER('Council Entry'!AC$8),ISNUMBER('Council Entry'!AC$9)),MAX(MIN('Council Entry'!AC106,'Council Entry'!AC$9),'Council Entry'!AC$8),'Council Entry'!AC106))))-'Council Entry'!AC$5)/('Council Entry'!AC$6-'Council Entry'!AC$5),10*((IF('Council Entry'!AC$4="Logarithm",LN(0.001+IF(AND(ISNUMBER('Council Entry'!AC$8),ISNUMBER('Council Entry'!AC$9)),MAX(MIN('Council Entry'!AC106,'Council Entry'!AC$9),'Council Entry'!AC$8),'Council Entry'!AC106)),IF('Council Entry'!AC$4="Exponential",EXP(IF(AND(ISNUMBER('Council Entry'!AC$8),ISNUMBER('Council Entry'!AC$9)),MAX(MIN('Council Entry'!AC106,'Council Entry'!AC$9),'Council Entry'!AC$8),'Council Entry'!AC106)),IF(AND(ISNUMBER('Council Entry'!AC$8),ISNUMBER('Council Entry'!AC$9)),MAX(MIN('Council Entry'!AC106,'Council Entry'!AC$9),'Council Entry'!AC$8),'Council Entry'!AC106))))-'Council Entry'!AC$5)/('Council Entry'!AC$6-'Council Entry'!AC$5)),1))),"No data"))</f>
        <v/>
      </c>
      <c r="AD106" s="13">
        <f>IF('Council Entry'!AD106="","",IFERROR(MAX(0,MIN(10,ROUND(IF('Council Entry'!AD$7="Decrease Risk",10-10*((IF('Council Entry'!AD$4="Logarithm",LN(0.001+IF(AND(ISNUMBER('Council Entry'!AD$8),ISNUMBER('Council Entry'!AD$9)),MAX(MIN('Council Entry'!AD106,'Council Entry'!AD$9),'Council Entry'!AD$8),'Council Entry'!AD106)),IF('Council Entry'!AD$4="Exponential",EXP(IF(AND(ISNUMBER('Council Entry'!AD$8),ISNUMBER('Council Entry'!AD$9)),MAX(MIN('Council Entry'!AD106,'Council Entry'!AD$9),'Council Entry'!AD$8),'Council Entry'!AD106)),IF(AND(ISNUMBER('Council Entry'!AD$8),ISNUMBER('Council Entry'!AD$9)),MAX(MIN('Council Entry'!AD106,'Council Entry'!AD$9),'Council Entry'!AD$8),'Council Entry'!AD106))))-'Council Entry'!AD$5)/('Council Entry'!AD$6-'Council Entry'!AD$5),10*((IF('Council Entry'!AD$4="Logarithm",LN(0.001+IF(AND(ISNUMBER('Council Entry'!AD$8),ISNUMBER('Council Entry'!AD$9)),MAX(MIN('Council Entry'!AD106,'Council Entry'!AD$9),'Council Entry'!AD$8),'Council Entry'!AD106)),IF('Council Entry'!AD$4="Exponential",EXP(IF(AND(ISNUMBER('Council Entry'!AD$8),ISNUMBER('Council Entry'!AD$9)),MAX(MIN('Council Entry'!AD106,'Council Entry'!AD$9),'Council Entry'!AD$8),'Council Entry'!AD106)),IF(AND(ISNUMBER('Council Entry'!AD$8),ISNUMBER('Council Entry'!AD$9)),MAX(MIN('Council Entry'!AD106,'Council Entry'!AD$9),'Council Entry'!AD$8),'Council Entry'!AD106))))-'Council Entry'!AD$5)/('Council Entry'!AD$6-'Council Entry'!AD$5)),1))),"No data"))</f>
        <v/>
      </c>
      <c r="AE106" s="13">
        <f>IF('Council Entry'!AE106="","",IFERROR(MAX(0,MIN(10,ROUND(IF('Council Entry'!AE$7="Decrease Risk",10-10*((IF('Council Entry'!AE$4="Logarithm",LN(0.001+IF(AND(ISNUMBER('Council Entry'!AE$8),ISNUMBER('Council Entry'!AE$9)),MAX(MIN('Council Entry'!AE106,'Council Entry'!AE$9),'Council Entry'!AE$8),'Council Entry'!AE106)),IF('Council Entry'!AE$4="Exponential",EXP(IF(AND(ISNUMBER('Council Entry'!AE$8),ISNUMBER('Council Entry'!AE$9)),MAX(MIN('Council Entry'!AE106,'Council Entry'!AE$9),'Council Entry'!AE$8),'Council Entry'!AE106)),IF(AND(ISNUMBER('Council Entry'!AE$8),ISNUMBER('Council Entry'!AE$9)),MAX(MIN('Council Entry'!AE106,'Council Entry'!AE$9),'Council Entry'!AE$8),'Council Entry'!AE106))))-'Council Entry'!AE$5)/('Council Entry'!AE$6-'Council Entry'!AE$5),10*((IF('Council Entry'!AE$4="Logarithm",LN(0.001+IF(AND(ISNUMBER('Council Entry'!AE$8),ISNUMBER('Council Entry'!AE$9)),MAX(MIN('Council Entry'!AE106,'Council Entry'!AE$9),'Council Entry'!AE$8),'Council Entry'!AE106)),IF('Council Entry'!AE$4="Exponential",EXP(IF(AND(ISNUMBER('Council Entry'!AE$8),ISNUMBER('Council Entry'!AE$9)),MAX(MIN('Council Entry'!AE106,'Council Entry'!AE$9),'Council Entry'!AE$8),'Council Entry'!AE106)),IF(AND(ISNUMBER('Council Entry'!AE$8),ISNUMBER('Council Entry'!AE$9)),MAX(MIN('Council Entry'!AE106,'Council Entry'!AE$9),'Council Entry'!AE$8),'Council Entry'!AE106))))-'Council Entry'!AE$5)/('Council Entry'!AE$6-'Council Entry'!AE$5)),1))),"No data"))</f>
        <v/>
      </c>
      <c r="AF106" s="13">
        <f>IF('Council Entry'!AF106="","",IFERROR(MAX(0,MIN(10,ROUND(IF('Council Entry'!AF$7="Decrease Risk",10-10*((IF('Council Entry'!AF$4="Logarithm",LN(0.001+IF(AND(ISNUMBER('Council Entry'!AF$8),ISNUMBER('Council Entry'!AF$9)),MAX(MIN('Council Entry'!AF106,'Council Entry'!AF$9),'Council Entry'!AF$8),'Council Entry'!AF106)),IF('Council Entry'!AF$4="Exponential",EXP(IF(AND(ISNUMBER('Council Entry'!AF$8),ISNUMBER('Council Entry'!AF$9)),MAX(MIN('Council Entry'!AF106,'Council Entry'!AF$9),'Council Entry'!AF$8),'Council Entry'!AF106)),IF(AND(ISNUMBER('Council Entry'!AF$8),ISNUMBER('Council Entry'!AF$9)),MAX(MIN('Council Entry'!AF106,'Council Entry'!AF$9),'Council Entry'!AF$8),'Council Entry'!AF106))))-'Council Entry'!AF$5)/('Council Entry'!AF$6-'Council Entry'!AF$5),10*((IF('Council Entry'!AF$4="Logarithm",LN(0.001+IF(AND(ISNUMBER('Council Entry'!AF$8),ISNUMBER('Council Entry'!AF$9)),MAX(MIN('Council Entry'!AF106,'Council Entry'!AF$9),'Council Entry'!AF$8),'Council Entry'!AF106)),IF('Council Entry'!AF$4="Exponential",EXP(IF(AND(ISNUMBER('Council Entry'!AF$8),ISNUMBER('Council Entry'!AF$9)),MAX(MIN('Council Entry'!AF106,'Council Entry'!AF$9),'Council Entry'!AF$8),'Council Entry'!AF106)),IF(AND(ISNUMBER('Council Entry'!AF$8),ISNUMBER('Council Entry'!AF$9)),MAX(MIN('Council Entry'!AF106,'Council Entry'!AF$9),'Council Entry'!AF$8),'Council Entry'!AF106))))-'Council Entry'!AF$5)/('Council Entry'!AF$6-'Council Entry'!AF$5)),1))),"No data"))</f>
        <v/>
      </c>
      <c r="AG106" s="13">
        <f>IF('Council Entry'!AG106="","",IFERROR(MAX(0,MIN(10,ROUND(IF('Council Entry'!AG$7="Decrease Risk",10-10*((IF('Council Entry'!AG$4="Logarithm",LN(0.001+IF(AND(ISNUMBER('Council Entry'!AG$8),ISNUMBER('Council Entry'!AG$9)),MAX(MIN('Council Entry'!AG106,'Council Entry'!AG$9),'Council Entry'!AG$8),'Council Entry'!AG106)),IF('Council Entry'!AG$4="Exponential",EXP(IF(AND(ISNUMBER('Council Entry'!AG$8),ISNUMBER('Council Entry'!AG$9)),MAX(MIN('Council Entry'!AG106,'Council Entry'!AG$9),'Council Entry'!AG$8),'Council Entry'!AG106)),IF(AND(ISNUMBER('Council Entry'!AG$8),ISNUMBER('Council Entry'!AG$9)),MAX(MIN('Council Entry'!AG106,'Council Entry'!AG$9),'Council Entry'!AG$8),'Council Entry'!AG106))))-'Council Entry'!AG$5)/('Council Entry'!AG$6-'Council Entry'!AG$5),10*((IF('Council Entry'!AG$4="Logarithm",LN(0.001+IF(AND(ISNUMBER('Council Entry'!AG$8),ISNUMBER('Council Entry'!AG$9)),MAX(MIN('Council Entry'!AG106,'Council Entry'!AG$9),'Council Entry'!AG$8),'Council Entry'!AG106)),IF('Council Entry'!AG$4="Exponential",EXP(IF(AND(ISNUMBER('Council Entry'!AG$8),ISNUMBER('Council Entry'!AG$9)),MAX(MIN('Council Entry'!AG106,'Council Entry'!AG$9),'Council Entry'!AG$8),'Council Entry'!AG106)),IF(AND(ISNUMBER('Council Entry'!AG$8),ISNUMBER('Council Entry'!AG$9)),MAX(MIN('Council Entry'!AG106,'Council Entry'!AG$9),'Council Entry'!AG$8),'Council Entry'!AG106))))-'Council Entry'!AG$5)/('Council Entry'!AG$6-'Council Entry'!AG$5)),1))),"No data"))</f>
        <v/>
      </c>
      <c r="AH106" s="13">
        <f>IF('Council Entry'!AH106="","",IFERROR(MAX(0,MIN(10,ROUND(IF('Council Entry'!AH$7="Decrease Risk",10-10*((IF('Council Entry'!AH$4="Logarithm",LN(0.001+IF(AND(ISNUMBER('Council Entry'!AH$8),ISNUMBER('Council Entry'!AH$9)),MAX(MIN('Council Entry'!AH106,'Council Entry'!AH$9),'Council Entry'!AH$8),'Council Entry'!AH106)),IF('Council Entry'!AH$4="Exponential",EXP(IF(AND(ISNUMBER('Council Entry'!AH$8),ISNUMBER('Council Entry'!AH$9)),MAX(MIN('Council Entry'!AH106,'Council Entry'!AH$9),'Council Entry'!AH$8),'Council Entry'!AH106)),IF(AND(ISNUMBER('Council Entry'!AH$8),ISNUMBER('Council Entry'!AH$9)),MAX(MIN('Council Entry'!AH106,'Council Entry'!AH$9),'Council Entry'!AH$8),'Council Entry'!AH106))))-'Council Entry'!AH$5)/('Council Entry'!AH$6-'Council Entry'!AH$5),10*((IF('Council Entry'!AH$4="Logarithm",LN(0.001+IF(AND(ISNUMBER('Council Entry'!AH$8),ISNUMBER('Council Entry'!AH$9)),MAX(MIN('Council Entry'!AH106,'Council Entry'!AH$9),'Council Entry'!AH$8),'Council Entry'!AH106)),IF('Council Entry'!AH$4="Exponential",EXP(IF(AND(ISNUMBER('Council Entry'!AH$8),ISNUMBER('Council Entry'!AH$9)),MAX(MIN('Council Entry'!AH106,'Council Entry'!AH$9),'Council Entry'!AH$8),'Council Entry'!AH106)),IF(AND(ISNUMBER('Council Entry'!AH$8),ISNUMBER('Council Entry'!AH$9)),MAX(MIN('Council Entry'!AH106,'Council Entry'!AH$9),'Council Entry'!AH$8),'Council Entry'!AH106))))-'Council Entry'!AH$5)/('Council Entry'!AH$6-'Council Entry'!AH$5)),1))),"No data"))</f>
        <v/>
      </c>
      <c r="AI106" s="13">
        <f>IF('Council Entry'!AI106="","",IFERROR(MAX(0,MIN(10,ROUND(IF('Council Entry'!AI$7="Decrease Risk",10-10*((IF('Council Entry'!AI$4="Logarithm",LN(0.001+IF(AND(ISNUMBER('Council Entry'!AI$8),ISNUMBER('Council Entry'!AI$9)),MAX(MIN('Council Entry'!AI106,'Council Entry'!AI$9),'Council Entry'!AI$8),'Council Entry'!AI106)),IF('Council Entry'!AI$4="Exponential",EXP(IF(AND(ISNUMBER('Council Entry'!AI$8),ISNUMBER('Council Entry'!AI$9)),MAX(MIN('Council Entry'!AI106,'Council Entry'!AI$9),'Council Entry'!AI$8),'Council Entry'!AI106)),IF(AND(ISNUMBER('Council Entry'!AI$8),ISNUMBER('Council Entry'!AI$9)),MAX(MIN('Council Entry'!AI106,'Council Entry'!AI$9),'Council Entry'!AI$8),'Council Entry'!AI106))))-'Council Entry'!AI$5)/('Council Entry'!AI$6-'Council Entry'!AI$5),10*((IF('Council Entry'!AI$4="Logarithm",LN(0.001+IF(AND(ISNUMBER('Council Entry'!AI$8),ISNUMBER('Council Entry'!AI$9)),MAX(MIN('Council Entry'!AI106,'Council Entry'!AI$9),'Council Entry'!AI$8),'Council Entry'!AI106)),IF('Council Entry'!AI$4="Exponential",EXP(IF(AND(ISNUMBER('Council Entry'!AI$8),ISNUMBER('Council Entry'!AI$9)),MAX(MIN('Council Entry'!AI106,'Council Entry'!AI$9),'Council Entry'!AI$8),'Council Entry'!AI106)),IF(AND(ISNUMBER('Council Entry'!AI$8),ISNUMBER('Council Entry'!AI$9)),MAX(MIN('Council Entry'!AI106,'Council Entry'!AI$9),'Council Entry'!AI$8),'Council Entry'!AI106))))-'Council Entry'!AI$5)/('Council Entry'!AI$6-'Council Entry'!AI$5)),1))),"No data"))</f>
        <v/>
      </c>
      <c r="AJ106" s="13">
        <f>IF('Council Entry'!AJ106="","",IFERROR(MAX(0,MIN(10,ROUND(IF('Council Entry'!AJ$7="Decrease Risk",10-10*((IF('Council Entry'!AJ$4="Logarithm",LN(0.001+IF(AND(ISNUMBER('Council Entry'!AJ$8),ISNUMBER('Council Entry'!AJ$9)),MAX(MIN('Council Entry'!AJ106,'Council Entry'!AJ$9),'Council Entry'!AJ$8),'Council Entry'!AJ106)),IF('Council Entry'!AJ$4="Exponential",EXP(IF(AND(ISNUMBER('Council Entry'!AJ$8),ISNUMBER('Council Entry'!AJ$9)),MAX(MIN('Council Entry'!AJ106,'Council Entry'!AJ$9),'Council Entry'!AJ$8),'Council Entry'!AJ106)),IF(AND(ISNUMBER('Council Entry'!AJ$8),ISNUMBER('Council Entry'!AJ$9)),MAX(MIN('Council Entry'!AJ106,'Council Entry'!AJ$9),'Council Entry'!AJ$8),'Council Entry'!AJ106))))-'Council Entry'!AJ$5)/('Council Entry'!AJ$6-'Council Entry'!AJ$5),10*((IF('Council Entry'!AJ$4="Logarithm",LN(0.001+IF(AND(ISNUMBER('Council Entry'!AJ$8),ISNUMBER('Council Entry'!AJ$9)),MAX(MIN('Council Entry'!AJ106,'Council Entry'!AJ$9),'Council Entry'!AJ$8),'Council Entry'!AJ106)),IF('Council Entry'!AJ$4="Exponential",EXP(IF(AND(ISNUMBER('Council Entry'!AJ$8),ISNUMBER('Council Entry'!AJ$9)),MAX(MIN('Council Entry'!AJ106,'Council Entry'!AJ$9),'Council Entry'!AJ$8),'Council Entry'!AJ106)),IF(AND(ISNUMBER('Council Entry'!AJ$8),ISNUMBER('Council Entry'!AJ$9)),MAX(MIN('Council Entry'!AJ106,'Council Entry'!AJ$9),'Council Entry'!AJ$8),'Council Entry'!AJ106))))-'Council Entry'!AJ$5)/('Council Entry'!AJ$6-'Council Entry'!AJ$5)),1))),"No data"))</f>
        <v/>
      </c>
      <c r="AK106" s="13">
        <f>IF('Council Entry'!AK106="","",IFERROR(MAX(0,MIN(10,ROUND(IF('Council Entry'!AK$7="Decrease Risk",10-10*((IF('Council Entry'!AK$4="Logarithm",LN(0.001+IF(AND(ISNUMBER('Council Entry'!AK$8),ISNUMBER('Council Entry'!AK$9)),MAX(MIN('Council Entry'!AK106,'Council Entry'!AK$9),'Council Entry'!AK$8),'Council Entry'!AK106)),IF('Council Entry'!AK$4="Exponential",EXP(IF(AND(ISNUMBER('Council Entry'!AK$8),ISNUMBER('Council Entry'!AK$9)),MAX(MIN('Council Entry'!AK106,'Council Entry'!AK$9),'Council Entry'!AK$8),'Council Entry'!AK106)),IF(AND(ISNUMBER('Council Entry'!AK$8),ISNUMBER('Council Entry'!AK$9)),MAX(MIN('Council Entry'!AK106,'Council Entry'!AK$9),'Council Entry'!AK$8),'Council Entry'!AK106))))-'Council Entry'!AK$5)/('Council Entry'!AK$6-'Council Entry'!AK$5),10*((IF('Council Entry'!AK$4="Logarithm",LN(0.001+IF(AND(ISNUMBER('Council Entry'!AK$8),ISNUMBER('Council Entry'!AK$9)),MAX(MIN('Council Entry'!AK106,'Council Entry'!AK$9),'Council Entry'!AK$8),'Council Entry'!AK106)),IF('Council Entry'!AK$4="Exponential",EXP(IF(AND(ISNUMBER('Council Entry'!AK$8),ISNUMBER('Council Entry'!AK$9)),MAX(MIN('Council Entry'!AK106,'Council Entry'!AK$9),'Council Entry'!AK$8),'Council Entry'!AK106)),IF(AND(ISNUMBER('Council Entry'!AK$8),ISNUMBER('Council Entry'!AK$9)),MAX(MIN('Council Entry'!AK106,'Council Entry'!AK$9),'Council Entry'!AK$8),'Council Entry'!AK106))))-'Council Entry'!AK$5)/('Council Entry'!AK$6-'Council Entry'!AK$5)),1))),"No data"))</f>
        <v/>
      </c>
      <c r="AL106" s="13">
        <f>IF('Council Entry'!AL106="","",IFERROR(MAX(0,MIN(10,ROUND(IF('Council Entry'!AL$7="Decrease Risk",10-10*((IF('Council Entry'!AL$4="Logarithm",LN(0.001+IF(AND(ISNUMBER('Council Entry'!AL$8),ISNUMBER('Council Entry'!AL$9)),MAX(MIN('Council Entry'!AL106,'Council Entry'!AL$9),'Council Entry'!AL$8),'Council Entry'!AL106)),IF('Council Entry'!AL$4="Exponential",EXP(IF(AND(ISNUMBER('Council Entry'!AL$8),ISNUMBER('Council Entry'!AL$9)),MAX(MIN('Council Entry'!AL106,'Council Entry'!AL$9),'Council Entry'!AL$8),'Council Entry'!AL106)),IF(AND(ISNUMBER('Council Entry'!AL$8),ISNUMBER('Council Entry'!AL$9)),MAX(MIN('Council Entry'!AL106,'Council Entry'!AL$9),'Council Entry'!AL$8),'Council Entry'!AL106))))-'Council Entry'!AL$5)/('Council Entry'!AL$6-'Council Entry'!AL$5),10*((IF('Council Entry'!AL$4="Logarithm",LN(0.001+IF(AND(ISNUMBER('Council Entry'!AL$8),ISNUMBER('Council Entry'!AL$9)),MAX(MIN('Council Entry'!AL106,'Council Entry'!AL$9),'Council Entry'!AL$8),'Council Entry'!AL106)),IF('Council Entry'!AL$4="Exponential",EXP(IF(AND(ISNUMBER('Council Entry'!AL$8),ISNUMBER('Council Entry'!AL$9)),MAX(MIN('Council Entry'!AL106,'Council Entry'!AL$9),'Council Entry'!AL$8),'Council Entry'!AL106)),IF(AND(ISNUMBER('Council Entry'!AL$8),ISNUMBER('Council Entry'!AL$9)),MAX(MIN('Council Entry'!AL106,'Council Entry'!AL$9),'Council Entry'!AL$8),'Council Entry'!AL106))))-'Council Entry'!AL$5)/('Council Entry'!AL$6-'Council Entry'!AL$5)),1))),"No data"))</f>
        <v/>
      </c>
      <c r="AM106" s="13">
        <f>IF('Council Entry'!AM106="","",IFERROR(MAX(0,MIN(10,ROUND(IF('Council Entry'!AM$7="Decrease Risk",10-10*((IF('Council Entry'!AM$4="Logarithm",LN(0.001+IF(AND(ISNUMBER('Council Entry'!AM$8),ISNUMBER('Council Entry'!AM$9)),MAX(MIN('Council Entry'!AM106,'Council Entry'!AM$9),'Council Entry'!AM$8),'Council Entry'!AM106)),IF('Council Entry'!AM$4="Exponential",EXP(IF(AND(ISNUMBER('Council Entry'!AM$8),ISNUMBER('Council Entry'!AM$9)),MAX(MIN('Council Entry'!AM106,'Council Entry'!AM$9),'Council Entry'!AM$8),'Council Entry'!AM106)),IF(AND(ISNUMBER('Council Entry'!AM$8),ISNUMBER('Council Entry'!AM$9)),MAX(MIN('Council Entry'!AM106,'Council Entry'!AM$9),'Council Entry'!AM$8),'Council Entry'!AM106))))-'Council Entry'!AM$5)/('Council Entry'!AM$6-'Council Entry'!AM$5),10*((IF('Council Entry'!AM$4="Logarithm",LN(0.001+IF(AND(ISNUMBER('Council Entry'!AM$8),ISNUMBER('Council Entry'!AM$9)),MAX(MIN('Council Entry'!AM106,'Council Entry'!AM$9),'Council Entry'!AM$8),'Council Entry'!AM106)),IF('Council Entry'!AM$4="Exponential",EXP(IF(AND(ISNUMBER('Council Entry'!AM$8),ISNUMBER('Council Entry'!AM$9)),MAX(MIN('Council Entry'!AM106,'Council Entry'!AM$9),'Council Entry'!AM$8),'Council Entry'!AM106)),IF(AND(ISNUMBER('Council Entry'!AM$8),ISNUMBER('Council Entry'!AM$9)),MAX(MIN('Council Entry'!AM106,'Council Entry'!AM$9),'Council Entry'!AM$8),'Council Entry'!AM106))))-'Council Entry'!AM$5)/('Council Entry'!AM$6-'Council Entry'!AM$5)),1))),"No data"))</f>
        <v/>
      </c>
      <c r="AN106" s="13">
        <f>IF('Council Entry'!AN106="","",IFERROR(MAX(0,MIN(10,ROUND(IF('Council Entry'!AN$7="Decrease Risk",10-10*((IF('Council Entry'!AN$4="Logarithm",LN(0.001+IF(AND(ISNUMBER('Council Entry'!AN$8),ISNUMBER('Council Entry'!AN$9)),MAX(MIN('Council Entry'!AN106,'Council Entry'!AN$9),'Council Entry'!AN$8),'Council Entry'!AN106)),IF('Council Entry'!AN$4="Exponential",EXP(IF(AND(ISNUMBER('Council Entry'!AN$8),ISNUMBER('Council Entry'!AN$9)),MAX(MIN('Council Entry'!AN106,'Council Entry'!AN$9),'Council Entry'!AN$8),'Council Entry'!AN106)),IF(AND(ISNUMBER('Council Entry'!AN$8),ISNUMBER('Council Entry'!AN$9)),MAX(MIN('Council Entry'!AN106,'Council Entry'!AN$9),'Council Entry'!AN$8),'Council Entry'!AN106))))-'Council Entry'!AN$5)/('Council Entry'!AN$6-'Council Entry'!AN$5),10*((IF('Council Entry'!AN$4="Logarithm",LN(0.001+IF(AND(ISNUMBER('Council Entry'!AN$8),ISNUMBER('Council Entry'!AN$9)),MAX(MIN('Council Entry'!AN106,'Council Entry'!AN$9),'Council Entry'!AN$8),'Council Entry'!AN106)),IF('Council Entry'!AN$4="Exponential",EXP(IF(AND(ISNUMBER('Council Entry'!AN$8),ISNUMBER('Council Entry'!AN$9)),MAX(MIN('Council Entry'!AN106,'Council Entry'!AN$9),'Council Entry'!AN$8),'Council Entry'!AN106)),IF(AND(ISNUMBER('Council Entry'!AN$8),ISNUMBER('Council Entry'!AN$9)),MAX(MIN('Council Entry'!AN106,'Council Entry'!AN$9),'Council Entry'!AN$8),'Council Entry'!AN106))))-'Council Entry'!AN$5)/('Council Entry'!AN$6-'Council Entry'!AN$5)),1))),"No data"))</f>
        <v/>
      </c>
      <c r="AO106" s="13">
        <f>IF('Council Entry'!AO106="","",IFERROR(MAX(0,MIN(10,ROUND(IF('Council Entry'!AO$7="Decrease Risk",10-10*((IF('Council Entry'!AO$4="Logarithm",LN(0.001+IF(AND(ISNUMBER('Council Entry'!AO$8),ISNUMBER('Council Entry'!AO$9)),MAX(MIN('Council Entry'!AO106,'Council Entry'!AO$9),'Council Entry'!AO$8),'Council Entry'!AO106)),IF('Council Entry'!AO$4="Exponential",EXP(IF(AND(ISNUMBER('Council Entry'!AO$8),ISNUMBER('Council Entry'!AO$9)),MAX(MIN('Council Entry'!AO106,'Council Entry'!AO$9),'Council Entry'!AO$8),'Council Entry'!AO106)),IF(AND(ISNUMBER('Council Entry'!AO$8),ISNUMBER('Council Entry'!AO$9)),MAX(MIN('Council Entry'!AO106,'Council Entry'!AO$9),'Council Entry'!AO$8),'Council Entry'!AO106))))-'Council Entry'!AO$5)/('Council Entry'!AO$6-'Council Entry'!AO$5),10*((IF('Council Entry'!AO$4="Logarithm",LN(0.001+IF(AND(ISNUMBER('Council Entry'!AO$8),ISNUMBER('Council Entry'!AO$9)),MAX(MIN('Council Entry'!AO106,'Council Entry'!AO$9),'Council Entry'!AO$8),'Council Entry'!AO106)),IF('Council Entry'!AO$4="Exponential",EXP(IF(AND(ISNUMBER('Council Entry'!AO$8),ISNUMBER('Council Entry'!AO$9)),MAX(MIN('Council Entry'!AO106,'Council Entry'!AO$9),'Council Entry'!AO$8),'Council Entry'!AO106)),IF(AND(ISNUMBER('Council Entry'!AO$8),ISNUMBER('Council Entry'!AO$9)),MAX(MIN('Council Entry'!AO106,'Council Entry'!AO$9),'Council Entry'!AO$8),'Council Entry'!AO106))))-'Council Entry'!AO$5)/('Council Entry'!AO$6-'Council Entry'!AO$5)),1))),"No data"))</f>
        <v/>
      </c>
      <c r="AP106" s="13">
        <f>IF('Council Entry'!AP106="","",IFERROR(MAX(0,MIN(10,ROUND(IF('Council Entry'!AP$7="Decrease Risk",10-10*((IF('Council Entry'!AP$4="Logarithm",LN(0.001+IF(AND(ISNUMBER('Council Entry'!AP$8),ISNUMBER('Council Entry'!AP$9)),MAX(MIN('Council Entry'!AP106,'Council Entry'!AP$9),'Council Entry'!AP$8),'Council Entry'!AP106)),IF('Council Entry'!AP$4="Exponential",EXP(IF(AND(ISNUMBER('Council Entry'!AP$8),ISNUMBER('Council Entry'!AP$9)),MAX(MIN('Council Entry'!AP106,'Council Entry'!AP$9),'Council Entry'!AP$8),'Council Entry'!AP106)),IF(AND(ISNUMBER('Council Entry'!AP$8),ISNUMBER('Council Entry'!AP$9)),MAX(MIN('Council Entry'!AP106,'Council Entry'!AP$9),'Council Entry'!AP$8),'Council Entry'!AP106))))-'Council Entry'!AP$5)/('Council Entry'!AP$6-'Council Entry'!AP$5),10*((IF('Council Entry'!AP$4="Logarithm",LN(0.001+IF(AND(ISNUMBER('Council Entry'!AP$8),ISNUMBER('Council Entry'!AP$9)),MAX(MIN('Council Entry'!AP106,'Council Entry'!AP$9),'Council Entry'!AP$8),'Council Entry'!AP106)),IF('Council Entry'!AP$4="Exponential",EXP(IF(AND(ISNUMBER('Council Entry'!AP$8),ISNUMBER('Council Entry'!AP$9)),MAX(MIN('Council Entry'!AP106,'Council Entry'!AP$9),'Council Entry'!AP$8),'Council Entry'!AP106)),IF(AND(ISNUMBER('Council Entry'!AP$8),ISNUMBER('Council Entry'!AP$9)),MAX(MIN('Council Entry'!AP106,'Council Entry'!AP$9),'Council Entry'!AP$8),'Council Entry'!AP106))))-'Council Entry'!AP$5)/('Council Entry'!AP$6-'Council Entry'!AP$5)),1))),"No data"))</f>
        <v/>
      </c>
      <c r="AQ106" s="13">
        <f>IF('Council Entry'!AQ106="","",IFERROR(MAX(0,MIN(10,ROUND(IF('Council Entry'!AQ$7="Decrease Risk",10-10*((IF('Council Entry'!AQ$4="Logarithm",LN(0.001+IF(AND(ISNUMBER('Council Entry'!AQ$8),ISNUMBER('Council Entry'!AQ$9)),MAX(MIN('Council Entry'!AQ106,'Council Entry'!AQ$9),'Council Entry'!AQ$8),'Council Entry'!AQ106)),IF('Council Entry'!AQ$4="Exponential",EXP(IF(AND(ISNUMBER('Council Entry'!AQ$8),ISNUMBER('Council Entry'!AQ$9)),MAX(MIN('Council Entry'!AQ106,'Council Entry'!AQ$9),'Council Entry'!AQ$8),'Council Entry'!AQ106)),IF(AND(ISNUMBER('Council Entry'!AQ$8),ISNUMBER('Council Entry'!AQ$9)),MAX(MIN('Council Entry'!AQ106,'Council Entry'!AQ$9),'Council Entry'!AQ$8),'Council Entry'!AQ106))))-'Council Entry'!AQ$5)/('Council Entry'!AQ$6-'Council Entry'!AQ$5),10*((IF('Council Entry'!AQ$4="Logarithm",LN(0.001+IF(AND(ISNUMBER('Council Entry'!AQ$8),ISNUMBER('Council Entry'!AQ$9)),MAX(MIN('Council Entry'!AQ106,'Council Entry'!AQ$9),'Council Entry'!AQ$8),'Council Entry'!AQ106)),IF('Council Entry'!AQ$4="Exponential",EXP(IF(AND(ISNUMBER('Council Entry'!AQ$8),ISNUMBER('Council Entry'!AQ$9)),MAX(MIN('Council Entry'!AQ106,'Council Entry'!AQ$9),'Council Entry'!AQ$8),'Council Entry'!AQ106)),IF(AND(ISNUMBER('Council Entry'!AQ$8),ISNUMBER('Council Entry'!AQ$9)),MAX(MIN('Council Entry'!AQ106,'Council Entry'!AQ$9),'Council Entry'!AQ$8),'Council Entry'!AQ106))))-'Council Entry'!AQ$5)/('Council Entry'!AQ$6-'Council Entry'!AQ$5)),1))),"No data"))</f>
        <v/>
      </c>
      <c r="AR106" s="13">
        <f>IF('Council Entry'!AR106="","",IFERROR(MAX(0,MIN(10,ROUND(IF('Council Entry'!AR$7="Decrease Risk",10-10*((IF('Council Entry'!AR$4="Logarithm",LN(0.001+IF(AND(ISNUMBER('Council Entry'!AR$8),ISNUMBER('Council Entry'!AR$9)),MAX(MIN('Council Entry'!AR106,'Council Entry'!AR$9),'Council Entry'!AR$8),'Council Entry'!AR106)),IF('Council Entry'!AR$4="Exponential",EXP(IF(AND(ISNUMBER('Council Entry'!AR$8),ISNUMBER('Council Entry'!AR$9)),MAX(MIN('Council Entry'!AR106,'Council Entry'!AR$9),'Council Entry'!AR$8),'Council Entry'!AR106)),IF(AND(ISNUMBER('Council Entry'!AR$8),ISNUMBER('Council Entry'!AR$9)),MAX(MIN('Council Entry'!AR106,'Council Entry'!AR$9),'Council Entry'!AR$8),'Council Entry'!AR106))))-'Council Entry'!AR$5)/('Council Entry'!AR$6-'Council Entry'!AR$5),10*((IF('Council Entry'!AR$4="Logarithm",LN(0.001+IF(AND(ISNUMBER('Council Entry'!AR$8),ISNUMBER('Council Entry'!AR$9)),MAX(MIN('Council Entry'!AR106,'Council Entry'!AR$9),'Council Entry'!AR$8),'Council Entry'!AR106)),IF('Council Entry'!AR$4="Exponential",EXP(IF(AND(ISNUMBER('Council Entry'!AR$8),ISNUMBER('Council Entry'!AR$9)),MAX(MIN('Council Entry'!AR106,'Council Entry'!AR$9),'Council Entry'!AR$8),'Council Entry'!AR106)),IF(AND(ISNUMBER('Council Entry'!AR$8),ISNUMBER('Council Entry'!AR$9)),MAX(MIN('Council Entry'!AR106,'Council Entry'!AR$9),'Council Entry'!AR$8),'Council Entry'!AR106))))-'Council Entry'!AR$5)/('Council Entry'!AR$6-'Council Entry'!AR$5)),1))),"No data"))</f>
        <v/>
      </c>
      <c r="AS106" s="13">
        <f>IF('Council Entry'!AS106="","",IFERROR(MAX(0,MIN(10,ROUND(IF('Council Entry'!AS$7="Decrease Risk",10-10*((IF('Council Entry'!AS$4="Logarithm",LN(0.001+IF(AND(ISNUMBER('Council Entry'!AS$8),ISNUMBER('Council Entry'!AS$9)),MAX(MIN('Council Entry'!AS106,'Council Entry'!AS$9),'Council Entry'!AS$8),'Council Entry'!AS106)),IF('Council Entry'!AS$4="Exponential",EXP(IF(AND(ISNUMBER('Council Entry'!AS$8),ISNUMBER('Council Entry'!AS$9)),MAX(MIN('Council Entry'!AS106,'Council Entry'!AS$9),'Council Entry'!AS$8),'Council Entry'!AS106)),IF(AND(ISNUMBER('Council Entry'!AS$8),ISNUMBER('Council Entry'!AS$9)),MAX(MIN('Council Entry'!AS106,'Council Entry'!AS$9),'Council Entry'!AS$8),'Council Entry'!AS106))))-'Council Entry'!AS$5)/('Council Entry'!AS$6-'Council Entry'!AS$5),10*((IF('Council Entry'!AS$4="Logarithm",LN(0.001+IF(AND(ISNUMBER('Council Entry'!AS$8),ISNUMBER('Council Entry'!AS$9)),MAX(MIN('Council Entry'!AS106,'Council Entry'!AS$9),'Council Entry'!AS$8),'Council Entry'!AS106)),IF('Council Entry'!AS$4="Exponential",EXP(IF(AND(ISNUMBER('Council Entry'!AS$8),ISNUMBER('Council Entry'!AS$9)),MAX(MIN('Council Entry'!AS106,'Council Entry'!AS$9),'Council Entry'!AS$8),'Council Entry'!AS106)),IF(AND(ISNUMBER('Council Entry'!AS$8),ISNUMBER('Council Entry'!AS$9)),MAX(MIN('Council Entry'!AS106,'Council Entry'!AS$9),'Council Entry'!AS$8),'Council Entry'!AS106))))-'Council Entry'!AS$5)/('Council Entry'!AS$6-'Council Entry'!AS$5)),1))),"No data"))</f>
        <v/>
      </c>
      <c r="AT106" s="13">
        <f>IF('Council Entry'!AT106="","",IFERROR(MAX(0,MIN(10,ROUND(IF('Council Entry'!AT$7="Decrease Risk",10-10*((IF('Council Entry'!AT$4="Logarithm",LN(0.001+IF(AND(ISNUMBER('Council Entry'!AT$8),ISNUMBER('Council Entry'!AT$9)),MAX(MIN('Council Entry'!AT106,'Council Entry'!AT$9),'Council Entry'!AT$8),'Council Entry'!AT106)),IF('Council Entry'!AT$4="Exponential",EXP(IF(AND(ISNUMBER('Council Entry'!AT$8),ISNUMBER('Council Entry'!AT$9)),MAX(MIN('Council Entry'!AT106,'Council Entry'!AT$9),'Council Entry'!AT$8),'Council Entry'!AT106)),IF(AND(ISNUMBER('Council Entry'!AT$8),ISNUMBER('Council Entry'!AT$9)),MAX(MIN('Council Entry'!AT106,'Council Entry'!AT$9),'Council Entry'!AT$8),'Council Entry'!AT106))))-'Council Entry'!AT$5)/('Council Entry'!AT$6-'Council Entry'!AT$5),10*((IF('Council Entry'!AT$4="Logarithm",LN(0.001+IF(AND(ISNUMBER('Council Entry'!AT$8),ISNUMBER('Council Entry'!AT$9)),MAX(MIN('Council Entry'!AT106,'Council Entry'!AT$9),'Council Entry'!AT$8),'Council Entry'!AT106)),IF('Council Entry'!AT$4="Exponential",EXP(IF(AND(ISNUMBER('Council Entry'!AT$8),ISNUMBER('Council Entry'!AT$9)),MAX(MIN('Council Entry'!AT106,'Council Entry'!AT$9),'Council Entry'!AT$8),'Council Entry'!AT106)),IF(AND(ISNUMBER('Council Entry'!AT$8),ISNUMBER('Council Entry'!AT$9)),MAX(MIN('Council Entry'!AT106,'Council Entry'!AT$9),'Council Entry'!AT$8),'Council Entry'!AT106))))-'Council Entry'!AT$5)/('Council Entry'!AT$6-'Council Entry'!AT$5)),1))),"No data"))</f>
        <v/>
      </c>
      <c r="AU106" s="13">
        <f>IF('Council Entry'!AU106="","",IFERROR(MAX(0,MIN(10,ROUND(IF('Council Entry'!AU$7="Decrease Risk",10-10*((IF('Council Entry'!AU$4="Logarithm",LN(0.001+IF(AND(ISNUMBER('Council Entry'!AU$8),ISNUMBER('Council Entry'!AU$9)),MAX(MIN('Council Entry'!AU106,'Council Entry'!AU$9),'Council Entry'!AU$8),'Council Entry'!AU106)),IF('Council Entry'!AU$4="Exponential",EXP(IF(AND(ISNUMBER('Council Entry'!AU$8),ISNUMBER('Council Entry'!AU$9)),MAX(MIN('Council Entry'!AU106,'Council Entry'!AU$9),'Council Entry'!AU$8),'Council Entry'!AU106)),IF(AND(ISNUMBER('Council Entry'!AU$8),ISNUMBER('Council Entry'!AU$9)),MAX(MIN('Council Entry'!AU106,'Council Entry'!AU$9),'Council Entry'!AU$8),'Council Entry'!AU106))))-'Council Entry'!AU$5)/('Council Entry'!AU$6-'Council Entry'!AU$5),10*((IF('Council Entry'!AU$4="Logarithm",LN(0.001+IF(AND(ISNUMBER('Council Entry'!AU$8),ISNUMBER('Council Entry'!AU$9)),MAX(MIN('Council Entry'!AU106,'Council Entry'!AU$9),'Council Entry'!AU$8),'Council Entry'!AU106)),IF('Council Entry'!AU$4="Exponential",EXP(IF(AND(ISNUMBER('Council Entry'!AU$8),ISNUMBER('Council Entry'!AU$9)),MAX(MIN('Council Entry'!AU106,'Council Entry'!AU$9),'Council Entry'!AU$8),'Council Entry'!AU106)),IF(AND(ISNUMBER('Council Entry'!AU$8),ISNUMBER('Council Entry'!AU$9)),MAX(MIN('Council Entry'!AU106,'Council Entry'!AU$9),'Council Entry'!AU$8),'Council Entry'!AU106))))-'Council Entry'!AU$5)/('Council Entry'!AU$6-'Council Entry'!AU$5)),1))),"No data"))</f>
        <v/>
      </c>
      <c r="AV106" s="13">
        <f>IF('Council Entry'!AV106="","",IFERROR(MAX(0,MIN(10,ROUND(IF('Council Entry'!AV$7="Decrease Risk",10-10*((IF('Council Entry'!AV$4="Logarithm",LN(0.001+IF(AND(ISNUMBER('Council Entry'!AV$8),ISNUMBER('Council Entry'!AV$9)),MAX(MIN('Council Entry'!AV106,'Council Entry'!AV$9),'Council Entry'!AV$8),'Council Entry'!AV106)),IF('Council Entry'!AV$4="Exponential",EXP(IF(AND(ISNUMBER('Council Entry'!AV$8),ISNUMBER('Council Entry'!AV$9)),MAX(MIN('Council Entry'!AV106,'Council Entry'!AV$9),'Council Entry'!AV$8),'Council Entry'!AV106)),IF(AND(ISNUMBER('Council Entry'!AV$8),ISNUMBER('Council Entry'!AV$9)),MAX(MIN('Council Entry'!AV106,'Council Entry'!AV$9),'Council Entry'!AV$8),'Council Entry'!AV106))))-'Council Entry'!AV$5)/('Council Entry'!AV$6-'Council Entry'!AV$5),10*((IF('Council Entry'!AV$4="Logarithm",LN(0.001+IF(AND(ISNUMBER('Council Entry'!AV$8),ISNUMBER('Council Entry'!AV$9)),MAX(MIN('Council Entry'!AV106,'Council Entry'!AV$9),'Council Entry'!AV$8),'Council Entry'!AV106)),IF('Council Entry'!AV$4="Exponential",EXP(IF(AND(ISNUMBER('Council Entry'!AV$8),ISNUMBER('Council Entry'!AV$9)),MAX(MIN('Council Entry'!AV106,'Council Entry'!AV$9),'Council Entry'!AV$8),'Council Entry'!AV106)),IF(AND(ISNUMBER('Council Entry'!AV$8),ISNUMBER('Council Entry'!AV$9)),MAX(MIN('Council Entry'!AV106,'Council Entry'!AV$9),'Council Entry'!AV$8),'Council Entry'!AV106))))-'Council Entry'!AV$5)/('Council Entry'!AV$6-'Council Entry'!AV$5)),1))),"No data"))</f>
        <v/>
      </c>
      <c r="AW106" s="13">
        <f>IF('Council Entry'!AW106="","",IFERROR(MAX(0,MIN(10,ROUND(IF('Council Entry'!AW$7="Decrease Risk",10-10*((IF('Council Entry'!AW$4="Logarithm",LN(0.001+IF(AND(ISNUMBER('Council Entry'!AW$8),ISNUMBER('Council Entry'!AW$9)),MAX(MIN('Council Entry'!AW106,'Council Entry'!AW$9),'Council Entry'!AW$8),'Council Entry'!AW106)),IF('Council Entry'!AW$4="Exponential",EXP(IF(AND(ISNUMBER('Council Entry'!AW$8),ISNUMBER('Council Entry'!AW$9)),MAX(MIN('Council Entry'!AW106,'Council Entry'!AW$9),'Council Entry'!AW$8),'Council Entry'!AW106)),IF(AND(ISNUMBER('Council Entry'!AW$8),ISNUMBER('Council Entry'!AW$9)),MAX(MIN('Council Entry'!AW106,'Council Entry'!AW$9),'Council Entry'!AW$8),'Council Entry'!AW106))))-'Council Entry'!AW$5)/('Council Entry'!AW$6-'Council Entry'!AW$5),10*((IF('Council Entry'!AW$4="Logarithm",LN(0.001+IF(AND(ISNUMBER('Council Entry'!AW$8),ISNUMBER('Council Entry'!AW$9)),MAX(MIN('Council Entry'!AW106,'Council Entry'!AW$9),'Council Entry'!AW$8),'Council Entry'!AW106)),IF('Council Entry'!AW$4="Exponential",EXP(IF(AND(ISNUMBER('Council Entry'!AW$8),ISNUMBER('Council Entry'!AW$9)),MAX(MIN('Council Entry'!AW106,'Council Entry'!AW$9),'Council Entry'!AW$8),'Council Entry'!AW106)),IF(AND(ISNUMBER('Council Entry'!AW$8),ISNUMBER('Council Entry'!AW$9)),MAX(MIN('Council Entry'!AW106,'Council Entry'!AW$9),'Council Entry'!AW$8),'Council Entry'!AW106))))-'Council Entry'!AW$5)/('Council Entry'!AW$6-'Council Entry'!AW$5)),1))),"No data"))</f>
        <v/>
      </c>
      <c r="AX106" s="13">
        <f>IF('Council Entry'!AX106="","",IFERROR(MAX(0,MIN(10,ROUND(IF('Council Entry'!AX$7="Decrease Risk",10-10*((IF('Council Entry'!AX$4="Logarithm",LN(0.001+IF(AND(ISNUMBER('Council Entry'!AX$8),ISNUMBER('Council Entry'!AX$9)),MAX(MIN('Council Entry'!AX106,'Council Entry'!AX$9),'Council Entry'!AX$8),'Council Entry'!AX106)),IF('Council Entry'!AX$4="Exponential",EXP(IF(AND(ISNUMBER('Council Entry'!AX$8),ISNUMBER('Council Entry'!AX$9)),MAX(MIN('Council Entry'!AX106,'Council Entry'!AX$9),'Council Entry'!AX$8),'Council Entry'!AX106)),IF(AND(ISNUMBER('Council Entry'!AX$8),ISNUMBER('Council Entry'!AX$9)),MAX(MIN('Council Entry'!AX106,'Council Entry'!AX$9),'Council Entry'!AX$8),'Council Entry'!AX106))))-'Council Entry'!AX$5)/('Council Entry'!AX$6-'Council Entry'!AX$5),10*((IF('Council Entry'!AX$4="Logarithm",LN(0.001+IF(AND(ISNUMBER('Council Entry'!AX$8),ISNUMBER('Council Entry'!AX$9)),MAX(MIN('Council Entry'!AX106,'Council Entry'!AX$9),'Council Entry'!AX$8),'Council Entry'!AX106)),IF('Council Entry'!AX$4="Exponential",EXP(IF(AND(ISNUMBER('Council Entry'!AX$8),ISNUMBER('Council Entry'!AX$9)),MAX(MIN('Council Entry'!AX106,'Council Entry'!AX$9),'Council Entry'!AX$8),'Council Entry'!AX106)),IF(AND(ISNUMBER('Council Entry'!AX$8),ISNUMBER('Council Entry'!AX$9)),MAX(MIN('Council Entry'!AX106,'Council Entry'!AX$9),'Council Entry'!AX$8),'Council Entry'!AX106))))-'Council Entry'!AX$5)/('Council Entry'!AX$6-'Council Entry'!AX$5)),1))),"No data"))</f>
        <v/>
      </c>
      <c r="AY106" s="13">
        <f>IF('Council Entry'!AY106="","",IFERROR(MAX(0,MIN(10,ROUND(IF('Council Entry'!AY$7="Decrease Risk",10-10*((IF('Council Entry'!AY$4="Logarithm",LN(0.001+IF(AND(ISNUMBER('Council Entry'!AY$8),ISNUMBER('Council Entry'!AY$9)),MAX(MIN('Council Entry'!AY106,'Council Entry'!AY$9),'Council Entry'!AY$8),'Council Entry'!AY106)),IF('Council Entry'!AY$4="Exponential",EXP(IF(AND(ISNUMBER('Council Entry'!AY$8),ISNUMBER('Council Entry'!AY$9)),MAX(MIN('Council Entry'!AY106,'Council Entry'!AY$9),'Council Entry'!AY$8),'Council Entry'!AY106)),IF(AND(ISNUMBER('Council Entry'!AY$8),ISNUMBER('Council Entry'!AY$9)),MAX(MIN('Council Entry'!AY106,'Council Entry'!AY$9),'Council Entry'!AY$8),'Council Entry'!AY106))))-'Council Entry'!AY$5)/('Council Entry'!AY$6-'Council Entry'!AY$5),10*((IF('Council Entry'!AY$4="Logarithm",LN(0.001+IF(AND(ISNUMBER('Council Entry'!AY$8),ISNUMBER('Council Entry'!AY$9)),MAX(MIN('Council Entry'!AY106,'Council Entry'!AY$9),'Council Entry'!AY$8),'Council Entry'!AY106)),IF('Council Entry'!AY$4="Exponential",EXP(IF(AND(ISNUMBER('Council Entry'!AY$8),ISNUMBER('Council Entry'!AY$9)),MAX(MIN('Council Entry'!AY106,'Council Entry'!AY$9),'Council Entry'!AY$8),'Council Entry'!AY106)),IF(AND(ISNUMBER('Council Entry'!AY$8),ISNUMBER('Council Entry'!AY$9)),MAX(MIN('Council Entry'!AY106,'Council Entry'!AY$9),'Council Entry'!AY$8),'Council Entry'!AY106))))-'Council Entry'!AY$5)/('Council Entry'!AY$6-'Council Entry'!AY$5)),1))),"No data"))</f>
        <v/>
      </c>
      <c r="AZ106" s="13">
        <f>IF('Council Entry'!AZ106="","",IFERROR(MAX(0,MIN(10,ROUND(IF('Council Entry'!AZ$7="Decrease Risk",10-10*((IF('Council Entry'!AZ$4="Logarithm",LN(0.001+IF(AND(ISNUMBER('Council Entry'!AZ$8),ISNUMBER('Council Entry'!AZ$9)),MAX(MIN('Council Entry'!AZ106,'Council Entry'!AZ$9),'Council Entry'!AZ$8),'Council Entry'!AZ106)),IF('Council Entry'!AZ$4="Exponential",EXP(IF(AND(ISNUMBER('Council Entry'!AZ$8),ISNUMBER('Council Entry'!AZ$9)),MAX(MIN('Council Entry'!AZ106,'Council Entry'!AZ$9),'Council Entry'!AZ$8),'Council Entry'!AZ106)),IF(AND(ISNUMBER('Council Entry'!AZ$8),ISNUMBER('Council Entry'!AZ$9)),MAX(MIN('Council Entry'!AZ106,'Council Entry'!AZ$9),'Council Entry'!AZ$8),'Council Entry'!AZ106))))-'Council Entry'!AZ$5)/('Council Entry'!AZ$6-'Council Entry'!AZ$5),10*((IF('Council Entry'!AZ$4="Logarithm",LN(0.001+IF(AND(ISNUMBER('Council Entry'!AZ$8),ISNUMBER('Council Entry'!AZ$9)),MAX(MIN('Council Entry'!AZ106,'Council Entry'!AZ$9),'Council Entry'!AZ$8),'Council Entry'!AZ106)),IF('Council Entry'!AZ$4="Exponential",EXP(IF(AND(ISNUMBER('Council Entry'!AZ$8),ISNUMBER('Council Entry'!AZ$9)),MAX(MIN('Council Entry'!AZ106,'Council Entry'!AZ$9),'Council Entry'!AZ$8),'Council Entry'!AZ106)),IF(AND(ISNUMBER('Council Entry'!AZ$8),ISNUMBER('Council Entry'!AZ$9)),MAX(MIN('Council Entry'!AZ106,'Council Entry'!AZ$9),'Council Entry'!AZ$8),'Council Entry'!AZ106))))-'Council Entry'!AZ$5)/('Council Entry'!AZ$6-'Council Entry'!AZ$5)),1))),"No data"))</f>
        <v/>
      </c>
      <c r="BA106" s="13">
        <f>IF('Council Entry'!BA106="","",IFERROR(MAX(0,MIN(10,ROUND(IF('Council Entry'!BA$7="Decrease Risk",10-10*((IF('Council Entry'!BA$4="Logarithm",LN(0.001+IF(AND(ISNUMBER('Council Entry'!BA$8),ISNUMBER('Council Entry'!BA$9)),MAX(MIN('Council Entry'!BA106,'Council Entry'!BA$9),'Council Entry'!BA$8),'Council Entry'!BA106)),IF('Council Entry'!BA$4="Exponential",EXP(IF(AND(ISNUMBER('Council Entry'!BA$8),ISNUMBER('Council Entry'!BA$9)),MAX(MIN('Council Entry'!BA106,'Council Entry'!BA$9),'Council Entry'!BA$8),'Council Entry'!BA106)),IF(AND(ISNUMBER('Council Entry'!BA$8),ISNUMBER('Council Entry'!BA$9)),MAX(MIN('Council Entry'!BA106,'Council Entry'!BA$9),'Council Entry'!BA$8),'Council Entry'!BA106))))-'Council Entry'!BA$5)/('Council Entry'!BA$6-'Council Entry'!BA$5),10*((IF('Council Entry'!BA$4="Logarithm",LN(0.001+IF(AND(ISNUMBER('Council Entry'!BA$8),ISNUMBER('Council Entry'!BA$9)),MAX(MIN('Council Entry'!BA106,'Council Entry'!BA$9),'Council Entry'!BA$8),'Council Entry'!BA106)),IF('Council Entry'!BA$4="Exponential",EXP(IF(AND(ISNUMBER('Council Entry'!BA$8),ISNUMBER('Council Entry'!BA$9)),MAX(MIN('Council Entry'!BA106,'Council Entry'!BA$9),'Council Entry'!BA$8),'Council Entry'!BA106)),IF(AND(ISNUMBER('Council Entry'!BA$8),ISNUMBER('Council Entry'!BA$9)),MAX(MIN('Council Entry'!BA106,'Council Entry'!BA$9),'Council Entry'!BA$8),'Council Entry'!BA106))))-'Council Entry'!BA$5)/('Council Entry'!BA$6-'Council Entry'!BA$5)),1))),"No data"))</f>
        <v/>
      </c>
      <c r="BB106" s="13">
        <f>IF('Council Entry'!BB106="","",IFERROR(MAX(0,MIN(10,ROUND(IF('Council Entry'!BB$7="Decrease Risk",10-10*((IF('Council Entry'!BB$4="Logarithm",LN(0.001+IF(AND(ISNUMBER('Council Entry'!BB$8),ISNUMBER('Council Entry'!BB$9)),MAX(MIN('Council Entry'!BB106,'Council Entry'!BB$9),'Council Entry'!BB$8),'Council Entry'!BB106)),IF('Council Entry'!BB$4="Exponential",EXP(IF(AND(ISNUMBER('Council Entry'!BB$8),ISNUMBER('Council Entry'!BB$9)),MAX(MIN('Council Entry'!BB106,'Council Entry'!BB$9),'Council Entry'!BB$8),'Council Entry'!BB106)),IF(AND(ISNUMBER('Council Entry'!BB$8),ISNUMBER('Council Entry'!BB$9)),MAX(MIN('Council Entry'!BB106,'Council Entry'!BB$9),'Council Entry'!BB$8),'Council Entry'!BB106))))-'Council Entry'!BB$5)/('Council Entry'!BB$6-'Council Entry'!BB$5),10*((IF('Council Entry'!BB$4="Logarithm",LN(0.001+IF(AND(ISNUMBER('Council Entry'!BB$8),ISNUMBER('Council Entry'!BB$9)),MAX(MIN('Council Entry'!BB106,'Council Entry'!BB$9),'Council Entry'!BB$8),'Council Entry'!BB106)),IF('Council Entry'!BB$4="Exponential",EXP(IF(AND(ISNUMBER('Council Entry'!BB$8),ISNUMBER('Council Entry'!BB$9)),MAX(MIN('Council Entry'!BB106,'Council Entry'!BB$9),'Council Entry'!BB$8),'Council Entry'!BB106)),IF(AND(ISNUMBER('Council Entry'!BB$8),ISNUMBER('Council Entry'!BB$9)),MAX(MIN('Council Entry'!BB106,'Council Entry'!BB$9),'Council Entry'!BB$8),'Council Entry'!BB106))))-'Council Entry'!BB$5)/('Council Entry'!BB$6-'Council Entry'!BB$5)),1))),"No data"))</f>
        <v/>
      </c>
      <c r="BC106" s="13">
        <f>IF('Council Entry'!BC106="","",IFERROR(MAX(0,MIN(10,ROUND(IF('Council Entry'!BC$7="Decrease Risk",10-10*((IF('Council Entry'!BC$4="Logarithm",LN(0.001+IF(AND(ISNUMBER('Council Entry'!BC$8),ISNUMBER('Council Entry'!BC$9)),MAX(MIN('Council Entry'!BC106,'Council Entry'!BC$9),'Council Entry'!BC$8),'Council Entry'!BC106)),IF('Council Entry'!BC$4="Exponential",EXP(IF(AND(ISNUMBER('Council Entry'!BC$8),ISNUMBER('Council Entry'!BC$9)),MAX(MIN('Council Entry'!BC106,'Council Entry'!BC$9),'Council Entry'!BC$8),'Council Entry'!BC106)),IF(AND(ISNUMBER('Council Entry'!BC$8),ISNUMBER('Council Entry'!BC$9)),MAX(MIN('Council Entry'!BC106,'Council Entry'!BC$9),'Council Entry'!BC$8),'Council Entry'!BC106))))-'Council Entry'!BC$5)/('Council Entry'!BC$6-'Council Entry'!BC$5),10*((IF('Council Entry'!BC$4="Logarithm",LN(0.001+IF(AND(ISNUMBER('Council Entry'!BC$8),ISNUMBER('Council Entry'!BC$9)),MAX(MIN('Council Entry'!BC106,'Council Entry'!BC$9),'Council Entry'!BC$8),'Council Entry'!BC106)),IF('Council Entry'!BC$4="Exponential",EXP(IF(AND(ISNUMBER('Council Entry'!BC$8),ISNUMBER('Council Entry'!BC$9)),MAX(MIN('Council Entry'!BC106,'Council Entry'!BC$9),'Council Entry'!BC$8),'Council Entry'!BC106)),IF(AND(ISNUMBER('Council Entry'!BC$8),ISNUMBER('Council Entry'!BC$9)),MAX(MIN('Council Entry'!BC106,'Council Entry'!BC$9),'Council Entry'!BC$8),'Council Entry'!BC106))))-'Council Entry'!BC$5)/('Council Entry'!BC$6-'Council Entry'!BC$5)),1))),"No data"))</f>
        <v/>
      </c>
      <c r="BD106" s="13">
        <f>IF('Council Entry'!BD106="","",IFERROR(MAX(0,MIN(10,ROUND(IF('Council Entry'!BD$7="Decrease Risk",10-10*((IF('Council Entry'!BD$4="Logarithm",LN(0.001+IF(AND(ISNUMBER('Council Entry'!BD$8),ISNUMBER('Council Entry'!BD$9)),MAX(MIN('Council Entry'!BD106,'Council Entry'!BD$9),'Council Entry'!BD$8),'Council Entry'!BD106)),IF('Council Entry'!BD$4="Exponential",EXP(IF(AND(ISNUMBER('Council Entry'!BD$8),ISNUMBER('Council Entry'!BD$9)),MAX(MIN('Council Entry'!BD106,'Council Entry'!BD$9),'Council Entry'!BD$8),'Council Entry'!BD106)),IF(AND(ISNUMBER('Council Entry'!BD$8),ISNUMBER('Council Entry'!BD$9)),MAX(MIN('Council Entry'!BD106,'Council Entry'!BD$9),'Council Entry'!BD$8),'Council Entry'!BD106))))-'Council Entry'!BD$5)/('Council Entry'!BD$6-'Council Entry'!BD$5),10*((IF('Council Entry'!BD$4="Logarithm",LN(0.001+IF(AND(ISNUMBER('Council Entry'!BD$8),ISNUMBER('Council Entry'!BD$9)),MAX(MIN('Council Entry'!BD106,'Council Entry'!BD$9),'Council Entry'!BD$8),'Council Entry'!BD106)),IF('Council Entry'!BD$4="Exponential",EXP(IF(AND(ISNUMBER('Council Entry'!BD$8),ISNUMBER('Council Entry'!BD$9)),MAX(MIN('Council Entry'!BD106,'Council Entry'!BD$9),'Council Entry'!BD$8),'Council Entry'!BD106)),IF(AND(ISNUMBER('Council Entry'!BD$8),ISNUMBER('Council Entry'!BD$9)),MAX(MIN('Council Entry'!BD106,'Council Entry'!BD$9),'Council Entry'!BD$8),'Council Entry'!BD106))))-'Council Entry'!BD$5)/('Council Entry'!BD$6-'Council Entry'!BD$5)),1))),"No data"))</f>
        <v/>
      </c>
    </row>
    <row r="107">
      <c r="A107" t="inlineStr">
        <is>
          <t>Mjini Magharibi</t>
        </is>
      </c>
      <c r="B107" t="inlineStr">
        <is>
          <t>Magharibi A Municipal</t>
        </is>
      </c>
      <c r="C107" t="inlineStr">
        <is>
          <t>C190</t>
        </is>
      </c>
      <c r="D107" s="13">
        <f>IF('Council Entry'!D107="","",IFERROR(MAX(0,MIN(10,ROUND(IF('Council Entry'!D$7="Decrease Risk",10-10*((IF('Council Entry'!D$4="Logarithm",LN(0.001+IF(AND(ISNUMBER('Council Entry'!D$8),ISNUMBER('Council Entry'!D$9)),MAX(MIN('Council Entry'!D107,'Council Entry'!D$9),'Council Entry'!D$8),'Council Entry'!D107)),IF('Council Entry'!D$4="Exponential",EXP(IF(AND(ISNUMBER('Council Entry'!D$8),ISNUMBER('Council Entry'!D$9)),MAX(MIN('Council Entry'!D107,'Council Entry'!D$9),'Council Entry'!D$8),'Council Entry'!D107)),IF(AND(ISNUMBER('Council Entry'!D$8),ISNUMBER('Council Entry'!D$9)),MAX(MIN('Council Entry'!D107,'Council Entry'!D$9),'Council Entry'!D$8),'Council Entry'!D107))))-'Council Entry'!D$5)/('Council Entry'!D$6-'Council Entry'!D$5),10*((IF('Council Entry'!D$4="Logarithm",LN(0.001+IF(AND(ISNUMBER('Council Entry'!D$8),ISNUMBER('Council Entry'!D$9)),MAX(MIN('Council Entry'!D107,'Council Entry'!D$9),'Council Entry'!D$8),'Council Entry'!D107)),IF('Council Entry'!D$4="Exponential",EXP(IF(AND(ISNUMBER('Council Entry'!D$8),ISNUMBER('Council Entry'!D$9)),MAX(MIN('Council Entry'!D107,'Council Entry'!D$9),'Council Entry'!D$8),'Council Entry'!D107)),IF(AND(ISNUMBER('Council Entry'!D$8),ISNUMBER('Council Entry'!D$9)),MAX(MIN('Council Entry'!D107,'Council Entry'!D$9),'Council Entry'!D$8),'Council Entry'!D107))))-'Council Entry'!D$5)/('Council Entry'!D$6-'Council Entry'!D$5)),1))),"No data"))</f>
        <v/>
      </c>
      <c r="E107" s="13">
        <f>IF('Council Entry'!E107="","",IFERROR(MAX(0,MIN(10,ROUND(IF('Council Entry'!E$7="Decrease Risk",10-10*((IF('Council Entry'!E$4="Logarithm",LN(0.001+IF(AND(ISNUMBER('Council Entry'!E$8),ISNUMBER('Council Entry'!E$9)),MAX(MIN('Council Entry'!E107,'Council Entry'!E$9),'Council Entry'!E$8),'Council Entry'!E107)),IF('Council Entry'!E$4="Exponential",EXP(IF(AND(ISNUMBER('Council Entry'!E$8),ISNUMBER('Council Entry'!E$9)),MAX(MIN('Council Entry'!E107,'Council Entry'!E$9),'Council Entry'!E$8),'Council Entry'!E107)),IF(AND(ISNUMBER('Council Entry'!E$8),ISNUMBER('Council Entry'!E$9)),MAX(MIN('Council Entry'!E107,'Council Entry'!E$9),'Council Entry'!E$8),'Council Entry'!E107))))-'Council Entry'!E$5)/('Council Entry'!E$6-'Council Entry'!E$5),10*((IF('Council Entry'!E$4="Logarithm",LN(0.001+IF(AND(ISNUMBER('Council Entry'!E$8),ISNUMBER('Council Entry'!E$9)),MAX(MIN('Council Entry'!E107,'Council Entry'!E$9),'Council Entry'!E$8),'Council Entry'!E107)),IF('Council Entry'!E$4="Exponential",EXP(IF(AND(ISNUMBER('Council Entry'!E$8),ISNUMBER('Council Entry'!E$9)),MAX(MIN('Council Entry'!E107,'Council Entry'!E$9),'Council Entry'!E$8),'Council Entry'!E107)),IF(AND(ISNUMBER('Council Entry'!E$8),ISNUMBER('Council Entry'!E$9)),MAX(MIN('Council Entry'!E107,'Council Entry'!E$9),'Council Entry'!E$8),'Council Entry'!E107))))-'Council Entry'!E$5)/('Council Entry'!E$6-'Council Entry'!E$5)),1))),"No data"))</f>
        <v/>
      </c>
      <c r="F107" s="13">
        <f>IF('Council Entry'!F107="","",IFERROR(MAX(0,MIN(10,ROUND(IF('Council Entry'!F$7="Decrease Risk",10-10*((IF('Council Entry'!F$4="Logarithm",LN(0.001+IF(AND(ISNUMBER('Council Entry'!F$8),ISNUMBER('Council Entry'!F$9)),MAX(MIN('Council Entry'!F107,'Council Entry'!F$9),'Council Entry'!F$8),'Council Entry'!F107)),IF('Council Entry'!F$4="Exponential",EXP(IF(AND(ISNUMBER('Council Entry'!F$8),ISNUMBER('Council Entry'!F$9)),MAX(MIN('Council Entry'!F107,'Council Entry'!F$9),'Council Entry'!F$8),'Council Entry'!F107)),IF(AND(ISNUMBER('Council Entry'!F$8),ISNUMBER('Council Entry'!F$9)),MAX(MIN('Council Entry'!F107,'Council Entry'!F$9),'Council Entry'!F$8),'Council Entry'!F107))))-'Council Entry'!F$5)/('Council Entry'!F$6-'Council Entry'!F$5),10*((IF('Council Entry'!F$4="Logarithm",LN(0.001+IF(AND(ISNUMBER('Council Entry'!F$8),ISNUMBER('Council Entry'!F$9)),MAX(MIN('Council Entry'!F107,'Council Entry'!F$9),'Council Entry'!F$8),'Council Entry'!F107)),IF('Council Entry'!F$4="Exponential",EXP(IF(AND(ISNUMBER('Council Entry'!F$8),ISNUMBER('Council Entry'!F$9)),MAX(MIN('Council Entry'!F107,'Council Entry'!F$9),'Council Entry'!F$8),'Council Entry'!F107)),IF(AND(ISNUMBER('Council Entry'!F$8),ISNUMBER('Council Entry'!F$9)),MAX(MIN('Council Entry'!F107,'Council Entry'!F$9),'Council Entry'!F$8),'Council Entry'!F107))))-'Council Entry'!F$5)/('Council Entry'!F$6-'Council Entry'!F$5)),1))),"No data"))</f>
        <v/>
      </c>
      <c r="G107" s="13">
        <f>IF('Council Entry'!G107="","",IFERROR(MAX(0,MIN(10,ROUND(IF('Council Entry'!G$7="Decrease Risk",10-10*((IF('Council Entry'!G$4="Logarithm",LN(0.001+IF(AND(ISNUMBER('Council Entry'!G$8),ISNUMBER('Council Entry'!G$9)),MAX(MIN('Council Entry'!G107,'Council Entry'!G$9),'Council Entry'!G$8),'Council Entry'!G107)),IF('Council Entry'!G$4="Exponential",EXP(IF(AND(ISNUMBER('Council Entry'!G$8),ISNUMBER('Council Entry'!G$9)),MAX(MIN('Council Entry'!G107,'Council Entry'!G$9),'Council Entry'!G$8),'Council Entry'!G107)),IF(AND(ISNUMBER('Council Entry'!G$8),ISNUMBER('Council Entry'!G$9)),MAX(MIN('Council Entry'!G107,'Council Entry'!G$9),'Council Entry'!G$8),'Council Entry'!G107))))-'Council Entry'!G$5)/('Council Entry'!G$6-'Council Entry'!G$5),10*((IF('Council Entry'!G$4="Logarithm",LN(0.001+IF(AND(ISNUMBER('Council Entry'!G$8),ISNUMBER('Council Entry'!G$9)),MAX(MIN('Council Entry'!G107,'Council Entry'!G$9),'Council Entry'!G$8),'Council Entry'!G107)),IF('Council Entry'!G$4="Exponential",EXP(IF(AND(ISNUMBER('Council Entry'!G$8),ISNUMBER('Council Entry'!G$9)),MAX(MIN('Council Entry'!G107,'Council Entry'!G$9),'Council Entry'!G$8),'Council Entry'!G107)),IF(AND(ISNUMBER('Council Entry'!G$8),ISNUMBER('Council Entry'!G$9)),MAX(MIN('Council Entry'!G107,'Council Entry'!G$9),'Council Entry'!G$8),'Council Entry'!G107))))-'Council Entry'!G$5)/('Council Entry'!G$6-'Council Entry'!G$5)),1))),"No data"))</f>
        <v/>
      </c>
      <c r="H107" s="13">
        <f>IF('Council Entry'!H107="","",IFERROR(MAX(0,MIN(10,ROUND(IF('Council Entry'!H$7="Decrease Risk",10-10*((IF('Council Entry'!H$4="Logarithm",LN(0.001+IF(AND(ISNUMBER('Council Entry'!H$8),ISNUMBER('Council Entry'!H$9)),MAX(MIN('Council Entry'!H107,'Council Entry'!H$9),'Council Entry'!H$8),'Council Entry'!H107)),IF('Council Entry'!H$4="Exponential",EXP(IF(AND(ISNUMBER('Council Entry'!H$8),ISNUMBER('Council Entry'!H$9)),MAX(MIN('Council Entry'!H107,'Council Entry'!H$9),'Council Entry'!H$8),'Council Entry'!H107)),IF(AND(ISNUMBER('Council Entry'!H$8),ISNUMBER('Council Entry'!H$9)),MAX(MIN('Council Entry'!H107,'Council Entry'!H$9),'Council Entry'!H$8),'Council Entry'!H107))))-'Council Entry'!H$5)/('Council Entry'!H$6-'Council Entry'!H$5),10*((IF('Council Entry'!H$4="Logarithm",LN(0.001+IF(AND(ISNUMBER('Council Entry'!H$8),ISNUMBER('Council Entry'!H$9)),MAX(MIN('Council Entry'!H107,'Council Entry'!H$9),'Council Entry'!H$8),'Council Entry'!H107)),IF('Council Entry'!H$4="Exponential",EXP(IF(AND(ISNUMBER('Council Entry'!H$8),ISNUMBER('Council Entry'!H$9)),MAX(MIN('Council Entry'!H107,'Council Entry'!H$9),'Council Entry'!H$8),'Council Entry'!H107)),IF(AND(ISNUMBER('Council Entry'!H$8),ISNUMBER('Council Entry'!H$9)),MAX(MIN('Council Entry'!H107,'Council Entry'!H$9),'Council Entry'!H$8),'Council Entry'!H107))))-'Council Entry'!H$5)/('Council Entry'!H$6-'Council Entry'!H$5)),1))),"No data"))</f>
        <v/>
      </c>
      <c r="I107" s="13">
        <f>IF('Council Entry'!I107="","",IFERROR(MAX(0,MIN(10,ROUND(IF('Council Entry'!I$7="Decrease Risk",10-10*((IF('Council Entry'!I$4="Logarithm",LN(0.001+IF(AND(ISNUMBER('Council Entry'!I$8),ISNUMBER('Council Entry'!I$9)),MAX(MIN('Council Entry'!I107,'Council Entry'!I$9),'Council Entry'!I$8),'Council Entry'!I107)),IF('Council Entry'!I$4="Exponential",EXP(IF(AND(ISNUMBER('Council Entry'!I$8),ISNUMBER('Council Entry'!I$9)),MAX(MIN('Council Entry'!I107,'Council Entry'!I$9),'Council Entry'!I$8),'Council Entry'!I107)),IF(AND(ISNUMBER('Council Entry'!I$8),ISNUMBER('Council Entry'!I$9)),MAX(MIN('Council Entry'!I107,'Council Entry'!I$9),'Council Entry'!I$8),'Council Entry'!I107))))-'Council Entry'!I$5)/('Council Entry'!I$6-'Council Entry'!I$5),10*((IF('Council Entry'!I$4="Logarithm",LN(0.001+IF(AND(ISNUMBER('Council Entry'!I$8),ISNUMBER('Council Entry'!I$9)),MAX(MIN('Council Entry'!I107,'Council Entry'!I$9),'Council Entry'!I$8),'Council Entry'!I107)),IF('Council Entry'!I$4="Exponential",EXP(IF(AND(ISNUMBER('Council Entry'!I$8),ISNUMBER('Council Entry'!I$9)),MAX(MIN('Council Entry'!I107,'Council Entry'!I$9),'Council Entry'!I$8),'Council Entry'!I107)),IF(AND(ISNUMBER('Council Entry'!I$8),ISNUMBER('Council Entry'!I$9)),MAX(MIN('Council Entry'!I107,'Council Entry'!I$9),'Council Entry'!I$8),'Council Entry'!I107))))-'Council Entry'!I$5)/('Council Entry'!I$6-'Council Entry'!I$5)),1))),"No data"))</f>
        <v/>
      </c>
      <c r="J107" s="13">
        <f>IF('Council Entry'!J107="","",IFERROR(MAX(0,MIN(10,ROUND(IF('Council Entry'!J$7="Decrease Risk",10-10*((IF('Council Entry'!J$4="Logarithm",LN(0.001+IF(AND(ISNUMBER('Council Entry'!J$8),ISNUMBER('Council Entry'!J$9)),MAX(MIN('Council Entry'!J107,'Council Entry'!J$9),'Council Entry'!J$8),'Council Entry'!J107)),IF('Council Entry'!J$4="Exponential",EXP(IF(AND(ISNUMBER('Council Entry'!J$8),ISNUMBER('Council Entry'!J$9)),MAX(MIN('Council Entry'!J107,'Council Entry'!J$9),'Council Entry'!J$8),'Council Entry'!J107)),IF(AND(ISNUMBER('Council Entry'!J$8),ISNUMBER('Council Entry'!J$9)),MAX(MIN('Council Entry'!J107,'Council Entry'!J$9),'Council Entry'!J$8),'Council Entry'!J107))))-'Council Entry'!J$5)/('Council Entry'!J$6-'Council Entry'!J$5),10*((IF('Council Entry'!J$4="Logarithm",LN(0.001+IF(AND(ISNUMBER('Council Entry'!J$8),ISNUMBER('Council Entry'!J$9)),MAX(MIN('Council Entry'!J107,'Council Entry'!J$9),'Council Entry'!J$8),'Council Entry'!J107)),IF('Council Entry'!J$4="Exponential",EXP(IF(AND(ISNUMBER('Council Entry'!J$8),ISNUMBER('Council Entry'!J$9)),MAX(MIN('Council Entry'!J107,'Council Entry'!J$9),'Council Entry'!J$8),'Council Entry'!J107)),IF(AND(ISNUMBER('Council Entry'!J$8),ISNUMBER('Council Entry'!J$9)),MAX(MIN('Council Entry'!J107,'Council Entry'!J$9),'Council Entry'!J$8),'Council Entry'!J107))))-'Council Entry'!J$5)/('Council Entry'!J$6-'Council Entry'!J$5)),1))),"No data"))</f>
        <v/>
      </c>
      <c r="K107" s="13">
        <f>IF('Council Entry'!K107="","",IFERROR(MAX(0,MIN(10,ROUND(IF('Council Entry'!K$7="Decrease Risk",10-10*((IF('Council Entry'!K$4="Logarithm",LN(0.001+IF(AND(ISNUMBER('Council Entry'!K$8),ISNUMBER('Council Entry'!K$9)),MAX(MIN('Council Entry'!K107,'Council Entry'!K$9),'Council Entry'!K$8),'Council Entry'!K107)),IF('Council Entry'!K$4="Exponential",EXP(IF(AND(ISNUMBER('Council Entry'!K$8),ISNUMBER('Council Entry'!K$9)),MAX(MIN('Council Entry'!K107,'Council Entry'!K$9),'Council Entry'!K$8),'Council Entry'!K107)),IF(AND(ISNUMBER('Council Entry'!K$8),ISNUMBER('Council Entry'!K$9)),MAX(MIN('Council Entry'!K107,'Council Entry'!K$9),'Council Entry'!K$8),'Council Entry'!K107))))-'Council Entry'!K$5)/('Council Entry'!K$6-'Council Entry'!K$5),10*((IF('Council Entry'!K$4="Logarithm",LN(0.001+IF(AND(ISNUMBER('Council Entry'!K$8),ISNUMBER('Council Entry'!K$9)),MAX(MIN('Council Entry'!K107,'Council Entry'!K$9),'Council Entry'!K$8),'Council Entry'!K107)),IF('Council Entry'!K$4="Exponential",EXP(IF(AND(ISNUMBER('Council Entry'!K$8),ISNUMBER('Council Entry'!K$9)),MAX(MIN('Council Entry'!K107,'Council Entry'!K$9),'Council Entry'!K$8),'Council Entry'!K107)),IF(AND(ISNUMBER('Council Entry'!K$8),ISNUMBER('Council Entry'!K$9)),MAX(MIN('Council Entry'!K107,'Council Entry'!K$9),'Council Entry'!K$8),'Council Entry'!K107))))-'Council Entry'!K$5)/('Council Entry'!K$6-'Council Entry'!K$5)),1))),"No data"))</f>
        <v/>
      </c>
      <c r="L107" s="13">
        <f>IF('Council Entry'!L107="","",IFERROR(MAX(0,MIN(10,ROUND(IF('Council Entry'!L$7="Decrease Risk",10-10*((IF('Council Entry'!L$4="Logarithm",LN(0.001+IF(AND(ISNUMBER('Council Entry'!L$8),ISNUMBER('Council Entry'!L$9)),MAX(MIN('Council Entry'!L107,'Council Entry'!L$9),'Council Entry'!L$8),'Council Entry'!L107)),IF('Council Entry'!L$4="Exponential",EXP(IF(AND(ISNUMBER('Council Entry'!L$8),ISNUMBER('Council Entry'!L$9)),MAX(MIN('Council Entry'!L107,'Council Entry'!L$9),'Council Entry'!L$8),'Council Entry'!L107)),IF(AND(ISNUMBER('Council Entry'!L$8),ISNUMBER('Council Entry'!L$9)),MAX(MIN('Council Entry'!L107,'Council Entry'!L$9),'Council Entry'!L$8),'Council Entry'!L107))))-'Council Entry'!L$5)/('Council Entry'!L$6-'Council Entry'!L$5),10*((IF('Council Entry'!L$4="Logarithm",LN(0.001+IF(AND(ISNUMBER('Council Entry'!L$8),ISNUMBER('Council Entry'!L$9)),MAX(MIN('Council Entry'!L107,'Council Entry'!L$9),'Council Entry'!L$8),'Council Entry'!L107)),IF('Council Entry'!L$4="Exponential",EXP(IF(AND(ISNUMBER('Council Entry'!L$8),ISNUMBER('Council Entry'!L$9)),MAX(MIN('Council Entry'!L107,'Council Entry'!L$9),'Council Entry'!L$8),'Council Entry'!L107)),IF(AND(ISNUMBER('Council Entry'!L$8),ISNUMBER('Council Entry'!L$9)),MAX(MIN('Council Entry'!L107,'Council Entry'!L$9),'Council Entry'!L$8),'Council Entry'!L107))))-'Council Entry'!L$5)/('Council Entry'!L$6-'Council Entry'!L$5)),1))),"No data"))</f>
        <v/>
      </c>
      <c r="M107" s="13">
        <f>IF('Council Entry'!M107="","",IFERROR(MAX(0,MIN(10,ROUND(IF('Council Entry'!M$7="Decrease Risk",10-10*((IF('Council Entry'!M$4="Logarithm",LN(0.001+IF(AND(ISNUMBER('Council Entry'!M$8),ISNUMBER('Council Entry'!M$9)),MAX(MIN('Council Entry'!M107,'Council Entry'!M$9),'Council Entry'!M$8),'Council Entry'!M107)),IF('Council Entry'!M$4="Exponential",EXP(IF(AND(ISNUMBER('Council Entry'!M$8),ISNUMBER('Council Entry'!M$9)),MAX(MIN('Council Entry'!M107,'Council Entry'!M$9),'Council Entry'!M$8),'Council Entry'!M107)),IF(AND(ISNUMBER('Council Entry'!M$8),ISNUMBER('Council Entry'!M$9)),MAX(MIN('Council Entry'!M107,'Council Entry'!M$9),'Council Entry'!M$8),'Council Entry'!M107))))-'Council Entry'!M$5)/('Council Entry'!M$6-'Council Entry'!M$5),10*((IF('Council Entry'!M$4="Logarithm",LN(0.001+IF(AND(ISNUMBER('Council Entry'!M$8),ISNUMBER('Council Entry'!M$9)),MAX(MIN('Council Entry'!M107,'Council Entry'!M$9),'Council Entry'!M$8),'Council Entry'!M107)),IF('Council Entry'!M$4="Exponential",EXP(IF(AND(ISNUMBER('Council Entry'!M$8),ISNUMBER('Council Entry'!M$9)),MAX(MIN('Council Entry'!M107,'Council Entry'!M$9),'Council Entry'!M$8),'Council Entry'!M107)),IF(AND(ISNUMBER('Council Entry'!M$8),ISNUMBER('Council Entry'!M$9)),MAX(MIN('Council Entry'!M107,'Council Entry'!M$9),'Council Entry'!M$8),'Council Entry'!M107))))-'Council Entry'!M$5)/('Council Entry'!M$6-'Council Entry'!M$5)),1))),"No data"))</f>
        <v/>
      </c>
      <c r="N107" s="13">
        <f>IF('Council Entry'!N107="","",IFERROR(MAX(0,MIN(10,ROUND(IF('Council Entry'!N$7="Decrease Risk",10-10*((IF('Council Entry'!N$4="Logarithm",LN(0.001+IF(AND(ISNUMBER('Council Entry'!N$8),ISNUMBER('Council Entry'!N$9)),MAX(MIN('Council Entry'!N107,'Council Entry'!N$9),'Council Entry'!N$8),'Council Entry'!N107)),IF('Council Entry'!N$4="Exponential",EXP(IF(AND(ISNUMBER('Council Entry'!N$8),ISNUMBER('Council Entry'!N$9)),MAX(MIN('Council Entry'!N107,'Council Entry'!N$9),'Council Entry'!N$8),'Council Entry'!N107)),IF(AND(ISNUMBER('Council Entry'!N$8),ISNUMBER('Council Entry'!N$9)),MAX(MIN('Council Entry'!N107,'Council Entry'!N$9),'Council Entry'!N$8),'Council Entry'!N107))))-'Council Entry'!N$5)/('Council Entry'!N$6-'Council Entry'!N$5),10*((IF('Council Entry'!N$4="Logarithm",LN(0.001+IF(AND(ISNUMBER('Council Entry'!N$8),ISNUMBER('Council Entry'!N$9)),MAX(MIN('Council Entry'!N107,'Council Entry'!N$9),'Council Entry'!N$8),'Council Entry'!N107)),IF('Council Entry'!N$4="Exponential",EXP(IF(AND(ISNUMBER('Council Entry'!N$8),ISNUMBER('Council Entry'!N$9)),MAX(MIN('Council Entry'!N107,'Council Entry'!N$9),'Council Entry'!N$8),'Council Entry'!N107)),IF(AND(ISNUMBER('Council Entry'!N$8),ISNUMBER('Council Entry'!N$9)),MAX(MIN('Council Entry'!N107,'Council Entry'!N$9),'Council Entry'!N$8),'Council Entry'!N107))))-'Council Entry'!N$5)/('Council Entry'!N$6-'Council Entry'!N$5)),1))),"No data"))</f>
        <v/>
      </c>
      <c r="O107" s="13">
        <f>IF('Council Entry'!O107="","",IFERROR(MAX(0,MIN(10,ROUND(IF('Council Entry'!O$7="Decrease Risk",10-10*((IF('Council Entry'!O$4="Logarithm",LN(0.001+IF(AND(ISNUMBER('Council Entry'!O$8),ISNUMBER('Council Entry'!O$9)),MAX(MIN('Council Entry'!O107,'Council Entry'!O$9),'Council Entry'!O$8),'Council Entry'!O107)),IF('Council Entry'!O$4="Exponential",EXP(IF(AND(ISNUMBER('Council Entry'!O$8),ISNUMBER('Council Entry'!O$9)),MAX(MIN('Council Entry'!O107,'Council Entry'!O$9),'Council Entry'!O$8),'Council Entry'!O107)),IF(AND(ISNUMBER('Council Entry'!O$8),ISNUMBER('Council Entry'!O$9)),MAX(MIN('Council Entry'!O107,'Council Entry'!O$9),'Council Entry'!O$8),'Council Entry'!O107))))-'Council Entry'!O$5)/('Council Entry'!O$6-'Council Entry'!O$5),10*((IF('Council Entry'!O$4="Logarithm",LN(0.001+IF(AND(ISNUMBER('Council Entry'!O$8),ISNUMBER('Council Entry'!O$9)),MAX(MIN('Council Entry'!O107,'Council Entry'!O$9),'Council Entry'!O$8),'Council Entry'!O107)),IF('Council Entry'!O$4="Exponential",EXP(IF(AND(ISNUMBER('Council Entry'!O$8),ISNUMBER('Council Entry'!O$9)),MAX(MIN('Council Entry'!O107,'Council Entry'!O$9),'Council Entry'!O$8),'Council Entry'!O107)),IF(AND(ISNUMBER('Council Entry'!O$8),ISNUMBER('Council Entry'!O$9)),MAX(MIN('Council Entry'!O107,'Council Entry'!O$9),'Council Entry'!O$8),'Council Entry'!O107))))-'Council Entry'!O$5)/('Council Entry'!O$6-'Council Entry'!O$5)),1))),"No data"))</f>
        <v/>
      </c>
      <c r="P107" s="13">
        <f>IF('Council Entry'!P107="","",IFERROR(MAX(0,MIN(10,ROUND(IF('Council Entry'!P$7="Decrease Risk",10-10*((IF('Council Entry'!P$4="Logarithm",LN(0.001+IF(AND(ISNUMBER('Council Entry'!P$8),ISNUMBER('Council Entry'!P$9)),MAX(MIN('Council Entry'!P107,'Council Entry'!P$9),'Council Entry'!P$8),'Council Entry'!P107)),IF('Council Entry'!P$4="Exponential",EXP(IF(AND(ISNUMBER('Council Entry'!P$8),ISNUMBER('Council Entry'!P$9)),MAX(MIN('Council Entry'!P107,'Council Entry'!P$9),'Council Entry'!P$8),'Council Entry'!P107)),IF(AND(ISNUMBER('Council Entry'!P$8),ISNUMBER('Council Entry'!P$9)),MAX(MIN('Council Entry'!P107,'Council Entry'!P$9),'Council Entry'!P$8),'Council Entry'!P107))))-'Council Entry'!P$5)/('Council Entry'!P$6-'Council Entry'!P$5),10*((IF('Council Entry'!P$4="Logarithm",LN(0.001+IF(AND(ISNUMBER('Council Entry'!P$8),ISNUMBER('Council Entry'!P$9)),MAX(MIN('Council Entry'!P107,'Council Entry'!P$9),'Council Entry'!P$8),'Council Entry'!P107)),IF('Council Entry'!P$4="Exponential",EXP(IF(AND(ISNUMBER('Council Entry'!P$8),ISNUMBER('Council Entry'!P$9)),MAX(MIN('Council Entry'!P107,'Council Entry'!P$9),'Council Entry'!P$8),'Council Entry'!P107)),IF(AND(ISNUMBER('Council Entry'!P$8),ISNUMBER('Council Entry'!P$9)),MAX(MIN('Council Entry'!P107,'Council Entry'!P$9),'Council Entry'!P$8),'Council Entry'!P107))))-'Council Entry'!P$5)/('Council Entry'!P$6-'Council Entry'!P$5)),1))),"No data"))</f>
        <v/>
      </c>
      <c r="Q107" s="13">
        <f>IF('Council Entry'!Q107="","",IFERROR(MAX(0,MIN(10,ROUND(IF('Council Entry'!Q$7="Decrease Risk",10-10*((IF('Council Entry'!Q$4="Logarithm",LN(0.001+IF(AND(ISNUMBER('Council Entry'!Q$8),ISNUMBER('Council Entry'!Q$9)),MAX(MIN('Council Entry'!Q107,'Council Entry'!Q$9),'Council Entry'!Q$8),'Council Entry'!Q107)),IF('Council Entry'!Q$4="Exponential",EXP(IF(AND(ISNUMBER('Council Entry'!Q$8),ISNUMBER('Council Entry'!Q$9)),MAX(MIN('Council Entry'!Q107,'Council Entry'!Q$9),'Council Entry'!Q$8),'Council Entry'!Q107)),IF(AND(ISNUMBER('Council Entry'!Q$8),ISNUMBER('Council Entry'!Q$9)),MAX(MIN('Council Entry'!Q107,'Council Entry'!Q$9),'Council Entry'!Q$8),'Council Entry'!Q107))))-'Council Entry'!Q$5)/('Council Entry'!Q$6-'Council Entry'!Q$5),10*((IF('Council Entry'!Q$4="Logarithm",LN(0.001+IF(AND(ISNUMBER('Council Entry'!Q$8),ISNUMBER('Council Entry'!Q$9)),MAX(MIN('Council Entry'!Q107,'Council Entry'!Q$9),'Council Entry'!Q$8),'Council Entry'!Q107)),IF('Council Entry'!Q$4="Exponential",EXP(IF(AND(ISNUMBER('Council Entry'!Q$8),ISNUMBER('Council Entry'!Q$9)),MAX(MIN('Council Entry'!Q107,'Council Entry'!Q$9),'Council Entry'!Q$8),'Council Entry'!Q107)),IF(AND(ISNUMBER('Council Entry'!Q$8),ISNUMBER('Council Entry'!Q$9)),MAX(MIN('Council Entry'!Q107,'Council Entry'!Q$9),'Council Entry'!Q$8),'Council Entry'!Q107))))-'Council Entry'!Q$5)/('Council Entry'!Q$6-'Council Entry'!Q$5)),1))),"No data"))</f>
        <v/>
      </c>
      <c r="R107" s="13">
        <f>IF('Council Entry'!R107="","",IFERROR(MAX(0,MIN(10,ROUND(IF('Council Entry'!R$7="Decrease Risk",10-10*((IF('Council Entry'!R$4="Logarithm",LN(0.001+IF(AND(ISNUMBER('Council Entry'!R$8),ISNUMBER('Council Entry'!R$9)),MAX(MIN('Council Entry'!R107,'Council Entry'!R$9),'Council Entry'!R$8),'Council Entry'!R107)),IF('Council Entry'!R$4="Exponential",EXP(IF(AND(ISNUMBER('Council Entry'!R$8),ISNUMBER('Council Entry'!R$9)),MAX(MIN('Council Entry'!R107,'Council Entry'!R$9),'Council Entry'!R$8),'Council Entry'!R107)),IF(AND(ISNUMBER('Council Entry'!R$8),ISNUMBER('Council Entry'!R$9)),MAX(MIN('Council Entry'!R107,'Council Entry'!R$9),'Council Entry'!R$8),'Council Entry'!R107))))-'Council Entry'!R$5)/('Council Entry'!R$6-'Council Entry'!R$5),10*((IF('Council Entry'!R$4="Logarithm",LN(0.001+IF(AND(ISNUMBER('Council Entry'!R$8),ISNUMBER('Council Entry'!R$9)),MAX(MIN('Council Entry'!R107,'Council Entry'!R$9),'Council Entry'!R$8),'Council Entry'!R107)),IF('Council Entry'!R$4="Exponential",EXP(IF(AND(ISNUMBER('Council Entry'!R$8),ISNUMBER('Council Entry'!R$9)),MAX(MIN('Council Entry'!R107,'Council Entry'!R$9),'Council Entry'!R$8),'Council Entry'!R107)),IF(AND(ISNUMBER('Council Entry'!R$8),ISNUMBER('Council Entry'!R$9)),MAX(MIN('Council Entry'!R107,'Council Entry'!R$9),'Council Entry'!R$8),'Council Entry'!R107))))-'Council Entry'!R$5)/('Council Entry'!R$6-'Council Entry'!R$5)),1))),"No data"))</f>
        <v/>
      </c>
      <c r="S107" s="13">
        <f>IF('Council Entry'!S107="","",IFERROR(MAX(0,MIN(10,ROUND(IF('Council Entry'!S$7="Decrease Risk",10-10*((IF('Council Entry'!S$4="Logarithm",LN(0.001+IF(AND(ISNUMBER('Council Entry'!S$8),ISNUMBER('Council Entry'!S$9)),MAX(MIN('Council Entry'!S107,'Council Entry'!S$9),'Council Entry'!S$8),'Council Entry'!S107)),IF('Council Entry'!S$4="Exponential",EXP(IF(AND(ISNUMBER('Council Entry'!S$8),ISNUMBER('Council Entry'!S$9)),MAX(MIN('Council Entry'!S107,'Council Entry'!S$9),'Council Entry'!S$8),'Council Entry'!S107)),IF(AND(ISNUMBER('Council Entry'!S$8),ISNUMBER('Council Entry'!S$9)),MAX(MIN('Council Entry'!S107,'Council Entry'!S$9),'Council Entry'!S$8),'Council Entry'!S107))))-'Council Entry'!S$5)/('Council Entry'!S$6-'Council Entry'!S$5),10*((IF('Council Entry'!S$4="Logarithm",LN(0.001+IF(AND(ISNUMBER('Council Entry'!S$8),ISNUMBER('Council Entry'!S$9)),MAX(MIN('Council Entry'!S107,'Council Entry'!S$9),'Council Entry'!S$8),'Council Entry'!S107)),IF('Council Entry'!S$4="Exponential",EXP(IF(AND(ISNUMBER('Council Entry'!S$8),ISNUMBER('Council Entry'!S$9)),MAX(MIN('Council Entry'!S107,'Council Entry'!S$9),'Council Entry'!S$8),'Council Entry'!S107)),IF(AND(ISNUMBER('Council Entry'!S$8),ISNUMBER('Council Entry'!S$9)),MAX(MIN('Council Entry'!S107,'Council Entry'!S$9),'Council Entry'!S$8),'Council Entry'!S107))))-'Council Entry'!S$5)/('Council Entry'!S$6-'Council Entry'!S$5)),1))),"No data"))</f>
        <v/>
      </c>
      <c r="T107" s="13">
        <f>IF('Council Entry'!T107="","",IFERROR(MAX(0,MIN(10,ROUND(IF('Council Entry'!T$7="Decrease Risk",10-10*((IF('Council Entry'!T$4="Logarithm",LN(0.001+IF(AND(ISNUMBER('Council Entry'!T$8),ISNUMBER('Council Entry'!T$9)),MAX(MIN('Council Entry'!T107,'Council Entry'!T$9),'Council Entry'!T$8),'Council Entry'!T107)),IF('Council Entry'!T$4="Exponential",EXP(IF(AND(ISNUMBER('Council Entry'!T$8),ISNUMBER('Council Entry'!T$9)),MAX(MIN('Council Entry'!T107,'Council Entry'!T$9),'Council Entry'!T$8),'Council Entry'!T107)),IF(AND(ISNUMBER('Council Entry'!T$8),ISNUMBER('Council Entry'!T$9)),MAX(MIN('Council Entry'!T107,'Council Entry'!T$9),'Council Entry'!T$8),'Council Entry'!T107))))-'Council Entry'!T$5)/('Council Entry'!T$6-'Council Entry'!T$5),10*((IF('Council Entry'!T$4="Logarithm",LN(0.001+IF(AND(ISNUMBER('Council Entry'!T$8),ISNUMBER('Council Entry'!T$9)),MAX(MIN('Council Entry'!T107,'Council Entry'!T$9),'Council Entry'!T$8),'Council Entry'!T107)),IF('Council Entry'!T$4="Exponential",EXP(IF(AND(ISNUMBER('Council Entry'!T$8),ISNUMBER('Council Entry'!T$9)),MAX(MIN('Council Entry'!T107,'Council Entry'!T$9),'Council Entry'!T$8),'Council Entry'!T107)),IF(AND(ISNUMBER('Council Entry'!T$8),ISNUMBER('Council Entry'!T$9)),MAX(MIN('Council Entry'!T107,'Council Entry'!T$9),'Council Entry'!T$8),'Council Entry'!T107))))-'Council Entry'!T$5)/('Council Entry'!T$6-'Council Entry'!T$5)),1))),"No data"))</f>
        <v/>
      </c>
      <c r="U107" s="13">
        <f>IF('Council Entry'!U107="","",IFERROR(MAX(0,MIN(10,ROUND(IF('Council Entry'!U$7="Decrease Risk",10-10*((IF('Council Entry'!U$4="Logarithm",LN(0.001+IF(AND(ISNUMBER('Council Entry'!U$8),ISNUMBER('Council Entry'!U$9)),MAX(MIN('Council Entry'!U107,'Council Entry'!U$9),'Council Entry'!U$8),'Council Entry'!U107)),IF('Council Entry'!U$4="Exponential",EXP(IF(AND(ISNUMBER('Council Entry'!U$8),ISNUMBER('Council Entry'!U$9)),MAX(MIN('Council Entry'!U107,'Council Entry'!U$9),'Council Entry'!U$8),'Council Entry'!U107)),IF(AND(ISNUMBER('Council Entry'!U$8),ISNUMBER('Council Entry'!U$9)),MAX(MIN('Council Entry'!U107,'Council Entry'!U$9),'Council Entry'!U$8),'Council Entry'!U107))))-'Council Entry'!U$5)/('Council Entry'!U$6-'Council Entry'!U$5),10*((IF('Council Entry'!U$4="Logarithm",LN(0.001+IF(AND(ISNUMBER('Council Entry'!U$8),ISNUMBER('Council Entry'!U$9)),MAX(MIN('Council Entry'!U107,'Council Entry'!U$9),'Council Entry'!U$8),'Council Entry'!U107)),IF('Council Entry'!U$4="Exponential",EXP(IF(AND(ISNUMBER('Council Entry'!U$8),ISNUMBER('Council Entry'!U$9)),MAX(MIN('Council Entry'!U107,'Council Entry'!U$9),'Council Entry'!U$8),'Council Entry'!U107)),IF(AND(ISNUMBER('Council Entry'!U$8),ISNUMBER('Council Entry'!U$9)),MAX(MIN('Council Entry'!U107,'Council Entry'!U$9),'Council Entry'!U$8),'Council Entry'!U107))))-'Council Entry'!U$5)/('Council Entry'!U$6-'Council Entry'!U$5)),1))),"No data"))</f>
        <v/>
      </c>
      <c r="V107" s="13">
        <f>IF('Council Entry'!V107="","",IFERROR(MAX(0,MIN(10,ROUND(IF('Council Entry'!V$7="Decrease Risk",10-10*((IF('Council Entry'!V$4="Logarithm",LN(0.001+IF(AND(ISNUMBER('Council Entry'!V$8),ISNUMBER('Council Entry'!V$9)),MAX(MIN('Council Entry'!V107,'Council Entry'!V$9),'Council Entry'!V$8),'Council Entry'!V107)),IF('Council Entry'!V$4="Exponential",EXP(IF(AND(ISNUMBER('Council Entry'!V$8),ISNUMBER('Council Entry'!V$9)),MAX(MIN('Council Entry'!V107,'Council Entry'!V$9),'Council Entry'!V$8),'Council Entry'!V107)),IF(AND(ISNUMBER('Council Entry'!V$8),ISNUMBER('Council Entry'!V$9)),MAX(MIN('Council Entry'!V107,'Council Entry'!V$9),'Council Entry'!V$8),'Council Entry'!V107))))-'Council Entry'!V$5)/('Council Entry'!V$6-'Council Entry'!V$5),10*((IF('Council Entry'!V$4="Logarithm",LN(0.001+IF(AND(ISNUMBER('Council Entry'!V$8),ISNUMBER('Council Entry'!V$9)),MAX(MIN('Council Entry'!V107,'Council Entry'!V$9),'Council Entry'!V$8),'Council Entry'!V107)),IF('Council Entry'!V$4="Exponential",EXP(IF(AND(ISNUMBER('Council Entry'!V$8),ISNUMBER('Council Entry'!V$9)),MAX(MIN('Council Entry'!V107,'Council Entry'!V$9),'Council Entry'!V$8),'Council Entry'!V107)),IF(AND(ISNUMBER('Council Entry'!V$8),ISNUMBER('Council Entry'!V$9)),MAX(MIN('Council Entry'!V107,'Council Entry'!V$9),'Council Entry'!V$8),'Council Entry'!V107))))-'Council Entry'!V$5)/('Council Entry'!V$6-'Council Entry'!V$5)),1))),"No data"))</f>
        <v/>
      </c>
      <c r="W107" s="13">
        <f>IF('Council Entry'!W107="","",IFERROR(MAX(0,MIN(10,ROUND(IF('Council Entry'!W$7="Decrease Risk",10-10*((IF('Council Entry'!W$4="Logarithm",LN(0.001+IF(AND(ISNUMBER('Council Entry'!W$8),ISNUMBER('Council Entry'!W$9)),MAX(MIN('Council Entry'!W107,'Council Entry'!W$9),'Council Entry'!W$8),'Council Entry'!W107)),IF('Council Entry'!W$4="Exponential",EXP(IF(AND(ISNUMBER('Council Entry'!W$8),ISNUMBER('Council Entry'!W$9)),MAX(MIN('Council Entry'!W107,'Council Entry'!W$9),'Council Entry'!W$8),'Council Entry'!W107)),IF(AND(ISNUMBER('Council Entry'!W$8),ISNUMBER('Council Entry'!W$9)),MAX(MIN('Council Entry'!W107,'Council Entry'!W$9),'Council Entry'!W$8),'Council Entry'!W107))))-'Council Entry'!W$5)/('Council Entry'!W$6-'Council Entry'!W$5),10*((IF('Council Entry'!W$4="Logarithm",LN(0.001+IF(AND(ISNUMBER('Council Entry'!W$8),ISNUMBER('Council Entry'!W$9)),MAX(MIN('Council Entry'!W107,'Council Entry'!W$9),'Council Entry'!W$8),'Council Entry'!W107)),IF('Council Entry'!W$4="Exponential",EXP(IF(AND(ISNUMBER('Council Entry'!W$8),ISNUMBER('Council Entry'!W$9)),MAX(MIN('Council Entry'!W107,'Council Entry'!W$9),'Council Entry'!W$8),'Council Entry'!W107)),IF(AND(ISNUMBER('Council Entry'!W$8),ISNUMBER('Council Entry'!W$9)),MAX(MIN('Council Entry'!W107,'Council Entry'!W$9),'Council Entry'!W$8),'Council Entry'!W107))))-'Council Entry'!W$5)/('Council Entry'!W$6-'Council Entry'!W$5)),1))),"No data"))</f>
        <v/>
      </c>
      <c r="X107" s="13">
        <f>IF('Council Entry'!X107="","",IFERROR(MAX(0,MIN(10,ROUND(IF('Council Entry'!X$7="Decrease Risk",10-10*((IF('Council Entry'!X$4="Logarithm",LN(0.001+IF(AND(ISNUMBER('Council Entry'!X$8),ISNUMBER('Council Entry'!X$9)),MAX(MIN('Council Entry'!X107,'Council Entry'!X$9),'Council Entry'!X$8),'Council Entry'!X107)),IF('Council Entry'!X$4="Exponential",EXP(IF(AND(ISNUMBER('Council Entry'!X$8),ISNUMBER('Council Entry'!X$9)),MAX(MIN('Council Entry'!X107,'Council Entry'!X$9),'Council Entry'!X$8),'Council Entry'!X107)),IF(AND(ISNUMBER('Council Entry'!X$8),ISNUMBER('Council Entry'!X$9)),MAX(MIN('Council Entry'!X107,'Council Entry'!X$9),'Council Entry'!X$8),'Council Entry'!X107))))-'Council Entry'!X$5)/('Council Entry'!X$6-'Council Entry'!X$5),10*((IF('Council Entry'!X$4="Logarithm",LN(0.001+IF(AND(ISNUMBER('Council Entry'!X$8),ISNUMBER('Council Entry'!X$9)),MAX(MIN('Council Entry'!X107,'Council Entry'!X$9),'Council Entry'!X$8),'Council Entry'!X107)),IF('Council Entry'!X$4="Exponential",EXP(IF(AND(ISNUMBER('Council Entry'!X$8),ISNUMBER('Council Entry'!X$9)),MAX(MIN('Council Entry'!X107,'Council Entry'!X$9),'Council Entry'!X$8),'Council Entry'!X107)),IF(AND(ISNUMBER('Council Entry'!X$8),ISNUMBER('Council Entry'!X$9)),MAX(MIN('Council Entry'!X107,'Council Entry'!X$9),'Council Entry'!X$8),'Council Entry'!X107))))-'Council Entry'!X$5)/('Council Entry'!X$6-'Council Entry'!X$5)),1))),"No data"))</f>
        <v/>
      </c>
      <c r="Y107" s="13">
        <f>IF('Council Entry'!Y107="","",IFERROR(MAX(0,MIN(10,ROUND(IF('Council Entry'!Y$7="Decrease Risk",10-10*((IF('Council Entry'!Y$4="Logarithm",LN(0.001+IF(AND(ISNUMBER('Council Entry'!Y$8),ISNUMBER('Council Entry'!Y$9)),MAX(MIN('Council Entry'!Y107,'Council Entry'!Y$9),'Council Entry'!Y$8),'Council Entry'!Y107)),IF('Council Entry'!Y$4="Exponential",EXP(IF(AND(ISNUMBER('Council Entry'!Y$8),ISNUMBER('Council Entry'!Y$9)),MAX(MIN('Council Entry'!Y107,'Council Entry'!Y$9),'Council Entry'!Y$8),'Council Entry'!Y107)),IF(AND(ISNUMBER('Council Entry'!Y$8),ISNUMBER('Council Entry'!Y$9)),MAX(MIN('Council Entry'!Y107,'Council Entry'!Y$9),'Council Entry'!Y$8),'Council Entry'!Y107))))-'Council Entry'!Y$5)/('Council Entry'!Y$6-'Council Entry'!Y$5),10*((IF('Council Entry'!Y$4="Logarithm",LN(0.001+IF(AND(ISNUMBER('Council Entry'!Y$8),ISNUMBER('Council Entry'!Y$9)),MAX(MIN('Council Entry'!Y107,'Council Entry'!Y$9),'Council Entry'!Y$8),'Council Entry'!Y107)),IF('Council Entry'!Y$4="Exponential",EXP(IF(AND(ISNUMBER('Council Entry'!Y$8),ISNUMBER('Council Entry'!Y$9)),MAX(MIN('Council Entry'!Y107,'Council Entry'!Y$9),'Council Entry'!Y$8),'Council Entry'!Y107)),IF(AND(ISNUMBER('Council Entry'!Y$8),ISNUMBER('Council Entry'!Y$9)),MAX(MIN('Council Entry'!Y107,'Council Entry'!Y$9),'Council Entry'!Y$8),'Council Entry'!Y107))))-'Council Entry'!Y$5)/('Council Entry'!Y$6-'Council Entry'!Y$5)),1))),"No data"))</f>
        <v/>
      </c>
      <c r="Z107" s="13">
        <f>IF('Council Entry'!Z107="","",IFERROR(MAX(0,MIN(10,ROUND(IF('Council Entry'!Z$7="Decrease Risk",10-10*((IF('Council Entry'!Z$4="Logarithm",LN(0.001+IF(AND(ISNUMBER('Council Entry'!Z$8),ISNUMBER('Council Entry'!Z$9)),MAX(MIN('Council Entry'!Z107,'Council Entry'!Z$9),'Council Entry'!Z$8),'Council Entry'!Z107)),IF('Council Entry'!Z$4="Exponential",EXP(IF(AND(ISNUMBER('Council Entry'!Z$8),ISNUMBER('Council Entry'!Z$9)),MAX(MIN('Council Entry'!Z107,'Council Entry'!Z$9),'Council Entry'!Z$8),'Council Entry'!Z107)),IF(AND(ISNUMBER('Council Entry'!Z$8),ISNUMBER('Council Entry'!Z$9)),MAX(MIN('Council Entry'!Z107,'Council Entry'!Z$9),'Council Entry'!Z$8),'Council Entry'!Z107))))-'Council Entry'!Z$5)/('Council Entry'!Z$6-'Council Entry'!Z$5),10*((IF('Council Entry'!Z$4="Logarithm",LN(0.001+IF(AND(ISNUMBER('Council Entry'!Z$8),ISNUMBER('Council Entry'!Z$9)),MAX(MIN('Council Entry'!Z107,'Council Entry'!Z$9),'Council Entry'!Z$8),'Council Entry'!Z107)),IF('Council Entry'!Z$4="Exponential",EXP(IF(AND(ISNUMBER('Council Entry'!Z$8),ISNUMBER('Council Entry'!Z$9)),MAX(MIN('Council Entry'!Z107,'Council Entry'!Z$9),'Council Entry'!Z$8),'Council Entry'!Z107)),IF(AND(ISNUMBER('Council Entry'!Z$8),ISNUMBER('Council Entry'!Z$9)),MAX(MIN('Council Entry'!Z107,'Council Entry'!Z$9),'Council Entry'!Z$8),'Council Entry'!Z107))))-'Council Entry'!Z$5)/('Council Entry'!Z$6-'Council Entry'!Z$5)),1))),"No data"))</f>
        <v/>
      </c>
      <c r="AA107" s="13">
        <f>IF('Council Entry'!AA107="","",IFERROR(MAX(0,MIN(10,ROUND(IF('Council Entry'!AA$7="Decrease Risk",10-10*((IF('Council Entry'!AA$4="Logarithm",LN(0.001+IF(AND(ISNUMBER('Council Entry'!AA$8),ISNUMBER('Council Entry'!AA$9)),MAX(MIN('Council Entry'!AA107,'Council Entry'!AA$9),'Council Entry'!AA$8),'Council Entry'!AA107)),IF('Council Entry'!AA$4="Exponential",EXP(IF(AND(ISNUMBER('Council Entry'!AA$8),ISNUMBER('Council Entry'!AA$9)),MAX(MIN('Council Entry'!AA107,'Council Entry'!AA$9),'Council Entry'!AA$8),'Council Entry'!AA107)),IF(AND(ISNUMBER('Council Entry'!AA$8),ISNUMBER('Council Entry'!AA$9)),MAX(MIN('Council Entry'!AA107,'Council Entry'!AA$9),'Council Entry'!AA$8),'Council Entry'!AA107))))-'Council Entry'!AA$5)/('Council Entry'!AA$6-'Council Entry'!AA$5),10*((IF('Council Entry'!AA$4="Logarithm",LN(0.001+IF(AND(ISNUMBER('Council Entry'!AA$8),ISNUMBER('Council Entry'!AA$9)),MAX(MIN('Council Entry'!AA107,'Council Entry'!AA$9),'Council Entry'!AA$8),'Council Entry'!AA107)),IF('Council Entry'!AA$4="Exponential",EXP(IF(AND(ISNUMBER('Council Entry'!AA$8),ISNUMBER('Council Entry'!AA$9)),MAX(MIN('Council Entry'!AA107,'Council Entry'!AA$9),'Council Entry'!AA$8),'Council Entry'!AA107)),IF(AND(ISNUMBER('Council Entry'!AA$8),ISNUMBER('Council Entry'!AA$9)),MAX(MIN('Council Entry'!AA107,'Council Entry'!AA$9),'Council Entry'!AA$8),'Council Entry'!AA107))))-'Council Entry'!AA$5)/('Council Entry'!AA$6-'Council Entry'!AA$5)),1))),"No data"))</f>
        <v/>
      </c>
      <c r="AB107" s="13">
        <f>IF('Council Entry'!AB107="","",IFERROR(MAX(0,MIN(10,ROUND(IF('Council Entry'!AB$7="Decrease Risk",10-10*((IF('Council Entry'!AB$4="Logarithm",LN(0.001+IF(AND(ISNUMBER('Council Entry'!AB$8),ISNUMBER('Council Entry'!AB$9)),MAX(MIN('Council Entry'!AB107,'Council Entry'!AB$9),'Council Entry'!AB$8),'Council Entry'!AB107)),IF('Council Entry'!AB$4="Exponential",EXP(IF(AND(ISNUMBER('Council Entry'!AB$8),ISNUMBER('Council Entry'!AB$9)),MAX(MIN('Council Entry'!AB107,'Council Entry'!AB$9),'Council Entry'!AB$8),'Council Entry'!AB107)),IF(AND(ISNUMBER('Council Entry'!AB$8),ISNUMBER('Council Entry'!AB$9)),MAX(MIN('Council Entry'!AB107,'Council Entry'!AB$9),'Council Entry'!AB$8),'Council Entry'!AB107))))-'Council Entry'!AB$5)/('Council Entry'!AB$6-'Council Entry'!AB$5),10*((IF('Council Entry'!AB$4="Logarithm",LN(0.001+IF(AND(ISNUMBER('Council Entry'!AB$8),ISNUMBER('Council Entry'!AB$9)),MAX(MIN('Council Entry'!AB107,'Council Entry'!AB$9),'Council Entry'!AB$8),'Council Entry'!AB107)),IF('Council Entry'!AB$4="Exponential",EXP(IF(AND(ISNUMBER('Council Entry'!AB$8),ISNUMBER('Council Entry'!AB$9)),MAX(MIN('Council Entry'!AB107,'Council Entry'!AB$9),'Council Entry'!AB$8),'Council Entry'!AB107)),IF(AND(ISNUMBER('Council Entry'!AB$8),ISNUMBER('Council Entry'!AB$9)),MAX(MIN('Council Entry'!AB107,'Council Entry'!AB$9),'Council Entry'!AB$8),'Council Entry'!AB107))))-'Council Entry'!AB$5)/('Council Entry'!AB$6-'Council Entry'!AB$5)),1))),"No data"))</f>
        <v/>
      </c>
      <c r="AC107" s="13">
        <f>IF('Council Entry'!AC107="","",IFERROR(MAX(0,MIN(10,ROUND(IF('Council Entry'!AC$7="Decrease Risk",10-10*((IF('Council Entry'!AC$4="Logarithm",LN(0.001+IF(AND(ISNUMBER('Council Entry'!AC$8),ISNUMBER('Council Entry'!AC$9)),MAX(MIN('Council Entry'!AC107,'Council Entry'!AC$9),'Council Entry'!AC$8),'Council Entry'!AC107)),IF('Council Entry'!AC$4="Exponential",EXP(IF(AND(ISNUMBER('Council Entry'!AC$8),ISNUMBER('Council Entry'!AC$9)),MAX(MIN('Council Entry'!AC107,'Council Entry'!AC$9),'Council Entry'!AC$8),'Council Entry'!AC107)),IF(AND(ISNUMBER('Council Entry'!AC$8),ISNUMBER('Council Entry'!AC$9)),MAX(MIN('Council Entry'!AC107,'Council Entry'!AC$9),'Council Entry'!AC$8),'Council Entry'!AC107))))-'Council Entry'!AC$5)/('Council Entry'!AC$6-'Council Entry'!AC$5),10*((IF('Council Entry'!AC$4="Logarithm",LN(0.001+IF(AND(ISNUMBER('Council Entry'!AC$8),ISNUMBER('Council Entry'!AC$9)),MAX(MIN('Council Entry'!AC107,'Council Entry'!AC$9),'Council Entry'!AC$8),'Council Entry'!AC107)),IF('Council Entry'!AC$4="Exponential",EXP(IF(AND(ISNUMBER('Council Entry'!AC$8),ISNUMBER('Council Entry'!AC$9)),MAX(MIN('Council Entry'!AC107,'Council Entry'!AC$9),'Council Entry'!AC$8),'Council Entry'!AC107)),IF(AND(ISNUMBER('Council Entry'!AC$8),ISNUMBER('Council Entry'!AC$9)),MAX(MIN('Council Entry'!AC107,'Council Entry'!AC$9),'Council Entry'!AC$8),'Council Entry'!AC107))))-'Council Entry'!AC$5)/('Council Entry'!AC$6-'Council Entry'!AC$5)),1))),"No data"))</f>
        <v/>
      </c>
      <c r="AD107" s="13">
        <f>IF('Council Entry'!AD107="","",IFERROR(MAX(0,MIN(10,ROUND(IF('Council Entry'!AD$7="Decrease Risk",10-10*((IF('Council Entry'!AD$4="Logarithm",LN(0.001+IF(AND(ISNUMBER('Council Entry'!AD$8),ISNUMBER('Council Entry'!AD$9)),MAX(MIN('Council Entry'!AD107,'Council Entry'!AD$9),'Council Entry'!AD$8),'Council Entry'!AD107)),IF('Council Entry'!AD$4="Exponential",EXP(IF(AND(ISNUMBER('Council Entry'!AD$8),ISNUMBER('Council Entry'!AD$9)),MAX(MIN('Council Entry'!AD107,'Council Entry'!AD$9),'Council Entry'!AD$8),'Council Entry'!AD107)),IF(AND(ISNUMBER('Council Entry'!AD$8),ISNUMBER('Council Entry'!AD$9)),MAX(MIN('Council Entry'!AD107,'Council Entry'!AD$9),'Council Entry'!AD$8),'Council Entry'!AD107))))-'Council Entry'!AD$5)/('Council Entry'!AD$6-'Council Entry'!AD$5),10*((IF('Council Entry'!AD$4="Logarithm",LN(0.001+IF(AND(ISNUMBER('Council Entry'!AD$8),ISNUMBER('Council Entry'!AD$9)),MAX(MIN('Council Entry'!AD107,'Council Entry'!AD$9),'Council Entry'!AD$8),'Council Entry'!AD107)),IF('Council Entry'!AD$4="Exponential",EXP(IF(AND(ISNUMBER('Council Entry'!AD$8),ISNUMBER('Council Entry'!AD$9)),MAX(MIN('Council Entry'!AD107,'Council Entry'!AD$9),'Council Entry'!AD$8),'Council Entry'!AD107)),IF(AND(ISNUMBER('Council Entry'!AD$8),ISNUMBER('Council Entry'!AD$9)),MAX(MIN('Council Entry'!AD107,'Council Entry'!AD$9),'Council Entry'!AD$8),'Council Entry'!AD107))))-'Council Entry'!AD$5)/('Council Entry'!AD$6-'Council Entry'!AD$5)),1))),"No data"))</f>
        <v/>
      </c>
      <c r="AE107" s="13">
        <f>IF('Council Entry'!AE107="","",IFERROR(MAX(0,MIN(10,ROUND(IF('Council Entry'!AE$7="Decrease Risk",10-10*((IF('Council Entry'!AE$4="Logarithm",LN(0.001+IF(AND(ISNUMBER('Council Entry'!AE$8),ISNUMBER('Council Entry'!AE$9)),MAX(MIN('Council Entry'!AE107,'Council Entry'!AE$9),'Council Entry'!AE$8),'Council Entry'!AE107)),IF('Council Entry'!AE$4="Exponential",EXP(IF(AND(ISNUMBER('Council Entry'!AE$8),ISNUMBER('Council Entry'!AE$9)),MAX(MIN('Council Entry'!AE107,'Council Entry'!AE$9),'Council Entry'!AE$8),'Council Entry'!AE107)),IF(AND(ISNUMBER('Council Entry'!AE$8),ISNUMBER('Council Entry'!AE$9)),MAX(MIN('Council Entry'!AE107,'Council Entry'!AE$9),'Council Entry'!AE$8),'Council Entry'!AE107))))-'Council Entry'!AE$5)/('Council Entry'!AE$6-'Council Entry'!AE$5),10*((IF('Council Entry'!AE$4="Logarithm",LN(0.001+IF(AND(ISNUMBER('Council Entry'!AE$8),ISNUMBER('Council Entry'!AE$9)),MAX(MIN('Council Entry'!AE107,'Council Entry'!AE$9),'Council Entry'!AE$8),'Council Entry'!AE107)),IF('Council Entry'!AE$4="Exponential",EXP(IF(AND(ISNUMBER('Council Entry'!AE$8),ISNUMBER('Council Entry'!AE$9)),MAX(MIN('Council Entry'!AE107,'Council Entry'!AE$9),'Council Entry'!AE$8),'Council Entry'!AE107)),IF(AND(ISNUMBER('Council Entry'!AE$8),ISNUMBER('Council Entry'!AE$9)),MAX(MIN('Council Entry'!AE107,'Council Entry'!AE$9),'Council Entry'!AE$8),'Council Entry'!AE107))))-'Council Entry'!AE$5)/('Council Entry'!AE$6-'Council Entry'!AE$5)),1))),"No data"))</f>
        <v/>
      </c>
      <c r="AF107" s="13">
        <f>IF('Council Entry'!AF107="","",IFERROR(MAX(0,MIN(10,ROUND(IF('Council Entry'!AF$7="Decrease Risk",10-10*((IF('Council Entry'!AF$4="Logarithm",LN(0.001+IF(AND(ISNUMBER('Council Entry'!AF$8),ISNUMBER('Council Entry'!AF$9)),MAX(MIN('Council Entry'!AF107,'Council Entry'!AF$9),'Council Entry'!AF$8),'Council Entry'!AF107)),IF('Council Entry'!AF$4="Exponential",EXP(IF(AND(ISNUMBER('Council Entry'!AF$8),ISNUMBER('Council Entry'!AF$9)),MAX(MIN('Council Entry'!AF107,'Council Entry'!AF$9),'Council Entry'!AF$8),'Council Entry'!AF107)),IF(AND(ISNUMBER('Council Entry'!AF$8),ISNUMBER('Council Entry'!AF$9)),MAX(MIN('Council Entry'!AF107,'Council Entry'!AF$9),'Council Entry'!AF$8),'Council Entry'!AF107))))-'Council Entry'!AF$5)/('Council Entry'!AF$6-'Council Entry'!AF$5),10*((IF('Council Entry'!AF$4="Logarithm",LN(0.001+IF(AND(ISNUMBER('Council Entry'!AF$8),ISNUMBER('Council Entry'!AF$9)),MAX(MIN('Council Entry'!AF107,'Council Entry'!AF$9),'Council Entry'!AF$8),'Council Entry'!AF107)),IF('Council Entry'!AF$4="Exponential",EXP(IF(AND(ISNUMBER('Council Entry'!AF$8),ISNUMBER('Council Entry'!AF$9)),MAX(MIN('Council Entry'!AF107,'Council Entry'!AF$9),'Council Entry'!AF$8),'Council Entry'!AF107)),IF(AND(ISNUMBER('Council Entry'!AF$8),ISNUMBER('Council Entry'!AF$9)),MAX(MIN('Council Entry'!AF107,'Council Entry'!AF$9),'Council Entry'!AF$8),'Council Entry'!AF107))))-'Council Entry'!AF$5)/('Council Entry'!AF$6-'Council Entry'!AF$5)),1))),"No data"))</f>
        <v/>
      </c>
      <c r="AG107" s="13">
        <f>IF('Council Entry'!AG107="","",IFERROR(MAX(0,MIN(10,ROUND(IF('Council Entry'!AG$7="Decrease Risk",10-10*((IF('Council Entry'!AG$4="Logarithm",LN(0.001+IF(AND(ISNUMBER('Council Entry'!AG$8),ISNUMBER('Council Entry'!AG$9)),MAX(MIN('Council Entry'!AG107,'Council Entry'!AG$9),'Council Entry'!AG$8),'Council Entry'!AG107)),IF('Council Entry'!AG$4="Exponential",EXP(IF(AND(ISNUMBER('Council Entry'!AG$8),ISNUMBER('Council Entry'!AG$9)),MAX(MIN('Council Entry'!AG107,'Council Entry'!AG$9),'Council Entry'!AG$8),'Council Entry'!AG107)),IF(AND(ISNUMBER('Council Entry'!AG$8),ISNUMBER('Council Entry'!AG$9)),MAX(MIN('Council Entry'!AG107,'Council Entry'!AG$9),'Council Entry'!AG$8),'Council Entry'!AG107))))-'Council Entry'!AG$5)/('Council Entry'!AG$6-'Council Entry'!AG$5),10*((IF('Council Entry'!AG$4="Logarithm",LN(0.001+IF(AND(ISNUMBER('Council Entry'!AG$8),ISNUMBER('Council Entry'!AG$9)),MAX(MIN('Council Entry'!AG107,'Council Entry'!AG$9),'Council Entry'!AG$8),'Council Entry'!AG107)),IF('Council Entry'!AG$4="Exponential",EXP(IF(AND(ISNUMBER('Council Entry'!AG$8),ISNUMBER('Council Entry'!AG$9)),MAX(MIN('Council Entry'!AG107,'Council Entry'!AG$9),'Council Entry'!AG$8),'Council Entry'!AG107)),IF(AND(ISNUMBER('Council Entry'!AG$8),ISNUMBER('Council Entry'!AG$9)),MAX(MIN('Council Entry'!AG107,'Council Entry'!AG$9),'Council Entry'!AG$8),'Council Entry'!AG107))))-'Council Entry'!AG$5)/('Council Entry'!AG$6-'Council Entry'!AG$5)),1))),"No data"))</f>
        <v/>
      </c>
      <c r="AH107" s="13">
        <f>IF('Council Entry'!AH107="","",IFERROR(MAX(0,MIN(10,ROUND(IF('Council Entry'!AH$7="Decrease Risk",10-10*((IF('Council Entry'!AH$4="Logarithm",LN(0.001+IF(AND(ISNUMBER('Council Entry'!AH$8),ISNUMBER('Council Entry'!AH$9)),MAX(MIN('Council Entry'!AH107,'Council Entry'!AH$9),'Council Entry'!AH$8),'Council Entry'!AH107)),IF('Council Entry'!AH$4="Exponential",EXP(IF(AND(ISNUMBER('Council Entry'!AH$8),ISNUMBER('Council Entry'!AH$9)),MAX(MIN('Council Entry'!AH107,'Council Entry'!AH$9),'Council Entry'!AH$8),'Council Entry'!AH107)),IF(AND(ISNUMBER('Council Entry'!AH$8),ISNUMBER('Council Entry'!AH$9)),MAX(MIN('Council Entry'!AH107,'Council Entry'!AH$9),'Council Entry'!AH$8),'Council Entry'!AH107))))-'Council Entry'!AH$5)/('Council Entry'!AH$6-'Council Entry'!AH$5),10*((IF('Council Entry'!AH$4="Logarithm",LN(0.001+IF(AND(ISNUMBER('Council Entry'!AH$8),ISNUMBER('Council Entry'!AH$9)),MAX(MIN('Council Entry'!AH107,'Council Entry'!AH$9),'Council Entry'!AH$8),'Council Entry'!AH107)),IF('Council Entry'!AH$4="Exponential",EXP(IF(AND(ISNUMBER('Council Entry'!AH$8),ISNUMBER('Council Entry'!AH$9)),MAX(MIN('Council Entry'!AH107,'Council Entry'!AH$9),'Council Entry'!AH$8),'Council Entry'!AH107)),IF(AND(ISNUMBER('Council Entry'!AH$8),ISNUMBER('Council Entry'!AH$9)),MAX(MIN('Council Entry'!AH107,'Council Entry'!AH$9),'Council Entry'!AH$8),'Council Entry'!AH107))))-'Council Entry'!AH$5)/('Council Entry'!AH$6-'Council Entry'!AH$5)),1))),"No data"))</f>
        <v/>
      </c>
      <c r="AI107" s="13">
        <f>IF('Council Entry'!AI107="","",IFERROR(MAX(0,MIN(10,ROUND(IF('Council Entry'!AI$7="Decrease Risk",10-10*((IF('Council Entry'!AI$4="Logarithm",LN(0.001+IF(AND(ISNUMBER('Council Entry'!AI$8),ISNUMBER('Council Entry'!AI$9)),MAX(MIN('Council Entry'!AI107,'Council Entry'!AI$9),'Council Entry'!AI$8),'Council Entry'!AI107)),IF('Council Entry'!AI$4="Exponential",EXP(IF(AND(ISNUMBER('Council Entry'!AI$8),ISNUMBER('Council Entry'!AI$9)),MAX(MIN('Council Entry'!AI107,'Council Entry'!AI$9),'Council Entry'!AI$8),'Council Entry'!AI107)),IF(AND(ISNUMBER('Council Entry'!AI$8),ISNUMBER('Council Entry'!AI$9)),MAX(MIN('Council Entry'!AI107,'Council Entry'!AI$9),'Council Entry'!AI$8),'Council Entry'!AI107))))-'Council Entry'!AI$5)/('Council Entry'!AI$6-'Council Entry'!AI$5),10*((IF('Council Entry'!AI$4="Logarithm",LN(0.001+IF(AND(ISNUMBER('Council Entry'!AI$8),ISNUMBER('Council Entry'!AI$9)),MAX(MIN('Council Entry'!AI107,'Council Entry'!AI$9),'Council Entry'!AI$8),'Council Entry'!AI107)),IF('Council Entry'!AI$4="Exponential",EXP(IF(AND(ISNUMBER('Council Entry'!AI$8),ISNUMBER('Council Entry'!AI$9)),MAX(MIN('Council Entry'!AI107,'Council Entry'!AI$9),'Council Entry'!AI$8),'Council Entry'!AI107)),IF(AND(ISNUMBER('Council Entry'!AI$8),ISNUMBER('Council Entry'!AI$9)),MAX(MIN('Council Entry'!AI107,'Council Entry'!AI$9),'Council Entry'!AI$8),'Council Entry'!AI107))))-'Council Entry'!AI$5)/('Council Entry'!AI$6-'Council Entry'!AI$5)),1))),"No data"))</f>
        <v/>
      </c>
      <c r="AJ107" s="13">
        <f>IF('Council Entry'!AJ107="","",IFERROR(MAX(0,MIN(10,ROUND(IF('Council Entry'!AJ$7="Decrease Risk",10-10*((IF('Council Entry'!AJ$4="Logarithm",LN(0.001+IF(AND(ISNUMBER('Council Entry'!AJ$8),ISNUMBER('Council Entry'!AJ$9)),MAX(MIN('Council Entry'!AJ107,'Council Entry'!AJ$9),'Council Entry'!AJ$8),'Council Entry'!AJ107)),IF('Council Entry'!AJ$4="Exponential",EXP(IF(AND(ISNUMBER('Council Entry'!AJ$8),ISNUMBER('Council Entry'!AJ$9)),MAX(MIN('Council Entry'!AJ107,'Council Entry'!AJ$9),'Council Entry'!AJ$8),'Council Entry'!AJ107)),IF(AND(ISNUMBER('Council Entry'!AJ$8),ISNUMBER('Council Entry'!AJ$9)),MAX(MIN('Council Entry'!AJ107,'Council Entry'!AJ$9),'Council Entry'!AJ$8),'Council Entry'!AJ107))))-'Council Entry'!AJ$5)/('Council Entry'!AJ$6-'Council Entry'!AJ$5),10*((IF('Council Entry'!AJ$4="Logarithm",LN(0.001+IF(AND(ISNUMBER('Council Entry'!AJ$8),ISNUMBER('Council Entry'!AJ$9)),MAX(MIN('Council Entry'!AJ107,'Council Entry'!AJ$9),'Council Entry'!AJ$8),'Council Entry'!AJ107)),IF('Council Entry'!AJ$4="Exponential",EXP(IF(AND(ISNUMBER('Council Entry'!AJ$8),ISNUMBER('Council Entry'!AJ$9)),MAX(MIN('Council Entry'!AJ107,'Council Entry'!AJ$9),'Council Entry'!AJ$8),'Council Entry'!AJ107)),IF(AND(ISNUMBER('Council Entry'!AJ$8),ISNUMBER('Council Entry'!AJ$9)),MAX(MIN('Council Entry'!AJ107,'Council Entry'!AJ$9),'Council Entry'!AJ$8),'Council Entry'!AJ107))))-'Council Entry'!AJ$5)/('Council Entry'!AJ$6-'Council Entry'!AJ$5)),1))),"No data"))</f>
        <v/>
      </c>
      <c r="AK107" s="13">
        <f>IF('Council Entry'!AK107="","",IFERROR(MAX(0,MIN(10,ROUND(IF('Council Entry'!AK$7="Decrease Risk",10-10*((IF('Council Entry'!AK$4="Logarithm",LN(0.001+IF(AND(ISNUMBER('Council Entry'!AK$8),ISNUMBER('Council Entry'!AK$9)),MAX(MIN('Council Entry'!AK107,'Council Entry'!AK$9),'Council Entry'!AK$8),'Council Entry'!AK107)),IF('Council Entry'!AK$4="Exponential",EXP(IF(AND(ISNUMBER('Council Entry'!AK$8),ISNUMBER('Council Entry'!AK$9)),MAX(MIN('Council Entry'!AK107,'Council Entry'!AK$9),'Council Entry'!AK$8),'Council Entry'!AK107)),IF(AND(ISNUMBER('Council Entry'!AK$8),ISNUMBER('Council Entry'!AK$9)),MAX(MIN('Council Entry'!AK107,'Council Entry'!AK$9),'Council Entry'!AK$8),'Council Entry'!AK107))))-'Council Entry'!AK$5)/('Council Entry'!AK$6-'Council Entry'!AK$5),10*((IF('Council Entry'!AK$4="Logarithm",LN(0.001+IF(AND(ISNUMBER('Council Entry'!AK$8),ISNUMBER('Council Entry'!AK$9)),MAX(MIN('Council Entry'!AK107,'Council Entry'!AK$9),'Council Entry'!AK$8),'Council Entry'!AK107)),IF('Council Entry'!AK$4="Exponential",EXP(IF(AND(ISNUMBER('Council Entry'!AK$8),ISNUMBER('Council Entry'!AK$9)),MAX(MIN('Council Entry'!AK107,'Council Entry'!AK$9),'Council Entry'!AK$8),'Council Entry'!AK107)),IF(AND(ISNUMBER('Council Entry'!AK$8),ISNUMBER('Council Entry'!AK$9)),MAX(MIN('Council Entry'!AK107,'Council Entry'!AK$9),'Council Entry'!AK$8),'Council Entry'!AK107))))-'Council Entry'!AK$5)/('Council Entry'!AK$6-'Council Entry'!AK$5)),1))),"No data"))</f>
        <v/>
      </c>
      <c r="AL107" s="13">
        <f>IF('Council Entry'!AL107="","",IFERROR(MAX(0,MIN(10,ROUND(IF('Council Entry'!AL$7="Decrease Risk",10-10*((IF('Council Entry'!AL$4="Logarithm",LN(0.001+IF(AND(ISNUMBER('Council Entry'!AL$8),ISNUMBER('Council Entry'!AL$9)),MAX(MIN('Council Entry'!AL107,'Council Entry'!AL$9),'Council Entry'!AL$8),'Council Entry'!AL107)),IF('Council Entry'!AL$4="Exponential",EXP(IF(AND(ISNUMBER('Council Entry'!AL$8),ISNUMBER('Council Entry'!AL$9)),MAX(MIN('Council Entry'!AL107,'Council Entry'!AL$9),'Council Entry'!AL$8),'Council Entry'!AL107)),IF(AND(ISNUMBER('Council Entry'!AL$8),ISNUMBER('Council Entry'!AL$9)),MAX(MIN('Council Entry'!AL107,'Council Entry'!AL$9),'Council Entry'!AL$8),'Council Entry'!AL107))))-'Council Entry'!AL$5)/('Council Entry'!AL$6-'Council Entry'!AL$5),10*((IF('Council Entry'!AL$4="Logarithm",LN(0.001+IF(AND(ISNUMBER('Council Entry'!AL$8),ISNUMBER('Council Entry'!AL$9)),MAX(MIN('Council Entry'!AL107,'Council Entry'!AL$9),'Council Entry'!AL$8),'Council Entry'!AL107)),IF('Council Entry'!AL$4="Exponential",EXP(IF(AND(ISNUMBER('Council Entry'!AL$8),ISNUMBER('Council Entry'!AL$9)),MAX(MIN('Council Entry'!AL107,'Council Entry'!AL$9),'Council Entry'!AL$8),'Council Entry'!AL107)),IF(AND(ISNUMBER('Council Entry'!AL$8),ISNUMBER('Council Entry'!AL$9)),MAX(MIN('Council Entry'!AL107,'Council Entry'!AL$9),'Council Entry'!AL$8),'Council Entry'!AL107))))-'Council Entry'!AL$5)/('Council Entry'!AL$6-'Council Entry'!AL$5)),1))),"No data"))</f>
        <v/>
      </c>
      <c r="AM107" s="13">
        <f>IF('Council Entry'!AM107="","",IFERROR(MAX(0,MIN(10,ROUND(IF('Council Entry'!AM$7="Decrease Risk",10-10*((IF('Council Entry'!AM$4="Logarithm",LN(0.001+IF(AND(ISNUMBER('Council Entry'!AM$8),ISNUMBER('Council Entry'!AM$9)),MAX(MIN('Council Entry'!AM107,'Council Entry'!AM$9),'Council Entry'!AM$8),'Council Entry'!AM107)),IF('Council Entry'!AM$4="Exponential",EXP(IF(AND(ISNUMBER('Council Entry'!AM$8),ISNUMBER('Council Entry'!AM$9)),MAX(MIN('Council Entry'!AM107,'Council Entry'!AM$9),'Council Entry'!AM$8),'Council Entry'!AM107)),IF(AND(ISNUMBER('Council Entry'!AM$8),ISNUMBER('Council Entry'!AM$9)),MAX(MIN('Council Entry'!AM107,'Council Entry'!AM$9),'Council Entry'!AM$8),'Council Entry'!AM107))))-'Council Entry'!AM$5)/('Council Entry'!AM$6-'Council Entry'!AM$5),10*((IF('Council Entry'!AM$4="Logarithm",LN(0.001+IF(AND(ISNUMBER('Council Entry'!AM$8),ISNUMBER('Council Entry'!AM$9)),MAX(MIN('Council Entry'!AM107,'Council Entry'!AM$9),'Council Entry'!AM$8),'Council Entry'!AM107)),IF('Council Entry'!AM$4="Exponential",EXP(IF(AND(ISNUMBER('Council Entry'!AM$8),ISNUMBER('Council Entry'!AM$9)),MAX(MIN('Council Entry'!AM107,'Council Entry'!AM$9),'Council Entry'!AM$8),'Council Entry'!AM107)),IF(AND(ISNUMBER('Council Entry'!AM$8),ISNUMBER('Council Entry'!AM$9)),MAX(MIN('Council Entry'!AM107,'Council Entry'!AM$9),'Council Entry'!AM$8),'Council Entry'!AM107))))-'Council Entry'!AM$5)/('Council Entry'!AM$6-'Council Entry'!AM$5)),1))),"No data"))</f>
        <v/>
      </c>
      <c r="AN107" s="13">
        <f>IF('Council Entry'!AN107="","",IFERROR(MAX(0,MIN(10,ROUND(IF('Council Entry'!AN$7="Decrease Risk",10-10*((IF('Council Entry'!AN$4="Logarithm",LN(0.001+IF(AND(ISNUMBER('Council Entry'!AN$8),ISNUMBER('Council Entry'!AN$9)),MAX(MIN('Council Entry'!AN107,'Council Entry'!AN$9),'Council Entry'!AN$8),'Council Entry'!AN107)),IF('Council Entry'!AN$4="Exponential",EXP(IF(AND(ISNUMBER('Council Entry'!AN$8),ISNUMBER('Council Entry'!AN$9)),MAX(MIN('Council Entry'!AN107,'Council Entry'!AN$9),'Council Entry'!AN$8),'Council Entry'!AN107)),IF(AND(ISNUMBER('Council Entry'!AN$8),ISNUMBER('Council Entry'!AN$9)),MAX(MIN('Council Entry'!AN107,'Council Entry'!AN$9),'Council Entry'!AN$8),'Council Entry'!AN107))))-'Council Entry'!AN$5)/('Council Entry'!AN$6-'Council Entry'!AN$5),10*((IF('Council Entry'!AN$4="Logarithm",LN(0.001+IF(AND(ISNUMBER('Council Entry'!AN$8),ISNUMBER('Council Entry'!AN$9)),MAX(MIN('Council Entry'!AN107,'Council Entry'!AN$9),'Council Entry'!AN$8),'Council Entry'!AN107)),IF('Council Entry'!AN$4="Exponential",EXP(IF(AND(ISNUMBER('Council Entry'!AN$8),ISNUMBER('Council Entry'!AN$9)),MAX(MIN('Council Entry'!AN107,'Council Entry'!AN$9),'Council Entry'!AN$8),'Council Entry'!AN107)),IF(AND(ISNUMBER('Council Entry'!AN$8),ISNUMBER('Council Entry'!AN$9)),MAX(MIN('Council Entry'!AN107,'Council Entry'!AN$9),'Council Entry'!AN$8),'Council Entry'!AN107))))-'Council Entry'!AN$5)/('Council Entry'!AN$6-'Council Entry'!AN$5)),1))),"No data"))</f>
        <v/>
      </c>
      <c r="AO107" s="13">
        <f>IF('Council Entry'!AO107="","",IFERROR(MAX(0,MIN(10,ROUND(IF('Council Entry'!AO$7="Decrease Risk",10-10*((IF('Council Entry'!AO$4="Logarithm",LN(0.001+IF(AND(ISNUMBER('Council Entry'!AO$8),ISNUMBER('Council Entry'!AO$9)),MAX(MIN('Council Entry'!AO107,'Council Entry'!AO$9),'Council Entry'!AO$8),'Council Entry'!AO107)),IF('Council Entry'!AO$4="Exponential",EXP(IF(AND(ISNUMBER('Council Entry'!AO$8),ISNUMBER('Council Entry'!AO$9)),MAX(MIN('Council Entry'!AO107,'Council Entry'!AO$9),'Council Entry'!AO$8),'Council Entry'!AO107)),IF(AND(ISNUMBER('Council Entry'!AO$8),ISNUMBER('Council Entry'!AO$9)),MAX(MIN('Council Entry'!AO107,'Council Entry'!AO$9),'Council Entry'!AO$8),'Council Entry'!AO107))))-'Council Entry'!AO$5)/('Council Entry'!AO$6-'Council Entry'!AO$5),10*((IF('Council Entry'!AO$4="Logarithm",LN(0.001+IF(AND(ISNUMBER('Council Entry'!AO$8),ISNUMBER('Council Entry'!AO$9)),MAX(MIN('Council Entry'!AO107,'Council Entry'!AO$9),'Council Entry'!AO$8),'Council Entry'!AO107)),IF('Council Entry'!AO$4="Exponential",EXP(IF(AND(ISNUMBER('Council Entry'!AO$8),ISNUMBER('Council Entry'!AO$9)),MAX(MIN('Council Entry'!AO107,'Council Entry'!AO$9),'Council Entry'!AO$8),'Council Entry'!AO107)),IF(AND(ISNUMBER('Council Entry'!AO$8),ISNUMBER('Council Entry'!AO$9)),MAX(MIN('Council Entry'!AO107,'Council Entry'!AO$9),'Council Entry'!AO$8),'Council Entry'!AO107))))-'Council Entry'!AO$5)/('Council Entry'!AO$6-'Council Entry'!AO$5)),1))),"No data"))</f>
        <v/>
      </c>
      <c r="AP107" s="13">
        <f>IF('Council Entry'!AP107="","",IFERROR(MAX(0,MIN(10,ROUND(IF('Council Entry'!AP$7="Decrease Risk",10-10*((IF('Council Entry'!AP$4="Logarithm",LN(0.001+IF(AND(ISNUMBER('Council Entry'!AP$8),ISNUMBER('Council Entry'!AP$9)),MAX(MIN('Council Entry'!AP107,'Council Entry'!AP$9),'Council Entry'!AP$8),'Council Entry'!AP107)),IF('Council Entry'!AP$4="Exponential",EXP(IF(AND(ISNUMBER('Council Entry'!AP$8),ISNUMBER('Council Entry'!AP$9)),MAX(MIN('Council Entry'!AP107,'Council Entry'!AP$9),'Council Entry'!AP$8),'Council Entry'!AP107)),IF(AND(ISNUMBER('Council Entry'!AP$8),ISNUMBER('Council Entry'!AP$9)),MAX(MIN('Council Entry'!AP107,'Council Entry'!AP$9),'Council Entry'!AP$8),'Council Entry'!AP107))))-'Council Entry'!AP$5)/('Council Entry'!AP$6-'Council Entry'!AP$5),10*((IF('Council Entry'!AP$4="Logarithm",LN(0.001+IF(AND(ISNUMBER('Council Entry'!AP$8),ISNUMBER('Council Entry'!AP$9)),MAX(MIN('Council Entry'!AP107,'Council Entry'!AP$9),'Council Entry'!AP$8),'Council Entry'!AP107)),IF('Council Entry'!AP$4="Exponential",EXP(IF(AND(ISNUMBER('Council Entry'!AP$8),ISNUMBER('Council Entry'!AP$9)),MAX(MIN('Council Entry'!AP107,'Council Entry'!AP$9),'Council Entry'!AP$8),'Council Entry'!AP107)),IF(AND(ISNUMBER('Council Entry'!AP$8),ISNUMBER('Council Entry'!AP$9)),MAX(MIN('Council Entry'!AP107,'Council Entry'!AP$9),'Council Entry'!AP$8),'Council Entry'!AP107))))-'Council Entry'!AP$5)/('Council Entry'!AP$6-'Council Entry'!AP$5)),1))),"No data"))</f>
        <v/>
      </c>
      <c r="AQ107" s="13">
        <f>IF('Council Entry'!AQ107="","",IFERROR(MAX(0,MIN(10,ROUND(IF('Council Entry'!AQ$7="Decrease Risk",10-10*((IF('Council Entry'!AQ$4="Logarithm",LN(0.001+IF(AND(ISNUMBER('Council Entry'!AQ$8),ISNUMBER('Council Entry'!AQ$9)),MAX(MIN('Council Entry'!AQ107,'Council Entry'!AQ$9),'Council Entry'!AQ$8),'Council Entry'!AQ107)),IF('Council Entry'!AQ$4="Exponential",EXP(IF(AND(ISNUMBER('Council Entry'!AQ$8),ISNUMBER('Council Entry'!AQ$9)),MAX(MIN('Council Entry'!AQ107,'Council Entry'!AQ$9),'Council Entry'!AQ$8),'Council Entry'!AQ107)),IF(AND(ISNUMBER('Council Entry'!AQ$8),ISNUMBER('Council Entry'!AQ$9)),MAX(MIN('Council Entry'!AQ107,'Council Entry'!AQ$9),'Council Entry'!AQ$8),'Council Entry'!AQ107))))-'Council Entry'!AQ$5)/('Council Entry'!AQ$6-'Council Entry'!AQ$5),10*((IF('Council Entry'!AQ$4="Logarithm",LN(0.001+IF(AND(ISNUMBER('Council Entry'!AQ$8),ISNUMBER('Council Entry'!AQ$9)),MAX(MIN('Council Entry'!AQ107,'Council Entry'!AQ$9),'Council Entry'!AQ$8),'Council Entry'!AQ107)),IF('Council Entry'!AQ$4="Exponential",EXP(IF(AND(ISNUMBER('Council Entry'!AQ$8),ISNUMBER('Council Entry'!AQ$9)),MAX(MIN('Council Entry'!AQ107,'Council Entry'!AQ$9),'Council Entry'!AQ$8),'Council Entry'!AQ107)),IF(AND(ISNUMBER('Council Entry'!AQ$8),ISNUMBER('Council Entry'!AQ$9)),MAX(MIN('Council Entry'!AQ107,'Council Entry'!AQ$9),'Council Entry'!AQ$8),'Council Entry'!AQ107))))-'Council Entry'!AQ$5)/('Council Entry'!AQ$6-'Council Entry'!AQ$5)),1))),"No data"))</f>
        <v/>
      </c>
      <c r="AR107" s="13">
        <f>IF('Council Entry'!AR107="","",IFERROR(MAX(0,MIN(10,ROUND(IF('Council Entry'!AR$7="Decrease Risk",10-10*((IF('Council Entry'!AR$4="Logarithm",LN(0.001+IF(AND(ISNUMBER('Council Entry'!AR$8),ISNUMBER('Council Entry'!AR$9)),MAX(MIN('Council Entry'!AR107,'Council Entry'!AR$9),'Council Entry'!AR$8),'Council Entry'!AR107)),IF('Council Entry'!AR$4="Exponential",EXP(IF(AND(ISNUMBER('Council Entry'!AR$8),ISNUMBER('Council Entry'!AR$9)),MAX(MIN('Council Entry'!AR107,'Council Entry'!AR$9),'Council Entry'!AR$8),'Council Entry'!AR107)),IF(AND(ISNUMBER('Council Entry'!AR$8),ISNUMBER('Council Entry'!AR$9)),MAX(MIN('Council Entry'!AR107,'Council Entry'!AR$9),'Council Entry'!AR$8),'Council Entry'!AR107))))-'Council Entry'!AR$5)/('Council Entry'!AR$6-'Council Entry'!AR$5),10*((IF('Council Entry'!AR$4="Logarithm",LN(0.001+IF(AND(ISNUMBER('Council Entry'!AR$8),ISNUMBER('Council Entry'!AR$9)),MAX(MIN('Council Entry'!AR107,'Council Entry'!AR$9),'Council Entry'!AR$8),'Council Entry'!AR107)),IF('Council Entry'!AR$4="Exponential",EXP(IF(AND(ISNUMBER('Council Entry'!AR$8),ISNUMBER('Council Entry'!AR$9)),MAX(MIN('Council Entry'!AR107,'Council Entry'!AR$9),'Council Entry'!AR$8),'Council Entry'!AR107)),IF(AND(ISNUMBER('Council Entry'!AR$8),ISNUMBER('Council Entry'!AR$9)),MAX(MIN('Council Entry'!AR107,'Council Entry'!AR$9),'Council Entry'!AR$8),'Council Entry'!AR107))))-'Council Entry'!AR$5)/('Council Entry'!AR$6-'Council Entry'!AR$5)),1))),"No data"))</f>
        <v/>
      </c>
      <c r="AS107" s="13">
        <f>IF('Council Entry'!AS107="","",IFERROR(MAX(0,MIN(10,ROUND(IF('Council Entry'!AS$7="Decrease Risk",10-10*((IF('Council Entry'!AS$4="Logarithm",LN(0.001+IF(AND(ISNUMBER('Council Entry'!AS$8),ISNUMBER('Council Entry'!AS$9)),MAX(MIN('Council Entry'!AS107,'Council Entry'!AS$9),'Council Entry'!AS$8),'Council Entry'!AS107)),IF('Council Entry'!AS$4="Exponential",EXP(IF(AND(ISNUMBER('Council Entry'!AS$8),ISNUMBER('Council Entry'!AS$9)),MAX(MIN('Council Entry'!AS107,'Council Entry'!AS$9),'Council Entry'!AS$8),'Council Entry'!AS107)),IF(AND(ISNUMBER('Council Entry'!AS$8),ISNUMBER('Council Entry'!AS$9)),MAX(MIN('Council Entry'!AS107,'Council Entry'!AS$9),'Council Entry'!AS$8),'Council Entry'!AS107))))-'Council Entry'!AS$5)/('Council Entry'!AS$6-'Council Entry'!AS$5),10*((IF('Council Entry'!AS$4="Logarithm",LN(0.001+IF(AND(ISNUMBER('Council Entry'!AS$8),ISNUMBER('Council Entry'!AS$9)),MAX(MIN('Council Entry'!AS107,'Council Entry'!AS$9),'Council Entry'!AS$8),'Council Entry'!AS107)),IF('Council Entry'!AS$4="Exponential",EXP(IF(AND(ISNUMBER('Council Entry'!AS$8),ISNUMBER('Council Entry'!AS$9)),MAX(MIN('Council Entry'!AS107,'Council Entry'!AS$9),'Council Entry'!AS$8),'Council Entry'!AS107)),IF(AND(ISNUMBER('Council Entry'!AS$8),ISNUMBER('Council Entry'!AS$9)),MAX(MIN('Council Entry'!AS107,'Council Entry'!AS$9),'Council Entry'!AS$8),'Council Entry'!AS107))))-'Council Entry'!AS$5)/('Council Entry'!AS$6-'Council Entry'!AS$5)),1))),"No data"))</f>
        <v/>
      </c>
      <c r="AT107" s="13">
        <f>IF('Council Entry'!AT107="","",IFERROR(MAX(0,MIN(10,ROUND(IF('Council Entry'!AT$7="Decrease Risk",10-10*((IF('Council Entry'!AT$4="Logarithm",LN(0.001+IF(AND(ISNUMBER('Council Entry'!AT$8),ISNUMBER('Council Entry'!AT$9)),MAX(MIN('Council Entry'!AT107,'Council Entry'!AT$9),'Council Entry'!AT$8),'Council Entry'!AT107)),IF('Council Entry'!AT$4="Exponential",EXP(IF(AND(ISNUMBER('Council Entry'!AT$8),ISNUMBER('Council Entry'!AT$9)),MAX(MIN('Council Entry'!AT107,'Council Entry'!AT$9),'Council Entry'!AT$8),'Council Entry'!AT107)),IF(AND(ISNUMBER('Council Entry'!AT$8),ISNUMBER('Council Entry'!AT$9)),MAX(MIN('Council Entry'!AT107,'Council Entry'!AT$9),'Council Entry'!AT$8),'Council Entry'!AT107))))-'Council Entry'!AT$5)/('Council Entry'!AT$6-'Council Entry'!AT$5),10*((IF('Council Entry'!AT$4="Logarithm",LN(0.001+IF(AND(ISNUMBER('Council Entry'!AT$8),ISNUMBER('Council Entry'!AT$9)),MAX(MIN('Council Entry'!AT107,'Council Entry'!AT$9),'Council Entry'!AT$8),'Council Entry'!AT107)),IF('Council Entry'!AT$4="Exponential",EXP(IF(AND(ISNUMBER('Council Entry'!AT$8),ISNUMBER('Council Entry'!AT$9)),MAX(MIN('Council Entry'!AT107,'Council Entry'!AT$9),'Council Entry'!AT$8),'Council Entry'!AT107)),IF(AND(ISNUMBER('Council Entry'!AT$8),ISNUMBER('Council Entry'!AT$9)),MAX(MIN('Council Entry'!AT107,'Council Entry'!AT$9),'Council Entry'!AT$8),'Council Entry'!AT107))))-'Council Entry'!AT$5)/('Council Entry'!AT$6-'Council Entry'!AT$5)),1))),"No data"))</f>
        <v/>
      </c>
      <c r="AU107" s="13">
        <f>IF('Council Entry'!AU107="","",IFERROR(MAX(0,MIN(10,ROUND(IF('Council Entry'!AU$7="Decrease Risk",10-10*((IF('Council Entry'!AU$4="Logarithm",LN(0.001+IF(AND(ISNUMBER('Council Entry'!AU$8),ISNUMBER('Council Entry'!AU$9)),MAX(MIN('Council Entry'!AU107,'Council Entry'!AU$9),'Council Entry'!AU$8),'Council Entry'!AU107)),IF('Council Entry'!AU$4="Exponential",EXP(IF(AND(ISNUMBER('Council Entry'!AU$8),ISNUMBER('Council Entry'!AU$9)),MAX(MIN('Council Entry'!AU107,'Council Entry'!AU$9),'Council Entry'!AU$8),'Council Entry'!AU107)),IF(AND(ISNUMBER('Council Entry'!AU$8),ISNUMBER('Council Entry'!AU$9)),MAX(MIN('Council Entry'!AU107,'Council Entry'!AU$9),'Council Entry'!AU$8),'Council Entry'!AU107))))-'Council Entry'!AU$5)/('Council Entry'!AU$6-'Council Entry'!AU$5),10*((IF('Council Entry'!AU$4="Logarithm",LN(0.001+IF(AND(ISNUMBER('Council Entry'!AU$8),ISNUMBER('Council Entry'!AU$9)),MAX(MIN('Council Entry'!AU107,'Council Entry'!AU$9),'Council Entry'!AU$8),'Council Entry'!AU107)),IF('Council Entry'!AU$4="Exponential",EXP(IF(AND(ISNUMBER('Council Entry'!AU$8),ISNUMBER('Council Entry'!AU$9)),MAX(MIN('Council Entry'!AU107,'Council Entry'!AU$9),'Council Entry'!AU$8),'Council Entry'!AU107)),IF(AND(ISNUMBER('Council Entry'!AU$8),ISNUMBER('Council Entry'!AU$9)),MAX(MIN('Council Entry'!AU107,'Council Entry'!AU$9),'Council Entry'!AU$8),'Council Entry'!AU107))))-'Council Entry'!AU$5)/('Council Entry'!AU$6-'Council Entry'!AU$5)),1))),"No data"))</f>
        <v/>
      </c>
      <c r="AV107" s="13">
        <f>IF('Council Entry'!AV107="","",IFERROR(MAX(0,MIN(10,ROUND(IF('Council Entry'!AV$7="Decrease Risk",10-10*((IF('Council Entry'!AV$4="Logarithm",LN(0.001+IF(AND(ISNUMBER('Council Entry'!AV$8),ISNUMBER('Council Entry'!AV$9)),MAX(MIN('Council Entry'!AV107,'Council Entry'!AV$9),'Council Entry'!AV$8),'Council Entry'!AV107)),IF('Council Entry'!AV$4="Exponential",EXP(IF(AND(ISNUMBER('Council Entry'!AV$8),ISNUMBER('Council Entry'!AV$9)),MAX(MIN('Council Entry'!AV107,'Council Entry'!AV$9),'Council Entry'!AV$8),'Council Entry'!AV107)),IF(AND(ISNUMBER('Council Entry'!AV$8),ISNUMBER('Council Entry'!AV$9)),MAX(MIN('Council Entry'!AV107,'Council Entry'!AV$9),'Council Entry'!AV$8),'Council Entry'!AV107))))-'Council Entry'!AV$5)/('Council Entry'!AV$6-'Council Entry'!AV$5),10*((IF('Council Entry'!AV$4="Logarithm",LN(0.001+IF(AND(ISNUMBER('Council Entry'!AV$8),ISNUMBER('Council Entry'!AV$9)),MAX(MIN('Council Entry'!AV107,'Council Entry'!AV$9),'Council Entry'!AV$8),'Council Entry'!AV107)),IF('Council Entry'!AV$4="Exponential",EXP(IF(AND(ISNUMBER('Council Entry'!AV$8),ISNUMBER('Council Entry'!AV$9)),MAX(MIN('Council Entry'!AV107,'Council Entry'!AV$9),'Council Entry'!AV$8),'Council Entry'!AV107)),IF(AND(ISNUMBER('Council Entry'!AV$8),ISNUMBER('Council Entry'!AV$9)),MAX(MIN('Council Entry'!AV107,'Council Entry'!AV$9),'Council Entry'!AV$8),'Council Entry'!AV107))))-'Council Entry'!AV$5)/('Council Entry'!AV$6-'Council Entry'!AV$5)),1))),"No data"))</f>
        <v/>
      </c>
      <c r="AW107" s="13">
        <f>IF('Council Entry'!AW107="","",IFERROR(MAX(0,MIN(10,ROUND(IF('Council Entry'!AW$7="Decrease Risk",10-10*((IF('Council Entry'!AW$4="Logarithm",LN(0.001+IF(AND(ISNUMBER('Council Entry'!AW$8),ISNUMBER('Council Entry'!AW$9)),MAX(MIN('Council Entry'!AW107,'Council Entry'!AW$9),'Council Entry'!AW$8),'Council Entry'!AW107)),IF('Council Entry'!AW$4="Exponential",EXP(IF(AND(ISNUMBER('Council Entry'!AW$8),ISNUMBER('Council Entry'!AW$9)),MAX(MIN('Council Entry'!AW107,'Council Entry'!AW$9),'Council Entry'!AW$8),'Council Entry'!AW107)),IF(AND(ISNUMBER('Council Entry'!AW$8),ISNUMBER('Council Entry'!AW$9)),MAX(MIN('Council Entry'!AW107,'Council Entry'!AW$9),'Council Entry'!AW$8),'Council Entry'!AW107))))-'Council Entry'!AW$5)/('Council Entry'!AW$6-'Council Entry'!AW$5),10*((IF('Council Entry'!AW$4="Logarithm",LN(0.001+IF(AND(ISNUMBER('Council Entry'!AW$8),ISNUMBER('Council Entry'!AW$9)),MAX(MIN('Council Entry'!AW107,'Council Entry'!AW$9),'Council Entry'!AW$8),'Council Entry'!AW107)),IF('Council Entry'!AW$4="Exponential",EXP(IF(AND(ISNUMBER('Council Entry'!AW$8),ISNUMBER('Council Entry'!AW$9)),MAX(MIN('Council Entry'!AW107,'Council Entry'!AW$9),'Council Entry'!AW$8),'Council Entry'!AW107)),IF(AND(ISNUMBER('Council Entry'!AW$8),ISNUMBER('Council Entry'!AW$9)),MAX(MIN('Council Entry'!AW107,'Council Entry'!AW$9),'Council Entry'!AW$8),'Council Entry'!AW107))))-'Council Entry'!AW$5)/('Council Entry'!AW$6-'Council Entry'!AW$5)),1))),"No data"))</f>
        <v/>
      </c>
      <c r="AX107" s="13">
        <f>IF('Council Entry'!AX107="","",IFERROR(MAX(0,MIN(10,ROUND(IF('Council Entry'!AX$7="Decrease Risk",10-10*((IF('Council Entry'!AX$4="Logarithm",LN(0.001+IF(AND(ISNUMBER('Council Entry'!AX$8),ISNUMBER('Council Entry'!AX$9)),MAX(MIN('Council Entry'!AX107,'Council Entry'!AX$9),'Council Entry'!AX$8),'Council Entry'!AX107)),IF('Council Entry'!AX$4="Exponential",EXP(IF(AND(ISNUMBER('Council Entry'!AX$8),ISNUMBER('Council Entry'!AX$9)),MAX(MIN('Council Entry'!AX107,'Council Entry'!AX$9),'Council Entry'!AX$8),'Council Entry'!AX107)),IF(AND(ISNUMBER('Council Entry'!AX$8),ISNUMBER('Council Entry'!AX$9)),MAX(MIN('Council Entry'!AX107,'Council Entry'!AX$9),'Council Entry'!AX$8),'Council Entry'!AX107))))-'Council Entry'!AX$5)/('Council Entry'!AX$6-'Council Entry'!AX$5),10*((IF('Council Entry'!AX$4="Logarithm",LN(0.001+IF(AND(ISNUMBER('Council Entry'!AX$8),ISNUMBER('Council Entry'!AX$9)),MAX(MIN('Council Entry'!AX107,'Council Entry'!AX$9),'Council Entry'!AX$8),'Council Entry'!AX107)),IF('Council Entry'!AX$4="Exponential",EXP(IF(AND(ISNUMBER('Council Entry'!AX$8),ISNUMBER('Council Entry'!AX$9)),MAX(MIN('Council Entry'!AX107,'Council Entry'!AX$9),'Council Entry'!AX$8),'Council Entry'!AX107)),IF(AND(ISNUMBER('Council Entry'!AX$8),ISNUMBER('Council Entry'!AX$9)),MAX(MIN('Council Entry'!AX107,'Council Entry'!AX$9),'Council Entry'!AX$8),'Council Entry'!AX107))))-'Council Entry'!AX$5)/('Council Entry'!AX$6-'Council Entry'!AX$5)),1))),"No data"))</f>
        <v/>
      </c>
      <c r="AY107" s="13">
        <f>IF('Council Entry'!AY107="","",IFERROR(MAX(0,MIN(10,ROUND(IF('Council Entry'!AY$7="Decrease Risk",10-10*((IF('Council Entry'!AY$4="Logarithm",LN(0.001+IF(AND(ISNUMBER('Council Entry'!AY$8),ISNUMBER('Council Entry'!AY$9)),MAX(MIN('Council Entry'!AY107,'Council Entry'!AY$9),'Council Entry'!AY$8),'Council Entry'!AY107)),IF('Council Entry'!AY$4="Exponential",EXP(IF(AND(ISNUMBER('Council Entry'!AY$8),ISNUMBER('Council Entry'!AY$9)),MAX(MIN('Council Entry'!AY107,'Council Entry'!AY$9),'Council Entry'!AY$8),'Council Entry'!AY107)),IF(AND(ISNUMBER('Council Entry'!AY$8),ISNUMBER('Council Entry'!AY$9)),MAX(MIN('Council Entry'!AY107,'Council Entry'!AY$9),'Council Entry'!AY$8),'Council Entry'!AY107))))-'Council Entry'!AY$5)/('Council Entry'!AY$6-'Council Entry'!AY$5),10*((IF('Council Entry'!AY$4="Logarithm",LN(0.001+IF(AND(ISNUMBER('Council Entry'!AY$8),ISNUMBER('Council Entry'!AY$9)),MAX(MIN('Council Entry'!AY107,'Council Entry'!AY$9),'Council Entry'!AY$8),'Council Entry'!AY107)),IF('Council Entry'!AY$4="Exponential",EXP(IF(AND(ISNUMBER('Council Entry'!AY$8),ISNUMBER('Council Entry'!AY$9)),MAX(MIN('Council Entry'!AY107,'Council Entry'!AY$9),'Council Entry'!AY$8),'Council Entry'!AY107)),IF(AND(ISNUMBER('Council Entry'!AY$8),ISNUMBER('Council Entry'!AY$9)),MAX(MIN('Council Entry'!AY107,'Council Entry'!AY$9),'Council Entry'!AY$8),'Council Entry'!AY107))))-'Council Entry'!AY$5)/('Council Entry'!AY$6-'Council Entry'!AY$5)),1))),"No data"))</f>
        <v/>
      </c>
      <c r="AZ107" s="13">
        <f>IF('Council Entry'!AZ107="","",IFERROR(MAX(0,MIN(10,ROUND(IF('Council Entry'!AZ$7="Decrease Risk",10-10*((IF('Council Entry'!AZ$4="Logarithm",LN(0.001+IF(AND(ISNUMBER('Council Entry'!AZ$8),ISNUMBER('Council Entry'!AZ$9)),MAX(MIN('Council Entry'!AZ107,'Council Entry'!AZ$9),'Council Entry'!AZ$8),'Council Entry'!AZ107)),IF('Council Entry'!AZ$4="Exponential",EXP(IF(AND(ISNUMBER('Council Entry'!AZ$8),ISNUMBER('Council Entry'!AZ$9)),MAX(MIN('Council Entry'!AZ107,'Council Entry'!AZ$9),'Council Entry'!AZ$8),'Council Entry'!AZ107)),IF(AND(ISNUMBER('Council Entry'!AZ$8),ISNUMBER('Council Entry'!AZ$9)),MAX(MIN('Council Entry'!AZ107,'Council Entry'!AZ$9),'Council Entry'!AZ$8),'Council Entry'!AZ107))))-'Council Entry'!AZ$5)/('Council Entry'!AZ$6-'Council Entry'!AZ$5),10*((IF('Council Entry'!AZ$4="Logarithm",LN(0.001+IF(AND(ISNUMBER('Council Entry'!AZ$8),ISNUMBER('Council Entry'!AZ$9)),MAX(MIN('Council Entry'!AZ107,'Council Entry'!AZ$9),'Council Entry'!AZ$8),'Council Entry'!AZ107)),IF('Council Entry'!AZ$4="Exponential",EXP(IF(AND(ISNUMBER('Council Entry'!AZ$8),ISNUMBER('Council Entry'!AZ$9)),MAX(MIN('Council Entry'!AZ107,'Council Entry'!AZ$9),'Council Entry'!AZ$8),'Council Entry'!AZ107)),IF(AND(ISNUMBER('Council Entry'!AZ$8),ISNUMBER('Council Entry'!AZ$9)),MAX(MIN('Council Entry'!AZ107,'Council Entry'!AZ$9),'Council Entry'!AZ$8),'Council Entry'!AZ107))))-'Council Entry'!AZ$5)/('Council Entry'!AZ$6-'Council Entry'!AZ$5)),1))),"No data"))</f>
        <v/>
      </c>
      <c r="BA107" s="13">
        <f>IF('Council Entry'!BA107="","",IFERROR(MAX(0,MIN(10,ROUND(IF('Council Entry'!BA$7="Decrease Risk",10-10*((IF('Council Entry'!BA$4="Logarithm",LN(0.001+IF(AND(ISNUMBER('Council Entry'!BA$8),ISNUMBER('Council Entry'!BA$9)),MAX(MIN('Council Entry'!BA107,'Council Entry'!BA$9),'Council Entry'!BA$8),'Council Entry'!BA107)),IF('Council Entry'!BA$4="Exponential",EXP(IF(AND(ISNUMBER('Council Entry'!BA$8),ISNUMBER('Council Entry'!BA$9)),MAX(MIN('Council Entry'!BA107,'Council Entry'!BA$9),'Council Entry'!BA$8),'Council Entry'!BA107)),IF(AND(ISNUMBER('Council Entry'!BA$8),ISNUMBER('Council Entry'!BA$9)),MAX(MIN('Council Entry'!BA107,'Council Entry'!BA$9),'Council Entry'!BA$8),'Council Entry'!BA107))))-'Council Entry'!BA$5)/('Council Entry'!BA$6-'Council Entry'!BA$5),10*((IF('Council Entry'!BA$4="Logarithm",LN(0.001+IF(AND(ISNUMBER('Council Entry'!BA$8),ISNUMBER('Council Entry'!BA$9)),MAX(MIN('Council Entry'!BA107,'Council Entry'!BA$9),'Council Entry'!BA$8),'Council Entry'!BA107)),IF('Council Entry'!BA$4="Exponential",EXP(IF(AND(ISNUMBER('Council Entry'!BA$8),ISNUMBER('Council Entry'!BA$9)),MAX(MIN('Council Entry'!BA107,'Council Entry'!BA$9),'Council Entry'!BA$8),'Council Entry'!BA107)),IF(AND(ISNUMBER('Council Entry'!BA$8),ISNUMBER('Council Entry'!BA$9)),MAX(MIN('Council Entry'!BA107,'Council Entry'!BA$9),'Council Entry'!BA$8),'Council Entry'!BA107))))-'Council Entry'!BA$5)/('Council Entry'!BA$6-'Council Entry'!BA$5)),1))),"No data"))</f>
        <v/>
      </c>
      <c r="BB107" s="13">
        <f>IF('Council Entry'!BB107="","",IFERROR(MAX(0,MIN(10,ROUND(IF('Council Entry'!BB$7="Decrease Risk",10-10*((IF('Council Entry'!BB$4="Logarithm",LN(0.001+IF(AND(ISNUMBER('Council Entry'!BB$8),ISNUMBER('Council Entry'!BB$9)),MAX(MIN('Council Entry'!BB107,'Council Entry'!BB$9),'Council Entry'!BB$8),'Council Entry'!BB107)),IF('Council Entry'!BB$4="Exponential",EXP(IF(AND(ISNUMBER('Council Entry'!BB$8),ISNUMBER('Council Entry'!BB$9)),MAX(MIN('Council Entry'!BB107,'Council Entry'!BB$9),'Council Entry'!BB$8),'Council Entry'!BB107)),IF(AND(ISNUMBER('Council Entry'!BB$8),ISNUMBER('Council Entry'!BB$9)),MAX(MIN('Council Entry'!BB107,'Council Entry'!BB$9),'Council Entry'!BB$8),'Council Entry'!BB107))))-'Council Entry'!BB$5)/('Council Entry'!BB$6-'Council Entry'!BB$5),10*((IF('Council Entry'!BB$4="Logarithm",LN(0.001+IF(AND(ISNUMBER('Council Entry'!BB$8),ISNUMBER('Council Entry'!BB$9)),MAX(MIN('Council Entry'!BB107,'Council Entry'!BB$9),'Council Entry'!BB$8),'Council Entry'!BB107)),IF('Council Entry'!BB$4="Exponential",EXP(IF(AND(ISNUMBER('Council Entry'!BB$8),ISNUMBER('Council Entry'!BB$9)),MAX(MIN('Council Entry'!BB107,'Council Entry'!BB$9),'Council Entry'!BB$8),'Council Entry'!BB107)),IF(AND(ISNUMBER('Council Entry'!BB$8),ISNUMBER('Council Entry'!BB$9)),MAX(MIN('Council Entry'!BB107,'Council Entry'!BB$9),'Council Entry'!BB$8),'Council Entry'!BB107))))-'Council Entry'!BB$5)/('Council Entry'!BB$6-'Council Entry'!BB$5)),1))),"No data"))</f>
        <v/>
      </c>
      <c r="BC107" s="13">
        <f>IF('Council Entry'!BC107="","",IFERROR(MAX(0,MIN(10,ROUND(IF('Council Entry'!BC$7="Decrease Risk",10-10*((IF('Council Entry'!BC$4="Logarithm",LN(0.001+IF(AND(ISNUMBER('Council Entry'!BC$8),ISNUMBER('Council Entry'!BC$9)),MAX(MIN('Council Entry'!BC107,'Council Entry'!BC$9),'Council Entry'!BC$8),'Council Entry'!BC107)),IF('Council Entry'!BC$4="Exponential",EXP(IF(AND(ISNUMBER('Council Entry'!BC$8),ISNUMBER('Council Entry'!BC$9)),MAX(MIN('Council Entry'!BC107,'Council Entry'!BC$9),'Council Entry'!BC$8),'Council Entry'!BC107)),IF(AND(ISNUMBER('Council Entry'!BC$8),ISNUMBER('Council Entry'!BC$9)),MAX(MIN('Council Entry'!BC107,'Council Entry'!BC$9),'Council Entry'!BC$8),'Council Entry'!BC107))))-'Council Entry'!BC$5)/('Council Entry'!BC$6-'Council Entry'!BC$5),10*((IF('Council Entry'!BC$4="Logarithm",LN(0.001+IF(AND(ISNUMBER('Council Entry'!BC$8),ISNUMBER('Council Entry'!BC$9)),MAX(MIN('Council Entry'!BC107,'Council Entry'!BC$9),'Council Entry'!BC$8),'Council Entry'!BC107)),IF('Council Entry'!BC$4="Exponential",EXP(IF(AND(ISNUMBER('Council Entry'!BC$8),ISNUMBER('Council Entry'!BC$9)),MAX(MIN('Council Entry'!BC107,'Council Entry'!BC$9),'Council Entry'!BC$8),'Council Entry'!BC107)),IF(AND(ISNUMBER('Council Entry'!BC$8),ISNUMBER('Council Entry'!BC$9)),MAX(MIN('Council Entry'!BC107,'Council Entry'!BC$9),'Council Entry'!BC$8),'Council Entry'!BC107))))-'Council Entry'!BC$5)/('Council Entry'!BC$6-'Council Entry'!BC$5)),1))),"No data"))</f>
        <v/>
      </c>
      <c r="BD107" s="13">
        <f>IF('Council Entry'!BD107="","",IFERROR(MAX(0,MIN(10,ROUND(IF('Council Entry'!BD$7="Decrease Risk",10-10*((IF('Council Entry'!BD$4="Logarithm",LN(0.001+IF(AND(ISNUMBER('Council Entry'!BD$8),ISNUMBER('Council Entry'!BD$9)),MAX(MIN('Council Entry'!BD107,'Council Entry'!BD$9),'Council Entry'!BD$8),'Council Entry'!BD107)),IF('Council Entry'!BD$4="Exponential",EXP(IF(AND(ISNUMBER('Council Entry'!BD$8),ISNUMBER('Council Entry'!BD$9)),MAX(MIN('Council Entry'!BD107,'Council Entry'!BD$9),'Council Entry'!BD$8),'Council Entry'!BD107)),IF(AND(ISNUMBER('Council Entry'!BD$8),ISNUMBER('Council Entry'!BD$9)),MAX(MIN('Council Entry'!BD107,'Council Entry'!BD$9),'Council Entry'!BD$8),'Council Entry'!BD107))))-'Council Entry'!BD$5)/('Council Entry'!BD$6-'Council Entry'!BD$5),10*((IF('Council Entry'!BD$4="Logarithm",LN(0.001+IF(AND(ISNUMBER('Council Entry'!BD$8),ISNUMBER('Council Entry'!BD$9)),MAX(MIN('Council Entry'!BD107,'Council Entry'!BD$9),'Council Entry'!BD$8),'Council Entry'!BD107)),IF('Council Entry'!BD$4="Exponential",EXP(IF(AND(ISNUMBER('Council Entry'!BD$8),ISNUMBER('Council Entry'!BD$9)),MAX(MIN('Council Entry'!BD107,'Council Entry'!BD$9),'Council Entry'!BD$8),'Council Entry'!BD107)),IF(AND(ISNUMBER('Council Entry'!BD$8),ISNUMBER('Council Entry'!BD$9)),MAX(MIN('Council Entry'!BD107,'Council Entry'!BD$9),'Council Entry'!BD$8),'Council Entry'!BD107))))-'Council Entry'!BD$5)/('Council Entry'!BD$6-'Council Entry'!BD$5)),1))),"No data"))</f>
        <v/>
      </c>
    </row>
    <row r="108">
      <c r="A108" t="inlineStr">
        <is>
          <t>Mjini Magharibi</t>
        </is>
      </c>
      <c r="B108" t="inlineStr">
        <is>
          <t>Magharibi B Municipal</t>
        </is>
      </c>
      <c r="C108" t="inlineStr">
        <is>
          <t>C191</t>
        </is>
      </c>
      <c r="D108" s="13">
        <f>IF('Council Entry'!D108="","",IFERROR(MAX(0,MIN(10,ROUND(IF('Council Entry'!D$7="Decrease Risk",10-10*((IF('Council Entry'!D$4="Logarithm",LN(0.001+IF(AND(ISNUMBER('Council Entry'!D$8),ISNUMBER('Council Entry'!D$9)),MAX(MIN('Council Entry'!D108,'Council Entry'!D$9),'Council Entry'!D$8),'Council Entry'!D108)),IF('Council Entry'!D$4="Exponential",EXP(IF(AND(ISNUMBER('Council Entry'!D$8),ISNUMBER('Council Entry'!D$9)),MAX(MIN('Council Entry'!D108,'Council Entry'!D$9),'Council Entry'!D$8),'Council Entry'!D108)),IF(AND(ISNUMBER('Council Entry'!D$8),ISNUMBER('Council Entry'!D$9)),MAX(MIN('Council Entry'!D108,'Council Entry'!D$9),'Council Entry'!D$8),'Council Entry'!D108))))-'Council Entry'!D$5)/('Council Entry'!D$6-'Council Entry'!D$5),10*((IF('Council Entry'!D$4="Logarithm",LN(0.001+IF(AND(ISNUMBER('Council Entry'!D$8),ISNUMBER('Council Entry'!D$9)),MAX(MIN('Council Entry'!D108,'Council Entry'!D$9),'Council Entry'!D$8),'Council Entry'!D108)),IF('Council Entry'!D$4="Exponential",EXP(IF(AND(ISNUMBER('Council Entry'!D$8),ISNUMBER('Council Entry'!D$9)),MAX(MIN('Council Entry'!D108,'Council Entry'!D$9),'Council Entry'!D$8),'Council Entry'!D108)),IF(AND(ISNUMBER('Council Entry'!D$8),ISNUMBER('Council Entry'!D$9)),MAX(MIN('Council Entry'!D108,'Council Entry'!D$9),'Council Entry'!D$8),'Council Entry'!D108))))-'Council Entry'!D$5)/('Council Entry'!D$6-'Council Entry'!D$5)),1))),"No data"))</f>
        <v/>
      </c>
      <c r="E108" s="13">
        <f>IF('Council Entry'!E108="","",IFERROR(MAX(0,MIN(10,ROUND(IF('Council Entry'!E$7="Decrease Risk",10-10*((IF('Council Entry'!E$4="Logarithm",LN(0.001+IF(AND(ISNUMBER('Council Entry'!E$8),ISNUMBER('Council Entry'!E$9)),MAX(MIN('Council Entry'!E108,'Council Entry'!E$9),'Council Entry'!E$8),'Council Entry'!E108)),IF('Council Entry'!E$4="Exponential",EXP(IF(AND(ISNUMBER('Council Entry'!E$8),ISNUMBER('Council Entry'!E$9)),MAX(MIN('Council Entry'!E108,'Council Entry'!E$9),'Council Entry'!E$8),'Council Entry'!E108)),IF(AND(ISNUMBER('Council Entry'!E$8),ISNUMBER('Council Entry'!E$9)),MAX(MIN('Council Entry'!E108,'Council Entry'!E$9),'Council Entry'!E$8),'Council Entry'!E108))))-'Council Entry'!E$5)/('Council Entry'!E$6-'Council Entry'!E$5),10*((IF('Council Entry'!E$4="Logarithm",LN(0.001+IF(AND(ISNUMBER('Council Entry'!E$8),ISNUMBER('Council Entry'!E$9)),MAX(MIN('Council Entry'!E108,'Council Entry'!E$9),'Council Entry'!E$8),'Council Entry'!E108)),IF('Council Entry'!E$4="Exponential",EXP(IF(AND(ISNUMBER('Council Entry'!E$8),ISNUMBER('Council Entry'!E$9)),MAX(MIN('Council Entry'!E108,'Council Entry'!E$9),'Council Entry'!E$8),'Council Entry'!E108)),IF(AND(ISNUMBER('Council Entry'!E$8),ISNUMBER('Council Entry'!E$9)),MAX(MIN('Council Entry'!E108,'Council Entry'!E$9),'Council Entry'!E$8),'Council Entry'!E108))))-'Council Entry'!E$5)/('Council Entry'!E$6-'Council Entry'!E$5)),1))),"No data"))</f>
        <v/>
      </c>
      <c r="F108" s="13">
        <f>IF('Council Entry'!F108="","",IFERROR(MAX(0,MIN(10,ROUND(IF('Council Entry'!F$7="Decrease Risk",10-10*((IF('Council Entry'!F$4="Logarithm",LN(0.001+IF(AND(ISNUMBER('Council Entry'!F$8),ISNUMBER('Council Entry'!F$9)),MAX(MIN('Council Entry'!F108,'Council Entry'!F$9),'Council Entry'!F$8),'Council Entry'!F108)),IF('Council Entry'!F$4="Exponential",EXP(IF(AND(ISNUMBER('Council Entry'!F$8),ISNUMBER('Council Entry'!F$9)),MAX(MIN('Council Entry'!F108,'Council Entry'!F$9),'Council Entry'!F$8),'Council Entry'!F108)),IF(AND(ISNUMBER('Council Entry'!F$8),ISNUMBER('Council Entry'!F$9)),MAX(MIN('Council Entry'!F108,'Council Entry'!F$9),'Council Entry'!F$8),'Council Entry'!F108))))-'Council Entry'!F$5)/('Council Entry'!F$6-'Council Entry'!F$5),10*((IF('Council Entry'!F$4="Logarithm",LN(0.001+IF(AND(ISNUMBER('Council Entry'!F$8),ISNUMBER('Council Entry'!F$9)),MAX(MIN('Council Entry'!F108,'Council Entry'!F$9),'Council Entry'!F$8),'Council Entry'!F108)),IF('Council Entry'!F$4="Exponential",EXP(IF(AND(ISNUMBER('Council Entry'!F$8),ISNUMBER('Council Entry'!F$9)),MAX(MIN('Council Entry'!F108,'Council Entry'!F$9),'Council Entry'!F$8),'Council Entry'!F108)),IF(AND(ISNUMBER('Council Entry'!F$8),ISNUMBER('Council Entry'!F$9)),MAX(MIN('Council Entry'!F108,'Council Entry'!F$9),'Council Entry'!F$8),'Council Entry'!F108))))-'Council Entry'!F$5)/('Council Entry'!F$6-'Council Entry'!F$5)),1))),"No data"))</f>
        <v/>
      </c>
      <c r="G108" s="13">
        <f>IF('Council Entry'!G108="","",IFERROR(MAX(0,MIN(10,ROUND(IF('Council Entry'!G$7="Decrease Risk",10-10*((IF('Council Entry'!G$4="Logarithm",LN(0.001+IF(AND(ISNUMBER('Council Entry'!G$8),ISNUMBER('Council Entry'!G$9)),MAX(MIN('Council Entry'!G108,'Council Entry'!G$9),'Council Entry'!G$8),'Council Entry'!G108)),IF('Council Entry'!G$4="Exponential",EXP(IF(AND(ISNUMBER('Council Entry'!G$8),ISNUMBER('Council Entry'!G$9)),MAX(MIN('Council Entry'!G108,'Council Entry'!G$9),'Council Entry'!G$8),'Council Entry'!G108)),IF(AND(ISNUMBER('Council Entry'!G$8),ISNUMBER('Council Entry'!G$9)),MAX(MIN('Council Entry'!G108,'Council Entry'!G$9),'Council Entry'!G$8),'Council Entry'!G108))))-'Council Entry'!G$5)/('Council Entry'!G$6-'Council Entry'!G$5),10*((IF('Council Entry'!G$4="Logarithm",LN(0.001+IF(AND(ISNUMBER('Council Entry'!G$8),ISNUMBER('Council Entry'!G$9)),MAX(MIN('Council Entry'!G108,'Council Entry'!G$9),'Council Entry'!G$8),'Council Entry'!G108)),IF('Council Entry'!G$4="Exponential",EXP(IF(AND(ISNUMBER('Council Entry'!G$8),ISNUMBER('Council Entry'!G$9)),MAX(MIN('Council Entry'!G108,'Council Entry'!G$9),'Council Entry'!G$8),'Council Entry'!G108)),IF(AND(ISNUMBER('Council Entry'!G$8),ISNUMBER('Council Entry'!G$9)),MAX(MIN('Council Entry'!G108,'Council Entry'!G$9),'Council Entry'!G$8),'Council Entry'!G108))))-'Council Entry'!G$5)/('Council Entry'!G$6-'Council Entry'!G$5)),1))),"No data"))</f>
        <v/>
      </c>
      <c r="H108" s="13">
        <f>IF('Council Entry'!H108="","",IFERROR(MAX(0,MIN(10,ROUND(IF('Council Entry'!H$7="Decrease Risk",10-10*((IF('Council Entry'!H$4="Logarithm",LN(0.001+IF(AND(ISNUMBER('Council Entry'!H$8),ISNUMBER('Council Entry'!H$9)),MAX(MIN('Council Entry'!H108,'Council Entry'!H$9),'Council Entry'!H$8),'Council Entry'!H108)),IF('Council Entry'!H$4="Exponential",EXP(IF(AND(ISNUMBER('Council Entry'!H$8),ISNUMBER('Council Entry'!H$9)),MAX(MIN('Council Entry'!H108,'Council Entry'!H$9),'Council Entry'!H$8),'Council Entry'!H108)),IF(AND(ISNUMBER('Council Entry'!H$8),ISNUMBER('Council Entry'!H$9)),MAX(MIN('Council Entry'!H108,'Council Entry'!H$9),'Council Entry'!H$8),'Council Entry'!H108))))-'Council Entry'!H$5)/('Council Entry'!H$6-'Council Entry'!H$5),10*((IF('Council Entry'!H$4="Logarithm",LN(0.001+IF(AND(ISNUMBER('Council Entry'!H$8),ISNUMBER('Council Entry'!H$9)),MAX(MIN('Council Entry'!H108,'Council Entry'!H$9),'Council Entry'!H$8),'Council Entry'!H108)),IF('Council Entry'!H$4="Exponential",EXP(IF(AND(ISNUMBER('Council Entry'!H$8),ISNUMBER('Council Entry'!H$9)),MAX(MIN('Council Entry'!H108,'Council Entry'!H$9),'Council Entry'!H$8),'Council Entry'!H108)),IF(AND(ISNUMBER('Council Entry'!H$8),ISNUMBER('Council Entry'!H$9)),MAX(MIN('Council Entry'!H108,'Council Entry'!H$9),'Council Entry'!H$8),'Council Entry'!H108))))-'Council Entry'!H$5)/('Council Entry'!H$6-'Council Entry'!H$5)),1))),"No data"))</f>
        <v/>
      </c>
      <c r="I108" s="13">
        <f>IF('Council Entry'!I108="","",IFERROR(MAX(0,MIN(10,ROUND(IF('Council Entry'!I$7="Decrease Risk",10-10*((IF('Council Entry'!I$4="Logarithm",LN(0.001+IF(AND(ISNUMBER('Council Entry'!I$8),ISNUMBER('Council Entry'!I$9)),MAX(MIN('Council Entry'!I108,'Council Entry'!I$9),'Council Entry'!I$8),'Council Entry'!I108)),IF('Council Entry'!I$4="Exponential",EXP(IF(AND(ISNUMBER('Council Entry'!I$8),ISNUMBER('Council Entry'!I$9)),MAX(MIN('Council Entry'!I108,'Council Entry'!I$9),'Council Entry'!I$8),'Council Entry'!I108)),IF(AND(ISNUMBER('Council Entry'!I$8),ISNUMBER('Council Entry'!I$9)),MAX(MIN('Council Entry'!I108,'Council Entry'!I$9),'Council Entry'!I$8),'Council Entry'!I108))))-'Council Entry'!I$5)/('Council Entry'!I$6-'Council Entry'!I$5),10*((IF('Council Entry'!I$4="Logarithm",LN(0.001+IF(AND(ISNUMBER('Council Entry'!I$8),ISNUMBER('Council Entry'!I$9)),MAX(MIN('Council Entry'!I108,'Council Entry'!I$9),'Council Entry'!I$8),'Council Entry'!I108)),IF('Council Entry'!I$4="Exponential",EXP(IF(AND(ISNUMBER('Council Entry'!I$8),ISNUMBER('Council Entry'!I$9)),MAX(MIN('Council Entry'!I108,'Council Entry'!I$9),'Council Entry'!I$8),'Council Entry'!I108)),IF(AND(ISNUMBER('Council Entry'!I$8),ISNUMBER('Council Entry'!I$9)),MAX(MIN('Council Entry'!I108,'Council Entry'!I$9),'Council Entry'!I$8),'Council Entry'!I108))))-'Council Entry'!I$5)/('Council Entry'!I$6-'Council Entry'!I$5)),1))),"No data"))</f>
        <v/>
      </c>
      <c r="J108" s="13">
        <f>IF('Council Entry'!J108="","",IFERROR(MAX(0,MIN(10,ROUND(IF('Council Entry'!J$7="Decrease Risk",10-10*((IF('Council Entry'!J$4="Logarithm",LN(0.001+IF(AND(ISNUMBER('Council Entry'!J$8),ISNUMBER('Council Entry'!J$9)),MAX(MIN('Council Entry'!J108,'Council Entry'!J$9),'Council Entry'!J$8),'Council Entry'!J108)),IF('Council Entry'!J$4="Exponential",EXP(IF(AND(ISNUMBER('Council Entry'!J$8),ISNUMBER('Council Entry'!J$9)),MAX(MIN('Council Entry'!J108,'Council Entry'!J$9),'Council Entry'!J$8),'Council Entry'!J108)),IF(AND(ISNUMBER('Council Entry'!J$8),ISNUMBER('Council Entry'!J$9)),MAX(MIN('Council Entry'!J108,'Council Entry'!J$9),'Council Entry'!J$8),'Council Entry'!J108))))-'Council Entry'!J$5)/('Council Entry'!J$6-'Council Entry'!J$5),10*((IF('Council Entry'!J$4="Logarithm",LN(0.001+IF(AND(ISNUMBER('Council Entry'!J$8),ISNUMBER('Council Entry'!J$9)),MAX(MIN('Council Entry'!J108,'Council Entry'!J$9),'Council Entry'!J$8),'Council Entry'!J108)),IF('Council Entry'!J$4="Exponential",EXP(IF(AND(ISNUMBER('Council Entry'!J$8),ISNUMBER('Council Entry'!J$9)),MAX(MIN('Council Entry'!J108,'Council Entry'!J$9),'Council Entry'!J$8),'Council Entry'!J108)),IF(AND(ISNUMBER('Council Entry'!J$8),ISNUMBER('Council Entry'!J$9)),MAX(MIN('Council Entry'!J108,'Council Entry'!J$9),'Council Entry'!J$8),'Council Entry'!J108))))-'Council Entry'!J$5)/('Council Entry'!J$6-'Council Entry'!J$5)),1))),"No data"))</f>
        <v/>
      </c>
      <c r="K108" s="13">
        <f>IF('Council Entry'!K108="","",IFERROR(MAX(0,MIN(10,ROUND(IF('Council Entry'!K$7="Decrease Risk",10-10*((IF('Council Entry'!K$4="Logarithm",LN(0.001+IF(AND(ISNUMBER('Council Entry'!K$8),ISNUMBER('Council Entry'!K$9)),MAX(MIN('Council Entry'!K108,'Council Entry'!K$9),'Council Entry'!K$8),'Council Entry'!K108)),IF('Council Entry'!K$4="Exponential",EXP(IF(AND(ISNUMBER('Council Entry'!K$8),ISNUMBER('Council Entry'!K$9)),MAX(MIN('Council Entry'!K108,'Council Entry'!K$9),'Council Entry'!K$8),'Council Entry'!K108)),IF(AND(ISNUMBER('Council Entry'!K$8),ISNUMBER('Council Entry'!K$9)),MAX(MIN('Council Entry'!K108,'Council Entry'!K$9),'Council Entry'!K$8),'Council Entry'!K108))))-'Council Entry'!K$5)/('Council Entry'!K$6-'Council Entry'!K$5),10*((IF('Council Entry'!K$4="Logarithm",LN(0.001+IF(AND(ISNUMBER('Council Entry'!K$8),ISNUMBER('Council Entry'!K$9)),MAX(MIN('Council Entry'!K108,'Council Entry'!K$9),'Council Entry'!K$8),'Council Entry'!K108)),IF('Council Entry'!K$4="Exponential",EXP(IF(AND(ISNUMBER('Council Entry'!K$8),ISNUMBER('Council Entry'!K$9)),MAX(MIN('Council Entry'!K108,'Council Entry'!K$9),'Council Entry'!K$8),'Council Entry'!K108)),IF(AND(ISNUMBER('Council Entry'!K$8),ISNUMBER('Council Entry'!K$9)),MAX(MIN('Council Entry'!K108,'Council Entry'!K$9),'Council Entry'!K$8),'Council Entry'!K108))))-'Council Entry'!K$5)/('Council Entry'!K$6-'Council Entry'!K$5)),1))),"No data"))</f>
        <v/>
      </c>
      <c r="L108" s="13">
        <f>IF('Council Entry'!L108="","",IFERROR(MAX(0,MIN(10,ROUND(IF('Council Entry'!L$7="Decrease Risk",10-10*((IF('Council Entry'!L$4="Logarithm",LN(0.001+IF(AND(ISNUMBER('Council Entry'!L$8),ISNUMBER('Council Entry'!L$9)),MAX(MIN('Council Entry'!L108,'Council Entry'!L$9),'Council Entry'!L$8),'Council Entry'!L108)),IF('Council Entry'!L$4="Exponential",EXP(IF(AND(ISNUMBER('Council Entry'!L$8),ISNUMBER('Council Entry'!L$9)),MAX(MIN('Council Entry'!L108,'Council Entry'!L$9),'Council Entry'!L$8),'Council Entry'!L108)),IF(AND(ISNUMBER('Council Entry'!L$8),ISNUMBER('Council Entry'!L$9)),MAX(MIN('Council Entry'!L108,'Council Entry'!L$9),'Council Entry'!L$8),'Council Entry'!L108))))-'Council Entry'!L$5)/('Council Entry'!L$6-'Council Entry'!L$5),10*((IF('Council Entry'!L$4="Logarithm",LN(0.001+IF(AND(ISNUMBER('Council Entry'!L$8),ISNUMBER('Council Entry'!L$9)),MAX(MIN('Council Entry'!L108,'Council Entry'!L$9),'Council Entry'!L$8),'Council Entry'!L108)),IF('Council Entry'!L$4="Exponential",EXP(IF(AND(ISNUMBER('Council Entry'!L$8),ISNUMBER('Council Entry'!L$9)),MAX(MIN('Council Entry'!L108,'Council Entry'!L$9),'Council Entry'!L$8),'Council Entry'!L108)),IF(AND(ISNUMBER('Council Entry'!L$8),ISNUMBER('Council Entry'!L$9)),MAX(MIN('Council Entry'!L108,'Council Entry'!L$9),'Council Entry'!L$8),'Council Entry'!L108))))-'Council Entry'!L$5)/('Council Entry'!L$6-'Council Entry'!L$5)),1))),"No data"))</f>
        <v/>
      </c>
      <c r="M108" s="13">
        <f>IF('Council Entry'!M108="","",IFERROR(MAX(0,MIN(10,ROUND(IF('Council Entry'!M$7="Decrease Risk",10-10*((IF('Council Entry'!M$4="Logarithm",LN(0.001+IF(AND(ISNUMBER('Council Entry'!M$8),ISNUMBER('Council Entry'!M$9)),MAX(MIN('Council Entry'!M108,'Council Entry'!M$9),'Council Entry'!M$8),'Council Entry'!M108)),IF('Council Entry'!M$4="Exponential",EXP(IF(AND(ISNUMBER('Council Entry'!M$8),ISNUMBER('Council Entry'!M$9)),MAX(MIN('Council Entry'!M108,'Council Entry'!M$9),'Council Entry'!M$8),'Council Entry'!M108)),IF(AND(ISNUMBER('Council Entry'!M$8),ISNUMBER('Council Entry'!M$9)),MAX(MIN('Council Entry'!M108,'Council Entry'!M$9),'Council Entry'!M$8),'Council Entry'!M108))))-'Council Entry'!M$5)/('Council Entry'!M$6-'Council Entry'!M$5),10*((IF('Council Entry'!M$4="Logarithm",LN(0.001+IF(AND(ISNUMBER('Council Entry'!M$8),ISNUMBER('Council Entry'!M$9)),MAX(MIN('Council Entry'!M108,'Council Entry'!M$9),'Council Entry'!M$8),'Council Entry'!M108)),IF('Council Entry'!M$4="Exponential",EXP(IF(AND(ISNUMBER('Council Entry'!M$8),ISNUMBER('Council Entry'!M$9)),MAX(MIN('Council Entry'!M108,'Council Entry'!M$9),'Council Entry'!M$8),'Council Entry'!M108)),IF(AND(ISNUMBER('Council Entry'!M$8),ISNUMBER('Council Entry'!M$9)),MAX(MIN('Council Entry'!M108,'Council Entry'!M$9),'Council Entry'!M$8),'Council Entry'!M108))))-'Council Entry'!M$5)/('Council Entry'!M$6-'Council Entry'!M$5)),1))),"No data"))</f>
        <v/>
      </c>
      <c r="N108" s="13">
        <f>IF('Council Entry'!N108="","",IFERROR(MAX(0,MIN(10,ROUND(IF('Council Entry'!N$7="Decrease Risk",10-10*((IF('Council Entry'!N$4="Logarithm",LN(0.001+IF(AND(ISNUMBER('Council Entry'!N$8),ISNUMBER('Council Entry'!N$9)),MAX(MIN('Council Entry'!N108,'Council Entry'!N$9),'Council Entry'!N$8),'Council Entry'!N108)),IF('Council Entry'!N$4="Exponential",EXP(IF(AND(ISNUMBER('Council Entry'!N$8),ISNUMBER('Council Entry'!N$9)),MAX(MIN('Council Entry'!N108,'Council Entry'!N$9),'Council Entry'!N$8),'Council Entry'!N108)),IF(AND(ISNUMBER('Council Entry'!N$8),ISNUMBER('Council Entry'!N$9)),MAX(MIN('Council Entry'!N108,'Council Entry'!N$9),'Council Entry'!N$8),'Council Entry'!N108))))-'Council Entry'!N$5)/('Council Entry'!N$6-'Council Entry'!N$5),10*((IF('Council Entry'!N$4="Logarithm",LN(0.001+IF(AND(ISNUMBER('Council Entry'!N$8),ISNUMBER('Council Entry'!N$9)),MAX(MIN('Council Entry'!N108,'Council Entry'!N$9),'Council Entry'!N$8),'Council Entry'!N108)),IF('Council Entry'!N$4="Exponential",EXP(IF(AND(ISNUMBER('Council Entry'!N$8),ISNUMBER('Council Entry'!N$9)),MAX(MIN('Council Entry'!N108,'Council Entry'!N$9),'Council Entry'!N$8),'Council Entry'!N108)),IF(AND(ISNUMBER('Council Entry'!N$8),ISNUMBER('Council Entry'!N$9)),MAX(MIN('Council Entry'!N108,'Council Entry'!N$9),'Council Entry'!N$8),'Council Entry'!N108))))-'Council Entry'!N$5)/('Council Entry'!N$6-'Council Entry'!N$5)),1))),"No data"))</f>
        <v/>
      </c>
      <c r="O108" s="13">
        <f>IF('Council Entry'!O108="","",IFERROR(MAX(0,MIN(10,ROUND(IF('Council Entry'!O$7="Decrease Risk",10-10*((IF('Council Entry'!O$4="Logarithm",LN(0.001+IF(AND(ISNUMBER('Council Entry'!O$8),ISNUMBER('Council Entry'!O$9)),MAX(MIN('Council Entry'!O108,'Council Entry'!O$9),'Council Entry'!O$8),'Council Entry'!O108)),IF('Council Entry'!O$4="Exponential",EXP(IF(AND(ISNUMBER('Council Entry'!O$8),ISNUMBER('Council Entry'!O$9)),MAX(MIN('Council Entry'!O108,'Council Entry'!O$9),'Council Entry'!O$8),'Council Entry'!O108)),IF(AND(ISNUMBER('Council Entry'!O$8),ISNUMBER('Council Entry'!O$9)),MAX(MIN('Council Entry'!O108,'Council Entry'!O$9),'Council Entry'!O$8),'Council Entry'!O108))))-'Council Entry'!O$5)/('Council Entry'!O$6-'Council Entry'!O$5),10*((IF('Council Entry'!O$4="Logarithm",LN(0.001+IF(AND(ISNUMBER('Council Entry'!O$8),ISNUMBER('Council Entry'!O$9)),MAX(MIN('Council Entry'!O108,'Council Entry'!O$9),'Council Entry'!O$8),'Council Entry'!O108)),IF('Council Entry'!O$4="Exponential",EXP(IF(AND(ISNUMBER('Council Entry'!O$8),ISNUMBER('Council Entry'!O$9)),MAX(MIN('Council Entry'!O108,'Council Entry'!O$9),'Council Entry'!O$8),'Council Entry'!O108)),IF(AND(ISNUMBER('Council Entry'!O$8),ISNUMBER('Council Entry'!O$9)),MAX(MIN('Council Entry'!O108,'Council Entry'!O$9),'Council Entry'!O$8),'Council Entry'!O108))))-'Council Entry'!O$5)/('Council Entry'!O$6-'Council Entry'!O$5)),1))),"No data"))</f>
        <v/>
      </c>
      <c r="P108" s="13">
        <f>IF('Council Entry'!P108="","",IFERROR(MAX(0,MIN(10,ROUND(IF('Council Entry'!P$7="Decrease Risk",10-10*((IF('Council Entry'!P$4="Logarithm",LN(0.001+IF(AND(ISNUMBER('Council Entry'!P$8),ISNUMBER('Council Entry'!P$9)),MAX(MIN('Council Entry'!P108,'Council Entry'!P$9),'Council Entry'!P$8),'Council Entry'!P108)),IF('Council Entry'!P$4="Exponential",EXP(IF(AND(ISNUMBER('Council Entry'!P$8),ISNUMBER('Council Entry'!P$9)),MAX(MIN('Council Entry'!P108,'Council Entry'!P$9),'Council Entry'!P$8),'Council Entry'!P108)),IF(AND(ISNUMBER('Council Entry'!P$8),ISNUMBER('Council Entry'!P$9)),MAX(MIN('Council Entry'!P108,'Council Entry'!P$9),'Council Entry'!P$8),'Council Entry'!P108))))-'Council Entry'!P$5)/('Council Entry'!P$6-'Council Entry'!P$5),10*((IF('Council Entry'!P$4="Logarithm",LN(0.001+IF(AND(ISNUMBER('Council Entry'!P$8),ISNUMBER('Council Entry'!P$9)),MAX(MIN('Council Entry'!P108,'Council Entry'!P$9),'Council Entry'!P$8),'Council Entry'!P108)),IF('Council Entry'!P$4="Exponential",EXP(IF(AND(ISNUMBER('Council Entry'!P$8),ISNUMBER('Council Entry'!P$9)),MAX(MIN('Council Entry'!P108,'Council Entry'!P$9),'Council Entry'!P$8),'Council Entry'!P108)),IF(AND(ISNUMBER('Council Entry'!P$8),ISNUMBER('Council Entry'!P$9)),MAX(MIN('Council Entry'!P108,'Council Entry'!P$9),'Council Entry'!P$8),'Council Entry'!P108))))-'Council Entry'!P$5)/('Council Entry'!P$6-'Council Entry'!P$5)),1))),"No data"))</f>
        <v/>
      </c>
      <c r="Q108" s="13">
        <f>IF('Council Entry'!Q108="","",IFERROR(MAX(0,MIN(10,ROUND(IF('Council Entry'!Q$7="Decrease Risk",10-10*((IF('Council Entry'!Q$4="Logarithm",LN(0.001+IF(AND(ISNUMBER('Council Entry'!Q$8),ISNUMBER('Council Entry'!Q$9)),MAX(MIN('Council Entry'!Q108,'Council Entry'!Q$9),'Council Entry'!Q$8),'Council Entry'!Q108)),IF('Council Entry'!Q$4="Exponential",EXP(IF(AND(ISNUMBER('Council Entry'!Q$8),ISNUMBER('Council Entry'!Q$9)),MAX(MIN('Council Entry'!Q108,'Council Entry'!Q$9),'Council Entry'!Q$8),'Council Entry'!Q108)),IF(AND(ISNUMBER('Council Entry'!Q$8),ISNUMBER('Council Entry'!Q$9)),MAX(MIN('Council Entry'!Q108,'Council Entry'!Q$9),'Council Entry'!Q$8),'Council Entry'!Q108))))-'Council Entry'!Q$5)/('Council Entry'!Q$6-'Council Entry'!Q$5),10*((IF('Council Entry'!Q$4="Logarithm",LN(0.001+IF(AND(ISNUMBER('Council Entry'!Q$8),ISNUMBER('Council Entry'!Q$9)),MAX(MIN('Council Entry'!Q108,'Council Entry'!Q$9),'Council Entry'!Q$8),'Council Entry'!Q108)),IF('Council Entry'!Q$4="Exponential",EXP(IF(AND(ISNUMBER('Council Entry'!Q$8),ISNUMBER('Council Entry'!Q$9)),MAX(MIN('Council Entry'!Q108,'Council Entry'!Q$9),'Council Entry'!Q$8),'Council Entry'!Q108)),IF(AND(ISNUMBER('Council Entry'!Q$8),ISNUMBER('Council Entry'!Q$9)),MAX(MIN('Council Entry'!Q108,'Council Entry'!Q$9),'Council Entry'!Q$8),'Council Entry'!Q108))))-'Council Entry'!Q$5)/('Council Entry'!Q$6-'Council Entry'!Q$5)),1))),"No data"))</f>
        <v/>
      </c>
      <c r="R108" s="13">
        <f>IF('Council Entry'!R108="","",IFERROR(MAX(0,MIN(10,ROUND(IF('Council Entry'!R$7="Decrease Risk",10-10*((IF('Council Entry'!R$4="Logarithm",LN(0.001+IF(AND(ISNUMBER('Council Entry'!R$8),ISNUMBER('Council Entry'!R$9)),MAX(MIN('Council Entry'!R108,'Council Entry'!R$9),'Council Entry'!R$8),'Council Entry'!R108)),IF('Council Entry'!R$4="Exponential",EXP(IF(AND(ISNUMBER('Council Entry'!R$8),ISNUMBER('Council Entry'!R$9)),MAX(MIN('Council Entry'!R108,'Council Entry'!R$9),'Council Entry'!R$8),'Council Entry'!R108)),IF(AND(ISNUMBER('Council Entry'!R$8),ISNUMBER('Council Entry'!R$9)),MAX(MIN('Council Entry'!R108,'Council Entry'!R$9),'Council Entry'!R$8),'Council Entry'!R108))))-'Council Entry'!R$5)/('Council Entry'!R$6-'Council Entry'!R$5),10*((IF('Council Entry'!R$4="Logarithm",LN(0.001+IF(AND(ISNUMBER('Council Entry'!R$8),ISNUMBER('Council Entry'!R$9)),MAX(MIN('Council Entry'!R108,'Council Entry'!R$9),'Council Entry'!R$8),'Council Entry'!R108)),IF('Council Entry'!R$4="Exponential",EXP(IF(AND(ISNUMBER('Council Entry'!R$8),ISNUMBER('Council Entry'!R$9)),MAX(MIN('Council Entry'!R108,'Council Entry'!R$9),'Council Entry'!R$8),'Council Entry'!R108)),IF(AND(ISNUMBER('Council Entry'!R$8),ISNUMBER('Council Entry'!R$9)),MAX(MIN('Council Entry'!R108,'Council Entry'!R$9),'Council Entry'!R$8),'Council Entry'!R108))))-'Council Entry'!R$5)/('Council Entry'!R$6-'Council Entry'!R$5)),1))),"No data"))</f>
        <v/>
      </c>
      <c r="S108" s="13">
        <f>IF('Council Entry'!S108="","",IFERROR(MAX(0,MIN(10,ROUND(IF('Council Entry'!S$7="Decrease Risk",10-10*((IF('Council Entry'!S$4="Logarithm",LN(0.001+IF(AND(ISNUMBER('Council Entry'!S$8),ISNUMBER('Council Entry'!S$9)),MAX(MIN('Council Entry'!S108,'Council Entry'!S$9),'Council Entry'!S$8),'Council Entry'!S108)),IF('Council Entry'!S$4="Exponential",EXP(IF(AND(ISNUMBER('Council Entry'!S$8),ISNUMBER('Council Entry'!S$9)),MAX(MIN('Council Entry'!S108,'Council Entry'!S$9),'Council Entry'!S$8),'Council Entry'!S108)),IF(AND(ISNUMBER('Council Entry'!S$8),ISNUMBER('Council Entry'!S$9)),MAX(MIN('Council Entry'!S108,'Council Entry'!S$9),'Council Entry'!S$8),'Council Entry'!S108))))-'Council Entry'!S$5)/('Council Entry'!S$6-'Council Entry'!S$5),10*((IF('Council Entry'!S$4="Logarithm",LN(0.001+IF(AND(ISNUMBER('Council Entry'!S$8),ISNUMBER('Council Entry'!S$9)),MAX(MIN('Council Entry'!S108,'Council Entry'!S$9),'Council Entry'!S$8),'Council Entry'!S108)),IF('Council Entry'!S$4="Exponential",EXP(IF(AND(ISNUMBER('Council Entry'!S$8),ISNUMBER('Council Entry'!S$9)),MAX(MIN('Council Entry'!S108,'Council Entry'!S$9),'Council Entry'!S$8),'Council Entry'!S108)),IF(AND(ISNUMBER('Council Entry'!S$8),ISNUMBER('Council Entry'!S$9)),MAX(MIN('Council Entry'!S108,'Council Entry'!S$9),'Council Entry'!S$8),'Council Entry'!S108))))-'Council Entry'!S$5)/('Council Entry'!S$6-'Council Entry'!S$5)),1))),"No data"))</f>
        <v/>
      </c>
      <c r="T108" s="13">
        <f>IF('Council Entry'!T108="","",IFERROR(MAX(0,MIN(10,ROUND(IF('Council Entry'!T$7="Decrease Risk",10-10*((IF('Council Entry'!T$4="Logarithm",LN(0.001+IF(AND(ISNUMBER('Council Entry'!T$8),ISNUMBER('Council Entry'!T$9)),MAX(MIN('Council Entry'!T108,'Council Entry'!T$9),'Council Entry'!T$8),'Council Entry'!T108)),IF('Council Entry'!T$4="Exponential",EXP(IF(AND(ISNUMBER('Council Entry'!T$8),ISNUMBER('Council Entry'!T$9)),MAX(MIN('Council Entry'!T108,'Council Entry'!T$9),'Council Entry'!T$8),'Council Entry'!T108)),IF(AND(ISNUMBER('Council Entry'!T$8),ISNUMBER('Council Entry'!T$9)),MAX(MIN('Council Entry'!T108,'Council Entry'!T$9),'Council Entry'!T$8),'Council Entry'!T108))))-'Council Entry'!T$5)/('Council Entry'!T$6-'Council Entry'!T$5),10*((IF('Council Entry'!T$4="Logarithm",LN(0.001+IF(AND(ISNUMBER('Council Entry'!T$8),ISNUMBER('Council Entry'!T$9)),MAX(MIN('Council Entry'!T108,'Council Entry'!T$9),'Council Entry'!T$8),'Council Entry'!T108)),IF('Council Entry'!T$4="Exponential",EXP(IF(AND(ISNUMBER('Council Entry'!T$8),ISNUMBER('Council Entry'!T$9)),MAX(MIN('Council Entry'!T108,'Council Entry'!T$9),'Council Entry'!T$8),'Council Entry'!T108)),IF(AND(ISNUMBER('Council Entry'!T$8),ISNUMBER('Council Entry'!T$9)),MAX(MIN('Council Entry'!T108,'Council Entry'!T$9),'Council Entry'!T$8),'Council Entry'!T108))))-'Council Entry'!T$5)/('Council Entry'!T$6-'Council Entry'!T$5)),1))),"No data"))</f>
        <v/>
      </c>
      <c r="U108" s="13">
        <f>IF('Council Entry'!U108="","",IFERROR(MAX(0,MIN(10,ROUND(IF('Council Entry'!U$7="Decrease Risk",10-10*((IF('Council Entry'!U$4="Logarithm",LN(0.001+IF(AND(ISNUMBER('Council Entry'!U$8),ISNUMBER('Council Entry'!U$9)),MAX(MIN('Council Entry'!U108,'Council Entry'!U$9),'Council Entry'!U$8),'Council Entry'!U108)),IF('Council Entry'!U$4="Exponential",EXP(IF(AND(ISNUMBER('Council Entry'!U$8),ISNUMBER('Council Entry'!U$9)),MAX(MIN('Council Entry'!U108,'Council Entry'!U$9),'Council Entry'!U$8),'Council Entry'!U108)),IF(AND(ISNUMBER('Council Entry'!U$8),ISNUMBER('Council Entry'!U$9)),MAX(MIN('Council Entry'!U108,'Council Entry'!U$9),'Council Entry'!U$8),'Council Entry'!U108))))-'Council Entry'!U$5)/('Council Entry'!U$6-'Council Entry'!U$5),10*((IF('Council Entry'!U$4="Logarithm",LN(0.001+IF(AND(ISNUMBER('Council Entry'!U$8),ISNUMBER('Council Entry'!U$9)),MAX(MIN('Council Entry'!U108,'Council Entry'!U$9),'Council Entry'!U$8),'Council Entry'!U108)),IF('Council Entry'!U$4="Exponential",EXP(IF(AND(ISNUMBER('Council Entry'!U$8),ISNUMBER('Council Entry'!U$9)),MAX(MIN('Council Entry'!U108,'Council Entry'!U$9),'Council Entry'!U$8),'Council Entry'!U108)),IF(AND(ISNUMBER('Council Entry'!U$8),ISNUMBER('Council Entry'!U$9)),MAX(MIN('Council Entry'!U108,'Council Entry'!U$9),'Council Entry'!U$8),'Council Entry'!U108))))-'Council Entry'!U$5)/('Council Entry'!U$6-'Council Entry'!U$5)),1))),"No data"))</f>
        <v/>
      </c>
      <c r="V108" s="13">
        <f>IF('Council Entry'!V108="","",IFERROR(MAX(0,MIN(10,ROUND(IF('Council Entry'!V$7="Decrease Risk",10-10*((IF('Council Entry'!V$4="Logarithm",LN(0.001+IF(AND(ISNUMBER('Council Entry'!V$8),ISNUMBER('Council Entry'!V$9)),MAX(MIN('Council Entry'!V108,'Council Entry'!V$9),'Council Entry'!V$8),'Council Entry'!V108)),IF('Council Entry'!V$4="Exponential",EXP(IF(AND(ISNUMBER('Council Entry'!V$8),ISNUMBER('Council Entry'!V$9)),MAX(MIN('Council Entry'!V108,'Council Entry'!V$9),'Council Entry'!V$8),'Council Entry'!V108)),IF(AND(ISNUMBER('Council Entry'!V$8),ISNUMBER('Council Entry'!V$9)),MAX(MIN('Council Entry'!V108,'Council Entry'!V$9),'Council Entry'!V$8),'Council Entry'!V108))))-'Council Entry'!V$5)/('Council Entry'!V$6-'Council Entry'!V$5),10*((IF('Council Entry'!V$4="Logarithm",LN(0.001+IF(AND(ISNUMBER('Council Entry'!V$8),ISNUMBER('Council Entry'!V$9)),MAX(MIN('Council Entry'!V108,'Council Entry'!V$9),'Council Entry'!V$8),'Council Entry'!V108)),IF('Council Entry'!V$4="Exponential",EXP(IF(AND(ISNUMBER('Council Entry'!V$8),ISNUMBER('Council Entry'!V$9)),MAX(MIN('Council Entry'!V108,'Council Entry'!V$9),'Council Entry'!V$8),'Council Entry'!V108)),IF(AND(ISNUMBER('Council Entry'!V$8),ISNUMBER('Council Entry'!V$9)),MAX(MIN('Council Entry'!V108,'Council Entry'!V$9),'Council Entry'!V$8),'Council Entry'!V108))))-'Council Entry'!V$5)/('Council Entry'!V$6-'Council Entry'!V$5)),1))),"No data"))</f>
        <v/>
      </c>
      <c r="W108" s="13">
        <f>IF('Council Entry'!W108="","",IFERROR(MAX(0,MIN(10,ROUND(IF('Council Entry'!W$7="Decrease Risk",10-10*((IF('Council Entry'!W$4="Logarithm",LN(0.001+IF(AND(ISNUMBER('Council Entry'!W$8),ISNUMBER('Council Entry'!W$9)),MAX(MIN('Council Entry'!W108,'Council Entry'!W$9),'Council Entry'!W$8),'Council Entry'!W108)),IF('Council Entry'!W$4="Exponential",EXP(IF(AND(ISNUMBER('Council Entry'!W$8),ISNUMBER('Council Entry'!W$9)),MAX(MIN('Council Entry'!W108,'Council Entry'!W$9),'Council Entry'!W$8),'Council Entry'!W108)),IF(AND(ISNUMBER('Council Entry'!W$8),ISNUMBER('Council Entry'!W$9)),MAX(MIN('Council Entry'!W108,'Council Entry'!W$9),'Council Entry'!W$8),'Council Entry'!W108))))-'Council Entry'!W$5)/('Council Entry'!W$6-'Council Entry'!W$5),10*((IF('Council Entry'!W$4="Logarithm",LN(0.001+IF(AND(ISNUMBER('Council Entry'!W$8),ISNUMBER('Council Entry'!W$9)),MAX(MIN('Council Entry'!W108,'Council Entry'!W$9),'Council Entry'!W$8),'Council Entry'!W108)),IF('Council Entry'!W$4="Exponential",EXP(IF(AND(ISNUMBER('Council Entry'!W$8),ISNUMBER('Council Entry'!W$9)),MAX(MIN('Council Entry'!W108,'Council Entry'!W$9),'Council Entry'!W$8),'Council Entry'!W108)),IF(AND(ISNUMBER('Council Entry'!W$8),ISNUMBER('Council Entry'!W$9)),MAX(MIN('Council Entry'!W108,'Council Entry'!W$9),'Council Entry'!W$8),'Council Entry'!W108))))-'Council Entry'!W$5)/('Council Entry'!W$6-'Council Entry'!W$5)),1))),"No data"))</f>
        <v/>
      </c>
      <c r="X108" s="13">
        <f>IF('Council Entry'!X108="","",IFERROR(MAX(0,MIN(10,ROUND(IF('Council Entry'!X$7="Decrease Risk",10-10*((IF('Council Entry'!X$4="Logarithm",LN(0.001+IF(AND(ISNUMBER('Council Entry'!X$8),ISNUMBER('Council Entry'!X$9)),MAX(MIN('Council Entry'!X108,'Council Entry'!X$9),'Council Entry'!X$8),'Council Entry'!X108)),IF('Council Entry'!X$4="Exponential",EXP(IF(AND(ISNUMBER('Council Entry'!X$8),ISNUMBER('Council Entry'!X$9)),MAX(MIN('Council Entry'!X108,'Council Entry'!X$9),'Council Entry'!X$8),'Council Entry'!X108)),IF(AND(ISNUMBER('Council Entry'!X$8),ISNUMBER('Council Entry'!X$9)),MAX(MIN('Council Entry'!X108,'Council Entry'!X$9),'Council Entry'!X$8),'Council Entry'!X108))))-'Council Entry'!X$5)/('Council Entry'!X$6-'Council Entry'!X$5),10*((IF('Council Entry'!X$4="Logarithm",LN(0.001+IF(AND(ISNUMBER('Council Entry'!X$8),ISNUMBER('Council Entry'!X$9)),MAX(MIN('Council Entry'!X108,'Council Entry'!X$9),'Council Entry'!X$8),'Council Entry'!X108)),IF('Council Entry'!X$4="Exponential",EXP(IF(AND(ISNUMBER('Council Entry'!X$8),ISNUMBER('Council Entry'!X$9)),MAX(MIN('Council Entry'!X108,'Council Entry'!X$9),'Council Entry'!X$8),'Council Entry'!X108)),IF(AND(ISNUMBER('Council Entry'!X$8),ISNUMBER('Council Entry'!X$9)),MAX(MIN('Council Entry'!X108,'Council Entry'!X$9),'Council Entry'!X$8),'Council Entry'!X108))))-'Council Entry'!X$5)/('Council Entry'!X$6-'Council Entry'!X$5)),1))),"No data"))</f>
        <v/>
      </c>
      <c r="Y108" s="13">
        <f>IF('Council Entry'!Y108="","",IFERROR(MAX(0,MIN(10,ROUND(IF('Council Entry'!Y$7="Decrease Risk",10-10*((IF('Council Entry'!Y$4="Logarithm",LN(0.001+IF(AND(ISNUMBER('Council Entry'!Y$8),ISNUMBER('Council Entry'!Y$9)),MAX(MIN('Council Entry'!Y108,'Council Entry'!Y$9),'Council Entry'!Y$8),'Council Entry'!Y108)),IF('Council Entry'!Y$4="Exponential",EXP(IF(AND(ISNUMBER('Council Entry'!Y$8),ISNUMBER('Council Entry'!Y$9)),MAX(MIN('Council Entry'!Y108,'Council Entry'!Y$9),'Council Entry'!Y$8),'Council Entry'!Y108)),IF(AND(ISNUMBER('Council Entry'!Y$8),ISNUMBER('Council Entry'!Y$9)),MAX(MIN('Council Entry'!Y108,'Council Entry'!Y$9),'Council Entry'!Y$8),'Council Entry'!Y108))))-'Council Entry'!Y$5)/('Council Entry'!Y$6-'Council Entry'!Y$5),10*((IF('Council Entry'!Y$4="Logarithm",LN(0.001+IF(AND(ISNUMBER('Council Entry'!Y$8),ISNUMBER('Council Entry'!Y$9)),MAX(MIN('Council Entry'!Y108,'Council Entry'!Y$9),'Council Entry'!Y$8),'Council Entry'!Y108)),IF('Council Entry'!Y$4="Exponential",EXP(IF(AND(ISNUMBER('Council Entry'!Y$8),ISNUMBER('Council Entry'!Y$9)),MAX(MIN('Council Entry'!Y108,'Council Entry'!Y$9),'Council Entry'!Y$8),'Council Entry'!Y108)),IF(AND(ISNUMBER('Council Entry'!Y$8),ISNUMBER('Council Entry'!Y$9)),MAX(MIN('Council Entry'!Y108,'Council Entry'!Y$9),'Council Entry'!Y$8),'Council Entry'!Y108))))-'Council Entry'!Y$5)/('Council Entry'!Y$6-'Council Entry'!Y$5)),1))),"No data"))</f>
        <v/>
      </c>
      <c r="Z108" s="13">
        <f>IF('Council Entry'!Z108="","",IFERROR(MAX(0,MIN(10,ROUND(IF('Council Entry'!Z$7="Decrease Risk",10-10*((IF('Council Entry'!Z$4="Logarithm",LN(0.001+IF(AND(ISNUMBER('Council Entry'!Z$8),ISNUMBER('Council Entry'!Z$9)),MAX(MIN('Council Entry'!Z108,'Council Entry'!Z$9),'Council Entry'!Z$8),'Council Entry'!Z108)),IF('Council Entry'!Z$4="Exponential",EXP(IF(AND(ISNUMBER('Council Entry'!Z$8),ISNUMBER('Council Entry'!Z$9)),MAX(MIN('Council Entry'!Z108,'Council Entry'!Z$9),'Council Entry'!Z$8),'Council Entry'!Z108)),IF(AND(ISNUMBER('Council Entry'!Z$8),ISNUMBER('Council Entry'!Z$9)),MAX(MIN('Council Entry'!Z108,'Council Entry'!Z$9),'Council Entry'!Z$8),'Council Entry'!Z108))))-'Council Entry'!Z$5)/('Council Entry'!Z$6-'Council Entry'!Z$5),10*((IF('Council Entry'!Z$4="Logarithm",LN(0.001+IF(AND(ISNUMBER('Council Entry'!Z$8),ISNUMBER('Council Entry'!Z$9)),MAX(MIN('Council Entry'!Z108,'Council Entry'!Z$9),'Council Entry'!Z$8),'Council Entry'!Z108)),IF('Council Entry'!Z$4="Exponential",EXP(IF(AND(ISNUMBER('Council Entry'!Z$8),ISNUMBER('Council Entry'!Z$9)),MAX(MIN('Council Entry'!Z108,'Council Entry'!Z$9),'Council Entry'!Z$8),'Council Entry'!Z108)),IF(AND(ISNUMBER('Council Entry'!Z$8),ISNUMBER('Council Entry'!Z$9)),MAX(MIN('Council Entry'!Z108,'Council Entry'!Z$9),'Council Entry'!Z$8),'Council Entry'!Z108))))-'Council Entry'!Z$5)/('Council Entry'!Z$6-'Council Entry'!Z$5)),1))),"No data"))</f>
        <v/>
      </c>
      <c r="AA108" s="13">
        <f>IF('Council Entry'!AA108="","",IFERROR(MAX(0,MIN(10,ROUND(IF('Council Entry'!AA$7="Decrease Risk",10-10*((IF('Council Entry'!AA$4="Logarithm",LN(0.001+IF(AND(ISNUMBER('Council Entry'!AA$8),ISNUMBER('Council Entry'!AA$9)),MAX(MIN('Council Entry'!AA108,'Council Entry'!AA$9),'Council Entry'!AA$8),'Council Entry'!AA108)),IF('Council Entry'!AA$4="Exponential",EXP(IF(AND(ISNUMBER('Council Entry'!AA$8),ISNUMBER('Council Entry'!AA$9)),MAX(MIN('Council Entry'!AA108,'Council Entry'!AA$9),'Council Entry'!AA$8),'Council Entry'!AA108)),IF(AND(ISNUMBER('Council Entry'!AA$8),ISNUMBER('Council Entry'!AA$9)),MAX(MIN('Council Entry'!AA108,'Council Entry'!AA$9),'Council Entry'!AA$8),'Council Entry'!AA108))))-'Council Entry'!AA$5)/('Council Entry'!AA$6-'Council Entry'!AA$5),10*((IF('Council Entry'!AA$4="Logarithm",LN(0.001+IF(AND(ISNUMBER('Council Entry'!AA$8),ISNUMBER('Council Entry'!AA$9)),MAX(MIN('Council Entry'!AA108,'Council Entry'!AA$9),'Council Entry'!AA$8),'Council Entry'!AA108)),IF('Council Entry'!AA$4="Exponential",EXP(IF(AND(ISNUMBER('Council Entry'!AA$8),ISNUMBER('Council Entry'!AA$9)),MAX(MIN('Council Entry'!AA108,'Council Entry'!AA$9),'Council Entry'!AA$8),'Council Entry'!AA108)),IF(AND(ISNUMBER('Council Entry'!AA$8),ISNUMBER('Council Entry'!AA$9)),MAX(MIN('Council Entry'!AA108,'Council Entry'!AA$9),'Council Entry'!AA$8),'Council Entry'!AA108))))-'Council Entry'!AA$5)/('Council Entry'!AA$6-'Council Entry'!AA$5)),1))),"No data"))</f>
        <v/>
      </c>
      <c r="AB108" s="13">
        <f>IF('Council Entry'!AB108="","",IFERROR(MAX(0,MIN(10,ROUND(IF('Council Entry'!AB$7="Decrease Risk",10-10*((IF('Council Entry'!AB$4="Logarithm",LN(0.001+IF(AND(ISNUMBER('Council Entry'!AB$8),ISNUMBER('Council Entry'!AB$9)),MAX(MIN('Council Entry'!AB108,'Council Entry'!AB$9),'Council Entry'!AB$8),'Council Entry'!AB108)),IF('Council Entry'!AB$4="Exponential",EXP(IF(AND(ISNUMBER('Council Entry'!AB$8),ISNUMBER('Council Entry'!AB$9)),MAX(MIN('Council Entry'!AB108,'Council Entry'!AB$9),'Council Entry'!AB$8),'Council Entry'!AB108)),IF(AND(ISNUMBER('Council Entry'!AB$8),ISNUMBER('Council Entry'!AB$9)),MAX(MIN('Council Entry'!AB108,'Council Entry'!AB$9),'Council Entry'!AB$8),'Council Entry'!AB108))))-'Council Entry'!AB$5)/('Council Entry'!AB$6-'Council Entry'!AB$5),10*((IF('Council Entry'!AB$4="Logarithm",LN(0.001+IF(AND(ISNUMBER('Council Entry'!AB$8),ISNUMBER('Council Entry'!AB$9)),MAX(MIN('Council Entry'!AB108,'Council Entry'!AB$9),'Council Entry'!AB$8),'Council Entry'!AB108)),IF('Council Entry'!AB$4="Exponential",EXP(IF(AND(ISNUMBER('Council Entry'!AB$8),ISNUMBER('Council Entry'!AB$9)),MAX(MIN('Council Entry'!AB108,'Council Entry'!AB$9),'Council Entry'!AB$8),'Council Entry'!AB108)),IF(AND(ISNUMBER('Council Entry'!AB$8),ISNUMBER('Council Entry'!AB$9)),MAX(MIN('Council Entry'!AB108,'Council Entry'!AB$9),'Council Entry'!AB$8),'Council Entry'!AB108))))-'Council Entry'!AB$5)/('Council Entry'!AB$6-'Council Entry'!AB$5)),1))),"No data"))</f>
        <v/>
      </c>
      <c r="AC108" s="13">
        <f>IF('Council Entry'!AC108="","",IFERROR(MAX(0,MIN(10,ROUND(IF('Council Entry'!AC$7="Decrease Risk",10-10*((IF('Council Entry'!AC$4="Logarithm",LN(0.001+IF(AND(ISNUMBER('Council Entry'!AC$8),ISNUMBER('Council Entry'!AC$9)),MAX(MIN('Council Entry'!AC108,'Council Entry'!AC$9),'Council Entry'!AC$8),'Council Entry'!AC108)),IF('Council Entry'!AC$4="Exponential",EXP(IF(AND(ISNUMBER('Council Entry'!AC$8),ISNUMBER('Council Entry'!AC$9)),MAX(MIN('Council Entry'!AC108,'Council Entry'!AC$9),'Council Entry'!AC$8),'Council Entry'!AC108)),IF(AND(ISNUMBER('Council Entry'!AC$8),ISNUMBER('Council Entry'!AC$9)),MAX(MIN('Council Entry'!AC108,'Council Entry'!AC$9),'Council Entry'!AC$8),'Council Entry'!AC108))))-'Council Entry'!AC$5)/('Council Entry'!AC$6-'Council Entry'!AC$5),10*((IF('Council Entry'!AC$4="Logarithm",LN(0.001+IF(AND(ISNUMBER('Council Entry'!AC$8),ISNUMBER('Council Entry'!AC$9)),MAX(MIN('Council Entry'!AC108,'Council Entry'!AC$9),'Council Entry'!AC$8),'Council Entry'!AC108)),IF('Council Entry'!AC$4="Exponential",EXP(IF(AND(ISNUMBER('Council Entry'!AC$8),ISNUMBER('Council Entry'!AC$9)),MAX(MIN('Council Entry'!AC108,'Council Entry'!AC$9),'Council Entry'!AC$8),'Council Entry'!AC108)),IF(AND(ISNUMBER('Council Entry'!AC$8),ISNUMBER('Council Entry'!AC$9)),MAX(MIN('Council Entry'!AC108,'Council Entry'!AC$9),'Council Entry'!AC$8),'Council Entry'!AC108))))-'Council Entry'!AC$5)/('Council Entry'!AC$6-'Council Entry'!AC$5)),1))),"No data"))</f>
        <v/>
      </c>
      <c r="AD108" s="13">
        <f>IF('Council Entry'!AD108="","",IFERROR(MAX(0,MIN(10,ROUND(IF('Council Entry'!AD$7="Decrease Risk",10-10*((IF('Council Entry'!AD$4="Logarithm",LN(0.001+IF(AND(ISNUMBER('Council Entry'!AD$8),ISNUMBER('Council Entry'!AD$9)),MAX(MIN('Council Entry'!AD108,'Council Entry'!AD$9),'Council Entry'!AD$8),'Council Entry'!AD108)),IF('Council Entry'!AD$4="Exponential",EXP(IF(AND(ISNUMBER('Council Entry'!AD$8),ISNUMBER('Council Entry'!AD$9)),MAX(MIN('Council Entry'!AD108,'Council Entry'!AD$9),'Council Entry'!AD$8),'Council Entry'!AD108)),IF(AND(ISNUMBER('Council Entry'!AD$8),ISNUMBER('Council Entry'!AD$9)),MAX(MIN('Council Entry'!AD108,'Council Entry'!AD$9),'Council Entry'!AD$8),'Council Entry'!AD108))))-'Council Entry'!AD$5)/('Council Entry'!AD$6-'Council Entry'!AD$5),10*((IF('Council Entry'!AD$4="Logarithm",LN(0.001+IF(AND(ISNUMBER('Council Entry'!AD$8),ISNUMBER('Council Entry'!AD$9)),MAX(MIN('Council Entry'!AD108,'Council Entry'!AD$9),'Council Entry'!AD$8),'Council Entry'!AD108)),IF('Council Entry'!AD$4="Exponential",EXP(IF(AND(ISNUMBER('Council Entry'!AD$8),ISNUMBER('Council Entry'!AD$9)),MAX(MIN('Council Entry'!AD108,'Council Entry'!AD$9),'Council Entry'!AD$8),'Council Entry'!AD108)),IF(AND(ISNUMBER('Council Entry'!AD$8),ISNUMBER('Council Entry'!AD$9)),MAX(MIN('Council Entry'!AD108,'Council Entry'!AD$9),'Council Entry'!AD$8),'Council Entry'!AD108))))-'Council Entry'!AD$5)/('Council Entry'!AD$6-'Council Entry'!AD$5)),1))),"No data"))</f>
        <v/>
      </c>
      <c r="AE108" s="13">
        <f>IF('Council Entry'!AE108="","",IFERROR(MAX(0,MIN(10,ROUND(IF('Council Entry'!AE$7="Decrease Risk",10-10*((IF('Council Entry'!AE$4="Logarithm",LN(0.001+IF(AND(ISNUMBER('Council Entry'!AE$8),ISNUMBER('Council Entry'!AE$9)),MAX(MIN('Council Entry'!AE108,'Council Entry'!AE$9),'Council Entry'!AE$8),'Council Entry'!AE108)),IF('Council Entry'!AE$4="Exponential",EXP(IF(AND(ISNUMBER('Council Entry'!AE$8),ISNUMBER('Council Entry'!AE$9)),MAX(MIN('Council Entry'!AE108,'Council Entry'!AE$9),'Council Entry'!AE$8),'Council Entry'!AE108)),IF(AND(ISNUMBER('Council Entry'!AE$8),ISNUMBER('Council Entry'!AE$9)),MAX(MIN('Council Entry'!AE108,'Council Entry'!AE$9),'Council Entry'!AE$8),'Council Entry'!AE108))))-'Council Entry'!AE$5)/('Council Entry'!AE$6-'Council Entry'!AE$5),10*((IF('Council Entry'!AE$4="Logarithm",LN(0.001+IF(AND(ISNUMBER('Council Entry'!AE$8),ISNUMBER('Council Entry'!AE$9)),MAX(MIN('Council Entry'!AE108,'Council Entry'!AE$9),'Council Entry'!AE$8),'Council Entry'!AE108)),IF('Council Entry'!AE$4="Exponential",EXP(IF(AND(ISNUMBER('Council Entry'!AE$8),ISNUMBER('Council Entry'!AE$9)),MAX(MIN('Council Entry'!AE108,'Council Entry'!AE$9),'Council Entry'!AE$8),'Council Entry'!AE108)),IF(AND(ISNUMBER('Council Entry'!AE$8),ISNUMBER('Council Entry'!AE$9)),MAX(MIN('Council Entry'!AE108,'Council Entry'!AE$9),'Council Entry'!AE$8),'Council Entry'!AE108))))-'Council Entry'!AE$5)/('Council Entry'!AE$6-'Council Entry'!AE$5)),1))),"No data"))</f>
        <v/>
      </c>
      <c r="AF108" s="13">
        <f>IF('Council Entry'!AF108="","",IFERROR(MAX(0,MIN(10,ROUND(IF('Council Entry'!AF$7="Decrease Risk",10-10*((IF('Council Entry'!AF$4="Logarithm",LN(0.001+IF(AND(ISNUMBER('Council Entry'!AF$8),ISNUMBER('Council Entry'!AF$9)),MAX(MIN('Council Entry'!AF108,'Council Entry'!AF$9),'Council Entry'!AF$8),'Council Entry'!AF108)),IF('Council Entry'!AF$4="Exponential",EXP(IF(AND(ISNUMBER('Council Entry'!AF$8),ISNUMBER('Council Entry'!AF$9)),MAX(MIN('Council Entry'!AF108,'Council Entry'!AF$9),'Council Entry'!AF$8),'Council Entry'!AF108)),IF(AND(ISNUMBER('Council Entry'!AF$8),ISNUMBER('Council Entry'!AF$9)),MAX(MIN('Council Entry'!AF108,'Council Entry'!AF$9),'Council Entry'!AF$8),'Council Entry'!AF108))))-'Council Entry'!AF$5)/('Council Entry'!AF$6-'Council Entry'!AF$5),10*((IF('Council Entry'!AF$4="Logarithm",LN(0.001+IF(AND(ISNUMBER('Council Entry'!AF$8),ISNUMBER('Council Entry'!AF$9)),MAX(MIN('Council Entry'!AF108,'Council Entry'!AF$9),'Council Entry'!AF$8),'Council Entry'!AF108)),IF('Council Entry'!AF$4="Exponential",EXP(IF(AND(ISNUMBER('Council Entry'!AF$8),ISNUMBER('Council Entry'!AF$9)),MAX(MIN('Council Entry'!AF108,'Council Entry'!AF$9),'Council Entry'!AF$8),'Council Entry'!AF108)),IF(AND(ISNUMBER('Council Entry'!AF$8),ISNUMBER('Council Entry'!AF$9)),MAX(MIN('Council Entry'!AF108,'Council Entry'!AF$9),'Council Entry'!AF$8),'Council Entry'!AF108))))-'Council Entry'!AF$5)/('Council Entry'!AF$6-'Council Entry'!AF$5)),1))),"No data"))</f>
        <v/>
      </c>
      <c r="AG108" s="13">
        <f>IF('Council Entry'!AG108="","",IFERROR(MAX(0,MIN(10,ROUND(IF('Council Entry'!AG$7="Decrease Risk",10-10*((IF('Council Entry'!AG$4="Logarithm",LN(0.001+IF(AND(ISNUMBER('Council Entry'!AG$8),ISNUMBER('Council Entry'!AG$9)),MAX(MIN('Council Entry'!AG108,'Council Entry'!AG$9),'Council Entry'!AG$8),'Council Entry'!AG108)),IF('Council Entry'!AG$4="Exponential",EXP(IF(AND(ISNUMBER('Council Entry'!AG$8),ISNUMBER('Council Entry'!AG$9)),MAX(MIN('Council Entry'!AG108,'Council Entry'!AG$9),'Council Entry'!AG$8),'Council Entry'!AG108)),IF(AND(ISNUMBER('Council Entry'!AG$8),ISNUMBER('Council Entry'!AG$9)),MAX(MIN('Council Entry'!AG108,'Council Entry'!AG$9),'Council Entry'!AG$8),'Council Entry'!AG108))))-'Council Entry'!AG$5)/('Council Entry'!AG$6-'Council Entry'!AG$5),10*((IF('Council Entry'!AG$4="Logarithm",LN(0.001+IF(AND(ISNUMBER('Council Entry'!AG$8),ISNUMBER('Council Entry'!AG$9)),MAX(MIN('Council Entry'!AG108,'Council Entry'!AG$9),'Council Entry'!AG$8),'Council Entry'!AG108)),IF('Council Entry'!AG$4="Exponential",EXP(IF(AND(ISNUMBER('Council Entry'!AG$8),ISNUMBER('Council Entry'!AG$9)),MAX(MIN('Council Entry'!AG108,'Council Entry'!AG$9),'Council Entry'!AG$8),'Council Entry'!AG108)),IF(AND(ISNUMBER('Council Entry'!AG$8),ISNUMBER('Council Entry'!AG$9)),MAX(MIN('Council Entry'!AG108,'Council Entry'!AG$9),'Council Entry'!AG$8),'Council Entry'!AG108))))-'Council Entry'!AG$5)/('Council Entry'!AG$6-'Council Entry'!AG$5)),1))),"No data"))</f>
        <v/>
      </c>
      <c r="AH108" s="13">
        <f>IF('Council Entry'!AH108="","",IFERROR(MAX(0,MIN(10,ROUND(IF('Council Entry'!AH$7="Decrease Risk",10-10*((IF('Council Entry'!AH$4="Logarithm",LN(0.001+IF(AND(ISNUMBER('Council Entry'!AH$8),ISNUMBER('Council Entry'!AH$9)),MAX(MIN('Council Entry'!AH108,'Council Entry'!AH$9),'Council Entry'!AH$8),'Council Entry'!AH108)),IF('Council Entry'!AH$4="Exponential",EXP(IF(AND(ISNUMBER('Council Entry'!AH$8),ISNUMBER('Council Entry'!AH$9)),MAX(MIN('Council Entry'!AH108,'Council Entry'!AH$9),'Council Entry'!AH$8),'Council Entry'!AH108)),IF(AND(ISNUMBER('Council Entry'!AH$8),ISNUMBER('Council Entry'!AH$9)),MAX(MIN('Council Entry'!AH108,'Council Entry'!AH$9),'Council Entry'!AH$8),'Council Entry'!AH108))))-'Council Entry'!AH$5)/('Council Entry'!AH$6-'Council Entry'!AH$5),10*((IF('Council Entry'!AH$4="Logarithm",LN(0.001+IF(AND(ISNUMBER('Council Entry'!AH$8),ISNUMBER('Council Entry'!AH$9)),MAX(MIN('Council Entry'!AH108,'Council Entry'!AH$9),'Council Entry'!AH$8),'Council Entry'!AH108)),IF('Council Entry'!AH$4="Exponential",EXP(IF(AND(ISNUMBER('Council Entry'!AH$8),ISNUMBER('Council Entry'!AH$9)),MAX(MIN('Council Entry'!AH108,'Council Entry'!AH$9),'Council Entry'!AH$8),'Council Entry'!AH108)),IF(AND(ISNUMBER('Council Entry'!AH$8),ISNUMBER('Council Entry'!AH$9)),MAX(MIN('Council Entry'!AH108,'Council Entry'!AH$9),'Council Entry'!AH$8),'Council Entry'!AH108))))-'Council Entry'!AH$5)/('Council Entry'!AH$6-'Council Entry'!AH$5)),1))),"No data"))</f>
        <v/>
      </c>
      <c r="AI108" s="13">
        <f>IF('Council Entry'!AI108="","",IFERROR(MAX(0,MIN(10,ROUND(IF('Council Entry'!AI$7="Decrease Risk",10-10*((IF('Council Entry'!AI$4="Logarithm",LN(0.001+IF(AND(ISNUMBER('Council Entry'!AI$8),ISNUMBER('Council Entry'!AI$9)),MAX(MIN('Council Entry'!AI108,'Council Entry'!AI$9),'Council Entry'!AI$8),'Council Entry'!AI108)),IF('Council Entry'!AI$4="Exponential",EXP(IF(AND(ISNUMBER('Council Entry'!AI$8),ISNUMBER('Council Entry'!AI$9)),MAX(MIN('Council Entry'!AI108,'Council Entry'!AI$9),'Council Entry'!AI$8),'Council Entry'!AI108)),IF(AND(ISNUMBER('Council Entry'!AI$8),ISNUMBER('Council Entry'!AI$9)),MAX(MIN('Council Entry'!AI108,'Council Entry'!AI$9),'Council Entry'!AI$8),'Council Entry'!AI108))))-'Council Entry'!AI$5)/('Council Entry'!AI$6-'Council Entry'!AI$5),10*((IF('Council Entry'!AI$4="Logarithm",LN(0.001+IF(AND(ISNUMBER('Council Entry'!AI$8),ISNUMBER('Council Entry'!AI$9)),MAX(MIN('Council Entry'!AI108,'Council Entry'!AI$9),'Council Entry'!AI$8),'Council Entry'!AI108)),IF('Council Entry'!AI$4="Exponential",EXP(IF(AND(ISNUMBER('Council Entry'!AI$8),ISNUMBER('Council Entry'!AI$9)),MAX(MIN('Council Entry'!AI108,'Council Entry'!AI$9),'Council Entry'!AI$8),'Council Entry'!AI108)),IF(AND(ISNUMBER('Council Entry'!AI$8),ISNUMBER('Council Entry'!AI$9)),MAX(MIN('Council Entry'!AI108,'Council Entry'!AI$9),'Council Entry'!AI$8),'Council Entry'!AI108))))-'Council Entry'!AI$5)/('Council Entry'!AI$6-'Council Entry'!AI$5)),1))),"No data"))</f>
        <v/>
      </c>
      <c r="AJ108" s="13">
        <f>IF('Council Entry'!AJ108="","",IFERROR(MAX(0,MIN(10,ROUND(IF('Council Entry'!AJ$7="Decrease Risk",10-10*((IF('Council Entry'!AJ$4="Logarithm",LN(0.001+IF(AND(ISNUMBER('Council Entry'!AJ$8),ISNUMBER('Council Entry'!AJ$9)),MAX(MIN('Council Entry'!AJ108,'Council Entry'!AJ$9),'Council Entry'!AJ$8),'Council Entry'!AJ108)),IF('Council Entry'!AJ$4="Exponential",EXP(IF(AND(ISNUMBER('Council Entry'!AJ$8),ISNUMBER('Council Entry'!AJ$9)),MAX(MIN('Council Entry'!AJ108,'Council Entry'!AJ$9),'Council Entry'!AJ$8),'Council Entry'!AJ108)),IF(AND(ISNUMBER('Council Entry'!AJ$8),ISNUMBER('Council Entry'!AJ$9)),MAX(MIN('Council Entry'!AJ108,'Council Entry'!AJ$9),'Council Entry'!AJ$8),'Council Entry'!AJ108))))-'Council Entry'!AJ$5)/('Council Entry'!AJ$6-'Council Entry'!AJ$5),10*((IF('Council Entry'!AJ$4="Logarithm",LN(0.001+IF(AND(ISNUMBER('Council Entry'!AJ$8),ISNUMBER('Council Entry'!AJ$9)),MAX(MIN('Council Entry'!AJ108,'Council Entry'!AJ$9),'Council Entry'!AJ$8),'Council Entry'!AJ108)),IF('Council Entry'!AJ$4="Exponential",EXP(IF(AND(ISNUMBER('Council Entry'!AJ$8),ISNUMBER('Council Entry'!AJ$9)),MAX(MIN('Council Entry'!AJ108,'Council Entry'!AJ$9),'Council Entry'!AJ$8),'Council Entry'!AJ108)),IF(AND(ISNUMBER('Council Entry'!AJ$8),ISNUMBER('Council Entry'!AJ$9)),MAX(MIN('Council Entry'!AJ108,'Council Entry'!AJ$9),'Council Entry'!AJ$8),'Council Entry'!AJ108))))-'Council Entry'!AJ$5)/('Council Entry'!AJ$6-'Council Entry'!AJ$5)),1))),"No data"))</f>
        <v/>
      </c>
      <c r="AK108" s="13">
        <f>IF('Council Entry'!AK108="","",IFERROR(MAX(0,MIN(10,ROUND(IF('Council Entry'!AK$7="Decrease Risk",10-10*((IF('Council Entry'!AK$4="Logarithm",LN(0.001+IF(AND(ISNUMBER('Council Entry'!AK$8),ISNUMBER('Council Entry'!AK$9)),MAX(MIN('Council Entry'!AK108,'Council Entry'!AK$9),'Council Entry'!AK$8),'Council Entry'!AK108)),IF('Council Entry'!AK$4="Exponential",EXP(IF(AND(ISNUMBER('Council Entry'!AK$8),ISNUMBER('Council Entry'!AK$9)),MAX(MIN('Council Entry'!AK108,'Council Entry'!AK$9),'Council Entry'!AK$8),'Council Entry'!AK108)),IF(AND(ISNUMBER('Council Entry'!AK$8),ISNUMBER('Council Entry'!AK$9)),MAX(MIN('Council Entry'!AK108,'Council Entry'!AK$9),'Council Entry'!AK$8),'Council Entry'!AK108))))-'Council Entry'!AK$5)/('Council Entry'!AK$6-'Council Entry'!AK$5),10*((IF('Council Entry'!AK$4="Logarithm",LN(0.001+IF(AND(ISNUMBER('Council Entry'!AK$8),ISNUMBER('Council Entry'!AK$9)),MAX(MIN('Council Entry'!AK108,'Council Entry'!AK$9),'Council Entry'!AK$8),'Council Entry'!AK108)),IF('Council Entry'!AK$4="Exponential",EXP(IF(AND(ISNUMBER('Council Entry'!AK$8),ISNUMBER('Council Entry'!AK$9)),MAX(MIN('Council Entry'!AK108,'Council Entry'!AK$9),'Council Entry'!AK$8),'Council Entry'!AK108)),IF(AND(ISNUMBER('Council Entry'!AK$8),ISNUMBER('Council Entry'!AK$9)),MAX(MIN('Council Entry'!AK108,'Council Entry'!AK$9),'Council Entry'!AK$8),'Council Entry'!AK108))))-'Council Entry'!AK$5)/('Council Entry'!AK$6-'Council Entry'!AK$5)),1))),"No data"))</f>
        <v/>
      </c>
      <c r="AL108" s="13">
        <f>IF('Council Entry'!AL108="","",IFERROR(MAX(0,MIN(10,ROUND(IF('Council Entry'!AL$7="Decrease Risk",10-10*((IF('Council Entry'!AL$4="Logarithm",LN(0.001+IF(AND(ISNUMBER('Council Entry'!AL$8),ISNUMBER('Council Entry'!AL$9)),MAX(MIN('Council Entry'!AL108,'Council Entry'!AL$9),'Council Entry'!AL$8),'Council Entry'!AL108)),IF('Council Entry'!AL$4="Exponential",EXP(IF(AND(ISNUMBER('Council Entry'!AL$8),ISNUMBER('Council Entry'!AL$9)),MAX(MIN('Council Entry'!AL108,'Council Entry'!AL$9),'Council Entry'!AL$8),'Council Entry'!AL108)),IF(AND(ISNUMBER('Council Entry'!AL$8),ISNUMBER('Council Entry'!AL$9)),MAX(MIN('Council Entry'!AL108,'Council Entry'!AL$9),'Council Entry'!AL$8),'Council Entry'!AL108))))-'Council Entry'!AL$5)/('Council Entry'!AL$6-'Council Entry'!AL$5),10*((IF('Council Entry'!AL$4="Logarithm",LN(0.001+IF(AND(ISNUMBER('Council Entry'!AL$8),ISNUMBER('Council Entry'!AL$9)),MAX(MIN('Council Entry'!AL108,'Council Entry'!AL$9),'Council Entry'!AL$8),'Council Entry'!AL108)),IF('Council Entry'!AL$4="Exponential",EXP(IF(AND(ISNUMBER('Council Entry'!AL$8),ISNUMBER('Council Entry'!AL$9)),MAX(MIN('Council Entry'!AL108,'Council Entry'!AL$9),'Council Entry'!AL$8),'Council Entry'!AL108)),IF(AND(ISNUMBER('Council Entry'!AL$8),ISNUMBER('Council Entry'!AL$9)),MAX(MIN('Council Entry'!AL108,'Council Entry'!AL$9),'Council Entry'!AL$8),'Council Entry'!AL108))))-'Council Entry'!AL$5)/('Council Entry'!AL$6-'Council Entry'!AL$5)),1))),"No data"))</f>
        <v/>
      </c>
      <c r="AM108" s="13">
        <f>IF('Council Entry'!AM108="","",IFERROR(MAX(0,MIN(10,ROUND(IF('Council Entry'!AM$7="Decrease Risk",10-10*((IF('Council Entry'!AM$4="Logarithm",LN(0.001+IF(AND(ISNUMBER('Council Entry'!AM$8),ISNUMBER('Council Entry'!AM$9)),MAX(MIN('Council Entry'!AM108,'Council Entry'!AM$9),'Council Entry'!AM$8),'Council Entry'!AM108)),IF('Council Entry'!AM$4="Exponential",EXP(IF(AND(ISNUMBER('Council Entry'!AM$8),ISNUMBER('Council Entry'!AM$9)),MAX(MIN('Council Entry'!AM108,'Council Entry'!AM$9),'Council Entry'!AM$8),'Council Entry'!AM108)),IF(AND(ISNUMBER('Council Entry'!AM$8),ISNUMBER('Council Entry'!AM$9)),MAX(MIN('Council Entry'!AM108,'Council Entry'!AM$9),'Council Entry'!AM$8),'Council Entry'!AM108))))-'Council Entry'!AM$5)/('Council Entry'!AM$6-'Council Entry'!AM$5),10*((IF('Council Entry'!AM$4="Logarithm",LN(0.001+IF(AND(ISNUMBER('Council Entry'!AM$8),ISNUMBER('Council Entry'!AM$9)),MAX(MIN('Council Entry'!AM108,'Council Entry'!AM$9),'Council Entry'!AM$8),'Council Entry'!AM108)),IF('Council Entry'!AM$4="Exponential",EXP(IF(AND(ISNUMBER('Council Entry'!AM$8),ISNUMBER('Council Entry'!AM$9)),MAX(MIN('Council Entry'!AM108,'Council Entry'!AM$9),'Council Entry'!AM$8),'Council Entry'!AM108)),IF(AND(ISNUMBER('Council Entry'!AM$8),ISNUMBER('Council Entry'!AM$9)),MAX(MIN('Council Entry'!AM108,'Council Entry'!AM$9),'Council Entry'!AM$8),'Council Entry'!AM108))))-'Council Entry'!AM$5)/('Council Entry'!AM$6-'Council Entry'!AM$5)),1))),"No data"))</f>
        <v/>
      </c>
      <c r="AN108" s="13">
        <f>IF('Council Entry'!AN108="","",IFERROR(MAX(0,MIN(10,ROUND(IF('Council Entry'!AN$7="Decrease Risk",10-10*((IF('Council Entry'!AN$4="Logarithm",LN(0.001+IF(AND(ISNUMBER('Council Entry'!AN$8),ISNUMBER('Council Entry'!AN$9)),MAX(MIN('Council Entry'!AN108,'Council Entry'!AN$9),'Council Entry'!AN$8),'Council Entry'!AN108)),IF('Council Entry'!AN$4="Exponential",EXP(IF(AND(ISNUMBER('Council Entry'!AN$8),ISNUMBER('Council Entry'!AN$9)),MAX(MIN('Council Entry'!AN108,'Council Entry'!AN$9),'Council Entry'!AN$8),'Council Entry'!AN108)),IF(AND(ISNUMBER('Council Entry'!AN$8),ISNUMBER('Council Entry'!AN$9)),MAX(MIN('Council Entry'!AN108,'Council Entry'!AN$9),'Council Entry'!AN$8),'Council Entry'!AN108))))-'Council Entry'!AN$5)/('Council Entry'!AN$6-'Council Entry'!AN$5),10*((IF('Council Entry'!AN$4="Logarithm",LN(0.001+IF(AND(ISNUMBER('Council Entry'!AN$8),ISNUMBER('Council Entry'!AN$9)),MAX(MIN('Council Entry'!AN108,'Council Entry'!AN$9),'Council Entry'!AN$8),'Council Entry'!AN108)),IF('Council Entry'!AN$4="Exponential",EXP(IF(AND(ISNUMBER('Council Entry'!AN$8),ISNUMBER('Council Entry'!AN$9)),MAX(MIN('Council Entry'!AN108,'Council Entry'!AN$9),'Council Entry'!AN$8),'Council Entry'!AN108)),IF(AND(ISNUMBER('Council Entry'!AN$8),ISNUMBER('Council Entry'!AN$9)),MAX(MIN('Council Entry'!AN108,'Council Entry'!AN$9),'Council Entry'!AN$8),'Council Entry'!AN108))))-'Council Entry'!AN$5)/('Council Entry'!AN$6-'Council Entry'!AN$5)),1))),"No data"))</f>
        <v/>
      </c>
      <c r="AO108" s="13">
        <f>IF('Council Entry'!AO108="","",IFERROR(MAX(0,MIN(10,ROUND(IF('Council Entry'!AO$7="Decrease Risk",10-10*((IF('Council Entry'!AO$4="Logarithm",LN(0.001+IF(AND(ISNUMBER('Council Entry'!AO$8),ISNUMBER('Council Entry'!AO$9)),MAX(MIN('Council Entry'!AO108,'Council Entry'!AO$9),'Council Entry'!AO$8),'Council Entry'!AO108)),IF('Council Entry'!AO$4="Exponential",EXP(IF(AND(ISNUMBER('Council Entry'!AO$8),ISNUMBER('Council Entry'!AO$9)),MAX(MIN('Council Entry'!AO108,'Council Entry'!AO$9),'Council Entry'!AO$8),'Council Entry'!AO108)),IF(AND(ISNUMBER('Council Entry'!AO$8),ISNUMBER('Council Entry'!AO$9)),MAX(MIN('Council Entry'!AO108,'Council Entry'!AO$9),'Council Entry'!AO$8),'Council Entry'!AO108))))-'Council Entry'!AO$5)/('Council Entry'!AO$6-'Council Entry'!AO$5),10*((IF('Council Entry'!AO$4="Logarithm",LN(0.001+IF(AND(ISNUMBER('Council Entry'!AO$8),ISNUMBER('Council Entry'!AO$9)),MAX(MIN('Council Entry'!AO108,'Council Entry'!AO$9),'Council Entry'!AO$8),'Council Entry'!AO108)),IF('Council Entry'!AO$4="Exponential",EXP(IF(AND(ISNUMBER('Council Entry'!AO$8),ISNUMBER('Council Entry'!AO$9)),MAX(MIN('Council Entry'!AO108,'Council Entry'!AO$9),'Council Entry'!AO$8),'Council Entry'!AO108)),IF(AND(ISNUMBER('Council Entry'!AO$8),ISNUMBER('Council Entry'!AO$9)),MAX(MIN('Council Entry'!AO108,'Council Entry'!AO$9),'Council Entry'!AO$8),'Council Entry'!AO108))))-'Council Entry'!AO$5)/('Council Entry'!AO$6-'Council Entry'!AO$5)),1))),"No data"))</f>
        <v/>
      </c>
      <c r="AP108" s="13">
        <f>IF('Council Entry'!AP108="","",IFERROR(MAX(0,MIN(10,ROUND(IF('Council Entry'!AP$7="Decrease Risk",10-10*((IF('Council Entry'!AP$4="Logarithm",LN(0.001+IF(AND(ISNUMBER('Council Entry'!AP$8),ISNUMBER('Council Entry'!AP$9)),MAX(MIN('Council Entry'!AP108,'Council Entry'!AP$9),'Council Entry'!AP$8),'Council Entry'!AP108)),IF('Council Entry'!AP$4="Exponential",EXP(IF(AND(ISNUMBER('Council Entry'!AP$8),ISNUMBER('Council Entry'!AP$9)),MAX(MIN('Council Entry'!AP108,'Council Entry'!AP$9),'Council Entry'!AP$8),'Council Entry'!AP108)),IF(AND(ISNUMBER('Council Entry'!AP$8),ISNUMBER('Council Entry'!AP$9)),MAX(MIN('Council Entry'!AP108,'Council Entry'!AP$9),'Council Entry'!AP$8),'Council Entry'!AP108))))-'Council Entry'!AP$5)/('Council Entry'!AP$6-'Council Entry'!AP$5),10*((IF('Council Entry'!AP$4="Logarithm",LN(0.001+IF(AND(ISNUMBER('Council Entry'!AP$8),ISNUMBER('Council Entry'!AP$9)),MAX(MIN('Council Entry'!AP108,'Council Entry'!AP$9),'Council Entry'!AP$8),'Council Entry'!AP108)),IF('Council Entry'!AP$4="Exponential",EXP(IF(AND(ISNUMBER('Council Entry'!AP$8),ISNUMBER('Council Entry'!AP$9)),MAX(MIN('Council Entry'!AP108,'Council Entry'!AP$9),'Council Entry'!AP$8),'Council Entry'!AP108)),IF(AND(ISNUMBER('Council Entry'!AP$8),ISNUMBER('Council Entry'!AP$9)),MAX(MIN('Council Entry'!AP108,'Council Entry'!AP$9),'Council Entry'!AP$8),'Council Entry'!AP108))))-'Council Entry'!AP$5)/('Council Entry'!AP$6-'Council Entry'!AP$5)),1))),"No data"))</f>
        <v/>
      </c>
      <c r="AQ108" s="13">
        <f>IF('Council Entry'!AQ108="","",IFERROR(MAX(0,MIN(10,ROUND(IF('Council Entry'!AQ$7="Decrease Risk",10-10*((IF('Council Entry'!AQ$4="Logarithm",LN(0.001+IF(AND(ISNUMBER('Council Entry'!AQ$8),ISNUMBER('Council Entry'!AQ$9)),MAX(MIN('Council Entry'!AQ108,'Council Entry'!AQ$9),'Council Entry'!AQ$8),'Council Entry'!AQ108)),IF('Council Entry'!AQ$4="Exponential",EXP(IF(AND(ISNUMBER('Council Entry'!AQ$8),ISNUMBER('Council Entry'!AQ$9)),MAX(MIN('Council Entry'!AQ108,'Council Entry'!AQ$9),'Council Entry'!AQ$8),'Council Entry'!AQ108)),IF(AND(ISNUMBER('Council Entry'!AQ$8),ISNUMBER('Council Entry'!AQ$9)),MAX(MIN('Council Entry'!AQ108,'Council Entry'!AQ$9),'Council Entry'!AQ$8),'Council Entry'!AQ108))))-'Council Entry'!AQ$5)/('Council Entry'!AQ$6-'Council Entry'!AQ$5),10*((IF('Council Entry'!AQ$4="Logarithm",LN(0.001+IF(AND(ISNUMBER('Council Entry'!AQ$8),ISNUMBER('Council Entry'!AQ$9)),MAX(MIN('Council Entry'!AQ108,'Council Entry'!AQ$9),'Council Entry'!AQ$8),'Council Entry'!AQ108)),IF('Council Entry'!AQ$4="Exponential",EXP(IF(AND(ISNUMBER('Council Entry'!AQ$8),ISNUMBER('Council Entry'!AQ$9)),MAX(MIN('Council Entry'!AQ108,'Council Entry'!AQ$9),'Council Entry'!AQ$8),'Council Entry'!AQ108)),IF(AND(ISNUMBER('Council Entry'!AQ$8),ISNUMBER('Council Entry'!AQ$9)),MAX(MIN('Council Entry'!AQ108,'Council Entry'!AQ$9),'Council Entry'!AQ$8),'Council Entry'!AQ108))))-'Council Entry'!AQ$5)/('Council Entry'!AQ$6-'Council Entry'!AQ$5)),1))),"No data"))</f>
        <v/>
      </c>
      <c r="AR108" s="13">
        <f>IF('Council Entry'!AR108="","",IFERROR(MAX(0,MIN(10,ROUND(IF('Council Entry'!AR$7="Decrease Risk",10-10*((IF('Council Entry'!AR$4="Logarithm",LN(0.001+IF(AND(ISNUMBER('Council Entry'!AR$8),ISNUMBER('Council Entry'!AR$9)),MAX(MIN('Council Entry'!AR108,'Council Entry'!AR$9),'Council Entry'!AR$8),'Council Entry'!AR108)),IF('Council Entry'!AR$4="Exponential",EXP(IF(AND(ISNUMBER('Council Entry'!AR$8),ISNUMBER('Council Entry'!AR$9)),MAX(MIN('Council Entry'!AR108,'Council Entry'!AR$9),'Council Entry'!AR$8),'Council Entry'!AR108)),IF(AND(ISNUMBER('Council Entry'!AR$8),ISNUMBER('Council Entry'!AR$9)),MAX(MIN('Council Entry'!AR108,'Council Entry'!AR$9),'Council Entry'!AR$8),'Council Entry'!AR108))))-'Council Entry'!AR$5)/('Council Entry'!AR$6-'Council Entry'!AR$5),10*((IF('Council Entry'!AR$4="Logarithm",LN(0.001+IF(AND(ISNUMBER('Council Entry'!AR$8),ISNUMBER('Council Entry'!AR$9)),MAX(MIN('Council Entry'!AR108,'Council Entry'!AR$9),'Council Entry'!AR$8),'Council Entry'!AR108)),IF('Council Entry'!AR$4="Exponential",EXP(IF(AND(ISNUMBER('Council Entry'!AR$8),ISNUMBER('Council Entry'!AR$9)),MAX(MIN('Council Entry'!AR108,'Council Entry'!AR$9),'Council Entry'!AR$8),'Council Entry'!AR108)),IF(AND(ISNUMBER('Council Entry'!AR$8),ISNUMBER('Council Entry'!AR$9)),MAX(MIN('Council Entry'!AR108,'Council Entry'!AR$9),'Council Entry'!AR$8),'Council Entry'!AR108))))-'Council Entry'!AR$5)/('Council Entry'!AR$6-'Council Entry'!AR$5)),1))),"No data"))</f>
        <v/>
      </c>
      <c r="AS108" s="13">
        <f>IF('Council Entry'!AS108="","",IFERROR(MAX(0,MIN(10,ROUND(IF('Council Entry'!AS$7="Decrease Risk",10-10*((IF('Council Entry'!AS$4="Logarithm",LN(0.001+IF(AND(ISNUMBER('Council Entry'!AS$8),ISNUMBER('Council Entry'!AS$9)),MAX(MIN('Council Entry'!AS108,'Council Entry'!AS$9),'Council Entry'!AS$8),'Council Entry'!AS108)),IF('Council Entry'!AS$4="Exponential",EXP(IF(AND(ISNUMBER('Council Entry'!AS$8),ISNUMBER('Council Entry'!AS$9)),MAX(MIN('Council Entry'!AS108,'Council Entry'!AS$9),'Council Entry'!AS$8),'Council Entry'!AS108)),IF(AND(ISNUMBER('Council Entry'!AS$8),ISNUMBER('Council Entry'!AS$9)),MAX(MIN('Council Entry'!AS108,'Council Entry'!AS$9),'Council Entry'!AS$8),'Council Entry'!AS108))))-'Council Entry'!AS$5)/('Council Entry'!AS$6-'Council Entry'!AS$5),10*((IF('Council Entry'!AS$4="Logarithm",LN(0.001+IF(AND(ISNUMBER('Council Entry'!AS$8),ISNUMBER('Council Entry'!AS$9)),MAX(MIN('Council Entry'!AS108,'Council Entry'!AS$9),'Council Entry'!AS$8),'Council Entry'!AS108)),IF('Council Entry'!AS$4="Exponential",EXP(IF(AND(ISNUMBER('Council Entry'!AS$8),ISNUMBER('Council Entry'!AS$9)),MAX(MIN('Council Entry'!AS108,'Council Entry'!AS$9),'Council Entry'!AS$8),'Council Entry'!AS108)),IF(AND(ISNUMBER('Council Entry'!AS$8),ISNUMBER('Council Entry'!AS$9)),MAX(MIN('Council Entry'!AS108,'Council Entry'!AS$9),'Council Entry'!AS$8),'Council Entry'!AS108))))-'Council Entry'!AS$5)/('Council Entry'!AS$6-'Council Entry'!AS$5)),1))),"No data"))</f>
        <v/>
      </c>
      <c r="AT108" s="13">
        <f>IF('Council Entry'!AT108="","",IFERROR(MAX(0,MIN(10,ROUND(IF('Council Entry'!AT$7="Decrease Risk",10-10*((IF('Council Entry'!AT$4="Logarithm",LN(0.001+IF(AND(ISNUMBER('Council Entry'!AT$8),ISNUMBER('Council Entry'!AT$9)),MAX(MIN('Council Entry'!AT108,'Council Entry'!AT$9),'Council Entry'!AT$8),'Council Entry'!AT108)),IF('Council Entry'!AT$4="Exponential",EXP(IF(AND(ISNUMBER('Council Entry'!AT$8),ISNUMBER('Council Entry'!AT$9)),MAX(MIN('Council Entry'!AT108,'Council Entry'!AT$9),'Council Entry'!AT$8),'Council Entry'!AT108)),IF(AND(ISNUMBER('Council Entry'!AT$8),ISNUMBER('Council Entry'!AT$9)),MAX(MIN('Council Entry'!AT108,'Council Entry'!AT$9),'Council Entry'!AT$8),'Council Entry'!AT108))))-'Council Entry'!AT$5)/('Council Entry'!AT$6-'Council Entry'!AT$5),10*((IF('Council Entry'!AT$4="Logarithm",LN(0.001+IF(AND(ISNUMBER('Council Entry'!AT$8),ISNUMBER('Council Entry'!AT$9)),MAX(MIN('Council Entry'!AT108,'Council Entry'!AT$9),'Council Entry'!AT$8),'Council Entry'!AT108)),IF('Council Entry'!AT$4="Exponential",EXP(IF(AND(ISNUMBER('Council Entry'!AT$8),ISNUMBER('Council Entry'!AT$9)),MAX(MIN('Council Entry'!AT108,'Council Entry'!AT$9),'Council Entry'!AT$8),'Council Entry'!AT108)),IF(AND(ISNUMBER('Council Entry'!AT$8),ISNUMBER('Council Entry'!AT$9)),MAX(MIN('Council Entry'!AT108,'Council Entry'!AT$9),'Council Entry'!AT$8),'Council Entry'!AT108))))-'Council Entry'!AT$5)/('Council Entry'!AT$6-'Council Entry'!AT$5)),1))),"No data"))</f>
        <v/>
      </c>
      <c r="AU108" s="13">
        <f>IF('Council Entry'!AU108="","",IFERROR(MAX(0,MIN(10,ROUND(IF('Council Entry'!AU$7="Decrease Risk",10-10*((IF('Council Entry'!AU$4="Logarithm",LN(0.001+IF(AND(ISNUMBER('Council Entry'!AU$8),ISNUMBER('Council Entry'!AU$9)),MAX(MIN('Council Entry'!AU108,'Council Entry'!AU$9),'Council Entry'!AU$8),'Council Entry'!AU108)),IF('Council Entry'!AU$4="Exponential",EXP(IF(AND(ISNUMBER('Council Entry'!AU$8),ISNUMBER('Council Entry'!AU$9)),MAX(MIN('Council Entry'!AU108,'Council Entry'!AU$9),'Council Entry'!AU$8),'Council Entry'!AU108)),IF(AND(ISNUMBER('Council Entry'!AU$8),ISNUMBER('Council Entry'!AU$9)),MAX(MIN('Council Entry'!AU108,'Council Entry'!AU$9),'Council Entry'!AU$8),'Council Entry'!AU108))))-'Council Entry'!AU$5)/('Council Entry'!AU$6-'Council Entry'!AU$5),10*((IF('Council Entry'!AU$4="Logarithm",LN(0.001+IF(AND(ISNUMBER('Council Entry'!AU$8),ISNUMBER('Council Entry'!AU$9)),MAX(MIN('Council Entry'!AU108,'Council Entry'!AU$9),'Council Entry'!AU$8),'Council Entry'!AU108)),IF('Council Entry'!AU$4="Exponential",EXP(IF(AND(ISNUMBER('Council Entry'!AU$8),ISNUMBER('Council Entry'!AU$9)),MAX(MIN('Council Entry'!AU108,'Council Entry'!AU$9),'Council Entry'!AU$8),'Council Entry'!AU108)),IF(AND(ISNUMBER('Council Entry'!AU$8),ISNUMBER('Council Entry'!AU$9)),MAX(MIN('Council Entry'!AU108,'Council Entry'!AU$9),'Council Entry'!AU$8),'Council Entry'!AU108))))-'Council Entry'!AU$5)/('Council Entry'!AU$6-'Council Entry'!AU$5)),1))),"No data"))</f>
        <v/>
      </c>
      <c r="AV108" s="13">
        <f>IF('Council Entry'!AV108="","",IFERROR(MAX(0,MIN(10,ROUND(IF('Council Entry'!AV$7="Decrease Risk",10-10*((IF('Council Entry'!AV$4="Logarithm",LN(0.001+IF(AND(ISNUMBER('Council Entry'!AV$8),ISNUMBER('Council Entry'!AV$9)),MAX(MIN('Council Entry'!AV108,'Council Entry'!AV$9),'Council Entry'!AV$8),'Council Entry'!AV108)),IF('Council Entry'!AV$4="Exponential",EXP(IF(AND(ISNUMBER('Council Entry'!AV$8),ISNUMBER('Council Entry'!AV$9)),MAX(MIN('Council Entry'!AV108,'Council Entry'!AV$9),'Council Entry'!AV$8),'Council Entry'!AV108)),IF(AND(ISNUMBER('Council Entry'!AV$8),ISNUMBER('Council Entry'!AV$9)),MAX(MIN('Council Entry'!AV108,'Council Entry'!AV$9),'Council Entry'!AV$8),'Council Entry'!AV108))))-'Council Entry'!AV$5)/('Council Entry'!AV$6-'Council Entry'!AV$5),10*((IF('Council Entry'!AV$4="Logarithm",LN(0.001+IF(AND(ISNUMBER('Council Entry'!AV$8),ISNUMBER('Council Entry'!AV$9)),MAX(MIN('Council Entry'!AV108,'Council Entry'!AV$9),'Council Entry'!AV$8),'Council Entry'!AV108)),IF('Council Entry'!AV$4="Exponential",EXP(IF(AND(ISNUMBER('Council Entry'!AV$8),ISNUMBER('Council Entry'!AV$9)),MAX(MIN('Council Entry'!AV108,'Council Entry'!AV$9),'Council Entry'!AV$8),'Council Entry'!AV108)),IF(AND(ISNUMBER('Council Entry'!AV$8),ISNUMBER('Council Entry'!AV$9)),MAX(MIN('Council Entry'!AV108,'Council Entry'!AV$9),'Council Entry'!AV$8),'Council Entry'!AV108))))-'Council Entry'!AV$5)/('Council Entry'!AV$6-'Council Entry'!AV$5)),1))),"No data"))</f>
        <v/>
      </c>
      <c r="AW108" s="13">
        <f>IF('Council Entry'!AW108="","",IFERROR(MAX(0,MIN(10,ROUND(IF('Council Entry'!AW$7="Decrease Risk",10-10*((IF('Council Entry'!AW$4="Logarithm",LN(0.001+IF(AND(ISNUMBER('Council Entry'!AW$8),ISNUMBER('Council Entry'!AW$9)),MAX(MIN('Council Entry'!AW108,'Council Entry'!AW$9),'Council Entry'!AW$8),'Council Entry'!AW108)),IF('Council Entry'!AW$4="Exponential",EXP(IF(AND(ISNUMBER('Council Entry'!AW$8),ISNUMBER('Council Entry'!AW$9)),MAX(MIN('Council Entry'!AW108,'Council Entry'!AW$9),'Council Entry'!AW$8),'Council Entry'!AW108)),IF(AND(ISNUMBER('Council Entry'!AW$8),ISNUMBER('Council Entry'!AW$9)),MAX(MIN('Council Entry'!AW108,'Council Entry'!AW$9),'Council Entry'!AW$8),'Council Entry'!AW108))))-'Council Entry'!AW$5)/('Council Entry'!AW$6-'Council Entry'!AW$5),10*((IF('Council Entry'!AW$4="Logarithm",LN(0.001+IF(AND(ISNUMBER('Council Entry'!AW$8),ISNUMBER('Council Entry'!AW$9)),MAX(MIN('Council Entry'!AW108,'Council Entry'!AW$9),'Council Entry'!AW$8),'Council Entry'!AW108)),IF('Council Entry'!AW$4="Exponential",EXP(IF(AND(ISNUMBER('Council Entry'!AW$8),ISNUMBER('Council Entry'!AW$9)),MAX(MIN('Council Entry'!AW108,'Council Entry'!AW$9),'Council Entry'!AW$8),'Council Entry'!AW108)),IF(AND(ISNUMBER('Council Entry'!AW$8),ISNUMBER('Council Entry'!AW$9)),MAX(MIN('Council Entry'!AW108,'Council Entry'!AW$9),'Council Entry'!AW$8),'Council Entry'!AW108))))-'Council Entry'!AW$5)/('Council Entry'!AW$6-'Council Entry'!AW$5)),1))),"No data"))</f>
        <v/>
      </c>
      <c r="AX108" s="13">
        <f>IF('Council Entry'!AX108="","",IFERROR(MAX(0,MIN(10,ROUND(IF('Council Entry'!AX$7="Decrease Risk",10-10*((IF('Council Entry'!AX$4="Logarithm",LN(0.001+IF(AND(ISNUMBER('Council Entry'!AX$8),ISNUMBER('Council Entry'!AX$9)),MAX(MIN('Council Entry'!AX108,'Council Entry'!AX$9),'Council Entry'!AX$8),'Council Entry'!AX108)),IF('Council Entry'!AX$4="Exponential",EXP(IF(AND(ISNUMBER('Council Entry'!AX$8),ISNUMBER('Council Entry'!AX$9)),MAX(MIN('Council Entry'!AX108,'Council Entry'!AX$9),'Council Entry'!AX$8),'Council Entry'!AX108)),IF(AND(ISNUMBER('Council Entry'!AX$8),ISNUMBER('Council Entry'!AX$9)),MAX(MIN('Council Entry'!AX108,'Council Entry'!AX$9),'Council Entry'!AX$8),'Council Entry'!AX108))))-'Council Entry'!AX$5)/('Council Entry'!AX$6-'Council Entry'!AX$5),10*((IF('Council Entry'!AX$4="Logarithm",LN(0.001+IF(AND(ISNUMBER('Council Entry'!AX$8),ISNUMBER('Council Entry'!AX$9)),MAX(MIN('Council Entry'!AX108,'Council Entry'!AX$9),'Council Entry'!AX$8),'Council Entry'!AX108)),IF('Council Entry'!AX$4="Exponential",EXP(IF(AND(ISNUMBER('Council Entry'!AX$8),ISNUMBER('Council Entry'!AX$9)),MAX(MIN('Council Entry'!AX108,'Council Entry'!AX$9),'Council Entry'!AX$8),'Council Entry'!AX108)),IF(AND(ISNUMBER('Council Entry'!AX$8),ISNUMBER('Council Entry'!AX$9)),MAX(MIN('Council Entry'!AX108,'Council Entry'!AX$9),'Council Entry'!AX$8),'Council Entry'!AX108))))-'Council Entry'!AX$5)/('Council Entry'!AX$6-'Council Entry'!AX$5)),1))),"No data"))</f>
        <v/>
      </c>
      <c r="AY108" s="13">
        <f>IF('Council Entry'!AY108="","",IFERROR(MAX(0,MIN(10,ROUND(IF('Council Entry'!AY$7="Decrease Risk",10-10*((IF('Council Entry'!AY$4="Logarithm",LN(0.001+IF(AND(ISNUMBER('Council Entry'!AY$8),ISNUMBER('Council Entry'!AY$9)),MAX(MIN('Council Entry'!AY108,'Council Entry'!AY$9),'Council Entry'!AY$8),'Council Entry'!AY108)),IF('Council Entry'!AY$4="Exponential",EXP(IF(AND(ISNUMBER('Council Entry'!AY$8),ISNUMBER('Council Entry'!AY$9)),MAX(MIN('Council Entry'!AY108,'Council Entry'!AY$9),'Council Entry'!AY$8),'Council Entry'!AY108)),IF(AND(ISNUMBER('Council Entry'!AY$8),ISNUMBER('Council Entry'!AY$9)),MAX(MIN('Council Entry'!AY108,'Council Entry'!AY$9),'Council Entry'!AY$8),'Council Entry'!AY108))))-'Council Entry'!AY$5)/('Council Entry'!AY$6-'Council Entry'!AY$5),10*((IF('Council Entry'!AY$4="Logarithm",LN(0.001+IF(AND(ISNUMBER('Council Entry'!AY$8),ISNUMBER('Council Entry'!AY$9)),MAX(MIN('Council Entry'!AY108,'Council Entry'!AY$9),'Council Entry'!AY$8),'Council Entry'!AY108)),IF('Council Entry'!AY$4="Exponential",EXP(IF(AND(ISNUMBER('Council Entry'!AY$8),ISNUMBER('Council Entry'!AY$9)),MAX(MIN('Council Entry'!AY108,'Council Entry'!AY$9),'Council Entry'!AY$8),'Council Entry'!AY108)),IF(AND(ISNUMBER('Council Entry'!AY$8),ISNUMBER('Council Entry'!AY$9)),MAX(MIN('Council Entry'!AY108,'Council Entry'!AY$9),'Council Entry'!AY$8),'Council Entry'!AY108))))-'Council Entry'!AY$5)/('Council Entry'!AY$6-'Council Entry'!AY$5)),1))),"No data"))</f>
        <v/>
      </c>
      <c r="AZ108" s="13">
        <f>IF('Council Entry'!AZ108="","",IFERROR(MAX(0,MIN(10,ROUND(IF('Council Entry'!AZ$7="Decrease Risk",10-10*((IF('Council Entry'!AZ$4="Logarithm",LN(0.001+IF(AND(ISNUMBER('Council Entry'!AZ$8),ISNUMBER('Council Entry'!AZ$9)),MAX(MIN('Council Entry'!AZ108,'Council Entry'!AZ$9),'Council Entry'!AZ$8),'Council Entry'!AZ108)),IF('Council Entry'!AZ$4="Exponential",EXP(IF(AND(ISNUMBER('Council Entry'!AZ$8),ISNUMBER('Council Entry'!AZ$9)),MAX(MIN('Council Entry'!AZ108,'Council Entry'!AZ$9),'Council Entry'!AZ$8),'Council Entry'!AZ108)),IF(AND(ISNUMBER('Council Entry'!AZ$8),ISNUMBER('Council Entry'!AZ$9)),MAX(MIN('Council Entry'!AZ108,'Council Entry'!AZ$9),'Council Entry'!AZ$8),'Council Entry'!AZ108))))-'Council Entry'!AZ$5)/('Council Entry'!AZ$6-'Council Entry'!AZ$5),10*((IF('Council Entry'!AZ$4="Logarithm",LN(0.001+IF(AND(ISNUMBER('Council Entry'!AZ$8),ISNUMBER('Council Entry'!AZ$9)),MAX(MIN('Council Entry'!AZ108,'Council Entry'!AZ$9),'Council Entry'!AZ$8),'Council Entry'!AZ108)),IF('Council Entry'!AZ$4="Exponential",EXP(IF(AND(ISNUMBER('Council Entry'!AZ$8),ISNUMBER('Council Entry'!AZ$9)),MAX(MIN('Council Entry'!AZ108,'Council Entry'!AZ$9),'Council Entry'!AZ$8),'Council Entry'!AZ108)),IF(AND(ISNUMBER('Council Entry'!AZ$8),ISNUMBER('Council Entry'!AZ$9)),MAX(MIN('Council Entry'!AZ108,'Council Entry'!AZ$9),'Council Entry'!AZ$8),'Council Entry'!AZ108))))-'Council Entry'!AZ$5)/('Council Entry'!AZ$6-'Council Entry'!AZ$5)),1))),"No data"))</f>
        <v/>
      </c>
      <c r="BA108" s="13">
        <f>IF('Council Entry'!BA108="","",IFERROR(MAX(0,MIN(10,ROUND(IF('Council Entry'!BA$7="Decrease Risk",10-10*((IF('Council Entry'!BA$4="Logarithm",LN(0.001+IF(AND(ISNUMBER('Council Entry'!BA$8),ISNUMBER('Council Entry'!BA$9)),MAX(MIN('Council Entry'!BA108,'Council Entry'!BA$9),'Council Entry'!BA$8),'Council Entry'!BA108)),IF('Council Entry'!BA$4="Exponential",EXP(IF(AND(ISNUMBER('Council Entry'!BA$8),ISNUMBER('Council Entry'!BA$9)),MAX(MIN('Council Entry'!BA108,'Council Entry'!BA$9),'Council Entry'!BA$8),'Council Entry'!BA108)),IF(AND(ISNUMBER('Council Entry'!BA$8),ISNUMBER('Council Entry'!BA$9)),MAX(MIN('Council Entry'!BA108,'Council Entry'!BA$9),'Council Entry'!BA$8),'Council Entry'!BA108))))-'Council Entry'!BA$5)/('Council Entry'!BA$6-'Council Entry'!BA$5),10*((IF('Council Entry'!BA$4="Logarithm",LN(0.001+IF(AND(ISNUMBER('Council Entry'!BA$8),ISNUMBER('Council Entry'!BA$9)),MAX(MIN('Council Entry'!BA108,'Council Entry'!BA$9),'Council Entry'!BA$8),'Council Entry'!BA108)),IF('Council Entry'!BA$4="Exponential",EXP(IF(AND(ISNUMBER('Council Entry'!BA$8),ISNUMBER('Council Entry'!BA$9)),MAX(MIN('Council Entry'!BA108,'Council Entry'!BA$9),'Council Entry'!BA$8),'Council Entry'!BA108)),IF(AND(ISNUMBER('Council Entry'!BA$8),ISNUMBER('Council Entry'!BA$9)),MAX(MIN('Council Entry'!BA108,'Council Entry'!BA$9),'Council Entry'!BA$8),'Council Entry'!BA108))))-'Council Entry'!BA$5)/('Council Entry'!BA$6-'Council Entry'!BA$5)),1))),"No data"))</f>
        <v/>
      </c>
      <c r="BB108" s="13">
        <f>IF('Council Entry'!BB108="","",IFERROR(MAX(0,MIN(10,ROUND(IF('Council Entry'!BB$7="Decrease Risk",10-10*((IF('Council Entry'!BB$4="Logarithm",LN(0.001+IF(AND(ISNUMBER('Council Entry'!BB$8),ISNUMBER('Council Entry'!BB$9)),MAX(MIN('Council Entry'!BB108,'Council Entry'!BB$9),'Council Entry'!BB$8),'Council Entry'!BB108)),IF('Council Entry'!BB$4="Exponential",EXP(IF(AND(ISNUMBER('Council Entry'!BB$8),ISNUMBER('Council Entry'!BB$9)),MAX(MIN('Council Entry'!BB108,'Council Entry'!BB$9),'Council Entry'!BB$8),'Council Entry'!BB108)),IF(AND(ISNUMBER('Council Entry'!BB$8),ISNUMBER('Council Entry'!BB$9)),MAX(MIN('Council Entry'!BB108,'Council Entry'!BB$9),'Council Entry'!BB$8),'Council Entry'!BB108))))-'Council Entry'!BB$5)/('Council Entry'!BB$6-'Council Entry'!BB$5),10*((IF('Council Entry'!BB$4="Logarithm",LN(0.001+IF(AND(ISNUMBER('Council Entry'!BB$8),ISNUMBER('Council Entry'!BB$9)),MAX(MIN('Council Entry'!BB108,'Council Entry'!BB$9),'Council Entry'!BB$8),'Council Entry'!BB108)),IF('Council Entry'!BB$4="Exponential",EXP(IF(AND(ISNUMBER('Council Entry'!BB$8),ISNUMBER('Council Entry'!BB$9)),MAX(MIN('Council Entry'!BB108,'Council Entry'!BB$9),'Council Entry'!BB$8),'Council Entry'!BB108)),IF(AND(ISNUMBER('Council Entry'!BB$8),ISNUMBER('Council Entry'!BB$9)),MAX(MIN('Council Entry'!BB108,'Council Entry'!BB$9),'Council Entry'!BB$8),'Council Entry'!BB108))))-'Council Entry'!BB$5)/('Council Entry'!BB$6-'Council Entry'!BB$5)),1))),"No data"))</f>
        <v/>
      </c>
      <c r="BC108" s="13">
        <f>IF('Council Entry'!BC108="","",IFERROR(MAX(0,MIN(10,ROUND(IF('Council Entry'!BC$7="Decrease Risk",10-10*((IF('Council Entry'!BC$4="Logarithm",LN(0.001+IF(AND(ISNUMBER('Council Entry'!BC$8),ISNUMBER('Council Entry'!BC$9)),MAX(MIN('Council Entry'!BC108,'Council Entry'!BC$9),'Council Entry'!BC$8),'Council Entry'!BC108)),IF('Council Entry'!BC$4="Exponential",EXP(IF(AND(ISNUMBER('Council Entry'!BC$8),ISNUMBER('Council Entry'!BC$9)),MAX(MIN('Council Entry'!BC108,'Council Entry'!BC$9),'Council Entry'!BC$8),'Council Entry'!BC108)),IF(AND(ISNUMBER('Council Entry'!BC$8),ISNUMBER('Council Entry'!BC$9)),MAX(MIN('Council Entry'!BC108,'Council Entry'!BC$9),'Council Entry'!BC$8),'Council Entry'!BC108))))-'Council Entry'!BC$5)/('Council Entry'!BC$6-'Council Entry'!BC$5),10*((IF('Council Entry'!BC$4="Logarithm",LN(0.001+IF(AND(ISNUMBER('Council Entry'!BC$8),ISNUMBER('Council Entry'!BC$9)),MAX(MIN('Council Entry'!BC108,'Council Entry'!BC$9),'Council Entry'!BC$8),'Council Entry'!BC108)),IF('Council Entry'!BC$4="Exponential",EXP(IF(AND(ISNUMBER('Council Entry'!BC$8),ISNUMBER('Council Entry'!BC$9)),MAX(MIN('Council Entry'!BC108,'Council Entry'!BC$9),'Council Entry'!BC$8),'Council Entry'!BC108)),IF(AND(ISNUMBER('Council Entry'!BC$8),ISNUMBER('Council Entry'!BC$9)),MAX(MIN('Council Entry'!BC108,'Council Entry'!BC$9),'Council Entry'!BC$8),'Council Entry'!BC108))))-'Council Entry'!BC$5)/('Council Entry'!BC$6-'Council Entry'!BC$5)),1))),"No data"))</f>
        <v/>
      </c>
      <c r="BD108" s="13">
        <f>IF('Council Entry'!BD108="","",IFERROR(MAX(0,MIN(10,ROUND(IF('Council Entry'!BD$7="Decrease Risk",10-10*((IF('Council Entry'!BD$4="Logarithm",LN(0.001+IF(AND(ISNUMBER('Council Entry'!BD$8),ISNUMBER('Council Entry'!BD$9)),MAX(MIN('Council Entry'!BD108,'Council Entry'!BD$9),'Council Entry'!BD$8),'Council Entry'!BD108)),IF('Council Entry'!BD$4="Exponential",EXP(IF(AND(ISNUMBER('Council Entry'!BD$8),ISNUMBER('Council Entry'!BD$9)),MAX(MIN('Council Entry'!BD108,'Council Entry'!BD$9),'Council Entry'!BD$8),'Council Entry'!BD108)),IF(AND(ISNUMBER('Council Entry'!BD$8),ISNUMBER('Council Entry'!BD$9)),MAX(MIN('Council Entry'!BD108,'Council Entry'!BD$9),'Council Entry'!BD$8),'Council Entry'!BD108))))-'Council Entry'!BD$5)/('Council Entry'!BD$6-'Council Entry'!BD$5),10*((IF('Council Entry'!BD$4="Logarithm",LN(0.001+IF(AND(ISNUMBER('Council Entry'!BD$8),ISNUMBER('Council Entry'!BD$9)),MAX(MIN('Council Entry'!BD108,'Council Entry'!BD$9),'Council Entry'!BD$8),'Council Entry'!BD108)),IF('Council Entry'!BD$4="Exponential",EXP(IF(AND(ISNUMBER('Council Entry'!BD$8),ISNUMBER('Council Entry'!BD$9)),MAX(MIN('Council Entry'!BD108,'Council Entry'!BD$9),'Council Entry'!BD$8),'Council Entry'!BD108)),IF(AND(ISNUMBER('Council Entry'!BD$8),ISNUMBER('Council Entry'!BD$9)),MAX(MIN('Council Entry'!BD108,'Council Entry'!BD$9),'Council Entry'!BD$8),'Council Entry'!BD108))))-'Council Entry'!BD$5)/('Council Entry'!BD$6-'Council Entry'!BD$5)),1))),"No data"))</f>
        <v/>
      </c>
    </row>
    <row r="109">
      <c r="A109" t="inlineStr">
        <is>
          <t>Mjini Magharibi</t>
        </is>
      </c>
      <c r="B109" t="inlineStr">
        <is>
          <t>Mjini Municipal</t>
        </is>
      </c>
      <c r="C109" t="inlineStr">
        <is>
          <t>C189</t>
        </is>
      </c>
      <c r="D109" s="13">
        <f>IF('Council Entry'!D109="","",IFERROR(MAX(0,MIN(10,ROUND(IF('Council Entry'!D$7="Decrease Risk",10-10*((IF('Council Entry'!D$4="Logarithm",LN(0.001+IF(AND(ISNUMBER('Council Entry'!D$8),ISNUMBER('Council Entry'!D$9)),MAX(MIN('Council Entry'!D109,'Council Entry'!D$9),'Council Entry'!D$8),'Council Entry'!D109)),IF('Council Entry'!D$4="Exponential",EXP(IF(AND(ISNUMBER('Council Entry'!D$8),ISNUMBER('Council Entry'!D$9)),MAX(MIN('Council Entry'!D109,'Council Entry'!D$9),'Council Entry'!D$8),'Council Entry'!D109)),IF(AND(ISNUMBER('Council Entry'!D$8),ISNUMBER('Council Entry'!D$9)),MAX(MIN('Council Entry'!D109,'Council Entry'!D$9),'Council Entry'!D$8),'Council Entry'!D109))))-'Council Entry'!D$5)/('Council Entry'!D$6-'Council Entry'!D$5),10*((IF('Council Entry'!D$4="Logarithm",LN(0.001+IF(AND(ISNUMBER('Council Entry'!D$8),ISNUMBER('Council Entry'!D$9)),MAX(MIN('Council Entry'!D109,'Council Entry'!D$9),'Council Entry'!D$8),'Council Entry'!D109)),IF('Council Entry'!D$4="Exponential",EXP(IF(AND(ISNUMBER('Council Entry'!D$8),ISNUMBER('Council Entry'!D$9)),MAX(MIN('Council Entry'!D109,'Council Entry'!D$9),'Council Entry'!D$8),'Council Entry'!D109)),IF(AND(ISNUMBER('Council Entry'!D$8),ISNUMBER('Council Entry'!D$9)),MAX(MIN('Council Entry'!D109,'Council Entry'!D$9),'Council Entry'!D$8),'Council Entry'!D109))))-'Council Entry'!D$5)/('Council Entry'!D$6-'Council Entry'!D$5)),1))),"No data"))</f>
        <v/>
      </c>
      <c r="E109" s="13">
        <f>IF('Council Entry'!E109="","",IFERROR(MAX(0,MIN(10,ROUND(IF('Council Entry'!E$7="Decrease Risk",10-10*((IF('Council Entry'!E$4="Logarithm",LN(0.001+IF(AND(ISNUMBER('Council Entry'!E$8),ISNUMBER('Council Entry'!E$9)),MAX(MIN('Council Entry'!E109,'Council Entry'!E$9),'Council Entry'!E$8),'Council Entry'!E109)),IF('Council Entry'!E$4="Exponential",EXP(IF(AND(ISNUMBER('Council Entry'!E$8),ISNUMBER('Council Entry'!E$9)),MAX(MIN('Council Entry'!E109,'Council Entry'!E$9),'Council Entry'!E$8),'Council Entry'!E109)),IF(AND(ISNUMBER('Council Entry'!E$8),ISNUMBER('Council Entry'!E$9)),MAX(MIN('Council Entry'!E109,'Council Entry'!E$9),'Council Entry'!E$8),'Council Entry'!E109))))-'Council Entry'!E$5)/('Council Entry'!E$6-'Council Entry'!E$5),10*((IF('Council Entry'!E$4="Logarithm",LN(0.001+IF(AND(ISNUMBER('Council Entry'!E$8),ISNUMBER('Council Entry'!E$9)),MAX(MIN('Council Entry'!E109,'Council Entry'!E$9),'Council Entry'!E$8),'Council Entry'!E109)),IF('Council Entry'!E$4="Exponential",EXP(IF(AND(ISNUMBER('Council Entry'!E$8),ISNUMBER('Council Entry'!E$9)),MAX(MIN('Council Entry'!E109,'Council Entry'!E$9),'Council Entry'!E$8),'Council Entry'!E109)),IF(AND(ISNUMBER('Council Entry'!E$8),ISNUMBER('Council Entry'!E$9)),MAX(MIN('Council Entry'!E109,'Council Entry'!E$9),'Council Entry'!E$8),'Council Entry'!E109))))-'Council Entry'!E$5)/('Council Entry'!E$6-'Council Entry'!E$5)),1))),"No data"))</f>
        <v/>
      </c>
      <c r="F109" s="13">
        <f>IF('Council Entry'!F109="","",IFERROR(MAX(0,MIN(10,ROUND(IF('Council Entry'!F$7="Decrease Risk",10-10*((IF('Council Entry'!F$4="Logarithm",LN(0.001+IF(AND(ISNUMBER('Council Entry'!F$8),ISNUMBER('Council Entry'!F$9)),MAX(MIN('Council Entry'!F109,'Council Entry'!F$9),'Council Entry'!F$8),'Council Entry'!F109)),IF('Council Entry'!F$4="Exponential",EXP(IF(AND(ISNUMBER('Council Entry'!F$8),ISNUMBER('Council Entry'!F$9)),MAX(MIN('Council Entry'!F109,'Council Entry'!F$9),'Council Entry'!F$8),'Council Entry'!F109)),IF(AND(ISNUMBER('Council Entry'!F$8),ISNUMBER('Council Entry'!F$9)),MAX(MIN('Council Entry'!F109,'Council Entry'!F$9),'Council Entry'!F$8),'Council Entry'!F109))))-'Council Entry'!F$5)/('Council Entry'!F$6-'Council Entry'!F$5),10*((IF('Council Entry'!F$4="Logarithm",LN(0.001+IF(AND(ISNUMBER('Council Entry'!F$8),ISNUMBER('Council Entry'!F$9)),MAX(MIN('Council Entry'!F109,'Council Entry'!F$9),'Council Entry'!F$8),'Council Entry'!F109)),IF('Council Entry'!F$4="Exponential",EXP(IF(AND(ISNUMBER('Council Entry'!F$8),ISNUMBER('Council Entry'!F$9)),MAX(MIN('Council Entry'!F109,'Council Entry'!F$9),'Council Entry'!F$8),'Council Entry'!F109)),IF(AND(ISNUMBER('Council Entry'!F$8),ISNUMBER('Council Entry'!F$9)),MAX(MIN('Council Entry'!F109,'Council Entry'!F$9),'Council Entry'!F$8),'Council Entry'!F109))))-'Council Entry'!F$5)/('Council Entry'!F$6-'Council Entry'!F$5)),1))),"No data"))</f>
        <v/>
      </c>
      <c r="G109" s="13">
        <f>IF('Council Entry'!G109="","",IFERROR(MAX(0,MIN(10,ROUND(IF('Council Entry'!G$7="Decrease Risk",10-10*((IF('Council Entry'!G$4="Logarithm",LN(0.001+IF(AND(ISNUMBER('Council Entry'!G$8),ISNUMBER('Council Entry'!G$9)),MAX(MIN('Council Entry'!G109,'Council Entry'!G$9),'Council Entry'!G$8),'Council Entry'!G109)),IF('Council Entry'!G$4="Exponential",EXP(IF(AND(ISNUMBER('Council Entry'!G$8),ISNUMBER('Council Entry'!G$9)),MAX(MIN('Council Entry'!G109,'Council Entry'!G$9),'Council Entry'!G$8),'Council Entry'!G109)),IF(AND(ISNUMBER('Council Entry'!G$8),ISNUMBER('Council Entry'!G$9)),MAX(MIN('Council Entry'!G109,'Council Entry'!G$9),'Council Entry'!G$8),'Council Entry'!G109))))-'Council Entry'!G$5)/('Council Entry'!G$6-'Council Entry'!G$5),10*((IF('Council Entry'!G$4="Logarithm",LN(0.001+IF(AND(ISNUMBER('Council Entry'!G$8),ISNUMBER('Council Entry'!G$9)),MAX(MIN('Council Entry'!G109,'Council Entry'!G$9),'Council Entry'!G$8),'Council Entry'!G109)),IF('Council Entry'!G$4="Exponential",EXP(IF(AND(ISNUMBER('Council Entry'!G$8),ISNUMBER('Council Entry'!G$9)),MAX(MIN('Council Entry'!G109,'Council Entry'!G$9),'Council Entry'!G$8),'Council Entry'!G109)),IF(AND(ISNUMBER('Council Entry'!G$8),ISNUMBER('Council Entry'!G$9)),MAX(MIN('Council Entry'!G109,'Council Entry'!G$9),'Council Entry'!G$8),'Council Entry'!G109))))-'Council Entry'!G$5)/('Council Entry'!G$6-'Council Entry'!G$5)),1))),"No data"))</f>
        <v/>
      </c>
      <c r="H109" s="13">
        <f>IF('Council Entry'!H109="","",IFERROR(MAX(0,MIN(10,ROUND(IF('Council Entry'!H$7="Decrease Risk",10-10*((IF('Council Entry'!H$4="Logarithm",LN(0.001+IF(AND(ISNUMBER('Council Entry'!H$8),ISNUMBER('Council Entry'!H$9)),MAX(MIN('Council Entry'!H109,'Council Entry'!H$9),'Council Entry'!H$8),'Council Entry'!H109)),IF('Council Entry'!H$4="Exponential",EXP(IF(AND(ISNUMBER('Council Entry'!H$8),ISNUMBER('Council Entry'!H$9)),MAX(MIN('Council Entry'!H109,'Council Entry'!H$9),'Council Entry'!H$8),'Council Entry'!H109)),IF(AND(ISNUMBER('Council Entry'!H$8),ISNUMBER('Council Entry'!H$9)),MAX(MIN('Council Entry'!H109,'Council Entry'!H$9),'Council Entry'!H$8),'Council Entry'!H109))))-'Council Entry'!H$5)/('Council Entry'!H$6-'Council Entry'!H$5),10*((IF('Council Entry'!H$4="Logarithm",LN(0.001+IF(AND(ISNUMBER('Council Entry'!H$8),ISNUMBER('Council Entry'!H$9)),MAX(MIN('Council Entry'!H109,'Council Entry'!H$9),'Council Entry'!H$8),'Council Entry'!H109)),IF('Council Entry'!H$4="Exponential",EXP(IF(AND(ISNUMBER('Council Entry'!H$8),ISNUMBER('Council Entry'!H$9)),MAX(MIN('Council Entry'!H109,'Council Entry'!H$9),'Council Entry'!H$8),'Council Entry'!H109)),IF(AND(ISNUMBER('Council Entry'!H$8),ISNUMBER('Council Entry'!H$9)),MAX(MIN('Council Entry'!H109,'Council Entry'!H$9),'Council Entry'!H$8),'Council Entry'!H109))))-'Council Entry'!H$5)/('Council Entry'!H$6-'Council Entry'!H$5)),1))),"No data"))</f>
        <v/>
      </c>
      <c r="I109" s="13">
        <f>IF('Council Entry'!I109="","",IFERROR(MAX(0,MIN(10,ROUND(IF('Council Entry'!I$7="Decrease Risk",10-10*((IF('Council Entry'!I$4="Logarithm",LN(0.001+IF(AND(ISNUMBER('Council Entry'!I$8),ISNUMBER('Council Entry'!I$9)),MAX(MIN('Council Entry'!I109,'Council Entry'!I$9),'Council Entry'!I$8),'Council Entry'!I109)),IF('Council Entry'!I$4="Exponential",EXP(IF(AND(ISNUMBER('Council Entry'!I$8),ISNUMBER('Council Entry'!I$9)),MAX(MIN('Council Entry'!I109,'Council Entry'!I$9),'Council Entry'!I$8),'Council Entry'!I109)),IF(AND(ISNUMBER('Council Entry'!I$8),ISNUMBER('Council Entry'!I$9)),MAX(MIN('Council Entry'!I109,'Council Entry'!I$9),'Council Entry'!I$8),'Council Entry'!I109))))-'Council Entry'!I$5)/('Council Entry'!I$6-'Council Entry'!I$5),10*((IF('Council Entry'!I$4="Logarithm",LN(0.001+IF(AND(ISNUMBER('Council Entry'!I$8),ISNUMBER('Council Entry'!I$9)),MAX(MIN('Council Entry'!I109,'Council Entry'!I$9),'Council Entry'!I$8),'Council Entry'!I109)),IF('Council Entry'!I$4="Exponential",EXP(IF(AND(ISNUMBER('Council Entry'!I$8),ISNUMBER('Council Entry'!I$9)),MAX(MIN('Council Entry'!I109,'Council Entry'!I$9),'Council Entry'!I$8),'Council Entry'!I109)),IF(AND(ISNUMBER('Council Entry'!I$8),ISNUMBER('Council Entry'!I$9)),MAX(MIN('Council Entry'!I109,'Council Entry'!I$9),'Council Entry'!I$8),'Council Entry'!I109))))-'Council Entry'!I$5)/('Council Entry'!I$6-'Council Entry'!I$5)),1))),"No data"))</f>
        <v/>
      </c>
      <c r="J109" s="13">
        <f>IF('Council Entry'!J109="","",IFERROR(MAX(0,MIN(10,ROUND(IF('Council Entry'!J$7="Decrease Risk",10-10*((IF('Council Entry'!J$4="Logarithm",LN(0.001+IF(AND(ISNUMBER('Council Entry'!J$8),ISNUMBER('Council Entry'!J$9)),MAX(MIN('Council Entry'!J109,'Council Entry'!J$9),'Council Entry'!J$8),'Council Entry'!J109)),IF('Council Entry'!J$4="Exponential",EXP(IF(AND(ISNUMBER('Council Entry'!J$8),ISNUMBER('Council Entry'!J$9)),MAX(MIN('Council Entry'!J109,'Council Entry'!J$9),'Council Entry'!J$8),'Council Entry'!J109)),IF(AND(ISNUMBER('Council Entry'!J$8),ISNUMBER('Council Entry'!J$9)),MAX(MIN('Council Entry'!J109,'Council Entry'!J$9),'Council Entry'!J$8),'Council Entry'!J109))))-'Council Entry'!J$5)/('Council Entry'!J$6-'Council Entry'!J$5),10*((IF('Council Entry'!J$4="Logarithm",LN(0.001+IF(AND(ISNUMBER('Council Entry'!J$8),ISNUMBER('Council Entry'!J$9)),MAX(MIN('Council Entry'!J109,'Council Entry'!J$9),'Council Entry'!J$8),'Council Entry'!J109)),IF('Council Entry'!J$4="Exponential",EXP(IF(AND(ISNUMBER('Council Entry'!J$8),ISNUMBER('Council Entry'!J$9)),MAX(MIN('Council Entry'!J109,'Council Entry'!J$9),'Council Entry'!J$8),'Council Entry'!J109)),IF(AND(ISNUMBER('Council Entry'!J$8),ISNUMBER('Council Entry'!J$9)),MAX(MIN('Council Entry'!J109,'Council Entry'!J$9),'Council Entry'!J$8),'Council Entry'!J109))))-'Council Entry'!J$5)/('Council Entry'!J$6-'Council Entry'!J$5)),1))),"No data"))</f>
        <v/>
      </c>
      <c r="K109" s="13">
        <f>IF('Council Entry'!K109="","",IFERROR(MAX(0,MIN(10,ROUND(IF('Council Entry'!K$7="Decrease Risk",10-10*((IF('Council Entry'!K$4="Logarithm",LN(0.001+IF(AND(ISNUMBER('Council Entry'!K$8),ISNUMBER('Council Entry'!K$9)),MAX(MIN('Council Entry'!K109,'Council Entry'!K$9),'Council Entry'!K$8),'Council Entry'!K109)),IF('Council Entry'!K$4="Exponential",EXP(IF(AND(ISNUMBER('Council Entry'!K$8),ISNUMBER('Council Entry'!K$9)),MAX(MIN('Council Entry'!K109,'Council Entry'!K$9),'Council Entry'!K$8),'Council Entry'!K109)),IF(AND(ISNUMBER('Council Entry'!K$8),ISNUMBER('Council Entry'!K$9)),MAX(MIN('Council Entry'!K109,'Council Entry'!K$9),'Council Entry'!K$8),'Council Entry'!K109))))-'Council Entry'!K$5)/('Council Entry'!K$6-'Council Entry'!K$5),10*((IF('Council Entry'!K$4="Logarithm",LN(0.001+IF(AND(ISNUMBER('Council Entry'!K$8),ISNUMBER('Council Entry'!K$9)),MAX(MIN('Council Entry'!K109,'Council Entry'!K$9),'Council Entry'!K$8),'Council Entry'!K109)),IF('Council Entry'!K$4="Exponential",EXP(IF(AND(ISNUMBER('Council Entry'!K$8),ISNUMBER('Council Entry'!K$9)),MAX(MIN('Council Entry'!K109,'Council Entry'!K$9),'Council Entry'!K$8),'Council Entry'!K109)),IF(AND(ISNUMBER('Council Entry'!K$8),ISNUMBER('Council Entry'!K$9)),MAX(MIN('Council Entry'!K109,'Council Entry'!K$9),'Council Entry'!K$8),'Council Entry'!K109))))-'Council Entry'!K$5)/('Council Entry'!K$6-'Council Entry'!K$5)),1))),"No data"))</f>
        <v/>
      </c>
      <c r="L109" s="13">
        <f>IF('Council Entry'!L109="","",IFERROR(MAX(0,MIN(10,ROUND(IF('Council Entry'!L$7="Decrease Risk",10-10*((IF('Council Entry'!L$4="Logarithm",LN(0.001+IF(AND(ISNUMBER('Council Entry'!L$8),ISNUMBER('Council Entry'!L$9)),MAX(MIN('Council Entry'!L109,'Council Entry'!L$9),'Council Entry'!L$8),'Council Entry'!L109)),IF('Council Entry'!L$4="Exponential",EXP(IF(AND(ISNUMBER('Council Entry'!L$8),ISNUMBER('Council Entry'!L$9)),MAX(MIN('Council Entry'!L109,'Council Entry'!L$9),'Council Entry'!L$8),'Council Entry'!L109)),IF(AND(ISNUMBER('Council Entry'!L$8),ISNUMBER('Council Entry'!L$9)),MAX(MIN('Council Entry'!L109,'Council Entry'!L$9),'Council Entry'!L$8),'Council Entry'!L109))))-'Council Entry'!L$5)/('Council Entry'!L$6-'Council Entry'!L$5),10*((IF('Council Entry'!L$4="Logarithm",LN(0.001+IF(AND(ISNUMBER('Council Entry'!L$8),ISNUMBER('Council Entry'!L$9)),MAX(MIN('Council Entry'!L109,'Council Entry'!L$9),'Council Entry'!L$8),'Council Entry'!L109)),IF('Council Entry'!L$4="Exponential",EXP(IF(AND(ISNUMBER('Council Entry'!L$8),ISNUMBER('Council Entry'!L$9)),MAX(MIN('Council Entry'!L109,'Council Entry'!L$9),'Council Entry'!L$8),'Council Entry'!L109)),IF(AND(ISNUMBER('Council Entry'!L$8),ISNUMBER('Council Entry'!L$9)),MAX(MIN('Council Entry'!L109,'Council Entry'!L$9),'Council Entry'!L$8),'Council Entry'!L109))))-'Council Entry'!L$5)/('Council Entry'!L$6-'Council Entry'!L$5)),1))),"No data"))</f>
        <v/>
      </c>
      <c r="M109" s="13">
        <f>IF('Council Entry'!M109="","",IFERROR(MAX(0,MIN(10,ROUND(IF('Council Entry'!M$7="Decrease Risk",10-10*((IF('Council Entry'!M$4="Logarithm",LN(0.001+IF(AND(ISNUMBER('Council Entry'!M$8),ISNUMBER('Council Entry'!M$9)),MAX(MIN('Council Entry'!M109,'Council Entry'!M$9),'Council Entry'!M$8),'Council Entry'!M109)),IF('Council Entry'!M$4="Exponential",EXP(IF(AND(ISNUMBER('Council Entry'!M$8),ISNUMBER('Council Entry'!M$9)),MAX(MIN('Council Entry'!M109,'Council Entry'!M$9),'Council Entry'!M$8),'Council Entry'!M109)),IF(AND(ISNUMBER('Council Entry'!M$8),ISNUMBER('Council Entry'!M$9)),MAX(MIN('Council Entry'!M109,'Council Entry'!M$9),'Council Entry'!M$8),'Council Entry'!M109))))-'Council Entry'!M$5)/('Council Entry'!M$6-'Council Entry'!M$5),10*((IF('Council Entry'!M$4="Logarithm",LN(0.001+IF(AND(ISNUMBER('Council Entry'!M$8),ISNUMBER('Council Entry'!M$9)),MAX(MIN('Council Entry'!M109,'Council Entry'!M$9),'Council Entry'!M$8),'Council Entry'!M109)),IF('Council Entry'!M$4="Exponential",EXP(IF(AND(ISNUMBER('Council Entry'!M$8),ISNUMBER('Council Entry'!M$9)),MAX(MIN('Council Entry'!M109,'Council Entry'!M$9),'Council Entry'!M$8),'Council Entry'!M109)),IF(AND(ISNUMBER('Council Entry'!M$8),ISNUMBER('Council Entry'!M$9)),MAX(MIN('Council Entry'!M109,'Council Entry'!M$9),'Council Entry'!M$8),'Council Entry'!M109))))-'Council Entry'!M$5)/('Council Entry'!M$6-'Council Entry'!M$5)),1))),"No data"))</f>
        <v/>
      </c>
      <c r="N109" s="13">
        <f>IF('Council Entry'!N109="","",IFERROR(MAX(0,MIN(10,ROUND(IF('Council Entry'!N$7="Decrease Risk",10-10*((IF('Council Entry'!N$4="Logarithm",LN(0.001+IF(AND(ISNUMBER('Council Entry'!N$8),ISNUMBER('Council Entry'!N$9)),MAX(MIN('Council Entry'!N109,'Council Entry'!N$9),'Council Entry'!N$8),'Council Entry'!N109)),IF('Council Entry'!N$4="Exponential",EXP(IF(AND(ISNUMBER('Council Entry'!N$8),ISNUMBER('Council Entry'!N$9)),MAX(MIN('Council Entry'!N109,'Council Entry'!N$9),'Council Entry'!N$8),'Council Entry'!N109)),IF(AND(ISNUMBER('Council Entry'!N$8),ISNUMBER('Council Entry'!N$9)),MAX(MIN('Council Entry'!N109,'Council Entry'!N$9),'Council Entry'!N$8),'Council Entry'!N109))))-'Council Entry'!N$5)/('Council Entry'!N$6-'Council Entry'!N$5),10*((IF('Council Entry'!N$4="Logarithm",LN(0.001+IF(AND(ISNUMBER('Council Entry'!N$8),ISNUMBER('Council Entry'!N$9)),MAX(MIN('Council Entry'!N109,'Council Entry'!N$9),'Council Entry'!N$8),'Council Entry'!N109)),IF('Council Entry'!N$4="Exponential",EXP(IF(AND(ISNUMBER('Council Entry'!N$8),ISNUMBER('Council Entry'!N$9)),MAX(MIN('Council Entry'!N109,'Council Entry'!N$9),'Council Entry'!N$8),'Council Entry'!N109)),IF(AND(ISNUMBER('Council Entry'!N$8),ISNUMBER('Council Entry'!N$9)),MAX(MIN('Council Entry'!N109,'Council Entry'!N$9),'Council Entry'!N$8),'Council Entry'!N109))))-'Council Entry'!N$5)/('Council Entry'!N$6-'Council Entry'!N$5)),1))),"No data"))</f>
        <v/>
      </c>
      <c r="O109" s="13">
        <f>IF('Council Entry'!O109="","",IFERROR(MAX(0,MIN(10,ROUND(IF('Council Entry'!O$7="Decrease Risk",10-10*((IF('Council Entry'!O$4="Logarithm",LN(0.001+IF(AND(ISNUMBER('Council Entry'!O$8),ISNUMBER('Council Entry'!O$9)),MAX(MIN('Council Entry'!O109,'Council Entry'!O$9),'Council Entry'!O$8),'Council Entry'!O109)),IF('Council Entry'!O$4="Exponential",EXP(IF(AND(ISNUMBER('Council Entry'!O$8),ISNUMBER('Council Entry'!O$9)),MAX(MIN('Council Entry'!O109,'Council Entry'!O$9),'Council Entry'!O$8),'Council Entry'!O109)),IF(AND(ISNUMBER('Council Entry'!O$8),ISNUMBER('Council Entry'!O$9)),MAX(MIN('Council Entry'!O109,'Council Entry'!O$9),'Council Entry'!O$8),'Council Entry'!O109))))-'Council Entry'!O$5)/('Council Entry'!O$6-'Council Entry'!O$5),10*((IF('Council Entry'!O$4="Logarithm",LN(0.001+IF(AND(ISNUMBER('Council Entry'!O$8),ISNUMBER('Council Entry'!O$9)),MAX(MIN('Council Entry'!O109,'Council Entry'!O$9),'Council Entry'!O$8),'Council Entry'!O109)),IF('Council Entry'!O$4="Exponential",EXP(IF(AND(ISNUMBER('Council Entry'!O$8),ISNUMBER('Council Entry'!O$9)),MAX(MIN('Council Entry'!O109,'Council Entry'!O$9),'Council Entry'!O$8),'Council Entry'!O109)),IF(AND(ISNUMBER('Council Entry'!O$8),ISNUMBER('Council Entry'!O$9)),MAX(MIN('Council Entry'!O109,'Council Entry'!O$9),'Council Entry'!O$8),'Council Entry'!O109))))-'Council Entry'!O$5)/('Council Entry'!O$6-'Council Entry'!O$5)),1))),"No data"))</f>
        <v/>
      </c>
      <c r="P109" s="13">
        <f>IF('Council Entry'!P109="","",IFERROR(MAX(0,MIN(10,ROUND(IF('Council Entry'!P$7="Decrease Risk",10-10*((IF('Council Entry'!P$4="Logarithm",LN(0.001+IF(AND(ISNUMBER('Council Entry'!P$8),ISNUMBER('Council Entry'!P$9)),MAX(MIN('Council Entry'!P109,'Council Entry'!P$9),'Council Entry'!P$8),'Council Entry'!P109)),IF('Council Entry'!P$4="Exponential",EXP(IF(AND(ISNUMBER('Council Entry'!P$8),ISNUMBER('Council Entry'!P$9)),MAX(MIN('Council Entry'!P109,'Council Entry'!P$9),'Council Entry'!P$8),'Council Entry'!P109)),IF(AND(ISNUMBER('Council Entry'!P$8),ISNUMBER('Council Entry'!P$9)),MAX(MIN('Council Entry'!P109,'Council Entry'!P$9),'Council Entry'!P$8),'Council Entry'!P109))))-'Council Entry'!P$5)/('Council Entry'!P$6-'Council Entry'!P$5),10*((IF('Council Entry'!P$4="Logarithm",LN(0.001+IF(AND(ISNUMBER('Council Entry'!P$8),ISNUMBER('Council Entry'!P$9)),MAX(MIN('Council Entry'!P109,'Council Entry'!P$9),'Council Entry'!P$8),'Council Entry'!P109)),IF('Council Entry'!P$4="Exponential",EXP(IF(AND(ISNUMBER('Council Entry'!P$8),ISNUMBER('Council Entry'!P$9)),MAX(MIN('Council Entry'!P109,'Council Entry'!P$9),'Council Entry'!P$8),'Council Entry'!P109)),IF(AND(ISNUMBER('Council Entry'!P$8),ISNUMBER('Council Entry'!P$9)),MAX(MIN('Council Entry'!P109,'Council Entry'!P$9),'Council Entry'!P$8),'Council Entry'!P109))))-'Council Entry'!P$5)/('Council Entry'!P$6-'Council Entry'!P$5)),1))),"No data"))</f>
        <v/>
      </c>
      <c r="Q109" s="13">
        <f>IF('Council Entry'!Q109="","",IFERROR(MAX(0,MIN(10,ROUND(IF('Council Entry'!Q$7="Decrease Risk",10-10*((IF('Council Entry'!Q$4="Logarithm",LN(0.001+IF(AND(ISNUMBER('Council Entry'!Q$8),ISNUMBER('Council Entry'!Q$9)),MAX(MIN('Council Entry'!Q109,'Council Entry'!Q$9),'Council Entry'!Q$8),'Council Entry'!Q109)),IF('Council Entry'!Q$4="Exponential",EXP(IF(AND(ISNUMBER('Council Entry'!Q$8),ISNUMBER('Council Entry'!Q$9)),MAX(MIN('Council Entry'!Q109,'Council Entry'!Q$9),'Council Entry'!Q$8),'Council Entry'!Q109)),IF(AND(ISNUMBER('Council Entry'!Q$8),ISNUMBER('Council Entry'!Q$9)),MAX(MIN('Council Entry'!Q109,'Council Entry'!Q$9),'Council Entry'!Q$8),'Council Entry'!Q109))))-'Council Entry'!Q$5)/('Council Entry'!Q$6-'Council Entry'!Q$5),10*((IF('Council Entry'!Q$4="Logarithm",LN(0.001+IF(AND(ISNUMBER('Council Entry'!Q$8),ISNUMBER('Council Entry'!Q$9)),MAX(MIN('Council Entry'!Q109,'Council Entry'!Q$9),'Council Entry'!Q$8),'Council Entry'!Q109)),IF('Council Entry'!Q$4="Exponential",EXP(IF(AND(ISNUMBER('Council Entry'!Q$8),ISNUMBER('Council Entry'!Q$9)),MAX(MIN('Council Entry'!Q109,'Council Entry'!Q$9),'Council Entry'!Q$8),'Council Entry'!Q109)),IF(AND(ISNUMBER('Council Entry'!Q$8),ISNUMBER('Council Entry'!Q$9)),MAX(MIN('Council Entry'!Q109,'Council Entry'!Q$9),'Council Entry'!Q$8),'Council Entry'!Q109))))-'Council Entry'!Q$5)/('Council Entry'!Q$6-'Council Entry'!Q$5)),1))),"No data"))</f>
        <v/>
      </c>
      <c r="R109" s="13">
        <f>IF('Council Entry'!R109="","",IFERROR(MAX(0,MIN(10,ROUND(IF('Council Entry'!R$7="Decrease Risk",10-10*((IF('Council Entry'!R$4="Logarithm",LN(0.001+IF(AND(ISNUMBER('Council Entry'!R$8),ISNUMBER('Council Entry'!R$9)),MAX(MIN('Council Entry'!R109,'Council Entry'!R$9),'Council Entry'!R$8),'Council Entry'!R109)),IF('Council Entry'!R$4="Exponential",EXP(IF(AND(ISNUMBER('Council Entry'!R$8),ISNUMBER('Council Entry'!R$9)),MAX(MIN('Council Entry'!R109,'Council Entry'!R$9),'Council Entry'!R$8),'Council Entry'!R109)),IF(AND(ISNUMBER('Council Entry'!R$8),ISNUMBER('Council Entry'!R$9)),MAX(MIN('Council Entry'!R109,'Council Entry'!R$9),'Council Entry'!R$8),'Council Entry'!R109))))-'Council Entry'!R$5)/('Council Entry'!R$6-'Council Entry'!R$5),10*((IF('Council Entry'!R$4="Logarithm",LN(0.001+IF(AND(ISNUMBER('Council Entry'!R$8),ISNUMBER('Council Entry'!R$9)),MAX(MIN('Council Entry'!R109,'Council Entry'!R$9),'Council Entry'!R$8),'Council Entry'!R109)),IF('Council Entry'!R$4="Exponential",EXP(IF(AND(ISNUMBER('Council Entry'!R$8),ISNUMBER('Council Entry'!R$9)),MAX(MIN('Council Entry'!R109,'Council Entry'!R$9),'Council Entry'!R$8),'Council Entry'!R109)),IF(AND(ISNUMBER('Council Entry'!R$8),ISNUMBER('Council Entry'!R$9)),MAX(MIN('Council Entry'!R109,'Council Entry'!R$9),'Council Entry'!R$8),'Council Entry'!R109))))-'Council Entry'!R$5)/('Council Entry'!R$6-'Council Entry'!R$5)),1))),"No data"))</f>
        <v/>
      </c>
      <c r="S109" s="13">
        <f>IF('Council Entry'!S109="","",IFERROR(MAX(0,MIN(10,ROUND(IF('Council Entry'!S$7="Decrease Risk",10-10*((IF('Council Entry'!S$4="Logarithm",LN(0.001+IF(AND(ISNUMBER('Council Entry'!S$8),ISNUMBER('Council Entry'!S$9)),MAX(MIN('Council Entry'!S109,'Council Entry'!S$9),'Council Entry'!S$8),'Council Entry'!S109)),IF('Council Entry'!S$4="Exponential",EXP(IF(AND(ISNUMBER('Council Entry'!S$8),ISNUMBER('Council Entry'!S$9)),MAX(MIN('Council Entry'!S109,'Council Entry'!S$9),'Council Entry'!S$8),'Council Entry'!S109)),IF(AND(ISNUMBER('Council Entry'!S$8),ISNUMBER('Council Entry'!S$9)),MAX(MIN('Council Entry'!S109,'Council Entry'!S$9),'Council Entry'!S$8),'Council Entry'!S109))))-'Council Entry'!S$5)/('Council Entry'!S$6-'Council Entry'!S$5),10*((IF('Council Entry'!S$4="Logarithm",LN(0.001+IF(AND(ISNUMBER('Council Entry'!S$8),ISNUMBER('Council Entry'!S$9)),MAX(MIN('Council Entry'!S109,'Council Entry'!S$9),'Council Entry'!S$8),'Council Entry'!S109)),IF('Council Entry'!S$4="Exponential",EXP(IF(AND(ISNUMBER('Council Entry'!S$8),ISNUMBER('Council Entry'!S$9)),MAX(MIN('Council Entry'!S109,'Council Entry'!S$9),'Council Entry'!S$8),'Council Entry'!S109)),IF(AND(ISNUMBER('Council Entry'!S$8),ISNUMBER('Council Entry'!S$9)),MAX(MIN('Council Entry'!S109,'Council Entry'!S$9),'Council Entry'!S$8),'Council Entry'!S109))))-'Council Entry'!S$5)/('Council Entry'!S$6-'Council Entry'!S$5)),1))),"No data"))</f>
        <v/>
      </c>
      <c r="T109" s="13">
        <f>IF('Council Entry'!T109="","",IFERROR(MAX(0,MIN(10,ROUND(IF('Council Entry'!T$7="Decrease Risk",10-10*((IF('Council Entry'!T$4="Logarithm",LN(0.001+IF(AND(ISNUMBER('Council Entry'!T$8),ISNUMBER('Council Entry'!T$9)),MAX(MIN('Council Entry'!T109,'Council Entry'!T$9),'Council Entry'!T$8),'Council Entry'!T109)),IF('Council Entry'!T$4="Exponential",EXP(IF(AND(ISNUMBER('Council Entry'!T$8),ISNUMBER('Council Entry'!T$9)),MAX(MIN('Council Entry'!T109,'Council Entry'!T$9),'Council Entry'!T$8),'Council Entry'!T109)),IF(AND(ISNUMBER('Council Entry'!T$8),ISNUMBER('Council Entry'!T$9)),MAX(MIN('Council Entry'!T109,'Council Entry'!T$9),'Council Entry'!T$8),'Council Entry'!T109))))-'Council Entry'!T$5)/('Council Entry'!T$6-'Council Entry'!T$5),10*((IF('Council Entry'!T$4="Logarithm",LN(0.001+IF(AND(ISNUMBER('Council Entry'!T$8),ISNUMBER('Council Entry'!T$9)),MAX(MIN('Council Entry'!T109,'Council Entry'!T$9),'Council Entry'!T$8),'Council Entry'!T109)),IF('Council Entry'!T$4="Exponential",EXP(IF(AND(ISNUMBER('Council Entry'!T$8),ISNUMBER('Council Entry'!T$9)),MAX(MIN('Council Entry'!T109,'Council Entry'!T$9),'Council Entry'!T$8),'Council Entry'!T109)),IF(AND(ISNUMBER('Council Entry'!T$8),ISNUMBER('Council Entry'!T$9)),MAX(MIN('Council Entry'!T109,'Council Entry'!T$9),'Council Entry'!T$8),'Council Entry'!T109))))-'Council Entry'!T$5)/('Council Entry'!T$6-'Council Entry'!T$5)),1))),"No data"))</f>
        <v/>
      </c>
      <c r="U109" s="13">
        <f>IF('Council Entry'!U109="","",IFERROR(MAX(0,MIN(10,ROUND(IF('Council Entry'!U$7="Decrease Risk",10-10*((IF('Council Entry'!U$4="Logarithm",LN(0.001+IF(AND(ISNUMBER('Council Entry'!U$8),ISNUMBER('Council Entry'!U$9)),MAX(MIN('Council Entry'!U109,'Council Entry'!U$9),'Council Entry'!U$8),'Council Entry'!U109)),IF('Council Entry'!U$4="Exponential",EXP(IF(AND(ISNUMBER('Council Entry'!U$8),ISNUMBER('Council Entry'!U$9)),MAX(MIN('Council Entry'!U109,'Council Entry'!U$9),'Council Entry'!U$8),'Council Entry'!U109)),IF(AND(ISNUMBER('Council Entry'!U$8),ISNUMBER('Council Entry'!U$9)),MAX(MIN('Council Entry'!U109,'Council Entry'!U$9),'Council Entry'!U$8),'Council Entry'!U109))))-'Council Entry'!U$5)/('Council Entry'!U$6-'Council Entry'!U$5),10*((IF('Council Entry'!U$4="Logarithm",LN(0.001+IF(AND(ISNUMBER('Council Entry'!U$8),ISNUMBER('Council Entry'!U$9)),MAX(MIN('Council Entry'!U109,'Council Entry'!U$9),'Council Entry'!U$8),'Council Entry'!U109)),IF('Council Entry'!U$4="Exponential",EXP(IF(AND(ISNUMBER('Council Entry'!U$8),ISNUMBER('Council Entry'!U$9)),MAX(MIN('Council Entry'!U109,'Council Entry'!U$9),'Council Entry'!U$8),'Council Entry'!U109)),IF(AND(ISNUMBER('Council Entry'!U$8),ISNUMBER('Council Entry'!U$9)),MAX(MIN('Council Entry'!U109,'Council Entry'!U$9),'Council Entry'!U$8),'Council Entry'!U109))))-'Council Entry'!U$5)/('Council Entry'!U$6-'Council Entry'!U$5)),1))),"No data"))</f>
        <v/>
      </c>
      <c r="V109" s="13">
        <f>IF('Council Entry'!V109="","",IFERROR(MAX(0,MIN(10,ROUND(IF('Council Entry'!V$7="Decrease Risk",10-10*((IF('Council Entry'!V$4="Logarithm",LN(0.001+IF(AND(ISNUMBER('Council Entry'!V$8),ISNUMBER('Council Entry'!V$9)),MAX(MIN('Council Entry'!V109,'Council Entry'!V$9),'Council Entry'!V$8),'Council Entry'!V109)),IF('Council Entry'!V$4="Exponential",EXP(IF(AND(ISNUMBER('Council Entry'!V$8),ISNUMBER('Council Entry'!V$9)),MAX(MIN('Council Entry'!V109,'Council Entry'!V$9),'Council Entry'!V$8),'Council Entry'!V109)),IF(AND(ISNUMBER('Council Entry'!V$8),ISNUMBER('Council Entry'!V$9)),MAX(MIN('Council Entry'!V109,'Council Entry'!V$9),'Council Entry'!V$8),'Council Entry'!V109))))-'Council Entry'!V$5)/('Council Entry'!V$6-'Council Entry'!V$5),10*((IF('Council Entry'!V$4="Logarithm",LN(0.001+IF(AND(ISNUMBER('Council Entry'!V$8),ISNUMBER('Council Entry'!V$9)),MAX(MIN('Council Entry'!V109,'Council Entry'!V$9),'Council Entry'!V$8),'Council Entry'!V109)),IF('Council Entry'!V$4="Exponential",EXP(IF(AND(ISNUMBER('Council Entry'!V$8),ISNUMBER('Council Entry'!V$9)),MAX(MIN('Council Entry'!V109,'Council Entry'!V$9),'Council Entry'!V$8),'Council Entry'!V109)),IF(AND(ISNUMBER('Council Entry'!V$8),ISNUMBER('Council Entry'!V$9)),MAX(MIN('Council Entry'!V109,'Council Entry'!V$9),'Council Entry'!V$8),'Council Entry'!V109))))-'Council Entry'!V$5)/('Council Entry'!V$6-'Council Entry'!V$5)),1))),"No data"))</f>
        <v/>
      </c>
      <c r="W109" s="13">
        <f>IF('Council Entry'!W109="","",IFERROR(MAX(0,MIN(10,ROUND(IF('Council Entry'!W$7="Decrease Risk",10-10*((IF('Council Entry'!W$4="Logarithm",LN(0.001+IF(AND(ISNUMBER('Council Entry'!W$8),ISNUMBER('Council Entry'!W$9)),MAX(MIN('Council Entry'!W109,'Council Entry'!W$9),'Council Entry'!W$8),'Council Entry'!W109)),IF('Council Entry'!W$4="Exponential",EXP(IF(AND(ISNUMBER('Council Entry'!W$8),ISNUMBER('Council Entry'!W$9)),MAX(MIN('Council Entry'!W109,'Council Entry'!W$9),'Council Entry'!W$8),'Council Entry'!W109)),IF(AND(ISNUMBER('Council Entry'!W$8),ISNUMBER('Council Entry'!W$9)),MAX(MIN('Council Entry'!W109,'Council Entry'!W$9),'Council Entry'!W$8),'Council Entry'!W109))))-'Council Entry'!W$5)/('Council Entry'!W$6-'Council Entry'!W$5),10*((IF('Council Entry'!W$4="Logarithm",LN(0.001+IF(AND(ISNUMBER('Council Entry'!W$8),ISNUMBER('Council Entry'!W$9)),MAX(MIN('Council Entry'!W109,'Council Entry'!W$9),'Council Entry'!W$8),'Council Entry'!W109)),IF('Council Entry'!W$4="Exponential",EXP(IF(AND(ISNUMBER('Council Entry'!W$8),ISNUMBER('Council Entry'!W$9)),MAX(MIN('Council Entry'!W109,'Council Entry'!W$9),'Council Entry'!W$8),'Council Entry'!W109)),IF(AND(ISNUMBER('Council Entry'!W$8),ISNUMBER('Council Entry'!W$9)),MAX(MIN('Council Entry'!W109,'Council Entry'!W$9),'Council Entry'!W$8),'Council Entry'!W109))))-'Council Entry'!W$5)/('Council Entry'!W$6-'Council Entry'!W$5)),1))),"No data"))</f>
        <v/>
      </c>
      <c r="X109" s="13">
        <f>IF('Council Entry'!X109="","",IFERROR(MAX(0,MIN(10,ROUND(IF('Council Entry'!X$7="Decrease Risk",10-10*((IF('Council Entry'!X$4="Logarithm",LN(0.001+IF(AND(ISNUMBER('Council Entry'!X$8),ISNUMBER('Council Entry'!X$9)),MAX(MIN('Council Entry'!X109,'Council Entry'!X$9),'Council Entry'!X$8),'Council Entry'!X109)),IF('Council Entry'!X$4="Exponential",EXP(IF(AND(ISNUMBER('Council Entry'!X$8),ISNUMBER('Council Entry'!X$9)),MAX(MIN('Council Entry'!X109,'Council Entry'!X$9),'Council Entry'!X$8),'Council Entry'!X109)),IF(AND(ISNUMBER('Council Entry'!X$8),ISNUMBER('Council Entry'!X$9)),MAX(MIN('Council Entry'!X109,'Council Entry'!X$9),'Council Entry'!X$8),'Council Entry'!X109))))-'Council Entry'!X$5)/('Council Entry'!X$6-'Council Entry'!X$5),10*((IF('Council Entry'!X$4="Logarithm",LN(0.001+IF(AND(ISNUMBER('Council Entry'!X$8),ISNUMBER('Council Entry'!X$9)),MAX(MIN('Council Entry'!X109,'Council Entry'!X$9),'Council Entry'!X$8),'Council Entry'!X109)),IF('Council Entry'!X$4="Exponential",EXP(IF(AND(ISNUMBER('Council Entry'!X$8),ISNUMBER('Council Entry'!X$9)),MAX(MIN('Council Entry'!X109,'Council Entry'!X$9),'Council Entry'!X$8),'Council Entry'!X109)),IF(AND(ISNUMBER('Council Entry'!X$8),ISNUMBER('Council Entry'!X$9)),MAX(MIN('Council Entry'!X109,'Council Entry'!X$9),'Council Entry'!X$8),'Council Entry'!X109))))-'Council Entry'!X$5)/('Council Entry'!X$6-'Council Entry'!X$5)),1))),"No data"))</f>
        <v/>
      </c>
      <c r="Y109" s="13">
        <f>IF('Council Entry'!Y109="","",IFERROR(MAX(0,MIN(10,ROUND(IF('Council Entry'!Y$7="Decrease Risk",10-10*((IF('Council Entry'!Y$4="Logarithm",LN(0.001+IF(AND(ISNUMBER('Council Entry'!Y$8),ISNUMBER('Council Entry'!Y$9)),MAX(MIN('Council Entry'!Y109,'Council Entry'!Y$9),'Council Entry'!Y$8),'Council Entry'!Y109)),IF('Council Entry'!Y$4="Exponential",EXP(IF(AND(ISNUMBER('Council Entry'!Y$8),ISNUMBER('Council Entry'!Y$9)),MAX(MIN('Council Entry'!Y109,'Council Entry'!Y$9),'Council Entry'!Y$8),'Council Entry'!Y109)),IF(AND(ISNUMBER('Council Entry'!Y$8),ISNUMBER('Council Entry'!Y$9)),MAX(MIN('Council Entry'!Y109,'Council Entry'!Y$9),'Council Entry'!Y$8),'Council Entry'!Y109))))-'Council Entry'!Y$5)/('Council Entry'!Y$6-'Council Entry'!Y$5),10*((IF('Council Entry'!Y$4="Logarithm",LN(0.001+IF(AND(ISNUMBER('Council Entry'!Y$8),ISNUMBER('Council Entry'!Y$9)),MAX(MIN('Council Entry'!Y109,'Council Entry'!Y$9),'Council Entry'!Y$8),'Council Entry'!Y109)),IF('Council Entry'!Y$4="Exponential",EXP(IF(AND(ISNUMBER('Council Entry'!Y$8),ISNUMBER('Council Entry'!Y$9)),MAX(MIN('Council Entry'!Y109,'Council Entry'!Y$9),'Council Entry'!Y$8),'Council Entry'!Y109)),IF(AND(ISNUMBER('Council Entry'!Y$8),ISNUMBER('Council Entry'!Y$9)),MAX(MIN('Council Entry'!Y109,'Council Entry'!Y$9),'Council Entry'!Y$8),'Council Entry'!Y109))))-'Council Entry'!Y$5)/('Council Entry'!Y$6-'Council Entry'!Y$5)),1))),"No data"))</f>
        <v/>
      </c>
      <c r="Z109" s="13">
        <f>IF('Council Entry'!Z109="","",IFERROR(MAX(0,MIN(10,ROUND(IF('Council Entry'!Z$7="Decrease Risk",10-10*((IF('Council Entry'!Z$4="Logarithm",LN(0.001+IF(AND(ISNUMBER('Council Entry'!Z$8),ISNUMBER('Council Entry'!Z$9)),MAX(MIN('Council Entry'!Z109,'Council Entry'!Z$9),'Council Entry'!Z$8),'Council Entry'!Z109)),IF('Council Entry'!Z$4="Exponential",EXP(IF(AND(ISNUMBER('Council Entry'!Z$8),ISNUMBER('Council Entry'!Z$9)),MAX(MIN('Council Entry'!Z109,'Council Entry'!Z$9),'Council Entry'!Z$8),'Council Entry'!Z109)),IF(AND(ISNUMBER('Council Entry'!Z$8),ISNUMBER('Council Entry'!Z$9)),MAX(MIN('Council Entry'!Z109,'Council Entry'!Z$9),'Council Entry'!Z$8),'Council Entry'!Z109))))-'Council Entry'!Z$5)/('Council Entry'!Z$6-'Council Entry'!Z$5),10*((IF('Council Entry'!Z$4="Logarithm",LN(0.001+IF(AND(ISNUMBER('Council Entry'!Z$8),ISNUMBER('Council Entry'!Z$9)),MAX(MIN('Council Entry'!Z109,'Council Entry'!Z$9),'Council Entry'!Z$8),'Council Entry'!Z109)),IF('Council Entry'!Z$4="Exponential",EXP(IF(AND(ISNUMBER('Council Entry'!Z$8),ISNUMBER('Council Entry'!Z$9)),MAX(MIN('Council Entry'!Z109,'Council Entry'!Z$9),'Council Entry'!Z$8),'Council Entry'!Z109)),IF(AND(ISNUMBER('Council Entry'!Z$8),ISNUMBER('Council Entry'!Z$9)),MAX(MIN('Council Entry'!Z109,'Council Entry'!Z$9),'Council Entry'!Z$8),'Council Entry'!Z109))))-'Council Entry'!Z$5)/('Council Entry'!Z$6-'Council Entry'!Z$5)),1))),"No data"))</f>
        <v/>
      </c>
      <c r="AA109" s="13">
        <f>IF('Council Entry'!AA109="","",IFERROR(MAX(0,MIN(10,ROUND(IF('Council Entry'!AA$7="Decrease Risk",10-10*((IF('Council Entry'!AA$4="Logarithm",LN(0.001+IF(AND(ISNUMBER('Council Entry'!AA$8),ISNUMBER('Council Entry'!AA$9)),MAX(MIN('Council Entry'!AA109,'Council Entry'!AA$9),'Council Entry'!AA$8),'Council Entry'!AA109)),IF('Council Entry'!AA$4="Exponential",EXP(IF(AND(ISNUMBER('Council Entry'!AA$8),ISNUMBER('Council Entry'!AA$9)),MAX(MIN('Council Entry'!AA109,'Council Entry'!AA$9),'Council Entry'!AA$8),'Council Entry'!AA109)),IF(AND(ISNUMBER('Council Entry'!AA$8),ISNUMBER('Council Entry'!AA$9)),MAX(MIN('Council Entry'!AA109,'Council Entry'!AA$9),'Council Entry'!AA$8),'Council Entry'!AA109))))-'Council Entry'!AA$5)/('Council Entry'!AA$6-'Council Entry'!AA$5),10*((IF('Council Entry'!AA$4="Logarithm",LN(0.001+IF(AND(ISNUMBER('Council Entry'!AA$8),ISNUMBER('Council Entry'!AA$9)),MAX(MIN('Council Entry'!AA109,'Council Entry'!AA$9),'Council Entry'!AA$8),'Council Entry'!AA109)),IF('Council Entry'!AA$4="Exponential",EXP(IF(AND(ISNUMBER('Council Entry'!AA$8),ISNUMBER('Council Entry'!AA$9)),MAX(MIN('Council Entry'!AA109,'Council Entry'!AA$9),'Council Entry'!AA$8),'Council Entry'!AA109)),IF(AND(ISNUMBER('Council Entry'!AA$8),ISNUMBER('Council Entry'!AA$9)),MAX(MIN('Council Entry'!AA109,'Council Entry'!AA$9),'Council Entry'!AA$8),'Council Entry'!AA109))))-'Council Entry'!AA$5)/('Council Entry'!AA$6-'Council Entry'!AA$5)),1))),"No data"))</f>
        <v/>
      </c>
      <c r="AB109" s="13">
        <f>IF('Council Entry'!AB109="","",IFERROR(MAX(0,MIN(10,ROUND(IF('Council Entry'!AB$7="Decrease Risk",10-10*((IF('Council Entry'!AB$4="Logarithm",LN(0.001+IF(AND(ISNUMBER('Council Entry'!AB$8),ISNUMBER('Council Entry'!AB$9)),MAX(MIN('Council Entry'!AB109,'Council Entry'!AB$9),'Council Entry'!AB$8),'Council Entry'!AB109)),IF('Council Entry'!AB$4="Exponential",EXP(IF(AND(ISNUMBER('Council Entry'!AB$8),ISNUMBER('Council Entry'!AB$9)),MAX(MIN('Council Entry'!AB109,'Council Entry'!AB$9),'Council Entry'!AB$8),'Council Entry'!AB109)),IF(AND(ISNUMBER('Council Entry'!AB$8),ISNUMBER('Council Entry'!AB$9)),MAX(MIN('Council Entry'!AB109,'Council Entry'!AB$9),'Council Entry'!AB$8),'Council Entry'!AB109))))-'Council Entry'!AB$5)/('Council Entry'!AB$6-'Council Entry'!AB$5),10*((IF('Council Entry'!AB$4="Logarithm",LN(0.001+IF(AND(ISNUMBER('Council Entry'!AB$8),ISNUMBER('Council Entry'!AB$9)),MAX(MIN('Council Entry'!AB109,'Council Entry'!AB$9),'Council Entry'!AB$8),'Council Entry'!AB109)),IF('Council Entry'!AB$4="Exponential",EXP(IF(AND(ISNUMBER('Council Entry'!AB$8),ISNUMBER('Council Entry'!AB$9)),MAX(MIN('Council Entry'!AB109,'Council Entry'!AB$9),'Council Entry'!AB$8),'Council Entry'!AB109)),IF(AND(ISNUMBER('Council Entry'!AB$8),ISNUMBER('Council Entry'!AB$9)),MAX(MIN('Council Entry'!AB109,'Council Entry'!AB$9),'Council Entry'!AB$8),'Council Entry'!AB109))))-'Council Entry'!AB$5)/('Council Entry'!AB$6-'Council Entry'!AB$5)),1))),"No data"))</f>
        <v/>
      </c>
      <c r="AC109" s="13">
        <f>IF('Council Entry'!AC109="","",IFERROR(MAX(0,MIN(10,ROUND(IF('Council Entry'!AC$7="Decrease Risk",10-10*((IF('Council Entry'!AC$4="Logarithm",LN(0.001+IF(AND(ISNUMBER('Council Entry'!AC$8),ISNUMBER('Council Entry'!AC$9)),MAX(MIN('Council Entry'!AC109,'Council Entry'!AC$9),'Council Entry'!AC$8),'Council Entry'!AC109)),IF('Council Entry'!AC$4="Exponential",EXP(IF(AND(ISNUMBER('Council Entry'!AC$8),ISNUMBER('Council Entry'!AC$9)),MAX(MIN('Council Entry'!AC109,'Council Entry'!AC$9),'Council Entry'!AC$8),'Council Entry'!AC109)),IF(AND(ISNUMBER('Council Entry'!AC$8),ISNUMBER('Council Entry'!AC$9)),MAX(MIN('Council Entry'!AC109,'Council Entry'!AC$9),'Council Entry'!AC$8),'Council Entry'!AC109))))-'Council Entry'!AC$5)/('Council Entry'!AC$6-'Council Entry'!AC$5),10*((IF('Council Entry'!AC$4="Logarithm",LN(0.001+IF(AND(ISNUMBER('Council Entry'!AC$8),ISNUMBER('Council Entry'!AC$9)),MAX(MIN('Council Entry'!AC109,'Council Entry'!AC$9),'Council Entry'!AC$8),'Council Entry'!AC109)),IF('Council Entry'!AC$4="Exponential",EXP(IF(AND(ISNUMBER('Council Entry'!AC$8),ISNUMBER('Council Entry'!AC$9)),MAX(MIN('Council Entry'!AC109,'Council Entry'!AC$9),'Council Entry'!AC$8),'Council Entry'!AC109)),IF(AND(ISNUMBER('Council Entry'!AC$8),ISNUMBER('Council Entry'!AC$9)),MAX(MIN('Council Entry'!AC109,'Council Entry'!AC$9),'Council Entry'!AC$8),'Council Entry'!AC109))))-'Council Entry'!AC$5)/('Council Entry'!AC$6-'Council Entry'!AC$5)),1))),"No data"))</f>
        <v/>
      </c>
      <c r="AD109" s="13">
        <f>IF('Council Entry'!AD109="","",IFERROR(MAX(0,MIN(10,ROUND(IF('Council Entry'!AD$7="Decrease Risk",10-10*((IF('Council Entry'!AD$4="Logarithm",LN(0.001+IF(AND(ISNUMBER('Council Entry'!AD$8),ISNUMBER('Council Entry'!AD$9)),MAX(MIN('Council Entry'!AD109,'Council Entry'!AD$9),'Council Entry'!AD$8),'Council Entry'!AD109)),IF('Council Entry'!AD$4="Exponential",EXP(IF(AND(ISNUMBER('Council Entry'!AD$8),ISNUMBER('Council Entry'!AD$9)),MAX(MIN('Council Entry'!AD109,'Council Entry'!AD$9),'Council Entry'!AD$8),'Council Entry'!AD109)),IF(AND(ISNUMBER('Council Entry'!AD$8),ISNUMBER('Council Entry'!AD$9)),MAX(MIN('Council Entry'!AD109,'Council Entry'!AD$9),'Council Entry'!AD$8),'Council Entry'!AD109))))-'Council Entry'!AD$5)/('Council Entry'!AD$6-'Council Entry'!AD$5),10*((IF('Council Entry'!AD$4="Logarithm",LN(0.001+IF(AND(ISNUMBER('Council Entry'!AD$8),ISNUMBER('Council Entry'!AD$9)),MAX(MIN('Council Entry'!AD109,'Council Entry'!AD$9),'Council Entry'!AD$8),'Council Entry'!AD109)),IF('Council Entry'!AD$4="Exponential",EXP(IF(AND(ISNUMBER('Council Entry'!AD$8),ISNUMBER('Council Entry'!AD$9)),MAX(MIN('Council Entry'!AD109,'Council Entry'!AD$9),'Council Entry'!AD$8),'Council Entry'!AD109)),IF(AND(ISNUMBER('Council Entry'!AD$8),ISNUMBER('Council Entry'!AD$9)),MAX(MIN('Council Entry'!AD109,'Council Entry'!AD$9),'Council Entry'!AD$8),'Council Entry'!AD109))))-'Council Entry'!AD$5)/('Council Entry'!AD$6-'Council Entry'!AD$5)),1))),"No data"))</f>
        <v/>
      </c>
      <c r="AE109" s="13">
        <f>IF('Council Entry'!AE109="","",IFERROR(MAX(0,MIN(10,ROUND(IF('Council Entry'!AE$7="Decrease Risk",10-10*((IF('Council Entry'!AE$4="Logarithm",LN(0.001+IF(AND(ISNUMBER('Council Entry'!AE$8),ISNUMBER('Council Entry'!AE$9)),MAX(MIN('Council Entry'!AE109,'Council Entry'!AE$9),'Council Entry'!AE$8),'Council Entry'!AE109)),IF('Council Entry'!AE$4="Exponential",EXP(IF(AND(ISNUMBER('Council Entry'!AE$8),ISNUMBER('Council Entry'!AE$9)),MAX(MIN('Council Entry'!AE109,'Council Entry'!AE$9),'Council Entry'!AE$8),'Council Entry'!AE109)),IF(AND(ISNUMBER('Council Entry'!AE$8),ISNUMBER('Council Entry'!AE$9)),MAX(MIN('Council Entry'!AE109,'Council Entry'!AE$9),'Council Entry'!AE$8),'Council Entry'!AE109))))-'Council Entry'!AE$5)/('Council Entry'!AE$6-'Council Entry'!AE$5),10*((IF('Council Entry'!AE$4="Logarithm",LN(0.001+IF(AND(ISNUMBER('Council Entry'!AE$8),ISNUMBER('Council Entry'!AE$9)),MAX(MIN('Council Entry'!AE109,'Council Entry'!AE$9),'Council Entry'!AE$8),'Council Entry'!AE109)),IF('Council Entry'!AE$4="Exponential",EXP(IF(AND(ISNUMBER('Council Entry'!AE$8),ISNUMBER('Council Entry'!AE$9)),MAX(MIN('Council Entry'!AE109,'Council Entry'!AE$9),'Council Entry'!AE$8),'Council Entry'!AE109)),IF(AND(ISNUMBER('Council Entry'!AE$8),ISNUMBER('Council Entry'!AE$9)),MAX(MIN('Council Entry'!AE109,'Council Entry'!AE$9),'Council Entry'!AE$8),'Council Entry'!AE109))))-'Council Entry'!AE$5)/('Council Entry'!AE$6-'Council Entry'!AE$5)),1))),"No data"))</f>
        <v/>
      </c>
      <c r="AF109" s="13">
        <f>IF('Council Entry'!AF109="","",IFERROR(MAX(0,MIN(10,ROUND(IF('Council Entry'!AF$7="Decrease Risk",10-10*((IF('Council Entry'!AF$4="Logarithm",LN(0.001+IF(AND(ISNUMBER('Council Entry'!AF$8),ISNUMBER('Council Entry'!AF$9)),MAX(MIN('Council Entry'!AF109,'Council Entry'!AF$9),'Council Entry'!AF$8),'Council Entry'!AF109)),IF('Council Entry'!AF$4="Exponential",EXP(IF(AND(ISNUMBER('Council Entry'!AF$8),ISNUMBER('Council Entry'!AF$9)),MAX(MIN('Council Entry'!AF109,'Council Entry'!AF$9),'Council Entry'!AF$8),'Council Entry'!AF109)),IF(AND(ISNUMBER('Council Entry'!AF$8),ISNUMBER('Council Entry'!AF$9)),MAX(MIN('Council Entry'!AF109,'Council Entry'!AF$9),'Council Entry'!AF$8),'Council Entry'!AF109))))-'Council Entry'!AF$5)/('Council Entry'!AF$6-'Council Entry'!AF$5),10*((IF('Council Entry'!AF$4="Logarithm",LN(0.001+IF(AND(ISNUMBER('Council Entry'!AF$8),ISNUMBER('Council Entry'!AF$9)),MAX(MIN('Council Entry'!AF109,'Council Entry'!AF$9),'Council Entry'!AF$8),'Council Entry'!AF109)),IF('Council Entry'!AF$4="Exponential",EXP(IF(AND(ISNUMBER('Council Entry'!AF$8),ISNUMBER('Council Entry'!AF$9)),MAX(MIN('Council Entry'!AF109,'Council Entry'!AF$9),'Council Entry'!AF$8),'Council Entry'!AF109)),IF(AND(ISNUMBER('Council Entry'!AF$8),ISNUMBER('Council Entry'!AF$9)),MAX(MIN('Council Entry'!AF109,'Council Entry'!AF$9),'Council Entry'!AF$8),'Council Entry'!AF109))))-'Council Entry'!AF$5)/('Council Entry'!AF$6-'Council Entry'!AF$5)),1))),"No data"))</f>
        <v/>
      </c>
      <c r="AG109" s="13">
        <f>IF('Council Entry'!AG109="","",IFERROR(MAX(0,MIN(10,ROUND(IF('Council Entry'!AG$7="Decrease Risk",10-10*((IF('Council Entry'!AG$4="Logarithm",LN(0.001+IF(AND(ISNUMBER('Council Entry'!AG$8),ISNUMBER('Council Entry'!AG$9)),MAX(MIN('Council Entry'!AG109,'Council Entry'!AG$9),'Council Entry'!AG$8),'Council Entry'!AG109)),IF('Council Entry'!AG$4="Exponential",EXP(IF(AND(ISNUMBER('Council Entry'!AG$8),ISNUMBER('Council Entry'!AG$9)),MAX(MIN('Council Entry'!AG109,'Council Entry'!AG$9),'Council Entry'!AG$8),'Council Entry'!AG109)),IF(AND(ISNUMBER('Council Entry'!AG$8),ISNUMBER('Council Entry'!AG$9)),MAX(MIN('Council Entry'!AG109,'Council Entry'!AG$9),'Council Entry'!AG$8),'Council Entry'!AG109))))-'Council Entry'!AG$5)/('Council Entry'!AG$6-'Council Entry'!AG$5),10*((IF('Council Entry'!AG$4="Logarithm",LN(0.001+IF(AND(ISNUMBER('Council Entry'!AG$8),ISNUMBER('Council Entry'!AG$9)),MAX(MIN('Council Entry'!AG109,'Council Entry'!AG$9),'Council Entry'!AG$8),'Council Entry'!AG109)),IF('Council Entry'!AG$4="Exponential",EXP(IF(AND(ISNUMBER('Council Entry'!AG$8),ISNUMBER('Council Entry'!AG$9)),MAX(MIN('Council Entry'!AG109,'Council Entry'!AG$9),'Council Entry'!AG$8),'Council Entry'!AG109)),IF(AND(ISNUMBER('Council Entry'!AG$8),ISNUMBER('Council Entry'!AG$9)),MAX(MIN('Council Entry'!AG109,'Council Entry'!AG$9),'Council Entry'!AG$8),'Council Entry'!AG109))))-'Council Entry'!AG$5)/('Council Entry'!AG$6-'Council Entry'!AG$5)),1))),"No data"))</f>
        <v/>
      </c>
      <c r="AH109" s="13">
        <f>IF('Council Entry'!AH109="","",IFERROR(MAX(0,MIN(10,ROUND(IF('Council Entry'!AH$7="Decrease Risk",10-10*((IF('Council Entry'!AH$4="Logarithm",LN(0.001+IF(AND(ISNUMBER('Council Entry'!AH$8),ISNUMBER('Council Entry'!AH$9)),MAX(MIN('Council Entry'!AH109,'Council Entry'!AH$9),'Council Entry'!AH$8),'Council Entry'!AH109)),IF('Council Entry'!AH$4="Exponential",EXP(IF(AND(ISNUMBER('Council Entry'!AH$8),ISNUMBER('Council Entry'!AH$9)),MAX(MIN('Council Entry'!AH109,'Council Entry'!AH$9),'Council Entry'!AH$8),'Council Entry'!AH109)),IF(AND(ISNUMBER('Council Entry'!AH$8),ISNUMBER('Council Entry'!AH$9)),MAX(MIN('Council Entry'!AH109,'Council Entry'!AH$9),'Council Entry'!AH$8),'Council Entry'!AH109))))-'Council Entry'!AH$5)/('Council Entry'!AH$6-'Council Entry'!AH$5),10*((IF('Council Entry'!AH$4="Logarithm",LN(0.001+IF(AND(ISNUMBER('Council Entry'!AH$8),ISNUMBER('Council Entry'!AH$9)),MAX(MIN('Council Entry'!AH109,'Council Entry'!AH$9),'Council Entry'!AH$8),'Council Entry'!AH109)),IF('Council Entry'!AH$4="Exponential",EXP(IF(AND(ISNUMBER('Council Entry'!AH$8),ISNUMBER('Council Entry'!AH$9)),MAX(MIN('Council Entry'!AH109,'Council Entry'!AH$9),'Council Entry'!AH$8),'Council Entry'!AH109)),IF(AND(ISNUMBER('Council Entry'!AH$8),ISNUMBER('Council Entry'!AH$9)),MAX(MIN('Council Entry'!AH109,'Council Entry'!AH$9),'Council Entry'!AH$8),'Council Entry'!AH109))))-'Council Entry'!AH$5)/('Council Entry'!AH$6-'Council Entry'!AH$5)),1))),"No data"))</f>
        <v/>
      </c>
      <c r="AI109" s="13">
        <f>IF('Council Entry'!AI109="","",IFERROR(MAX(0,MIN(10,ROUND(IF('Council Entry'!AI$7="Decrease Risk",10-10*((IF('Council Entry'!AI$4="Logarithm",LN(0.001+IF(AND(ISNUMBER('Council Entry'!AI$8),ISNUMBER('Council Entry'!AI$9)),MAX(MIN('Council Entry'!AI109,'Council Entry'!AI$9),'Council Entry'!AI$8),'Council Entry'!AI109)),IF('Council Entry'!AI$4="Exponential",EXP(IF(AND(ISNUMBER('Council Entry'!AI$8),ISNUMBER('Council Entry'!AI$9)),MAX(MIN('Council Entry'!AI109,'Council Entry'!AI$9),'Council Entry'!AI$8),'Council Entry'!AI109)),IF(AND(ISNUMBER('Council Entry'!AI$8),ISNUMBER('Council Entry'!AI$9)),MAX(MIN('Council Entry'!AI109,'Council Entry'!AI$9),'Council Entry'!AI$8),'Council Entry'!AI109))))-'Council Entry'!AI$5)/('Council Entry'!AI$6-'Council Entry'!AI$5),10*((IF('Council Entry'!AI$4="Logarithm",LN(0.001+IF(AND(ISNUMBER('Council Entry'!AI$8),ISNUMBER('Council Entry'!AI$9)),MAX(MIN('Council Entry'!AI109,'Council Entry'!AI$9),'Council Entry'!AI$8),'Council Entry'!AI109)),IF('Council Entry'!AI$4="Exponential",EXP(IF(AND(ISNUMBER('Council Entry'!AI$8),ISNUMBER('Council Entry'!AI$9)),MAX(MIN('Council Entry'!AI109,'Council Entry'!AI$9),'Council Entry'!AI$8),'Council Entry'!AI109)),IF(AND(ISNUMBER('Council Entry'!AI$8),ISNUMBER('Council Entry'!AI$9)),MAX(MIN('Council Entry'!AI109,'Council Entry'!AI$9),'Council Entry'!AI$8),'Council Entry'!AI109))))-'Council Entry'!AI$5)/('Council Entry'!AI$6-'Council Entry'!AI$5)),1))),"No data"))</f>
        <v/>
      </c>
      <c r="AJ109" s="13">
        <f>IF('Council Entry'!AJ109="","",IFERROR(MAX(0,MIN(10,ROUND(IF('Council Entry'!AJ$7="Decrease Risk",10-10*((IF('Council Entry'!AJ$4="Logarithm",LN(0.001+IF(AND(ISNUMBER('Council Entry'!AJ$8),ISNUMBER('Council Entry'!AJ$9)),MAX(MIN('Council Entry'!AJ109,'Council Entry'!AJ$9),'Council Entry'!AJ$8),'Council Entry'!AJ109)),IF('Council Entry'!AJ$4="Exponential",EXP(IF(AND(ISNUMBER('Council Entry'!AJ$8),ISNUMBER('Council Entry'!AJ$9)),MAX(MIN('Council Entry'!AJ109,'Council Entry'!AJ$9),'Council Entry'!AJ$8),'Council Entry'!AJ109)),IF(AND(ISNUMBER('Council Entry'!AJ$8),ISNUMBER('Council Entry'!AJ$9)),MAX(MIN('Council Entry'!AJ109,'Council Entry'!AJ$9),'Council Entry'!AJ$8),'Council Entry'!AJ109))))-'Council Entry'!AJ$5)/('Council Entry'!AJ$6-'Council Entry'!AJ$5),10*((IF('Council Entry'!AJ$4="Logarithm",LN(0.001+IF(AND(ISNUMBER('Council Entry'!AJ$8),ISNUMBER('Council Entry'!AJ$9)),MAX(MIN('Council Entry'!AJ109,'Council Entry'!AJ$9),'Council Entry'!AJ$8),'Council Entry'!AJ109)),IF('Council Entry'!AJ$4="Exponential",EXP(IF(AND(ISNUMBER('Council Entry'!AJ$8),ISNUMBER('Council Entry'!AJ$9)),MAX(MIN('Council Entry'!AJ109,'Council Entry'!AJ$9),'Council Entry'!AJ$8),'Council Entry'!AJ109)),IF(AND(ISNUMBER('Council Entry'!AJ$8),ISNUMBER('Council Entry'!AJ$9)),MAX(MIN('Council Entry'!AJ109,'Council Entry'!AJ$9),'Council Entry'!AJ$8),'Council Entry'!AJ109))))-'Council Entry'!AJ$5)/('Council Entry'!AJ$6-'Council Entry'!AJ$5)),1))),"No data"))</f>
        <v/>
      </c>
      <c r="AK109" s="13">
        <f>IF('Council Entry'!AK109="","",IFERROR(MAX(0,MIN(10,ROUND(IF('Council Entry'!AK$7="Decrease Risk",10-10*((IF('Council Entry'!AK$4="Logarithm",LN(0.001+IF(AND(ISNUMBER('Council Entry'!AK$8),ISNUMBER('Council Entry'!AK$9)),MAX(MIN('Council Entry'!AK109,'Council Entry'!AK$9),'Council Entry'!AK$8),'Council Entry'!AK109)),IF('Council Entry'!AK$4="Exponential",EXP(IF(AND(ISNUMBER('Council Entry'!AK$8),ISNUMBER('Council Entry'!AK$9)),MAX(MIN('Council Entry'!AK109,'Council Entry'!AK$9),'Council Entry'!AK$8),'Council Entry'!AK109)),IF(AND(ISNUMBER('Council Entry'!AK$8),ISNUMBER('Council Entry'!AK$9)),MAX(MIN('Council Entry'!AK109,'Council Entry'!AK$9),'Council Entry'!AK$8),'Council Entry'!AK109))))-'Council Entry'!AK$5)/('Council Entry'!AK$6-'Council Entry'!AK$5),10*((IF('Council Entry'!AK$4="Logarithm",LN(0.001+IF(AND(ISNUMBER('Council Entry'!AK$8),ISNUMBER('Council Entry'!AK$9)),MAX(MIN('Council Entry'!AK109,'Council Entry'!AK$9),'Council Entry'!AK$8),'Council Entry'!AK109)),IF('Council Entry'!AK$4="Exponential",EXP(IF(AND(ISNUMBER('Council Entry'!AK$8),ISNUMBER('Council Entry'!AK$9)),MAX(MIN('Council Entry'!AK109,'Council Entry'!AK$9),'Council Entry'!AK$8),'Council Entry'!AK109)),IF(AND(ISNUMBER('Council Entry'!AK$8),ISNUMBER('Council Entry'!AK$9)),MAX(MIN('Council Entry'!AK109,'Council Entry'!AK$9),'Council Entry'!AK$8),'Council Entry'!AK109))))-'Council Entry'!AK$5)/('Council Entry'!AK$6-'Council Entry'!AK$5)),1))),"No data"))</f>
        <v/>
      </c>
      <c r="AL109" s="13">
        <f>IF('Council Entry'!AL109="","",IFERROR(MAX(0,MIN(10,ROUND(IF('Council Entry'!AL$7="Decrease Risk",10-10*((IF('Council Entry'!AL$4="Logarithm",LN(0.001+IF(AND(ISNUMBER('Council Entry'!AL$8),ISNUMBER('Council Entry'!AL$9)),MAX(MIN('Council Entry'!AL109,'Council Entry'!AL$9),'Council Entry'!AL$8),'Council Entry'!AL109)),IF('Council Entry'!AL$4="Exponential",EXP(IF(AND(ISNUMBER('Council Entry'!AL$8),ISNUMBER('Council Entry'!AL$9)),MAX(MIN('Council Entry'!AL109,'Council Entry'!AL$9),'Council Entry'!AL$8),'Council Entry'!AL109)),IF(AND(ISNUMBER('Council Entry'!AL$8),ISNUMBER('Council Entry'!AL$9)),MAX(MIN('Council Entry'!AL109,'Council Entry'!AL$9),'Council Entry'!AL$8),'Council Entry'!AL109))))-'Council Entry'!AL$5)/('Council Entry'!AL$6-'Council Entry'!AL$5),10*((IF('Council Entry'!AL$4="Logarithm",LN(0.001+IF(AND(ISNUMBER('Council Entry'!AL$8),ISNUMBER('Council Entry'!AL$9)),MAX(MIN('Council Entry'!AL109,'Council Entry'!AL$9),'Council Entry'!AL$8),'Council Entry'!AL109)),IF('Council Entry'!AL$4="Exponential",EXP(IF(AND(ISNUMBER('Council Entry'!AL$8),ISNUMBER('Council Entry'!AL$9)),MAX(MIN('Council Entry'!AL109,'Council Entry'!AL$9),'Council Entry'!AL$8),'Council Entry'!AL109)),IF(AND(ISNUMBER('Council Entry'!AL$8),ISNUMBER('Council Entry'!AL$9)),MAX(MIN('Council Entry'!AL109,'Council Entry'!AL$9),'Council Entry'!AL$8),'Council Entry'!AL109))))-'Council Entry'!AL$5)/('Council Entry'!AL$6-'Council Entry'!AL$5)),1))),"No data"))</f>
        <v/>
      </c>
      <c r="AM109" s="13">
        <f>IF('Council Entry'!AM109="","",IFERROR(MAX(0,MIN(10,ROUND(IF('Council Entry'!AM$7="Decrease Risk",10-10*((IF('Council Entry'!AM$4="Logarithm",LN(0.001+IF(AND(ISNUMBER('Council Entry'!AM$8),ISNUMBER('Council Entry'!AM$9)),MAX(MIN('Council Entry'!AM109,'Council Entry'!AM$9),'Council Entry'!AM$8),'Council Entry'!AM109)),IF('Council Entry'!AM$4="Exponential",EXP(IF(AND(ISNUMBER('Council Entry'!AM$8),ISNUMBER('Council Entry'!AM$9)),MAX(MIN('Council Entry'!AM109,'Council Entry'!AM$9),'Council Entry'!AM$8),'Council Entry'!AM109)),IF(AND(ISNUMBER('Council Entry'!AM$8),ISNUMBER('Council Entry'!AM$9)),MAX(MIN('Council Entry'!AM109,'Council Entry'!AM$9),'Council Entry'!AM$8),'Council Entry'!AM109))))-'Council Entry'!AM$5)/('Council Entry'!AM$6-'Council Entry'!AM$5),10*((IF('Council Entry'!AM$4="Logarithm",LN(0.001+IF(AND(ISNUMBER('Council Entry'!AM$8),ISNUMBER('Council Entry'!AM$9)),MAX(MIN('Council Entry'!AM109,'Council Entry'!AM$9),'Council Entry'!AM$8),'Council Entry'!AM109)),IF('Council Entry'!AM$4="Exponential",EXP(IF(AND(ISNUMBER('Council Entry'!AM$8),ISNUMBER('Council Entry'!AM$9)),MAX(MIN('Council Entry'!AM109,'Council Entry'!AM$9),'Council Entry'!AM$8),'Council Entry'!AM109)),IF(AND(ISNUMBER('Council Entry'!AM$8),ISNUMBER('Council Entry'!AM$9)),MAX(MIN('Council Entry'!AM109,'Council Entry'!AM$9),'Council Entry'!AM$8),'Council Entry'!AM109))))-'Council Entry'!AM$5)/('Council Entry'!AM$6-'Council Entry'!AM$5)),1))),"No data"))</f>
        <v/>
      </c>
      <c r="AN109" s="13">
        <f>IF('Council Entry'!AN109="","",IFERROR(MAX(0,MIN(10,ROUND(IF('Council Entry'!AN$7="Decrease Risk",10-10*((IF('Council Entry'!AN$4="Logarithm",LN(0.001+IF(AND(ISNUMBER('Council Entry'!AN$8),ISNUMBER('Council Entry'!AN$9)),MAX(MIN('Council Entry'!AN109,'Council Entry'!AN$9),'Council Entry'!AN$8),'Council Entry'!AN109)),IF('Council Entry'!AN$4="Exponential",EXP(IF(AND(ISNUMBER('Council Entry'!AN$8),ISNUMBER('Council Entry'!AN$9)),MAX(MIN('Council Entry'!AN109,'Council Entry'!AN$9),'Council Entry'!AN$8),'Council Entry'!AN109)),IF(AND(ISNUMBER('Council Entry'!AN$8),ISNUMBER('Council Entry'!AN$9)),MAX(MIN('Council Entry'!AN109,'Council Entry'!AN$9),'Council Entry'!AN$8),'Council Entry'!AN109))))-'Council Entry'!AN$5)/('Council Entry'!AN$6-'Council Entry'!AN$5),10*((IF('Council Entry'!AN$4="Logarithm",LN(0.001+IF(AND(ISNUMBER('Council Entry'!AN$8),ISNUMBER('Council Entry'!AN$9)),MAX(MIN('Council Entry'!AN109,'Council Entry'!AN$9),'Council Entry'!AN$8),'Council Entry'!AN109)),IF('Council Entry'!AN$4="Exponential",EXP(IF(AND(ISNUMBER('Council Entry'!AN$8),ISNUMBER('Council Entry'!AN$9)),MAX(MIN('Council Entry'!AN109,'Council Entry'!AN$9),'Council Entry'!AN$8),'Council Entry'!AN109)),IF(AND(ISNUMBER('Council Entry'!AN$8),ISNUMBER('Council Entry'!AN$9)),MAX(MIN('Council Entry'!AN109,'Council Entry'!AN$9),'Council Entry'!AN$8),'Council Entry'!AN109))))-'Council Entry'!AN$5)/('Council Entry'!AN$6-'Council Entry'!AN$5)),1))),"No data"))</f>
        <v/>
      </c>
      <c r="AO109" s="13">
        <f>IF('Council Entry'!AO109="","",IFERROR(MAX(0,MIN(10,ROUND(IF('Council Entry'!AO$7="Decrease Risk",10-10*((IF('Council Entry'!AO$4="Logarithm",LN(0.001+IF(AND(ISNUMBER('Council Entry'!AO$8),ISNUMBER('Council Entry'!AO$9)),MAX(MIN('Council Entry'!AO109,'Council Entry'!AO$9),'Council Entry'!AO$8),'Council Entry'!AO109)),IF('Council Entry'!AO$4="Exponential",EXP(IF(AND(ISNUMBER('Council Entry'!AO$8),ISNUMBER('Council Entry'!AO$9)),MAX(MIN('Council Entry'!AO109,'Council Entry'!AO$9),'Council Entry'!AO$8),'Council Entry'!AO109)),IF(AND(ISNUMBER('Council Entry'!AO$8),ISNUMBER('Council Entry'!AO$9)),MAX(MIN('Council Entry'!AO109,'Council Entry'!AO$9),'Council Entry'!AO$8),'Council Entry'!AO109))))-'Council Entry'!AO$5)/('Council Entry'!AO$6-'Council Entry'!AO$5),10*((IF('Council Entry'!AO$4="Logarithm",LN(0.001+IF(AND(ISNUMBER('Council Entry'!AO$8),ISNUMBER('Council Entry'!AO$9)),MAX(MIN('Council Entry'!AO109,'Council Entry'!AO$9),'Council Entry'!AO$8),'Council Entry'!AO109)),IF('Council Entry'!AO$4="Exponential",EXP(IF(AND(ISNUMBER('Council Entry'!AO$8),ISNUMBER('Council Entry'!AO$9)),MAX(MIN('Council Entry'!AO109,'Council Entry'!AO$9),'Council Entry'!AO$8),'Council Entry'!AO109)),IF(AND(ISNUMBER('Council Entry'!AO$8),ISNUMBER('Council Entry'!AO$9)),MAX(MIN('Council Entry'!AO109,'Council Entry'!AO$9),'Council Entry'!AO$8),'Council Entry'!AO109))))-'Council Entry'!AO$5)/('Council Entry'!AO$6-'Council Entry'!AO$5)),1))),"No data"))</f>
        <v/>
      </c>
      <c r="AP109" s="13">
        <f>IF('Council Entry'!AP109="","",IFERROR(MAX(0,MIN(10,ROUND(IF('Council Entry'!AP$7="Decrease Risk",10-10*((IF('Council Entry'!AP$4="Logarithm",LN(0.001+IF(AND(ISNUMBER('Council Entry'!AP$8),ISNUMBER('Council Entry'!AP$9)),MAX(MIN('Council Entry'!AP109,'Council Entry'!AP$9),'Council Entry'!AP$8),'Council Entry'!AP109)),IF('Council Entry'!AP$4="Exponential",EXP(IF(AND(ISNUMBER('Council Entry'!AP$8),ISNUMBER('Council Entry'!AP$9)),MAX(MIN('Council Entry'!AP109,'Council Entry'!AP$9),'Council Entry'!AP$8),'Council Entry'!AP109)),IF(AND(ISNUMBER('Council Entry'!AP$8),ISNUMBER('Council Entry'!AP$9)),MAX(MIN('Council Entry'!AP109,'Council Entry'!AP$9),'Council Entry'!AP$8),'Council Entry'!AP109))))-'Council Entry'!AP$5)/('Council Entry'!AP$6-'Council Entry'!AP$5),10*((IF('Council Entry'!AP$4="Logarithm",LN(0.001+IF(AND(ISNUMBER('Council Entry'!AP$8),ISNUMBER('Council Entry'!AP$9)),MAX(MIN('Council Entry'!AP109,'Council Entry'!AP$9),'Council Entry'!AP$8),'Council Entry'!AP109)),IF('Council Entry'!AP$4="Exponential",EXP(IF(AND(ISNUMBER('Council Entry'!AP$8),ISNUMBER('Council Entry'!AP$9)),MAX(MIN('Council Entry'!AP109,'Council Entry'!AP$9),'Council Entry'!AP$8),'Council Entry'!AP109)),IF(AND(ISNUMBER('Council Entry'!AP$8),ISNUMBER('Council Entry'!AP$9)),MAX(MIN('Council Entry'!AP109,'Council Entry'!AP$9),'Council Entry'!AP$8),'Council Entry'!AP109))))-'Council Entry'!AP$5)/('Council Entry'!AP$6-'Council Entry'!AP$5)),1))),"No data"))</f>
        <v/>
      </c>
      <c r="AQ109" s="13">
        <f>IF('Council Entry'!AQ109="","",IFERROR(MAX(0,MIN(10,ROUND(IF('Council Entry'!AQ$7="Decrease Risk",10-10*((IF('Council Entry'!AQ$4="Logarithm",LN(0.001+IF(AND(ISNUMBER('Council Entry'!AQ$8),ISNUMBER('Council Entry'!AQ$9)),MAX(MIN('Council Entry'!AQ109,'Council Entry'!AQ$9),'Council Entry'!AQ$8),'Council Entry'!AQ109)),IF('Council Entry'!AQ$4="Exponential",EXP(IF(AND(ISNUMBER('Council Entry'!AQ$8),ISNUMBER('Council Entry'!AQ$9)),MAX(MIN('Council Entry'!AQ109,'Council Entry'!AQ$9),'Council Entry'!AQ$8),'Council Entry'!AQ109)),IF(AND(ISNUMBER('Council Entry'!AQ$8),ISNUMBER('Council Entry'!AQ$9)),MAX(MIN('Council Entry'!AQ109,'Council Entry'!AQ$9),'Council Entry'!AQ$8),'Council Entry'!AQ109))))-'Council Entry'!AQ$5)/('Council Entry'!AQ$6-'Council Entry'!AQ$5),10*((IF('Council Entry'!AQ$4="Logarithm",LN(0.001+IF(AND(ISNUMBER('Council Entry'!AQ$8),ISNUMBER('Council Entry'!AQ$9)),MAX(MIN('Council Entry'!AQ109,'Council Entry'!AQ$9),'Council Entry'!AQ$8),'Council Entry'!AQ109)),IF('Council Entry'!AQ$4="Exponential",EXP(IF(AND(ISNUMBER('Council Entry'!AQ$8),ISNUMBER('Council Entry'!AQ$9)),MAX(MIN('Council Entry'!AQ109,'Council Entry'!AQ$9),'Council Entry'!AQ$8),'Council Entry'!AQ109)),IF(AND(ISNUMBER('Council Entry'!AQ$8),ISNUMBER('Council Entry'!AQ$9)),MAX(MIN('Council Entry'!AQ109,'Council Entry'!AQ$9),'Council Entry'!AQ$8),'Council Entry'!AQ109))))-'Council Entry'!AQ$5)/('Council Entry'!AQ$6-'Council Entry'!AQ$5)),1))),"No data"))</f>
        <v/>
      </c>
      <c r="AR109" s="13">
        <f>IF('Council Entry'!AR109="","",IFERROR(MAX(0,MIN(10,ROUND(IF('Council Entry'!AR$7="Decrease Risk",10-10*((IF('Council Entry'!AR$4="Logarithm",LN(0.001+IF(AND(ISNUMBER('Council Entry'!AR$8),ISNUMBER('Council Entry'!AR$9)),MAX(MIN('Council Entry'!AR109,'Council Entry'!AR$9),'Council Entry'!AR$8),'Council Entry'!AR109)),IF('Council Entry'!AR$4="Exponential",EXP(IF(AND(ISNUMBER('Council Entry'!AR$8),ISNUMBER('Council Entry'!AR$9)),MAX(MIN('Council Entry'!AR109,'Council Entry'!AR$9),'Council Entry'!AR$8),'Council Entry'!AR109)),IF(AND(ISNUMBER('Council Entry'!AR$8),ISNUMBER('Council Entry'!AR$9)),MAX(MIN('Council Entry'!AR109,'Council Entry'!AR$9),'Council Entry'!AR$8),'Council Entry'!AR109))))-'Council Entry'!AR$5)/('Council Entry'!AR$6-'Council Entry'!AR$5),10*((IF('Council Entry'!AR$4="Logarithm",LN(0.001+IF(AND(ISNUMBER('Council Entry'!AR$8),ISNUMBER('Council Entry'!AR$9)),MAX(MIN('Council Entry'!AR109,'Council Entry'!AR$9),'Council Entry'!AR$8),'Council Entry'!AR109)),IF('Council Entry'!AR$4="Exponential",EXP(IF(AND(ISNUMBER('Council Entry'!AR$8),ISNUMBER('Council Entry'!AR$9)),MAX(MIN('Council Entry'!AR109,'Council Entry'!AR$9),'Council Entry'!AR$8),'Council Entry'!AR109)),IF(AND(ISNUMBER('Council Entry'!AR$8),ISNUMBER('Council Entry'!AR$9)),MAX(MIN('Council Entry'!AR109,'Council Entry'!AR$9),'Council Entry'!AR$8),'Council Entry'!AR109))))-'Council Entry'!AR$5)/('Council Entry'!AR$6-'Council Entry'!AR$5)),1))),"No data"))</f>
        <v/>
      </c>
      <c r="AS109" s="13">
        <f>IF('Council Entry'!AS109="","",IFERROR(MAX(0,MIN(10,ROUND(IF('Council Entry'!AS$7="Decrease Risk",10-10*((IF('Council Entry'!AS$4="Logarithm",LN(0.001+IF(AND(ISNUMBER('Council Entry'!AS$8),ISNUMBER('Council Entry'!AS$9)),MAX(MIN('Council Entry'!AS109,'Council Entry'!AS$9),'Council Entry'!AS$8),'Council Entry'!AS109)),IF('Council Entry'!AS$4="Exponential",EXP(IF(AND(ISNUMBER('Council Entry'!AS$8),ISNUMBER('Council Entry'!AS$9)),MAX(MIN('Council Entry'!AS109,'Council Entry'!AS$9),'Council Entry'!AS$8),'Council Entry'!AS109)),IF(AND(ISNUMBER('Council Entry'!AS$8),ISNUMBER('Council Entry'!AS$9)),MAX(MIN('Council Entry'!AS109,'Council Entry'!AS$9),'Council Entry'!AS$8),'Council Entry'!AS109))))-'Council Entry'!AS$5)/('Council Entry'!AS$6-'Council Entry'!AS$5),10*((IF('Council Entry'!AS$4="Logarithm",LN(0.001+IF(AND(ISNUMBER('Council Entry'!AS$8),ISNUMBER('Council Entry'!AS$9)),MAX(MIN('Council Entry'!AS109,'Council Entry'!AS$9),'Council Entry'!AS$8),'Council Entry'!AS109)),IF('Council Entry'!AS$4="Exponential",EXP(IF(AND(ISNUMBER('Council Entry'!AS$8),ISNUMBER('Council Entry'!AS$9)),MAX(MIN('Council Entry'!AS109,'Council Entry'!AS$9),'Council Entry'!AS$8),'Council Entry'!AS109)),IF(AND(ISNUMBER('Council Entry'!AS$8),ISNUMBER('Council Entry'!AS$9)),MAX(MIN('Council Entry'!AS109,'Council Entry'!AS$9),'Council Entry'!AS$8),'Council Entry'!AS109))))-'Council Entry'!AS$5)/('Council Entry'!AS$6-'Council Entry'!AS$5)),1))),"No data"))</f>
        <v/>
      </c>
      <c r="AT109" s="13">
        <f>IF('Council Entry'!AT109="","",IFERROR(MAX(0,MIN(10,ROUND(IF('Council Entry'!AT$7="Decrease Risk",10-10*((IF('Council Entry'!AT$4="Logarithm",LN(0.001+IF(AND(ISNUMBER('Council Entry'!AT$8),ISNUMBER('Council Entry'!AT$9)),MAX(MIN('Council Entry'!AT109,'Council Entry'!AT$9),'Council Entry'!AT$8),'Council Entry'!AT109)),IF('Council Entry'!AT$4="Exponential",EXP(IF(AND(ISNUMBER('Council Entry'!AT$8),ISNUMBER('Council Entry'!AT$9)),MAX(MIN('Council Entry'!AT109,'Council Entry'!AT$9),'Council Entry'!AT$8),'Council Entry'!AT109)),IF(AND(ISNUMBER('Council Entry'!AT$8),ISNUMBER('Council Entry'!AT$9)),MAX(MIN('Council Entry'!AT109,'Council Entry'!AT$9),'Council Entry'!AT$8),'Council Entry'!AT109))))-'Council Entry'!AT$5)/('Council Entry'!AT$6-'Council Entry'!AT$5),10*((IF('Council Entry'!AT$4="Logarithm",LN(0.001+IF(AND(ISNUMBER('Council Entry'!AT$8),ISNUMBER('Council Entry'!AT$9)),MAX(MIN('Council Entry'!AT109,'Council Entry'!AT$9),'Council Entry'!AT$8),'Council Entry'!AT109)),IF('Council Entry'!AT$4="Exponential",EXP(IF(AND(ISNUMBER('Council Entry'!AT$8),ISNUMBER('Council Entry'!AT$9)),MAX(MIN('Council Entry'!AT109,'Council Entry'!AT$9),'Council Entry'!AT$8),'Council Entry'!AT109)),IF(AND(ISNUMBER('Council Entry'!AT$8),ISNUMBER('Council Entry'!AT$9)),MAX(MIN('Council Entry'!AT109,'Council Entry'!AT$9),'Council Entry'!AT$8),'Council Entry'!AT109))))-'Council Entry'!AT$5)/('Council Entry'!AT$6-'Council Entry'!AT$5)),1))),"No data"))</f>
        <v/>
      </c>
      <c r="AU109" s="13">
        <f>IF('Council Entry'!AU109="","",IFERROR(MAX(0,MIN(10,ROUND(IF('Council Entry'!AU$7="Decrease Risk",10-10*((IF('Council Entry'!AU$4="Logarithm",LN(0.001+IF(AND(ISNUMBER('Council Entry'!AU$8),ISNUMBER('Council Entry'!AU$9)),MAX(MIN('Council Entry'!AU109,'Council Entry'!AU$9),'Council Entry'!AU$8),'Council Entry'!AU109)),IF('Council Entry'!AU$4="Exponential",EXP(IF(AND(ISNUMBER('Council Entry'!AU$8),ISNUMBER('Council Entry'!AU$9)),MAX(MIN('Council Entry'!AU109,'Council Entry'!AU$9),'Council Entry'!AU$8),'Council Entry'!AU109)),IF(AND(ISNUMBER('Council Entry'!AU$8),ISNUMBER('Council Entry'!AU$9)),MAX(MIN('Council Entry'!AU109,'Council Entry'!AU$9),'Council Entry'!AU$8),'Council Entry'!AU109))))-'Council Entry'!AU$5)/('Council Entry'!AU$6-'Council Entry'!AU$5),10*((IF('Council Entry'!AU$4="Logarithm",LN(0.001+IF(AND(ISNUMBER('Council Entry'!AU$8),ISNUMBER('Council Entry'!AU$9)),MAX(MIN('Council Entry'!AU109,'Council Entry'!AU$9),'Council Entry'!AU$8),'Council Entry'!AU109)),IF('Council Entry'!AU$4="Exponential",EXP(IF(AND(ISNUMBER('Council Entry'!AU$8),ISNUMBER('Council Entry'!AU$9)),MAX(MIN('Council Entry'!AU109,'Council Entry'!AU$9),'Council Entry'!AU$8),'Council Entry'!AU109)),IF(AND(ISNUMBER('Council Entry'!AU$8),ISNUMBER('Council Entry'!AU$9)),MAX(MIN('Council Entry'!AU109,'Council Entry'!AU$9),'Council Entry'!AU$8),'Council Entry'!AU109))))-'Council Entry'!AU$5)/('Council Entry'!AU$6-'Council Entry'!AU$5)),1))),"No data"))</f>
        <v/>
      </c>
      <c r="AV109" s="13">
        <f>IF('Council Entry'!AV109="","",IFERROR(MAX(0,MIN(10,ROUND(IF('Council Entry'!AV$7="Decrease Risk",10-10*((IF('Council Entry'!AV$4="Logarithm",LN(0.001+IF(AND(ISNUMBER('Council Entry'!AV$8),ISNUMBER('Council Entry'!AV$9)),MAX(MIN('Council Entry'!AV109,'Council Entry'!AV$9),'Council Entry'!AV$8),'Council Entry'!AV109)),IF('Council Entry'!AV$4="Exponential",EXP(IF(AND(ISNUMBER('Council Entry'!AV$8),ISNUMBER('Council Entry'!AV$9)),MAX(MIN('Council Entry'!AV109,'Council Entry'!AV$9),'Council Entry'!AV$8),'Council Entry'!AV109)),IF(AND(ISNUMBER('Council Entry'!AV$8),ISNUMBER('Council Entry'!AV$9)),MAX(MIN('Council Entry'!AV109,'Council Entry'!AV$9),'Council Entry'!AV$8),'Council Entry'!AV109))))-'Council Entry'!AV$5)/('Council Entry'!AV$6-'Council Entry'!AV$5),10*((IF('Council Entry'!AV$4="Logarithm",LN(0.001+IF(AND(ISNUMBER('Council Entry'!AV$8),ISNUMBER('Council Entry'!AV$9)),MAX(MIN('Council Entry'!AV109,'Council Entry'!AV$9),'Council Entry'!AV$8),'Council Entry'!AV109)),IF('Council Entry'!AV$4="Exponential",EXP(IF(AND(ISNUMBER('Council Entry'!AV$8),ISNUMBER('Council Entry'!AV$9)),MAX(MIN('Council Entry'!AV109,'Council Entry'!AV$9),'Council Entry'!AV$8),'Council Entry'!AV109)),IF(AND(ISNUMBER('Council Entry'!AV$8),ISNUMBER('Council Entry'!AV$9)),MAX(MIN('Council Entry'!AV109,'Council Entry'!AV$9),'Council Entry'!AV$8),'Council Entry'!AV109))))-'Council Entry'!AV$5)/('Council Entry'!AV$6-'Council Entry'!AV$5)),1))),"No data"))</f>
        <v/>
      </c>
      <c r="AW109" s="13">
        <f>IF('Council Entry'!AW109="","",IFERROR(MAX(0,MIN(10,ROUND(IF('Council Entry'!AW$7="Decrease Risk",10-10*((IF('Council Entry'!AW$4="Logarithm",LN(0.001+IF(AND(ISNUMBER('Council Entry'!AW$8),ISNUMBER('Council Entry'!AW$9)),MAX(MIN('Council Entry'!AW109,'Council Entry'!AW$9),'Council Entry'!AW$8),'Council Entry'!AW109)),IF('Council Entry'!AW$4="Exponential",EXP(IF(AND(ISNUMBER('Council Entry'!AW$8),ISNUMBER('Council Entry'!AW$9)),MAX(MIN('Council Entry'!AW109,'Council Entry'!AW$9),'Council Entry'!AW$8),'Council Entry'!AW109)),IF(AND(ISNUMBER('Council Entry'!AW$8),ISNUMBER('Council Entry'!AW$9)),MAX(MIN('Council Entry'!AW109,'Council Entry'!AW$9),'Council Entry'!AW$8),'Council Entry'!AW109))))-'Council Entry'!AW$5)/('Council Entry'!AW$6-'Council Entry'!AW$5),10*((IF('Council Entry'!AW$4="Logarithm",LN(0.001+IF(AND(ISNUMBER('Council Entry'!AW$8),ISNUMBER('Council Entry'!AW$9)),MAX(MIN('Council Entry'!AW109,'Council Entry'!AW$9),'Council Entry'!AW$8),'Council Entry'!AW109)),IF('Council Entry'!AW$4="Exponential",EXP(IF(AND(ISNUMBER('Council Entry'!AW$8),ISNUMBER('Council Entry'!AW$9)),MAX(MIN('Council Entry'!AW109,'Council Entry'!AW$9),'Council Entry'!AW$8),'Council Entry'!AW109)),IF(AND(ISNUMBER('Council Entry'!AW$8),ISNUMBER('Council Entry'!AW$9)),MAX(MIN('Council Entry'!AW109,'Council Entry'!AW$9),'Council Entry'!AW$8),'Council Entry'!AW109))))-'Council Entry'!AW$5)/('Council Entry'!AW$6-'Council Entry'!AW$5)),1))),"No data"))</f>
        <v/>
      </c>
      <c r="AX109" s="13">
        <f>IF('Council Entry'!AX109="","",IFERROR(MAX(0,MIN(10,ROUND(IF('Council Entry'!AX$7="Decrease Risk",10-10*((IF('Council Entry'!AX$4="Logarithm",LN(0.001+IF(AND(ISNUMBER('Council Entry'!AX$8),ISNUMBER('Council Entry'!AX$9)),MAX(MIN('Council Entry'!AX109,'Council Entry'!AX$9),'Council Entry'!AX$8),'Council Entry'!AX109)),IF('Council Entry'!AX$4="Exponential",EXP(IF(AND(ISNUMBER('Council Entry'!AX$8),ISNUMBER('Council Entry'!AX$9)),MAX(MIN('Council Entry'!AX109,'Council Entry'!AX$9),'Council Entry'!AX$8),'Council Entry'!AX109)),IF(AND(ISNUMBER('Council Entry'!AX$8),ISNUMBER('Council Entry'!AX$9)),MAX(MIN('Council Entry'!AX109,'Council Entry'!AX$9),'Council Entry'!AX$8),'Council Entry'!AX109))))-'Council Entry'!AX$5)/('Council Entry'!AX$6-'Council Entry'!AX$5),10*((IF('Council Entry'!AX$4="Logarithm",LN(0.001+IF(AND(ISNUMBER('Council Entry'!AX$8),ISNUMBER('Council Entry'!AX$9)),MAX(MIN('Council Entry'!AX109,'Council Entry'!AX$9),'Council Entry'!AX$8),'Council Entry'!AX109)),IF('Council Entry'!AX$4="Exponential",EXP(IF(AND(ISNUMBER('Council Entry'!AX$8),ISNUMBER('Council Entry'!AX$9)),MAX(MIN('Council Entry'!AX109,'Council Entry'!AX$9),'Council Entry'!AX$8),'Council Entry'!AX109)),IF(AND(ISNUMBER('Council Entry'!AX$8),ISNUMBER('Council Entry'!AX$9)),MAX(MIN('Council Entry'!AX109,'Council Entry'!AX$9),'Council Entry'!AX$8),'Council Entry'!AX109))))-'Council Entry'!AX$5)/('Council Entry'!AX$6-'Council Entry'!AX$5)),1))),"No data"))</f>
        <v/>
      </c>
      <c r="AY109" s="13">
        <f>IF('Council Entry'!AY109="","",IFERROR(MAX(0,MIN(10,ROUND(IF('Council Entry'!AY$7="Decrease Risk",10-10*((IF('Council Entry'!AY$4="Logarithm",LN(0.001+IF(AND(ISNUMBER('Council Entry'!AY$8),ISNUMBER('Council Entry'!AY$9)),MAX(MIN('Council Entry'!AY109,'Council Entry'!AY$9),'Council Entry'!AY$8),'Council Entry'!AY109)),IF('Council Entry'!AY$4="Exponential",EXP(IF(AND(ISNUMBER('Council Entry'!AY$8),ISNUMBER('Council Entry'!AY$9)),MAX(MIN('Council Entry'!AY109,'Council Entry'!AY$9),'Council Entry'!AY$8),'Council Entry'!AY109)),IF(AND(ISNUMBER('Council Entry'!AY$8),ISNUMBER('Council Entry'!AY$9)),MAX(MIN('Council Entry'!AY109,'Council Entry'!AY$9),'Council Entry'!AY$8),'Council Entry'!AY109))))-'Council Entry'!AY$5)/('Council Entry'!AY$6-'Council Entry'!AY$5),10*((IF('Council Entry'!AY$4="Logarithm",LN(0.001+IF(AND(ISNUMBER('Council Entry'!AY$8),ISNUMBER('Council Entry'!AY$9)),MAX(MIN('Council Entry'!AY109,'Council Entry'!AY$9),'Council Entry'!AY$8),'Council Entry'!AY109)),IF('Council Entry'!AY$4="Exponential",EXP(IF(AND(ISNUMBER('Council Entry'!AY$8),ISNUMBER('Council Entry'!AY$9)),MAX(MIN('Council Entry'!AY109,'Council Entry'!AY$9),'Council Entry'!AY$8),'Council Entry'!AY109)),IF(AND(ISNUMBER('Council Entry'!AY$8),ISNUMBER('Council Entry'!AY$9)),MAX(MIN('Council Entry'!AY109,'Council Entry'!AY$9),'Council Entry'!AY$8),'Council Entry'!AY109))))-'Council Entry'!AY$5)/('Council Entry'!AY$6-'Council Entry'!AY$5)),1))),"No data"))</f>
        <v/>
      </c>
      <c r="AZ109" s="13">
        <f>IF('Council Entry'!AZ109="","",IFERROR(MAX(0,MIN(10,ROUND(IF('Council Entry'!AZ$7="Decrease Risk",10-10*((IF('Council Entry'!AZ$4="Logarithm",LN(0.001+IF(AND(ISNUMBER('Council Entry'!AZ$8),ISNUMBER('Council Entry'!AZ$9)),MAX(MIN('Council Entry'!AZ109,'Council Entry'!AZ$9),'Council Entry'!AZ$8),'Council Entry'!AZ109)),IF('Council Entry'!AZ$4="Exponential",EXP(IF(AND(ISNUMBER('Council Entry'!AZ$8),ISNUMBER('Council Entry'!AZ$9)),MAX(MIN('Council Entry'!AZ109,'Council Entry'!AZ$9),'Council Entry'!AZ$8),'Council Entry'!AZ109)),IF(AND(ISNUMBER('Council Entry'!AZ$8),ISNUMBER('Council Entry'!AZ$9)),MAX(MIN('Council Entry'!AZ109,'Council Entry'!AZ$9),'Council Entry'!AZ$8),'Council Entry'!AZ109))))-'Council Entry'!AZ$5)/('Council Entry'!AZ$6-'Council Entry'!AZ$5),10*((IF('Council Entry'!AZ$4="Logarithm",LN(0.001+IF(AND(ISNUMBER('Council Entry'!AZ$8),ISNUMBER('Council Entry'!AZ$9)),MAX(MIN('Council Entry'!AZ109,'Council Entry'!AZ$9),'Council Entry'!AZ$8),'Council Entry'!AZ109)),IF('Council Entry'!AZ$4="Exponential",EXP(IF(AND(ISNUMBER('Council Entry'!AZ$8),ISNUMBER('Council Entry'!AZ$9)),MAX(MIN('Council Entry'!AZ109,'Council Entry'!AZ$9),'Council Entry'!AZ$8),'Council Entry'!AZ109)),IF(AND(ISNUMBER('Council Entry'!AZ$8),ISNUMBER('Council Entry'!AZ$9)),MAX(MIN('Council Entry'!AZ109,'Council Entry'!AZ$9),'Council Entry'!AZ$8),'Council Entry'!AZ109))))-'Council Entry'!AZ$5)/('Council Entry'!AZ$6-'Council Entry'!AZ$5)),1))),"No data"))</f>
        <v/>
      </c>
      <c r="BA109" s="13">
        <f>IF('Council Entry'!BA109="","",IFERROR(MAX(0,MIN(10,ROUND(IF('Council Entry'!BA$7="Decrease Risk",10-10*((IF('Council Entry'!BA$4="Logarithm",LN(0.001+IF(AND(ISNUMBER('Council Entry'!BA$8),ISNUMBER('Council Entry'!BA$9)),MAX(MIN('Council Entry'!BA109,'Council Entry'!BA$9),'Council Entry'!BA$8),'Council Entry'!BA109)),IF('Council Entry'!BA$4="Exponential",EXP(IF(AND(ISNUMBER('Council Entry'!BA$8),ISNUMBER('Council Entry'!BA$9)),MAX(MIN('Council Entry'!BA109,'Council Entry'!BA$9),'Council Entry'!BA$8),'Council Entry'!BA109)),IF(AND(ISNUMBER('Council Entry'!BA$8),ISNUMBER('Council Entry'!BA$9)),MAX(MIN('Council Entry'!BA109,'Council Entry'!BA$9),'Council Entry'!BA$8),'Council Entry'!BA109))))-'Council Entry'!BA$5)/('Council Entry'!BA$6-'Council Entry'!BA$5),10*((IF('Council Entry'!BA$4="Logarithm",LN(0.001+IF(AND(ISNUMBER('Council Entry'!BA$8),ISNUMBER('Council Entry'!BA$9)),MAX(MIN('Council Entry'!BA109,'Council Entry'!BA$9),'Council Entry'!BA$8),'Council Entry'!BA109)),IF('Council Entry'!BA$4="Exponential",EXP(IF(AND(ISNUMBER('Council Entry'!BA$8),ISNUMBER('Council Entry'!BA$9)),MAX(MIN('Council Entry'!BA109,'Council Entry'!BA$9),'Council Entry'!BA$8),'Council Entry'!BA109)),IF(AND(ISNUMBER('Council Entry'!BA$8),ISNUMBER('Council Entry'!BA$9)),MAX(MIN('Council Entry'!BA109,'Council Entry'!BA$9),'Council Entry'!BA$8),'Council Entry'!BA109))))-'Council Entry'!BA$5)/('Council Entry'!BA$6-'Council Entry'!BA$5)),1))),"No data"))</f>
        <v/>
      </c>
      <c r="BB109" s="13">
        <f>IF('Council Entry'!BB109="","",IFERROR(MAX(0,MIN(10,ROUND(IF('Council Entry'!BB$7="Decrease Risk",10-10*((IF('Council Entry'!BB$4="Logarithm",LN(0.001+IF(AND(ISNUMBER('Council Entry'!BB$8),ISNUMBER('Council Entry'!BB$9)),MAX(MIN('Council Entry'!BB109,'Council Entry'!BB$9),'Council Entry'!BB$8),'Council Entry'!BB109)),IF('Council Entry'!BB$4="Exponential",EXP(IF(AND(ISNUMBER('Council Entry'!BB$8),ISNUMBER('Council Entry'!BB$9)),MAX(MIN('Council Entry'!BB109,'Council Entry'!BB$9),'Council Entry'!BB$8),'Council Entry'!BB109)),IF(AND(ISNUMBER('Council Entry'!BB$8),ISNUMBER('Council Entry'!BB$9)),MAX(MIN('Council Entry'!BB109,'Council Entry'!BB$9),'Council Entry'!BB$8),'Council Entry'!BB109))))-'Council Entry'!BB$5)/('Council Entry'!BB$6-'Council Entry'!BB$5),10*((IF('Council Entry'!BB$4="Logarithm",LN(0.001+IF(AND(ISNUMBER('Council Entry'!BB$8),ISNUMBER('Council Entry'!BB$9)),MAX(MIN('Council Entry'!BB109,'Council Entry'!BB$9),'Council Entry'!BB$8),'Council Entry'!BB109)),IF('Council Entry'!BB$4="Exponential",EXP(IF(AND(ISNUMBER('Council Entry'!BB$8),ISNUMBER('Council Entry'!BB$9)),MAX(MIN('Council Entry'!BB109,'Council Entry'!BB$9),'Council Entry'!BB$8),'Council Entry'!BB109)),IF(AND(ISNUMBER('Council Entry'!BB$8),ISNUMBER('Council Entry'!BB$9)),MAX(MIN('Council Entry'!BB109,'Council Entry'!BB$9),'Council Entry'!BB$8),'Council Entry'!BB109))))-'Council Entry'!BB$5)/('Council Entry'!BB$6-'Council Entry'!BB$5)),1))),"No data"))</f>
        <v/>
      </c>
      <c r="BC109" s="13">
        <f>IF('Council Entry'!BC109="","",IFERROR(MAX(0,MIN(10,ROUND(IF('Council Entry'!BC$7="Decrease Risk",10-10*((IF('Council Entry'!BC$4="Logarithm",LN(0.001+IF(AND(ISNUMBER('Council Entry'!BC$8),ISNUMBER('Council Entry'!BC$9)),MAX(MIN('Council Entry'!BC109,'Council Entry'!BC$9),'Council Entry'!BC$8),'Council Entry'!BC109)),IF('Council Entry'!BC$4="Exponential",EXP(IF(AND(ISNUMBER('Council Entry'!BC$8),ISNUMBER('Council Entry'!BC$9)),MAX(MIN('Council Entry'!BC109,'Council Entry'!BC$9),'Council Entry'!BC$8),'Council Entry'!BC109)),IF(AND(ISNUMBER('Council Entry'!BC$8),ISNUMBER('Council Entry'!BC$9)),MAX(MIN('Council Entry'!BC109,'Council Entry'!BC$9),'Council Entry'!BC$8),'Council Entry'!BC109))))-'Council Entry'!BC$5)/('Council Entry'!BC$6-'Council Entry'!BC$5),10*((IF('Council Entry'!BC$4="Logarithm",LN(0.001+IF(AND(ISNUMBER('Council Entry'!BC$8),ISNUMBER('Council Entry'!BC$9)),MAX(MIN('Council Entry'!BC109,'Council Entry'!BC$9),'Council Entry'!BC$8),'Council Entry'!BC109)),IF('Council Entry'!BC$4="Exponential",EXP(IF(AND(ISNUMBER('Council Entry'!BC$8),ISNUMBER('Council Entry'!BC$9)),MAX(MIN('Council Entry'!BC109,'Council Entry'!BC$9),'Council Entry'!BC$8),'Council Entry'!BC109)),IF(AND(ISNUMBER('Council Entry'!BC$8),ISNUMBER('Council Entry'!BC$9)),MAX(MIN('Council Entry'!BC109,'Council Entry'!BC$9),'Council Entry'!BC$8),'Council Entry'!BC109))))-'Council Entry'!BC$5)/('Council Entry'!BC$6-'Council Entry'!BC$5)),1))),"No data"))</f>
        <v/>
      </c>
      <c r="BD109" s="13">
        <f>IF('Council Entry'!BD109="","",IFERROR(MAX(0,MIN(10,ROUND(IF('Council Entry'!BD$7="Decrease Risk",10-10*((IF('Council Entry'!BD$4="Logarithm",LN(0.001+IF(AND(ISNUMBER('Council Entry'!BD$8),ISNUMBER('Council Entry'!BD$9)),MAX(MIN('Council Entry'!BD109,'Council Entry'!BD$9),'Council Entry'!BD$8),'Council Entry'!BD109)),IF('Council Entry'!BD$4="Exponential",EXP(IF(AND(ISNUMBER('Council Entry'!BD$8),ISNUMBER('Council Entry'!BD$9)),MAX(MIN('Council Entry'!BD109,'Council Entry'!BD$9),'Council Entry'!BD$8),'Council Entry'!BD109)),IF(AND(ISNUMBER('Council Entry'!BD$8),ISNUMBER('Council Entry'!BD$9)),MAX(MIN('Council Entry'!BD109,'Council Entry'!BD$9),'Council Entry'!BD$8),'Council Entry'!BD109))))-'Council Entry'!BD$5)/('Council Entry'!BD$6-'Council Entry'!BD$5),10*((IF('Council Entry'!BD$4="Logarithm",LN(0.001+IF(AND(ISNUMBER('Council Entry'!BD$8),ISNUMBER('Council Entry'!BD$9)),MAX(MIN('Council Entry'!BD109,'Council Entry'!BD$9),'Council Entry'!BD$8),'Council Entry'!BD109)),IF('Council Entry'!BD$4="Exponential",EXP(IF(AND(ISNUMBER('Council Entry'!BD$8),ISNUMBER('Council Entry'!BD$9)),MAX(MIN('Council Entry'!BD109,'Council Entry'!BD$9),'Council Entry'!BD$8),'Council Entry'!BD109)),IF(AND(ISNUMBER('Council Entry'!BD$8),ISNUMBER('Council Entry'!BD$9)),MAX(MIN('Council Entry'!BD109,'Council Entry'!BD$9),'Council Entry'!BD$8),'Council Entry'!BD109))))-'Council Entry'!BD$5)/('Council Entry'!BD$6-'Council Entry'!BD$5)),1))),"No data"))</f>
        <v/>
      </c>
    </row>
    <row r="110">
      <c r="A110" t="inlineStr">
        <is>
          <t>Morogoro</t>
        </is>
      </c>
      <c r="B110" t="inlineStr">
        <is>
          <t>Gairo District</t>
        </is>
      </c>
      <c r="C110" t="inlineStr">
        <is>
          <t>C042</t>
        </is>
      </c>
      <c r="D110" s="13">
        <f>IF('Council Entry'!D110="","",IFERROR(MAX(0,MIN(10,ROUND(IF('Council Entry'!D$7="Decrease Risk",10-10*((IF('Council Entry'!D$4="Logarithm",LN(0.001+IF(AND(ISNUMBER('Council Entry'!D$8),ISNUMBER('Council Entry'!D$9)),MAX(MIN('Council Entry'!D110,'Council Entry'!D$9),'Council Entry'!D$8),'Council Entry'!D110)),IF('Council Entry'!D$4="Exponential",EXP(IF(AND(ISNUMBER('Council Entry'!D$8),ISNUMBER('Council Entry'!D$9)),MAX(MIN('Council Entry'!D110,'Council Entry'!D$9),'Council Entry'!D$8),'Council Entry'!D110)),IF(AND(ISNUMBER('Council Entry'!D$8),ISNUMBER('Council Entry'!D$9)),MAX(MIN('Council Entry'!D110,'Council Entry'!D$9),'Council Entry'!D$8),'Council Entry'!D110))))-'Council Entry'!D$5)/('Council Entry'!D$6-'Council Entry'!D$5),10*((IF('Council Entry'!D$4="Logarithm",LN(0.001+IF(AND(ISNUMBER('Council Entry'!D$8),ISNUMBER('Council Entry'!D$9)),MAX(MIN('Council Entry'!D110,'Council Entry'!D$9),'Council Entry'!D$8),'Council Entry'!D110)),IF('Council Entry'!D$4="Exponential",EXP(IF(AND(ISNUMBER('Council Entry'!D$8),ISNUMBER('Council Entry'!D$9)),MAX(MIN('Council Entry'!D110,'Council Entry'!D$9),'Council Entry'!D$8),'Council Entry'!D110)),IF(AND(ISNUMBER('Council Entry'!D$8),ISNUMBER('Council Entry'!D$9)),MAX(MIN('Council Entry'!D110,'Council Entry'!D$9),'Council Entry'!D$8),'Council Entry'!D110))))-'Council Entry'!D$5)/('Council Entry'!D$6-'Council Entry'!D$5)),1))),"No data"))</f>
        <v/>
      </c>
      <c r="E110" s="13">
        <f>IF('Council Entry'!E110="","",IFERROR(MAX(0,MIN(10,ROUND(IF('Council Entry'!E$7="Decrease Risk",10-10*((IF('Council Entry'!E$4="Logarithm",LN(0.001+IF(AND(ISNUMBER('Council Entry'!E$8),ISNUMBER('Council Entry'!E$9)),MAX(MIN('Council Entry'!E110,'Council Entry'!E$9),'Council Entry'!E$8),'Council Entry'!E110)),IF('Council Entry'!E$4="Exponential",EXP(IF(AND(ISNUMBER('Council Entry'!E$8),ISNUMBER('Council Entry'!E$9)),MAX(MIN('Council Entry'!E110,'Council Entry'!E$9),'Council Entry'!E$8),'Council Entry'!E110)),IF(AND(ISNUMBER('Council Entry'!E$8),ISNUMBER('Council Entry'!E$9)),MAX(MIN('Council Entry'!E110,'Council Entry'!E$9),'Council Entry'!E$8),'Council Entry'!E110))))-'Council Entry'!E$5)/('Council Entry'!E$6-'Council Entry'!E$5),10*((IF('Council Entry'!E$4="Logarithm",LN(0.001+IF(AND(ISNUMBER('Council Entry'!E$8),ISNUMBER('Council Entry'!E$9)),MAX(MIN('Council Entry'!E110,'Council Entry'!E$9),'Council Entry'!E$8),'Council Entry'!E110)),IF('Council Entry'!E$4="Exponential",EXP(IF(AND(ISNUMBER('Council Entry'!E$8),ISNUMBER('Council Entry'!E$9)),MAX(MIN('Council Entry'!E110,'Council Entry'!E$9),'Council Entry'!E$8),'Council Entry'!E110)),IF(AND(ISNUMBER('Council Entry'!E$8),ISNUMBER('Council Entry'!E$9)),MAX(MIN('Council Entry'!E110,'Council Entry'!E$9),'Council Entry'!E$8),'Council Entry'!E110))))-'Council Entry'!E$5)/('Council Entry'!E$6-'Council Entry'!E$5)),1))),"No data"))</f>
        <v/>
      </c>
      <c r="F110" s="13">
        <f>IF('Council Entry'!F110="","",IFERROR(MAX(0,MIN(10,ROUND(IF('Council Entry'!F$7="Decrease Risk",10-10*((IF('Council Entry'!F$4="Logarithm",LN(0.001+IF(AND(ISNUMBER('Council Entry'!F$8),ISNUMBER('Council Entry'!F$9)),MAX(MIN('Council Entry'!F110,'Council Entry'!F$9),'Council Entry'!F$8),'Council Entry'!F110)),IF('Council Entry'!F$4="Exponential",EXP(IF(AND(ISNUMBER('Council Entry'!F$8),ISNUMBER('Council Entry'!F$9)),MAX(MIN('Council Entry'!F110,'Council Entry'!F$9),'Council Entry'!F$8),'Council Entry'!F110)),IF(AND(ISNUMBER('Council Entry'!F$8),ISNUMBER('Council Entry'!F$9)),MAX(MIN('Council Entry'!F110,'Council Entry'!F$9),'Council Entry'!F$8),'Council Entry'!F110))))-'Council Entry'!F$5)/('Council Entry'!F$6-'Council Entry'!F$5),10*((IF('Council Entry'!F$4="Logarithm",LN(0.001+IF(AND(ISNUMBER('Council Entry'!F$8),ISNUMBER('Council Entry'!F$9)),MAX(MIN('Council Entry'!F110,'Council Entry'!F$9),'Council Entry'!F$8),'Council Entry'!F110)),IF('Council Entry'!F$4="Exponential",EXP(IF(AND(ISNUMBER('Council Entry'!F$8),ISNUMBER('Council Entry'!F$9)),MAX(MIN('Council Entry'!F110,'Council Entry'!F$9),'Council Entry'!F$8),'Council Entry'!F110)),IF(AND(ISNUMBER('Council Entry'!F$8),ISNUMBER('Council Entry'!F$9)),MAX(MIN('Council Entry'!F110,'Council Entry'!F$9),'Council Entry'!F$8),'Council Entry'!F110))))-'Council Entry'!F$5)/('Council Entry'!F$6-'Council Entry'!F$5)),1))),"No data"))</f>
        <v/>
      </c>
      <c r="G110" s="13">
        <f>IF('Council Entry'!G110="","",IFERROR(MAX(0,MIN(10,ROUND(IF('Council Entry'!G$7="Decrease Risk",10-10*((IF('Council Entry'!G$4="Logarithm",LN(0.001+IF(AND(ISNUMBER('Council Entry'!G$8),ISNUMBER('Council Entry'!G$9)),MAX(MIN('Council Entry'!G110,'Council Entry'!G$9),'Council Entry'!G$8),'Council Entry'!G110)),IF('Council Entry'!G$4="Exponential",EXP(IF(AND(ISNUMBER('Council Entry'!G$8),ISNUMBER('Council Entry'!G$9)),MAX(MIN('Council Entry'!G110,'Council Entry'!G$9),'Council Entry'!G$8),'Council Entry'!G110)),IF(AND(ISNUMBER('Council Entry'!G$8),ISNUMBER('Council Entry'!G$9)),MAX(MIN('Council Entry'!G110,'Council Entry'!G$9),'Council Entry'!G$8),'Council Entry'!G110))))-'Council Entry'!G$5)/('Council Entry'!G$6-'Council Entry'!G$5),10*((IF('Council Entry'!G$4="Logarithm",LN(0.001+IF(AND(ISNUMBER('Council Entry'!G$8),ISNUMBER('Council Entry'!G$9)),MAX(MIN('Council Entry'!G110,'Council Entry'!G$9),'Council Entry'!G$8),'Council Entry'!G110)),IF('Council Entry'!G$4="Exponential",EXP(IF(AND(ISNUMBER('Council Entry'!G$8),ISNUMBER('Council Entry'!G$9)),MAX(MIN('Council Entry'!G110,'Council Entry'!G$9),'Council Entry'!G$8),'Council Entry'!G110)),IF(AND(ISNUMBER('Council Entry'!G$8),ISNUMBER('Council Entry'!G$9)),MAX(MIN('Council Entry'!G110,'Council Entry'!G$9),'Council Entry'!G$8),'Council Entry'!G110))))-'Council Entry'!G$5)/('Council Entry'!G$6-'Council Entry'!G$5)),1))),"No data"))</f>
        <v/>
      </c>
      <c r="H110" s="13">
        <f>IF('Council Entry'!H110="","",IFERROR(MAX(0,MIN(10,ROUND(IF('Council Entry'!H$7="Decrease Risk",10-10*((IF('Council Entry'!H$4="Logarithm",LN(0.001+IF(AND(ISNUMBER('Council Entry'!H$8),ISNUMBER('Council Entry'!H$9)),MAX(MIN('Council Entry'!H110,'Council Entry'!H$9),'Council Entry'!H$8),'Council Entry'!H110)),IF('Council Entry'!H$4="Exponential",EXP(IF(AND(ISNUMBER('Council Entry'!H$8),ISNUMBER('Council Entry'!H$9)),MAX(MIN('Council Entry'!H110,'Council Entry'!H$9),'Council Entry'!H$8),'Council Entry'!H110)),IF(AND(ISNUMBER('Council Entry'!H$8),ISNUMBER('Council Entry'!H$9)),MAX(MIN('Council Entry'!H110,'Council Entry'!H$9),'Council Entry'!H$8),'Council Entry'!H110))))-'Council Entry'!H$5)/('Council Entry'!H$6-'Council Entry'!H$5),10*((IF('Council Entry'!H$4="Logarithm",LN(0.001+IF(AND(ISNUMBER('Council Entry'!H$8),ISNUMBER('Council Entry'!H$9)),MAX(MIN('Council Entry'!H110,'Council Entry'!H$9),'Council Entry'!H$8),'Council Entry'!H110)),IF('Council Entry'!H$4="Exponential",EXP(IF(AND(ISNUMBER('Council Entry'!H$8),ISNUMBER('Council Entry'!H$9)),MAX(MIN('Council Entry'!H110,'Council Entry'!H$9),'Council Entry'!H$8),'Council Entry'!H110)),IF(AND(ISNUMBER('Council Entry'!H$8),ISNUMBER('Council Entry'!H$9)),MAX(MIN('Council Entry'!H110,'Council Entry'!H$9),'Council Entry'!H$8),'Council Entry'!H110))))-'Council Entry'!H$5)/('Council Entry'!H$6-'Council Entry'!H$5)),1))),"No data"))</f>
        <v/>
      </c>
      <c r="I110" s="13">
        <f>IF('Council Entry'!I110="","",IFERROR(MAX(0,MIN(10,ROUND(IF('Council Entry'!I$7="Decrease Risk",10-10*((IF('Council Entry'!I$4="Logarithm",LN(0.001+IF(AND(ISNUMBER('Council Entry'!I$8),ISNUMBER('Council Entry'!I$9)),MAX(MIN('Council Entry'!I110,'Council Entry'!I$9),'Council Entry'!I$8),'Council Entry'!I110)),IF('Council Entry'!I$4="Exponential",EXP(IF(AND(ISNUMBER('Council Entry'!I$8),ISNUMBER('Council Entry'!I$9)),MAX(MIN('Council Entry'!I110,'Council Entry'!I$9),'Council Entry'!I$8),'Council Entry'!I110)),IF(AND(ISNUMBER('Council Entry'!I$8),ISNUMBER('Council Entry'!I$9)),MAX(MIN('Council Entry'!I110,'Council Entry'!I$9),'Council Entry'!I$8),'Council Entry'!I110))))-'Council Entry'!I$5)/('Council Entry'!I$6-'Council Entry'!I$5),10*((IF('Council Entry'!I$4="Logarithm",LN(0.001+IF(AND(ISNUMBER('Council Entry'!I$8),ISNUMBER('Council Entry'!I$9)),MAX(MIN('Council Entry'!I110,'Council Entry'!I$9),'Council Entry'!I$8),'Council Entry'!I110)),IF('Council Entry'!I$4="Exponential",EXP(IF(AND(ISNUMBER('Council Entry'!I$8),ISNUMBER('Council Entry'!I$9)),MAX(MIN('Council Entry'!I110,'Council Entry'!I$9),'Council Entry'!I$8),'Council Entry'!I110)),IF(AND(ISNUMBER('Council Entry'!I$8),ISNUMBER('Council Entry'!I$9)),MAX(MIN('Council Entry'!I110,'Council Entry'!I$9),'Council Entry'!I$8),'Council Entry'!I110))))-'Council Entry'!I$5)/('Council Entry'!I$6-'Council Entry'!I$5)),1))),"No data"))</f>
        <v/>
      </c>
      <c r="J110" s="13">
        <f>IF('Council Entry'!J110="","",IFERROR(MAX(0,MIN(10,ROUND(IF('Council Entry'!J$7="Decrease Risk",10-10*((IF('Council Entry'!J$4="Logarithm",LN(0.001+IF(AND(ISNUMBER('Council Entry'!J$8),ISNUMBER('Council Entry'!J$9)),MAX(MIN('Council Entry'!J110,'Council Entry'!J$9),'Council Entry'!J$8),'Council Entry'!J110)),IF('Council Entry'!J$4="Exponential",EXP(IF(AND(ISNUMBER('Council Entry'!J$8),ISNUMBER('Council Entry'!J$9)),MAX(MIN('Council Entry'!J110,'Council Entry'!J$9),'Council Entry'!J$8),'Council Entry'!J110)),IF(AND(ISNUMBER('Council Entry'!J$8),ISNUMBER('Council Entry'!J$9)),MAX(MIN('Council Entry'!J110,'Council Entry'!J$9),'Council Entry'!J$8),'Council Entry'!J110))))-'Council Entry'!J$5)/('Council Entry'!J$6-'Council Entry'!J$5),10*((IF('Council Entry'!J$4="Logarithm",LN(0.001+IF(AND(ISNUMBER('Council Entry'!J$8),ISNUMBER('Council Entry'!J$9)),MAX(MIN('Council Entry'!J110,'Council Entry'!J$9),'Council Entry'!J$8),'Council Entry'!J110)),IF('Council Entry'!J$4="Exponential",EXP(IF(AND(ISNUMBER('Council Entry'!J$8),ISNUMBER('Council Entry'!J$9)),MAX(MIN('Council Entry'!J110,'Council Entry'!J$9),'Council Entry'!J$8),'Council Entry'!J110)),IF(AND(ISNUMBER('Council Entry'!J$8),ISNUMBER('Council Entry'!J$9)),MAX(MIN('Council Entry'!J110,'Council Entry'!J$9),'Council Entry'!J$8),'Council Entry'!J110))))-'Council Entry'!J$5)/('Council Entry'!J$6-'Council Entry'!J$5)),1))),"No data"))</f>
        <v/>
      </c>
      <c r="K110" s="13">
        <f>IF('Council Entry'!K110="","",IFERROR(MAX(0,MIN(10,ROUND(IF('Council Entry'!K$7="Decrease Risk",10-10*((IF('Council Entry'!K$4="Logarithm",LN(0.001+IF(AND(ISNUMBER('Council Entry'!K$8),ISNUMBER('Council Entry'!K$9)),MAX(MIN('Council Entry'!K110,'Council Entry'!K$9),'Council Entry'!K$8),'Council Entry'!K110)),IF('Council Entry'!K$4="Exponential",EXP(IF(AND(ISNUMBER('Council Entry'!K$8),ISNUMBER('Council Entry'!K$9)),MAX(MIN('Council Entry'!K110,'Council Entry'!K$9),'Council Entry'!K$8),'Council Entry'!K110)),IF(AND(ISNUMBER('Council Entry'!K$8),ISNUMBER('Council Entry'!K$9)),MAX(MIN('Council Entry'!K110,'Council Entry'!K$9),'Council Entry'!K$8),'Council Entry'!K110))))-'Council Entry'!K$5)/('Council Entry'!K$6-'Council Entry'!K$5),10*((IF('Council Entry'!K$4="Logarithm",LN(0.001+IF(AND(ISNUMBER('Council Entry'!K$8),ISNUMBER('Council Entry'!K$9)),MAX(MIN('Council Entry'!K110,'Council Entry'!K$9),'Council Entry'!K$8),'Council Entry'!K110)),IF('Council Entry'!K$4="Exponential",EXP(IF(AND(ISNUMBER('Council Entry'!K$8),ISNUMBER('Council Entry'!K$9)),MAX(MIN('Council Entry'!K110,'Council Entry'!K$9),'Council Entry'!K$8),'Council Entry'!K110)),IF(AND(ISNUMBER('Council Entry'!K$8),ISNUMBER('Council Entry'!K$9)),MAX(MIN('Council Entry'!K110,'Council Entry'!K$9),'Council Entry'!K$8),'Council Entry'!K110))))-'Council Entry'!K$5)/('Council Entry'!K$6-'Council Entry'!K$5)),1))),"No data"))</f>
        <v/>
      </c>
      <c r="L110" s="13">
        <f>IF('Council Entry'!L110="","",IFERROR(MAX(0,MIN(10,ROUND(IF('Council Entry'!L$7="Decrease Risk",10-10*((IF('Council Entry'!L$4="Logarithm",LN(0.001+IF(AND(ISNUMBER('Council Entry'!L$8),ISNUMBER('Council Entry'!L$9)),MAX(MIN('Council Entry'!L110,'Council Entry'!L$9),'Council Entry'!L$8),'Council Entry'!L110)),IF('Council Entry'!L$4="Exponential",EXP(IF(AND(ISNUMBER('Council Entry'!L$8),ISNUMBER('Council Entry'!L$9)),MAX(MIN('Council Entry'!L110,'Council Entry'!L$9),'Council Entry'!L$8),'Council Entry'!L110)),IF(AND(ISNUMBER('Council Entry'!L$8),ISNUMBER('Council Entry'!L$9)),MAX(MIN('Council Entry'!L110,'Council Entry'!L$9),'Council Entry'!L$8),'Council Entry'!L110))))-'Council Entry'!L$5)/('Council Entry'!L$6-'Council Entry'!L$5),10*((IF('Council Entry'!L$4="Logarithm",LN(0.001+IF(AND(ISNUMBER('Council Entry'!L$8),ISNUMBER('Council Entry'!L$9)),MAX(MIN('Council Entry'!L110,'Council Entry'!L$9),'Council Entry'!L$8),'Council Entry'!L110)),IF('Council Entry'!L$4="Exponential",EXP(IF(AND(ISNUMBER('Council Entry'!L$8),ISNUMBER('Council Entry'!L$9)),MAX(MIN('Council Entry'!L110,'Council Entry'!L$9),'Council Entry'!L$8),'Council Entry'!L110)),IF(AND(ISNUMBER('Council Entry'!L$8),ISNUMBER('Council Entry'!L$9)),MAX(MIN('Council Entry'!L110,'Council Entry'!L$9),'Council Entry'!L$8),'Council Entry'!L110))))-'Council Entry'!L$5)/('Council Entry'!L$6-'Council Entry'!L$5)),1))),"No data"))</f>
        <v/>
      </c>
      <c r="M110" s="13">
        <f>IF('Council Entry'!M110="","",IFERROR(MAX(0,MIN(10,ROUND(IF('Council Entry'!M$7="Decrease Risk",10-10*((IF('Council Entry'!M$4="Logarithm",LN(0.001+IF(AND(ISNUMBER('Council Entry'!M$8),ISNUMBER('Council Entry'!M$9)),MAX(MIN('Council Entry'!M110,'Council Entry'!M$9),'Council Entry'!M$8),'Council Entry'!M110)),IF('Council Entry'!M$4="Exponential",EXP(IF(AND(ISNUMBER('Council Entry'!M$8),ISNUMBER('Council Entry'!M$9)),MAX(MIN('Council Entry'!M110,'Council Entry'!M$9),'Council Entry'!M$8),'Council Entry'!M110)),IF(AND(ISNUMBER('Council Entry'!M$8),ISNUMBER('Council Entry'!M$9)),MAX(MIN('Council Entry'!M110,'Council Entry'!M$9),'Council Entry'!M$8),'Council Entry'!M110))))-'Council Entry'!M$5)/('Council Entry'!M$6-'Council Entry'!M$5),10*((IF('Council Entry'!M$4="Logarithm",LN(0.001+IF(AND(ISNUMBER('Council Entry'!M$8),ISNUMBER('Council Entry'!M$9)),MAX(MIN('Council Entry'!M110,'Council Entry'!M$9),'Council Entry'!M$8),'Council Entry'!M110)),IF('Council Entry'!M$4="Exponential",EXP(IF(AND(ISNUMBER('Council Entry'!M$8),ISNUMBER('Council Entry'!M$9)),MAX(MIN('Council Entry'!M110,'Council Entry'!M$9),'Council Entry'!M$8),'Council Entry'!M110)),IF(AND(ISNUMBER('Council Entry'!M$8),ISNUMBER('Council Entry'!M$9)),MAX(MIN('Council Entry'!M110,'Council Entry'!M$9),'Council Entry'!M$8),'Council Entry'!M110))))-'Council Entry'!M$5)/('Council Entry'!M$6-'Council Entry'!M$5)),1))),"No data"))</f>
        <v/>
      </c>
      <c r="N110" s="13">
        <f>IF('Council Entry'!N110="","",IFERROR(MAX(0,MIN(10,ROUND(IF('Council Entry'!N$7="Decrease Risk",10-10*((IF('Council Entry'!N$4="Logarithm",LN(0.001+IF(AND(ISNUMBER('Council Entry'!N$8),ISNUMBER('Council Entry'!N$9)),MAX(MIN('Council Entry'!N110,'Council Entry'!N$9),'Council Entry'!N$8),'Council Entry'!N110)),IF('Council Entry'!N$4="Exponential",EXP(IF(AND(ISNUMBER('Council Entry'!N$8),ISNUMBER('Council Entry'!N$9)),MAX(MIN('Council Entry'!N110,'Council Entry'!N$9),'Council Entry'!N$8),'Council Entry'!N110)),IF(AND(ISNUMBER('Council Entry'!N$8),ISNUMBER('Council Entry'!N$9)),MAX(MIN('Council Entry'!N110,'Council Entry'!N$9),'Council Entry'!N$8),'Council Entry'!N110))))-'Council Entry'!N$5)/('Council Entry'!N$6-'Council Entry'!N$5),10*((IF('Council Entry'!N$4="Logarithm",LN(0.001+IF(AND(ISNUMBER('Council Entry'!N$8),ISNUMBER('Council Entry'!N$9)),MAX(MIN('Council Entry'!N110,'Council Entry'!N$9),'Council Entry'!N$8),'Council Entry'!N110)),IF('Council Entry'!N$4="Exponential",EXP(IF(AND(ISNUMBER('Council Entry'!N$8),ISNUMBER('Council Entry'!N$9)),MAX(MIN('Council Entry'!N110,'Council Entry'!N$9),'Council Entry'!N$8),'Council Entry'!N110)),IF(AND(ISNUMBER('Council Entry'!N$8),ISNUMBER('Council Entry'!N$9)),MAX(MIN('Council Entry'!N110,'Council Entry'!N$9),'Council Entry'!N$8),'Council Entry'!N110))))-'Council Entry'!N$5)/('Council Entry'!N$6-'Council Entry'!N$5)),1))),"No data"))</f>
        <v/>
      </c>
      <c r="O110" s="13">
        <f>IF('Council Entry'!O110="","",IFERROR(MAX(0,MIN(10,ROUND(IF('Council Entry'!O$7="Decrease Risk",10-10*((IF('Council Entry'!O$4="Logarithm",LN(0.001+IF(AND(ISNUMBER('Council Entry'!O$8),ISNUMBER('Council Entry'!O$9)),MAX(MIN('Council Entry'!O110,'Council Entry'!O$9),'Council Entry'!O$8),'Council Entry'!O110)),IF('Council Entry'!O$4="Exponential",EXP(IF(AND(ISNUMBER('Council Entry'!O$8),ISNUMBER('Council Entry'!O$9)),MAX(MIN('Council Entry'!O110,'Council Entry'!O$9),'Council Entry'!O$8),'Council Entry'!O110)),IF(AND(ISNUMBER('Council Entry'!O$8),ISNUMBER('Council Entry'!O$9)),MAX(MIN('Council Entry'!O110,'Council Entry'!O$9),'Council Entry'!O$8),'Council Entry'!O110))))-'Council Entry'!O$5)/('Council Entry'!O$6-'Council Entry'!O$5),10*((IF('Council Entry'!O$4="Logarithm",LN(0.001+IF(AND(ISNUMBER('Council Entry'!O$8),ISNUMBER('Council Entry'!O$9)),MAX(MIN('Council Entry'!O110,'Council Entry'!O$9),'Council Entry'!O$8),'Council Entry'!O110)),IF('Council Entry'!O$4="Exponential",EXP(IF(AND(ISNUMBER('Council Entry'!O$8),ISNUMBER('Council Entry'!O$9)),MAX(MIN('Council Entry'!O110,'Council Entry'!O$9),'Council Entry'!O$8),'Council Entry'!O110)),IF(AND(ISNUMBER('Council Entry'!O$8),ISNUMBER('Council Entry'!O$9)),MAX(MIN('Council Entry'!O110,'Council Entry'!O$9),'Council Entry'!O$8),'Council Entry'!O110))))-'Council Entry'!O$5)/('Council Entry'!O$6-'Council Entry'!O$5)),1))),"No data"))</f>
        <v/>
      </c>
      <c r="P110" s="13">
        <f>IF('Council Entry'!P110="","",IFERROR(MAX(0,MIN(10,ROUND(IF('Council Entry'!P$7="Decrease Risk",10-10*((IF('Council Entry'!P$4="Logarithm",LN(0.001+IF(AND(ISNUMBER('Council Entry'!P$8),ISNUMBER('Council Entry'!P$9)),MAX(MIN('Council Entry'!P110,'Council Entry'!P$9),'Council Entry'!P$8),'Council Entry'!P110)),IF('Council Entry'!P$4="Exponential",EXP(IF(AND(ISNUMBER('Council Entry'!P$8),ISNUMBER('Council Entry'!P$9)),MAX(MIN('Council Entry'!P110,'Council Entry'!P$9),'Council Entry'!P$8),'Council Entry'!P110)),IF(AND(ISNUMBER('Council Entry'!P$8),ISNUMBER('Council Entry'!P$9)),MAX(MIN('Council Entry'!P110,'Council Entry'!P$9),'Council Entry'!P$8),'Council Entry'!P110))))-'Council Entry'!P$5)/('Council Entry'!P$6-'Council Entry'!P$5),10*((IF('Council Entry'!P$4="Logarithm",LN(0.001+IF(AND(ISNUMBER('Council Entry'!P$8),ISNUMBER('Council Entry'!P$9)),MAX(MIN('Council Entry'!P110,'Council Entry'!P$9),'Council Entry'!P$8),'Council Entry'!P110)),IF('Council Entry'!P$4="Exponential",EXP(IF(AND(ISNUMBER('Council Entry'!P$8),ISNUMBER('Council Entry'!P$9)),MAX(MIN('Council Entry'!P110,'Council Entry'!P$9),'Council Entry'!P$8),'Council Entry'!P110)),IF(AND(ISNUMBER('Council Entry'!P$8),ISNUMBER('Council Entry'!P$9)),MAX(MIN('Council Entry'!P110,'Council Entry'!P$9),'Council Entry'!P$8),'Council Entry'!P110))))-'Council Entry'!P$5)/('Council Entry'!P$6-'Council Entry'!P$5)),1))),"No data"))</f>
        <v/>
      </c>
      <c r="Q110" s="13">
        <f>IF('Council Entry'!Q110="","",IFERROR(MAX(0,MIN(10,ROUND(IF('Council Entry'!Q$7="Decrease Risk",10-10*((IF('Council Entry'!Q$4="Logarithm",LN(0.001+IF(AND(ISNUMBER('Council Entry'!Q$8),ISNUMBER('Council Entry'!Q$9)),MAX(MIN('Council Entry'!Q110,'Council Entry'!Q$9),'Council Entry'!Q$8),'Council Entry'!Q110)),IF('Council Entry'!Q$4="Exponential",EXP(IF(AND(ISNUMBER('Council Entry'!Q$8),ISNUMBER('Council Entry'!Q$9)),MAX(MIN('Council Entry'!Q110,'Council Entry'!Q$9),'Council Entry'!Q$8),'Council Entry'!Q110)),IF(AND(ISNUMBER('Council Entry'!Q$8),ISNUMBER('Council Entry'!Q$9)),MAX(MIN('Council Entry'!Q110,'Council Entry'!Q$9),'Council Entry'!Q$8),'Council Entry'!Q110))))-'Council Entry'!Q$5)/('Council Entry'!Q$6-'Council Entry'!Q$5),10*((IF('Council Entry'!Q$4="Logarithm",LN(0.001+IF(AND(ISNUMBER('Council Entry'!Q$8),ISNUMBER('Council Entry'!Q$9)),MAX(MIN('Council Entry'!Q110,'Council Entry'!Q$9),'Council Entry'!Q$8),'Council Entry'!Q110)),IF('Council Entry'!Q$4="Exponential",EXP(IF(AND(ISNUMBER('Council Entry'!Q$8),ISNUMBER('Council Entry'!Q$9)),MAX(MIN('Council Entry'!Q110,'Council Entry'!Q$9),'Council Entry'!Q$8),'Council Entry'!Q110)),IF(AND(ISNUMBER('Council Entry'!Q$8),ISNUMBER('Council Entry'!Q$9)),MAX(MIN('Council Entry'!Q110,'Council Entry'!Q$9),'Council Entry'!Q$8),'Council Entry'!Q110))))-'Council Entry'!Q$5)/('Council Entry'!Q$6-'Council Entry'!Q$5)),1))),"No data"))</f>
        <v/>
      </c>
      <c r="R110" s="13">
        <f>IF('Council Entry'!R110="","",IFERROR(MAX(0,MIN(10,ROUND(IF('Council Entry'!R$7="Decrease Risk",10-10*((IF('Council Entry'!R$4="Logarithm",LN(0.001+IF(AND(ISNUMBER('Council Entry'!R$8),ISNUMBER('Council Entry'!R$9)),MAX(MIN('Council Entry'!R110,'Council Entry'!R$9),'Council Entry'!R$8),'Council Entry'!R110)),IF('Council Entry'!R$4="Exponential",EXP(IF(AND(ISNUMBER('Council Entry'!R$8),ISNUMBER('Council Entry'!R$9)),MAX(MIN('Council Entry'!R110,'Council Entry'!R$9),'Council Entry'!R$8),'Council Entry'!R110)),IF(AND(ISNUMBER('Council Entry'!R$8),ISNUMBER('Council Entry'!R$9)),MAX(MIN('Council Entry'!R110,'Council Entry'!R$9),'Council Entry'!R$8),'Council Entry'!R110))))-'Council Entry'!R$5)/('Council Entry'!R$6-'Council Entry'!R$5),10*((IF('Council Entry'!R$4="Logarithm",LN(0.001+IF(AND(ISNUMBER('Council Entry'!R$8),ISNUMBER('Council Entry'!R$9)),MAX(MIN('Council Entry'!R110,'Council Entry'!R$9),'Council Entry'!R$8),'Council Entry'!R110)),IF('Council Entry'!R$4="Exponential",EXP(IF(AND(ISNUMBER('Council Entry'!R$8),ISNUMBER('Council Entry'!R$9)),MAX(MIN('Council Entry'!R110,'Council Entry'!R$9),'Council Entry'!R$8),'Council Entry'!R110)),IF(AND(ISNUMBER('Council Entry'!R$8),ISNUMBER('Council Entry'!R$9)),MAX(MIN('Council Entry'!R110,'Council Entry'!R$9),'Council Entry'!R$8),'Council Entry'!R110))))-'Council Entry'!R$5)/('Council Entry'!R$6-'Council Entry'!R$5)),1))),"No data"))</f>
        <v/>
      </c>
      <c r="S110" s="13">
        <f>IF('Council Entry'!S110="","",IFERROR(MAX(0,MIN(10,ROUND(IF('Council Entry'!S$7="Decrease Risk",10-10*((IF('Council Entry'!S$4="Logarithm",LN(0.001+IF(AND(ISNUMBER('Council Entry'!S$8),ISNUMBER('Council Entry'!S$9)),MAX(MIN('Council Entry'!S110,'Council Entry'!S$9),'Council Entry'!S$8),'Council Entry'!S110)),IF('Council Entry'!S$4="Exponential",EXP(IF(AND(ISNUMBER('Council Entry'!S$8),ISNUMBER('Council Entry'!S$9)),MAX(MIN('Council Entry'!S110,'Council Entry'!S$9),'Council Entry'!S$8),'Council Entry'!S110)),IF(AND(ISNUMBER('Council Entry'!S$8),ISNUMBER('Council Entry'!S$9)),MAX(MIN('Council Entry'!S110,'Council Entry'!S$9),'Council Entry'!S$8),'Council Entry'!S110))))-'Council Entry'!S$5)/('Council Entry'!S$6-'Council Entry'!S$5),10*((IF('Council Entry'!S$4="Logarithm",LN(0.001+IF(AND(ISNUMBER('Council Entry'!S$8),ISNUMBER('Council Entry'!S$9)),MAX(MIN('Council Entry'!S110,'Council Entry'!S$9),'Council Entry'!S$8),'Council Entry'!S110)),IF('Council Entry'!S$4="Exponential",EXP(IF(AND(ISNUMBER('Council Entry'!S$8),ISNUMBER('Council Entry'!S$9)),MAX(MIN('Council Entry'!S110,'Council Entry'!S$9),'Council Entry'!S$8),'Council Entry'!S110)),IF(AND(ISNUMBER('Council Entry'!S$8),ISNUMBER('Council Entry'!S$9)),MAX(MIN('Council Entry'!S110,'Council Entry'!S$9),'Council Entry'!S$8),'Council Entry'!S110))))-'Council Entry'!S$5)/('Council Entry'!S$6-'Council Entry'!S$5)),1))),"No data"))</f>
        <v/>
      </c>
      <c r="T110" s="13">
        <f>IF('Council Entry'!T110="","",IFERROR(MAX(0,MIN(10,ROUND(IF('Council Entry'!T$7="Decrease Risk",10-10*((IF('Council Entry'!T$4="Logarithm",LN(0.001+IF(AND(ISNUMBER('Council Entry'!T$8),ISNUMBER('Council Entry'!T$9)),MAX(MIN('Council Entry'!T110,'Council Entry'!T$9),'Council Entry'!T$8),'Council Entry'!T110)),IF('Council Entry'!T$4="Exponential",EXP(IF(AND(ISNUMBER('Council Entry'!T$8),ISNUMBER('Council Entry'!T$9)),MAX(MIN('Council Entry'!T110,'Council Entry'!T$9),'Council Entry'!T$8),'Council Entry'!T110)),IF(AND(ISNUMBER('Council Entry'!T$8),ISNUMBER('Council Entry'!T$9)),MAX(MIN('Council Entry'!T110,'Council Entry'!T$9),'Council Entry'!T$8),'Council Entry'!T110))))-'Council Entry'!T$5)/('Council Entry'!T$6-'Council Entry'!T$5),10*((IF('Council Entry'!T$4="Logarithm",LN(0.001+IF(AND(ISNUMBER('Council Entry'!T$8),ISNUMBER('Council Entry'!T$9)),MAX(MIN('Council Entry'!T110,'Council Entry'!T$9),'Council Entry'!T$8),'Council Entry'!T110)),IF('Council Entry'!T$4="Exponential",EXP(IF(AND(ISNUMBER('Council Entry'!T$8),ISNUMBER('Council Entry'!T$9)),MAX(MIN('Council Entry'!T110,'Council Entry'!T$9),'Council Entry'!T$8),'Council Entry'!T110)),IF(AND(ISNUMBER('Council Entry'!T$8),ISNUMBER('Council Entry'!T$9)),MAX(MIN('Council Entry'!T110,'Council Entry'!T$9),'Council Entry'!T$8),'Council Entry'!T110))))-'Council Entry'!T$5)/('Council Entry'!T$6-'Council Entry'!T$5)),1))),"No data"))</f>
        <v/>
      </c>
      <c r="U110" s="13">
        <f>IF('Council Entry'!U110="","",IFERROR(MAX(0,MIN(10,ROUND(IF('Council Entry'!U$7="Decrease Risk",10-10*((IF('Council Entry'!U$4="Logarithm",LN(0.001+IF(AND(ISNUMBER('Council Entry'!U$8),ISNUMBER('Council Entry'!U$9)),MAX(MIN('Council Entry'!U110,'Council Entry'!U$9),'Council Entry'!U$8),'Council Entry'!U110)),IF('Council Entry'!U$4="Exponential",EXP(IF(AND(ISNUMBER('Council Entry'!U$8),ISNUMBER('Council Entry'!U$9)),MAX(MIN('Council Entry'!U110,'Council Entry'!U$9),'Council Entry'!U$8),'Council Entry'!U110)),IF(AND(ISNUMBER('Council Entry'!U$8),ISNUMBER('Council Entry'!U$9)),MAX(MIN('Council Entry'!U110,'Council Entry'!U$9),'Council Entry'!U$8),'Council Entry'!U110))))-'Council Entry'!U$5)/('Council Entry'!U$6-'Council Entry'!U$5),10*((IF('Council Entry'!U$4="Logarithm",LN(0.001+IF(AND(ISNUMBER('Council Entry'!U$8),ISNUMBER('Council Entry'!U$9)),MAX(MIN('Council Entry'!U110,'Council Entry'!U$9),'Council Entry'!U$8),'Council Entry'!U110)),IF('Council Entry'!U$4="Exponential",EXP(IF(AND(ISNUMBER('Council Entry'!U$8),ISNUMBER('Council Entry'!U$9)),MAX(MIN('Council Entry'!U110,'Council Entry'!U$9),'Council Entry'!U$8),'Council Entry'!U110)),IF(AND(ISNUMBER('Council Entry'!U$8),ISNUMBER('Council Entry'!U$9)),MAX(MIN('Council Entry'!U110,'Council Entry'!U$9),'Council Entry'!U$8),'Council Entry'!U110))))-'Council Entry'!U$5)/('Council Entry'!U$6-'Council Entry'!U$5)),1))),"No data"))</f>
        <v/>
      </c>
      <c r="V110" s="13">
        <f>IF('Council Entry'!V110="","",IFERROR(MAX(0,MIN(10,ROUND(IF('Council Entry'!V$7="Decrease Risk",10-10*((IF('Council Entry'!V$4="Logarithm",LN(0.001+IF(AND(ISNUMBER('Council Entry'!V$8),ISNUMBER('Council Entry'!V$9)),MAX(MIN('Council Entry'!V110,'Council Entry'!V$9),'Council Entry'!V$8),'Council Entry'!V110)),IF('Council Entry'!V$4="Exponential",EXP(IF(AND(ISNUMBER('Council Entry'!V$8),ISNUMBER('Council Entry'!V$9)),MAX(MIN('Council Entry'!V110,'Council Entry'!V$9),'Council Entry'!V$8),'Council Entry'!V110)),IF(AND(ISNUMBER('Council Entry'!V$8),ISNUMBER('Council Entry'!V$9)),MAX(MIN('Council Entry'!V110,'Council Entry'!V$9),'Council Entry'!V$8),'Council Entry'!V110))))-'Council Entry'!V$5)/('Council Entry'!V$6-'Council Entry'!V$5),10*((IF('Council Entry'!V$4="Logarithm",LN(0.001+IF(AND(ISNUMBER('Council Entry'!V$8),ISNUMBER('Council Entry'!V$9)),MAX(MIN('Council Entry'!V110,'Council Entry'!V$9),'Council Entry'!V$8),'Council Entry'!V110)),IF('Council Entry'!V$4="Exponential",EXP(IF(AND(ISNUMBER('Council Entry'!V$8),ISNUMBER('Council Entry'!V$9)),MAX(MIN('Council Entry'!V110,'Council Entry'!V$9),'Council Entry'!V$8),'Council Entry'!V110)),IF(AND(ISNUMBER('Council Entry'!V$8),ISNUMBER('Council Entry'!V$9)),MAX(MIN('Council Entry'!V110,'Council Entry'!V$9),'Council Entry'!V$8),'Council Entry'!V110))))-'Council Entry'!V$5)/('Council Entry'!V$6-'Council Entry'!V$5)),1))),"No data"))</f>
        <v/>
      </c>
      <c r="W110" s="13">
        <f>IF('Council Entry'!W110="","",IFERROR(MAX(0,MIN(10,ROUND(IF('Council Entry'!W$7="Decrease Risk",10-10*((IF('Council Entry'!W$4="Logarithm",LN(0.001+IF(AND(ISNUMBER('Council Entry'!W$8),ISNUMBER('Council Entry'!W$9)),MAX(MIN('Council Entry'!W110,'Council Entry'!W$9),'Council Entry'!W$8),'Council Entry'!W110)),IF('Council Entry'!W$4="Exponential",EXP(IF(AND(ISNUMBER('Council Entry'!W$8),ISNUMBER('Council Entry'!W$9)),MAX(MIN('Council Entry'!W110,'Council Entry'!W$9),'Council Entry'!W$8),'Council Entry'!W110)),IF(AND(ISNUMBER('Council Entry'!W$8),ISNUMBER('Council Entry'!W$9)),MAX(MIN('Council Entry'!W110,'Council Entry'!W$9),'Council Entry'!W$8),'Council Entry'!W110))))-'Council Entry'!W$5)/('Council Entry'!W$6-'Council Entry'!W$5),10*((IF('Council Entry'!W$4="Logarithm",LN(0.001+IF(AND(ISNUMBER('Council Entry'!W$8),ISNUMBER('Council Entry'!W$9)),MAX(MIN('Council Entry'!W110,'Council Entry'!W$9),'Council Entry'!W$8),'Council Entry'!W110)),IF('Council Entry'!W$4="Exponential",EXP(IF(AND(ISNUMBER('Council Entry'!W$8),ISNUMBER('Council Entry'!W$9)),MAX(MIN('Council Entry'!W110,'Council Entry'!W$9),'Council Entry'!W$8),'Council Entry'!W110)),IF(AND(ISNUMBER('Council Entry'!W$8),ISNUMBER('Council Entry'!W$9)),MAX(MIN('Council Entry'!W110,'Council Entry'!W$9),'Council Entry'!W$8),'Council Entry'!W110))))-'Council Entry'!W$5)/('Council Entry'!W$6-'Council Entry'!W$5)),1))),"No data"))</f>
        <v/>
      </c>
      <c r="X110" s="13">
        <f>IF('Council Entry'!X110="","",IFERROR(MAX(0,MIN(10,ROUND(IF('Council Entry'!X$7="Decrease Risk",10-10*((IF('Council Entry'!X$4="Logarithm",LN(0.001+IF(AND(ISNUMBER('Council Entry'!X$8),ISNUMBER('Council Entry'!X$9)),MAX(MIN('Council Entry'!X110,'Council Entry'!X$9),'Council Entry'!X$8),'Council Entry'!X110)),IF('Council Entry'!X$4="Exponential",EXP(IF(AND(ISNUMBER('Council Entry'!X$8),ISNUMBER('Council Entry'!X$9)),MAX(MIN('Council Entry'!X110,'Council Entry'!X$9),'Council Entry'!X$8),'Council Entry'!X110)),IF(AND(ISNUMBER('Council Entry'!X$8),ISNUMBER('Council Entry'!X$9)),MAX(MIN('Council Entry'!X110,'Council Entry'!X$9),'Council Entry'!X$8),'Council Entry'!X110))))-'Council Entry'!X$5)/('Council Entry'!X$6-'Council Entry'!X$5),10*((IF('Council Entry'!X$4="Logarithm",LN(0.001+IF(AND(ISNUMBER('Council Entry'!X$8),ISNUMBER('Council Entry'!X$9)),MAX(MIN('Council Entry'!X110,'Council Entry'!X$9),'Council Entry'!X$8),'Council Entry'!X110)),IF('Council Entry'!X$4="Exponential",EXP(IF(AND(ISNUMBER('Council Entry'!X$8),ISNUMBER('Council Entry'!X$9)),MAX(MIN('Council Entry'!X110,'Council Entry'!X$9),'Council Entry'!X$8),'Council Entry'!X110)),IF(AND(ISNUMBER('Council Entry'!X$8),ISNUMBER('Council Entry'!X$9)),MAX(MIN('Council Entry'!X110,'Council Entry'!X$9),'Council Entry'!X$8),'Council Entry'!X110))))-'Council Entry'!X$5)/('Council Entry'!X$6-'Council Entry'!X$5)),1))),"No data"))</f>
        <v/>
      </c>
      <c r="Y110" s="13">
        <f>IF('Council Entry'!Y110="","",IFERROR(MAX(0,MIN(10,ROUND(IF('Council Entry'!Y$7="Decrease Risk",10-10*((IF('Council Entry'!Y$4="Logarithm",LN(0.001+IF(AND(ISNUMBER('Council Entry'!Y$8),ISNUMBER('Council Entry'!Y$9)),MAX(MIN('Council Entry'!Y110,'Council Entry'!Y$9),'Council Entry'!Y$8),'Council Entry'!Y110)),IF('Council Entry'!Y$4="Exponential",EXP(IF(AND(ISNUMBER('Council Entry'!Y$8),ISNUMBER('Council Entry'!Y$9)),MAX(MIN('Council Entry'!Y110,'Council Entry'!Y$9),'Council Entry'!Y$8),'Council Entry'!Y110)),IF(AND(ISNUMBER('Council Entry'!Y$8),ISNUMBER('Council Entry'!Y$9)),MAX(MIN('Council Entry'!Y110,'Council Entry'!Y$9),'Council Entry'!Y$8),'Council Entry'!Y110))))-'Council Entry'!Y$5)/('Council Entry'!Y$6-'Council Entry'!Y$5),10*((IF('Council Entry'!Y$4="Logarithm",LN(0.001+IF(AND(ISNUMBER('Council Entry'!Y$8),ISNUMBER('Council Entry'!Y$9)),MAX(MIN('Council Entry'!Y110,'Council Entry'!Y$9),'Council Entry'!Y$8),'Council Entry'!Y110)),IF('Council Entry'!Y$4="Exponential",EXP(IF(AND(ISNUMBER('Council Entry'!Y$8),ISNUMBER('Council Entry'!Y$9)),MAX(MIN('Council Entry'!Y110,'Council Entry'!Y$9),'Council Entry'!Y$8),'Council Entry'!Y110)),IF(AND(ISNUMBER('Council Entry'!Y$8),ISNUMBER('Council Entry'!Y$9)),MAX(MIN('Council Entry'!Y110,'Council Entry'!Y$9),'Council Entry'!Y$8),'Council Entry'!Y110))))-'Council Entry'!Y$5)/('Council Entry'!Y$6-'Council Entry'!Y$5)),1))),"No data"))</f>
        <v/>
      </c>
      <c r="Z110" s="13">
        <f>IF('Council Entry'!Z110="","",IFERROR(MAX(0,MIN(10,ROUND(IF('Council Entry'!Z$7="Decrease Risk",10-10*((IF('Council Entry'!Z$4="Logarithm",LN(0.001+IF(AND(ISNUMBER('Council Entry'!Z$8),ISNUMBER('Council Entry'!Z$9)),MAX(MIN('Council Entry'!Z110,'Council Entry'!Z$9),'Council Entry'!Z$8),'Council Entry'!Z110)),IF('Council Entry'!Z$4="Exponential",EXP(IF(AND(ISNUMBER('Council Entry'!Z$8),ISNUMBER('Council Entry'!Z$9)),MAX(MIN('Council Entry'!Z110,'Council Entry'!Z$9),'Council Entry'!Z$8),'Council Entry'!Z110)),IF(AND(ISNUMBER('Council Entry'!Z$8),ISNUMBER('Council Entry'!Z$9)),MAX(MIN('Council Entry'!Z110,'Council Entry'!Z$9),'Council Entry'!Z$8),'Council Entry'!Z110))))-'Council Entry'!Z$5)/('Council Entry'!Z$6-'Council Entry'!Z$5),10*((IF('Council Entry'!Z$4="Logarithm",LN(0.001+IF(AND(ISNUMBER('Council Entry'!Z$8),ISNUMBER('Council Entry'!Z$9)),MAX(MIN('Council Entry'!Z110,'Council Entry'!Z$9),'Council Entry'!Z$8),'Council Entry'!Z110)),IF('Council Entry'!Z$4="Exponential",EXP(IF(AND(ISNUMBER('Council Entry'!Z$8),ISNUMBER('Council Entry'!Z$9)),MAX(MIN('Council Entry'!Z110,'Council Entry'!Z$9),'Council Entry'!Z$8),'Council Entry'!Z110)),IF(AND(ISNUMBER('Council Entry'!Z$8),ISNUMBER('Council Entry'!Z$9)),MAX(MIN('Council Entry'!Z110,'Council Entry'!Z$9),'Council Entry'!Z$8),'Council Entry'!Z110))))-'Council Entry'!Z$5)/('Council Entry'!Z$6-'Council Entry'!Z$5)),1))),"No data"))</f>
        <v/>
      </c>
      <c r="AA110" s="13">
        <f>IF('Council Entry'!AA110="","",IFERROR(MAX(0,MIN(10,ROUND(IF('Council Entry'!AA$7="Decrease Risk",10-10*((IF('Council Entry'!AA$4="Logarithm",LN(0.001+IF(AND(ISNUMBER('Council Entry'!AA$8),ISNUMBER('Council Entry'!AA$9)),MAX(MIN('Council Entry'!AA110,'Council Entry'!AA$9),'Council Entry'!AA$8),'Council Entry'!AA110)),IF('Council Entry'!AA$4="Exponential",EXP(IF(AND(ISNUMBER('Council Entry'!AA$8),ISNUMBER('Council Entry'!AA$9)),MAX(MIN('Council Entry'!AA110,'Council Entry'!AA$9),'Council Entry'!AA$8),'Council Entry'!AA110)),IF(AND(ISNUMBER('Council Entry'!AA$8),ISNUMBER('Council Entry'!AA$9)),MAX(MIN('Council Entry'!AA110,'Council Entry'!AA$9),'Council Entry'!AA$8),'Council Entry'!AA110))))-'Council Entry'!AA$5)/('Council Entry'!AA$6-'Council Entry'!AA$5),10*((IF('Council Entry'!AA$4="Logarithm",LN(0.001+IF(AND(ISNUMBER('Council Entry'!AA$8),ISNUMBER('Council Entry'!AA$9)),MAX(MIN('Council Entry'!AA110,'Council Entry'!AA$9),'Council Entry'!AA$8),'Council Entry'!AA110)),IF('Council Entry'!AA$4="Exponential",EXP(IF(AND(ISNUMBER('Council Entry'!AA$8),ISNUMBER('Council Entry'!AA$9)),MAX(MIN('Council Entry'!AA110,'Council Entry'!AA$9),'Council Entry'!AA$8),'Council Entry'!AA110)),IF(AND(ISNUMBER('Council Entry'!AA$8),ISNUMBER('Council Entry'!AA$9)),MAX(MIN('Council Entry'!AA110,'Council Entry'!AA$9),'Council Entry'!AA$8),'Council Entry'!AA110))))-'Council Entry'!AA$5)/('Council Entry'!AA$6-'Council Entry'!AA$5)),1))),"No data"))</f>
        <v/>
      </c>
      <c r="AB110" s="13">
        <f>IF('Council Entry'!AB110="","",IFERROR(MAX(0,MIN(10,ROUND(IF('Council Entry'!AB$7="Decrease Risk",10-10*((IF('Council Entry'!AB$4="Logarithm",LN(0.001+IF(AND(ISNUMBER('Council Entry'!AB$8),ISNUMBER('Council Entry'!AB$9)),MAX(MIN('Council Entry'!AB110,'Council Entry'!AB$9),'Council Entry'!AB$8),'Council Entry'!AB110)),IF('Council Entry'!AB$4="Exponential",EXP(IF(AND(ISNUMBER('Council Entry'!AB$8),ISNUMBER('Council Entry'!AB$9)),MAX(MIN('Council Entry'!AB110,'Council Entry'!AB$9),'Council Entry'!AB$8),'Council Entry'!AB110)),IF(AND(ISNUMBER('Council Entry'!AB$8),ISNUMBER('Council Entry'!AB$9)),MAX(MIN('Council Entry'!AB110,'Council Entry'!AB$9),'Council Entry'!AB$8),'Council Entry'!AB110))))-'Council Entry'!AB$5)/('Council Entry'!AB$6-'Council Entry'!AB$5),10*((IF('Council Entry'!AB$4="Logarithm",LN(0.001+IF(AND(ISNUMBER('Council Entry'!AB$8),ISNUMBER('Council Entry'!AB$9)),MAX(MIN('Council Entry'!AB110,'Council Entry'!AB$9),'Council Entry'!AB$8),'Council Entry'!AB110)),IF('Council Entry'!AB$4="Exponential",EXP(IF(AND(ISNUMBER('Council Entry'!AB$8),ISNUMBER('Council Entry'!AB$9)),MAX(MIN('Council Entry'!AB110,'Council Entry'!AB$9),'Council Entry'!AB$8),'Council Entry'!AB110)),IF(AND(ISNUMBER('Council Entry'!AB$8),ISNUMBER('Council Entry'!AB$9)),MAX(MIN('Council Entry'!AB110,'Council Entry'!AB$9),'Council Entry'!AB$8),'Council Entry'!AB110))))-'Council Entry'!AB$5)/('Council Entry'!AB$6-'Council Entry'!AB$5)),1))),"No data"))</f>
        <v/>
      </c>
      <c r="AC110" s="13">
        <f>IF('Council Entry'!AC110="","",IFERROR(MAX(0,MIN(10,ROUND(IF('Council Entry'!AC$7="Decrease Risk",10-10*((IF('Council Entry'!AC$4="Logarithm",LN(0.001+IF(AND(ISNUMBER('Council Entry'!AC$8),ISNUMBER('Council Entry'!AC$9)),MAX(MIN('Council Entry'!AC110,'Council Entry'!AC$9),'Council Entry'!AC$8),'Council Entry'!AC110)),IF('Council Entry'!AC$4="Exponential",EXP(IF(AND(ISNUMBER('Council Entry'!AC$8),ISNUMBER('Council Entry'!AC$9)),MAX(MIN('Council Entry'!AC110,'Council Entry'!AC$9),'Council Entry'!AC$8),'Council Entry'!AC110)),IF(AND(ISNUMBER('Council Entry'!AC$8),ISNUMBER('Council Entry'!AC$9)),MAX(MIN('Council Entry'!AC110,'Council Entry'!AC$9),'Council Entry'!AC$8),'Council Entry'!AC110))))-'Council Entry'!AC$5)/('Council Entry'!AC$6-'Council Entry'!AC$5),10*((IF('Council Entry'!AC$4="Logarithm",LN(0.001+IF(AND(ISNUMBER('Council Entry'!AC$8),ISNUMBER('Council Entry'!AC$9)),MAX(MIN('Council Entry'!AC110,'Council Entry'!AC$9),'Council Entry'!AC$8),'Council Entry'!AC110)),IF('Council Entry'!AC$4="Exponential",EXP(IF(AND(ISNUMBER('Council Entry'!AC$8),ISNUMBER('Council Entry'!AC$9)),MAX(MIN('Council Entry'!AC110,'Council Entry'!AC$9),'Council Entry'!AC$8),'Council Entry'!AC110)),IF(AND(ISNUMBER('Council Entry'!AC$8),ISNUMBER('Council Entry'!AC$9)),MAX(MIN('Council Entry'!AC110,'Council Entry'!AC$9),'Council Entry'!AC$8),'Council Entry'!AC110))))-'Council Entry'!AC$5)/('Council Entry'!AC$6-'Council Entry'!AC$5)),1))),"No data"))</f>
        <v/>
      </c>
      <c r="AD110" s="13">
        <f>IF('Council Entry'!AD110="","",IFERROR(MAX(0,MIN(10,ROUND(IF('Council Entry'!AD$7="Decrease Risk",10-10*((IF('Council Entry'!AD$4="Logarithm",LN(0.001+IF(AND(ISNUMBER('Council Entry'!AD$8),ISNUMBER('Council Entry'!AD$9)),MAX(MIN('Council Entry'!AD110,'Council Entry'!AD$9),'Council Entry'!AD$8),'Council Entry'!AD110)),IF('Council Entry'!AD$4="Exponential",EXP(IF(AND(ISNUMBER('Council Entry'!AD$8),ISNUMBER('Council Entry'!AD$9)),MAX(MIN('Council Entry'!AD110,'Council Entry'!AD$9),'Council Entry'!AD$8),'Council Entry'!AD110)),IF(AND(ISNUMBER('Council Entry'!AD$8),ISNUMBER('Council Entry'!AD$9)),MAX(MIN('Council Entry'!AD110,'Council Entry'!AD$9),'Council Entry'!AD$8),'Council Entry'!AD110))))-'Council Entry'!AD$5)/('Council Entry'!AD$6-'Council Entry'!AD$5),10*((IF('Council Entry'!AD$4="Logarithm",LN(0.001+IF(AND(ISNUMBER('Council Entry'!AD$8),ISNUMBER('Council Entry'!AD$9)),MAX(MIN('Council Entry'!AD110,'Council Entry'!AD$9),'Council Entry'!AD$8),'Council Entry'!AD110)),IF('Council Entry'!AD$4="Exponential",EXP(IF(AND(ISNUMBER('Council Entry'!AD$8),ISNUMBER('Council Entry'!AD$9)),MAX(MIN('Council Entry'!AD110,'Council Entry'!AD$9),'Council Entry'!AD$8),'Council Entry'!AD110)),IF(AND(ISNUMBER('Council Entry'!AD$8),ISNUMBER('Council Entry'!AD$9)),MAX(MIN('Council Entry'!AD110,'Council Entry'!AD$9),'Council Entry'!AD$8),'Council Entry'!AD110))))-'Council Entry'!AD$5)/('Council Entry'!AD$6-'Council Entry'!AD$5)),1))),"No data"))</f>
        <v/>
      </c>
      <c r="AE110" s="13">
        <f>IF('Council Entry'!AE110="","",IFERROR(MAX(0,MIN(10,ROUND(IF('Council Entry'!AE$7="Decrease Risk",10-10*((IF('Council Entry'!AE$4="Logarithm",LN(0.001+IF(AND(ISNUMBER('Council Entry'!AE$8),ISNUMBER('Council Entry'!AE$9)),MAX(MIN('Council Entry'!AE110,'Council Entry'!AE$9),'Council Entry'!AE$8),'Council Entry'!AE110)),IF('Council Entry'!AE$4="Exponential",EXP(IF(AND(ISNUMBER('Council Entry'!AE$8),ISNUMBER('Council Entry'!AE$9)),MAX(MIN('Council Entry'!AE110,'Council Entry'!AE$9),'Council Entry'!AE$8),'Council Entry'!AE110)),IF(AND(ISNUMBER('Council Entry'!AE$8),ISNUMBER('Council Entry'!AE$9)),MAX(MIN('Council Entry'!AE110,'Council Entry'!AE$9),'Council Entry'!AE$8),'Council Entry'!AE110))))-'Council Entry'!AE$5)/('Council Entry'!AE$6-'Council Entry'!AE$5),10*((IF('Council Entry'!AE$4="Logarithm",LN(0.001+IF(AND(ISNUMBER('Council Entry'!AE$8),ISNUMBER('Council Entry'!AE$9)),MAX(MIN('Council Entry'!AE110,'Council Entry'!AE$9),'Council Entry'!AE$8),'Council Entry'!AE110)),IF('Council Entry'!AE$4="Exponential",EXP(IF(AND(ISNUMBER('Council Entry'!AE$8),ISNUMBER('Council Entry'!AE$9)),MAX(MIN('Council Entry'!AE110,'Council Entry'!AE$9),'Council Entry'!AE$8),'Council Entry'!AE110)),IF(AND(ISNUMBER('Council Entry'!AE$8),ISNUMBER('Council Entry'!AE$9)),MAX(MIN('Council Entry'!AE110,'Council Entry'!AE$9),'Council Entry'!AE$8),'Council Entry'!AE110))))-'Council Entry'!AE$5)/('Council Entry'!AE$6-'Council Entry'!AE$5)),1))),"No data"))</f>
        <v/>
      </c>
      <c r="AF110" s="13">
        <f>IF('Council Entry'!AF110="","",IFERROR(MAX(0,MIN(10,ROUND(IF('Council Entry'!AF$7="Decrease Risk",10-10*((IF('Council Entry'!AF$4="Logarithm",LN(0.001+IF(AND(ISNUMBER('Council Entry'!AF$8),ISNUMBER('Council Entry'!AF$9)),MAX(MIN('Council Entry'!AF110,'Council Entry'!AF$9),'Council Entry'!AF$8),'Council Entry'!AF110)),IF('Council Entry'!AF$4="Exponential",EXP(IF(AND(ISNUMBER('Council Entry'!AF$8),ISNUMBER('Council Entry'!AF$9)),MAX(MIN('Council Entry'!AF110,'Council Entry'!AF$9),'Council Entry'!AF$8),'Council Entry'!AF110)),IF(AND(ISNUMBER('Council Entry'!AF$8),ISNUMBER('Council Entry'!AF$9)),MAX(MIN('Council Entry'!AF110,'Council Entry'!AF$9),'Council Entry'!AF$8),'Council Entry'!AF110))))-'Council Entry'!AF$5)/('Council Entry'!AF$6-'Council Entry'!AF$5),10*((IF('Council Entry'!AF$4="Logarithm",LN(0.001+IF(AND(ISNUMBER('Council Entry'!AF$8),ISNUMBER('Council Entry'!AF$9)),MAX(MIN('Council Entry'!AF110,'Council Entry'!AF$9),'Council Entry'!AF$8),'Council Entry'!AF110)),IF('Council Entry'!AF$4="Exponential",EXP(IF(AND(ISNUMBER('Council Entry'!AF$8),ISNUMBER('Council Entry'!AF$9)),MAX(MIN('Council Entry'!AF110,'Council Entry'!AF$9),'Council Entry'!AF$8),'Council Entry'!AF110)),IF(AND(ISNUMBER('Council Entry'!AF$8),ISNUMBER('Council Entry'!AF$9)),MAX(MIN('Council Entry'!AF110,'Council Entry'!AF$9),'Council Entry'!AF$8),'Council Entry'!AF110))))-'Council Entry'!AF$5)/('Council Entry'!AF$6-'Council Entry'!AF$5)),1))),"No data"))</f>
        <v/>
      </c>
      <c r="AG110" s="13">
        <f>IF('Council Entry'!AG110="","",IFERROR(MAX(0,MIN(10,ROUND(IF('Council Entry'!AG$7="Decrease Risk",10-10*((IF('Council Entry'!AG$4="Logarithm",LN(0.001+IF(AND(ISNUMBER('Council Entry'!AG$8),ISNUMBER('Council Entry'!AG$9)),MAX(MIN('Council Entry'!AG110,'Council Entry'!AG$9),'Council Entry'!AG$8),'Council Entry'!AG110)),IF('Council Entry'!AG$4="Exponential",EXP(IF(AND(ISNUMBER('Council Entry'!AG$8),ISNUMBER('Council Entry'!AG$9)),MAX(MIN('Council Entry'!AG110,'Council Entry'!AG$9),'Council Entry'!AG$8),'Council Entry'!AG110)),IF(AND(ISNUMBER('Council Entry'!AG$8),ISNUMBER('Council Entry'!AG$9)),MAX(MIN('Council Entry'!AG110,'Council Entry'!AG$9),'Council Entry'!AG$8),'Council Entry'!AG110))))-'Council Entry'!AG$5)/('Council Entry'!AG$6-'Council Entry'!AG$5),10*((IF('Council Entry'!AG$4="Logarithm",LN(0.001+IF(AND(ISNUMBER('Council Entry'!AG$8),ISNUMBER('Council Entry'!AG$9)),MAX(MIN('Council Entry'!AG110,'Council Entry'!AG$9),'Council Entry'!AG$8),'Council Entry'!AG110)),IF('Council Entry'!AG$4="Exponential",EXP(IF(AND(ISNUMBER('Council Entry'!AG$8),ISNUMBER('Council Entry'!AG$9)),MAX(MIN('Council Entry'!AG110,'Council Entry'!AG$9),'Council Entry'!AG$8),'Council Entry'!AG110)),IF(AND(ISNUMBER('Council Entry'!AG$8),ISNUMBER('Council Entry'!AG$9)),MAX(MIN('Council Entry'!AG110,'Council Entry'!AG$9),'Council Entry'!AG$8),'Council Entry'!AG110))))-'Council Entry'!AG$5)/('Council Entry'!AG$6-'Council Entry'!AG$5)),1))),"No data"))</f>
        <v/>
      </c>
      <c r="AH110" s="13">
        <f>IF('Council Entry'!AH110="","",IFERROR(MAX(0,MIN(10,ROUND(IF('Council Entry'!AH$7="Decrease Risk",10-10*((IF('Council Entry'!AH$4="Logarithm",LN(0.001+IF(AND(ISNUMBER('Council Entry'!AH$8),ISNUMBER('Council Entry'!AH$9)),MAX(MIN('Council Entry'!AH110,'Council Entry'!AH$9),'Council Entry'!AH$8),'Council Entry'!AH110)),IF('Council Entry'!AH$4="Exponential",EXP(IF(AND(ISNUMBER('Council Entry'!AH$8),ISNUMBER('Council Entry'!AH$9)),MAX(MIN('Council Entry'!AH110,'Council Entry'!AH$9),'Council Entry'!AH$8),'Council Entry'!AH110)),IF(AND(ISNUMBER('Council Entry'!AH$8),ISNUMBER('Council Entry'!AH$9)),MAX(MIN('Council Entry'!AH110,'Council Entry'!AH$9),'Council Entry'!AH$8),'Council Entry'!AH110))))-'Council Entry'!AH$5)/('Council Entry'!AH$6-'Council Entry'!AH$5),10*((IF('Council Entry'!AH$4="Logarithm",LN(0.001+IF(AND(ISNUMBER('Council Entry'!AH$8),ISNUMBER('Council Entry'!AH$9)),MAX(MIN('Council Entry'!AH110,'Council Entry'!AH$9),'Council Entry'!AH$8),'Council Entry'!AH110)),IF('Council Entry'!AH$4="Exponential",EXP(IF(AND(ISNUMBER('Council Entry'!AH$8),ISNUMBER('Council Entry'!AH$9)),MAX(MIN('Council Entry'!AH110,'Council Entry'!AH$9),'Council Entry'!AH$8),'Council Entry'!AH110)),IF(AND(ISNUMBER('Council Entry'!AH$8),ISNUMBER('Council Entry'!AH$9)),MAX(MIN('Council Entry'!AH110,'Council Entry'!AH$9),'Council Entry'!AH$8),'Council Entry'!AH110))))-'Council Entry'!AH$5)/('Council Entry'!AH$6-'Council Entry'!AH$5)),1))),"No data"))</f>
        <v/>
      </c>
      <c r="AI110" s="13">
        <f>IF('Council Entry'!AI110="","",IFERROR(MAX(0,MIN(10,ROUND(IF('Council Entry'!AI$7="Decrease Risk",10-10*((IF('Council Entry'!AI$4="Logarithm",LN(0.001+IF(AND(ISNUMBER('Council Entry'!AI$8),ISNUMBER('Council Entry'!AI$9)),MAX(MIN('Council Entry'!AI110,'Council Entry'!AI$9),'Council Entry'!AI$8),'Council Entry'!AI110)),IF('Council Entry'!AI$4="Exponential",EXP(IF(AND(ISNUMBER('Council Entry'!AI$8),ISNUMBER('Council Entry'!AI$9)),MAX(MIN('Council Entry'!AI110,'Council Entry'!AI$9),'Council Entry'!AI$8),'Council Entry'!AI110)),IF(AND(ISNUMBER('Council Entry'!AI$8),ISNUMBER('Council Entry'!AI$9)),MAX(MIN('Council Entry'!AI110,'Council Entry'!AI$9),'Council Entry'!AI$8),'Council Entry'!AI110))))-'Council Entry'!AI$5)/('Council Entry'!AI$6-'Council Entry'!AI$5),10*((IF('Council Entry'!AI$4="Logarithm",LN(0.001+IF(AND(ISNUMBER('Council Entry'!AI$8),ISNUMBER('Council Entry'!AI$9)),MAX(MIN('Council Entry'!AI110,'Council Entry'!AI$9),'Council Entry'!AI$8),'Council Entry'!AI110)),IF('Council Entry'!AI$4="Exponential",EXP(IF(AND(ISNUMBER('Council Entry'!AI$8),ISNUMBER('Council Entry'!AI$9)),MAX(MIN('Council Entry'!AI110,'Council Entry'!AI$9),'Council Entry'!AI$8),'Council Entry'!AI110)),IF(AND(ISNUMBER('Council Entry'!AI$8),ISNUMBER('Council Entry'!AI$9)),MAX(MIN('Council Entry'!AI110,'Council Entry'!AI$9),'Council Entry'!AI$8),'Council Entry'!AI110))))-'Council Entry'!AI$5)/('Council Entry'!AI$6-'Council Entry'!AI$5)),1))),"No data"))</f>
        <v/>
      </c>
      <c r="AJ110" s="13">
        <f>IF('Council Entry'!AJ110="","",IFERROR(MAX(0,MIN(10,ROUND(IF('Council Entry'!AJ$7="Decrease Risk",10-10*((IF('Council Entry'!AJ$4="Logarithm",LN(0.001+IF(AND(ISNUMBER('Council Entry'!AJ$8),ISNUMBER('Council Entry'!AJ$9)),MAX(MIN('Council Entry'!AJ110,'Council Entry'!AJ$9),'Council Entry'!AJ$8),'Council Entry'!AJ110)),IF('Council Entry'!AJ$4="Exponential",EXP(IF(AND(ISNUMBER('Council Entry'!AJ$8),ISNUMBER('Council Entry'!AJ$9)),MAX(MIN('Council Entry'!AJ110,'Council Entry'!AJ$9),'Council Entry'!AJ$8),'Council Entry'!AJ110)),IF(AND(ISNUMBER('Council Entry'!AJ$8),ISNUMBER('Council Entry'!AJ$9)),MAX(MIN('Council Entry'!AJ110,'Council Entry'!AJ$9),'Council Entry'!AJ$8),'Council Entry'!AJ110))))-'Council Entry'!AJ$5)/('Council Entry'!AJ$6-'Council Entry'!AJ$5),10*((IF('Council Entry'!AJ$4="Logarithm",LN(0.001+IF(AND(ISNUMBER('Council Entry'!AJ$8),ISNUMBER('Council Entry'!AJ$9)),MAX(MIN('Council Entry'!AJ110,'Council Entry'!AJ$9),'Council Entry'!AJ$8),'Council Entry'!AJ110)),IF('Council Entry'!AJ$4="Exponential",EXP(IF(AND(ISNUMBER('Council Entry'!AJ$8),ISNUMBER('Council Entry'!AJ$9)),MAX(MIN('Council Entry'!AJ110,'Council Entry'!AJ$9),'Council Entry'!AJ$8),'Council Entry'!AJ110)),IF(AND(ISNUMBER('Council Entry'!AJ$8),ISNUMBER('Council Entry'!AJ$9)),MAX(MIN('Council Entry'!AJ110,'Council Entry'!AJ$9),'Council Entry'!AJ$8),'Council Entry'!AJ110))))-'Council Entry'!AJ$5)/('Council Entry'!AJ$6-'Council Entry'!AJ$5)),1))),"No data"))</f>
        <v/>
      </c>
      <c r="AK110" s="13">
        <f>IF('Council Entry'!AK110="","",IFERROR(MAX(0,MIN(10,ROUND(IF('Council Entry'!AK$7="Decrease Risk",10-10*((IF('Council Entry'!AK$4="Logarithm",LN(0.001+IF(AND(ISNUMBER('Council Entry'!AK$8),ISNUMBER('Council Entry'!AK$9)),MAX(MIN('Council Entry'!AK110,'Council Entry'!AK$9),'Council Entry'!AK$8),'Council Entry'!AK110)),IF('Council Entry'!AK$4="Exponential",EXP(IF(AND(ISNUMBER('Council Entry'!AK$8),ISNUMBER('Council Entry'!AK$9)),MAX(MIN('Council Entry'!AK110,'Council Entry'!AK$9),'Council Entry'!AK$8),'Council Entry'!AK110)),IF(AND(ISNUMBER('Council Entry'!AK$8),ISNUMBER('Council Entry'!AK$9)),MAX(MIN('Council Entry'!AK110,'Council Entry'!AK$9),'Council Entry'!AK$8),'Council Entry'!AK110))))-'Council Entry'!AK$5)/('Council Entry'!AK$6-'Council Entry'!AK$5),10*((IF('Council Entry'!AK$4="Logarithm",LN(0.001+IF(AND(ISNUMBER('Council Entry'!AK$8),ISNUMBER('Council Entry'!AK$9)),MAX(MIN('Council Entry'!AK110,'Council Entry'!AK$9),'Council Entry'!AK$8),'Council Entry'!AK110)),IF('Council Entry'!AK$4="Exponential",EXP(IF(AND(ISNUMBER('Council Entry'!AK$8),ISNUMBER('Council Entry'!AK$9)),MAX(MIN('Council Entry'!AK110,'Council Entry'!AK$9),'Council Entry'!AK$8),'Council Entry'!AK110)),IF(AND(ISNUMBER('Council Entry'!AK$8),ISNUMBER('Council Entry'!AK$9)),MAX(MIN('Council Entry'!AK110,'Council Entry'!AK$9),'Council Entry'!AK$8),'Council Entry'!AK110))))-'Council Entry'!AK$5)/('Council Entry'!AK$6-'Council Entry'!AK$5)),1))),"No data"))</f>
        <v/>
      </c>
      <c r="AL110" s="13">
        <f>IF('Council Entry'!AL110="","",IFERROR(MAX(0,MIN(10,ROUND(IF('Council Entry'!AL$7="Decrease Risk",10-10*((IF('Council Entry'!AL$4="Logarithm",LN(0.001+IF(AND(ISNUMBER('Council Entry'!AL$8),ISNUMBER('Council Entry'!AL$9)),MAX(MIN('Council Entry'!AL110,'Council Entry'!AL$9),'Council Entry'!AL$8),'Council Entry'!AL110)),IF('Council Entry'!AL$4="Exponential",EXP(IF(AND(ISNUMBER('Council Entry'!AL$8),ISNUMBER('Council Entry'!AL$9)),MAX(MIN('Council Entry'!AL110,'Council Entry'!AL$9),'Council Entry'!AL$8),'Council Entry'!AL110)),IF(AND(ISNUMBER('Council Entry'!AL$8),ISNUMBER('Council Entry'!AL$9)),MAX(MIN('Council Entry'!AL110,'Council Entry'!AL$9),'Council Entry'!AL$8),'Council Entry'!AL110))))-'Council Entry'!AL$5)/('Council Entry'!AL$6-'Council Entry'!AL$5),10*((IF('Council Entry'!AL$4="Logarithm",LN(0.001+IF(AND(ISNUMBER('Council Entry'!AL$8),ISNUMBER('Council Entry'!AL$9)),MAX(MIN('Council Entry'!AL110,'Council Entry'!AL$9),'Council Entry'!AL$8),'Council Entry'!AL110)),IF('Council Entry'!AL$4="Exponential",EXP(IF(AND(ISNUMBER('Council Entry'!AL$8),ISNUMBER('Council Entry'!AL$9)),MAX(MIN('Council Entry'!AL110,'Council Entry'!AL$9),'Council Entry'!AL$8),'Council Entry'!AL110)),IF(AND(ISNUMBER('Council Entry'!AL$8),ISNUMBER('Council Entry'!AL$9)),MAX(MIN('Council Entry'!AL110,'Council Entry'!AL$9),'Council Entry'!AL$8),'Council Entry'!AL110))))-'Council Entry'!AL$5)/('Council Entry'!AL$6-'Council Entry'!AL$5)),1))),"No data"))</f>
        <v/>
      </c>
      <c r="AM110" s="13">
        <f>IF('Council Entry'!AM110="","",IFERROR(MAX(0,MIN(10,ROUND(IF('Council Entry'!AM$7="Decrease Risk",10-10*((IF('Council Entry'!AM$4="Logarithm",LN(0.001+IF(AND(ISNUMBER('Council Entry'!AM$8),ISNUMBER('Council Entry'!AM$9)),MAX(MIN('Council Entry'!AM110,'Council Entry'!AM$9),'Council Entry'!AM$8),'Council Entry'!AM110)),IF('Council Entry'!AM$4="Exponential",EXP(IF(AND(ISNUMBER('Council Entry'!AM$8),ISNUMBER('Council Entry'!AM$9)),MAX(MIN('Council Entry'!AM110,'Council Entry'!AM$9),'Council Entry'!AM$8),'Council Entry'!AM110)),IF(AND(ISNUMBER('Council Entry'!AM$8),ISNUMBER('Council Entry'!AM$9)),MAX(MIN('Council Entry'!AM110,'Council Entry'!AM$9),'Council Entry'!AM$8),'Council Entry'!AM110))))-'Council Entry'!AM$5)/('Council Entry'!AM$6-'Council Entry'!AM$5),10*((IF('Council Entry'!AM$4="Logarithm",LN(0.001+IF(AND(ISNUMBER('Council Entry'!AM$8),ISNUMBER('Council Entry'!AM$9)),MAX(MIN('Council Entry'!AM110,'Council Entry'!AM$9),'Council Entry'!AM$8),'Council Entry'!AM110)),IF('Council Entry'!AM$4="Exponential",EXP(IF(AND(ISNUMBER('Council Entry'!AM$8),ISNUMBER('Council Entry'!AM$9)),MAX(MIN('Council Entry'!AM110,'Council Entry'!AM$9),'Council Entry'!AM$8),'Council Entry'!AM110)),IF(AND(ISNUMBER('Council Entry'!AM$8),ISNUMBER('Council Entry'!AM$9)),MAX(MIN('Council Entry'!AM110,'Council Entry'!AM$9),'Council Entry'!AM$8),'Council Entry'!AM110))))-'Council Entry'!AM$5)/('Council Entry'!AM$6-'Council Entry'!AM$5)),1))),"No data"))</f>
        <v/>
      </c>
      <c r="AN110" s="13">
        <f>IF('Council Entry'!AN110="","",IFERROR(MAX(0,MIN(10,ROUND(IF('Council Entry'!AN$7="Decrease Risk",10-10*((IF('Council Entry'!AN$4="Logarithm",LN(0.001+IF(AND(ISNUMBER('Council Entry'!AN$8),ISNUMBER('Council Entry'!AN$9)),MAX(MIN('Council Entry'!AN110,'Council Entry'!AN$9),'Council Entry'!AN$8),'Council Entry'!AN110)),IF('Council Entry'!AN$4="Exponential",EXP(IF(AND(ISNUMBER('Council Entry'!AN$8),ISNUMBER('Council Entry'!AN$9)),MAX(MIN('Council Entry'!AN110,'Council Entry'!AN$9),'Council Entry'!AN$8),'Council Entry'!AN110)),IF(AND(ISNUMBER('Council Entry'!AN$8),ISNUMBER('Council Entry'!AN$9)),MAX(MIN('Council Entry'!AN110,'Council Entry'!AN$9),'Council Entry'!AN$8),'Council Entry'!AN110))))-'Council Entry'!AN$5)/('Council Entry'!AN$6-'Council Entry'!AN$5),10*((IF('Council Entry'!AN$4="Logarithm",LN(0.001+IF(AND(ISNUMBER('Council Entry'!AN$8),ISNUMBER('Council Entry'!AN$9)),MAX(MIN('Council Entry'!AN110,'Council Entry'!AN$9),'Council Entry'!AN$8),'Council Entry'!AN110)),IF('Council Entry'!AN$4="Exponential",EXP(IF(AND(ISNUMBER('Council Entry'!AN$8),ISNUMBER('Council Entry'!AN$9)),MAX(MIN('Council Entry'!AN110,'Council Entry'!AN$9),'Council Entry'!AN$8),'Council Entry'!AN110)),IF(AND(ISNUMBER('Council Entry'!AN$8),ISNUMBER('Council Entry'!AN$9)),MAX(MIN('Council Entry'!AN110,'Council Entry'!AN$9),'Council Entry'!AN$8),'Council Entry'!AN110))))-'Council Entry'!AN$5)/('Council Entry'!AN$6-'Council Entry'!AN$5)),1))),"No data"))</f>
        <v/>
      </c>
      <c r="AO110" s="13">
        <f>IF('Council Entry'!AO110="","",IFERROR(MAX(0,MIN(10,ROUND(IF('Council Entry'!AO$7="Decrease Risk",10-10*((IF('Council Entry'!AO$4="Logarithm",LN(0.001+IF(AND(ISNUMBER('Council Entry'!AO$8),ISNUMBER('Council Entry'!AO$9)),MAX(MIN('Council Entry'!AO110,'Council Entry'!AO$9),'Council Entry'!AO$8),'Council Entry'!AO110)),IF('Council Entry'!AO$4="Exponential",EXP(IF(AND(ISNUMBER('Council Entry'!AO$8),ISNUMBER('Council Entry'!AO$9)),MAX(MIN('Council Entry'!AO110,'Council Entry'!AO$9),'Council Entry'!AO$8),'Council Entry'!AO110)),IF(AND(ISNUMBER('Council Entry'!AO$8),ISNUMBER('Council Entry'!AO$9)),MAX(MIN('Council Entry'!AO110,'Council Entry'!AO$9),'Council Entry'!AO$8),'Council Entry'!AO110))))-'Council Entry'!AO$5)/('Council Entry'!AO$6-'Council Entry'!AO$5),10*((IF('Council Entry'!AO$4="Logarithm",LN(0.001+IF(AND(ISNUMBER('Council Entry'!AO$8),ISNUMBER('Council Entry'!AO$9)),MAX(MIN('Council Entry'!AO110,'Council Entry'!AO$9),'Council Entry'!AO$8),'Council Entry'!AO110)),IF('Council Entry'!AO$4="Exponential",EXP(IF(AND(ISNUMBER('Council Entry'!AO$8),ISNUMBER('Council Entry'!AO$9)),MAX(MIN('Council Entry'!AO110,'Council Entry'!AO$9),'Council Entry'!AO$8),'Council Entry'!AO110)),IF(AND(ISNUMBER('Council Entry'!AO$8),ISNUMBER('Council Entry'!AO$9)),MAX(MIN('Council Entry'!AO110,'Council Entry'!AO$9),'Council Entry'!AO$8),'Council Entry'!AO110))))-'Council Entry'!AO$5)/('Council Entry'!AO$6-'Council Entry'!AO$5)),1))),"No data"))</f>
        <v/>
      </c>
      <c r="AP110" s="13">
        <f>IF('Council Entry'!AP110="","",IFERROR(MAX(0,MIN(10,ROUND(IF('Council Entry'!AP$7="Decrease Risk",10-10*((IF('Council Entry'!AP$4="Logarithm",LN(0.001+IF(AND(ISNUMBER('Council Entry'!AP$8),ISNUMBER('Council Entry'!AP$9)),MAX(MIN('Council Entry'!AP110,'Council Entry'!AP$9),'Council Entry'!AP$8),'Council Entry'!AP110)),IF('Council Entry'!AP$4="Exponential",EXP(IF(AND(ISNUMBER('Council Entry'!AP$8),ISNUMBER('Council Entry'!AP$9)),MAX(MIN('Council Entry'!AP110,'Council Entry'!AP$9),'Council Entry'!AP$8),'Council Entry'!AP110)),IF(AND(ISNUMBER('Council Entry'!AP$8),ISNUMBER('Council Entry'!AP$9)),MAX(MIN('Council Entry'!AP110,'Council Entry'!AP$9),'Council Entry'!AP$8),'Council Entry'!AP110))))-'Council Entry'!AP$5)/('Council Entry'!AP$6-'Council Entry'!AP$5),10*((IF('Council Entry'!AP$4="Logarithm",LN(0.001+IF(AND(ISNUMBER('Council Entry'!AP$8),ISNUMBER('Council Entry'!AP$9)),MAX(MIN('Council Entry'!AP110,'Council Entry'!AP$9),'Council Entry'!AP$8),'Council Entry'!AP110)),IF('Council Entry'!AP$4="Exponential",EXP(IF(AND(ISNUMBER('Council Entry'!AP$8),ISNUMBER('Council Entry'!AP$9)),MAX(MIN('Council Entry'!AP110,'Council Entry'!AP$9),'Council Entry'!AP$8),'Council Entry'!AP110)),IF(AND(ISNUMBER('Council Entry'!AP$8),ISNUMBER('Council Entry'!AP$9)),MAX(MIN('Council Entry'!AP110,'Council Entry'!AP$9),'Council Entry'!AP$8),'Council Entry'!AP110))))-'Council Entry'!AP$5)/('Council Entry'!AP$6-'Council Entry'!AP$5)),1))),"No data"))</f>
        <v/>
      </c>
      <c r="AQ110" s="13">
        <f>IF('Council Entry'!AQ110="","",IFERROR(MAX(0,MIN(10,ROUND(IF('Council Entry'!AQ$7="Decrease Risk",10-10*((IF('Council Entry'!AQ$4="Logarithm",LN(0.001+IF(AND(ISNUMBER('Council Entry'!AQ$8),ISNUMBER('Council Entry'!AQ$9)),MAX(MIN('Council Entry'!AQ110,'Council Entry'!AQ$9),'Council Entry'!AQ$8),'Council Entry'!AQ110)),IF('Council Entry'!AQ$4="Exponential",EXP(IF(AND(ISNUMBER('Council Entry'!AQ$8),ISNUMBER('Council Entry'!AQ$9)),MAX(MIN('Council Entry'!AQ110,'Council Entry'!AQ$9),'Council Entry'!AQ$8),'Council Entry'!AQ110)),IF(AND(ISNUMBER('Council Entry'!AQ$8),ISNUMBER('Council Entry'!AQ$9)),MAX(MIN('Council Entry'!AQ110,'Council Entry'!AQ$9),'Council Entry'!AQ$8),'Council Entry'!AQ110))))-'Council Entry'!AQ$5)/('Council Entry'!AQ$6-'Council Entry'!AQ$5),10*((IF('Council Entry'!AQ$4="Logarithm",LN(0.001+IF(AND(ISNUMBER('Council Entry'!AQ$8),ISNUMBER('Council Entry'!AQ$9)),MAX(MIN('Council Entry'!AQ110,'Council Entry'!AQ$9),'Council Entry'!AQ$8),'Council Entry'!AQ110)),IF('Council Entry'!AQ$4="Exponential",EXP(IF(AND(ISNUMBER('Council Entry'!AQ$8),ISNUMBER('Council Entry'!AQ$9)),MAX(MIN('Council Entry'!AQ110,'Council Entry'!AQ$9),'Council Entry'!AQ$8),'Council Entry'!AQ110)),IF(AND(ISNUMBER('Council Entry'!AQ$8),ISNUMBER('Council Entry'!AQ$9)),MAX(MIN('Council Entry'!AQ110,'Council Entry'!AQ$9),'Council Entry'!AQ$8),'Council Entry'!AQ110))))-'Council Entry'!AQ$5)/('Council Entry'!AQ$6-'Council Entry'!AQ$5)),1))),"No data"))</f>
        <v/>
      </c>
      <c r="AR110" s="13">
        <f>IF('Council Entry'!AR110="","",IFERROR(MAX(0,MIN(10,ROUND(IF('Council Entry'!AR$7="Decrease Risk",10-10*((IF('Council Entry'!AR$4="Logarithm",LN(0.001+IF(AND(ISNUMBER('Council Entry'!AR$8),ISNUMBER('Council Entry'!AR$9)),MAX(MIN('Council Entry'!AR110,'Council Entry'!AR$9),'Council Entry'!AR$8),'Council Entry'!AR110)),IF('Council Entry'!AR$4="Exponential",EXP(IF(AND(ISNUMBER('Council Entry'!AR$8),ISNUMBER('Council Entry'!AR$9)),MAX(MIN('Council Entry'!AR110,'Council Entry'!AR$9),'Council Entry'!AR$8),'Council Entry'!AR110)),IF(AND(ISNUMBER('Council Entry'!AR$8),ISNUMBER('Council Entry'!AR$9)),MAX(MIN('Council Entry'!AR110,'Council Entry'!AR$9),'Council Entry'!AR$8),'Council Entry'!AR110))))-'Council Entry'!AR$5)/('Council Entry'!AR$6-'Council Entry'!AR$5),10*((IF('Council Entry'!AR$4="Logarithm",LN(0.001+IF(AND(ISNUMBER('Council Entry'!AR$8),ISNUMBER('Council Entry'!AR$9)),MAX(MIN('Council Entry'!AR110,'Council Entry'!AR$9),'Council Entry'!AR$8),'Council Entry'!AR110)),IF('Council Entry'!AR$4="Exponential",EXP(IF(AND(ISNUMBER('Council Entry'!AR$8),ISNUMBER('Council Entry'!AR$9)),MAX(MIN('Council Entry'!AR110,'Council Entry'!AR$9),'Council Entry'!AR$8),'Council Entry'!AR110)),IF(AND(ISNUMBER('Council Entry'!AR$8),ISNUMBER('Council Entry'!AR$9)),MAX(MIN('Council Entry'!AR110,'Council Entry'!AR$9),'Council Entry'!AR$8),'Council Entry'!AR110))))-'Council Entry'!AR$5)/('Council Entry'!AR$6-'Council Entry'!AR$5)),1))),"No data"))</f>
        <v/>
      </c>
      <c r="AS110" s="13">
        <f>IF('Council Entry'!AS110="","",IFERROR(MAX(0,MIN(10,ROUND(IF('Council Entry'!AS$7="Decrease Risk",10-10*((IF('Council Entry'!AS$4="Logarithm",LN(0.001+IF(AND(ISNUMBER('Council Entry'!AS$8),ISNUMBER('Council Entry'!AS$9)),MAX(MIN('Council Entry'!AS110,'Council Entry'!AS$9),'Council Entry'!AS$8),'Council Entry'!AS110)),IF('Council Entry'!AS$4="Exponential",EXP(IF(AND(ISNUMBER('Council Entry'!AS$8),ISNUMBER('Council Entry'!AS$9)),MAX(MIN('Council Entry'!AS110,'Council Entry'!AS$9),'Council Entry'!AS$8),'Council Entry'!AS110)),IF(AND(ISNUMBER('Council Entry'!AS$8),ISNUMBER('Council Entry'!AS$9)),MAX(MIN('Council Entry'!AS110,'Council Entry'!AS$9),'Council Entry'!AS$8),'Council Entry'!AS110))))-'Council Entry'!AS$5)/('Council Entry'!AS$6-'Council Entry'!AS$5),10*((IF('Council Entry'!AS$4="Logarithm",LN(0.001+IF(AND(ISNUMBER('Council Entry'!AS$8),ISNUMBER('Council Entry'!AS$9)),MAX(MIN('Council Entry'!AS110,'Council Entry'!AS$9),'Council Entry'!AS$8),'Council Entry'!AS110)),IF('Council Entry'!AS$4="Exponential",EXP(IF(AND(ISNUMBER('Council Entry'!AS$8),ISNUMBER('Council Entry'!AS$9)),MAX(MIN('Council Entry'!AS110,'Council Entry'!AS$9),'Council Entry'!AS$8),'Council Entry'!AS110)),IF(AND(ISNUMBER('Council Entry'!AS$8),ISNUMBER('Council Entry'!AS$9)),MAX(MIN('Council Entry'!AS110,'Council Entry'!AS$9),'Council Entry'!AS$8),'Council Entry'!AS110))))-'Council Entry'!AS$5)/('Council Entry'!AS$6-'Council Entry'!AS$5)),1))),"No data"))</f>
        <v/>
      </c>
      <c r="AT110" s="13">
        <f>IF('Council Entry'!AT110="","",IFERROR(MAX(0,MIN(10,ROUND(IF('Council Entry'!AT$7="Decrease Risk",10-10*((IF('Council Entry'!AT$4="Logarithm",LN(0.001+IF(AND(ISNUMBER('Council Entry'!AT$8),ISNUMBER('Council Entry'!AT$9)),MAX(MIN('Council Entry'!AT110,'Council Entry'!AT$9),'Council Entry'!AT$8),'Council Entry'!AT110)),IF('Council Entry'!AT$4="Exponential",EXP(IF(AND(ISNUMBER('Council Entry'!AT$8),ISNUMBER('Council Entry'!AT$9)),MAX(MIN('Council Entry'!AT110,'Council Entry'!AT$9),'Council Entry'!AT$8),'Council Entry'!AT110)),IF(AND(ISNUMBER('Council Entry'!AT$8),ISNUMBER('Council Entry'!AT$9)),MAX(MIN('Council Entry'!AT110,'Council Entry'!AT$9),'Council Entry'!AT$8),'Council Entry'!AT110))))-'Council Entry'!AT$5)/('Council Entry'!AT$6-'Council Entry'!AT$5),10*((IF('Council Entry'!AT$4="Logarithm",LN(0.001+IF(AND(ISNUMBER('Council Entry'!AT$8),ISNUMBER('Council Entry'!AT$9)),MAX(MIN('Council Entry'!AT110,'Council Entry'!AT$9),'Council Entry'!AT$8),'Council Entry'!AT110)),IF('Council Entry'!AT$4="Exponential",EXP(IF(AND(ISNUMBER('Council Entry'!AT$8),ISNUMBER('Council Entry'!AT$9)),MAX(MIN('Council Entry'!AT110,'Council Entry'!AT$9),'Council Entry'!AT$8),'Council Entry'!AT110)),IF(AND(ISNUMBER('Council Entry'!AT$8),ISNUMBER('Council Entry'!AT$9)),MAX(MIN('Council Entry'!AT110,'Council Entry'!AT$9),'Council Entry'!AT$8),'Council Entry'!AT110))))-'Council Entry'!AT$5)/('Council Entry'!AT$6-'Council Entry'!AT$5)),1))),"No data"))</f>
        <v/>
      </c>
      <c r="AU110" s="13">
        <f>IF('Council Entry'!AU110="","",IFERROR(MAX(0,MIN(10,ROUND(IF('Council Entry'!AU$7="Decrease Risk",10-10*((IF('Council Entry'!AU$4="Logarithm",LN(0.001+IF(AND(ISNUMBER('Council Entry'!AU$8),ISNUMBER('Council Entry'!AU$9)),MAX(MIN('Council Entry'!AU110,'Council Entry'!AU$9),'Council Entry'!AU$8),'Council Entry'!AU110)),IF('Council Entry'!AU$4="Exponential",EXP(IF(AND(ISNUMBER('Council Entry'!AU$8),ISNUMBER('Council Entry'!AU$9)),MAX(MIN('Council Entry'!AU110,'Council Entry'!AU$9),'Council Entry'!AU$8),'Council Entry'!AU110)),IF(AND(ISNUMBER('Council Entry'!AU$8),ISNUMBER('Council Entry'!AU$9)),MAX(MIN('Council Entry'!AU110,'Council Entry'!AU$9),'Council Entry'!AU$8),'Council Entry'!AU110))))-'Council Entry'!AU$5)/('Council Entry'!AU$6-'Council Entry'!AU$5),10*((IF('Council Entry'!AU$4="Logarithm",LN(0.001+IF(AND(ISNUMBER('Council Entry'!AU$8),ISNUMBER('Council Entry'!AU$9)),MAX(MIN('Council Entry'!AU110,'Council Entry'!AU$9),'Council Entry'!AU$8),'Council Entry'!AU110)),IF('Council Entry'!AU$4="Exponential",EXP(IF(AND(ISNUMBER('Council Entry'!AU$8),ISNUMBER('Council Entry'!AU$9)),MAX(MIN('Council Entry'!AU110,'Council Entry'!AU$9),'Council Entry'!AU$8),'Council Entry'!AU110)),IF(AND(ISNUMBER('Council Entry'!AU$8),ISNUMBER('Council Entry'!AU$9)),MAX(MIN('Council Entry'!AU110,'Council Entry'!AU$9),'Council Entry'!AU$8),'Council Entry'!AU110))))-'Council Entry'!AU$5)/('Council Entry'!AU$6-'Council Entry'!AU$5)),1))),"No data"))</f>
        <v/>
      </c>
      <c r="AV110" s="13">
        <f>IF('Council Entry'!AV110="","",IFERROR(MAX(0,MIN(10,ROUND(IF('Council Entry'!AV$7="Decrease Risk",10-10*((IF('Council Entry'!AV$4="Logarithm",LN(0.001+IF(AND(ISNUMBER('Council Entry'!AV$8),ISNUMBER('Council Entry'!AV$9)),MAX(MIN('Council Entry'!AV110,'Council Entry'!AV$9),'Council Entry'!AV$8),'Council Entry'!AV110)),IF('Council Entry'!AV$4="Exponential",EXP(IF(AND(ISNUMBER('Council Entry'!AV$8),ISNUMBER('Council Entry'!AV$9)),MAX(MIN('Council Entry'!AV110,'Council Entry'!AV$9),'Council Entry'!AV$8),'Council Entry'!AV110)),IF(AND(ISNUMBER('Council Entry'!AV$8),ISNUMBER('Council Entry'!AV$9)),MAX(MIN('Council Entry'!AV110,'Council Entry'!AV$9),'Council Entry'!AV$8),'Council Entry'!AV110))))-'Council Entry'!AV$5)/('Council Entry'!AV$6-'Council Entry'!AV$5),10*((IF('Council Entry'!AV$4="Logarithm",LN(0.001+IF(AND(ISNUMBER('Council Entry'!AV$8),ISNUMBER('Council Entry'!AV$9)),MAX(MIN('Council Entry'!AV110,'Council Entry'!AV$9),'Council Entry'!AV$8),'Council Entry'!AV110)),IF('Council Entry'!AV$4="Exponential",EXP(IF(AND(ISNUMBER('Council Entry'!AV$8),ISNUMBER('Council Entry'!AV$9)),MAX(MIN('Council Entry'!AV110,'Council Entry'!AV$9),'Council Entry'!AV$8),'Council Entry'!AV110)),IF(AND(ISNUMBER('Council Entry'!AV$8),ISNUMBER('Council Entry'!AV$9)),MAX(MIN('Council Entry'!AV110,'Council Entry'!AV$9),'Council Entry'!AV$8),'Council Entry'!AV110))))-'Council Entry'!AV$5)/('Council Entry'!AV$6-'Council Entry'!AV$5)),1))),"No data"))</f>
        <v/>
      </c>
      <c r="AW110" s="13">
        <f>IF('Council Entry'!AW110="","",IFERROR(MAX(0,MIN(10,ROUND(IF('Council Entry'!AW$7="Decrease Risk",10-10*((IF('Council Entry'!AW$4="Logarithm",LN(0.001+IF(AND(ISNUMBER('Council Entry'!AW$8),ISNUMBER('Council Entry'!AW$9)),MAX(MIN('Council Entry'!AW110,'Council Entry'!AW$9),'Council Entry'!AW$8),'Council Entry'!AW110)),IF('Council Entry'!AW$4="Exponential",EXP(IF(AND(ISNUMBER('Council Entry'!AW$8),ISNUMBER('Council Entry'!AW$9)),MAX(MIN('Council Entry'!AW110,'Council Entry'!AW$9),'Council Entry'!AW$8),'Council Entry'!AW110)),IF(AND(ISNUMBER('Council Entry'!AW$8),ISNUMBER('Council Entry'!AW$9)),MAX(MIN('Council Entry'!AW110,'Council Entry'!AW$9),'Council Entry'!AW$8),'Council Entry'!AW110))))-'Council Entry'!AW$5)/('Council Entry'!AW$6-'Council Entry'!AW$5),10*((IF('Council Entry'!AW$4="Logarithm",LN(0.001+IF(AND(ISNUMBER('Council Entry'!AW$8),ISNUMBER('Council Entry'!AW$9)),MAX(MIN('Council Entry'!AW110,'Council Entry'!AW$9),'Council Entry'!AW$8),'Council Entry'!AW110)),IF('Council Entry'!AW$4="Exponential",EXP(IF(AND(ISNUMBER('Council Entry'!AW$8),ISNUMBER('Council Entry'!AW$9)),MAX(MIN('Council Entry'!AW110,'Council Entry'!AW$9),'Council Entry'!AW$8),'Council Entry'!AW110)),IF(AND(ISNUMBER('Council Entry'!AW$8),ISNUMBER('Council Entry'!AW$9)),MAX(MIN('Council Entry'!AW110,'Council Entry'!AW$9),'Council Entry'!AW$8),'Council Entry'!AW110))))-'Council Entry'!AW$5)/('Council Entry'!AW$6-'Council Entry'!AW$5)),1))),"No data"))</f>
        <v/>
      </c>
      <c r="AX110" s="13">
        <f>IF('Council Entry'!AX110="","",IFERROR(MAX(0,MIN(10,ROUND(IF('Council Entry'!AX$7="Decrease Risk",10-10*((IF('Council Entry'!AX$4="Logarithm",LN(0.001+IF(AND(ISNUMBER('Council Entry'!AX$8),ISNUMBER('Council Entry'!AX$9)),MAX(MIN('Council Entry'!AX110,'Council Entry'!AX$9),'Council Entry'!AX$8),'Council Entry'!AX110)),IF('Council Entry'!AX$4="Exponential",EXP(IF(AND(ISNUMBER('Council Entry'!AX$8),ISNUMBER('Council Entry'!AX$9)),MAX(MIN('Council Entry'!AX110,'Council Entry'!AX$9),'Council Entry'!AX$8),'Council Entry'!AX110)),IF(AND(ISNUMBER('Council Entry'!AX$8),ISNUMBER('Council Entry'!AX$9)),MAX(MIN('Council Entry'!AX110,'Council Entry'!AX$9),'Council Entry'!AX$8),'Council Entry'!AX110))))-'Council Entry'!AX$5)/('Council Entry'!AX$6-'Council Entry'!AX$5),10*((IF('Council Entry'!AX$4="Logarithm",LN(0.001+IF(AND(ISNUMBER('Council Entry'!AX$8),ISNUMBER('Council Entry'!AX$9)),MAX(MIN('Council Entry'!AX110,'Council Entry'!AX$9),'Council Entry'!AX$8),'Council Entry'!AX110)),IF('Council Entry'!AX$4="Exponential",EXP(IF(AND(ISNUMBER('Council Entry'!AX$8),ISNUMBER('Council Entry'!AX$9)),MAX(MIN('Council Entry'!AX110,'Council Entry'!AX$9),'Council Entry'!AX$8),'Council Entry'!AX110)),IF(AND(ISNUMBER('Council Entry'!AX$8),ISNUMBER('Council Entry'!AX$9)),MAX(MIN('Council Entry'!AX110,'Council Entry'!AX$9),'Council Entry'!AX$8),'Council Entry'!AX110))))-'Council Entry'!AX$5)/('Council Entry'!AX$6-'Council Entry'!AX$5)),1))),"No data"))</f>
        <v/>
      </c>
      <c r="AY110" s="13">
        <f>IF('Council Entry'!AY110="","",IFERROR(MAX(0,MIN(10,ROUND(IF('Council Entry'!AY$7="Decrease Risk",10-10*((IF('Council Entry'!AY$4="Logarithm",LN(0.001+IF(AND(ISNUMBER('Council Entry'!AY$8),ISNUMBER('Council Entry'!AY$9)),MAX(MIN('Council Entry'!AY110,'Council Entry'!AY$9),'Council Entry'!AY$8),'Council Entry'!AY110)),IF('Council Entry'!AY$4="Exponential",EXP(IF(AND(ISNUMBER('Council Entry'!AY$8),ISNUMBER('Council Entry'!AY$9)),MAX(MIN('Council Entry'!AY110,'Council Entry'!AY$9),'Council Entry'!AY$8),'Council Entry'!AY110)),IF(AND(ISNUMBER('Council Entry'!AY$8),ISNUMBER('Council Entry'!AY$9)),MAX(MIN('Council Entry'!AY110,'Council Entry'!AY$9),'Council Entry'!AY$8),'Council Entry'!AY110))))-'Council Entry'!AY$5)/('Council Entry'!AY$6-'Council Entry'!AY$5),10*((IF('Council Entry'!AY$4="Logarithm",LN(0.001+IF(AND(ISNUMBER('Council Entry'!AY$8),ISNUMBER('Council Entry'!AY$9)),MAX(MIN('Council Entry'!AY110,'Council Entry'!AY$9),'Council Entry'!AY$8),'Council Entry'!AY110)),IF('Council Entry'!AY$4="Exponential",EXP(IF(AND(ISNUMBER('Council Entry'!AY$8),ISNUMBER('Council Entry'!AY$9)),MAX(MIN('Council Entry'!AY110,'Council Entry'!AY$9),'Council Entry'!AY$8),'Council Entry'!AY110)),IF(AND(ISNUMBER('Council Entry'!AY$8),ISNUMBER('Council Entry'!AY$9)),MAX(MIN('Council Entry'!AY110,'Council Entry'!AY$9),'Council Entry'!AY$8),'Council Entry'!AY110))))-'Council Entry'!AY$5)/('Council Entry'!AY$6-'Council Entry'!AY$5)),1))),"No data"))</f>
        <v/>
      </c>
      <c r="AZ110" s="13">
        <f>IF('Council Entry'!AZ110="","",IFERROR(MAX(0,MIN(10,ROUND(IF('Council Entry'!AZ$7="Decrease Risk",10-10*((IF('Council Entry'!AZ$4="Logarithm",LN(0.001+IF(AND(ISNUMBER('Council Entry'!AZ$8),ISNUMBER('Council Entry'!AZ$9)),MAX(MIN('Council Entry'!AZ110,'Council Entry'!AZ$9),'Council Entry'!AZ$8),'Council Entry'!AZ110)),IF('Council Entry'!AZ$4="Exponential",EXP(IF(AND(ISNUMBER('Council Entry'!AZ$8),ISNUMBER('Council Entry'!AZ$9)),MAX(MIN('Council Entry'!AZ110,'Council Entry'!AZ$9),'Council Entry'!AZ$8),'Council Entry'!AZ110)),IF(AND(ISNUMBER('Council Entry'!AZ$8),ISNUMBER('Council Entry'!AZ$9)),MAX(MIN('Council Entry'!AZ110,'Council Entry'!AZ$9),'Council Entry'!AZ$8),'Council Entry'!AZ110))))-'Council Entry'!AZ$5)/('Council Entry'!AZ$6-'Council Entry'!AZ$5),10*((IF('Council Entry'!AZ$4="Logarithm",LN(0.001+IF(AND(ISNUMBER('Council Entry'!AZ$8),ISNUMBER('Council Entry'!AZ$9)),MAX(MIN('Council Entry'!AZ110,'Council Entry'!AZ$9),'Council Entry'!AZ$8),'Council Entry'!AZ110)),IF('Council Entry'!AZ$4="Exponential",EXP(IF(AND(ISNUMBER('Council Entry'!AZ$8),ISNUMBER('Council Entry'!AZ$9)),MAX(MIN('Council Entry'!AZ110,'Council Entry'!AZ$9),'Council Entry'!AZ$8),'Council Entry'!AZ110)),IF(AND(ISNUMBER('Council Entry'!AZ$8),ISNUMBER('Council Entry'!AZ$9)),MAX(MIN('Council Entry'!AZ110,'Council Entry'!AZ$9),'Council Entry'!AZ$8),'Council Entry'!AZ110))))-'Council Entry'!AZ$5)/('Council Entry'!AZ$6-'Council Entry'!AZ$5)),1))),"No data"))</f>
        <v/>
      </c>
      <c r="BA110" s="13">
        <f>IF('Council Entry'!BA110="","",IFERROR(MAX(0,MIN(10,ROUND(IF('Council Entry'!BA$7="Decrease Risk",10-10*((IF('Council Entry'!BA$4="Logarithm",LN(0.001+IF(AND(ISNUMBER('Council Entry'!BA$8),ISNUMBER('Council Entry'!BA$9)),MAX(MIN('Council Entry'!BA110,'Council Entry'!BA$9),'Council Entry'!BA$8),'Council Entry'!BA110)),IF('Council Entry'!BA$4="Exponential",EXP(IF(AND(ISNUMBER('Council Entry'!BA$8),ISNUMBER('Council Entry'!BA$9)),MAX(MIN('Council Entry'!BA110,'Council Entry'!BA$9),'Council Entry'!BA$8),'Council Entry'!BA110)),IF(AND(ISNUMBER('Council Entry'!BA$8),ISNUMBER('Council Entry'!BA$9)),MAX(MIN('Council Entry'!BA110,'Council Entry'!BA$9),'Council Entry'!BA$8),'Council Entry'!BA110))))-'Council Entry'!BA$5)/('Council Entry'!BA$6-'Council Entry'!BA$5),10*((IF('Council Entry'!BA$4="Logarithm",LN(0.001+IF(AND(ISNUMBER('Council Entry'!BA$8),ISNUMBER('Council Entry'!BA$9)),MAX(MIN('Council Entry'!BA110,'Council Entry'!BA$9),'Council Entry'!BA$8),'Council Entry'!BA110)),IF('Council Entry'!BA$4="Exponential",EXP(IF(AND(ISNUMBER('Council Entry'!BA$8),ISNUMBER('Council Entry'!BA$9)),MAX(MIN('Council Entry'!BA110,'Council Entry'!BA$9),'Council Entry'!BA$8),'Council Entry'!BA110)),IF(AND(ISNUMBER('Council Entry'!BA$8),ISNUMBER('Council Entry'!BA$9)),MAX(MIN('Council Entry'!BA110,'Council Entry'!BA$9),'Council Entry'!BA$8),'Council Entry'!BA110))))-'Council Entry'!BA$5)/('Council Entry'!BA$6-'Council Entry'!BA$5)),1))),"No data"))</f>
        <v/>
      </c>
      <c r="BB110" s="13">
        <f>IF('Council Entry'!BB110="","",IFERROR(MAX(0,MIN(10,ROUND(IF('Council Entry'!BB$7="Decrease Risk",10-10*((IF('Council Entry'!BB$4="Logarithm",LN(0.001+IF(AND(ISNUMBER('Council Entry'!BB$8),ISNUMBER('Council Entry'!BB$9)),MAX(MIN('Council Entry'!BB110,'Council Entry'!BB$9),'Council Entry'!BB$8),'Council Entry'!BB110)),IF('Council Entry'!BB$4="Exponential",EXP(IF(AND(ISNUMBER('Council Entry'!BB$8),ISNUMBER('Council Entry'!BB$9)),MAX(MIN('Council Entry'!BB110,'Council Entry'!BB$9),'Council Entry'!BB$8),'Council Entry'!BB110)),IF(AND(ISNUMBER('Council Entry'!BB$8),ISNUMBER('Council Entry'!BB$9)),MAX(MIN('Council Entry'!BB110,'Council Entry'!BB$9),'Council Entry'!BB$8),'Council Entry'!BB110))))-'Council Entry'!BB$5)/('Council Entry'!BB$6-'Council Entry'!BB$5),10*((IF('Council Entry'!BB$4="Logarithm",LN(0.001+IF(AND(ISNUMBER('Council Entry'!BB$8),ISNUMBER('Council Entry'!BB$9)),MAX(MIN('Council Entry'!BB110,'Council Entry'!BB$9),'Council Entry'!BB$8),'Council Entry'!BB110)),IF('Council Entry'!BB$4="Exponential",EXP(IF(AND(ISNUMBER('Council Entry'!BB$8),ISNUMBER('Council Entry'!BB$9)),MAX(MIN('Council Entry'!BB110,'Council Entry'!BB$9),'Council Entry'!BB$8),'Council Entry'!BB110)),IF(AND(ISNUMBER('Council Entry'!BB$8),ISNUMBER('Council Entry'!BB$9)),MAX(MIN('Council Entry'!BB110,'Council Entry'!BB$9),'Council Entry'!BB$8),'Council Entry'!BB110))))-'Council Entry'!BB$5)/('Council Entry'!BB$6-'Council Entry'!BB$5)),1))),"No data"))</f>
        <v/>
      </c>
      <c r="BC110" s="13">
        <f>IF('Council Entry'!BC110="","",IFERROR(MAX(0,MIN(10,ROUND(IF('Council Entry'!BC$7="Decrease Risk",10-10*((IF('Council Entry'!BC$4="Logarithm",LN(0.001+IF(AND(ISNUMBER('Council Entry'!BC$8),ISNUMBER('Council Entry'!BC$9)),MAX(MIN('Council Entry'!BC110,'Council Entry'!BC$9),'Council Entry'!BC$8),'Council Entry'!BC110)),IF('Council Entry'!BC$4="Exponential",EXP(IF(AND(ISNUMBER('Council Entry'!BC$8),ISNUMBER('Council Entry'!BC$9)),MAX(MIN('Council Entry'!BC110,'Council Entry'!BC$9),'Council Entry'!BC$8),'Council Entry'!BC110)),IF(AND(ISNUMBER('Council Entry'!BC$8),ISNUMBER('Council Entry'!BC$9)),MAX(MIN('Council Entry'!BC110,'Council Entry'!BC$9),'Council Entry'!BC$8),'Council Entry'!BC110))))-'Council Entry'!BC$5)/('Council Entry'!BC$6-'Council Entry'!BC$5),10*((IF('Council Entry'!BC$4="Logarithm",LN(0.001+IF(AND(ISNUMBER('Council Entry'!BC$8),ISNUMBER('Council Entry'!BC$9)),MAX(MIN('Council Entry'!BC110,'Council Entry'!BC$9),'Council Entry'!BC$8),'Council Entry'!BC110)),IF('Council Entry'!BC$4="Exponential",EXP(IF(AND(ISNUMBER('Council Entry'!BC$8),ISNUMBER('Council Entry'!BC$9)),MAX(MIN('Council Entry'!BC110,'Council Entry'!BC$9),'Council Entry'!BC$8),'Council Entry'!BC110)),IF(AND(ISNUMBER('Council Entry'!BC$8),ISNUMBER('Council Entry'!BC$9)),MAX(MIN('Council Entry'!BC110,'Council Entry'!BC$9),'Council Entry'!BC$8),'Council Entry'!BC110))))-'Council Entry'!BC$5)/('Council Entry'!BC$6-'Council Entry'!BC$5)),1))),"No data"))</f>
        <v/>
      </c>
      <c r="BD110" s="13">
        <f>IF('Council Entry'!BD110="","",IFERROR(MAX(0,MIN(10,ROUND(IF('Council Entry'!BD$7="Decrease Risk",10-10*((IF('Council Entry'!BD$4="Logarithm",LN(0.001+IF(AND(ISNUMBER('Council Entry'!BD$8),ISNUMBER('Council Entry'!BD$9)),MAX(MIN('Council Entry'!BD110,'Council Entry'!BD$9),'Council Entry'!BD$8),'Council Entry'!BD110)),IF('Council Entry'!BD$4="Exponential",EXP(IF(AND(ISNUMBER('Council Entry'!BD$8),ISNUMBER('Council Entry'!BD$9)),MAX(MIN('Council Entry'!BD110,'Council Entry'!BD$9),'Council Entry'!BD$8),'Council Entry'!BD110)),IF(AND(ISNUMBER('Council Entry'!BD$8),ISNUMBER('Council Entry'!BD$9)),MAX(MIN('Council Entry'!BD110,'Council Entry'!BD$9),'Council Entry'!BD$8),'Council Entry'!BD110))))-'Council Entry'!BD$5)/('Council Entry'!BD$6-'Council Entry'!BD$5),10*((IF('Council Entry'!BD$4="Logarithm",LN(0.001+IF(AND(ISNUMBER('Council Entry'!BD$8),ISNUMBER('Council Entry'!BD$9)),MAX(MIN('Council Entry'!BD110,'Council Entry'!BD$9),'Council Entry'!BD$8),'Council Entry'!BD110)),IF('Council Entry'!BD$4="Exponential",EXP(IF(AND(ISNUMBER('Council Entry'!BD$8),ISNUMBER('Council Entry'!BD$9)),MAX(MIN('Council Entry'!BD110,'Council Entry'!BD$9),'Council Entry'!BD$8),'Council Entry'!BD110)),IF(AND(ISNUMBER('Council Entry'!BD$8),ISNUMBER('Council Entry'!BD$9)),MAX(MIN('Council Entry'!BD110,'Council Entry'!BD$9),'Council Entry'!BD$8),'Council Entry'!BD110))))-'Council Entry'!BD$5)/('Council Entry'!BD$6-'Council Entry'!BD$5)),1))),"No data"))</f>
        <v/>
      </c>
    </row>
    <row r="111">
      <c r="A111" t="inlineStr">
        <is>
          <t>Morogoro</t>
        </is>
      </c>
      <c r="B111" t="inlineStr">
        <is>
          <t>Ifakara Town</t>
        </is>
      </c>
      <c r="C111" t="inlineStr">
        <is>
          <t>C038</t>
        </is>
      </c>
      <c r="D111" s="13">
        <f>IF('Council Entry'!D111="","",IFERROR(MAX(0,MIN(10,ROUND(IF('Council Entry'!D$7="Decrease Risk",10-10*((IF('Council Entry'!D$4="Logarithm",LN(0.001+IF(AND(ISNUMBER('Council Entry'!D$8),ISNUMBER('Council Entry'!D$9)),MAX(MIN('Council Entry'!D111,'Council Entry'!D$9),'Council Entry'!D$8),'Council Entry'!D111)),IF('Council Entry'!D$4="Exponential",EXP(IF(AND(ISNUMBER('Council Entry'!D$8),ISNUMBER('Council Entry'!D$9)),MAX(MIN('Council Entry'!D111,'Council Entry'!D$9),'Council Entry'!D$8),'Council Entry'!D111)),IF(AND(ISNUMBER('Council Entry'!D$8),ISNUMBER('Council Entry'!D$9)),MAX(MIN('Council Entry'!D111,'Council Entry'!D$9),'Council Entry'!D$8),'Council Entry'!D111))))-'Council Entry'!D$5)/('Council Entry'!D$6-'Council Entry'!D$5),10*((IF('Council Entry'!D$4="Logarithm",LN(0.001+IF(AND(ISNUMBER('Council Entry'!D$8),ISNUMBER('Council Entry'!D$9)),MAX(MIN('Council Entry'!D111,'Council Entry'!D$9),'Council Entry'!D$8),'Council Entry'!D111)),IF('Council Entry'!D$4="Exponential",EXP(IF(AND(ISNUMBER('Council Entry'!D$8),ISNUMBER('Council Entry'!D$9)),MAX(MIN('Council Entry'!D111,'Council Entry'!D$9),'Council Entry'!D$8),'Council Entry'!D111)),IF(AND(ISNUMBER('Council Entry'!D$8),ISNUMBER('Council Entry'!D$9)),MAX(MIN('Council Entry'!D111,'Council Entry'!D$9),'Council Entry'!D$8),'Council Entry'!D111))))-'Council Entry'!D$5)/('Council Entry'!D$6-'Council Entry'!D$5)),1))),"No data"))</f>
        <v/>
      </c>
      <c r="E111" s="13">
        <f>IF('Council Entry'!E111="","",IFERROR(MAX(0,MIN(10,ROUND(IF('Council Entry'!E$7="Decrease Risk",10-10*((IF('Council Entry'!E$4="Logarithm",LN(0.001+IF(AND(ISNUMBER('Council Entry'!E$8),ISNUMBER('Council Entry'!E$9)),MAX(MIN('Council Entry'!E111,'Council Entry'!E$9),'Council Entry'!E$8),'Council Entry'!E111)),IF('Council Entry'!E$4="Exponential",EXP(IF(AND(ISNUMBER('Council Entry'!E$8),ISNUMBER('Council Entry'!E$9)),MAX(MIN('Council Entry'!E111,'Council Entry'!E$9),'Council Entry'!E$8),'Council Entry'!E111)),IF(AND(ISNUMBER('Council Entry'!E$8),ISNUMBER('Council Entry'!E$9)),MAX(MIN('Council Entry'!E111,'Council Entry'!E$9),'Council Entry'!E$8),'Council Entry'!E111))))-'Council Entry'!E$5)/('Council Entry'!E$6-'Council Entry'!E$5),10*((IF('Council Entry'!E$4="Logarithm",LN(0.001+IF(AND(ISNUMBER('Council Entry'!E$8),ISNUMBER('Council Entry'!E$9)),MAX(MIN('Council Entry'!E111,'Council Entry'!E$9),'Council Entry'!E$8),'Council Entry'!E111)),IF('Council Entry'!E$4="Exponential",EXP(IF(AND(ISNUMBER('Council Entry'!E$8),ISNUMBER('Council Entry'!E$9)),MAX(MIN('Council Entry'!E111,'Council Entry'!E$9),'Council Entry'!E$8),'Council Entry'!E111)),IF(AND(ISNUMBER('Council Entry'!E$8),ISNUMBER('Council Entry'!E$9)),MAX(MIN('Council Entry'!E111,'Council Entry'!E$9),'Council Entry'!E$8),'Council Entry'!E111))))-'Council Entry'!E$5)/('Council Entry'!E$6-'Council Entry'!E$5)),1))),"No data"))</f>
        <v/>
      </c>
      <c r="F111" s="13">
        <f>IF('Council Entry'!F111="","",IFERROR(MAX(0,MIN(10,ROUND(IF('Council Entry'!F$7="Decrease Risk",10-10*((IF('Council Entry'!F$4="Logarithm",LN(0.001+IF(AND(ISNUMBER('Council Entry'!F$8),ISNUMBER('Council Entry'!F$9)),MAX(MIN('Council Entry'!F111,'Council Entry'!F$9),'Council Entry'!F$8),'Council Entry'!F111)),IF('Council Entry'!F$4="Exponential",EXP(IF(AND(ISNUMBER('Council Entry'!F$8),ISNUMBER('Council Entry'!F$9)),MAX(MIN('Council Entry'!F111,'Council Entry'!F$9),'Council Entry'!F$8),'Council Entry'!F111)),IF(AND(ISNUMBER('Council Entry'!F$8),ISNUMBER('Council Entry'!F$9)),MAX(MIN('Council Entry'!F111,'Council Entry'!F$9),'Council Entry'!F$8),'Council Entry'!F111))))-'Council Entry'!F$5)/('Council Entry'!F$6-'Council Entry'!F$5),10*((IF('Council Entry'!F$4="Logarithm",LN(0.001+IF(AND(ISNUMBER('Council Entry'!F$8),ISNUMBER('Council Entry'!F$9)),MAX(MIN('Council Entry'!F111,'Council Entry'!F$9),'Council Entry'!F$8),'Council Entry'!F111)),IF('Council Entry'!F$4="Exponential",EXP(IF(AND(ISNUMBER('Council Entry'!F$8),ISNUMBER('Council Entry'!F$9)),MAX(MIN('Council Entry'!F111,'Council Entry'!F$9),'Council Entry'!F$8),'Council Entry'!F111)),IF(AND(ISNUMBER('Council Entry'!F$8),ISNUMBER('Council Entry'!F$9)),MAX(MIN('Council Entry'!F111,'Council Entry'!F$9),'Council Entry'!F$8),'Council Entry'!F111))))-'Council Entry'!F$5)/('Council Entry'!F$6-'Council Entry'!F$5)),1))),"No data"))</f>
        <v/>
      </c>
      <c r="G111" s="13">
        <f>IF('Council Entry'!G111="","",IFERROR(MAX(0,MIN(10,ROUND(IF('Council Entry'!G$7="Decrease Risk",10-10*((IF('Council Entry'!G$4="Logarithm",LN(0.001+IF(AND(ISNUMBER('Council Entry'!G$8),ISNUMBER('Council Entry'!G$9)),MAX(MIN('Council Entry'!G111,'Council Entry'!G$9),'Council Entry'!G$8),'Council Entry'!G111)),IF('Council Entry'!G$4="Exponential",EXP(IF(AND(ISNUMBER('Council Entry'!G$8),ISNUMBER('Council Entry'!G$9)),MAX(MIN('Council Entry'!G111,'Council Entry'!G$9),'Council Entry'!G$8),'Council Entry'!G111)),IF(AND(ISNUMBER('Council Entry'!G$8),ISNUMBER('Council Entry'!G$9)),MAX(MIN('Council Entry'!G111,'Council Entry'!G$9),'Council Entry'!G$8),'Council Entry'!G111))))-'Council Entry'!G$5)/('Council Entry'!G$6-'Council Entry'!G$5),10*((IF('Council Entry'!G$4="Logarithm",LN(0.001+IF(AND(ISNUMBER('Council Entry'!G$8),ISNUMBER('Council Entry'!G$9)),MAX(MIN('Council Entry'!G111,'Council Entry'!G$9),'Council Entry'!G$8),'Council Entry'!G111)),IF('Council Entry'!G$4="Exponential",EXP(IF(AND(ISNUMBER('Council Entry'!G$8),ISNUMBER('Council Entry'!G$9)),MAX(MIN('Council Entry'!G111,'Council Entry'!G$9),'Council Entry'!G$8),'Council Entry'!G111)),IF(AND(ISNUMBER('Council Entry'!G$8),ISNUMBER('Council Entry'!G$9)),MAX(MIN('Council Entry'!G111,'Council Entry'!G$9),'Council Entry'!G$8),'Council Entry'!G111))))-'Council Entry'!G$5)/('Council Entry'!G$6-'Council Entry'!G$5)),1))),"No data"))</f>
        <v/>
      </c>
      <c r="H111" s="13">
        <f>IF('Council Entry'!H111="","",IFERROR(MAX(0,MIN(10,ROUND(IF('Council Entry'!H$7="Decrease Risk",10-10*((IF('Council Entry'!H$4="Logarithm",LN(0.001+IF(AND(ISNUMBER('Council Entry'!H$8),ISNUMBER('Council Entry'!H$9)),MAX(MIN('Council Entry'!H111,'Council Entry'!H$9),'Council Entry'!H$8),'Council Entry'!H111)),IF('Council Entry'!H$4="Exponential",EXP(IF(AND(ISNUMBER('Council Entry'!H$8),ISNUMBER('Council Entry'!H$9)),MAX(MIN('Council Entry'!H111,'Council Entry'!H$9),'Council Entry'!H$8),'Council Entry'!H111)),IF(AND(ISNUMBER('Council Entry'!H$8),ISNUMBER('Council Entry'!H$9)),MAX(MIN('Council Entry'!H111,'Council Entry'!H$9),'Council Entry'!H$8),'Council Entry'!H111))))-'Council Entry'!H$5)/('Council Entry'!H$6-'Council Entry'!H$5),10*((IF('Council Entry'!H$4="Logarithm",LN(0.001+IF(AND(ISNUMBER('Council Entry'!H$8),ISNUMBER('Council Entry'!H$9)),MAX(MIN('Council Entry'!H111,'Council Entry'!H$9),'Council Entry'!H$8),'Council Entry'!H111)),IF('Council Entry'!H$4="Exponential",EXP(IF(AND(ISNUMBER('Council Entry'!H$8),ISNUMBER('Council Entry'!H$9)),MAX(MIN('Council Entry'!H111,'Council Entry'!H$9),'Council Entry'!H$8),'Council Entry'!H111)),IF(AND(ISNUMBER('Council Entry'!H$8),ISNUMBER('Council Entry'!H$9)),MAX(MIN('Council Entry'!H111,'Council Entry'!H$9),'Council Entry'!H$8),'Council Entry'!H111))))-'Council Entry'!H$5)/('Council Entry'!H$6-'Council Entry'!H$5)),1))),"No data"))</f>
        <v/>
      </c>
      <c r="I111" s="13">
        <f>IF('Council Entry'!I111="","",IFERROR(MAX(0,MIN(10,ROUND(IF('Council Entry'!I$7="Decrease Risk",10-10*((IF('Council Entry'!I$4="Logarithm",LN(0.001+IF(AND(ISNUMBER('Council Entry'!I$8),ISNUMBER('Council Entry'!I$9)),MAX(MIN('Council Entry'!I111,'Council Entry'!I$9),'Council Entry'!I$8),'Council Entry'!I111)),IF('Council Entry'!I$4="Exponential",EXP(IF(AND(ISNUMBER('Council Entry'!I$8),ISNUMBER('Council Entry'!I$9)),MAX(MIN('Council Entry'!I111,'Council Entry'!I$9),'Council Entry'!I$8),'Council Entry'!I111)),IF(AND(ISNUMBER('Council Entry'!I$8),ISNUMBER('Council Entry'!I$9)),MAX(MIN('Council Entry'!I111,'Council Entry'!I$9),'Council Entry'!I$8),'Council Entry'!I111))))-'Council Entry'!I$5)/('Council Entry'!I$6-'Council Entry'!I$5),10*((IF('Council Entry'!I$4="Logarithm",LN(0.001+IF(AND(ISNUMBER('Council Entry'!I$8),ISNUMBER('Council Entry'!I$9)),MAX(MIN('Council Entry'!I111,'Council Entry'!I$9),'Council Entry'!I$8),'Council Entry'!I111)),IF('Council Entry'!I$4="Exponential",EXP(IF(AND(ISNUMBER('Council Entry'!I$8),ISNUMBER('Council Entry'!I$9)),MAX(MIN('Council Entry'!I111,'Council Entry'!I$9),'Council Entry'!I$8),'Council Entry'!I111)),IF(AND(ISNUMBER('Council Entry'!I$8),ISNUMBER('Council Entry'!I$9)),MAX(MIN('Council Entry'!I111,'Council Entry'!I$9),'Council Entry'!I$8),'Council Entry'!I111))))-'Council Entry'!I$5)/('Council Entry'!I$6-'Council Entry'!I$5)),1))),"No data"))</f>
        <v/>
      </c>
      <c r="J111" s="13">
        <f>IF('Council Entry'!J111="","",IFERROR(MAX(0,MIN(10,ROUND(IF('Council Entry'!J$7="Decrease Risk",10-10*((IF('Council Entry'!J$4="Logarithm",LN(0.001+IF(AND(ISNUMBER('Council Entry'!J$8),ISNUMBER('Council Entry'!J$9)),MAX(MIN('Council Entry'!J111,'Council Entry'!J$9),'Council Entry'!J$8),'Council Entry'!J111)),IF('Council Entry'!J$4="Exponential",EXP(IF(AND(ISNUMBER('Council Entry'!J$8),ISNUMBER('Council Entry'!J$9)),MAX(MIN('Council Entry'!J111,'Council Entry'!J$9),'Council Entry'!J$8),'Council Entry'!J111)),IF(AND(ISNUMBER('Council Entry'!J$8),ISNUMBER('Council Entry'!J$9)),MAX(MIN('Council Entry'!J111,'Council Entry'!J$9),'Council Entry'!J$8),'Council Entry'!J111))))-'Council Entry'!J$5)/('Council Entry'!J$6-'Council Entry'!J$5),10*((IF('Council Entry'!J$4="Logarithm",LN(0.001+IF(AND(ISNUMBER('Council Entry'!J$8),ISNUMBER('Council Entry'!J$9)),MAX(MIN('Council Entry'!J111,'Council Entry'!J$9),'Council Entry'!J$8),'Council Entry'!J111)),IF('Council Entry'!J$4="Exponential",EXP(IF(AND(ISNUMBER('Council Entry'!J$8),ISNUMBER('Council Entry'!J$9)),MAX(MIN('Council Entry'!J111,'Council Entry'!J$9),'Council Entry'!J$8),'Council Entry'!J111)),IF(AND(ISNUMBER('Council Entry'!J$8),ISNUMBER('Council Entry'!J$9)),MAX(MIN('Council Entry'!J111,'Council Entry'!J$9),'Council Entry'!J$8),'Council Entry'!J111))))-'Council Entry'!J$5)/('Council Entry'!J$6-'Council Entry'!J$5)),1))),"No data"))</f>
        <v/>
      </c>
      <c r="K111" s="13">
        <f>IF('Council Entry'!K111="","",IFERROR(MAX(0,MIN(10,ROUND(IF('Council Entry'!K$7="Decrease Risk",10-10*((IF('Council Entry'!K$4="Logarithm",LN(0.001+IF(AND(ISNUMBER('Council Entry'!K$8),ISNUMBER('Council Entry'!K$9)),MAX(MIN('Council Entry'!K111,'Council Entry'!K$9),'Council Entry'!K$8),'Council Entry'!K111)),IF('Council Entry'!K$4="Exponential",EXP(IF(AND(ISNUMBER('Council Entry'!K$8),ISNUMBER('Council Entry'!K$9)),MAX(MIN('Council Entry'!K111,'Council Entry'!K$9),'Council Entry'!K$8),'Council Entry'!K111)),IF(AND(ISNUMBER('Council Entry'!K$8),ISNUMBER('Council Entry'!K$9)),MAX(MIN('Council Entry'!K111,'Council Entry'!K$9),'Council Entry'!K$8),'Council Entry'!K111))))-'Council Entry'!K$5)/('Council Entry'!K$6-'Council Entry'!K$5),10*((IF('Council Entry'!K$4="Logarithm",LN(0.001+IF(AND(ISNUMBER('Council Entry'!K$8),ISNUMBER('Council Entry'!K$9)),MAX(MIN('Council Entry'!K111,'Council Entry'!K$9),'Council Entry'!K$8),'Council Entry'!K111)),IF('Council Entry'!K$4="Exponential",EXP(IF(AND(ISNUMBER('Council Entry'!K$8),ISNUMBER('Council Entry'!K$9)),MAX(MIN('Council Entry'!K111,'Council Entry'!K$9),'Council Entry'!K$8),'Council Entry'!K111)),IF(AND(ISNUMBER('Council Entry'!K$8),ISNUMBER('Council Entry'!K$9)),MAX(MIN('Council Entry'!K111,'Council Entry'!K$9),'Council Entry'!K$8),'Council Entry'!K111))))-'Council Entry'!K$5)/('Council Entry'!K$6-'Council Entry'!K$5)),1))),"No data"))</f>
        <v/>
      </c>
      <c r="L111" s="13">
        <f>IF('Council Entry'!L111="","",IFERROR(MAX(0,MIN(10,ROUND(IF('Council Entry'!L$7="Decrease Risk",10-10*((IF('Council Entry'!L$4="Logarithm",LN(0.001+IF(AND(ISNUMBER('Council Entry'!L$8),ISNUMBER('Council Entry'!L$9)),MAX(MIN('Council Entry'!L111,'Council Entry'!L$9),'Council Entry'!L$8),'Council Entry'!L111)),IF('Council Entry'!L$4="Exponential",EXP(IF(AND(ISNUMBER('Council Entry'!L$8),ISNUMBER('Council Entry'!L$9)),MAX(MIN('Council Entry'!L111,'Council Entry'!L$9),'Council Entry'!L$8),'Council Entry'!L111)),IF(AND(ISNUMBER('Council Entry'!L$8),ISNUMBER('Council Entry'!L$9)),MAX(MIN('Council Entry'!L111,'Council Entry'!L$9),'Council Entry'!L$8),'Council Entry'!L111))))-'Council Entry'!L$5)/('Council Entry'!L$6-'Council Entry'!L$5),10*((IF('Council Entry'!L$4="Logarithm",LN(0.001+IF(AND(ISNUMBER('Council Entry'!L$8),ISNUMBER('Council Entry'!L$9)),MAX(MIN('Council Entry'!L111,'Council Entry'!L$9),'Council Entry'!L$8),'Council Entry'!L111)),IF('Council Entry'!L$4="Exponential",EXP(IF(AND(ISNUMBER('Council Entry'!L$8),ISNUMBER('Council Entry'!L$9)),MAX(MIN('Council Entry'!L111,'Council Entry'!L$9),'Council Entry'!L$8),'Council Entry'!L111)),IF(AND(ISNUMBER('Council Entry'!L$8),ISNUMBER('Council Entry'!L$9)),MAX(MIN('Council Entry'!L111,'Council Entry'!L$9),'Council Entry'!L$8),'Council Entry'!L111))))-'Council Entry'!L$5)/('Council Entry'!L$6-'Council Entry'!L$5)),1))),"No data"))</f>
        <v/>
      </c>
      <c r="M111" s="13">
        <f>IF('Council Entry'!M111="","",IFERROR(MAX(0,MIN(10,ROUND(IF('Council Entry'!M$7="Decrease Risk",10-10*((IF('Council Entry'!M$4="Logarithm",LN(0.001+IF(AND(ISNUMBER('Council Entry'!M$8),ISNUMBER('Council Entry'!M$9)),MAX(MIN('Council Entry'!M111,'Council Entry'!M$9),'Council Entry'!M$8),'Council Entry'!M111)),IF('Council Entry'!M$4="Exponential",EXP(IF(AND(ISNUMBER('Council Entry'!M$8),ISNUMBER('Council Entry'!M$9)),MAX(MIN('Council Entry'!M111,'Council Entry'!M$9),'Council Entry'!M$8),'Council Entry'!M111)),IF(AND(ISNUMBER('Council Entry'!M$8),ISNUMBER('Council Entry'!M$9)),MAX(MIN('Council Entry'!M111,'Council Entry'!M$9),'Council Entry'!M$8),'Council Entry'!M111))))-'Council Entry'!M$5)/('Council Entry'!M$6-'Council Entry'!M$5),10*((IF('Council Entry'!M$4="Logarithm",LN(0.001+IF(AND(ISNUMBER('Council Entry'!M$8),ISNUMBER('Council Entry'!M$9)),MAX(MIN('Council Entry'!M111,'Council Entry'!M$9),'Council Entry'!M$8),'Council Entry'!M111)),IF('Council Entry'!M$4="Exponential",EXP(IF(AND(ISNUMBER('Council Entry'!M$8),ISNUMBER('Council Entry'!M$9)),MAX(MIN('Council Entry'!M111,'Council Entry'!M$9),'Council Entry'!M$8),'Council Entry'!M111)),IF(AND(ISNUMBER('Council Entry'!M$8),ISNUMBER('Council Entry'!M$9)),MAX(MIN('Council Entry'!M111,'Council Entry'!M$9),'Council Entry'!M$8),'Council Entry'!M111))))-'Council Entry'!M$5)/('Council Entry'!M$6-'Council Entry'!M$5)),1))),"No data"))</f>
        <v/>
      </c>
      <c r="N111" s="13">
        <f>IF('Council Entry'!N111="","",IFERROR(MAX(0,MIN(10,ROUND(IF('Council Entry'!N$7="Decrease Risk",10-10*((IF('Council Entry'!N$4="Logarithm",LN(0.001+IF(AND(ISNUMBER('Council Entry'!N$8),ISNUMBER('Council Entry'!N$9)),MAX(MIN('Council Entry'!N111,'Council Entry'!N$9),'Council Entry'!N$8),'Council Entry'!N111)),IF('Council Entry'!N$4="Exponential",EXP(IF(AND(ISNUMBER('Council Entry'!N$8),ISNUMBER('Council Entry'!N$9)),MAX(MIN('Council Entry'!N111,'Council Entry'!N$9),'Council Entry'!N$8),'Council Entry'!N111)),IF(AND(ISNUMBER('Council Entry'!N$8),ISNUMBER('Council Entry'!N$9)),MAX(MIN('Council Entry'!N111,'Council Entry'!N$9),'Council Entry'!N$8),'Council Entry'!N111))))-'Council Entry'!N$5)/('Council Entry'!N$6-'Council Entry'!N$5),10*((IF('Council Entry'!N$4="Logarithm",LN(0.001+IF(AND(ISNUMBER('Council Entry'!N$8),ISNUMBER('Council Entry'!N$9)),MAX(MIN('Council Entry'!N111,'Council Entry'!N$9),'Council Entry'!N$8),'Council Entry'!N111)),IF('Council Entry'!N$4="Exponential",EXP(IF(AND(ISNUMBER('Council Entry'!N$8),ISNUMBER('Council Entry'!N$9)),MAX(MIN('Council Entry'!N111,'Council Entry'!N$9),'Council Entry'!N$8),'Council Entry'!N111)),IF(AND(ISNUMBER('Council Entry'!N$8),ISNUMBER('Council Entry'!N$9)),MAX(MIN('Council Entry'!N111,'Council Entry'!N$9),'Council Entry'!N$8),'Council Entry'!N111))))-'Council Entry'!N$5)/('Council Entry'!N$6-'Council Entry'!N$5)),1))),"No data"))</f>
        <v/>
      </c>
      <c r="O111" s="13">
        <f>IF('Council Entry'!O111="","",IFERROR(MAX(0,MIN(10,ROUND(IF('Council Entry'!O$7="Decrease Risk",10-10*((IF('Council Entry'!O$4="Logarithm",LN(0.001+IF(AND(ISNUMBER('Council Entry'!O$8),ISNUMBER('Council Entry'!O$9)),MAX(MIN('Council Entry'!O111,'Council Entry'!O$9),'Council Entry'!O$8),'Council Entry'!O111)),IF('Council Entry'!O$4="Exponential",EXP(IF(AND(ISNUMBER('Council Entry'!O$8),ISNUMBER('Council Entry'!O$9)),MAX(MIN('Council Entry'!O111,'Council Entry'!O$9),'Council Entry'!O$8),'Council Entry'!O111)),IF(AND(ISNUMBER('Council Entry'!O$8),ISNUMBER('Council Entry'!O$9)),MAX(MIN('Council Entry'!O111,'Council Entry'!O$9),'Council Entry'!O$8),'Council Entry'!O111))))-'Council Entry'!O$5)/('Council Entry'!O$6-'Council Entry'!O$5),10*((IF('Council Entry'!O$4="Logarithm",LN(0.001+IF(AND(ISNUMBER('Council Entry'!O$8),ISNUMBER('Council Entry'!O$9)),MAX(MIN('Council Entry'!O111,'Council Entry'!O$9),'Council Entry'!O$8),'Council Entry'!O111)),IF('Council Entry'!O$4="Exponential",EXP(IF(AND(ISNUMBER('Council Entry'!O$8),ISNUMBER('Council Entry'!O$9)),MAX(MIN('Council Entry'!O111,'Council Entry'!O$9),'Council Entry'!O$8),'Council Entry'!O111)),IF(AND(ISNUMBER('Council Entry'!O$8),ISNUMBER('Council Entry'!O$9)),MAX(MIN('Council Entry'!O111,'Council Entry'!O$9),'Council Entry'!O$8),'Council Entry'!O111))))-'Council Entry'!O$5)/('Council Entry'!O$6-'Council Entry'!O$5)),1))),"No data"))</f>
        <v/>
      </c>
      <c r="P111" s="13">
        <f>IF('Council Entry'!P111="","",IFERROR(MAX(0,MIN(10,ROUND(IF('Council Entry'!P$7="Decrease Risk",10-10*((IF('Council Entry'!P$4="Logarithm",LN(0.001+IF(AND(ISNUMBER('Council Entry'!P$8),ISNUMBER('Council Entry'!P$9)),MAX(MIN('Council Entry'!P111,'Council Entry'!P$9),'Council Entry'!P$8),'Council Entry'!P111)),IF('Council Entry'!P$4="Exponential",EXP(IF(AND(ISNUMBER('Council Entry'!P$8),ISNUMBER('Council Entry'!P$9)),MAX(MIN('Council Entry'!P111,'Council Entry'!P$9),'Council Entry'!P$8),'Council Entry'!P111)),IF(AND(ISNUMBER('Council Entry'!P$8),ISNUMBER('Council Entry'!P$9)),MAX(MIN('Council Entry'!P111,'Council Entry'!P$9),'Council Entry'!P$8),'Council Entry'!P111))))-'Council Entry'!P$5)/('Council Entry'!P$6-'Council Entry'!P$5),10*((IF('Council Entry'!P$4="Logarithm",LN(0.001+IF(AND(ISNUMBER('Council Entry'!P$8),ISNUMBER('Council Entry'!P$9)),MAX(MIN('Council Entry'!P111,'Council Entry'!P$9),'Council Entry'!P$8),'Council Entry'!P111)),IF('Council Entry'!P$4="Exponential",EXP(IF(AND(ISNUMBER('Council Entry'!P$8),ISNUMBER('Council Entry'!P$9)),MAX(MIN('Council Entry'!P111,'Council Entry'!P$9),'Council Entry'!P$8),'Council Entry'!P111)),IF(AND(ISNUMBER('Council Entry'!P$8),ISNUMBER('Council Entry'!P$9)),MAX(MIN('Council Entry'!P111,'Council Entry'!P$9),'Council Entry'!P$8),'Council Entry'!P111))))-'Council Entry'!P$5)/('Council Entry'!P$6-'Council Entry'!P$5)),1))),"No data"))</f>
        <v/>
      </c>
      <c r="Q111" s="13">
        <f>IF('Council Entry'!Q111="","",IFERROR(MAX(0,MIN(10,ROUND(IF('Council Entry'!Q$7="Decrease Risk",10-10*((IF('Council Entry'!Q$4="Logarithm",LN(0.001+IF(AND(ISNUMBER('Council Entry'!Q$8),ISNUMBER('Council Entry'!Q$9)),MAX(MIN('Council Entry'!Q111,'Council Entry'!Q$9),'Council Entry'!Q$8),'Council Entry'!Q111)),IF('Council Entry'!Q$4="Exponential",EXP(IF(AND(ISNUMBER('Council Entry'!Q$8),ISNUMBER('Council Entry'!Q$9)),MAX(MIN('Council Entry'!Q111,'Council Entry'!Q$9),'Council Entry'!Q$8),'Council Entry'!Q111)),IF(AND(ISNUMBER('Council Entry'!Q$8),ISNUMBER('Council Entry'!Q$9)),MAX(MIN('Council Entry'!Q111,'Council Entry'!Q$9),'Council Entry'!Q$8),'Council Entry'!Q111))))-'Council Entry'!Q$5)/('Council Entry'!Q$6-'Council Entry'!Q$5),10*((IF('Council Entry'!Q$4="Logarithm",LN(0.001+IF(AND(ISNUMBER('Council Entry'!Q$8),ISNUMBER('Council Entry'!Q$9)),MAX(MIN('Council Entry'!Q111,'Council Entry'!Q$9),'Council Entry'!Q$8),'Council Entry'!Q111)),IF('Council Entry'!Q$4="Exponential",EXP(IF(AND(ISNUMBER('Council Entry'!Q$8),ISNUMBER('Council Entry'!Q$9)),MAX(MIN('Council Entry'!Q111,'Council Entry'!Q$9),'Council Entry'!Q$8),'Council Entry'!Q111)),IF(AND(ISNUMBER('Council Entry'!Q$8),ISNUMBER('Council Entry'!Q$9)),MAX(MIN('Council Entry'!Q111,'Council Entry'!Q$9),'Council Entry'!Q$8),'Council Entry'!Q111))))-'Council Entry'!Q$5)/('Council Entry'!Q$6-'Council Entry'!Q$5)),1))),"No data"))</f>
        <v/>
      </c>
      <c r="R111" s="13">
        <f>IF('Council Entry'!R111="","",IFERROR(MAX(0,MIN(10,ROUND(IF('Council Entry'!R$7="Decrease Risk",10-10*((IF('Council Entry'!R$4="Logarithm",LN(0.001+IF(AND(ISNUMBER('Council Entry'!R$8),ISNUMBER('Council Entry'!R$9)),MAX(MIN('Council Entry'!R111,'Council Entry'!R$9),'Council Entry'!R$8),'Council Entry'!R111)),IF('Council Entry'!R$4="Exponential",EXP(IF(AND(ISNUMBER('Council Entry'!R$8),ISNUMBER('Council Entry'!R$9)),MAX(MIN('Council Entry'!R111,'Council Entry'!R$9),'Council Entry'!R$8),'Council Entry'!R111)),IF(AND(ISNUMBER('Council Entry'!R$8),ISNUMBER('Council Entry'!R$9)),MAX(MIN('Council Entry'!R111,'Council Entry'!R$9),'Council Entry'!R$8),'Council Entry'!R111))))-'Council Entry'!R$5)/('Council Entry'!R$6-'Council Entry'!R$5),10*((IF('Council Entry'!R$4="Logarithm",LN(0.001+IF(AND(ISNUMBER('Council Entry'!R$8),ISNUMBER('Council Entry'!R$9)),MAX(MIN('Council Entry'!R111,'Council Entry'!R$9),'Council Entry'!R$8),'Council Entry'!R111)),IF('Council Entry'!R$4="Exponential",EXP(IF(AND(ISNUMBER('Council Entry'!R$8),ISNUMBER('Council Entry'!R$9)),MAX(MIN('Council Entry'!R111,'Council Entry'!R$9),'Council Entry'!R$8),'Council Entry'!R111)),IF(AND(ISNUMBER('Council Entry'!R$8),ISNUMBER('Council Entry'!R$9)),MAX(MIN('Council Entry'!R111,'Council Entry'!R$9),'Council Entry'!R$8),'Council Entry'!R111))))-'Council Entry'!R$5)/('Council Entry'!R$6-'Council Entry'!R$5)),1))),"No data"))</f>
        <v/>
      </c>
      <c r="S111" s="13">
        <f>IF('Council Entry'!S111="","",IFERROR(MAX(0,MIN(10,ROUND(IF('Council Entry'!S$7="Decrease Risk",10-10*((IF('Council Entry'!S$4="Logarithm",LN(0.001+IF(AND(ISNUMBER('Council Entry'!S$8),ISNUMBER('Council Entry'!S$9)),MAX(MIN('Council Entry'!S111,'Council Entry'!S$9),'Council Entry'!S$8),'Council Entry'!S111)),IF('Council Entry'!S$4="Exponential",EXP(IF(AND(ISNUMBER('Council Entry'!S$8),ISNUMBER('Council Entry'!S$9)),MAX(MIN('Council Entry'!S111,'Council Entry'!S$9),'Council Entry'!S$8),'Council Entry'!S111)),IF(AND(ISNUMBER('Council Entry'!S$8),ISNUMBER('Council Entry'!S$9)),MAX(MIN('Council Entry'!S111,'Council Entry'!S$9),'Council Entry'!S$8),'Council Entry'!S111))))-'Council Entry'!S$5)/('Council Entry'!S$6-'Council Entry'!S$5),10*((IF('Council Entry'!S$4="Logarithm",LN(0.001+IF(AND(ISNUMBER('Council Entry'!S$8),ISNUMBER('Council Entry'!S$9)),MAX(MIN('Council Entry'!S111,'Council Entry'!S$9),'Council Entry'!S$8),'Council Entry'!S111)),IF('Council Entry'!S$4="Exponential",EXP(IF(AND(ISNUMBER('Council Entry'!S$8),ISNUMBER('Council Entry'!S$9)),MAX(MIN('Council Entry'!S111,'Council Entry'!S$9),'Council Entry'!S$8),'Council Entry'!S111)),IF(AND(ISNUMBER('Council Entry'!S$8),ISNUMBER('Council Entry'!S$9)),MAX(MIN('Council Entry'!S111,'Council Entry'!S$9),'Council Entry'!S$8),'Council Entry'!S111))))-'Council Entry'!S$5)/('Council Entry'!S$6-'Council Entry'!S$5)),1))),"No data"))</f>
        <v/>
      </c>
      <c r="T111" s="13">
        <f>IF('Council Entry'!T111="","",IFERROR(MAX(0,MIN(10,ROUND(IF('Council Entry'!T$7="Decrease Risk",10-10*((IF('Council Entry'!T$4="Logarithm",LN(0.001+IF(AND(ISNUMBER('Council Entry'!T$8),ISNUMBER('Council Entry'!T$9)),MAX(MIN('Council Entry'!T111,'Council Entry'!T$9),'Council Entry'!T$8),'Council Entry'!T111)),IF('Council Entry'!T$4="Exponential",EXP(IF(AND(ISNUMBER('Council Entry'!T$8),ISNUMBER('Council Entry'!T$9)),MAX(MIN('Council Entry'!T111,'Council Entry'!T$9),'Council Entry'!T$8),'Council Entry'!T111)),IF(AND(ISNUMBER('Council Entry'!T$8),ISNUMBER('Council Entry'!T$9)),MAX(MIN('Council Entry'!T111,'Council Entry'!T$9),'Council Entry'!T$8),'Council Entry'!T111))))-'Council Entry'!T$5)/('Council Entry'!T$6-'Council Entry'!T$5),10*((IF('Council Entry'!T$4="Logarithm",LN(0.001+IF(AND(ISNUMBER('Council Entry'!T$8),ISNUMBER('Council Entry'!T$9)),MAX(MIN('Council Entry'!T111,'Council Entry'!T$9),'Council Entry'!T$8),'Council Entry'!T111)),IF('Council Entry'!T$4="Exponential",EXP(IF(AND(ISNUMBER('Council Entry'!T$8),ISNUMBER('Council Entry'!T$9)),MAX(MIN('Council Entry'!T111,'Council Entry'!T$9),'Council Entry'!T$8),'Council Entry'!T111)),IF(AND(ISNUMBER('Council Entry'!T$8),ISNUMBER('Council Entry'!T$9)),MAX(MIN('Council Entry'!T111,'Council Entry'!T$9),'Council Entry'!T$8),'Council Entry'!T111))))-'Council Entry'!T$5)/('Council Entry'!T$6-'Council Entry'!T$5)),1))),"No data"))</f>
        <v/>
      </c>
      <c r="U111" s="13">
        <f>IF('Council Entry'!U111="","",IFERROR(MAX(0,MIN(10,ROUND(IF('Council Entry'!U$7="Decrease Risk",10-10*((IF('Council Entry'!U$4="Logarithm",LN(0.001+IF(AND(ISNUMBER('Council Entry'!U$8),ISNUMBER('Council Entry'!U$9)),MAX(MIN('Council Entry'!U111,'Council Entry'!U$9),'Council Entry'!U$8),'Council Entry'!U111)),IF('Council Entry'!U$4="Exponential",EXP(IF(AND(ISNUMBER('Council Entry'!U$8),ISNUMBER('Council Entry'!U$9)),MAX(MIN('Council Entry'!U111,'Council Entry'!U$9),'Council Entry'!U$8),'Council Entry'!U111)),IF(AND(ISNUMBER('Council Entry'!U$8),ISNUMBER('Council Entry'!U$9)),MAX(MIN('Council Entry'!U111,'Council Entry'!U$9),'Council Entry'!U$8),'Council Entry'!U111))))-'Council Entry'!U$5)/('Council Entry'!U$6-'Council Entry'!U$5),10*((IF('Council Entry'!U$4="Logarithm",LN(0.001+IF(AND(ISNUMBER('Council Entry'!U$8),ISNUMBER('Council Entry'!U$9)),MAX(MIN('Council Entry'!U111,'Council Entry'!U$9),'Council Entry'!U$8),'Council Entry'!U111)),IF('Council Entry'!U$4="Exponential",EXP(IF(AND(ISNUMBER('Council Entry'!U$8),ISNUMBER('Council Entry'!U$9)),MAX(MIN('Council Entry'!U111,'Council Entry'!U$9),'Council Entry'!U$8),'Council Entry'!U111)),IF(AND(ISNUMBER('Council Entry'!U$8),ISNUMBER('Council Entry'!U$9)),MAX(MIN('Council Entry'!U111,'Council Entry'!U$9),'Council Entry'!U$8),'Council Entry'!U111))))-'Council Entry'!U$5)/('Council Entry'!U$6-'Council Entry'!U$5)),1))),"No data"))</f>
        <v/>
      </c>
      <c r="V111" s="13">
        <f>IF('Council Entry'!V111="","",IFERROR(MAX(0,MIN(10,ROUND(IF('Council Entry'!V$7="Decrease Risk",10-10*((IF('Council Entry'!V$4="Logarithm",LN(0.001+IF(AND(ISNUMBER('Council Entry'!V$8),ISNUMBER('Council Entry'!V$9)),MAX(MIN('Council Entry'!V111,'Council Entry'!V$9),'Council Entry'!V$8),'Council Entry'!V111)),IF('Council Entry'!V$4="Exponential",EXP(IF(AND(ISNUMBER('Council Entry'!V$8),ISNUMBER('Council Entry'!V$9)),MAX(MIN('Council Entry'!V111,'Council Entry'!V$9),'Council Entry'!V$8),'Council Entry'!V111)),IF(AND(ISNUMBER('Council Entry'!V$8),ISNUMBER('Council Entry'!V$9)),MAX(MIN('Council Entry'!V111,'Council Entry'!V$9),'Council Entry'!V$8),'Council Entry'!V111))))-'Council Entry'!V$5)/('Council Entry'!V$6-'Council Entry'!V$5),10*((IF('Council Entry'!V$4="Logarithm",LN(0.001+IF(AND(ISNUMBER('Council Entry'!V$8),ISNUMBER('Council Entry'!V$9)),MAX(MIN('Council Entry'!V111,'Council Entry'!V$9),'Council Entry'!V$8),'Council Entry'!V111)),IF('Council Entry'!V$4="Exponential",EXP(IF(AND(ISNUMBER('Council Entry'!V$8),ISNUMBER('Council Entry'!V$9)),MAX(MIN('Council Entry'!V111,'Council Entry'!V$9),'Council Entry'!V$8),'Council Entry'!V111)),IF(AND(ISNUMBER('Council Entry'!V$8),ISNUMBER('Council Entry'!V$9)),MAX(MIN('Council Entry'!V111,'Council Entry'!V$9),'Council Entry'!V$8),'Council Entry'!V111))))-'Council Entry'!V$5)/('Council Entry'!V$6-'Council Entry'!V$5)),1))),"No data"))</f>
        <v/>
      </c>
      <c r="W111" s="13">
        <f>IF('Council Entry'!W111="","",IFERROR(MAX(0,MIN(10,ROUND(IF('Council Entry'!W$7="Decrease Risk",10-10*((IF('Council Entry'!W$4="Logarithm",LN(0.001+IF(AND(ISNUMBER('Council Entry'!W$8),ISNUMBER('Council Entry'!W$9)),MAX(MIN('Council Entry'!W111,'Council Entry'!W$9),'Council Entry'!W$8),'Council Entry'!W111)),IF('Council Entry'!W$4="Exponential",EXP(IF(AND(ISNUMBER('Council Entry'!W$8),ISNUMBER('Council Entry'!W$9)),MAX(MIN('Council Entry'!W111,'Council Entry'!W$9),'Council Entry'!W$8),'Council Entry'!W111)),IF(AND(ISNUMBER('Council Entry'!W$8),ISNUMBER('Council Entry'!W$9)),MAX(MIN('Council Entry'!W111,'Council Entry'!W$9),'Council Entry'!W$8),'Council Entry'!W111))))-'Council Entry'!W$5)/('Council Entry'!W$6-'Council Entry'!W$5),10*((IF('Council Entry'!W$4="Logarithm",LN(0.001+IF(AND(ISNUMBER('Council Entry'!W$8),ISNUMBER('Council Entry'!W$9)),MAX(MIN('Council Entry'!W111,'Council Entry'!W$9),'Council Entry'!W$8),'Council Entry'!W111)),IF('Council Entry'!W$4="Exponential",EXP(IF(AND(ISNUMBER('Council Entry'!W$8),ISNUMBER('Council Entry'!W$9)),MAX(MIN('Council Entry'!W111,'Council Entry'!W$9),'Council Entry'!W$8),'Council Entry'!W111)),IF(AND(ISNUMBER('Council Entry'!W$8),ISNUMBER('Council Entry'!W$9)),MAX(MIN('Council Entry'!W111,'Council Entry'!W$9),'Council Entry'!W$8),'Council Entry'!W111))))-'Council Entry'!W$5)/('Council Entry'!W$6-'Council Entry'!W$5)),1))),"No data"))</f>
        <v/>
      </c>
      <c r="X111" s="13">
        <f>IF('Council Entry'!X111="","",IFERROR(MAX(0,MIN(10,ROUND(IF('Council Entry'!X$7="Decrease Risk",10-10*((IF('Council Entry'!X$4="Logarithm",LN(0.001+IF(AND(ISNUMBER('Council Entry'!X$8),ISNUMBER('Council Entry'!X$9)),MAX(MIN('Council Entry'!X111,'Council Entry'!X$9),'Council Entry'!X$8),'Council Entry'!X111)),IF('Council Entry'!X$4="Exponential",EXP(IF(AND(ISNUMBER('Council Entry'!X$8),ISNUMBER('Council Entry'!X$9)),MAX(MIN('Council Entry'!X111,'Council Entry'!X$9),'Council Entry'!X$8),'Council Entry'!X111)),IF(AND(ISNUMBER('Council Entry'!X$8),ISNUMBER('Council Entry'!X$9)),MAX(MIN('Council Entry'!X111,'Council Entry'!X$9),'Council Entry'!X$8),'Council Entry'!X111))))-'Council Entry'!X$5)/('Council Entry'!X$6-'Council Entry'!X$5),10*((IF('Council Entry'!X$4="Logarithm",LN(0.001+IF(AND(ISNUMBER('Council Entry'!X$8),ISNUMBER('Council Entry'!X$9)),MAX(MIN('Council Entry'!X111,'Council Entry'!X$9),'Council Entry'!X$8),'Council Entry'!X111)),IF('Council Entry'!X$4="Exponential",EXP(IF(AND(ISNUMBER('Council Entry'!X$8),ISNUMBER('Council Entry'!X$9)),MAX(MIN('Council Entry'!X111,'Council Entry'!X$9),'Council Entry'!X$8),'Council Entry'!X111)),IF(AND(ISNUMBER('Council Entry'!X$8),ISNUMBER('Council Entry'!X$9)),MAX(MIN('Council Entry'!X111,'Council Entry'!X$9),'Council Entry'!X$8),'Council Entry'!X111))))-'Council Entry'!X$5)/('Council Entry'!X$6-'Council Entry'!X$5)),1))),"No data"))</f>
        <v/>
      </c>
      <c r="Y111" s="13">
        <f>IF('Council Entry'!Y111="","",IFERROR(MAX(0,MIN(10,ROUND(IF('Council Entry'!Y$7="Decrease Risk",10-10*((IF('Council Entry'!Y$4="Logarithm",LN(0.001+IF(AND(ISNUMBER('Council Entry'!Y$8),ISNUMBER('Council Entry'!Y$9)),MAX(MIN('Council Entry'!Y111,'Council Entry'!Y$9),'Council Entry'!Y$8),'Council Entry'!Y111)),IF('Council Entry'!Y$4="Exponential",EXP(IF(AND(ISNUMBER('Council Entry'!Y$8),ISNUMBER('Council Entry'!Y$9)),MAX(MIN('Council Entry'!Y111,'Council Entry'!Y$9),'Council Entry'!Y$8),'Council Entry'!Y111)),IF(AND(ISNUMBER('Council Entry'!Y$8),ISNUMBER('Council Entry'!Y$9)),MAX(MIN('Council Entry'!Y111,'Council Entry'!Y$9),'Council Entry'!Y$8),'Council Entry'!Y111))))-'Council Entry'!Y$5)/('Council Entry'!Y$6-'Council Entry'!Y$5),10*((IF('Council Entry'!Y$4="Logarithm",LN(0.001+IF(AND(ISNUMBER('Council Entry'!Y$8),ISNUMBER('Council Entry'!Y$9)),MAX(MIN('Council Entry'!Y111,'Council Entry'!Y$9),'Council Entry'!Y$8),'Council Entry'!Y111)),IF('Council Entry'!Y$4="Exponential",EXP(IF(AND(ISNUMBER('Council Entry'!Y$8),ISNUMBER('Council Entry'!Y$9)),MAX(MIN('Council Entry'!Y111,'Council Entry'!Y$9),'Council Entry'!Y$8),'Council Entry'!Y111)),IF(AND(ISNUMBER('Council Entry'!Y$8),ISNUMBER('Council Entry'!Y$9)),MAX(MIN('Council Entry'!Y111,'Council Entry'!Y$9),'Council Entry'!Y$8),'Council Entry'!Y111))))-'Council Entry'!Y$5)/('Council Entry'!Y$6-'Council Entry'!Y$5)),1))),"No data"))</f>
        <v/>
      </c>
      <c r="Z111" s="13">
        <f>IF('Council Entry'!Z111="","",IFERROR(MAX(0,MIN(10,ROUND(IF('Council Entry'!Z$7="Decrease Risk",10-10*((IF('Council Entry'!Z$4="Logarithm",LN(0.001+IF(AND(ISNUMBER('Council Entry'!Z$8),ISNUMBER('Council Entry'!Z$9)),MAX(MIN('Council Entry'!Z111,'Council Entry'!Z$9),'Council Entry'!Z$8),'Council Entry'!Z111)),IF('Council Entry'!Z$4="Exponential",EXP(IF(AND(ISNUMBER('Council Entry'!Z$8),ISNUMBER('Council Entry'!Z$9)),MAX(MIN('Council Entry'!Z111,'Council Entry'!Z$9),'Council Entry'!Z$8),'Council Entry'!Z111)),IF(AND(ISNUMBER('Council Entry'!Z$8),ISNUMBER('Council Entry'!Z$9)),MAX(MIN('Council Entry'!Z111,'Council Entry'!Z$9),'Council Entry'!Z$8),'Council Entry'!Z111))))-'Council Entry'!Z$5)/('Council Entry'!Z$6-'Council Entry'!Z$5),10*((IF('Council Entry'!Z$4="Logarithm",LN(0.001+IF(AND(ISNUMBER('Council Entry'!Z$8),ISNUMBER('Council Entry'!Z$9)),MAX(MIN('Council Entry'!Z111,'Council Entry'!Z$9),'Council Entry'!Z$8),'Council Entry'!Z111)),IF('Council Entry'!Z$4="Exponential",EXP(IF(AND(ISNUMBER('Council Entry'!Z$8),ISNUMBER('Council Entry'!Z$9)),MAX(MIN('Council Entry'!Z111,'Council Entry'!Z$9),'Council Entry'!Z$8),'Council Entry'!Z111)),IF(AND(ISNUMBER('Council Entry'!Z$8),ISNUMBER('Council Entry'!Z$9)),MAX(MIN('Council Entry'!Z111,'Council Entry'!Z$9),'Council Entry'!Z$8),'Council Entry'!Z111))))-'Council Entry'!Z$5)/('Council Entry'!Z$6-'Council Entry'!Z$5)),1))),"No data"))</f>
        <v/>
      </c>
      <c r="AA111" s="13">
        <f>IF('Council Entry'!AA111="","",IFERROR(MAX(0,MIN(10,ROUND(IF('Council Entry'!AA$7="Decrease Risk",10-10*((IF('Council Entry'!AA$4="Logarithm",LN(0.001+IF(AND(ISNUMBER('Council Entry'!AA$8),ISNUMBER('Council Entry'!AA$9)),MAX(MIN('Council Entry'!AA111,'Council Entry'!AA$9),'Council Entry'!AA$8),'Council Entry'!AA111)),IF('Council Entry'!AA$4="Exponential",EXP(IF(AND(ISNUMBER('Council Entry'!AA$8),ISNUMBER('Council Entry'!AA$9)),MAX(MIN('Council Entry'!AA111,'Council Entry'!AA$9),'Council Entry'!AA$8),'Council Entry'!AA111)),IF(AND(ISNUMBER('Council Entry'!AA$8),ISNUMBER('Council Entry'!AA$9)),MAX(MIN('Council Entry'!AA111,'Council Entry'!AA$9),'Council Entry'!AA$8),'Council Entry'!AA111))))-'Council Entry'!AA$5)/('Council Entry'!AA$6-'Council Entry'!AA$5),10*((IF('Council Entry'!AA$4="Logarithm",LN(0.001+IF(AND(ISNUMBER('Council Entry'!AA$8),ISNUMBER('Council Entry'!AA$9)),MAX(MIN('Council Entry'!AA111,'Council Entry'!AA$9),'Council Entry'!AA$8),'Council Entry'!AA111)),IF('Council Entry'!AA$4="Exponential",EXP(IF(AND(ISNUMBER('Council Entry'!AA$8),ISNUMBER('Council Entry'!AA$9)),MAX(MIN('Council Entry'!AA111,'Council Entry'!AA$9),'Council Entry'!AA$8),'Council Entry'!AA111)),IF(AND(ISNUMBER('Council Entry'!AA$8),ISNUMBER('Council Entry'!AA$9)),MAX(MIN('Council Entry'!AA111,'Council Entry'!AA$9),'Council Entry'!AA$8),'Council Entry'!AA111))))-'Council Entry'!AA$5)/('Council Entry'!AA$6-'Council Entry'!AA$5)),1))),"No data"))</f>
        <v/>
      </c>
      <c r="AB111" s="13">
        <f>IF('Council Entry'!AB111="","",IFERROR(MAX(0,MIN(10,ROUND(IF('Council Entry'!AB$7="Decrease Risk",10-10*((IF('Council Entry'!AB$4="Logarithm",LN(0.001+IF(AND(ISNUMBER('Council Entry'!AB$8),ISNUMBER('Council Entry'!AB$9)),MAX(MIN('Council Entry'!AB111,'Council Entry'!AB$9),'Council Entry'!AB$8),'Council Entry'!AB111)),IF('Council Entry'!AB$4="Exponential",EXP(IF(AND(ISNUMBER('Council Entry'!AB$8),ISNUMBER('Council Entry'!AB$9)),MAX(MIN('Council Entry'!AB111,'Council Entry'!AB$9),'Council Entry'!AB$8),'Council Entry'!AB111)),IF(AND(ISNUMBER('Council Entry'!AB$8),ISNUMBER('Council Entry'!AB$9)),MAX(MIN('Council Entry'!AB111,'Council Entry'!AB$9),'Council Entry'!AB$8),'Council Entry'!AB111))))-'Council Entry'!AB$5)/('Council Entry'!AB$6-'Council Entry'!AB$5),10*((IF('Council Entry'!AB$4="Logarithm",LN(0.001+IF(AND(ISNUMBER('Council Entry'!AB$8),ISNUMBER('Council Entry'!AB$9)),MAX(MIN('Council Entry'!AB111,'Council Entry'!AB$9),'Council Entry'!AB$8),'Council Entry'!AB111)),IF('Council Entry'!AB$4="Exponential",EXP(IF(AND(ISNUMBER('Council Entry'!AB$8),ISNUMBER('Council Entry'!AB$9)),MAX(MIN('Council Entry'!AB111,'Council Entry'!AB$9),'Council Entry'!AB$8),'Council Entry'!AB111)),IF(AND(ISNUMBER('Council Entry'!AB$8),ISNUMBER('Council Entry'!AB$9)),MAX(MIN('Council Entry'!AB111,'Council Entry'!AB$9),'Council Entry'!AB$8),'Council Entry'!AB111))))-'Council Entry'!AB$5)/('Council Entry'!AB$6-'Council Entry'!AB$5)),1))),"No data"))</f>
        <v/>
      </c>
      <c r="AC111" s="13">
        <f>IF('Council Entry'!AC111="","",IFERROR(MAX(0,MIN(10,ROUND(IF('Council Entry'!AC$7="Decrease Risk",10-10*((IF('Council Entry'!AC$4="Logarithm",LN(0.001+IF(AND(ISNUMBER('Council Entry'!AC$8),ISNUMBER('Council Entry'!AC$9)),MAX(MIN('Council Entry'!AC111,'Council Entry'!AC$9),'Council Entry'!AC$8),'Council Entry'!AC111)),IF('Council Entry'!AC$4="Exponential",EXP(IF(AND(ISNUMBER('Council Entry'!AC$8),ISNUMBER('Council Entry'!AC$9)),MAX(MIN('Council Entry'!AC111,'Council Entry'!AC$9),'Council Entry'!AC$8),'Council Entry'!AC111)),IF(AND(ISNUMBER('Council Entry'!AC$8),ISNUMBER('Council Entry'!AC$9)),MAX(MIN('Council Entry'!AC111,'Council Entry'!AC$9),'Council Entry'!AC$8),'Council Entry'!AC111))))-'Council Entry'!AC$5)/('Council Entry'!AC$6-'Council Entry'!AC$5),10*((IF('Council Entry'!AC$4="Logarithm",LN(0.001+IF(AND(ISNUMBER('Council Entry'!AC$8),ISNUMBER('Council Entry'!AC$9)),MAX(MIN('Council Entry'!AC111,'Council Entry'!AC$9),'Council Entry'!AC$8),'Council Entry'!AC111)),IF('Council Entry'!AC$4="Exponential",EXP(IF(AND(ISNUMBER('Council Entry'!AC$8),ISNUMBER('Council Entry'!AC$9)),MAX(MIN('Council Entry'!AC111,'Council Entry'!AC$9),'Council Entry'!AC$8),'Council Entry'!AC111)),IF(AND(ISNUMBER('Council Entry'!AC$8),ISNUMBER('Council Entry'!AC$9)),MAX(MIN('Council Entry'!AC111,'Council Entry'!AC$9),'Council Entry'!AC$8),'Council Entry'!AC111))))-'Council Entry'!AC$5)/('Council Entry'!AC$6-'Council Entry'!AC$5)),1))),"No data"))</f>
        <v/>
      </c>
      <c r="AD111" s="13">
        <f>IF('Council Entry'!AD111="","",IFERROR(MAX(0,MIN(10,ROUND(IF('Council Entry'!AD$7="Decrease Risk",10-10*((IF('Council Entry'!AD$4="Logarithm",LN(0.001+IF(AND(ISNUMBER('Council Entry'!AD$8),ISNUMBER('Council Entry'!AD$9)),MAX(MIN('Council Entry'!AD111,'Council Entry'!AD$9),'Council Entry'!AD$8),'Council Entry'!AD111)),IF('Council Entry'!AD$4="Exponential",EXP(IF(AND(ISNUMBER('Council Entry'!AD$8),ISNUMBER('Council Entry'!AD$9)),MAX(MIN('Council Entry'!AD111,'Council Entry'!AD$9),'Council Entry'!AD$8),'Council Entry'!AD111)),IF(AND(ISNUMBER('Council Entry'!AD$8),ISNUMBER('Council Entry'!AD$9)),MAX(MIN('Council Entry'!AD111,'Council Entry'!AD$9),'Council Entry'!AD$8),'Council Entry'!AD111))))-'Council Entry'!AD$5)/('Council Entry'!AD$6-'Council Entry'!AD$5),10*((IF('Council Entry'!AD$4="Logarithm",LN(0.001+IF(AND(ISNUMBER('Council Entry'!AD$8),ISNUMBER('Council Entry'!AD$9)),MAX(MIN('Council Entry'!AD111,'Council Entry'!AD$9),'Council Entry'!AD$8),'Council Entry'!AD111)),IF('Council Entry'!AD$4="Exponential",EXP(IF(AND(ISNUMBER('Council Entry'!AD$8),ISNUMBER('Council Entry'!AD$9)),MAX(MIN('Council Entry'!AD111,'Council Entry'!AD$9),'Council Entry'!AD$8),'Council Entry'!AD111)),IF(AND(ISNUMBER('Council Entry'!AD$8),ISNUMBER('Council Entry'!AD$9)),MAX(MIN('Council Entry'!AD111,'Council Entry'!AD$9),'Council Entry'!AD$8),'Council Entry'!AD111))))-'Council Entry'!AD$5)/('Council Entry'!AD$6-'Council Entry'!AD$5)),1))),"No data"))</f>
        <v/>
      </c>
      <c r="AE111" s="13">
        <f>IF('Council Entry'!AE111="","",IFERROR(MAX(0,MIN(10,ROUND(IF('Council Entry'!AE$7="Decrease Risk",10-10*((IF('Council Entry'!AE$4="Logarithm",LN(0.001+IF(AND(ISNUMBER('Council Entry'!AE$8),ISNUMBER('Council Entry'!AE$9)),MAX(MIN('Council Entry'!AE111,'Council Entry'!AE$9),'Council Entry'!AE$8),'Council Entry'!AE111)),IF('Council Entry'!AE$4="Exponential",EXP(IF(AND(ISNUMBER('Council Entry'!AE$8),ISNUMBER('Council Entry'!AE$9)),MAX(MIN('Council Entry'!AE111,'Council Entry'!AE$9),'Council Entry'!AE$8),'Council Entry'!AE111)),IF(AND(ISNUMBER('Council Entry'!AE$8),ISNUMBER('Council Entry'!AE$9)),MAX(MIN('Council Entry'!AE111,'Council Entry'!AE$9),'Council Entry'!AE$8),'Council Entry'!AE111))))-'Council Entry'!AE$5)/('Council Entry'!AE$6-'Council Entry'!AE$5),10*((IF('Council Entry'!AE$4="Logarithm",LN(0.001+IF(AND(ISNUMBER('Council Entry'!AE$8),ISNUMBER('Council Entry'!AE$9)),MAX(MIN('Council Entry'!AE111,'Council Entry'!AE$9),'Council Entry'!AE$8),'Council Entry'!AE111)),IF('Council Entry'!AE$4="Exponential",EXP(IF(AND(ISNUMBER('Council Entry'!AE$8),ISNUMBER('Council Entry'!AE$9)),MAX(MIN('Council Entry'!AE111,'Council Entry'!AE$9),'Council Entry'!AE$8),'Council Entry'!AE111)),IF(AND(ISNUMBER('Council Entry'!AE$8),ISNUMBER('Council Entry'!AE$9)),MAX(MIN('Council Entry'!AE111,'Council Entry'!AE$9),'Council Entry'!AE$8),'Council Entry'!AE111))))-'Council Entry'!AE$5)/('Council Entry'!AE$6-'Council Entry'!AE$5)),1))),"No data"))</f>
        <v/>
      </c>
      <c r="AF111" s="13">
        <f>IF('Council Entry'!AF111="","",IFERROR(MAX(0,MIN(10,ROUND(IF('Council Entry'!AF$7="Decrease Risk",10-10*((IF('Council Entry'!AF$4="Logarithm",LN(0.001+IF(AND(ISNUMBER('Council Entry'!AF$8),ISNUMBER('Council Entry'!AF$9)),MAX(MIN('Council Entry'!AF111,'Council Entry'!AF$9),'Council Entry'!AF$8),'Council Entry'!AF111)),IF('Council Entry'!AF$4="Exponential",EXP(IF(AND(ISNUMBER('Council Entry'!AF$8),ISNUMBER('Council Entry'!AF$9)),MAX(MIN('Council Entry'!AF111,'Council Entry'!AF$9),'Council Entry'!AF$8),'Council Entry'!AF111)),IF(AND(ISNUMBER('Council Entry'!AF$8),ISNUMBER('Council Entry'!AF$9)),MAX(MIN('Council Entry'!AF111,'Council Entry'!AF$9),'Council Entry'!AF$8),'Council Entry'!AF111))))-'Council Entry'!AF$5)/('Council Entry'!AF$6-'Council Entry'!AF$5),10*((IF('Council Entry'!AF$4="Logarithm",LN(0.001+IF(AND(ISNUMBER('Council Entry'!AF$8),ISNUMBER('Council Entry'!AF$9)),MAX(MIN('Council Entry'!AF111,'Council Entry'!AF$9),'Council Entry'!AF$8),'Council Entry'!AF111)),IF('Council Entry'!AF$4="Exponential",EXP(IF(AND(ISNUMBER('Council Entry'!AF$8),ISNUMBER('Council Entry'!AF$9)),MAX(MIN('Council Entry'!AF111,'Council Entry'!AF$9),'Council Entry'!AF$8),'Council Entry'!AF111)),IF(AND(ISNUMBER('Council Entry'!AF$8),ISNUMBER('Council Entry'!AF$9)),MAX(MIN('Council Entry'!AF111,'Council Entry'!AF$9),'Council Entry'!AF$8),'Council Entry'!AF111))))-'Council Entry'!AF$5)/('Council Entry'!AF$6-'Council Entry'!AF$5)),1))),"No data"))</f>
        <v/>
      </c>
      <c r="AG111" s="13">
        <f>IF('Council Entry'!AG111="","",IFERROR(MAX(0,MIN(10,ROUND(IF('Council Entry'!AG$7="Decrease Risk",10-10*((IF('Council Entry'!AG$4="Logarithm",LN(0.001+IF(AND(ISNUMBER('Council Entry'!AG$8),ISNUMBER('Council Entry'!AG$9)),MAX(MIN('Council Entry'!AG111,'Council Entry'!AG$9),'Council Entry'!AG$8),'Council Entry'!AG111)),IF('Council Entry'!AG$4="Exponential",EXP(IF(AND(ISNUMBER('Council Entry'!AG$8),ISNUMBER('Council Entry'!AG$9)),MAX(MIN('Council Entry'!AG111,'Council Entry'!AG$9),'Council Entry'!AG$8),'Council Entry'!AG111)),IF(AND(ISNUMBER('Council Entry'!AG$8),ISNUMBER('Council Entry'!AG$9)),MAX(MIN('Council Entry'!AG111,'Council Entry'!AG$9),'Council Entry'!AG$8),'Council Entry'!AG111))))-'Council Entry'!AG$5)/('Council Entry'!AG$6-'Council Entry'!AG$5),10*((IF('Council Entry'!AG$4="Logarithm",LN(0.001+IF(AND(ISNUMBER('Council Entry'!AG$8),ISNUMBER('Council Entry'!AG$9)),MAX(MIN('Council Entry'!AG111,'Council Entry'!AG$9),'Council Entry'!AG$8),'Council Entry'!AG111)),IF('Council Entry'!AG$4="Exponential",EXP(IF(AND(ISNUMBER('Council Entry'!AG$8),ISNUMBER('Council Entry'!AG$9)),MAX(MIN('Council Entry'!AG111,'Council Entry'!AG$9),'Council Entry'!AG$8),'Council Entry'!AG111)),IF(AND(ISNUMBER('Council Entry'!AG$8),ISNUMBER('Council Entry'!AG$9)),MAX(MIN('Council Entry'!AG111,'Council Entry'!AG$9),'Council Entry'!AG$8),'Council Entry'!AG111))))-'Council Entry'!AG$5)/('Council Entry'!AG$6-'Council Entry'!AG$5)),1))),"No data"))</f>
        <v/>
      </c>
      <c r="AH111" s="13">
        <f>IF('Council Entry'!AH111="","",IFERROR(MAX(0,MIN(10,ROUND(IF('Council Entry'!AH$7="Decrease Risk",10-10*((IF('Council Entry'!AH$4="Logarithm",LN(0.001+IF(AND(ISNUMBER('Council Entry'!AH$8),ISNUMBER('Council Entry'!AH$9)),MAX(MIN('Council Entry'!AH111,'Council Entry'!AH$9),'Council Entry'!AH$8),'Council Entry'!AH111)),IF('Council Entry'!AH$4="Exponential",EXP(IF(AND(ISNUMBER('Council Entry'!AH$8),ISNUMBER('Council Entry'!AH$9)),MAX(MIN('Council Entry'!AH111,'Council Entry'!AH$9),'Council Entry'!AH$8),'Council Entry'!AH111)),IF(AND(ISNUMBER('Council Entry'!AH$8),ISNUMBER('Council Entry'!AH$9)),MAX(MIN('Council Entry'!AH111,'Council Entry'!AH$9),'Council Entry'!AH$8),'Council Entry'!AH111))))-'Council Entry'!AH$5)/('Council Entry'!AH$6-'Council Entry'!AH$5),10*((IF('Council Entry'!AH$4="Logarithm",LN(0.001+IF(AND(ISNUMBER('Council Entry'!AH$8),ISNUMBER('Council Entry'!AH$9)),MAX(MIN('Council Entry'!AH111,'Council Entry'!AH$9),'Council Entry'!AH$8),'Council Entry'!AH111)),IF('Council Entry'!AH$4="Exponential",EXP(IF(AND(ISNUMBER('Council Entry'!AH$8),ISNUMBER('Council Entry'!AH$9)),MAX(MIN('Council Entry'!AH111,'Council Entry'!AH$9),'Council Entry'!AH$8),'Council Entry'!AH111)),IF(AND(ISNUMBER('Council Entry'!AH$8),ISNUMBER('Council Entry'!AH$9)),MAX(MIN('Council Entry'!AH111,'Council Entry'!AH$9),'Council Entry'!AH$8),'Council Entry'!AH111))))-'Council Entry'!AH$5)/('Council Entry'!AH$6-'Council Entry'!AH$5)),1))),"No data"))</f>
        <v/>
      </c>
      <c r="AI111" s="13">
        <f>IF('Council Entry'!AI111="","",IFERROR(MAX(0,MIN(10,ROUND(IF('Council Entry'!AI$7="Decrease Risk",10-10*((IF('Council Entry'!AI$4="Logarithm",LN(0.001+IF(AND(ISNUMBER('Council Entry'!AI$8),ISNUMBER('Council Entry'!AI$9)),MAX(MIN('Council Entry'!AI111,'Council Entry'!AI$9),'Council Entry'!AI$8),'Council Entry'!AI111)),IF('Council Entry'!AI$4="Exponential",EXP(IF(AND(ISNUMBER('Council Entry'!AI$8),ISNUMBER('Council Entry'!AI$9)),MAX(MIN('Council Entry'!AI111,'Council Entry'!AI$9),'Council Entry'!AI$8),'Council Entry'!AI111)),IF(AND(ISNUMBER('Council Entry'!AI$8),ISNUMBER('Council Entry'!AI$9)),MAX(MIN('Council Entry'!AI111,'Council Entry'!AI$9),'Council Entry'!AI$8),'Council Entry'!AI111))))-'Council Entry'!AI$5)/('Council Entry'!AI$6-'Council Entry'!AI$5),10*((IF('Council Entry'!AI$4="Logarithm",LN(0.001+IF(AND(ISNUMBER('Council Entry'!AI$8),ISNUMBER('Council Entry'!AI$9)),MAX(MIN('Council Entry'!AI111,'Council Entry'!AI$9),'Council Entry'!AI$8),'Council Entry'!AI111)),IF('Council Entry'!AI$4="Exponential",EXP(IF(AND(ISNUMBER('Council Entry'!AI$8),ISNUMBER('Council Entry'!AI$9)),MAX(MIN('Council Entry'!AI111,'Council Entry'!AI$9),'Council Entry'!AI$8),'Council Entry'!AI111)),IF(AND(ISNUMBER('Council Entry'!AI$8),ISNUMBER('Council Entry'!AI$9)),MAX(MIN('Council Entry'!AI111,'Council Entry'!AI$9),'Council Entry'!AI$8),'Council Entry'!AI111))))-'Council Entry'!AI$5)/('Council Entry'!AI$6-'Council Entry'!AI$5)),1))),"No data"))</f>
        <v/>
      </c>
      <c r="AJ111" s="13">
        <f>IF('Council Entry'!AJ111="","",IFERROR(MAX(0,MIN(10,ROUND(IF('Council Entry'!AJ$7="Decrease Risk",10-10*((IF('Council Entry'!AJ$4="Logarithm",LN(0.001+IF(AND(ISNUMBER('Council Entry'!AJ$8),ISNUMBER('Council Entry'!AJ$9)),MAX(MIN('Council Entry'!AJ111,'Council Entry'!AJ$9),'Council Entry'!AJ$8),'Council Entry'!AJ111)),IF('Council Entry'!AJ$4="Exponential",EXP(IF(AND(ISNUMBER('Council Entry'!AJ$8),ISNUMBER('Council Entry'!AJ$9)),MAX(MIN('Council Entry'!AJ111,'Council Entry'!AJ$9),'Council Entry'!AJ$8),'Council Entry'!AJ111)),IF(AND(ISNUMBER('Council Entry'!AJ$8),ISNUMBER('Council Entry'!AJ$9)),MAX(MIN('Council Entry'!AJ111,'Council Entry'!AJ$9),'Council Entry'!AJ$8),'Council Entry'!AJ111))))-'Council Entry'!AJ$5)/('Council Entry'!AJ$6-'Council Entry'!AJ$5),10*((IF('Council Entry'!AJ$4="Logarithm",LN(0.001+IF(AND(ISNUMBER('Council Entry'!AJ$8),ISNUMBER('Council Entry'!AJ$9)),MAX(MIN('Council Entry'!AJ111,'Council Entry'!AJ$9),'Council Entry'!AJ$8),'Council Entry'!AJ111)),IF('Council Entry'!AJ$4="Exponential",EXP(IF(AND(ISNUMBER('Council Entry'!AJ$8),ISNUMBER('Council Entry'!AJ$9)),MAX(MIN('Council Entry'!AJ111,'Council Entry'!AJ$9),'Council Entry'!AJ$8),'Council Entry'!AJ111)),IF(AND(ISNUMBER('Council Entry'!AJ$8),ISNUMBER('Council Entry'!AJ$9)),MAX(MIN('Council Entry'!AJ111,'Council Entry'!AJ$9),'Council Entry'!AJ$8),'Council Entry'!AJ111))))-'Council Entry'!AJ$5)/('Council Entry'!AJ$6-'Council Entry'!AJ$5)),1))),"No data"))</f>
        <v/>
      </c>
      <c r="AK111" s="13">
        <f>IF('Council Entry'!AK111="","",IFERROR(MAX(0,MIN(10,ROUND(IF('Council Entry'!AK$7="Decrease Risk",10-10*((IF('Council Entry'!AK$4="Logarithm",LN(0.001+IF(AND(ISNUMBER('Council Entry'!AK$8),ISNUMBER('Council Entry'!AK$9)),MAX(MIN('Council Entry'!AK111,'Council Entry'!AK$9),'Council Entry'!AK$8),'Council Entry'!AK111)),IF('Council Entry'!AK$4="Exponential",EXP(IF(AND(ISNUMBER('Council Entry'!AK$8),ISNUMBER('Council Entry'!AK$9)),MAX(MIN('Council Entry'!AK111,'Council Entry'!AK$9),'Council Entry'!AK$8),'Council Entry'!AK111)),IF(AND(ISNUMBER('Council Entry'!AK$8),ISNUMBER('Council Entry'!AK$9)),MAX(MIN('Council Entry'!AK111,'Council Entry'!AK$9),'Council Entry'!AK$8),'Council Entry'!AK111))))-'Council Entry'!AK$5)/('Council Entry'!AK$6-'Council Entry'!AK$5),10*((IF('Council Entry'!AK$4="Logarithm",LN(0.001+IF(AND(ISNUMBER('Council Entry'!AK$8),ISNUMBER('Council Entry'!AK$9)),MAX(MIN('Council Entry'!AK111,'Council Entry'!AK$9),'Council Entry'!AK$8),'Council Entry'!AK111)),IF('Council Entry'!AK$4="Exponential",EXP(IF(AND(ISNUMBER('Council Entry'!AK$8),ISNUMBER('Council Entry'!AK$9)),MAX(MIN('Council Entry'!AK111,'Council Entry'!AK$9),'Council Entry'!AK$8),'Council Entry'!AK111)),IF(AND(ISNUMBER('Council Entry'!AK$8),ISNUMBER('Council Entry'!AK$9)),MAX(MIN('Council Entry'!AK111,'Council Entry'!AK$9),'Council Entry'!AK$8),'Council Entry'!AK111))))-'Council Entry'!AK$5)/('Council Entry'!AK$6-'Council Entry'!AK$5)),1))),"No data"))</f>
        <v/>
      </c>
      <c r="AL111" s="13">
        <f>IF('Council Entry'!AL111="","",IFERROR(MAX(0,MIN(10,ROUND(IF('Council Entry'!AL$7="Decrease Risk",10-10*((IF('Council Entry'!AL$4="Logarithm",LN(0.001+IF(AND(ISNUMBER('Council Entry'!AL$8),ISNUMBER('Council Entry'!AL$9)),MAX(MIN('Council Entry'!AL111,'Council Entry'!AL$9),'Council Entry'!AL$8),'Council Entry'!AL111)),IF('Council Entry'!AL$4="Exponential",EXP(IF(AND(ISNUMBER('Council Entry'!AL$8),ISNUMBER('Council Entry'!AL$9)),MAX(MIN('Council Entry'!AL111,'Council Entry'!AL$9),'Council Entry'!AL$8),'Council Entry'!AL111)),IF(AND(ISNUMBER('Council Entry'!AL$8),ISNUMBER('Council Entry'!AL$9)),MAX(MIN('Council Entry'!AL111,'Council Entry'!AL$9),'Council Entry'!AL$8),'Council Entry'!AL111))))-'Council Entry'!AL$5)/('Council Entry'!AL$6-'Council Entry'!AL$5),10*((IF('Council Entry'!AL$4="Logarithm",LN(0.001+IF(AND(ISNUMBER('Council Entry'!AL$8),ISNUMBER('Council Entry'!AL$9)),MAX(MIN('Council Entry'!AL111,'Council Entry'!AL$9),'Council Entry'!AL$8),'Council Entry'!AL111)),IF('Council Entry'!AL$4="Exponential",EXP(IF(AND(ISNUMBER('Council Entry'!AL$8),ISNUMBER('Council Entry'!AL$9)),MAX(MIN('Council Entry'!AL111,'Council Entry'!AL$9),'Council Entry'!AL$8),'Council Entry'!AL111)),IF(AND(ISNUMBER('Council Entry'!AL$8),ISNUMBER('Council Entry'!AL$9)),MAX(MIN('Council Entry'!AL111,'Council Entry'!AL$9),'Council Entry'!AL$8),'Council Entry'!AL111))))-'Council Entry'!AL$5)/('Council Entry'!AL$6-'Council Entry'!AL$5)),1))),"No data"))</f>
        <v/>
      </c>
      <c r="AM111" s="13">
        <f>IF('Council Entry'!AM111="","",IFERROR(MAX(0,MIN(10,ROUND(IF('Council Entry'!AM$7="Decrease Risk",10-10*((IF('Council Entry'!AM$4="Logarithm",LN(0.001+IF(AND(ISNUMBER('Council Entry'!AM$8),ISNUMBER('Council Entry'!AM$9)),MAX(MIN('Council Entry'!AM111,'Council Entry'!AM$9),'Council Entry'!AM$8),'Council Entry'!AM111)),IF('Council Entry'!AM$4="Exponential",EXP(IF(AND(ISNUMBER('Council Entry'!AM$8),ISNUMBER('Council Entry'!AM$9)),MAX(MIN('Council Entry'!AM111,'Council Entry'!AM$9),'Council Entry'!AM$8),'Council Entry'!AM111)),IF(AND(ISNUMBER('Council Entry'!AM$8),ISNUMBER('Council Entry'!AM$9)),MAX(MIN('Council Entry'!AM111,'Council Entry'!AM$9),'Council Entry'!AM$8),'Council Entry'!AM111))))-'Council Entry'!AM$5)/('Council Entry'!AM$6-'Council Entry'!AM$5),10*((IF('Council Entry'!AM$4="Logarithm",LN(0.001+IF(AND(ISNUMBER('Council Entry'!AM$8),ISNUMBER('Council Entry'!AM$9)),MAX(MIN('Council Entry'!AM111,'Council Entry'!AM$9),'Council Entry'!AM$8),'Council Entry'!AM111)),IF('Council Entry'!AM$4="Exponential",EXP(IF(AND(ISNUMBER('Council Entry'!AM$8),ISNUMBER('Council Entry'!AM$9)),MAX(MIN('Council Entry'!AM111,'Council Entry'!AM$9),'Council Entry'!AM$8),'Council Entry'!AM111)),IF(AND(ISNUMBER('Council Entry'!AM$8),ISNUMBER('Council Entry'!AM$9)),MAX(MIN('Council Entry'!AM111,'Council Entry'!AM$9),'Council Entry'!AM$8),'Council Entry'!AM111))))-'Council Entry'!AM$5)/('Council Entry'!AM$6-'Council Entry'!AM$5)),1))),"No data"))</f>
        <v/>
      </c>
      <c r="AN111" s="13">
        <f>IF('Council Entry'!AN111="","",IFERROR(MAX(0,MIN(10,ROUND(IF('Council Entry'!AN$7="Decrease Risk",10-10*((IF('Council Entry'!AN$4="Logarithm",LN(0.001+IF(AND(ISNUMBER('Council Entry'!AN$8),ISNUMBER('Council Entry'!AN$9)),MAX(MIN('Council Entry'!AN111,'Council Entry'!AN$9),'Council Entry'!AN$8),'Council Entry'!AN111)),IF('Council Entry'!AN$4="Exponential",EXP(IF(AND(ISNUMBER('Council Entry'!AN$8),ISNUMBER('Council Entry'!AN$9)),MAX(MIN('Council Entry'!AN111,'Council Entry'!AN$9),'Council Entry'!AN$8),'Council Entry'!AN111)),IF(AND(ISNUMBER('Council Entry'!AN$8),ISNUMBER('Council Entry'!AN$9)),MAX(MIN('Council Entry'!AN111,'Council Entry'!AN$9),'Council Entry'!AN$8),'Council Entry'!AN111))))-'Council Entry'!AN$5)/('Council Entry'!AN$6-'Council Entry'!AN$5),10*((IF('Council Entry'!AN$4="Logarithm",LN(0.001+IF(AND(ISNUMBER('Council Entry'!AN$8),ISNUMBER('Council Entry'!AN$9)),MAX(MIN('Council Entry'!AN111,'Council Entry'!AN$9),'Council Entry'!AN$8),'Council Entry'!AN111)),IF('Council Entry'!AN$4="Exponential",EXP(IF(AND(ISNUMBER('Council Entry'!AN$8),ISNUMBER('Council Entry'!AN$9)),MAX(MIN('Council Entry'!AN111,'Council Entry'!AN$9),'Council Entry'!AN$8),'Council Entry'!AN111)),IF(AND(ISNUMBER('Council Entry'!AN$8),ISNUMBER('Council Entry'!AN$9)),MAX(MIN('Council Entry'!AN111,'Council Entry'!AN$9),'Council Entry'!AN$8),'Council Entry'!AN111))))-'Council Entry'!AN$5)/('Council Entry'!AN$6-'Council Entry'!AN$5)),1))),"No data"))</f>
        <v/>
      </c>
      <c r="AO111" s="13">
        <f>IF('Council Entry'!AO111="","",IFERROR(MAX(0,MIN(10,ROUND(IF('Council Entry'!AO$7="Decrease Risk",10-10*((IF('Council Entry'!AO$4="Logarithm",LN(0.001+IF(AND(ISNUMBER('Council Entry'!AO$8),ISNUMBER('Council Entry'!AO$9)),MAX(MIN('Council Entry'!AO111,'Council Entry'!AO$9),'Council Entry'!AO$8),'Council Entry'!AO111)),IF('Council Entry'!AO$4="Exponential",EXP(IF(AND(ISNUMBER('Council Entry'!AO$8),ISNUMBER('Council Entry'!AO$9)),MAX(MIN('Council Entry'!AO111,'Council Entry'!AO$9),'Council Entry'!AO$8),'Council Entry'!AO111)),IF(AND(ISNUMBER('Council Entry'!AO$8),ISNUMBER('Council Entry'!AO$9)),MAX(MIN('Council Entry'!AO111,'Council Entry'!AO$9),'Council Entry'!AO$8),'Council Entry'!AO111))))-'Council Entry'!AO$5)/('Council Entry'!AO$6-'Council Entry'!AO$5),10*((IF('Council Entry'!AO$4="Logarithm",LN(0.001+IF(AND(ISNUMBER('Council Entry'!AO$8),ISNUMBER('Council Entry'!AO$9)),MAX(MIN('Council Entry'!AO111,'Council Entry'!AO$9),'Council Entry'!AO$8),'Council Entry'!AO111)),IF('Council Entry'!AO$4="Exponential",EXP(IF(AND(ISNUMBER('Council Entry'!AO$8),ISNUMBER('Council Entry'!AO$9)),MAX(MIN('Council Entry'!AO111,'Council Entry'!AO$9),'Council Entry'!AO$8),'Council Entry'!AO111)),IF(AND(ISNUMBER('Council Entry'!AO$8),ISNUMBER('Council Entry'!AO$9)),MAX(MIN('Council Entry'!AO111,'Council Entry'!AO$9),'Council Entry'!AO$8),'Council Entry'!AO111))))-'Council Entry'!AO$5)/('Council Entry'!AO$6-'Council Entry'!AO$5)),1))),"No data"))</f>
        <v/>
      </c>
      <c r="AP111" s="13">
        <f>IF('Council Entry'!AP111="","",IFERROR(MAX(0,MIN(10,ROUND(IF('Council Entry'!AP$7="Decrease Risk",10-10*((IF('Council Entry'!AP$4="Logarithm",LN(0.001+IF(AND(ISNUMBER('Council Entry'!AP$8),ISNUMBER('Council Entry'!AP$9)),MAX(MIN('Council Entry'!AP111,'Council Entry'!AP$9),'Council Entry'!AP$8),'Council Entry'!AP111)),IF('Council Entry'!AP$4="Exponential",EXP(IF(AND(ISNUMBER('Council Entry'!AP$8),ISNUMBER('Council Entry'!AP$9)),MAX(MIN('Council Entry'!AP111,'Council Entry'!AP$9),'Council Entry'!AP$8),'Council Entry'!AP111)),IF(AND(ISNUMBER('Council Entry'!AP$8),ISNUMBER('Council Entry'!AP$9)),MAX(MIN('Council Entry'!AP111,'Council Entry'!AP$9),'Council Entry'!AP$8),'Council Entry'!AP111))))-'Council Entry'!AP$5)/('Council Entry'!AP$6-'Council Entry'!AP$5),10*((IF('Council Entry'!AP$4="Logarithm",LN(0.001+IF(AND(ISNUMBER('Council Entry'!AP$8),ISNUMBER('Council Entry'!AP$9)),MAX(MIN('Council Entry'!AP111,'Council Entry'!AP$9),'Council Entry'!AP$8),'Council Entry'!AP111)),IF('Council Entry'!AP$4="Exponential",EXP(IF(AND(ISNUMBER('Council Entry'!AP$8),ISNUMBER('Council Entry'!AP$9)),MAX(MIN('Council Entry'!AP111,'Council Entry'!AP$9),'Council Entry'!AP$8),'Council Entry'!AP111)),IF(AND(ISNUMBER('Council Entry'!AP$8),ISNUMBER('Council Entry'!AP$9)),MAX(MIN('Council Entry'!AP111,'Council Entry'!AP$9),'Council Entry'!AP$8),'Council Entry'!AP111))))-'Council Entry'!AP$5)/('Council Entry'!AP$6-'Council Entry'!AP$5)),1))),"No data"))</f>
        <v/>
      </c>
      <c r="AQ111" s="13">
        <f>IF('Council Entry'!AQ111="","",IFERROR(MAX(0,MIN(10,ROUND(IF('Council Entry'!AQ$7="Decrease Risk",10-10*((IF('Council Entry'!AQ$4="Logarithm",LN(0.001+IF(AND(ISNUMBER('Council Entry'!AQ$8),ISNUMBER('Council Entry'!AQ$9)),MAX(MIN('Council Entry'!AQ111,'Council Entry'!AQ$9),'Council Entry'!AQ$8),'Council Entry'!AQ111)),IF('Council Entry'!AQ$4="Exponential",EXP(IF(AND(ISNUMBER('Council Entry'!AQ$8),ISNUMBER('Council Entry'!AQ$9)),MAX(MIN('Council Entry'!AQ111,'Council Entry'!AQ$9),'Council Entry'!AQ$8),'Council Entry'!AQ111)),IF(AND(ISNUMBER('Council Entry'!AQ$8),ISNUMBER('Council Entry'!AQ$9)),MAX(MIN('Council Entry'!AQ111,'Council Entry'!AQ$9),'Council Entry'!AQ$8),'Council Entry'!AQ111))))-'Council Entry'!AQ$5)/('Council Entry'!AQ$6-'Council Entry'!AQ$5),10*((IF('Council Entry'!AQ$4="Logarithm",LN(0.001+IF(AND(ISNUMBER('Council Entry'!AQ$8),ISNUMBER('Council Entry'!AQ$9)),MAX(MIN('Council Entry'!AQ111,'Council Entry'!AQ$9),'Council Entry'!AQ$8),'Council Entry'!AQ111)),IF('Council Entry'!AQ$4="Exponential",EXP(IF(AND(ISNUMBER('Council Entry'!AQ$8),ISNUMBER('Council Entry'!AQ$9)),MAX(MIN('Council Entry'!AQ111,'Council Entry'!AQ$9),'Council Entry'!AQ$8),'Council Entry'!AQ111)),IF(AND(ISNUMBER('Council Entry'!AQ$8),ISNUMBER('Council Entry'!AQ$9)),MAX(MIN('Council Entry'!AQ111,'Council Entry'!AQ$9),'Council Entry'!AQ$8),'Council Entry'!AQ111))))-'Council Entry'!AQ$5)/('Council Entry'!AQ$6-'Council Entry'!AQ$5)),1))),"No data"))</f>
        <v/>
      </c>
      <c r="AR111" s="13">
        <f>IF('Council Entry'!AR111="","",IFERROR(MAX(0,MIN(10,ROUND(IF('Council Entry'!AR$7="Decrease Risk",10-10*((IF('Council Entry'!AR$4="Logarithm",LN(0.001+IF(AND(ISNUMBER('Council Entry'!AR$8),ISNUMBER('Council Entry'!AR$9)),MAX(MIN('Council Entry'!AR111,'Council Entry'!AR$9),'Council Entry'!AR$8),'Council Entry'!AR111)),IF('Council Entry'!AR$4="Exponential",EXP(IF(AND(ISNUMBER('Council Entry'!AR$8),ISNUMBER('Council Entry'!AR$9)),MAX(MIN('Council Entry'!AR111,'Council Entry'!AR$9),'Council Entry'!AR$8),'Council Entry'!AR111)),IF(AND(ISNUMBER('Council Entry'!AR$8),ISNUMBER('Council Entry'!AR$9)),MAX(MIN('Council Entry'!AR111,'Council Entry'!AR$9),'Council Entry'!AR$8),'Council Entry'!AR111))))-'Council Entry'!AR$5)/('Council Entry'!AR$6-'Council Entry'!AR$5),10*((IF('Council Entry'!AR$4="Logarithm",LN(0.001+IF(AND(ISNUMBER('Council Entry'!AR$8),ISNUMBER('Council Entry'!AR$9)),MAX(MIN('Council Entry'!AR111,'Council Entry'!AR$9),'Council Entry'!AR$8),'Council Entry'!AR111)),IF('Council Entry'!AR$4="Exponential",EXP(IF(AND(ISNUMBER('Council Entry'!AR$8),ISNUMBER('Council Entry'!AR$9)),MAX(MIN('Council Entry'!AR111,'Council Entry'!AR$9),'Council Entry'!AR$8),'Council Entry'!AR111)),IF(AND(ISNUMBER('Council Entry'!AR$8),ISNUMBER('Council Entry'!AR$9)),MAX(MIN('Council Entry'!AR111,'Council Entry'!AR$9),'Council Entry'!AR$8),'Council Entry'!AR111))))-'Council Entry'!AR$5)/('Council Entry'!AR$6-'Council Entry'!AR$5)),1))),"No data"))</f>
        <v/>
      </c>
      <c r="AS111" s="13">
        <f>IF('Council Entry'!AS111="","",IFERROR(MAX(0,MIN(10,ROUND(IF('Council Entry'!AS$7="Decrease Risk",10-10*((IF('Council Entry'!AS$4="Logarithm",LN(0.001+IF(AND(ISNUMBER('Council Entry'!AS$8),ISNUMBER('Council Entry'!AS$9)),MAX(MIN('Council Entry'!AS111,'Council Entry'!AS$9),'Council Entry'!AS$8),'Council Entry'!AS111)),IF('Council Entry'!AS$4="Exponential",EXP(IF(AND(ISNUMBER('Council Entry'!AS$8),ISNUMBER('Council Entry'!AS$9)),MAX(MIN('Council Entry'!AS111,'Council Entry'!AS$9),'Council Entry'!AS$8),'Council Entry'!AS111)),IF(AND(ISNUMBER('Council Entry'!AS$8),ISNUMBER('Council Entry'!AS$9)),MAX(MIN('Council Entry'!AS111,'Council Entry'!AS$9),'Council Entry'!AS$8),'Council Entry'!AS111))))-'Council Entry'!AS$5)/('Council Entry'!AS$6-'Council Entry'!AS$5),10*((IF('Council Entry'!AS$4="Logarithm",LN(0.001+IF(AND(ISNUMBER('Council Entry'!AS$8),ISNUMBER('Council Entry'!AS$9)),MAX(MIN('Council Entry'!AS111,'Council Entry'!AS$9),'Council Entry'!AS$8),'Council Entry'!AS111)),IF('Council Entry'!AS$4="Exponential",EXP(IF(AND(ISNUMBER('Council Entry'!AS$8),ISNUMBER('Council Entry'!AS$9)),MAX(MIN('Council Entry'!AS111,'Council Entry'!AS$9),'Council Entry'!AS$8),'Council Entry'!AS111)),IF(AND(ISNUMBER('Council Entry'!AS$8),ISNUMBER('Council Entry'!AS$9)),MAX(MIN('Council Entry'!AS111,'Council Entry'!AS$9),'Council Entry'!AS$8),'Council Entry'!AS111))))-'Council Entry'!AS$5)/('Council Entry'!AS$6-'Council Entry'!AS$5)),1))),"No data"))</f>
        <v/>
      </c>
      <c r="AT111" s="13">
        <f>IF('Council Entry'!AT111="","",IFERROR(MAX(0,MIN(10,ROUND(IF('Council Entry'!AT$7="Decrease Risk",10-10*((IF('Council Entry'!AT$4="Logarithm",LN(0.001+IF(AND(ISNUMBER('Council Entry'!AT$8),ISNUMBER('Council Entry'!AT$9)),MAX(MIN('Council Entry'!AT111,'Council Entry'!AT$9),'Council Entry'!AT$8),'Council Entry'!AT111)),IF('Council Entry'!AT$4="Exponential",EXP(IF(AND(ISNUMBER('Council Entry'!AT$8),ISNUMBER('Council Entry'!AT$9)),MAX(MIN('Council Entry'!AT111,'Council Entry'!AT$9),'Council Entry'!AT$8),'Council Entry'!AT111)),IF(AND(ISNUMBER('Council Entry'!AT$8),ISNUMBER('Council Entry'!AT$9)),MAX(MIN('Council Entry'!AT111,'Council Entry'!AT$9),'Council Entry'!AT$8),'Council Entry'!AT111))))-'Council Entry'!AT$5)/('Council Entry'!AT$6-'Council Entry'!AT$5),10*((IF('Council Entry'!AT$4="Logarithm",LN(0.001+IF(AND(ISNUMBER('Council Entry'!AT$8),ISNUMBER('Council Entry'!AT$9)),MAX(MIN('Council Entry'!AT111,'Council Entry'!AT$9),'Council Entry'!AT$8),'Council Entry'!AT111)),IF('Council Entry'!AT$4="Exponential",EXP(IF(AND(ISNUMBER('Council Entry'!AT$8),ISNUMBER('Council Entry'!AT$9)),MAX(MIN('Council Entry'!AT111,'Council Entry'!AT$9),'Council Entry'!AT$8),'Council Entry'!AT111)),IF(AND(ISNUMBER('Council Entry'!AT$8),ISNUMBER('Council Entry'!AT$9)),MAX(MIN('Council Entry'!AT111,'Council Entry'!AT$9),'Council Entry'!AT$8),'Council Entry'!AT111))))-'Council Entry'!AT$5)/('Council Entry'!AT$6-'Council Entry'!AT$5)),1))),"No data"))</f>
        <v/>
      </c>
      <c r="AU111" s="13">
        <f>IF('Council Entry'!AU111="","",IFERROR(MAX(0,MIN(10,ROUND(IF('Council Entry'!AU$7="Decrease Risk",10-10*((IF('Council Entry'!AU$4="Logarithm",LN(0.001+IF(AND(ISNUMBER('Council Entry'!AU$8),ISNUMBER('Council Entry'!AU$9)),MAX(MIN('Council Entry'!AU111,'Council Entry'!AU$9),'Council Entry'!AU$8),'Council Entry'!AU111)),IF('Council Entry'!AU$4="Exponential",EXP(IF(AND(ISNUMBER('Council Entry'!AU$8),ISNUMBER('Council Entry'!AU$9)),MAX(MIN('Council Entry'!AU111,'Council Entry'!AU$9),'Council Entry'!AU$8),'Council Entry'!AU111)),IF(AND(ISNUMBER('Council Entry'!AU$8),ISNUMBER('Council Entry'!AU$9)),MAX(MIN('Council Entry'!AU111,'Council Entry'!AU$9),'Council Entry'!AU$8),'Council Entry'!AU111))))-'Council Entry'!AU$5)/('Council Entry'!AU$6-'Council Entry'!AU$5),10*((IF('Council Entry'!AU$4="Logarithm",LN(0.001+IF(AND(ISNUMBER('Council Entry'!AU$8),ISNUMBER('Council Entry'!AU$9)),MAX(MIN('Council Entry'!AU111,'Council Entry'!AU$9),'Council Entry'!AU$8),'Council Entry'!AU111)),IF('Council Entry'!AU$4="Exponential",EXP(IF(AND(ISNUMBER('Council Entry'!AU$8),ISNUMBER('Council Entry'!AU$9)),MAX(MIN('Council Entry'!AU111,'Council Entry'!AU$9),'Council Entry'!AU$8),'Council Entry'!AU111)),IF(AND(ISNUMBER('Council Entry'!AU$8),ISNUMBER('Council Entry'!AU$9)),MAX(MIN('Council Entry'!AU111,'Council Entry'!AU$9),'Council Entry'!AU$8),'Council Entry'!AU111))))-'Council Entry'!AU$5)/('Council Entry'!AU$6-'Council Entry'!AU$5)),1))),"No data"))</f>
        <v/>
      </c>
      <c r="AV111" s="13">
        <f>IF('Council Entry'!AV111="","",IFERROR(MAX(0,MIN(10,ROUND(IF('Council Entry'!AV$7="Decrease Risk",10-10*((IF('Council Entry'!AV$4="Logarithm",LN(0.001+IF(AND(ISNUMBER('Council Entry'!AV$8),ISNUMBER('Council Entry'!AV$9)),MAX(MIN('Council Entry'!AV111,'Council Entry'!AV$9),'Council Entry'!AV$8),'Council Entry'!AV111)),IF('Council Entry'!AV$4="Exponential",EXP(IF(AND(ISNUMBER('Council Entry'!AV$8),ISNUMBER('Council Entry'!AV$9)),MAX(MIN('Council Entry'!AV111,'Council Entry'!AV$9),'Council Entry'!AV$8),'Council Entry'!AV111)),IF(AND(ISNUMBER('Council Entry'!AV$8),ISNUMBER('Council Entry'!AV$9)),MAX(MIN('Council Entry'!AV111,'Council Entry'!AV$9),'Council Entry'!AV$8),'Council Entry'!AV111))))-'Council Entry'!AV$5)/('Council Entry'!AV$6-'Council Entry'!AV$5),10*((IF('Council Entry'!AV$4="Logarithm",LN(0.001+IF(AND(ISNUMBER('Council Entry'!AV$8),ISNUMBER('Council Entry'!AV$9)),MAX(MIN('Council Entry'!AV111,'Council Entry'!AV$9),'Council Entry'!AV$8),'Council Entry'!AV111)),IF('Council Entry'!AV$4="Exponential",EXP(IF(AND(ISNUMBER('Council Entry'!AV$8),ISNUMBER('Council Entry'!AV$9)),MAX(MIN('Council Entry'!AV111,'Council Entry'!AV$9),'Council Entry'!AV$8),'Council Entry'!AV111)),IF(AND(ISNUMBER('Council Entry'!AV$8),ISNUMBER('Council Entry'!AV$9)),MAX(MIN('Council Entry'!AV111,'Council Entry'!AV$9),'Council Entry'!AV$8),'Council Entry'!AV111))))-'Council Entry'!AV$5)/('Council Entry'!AV$6-'Council Entry'!AV$5)),1))),"No data"))</f>
        <v/>
      </c>
      <c r="AW111" s="13">
        <f>IF('Council Entry'!AW111="","",IFERROR(MAX(0,MIN(10,ROUND(IF('Council Entry'!AW$7="Decrease Risk",10-10*((IF('Council Entry'!AW$4="Logarithm",LN(0.001+IF(AND(ISNUMBER('Council Entry'!AW$8),ISNUMBER('Council Entry'!AW$9)),MAX(MIN('Council Entry'!AW111,'Council Entry'!AW$9),'Council Entry'!AW$8),'Council Entry'!AW111)),IF('Council Entry'!AW$4="Exponential",EXP(IF(AND(ISNUMBER('Council Entry'!AW$8),ISNUMBER('Council Entry'!AW$9)),MAX(MIN('Council Entry'!AW111,'Council Entry'!AW$9),'Council Entry'!AW$8),'Council Entry'!AW111)),IF(AND(ISNUMBER('Council Entry'!AW$8),ISNUMBER('Council Entry'!AW$9)),MAX(MIN('Council Entry'!AW111,'Council Entry'!AW$9),'Council Entry'!AW$8),'Council Entry'!AW111))))-'Council Entry'!AW$5)/('Council Entry'!AW$6-'Council Entry'!AW$5),10*((IF('Council Entry'!AW$4="Logarithm",LN(0.001+IF(AND(ISNUMBER('Council Entry'!AW$8),ISNUMBER('Council Entry'!AW$9)),MAX(MIN('Council Entry'!AW111,'Council Entry'!AW$9),'Council Entry'!AW$8),'Council Entry'!AW111)),IF('Council Entry'!AW$4="Exponential",EXP(IF(AND(ISNUMBER('Council Entry'!AW$8),ISNUMBER('Council Entry'!AW$9)),MAX(MIN('Council Entry'!AW111,'Council Entry'!AW$9),'Council Entry'!AW$8),'Council Entry'!AW111)),IF(AND(ISNUMBER('Council Entry'!AW$8),ISNUMBER('Council Entry'!AW$9)),MAX(MIN('Council Entry'!AW111,'Council Entry'!AW$9),'Council Entry'!AW$8),'Council Entry'!AW111))))-'Council Entry'!AW$5)/('Council Entry'!AW$6-'Council Entry'!AW$5)),1))),"No data"))</f>
        <v/>
      </c>
      <c r="AX111" s="13">
        <f>IF('Council Entry'!AX111="","",IFERROR(MAX(0,MIN(10,ROUND(IF('Council Entry'!AX$7="Decrease Risk",10-10*((IF('Council Entry'!AX$4="Logarithm",LN(0.001+IF(AND(ISNUMBER('Council Entry'!AX$8),ISNUMBER('Council Entry'!AX$9)),MAX(MIN('Council Entry'!AX111,'Council Entry'!AX$9),'Council Entry'!AX$8),'Council Entry'!AX111)),IF('Council Entry'!AX$4="Exponential",EXP(IF(AND(ISNUMBER('Council Entry'!AX$8),ISNUMBER('Council Entry'!AX$9)),MAX(MIN('Council Entry'!AX111,'Council Entry'!AX$9),'Council Entry'!AX$8),'Council Entry'!AX111)),IF(AND(ISNUMBER('Council Entry'!AX$8),ISNUMBER('Council Entry'!AX$9)),MAX(MIN('Council Entry'!AX111,'Council Entry'!AX$9),'Council Entry'!AX$8),'Council Entry'!AX111))))-'Council Entry'!AX$5)/('Council Entry'!AX$6-'Council Entry'!AX$5),10*((IF('Council Entry'!AX$4="Logarithm",LN(0.001+IF(AND(ISNUMBER('Council Entry'!AX$8),ISNUMBER('Council Entry'!AX$9)),MAX(MIN('Council Entry'!AX111,'Council Entry'!AX$9),'Council Entry'!AX$8),'Council Entry'!AX111)),IF('Council Entry'!AX$4="Exponential",EXP(IF(AND(ISNUMBER('Council Entry'!AX$8),ISNUMBER('Council Entry'!AX$9)),MAX(MIN('Council Entry'!AX111,'Council Entry'!AX$9),'Council Entry'!AX$8),'Council Entry'!AX111)),IF(AND(ISNUMBER('Council Entry'!AX$8),ISNUMBER('Council Entry'!AX$9)),MAX(MIN('Council Entry'!AX111,'Council Entry'!AX$9),'Council Entry'!AX$8),'Council Entry'!AX111))))-'Council Entry'!AX$5)/('Council Entry'!AX$6-'Council Entry'!AX$5)),1))),"No data"))</f>
        <v/>
      </c>
      <c r="AY111" s="13">
        <f>IF('Council Entry'!AY111="","",IFERROR(MAX(0,MIN(10,ROUND(IF('Council Entry'!AY$7="Decrease Risk",10-10*((IF('Council Entry'!AY$4="Logarithm",LN(0.001+IF(AND(ISNUMBER('Council Entry'!AY$8),ISNUMBER('Council Entry'!AY$9)),MAX(MIN('Council Entry'!AY111,'Council Entry'!AY$9),'Council Entry'!AY$8),'Council Entry'!AY111)),IF('Council Entry'!AY$4="Exponential",EXP(IF(AND(ISNUMBER('Council Entry'!AY$8),ISNUMBER('Council Entry'!AY$9)),MAX(MIN('Council Entry'!AY111,'Council Entry'!AY$9),'Council Entry'!AY$8),'Council Entry'!AY111)),IF(AND(ISNUMBER('Council Entry'!AY$8),ISNUMBER('Council Entry'!AY$9)),MAX(MIN('Council Entry'!AY111,'Council Entry'!AY$9),'Council Entry'!AY$8),'Council Entry'!AY111))))-'Council Entry'!AY$5)/('Council Entry'!AY$6-'Council Entry'!AY$5),10*((IF('Council Entry'!AY$4="Logarithm",LN(0.001+IF(AND(ISNUMBER('Council Entry'!AY$8),ISNUMBER('Council Entry'!AY$9)),MAX(MIN('Council Entry'!AY111,'Council Entry'!AY$9),'Council Entry'!AY$8),'Council Entry'!AY111)),IF('Council Entry'!AY$4="Exponential",EXP(IF(AND(ISNUMBER('Council Entry'!AY$8),ISNUMBER('Council Entry'!AY$9)),MAX(MIN('Council Entry'!AY111,'Council Entry'!AY$9),'Council Entry'!AY$8),'Council Entry'!AY111)),IF(AND(ISNUMBER('Council Entry'!AY$8),ISNUMBER('Council Entry'!AY$9)),MAX(MIN('Council Entry'!AY111,'Council Entry'!AY$9),'Council Entry'!AY$8),'Council Entry'!AY111))))-'Council Entry'!AY$5)/('Council Entry'!AY$6-'Council Entry'!AY$5)),1))),"No data"))</f>
        <v/>
      </c>
      <c r="AZ111" s="13">
        <f>IF('Council Entry'!AZ111="","",IFERROR(MAX(0,MIN(10,ROUND(IF('Council Entry'!AZ$7="Decrease Risk",10-10*((IF('Council Entry'!AZ$4="Logarithm",LN(0.001+IF(AND(ISNUMBER('Council Entry'!AZ$8),ISNUMBER('Council Entry'!AZ$9)),MAX(MIN('Council Entry'!AZ111,'Council Entry'!AZ$9),'Council Entry'!AZ$8),'Council Entry'!AZ111)),IF('Council Entry'!AZ$4="Exponential",EXP(IF(AND(ISNUMBER('Council Entry'!AZ$8),ISNUMBER('Council Entry'!AZ$9)),MAX(MIN('Council Entry'!AZ111,'Council Entry'!AZ$9),'Council Entry'!AZ$8),'Council Entry'!AZ111)),IF(AND(ISNUMBER('Council Entry'!AZ$8),ISNUMBER('Council Entry'!AZ$9)),MAX(MIN('Council Entry'!AZ111,'Council Entry'!AZ$9),'Council Entry'!AZ$8),'Council Entry'!AZ111))))-'Council Entry'!AZ$5)/('Council Entry'!AZ$6-'Council Entry'!AZ$5),10*((IF('Council Entry'!AZ$4="Logarithm",LN(0.001+IF(AND(ISNUMBER('Council Entry'!AZ$8),ISNUMBER('Council Entry'!AZ$9)),MAX(MIN('Council Entry'!AZ111,'Council Entry'!AZ$9),'Council Entry'!AZ$8),'Council Entry'!AZ111)),IF('Council Entry'!AZ$4="Exponential",EXP(IF(AND(ISNUMBER('Council Entry'!AZ$8),ISNUMBER('Council Entry'!AZ$9)),MAX(MIN('Council Entry'!AZ111,'Council Entry'!AZ$9),'Council Entry'!AZ$8),'Council Entry'!AZ111)),IF(AND(ISNUMBER('Council Entry'!AZ$8),ISNUMBER('Council Entry'!AZ$9)),MAX(MIN('Council Entry'!AZ111,'Council Entry'!AZ$9),'Council Entry'!AZ$8),'Council Entry'!AZ111))))-'Council Entry'!AZ$5)/('Council Entry'!AZ$6-'Council Entry'!AZ$5)),1))),"No data"))</f>
        <v/>
      </c>
      <c r="BA111" s="13">
        <f>IF('Council Entry'!BA111="","",IFERROR(MAX(0,MIN(10,ROUND(IF('Council Entry'!BA$7="Decrease Risk",10-10*((IF('Council Entry'!BA$4="Logarithm",LN(0.001+IF(AND(ISNUMBER('Council Entry'!BA$8),ISNUMBER('Council Entry'!BA$9)),MAX(MIN('Council Entry'!BA111,'Council Entry'!BA$9),'Council Entry'!BA$8),'Council Entry'!BA111)),IF('Council Entry'!BA$4="Exponential",EXP(IF(AND(ISNUMBER('Council Entry'!BA$8),ISNUMBER('Council Entry'!BA$9)),MAX(MIN('Council Entry'!BA111,'Council Entry'!BA$9),'Council Entry'!BA$8),'Council Entry'!BA111)),IF(AND(ISNUMBER('Council Entry'!BA$8),ISNUMBER('Council Entry'!BA$9)),MAX(MIN('Council Entry'!BA111,'Council Entry'!BA$9),'Council Entry'!BA$8),'Council Entry'!BA111))))-'Council Entry'!BA$5)/('Council Entry'!BA$6-'Council Entry'!BA$5),10*((IF('Council Entry'!BA$4="Logarithm",LN(0.001+IF(AND(ISNUMBER('Council Entry'!BA$8),ISNUMBER('Council Entry'!BA$9)),MAX(MIN('Council Entry'!BA111,'Council Entry'!BA$9),'Council Entry'!BA$8),'Council Entry'!BA111)),IF('Council Entry'!BA$4="Exponential",EXP(IF(AND(ISNUMBER('Council Entry'!BA$8),ISNUMBER('Council Entry'!BA$9)),MAX(MIN('Council Entry'!BA111,'Council Entry'!BA$9),'Council Entry'!BA$8),'Council Entry'!BA111)),IF(AND(ISNUMBER('Council Entry'!BA$8),ISNUMBER('Council Entry'!BA$9)),MAX(MIN('Council Entry'!BA111,'Council Entry'!BA$9),'Council Entry'!BA$8),'Council Entry'!BA111))))-'Council Entry'!BA$5)/('Council Entry'!BA$6-'Council Entry'!BA$5)),1))),"No data"))</f>
        <v/>
      </c>
      <c r="BB111" s="13">
        <f>IF('Council Entry'!BB111="","",IFERROR(MAX(0,MIN(10,ROUND(IF('Council Entry'!BB$7="Decrease Risk",10-10*((IF('Council Entry'!BB$4="Logarithm",LN(0.001+IF(AND(ISNUMBER('Council Entry'!BB$8),ISNUMBER('Council Entry'!BB$9)),MAX(MIN('Council Entry'!BB111,'Council Entry'!BB$9),'Council Entry'!BB$8),'Council Entry'!BB111)),IF('Council Entry'!BB$4="Exponential",EXP(IF(AND(ISNUMBER('Council Entry'!BB$8),ISNUMBER('Council Entry'!BB$9)),MAX(MIN('Council Entry'!BB111,'Council Entry'!BB$9),'Council Entry'!BB$8),'Council Entry'!BB111)),IF(AND(ISNUMBER('Council Entry'!BB$8),ISNUMBER('Council Entry'!BB$9)),MAX(MIN('Council Entry'!BB111,'Council Entry'!BB$9),'Council Entry'!BB$8),'Council Entry'!BB111))))-'Council Entry'!BB$5)/('Council Entry'!BB$6-'Council Entry'!BB$5),10*((IF('Council Entry'!BB$4="Logarithm",LN(0.001+IF(AND(ISNUMBER('Council Entry'!BB$8),ISNUMBER('Council Entry'!BB$9)),MAX(MIN('Council Entry'!BB111,'Council Entry'!BB$9),'Council Entry'!BB$8),'Council Entry'!BB111)),IF('Council Entry'!BB$4="Exponential",EXP(IF(AND(ISNUMBER('Council Entry'!BB$8),ISNUMBER('Council Entry'!BB$9)),MAX(MIN('Council Entry'!BB111,'Council Entry'!BB$9),'Council Entry'!BB$8),'Council Entry'!BB111)),IF(AND(ISNUMBER('Council Entry'!BB$8),ISNUMBER('Council Entry'!BB$9)),MAX(MIN('Council Entry'!BB111,'Council Entry'!BB$9),'Council Entry'!BB$8),'Council Entry'!BB111))))-'Council Entry'!BB$5)/('Council Entry'!BB$6-'Council Entry'!BB$5)),1))),"No data"))</f>
        <v/>
      </c>
      <c r="BC111" s="13">
        <f>IF('Council Entry'!BC111="","",IFERROR(MAX(0,MIN(10,ROUND(IF('Council Entry'!BC$7="Decrease Risk",10-10*((IF('Council Entry'!BC$4="Logarithm",LN(0.001+IF(AND(ISNUMBER('Council Entry'!BC$8),ISNUMBER('Council Entry'!BC$9)),MAX(MIN('Council Entry'!BC111,'Council Entry'!BC$9),'Council Entry'!BC$8),'Council Entry'!BC111)),IF('Council Entry'!BC$4="Exponential",EXP(IF(AND(ISNUMBER('Council Entry'!BC$8),ISNUMBER('Council Entry'!BC$9)),MAX(MIN('Council Entry'!BC111,'Council Entry'!BC$9),'Council Entry'!BC$8),'Council Entry'!BC111)),IF(AND(ISNUMBER('Council Entry'!BC$8),ISNUMBER('Council Entry'!BC$9)),MAX(MIN('Council Entry'!BC111,'Council Entry'!BC$9),'Council Entry'!BC$8),'Council Entry'!BC111))))-'Council Entry'!BC$5)/('Council Entry'!BC$6-'Council Entry'!BC$5),10*((IF('Council Entry'!BC$4="Logarithm",LN(0.001+IF(AND(ISNUMBER('Council Entry'!BC$8),ISNUMBER('Council Entry'!BC$9)),MAX(MIN('Council Entry'!BC111,'Council Entry'!BC$9),'Council Entry'!BC$8),'Council Entry'!BC111)),IF('Council Entry'!BC$4="Exponential",EXP(IF(AND(ISNUMBER('Council Entry'!BC$8),ISNUMBER('Council Entry'!BC$9)),MAX(MIN('Council Entry'!BC111,'Council Entry'!BC$9),'Council Entry'!BC$8),'Council Entry'!BC111)),IF(AND(ISNUMBER('Council Entry'!BC$8),ISNUMBER('Council Entry'!BC$9)),MAX(MIN('Council Entry'!BC111,'Council Entry'!BC$9),'Council Entry'!BC$8),'Council Entry'!BC111))))-'Council Entry'!BC$5)/('Council Entry'!BC$6-'Council Entry'!BC$5)),1))),"No data"))</f>
        <v/>
      </c>
      <c r="BD111" s="13">
        <f>IF('Council Entry'!BD111="","",IFERROR(MAX(0,MIN(10,ROUND(IF('Council Entry'!BD$7="Decrease Risk",10-10*((IF('Council Entry'!BD$4="Logarithm",LN(0.001+IF(AND(ISNUMBER('Council Entry'!BD$8),ISNUMBER('Council Entry'!BD$9)),MAX(MIN('Council Entry'!BD111,'Council Entry'!BD$9),'Council Entry'!BD$8),'Council Entry'!BD111)),IF('Council Entry'!BD$4="Exponential",EXP(IF(AND(ISNUMBER('Council Entry'!BD$8),ISNUMBER('Council Entry'!BD$9)),MAX(MIN('Council Entry'!BD111,'Council Entry'!BD$9),'Council Entry'!BD$8),'Council Entry'!BD111)),IF(AND(ISNUMBER('Council Entry'!BD$8),ISNUMBER('Council Entry'!BD$9)),MAX(MIN('Council Entry'!BD111,'Council Entry'!BD$9),'Council Entry'!BD$8),'Council Entry'!BD111))))-'Council Entry'!BD$5)/('Council Entry'!BD$6-'Council Entry'!BD$5),10*((IF('Council Entry'!BD$4="Logarithm",LN(0.001+IF(AND(ISNUMBER('Council Entry'!BD$8),ISNUMBER('Council Entry'!BD$9)),MAX(MIN('Council Entry'!BD111,'Council Entry'!BD$9),'Council Entry'!BD$8),'Council Entry'!BD111)),IF('Council Entry'!BD$4="Exponential",EXP(IF(AND(ISNUMBER('Council Entry'!BD$8),ISNUMBER('Council Entry'!BD$9)),MAX(MIN('Council Entry'!BD111,'Council Entry'!BD$9),'Council Entry'!BD$8),'Council Entry'!BD111)),IF(AND(ISNUMBER('Council Entry'!BD$8),ISNUMBER('Council Entry'!BD$9)),MAX(MIN('Council Entry'!BD111,'Council Entry'!BD$9),'Council Entry'!BD$8),'Council Entry'!BD111))))-'Council Entry'!BD$5)/('Council Entry'!BD$6-'Council Entry'!BD$5)),1))),"No data"))</f>
        <v/>
      </c>
    </row>
    <row r="112">
      <c r="A112" t="inlineStr">
        <is>
          <t>Morogoro</t>
        </is>
      </c>
      <c r="B112" t="inlineStr">
        <is>
          <t>Kilosa District</t>
        </is>
      </c>
      <c r="C112" t="inlineStr">
        <is>
          <t>C034</t>
        </is>
      </c>
      <c r="D112" s="13">
        <f>IF('Council Entry'!D112="","",IFERROR(MAX(0,MIN(10,ROUND(IF('Council Entry'!D$7="Decrease Risk",10-10*((IF('Council Entry'!D$4="Logarithm",LN(0.001+IF(AND(ISNUMBER('Council Entry'!D$8),ISNUMBER('Council Entry'!D$9)),MAX(MIN('Council Entry'!D112,'Council Entry'!D$9),'Council Entry'!D$8),'Council Entry'!D112)),IF('Council Entry'!D$4="Exponential",EXP(IF(AND(ISNUMBER('Council Entry'!D$8),ISNUMBER('Council Entry'!D$9)),MAX(MIN('Council Entry'!D112,'Council Entry'!D$9),'Council Entry'!D$8),'Council Entry'!D112)),IF(AND(ISNUMBER('Council Entry'!D$8),ISNUMBER('Council Entry'!D$9)),MAX(MIN('Council Entry'!D112,'Council Entry'!D$9),'Council Entry'!D$8),'Council Entry'!D112))))-'Council Entry'!D$5)/('Council Entry'!D$6-'Council Entry'!D$5),10*((IF('Council Entry'!D$4="Logarithm",LN(0.001+IF(AND(ISNUMBER('Council Entry'!D$8),ISNUMBER('Council Entry'!D$9)),MAX(MIN('Council Entry'!D112,'Council Entry'!D$9),'Council Entry'!D$8),'Council Entry'!D112)),IF('Council Entry'!D$4="Exponential",EXP(IF(AND(ISNUMBER('Council Entry'!D$8),ISNUMBER('Council Entry'!D$9)),MAX(MIN('Council Entry'!D112,'Council Entry'!D$9),'Council Entry'!D$8),'Council Entry'!D112)),IF(AND(ISNUMBER('Council Entry'!D$8),ISNUMBER('Council Entry'!D$9)),MAX(MIN('Council Entry'!D112,'Council Entry'!D$9),'Council Entry'!D$8),'Council Entry'!D112))))-'Council Entry'!D$5)/('Council Entry'!D$6-'Council Entry'!D$5)),1))),"No data"))</f>
        <v/>
      </c>
      <c r="E112" s="13">
        <f>IF('Council Entry'!E112="","",IFERROR(MAX(0,MIN(10,ROUND(IF('Council Entry'!E$7="Decrease Risk",10-10*((IF('Council Entry'!E$4="Logarithm",LN(0.001+IF(AND(ISNUMBER('Council Entry'!E$8),ISNUMBER('Council Entry'!E$9)),MAX(MIN('Council Entry'!E112,'Council Entry'!E$9),'Council Entry'!E$8),'Council Entry'!E112)),IF('Council Entry'!E$4="Exponential",EXP(IF(AND(ISNUMBER('Council Entry'!E$8),ISNUMBER('Council Entry'!E$9)),MAX(MIN('Council Entry'!E112,'Council Entry'!E$9),'Council Entry'!E$8),'Council Entry'!E112)),IF(AND(ISNUMBER('Council Entry'!E$8),ISNUMBER('Council Entry'!E$9)),MAX(MIN('Council Entry'!E112,'Council Entry'!E$9),'Council Entry'!E$8),'Council Entry'!E112))))-'Council Entry'!E$5)/('Council Entry'!E$6-'Council Entry'!E$5),10*((IF('Council Entry'!E$4="Logarithm",LN(0.001+IF(AND(ISNUMBER('Council Entry'!E$8),ISNUMBER('Council Entry'!E$9)),MAX(MIN('Council Entry'!E112,'Council Entry'!E$9),'Council Entry'!E$8),'Council Entry'!E112)),IF('Council Entry'!E$4="Exponential",EXP(IF(AND(ISNUMBER('Council Entry'!E$8),ISNUMBER('Council Entry'!E$9)),MAX(MIN('Council Entry'!E112,'Council Entry'!E$9),'Council Entry'!E$8),'Council Entry'!E112)),IF(AND(ISNUMBER('Council Entry'!E$8),ISNUMBER('Council Entry'!E$9)),MAX(MIN('Council Entry'!E112,'Council Entry'!E$9),'Council Entry'!E$8),'Council Entry'!E112))))-'Council Entry'!E$5)/('Council Entry'!E$6-'Council Entry'!E$5)),1))),"No data"))</f>
        <v/>
      </c>
      <c r="F112" s="13">
        <f>IF('Council Entry'!F112="","",IFERROR(MAX(0,MIN(10,ROUND(IF('Council Entry'!F$7="Decrease Risk",10-10*((IF('Council Entry'!F$4="Logarithm",LN(0.001+IF(AND(ISNUMBER('Council Entry'!F$8),ISNUMBER('Council Entry'!F$9)),MAX(MIN('Council Entry'!F112,'Council Entry'!F$9),'Council Entry'!F$8),'Council Entry'!F112)),IF('Council Entry'!F$4="Exponential",EXP(IF(AND(ISNUMBER('Council Entry'!F$8),ISNUMBER('Council Entry'!F$9)),MAX(MIN('Council Entry'!F112,'Council Entry'!F$9),'Council Entry'!F$8),'Council Entry'!F112)),IF(AND(ISNUMBER('Council Entry'!F$8),ISNUMBER('Council Entry'!F$9)),MAX(MIN('Council Entry'!F112,'Council Entry'!F$9),'Council Entry'!F$8),'Council Entry'!F112))))-'Council Entry'!F$5)/('Council Entry'!F$6-'Council Entry'!F$5),10*((IF('Council Entry'!F$4="Logarithm",LN(0.001+IF(AND(ISNUMBER('Council Entry'!F$8),ISNUMBER('Council Entry'!F$9)),MAX(MIN('Council Entry'!F112,'Council Entry'!F$9),'Council Entry'!F$8),'Council Entry'!F112)),IF('Council Entry'!F$4="Exponential",EXP(IF(AND(ISNUMBER('Council Entry'!F$8),ISNUMBER('Council Entry'!F$9)),MAX(MIN('Council Entry'!F112,'Council Entry'!F$9),'Council Entry'!F$8),'Council Entry'!F112)),IF(AND(ISNUMBER('Council Entry'!F$8),ISNUMBER('Council Entry'!F$9)),MAX(MIN('Council Entry'!F112,'Council Entry'!F$9),'Council Entry'!F$8),'Council Entry'!F112))))-'Council Entry'!F$5)/('Council Entry'!F$6-'Council Entry'!F$5)),1))),"No data"))</f>
        <v/>
      </c>
      <c r="G112" s="13">
        <f>IF('Council Entry'!G112="","",IFERROR(MAX(0,MIN(10,ROUND(IF('Council Entry'!G$7="Decrease Risk",10-10*((IF('Council Entry'!G$4="Logarithm",LN(0.001+IF(AND(ISNUMBER('Council Entry'!G$8),ISNUMBER('Council Entry'!G$9)),MAX(MIN('Council Entry'!G112,'Council Entry'!G$9),'Council Entry'!G$8),'Council Entry'!G112)),IF('Council Entry'!G$4="Exponential",EXP(IF(AND(ISNUMBER('Council Entry'!G$8),ISNUMBER('Council Entry'!G$9)),MAX(MIN('Council Entry'!G112,'Council Entry'!G$9),'Council Entry'!G$8),'Council Entry'!G112)),IF(AND(ISNUMBER('Council Entry'!G$8),ISNUMBER('Council Entry'!G$9)),MAX(MIN('Council Entry'!G112,'Council Entry'!G$9),'Council Entry'!G$8),'Council Entry'!G112))))-'Council Entry'!G$5)/('Council Entry'!G$6-'Council Entry'!G$5),10*((IF('Council Entry'!G$4="Logarithm",LN(0.001+IF(AND(ISNUMBER('Council Entry'!G$8),ISNUMBER('Council Entry'!G$9)),MAX(MIN('Council Entry'!G112,'Council Entry'!G$9),'Council Entry'!G$8),'Council Entry'!G112)),IF('Council Entry'!G$4="Exponential",EXP(IF(AND(ISNUMBER('Council Entry'!G$8),ISNUMBER('Council Entry'!G$9)),MAX(MIN('Council Entry'!G112,'Council Entry'!G$9),'Council Entry'!G$8),'Council Entry'!G112)),IF(AND(ISNUMBER('Council Entry'!G$8),ISNUMBER('Council Entry'!G$9)),MAX(MIN('Council Entry'!G112,'Council Entry'!G$9),'Council Entry'!G$8),'Council Entry'!G112))))-'Council Entry'!G$5)/('Council Entry'!G$6-'Council Entry'!G$5)),1))),"No data"))</f>
        <v/>
      </c>
      <c r="H112" s="13">
        <f>IF('Council Entry'!H112="","",IFERROR(MAX(0,MIN(10,ROUND(IF('Council Entry'!H$7="Decrease Risk",10-10*((IF('Council Entry'!H$4="Logarithm",LN(0.001+IF(AND(ISNUMBER('Council Entry'!H$8),ISNUMBER('Council Entry'!H$9)),MAX(MIN('Council Entry'!H112,'Council Entry'!H$9),'Council Entry'!H$8),'Council Entry'!H112)),IF('Council Entry'!H$4="Exponential",EXP(IF(AND(ISNUMBER('Council Entry'!H$8),ISNUMBER('Council Entry'!H$9)),MAX(MIN('Council Entry'!H112,'Council Entry'!H$9),'Council Entry'!H$8),'Council Entry'!H112)),IF(AND(ISNUMBER('Council Entry'!H$8),ISNUMBER('Council Entry'!H$9)),MAX(MIN('Council Entry'!H112,'Council Entry'!H$9),'Council Entry'!H$8),'Council Entry'!H112))))-'Council Entry'!H$5)/('Council Entry'!H$6-'Council Entry'!H$5),10*((IF('Council Entry'!H$4="Logarithm",LN(0.001+IF(AND(ISNUMBER('Council Entry'!H$8),ISNUMBER('Council Entry'!H$9)),MAX(MIN('Council Entry'!H112,'Council Entry'!H$9),'Council Entry'!H$8),'Council Entry'!H112)),IF('Council Entry'!H$4="Exponential",EXP(IF(AND(ISNUMBER('Council Entry'!H$8),ISNUMBER('Council Entry'!H$9)),MAX(MIN('Council Entry'!H112,'Council Entry'!H$9),'Council Entry'!H$8),'Council Entry'!H112)),IF(AND(ISNUMBER('Council Entry'!H$8),ISNUMBER('Council Entry'!H$9)),MAX(MIN('Council Entry'!H112,'Council Entry'!H$9),'Council Entry'!H$8),'Council Entry'!H112))))-'Council Entry'!H$5)/('Council Entry'!H$6-'Council Entry'!H$5)),1))),"No data"))</f>
        <v/>
      </c>
      <c r="I112" s="13">
        <f>IF('Council Entry'!I112="","",IFERROR(MAX(0,MIN(10,ROUND(IF('Council Entry'!I$7="Decrease Risk",10-10*((IF('Council Entry'!I$4="Logarithm",LN(0.001+IF(AND(ISNUMBER('Council Entry'!I$8),ISNUMBER('Council Entry'!I$9)),MAX(MIN('Council Entry'!I112,'Council Entry'!I$9),'Council Entry'!I$8),'Council Entry'!I112)),IF('Council Entry'!I$4="Exponential",EXP(IF(AND(ISNUMBER('Council Entry'!I$8),ISNUMBER('Council Entry'!I$9)),MAX(MIN('Council Entry'!I112,'Council Entry'!I$9),'Council Entry'!I$8),'Council Entry'!I112)),IF(AND(ISNUMBER('Council Entry'!I$8),ISNUMBER('Council Entry'!I$9)),MAX(MIN('Council Entry'!I112,'Council Entry'!I$9),'Council Entry'!I$8),'Council Entry'!I112))))-'Council Entry'!I$5)/('Council Entry'!I$6-'Council Entry'!I$5),10*((IF('Council Entry'!I$4="Logarithm",LN(0.001+IF(AND(ISNUMBER('Council Entry'!I$8),ISNUMBER('Council Entry'!I$9)),MAX(MIN('Council Entry'!I112,'Council Entry'!I$9),'Council Entry'!I$8),'Council Entry'!I112)),IF('Council Entry'!I$4="Exponential",EXP(IF(AND(ISNUMBER('Council Entry'!I$8),ISNUMBER('Council Entry'!I$9)),MAX(MIN('Council Entry'!I112,'Council Entry'!I$9),'Council Entry'!I$8),'Council Entry'!I112)),IF(AND(ISNUMBER('Council Entry'!I$8),ISNUMBER('Council Entry'!I$9)),MAX(MIN('Council Entry'!I112,'Council Entry'!I$9),'Council Entry'!I$8),'Council Entry'!I112))))-'Council Entry'!I$5)/('Council Entry'!I$6-'Council Entry'!I$5)),1))),"No data"))</f>
        <v/>
      </c>
      <c r="J112" s="13">
        <f>IF('Council Entry'!J112="","",IFERROR(MAX(0,MIN(10,ROUND(IF('Council Entry'!J$7="Decrease Risk",10-10*((IF('Council Entry'!J$4="Logarithm",LN(0.001+IF(AND(ISNUMBER('Council Entry'!J$8),ISNUMBER('Council Entry'!J$9)),MAX(MIN('Council Entry'!J112,'Council Entry'!J$9),'Council Entry'!J$8),'Council Entry'!J112)),IF('Council Entry'!J$4="Exponential",EXP(IF(AND(ISNUMBER('Council Entry'!J$8),ISNUMBER('Council Entry'!J$9)),MAX(MIN('Council Entry'!J112,'Council Entry'!J$9),'Council Entry'!J$8),'Council Entry'!J112)),IF(AND(ISNUMBER('Council Entry'!J$8),ISNUMBER('Council Entry'!J$9)),MAX(MIN('Council Entry'!J112,'Council Entry'!J$9),'Council Entry'!J$8),'Council Entry'!J112))))-'Council Entry'!J$5)/('Council Entry'!J$6-'Council Entry'!J$5),10*((IF('Council Entry'!J$4="Logarithm",LN(0.001+IF(AND(ISNUMBER('Council Entry'!J$8),ISNUMBER('Council Entry'!J$9)),MAX(MIN('Council Entry'!J112,'Council Entry'!J$9),'Council Entry'!J$8),'Council Entry'!J112)),IF('Council Entry'!J$4="Exponential",EXP(IF(AND(ISNUMBER('Council Entry'!J$8),ISNUMBER('Council Entry'!J$9)),MAX(MIN('Council Entry'!J112,'Council Entry'!J$9),'Council Entry'!J$8),'Council Entry'!J112)),IF(AND(ISNUMBER('Council Entry'!J$8),ISNUMBER('Council Entry'!J$9)),MAX(MIN('Council Entry'!J112,'Council Entry'!J$9),'Council Entry'!J$8),'Council Entry'!J112))))-'Council Entry'!J$5)/('Council Entry'!J$6-'Council Entry'!J$5)),1))),"No data"))</f>
        <v/>
      </c>
      <c r="K112" s="13">
        <f>IF('Council Entry'!K112="","",IFERROR(MAX(0,MIN(10,ROUND(IF('Council Entry'!K$7="Decrease Risk",10-10*((IF('Council Entry'!K$4="Logarithm",LN(0.001+IF(AND(ISNUMBER('Council Entry'!K$8),ISNUMBER('Council Entry'!K$9)),MAX(MIN('Council Entry'!K112,'Council Entry'!K$9),'Council Entry'!K$8),'Council Entry'!K112)),IF('Council Entry'!K$4="Exponential",EXP(IF(AND(ISNUMBER('Council Entry'!K$8),ISNUMBER('Council Entry'!K$9)),MAX(MIN('Council Entry'!K112,'Council Entry'!K$9),'Council Entry'!K$8),'Council Entry'!K112)),IF(AND(ISNUMBER('Council Entry'!K$8),ISNUMBER('Council Entry'!K$9)),MAX(MIN('Council Entry'!K112,'Council Entry'!K$9),'Council Entry'!K$8),'Council Entry'!K112))))-'Council Entry'!K$5)/('Council Entry'!K$6-'Council Entry'!K$5),10*((IF('Council Entry'!K$4="Logarithm",LN(0.001+IF(AND(ISNUMBER('Council Entry'!K$8),ISNUMBER('Council Entry'!K$9)),MAX(MIN('Council Entry'!K112,'Council Entry'!K$9),'Council Entry'!K$8),'Council Entry'!K112)),IF('Council Entry'!K$4="Exponential",EXP(IF(AND(ISNUMBER('Council Entry'!K$8),ISNUMBER('Council Entry'!K$9)),MAX(MIN('Council Entry'!K112,'Council Entry'!K$9),'Council Entry'!K$8),'Council Entry'!K112)),IF(AND(ISNUMBER('Council Entry'!K$8),ISNUMBER('Council Entry'!K$9)),MAX(MIN('Council Entry'!K112,'Council Entry'!K$9),'Council Entry'!K$8),'Council Entry'!K112))))-'Council Entry'!K$5)/('Council Entry'!K$6-'Council Entry'!K$5)),1))),"No data"))</f>
        <v/>
      </c>
      <c r="L112" s="13">
        <f>IF('Council Entry'!L112="","",IFERROR(MAX(0,MIN(10,ROUND(IF('Council Entry'!L$7="Decrease Risk",10-10*((IF('Council Entry'!L$4="Logarithm",LN(0.001+IF(AND(ISNUMBER('Council Entry'!L$8),ISNUMBER('Council Entry'!L$9)),MAX(MIN('Council Entry'!L112,'Council Entry'!L$9),'Council Entry'!L$8),'Council Entry'!L112)),IF('Council Entry'!L$4="Exponential",EXP(IF(AND(ISNUMBER('Council Entry'!L$8),ISNUMBER('Council Entry'!L$9)),MAX(MIN('Council Entry'!L112,'Council Entry'!L$9),'Council Entry'!L$8),'Council Entry'!L112)),IF(AND(ISNUMBER('Council Entry'!L$8),ISNUMBER('Council Entry'!L$9)),MAX(MIN('Council Entry'!L112,'Council Entry'!L$9),'Council Entry'!L$8),'Council Entry'!L112))))-'Council Entry'!L$5)/('Council Entry'!L$6-'Council Entry'!L$5),10*((IF('Council Entry'!L$4="Logarithm",LN(0.001+IF(AND(ISNUMBER('Council Entry'!L$8),ISNUMBER('Council Entry'!L$9)),MAX(MIN('Council Entry'!L112,'Council Entry'!L$9),'Council Entry'!L$8),'Council Entry'!L112)),IF('Council Entry'!L$4="Exponential",EXP(IF(AND(ISNUMBER('Council Entry'!L$8),ISNUMBER('Council Entry'!L$9)),MAX(MIN('Council Entry'!L112,'Council Entry'!L$9),'Council Entry'!L$8),'Council Entry'!L112)),IF(AND(ISNUMBER('Council Entry'!L$8),ISNUMBER('Council Entry'!L$9)),MAX(MIN('Council Entry'!L112,'Council Entry'!L$9),'Council Entry'!L$8),'Council Entry'!L112))))-'Council Entry'!L$5)/('Council Entry'!L$6-'Council Entry'!L$5)),1))),"No data"))</f>
        <v/>
      </c>
      <c r="M112" s="13">
        <f>IF('Council Entry'!M112="","",IFERROR(MAX(0,MIN(10,ROUND(IF('Council Entry'!M$7="Decrease Risk",10-10*((IF('Council Entry'!M$4="Logarithm",LN(0.001+IF(AND(ISNUMBER('Council Entry'!M$8),ISNUMBER('Council Entry'!M$9)),MAX(MIN('Council Entry'!M112,'Council Entry'!M$9),'Council Entry'!M$8),'Council Entry'!M112)),IF('Council Entry'!M$4="Exponential",EXP(IF(AND(ISNUMBER('Council Entry'!M$8),ISNUMBER('Council Entry'!M$9)),MAX(MIN('Council Entry'!M112,'Council Entry'!M$9),'Council Entry'!M$8),'Council Entry'!M112)),IF(AND(ISNUMBER('Council Entry'!M$8),ISNUMBER('Council Entry'!M$9)),MAX(MIN('Council Entry'!M112,'Council Entry'!M$9),'Council Entry'!M$8),'Council Entry'!M112))))-'Council Entry'!M$5)/('Council Entry'!M$6-'Council Entry'!M$5),10*((IF('Council Entry'!M$4="Logarithm",LN(0.001+IF(AND(ISNUMBER('Council Entry'!M$8),ISNUMBER('Council Entry'!M$9)),MAX(MIN('Council Entry'!M112,'Council Entry'!M$9),'Council Entry'!M$8),'Council Entry'!M112)),IF('Council Entry'!M$4="Exponential",EXP(IF(AND(ISNUMBER('Council Entry'!M$8),ISNUMBER('Council Entry'!M$9)),MAX(MIN('Council Entry'!M112,'Council Entry'!M$9),'Council Entry'!M$8),'Council Entry'!M112)),IF(AND(ISNUMBER('Council Entry'!M$8),ISNUMBER('Council Entry'!M$9)),MAX(MIN('Council Entry'!M112,'Council Entry'!M$9),'Council Entry'!M$8),'Council Entry'!M112))))-'Council Entry'!M$5)/('Council Entry'!M$6-'Council Entry'!M$5)),1))),"No data"))</f>
        <v/>
      </c>
      <c r="N112" s="13">
        <f>IF('Council Entry'!N112="","",IFERROR(MAX(0,MIN(10,ROUND(IF('Council Entry'!N$7="Decrease Risk",10-10*((IF('Council Entry'!N$4="Logarithm",LN(0.001+IF(AND(ISNUMBER('Council Entry'!N$8),ISNUMBER('Council Entry'!N$9)),MAX(MIN('Council Entry'!N112,'Council Entry'!N$9),'Council Entry'!N$8),'Council Entry'!N112)),IF('Council Entry'!N$4="Exponential",EXP(IF(AND(ISNUMBER('Council Entry'!N$8),ISNUMBER('Council Entry'!N$9)),MAX(MIN('Council Entry'!N112,'Council Entry'!N$9),'Council Entry'!N$8),'Council Entry'!N112)),IF(AND(ISNUMBER('Council Entry'!N$8),ISNUMBER('Council Entry'!N$9)),MAX(MIN('Council Entry'!N112,'Council Entry'!N$9),'Council Entry'!N$8),'Council Entry'!N112))))-'Council Entry'!N$5)/('Council Entry'!N$6-'Council Entry'!N$5),10*((IF('Council Entry'!N$4="Logarithm",LN(0.001+IF(AND(ISNUMBER('Council Entry'!N$8),ISNUMBER('Council Entry'!N$9)),MAX(MIN('Council Entry'!N112,'Council Entry'!N$9),'Council Entry'!N$8),'Council Entry'!N112)),IF('Council Entry'!N$4="Exponential",EXP(IF(AND(ISNUMBER('Council Entry'!N$8),ISNUMBER('Council Entry'!N$9)),MAX(MIN('Council Entry'!N112,'Council Entry'!N$9),'Council Entry'!N$8),'Council Entry'!N112)),IF(AND(ISNUMBER('Council Entry'!N$8),ISNUMBER('Council Entry'!N$9)),MAX(MIN('Council Entry'!N112,'Council Entry'!N$9),'Council Entry'!N$8),'Council Entry'!N112))))-'Council Entry'!N$5)/('Council Entry'!N$6-'Council Entry'!N$5)),1))),"No data"))</f>
        <v/>
      </c>
      <c r="O112" s="13">
        <f>IF('Council Entry'!O112="","",IFERROR(MAX(0,MIN(10,ROUND(IF('Council Entry'!O$7="Decrease Risk",10-10*((IF('Council Entry'!O$4="Logarithm",LN(0.001+IF(AND(ISNUMBER('Council Entry'!O$8),ISNUMBER('Council Entry'!O$9)),MAX(MIN('Council Entry'!O112,'Council Entry'!O$9),'Council Entry'!O$8),'Council Entry'!O112)),IF('Council Entry'!O$4="Exponential",EXP(IF(AND(ISNUMBER('Council Entry'!O$8),ISNUMBER('Council Entry'!O$9)),MAX(MIN('Council Entry'!O112,'Council Entry'!O$9),'Council Entry'!O$8),'Council Entry'!O112)),IF(AND(ISNUMBER('Council Entry'!O$8),ISNUMBER('Council Entry'!O$9)),MAX(MIN('Council Entry'!O112,'Council Entry'!O$9),'Council Entry'!O$8),'Council Entry'!O112))))-'Council Entry'!O$5)/('Council Entry'!O$6-'Council Entry'!O$5),10*((IF('Council Entry'!O$4="Logarithm",LN(0.001+IF(AND(ISNUMBER('Council Entry'!O$8),ISNUMBER('Council Entry'!O$9)),MAX(MIN('Council Entry'!O112,'Council Entry'!O$9),'Council Entry'!O$8),'Council Entry'!O112)),IF('Council Entry'!O$4="Exponential",EXP(IF(AND(ISNUMBER('Council Entry'!O$8),ISNUMBER('Council Entry'!O$9)),MAX(MIN('Council Entry'!O112,'Council Entry'!O$9),'Council Entry'!O$8),'Council Entry'!O112)),IF(AND(ISNUMBER('Council Entry'!O$8),ISNUMBER('Council Entry'!O$9)),MAX(MIN('Council Entry'!O112,'Council Entry'!O$9),'Council Entry'!O$8),'Council Entry'!O112))))-'Council Entry'!O$5)/('Council Entry'!O$6-'Council Entry'!O$5)),1))),"No data"))</f>
        <v/>
      </c>
      <c r="P112" s="13">
        <f>IF('Council Entry'!P112="","",IFERROR(MAX(0,MIN(10,ROUND(IF('Council Entry'!P$7="Decrease Risk",10-10*((IF('Council Entry'!P$4="Logarithm",LN(0.001+IF(AND(ISNUMBER('Council Entry'!P$8),ISNUMBER('Council Entry'!P$9)),MAX(MIN('Council Entry'!P112,'Council Entry'!P$9),'Council Entry'!P$8),'Council Entry'!P112)),IF('Council Entry'!P$4="Exponential",EXP(IF(AND(ISNUMBER('Council Entry'!P$8),ISNUMBER('Council Entry'!P$9)),MAX(MIN('Council Entry'!P112,'Council Entry'!P$9),'Council Entry'!P$8),'Council Entry'!P112)),IF(AND(ISNUMBER('Council Entry'!P$8),ISNUMBER('Council Entry'!P$9)),MAX(MIN('Council Entry'!P112,'Council Entry'!P$9),'Council Entry'!P$8),'Council Entry'!P112))))-'Council Entry'!P$5)/('Council Entry'!P$6-'Council Entry'!P$5),10*((IF('Council Entry'!P$4="Logarithm",LN(0.001+IF(AND(ISNUMBER('Council Entry'!P$8),ISNUMBER('Council Entry'!P$9)),MAX(MIN('Council Entry'!P112,'Council Entry'!P$9),'Council Entry'!P$8),'Council Entry'!P112)),IF('Council Entry'!P$4="Exponential",EXP(IF(AND(ISNUMBER('Council Entry'!P$8),ISNUMBER('Council Entry'!P$9)),MAX(MIN('Council Entry'!P112,'Council Entry'!P$9),'Council Entry'!P$8),'Council Entry'!P112)),IF(AND(ISNUMBER('Council Entry'!P$8),ISNUMBER('Council Entry'!P$9)),MAX(MIN('Council Entry'!P112,'Council Entry'!P$9),'Council Entry'!P$8),'Council Entry'!P112))))-'Council Entry'!P$5)/('Council Entry'!P$6-'Council Entry'!P$5)),1))),"No data"))</f>
        <v/>
      </c>
      <c r="Q112" s="13">
        <f>IF('Council Entry'!Q112="","",IFERROR(MAX(0,MIN(10,ROUND(IF('Council Entry'!Q$7="Decrease Risk",10-10*((IF('Council Entry'!Q$4="Logarithm",LN(0.001+IF(AND(ISNUMBER('Council Entry'!Q$8),ISNUMBER('Council Entry'!Q$9)),MAX(MIN('Council Entry'!Q112,'Council Entry'!Q$9),'Council Entry'!Q$8),'Council Entry'!Q112)),IF('Council Entry'!Q$4="Exponential",EXP(IF(AND(ISNUMBER('Council Entry'!Q$8),ISNUMBER('Council Entry'!Q$9)),MAX(MIN('Council Entry'!Q112,'Council Entry'!Q$9),'Council Entry'!Q$8),'Council Entry'!Q112)),IF(AND(ISNUMBER('Council Entry'!Q$8),ISNUMBER('Council Entry'!Q$9)),MAX(MIN('Council Entry'!Q112,'Council Entry'!Q$9),'Council Entry'!Q$8),'Council Entry'!Q112))))-'Council Entry'!Q$5)/('Council Entry'!Q$6-'Council Entry'!Q$5),10*((IF('Council Entry'!Q$4="Logarithm",LN(0.001+IF(AND(ISNUMBER('Council Entry'!Q$8),ISNUMBER('Council Entry'!Q$9)),MAX(MIN('Council Entry'!Q112,'Council Entry'!Q$9),'Council Entry'!Q$8),'Council Entry'!Q112)),IF('Council Entry'!Q$4="Exponential",EXP(IF(AND(ISNUMBER('Council Entry'!Q$8),ISNUMBER('Council Entry'!Q$9)),MAX(MIN('Council Entry'!Q112,'Council Entry'!Q$9),'Council Entry'!Q$8),'Council Entry'!Q112)),IF(AND(ISNUMBER('Council Entry'!Q$8),ISNUMBER('Council Entry'!Q$9)),MAX(MIN('Council Entry'!Q112,'Council Entry'!Q$9),'Council Entry'!Q$8),'Council Entry'!Q112))))-'Council Entry'!Q$5)/('Council Entry'!Q$6-'Council Entry'!Q$5)),1))),"No data"))</f>
        <v/>
      </c>
      <c r="R112" s="13">
        <f>IF('Council Entry'!R112="","",IFERROR(MAX(0,MIN(10,ROUND(IF('Council Entry'!R$7="Decrease Risk",10-10*((IF('Council Entry'!R$4="Logarithm",LN(0.001+IF(AND(ISNUMBER('Council Entry'!R$8),ISNUMBER('Council Entry'!R$9)),MAX(MIN('Council Entry'!R112,'Council Entry'!R$9),'Council Entry'!R$8),'Council Entry'!R112)),IF('Council Entry'!R$4="Exponential",EXP(IF(AND(ISNUMBER('Council Entry'!R$8),ISNUMBER('Council Entry'!R$9)),MAX(MIN('Council Entry'!R112,'Council Entry'!R$9),'Council Entry'!R$8),'Council Entry'!R112)),IF(AND(ISNUMBER('Council Entry'!R$8),ISNUMBER('Council Entry'!R$9)),MAX(MIN('Council Entry'!R112,'Council Entry'!R$9),'Council Entry'!R$8),'Council Entry'!R112))))-'Council Entry'!R$5)/('Council Entry'!R$6-'Council Entry'!R$5),10*((IF('Council Entry'!R$4="Logarithm",LN(0.001+IF(AND(ISNUMBER('Council Entry'!R$8),ISNUMBER('Council Entry'!R$9)),MAX(MIN('Council Entry'!R112,'Council Entry'!R$9),'Council Entry'!R$8),'Council Entry'!R112)),IF('Council Entry'!R$4="Exponential",EXP(IF(AND(ISNUMBER('Council Entry'!R$8),ISNUMBER('Council Entry'!R$9)),MAX(MIN('Council Entry'!R112,'Council Entry'!R$9),'Council Entry'!R$8),'Council Entry'!R112)),IF(AND(ISNUMBER('Council Entry'!R$8),ISNUMBER('Council Entry'!R$9)),MAX(MIN('Council Entry'!R112,'Council Entry'!R$9),'Council Entry'!R$8),'Council Entry'!R112))))-'Council Entry'!R$5)/('Council Entry'!R$6-'Council Entry'!R$5)),1))),"No data"))</f>
        <v/>
      </c>
      <c r="S112" s="13">
        <f>IF('Council Entry'!S112="","",IFERROR(MAX(0,MIN(10,ROUND(IF('Council Entry'!S$7="Decrease Risk",10-10*((IF('Council Entry'!S$4="Logarithm",LN(0.001+IF(AND(ISNUMBER('Council Entry'!S$8),ISNUMBER('Council Entry'!S$9)),MAX(MIN('Council Entry'!S112,'Council Entry'!S$9),'Council Entry'!S$8),'Council Entry'!S112)),IF('Council Entry'!S$4="Exponential",EXP(IF(AND(ISNUMBER('Council Entry'!S$8),ISNUMBER('Council Entry'!S$9)),MAX(MIN('Council Entry'!S112,'Council Entry'!S$9),'Council Entry'!S$8),'Council Entry'!S112)),IF(AND(ISNUMBER('Council Entry'!S$8),ISNUMBER('Council Entry'!S$9)),MAX(MIN('Council Entry'!S112,'Council Entry'!S$9),'Council Entry'!S$8),'Council Entry'!S112))))-'Council Entry'!S$5)/('Council Entry'!S$6-'Council Entry'!S$5),10*((IF('Council Entry'!S$4="Logarithm",LN(0.001+IF(AND(ISNUMBER('Council Entry'!S$8),ISNUMBER('Council Entry'!S$9)),MAX(MIN('Council Entry'!S112,'Council Entry'!S$9),'Council Entry'!S$8),'Council Entry'!S112)),IF('Council Entry'!S$4="Exponential",EXP(IF(AND(ISNUMBER('Council Entry'!S$8),ISNUMBER('Council Entry'!S$9)),MAX(MIN('Council Entry'!S112,'Council Entry'!S$9),'Council Entry'!S$8),'Council Entry'!S112)),IF(AND(ISNUMBER('Council Entry'!S$8),ISNUMBER('Council Entry'!S$9)),MAX(MIN('Council Entry'!S112,'Council Entry'!S$9),'Council Entry'!S$8),'Council Entry'!S112))))-'Council Entry'!S$5)/('Council Entry'!S$6-'Council Entry'!S$5)),1))),"No data"))</f>
        <v/>
      </c>
      <c r="T112" s="13">
        <f>IF('Council Entry'!T112="","",IFERROR(MAX(0,MIN(10,ROUND(IF('Council Entry'!T$7="Decrease Risk",10-10*((IF('Council Entry'!T$4="Logarithm",LN(0.001+IF(AND(ISNUMBER('Council Entry'!T$8),ISNUMBER('Council Entry'!T$9)),MAX(MIN('Council Entry'!T112,'Council Entry'!T$9),'Council Entry'!T$8),'Council Entry'!T112)),IF('Council Entry'!T$4="Exponential",EXP(IF(AND(ISNUMBER('Council Entry'!T$8),ISNUMBER('Council Entry'!T$9)),MAX(MIN('Council Entry'!T112,'Council Entry'!T$9),'Council Entry'!T$8),'Council Entry'!T112)),IF(AND(ISNUMBER('Council Entry'!T$8),ISNUMBER('Council Entry'!T$9)),MAX(MIN('Council Entry'!T112,'Council Entry'!T$9),'Council Entry'!T$8),'Council Entry'!T112))))-'Council Entry'!T$5)/('Council Entry'!T$6-'Council Entry'!T$5),10*((IF('Council Entry'!T$4="Logarithm",LN(0.001+IF(AND(ISNUMBER('Council Entry'!T$8),ISNUMBER('Council Entry'!T$9)),MAX(MIN('Council Entry'!T112,'Council Entry'!T$9),'Council Entry'!T$8),'Council Entry'!T112)),IF('Council Entry'!T$4="Exponential",EXP(IF(AND(ISNUMBER('Council Entry'!T$8),ISNUMBER('Council Entry'!T$9)),MAX(MIN('Council Entry'!T112,'Council Entry'!T$9),'Council Entry'!T$8),'Council Entry'!T112)),IF(AND(ISNUMBER('Council Entry'!T$8),ISNUMBER('Council Entry'!T$9)),MAX(MIN('Council Entry'!T112,'Council Entry'!T$9),'Council Entry'!T$8),'Council Entry'!T112))))-'Council Entry'!T$5)/('Council Entry'!T$6-'Council Entry'!T$5)),1))),"No data"))</f>
        <v/>
      </c>
      <c r="U112" s="13">
        <f>IF('Council Entry'!U112="","",IFERROR(MAX(0,MIN(10,ROUND(IF('Council Entry'!U$7="Decrease Risk",10-10*((IF('Council Entry'!U$4="Logarithm",LN(0.001+IF(AND(ISNUMBER('Council Entry'!U$8),ISNUMBER('Council Entry'!U$9)),MAX(MIN('Council Entry'!U112,'Council Entry'!U$9),'Council Entry'!U$8),'Council Entry'!U112)),IF('Council Entry'!U$4="Exponential",EXP(IF(AND(ISNUMBER('Council Entry'!U$8),ISNUMBER('Council Entry'!U$9)),MAX(MIN('Council Entry'!U112,'Council Entry'!U$9),'Council Entry'!U$8),'Council Entry'!U112)),IF(AND(ISNUMBER('Council Entry'!U$8),ISNUMBER('Council Entry'!U$9)),MAX(MIN('Council Entry'!U112,'Council Entry'!U$9),'Council Entry'!U$8),'Council Entry'!U112))))-'Council Entry'!U$5)/('Council Entry'!U$6-'Council Entry'!U$5),10*((IF('Council Entry'!U$4="Logarithm",LN(0.001+IF(AND(ISNUMBER('Council Entry'!U$8),ISNUMBER('Council Entry'!U$9)),MAX(MIN('Council Entry'!U112,'Council Entry'!U$9),'Council Entry'!U$8),'Council Entry'!U112)),IF('Council Entry'!U$4="Exponential",EXP(IF(AND(ISNUMBER('Council Entry'!U$8),ISNUMBER('Council Entry'!U$9)),MAX(MIN('Council Entry'!U112,'Council Entry'!U$9),'Council Entry'!U$8),'Council Entry'!U112)),IF(AND(ISNUMBER('Council Entry'!U$8),ISNUMBER('Council Entry'!U$9)),MAX(MIN('Council Entry'!U112,'Council Entry'!U$9),'Council Entry'!U$8),'Council Entry'!U112))))-'Council Entry'!U$5)/('Council Entry'!U$6-'Council Entry'!U$5)),1))),"No data"))</f>
        <v/>
      </c>
      <c r="V112" s="13">
        <f>IF('Council Entry'!V112="","",IFERROR(MAX(0,MIN(10,ROUND(IF('Council Entry'!V$7="Decrease Risk",10-10*((IF('Council Entry'!V$4="Logarithm",LN(0.001+IF(AND(ISNUMBER('Council Entry'!V$8),ISNUMBER('Council Entry'!V$9)),MAX(MIN('Council Entry'!V112,'Council Entry'!V$9),'Council Entry'!V$8),'Council Entry'!V112)),IF('Council Entry'!V$4="Exponential",EXP(IF(AND(ISNUMBER('Council Entry'!V$8),ISNUMBER('Council Entry'!V$9)),MAX(MIN('Council Entry'!V112,'Council Entry'!V$9),'Council Entry'!V$8),'Council Entry'!V112)),IF(AND(ISNUMBER('Council Entry'!V$8),ISNUMBER('Council Entry'!V$9)),MAX(MIN('Council Entry'!V112,'Council Entry'!V$9),'Council Entry'!V$8),'Council Entry'!V112))))-'Council Entry'!V$5)/('Council Entry'!V$6-'Council Entry'!V$5),10*((IF('Council Entry'!V$4="Logarithm",LN(0.001+IF(AND(ISNUMBER('Council Entry'!V$8),ISNUMBER('Council Entry'!V$9)),MAX(MIN('Council Entry'!V112,'Council Entry'!V$9),'Council Entry'!V$8),'Council Entry'!V112)),IF('Council Entry'!V$4="Exponential",EXP(IF(AND(ISNUMBER('Council Entry'!V$8),ISNUMBER('Council Entry'!V$9)),MAX(MIN('Council Entry'!V112,'Council Entry'!V$9),'Council Entry'!V$8),'Council Entry'!V112)),IF(AND(ISNUMBER('Council Entry'!V$8),ISNUMBER('Council Entry'!V$9)),MAX(MIN('Council Entry'!V112,'Council Entry'!V$9),'Council Entry'!V$8),'Council Entry'!V112))))-'Council Entry'!V$5)/('Council Entry'!V$6-'Council Entry'!V$5)),1))),"No data"))</f>
        <v/>
      </c>
      <c r="W112" s="13">
        <f>IF('Council Entry'!W112="","",IFERROR(MAX(0,MIN(10,ROUND(IF('Council Entry'!W$7="Decrease Risk",10-10*((IF('Council Entry'!W$4="Logarithm",LN(0.001+IF(AND(ISNUMBER('Council Entry'!W$8),ISNUMBER('Council Entry'!W$9)),MAX(MIN('Council Entry'!W112,'Council Entry'!W$9),'Council Entry'!W$8),'Council Entry'!W112)),IF('Council Entry'!W$4="Exponential",EXP(IF(AND(ISNUMBER('Council Entry'!W$8),ISNUMBER('Council Entry'!W$9)),MAX(MIN('Council Entry'!W112,'Council Entry'!W$9),'Council Entry'!W$8),'Council Entry'!W112)),IF(AND(ISNUMBER('Council Entry'!W$8),ISNUMBER('Council Entry'!W$9)),MAX(MIN('Council Entry'!W112,'Council Entry'!W$9),'Council Entry'!W$8),'Council Entry'!W112))))-'Council Entry'!W$5)/('Council Entry'!W$6-'Council Entry'!W$5),10*((IF('Council Entry'!W$4="Logarithm",LN(0.001+IF(AND(ISNUMBER('Council Entry'!W$8),ISNUMBER('Council Entry'!W$9)),MAX(MIN('Council Entry'!W112,'Council Entry'!W$9),'Council Entry'!W$8),'Council Entry'!W112)),IF('Council Entry'!W$4="Exponential",EXP(IF(AND(ISNUMBER('Council Entry'!W$8),ISNUMBER('Council Entry'!W$9)),MAX(MIN('Council Entry'!W112,'Council Entry'!W$9),'Council Entry'!W$8),'Council Entry'!W112)),IF(AND(ISNUMBER('Council Entry'!W$8),ISNUMBER('Council Entry'!W$9)),MAX(MIN('Council Entry'!W112,'Council Entry'!W$9),'Council Entry'!W$8),'Council Entry'!W112))))-'Council Entry'!W$5)/('Council Entry'!W$6-'Council Entry'!W$5)),1))),"No data"))</f>
        <v/>
      </c>
      <c r="X112" s="13">
        <f>IF('Council Entry'!X112="","",IFERROR(MAX(0,MIN(10,ROUND(IF('Council Entry'!X$7="Decrease Risk",10-10*((IF('Council Entry'!X$4="Logarithm",LN(0.001+IF(AND(ISNUMBER('Council Entry'!X$8),ISNUMBER('Council Entry'!X$9)),MAX(MIN('Council Entry'!X112,'Council Entry'!X$9),'Council Entry'!X$8),'Council Entry'!X112)),IF('Council Entry'!X$4="Exponential",EXP(IF(AND(ISNUMBER('Council Entry'!X$8),ISNUMBER('Council Entry'!X$9)),MAX(MIN('Council Entry'!X112,'Council Entry'!X$9),'Council Entry'!X$8),'Council Entry'!X112)),IF(AND(ISNUMBER('Council Entry'!X$8),ISNUMBER('Council Entry'!X$9)),MAX(MIN('Council Entry'!X112,'Council Entry'!X$9),'Council Entry'!X$8),'Council Entry'!X112))))-'Council Entry'!X$5)/('Council Entry'!X$6-'Council Entry'!X$5),10*((IF('Council Entry'!X$4="Logarithm",LN(0.001+IF(AND(ISNUMBER('Council Entry'!X$8),ISNUMBER('Council Entry'!X$9)),MAX(MIN('Council Entry'!X112,'Council Entry'!X$9),'Council Entry'!X$8),'Council Entry'!X112)),IF('Council Entry'!X$4="Exponential",EXP(IF(AND(ISNUMBER('Council Entry'!X$8),ISNUMBER('Council Entry'!X$9)),MAX(MIN('Council Entry'!X112,'Council Entry'!X$9),'Council Entry'!X$8),'Council Entry'!X112)),IF(AND(ISNUMBER('Council Entry'!X$8),ISNUMBER('Council Entry'!X$9)),MAX(MIN('Council Entry'!X112,'Council Entry'!X$9),'Council Entry'!X$8),'Council Entry'!X112))))-'Council Entry'!X$5)/('Council Entry'!X$6-'Council Entry'!X$5)),1))),"No data"))</f>
        <v/>
      </c>
      <c r="Y112" s="13">
        <f>IF('Council Entry'!Y112="","",IFERROR(MAX(0,MIN(10,ROUND(IF('Council Entry'!Y$7="Decrease Risk",10-10*((IF('Council Entry'!Y$4="Logarithm",LN(0.001+IF(AND(ISNUMBER('Council Entry'!Y$8),ISNUMBER('Council Entry'!Y$9)),MAX(MIN('Council Entry'!Y112,'Council Entry'!Y$9),'Council Entry'!Y$8),'Council Entry'!Y112)),IF('Council Entry'!Y$4="Exponential",EXP(IF(AND(ISNUMBER('Council Entry'!Y$8),ISNUMBER('Council Entry'!Y$9)),MAX(MIN('Council Entry'!Y112,'Council Entry'!Y$9),'Council Entry'!Y$8),'Council Entry'!Y112)),IF(AND(ISNUMBER('Council Entry'!Y$8),ISNUMBER('Council Entry'!Y$9)),MAX(MIN('Council Entry'!Y112,'Council Entry'!Y$9),'Council Entry'!Y$8),'Council Entry'!Y112))))-'Council Entry'!Y$5)/('Council Entry'!Y$6-'Council Entry'!Y$5),10*((IF('Council Entry'!Y$4="Logarithm",LN(0.001+IF(AND(ISNUMBER('Council Entry'!Y$8),ISNUMBER('Council Entry'!Y$9)),MAX(MIN('Council Entry'!Y112,'Council Entry'!Y$9),'Council Entry'!Y$8),'Council Entry'!Y112)),IF('Council Entry'!Y$4="Exponential",EXP(IF(AND(ISNUMBER('Council Entry'!Y$8),ISNUMBER('Council Entry'!Y$9)),MAX(MIN('Council Entry'!Y112,'Council Entry'!Y$9),'Council Entry'!Y$8),'Council Entry'!Y112)),IF(AND(ISNUMBER('Council Entry'!Y$8),ISNUMBER('Council Entry'!Y$9)),MAX(MIN('Council Entry'!Y112,'Council Entry'!Y$9),'Council Entry'!Y$8),'Council Entry'!Y112))))-'Council Entry'!Y$5)/('Council Entry'!Y$6-'Council Entry'!Y$5)),1))),"No data"))</f>
        <v/>
      </c>
      <c r="Z112" s="13">
        <f>IF('Council Entry'!Z112="","",IFERROR(MAX(0,MIN(10,ROUND(IF('Council Entry'!Z$7="Decrease Risk",10-10*((IF('Council Entry'!Z$4="Logarithm",LN(0.001+IF(AND(ISNUMBER('Council Entry'!Z$8),ISNUMBER('Council Entry'!Z$9)),MAX(MIN('Council Entry'!Z112,'Council Entry'!Z$9),'Council Entry'!Z$8),'Council Entry'!Z112)),IF('Council Entry'!Z$4="Exponential",EXP(IF(AND(ISNUMBER('Council Entry'!Z$8),ISNUMBER('Council Entry'!Z$9)),MAX(MIN('Council Entry'!Z112,'Council Entry'!Z$9),'Council Entry'!Z$8),'Council Entry'!Z112)),IF(AND(ISNUMBER('Council Entry'!Z$8),ISNUMBER('Council Entry'!Z$9)),MAX(MIN('Council Entry'!Z112,'Council Entry'!Z$9),'Council Entry'!Z$8),'Council Entry'!Z112))))-'Council Entry'!Z$5)/('Council Entry'!Z$6-'Council Entry'!Z$5),10*((IF('Council Entry'!Z$4="Logarithm",LN(0.001+IF(AND(ISNUMBER('Council Entry'!Z$8),ISNUMBER('Council Entry'!Z$9)),MAX(MIN('Council Entry'!Z112,'Council Entry'!Z$9),'Council Entry'!Z$8),'Council Entry'!Z112)),IF('Council Entry'!Z$4="Exponential",EXP(IF(AND(ISNUMBER('Council Entry'!Z$8),ISNUMBER('Council Entry'!Z$9)),MAX(MIN('Council Entry'!Z112,'Council Entry'!Z$9),'Council Entry'!Z$8),'Council Entry'!Z112)),IF(AND(ISNUMBER('Council Entry'!Z$8),ISNUMBER('Council Entry'!Z$9)),MAX(MIN('Council Entry'!Z112,'Council Entry'!Z$9),'Council Entry'!Z$8),'Council Entry'!Z112))))-'Council Entry'!Z$5)/('Council Entry'!Z$6-'Council Entry'!Z$5)),1))),"No data"))</f>
        <v/>
      </c>
      <c r="AA112" s="13">
        <f>IF('Council Entry'!AA112="","",IFERROR(MAX(0,MIN(10,ROUND(IF('Council Entry'!AA$7="Decrease Risk",10-10*((IF('Council Entry'!AA$4="Logarithm",LN(0.001+IF(AND(ISNUMBER('Council Entry'!AA$8),ISNUMBER('Council Entry'!AA$9)),MAX(MIN('Council Entry'!AA112,'Council Entry'!AA$9),'Council Entry'!AA$8),'Council Entry'!AA112)),IF('Council Entry'!AA$4="Exponential",EXP(IF(AND(ISNUMBER('Council Entry'!AA$8),ISNUMBER('Council Entry'!AA$9)),MAX(MIN('Council Entry'!AA112,'Council Entry'!AA$9),'Council Entry'!AA$8),'Council Entry'!AA112)),IF(AND(ISNUMBER('Council Entry'!AA$8),ISNUMBER('Council Entry'!AA$9)),MAX(MIN('Council Entry'!AA112,'Council Entry'!AA$9),'Council Entry'!AA$8),'Council Entry'!AA112))))-'Council Entry'!AA$5)/('Council Entry'!AA$6-'Council Entry'!AA$5),10*((IF('Council Entry'!AA$4="Logarithm",LN(0.001+IF(AND(ISNUMBER('Council Entry'!AA$8),ISNUMBER('Council Entry'!AA$9)),MAX(MIN('Council Entry'!AA112,'Council Entry'!AA$9),'Council Entry'!AA$8),'Council Entry'!AA112)),IF('Council Entry'!AA$4="Exponential",EXP(IF(AND(ISNUMBER('Council Entry'!AA$8),ISNUMBER('Council Entry'!AA$9)),MAX(MIN('Council Entry'!AA112,'Council Entry'!AA$9),'Council Entry'!AA$8),'Council Entry'!AA112)),IF(AND(ISNUMBER('Council Entry'!AA$8),ISNUMBER('Council Entry'!AA$9)),MAX(MIN('Council Entry'!AA112,'Council Entry'!AA$9),'Council Entry'!AA$8),'Council Entry'!AA112))))-'Council Entry'!AA$5)/('Council Entry'!AA$6-'Council Entry'!AA$5)),1))),"No data"))</f>
        <v/>
      </c>
      <c r="AB112" s="13">
        <f>IF('Council Entry'!AB112="","",IFERROR(MAX(0,MIN(10,ROUND(IF('Council Entry'!AB$7="Decrease Risk",10-10*((IF('Council Entry'!AB$4="Logarithm",LN(0.001+IF(AND(ISNUMBER('Council Entry'!AB$8),ISNUMBER('Council Entry'!AB$9)),MAX(MIN('Council Entry'!AB112,'Council Entry'!AB$9),'Council Entry'!AB$8),'Council Entry'!AB112)),IF('Council Entry'!AB$4="Exponential",EXP(IF(AND(ISNUMBER('Council Entry'!AB$8),ISNUMBER('Council Entry'!AB$9)),MAX(MIN('Council Entry'!AB112,'Council Entry'!AB$9),'Council Entry'!AB$8),'Council Entry'!AB112)),IF(AND(ISNUMBER('Council Entry'!AB$8),ISNUMBER('Council Entry'!AB$9)),MAX(MIN('Council Entry'!AB112,'Council Entry'!AB$9),'Council Entry'!AB$8),'Council Entry'!AB112))))-'Council Entry'!AB$5)/('Council Entry'!AB$6-'Council Entry'!AB$5),10*((IF('Council Entry'!AB$4="Logarithm",LN(0.001+IF(AND(ISNUMBER('Council Entry'!AB$8),ISNUMBER('Council Entry'!AB$9)),MAX(MIN('Council Entry'!AB112,'Council Entry'!AB$9),'Council Entry'!AB$8),'Council Entry'!AB112)),IF('Council Entry'!AB$4="Exponential",EXP(IF(AND(ISNUMBER('Council Entry'!AB$8),ISNUMBER('Council Entry'!AB$9)),MAX(MIN('Council Entry'!AB112,'Council Entry'!AB$9),'Council Entry'!AB$8),'Council Entry'!AB112)),IF(AND(ISNUMBER('Council Entry'!AB$8),ISNUMBER('Council Entry'!AB$9)),MAX(MIN('Council Entry'!AB112,'Council Entry'!AB$9),'Council Entry'!AB$8),'Council Entry'!AB112))))-'Council Entry'!AB$5)/('Council Entry'!AB$6-'Council Entry'!AB$5)),1))),"No data"))</f>
        <v/>
      </c>
      <c r="AC112" s="13">
        <f>IF('Council Entry'!AC112="","",IFERROR(MAX(0,MIN(10,ROUND(IF('Council Entry'!AC$7="Decrease Risk",10-10*((IF('Council Entry'!AC$4="Logarithm",LN(0.001+IF(AND(ISNUMBER('Council Entry'!AC$8),ISNUMBER('Council Entry'!AC$9)),MAX(MIN('Council Entry'!AC112,'Council Entry'!AC$9),'Council Entry'!AC$8),'Council Entry'!AC112)),IF('Council Entry'!AC$4="Exponential",EXP(IF(AND(ISNUMBER('Council Entry'!AC$8),ISNUMBER('Council Entry'!AC$9)),MAX(MIN('Council Entry'!AC112,'Council Entry'!AC$9),'Council Entry'!AC$8),'Council Entry'!AC112)),IF(AND(ISNUMBER('Council Entry'!AC$8),ISNUMBER('Council Entry'!AC$9)),MAX(MIN('Council Entry'!AC112,'Council Entry'!AC$9),'Council Entry'!AC$8),'Council Entry'!AC112))))-'Council Entry'!AC$5)/('Council Entry'!AC$6-'Council Entry'!AC$5),10*((IF('Council Entry'!AC$4="Logarithm",LN(0.001+IF(AND(ISNUMBER('Council Entry'!AC$8),ISNUMBER('Council Entry'!AC$9)),MAX(MIN('Council Entry'!AC112,'Council Entry'!AC$9),'Council Entry'!AC$8),'Council Entry'!AC112)),IF('Council Entry'!AC$4="Exponential",EXP(IF(AND(ISNUMBER('Council Entry'!AC$8),ISNUMBER('Council Entry'!AC$9)),MAX(MIN('Council Entry'!AC112,'Council Entry'!AC$9),'Council Entry'!AC$8),'Council Entry'!AC112)),IF(AND(ISNUMBER('Council Entry'!AC$8),ISNUMBER('Council Entry'!AC$9)),MAX(MIN('Council Entry'!AC112,'Council Entry'!AC$9),'Council Entry'!AC$8),'Council Entry'!AC112))))-'Council Entry'!AC$5)/('Council Entry'!AC$6-'Council Entry'!AC$5)),1))),"No data"))</f>
        <v/>
      </c>
      <c r="AD112" s="13">
        <f>IF('Council Entry'!AD112="","",IFERROR(MAX(0,MIN(10,ROUND(IF('Council Entry'!AD$7="Decrease Risk",10-10*((IF('Council Entry'!AD$4="Logarithm",LN(0.001+IF(AND(ISNUMBER('Council Entry'!AD$8),ISNUMBER('Council Entry'!AD$9)),MAX(MIN('Council Entry'!AD112,'Council Entry'!AD$9),'Council Entry'!AD$8),'Council Entry'!AD112)),IF('Council Entry'!AD$4="Exponential",EXP(IF(AND(ISNUMBER('Council Entry'!AD$8),ISNUMBER('Council Entry'!AD$9)),MAX(MIN('Council Entry'!AD112,'Council Entry'!AD$9),'Council Entry'!AD$8),'Council Entry'!AD112)),IF(AND(ISNUMBER('Council Entry'!AD$8),ISNUMBER('Council Entry'!AD$9)),MAX(MIN('Council Entry'!AD112,'Council Entry'!AD$9),'Council Entry'!AD$8),'Council Entry'!AD112))))-'Council Entry'!AD$5)/('Council Entry'!AD$6-'Council Entry'!AD$5),10*((IF('Council Entry'!AD$4="Logarithm",LN(0.001+IF(AND(ISNUMBER('Council Entry'!AD$8),ISNUMBER('Council Entry'!AD$9)),MAX(MIN('Council Entry'!AD112,'Council Entry'!AD$9),'Council Entry'!AD$8),'Council Entry'!AD112)),IF('Council Entry'!AD$4="Exponential",EXP(IF(AND(ISNUMBER('Council Entry'!AD$8),ISNUMBER('Council Entry'!AD$9)),MAX(MIN('Council Entry'!AD112,'Council Entry'!AD$9),'Council Entry'!AD$8),'Council Entry'!AD112)),IF(AND(ISNUMBER('Council Entry'!AD$8),ISNUMBER('Council Entry'!AD$9)),MAX(MIN('Council Entry'!AD112,'Council Entry'!AD$9),'Council Entry'!AD$8),'Council Entry'!AD112))))-'Council Entry'!AD$5)/('Council Entry'!AD$6-'Council Entry'!AD$5)),1))),"No data"))</f>
        <v/>
      </c>
      <c r="AE112" s="13">
        <f>IF('Council Entry'!AE112="","",IFERROR(MAX(0,MIN(10,ROUND(IF('Council Entry'!AE$7="Decrease Risk",10-10*((IF('Council Entry'!AE$4="Logarithm",LN(0.001+IF(AND(ISNUMBER('Council Entry'!AE$8),ISNUMBER('Council Entry'!AE$9)),MAX(MIN('Council Entry'!AE112,'Council Entry'!AE$9),'Council Entry'!AE$8),'Council Entry'!AE112)),IF('Council Entry'!AE$4="Exponential",EXP(IF(AND(ISNUMBER('Council Entry'!AE$8),ISNUMBER('Council Entry'!AE$9)),MAX(MIN('Council Entry'!AE112,'Council Entry'!AE$9),'Council Entry'!AE$8),'Council Entry'!AE112)),IF(AND(ISNUMBER('Council Entry'!AE$8),ISNUMBER('Council Entry'!AE$9)),MAX(MIN('Council Entry'!AE112,'Council Entry'!AE$9),'Council Entry'!AE$8),'Council Entry'!AE112))))-'Council Entry'!AE$5)/('Council Entry'!AE$6-'Council Entry'!AE$5),10*((IF('Council Entry'!AE$4="Logarithm",LN(0.001+IF(AND(ISNUMBER('Council Entry'!AE$8),ISNUMBER('Council Entry'!AE$9)),MAX(MIN('Council Entry'!AE112,'Council Entry'!AE$9),'Council Entry'!AE$8),'Council Entry'!AE112)),IF('Council Entry'!AE$4="Exponential",EXP(IF(AND(ISNUMBER('Council Entry'!AE$8),ISNUMBER('Council Entry'!AE$9)),MAX(MIN('Council Entry'!AE112,'Council Entry'!AE$9),'Council Entry'!AE$8),'Council Entry'!AE112)),IF(AND(ISNUMBER('Council Entry'!AE$8),ISNUMBER('Council Entry'!AE$9)),MAX(MIN('Council Entry'!AE112,'Council Entry'!AE$9),'Council Entry'!AE$8),'Council Entry'!AE112))))-'Council Entry'!AE$5)/('Council Entry'!AE$6-'Council Entry'!AE$5)),1))),"No data"))</f>
        <v/>
      </c>
      <c r="AF112" s="13">
        <f>IF('Council Entry'!AF112="","",IFERROR(MAX(0,MIN(10,ROUND(IF('Council Entry'!AF$7="Decrease Risk",10-10*((IF('Council Entry'!AF$4="Logarithm",LN(0.001+IF(AND(ISNUMBER('Council Entry'!AF$8),ISNUMBER('Council Entry'!AF$9)),MAX(MIN('Council Entry'!AF112,'Council Entry'!AF$9),'Council Entry'!AF$8),'Council Entry'!AF112)),IF('Council Entry'!AF$4="Exponential",EXP(IF(AND(ISNUMBER('Council Entry'!AF$8),ISNUMBER('Council Entry'!AF$9)),MAX(MIN('Council Entry'!AF112,'Council Entry'!AF$9),'Council Entry'!AF$8),'Council Entry'!AF112)),IF(AND(ISNUMBER('Council Entry'!AF$8),ISNUMBER('Council Entry'!AF$9)),MAX(MIN('Council Entry'!AF112,'Council Entry'!AF$9),'Council Entry'!AF$8),'Council Entry'!AF112))))-'Council Entry'!AF$5)/('Council Entry'!AF$6-'Council Entry'!AF$5),10*((IF('Council Entry'!AF$4="Logarithm",LN(0.001+IF(AND(ISNUMBER('Council Entry'!AF$8),ISNUMBER('Council Entry'!AF$9)),MAX(MIN('Council Entry'!AF112,'Council Entry'!AF$9),'Council Entry'!AF$8),'Council Entry'!AF112)),IF('Council Entry'!AF$4="Exponential",EXP(IF(AND(ISNUMBER('Council Entry'!AF$8),ISNUMBER('Council Entry'!AF$9)),MAX(MIN('Council Entry'!AF112,'Council Entry'!AF$9),'Council Entry'!AF$8),'Council Entry'!AF112)),IF(AND(ISNUMBER('Council Entry'!AF$8),ISNUMBER('Council Entry'!AF$9)),MAX(MIN('Council Entry'!AF112,'Council Entry'!AF$9),'Council Entry'!AF$8),'Council Entry'!AF112))))-'Council Entry'!AF$5)/('Council Entry'!AF$6-'Council Entry'!AF$5)),1))),"No data"))</f>
        <v/>
      </c>
      <c r="AG112" s="13">
        <f>IF('Council Entry'!AG112="","",IFERROR(MAX(0,MIN(10,ROUND(IF('Council Entry'!AG$7="Decrease Risk",10-10*((IF('Council Entry'!AG$4="Logarithm",LN(0.001+IF(AND(ISNUMBER('Council Entry'!AG$8),ISNUMBER('Council Entry'!AG$9)),MAX(MIN('Council Entry'!AG112,'Council Entry'!AG$9),'Council Entry'!AG$8),'Council Entry'!AG112)),IF('Council Entry'!AG$4="Exponential",EXP(IF(AND(ISNUMBER('Council Entry'!AG$8),ISNUMBER('Council Entry'!AG$9)),MAX(MIN('Council Entry'!AG112,'Council Entry'!AG$9),'Council Entry'!AG$8),'Council Entry'!AG112)),IF(AND(ISNUMBER('Council Entry'!AG$8),ISNUMBER('Council Entry'!AG$9)),MAX(MIN('Council Entry'!AG112,'Council Entry'!AG$9),'Council Entry'!AG$8),'Council Entry'!AG112))))-'Council Entry'!AG$5)/('Council Entry'!AG$6-'Council Entry'!AG$5),10*((IF('Council Entry'!AG$4="Logarithm",LN(0.001+IF(AND(ISNUMBER('Council Entry'!AG$8),ISNUMBER('Council Entry'!AG$9)),MAX(MIN('Council Entry'!AG112,'Council Entry'!AG$9),'Council Entry'!AG$8),'Council Entry'!AG112)),IF('Council Entry'!AG$4="Exponential",EXP(IF(AND(ISNUMBER('Council Entry'!AG$8),ISNUMBER('Council Entry'!AG$9)),MAX(MIN('Council Entry'!AG112,'Council Entry'!AG$9),'Council Entry'!AG$8),'Council Entry'!AG112)),IF(AND(ISNUMBER('Council Entry'!AG$8),ISNUMBER('Council Entry'!AG$9)),MAX(MIN('Council Entry'!AG112,'Council Entry'!AG$9),'Council Entry'!AG$8),'Council Entry'!AG112))))-'Council Entry'!AG$5)/('Council Entry'!AG$6-'Council Entry'!AG$5)),1))),"No data"))</f>
        <v/>
      </c>
      <c r="AH112" s="13">
        <f>IF('Council Entry'!AH112="","",IFERROR(MAX(0,MIN(10,ROUND(IF('Council Entry'!AH$7="Decrease Risk",10-10*((IF('Council Entry'!AH$4="Logarithm",LN(0.001+IF(AND(ISNUMBER('Council Entry'!AH$8),ISNUMBER('Council Entry'!AH$9)),MAX(MIN('Council Entry'!AH112,'Council Entry'!AH$9),'Council Entry'!AH$8),'Council Entry'!AH112)),IF('Council Entry'!AH$4="Exponential",EXP(IF(AND(ISNUMBER('Council Entry'!AH$8),ISNUMBER('Council Entry'!AH$9)),MAX(MIN('Council Entry'!AH112,'Council Entry'!AH$9),'Council Entry'!AH$8),'Council Entry'!AH112)),IF(AND(ISNUMBER('Council Entry'!AH$8),ISNUMBER('Council Entry'!AH$9)),MAX(MIN('Council Entry'!AH112,'Council Entry'!AH$9),'Council Entry'!AH$8),'Council Entry'!AH112))))-'Council Entry'!AH$5)/('Council Entry'!AH$6-'Council Entry'!AH$5),10*((IF('Council Entry'!AH$4="Logarithm",LN(0.001+IF(AND(ISNUMBER('Council Entry'!AH$8),ISNUMBER('Council Entry'!AH$9)),MAX(MIN('Council Entry'!AH112,'Council Entry'!AH$9),'Council Entry'!AH$8),'Council Entry'!AH112)),IF('Council Entry'!AH$4="Exponential",EXP(IF(AND(ISNUMBER('Council Entry'!AH$8),ISNUMBER('Council Entry'!AH$9)),MAX(MIN('Council Entry'!AH112,'Council Entry'!AH$9),'Council Entry'!AH$8),'Council Entry'!AH112)),IF(AND(ISNUMBER('Council Entry'!AH$8),ISNUMBER('Council Entry'!AH$9)),MAX(MIN('Council Entry'!AH112,'Council Entry'!AH$9),'Council Entry'!AH$8),'Council Entry'!AH112))))-'Council Entry'!AH$5)/('Council Entry'!AH$6-'Council Entry'!AH$5)),1))),"No data"))</f>
        <v/>
      </c>
      <c r="AI112" s="13">
        <f>IF('Council Entry'!AI112="","",IFERROR(MAX(0,MIN(10,ROUND(IF('Council Entry'!AI$7="Decrease Risk",10-10*((IF('Council Entry'!AI$4="Logarithm",LN(0.001+IF(AND(ISNUMBER('Council Entry'!AI$8),ISNUMBER('Council Entry'!AI$9)),MAX(MIN('Council Entry'!AI112,'Council Entry'!AI$9),'Council Entry'!AI$8),'Council Entry'!AI112)),IF('Council Entry'!AI$4="Exponential",EXP(IF(AND(ISNUMBER('Council Entry'!AI$8),ISNUMBER('Council Entry'!AI$9)),MAX(MIN('Council Entry'!AI112,'Council Entry'!AI$9),'Council Entry'!AI$8),'Council Entry'!AI112)),IF(AND(ISNUMBER('Council Entry'!AI$8),ISNUMBER('Council Entry'!AI$9)),MAX(MIN('Council Entry'!AI112,'Council Entry'!AI$9),'Council Entry'!AI$8),'Council Entry'!AI112))))-'Council Entry'!AI$5)/('Council Entry'!AI$6-'Council Entry'!AI$5),10*((IF('Council Entry'!AI$4="Logarithm",LN(0.001+IF(AND(ISNUMBER('Council Entry'!AI$8),ISNUMBER('Council Entry'!AI$9)),MAX(MIN('Council Entry'!AI112,'Council Entry'!AI$9),'Council Entry'!AI$8),'Council Entry'!AI112)),IF('Council Entry'!AI$4="Exponential",EXP(IF(AND(ISNUMBER('Council Entry'!AI$8),ISNUMBER('Council Entry'!AI$9)),MAX(MIN('Council Entry'!AI112,'Council Entry'!AI$9),'Council Entry'!AI$8),'Council Entry'!AI112)),IF(AND(ISNUMBER('Council Entry'!AI$8),ISNUMBER('Council Entry'!AI$9)),MAX(MIN('Council Entry'!AI112,'Council Entry'!AI$9),'Council Entry'!AI$8),'Council Entry'!AI112))))-'Council Entry'!AI$5)/('Council Entry'!AI$6-'Council Entry'!AI$5)),1))),"No data"))</f>
        <v/>
      </c>
      <c r="AJ112" s="13">
        <f>IF('Council Entry'!AJ112="","",IFERROR(MAX(0,MIN(10,ROUND(IF('Council Entry'!AJ$7="Decrease Risk",10-10*((IF('Council Entry'!AJ$4="Logarithm",LN(0.001+IF(AND(ISNUMBER('Council Entry'!AJ$8),ISNUMBER('Council Entry'!AJ$9)),MAX(MIN('Council Entry'!AJ112,'Council Entry'!AJ$9),'Council Entry'!AJ$8),'Council Entry'!AJ112)),IF('Council Entry'!AJ$4="Exponential",EXP(IF(AND(ISNUMBER('Council Entry'!AJ$8),ISNUMBER('Council Entry'!AJ$9)),MAX(MIN('Council Entry'!AJ112,'Council Entry'!AJ$9),'Council Entry'!AJ$8),'Council Entry'!AJ112)),IF(AND(ISNUMBER('Council Entry'!AJ$8),ISNUMBER('Council Entry'!AJ$9)),MAX(MIN('Council Entry'!AJ112,'Council Entry'!AJ$9),'Council Entry'!AJ$8),'Council Entry'!AJ112))))-'Council Entry'!AJ$5)/('Council Entry'!AJ$6-'Council Entry'!AJ$5),10*((IF('Council Entry'!AJ$4="Logarithm",LN(0.001+IF(AND(ISNUMBER('Council Entry'!AJ$8),ISNUMBER('Council Entry'!AJ$9)),MAX(MIN('Council Entry'!AJ112,'Council Entry'!AJ$9),'Council Entry'!AJ$8),'Council Entry'!AJ112)),IF('Council Entry'!AJ$4="Exponential",EXP(IF(AND(ISNUMBER('Council Entry'!AJ$8),ISNUMBER('Council Entry'!AJ$9)),MAX(MIN('Council Entry'!AJ112,'Council Entry'!AJ$9),'Council Entry'!AJ$8),'Council Entry'!AJ112)),IF(AND(ISNUMBER('Council Entry'!AJ$8),ISNUMBER('Council Entry'!AJ$9)),MAX(MIN('Council Entry'!AJ112,'Council Entry'!AJ$9),'Council Entry'!AJ$8),'Council Entry'!AJ112))))-'Council Entry'!AJ$5)/('Council Entry'!AJ$6-'Council Entry'!AJ$5)),1))),"No data"))</f>
        <v/>
      </c>
      <c r="AK112" s="13">
        <f>IF('Council Entry'!AK112="","",IFERROR(MAX(0,MIN(10,ROUND(IF('Council Entry'!AK$7="Decrease Risk",10-10*((IF('Council Entry'!AK$4="Logarithm",LN(0.001+IF(AND(ISNUMBER('Council Entry'!AK$8),ISNUMBER('Council Entry'!AK$9)),MAX(MIN('Council Entry'!AK112,'Council Entry'!AK$9),'Council Entry'!AK$8),'Council Entry'!AK112)),IF('Council Entry'!AK$4="Exponential",EXP(IF(AND(ISNUMBER('Council Entry'!AK$8),ISNUMBER('Council Entry'!AK$9)),MAX(MIN('Council Entry'!AK112,'Council Entry'!AK$9),'Council Entry'!AK$8),'Council Entry'!AK112)),IF(AND(ISNUMBER('Council Entry'!AK$8),ISNUMBER('Council Entry'!AK$9)),MAX(MIN('Council Entry'!AK112,'Council Entry'!AK$9),'Council Entry'!AK$8),'Council Entry'!AK112))))-'Council Entry'!AK$5)/('Council Entry'!AK$6-'Council Entry'!AK$5),10*((IF('Council Entry'!AK$4="Logarithm",LN(0.001+IF(AND(ISNUMBER('Council Entry'!AK$8),ISNUMBER('Council Entry'!AK$9)),MAX(MIN('Council Entry'!AK112,'Council Entry'!AK$9),'Council Entry'!AK$8),'Council Entry'!AK112)),IF('Council Entry'!AK$4="Exponential",EXP(IF(AND(ISNUMBER('Council Entry'!AK$8),ISNUMBER('Council Entry'!AK$9)),MAX(MIN('Council Entry'!AK112,'Council Entry'!AK$9),'Council Entry'!AK$8),'Council Entry'!AK112)),IF(AND(ISNUMBER('Council Entry'!AK$8),ISNUMBER('Council Entry'!AK$9)),MAX(MIN('Council Entry'!AK112,'Council Entry'!AK$9),'Council Entry'!AK$8),'Council Entry'!AK112))))-'Council Entry'!AK$5)/('Council Entry'!AK$6-'Council Entry'!AK$5)),1))),"No data"))</f>
        <v/>
      </c>
      <c r="AL112" s="13">
        <f>IF('Council Entry'!AL112="","",IFERROR(MAX(0,MIN(10,ROUND(IF('Council Entry'!AL$7="Decrease Risk",10-10*((IF('Council Entry'!AL$4="Logarithm",LN(0.001+IF(AND(ISNUMBER('Council Entry'!AL$8),ISNUMBER('Council Entry'!AL$9)),MAX(MIN('Council Entry'!AL112,'Council Entry'!AL$9),'Council Entry'!AL$8),'Council Entry'!AL112)),IF('Council Entry'!AL$4="Exponential",EXP(IF(AND(ISNUMBER('Council Entry'!AL$8),ISNUMBER('Council Entry'!AL$9)),MAX(MIN('Council Entry'!AL112,'Council Entry'!AL$9),'Council Entry'!AL$8),'Council Entry'!AL112)),IF(AND(ISNUMBER('Council Entry'!AL$8),ISNUMBER('Council Entry'!AL$9)),MAX(MIN('Council Entry'!AL112,'Council Entry'!AL$9),'Council Entry'!AL$8),'Council Entry'!AL112))))-'Council Entry'!AL$5)/('Council Entry'!AL$6-'Council Entry'!AL$5),10*((IF('Council Entry'!AL$4="Logarithm",LN(0.001+IF(AND(ISNUMBER('Council Entry'!AL$8),ISNUMBER('Council Entry'!AL$9)),MAX(MIN('Council Entry'!AL112,'Council Entry'!AL$9),'Council Entry'!AL$8),'Council Entry'!AL112)),IF('Council Entry'!AL$4="Exponential",EXP(IF(AND(ISNUMBER('Council Entry'!AL$8),ISNUMBER('Council Entry'!AL$9)),MAX(MIN('Council Entry'!AL112,'Council Entry'!AL$9),'Council Entry'!AL$8),'Council Entry'!AL112)),IF(AND(ISNUMBER('Council Entry'!AL$8),ISNUMBER('Council Entry'!AL$9)),MAX(MIN('Council Entry'!AL112,'Council Entry'!AL$9),'Council Entry'!AL$8),'Council Entry'!AL112))))-'Council Entry'!AL$5)/('Council Entry'!AL$6-'Council Entry'!AL$5)),1))),"No data"))</f>
        <v/>
      </c>
      <c r="AM112" s="13">
        <f>IF('Council Entry'!AM112="","",IFERROR(MAX(0,MIN(10,ROUND(IF('Council Entry'!AM$7="Decrease Risk",10-10*((IF('Council Entry'!AM$4="Logarithm",LN(0.001+IF(AND(ISNUMBER('Council Entry'!AM$8),ISNUMBER('Council Entry'!AM$9)),MAX(MIN('Council Entry'!AM112,'Council Entry'!AM$9),'Council Entry'!AM$8),'Council Entry'!AM112)),IF('Council Entry'!AM$4="Exponential",EXP(IF(AND(ISNUMBER('Council Entry'!AM$8),ISNUMBER('Council Entry'!AM$9)),MAX(MIN('Council Entry'!AM112,'Council Entry'!AM$9),'Council Entry'!AM$8),'Council Entry'!AM112)),IF(AND(ISNUMBER('Council Entry'!AM$8),ISNUMBER('Council Entry'!AM$9)),MAX(MIN('Council Entry'!AM112,'Council Entry'!AM$9),'Council Entry'!AM$8),'Council Entry'!AM112))))-'Council Entry'!AM$5)/('Council Entry'!AM$6-'Council Entry'!AM$5),10*((IF('Council Entry'!AM$4="Logarithm",LN(0.001+IF(AND(ISNUMBER('Council Entry'!AM$8),ISNUMBER('Council Entry'!AM$9)),MAX(MIN('Council Entry'!AM112,'Council Entry'!AM$9),'Council Entry'!AM$8),'Council Entry'!AM112)),IF('Council Entry'!AM$4="Exponential",EXP(IF(AND(ISNUMBER('Council Entry'!AM$8),ISNUMBER('Council Entry'!AM$9)),MAX(MIN('Council Entry'!AM112,'Council Entry'!AM$9),'Council Entry'!AM$8),'Council Entry'!AM112)),IF(AND(ISNUMBER('Council Entry'!AM$8),ISNUMBER('Council Entry'!AM$9)),MAX(MIN('Council Entry'!AM112,'Council Entry'!AM$9),'Council Entry'!AM$8),'Council Entry'!AM112))))-'Council Entry'!AM$5)/('Council Entry'!AM$6-'Council Entry'!AM$5)),1))),"No data"))</f>
        <v/>
      </c>
      <c r="AN112" s="13">
        <f>IF('Council Entry'!AN112="","",IFERROR(MAX(0,MIN(10,ROUND(IF('Council Entry'!AN$7="Decrease Risk",10-10*((IF('Council Entry'!AN$4="Logarithm",LN(0.001+IF(AND(ISNUMBER('Council Entry'!AN$8),ISNUMBER('Council Entry'!AN$9)),MAX(MIN('Council Entry'!AN112,'Council Entry'!AN$9),'Council Entry'!AN$8),'Council Entry'!AN112)),IF('Council Entry'!AN$4="Exponential",EXP(IF(AND(ISNUMBER('Council Entry'!AN$8),ISNUMBER('Council Entry'!AN$9)),MAX(MIN('Council Entry'!AN112,'Council Entry'!AN$9),'Council Entry'!AN$8),'Council Entry'!AN112)),IF(AND(ISNUMBER('Council Entry'!AN$8),ISNUMBER('Council Entry'!AN$9)),MAX(MIN('Council Entry'!AN112,'Council Entry'!AN$9),'Council Entry'!AN$8),'Council Entry'!AN112))))-'Council Entry'!AN$5)/('Council Entry'!AN$6-'Council Entry'!AN$5),10*((IF('Council Entry'!AN$4="Logarithm",LN(0.001+IF(AND(ISNUMBER('Council Entry'!AN$8),ISNUMBER('Council Entry'!AN$9)),MAX(MIN('Council Entry'!AN112,'Council Entry'!AN$9),'Council Entry'!AN$8),'Council Entry'!AN112)),IF('Council Entry'!AN$4="Exponential",EXP(IF(AND(ISNUMBER('Council Entry'!AN$8),ISNUMBER('Council Entry'!AN$9)),MAX(MIN('Council Entry'!AN112,'Council Entry'!AN$9),'Council Entry'!AN$8),'Council Entry'!AN112)),IF(AND(ISNUMBER('Council Entry'!AN$8),ISNUMBER('Council Entry'!AN$9)),MAX(MIN('Council Entry'!AN112,'Council Entry'!AN$9),'Council Entry'!AN$8),'Council Entry'!AN112))))-'Council Entry'!AN$5)/('Council Entry'!AN$6-'Council Entry'!AN$5)),1))),"No data"))</f>
        <v/>
      </c>
      <c r="AO112" s="13">
        <f>IF('Council Entry'!AO112="","",IFERROR(MAX(0,MIN(10,ROUND(IF('Council Entry'!AO$7="Decrease Risk",10-10*((IF('Council Entry'!AO$4="Logarithm",LN(0.001+IF(AND(ISNUMBER('Council Entry'!AO$8),ISNUMBER('Council Entry'!AO$9)),MAX(MIN('Council Entry'!AO112,'Council Entry'!AO$9),'Council Entry'!AO$8),'Council Entry'!AO112)),IF('Council Entry'!AO$4="Exponential",EXP(IF(AND(ISNUMBER('Council Entry'!AO$8),ISNUMBER('Council Entry'!AO$9)),MAX(MIN('Council Entry'!AO112,'Council Entry'!AO$9),'Council Entry'!AO$8),'Council Entry'!AO112)),IF(AND(ISNUMBER('Council Entry'!AO$8),ISNUMBER('Council Entry'!AO$9)),MAX(MIN('Council Entry'!AO112,'Council Entry'!AO$9),'Council Entry'!AO$8),'Council Entry'!AO112))))-'Council Entry'!AO$5)/('Council Entry'!AO$6-'Council Entry'!AO$5),10*((IF('Council Entry'!AO$4="Logarithm",LN(0.001+IF(AND(ISNUMBER('Council Entry'!AO$8),ISNUMBER('Council Entry'!AO$9)),MAX(MIN('Council Entry'!AO112,'Council Entry'!AO$9),'Council Entry'!AO$8),'Council Entry'!AO112)),IF('Council Entry'!AO$4="Exponential",EXP(IF(AND(ISNUMBER('Council Entry'!AO$8),ISNUMBER('Council Entry'!AO$9)),MAX(MIN('Council Entry'!AO112,'Council Entry'!AO$9),'Council Entry'!AO$8),'Council Entry'!AO112)),IF(AND(ISNUMBER('Council Entry'!AO$8),ISNUMBER('Council Entry'!AO$9)),MAX(MIN('Council Entry'!AO112,'Council Entry'!AO$9),'Council Entry'!AO$8),'Council Entry'!AO112))))-'Council Entry'!AO$5)/('Council Entry'!AO$6-'Council Entry'!AO$5)),1))),"No data"))</f>
        <v/>
      </c>
      <c r="AP112" s="13">
        <f>IF('Council Entry'!AP112="","",IFERROR(MAX(0,MIN(10,ROUND(IF('Council Entry'!AP$7="Decrease Risk",10-10*((IF('Council Entry'!AP$4="Logarithm",LN(0.001+IF(AND(ISNUMBER('Council Entry'!AP$8),ISNUMBER('Council Entry'!AP$9)),MAX(MIN('Council Entry'!AP112,'Council Entry'!AP$9),'Council Entry'!AP$8),'Council Entry'!AP112)),IF('Council Entry'!AP$4="Exponential",EXP(IF(AND(ISNUMBER('Council Entry'!AP$8),ISNUMBER('Council Entry'!AP$9)),MAX(MIN('Council Entry'!AP112,'Council Entry'!AP$9),'Council Entry'!AP$8),'Council Entry'!AP112)),IF(AND(ISNUMBER('Council Entry'!AP$8),ISNUMBER('Council Entry'!AP$9)),MAX(MIN('Council Entry'!AP112,'Council Entry'!AP$9),'Council Entry'!AP$8),'Council Entry'!AP112))))-'Council Entry'!AP$5)/('Council Entry'!AP$6-'Council Entry'!AP$5),10*((IF('Council Entry'!AP$4="Logarithm",LN(0.001+IF(AND(ISNUMBER('Council Entry'!AP$8),ISNUMBER('Council Entry'!AP$9)),MAX(MIN('Council Entry'!AP112,'Council Entry'!AP$9),'Council Entry'!AP$8),'Council Entry'!AP112)),IF('Council Entry'!AP$4="Exponential",EXP(IF(AND(ISNUMBER('Council Entry'!AP$8),ISNUMBER('Council Entry'!AP$9)),MAX(MIN('Council Entry'!AP112,'Council Entry'!AP$9),'Council Entry'!AP$8),'Council Entry'!AP112)),IF(AND(ISNUMBER('Council Entry'!AP$8),ISNUMBER('Council Entry'!AP$9)),MAX(MIN('Council Entry'!AP112,'Council Entry'!AP$9),'Council Entry'!AP$8),'Council Entry'!AP112))))-'Council Entry'!AP$5)/('Council Entry'!AP$6-'Council Entry'!AP$5)),1))),"No data"))</f>
        <v/>
      </c>
      <c r="AQ112" s="13">
        <f>IF('Council Entry'!AQ112="","",IFERROR(MAX(0,MIN(10,ROUND(IF('Council Entry'!AQ$7="Decrease Risk",10-10*((IF('Council Entry'!AQ$4="Logarithm",LN(0.001+IF(AND(ISNUMBER('Council Entry'!AQ$8),ISNUMBER('Council Entry'!AQ$9)),MAX(MIN('Council Entry'!AQ112,'Council Entry'!AQ$9),'Council Entry'!AQ$8),'Council Entry'!AQ112)),IF('Council Entry'!AQ$4="Exponential",EXP(IF(AND(ISNUMBER('Council Entry'!AQ$8),ISNUMBER('Council Entry'!AQ$9)),MAX(MIN('Council Entry'!AQ112,'Council Entry'!AQ$9),'Council Entry'!AQ$8),'Council Entry'!AQ112)),IF(AND(ISNUMBER('Council Entry'!AQ$8),ISNUMBER('Council Entry'!AQ$9)),MAX(MIN('Council Entry'!AQ112,'Council Entry'!AQ$9),'Council Entry'!AQ$8),'Council Entry'!AQ112))))-'Council Entry'!AQ$5)/('Council Entry'!AQ$6-'Council Entry'!AQ$5),10*((IF('Council Entry'!AQ$4="Logarithm",LN(0.001+IF(AND(ISNUMBER('Council Entry'!AQ$8),ISNUMBER('Council Entry'!AQ$9)),MAX(MIN('Council Entry'!AQ112,'Council Entry'!AQ$9),'Council Entry'!AQ$8),'Council Entry'!AQ112)),IF('Council Entry'!AQ$4="Exponential",EXP(IF(AND(ISNUMBER('Council Entry'!AQ$8),ISNUMBER('Council Entry'!AQ$9)),MAX(MIN('Council Entry'!AQ112,'Council Entry'!AQ$9),'Council Entry'!AQ$8),'Council Entry'!AQ112)),IF(AND(ISNUMBER('Council Entry'!AQ$8),ISNUMBER('Council Entry'!AQ$9)),MAX(MIN('Council Entry'!AQ112,'Council Entry'!AQ$9),'Council Entry'!AQ$8),'Council Entry'!AQ112))))-'Council Entry'!AQ$5)/('Council Entry'!AQ$6-'Council Entry'!AQ$5)),1))),"No data"))</f>
        <v/>
      </c>
      <c r="AR112" s="13">
        <f>IF('Council Entry'!AR112="","",IFERROR(MAX(0,MIN(10,ROUND(IF('Council Entry'!AR$7="Decrease Risk",10-10*((IF('Council Entry'!AR$4="Logarithm",LN(0.001+IF(AND(ISNUMBER('Council Entry'!AR$8),ISNUMBER('Council Entry'!AR$9)),MAX(MIN('Council Entry'!AR112,'Council Entry'!AR$9),'Council Entry'!AR$8),'Council Entry'!AR112)),IF('Council Entry'!AR$4="Exponential",EXP(IF(AND(ISNUMBER('Council Entry'!AR$8),ISNUMBER('Council Entry'!AR$9)),MAX(MIN('Council Entry'!AR112,'Council Entry'!AR$9),'Council Entry'!AR$8),'Council Entry'!AR112)),IF(AND(ISNUMBER('Council Entry'!AR$8),ISNUMBER('Council Entry'!AR$9)),MAX(MIN('Council Entry'!AR112,'Council Entry'!AR$9),'Council Entry'!AR$8),'Council Entry'!AR112))))-'Council Entry'!AR$5)/('Council Entry'!AR$6-'Council Entry'!AR$5),10*((IF('Council Entry'!AR$4="Logarithm",LN(0.001+IF(AND(ISNUMBER('Council Entry'!AR$8),ISNUMBER('Council Entry'!AR$9)),MAX(MIN('Council Entry'!AR112,'Council Entry'!AR$9),'Council Entry'!AR$8),'Council Entry'!AR112)),IF('Council Entry'!AR$4="Exponential",EXP(IF(AND(ISNUMBER('Council Entry'!AR$8),ISNUMBER('Council Entry'!AR$9)),MAX(MIN('Council Entry'!AR112,'Council Entry'!AR$9),'Council Entry'!AR$8),'Council Entry'!AR112)),IF(AND(ISNUMBER('Council Entry'!AR$8),ISNUMBER('Council Entry'!AR$9)),MAX(MIN('Council Entry'!AR112,'Council Entry'!AR$9),'Council Entry'!AR$8),'Council Entry'!AR112))))-'Council Entry'!AR$5)/('Council Entry'!AR$6-'Council Entry'!AR$5)),1))),"No data"))</f>
        <v/>
      </c>
      <c r="AS112" s="13">
        <f>IF('Council Entry'!AS112="","",IFERROR(MAX(0,MIN(10,ROUND(IF('Council Entry'!AS$7="Decrease Risk",10-10*((IF('Council Entry'!AS$4="Logarithm",LN(0.001+IF(AND(ISNUMBER('Council Entry'!AS$8),ISNUMBER('Council Entry'!AS$9)),MAX(MIN('Council Entry'!AS112,'Council Entry'!AS$9),'Council Entry'!AS$8),'Council Entry'!AS112)),IF('Council Entry'!AS$4="Exponential",EXP(IF(AND(ISNUMBER('Council Entry'!AS$8),ISNUMBER('Council Entry'!AS$9)),MAX(MIN('Council Entry'!AS112,'Council Entry'!AS$9),'Council Entry'!AS$8),'Council Entry'!AS112)),IF(AND(ISNUMBER('Council Entry'!AS$8),ISNUMBER('Council Entry'!AS$9)),MAX(MIN('Council Entry'!AS112,'Council Entry'!AS$9),'Council Entry'!AS$8),'Council Entry'!AS112))))-'Council Entry'!AS$5)/('Council Entry'!AS$6-'Council Entry'!AS$5),10*((IF('Council Entry'!AS$4="Logarithm",LN(0.001+IF(AND(ISNUMBER('Council Entry'!AS$8),ISNUMBER('Council Entry'!AS$9)),MAX(MIN('Council Entry'!AS112,'Council Entry'!AS$9),'Council Entry'!AS$8),'Council Entry'!AS112)),IF('Council Entry'!AS$4="Exponential",EXP(IF(AND(ISNUMBER('Council Entry'!AS$8),ISNUMBER('Council Entry'!AS$9)),MAX(MIN('Council Entry'!AS112,'Council Entry'!AS$9),'Council Entry'!AS$8),'Council Entry'!AS112)),IF(AND(ISNUMBER('Council Entry'!AS$8),ISNUMBER('Council Entry'!AS$9)),MAX(MIN('Council Entry'!AS112,'Council Entry'!AS$9),'Council Entry'!AS$8),'Council Entry'!AS112))))-'Council Entry'!AS$5)/('Council Entry'!AS$6-'Council Entry'!AS$5)),1))),"No data"))</f>
        <v/>
      </c>
      <c r="AT112" s="13">
        <f>IF('Council Entry'!AT112="","",IFERROR(MAX(0,MIN(10,ROUND(IF('Council Entry'!AT$7="Decrease Risk",10-10*((IF('Council Entry'!AT$4="Logarithm",LN(0.001+IF(AND(ISNUMBER('Council Entry'!AT$8),ISNUMBER('Council Entry'!AT$9)),MAX(MIN('Council Entry'!AT112,'Council Entry'!AT$9),'Council Entry'!AT$8),'Council Entry'!AT112)),IF('Council Entry'!AT$4="Exponential",EXP(IF(AND(ISNUMBER('Council Entry'!AT$8),ISNUMBER('Council Entry'!AT$9)),MAX(MIN('Council Entry'!AT112,'Council Entry'!AT$9),'Council Entry'!AT$8),'Council Entry'!AT112)),IF(AND(ISNUMBER('Council Entry'!AT$8),ISNUMBER('Council Entry'!AT$9)),MAX(MIN('Council Entry'!AT112,'Council Entry'!AT$9),'Council Entry'!AT$8),'Council Entry'!AT112))))-'Council Entry'!AT$5)/('Council Entry'!AT$6-'Council Entry'!AT$5),10*((IF('Council Entry'!AT$4="Logarithm",LN(0.001+IF(AND(ISNUMBER('Council Entry'!AT$8),ISNUMBER('Council Entry'!AT$9)),MAX(MIN('Council Entry'!AT112,'Council Entry'!AT$9),'Council Entry'!AT$8),'Council Entry'!AT112)),IF('Council Entry'!AT$4="Exponential",EXP(IF(AND(ISNUMBER('Council Entry'!AT$8),ISNUMBER('Council Entry'!AT$9)),MAX(MIN('Council Entry'!AT112,'Council Entry'!AT$9),'Council Entry'!AT$8),'Council Entry'!AT112)),IF(AND(ISNUMBER('Council Entry'!AT$8),ISNUMBER('Council Entry'!AT$9)),MAX(MIN('Council Entry'!AT112,'Council Entry'!AT$9),'Council Entry'!AT$8),'Council Entry'!AT112))))-'Council Entry'!AT$5)/('Council Entry'!AT$6-'Council Entry'!AT$5)),1))),"No data"))</f>
        <v/>
      </c>
      <c r="AU112" s="13">
        <f>IF('Council Entry'!AU112="","",IFERROR(MAX(0,MIN(10,ROUND(IF('Council Entry'!AU$7="Decrease Risk",10-10*((IF('Council Entry'!AU$4="Logarithm",LN(0.001+IF(AND(ISNUMBER('Council Entry'!AU$8),ISNUMBER('Council Entry'!AU$9)),MAX(MIN('Council Entry'!AU112,'Council Entry'!AU$9),'Council Entry'!AU$8),'Council Entry'!AU112)),IF('Council Entry'!AU$4="Exponential",EXP(IF(AND(ISNUMBER('Council Entry'!AU$8),ISNUMBER('Council Entry'!AU$9)),MAX(MIN('Council Entry'!AU112,'Council Entry'!AU$9),'Council Entry'!AU$8),'Council Entry'!AU112)),IF(AND(ISNUMBER('Council Entry'!AU$8),ISNUMBER('Council Entry'!AU$9)),MAX(MIN('Council Entry'!AU112,'Council Entry'!AU$9),'Council Entry'!AU$8),'Council Entry'!AU112))))-'Council Entry'!AU$5)/('Council Entry'!AU$6-'Council Entry'!AU$5),10*((IF('Council Entry'!AU$4="Logarithm",LN(0.001+IF(AND(ISNUMBER('Council Entry'!AU$8),ISNUMBER('Council Entry'!AU$9)),MAX(MIN('Council Entry'!AU112,'Council Entry'!AU$9),'Council Entry'!AU$8),'Council Entry'!AU112)),IF('Council Entry'!AU$4="Exponential",EXP(IF(AND(ISNUMBER('Council Entry'!AU$8),ISNUMBER('Council Entry'!AU$9)),MAX(MIN('Council Entry'!AU112,'Council Entry'!AU$9),'Council Entry'!AU$8),'Council Entry'!AU112)),IF(AND(ISNUMBER('Council Entry'!AU$8),ISNUMBER('Council Entry'!AU$9)),MAX(MIN('Council Entry'!AU112,'Council Entry'!AU$9),'Council Entry'!AU$8),'Council Entry'!AU112))))-'Council Entry'!AU$5)/('Council Entry'!AU$6-'Council Entry'!AU$5)),1))),"No data"))</f>
        <v/>
      </c>
      <c r="AV112" s="13">
        <f>IF('Council Entry'!AV112="","",IFERROR(MAX(0,MIN(10,ROUND(IF('Council Entry'!AV$7="Decrease Risk",10-10*((IF('Council Entry'!AV$4="Logarithm",LN(0.001+IF(AND(ISNUMBER('Council Entry'!AV$8),ISNUMBER('Council Entry'!AV$9)),MAX(MIN('Council Entry'!AV112,'Council Entry'!AV$9),'Council Entry'!AV$8),'Council Entry'!AV112)),IF('Council Entry'!AV$4="Exponential",EXP(IF(AND(ISNUMBER('Council Entry'!AV$8),ISNUMBER('Council Entry'!AV$9)),MAX(MIN('Council Entry'!AV112,'Council Entry'!AV$9),'Council Entry'!AV$8),'Council Entry'!AV112)),IF(AND(ISNUMBER('Council Entry'!AV$8),ISNUMBER('Council Entry'!AV$9)),MAX(MIN('Council Entry'!AV112,'Council Entry'!AV$9),'Council Entry'!AV$8),'Council Entry'!AV112))))-'Council Entry'!AV$5)/('Council Entry'!AV$6-'Council Entry'!AV$5),10*((IF('Council Entry'!AV$4="Logarithm",LN(0.001+IF(AND(ISNUMBER('Council Entry'!AV$8),ISNUMBER('Council Entry'!AV$9)),MAX(MIN('Council Entry'!AV112,'Council Entry'!AV$9),'Council Entry'!AV$8),'Council Entry'!AV112)),IF('Council Entry'!AV$4="Exponential",EXP(IF(AND(ISNUMBER('Council Entry'!AV$8),ISNUMBER('Council Entry'!AV$9)),MAX(MIN('Council Entry'!AV112,'Council Entry'!AV$9),'Council Entry'!AV$8),'Council Entry'!AV112)),IF(AND(ISNUMBER('Council Entry'!AV$8),ISNUMBER('Council Entry'!AV$9)),MAX(MIN('Council Entry'!AV112,'Council Entry'!AV$9),'Council Entry'!AV$8),'Council Entry'!AV112))))-'Council Entry'!AV$5)/('Council Entry'!AV$6-'Council Entry'!AV$5)),1))),"No data"))</f>
        <v/>
      </c>
      <c r="AW112" s="13">
        <f>IF('Council Entry'!AW112="","",IFERROR(MAX(0,MIN(10,ROUND(IF('Council Entry'!AW$7="Decrease Risk",10-10*((IF('Council Entry'!AW$4="Logarithm",LN(0.001+IF(AND(ISNUMBER('Council Entry'!AW$8),ISNUMBER('Council Entry'!AW$9)),MAX(MIN('Council Entry'!AW112,'Council Entry'!AW$9),'Council Entry'!AW$8),'Council Entry'!AW112)),IF('Council Entry'!AW$4="Exponential",EXP(IF(AND(ISNUMBER('Council Entry'!AW$8),ISNUMBER('Council Entry'!AW$9)),MAX(MIN('Council Entry'!AW112,'Council Entry'!AW$9),'Council Entry'!AW$8),'Council Entry'!AW112)),IF(AND(ISNUMBER('Council Entry'!AW$8),ISNUMBER('Council Entry'!AW$9)),MAX(MIN('Council Entry'!AW112,'Council Entry'!AW$9),'Council Entry'!AW$8),'Council Entry'!AW112))))-'Council Entry'!AW$5)/('Council Entry'!AW$6-'Council Entry'!AW$5),10*((IF('Council Entry'!AW$4="Logarithm",LN(0.001+IF(AND(ISNUMBER('Council Entry'!AW$8),ISNUMBER('Council Entry'!AW$9)),MAX(MIN('Council Entry'!AW112,'Council Entry'!AW$9),'Council Entry'!AW$8),'Council Entry'!AW112)),IF('Council Entry'!AW$4="Exponential",EXP(IF(AND(ISNUMBER('Council Entry'!AW$8),ISNUMBER('Council Entry'!AW$9)),MAX(MIN('Council Entry'!AW112,'Council Entry'!AW$9),'Council Entry'!AW$8),'Council Entry'!AW112)),IF(AND(ISNUMBER('Council Entry'!AW$8),ISNUMBER('Council Entry'!AW$9)),MAX(MIN('Council Entry'!AW112,'Council Entry'!AW$9),'Council Entry'!AW$8),'Council Entry'!AW112))))-'Council Entry'!AW$5)/('Council Entry'!AW$6-'Council Entry'!AW$5)),1))),"No data"))</f>
        <v/>
      </c>
      <c r="AX112" s="13">
        <f>IF('Council Entry'!AX112="","",IFERROR(MAX(0,MIN(10,ROUND(IF('Council Entry'!AX$7="Decrease Risk",10-10*((IF('Council Entry'!AX$4="Logarithm",LN(0.001+IF(AND(ISNUMBER('Council Entry'!AX$8),ISNUMBER('Council Entry'!AX$9)),MAX(MIN('Council Entry'!AX112,'Council Entry'!AX$9),'Council Entry'!AX$8),'Council Entry'!AX112)),IF('Council Entry'!AX$4="Exponential",EXP(IF(AND(ISNUMBER('Council Entry'!AX$8),ISNUMBER('Council Entry'!AX$9)),MAX(MIN('Council Entry'!AX112,'Council Entry'!AX$9),'Council Entry'!AX$8),'Council Entry'!AX112)),IF(AND(ISNUMBER('Council Entry'!AX$8),ISNUMBER('Council Entry'!AX$9)),MAX(MIN('Council Entry'!AX112,'Council Entry'!AX$9),'Council Entry'!AX$8),'Council Entry'!AX112))))-'Council Entry'!AX$5)/('Council Entry'!AX$6-'Council Entry'!AX$5),10*((IF('Council Entry'!AX$4="Logarithm",LN(0.001+IF(AND(ISNUMBER('Council Entry'!AX$8),ISNUMBER('Council Entry'!AX$9)),MAX(MIN('Council Entry'!AX112,'Council Entry'!AX$9),'Council Entry'!AX$8),'Council Entry'!AX112)),IF('Council Entry'!AX$4="Exponential",EXP(IF(AND(ISNUMBER('Council Entry'!AX$8),ISNUMBER('Council Entry'!AX$9)),MAX(MIN('Council Entry'!AX112,'Council Entry'!AX$9),'Council Entry'!AX$8),'Council Entry'!AX112)),IF(AND(ISNUMBER('Council Entry'!AX$8),ISNUMBER('Council Entry'!AX$9)),MAX(MIN('Council Entry'!AX112,'Council Entry'!AX$9),'Council Entry'!AX$8),'Council Entry'!AX112))))-'Council Entry'!AX$5)/('Council Entry'!AX$6-'Council Entry'!AX$5)),1))),"No data"))</f>
        <v/>
      </c>
      <c r="AY112" s="13">
        <f>IF('Council Entry'!AY112="","",IFERROR(MAX(0,MIN(10,ROUND(IF('Council Entry'!AY$7="Decrease Risk",10-10*((IF('Council Entry'!AY$4="Logarithm",LN(0.001+IF(AND(ISNUMBER('Council Entry'!AY$8),ISNUMBER('Council Entry'!AY$9)),MAX(MIN('Council Entry'!AY112,'Council Entry'!AY$9),'Council Entry'!AY$8),'Council Entry'!AY112)),IF('Council Entry'!AY$4="Exponential",EXP(IF(AND(ISNUMBER('Council Entry'!AY$8),ISNUMBER('Council Entry'!AY$9)),MAX(MIN('Council Entry'!AY112,'Council Entry'!AY$9),'Council Entry'!AY$8),'Council Entry'!AY112)),IF(AND(ISNUMBER('Council Entry'!AY$8),ISNUMBER('Council Entry'!AY$9)),MAX(MIN('Council Entry'!AY112,'Council Entry'!AY$9),'Council Entry'!AY$8),'Council Entry'!AY112))))-'Council Entry'!AY$5)/('Council Entry'!AY$6-'Council Entry'!AY$5),10*((IF('Council Entry'!AY$4="Logarithm",LN(0.001+IF(AND(ISNUMBER('Council Entry'!AY$8),ISNUMBER('Council Entry'!AY$9)),MAX(MIN('Council Entry'!AY112,'Council Entry'!AY$9),'Council Entry'!AY$8),'Council Entry'!AY112)),IF('Council Entry'!AY$4="Exponential",EXP(IF(AND(ISNUMBER('Council Entry'!AY$8),ISNUMBER('Council Entry'!AY$9)),MAX(MIN('Council Entry'!AY112,'Council Entry'!AY$9),'Council Entry'!AY$8),'Council Entry'!AY112)),IF(AND(ISNUMBER('Council Entry'!AY$8),ISNUMBER('Council Entry'!AY$9)),MAX(MIN('Council Entry'!AY112,'Council Entry'!AY$9),'Council Entry'!AY$8),'Council Entry'!AY112))))-'Council Entry'!AY$5)/('Council Entry'!AY$6-'Council Entry'!AY$5)),1))),"No data"))</f>
        <v/>
      </c>
      <c r="AZ112" s="13">
        <f>IF('Council Entry'!AZ112="","",IFERROR(MAX(0,MIN(10,ROUND(IF('Council Entry'!AZ$7="Decrease Risk",10-10*((IF('Council Entry'!AZ$4="Logarithm",LN(0.001+IF(AND(ISNUMBER('Council Entry'!AZ$8),ISNUMBER('Council Entry'!AZ$9)),MAX(MIN('Council Entry'!AZ112,'Council Entry'!AZ$9),'Council Entry'!AZ$8),'Council Entry'!AZ112)),IF('Council Entry'!AZ$4="Exponential",EXP(IF(AND(ISNUMBER('Council Entry'!AZ$8),ISNUMBER('Council Entry'!AZ$9)),MAX(MIN('Council Entry'!AZ112,'Council Entry'!AZ$9),'Council Entry'!AZ$8),'Council Entry'!AZ112)),IF(AND(ISNUMBER('Council Entry'!AZ$8),ISNUMBER('Council Entry'!AZ$9)),MAX(MIN('Council Entry'!AZ112,'Council Entry'!AZ$9),'Council Entry'!AZ$8),'Council Entry'!AZ112))))-'Council Entry'!AZ$5)/('Council Entry'!AZ$6-'Council Entry'!AZ$5),10*((IF('Council Entry'!AZ$4="Logarithm",LN(0.001+IF(AND(ISNUMBER('Council Entry'!AZ$8),ISNUMBER('Council Entry'!AZ$9)),MAX(MIN('Council Entry'!AZ112,'Council Entry'!AZ$9),'Council Entry'!AZ$8),'Council Entry'!AZ112)),IF('Council Entry'!AZ$4="Exponential",EXP(IF(AND(ISNUMBER('Council Entry'!AZ$8),ISNUMBER('Council Entry'!AZ$9)),MAX(MIN('Council Entry'!AZ112,'Council Entry'!AZ$9),'Council Entry'!AZ$8),'Council Entry'!AZ112)),IF(AND(ISNUMBER('Council Entry'!AZ$8),ISNUMBER('Council Entry'!AZ$9)),MAX(MIN('Council Entry'!AZ112,'Council Entry'!AZ$9),'Council Entry'!AZ$8),'Council Entry'!AZ112))))-'Council Entry'!AZ$5)/('Council Entry'!AZ$6-'Council Entry'!AZ$5)),1))),"No data"))</f>
        <v/>
      </c>
      <c r="BA112" s="13">
        <f>IF('Council Entry'!BA112="","",IFERROR(MAX(0,MIN(10,ROUND(IF('Council Entry'!BA$7="Decrease Risk",10-10*((IF('Council Entry'!BA$4="Logarithm",LN(0.001+IF(AND(ISNUMBER('Council Entry'!BA$8),ISNUMBER('Council Entry'!BA$9)),MAX(MIN('Council Entry'!BA112,'Council Entry'!BA$9),'Council Entry'!BA$8),'Council Entry'!BA112)),IF('Council Entry'!BA$4="Exponential",EXP(IF(AND(ISNUMBER('Council Entry'!BA$8),ISNUMBER('Council Entry'!BA$9)),MAX(MIN('Council Entry'!BA112,'Council Entry'!BA$9),'Council Entry'!BA$8),'Council Entry'!BA112)),IF(AND(ISNUMBER('Council Entry'!BA$8),ISNUMBER('Council Entry'!BA$9)),MAX(MIN('Council Entry'!BA112,'Council Entry'!BA$9),'Council Entry'!BA$8),'Council Entry'!BA112))))-'Council Entry'!BA$5)/('Council Entry'!BA$6-'Council Entry'!BA$5),10*((IF('Council Entry'!BA$4="Logarithm",LN(0.001+IF(AND(ISNUMBER('Council Entry'!BA$8),ISNUMBER('Council Entry'!BA$9)),MAX(MIN('Council Entry'!BA112,'Council Entry'!BA$9),'Council Entry'!BA$8),'Council Entry'!BA112)),IF('Council Entry'!BA$4="Exponential",EXP(IF(AND(ISNUMBER('Council Entry'!BA$8),ISNUMBER('Council Entry'!BA$9)),MAX(MIN('Council Entry'!BA112,'Council Entry'!BA$9),'Council Entry'!BA$8),'Council Entry'!BA112)),IF(AND(ISNUMBER('Council Entry'!BA$8),ISNUMBER('Council Entry'!BA$9)),MAX(MIN('Council Entry'!BA112,'Council Entry'!BA$9),'Council Entry'!BA$8),'Council Entry'!BA112))))-'Council Entry'!BA$5)/('Council Entry'!BA$6-'Council Entry'!BA$5)),1))),"No data"))</f>
        <v/>
      </c>
      <c r="BB112" s="13">
        <f>IF('Council Entry'!BB112="","",IFERROR(MAX(0,MIN(10,ROUND(IF('Council Entry'!BB$7="Decrease Risk",10-10*((IF('Council Entry'!BB$4="Logarithm",LN(0.001+IF(AND(ISNUMBER('Council Entry'!BB$8),ISNUMBER('Council Entry'!BB$9)),MAX(MIN('Council Entry'!BB112,'Council Entry'!BB$9),'Council Entry'!BB$8),'Council Entry'!BB112)),IF('Council Entry'!BB$4="Exponential",EXP(IF(AND(ISNUMBER('Council Entry'!BB$8),ISNUMBER('Council Entry'!BB$9)),MAX(MIN('Council Entry'!BB112,'Council Entry'!BB$9),'Council Entry'!BB$8),'Council Entry'!BB112)),IF(AND(ISNUMBER('Council Entry'!BB$8),ISNUMBER('Council Entry'!BB$9)),MAX(MIN('Council Entry'!BB112,'Council Entry'!BB$9),'Council Entry'!BB$8),'Council Entry'!BB112))))-'Council Entry'!BB$5)/('Council Entry'!BB$6-'Council Entry'!BB$5),10*((IF('Council Entry'!BB$4="Logarithm",LN(0.001+IF(AND(ISNUMBER('Council Entry'!BB$8),ISNUMBER('Council Entry'!BB$9)),MAX(MIN('Council Entry'!BB112,'Council Entry'!BB$9),'Council Entry'!BB$8),'Council Entry'!BB112)),IF('Council Entry'!BB$4="Exponential",EXP(IF(AND(ISNUMBER('Council Entry'!BB$8),ISNUMBER('Council Entry'!BB$9)),MAX(MIN('Council Entry'!BB112,'Council Entry'!BB$9),'Council Entry'!BB$8),'Council Entry'!BB112)),IF(AND(ISNUMBER('Council Entry'!BB$8),ISNUMBER('Council Entry'!BB$9)),MAX(MIN('Council Entry'!BB112,'Council Entry'!BB$9),'Council Entry'!BB$8),'Council Entry'!BB112))))-'Council Entry'!BB$5)/('Council Entry'!BB$6-'Council Entry'!BB$5)),1))),"No data"))</f>
        <v/>
      </c>
      <c r="BC112" s="13">
        <f>IF('Council Entry'!BC112="","",IFERROR(MAX(0,MIN(10,ROUND(IF('Council Entry'!BC$7="Decrease Risk",10-10*((IF('Council Entry'!BC$4="Logarithm",LN(0.001+IF(AND(ISNUMBER('Council Entry'!BC$8),ISNUMBER('Council Entry'!BC$9)),MAX(MIN('Council Entry'!BC112,'Council Entry'!BC$9),'Council Entry'!BC$8),'Council Entry'!BC112)),IF('Council Entry'!BC$4="Exponential",EXP(IF(AND(ISNUMBER('Council Entry'!BC$8),ISNUMBER('Council Entry'!BC$9)),MAX(MIN('Council Entry'!BC112,'Council Entry'!BC$9),'Council Entry'!BC$8),'Council Entry'!BC112)),IF(AND(ISNUMBER('Council Entry'!BC$8),ISNUMBER('Council Entry'!BC$9)),MAX(MIN('Council Entry'!BC112,'Council Entry'!BC$9),'Council Entry'!BC$8),'Council Entry'!BC112))))-'Council Entry'!BC$5)/('Council Entry'!BC$6-'Council Entry'!BC$5),10*((IF('Council Entry'!BC$4="Logarithm",LN(0.001+IF(AND(ISNUMBER('Council Entry'!BC$8),ISNUMBER('Council Entry'!BC$9)),MAX(MIN('Council Entry'!BC112,'Council Entry'!BC$9),'Council Entry'!BC$8),'Council Entry'!BC112)),IF('Council Entry'!BC$4="Exponential",EXP(IF(AND(ISNUMBER('Council Entry'!BC$8),ISNUMBER('Council Entry'!BC$9)),MAX(MIN('Council Entry'!BC112,'Council Entry'!BC$9),'Council Entry'!BC$8),'Council Entry'!BC112)),IF(AND(ISNUMBER('Council Entry'!BC$8),ISNUMBER('Council Entry'!BC$9)),MAX(MIN('Council Entry'!BC112,'Council Entry'!BC$9),'Council Entry'!BC$8),'Council Entry'!BC112))))-'Council Entry'!BC$5)/('Council Entry'!BC$6-'Council Entry'!BC$5)),1))),"No data"))</f>
        <v/>
      </c>
      <c r="BD112" s="13">
        <f>IF('Council Entry'!BD112="","",IFERROR(MAX(0,MIN(10,ROUND(IF('Council Entry'!BD$7="Decrease Risk",10-10*((IF('Council Entry'!BD$4="Logarithm",LN(0.001+IF(AND(ISNUMBER('Council Entry'!BD$8),ISNUMBER('Council Entry'!BD$9)),MAX(MIN('Council Entry'!BD112,'Council Entry'!BD$9),'Council Entry'!BD$8),'Council Entry'!BD112)),IF('Council Entry'!BD$4="Exponential",EXP(IF(AND(ISNUMBER('Council Entry'!BD$8),ISNUMBER('Council Entry'!BD$9)),MAX(MIN('Council Entry'!BD112,'Council Entry'!BD$9),'Council Entry'!BD$8),'Council Entry'!BD112)),IF(AND(ISNUMBER('Council Entry'!BD$8),ISNUMBER('Council Entry'!BD$9)),MAX(MIN('Council Entry'!BD112,'Council Entry'!BD$9),'Council Entry'!BD$8),'Council Entry'!BD112))))-'Council Entry'!BD$5)/('Council Entry'!BD$6-'Council Entry'!BD$5),10*((IF('Council Entry'!BD$4="Logarithm",LN(0.001+IF(AND(ISNUMBER('Council Entry'!BD$8),ISNUMBER('Council Entry'!BD$9)),MAX(MIN('Council Entry'!BD112,'Council Entry'!BD$9),'Council Entry'!BD$8),'Council Entry'!BD112)),IF('Council Entry'!BD$4="Exponential",EXP(IF(AND(ISNUMBER('Council Entry'!BD$8),ISNUMBER('Council Entry'!BD$9)),MAX(MIN('Council Entry'!BD112,'Council Entry'!BD$9),'Council Entry'!BD$8),'Council Entry'!BD112)),IF(AND(ISNUMBER('Council Entry'!BD$8),ISNUMBER('Council Entry'!BD$9)),MAX(MIN('Council Entry'!BD112,'Council Entry'!BD$9),'Council Entry'!BD$8),'Council Entry'!BD112))))-'Council Entry'!BD$5)/('Council Entry'!BD$6-'Council Entry'!BD$5)),1))),"No data"))</f>
        <v/>
      </c>
    </row>
    <row r="113">
      <c r="A113" t="inlineStr">
        <is>
          <t>Morogoro</t>
        </is>
      </c>
      <c r="B113" t="inlineStr">
        <is>
          <t>Malinyi District</t>
        </is>
      </c>
      <c r="C113" t="inlineStr">
        <is>
          <t>C040</t>
        </is>
      </c>
      <c r="D113" s="13">
        <f>IF('Council Entry'!D113="","",IFERROR(MAX(0,MIN(10,ROUND(IF('Council Entry'!D$7="Decrease Risk",10-10*((IF('Council Entry'!D$4="Logarithm",LN(0.001+IF(AND(ISNUMBER('Council Entry'!D$8),ISNUMBER('Council Entry'!D$9)),MAX(MIN('Council Entry'!D113,'Council Entry'!D$9),'Council Entry'!D$8),'Council Entry'!D113)),IF('Council Entry'!D$4="Exponential",EXP(IF(AND(ISNUMBER('Council Entry'!D$8),ISNUMBER('Council Entry'!D$9)),MAX(MIN('Council Entry'!D113,'Council Entry'!D$9),'Council Entry'!D$8),'Council Entry'!D113)),IF(AND(ISNUMBER('Council Entry'!D$8),ISNUMBER('Council Entry'!D$9)),MAX(MIN('Council Entry'!D113,'Council Entry'!D$9),'Council Entry'!D$8),'Council Entry'!D113))))-'Council Entry'!D$5)/('Council Entry'!D$6-'Council Entry'!D$5),10*((IF('Council Entry'!D$4="Logarithm",LN(0.001+IF(AND(ISNUMBER('Council Entry'!D$8),ISNUMBER('Council Entry'!D$9)),MAX(MIN('Council Entry'!D113,'Council Entry'!D$9),'Council Entry'!D$8),'Council Entry'!D113)),IF('Council Entry'!D$4="Exponential",EXP(IF(AND(ISNUMBER('Council Entry'!D$8),ISNUMBER('Council Entry'!D$9)),MAX(MIN('Council Entry'!D113,'Council Entry'!D$9),'Council Entry'!D$8),'Council Entry'!D113)),IF(AND(ISNUMBER('Council Entry'!D$8),ISNUMBER('Council Entry'!D$9)),MAX(MIN('Council Entry'!D113,'Council Entry'!D$9),'Council Entry'!D$8),'Council Entry'!D113))))-'Council Entry'!D$5)/('Council Entry'!D$6-'Council Entry'!D$5)),1))),"No data"))</f>
        <v/>
      </c>
      <c r="E113" s="13">
        <f>IF('Council Entry'!E113="","",IFERROR(MAX(0,MIN(10,ROUND(IF('Council Entry'!E$7="Decrease Risk",10-10*((IF('Council Entry'!E$4="Logarithm",LN(0.001+IF(AND(ISNUMBER('Council Entry'!E$8),ISNUMBER('Council Entry'!E$9)),MAX(MIN('Council Entry'!E113,'Council Entry'!E$9),'Council Entry'!E$8),'Council Entry'!E113)),IF('Council Entry'!E$4="Exponential",EXP(IF(AND(ISNUMBER('Council Entry'!E$8),ISNUMBER('Council Entry'!E$9)),MAX(MIN('Council Entry'!E113,'Council Entry'!E$9),'Council Entry'!E$8),'Council Entry'!E113)),IF(AND(ISNUMBER('Council Entry'!E$8),ISNUMBER('Council Entry'!E$9)),MAX(MIN('Council Entry'!E113,'Council Entry'!E$9),'Council Entry'!E$8),'Council Entry'!E113))))-'Council Entry'!E$5)/('Council Entry'!E$6-'Council Entry'!E$5),10*((IF('Council Entry'!E$4="Logarithm",LN(0.001+IF(AND(ISNUMBER('Council Entry'!E$8),ISNUMBER('Council Entry'!E$9)),MAX(MIN('Council Entry'!E113,'Council Entry'!E$9),'Council Entry'!E$8),'Council Entry'!E113)),IF('Council Entry'!E$4="Exponential",EXP(IF(AND(ISNUMBER('Council Entry'!E$8),ISNUMBER('Council Entry'!E$9)),MAX(MIN('Council Entry'!E113,'Council Entry'!E$9),'Council Entry'!E$8),'Council Entry'!E113)),IF(AND(ISNUMBER('Council Entry'!E$8),ISNUMBER('Council Entry'!E$9)),MAX(MIN('Council Entry'!E113,'Council Entry'!E$9),'Council Entry'!E$8),'Council Entry'!E113))))-'Council Entry'!E$5)/('Council Entry'!E$6-'Council Entry'!E$5)),1))),"No data"))</f>
        <v/>
      </c>
      <c r="F113" s="13">
        <f>IF('Council Entry'!F113="","",IFERROR(MAX(0,MIN(10,ROUND(IF('Council Entry'!F$7="Decrease Risk",10-10*((IF('Council Entry'!F$4="Logarithm",LN(0.001+IF(AND(ISNUMBER('Council Entry'!F$8),ISNUMBER('Council Entry'!F$9)),MAX(MIN('Council Entry'!F113,'Council Entry'!F$9),'Council Entry'!F$8),'Council Entry'!F113)),IF('Council Entry'!F$4="Exponential",EXP(IF(AND(ISNUMBER('Council Entry'!F$8),ISNUMBER('Council Entry'!F$9)),MAX(MIN('Council Entry'!F113,'Council Entry'!F$9),'Council Entry'!F$8),'Council Entry'!F113)),IF(AND(ISNUMBER('Council Entry'!F$8),ISNUMBER('Council Entry'!F$9)),MAX(MIN('Council Entry'!F113,'Council Entry'!F$9),'Council Entry'!F$8),'Council Entry'!F113))))-'Council Entry'!F$5)/('Council Entry'!F$6-'Council Entry'!F$5),10*((IF('Council Entry'!F$4="Logarithm",LN(0.001+IF(AND(ISNUMBER('Council Entry'!F$8),ISNUMBER('Council Entry'!F$9)),MAX(MIN('Council Entry'!F113,'Council Entry'!F$9),'Council Entry'!F$8),'Council Entry'!F113)),IF('Council Entry'!F$4="Exponential",EXP(IF(AND(ISNUMBER('Council Entry'!F$8),ISNUMBER('Council Entry'!F$9)),MAX(MIN('Council Entry'!F113,'Council Entry'!F$9),'Council Entry'!F$8),'Council Entry'!F113)),IF(AND(ISNUMBER('Council Entry'!F$8),ISNUMBER('Council Entry'!F$9)),MAX(MIN('Council Entry'!F113,'Council Entry'!F$9),'Council Entry'!F$8),'Council Entry'!F113))))-'Council Entry'!F$5)/('Council Entry'!F$6-'Council Entry'!F$5)),1))),"No data"))</f>
        <v/>
      </c>
      <c r="G113" s="13">
        <f>IF('Council Entry'!G113="","",IFERROR(MAX(0,MIN(10,ROUND(IF('Council Entry'!G$7="Decrease Risk",10-10*((IF('Council Entry'!G$4="Logarithm",LN(0.001+IF(AND(ISNUMBER('Council Entry'!G$8),ISNUMBER('Council Entry'!G$9)),MAX(MIN('Council Entry'!G113,'Council Entry'!G$9),'Council Entry'!G$8),'Council Entry'!G113)),IF('Council Entry'!G$4="Exponential",EXP(IF(AND(ISNUMBER('Council Entry'!G$8),ISNUMBER('Council Entry'!G$9)),MAX(MIN('Council Entry'!G113,'Council Entry'!G$9),'Council Entry'!G$8),'Council Entry'!G113)),IF(AND(ISNUMBER('Council Entry'!G$8),ISNUMBER('Council Entry'!G$9)),MAX(MIN('Council Entry'!G113,'Council Entry'!G$9),'Council Entry'!G$8),'Council Entry'!G113))))-'Council Entry'!G$5)/('Council Entry'!G$6-'Council Entry'!G$5),10*((IF('Council Entry'!G$4="Logarithm",LN(0.001+IF(AND(ISNUMBER('Council Entry'!G$8),ISNUMBER('Council Entry'!G$9)),MAX(MIN('Council Entry'!G113,'Council Entry'!G$9),'Council Entry'!G$8),'Council Entry'!G113)),IF('Council Entry'!G$4="Exponential",EXP(IF(AND(ISNUMBER('Council Entry'!G$8),ISNUMBER('Council Entry'!G$9)),MAX(MIN('Council Entry'!G113,'Council Entry'!G$9),'Council Entry'!G$8),'Council Entry'!G113)),IF(AND(ISNUMBER('Council Entry'!G$8),ISNUMBER('Council Entry'!G$9)),MAX(MIN('Council Entry'!G113,'Council Entry'!G$9),'Council Entry'!G$8),'Council Entry'!G113))))-'Council Entry'!G$5)/('Council Entry'!G$6-'Council Entry'!G$5)),1))),"No data"))</f>
        <v/>
      </c>
      <c r="H113" s="13">
        <f>IF('Council Entry'!H113="","",IFERROR(MAX(0,MIN(10,ROUND(IF('Council Entry'!H$7="Decrease Risk",10-10*((IF('Council Entry'!H$4="Logarithm",LN(0.001+IF(AND(ISNUMBER('Council Entry'!H$8),ISNUMBER('Council Entry'!H$9)),MAX(MIN('Council Entry'!H113,'Council Entry'!H$9),'Council Entry'!H$8),'Council Entry'!H113)),IF('Council Entry'!H$4="Exponential",EXP(IF(AND(ISNUMBER('Council Entry'!H$8),ISNUMBER('Council Entry'!H$9)),MAX(MIN('Council Entry'!H113,'Council Entry'!H$9),'Council Entry'!H$8),'Council Entry'!H113)),IF(AND(ISNUMBER('Council Entry'!H$8),ISNUMBER('Council Entry'!H$9)),MAX(MIN('Council Entry'!H113,'Council Entry'!H$9),'Council Entry'!H$8),'Council Entry'!H113))))-'Council Entry'!H$5)/('Council Entry'!H$6-'Council Entry'!H$5),10*((IF('Council Entry'!H$4="Logarithm",LN(0.001+IF(AND(ISNUMBER('Council Entry'!H$8),ISNUMBER('Council Entry'!H$9)),MAX(MIN('Council Entry'!H113,'Council Entry'!H$9),'Council Entry'!H$8),'Council Entry'!H113)),IF('Council Entry'!H$4="Exponential",EXP(IF(AND(ISNUMBER('Council Entry'!H$8),ISNUMBER('Council Entry'!H$9)),MAX(MIN('Council Entry'!H113,'Council Entry'!H$9),'Council Entry'!H$8),'Council Entry'!H113)),IF(AND(ISNUMBER('Council Entry'!H$8),ISNUMBER('Council Entry'!H$9)),MAX(MIN('Council Entry'!H113,'Council Entry'!H$9),'Council Entry'!H$8),'Council Entry'!H113))))-'Council Entry'!H$5)/('Council Entry'!H$6-'Council Entry'!H$5)),1))),"No data"))</f>
        <v/>
      </c>
      <c r="I113" s="13">
        <f>IF('Council Entry'!I113="","",IFERROR(MAX(0,MIN(10,ROUND(IF('Council Entry'!I$7="Decrease Risk",10-10*((IF('Council Entry'!I$4="Logarithm",LN(0.001+IF(AND(ISNUMBER('Council Entry'!I$8),ISNUMBER('Council Entry'!I$9)),MAX(MIN('Council Entry'!I113,'Council Entry'!I$9),'Council Entry'!I$8),'Council Entry'!I113)),IF('Council Entry'!I$4="Exponential",EXP(IF(AND(ISNUMBER('Council Entry'!I$8),ISNUMBER('Council Entry'!I$9)),MAX(MIN('Council Entry'!I113,'Council Entry'!I$9),'Council Entry'!I$8),'Council Entry'!I113)),IF(AND(ISNUMBER('Council Entry'!I$8),ISNUMBER('Council Entry'!I$9)),MAX(MIN('Council Entry'!I113,'Council Entry'!I$9),'Council Entry'!I$8),'Council Entry'!I113))))-'Council Entry'!I$5)/('Council Entry'!I$6-'Council Entry'!I$5),10*((IF('Council Entry'!I$4="Logarithm",LN(0.001+IF(AND(ISNUMBER('Council Entry'!I$8),ISNUMBER('Council Entry'!I$9)),MAX(MIN('Council Entry'!I113,'Council Entry'!I$9),'Council Entry'!I$8),'Council Entry'!I113)),IF('Council Entry'!I$4="Exponential",EXP(IF(AND(ISNUMBER('Council Entry'!I$8),ISNUMBER('Council Entry'!I$9)),MAX(MIN('Council Entry'!I113,'Council Entry'!I$9),'Council Entry'!I$8),'Council Entry'!I113)),IF(AND(ISNUMBER('Council Entry'!I$8),ISNUMBER('Council Entry'!I$9)),MAX(MIN('Council Entry'!I113,'Council Entry'!I$9),'Council Entry'!I$8),'Council Entry'!I113))))-'Council Entry'!I$5)/('Council Entry'!I$6-'Council Entry'!I$5)),1))),"No data"))</f>
        <v/>
      </c>
      <c r="J113" s="13">
        <f>IF('Council Entry'!J113="","",IFERROR(MAX(0,MIN(10,ROUND(IF('Council Entry'!J$7="Decrease Risk",10-10*((IF('Council Entry'!J$4="Logarithm",LN(0.001+IF(AND(ISNUMBER('Council Entry'!J$8),ISNUMBER('Council Entry'!J$9)),MAX(MIN('Council Entry'!J113,'Council Entry'!J$9),'Council Entry'!J$8),'Council Entry'!J113)),IF('Council Entry'!J$4="Exponential",EXP(IF(AND(ISNUMBER('Council Entry'!J$8),ISNUMBER('Council Entry'!J$9)),MAX(MIN('Council Entry'!J113,'Council Entry'!J$9),'Council Entry'!J$8),'Council Entry'!J113)),IF(AND(ISNUMBER('Council Entry'!J$8),ISNUMBER('Council Entry'!J$9)),MAX(MIN('Council Entry'!J113,'Council Entry'!J$9),'Council Entry'!J$8),'Council Entry'!J113))))-'Council Entry'!J$5)/('Council Entry'!J$6-'Council Entry'!J$5),10*((IF('Council Entry'!J$4="Logarithm",LN(0.001+IF(AND(ISNUMBER('Council Entry'!J$8),ISNUMBER('Council Entry'!J$9)),MAX(MIN('Council Entry'!J113,'Council Entry'!J$9),'Council Entry'!J$8),'Council Entry'!J113)),IF('Council Entry'!J$4="Exponential",EXP(IF(AND(ISNUMBER('Council Entry'!J$8),ISNUMBER('Council Entry'!J$9)),MAX(MIN('Council Entry'!J113,'Council Entry'!J$9),'Council Entry'!J$8),'Council Entry'!J113)),IF(AND(ISNUMBER('Council Entry'!J$8),ISNUMBER('Council Entry'!J$9)),MAX(MIN('Council Entry'!J113,'Council Entry'!J$9),'Council Entry'!J$8),'Council Entry'!J113))))-'Council Entry'!J$5)/('Council Entry'!J$6-'Council Entry'!J$5)),1))),"No data"))</f>
        <v/>
      </c>
      <c r="K113" s="13">
        <f>IF('Council Entry'!K113="","",IFERROR(MAX(0,MIN(10,ROUND(IF('Council Entry'!K$7="Decrease Risk",10-10*((IF('Council Entry'!K$4="Logarithm",LN(0.001+IF(AND(ISNUMBER('Council Entry'!K$8),ISNUMBER('Council Entry'!K$9)),MAX(MIN('Council Entry'!K113,'Council Entry'!K$9),'Council Entry'!K$8),'Council Entry'!K113)),IF('Council Entry'!K$4="Exponential",EXP(IF(AND(ISNUMBER('Council Entry'!K$8),ISNUMBER('Council Entry'!K$9)),MAX(MIN('Council Entry'!K113,'Council Entry'!K$9),'Council Entry'!K$8),'Council Entry'!K113)),IF(AND(ISNUMBER('Council Entry'!K$8),ISNUMBER('Council Entry'!K$9)),MAX(MIN('Council Entry'!K113,'Council Entry'!K$9),'Council Entry'!K$8),'Council Entry'!K113))))-'Council Entry'!K$5)/('Council Entry'!K$6-'Council Entry'!K$5),10*((IF('Council Entry'!K$4="Logarithm",LN(0.001+IF(AND(ISNUMBER('Council Entry'!K$8),ISNUMBER('Council Entry'!K$9)),MAX(MIN('Council Entry'!K113,'Council Entry'!K$9),'Council Entry'!K$8),'Council Entry'!K113)),IF('Council Entry'!K$4="Exponential",EXP(IF(AND(ISNUMBER('Council Entry'!K$8),ISNUMBER('Council Entry'!K$9)),MAX(MIN('Council Entry'!K113,'Council Entry'!K$9),'Council Entry'!K$8),'Council Entry'!K113)),IF(AND(ISNUMBER('Council Entry'!K$8),ISNUMBER('Council Entry'!K$9)),MAX(MIN('Council Entry'!K113,'Council Entry'!K$9),'Council Entry'!K$8),'Council Entry'!K113))))-'Council Entry'!K$5)/('Council Entry'!K$6-'Council Entry'!K$5)),1))),"No data"))</f>
        <v/>
      </c>
      <c r="L113" s="13">
        <f>IF('Council Entry'!L113="","",IFERROR(MAX(0,MIN(10,ROUND(IF('Council Entry'!L$7="Decrease Risk",10-10*((IF('Council Entry'!L$4="Logarithm",LN(0.001+IF(AND(ISNUMBER('Council Entry'!L$8),ISNUMBER('Council Entry'!L$9)),MAX(MIN('Council Entry'!L113,'Council Entry'!L$9),'Council Entry'!L$8),'Council Entry'!L113)),IF('Council Entry'!L$4="Exponential",EXP(IF(AND(ISNUMBER('Council Entry'!L$8),ISNUMBER('Council Entry'!L$9)),MAX(MIN('Council Entry'!L113,'Council Entry'!L$9),'Council Entry'!L$8),'Council Entry'!L113)),IF(AND(ISNUMBER('Council Entry'!L$8),ISNUMBER('Council Entry'!L$9)),MAX(MIN('Council Entry'!L113,'Council Entry'!L$9),'Council Entry'!L$8),'Council Entry'!L113))))-'Council Entry'!L$5)/('Council Entry'!L$6-'Council Entry'!L$5),10*((IF('Council Entry'!L$4="Logarithm",LN(0.001+IF(AND(ISNUMBER('Council Entry'!L$8),ISNUMBER('Council Entry'!L$9)),MAX(MIN('Council Entry'!L113,'Council Entry'!L$9),'Council Entry'!L$8),'Council Entry'!L113)),IF('Council Entry'!L$4="Exponential",EXP(IF(AND(ISNUMBER('Council Entry'!L$8),ISNUMBER('Council Entry'!L$9)),MAX(MIN('Council Entry'!L113,'Council Entry'!L$9),'Council Entry'!L$8),'Council Entry'!L113)),IF(AND(ISNUMBER('Council Entry'!L$8),ISNUMBER('Council Entry'!L$9)),MAX(MIN('Council Entry'!L113,'Council Entry'!L$9),'Council Entry'!L$8),'Council Entry'!L113))))-'Council Entry'!L$5)/('Council Entry'!L$6-'Council Entry'!L$5)),1))),"No data"))</f>
        <v/>
      </c>
      <c r="M113" s="13">
        <f>IF('Council Entry'!M113="","",IFERROR(MAX(0,MIN(10,ROUND(IF('Council Entry'!M$7="Decrease Risk",10-10*((IF('Council Entry'!M$4="Logarithm",LN(0.001+IF(AND(ISNUMBER('Council Entry'!M$8),ISNUMBER('Council Entry'!M$9)),MAX(MIN('Council Entry'!M113,'Council Entry'!M$9),'Council Entry'!M$8),'Council Entry'!M113)),IF('Council Entry'!M$4="Exponential",EXP(IF(AND(ISNUMBER('Council Entry'!M$8),ISNUMBER('Council Entry'!M$9)),MAX(MIN('Council Entry'!M113,'Council Entry'!M$9),'Council Entry'!M$8),'Council Entry'!M113)),IF(AND(ISNUMBER('Council Entry'!M$8),ISNUMBER('Council Entry'!M$9)),MAX(MIN('Council Entry'!M113,'Council Entry'!M$9),'Council Entry'!M$8),'Council Entry'!M113))))-'Council Entry'!M$5)/('Council Entry'!M$6-'Council Entry'!M$5),10*((IF('Council Entry'!M$4="Logarithm",LN(0.001+IF(AND(ISNUMBER('Council Entry'!M$8),ISNUMBER('Council Entry'!M$9)),MAX(MIN('Council Entry'!M113,'Council Entry'!M$9),'Council Entry'!M$8),'Council Entry'!M113)),IF('Council Entry'!M$4="Exponential",EXP(IF(AND(ISNUMBER('Council Entry'!M$8),ISNUMBER('Council Entry'!M$9)),MAX(MIN('Council Entry'!M113,'Council Entry'!M$9),'Council Entry'!M$8),'Council Entry'!M113)),IF(AND(ISNUMBER('Council Entry'!M$8),ISNUMBER('Council Entry'!M$9)),MAX(MIN('Council Entry'!M113,'Council Entry'!M$9),'Council Entry'!M$8),'Council Entry'!M113))))-'Council Entry'!M$5)/('Council Entry'!M$6-'Council Entry'!M$5)),1))),"No data"))</f>
        <v/>
      </c>
      <c r="N113" s="13">
        <f>IF('Council Entry'!N113="","",IFERROR(MAX(0,MIN(10,ROUND(IF('Council Entry'!N$7="Decrease Risk",10-10*((IF('Council Entry'!N$4="Logarithm",LN(0.001+IF(AND(ISNUMBER('Council Entry'!N$8),ISNUMBER('Council Entry'!N$9)),MAX(MIN('Council Entry'!N113,'Council Entry'!N$9),'Council Entry'!N$8),'Council Entry'!N113)),IF('Council Entry'!N$4="Exponential",EXP(IF(AND(ISNUMBER('Council Entry'!N$8),ISNUMBER('Council Entry'!N$9)),MAX(MIN('Council Entry'!N113,'Council Entry'!N$9),'Council Entry'!N$8),'Council Entry'!N113)),IF(AND(ISNUMBER('Council Entry'!N$8),ISNUMBER('Council Entry'!N$9)),MAX(MIN('Council Entry'!N113,'Council Entry'!N$9),'Council Entry'!N$8),'Council Entry'!N113))))-'Council Entry'!N$5)/('Council Entry'!N$6-'Council Entry'!N$5),10*((IF('Council Entry'!N$4="Logarithm",LN(0.001+IF(AND(ISNUMBER('Council Entry'!N$8),ISNUMBER('Council Entry'!N$9)),MAX(MIN('Council Entry'!N113,'Council Entry'!N$9),'Council Entry'!N$8),'Council Entry'!N113)),IF('Council Entry'!N$4="Exponential",EXP(IF(AND(ISNUMBER('Council Entry'!N$8),ISNUMBER('Council Entry'!N$9)),MAX(MIN('Council Entry'!N113,'Council Entry'!N$9),'Council Entry'!N$8),'Council Entry'!N113)),IF(AND(ISNUMBER('Council Entry'!N$8),ISNUMBER('Council Entry'!N$9)),MAX(MIN('Council Entry'!N113,'Council Entry'!N$9),'Council Entry'!N$8),'Council Entry'!N113))))-'Council Entry'!N$5)/('Council Entry'!N$6-'Council Entry'!N$5)),1))),"No data"))</f>
        <v/>
      </c>
      <c r="O113" s="13">
        <f>IF('Council Entry'!O113="","",IFERROR(MAX(0,MIN(10,ROUND(IF('Council Entry'!O$7="Decrease Risk",10-10*((IF('Council Entry'!O$4="Logarithm",LN(0.001+IF(AND(ISNUMBER('Council Entry'!O$8),ISNUMBER('Council Entry'!O$9)),MAX(MIN('Council Entry'!O113,'Council Entry'!O$9),'Council Entry'!O$8),'Council Entry'!O113)),IF('Council Entry'!O$4="Exponential",EXP(IF(AND(ISNUMBER('Council Entry'!O$8),ISNUMBER('Council Entry'!O$9)),MAX(MIN('Council Entry'!O113,'Council Entry'!O$9),'Council Entry'!O$8),'Council Entry'!O113)),IF(AND(ISNUMBER('Council Entry'!O$8),ISNUMBER('Council Entry'!O$9)),MAX(MIN('Council Entry'!O113,'Council Entry'!O$9),'Council Entry'!O$8),'Council Entry'!O113))))-'Council Entry'!O$5)/('Council Entry'!O$6-'Council Entry'!O$5),10*((IF('Council Entry'!O$4="Logarithm",LN(0.001+IF(AND(ISNUMBER('Council Entry'!O$8),ISNUMBER('Council Entry'!O$9)),MAX(MIN('Council Entry'!O113,'Council Entry'!O$9),'Council Entry'!O$8),'Council Entry'!O113)),IF('Council Entry'!O$4="Exponential",EXP(IF(AND(ISNUMBER('Council Entry'!O$8),ISNUMBER('Council Entry'!O$9)),MAX(MIN('Council Entry'!O113,'Council Entry'!O$9),'Council Entry'!O$8),'Council Entry'!O113)),IF(AND(ISNUMBER('Council Entry'!O$8),ISNUMBER('Council Entry'!O$9)),MAX(MIN('Council Entry'!O113,'Council Entry'!O$9),'Council Entry'!O$8),'Council Entry'!O113))))-'Council Entry'!O$5)/('Council Entry'!O$6-'Council Entry'!O$5)),1))),"No data"))</f>
        <v/>
      </c>
      <c r="P113" s="13">
        <f>IF('Council Entry'!P113="","",IFERROR(MAX(0,MIN(10,ROUND(IF('Council Entry'!P$7="Decrease Risk",10-10*((IF('Council Entry'!P$4="Logarithm",LN(0.001+IF(AND(ISNUMBER('Council Entry'!P$8),ISNUMBER('Council Entry'!P$9)),MAX(MIN('Council Entry'!P113,'Council Entry'!P$9),'Council Entry'!P$8),'Council Entry'!P113)),IF('Council Entry'!P$4="Exponential",EXP(IF(AND(ISNUMBER('Council Entry'!P$8),ISNUMBER('Council Entry'!P$9)),MAX(MIN('Council Entry'!P113,'Council Entry'!P$9),'Council Entry'!P$8),'Council Entry'!P113)),IF(AND(ISNUMBER('Council Entry'!P$8),ISNUMBER('Council Entry'!P$9)),MAX(MIN('Council Entry'!P113,'Council Entry'!P$9),'Council Entry'!P$8),'Council Entry'!P113))))-'Council Entry'!P$5)/('Council Entry'!P$6-'Council Entry'!P$5),10*((IF('Council Entry'!P$4="Logarithm",LN(0.001+IF(AND(ISNUMBER('Council Entry'!P$8),ISNUMBER('Council Entry'!P$9)),MAX(MIN('Council Entry'!P113,'Council Entry'!P$9),'Council Entry'!P$8),'Council Entry'!P113)),IF('Council Entry'!P$4="Exponential",EXP(IF(AND(ISNUMBER('Council Entry'!P$8),ISNUMBER('Council Entry'!P$9)),MAX(MIN('Council Entry'!P113,'Council Entry'!P$9),'Council Entry'!P$8),'Council Entry'!P113)),IF(AND(ISNUMBER('Council Entry'!P$8),ISNUMBER('Council Entry'!P$9)),MAX(MIN('Council Entry'!P113,'Council Entry'!P$9),'Council Entry'!P$8),'Council Entry'!P113))))-'Council Entry'!P$5)/('Council Entry'!P$6-'Council Entry'!P$5)),1))),"No data"))</f>
        <v/>
      </c>
      <c r="Q113" s="13">
        <f>IF('Council Entry'!Q113="","",IFERROR(MAX(0,MIN(10,ROUND(IF('Council Entry'!Q$7="Decrease Risk",10-10*((IF('Council Entry'!Q$4="Logarithm",LN(0.001+IF(AND(ISNUMBER('Council Entry'!Q$8),ISNUMBER('Council Entry'!Q$9)),MAX(MIN('Council Entry'!Q113,'Council Entry'!Q$9),'Council Entry'!Q$8),'Council Entry'!Q113)),IF('Council Entry'!Q$4="Exponential",EXP(IF(AND(ISNUMBER('Council Entry'!Q$8),ISNUMBER('Council Entry'!Q$9)),MAX(MIN('Council Entry'!Q113,'Council Entry'!Q$9),'Council Entry'!Q$8),'Council Entry'!Q113)),IF(AND(ISNUMBER('Council Entry'!Q$8),ISNUMBER('Council Entry'!Q$9)),MAX(MIN('Council Entry'!Q113,'Council Entry'!Q$9),'Council Entry'!Q$8),'Council Entry'!Q113))))-'Council Entry'!Q$5)/('Council Entry'!Q$6-'Council Entry'!Q$5),10*((IF('Council Entry'!Q$4="Logarithm",LN(0.001+IF(AND(ISNUMBER('Council Entry'!Q$8),ISNUMBER('Council Entry'!Q$9)),MAX(MIN('Council Entry'!Q113,'Council Entry'!Q$9),'Council Entry'!Q$8),'Council Entry'!Q113)),IF('Council Entry'!Q$4="Exponential",EXP(IF(AND(ISNUMBER('Council Entry'!Q$8),ISNUMBER('Council Entry'!Q$9)),MAX(MIN('Council Entry'!Q113,'Council Entry'!Q$9),'Council Entry'!Q$8),'Council Entry'!Q113)),IF(AND(ISNUMBER('Council Entry'!Q$8),ISNUMBER('Council Entry'!Q$9)),MAX(MIN('Council Entry'!Q113,'Council Entry'!Q$9),'Council Entry'!Q$8),'Council Entry'!Q113))))-'Council Entry'!Q$5)/('Council Entry'!Q$6-'Council Entry'!Q$5)),1))),"No data"))</f>
        <v/>
      </c>
      <c r="R113" s="13">
        <f>IF('Council Entry'!R113="","",IFERROR(MAX(0,MIN(10,ROUND(IF('Council Entry'!R$7="Decrease Risk",10-10*((IF('Council Entry'!R$4="Logarithm",LN(0.001+IF(AND(ISNUMBER('Council Entry'!R$8),ISNUMBER('Council Entry'!R$9)),MAX(MIN('Council Entry'!R113,'Council Entry'!R$9),'Council Entry'!R$8),'Council Entry'!R113)),IF('Council Entry'!R$4="Exponential",EXP(IF(AND(ISNUMBER('Council Entry'!R$8),ISNUMBER('Council Entry'!R$9)),MAX(MIN('Council Entry'!R113,'Council Entry'!R$9),'Council Entry'!R$8),'Council Entry'!R113)),IF(AND(ISNUMBER('Council Entry'!R$8),ISNUMBER('Council Entry'!R$9)),MAX(MIN('Council Entry'!R113,'Council Entry'!R$9),'Council Entry'!R$8),'Council Entry'!R113))))-'Council Entry'!R$5)/('Council Entry'!R$6-'Council Entry'!R$5),10*((IF('Council Entry'!R$4="Logarithm",LN(0.001+IF(AND(ISNUMBER('Council Entry'!R$8),ISNUMBER('Council Entry'!R$9)),MAX(MIN('Council Entry'!R113,'Council Entry'!R$9),'Council Entry'!R$8),'Council Entry'!R113)),IF('Council Entry'!R$4="Exponential",EXP(IF(AND(ISNUMBER('Council Entry'!R$8),ISNUMBER('Council Entry'!R$9)),MAX(MIN('Council Entry'!R113,'Council Entry'!R$9),'Council Entry'!R$8),'Council Entry'!R113)),IF(AND(ISNUMBER('Council Entry'!R$8),ISNUMBER('Council Entry'!R$9)),MAX(MIN('Council Entry'!R113,'Council Entry'!R$9),'Council Entry'!R$8),'Council Entry'!R113))))-'Council Entry'!R$5)/('Council Entry'!R$6-'Council Entry'!R$5)),1))),"No data"))</f>
        <v/>
      </c>
      <c r="S113" s="13">
        <f>IF('Council Entry'!S113="","",IFERROR(MAX(0,MIN(10,ROUND(IF('Council Entry'!S$7="Decrease Risk",10-10*((IF('Council Entry'!S$4="Logarithm",LN(0.001+IF(AND(ISNUMBER('Council Entry'!S$8),ISNUMBER('Council Entry'!S$9)),MAX(MIN('Council Entry'!S113,'Council Entry'!S$9),'Council Entry'!S$8),'Council Entry'!S113)),IF('Council Entry'!S$4="Exponential",EXP(IF(AND(ISNUMBER('Council Entry'!S$8),ISNUMBER('Council Entry'!S$9)),MAX(MIN('Council Entry'!S113,'Council Entry'!S$9),'Council Entry'!S$8),'Council Entry'!S113)),IF(AND(ISNUMBER('Council Entry'!S$8),ISNUMBER('Council Entry'!S$9)),MAX(MIN('Council Entry'!S113,'Council Entry'!S$9),'Council Entry'!S$8),'Council Entry'!S113))))-'Council Entry'!S$5)/('Council Entry'!S$6-'Council Entry'!S$5),10*((IF('Council Entry'!S$4="Logarithm",LN(0.001+IF(AND(ISNUMBER('Council Entry'!S$8),ISNUMBER('Council Entry'!S$9)),MAX(MIN('Council Entry'!S113,'Council Entry'!S$9),'Council Entry'!S$8),'Council Entry'!S113)),IF('Council Entry'!S$4="Exponential",EXP(IF(AND(ISNUMBER('Council Entry'!S$8),ISNUMBER('Council Entry'!S$9)),MAX(MIN('Council Entry'!S113,'Council Entry'!S$9),'Council Entry'!S$8),'Council Entry'!S113)),IF(AND(ISNUMBER('Council Entry'!S$8),ISNUMBER('Council Entry'!S$9)),MAX(MIN('Council Entry'!S113,'Council Entry'!S$9),'Council Entry'!S$8),'Council Entry'!S113))))-'Council Entry'!S$5)/('Council Entry'!S$6-'Council Entry'!S$5)),1))),"No data"))</f>
        <v/>
      </c>
      <c r="T113" s="13">
        <f>IF('Council Entry'!T113="","",IFERROR(MAX(0,MIN(10,ROUND(IF('Council Entry'!T$7="Decrease Risk",10-10*((IF('Council Entry'!T$4="Logarithm",LN(0.001+IF(AND(ISNUMBER('Council Entry'!T$8),ISNUMBER('Council Entry'!T$9)),MAX(MIN('Council Entry'!T113,'Council Entry'!T$9),'Council Entry'!T$8),'Council Entry'!T113)),IF('Council Entry'!T$4="Exponential",EXP(IF(AND(ISNUMBER('Council Entry'!T$8),ISNUMBER('Council Entry'!T$9)),MAX(MIN('Council Entry'!T113,'Council Entry'!T$9),'Council Entry'!T$8),'Council Entry'!T113)),IF(AND(ISNUMBER('Council Entry'!T$8),ISNUMBER('Council Entry'!T$9)),MAX(MIN('Council Entry'!T113,'Council Entry'!T$9),'Council Entry'!T$8),'Council Entry'!T113))))-'Council Entry'!T$5)/('Council Entry'!T$6-'Council Entry'!T$5),10*((IF('Council Entry'!T$4="Logarithm",LN(0.001+IF(AND(ISNUMBER('Council Entry'!T$8),ISNUMBER('Council Entry'!T$9)),MAX(MIN('Council Entry'!T113,'Council Entry'!T$9),'Council Entry'!T$8),'Council Entry'!T113)),IF('Council Entry'!T$4="Exponential",EXP(IF(AND(ISNUMBER('Council Entry'!T$8),ISNUMBER('Council Entry'!T$9)),MAX(MIN('Council Entry'!T113,'Council Entry'!T$9),'Council Entry'!T$8),'Council Entry'!T113)),IF(AND(ISNUMBER('Council Entry'!T$8),ISNUMBER('Council Entry'!T$9)),MAX(MIN('Council Entry'!T113,'Council Entry'!T$9),'Council Entry'!T$8),'Council Entry'!T113))))-'Council Entry'!T$5)/('Council Entry'!T$6-'Council Entry'!T$5)),1))),"No data"))</f>
        <v/>
      </c>
      <c r="U113" s="13">
        <f>IF('Council Entry'!U113="","",IFERROR(MAX(0,MIN(10,ROUND(IF('Council Entry'!U$7="Decrease Risk",10-10*((IF('Council Entry'!U$4="Logarithm",LN(0.001+IF(AND(ISNUMBER('Council Entry'!U$8),ISNUMBER('Council Entry'!U$9)),MAX(MIN('Council Entry'!U113,'Council Entry'!U$9),'Council Entry'!U$8),'Council Entry'!U113)),IF('Council Entry'!U$4="Exponential",EXP(IF(AND(ISNUMBER('Council Entry'!U$8),ISNUMBER('Council Entry'!U$9)),MAX(MIN('Council Entry'!U113,'Council Entry'!U$9),'Council Entry'!U$8),'Council Entry'!U113)),IF(AND(ISNUMBER('Council Entry'!U$8),ISNUMBER('Council Entry'!U$9)),MAX(MIN('Council Entry'!U113,'Council Entry'!U$9),'Council Entry'!U$8),'Council Entry'!U113))))-'Council Entry'!U$5)/('Council Entry'!U$6-'Council Entry'!U$5),10*((IF('Council Entry'!U$4="Logarithm",LN(0.001+IF(AND(ISNUMBER('Council Entry'!U$8),ISNUMBER('Council Entry'!U$9)),MAX(MIN('Council Entry'!U113,'Council Entry'!U$9),'Council Entry'!U$8),'Council Entry'!U113)),IF('Council Entry'!U$4="Exponential",EXP(IF(AND(ISNUMBER('Council Entry'!U$8),ISNUMBER('Council Entry'!U$9)),MAX(MIN('Council Entry'!U113,'Council Entry'!U$9),'Council Entry'!U$8),'Council Entry'!U113)),IF(AND(ISNUMBER('Council Entry'!U$8),ISNUMBER('Council Entry'!U$9)),MAX(MIN('Council Entry'!U113,'Council Entry'!U$9),'Council Entry'!U$8),'Council Entry'!U113))))-'Council Entry'!U$5)/('Council Entry'!U$6-'Council Entry'!U$5)),1))),"No data"))</f>
        <v/>
      </c>
      <c r="V113" s="13">
        <f>IF('Council Entry'!V113="","",IFERROR(MAX(0,MIN(10,ROUND(IF('Council Entry'!V$7="Decrease Risk",10-10*((IF('Council Entry'!V$4="Logarithm",LN(0.001+IF(AND(ISNUMBER('Council Entry'!V$8),ISNUMBER('Council Entry'!V$9)),MAX(MIN('Council Entry'!V113,'Council Entry'!V$9),'Council Entry'!V$8),'Council Entry'!V113)),IF('Council Entry'!V$4="Exponential",EXP(IF(AND(ISNUMBER('Council Entry'!V$8),ISNUMBER('Council Entry'!V$9)),MAX(MIN('Council Entry'!V113,'Council Entry'!V$9),'Council Entry'!V$8),'Council Entry'!V113)),IF(AND(ISNUMBER('Council Entry'!V$8),ISNUMBER('Council Entry'!V$9)),MAX(MIN('Council Entry'!V113,'Council Entry'!V$9),'Council Entry'!V$8),'Council Entry'!V113))))-'Council Entry'!V$5)/('Council Entry'!V$6-'Council Entry'!V$5),10*((IF('Council Entry'!V$4="Logarithm",LN(0.001+IF(AND(ISNUMBER('Council Entry'!V$8),ISNUMBER('Council Entry'!V$9)),MAX(MIN('Council Entry'!V113,'Council Entry'!V$9),'Council Entry'!V$8),'Council Entry'!V113)),IF('Council Entry'!V$4="Exponential",EXP(IF(AND(ISNUMBER('Council Entry'!V$8),ISNUMBER('Council Entry'!V$9)),MAX(MIN('Council Entry'!V113,'Council Entry'!V$9),'Council Entry'!V$8),'Council Entry'!V113)),IF(AND(ISNUMBER('Council Entry'!V$8),ISNUMBER('Council Entry'!V$9)),MAX(MIN('Council Entry'!V113,'Council Entry'!V$9),'Council Entry'!V$8),'Council Entry'!V113))))-'Council Entry'!V$5)/('Council Entry'!V$6-'Council Entry'!V$5)),1))),"No data"))</f>
        <v/>
      </c>
      <c r="W113" s="13">
        <f>IF('Council Entry'!W113="","",IFERROR(MAX(0,MIN(10,ROUND(IF('Council Entry'!W$7="Decrease Risk",10-10*((IF('Council Entry'!W$4="Logarithm",LN(0.001+IF(AND(ISNUMBER('Council Entry'!W$8),ISNUMBER('Council Entry'!W$9)),MAX(MIN('Council Entry'!W113,'Council Entry'!W$9),'Council Entry'!W$8),'Council Entry'!W113)),IF('Council Entry'!W$4="Exponential",EXP(IF(AND(ISNUMBER('Council Entry'!W$8),ISNUMBER('Council Entry'!W$9)),MAX(MIN('Council Entry'!W113,'Council Entry'!W$9),'Council Entry'!W$8),'Council Entry'!W113)),IF(AND(ISNUMBER('Council Entry'!W$8),ISNUMBER('Council Entry'!W$9)),MAX(MIN('Council Entry'!W113,'Council Entry'!W$9),'Council Entry'!W$8),'Council Entry'!W113))))-'Council Entry'!W$5)/('Council Entry'!W$6-'Council Entry'!W$5),10*((IF('Council Entry'!W$4="Logarithm",LN(0.001+IF(AND(ISNUMBER('Council Entry'!W$8),ISNUMBER('Council Entry'!W$9)),MAX(MIN('Council Entry'!W113,'Council Entry'!W$9),'Council Entry'!W$8),'Council Entry'!W113)),IF('Council Entry'!W$4="Exponential",EXP(IF(AND(ISNUMBER('Council Entry'!W$8),ISNUMBER('Council Entry'!W$9)),MAX(MIN('Council Entry'!W113,'Council Entry'!W$9),'Council Entry'!W$8),'Council Entry'!W113)),IF(AND(ISNUMBER('Council Entry'!W$8),ISNUMBER('Council Entry'!W$9)),MAX(MIN('Council Entry'!W113,'Council Entry'!W$9),'Council Entry'!W$8),'Council Entry'!W113))))-'Council Entry'!W$5)/('Council Entry'!W$6-'Council Entry'!W$5)),1))),"No data"))</f>
        <v/>
      </c>
      <c r="X113" s="13">
        <f>IF('Council Entry'!X113="","",IFERROR(MAX(0,MIN(10,ROUND(IF('Council Entry'!X$7="Decrease Risk",10-10*((IF('Council Entry'!X$4="Logarithm",LN(0.001+IF(AND(ISNUMBER('Council Entry'!X$8),ISNUMBER('Council Entry'!X$9)),MAX(MIN('Council Entry'!X113,'Council Entry'!X$9),'Council Entry'!X$8),'Council Entry'!X113)),IF('Council Entry'!X$4="Exponential",EXP(IF(AND(ISNUMBER('Council Entry'!X$8),ISNUMBER('Council Entry'!X$9)),MAX(MIN('Council Entry'!X113,'Council Entry'!X$9),'Council Entry'!X$8),'Council Entry'!X113)),IF(AND(ISNUMBER('Council Entry'!X$8),ISNUMBER('Council Entry'!X$9)),MAX(MIN('Council Entry'!X113,'Council Entry'!X$9),'Council Entry'!X$8),'Council Entry'!X113))))-'Council Entry'!X$5)/('Council Entry'!X$6-'Council Entry'!X$5),10*((IF('Council Entry'!X$4="Logarithm",LN(0.001+IF(AND(ISNUMBER('Council Entry'!X$8),ISNUMBER('Council Entry'!X$9)),MAX(MIN('Council Entry'!X113,'Council Entry'!X$9),'Council Entry'!X$8),'Council Entry'!X113)),IF('Council Entry'!X$4="Exponential",EXP(IF(AND(ISNUMBER('Council Entry'!X$8),ISNUMBER('Council Entry'!X$9)),MAX(MIN('Council Entry'!X113,'Council Entry'!X$9),'Council Entry'!X$8),'Council Entry'!X113)),IF(AND(ISNUMBER('Council Entry'!X$8),ISNUMBER('Council Entry'!X$9)),MAX(MIN('Council Entry'!X113,'Council Entry'!X$9),'Council Entry'!X$8),'Council Entry'!X113))))-'Council Entry'!X$5)/('Council Entry'!X$6-'Council Entry'!X$5)),1))),"No data"))</f>
        <v/>
      </c>
      <c r="Y113" s="13">
        <f>IF('Council Entry'!Y113="","",IFERROR(MAX(0,MIN(10,ROUND(IF('Council Entry'!Y$7="Decrease Risk",10-10*((IF('Council Entry'!Y$4="Logarithm",LN(0.001+IF(AND(ISNUMBER('Council Entry'!Y$8),ISNUMBER('Council Entry'!Y$9)),MAX(MIN('Council Entry'!Y113,'Council Entry'!Y$9),'Council Entry'!Y$8),'Council Entry'!Y113)),IF('Council Entry'!Y$4="Exponential",EXP(IF(AND(ISNUMBER('Council Entry'!Y$8),ISNUMBER('Council Entry'!Y$9)),MAX(MIN('Council Entry'!Y113,'Council Entry'!Y$9),'Council Entry'!Y$8),'Council Entry'!Y113)),IF(AND(ISNUMBER('Council Entry'!Y$8),ISNUMBER('Council Entry'!Y$9)),MAX(MIN('Council Entry'!Y113,'Council Entry'!Y$9),'Council Entry'!Y$8),'Council Entry'!Y113))))-'Council Entry'!Y$5)/('Council Entry'!Y$6-'Council Entry'!Y$5),10*((IF('Council Entry'!Y$4="Logarithm",LN(0.001+IF(AND(ISNUMBER('Council Entry'!Y$8),ISNUMBER('Council Entry'!Y$9)),MAX(MIN('Council Entry'!Y113,'Council Entry'!Y$9),'Council Entry'!Y$8),'Council Entry'!Y113)),IF('Council Entry'!Y$4="Exponential",EXP(IF(AND(ISNUMBER('Council Entry'!Y$8),ISNUMBER('Council Entry'!Y$9)),MAX(MIN('Council Entry'!Y113,'Council Entry'!Y$9),'Council Entry'!Y$8),'Council Entry'!Y113)),IF(AND(ISNUMBER('Council Entry'!Y$8),ISNUMBER('Council Entry'!Y$9)),MAX(MIN('Council Entry'!Y113,'Council Entry'!Y$9),'Council Entry'!Y$8),'Council Entry'!Y113))))-'Council Entry'!Y$5)/('Council Entry'!Y$6-'Council Entry'!Y$5)),1))),"No data"))</f>
        <v/>
      </c>
      <c r="Z113" s="13">
        <f>IF('Council Entry'!Z113="","",IFERROR(MAX(0,MIN(10,ROUND(IF('Council Entry'!Z$7="Decrease Risk",10-10*((IF('Council Entry'!Z$4="Logarithm",LN(0.001+IF(AND(ISNUMBER('Council Entry'!Z$8),ISNUMBER('Council Entry'!Z$9)),MAX(MIN('Council Entry'!Z113,'Council Entry'!Z$9),'Council Entry'!Z$8),'Council Entry'!Z113)),IF('Council Entry'!Z$4="Exponential",EXP(IF(AND(ISNUMBER('Council Entry'!Z$8),ISNUMBER('Council Entry'!Z$9)),MAX(MIN('Council Entry'!Z113,'Council Entry'!Z$9),'Council Entry'!Z$8),'Council Entry'!Z113)),IF(AND(ISNUMBER('Council Entry'!Z$8),ISNUMBER('Council Entry'!Z$9)),MAX(MIN('Council Entry'!Z113,'Council Entry'!Z$9),'Council Entry'!Z$8),'Council Entry'!Z113))))-'Council Entry'!Z$5)/('Council Entry'!Z$6-'Council Entry'!Z$5),10*((IF('Council Entry'!Z$4="Logarithm",LN(0.001+IF(AND(ISNUMBER('Council Entry'!Z$8),ISNUMBER('Council Entry'!Z$9)),MAX(MIN('Council Entry'!Z113,'Council Entry'!Z$9),'Council Entry'!Z$8),'Council Entry'!Z113)),IF('Council Entry'!Z$4="Exponential",EXP(IF(AND(ISNUMBER('Council Entry'!Z$8),ISNUMBER('Council Entry'!Z$9)),MAX(MIN('Council Entry'!Z113,'Council Entry'!Z$9),'Council Entry'!Z$8),'Council Entry'!Z113)),IF(AND(ISNUMBER('Council Entry'!Z$8),ISNUMBER('Council Entry'!Z$9)),MAX(MIN('Council Entry'!Z113,'Council Entry'!Z$9),'Council Entry'!Z$8),'Council Entry'!Z113))))-'Council Entry'!Z$5)/('Council Entry'!Z$6-'Council Entry'!Z$5)),1))),"No data"))</f>
        <v/>
      </c>
      <c r="AA113" s="13">
        <f>IF('Council Entry'!AA113="","",IFERROR(MAX(0,MIN(10,ROUND(IF('Council Entry'!AA$7="Decrease Risk",10-10*((IF('Council Entry'!AA$4="Logarithm",LN(0.001+IF(AND(ISNUMBER('Council Entry'!AA$8),ISNUMBER('Council Entry'!AA$9)),MAX(MIN('Council Entry'!AA113,'Council Entry'!AA$9),'Council Entry'!AA$8),'Council Entry'!AA113)),IF('Council Entry'!AA$4="Exponential",EXP(IF(AND(ISNUMBER('Council Entry'!AA$8),ISNUMBER('Council Entry'!AA$9)),MAX(MIN('Council Entry'!AA113,'Council Entry'!AA$9),'Council Entry'!AA$8),'Council Entry'!AA113)),IF(AND(ISNUMBER('Council Entry'!AA$8),ISNUMBER('Council Entry'!AA$9)),MAX(MIN('Council Entry'!AA113,'Council Entry'!AA$9),'Council Entry'!AA$8),'Council Entry'!AA113))))-'Council Entry'!AA$5)/('Council Entry'!AA$6-'Council Entry'!AA$5),10*((IF('Council Entry'!AA$4="Logarithm",LN(0.001+IF(AND(ISNUMBER('Council Entry'!AA$8),ISNUMBER('Council Entry'!AA$9)),MAX(MIN('Council Entry'!AA113,'Council Entry'!AA$9),'Council Entry'!AA$8),'Council Entry'!AA113)),IF('Council Entry'!AA$4="Exponential",EXP(IF(AND(ISNUMBER('Council Entry'!AA$8),ISNUMBER('Council Entry'!AA$9)),MAX(MIN('Council Entry'!AA113,'Council Entry'!AA$9),'Council Entry'!AA$8),'Council Entry'!AA113)),IF(AND(ISNUMBER('Council Entry'!AA$8),ISNUMBER('Council Entry'!AA$9)),MAX(MIN('Council Entry'!AA113,'Council Entry'!AA$9),'Council Entry'!AA$8),'Council Entry'!AA113))))-'Council Entry'!AA$5)/('Council Entry'!AA$6-'Council Entry'!AA$5)),1))),"No data"))</f>
        <v/>
      </c>
      <c r="AB113" s="13">
        <f>IF('Council Entry'!AB113="","",IFERROR(MAX(0,MIN(10,ROUND(IF('Council Entry'!AB$7="Decrease Risk",10-10*((IF('Council Entry'!AB$4="Logarithm",LN(0.001+IF(AND(ISNUMBER('Council Entry'!AB$8),ISNUMBER('Council Entry'!AB$9)),MAX(MIN('Council Entry'!AB113,'Council Entry'!AB$9),'Council Entry'!AB$8),'Council Entry'!AB113)),IF('Council Entry'!AB$4="Exponential",EXP(IF(AND(ISNUMBER('Council Entry'!AB$8),ISNUMBER('Council Entry'!AB$9)),MAX(MIN('Council Entry'!AB113,'Council Entry'!AB$9),'Council Entry'!AB$8),'Council Entry'!AB113)),IF(AND(ISNUMBER('Council Entry'!AB$8),ISNUMBER('Council Entry'!AB$9)),MAX(MIN('Council Entry'!AB113,'Council Entry'!AB$9),'Council Entry'!AB$8),'Council Entry'!AB113))))-'Council Entry'!AB$5)/('Council Entry'!AB$6-'Council Entry'!AB$5),10*((IF('Council Entry'!AB$4="Logarithm",LN(0.001+IF(AND(ISNUMBER('Council Entry'!AB$8),ISNUMBER('Council Entry'!AB$9)),MAX(MIN('Council Entry'!AB113,'Council Entry'!AB$9),'Council Entry'!AB$8),'Council Entry'!AB113)),IF('Council Entry'!AB$4="Exponential",EXP(IF(AND(ISNUMBER('Council Entry'!AB$8),ISNUMBER('Council Entry'!AB$9)),MAX(MIN('Council Entry'!AB113,'Council Entry'!AB$9),'Council Entry'!AB$8),'Council Entry'!AB113)),IF(AND(ISNUMBER('Council Entry'!AB$8),ISNUMBER('Council Entry'!AB$9)),MAX(MIN('Council Entry'!AB113,'Council Entry'!AB$9),'Council Entry'!AB$8),'Council Entry'!AB113))))-'Council Entry'!AB$5)/('Council Entry'!AB$6-'Council Entry'!AB$5)),1))),"No data"))</f>
        <v/>
      </c>
      <c r="AC113" s="13">
        <f>IF('Council Entry'!AC113="","",IFERROR(MAX(0,MIN(10,ROUND(IF('Council Entry'!AC$7="Decrease Risk",10-10*((IF('Council Entry'!AC$4="Logarithm",LN(0.001+IF(AND(ISNUMBER('Council Entry'!AC$8),ISNUMBER('Council Entry'!AC$9)),MAX(MIN('Council Entry'!AC113,'Council Entry'!AC$9),'Council Entry'!AC$8),'Council Entry'!AC113)),IF('Council Entry'!AC$4="Exponential",EXP(IF(AND(ISNUMBER('Council Entry'!AC$8),ISNUMBER('Council Entry'!AC$9)),MAX(MIN('Council Entry'!AC113,'Council Entry'!AC$9),'Council Entry'!AC$8),'Council Entry'!AC113)),IF(AND(ISNUMBER('Council Entry'!AC$8),ISNUMBER('Council Entry'!AC$9)),MAX(MIN('Council Entry'!AC113,'Council Entry'!AC$9),'Council Entry'!AC$8),'Council Entry'!AC113))))-'Council Entry'!AC$5)/('Council Entry'!AC$6-'Council Entry'!AC$5),10*((IF('Council Entry'!AC$4="Logarithm",LN(0.001+IF(AND(ISNUMBER('Council Entry'!AC$8),ISNUMBER('Council Entry'!AC$9)),MAX(MIN('Council Entry'!AC113,'Council Entry'!AC$9),'Council Entry'!AC$8),'Council Entry'!AC113)),IF('Council Entry'!AC$4="Exponential",EXP(IF(AND(ISNUMBER('Council Entry'!AC$8),ISNUMBER('Council Entry'!AC$9)),MAX(MIN('Council Entry'!AC113,'Council Entry'!AC$9),'Council Entry'!AC$8),'Council Entry'!AC113)),IF(AND(ISNUMBER('Council Entry'!AC$8),ISNUMBER('Council Entry'!AC$9)),MAX(MIN('Council Entry'!AC113,'Council Entry'!AC$9),'Council Entry'!AC$8),'Council Entry'!AC113))))-'Council Entry'!AC$5)/('Council Entry'!AC$6-'Council Entry'!AC$5)),1))),"No data"))</f>
        <v/>
      </c>
      <c r="AD113" s="13">
        <f>IF('Council Entry'!AD113="","",IFERROR(MAX(0,MIN(10,ROUND(IF('Council Entry'!AD$7="Decrease Risk",10-10*((IF('Council Entry'!AD$4="Logarithm",LN(0.001+IF(AND(ISNUMBER('Council Entry'!AD$8),ISNUMBER('Council Entry'!AD$9)),MAX(MIN('Council Entry'!AD113,'Council Entry'!AD$9),'Council Entry'!AD$8),'Council Entry'!AD113)),IF('Council Entry'!AD$4="Exponential",EXP(IF(AND(ISNUMBER('Council Entry'!AD$8),ISNUMBER('Council Entry'!AD$9)),MAX(MIN('Council Entry'!AD113,'Council Entry'!AD$9),'Council Entry'!AD$8),'Council Entry'!AD113)),IF(AND(ISNUMBER('Council Entry'!AD$8),ISNUMBER('Council Entry'!AD$9)),MAX(MIN('Council Entry'!AD113,'Council Entry'!AD$9),'Council Entry'!AD$8),'Council Entry'!AD113))))-'Council Entry'!AD$5)/('Council Entry'!AD$6-'Council Entry'!AD$5),10*((IF('Council Entry'!AD$4="Logarithm",LN(0.001+IF(AND(ISNUMBER('Council Entry'!AD$8),ISNUMBER('Council Entry'!AD$9)),MAX(MIN('Council Entry'!AD113,'Council Entry'!AD$9),'Council Entry'!AD$8),'Council Entry'!AD113)),IF('Council Entry'!AD$4="Exponential",EXP(IF(AND(ISNUMBER('Council Entry'!AD$8),ISNUMBER('Council Entry'!AD$9)),MAX(MIN('Council Entry'!AD113,'Council Entry'!AD$9),'Council Entry'!AD$8),'Council Entry'!AD113)),IF(AND(ISNUMBER('Council Entry'!AD$8),ISNUMBER('Council Entry'!AD$9)),MAX(MIN('Council Entry'!AD113,'Council Entry'!AD$9),'Council Entry'!AD$8),'Council Entry'!AD113))))-'Council Entry'!AD$5)/('Council Entry'!AD$6-'Council Entry'!AD$5)),1))),"No data"))</f>
        <v/>
      </c>
      <c r="AE113" s="13">
        <f>IF('Council Entry'!AE113="","",IFERROR(MAX(0,MIN(10,ROUND(IF('Council Entry'!AE$7="Decrease Risk",10-10*((IF('Council Entry'!AE$4="Logarithm",LN(0.001+IF(AND(ISNUMBER('Council Entry'!AE$8),ISNUMBER('Council Entry'!AE$9)),MAX(MIN('Council Entry'!AE113,'Council Entry'!AE$9),'Council Entry'!AE$8),'Council Entry'!AE113)),IF('Council Entry'!AE$4="Exponential",EXP(IF(AND(ISNUMBER('Council Entry'!AE$8),ISNUMBER('Council Entry'!AE$9)),MAX(MIN('Council Entry'!AE113,'Council Entry'!AE$9),'Council Entry'!AE$8),'Council Entry'!AE113)),IF(AND(ISNUMBER('Council Entry'!AE$8),ISNUMBER('Council Entry'!AE$9)),MAX(MIN('Council Entry'!AE113,'Council Entry'!AE$9),'Council Entry'!AE$8),'Council Entry'!AE113))))-'Council Entry'!AE$5)/('Council Entry'!AE$6-'Council Entry'!AE$5),10*((IF('Council Entry'!AE$4="Logarithm",LN(0.001+IF(AND(ISNUMBER('Council Entry'!AE$8),ISNUMBER('Council Entry'!AE$9)),MAX(MIN('Council Entry'!AE113,'Council Entry'!AE$9),'Council Entry'!AE$8),'Council Entry'!AE113)),IF('Council Entry'!AE$4="Exponential",EXP(IF(AND(ISNUMBER('Council Entry'!AE$8),ISNUMBER('Council Entry'!AE$9)),MAX(MIN('Council Entry'!AE113,'Council Entry'!AE$9),'Council Entry'!AE$8),'Council Entry'!AE113)),IF(AND(ISNUMBER('Council Entry'!AE$8),ISNUMBER('Council Entry'!AE$9)),MAX(MIN('Council Entry'!AE113,'Council Entry'!AE$9),'Council Entry'!AE$8),'Council Entry'!AE113))))-'Council Entry'!AE$5)/('Council Entry'!AE$6-'Council Entry'!AE$5)),1))),"No data"))</f>
        <v/>
      </c>
      <c r="AF113" s="13">
        <f>IF('Council Entry'!AF113="","",IFERROR(MAX(0,MIN(10,ROUND(IF('Council Entry'!AF$7="Decrease Risk",10-10*((IF('Council Entry'!AF$4="Logarithm",LN(0.001+IF(AND(ISNUMBER('Council Entry'!AF$8),ISNUMBER('Council Entry'!AF$9)),MAX(MIN('Council Entry'!AF113,'Council Entry'!AF$9),'Council Entry'!AF$8),'Council Entry'!AF113)),IF('Council Entry'!AF$4="Exponential",EXP(IF(AND(ISNUMBER('Council Entry'!AF$8),ISNUMBER('Council Entry'!AF$9)),MAX(MIN('Council Entry'!AF113,'Council Entry'!AF$9),'Council Entry'!AF$8),'Council Entry'!AF113)),IF(AND(ISNUMBER('Council Entry'!AF$8),ISNUMBER('Council Entry'!AF$9)),MAX(MIN('Council Entry'!AF113,'Council Entry'!AF$9),'Council Entry'!AF$8),'Council Entry'!AF113))))-'Council Entry'!AF$5)/('Council Entry'!AF$6-'Council Entry'!AF$5),10*((IF('Council Entry'!AF$4="Logarithm",LN(0.001+IF(AND(ISNUMBER('Council Entry'!AF$8),ISNUMBER('Council Entry'!AF$9)),MAX(MIN('Council Entry'!AF113,'Council Entry'!AF$9),'Council Entry'!AF$8),'Council Entry'!AF113)),IF('Council Entry'!AF$4="Exponential",EXP(IF(AND(ISNUMBER('Council Entry'!AF$8),ISNUMBER('Council Entry'!AF$9)),MAX(MIN('Council Entry'!AF113,'Council Entry'!AF$9),'Council Entry'!AF$8),'Council Entry'!AF113)),IF(AND(ISNUMBER('Council Entry'!AF$8),ISNUMBER('Council Entry'!AF$9)),MAX(MIN('Council Entry'!AF113,'Council Entry'!AF$9),'Council Entry'!AF$8),'Council Entry'!AF113))))-'Council Entry'!AF$5)/('Council Entry'!AF$6-'Council Entry'!AF$5)),1))),"No data"))</f>
        <v/>
      </c>
      <c r="AG113" s="13">
        <f>IF('Council Entry'!AG113="","",IFERROR(MAX(0,MIN(10,ROUND(IF('Council Entry'!AG$7="Decrease Risk",10-10*((IF('Council Entry'!AG$4="Logarithm",LN(0.001+IF(AND(ISNUMBER('Council Entry'!AG$8),ISNUMBER('Council Entry'!AG$9)),MAX(MIN('Council Entry'!AG113,'Council Entry'!AG$9),'Council Entry'!AG$8),'Council Entry'!AG113)),IF('Council Entry'!AG$4="Exponential",EXP(IF(AND(ISNUMBER('Council Entry'!AG$8),ISNUMBER('Council Entry'!AG$9)),MAX(MIN('Council Entry'!AG113,'Council Entry'!AG$9),'Council Entry'!AG$8),'Council Entry'!AG113)),IF(AND(ISNUMBER('Council Entry'!AG$8),ISNUMBER('Council Entry'!AG$9)),MAX(MIN('Council Entry'!AG113,'Council Entry'!AG$9),'Council Entry'!AG$8),'Council Entry'!AG113))))-'Council Entry'!AG$5)/('Council Entry'!AG$6-'Council Entry'!AG$5),10*((IF('Council Entry'!AG$4="Logarithm",LN(0.001+IF(AND(ISNUMBER('Council Entry'!AG$8),ISNUMBER('Council Entry'!AG$9)),MAX(MIN('Council Entry'!AG113,'Council Entry'!AG$9),'Council Entry'!AG$8),'Council Entry'!AG113)),IF('Council Entry'!AG$4="Exponential",EXP(IF(AND(ISNUMBER('Council Entry'!AG$8),ISNUMBER('Council Entry'!AG$9)),MAX(MIN('Council Entry'!AG113,'Council Entry'!AG$9),'Council Entry'!AG$8),'Council Entry'!AG113)),IF(AND(ISNUMBER('Council Entry'!AG$8),ISNUMBER('Council Entry'!AG$9)),MAX(MIN('Council Entry'!AG113,'Council Entry'!AG$9),'Council Entry'!AG$8),'Council Entry'!AG113))))-'Council Entry'!AG$5)/('Council Entry'!AG$6-'Council Entry'!AG$5)),1))),"No data"))</f>
        <v/>
      </c>
      <c r="AH113" s="13">
        <f>IF('Council Entry'!AH113="","",IFERROR(MAX(0,MIN(10,ROUND(IF('Council Entry'!AH$7="Decrease Risk",10-10*((IF('Council Entry'!AH$4="Logarithm",LN(0.001+IF(AND(ISNUMBER('Council Entry'!AH$8),ISNUMBER('Council Entry'!AH$9)),MAX(MIN('Council Entry'!AH113,'Council Entry'!AH$9),'Council Entry'!AH$8),'Council Entry'!AH113)),IF('Council Entry'!AH$4="Exponential",EXP(IF(AND(ISNUMBER('Council Entry'!AH$8),ISNUMBER('Council Entry'!AH$9)),MAX(MIN('Council Entry'!AH113,'Council Entry'!AH$9),'Council Entry'!AH$8),'Council Entry'!AH113)),IF(AND(ISNUMBER('Council Entry'!AH$8),ISNUMBER('Council Entry'!AH$9)),MAX(MIN('Council Entry'!AH113,'Council Entry'!AH$9),'Council Entry'!AH$8),'Council Entry'!AH113))))-'Council Entry'!AH$5)/('Council Entry'!AH$6-'Council Entry'!AH$5),10*((IF('Council Entry'!AH$4="Logarithm",LN(0.001+IF(AND(ISNUMBER('Council Entry'!AH$8),ISNUMBER('Council Entry'!AH$9)),MAX(MIN('Council Entry'!AH113,'Council Entry'!AH$9),'Council Entry'!AH$8),'Council Entry'!AH113)),IF('Council Entry'!AH$4="Exponential",EXP(IF(AND(ISNUMBER('Council Entry'!AH$8),ISNUMBER('Council Entry'!AH$9)),MAX(MIN('Council Entry'!AH113,'Council Entry'!AH$9),'Council Entry'!AH$8),'Council Entry'!AH113)),IF(AND(ISNUMBER('Council Entry'!AH$8),ISNUMBER('Council Entry'!AH$9)),MAX(MIN('Council Entry'!AH113,'Council Entry'!AH$9),'Council Entry'!AH$8),'Council Entry'!AH113))))-'Council Entry'!AH$5)/('Council Entry'!AH$6-'Council Entry'!AH$5)),1))),"No data"))</f>
        <v/>
      </c>
      <c r="AI113" s="13">
        <f>IF('Council Entry'!AI113="","",IFERROR(MAX(0,MIN(10,ROUND(IF('Council Entry'!AI$7="Decrease Risk",10-10*((IF('Council Entry'!AI$4="Logarithm",LN(0.001+IF(AND(ISNUMBER('Council Entry'!AI$8),ISNUMBER('Council Entry'!AI$9)),MAX(MIN('Council Entry'!AI113,'Council Entry'!AI$9),'Council Entry'!AI$8),'Council Entry'!AI113)),IF('Council Entry'!AI$4="Exponential",EXP(IF(AND(ISNUMBER('Council Entry'!AI$8),ISNUMBER('Council Entry'!AI$9)),MAX(MIN('Council Entry'!AI113,'Council Entry'!AI$9),'Council Entry'!AI$8),'Council Entry'!AI113)),IF(AND(ISNUMBER('Council Entry'!AI$8),ISNUMBER('Council Entry'!AI$9)),MAX(MIN('Council Entry'!AI113,'Council Entry'!AI$9),'Council Entry'!AI$8),'Council Entry'!AI113))))-'Council Entry'!AI$5)/('Council Entry'!AI$6-'Council Entry'!AI$5),10*((IF('Council Entry'!AI$4="Logarithm",LN(0.001+IF(AND(ISNUMBER('Council Entry'!AI$8),ISNUMBER('Council Entry'!AI$9)),MAX(MIN('Council Entry'!AI113,'Council Entry'!AI$9),'Council Entry'!AI$8),'Council Entry'!AI113)),IF('Council Entry'!AI$4="Exponential",EXP(IF(AND(ISNUMBER('Council Entry'!AI$8),ISNUMBER('Council Entry'!AI$9)),MAX(MIN('Council Entry'!AI113,'Council Entry'!AI$9),'Council Entry'!AI$8),'Council Entry'!AI113)),IF(AND(ISNUMBER('Council Entry'!AI$8),ISNUMBER('Council Entry'!AI$9)),MAX(MIN('Council Entry'!AI113,'Council Entry'!AI$9),'Council Entry'!AI$8),'Council Entry'!AI113))))-'Council Entry'!AI$5)/('Council Entry'!AI$6-'Council Entry'!AI$5)),1))),"No data"))</f>
        <v/>
      </c>
      <c r="AJ113" s="13">
        <f>IF('Council Entry'!AJ113="","",IFERROR(MAX(0,MIN(10,ROUND(IF('Council Entry'!AJ$7="Decrease Risk",10-10*((IF('Council Entry'!AJ$4="Logarithm",LN(0.001+IF(AND(ISNUMBER('Council Entry'!AJ$8),ISNUMBER('Council Entry'!AJ$9)),MAX(MIN('Council Entry'!AJ113,'Council Entry'!AJ$9),'Council Entry'!AJ$8),'Council Entry'!AJ113)),IF('Council Entry'!AJ$4="Exponential",EXP(IF(AND(ISNUMBER('Council Entry'!AJ$8),ISNUMBER('Council Entry'!AJ$9)),MAX(MIN('Council Entry'!AJ113,'Council Entry'!AJ$9),'Council Entry'!AJ$8),'Council Entry'!AJ113)),IF(AND(ISNUMBER('Council Entry'!AJ$8),ISNUMBER('Council Entry'!AJ$9)),MAX(MIN('Council Entry'!AJ113,'Council Entry'!AJ$9),'Council Entry'!AJ$8),'Council Entry'!AJ113))))-'Council Entry'!AJ$5)/('Council Entry'!AJ$6-'Council Entry'!AJ$5),10*((IF('Council Entry'!AJ$4="Logarithm",LN(0.001+IF(AND(ISNUMBER('Council Entry'!AJ$8),ISNUMBER('Council Entry'!AJ$9)),MAX(MIN('Council Entry'!AJ113,'Council Entry'!AJ$9),'Council Entry'!AJ$8),'Council Entry'!AJ113)),IF('Council Entry'!AJ$4="Exponential",EXP(IF(AND(ISNUMBER('Council Entry'!AJ$8),ISNUMBER('Council Entry'!AJ$9)),MAX(MIN('Council Entry'!AJ113,'Council Entry'!AJ$9),'Council Entry'!AJ$8),'Council Entry'!AJ113)),IF(AND(ISNUMBER('Council Entry'!AJ$8),ISNUMBER('Council Entry'!AJ$9)),MAX(MIN('Council Entry'!AJ113,'Council Entry'!AJ$9),'Council Entry'!AJ$8),'Council Entry'!AJ113))))-'Council Entry'!AJ$5)/('Council Entry'!AJ$6-'Council Entry'!AJ$5)),1))),"No data"))</f>
        <v/>
      </c>
      <c r="AK113" s="13">
        <f>IF('Council Entry'!AK113="","",IFERROR(MAX(0,MIN(10,ROUND(IF('Council Entry'!AK$7="Decrease Risk",10-10*((IF('Council Entry'!AK$4="Logarithm",LN(0.001+IF(AND(ISNUMBER('Council Entry'!AK$8),ISNUMBER('Council Entry'!AK$9)),MAX(MIN('Council Entry'!AK113,'Council Entry'!AK$9),'Council Entry'!AK$8),'Council Entry'!AK113)),IF('Council Entry'!AK$4="Exponential",EXP(IF(AND(ISNUMBER('Council Entry'!AK$8),ISNUMBER('Council Entry'!AK$9)),MAX(MIN('Council Entry'!AK113,'Council Entry'!AK$9),'Council Entry'!AK$8),'Council Entry'!AK113)),IF(AND(ISNUMBER('Council Entry'!AK$8),ISNUMBER('Council Entry'!AK$9)),MAX(MIN('Council Entry'!AK113,'Council Entry'!AK$9),'Council Entry'!AK$8),'Council Entry'!AK113))))-'Council Entry'!AK$5)/('Council Entry'!AK$6-'Council Entry'!AK$5),10*((IF('Council Entry'!AK$4="Logarithm",LN(0.001+IF(AND(ISNUMBER('Council Entry'!AK$8),ISNUMBER('Council Entry'!AK$9)),MAX(MIN('Council Entry'!AK113,'Council Entry'!AK$9),'Council Entry'!AK$8),'Council Entry'!AK113)),IF('Council Entry'!AK$4="Exponential",EXP(IF(AND(ISNUMBER('Council Entry'!AK$8),ISNUMBER('Council Entry'!AK$9)),MAX(MIN('Council Entry'!AK113,'Council Entry'!AK$9),'Council Entry'!AK$8),'Council Entry'!AK113)),IF(AND(ISNUMBER('Council Entry'!AK$8),ISNUMBER('Council Entry'!AK$9)),MAX(MIN('Council Entry'!AK113,'Council Entry'!AK$9),'Council Entry'!AK$8),'Council Entry'!AK113))))-'Council Entry'!AK$5)/('Council Entry'!AK$6-'Council Entry'!AK$5)),1))),"No data"))</f>
        <v/>
      </c>
      <c r="AL113" s="13">
        <f>IF('Council Entry'!AL113="","",IFERROR(MAX(0,MIN(10,ROUND(IF('Council Entry'!AL$7="Decrease Risk",10-10*((IF('Council Entry'!AL$4="Logarithm",LN(0.001+IF(AND(ISNUMBER('Council Entry'!AL$8),ISNUMBER('Council Entry'!AL$9)),MAX(MIN('Council Entry'!AL113,'Council Entry'!AL$9),'Council Entry'!AL$8),'Council Entry'!AL113)),IF('Council Entry'!AL$4="Exponential",EXP(IF(AND(ISNUMBER('Council Entry'!AL$8),ISNUMBER('Council Entry'!AL$9)),MAX(MIN('Council Entry'!AL113,'Council Entry'!AL$9),'Council Entry'!AL$8),'Council Entry'!AL113)),IF(AND(ISNUMBER('Council Entry'!AL$8),ISNUMBER('Council Entry'!AL$9)),MAX(MIN('Council Entry'!AL113,'Council Entry'!AL$9),'Council Entry'!AL$8),'Council Entry'!AL113))))-'Council Entry'!AL$5)/('Council Entry'!AL$6-'Council Entry'!AL$5),10*((IF('Council Entry'!AL$4="Logarithm",LN(0.001+IF(AND(ISNUMBER('Council Entry'!AL$8),ISNUMBER('Council Entry'!AL$9)),MAX(MIN('Council Entry'!AL113,'Council Entry'!AL$9),'Council Entry'!AL$8),'Council Entry'!AL113)),IF('Council Entry'!AL$4="Exponential",EXP(IF(AND(ISNUMBER('Council Entry'!AL$8),ISNUMBER('Council Entry'!AL$9)),MAX(MIN('Council Entry'!AL113,'Council Entry'!AL$9),'Council Entry'!AL$8),'Council Entry'!AL113)),IF(AND(ISNUMBER('Council Entry'!AL$8),ISNUMBER('Council Entry'!AL$9)),MAX(MIN('Council Entry'!AL113,'Council Entry'!AL$9),'Council Entry'!AL$8),'Council Entry'!AL113))))-'Council Entry'!AL$5)/('Council Entry'!AL$6-'Council Entry'!AL$5)),1))),"No data"))</f>
        <v/>
      </c>
      <c r="AM113" s="13">
        <f>IF('Council Entry'!AM113="","",IFERROR(MAX(0,MIN(10,ROUND(IF('Council Entry'!AM$7="Decrease Risk",10-10*((IF('Council Entry'!AM$4="Logarithm",LN(0.001+IF(AND(ISNUMBER('Council Entry'!AM$8),ISNUMBER('Council Entry'!AM$9)),MAX(MIN('Council Entry'!AM113,'Council Entry'!AM$9),'Council Entry'!AM$8),'Council Entry'!AM113)),IF('Council Entry'!AM$4="Exponential",EXP(IF(AND(ISNUMBER('Council Entry'!AM$8),ISNUMBER('Council Entry'!AM$9)),MAX(MIN('Council Entry'!AM113,'Council Entry'!AM$9),'Council Entry'!AM$8),'Council Entry'!AM113)),IF(AND(ISNUMBER('Council Entry'!AM$8),ISNUMBER('Council Entry'!AM$9)),MAX(MIN('Council Entry'!AM113,'Council Entry'!AM$9),'Council Entry'!AM$8),'Council Entry'!AM113))))-'Council Entry'!AM$5)/('Council Entry'!AM$6-'Council Entry'!AM$5),10*((IF('Council Entry'!AM$4="Logarithm",LN(0.001+IF(AND(ISNUMBER('Council Entry'!AM$8),ISNUMBER('Council Entry'!AM$9)),MAX(MIN('Council Entry'!AM113,'Council Entry'!AM$9),'Council Entry'!AM$8),'Council Entry'!AM113)),IF('Council Entry'!AM$4="Exponential",EXP(IF(AND(ISNUMBER('Council Entry'!AM$8),ISNUMBER('Council Entry'!AM$9)),MAX(MIN('Council Entry'!AM113,'Council Entry'!AM$9),'Council Entry'!AM$8),'Council Entry'!AM113)),IF(AND(ISNUMBER('Council Entry'!AM$8),ISNUMBER('Council Entry'!AM$9)),MAX(MIN('Council Entry'!AM113,'Council Entry'!AM$9),'Council Entry'!AM$8),'Council Entry'!AM113))))-'Council Entry'!AM$5)/('Council Entry'!AM$6-'Council Entry'!AM$5)),1))),"No data"))</f>
        <v/>
      </c>
      <c r="AN113" s="13">
        <f>IF('Council Entry'!AN113="","",IFERROR(MAX(0,MIN(10,ROUND(IF('Council Entry'!AN$7="Decrease Risk",10-10*((IF('Council Entry'!AN$4="Logarithm",LN(0.001+IF(AND(ISNUMBER('Council Entry'!AN$8),ISNUMBER('Council Entry'!AN$9)),MAX(MIN('Council Entry'!AN113,'Council Entry'!AN$9),'Council Entry'!AN$8),'Council Entry'!AN113)),IF('Council Entry'!AN$4="Exponential",EXP(IF(AND(ISNUMBER('Council Entry'!AN$8),ISNUMBER('Council Entry'!AN$9)),MAX(MIN('Council Entry'!AN113,'Council Entry'!AN$9),'Council Entry'!AN$8),'Council Entry'!AN113)),IF(AND(ISNUMBER('Council Entry'!AN$8),ISNUMBER('Council Entry'!AN$9)),MAX(MIN('Council Entry'!AN113,'Council Entry'!AN$9),'Council Entry'!AN$8),'Council Entry'!AN113))))-'Council Entry'!AN$5)/('Council Entry'!AN$6-'Council Entry'!AN$5),10*((IF('Council Entry'!AN$4="Logarithm",LN(0.001+IF(AND(ISNUMBER('Council Entry'!AN$8),ISNUMBER('Council Entry'!AN$9)),MAX(MIN('Council Entry'!AN113,'Council Entry'!AN$9),'Council Entry'!AN$8),'Council Entry'!AN113)),IF('Council Entry'!AN$4="Exponential",EXP(IF(AND(ISNUMBER('Council Entry'!AN$8),ISNUMBER('Council Entry'!AN$9)),MAX(MIN('Council Entry'!AN113,'Council Entry'!AN$9),'Council Entry'!AN$8),'Council Entry'!AN113)),IF(AND(ISNUMBER('Council Entry'!AN$8),ISNUMBER('Council Entry'!AN$9)),MAX(MIN('Council Entry'!AN113,'Council Entry'!AN$9),'Council Entry'!AN$8),'Council Entry'!AN113))))-'Council Entry'!AN$5)/('Council Entry'!AN$6-'Council Entry'!AN$5)),1))),"No data"))</f>
        <v/>
      </c>
      <c r="AO113" s="13">
        <f>IF('Council Entry'!AO113="","",IFERROR(MAX(0,MIN(10,ROUND(IF('Council Entry'!AO$7="Decrease Risk",10-10*((IF('Council Entry'!AO$4="Logarithm",LN(0.001+IF(AND(ISNUMBER('Council Entry'!AO$8),ISNUMBER('Council Entry'!AO$9)),MAX(MIN('Council Entry'!AO113,'Council Entry'!AO$9),'Council Entry'!AO$8),'Council Entry'!AO113)),IF('Council Entry'!AO$4="Exponential",EXP(IF(AND(ISNUMBER('Council Entry'!AO$8),ISNUMBER('Council Entry'!AO$9)),MAX(MIN('Council Entry'!AO113,'Council Entry'!AO$9),'Council Entry'!AO$8),'Council Entry'!AO113)),IF(AND(ISNUMBER('Council Entry'!AO$8),ISNUMBER('Council Entry'!AO$9)),MAX(MIN('Council Entry'!AO113,'Council Entry'!AO$9),'Council Entry'!AO$8),'Council Entry'!AO113))))-'Council Entry'!AO$5)/('Council Entry'!AO$6-'Council Entry'!AO$5),10*((IF('Council Entry'!AO$4="Logarithm",LN(0.001+IF(AND(ISNUMBER('Council Entry'!AO$8),ISNUMBER('Council Entry'!AO$9)),MAX(MIN('Council Entry'!AO113,'Council Entry'!AO$9),'Council Entry'!AO$8),'Council Entry'!AO113)),IF('Council Entry'!AO$4="Exponential",EXP(IF(AND(ISNUMBER('Council Entry'!AO$8),ISNUMBER('Council Entry'!AO$9)),MAX(MIN('Council Entry'!AO113,'Council Entry'!AO$9),'Council Entry'!AO$8),'Council Entry'!AO113)),IF(AND(ISNUMBER('Council Entry'!AO$8),ISNUMBER('Council Entry'!AO$9)),MAX(MIN('Council Entry'!AO113,'Council Entry'!AO$9),'Council Entry'!AO$8),'Council Entry'!AO113))))-'Council Entry'!AO$5)/('Council Entry'!AO$6-'Council Entry'!AO$5)),1))),"No data"))</f>
        <v/>
      </c>
      <c r="AP113" s="13">
        <f>IF('Council Entry'!AP113="","",IFERROR(MAX(0,MIN(10,ROUND(IF('Council Entry'!AP$7="Decrease Risk",10-10*((IF('Council Entry'!AP$4="Logarithm",LN(0.001+IF(AND(ISNUMBER('Council Entry'!AP$8),ISNUMBER('Council Entry'!AP$9)),MAX(MIN('Council Entry'!AP113,'Council Entry'!AP$9),'Council Entry'!AP$8),'Council Entry'!AP113)),IF('Council Entry'!AP$4="Exponential",EXP(IF(AND(ISNUMBER('Council Entry'!AP$8),ISNUMBER('Council Entry'!AP$9)),MAX(MIN('Council Entry'!AP113,'Council Entry'!AP$9),'Council Entry'!AP$8),'Council Entry'!AP113)),IF(AND(ISNUMBER('Council Entry'!AP$8),ISNUMBER('Council Entry'!AP$9)),MAX(MIN('Council Entry'!AP113,'Council Entry'!AP$9),'Council Entry'!AP$8),'Council Entry'!AP113))))-'Council Entry'!AP$5)/('Council Entry'!AP$6-'Council Entry'!AP$5),10*((IF('Council Entry'!AP$4="Logarithm",LN(0.001+IF(AND(ISNUMBER('Council Entry'!AP$8),ISNUMBER('Council Entry'!AP$9)),MAX(MIN('Council Entry'!AP113,'Council Entry'!AP$9),'Council Entry'!AP$8),'Council Entry'!AP113)),IF('Council Entry'!AP$4="Exponential",EXP(IF(AND(ISNUMBER('Council Entry'!AP$8),ISNUMBER('Council Entry'!AP$9)),MAX(MIN('Council Entry'!AP113,'Council Entry'!AP$9),'Council Entry'!AP$8),'Council Entry'!AP113)),IF(AND(ISNUMBER('Council Entry'!AP$8),ISNUMBER('Council Entry'!AP$9)),MAX(MIN('Council Entry'!AP113,'Council Entry'!AP$9),'Council Entry'!AP$8),'Council Entry'!AP113))))-'Council Entry'!AP$5)/('Council Entry'!AP$6-'Council Entry'!AP$5)),1))),"No data"))</f>
        <v/>
      </c>
      <c r="AQ113" s="13">
        <f>IF('Council Entry'!AQ113="","",IFERROR(MAX(0,MIN(10,ROUND(IF('Council Entry'!AQ$7="Decrease Risk",10-10*((IF('Council Entry'!AQ$4="Logarithm",LN(0.001+IF(AND(ISNUMBER('Council Entry'!AQ$8),ISNUMBER('Council Entry'!AQ$9)),MAX(MIN('Council Entry'!AQ113,'Council Entry'!AQ$9),'Council Entry'!AQ$8),'Council Entry'!AQ113)),IF('Council Entry'!AQ$4="Exponential",EXP(IF(AND(ISNUMBER('Council Entry'!AQ$8),ISNUMBER('Council Entry'!AQ$9)),MAX(MIN('Council Entry'!AQ113,'Council Entry'!AQ$9),'Council Entry'!AQ$8),'Council Entry'!AQ113)),IF(AND(ISNUMBER('Council Entry'!AQ$8),ISNUMBER('Council Entry'!AQ$9)),MAX(MIN('Council Entry'!AQ113,'Council Entry'!AQ$9),'Council Entry'!AQ$8),'Council Entry'!AQ113))))-'Council Entry'!AQ$5)/('Council Entry'!AQ$6-'Council Entry'!AQ$5),10*((IF('Council Entry'!AQ$4="Logarithm",LN(0.001+IF(AND(ISNUMBER('Council Entry'!AQ$8),ISNUMBER('Council Entry'!AQ$9)),MAX(MIN('Council Entry'!AQ113,'Council Entry'!AQ$9),'Council Entry'!AQ$8),'Council Entry'!AQ113)),IF('Council Entry'!AQ$4="Exponential",EXP(IF(AND(ISNUMBER('Council Entry'!AQ$8),ISNUMBER('Council Entry'!AQ$9)),MAX(MIN('Council Entry'!AQ113,'Council Entry'!AQ$9),'Council Entry'!AQ$8),'Council Entry'!AQ113)),IF(AND(ISNUMBER('Council Entry'!AQ$8),ISNUMBER('Council Entry'!AQ$9)),MAX(MIN('Council Entry'!AQ113,'Council Entry'!AQ$9),'Council Entry'!AQ$8),'Council Entry'!AQ113))))-'Council Entry'!AQ$5)/('Council Entry'!AQ$6-'Council Entry'!AQ$5)),1))),"No data"))</f>
        <v/>
      </c>
      <c r="AR113" s="13">
        <f>IF('Council Entry'!AR113="","",IFERROR(MAX(0,MIN(10,ROUND(IF('Council Entry'!AR$7="Decrease Risk",10-10*((IF('Council Entry'!AR$4="Logarithm",LN(0.001+IF(AND(ISNUMBER('Council Entry'!AR$8),ISNUMBER('Council Entry'!AR$9)),MAX(MIN('Council Entry'!AR113,'Council Entry'!AR$9),'Council Entry'!AR$8),'Council Entry'!AR113)),IF('Council Entry'!AR$4="Exponential",EXP(IF(AND(ISNUMBER('Council Entry'!AR$8),ISNUMBER('Council Entry'!AR$9)),MAX(MIN('Council Entry'!AR113,'Council Entry'!AR$9),'Council Entry'!AR$8),'Council Entry'!AR113)),IF(AND(ISNUMBER('Council Entry'!AR$8),ISNUMBER('Council Entry'!AR$9)),MAX(MIN('Council Entry'!AR113,'Council Entry'!AR$9),'Council Entry'!AR$8),'Council Entry'!AR113))))-'Council Entry'!AR$5)/('Council Entry'!AR$6-'Council Entry'!AR$5),10*((IF('Council Entry'!AR$4="Logarithm",LN(0.001+IF(AND(ISNUMBER('Council Entry'!AR$8),ISNUMBER('Council Entry'!AR$9)),MAX(MIN('Council Entry'!AR113,'Council Entry'!AR$9),'Council Entry'!AR$8),'Council Entry'!AR113)),IF('Council Entry'!AR$4="Exponential",EXP(IF(AND(ISNUMBER('Council Entry'!AR$8),ISNUMBER('Council Entry'!AR$9)),MAX(MIN('Council Entry'!AR113,'Council Entry'!AR$9),'Council Entry'!AR$8),'Council Entry'!AR113)),IF(AND(ISNUMBER('Council Entry'!AR$8),ISNUMBER('Council Entry'!AR$9)),MAX(MIN('Council Entry'!AR113,'Council Entry'!AR$9),'Council Entry'!AR$8),'Council Entry'!AR113))))-'Council Entry'!AR$5)/('Council Entry'!AR$6-'Council Entry'!AR$5)),1))),"No data"))</f>
        <v/>
      </c>
      <c r="AS113" s="13">
        <f>IF('Council Entry'!AS113="","",IFERROR(MAX(0,MIN(10,ROUND(IF('Council Entry'!AS$7="Decrease Risk",10-10*((IF('Council Entry'!AS$4="Logarithm",LN(0.001+IF(AND(ISNUMBER('Council Entry'!AS$8),ISNUMBER('Council Entry'!AS$9)),MAX(MIN('Council Entry'!AS113,'Council Entry'!AS$9),'Council Entry'!AS$8),'Council Entry'!AS113)),IF('Council Entry'!AS$4="Exponential",EXP(IF(AND(ISNUMBER('Council Entry'!AS$8),ISNUMBER('Council Entry'!AS$9)),MAX(MIN('Council Entry'!AS113,'Council Entry'!AS$9),'Council Entry'!AS$8),'Council Entry'!AS113)),IF(AND(ISNUMBER('Council Entry'!AS$8),ISNUMBER('Council Entry'!AS$9)),MAX(MIN('Council Entry'!AS113,'Council Entry'!AS$9),'Council Entry'!AS$8),'Council Entry'!AS113))))-'Council Entry'!AS$5)/('Council Entry'!AS$6-'Council Entry'!AS$5),10*((IF('Council Entry'!AS$4="Logarithm",LN(0.001+IF(AND(ISNUMBER('Council Entry'!AS$8),ISNUMBER('Council Entry'!AS$9)),MAX(MIN('Council Entry'!AS113,'Council Entry'!AS$9),'Council Entry'!AS$8),'Council Entry'!AS113)),IF('Council Entry'!AS$4="Exponential",EXP(IF(AND(ISNUMBER('Council Entry'!AS$8),ISNUMBER('Council Entry'!AS$9)),MAX(MIN('Council Entry'!AS113,'Council Entry'!AS$9),'Council Entry'!AS$8),'Council Entry'!AS113)),IF(AND(ISNUMBER('Council Entry'!AS$8),ISNUMBER('Council Entry'!AS$9)),MAX(MIN('Council Entry'!AS113,'Council Entry'!AS$9),'Council Entry'!AS$8),'Council Entry'!AS113))))-'Council Entry'!AS$5)/('Council Entry'!AS$6-'Council Entry'!AS$5)),1))),"No data"))</f>
        <v/>
      </c>
      <c r="AT113" s="13">
        <f>IF('Council Entry'!AT113="","",IFERROR(MAX(0,MIN(10,ROUND(IF('Council Entry'!AT$7="Decrease Risk",10-10*((IF('Council Entry'!AT$4="Logarithm",LN(0.001+IF(AND(ISNUMBER('Council Entry'!AT$8),ISNUMBER('Council Entry'!AT$9)),MAX(MIN('Council Entry'!AT113,'Council Entry'!AT$9),'Council Entry'!AT$8),'Council Entry'!AT113)),IF('Council Entry'!AT$4="Exponential",EXP(IF(AND(ISNUMBER('Council Entry'!AT$8),ISNUMBER('Council Entry'!AT$9)),MAX(MIN('Council Entry'!AT113,'Council Entry'!AT$9),'Council Entry'!AT$8),'Council Entry'!AT113)),IF(AND(ISNUMBER('Council Entry'!AT$8),ISNUMBER('Council Entry'!AT$9)),MAX(MIN('Council Entry'!AT113,'Council Entry'!AT$9),'Council Entry'!AT$8),'Council Entry'!AT113))))-'Council Entry'!AT$5)/('Council Entry'!AT$6-'Council Entry'!AT$5),10*((IF('Council Entry'!AT$4="Logarithm",LN(0.001+IF(AND(ISNUMBER('Council Entry'!AT$8),ISNUMBER('Council Entry'!AT$9)),MAX(MIN('Council Entry'!AT113,'Council Entry'!AT$9),'Council Entry'!AT$8),'Council Entry'!AT113)),IF('Council Entry'!AT$4="Exponential",EXP(IF(AND(ISNUMBER('Council Entry'!AT$8),ISNUMBER('Council Entry'!AT$9)),MAX(MIN('Council Entry'!AT113,'Council Entry'!AT$9),'Council Entry'!AT$8),'Council Entry'!AT113)),IF(AND(ISNUMBER('Council Entry'!AT$8),ISNUMBER('Council Entry'!AT$9)),MAX(MIN('Council Entry'!AT113,'Council Entry'!AT$9),'Council Entry'!AT$8),'Council Entry'!AT113))))-'Council Entry'!AT$5)/('Council Entry'!AT$6-'Council Entry'!AT$5)),1))),"No data"))</f>
        <v/>
      </c>
      <c r="AU113" s="13">
        <f>IF('Council Entry'!AU113="","",IFERROR(MAX(0,MIN(10,ROUND(IF('Council Entry'!AU$7="Decrease Risk",10-10*((IF('Council Entry'!AU$4="Logarithm",LN(0.001+IF(AND(ISNUMBER('Council Entry'!AU$8),ISNUMBER('Council Entry'!AU$9)),MAX(MIN('Council Entry'!AU113,'Council Entry'!AU$9),'Council Entry'!AU$8),'Council Entry'!AU113)),IF('Council Entry'!AU$4="Exponential",EXP(IF(AND(ISNUMBER('Council Entry'!AU$8),ISNUMBER('Council Entry'!AU$9)),MAX(MIN('Council Entry'!AU113,'Council Entry'!AU$9),'Council Entry'!AU$8),'Council Entry'!AU113)),IF(AND(ISNUMBER('Council Entry'!AU$8),ISNUMBER('Council Entry'!AU$9)),MAX(MIN('Council Entry'!AU113,'Council Entry'!AU$9),'Council Entry'!AU$8),'Council Entry'!AU113))))-'Council Entry'!AU$5)/('Council Entry'!AU$6-'Council Entry'!AU$5),10*((IF('Council Entry'!AU$4="Logarithm",LN(0.001+IF(AND(ISNUMBER('Council Entry'!AU$8),ISNUMBER('Council Entry'!AU$9)),MAX(MIN('Council Entry'!AU113,'Council Entry'!AU$9),'Council Entry'!AU$8),'Council Entry'!AU113)),IF('Council Entry'!AU$4="Exponential",EXP(IF(AND(ISNUMBER('Council Entry'!AU$8),ISNUMBER('Council Entry'!AU$9)),MAX(MIN('Council Entry'!AU113,'Council Entry'!AU$9),'Council Entry'!AU$8),'Council Entry'!AU113)),IF(AND(ISNUMBER('Council Entry'!AU$8),ISNUMBER('Council Entry'!AU$9)),MAX(MIN('Council Entry'!AU113,'Council Entry'!AU$9),'Council Entry'!AU$8),'Council Entry'!AU113))))-'Council Entry'!AU$5)/('Council Entry'!AU$6-'Council Entry'!AU$5)),1))),"No data"))</f>
        <v/>
      </c>
      <c r="AV113" s="13">
        <f>IF('Council Entry'!AV113="","",IFERROR(MAX(0,MIN(10,ROUND(IF('Council Entry'!AV$7="Decrease Risk",10-10*((IF('Council Entry'!AV$4="Logarithm",LN(0.001+IF(AND(ISNUMBER('Council Entry'!AV$8),ISNUMBER('Council Entry'!AV$9)),MAX(MIN('Council Entry'!AV113,'Council Entry'!AV$9),'Council Entry'!AV$8),'Council Entry'!AV113)),IF('Council Entry'!AV$4="Exponential",EXP(IF(AND(ISNUMBER('Council Entry'!AV$8),ISNUMBER('Council Entry'!AV$9)),MAX(MIN('Council Entry'!AV113,'Council Entry'!AV$9),'Council Entry'!AV$8),'Council Entry'!AV113)),IF(AND(ISNUMBER('Council Entry'!AV$8),ISNUMBER('Council Entry'!AV$9)),MAX(MIN('Council Entry'!AV113,'Council Entry'!AV$9),'Council Entry'!AV$8),'Council Entry'!AV113))))-'Council Entry'!AV$5)/('Council Entry'!AV$6-'Council Entry'!AV$5),10*((IF('Council Entry'!AV$4="Logarithm",LN(0.001+IF(AND(ISNUMBER('Council Entry'!AV$8),ISNUMBER('Council Entry'!AV$9)),MAX(MIN('Council Entry'!AV113,'Council Entry'!AV$9),'Council Entry'!AV$8),'Council Entry'!AV113)),IF('Council Entry'!AV$4="Exponential",EXP(IF(AND(ISNUMBER('Council Entry'!AV$8),ISNUMBER('Council Entry'!AV$9)),MAX(MIN('Council Entry'!AV113,'Council Entry'!AV$9),'Council Entry'!AV$8),'Council Entry'!AV113)),IF(AND(ISNUMBER('Council Entry'!AV$8),ISNUMBER('Council Entry'!AV$9)),MAX(MIN('Council Entry'!AV113,'Council Entry'!AV$9),'Council Entry'!AV$8),'Council Entry'!AV113))))-'Council Entry'!AV$5)/('Council Entry'!AV$6-'Council Entry'!AV$5)),1))),"No data"))</f>
        <v/>
      </c>
      <c r="AW113" s="13">
        <f>IF('Council Entry'!AW113="","",IFERROR(MAX(0,MIN(10,ROUND(IF('Council Entry'!AW$7="Decrease Risk",10-10*((IF('Council Entry'!AW$4="Logarithm",LN(0.001+IF(AND(ISNUMBER('Council Entry'!AW$8),ISNUMBER('Council Entry'!AW$9)),MAX(MIN('Council Entry'!AW113,'Council Entry'!AW$9),'Council Entry'!AW$8),'Council Entry'!AW113)),IF('Council Entry'!AW$4="Exponential",EXP(IF(AND(ISNUMBER('Council Entry'!AW$8),ISNUMBER('Council Entry'!AW$9)),MAX(MIN('Council Entry'!AW113,'Council Entry'!AW$9),'Council Entry'!AW$8),'Council Entry'!AW113)),IF(AND(ISNUMBER('Council Entry'!AW$8),ISNUMBER('Council Entry'!AW$9)),MAX(MIN('Council Entry'!AW113,'Council Entry'!AW$9),'Council Entry'!AW$8),'Council Entry'!AW113))))-'Council Entry'!AW$5)/('Council Entry'!AW$6-'Council Entry'!AW$5),10*((IF('Council Entry'!AW$4="Logarithm",LN(0.001+IF(AND(ISNUMBER('Council Entry'!AW$8),ISNUMBER('Council Entry'!AW$9)),MAX(MIN('Council Entry'!AW113,'Council Entry'!AW$9),'Council Entry'!AW$8),'Council Entry'!AW113)),IF('Council Entry'!AW$4="Exponential",EXP(IF(AND(ISNUMBER('Council Entry'!AW$8),ISNUMBER('Council Entry'!AW$9)),MAX(MIN('Council Entry'!AW113,'Council Entry'!AW$9),'Council Entry'!AW$8),'Council Entry'!AW113)),IF(AND(ISNUMBER('Council Entry'!AW$8),ISNUMBER('Council Entry'!AW$9)),MAX(MIN('Council Entry'!AW113,'Council Entry'!AW$9),'Council Entry'!AW$8),'Council Entry'!AW113))))-'Council Entry'!AW$5)/('Council Entry'!AW$6-'Council Entry'!AW$5)),1))),"No data"))</f>
        <v/>
      </c>
      <c r="AX113" s="13">
        <f>IF('Council Entry'!AX113="","",IFERROR(MAX(0,MIN(10,ROUND(IF('Council Entry'!AX$7="Decrease Risk",10-10*((IF('Council Entry'!AX$4="Logarithm",LN(0.001+IF(AND(ISNUMBER('Council Entry'!AX$8),ISNUMBER('Council Entry'!AX$9)),MAX(MIN('Council Entry'!AX113,'Council Entry'!AX$9),'Council Entry'!AX$8),'Council Entry'!AX113)),IF('Council Entry'!AX$4="Exponential",EXP(IF(AND(ISNUMBER('Council Entry'!AX$8),ISNUMBER('Council Entry'!AX$9)),MAX(MIN('Council Entry'!AX113,'Council Entry'!AX$9),'Council Entry'!AX$8),'Council Entry'!AX113)),IF(AND(ISNUMBER('Council Entry'!AX$8),ISNUMBER('Council Entry'!AX$9)),MAX(MIN('Council Entry'!AX113,'Council Entry'!AX$9),'Council Entry'!AX$8),'Council Entry'!AX113))))-'Council Entry'!AX$5)/('Council Entry'!AX$6-'Council Entry'!AX$5),10*((IF('Council Entry'!AX$4="Logarithm",LN(0.001+IF(AND(ISNUMBER('Council Entry'!AX$8),ISNUMBER('Council Entry'!AX$9)),MAX(MIN('Council Entry'!AX113,'Council Entry'!AX$9),'Council Entry'!AX$8),'Council Entry'!AX113)),IF('Council Entry'!AX$4="Exponential",EXP(IF(AND(ISNUMBER('Council Entry'!AX$8),ISNUMBER('Council Entry'!AX$9)),MAX(MIN('Council Entry'!AX113,'Council Entry'!AX$9),'Council Entry'!AX$8),'Council Entry'!AX113)),IF(AND(ISNUMBER('Council Entry'!AX$8),ISNUMBER('Council Entry'!AX$9)),MAX(MIN('Council Entry'!AX113,'Council Entry'!AX$9),'Council Entry'!AX$8),'Council Entry'!AX113))))-'Council Entry'!AX$5)/('Council Entry'!AX$6-'Council Entry'!AX$5)),1))),"No data"))</f>
        <v/>
      </c>
      <c r="AY113" s="13">
        <f>IF('Council Entry'!AY113="","",IFERROR(MAX(0,MIN(10,ROUND(IF('Council Entry'!AY$7="Decrease Risk",10-10*((IF('Council Entry'!AY$4="Logarithm",LN(0.001+IF(AND(ISNUMBER('Council Entry'!AY$8),ISNUMBER('Council Entry'!AY$9)),MAX(MIN('Council Entry'!AY113,'Council Entry'!AY$9),'Council Entry'!AY$8),'Council Entry'!AY113)),IF('Council Entry'!AY$4="Exponential",EXP(IF(AND(ISNUMBER('Council Entry'!AY$8),ISNUMBER('Council Entry'!AY$9)),MAX(MIN('Council Entry'!AY113,'Council Entry'!AY$9),'Council Entry'!AY$8),'Council Entry'!AY113)),IF(AND(ISNUMBER('Council Entry'!AY$8),ISNUMBER('Council Entry'!AY$9)),MAX(MIN('Council Entry'!AY113,'Council Entry'!AY$9),'Council Entry'!AY$8),'Council Entry'!AY113))))-'Council Entry'!AY$5)/('Council Entry'!AY$6-'Council Entry'!AY$5),10*((IF('Council Entry'!AY$4="Logarithm",LN(0.001+IF(AND(ISNUMBER('Council Entry'!AY$8),ISNUMBER('Council Entry'!AY$9)),MAX(MIN('Council Entry'!AY113,'Council Entry'!AY$9),'Council Entry'!AY$8),'Council Entry'!AY113)),IF('Council Entry'!AY$4="Exponential",EXP(IF(AND(ISNUMBER('Council Entry'!AY$8),ISNUMBER('Council Entry'!AY$9)),MAX(MIN('Council Entry'!AY113,'Council Entry'!AY$9),'Council Entry'!AY$8),'Council Entry'!AY113)),IF(AND(ISNUMBER('Council Entry'!AY$8),ISNUMBER('Council Entry'!AY$9)),MAX(MIN('Council Entry'!AY113,'Council Entry'!AY$9),'Council Entry'!AY$8),'Council Entry'!AY113))))-'Council Entry'!AY$5)/('Council Entry'!AY$6-'Council Entry'!AY$5)),1))),"No data"))</f>
        <v/>
      </c>
      <c r="AZ113" s="13">
        <f>IF('Council Entry'!AZ113="","",IFERROR(MAX(0,MIN(10,ROUND(IF('Council Entry'!AZ$7="Decrease Risk",10-10*((IF('Council Entry'!AZ$4="Logarithm",LN(0.001+IF(AND(ISNUMBER('Council Entry'!AZ$8),ISNUMBER('Council Entry'!AZ$9)),MAX(MIN('Council Entry'!AZ113,'Council Entry'!AZ$9),'Council Entry'!AZ$8),'Council Entry'!AZ113)),IF('Council Entry'!AZ$4="Exponential",EXP(IF(AND(ISNUMBER('Council Entry'!AZ$8),ISNUMBER('Council Entry'!AZ$9)),MAX(MIN('Council Entry'!AZ113,'Council Entry'!AZ$9),'Council Entry'!AZ$8),'Council Entry'!AZ113)),IF(AND(ISNUMBER('Council Entry'!AZ$8),ISNUMBER('Council Entry'!AZ$9)),MAX(MIN('Council Entry'!AZ113,'Council Entry'!AZ$9),'Council Entry'!AZ$8),'Council Entry'!AZ113))))-'Council Entry'!AZ$5)/('Council Entry'!AZ$6-'Council Entry'!AZ$5),10*((IF('Council Entry'!AZ$4="Logarithm",LN(0.001+IF(AND(ISNUMBER('Council Entry'!AZ$8),ISNUMBER('Council Entry'!AZ$9)),MAX(MIN('Council Entry'!AZ113,'Council Entry'!AZ$9),'Council Entry'!AZ$8),'Council Entry'!AZ113)),IF('Council Entry'!AZ$4="Exponential",EXP(IF(AND(ISNUMBER('Council Entry'!AZ$8),ISNUMBER('Council Entry'!AZ$9)),MAX(MIN('Council Entry'!AZ113,'Council Entry'!AZ$9),'Council Entry'!AZ$8),'Council Entry'!AZ113)),IF(AND(ISNUMBER('Council Entry'!AZ$8),ISNUMBER('Council Entry'!AZ$9)),MAX(MIN('Council Entry'!AZ113,'Council Entry'!AZ$9),'Council Entry'!AZ$8),'Council Entry'!AZ113))))-'Council Entry'!AZ$5)/('Council Entry'!AZ$6-'Council Entry'!AZ$5)),1))),"No data"))</f>
        <v/>
      </c>
      <c r="BA113" s="13">
        <f>IF('Council Entry'!BA113="","",IFERROR(MAX(0,MIN(10,ROUND(IF('Council Entry'!BA$7="Decrease Risk",10-10*((IF('Council Entry'!BA$4="Logarithm",LN(0.001+IF(AND(ISNUMBER('Council Entry'!BA$8),ISNUMBER('Council Entry'!BA$9)),MAX(MIN('Council Entry'!BA113,'Council Entry'!BA$9),'Council Entry'!BA$8),'Council Entry'!BA113)),IF('Council Entry'!BA$4="Exponential",EXP(IF(AND(ISNUMBER('Council Entry'!BA$8),ISNUMBER('Council Entry'!BA$9)),MAX(MIN('Council Entry'!BA113,'Council Entry'!BA$9),'Council Entry'!BA$8),'Council Entry'!BA113)),IF(AND(ISNUMBER('Council Entry'!BA$8),ISNUMBER('Council Entry'!BA$9)),MAX(MIN('Council Entry'!BA113,'Council Entry'!BA$9),'Council Entry'!BA$8),'Council Entry'!BA113))))-'Council Entry'!BA$5)/('Council Entry'!BA$6-'Council Entry'!BA$5),10*((IF('Council Entry'!BA$4="Logarithm",LN(0.001+IF(AND(ISNUMBER('Council Entry'!BA$8),ISNUMBER('Council Entry'!BA$9)),MAX(MIN('Council Entry'!BA113,'Council Entry'!BA$9),'Council Entry'!BA$8),'Council Entry'!BA113)),IF('Council Entry'!BA$4="Exponential",EXP(IF(AND(ISNUMBER('Council Entry'!BA$8),ISNUMBER('Council Entry'!BA$9)),MAX(MIN('Council Entry'!BA113,'Council Entry'!BA$9),'Council Entry'!BA$8),'Council Entry'!BA113)),IF(AND(ISNUMBER('Council Entry'!BA$8),ISNUMBER('Council Entry'!BA$9)),MAX(MIN('Council Entry'!BA113,'Council Entry'!BA$9),'Council Entry'!BA$8),'Council Entry'!BA113))))-'Council Entry'!BA$5)/('Council Entry'!BA$6-'Council Entry'!BA$5)),1))),"No data"))</f>
        <v/>
      </c>
      <c r="BB113" s="13">
        <f>IF('Council Entry'!BB113="","",IFERROR(MAX(0,MIN(10,ROUND(IF('Council Entry'!BB$7="Decrease Risk",10-10*((IF('Council Entry'!BB$4="Logarithm",LN(0.001+IF(AND(ISNUMBER('Council Entry'!BB$8),ISNUMBER('Council Entry'!BB$9)),MAX(MIN('Council Entry'!BB113,'Council Entry'!BB$9),'Council Entry'!BB$8),'Council Entry'!BB113)),IF('Council Entry'!BB$4="Exponential",EXP(IF(AND(ISNUMBER('Council Entry'!BB$8),ISNUMBER('Council Entry'!BB$9)),MAX(MIN('Council Entry'!BB113,'Council Entry'!BB$9),'Council Entry'!BB$8),'Council Entry'!BB113)),IF(AND(ISNUMBER('Council Entry'!BB$8),ISNUMBER('Council Entry'!BB$9)),MAX(MIN('Council Entry'!BB113,'Council Entry'!BB$9),'Council Entry'!BB$8),'Council Entry'!BB113))))-'Council Entry'!BB$5)/('Council Entry'!BB$6-'Council Entry'!BB$5),10*((IF('Council Entry'!BB$4="Logarithm",LN(0.001+IF(AND(ISNUMBER('Council Entry'!BB$8),ISNUMBER('Council Entry'!BB$9)),MAX(MIN('Council Entry'!BB113,'Council Entry'!BB$9),'Council Entry'!BB$8),'Council Entry'!BB113)),IF('Council Entry'!BB$4="Exponential",EXP(IF(AND(ISNUMBER('Council Entry'!BB$8),ISNUMBER('Council Entry'!BB$9)),MAX(MIN('Council Entry'!BB113,'Council Entry'!BB$9),'Council Entry'!BB$8),'Council Entry'!BB113)),IF(AND(ISNUMBER('Council Entry'!BB$8),ISNUMBER('Council Entry'!BB$9)),MAX(MIN('Council Entry'!BB113,'Council Entry'!BB$9),'Council Entry'!BB$8),'Council Entry'!BB113))))-'Council Entry'!BB$5)/('Council Entry'!BB$6-'Council Entry'!BB$5)),1))),"No data"))</f>
        <v/>
      </c>
      <c r="BC113" s="13">
        <f>IF('Council Entry'!BC113="","",IFERROR(MAX(0,MIN(10,ROUND(IF('Council Entry'!BC$7="Decrease Risk",10-10*((IF('Council Entry'!BC$4="Logarithm",LN(0.001+IF(AND(ISNUMBER('Council Entry'!BC$8),ISNUMBER('Council Entry'!BC$9)),MAX(MIN('Council Entry'!BC113,'Council Entry'!BC$9),'Council Entry'!BC$8),'Council Entry'!BC113)),IF('Council Entry'!BC$4="Exponential",EXP(IF(AND(ISNUMBER('Council Entry'!BC$8),ISNUMBER('Council Entry'!BC$9)),MAX(MIN('Council Entry'!BC113,'Council Entry'!BC$9),'Council Entry'!BC$8),'Council Entry'!BC113)),IF(AND(ISNUMBER('Council Entry'!BC$8),ISNUMBER('Council Entry'!BC$9)),MAX(MIN('Council Entry'!BC113,'Council Entry'!BC$9),'Council Entry'!BC$8),'Council Entry'!BC113))))-'Council Entry'!BC$5)/('Council Entry'!BC$6-'Council Entry'!BC$5),10*((IF('Council Entry'!BC$4="Logarithm",LN(0.001+IF(AND(ISNUMBER('Council Entry'!BC$8),ISNUMBER('Council Entry'!BC$9)),MAX(MIN('Council Entry'!BC113,'Council Entry'!BC$9),'Council Entry'!BC$8),'Council Entry'!BC113)),IF('Council Entry'!BC$4="Exponential",EXP(IF(AND(ISNUMBER('Council Entry'!BC$8),ISNUMBER('Council Entry'!BC$9)),MAX(MIN('Council Entry'!BC113,'Council Entry'!BC$9),'Council Entry'!BC$8),'Council Entry'!BC113)),IF(AND(ISNUMBER('Council Entry'!BC$8),ISNUMBER('Council Entry'!BC$9)),MAX(MIN('Council Entry'!BC113,'Council Entry'!BC$9),'Council Entry'!BC$8),'Council Entry'!BC113))))-'Council Entry'!BC$5)/('Council Entry'!BC$6-'Council Entry'!BC$5)),1))),"No data"))</f>
        <v/>
      </c>
      <c r="BD113" s="13">
        <f>IF('Council Entry'!BD113="","",IFERROR(MAX(0,MIN(10,ROUND(IF('Council Entry'!BD$7="Decrease Risk",10-10*((IF('Council Entry'!BD$4="Logarithm",LN(0.001+IF(AND(ISNUMBER('Council Entry'!BD$8),ISNUMBER('Council Entry'!BD$9)),MAX(MIN('Council Entry'!BD113,'Council Entry'!BD$9),'Council Entry'!BD$8),'Council Entry'!BD113)),IF('Council Entry'!BD$4="Exponential",EXP(IF(AND(ISNUMBER('Council Entry'!BD$8),ISNUMBER('Council Entry'!BD$9)),MAX(MIN('Council Entry'!BD113,'Council Entry'!BD$9),'Council Entry'!BD$8),'Council Entry'!BD113)),IF(AND(ISNUMBER('Council Entry'!BD$8),ISNUMBER('Council Entry'!BD$9)),MAX(MIN('Council Entry'!BD113,'Council Entry'!BD$9),'Council Entry'!BD$8),'Council Entry'!BD113))))-'Council Entry'!BD$5)/('Council Entry'!BD$6-'Council Entry'!BD$5),10*((IF('Council Entry'!BD$4="Logarithm",LN(0.001+IF(AND(ISNUMBER('Council Entry'!BD$8),ISNUMBER('Council Entry'!BD$9)),MAX(MIN('Council Entry'!BD113,'Council Entry'!BD$9),'Council Entry'!BD$8),'Council Entry'!BD113)),IF('Council Entry'!BD$4="Exponential",EXP(IF(AND(ISNUMBER('Council Entry'!BD$8),ISNUMBER('Council Entry'!BD$9)),MAX(MIN('Council Entry'!BD113,'Council Entry'!BD$9),'Council Entry'!BD$8),'Council Entry'!BD113)),IF(AND(ISNUMBER('Council Entry'!BD$8),ISNUMBER('Council Entry'!BD$9)),MAX(MIN('Council Entry'!BD113,'Council Entry'!BD$9),'Council Entry'!BD$8),'Council Entry'!BD113))))-'Council Entry'!BD$5)/('Council Entry'!BD$6-'Council Entry'!BD$5)),1))),"No data"))</f>
        <v/>
      </c>
    </row>
    <row r="114">
      <c r="A114" t="inlineStr">
        <is>
          <t>Morogoro</t>
        </is>
      </c>
      <c r="B114" t="inlineStr">
        <is>
          <t>Mlimba District</t>
        </is>
      </c>
      <c r="C114" t="inlineStr">
        <is>
          <t>C037</t>
        </is>
      </c>
      <c r="D114" s="13">
        <f>IF('Council Entry'!D114="","",IFERROR(MAX(0,MIN(10,ROUND(IF('Council Entry'!D$7="Decrease Risk",10-10*((IF('Council Entry'!D$4="Logarithm",LN(0.001+IF(AND(ISNUMBER('Council Entry'!D$8),ISNUMBER('Council Entry'!D$9)),MAX(MIN('Council Entry'!D114,'Council Entry'!D$9),'Council Entry'!D$8),'Council Entry'!D114)),IF('Council Entry'!D$4="Exponential",EXP(IF(AND(ISNUMBER('Council Entry'!D$8),ISNUMBER('Council Entry'!D$9)),MAX(MIN('Council Entry'!D114,'Council Entry'!D$9),'Council Entry'!D$8),'Council Entry'!D114)),IF(AND(ISNUMBER('Council Entry'!D$8),ISNUMBER('Council Entry'!D$9)),MAX(MIN('Council Entry'!D114,'Council Entry'!D$9),'Council Entry'!D$8),'Council Entry'!D114))))-'Council Entry'!D$5)/('Council Entry'!D$6-'Council Entry'!D$5),10*((IF('Council Entry'!D$4="Logarithm",LN(0.001+IF(AND(ISNUMBER('Council Entry'!D$8),ISNUMBER('Council Entry'!D$9)),MAX(MIN('Council Entry'!D114,'Council Entry'!D$9),'Council Entry'!D$8),'Council Entry'!D114)),IF('Council Entry'!D$4="Exponential",EXP(IF(AND(ISNUMBER('Council Entry'!D$8),ISNUMBER('Council Entry'!D$9)),MAX(MIN('Council Entry'!D114,'Council Entry'!D$9),'Council Entry'!D$8),'Council Entry'!D114)),IF(AND(ISNUMBER('Council Entry'!D$8),ISNUMBER('Council Entry'!D$9)),MAX(MIN('Council Entry'!D114,'Council Entry'!D$9),'Council Entry'!D$8),'Council Entry'!D114))))-'Council Entry'!D$5)/('Council Entry'!D$6-'Council Entry'!D$5)),1))),"No data"))</f>
        <v/>
      </c>
      <c r="E114" s="13">
        <f>IF('Council Entry'!E114="","",IFERROR(MAX(0,MIN(10,ROUND(IF('Council Entry'!E$7="Decrease Risk",10-10*((IF('Council Entry'!E$4="Logarithm",LN(0.001+IF(AND(ISNUMBER('Council Entry'!E$8),ISNUMBER('Council Entry'!E$9)),MAX(MIN('Council Entry'!E114,'Council Entry'!E$9),'Council Entry'!E$8),'Council Entry'!E114)),IF('Council Entry'!E$4="Exponential",EXP(IF(AND(ISNUMBER('Council Entry'!E$8),ISNUMBER('Council Entry'!E$9)),MAX(MIN('Council Entry'!E114,'Council Entry'!E$9),'Council Entry'!E$8),'Council Entry'!E114)),IF(AND(ISNUMBER('Council Entry'!E$8),ISNUMBER('Council Entry'!E$9)),MAX(MIN('Council Entry'!E114,'Council Entry'!E$9),'Council Entry'!E$8),'Council Entry'!E114))))-'Council Entry'!E$5)/('Council Entry'!E$6-'Council Entry'!E$5),10*((IF('Council Entry'!E$4="Logarithm",LN(0.001+IF(AND(ISNUMBER('Council Entry'!E$8),ISNUMBER('Council Entry'!E$9)),MAX(MIN('Council Entry'!E114,'Council Entry'!E$9),'Council Entry'!E$8),'Council Entry'!E114)),IF('Council Entry'!E$4="Exponential",EXP(IF(AND(ISNUMBER('Council Entry'!E$8),ISNUMBER('Council Entry'!E$9)),MAX(MIN('Council Entry'!E114,'Council Entry'!E$9),'Council Entry'!E$8),'Council Entry'!E114)),IF(AND(ISNUMBER('Council Entry'!E$8),ISNUMBER('Council Entry'!E$9)),MAX(MIN('Council Entry'!E114,'Council Entry'!E$9),'Council Entry'!E$8),'Council Entry'!E114))))-'Council Entry'!E$5)/('Council Entry'!E$6-'Council Entry'!E$5)),1))),"No data"))</f>
        <v/>
      </c>
      <c r="F114" s="13">
        <f>IF('Council Entry'!F114="","",IFERROR(MAX(0,MIN(10,ROUND(IF('Council Entry'!F$7="Decrease Risk",10-10*((IF('Council Entry'!F$4="Logarithm",LN(0.001+IF(AND(ISNUMBER('Council Entry'!F$8),ISNUMBER('Council Entry'!F$9)),MAX(MIN('Council Entry'!F114,'Council Entry'!F$9),'Council Entry'!F$8),'Council Entry'!F114)),IF('Council Entry'!F$4="Exponential",EXP(IF(AND(ISNUMBER('Council Entry'!F$8),ISNUMBER('Council Entry'!F$9)),MAX(MIN('Council Entry'!F114,'Council Entry'!F$9),'Council Entry'!F$8),'Council Entry'!F114)),IF(AND(ISNUMBER('Council Entry'!F$8),ISNUMBER('Council Entry'!F$9)),MAX(MIN('Council Entry'!F114,'Council Entry'!F$9),'Council Entry'!F$8),'Council Entry'!F114))))-'Council Entry'!F$5)/('Council Entry'!F$6-'Council Entry'!F$5),10*((IF('Council Entry'!F$4="Logarithm",LN(0.001+IF(AND(ISNUMBER('Council Entry'!F$8),ISNUMBER('Council Entry'!F$9)),MAX(MIN('Council Entry'!F114,'Council Entry'!F$9),'Council Entry'!F$8),'Council Entry'!F114)),IF('Council Entry'!F$4="Exponential",EXP(IF(AND(ISNUMBER('Council Entry'!F$8),ISNUMBER('Council Entry'!F$9)),MAX(MIN('Council Entry'!F114,'Council Entry'!F$9),'Council Entry'!F$8),'Council Entry'!F114)),IF(AND(ISNUMBER('Council Entry'!F$8),ISNUMBER('Council Entry'!F$9)),MAX(MIN('Council Entry'!F114,'Council Entry'!F$9),'Council Entry'!F$8),'Council Entry'!F114))))-'Council Entry'!F$5)/('Council Entry'!F$6-'Council Entry'!F$5)),1))),"No data"))</f>
        <v/>
      </c>
      <c r="G114" s="13">
        <f>IF('Council Entry'!G114="","",IFERROR(MAX(0,MIN(10,ROUND(IF('Council Entry'!G$7="Decrease Risk",10-10*((IF('Council Entry'!G$4="Logarithm",LN(0.001+IF(AND(ISNUMBER('Council Entry'!G$8),ISNUMBER('Council Entry'!G$9)),MAX(MIN('Council Entry'!G114,'Council Entry'!G$9),'Council Entry'!G$8),'Council Entry'!G114)),IF('Council Entry'!G$4="Exponential",EXP(IF(AND(ISNUMBER('Council Entry'!G$8),ISNUMBER('Council Entry'!G$9)),MAX(MIN('Council Entry'!G114,'Council Entry'!G$9),'Council Entry'!G$8),'Council Entry'!G114)),IF(AND(ISNUMBER('Council Entry'!G$8),ISNUMBER('Council Entry'!G$9)),MAX(MIN('Council Entry'!G114,'Council Entry'!G$9),'Council Entry'!G$8),'Council Entry'!G114))))-'Council Entry'!G$5)/('Council Entry'!G$6-'Council Entry'!G$5),10*((IF('Council Entry'!G$4="Logarithm",LN(0.001+IF(AND(ISNUMBER('Council Entry'!G$8),ISNUMBER('Council Entry'!G$9)),MAX(MIN('Council Entry'!G114,'Council Entry'!G$9),'Council Entry'!G$8),'Council Entry'!G114)),IF('Council Entry'!G$4="Exponential",EXP(IF(AND(ISNUMBER('Council Entry'!G$8),ISNUMBER('Council Entry'!G$9)),MAX(MIN('Council Entry'!G114,'Council Entry'!G$9),'Council Entry'!G$8),'Council Entry'!G114)),IF(AND(ISNUMBER('Council Entry'!G$8),ISNUMBER('Council Entry'!G$9)),MAX(MIN('Council Entry'!G114,'Council Entry'!G$9),'Council Entry'!G$8),'Council Entry'!G114))))-'Council Entry'!G$5)/('Council Entry'!G$6-'Council Entry'!G$5)),1))),"No data"))</f>
        <v/>
      </c>
      <c r="H114" s="13">
        <f>IF('Council Entry'!H114="","",IFERROR(MAX(0,MIN(10,ROUND(IF('Council Entry'!H$7="Decrease Risk",10-10*((IF('Council Entry'!H$4="Logarithm",LN(0.001+IF(AND(ISNUMBER('Council Entry'!H$8),ISNUMBER('Council Entry'!H$9)),MAX(MIN('Council Entry'!H114,'Council Entry'!H$9),'Council Entry'!H$8),'Council Entry'!H114)),IF('Council Entry'!H$4="Exponential",EXP(IF(AND(ISNUMBER('Council Entry'!H$8),ISNUMBER('Council Entry'!H$9)),MAX(MIN('Council Entry'!H114,'Council Entry'!H$9),'Council Entry'!H$8),'Council Entry'!H114)),IF(AND(ISNUMBER('Council Entry'!H$8),ISNUMBER('Council Entry'!H$9)),MAX(MIN('Council Entry'!H114,'Council Entry'!H$9),'Council Entry'!H$8),'Council Entry'!H114))))-'Council Entry'!H$5)/('Council Entry'!H$6-'Council Entry'!H$5),10*((IF('Council Entry'!H$4="Logarithm",LN(0.001+IF(AND(ISNUMBER('Council Entry'!H$8),ISNUMBER('Council Entry'!H$9)),MAX(MIN('Council Entry'!H114,'Council Entry'!H$9),'Council Entry'!H$8),'Council Entry'!H114)),IF('Council Entry'!H$4="Exponential",EXP(IF(AND(ISNUMBER('Council Entry'!H$8),ISNUMBER('Council Entry'!H$9)),MAX(MIN('Council Entry'!H114,'Council Entry'!H$9),'Council Entry'!H$8),'Council Entry'!H114)),IF(AND(ISNUMBER('Council Entry'!H$8),ISNUMBER('Council Entry'!H$9)),MAX(MIN('Council Entry'!H114,'Council Entry'!H$9),'Council Entry'!H$8),'Council Entry'!H114))))-'Council Entry'!H$5)/('Council Entry'!H$6-'Council Entry'!H$5)),1))),"No data"))</f>
        <v/>
      </c>
      <c r="I114" s="13">
        <f>IF('Council Entry'!I114="","",IFERROR(MAX(0,MIN(10,ROUND(IF('Council Entry'!I$7="Decrease Risk",10-10*((IF('Council Entry'!I$4="Logarithm",LN(0.001+IF(AND(ISNUMBER('Council Entry'!I$8),ISNUMBER('Council Entry'!I$9)),MAX(MIN('Council Entry'!I114,'Council Entry'!I$9),'Council Entry'!I$8),'Council Entry'!I114)),IF('Council Entry'!I$4="Exponential",EXP(IF(AND(ISNUMBER('Council Entry'!I$8),ISNUMBER('Council Entry'!I$9)),MAX(MIN('Council Entry'!I114,'Council Entry'!I$9),'Council Entry'!I$8),'Council Entry'!I114)),IF(AND(ISNUMBER('Council Entry'!I$8),ISNUMBER('Council Entry'!I$9)),MAX(MIN('Council Entry'!I114,'Council Entry'!I$9),'Council Entry'!I$8),'Council Entry'!I114))))-'Council Entry'!I$5)/('Council Entry'!I$6-'Council Entry'!I$5),10*((IF('Council Entry'!I$4="Logarithm",LN(0.001+IF(AND(ISNUMBER('Council Entry'!I$8),ISNUMBER('Council Entry'!I$9)),MAX(MIN('Council Entry'!I114,'Council Entry'!I$9),'Council Entry'!I$8),'Council Entry'!I114)),IF('Council Entry'!I$4="Exponential",EXP(IF(AND(ISNUMBER('Council Entry'!I$8),ISNUMBER('Council Entry'!I$9)),MAX(MIN('Council Entry'!I114,'Council Entry'!I$9),'Council Entry'!I$8),'Council Entry'!I114)),IF(AND(ISNUMBER('Council Entry'!I$8),ISNUMBER('Council Entry'!I$9)),MAX(MIN('Council Entry'!I114,'Council Entry'!I$9),'Council Entry'!I$8),'Council Entry'!I114))))-'Council Entry'!I$5)/('Council Entry'!I$6-'Council Entry'!I$5)),1))),"No data"))</f>
        <v/>
      </c>
      <c r="J114" s="13">
        <f>IF('Council Entry'!J114="","",IFERROR(MAX(0,MIN(10,ROUND(IF('Council Entry'!J$7="Decrease Risk",10-10*((IF('Council Entry'!J$4="Logarithm",LN(0.001+IF(AND(ISNUMBER('Council Entry'!J$8),ISNUMBER('Council Entry'!J$9)),MAX(MIN('Council Entry'!J114,'Council Entry'!J$9),'Council Entry'!J$8),'Council Entry'!J114)),IF('Council Entry'!J$4="Exponential",EXP(IF(AND(ISNUMBER('Council Entry'!J$8),ISNUMBER('Council Entry'!J$9)),MAX(MIN('Council Entry'!J114,'Council Entry'!J$9),'Council Entry'!J$8),'Council Entry'!J114)),IF(AND(ISNUMBER('Council Entry'!J$8),ISNUMBER('Council Entry'!J$9)),MAX(MIN('Council Entry'!J114,'Council Entry'!J$9),'Council Entry'!J$8),'Council Entry'!J114))))-'Council Entry'!J$5)/('Council Entry'!J$6-'Council Entry'!J$5),10*((IF('Council Entry'!J$4="Logarithm",LN(0.001+IF(AND(ISNUMBER('Council Entry'!J$8),ISNUMBER('Council Entry'!J$9)),MAX(MIN('Council Entry'!J114,'Council Entry'!J$9),'Council Entry'!J$8),'Council Entry'!J114)),IF('Council Entry'!J$4="Exponential",EXP(IF(AND(ISNUMBER('Council Entry'!J$8),ISNUMBER('Council Entry'!J$9)),MAX(MIN('Council Entry'!J114,'Council Entry'!J$9),'Council Entry'!J$8),'Council Entry'!J114)),IF(AND(ISNUMBER('Council Entry'!J$8),ISNUMBER('Council Entry'!J$9)),MAX(MIN('Council Entry'!J114,'Council Entry'!J$9),'Council Entry'!J$8),'Council Entry'!J114))))-'Council Entry'!J$5)/('Council Entry'!J$6-'Council Entry'!J$5)),1))),"No data"))</f>
        <v/>
      </c>
      <c r="K114" s="13">
        <f>IF('Council Entry'!K114="","",IFERROR(MAX(0,MIN(10,ROUND(IF('Council Entry'!K$7="Decrease Risk",10-10*((IF('Council Entry'!K$4="Logarithm",LN(0.001+IF(AND(ISNUMBER('Council Entry'!K$8),ISNUMBER('Council Entry'!K$9)),MAX(MIN('Council Entry'!K114,'Council Entry'!K$9),'Council Entry'!K$8),'Council Entry'!K114)),IF('Council Entry'!K$4="Exponential",EXP(IF(AND(ISNUMBER('Council Entry'!K$8),ISNUMBER('Council Entry'!K$9)),MAX(MIN('Council Entry'!K114,'Council Entry'!K$9),'Council Entry'!K$8),'Council Entry'!K114)),IF(AND(ISNUMBER('Council Entry'!K$8),ISNUMBER('Council Entry'!K$9)),MAX(MIN('Council Entry'!K114,'Council Entry'!K$9),'Council Entry'!K$8),'Council Entry'!K114))))-'Council Entry'!K$5)/('Council Entry'!K$6-'Council Entry'!K$5),10*((IF('Council Entry'!K$4="Logarithm",LN(0.001+IF(AND(ISNUMBER('Council Entry'!K$8),ISNUMBER('Council Entry'!K$9)),MAX(MIN('Council Entry'!K114,'Council Entry'!K$9),'Council Entry'!K$8),'Council Entry'!K114)),IF('Council Entry'!K$4="Exponential",EXP(IF(AND(ISNUMBER('Council Entry'!K$8),ISNUMBER('Council Entry'!K$9)),MAX(MIN('Council Entry'!K114,'Council Entry'!K$9),'Council Entry'!K$8),'Council Entry'!K114)),IF(AND(ISNUMBER('Council Entry'!K$8),ISNUMBER('Council Entry'!K$9)),MAX(MIN('Council Entry'!K114,'Council Entry'!K$9),'Council Entry'!K$8),'Council Entry'!K114))))-'Council Entry'!K$5)/('Council Entry'!K$6-'Council Entry'!K$5)),1))),"No data"))</f>
        <v/>
      </c>
      <c r="L114" s="13">
        <f>IF('Council Entry'!L114="","",IFERROR(MAX(0,MIN(10,ROUND(IF('Council Entry'!L$7="Decrease Risk",10-10*((IF('Council Entry'!L$4="Logarithm",LN(0.001+IF(AND(ISNUMBER('Council Entry'!L$8),ISNUMBER('Council Entry'!L$9)),MAX(MIN('Council Entry'!L114,'Council Entry'!L$9),'Council Entry'!L$8),'Council Entry'!L114)),IF('Council Entry'!L$4="Exponential",EXP(IF(AND(ISNUMBER('Council Entry'!L$8),ISNUMBER('Council Entry'!L$9)),MAX(MIN('Council Entry'!L114,'Council Entry'!L$9),'Council Entry'!L$8),'Council Entry'!L114)),IF(AND(ISNUMBER('Council Entry'!L$8),ISNUMBER('Council Entry'!L$9)),MAX(MIN('Council Entry'!L114,'Council Entry'!L$9),'Council Entry'!L$8),'Council Entry'!L114))))-'Council Entry'!L$5)/('Council Entry'!L$6-'Council Entry'!L$5),10*((IF('Council Entry'!L$4="Logarithm",LN(0.001+IF(AND(ISNUMBER('Council Entry'!L$8),ISNUMBER('Council Entry'!L$9)),MAX(MIN('Council Entry'!L114,'Council Entry'!L$9),'Council Entry'!L$8),'Council Entry'!L114)),IF('Council Entry'!L$4="Exponential",EXP(IF(AND(ISNUMBER('Council Entry'!L$8),ISNUMBER('Council Entry'!L$9)),MAX(MIN('Council Entry'!L114,'Council Entry'!L$9),'Council Entry'!L$8),'Council Entry'!L114)),IF(AND(ISNUMBER('Council Entry'!L$8),ISNUMBER('Council Entry'!L$9)),MAX(MIN('Council Entry'!L114,'Council Entry'!L$9),'Council Entry'!L$8),'Council Entry'!L114))))-'Council Entry'!L$5)/('Council Entry'!L$6-'Council Entry'!L$5)),1))),"No data"))</f>
        <v/>
      </c>
      <c r="M114" s="13">
        <f>IF('Council Entry'!M114="","",IFERROR(MAX(0,MIN(10,ROUND(IF('Council Entry'!M$7="Decrease Risk",10-10*((IF('Council Entry'!M$4="Logarithm",LN(0.001+IF(AND(ISNUMBER('Council Entry'!M$8),ISNUMBER('Council Entry'!M$9)),MAX(MIN('Council Entry'!M114,'Council Entry'!M$9),'Council Entry'!M$8),'Council Entry'!M114)),IF('Council Entry'!M$4="Exponential",EXP(IF(AND(ISNUMBER('Council Entry'!M$8),ISNUMBER('Council Entry'!M$9)),MAX(MIN('Council Entry'!M114,'Council Entry'!M$9),'Council Entry'!M$8),'Council Entry'!M114)),IF(AND(ISNUMBER('Council Entry'!M$8),ISNUMBER('Council Entry'!M$9)),MAX(MIN('Council Entry'!M114,'Council Entry'!M$9),'Council Entry'!M$8),'Council Entry'!M114))))-'Council Entry'!M$5)/('Council Entry'!M$6-'Council Entry'!M$5),10*((IF('Council Entry'!M$4="Logarithm",LN(0.001+IF(AND(ISNUMBER('Council Entry'!M$8),ISNUMBER('Council Entry'!M$9)),MAX(MIN('Council Entry'!M114,'Council Entry'!M$9),'Council Entry'!M$8),'Council Entry'!M114)),IF('Council Entry'!M$4="Exponential",EXP(IF(AND(ISNUMBER('Council Entry'!M$8),ISNUMBER('Council Entry'!M$9)),MAX(MIN('Council Entry'!M114,'Council Entry'!M$9),'Council Entry'!M$8),'Council Entry'!M114)),IF(AND(ISNUMBER('Council Entry'!M$8),ISNUMBER('Council Entry'!M$9)),MAX(MIN('Council Entry'!M114,'Council Entry'!M$9),'Council Entry'!M$8),'Council Entry'!M114))))-'Council Entry'!M$5)/('Council Entry'!M$6-'Council Entry'!M$5)),1))),"No data"))</f>
        <v/>
      </c>
      <c r="N114" s="13">
        <f>IF('Council Entry'!N114="","",IFERROR(MAX(0,MIN(10,ROUND(IF('Council Entry'!N$7="Decrease Risk",10-10*((IF('Council Entry'!N$4="Logarithm",LN(0.001+IF(AND(ISNUMBER('Council Entry'!N$8),ISNUMBER('Council Entry'!N$9)),MAX(MIN('Council Entry'!N114,'Council Entry'!N$9),'Council Entry'!N$8),'Council Entry'!N114)),IF('Council Entry'!N$4="Exponential",EXP(IF(AND(ISNUMBER('Council Entry'!N$8),ISNUMBER('Council Entry'!N$9)),MAX(MIN('Council Entry'!N114,'Council Entry'!N$9),'Council Entry'!N$8),'Council Entry'!N114)),IF(AND(ISNUMBER('Council Entry'!N$8),ISNUMBER('Council Entry'!N$9)),MAX(MIN('Council Entry'!N114,'Council Entry'!N$9),'Council Entry'!N$8),'Council Entry'!N114))))-'Council Entry'!N$5)/('Council Entry'!N$6-'Council Entry'!N$5),10*((IF('Council Entry'!N$4="Logarithm",LN(0.001+IF(AND(ISNUMBER('Council Entry'!N$8),ISNUMBER('Council Entry'!N$9)),MAX(MIN('Council Entry'!N114,'Council Entry'!N$9),'Council Entry'!N$8),'Council Entry'!N114)),IF('Council Entry'!N$4="Exponential",EXP(IF(AND(ISNUMBER('Council Entry'!N$8),ISNUMBER('Council Entry'!N$9)),MAX(MIN('Council Entry'!N114,'Council Entry'!N$9),'Council Entry'!N$8),'Council Entry'!N114)),IF(AND(ISNUMBER('Council Entry'!N$8),ISNUMBER('Council Entry'!N$9)),MAX(MIN('Council Entry'!N114,'Council Entry'!N$9),'Council Entry'!N$8),'Council Entry'!N114))))-'Council Entry'!N$5)/('Council Entry'!N$6-'Council Entry'!N$5)),1))),"No data"))</f>
        <v/>
      </c>
      <c r="O114" s="13">
        <f>IF('Council Entry'!O114="","",IFERROR(MAX(0,MIN(10,ROUND(IF('Council Entry'!O$7="Decrease Risk",10-10*((IF('Council Entry'!O$4="Logarithm",LN(0.001+IF(AND(ISNUMBER('Council Entry'!O$8),ISNUMBER('Council Entry'!O$9)),MAX(MIN('Council Entry'!O114,'Council Entry'!O$9),'Council Entry'!O$8),'Council Entry'!O114)),IF('Council Entry'!O$4="Exponential",EXP(IF(AND(ISNUMBER('Council Entry'!O$8),ISNUMBER('Council Entry'!O$9)),MAX(MIN('Council Entry'!O114,'Council Entry'!O$9),'Council Entry'!O$8),'Council Entry'!O114)),IF(AND(ISNUMBER('Council Entry'!O$8),ISNUMBER('Council Entry'!O$9)),MAX(MIN('Council Entry'!O114,'Council Entry'!O$9),'Council Entry'!O$8),'Council Entry'!O114))))-'Council Entry'!O$5)/('Council Entry'!O$6-'Council Entry'!O$5),10*((IF('Council Entry'!O$4="Logarithm",LN(0.001+IF(AND(ISNUMBER('Council Entry'!O$8),ISNUMBER('Council Entry'!O$9)),MAX(MIN('Council Entry'!O114,'Council Entry'!O$9),'Council Entry'!O$8),'Council Entry'!O114)),IF('Council Entry'!O$4="Exponential",EXP(IF(AND(ISNUMBER('Council Entry'!O$8),ISNUMBER('Council Entry'!O$9)),MAX(MIN('Council Entry'!O114,'Council Entry'!O$9),'Council Entry'!O$8),'Council Entry'!O114)),IF(AND(ISNUMBER('Council Entry'!O$8),ISNUMBER('Council Entry'!O$9)),MAX(MIN('Council Entry'!O114,'Council Entry'!O$9),'Council Entry'!O$8),'Council Entry'!O114))))-'Council Entry'!O$5)/('Council Entry'!O$6-'Council Entry'!O$5)),1))),"No data"))</f>
        <v/>
      </c>
      <c r="P114" s="13">
        <f>IF('Council Entry'!P114="","",IFERROR(MAX(0,MIN(10,ROUND(IF('Council Entry'!P$7="Decrease Risk",10-10*((IF('Council Entry'!P$4="Logarithm",LN(0.001+IF(AND(ISNUMBER('Council Entry'!P$8),ISNUMBER('Council Entry'!P$9)),MAX(MIN('Council Entry'!P114,'Council Entry'!P$9),'Council Entry'!P$8),'Council Entry'!P114)),IF('Council Entry'!P$4="Exponential",EXP(IF(AND(ISNUMBER('Council Entry'!P$8),ISNUMBER('Council Entry'!P$9)),MAX(MIN('Council Entry'!P114,'Council Entry'!P$9),'Council Entry'!P$8),'Council Entry'!P114)),IF(AND(ISNUMBER('Council Entry'!P$8),ISNUMBER('Council Entry'!P$9)),MAX(MIN('Council Entry'!P114,'Council Entry'!P$9),'Council Entry'!P$8),'Council Entry'!P114))))-'Council Entry'!P$5)/('Council Entry'!P$6-'Council Entry'!P$5),10*((IF('Council Entry'!P$4="Logarithm",LN(0.001+IF(AND(ISNUMBER('Council Entry'!P$8),ISNUMBER('Council Entry'!P$9)),MAX(MIN('Council Entry'!P114,'Council Entry'!P$9),'Council Entry'!P$8),'Council Entry'!P114)),IF('Council Entry'!P$4="Exponential",EXP(IF(AND(ISNUMBER('Council Entry'!P$8),ISNUMBER('Council Entry'!P$9)),MAX(MIN('Council Entry'!P114,'Council Entry'!P$9),'Council Entry'!P$8),'Council Entry'!P114)),IF(AND(ISNUMBER('Council Entry'!P$8),ISNUMBER('Council Entry'!P$9)),MAX(MIN('Council Entry'!P114,'Council Entry'!P$9),'Council Entry'!P$8),'Council Entry'!P114))))-'Council Entry'!P$5)/('Council Entry'!P$6-'Council Entry'!P$5)),1))),"No data"))</f>
        <v/>
      </c>
      <c r="Q114" s="13">
        <f>IF('Council Entry'!Q114="","",IFERROR(MAX(0,MIN(10,ROUND(IF('Council Entry'!Q$7="Decrease Risk",10-10*((IF('Council Entry'!Q$4="Logarithm",LN(0.001+IF(AND(ISNUMBER('Council Entry'!Q$8),ISNUMBER('Council Entry'!Q$9)),MAX(MIN('Council Entry'!Q114,'Council Entry'!Q$9),'Council Entry'!Q$8),'Council Entry'!Q114)),IF('Council Entry'!Q$4="Exponential",EXP(IF(AND(ISNUMBER('Council Entry'!Q$8),ISNUMBER('Council Entry'!Q$9)),MAX(MIN('Council Entry'!Q114,'Council Entry'!Q$9),'Council Entry'!Q$8),'Council Entry'!Q114)),IF(AND(ISNUMBER('Council Entry'!Q$8),ISNUMBER('Council Entry'!Q$9)),MAX(MIN('Council Entry'!Q114,'Council Entry'!Q$9),'Council Entry'!Q$8),'Council Entry'!Q114))))-'Council Entry'!Q$5)/('Council Entry'!Q$6-'Council Entry'!Q$5),10*((IF('Council Entry'!Q$4="Logarithm",LN(0.001+IF(AND(ISNUMBER('Council Entry'!Q$8),ISNUMBER('Council Entry'!Q$9)),MAX(MIN('Council Entry'!Q114,'Council Entry'!Q$9),'Council Entry'!Q$8),'Council Entry'!Q114)),IF('Council Entry'!Q$4="Exponential",EXP(IF(AND(ISNUMBER('Council Entry'!Q$8),ISNUMBER('Council Entry'!Q$9)),MAX(MIN('Council Entry'!Q114,'Council Entry'!Q$9),'Council Entry'!Q$8),'Council Entry'!Q114)),IF(AND(ISNUMBER('Council Entry'!Q$8),ISNUMBER('Council Entry'!Q$9)),MAX(MIN('Council Entry'!Q114,'Council Entry'!Q$9),'Council Entry'!Q$8),'Council Entry'!Q114))))-'Council Entry'!Q$5)/('Council Entry'!Q$6-'Council Entry'!Q$5)),1))),"No data"))</f>
        <v/>
      </c>
      <c r="R114" s="13">
        <f>IF('Council Entry'!R114="","",IFERROR(MAX(0,MIN(10,ROUND(IF('Council Entry'!R$7="Decrease Risk",10-10*((IF('Council Entry'!R$4="Logarithm",LN(0.001+IF(AND(ISNUMBER('Council Entry'!R$8),ISNUMBER('Council Entry'!R$9)),MAX(MIN('Council Entry'!R114,'Council Entry'!R$9),'Council Entry'!R$8),'Council Entry'!R114)),IF('Council Entry'!R$4="Exponential",EXP(IF(AND(ISNUMBER('Council Entry'!R$8),ISNUMBER('Council Entry'!R$9)),MAX(MIN('Council Entry'!R114,'Council Entry'!R$9),'Council Entry'!R$8),'Council Entry'!R114)),IF(AND(ISNUMBER('Council Entry'!R$8),ISNUMBER('Council Entry'!R$9)),MAX(MIN('Council Entry'!R114,'Council Entry'!R$9),'Council Entry'!R$8),'Council Entry'!R114))))-'Council Entry'!R$5)/('Council Entry'!R$6-'Council Entry'!R$5),10*((IF('Council Entry'!R$4="Logarithm",LN(0.001+IF(AND(ISNUMBER('Council Entry'!R$8),ISNUMBER('Council Entry'!R$9)),MAX(MIN('Council Entry'!R114,'Council Entry'!R$9),'Council Entry'!R$8),'Council Entry'!R114)),IF('Council Entry'!R$4="Exponential",EXP(IF(AND(ISNUMBER('Council Entry'!R$8),ISNUMBER('Council Entry'!R$9)),MAX(MIN('Council Entry'!R114,'Council Entry'!R$9),'Council Entry'!R$8),'Council Entry'!R114)),IF(AND(ISNUMBER('Council Entry'!R$8),ISNUMBER('Council Entry'!R$9)),MAX(MIN('Council Entry'!R114,'Council Entry'!R$9),'Council Entry'!R$8),'Council Entry'!R114))))-'Council Entry'!R$5)/('Council Entry'!R$6-'Council Entry'!R$5)),1))),"No data"))</f>
        <v/>
      </c>
      <c r="S114" s="13">
        <f>IF('Council Entry'!S114="","",IFERROR(MAX(0,MIN(10,ROUND(IF('Council Entry'!S$7="Decrease Risk",10-10*((IF('Council Entry'!S$4="Logarithm",LN(0.001+IF(AND(ISNUMBER('Council Entry'!S$8),ISNUMBER('Council Entry'!S$9)),MAX(MIN('Council Entry'!S114,'Council Entry'!S$9),'Council Entry'!S$8),'Council Entry'!S114)),IF('Council Entry'!S$4="Exponential",EXP(IF(AND(ISNUMBER('Council Entry'!S$8),ISNUMBER('Council Entry'!S$9)),MAX(MIN('Council Entry'!S114,'Council Entry'!S$9),'Council Entry'!S$8),'Council Entry'!S114)),IF(AND(ISNUMBER('Council Entry'!S$8),ISNUMBER('Council Entry'!S$9)),MAX(MIN('Council Entry'!S114,'Council Entry'!S$9),'Council Entry'!S$8),'Council Entry'!S114))))-'Council Entry'!S$5)/('Council Entry'!S$6-'Council Entry'!S$5),10*((IF('Council Entry'!S$4="Logarithm",LN(0.001+IF(AND(ISNUMBER('Council Entry'!S$8),ISNUMBER('Council Entry'!S$9)),MAX(MIN('Council Entry'!S114,'Council Entry'!S$9),'Council Entry'!S$8),'Council Entry'!S114)),IF('Council Entry'!S$4="Exponential",EXP(IF(AND(ISNUMBER('Council Entry'!S$8),ISNUMBER('Council Entry'!S$9)),MAX(MIN('Council Entry'!S114,'Council Entry'!S$9),'Council Entry'!S$8),'Council Entry'!S114)),IF(AND(ISNUMBER('Council Entry'!S$8),ISNUMBER('Council Entry'!S$9)),MAX(MIN('Council Entry'!S114,'Council Entry'!S$9),'Council Entry'!S$8),'Council Entry'!S114))))-'Council Entry'!S$5)/('Council Entry'!S$6-'Council Entry'!S$5)),1))),"No data"))</f>
        <v/>
      </c>
      <c r="T114" s="13">
        <f>IF('Council Entry'!T114="","",IFERROR(MAX(0,MIN(10,ROUND(IF('Council Entry'!T$7="Decrease Risk",10-10*((IF('Council Entry'!T$4="Logarithm",LN(0.001+IF(AND(ISNUMBER('Council Entry'!T$8),ISNUMBER('Council Entry'!T$9)),MAX(MIN('Council Entry'!T114,'Council Entry'!T$9),'Council Entry'!T$8),'Council Entry'!T114)),IF('Council Entry'!T$4="Exponential",EXP(IF(AND(ISNUMBER('Council Entry'!T$8),ISNUMBER('Council Entry'!T$9)),MAX(MIN('Council Entry'!T114,'Council Entry'!T$9),'Council Entry'!T$8),'Council Entry'!T114)),IF(AND(ISNUMBER('Council Entry'!T$8),ISNUMBER('Council Entry'!T$9)),MAX(MIN('Council Entry'!T114,'Council Entry'!T$9),'Council Entry'!T$8),'Council Entry'!T114))))-'Council Entry'!T$5)/('Council Entry'!T$6-'Council Entry'!T$5),10*((IF('Council Entry'!T$4="Logarithm",LN(0.001+IF(AND(ISNUMBER('Council Entry'!T$8),ISNUMBER('Council Entry'!T$9)),MAX(MIN('Council Entry'!T114,'Council Entry'!T$9),'Council Entry'!T$8),'Council Entry'!T114)),IF('Council Entry'!T$4="Exponential",EXP(IF(AND(ISNUMBER('Council Entry'!T$8),ISNUMBER('Council Entry'!T$9)),MAX(MIN('Council Entry'!T114,'Council Entry'!T$9),'Council Entry'!T$8),'Council Entry'!T114)),IF(AND(ISNUMBER('Council Entry'!T$8),ISNUMBER('Council Entry'!T$9)),MAX(MIN('Council Entry'!T114,'Council Entry'!T$9),'Council Entry'!T$8),'Council Entry'!T114))))-'Council Entry'!T$5)/('Council Entry'!T$6-'Council Entry'!T$5)),1))),"No data"))</f>
        <v/>
      </c>
      <c r="U114" s="13">
        <f>IF('Council Entry'!U114="","",IFERROR(MAX(0,MIN(10,ROUND(IF('Council Entry'!U$7="Decrease Risk",10-10*((IF('Council Entry'!U$4="Logarithm",LN(0.001+IF(AND(ISNUMBER('Council Entry'!U$8),ISNUMBER('Council Entry'!U$9)),MAX(MIN('Council Entry'!U114,'Council Entry'!U$9),'Council Entry'!U$8),'Council Entry'!U114)),IF('Council Entry'!U$4="Exponential",EXP(IF(AND(ISNUMBER('Council Entry'!U$8),ISNUMBER('Council Entry'!U$9)),MAX(MIN('Council Entry'!U114,'Council Entry'!U$9),'Council Entry'!U$8),'Council Entry'!U114)),IF(AND(ISNUMBER('Council Entry'!U$8),ISNUMBER('Council Entry'!U$9)),MAX(MIN('Council Entry'!U114,'Council Entry'!U$9),'Council Entry'!U$8),'Council Entry'!U114))))-'Council Entry'!U$5)/('Council Entry'!U$6-'Council Entry'!U$5),10*((IF('Council Entry'!U$4="Logarithm",LN(0.001+IF(AND(ISNUMBER('Council Entry'!U$8),ISNUMBER('Council Entry'!U$9)),MAX(MIN('Council Entry'!U114,'Council Entry'!U$9),'Council Entry'!U$8),'Council Entry'!U114)),IF('Council Entry'!U$4="Exponential",EXP(IF(AND(ISNUMBER('Council Entry'!U$8),ISNUMBER('Council Entry'!U$9)),MAX(MIN('Council Entry'!U114,'Council Entry'!U$9),'Council Entry'!U$8),'Council Entry'!U114)),IF(AND(ISNUMBER('Council Entry'!U$8),ISNUMBER('Council Entry'!U$9)),MAX(MIN('Council Entry'!U114,'Council Entry'!U$9),'Council Entry'!U$8),'Council Entry'!U114))))-'Council Entry'!U$5)/('Council Entry'!U$6-'Council Entry'!U$5)),1))),"No data"))</f>
        <v/>
      </c>
      <c r="V114" s="13">
        <f>IF('Council Entry'!V114="","",IFERROR(MAX(0,MIN(10,ROUND(IF('Council Entry'!V$7="Decrease Risk",10-10*((IF('Council Entry'!V$4="Logarithm",LN(0.001+IF(AND(ISNUMBER('Council Entry'!V$8),ISNUMBER('Council Entry'!V$9)),MAX(MIN('Council Entry'!V114,'Council Entry'!V$9),'Council Entry'!V$8),'Council Entry'!V114)),IF('Council Entry'!V$4="Exponential",EXP(IF(AND(ISNUMBER('Council Entry'!V$8),ISNUMBER('Council Entry'!V$9)),MAX(MIN('Council Entry'!V114,'Council Entry'!V$9),'Council Entry'!V$8),'Council Entry'!V114)),IF(AND(ISNUMBER('Council Entry'!V$8),ISNUMBER('Council Entry'!V$9)),MAX(MIN('Council Entry'!V114,'Council Entry'!V$9),'Council Entry'!V$8),'Council Entry'!V114))))-'Council Entry'!V$5)/('Council Entry'!V$6-'Council Entry'!V$5),10*((IF('Council Entry'!V$4="Logarithm",LN(0.001+IF(AND(ISNUMBER('Council Entry'!V$8),ISNUMBER('Council Entry'!V$9)),MAX(MIN('Council Entry'!V114,'Council Entry'!V$9),'Council Entry'!V$8),'Council Entry'!V114)),IF('Council Entry'!V$4="Exponential",EXP(IF(AND(ISNUMBER('Council Entry'!V$8),ISNUMBER('Council Entry'!V$9)),MAX(MIN('Council Entry'!V114,'Council Entry'!V$9),'Council Entry'!V$8),'Council Entry'!V114)),IF(AND(ISNUMBER('Council Entry'!V$8),ISNUMBER('Council Entry'!V$9)),MAX(MIN('Council Entry'!V114,'Council Entry'!V$9),'Council Entry'!V$8),'Council Entry'!V114))))-'Council Entry'!V$5)/('Council Entry'!V$6-'Council Entry'!V$5)),1))),"No data"))</f>
        <v/>
      </c>
      <c r="W114" s="13">
        <f>IF('Council Entry'!W114="","",IFERROR(MAX(0,MIN(10,ROUND(IF('Council Entry'!W$7="Decrease Risk",10-10*((IF('Council Entry'!W$4="Logarithm",LN(0.001+IF(AND(ISNUMBER('Council Entry'!W$8),ISNUMBER('Council Entry'!W$9)),MAX(MIN('Council Entry'!W114,'Council Entry'!W$9),'Council Entry'!W$8),'Council Entry'!W114)),IF('Council Entry'!W$4="Exponential",EXP(IF(AND(ISNUMBER('Council Entry'!W$8),ISNUMBER('Council Entry'!W$9)),MAX(MIN('Council Entry'!W114,'Council Entry'!W$9),'Council Entry'!W$8),'Council Entry'!W114)),IF(AND(ISNUMBER('Council Entry'!W$8),ISNUMBER('Council Entry'!W$9)),MAX(MIN('Council Entry'!W114,'Council Entry'!W$9),'Council Entry'!W$8),'Council Entry'!W114))))-'Council Entry'!W$5)/('Council Entry'!W$6-'Council Entry'!W$5),10*((IF('Council Entry'!W$4="Logarithm",LN(0.001+IF(AND(ISNUMBER('Council Entry'!W$8),ISNUMBER('Council Entry'!W$9)),MAX(MIN('Council Entry'!W114,'Council Entry'!W$9),'Council Entry'!W$8),'Council Entry'!W114)),IF('Council Entry'!W$4="Exponential",EXP(IF(AND(ISNUMBER('Council Entry'!W$8),ISNUMBER('Council Entry'!W$9)),MAX(MIN('Council Entry'!W114,'Council Entry'!W$9),'Council Entry'!W$8),'Council Entry'!W114)),IF(AND(ISNUMBER('Council Entry'!W$8),ISNUMBER('Council Entry'!W$9)),MAX(MIN('Council Entry'!W114,'Council Entry'!W$9),'Council Entry'!W$8),'Council Entry'!W114))))-'Council Entry'!W$5)/('Council Entry'!W$6-'Council Entry'!W$5)),1))),"No data"))</f>
        <v/>
      </c>
      <c r="X114" s="13">
        <f>IF('Council Entry'!X114="","",IFERROR(MAX(0,MIN(10,ROUND(IF('Council Entry'!X$7="Decrease Risk",10-10*((IF('Council Entry'!X$4="Logarithm",LN(0.001+IF(AND(ISNUMBER('Council Entry'!X$8),ISNUMBER('Council Entry'!X$9)),MAX(MIN('Council Entry'!X114,'Council Entry'!X$9),'Council Entry'!X$8),'Council Entry'!X114)),IF('Council Entry'!X$4="Exponential",EXP(IF(AND(ISNUMBER('Council Entry'!X$8),ISNUMBER('Council Entry'!X$9)),MAX(MIN('Council Entry'!X114,'Council Entry'!X$9),'Council Entry'!X$8),'Council Entry'!X114)),IF(AND(ISNUMBER('Council Entry'!X$8),ISNUMBER('Council Entry'!X$9)),MAX(MIN('Council Entry'!X114,'Council Entry'!X$9),'Council Entry'!X$8),'Council Entry'!X114))))-'Council Entry'!X$5)/('Council Entry'!X$6-'Council Entry'!X$5),10*((IF('Council Entry'!X$4="Logarithm",LN(0.001+IF(AND(ISNUMBER('Council Entry'!X$8),ISNUMBER('Council Entry'!X$9)),MAX(MIN('Council Entry'!X114,'Council Entry'!X$9),'Council Entry'!X$8),'Council Entry'!X114)),IF('Council Entry'!X$4="Exponential",EXP(IF(AND(ISNUMBER('Council Entry'!X$8),ISNUMBER('Council Entry'!X$9)),MAX(MIN('Council Entry'!X114,'Council Entry'!X$9),'Council Entry'!X$8),'Council Entry'!X114)),IF(AND(ISNUMBER('Council Entry'!X$8),ISNUMBER('Council Entry'!X$9)),MAX(MIN('Council Entry'!X114,'Council Entry'!X$9),'Council Entry'!X$8),'Council Entry'!X114))))-'Council Entry'!X$5)/('Council Entry'!X$6-'Council Entry'!X$5)),1))),"No data"))</f>
        <v/>
      </c>
      <c r="Y114" s="13">
        <f>IF('Council Entry'!Y114="","",IFERROR(MAX(0,MIN(10,ROUND(IF('Council Entry'!Y$7="Decrease Risk",10-10*((IF('Council Entry'!Y$4="Logarithm",LN(0.001+IF(AND(ISNUMBER('Council Entry'!Y$8),ISNUMBER('Council Entry'!Y$9)),MAX(MIN('Council Entry'!Y114,'Council Entry'!Y$9),'Council Entry'!Y$8),'Council Entry'!Y114)),IF('Council Entry'!Y$4="Exponential",EXP(IF(AND(ISNUMBER('Council Entry'!Y$8),ISNUMBER('Council Entry'!Y$9)),MAX(MIN('Council Entry'!Y114,'Council Entry'!Y$9),'Council Entry'!Y$8),'Council Entry'!Y114)),IF(AND(ISNUMBER('Council Entry'!Y$8),ISNUMBER('Council Entry'!Y$9)),MAX(MIN('Council Entry'!Y114,'Council Entry'!Y$9),'Council Entry'!Y$8),'Council Entry'!Y114))))-'Council Entry'!Y$5)/('Council Entry'!Y$6-'Council Entry'!Y$5),10*((IF('Council Entry'!Y$4="Logarithm",LN(0.001+IF(AND(ISNUMBER('Council Entry'!Y$8),ISNUMBER('Council Entry'!Y$9)),MAX(MIN('Council Entry'!Y114,'Council Entry'!Y$9),'Council Entry'!Y$8),'Council Entry'!Y114)),IF('Council Entry'!Y$4="Exponential",EXP(IF(AND(ISNUMBER('Council Entry'!Y$8),ISNUMBER('Council Entry'!Y$9)),MAX(MIN('Council Entry'!Y114,'Council Entry'!Y$9),'Council Entry'!Y$8),'Council Entry'!Y114)),IF(AND(ISNUMBER('Council Entry'!Y$8),ISNUMBER('Council Entry'!Y$9)),MAX(MIN('Council Entry'!Y114,'Council Entry'!Y$9),'Council Entry'!Y$8),'Council Entry'!Y114))))-'Council Entry'!Y$5)/('Council Entry'!Y$6-'Council Entry'!Y$5)),1))),"No data"))</f>
        <v/>
      </c>
      <c r="Z114" s="13">
        <f>IF('Council Entry'!Z114="","",IFERROR(MAX(0,MIN(10,ROUND(IF('Council Entry'!Z$7="Decrease Risk",10-10*((IF('Council Entry'!Z$4="Logarithm",LN(0.001+IF(AND(ISNUMBER('Council Entry'!Z$8),ISNUMBER('Council Entry'!Z$9)),MAX(MIN('Council Entry'!Z114,'Council Entry'!Z$9),'Council Entry'!Z$8),'Council Entry'!Z114)),IF('Council Entry'!Z$4="Exponential",EXP(IF(AND(ISNUMBER('Council Entry'!Z$8),ISNUMBER('Council Entry'!Z$9)),MAX(MIN('Council Entry'!Z114,'Council Entry'!Z$9),'Council Entry'!Z$8),'Council Entry'!Z114)),IF(AND(ISNUMBER('Council Entry'!Z$8),ISNUMBER('Council Entry'!Z$9)),MAX(MIN('Council Entry'!Z114,'Council Entry'!Z$9),'Council Entry'!Z$8),'Council Entry'!Z114))))-'Council Entry'!Z$5)/('Council Entry'!Z$6-'Council Entry'!Z$5),10*((IF('Council Entry'!Z$4="Logarithm",LN(0.001+IF(AND(ISNUMBER('Council Entry'!Z$8),ISNUMBER('Council Entry'!Z$9)),MAX(MIN('Council Entry'!Z114,'Council Entry'!Z$9),'Council Entry'!Z$8),'Council Entry'!Z114)),IF('Council Entry'!Z$4="Exponential",EXP(IF(AND(ISNUMBER('Council Entry'!Z$8),ISNUMBER('Council Entry'!Z$9)),MAX(MIN('Council Entry'!Z114,'Council Entry'!Z$9),'Council Entry'!Z$8),'Council Entry'!Z114)),IF(AND(ISNUMBER('Council Entry'!Z$8),ISNUMBER('Council Entry'!Z$9)),MAX(MIN('Council Entry'!Z114,'Council Entry'!Z$9),'Council Entry'!Z$8),'Council Entry'!Z114))))-'Council Entry'!Z$5)/('Council Entry'!Z$6-'Council Entry'!Z$5)),1))),"No data"))</f>
        <v/>
      </c>
      <c r="AA114" s="13">
        <f>IF('Council Entry'!AA114="","",IFERROR(MAX(0,MIN(10,ROUND(IF('Council Entry'!AA$7="Decrease Risk",10-10*((IF('Council Entry'!AA$4="Logarithm",LN(0.001+IF(AND(ISNUMBER('Council Entry'!AA$8),ISNUMBER('Council Entry'!AA$9)),MAX(MIN('Council Entry'!AA114,'Council Entry'!AA$9),'Council Entry'!AA$8),'Council Entry'!AA114)),IF('Council Entry'!AA$4="Exponential",EXP(IF(AND(ISNUMBER('Council Entry'!AA$8),ISNUMBER('Council Entry'!AA$9)),MAX(MIN('Council Entry'!AA114,'Council Entry'!AA$9),'Council Entry'!AA$8),'Council Entry'!AA114)),IF(AND(ISNUMBER('Council Entry'!AA$8),ISNUMBER('Council Entry'!AA$9)),MAX(MIN('Council Entry'!AA114,'Council Entry'!AA$9),'Council Entry'!AA$8),'Council Entry'!AA114))))-'Council Entry'!AA$5)/('Council Entry'!AA$6-'Council Entry'!AA$5),10*((IF('Council Entry'!AA$4="Logarithm",LN(0.001+IF(AND(ISNUMBER('Council Entry'!AA$8),ISNUMBER('Council Entry'!AA$9)),MAX(MIN('Council Entry'!AA114,'Council Entry'!AA$9),'Council Entry'!AA$8),'Council Entry'!AA114)),IF('Council Entry'!AA$4="Exponential",EXP(IF(AND(ISNUMBER('Council Entry'!AA$8),ISNUMBER('Council Entry'!AA$9)),MAX(MIN('Council Entry'!AA114,'Council Entry'!AA$9),'Council Entry'!AA$8),'Council Entry'!AA114)),IF(AND(ISNUMBER('Council Entry'!AA$8),ISNUMBER('Council Entry'!AA$9)),MAX(MIN('Council Entry'!AA114,'Council Entry'!AA$9),'Council Entry'!AA$8),'Council Entry'!AA114))))-'Council Entry'!AA$5)/('Council Entry'!AA$6-'Council Entry'!AA$5)),1))),"No data"))</f>
        <v/>
      </c>
      <c r="AB114" s="13">
        <f>IF('Council Entry'!AB114="","",IFERROR(MAX(0,MIN(10,ROUND(IF('Council Entry'!AB$7="Decrease Risk",10-10*((IF('Council Entry'!AB$4="Logarithm",LN(0.001+IF(AND(ISNUMBER('Council Entry'!AB$8),ISNUMBER('Council Entry'!AB$9)),MAX(MIN('Council Entry'!AB114,'Council Entry'!AB$9),'Council Entry'!AB$8),'Council Entry'!AB114)),IF('Council Entry'!AB$4="Exponential",EXP(IF(AND(ISNUMBER('Council Entry'!AB$8),ISNUMBER('Council Entry'!AB$9)),MAX(MIN('Council Entry'!AB114,'Council Entry'!AB$9),'Council Entry'!AB$8),'Council Entry'!AB114)),IF(AND(ISNUMBER('Council Entry'!AB$8),ISNUMBER('Council Entry'!AB$9)),MAX(MIN('Council Entry'!AB114,'Council Entry'!AB$9),'Council Entry'!AB$8),'Council Entry'!AB114))))-'Council Entry'!AB$5)/('Council Entry'!AB$6-'Council Entry'!AB$5),10*((IF('Council Entry'!AB$4="Logarithm",LN(0.001+IF(AND(ISNUMBER('Council Entry'!AB$8),ISNUMBER('Council Entry'!AB$9)),MAX(MIN('Council Entry'!AB114,'Council Entry'!AB$9),'Council Entry'!AB$8),'Council Entry'!AB114)),IF('Council Entry'!AB$4="Exponential",EXP(IF(AND(ISNUMBER('Council Entry'!AB$8),ISNUMBER('Council Entry'!AB$9)),MAX(MIN('Council Entry'!AB114,'Council Entry'!AB$9),'Council Entry'!AB$8),'Council Entry'!AB114)),IF(AND(ISNUMBER('Council Entry'!AB$8),ISNUMBER('Council Entry'!AB$9)),MAX(MIN('Council Entry'!AB114,'Council Entry'!AB$9),'Council Entry'!AB$8),'Council Entry'!AB114))))-'Council Entry'!AB$5)/('Council Entry'!AB$6-'Council Entry'!AB$5)),1))),"No data"))</f>
        <v/>
      </c>
      <c r="AC114" s="13">
        <f>IF('Council Entry'!AC114="","",IFERROR(MAX(0,MIN(10,ROUND(IF('Council Entry'!AC$7="Decrease Risk",10-10*((IF('Council Entry'!AC$4="Logarithm",LN(0.001+IF(AND(ISNUMBER('Council Entry'!AC$8),ISNUMBER('Council Entry'!AC$9)),MAX(MIN('Council Entry'!AC114,'Council Entry'!AC$9),'Council Entry'!AC$8),'Council Entry'!AC114)),IF('Council Entry'!AC$4="Exponential",EXP(IF(AND(ISNUMBER('Council Entry'!AC$8),ISNUMBER('Council Entry'!AC$9)),MAX(MIN('Council Entry'!AC114,'Council Entry'!AC$9),'Council Entry'!AC$8),'Council Entry'!AC114)),IF(AND(ISNUMBER('Council Entry'!AC$8),ISNUMBER('Council Entry'!AC$9)),MAX(MIN('Council Entry'!AC114,'Council Entry'!AC$9),'Council Entry'!AC$8),'Council Entry'!AC114))))-'Council Entry'!AC$5)/('Council Entry'!AC$6-'Council Entry'!AC$5),10*((IF('Council Entry'!AC$4="Logarithm",LN(0.001+IF(AND(ISNUMBER('Council Entry'!AC$8),ISNUMBER('Council Entry'!AC$9)),MAX(MIN('Council Entry'!AC114,'Council Entry'!AC$9),'Council Entry'!AC$8),'Council Entry'!AC114)),IF('Council Entry'!AC$4="Exponential",EXP(IF(AND(ISNUMBER('Council Entry'!AC$8),ISNUMBER('Council Entry'!AC$9)),MAX(MIN('Council Entry'!AC114,'Council Entry'!AC$9),'Council Entry'!AC$8),'Council Entry'!AC114)),IF(AND(ISNUMBER('Council Entry'!AC$8),ISNUMBER('Council Entry'!AC$9)),MAX(MIN('Council Entry'!AC114,'Council Entry'!AC$9),'Council Entry'!AC$8),'Council Entry'!AC114))))-'Council Entry'!AC$5)/('Council Entry'!AC$6-'Council Entry'!AC$5)),1))),"No data"))</f>
        <v/>
      </c>
      <c r="AD114" s="13">
        <f>IF('Council Entry'!AD114="","",IFERROR(MAX(0,MIN(10,ROUND(IF('Council Entry'!AD$7="Decrease Risk",10-10*((IF('Council Entry'!AD$4="Logarithm",LN(0.001+IF(AND(ISNUMBER('Council Entry'!AD$8),ISNUMBER('Council Entry'!AD$9)),MAX(MIN('Council Entry'!AD114,'Council Entry'!AD$9),'Council Entry'!AD$8),'Council Entry'!AD114)),IF('Council Entry'!AD$4="Exponential",EXP(IF(AND(ISNUMBER('Council Entry'!AD$8),ISNUMBER('Council Entry'!AD$9)),MAX(MIN('Council Entry'!AD114,'Council Entry'!AD$9),'Council Entry'!AD$8),'Council Entry'!AD114)),IF(AND(ISNUMBER('Council Entry'!AD$8),ISNUMBER('Council Entry'!AD$9)),MAX(MIN('Council Entry'!AD114,'Council Entry'!AD$9),'Council Entry'!AD$8),'Council Entry'!AD114))))-'Council Entry'!AD$5)/('Council Entry'!AD$6-'Council Entry'!AD$5),10*((IF('Council Entry'!AD$4="Logarithm",LN(0.001+IF(AND(ISNUMBER('Council Entry'!AD$8),ISNUMBER('Council Entry'!AD$9)),MAX(MIN('Council Entry'!AD114,'Council Entry'!AD$9),'Council Entry'!AD$8),'Council Entry'!AD114)),IF('Council Entry'!AD$4="Exponential",EXP(IF(AND(ISNUMBER('Council Entry'!AD$8),ISNUMBER('Council Entry'!AD$9)),MAX(MIN('Council Entry'!AD114,'Council Entry'!AD$9),'Council Entry'!AD$8),'Council Entry'!AD114)),IF(AND(ISNUMBER('Council Entry'!AD$8),ISNUMBER('Council Entry'!AD$9)),MAX(MIN('Council Entry'!AD114,'Council Entry'!AD$9),'Council Entry'!AD$8),'Council Entry'!AD114))))-'Council Entry'!AD$5)/('Council Entry'!AD$6-'Council Entry'!AD$5)),1))),"No data"))</f>
        <v/>
      </c>
      <c r="AE114" s="13">
        <f>IF('Council Entry'!AE114="","",IFERROR(MAX(0,MIN(10,ROUND(IF('Council Entry'!AE$7="Decrease Risk",10-10*((IF('Council Entry'!AE$4="Logarithm",LN(0.001+IF(AND(ISNUMBER('Council Entry'!AE$8),ISNUMBER('Council Entry'!AE$9)),MAX(MIN('Council Entry'!AE114,'Council Entry'!AE$9),'Council Entry'!AE$8),'Council Entry'!AE114)),IF('Council Entry'!AE$4="Exponential",EXP(IF(AND(ISNUMBER('Council Entry'!AE$8),ISNUMBER('Council Entry'!AE$9)),MAX(MIN('Council Entry'!AE114,'Council Entry'!AE$9),'Council Entry'!AE$8),'Council Entry'!AE114)),IF(AND(ISNUMBER('Council Entry'!AE$8),ISNUMBER('Council Entry'!AE$9)),MAX(MIN('Council Entry'!AE114,'Council Entry'!AE$9),'Council Entry'!AE$8),'Council Entry'!AE114))))-'Council Entry'!AE$5)/('Council Entry'!AE$6-'Council Entry'!AE$5),10*((IF('Council Entry'!AE$4="Logarithm",LN(0.001+IF(AND(ISNUMBER('Council Entry'!AE$8),ISNUMBER('Council Entry'!AE$9)),MAX(MIN('Council Entry'!AE114,'Council Entry'!AE$9),'Council Entry'!AE$8),'Council Entry'!AE114)),IF('Council Entry'!AE$4="Exponential",EXP(IF(AND(ISNUMBER('Council Entry'!AE$8),ISNUMBER('Council Entry'!AE$9)),MAX(MIN('Council Entry'!AE114,'Council Entry'!AE$9),'Council Entry'!AE$8),'Council Entry'!AE114)),IF(AND(ISNUMBER('Council Entry'!AE$8),ISNUMBER('Council Entry'!AE$9)),MAX(MIN('Council Entry'!AE114,'Council Entry'!AE$9),'Council Entry'!AE$8),'Council Entry'!AE114))))-'Council Entry'!AE$5)/('Council Entry'!AE$6-'Council Entry'!AE$5)),1))),"No data"))</f>
        <v/>
      </c>
      <c r="AF114" s="13">
        <f>IF('Council Entry'!AF114="","",IFERROR(MAX(0,MIN(10,ROUND(IF('Council Entry'!AF$7="Decrease Risk",10-10*((IF('Council Entry'!AF$4="Logarithm",LN(0.001+IF(AND(ISNUMBER('Council Entry'!AF$8),ISNUMBER('Council Entry'!AF$9)),MAX(MIN('Council Entry'!AF114,'Council Entry'!AF$9),'Council Entry'!AF$8),'Council Entry'!AF114)),IF('Council Entry'!AF$4="Exponential",EXP(IF(AND(ISNUMBER('Council Entry'!AF$8),ISNUMBER('Council Entry'!AF$9)),MAX(MIN('Council Entry'!AF114,'Council Entry'!AF$9),'Council Entry'!AF$8),'Council Entry'!AF114)),IF(AND(ISNUMBER('Council Entry'!AF$8),ISNUMBER('Council Entry'!AF$9)),MAX(MIN('Council Entry'!AF114,'Council Entry'!AF$9),'Council Entry'!AF$8),'Council Entry'!AF114))))-'Council Entry'!AF$5)/('Council Entry'!AF$6-'Council Entry'!AF$5),10*((IF('Council Entry'!AF$4="Logarithm",LN(0.001+IF(AND(ISNUMBER('Council Entry'!AF$8),ISNUMBER('Council Entry'!AF$9)),MAX(MIN('Council Entry'!AF114,'Council Entry'!AF$9),'Council Entry'!AF$8),'Council Entry'!AF114)),IF('Council Entry'!AF$4="Exponential",EXP(IF(AND(ISNUMBER('Council Entry'!AF$8),ISNUMBER('Council Entry'!AF$9)),MAX(MIN('Council Entry'!AF114,'Council Entry'!AF$9),'Council Entry'!AF$8),'Council Entry'!AF114)),IF(AND(ISNUMBER('Council Entry'!AF$8),ISNUMBER('Council Entry'!AF$9)),MAX(MIN('Council Entry'!AF114,'Council Entry'!AF$9),'Council Entry'!AF$8),'Council Entry'!AF114))))-'Council Entry'!AF$5)/('Council Entry'!AF$6-'Council Entry'!AF$5)),1))),"No data"))</f>
        <v/>
      </c>
      <c r="AG114" s="13">
        <f>IF('Council Entry'!AG114="","",IFERROR(MAX(0,MIN(10,ROUND(IF('Council Entry'!AG$7="Decrease Risk",10-10*((IF('Council Entry'!AG$4="Logarithm",LN(0.001+IF(AND(ISNUMBER('Council Entry'!AG$8),ISNUMBER('Council Entry'!AG$9)),MAX(MIN('Council Entry'!AG114,'Council Entry'!AG$9),'Council Entry'!AG$8),'Council Entry'!AG114)),IF('Council Entry'!AG$4="Exponential",EXP(IF(AND(ISNUMBER('Council Entry'!AG$8),ISNUMBER('Council Entry'!AG$9)),MAX(MIN('Council Entry'!AG114,'Council Entry'!AG$9),'Council Entry'!AG$8),'Council Entry'!AG114)),IF(AND(ISNUMBER('Council Entry'!AG$8),ISNUMBER('Council Entry'!AG$9)),MAX(MIN('Council Entry'!AG114,'Council Entry'!AG$9),'Council Entry'!AG$8),'Council Entry'!AG114))))-'Council Entry'!AG$5)/('Council Entry'!AG$6-'Council Entry'!AG$5),10*((IF('Council Entry'!AG$4="Logarithm",LN(0.001+IF(AND(ISNUMBER('Council Entry'!AG$8),ISNUMBER('Council Entry'!AG$9)),MAX(MIN('Council Entry'!AG114,'Council Entry'!AG$9),'Council Entry'!AG$8),'Council Entry'!AG114)),IF('Council Entry'!AG$4="Exponential",EXP(IF(AND(ISNUMBER('Council Entry'!AG$8),ISNUMBER('Council Entry'!AG$9)),MAX(MIN('Council Entry'!AG114,'Council Entry'!AG$9),'Council Entry'!AG$8),'Council Entry'!AG114)),IF(AND(ISNUMBER('Council Entry'!AG$8),ISNUMBER('Council Entry'!AG$9)),MAX(MIN('Council Entry'!AG114,'Council Entry'!AG$9),'Council Entry'!AG$8),'Council Entry'!AG114))))-'Council Entry'!AG$5)/('Council Entry'!AG$6-'Council Entry'!AG$5)),1))),"No data"))</f>
        <v/>
      </c>
      <c r="AH114" s="13">
        <f>IF('Council Entry'!AH114="","",IFERROR(MAX(0,MIN(10,ROUND(IF('Council Entry'!AH$7="Decrease Risk",10-10*((IF('Council Entry'!AH$4="Logarithm",LN(0.001+IF(AND(ISNUMBER('Council Entry'!AH$8),ISNUMBER('Council Entry'!AH$9)),MAX(MIN('Council Entry'!AH114,'Council Entry'!AH$9),'Council Entry'!AH$8),'Council Entry'!AH114)),IF('Council Entry'!AH$4="Exponential",EXP(IF(AND(ISNUMBER('Council Entry'!AH$8),ISNUMBER('Council Entry'!AH$9)),MAX(MIN('Council Entry'!AH114,'Council Entry'!AH$9),'Council Entry'!AH$8),'Council Entry'!AH114)),IF(AND(ISNUMBER('Council Entry'!AH$8),ISNUMBER('Council Entry'!AH$9)),MAX(MIN('Council Entry'!AH114,'Council Entry'!AH$9),'Council Entry'!AH$8),'Council Entry'!AH114))))-'Council Entry'!AH$5)/('Council Entry'!AH$6-'Council Entry'!AH$5),10*((IF('Council Entry'!AH$4="Logarithm",LN(0.001+IF(AND(ISNUMBER('Council Entry'!AH$8),ISNUMBER('Council Entry'!AH$9)),MAX(MIN('Council Entry'!AH114,'Council Entry'!AH$9),'Council Entry'!AH$8),'Council Entry'!AH114)),IF('Council Entry'!AH$4="Exponential",EXP(IF(AND(ISNUMBER('Council Entry'!AH$8),ISNUMBER('Council Entry'!AH$9)),MAX(MIN('Council Entry'!AH114,'Council Entry'!AH$9),'Council Entry'!AH$8),'Council Entry'!AH114)),IF(AND(ISNUMBER('Council Entry'!AH$8),ISNUMBER('Council Entry'!AH$9)),MAX(MIN('Council Entry'!AH114,'Council Entry'!AH$9),'Council Entry'!AH$8),'Council Entry'!AH114))))-'Council Entry'!AH$5)/('Council Entry'!AH$6-'Council Entry'!AH$5)),1))),"No data"))</f>
        <v/>
      </c>
      <c r="AI114" s="13">
        <f>IF('Council Entry'!AI114="","",IFERROR(MAX(0,MIN(10,ROUND(IF('Council Entry'!AI$7="Decrease Risk",10-10*((IF('Council Entry'!AI$4="Logarithm",LN(0.001+IF(AND(ISNUMBER('Council Entry'!AI$8),ISNUMBER('Council Entry'!AI$9)),MAX(MIN('Council Entry'!AI114,'Council Entry'!AI$9),'Council Entry'!AI$8),'Council Entry'!AI114)),IF('Council Entry'!AI$4="Exponential",EXP(IF(AND(ISNUMBER('Council Entry'!AI$8),ISNUMBER('Council Entry'!AI$9)),MAX(MIN('Council Entry'!AI114,'Council Entry'!AI$9),'Council Entry'!AI$8),'Council Entry'!AI114)),IF(AND(ISNUMBER('Council Entry'!AI$8),ISNUMBER('Council Entry'!AI$9)),MAX(MIN('Council Entry'!AI114,'Council Entry'!AI$9),'Council Entry'!AI$8),'Council Entry'!AI114))))-'Council Entry'!AI$5)/('Council Entry'!AI$6-'Council Entry'!AI$5),10*((IF('Council Entry'!AI$4="Logarithm",LN(0.001+IF(AND(ISNUMBER('Council Entry'!AI$8),ISNUMBER('Council Entry'!AI$9)),MAX(MIN('Council Entry'!AI114,'Council Entry'!AI$9),'Council Entry'!AI$8),'Council Entry'!AI114)),IF('Council Entry'!AI$4="Exponential",EXP(IF(AND(ISNUMBER('Council Entry'!AI$8),ISNUMBER('Council Entry'!AI$9)),MAX(MIN('Council Entry'!AI114,'Council Entry'!AI$9),'Council Entry'!AI$8),'Council Entry'!AI114)),IF(AND(ISNUMBER('Council Entry'!AI$8),ISNUMBER('Council Entry'!AI$9)),MAX(MIN('Council Entry'!AI114,'Council Entry'!AI$9),'Council Entry'!AI$8),'Council Entry'!AI114))))-'Council Entry'!AI$5)/('Council Entry'!AI$6-'Council Entry'!AI$5)),1))),"No data"))</f>
        <v/>
      </c>
      <c r="AJ114" s="13">
        <f>IF('Council Entry'!AJ114="","",IFERROR(MAX(0,MIN(10,ROUND(IF('Council Entry'!AJ$7="Decrease Risk",10-10*((IF('Council Entry'!AJ$4="Logarithm",LN(0.001+IF(AND(ISNUMBER('Council Entry'!AJ$8),ISNUMBER('Council Entry'!AJ$9)),MAX(MIN('Council Entry'!AJ114,'Council Entry'!AJ$9),'Council Entry'!AJ$8),'Council Entry'!AJ114)),IF('Council Entry'!AJ$4="Exponential",EXP(IF(AND(ISNUMBER('Council Entry'!AJ$8),ISNUMBER('Council Entry'!AJ$9)),MAX(MIN('Council Entry'!AJ114,'Council Entry'!AJ$9),'Council Entry'!AJ$8),'Council Entry'!AJ114)),IF(AND(ISNUMBER('Council Entry'!AJ$8),ISNUMBER('Council Entry'!AJ$9)),MAX(MIN('Council Entry'!AJ114,'Council Entry'!AJ$9),'Council Entry'!AJ$8),'Council Entry'!AJ114))))-'Council Entry'!AJ$5)/('Council Entry'!AJ$6-'Council Entry'!AJ$5),10*((IF('Council Entry'!AJ$4="Logarithm",LN(0.001+IF(AND(ISNUMBER('Council Entry'!AJ$8),ISNUMBER('Council Entry'!AJ$9)),MAX(MIN('Council Entry'!AJ114,'Council Entry'!AJ$9),'Council Entry'!AJ$8),'Council Entry'!AJ114)),IF('Council Entry'!AJ$4="Exponential",EXP(IF(AND(ISNUMBER('Council Entry'!AJ$8),ISNUMBER('Council Entry'!AJ$9)),MAX(MIN('Council Entry'!AJ114,'Council Entry'!AJ$9),'Council Entry'!AJ$8),'Council Entry'!AJ114)),IF(AND(ISNUMBER('Council Entry'!AJ$8),ISNUMBER('Council Entry'!AJ$9)),MAX(MIN('Council Entry'!AJ114,'Council Entry'!AJ$9),'Council Entry'!AJ$8),'Council Entry'!AJ114))))-'Council Entry'!AJ$5)/('Council Entry'!AJ$6-'Council Entry'!AJ$5)),1))),"No data"))</f>
        <v/>
      </c>
      <c r="AK114" s="13">
        <f>IF('Council Entry'!AK114="","",IFERROR(MAX(0,MIN(10,ROUND(IF('Council Entry'!AK$7="Decrease Risk",10-10*((IF('Council Entry'!AK$4="Logarithm",LN(0.001+IF(AND(ISNUMBER('Council Entry'!AK$8),ISNUMBER('Council Entry'!AK$9)),MAX(MIN('Council Entry'!AK114,'Council Entry'!AK$9),'Council Entry'!AK$8),'Council Entry'!AK114)),IF('Council Entry'!AK$4="Exponential",EXP(IF(AND(ISNUMBER('Council Entry'!AK$8),ISNUMBER('Council Entry'!AK$9)),MAX(MIN('Council Entry'!AK114,'Council Entry'!AK$9),'Council Entry'!AK$8),'Council Entry'!AK114)),IF(AND(ISNUMBER('Council Entry'!AK$8),ISNUMBER('Council Entry'!AK$9)),MAX(MIN('Council Entry'!AK114,'Council Entry'!AK$9),'Council Entry'!AK$8),'Council Entry'!AK114))))-'Council Entry'!AK$5)/('Council Entry'!AK$6-'Council Entry'!AK$5),10*((IF('Council Entry'!AK$4="Logarithm",LN(0.001+IF(AND(ISNUMBER('Council Entry'!AK$8),ISNUMBER('Council Entry'!AK$9)),MAX(MIN('Council Entry'!AK114,'Council Entry'!AK$9),'Council Entry'!AK$8),'Council Entry'!AK114)),IF('Council Entry'!AK$4="Exponential",EXP(IF(AND(ISNUMBER('Council Entry'!AK$8),ISNUMBER('Council Entry'!AK$9)),MAX(MIN('Council Entry'!AK114,'Council Entry'!AK$9),'Council Entry'!AK$8),'Council Entry'!AK114)),IF(AND(ISNUMBER('Council Entry'!AK$8),ISNUMBER('Council Entry'!AK$9)),MAX(MIN('Council Entry'!AK114,'Council Entry'!AK$9),'Council Entry'!AK$8),'Council Entry'!AK114))))-'Council Entry'!AK$5)/('Council Entry'!AK$6-'Council Entry'!AK$5)),1))),"No data"))</f>
        <v/>
      </c>
      <c r="AL114" s="13">
        <f>IF('Council Entry'!AL114="","",IFERROR(MAX(0,MIN(10,ROUND(IF('Council Entry'!AL$7="Decrease Risk",10-10*((IF('Council Entry'!AL$4="Logarithm",LN(0.001+IF(AND(ISNUMBER('Council Entry'!AL$8),ISNUMBER('Council Entry'!AL$9)),MAX(MIN('Council Entry'!AL114,'Council Entry'!AL$9),'Council Entry'!AL$8),'Council Entry'!AL114)),IF('Council Entry'!AL$4="Exponential",EXP(IF(AND(ISNUMBER('Council Entry'!AL$8),ISNUMBER('Council Entry'!AL$9)),MAX(MIN('Council Entry'!AL114,'Council Entry'!AL$9),'Council Entry'!AL$8),'Council Entry'!AL114)),IF(AND(ISNUMBER('Council Entry'!AL$8),ISNUMBER('Council Entry'!AL$9)),MAX(MIN('Council Entry'!AL114,'Council Entry'!AL$9),'Council Entry'!AL$8),'Council Entry'!AL114))))-'Council Entry'!AL$5)/('Council Entry'!AL$6-'Council Entry'!AL$5),10*((IF('Council Entry'!AL$4="Logarithm",LN(0.001+IF(AND(ISNUMBER('Council Entry'!AL$8),ISNUMBER('Council Entry'!AL$9)),MAX(MIN('Council Entry'!AL114,'Council Entry'!AL$9),'Council Entry'!AL$8),'Council Entry'!AL114)),IF('Council Entry'!AL$4="Exponential",EXP(IF(AND(ISNUMBER('Council Entry'!AL$8),ISNUMBER('Council Entry'!AL$9)),MAX(MIN('Council Entry'!AL114,'Council Entry'!AL$9),'Council Entry'!AL$8),'Council Entry'!AL114)),IF(AND(ISNUMBER('Council Entry'!AL$8),ISNUMBER('Council Entry'!AL$9)),MAX(MIN('Council Entry'!AL114,'Council Entry'!AL$9),'Council Entry'!AL$8),'Council Entry'!AL114))))-'Council Entry'!AL$5)/('Council Entry'!AL$6-'Council Entry'!AL$5)),1))),"No data"))</f>
        <v/>
      </c>
      <c r="AM114" s="13">
        <f>IF('Council Entry'!AM114="","",IFERROR(MAX(0,MIN(10,ROUND(IF('Council Entry'!AM$7="Decrease Risk",10-10*((IF('Council Entry'!AM$4="Logarithm",LN(0.001+IF(AND(ISNUMBER('Council Entry'!AM$8),ISNUMBER('Council Entry'!AM$9)),MAX(MIN('Council Entry'!AM114,'Council Entry'!AM$9),'Council Entry'!AM$8),'Council Entry'!AM114)),IF('Council Entry'!AM$4="Exponential",EXP(IF(AND(ISNUMBER('Council Entry'!AM$8),ISNUMBER('Council Entry'!AM$9)),MAX(MIN('Council Entry'!AM114,'Council Entry'!AM$9),'Council Entry'!AM$8),'Council Entry'!AM114)),IF(AND(ISNUMBER('Council Entry'!AM$8),ISNUMBER('Council Entry'!AM$9)),MAX(MIN('Council Entry'!AM114,'Council Entry'!AM$9),'Council Entry'!AM$8),'Council Entry'!AM114))))-'Council Entry'!AM$5)/('Council Entry'!AM$6-'Council Entry'!AM$5),10*((IF('Council Entry'!AM$4="Logarithm",LN(0.001+IF(AND(ISNUMBER('Council Entry'!AM$8),ISNUMBER('Council Entry'!AM$9)),MAX(MIN('Council Entry'!AM114,'Council Entry'!AM$9),'Council Entry'!AM$8),'Council Entry'!AM114)),IF('Council Entry'!AM$4="Exponential",EXP(IF(AND(ISNUMBER('Council Entry'!AM$8),ISNUMBER('Council Entry'!AM$9)),MAX(MIN('Council Entry'!AM114,'Council Entry'!AM$9),'Council Entry'!AM$8),'Council Entry'!AM114)),IF(AND(ISNUMBER('Council Entry'!AM$8),ISNUMBER('Council Entry'!AM$9)),MAX(MIN('Council Entry'!AM114,'Council Entry'!AM$9),'Council Entry'!AM$8),'Council Entry'!AM114))))-'Council Entry'!AM$5)/('Council Entry'!AM$6-'Council Entry'!AM$5)),1))),"No data"))</f>
        <v/>
      </c>
      <c r="AN114" s="13">
        <f>IF('Council Entry'!AN114="","",IFERROR(MAX(0,MIN(10,ROUND(IF('Council Entry'!AN$7="Decrease Risk",10-10*((IF('Council Entry'!AN$4="Logarithm",LN(0.001+IF(AND(ISNUMBER('Council Entry'!AN$8),ISNUMBER('Council Entry'!AN$9)),MAX(MIN('Council Entry'!AN114,'Council Entry'!AN$9),'Council Entry'!AN$8),'Council Entry'!AN114)),IF('Council Entry'!AN$4="Exponential",EXP(IF(AND(ISNUMBER('Council Entry'!AN$8),ISNUMBER('Council Entry'!AN$9)),MAX(MIN('Council Entry'!AN114,'Council Entry'!AN$9),'Council Entry'!AN$8),'Council Entry'!AN114)),IF(AND(ISNUMBER('Council Entry'!AN$8),ISNUMBER('Council Entry'!AN$9)),MAX(MIN('Council Entry'!AN114,'Council Entry'!AN$9),'Council Entry'!AN$8),'Council Entry'!AN114))))-'Council Entry'!AN$5)/('Council Entry'!AN$6-'Council Entry'!AN$5),10*((IF('Council Entry'!AN$4="Logarithm",LN(0.001+IF(AND(ISNUMBER('Council Entry'!AN$8),ISNUMBER('Council Entry'!AN$9)),MAX(MIN('Council Entry'!AN114,'Council Entry'!AN$9),'Council Entry'!AN$8),'Council Entry'!AN114)),IF('Council Entry'!AN$4="Exponential",EXP(IF(AND(ISNUMBER('Council Entry'!AN$8),ISNUMBER('Council Entry'!AN$9)),MAX(MIN('Council Entry'!AN114,'Council Entry'!AN$9),'Council Entry'!AN$8),'Council Entry'!AN114)),IF(AND(ISNUMBER('Council Entry'!AN$8),ISNUMBER('Council Entry'!AN$9)),MAX(MIN('Council Entry'!AN114,'Council Entry'!AN$9),'Council Entry'!AN$8),'Council Entry'!AN114))))-'Council Entry'!AN$5)/('Council Entry'!AN$6-'Council Entry'!AN$5)),1))),"No data"))</f>
        <v/>
      </c>
      <c r="AO114" s="13">
        <f>IF('Council Entry'!AO114="","",IFERROR(MAX(0,MIN(10,ROUND(IF('Council Entry'!AO$7="Decrease Risk",10-10*((IF('Council Entry'!AO$4="Logarithm",LN(0.001+IF(AND(ISNUMBER('Council Entry'!AO$8),ISNUMBER('Council Entry'!AO$9)),MAX(MIN('Council Entry'!AO114,'Council Entry'!AO$9),'Council Entry'!AO$8),'Council Entry'!AO114)),IF('Council Entry'!AO$4="Exponential",EXP(IF(AND(ISNUMBER('Council Entry'!AO$8),ISNUMBER('Council Entry'!AO$9)),MAX(MIN('Council Entry'!AO114,'Council Entry'!AO$9),'Council Entry'!AO$8),'Council Entry'!AO114)),IF(AND(ISNUMBER('Council Entry'!AO$8),ISNUMBER('Council Entry'!AO$9)),MAX(MIN('Council Entry'!AO114,'Council Entry'!AO$9),'Council Entry'!AO$8),'Council Entry'!AO114))))-'Council Entry'!AO$5)/('Council Entry'!AO$6-'Council Entry'!AO$5),10*((IF('Council Entry'!AO$4="Logarithm",LN(0.001+IF(AND(ISNUMBER('Council Entry'!AO$8),ISNUMBER('Council Entry'!AO$9)),MAX(MIN('Council Entry'!AO114,'Council Entry'!AO$9),'Council Entry'!AO$8),'Council Entry'!AO114)),IF('Council Entry'!AO$4="Exponential",EXP(IF(AND(ISNUMBER('Council Entry'!AO$8),ISNUMBER('Council Entry'!AO$9)),MAX(MIN('Council Entry'!AO114,'Council Entry'!AO$9),'Council Entry'!AO$8),'Council Entry'!AO114)),IF(AND(ISNUMBER('Council Entry'!AO$8),ISNUMBER('Council Entry'!AO$9)),MAX(MIN('Council Entry'!AO114,'Council Entry'!AO$9),'Council Entry'!AO$8),'Council Entry'!AO114))))-'Council Entry'!AO$5)/('Council Entry'!AO$6-'Council Entry'!AO$5)),1))),"No data"))</f>
        <v/>
      </c>
      <c r="AP114" s="13">
        <f>IF('Council Entry'!AP114="","",IFERROR(MAX(0,MIN(10,ROUND(IF('Council Entry'!AP$7="Decrease Risk",10-10*((IF('Council Entry'!AP$4="Logarithm",LN(0.001+IF(AND(ISNUMBER('Council Entry'!AP$8),ISNUMBER('Council Entry'!AP$9)),MAX(MIN('Council Entry'!AP114,'Council Entry'!AP$9),'Council Entry'!AP$8),'Council Entry'!AP114)),IF('Council Entry'!AP$4="Exponential",EXP(IF(AND(ISNUMBER('Council Entry'!AP$8),ISNUMBER('Council Entry'!AP$9)),MAX(MIN('Council Entry'!AP114,'Council Entry'!AP$9),'Council Entry'!AP$8),'Council Entry'!AP114)),IF(AND(ISNUMBER('Council Entry'!AP$8),ISNUMBER('Council Entry'!AP$9)),MAX(MIN('Council Entry'!AP114,'Council Entry'!AP$9),'Council Entry'!AP$8),'Council Entry'!AP114))))-'Council Entry'!AP$5)/('Council Entry'!AP$6-'Council Entry'!AP$5),10*((IF('Council Entry'!AP$4="Logarithm",LN(0.001+IF(AND(ISNUMBER('Council Entry'!AP$8),ISNUMBER('Council Entry'!AP$9)),MAX(MIN('Council Entry'!AP114,'Council Entry'!AP$9),'Council Entry'!AP$8),'Council Entry'!AP114)),IF('Council Entry'!AP$4="Exponential",EXP(IF(AND(ISNUMBER('Council Entry'!AP$8),ISNUMBER('Council Entry'!AP$9)),MAX(MIN('Council Entry'!AP114,'Council Entry'!AP$9),'Council Entry'!AP$8),'Council Entry'!AP114)),IF(AND(ISNUMBER('Council Entry'!AP$8),ISNUMBER('Council Entry'!AP$9)),MAX(MIN('Council Entry'!AP114,'Council Entry'!AP$9),'Council Entry'!AP$8),'Council Entry'!AP114))))-'Council Entry'!AP$5)/('Council Entry'!AP$6-'Council Entry'!AP$5)),1))),"No data"))</f>
        <v/>
      </c>
      <c r="AQ114" s="13">
        <f>IF('Council Entry'!AQ114="","",IFERROR(MAX(0,MIN(10,ROUND(IF('Council Entry'!AQ$7="Decrease Risk",10-10*((IF('Council Entry'!AQ$4="Logarithm",LN(0.001+IF(AND(ISNUMBER('Council Entry'!AQ$8),ISNUMBER('Council Entry'!AQ$9)),MAX(MIN('Council Entry'!AQ114,'Council Entry'!AQ$9),'Council Entry'!AQ$8),'Council Entry'!AQ114)),IF('Council Entry'!AQ$4="Exponential",EXP(IF(AND(ISNUMBER('Council Entry'!AQ$8),ISNUMBER('Council Entry'!AQ$9)),MAX(MIN('Council Entry'!AQ114,'Council Entry'!AQ$9),'Council Entry'!AQ$8),'Council Entry'!AQ114)),IF(AND(ISNUMBER('Council Entry'!AQ$8),ISNUMBER('Council Entry'!AQ$9)),MAX(MIN('Council Entry'!AQ114,'Council Entry'!AQ$9),'Council Entry'!AQ$8),'Council Entry'!AQ114))))-'Council Entry'!AQ$5)/('Council Entry'!AQ$6-'Council Entry'!AQ$5),10*((IF('Council Entry'!AQ$4="Logarithm",LN(0.001+IF(AND(ISNUMBER('Council Entry'!AQ$8),ISNUMBER('Council Entry'!AQ$9)),MAX(MIN('Council Entry'!AQ114,'Council Entry'!AQ$9),'Council Entry'!AQ$8),'Council Entry'!AQ114)),IF('Council Entry'!AQ$4="Exponential",EXP(IF(AND(ISNUMBER('Council Entry'!AQ$8),ISNUMBER('Council Entry'!AQ$9)),MAX(MIN('Council Entry'!AQ114,'Council Entry'!AQ$9),'Council Entry'!AQ$8),'Council Entry'!AQ114)),IF(AND(ISNUMBER('Council Entry'!AQ$8),ISNUMBER('Council Entry'!AQ$9)),MAX(MIN('Council Entry'!AQ114,'Council Entry'!AQ$9),'Council Entry'!AQ$8),'Council Entry'!AQ114))))-'Council Entry'!AQ$5)/('Council Entry'!AQ$6-'Council Entry'!AQ$5)),1))),"No data"))</f>
        <v/>
      </c>
      <c r="AR114" s="13">
        <f>IF('Council Entry'!AR114="","",IFERROR(MAX(0,MIN(10,ROUND(IF('Council Entry'!AR$7="Decrease Risk",10-10*((IF('Council Entry'!AR$4="Logarithm",LN(0.001+IF(AND(ISNUMBER('Council Entry'!AR$8),ISNUMBER('Council Entry'!AR$9)),MAX(MIN('Council Entry'!AR114,'Council Entry'!AR$9),'Council Entry'!AR$8),'Council Entry'!AR114)),IF('Council Entry'!AR$4="Exponential",EXP(IF(AND(ISNUMBER('Council Entry'!AR$8),ISNUMBER('Council Entry'!AR$9)),MAX(MIN('Council Entry'!AR114,'Council Entry'!AR$9),'Council Entry'!AR$8),'Council Entry'!AR114)),IF(AND(ISNUMBER('Council Entry'!AR$8),ISNUMBER('Council Entry'!AR$9)),MAX(MIN('Council Entry'!AR114,'Council Entry'!AR$9),'Council Entry'!AR$8),'Council Entry'!AR114))))-'Council Entry'!AR$5)/('Council Entry'!AR$6-'Council Entry'!AR$5),10*((IF('Council Entry'!AR$4="Logarithm",LN(0.001+IF(AND(ISNUMBER('Council Entry'!AR$8),ISNUMBER('Council Entry'!AR$9)),MAX(MIN('Council Entry'!AR114,'Council Entry'!AR$9),'Council Entry'!AR$8),'Council Entry'!AR114)),IF('Council Entry'!AR$4="Exponential",EXP(IF(AND(ISNUMBER('Council Entry'!AR$8),ISNUMBER('Council Entry'!AR$9)),MAX(MIN('Council Entry'!AR114,'Council Entry'!AR$9),'Council Entry'!AR$8),'Council Entry'!AR114)),IF(AND(ISNUMBER('Council Entry'!AR$8),ISNUMBER('Council Entry'!AR$9)),MAX(MIN('Council Entry'!AR114,'Council Entry'!AR$9),'Council Entry'!AR$8),'Council Entry'!AR114))))-'Council Entry'!AR$5)/('Council Entry'!AR$6-'Council Entry'!AR$5)),1))),"No data"))</f>
        <v/>
      </c>
      <c r="AS114" s="13">
        <f>IF('Council Entry'!AS114="","",IFERROR(MAX(0,MIN(10,ROUND(IF('Council Entry'!AS$7="Decrease Risk",10-10*((IF('Council Entry'!AS$4="Logarithm",LN(0.001+IF(AND(ISNUMBER('Council Entry'!AS$8),ISNUMBER('Council Entry'!AS$9)),MAX(MIN('Council Entry'!AS114,'Council Entry'!AS$9),'Council Entry'!AS$8),'Council Entry'!AS114)),IF('Council Entry'!AS$4="Exponential",EXP(IF(AND(ISNUMBER('Council Entry'!AS$8),ISNUMBER('Council Entry'!AS$9)),MAX(MIN('Council Entry'!AS114,'Council Entry'!AS$9),'Council Entry'!AS$8),'Council Entry'!AS114)),IF(AND(ISNUMBER('Council Entry'!AS$8),ISNUMBER('Council Entry'!AS$9)),MAX(MIN('Council Entry'!AS114,'Council Entry'!AS$9),'Council Entry'!AS$8),'Council Entry'!AS114))))-'Council Entry'!AS$5)/('Council Entry'!AS$6-'Council Entry'!AS$5),10*((IF('Council Entry'!AS$4="Logarithm",LN(0.001+IF(AND(ISNUMBER('Council Entry'!AS$8),ISNUMBER('Council Entry'!AS$9)),MAX(MIN('Council Entry'!AS114,'Council Entry'!AS$9),'Council Entry'!AS$8),'Council Entry'!AS114)),IF('Council Entry'!AS$4="Exponential",EXP(IF(AND(ISNUMBER('Council Entry'!AS$8),ISNUMBER('Council Entry'!AS$9)),MAX(MIN('Council Entry'!AS114,'Council Entry'!AS$9),'Council Entry'!AS$8),'Council Entry'!AS114)),IF(AND(ISNUMBER('Council Entry'!AS$8),ISNUMBER('Council Entry'!AS$9)),MAX(MIN('Council Entry'!AS114,'Council Entry'!AS$9),'Council Entry'!AS$8),'Council Entry'!AS114))))-'Council Entry'!AS$5)/('Council Entry'!AS$6-'Council Entry'!AS$5)),1))),"No data"))</f>
        <v/>
      </c>
      <c r="AT114" s="13">
        <f>IF('Council Entry'!AT114="","",IFERROR(MAX(0,MIN(10,ROUND(IF('Council Entry'!AT$7="Decrease Risk",10-10*((IF('Council Entry'!AT$4="Logarithm",LN(0.001+IF(AND(ISNUMBER('Council Entry'!AT$8),ISNUMBER('Council Entry'!AT$9)),MAX(MIN('Council Entry'!AT114,'Council Entry'!AT$9),'Council Entry'!AT$8),'Council Entry'!AT114)),IF('Council Entry'!AT$4="Exponential",EXP(IF(AND(ISNUMBER('Council Entry'!AT$8),ISNUMBER('Council Entry'!AT$9)),MAX(MIN('Council Entry'!AT114,'Council Entry'!AT$9),'Council Entry'!AT$8),'Council Entry'!AT114)),IF(AND(ISNUMBER('Council Entry'!AT$8),ISNUMBER('Council Entry'!AT$9)),MAX(MIN('Council Entry'!AT114,'Council Entry'!AT$9),'Council Entry'!AT$8),'Council Entry'!AT114))))-'Council Entry'!AT$5)/('Council Entry'!AT$6-'Council Entry'!AT$5),10*((IF('Council Entry'!AT$4="Logarithm",LN(0.001+IF(AND(ISNUMBER('Council Entry'!AT$8),ISNUMBER('Council Entry'!AT$9)),MAX(MIN('Council Entry'!AT114,'Council Entry'!AT$9),'Council Entry'!AT$8),'Council Entry'!AT114)),IF('Council Entry'!AT$4="Exponential",EXP(IF(AND(ISNUMBER('Council Entry'!AT$8),ISNUMBER('Council Entry'!AT$9)),MAX(MIN('Council Entry'!AT114,'Council Entry'!AT$9),'Council Entry'!AT$8),'Council Entry'!AT114)),IF(AND(ISNUMBER('Council Entry'!AT$8),ISNUMBER('Council Entry'!AT$9)),MAX(MIN('Council Entry'!AT114,'Council Entry'!AT$9),'Council Entry'!AT$8),'Council Entry'!AT114))))-'Council Entry'!AT$5)/('Council Entry'!AT$6-'Council Entry'!AT$5)),1))),"No data"))</f>
        <v/>
      </c>
      <c r="AU114" s="13">
        <f>IF('Council Entry'!AU114="","",IFERROR(MAX(0,MIN(10,ROUND(IF('Council Entry'!AU$7="Decrease Risk",10-10*((IF('Council Entry'!AU$4="Logarithm",LN(0.001+IF(AND(ISNUMBER('Council Entry'!AU$8),ISNUMBER('Council Entry'!AU$9)),MAX(MIN('Council Entry'!AU114,'Council Entry'!AU$9),'Council Entry'!AU$8),'Council Entry'!AU114)),IF('Council Entry'!AU$4="Exponential",EXP(IF(AND(ISNUMBER('Council Entry'!AU$8),ISNUMBER('Council Entry'!AU$9)),MAX(MIN('Council Entry'!AU114,'Council Entry'!AU$9),'Council Entry'!AU$8),'Council Entry'!AU114)),IF(AND(ISNUMBER('Council Entry'!AU$8),ISNUMBER('Council Entry'!AU$9)),MAX(MIN('Council Entry'!AU114,'Council Entry'!AU$9),'Council Entry'!AU$8),'Council Entry'!AU114))))-'Council Entry'!AU$5)/('Council Entry'!AU$6-'Council Entry'!AU$5),10*((IF('Council Entry'!AU$4="Logarithm",LN(0.001+IF(AND(ISNUMBER('Council Entry'!AU$8),ISNUMBER('Council Entry'!AU$9)),MAX(MIN('Council Entry'!AU114,'Council Entry'!AU$9),'Council Entry'!AU$8),'Council Entry'!AU114)),IF('Council Entry'!AU$4="Exponential",EXP(IF(AND(ISNUMBER('Council Entry'!AU$8),ISNUMBER('Council Entry'!AU$9)),MAX(MIN('Council Entry'!AU114,'Council Entry'!AU$9),'Council Entry'!AU$8),'Council Entry'!AU114)),IF(AND(ISNUMBER('Council Entry'!AU$8),ISNUMBER('Council Entry'!AU$9)),MAX(MIN('Council Entry'!AU114,'Council Entry'!AU$9),'Council Entry'!AU$8),'Council Entry'!AU114))))-'Council Entry'!AU$5)/('Council Entry'!AU$6-'Council Entry'!AU$5)),1))),"No data"))</f>
        <v/>
      </c>
      <c r="AV114" s="13">
        <f>IF('Council Entry'!AV114="","",IFERROR(MAX(0,MIN(10,ROUND(IF('Council Entry'!AV$7="Decrease Risk",10-10*((IF('Council Entry'!AV$4="Logarithm",LN(0.001+IF(AND(ISNUMBER('Council Entry'!AV$8),ISNUMBER('Council Entry'!AV$9)),MAX(MIN('Council Entry'!AV114,'Council Entry'!AV$9),'Council Entry'!AV$8),'Council Entry'!AV114)),IF('Council Entry'!AV$4="Exponential",EXP(IF(AND(ISNUMBER('Council Entry'!AV$8),ISNUMBER('Council Entry'!AV$9)),MAX(MIN('Council Entry'!AV114,'Council Entry'!AV$9),'Council Entry'!AV$8),'Council Entry'!AV114)),IF(AND(ISNUMBER('Council Entry'!AV$8),ISNUMBER('Council Entry'!AV$9)),MAX(MIN('Council Entry'!AV114,'Council Entry'!AV$9),'Council Entry'!AV$8),'Council Entry'!AV114))))-'Council Entry'!AV$5)/('Council Entry'!AV$6-'Council Entry'!AV$5),10*((IF('Council Entry'!AV$4="Logarithm",LN(0.001+IF(AND(ISNUMBER('Council Entry'!AV$8),ISNUMBER('Council Entry'!AV$9)),MAX(MIN('Council Entry'!AV114,'Council Entry'!AV$9),'Council Entry'!AV$8),'Council Entry'!AV114)),IF('Council Entry'!AV$4="Exponential",EXP(IF(AND(ISNUMBER('Council Entry'!AV$8),ISNUMBER('Council Entry'!AV$9)),MAX(MIN('Council Entry'!AV114,'Council Entry'!AV$9),'Council Entry'!AV$8),'Council Entry'!AV114)),IF(AND(ISNUMBER('Council Entry'!AV$8),ISNUMBER('Council Entry'!AV$9)),MAX(MIN('Council Entry'!AV114,'Council Entry'!AV$9),'Council Entry'!AV$8),'Council Entry'!AV114))))-'Council Entry'!AV$5)/('Council Entry'!AV$6-'Council Entry'!AV$5)),1))),"No data"))</f>
        <v/>
      </c>
      <c r="AW114" s="13">
        <f>IF('Council Entry'!AW114="","",IFERROR(MAX(0,MIN(10,ROUND(IF('Council Entry'!AW$7="Decrease Risk",10-10*((IF('Council Entry'!AW$4="Logarithm",LN(0.001+IF(AND(ISNUMBER('Council Entry'!AW$8),ISNUMBER('Council Entry'!AW$9)),MAX(MIN('Council Entry'!AW114,'Council Entry'!AW$9),'Council Entry'!AW$8),'Council Entry'!AW114)),IF('Council Entry'!AW$4="Exponential",EXP(IF(AND(ISNUMBER('Council Entry'!AW$8),ISNUMBER('Council Entry'!AW$9)),MAX(MIN('Council Entry'!AW114,'Council Entry'!AW$9),'Council Entry'!AW$8),'Council Entry'!AW114)),IF(AND(ISNUMBER('Council Entry'!AW$8),ISNUMBER('Council Entry'!AW$9)),MAX(MIN('Council Entry'!AW114,'Council Entry'!AW$9),'Council Entry'!AW$8),'Council Entry'!AW114))))-'Council Entry'!AW$5)/('Council Entry'!AW$6-'Council Entry'!AW$5),10*((IF('Council Entry'!AW$4="Logarithm",LN(0.001+IF(AND(ISNUMBER('Council Entry'!AW$8),ISNUMBER('Council Entry'!AW$9)),MAX(MIN('Council Entry'!AW114,'Council Entry'!AW$9),'Council Entry'!AW$8),'Council Entry'!AW114)),IF('Council Entry'!AW$4="Exponential",EXP(IF(AND(ISNUMBER('Council Entry'!AW$8),ISNUMBER('Council Entry'!AW$9)),MAX(MIN('Council Entry'!AW114,'Council Entry'!AW$9),'Council Entry'!AW$8),'Council Entry'!AW114)),IF(AND(ISNUMBER('Council Entry'!AW$8),ISNUMBER('Council Entry'!AW$9)),MAX(MIN('Council Entry'!AW114,'Council Entry'!AW$9),'Council Entry'!AW$8),'Council Entry'!AW114))))-'Council Entry'!AW$5)/('Council Entry'!AW$6-'Council Entry'!AW$5)),1))),"No data"))</f>
        <v/>
      </c>
      <c r="AX114" s="13">
        <f>IF('Council Entry'!AX114="","",IFERROR(MAX(0,MIN(10,ROUND(IF('Council Entry'!AX$7="Decrease Risk",10-10*((IF('Council Entry'!AX$4="Logarithm",LN(0.001+IF(AND(ISNUMBER('Council Entry'!AX$8),ISNUMBER('Council Entry'!AX$9)),MAX(MIN('Council Entry'!AX114,'Council Entry'!AX$9),'Council Entry'!AX$8),'Council Entry'!AX114)),IF('Council Entry'!AX$4="Exponential",EXP(IF(AND(ISNUMBER('Council Entry'!AX$8),ISNUMBER('Council Entry'!AX$9)),MAX(MIN('Council Entry'!AX114,'Council Entry'!AX$9),'Council Entry'!AX$8),'Council Entry'!AX114)),IF(AND(ISNUMBER('Council Entry'!AX$8),ISNUMBER('Council Entry'!AX$9)),MAX(MIN('Council Entry'!AX114,'Council Entry'!AX$9),'Council Entry'!AX$8),'Council Entry'!AX114))))-'Council Entry'!AX$5)/('Council Entry'!AX$6-'Council Entry'!AX$5),10*((IF('Council Entry'!AX$4="Logarithm",LN(0.001+IF(AND(ISNUMBER('Council Entry'!AX$8),ISNUMBER('Council Entry'!AX$9)),MAX(MIN('Council Entry'!AX114,'Council Entry'!AX$9),'Council Entry'!AX$8),'Council Entry'!AX114)),IF('Council Entry'!AX$4="Exponential",EXP(IF(AND(ISNUMBER('Council Entry'!AX$8),ISNUMBER('Council Entry'!AX$9)),MAX(MIN('Council Entry'!AX114,'Council Entry'!AX$9),'Council Entry'!AX$8),'Council Entry'!AX114)),IF(AND(ISNUMBER('Council Entry'!AX$8),ISNUMBER('Council Entry'!AX$9)),MAX(MIN('Council Entry'!AX114,'Council Entry'!AX$9),'Council Entry'!AX$8),'Council Entry'!AX114))))-'Council Entry'!AX$5)/('Council Entry'!AX$6-'Council Entry'!AX$5)),1))),"No data"))</f>
        <v/>
      </c>
      <c r="AY114" s="13">
        <f>IF('Council Entry'!AY114="","",IFERROR(MAX(0,MIN(10,ROUND(IF('Council Entry'!AY$7="Decrease Risk",10-10*((IF('Council Entry'!AY$4="Logarithm",LN(0.001+IF(AND(ISNUMBER('Council Entry'!AY$8),ISNUMBER('Council Entry'!AY$9)),MAX(MIN('Council Entry'!AY114,'Council Entry'!AY$9),'Council Entry'!AY$8),'Council Entry'!AY114)),IF('Council Entry'!AY$4="Exponential",EXP(IF(AND(ISNUMBER('Council Entry'!AY$8),ISNUMBER('Council Entry'!AY$9)),MAX(MIN('Council Entry'!AY114,'Council Entry'!AY$9),'Council Entry'!AY$8),'Council Entry'!AY114)),IF(AND(ISNUMBER('Council Entry'!AY$8),ISNUMBER('Council Entry'!AY$9)),MAX(MIN('Council Entry'!AY114,'Council Entry'!AY$9),'Council Entry'!AY$8),'Council Entry'!AY114))))-'Council Entry'!AY$5)/('Council Entry'!AY$6-'Council Entry'!AY$5),10*((IF('Council Entry'!AY$4="Logarithm",LN(0.001+IF(AND(ISNUMBER('Council Entry'!AY$8),ISNUMBER('Council Entry'!AY$9)),MAX(MIN('Council Entry'!AY114,'Council Entry'!AY$9),'Council Entry'!AY$8),'Council Entry'!AY114)),IF('Council Entry'!AY$4="Exponential",EXP(IF(AND(ISNUMBER('Council Entry'!AY$8),ISNUMBER('Council Entry'!AY$9)),MAX(MIN('Council Entry'!AY114,'Council Entry'!AY$9),'Council Entry'!AY$8),'Council Entry'!AY114)),IF(AND(ISNUMBER('Council Entry'!AY$8),ISNUMBER('Council Entry'!AY$9)),MAX(MIN('Council Entry'!AY114,'Council Entry'!AY$9),'Council Entry'!AY$8),'Council Entry'!AY114))))-'Council Entry'!AY$5)/('Council Entry'!AY$6-'Council Entry'!AY$5)),1))),"No data"))</f>
        <v/>
      </c>
      <c r="AZ114" s="13">
        <f>IF('Council Entry'!AZ114="","",IFERROR(MAX(0,MIN(10,ROUND(IF('Council Entry'!AZ$7="Decrease Risk",10-10*((IF('Council Entry'!AZ$4="Logarithm",LN(0.001+IF(AND(ISNUMBER('Council Entry'!AZ$8),ISNUMBER('Council Entry'!AZ$9)),MAX(MIN('Council Entry'!AZ114,'Council Entry'!AZ$9),'Council Entry'!AZ$8),'Council Entry'!AZ114)),IF('Council Entry'!AZ$4="Exponential",EXP(IF(AND(ISNUMBER('Council Entry'!AZ$8),ISNUMBER('Council Entry'!AZ$9)),MAX(MIN('Council Entry'!AZ114,'Council Entry'!AZ$9),'Council Entry'!AZ$8),'Council Entry'!AZ114)),IF(AND(ISNUMBER('Council Entry'!AZ$8),ISNUMBER('Council Entry'!AZ$9)),MAX(MIN('Council Entry'!AZ114,'Council Entry'!AZ$9),'Council Entry'!AZ$8),'Council Entry'!AZ114))))-'Council Entry'!AZ$5)/('Council Entry'!AZ$6-'Council Entry'!AZ$5),10*((IF('Council Entry'!AZ$4="Logarithm",LN(0.001+IF(AND(ISNUMBER('Council Entry'!AZ$8),ISNUMBER('Council Entry'!AZ$9)),MAX(MIN('Council Entry'!AZ114,'Council Entry'!AZ$9),'Council Entry'!AZ$8),'Council Entry'!AZ114)),IF('Council Entry'!AZ$4="Exponential",EXP(IF(AND(ISNUMBER('Council Entry'!AZ$8),ISNUMBER('Council Entry'!AZ$9)),MAX(MIN('Council Entry'!AZ114,'Council Entry'!AZ$9),'Council Entry'!AZ$8),'Council Entry'!AZ114)),IF(AND(ISNUMBER('Council Entry'!AZ$8),ISNUMBER('Council Entry'!AZ$9)),MAX(MIN('Council Entry'!AZ114,'Council Entry'!AZ$9),'Council Entry'!AZ$8),'Council Entry'!AZ114))))-'Council Entry'!AZ$5)/('Council Entry'!AZ$6-'Council Entry'!AZ$5)),1))),"No data"))</f>
        <v/>
      </c>
      <c r="BA114" s="13">
        <f>IF('Council Entry'!BA114="","",IFERROR(MAX(0,MIN(10,ROUND(IF('Council Entry'!BA$7="Decrease Risk",10-10*((IF('Council Entry'!BA$4="Logarithm",LN(0.001+IF(AND(ISNUMBER('Council Entry'!BA$8),ISNUMBER('Council Entry'!BA$9)),MAX(MIN('Council Entry'!BA114,'Council Entry'!BA$9),'Council Entry'!BA$8),'Council Entry'!BA114)),IF('Council Entry'!BA$4="Exponential",EXP(IF(AND(ISNUMBER('Council Entry'!BA$8),ISNUMBER('Council Entry'!BA$9)),MAX(MIN('Council Entry'!BA114,'Council Entry'!BA$9),'Council Entry'!BA$8),'Council Entry'!BA114)),IF(AND(ISNUMBER('Council Entry'!BA$8),ISNUMBER('Council Entry'!BA$9)),MAX(MIN('Council Entry'!BA114,'Council Entry'!BA$9),'Council Entry'!BA$8),'Council Entry'!BA114))))-'Council Entry'!BA$5)/('Council Entry'!BA$6-'Council Entry'!BA$5),10*((IF('Council Entry'!BA$4="Logarithm",LN(0.001+IF(AND(ISNUMBER('Council Entry'!BA$8),ISNUMBER('Council Entry'!BA$9)),MAX(MIN('Council Entry'!BA114,'Council Entry'!BA$9),'Council Entry'!BA$8),'Council Entry'!BA114)),IF('Council Entry'!BA$4="Exponential",EXP(IF(AND(ISNUMBER('Council Entry'!BA$8),ISNUMBER('Council Entry'!BA$9)),MAX(MIN('Council Entry'!BA114,'Council Entry'!BA$9),'Council Entry'!BA$8),'Council Entry'!BA114)),IF(AND(ISNUMBER('Council Entry'!BA$8),ISNUMBER('Council Entry'!BA$9)),MAX(MIN('Council Entry'!BA114,'Council Entry'!BA$9),'Council Entry'!BA$8),'Council Entry'!BA114))))-'Council Entry'!BA$5)/('Council Entry'!BA$6-'Council Entry'!BA$5)),1))),"No data"))</f>
        <v/>
      </c>
      <c r="BB114" s="13">
        <f>IF('Council Entry'!BB114="","",IFERROR(MAX(0,MIN(10,ROUND(IF('Council Entry'!BB$7="Decrease Risk",10-10*((IF('Council Entry'!BB$4="Logarithm",LN(0.001+IF(AND(ISNUMBER('Council Entry'!BB$8),ISNUMBER('Council Entry'!BB$9)),MAX(MIN('Council Entry'!BB114,'Council Entry'!BB$9),'Council Entry'!BB$8),'Council Entry'!BB114)),IF('Council Entry'!BB$4="Exponential",EXP(IF(AND(ISNUMBER('Council Entry'!BB$8),ISNUMBER('Council Entry'!BB$9)),MAX(MIN('Council Entry'!BB114,'Council Entry'!BB$9),'Council Entry'!BB$8),'Council Entry'!BB114)),IF(AND(ISNUMBER('Council Entry'!BB$8),ISNUMBER('Council Entry'!BB$9)),MAX(MIN('Council Entry'!BB114,'Council Entry'!BB$9),'Council Entry'!BB$8),'Council Entry'!BB114))))-'Council Entry'!BB$5)/('Council Entry'!BB$6-'Council Entry'!BB$5),10*((IF('Council Entry'!BB$4="Logarithm",LN(0.001+IF(AND(ISNUMBER('Council Entry'!BB$8),ISNUMBER('Council Entry'!BB$9)),MAX(MIN('Council Entry'!BB114,'Council Entry'!BB$9),'Council Entry'!BB$8),'Council Entry'!BB114)),IF('Council Entry'!BB$4="Exponential",EXP(IF(AND(ISNUMBER('Council Entry'!BB$8),ISNUMBER('Council Entry'!BB$9)),MAX(MIN('Council Entry'!BB114,'Council Entry'!BB$9),'Council Entry'!BB$8),'Council Entry'!BB114)),IF(AND(ISNUMBER('Council Entry'!BB$8),ISNUMBER('Council Entry'!BB$9)),MAX(MIN('Council Entry'!BB114,'Council Entry'!BB$9),'Council Entry'!BB$8),'Council Entry'!BB114))))-'Council Entry'!BB$5)/('Council Entry'!BB$6-'Council Entry'!BB$5)),1))),"No data"))</f>
        <v/>
      </c>
      <c r="BC114" s="13">
        <f>IF('Council Entry'!BC114="","",IFERROR(MAX(0,MIN(10,ROUND(IF('Council Entry'!BC$7="Decrease Risk",10-10*((IF('Council Entry'!BC$4="Logarithm",LN(0.001+IF(AND(ISNUMBER('Council Entry'!BC$8),ISNUMBER('Council Entry'!BC$9)),MAX(MIN('Council Entry'!BC114,'Council Entry'!BC$9),'Council Entry'!BC$8),'Council Entry'!BC114)),IF('Council Entry'!BC$4="Exponential",EXP(IF(AND(ISNUMBER('Council Entry'!BC$8),ISNUMBER('Council Entry'!BC$9)),MAX(MIN('Council Entry'!BC114,'Council Entry'!BC$9),'Council Entry'!BC$8),'Council Entry'!BC114)),IF(AND(ISNUMBER('Council Entry'!BC$8),ISNUMBER('Council Entry'!BC$9)),MAX(MIN('Council Entry'!BC114,'Council Entry'!BC$9),'Council Entry'!BC$8),'Council Entry'!BC114))))-'Council Entry'!BC$5)/('Council Entry'!BC$6-'Council Entry'!BC$5),10*((IF('Council Entry'!BC$4="Logarithm",LN(0.001+IF(AND(ISNUMBER('Council Entry'!BC$8),ISNUMBER('Council Entry'!BC$9)),MAX(MIN('Council Entry'!BC114,'Council Entry'!BC$9),'Council Entry'!BC$8),'Council Entry'!BC114)),IF('Council Entry'!BC$4="Exponential",EXP(IF(AND(ISNUMBER('Council Entry'!BC$8),ISNUMBER('Council Entry'!BC$9)),MAX(MIN('Council Entry'!BC114,'Council Entry'!BC$9),'Council Entry'!BC$8),'Council Entry'!BC114)),IF(AND(ISNUMBER('Council Entry'!BC$8),ISNUMBER('Council Entry'!BC$9)),MAX(MIN('Council Entry'!BC114,'Council Entry'!BC$9),'Council Entry'!BC$8),'Council Entry'!BC114))))-'Council Entry'!BC$5)/('Council Entry'!BC$6-'Council Entry'!BC$5)),1))),"No data"))</f>
        <v/>
      </c>
      <c r="BD114" s="13">
        <f>IF('Council Entry'!BD114="","",IFERROR(MAX(0,MIN(10,ROUND(IF('Council Entry'!BD$7="Decrease Risk",10-10*((IF('Council Entry'!BD$4="Logarithm",LN(0.001+IF(AND(ISNUMBER('Council Entry'!BD$8),ISNUMBER('Council Entry'!BD$9)),MAX(MIN('Council Entry'!BD114,'Council Entry'!BD$9),'Council Entry'!BD$8),'Council Entry'!BD114)),IF('Council Entry'!BD$4="Exponential",EXP(IF(AND(ISNUMBER('Council Entry'!BD$8),ISNUMBER('Council Entry'!BD$9)),MAX(MIN('Council Entry'!BD114,'Council Entry'!BD$9),'Council Entry'!BD$8),'Council Entry'!BD114)),IF(AND(ISNUMBER('Council Entry'!BD$8),ISNUMBER('Council Entry'!BD$9)),MAX(MIN('Council Entry'!BD114,'Council Entry'!BD$9),'Council Entry'!BD$8),'Council Entry'!BD114))))-'Council Entry'!BD$5)/('Council Entry'!BD$6-'Council Entry'!BD$5),10*((IF('Council Entry'!BD$4="Logarithm",LN(0.001+IF(AND(ISNUMBER('Council Entry'!BD$8),ISNUMBER('Council Entry'!BD$9)),MAX(MIN('Council Entry'!BD114,'Council Entry'!BD$9),'Council Entry'!BD$8),'Council Entry'!BD114)),IF('Council Entry'!BD$4="Exponential",EXP(IF(AND(ISNUMBER('Council Entry'!BD$8),ISNUMBER('Council Entry'!BD$9)),MAX(MIN('Council Entry'!BD114,'Council Entry'!BD$9),'Council Entry'!BD$8),'Council Entry'!BD114)),IF(AND(ISNUMBER('Council Entry'!BD$8),ISNUMBER('Council Entry'!BD$9)),MAX(MIN('Council Entry'!BD114,'Council Entry'!BD$9),'Council Entry'!BD$8),'Council Entry'!BD114))))-'Council Entry'!BD$5)/('Council Entry'!BD$6-'Council Entry'!BD$5)),1))),"No data"))</f>
        <v/>
      </c>
    </row>
    <row r="115">
      <c r="A115" t="inlineStr">
        <is>
          <t>Morogoro</t>
        </is>
      </c>
      <c r="B115" t="inlineStr">
        <is>
          <t>Morogoro District</t>
        </is>
      </c>
      <c r="C115" t="inlineStr">
        <is>
          <t>C035</t>
        </is>
      </c>
      <c r="D115" s="13">
        <f>IF('Council Entry'!D115="","",IFERROR(MAX(0,MIN(10,ROUND(IF('Council Entry'!D$7="Decrease Risk",10-10*((IF('Council Entry'!D$4="Logarithm",LN(0.001+IF(AND(ISNUMBER('Council Entry'!D$8),ISNUMBER('Council Entry'!D$9)),MAX(MIN('Council Entry'!D115,'Council Entry'!D$9),'Council Entry'!D$8),'Council Entry'!D115)),IF('Council Entry'!D$4="Exponential",EXP(IF(AND(ISNUMBER('Council Entry'!D$8),ISNUMBER('Council Entry'!D$9)),MAX(MIN('Council Entry'!D115,'Council Entry'!D$9),'Council Entry'!D$8),'Council Entry'!D115)),IF(AND(ISNUMBER('Council Entry'!D$8),ISNUMBER('Council Entry'!D$9)),MAX(MIN('Council Entry'!D115,'Council Entry'!D$9),'Council Entry'!D$8),'Council Entry'!D115))))-'Council Entry'!D$5)/('Council Entry'!D$6-'Council Entry'!D$5),10*((IF('Council Entry'!D$4="Logarithm",LN(0.001+IF(AND(ISNUMBER('Council Entry'!D$8),ISNUMBER('Council Entry'!D$9)),MAX(MIN('Council Entry'!D115,'Council Entry'!D$9),'Council Entry'!D$8),'Council Entry'!D115)),IF('Council Entry'!D$4="Exponential",EXP(IF(AND(ISNUMBER('Council Entry'!D$8),ISNUMBER('Council Entry'!D$9)),MAX(MIN('Council Entry'!D115,'Council Entry'!D$9),'Council Entry'!D$8),'Council Entry'!D115)),IF(AND(ISNUMBER('Council Entry'!D$8),ISNUMBER('Council Entry'!D$9)),MAX(MIN('Council Entry'!D115,'Council Entry'!D$9),'Council Entry'!D$8),'Council Entry'!D115))))-'Council Entry'!D$5)/('Council Entry'!D$6-'Council Entry'!D$5)),1))),"No data"))</f>
        <v/>
      </c>
      <c r="E115" s="13">
        <f>IF('Council Entry'!E115="","",IFERROR(MAX(0,MIN(10,ROUND(IF('Council Entry'!E$7="Decrease Risk",10-10*((IF('Council Entry'!E$4="Logarithm",LN(0.001+IF(AND(ISNUMBER('Council Entry'!E$8),ISNUMBER('Council Entry'!E$9)),MAX(MIN('Council Entry'!E115,'Council Entry'!E$9),'Council Entry'!E$8),'Council Entry'!E115)),IF('Council Entry'!E$4="Exponential",EXP(IF(AND(ISNUMBER('Council Entry'!E$8),ISNUMBER('Council Entry'!E$9)),MAX(MIN('Council Entry'!E115,'Council Entry'!E$9),'Council Entry'!E$8),'Council Entry'!E115)),IF(AND(ISNUMBER('Council Entry'!E$8),ISNUMBER('Council Entry'!E$9)),MAX(MIN('Council Entry'!E115,'Council Entry'!E$9),'Council Entry'!E$8),'Council Entry'!E115))))-'Council Entry'!E$5)/('Council Entry'!E$6-'Council Entry'!E$5),10*((IF('Council Entry'!E$4="Logarithm",LN(0.001+IF(AND(ISNUMBER('Council Entry'!E$8),ISNUMBER('Council Entry'!E$9)),MAX(MIN('Council Entry'!E115,'Council Entry'!E$9),'Council Entry'!E$8),'Council Entry'!E115)),IF('Council Entry'!E$4="Exponential",EXP(IF(AND(ISNUMBER('Council Entry'!E$8),ISNUMBER('Council Entry'!E$9)),MAX(MIN('Council Entry'!E115,'Council Entry'!E$9),'Council Entry'!E$8),'Council Entry'!E115)),IF(AND(ISNUMBER('Council Entry'!E$8),ISNUMBER('Council Entry'!E$9)),MAX(MIN('Council Entry'!E115,'Council Entry'!E$9),'Council Entry'!E$8),'Council Entry'!E115))))-'Council Entry'!E$5)/('Council Entry'!E$6-'Council Entry'!E$5)),1))),"No data"))</f>
        <v/>
      </c>
      <c r="F115" s="13">
        <f>IF('Council Entry'!F115="","",IFERROR(MAX(0,MIN(10,ROUND(IF('Council Entry'!F$7="Decrease Risk",10-10*((IF('Council Entry'!F$4="Logarithm",LN(0.001+IF(AND(ISNUMBER('Council Entry'!F$8),ISNUMBER('Council Entry'!F$9)),MAX(MIN('Council Entry'!F115,'Council Entry'!F$9),'Council Entry'!F$8),'Council Entry'!F115)),IF('Council Entry'!F$4="Exponential",EXP(IF(AND(ISNUMBER('Council Entry'!F$8),ISNUMBER('Council Entry'!F$9)),MAX(MIN('Council Entry'!F115,'Council Entry'!F$9),'Council Entry'!F$8),'Council Entry'!F115)),IF(AND(ISNUMBER('Council Entry'!F$8),ISNUMBER('Council Entry'!F$9)),MAX(MIN('Council Entry'!F115,'Council Entry'!F$9),'Council Entry'!F$8),'Council Entry'!F115))))-'Council Entry'!F$5)/('Council Entry'!F$6-'Council Entry'!F$5),10*((IF('Council Entry'!F$4="Logarithm",LN(0.001+IF(AND(ISNUMBER('Council Entry'!F$8),ISNUMBER('Council Entry'!F$9)),MAX(MIN('Council Entry'!F115,'Council Entry'!F$9),'Council Entry'!F$8),'Council Entry'!F115)),IF('Council Entry'!F$4="Exponential",EXP(IF(AND(ISNUMBER('Council Entry'!F$8),ISNUMBER('Council Entry'!F$9)),MAX(MIN('Council Entry'!F115,'Council Entry'!F$9),'Council Entry'!F$8),'Council Entry'!F115)),IF(AND(ISNUMBER('Council Entry'!F$8),ISNUMBER('Council Entry'!F$9)),MAX(MIN('Council Entry'!F115,'Council Entry'!F$9),'Council Entry'!F$8),'Council Entry'!F115))))-'Council Entry'!F$5)/('Council Entry'!F$6-'Council Entry'!F$5)),1))),"No data"))</f>
        <v/>
      </c>
      <c r="G115" s="13">
        <f>IF('Council Entry'!G115="","",IFERROR(MAX(0,MIN(10,ROUND(IF('Council Entry'!G$7="Decrease Risk",10-10*((IF('Council Entry'!G$4="Logarithm",LN(0.001+IF(AND(ISNUMBER('Council Entry'!G$8),ISNUMBER('Council Entry'!G$9)),MAX(MIN('Council Entry'!G115,'Council Entry'!G$9),'Council Entry'!G$8),'Council Entry'!G115)),IF('Council Entry'!G$4="Exponential",EXP(IF(AND(ISNUMBER('Council Entry'!G$8),ISNUMBER('Council Entry'!G$9)),MAX(MIN('Council Entry'!G115,'Council Entry'!G$9),'Council Entry'!G$8),'Council Entry'!G115)),IF(AND(ISNUMBER('Council Entry'!G$8),ISNUMBER('Council Entry'!G$9)),MAX(MIN('Council Entry'!G115,'Council Entry'!G$9),'Council Entry'!G$8),'Council Entry'!G115))))-'Council Entry'!G$5)/('Council Entry'!G$6-'Council Entry'!G$5),10*((IF('Council Entry'!G$4="Logarithm",LN(0.001+IF(AND(ISNUMBER('Council Entry'!G$8),ISNUMBER('Council Entry'!G$9)),MAX(MIN('Council Entry'!G115,'Council Entry'!G$9),'Council Entry'!G$8),'Council Entry'!G115)),IF('Council Entry'!G$4="Exponential",EXP(IF(AND(ISNUMBER('Council Entry'!G$8),ISNUMBER('Council Entry'!G$9)),MAX(MIN('Council Entry'!G115,'Council Entry'!G$9),'Council Entry'!G$8),'Council Entry'!G115)),IF(AND(ISNUMBER('Council Entry'!G$8),ISNUMBER('Council Entry'!G$9)),MAX(MIN('Council Entry'!G115,'Council Entry'!G$9),'Council Entry'!G$8),'Council Entry'!G115))))-'Council Entry'!G$5)/('Council Entry'!G$6-'Council Entry'!G$5)),1))),"No data"))</f>
        <v/>
      </c>
      <c r="H115" s="13">
        <f>IF('Council Entry'!H115="","",IFERROR(MAX(0,MIN(10,ROUND(IF('Council Entry'!H$7="Decrease Risk",10-10*((IF('Council Entry'!H$4="Logarithm",LN(0.001+IF(AND(ISNUMBER('Council Entry'!H$8),ISNUMBER('Council Entry'!H$9)),MAX(MIN('Council Entry'!H115,'Council Entry'!H$9),'Council Entry'!H$8),'Council Entry'!H115)),IF('Council Entry'!H$4="Exponential",EXP(IF(AND(ISNUMBER('Council Entry'!H$8),ISNUMBER('Council Entry'!H$9)),MAX(MIN('Council Entry'!H115,'Council Entry'!H$9),'Council Entry'!H$8),'Council Entry'!H115)),IF(AND(ISNUMBER('Council Entry'!H$8),ISNUMBER('Council Entry'!H$9)),MAX(MIN('Council Entry'!H115,'Council Entry'!H$9),'Council Entry'!H$8),'Council Entry'!H115))))-'Council Entry'!H$5)/('Council Entry'!H$6-'Council Entry'!H$5),10*((IF('Council Entry'!H$4="Logarithm",LN(0.001+IF(AND(ISNUMBER('Council Entry'!H$8),ISNUMBER('Council Entry'!H$9)),MAX(MIN('Council Entry'!H115,'Council Entry'!H$9),'Council Entry'!H$8),'Council Entry'!H115)),IF('Council Entry'!H$4="Exponential",EXP(IF(AND(ISNUMBER('Council Entry'!H$8),ISNUMBER('Council Entry'!H$9)),MAX(MIN('Council Entry'!H115,'Council Entry'!H$9),'Council Entry'!H$8),'Council Entry'!H115)),IF(AND(ISNUMBER('Council Entry'!H$8),ISNUMBER('Council Entry'!H$9)),MAX(MIN('Council Entry'!H115,'Council Entry'!H$9),'Council Entry'!H$8),'Council Entry'!H115))))-'Council Entry'!H$5)/('Council Entry'!H$6-'Council Entry'!H$5)),1))),"No data"))</f>
        <v/>
      </c>
      <c r="I115" s="13">
        <f>IF('Council Entry'!I115="","",IFERROR(MAX(0,MIN(10,ROUND(IF('Council Entry'!I$7="Decrease Risk",10-10*((IF('Council Entry'!I$4="Logarithm",LN(0.001+IF(AND(ISNUMBER('Council Entry'!I$8),ISNUMBER('Council Entry'!I$9)),MAX(MIN('Council Entry'!I115,'Council Entry'!I$9),'Council Entry'!I$8),'Council Entry'!I115)),IF('Council Entry'!I$4="Exponential",EXP(IF(AND(ISNUMBER('Council Entry'!I$8),ISNUMBER('Council Entry'!I$9)),MAX(MIN('Council Entry'!I115,'Council Entry'!I$9),'Council Entry'!I$8),'Council Entry'!I115)),IF(AND(ISNUMBER('Council Entry'!I$8),ISNUMBER('Council Entry'!I$9)),MAX(MIN('Council Entry'!I115,'Council Entry'!I$9),'Council Entry'!I$8),'Council Entry'!I115))))-'Council Entry'!I$5)/('Council Entry'!I$6-'Council Entry'!I$5),10*((IF('Council Entry'!I$4="Logarithm",LN(0.001+IF(AND(ISNUMBER('Council Entry'!I$8),ISNUMBER('Council Entry'!I$9)),MAX(MIN('Council Entry'!I115,'Council Entry'!I$9),'Council Entry'!I$8),'Council Entry'!I115)),IF('Council Entry'!I$4="Exponential",EXP(IF(AND(ISNUMBER('Council Entry'!I$8),ISNUMBER('Council Entry'!I$9)),MAX(MIN('Council Entry'!I115,'Council Entry'!I$9),'Council Entry'!I$8),'Council Entry'!I115)),IF(AND(ISNUMBER('Council Entry'!I$8),ISNUMBER('Council Entry'!I$9)),MAX(MIN('Council Entry'!I115,'Council Entry'!I$9),'Council Entry'!I$8),'Council Entry'!I115))))-'Council Entry'!I$5)/('Council Entry'!I$6-'Council Entry'!I$5)),1))),"No data"))</f>
        <v/>
      </c>
      <c r="J115" s="13">
        <f>IF('Council Entry'!J115="","",IFERROR(MAX(0,MIN(10,ROUND(IF('Council Entry'!J$7="Decrease Risk",10-10*((IF('Council Entry'!J$4="Logarithm",LN(0.001+IF(AND(ISNUMBER('Council Entry'!J$8),ISNUMBER('Council Entry'!J$9)),MAX(MIN('Council Entry'!J115,'Council Entry'!J$9),'Council Entry'!J$8),'Council Entry'!J115)),IF('Council Entry'!J$4="Exponential",EXP(IF(AND(ISNUMBER('Council Entry'!J$8),ISNUMBER('Council Entry'!J$9)),MAX(MIN('Council Entry'!J115,'Council Entry'!J$9),'Council Entry'!J$8),'Council Entry'!J115)),IF(AND(ISNUMBER('Council Entry'!J$8),ISNUMBER('Council Entry'!J$9)),MAX(MIN('Council Entry'!J115,'Council Entry'!J$9),'Council Entry'!J$8),'Council Entry'!J115))))-'Council Entry'!J$5)/('Council Entry'!J$6-'Council Entry'!J$5),10*((IF('Council Entry'!J$4="Logarithm",LN(0.001+IF(AND(ISNUMBER('Council Entry'!J$8),ISNUMBER('Council Entry'!J$9)),MAX(MIN('Council Entry'!J115,'Council Entry'!J$9),'Council Entry'!J$8),'Council Entry'!J115)),IF('Council Entry'!J$4="Exponential",EXP(IF(AND(ISNUMBER('Council Entry'!J$8),ISNUMBER('Council Entry'!J$9)),MAX(MIN('Council Entry'!J115,'Council Entry'!J$9),'Council Entry'!J$8),'Council Entry'!J115)),IF(AND(ISNUMBER('Council Entry'!J$8),ISNUMBER('Council Entry'!J$9)),MAX(MIN('Council Entry'!J115,'Council Entry'!J$9),'Council Entry'!J$8),'Council Entry'!J115))))-'Council Entry'!J$5)/('Council Entry'!J$6-'Council Entry'!J$5)),1))),"No data"))</f>
        <v/>
      </c>
      <c r="K115" s="13">
        <f>IF('Council Entry'!K115="","",IFERROR(MAX(0,MIN(10,ROUND(IF('Council Entry'!K$7="Decrease Risk",10-10*((IF('Council Entry'!K$4="Logarithm",LN(0.001+IF(AND(ISNUMBER('Council Entry'!K$8),ISNUMBER('Council Entry'!K$9)),MAX(MIN('Council Entry'!K115,'Council Entry'!K$9),'Council Entry'!K$8),'Council Entry'!K115)),IF('Council Entry'!K$4="Exponential",EXP(IF(AND(ISNUMBER('Council Entry'!K$8),ISNUMBER('Council Entry'!K$9)),MAX(MIN('Council Entry'!K115,'Council Entry'!K$9),'Council Entry'!K$8),'Council Entry'!K115)),IF(AND(ISNUMBER('Council Entry'!K$8),ISNUMBER('Council Entry'!K$9)),MAX(MIN('Council Entry'!K115,'Council Entry'!K$9),'Council Entry'!K$8),'Council Entry'!K115))))-'Council Entry'!K$5)/('Council Entry'!K$6-'Council Entry'!K$5),10*((IF('Council Entry'!K$4="Logarithm",LN(0.001+IF(AND(ISNUMBER('Council Entry'!K$8),ISNUMBER('Council Entry'!K$9)),MAX(MIN('Council Entry'!K115,'Council Entry'!K$9),'Council Entry'!K$8),'Council Entry'!K115)),IF('Council Entry'!K$4="Exponential",EXP(IF(AND(ISNUMBER('Council Entry'!K$8),ISNUMBER('Council Entry'!K$9)),MAX(MIN('Council Entry'!K115,'Council Entry'!K$9),'Council Entry'!K$8),'Council Entry'!K115)),IF(AND(ISNUMBER('Council Entry'!K$8),ISNUMBER('Council Entry'!K$9)),MAX(MIN('Council Entry'!K115,'Council Entry'!K$9),'Council Entry'!K$8),'Council Entry'!K115))))-'Council Entry'!K$5)/('Council Entry'!K$6-'Council Entry'!K$5)),1))),"No data"))</f>
        <v/>
      </c>
      <c r="L115" s="13">
        <f>IF('Council Entry'!L115="","",IFERROR(MAX(0,MIN(10,ROUND(IF('Council Entry'!L$7="Decrease Risk",10-10*((IF('Council Entry'!L$4="Logarithm",LN(0.001+IF(AND(ISNUMBER('Council Entry'!L$8),ISNUMBER('Council Entry'!L$9)),MAX(MIN('Council Entry'!L115,'Council Entry'!L$9),'Council Entry'!L$8),'Council Entry'!L115)),IF('Council Entry'!L$4="Exponential",EXP(IF(AND(ISNUMBER('Council Entry'!L$8),ISNUMBER('Council Entry'!L$9)),MAX(MIN('Council Entry'!L115,'Council Entry'!L$9),'Council Entry'!L$8),'Council Entry'!L115)),IF(AND(ISNUMBER('Council Entry'!L$8),ISNUMBER('Council Entry'!L$9)),MAX(MIN('Council Entry'!L115,'Council Entry'!L$9),'Council Entry'!L$8),'Council Entry'!L115))))-'Council Entry'!L$5)/('Council Entry'!L$6-'Council Entry'!L$5),10*((IF('Council Entry'!L$4="Logarithm",LN(0.001+IF(AND(ISNUMBER('Council Entry'!L$8),ISNUMBER('Council Entry'!L$9)),MAX(MIN('Council Entry'!L115,'Council Entry'!L$9),'Council Entry'!L$8),'Council Entry'!L115)),IF('Council Entry'!L$4="Exponential",EXP(IF(AND(ISNUMBER('Council Entry'!L$8),ISNUMBER('Council Entry'!L$9)),MAX(MIN('Council Entry'!L115,'Council Entry'!L$9),'Council Entry'!L$8),'Council Entry'!L115)),IF(AND(ISNUMBER('Council Entry'!L$8),ISNUMBER('Council Entry'!L$9)),MAX(MIN('Council Entry'!L115,'Council Entry'!L$9),'Council Entry'!L$8),'Council Entry'!L115))))-'Council Entry'!L$5)/('Council Entry'!L$6-'Council Entry'!L$5)),1))),"No data"))</f>
        <v/>
      </c>
      <c r="M115" s="13">
        <f>IF('Council Entry'!M115="","",IFERROR(MAX(0,MIN(10,ROUND(IF('Council Entry'!M$7="Decrease Risk",10-10*((IF('Council Entry'!M$4="Logarithm",LN(0.001+IF(AND(ISNUMBER('Council Entry'!M$8),ISNUMBER('Council Entry'!M$9)),MAX(MIN('Council Entry'!M115,'Council Entry'!M$9),'Council Entry'!M$8),'Council Entry'!M115)),IF('Council Entry'!M$4="Exponential",EXP(IF(AND(ISNUMBER('Council Entry'!M$8),ISNUMBER('Council Entry'!M$9)),MAX(MIN('Council Entry'!M115,'Council Entry'!M$9),'Council Entry'!M$8),'Council Entry'!M115)),IF(AND(ISNUMBER('Council Entry'!M$8),ISNUMBER('Council Entry'!M$9)),MAX(MIN('Council Entry'!M115,'Council Entry'!M$9),'Council Entry'!M$8),'Council Entry'!M115))))-'Council Entry'!M$5)/('Council Entry'!M$6-'Council Entry'!M$5),10*((IF('Council Entry'!M$4="Logarithm",LN(0.001+IF(AND(ISNUMBER('Council Entry'!M$8),ISNUMBER('Council Entry'!M$9)),MAX(MIN('Council Entry'!M115,'Council Entry'!M$9),'Council Entry'!M$8),'Council Entry'!M115)),IF('Council Entry'!M$4="Exponential",EXP(IF(AND(ISNUMBER('Council Entry'!M$8),ISNUMBER('Council Entry'!M$9)),MAX(MIN('Council Entry'!M115,'Council Entry'!M$9),'Council Entry'!M$8),'Council Entry'!M115)),IF(AND(ISNUMBER('Council Entry'!M$8),ISNUMBER('Council Entry'!M$9)),MAX(MIN('Council Entry'!M115,'Council Entry'!M$9),'Council Entry'!M$8),'Council Entry'!M115))))-'Council Entry'!M$5)/('Council Entry'!M$6-'Council Entry'!M$5)),1))),"No data"))</f>
        <v/>
      </c>
      <c r="N115" s="13">
        <f>IF('Council Entry'!N115="","",IFERROR(MAX(0,MIN(10,ROUND(IF('Council Entry'!N$7="Decrease Risk",10-10*((IF('Council Entry'!N$4="Logarithm",LN(0.001+IF(AND(ISNUMBER('Council Entry'!N$8),ISNUMBER('Council Entry'!N$9)),MAX(MIN('Council Entry'!N115,'Council Entry'!N$9),'Council Entry'!N$8),'Council Entry'!N115)),IF('Council Entry'!N$4="Exponential",EXP(IF(AND(ISNUMBER('Council Entry'!N$8),ISNUMBER('Council Entry'!N$9)),MAX(MIN('Council Entry'!N115,'Council Entry'!N$9),'Council Entry'!N$8),'Council Entry'!N115)),IF(AND(ISNUMBER('Council Entry'!N$8),ISNUMBER('Council Entry'!N$9)),MAX(MIN('Council Entry'!N115,'Council Entry'!N$9),'Council Entry'!N$8),'Council Entry'!N115))))-'Council Entry'!N$5)/('Council Entry'!N$6-'Council Entry'!N$5),10*((IF('Council Entry'!N$4="Logarithm",LN(0.001+IF(AND(ISNUMBER('Council Entry'!N$8),ISNUMBER('Council Entry'!N$9)),MAX(MIN('Council Entry'!N115,'Council Entry'!N$9),'Council Entry'!N$8),'Council Entry'!N115)),IF('Council Entry'!N$4="Exponential",EXP(IF(AND(ISNUMBER('Council Entry'!N$8),ISNUMBER('Council Entry'!N$9)),MAX(MIN('Council Entry'!N115,'Council Entry'!N$9),'Council Entry'!N$8),'Council Entry'!N115)),IF(AND(ISNUMBER('Council Entry'!N$8),ISNUMBER('Council Entry'!N$9)),MAX(MIN('Council Entry'!N115,'Council Entry'!N$9),'Council Entry'!N$8),'Council Entry'!N115))))-'Council Entry'!N$5)/('Council Entry'!N$6-'Council Entry'!N$5)),1))),"No data"))</f>
        <v/>
      </c>
      <c r="O115" s="13">
        <f>IF('Council Entry'!O115="","",IFERROR(MAX(0,MIN(10,ROUND(IF('Council Entry'!O$7="Decrease Risk",10-10*((IF('Council Entry'!O$4="Logarithm",LN(0.001+IF(AND(ISNUMBER('Council Entry'!O$8),ISNUMBER('Council Entry'!O$9)),MAX(MIN('Council Entry'!O115,'Council Entry'!O$9),'Council Entry'!O$8),'Council Entry'!O115)),IF('Council Entry'!O$4="Exponential",EXP(IF(AND(ISNUMBER('Council Entry'!O$8),ISNUMBER('Council Entry'!O$9)),MAX(MIN('Council Entry'!O115,'Council Entry'!O$9),'Council Entry'!O$8),'Council Entry'!O115)),IF(AND(ISNUMBER('Council Entry'!O$8),ISNUMBER('Council Entry'!O$9)),MAX(MIN('Council Entry'!O115,'Council Entry'!O$9),'Council Entry'!O$8),'Council Entry'!O115))))-'Council Entry'!O$5)/('Council Entry'!O$6-'Council Entry'!O$5),10*((IF('Council Entry'!O$4="Logarithm",LN(0.001+IF(AND(ISNUMBER('Council Entry'!O$8),ISNUMBER('Council Entry'!O$9)),MAX(MIN('Council Entry'!O115,'Council Entry'!O$9),'Council Entry'!O$8),'Council Entry'!O115)),IF('Council Entry'!O$4="Exponential",EXP(IF(AND(ISNUMBER('Council Entry'!O$8),ISNUMBER('Council Entry'!O$9)),MAX(MIN('Council Entry'!O115,'Council Entry'!O$9),'Council Entry'!O$8),'Council Entry'!O115)),IF(AND(ISNUMBER('Council Entry'!O$8),ISNUMBER('Council Entry'!O$9)),MAX(MIN('Council Entry'!O115,'Council Entry'!O$9),'Council Entry'!O$8),'Council Entry'!O115))))-'Council Entry'!O$5)/('Council Entry'!O$6-'Council Entry'!O$5)),1))),"No data"))</f>
        <v/>
      </c>
      <c r="P115" s="13">
        <f>IF('Council Entry'!P115="","",IFERROR(MAX(0,MIN(10,ROUND(IF('Council Entry'!P$7="Decrease Risk",10-10*((IF('Council Entry'!P$4="Logarithm",LN(0.001+IF(AND(ISNUMBER('Council Entry'!P$8),ISNUMBER('Council Entry'!P$9)),MAX(MIN('Council Entry'!P115,'Council Entry'!P$9),'Council Entry'!P$8),'Council Entry'!P115)),IF('Council Entry'!P$4="Exponential",EXP(IF(AND(ISNUMBER('Council Entry'!P$8),ISNUMBER('Council Entry'!P$9)),MAX(MIN('Council Entry'!P115,'Council Entry'!P$9),'Council Entry'!P$8),'Council Entry'!P115)),IF(AND(ISNUMBER('Council Entry'!P$8),ISNUMBER('Council Entry'!P$9)),MAX(MIN('Council Entry'!P115,'Council Entry'!P$9),'Council Entry'!P$8),'Council Entry'!P115))))-'Council Entry'!P$5)/('Council Entry'!P$6-'Council Entry'!P$5),10*((IF('Council Entry'!P$4="Logarithm",LN(0.001+IF(AND(ISNUMBER('Council Entry'!P$8),ISNUMBER('Council Entry'!P$9)),MAX(MIN('Council Entry'!P115,'Council Entry'!P$9),'Council Entry'!P$8),'Council Entry'!P115)),IF('Council Entry'!P$4="Exponential",EXP(IF(AND(ISNUMBER('Council Entry'!P$8),ISNUMBER('Council Entry'!P$9)),MAX(MIN('Council Entry'!P115,'Council Entry'!P$9),'Council Entry'!P$8),'Council Entry'!P115)),IF(AND(ISNUMBER('Council Entry'!P$8),ISNUMBER('Council Entry'!P$9)),MAX(MIN('Council Entry'!P115,'Council Entry'!P$9),'Council Entry'!P$8),'Council Entry'!P115))))-'Council Entry'!P$5)/('Council Entry'!P$6-'Council Entry'!P$5)),1))),"No data"))</f>
        <v/>
      </c>
      <c r="Q115" s="13">
        <f>IF('Council Entry'!Q115="","",IFERROR(MAX(0,MIN(10,ROUND(IF('Council Entry'!Q$7="Decrease Risk",10-10*((IF('Council Entry'!Q$4="Logarithm",LN(0.001+IF(AND(ISNUMBER('Council Entry'!Q$8),ISNUMBER('Council Entry'!Q$9)),MAX(MIN('Council Entry'!Q115,'Council Entry'!Q$9),'Council Entry'!Q$8),'Council Entry'!Q115)),IF('Council Entry'!Q$4="Exponential",EXP(IF(AND(ISNUMBER('Council Entry'!Q$8),ISNUMBER('Council Entry'!Q$9)),MAX(MIN('Council Entry'!Q115,'Council Entry'!Q$9),'Council Entry'!Q$8),'Council Entry'!Q115)),IF(AND(ISNUMBER('Council Entry'!Q$8),ISNUMBER('Council Entry'!Q$9)),MAX(MIN('Council Entry'!Q115,'Council Entry'!Q$9),'Council Entry'!Q$8),'Council Entry'!Q115))))-'Council Entry'!Q$5)/('Council Entry'!Q$6-'Council Entry'!Q$5),10*((IF('Council Entry'!Q$4="Logarithm",LN(0.001+IF(AND(ISNUMBER('Council Entry'!Q$8),ISNUMBER('Council Entry'!Q$9)),MAX(MIN('Council Entry'!Q115,'Council Entry'!Q$9),'Council Entry'!Q$8),'Council Entry'!Q115)),IF('Council Entry'!Q$4="Exponential",EXP(IF(AND(ISNUMBER('Council Entry'!Q$8),ISNUMBER('Council Entry'!Q$9)),MAX(MIN('Council Entry'!Q115,'Council Entry'!Q$9),'Council Entry'!Q$8),'Council Entry'!Q115)),IF(AND(ISNUMBER('Council Entry'!Q$8),ISNUMBER('Council Entry'!Q$9)),MAX(MIN('Council Entry'!Q115,'Council Entry'!Q$9),'Council Entry'!Q$8),'Council Entry'!Q115))))-'Council Entry'!Q$5)/('Council Entry'!Q$6-'Council Entry'!Q$5)),1))),"No data"))</f>
        <v/>
      </c>
      <c r="R115" s="13">
        <f>IF('Council Entry'!R115="","",IFERROR(MAX(0,MIN(10,ROUND(IF('Council Entry'!R$7="Decrease Risk",10-10*((IF('Council Entry'!R$4="Logarithm",LN(0.001+IF(AND(ISNUMBER('Council Entry'!R$8),ISNUMBER('Council Entry'!R$9)),MAX(MIN('Council Entry'!R115,'Council Entry'!R$9),'Council Entry'!R$8),'Council Entry'!R115)),IF('Council Entry'!R$4="Exponential",EXP(IF(AND(ISNUMBER('Council Entry'!R$8),ISNUMBER('Council Entry'!R$9)),MAX(MIN('Council Entry'!R115,'Council Entry'!R$9),'Council Entry'!R$8),'Council Entry'!R115)),IF(AND(ISNUMBER('Council Entry'!R$8),ISNUMBER('Council Entry'!R$9)),MAX(MIN('Council Entry'!R115,'Council Entry'!R$9),'Council Entry'!R$8),'Council Entry'!R115))))-'Council Entry'!R$5)/('Council Entry'!R$6-'Council Entry'!R$5),10*((IF('Council Entry'!R$4="Logarithm",LN(0.001+IF(AND(ISNUMBER('Council Entry'!R$8),ISNUMBER('Council Entry'!R$9)),MAX(MIN('Council Entry'!R115,'Council Entry'!R$9),'Council Entry'!R$8),'Council Entry'!R115)),IF('Council Entry'!R$4="Exponential",EXP(IF(AND(ISNUMBER('Council Entry'!R$8),ISNUMBER('Council Entry'!R$9)),MAX(MIN('Council Entry'!R115,'Council Entry'!R$9),'Council Entry'!R$8),'Council Entry'!R115)),IF(AND(ISNUMBER('Council Entry'!R$8),ISNUMBER('Council Entry'!R$9)),MAX(MIN('Council Entry'!R115,'Council Entry'!R$9),'Council Entry'!R$8),'Council Entry'!R115))))-'Council Entry'!R$5)/('Council Entry'!R$6-'Council Entry'!R$5)),1))),"No data"))</f>
        <v/>
      </c>
      <c r="S115" s="13">
        <f>IF('Council Entry'!S115="","",IFERROR(MAX(0,MIN(10,ROUND(IF('Council Entry'!S$7="Decrease Risk",10-10*((IF('Council Entry'!S$4="Logarithm",LN(0.001+IF(AND(ISNUMBER('Council Entry'!S$8),ISNUMBER('Council Entry'!S$9)),MAX(MIN('Council Entry'!S115,'Council Entry'!S$9),'Council Entry'!S$8),'Council Entry'!S115)),IF('Council Entry'!S$4="Exponential",EXP(IF(AND(ISNUMBER('Council Entry'!S$8),ISNUMBER('Council Entry'!S$9)),MAX(MIN('Council Entry'!S115,'Council Entry'!S$9),'Council Entry'!S$8),'Council Entry'!S115)),IF(AND(ISNUMBER('Council Entry'!S$8),ISNUMBER('Council Entry'!S$9)),MAX(MIN('Council Entry'!S115,'Council Entry'!S$9),'Council Entry'!S$8),'Council Entry'!S115))))-'Council Entry'!S$5)/('Council Entry'!S$6-'Council Entry'!S$5),10*((IF('Council Entry'!S$4="Logarithm",LN(0.001+IF(AND(ISNUMBER('Council Entry'!S$8),ISNUMBER('Council Entry'!S$9)),MAX(MIN('Council Entry'!S115,'Council Entry'!S$9),'Council Entry'!S$8),'Council Entry'!S115)),IF('Council Entry'!S$4="Exponential",EXP(IF(AND(ISNUMBER('Council Entry'!S$8),ISNUMBER('Council Entry'!S$9)),MAX(MIN('Council Entry'!S115,'Council Entry'!S$9),'Council Entry'!S$8),'Council Entry'!S115)),IF(AND(ISNUMBER('Council Entry'!S$8),ISNUMBER('Council Entry'!S$9)),MAX(MIN('Council Entry'!S115,'Council Entry'!S$9),'Council Entry'!S$8),'Council Entry'!S115))))-'Council Entry'!S$5)/('Council Entry'!S$6-'Council Entry'!S$5)),1))),"No data"))</f>
        <v/>
      </c>
      <c r="T115" s="13">
        <f>IF('Council Entry'!T115="","",IFERROR(MAX(0,MIN(10,ROUND(IF('Council Entry'!T$7="Decrease Risk",10-10*((IF('Council Entry'!T$4="Logarithm",LN(0.001+IF(AND(ISNUMBER('Council Entry'!T$8),ISNUMBER('Council Entry'!T$9)),MAX(MIN('Council Entry'!T115,'Council Entry'!T$9),'Council Entry'!T$8),'Council Entry'!T115)),IF('Council Entry'!T$4="Exponential",EXP(IF(AND(ISNUMBER('Council Entry'!T$8),ISNUMBER('Council Entry'!T$9)),MAX(MIN('Council Entry'!T115,'Council Entry'!T$9),'Council Entry'!T$8),'Council Entry'!T115)),IF(AND(ISNUMBER('Council Entry'!T$8),ISNUMBER('Council Entry'!T$9)),MAX(MIN('Council Entry'!T115,'Council Entry'!T$9),'Council Entry'!T$8),'Council Entry'!T115))))-'Council Entry'!T$5)/('Council Entry'!T$6-'Council Entry'!T$5),10*((IF('Council Entry'!T$4="Logarithm",LN(0.001+IF(AND(ISNUMBER('Council Entry'!T$8),ISNUMBER('Council Entry'!T$9)),MAX(MIN('Council Entry'!T115,'Council Entry'!T$9),'Council Entry'!T$8),'Council Entry'!T115)),IF('Council Entry'!T$4="Exponential",EXP(IF(AND(ISNUMBER('Council Entry'!T$8),ISNUMBER('Council Entry'!T$9)),MAX(MIN('Council Entry'!T115,'Council Entry'!T$9),'Council Entry'!T$8),'Council Entry'!T115)),IF(AND(ISNUMBER('Council Entry'!T$8),ISNUMBER('Council Entry'!T$9)),MAX(MIN('Council Entry'!T115,'Council Entry'!T$9),'Council Entry'!T$8),'Council Entry'!T115))))-'Council Entry'!T$5)/('Council Entry'!T$6-'Council Entry'!T$5)),1))),"No data"))</f>
        <v/>
      </c>
      <c r="U115" s="13">
        <f>IF('Council Entry'!U115="","",IFERROR(MAX(0,MIN(10,ROUND(IF('Council Entry'!U$7="Decrease Risk",10-10*((IF('Council Entry'!U$4="Logarithm",LN(0.001+IF(AND(ISNUMBER('Council Entry'!U$8),ISNUMBER('Council Entry'!U$9)),MAX(MIN('Council Entry'!U115,'Council Entry'!U$9),'Council Entry'!U$8),'Council Entry'!U115)),IF('Council Entry'!U$4="Exponential",EXP(IF(AND(ISNUMBER('Council Entry'!U$8),ISNUMBER('Council Entry'!U$9)),MAX(MIN('Council Entry'!U115,'Council Entry'!U$9),'Council Entry'!U$8),'Council Entry'!U115)),IF(AND(ISNUMBER('Council Entry'!U$8),ISNUMBER('Council Entry'!U$9)),MAX(MIN('Council Entry'!U115,'Council Entry'!U$9),'Council Entry'!U$8),'Council Entry'!U115))))-'Council Entry'!U$5)/('Council Entry'!U$6-'Council Entry'!U$5),10*((IF('Council Entry'!U$4="Logarithm",LN(0.001+IF(AND(ISNUMBER('Council Entry'!U$8),ISNUMBER('Council Entry'!U$9)),MAX(MIN('Council Entry'!U115,'Council Entry'!U$9),'Council Entry'!U$8),'Council Entry'!U115)),IF('Council Entry'!U$4="Exponential",EXP(IF(AND(ISNUMBER('Council Entry'!U$8),ISNUMBER('Council Entry'!U$9)),MAX(MIN('Council Entry'!U115,'Council Entry'!U$9),'Council Entry'!U$8),'Council Entry'!U115)),IF(AND(ISNUMBER('Council Entry'!U$8),ISNUMBER('Council Entry'!U$9)),MAX(MIN('Council Entry'!U115,'Council Entry'!U$9),'Council Entry'!U$8),'Council Entry'!U115))))-'Council Entry'!U$5)/('Council Entry'!U$6-'Council Entry'!U$5)),1))),"No data"))</f>
        <v/>
      </c>
      <c r="V115" s="13">
        <f>IF('Council Entry'!V115="","",IFERROR(MAX(0,MIN(10,ROUND(IF('Council Entry'!V$7="Decrease Risk",10-10*((IF('Council Entry'!V$4="Logarithm",LN(0.001+IF(AND(ISNUMBER('Council Entry'!V$8),ISNUMBER('Council Entry'!V$9)),MAX(MIN('Council Entry'!V115,'Council Entry'!V$9),'Council Entry'!V$8),'Council Entry'!V115)),IF('Council Entry'!V$4="Exponential",EXP(IF(AND(ISNUMBER('Council Entry'!V$8),ISNUMBER('Council Entry'!V$9)),MAX(MIN('Council Entry'!V115,'Council Entry'!V$9),'Council Entry'!V$8),'Council Entry'!V115)),IF(AND(ISNUMBER('Council Entry'!V$8),ISNUMBER('Council Entry'!V$9)),MAX(MIN('Council Entry'!V115,'Council Entry'!V$9),'Council Entry'!V$8),'Council Entry'!V115))))-'Council Entry'!V$5)/('Council Entry'!V$6-'Council Entry'!V$5),10*((IF('Council Entry'!V$4="Logarithm",LN(0.001+IF(AND(ISNUMBER('Council Entry'!V$8),ISNUMBER('Council Entry'!V$9)),MAX(MIN('Council Entry'!V115,'Council Entry'!V$9),'Council Entry'!V$8),'Council Entry'!V115)),IF('Council Entry'!V$4="Exponential",EXP(IF(AND(ISNUMBER('Council Entry'!V$8),ISNUMBER('Council Entry'!V$9)),MAX(MIN('Council Entry'!V115,'Council Entry'!V$9),'Council Entry'!V$8),'Council Entry'!V115)),IF(AND(ISNUMBER('Council Entry'!V$8),ISNUMBER('Council Entry'!V$9)),MAX(MIN('Council Entry'!V115,'Council Entry'!V$9),'Council Entry'!V$8),'Council Entry'!V115))))-'Council Entry'!V$5)/('Council Entry'!V$6-'Council Entry'!V$5)),1))),"No data"))</f>
        <v/>
      </c>
      <c r="W115" s="13">
        <f>IF('Council Entry'!W115="","",IFERROR(MAX(0,MIN(10,ROUND(IF('Council Entry'!W$7="Decrease Risk",10-10*((IF('Council Entry'!W$4="Logarithm",LN(0.001+IF(AND(ISNUMBER('Council Entry'!W$8),ISNUMBER('Council Entry'!W$9)),MAX(MIN('Council Entry'!W115,'Council Entry'!W$9),'Council Entry'!W$8),'Council Entry'!W115)),IF('Council Entry'!W$4="Exponential",EXP(IF(AND(ISNUMBER('Council Entry'!W$8),ISNUMBER('Council Entry'!W$9)),MAX(MIN('Council Entry'!W115,'Council Entry'!W$9),'Council Entry'!W$8),'Council Entry'!W115)),IF(AND(ISNUMBER('Council Entry'!W$8),ISNUMBER('Council Entry'!W$9)),MAX(MIN('Council Entry'!W115,'Council Entry'!W$9),'Council Entry'!W$8),'Council Entry'!W115))))-'Council Entry'!W$5)/('Council Entry'!W$6-'Council Entry'!W$5),10*((IF('Council Entry'!W$4="Logarithm",LN(0.001+IF(AND(ISNUMBER('Council Entry'!W$8),ISNUMBER('Council Entry'!W$9)),MAX(MIN('Council Entry'!W115,'Council Entry'!W$9),'Council Entry'!W$8),'Council Entry'!W115)),IF('Council Entry'!W$4="Exponential",EXP(IF(AND(ISNUMBER('Council Entry'!W$8),ISNUMBER('Council Entry'!W$9)),MAX(MIN('Council Entry'!W115,'Council Entry'!W$9),'Council Entry'!W$8),'Council Entry'!W115)),IF(AND(ISNUMBER('Council Entry'!W$8),ISNUMBER('Council Entry'!W$9)),MAX(MIN('Council Entry'!W115,'Council Entry'!W$9),'Council Entry'!W$8),'Council Entry'!W115))))-'Council Entry'!W$5)/('Council Entry'!W$6-'Council Entry'!W$5)),1))),"No data"))</f>
        <v/>
      </c>
      <c r="X115" s="13">
        <f>IF('Council Entry'!X115="","",IFERROR(MAX(0,MIN(10,ROUND(IF('Council Entry'!X$7="Decrease Risk",10-10*((IF('Council Entry'!X$4="Logarithm",LN(0.001+IF(AND(ISNUMBER('Council Entry'!X$8),ISNUMBER('Council Entry'!X$9)),MAX(MIN('Council Entry'!X115,'Council Entry'!X$9),'Council Entry'!X$8),'Council Entry'!X115)),IF('Council Entry'!X$4="Exponential",EXP(IF(AND(ISNUMBER('Council Entry'!X$8),ISNUMBER('Council Entry'!X$9)),MAX(MIN('Council Entry'!X115,'Council Entry'!X$9),'Council Entry'!X$8),'Council Entry'!X115)),IF(AND(ISNUMBER('Council Entry'!X$8),ISNUMBER('Council Entry'!X$9)),MAX(MIN('Council Entry'!X115,'Council Entry'!X$9),'Council Entry'!X$8),'Council Entry'!X115))))-'Council Entry'!X$5)/('Council Entry'!X$6-'Council Entry'!X$5),10*((IF('Council Entry'!X$4="Logarithm",LN(0.001+IF(AND(ISNUMBER('Council Entry'!X$8),ISNUMBER('Council Entry'!X$9)),MAX(MIN('Council Entry'!X115,'Council Entry'!X$9),'Council Entry'!X$8),'Council Entry'!X115)),IF('Council Entry'!X$4="Exponential",EXP(IF(AND(ISNUMBER('Council Entry'!X$8),ISNUMBER('Council Entry'!X$9)),MAX(MIN('Council Entry'!X115,'Council Entry'!X$9),'Council Entry'!X$8),'Council Entry'!X115)),IF(AND(ISNUMBER('Council Entry'!X$8),ISNUMBER('Council Entry'!X$9)),MAX(MIN('Council Entry'!X115,'Council Entry'!X$9),'Council Entry'!X$8),'Council Entry'!X115))))-'Council Entry'!X$5)/('Council Entry'!X$6-'Council Entry'!X$5)),1))),"No data"))</f>
        <v/>
      </c>
      <c r="Y115" s="13">
        <f>IF('Council Entry'!Y115="","",IFERROR(MAX(0,MIN(10,ROUND(IF('Council Entry'!Y$7="Decrease Risk",10-10*((IF('Council Entry'!Y$4="Logarithm",LN(0.001+IF(AND(ISNUMBER('Council Entry'!Y$8),ISNUMBER('Council Entry'!Y$9)),MAX(MIN('Council Entry'!Y115,'Council Entry'!Y$9),'Council Entry'!Y$8),'Council Entry'!Y115)),IF('Council Entry'!Y$4="Exponential",EXP(IF(AND(ISNUMBER('Council Entry'!Y$8),ISNUMBER('Council Entry'!Y$9)),MAX(MIN('Council Entry'!Y115,'Council Entry'!Y$9),'Council Entry'!Y$8),'Council Entry'!Y115)),IF(AND(ISNUMBER('Council Entry'!Y$8),ISNUMBER('Council Entry'!Y$9)),MAX(MIN('Council Entry'!Y115,'Council Entry'!Y$9),'Council Entry'!Y$8),'Council Entry'!Y115))))-'Council Entry'!Y$5)/('Council Entry'!Y$6-'Council Entry'!Y$5),10*((IF('Council Entry'!Y$4="Logarithm",LN(0.001+IF(AND(ISNUMBER('Council Entry'!Y$8),ISNUMBER('Council Entry'!Y$9)),MAX(MIN('Council Entry'!Y115,'Council Entry'!Y$9),'Council Entry'!Y$8),'Council Entry'!Y115)),IF('Council Entry'!Y$4="Exponential",EXP(IF(AND(ISNUMBER('Council Entry'!Y$8),ISNUMBER('Council Entry'!Y$9)),MAX(MIN('Council Entry'!Y115,'Council Entry'!Y$9),'Council Entry'!Y$8),'Council Entry'!Y115)),IF(AND(ISNUMBER('Council Entry'!Y$8),ISNUMBER('Council Entry'!Y$9)),MAX(MIN('Council Entry'!Y115,'Council Entry'!Y$9),'Council Entry'!Y$8),'Council Entry'!Y115))))-'Council Entry'!Y$5)/('Council Entry'!Y$6-'Council Entry'!Y$5)),1))),"No data"))</f>
        <v/>
      </c>
      <c r="Z115" s="13">
        <f>IF('Council Entry'!Z115="","",IFERROR(MAX(0,MIN(10,ROUND(IF('Council Entry'!Z$7="Decrease Risk",10-10*((IF('Council Entry'!Z$4="Logarithm",LN(0.001+IF(AND(ISNUMBER('Council Entry'!Z$8),ISNUMBER('Council Entry'!Z$9)),MAX(MIN('Council Entry'!Z115,'Council Entry'!Z$9),'Council Entry'!Z$8),'Council Entry'!Z115)),IF('Council Entry'!Z$4="Exponential",EXP(IF(AND(ISNUMBER('Council Entry'!Z$8),ISNUMBER('Council Entry'!Z$9)),MAX(MIN('Council Entry'!Z115,'Council Entry'!Z$9),'Council Entry'!Z$8),'Council Entry'!Z115)),IF(AND(ISNUMBER('Council Entry'!Z$8),ISNUMBER('Council Entry'!Z$9)),MAX(MIN('Council Entry'!Z115,'Council Entry'!Z$9),'Council Entry'!Z$8),'Council Entry'!Z115))))-'Council Entry'!Z$5)/('Council Entry'!Z$6-'Council Entry'!Z$5),10*((IF('Council Entry'!Z$4="Logarithm",LN(0.001+IF(AND(ISNUMBER('Council Entry'!Z$8),ISNUMBER('Council Entry'!Z$9)),MAX(MIN('Council Entry'!Z115,'Council Entry'!Z$9),'Council Entry'!Z$8),'Council Entry'!Z115)),IF('Council Entry'!Z$4="Exponential",EXP(IF(AND(ISNUMBER('Council Entry'!Z$8),ISNUMBER('Council Entry'!Z$9)),MAX(MIN('Council Entry'!Z115,'Council Entry'!Z$9),'Council Entry'!Z$8),'Council Entry'!Z115)),IF(AND(ISNUMBER('Council Entry'!Z$8),ISNUMBER('Council Entry'!Z$9)),MAX(MIN('Council Entry'!Z115,'Council Entry'!Z$9),'Council Entry'!Z$8),'Council Entry'!Z115))))-'Council Entry'!Z$5)/('Council Entry'!Z$6-'Council Entry'!Z$5)),1))),"No data"))</f>
        <v/>
      </c>
      <c r="AA115" s="13">
        <f>IF('Council Entry'!AA115="","",IFERROR(MAX(0,MIN(10,ROUND(IF('Council Entry'!AA$7="Decrease Risk",10-10*((IF('Council Entry'!AA$4="Logarithm",LN(0.001+IF(AND(ISNUMBER('Council Entry'!AA$8),ISNUMBER('Council Entry'!AA$9)),MAX(MIN('Council Entry'!AA115,'Council Entry'!AA$9),'Council Entry'!AA$8),'Council Entry'!AA115)),IF('Council Entry'!AA$4="Exponential",EXP(IF(AND(ISNUMBER('Council Entry'!AA$8),ISNUMBER('Council Entry'!AA$9)),MAX(MIN('Council Entry'!AA115,'Council Entry'!AA$9),'Council Entry'!AA$8),'Council Entry'!AA115)),IF(AND(ISNUMBER('Council Entry'!AA$8),ISNUMBER('Council Entry'!AA$9)),MAX(MIN('Council Entry'!AA115,'Council Entry'!AA$9),'Council Entry'!AA$8),'Council Entry'!AA115))))-'Council Entry'!AA$5)/('Council Entry'!AA$6-'Council Entry'!AA$5),10*((IF('Council Entry'!AA$4="Logarithm",LN(0.001+IF(AND(ISNUMBER('Council Entry'!AA$8),ISNUMBER('Council Entry'!AA$9)),MAX(MIN('Council Entry'!AA115,'Council Entry'!AA$9),'Council Entry'!AA$8),'Council Entry'!AA115)),IF('Council Entry'!AA$4="Exponential",EXP(IF(AND(ISNUMBER('Council Entry'!AA$8),ISNUMBER('Council Entry'!AA$9)),MAX(MIN('Council Entry'!AA115,'Council Entry'!AA$9),'Council Entry'!AA$8),'Council Entry'!AA115)),IF(AND(ISNUMBER('Council Entry'!AA$8),ISNUMBER('Council Entry'!AA$9)),MAX(MIN('Council Entry'!AA115,'Council Entry'!AA$9),'Council Entry'!AA$8),'Council Entry'!AA115))))-'Council Entry'!AA$5)/('Council Entry'!AA$6-'Council Entry'!AA$5)),1))),"No data"))</f>
        <v/>
      </c>
      <c r="AB115" s="13">
        <f>IF('Council Entry'!AB115="","",IFERROR(MAX(0,MIN(10,ROUND(IF('Council Entry'!AB$7="Decrease Risk",10-10*((IF('Council Entry'!AB$4="Logarithm",LN(0.001+IF(AND(ISNUMBER('Council Entry'!AB$8),ISNUMBER('Council Entry'!AB$9)),MAX(MIN('Council Entry'!AB115,'Council Entry'!AB$9),'Council Entry'!AB$8),'Council Entry'!AB115)),IF('Council Entry'!AB$4="Exponential",EXP(IF(AND(ISNUMBER('Council Entry'!AB$8),ISNUMBER('Council Entry'!AB$9)),MAX(MIN('Council Entry'!AB115,'Council Entry'!AB$9),'Council Entry'!AB$8),'Council Entry'!AB115)),IF(AND(ISNUMBER('Council Entry'!AB$8),ISNUMBER('Council Entry'!AB$9)),MAX(MIN('Council Entry'!AB115,'Council Entry'!AB$9),'Council Entry'!AB$8),'Council Entry'!AB115))))-'Council Entry'!AB$5)/('Council Entry'!AB$6-'Council Entry'!AB$5),10*((IF('Council Entry'!AB$4="Logarithm",LN(0.001+IF(AND(ISNUMBER('Council Entry'!AB$8),ISNUMBER('Council Entry'!AB$9)),MAX(MIN('Council Entry'!AB115,'Council Entry'!AB$9),'Council Entry'!AB$8),'Council Entry'!AB115)),IF('Council Entry'!AB$4="Exponential",EXP(IF(AND(ISNUMBER('Council Entry'!AB$8),ISNUMBER('Council Entry'!AB$9)),MAX(MIN('Council Entry'!AB115,'Council Entry'!AB$9),'Council Entry'!AB$8),'Council Entry'!AB115)),IF(AND(ISNUMBER('Council Entry'!AB$8),ISNUMBER('Council Entry'!AB$9)),MAX(MIN('Council Entry'!AB115,'Council Entry'!AB$9),'Council Entry'!AB$8),'Council Entry'!AB115))))-'Council Entry'!AB$5)/('Council Entry'!AB$6-'Council Entry'!AB$5)),1))),"No data"))</f>
        <v/>
      </c>
      <c r="AC115" s="13">
        <f>IF('Council Entry'!AC115="","",IFERROR(MAX(0,MIN(10,ROUND(IF('Council Entry'!AC$7="Decrease Risk",10-10*((IF('Council Entry'!AC$4="Logarithm",LN(0.001+IF(AND(ISNUMBER('Council Entry'!AC$8),ISNUMBER('Council Entry'!AC$9)),MAX(MIN('Council Entry'!AC115,'Council Entry'!AC$9),'Council Entry'!AC$8),'Council Entry'!AC115)),IF('Council Entry'!AC$4="Exponential",EXP(IF(AND(ISNUMBER('Council Entry'!AC$8),ISNUMBER('Council Entry'!AC$9)),MAX(MIN('Council Entry'!AC115,'Council Entry'!AC$9),'Council Entry'!AC$8),'Council Entry'!AC115)),IF(AND(ISNUMBER('Council Entry'!AC$8),ISNUMBER('Council Entry'!AC$9)),MAX(MIN('Council Entry'!AC115,'Council Entry'!AC$9),'Council Entry'!AC$8),'Council Entry'!AC115))))-'Council Entry'!AC$5)/('Council Entry'!AC$6-'Council Entry'!AC$5),10*((IF('Council Entry'!AC$4="Logarithm",LN(0.001+IF(AND(ISNUMBER('Council Entry'!AC$8),ISNUMBER('Council Entry'!AC$9)),MAX(MIN('Council Entry'!AC115,'Council Entry'!AC$9),'Council Entry'!AC$8),'Council Entry'!AC115)),IF('Council Entry'!AC$4="Exponential",EXP(IF(AND(ISNUMBER('Council Entry'!AC$8),ISNUMBER('Council Entry'!AC$9)),MAX(MIN('Council Entry'!AC115,'Council Entry'!AC$9),'Council Entry'!AC$8),'Council Entry'!AC115)),IF(AND(ISNUMBER('Council Entry'!AC$8),ISNUMBER('Council Entry'!AC$9)),MAX(MIN('Council Entry'!AC115,'Council Entry'!AC$9),'Council Entry'!AC$8),'Council Entry'!AC115))))-'Council Entry'!AC$5)/('Council Entry'!AC$6-'Council Entry'!AC$5)),1))),"No data"))</f>
        <v/>
      </c>
      <c r="AD115" s="13">
        <f>IF('Council Entry'!AD115="","",IFERROR(MAX(0,MIN(10,ROUND(IF('Council Entry'!AD$7="Decrease Risk",10-10*((IF('Council Entry'!AD$4="Logarithm",LN(0.001+IF(AND(ISNUMBER('Council Entry'!AD$8),ISNUMBER('Council Entry'!AD$9)),MAX(MIN('Council Entry'!AD115,'Council Entry'!AD$9),'Council Entry'!AD$8),'Council Entry'!AD115)),IF('Council Entry'!AD$4="Exponential",EXP(IF(AND(ISNUMBER('Council Entry'!AD$8),ISNUMBER('Council Entry'!AD$9)),MAX(MIN('Council Entry'!AD115,'Council Entry'!AD$9),'Council Entry'!AD$8),'Council Entry'!AD115)),IF(AND(ISNUMBER('Council Entry'!AD$8),ISNUMBER('Council Entry'!AD$9)),MAX(MIN('Council Entry'!AD115,'Council Entry'!AD$9),'Council Entry'!AD$8),'Council Entry'!AD115))))-'Council Entry'!AD$5)/('Council Entry'!AD$6-'Council Entry'!AD$5),10*((IF('Council Entry'!AD$4="Logarithm",LN(0.001+IF(AND(ISNUMBER('Council Entry'!AD$8),ISNUMBER('Council Entry'!AD$9)),MAX(MIN('Council Entry'!AD115,'Council Entry'!AD$9),'Council Entry'!AD$8),'Council Entry'!AD115)),IF('Council Entry'!AD$4="Exponential",EXP(IF(AND(ISNUMBER('Council Entry'!AD$8),ISNUMBER('Council Entry'!AD$9)),MAX(MIN('Council Entry'!AD115,'Council Entry'!AD$9),'Council Entry'!AD$8),'Council Entry'!AD115)),IF(AND(ISNUMBER('Council Entry'!AD$8),ISNUMBER('Council Entry'!AD$9)),MAX(MIN('Council Entry'!AD115,'Council Entry'!AD$9),'Council Entry'!AD$8),'Council Entry'!AD115))))-'Council Entry'!AD$5)/('Council Entry'!AD$6-'Council Entry'!AD$5)),1))),"No data"))</f>
        <v/>
      </c>
      <c r="AE115" s="13">
        <f>IF('Council Entry'!AE115="","",IFERROR(MAX(0,MIN(10,ROUND(IF('Council Entry'!AE$7="Decrease Risk",10-10*((IF('Council Entry'!AE$4="Logarithm",LN(0.001+IF(AND(ISNUMBER('Council Entry'!AE$8),ISNUMBER('Council Entry'!AE$9)),MAX(MIN('Council Entry'!AE115,'Council Entry'!AE$9),'Council Entry'!AE$8),'Council Entry'!AE115)),IF('Council Entry'!AE$4="Exponential",EXP(IF(AND(ISNUMBER('Council Entry'!AE$8),ISNUMBER('Council Entry'!AE$9)),MAX(MIN('Council Entry'!AE115,'Council Entry'!AE$9),'Council Entry'!AE$8),'Council Entry'!AE115)),IF(AND(ISNUMBER('Council Entry'!AE$8),ISNUMBER('Council Entry'!AE$9)),MAX(MIN('Council Entry'!AE115,'Council Entry'!AE$9),'Council Entry'!AE$8),'Council Entry'!AE115))))-'Council Entry'!AE$5)/('Council Entry'!AE$6-'Council Entry'!AE$5),10*((IF('Council Entry'!AE$4="Logarithm",LN(0.001+IF(AND(ISNUMBER('Council Entry'!AE$8),ISNUMBER('Council Entry'!AE$9)),MAX(MIN('Council Entry'!AE115,'Council Entry'!AE$9),'Council Entry'!AE$8),'Council Entry'!AE115)),IF('Council Entry'!AE$4="Exponential",EXP(IF(AND(ISNUMBER('Council Entry'!AE$8),ISNUMBER('Council Entry'!AE$9)),MAX(MIN('Council Entry'!AE115,'Council Entry'!AE$9),'Council Entry'!AE$8),'Council Entry'!AE115)),IF(AND(ISNUMBER('Council Entry'!AE$8),ISNUMBER('Council Entry'!AE$9)),MAX(MIN('Council Entry'!AE115,'Council Entry'!AE$9),'Council Entry'!AE$8),'Council Entry'!AE115))))-'Council Entry'!AE$5)/('Council Entry'!AE$6-'Council Entry'!AE$5)),1))),"No data"))</f>
        <v/>
      </c>
      <c r="AF115" s="13">
        <f>IF('Council Entry'!AF115="","",IFERROR(MAX(0,MIN(10,ROUND(IF('Council Entry'!AF$7="Decrease Risk",10-10*((IF('Council Entry'!AF$4="Logarithm",LN(0.001+IF(AND(ISNUMBER('Council Entry'!AF$8),ISNUMBER('Council Entry'!AF$9)),MAX(MIN('Council Entry'!AF115,'Council Entry'!AF$9),'Council Entry'!AF$8),'Council Entry'!AF115)),IF('Council Entry'!AF$4="Exponential",EXP(IF(AND(ISNUMBER('Council Entry'!AF$8),ISNUMBER('Council Entry'!AF$9)),MAX(MIN('Council Entry'!AF115,'Council Entry'!AF$9),'Council Entry'!AF$8),'Council Entry'!AF115)),IF(AND(ISNUMBER('Council Entry'!AF$8),ISNUMBER('Council Entry'!AF$9)),MAX(MIN('Council Entry'!AF115,'Council Entry'!AF$9),'Council Entry'!AF$8),'Council Entry'!AF115))))-'Council Entry'!AF$5)/('Council Entry'!AF$6-'Council Entry'!AF$5),10*((IF('Council Entry'!AF$4="Logarithm",LN(0.001+IF(AND(ISNUMBER('Council Entry'!AF$8),ISNUMBER('Council Entry'!AF$9)),MAX(MIN('Council Entry'!AF115,'Council Entry'!AF$9),'Council Entry'!AF$8),'Council Entry'!AF115)),IF('Council Entry'!AF$4="Exponential",EXP(IF(AND(ISNUMBER('Council Entry'!AF$8),ISNUMBER('Council Entry'!AF$9)),MAX(MIN('Council Entry'!AF115,'Council Entry'!AF$9),'Council Entry'!AF$8),'Council Entry'!AF115)),IF(AND(ISNUMBER('Council Entry'!AF$8),ISNUMBER('Council Entry'!AF$9)),MAX(MIN('Council Entry'!AF115,'Council Entry'!AF$9),'Council Entry'!AF$8),'Council Entry'!AF115))))-'Council Entry'!AF$5)/('Council Entry'!AF$6-'Council Entry'!AF$5)),1))),"No data"))</f>
        <v/>
      </c>
      <c r="AG115" s="13">
        <f>IF('Council Entry'!AG115="","",IFERROR(MAX(0,MIN(10,ROUND(IF('Council Entry'!AG$7="Decrease Risk",10-10*((IF('Council Entry'!AG$4="Logarithm",LN(0.001+IF(AND(ISNUMBER('Council Entry'!AG$8),ISNUMBER('Council Entry'!AG$9)),MAX(MIN('Council Entry'!AG115,'Council Entry'!AG$9),'Council Entry'!AG$8),'Council Entry'!AG115)),IF('Council Entry'!AG$4="Exponential",EXP(IF(AND(ISNUMBER('Council Entry'!AG$8),ISNUMBER('Council Entry'!AG$9)),MAX(MIN('Council Entry'!AG115,'Council Entry'!AG$9),'Council Entry'!AG$8),'Council Entry'!AG115)),IF(AND(ISNUMBER('Council Entry'!AG$8),ISNUMBER('Council Entry'!AG$9)),MAX(MIN('Council Entry'!AG115,'Council Entry'!AG$9),'Council Entry'!AG$8),'Council Entry'!AG115))))-'Council Entry'!AG$5)/('Council Entry'!AG$6-'Council Entry'!AG$5),10*((IF('Council Entry'!AG$4="Logarithm",LN(0.001+IF(AND(ISNUMBER('Council Entry'!AG$8),ISNUMBER('Council Entry'!AG$9)),MAX(MIN('Council Entry'!AG115,'Council Entry'!AG$9),'Council Entry'!AG$8),'Council Entry'!AG115)),IF('Council Entry'!AG$4="Exponential",EXP(IF(AND(ISNUMBER('Council Entry'!AG$8),ISNUMBER('Council Entry'!AG$9)),MAX(MIN('Council Entry'!AG115,'Council Entry'!AG$9),'Council Entry'!AG$8),'Council Entry'!AG115)),IF(AND(ISNUMBER('Council Entry'!AG$8),ISNUMBER('Council Entry'!AG$9)),MAX(MIN('Council Entry'!AG115,'Council Entry'!AG$9),'Council Entry'!AG$8),'Council Entry'!AG115))))-'Council Entry'!AG$5)/('Council Entry'!AG$6-'Council Entry'!AG$5)),1))),"No data"))</f>
        <v/>
      </c>
      <c r="AH115" s="13">
        <f>IF('Council Entry'!AH115="","",IFERROR(MAX(0,MIN(10,ROUND(IF('Council Entry'!AH$7="Decrease Risk",10-10*((IF('Council Entry'!AH$4="Logarithm",LN(0.001+IF(AND(ISNUMBER('Council Entry'!AH$8),ISNUMBER('Council Entry'!AH$9)),MAX(MIN('Council Entry'!AH115,'Council Entry'!AH$9),'Council Entry'!AH$8),'Council Entry'!AH115)),IF('Council Entry'!AH$4="Exponential",EXP(IF(AND(ISNUMBER('Council Entry'!AH$8),ISNUMBER('Council Entry'!AH$9)),MAX(MIN('Council Entry'!AH115,'Council Entry'!AH$9),'Council Entry'!AH$8),'Council Entry'!AH115)),IF(AND(ISNUMBER('Council Entry'!AH$8),ISNUMBER('Council Entry'!AH$9)),MAX(MIN('Council Entry'!AH115,'Council Entry'!AH$9),'Council Entry'!AH$8),'Council Entry'!AH115))))-'Council Entry'!AH$5)/('Council Entry'!AH$6-'Council Entry'!AH$5),10*((IF('Council Entry'!AH$4="Logarithm",LN(0.001+IF(AND(ISNUMBER('Council Entry'!AH$8),ISNUMBER('Council Entry'!AH$9)),MAX(MIN('Council Entry'!AH115,'Council Entry'!AH$9),'Council Entry'!AH$8),'Council Entry'!AH115)),IF('Council Entry'!AH$4="Exponential",EXP(IF(AND(ISNUMBER('Council Entry'!AH$8),ISNUMBER('Council Entry'!AH$9)),MAX(MIN('Council Entry'!AH115,'Council Entry'!AH$9),'Council Entry'!AH$8),'Council Entry'!AH115)),IF(AND(ISNUMBER('Council Entry'!AH$8),ISNUMBER('Council Entry'!AH$9)),MAX(MIN('Council Entry'!AH115,'Council Entry'!AH$9),'Council Entry'!AH$8),'Council Entry'!AH115))))-'Council Entry'!AH$5)/('Council Entry'!AH$6-'Council Entry'!AH$5)),1))),"No data"))</f>
        <v/>
      </c>
      <c r="AI115" s="13">
        <f>IF('Council Entry'!AI115="","",IFERROR(MAX(0,MIN(10,ROUND(IF('Council Entry'!AI$7="Decrease Risk",10-10*((IF('Council Entry'!AI$4="Logarithm",LN(0.001+IF(AND(ISNUMBER('Council Entry'!AI$8),ISNUMBER('Council Entry'!AI$9)),MAX(MIN('Council Entry'!AI115,'Council Entry'!AI$9),'Council Entry'!AI$8),'Council Entry'!AI115)),IF('Council Entry'!AI$4="Exponential",EXP(IF(AND(ISNUMBER('Council Entry'!AI$8),ISNUMBER('Council Entry'!AI$9)),MAX(MIN('Council Entry'!AI115,'Council Entry'!AI$9),'Council Entry'!AI$8),'Council Entry'!AI115)),IF(AND(ISNUMBER('Council Entry'!AI$8),ISNUMBER('Council Entry'!AI$9)),MAX(MIN('Council Entry'!AI115,'Council Entry'!AI$9),'Council Entry'!AI$8),'Council Entry'!AI115))))-'Council Entry'!AI$5)/('Council Entry'!AI$6-'Council Entry'!AI$5),10*((IF('Council Entry'!AI$4="Logarithm",LN(0.001+IF(AND(ISNUMBER('Council Entry'!AI$8),ISNUMBER('Council Entry'!AI$9)),MAX(MIN('Council Entry'!AI115,'Council Entry'!AI$9),'Council Entry'!AI$8),'Council Entry'!AI115)),IF('Council Entry'!AI$4="Exponential",EXP(IF(AND(ISNUMBER('Council Entry'!AI$8),ISNUMBER('Council Entry'!AI$9)),MAX(MIN('Council Entry'!AI115,'Council Entry'!AI$9),'Council Entry'!AI$8),'Council Entry'!AI115)),IF(AND(ISNUMBER('Council Entry'!AI$8),ISNUMBER('Council Entry'!AI$9)),MAX(MIN('Council Entry'!AI115,'Council Entry'!AI$9),'Council Entry'!AI$8),'Council Entry'!AI115))))-'Council Entry'!AI$5)/('Council Entry'!AI$6-'Council Entry'!AI$5)),1))),"No data"))</f>
        <v/>
      </c>
      <c r="AJ115" s="13">
        <f>IF('Council Entry'!AJ115="","",IFERROR(MAX(0,MIN(10,ROUND(IF('Council Entry'!AJ$7="Decrease Risk",10-10*((IF('Council Entry'!AJ$4="Logarithm",LN(0.001+IF(AND(ISNUMBER('Council Entry'!AJ$8),ISNUMBER('Council Entry'!AJ$9)),MAX(MIN('Council Entry'!AJ115,'Council Entry'!AJ$9),'Council Entry'!AJ$8),'Council Entry'!AJ115)),IF('Council Entry'!AJ$4="Exponential",EXP(IF(AND(ISNUMBER('Council Entry'!AJ$8),ISNUMBER('Council Entry'!AJ$9)),MAX(MIN('Council Entry'!AJ115,'Council Entry'!AJ$9),'Council Entry'!AJ$8),'Council Entry'!AJ115)),IF(AND(ISNUMBER('Council Entry'!AJ$8),ISNUMBER('Council Entry'!AJ$9)),MAX(MIN('Council Entry'!AJ115,'Council Entry'!AJ$9),'Council Entry'!AJ$8),'Council Entry'!AJ115))))-'Council Entry'!AJ$5)/('Council Entry'!AJ$6-'Council Entry'!AJ$5),10*((IF('Council Entry'!AJ$4="Logarithm",LN(0.001+IF(AND(ISNUMBER('Council Entry'!AJ$8),ISNUMBER('Council Entry'!AJ$9)),MAX(MIN('Council Entry'!AJ115,'Council Entry'!AJ$9),'Council Entry'!AJ$8),'Council Entry'!AJ115)),IF('Council Entry'!AJ$4="Exponential",EXP(IF(AND(ISNUMBER('Council Entry'!AJ$8),ISNUMBER('Council Entry'!AJ$9)),MAX(MIN('Council Entry'!AJ115,'Council Entry'!AJ$9),'Council Entry'!AJ$8),'Council Entry'!AJ115)),IF(AND(ISNUMBER('Council Entry'!AJ$8),ISNUMBER('Council Entry'!AJ$9)),MAX(MIN('Council Entry'!AJ115,'Council Entry'!AJ$9),'Council Entry'!AJ$8),'Council Entry'!AJ115))))-'Council Entry'!AJ$5)/('Council Entry'!AJ$6-'Council Entry'!AJ$5)),1))),"No data"))</f>
        <v/>
      </c>
      <c r="AK115" s="13">
        <f>IF('Council Entry'!AK115="","",IFERROR(MAX(0,MIN(10,ROUND(IF('Council Entry'!AK$7="Decrease Risk",10-10*((IF('Council Entry'!AK$4="Logarithm",LN(0.001+IF(AND(ISNUMBER('Council Entry'!AK$8),ISNUMBER('Council Entry'!AK$9)),MAX(MIN('Council Entry'!AK115,'Council Entry'!AK$9),'Council Entry'!AK$8),'Council Entry'!AK115)),IF('Council Entry'!AK$4="Exponential",EXP(IF(AND(ISNUMBER('Council Entry'!AK$8),ISNUMBER('Council Entry'!AK$9)),MAX(MIN('Council Entry'!AK115,'Council Entry'!AK$9),'Council Entry'!AK$8),'Council Entry'!AK115)),IF(AND(ISNUMBER('Council Entry'!AK$8),ISNUMBER('Council Entry'!AK$9)),MAX(MIN('Council Entry'!AK115,'Council Entry'!AK$9),'Council Entry'!AK$8),'Council Entry'!AK115))))-'Council Entry'!AK$5)/('Council Entry'!AK$6-'Council Entry'!AK$5),10*((IF('Council Entry'!AK$4="Logarithm",LN(0.001+IF(AND(ISNUMBER('Council Entry'!AK$8),ISNUMBER('Council Entry'!AK$9)),MAX(MIN('Council Entry'!AK115,'Council Entry'!AK$9),'Council Entry'!AK$8),'Council Entry'!AK115)),IF('Council Entry'!AK$4="Exponential",EXP(IF(AND(ISNUMBER('Council Entry'!AK$8),ISNUMBER('Council Entry'!AK$9)),MAX(MIN('Council Entry'!AK115,'Council Entry'!AK$9),'Council Entry'!AK$8),'Council Entry'!AK115)),IF(AND(ISNUMBER('Council Entry'!AK$8),ISNUMBER('Council Entry'!AK$9)),MAX(MIN('Council Entry'!AK115,'Council Entry'!AK$9),'Council Entry'!AK$8),'Council Entry'!AK115))))-'Council Entry'!AK$5)/('Council Entry'!AK$6-'Council Entry'!AK$5)),1))),"No data"))</f>
        <v/>
      </c>
      <c r="AL115" s="13">
        <f>IF('Council Entry'!AL115="","",IFERROR(MAX(0,MIN(10,ROUND(IF('Council Entry'!AL$7="Decrease Risk",10-10*((IF('Council Entry'!AL$4="Logarithm",LN(0.001+IF(AND(ISNUMBER('Council Entry'!AL$8),ISNUMBER('Council Entry'!AL$9)),MAX(MIN('Council Entry'!AL115,'Council Entry'!AL$9),'Council Entry'!AL$8),'Council Entry'!AL115)),IF('Council Entry'!AL$4="Exponential",EXP(IF(AND(ISNUMBER('Council Entry'!AL$8),ISNUMBER('Council Entry'!AL$9)),MAX(MIN('Council Entry'!AL115,'Council Entry'!AL$9),'Council Entry'!AL$8),'Council Entry'!AL115)),IF(AND(ISNUMBER('Council Entry'!AL$8),ISNUMBER('Council Entry'!AL$9)),MAX(MIN('Council Entry'!AL115,'Council Entry'!AL$9),'Council Entry'!AL$8),'Council Entry'!AL115))))-'Council Entry'!AL$5)/('Council Entry'!AL$6-'Council Entry'!AL$5),10*((IF('Council Entry'!AL$4="Logarithm",LN(0.001+IF(AND(ISNUMBER('Council Entry'!AL$8),ISNUMBER('Council Entry'!AL$9)),MAX(MIN('Council Entry'!AL115,'Council Entry'!AL$9),'Council Entry'!AL$8),'Council Entry'!AL115)),IF('Council Entry'!AL$4="Exponential",EXP(IF(AND(ISNUMBER('Council Entry'!AL$8),ISNUMBER('Council Entry'!AL$9)),MAX(MIN('Council Entry'!AL115,'Council Entry'!AL$9),'Council Entry'!AL$8),'Council Entry'!AL115)),IF(AND(ISNUMBER('Council Entry'!AL$8),ISNUMBER('Council Entry'!AL$9)),MAX(MIN('Council Entry'!AL115,'Council Entry'!AL$9),'Council Entry'!AL$8),'Council Entry'!AL115))))-'Council Entry'!AL$5)/('Council Entry'!AL$6-'Council Entry'!AL$5)),1))),"No data"))</f>
        <v/>
      </c>
      <c r="AM115" s="13">
        <f>IF('Council Entry'!AM115="","",IFERROR(MAX(0,MIN(10,ROUND(IF('Council Entry'!AM$7="Decrease Risk",10-10*((IF('Council Entry'!AM$4="Logarithm",LN(0.001+IF(AND(ISNUMBER('Council Entry'!AM$8),ISNUMBER('Council Entry'!AM$9)),MAX(MIN('Council Entry'!AM115,'Council Entry'!AM$9),'Council Entry'!AM$8),'Council Entry'!AM115)),IF('Council Entry'!AM$4="Exponential",EXP(IF(AND(ISNUMBER('Council Entry'!AM$8),ISNUMBER('Council Entry'!AM$9)),MAX(MIN('Council Entry'!AM115,'Council Entry'!AM$9),'Council Entry'!AM$8),'Council Entry'!AM115)),IF(AND(ISNUMBER('Council Entry'!AM$8),ISNUMBER('Council Entry'!AM$9)),MAX(MIN('Council Entry'!AM115,'Council Entry'!AM$9),'Council Entry'!AM$8),'Council Entry'!AM115))))-'Council Entry'!AM$5)/('Council Entry'!AM$6-'Council Entry'!AM$5),10*((IF('Council Entry'!AM$4="Logarithm",LN(0.001+IF(AND(ISNUMBER('Council Entry'!AM$8),ISNUMBER('Council Entry'!AM$9)),MAX(MIN('Council Entry'!AM115,'Council Entry'!AM$9),'Council Entry'!AM$8),'Council Entry'!AM115)),IF('Council Entry'!AM$4="Exponential",EXP(IF(AND(ISNUMBER('Council Entry'!AM$8),ISNUMBER('Council Entry'!AM$9)),MAX(MIN('Council Entry'!AM115,'Council Entry'!AM$9),'Council Entry'!AM$8),'Council Entry'!AM115)),IF(AND(ISNUMBER('Council Entry'!AM$8),ISNUMBER('Council Entry'!AM$9)),MAX(MIN('Council Entry'!AM115,'Council Entry'!AM$9),'Council Entry'!AM$8),'Council Entry'!AM115))))-'Council Entry'!AM$5)/('Council Entry'!AM$6-'Council Entry'!AM$5)),1))),"No data"))</f>
        <v/>
      </c>
      <c r="AN115" s="13">
        <f>IF('Council Entry'!AN115="","",IFERROR(MAX(0,MIN(10,ROUND(IF('Council Entry'!AN$7="Decrease Risk",10-10*((IF('Council Entry'!AN$4="Logarithm",LN(0.001+IF(AND(ISNUMBER('Council Entry'!AN$8),ISNUMBER('Council Entry'!AN$9)),MAX(MIN('Council Entry'!AN115,'Council Entry'!AN$9),'Council Entry'!AN$8),'Council Entry'!AN115)),IF('Council Entry'!AN$4="Exponential",EXP(IF(AND(ISNUMBER('Council Entry'!AN$8),ISNUMBER('Council Entry'!AN$9)),MAX(MIN('Council Entry'!AN115,'Council Entry'!AN$9),'Council Entry'!AN$8),'Council Entry'!AN115)),IF(AND(ISNUMBER('Council Entry'!AN$8),ISNUMBER('Council Entry'!AN$9)),MAX(MIN('Council Entry'!AN115,'Council Entry'!AN$9),'Council Entry'!AN$8),'Council Entry'!AN115))))-'Council Entry'!AN$5)/('Council Entry'!AN$6-'Council Entry'!AN$5),10*((IF('Council Entry'!AN$4="Logarithm",LN(0.001+IF(AND(ISNUMBER('Council Entry'!AN$8),ISNUMBER('Council Entry'!AN$9)),MAX(MIN('Council Entry'!AN115,'Council Entry'!AN$9),'Council Entry'!AN$8),'Council Entry'!AN115)),IF('Council Entry'!AN$4="Exponential",EXP(IF(AND(ISNUMBER('Council Entry'!AN$8),ISNUMBER('Council Entry'!AN$9)),MAX(MIN('Council Entry'!AN115,'Council Entry'!AN$9),'Council Entry'!AN$8),'Council Entry'!AN115)),IF(AND(ISNUMBER('Council Entry'!AN$8),ISNUMBER('Council Entry'!AN$9)),MAX(MIN('Council Entry'!AN115,'Council Entry'!AN$9),'Council Entry'!AN$8),'Council Entry'!AN115))))-'Council Entry'!AN$5)/('Council Entry'!AN$6-'Council Entry'!AN$5)),1))),"No data"))</f>
        <v/>
      </c>
      <c r="AO115" s="13">
        <f>IF('Council Entry'!AO115="","",IFERROR(MAX(0,MIN(10,ROUND(IF('Council Entry'!AO$7="Decrease Risk",10-10*((IF('Council Entry'!AO$4="Logarithm",LN(0.001+IF(AND(ISNUMBER('Council Entry'!AO$8),ISNUMBER('Council Entry'!AO$9)),MAX(MIN('Council Entry'!AO115,'Council Entry'!AO$9),'Council Entry'!AO$8),'Council Entry'!AO115)),IF('Council Entry'!AO$4="Exponential",EXP(IF(AND(ISNUMBER('Council Entry'!AO$8),ISNUMBER('Council Entry'!AO$9)),MAX(MIN('Council Entry'!AO115,'Council Entry'!AO$9),'Council Entry'!AO$8),'Council Entry'!AO115)),IF(AND(ISNUMBER('Council Entry'!AO$8),ISNUMBER('Council Entry'!AO$9)),MAX(MIN('Council Entry'!AO115,'Council Entry'!AO$9),'Council Entry'!AO$8),'Council Entry'!AO115))))-'Council Entry'!AO$5)/('Council Entry'!AO$6-'Council Entry'!AO$5),10*((IF('Council Entry'!AO$4="Logarithm",LN(0.001+IF(AND(ISNUMBER('Council Entry'!AO$8),ISNUMBER('Council Entry'!AO$9)),MAX(MIN('Council Entry'!AO115,'Council Entry'!AO$9),'Council Entry'!AO$8),'Council Entry'!AO115)),IF('Council Entry'!AO$4="Exponential",EXP(IF(AND(ISNUMBER('Council Entry'!AO$8),ISNUMBER('Council Entry'!AO$9)),MAX(MIN('Council Entry'!AO115,'Council Entry'!AO$9),'Council Entry'!AO$8),'Council Entry'!AO115)),IF(AND(ISNUMBER('Council Entry'!AO$8),ISNUMBER('Council Entry'!AO$9)),MAX(MIN('Council Entry'!AO115,'Council Entry'!AO$9),'Council Entry'!AO$8),'Council Entry'!AO115))))-'Council Entry'!AO$5)/('Council Entry'!AO$6-'Council Entry'!AO$5)),1))),"No data"))</f>
        <v/>
      </c>
      <c r="AP115" s="13">
        <f>IF('Council Entry'!AP115="","",IFERROR(MAX(0,MIN(10,ROUND(IF('Council Entry'!AP$7="Decrease Risk",10-10*((IF('Council Entry'!AP$4="Logarithm",LN(0.001+IF(AND(ISNUMBER('Council Entry'!AP$8),ISNUMBER('Council Entry'!AP$9)),MAX(MIN('Council Entry'!AP115,'Council Entry'!AP$9),'Council Entry'!AP$8),'Council Entry'!AP115)),IF('Council Entry'!AP$4="Exponential",EXP(IF(AND(ISNUMBER('Council Entry'!AP$8),ISNUMBER('Council Entry'!AP$9)),MAX(MIN('Council Entry'!AP115,'Council Entry'!AP$9),'Council Entry'!AP$8),'Council Entry'!AP115)),IF(AND(ISNUMBER('Council Entry'!AP$8),ISNUMBER('Council Entry'!AP$9)),MAX(MIN('Council Entry'!AP115,'Council Entry'!AP$9),'Council Entry'!AP$8),'Council Entry'!AP115))))-'Council Entry'!AP$5)/('Council Entry'!AP$6-'Council Entry'!AP$5),10*((IF('Council Entry'!AP$4="Logarithm",LN(0.001+IF(AND(ISNUMBER('Council Entry'!AP$8),ISNUMBER('Council Entry'!AP$9)),MAX(MIN('Council Entry'!AP115,'Council Entry'!AP$9),'Council Entry'!AP$8),'Council Entry'!AP115)),IF('Council Entry'!AP$4="Exponential",EXP(IF(AND(ISNUMBER('Council Entry'!AP$8),ISNUMBER('Council Entry'!AP$9)),MAX(MIN('Council Entry'!AP115,'Council Entry'!AP$9),'Council Entry'!AP$8),'Council Entry'!AP115)),IF(AND(ISNUMBER('Council Entry'!AP$8),ISNUMBER('Council Entry'!AP$9)),MAX(MIN('Council Entry'!AP115,'Council Entry'!AP$9),'Council Entry'!AP$8),'Council Entry'!AP115))))-'Council Entry'!AP$5)/('Council Entry'!AP$6-'Council Entry'!AP$5)),1))),"No data"))</f>
        <v/>
      </c>
      <c r="AQ115" s="13">
        <f>IF('Council Entry'!AQ115="","",IFERROR(MAX(0,MIN(10,ROUND(IF('Council Entry'!AQ$7="Decrease Risk",10-10*((IF('Council Entry'!AQ$4="Logarithm",LN(0.001+IF(AND(ISNUMBER('Council Entry'!AQ$8),ISNUMBER('Council Entry'!AQ$9)),MAX(MIN('Council Entry'!AQ115,'Council Entry'!AQ$9),'Council Entry'!AQ$8),'Council Entry'!AQ115)),IF('Council Entry'!AQ$4="Exponential",EXP(IF(AND(ISNUMBER('Council Entry'!AQ$8),ISNUMBER('Council Entry'!AQ$9)),MAX(MIN('Council Entry'!AQ115,'Council Entry'!AQ$9),'Council Entry'!AQ$8),'Council Entry'!AQ115)),IF(AND(ISNUMBER('Council Entry'!AQ$8),ISNUMBER('Council Entry'!AQ$9)),MAX(MIN('Council Entry'!AQ115,'Council Entry'!AQ$9),'Council Entry'!AQ$8),'Council Entry'!AQ115))))-'Council Entry'!AQ$5)/('Council Entry'!AQ$6-'Council Entry'!AQ$5),10*((IF('Council Entry'!AQ$4="Logarithm",LN(0.001+IF(AND(ISNUMBER('Council Entry'!AQ$8),ISNUMBER('Council Entry'!AQ$9)),MAX(MIN('Council Entry'!AQ115,'Council Entry'!AQ$9),'Council Entry'!AQ$8),'Council Entry'!AQ115)),IF('Council Entry'!AQ$4="Exponential",EXP(IF(AND(ISNUMBER('Council Entry'!AQ$8),ISNUMBER('Council Entry'!AQ$9)),MAX(MIN('Council Entry'!AQ115,'Council Entry'!AQ$9),'Council Entry'!AQ$8),'Council Entry'!AQ115)),IF(AND(ISNUMBER('Council Entry'!AQ$8),ISNUMBER('Council Entry'!AQ$9)),MAX(MIN('Council Entry'!AQ115,'Council Entry'!AQ$9),'Council Entry'!AQ$8),'Council Entry'!AQ115))))-'Council Entry'!AQ$5)/('Council Entry'!AQ$6-'Council Entry'!AQ$5)),1))),"No data"))</f>
        <v/>
      </c>
      <c r="AR115" s="13">
        <f>IF('Council Entry'!AR115="","",IFERROR(MAX(0,MIN(10,ROUND(IF('Council Entry'!AR$7="Decrease Risk",10-10*((IF('Council Entry'!AR$4="Logarithm",LN(0.001+IF(AND(ISNUMBER('Council Entry'!AR$8),ISNUMBER('Council Entry'!AR$9)),MAX(MIN('Council Entry'!AR115,'Council Entry'!AR$9),'Council Entry'!AR$8),'Council Entry'!AR115)),IF('Council Entry'!AR$4="Exponential",EXP(IF(AND(ISNUMBER('Council Entry'!AR$8),ISNUMBER('Council Entry'!AR$9)),MAX(MIN('Council Entry'!AR115,'Council Entry'!AR$9),'Council Entry'!AR$8),'Council Entry'!AR115)),IF(AND(ISNUMBER('Council Entry'!AR$8),ISNUMBER('Council Entry'!AR$9)),MAX(MIN('Council Entry'!AR115,'Council Entry'!AR$9),'Council Entry'!AR$8),'Council Entry'!AR115))))-'Council Entry'!AR$5)/('Council Entry'!AR$6-'Council Entry'!AR$5),10*((IF('Council Entry'!AR$4="Logarithm",LN(0.001+IF(AND(ISNUMBER('Council Entry'!AR$8),ISNUMBER('Council Entry'!AR$9)),MAX(MIN('Council Entry'!AR115,'Council Entry'!AR$9),'Council Entry'!AR$8),'Council Entry'!AR115)),IF('Council Entry'!AR$4="Exponential",EXP(IF(AND(ISNUMBER('Council Entry'!AR$8),ISNUMBER('Council Entry'!AR$9)),MAX(MIN('Council Entry'!AR115,'Council Entry'!AR$9),'Council Entry'!AR$8),'Council Entry'!AR115)),IF(AND(ISNUMBER('Council Entry'!AR$8),ISNUMBER('Council Entry'!AR$9)),MAX(MIN('Council Entry'!AR115,'Council Entry'!AR$9),'Council Entry'!AR$8),'Council Entry'!AR115))))-'Council Entry'!AR$5)/('Council Entry'!AR$6-'Council Entry'!AR$5)),1))),"No data"))</f>
        <v/>
      </c>
      <c r="AS115" s="13">
        <f>IF('Council Entry'!AS115="","",IFERROR(MAX(0,MIN(10,ROUND(IF('Council Entry'!AS$7="Decrease Risk",10-10*((IF('Council Entry'!AS$4="Logarithm",LN(0.001+IF(AND(ISNUMBER('Council Entry'!AS$8),ISNUMBER('Council Entry'!AS$9)),MAX(MIN('Council Entry'!AS115,'Council Entry'!AS$9),'Council Entry'!AS$8),'Council Entry'!AS115)),IF('Council Entry'!AS$4="Exponential",EXP(IF(AND(ISNUMBER('Council Entry'!AS$8),ISNUMBER('Council Entry'!AS$9)),MAX(MIN('Council Entry'!AS115,'Council Entry'!AS$9),'Council Entry'!AS$8),'Council Entry'!AS115)),IF(AND(ISNUMBER('Council Entry'!AS$8),ISNUMBER('Council Entry'!AS$9)),MAX(MIN('Council Entry'!AS115,'Council Entry'!AS$9),'Council Entry'!AS$8),'Council Entry'!AS115))))-'Council Entry'!AS$5)/('Council Entry'!AS$6-'Council Entry'!AS$5),10*((IF('Council Entry'!AS$4="Logarithm",LN(0.001+IF(AND(ISNUMBER('Council Entry'!AS$8),ISNUMBER('Council Entry'!AS$9)),MAX(MIN('Council Entry'!AS115,'Council Entry'!AS$9),'Council Entry'!AS$8),'Council Entry'!AS115)),IF('Council Entry'!AS$4="Exponential",EXP(IF(AND(ISNUMBER('Council Entry'!AS$8),ISNUMBER('Council Entry'!AS$9)),MAX(MIN('Council Entry'!AS115,'Council Entry'!AS$9),'Council Entry'!AS$8),'Council Entry'!AS115)),IF(AND(ISNUMBER('Council Entry'!AS$8),ISNUMBER('Council Entry'!AS$9)),MAX(MIN('Council Entry'!AS115,'Council Entry'!AS$9),'Council Entry'!AS$8),'Council Entry'!AS115))))-'Council Entry'!AS$5)/('Council Entry'!AS$6-'Council Entry'!AS$5)),1))),"No data"))</f>
        <v/>
      </c>
      <c r="AT115" s="13">
        <f>IF('Council Entry'!AT115="","",IFERROR(MAX(0,MIN(10,ROUND(IF('Council Entry'!AT$7="Decrease Risk",10-10*((IF('Council Entry'!AT$4="Logarithm",LN(0.001+IF(AND(ISNUMBER('Council Entry'!AT$8),ISNUMBER('Council Entry'!AT$9)),MAX(MIN('Council Entry'!AT115,'Council Entry'!AT$9),'Council Entry'!AT$8),'Council Entry'!AT115)),IF('Council Entry'!AT$4="Exponential",EXP(IF(AND(ISNUMBER('Council Entry'!AT$8),ISNUMBER('Council Entry'!AT$9)),MAX(MIN('Council Entry'!AT115,'Council Entry'!AT$9),'Council Entry'!AT$8),'Council Entry'!AT115)),IF(AND(ISNUMBER('Council Entry'!AT$8),ISNUMBER('Council Entry'!AT$9)),MAX(MIN('Council Entry'!AT115,'Council Entry'!AT$9),'Council Entry'!AT$8),'Council Entry'!AT115))))-'Council Entry'!AT$5)/('Council Entry'!AT$6-'Council Entry'!AT$5),10*((IF('Council Entry'!AT$4="Logarithm",LN(0.001+IF(AND(ISNUMBER('Council Entry'!AT$8),ISNUMBER('Council Entry'!AT$9)),MAX(MIN('Council Entry'!AT115,'Council Entry'!AT$9),'Council Entry'!AT$8),'Council Entry'!AT115)),IF('Council Entry'!AT$4="Exponential",EXP(IF(AND(ISNUMBER('Council Entry'!AT$8),ISNUMBER('Council Entry'!AT$9)),MAX(MIN('Council Entry'!AT115,'Council Entry'!AT$9),'Council Entry'!AT$8),'Council Entry'!AT115)),IF(AND(ISNUMBER('Council Entry'!AT$8),ISNUMBER('Council Entry'!AT$9)),MAX(MIN('Council Entry'!AT115,'Council Entry'!AT$9),'Council Entry'!AT$8),'Council Entry'!AT115))))-'Council Entry'!AT$5)/('Council Entry'!AT$6-'Council Entry'!AT$5)),1))),"No data"))</f>
        <v/>
      </c>
      <c r="AU115" s="13">
        <f>IF('Council Entry'!AU115="","",IFERROR(MAX(0,MIN(10,ROUND(IF('Council Entry'!AU$7="Decrease Risk",10-10*((IF('Council Entry'!AU$4="Logarithm",LN(0.001+IF(AND(ISNUMBER('Council Entry'!AU$8),ISNUMBER('Council Entry'!AU$9)),MAX(MIN('Council Entry'!AU115,'Council Entry'!AU$9),'Council Entry'!AU$8),'Council Entry'!AU115)),IF('Council Entry'!AU$4="Exponential",EXP(IF(AND(ISNUMBER('Council Entry'!AU$8),ISNUMBER('Council Entry'!AU$9)),MAX(MIN('Council Entry'!AU115,'Council Entry'!AU$9),'Council Entry'!AU$8),'Council Entry'!AU115)),IF(AND(ISNUMBER('Council Entry'!AU$8),ISNUMBER('Council Entry'!AU$9)),MAX(MIN('Council Entry'!AU115,'Council Entry'!AU$9),'Council Entry'!AU$8),'Council Entry'!AU115))))-'Council Entry'!AU$5)/('Council Entry'!AU$6-'Council Entry'!AU$5),10*((IF('Council Entry'!AU$4="Logarithm",LN(0.001+IF(AND(ISNUMBER('Council Entry'!AU$8),ISNUMBER('Council Entry'!AU$9)),MAX(MIN('Council Entry'!AU115,'Council Entry'!AU$9),'Council Entry'!AU$8),'Council Entry'!AU115)),IF('Council Entry'!AU$4="Exponential",EXP(IF(AND(ISNUMBER('Council Entry'!AU$8),ISNUMBER('Council Entry'!AU$9)),MAX(MIN('Council Entry'!AU115,'Council Entry'!AU$9),'Council Entry'!AU$8),'Council Entry'!AU115)),IF(AND(ISNUMBER('Council Entry'!AU$8),ISNUMBER('Council Entry'!AU$9)),MAX(MIN('Council Entry'!AU115,'Council Entry'!AU$9),'Council Entry'!AU$8),'Council Entry'!AU115))))-'Council Entry'!AU$5)/('Council Entry'!AU$6-'Council Entry'!AU$5)),1))),"No data"))</f>
        <v/>
      </c>
      <c r="AV115" s="13">
        <f>IF('Council Entry'!AV115="","",IFERROR(MAX(0,MIN(10,ROUND(IF('Council Entry'!AV$7="Decrease Risk",10-10*((IF('Council Entry'!AV$4="Logarithm",LN(0.001+IF(AND(ISNUMBER('Council Entry'!AV$8),ISNUMBER('Council Entry'!AV$9)),MAX(MIN('Council Entry'!AV115,'Council Entry'!AV$9),'Council Entry'!AV$8),'Council Entry'!AV115)),IF('Council Entry'!AV$4="Exponential",EXP(IF(AND(ISNUMBER('Council Entry'!AV$8),ISNUMBER('Council Entry'!AV$9)),MAX(MIN('Council Entry'!AV115,'Council Entry'!AV$9),'Council Entry'!AV$8),'Council Entry'!AV115)),IF(AND(ISNUMBER('Council Entry'!AV$8),ISNUMBER('Council Entry'!AV$9)),MAX(MIN('Council Entry'!AV115,'Council Entry'!AV$9),'Council Entry'!AV$8),'Council Entry'!AV115))))-'Council Entry'!AV$5)/('Council Entry'!AV$6-'Council Entry'!AV$5),10*((IF('Council Entry'!AV$4="Logarithm",LN(0.001+IF(AND(ISNUMBER('Council Entry'!AV$8),ISNUMBER('Council Entry'!AV$9)),MAX(MIN('Council Entry'!AV115,'Council Entry'!AV$9),'Council Entry'!AV$8),'Council Entry'!AV115)),IF('Council Entry'!AV$4="Exponential",EXP(IF(AND(ISNUMBER('Council Entry'!AV$8),ISNUMBER('Council Entry'!AV$9)),MAX(MIN('Council Entry'!AV115,'Council Entry'!AV$9),'Council Entry'!AV$8),'Council Entry'!AV115)),IF(AND(ISNUMBER('Council Entry'!AV$8),ISNUMBER('Council Entry'!AV$9)),MAX(MIN('Council Entry'!AV115,'Council Entry'!AV$9),'Council Entry'!AV$8),'Council Entry'!AV115))))-'Council Entry'!AV$5)/('Council Entry'!AV$6-'Council Entry'!AV$5)),1))),"No data"))</f>
        <v/>
      </c>
      <c r="AW115" s="13">
        <f>IF('Council Entry'!AW115="","",IFERROR(MAX(0,MIN(10,ROUND(IF('Council Entry'!AW$7="Decrease Risk",10-10*((IF('Council Entry'!AW$4="Logarithm",LN(0.001+IF(AND(ISNUMBER('Council Entry'!AW$8),ISNUMBER('Council Entry'!AW$9)),MAX(MIN('Council Entry'!AW115,'Council Entry'!AW$9),'Council Entry'!AW$8),'Council Entry'!AW115)),IF('Council Entry'!AW$4="Exponential",EXP(IF(AND(ISNUMBER('Council Entry'!AW$8),ISNUMBER('Council Entry'!AW$9)),MAX(MIN('Council Entry'!AW115,'Council Entry'!AW$9),'Council Entry'!AW$8),'Council Entry'!AW115)),IF(AND(ISNUMBER('Council Entry'!AW$8),ISNUMBER('Council Entry'!AW$9)),MAX(MIN('Council Entry'!AW115,'Council Entry'!AW$9),'Council Entry'!AW$8),'Council Entry'!AW115))))-'Council Entry'!AW$5)/('Council Entry'!AW$6-'Council Entry'!AW$5),10*((IF('Council Entry'!AW$4="Logarithm",LN(0.001+IF(AND(ISNUMBER('Council Entry'!AW$8),ISNUMBER('Council Entry'!AW$9)),MAX(MIN('Council Entry'!AW115,'Council Entry'!AW$9),'Council Entry'!AW$8),'Council Entry'!AW115)),IF('Council Entry'!AW$4="Exponential",EXP(IF(AND(ISNUMBER('Council Entry'!AW$8),ISNUMBER('Council Entry'!AW$9)),MAX(MIN('Council Entry'!AW115,'Council Entry'!AW$9),'Council Entry'!AW$8),'Council Entry'!AW115)),IF(AND(ISNUMBER('Council Entry'!AW$8),ISNUMBER('Council Entry'!AW$9)),MAX(MIN('Council Entry'!AW115,'Council Entry'!AW$9),'Council Entry'!AW$8),'Council Entry'!AW115))))-'Council Entry'!AW$5)/('Council Entry'!AW$6-'Council Entry'!AW$5)),1))),"No data"))</f>
        <v/>
      </c>
      <c r="AX115" s="13">
        <f>IF('Council Entry'!AX115="","",IFERROR(MAX(0,MIN(10,ROUND(IF('Council Entry'!AX$7="Decrease Risk",10-10*((IF('Council Entry'!AX$4="Logarithm",LN(0.001+IF(AND(ISNUMBER('Council Entry'!AX$8),ISNUMBER('Council Entry'!AX$9)),MAX(MIN('Council Entry'!AX115,'Council Entry'!AX$9),'Council Entry'!AX$8),'Council Entry'!AX115)),IF('Council Entry'!AX$4="Exponential",EXP(IF(AND(ISNUMBER('Council Entry'!AX$8),ISNUMBER('Council Entry'!AX$9)),MAX(MIN('Council Entry'!AX115,'Council Entry'!AX$9),'Council Entry'!AX$8),'Council Entry'!AX115)),IF(AND(ISNUMBER('Council Entry'!AX$8),ISNUMBER('Council Entry'!AX$9)),MAX(MIN('Council Entry'!AX115,'Council Entry'!AX$9),'Council Entry'!AX$8),'Council Entry'!AX115))))-'Council Entry'!AX$5)/('Council Entry'!AX$6-'Council Entry'!AX$5),10*((IF('Council Entry'!AX$4="Logarithm",LN(0.001+IF(AND(ISNUMBER('Council Entry'!AX$8),ISNUMBER('Council Entry'!AX$9)),MAX(MIN('Council Entry'!AX115,'Council Entry'!AX$9),'Council Entry'!AX$8),'Council Entry'!AX115)),IF('Council Entry'!AX$4="Exponential",EXP(IF(AND(ISNUMBER('Council Entry'!AX$8),ISNUMBER('Council Entry'!AX$9)),MAX(MIN('Council Entry'!AX115,'Council Entry'!AX$9),'Council Entry'!AX$8),'Council Entry'!AX115)),IF(AND(ISNUMBER('Council Entry'!AX$8),ISNUMBER('Council Entry'!AX$9)),MAX(MIN('Council Entry'!AX115,'Council Entry'!AX$9),'Council Entry'!AX$8),'Council Entry'!AX115))))-'Council Entry'!AX$5)/('Council Entry'!AX$6-'Council Entry'!AX$5)),1))),"No data"))</f>
        <v/>
      </c>
      <c r="AY115" s="13">
        <f>IF('Council Entry'!AY115="","",IFERROR(MAX(0,MIN(10,ROUND(IF('Council Entry'!AY$7="Decrease Risk",10-10*((IF('Council Entry'!AY$4="Logarithm",LN(0.001+IF(AND(ISNUMBER('Council Entry'!AY$8),ISNUMBER('Council Entry'!AY$9)),MAX(MIN('Council Entry'!AY115,'Council Entry'!AY$9),'Council Entry'!AY$8),'Council Entry'!AY115)),IF('Council Entry'!AY$4="Exponential",EXP(IF(AND(ISNUMBER('Council Entry'!AY$8),ISNUMBER('Council Entry'!AY$9)),MAX(MIN('Council Entry'!AY115,'Council Entry'!AY$9),'Council Entry'!AY$8),'Council Entry'!AY115)),IF(AND(ISNUMBER('Council Entry'!AY$8),ISNUMBER('Council Entry'!AY$9)),MAX(MIN('Council Entry'!AY115,'Council Entry'!AY$9),'Council Entry'!AY$8),'Council Entry'!AY115))))-'Council Entry'!AY$5)/('Council Entry'!AY$6-'Council Entry'!AY$5),10*((IF('Council Entry'!AY$4="Logarithm",LN(0.001+IF(AND(ISNUMBER('Council Entry'!AY$8),ISNUMBER('Council Entry'!AY$9)),MAX(MIN('Council Entry'!AY115,'Council Entry'!AY$9),'Council Entry'!AY$8),'Council Entry'!AY115)),IF('Council Entry'!AY$4="Exponential",EXP(IF(AND(ISNUMBER('Council Entry'!AY$8),ISNUMBER('Council Entry'!AY$9)),MAX(MIN('Council Entry'!AY115,'Council Entry'!AY$9),'Council Entry'!AY$8),'Council Entry'!AY115)),IF(AND(ISNUMBER('Council Entry'!AY$8),ISNUMBER('Council Entry'!AY$9)),MAX(MIN('Council Entry'!AY115,'Council Entry'!AY$9),'Council Entry'!AY$8),'Council Entry'!AY115))))-'Council Entry'!AY$5)/('Council Entry'!AY$6-'Council Entry'!AY$5)),1))),"No data"))</f>
        <v/>
      </c>
      <c r="AZ115" s="13">
        <f>IF('Council Entry'!AZ115="","",IFERROR(MAX(0,MIN(10,ROUND(IF('Council Entry'!AZ$7="Decrease Risk",10-10*((IF('Council Entry'!AZ$4="Logarithm",LN(0.001+IF(AND(ISNUMBER('Council Entry'!AZ$8),ISNUMBER('Council Entry'!AZ$9)),MAX(MIN('Council Entry'!AZ115,'Council Entry'!AZ$9),'Council Entry'!AZ$8),'Council Entry'!AZ115)),IF('Council Entry'!AZ$4="Exponential",EXP(IF(AND(ISNUMBER('Council Entry'!AZ$8),ISNUMBER('Council Entry'!AZ$9)),MAX(MIN('Council Entry'!AZ115,'Council Entry'!AZ$9),'Council Entry'!AZ$8),'Council Entry'!AZ115)),IF(AND(ISNUMBER('Council Entry'!AZ$8),ISNUMBER('Council Entry'!AZ$9)),MAX(MIN('Council Entry'!AZ115,'Council Entry'!AZ$9),'Council Entry'!AZ$8),'Council Entry'!AZ115))))-'Council Entry'!AZ$5)/('Council Entry'!AZ$6-'Council Entry'!AZ$5),10*((IF('Council Entry'!AZ$4="Logarithm",LN(0.001+IF(AND(ISNUMBER('Council Entry'!AZ$8),ISNUMBER('Council Entry'!AZ$9)),MAX(MIN('Council Entry'!AZ115,'Council Entry'!AZ$9),'Council Entry'!AZ$8),'Council Entry'!AZ115)),IF('Council Entry'!AZ$4="Exponential",EXP(IF(AND(ISNUMBER('Council Entry'!AZ$8),ISNUMBER('Council Entry'!AZ$9)),MAX(MIN('Council Entry'!AZ115,'Council Entry'!AZ$9),'Council Entry'!AZ$8),'Council Entry'!AZ115)),IF(AND(ISNUMBER('Council Entry'!AZ$8),ISNUMBER('Council Entry'!AZ$9)),MAX(MIN('Council Entry'!AZ115,'Council Entry'!AZ$9),'Council Entry'!AZ$8),'Council Entry'!AZ115))))-'Council Entry'!AZ$5)/('Council Entry'!AZ$6-'Council Entry'!AZ$5)),1))),"No data"))</f>
        <v/>
      </c>
      <c r="BA115" s="13">
        <f>IF('Council Entry'!BA115="","",IFERROR(MAX(0,MIN(10,ROUND(IF('Council Entry'!BA$7="Decrease Risk",10-10*((IF('Council Entry'!BA$4="Logarithm",LN(0.001+IF(AND(ISNUMBER('Council Entry'!BA$8),ISNUMBER('Council Entry'!BA$9)),MAX(MIN('Council Entry'!BA115,'Council Entry'!BA$9),'Council Entry'!BA$8),'Council Entry'!BA115)),IF('Council Entry'!BA$4="Exponential",EXP(IF(AND(ISNUMBER('Council Entry'!BA$8),ISNUMBER('Council Entry'!BA$9)),MAX(MIN('Council Entry'!BA115,'Council Entry'!BA$9),'Council Entry'!BA$8),'Council Entry'!BA115)),IF(AND(ISNUMBER('Council Entry'!BA$8),ISNUMBER('Council Entry'!BA$9)),MAX(MIN('Council Entry'!BA115,'Council Entry'!BA$9),'Council Entry'!BA$8),'Council Entry'!BA115))))-'Council Entry'!BA$5)/('Council Entry'!BA$6-'Council Entry'!BA$5),10*((IF('Council Entry'!BA$4="Logarithm",LN(0.001+IF(AND(ISNUMBER('Council Entry'!BA$8),ISNUMBER('Council Entry'!BA$9)),MAX(MIN('Council Entry'!BA115,'Council Entry'!BA$9),'Council Entry'!BA$8),'Council Entry'!BA115)),IF('Council Entry'!BA$4="Exponential",EXP(IF(AND(ISNUMBER('Council Entry'!BA$8),ISNUMBER('Council Entry'!BA$9)),MAX(MIN('Council Entry'!BA115,'Council Entry'!BA$9),'Council Entry'!BA$8),'Council Entry'!BA115)),IF(AND(ISNUMBER('Council Entry'!BA$8),ISNUMBER('Council Entry'!BA$9)),MAX(MIN('Council Entry'!BA115,'Council Entry'!BA$9),'Council Entry'!BA$8),'Council Entry'!BA115))))-'Council Entry'!BA$5)/('Council Entry'!BA$6-'Council Entry'!BA$5)),1))),"No data"))</f>
        <v/>
      </c>
      <c r="BB115" s="13">
        <f>IF('Council Entry'!BB115="","",IFERROR(MAX(0,MIN(10,ROUND(IF('Council Entry'!BB$7="Decrease Risk",10-10*((IF('Council Entry'!BB$4="Logarithm",LN(0.001+IF(AND(ISNUMBER('Council Entry'!BB$8),ISNUMBER('Council Entry'!BB$9)),MAX(MIN('Council Entry'!BB115,'Council Entry'!BB$9),'Council Entry'!BB$8),'Council Entry'!BB115)),IF('Council Entry'!BB$4="Exponential",EXP(IF(AND(ISNUMBER('Council Entry'!BB$8),ISNUMBER('Council Entry'!BB$9)),MAX(MIN('Council Entry'!BB115,'Council Entry'!BB$9),'Council Entry'!BB$8),'Council Entry'!BB115)),IF(AND(ISNUMBER('Council Entry'!BB$8),ISNUMBER('Council Entry'!BB$9)),MAX(MIN('Council Entry'!BB115,'Council Entry'!BB$9),'Council Entry'!BB$8),'Council Entry'!BB115))))-'Council Entry'!BB$5)/('Council Entry'!BB$6-'Council Entry'!BB$5),10*((IF('Council Entry'!BB$4="Logarithm",LN(0.001+IF(AND(ISNUMBER('Council Entry'!BB$8),ISNUMBER('Council Entry'!BB$9)),MAX(MIN('Council Entry'!BB115,'Council Entry'!BB$9),'Council Entry'!BB$8),'Council Entry'!BB115)),IF('Council Entry'!BB$4="Exponential",EXP(IF(AND(ISNUMBER('Council Entry'!BB$8),ISNUMBER('Council Entry'!BB$9)),MAX(MIN('Council Entry'!BB115,'Council Entry'!BB$9),'Council Entry'!BB$8),'Council Entry'!BB115)),IF(AND(ISNUMBER('Council Entry'!BB$8),ISNUMBER('Council Entry'!BB$9)),MAX(MIN('Council Entry'!BB115,'Council Entry'!BB$9),'Council Entry'!BB$8),'Council Entry'!BB115))))-'Council Entry'!BB$5)/('Council Entry'!BB$6-'Council Entry'!BB$5)),1))),"No data"))</f>
        <v/>
      </c>
      <c r="BC115" s="13">
        <f>IF('Council Entry'!BC115="","",IFERROR(MAX(0,MIN(10,ROUND(IF('Council Entry'!BC$7="Decrease Risk",10-10*((IF('Council Entry'!BC$4="Logarithm",LN(0.001+IF(AND(ISNUMBER('Council Entry'!BC$8),ISNUMBER('Council Entry'!BC$9)),MAX(MIN('Council Entry'!BC115,'Council Entry'!BC$9),'Council Entry'!BC$8),'Council Entry'!BC115)),IF('Council Entry'!BC$4="Exponential",EXP(IF(AND(ISNUMBER('Council Entry'!BC$8),ISNUMBER('Council Entry'!BC$9)),MAX(MIN('Council Entry'!BC115,'Council Entry'!BC$9),'Council Entry'!BC$8),'Council Entry'!BC115)),IF(AND(ISNUMBER('Council Entry'!BC$8),ISNUMBER('Council Entry'!BC$9)),MAX(MIN('Council Entry'!BC115,'Council Entry'!BC$9),'Council Entry'!BC$8),'Council Entry'!BC115))))-'Council Entry'!BC$5)/('Council Entry'!BC$6-'Council Entry'!BC$5),10*((IF('Council Entry'!BC$4="Logarithm",LN(0.001+IF(AND(ISNUMBER('Council Entry'!BC$8),ISNUMBER('Council Entry'!BC$9)),MAX(MIN('Council Entry'!BC115,'Council Entry'!BC$9),'Council Entry'!BC$8),'Council Entry'!BC115)),IF('Council Entry'!BC$4="Exponential",EXP(IF(AND(ISNUMBER('Council Entry'!BC$8),ISNUMBER('Council Entry'!BC$9)),MAX(MIN('Council Entry'!BC115,'Council Entry'!BC$9),'Council Entry'!BC$8),'Council Entry'!BC115)),IF(AND(ISNUMBER('Council Entry'!BC$8),ISNUMBER('Council Entry'!BC$9)),MAX(MIN('Council Entry'!BC115,'Council Entry'!BC$9),'Council Entry'!BC$8),'Council Entry'!BC115))))-'Council Entry'!BC$5)/('Council Entry'!BC$6-'Council Entry'!BC$5)),1))),"No data"))</f>
        <v/>
      </c>
      <c r="BD115" s="13">
        <f>IF('Council Entry'!BD115="","",IFERROR(MAX(0,MIN(10,ROUND(IF('Council Entry'!BD$7="Decrease Risk",10-10*((IF('Council Entry'!BD$4="Logarithm",LN(0.001+IF(AND(ISNUMBER('Council Entry'!BD$8),ISNUMBER('Council Entry'!BD$9)),MAX(MIN('Council Entry'!BD115,'Council Entry'!BD$9),'Council Entry'!BD$8),'Council Entry'!BD115)),IF('Council Entry'!BD$4="Exponential",EXP(IF(AND(ISNUMBER('Council Entry'!BD$8),ISNUMBER('Council Entry'!BD$9)),MAX(MIN('Council Entry'!BD115,'Council Entry'!BD$9),'Council Entry'!BD$8),'Council Entry'!BD115)),IF(AND(ISNUMBER('Council Entry'!BD$8),ISNUMBER('Council Entry'!BD$9)),MAX(MIN('Council Entry'!BD115,'Council Entry'!BD$9),'Council Entry'!BD$8),'Council Entry'!BD115))))-'Council Entry'!BD$5)/('Council Entry'!BD$6-'Council Entry'!BD$5),10*((IF('Council Entry'!BD$4="Logarithm",LN(0.001+IF(AND(ISNUMBER('Council Entry'!BD$8),ISNUMBER('Council Entry'!BD$9)),MAX(MIN('Council Entry'!BD115,'Council Entry'!BD$9),'Council Entry'!BD$8),'Council Entry'!BD115)),IF('Council Entry'!BD$4="Exponential",EXP(IF(AND(ISNUMBER('Council Entry'!BD$8),ISNUMBER('Council Entry'!BD$9)),MAX(MIN('Council Entry'!BD115,'Council Entry'!BD$9),'Council Entry'!BD$8),'Council Entry'!BD115)),IF(AND(ISNUMBER('Council Entry'!BD$8),ISNUMBER('Council Entry'!BD$9)),MAX(MIN('Council Entry'!BD115,'Council Entry'!BD$9),'Council Entry'!BD$8),'Council Entry'!BD115))))-'Council Entry'!BD$5)/('Council Entry'!BD$6-'Council Entry'!BD$5)),1))),"No data"))</f>
        <v/>
      </c>
    </row>
    <row r="116">
      <c r="A116" t="inlineStr">
        <is>
          <t>Morogoro</t>
        </is>
      </c>
      <c r="B116" t="inlineStr">
        <is>
          <t>Morogoro Municipal</t>
        </is>
      </c>
      <c r="C116" t="inlineStr">
        <is>
          <t>C036</t>
        </is>
      </c>
      <c r="D116" s="13">
        <f>IF('Council Entry'!D116="","",IFERROR(MAX(0,MIN(10,ROUND(IF('Council Entry'!D$7="Decrease Risk",10-10*((IF('Council Entry'!D$4="Logarithm",LN(0.001+IF(AND(ISNUMBER('Council Entry'!D$8),ISNUMBER('Council Entry'!D$9)),MAX(MIN('Council Entry'!D116,'Council Entry'!D$9),'Council Entry'!D$8),'Council Entry'!D116)),IF('Council Entry'!D$4="Exponential",EXP(IF(AND(ISNUMBER('Council Entry'!D$8),ISNUMBER('Council Entry'!D$9)),MAX(MIN('Council Entry'!D116,'Council Entry'!D$9),'Council Entry'!D$8),'Council Entry'!D116)),IF(AND(ISNUMBER('Council Entry'!D$8),ISNUMBER('Council Entry'!D$9)),MAX(MIN('Council Entry'!D116,'Council Entry'!D$9),'Council Entry'!D$8),'Council Entry'!D116))))-'Council Entry'!D$5)/('Council Entry'!D$6-'Council Entry'!D$5),10*((IF('Council Entry'!D$4="Logarithm",LN(0.001+IF(AND(ISNUMBER('Council Entry'!D$8),ISNUMBER('Council Entry'!D$9)),MAX(MIN('Council Entry'!D116,'Council Entry'!D$9),'Council Entry'!D$8),'Council Entry'!D116)),IF('Council Entry'!D$4="Exponential",EXP(IF(AND(ISNUMBER('Council Entry'!D$8),ISNUMBER('Council Entry'!D$9)),MAX(MIN('Council Entry'!D116,'Council Entry'!D$9),'Council Entry'!D$8),'Council Entry'!D116)),IF(AND(ISNUMBER('Council Entry'!D$8),ISNUMBER('Council Entry'!D$9)),MAX(MIN('Council Entry'!D116,'Council Entry'!D$9),'Council Entry'!D$8),'Council Entry'!D116))))-'Council Entry'!D$5)/('Council Entry'!D$6-'Council Entry'!D$5)),1))),"No data"))</f>
        <v/>
      </c>
      <c r="E116" s="13">
        <f>IF('Council Entry'!E116="","",IFERROR(MAX(0,MIN(10,ROUND(IF('Council Entry'!E$7="Decrease Risk",10-10*((IF('Council Entry'!E$4="Logarithm",LN(0.001+IF(AND(ISNUMBER('Council Entry'!E$8),ISNUMBER('Council Entry'!E$9)),MAX(MIN('Council Entry'!E116,'Council Entry'!E$9),'Council Entry'!E$8),'Council Entry'!E116)),IF('Council Entry'!E$4="Exponential",EXP(IF(AND(ISNUMBER('Council Entry'!E$8),ISNUMBER('Council Entry'!E$9)),MAX(MIN('Council Entry'!E116,'Council Entry'!E$9),'Council Entry'!E$8),'Council Entry'!E116)),IF(AND(ISNUMBER('Council Entry'!E$8),ISNUMBER('Council Entry'!E$9)),MAX(MIN('Council Entry'!E116,'Council Entry'!E$9),'Council Entry'!E$8),'Council Entry'!E116))))-'Council Entry'!E$5)/('Council Entry'!E$6-'Council Entry'!E$5),10*((IF('Council Entry'!E$4="Logarithm",LN(0.001+IF(AND(ISNUMBER('Council Entry'!E$8),ISNUMBER('Council Entry'!E$9)),MAX(MIN('Council Entry'!E116,'Council Entry'!E$9),'Council Entry'!E$8),'Council Entry'!E116)),IF('Council Entry'!E$4="Exponential",EXP(IF(AND(ISNUMBER('Council Entry'!E$8),ISNUMBER('Council Entry'!E$9)),MAX(MIN('Council Entry'!E116,'Council Entry'!E$9),'Council Entry'!E$8),'Council Entry'!E116)),IF(AND(ISNUMBER('Council Entry'!E$8),ISNUMBER('Council Entry'!E$9)),MAX(MIN('Council Entry'!E116,'Council Entry'!E$9),'Council Entry'!E$8),'Council Entry'!E116))))-'Council Entry'!E$5)/('Council Entry'!E$6-'Council Entry'!E$5)),1))),"No data"))</f>
        <v/>
      </c>
      <c r="F116" s="13">
        <f>IF('Council Entry'!F116="","",IFERROR(MAX(0,MIN(10,ROUND(IF('Council Entry'!F$7="Decrease Risk",10-10*((IF('Council Entry'!F$4="Logarithm",LN(0.001+IF(AND(ISNUMBER('Council Entry'!F$8),ISNUMBER('Council Entry'!F$9)),MAX(MIN('Council Entry'!F116,'Council Entry'!F$9),'Council Entry'!F$8),'Council Entry'!F116)),IF('Council Entry'!F$4="Exponential",EXP(IF(AND(ISNUMBER('Council Entry'!F$8),ISNUMBER('Council Entry'!F$9)),MAX(MIN('Council Entry'!F116,'Council Entry'!F$9),'Council Entry'!F$8),'Council Entry'!F116)),IF(AND(ISNUMBER('Council Entry'!F$8),ISNUMBER('Council Entry'!F$9)),MAX(MIN('Council Entry'!F116,'Council Entry'!F$9),'Council Entry'!F$8),'Council Entry'!F116))))-'Council Entry'!F$5)/('Council Entry'!F$6-'Council Entry'!F$5),10*((IF('Council Entry'!F$4="Logarithm",LN(0.001+IF(AND(ISNUMBER('Council Entry'!F$8),ISNUMBER('Council Entry'!F$9)),MAX(MIN('Council Entry'!F116,'Council Entry'!F$9),'Council Entry'!F$8),'Council Entry'!F116)),IF('Council Entry'!F$4="Exponential",EXP(IF(AND(ISNUMBER('Council Entry'!F$8),ISNUMBER('Council Entry'!F$9)),MAX(MIN('Council Entry'!F116,'Council Entry'!F$9),'Council Entry'!F$8),'Council Entry'!F116)),IF(AND(ISNUMBER('Council Entry'!F$8),ISNUMBER('Council Entry'!F$9)),MAX(MIN('Council Entry'!F116,'Council Entry'!F$9),'Council Entry'!F$8),'Council Entry'!F116))))-'Council Entry'!F$5)/('Council Entry'!F$6-'Council Entry'!F$5)),1))),"No data"))</f>
        <v/>
      </c>
      <c r="G116" s="13">
        <f>IF('Council Entry'!G116="","",IFERROR(MAX(0,MIN(10,ROUND(IF('Council Entry'!G$7="Decrease Risk",10-10*((IF('Council Entry'!G$4="Logarithm",LN(0.001+IF(AND(ISNUMBER('Council Entry'!G$8),ISNUMBER('Council Entry'!G$9)),MAX(MIN('Council Entry'!G116,'Council Entry'!G$9),'Council Entry'!G$8),'Council Entry'!G116)),IF('Council Entry'!G$4="Exponential",EXP(IF(AND(ISNUMBER('Council Entry'!G$8),ISNUMBER('Council Entry'!G$9)),MAX(MIN('Council Entry'!G116,'Council Entry'!G$9),'Council Entry'!G$8),'Council Entry'!G116)),IF(AND(ISNUMBER('Council Entry'!G$8),ISNUMBER('Council Entry'!G$9)),MAX(MIN('Council Entry'!G116,'Council Entry'!G$9),'Council Entry'!G$8),'Council Entry'!G116))))-'Council Entry'!G$5)/('Council Entry'!G$6-'Council Entry'!G$5),10*((IF('Council Entry'!G$4="Logarithm",LN(0.001+IF(AND(ISNUMBER('Council Entry'!G$8),ISNUMBER('Council Entry'!G$9)),MAX(MIN('Council Entry'!G116,'Council Entry'!G$9),'Council Entry'!G$8),'Council Entry'!G116)),IF('Council Entry'!G$4="Exponential",EXP(IF(AND(ISNUMBER('Council Entry'!G$8),ISNUMBER('Council Entry'!G$9)),MAX(MIN('Council Entry'!G116,'Council Entry'!G$9),'Council Entry'!G$8),'Council Entry'!G116)),IF(AND(ISNUMBER('Council Entry'!G$8),ISNUMBER('Council Entry'!G$9)),MAX(MIN('Council Entry'!G116,'Council Entry'!G$9),'Council Entry'!G$8),'Council Entry'!G116))))-'Council Entry'!G$5)/('Council Entry'!G$6-'Council Entry'!G$5)),1))),"No data"))</f>
        <v/>
      </c>
      <c r="H116" s="13">
        <f>IF('Council Entry'!H116="","",IFERROR(MAX(0,MIN(10,ROUND(IF('Council Entry'!H$7="Decrease Risk",10-10*((IF('Council Entry'!H$4="Logarithm",LN(0.001+IF(AND(ISNUMBER('Council Entry'!H$8),ISNUMBER('Council Entry'!H$9)),MAX(MIN('Council Entry'!H116,'Council Entry'!H$9),'Council Entry'!H$8),'Council Entry'!H116)),IF('Council Entry'!H$4="Exponential",EXP(IF(AND(ISNUMBER('Council Entry'!H$8),ISNUMBER('Council Entry'!H$9)),MAX(MIN('Council Entry'!H116,'Council Entry'!H$9),'Council Entry'!H$8),'Council Entry'!H116)),IF(AND(ISNUMBER('Council Entry'!H$8),ISNUMBER('Council Entry'!H$9)),MAX(MIN('Council Entry'!H116,'Council Entry'!H$9),'Council Entry'!H$8),'Council Entry'!H116))))-'Council Entry'!H$5)/('Council Entry'!H$6-'Council Entry'!H$5),10*((IF('Council Entry'!H$4="Logarithm",LN(0.001+IF(AND(ISNUMBER('Council Entry'!H$8),ISNUMBER('Council Entry'!H$9)),MAX(MIN('Council Entry'!H116,'Council Entry'!H$9),'Council Entry'!H$8),'Council Entry'!H116)),IF('Council Entry'!H$4="Exponential",EXP(IF(AND(ISNUMBER('Council Entry'!H$8),ISNUMBER('Council Entry'!H$9)),MAX(MIN('Council Entry'!H116,'Council Entry'!H$9),'Council Entry'!H$8),'Council Entry'!H116)),IF(AND(ISNUMBER('Council Entry'!H$8),ISNUMBER('Council Entry'!H$9)),MAX(MIN('Council Entry'!H116,'Council Entry'!H$9),'Council Entry'!H$8),'Council Entry'!H116))))-'Council Entry'!H$5)/('Council Entry'!H$6-'Council Entry'!H$5)),1))),"No data"))</f>
        <v/>
      </c>
      <c r="I116" s="13">
        <f>IF('Council Entry'!I116="","",IFERROR(MAX(0,MIN(10,ROUND(IF('Council Entry'!I$7="Decrease Risk",10-10*((IF('Council Entry'!I$4="Logarithm",LN(0.001+IF(AND(ISNUMBER('Council Entry'!I$8),ISNUMBER('Council Entry'!I$9)),MAX(MIN('Council Entry'!I116,'Council Entry'!I$9),'Council Entry'!I$8),'Council Entry'!I116)),IF('Council Entry'!I$4="Exponential",EXP(IF(AND(ISNUMBER('Council Entry'!I$8),ISNUMBER('Council Entry'!I$9)),MAX(MIN('Council Entry'!I116,'Council Entry'!I$9),'Council Entry'!I$8),'Council Entry'!I116)),IF(AND(ISNUMBER('Council Entry'!I$8),ISNUMBER('Council Entry'!I$9)),MAX(MIN('Council Entry'!I116,'Council Entry'!I$9),'Council Entry'!I$8),'Council Entry'!I116))))-'Council Entry'!I$5)/('Council Entry'!I$6-'Council Entry'!I$5),10*((IF('Council Entry'!I$4="Logarithm",LN(0.001+IF(AND(ISNUMBER('Council Entry'!I$8),ISNUMBER('Council Entry'!I$9)),MAX(MIN('Council Entry'!I116,'Council Entry'!I$9),'Council Entry'!I$8),'Council Entry'!I116)),IF('Council Entry'!I$4="Exponential",EXP(IF(AND(ISNUMBER('Council Entry'!I$8),ISNUMBER('Council Entry'!I$9)),MAX(MIN('Council Entry'!I116,'Council Entry'!I$9),'Council Entry'!I$8),'Council Entry'!I116)),IF(AND(ISNUMBER('Council Entry'!I$8),ISNUMBER('Council Entry'!I$9)),MAX(MIN('Council Entry'!I116,'Council Entry'!I$9),'Council Entry'!I$8),'Council Entry'!I116))))-'Council Entry'!I$5)/('Council Entry'!I$6-'Council Entry'!I$5)),1))),"No data"))</f>
        <v/>
      </c>
      <c r="J116" s="13">
        <f>IF('Council Entry'!J116="","",IFERROR(MAX(0,MIN(10,ROUND(IF('Council Entry'!J$7="Decrease Risk",10-10*((IF('Council Entry'!J$4="Logarithm",LN(0.001+IF(AND(ISNUMBER('Council Entry'!J$8),ISNUMBER('Council Entry'!J$9)),MAX(MIN('Council Entry'!J116,'Council Entry'!J$9),'Council Entry'!J$8),'Council Entry'!J116)),IF('Council Entry'!J$4="Exponential",EXP(IF(AND(ISNUMBER('Council Entry'!J$8),ISNUMBER('Council Entry'!J$9)),MAX(MIN('Council Entry'!J116,'Council Entry'!J$9),'Council Entry'!J$8),'Council Entry'!J116)),IF(AND(ISNUMBER('Council Entry'!J$8),ISNUMBER('Council Entry'!J$9)),MAX(MIN('Council Entry'!J116,'Council Entry'!J$9),'Council Entry'!J$8),'Council Entry'!J116))))-'Council Entry'!J$5)/('Council Entry'!J$6-'Council Entry'!J$5),10*((IF('Council Entry'!J$4="Logarithm",LN(0.001+IF(AND(ISNUMBER('Council Entry'!J$8),ISNUMBER('Council Entry'!J$9)),MAX(MIN('Council Entry'!J116,'Council Entry'!J$9),'Council Entry'!J$8),'Council Entry'!J116)),IF('Council Entry'!J$4="Exponential",EXP(IF(AND(ISNUMBER('Council Entry'!J$8),ISNUMBER('Council Entry'!J$9)),MAX(MIN('Council Entry'!J116,'Council Entry'!J$9),'Council Entry'!J$8),'Council Entry'!J116)),IF(AND(ISNUMBER('Council Entry'!J$8),ISNUMBER('Council Entry'!J$9)),MAX(MIN('Council Entry'!J116,'Council Entry'!J$9),'Council Entry'!J$8),'Council Entry'!J116))))-'Council Entry'!J$5)/('Council Entry'!J$6-'Council Entry'!J$5)),1))),"No data"))</f>
        <v/>
      </c>
      <c r="K116" s="13">
        <f>IF('Council Entry'!K116="","",IFERROR(MAX(0,MIN(10,ROUND(IF('Council Entry'!K$7="Decrease Risk",10-10*((IF('Council Entry'!K$4="Logarithm",LN(0.001+IF(AND(ISNUMBER('Council Entry'!K$8),ISNUMBER('Council Entry'!K$9)),MAX(MIN('Council Entry'!K116,'Council Entry'!K$9),'Council Entry'!K$8),'Council Entry'!K116)),IF('Council Entry'!K$4="Exponential",EXP(IF(AND(ISNUMBER('Council Entry'!K$8),ISNUMBER('Council Entry'!K$9)),MAX(MIN('Council Entry'!K116,'Council Entry'!K$9),'Council Entry'!K$8),'Council Entry'!K116)),IF(AND(ISNUMBER('Council Entry'!K$8),ISNUMBER('Council Entry'!K$9)),MAX(MIN('Council Entry'!K116,'Council Entry'!K$9),'Council Entry'!K$8),'Council Entry'!K116))))-'Council Entry'!K$5)/('Council Entry'!K$6-'Council Entry'!K$5),10*((IF('Council Entry'!K$4="Logarithm",LN(0.001+IF(AND(ISNUMBER('Council Entry'!K$8),ISNUMBER('Council Entry'!K$9)),MAX(MIN('Council Entry'!K116,'Council Entry'!K$9),'Council Entry'!K$8),'Council Entry'!K116)),IF('Council Entry'!K$4="Exponential",EXP(IF(AND(ISNUMBER('Council Entry'!K$8),ISNUMBER('Council Entry'!K$9)),MAX(MIN('Council Entry'!K116,'Council Entry'!K$9),'Council Entry'!K$8),'Council Entry'!K116)),IF(AND(ISNUMBER('Council Entry'!K$8),ISNUMBER('Council Entry'!K$9)),MAX(MIN('Council Entry'!K116,'Council Entry'!K$9),'Council Entry'!K$8),'Council Entry'!K116))))-'Council Entry'!K$5)/('Council Entry'!K$6-'Council Entry'!K$5)),1))),"No data"))</f>
        <v/>
      </c>
      <c r="L116" s="13">
        <f>IF('Council Entry'!L116="","",IFERROR(MAX(0,MIN(10,ROUND(IF('Council Entry'!L$7="Decrease Risk",10-10*((IF('Council Entry'!L$4="Logarithm",LN(0.001+IF(AND(ISNUMBER('Council Entry'!L$8),ISNUMBER('Council Entry'!L$9)),MAX(MIN('Council Entry'!L116,'Council Entry'!L$9),'Council Entry'!L$8),'Council Entry'!L116)),IF('Council Entry'!L$4="Exponential",EXP(IF(AND(ISNUMBER('Council Entry'!L$8),ISNUMBER('Council Entry'!L$9)),MAX(MIN('Council Entry'!L116,'Council Entry'!L$9),'Council Entry'!L$8),'Council Entry'!L116)),IF(AND(ISNUMBER('Council Entry'!L$8),ISNUMBER('Council Entry'!L$9)),MAX(MIN('Council Entry'!L116,'Council Entry'!L$9),'Council Entry'!L$8),'Council Entry'!L116))))-'Council Entry'!L$5)/('Council Entry'!L$6-'Council Entry'!L$5),10*((IF('Council Entry'!L$4="Logarithm",LN(0.001+IF(AND(ISNUMBER('Council Entry'!L$8),ISNUMBER('Council Entry'!L$9)),MAX(MIN('Council Entry'!L116,'Council Entry'!L$9),'Council Entry'!L$8),'Council Entry'!L116)),IF('Council Entry'!L$4="Exponential",EXP(IF(AND(ISNUMBER('Council Entry'!L$8),ISNUMBER('Council Entry'!L$9)),MAX(MIN('Council Entry'!L116,'Council Entry'!L$9),'Council Entry'!L$8),'Council Entry'!L116)),IF(AND(ISNUMBER('Council Entry'!L$8),ISNUMBER('Council Entry'!L$9)),MAX(MIN('Council Entry'!L116,'Council Entry'!L$9),'Council Entry'!L$8),'Council Entry'!L116))))-'Council Entry'!L$5)/('Council Entry'!L$6-'Council Entry'!L$5)),1))),"No data"))</f>
        <v/>
      </c>
      <c r="M116" s="13">
        <f>IF('Council Entry'!M116="","",IFERROR(MAX(0,MIN(10,ROUND(IF('Council Entry'!M$7="Decrease Risk",10-10*((IF('Council Entry'!M$4="Logarithm",LN(0.001+IF(AND(ISNUMBER('Council Entry'!M$8),ISNUMBER('Council Entry'!M$9)),MAX(MIN('Council Entry'!M116,'Council Entry'!M$9),'Council Entry'!M$8),'Council Entry'!M116)),IF('Council Entry'!M$4="Exponential",EXP(IF(AND(ISNUMBER('Council Entry'!M$8),ISNUMBER('Council Entry'!M$9)),MAX(MIN('Council Entry'!M116,'Council Entry'!M$9),'Council Entry'!M$8),'Council Entry'!M116)),IF(AND(ISNUMBER('Council Entry'!M$8),ISNUMBER('Council Entry'!M$9)),MAX(MIN('Council Entry'!M116,'Council Entry'!M$9),'Council Entry'!M$8),'Council Entry'!M116))))-'Council Entry'!M$5)/('Council Entry'!M$6-'Council Entry'!M$5),10*((IF('Council Entry'!M$4="Logarithm",LN(0.001+IF(AND(ISNUMBER('Council Entry'!M$8),ISNUMBER('Council Entry'!M$9)),MAX(MIN('Council Entry'!M116,'Council Entry'!M$9),'Council Entry'!M$8),'Council Entry'!M116)),IF('Council Entry'!M$4="Exponential",EXP(IF(AND(ISNUMBER('Council Entry'!M$8),ISNUMBER('Council Entry'!M$9)),MAX(MIN('Council Entry'!M116,'Council Entry'!M$9),'Council Entry'!M$8),'Council Entry'!M116)),IF(AND(ISNUMBER('Council Entry'!M$8),ISNUMBER('Council Entry'!M$9)),MAX(MIN('Council Entry'!M116,'Council Entry'!M$9),'Council Entry'!M$8),'Council Entry'!M116))))-'Council Entry'!M$5)/('Council Entry'!M$6-'Council Entry'!M$5)),1))),"No data"))</f>
        <v/>
      </c>
      <c r="N116" s="13">
        <f>IF('Council Entry'!N116="","",IFERROR(MAX(0,MIN(10,ROUND(IF('Council Entry'!N$7="Decrease Risk",10-10*((IF('Council Entry'!N$4="Logarithm",LN(0.001+IF(AND(ISNUMBER('Council Entry'!N$8),ISNUMBER('Council Entry'!N$9)),MAX(MIN('Council Entry'!N116,'Council Entry'!N$9),'Council Entry'!N$8),'Council Entry'!N116)),IF('Council Entry'!N$4="Exponential",EXP(IF(AND(ISNUMBER('Council Entry'!N$8),ISNUMBER('Council Entry'!N$9)),MAX(MIN('Council Entry'!N116,'Council Entry'!N$9),'Council Entry'!N$8),'Council Entry'!N116)),IF(AND(ISNUMBER('Council Entry'!N$8),ISNUMBER('Council Entry'!N$9)),MAX(MIN('Council Entry'!N116,'Council Entry'!N$9),'Council Entry'!N$8),'Council Entry'!N116))))-'Council Entry'!N$5)/('Council Entry'!N$6-'Council Entry'!N$5),10*((IF('Council Entry'!N$4="Logarithm",LN(0.001+IF(AND(ISNUMBER('Council Entry'!N$8),ISNUMBER('Council Entry'!N$9)),MAX(MIN('Council Entry'!N116,'Council Entry'!N$9),'Council Entry'!N$8),'Council Entry'!N116)),IF('Council Entry'!N$4="Exponential",EXP(IF(AND(ISNUMBER('Council Entry'!N$8),ISNUMBER('Council Entry'!N$9)),MAX(MIN('Council Entry'!N116,'Council Entry'!N$9),'Council Entry'!N$8),'Council Entry'!N116)),IF(AND(ISNUMBER('Council Entry'!N$8),ISNUMBER('Council Entry'!N$9)),MAX(MIN('Council Entry'!N116,'Council Entry'!N$9),'Council Entry'!N$8),'Council Entry'!N116))))-'Council Entry'!N$5)/('Council Entry'!N$6-'Council Entry'!N$5)),1))),"No data"))</f>
        <v/>
      </c>
      <c r="O116" s="13">
        <f>IF('Council Entry'!O116="","",IFERROR(MAX(0,MIN(10,ROUND(IF('Council Entry'!O$7="Decrease Risk",10-10*((IF('Council Entry'!O$4="Logarithm",LN(0.001+IF(AND(ISNUMBER('Council Entry'!O$8),ISNUMBER('Council Entry'!O$9)),MAX(MIN('Council Entry'!O116,'Council Entry'!O$9),'Council Entry'!O$8),'Council Entry'!O116)),IF('Council Entry'!O$4="Exponential",EXP(IF(AND(ISNUMBER('Council Entry'!O$8),ISNUMBER('Council Entry'!O$9)),MAX(MIN('Council Entry'!O116,'Council Entry'!O$9),'Council Entry'!O$8),'Council Entry'!O116)),IF(AND(ISNUMBER('Council Entry'!O$8),ISNUMBER('Council Entry'!O$9)),MAX(MIN('Council Entry'!O116,'Council Entry'!O$9),'Council Entry'!O$8),'Council Entry'!O116))))-'Council Entry'!O$5)/('Council Entry'!O$6-'Council Entry'!O$5),10*((IF('Council Entry'!O$4="Logarithm",LN(0.001+IF(AND(ISNUMBER('Council Entry'!O$8),ISNUMBER('Council Entry'!O$9)),MAX(MIN('Council Entry'!O116,'Council Entry'!O$9),'Council Entry'!O$8),'Council Entry'!O116)),IF('Council Entry'!O$4="Exponential",EXP(IF(AND(ISNUMBER('Council Entry'!O$8),ISNUMBER('Council Entry'!O$9)),MAX(MIN('Council Entry'!O116,'Council Entry'!O$9),'Council Entry'!O$8),'Council Entry'!O116)),IF(AND(ISNUMBER('Council Entry'!O$8),ISNUMBER('Council Entry'!O$9)),MAX(MIN('Council Entry'!O116,'Council Entry'!O$9),'Council Entry'!O$8),'Council Entry'!O116))))-'Council Entry'!O$5)/('Council Entry'!O$6-'Council Entry'!O$5)),1))),"No data"))</f>
        <v/>
      </c>
      <c r="P116" s="13">
        <f>IF('Council Entry'!P116="","",IFERROR(MAX(0,MIN(10,ROUND(IF('Council Entry'!P$7="Decrease Risk",10-10*((IF('Council Entry'!P$4="Logarithm",LN(0.001+IF(AND(ISNUMBER('Council Entry'!P$8),ISNUMBER('Council Entry'!P$9)),MAX(MIN('Council Entry'!P116,'Council Entry'!P$9),'Council Entry'!P$8),'Council Entry'!P116)),IF('Council Entry'!P$4="Exponential",EXP(IF(AND(ISNUMBER('Council Entry'!P$8),ISNUMBER('Council Entry'!P$9)),MAX(MIN('Council Entry'!P116,'Council Entry'!P$9),'Council Entry'!P$8),'Council Entry'!P116)),IF(AND(ISNUMBER('Council Entry'!P$8),ISNUMBER('Council Entry'!P$9)),MAX(MIN('Council Entry'!P116,'Council Entry'!P$9),'Council Entry'!P$8),'Council Entry'!P116))))-'Council Entry'!P$5)/('Council Entry'!P$6-'Council Entry'!P$5),10*((IF('Council Entry'!P$4="Logarithm",LN(0.001+IF(AND(ISNUMBER('Council Entry'!P$8),ISNUMBER('Council Entry'!P$9)),MAX(MIN('Council Entry'!P116,'Council Entry'!P$9),'Council Entry'!P$8),'Council Entry'!P116)),IF('Council Entry'!P$4="Exponential",EXP(IF(AND(ISNUMBER('Council Entry'!P$8),ISNUMBER('Council Entry'!P$9)),MAX(MIN('Council Entry'!P116,'Council Entry'!P$9),'Council Entry'!P$8),'Council Entry'!P116)),IF(AND(ISNUMBER('Council Entry'!P$8),ISNUMBER('Council Entry'!P$9)),MAX(MIN('Council Entry'!P116,'Council Entry'!P$9),'Council Entry'!P$8),'Council Entry'!P116))))-'Council Entry'!P$5)/('Council Entry'!P$6-'Council Entry'!P$5)),1))),"No data"))</f>
        <v/>
      </c>
      <c r="Q116" s="13">
        <f>IF('Council Entry'!Q116="","",IFERROR(MAX(0,MIN(10,ROUND(IF('Council Entry'!Q$7="Decrease Risk",10-10*((IF('Council Entry'!Q$4="Logarithm",LN(0.001+IF(AND(ISNUMBER('Council Entry'!Q$8),ISNUMBER('Council Entry'!Q$9)),MAX(MIN('Council Entry'!Q116,'Council Entry'!Q$9),'Council Entry'!Q$8),'Council Entry'!Q116)),IF('Council Entry'!Q$4="Exponential",EXP(IF(AND(ISNUMBER('Council Entry'!Q$8),ISNUMBER('Council Entry'!Q$9)),MAX(MIN('Council Entry'!Q116,'Council Entry'!Q$9),'Council Entry'!Q$8),'Council Entry'!Q116)),IF(AND(ISNUMBER('Council Entry'!Q$8),ISNUMBER('Council Entry'!Q$9)),MAX(MIN('Council Entry'!Q116,'Council Entry'!Q$9),'Council Entry'!Q$8),'Council Entry'!Q116))))-'Council Entry'!Q$5)/('Council Entry'!Q$6-'Council Entry'!Q$5),10*((IF('Council Entry'!Q$4="Logarithm",LN(0.001+IF(AND(ISNUMBER('Council Entry'!Q$8),ISNUMBER('Council Entry'!Q$9)),MAX(MIN('Council Entry'!Q116,'Council Entry'!Q$9),'Council Entry'!Q$8),'Council Entry'!Q116)),IF('Council Entry'!Q$4="Exponential",EXP(IF(AND(ISNUMBER('Council Entry'!Q$8),ISNUMBER('Council Entry'!Q$9)),MAX(MIN('Council Entry'!Q116,'Council Entry'!Q$9),'Council Entry'!Q$8),'Council Entry'!Q116)),IF(AND(ISNUMBER('Council Entry'!Q$8),ISNUMBER('Council Entry'!Q$9)),MAX(MIN('Council Entry'!Q116,'Council Entry'!Q$9),'Council Entry'!Q$8),'Council Entry'!Q116))))-'Council Entry'!Q$5)/('Council Entry'!Q$6-'Council Entry'!Q$5)),1))),"No data"))</f>
        <v/>
      </c>
      <c r="R116" s="13">
        <f>IF('Council Entry'!R116="","",IFERROR(MAX(0,MIN(10,ROUND(IF('Council Entry'!R$7="Decrease Risk",10-10*((IF('Council Entry'!R$4="Logarithm",LN(0.001+IF(AND(ISNUMBER('Council Entry'!R$8),ISNUMBER('Council Entry'!R$9)),MAX(MIN('Council Entry'!R116,'Council Entry'!R$9),'Council Entry'!R$8),'Council Entry'!R116)),IF('Council Entry'!R$4="Exponential",EXP(IF(AND(ISNUMBER('Council Entry'!R$8),ISNUMBER('Council Entry'!R$9)),MAX(MIN('Council Entry'!R116,'Council Entry'!R$9),'Council Entry'!R$8),'Council Entry'!R116)),IF(AND(ISNUMBER('Council Entry'!R$8),ISNUMBER('Council Entry'!R$9)),MAX(MIN('Council Entry'!R116,'Council Entry'!R$9),'Council Entry'!R$8),'Council Entry'!R116))))-'Council Entry'!R$5)/('Council Entry'!R$6-'Council Entry'!R$5),10*((IF('Council Entry'!R$4="Logarithm",LN(0.001+IF(AND(ISNUMBER('Council Entry'!R$8),ISNUMBER('Council Entry'!R$9)),MAX(MIN('Council Entry'!R116,'Council Entry'!R$9),'Council Entry'!R$8),'Council Entry'!R116)),IF('Council Entry'!R$4="Exponential",EXP(IF(AND(ISNUMBER('Council Entry'!R$8),ISNUMBER('Council Entry'!R$9)),MAX(MIN('Council Entry'!R116,'Council Entry'!R$9),'Council Entry'!R$8),'Council Entry'!R116)),IF(AND(ISNUMBER('Council Entry'!R$8),ISNUMBER('Council Entry'!R$9)),MAX(MIN('Council Entry'!R116,'Council Entry'!R$9),'Council Entry'!R$8),'Council Entry'!R116))))-'Council Entry'!R$5)/('Council Entry'!R$6-'Council Entry'!R$5)),1))),"No data"))</f>
        <v/>
      </c>
      <c r="S116" s="13">
        <f>IF('Council Entry'!S116="","",IFERROR(MAX(0,MIN(10,ROUND(IF('Council Entry'!S$7="Decrease Risk",10-10*((IF('Council Entry'!S$4="Logarithm",LN(0.001+IF(AND(ISNUMBER('Council Entry'!S$8),ISNUMBER('Council Entry'!S$9)),MAX(MIN('Council Entry'!S116,'Council Entry'!S$9),'Council Entry'!S$8),'Council Entry'!S116)),IF('Council Entry'!S$4="Exponential",EXP(IF(AND(ISNUMBER('Council Entry'!S$8),ISNUMBER('Council Entry'!S$9)),MAX(MIN('Council Entry'!S116,'Council Entry'!S$9),'Council Entry'!S$8),'Council Entry'!S116)),IF(AND(ISNUMBER('Council Entry'!S$8),ISNUMBER('Council Entry'!S$9)),MAX(MIN('Council Entry'!S116,'Council Entry'!S$9),'Council Entry'!S$8),'Council Entry'!S116))))-'Council Entry'!S$5)/('Council Entry'!S$6-'Council Entry'!S$5),10*((IF('Council Entry'!S$4="Logarithm",LN(0.001+IF(AND(ISNUMBER('Council Entry'!S$8),ISNUMBER('Council Entry'!S$9)),MAX(MIN('Council Entry'!S116,'Council Entry'!S$9),'Council Entry'!S$8),'Council Entry'!S116)),IF('Council Entry'!S$4="Exponential",EXP(IF(AND(ISNUMBER('Council Entry'!S$8),ISNUMBER('Council Entry'!S$9)),MAX(MIN('Council Entry'!S116,'Council Entry'!S$9),'Council Entry'!S$8),'Council Entry'!S116)),IF(AND(ISNUMBER('Council Entry'!S$8),ISNUMBER('Council Entry'!S$9)),MAX(MIN('Council Entry'!S116,'Council Entry'!S$9),'Council Entry'!S$8),'Council Entry'!S116))))-'Council Entry'!S$5)/('Council Entry'!S$6-'Council Entry'!S$5)),1))),"No data"))</f>
        <v/>
      </c>
      <c r="T116" s="13">
        <f>IF('Council Entry'!T116="","",IFERROR(MAX(0,MIN(10,ROUND(IF('Council Entry'!T$7="Decrease Risk",10-10*((IF('Council Entry'!T$4="Logarithm",LN(0.001+IF(AND(ISNUMBER('Council Entry'!T$8),ISNUMBER('Council Entry'!T$9)),MAX(MIN('Council Entry'!T116,'Council Entry'!T$9),'Council Entry'!T$8),'Council Entry'!T116)),IF('Council Entry'!T$4="Exponential",EXP(IF(AND(ISNUMBER('Council Entry'!T$8),ISNUMBER('Council Entry'!T$9)),MAX(MIN('Council Entry'!T116,'Council Entry'!T$9),'Council Entry'!T$8),'Council Entry'!T116)),IF(AND(ISNUMBER('Council Entry'!T$8),ISNUMBER('Council Entry'!T$9)),MAX(MIN('Council Entry'!T116,'Council Entry'!T$9),'Council Entry'!T$8),'Council Entry'!T116))))-'Council Entry'!T$5)/('Council Entry'!T$6-'Council Entry'!T$5),10*((IF('Council Entry'!T$4="Logarithm",LN(0.001+IF(AND(ISNUMBER('Council Entry'!T$8),ISNUMBER('Council Entry'!T$9)),MAX(MIN('Council Entry'!T116,'Council Entry'!T$9),'Council Entry'!T$8),'Council Entry'!T116)),IF('Council Entry'!T$4="Exponential",EXP(IF(AND(ISNUMBER('Council Entry'!T$8),ISNUMBER('Council Entry'!T$9)),MAX(MIN('Council Entry'!T116,'Council Entry'!T$9),'Council Entry'!T$8),'Council Entry'!T116)),IF(AND(ISNUMBER('Council Entry'!T$8),ISNUMBER('Council Entry'!T$9)),MAX(MIN('Council Entry'!T116,'Council Entry'!T$9),'Council Entry'!T$8),'Council Entry'!T116))))-'Council Entry'!T$5)/('Council Entry'!T$6-'Council Entry'!T$5)),1))),"No data"))</f>
        <v/>
      </c>
      <c r="U116" s="13">
        <f>IF('Council Entry'!U116="","",IFERROR(MAX(0,MIN(10,ROUND(IF('Council Entry'!U$7="Decrease Risk",10-10*((IF('Council Entry'!U$4="Logarithm",LN(0.001+IF(AND(ISNUMBER('Council Entry'!U$8),ISNUMBER('Council Entry'!U$9)),MAX(MIN('Council Entry'!U116,'Council Entry'!U$9),'Council Entry'!U$8),'Council Entry'!U116)),IF('Council Entry'!U$4="Exponential",EXP(IF(AND(ISNUMBER('Council Entry'!U$8),ISNUMBER('Council Entry'!U$9)),MAX(MIN('Council Entry'!U116,'Council Entry'!U$9),'Council Entry'!U$8),'Council Entry'!U116)),IF(AND(ISNUMBER('Council Entry'!U$8),ISNUMBER('Council Entry'!U$9)),MAX(MIN('Council Entry'!U116,'Council Entry'!U$9),'Council Entry'!U$8),'Council Entry'!U116))))-'Council Entry'!U$5)/('Council Entry'!U$6-'Council Entry'!U$5),10*((IF('Council Entry'!U$4="Logarithm",LN(0.001+IF(AND(ISNUMBER('Council Entry'!U$8),ISNUMBER('Council Entry'!U$9)),MAX(MIN('Council Entry'!U116,'Council Entry'!U$9),'Council Entry'!U$8),'Council Entry'!U116)),IF('Council Entry'!U$4="Exponential",EXP(IF(AND(ISNUMBER('Council Entry'!U$8),ISNUMBER('Council Entry'!U$9)),MAX(MIN('Council Entry'!U116,'Council Entry'!U$9),'Council Entry'!U$8),'Council Entry'!U116)),IF(AND(ISNUMBER('Council Entry'!U$8),ISNUMBER('Council Entry'!U$9)),MAX(MIN('Council Entry'!U116,'Council Entry'!U$9),'Council Entry'!U$8),'Council Entry'!U116))))-'Council Entry'!U$5)/('Council Entry'!U$6-'Council Entry'!U$5)),1))),"No data"))</f>
        <v/>
      </c>
      <c r="V116" s="13">
        <f>IF('Council Entry'!V116="","",IFERROR(MAX(0,MIN(10,ROUND(IF('Council Entry'!V$7="Decrease Risk",10-10*((IF('Council Entry'!V$4="Logarithm",LN(0.001+IF(AND(ISNUMBER('Council Entry'!V$8),ISNUMBER('Council Entry'!V$9)),MAX(MIN('Council Entry'!V116,'Council Entry'!V$9),'Council Entry'!V$8),'Council Entry'!V116)),IF('Council Entry'!V$4="Exponential",EXP(IF(AND(ISNUMBER('Council Entry'!V$8),ISNUMBER('Council Entry'!V$9)),MAX(MIN('Council Entry'!V116,'Council Entry'!V$9),'Council Entry'!V$8),'Council Entry'!V116)),IF(AND(ISNUMBER('Council Entry'!V$8),ISNUMBER('Council Entry'!V$9)),MAX(MIN('Council Entry'!V116,'Council Entry'!V$9),'Council Entry'!V$8),'Council Entry'!V116))))-'Council Entry'!V$5)/('Council Entry'!V$6-'Council Entry'!V$5),10*((IF('Council Entry'!V$4="Logarithm",LN(0.001+IF(AND(ISNUMBER('Council Entry'!V$8),ISNUMBER('Council Entry'!V$9)),MAX(MIN('Council Entry'!V116,'Council Entry'!V$9),'Council Entry'!V$8),'Council Entry'!V116)),IF('Council Entry'!V$4="Exponential",EXP(IF(AND(ISNUMBER('Council Entry'!V$8),ISNUMBER('Council Entry'!V$9)),MAX(MIN('Council Entry'!V116,'Council Entry'!V$9),'Council Entry'!V$8),'Council Entry'!V116)),IF(AND(ISNUMBER('Council Entry'!V$8),ISNUMBER('Council Entry'!V$9)),MAX(MIN('Council Entry'!V116,'Council Entry'!V$9),'Council Entry'!V$8),'Council Entry'!V116))))-'Council Entry'!V$5)/('Council Entry'!V$6-'Council Entry'!V$5)),1))),"No data"))</f>
        <v/>
      </c>
      <c r="W116" s="13">
        <f>IF('Council Entry'!W116="","",IFERROR(MAX(0,MIN(10,ROUND(IF('Council Entry'!W$7="Decrease Risk",10-10*((IF('Council Entry'!W$4="Logarithm",LN(0.001+IF(AND(ISNUMBER('Council Entry'!W$8),ISNUMBER('Council Entry'!W$9)),MAX(MIN('Council Entry'!W116,'Council Entry'!W$9),'Council Entry'!W$8),'Council Entry'!W116)),IF('Council Entry'!W$4="Exponential",EXP(IF(AND(ISNUMBER('Council Entry'!W$8),ISNUMBER('Council Entry'!W$9)),MAX(MIN('Council Entry'!W116,'Council Entry'!W$9),'Council Entry'!W$8),'Council Entry'!W116)),IF(AND(ISNUMBER('Council Entry'!W$8),ISNUMBER('Council Entry'!W$9)),MAX(MIN('Council Entry'!W116,'Council Entry'!W$9),'Council Entry'!W$8),'Council Entry'!W116))))-'Council Entry'!W$5)/('Council Entry'!W$6-'Council Entry'!W$5),10*((IF('Council Entry'!W$4="Logarithm",LN(0.001+IF(AND(ISNUMBER('Council Entry'!W$8),ISNUMBER('Council Entry'!W$9)),MAX(MIN('Council Entry'!W116,'Council Entry'!W$9),'Council Entry'!W$8),'Council Entry'!W116)),IF('Council Entry'!W$4="Exponential",EXP(IF(AND(ISNUMBER('Council Entry'!W$8),ISNUMBER('Council Entry'!W$9)),MAX(MIN('Council Entry'!W116,'Council Entry'!W$9),'Council Entry'!W$8),'Council Entry'!W116)),IF(AND(ISNUMBER('Council Entry'!W$8),ISNUMBER('Council Entry'!W$9)),MAX(MIN('Council Entry'!W116,'Council Entry'!W$9),'Council Entry'!W$8),'Council Entry'!W116))))-'Council Entry'!W$5)/('Council Entry'!W$6-'Council Entry'!W$5)),1))),"No data"))</f>
        <v/>
      </c>
      <c r="X116" s="13">
        <f>IF('Council Entry'!X116="","",IFERROR(MAX(0,MIN(10,ROUND(IF('Council Entry'!X$7="Decrease Risk",10-10*((IF('Council Entry'!X$4="Logarithm",LN(0.001+IF(AND(ISNUMBER('Council Entry'!X$8),ISNUMBER('Council Entry'!X$9)),MAX(MIN('Council Entry'!X116,'Council Entry'!X$9),'Council Entry'!X$8),'Council Entry'!X116)),IF('Council Entry'!X$4="Exponential",EXP(IF(AND(ISNUMBER('Council Entry'!X$8),ISNUMBER('Council Entry'!X$9)),MAX(MIN('Council Entry'!X116,'Council Entry'!X$9),'Council Entry'!X$8),'Council Entry'!X116)),IF(AND(ISNUMBER('Council Entry'!X$8),ISNUMBER('Council Entry'!X$9)),MAX(MIN('Council Entry'!X116,'Council Entry'!X$9),'Council Entry'!X$8),'Council Entry'!X116))))-'Council Entry'!X$5)/('Council Entry'!X$6-'Council Entry'!X$5),10*((IF('Council Entry'!X$4="Logarithm",LN(0.001+IF(AND(ISNUMBER('Council Entry'!X$8),ISNUMBER('Council Entry'!X$9)),MAX(MIN('Council Entry'!X116,'Council Entry'!X$9),'Council Entry'!X$8),'Council Entry'!X116)),IF('Council Entry'!X$4="Exponential",EXP(IF(AND(ISNUMBER('Council Entry'!X$8),ISNUMBER('Council Entry'!X$9)),MAX(MIN('Council Entry'!X116,'Council Entry'!X$9),'Council Entry'!X$8),'Council Entry'!X116)),IF(AND(ISNUMBER('Council Entry'!X$8),ISNUMBER('Council Entry'!X$9)),MAX(MIN('Council Entry'!X116,'Council Entry'!X$9),'Council Entry'!X$8),'Council Entry'!X116))))-'Council Entry'!X$5)/('Council Entry'!X$6-'Council Entry'!X$5)),1))),"No data"))</f>
        <v/>
      </c>
      <c r="Y116" s="13">
        <f>IF('Council Entry'!Y116="","",IFERROR(MAX(0,MIN(10,ROUND(IF('Council Entry'!Y$7="Decrease Risk",10-10*((IF('Council Entry'!Y$4="Logarithm",LN(0.001+IF(AND(ISNUMBER('Council Entry'!Y$8),ISNUMBER('Council Entry'!Y$9)),MAX(MIN('Council Entry'!Y116,'Council Entry'!Y$9),'Council Entry'!Y$8),'Council Entry'!Y116)),IF('Council Entry'!Y$4="Exponential",EXP(IF(AND(ISNUMBER('Council Entry'!Y$8),ISNUMBER('Council Entry'!Y$9)),MAX(MIN('Council Entry'!Y116,'Council Entry'!Y$9),'Council Entry'!Y$8),'Council Entry'!Y116)),IF(AND(ISNUMBER('Council Entry'!Y$8),ISNUMBER('Council Entry'!Y$9)),MAX(MIN('Council Entry'!Y116,'Council Entry'!Y$9),'Council Entry'!Y$8),'Council Entry'!Y116))))-'Council Entry'!Y$5)/('Council Entry'!Y$6-'Council Entry'!Y$5),10*((IF('Council Entry'!Y$4="Logarithm",LN(0.001+IF(AND(ISNUMBER('Council Entry'!Y$8),ISNUMBER('Council Entry'!Y$9)),MAX(MIN('Council Entry'!Y116,'Council Entry'!Y$9),'Council Entry'!Y$8),'Council Entry'!Y116)),IF('Council Entry'!Y$4="Exponential",EXP(IF(AND(ISNUMBER('Council Entry'!Y$8),ISNUMBER('Council Entry'!Y$9)),MAX(MIN('Council Entry'!Y116,'Council Entry'!Y$9),'Council Entry'!Y$8),'Council Entry'!Y116)),IF(AND(ISNUMBER('Council Entry'!Y$8),ISNUMBER('Council Entry'!Y$9)),MAX(MIN('Council Entry'!Y116,'Council Entry'!Y$9),'Council Entry'!Y$8),'Council Entry'!Y116))))-'Council Entry'!Y$5)/('Council Entry'!Y$6-'Council Entry'!Y$5)),1))),"No data"))</f>
        <v/>
      </c>
      <c r="Z116" s="13">
        <f>IF('Council Entry'!Z116="","",IFERROR(MAX(0,MIN(10,ROUND(IF('Council Entry'!Z$7="Decrease Risk",10-10*((IF('Council Entry'!Z$4="Logarithm",LN(0.001+IF(AND(ISNUMBER('Council Entry'!Z$8),ISNUMBER('Council Entry'!Z$9)),MAX(MIN('Council Entry'!Z116,'Council Entry'!Z$9),'Council Entry'!Z$8),'Council Entry'!Z116)),IF('Council Entry'!Z$4="Exponential",EXP(IF(AND(ISNUMBER('Council Entry'!Z$8),ISNUMBER('Council Entry'!Z$9)),MAX(MIN('Council Entry'!Z116,'Council Entry'!Z$9),'Council Entry'!Z$8),'Council Entry'!Z116)),IF(AND(ISNUMBER('Council Entry'!Z$8),ISNUMBER('Council Entry'!Z$9)),MAX(MIN('Council Entry'!Z116,'Council Entry'!Z$9),'Council Entry'!Z$8),'Council Entry'!Z116))))-'Council Entry'!Z$5)/('Council Entry'!Z$6-'Council Entry'!Z$5),10*((IF('Council Entry'!Z$4="Logarithm",LN(0.001+IF(AND(ISNUMBER('Council Entry'!Z$8),ISNUMBER('Council Entry'!Z$9)),MAX(MIN('Council Entry'!Z116,'Council Entry'!Z$9),'Council Entry'!Z$8),'Council Entry'!Z116)),IF('Council Entry'!Z$4="Exponential",EXP(IF(AND(ISNUMBER('Council Entry'!Z$8),ISNUMBER('Council Entry'!Z$9)),MAX(MIN('Council Entry'!Z116,'Council Entry'!Z$9),'Council Entry'!Z$8),'Council Entry'!Z116)),IF(AND(ISNUMBER('Council Entry'!Z$8),ISNUMBER('Council Entry'!Z$9)),MAX(MIN('Council Entry'!Z116,'Council Entry'!Z$9),'Council Entry'!Z$8),'Council Entry'!Z116))))-'Council Entry'!Z$5)/('Council Entry'!Z$6-'Council Entry'!Z$5)),1))),"No data"))</f>
        <v/>
      </c>
      <c r="AA116" s="13">
        <f>IF('Council Entry'!AA116="","",IFERROR(MAX(0,MIN(10,ROUND(IF('Council Entry'!AA$7="Decrease Risk",10-10*((IF('Council Entry'!AA$4="Logarithm",LN(0.001+IF(AND(ISNUMBER('Council Entry'!AA$8),ISNUMBER('Council Entry'!AA$9)),MAX(MIN('Council Entry'!AA116,'Council Entry'!AA$9),'Council Entry'!AA$8),'Council Entry'!AA116)),IF('Council Entry'!AA$4="Exponential",EXP(IF(AND(ISNUMBER('Council Entry'!AA$8),ISNUMBER('Council Entry'!AA$9)),MAX(MIN('Council Entry'!AA116,'Council Entry'!AA$9),'Council Entry'!AA$8),'Council Entry'!AA116)),IF(AND(ISNUMBER('Council Entry'!AA$8),ISNUMBER('Council Entry'!AA$9)),MAX(MIN('Council Entry'!AA116,'Council Entry'!AA$9),'Council Entry'!AA$8),'Council Entry'!AA116))))-'Council Entry'!AA$5)/('Council Entry'!AA$6-'Council Entry'!AA$5),10*((IF('Council Entry'!AA$4="Logarithm",LN(0.001+IF(AND(ISNUMBER('Council Entry'!AA$8),ISNUMBER('Council Entry'!AA$9)),MAX(MIN('Council Entry'!AA116,'Council Entry'!AA$9),'Council Entry'!AA$8),'Council Entry'!AA116)),IF('Council Entry'!AA$4="Exponential",EXP(IF(AND(ISNUMBER('Council Entry'!AA$8),ISNUMBER('Council Entry'!AA$9)),MAX(MIN('Council Entry'!AA116,'Council Entry'!AA$9),'Council Entry'!AA$8),'Council Entry'!AA116)),IF(AND(ISNUMBER('Council Entry'!AA$8),ISNUMBER('Council Entry'!AA$9)),MAX(MIN('Council Entry'!AA116,'Council Entry'!AA$9),'Council Entry'!AA$8),'Council Entry'!AA116))))-'Council Entry'!AA$5)/('Council Entry'!AA$6-'Council Entry'!AA$5)),1))),"No data"))</f>
        <v/>
      </c>
      <c r="AB116" s="13">
        <f>IF('Council Entry'!AB116="","",IFERROR(MAX(0,MIN(10,ROUND(IF('Council Entry'!AB$7="Decrease Risk",10-10*((IF('Council Entry'!AB$4="Logarithm",LN(0.001+IF(AND(ISNUMBER('Council Entry'!AB$8),ISNUMBER('Council Entry'!AB$9)),MAX(MIN('Council Entry'!AB116,'Council Entry'!AB$9),'Council Entry'!AB$8),'Council Entry'!AB116)),IF('Council Entry'!AB$4="Exponential",EXP(IF(AND(ISNUMBER('Council Entry'!AB$8),ISNUMBER('Council Entry'!AB$9)),MAX(MIN('Council Entry'!AB116,'Council Entry'!AB$9),'Council Entry'!AB$8),'Council Entry'!AB116)),IF(AND(ISNUMBER('Council Entry'!AB$8),ISNUMBER('Council Entry'!AB$9)),MAX(MIN('Council Entry'!AB116,'Council Entry'!AB$9),'Council Entry'!AB$8),'Council Entry'!AB116))))-'Council Entry'!AB$5)/('Council Entry'!AB$6-'Council Entry'!AB$5),10*((IF('Council Entry'!AB$4="Logarithm",LN(0.001+IF(AND(ISNUMBER('Council Entry'!AB$8),ISNUMBER('Council Entry'!AB$9)),MAX(MIN('Council Entry'!AB116,'Council Entry'!AB$9),'Council Entry'!AB$8),'Council Entry'!AB116)),IF('Council Entry'!AB$4="Exponential",EXP(IF(AND(ISNUMBER('Council Entry'!AB$8),ISNUMBER('Council Entry'!AB$9)),MAX(MIN('Council Entry'!AB116,'Council Entry'!AB$9),'Council Entry'!AB$8),'Council Entry'!AB116)),IF(AND(ISNUMBER('Council Entry'!AB$8),ISNUMBER('Council Entry'!AB$9)),MAX(MIN('Council Entry'!AB116,'Council Entry'!AB$9),'Council Entry'!AB$8),'Council Entry'!AB116))))-'Council Entry'!AB$5)/('Council Entry'!AB$6-'Council Entry'!AB$5)),1))),"No data"))</f>
        <v/>
      </c>
      <c r="AC116" s="13">
        <f>IF('Council Entry'!AC116="","",IFERROR(MAX(0,MIN(10,ROUND(IF('Council Entry'!AC$7="Decrease Risk",10-10*((IF('Council Entry'!AC$4="Logarithm",LN(0.001+IF(AND(ISNUMBER('Council Entry'!AC$8),ISNUMBER('Council Entry'!AC$9)),MAX(MIN('Council Entry'!AC116,'Council Entry'!AC$9),'Council Entry'!AC$8),'Council Entry'!AC116)),IF('Council Entry'!AC$4="Exponential",EXP(IF(AND(ISNUMBER('Council Entry'!AC$8),ISNUMBER('Council Entry'!AC$9)),MAX(MIN('Council Entry'!AC116,'Council Entry'!AC$9),'Council Entry'!AC$8),'Council Entry'!AC116)),IF(AND(ISNUMBER('Council Entry'!AC$8),ISNUMBER('Council Entry'!AC$9)),MAX(MIN('Council Entry'!AC116,'Council Entry'!AC$9),'Council Entry'!AC$8),'Council Entry'!AC116))))-'Council Entry'!AC$5)/('Council Entry'!AC$6-'Council Entry'!AC$5),10*((IF('Council Entry'!AC$4="Logarithm",LN(0.001+IF(AND(ISNUMBER('Council Entry'!AC$8),ISNUMBER('Council Entry'!AC$9)),MAX(MIN('Council Entry'!AC116,'Council Entry'!AC$9),'Council Entry'!AC$8),'Council Entry'!AC116)),IF('Council Entry'!AC$4="Exponential",EXP(IF(AND(ISNUMBER('Council Entry'!AC$8),ISNUMBER('Council Entry'!AC$9)),MAX(MIN('Council Entry'!AC116,'Council Entry'!AC$9),'Council Entry'!AC$8),'Council Entry'!AC116)),IF(AND(ISNUMBER('Council Entry'!AC$8),ISNUMBER('Council Entry'!AC$9)),MAX(MIN('Council Entry'!AC116,'Council Entry'!AC$9),'Council Entry'!AC$8),'Council Entry'!AC116))))-'Council Entry'!AC$5)/('Council Entry'!AC$6-'Council Entry'!AC$5)),1))),"No data"))</f>
        <v/>
      </c>
      <c r="AD116" s="13">
        <f>IF('Council Entry'!AD116="","",IFERROR(MAX(0,MIN(10,ROUND(IF('Council Entry'!AD$7="Decrease Risk",10-10*((IF('Council Entry'!AD$4="Logarithm",LN(0.001+IF(AND(ISNUMBER('Council Entry'!AD$8),ISNUMBER('Council Entry'!AD$9)),MAX(MIN('Council Entry'!AD116,'Council Entry'!AD$9),'Council Entry'!AD$8),'Council Entry'!AD116)),IF('Council Entry'!AD$4="Exponential",EXP(IF(AND(ISNUMBER('Council Entry'!AD$8),ISNUMBER('Council Entry'!AD$9)),MAX(MIN('Council Entry'!AD116,'Council Entry'!AD$9),'Council Entry'!AD$8),'Council Entry'!AD116)),IF(AND(ISNUMBER('Council Entry'!AD$8),ISNUMBER('Council Entry'!AD$9)),MAX(MIN('Council Entry'!AD116,'Council Entry'!AD$9),'Council Entry'!AD$8),'Council Entry'!AD116))))-'Council Entry'!AD$5)/('Council Entry'!AD$6-'Council Entry'!AD$5),10*((IF('Council Entry'!AD$4="Logarithm",LN(0.001+IF(AND(ISNUMBER('Council Entry'!AD$8),ISNUMBER('Council Entry'!AD$9)),MAX(MIN('Council Entry'!AD116,'Council Entry'!AD$9),'Council Entry'!AD$8),'Council Entry'!AD116)),IF('Council Entry'!AD$4="Exponential",EXP(IF(AND(ISNUMBER('Council Entry'!AD$8),ISNUMBER('Council Entry'!AD$9)),MAX(MIN('Council Entry'!AD116,'Council Entry'!AD$9),'Council Entry'!AD$8),'Council Entry'!AD116)),IF(AND(ISNUMBER('Council Entry'!AD$8),ISNUMBER('Council Entry'!AD$9)),MAX(MIN('Council Entry'!AD116,'Council Entry'!AD$9),'Council Entry'!AD$8),'Council Entry'!AD116))))-'Council Entry'!AD$5)/('Council Entry'!AD$6-'Council Entry'!AD$5)),1))),"No data"))</f>
        <v/>
      </c>
      <c r="AE116" s="13">
        <f>IF('Council Entry'!AE116="","",IFERROR(MAX(0,MIN(10,ROUND(IF('Council Entry'!AE$7="Decrease Risk",10-10*((IF('Council Entry'!AE$4="Logarithm",LN(0.001+IF(AND(ISNUMBER('Council Entry'!AE$8),ISNUMBER('Council Entry'!AE$9)),MAX(MIN('Council Entry'!AE116,'Council Entry'!AE$9),'Council Entry'!AE$8),'Council Entry'!AE116)),IF('Council Entry'!AE$4="Exponential",EXP(IF(AND(ISNUMBER('Council Entry'!AE$8),ISNUMBER('Council Entry'!AE$9)),MAX(MIN('Council Entry'!AE116,'Council Entry'!AE$9),'Council Entry'!AE$8),'Council Entry'!AE116)),IF(AND(ISNUMBER('Council Entry'!AE$8),ISNUMBER('Council Entry'!AE$9)),MAX(MIN('Council Entry'!AE116,'Council Entry'!AE$9),'Council Entry'!AE$8),'Council Entry'!AE116))))-'Council Entry'!AE$5)/('Council Entry'!AE$6-'Council Entry'!AE$5),10*((IF('Council Entry'!AE$4="Logarithm",LN(0.001+IF(AND(ISNUMBER('Council Entry'!AE$8),ISNUMBER('Council Entry'!AE$9)),MAX(MIN('Council Entry'!AE116,'Council Entry'!AE$9),'Council Entry'!AE$8),'Council Entry'!AE116)),IF('Council Entry'!AE$4="Exponential",EXP(IF(AND(ISNUMBER('Council Entry'!AE$8),ISNUMBER('Council Entry'!AE$9)),MAX(MIN('Council Entry'!AE116,'Council Entry'!AE$9),'Council Entry'!AE$8),'Council Entry'!AE116)),IF(AND(ISNUMBER('Council Entry'!AE$8),ISNUMBER('Council Entry'!AE$9)),MAX(MIN('Council Entry'!AE116,'Council Entry'!AE$9),'Council Entry'!AE$8),'Council Entry'!AE116))))-'Council Entry'!AE$5)/('Council Entry'!AE$6-'Council Entry'!AE$5)),1))),"No data"))</f>
        <v/>
      </c>
      <c r="AF116" s="13">
        <f>IF('Council Entry'!AF116="","",IFERROR(MAX(0,MIN(10,ROUND(IF('Council Entry'!AF$7="Decrease Risk",10-10*((IF('Council Entry'!AF$4="Logarithm",LN(0.001+IF(AND(ISNUMBER('Council Entry'!AF$8),ISNUMBER('Council Entry'!AF$9)),MAX(MIN('Council Entry'!AF116,'Council Entry'!AF$9),'Council Entry'!AF$8),'Council Entry'!AF116)),IF('Council Entry'!AF$4="Exponential",EXP(IF(AND(ISNUMBER('Council Entry'!AF$8),ISNUMBER('Council Entry'!AF$9)),MAX(MIN('Council Entry'!AF116,'Council Entry'!AF$9),'Council Entry'!AF$8),'Council Entry'!AF116)),IF(AND(ISNUMBER('Council Entry'!AF$8),ISNUMBER('Council Entry'!AF$9)),MAX(MIN('Council Entry'!AF116,'Council Entry'!AF$9),'Council Entry'!AF$8),'Council Entry'!AF116))))-'Council Entry'!AF$5)/('Council Entry'!AF$6-'Council Entry'!AF$5),10*((IF('Council Entry'!AF$4="Logarithm",LN(0.001+IF(AND(ISNUMBER('Council Entry'!AF$8),ISNUMBER('Council Entry'!AF$9)),MAX(MIN('Council Entry'!AF116,'Council Entry'!AF$9),'Council Entry'!AF$8),'Council Entry'!AF116)),IF('Council Entry'!AF$4="Exponential",EXP(IF(AND(ISNUMBER('Council Entry'!AF$8),ISNUMBER('Council Entry'!AF$9)),MAX(MIN('Council Entry'!AF116,'Council Entry'!AF$9),'Council Entry'!AF$8),'Council Entry'!AF116)),IF(AND(ISNUMBER('Council Entry'!AF$8),ISNUMBER('Council Entry'!AF$9)),MAX(MIN('Council Entry'!AF116,'Council Entry'!AF$9),'Council Entry'!AF$8),'Council Entry'!AF116))))-'Council Entry'!AF$5)/('Council Entry'!AF$6-'Council Entry'!AF$5)),1))),"No data"))</f>
        <v/>
      </c>
      <c r="AG116" s="13">
        <f>IF('Council Entry'!AG116="","",IFERROR(MAX(0,MIN(10,ROUND(IF('Council Entry'!AG$7="Decrease Risk",10-10*((IF('Council Entry'!AG$4="Logarithm",LN(0.001+IF(AND(ISNUMBER('Council Entry'!AG$8),ISNUMBER('Council Entry'!AG$9)),MAX(MIN('Council Entry'!AG116,'Council Entry'!AG$9),'Council Entry'!AG$8),'Council Entry'!AG116)),IF('Council Entry'!AG$4="Exponential",EXP(IF(AND(ISNUMBER('Council Entry'!AG$8),ISNUMBER('Council Entry'!AG$9)),MAX(MIN('Council Entry'!AG116,'Council Entry'!AG$9),'Council Entry'!AG$8),'Council Entry'!AG116)),IF(AND(ISNUMBER('Council Entry'!AG$8),ISNUMBER('Council Entry'!AG$9)),MAX(MIN('Council Entry'!AG116,'Council Entry'!AG$9),'Council Entry'!AG$8),'Council Entry'!AG116))))-'Council Entry'!AG$5)/('Council Entry'!AG$6-'Council Entry'!AG$5),10*((IF('Council Entry'!AG$4="Logarithm",LN(0.001+IF(AND(ISNUMBER('Council Entry'!AG$8),ISNUMBER('Council Entry'!AG$9)),MAX(MIN('Council Entry'!AG116,'Council Entry'!AG$9),'Council Entry'!AG$8),'Council Entry'!AG116)),IF('Council Entry'!AG$4="Exponential",EXP(IF(AND(ISNUMBER('Council Entry'!AG$8),ISNUMBER('Council Entry'!AG$9)),MAX(MIN('Council Entry'!AG116,'Council Entry'!AG$9),'Council Entry'!AG$8),'Council Entry'!AG116)),IF(AND(ISNUMBER('Council Entry'!AG$8),ISNUMBER('Council Entry'!AG$9)),MAX(MIN('Council Entry'!AG116,'Council Entry'!AG$9),'Council Entry'!AG$8),'Council Entry'!AG116))))-'Council Entry'!AG$5)/('Council Entry'!AG$6-'Council Entry'!AG$5)),1))),"No data"))</f>
        <v/>
      </c>
      <c r="AH116" s="13">
        <f>IF('Council Entry'!AH116="","",IFERROR(MAX(0,MIN(10,ROUND(IF('Council Entry'!AH$7="Decrease Risk",10-10*((IF('Council Entry'!AH$4="Logarithm",LN(0.001+IF(AND(ISNUMBER('Council Entry'!AH$8),ISNUMBER('Council Entry'!AH$9)),MAX(MIN('Council Entry'!AH116,'Council Entry'!AH$9),'Council Entry'!AH$8),'Council Entry'!AH116)),IF('Council Entry'!AH$4="Exponential",EXP(IF(AND(ISNUMBER('Council Entry'!AH$8),ISNUMBER('Council Entry'!AH$9)),MAX(MIN('Council Entry'!AH116,'Council Entry'!AH$9),'Council Entry'!AH$8),'Council Entry'!AH116)),IF(AND(ISNUMBER('Council Entry'!AH$8),ISNUMBER('Council Entry'!AH$9)),MAX(MIN('Council Entry'!AH116,'Council Entry'!AH$9),'Council Entry'!AH$8),'Council Entry'!AH116))))-'Council Entry'!AH$5)/('Council Entry'!AH$6-'Council Entry'!AH$5),10*((IF('Council Entry'!AH$4="Logarithm",LN(0.001+IF(AND(ISNUMBER('Council Entry'!AH$8),ISNUMBER('Council Entry'!AH$9)),MAX(MIN('Council Entry'!AH116,'Council Entry'!AH$9),'Council Entry'!AH$8),'Council Entry'!AH116)),IF('Council Entry'!AH$4="Exponential",EXP(IF(AND(ISNUMBER('Council Entry'!AH$8),ISNUMBER('Council Entry'!AH$9)),MAX(MIN('Council Entry'!AH116,'Council Entry'!AH$9),'Council Entry'!AH$8),'Council Entry'!AH116)),IF(AND(ISNUMBER('Council Entry'!AH$8),ISNUMBER('Council Entry'!AH$9)),MAX(MIN('Council Entry'!AH116,'Council Entry'!AH$9),'Council Entry'!AH$8),'Council Entry'!AH116))))-'Council Entry'!AH$5)/('Council Entry'!AH$6-'Council Entry'!AH$5)),1))),"No data"))</f>
        <v/>
      </c>
      <c r="AI116" s="13">
        <f>IF('Council Entry'!AI116="","",IFERROR(MAX(0,MIN(10,ROUND(IF('Council Entry'!AI$7="Decrease Risk",10-10*((IF('Council Entry'!AI$4="Logarithm",LN(0.001+IF(AND(ISNUMBER('Council Entry'!AI$8),ISNUMBER('Council Entry'!AI$9)),MAX(MIN('Council Entry'!AI116,'Council Entry'!AI$9),'Council Entry'!AI$8),'Council Entry'!AI116)),IF('Council Entry'!AI$4="Exponential",EXP(IF(AND(ISNUMBER('Council Entry'!AI$8),ISNUMBER('Council Entry'!AI$9)),MAX(MIN('Council Entry'!AI116,'Council Entry'!AI$9),'Council Entry'!AI$8),'Council Entry'!AI116)),IF(AND(ISNUMBER('Council Entry'!AI$8),ISNUMBER('Council Entry'!AI$9)),MAX(MIN('Council Entry'!AI116,'Council Entry'!AI$9),'Council Entry'!AI$8),'Council Entry'!AI116))))-'Council Entry'!AI$5)/('Council Entry'!AI$6-'Council Entry'!AI$5),10*((IF('Council Entry'!AI$4="Logarithm",LN(0.001+IF(AND(ISNUMBER('Council Entry'!AI$8),ISNUMBER('Council Entry'!AI$9)),MAX(MIN('Council Entry'!AI116,'Council Entry'!AI$9),'Council Entry'!AI$8),'Council Entry'!AI116)),IF('Council Entry'!AI$4="Exponential",EXP(IF(AND(ISNUMBER('Council Entry'!AI$8),ISNUMBER('Council Entry'!AI$9)),MAX(MIN('Council Entry'!AI116,'Council Entry'!AI$9),'Council Entry'!AI$8),'Council Entry'!AI116)),IF(AND(ISNUMBER('Council Entry'!AI$8),ISNUMBER('Council Entry'!AI$9)),MAX(MIN('Council Entry'!AI116,'Council Entry'!AI$9),'Council Entry'!AI$8),'Council Entry'!AI116))))-'Council Entry'!AI$5)/('Council Entry'!AI$6-'Council Entry'!AI$5)),1))),"No data"))</f>
        <v/>
      </c>
      <c r="AJ116" s="13">
        <f>IF('Council Entry'!AJ116="","",IFERROR(MAX(0,MIN(10,ROUND(IF('Council Entry'!AJ$7="Decrease Risk",10-10*((IF('Council Entry'!AJ$4="Logarithm",LN(0.001+IF(AND(ISNUMBER('Council Entry'!AJ$8),ISNUMBER('Council Entry'!AJ$9)),MAX(MIN('Council Entry'!AJ116,'Council Entry'!AJ$9),'Council Entry'!AJ$8),'Council Entry'!AJ116)),IF('Council Entry'!AJ$4="Exponential",EXP(IF(AND(ISNUMBER('Council Entry'!AJ$8),ISNUMBER('Council Entry'!AJ$9)),MAX(MIN('Council Entry'!AJ116,'Council Entry'!AJ$9),'Council Entry'!AJ$8),'Council Entry'!AJ116)),IF(AND(ISNUMBER('Council Entry'!AJ$8),ISNUMBER('Council Entry'!AJ$9)),MAX(MIN('Council Entry'!AJ116,'Council Entry'!AJ$9),'Council Entry'!AJ$8),'Council Entry'!AJ116))))-'Council Entry'!AJ$5)/('Council Entry'!AJ$6-'Council Entry'!AJ$5),10*((IF('Council Entry'!AJ$4="Logarithm",LN(0.001+IF(AND(ISNUMBER('Council Entry'!AJ$8),ISNUMBER('Council Entry'!AJ$9)),MAX(MIN('Council Entry'!AJ116,'Council Entry'!AJ$9),'Council Entry'!AJ$8),'Council Entry'!AJ116)),IF('Council Entry'!AJ$4="Exponential",EXP(IF(AND(ISNUMBER('Council Entry'!AJ$8),ISNUMBER('Council Entry'!AJ$9)),MAX(MIN('Council Entry'!AJ116,'Council Entry'!AJ$9),'Council Entry'!AJ$8),'Council Entry'!AJ116)),IF(AND(ISNUMBER('Council Entry'!AJ$8),ISNUMBER('Council Entry'!AJ$9)),MAX(MIN('Council Entry'!AJ116,'Council Entry'!AJ$9),'Council Entry'!AJ$8),'Council Entry'!AJ116))))-'Council Entry'!AJ$5)/('Council Entry'!AJ$6-'Council Entry'!AJ$5)),1))),"No data"))</f>
        <v/>
      </c>
      <c r="AK116" s="13">
        <f>IF('Council Entry'!AK116="","",IFERROR(MAX(0,MIN(10,ROUND(IF('Council Entry'!AK$7="Decrease Risk",10-10*((IF('Council Entry'!AK$4="Logarithm",LN(0.001+IF(AND(ISNUMBER('Council Entry'!AK$8),ISNUMBER('Council Entry'!AK$9)),MAX(MIN('Council Entry'!AK116,'Council Entry'!AK$9),'Council Entry'!AK$8),'Council Entry'!AK116)),IF('Council Entry'!AK$4="Exponential",EXP(IF(AND(ISNUMBER('Council Entry'!AK$8),ISNUMBER('Council Entry'!AK$9)),MAX(MIN('Council Entry'!AK116,'Council Entry'!AK$9),'Council Entry'!AK$8),'Council Entry'!AK116)),IF(AND(ISNUMBER('Council Entry'!AK$8),ISNUMBER('Council Entry'!AK$9)),MAX(MIN('Council Entry'!AK116,'Council Entry'!AK$9),'Council Entry'!AK$8),'Council Entry'!AK116))))-'Council Entry'!AK$5)/('Council Entry'!AK$6-'Council Entry'!AK$5),10*((IF('Council Entry'!AK$4="Logarithm",LN(0.001+IF(AND(ISNUMBER('Council Entry'!AK$8),ISNUMBER('Council Entry'!AK$9)),MAX(MIN('Council Entry'!AK116,'Council Entry'!AK$9),'Council Entry'!AK$8),'Council Entry'!AK116)),IF('Council Entry'!AK$4="Exponential",EXP(IF(AND(ISNUMBER('Council Entry'!AK$8),ISNUMBER('Council Entry'!AK$9)),MAX(MIN('Council Entry'!AK116,'Council Entry'!AK$9),'Council Entry'!AK$8),'Council Entry'!AK116)),IF(AND(ISNUMBER('Council Entry'!AK$8),ISNUMBER('Council Entry'!AK$9)),MAX(MIN('Council Entry'!AK116,'Council Entry'!AK$9),'Council Entry'!AK$8),'Council Entry'!AK116))))-'Council Entry'!AK$5)/('Council Entry'!AK$6-'Council Entry'!AK$5)),1))),"No data"))</f>
        <v/>
      </c>
      <c r="AL116" s="13">
        <f>IF('Council Entry'!AL116="","",IFERROR(MAX(0,MIN(10,ROUND(IF('Council Entry'!AL$7="Decrease Risk",10-10*((IF('Council Entry'!AL$4="Logarithm",LN(0.001+IF(AND(ISNUMBER('Council Entry'!AL$8),ISNUMBER('Council Entry'!AL$9)),MAX(MIN('Council Entry'!AL116,'Council Entry'!AL$9),'Council Entry'!AL$8),'Council Entry'!AL116)),IF('Council Entry'!AL$4="Exponential",EXP(IF(AND(ISNUMBER('Council Entry'!AL$8),ISNUMBER('Council Entry'!AL$9)),MAX(MIN('Council Entry'!AL116,'Council Entry'!AL$9),'Council Entry'!AL$8),'Council Entry'!AL116)),IF(AND(ISNUMBER('Council Entry'!AL$8),ISNUMBER('Council Entry'!AL$9)),MAX(MIN('Council Entry'!AL116,'Council Entry'!AL$9),'Council Entry'!AL$8),'Council Entry'!AL116))))-'Council Entry'!AL$5)/('Council Entry'!AL$6-'Council Entry'!AL$5),10*((IF('Council Entry'!AL$4="Logarithm",LN(0.001+IF(AND(ISNUMBER('Council Entry'!AL$8),ISNUMBER('Council Entry'!AL$9)),MAX(MIN('Council Entry'!AL116,'Council Entry'!AL$9),'Council Entry'!AL$8),'Council Entry'!AL116)),IF('Council Entry'!AL$4="Exponential",EXP(IF(AND(ISNUMBER('Council Entry'!AL$8),ISNUMBER('Council Entry'!AL$9)),MAX(MIN('Council Entry'!AL116,'Council Entry'!AL$9),'Council Entry'!AL$8),'Council Entry'!AL116)),IF(AND(ISNUMBER('Council Entry'!AL$8),ISNUMBER('Council Entry'!AL$9)),MAX(MIN('Council Entry'!AL116,'Council Entry'!AL$9),'Council Entry'!AL$8),'Council Entry'!AL116))))-'Council Entry'!AL$5)/('Council Entry'!AL$6-'Council Entry'!AL$5)),1))),"No data"))</f>
        <v/>
      </c>
      <c r="AM116" s="13">
        <f>IF('Council Entry'!AM116="","",IFERROR(MAX(0,MIN(10,ROUND(IF('Council Entry'!AM$7="Decrease Risk",10-10*((IF('Council Entry'!AM$4="Logarithm",LN(0.001+IF(AND(ISNUMBER('Council Entry'!AM$8),ISNUMBER('Council Entry'!AM$9)),MAX(MIN('Council Entry'!AM116,'Council Entry'!AM$9),'Council Entry'!AM$8),'Council Entry'!AM116)),IF('Council Entry'!AM$4="Exponential",EXP(IF(AND(ISNUMBER('Council Entry'!AM$8),ISNUMBER('Council Entry'!AM$9)),MAX(MIN('Council Entry'!AM116,'Council Entry'!AM$9),'Council Entry'!AM$8),'Council Entry'!AM116)),IF(AND(ISNUMBER('Council Entry'!AM$8),ISNUMBER('Council Entry'!AM$9)),MAX(MIN('Council Entry'!AM116,'Council Entry'!AM$9),'Council Entry'!AM$8),'Council Entry'!AM116))))-'Council Entry'!AM$5)/('Council Entry'!AM$6-'Council Entry'!AM$5),10*((IF('Council Entry'!AM$4="Logarithm",LN(0.001+IF(AND(ISNUMBER('Council Entry'!AM$8),ISNUMBER('Council Entry'!AM$9)),MAX(MIN('Council Entry'!AM116,'Council Entry'!AM$9),'Council Entry'!AM$8),'Council Entry'!AM116)),IF('Council Entry'!AM$4="Exponential",EXP(IF(AND(ISNUMBER('Council Entry'!AM$8),ISNUMBER('Council Entry'!AM$9)),MAX(MIN('Council Entry'!AM116,'Council Entry'!AM$9),'Council Entry'!AM$8),'Council Entry'!AM116)),IF(AND(ISNUMBER('Council Entry'!AM$8),ISNUMBER('Council Entry'!AM$9)),MAX(MIN('Council Entry'!AM116,'Council Entry'!AM$9),'Council Entry'!AM$8),'Council Entry'!AM116))))-'Council Entry'!AM$5)/('Council Entry'!AM$6-'Council Entry'!AM$5)),1))),"No data"))</f>
        <v/>
      </c>
      <c r="AN116" s="13">
        <f>IF('Council Entry'!AN116="","",IFERROR(MAX(0,MIN(10,ROUND(IF('Council Entry'!AN$7="Decrease Risk",10-10*((IF('Council Entry'!AN$4="Logarithm",LN(0.001+IF(AND(ISNUMBER('Council Entry'!AN$8),ISNUMBER('Council Entry'!AN$9)),MAX(MIN('Council Entry'!AN116,'Council Entry'!AN$9),'Council Entry'!AN$8),'Council Entry'!AN116)),IF('Council Entry'!AN$4="Exponential",EXP(IF(AND(ISNUMBER('Council Entry'!AN$8),ISNUMBER('Council Entry'!AN$9)),MAX(MIN('Council Entry'!AN116,'Council Entry'!AN$9),'Council Entry'!AN$8),'Council Entry'!AN116)),IF(AND(ISNUMBER('Council Entry'!AN$8),ISNUMBER('Council Entry'!AN$9)),MAX(MIN('Council Entry'!AN116,'Council Entry'!AN$9),'Council Entry'!AN$8),'Council Entry'!AN116))))-'Council Entry'!AN$5)/('Council Entry'!AN$6-'Council Entry'!AN$5),10*((IF('Council Entry'!AN$4="Logarithm",LN(0.001+IF(AND(ISNUMBER('Council Entry'!AN$8),ISNUMBER('Council Entry'!AN$9)),MAX(MIN('Council Entry'!AN116,'Council Entry'!AN$9),'Council Entry'!AN$8),'Council Entry'!AN116)),IF('Council Entry'!AN$4="Exponential",EXP(IF(AND(ISNUMBER('Council Entry'!AN$8),ISNUMBER('Council Entry'!AN$9)),MAX(MIN('Council Entry'!AN116,'Council Entry'!AN$9),'Council Entry'!AN$8),'Council Entry'!AN116)),IF(AND(ISNUMBER('Council Entry'!AN$8),ISNUMBER('Council Entry'!AN$9)),MAX(MIN('Council Entry'!AN116,'Council Entry'!AN$9),'Council Entry'!AN$8),'Council Entry'!AN116))))-'Council Entry'!AN$5)/('Council Entry'!AN$6-'Council Entry'!AN$5)),1))),"No data"))</f>
        <v/>
      </c>
      <c r="AO116" s="13">
        <f>IF('Council Entry'!AO116="","",IFERROR(MAX(0,MIN(10,ROUND(IF('Council Entry'!AO$7="Decrease Risk",10-10*((IF('Council Entry'!AO$4="Logarithm",LN(0.001+IF(AND(ISNUMBER('Council Entry'!AO$8),ISNUMBER('Council Entry'!AO$9)),MAX(MIN('Council Entry'!AO116,'Council Entry'!AO$9),'Council Entry'!AO$8),'Council Entry'!AO116)),IF('Council Entry'!AO$4="Exponential",EXP(IF(AND(ISNUMBER('Council Entry'!AO$8),ISNUMBER('Council Entry'!AO$9)),MAX(MIN('Council Entry'!AO116,'Council Entry'!AO$9),'Council Entry'!AO$8),'Council Entry'!AO116)),IF(AND(ISNUMBER('Council Entry'!AO$8),ISNUMBER('Council Entry'!AO$9)),MAX(MIN('Council Entry'!AO116,'Council Entry'!AO$9),'Council Entry'!AO$8),'Council Entry'!AO116))))-'Council Entry'!AO$5)/('Council Entry'!AO$6-'Council Entry'!AO$5),10*((IF('Council Entry'!AO$4="Logarithm",LN(0.001+IF(AND(ISNUMBER('Council Entry'!AO$8),ISNUMBER('Council Entry'!AO$9)),MAX(MIN('Council Entry'!AO116,'Council Entry'!AO$9),'Council Entry'!AO$8),'Council Entry'!AO116)),IF('Council Entry'!AO$4="Exponential",EXP(IF(AND(ISNUMBER('Council Entry'!AO$8),ISNUMBER('Council Entry'!AO$9)),MAX(MIN('Council Entry'!AO116,'Council Entry'!AO$9),'Council Entry'!AO$8),'Council Entry'!AO116)),IF(AND(ISNUMBER('Council Entry'!AO$8),ISNUMBER('Council Entry'!AO$9)),MAX(MIN('Council Entry'!AO116,'Council Entry'!AO$9),'Council Entry'!AO$8),'Council Entry'!AO116))))-'Council Entry'!AO$5)/('Council Entry'!AO$6-'Council Entry'!AO$5)),1))),"No data"))</f>
        <v/>
      </c>
      <c r="AP116" s="13">
        <f>IF('Council Entry'!AP116="","",IFERROR(MAX(0,MIN(10,ROUND(IF('Council Entry'!AP$7="Decrease Risk",10-10*((IF('Council Entry'!AP$4="Logarithm",LN(0.001+IF(AND(ISNUMBER('Council Entry'!AP$8),ISNUMBER('Council Entry'!AP$9)),MAX(MIN('Council Entry'!AP116,'Council Entry'!AP$9),'Council Entry'!AP$8),'Council Entry'!AP116)),IF('Council Entry'!AP$4="Exponential",EXP(IF(AND(ISNUMBER('Council Entry'!AP$8),ISNUMBER('Council Entry'!AP$9)),MAX(MIN('Council Entry'!AP116,'Council Entry'!AP$9),'Council Entry'!AP$8),'Council Entry'!AP116)),IF(AND(ISNUMBER('Council Entry'!AP$8),ISNUMBER('Council Entry'!AP$9)),MAX(MIN('Council Entry'!AP116,'Council Entry'!AP$9),'Council Entry'!AP$8),'Council Entry'!AP116))))-'Council Entry'!AP$5)/('Council Entry'!AP$6-'Council Entry'!AP$5),10*((IF('Council Entry'!AP$4="Logarithm",LN(0.001+IF(AND(ISNUMBER('Council Entry'!AP$8),ISNUMBER('Council Entry'!AP$9)),MAX(MIN('Council Entry'!AP116,'Council Entry'!AP$9),'Council Entry'!AP$8),'Council Entry'!AP116)),IF('Council Entry'!AP$4="Exponential",EXP(IF(AND(ISNUMBER('Council Entry'!AP$8),ISNUMBER('Council Entry'!AP$9)),MAX(MIN('Council Entry'!AP116,'Council Entry'!AP$9),'Council Entry'!AP$8),'Council Entry'!AP116)),IF(AND(ISNUMBER('Council Entry'!AP$8),ISNUMBER('Council Entry'!AP$9)),MAX(MIN('Council Entry'!AP116,'Council Entry'!AP$9),'Council Entry'!AP$8),'Council Entry'!AP116))))-'Council Entry'!AP$5)/('Council Entry'!AP$6-'Council Entry'!AP$5)),1))),"No data"))</f>
        <v/>
      </c>
      <c r="AQ116" s="13">
        <f>IF('Council Entry'!AQ116="","",IFERROR(MAX(0,MIN(10,ROUND(IF('Council Entry'!AQ$7="Decrease Risk",10-10*((IF('Council Entry'!AQ$4="Logarithm",LN(0.001+IF(AND(ISNUMBER('Council Entry'!AQ$8),ISNUMBER('Council Entry'!AQ$9)),MAX(MIN('Council Entry'!AQ116,'Council Entry'!AQ$9),'Council Entry'!AQ$8),'Council Entry'!AQ116)),IF('Council Entry'!AQ$4="Exponential",EXP(IF(AND(ISNUMBER('Council Entry'!AQ$8),ISNUMBER('Council Entry'!AQ$9)),MAX(MIN('Council Entry'!AQ116,'Council Entry'!AQ$9),'Council Entry'!AQ$8),'Council Entry'!AQ116)),IF(AND(ISNUMBER('Council Entry'!AQ$8),ISNUMBER('Council Entry'!AQ$9)),MAX(MIN('Council Entry'!AQ116,'Council Entry'!AQ$9),'Council Entry'!AQ$8),'Council Entry'!AQ116))))-'Council Entry'!AQ$5)/('Council Entry'!AQ$6-'Council Entry'!AQ$5),10*((IF('Council Entry'!AQ$4="Logarithm",LN(0.001+IF(AND(ISNUMBER('Council Entry'!AQ$8),ISNUMBER('Council Entry'!AQ$9)),MAX(MIN('Council Entry'!AQ116,'Council Entry'!AQ$9),'Council Entry'!AQ$8),'Council Entry'!AQ116)),IF('Council Entry'!AQ$4="Exponential",EXP(IF(AND(ISNUMBER('Council Entry'!AQ$8),ISNUMBER('Council Entry'!AQ$9)),MAX(MIN('Council Entry'!AQ116,'Council Entry'!AQ$9),'Council Entry'!AQ$8),'Council Entry'!AQ116)),IF(AND(ISNUMBER('Council Entry'!AQ$8),ISNUMBER('Council Entry'!AQ$9)),MAX(MIN('Council Entry'!AQ116,'Council Entry'!AQ$9),'Council Entry'!AQ$8),'Council Entry'!AQ116))))-'Council Entry'!AQ$5)/('Council Entry'!AQ$6-'Council Entry'!AQ$5)),1))),"No data"))</f>
        <v/>
      </c>
      <c r="AR116" s="13">
        <f>IF('Council Entry'!AR116="","",IFERROR(MAX(0,MIN(10,ROUND(IF('Council Entry'!AR$7="Decrease Risk",10-10*((IF('Council Entry'!AR$4="Logarithm",LN(0.001+IF(AND(ISNUMBER('Council Entry'!AR$8),ISNUMBER('Council Entry'!AR$9)),MAX(MIN('Council Entry'!AR116,'Council Entry'!AR$9),'Council Entry'!AR$8),'Council Entry'!AR116)),IF('Council Entry'!AR$4="Exponential",EXP(IF(AND(ISNUMBER('Council Entry'!AR$8),ISNUMBER('Council Entry'!AR$9)),MAX(MIN('Council Entry'!AR116,'Council Entry'!AR$9),'Council Entry'!AR$8),'Council Entry'!AR116)),IF(AND(ISNUMBER('Council Entry'!AR$8),ISNUMBER('Council Entry'!AR$9)),MAX(MIN('Council Entry'!AR116,'Council Entry'!AR$9),'Council Entry'!AR$8),'Council Entry'!AR116))))-'Council Entry'!AR$5)/('Council Entry'!AR$6-'Council Entry'!AR$5),10*((IF('Council Entry'!AR$4="Logarithm",LN(0.001+IF(AND(ISNUMBER('Council Entry'!AR$8),ISNUMBER('Council Entry'!AR$9)),MAX(MIN('Council Entry'!AR116,'Council Entry'!AR$9),'Council Entry'!AR$8),'Council Entry'!AR116)),IF('Council Entry'!AR$4="Exponential",EXP(IF(AND(ISNUMBER('Council Entry'!AR$8),ISNUMBER('Council Entry'!AR$9)),MAX(MIN('Council Entry'!AR116,'Council Entry'!AR$9),'Council Entry'!AR$8),'Council Entry'!AR116)),IF(AND(ISNUMBER('Council Entry'!AR$8),ISNUMBER('Council Entry'!AR$9)),MAX(MIN('Council Entry'!AR116,'Council Entry'!AR$9),'Council Entry'!AR$8),'Council Entry'!AR116))))-'Council Entry'!AR$5)/('Council Entry'!AR$6-'Council Entry'!AR$5)),1))),"No data"))</f>
        <v/>
      </c>
      <c r="AS116" s="13">
        <f>IF('Council Entry'!AS116="","",IFERROR(MAX(0,MIN(10,ROUND(IF('Council Entry'!AS$7="Decrease Risk",10-10*((IF('Council Entry'!AS$4="Logarithm",LN(0.001+IF(AND(ISNUMBER('Council Entry'!AS$8),ISNUMBER('Council Entry'!AS$9)),MAX(MIN('Council Entry'!AS116,'Council Entry'!AS$9),'Council Entry'!AS$8),'Council Entry'!AS116)),IF('Council Entry'!AS$4="Exponential",EXP(IF(AND(ISNUMBER('Council Entry'!AS$8),ISNUMBER('Council Entry'!AS$9)),MAX(MIN('Council Entry'!AS116,'Council Entry'!AS$9),'Council Entry'!AS$8),'Council Entry'!AS116)),IF(AND(ISNUMBER('Council Entry'!AS$8),ISNUMBER('Council Entry'!AS$9)),MAX(MIN('Council Entry'!AS116,'Council Entry'!AS$9),'Council Entry'!AS$8),'Council Entry'!AS116))))-'Council Entry'!AS$5)/('Council Entry'!AS$6-'Council Entry'!AS$5),10*((IF('Council Entry'!AS$4="Logarithm",LN(0.001+IF(AND(ISNUMBER('Council Entry'!AS$8),ISNUMBER('Council Entry'!AS$9)),MAX(MIN('Council Entry'!AS116,'Council Entry'!AS$9),'Council Entry'!AS$8),'Council Entry'!AS116)),IF('Council Entry'!AS$4="Exponential",EXP(IF(AND(ISNUMBER('Council Entry'!AS$8),ISNUMBER('Council Entry'!AS$9)),MAX(MIN('Council Entry'!AS116,'Council Entry'!AS$9),'Council Entry'!AS$8),'Council Entry'!AS116)),IF(AND(ISNUMBER('Council Entry'!AS$8),ISNUMBER('Council Entry'!AS$9)),MAX(MIN('Council Entry'!AS116,'Council Entry'!AS$9),'Council Entry'!AS$8),'Council Entry'!AS116))))-'Council Entry'!AS$5)/('Council Entry'!AS$6-'Council Entry'!AS$5)),1))),"No data"))</f>
        <v/>
      </c>
      <c r="AT116" s="13">
        <f>IF('Council Entry'!AT116="","",IFERROR(MAX(0,MIN(10,ROUND(IF('Council Entry'!AT$7="Decrease Risk",10-10*((IF('Council Entry'!AT$4="Logarithm",LN(0.001+IF(AND(ISNUMBER('Council Entry'!AT$8),ISNUMBER('Council Entry'!AT$9)),MAX(MIN('Council Entry'!AT116,'Council Entry'!AT$9),'Council Entry'!AT$8),'Council Entry'!AT116)),IF('Council Entry'!AT$4="Exponential",EXP(IF(AND(ISNUMBER('Council Entry'!AT$8),ISNUMBER('Council Entry'!AT$9)),MAX(MIN('Council Entry'!AT116,'Council Entry'!AT$9),'Council Entry'!AT$8),'Council Entry'!AT116)),IF(AND(ISNUMBER('Council Entry'!AT$8),ISNUMBER('Council Entry'!AT$9)),MAX(MIN('Council Entry'!AT116,'Council Entry'!AT$9),'Council Entry'!AT$8),'Council Entry'!AT116))))-'Council Entry'!AT$5)/('Council Entry'!AT$6-'Council Entry'!AT$5),10*((IF('Council Entry'!AT$4="Logarithm",LN(0.001+IF(AND(ISNUMBER('Council Entry'!AT$8),ISNUMBER('Council Entry'!AT$9)),MAX(MIN('Council Entry'!AT116,'Council Entry'!AT$9),'Council Entry'!AT$8),'Council Entry'!AT116)),IF('Council Entry'!AT$4="Exponential",EXP(IF(AND(ISNUMBER('Council Entry'!AT$8),ISNUMBER('Council Entry'!AT$9)),MAX(MIN('Council Entry'!AT116,'Council Entry'!AT$9),'Council Entry'!AT$8),'Council Entry'!AT116)),IF(AND(ISNUMBER('Council Entry'!AT$8),ISNUMBER('Council Entry'!AT$9)),MAX(MIN('Council Entry'!AT116,'Council Entry'!AT$9),'Council Entry'!AT$8),'Council Entry'!AT116))))-'Council Entry'!AT$5)/('Council Entry'!AT$6-'Council Entry'!AT$5)),1))),"No data"))</f>
        <v/>
      </c>
      <c r="AU116" s="13">
        <f>IF('Council Entry'!AU116="","",IFERROR(MAX(0,MIN(10,ROUND(IF('Council Entry'!AU$7="Decrease Risk",10-10*((IF('Council Entry'!AU$4="Logarithm",LN(0.001+IF(AND(ISNUMBER('Council Entry'!AU$8),ISNUMBER('Council Entry'!AU$9)),MAX(MIN('Council Entry'!AU116,'Council Entry'!AU$9),'Council Entry'!AU$8),'Council Entry'!AU116)),IF('Council Entry'!AU$4="Exponential",EXP(IF(AND(ISNUMBER('Council Entry'!AU$8),ISNUMBER('Council Entry'!AU$9)),MAX(MIN('Council Entry'!AU116,'Council Entry'!AU$9),'Council Entry'!AU$8),'Council Entry'!AU116)),IF(AND(ISNUMBER('Council Entry'!AU$8),ISNUMBER('Council Entry'!AU$9)),MAX(MIN('Council Entry'!AU116,'Council Entry'!AU$9),'Council Entry'!AU$8),'Council Entry'!AU116))))-'Council Entry'!AU$5)/('Council Entry'!AU$6-'Council Entry'!AU$5),10*((IF('Council Entry'!AU$4="Logarithm",LN(0.001+IF(AND(ISNUMBER('Council Entry'!AU$8),ISNUMBER('Council Entry'!AU$9)),MAX(MIN('Council Entry'!AU116,'Council Entry'!AU$9),'Council Entry'!AU$8),'Council Entry'!AU116)),IF('Council Entry'!AU$4="Exponential",EXP(IF(AND(ISNUMBER('Council Entry'!AU$8),ISNUMBER('Council Entry'!AU$9)),MAX(MIN('Council Entry'!AU116,'Council Entry'!AU$9),'Council Entry'!AU$8),'Council Entry'!AU116)),IF(AND(ISNUMBER('Council Entry'!AU$8),ISNUMBER('Council Entry'!AU$9)),MAX(MIN('Council Entry'!AU116,'Council Entry'!AU$9),'Council Entry'!AU$8),'Council Entry'!AU116))))-'Council Entry'!AU$5)/('Council Entry'!AU$6-'Council Entry'!AU$5)),1))),"No data"))</f>
        <v/>
      </c>
      <c r="AV116" s="13">
        <f>IF('Council Entry'!AV116="","",IFERROR(MAX(0,MIN(10,ROUND(IF('Council Entry'!AV$7="Decrease Risk",10-10*((IF('Council Entry'!AV$4="Logarithm",LN(0.001+IF(AND(ISNUMBER('Council Entry'!AV$8),ISNUMBER('Council Entry'!AV$9)),MAX(MIN('Council Entry'!AV116,'Council Entry'!AV$9),'Council Entry'!AV$8),'Council Entry'!AV116)),IF('Council Entry'!AV$4="Exponential",EXP(IF(AND(ISNUMBER('Council Entry'!AV$8),ISNUMBER('Council Entry'!AV$9)),MAX(MIN('Council Entry'!AV116,'Council Entry'!AV$9),'Council Entry'!AV$8),'Council Entry'!AV116)),IF(AND(ISNUMBER('Council Entry'!AV$8),ISNUMBER('Council Entry'!AV$9)),MAX(MIN('Council Entry'!AV116,'Council Entry'!AV$9),'Council Entry'!AV$8),'Council Entry'!AV116))))-'Council Entry'!AV$5)/('Council Entry'!AV$6-'Council Entry'!AV$5),10*((IF('Council Entry'!AV$4="Logarithm",LN(0.001+IF(AND(ISNUMBER('Council Entry'!AV$8),ISNUMBER('Council Entry'!AV$9)),MAX(MIN('Council Entry'!AV116,'Council Entry'!AV$9),'Council Entry'!AV$8),'Council Entry'!AV116)),IF('Council Entry'!AV$4="Exponential",EXP(IF(AND(ISNUMBER('Council Entry'!AV$8),ISNUMBER('Council Entry'!AV$9)),MAX(MIN('Council Entry'!AV116,'Council Entry'!AV$9),'Council Entry'!AV$8),'Council Entry'!AV116)),IF(AND(ISNUMBER('Council Entry'!AV$8),ISNUMBER('Council Entry'!AV$9)),MAX(MIN('Council Entry'!AV116,'Council Entry'!AV$9),'Council Entry'!AV$8),'Council Entry'!AV116))))-'Council Entry'!AV$5)/('Council Entry'!AV$6-'Council Entry'!AV$5)),1))),"No data"))</f>
        <v/>
      </c>
      <c r="AW116" s="13">
        <f>IF('Council Entry'!AW116="","",IFERROR(MAX(0,MIN(10,ROUND(IF('Council Entry'!AW$7="Decrease Risk",10-10*((IF('Council Entry'!AW$4="Logarithm",LN(0.001+IF(AND(ISNUMBER('Council Entry'!AW$8),ISNUMBER('Council Entry'!AW$9)),MAX(MIN('Council Entry'!AW116,'Council Entry'!AW$9),'Council Entry'!AW$8),'Council Entry'!AW116)),IF('Council Entry'!AW$4="Exponential",EXP(IF(AND(ISNUMBER('Council Entry'!AW$8),ISNUMBER('Council Entry'!AW$9)),MAX(MIN('Council Entry'!AW116,'Council Entry'!AW$9),'Council Entry'!AW$8),'Council Entry'!AW116)),IF(AND(ISNUMBER('Council Entry'!AW$8),ISNUMBER('Council Entry'!AW$9)),MAX(MIN('Council Entry'!AW116,'Council Entry'!AW$9),'Council Entry'!AW$8),'Council Entry'!AW116))))-'Council Entry'!AW$5)/('Council Entry'!AW$6-'Council Entry'!AW$5),10*((IF('Council Entry'!AW$4="Logarithm",LN(0.001+IF(AND(ISNUMBER('Council Entry'!AW$8),ISNUMBER('Council Entry'!AW$9)),MAX(MIN('Council Entry'!AW116,'Council Entry'!AW$9),'Council Entry'!AW$8),'Council Entry'!AW116)),IF('Council Entry'!AW$4="Exponential",EXP(IF(AND(ISNUMBER('Council Entry'!AW$8),ISNUMBER('Council Entry'!AW$9)),MAX(MIN('Council Entry'!AW116,'Council Entry'!AW$9),'Council Entry'!AW$8),'Council Entry'!AW116)),IF(AND(ISNUMBER('Council Entry'!AW$8),ISNUMBER('Council Entry'!AW$9)),MAX(MIN('Council Entry'!AW116,'Council Entry'!AW$9),'Council Entry'!AW$8),'Council Entry'!AW116))))-'Council Entry'!AW$5)/('Council Entry'!AW$6-'Council Entry'!AW$5)),1))),"No data"))</f>
        <v/>
      </c>
      <c r="AX116" s="13">
        <f>IF('Council Entry'!AX116="","",IFERROR(MAX(0,MIN(10,ROUND(IF('Council Entry'!AX$7="Decrease Risk",10-10*((IF('Council Entry'!AX$4="Logarithm",LN(0.001+IF(AND(ISNUMBER('Council Entry'!AX$8),ISNUMBER('Council Entry'!AX$9)),MAX(MIN('Council Entry'!AX116,'Council Entry'!AX$9),'Council Entry'!AX$8),'Council Entry'!AX116)),IF('Council Entry'!AX$4="Exponential",EXP(IF(AND(ISNUMBER('Council Entry'!AX$8),ISNUMBER('Council Entry'!AX$9)),MAX(MIN('Council Entry'!AX116,'Council Entry'!AX$9),'Council Entry'!AX$8),'Council Entry'!AX116)),IF(AND(ISNUMBER('Council Entry'!AX$8),ISNUMBER('Council Entry'!AX$9)),MAX(MIN('Council Entry'!AX116,'Council Entry'!AX$9),'Council Entry'!AX$8),'Council Entry'!AX116))))-'Council Entry'!AX$5)/('Council Entry'!AX$6-'Council Entry'!AX$5),10*((IF('Council Entry'!AX$4="Logarithm",LN(0.001+IF(AND(ISNUMBER('Council Entry'!AX$8),ISNUMBER('Council Entry'!AX$9)),MAX(MIN('Council Entry'!AX116,'Council Entry'!AX$9),'Council Entry'!AX$8),'Council Entry'!AX116)),IF('Council Entry'!AX$4="Exponential",EXP(IF(AND(ISNUMBER('Council Entry'!AX$8),ISNUMBER('Council Entry'!AX$9)),MAX(MIN('Council Entry'!AX116,'Council Entry'!AX$9),'Council Entry'!AX$8),'Council Entry'!AX116)),IF(AND(ISNUMBER('Council Entry'!AX$8),ISNUMBER('Council Entry'!AX$9)),MAX(MIN('Council Entry'!AX116,'Council Entry'!AX$9),'Council Entry'!AX$8),'Council Entry'!AX116))))-'Council Entry'!AX$5)/('Council Entry'!AX$6-'Council Entry'!AX$5)),1))),"No data"))</f>
        <v/>
      </c>
      <c r="AY116" s="13">
        <f>IF('Council Entry'!AY116="","",IFERROR(MAX(0,MIN(10,ROUND(IF('Council Entry'!AY$7="Decrease Risk",10-10*((IF('Council Entry'!AY$4="Logarithm",LN(0.001+IF(AND(ISNUMBER('Council Entry'!AY$8),ISNUMBER('Council Entry'!AY$9)),MAX(MIN('Council Entry'!AY116,'Council Entry'!AY$9),'Council Entry'!AY$8),'Council Entry'!AY116)),IF('Council Entry'!AY$4="Exponential",EXP(IF(AND(ISNUMBER('Council Entry'!AY$8),ISNUMBER('Council Entry'!AY$9)),MAX(MIN('Council Entry'!AY116,'Council Entry'!AY$9),'Council Entry'!AY$8),'Council Entry'!AY116)),IF(AND(ISNUMBER('Council Entry'!AY$8),ISNUMBER('Council Entry'!AY$9)),MAX(MIN('Council Entry'!AY116,'Council Entry'!AY$9),'Council Entry'!AY$8),'Council Entry'!AY116))))-'Council Entry'!AY$5)/('Council Entry'!AY$6-'Council Entry'!AY$5),10*((IF('Council Entry'!AY$4="Logarithm",LN(0.001+IF(AND(ISNUMBER('Council Entry'!AY$8),ISNUMBER('Council Entry'!AY$9)),MAX(MIN('Council Entry'!AY116,'Council Entry'!AY$9),'Council Entry'!AY$8),'Council Entry'!AY116)),IF('Council Entry'!AY$4="Exponential",EXP(IF(AND(ISNUMBER('Council Entry'!AY$8),ISNUMBER('Council Entry'!AY$9)),MAX(MIN('Council Entry'!AY116,'Council Entry'!AY$9),'Council Entry'!AY$8),'Council Entry'!AY116)),IF(AND(ISNUMBER('Council Entry'!AY$8),ISNUMBER('Council Entry'!AY$9)),MAX(MIN('Council Entry'!AY116,'Council Entry'!AY$9),'Council Entry'!AY$8),'Council Entry'!AY116))))-'Council Entry'!AY$5)/('Council Entry'!AY$6-'Council Entry'!AY$5)),1))),"No data"))</f>
        <v/>
      </c>
      <c r="AZ116" s="13">
        <f>IF('Council Entry'!AZ116="","",IFERROR(MAX(0,MIN(10,ROUND(IF('Council Entry'!AZ$7="Decrease Risk",10-10*((IF('Council Entry'!AZ$4="Logarithm",LN(0.001+IF(AND(ISNUMBER('Council Entry'!AZ$8),ISNUMBER('Council Entry'!AZ$9)),MAX(MIN('Council Entry'!AZ116,'Council Entry'!AZ$9),'Council Entry'!AZ$8),'Council Entry'!AZ116)),IF('Council Entry'!AZ$4="Exponential",EXP(IF(AND(ISNUMBER('Council Entry'!AZ$8),ISNUMBER('Council Entry'!AZ$9)),MAX(MIN('Council Entry'!AZ116,'Council Entry'!AZ$9),'Council Entry'!AZ$8),'Council Entry'!AZ116)),IF(AND(ISNUMBER('Council Entry'!AZ$8),ISNUMBER('Council Entry'!AZ$9)),MAX(MIN('Council Entry'!AZ116,'Council Entry'!AZ$9),'Council Entry'!AZ$8),'Council Entry'!AZ116))))-'Council Entry'!AZ$5)/('Council Entry'!AZ$6-'Council Entry'!AZ$5),10*((IF('Council Entry'!AZ$4="Logarithm",LN(0.001+IF(AND(ISNUMBER('Council Entry'!AZ$8),ISNUMBER('Council Entry'!AZ$9)),MAX(MIN('Council Entry'!AZ116,'Council Entry'!AZ$9),'Council Entry'!AZ$8),'Council Entry'!AZ116)),IF('Council Entry'!AZ$4="Exponential",EXP(IF(AND(ISNUMBER('Council Entry'!AZ$8),ISNUMBER('Council Entry'!AZ$9)),MAX(MIN('Council Entry'!AZ116,'Council Entry'!AZ$9),'Council Entry'!AZ$8),'Council Entry'!AZ116)),IF(AND(ISNUMBER('Council Entry'!AZ$8),ISNUMBER('Council Entry'!AZ$9)),MAX(MIN('Council Entry'!AZ116,'Council Entry'!AZ$9),'Council Entry'!AZ$8),'Council Entry'!AZ116))))-'Council Entry'!AZ$5)/('Council Entry'!AZ$6-'Council Entry'!AZ$5)),1))),"No data"))</f>
        <v/>
      </c>
      <c r="BA116" s="13">
        <f>IF('Council Entry'!BA116="","",IFERROR(MAX(0,MIN(10,ROUND(IF('Council Entry'!BA$7="Decrease Risk",10-10*((IF('Council Entry'!BA$4="Logarithm",LN(0.001+IF(AND(ISNUMBER('Council Entry'!BA$8),ISNUMBER('Council Entry'!BA$9)),MAX(MIN('Council Entry'!BA116,'Council Entry'!BA$9),'Council Entry'!BA$8),'Council Entry'!BA116)),IF('Council Entry'!BA$4="Exponential",EXP(IF(AND(ISNUMBER('Council Entry'!BA$8),ISNUMBER('Council Entry'!BA$9)),MAX(MIN('Council Entry'!BA116,'Council Entry'!BA$9),'Council Entry'!BA$8),'Council Entry'!BA116)),IF(AND(ISNUMBER('Council Entry'!BA$8),ISNUMBER('Council Entry'!BA$9)),MAX(MIN('Council Entry'!BA116,'Council Entry'!BA$9),'Council Entry'!BA$8),'Council Entry'!BA116))))-'Council Entry'!BA$5)/('Council Entry'!BA$6-'Council Entry'!BA$5),10*((IF('Council Entry'!BA$4="Logarithm",LN(0.001+IF(AND(ISNUMBER('Council Entry'!BA$8),ISNUMBER('Council Entry'!BA$9)),MAX(MIN('Council Entry'!BA116,'Council Entry'!BA$9),'Council Entry'!BA$8),'Council Entry'!BA116)),IF('Council Entry'!BA$4="Exponential",EXP(IF(AND(ISNUMBER('Council Entry'!BA$8),ISNUMBER('Council Entry'!BA$9)),MAX(MIN('Council Entry'!BA116,'Council Entry'!BA$9),'Council Entry'!BA$8),'Council Entry'!BA116)),IF(AND(ISNUMBER('Council Entry'!BA$8),ISNUMBER('Council Entry'!BA$9)),MAX(MIN('Council Entry'!BA116,'Council Entry'!BA$9),'Council Entry'!BA$8),'Council Entry'!BA116))))-'Council Entry'!BA$5)/('Council Entry'!BA$6-'Council Entry'!BA$5)),1))),"No data"))</f>
        <v/>
      </c>
      <c r="BB116" s="13">
        <f>IF('Council Entry'!BB116="","",IFERROR(MAX(0,MIN(10,ROUND(IF('Council Entry'!BB$7="Decrease Risk",10-10*((IF('Council Entry'!BB$4="Logarithm",LN(0.001+IF(AND(ISNUMBER('Council Entry'!BB$8),ISNUMBER('Council Entry'!BB$9)),MAX(MIN('Council Entry'!BB116,'Council Entry'!BB$9),'Council Entry'!BB$8),'Council Entry'!BB116)),IF('Council Entry'!BB$4="Exponential",EXP(IF(AND(ISNUMBER('Council Entry'!BB$8),ISNUMBER('Council Entry'!BB$9)),MAX(MIN('Council Entry'!BB116,'Council Entry'!BB$9),'Council Entry'!BB$8),'Council Entry'!BB116)),IF(AND(ISNUMBER('Council Entry'!BB$8),ISNUMBER('Council Entry'!BB$9)),MAX(MIN('Council Entry'!BB116,'Council Entry'!BB$9),'Council Entry'!BB$8),'Council Entry'!BB116))))-'Council Entry'!BB$5)/('Council Entry'!BB$6-'Council Entry'!BB$5),10*((IF('Council Entry'!BB$4="Logarithm",LN(0.001+IF(AND(ISNUMBER('Council Entry'!BB$8),ISNUMBER('Council Entry'!BB$9)),MAX(MIN('Council Entry'!BB116,'Council Entry'!BB$9),'Council Entry'!BB$8),'Council Entry'!BB116)),IF('Council Entry'!BB$4="Exponential",EXP(IF(AND(ISNUMBER('Council Entry'!BB$8),ISNUMBER('Council Entry'!BB$9)),MAX(MIN('Council Entry'!BB116,'Council Entry'!BB$9),'Council Entry'!BB$8),'Council Entry'!BB116)),IF(AND(ISNUMBER('Council Entry'!BB$8),ISNUMBER('Council Entry'!BB$9)),MAX(MIN('Council Entry'!BB116,'Council Entry'!BB$9),'Council Entry'!BB$8),'Council Entry'!BB116))))-'Council Entry'!BB$5)/('Council Entry'!BB$6-'Council Entry'!BB$5)),1))),"No data"))</f>
        <v/>
      </c>
      <c r="BC116" s="13">
        <f>IF('Council Entry'!BC116="","",IFERROR(MAX(0,MIN(10,ROUND(IF('Council Entry'!BC$7="Decrease Risk",10-10*((IF('Council Entry'!BC$4="Logarithm",LN(0.001+IF(AND(ISNUMBER('Council Entry'!BC$8),ISNUMBER('Council Entry'!BC$9)),MAX(MIN('Council Entry'!BC116,'Council Entry'!BC$9),'Council Entry'!BC$8),'Council Entry'!BC116)),IF('Council Entry'!BC$4="Exponential",EXP(IF(AND(ISNUMBER('Council Entry'!BC$8),ISNUMBER('Council Entry'!BC$9)),MAX(MIN('Council Entry'!BC116,'Council Entry'!BC$9),'Council Entry'!BC$8),'Council Entry'!BC116)),IF(AND(ISNUMBER('Council Entry'!BC$8),ISNUMBER('Council Entry'!BC$9)),MAX(MIN('Council Entry'!BC116,'Council Entry'!BC$9),'Council Entry'!BC$8),'Council Entry'!BC116))))-'Council Entry'!BC$5)/('Council Entry'!BC$6-'Council Entry'!BC$5),10*((IF('Council Entry'!BC$4="Logarithm",LN(0.001+IF(AND(ISNUMBER('Council Entry'!BC$8),ISNUMBER('Council Entry'!BC$9)),MAX(MIN('Council Entry'!BC116,'Council Entry'!BC$9),'Council Entry'!BC$8),'Council Entry'!BC116)),IF('Council Entry'!BC$4="Exponential",EXP(IF(AND(ISNUMBER('Council Entry'!BC$8),ISNUMBER('Council Entry'!BC$9)),MAX(MIN('Council Entry'!BC116,'Council Entry'!BC$9),'Council Entry'!BC$8),'Council Entry'!BC116)),IF(AND(ISNUMBER('Council Entry'!BC$8),ISNUMBER('Council Entry'!BC$9)),MAX(MIN('Council Entry'!BC116,'Council Entry'!BC$9),'Council Entry'!BC$8),'Council Entry'!BC116))))-'Council Entry'!BC$5)/('Council Entry'!BC$6-'Council Entry'!BC$5)),1))),"No data"))</f>
        <v/>
      </c>
      <c r="BD116" s="13">
        <f>IF('Council Entry'!BD116="","",IFERROR(MAX(0,MIN(10,ROUND(IF('Council Entry'!BD$7="Decrease Risk",10-10*((IF('Council Entry'!BD$4="Logarithm",LN(0.001+IF(AND(ISNUMBER('Council Entry'!BD$8),ISNUMBER('Council Entry'!BD$9)),MAX(MIN('Council Entry'!BD116,'Council Entry'!BD$9),'Council Entry'!BD$8),'Council Entry'!BD116)),IF('Council Entry'!BD$4="Exponential",EXP(IF(AND(ISNUMBER('Council Entry'!BD$8),ISNUMBER('Council Entry'!BD$9)),MAX(MIN('Council Entry'!BD116,'Council Entry'!BD$9),'Council Entry'!BD$8),'Council Entry'!BD116)),IF(AND(ISNUMBER('Council Entry'!BD$8),ISNUMBER('Council Entry'!BD$9)),MAX(MIN('Council Entry'!BD116,'Council Entry'!BD$9),'Council Entry'!BD$8),'Council Entry'!BD116))))-'Council Entry'!BD$5)/('Council Entry'!BD$6-'Council Entry'!BD$5),10*((IF('Council Entry'!BD$4="Logarithm",LN(0.001+IF(AND(ISNUMBER('Council Entry'!BD$8),ISNUMBER('Council Entry'!BD$9)),MAX(MIN('Council Entry'!BD116,'Council Entry'!BD$9),'Council Entry'!BD$8),'Council Entry'!BD116)),IF('Council Entry'!BD$4="Exponential",EXP(IF(AND(ISNUMBER('Council Entry'!BD$8),ISNUMBER('Council Entry'!BD$9)),MAX(MIN('Council Entry'!BD116,'Council Entry'!BD$9),'Council Entry'!BD$8),'Council Entry'!BD116)),IF(AND(ISNUMBER('Council Entry'!BD$8),ISNUMBER('Council Entry'!BD$9)),MAX(MIN('Council Entry'!BD116,'Council Entry'!BD$9),'Council Entry'!BD$8),'Council Entry'!BD116))))-'Council Entry'!BD$5)/('Council Entry'!BD$6-'Council Entry'!BD$5)),1))),"No data"))</f>
        <v/>
      </c>
    </row>
    <row r="117">
      <c r="A117" t="inlineStr">
        <is>
          <t>Morogoro</t>
        </is>
      </c>
      <c r="B117" t="inlineStr">
        <is>
          <t>Mvomero District</t>
        </is>
      </c>
      <c r="C117" t="inlineStr">
        <is>
          <t>C041</t>
        </is>
      </c>
      <c r="D117" s="13">
        <f>IF('Council Entry'!D117="","",IFERROR(MAX(0,MIN(10,ROUND(IF('Council Entry'!D$7="Decrease Risk",10-10*((IF('Council Entry'!D$4="Logarithm",LN(0.001+IF(AND(ISNUMBER('Council Entry'!D$8),ISNUMBER('Council Entry'!D$9)),MAX(MIN('Council Entry'!D117,'Council Entry'!D$9),'Council Entry'!D$8),'Council Entry'!D117)),IF('Council Entry'!D$4="Exponential",EXP(IF(AND(ISNUMBER('Council Entry'!D$8),ISNUMBER('Council Entry'!D$9)),MAX(MIN('Council Entry'!D117,'Council Entry'!D$9),'Council Entry'!D$8),'Council Entry'!D117)),IF(AND(ISNUMBER('Council Entry'!D$8),ISNUMBER('Council Entry'!D$9)),MAX(MIN('Council Entry'!D117,'Council Entry'!D$9),'Council Entry'!D$8),'Council Entry'!D117))))-'Council Entry'!D$5)/('Council Entry'!D$6-'Council Entry'!D$5),10*((IF('Council Entry'!D$4="Logarithm",LN(0.001+IF(AND(ISNUMBER('Council Entry'!D$8),ISNUMBER('Council Entry'!D$9)),MAX(MIN('Council Entry'!D117,'Council Entry'!D$9),'Council Entry'!D$8),'Council Entry'!D117)),IF('Council Entry'!D$4="Exponential",EXP(IF(AND(ISNUMBER('Council Entry'!D$8),ISNUMBER('Council Entry'!D$9)),MAX(MIN('Council Entry'!D117,'Council Entry'!D$9),'Council Entry'!D$8),'Council Entry'!D117)),IF(AND(ISNUMBER('Council Entry'!D$8),ISNUMBER('Council Entry'!D$9)),MAX(MIN('Council Entry'!D117,'Council Entry'!D$9),'Council Entry'!D$8),'Council Entry'!D117))))-'Council Entry'!D$5)/('Council Entry'!D$6-'Council Entry'!D$5)),1))),"No data"))</f>
        <v/>
      </c>
      <c r="E117" s="13">
        <f>IF('Council Entry'!E117="","",IFERROR(MAX(0,MIN(10,ROUND(IF('Council Entry'!E$7="Decrease Risk",10-10*((IF('Council Entry'!E$4="Logarithm",LN(0.001+IF(AND(ISNUMBER('Council Entry'!E$8),ISNUMBER('Council Entry'!E$9)),MAX(MIN('Council Entry'!E117,'Council Entry'!E$9),'Council Entry'!E$8),'Council Entry'!E117)),IF('Council Entry'!E$4="Exponential",EXP(IF(AND(ISNUMBER('Council Entry'!E$8),ISNUMBER('Council Entry'!E$9)),MAX(MIN('Council Entry'!E117,'Council Entry'!E$9),'Council Entry'!E$8),'Council Entry'!E117)),IF(AND(ISNUMBER('Council Entry'!E$8),ISNUMBER('Council Entry'!E$9)),MAX(MIN('Council Entry'!E117,'Council Entry'!E$9),'Council Entry'!E$8),'Council Entry'!E117))))-'Council Entry'!E$5)/('Council Entry'!E$6-'Council Entry'!E$5),10*((IF('Council Entry'!E$4="Logarithm",LN(0.001+IF(AND(ISNUMBER('Council Entry'!E$8),ISNUMBER('Council Entry'!E$9)),MAX(MIN('Council Entry'!E117,'Council Entry'!E$9),'Council Entry'!E$8),'Council Entry'!E117)),IF('Council Entry'!E$4="Exponential",EXP(IF(AND(ISNUMBER('Council Entry'!E$8),ISNUMBER('Council Entry'!E$9)),MAX(MIN('Council Entry'!E117,'Council Entry'!E$9),'Council Entry'!E$8),'Council Entry'!E117)),IF(AND(ISNUMBER('Council Entry'!E$8),ISNUMBER('Council Entry'!E$9)),MAX(MIN('Council Entry'!E117,'Council Entry'!E$9),'Council Entry'!E$8),'Council Entry'!E117))))-'Council Entry'!E$5)/('Council Entry'!E$6-'Council Entry'!E$5)),1))),"No data"))</f>
        <v/>
      </c>
      <c r="F117" s="13">
        <f>IF('Council Entry'!F117="","",IFERROR(MAX(0,MIN(10,ROUND(IF('Council Entry'!F$7="Decrease Risk",10-10*((IF('Council Entry'!F$4="Logarithm",LN(0.001+IF(AND(ISNUMBER('Council Entry'!F$8),ISNUMBER('Council Entry'!F$9)),MAX(MIN('Council Entry'!F117,'Council Entry'!F$9),'Council Entry'!F$8),'Council Entry'!F117)),IF('Council Entry'!F$4="Exponential",EXP(IF(AND(ISNUMBER('Council Entry'!F$8),ISNUMBER('Council Entry'!F$9)),MAX(MIN('Council Entry'!F117,'Council Entry'!F$9),'Council Entry'!F$8),'Council Entry'!F117)),IF(AND(ISNUMBER('Council Entry'!F$8),ISNUMBER('Council Entry'!F$9)),MAX(MIN('Council Entry'!F117,'Council Entry'!F$9),'Council Entry'!F$8),'Council Entry'!F117))))-'Council Entry'!F$5)/('Council Entry'!F$6-'Council Entry'!F$5),10*((IF('Council Entry'!F$4="Logarithm",LN(0.001+IF(AND(ISNUMBER('Council Entry'!F$8),ISNUMBER('Council Entry'!F$9)),MAX(MIN('Council Entry'!F117,'Council Entry'!F$9),'Council Entry'!F$8),'Council Entry'!F117)),IF('Council Entry'!F$4="Exponential",EXP(IF(AND(ISNUMBER('Council Entry'!F$8),ISNUMBER('Council Entry'!F$9)),MAX(MIN('Council Entry'!F117,'Council Entry'!F$9),'Council Entry'!F$8),'Council Entry'!F117)),IF(AND(ISNUMBER('Council Entry'!F$8),ISNUMBER('Council Entry'!F$9)),MAX(MIN('Council Entry'!F117,'Council Entry'!F$9),'Council Entry'!F$8),'Council Entry'!F117))))-'Council Entry'!F$5)/('Council Entry'!F$6-'Council Entry'!F$5)),1))),"No data"))</f>
        <v/>
      </c>
      <c r="G117" s="13">
        <f>IF('Council Entry'!G117="","",IFERROR(MAX(0,MIN(10,ROUND(IF('Council Entry'!G$7="Decrease Risk",10-10*((IF('Council Entry'!G$4="Logarithm",LN(0.001+IF(AND(ISNUMBER('Council Entry'!G$8),ISNUMBER('Council Entry'!G$9)),MAX(MIN('Council Entry'!G117,'Council Entry'!G$9),'Council Entry'!G$8),'Council Entry'!G117)),IF('Council Entry'!G$4="Exponential",EXP(IF(AND(ISNUMBER('Council Entry'!G$8),ISNUMBER('Council Entry'!G$9)),MAX(MIN('Council Entry'!G117,'Council Entry'!G$9),'Council Entry'!G$8),'Council Entry'!G117)),IF(AND(ISNUMBER('Council Entry'!G$8),ISNUMBER('Council Entry'!G$9)),MAX(MIN('Council Entry'!G117,'Council Entry'!G$9),'Council Entry'!G$8),'Council Entry'!G117))))-'Council Entry'!G$5)/('Council Entry'!G$6-'Council Entry'!G$5),10*((IF('Council Entry'!G$4="Logarithm",LN(0.001+IF(AND(ISNUMBER('Council Entry'!G$8),ISNUMBER('Council Entry'!G$9)),MAX(MIN('Council Entry'!G117,'Council Entry'!G$9),'Council Entry'!G$8),'Council Entry'!G117)),IF('Council Entry'!G$4="Exponential",EXP(IF(AND(ISNUMBER('Council Entry'!G$8),ISNUMBER('Council Entry'!G$9)),MAX(MIN('Council Entry'!G117,'Council Entry'!G$9),'Council Entry'!G$8),'Council Entry'!G117)),IF(AND(ISNUMBER('Council Entry'!G$8),ISNUMBER('Council Entry'!G$9)),MAX(MIN('Council Entry'!G117,'Council Entry'!G$9),'Council Entry'!G$8),'Council Entry'!G117))))-'Council Entry'!G$5)/('Council Entry'!G$6-'Council Entry'!G$5)),1))),"No data"))</f>
        <v/>
      </c>
      <c r="H117" s="13">
        <f>IF('Council Entry'!H117="","",IFERROR(MAX(0,MIN(10,ROUND(IF('Council Entry'!H$7="Decrease Risk",10-10*((IF('Council Entry'!H$4="Logarithm",LN(0.001+IF(AND(ISNUMBER('Council Entry'!H$8),ISNUMBER('Council Entry'!H$9)),MAX(MIN('Council Entry'!H117,'Council Entry'!H$9),'Council Entry'!H$8),'Council Entry'!H117)),IF('Council Entry'!H$4="Exponential",EXP(IF(AND(ISNUMBER('Council Entry'!H$8),ISNUMBER('Council Entry'!H$9)),MAX(MIN('Council Entry'!H117,'Council Entry'!H$9),'Council Entry'!H$8),'Council Entry'!H117)),IF(AND(ISNUMBER('Council Entry'!H$8),ISNUMBER('Council Entry'!H$9)),MAX(MIN('Council Entry'!H117,'Council Entry'!H$9),'Council Entry'!H$8),'Council Entry'!H117))))-'Council Entry'!H$5)/('Council Entry'!H$6-'Council Entry'!H$5),10*((IF('Council Entry'!H$4="Logarithm",LN(0.001+IF(AND(ISNUMBER('Council Entry'!H$8),ISNUMBER('Council Entry'!H$9)),MAX(MIN('Council Entry'!H117,'Council Entry'!H$9),'Council Entry'!H$8),'Council Entry'!H117)),IF('Council Entry'!H$4="Exponential",EXP(IF(AND(ISNUMBER('Council Entry'!H$8),ISNUMBER('Council Entry'!H$9)),MAX(MIN('Council Entry'!H117,'Council Entry'!H$9),'Council Entry'!H$8),'Council Entry'!H117)),IF(AND(ISNUMBER('Council Entry'!H$8),ISNUMBER('Council Entry'!H$9)),MAX(MIN('Council Entry'!H117,'Council Entry'!H$9),'Council Entry'!H$8),'Council Entry'!H117))))-'Council Entry'!H$5)/('Council Entry'!H$6-'Council Entry'!H$5)),1))),"No data"))</f>
        <v/>
      </c>
      <c r="I117" s="13">
        <f>IF('Council Entry'!I117="","",IFERROR(MAX(0,MIN(10,ROUND(IF('Council Entry'!I$7="Decrease Risk",10-10*((IF('Council Entry'!I$4="Logarithm",LN(0.001+IF(AND(ISNUMBER('Council Entry'!I$8),ISNUMBER('Council Entry'!I$9)),MAX(MIN('Council Entry'!I117,'Council Entry'!I$9),'Council Entry'!I$8),'Council Entry'!I117)),IF('Council Entry'!I$4="Exponential",EXP(IF(AND(ISNUMBER('Council Entry'!I$8),ISNUMBER('Council Entry'!I$9)),MAX(MIN('Council Entry'!I117,'Council Entry'!I$9),'Council Entry'!I$8),'Council Entry'!I117)),IF(AND(ISNUMBER('Council Entry'!I$8),ISNUMBER('Council Entry'!I$9)),MAX(MIN('Council Entry'!I117,'Council Entry'!I$9),'Council Entry'!I$8),'Council Entry'!I117))))-'Council Entry'!I$5)/('Council Entry'!I$6-'Council Entry'!I$5),10*((IF('Council Entry'!I$4="Logarithm",LN(0.001+IF(AND(ISNUMBER('Council Entry'!I$8),ISNUMBER('Council Entry'!I$9)),MAX(MIN('Council Entry'!I117,'Council Entry'!I$9),'Council Entry'!I$8),'Council Entry'!I117)),IF('Council Entry'!I$4="Exponential",EXP(IF(AND(ISNUMBER('Council Entry'!I$8),ISNUMBER('Council Entry'!I$9)),MAX(MIN('Council Entry'!I117,'Council Entry'!I$9),'Council Entry'!I$8),'Council Entry'!I117)),IF(AND(ISNUMBER('Council Entry'!I$8),ISNUMBER('Council Entry'!I$9)),MAX(MIN('Council Entry'!I117,'Council Entry'!I$9),'Council Entry'!I$8),'Council Entry'!I117))))-'Council Entry'!I$5)/('Council Entry'!I$6-'Council Entry'!I$5)),1))),"No data"))</f>
        <v/>
      </c>
      <c r="J117" s="13">
        <f>IF('Council Entry'!J117="","",IFERROR(MAX(0,MIN(10,ROUND(IF('Council Entry'!J$7="Decrease Risk",10-10*((IF('Council Entry'!J$4="Logarithm",LN(0.001+IF(AND(ISNUMBER('Council Entry'!J$8),ISNUMBER('Council Entry'!J$9)),MAX(MIN('Council Entry'!J117,'Council Entry'!J$9),'Council Entry'!J$8),'Council Entry'!J117)),IF('Council Entry'!J$4="Exponential",EXP(IF(AND(ISNUMBER('Council Entry'!J$8),ISNUMBER('Council Entry'!J$9)),MAX(MIN('Council Entry'!J117,'Council Entry'!J$9),'Council Entry'!J$8),'Council Entry'!J117)),IF(AND(ISNUMBER('Council Entry'!J$8),ISNUMBER('Council Entry'!J$9)),MAX(MIN('Council Entry'!J117,'Council Entry'!J$9),'Council Entry'!J$8),'Council Entry'!J117))))-'Council Entry'!J$5)/('Council Entry'!J$6-'Council Entry'!J$5),10*((IF('Council Entry'!J$4="Logarithm",LN(0.001+IF(AND(ISNUMBER('Council Entry'!J$8),ISNUMBER('Council Entry'!J$9)),MAX(MIN('Council Entry'!J117,'Council Entry'!J$9),'Council Entry'!J$8),'Council Entry'!J117)),IF('Council Entry'!J$4="Exponential",EXP(IF(AND(ISNUMBER('Council Entry'!J$8),ISNUMBER('Council Entry'!J$9)),MAX(MIN('Council Entry'!J117,'Council Entry'!J$9),'Council Entry'!J$8),'Council Entry'!J117)),IF(AND(ISNUMBER('Council Entry'!J$8),ISNUMBER('Council Entry'!J$9)),MAX(MIN('Council Entry'!J117,'Council Entry'!J$9),'Council Entry'!J$8),'Council Entry'!J117))))-'Council Entry'!J$5)/('Council Entry'!J$6-'Council Entry'!J$5)),1))),"No data"))</f>
        <v/>
      </c>
      <c r="K117" s="13">
        <f>IF('Council Entry'!K117="","",IFERROR(MAX(0,MIN(10,ROUND(IF('Council Entry'!K$7="Decrease Risk",10-10*((IF('Council Entry'!K$4="Logarithm",LN(0.001+IF(AND(ISNUMBER('Council Entry'!K$8),ISNUMBER('Council Entry'!K$9)),MAX(MIN('Council Entry'!K117,'Council Entry'!K$9),'Council Entry'!K$8),'Council Entry'!K117)),IF('Council Entry'!K$4="Exponential",EXP(IF(AND(ISNUMBER('Council Entry'!K$8),ISNUMBER('Council Entry'!K$9)),MAX(MIN('Council Entry'!K117,'Council Entry'!K$9),'Council Entry'!K$8),'Council Entry'!K117)),IF(AND(ISNUMBER('Council Entry'!K$8),ISNUMBER('Council Entry'!K$9)),MAX(MIN('Council Entry'!K117,'Council Entry'!K$9),'Council Entry'!K$8),'Council Entry'!K117))))-'Council Entry'!K$5)/('Council Entry'!K$6-'Council Entry'!K$5),10*((IF('Council Entry'!K$4="Logarithm",LN(0.001+IF(AND(ISNUMBER('Council Entry'!K$8),ISNUMBER('Council Entry'!K$9)),MAX(MIN('Council Entry'!K117,'Council Entry'!K$9),'Council Entry'!K$8),'Council Entry'!K117)),IF('Council Entry'!K$4="Exponential",EXP(IF(AND(ISNUMBER('Council Entry'!K$8),ISNUMBER('Council Entry'!K$9)),MAX(MIN('Council Entry'!K117,'Council Entry'!K$9),'Council Entry'!K$8),'Council Entry'!K117)),IF(AND(ISNUMBER('Council Entry'!K$8),ISNUMBER('Council Entry'!K$9)),MAX(MIN('Council Entry'!K117,'Council Entry'!K$9),'Council Entry'!K$8),'Council Entry'!K117))))-'Council Entry'!K$5)/('Council Entry'!K$6-'Council Entry'!K$5)),1))),"No data"))</f>
        <v/>
      </c>
      <c r="L117" s="13">
        <f>IF('Council Entry'!L117="","",IFERROR(MAX(0,MIN(10,ROUND(IF('Council Entry'!L$7="Decrease Risk",10-10*((IF('Council Entry'!L$4="Logarithm",LN(0.001+IF(AND(ISNUMBER('Council Entry'!L$8),ISNUMBER('Council Entry'!L$9)),MAX(MIN('Council Entry'!L117,'Council Entry'!L$9),'Council Entry'!L$8),'Council Entry'!L117)),IF('Council Entry'!L$4="Exponential",EXP(IF(AND(ISNUMBER('Council Entry'!L$8),ISNUMBER('Council Entry'!L$9)),MAX(MIN('Council Entry'!L117,'Council Entry'!L$9),'Council Entry'!L$8),'Council Entry'!L117)),IF(AND(ISNUMBER('Council Entry'!L$8),ISNUMBER('Council Entry'!L$9)),MAX(MIN('Council Entry'!L117,'Council Entry'!L$9),'Council Entry'!L$8),'Council Entry'!L117))))-'Council Entry'!L$5)/('Council Entry'!L$6-'Council Entry'!L$5),10*((IF('Council Entry'!L$4="Logarithm",LN(0.001+IF(AND(ISNUMBER('Council Entry'!L$8),ISNUMBER('Council Entry'!L$9)),MAX(MIN('Council Entry'!L117,'Council Entry'!L$9),'Council Entry'!L$8),'Council Entry'!L117)),IF('Council Entry'!L$4="Exponential",EXP(IF(AND(ISNUMBER('Council Entry'!L$8),ISNUMBER('Council Entry'!L$9)),MAX(MIN('Council Entry'!L117,'Council Entry'!L$9),'Council Entry'!L$8),'Council Entry'!L117)),IF(AND(ISNUMBER('Council Entry'!L$8),ISNUMBER('Council Entry'!L$9)),MAX(MIN('Council Entry'!L117,'Council Entry'!L$9),'Council Entry'!L$8),'Council Entry'!L117))))-'Council Entry'!L$5)/('Council Entry'!L$6-'Council Entry'!L$5)),1))),"No data"))</f>
        <v/>
      </c>
      <c r="M117" s="13">
        <f>IF('Council Entry'!M117="","",IFERROR(MAX(0,MIN(10,ROUND(IF('Council Entry'!M$7="Decrease Risk",10-10*((IF('Council Entry'!M$4="Logarithm",LN(0.001+IF(AND(ISNUMBER('Council Entry'!M$8),ISNUMBER('Council Entry'!M$9)),MAX(MIN('Council Entry'!M117,'Council Entry'!M$9),'Council Entry'!M$8),'Council Entry'!M117)),IF('Council Entry'!M$4="Exponential",EXP(IF(AND(ISNUMBER('Council Entry'!M$8),ISNUMBER('Council Entry'!M$9)),MAX(MIN('Council Entry'!M117,'Council Entry'!M$9),'Council Entry'!M$8),'Council Entry'!M117)),IF(AND(ISNUMBER('Council Entry'!M$8),ISNUMBER('Council Entry'!M$9)),MAX(MIN('Council Entry'!M117,'Council Entry'!M$9),'Council Entry'!M$8),'Council Entry'!M117))))-'Council Entry'!M$5)/('Council Entry'!M$6-'Council Entry'!M$5),10*((IF('Council Entry'!M$4="Logarithm",LN(0.001+IF(AND(ISNUMBER('Council Entry'!M$8),ISNUMBER('Council Entry'!M$9)),MAX(MIN('Council Entry'!M117,'Council Entry'!M$9),'Council Entry'!M$8),'Council Entry'!M117)),IF('Council Entry'!M$4="Exponential",EXP(IF(AND(ISNUMBER('Council Entry'!M$8),ISNUMBER('Council Entry'!M$9)),MAX(MIN('Council Entry'!M117,'Council Entry'!M$9),'Council Entry'!M$8),'Council Entry'!M117)),IF(AND(ISNUMBER('Council Entry'!M$8),ISNUMBER('Council Entry'!M$9)),MAX(MIN('Council Entry'!M117,'Council Entry'!M$9),'Council Entry'!M$8),'Council Entry'!M117))))-'Council Entry'!M$5)/('Council Entry'!M$6-'Council Entry'!M$5)),1))),"No data"))</f>
        <v/>
      </c>
      <c r="N117" s="13">
        <f>IF('Council Entry'!N117="","",IFERROR(MAX(0,MIN(10,ROUND(IF('Council Entry'!N$7="Decrease Risk",10-10*((IF('Council Entry'!N$4="Logarithm",LN(0.001+IF(AND(ISNUMBER('Council Entry'!N$8),ISNUMBER('Council Entry'!N$9)),MAX(MIN('Council Entry'!N117,'Council Entry'!N$9),'Council Entry'!N$8),'Council Entry'!N117)),IF('Council Entry'!N$4="Exponential",EXP(IF(AND(ISNUMBER('Council Entry'!N$8),ISNUMBER('Council Entry'!N$9)),MAX(MIN('Council Entry'!N117,'Council Entry'!N$9),'Council Entry'!N$8),'Council Entry'!N117)),IF(AND(ISNUMBER('Council Entry'!N$8),ISNUMBER('Council Entry'!N$9)),MAX(MIN('Council Entry'!N117,'Council Entry'!N$9),'Council Entry'!N$8),'Council Entry'!N117))))-'Council Entry'!N$5)/('Council Entry'!N$6-'Council Entry'!N$5),10*((IF('Council Entry'!N$4="Logarithm",LN(0.001+IF(AND(ISNUMBER('Council Entry'!N$8),ISNUMBER('Council Entry'!N$9)),MAX(MIN('Council Entry'!N117,'Council Entry'!N$9),'Council Entry'!N$8),'Council Entry'!N117)),IF('Council Entry'!N$4="Exponential",EXP(IF(AND(ISNUMBER('Council Entry'!N$8),ISNUMBER('Council Entry'!N$9)),MAX(MIN('Council Entry'!N117,'Council Entry'!N$9),'Council Entry'!N$8),'Council Entry'!N117)),IF(AND(ISNUMBER('Council Entry'!N$8),ISNUMBER('Council Entry'!N$9)),MAX(MIN('Council Entry'!N117,'Council Entry'!N$9),'Council Entry'!N$8),'Council Entry'!N117))))-'Council Entry'!N$5)/('Council Entry'!N$6-'Council Entry'!N$5)),1))),"No data"))</f>
        <v/>
      </c>
      <c r="O117" s="13">
        <f>IF('Council Entry'!O117="","",IFERROR(MAX(0,MIN(10,ROUND(IF('Council Entry'!O$7="Decrease Risk",10-10*((IF('Council Entry'!O$4="Logarithm",LN(0.001+IF(AND(ISNUMBER('Council Entry'!O$8),ISNUMBER('Council Entry'!O$9)),MAX(MIN('Council Entry'!O117,'Council Entry'!O$9),'Council Entry'!O$8),'Council Entry'!O117)),IF('Council Entry'!O$4="Exponential",EXP(IF(AND(ISNUMBER('Council Entry'!O$8),ISNUMBER('Council Entry'!O$9)),MAX(MIN('Council Entry'!O117,'Council Entry'!O$9),'Council Entry'!O$8),'Council Entry'!O117)),IF(AND(ISNUMBER('Council Entry'!O$8),ISNUMBER('Council Entry'!O$9)),MAX(MIN('Council Entry'!O117,'Council Entry'!O$9),'Council Entry'!O$8),'Council Entry'!O117))))-'Council Entry'!O$5)/('Council Entry'!O$6-'Council Entry'!O$5),10*((IF('Council Entry'!O$4="Logarithm",LN(0.001+IF(AND(ISNUMBER('Council Entry'!O$8),ISNUMBER('Council Entry'!O$9)),MAX(MIN('Council Entry'!O117,'Council Entry'!O$9),'Council Entry'!O$8),'Council Entry'!O117)),IF('Council Entry'!O$4="Exponential",EXP(IF(AND(ISNUMBER('Council Entry'!O$8),ISNUMBER('Council Entry'!O$9)),MAX(MIN('Council Entry'!O117,'Council Entry'!O$9),'Council Entry'!O$8),'Council Entry'!O117)),IF(AND(ISNUMBER('Council Entry'!O$8),ISNUMBER('Council Entry'!O$9)),MAX(MIN('Council Entry'!O117,'Council Entry'!O$9),'Council Entry'!O$8),'Council Entry'!O117))))-'Council Entry'!O$5)/('Council Entry'!O$6-'Council Entry'!O$5)),1))),"No data"))</f>
        <v/>
      </c>
      <c r="P117" s="13">
        <f>IF('Council Entry'!P117="","",IFERROR(MAX(0,MIN(10,ROUND(IF('Council Entry'!P$7="Decrease Risk",10-10*((IF('Council Entry'!P$4="Logarithm",LN(0.001+IF(AND(ISNUMBER('Council Entry'!P$8),ISNUMBER('Council Entry'!P$9)),MAX(MIN('Council Entry'!P117,'Council Entry'!P$9),'Council Entry'!P$8),'Council Entry'!P117)),IF('Council Entry'!P$4="Exponential",EXP(IF(AND(ISNUMBER('Council Entry'!P$8),ISNUMBER('Council Entry'!P$9)),MAX(MIN('Council Entry'!P117,'Council Entry'!P$9),'Council Entry'!P$8),'Council Entry'!P117)),IF(AND(ISNUMBER('Council Entry'!P$8),ISNUMBER('Council Entry'!P$9)),MAX(MIN('Council Entry'!P117,'Council Entry'!P$9),'Council Entry'!P$8),'Council Entry'!P117))))-'Council Entry'!P$5)/('Council Entry'!P$6-'Council Entry'!P$5),10*((IF('Council Entry'!P$4="Logarithm",LN(0.001+IF(AND(ISNUMBER('Council Entry'!P$8),ISNUMBER('Council Entry'!P$9)),MAX(MIN('Council Entry'!P117,'Council Entry'!P$9),'Council Entry'!P$8),'Council Entry'!P117)),IF('Council Entry'!P$4="Exponential",EXP(IF(AND(ISNUMBER('Council Entry'!P$8),ISNUMBER('Council Entry'!P$9)),MAX(MIN('Council Entry'!P117,'Council Entry'!P$9),'Council Entry'!P$8),'Council Entry'!P117)),IF(AND(ISNUMBER('Council Entry'!P$8),ISNUMBER('Council Entry'!P$9)),MAX(MIN('Council Entry'!P117,'Council Entry'!P$9),'Council Entry'!P$8),'Council Entry'!P117))))-'Council Entry'!P$5)/('Council Entry'!P$6-'Council Entry'!P$5)),1))),"No data"))</f>
        <v/>
      </c>
      <c r="Q117" s="13">
        <f>IF('Council Entry'!Q117="","",IFERROR(MAX(0,MIN(10,ROUND(IF('Council Entry'!Q$7="Decrease Risk",10-10*((IF('Council Entry'!Q$4="Logarithm",LN(0.001+IF(AND(ISNUMBER('Council Entry'!Q$8),ISNUMBER('Council Entry'!Q$9)),MAX(MIN('Council Entry'!Q117,'Council Entry'!Q$9),'Council Entry'!Q$8),'Council Entry'!Q117)),IF('Council Entry'!Q$4="Exponential",EXP(IF(AND(ISNUMBER('Council Entry'!Q$8),ISNUMBER('Council Entry'!Q$9)),MAX(MIN('Council Entry'!Q117,'Council Entry'!Q$9),'Council Entry'!Q$8),'Council Entry'!Q117)),IF(AND(ISNUMBER('Council Entry'!Q$8),ISNUMBER('Council Entry'!Q$9)),MAX(MIN('Council Entry'!Q117,'Council Entry'!Q$9),'Council Entry'!Q$8),'Council Entry'!Q117))))-'Council Entry'!Q$5)/('Council Entry'!Q$6-'Council Entry'!Q$5),10*((IF('Council Entry'!Q$4="Logarithm",LN(0.001+IF(AND(ISNUMBER('Council Entry'!Q$8),ISNUMBER('Council Entry'!Q$9)),MAX(MIN('Council Entry'!Q117,'Council Entry'!Q$9),'Council Entry'!Q$8),'Council Entry'!Q117)),IF('Council Entry'!Q$4="Exponential",EXP(IF(AND(ISNUMBER('Council Entry'!Q$8),ISNUMBER('Council Entry'!Q$9)),MAX(MIN('Council Entry'!Q117,'Council Entry'!Q$9),'Council Entry'!Q$8),'Council Entry'!Q117)),IF(AND(ISNUMBER('Council Entry'!Q$8),ISNUMBER('Council Entry'!Q$9)),MAX(MIN('Council Entry'!Q117,'Council Entry'!Q$9),'Council Entry'!Q$8),'Council Entry'!Q117))))-'Council Entry'!Q$5)/('Council Entry'!Q$6-'Council Entry'!Q$5)),1))),"No data"))</f>
        <v/>
      </c>
      <c r="R117" s="13">
        <f>IF('Council Entry'!R117="","",IFERROR(MAX(0,MIN(10,ROUND(IF('Council Entry'!R$7="Decrease Risk",10-10*((IF('Council Entry'!R$4="Logarithm",LN(0.001+IF(AND(ISNUMBER('Council Entry'!R$8),ISNUMBER('Council Entry'!R$9)),MAX(MIN('Council Entry'!R117,'Council Entry'!R$9),'Council Entry'!R$8),'Council Entry'!R117)),IF('Council Entry'!R$4="Exponential",EXP(IF(AND(ISNUMBER('Council Entry'!R$8),ISNUMBER('Council Entry'!R$9)),MAX(MIN('Council Entry'!R117,'Council Entry'!R$9),'Council Entry'!R$8),'Council Entry'!R117)),IF(AND(ISNUMBER('Council Entry'!R$8),ISNUMBER('Council Entry'!R$9)),MAX(MIN('Council Entry'!R117,'Council Entry'!R$9),'Council Entry'!R$8),'Council Entry'!R117))))-'Council Entry'!R$5)/('Council Entry'!R$6-'Council Entry'!R$5),10*((IF('Council Entry'!R$4="Logarithm",LN(0.001+IF(AND(ISNUMBER('Council Entry'!R$8),ISNUMBER('Council Entry'!R$9)),MAX(MIN('Council Entry'!R117,'Council Entry'!R$9),'Council Entry'!R$8),'Council Entry'!R117)),IF('Council Entry'!R$4="Exponential",EXP(IF(AND(ISNUMBER('Council Entry'!R$8),ISNUMBER('Council Entry'!R$9)),MAX(MIN('Council Entry'!R117,'Council Entry'!R$9),'Council Entry'!R$8),'Council Entry'!R117)),IF(AND(ISNUMBER('Council Entry'!R$8),ISNUMBER('Council Entry'!R$9)),MAX(MIN('Council Entry'!R117,'Council Entry'!R$9),'Council Entry'!R$8),'Council Entry'!R117))))-'Council Entry'!R$5)/('Council Entry'!R$6-'Council Entry'!R$5)),1))),"No data"))</f>
        <v/>
      </c>
      <c r="S117" s="13">
        <f>IF('Council Entry'!S117="","",IFERROR(MAX(0,MIN(10,ROUND(IF('Council Entry'!S$7="Decrease Risk",10-10*((IF('Council Entry'!S$4="Logarithm",LN(0.001+IF(AND(ISNUMBER('Council Entry'!S$8),ISNUMBER('Council Entry'!S$9)),MAX(MIN('Council Entry'!S117,'Council Entry'!S$9),'Council Entry'!S$8),'Council Entry'!S117)),IF('Council Entry'!S$4="Exponential",EXP(IF(AND(ISNUMBER('Council Entry'!S$8),ISNUMBER('Council Entry'!S$9)),MAX(MIN('Council Entry'!S117,'Council Entry'!S$9),'Council Entry'!S$8),'Council Entry'!S117)),IF(AND(ISNUMBER('Council Entry'!S$8),ISNUMBER('Council Entry'!S$9)),MAX(MIN('Council Entry'!S117,'Council Entry'!S$9),'Council Entry'!S$8),'Council Entry'!S117))))-'Council Entry'!S$5)/('Council Entry'!S$6-'Council Entry'!S$5),10*((IF('Council Entry'!S$4="Logarithm",LN(0.001+IF(AND(ISNUMBER('Council Entry'!S$8),ISNUMBER('Council Entry'!S$9)),MAX(MIN('Council Entry'!S117,'Council Entry'!S$9),'Council Entry'!S$8),'Council Entry'!S117)),IF('Council Entry'!S$4="Exponential",EXP(IF(AND(ISNUMBER('Council Entry'!S$8),ISNUMBER('Council Entry'!S$9)),MAX(MIN('Council Entry'!S117,'Council Entry'!S$9),'Council Entry'!S$8),'Council Entry'!S117)),IF(AND(ISNUMBER('Council Entry'!S$8),ISNUMBER('Council Entry'!S$9)),MAX(MIN('Council Entry'!S117,'Council Entry'!S$9),'Council Entry'!S$8),'Council Entry'!S117))))-'Council Entry'!S$5)/('Council Entry'!S$6-'Council Entry'!S$5)),1))),"No data"))</f>
        <v/>
      </c>
      <c r="T117" s="13">
        <f>IF('Council Entry'!T117="","",IFERROR(MAX(0,MIN(10,ROUND(IF('Council Entry'!T$7="Decrease Risk",10-10*((IF('Council Entry'!T$4="Logarithm",LN(0.001+IF(AND(ISNUMBER('Council Entry'!T$8),ISNUMBER('Council Entry'!T$9)),MAX(MIN('Council Entry'!T117,'Council Entry'!T$9),'Council Entry'!T$8),'Council Entry'!T117)),IF('Council Entry'!T$4="Exponential",EXP(IF(AND(ISNUMBER('Council Entry'!T$8),ISNUMBER('Council Entry'!T$9)),MAX(MIN('Council Entry'!T117,'Council Entry'!T$9),'Council Entry'!T$8),'Council Entry'!T117)),IF(AND(ISNUMBER('Council Entry'!T$8),ISNUMBER('Council Entry'!T$9)),MAX(MIN('Council Entry'!T117,'Council Entry'!T$9),'Council Entry'!T$8),'Council Entry'!T117))))-'Council Entry'!T$5)/('Council Entry'!T$6-'Council Entry'!T$5),10*((IF('Council Entry'!T$4="Logarithm",LN(0.001+IF(AND(ISNUMBER('Council Entry'!T$8),ISNUMBER('Council Entry'!T$9)),MAX(MIN('Council Entry'!T117,'Council Entry'!T$9),'Council Entry'!T$8),'Council Entry'!T117)),IF('Council Entry'!T$4="Exponential",EXP(IF(AND(ISNUMBER('Council Entry'!T$8),ISNUMBER('Council Entry'!T$9)),MAX(MIN('Council Entry'!T117,'Council Entry'!T$9),'Council Entry'!T$8),'Council Entry'!T117)),IF(AND(ISNUMBER('Council Entry'!T$8),ISNUMBER('Council Entry'!T$9)),MAX(MIN('Council Entry'!T117,'Council Entry'!T$9),'Council Entry'!T$8),'Council Entry'!T117))))-'Council Entry'!T$5)/('Council Entry'!T$6-'Council Entry'!T$5)),1))),"No data"))</f>
        <v/>
      </c>
      <c r="U117" s="13">
        <f>IF('Council Entry'!U117="","",IFERROR(MAX(0,MIN(10,ROUND(IF('Council Entry'!U$7="Decrease Risk",10-10*((IF('Council Entry'!U$4="Logarithm",LN(0.001+IF(AND(ISNUMBER('Council Entry'!U$8),ISNUMBER('Council Entry'!U$9)),MAX(MIN('Council Entry'!U117,'Council Entry'!U$9),'Council Entry'!U$8),'Council Entry'!U117)),IF('Council Entry'!U$4="Exponential",EXP(IF(AND(ISNUMBER('Council Entry'!U$8),ISNUMBER('Council Entry'!U$9)),MAX(MIN('Council Entry'!U117,'Council Entry'!U$9),'Council Entry'!U$8),'Council Entry'!U117)),IF(AND(ISNUMBER('Council Entry'!U$8),ISNUMBER('Council Entry'!U$9)),MAX(MIN('Council Entry'!U117,'Council Entry'!U$9),'Council Entry'!U$8),'Council Entry'!U117))))-'Council Entry'!U$5)/('Council Entry'!U$6-'Council Entry'!U$5),10*((IF('Council Entry'!U$4="Logarithm",LN(0.001+IF(AND(ISNUMBER('Council Entry'!U$8),ISNUMBER('Council Entry'!U$9)),MAX(MIN('Council Entry'!U117,'Council Entry'!U$9),'Council Entry'!U$8),'Council Entry'!U117)),IF('Council Entry'!U$4="Exponential",EXP(IF(AND(ISNUMBER('Council Entry'!U$8),ISNUMBER('Council Entry'!U$9)),MAX(MIN('Council Entry'!U117,'Council Entry'!U$9),'Council Entry'!U$8),'Council Entry'!U117)),IF(AND(ISNUMBER('Council Entry'!U$8),ISNUMBER('Council Entry'!U$9)),MAX(MIN('Council Entry'!U117,'Council Entry'!U$9),'Council Entry'!U$8),'Council Entry'!U117))))-'Council Entry'!U$5)/('Council Entry'!U$6-'Council Entry'!U$5)),1))),"No data"))</f>
        <v/>
      </c>
      <c r="V117" s="13">
        <f>IF('Council Entry'!V117="","",IFERROR(MAX(0,MIN(10,ROUND(IF('Council Entry'!V$7="Decrease Risk",10-10*((IF('Council Entry'!V$4="Logarithm",LN(0.001+IF(AND(ISNUMBER('Council Entry'!V$8),ISNUMBER('Council Entry'!V$9)),MAX(MIN('Council Entry'!V117,'Council Entry'!V$9),'Council Entry'!V$8),'Council Entry'!V117)),IF('Council Entry'!V$4="Exponential",EXP(IF(AND(ISNUMBER('Council Entry'!V$8),ISNUMBER('Council Entry'!V$9)),MAX(MIN('Council Entry'!V117,'Council Entry'!V$9),'Council Entry'!V$8),'Council Entry'!V117)),IF(AND(ISNUMBER('Council Entry'!V$8),ISNUMBER('Council Entry'!V$9)),MAX(MIN('Council Entry'!V117,'Council Entry'!V$9),'Council Entry'!V$8),'Council Entry'!V117))))-'Council Entry'!V$5)/('Council Entry'!V$6-'Council Entry'!V$5),10*((IF('Council Entry'!V$4="Logarithm",LN(0.001+IF(AND(ISNUMBER('Council Entry'!V$8),ISNUMBER('Council Entry'!V$9)),MAX(MIN('Council Entry'!V117,'Council Entry'!V$9),'Council Entry'!V$8),'Council Entry'!V117)),IF('Council Entry'!V$4="Exponential",EXP(IF(AND(ISNUMBER('Council Entry'!V$8),ISNUMBER('Council Entry'!V$9)),MAX(MIN('Council Entry'!V117,'Council Entry'!V$9),'Council Entry'!V$8),'Council Entry'!V117)),IF(AND(ISNUMBER('Council Entry'!V$8),ISNUMBER('Council Entry'!V$9)),MAX(MIN('Council Entry'!V117,'Council Entry'!V$9),'Council Entry'!V$8),'Council Entry'!V117))))-'Council Entry'!V$5)/('Council Entry'!V$6-'Council Entry'!V$5)),1))),"No data"))</f>
        <v/>
      </c>
      <c r="W117" s="13">
        <f>IF('Council Entry'!W117="","",IFERROR(MAX(0,MIN(10,ROUND(IF('Council Entry'!W$7="Decrease Risk",10-10*((IF('Council Entry'!W$4="Logarithm",LN(0.001+IF(AND(ISNUMBER('Council Entry'!W$8),ISNUMBER('Council Entry'!W$9)),MAX(MIN('Council Entry'!W117,'Council Entry'!W$9),'Council Entry'!W$8),'Council Entry'!W117)),IF('Council Entry'!W$4="Exponential",EXP(IF(AND(ISNUMBER('Council Entry'!W$8),ISNUMBER('Council Entry'!W$9)),MAX(MIN('Council Entry'!W117,'Council Entry'!W$9),'Council Entry'!W$8),'Council Entry'!W117)),IF(AND(ISNUMBER('Council Entry'!W$8),ISNUMBER('Council Entry'!W$9)),MAX(MIN('Council Entry'!W117,'Council Entry'!W$9),'Council Entry'!W$8),'Council Entry'!W117))))-'Council Entry'!W$5)/('Council Entry'!W$6-'Council Entry'!W$5),10*((IF('Council Entry'!W$4="Logarithm",LN(0.001+IF(AND(ISNUMBER('Council Entry'!W$8),ISNUMBER('Council Entry'!W$9)),MAX(MIN('Council Entry'!W117,'Council Entry'!W$9),'Council Entry'!W$8),'Council Entry'!W117)),IF('Council Entry'!W$4="Exponential",EXP(IF(AND(ISNUMBER('Council Entry'!W$8),ISNUMBER('Council Entry'!W$9)),MAX(MIN('Council Entry'!W117,'Council Entry'!W$9),'Council Entry'!W$8),'Council Entry'!W117)),IF(AND(ISNUMBER('Council Entry'!W$8),ISNUMBER('Council Entry'!W$9)),MAX(MIN('Council Entry'!W117,'Council Entry'!W$9),'Council Entry'!W$8),'Council Entry'!W117))))-'Council Entry'!W$5)/('Council Entry'!W$6-'Council Entry'!W$5)),1))),"No data"))</f>
        <v/>
      </c>
      <c r="X117" s="13">
        <f>IF('Council Entry'!X117="","",IFERROR(MAX(0,MIN(10,ROUND(IF('Council Entry'!X$7="Decrease Risk",10-10*((IF('Council Entry'!X$4="Logarithm",LN(0.001+IF(AND(ISNUMBER('Council Entry'!X$8),ISNUMBER('Council Entry'!X$9)),MAX(MIN('Council Entry'!X117,'Council Entry'!X$9),'Council Entry'!X$8),'Council Entry'!X117)),IF('Council Entry'!X$4="Exponential",EXP(IF(AND(ISNUMBER('Council Entry'!X$8),ISNUMBER('Council Entry'!X$9)),MAX(MIN('Council Entry'!X117,'Council Entry'!X$9),'Council Entry'!X$8),'Council Entry'!X117)),IF(AND(ISNUMBER('Council Entry'!X$8),ISNUMBER('Council Entry'!X$9)),MAX(MIN('Council Entry'!X117,'Council Entry'!X$9),'Council Entry'!X$8),'Council Entry'!X117))))-'Council Entry'!X$5)/('Council Entry'!X$6-'Council Entry'!X$5),10*((IF('Council Entry'!X$4="Logarithm",LN(0.001+IF(AND(ISNUMBER('Council Entry'!X$8),ISNUMBER('Council Entry'!X$9)),MAX(MIN('Council Entry'!X117,'Council Entry'!X$9),'Council Entry'!X$8),'Council Entry'!X117)),IF('Council Entry'!X$4="Exponential",EXP(IF(AND(ISNUMBER('Council Entry'!X$8),ISNUMBER('Council Entry'!X$9)),MAX(MIN('Council Entry'!X117,'Council Entry'!X$9),'Council Entry'!X$8),'Council Entry'!X117)),IF(AND(ISNUMBER('Council Entry'!X$8),ISNUMBER('Council Entry'!X$9)),MAX(MIN('Council Entry'!X117,'Council Entry'!X$9),'Council Entry'!X$8),'Council Entry'!X117))))-'Council Entry'!X$5)/('Council Entry'!X$6-'Council Entry'!X$5)),1))),"No data"))</f>
        <v/>
      </c>
      <c r="Y117" s="13">
        <f>IF('Council Entry'!Y117="","",IFERROR(MAX(0,MIN(10,ROUND(IF('Council Entry'!Y$7="Decrease Risk",10-10*((IF('Council Entry'!Y$4="Logarithm",LN(0.001+IF(AND(ISNUMBER('Council Entry'!Y$8),ISNUMBER('Council Entry'!Y$9)),MAX(MIN('Council Entry'!Y117,'Council Entry'!Y$9),'Council Entry'!Y$8),'Council Entry'!Y117)),IF('Council Entry'!Y$4="Exponential",EXP(IF(AND(ISNUMBER('Council Entry'!Y$8),ISNUMBER('Council Entry'!Y$9)),MAX(MIN('Council Entry'!Y117,'Council Entry'!Y$9),'Council Entry'!Y$8),'Council Entry'!Y117)),IF(AND(ISNUMBER('Council Entry'!Y$8),ISNUMBER('Council Entry'!Y$9)),MAX(MIN('Council Entry'!Y117,'Council Entry'!Y$9),'Council Entry'!Y$8),'Council Entry'!Y117))))-'Council Entry'!Y$5)/('Council Entry'!Y$6-'Council Entry'!Y$5),10*((IF('Council Entry'!Y$4="Logarithm",LN(0.001+IF(AND(ISNUMBER('Council Entry'!Y$8),ISNUMBER('Council Entry'!Y$9)),MAX(MIN('Council Entry'!Y117,'Council Entry'!Y$9),'Council Entry'!Y$8),'Council Entry'!Y117)),IF('Council Entry'!Y$4="Exponential",EXP(IF(AND(ISNUMBER('Council Entry'!Y$8),ISNUMBER('Council Entry'!Y$9)),MAX(MIN('Council Entry'!Y117,'Council Entry'!Y$9),'Council Entry'!Y$8),'Council Entry'!Y117)),IF(AND(ISNUMBER('Council Entry'!Y$8),ISNUMBER('Council Entry'!Y$9)),MAX(MIN('Council Entry'!Y117,'Council Entry'!Y$9),'Council Entry'!Y$8),'Council Entry'!Y117))))-'Council Entry'!Y$5)/('Council Entry'!Y$6-'Council Entry'!Y$5)),1))),"No data"))</f>
        <v/>
      </c>
      <c r="Z117" s="13">
        <f>IF('Council Entry'!Z117="","",IFERROR(MAX(0,MIN(10,ROUND(IF('Council Entry'!Z$7="Decrease Risk",10-10*((IF('Council Entry'!Z$4="Logarithm",LN(0.001+IF(AND(ISNUMBER('Council Entry'!Z$8),ISNUMBER('Council Entry'!Z$9)),MAX(MIN('Council Entry'!Z117,'Council Entry'!Z$9),'Council Entry'!Z$8),'Council Entry'!Z117)),IF('Council Entry'!Z$4="Exponential",EXP(IF(AND(ISNUMBER('Council Entry'!Z$8),ISNUMBER('Council Entry'!Z$9)),MAX(MIN('Council Entry'!Z117,'Council Entry'!Z$9),'Council Entry'!Z$8),'Council Entry'!Z117)),IF(AND(ISNUMBER('Council Entry'!Z$8),ISNUMBER('Council Entry'!Z$9)),MAX(MIN('Council Entry'!Z117,'Council Entry'!Z$9),'Council Entry'!Z$8),'Council Entry'!Z117))))-'Council Entry'!Z$5)/('Council Entry'!Z$6-'Council Entry'!Z$5),10*((IF('Council Entry'!Z$4="Logarithm",LN(0.001+IF(AND(ISNUMBER('Council Entry'!Z$8),ISNUMBER('Council Entry'!Z$9)),MAX(MIN('Council Entry'!Z117,'Council Entry'!Z$9),'Council Entry'!Z$8),'Council Entry'!Z117)),IF('Council Entry'!Z$4="Exponential",EXP(IF(AND(ISNUMBER('Council Entry'!Z$8),ISNUMBER('Council Entry'!Z$9)),MAX(MIN('Council Entry'!Z117,'Council Entry'!Z$9),'Council Entry'!Z$8),'Council Entry'!Z117)),IF(AND(ISNUMBER('Council Entry'!Z$8),ISNUMBER('Council Entry'!Z$9)),MAX(MIN('Council Entry'!Z117,'Council Entry'!Z$9),'Council Entry'!Z$8),'Council Entry'!Z117))))-'Council Entry'!Z$5)/('Council Entry'!Z$6-'Council Entry'!Z$5)),1))),"No data"))</f>
        <v/>
      </c>
      <c r="AA117" s="13">
        <f>IF('Council Entry'!AA117="","",IFERROR(MAX(0,MIN(10,ROUND(IF('Council Entry'!AA$7="Decrease Risk",10-10*((IF('Council Entry'!AA$4="Logarithm",LN(0.001+IF(AND(ISNUMBER('Council Entry'!AA$8),ISNUMBER('Council Entry'!AA$9)),MAX(MIN('Council Entry'!AA117,'Council Entry'!AA$9),'Council Entry'!AA$8),'Council Entry'!AA117)),IF('Council Entry'!AA$4="Exponential",EXP(IF(AND(ISNUMBER('Council Entry'!AA$8),ISNUMBER('Council Entry'!AA$9)),MAX(MIN('Council Entry'!AA117,'Council Entry'!AA$9),'Council Entry'!AA$8),'Council Entry'!AA117)),IF(AND(ISNUMBER('Council Entry'!AA$8),ISNUMBER('Council Entry'!AA$9)),MAX(MIN('Council Entry'!AA117,'Council Entry'!AA$9),'Council Entry'!AA$8),'Council Entry'!AA117))))-'Council Entry'!AA$5)/('Council Entry'!AA$6-'Council Entry'!AA$5),10*((IF('Council Entry'!AA$4="Logarithm",LN(0.001+IF(AND(ISNUMBER('Council Entry'!AA$8),ISNUMBER('Council Entry'!AA$9)),MAX(MIN('Council Entry'!AA117,'Council Entry'!AA$9),'Council Entry'!AA$8),'Council Entry'!AA117)),IF('Council Entry'!AA$4="Exponential",EXP(IF(AND(ISNUMBER('Council Entry'!AA$8),ISNUMBER('Council Entry'!AA$9)),MAX(MIN('Council Entry'!AA117,'Council Entry'!AA$9),'Council Entry'!AA$8),'Council Entry'!AA117)),IF(AND(ISNUMBER('Council Entry'!AA$8),ISNUMBER('Council Entry'!AA$9)),MAX(MIN('Council Entry'!AA117,'Council Entry'!AA$9),'Council Entry'!AA$8),'Council Entry'!AA117))))-'Council Entry'!AA$5)/('Council Entry'!AA$6-'Council Entry'!AA$5)),1))),"No data"))</f>
        <v/>
      </c>
      <c r="AB117" s="13">
        <f>IF('Council Entry'!AB117="","",IFERROR(MAX(0,MIN(10,ROUND(IF('Council Entry'!AB$7="Decrease Risk",10-10*((IF('Council Entry'!AB$4="Logarithm",LN(0.001+IF(AND(ISNUMBER('Council Entry'!AB$8),ISNUMBER('Council Entry'!AB$9)),MAX(MIN('Council Entry'!AB117,'Council Entry'!AB$9),'Council Entry'!AB$8),'Council Entry'!AB117)),IF('Council Entry'!AB$4="Exponential",EXP(IF(AND(ISNUMBER('Council Entry'!AB$8),ISNUMBER('Council Entry'!AB$9)),MAX(MIN('Council Entry'!AB117,'Council Entry'!AB$9),'Council Entry'!AB$8),'Council Entry'!AB117)),IF(AND(ISNUMBER('Council Entry'!AB$8),ISNUMBER('Council Entry'!AB$9)),MAX(MIN('Council Entry'!AB117,'Council Entry'!AB$9),'Council Entry'!AB$8),'Council Entry'!AB117))))-'Council Entry'!AB$5)/('Council Entry'!AB$6-'Council Entry'!AB$5),10*((IF('Council Entry'!AB$4="Logarithm",LN(0.001+IF(AND(ISNUMBER('Council Entry'!AB$8),ISNUMBER('Council Entry'!AB$9)),MAX(MIN('Council Entry'!AB117,'Council Entry'!AB$9),'Council Entry'!AB$8),'Council Entry'!AB117)),IF('Council Entry'!AB$4="Exponential",EXP(IF(AND(ISNUMBER('Council Entry'!AB$8),ISNUMBER('Council Entry'!AB$9)),MAX(MIN('Council Entry'!AB117,'Council Entry'!AB$9),'Council Entry'!AB$8),'Council Entry'!AB117)),IF(AND(ISNUMBER('Council Entry'!AB$8),ISNUMBER('Council Entry'!AB$9)),MAX(MIN('Council Entry'!AB117,'Council Entry'!AB$9),'Council Entry'!AB$8),'Council Entry'!AB117))))-'Council Entry'!AB$5)/('Council Entry'!AB$6-'Council Entry'!AB$5)),1))),"No data"))</f>
        <v/>
      </c>
      <c r="AC117" s="13">
        <f>IF('Council Entry'!AC117="","",IFERROR(MAX(0,MIN(10,ROUND(IF('Council Entry'!AC$7="Decrease Risk",10-10*((IF('Council Entry'!AC$4="Logarithm",LN(0.001+IF(AND(ISNUMBER('Council Entry'!AC$8),ISNUMBER('Council Entry'!AC$9)),MAX(MIN('Council Entry'!AC117,'Council Entry'!AC$9),'Council Entry'!AC$8),'Council Entry'!AC117)),IF('Council Entry'!AC$4="Exponential",EXP(IF(AND(ISNUMBER('Council Entry'!AC$8),ISNUMBER('Council Entry'!AC$9)),MAX(MIN('Council Entry'!AC117,'Council Entry'!AC$9),'Council Entry'!AC$8),'Council Entry'!AC117)),IF(AND(ISNUMBER('Council Entry'!AC$8),ISNUMBER('Council Entry'!AC$9)),MAX(MIN('Council Entry'!AC117,'Council Entry'!AC$9),'Council Entry'!AC$8),'Council Entry'!AC117))))-'Council Entry'!AC$5)/('Council Entry'!AC$6-'Council Entry'!AC$5),10*((IF('Council Entry'!AC$4="Logarithm",LN(0.001+IF(AND(ISNUMBER('Council Entry'!AC$8),ISNUMBER('Council Entry'!AC$9)),MAX(MIN('Council Entry'!AC117,'Council Entry'!AC$9),'Council Entry'!AC$8),'Council Entry'!AC117)),IF('Council Entry'!AC$4="Exponential",EXP(IF(AND(ISNUMBER('Council Entry'!AC$8),ISNUMBER('Council Entry'!AC$9)),MAX(MIN('Council Entry'!AC117,'Council Entry'!AC$9),'Council Entry'!AC$8),'Council Entry'!AC117)),IF(AND(ISNUMBER('Council Entry'!AC$8),ISNUMBER('Council Entry'!AC$9)),MAX(MIN('Council Entry'!AC117,'Council Entry'!AC$9),'Council Entry'!AC$8),'Council Entry'!AC117))))-'Council Entry'!AC$5)/('Council Entry'!AC$6-'Council Entry'!AC$5)),1))),"No data"))</f>
        <v/>
      </c>
      <c r="AD117" s="13">
        <f>IF('Council Entry'!AD117="","",IFERROR(MAX(0,MIN(10,ROUND(IF('Council Entry'!AD$7="Decrease Risk",10-10*((IF('Council Entry'!AD$4="Logarithm",LN(0.001+IF(AND(ISNUMBER('Council Entry'!AD$8),ISNUMBER('Council Entry'!AD$9)),MAX(MIN('Council Entry'!AD117,'Council Entry'!AD$9),'Council Entry'!AD$8),'Council Entry'!AD117)),IF('Council Entry'!AD$4="Exponential",EXP(IF(AND(ISNUMBER('Council Entry'!AD$8),ISNUMBER('Council Entry'!AD$9)),MAX(MIN('Council Entry'!AD117,'Council Entry'!AD$9),'Council Entry'!AD$8),'Council Entry'!AD117)),IF(AND(ISNUMBER('Council Entry'!AD$8),ISNUMBER('Council Entry'!AD$9)),MAX(MIN('Council Entry'!AD117,'Council Entry'!AD$9),'Council Entry'!AD$8),'Council Entry'!AD117))))-'Council Entry'!AD$5)/('Council Entry'!AD$6-'Council Entry'!AD$5),10*((IF('Council Entry'!AD$4="Logarithm",LN(0.001+IF(AND(ISNUMBER('Council Entry'!AD$8),ISNUMBER('Council Entry'!AD$9)),MAX(MIN('Council Entry'!AD117,'Council Entry'!AD$9),'Council Entry'!AD$8),'Council Entry'!AD117)),IF('Council Entry'!AD$4="Exponential",EXP(IF(AND(ISNUMBER('Council Entry'!AD$8),ISNUMBER('Council Entry'!AD$9)),MAX(MIN('Council Entry'!AD117,'Council Entry'!AD$9),'Council Entry'!AD$8),'Council Entry'!AD117)),IF(AND(ISNUMBER('Council Entry'!AD$8),ISNUMBER('Council Entry'!AD$9)),MAX(MIN('Council Entry'!AD117,'Council Entry'!AD$9),'Council Entry'!AD$8),'Council Entry'!AD117))))-'Council Entry'!AD$5)/('Council Entry'!AD$6-'Council Entry'!AD$5)),1))),"No data"))</f>
        <v/>
      </c>
      <c r="AE117" s="13">
        <f>IF('Council Entry'!AE117="","",IFERROR(MAX(0,MIN(10,ROUND(IF('Council Entry'!AE$7="Decrease Risk",10-10*((IF('Council Entry'!AE$4="Logarithm",LN(0.001+IF(AND(ISNUMBER('Council Entry'!AE$8),ISNUMBER('Council Entry'!AE$9)),MAX(MIN('Council Entry'!AE117,'Council Entry'!AE$9),'Council Entry'!AE$8),'Council Entry'!AE117)),IF('Council Entry'!AE$4="Exponential",EXP(IF(AND(ISNUMBER('Council Entry'!AE$8),ISNUMBER('Council Entry'!AE$9)),MAX(MIN('Council Entry'!AE117,'Council Entry'!AE$9),'Council Entry'!AE$8),'Council Entry'!AE117)),IF(AND(ISNUMBER('Council Entry'!AE$8),ISNUMBER('Council Entry'!AE$9)),MAX(MIN('Council Entry'!AE117,'Council Entry'!AE$9),'Council Entry'!AE$8),'Council Entry'!AE117))))-'Council Entry'!AE$5)/('Council Entry'!AE$6-'Council Entry'!AE$5),10*((IF('Council Entry'!AE$4="Logarithm",LN(0.001+IF(AND(ISNUMBER('Council Entry'!AE$8),ISNUMBER('Council Entry'!AE$9)),MAX(MIN('Council Entry'!AE117,'Council Entry'!AE$9),'Council Entry'!AE$8),'Council Entry'!AE117)),IF('Council Entry'!AE$4="Exponential",EXP(IF(AND(ISNUMBER('Council Entry'!AE$8),ISNUMBER('Council Entry'!AE$9)),MAX(MIN('Council Entry'!AE117,'Council Entry'!AE$9),'Council Entry'!AE$8),'Council Entry'!AE117)),IF(AND(ISNUMBER('Council Entry'!AE$8),ISNUMBER('Council Entry'!AE$9)),MAX(MIN('Council Entry'!AE117,'Council Entry'!AE$9),'Council Entry'!AE$8),'Council Entry'!AE117))))-'Council Entry'!AE$5)/('Council Entry'!AE$6-'Council Entry'!AE$5)),1))),"No data"))</f>
        <v/>
      </c>
      <c r="AF117" s="13">
        <f>IF('Council Entry'!AF117="","",IFERROR(MAX(0,MIN(10,ROUND(IF('Council Entry'!AF$7="Decrease Risk",10-10*((IF('Council Entry'!AF$4="Logarithm",LN(0.001+IF(AND(ISNUMBER('Council Entry'!AF$8),ISNUMBER('Council Entry'!AF$9)),MAX(MIN('Council Entry'!AF117,'Council Entry'!AF$9),'Council Entry'!AF$8),'Council Entry'!AF117)),IF('Council Entry'!AF$4="Exponential",EXP(IF(AND(ISNUMBER('Council Entry'!AF$8),ISNUMBER('Council Entry'!AF$9)),MAX(MIN('Council Entry'!AF117,'Council Entry'!AF$9),'Council Entry'!AF$8),'Council Entry'!AF117)),IF(AND(ISNUMBER('Council Entry'!AF$8),ISNUMBER('Council Entry'!AF$9)),MAX(MIN('Council Entry'!AF117,'Council Entry'!AF$9),'Council Entry'!AF$8),'Council Entry'!AF117))))-'Council Entry'!AF$5)/('Council Entry'!AF$6-'Council Entry'!AF$5),10*((IF('Council Entry'!AF$4="Logarithm",LN(0.001+IF(AND(ISNUMBER('Council Entry'!AF$8),ISNUMBER('Council Entry'!AF$9)),MAX(MIN('Council Entry'!AF117,'Council Entry'!AF$9),'Council Entry'!AF$8),'Council Entry'!AF117)),IF('Council Entry'!AF$4="Exponential",EXP(IF(AND(ISNUMBER('Council Entry'!AF$8),ISNUMBER('Council Entry'!AF$9)),MAX(MIN('Council Entry'!AF117,'Council Entry'!AF$9),'Council Entry'!AF$8),'Council Entry'!AF117)),IF(AND(ISNUMBER('Council Entry'!AF$8),ISNUMBER('Council Entry'!AF$9)),MAX(MIN('Council Entry'!AF117,'Council Entry'!AF$9),'Council Entry'!AF$8),'Council Entry'!AF117))))-'Council Entry'!AF$5)/('Council Entry'!AF$6-'Council Entry'!AF$5)),1))),"No data"))</f>
        <v/>
      </c>
      <c r="AG117" s="13">
        <f>IF('Council Entry'!AG117="","",IFERROR(MAX(0,MIN(10,ROUND(IF('Council Entry'!AG$7="Decrease Risk",10-10*((IF('Council Entry'!AG$4="Logarithm",LN(0.001+IF(AND(ISNUMBER('Council Entry'!AG$8),ISNUMBER('Council Entry'!AG$9)),MAX(MIN('Council Entry'!AG117,'Council Entry'!AG$9),'Council Entry'!AG$8),'Council Entry'!AG117)),IF('Council Entry'!AG$4="Exponential",EXP(IF(AND(ISNUMBER('Council Entry'!AG$8),ISNUMBER('Council Entry'!AG$9)),MAX(MIN('Council Entry'!AG117,'Council Entry'!AG$9),'Council Entry'!AG$8),'Council Entry'!AG117)),IF(AND(ISNUMBER('Council Entry'!AG$8),ISNUMBER('Council Entry'!AG$9)),MAX(MIN('Council Entry'!AG117,'Council Entry'!AG$9),'Council Entry'!AG$8),'Council Entry'!AG117))))-'Council Entry'!AG$5)/('Council Entry'!AG$6-'Council Entry'!AG$5),10*((IF('Council Entry'!AG$4="Logarithm",LN(0.001+IF(AND(ISNUMBER('Council Entry'!AG$8),ISNUMBER('Council Entry'!AG$9)),MAX(MIN('Council Entry'!AG117,'Council Entry'!AG$9),'Council Entry'!AG$8),'Council Entry'!AG117)),IF('Council Entry'!AG$4="Exponential",EXP(IF(AND(ISNUMBER('Council Entry'!AG$8),ISNUMBER('Council Entry'!AG$9)),MAX(MIN('Council Entry'!AG117,'Council Entry'!AG$9),'Council Entry'!AG$8),'Council Entry'!AG117)),IF(AND(ISNUMBER('Council Entry'!AG$8),ISNUMBER('Council Entry'!AG$9)),MAX(MIN('Council Entry'!AG117,'Council Entry'!AG$9),'Council Entry'!AG$8),'Council Entry'!AG117))))-'Council Entry'!AG$5)/('Council Entry'!AG$6-'Council Entry'!AG$5)),1))),"No data"))</f>
        <v/>
      </c>
      <c r="AH117" s="13">
        <f>IF('Council Entry'!AH117="","",IFERROR(MAX(0,MIN(10,ROUND(IF('Council Entry'!AH$7="Decrease Risk",10-10*((IF('Council Entry'!AH$4="Logarithm",LN(0.001+IF(AND(ISNUMBER('Council Entry'!AH$8),ISNUMBER('Council Entry'!AH$9)),MAX(MIN('Council Entry'!AH117,'Council Entry'!AH$9),'Council Entry'!AH$8),'Council Entry'!AH117)),IF('Council Entry'!AH$4="Exponential",EXP(IF(AND(ISNUMBER('Council Entry'!AH$8),ISNUMBER('Council Entry'!AH$9)),MAX(MIN('Council Entry'!AH117,'Council Entry'!AH$9),'Council Entry'!AH$8),'Council Entry'!AH117)),IF(AND(ISNUMBER('Council Entry'!AH$8),ISNUMBER('Council Entry'!AH$9)),MAX(MIN('Council Entry'!AH117,'Council Entry'!AH$9),'Council Entry'!AH$8),'Council Entry'!AH117))))-'Council Entry'!AH$5)/('Council Entry'!AH$6-'Council Entry'!AH$5),10*((IF('Council Entry'!AH$4="Logarithm",LN(0.001+IF(AND(ISNUMBER('Council Entry'!AH$8),ISNUMBER('Council Entry'!AH$9)),MAX(MIN('Council Entry'!AH117,'Council Entry'!AH$9),'Council Entry'!AH$8),'Council Entry'!AH117)),IF('Council Entry'!AH$4="Exponential",EXP(IF(AND(ISNUMBER('Council Entry'!AH$8),ISNUMBER('Council Entry'!AH$9)),MAX(MIN('Council Entry'!AH117,'Council Entry'!AH$9),'Council Entry'!AH$8),'Council Entry'!AH117)),IF(AND(ISNUMBER('Council Entry'!AH$8),ISNUMBER('Council Entry'!AH$9)),MAX(MIN('Council Entry'!AH117,'Council Entry'!AH$9),'Council Entry'!AH$8),'Council Entry'!AH117))))-'Council Entry'!AH$5)/('Council Entry'!AH$6-'Council Entry'!AH$5)),1))),"No data"))</f>
        <v/>
      </c>
      <c r="AI117" s="13">
        <f>IF('Council Entry'!AI117="","",IFERROR(MAX(0,MIN(10,ROUND(IF('Council Entry'!AI$7="Decrease Risk",10-10*((IF('Council Entry'!AI$4="Logarithm",LN(0.001+IF(AND(ISNUMBER('Council Entry'!AI$8),ISNUMBER('Council Entry'!AI$9)),MAX(MIN('Council Entry'!AI117,'Council Entry'!AI$9),'Council Entry'!AI$8),'Council Entry'!AI117)),IF('Council Entry'!AI$4="Exponential",EXP(IF(AND(ISNUMBER('Council Entry'!AI$8),ISNUMBER('Council Entry'!AI$9)),MAX(MIN('Council Entry'!AI117,'Council Entry'!AI$9),'Council Entry'!AI$8),'Council Entry'!AI117)),IF(AND(ISNUMBER('Council Entry'!AI$8),ISNUMBER('Council Entry'!AI$9)),MAX(MIN('Council Entry'!AI117,'Council Entry'!AI$9),'Council Entry'!AI$8),'Council Entry'!AI117))))-'Council Entry'!AI$5)/('Council Entry'!AI$6-'Council Entry'!AI$5),10*((IF('Council Entry'!AI$4="Logarithm",LN(0.001+IF(AND(ISNUMBER('Council Entry'!AI$8),ISNUMBER('Council Entry'!AI$9)),MAX(MIN('Council Entry'!AI117,'Council Entry'!AI$9),'Council Entry'!AI$8),'Council Entry'!AI117)),IF('Council Entry'!AI$4="Exponential",EXP(IF(AND(ISNUMBER('Council Entry'!AI$8),ISNUMBER('Council Entry'!AI$9)),MAX(MIN('Council Entry'!AI117,'Council Entry'!AI$9),'Council Entry'!AI$8),'Council Entry'!AI117)),IF(AND(ISNUMBER('Council Entry'!AI$8),ISNUMBER('Council Entry'!AI$9)),MAX(MIN('Council Entry'!AI117,'Council Entry'!AI$9),'Council Entry'!AI$8),'Council Entry'!AI117))))-'Council Entry'!AI$5)/('Council Entry'!AI$6-'Council Entry'!AI$5)),1))),"No data"))</f>
        <v/>
      </c>
      <c r="AJ117" s="13">
        <f>IF('Council Entry'!AJ117="","",IFERROR(MAX(0,MIN(10,ROUND(IF('Council Entry'!AJ$7="Decrease Risk",10-10*((IF('Council Entry'!AJ$4="Logarithm",LN(0.001+IF(AND(ISNUMBER('Council Entry'!AJ$8),ISNUMBER('Council Entry'!AJ$9)),MAX(MIN('Council Entry'!AJ117,'Council Entry'!AJ$9),'Council Entry'!AJ$8),'Council Entry'!AJ117)),IF('Council Entry'!AJ$4="Exponential",EXP(IF(AND(ISNUMBER('Council Entry'!AJ$8),ISNUMBER('Council Entry'!AJ$9)),MAX(MIN('Council Entry'!AJ117,'Council Entry'!AJ$9),'Council Entry'!AJ$8),'Council Entry'!AJ117)),IF(AND(ISNUMBER('Council Entry'!AJ$8),ISNUMBER('Council Entry'!AJ$9)),MAX(MIN('Council Entry'!AJ117,'Council Entry'!AJ$9),'Council Entry'!AJ$8),'Council Entry'!AJ117))))-'Council Entry'!AJ$5)/('Council Entry'!AJ$6-'Council Entry'!AJ$5),10*((IF('Council Entry'!AJ$4="Logarithm",LN(0.001+IF(AND(ISNUMBER('Council Entry'!AJ$8),ISNUMBER('Council Entry'!AJ$9)),MAX(MIN('Council Entry'!AJ117,'Council Entry'!AJ$9),'Council Entry'!AJ$8),'Council Entry'!AJ117)),IF('Council Entry'!AJ$4="Exponential",EXP(IF(AND(ISNUMBER('Council Entry'!AJ$8),ISNUMBER('Council Entry'!AJ$9)),MAX(MIN('Council Entry'!AJ117,'Council Entry'!AJ$9),'Council Entry'!AJ$8),'Council Entry'!AJ117)),IF(AND(ISNUMBER('Council Entry'!AJ$8),ISNUMBER('Council Entry'!AJ$9)),MAX(MIN('Council Entry'!AJ117,'Council Entry'!AJ$9),'Council Entry'!AJ$8),'Council Entry'!AJ117))))-'Council Entry'!AJ$5)/('Council Entry'!AJ$6-'Council Entry'!AJ$5)),1))),"No data"))</f>
        <v/>
      </c>
      <c r="AK117" s="13">
        <f>IF('Council Entry'!AK117="","",IFERROR(MAX(0,MIN(10,ROUND(IF('Council Entry'!AK$7="Decrease Risk",10-10*((IF('Council Entry'!AK$4="Logarithm",LN(0.001+IF(AND(ISNUMBER('Council Entry'!AK$8),ISNUMBER('Council Entry'!AK$9)),MAX(MIN('Council Entry'!AK117,'Council Entry'!AK$9),'Council Entry'!AK$8),'Council Entry'!AK117)),IF('Council Entry'!AK$4="Exponential",EXP(IF(AND(ISNUMBER('Council Entry'!AK$8),ISNUMBER('Council Entry'!AK$9)),MAX(MIN('Council Entry'!AK117,'Council Entry'!AK$9),'Council Entry'!AK$8),'Council Entry'!AK117)),IF(AND(ISNUMBER('Council Entry'!AK$8),ISNUMBER('Council Entry'!AK$9)),MAX(MIN('Council Entry'!AK117,'Council Entry'!AK$9),'Council Entry'!AK$8),'Council Entry'!AK117))))-'Council Entry'!AK$5)/('Council Entry'!AK$6-'Council Entry'!AK$5),10*((IF('Council Entry'!AK$4="Logarithm",LN(0.001+IF(AND(ISNUMBER('Council Entry'!AK$8),ISNUMBER('Council Entry'!AK$9)),MAX(MIN('Council Entry'!AK117,'Council Entry'!AK$9),'Council Entry'!AK$8),'Council Entry'!AK117)),IF('Council Entry'!AK$4="Exponential",EXP(IF(AND(ISNUMBER('Council Entry'!AK$8),ISNUMBER('Council Entry'!AK$9)),MAX(MIN('Council Entry'!AK117,'Council Entry'!AK$9),'Council Entry'!AK$8),'Council Entry'!AK117)),IF(AND(ISNUMBER('Council Entry'!AK$8),ISNUMBER('Council Entry'!AK$9)),MAX(MIN('Council Entry'!AK117,'Council Entry'!AK$9),'Council Entry'!AK$8),'Council Entry'!AK117))))-'Council Entry'!AK$5)/('Council Entry'!AK$6-'Council Entry'!AK$5)),1))),"No data"))</f>
        <v/>
      </c>
      <c r="AL117" s="13">
        <f>IF('Council Entry'!AL117="","",IFERROR(MAX(0,MIN(10,ROUND(IF('Council Entry'!AL$7="Decrease Risk",10-10*((IF('Council Entry'!AL$4="Logarithm",LN(0.001+IF(AND(ISNUMBER('Council Entry'!AL$8),ISNUMBER('Council Entry'!AL$9)),MAX(MIN('Council Entry'!AL117,'Council Entry'!AL$9),'Council Entry'!AL$8),'Council Entry'!AL117)),IF('Council Entry'!AL$4="Exponential",EXP(IF(AND(ISNUMBER('Council Entry'!AL$8),ISNUMBER('Council Entry'!AL$9)),MAX(MIN('Council Entry'!AL117,'Council Entry'!AL$9),'Council Entry'!AL$8),'Council Entry'!AL117)),IF(AND(ISNUMBER('Council Entry'!AL$8),ISNUMBER('Council Entry'!AL$9)),MAX(MIN('Council Entry'!AL117,'Council Entry'!AL$9),'Council Entry'!AL$8),'Council Entry'!AL117))))-'Council Entry'!AL$5)/('Council Entry'!AL$6-'Council Entry'!AL$5),10*((IF('Council Entry'!AL$4="Logarithm",LN(0.001+IF(AND(ISNUMBER('Council Entry'!AL$8),ISNUMBER('Council Entry'!AL$9)),MAX(MIN('Council Entry'!AL117,'Council Entry'!AL$9),'Council Entry'!AL$8),'Council Entry'!AL117)),IF('Council Entry'!AL$4="Exponential",EXP(IF(AND(ISNUMBER('Council Entry'!AL$8),ISNUMBER('Council Entry'!AL$9)),MAX(MIN('Council Entry'!AL117,'Council Entry'!AL$9),'Council Entry'!AL$8),'Council Entry'!AL117)),IF(AND(ISNUMBER('Council Entry'!AL$8),ISNUMBER('Council Entry'!AL$9)),MAX(MIN('Council Entry'!AL117,'Council Entry'!AL$9),'Council Entry'!AL$8),'Council Entry'!AL117))))-'Council Entry'!AL$5)/('Council Entry'!AL$6-'Council Entry'!AL$5)),1))),"No data"))</f>
        <v/>
      </c>
      <c r="AM117" s="13">
        <f>IF('Council Entry'!AM117="","",IFERROR(MAX(0,MIN(10,ROUND(IF('Council Entry'!AM$7="Decrease Risk",10-10*((IF('Council Entry'!AM$4="Logarithm",LN(0.001+IF(AND(ISNUMBER('Council Entry'!AM$8),ISNUMBER('Council Entry'!AM$9)),MAX(MIN('Council Entry'!AM117,'Council Entry'!AM$9),'Council Entry'!AM$8),'Council Entry'!AM117)),IF('Council Entry'!AM$4="Exponential",EXP(IF(AND(ISNUMBER('Council Entry'!AM$8),ISNUMBER('Council Entry'!AM$9)),MAX(MIN('Council Entry'!AM117,'Council Entry'!AM$9),'Council Entry'!AM$8),'Council Entry'!AM117)),IF(AND(ISNUMBER('Council Entry'!AM$8),ISNUMBER('Council Entry'!AM$9)),MAX(MIN('Council Entry'!AM117,'Council Entry'!AM$9),'Council Entry'!AM$8),'Council Entry'!AM117))))-'Council Entry'!AM$5)/('Council Entry'!AM$6-'Council Entry'!AM$5),10*((IF('Council Entry'!AM$4="Logarithm",LN(0.001+IF(AND(ISNUMBER('Council Entry'!AM$8),ISNUMBER('Council Entry'!AM$9)),MAX(MIN('Council Entry'!AM117,'Council Entry'!AM$9),'Council Entry'!AM$8),'Council Entry'!AM117)),IF('Council Entry'!AM$4="Exponential",EXP(IF(AND(ISNUMBER('Council Entry'!AM$8),ISNUMBER('Council Entry'!AM$9)),MAX(MIN('Council Entry'!AM117,'Council Entry'!AM$9),'Council Entry'!AM$8),'Council Entry'!AM117)),IF(AND(ISNUMBER('Council Entry'!AM$8),ISNUMBER('Council Entry'!AM$9)),MAX(MIN('Council Entry'!AM117,'Council Entry'!AM$9),'Council Entry'!AM$8),'Council Entry'!AM117))))-'Council Entry'!AM$5)/('Council Entry'!AM$6-'Council Entry'!AM$5)),1))),"No data"))</f>
        <v/>
      </c>
      <c r="AN117" s="13">
        <f>IF('Council Entry'!AN117="","",IFERROR(MAX(0,MIN(10,ROUND(IF('Council Entry'!AN$7="Decrease Risk",10-10*((IF('Council Entry'!AN$4="Logarithm",LN(0.001+IF(AND(ISNUMBER('Council Entry'!AN$8),ISNUMBER('Council Entry'!AN$9)),MAX(MIN('Council Entry'!AN117,'Council Entry'!AN$9),'Council Entry'!AN$8),'Council Entry'!AN117)),IF('Council Entry'!AN$4="Exponential",EXP(IF(AND(ISNUMBER('Council Entry'!AN$8),ISNUMBER('Council Entry'!AN$9)),MAX(MIN('Council Entry'!AN117,'Council Entry'!AN$9),'Council Entry'!AN$8),'Council Entry'!AN117)),IF(AND(ISNUMBER('Council Entry'!AN$8),ISNUMBER('Council Entry'!AN$9)),MAX(MIN('Council Entry'!AN117,'Council Entry'!AN$9),'Council Entry'!AN$8),'Council Entry'!AN117))))-'Council Entry'!AN$5)/('Council Entry'!AN$6-'Council Entry'!AN$5),10*((IF('Council Entry'!AN$4="Logarithm",LN(0.001+IF(AND(ISNUMBER('Council Entry'!AN$8),ISNUMBER('Council Entry'!AN$9)),MAX(MIN('Council Entry'!AN117,'Council Entry'!AN$9),'Council Entry'!AN$8),'Council Entry'!AN117)),IF('Council Entry'!AN$4="Exponential",EXP(IF(AND(ISNUMBER('Council Entry'!AN$8),ISNUMBER('Council Entry'!AN$9)),MAX(MIN('Council Entry'!AN117,'Council Entry'!AN$9),'Council Entry'!AN$8),'Council Entry'!AN117)),IF(AND(ISNUMBER('Council Entry'!AN$8),ISNUMBER('Council Entry'!AN$9)),MAX(MIN('Council Entry'!AN117,'Council Entry'!AN$9),'Council Entry'!AN$8),'Council Entry'!AN117))))-'Council Entry'!AN$5)/('Council Entry'!AN$6-'Council Entry'!AN$5)),1))),"No data"))</f>
        <v/>
      </c>
      <c r="AO117" s="13">
        <f>IF('Council Entry'!AO117="","",IFERROR(MAX(0,MIN(10,ROUND(IF('Council Entry'!AO$7="Decrease Risk",10-10*((IF('Council Entry'!AO$4="Logarithm",LN(0.001+IF(AND(ISNUMBER('Council Entry'!AO$8),ISNUMBER('Council Entry'!AO$9)),MAX(MIN('Council Entry'!AO117,'Council Entry'!AO$9),'Council Entry'!AO$8),'Council Entry'!AO117)),IF('Council Entry'!AO$4="Exponential",EXP(IF(AND(ISNUMBER('Council Entry'!AO$8),ISNUMBER('Council Entry'!AO$9)),MAX(MIN('Council Entry'!AO117,'Council Entry'!AO$9),'Council Entry'!AO$8),'Council Entry'!AO117)),IF(AND(ISNUMBER('Council Entry'!AO$8),ISNUMBER('Council Entry'!AO$9)),MAX(MIN('Council Entry'!AO117,'Council Entry'!AO$9),'Council Entry'!AO$8),'Council Entry'!AO117))))-'Council Entry'!AO$5)/('Council Entry'!AO$6-'Council Entry'!AO$5),10*((IF('Council Entry'!AO$4="Logarithm",LN(0.001+IF(AND(ISNUMBER('Council Entry'!AO$8),ISNUMBER('Council Entry'!AO$9)),MAX(MIN('Council Entry'!AO117,'Council Entry'!AO$9),'Council Entry'!AO$8),'Council Entry'!AO117)),IF('Council Entry'!AO$4="Exponential",EXP(IF(AND(ISNUMBER('Council Entry'!AO$8),ISNUMBER('Council Entry'!AO$9)),MAX(MIN('Council Entry'!AO117,'Council Entry'!AO$9),'Council Entry'!AO$8),'Council Entry'!AO117)),IF(AND(ISNUMBER('Council Entry'!AO$8),ISNUMBER('Council Entry'!AO$9)),MAX(MIN('Council Entry'!AO117,'Council Entry'!AO$9),'Council Entry'!AO$8),'Council Entry'!AO117))))-'Council Entry'!AO$5)/('Council Entry'!AO$6-'Council Entry'!AO$5)),1))),"No data"))</f>
        <v/>
      </c>
      <c r="AP117" s="13">
        <f>IF('Council Entry'!AP117="","",IFERROR(MAX(0,MIN(10,ROUND(IF('Council Entry'!AP$7="Decrease Risk",10-10*((IF('Council Entry'!AP$4="Logarithm",LN(0.001+IF(AND(ISNUMBER('Council Entry'!AP$8),ISNUMBER('Council Entry'!AP$9)),MAX(MIN('Council Entry'!AP117,'Council Entry'!AP$9),'Council Entry'!AP$8),'Council Entry'!AP117)),IF('Council Entry'!AP$4="Exponential",EXP(IF(AND(ISNUMBER('Council Entry'!AP$8),ISNUMBER('Council Entry'!AP$9)),MAX(MIN('Council Entry'!AP117,'Council Entry'!AP$9),'Council Entry'!AP$8),'Council Entry'!AP117)),IF(AND(ISNUMBER('Council Entry'!AP$8),ISNUMBER('Council Entry'!AP$9)),MAX(MIN('Council Entry'!AP117,'Council Entry'!AP$9),'Council Entry'!AP$8),'Council Entry'!AP117))))-'Council Entry'!AP$5)/('Council Entry'!AP$6-'Council Entry'!AP$5),10*((IF('Council Entry'!AP$4="Logarithm",LN(0.001+IF(AND(ISNUMBER('Council Entry'!AP$8),ISNUMBER('Council Entry'!AP$9)),MAX(MIN('Council Entry'!AP117,'Council Entry'!AP$9),'Council Entry'!AP$8),'Council Entry'!AP117)),IF('Council Entry'!AP$4="Exponential",EXP(IF(AND(ISNUMBER('Council Entry'!AP$8),ISNUMBER('Council Entry'!AP$9)),MAX(MIN('Council Entry'!AP117,'Council Entry'!AP$9),'Council Entry'!AP$8),'Council Entry'!AP117)),IF(AND(ISNUMBER('Council Entry'!AP$8),ISNUMBER('Council Entry'!AP$9)),MAX(MIN('Council Entry'!AP117,'Council Entry'!AP$9),'Council Entry'!AP$8),'Council Entry'!AP117))))-'Council Entry'!AP$5)/('Council Entry'!AP$6-'Council Entry'!AP$5)),1))),"No data"))</f>
        <v/>
      </c>
      <c r="AQ117" s="13">
        <f>IF('Council Entry'!AQ117="","",IFERROR(MAX(0,MIN(10,ROUND(IF('Council Entry'!AQ$7="Decrease Risk",10-10*((IF('Council Entry'!AQ$4="Logarithm",LN(0.001+IF(AND(ISNUMBER('Council Entry'!AQ$8),ISNUMBER('Council Entry'!AQ$9)),MAX(MIN('Council Entry'!AQ117,'Council Entry'!AQ$9),'Council Entry'!AQ$8),'Council Entry'!AQ117)),IF('Council Entry'!AQ$4="Exponential",EXP(IF(AND(ISNUMBER('Council Entry'!AQ$8),ISNUMBER('Council Entry'!AQ$9)),MAX(MIN('Council Entry'!AQ117,'Council Entry'!AQ$9),'Council Entry'!AQ$8),'Council Entry'!AQ117)),IF(AND(ISNUMBER('Council Entry'!AQ$8),ISNUMBER('Council Entry'!AQ$9)),MAX(MIN('Council Entry'!AQ117,'Council Entry'!AQ$9),'Council Entry'!AQ$8),'Council Entry'!AQ117))))-'Council Entry'!AQ$5)/('Council Entry'!AQ$6-'Council Entry'!AQ$5),10*((IF('Council Entry'!AQ$4="Logarithm",LN(0.001+IF(AND(ISNUMBER('Council Entry'!AQ$8),ISNUMBER('Council Entry'!AQ$9)),MAX(MIN('Council Entry'!AQ117,'Council Entry'!AQ$9),'Council Entry'!AQ$8),'Council Entry'!AQ117)),IF('Council Entry'!AQ$4="Exponential",EXP(IF(AND(ISNUMBER('Council Entry'!AQ$8),ISNUMBER('Council Entry'!AQ$9)),MAX(MIN('Council Entry'!AQ117,'Council Entry'!AQ$9),'Council Entry'!AQ$8),'Council Entry'!AQ117)),IF(AND(ISNUMBER('Council Entry'!AQ$8),ISNUMBER('Council Entry'!AQ$9)),MAX(MIN('Council Entry'!AQ117,'Council Entry'!AQ$9),'Council Entry'!AQ$8),'Council Entry'!AQ117))))-'Council Entry'!AQ$5)/('Council Entry'!AQ$6-'Council Entry'!AQ$5)),1))),"No data"))</f>
        <v/>
      </c>
      <c r="AR117" s="13">
        <f>IF('Council Entry'!AR117="","",IFERROR(MAX(0,MIN(10,ROUND(IF('Council Entry'!AR$7="Decrease Risk",10-10*((IF('Council Entry'!AR$4="Logarithm",LN(0.001+IF(AND(ISNUMBER('Council Entry'!AR$8),ISNUMBER('Council Entry'!AR$9)),MAX(MIN('Council Entry'!AR117,'Council Entry'!AR$9),'Council Entry'!AR$8),'Council Entry'!AR117)),IF('Council Entry'!AR$4="Exponential",EXP(IF(AND(ISNUMBER('Council Entry'!AR$8),ISNUMBER('Council Entry'!AR$9)),MAX(MIN('Council Entry'!AR117,'Council Entry'!AR$9),'Council Entry'!AR$8),'Council Entry'!AR117)),IF(AND(ISNUMBER('Council Entry'!AR$8),ISNUMBER('Council Entry'!AR$9)),MAX(MIN('Council Entry'!AR117,'Council Entry'!AR$9),'Council Entry'!AR$8),'Council Entry'!AR117))))-'Council Entry'!AR$5)/('Council Entry'!AR$6-'Council Entry'!AR$5),10*((IF('Council Entry'!AR$4="Logarithm",LN(0.001+IF(AND(ISNUMBER('Council Entry'!AR$8),ISNUMBER('Council Entry'!AR$9)),MAX(MIN('Council Entry'!AR117,'Council Entry'!AR$9),'Council Entry'!AR$8),'Council Entry'!AR117)),IF('Council Entry'!AR$4="Exponential",EXP(IF(AND(ISNUMBER('Council Entry'!AR$8),ISNUMBER('Council Entry'!AR$9)),MAX(MIN('Council Entry'!AR117,'Council Entry'!AR$9),'Council Entry'!AR$8),'Council Entry'!AR117)),IF(AND(ISNUMBER('Council Entry'!AR$8),ISNUMBER('Council Entry'!AR$9)),MAX(MIN('Council Entry'!AR117,'Council Entry'!AR$9),'Council Entry'!AR$8),'Council Entry'!AR117))))-'Council Entry'!AR$5)/('Council Entry'!AR$6-'Council Entry'!AR$5)),1))),"No data"))</f>
        <v/>
      </c>
      <c r="AS117" s="13">
        <f>IF('Council Entry'!AS117="","",IFERROR(MAX(0,MIN(10,ROUND(IF('Council Entry'!AS$7="Decrease Risk",10-10*((IF('Council Entry'!AS$4="Logarithm",LN(0.001+IF(AND(ISNUMBER('Council Entry'!AS$8),ISNUMBER('Council Entry'!AS$9)),MAX(MIN('Council Entry'!AS117,'Council Entry'!AS$9),'Council Entry'!AS$8),'Council Entry'!AS117)),IF('Council Entry'!AS$4="Exponential",EXP(IF(AND(ISNUMBER('Council Entry'!AS$8),ISNUMBER('Council Entry'!AS$9)),MAX(MIN('Council Entry'!AS117,'Council Entry'!AS$9),'Council Entry'!AS$8),'Council Entry'!AS117)),IF(AND(ISNUMBER('Council Entry'!AS$8),ISNUMBER('Council Entry'!AS$9)),MAX(MIN('Council Entry'!AS117,'Council Entry'!AS$9),'Council Entry'!AS$8),'Council Entry'!AS117))))-'Council Entry'!AS$5)/('Council Entry'!AS$6-'Council Entry'!AS$5),10*((IF('Council Entry'!AS$4="Logarithm",LN(0.001+IF(AND(ISNUMBER('Council Entry'!AS$8),ISNUMBER('Council Entry'!AS$9)),MAX(MIN('Council Entry'!AS117,'Council Entry'!AS$9),'Council Entry'!AS$8),'Council Entry'!AS117)),IF('Council Entry'!AS$4="Exponential",EXP(IF(AND(ISNUMBER('Council Entry'!AS$8),ISNUMBER('Council Entry'!AS$9)),MAX(MIN('Council Entry'!AS117,'Council Entry'!AS$9),'Council Entry'!AS$8),'Council Entry'!AS117)),IF(AND(ISNUMBER('Council Entry'!AS$8),ISNUMBER('Council Entry'!AS$9)),MAX(MIN('Council Entry'!AS117,'Council Entry'!AS$9),'Council Entry'!AS$8),'Council Entry'!AS117))))-'Council Entry'!AS$5)/('Council Entry'!AS$6-'Council Entry'!AS$5)),1))),"No data"))</f>
        <v/>
      </c>
      <c r="AT117" s="13">
        <f>IF('Council Entry'!AT117="","",IFERROR(MAX(0,MIN(10,ROUND(IF('Council Entry'!AT$7="Decrease Risk",10-10*((IF('Council Entry'!AT$4="Logarithm",LN(0.001+IF(AND(ISNUMBER('Council Entry'!AT$8),ISNUMBER('Council Entry'!AT$9)),MAX(MIN('Council Entry'!AT117,'Council Entry'!AT$9),'Council Entry'!AT$8),'Council Entry'!AT117)),IF('Council Entry'!AT$4="Exponential",EXP(IF(AND(ISNUMBER('Council Entry'!AT$8),ISNUMBER('Council Entry'!AT$9)),MAX(MIN('Council Entry'!AT117,'Council Entry'!AT$9),'Council Entry'!AT$8),'Council Entry'!AT117)),IF(AND(ISNUMBER('Council Entry'!AT$8),ISNUMBER('Council Entry'!AT$9)),MAX(MIN('Council Entry'!AT117,'Council Entry'!AT$9),'Council Entry'!AT$8),'Council Entry'!AT117))))-'Council Entry'!AT$5)/('Council Entry'!AT$6-'Council Entry'!AT$5),10*((IF('Council Entry'!AT$4="Logarithm",LN(0.001+IF(AND(ISNUMBER('Council Entry'!AT$8),ISNUMBER('Council Entry'!AT$9)),MAX(MIN('Council Entry'!AT117,'Council Entry'!AT$9),'Council Entry'!AT$8),'Council Entry'!AT117)),IF('Council Entry'!AT$4="Exponential",EXP(IF(AND(ISNUMBER('Council Entry'!AT$8),ISNUMBER('Council Entry'!AT$9)),MAX(MIN('Council Entry'!AT117,'Council Entry'!AT$9),'Council Entry'!AT$8),'Council Entry'!AT117)),IF(AND(ISNUMBER('Council Entry'!AT$8),ISNUMBER('Council Entry'!AT$9)),MAX(MIN('Council Entry'!AT117,'Council Entry'!AT$9),'Council Entry'!AT$8),'Council Entry'!AT117))))-'Council Entry'!AT$5)/('Council Entry'!AT$6-'Council Entry'!AT$5)),1))),"No data"))</f>
        <v/>
      </c>
      <c r="AU117" s="13">
        <f>IF('Council Entry'!AU117="","",IFERROR(MAX(0,MIN(10,ROUND(IF('Council Entry'!AU$7="Decrease Risk",10-10*((IF('Council Entry'!AU$4="Logarithm",LN(0.001+IF(AND(ISNUMBER('Council Entry'!AU$8),ISNUMBER('Council Entry'!AU$9)),MAX(MIN('Council Entry'!AU117,'Council Entry'!AU$9),'Council Entry'!AU$8),'Council Entry'!AU117)),IF('Council Entry'!AU$4="Exponential",EXP(IF(AND(ISNUMBER('Council Entry'!AU$8),ISNUMBER('Council Entry'!AU$9)),MAX(MIN('Council Entry'!AU117,'Council Entry'!AU$9),'Council Entry'!AU$8),'Council Entry'!AU117)),IF(AND(ISNUMBER('Council Entry'!AU$8),ISNUMBER('Council Entry'!AU$9)),MAX(MIN('Council Entry'!AU117,'Council Entry'!AU$9),'Council Entry'!AU$8),'Council Entry'!AU117))))-'Council Entry'!AU$5)/('Council Entry'!AU$6-'Council Entry'!AU$5),10*((IF('Council Entry'!AU$4="Logarithm",LN(0.001+IF(AND(ISNUMBER('Council Entry'!AU$8),ISNUMBER('Council Entry'!AU$9)),MAX(MIN('Council Entry'!AU117,'Council Entry'!AU$9),'Council Entry'!AU$8),'Council Entry'!AU117)),IF('Council Entry'!AU$4="Exponential",EXP(IF(AND(ISNUMBER('Council Entry'!AU$8),ISNUMBER('Council Entry'!AU$9)),MAX(MIN('Council Entry'!AU117,'Council Entry'!AU$9),'Council Entry'!AU$8),'Council Entry'!AU117)),IF(AND(ISNUMBER('Council Entry'!AU$8),ISNUMBER('Council Entry'!AU$9)),MAX(MIN('Council Entry'!AU117,'Council Entry'!AU$9),'Council Entry'!AU$8),'Council Entry'!AU117))))-'Council Entry'!AU$5)/('Council Entry'!AU$6-'Council Entry'!AU$5)),1))),"No data"))</f>
        <v/>
      </c>
      <c r="AV117" s="13">
        <f>IF('Council Entry'!AV117="","",IFERROR(MAX(0,MIN(10,ROUND(IF('Council Entry'!AV$7="Decrease Risk",10-10*((IF('Council Entry'!AV$4="Logarithm",LN(0.001+IF(AND(ISNUMBER('Council Entry'!AV$8),ISNUMBER('Council Entry'!AV$9)),MAX(MIN('Council Entry'!AV117,'Council Entry'!AV$9),'Council Entry'!AV$8),'Council Entry'!AV117)),IF('Council Entry'!AV$4="Exponential",EXP(IF(AND(ISNUMBER('Council Entry'!AV$8),ISNUMBER('Council Entry'!AV$9)),MAX(MIN('Council Entry'!AV117,'Council Entry'!AV$9),'Council Entry'!AV$8),'Council Entry'!AV117)),IF(AND(ISNUMBER('Council Entry'!AV$8),ISNUMBER('Council Entry'!AV$9)),MAX(MIN('Council Entry'!AV117,'Council Entry'!AV$9),'Council Entry'!AV$8),'Council Entry'!AV117))))-'Council Entry'!AV$5)/('Council Entry'!AV$6-'Council Entry'!AV$5),10*((IF('Council Entry'!AV$4="Logarithm",LN(0.001+IF(AND(ISNUMBER('Council Entry'!AV$8),ISNUMBER('Council Entry'!AV$9)),MAX(MIN('Council Entry'!AV117,'Council Entry'!AV$9),'Council Entry'!AV$8),'Council Entry'!AV117)),IF('Council Entry'!AV$4="Exponential",EXP(IF(AND(ISNUMBER('Council Entry'!AV$8),ISNUMBER('Council Entry'!AV$9)),MAX(MIN('Council Entry'!AV117,'Council Entry'!AV$9),'Council Entry'!AV$8),'Council Entry'!AV117)),IF(AND(ISNUMBER('Council Entry'!AV$8),ISNUMBER('Council Entry'!AV$9)),MAX(MIN('Council Entry'!AV117,'Council Entry'!AV$9),'Council Entry'!AV$8),'Council Entry'!AV117))))-'Council Entry'!AV$5)/('Council Entry'!AV$6-'Council Entry'!AV$5)),1))),"No data"))</f>
        <v/>
      </c>
      <c r="AW117" s="13">
        <f>IF('Council Entry'!AW117="","",IFERROR(MAX(0,MIN(10,ROUND(IF('Council Entry'!AW$7="Decrease Risk",10-10*((IF('Council Entry'!AW$4="Logarithm",LN(0.001+IF(AND(ISNUMBER('Council Entry'!AW$8),ISNUMBER('Council Entry'!AW$9)),MAX(MIN('Council Entry'!AW117,'Council Entry'!AW$9),'Council Entry'!AW$8),'Council Entry'!AW117)),IF('Council Entry'!AW$4="Exponential",EXP(IF(AND(ISNUMBER('Council Entry'!AW$8),ISNUMBER('Council Entry'!AW$9)),MAX(MIN('Council Entry'!AW117,'Council Entry'!AW$9),'Council Entry'!AW$8),'Council Entry'!AW117)),IF(AND(ISNUMBER('Council Entry'!AW$8),ISNUMBER('Council Entry'!AW$9)),MAX(MIN('Council Entry'!AW117,'Council Entry'!AW$9),'Council Entry'!AW$8),'Council Entry'!AW117))))-'Council Entry'!AW$5)/('Council Entry'!AW$6-'Council Entry'!AW$5),10*((IF('Council Entry'!AW$4="Logarithm",LN(0.001+IF(AND(ISNUMBER('Council Entry'!AW$8),ISNUMBER('Council Entry'!AW$9)),MAX(MIN('Council Entry'!AW117,'Council Entry'!AW$9),'Council Entry'!AW$8),'Council Entry'!AW117)),IF('Council Entry'!AW$4="Exponential",EXP(IF(AND(ISNUMBER('Council Entry'!AW$8),ISNUMBER('Council Entry'!AW$9)),MAX(MIN('Council Entry'!AW117,'Council Entry'!AW$9),'Council Entry'!AW$8),'Council Entry'!AW117)),IF(AND(ISNUMBER('Council Entry'!AW$8),ISNUMBER('Council Entry'!AW$9)),MAX(MIN('Council Entry'!AW117,'Council Entry'!AW$9),'Council Entry'!AW$8),'Council Entry'!AW117))))-'Council Entry'!AW$5)/('Council Entry'!AW$6-'Council Entry'!AW$5)),1))),"No data"))</f>
        <v/>
      </c>
      <c r="AX117" s="13">
        <f>IF('Council Entry'!AX117="","",IFERROR(MAX(0,MIN(10,ROUND(IF('Council Entry'!AX$7="Decrease Risk",10-10*((IF('Council Entry'!AX$4="Logarithm",LN(0.001+IF(AND(ISNUMBER('Council Entry'!AX$8),ISNUMBER('Council Entry'!AX$9)),MAX(MIN('Council Entry'!AX117,'Council Entry'!AX$9),'Council Entry'!AX$8),'Council Entry'!AX117)),IF('Council Entry'!AX$4="Exponential",EXP(IF(AND(ISNUMBER('Council Entry'!AX$8),ISNUMBER('Council Entry'!AX$9)),MAX(MIN('Council Entry'!AX117,'Council Entry'!AX$9),'Council Entry'!AX$8),'Council Entry'!AX117)),IF(AND(ISNUMBER('Council Entry'!AX$8),ISNUMBER('Council Entry'!AX$9)),MAX(MIN('Council Entry'!AX117,'Council Entry'!AX$9),'Council Entry'!AX$8),'Council Entry'!AX117))))-'Council Entry'!AX$5)/('Council Entry'!AX$6-'Council Entry'!AX$5),10*((IF('Council Entry'!AX$4="Logarithm",LN(0.001+IF(AND(ISNUMBER('Council Entry'!AX$8),ISNUMBER('Council Entry'!AX$9)),MAX(MIN('Council Entry'!AX117,'Council Entry'!AX$9),'Council Entry'!AX$8),'Council Entry'!AX117)),IF('Council Entry'!AX$4="Exponential",EXP(IF(AND(ISNUMBER('Council Entry'!AX$8),ISNUMBER('Council Entry'!AX$9)),MAX(MIN('Council Entry'!AX117,'Council Entry'!AX$9),'Council Entry'!AX$8),'Council Entry'!AX117)),IF(AND(ISNUMBER('Council Entry'!AX$8),ISNUMBER('Council Entry'!AX$9)),MAX(MIN('Council Entry'!AX117,'Council Entry'!AX$9),'Council Entry'!AX$8),'Council Entry'!AX117))))-'Council Entry'!AX$5)/('Council Entry'!AX$6-'Council Entry'!AX$5)),1))),"No data"))</f>
        <v/>
      </c>
      <c r="AY117" s="13">
        <f>IF('Council Entry'!AY117="","",IFERROR(MAX(0,MIN(10,ROUND(IF('Council Entry'!AY$7="Decrease Risk",10-10*((IF('Council Entry'!AY$4="Logarithm",LN(0.001+IF(AND(ISNUMBER('Council Entry'!AY$8),ISNUMBER('Council Entry'!AY$9)),MAX(MIN('Council Entry'!AY117,'Council Entry'!AY$9),'Council Entry'!AY$8),'Council Entry'!AY117)),IF('Council Entry'!AY$4="Exponential",EXP(IF(AND(ISNUMBER('Council Entry'!AY$8),ISNUMBER('Council Entry'!AY$9)),MAX(MIN('Council Entry'!AY117,'Council Entry'!AY$9),'Council Entry'!AY$8),'Council Entry'!AY117)),IF(AND(ISNUMBER('Council Entry'!AY$8),ISNUMBER('Council Entry'!AY$9)),MAX(MIN('Council Entry'!AY117,'Council Entry'!AY$9),'Council Entry'!AY$8),'Council Entry'!AY117))))-'Council Entry'!AY$5)/('Council Entry'!AY$6-'Council Entry'!AY$5),10*((IF('Council Entry'!AY$4="Logarithm",LN(0.001+IF(AND(ISNUMBER('Council Entry'!AY$8),ISNUMBER('Council Entry'!AY$9)),MAX(MIN('Council Entry'!AY117,'Council Entry'!AY$9),'Council Entry'!AY$8),'Council Entry'!AY117)),IF('Council Entry'!AY$4="Exponential",EXP(IF(AND(ISNUMBER('Council Entry'!AY$8),ISNUMBER('Council Entry'!AY$9)),MAX(MIN('Council Entry'!AY117,'Council Entry'!AY$9),'Council Entry'!AY$8),'Council Entry'!AY117)),IF(AND(ISNUMBER('Council Entry'!AY$8),ISNUMBER('Council Entry'!AY$9)),MAX(MIN('Council Entry'!AY117,'Council Entry'!AY$9),'Council Entry'!AY$8),'Council Entry'!AY117))))-'Council Entry'!AY$5)/('Council Entry'!AY$6-'Council Entry'!AY$5)),1))),"No data"))</f>
        <v/>
      </c>
      <c r="AZ117" s="13">
        <f>IF('Council Entry'!AZ117="","",IFERROR(MAX(0,MIN(10,ROUND(IF('Council Entry'!AZ$7="Decrease Risk",10-10*((IF('Council Entry'!AZ$4="Logarithm",LN(0.001+IF(AND(ISNUMBER('Council Entry'!AZ$8),ISNUMBER('Council Entry'!AZ$9)),MAX(MIN('Council Entry'!AZ117,'Council Entry'!AZ$9),'Council Entry'!AZ$8),'Council Entry'!AZ117)),IF('Council Entry'!AZ$4="Exponential",EXP(IF(AND(ISNUMBER('Council Entry'!AZ$8),ISNUMBER('Council Entry'!AZ$9)),MAX(MIN('Council Entry'!AZ117,'Council Entry'!AZ$9),'Council Entry'!AZ$8),'Council Entry'!AZ117)),IF(AND(ISNUMBER('Council Entry'!AZ$8),ISNUMBER('Council Entry'!AZ$9)),MAX(MIN('Council Entry'!AZ117,'Council Entry'!AZ$9),'Council Entry'!AZ$8),'Council Entry'!AZ117))))-'Council Entry'!AZ$5)/('Council Entry'!AZ$6-'Council Entry'!AZ$5),10*((IF('Council Entry'!AZ$4="Logarithm",LN(0.001+IF(AND(ISNUMBER('Council Entry'!AZ$8),ISNUMBER('Council Entry'!AZ$9)),MAX(MIN('Council Entry'!AZ117,'Council Entry'!AZ$9),'Council Entry'!AZ$8),'Council Entry'!AZ117)),IF('Council Entry'!AZ$4="Exponential",EXP(IF(AND(ISNUMBER('Council Entry'!AZ$8),ISNUMBER('Council Entry'!AZ$9)),MAX(MIN('Council Entry'!AZ117,'Council Entry'!AZ$9),'Council Entry'!AZ$8),'Council Entry'!AZ117)),IF(AND(ISNUMBER('Council Entry'!AZ$8),ISNUMBER('Council Entry'!AZ$9)),MAX(MIN('Council Entry'!AZ117,'Council Entry'!AZ$9),'Council Entry'!AZ$8),'Council Entry'!AZ117))))-'Council Entry'!AZ$5)/('Council Entry'!AZ$6-'Council Entry'!AZ$5)),1))),"No data"))</f>
        <v/>
      </c>
      <c r="BA117" s="13">
        <f>IF('Council Entry'!BA117="","",IFERROR(MAX(0,MIN(10,ROUND(IF('Council Entry'!BA$7="Decrease Risk",10-10*((IF('Council Entry'!BA$4="Logarithm",LN(0.001+IF(AND(ISNUMBER('Council Entry'!BA$8),ISNUMBER('Council Entry'!BA$9)),MAX(MIN('Council Entry'!BA117,'Council Entry'!BA$9),'Council Entry'!BA$8),'Council Entry'!BA117)),IF('Council Entry'!BA$4="Exponential",EXP(IF(AND(ISNUMBER('Council Entry'!BA$8),ISNUMBER('Council Entry'!BA$9)),MAX(MIN('Council Entry'!BA117,'Council Entry'!BA$9),'Council Entry'!BA$8),'Council Entry'!BA117)),IF(AND(ISNUMBER('Council Entry'!BA$8),ISNUMBER('Council Entry'!BA$9)),MAX(MIN('Council Entry'!BA117,'Council Entry'!BA$9),'Council Entry'!BA$8),'Council Entry'!BA117))))-'Council Entry'!BA$5)/('Council Entry'!BA$6-'Council Entry'!BA$5),10*((IF('Council Entry'!BA$4="Logarithm",LN(0.001+IF(AND(ISNUMBER('Council Entry'!BA$8),ISNUMBER('Council Entry'!BA$9)),MAX(MIN('Council Entry'!BA117,'Council Entry'!BA$9),'Council Entry'!BA$8),'Council Entry'!BA117)),IF('Council Entry'!BA$4="Exponential",EXP(IF(AND(ISNUMBER('Council Entry'!BA$8),ISNUMBER('Council Entry'!BA$9)),MAX(MIN('Council Entry'!BA117,'Council Entry'!BA$9),'Council Entry'!BA$8),'Council Entry'!BA117)),IF(AND(ISNUMBER('Council Entry'!BA$8),ISNUMBER('Council Entry'!BA$9)),MAX(MIN('Council Entry'!BA117,'Council Entry'!BA$9),'Council Entry'!BA$8),'Council Entry'!BA117))))-'Council Entry'!BA$5)/('Council Entry'!BA$6-'Council Entry'!BA$5)),1))),"No data"))</f>
        <v/>
      </c>
      <c r="BB117" s="13">
        <f>IF('Council Entry'!BB117="","",IFERROR(MAX(0,MIN(10,ROUND(IF('Council Entry'!BB$7="Decrease Risk",10-10*((IF('Council Entry'!BB$4="Logarithm",LN(0.001+IF(AND(ISNUMBER('Council Entry'!BB$8),ISNUMBER('Council Entry'!BB$9)),MAX(MIN('Council Entry'!BB117,'Council Entry'!BB$9),'Council Entry'!BB$8),'Council Entry'!BB117)),IF('Council Entry'!BB$4="Exponential",EXP(IF(AND(ISNUMBER('Council Entry'!BB$8),ISNUMBER('Council Entry'!BB$9)),MAX(MIN('Council Entry'!BB117,'Council Entry'!BB$9),'Council Entry'!BB$8),'Council Entry'!BB117)),IF(AND(ISNUMBER('Council Entry'!BB$8),ISNUMBER('Council Entry'!BB$9)),MAX(MIN('Council Entry'!BB117,'Council Entry'!BB$9),'Council Entry'!BB$8),'Council Entry'!BB117))))-'Council Entry'!BB$5)/('Council Entry'!BB$6-'Council Entry'!BB$5),10*((IF('Council Entry'!BB$4="Logarithm",LN(0.001+IF(AND(ISNUMBER('Council Entry'!BB$8),ISNUMBER('Council Entry'!BB$9)),MAX(MIN('Council Entry'!BB117,'Council Entry'!BB$9),'Council Entry'!BB$8),'Council Entry'!BB117)),IF('Council Entry'!BB$4="Exponential",EXP(IF(AND(ISNUMBER('Council Entry'!BB$8),ISNUMBER('Council Entry'!BB$9)),MAX(MIN('Council Entry'!BB117,'Council Entry'!BB$9),'Council Entry'!BB$8),'Council Entry'!BB117)),IF(AND(ISNUMBER('Council Entry'!BB$8),ISNUMBER('Council Entry'!BB$9)),MAX(MIN('Council Entry'!BB117,'Council Entry'!BB$9),'Council Entry'!BB$8),'Council Entry'!BB117))))-'Council Entry'!BB$5)/('Council Entry'!BB$6-'Council Entry'!BB$5)),1))),"No data"))</f>
        <v/>
      </c>
      <c r="BC117" s="13">
        <f>IF('Council Entry'!BC117="","",IFERROR(MAX(0,MIN(10,ROUND(IF('Council Entry'!BC$7="Decrease Risk",10-10*((IF('Council Entry'!BC$4="Logarithm",LN(0.001+IF(AND(ISNUMBER('Council Entry'!BC$8),ISNUMBER('Council Entry'!BC$9)),MAX(MIN('Council Entry'!BC117,'Council Entry'!BC$9),'Council Entry'!BC$8),'Council Entry'!BC117)),IF('Council Entry'!BC$4="Exponential",EXP(IF(AND(ISNUMBER('Council Entry'!BC$8),ISNUMBER('Council Entry'!BC$9)),MAX(MIN('Council Entry'!BC117,'Council Entry'!BC$9),'Council Entry'!BC$8),'Council Entry'!BC117)),IF(AND(ISNUMBER('Council Entry'!BC$8),ISNUMBER('Council Entry'!BC$9)),MAX(MIN('Council Entry'!BC117,'Council Entry'!BC$9),'Council Entry'!BC$8),'Council Entry'!BC117))))-'Council Entry'!BC$5)/('Council Entry'!BC$6-'Council Entry'!BC$5),10*((IF('Council Entry'!BC$4="Logarithm",LN(0.001+IF(AND(ISNUMBER('Council Entry'!BC$8),ISNUMBER('Council Entry'!BC$9)),MAX(MIN('Council Entry'!BC117,'Council Entry'!BC$9),'Council Entry'!BC$8),'Council Entry'!BC117)),IF('Council Entry'!BC$4="Exponential",EXP(IF(AND(ISNUMBER('Council Entry'!BC$8),ISNUMBER('Council Entry'!BC$9)),MAX(MIN('Council Entry'!BC117,'Council Entry'!BC$9),'Council Entry'!BC$8),'Council Entry'!BC117)),IF(AND(ISNUMBER('Council Entry'!BC$8),ISNUMBER('Council Entry'!BC$9)),MAX(MIN('Council Entry'!BC117,'Council Entry'!BC$9),'Council Entry'!BC$8),'Council Entry'!BC117))))-'Council Entry'!BC$5)/('Council Entry'!BC$6-'Council Entry'!BC$5)),1))),"No data"))</f>
        <v/>
      </c>
      <c r="BD117" s="13">
        <f>IF('Council Entry'!BD117="","",IFERROR(MAX(0,MIN(10,ROUND(IF('Council Entry'!BD$7="Decrease Risk",10-10*((IF('Council Entry'!BD$4="Logarithm",LN(0.001+IF(AND(ISNUMBER('Council Entry'!BD$8),ISNUMBER('Council Entry'!BD$9)),MAX(MIN('Council Entry'!BD117,'Council Entry'!BD$9),'Council Entry'!BD$8),'Council Entry'!BD117)),IF('Council Entry'!BD$4="Exponential",EXP(IF(AND(ISNUMBER('Council Entry'!BD$8),ISNUMBER('Council Entry'!BD$9)),MAX(MIN('Council Entry'!BD117,'Council Entry'!BD$9),'Council Entry'!BD$8),'Council Entry'!BD117)),IF(AND(ISNUMBER('Council Entry'!BD$8),ISNUMBER('Council Entry'!BD$9)),MAX(MIN('Council Entry'!BD117,'Council Entry'!BD$9),'Council Entry'!BD$8),'Council Entry'!BD117))))-'Council Entry'!BD$5)/('Council Entry'!BD$6-'Council Entry'!BD$5),10*((IF('Council Entry'!BD$4="Logarithm",LN(0.001+IF(AND(ISNUMBER('Council Entry'!BD$8),ISNUMBER('Council Entry'!BD$9)),MAX(MIN('Council Entry'!BD117,'Council Entry'!BD$9),'Council Entry'!BD$8),'Council Entry'!BD117)),IF('Council Entry'!BD$4="Exponential",EXP(IF(AND(ISNUMBER('Council Entry'!BD$8),ISNUMBER('Council Entry'!BD$9)),MAX(MIN('Council Entry'!BD117,'Council Entry'!BD$9),'Council Entry'!BD$8),'Council Entry'!BD117)),IF(AND(ISNUMBER('Council Entry'!BD$8),ISNUMBER('Council Entry'!BD$9)),MAX(MIN('Council Entry'!BD117,'Council Entry'!BD$9),'Council Entry'!BD$8),'Council Entry'!BD117))))-'Council Entry'!BD$5)/('Council Entry'!BD$6-'Council Entry'!BD$5)),1))),"No data"))</f>
        <v/>
      </c>
    </row>
    <row r="118">
      <c r="A118" t="inlineStr">
        <is>
          <t>Morogoro</t>
        </is>
      </c>
      <c r="B118" t="inlineStr">
        <is>
          <t>Ulanga District</t>
        </is>
      </c>
      <c r="C118" t="inlineStr">
        <is>
          <t>C039</t>
        </is>
      </c>
      <c r="D118" s="13">
        <f>IF('Council Entry'!D118="","",IFERROR(MAX(0,MIN(10,ROUND(IF('Council Entry'!D$7="Decrease Risk",10-10*((IF('Council Entry'!D$4="Logarithm",LN(0.001+IF(AND(ISNUMBER('Council Entry'!D$8),ISNUMBER('Council Entry'!D$9)),MAX(MIN('Council Entry'!D118,'Council Entry'!D$9),'Council Entry'!D$8),'Council Entry'!D118)),IF('Council Entry'!D$4="Exponential",EXP(IF(AND(ISNUMBER('Council Entry'!D$8),ISNUMBER('Council Entry'!D$9)),MAX(MIN('Council Entry'!D118,'Council Entry'!D$9),'Council Entry'!D$8),'Council Entry'!D118)),IF(AND(ISNUMBER('Council Entry'!D$8),ISNUMBER('Council Entry'!D$9)),MAX(MIN('Council Entry'!D118,'Council Entry'!D$9),'Council Entry'!D$8),'Council Entry'!D118))))-'Council Entry'!D$5)/('Council Entry'!D$6-'Council Entry'!D$5),10*((IF('Council Entry'!D$4="Logarithm",LN(0.001+IF(AND(ISNUMBER('Council Entry'!D$8),ISNUMBER('Council Entry'!D$9)),MAX(MIN('Council Entry'!D118,'Council Entry'!D$9),'Council Entry'!D$8),'Council Entry'!D118)),IF('Council Entry'!D$4="Exponential",EXP(IF(AND(ISNUMBER('Council Entry'!D$8),ISNUMBER('Council Entry'!D$9)),MAX(MIN('Council Entry'!D118,'Council Entry'!D$9),'Council Entry'!D$8),'Council Entry'!D118)),IF(AND(ISNUMBER('Council Entry'!D$8),ISNUMBER('Council Entry'!D$9)),MAX(MIN('Council Entry'!D118,'Council Entry'!D$9),'Council Entry'!D$8),'Council Entry'!D118))))-'Council Entry'!D$5)/('Council Entry'!D$6-'Council Entry'!D$5)),1))),"No data"))</f>
        <v/>
      </c>
      <c r="E118" s="13">
        <f>IF('Council Entry'!E118="","",IFERROR(MAX(0,MIN(10,ROUND(IF('Council Entry'!E$7="Decrease Risk",10-10*((IF('Council Entry'!E$4="Logarithm",LN(0.001+IF(AND(ISNUMBER('Council Entry'!E$8),ISNUMBER('Council Entry'!E$9)),MAX(MIN('Council Entry'!E118,'Council Entry'!E$9),'Council Entry'!E$8),'Council Entry'!E118)),IF('Council Entry'!E$4="Exponential",EXP(IF(AND(ISNUMBER('Council Entry'!E$8),ISNUMBER('Council Entry'!E$9)),MAX(MIN('Council Entry'!E118,'Council Entry'!E$9),'Council Entry'!E$8),'Council Entry'!E118)),IF(AND(ISNUMBER('Council Entry'!E$8),ISNUMBER('Council Entry'!E$9)),MAX(MIN('Council Entry'!E118,'Council Entry'!E$9),'Council Entry'!E$8),'Council Entry'!E118))))-'Council Entry'!E$5)/('Council Entry'!E$6-'Council Entry'!E$5),10*((IF('Council Entry'!E$4="Logarithm",LN(0.001+IF(AND(ISNUMBER('Council Entry'!E$8),ISNUMBER('Council Entry'!E$9)),MAX(MIN('Council Entry'!E118,'Council Entry'!E$9),'Council Entry'!E$8),'Council Entry'!E118)),IF('Council Entry'!E$4="Exponential",EXP(IF(AND(ISNUMBER('Council Entry'!E$8),ISNUMBER('Council Entry'!E$9)),MAX(MIN('Council Entry'!E118,'Council Entry'!E$9),'Council Entry'!E$8),'Council Entry'!E118)),IF(AND(ISNUMBER('Council Entry'!E$8),ISNUMBER('Council Entry'!E$9)),MAX(MIN('Council Entry'!E118,'Council Entry'!E$9),'Council Entry'!E$8),'Council Entry'!E118))))-'Council Entry'!E$5)/('Council Entry'!E$6-'Council Entry'!E$5)),1))),"No data"))</f>
        <v/>
      </c>
      <c r="F118" s="13">
        <f>IF('Council Entry'!F118="","",IFERROR(MAX(0,MIN(10,ROUND(IF('Council Entry'!F$7="Decrease Risk",10-10*((IF('Council Entry'!F$4="Logarithm",LN(0.001+IF(AND(ISNUMBER('Council Entry'!F$8),ISNUMBER('Council Entry'!F$9)),MAX(MIN('Council Entry'!F118,'Council Entry'!F$9),'Council Entry'!F$8),'Council Entry'!F118)),IF('Council Entry'!F$4="Exponential",EXP(IF(AND(ISNUMBER('Council Entry'!F$8),ISNUMBER('Council Entry'!F$9)),MAX(MIN('Council Entry'!F118,'Council Entry'!F$9),'Council Entry'!F$8),'Council Entry'!F118)),IF(AND(ISNUMBER('Council Entry'!F$8),ISNUMBER('Council Entry'!F$9)),MAX(MIN('Council Entry'!F118,'Council Entry'!F$9),'Council Entry'!F$8),'Council Entry'!F118))))-'Council Entry'!F$5)/('Council Entry'!F$6-'Council Entry'!F$5),10*((IF('Council Entry'!F$4="Logarithm",LN(0.001+IF(AND(ISNUMBER('Council Entry'!F$8),ISNUMBER('Council Entry'!F$9)),MAX(MIN('Council Entry'!F118,'Council Entry'!F$9),'Council Entry'!F$8),'Council Entry'!F118)),IF('Council Entry'!F$4="Exponential",EXP(IF(AND(ISNUMBER('Council Entry'!F$8),ISNUMBER('Council Entry'!F$9)),MAX(MIN('Council Entry'!F118,'Council Entry'!F$9),'Council Entry'!F$8),'Council Entry'!F118)),IF(AND(ISNUMBER('Council Entry'!F$8),ISNUMBER('Council Entry'!F$9)),MAX(MIN('Council Entry'!F118,'Council Entry'!F$9),'Council Entry'!F$8),'Council Entry'!F118))))-'Council Entry'!F$5)/('Council Entry'!F$6-'Council Entry'!F$5)),1))),"No data"))</f>
        <v/>
      </c>
      <c r="G118" s="13">
        <f>IF('Council Entry'!G118="","",IFERROR(MAX(0,MIN(10,ROUND(IF('Council Entry'!G$7="Decrease Risk",10-10*((IF('Council Entry'!G$4="Logarithm",LN(0.001+IF(AND(ISNUMBER('Council Entry'!G$8),ISNUMBER('Council Entry'!G$9)),MAX(MIN('Council Entry'!G118,'Council Entry'!G$9),'Council Entry'!G$8),'Council Entry'!G118)),IF('Council Entry'!G$4="Exponential",EXP(IF(AND(ISNUMBER('Council Entry'!G$8),ISNUMBER('Council Entry'!G$9)),MAX(MIN('Council Entry'!G118,'Council Entry'!G$9),'Council Entry'!G$8),'Council Entry'!G118)),IF(AND(ISNUMBER('Council Entry'!G$8),ISNUMBER('Council Entry'!G$9)),MAX(MIN('Council Entry'!G118,'Council Entry'!G$9),'Council Entry'!G$8),'Council Entry'!G118))))-'Council Entry'!G$5)/('Council Entry'!G$6-'Council Entry'!G$5),10*((IF('Council Entry'!G$4="Logarithm",LN(0.001+IF(AND(ISNUMBER('Council Entry'!G$8),ISNUMBER('Council Entry'!G$9)),MAX(MIN('Council Entry'!G118,'Council Entry'!G$9),'Council Entry'!G$8),'Council Entry'!G118)),IF('Council Entry'!G$4="Exponential",EXP(IF(AND(ISNUMBER('Council Entry'!G$8),ISNUMBER('Council Entry'!G$9)),MAX(MIN('Council Entry'!G118,'Council Entry'!G$9),'Council Entry'!G$8),'Council Entry'!G118)),IF(AND(ISNUMBER('Council Entry'!G$8),ISNUMBER('Council Entry'!G$9)),MAX(MIN('Council Entry'!G118,'Council Entry'!G$9),'Council Entry'!G$8),'Council Entry'!G118))))-'Council Entry'!G$5)/('Council Entry'!G$6-'Council Entry'!G$5)),1))),"No data"))</f>
        <v/>
      </c>
      <c r="H118" s="13">
        <f>IF('Council Entry'!H118="","",IFERROR(MAX(0,MIN(10,ROUND(IF('Council Entry'!H$7="Decrease Risk",10-10*((IF('Council Entry'!H$4="Logarithm",LN(0.001+IF(AND(ISNUMBER('Council Entry'!H$8),ISNUMBER('Council Entry'!H$9)),MAX(MIN('Council Entry'!H118,'Council Entry'!H$9),'Council Entry'!H$8),'Council Entry'!H118)),IF('Council Entry'!H$4="Exponential",EXP(IF(AND(ISNUMBER('Council Entry'!H$8),ISNUMBER('Council Entry'!H$9)),MAX(MIN('Council Entry'!H118,'Council Entry'!H$9),'Council Entry'!H$8),'Council Entry'!H118)),IF(AND(ISNUMBER('Council Entry'!H$8),ISNUMBER('Council Entry'!H$9)),MAX(MIN('Council Entry'!H118,'Council Entry'!H$9),'Council Entry'!H$8),'Council Entry'!H118))))-'Council Entry'!H$5)/('Council Entry'!H$6-'Council Entry'!H$5),10*((IF('Council Entry'!H$4="Logarithm",LN(0.001+IF(AND(ISNUMBER('Council Entry'!H$8),ISNUMBER('Council Entry'!H$9)),MAX(MIN('Council Entry'!H118,'Council Entry'!H$9),'Council Entry'!H$8),'Council Entry'!H118)),IF('Council Entry'!H$4="Exponential",EXP(IF(AND(ISNUMBER('Council Entry'!H$8),ISNUMBER('Council Entry'!H$9)),MAX(MIN('Council Entry'!H118,'Council Entry'!H$9),'Council Entry'!H$8),'Council Entry'!H118)),IF(AND(ISNUMBER('Council Entry'!H$8),ISNUMBER('Council Entry'!H$9)),MAX(MIN('Council Entry'!H118,'Council Entry'!H$9),'Council Entry'!H$8),'Council Entry'!H118))))-'Council Entry'!H$5)/('Council Entry'!H$6-'Council Entry'!H$5)),1))),"No data"))</f>
        <v/>
      </c>
      <c r="I118" s="13">
        <f>IF('Council Entry'!I118="","",IFERROR(MAX(0,MIN(10,ROUND(IF('Council Entry'!I$7="Decrease Risk",10-10*((IF('Council Entry'!I$4="Logarithm",LN(0.001+IF(AND(ISNUMBER('Council Entry'!I$8),ISNUMBER('Council Entry'!I$9)),MAX(MIN('Council Entry'!I118,'Council Entry'!I$9),'Council Entry'!I$8),'Council Entry'!I118)),IF('Council Entry'!I$4="Exponential",EXP(IF(AND(ISNUMBER('Council Entry'!I$8),ISNUMBER('Council Entry'!I$9)),MAX(MIN('Council Entry'!I118,'Council Entry'!I$9),'Council Entry'!I$8),'Council Entry'!I118)),IF(AND(ISNUMBER('Council Entry'!I$8),ISNUMBER('Council Entry'!I$9)),MAX(MIN('Council Entry'!I118,'Council Entry'!I$9),'Council Entry'!I$8),'Council Entry'!I118))))-'Council Entry'!I$5)/('Council Entry'!I$6-'Council Entry'!I$5),10*((IF('Council Entry'!I$4="Logarithm",LN(0.001+IF(AND(ISNUMBER('Council Entry'!I$8),ISNUMBER('Council Entry'!I$9)),MAX(MIN('Council Entry'!I118,'Council Entry'!I$9),'Council Entry'!I$8),'Council Entry'!I118)),IF('Council Entry'!I$4="Exponential",EXP(IF(AND(ISNUMBER('Council Entry'!I$8),ISNUMBER('Council Entry'!I$9)),MAX(MIN('Council Entry'!I118,'Council Entry'!I$9),'Council Entry'!I$8),'Council Entry'!I118)),IF(AND(ISNUMBER('Council Entry'!I$8),ISNUMBER('Council Entry'!I$9)),MAX(MIN('Council Entry'!I118,'Council Entry'!I$9),'Council Entry'!I$8),'Council Entry'!I118))))-'Council Entry'!I$5)/('Council Entry'!I$6-'Council Entry'!I$5)),1))),"No data"))</f>
        <v/>
      </c>
      <c r="J118" s="13">
        <f>IF('Council Entry'!J118="","",IFERROR(MAX(0,MIN(10,ROUND(IF('Council Entry'!J$7="Decrease Risk",10-10*((IF('Council Entry'!J$4="Logarithm",LN(0.001+IF(AND(ISNUMBER('Council Entry'!J$8),ISNUMBER('Council Entry'!J$9)),MAX(MIN('Council Entry'!J118,'Council Entry'!J$9),'Council Entry'!J$8),'Council Entry'!J118)),IF('Council Entry'!J$4="Exponential",EXP(IF(AND(ISNUMBER('Council Entry'!J$8),ISNUMBER('Council Entry'!J$9)),MAX(MIN('Council Entry'!J118,'Council Entry'!J$9),'Council Entry'!J$8),'Council Entry'!J118)),IF(AND(ISNUMBER('Council Entry'!J$8),ISNUMBER('Council Entry'!J$9)),MAX(MIN('Council Entry'!J118,'Council Entry'!J$9),'Council Entry'!J$8),'Council Entry'!J118))))-'Council Entry'!J$5)/('Council Entry'!J$6-'Council Entry'!J$5),10*((IF('Council Entry'!J$4="Logarithm",LN(0.001+IF(AND(ISNUMBER('Council Entry'!J$8),ISNUMBER('Council Entry'!J$9)),MAX(MIN('Council Entry'!J118,'Council Entry'!J$9),'Council Entry'!J$8),'Council Entry'!J118)),IF('Council Entry'!J$4="Exponential",EXP(IF(AND(ISNUMBER('Council Entry'!J$8),ISNUMBER('Council Entry'!J$9)),MAX(MIN('Council Entry'!J118,'Council Entry'!J$9),'Council Entry'!J$8),'Council Entry'!J118)),IF(AND(ISNUMBER('Council Entry'!J$8),ISNUMBER('Council Entry'!J$9)),MAX(MIN('Council Entry'!J118,'Council Entry'!J$9),'Council Entry'!J$8),'Council Entry'!J118))))-'Council Entry'!J$5)/('Council Entry'!J$6-'Council Entry'!J$5)),1))),"No data"))</f>
        <v/>
      </c>
      <c r="K118" s="13">
        <f>IF('Council Entry'!K118="","",IFERROR(MAX(0,MIN(10,ROUND(IF('Council Entry'!K$7="Decrease Risk",10-10*((IF('Council Entry'!K$4="Logarithm",LN(0.001+IF(AND(ISNUMBER('Council Entry'!K$8),ISNUMBER('Council Entry'!K$9)),MAX(MIN('Council Entry'!K118,'Council Entry'!K$9),'Council Entry'!K$8),'Council Entry'!K118)),IF('Council Entry'!K$4="Exponential",EXP(IF(AND(ISNUMBER('Council Entry'!K$8),ISNUMBER('Council Entry'!K$9)),MAX(MIN('Council Entry'!K118,'Council Entry'!K$9),'Council Entry'!K$8),'Council Entry'!K118)),IF(AND(ISNUMBER('Council Entry'!K$8),ISNUMBER('Council Entry'!K$9)),MAX(MIN('Council Entry'!K118,'Council Entry'!K$9),'Council Entry'!K$8),'Council Entry'!K118))))-'Council Entry'!K$5)/('Council Entry'!K$6-'Council Entry'!K$5),10*((IF('Council Entry'!K$4="Logarithm",LN(0.001+IF(AND(ISNUMBER('Council Entry'!K$8),ISNUMBER('Council Entry'!K$9)),MAX(MIN('Council Entry'!K118,'Council Entry'!K$9),'Council Entry'!K$8),'Council Entry'!K118)),IF('Council Entry'!K$4="Exponential",EXP(IF(AND(ISNUMBER('Council Entry'!K$8),ISNUMBER('Council Entry'!K$9)),MAX(MIN('Council Entry'!K118,'Council Entry'!K$9),'Council Entry'!K$8),'Council Entry'!K118)),IF(AND(ISNUMBER('Council Entry'!K$8),ISNUMBER('Council Entry'!K$9)),MAX(MIN('Council Entry'!K118,'Council Entry'!K$9),'Council Entry'!K$8),'Council Entry'!K118))))-'Council Entry'!K$5)/('Council Entry'!K$6-'Council Entry'!K$5)),1))),"No data"))</f>
        <v/>
      </c>
      <c r="L118" s="13">
        <f>IF('Council Entry'!L118="","",IFERROR(MAX(0,MIN(10,ROUND(IF('Council Entry'!L$7="Decrease Risk",10-10*((IF('Council Entry'!L$4="Logarithm",LN(0.001+IF(AND(ISNUMBER('Council Entry'!L$8),ISNUMBER('Council Entry'!L$9)),MAX(MIN('Council Entry'!L118,'Council Entry'!L$9),'Council Entry'!L$8),'Council Entry'!L118)),IF('Council Entry'!L$4="Exponential",EXP(IF(AND(ISNUMBER('Council Entry'!L$8),ISNUMBER('Council Entry'!L$9)),MAX(MIN('Council Entry'!L118,'Council Entry'!L$9),'Council Entry'!L$8),'Council Entry'!L118)),IF(AND(ISNUMBER('Council Entry'!L$8),ISNUMBER('Council Entry'!L$9)),MAX(MIN('Council Entry'!L118,'Council Entry'!L$9),'Council Entry'!L$8),'Council Entry'!L118))))-'Council Entry'!L$5)/('Council Entry'!L$6-'Council Entry'!L$5),10*((IF('Council Entry'!L$4="Logarithm",LN(0.001+IF(AND(ISNUMBER('Council Entry'!L$8),ISNUMBER('Council Entry'!L$9)),MAX(MIN('Council Entry'!L118,'Council Entry'!L$9),'Council Entry'!L$8),'Council Entry'!L118)),IF('Council Entry'!L$4="Exponential",EXP(IF(AND(ISNUMBER('Council Entry'!L$8),ISNUMBER('Council Entry'!L$9)),MAX(MIN('Council Entry'!L118,'Council Entry'!L$9),'Council Entry'!L$8),'Council Entry'!L118)),IF(AND(ISNUMBER('Council Entry'!L$8),ISNUMBER('Council Entry'!L$9)),MAX(MIN('Council Entry'!L118,'Council Entry'!L$9),'Council Entry'!L$8),'Council Entry'!L118))))-'Council Entry'!L$5)/('Council Entry'!L$6-'Council Entry'!L$5)),1))),"No data"))</f>
        <v/>
      </c>
      <c r="M118" s="13">
        <f>IF('Council Entry'!M118="","",IFERROR(MAX(0,MIN(10,ROUND(IF('Council Entry'!M$7="Decrease Risk",10-10*((IF('Council Entry'!M$4="Logarithm",LN(0.001+IF(AND(ISNUMBER('Council Entry'!M$8),ISNUMBER('Council Entry'!M$9)),MAX(MIN('Council Entry'!M118,'Council Entry'!M$9),'Council Entry'!M$8),'Council Entry'!M118)),IF('Council Entry'!M$4="Exponential",EXP(IF(AND(ISNUMBER('Council Entry'!M$8),ISNUMBER('Council Entry'!M$9)),MAX(MIN('Council Entry'!M118,'Council Entry'!M$9),'Council Entry'!M$8),'Council Entry'!M118)),IF(AND(ISNUMBER('Council Entry'!M$8),ISNUMBER('Council Entry'!M$9)),MAX(MIN('Council Entry'!M118,'Council Entry'!M$9),'Council Entry'!M$8),'Council Entry'!M118))))-'Council Entry'!M$5)/('Council Entry'!M$6-'Council Entry'!M$5),10*((IF('Council Entry'!M$4="Logarithm",LN(0.001+IF(AND(ISNUMBER('Council Entry'!M$8),ISNUMBER('Council Entry'!M$9)),MAX(MIN('Council Entry'!M118,'Council Entry'!M$9),'Council Entry'!M$8),'Council Entry'!M118)),IF('Council Entry'!M$4="Exponential",EXP(IF(AND(ISNUMBER('Council Entry'!M$8),ISNUMBER('Council Entry'!M$9)),MAX(MIN('Council Entry'!M118,'Council Entry'!M$9),'Council Entry'!M$8),'Council Entry'!M118)),IF(AND(ISNUMBER('Council Entry'!M$8),ISNUMBER('Council Entry'!M$9)),MAX(MIN('Council Entry'!M118,'Council Entry'!M$9),'Council Entry'!M$8),'Council Entry'!M118))))-'Council Entry'!M$5)/('Council Entry'!M$6-'Council Entry'!M$5)),1))),"No data"))</f>
        <v/>
      </c>
      <c r="N118" s="13">
        <f>IF('Council Entry'!N118="","",IFERROR(MAX(0,MIN(10,ROUND(IF('Council Entry'!N$7="Decrease Risk",10-10*((IF('Council Entry'!N$4="Logarithm",LN(0.001+IF(AND(ISNUMBER('Council Entry'!N$8),ISNUMBER('Council Entry'!N$9)),MAX(MIN('Council Entry'!N118,'Council Entry'!N$9),'Council Entry'!N$8),'Council Entry'!N118)),IF('Council Entry'!N$4="Exponential",EXP(IF(AND(ISNUMBER('Council Entry'!N$8),ISNUMBER('Council Entry'!N$9)),MAX(MIN('Council Entry'!N118,'Council Entry'!N$9),'Council Entry'!N$8),'Council Entry'!N118)),IF(AND(ISNUMBER('Council Entry'!N$8),ISNUMBER('Council Entry'!N$9)),MAX(MIN('Council Entry'!N118,'Council Entry'!N$9),'Council Entry'!N$8),'Council Entry'!N118))))-'Council Entry'!N$5)/('Council Entry'!N$6-'Council Entry'!N$5),10*((IF('Council Entry'!N$4="Logarithm",LN(0.001+IF(AND(ISNUMBER('Council Entry'!N$8),ISNUMBER('Council Entry'!N$9)),MAX(MIN('Council Entry'!N118,'Council Entry'!N$9),'Council Entry'!N$8),'Council Entry'!N118)),IF('Council Entry'!N$4="Exponential",EXP(IF(AND(ISNUMBER('Council Entry'!N$8),ISNUMBER('Council Entry'!N$9)),MAX(MIN('Council Entry'!N118,'Council Entry'!N$9),'Council Entry'!N$8),'Council Entry'!N118)),IF(AND(ISNUMBER('Council Entry'!N$8),ISNUMBER('Council Entry'!N$9)),MAX(MIN('Council Entry'!N118,'Council Entry'!N$9),'Council Entry'!N$8),'Council Entry'!N118))))-'Council Entry'!N$5)/('Council Entry'!N$6-'Council Entry'!N$5)),1))),"No data"))</f>
        <v/>
      </c>
      <c r="O118" s="13">
        <f>IF('Council Entry'!O118="","",IFERROR(MAX(0,MIN(10,ROUND(IF('Council Entry'!O$7="Decrease Risk",10-10*((IF('Council Entry'!O$4="Logarithm",LN(0.001+IF(AND(ISNUMBER('Council Entry'!O$8),ISNUMBER('Council Entry'!O$9)),MAX(MIN('Council Entry'!O118,'Council Entry'!O$9),'Council Entry'!O$8),'Council Entry'!O118)),IF('Council Entry'!O$4="Exponential",EXP(IF(AND(ISNUMBER('Council Entry'!O$8),ISNUMBER('Council Entry'!O$9)),MAX(MIN('Council Entry'!O118,'Council Entry'!O$9),'Council Entry'!O$8),'Council Entry'!O118)),IF(AND(ISNUMBER('Council Entry'!O$8),ISNUMBER('Council Entry'!O$9)),MAX(MIN('Council Entry'!O118,'Council Entry'!O$9),'Council Entry'!O$8),'Council Entry'!O118))))-'Council Entry'!O$5)/('Council Entry'!O$6-'Council Entry'!O$5),10*((IF('Council Entry'!O$4="Logarithm",LN(0.001+IF(AND(ISNUMBER('Council Entry'!O$8),ISNUMBER('Council Entry'!O$9)),MAX(MIN('Council Entry'!O118,'Council Entry'!O$9),'Council Entry'!O$8),'Council Entry'!O118)),IF('Council Entry'!O$4="Exponential",EXP(IF(AND(ISNUMBER('Council Entry'!O$8),ISNUMBER('Council Entry'!O$9)),MAX(MIN('Council Entry'!O118,'Council Entry'!O$9),'Council Entry'!O$8),'Council Entry'!O118)),IF(AND(ISNUMBER('Council Entry'!O$8),ISNUMBER('Council Entry'!O$9)),MAX(MIN('Council Entry'!O118,'Council Entry'!O$9),'Council Entry'!O$8),'Council Entry'!O118))))-'Council Entry'!O$5)/('Council Entry'!O$6-'Council Entry'!O$5)),1))),"No data"))</f>
        <v/>
      </c>
      <c r="P118" s="13">
        <f>IF('Council Entry'!P118="","",IFERROR(MAX(0,MIN(10,ROUND(IF('Council Entry'!P$7="Decrease Risk",10-10*((IF('Council Entry'!P$4="Logarithm",LN(0.001+IF(AND(ISNUMBER('Council Entry'!P$8),ISNUMBER('Council Entry'!P$9)),MAX(MIN('Council Entry'!P118,'Council Entry'!P$9),'Council Entry'!P$8),'Council Entry'!P118)),IF('Council Entry'!P$4="Exponential",EXP(IF(AND(ISNUMBER('Council Entry'!P$8),ISNUMBER('Council Entry'!P$9)),MAX(MIN('Council Entry'!P118,'Council Entry'!P$9),'Council Entry'!P$8),'Council Entry'!P118)),IF(AND(ISNUMBER('Council Entry'!P$8),ISNUMBER('Council Entry'!P$9)),MAX(MIN('Council Entry'!P118,'Council Entry'!P$9),'Council Entry'!P$8),'Council Entry'!P118))))-'Council Entry'!P$5)/('Council Entry'!P$6-'Council Entry'!P$5),10*((IF('Council Entry'!P$4="Logarithm",LN(0.001+IF(AND(ISNUMBER('Council Entry'!P$8),ISNUMBER('Council Entry'!P$9)),MAX(MIN('Council Entry'!P118,'Council Entry'!P$9),'Council Entry'!P$8),'Council Entry'!P118)),IF('Council Entry'!P$4="Exponential",EXP(IF(AND(ISNUMBER('Council Entry'!P$8),ISNUMBER('Council Entry'!P$9)),MAX(MIN('Council Entry'!P118,'Council Entry'!P$9),'Council Entry'!P$8),'Council Entry'!P118)),IF(AND(ISNUMBER('Council Entry'!P$8),ISNUMBER('Council Entry'!P$9)),MAX(MIN('Council Entry'!P118,'Council Entry'!P$9),'Council Entry'!P$8),'Council Entry'!P118))))-'Council Entry'!P$5)/('Council Entry'!P$6-'Council Entry'!P$5)),1))),"No data"))</f>
        <v/>
      </c>
      <c r="Q118" s="13">
        <f>IF('Council Entry'!Q118="","",IFERROR(MAX(0,MIN(10,ROUND(IF('Council Entry'!Q$7="Decrease Risk",10-10*((IF('Council Entry'!Q$4="Logarithm",LN(0.001+IF(AND(ISNUMBER('Council Entry'!Q$8),ISNUMBER('Council Entry'!Q$9)),MAX(MIN('Council Entry'!Q118,'Council Entry'!Q$9),'Council Entry'!Q$8),'Council Entry'!Q118)),IF('Council Entry'!Q$4="Exponential",EXP(IF(AND(ISNUMBER('Council Entry'!Q$8),ISNUMBER('Council Entry'!Q$9)),MAX(MIN('Council Entry'!Q118,'Council Entry'!Q$9),'Council Entry'!Q$8),'Council Entry'!Q118)),IF(AND(ISNUMBER('Council Entry'!Q$8),ISNUMBER('Council Entry'!Q$9)),MAX(MIN('Council Entry'!Q118,'Council Entry'!Q$9),'Council Entry'!Q$8),'Council Entry'!Q118))))-'Council Entry'!Q$5)/('Council Entry'!Q$6-'Council Entry'!Q$5),10*((IF('Council Entry'!Q$4="Logarithm",LN(0.001+IF(AND(ISNUMBER('Council Entry'!Q$8),ISNUMBER('Council Entry'!Q$9)),MAX(MIN('Council Entry'!Q118,'Council Entry'!Q$9),'Council Entry'!Q$8),'Council Entry'!Q118)),IF('Council Entry'!Q$4="Exponential",EXP(IF(AND(ISNUMBER('Council Entry'!Q$8),ISNUMBER('Council Entry'!Q$9)),MAX(MIN('Council Entry'!Q118,'Council Entry'!Q$9),'Council Entry'!Q$8),'Council Entry'!Q118)),IF(AND(ISNUMBER('Council Entry'!Q$8),ISNUMBER('Council Entry'!Q$9)),MAX(MIN('Council Entry'!Q118,'Council Entry'!Q$9),'Council Entry'!Q$8),'Council Entry'!Q118))))-'Council Entry'!Q$5)/('Council Entry'!Q$6-'Council Entry'!Q$5)),1))),"No data"))</f>
        <v/>
      </c>
      <c r="R118" s="13">
        <f>IF('Council Entry'!R118="","",IFERROR(MAX(0,MIN(10,ROUND(IF('Council Entry'!R$7="Decrease Risk",10-10*((IF('Council Entry'!R$4="Logarithm",LN(0.001+IF(AND(ISNUMBER('Council Entry'!R$8),ISNUMBER('Council Entry'!R$9)),MAX(MIN('Council Entry'!R118,'Council Entry'!R$9),'Council Entry'!R$8),'Council Entry'!R118)),IF('Council Entry'!R$4="Exponential",EXP(IF(AND(ISNUMBER('Council Entry'!R$8),ISNUMBER('Council Entry'!R$9)),MAX(MIN('Council Entry'!R118,'Council Entry'!R$9),'Council Entry'!R$8),'Council Entry'!R118)),IF(AND(ISNUMBER('Council Entry'!R$8),ISNUMBER('Council Entry'!R$9)),MAX(MIN('Council Entry'!R118,'Council Entry'!R$9),'Council Entry'!R$8),'Council Entry'!R118))))-'Council Entry'!R$5)/('Council Entry'!R$6-'Council Entry'!R$5),10*((IF('Council Entry'!R$4="Logarithm",LN(0.001+IF(AND(ISNUMBER('Council Entry'!R$8),ISNUMBER('Council Entry'!R$9)),MAX(MIN('Council Entry'!R118,'Council Entry'!R$9),'Council Entry'!R$8),'Council Entry'!R118)),IF('Council Entry'!R$4="Exponential",EXP(IF(AND(ISNUMBER('Council Entry'!R$8),ISNUMBER('Council Entry'!R$9)),MAX(MIN('Council Entry'!R118,'Council Entry'!R$9),'Council Entry'!R$8),'Council Entry'!R118)),IF(AND(ISNUMBER('Council Entry'!R$8),ISNUMBER('Council Entry'!R$9)),MAX(MIN('Council Entry'!R118,'Council Entry'!R$9),'Council Entry'!R$8),'Council Entry'!R118))))-'Council Entry'!R$5)/('Council Entry'!R$6-'Council Entry'!R$5)),1))),"No data"))</f>
        <v/>
      </c>
      <c r="S118" s="13">
        <f>IF('Council Entry'!S118="","",IFERROR(MAX(0,MIN(10,ROUND(IF('Council Entry'!S$7="Decrease Risk",10-10*((IF('Council Entry'!S$4="Logarithm",LN(0.001+IF(AND(ISNUMBER('Council Entry'!S$8),ISNUMBER('Council Entry'!S$9)),MAX(MIN('Council Entry'!S118,'Council Entry'!S$9),'Council Entry'!S$8),'Council Entry'!S118)),IF('Council Entry'!S$4="Exponential",EXP(IF(AND(ISNUMBER('Council Entry'!S$8),ISNUMBER('Council Entry'!S$9)),MAX(MIN('Council Entry'!S118,'Council Entry'!S$9),'Council Entry'!S$8),'Council Entry'!S118)),IF(AND(ISNUMBER('Council Entry'!S$8),ISNUMBER('Council Entry'!S$9)),MAX(MIN('Council Entry'!S118,'Council Entry'!S$9),'Council Entry'!S$8),'Council Entry'!S118))))-'Council Entry'!S$5)/('Council Entry'!S$6-'Council Entry'!S$5),10*((IF('Council Entry'!S$4="Logarithm",LN(0.001+IF(AND(ISNUMBER('Council Entry'!S$8),ISNUMBER('Council Entry'!S$9)),MAX(MIN('Council Entry'!S118,'Council Entry'!S$9),'Council Entry'!S$8),'Council Entry'!S118)),IF('Council Entry'!S$4="Exponential",EXP(IF(AND(ISNUMBER('Council Entry'!S$8),ISNUMBER('Council Entry'!S$9)),MAX(MIN('Council Entry'!S118,'Council Entry'!S$9),'Council Entry'!S$8),'Council Entry'!S118)),IF(AND(ISNUMBER('Council Entry'!S$8),ISNUMBER('Council Entry'!S$9)),MAX(MIN('Council Entry'!S118,'Council Entry'!S$9),'Council Entry'!S$8),'Council Entry'!S118))))-'Council Entry'!S$5)/('Council Entry'!S$6-'Council Entry'!S$5)),1))),"No data"))</f>
        <v/>
      </c>
      <c r="T118" s="13">
        <f>IF('Council Entry'!T118="","",IFERROR(MAX(0,MIN(10,ROUND(IF('Council Entry'!T$7="Decrease Risk",10-10*((IF('Council Entry'!T$4="Logarithm",LN(0.001+IF(AND(ISNUMBER('Council Entry'!T$8),ISNUMBER('Council Entry'!T$9)),MAX(MIN('Council Entry'!T118,'Council Entry'!T$9),'Council Entry'!T$8),'Council Entry'!T118)),IF('Council Entry'!T$4="Exponential",EXP(IF(AND(ISNUMBER('Council Entry'!T$8),ISNUMBER('Council Entry'!T$9)),MAX(MIN('Council Entry'!T118,'Council Entry'!T$9),'Council Entry'!T$8),'Council Entry'!T118)),IF(AND(ISNUMBER('Council Entry'!T$8),ISNUMBER('Council Entry'!T$9)),MAX(MIN('Council Entry'!T118,'Council Entry'!T$9),'Council Entry'!T$8),'Council Entry'!T118))))-'Council Entry'!T$5)/('Council Entry'!T$6-'Council Entry'!T$5),10*((IF('Council Entry'!T$4="Logarithm",LN(0.001+IF(AND(ISNUMBER('Council Entry'!T$8),ISNUMBER('Council Entry'!T$9)),MAX(MIN('Council Entry'!T118,'Council Entry'!T$9),'Council Entry'!T$8),'Council Entry'!T118)),IF('Council Entry'!T$4="Exponential",EXP(IF(AND(ISNUMBER('Council Entry'!T$8),ISNUMBER('Council Entry'!T$9)),MAX(MIN('Council Entry'!T118,'Council Entry'!T$9),'Council Entry'!T$8),'Council Entry'!T118)),IF(AND(ISNUMBER('Council Entry'!T$8),ISNUMBER('Council Entry'!T$9)),MAX(MIN('Council Entry'!T118,'Council Entry'!T$9),'Council Entry'!T$8),'Council Entry'!T118))))-'Council Entry'!T$5)/('Council Entry'!T$6-'Council Entry'!T$5)),1))),"No data"))</f>
        <v/>
      </c>
      <c r="U118" s="13">
        <f>IF('Council Entry'!U118="","",IFERROR(MAX(0,MIN(10,ROUND(IF('Council Entry'!U$7="Decrease Risk",10-10*((IF('Council Entry'!U$4="Logarithm",LN(0.001+IF(AND(ISNUMBER('Council Entry'!U$8),ISNUMBER('Council Entry'!U$9)),MAX(MIN('Council Entry'!U118,'Council Entry'!U$9),'Council Entry'!U$8),'Council Entry'!U118)),IF('Council Entry'!U$4="Exponential",EXP(IF(AND(ISNUMBER('Council Entry'!U$8),ISNUMBER('Council Entry'!U$9)),MAX(MIN('Council Entry'!U118,'Council Entry'!U$9),'Council Entry'!U$8),'Council Entry'!U118)),IF(AND(ISNUMBER('Council Entry'!U$8),ISNUMBER('Council Entry'!U$9)),MAX(MIN('Council Entry'!U118,'Council Entry'!U$9),'Council Entry'!U$8),'Council Entry'!U118))))-'Council Entry'!U$5)/('Council Entry'!U$6-'Council Entry'!U$5),10*((IF('Council Entry'!U$4="Logarithm",LN(0.001+IF(AND(ISNUMBER('Council Entry'!U$8),ISNUMBER('Council Entry'!U$9)),MAX(MIN('Council Entry'!U118,'Council Entry'!U$9),'Council Entry'!U$8),'Council Entry'!U118)),IF('Council Entry'!U$4="Exponential",EXP(IF(AND(ISNUMBER('Council Entry'!U$8),ISNUMBER('Council Entry'!U$9)),MAX(MIN('Council Entry'!U118,'Council Entry'!U$9),'Council Entry'!U$8),'Council Entry'!U118)),IF(AND(ISNUMBER('Council Entry'!U$8),ISNUMBER('Council Entry'!U$9)),MAX(MIN('Council Entry'!U118,'Council Entry'!U$9),'Council Entry'!U$8),'Council Entry'!U118))))-'Council Entry'!U$5)/('Council Entry'!U$6-'Council Entry'!U$5)),1))),"No data"))</f>
        <v/>
      </c>
      <c r="V118" s="13">
        <f>IF('Council Entry'!V118="","",IFERROR(MAX(0,MIN(10,ROUND(IF('Council Entry'!V$7="Decrease Risk",10-10*((IF('Council Entry'!V$4="Logarithm",LN(0.001+IF(AND(ISNUMBER('Council Entry'!V$8),ISNUMBER('Council Entry'!V$9)),MAX(MIN('Council Entry'!V118,'Council Entry'!V$9),'Council Entry'!V$8),'Council Entry'!V118)),IF('Council Entry'!V$4="Exponential",EXP(IF(AND(ISNUMBER('Council Entry'!V$8),ISNUMBER('Council Entry'!V$9)),MAX(MIN('Council Entry'!V118,'Council Entry'!V$9),'Council Entry'!V$8),'Council Entry'!V118)),IF(AND(ISNUMBER('Council Entry'!V$8),ISNUMBER('Council Entry'!V$9)),MAX(MIN('Council Entry'!V118,'Council Entry'!V$9),'Council Entry'!V$8),'Council Entry'!V118))))-'Council Entry'!V$5)/('Council Entry'!V$6-'Council Entry'!V$5),10*((IF('Council Entry'!V$4="Logarithm",LN(0.001+IF(AND(ISNUMBER('Council Entry'!V$8),ISNUMBER('Council Entry'!V$9)),MAX(MIN('Council Entry'!V118,'Council Entry'!V$9),'Council Entry'!V$8),'Council Entry'!V118)),IF('Council Entry'!V$4="Exponential",EXP(IF(AND(ISNUMBER('Council Entry'!V$8),ISNUMBER('Council Entry'!V$9)),MAX(MIN('Council Entry'!V118,'Council Entry'!V$9),'Council Entry'!V$8),'Council Entry'!V118)),IF(AND(ISNUMBER('Council Entry'!V$8),ISNUMBER('Council Entry'!V$9)),MAX(MIN('Council Entry'!V118,'Council Entry'!V$9),'Council Entry'!V$8),'Council Entry'!V118))))-'Council Entry'!V$5)/('Council Entry'!V$6-'Council Entry'!V$5)),1))),"No data"))</f>
        <v/>
      </c>
      <c r="W118" s="13">
        <f>IF('Council Entry'!W118="","",IFERROR(MAX(0,MIN(10,ROUND(IF('Council Entry'!W$7="Decrease Risk",10-10*((IF('Council Entry'!W$4="Logarithm",LN(0.001+IF(AND(ISNUMBER('Council Entry'!W$8),ISNUMBER('Council Entry'!W$9)),MAX(MIN('Council Entry'!W118,'Council Entry'!W$9),'Council Entry'!W$8),'Council Entry'!W118)),IF('Council Entry'!W$4="Exponential",EXP(IF(AND(ISNUMBER('Council Entry'!W$8),ISNUMBER('Council Entry'!W$9)),MAX(MIN('Council Entry'!W118,'Council Entry'!W$9),'Council Entry'!W$8),'Council Entry'!W118)),IF(AND(ISNUMBER('Council Entry'!W$8),ISNUMBER('Council Entry'!W$9)),MAX(MIN('Council Entry'!W118,'Council Entry'!W$9),'Council Entry'!W$8),'Council Entry'!W118))))-'Council Entry'!W$5)/('Council Entry'!W$6-'Council Entry'!W$5),10*((IF('Council Entry'!W$4="Logarithm",LN(0.001+IF(AND(ISNUMBER('Council Entry'!W$8),ISNUMBER('Council Entry'!W$9)),MAX(MIN('Council Entry'!W118,'Council Entry'!W$9),'Council Entry'!W$8),'Council Entry'!W118)),IF('Council Entry'!W$4="Exponential",EXP(IF(AND(ISNUMBER('Council Entry'!W$8),ISNUMBER('Council Entry'!W$9)),MAX(MIN('Council Entry'!W118,'Council Entry'!W$9),'Council Entry'!W$8),'Council Entry'!W118)),IF(AND(ISNUMBER('Council Entry'!W$8),ISNUMBER('Council Entry'!W$9)),MAX(MIN('Council Entry'!W118,'Council Entry'!W$9),'Council Entry'!W$8),'Council Entry'!W118))))-'Council Entry'!W$5)/('Council Entry'!W$6-'Council Entry'!W$5)),1))),"No data"))</f>
        <v/>
      </c>
      <c r="X118" s="13">
        <f>IF('Council Entry'!X118="","",IFERROR(MAX(0,MIN(10,ROUND(IF('Council Entry'!X$7="Decrease Risk",10-10*((IF('Council Entry'!X$4="Logarithm",LN(0.001+IF(AND(ISNUMBER('Council Entry'!X$8),ISNUMBER('Council Entry'!X$9)),MAX(MIN('Council Entry'!X118,'Council Entry'!X$9),'Council Entry'!X$8),'Council Entry'!X118)),IF('Council Entry'!X$4="Exponential",EXP(IF(AND(ISNUMBER('Council Entry'!X$8),ISNUMBER('Council Entry'!X$9)),MAX(MIN('Council Entry'!X118,'Council Entry'!X$9),'Council Entry'!X$8),'Council Entry'!X118)),IF(AND(ISNUMBER('Council Entry'!X$8),ISNUMBER('Council Entry'!X$9)),MAX(MIN('Council Entry'!X118,'Council Entry'!X$9),'Council Entry'!X$8),'Council Entry'!X118))))-'Council Entry'!X$5)/('Council Entry'!X$6-'Council Entry'!X$5),10*((IF('Council Entry'!X$4="Logarithm",LN(0.001+IF(AND(ISNUMBER('Council Entry'!X$8),ISNUMBER('Council Entry'!X$9)),MAX(MIN('Council Entry'!X118,'Council Entry'!X$9),'Council Entry'!X$8),'Council Entry'!X118)),IF('Council Entry'!X$4="Exponential",EXP(IF(AND(ISNUMBER('Council Entry'!X$8),ISNUMBER('Council Entry'!X$9)),MAX(MIN('Council Entry'!X118,'Council Entry'!X$9),'Council Entry'!X$8),'Council Entry'!X118)),IF(AND(ISNUMBER('Council Entry'!X$8),ISNUMBER('Council Entry'!X$9)),MAX(MIN('Council Entry'!X118,'Council Entry'!X$9),'Council Entry'!X$8),'Council Entry'!X118))))-'Council Entry'!X$5)/('Council Entry'!X$6-'Council Entry'!X$5)),1))),"No data"))</f>
        <v/>
      </c>
      <c r="Y118" s="13">
        <f>IF('Council Entry'!Y118="","",IFERROR(MAX(0,MIN(10,ROUND(IF('Council Entry'!Y$7="Decrease Risk",10-10*((IF('Council Entry'!Y$4="Logarithm",LN(0.001+IF(AND(ISNUMBER('Council Entry'!Y$8),ISNUMBER('Council Entry'!Y$9)),MAX(MIN('Council Entry'!Y118,'Council Entry'!Y$9),'Council Entry'!Y$8),'Council Entry'!Y118)),IF('Council Entry'!Y$4="Exponential",EXP(IF(AND(ISNUMBER('Council Entry'!Y$8),ISNUMBER('Council Entry'!Y$9)),MAX(MIN('Council Entry'!Y118,'Council Entry'!Y$9),'Council Entry'!Y$8),'Council Entry'!Y118)),IF(AND(ISNUMBER('Council Entry'!Y$8),ISNUMBER('Council Entry'!Y$9)),MAX(MIN('Council Entry'!Y118,'Council Entry'!Y$9),'Council Entry'!Y$8),'Council Entry'!Y118))))-'Council Entry'!Y$5)/('Council Entry'!Y$6-'Council Entry'!Y$5),10*((IF('Council Entry'!Y$4="Logarithm",LN(0.001+IF(AND(ISNUMBER('Council Entry'!Y$8),ISNUMBER('Council Entry'!Y$9)),MAX(MIN('Council Entry'!Y118,'Council Entry'!Y$9),'Council Entry'!Y$8),'Council Entry'!Y118)),IF('Council Entry'!Y$4="Exponential",EXP(IF(AND(ISNUMBER('Council Entry'!Y$8),ISNUMBER('Council Entry'!Y$9)),MAX(MIN('Council Entry'!Y118,'Council Entry'!Y$9),'Council Entry'!Y$8),'Council Entry'!Y118)),IF(AND(ISNUMBER('Council Entry'!Y$8),ISNUMBER('Council Entry'!Y$9)),MAX(MIN('Council Entry'!Y118,'Council Entry'!Y$9),'Council Entry'!Y$8),'Council Entry'!Y118))))-'Council Entry'!Y$5)/('Council Entry'!Y$6-'Council Entry'!Y$5)),1))),"No data"))</f>
        <v/>
      </c>
      <c r="Z118" s="13">
        <f>IF('Council Entry'!Z118="","",IFERROR(MAX(0,MIN(10,ROUND(IF('Council Entry'!Z$7="Decrease Risk",10-10*((IF('Council Entry'!Z$4="Logarithm",LN(0.001+IF(AND(ISNUMBER('Council Entry'!Z$8),ISNUMBER('Council Entry'!Z$9)),MAX(MIN('Council Entry'!Z118,'Council Entry'!Z$9),'Council Entry'!Z$8),'Council Entry'!Z118)),IF('Council Entry'!Z$4="Exponential",EXP(IF(AND(ISNUMBER('Council Entry'!Z$8),ISNUMBER('Council Entry'!Z$9)),MAX(MIN('Council Entry'!Z118,'Council Entry'!Z$9),'Council Entry'!Z$8),'Council Entry'!Z118)),IF(AND(ISNUMBER('Council Entry'!Z$8),ISNUMBER('Council Entry'!Z$9)),MAX(MIN('Council Entry'!Z118,'Council Entry'!Z$9),'Council Entry'!Z$8),'Council Entry'!Z118))))-'Council Entry'!Z$5)/('Council Entry'!Z$6-'Council Entry'!Z$5),10*((IF('Council Entry'!Z$4="Logarithm",LN(0.001+IF(AND(ISNUMBER('Council Entry'!Z$8),ISNUMBER('Council Entry'!Z$9)),MAX(MIN('Council Entry'!Z118,'Council Entry'!Z$9),'Council Entry'!Z$8),'Council Entry'!Z118)),IF('Council Entry'!Z$4="Exponential",EXP(IF(AND(ISNUMBER('Council Entry'!Z$8),ISNUMBER('Council Entry'!Z$9)),MAX(MIN('Council Entry'!Z118,'Council Entry'!Z$9),'Council Entry'!Z$8),'Council Entry'!Z118)),IF(AND(ISNUMBER('Council Entry'!Z$8),ISNUMBER('Council Entry'!Z$9)),MAX(MIN('Council Entry'!Z118,'Council Entry'!Z$9),'Council Entry'!Z$8),'Council Entry'!Z118))))-'Council Entry'!Z$5)/('Council Entry'!Z$6-'Council Entry'!Z$5)),1))),"No data"))</f>
        <v/>
      </c>
      <c r="AA118" s="13">
        <f>IF('Council Entry'!AA118="","",IFERROR(MAX(0,MIN(10,ROUND(IF('Council Entry'!AA$7="Decrease Risk",10-10*((IF('Council Entry'!AA$4="Logarithm",LN(0.001+IF(AND(ISNUMBER('Council Entry'!AA$8),ISNUMBER('Council Entry'!AA$9)),MAX(MIN('Council Entry'!AA118,'Council Entry'!AA$9),'Council Entry'!AA$8),'Council Entry'!AA118)),IF('Council Entry'!AA$4="Exponential",EXP(IF(AND(ISNUMBER('Council Entry'!AA$8),ISNUMBER('Council Entry'!AA$9)),MAX(MIN('Council Entry'!AA118,'Council Entry'!AA$9),'Council Entry'!AA$8),'Council Entry'!AA118)),IF(AND(ISNUMBER('Council Entry'!AA$8),ISNUMBER('Council Entry'!AA$9)),MAX(MIN('Council Entry'!AA118,'Council Entry'!AA$9),'Council Entry'!AA$8),'Council Entry'!AA118))))-'Council Entry'!AA$5)/('Council Entry'!AA$6-'Council Entry'!AA$5),10*((IF('Council Entry'!AA$4="Logarithm",LN(0.001+IF(AND(ISNUMBER('Council Entry'!AA$8),ISNUMBER('Council Entry'!AA$9)),MAX(MIN('Council Entry'!AA118,'Council Entry'!AA$9),'Council Entry'!AA$8),'Council Entry'!AA118)),IF('Council Entry'!AA$4="Exponential",EXP(IF(AND(ISNUMBER('Council Entry'!AA$8),ISNUMBER('Council Entry'!AA$9)),MAX(MIN('Council Entry'!AA118,'Council Entry'!AA$9),'Council Entry'!AA$8),'Council Entry'!AA118)),IF(AND(ISNUMBER('Council Entry'!AA$8),ISNUMBER('Council Entry'!AA$9)),MAX(MIN('Council Entry'!AA118,'Council Entry'!AA$9),'Council Entry'!AA$8),'Council Entry'!AA118))))-'Council Entry'!AA$5)/('Council Entry'!AA$6-'Council Entry'!AA$5)),1))),"No data"))</f>
        <v/>
      </c>
      <c r="AB118" s="13">
        <f>IF('Council Entry'!AB118="","",IFERROR(MAX(0,MIN(10,ROUND(IF('Council Entry'!AB$7="Decrease Risk",10-10*((IF('Council Entry'!AB$4="Logarithm",LN(0.001+IF(AND(ISNUMBER('Council Entry'!AB$8),ISNUMBER('Council Entry'!AB$9)),MAX(MIN('Council Entry'!AB118,'Council Entry'!AB$9),'Council Entry'!AB$8),'Council Entry'!AB118)),IF('Council Entry'!AB$4="Exponential",EXP(IF(AND(ISNUMBER('Council Entry'!AB$8),ISNUMBER('Council Entry'!AB$9)),MAX(MIN('Council Entry'!AB118,'Council Entry'!AB$9),'Council Entry'!AB$8),'Council Entry'!AB118)),IF(AND(ISNUMBER('Council Entry'!AB$8),ISNUMBER('Council Entry'!AB$9)),MAX(MIN('Council Entry'!AB118,'Council Entry'!AB$9),'Council Entry'!AB$8),'Council Entry'!AB118))))-'Council Entry'!AB$5)/('Council Entry'!AB$6-'Council Entry'!AB$5),10*((IF('Council Entry'!AB$4="Logarithm",LN(0.001+IF(AND(ISNUMBER('Council Entry'!AB$8),ISNUMBER('Council Entry'!AB$9)),MAX(MIN('Council Entry'!AB118,'Council Entry'!AB$9),'Council Entry'!AB$8),'Council Entry'!AB118)),IF('Council Entry'!AB$4="Exponential",EXP(IF(AND(ISNUMBER('Council Entry'!AB$8),ISNUMBER('Council Entry'!AB$9)),MAX(MIN('Council Entry'!AB118,'Council Entry'!AB$9),'Council Entry'!AB$8),'Council Entry'!AB118)),IF(AND(ISNUMBER('Council Entry'!AB$8),ISNUMBER('Council Entry'!AB$9)),MAX(MIN('Council Entry'!AB118,'Council Entry'!AB$9),'Council Entry'!AB$8),'Council Entry'!AB118))))-'Council Entry'!AB$5)/('Council Entry'!AB$6-'Council Entry'!AB$5)),1))),"No data"))</f>
        <v/>
      </c>
      <c r="AC118" s="13">
        <f>IF('Council Entry'!AC118="","",IFERROR(MAX(0,MIN(10,ROUND(IF('Council Entry'!AC$7="Decrease Risk",10-10*((IF('Council Entry'!AC$4="Logarithm",LN(0.001+IF(AND(ISNUMBER('Council Entry'!AC$8),ISNUMBER('Council Entry'!AC$9)),MAX(MIN('Council Entry'!AC118,'Council Entry'!AC$9),'Council Entry'!AC$8),'Council Entry'!AC118)),IF('Council Entry'!AC$4="Exponential",EXP(IF(AND(ISNUMBER('Council Entry'!AC$8),ISNUMBER('Council Entry'!AC$9)),MAX(MIN('Council Entry'!AC118,'Council Entry'!AC$9),'Council Entry'!AC$8),'Council Entry'!AC118)),IF(AND(ISNUMBER('Council Entry'!AC$8),ISNUMBER('Council Entry'!AC$9)),MAX(MIN('Council Entry'!AC118,'Council Entry'!AC$9),'Council Entry'!AC$8),'Council Entry'!AC118))))-'Council Entry'!AC$5)/('Council Entry'!AC$6-'Council Entry'!AC$5),10*((IF('Council Entry'!AC$4="Logarithm",LN(0.001+IF(AND(ISNUMBER('Council Entry'!AC$8),ISNUMBER('Council Entry'!AC$9)),MAX(MIN('Council Entry'!AC118,'Council Entry'!AC$9),'Council Entry'!AC$8),'Council Entry'!AC118)),IF('Council Entry'!AC$4="Exponential",EXP(IF(AND(ISNUMBER('Council Entry'!AC$8),ISNUMBER('Council Entry'!AC$9)),MAX(MIN('Council Entry'!AC118,'Council Entry'!AC$9),'Council Entry'!AC$8),'Council Entry'!AC118)),IF(AND(ISNUMBER('Council Entry'!AC$8),ISNUMBER('Council Entry'!AC$9)),MAX(MIN('Council Entry'!AC118,'Council Entry'!AC$9),'Council Entry'!AC$8),'Council Entry'!AC118))))-'Council Entry'!AC$5)/('Council Entry'!AC$6-'Council Entry'!AC$5)),1))),"No data"))</f>
        <v/>
      </c>
      <c r="AD118" s="13">
        <f>IF('Council Entry'!AD118="","",IFERROR(MAX(0,MIN(10,ROUND(IF('Council Entry'!AD$7="Decrease Risk",10-10*((IF('Council Entry'!AD$4="Logarithm",LN(0.001+IF(AND(ISNUMBER('Council Entry'!AD$8),ISNUMBER('Council Entry'!AD$9)),MAX(MIN('Council Entry'!AD118,'Council Entry'!AD$9),'Council Entry'!AD$8),'Council Entry'!AD118)),IF('Council Entry'!AD$4="Exponential",EXP(IF(AND(ISNUMBER('Council Entry'!AD$8),ISNUMBER('Council Entry'!AD$9)),MAX(MIN('Council Entry'!AD118,'Council Entry'!AD$9),'Council Entry'!AD$8),'Council Entry'!AD118)),IF(AND(ISNUMBER('Council Entry'!AD$8),ISNUMBER('Council Entry'!AD$9)),MAX(MIN('Council Entry'!AD118,'Council Entry'!AD$9),'Council Entry'!AD$8),'Council Entry'!AD118))))-'Council Entry'!AD$5)/('Council Entry'!AD$6-'Council Entry'!AD$5),10*((IF('Council Entry'!AD$4="Logarithm",LN(0.001+IF(AND(ISNUMBER('Council Entry'!AD$8),ISNUMBER('Council Entry'!AD$9)),MAX(MIN('Council Entry'!AD118,'Council Entry'!AD$9),'Council Entry'!AD$8),'Council Entry'!AD118)),IF('Council Entry'!AD$4="Exponential",EXP(IF(AND(ISNUMBER('Council Entry'!AD$8),ISNUMBER('Council Entry'!AD$9)),MAX(MIN('Council Entry'!AD118,'Council Entry'!AD$9),'Council Entry'!AD$8),'Council Entry'!AD118)),IF(AND(ISNUMBER('Council Entry'!AD$8),ISNUMBER('Council Entry'!AD$9)),MAX(MIN('Council Entry'!AD118,'Council Entry'!AD$9),'Council Entry'!AD$8),'Council Entry'!AD118))))-'Council Entry'!AD$5)/('Council Entry'!AD$6-'Council Entry'!AD$5)),1))),"No data"))</f>
        <v/>
      </c>
      <c r="AE118" s="13">
        <f>IF('Council Entry'!AE118="","",IFERROR(MAX(0,MIN(10,ROUND(IF('Council Entry'!AE$7="Decrease Risk",10-10*((IF('Council Entry'!AE$4="Logarithm",LN(0.001+IF(AND(ISNUMBER('Council Entry'!AE$8),ISNUMBER('Council Entry'!AE$9)),MAX(MIN('Council Entry'!AE118,'Council Entry'!AE$9),'Council Entry'!AE$8),'Council Entry'!AE118)),IF('Council Entry'!AE$4="Exponential",EXP(IF(AND(ISNUMBER('Council Entry'!AE$8),ISNUMBER('Council Entry'!AE$9)),MAX(MIN('Council Entry'!AE118,'Council Entry'!AE$9),'Council Entry'!AE$8),'Council Entry'!AE118)),IF(AND(ISNUMBER('Council Entry'!AE$8),ISNUMBER('Council Entry'!AE$9)),MAX(MIN('Council Entry'!AE118,'Council Entry'!AE$9),'Council Entry'!AE$8),'Council Entry'!AE118))))-'Council Entry'!AE$5)/('Council Entry'!AE$6-'Council Entry'!AE$5),10*((IF('Council Entry'!AE$4="Logarithm",LN(0.001+IF(AND(ISNUMBER('Council Entry'!AE$8),ISNUMBER('Council Entry'!AE$9)),MAX(MIN('Council Entry'!AE118,'Council Entry'!AE$9),'Council Entry'!AE$8),'Council Entry'!AE118)),IF('Council Entry'!AE$4="Exponential",EXP(IF(AND(ISNUMBER('Council Entry'!AE$8),ISNUMBER('Council Entry'!AE$9)),MAX(MIN('Council Entry'!AE118,'Council Entry'!AE$9),'Council Entry'!AE$8),'Council Entry'!AE118)),IF(AND(ISNUMBER('Council Entry'!AE$8),ISNUMBER('Council Entry'!AE$9)),MAX(MIN('Council Entry'!AE118,'Council Entry'!AE$9),'Council Entry'!AE$8),'Council Entry'!AE118))))-'Council Entry'!AE$5)/('Council Entry'!AE$6-'Council Entry'!AE$5)),1))),"No data"))</f>
        <v/>
      </c>
      <c r="AF118" s="13">
        <f>IF('Council Entry'!AF118="","",IFERROR(MAX(0,MIN(10,ROUND(IF('Council Entry'!AF$7="Decrease Risk",10-10*((IF('Council Entry'!AF$4="Logarithm",LN(0.001+IF(AND(ISNUMBER('Council Entry'!AF$8),ISNUMBER('Council Entry'!AF$9)),MAX(MIN('Council Entry'!AF118,'Council Entry'!AF$9),'Council Entry'!AF$8),'Council Entry'!AF118)),IF('Council Entry'!AF$4="Exponential",EXP(IF(AND(ISNUMBER('Council Entry'!AF$8),ISNUMBER('Council Entry'!AF$9)),MAX(MIN('Council Entry'!AF118,'Council Entry'!AF$9),'Council Entry'!AF$8),'Council Entry'!AF118)),IF(AND(ISNUMBER('Council Entry'!AF$8),ISNUMBER('Council Entry'!AF$9)),MAX(MIN('Council Entry'!AF118,'Council Entry'!AF$9),'Council Entry'!AF$8),'Council Entry'!AF118))))-'Council Entry'!AF$5)/('Council Entry'!AF$6-'Council Entry'!AF$5),10*((IF('Council Entry'!AF$4="Logarithm",LN(0.001+IF(AND(ISNUMBER('Council Entry'!AF$8),ISNUMBER('Council Entry'!AF$9)),MAX(MIN('Council Entry'!AF118,'Council Entry'!AF$9),'Council Entry'!AF$8),'Council Entry'!AF118)),IF('Council Entry'!AF$4="Exponential",EXP(IF(AND(ISNUMBER('Council Entry'!AF$8),ISNUMBER('Council Entry'!AF$9)),MAX(MIN('Council Entry'!AF118,'Council Entry'!AF$9),'Council Entry'!AF$8),'Council Entry'!AF118)),IF(AND(ISNUMBER('Council Entry'!AF$8),ISNUMBER('Council Entry'!AF$9)),MAX(MIN('Council Entry'!AF118,'Council Entry'!AF$9),'Council Entry'!AF$8),'Council Entry'!AF118))))-'Council Entry'!AF$5)/('Council Entry'!AF$6-'Council Entry'!AF$5)),1))),"No data"))</f>
        <v/>
      </c>
      <c r="AG118" s="13">
        <f>IF('Council Entry'!AG118="","",IFERROR(MAX(0,MIN(10,ROUND(IF('Council Entry'!AG$7="Decrease Risk",10-10*((IF('Council Entry'!AG$4="Logarithm",LN(0.001+IF(AND(ISNUMBER('Council Entry'!AG$8),ISNUMBER('Council Entry'!AG$9)),MAX(MIN('Council Entry'!AG118,'Council Entry'!AG$9),'Council Entry'!AG$8),'Council Entry'!AG118)),IF('Council Entry'!AG$4="Exponential",EXP(IF(AND(ISNUMBER('Council Entry'!AG$8),ISNUMBER('Council Entry'!AG$9)),MAX(MIN('Council Entry'!AG118,'Council Entry'!AG$9),'Council Entry'!AG$8),'Council Entry'!AG118)),IF(AND(ISNUMBER('Council Entry'!AG$8),ISNUMBER('Council Entry'!AG$9)),MAX(MIN('Council Entry'!AG118,'Council Entry'!AG$9),'Council Entry'!AG$8),'Council Entry'!AG118))))-'Council Entry'!AG$5)/('Council Entry'!AG$6-'Council Entry'!AG$5),10*((IF('Council Entry'!AG$4="Logarithm",LN(0.001+IF(AND(ISNUMBER('Council Entry'!AG$8),ISNUMBER('Council Entry'!AG$9)),MAX(MIN('Council Entry'!AG118,'Council Entry'!AG$9),'Council Entry'!AG$8),'Council Entry'!AG118)),IF('Council Entry'!AG$4="Exponential",EXP(IF(AND(ISNUMBER('Council Entry'!AG$8),ISNUMBER('Council Entry'!AG$9)),MAX(MIN('Council Entry'!AG118,'Council Entry'!AG$9),'Council Entry'!AG$8),'Council Entry'!AG118)),IF(AND(ISNUMBER('Council Entry'!AG$8),ISNUMBER('Council Entry'!AG$9)),MAX(MIN('Council Entry'!AG118,'Council Entry'!AG$9),'Council Entry'!AG$8),'Council Entry'!AG118))))-'Council Entry'!AG$5)/('Council Entry'!AG$6-'Council Entry'!AG$5)),1))),"No data"))</f>
        <v/>
      </c>
      <c r="AH118" s="13">
        <f>IF('Council Entry'!AH118="","",IFERROR(MAX(0,MIN(10,ROUND(IF('Council Entry'!AH$7="Decrease Risk",10-10*((IF('Council Entry'!AH$4="Logarithm",LN(0.001+IF(AND(ISNUMBER('Council Entry'!AH$8),ISNUMBER('Council Entry'!AH$9)),MAX(MIN('Council Entry'!AH118,'Council Entry'!AH$9),'Council Entry'!AH$8),'Council Entry'!AH118)),IF('Council Entry'!AH$4="Exponential",EXP(IF(AND(ISNUMBER('Council Entry'!AH$8),ISNUMBER('Council Entry'!AH$9)),MAX(MIN('Council Entry'!AH118,'Council Entry'!AH$9),'Council Entry'!AH$8),'Council Entry'!AH118)),IF(AND(ISNUMBER('Council Entry'!AH$8),ISNUMBER('Council Entry'!AH$9)),MAX(MIN('Council Entry'!AH118,'Council Entry'!AH$9),'Council Entry'!AH$8),'Council Entry'!AH118))))-'Council Entry'!AH$5)/('Council Entry'!AH$6-'Council Entry'!AH$5),10*((IF('Council Entry'!AH$4="Logarithm",LN(0.001+IF(AND(ISNUMBER('Council Entry'!AH$8),ISNUMBER('Council Entry'!AH$9)),MAX(MIN('Council Entry'!AH118,'Council Entry'!AH$9),'Council Entry'!AH$8),'Council Entry'!AH118)),IF('Council Entry'!AH$4="Exponential",EXP(IF(AND(ISNUMBER('Council Entry'!AH$8),ISNUMBER('Council Entry'!AH$9)),MAX(MIN('Council Entry'!AH118,'Council Entry'!AH$9),'Council Entry'!AH$8),'Council Entry'!AH118)),IF(AND(ISNUMBER('Council Entry'!AH$8),ISNUMBER('Council Entry'!AH$9)),MAX(MIN('Council Entry'!AH118,'Council Entry'!AH$9),'Council Entry'!AH$8),'Council Entry'!AH118))))-'Council Entry'!AH$5)/('Council Entry'!AH$6-'Council Entry'!AH$5)),1))),"No data"))</f>
        <v/>
      </c>
      <c r="AI118" s="13">
        <f>IF('Council Entry'!AI118="","",IFERROR(MAX(0,MIN(10,ROUND(IF('Council Entry'!AI$7="Decrease Risk",10-10*((IF('Council Entry'!AI$4="Logarithm",LN(0.001+IF(AND(ISNUMBER('Council Entry'!AI$8),ISNUMBER('Council Entry'!AI$9)),MAX(MIN('Council Entry'!AI118,'Council Entry'!AI$9),'Council Entry'!AI$8),'Council Entry'!AI118)),IF('Council Entry'!AI$4="Exponential",EXP(IF(AND(ISNUMBER('Council Entry'!AI$8),ISNUMBER('Council Entry'!AI$9)),MAX(MIN('Council Entry'!AI118,'Council Entry'!AI$9),'Council Entry'!AI$8),'Council Entry'!AI118)),IF(AND(ISNUMBER('Council Entry'!AI$8),ISNUMBER('Council Entry'!AI$9)),MAX(MIN('Council Entry'!AI118,'Council Entry'!AI$9),'Council Entry'!AI$8),'Council Entry'!AI118))))-'Council Entry'!AI$5)/('Council Entry'!AI$6-'Council Entry'!AI$5),10*((IF('Council Entry'!AI$4="Logarithm",LN(0.001+IF(AND(ISNUMBER('Council Entry'!AI$8),ISNUMBER('Council Entry'!AI$9)),MAX(MIN('Council Entry'!AI118,'Council Entry'!AI$9),'Council Entry'!AI$8),'Council Entry'!AI118)),IF('Council Entry'!AI$4="Exponential",EXP(IF(AND(ISNUMBER('Council Entry'!AI$8),ISNUMBER('Council Entry'!AI$9)),MAX(MIN('Council Entry'!AI118,'Council Entry'!AI$9),'Council Entry'!AI$8),'Council Entry'!AI118)),IF(AND(ISNUMBER('Council Entry'!AI$8),ISNUMBER('Council Entry'!AI$9)),MAX(MIN('Council Entry'!AI118,'Council Entry'!AI$9),'Council Entry'!AI$8),'Council Entry'!AI118))))-'Council Entry'!AI$5)/('Council Entry'!AI$6-'Council Entry'!AI$5)),1))),"No data"))</f>
        <v/>
      </c>
      <c r="AJ118" s="13">
        <f>IF('Council Entry'!AJ118="","",IFERROR(MAX(0,MIN(10,ROUND(IF('Council Entry'!AJ$7="Decrease Risk",10-10*((IF('Council Entry'!AJ$4="Logarithm",LN(0.001+IF(AND(ISNUMBER('Council Entry'!AJ$8),ISNUMBER('Council Entry'!AJ$9)),MAX(MIN('Council Entry'!AJ118,'Council Entry'!AJ$9),'Council Entry'!AJ$8),'Council Entry'!AJ118)),IF('Council Entry'!AJ$4="Exponential",EXP(IF(AND(ISNUMBER('Council Entry'!AJ$8),ISNUMBER('Council Entry'!AJ$9)),MAX(MIN('Council Entry'!AJ118,'Council Entry'!AJ$9),'Council Entry'!AJ$8),'Council Entry'!AJ118)),IF(AND(ISNUMBER('Council Entry'!AJ$8),ISNUMBER('Council Entry'!AJ$9)),MAX(MIN('Council Entry'!AJ118,'Council Entry'!AJ$9),'Council Entry'!AJ$8),'Council Entry'!AJ118))))-'Council Entry'!AJ$5)/('Council Entry'!AJ$6-'Council Entry'!AJ$5),10*((IF('Council Entry'!AJ$4="Logarithm",LN(0.001+IF(AND(ISNUMBER('Council Entry'!AJ$8),ISNUMBER('Council Entry'!AJ$9)),MAX(MIN('Council Entry'!AJ118,'Council Entry'!AJ$9),'Council Entry'!AJ$8),'Council Entry'!AJ118)),IF('Council Entry'!AJ$4="Exponential",EXP(IF(AND(ISNUMBER('Council Entry'!AJ$8),ISNUMBER('Council Entry'!AJ$9)),MAX(MIN('Council Entry'!AJ118,'Council Entry'!AJ$9),'Council Entry'!AJ$8),'Council Entry'!AJ118)),IF(AND(ISNUMBER('Council Entry'!AJ$8),ISNUMBER('Council Entry'!AJ$9)),MAX(MIN('Council Entry'!AJ118,'Council Entry'!AJ$9),'Council Entry'!AJ$8),'Council Entry'!AJ118))))-'Council Entry'!AJ$5)/('Council Entry'!AJ$6-'Council Entry'!AJ$5)),1))),"No data"))</f>
        <v/>
      </c>
      <c r="AK118" s="13">
        <f>IF('Council Entry'!AK118="","",IFERROR(MAX(0,MIN(10,ROUND(IF('Council Entry'!AK$7="Decrease Risk",10-10*((IF('Council Entry'!AK$4="Logarithm",LN(0.001+IF(AND(ISNUMBER('Council Entry'!AK$8),ISNUMBER('Council Entry'!AK$9)),MAX(MIN('Council Entry'!AK118,'Council Entry'!AK$9),'Council Entry'!AK$8),'Council Entry'!AK118)),IF('Council Entry'!AK$4="Exponential",EXP(IF(AND(ISNUMBER('Council Entry'!AK$8),ISNUMBER('Council Entry'!AK$9)),MAX(MIN('Council Entry'!AK118,'Council Entry'!AK$9),'Council Entry'!AK$8),'Council Entry'!AK118)),IF(AND(ISNUMBER('Council Entry'!AK$8),ISNUMBER('Council Entry'!AK$9)),MAX(MIN('Council Entry'!AK118,'Council Entry'!AK$9),'Council Entry'!AK$8),'Council Entry'!AK118))))-'Council Entry'!AK$5)/('Council Entry'!AK$6-'Council Entry'!AK$5),10*((IF('Council Entry'!AK$4="Logarithm",LN(0.001+IF(AND(ISNUMBER('Council Entry'!AK$8),ISNUMBER('Council Entry'!AK$9)),MAX(MIN('Council Entry'!AK118,'Council Entry'!AK$9),'Council Entry'!AK$8),'Council Entry'!AK118)),IF('Council Entry'!AK$4="Exponential",EXP(IF(AND(ISNUMBER('Council Entry'!AK$8),ISNUMBER('Council Entry'!AK$9)),MAX(MIN('Council Entry'!AK118,'Council Entry'!AK$9),'Council Entry'!AK$8),'Council Entry'!AK118)),IF(AND(ISNUMBER('Council Entry'!AK$8),ISNUMBER('Council Entry'!AK$9)),MAX(MIN('Council Entry'!AK118,'Council Entry'!AK$9),'Council Entry'!AK$8),'Council Entry'!AK118))))-'Council Entry'!AK$5)/('Council Entry'!AK$6-'Council Entry'!AK$5)),1))),"No data"))</f>
        <v/>
      </c>
      <c r="AL118" s="13">
        <f>IF('Council Entry'!AL118="","",IFERROR(MAX(0,MIN(10,ROUND(IF('Council Entry'!AL$7="Decrease Risk",10-10*((IF('Council Entry'!AL$4="Logarithm",LN(0.001+IF(AND(ISNUMBER('Council Entry'!AL$8),ISNUMBER('Council Entry'!AL$9)),MAX(MIN('Council Entry'!AL118,'Council Entry'!AL$9),'Council Entry'!AL$8),'Council Entry'!AL118)),IF('Council Entry'!AL$4="Exponential",EXP(IF(AND(ISNUMBER('Council Entry'!AL$8),ISNUMBER('Council Entry'!AL$9)),MAX(MIN('Council Entry'!AL118,'Council Entry'!AL$9),'Council Entry'!AL$8),'Council Entry'!AL118)),IF(AND(ISNUMBER('Council Entry'!AL$8),ISNUMBER('Council Entry'!AL$9)),MAX(MIN('Council Entry'!AL118,'Council Entry'!AL$9),'Council Entry'!AL$8),'Council Entry'!AL118))))-'Council Entry'!AL$5)/('Council Entry'!AL$6-'Council Entry'!AL$5),10*((IF('Council Entry'!AL$4="Logarithm",LN(0.001+IF(AND(ISNUMBER('Council Entry'!AL$8),ISNUMBER('Council Entry'!AL$9)),MAX(MIN('Council Entry'!AL118,'Council Entry'!AL$9),'Council Entry'!AL$8),'Council Entry'!AL118)),IF('Council Entry'!AL$4="Exponential",EXP(IF(AND(ISNUMBER('Council Entry'!AL$8),ISNUMBER('Council Entry'!AL$9)),MAX(MIN('Council Entry'!AL118,'Council Entry'!AL$9),'Council Entry'!AL$8),'Council Entry'!AL118)),IF(AND(ISNUMBER('Council Entry'!AL$8),ISNUMBER('Council Entry'!AL$9)),MAX(MIN('Council Entry'!AL118,'Council Entry'!AL$9),'Council Entry'!AL$8),'Council Entry'!AL118))))-'Council Entry'!AL$5)/('Council Entry'!AL$6-'Council Entry'!AL$5)),1))),"No data"))</f>
        <v/>
      </c>
      <c r="AM118" s="13">
        <f>IF('Council Entry'!AM118="","",IFERROR(MAX(0,MIN(10,ROUND(IF('Council Entry'!AM$7="Decrease Risk",10-10*((IF('Council Entry'!AM$4="Logarithm",LN(0.001+IF(AND(ISNUMBER('Council Entry'!AM$8),ISNUMBER('Council Entry'!AM$9)),MAX(MIN('Council Entry'!AM118,'Council Entry'!AM$9),'Council Entry'!AM$8),'Council Entry'!AM118)),IF('Council Entry'!AM$4="Exponential",EXP(IF(AND(ISNUMBER('Council Entry'!AM$8),ISNUMBER('Council Entry'!AM$9)),MAX(MIN('Council Entry'!AM118,'Council Entry'!AM$9),'Council Entry'!AM$8),'Council Entry'!AM118)),IF(AND(ISNUMBER('Council Entry'!AM$8),ISNUMBER('Council Entry'!AM$9)),MAX(MIN('Council Entry'!AM118,'Council Entry'!AM$9),'Council Entry'!AM$8),'Council Entry'!AM118))))-'Council Entry'!AM$5)/('Council Entry'!AM$6-'Council Entry'!AM$5),10*((IF('Council Entry'!AM$4="Logarithm",LN(0.001+IF(AND(ISNUMBER('Council Entry'!AM$8),ISNUMBER('Council Entry'!AM$9)),MAX(MIN('Council Entry'!AM118,'Council Entry'!AM$9),'Council Entry'!AM$8),'Council Entry'!AM118)),IF('Council Entry'!AM$4="Exponential",EXP(IF(AND(ISNUMBER('Council Entry'!AM$8),ISNUMBER('Council Entry'!AM$9)),MAX(MIN('Council Entry'!AM118,'Council Entry'!AM$9),'Council Entry'!AM$8),'Council Entry'!AM118)),IF(AND(ISNUMBER('Council Entry'!AM$8),ISNUMBER('Council Entry'!AM$9)),MAX(MIN('Council Entry'!AM118,'Council Entry'!AM$9),'Council Entry'!AM$8),'Council Entry'!AM118))))-'Council Entry'!AM$5)/('Council Entry'!AM$6-'Council Entry'!AM$5)),1))),"No data"))</f>
        <v/>
      </c>
      <c r="AN118" s="13">
        <f>IF('Council Entry'!AN118="","",IFERROR(MAX(0,MIN(10,ROUND(IF('Council Entry'!AN$7="Decrease Risk",10-10*((IF('Council Entry'!AN$4="Logarithm",LN(0.001+IF(AND(ISNUMBER('Council Entry'!AN$8),ISNUMBER('Council Entry'!AN$9)),MAX(MIN('Council Entry'!AN118,'Council Entry'!AN$9),'Council Entry'!AN$8),'Council Entry'!AN118)),IF('Council Entry'!AN$4="Exponential",EXP(IF(AND(ISNUMBER('Council Entry'!AN$8),ISNUMBER('Council Entry'!AN$9)),MAX(MIN('Council Entry'!AN118,'Council Entry'!AN$9),'Council Entry'!AN$8),'Council Entry'!AN118)),IF(AND(ISNUMBER('Council Entry'!AN$8),ISNUMBER('Council Entry'!AN$9)),MAX(MIN('Council Entry'!AN118,'Council Entry'!AN$9),'Council Entry'!AN$8),'Council Entry'!AN118))))-'Council Entry'!AN$5)/('Council Entry'!AN$6-'Council Entry'!AN$5),10*((IF('Council Entry'!AN$4="Logarithm",LN(0.001+IF(AND(ISNUMBER('Council Entry'!AN$8),ISNUMBER('Council Entry'!AN$9)),MAX(MIN('Council Entry'!AN118,'Council Entry'!AN$9),'Council Entry'!AN$8),'Council Entry'!AN118)),IF('Council Entry'!AN$4="Exponential",EXP(IF(AND(ISNUMBER('Council Entry'!AN$8),ISNUMBER('Council Entry'!AN$9)),MAX(MIN('Council Entry'!AN118,'Council Entry'!AN$9),'Council Entry'!AN$8),'Council Entry'!AN118)),IF(AND(ISNUMBER('Council Entry'!AN$8),ISNUMBER('Council Entry'!AN$9)),MAX(MIN('Council Entry'!AN118,'Council Entry'!AN$9),'Council Entry'!AN$8),'Council Entry'!AN118))))-'Council Entry'!AN$5)/('Council Entry'!AN$6-'Council Entry'!AN$5)),1))),"No data"))</f>
        <v/>
      </c>
      <c r="AO118" s="13">
        <f>IF('Council Entry'!AO118="","",IFERROR(MAX(0,MIN(10,ROUND(IF('Council Entry'!AO$7="Decrease Risk",10-10*((IF('Council Entry'!AO$4="Logarithm",LN(0.001+IF(AND(ISNUMBER('Council Entry'!AO$8),ISNUMBER('Council Entry'!AO$9)),MAX(MIN('Council Entry'!AO118,'Council Entry'!AO$9),'Council Entry'!AO$8),'Council Entry'!AO118)),IF('Council Entry'!AO$4="Exponential",EXP(IF(AND(ISNUMBER('Council Entry'!AO$8),ISNUMBER('Council Entry'!AO$9)),MAX(MIN('Council Entry'!AO118,'Council Entry'!AO$9),'Council Entry'!AO$8),'Council Entry'!AO118)),IF(AND(ISNUMBER('Council Entry'!AO$8),ISNUMBER('Council Entry'!AO$9)),MAX(MIN('Council Entry'!AO118,'Council Entry'!AO$9),'Council Entry'!AO$8),'Council Entry'!AO118))))-'Council Entry'!AO$5)/('Council Entry'!AO$6-'Council Entry'!AO$5),10*((IF('Council Entry'!AO$4="Logarithm",LN(0.001+IF(AND(ISNUMBER('Council Entry'!AO$8),ISNUMBER('Council Entry'!AO$9)),MAX(MIN('Council Entry'!AO118,'Council Entry'!AO$9),'Council Entry'!AO$8),'Council Entry'!AO118)),IF('Council Entry'!AO$4="Exponential",EXP(IF(AND(ISNUMBER('Council Entry'!AO$8),ISNUMBER('Council Entry'!AO$9)),MAX(MIN('Council Entry'!AO118,'Council Entry'!AO$9),'Council Entry'!AO$8),'Council Entry'!AO118)),IF(AND(ISNUMBER('Council Entry'!AO$8),ISNUMBER('Council Entry'!AO$9)),MAX(MIN('Council Entry'!AO118,'Council Entry'!AO$9),'Council Entry'!AO$8),'Council Entry'!AO118))))-'Council Entry'!AO$5)/('Council Entry'!AO$6-'Council Entry'!AO$5)),1))),"No data"))</f>
        <v/>
      </c>
      <c r="AP118" s="13">
        <f>IF('Council Entry'!AP118="","",IFERROR(MAX(0,MIN(10,ROUND(IF('Council Entry'!AP$7="Decrease Risk",10-10*((IF('Council Entry'!AP$4="Logarithm",LN(0.001+IF(AND(ISNUMBER('Council Entry'!AP$8),ISNUMBER('Council Entry'!AP$9)),MAX(MIN('Council Entry'!AP118,'Council Entry'!AP$9),'Council Entry'!AP$8),'Council Entry'!AP118)),IF('Council Entry'!AP$4="Exponential",EXP(IF(AND(ISNUMBER('Council Entry'!AP$8),ISNUMBER('Council Entry'!AP$9)),MAX(MIN('Council Entry'!AP118,'Council Entry'!AP$9),'Council Entry'!AP$8),'Council Entry'!AP118)),IF(AND(ISNUMBER('Council Entry'!AP$8),ISNUMBER('Council Entry'!AP$9)),MAX(MIN('Council Entry'!AP118,'Council Entry'!AP$9),'Council Entry'!AP$8),'Council Entry'!AP118))))-'Council Entry'!AP$5)/('Council Entry'!AP$6-'Council Entry'!AP$5),10*((IF('Council Entry'!AP$4="Logarithm",LN(0.001+IF(AND(ISNUMBER('Council Entry'!AP$8),ISNUMBER('Council Entry'!AP$9)),MAX(MIN('Council Entry'!AP118,'Council Entry'!AP$9),'Council Entry'!AP$8),'Council Entry'!AP118)),IF('Council Entry'!AP$4="Exponential",EXP(IF(AND(ISNUMBER('Council Entry'!AP$8),ISNUMBER('Council Entry'!AP$9)),MAX(MIN('Council Entry'!AP118,'Council Entry'!AP$9),'Council Entry'!AP$8),'Council Entry'!AP118)),IF(AND(ISNUMBER('Council Entry'!AP$8),ISNUMBER('Council Entry'!AP$9)),MAX(MIN('Council Entry'!AP118,'Council Entry'!AP$9),'Council Entry'!AP$8),'Council Entry'!AP118))))-'Council Entry'!AP$5)/('Council Entry'!AP$6-'Council Entry'!AP$5)),1))),"No data"))</f>
        <v/>
      </c>
      <c r="AQ118" s="13">
        <f>IF('Council Entry'!AQ118="","",IFERROR(MAX(0,MIN(10,ROUND(IF('Council Entry'!AQ$7="Decrease Risk",10-10*((IF('Council Entry'!AQ$4="Logarithm",LN(0.001+IF(AND(ISNUMBER('Council Entry'!AQ$8),ISNUMBER('Council Entry'!AQ$9)),MAX(MIN('Council Entry'!AQ118,'Council Entry'!AQ$9),'Council Entry'!AQ$8),'Council Entry'!AQ118)),IF('Council Entry'!AQ$4="Exponential",EXP(IF(AND(ISNUMBER('Council Entry'!AQ$8),ISNUMBER('Council Entry'!AQ$9)),MAX(MIN('Council Entry'!AQ118,'Council Entry'!AQ$9),'Council Entry'!AQ$8),'Council Entry'!AQ118)),IF(AND(ISNUMBER('Council Entry'!AQ$8),ISNUMBER('Council Entry'!AQ$9)),MAX(MIN('Council Entry'!AQ118,'Council Entry'!AQ$9),'Council Entry'!AQ$8),'Council Entry'!AQ118))))-'Council Entry'!AQ$5)/('Council Entry'!AQ$6-'Council Entry'!AQ$5),10*((IF('Council Entry'!AQ$4="Logarithm",LN(0.001+IF(AND(ISNUMBER('Council Entry'!AQ$8),ISNUMBER('Council Entry'!AQ$9)),MAX(MIN('Council Entry'!AQ118,'Council Entry'!AQ$9),'Council Entry'!AQ$8),'Council Entry'!AQ118)),IF('Council Entry'!AQ$4="Exponential",EXP(IF(AND(ISNUMBER('Council Entry'!AQ$8),ISNUMBER('Council Entry'!AQ$9)),MAX(MIN('Council Entry'!AQ118,'Council Entry'!AQ$9),'Council Entry'!AQ$8),'Council Entry'!AQ118)),IF(AND(ISNUMBER('Council Entry'!AQ$8),ISNUMBER('Council Entry'!AQ$9)),MAX(MIN('Council Entry'!AQ118,'Council Entry'!AQ$9),'Council Entry'!AQ$8),'Council Entry'!AQ118))))-'Council Entry'!AQ$5)/('Council Entry'!AQ$6-'Council Entry'!AQ$5)),1))),"No data"))</f>
        <v/>
      </c>
      <c r="AR118" s="13">
        <f>IF('Council Entry'!AR118="","",IFERROR(MAX(0,MIN(10,ROUND(IF('Council Entry'!AR$7="Decrease Risk",10-10*((IF('Council Entry'!AR$4="Logarithm",LN(0.001+IF(AND(ISNUMBER('Council Entry'!AR$8),ISNUMBER('Council Entry'!AR$9)),MAX(MIN('Council Entry'!AR118,'Council Entry'!AR$9),'Council Entry'!AR$8),'Council Entry'!AR118)),IF('Council Entry'!AR$4="Exponential",EXP(IF(AND(ISNUMBER('Council Entry'!AR$8),ISNUMBER('Council Entry'!AR$9)),MAX(MIN('Council Entry'!AR118,'Council Entry'!AR$9),'Council Entry'!AR$8),'Council Entry'!AR118)),IF(AND(ISNUMBER('Council Entry'!AR$8),ISNUMBER('Council Entry'!AR$9)),MAX(MIN('Council Entry'!AR118,'Council Entry'!AR$9),'Council Entry'!AR$8),'Council Entry'!AR118))))-'Council Entry'!AR$5)/('Council Entry'!AR$6-'Council Entry'!AR$5),10*((IF('Council Entry'!AR$4="Logarithm",LN(0.001+IF(AND(ISNUMBER('Council Entry'!AR$8),ISNUMBER('Council Entry'!AR$9)),MAX(MIN('Council Entry'!AR118,'Council Entry'!AR$9),'Council Entry'!AR$8),'Council Entry'!AR118)),IF('Council Entry'!AR$4="Exponential",EXP(IF(AND(ISNUMBER('Council Entry'!AR$8),ISNUMBER('Council Entry'!AR$9)),MAX(MIN('Council Entry'!AR118,'Council Entry'!AR$9),'Council Entry'!AR$8),'Council Entry'!AR118)),IF(AND(ISNUMBER('Council Entry'!AR$8),ISNUMBER('Council Entry'!AR$9)),MAX(MIN('Council Entry'!AR118,'Council Entry'!AR$9),'Council Entry'!AR$8),'Council Entry'!AR118))))-'Council Entry'!AR$5)/('Council Entry'!AR$6-'Council Entry'!AR$5)),1))),"No data"))</f>
        <v/>
      </c>
      <c r="AS118" s="13">
        <f>IF('Council Entry'!AS118="","",IFERROR(MAX(0,MIN(10,ROUND(IF('Council Entry'!AS$7="Decrease Risk",10-10*((IF('Council Entry'!AS$4="Logarithm",LN(0.001+IF(AND(ISNUMBER('Council Entry'!AS$8),ISNUMBER('Council Entry'!AS$9)),MAX(MIN('Council Entry'!AS118,'Council Entry'!AS$9),'Council Entry'!AS$8),'Council Entry'!AS118)),IF('Council Entry'!AS$4="Exponential",EXP(IF(AND(ISNUMBER('Council Entry'!AS$8),ISNUMBER('Council Entry'!AS$9)),MAX(MIN('Council Entry'!AS118,'Council Entry'!AS$9),'Council Entry'!AS$8),'Council Entry'!AS118)),IF(AND(ISNUMBER('Council Entry'!AS$8),ISNUMBER('Council Entry'!AS$9)),MAX(MIN('Council Entry'!AS118,'Council Entry'!AS$9),'Council Entry'!AS$8),'Council Entry'!AS118))))-'Council Entry'!AS$5)/('Council Entry'!AS$6-'Council Entry'!AS$5),10*((IF('Council Entry'!AS$4="Logarithm",LN(0.001+IF(AND(ISNUMBER('Council Entry'!AS$8),ISNUMBER('Council Entry'!AS$9)),MAX(MIN('Council Entry'!AS118,'Council Entry'!AS$9),'Council Entry'!AS$8),'Council Entry'!AS118)),IF('Council Entry'!AS$4="Exponential",EXP(IF(AND(ISNUMBER('Council Entry'!AS$8),ISNUMBER('Council Entry'!AS$9)),MAX(MIN('Council Entry'!AS118,'Council Entry'!AS$9),'Council Entry'!AS$8),'Council Entry'!AS118)),IF(AND(ISNUMBER('Council Entry'!AS$8),ISNUMBER('Council Entry'!AS$9)),MAX(MIN('Council Entry'!AS118,'Council Entry'!AS$9),'Council Entry'!AS$8),'Council Entry'!AS118))))-'Council Entry'!AS$5)/('Council Entry'!AS$6-'Council Entry'!AS$5)),1))),"No data"))</f>
        <v/>
      </c>
      <c r="AT118" s="13">
        <f>IF('Council Entry'!AT118="","",IFERROR(MAX(0,MIN(10,ROUND(IF('Council Entry'!AT$7="Decrease Risk",10-10*((IF('Council Entry'!AT$4="Logarithm",LN(0.001+IF(AND(ISNUMBER('Council Entry'!AT$8),ISNUMBER('Council Entry'!AT$9)),MAX(MIN('Council Entry'!AT118,'Council Entry'!AT$9),'Council Entry'!AT$8),'Council Entry'!AT118)),IF('Council Entry'!AT$4="Exponential",EXP(IF(AND(ISNUMBER('Council Entry'!AT$8),ISNUMBER('Council Entry'!AT$9)),MAX(MIN('Council Entry'!AT118,'Council Entry'!AT$9),'Council Entry'!AT$8),'Council Entry'!AT118)),IF(AND(ISNUMBER('Council Entry'!AT$8),ISNUMBER('Council Entry'!AT$9)),MAX(MIN('Council Entry'!AT118,'Council Entry'!AT$9),'Council Entry'!AT$8),'Council Entry'!AT118))))-'Council Entry'!AT$5)/('Council Entry'!AT$6-'Council Entry'!AT$5),10*((IF('Council Entry'!AT$4="Logarithm",LN(0.001+IF(AND(ISNUMBER('Council Entry'!AT$8),ISNUMBER('Council Entry'!AT$9)),MAX(MIN('Council Entry'!AT118,'Council Entry'!AT$9),'Council Entry'!AT$8),'Council Entry'!AT118)),IF('Council Entry'!AT$4="Exponential",EXP(IF(AND(ISNUMBER('Council Entry'!AT$8),ISNUMBER('Council Entry'!AT$9)),MAX(MIN('Council Entry'!AT118,'Council Entry'!AT$9),'Council Entry'!AT$8),'Council Entry'!AT118)),IF(AND(ISNUMBER('Council Entry'!AT$8),ISNUMBER('Council Entry'!AT$9)),MAX(MIN('Council Entry'!AT118,'Council Entry'!AT$9),'Council Entry'!AT$8),'Council Entry'!AT118))))-'Council Entry'!AT$5)/('Council Entry'!AT$6-'Council Entry'!AT$5)),1))),"No data"))</f>
        <v/>
      </c>
      <c r="AU118" s="13">
        <f>IF('Council Entry'!AU118="","",IFERROR(MAX(0,MIN(10,ROUND(IF('Council Entry'!AU$7="Decrease Risk",10-10*((IF('Council Entry'!AU$4="Logarithm",LN(0.001+IF(AND(ISNUMBER('Council Entry'!AU$8),ISNUMBER('Council Entry'!AU$9)),MAX(MIN('Council Entry'!AU118,'Council Entry'!AU$9),'Council Entry'!AU$8),'Council Entry'!AU118)),IF('Council Entry'!AU$4="Exponential",EXP(IF(AND(ISNUMBER('Council Entry'!AU$8),ISNUMBER('Council Entry'!AU$9)),MAX(MIN('Council Entry'!AU118,'Council Entry'!AU$9),'Council Entry'!AU$8),'Council Entry'!AU118)),IF(AND(ISNUMBER('Council Entry'!AU$8),ISNUMBER('Council Entry'!AU$9)),MAX(MIN('Council Entry'!AU118,'Council Entry'!AU$9),'Council Entry'!AU$8),'Council Entry'!AU118))))-'Council Entry'!AU$5)/('Council Entry'!AU$6-'Council Entry'!AU$5),10*((IF('Council Entry'!AU$4="Logarithm",LN(0.001+IF(AND(ISNUMBER('Council Entry'!AU$8),ISNUMBER('Council Entry'!AU$9)),MAX(MIN('Council Entry'!AU118,'Council Entry'!AU$9),'Council Entry'!AU$8),'Council Entry'!AU118)),IF('Council Entry'!AU$4="Exponential",EXP(IF(AND(ISNUMBER('Council Entry'!AU$8),ISNUMBER('Council Entry'!AU$9)),MAX(MIN('Council Entry'!AU118,'Council Entry'!AU$9),'Council Entry'!AU$8),'Council Entry'!AU118)),IF(AND(ISNUMBER('Council Entry'!AU$8),ISNUMBER('Council Entry'!AU$9)),MAX(MIN('Council Entry'!AU118,'Council Entry'!AU$9),'Council Entry'!AU$8),'Council Entry'!AU118))))-'Council Entry'!AU$5)/('Council Entry'!AU$6-'Council Entry'!AU$5)),1))),"No data"))</f>
        <v/>
      </c>
      <c r="AV118" s="13">
        <f>IF('Council Entry'!AV118="","",IFERROR(MAX(0,MIN(10,ROUND(IF('Council Entry'!AV$7="Decrease Risk",10-10*((IF('Council Entry'!AV$4="Logarithm",LN(0.001+IF(AND(ISNUMBER('Council Entry'!AV$8),ISNUMBER('Council Entry'!AV$9)),MAX(MIN('Council Entry'!AV118,'Council Entry'!AV$9),'Council Entry'!AV$8),'Council Entry'!AV118)),IF('Council Entry'!AV$4="Exponential",EXP(IF(AND(ISNUMBER('Council Entry'!AV$8),ISNUMBER('Council Entry'!AV$9)),MAX(MIN('Council Entry'!AV118,'Council Entry'!AV$9),'Council Entry'!AV$8),'Council Entry'!AV118)),IF(AND(ISNUMBER('Council Entry'!AV$8),ISNUMBER('Council Entry'!AV$9)),MAX(MIN('Council Entry'!AV118,'Council Entry'!AV$9),'Council Entry'!AV$8),'Council Entry'!AV118))))-'Council Entry'!AV$5)/('Council Entry'!AV$6-'Council Entry'!AV$5),10*((IF('Council Entry'!AV$4="Logarithm",LN(0.001+IF(AND(ISNUMBER('Council Entry'!AV$8),ISNUMBER('Council Entry'!AV$9)),MAX(MIN('Council Entry'!AV118,'Council Entry'!AV$9),'Council Entry'!AV$8),'Council Entry'!AV118)),IF('Council Entry'!AV$4="Exponential",EXP(IF(AND(ISNUMBER('Council Entry'!AV$8),ISNUMBER('Council Entry'!AV$9)),MAX(MIN('Council Entry'!AV118,'Council Entry'!AV$9),'Council Entry'!AV$8),'Council Entry'!AV118)),IF(AND(ISNUMBER('Council Entry'!AV$8),ISNUMBER('Council Entry'!AV$9)),MAX(MIN('Council Entry'!AV118,'Council Entry'!AV$9),'Council Entry'!AV$8),'Council Entry'!AV118))))-'Council Entry'!AV$5)/('Council Entry'!AV$6-'Council Entry'!AV$5)),1))),"No data"))</f>
        <v/>
      </c>
      <c r="AW118" s="13">
        <f>IF('Council Entry'!AW118="","",IFERROR(MAX(0,MIN(10,ROUND(IF('Council Entry'!AW$7="Decrease Risk",10-10*((IF('Council Entry'!AW$4="Logarithm",LN(0.001+IF(AND(ISNUMBER('Council Entry'!AW$8),ISNUMBER('Council Entry'!AW$9)),MAX(MIN('Council Entry'!AW118,'Council Entry'!AW$9),'Council Entry'!AW$8),'Council Entry'!AW118)),IF('Council Entry'!AW$4="Exponential",EXP(IF(AND(ISNUMBER('Council Entry'!AW$8),ISNUMBER('Council Entry'!AW$9)),MAX(MIN('Council Entry'!AW118,'Council Entry'!AW$9),'Council Entry'!AW$8),'Council Entry'!AW118)),IF(AND(ISNUMBER('Council Entry'!AW$8),ISNUMBER('Council Entry'!AW$9)),MAX(MIN('Council Entry'!AW118,'Council Entry'!AW$9),'Council Entry'!AW$8),'Council Entry'!AW118))))-'Council Entry'!AW$5)/('Council Entry'!AW$6-'Council Entry'!AW$5),10*((IF('Council Entry'!AW$4="Logarithm",LN(0.001+IF(AND(ISNUMBER('Council Entry'!AW$8),ISNUMBER('Council Entry'!AW$9)),MAX(MIN('Council Entry'!AW118,'Council Entry'!AW$9),'Council Entry'!AW$8),'Council Entry'!AW118)),IF('Council Entry'!AW$4="Exponential",EXP(IF(AND(ISNUMBER('Council Entry'!AW$8),ISNUMBER('Council Entry'!AW$9)),MAX(MIN('Council Entry'!AW118,'Council Entry'!AW$9),'Council Entry'!AW$8),'Council Entry'!AW118)),IF(AND(ISNUMBER('Council Entry'!AW$8),ISNUMBER('Council Entry'!AW$9)),MAX(MIN('Council Entry'!AW118,'Council Entry'!AW$9),'Council Entry'!AW$8),'Council Entry'!AW118))))-'Council Entry'!AW$5)/('Council Entry'!AW$6-'Council Entry'!AW$5)),1))),"No data"))</f>
        <v/>
      </c>
      <c r="AX118" s="13">
        <f>IF('Council Entry'!AX118="","",IFERROR(MAX(0,MIN(10,ROUND(IF('Council Entry'!AX$7="Decrease Risk",10-10*((IF('Council Entry'!AX$4="Logarithm",LN(0.001+IF(AND(ISNUMBER('Council Entry'!AX$8),ISNUMBER('Council Entry'!AX$9)),MAX(MIN('Council Entry'!AX118,'Council Entry'!AX$9),'Council Entry'!AX$8),'Council Entry'!AX118)),IF('Council Entry'!AX$4="Exponential",EXP(IF(AND(ISNUMBER('Council Entry'!AX$8),ISNUMBER('Council Entry'!AX$9)),MAX(MIN('Council Entry'!AX118,'Council Entry'!AX$9),'Council Entry'!AX$8),'Council Entry'!AX118)),IF(AND(ISNUMBER('Council Entry'!AX$8),ISNUMBER('Council Entry'!AX$9)),MAX(MIN('Council Entry'!AX118,'Council Entry'!AX$9),'Council Entry'!AX$8),'Council Entry'!AX118))))-'Council Entry'!AX$5)/('Council Entry'!AX$6-'Council Entry'!AX$5),10*((IF('Council Entry'!AX$4="Logarithm",LN(0.001+IF(AND(ISNUMBER('Council Entry'!AX$8),ISNUMBER('Council Entry'!AX$9)),MAX(MIN('Council Entry'!AX118,'Council Entry'!AX$9),'Council Entry'!AX$8),'Council Entry'!AX118)),IF('Council Entry'!AX$4="Exponential",EXP(IF(AND(ISNUMBER('Council Entry'!AX$8),ISNUMBER('Council Entry'!AX$9)),MAX(MIN('Council Entry'!AX118,'Council Entry'!AX$9),'Council Entry'!AX$8),'Council Entry'!AX118)),IF(AND(ISNUMBER('Council Entry'!AX$8),ISNUMBER('Council Entry'!AX$9)),MAX(MIN('Council Entry'!AX118,'Council Entry'!AX$9),'Council Entry'!AX$8),'Council Entry'!AX118))))-'Council Entry'!AX$5)/('Council Entry'!AX$6-'Council Entry'!AX$5)),1))),"No data"))</f>
        <v/>
      </c>
      <c r="AY118" s="13">
        <f>IF('Council Entry'!AY118="","",IFERROR(MAX(0,MIN(10,ROUND(IF('Council Entry'!AY$7="Decrease Risk",10-10*((IF('Council Entry'!AY$4="Logarithm",LN(0.001+IF(AND(ISNUMBER('Council Entry'!AY$8),ISNUMBER('Council Entry'!AY$9)),MAX(MIN('Council Entry'!AY118,'Council Entry'!AY$9),'Council Entry'!AY$8),'Council Entry'!AY118)),IF('Council Entry'!AY$4="Exponential",EXP(IF(AND(ISNUMBER('Council Entry'!AY$8),ISNUMBER('Council Entry'!AY$9)),MAX(MIN('Council Entry'!AY118,'Council Entry'!AY$9),'Council Entry'!AY$8),'Council Entry'!AY118)),IF(AND(ISNUMBER('Council Entry'!AY$8),ISNUMBER('Council Entry'!AY$9)),MAX(MIN('Council Entry'!AY118,'Council Entry'!AY$9),'Council Entry'!AY$8),'Council Entry'!AY118))))-'Council Entry'!AY$5)/('Council Entry'!AY$6-'Council Entry'!AY$5),10*((IF('Council Entry'!AY$4="Logarithm",LN(0.001+IF(AND(ISNUMBER('Council Entry'!AY$8),ISNUMBER('Council Entry'!AY$9)),MAX(MIN('Council Entry'!AY118,'Council Entry'!AY$9),'Council Entry'!AY$8),'Council Entry'!AY118)),IF('Council Entry'!AY$4="Exponential",EXP(IF(AND(ISNUMBER('Council Entry'!AY$8),ISNUMBER('Council Entry'!AY$9)),MAX(MIN('Council Entry'!AY118,'Council Entry'!AY$9),'Council Entry'!AY$8),'Council Entry'!AY118)),IF(AND(ISNUMBER('Council Entry'!AY$8),ISNUMBER('Council Entry'!AY$9)),MAX(MIN('Council Entry'!AY118,'Council Entry'!AY$9),'Council Entry'!AY$8),'Council Entry'!AY118))))-'Council Entry'!AY$5)/('Council Entry'!AY$6-'Council Entry'!AY$5)),1))),"No data"))</f>
        <v/>
      </c>
      <c r="AZ118" s="13">
        <f>IF('Council Entry'!AZ118="","",IFERROR(MAX(0,MIN(10,ROUND(IF('Council Entry'!AZ$7="Decrease Risk",10-10*((IF('Council Entry'!AZ$4="Logarithm",LN(0.001+IF(AND(ISNUMBER('Council Entry'!AZ$8),ISNUMBER('Council Entry'!AZ$9)),MAX(MIN('Council Entry'!AZ118,'Council Entry'!AZ$9),'Council Entry'!AZ$8),'Council Entry'!AZ118)),IF('Council Entry'!AZ$4="Exponential",EXP(IF(AND(ISNUMBER('Council Entry'!AZ$8),ISNUMBER('Council Entry'!AZ$9)),MAX(MIN('Council Entry'!AZ118,'Council Entry'!AZ$9),'Council Entry'!AZ$8),'Council Entry'!AZ118)),IF(AND(ISNUMBER('Council Entry'!AZ$8),ISNUMBER('Council Entry'!AZ$9)),MAX(MIN('Council Entry'!AZ118,'Council Entry'!AZ$9),'Council Entry'!AZ$8),'Council Entry'!AZ118))))-'Council Entry'!AZ$5)/('Council Entry'!AZ$6-'Council Entry'!AZ$5),10*((IF('Council Entry'!AZ$4="Logarithm",LN(0.001+IF(AND(ISNUMBER('Council Entry'!AZ$8),ISNUMBER('Council Entry'!AZ$9)),MAX(MIN('Council Entry'!AZ118,'Council Entry'!AZ$9),'Council Entry'!AZ$8),'Council Entry'!AZ118)),IF('Council Entry'!AZ$4="Exponential",EXP(IF(AND(ISNUMBER('Council Entry'!AZ$8),ISNUMBER('Council Entry'!AZ$9)),MAX(MIN('Council Entry'!AZ118,'Council Entry'!AZ$9),'Council Entry'!AZ$8),'Council Entry'!AZ118)),IF(AND(ISNUMBER('Council Entry'!AZ$8),ISNUMBER('Council Entry'!AZ$9)),MAX(MIN('Council Entry'!AZ118,'Council Entry'!AZ$9),'Council Entry'!AZ$8),'Council Entry'!AZ118))))-'Council Entry'!AZ$5)/('Council Entry'!AZ$6-'Council Entry'!AZ$5)),1))),"No data"))</f>
        <v/>
      </c>
      <c r="BA118" s="13">
        <f>IF('Council Entry'!BA118="","",IFERROR(MAX(0,MIN(10,ROUND(IF('Council Entry'!BA$7="Decrease Risk",10-10*((IF('Council Entry'!BA$4="Logarithm",LN(0.001+IF(AND(ISNUMBER('Council Entry'!BA$8),ISNUMBER('Council Entry'!BA$9)),MAX(MIN('Council Entry'!BA118,'Council Entry'!BA$9),'Council Entry'!BA$8),'Council Entry'!BA118)),IF('Council Entry'!BA$4="Exponential",EXP(IF(AND(ISNUMBER('Council Entry'!BA$8),ISNUMBER('Council Entry'!BA$9)),MAX(MIN('Council Entry'!BA118,'Council Entry'!BA$9),'Council Entry'!BA$8),'Council Entry'!BA118)),IF(AND(ISNUMBER('Council Entry'!BA$8),ISNUMBER('Council Entry'!BA$9)),MAX(MIN('Council Entry'!BA118,'Council Entry'!BA$9),'Council Entry'!BA$8),'Council Entry'!BA118))))-'Council Entry'!BA$5)/('Council Entry'!BA$6-'Council Entry'!BA$5),10*((IF('Council Entry'!BA$4="Logarithm",LN(0.001+IF(AND(ISNUMBER('Council Entry'!BA$8),ISNUMBER('Council Entry'!BA$9)),MAX(MIN('Council Entry'!BA118,'Council Entry'!BA$9),'Council Entry'!BA$8),'Council Entry'!BA118)),IF('Council Entry'!BA$4="Exponential",EXP(IF(AND(ISNUMBER('Council Entry'!BA$8),ISNUMBER('Council Entry'!BA$9)),MAX(MIN('Council Entry'!BA118,'Council Entry'!BA$9),'Council Entry'!BA$8),'Council Entry'!BA118)),IF(AND(ISNUMBER('Council Entry'!BA$8),ISNUMBER('Council Entry'!BA$9)),MAX(MIN('Council Entry'!BA118,'Council Entry'!BA$9),'Council Entry'!BA$8),'Council Entry'!BA118))))-'Council Entry'!BA$5)/('Council Entry'!BA$6-'Council Entry'!BA$5)),1))),"No data"))</f>
        <v/>
      </c>
      <c r="BB118" s="13">
        <f>IF('Council Entry'!BB118="","",IFERROR(MAX(0,MIN(10,ROUND(IF('Council Entry'!BB$7="Decrease Risk",10-10*((IF('Council Entry'!BB$4="Logarithm",LN(0.001+IF(AND(ISNUMBER('Council Entry'!BB$8),ISNUMBER('Council Entry'!BB$9)),MAX(MIN('Council Entry'!BB118,'Council Entry'!BB$9),'Council Entry'!BB$8),'Council Entry'!BB118)),IF('Council Entry'!BB$4="Exponential",EXP(IF(AND(ISNUMBER('Council Entry'!BB$8),ISNUMBER('Council Entry'!BB$9)),MAX(MIN('Council Entry'!BB118,'Council Entry'!BB$9),'Council Entry'!BB$8),'Council Entry'!BB118)),IF(AND(ISNUMBER('Council Entry'!BB$8),ISNUMBER('Council Entry'!BB$9)),MAX(MIN('Council Entry'!BB118,'Council Entry'!BB$9),'Council Entry'!BB$8),'Council Entry'!BB118))))-'Council Entry'!BB$5)/('Council Entry'!BB$6-'Council Entry'!BB$5),10*((IF('Council Entry'!BB$4="Logarithm",LN(0.001+IF(AND(ISNUMBER('Council Entry'!BB$8),ISNUMBER('Council Entry'!BB$9)),MAX(MIN('Council Entry'!BB118,'Council Entry'!BB$9),'Council Entry'!BB$8),'Council Entry'!BB118)),IF('Council Entry'!BB$4="Exponential",EXP(IF(AND(ISNUMBER('Council Entry'!BB$8),ISNUMBER('Council Entry'!BB$9)),MAX(MIN('Council Entry'!BB118,'Council Entry'!BB$9),'Council Entry'!BB$8),'Council Entry'!BB118)),IF(AND(ISNUMBER('Council Entry'!BB$8),ISNUMBER('Council Entry'!BB$9)),MAX(MIN('Council Entry'!BB118,'Council Entry'!BB$9),'Council Entry'!BB$8),'Council Entry'!BB118))))-'Council Entry'!BB$5)/('Council Entry'!BB$6-'Council Entry'!BB$5)),1))),"No data"))</f>
        <v/>
      </c>
      <c r="BC118" s="13">
        <f>IF('Council Entry'!BC118="","",IFERROR(MAX(0,MIN(10,ROUND(IF('Council Entry'!BC$7="Decrease Risk",10-10*((IF('Council Entry'!BC$4="Logarithm",LN(0.001+IF(AND(ISNUMBER('Council Entry'!BC$8),ISNUMBER('Council Entry'!BC$9)),MAX(MIN('Council Entry'!BC118,'Council Entry'!BC$9),'Council Entry'!BC$8),'Council Entry'!BC118)),IF('Council Entry'!BC$4="Exponential",EXP(IF(AND(ISNUMBER('Council Entry'!BC$8),ISNUMBER('Council Entry'!BC$9)),MAX(MIN('Council Entry'!BC118,'Council Entry'!BC$9),'Council Entry'!BC$8),'Council Entry'!BC118)),IF(AND(ISNUMBER('Council Entry'!BC$8),ISNUMBER('Council Entry'!BC$9)),MAX(MIN('Council Entry'!BC118,'Council Entry'!BC$9),'Council Entry'!BC$8),'Council Entry'!BC118))))-'Council Entry'!BC$5)/('Council Entry'!BC$6-'Council Entry'!BC$5),10*((IF('Council Entry'!BC$4="Logarithm",LN(0.001+IF(AND(ISNUMBER('Council Entry'!BC$8),ISNUMBER('Council Entry'!BC$9)),MAX(MIN('Council Entry'!BC118,'Council Entry'!BC$9),'Council Entry'!BC$8),'Council Entry'!BC118)),IF('Council Entry'!BC$4="Exponential",EXP(IF(AND(ISNUMBER('Council Entry'!BC$8),ISNUMBER('Council Entry'!BC$9)),MAX(MIN('Council Entry'!BC118,'Council Entry'!BC$9),'Council Entry'!BC$8),'Council Entry'!BC118)),IF(AND(ISNUMBER('Council Entry'!BC$8),ISNUMBER('Council Entry'!BC$9)),MAX(MIN('Council Entry'!BC118,'Council Entry'!BC$9),'Council Entry'!BC$8),'Council Entry'!BC118))))-'Council Entry'!BC$5)/('Council Entry'!BC$6-'Council Entry'!BC$5)),1))),"No data"))</f>
        <v/>
      </c>
      <c r="BD118" s="13">
        <f>IF('Council Entry'!BD118="","",IFERROR(MAX(0,MIN(10,ROUND(IF('Council Entry'!BD$7="Decrease Risk",10-10*((IF('Council Entry'!BD$4="Logarithm",LN(0.001+IF(AND(ISNUMBER('Council Entry'!BD$8),ISNUMBER('Council Entry'!BD$9)),MAX(MIN('Council Entry'!BD118,'Council Entry'!BD$9),'Council Entry'!BD$8),'Council Entry'!BD118)),IF('Council Entry'!BD$4="Exponential",EXP(IF(AND(ISNUMBER('Council Entry'!BD$8),ISNUMBER('Council Entry'!BD$9)),MAX(MIN('Council Entry'!BD118,'Council Entry'!BD$9),'Council Entry'!BD$8),'Council Entry'!BD118)),IF(AND(ISNUMBER('Council Entry'!BD$8),ISNUMBER('Council Entry'!BD$9)),MAX(MIN('Council Entry'!BD118,'Council Entry'!BD$9),'Council Entry'!BD$8),'Council Entry'!BD118))))-'Council Entry'!BD$5)/('Council Entry'!BD$6-'Council Entry'!BD$5),10*((IF('Council Entry'!BD$4="Logarithm",LN(0.001+IF(AND(ISNUMBER('Council Entry'!BD$8),ISNUMBER('Council Entry'!BD$9)),MAX(MIN('Council Entry'!BD118,'Council Entry'!BD$9),'Council Entry'!BD$8),'Council Entry'!BD118)),IF('Council Entry'!BD$4="Exponential",EXP(IF(AND(ISNUMBER('Council Entry'!BD$8),ISNUMBER('Council Entry'!BD$9)),MAX(MIN('Council Entry'!BD118,'Council Entry'!BD$9),'Council Entry'!BD$8),'Council Entry'!BD118)),IF(AND(ISNUMBER('Council Entry'!BD$8),ISNUMBER('Council Entry'!BD$9)),MAX(MIN('Council Entry'!BD118,'Council Entry'!BD$9),'Council Entry'!BD$8),'Council Entry'!BD118))))-'Council Entry'!BD$5)/('Council Entry'!BD$6-'Council Entry'!BD$5)),1))),"No data"))</f>
        <v/>
      </c>
    </row>
    <row r="119">
      <c r="A119" t="inlineStr">
        <is>
          <t>Mtwara</t>
        </is>
      </c>
      <c r="B119" t="inlineStr">
        <is>
          <t>Masasi District</t>
        </is>
      </c>
      <c r="C119" t="inlineStr">
        <is>
          <t>C068</t>
        </is>
      </c>
      <c r="D119" s="13">
        <f>IF('Council Entry'!D119="","",IFERROR(MAX(0,MIN(10,ROUND(IF('Council Entry'!D$7="Decrease Risk",10-10*((IF('Council Entry'!D$4="Logarithm",LN(0.001+IF(AND(ISNUMBER('Council Entry'!D$8),ISNUMBER('Council Entry'!D$9)),MAX(MIN('Council Entry'!D119,'Council Entry'!D$9),'Council Entry'!D$8),'Council Entry'!D119)),IF('Council Entry'!D$4="Exponential",EXP(IF(AND(ISNUMBER('Council Entry'!D$8),ISNUMBER('Council Entry'!D$9)),MAX(MIN('Council Entry'!D119,'Council Entry'!D$9),'Council Entry'!D$8),'Council Entry'!D119)),IF(AND(ISNUMBER('Council Entry'!D$8),ISNUMBER('Council Entry'!D$9)),MAX(MIN('Council Entry'!D119,'Council Entry'!D$9),'Council Entry'!D$8),'Council Entry'!D119))))-'Council Entry'!D$5)/('Council Entry'!D$6-'Council Entry'!D$5),10*((IF('Council Entry'!D$4="Logarithm",LN(0.001+IF(AND(ISNUMBER('Council Entry'!D$8),ISNUMBER('Council Entry'!D$9)),MAX(MIN('Council Entry'!D119,'Council Entry'!D$9),'Council Entry'!D$8),'Council Entry'!D119)),IF('Council Entry'!D$4="Exponential",EXP(IF(AND(ISNUMBER('Council Entry'!D$8),ISNUMBER('Council Entry'!D$9)),MAX(MIN('Council Entry'!D119,'Council Entry'!D$9),'Council Entry'!D$8),'Council Entry'!D119)),IF(AND(ISNUMBER('Council Entry'!D$8),ISNUMBER('Council Entry'!D$9)),MAX(MIN('Council Entry'!D119,'Council Entry'!D$9),'Council Entry'!D$8),'Council Entry'!D119))))-'Council Entry'!D$5)/('Council Entry'!D$6-'Council Entry'!D$5)),1))),"No data"))</f>
        <v/>
      </c>
      <c r="E119" s="13">
        <f>IF('Council Entry'!E119="","",IFERROR(MAX(0,MIN(10,ROUND(IF('Council Entry'!E$7="Decrease Risk",10-10*((IF('Council Entry'!E$4="Logarithm",LN(0.001+IF(AND(ISNUMBER('Council Entry'!E$8),ISNUMBER('Council Entry'!E$9)),MAX(MIN('Council Entry'!E119,'Council Entry'!E$9),'Council Entry'!E$8),'Council Entry'!E119)),IF('Council Entry'!E$4="Exponential",EXP(IF(AND(ISNUMBER('Council Entry'!E$8),ISNUMBER('Council Entry'!E$9)),MAX(MIN('Council Entry'!E119,'Council Entry'!E$9),'Council Entry'!E$8),'Council Entry'!E119)),IF(AND(ISNUMBER('Council Entry'!E$8),ISNUMBER('Council Entry'!E$9)),MAX(MIN('Council Entry'!E119,'Council Entry'!E$9),'Council Entry'!E$8),'Council Entry'!E119))))-'Council Entry'!E$5)/('Council Entry'!E$6-'Council Entry'!E$5),10*((IF('Council Entry'!E$4="Logarithm",LN(0.001+IF(AND(ISNUMBER('Council Entry'!E$8),ISNUMBER('Council Entry'!E$9)),MAX(MIN('Council Entry'!E119,'Council Entry'!E$9),'Council Entry'!E$8),'Council Entry'!E119)),IF('Council Entry'!E$4="Exponential",EXP(IF(AND(ISNUMBER('Council Entry'!E$8),ISNUMBER('Council Entry'!E$9)),MAX(MIN('Council Entry'!E119,'Council Entry'!E$9),'Council Entry'!E$8),'Council Entry'!E119)),IF(AND(ISNUMBER('Council Entry'!E$8),ISNUMBER('Council Entry'!E$9)),MAX(MIN('Council Entry'!E119,'Council Entry'!E$9),'Council Entry'!E$8),'Council Entry'!E119))))-'Council Entry'!E$5)/('Council Entry'!E$6-'Council Entry'!E$5)),1))),"No data"))</f>
        <v/>
      </c>
      <c r="F119" s="13">
        <f>IF('Council Entry'!F119="","",IFERROR(MAX(0,MIN(10,ROUND(IF('Council Entry'!F$7="Decrease Risk",10-10*((IF('Council Entry'!F$4="Logarithm",LN(0.001+IF(AND(ISNUMBER('Council Entry'!F$8),ISNUMBER('Council Entry'!F$9)),MAX(MIN('Council Entry'!F119,'Council Entry'!F$9),'Council Entry'!F$8),'Council Entry'!F119)),IF('Council Entry'!F$4="Exponential",EXP(IF(AND(ISNUMBER('Council Entry'!F$8),ISNUMBER('Council Entry'!F$9)),MAX(MIN('Council Entry'!F119,'Council Entry'!F$9),'Council Entry'!F$8),'Council Entry'!F119)),IF(AND(ISNUMBER('Council Entry'!F$8),ISNUMBER('Council Entry'!F$9)),MAX(MIN('Council Entry'!F119,'Council Entry'!F$9),'Council Entry'!F$8),'Council Entry'!F119))))-'Council Entry'!F$5)/('Council Entry'!F$6-'Council Entry'!F$5),10*((IF('Council Entry'!F$4="Logarithm",LN(0.001+IF(AND(ISNUMBER('Council Entry'!F$8),ISNUMBER('Council Entry'!F$9)),MAX(MIN('Council Entry'!F119,'Council Entry'!F$9),'Council Entry'!F$8),'Council Entry'!F119)),IF('Council Entry'!F$4="Exponential",EXP(IF(AND(ISNUMBER('Council Entry'!F$8),ISNUMBER('Council Entry'!F$9)),MAX(MIN('Council Entry'!F119,'Council Entry'!F$9),'Council Entry'!F$8),'Council Entry'!F119)),IF(AND(ISNUMBER('Council Entry'!F$8),ISNUMBER('Council Entry'!F$9)),MAX(MIN('Council Entry'!F119,'Council Entry'!F$9),'Council Entry'!F$8),'Council Entry'!F119))))-'Council Entry'!F$5)/('Council Entry'!F$6-'Council Entry'!F$5)),1))),"No data"))</f>
        <v/>
      </c>
      <c r="G119" s="13">
        <f>IF('Council Entry'!G119="","",IFERROR(MAX(0,MIN(10,ROUND(IF('Council Entry'!G$7="Decrease Risk",10-10*((IF('Council Entry'!G$4="Logarithm",LN(0.001+IF(AND(ISNUMBER('Council Entry'!G$8),ISNUMBER('Council Entry'!G$9)),MAX(MIN('Council Entry'!G119,'Council Entry'!G$9),'Council Entry'!G$8),'Council Entry'!G119)),IF('Council Entry'!G$4="Exponential",EXP(IF(AND(ISNUMBER('Council Entry'!G$8),ISNUMBER('Council Entry'!G$9)),MAX(MIN('Council Entry'!G119,'Council Entry'!G$9),'Council Entry'!G$8),'Council Entry'!G119)),IF(AND(ISNUMBER('Council Entry'!G$8),ISNUMBER('Council Entry'!G$9)),MAX(MIN('Council Entry'!G119,'Council Entry'!G$9),'Council Entry'!G$8),'Council Entry'!G119))))-'Council Entry'!G$5)/('Council Entry'!G$6-'Council Entry'!G$5),10*((IF('Council Entry'!G$4="Logarithm",LN(0.001+IF(AND(ISNUMBER('Council Entry'!G$8),ISNUMBER('Council Entry'!G$9)),MAX(MIN('Council Entry'!G119,'Council Entry'!G$9),'Council Entry'!G$8),'Council Entry'!G119)),IF('Council Entry'!G$4="Exponential",EXP(IF(AND(ISNUMBER('Council Entry'!G$8),ISNUMBER('Council Entry'!G$9)),MAX(MIN('Council Entry'!G119,'Council Entry'!G$9),'Council Entry'!G$8),'Council Entry'!G119)),IF(AND(ISNUMBER('Council Entry'!G$8),ISNUMBER('Council Entry'!G$9)),MAX(MIN('Council Entry'!G119,'Council Entry'!G$9),'Council Entry'!G$8),'Council Entry'!G119))))-'Council Entry'!G$5)/('Council Entry'!G$6-'Council Entry'!G$5)),1))),"No data"))</f>
        <v/>
      </c>
      <c r="H119" s="13">
        <f>IF('Council Entry'!H119="","",IFERROR(MAX(0,MIN(10,ROUND(IF('Council Entry'!H$7="Decrease Risk",10-10*((IF('Council Entry'!H$4="Logarithm",LN(0.001+IF(AND(ISNUMBER('Council Entry'!H$8),ISNUMBER('Council Entry'!H$9)),MAX(MIN('Council Entry'!H119,'Council Entry'!H$9),'Council Entry'!H$8),'Council Entry'!H119)),IF('Council Entry'!H$4="Exponential",EXP(IF(AND(ISNUMBER('Council Entry'!H$8),ISNUMBER('Council Entry'!H$9)),MAX(MIN('Council Entry'!H119,'Council Entry'!H$9),'Council Entry'!H$8),'Council Entry'!H119)),IF(AND(ISNUMBER('Council Entry'!H$8),ISNUMBER('Council Entry'!H$9)),MAX(MIN('Council Entry'!H119,'Council Entry'!H$9),'Council Entry'!H$8),'Council Entry'!H119))))-'Council Entry'!H$5)/('Council Entry'!H$6-'Council Entry'!H$5),10*((IF('Council Entry'!H$4="Logarithm",LN(0.001+IF(AND(ISNUMBER('Council Entry'!H$8),ISNUMBER('Council Entry'!H$9)),MAX(MIN('Council Entry'!H119,'Council Entry'!H$9),'Council Entry'!H$8),'Council Entry'!H119)),IF('Council Entry'!H$4="Exponential",EXP(IF(AND(ISNUMBER('Council Entry'!H$8),ISNUMBER('Council Entry'!H$9)),MAX(MIN('Council Entry'!H119,'Council Entry'!H$9),'Council Entry'!H$8),'Council Entry'!H119)),IF(AND(ISNUMBER('Council Entry'!H$8),ISNUMBER('Council Entry'!H$9)),MAX(MIN('Council Entry'!H119,'Council Entry'!H$9),'Council Entry'!H$8),'Council Entry'!H119))))-'Council Entry'!H$5)/('Council Entry'!H$6-'Council Entry'!H$5)),1))),"No data"))</f>
        <v/>
      </c>
      <c r="I119" s="13">
        <f>IF('Council Entry'!I119="","",IFERROR(MAX(0,MIN(10,ROUND(IF('Council Entry'!I$7="Decrease Risk",10-10*((IF('Council Entry'!I$4="Logarithm",LN(0.001+IF(AND(ISNUMBER('Council Entry'!I$8),ISNUMBER('Council Entry'!I$9)),MAX(MIN('Council Entry'!I119,'Council Entry'!I$9),'Council Entry'!I$8),'Council Entry'!I119)),IF('Council Entry'!I$4="Exponential",EXP(IF(AND(ISNUMBER('Council Entry'!I$8),ISNUMBER('Council Entry'!I$9)),MAX(MIN('Council Entry'!I119,'Council Entry'!I$9),'Council Entry'!I$8),'Council Entry'!I119)),IF(AND(ISNUMBER('Council Entry'!I$8),ISNUMBER('Council Entry'!I$9)),MAX(MIN('Council Entry'!I119,'Council Entry'!I$9),'Council Entry'!I$8),'Council Entry'!I119))))-'Council Entry'!I$5)/('Council Entry'!I$6-'Council Entry'!I$5),10*((IF('Council Entry'!I$4="Logarithm",LN(0.001+IF(AND(ISNUMBER('Council Entry'!I$8),ISNUMBER('Council Entry'!I$9)),MAX(MIN('Council Entry'!I119,'Council Entry'!I$9),'Council Entry'!I$8),'Council Entry'!I119)),IF('Council Entry'!I$4="Exponential",EXP(IF(AND(ISNUMBER('Council Entry'!I$8),ISNUMBER('Council Entry'!I$9)),MAX(MIN('Council Entry'!I119,'Council Entry'!I$9),'Council Entry'!I$8),'Council Entry'!I119)),IF(AND(ISNUMBER('Council Entry'!I$8),ISNUMBER('Council Entry'!I$9)),MAX(MIN('Council Entry'!I119,'Council Entry'!I$9),'Council Entry'!I$8),'Council Entry'!I119))))-'Council Entry'!I$5)/('Council Entry'!I$6-'Council Entry'!I$5)),1))),"No data"))</f>
        <v/>
      </c>
      <c r="J119" s="13">
        <f>IF('Council Entry'!J119="","",IFERROR(MAX(0,MIN(10,ROUND(IF('Council Entry'!J$7="Decrease Risk",10-10*((IF('Council Entry'!J$4="Logarithm",LN(0.001+IF(AND(ISNUMBER('Council Entry'!J$8),ISNUMBER('Council Entry'!J$9)),MAX(MIN('Council Entry'!J119,'Council Entry'!J$9),'Council Entry'!J$8),'Council Entry'!J119)),IF('Council Entry'!J$4="Exponential",EXP(IF(AND(ISNUMBER('Council Entry'!J$8),ISNUMBER('Council Entry'!J$9)),MAX(MIN('Council Entry'!J119,'Council Entry'!J$9),'Council Entry'!J$8),'Council Entry'!J119)),IF(AND(ISNUMBER('Council Entry'!J$8),ISNUMBER('Council Entry'!J$9)),MAX(MIN('Council Entry'!J119,'Council Entry'!J$9),'Council Entry'!J$8),'Council Entry'!J119))))-'Council Entry'!J$5)/('Council Entry'!J$6-'Council Entry'!J$5),10*((IF('Council Entry'!J$4="Logarithm",LN(0.001+IF(AND(ISNUMBER('Council Entry'!J$8),ISNUMBER('Council Entry'!J$9)),MAX(MIN('Council Entry'!J119,'Council Entry'!J$9),'Council Entry'!J$8),'Council Entry'!J119)),IF('Council Entry'!J$4="Exponential",EXP(IF(AND(ISNUMBER('Council Entry'!J$8),ISNUMBER('Council Entry'!J$9)),MAX(MIN('Council Entry'!J119,'Council Entry'!J$9),'Council Entry'!J$8),'Council Entry'!J119)),IF(AND(ISNUMBER('Council Entry'!J$8),ISNUMBER('Council Entry'!J$9)),MAX(MIN('Council Entry'!J119,'Council Entry'!J$9),'Council Entry'!J$8),'Council Entry'!J119))))-'Council Entry'!J$5)/('Council Entry'!J$6-'Council Entry'!J$5)),1))),"No data"))</f>
        <v/>
      </c>
      <c r="K119" s="13">
        <f>IF('Council Entry'!K119="","",IFERROR(MAX(0,MIN(10,ROUND(IF('Council Entry'!K$7="Decrease Risk",10-10*((IF('Council Entry'!K$4="Logarithm",LN(0.001+IF(AND(ISNUMBER('Council Entry'!K$8),ISNUMBER('Council Entry'!K$9)),MAX(MIN('Council Entry'!K119,'Council Entry'!K$9),'Council Entry'!K$8),'Council Entry'!K119)),IF('Council Entry'!K$4="Exponential",EXP(IF(AND(ISNUMBER('Council Entry'!K$8),ISNUMBER('Council Entry'!K$9)),MAX(MIN('Council Entry'!K119,'Council Entry'!K$9),'Council Entry'!K$8),'Council Entry'!K119)),IF(AND(ISNUMBER('Council Entry'!K$8),ISNUMBER('Council Entry'!K$9)),MAX(MIN('Council Entry'!K119,'Council Entry'!K$9),'Council Entry'!K$8),'Council Entry'!K119))))-'Council Entry'!K$5)/('Council Entry'!K$6-'Council Entry'!K$5),10*((IF('Council Entry'!K$4="Logarithm",LN(0.001+IF(AND(ISNUMBER('Council Entry'!K$8),ISNUMBER('Council Entry'!K$9)),MAX(MIN('Council Entry'!K119,'Council Entry'!K$9),'Council Entry'!K$8),'Council Entry'!K119)),IF('Council Entry'!K$4="Exponential",EXP(IF(AND(ISNUMBER('Council Entry'!K$8),ISNUMBER('Council Entry'!K$9)),MAX(MIN('Council Entry'!K119,'Council Entry'!K$9),'Council Entry'!K$8),'Council Entry'!K119)),IF(AND(ISNUMBER('Council Entry'!K$8),ISNUMBER('Council Entry'!K$9)),MAX(MIN('Council Entry'!K119,'Council Entry'!K$9),'Council Entry'!K$8),'Council Entry'!K119))))-'Council Entry'!K$5)/('Council Entry'!K$6-'Council Entry'!K$5)),1))),"No data"))</f>
        <v/>
      </c>
      <c r="L119" s="13">
        <f>IF('Council Entry'!L119="","",IFERROR(MAX(0,MIN(10,ROUND(IF('Council Entry'!L$7="Decrease Risk",10-10*((IF('Council Entry'!L$4="Logarithm",LN(0.001+IF(AND(ISNUMBER('Council Entry'!L$8),ISNUMBER('Council Entry'!L$9)),MAX(MIN('Council Entry'!L119,'Council Entry'!L$9),'Council Entry'!L$8),'Council Entry'!L119)),IF('Council Entry'!L$4="Exponential",EXP(IF(AND(ISNUMBER('Council Entry'!L$8),ISNUMBER('Council Entry'!L$9)),MAX(MIN('Council Entry'!L119,'Council Entry'!L$9),'Council Entry'!L$8),'Council Entry'!L119)),IF(AND(ISNUMBER('Council Entry'!L$8),ISNUMBER('Council Entry'!L$9)),MAX(MIN('Council Entry'!L119,'Council Entry'!L$9),'Council Entry'!L$8),'Council Entry'!L119))))-'Council Entry'!L$5)/('Council Entry'!L$6-'Council Entry'!L$5),10*((IF('Council Entry'!L$4="Logarithm",LN(0.001+IF(AND(ISNUMBER('Council Entry'!L$8),ISNUMBER('Council Entry'!L$9)),MAX(MIN('Council Entry'!L119,'Council Entry'!L$9),'Council Entry'!L$8),'Council Entry'!L119)),IF('Council Entry'!L$4="Exponential",EXP(IF(AND(ISNUMBER('Council Entry'!L$8),ISNUMBER('Council Entry'!L$9)),MAX(MIN('Council Entry'!L119,'Council Entry'!L$9),'Council Entry'!L$8),'Council Entry'!L119)),IF(AND(ISNUMBER('Council Entry'!L$8),ISNUMBER('Council Entry'!L$9)),MAX(MIN('Council Entry'!L119,'Council Entry'!L$9),'Council Entry'!L$8),'Council Entry'!L119))))-'Council Entry'!L$5)/('Council Entry'!L$6-'Council Entry'!L$5)),1))),"No data"))</f>
        <v/>
      </c>
      <c r="M119" s="13">
        <f>IF('Council Entry'!M119="","",IFERROR(MAX(0,MIN(10,ROUND(IF('Council Entry'!M$7="Decrease Risk",10-10*((IF('Council Entry'!M$4="Logarithm",LN(0.001+IF(AND(ISNUMBER('Council Entry'!M$8),ISNUMBER('Council Entry'!M$9)),MAX(MIN('Council Entry'!M119,'Council Entry'!M$9),'Council Entry'!M$8),'Council Entry'!M119)),IF('Council Entry'!M$4="Exponential",EXP(IF(AND(ISNUMBER('Council Entry'!M$8),ISNUMBER('Council Entry'!M$9)),MAX(MIN('Council Entry'!M119,'Council Entry'!M$9),'Council Entry'!M$8),'Council Entry'!M119)),IF(AND(ISNUMBER('Council Entry'!M$8),ISNUMBER('Council Entry'!M$9)),MAX(MIN('Council Entry'!M119,'Council Entry'!M$9),'Council Entry'!M$8),'Council Entry'!M119))))-'Council Entry'!M$5)/('Council Entry'!M$6-'Council Entry'!M$5),10*((IF('Council Entry'!M$4="Logarithm",LN(0.001+IF(AND(ISNUMBER('Council Entry'!M$8),ISNUMBER('Council Entry'!M$9)),MAX(MIN('Council Entry'!M119,'Council Entry'!M$9),'Council Entry'!M$8),'Council Entry'!M119)),IF('Council Entry'!M$4="Exponential",EXP(IF(AND(ISNUMBER('Council Entry'!M$8),ISNUMBER('Council Entry'!M$9)),MAX(MIN('Council Entry'!M119,'Council Entry'!M$9),'Council Entry'!M$8),'Council Entry'!M119)),IF(AND(ISNUMBER('Council Entry'!M$8),ISNUMBER('Council Entry'!M$9)),MAX(MIN('Council Entry'!M119,'Council Entry'!M$9),'Council Entry'!M$8),'Council Entry'!M119))))-'Council Entry'!M$5)/('Council Entry'!M$6-'Council Entry'!M$5)),1))),"No data"))</f>
        <v/>
      </c>
      <c r="N119" s="13">
        <f>IF('Council Entry'!N119="","",IFERROR(MAX(0,MIN(10,ROUND(IF('Council Entry'!N$7="Decrease Risk",10-10*((IF('Council Entry'!N$4="Logarithm",LN(0.001+IF(AND(ISNUMBER('Council Entry'!N$8),ISNUMBER('Council Entry'!N$9)),MAX(MIN('Council Entry'!N119,'Council Entry'!N$9),'Council Entry'!N$8),'Council Entry'!N119)),IF('Council Entry'!N$4="Exponential",EXP(IF(AND(ISNUMBER('Council Entry'!N$8),ISNUMBER('Council Entry'!N$9)),MAX(MIN('Council Entry'!N119,'Council Entry'!N$9),'Council Entry'!N$8),'Council Entry'!N119)),IF(AND(ISNUMBER('Council Entry'!N$8),ISNUMBER('Council Entry'!N$9)),MAX(MIN('Council Entry'!N119,'Council Entry'!N$9),'Council Entry'!N$8),'Council Entry'!N119))))-'Council Entry'!N$5)/('Council Entry'!N$6-'Council Entry'!N$5),10*((IF('Council Entry'!N$4="Logarithm",LN(0.001+IF(AND(ISNUMBER('Council Entry'!N$8),ISNUMBER('Council Entry'!N$9)),MAX(MIN('Council Entry'!N119,'Council Entry'!N$9),'Council Entry'!N$8),'Council Entry'!N119)),IF('Council Entry'!N$4="Exponential",EXP(IF(AND(ISNUMBER('Council Entry'!N$8),ISNUMBER('Council Entry'!N$9)),MAX(MIN('Council Entry'!N119,'Council Entry'!N$9),'Council Entry'!N$8),'Council Entry'!N119)),IF(AND(ISNUMBER('Council Entry'!N$8),ISNUMBER('Council Entry'!N$9)),MAX(MIN('Council Entry'!N119,'Council Entry'!N$9),'Council Entry'!N$8),'Council Entry'!N119))))-'Council Entry'!N$5)/('Council Entry'!N$6-'Council Entry'!N$5)),1))),"No data"))</f>
        <v/>
      </c>
      <c r="O119" s="13">
        <f>IF('Council Entry'!O119="","",IFERROR(MAX(0,MIN(10,ROUND(IF('Council Entry'!O$7="Decrease Risk",10-10*((IF('Council Entry'!O$4="Logarithm",LN(0.001+IF(AND(ISNUMBER('Council Entry'!O$8),ISNUMBER('Council Entry'!O$9)),MAX(MIN('Council Entry'!O119,'Council Entry'!O$9),'Council Entry'!O$8),'Council Entry'!O119)),IF('Council Entry'!O$4="Exponential",EXP(IF(AND(ISNUMBER('Council Entry'!O$8),ISNUMBER('Council Entry'!O$9)),MAX(MIN('Council Entry'!O119,'Council Entry'!O$9),'Council Entry'!O$8),'Council Entry'!O119)),IF(AND(ISNUMBER('Council Entry'!O$8),ISNUMBER('Council Entry'!O$9)),MAX(MIN('Council Entry'!O119,'Council Entry'!O$9),'Council Entry'!O$8),'Council Entry'!O119))))-'Council Entry'!O$5)/('Council Entry'!O$6-'Council Entry'!O$5),10*((IF('Council Entry'!O$4="Logarithm",LN(0.001+IF(AND(ISNUMBER('Council Entry'!O$8),ISNUMBER('Council Entry'!O$9)),MAX(MIN('Council Entry'!O119,'Council Entry'!O$9),'Council Entry'!O$8),'Council Entry'!O119)),IF('Council Entry'!O$4="Exponential",EXP(IF(AND(ISNUMBER('Council Entry'!O$8),ISNUMBER('Council Entry'!O$9)),MAX(MIN('Council Entry'!O119,'Council Entry'!O$9),'Council Entry'!O$8),'Council Entry'!O119)),IF(AND(ISNUMBER('Council Entry'!O$8),ISNUMBER('Council Entry'!O$9)),MAX(MIN('Council Entry'!O119,'Council Entry'!O$9),'Council Entry'!O$8),'Council Entry'!O119))))-'Council Entry'!O$5)/('Council Entry'!O$6-'Council Entry'!O$5)),1))),"No data"))</f>
        <v/>
      </c>
      <c r="P119" s="13">
        <f>IF('Council Entry'!P119="","",IFERROR(MAX(0,MIN(10,ROUND(IF('Council Entry'!P$7="Decrease Risk",10-10*((IF('Council Entry'!P$4="Logarithm",LN(0.001+IF(AND(ISNUMBER('Council Entry'!P$8),ISNUMBER('Council Entry'!P$9)),MAX(MIN('Council Entry'!P119,'Council Entry'!P$9),'Council Entry'!P$8),'Council Entry'!P119)),IF('Council Entry'!P$4="Exponential",EXP(IF(AND(ISNUMBER('Council Entry'!P$8),ISNUMBER('Council Entry'!P$9)),MAX(MIN('Council Entry'!P119,'Council Entry'!P$9),'Council Entry'!P$8),'Council Entry'!P119)),IF(AND(ISNUMBER('Council Entry'!P$8),ISNUMBER('Council Entry'!P$9)),MAX(MIN('Council Entry'!P119,'Council Entry'!P$9),'Council Entry'!P$8),'Council Entry'!P119))))-'Council Entry'!P$5)/('Council Entry'!P$6-'Council Entry'!P$5),10*((IF('Council Entry'!P$4="Logarithm",LN(0.001+IF(AND(ISNUMBER('Council Entry'!P$8),ISNUMBER('Council Entry'!P$9)),MAX(MIN('Council Entry'!P119,'Council Entry'!P$9),'Council Entry'!P$8),'Council Entry'!P119)),IF('Council Entry'!P$4="Exponential",EXP(IF(AND(ISNUMBER('Council Entry'!P$8),ISNUMBER('Council Entry'!P$9)),MAX(MIN('Council Entry'!P119,'Council Entry'!P$9),'Council Entry'!P$8),'Council Entry'!P119)),IF(AND(ISNUMBER('Council Entry'!P$8),ISNUMBER('Council Entry'!P$9)),MAX(MIN('Council Entry'!P119,'Council Entry'!P$9),'Council Entry'!P$8),'Council Entry'!P119))))-'Council Entry'!P$5)/('Council Entry'!P$6-'Council Entry'!P$5)),1))),"No data"))</f>
        <v/>
      </c>
      <c r="Q119" s="13">
        <f>IF('Council Entry'!Q119="","",IFERROR(MAX(0,MIN(10,ROUND(IF('Council Entry'!Q$7="Decrease Risk",10-10*((IF('Council Entry'!Q$4="Logarithm",LN(0.001+IF(AND(ISNUMBER('Council Entry'!Q$8),ISNUMBER('Council Entry'!Q$9)),MAX(MIN('Council Entry'!Q119,'Council Entry'!Q$9),'Council Entry'!Q$8),'Council Entry'!Q119)),IF('Council Entry'!Q$4="Exponential",EXP(IF(AND(ISNUMBER('Council Entry'!Q$8),ISNUMBER('Council Entry'!Q$9)),MAX(MIN('Council Entry'!Q119,'Council Entry'!Q$9),'Council Entry'!Q$8),'Council Entry'!Q119)),IF(AND(ISNUMBER('Council Entry'!Q$8),ISNUMBER('Council Entry'!Q$9)),MAX(MIN('Council Entry'!Q119,'Council Entry'!Q$9),'Council Entry'!Q$8),'Council Entry'!Q119))))-'Council Entry'!Q$5)/('Council Entry'!Q$6-'Council Entry'!Q$5),10*((IF('Council Entry'!Q$4="Logarithm",LN(0.001+IF(AND(ISNUMBER('Council Entry'!Q$8),ISNUMBER('Council Entry'!Q$9)),MAX(MIN('Council Entry'!Q119,'Council Entry'!Q$9),'Council Entry'!Q$8),'Council Entry'!Q119)),IF('Council Entry'!Q$4="Exponential",EXP(IF(AND(ISNUMBER('Council Entry'!Q$8),ISNUMBER('Council Entry'!Q$9)),MAX(MIN('Council Entry'!Q119,'Council Entry'!Q$9),'Council Entry'!Q$8),'Council Entry'!Q119)),IF(AND(ISNUMBER('Council Entry'!Q$8),ISNUMBER('Council Entry'!Q$9)),MAX(MIN('Council Entry'!Q119,'Council Entry'!Q$9),'Council Entry'!Q$8),'Council Entry'!Q119))))-'Council Entry'!Q$5)/('Council Entry'!Q$6-'Council Entry'!Q$5)),1))),"No data"))</f>
        <v/>
      </c>
      <c r="R119" s="13">
        <f>IF('Council Entry'!R119="","",IFERROR(MAX(0,MIN(10,ROUND(IF('Council Entry'!R$7="Decrease Risk",10-10*((IF('Council Entry'!R$4="Logarithm",LN(0.001+IF(AND(ISNUMBER('Council Entry'!R$8),ISNUMBER('Council Entry'!R$9)),MAX(MIN('Council Entry'!R119,'Council Entry'!R$9),'Council Entry'!R$8),'Council Entry'!R119)),IF('Council Entry'!R$4="Exponential",EXP(IF(AND(ISNUMBER('Council Entry'!R$8),ISNUMBER('Council Entry'!R$9)),MAX(MIN('Council Entry'!R119,'Council Entry'!R$9),'Council Entry'!R$8),'Council Entry'!R119)),IF(AND(ISNUMBER('Council Entry'!R$8),ISNUMBER('Council Entry'!R$9)),MAX(MIN('Council Entry'!R119,'Council Entry'!R$9),'Council Entry'!R$8),'Council Entry'!R119))))-'Council Entry'!R$5)/('Council Entry'!R$6-'Council Entry'!R$5),10*((IF('Council Entry'!R$4="Logarithm",LN(0.001+IF(AND(ISNUMBER('Council Entry'!R$8),ISNUMBER('Council Entry'!R$9)),MAX(MIN('Council Entry'!R119,'Council Entry'!R$9),'Council Entry'!R$8),'Council Entry'!R119)),IF('Council Entry'!R$4="Exponential",EXP(IF(AND(ISNUMBER('Council Entry'!R$8),ISNUMBER('Council Entry'!R$9)),MAX(MIN('Council Entry'!R119,'Council Entry'!R$9),'Council Entry'!R$8),'Council Entry'!R119)),IF(AND(ISNUMBER('Council Entry'!R$8),ISNUMBER('Council Entry'!R$9)),MAX(MIN('Council Entry'!R119,'Council Entry'!R$9),'Council Entry'!R$8),'Council Entry'!R119))))-'Council Entry'!R$5)/('Council Entry'!R$6-'Council Entry'!R$5)),1))),"No data"))</f>
        <v/>
      </c>
      <c r="S119" s="13">
        <f>IF('Council Entry'!S119="","",IFERROR(MAX(0,MIN(10,ROUND(IF('Council Entry'!S$7="Decrease Risk",10-10*((IF('Council Entry'!S$4="Logarithm",LN(0.001+IF(AND(ISNUMBER('Council Entry'!S$8),ISNUMBER('Council Entry'!S$9)),MAX(MIN('Council Entry'!S119,'Council Entry'!S$9),'Council Entry'!S$8),'Council Entry'!S119)),IF('Council Entry'!S$4="Exponential",EXP(IF(AND(ISNUMBER('Council Entry'!S$8),ISNUMBER('Council Entry'!S$9)),MAX(MIN('Council Entry'!S119,'Council Entry'!S$9),'Council Entry'!S$8),'Council Entry'!S119)),IF(AND(ISNUMBER('Council Entry'!S$8),ISNUMBER('Council Entry'!S$9)),MAX(MIN('Council Entry'!S119,'Council Entry'!S$9),'Council Entry'!S$8),'Council Entry'!S119))))-'Council Entry'!S$5)/('Council Entry'!S$6-'Council Entry'!S$5),10*((IF('Council Entry'!S$4="Logarithm",LN(0.001+IF(AND(ISNUMBER('Council Entry'!S$8),ISNUMBER('Council Entry'!S$9)),MAX(MIN('Council Entry'!S119,'Council Entry'!S$9),'Council Entry'!S$8),'Council Entry'!S119)),IF('Council Entry'!S$4="Exponential",EXP(IF(AND(ISNUMBER('Council Entry'!S$8),ISNUMBER('Council Entry'!S$9)),MAX(MIN('Council Entry'!S119,'Council Entry'!S$9),'Council Entry'!S$8),'Council Entry'!S119)),IF(AND(ISNUMBER('Council Entry'!S$8),ISNUMBER('Council Entry'!S$9)),MAX(MIN('Council Entry'!S119,'Council Entry'!S$9),'Council Entry'!S$8),'Council Entry'!S119))))-'Council Entry'!S$5)/('Council Entry'!S$6-'Council Entry'!S$5)),1))),"No data"))</f>
        <v/>
      </c>
      <c r="T119" s="13">
        <f>IF('Council Entry'!T119="","",IFERROR(MAX(0,MIN(10,ROUND(IF('Council Entry'!T$7="Decrease Risk",10-10*((IF('Council Entry'!T$4="Logarithm",LN(0.001+IF(AND(ISNUMBER('Council Entry'!T$8),ISNUMBER('Council Entry'!T$9)),MAX(MIN('Council Entry'!T119,'Council Entry'!T$9),'Council Entry'!T$8),'Council Entry'!T119)),IF('Council Entry'!T$4="Exponential",EXP(IF(AND(ISNUMBER('Council Entry'!T$8),ISNUMBER('Council Entry'!T$9)),MAX(MIN('Council Entry'!T119,'Council Entry'!T$9),'Council Entry'!T$8),'Council Entry'!T119)),IF(AND(ISNUMBER('Council Entry'!T$8),ISNUMBER('Council Entry'!T$9)),MAX(MIN('Council Entry'!T119,'Council Entry'!T$9),'Council Entry'!T$8),'Council Entry'!T119))))-'Council Entry'!T$5)/('Council Entry'!T$6-'Council Entry'!T$5),10*((IF('Council Entry'!T$4="Logarithm",LN(0.001+IF(AND(ISNUMBER('Council Entry'!T$8),ISNUMBER('Council Entry'!T$9)),MAX(MIN('Council Entry'!T119,'Council Entry'!T$9),'Council Entry'!T$8),'Council Entry'!T119)),IF('Council Entry'!T$4="Exponential",EXP(IF(AND(ISNUMBER('Council Entry'!T$8),ISNUMBER('Council Entry'!T$9)),MAX(MIN('Council Entry'!T119,'Council Entry'!T$9),'Council Entry'!T$8),'Council Entry'!T119)),IF(AND(ISNUMBER('Council Entry'!T$8),ISNUMBER('Council Entry'!T$9)),MAX(MIN('Council Entry'!T119,'Council Entry'!T$9),'Council Entry'!T$8),'Council Entry'!T119))))-'Council Entry'!T$5)/('Council Entry'!T$6-'Council Entry'!T$5)),1))),"No data"))</f>
        <v/>
      </c>
      <c r="U119" s="13">
        <f>IF('Council Entry'!U119="","",IFERROR(MAX(0,MIN(10,ROUND(IF('Council Entry'!U$7="Decrease Risk",10-10*((IF('Council Entry'!U$4="Logarithm",LN(0.001+IF(AND(ISNUMBER('Council Entry'!U$8),ISNUMBER('Council Entry'!U$9)),MAX(MIN('Council Entry'!U119,'Council Entry'!U$9),'Council Entry'!U$8),'Council Entry'!U119)),IF('Council Entry'!U$4="Exponential",EXP(IF(AND(ISNUMBER('Council Entry'!U$8),ISNUMBER('Council Entry'!U$9)),MAX(MIN('Council Entry'!U119,'Council Entry'!U$9),'Council Entry'!U$8),'Council Entry'!U119)),IF(AND(ISNUMBER('Council Entry'!U$8),ISNUMBER('Council Entry'!U$9)),MAX(MIN('Council Entry'!U119,'Council Entry'!U$9),'Council Entry'!U$8),'Council Entry'!U119))))-'Council Entry'!U$5)/('Council Entry'!U$6-'Council Entry'!U$5),10*((IF('Council Entry'!U$4="Logarithm",LN(0.001+IF(AND(ISNUMBER('Council Entry'!U$8),ISNUMBER('Council Entry'!U$9)),MAX(MIN('Council Entry'!U119,'Council Entry'!U$9),'Council Entry'!U$8),'Council Entry'!U119)),IF('Council Entry'!U$4="Exponential",EXP(IF(AND(ISNUMBER('Council Entry'!U$8),ISNUMBER('Council Entry'!U$9)),MAX(MIN('Council Entry'!U119,'Council Entry'!U$9),'Council Entry'!U$8),'Council Entry'!U119)),IF(AND(ISNUMBER('Council Entry'!U$8),ISNUMBER('Council Entry'!U$9)),MAX(MIN('Council Entry'!U119,'Council Entry'!U$9),'Council Entry'!U$8),'Council Entry'!U119))))-'Council Entry'!U$5)/('Council Entry'!U$6-'Council Entry'!U$5)),1))),"No data"))</f>
        <v/>
      </c>
      <c r="V119" s="13">
        <f>IF('Council Entry'!V119="","",IFERROR(MAX(0,MIN(10,ROUND(IF('Council Entry'!V$7="Decrease Risk",10-10*((IF('Council Entry'!V$4="Logarithm",LN(0.001+IF(AND(ISNUMBER('Council Entry'!V$8),ISNUMBER('Council Entry'!V$9)),MAX(MIN('Council Entry'!V119,'Council Entry'!V$9),'Council Entry'!V$8),'Council Entry'!V119)),IF('Council Entry'!V$4="Exponential",EXP(IF(AND(ISNUMBER('Council Entry'!V$8),ISNUMBER('Council Entry'!V$9)),MAX(MIN('Council Entry'!V119,'Council Entry'!V$9),'Council Entry'!V$8),'Council Entry'!V119)),IF(AND(ISNUMBER('Council Entry'!V$8),ISNUMBER('Council Entry'!V$9)),MAX(MIN('Council Entry'!V119,'Council Entry'!V$9),'Council Entry'!V$8),'Council Entry'!V119))))-'Council Entry'!V$5)/('Council Entry'!V$6-'Council Entry'!V$5),10*((IF('Council Entry'!V$4="Logarithm",LN(0.001+IF(AND(ISNUMBER('Council Entry'!V$8),ISNUMBER('Council Entry'!V$9)),MAX(MIN('Council Entry'!V119,'Council Entry'!V$9),'Council Entry'!V$8),'Council Entry'!V119)),IF('Council Entry'!V$4="Exponential",EXP(IF(AND(ISNUMBER('Council Entry'!V$8),ISNUMBER('Council Entry'!V$9)),MAX(MIN('Council Entry'!V119,'Council Entry'!V$9),'Council Entry'!V$8),'Council Entry'!V119)),IF(AND(ISNUMBER('Council Entry'!V$8),ISNUMBER('Council Entry'!V$9)),MAX(MIN('Council Entry'!V119,'Council Entry'!V$9),'Council Entry'!V$8),'Council Entry'!V119))))-'Council Entry'!V$5)/('Council Entry'!V$6-'Council Entry'!V$5)),1))),"No data"))</f>
        <v/>
      </c>
      <c r="W119" s="13">
        <f>IF('Council Entry'!W119="","",IFERROR(MAX(0,MIN(10,ROUND(IF('Council Entry'!W$7="Decrease Risk",10-10*((IF('Council Entry'!W$4="Logarithm",LN(0.001+IF(AND(ISNUMBER('Council Entry'!W$8),ISNUMBER('Council Entry'!W$9)),MAX(MIN('Council Entry'!W119,'Council Entry'!W$9),'Council Entry'!W$8),'Council Entry'!W119)),IF('Council Entry'!W$4="Exponential",EXP(IF(AND(ISNUMBER('Council Entry'!W$8),ISNUMBER('Council Entry'!W$9)),MAX(MIN('Council Entry'!W119,'Council Entry'!W$9),'Council Entry'!W$8),'Council Entry'!W119)),IF(AND(ISNUMBER('Council Entry'!W$8),ISNUMBER('Council Entry'!W$9)),MAX(MIN('Council Entry'!W119,'Council Entry'!W$9),'Council Entry'!W$8),'Council Entry'!W119))))-'Council Entry'!W$5)/('Council Entry'!W$6-'Council Entry'!W$5),10*((IF('Council Entry'!W$4="Logarithm",LN(0.001+IF(AND(ISNUMBER('Council Entry'!W$8),ISNUMBER('Council Entry'!W$9)),MAX(MIN('Council Entry'!W119,'Council Entry'!W$9),'Council Entry'!W$8),'Council Entry'!W119)),IF('Council Entry'!W$4="Exponential",EXP(IF(AND(ISNUMBER('Council Entry'!W$8),ISNUMBER('Council Entry'!W$9)),MAX(MIN('Council Entry'!W119,'Council Entry'!W$9),'Council Entry'!W$8),'Council Entry'!W119)),IF(AND(ISNUMBER('Council Entry'!W$8),ISNUMBER('Council Entry'!W$9)),MAX(MIN('Council Entry'!W119,'Council Entry'!W$9),'Council Entry'!W$8),'Council Entry'!W119))))-'Council Entry'!W$5)/('Council Entry'!W$6-'Council Entry'!W$5)),1))),"No data"))</f>
        <v/>
      </c>
      <c r="X119" s="13">
        <f>IF('Council Entry'!X119="","",IFERROR(MAX(0,MIN(10,ROUND(IF('Council Entry'!X$7="Decrease Risk",10-10*((IF('Council Entry'!X$4="Logarithm",LN(0.001+IF(AND(ISNUMBER('Council Entry'!X$8),ISNUMBER('Council Entry'!X$9)),MAX(MIN('Council Entry'!X119,'Council Entry'!X$9),'Council Entry'!X$8),'Council Entry'!X119)),IF('Council Entry'!X$4="Exponential",EXP(IF(AND(ISNUMBER('Council Entry'!X$8),ISNUMBER('Council Entry'!X$9)),MAX(MIN('Council Entry'!X119,'Council Entry'!X$9),'Council Entry'!X$8),'Council Entry'!X119)),IF(AND(ISNUMBER('Council Entry'!X$8),ISNUMBER('Council Entry'!X$9)),MAX(MIN('Council Entry'!X119,'Council Entry'!X$9),'Council Entry'!X$8),'Council Entry'!X119))))-'Council Entry'!X$5)/('Council Entry'!X$6-'Council Entry'!X$5),10*((IF('Council Entry'!X$4="Logarithm",LN(0.001+IF(AND(ISNUMBER('Council Entry'!X$8),ISNUMBER('Council Entry'!X$9)),MAX(MIN('Council Entry'!X119,'Council Entry'!X$9),'Council Entry'!X$8),'Council Entry'!X119)),IF('Council Entry'!X$4="Exponential",EXP(IF(AND(ISNUMBER('Council Entry'!X$8),ISNUMBER('Council Entry'!X$9)),MAX(MIN('Council Entry'!X119,'Council Entry'!X$9),'Council Entry'!X$8),'Council Entry'!X119)),IF(AND(ISNUMBER('Council Entry'!X$8),ISNUMBER('Council Entry'!X$9)),MAX(MIN('Council Entry'!X119,'Council Entry'!X$9),'Council Entry'!X$8),'Council Entry'!X119))))-'Council Entry'!X$5)/('Council Entry'!X$6-'Council Entry'!X$5)),1))),"No data"))</f>
        <v/>
      </c>
      <c r="Y119" s="13">
        <f>IF('Council Entry'!Y119="","",IFERROR(MAX(0,MIN(10,ROUND(IF('Council Entry'!Y$7="Decrease Risk",10-10*((IF('Council Entry'!Y$4="Logarithm",LN(0.001+IF(AND(ISNUMBER('Council Entry'!Y$8),ISNUMBER('Council Entry'!Y$9)),MAX(MIN('Council Entry'!Y119,'Council Entry'!Y$9),'Council Entry'!Y$8),'Council Entry'!Y119)),IF('Council Entry'!Y$4="Exponential",EXP(IF(AND(ISNUMBER('Council Entry'!Y$8),ISNUMBER('Council Entry'!Y$9)),MAX(MIN('Council Entry'!Y119,'Council Entry'!Y$9),'Council Entry'!Y$8),'Council Entry'!Y119)),IF(AND(ISNUMBER('Council Entry'!Y$8),ISNUMBER('Council Entry'!Y$9)),MAX(MIN('Council Entry'!Y119,'Council Entry'!Y$9),'Council Entry'!Y$8),'Council Entry'!Y119))))-'Council Entry'!Y$5)/('Council Entry'!Y$6-'Council Entry'!Y$5),10*((IF('Council Entry'!Y$4="Logarithm",LN(0.001+IF(AND(ISNUMBER('Council Entry'!Y$8),ISNUMBER('Council Entry'!Y$9)),MAX(MIN('Council Entry'!Y119,'Council Entry'!Y$9),'Council Entry'!Y$8),'Council Entry'!Y119)),IF('Council Entry'!Y$4="Exponential",EXP(IF(AND(ISNUMBER('Council Entry'!Y$8),ISNUMBER('Council Entry'!Y$9)),MAX(MIN('Council Entry'!Y119,'Council Entry'!Y$9),'Council Entry'!Y$8),'Council Entry'!Y119)),IF(AND(ISNUMBER('Council Entry'!Y$8),ISNUMBER('Council Entry'!Y$9)),MAX(MIN('Council Entry'!Y119,'Council Entry'!Y$9),'Council Entry'!Y$8),'Council Entry'!Y119))))-'Council Entry'!Y$5)/('Council Entry'!Y$6-'Council Entry'!Y$5)),1))),"No data"))</f>
        <v/>
      </c>
      <c r="Z119" s="13">
        <f>IF('Council Entry'!Z119="","",IFERROR(MAX(0,MIN(10,ROUND(IF('Council Entry'!Z$7="Decrease Risk",10-10*((IF('Council Entry'!Z$4="Logarithm",LN(0.001+IF(AND(ISNUMBER('Council Entry'!Z$8),ISNUMBER('Council Entry'!Z$9)),MAX(MIN('Council Entry'!Z119,'Council Entry'!Z$9),'Council Entry'!Z$8),'Council Entry'!Z119)),IF('Council Entry'!Z$4="Exponential",EXP(IF(AND(ISNUMBER('Council Entry'!Z$8),ISNUMBER('Council Entry'!Z$9)),MAX(MIN('Council Entry'!Z119,'Council Entry'!Z$9),'Council Entry'!Z$8),'Council Entry'!Z119)),IF(AND(ISNUMBER('Council Entry'!Z$8),ISNUMBER('Council Entry'!Z$9)),MAX(MIN('Council Entry'!Z119,'Council Entry'!Z$9),'Council Entry'!Z$8),'Council Entry'!Z119))))-'Council Entry'!Z$5)/('Council Entry'!Z$6-'Council Entry'!Z$5),10*((IF('Council Entry'!Z$4="Logarithm",LN(0.001+IF(AND(ISNUMBER('Council Entry'!Z$8),ISNUMBER('Council Entry'!Z$9)),MAX(MIN('Council Entry'!Z119,'Council Entry'!Z$9),'Council Entry'!Z$8),'Council Entry'!Z119)),IF('Council Entry'!Z$4="Exponential",EXP(IF(AND(ISNUMBER('Council Entry'!Z$8),ISNUMBER('Council Entry'!Z$9)),MAX(MIN('Council Entry'!Z119,'Council Entry'!Z$9),'Council Entry'!Z$8),'Council Entry'!Z119)),IF(AND(ISNUMBER('Council Entry'!Z$8),ISNUMBER('Council Entry'!Z$9)),MAX(MIN('Council Entry'!Z119,'Council Entry'!Z$9),'Council Entry'!Z$8),'Council Entry'!Z119))))-'Council Entry'!Z$5)/('Council Entry'!Z$6-'Council Entry'!Z$5)),1))),"No data"))</f>
        <v/>
      </c>
      <c r="AA119" s="13">
        <f>IF('Council Entry'!AA119="","",IFERROR(MAX(0,MIN(10,ROUND(IF('Council Entry'!AA$7="Decrease Risk",10-10*((IF('Council Entry'!AA$4="Logarithm",LN(0.001+IF(AND(ISNUMBER('Council Entry'!AA$8),ISNUMBER('Council Entry'!AA$9)),MAX(MIN('Council Entry'!AA119,'Council Entry'!AA$9),'Council Entry'!AA$8),'Council Entry'!AA119)),IF('Council Entry'!AA$4="Exponential",EXP(IF(AND(ISNUMBER('Council Entry'!AA$8),ISNUMBER('Council Entry'!AA$9)),MAX(MIN('Council Entry'!AA119,'Council Entry'!AA$9),'Council Entry'!AA$8),'Council Entry'!AA119)),IF(AND(ISNUMBER('Council Entry'!AA$8),ISNUMBER('Council Entry'!AA$9)),MAX(MIN('Council Entry'!AA119,'Council Entry'!AA$9),'Council Entry'!AA$8),'Council Entry'!AA119))))-'Council Entry'!AA$5)/('Council Entry'!AA$6-'Council Entry'!AA$5),10*((IF('Council Entry'!AA$4="Logarithm",LN(0.001+IF(AND(ISNUMBER('Council Entry'!AA$8),ISNUMBER('Council Entry'!AA$9)),MAX(MIN('Council Entry'!AA119,'Council Entry'!AA$9),'Council Entry'!AA$8),'Council Entry'!AA119)),IF('Council Entry'!AA$4="Exponential",EXP(IF(AND(ISNUMBER('Council Entry'!AA$8),ISNUMBER('Council Entry'!AA$9)),MAX(MIN('Council Entry'!AA119,'Council Entry'!AA$9),'Council Entry'!AA$8),'Council Entry'!AA119)),IF(AND(ISNUMBER('Council Entry'!AA$8),ISNUMBER('Council Entry'!AA$9)),MAX(MIN('Council Entry'!AA119,'Council Entry'!AA$9),'Council Entry'!AA$8),'Council Entry'!AA119))))-'Council Entry'!AA$5)/('Council Entry'!AA$6-'Council Entry'!AA$5)),1))),"No data"))</f>
        <v/>
      </c>
      <c r="AB119" s="13">
        <f>IF('Council Entry'!AB119="","",IFERROR(MAX(0,MIN(10,ROUND(IF('Council Entry'!AB$7="Decrease Risk",10-10*((IF('Council Entry'!AB$4="Logarithm",LN(0.001+IF(AND(ISNUMBER('Council Entry'!AB$8),ISNUMBER('Council Entry'!AB$9)),MAX(MIN('Council Entry'!AB119,'Council Entry'!AB$9),'Council Entry'!AB$8),'Council Entry'!AB119)),IF('Council Entry'!AB$4="Exponential",EXP(IF(AND(ISNUMBER('Council Entry'!AB$8),ISNUMBER('Council Entry'!AB$9)),MAX(MIN('Council Entry'!AB119,'Council Entry'!AB$9),'Council Entry'!AB$8),'Council Entry'!AB119)),IF(AND(ISNUMBER('Council Entry'!AB$8),ISNUMBER('Council Entry'!AB$9)),MAX(MIN('Council Entry'!AB119,'Council Entry'!AB$9),'Council Entry'!AB$8),'Council Entry'!AB119))))-'Council Entry'!AB$5)/('Council Entry'!AB$6-'Council Entry'!AB$5),10*((IF('Council Entry'!AB$4="Logarithm",LN(0.001+IF(AND(ISNUMBER('Council Entry'!AB$8),ISNUMBER('Council Entry'!AB$9)),MAX(MIN('Council Entry'!AB119,'Council Entry'!AB$9),'Council Entry'!AB$8),'Council Entry'!AB119)),IF('Council Entry'!AB$4="Exponential",EXP(IF(AND(ISNUMBER('Council Entry'!AB$8),ISNUMBER('Council Entry'!AB$9)),MAX(MIN('Council Entry'!AB119,'Council Entry'!AB$9),'Council Entry'!AB$8),'Council Entry'!AB119)),IF(AND(ISNUMBER('Council Entry'!AB$8),ISNUMBER('Council Entry'!AB$9)),MAX(MIN('Council Entry'!AB119,'Council Entry'!AB$9),'Council Entry'!AB$8),'Council Entry'!AB119))))-'Council Entry'!AB$5)/('Council Entry'!AB$6-'Council Entry'!AB$5)),1))),"No data"))</f>
        <v/>
      </c>
      <c r="AC119" s="13">
        <f>IF('Council Entry'!AC119="","",IFERROR(MAX(0,MIN(10,ROUND(IF('Council Entry'!AC$7="Decrease Risk",10-10*((IF('Council Entry'!AC$4="Logarithm",LN(0.001+IF(AND(ISNUMBER('Council Entry'!AC$8),ISNUMBER('Council Entry'!AC$9)),MAX(MIN('Council Entry'!AC119,'Council Entry'!AC$9),'Council Entry'!AC$8),'Council Entry'!AC119)),IF('Council Entry'!AC$4="Exponential",EXP(IF(AND(ISNUMBER('Council Entry'!AC$8),ISNUMBER('Council Entry'!AC$9)),MAX(MIN('Council Entry'!AC119,'Council Entry'!AC$9),'Council Entry'!AC$8),'Council Entry'!AC119)),IF(AND(ISNUMBER('Council Entry'!AC$8),ISNUMBER('Council Entry'!AC$9)),MAX(MIN('Council Entry'!AC119,'Council Entry'!AC$9),'Council Entry'!AC$8),'Council Entry'!AC119))))-'Council Entry'!AC$5)/('Council Entry'!AC$6-'Council Entry'!AC$5),10*((IF('Council Entry'!AC$4="Logarithm",LN(0.001+IF(AND(ISNUMBER('Council Entry'!AC$8),ISNUMBER('Council Entry'!AC$9)),MAX(MIN('Council Entry'!AC119,'Council Entry'!AC$9),'Council Entry'!AC$8),'Council Entry'!AC119)),IF('Council Entry'!AC$4="Exponential",EXP(IF(AND(ISNUMBER('Council Entry'!AC$8),ISNUMBER('Council Entry'!AC$9)),MAX(MIN('Council Entry'!AC119,'Council Entry'!AC$9),'Council Entry'!AC$8),'Council Entry'!AC119)),IF(AND(ISNUMBER('Council Entry'!AC$8),ISNUMBER('Council Entry'!AC$9)),MAX(MIN('Council Entry'!AC119,'Council Entry'!AC$9),'Council Entry'!AC$8),'Council Entry'!AC119))))-'Council Entry'!AC$5)/('Council Entry'!AC$6-'Council Entry'!AC$5)),1))),"No data"))</f>
        <v/>
      </c>
      <c r="AD119" s="13">
        <f>IF('Council Entry'!AD119="","",IFERROR(MAX(0,MIN(10,ROUND(IF('Council Entry'!AD$7="Decrease Risk",10-10*((IF('Council Entry'!AD$4="Logarithm",LN(0.001+IF(AND(ISNUMBER('Council Entry'!AD$8),ISNUMBER('Council Entry'!AD$9)),MAX(MIN('Council Entry'!AD119,'Council Entry'!AD$9),'Council Entry'!AD$8),'Council Entry'!AD119)),IF('Council Entry'!AD$4="Exponential",EXP(IF(AND(ISNUMBER('Council Entry'!AD$8),ISNUMBER('Council Entry'!AD$9)),MAX(MIN('Council Entry'!AD119,'Council Entry'!AD$9),'Council Entry'!AD$8),'Council Entry'!AD119)),IF(AND(ISNUMBER('Council Entry'!AD$8),ISNUMBER('Council Entry'!AD$9)),MAX(MIN('Council Entry'!AD119,'Council Entry'!AD$9),'Council Entry'!AD$8),'Council Entry'!AD119))))-'Council Entry'!AD$5)/('Council Entry'!AD$6-'Council Entry'!AD$5),10*((IF('Council Entry'!AD$4="Logarithm",LN(0.001+IF(AND(ISNUMBER('Council Entry'!AD$8),ISNUMBER('Council Entry'!AD$9)),MAX(MIN('Council Entry'!AD119,'Council Entry'!AD$9),'Council Entry'!AD$8),'Council Entry'!AD119)),IF('Council Entry'!AD$4="Exponential",EXP(IF(AND(ISNUMBER('Council Entry'!AD$8),ISNUMBER('Council Entry'!AD$9)),MAX(MIN('Council Entry'!AD119,'Council Entry'!AD$9),'Council Entry'!AD$8),'Council Entry'!AD119)),IF(AND(ISNUMBER('Council Entry'!AD$8),ISNUMBER('Council Entry'!AD$9)),MAX(MIN('Council Entry'!AD119,'Council Entry'!AD$9),'Council Entry'!AD$8),'Council Entry'!AD119))))-'Council Entry'!AD$5)/('Council Entry'!AD$6-'Council Entry'!AD$5)),1))),"No data"))</f>
        <v/>
      </c>
      <c r="AE119" s="13">
        <f>IF('Council Entry'!AE119="","",IFERROR(MAX(0,MIN(10,ROUND(IF('Council Entry'!AE$7="Decrease Risk",10-10*((IF('Council Entry'!AE$4="Logarithm",LN(0.001+IF(AND(ISNUMBER('Council Entry'!AE$8),ISNUMBER('Council Entry'!AE$9)),MAX(MIN('Council Entry'!AE119,'Council Entry'!AE$9),'Council Entry'!AE$8),'Council Entry'!AE119)),IF('Council Entry'!AE$4="Exponential",EXP(IF(AND(ISNUMBER('Council Entry'!AE$8),ISNUMBER('Council Entry'!AE$9)),MAX(MIN('Council Entry'!AE119,'Council Entry'!AE$9),'Council Entry'!AE$8),'Council Entry'!AE119)),IF(AND(ISNUMBER('Council Entry'!AE$8),ISNUMBER('Council Entry'!AE$9)),MAX(MIN('Council Entry'!AE119,'Council Entry'!AE$9),'Council Entry'!AE$8),'Council Entry'!AE119))))-'Council Entry'!AE$5)/('Council Entry'!AE$6-'Council Entry'!AE$5),10*((IF('Council Entry'!AE$4="Logarithm",LN(0.001+IF(AND(ISNUMBER('Council Entry'!AE$8),ISNUMBER('Council Entry'!AE$9)),MAX(MIN('Council Entry'!AE119,'Council Entry'!AE$9),'Council Entry'!AE$8),'Council Entry'!AE119)),IF('Council Entry'!AE$4="Exponential",EXP(IF(AND(ISNUMBER('Council Entry'!AE$8),ISNUMBER('Council Entry'!AE$9)),MAX(MIN('Council Entry'!AE119,'Council Entry'!AE$9),'Council Entry'!AE$8),'Council Entry'!AE119)),IF(AND(ISNUMBER('Council Entry'!AE$8),ISNUMBER('Council Entry'!AE$9)),MAX(MIN('Council Entry'!AE119,'Council Entry'!AE$9),'Council Entry'!AE$8),'Council Entry'!AE119))))-'Council Entry'!AE$5)/('Council Entry'!AE$6-'Council Entry'!AE$5)),1))),"No data"))</f>
        <v/>
      </c>
      <c r="AF119" s="13">
        <f>IF('Council Entry'!AF119="","",IFERROR(MAX(0,MIN(10,ROUND(IF('Council Entry'!AF$7="Decrease Risk",10-10*((IF('Council Entry'!AF$4="Logarithm",LN(0.001+IF(AND(ISNUMBER('Council Entry'!AF$8),ISNUMBER('Council Entry'!AF$9)),MAX(MIN('Council Entry'!AF119,'Council Entry'!AF$9),'Council Entry'!AF$8),'Council Entry'!AF119)),IF('Council Entry'!AF$4="Exponential",EXP(IF(AND(ISNUMBER('Council Entry'!AF$8),ISNUMBER('Council Entry'!AF$9)),MAX(MIN('Council Entry'!AF119,'Council Entry'!AF$9),'Council Entry'!AF$8),'Council Entry'!AF119)),IF(AND(ISNUMBER('Council Entry'!AF$8),ISNUMBER('Council Entry'!AF$9)),MAX(MIN('Council Entry'!AF119,'Council Entry'!AF$9),'Council Entry'!AF$8),'Council Entry'!AF119))))-'Council Entry'!AF$5)/('Council Entry'!AF$6-'Council Entry'!AF$5),10*((IF('Council Entry'!AF$4="Logarithm",LN(0.001+IF(AND(ISNUMBER('Council Entry'!AF$8),ISNUMBER('Council Entry'!AF$9)),MAX(MIN('Council Entry'!AF119,'Council Entry'!AF$9),'Council Entry'!AF$8),'Council Entry'!AF119)),IF('Council Entry'!AF$4="Exponential",EXP(IF(AND(ISNUMBER('Council Entry'!AF$8),ISNUMBER('Council Entry'!AF$9)),MAX(MIN('Council Entry'!AF119,'Council Entry'!AF$9),'Council Entry'!AF$8),'Council Entry'!AF119)),IF(AND(ISNUMBER('Council Entry'!AF$8),ISNUMBER('Council Entry'!AF$9)),MAX(MIN('Council Entry'!AF119,'Council Entry'!AF$9),'Council Entry'!AF$8),'Council Entry'!AF119))))-'Council Entry'!AF$5)/('Council Entry'!AF$6-'Council Entry'!AF$5)),1))),"No data"))</f>
        <v/>
      </c>
      <c r="AG119" s="13">
        <f>IF('Council Entry'!AG119="","",IFERROR(MAX(0,MIN(10,ROUND(IF('Council Entry'!AG$7="Decrease Risk",10-10*((IF('Council Entry'!AG$4="Logarithm",LN(0.001+IF(AND(ISNUMBER('Council Entry'!AG$8),ISNUMBER('Council Entry'!AG$9)),MAX(MIN('Council Entry'!AG119,'Council Entry'!AG$9),'Council Entry'!AG$8),'Council Entry'!AG119)),IF('Council Entry'!AG$4="Exponential",EXP(IF(AND(ISNUMBER('Council Entry'!AG$8),ISNUMBER('Council Entry'!AG$9)),MAX(MIN('Council Entry'!AG119,'Council Entry'!AG$9),'Council Entry'!AG$8),'Council Entry'!AG119)),IF(AND(ISNUMBER('Council Entry'!AG$8),ISNUMBER('Council Entry'!AG$9)),MAX(MIN('Council Entry'!AG119,'Council Entry'!AG$9),'Council Entry'!AG$8),'Council Entry'!AG119))))-'Council Entry'!AG$5)/('Council Entry'!AG$6-'Council Entry'!AG$5),10*((IF('Council Entry'!AG$4="Logarithm",LN(0.001+IF(AND(ISNUMBER('Council Entry'!AG$8),ISNUMBER('Council Entry'!AG$9)),MAX(MIN('Council Entry'!AG119,'Council Entry'!AG$9),'Council Entry'!AG$8),'Council Entry'!AG119)),IF('Council Entry'!AG$4="Exponential",EXP(IF(AND(ISNUMBER('Council Entry'!AG$8),ISNUMBER('Council Entry'!AG$9)),MAX(MIN('Council Entry'!AG119,'Council Entry'!AG$9),'Council Entry'!AG$8),'Council Entry'!AG119)),IF(AND(ISNUMBER('Council Entry'!AG$8),ISNUMBER('Council Entry'!AG$9)),MAX(MIN('Council Entry'!AG119,'Council Entry'!AG$9),'Council Entry'!AG$8),'Council Entry'!AG119))))-'Council Entry'!AG$5)/('Council Entry'!AG$6-'Council Entry'!AG$5)),1))),"No data"))</f>
        <v/>
      </c>
      <c r="AH119" s="13">
        <f>IF('Council Entry'!AH119="","",IFERROR(MAX(0,MIN(10,ROUND(IF('Council Entry'!AH$7="Decrease Risk",10-10*((IF('Council Entry'!AH$4="Logarithm",LN(0.001+IF(AND(ISNUMBER('Council Entry'!AH$8),ISNUMBER('Council Entry'!AH$9)),MAX(MIN('Council Entry'!AH119,'Council Entry'!AH$9),'Council Entry'!AH$8),'Council Entry'!AH119)),IF('Council Entry'!AH$4="Exponential",EXP(IF(AND(ISNUMBER('Council Entry'!AH$8),ISNUMBER('Council Entry'!AH$9)),MAX(MIN('Council Entry'!AH119,'Council Entry'!AH$9),'Council Entry'!AH$8),'Council Entry'!AH119)),IF(AND(ISNUMBER('Council Entry'!AH$8),ISNUMBER('Council Entry'!AH$9)),MAX(MIN('Council Entry'!AH119,'Council Entry'!AH$9),'Council Entry'!AH$8),'Council Entry'!AH119))))-'Council Entry'!AH$5)/('Council Entry'!AH$6-'Council Entry'!AH$5),10*((IF('Council Entry'!AH$4="Logarithm",LN(0.001+IF(AND(ISNUMBER('Council Entry'!AH$8),ISNUMBER('Council Entry'!AH$9)),MAX(MIN('Council Entry'!AH119,'Council Entry'!AH$9),'Council Entry'!AH$8),'Council Entry'!AH119)),IF('Council Entry'!AH$4="Exponential",EXP(IF(AND(ISNUMBER('Council Entry'!AH$8),ISNUMBER('Council Entry'!AH$9)),MAX(MIN('Council Entry'!AH119,'Council Entry'!AH$9),'Council Entry'!AH$8),'Council Entry'!AH119)),IF(AND(ISNUMBER('Council Entry'!AH$8),ISNUMBER('Council Entry'!AH$9)),MAX(MIN('Council Entry'!AH119,'Council Entry'!AH$9),'Council Entry'!AH$8),'Council Entry'!AH119))))-'Council Entry'!AH$5)/('Council Entry'!AH$6-'Council Entry'!AH$5)),1))),"No data"))</f>
        <v/>
      </c>
      <c r="AI119" s="13">
        <f>IF('Council Entry'!AI119="","",IFERROR(MAX(0,MIN(10,ROUND(IF('Council Entry'!AI$7="Decrease Risk",10-10*((IF('Council Entry'!AI$4="Logarithm",LN(0.001+IF(AND(ISNUMBER('Council Entry'!AI$8),ISNUMBER('Council Entry'!AI$9)),MAX(MIN('Council Entry'!AI119,'Council Entry'!AI$9),'Council Entry'!AI$8),'Council Entry'!AI119)),IF('Council Entry'!AI$4="Exponential",EXP(IF(AND(ISNUMBER('Council Entry'!AI$8),ISNUMBER('Council Entry'!AI$9)),MAX(MIN('Council Entry'!AI119,'Council Entry'!AI$9),'Council Entry'!AI$8),'Council Entry'!AI119)),IF(AND(ISNUMBER('Council Entry'!AI$8),ISNUMBER('Council Entry'!AI$9)),MAX(MIN('Council Entry'!AI119,'Council Entry'!AI$9),'Council Entry'!AI$8),'Council Entry'!AI119))))-'Council Entry'!AI$5)/('Council Entry'!AI$6-'Council Entry'!AI$5),10*((IF('Council Entry'!AI$4="Logarithm",LN(0.001+IF(AND(ISNUMBER('Council Entry'!AI$8),ISNUMBER('Council Entry'!AI$9)),MAX(MIN('Council Entry'!AI119,'Council Entry'!AI$9),'Council Entry'!AI$8),'Council Entry'!AI119)),IF('Council Entry'!AI$4="Exponential",EXP(IF(AND(ISNUMBER('Council Entry'!AI$8),ISNUMBER('Council Entry'!AI$9)),MAX(MIN('Council Entry'!AI119,'Council Entry'!AI$9),'Council Entry'!AI$8),'Council Entry'!AI119)),IF(AND(ISNUMBER('Council Entry'!AI$8),ISNUMBER('Council Entry'!AI$9)),MAX(MIN('Council Entry'!AI119,'Council Entry'!AI$9),'Council Entry'!AI$8),'Council Entry'!AI119))))-'Council Entry'!AI$5)/('Council Entry'!AI$6-'Council Entry'!AI$5)),1))),"No data"))</f>
        <v/>
      </c>
      <c r="AJ119" s="13">
        <f>IF('Council Entry'!AJ119="","",IFERROR(MAX(0,MIN(10,ROUND(IF('Council Entry'!AJ$7="Decrease Risk",10-10*((IF('Council Entry'!AJ$4="Logarithm",LN(0.001+IF(AND(ISNUMBER('Council Entry'!AJ$8),ISNUMBER('Council Entry'!AJ$9)),MAX(MIN('Council Entry'!AJ119,'Council Entry'!AJ$9),'Council Entry'!AJ$8),'Council Entry'!AJ119)),IF('Council Entry'!AJ$4="Exponential",EXP(IF(AND(ISNUMBER('Council Entry'!AJ$8),ISNUMBER('Council Entry'!AJ$9)),MAX(MIN('Council Entry'!AJ119,'Council Entry'!AJ$9),'Council Entry'!AJ$8),'Council Entry'!AJ119)),IF(AND(ISNUMBER('Council Entry'!AJ$8),ISNUMBER('Council Entry'!AJ$9)),MAX(MIN('Council Entry'!AJ119,'Council Entry'!AJ$9),'Council Entry'!AJ$8),'Council Entry'!AJ119))))-'Council Entry'!AJ$5)/('Council Entry'!AJ$6-'Council Entry'!AJ$5),10*((IF('Council Entry'!AJ$4="Logarithm",LN(0.001+IF(AND(ISNUMBER('Council Entry'!AJ$8),ISNUMBER('Council Entry'!AJ$9)),MAX(MIN('Council Entry'!AJ119,'Council Entry'!AJ$9),'Council Entry'!AJ$8),'Council Entry'!AJ119)),IF('Council Entry'!AJ$4="Exponential",EXP(IF(AND(ISNUMBER('Council Entry'!AJ$8),ISNUMBER('Council Entry'!AJ$9)),MAX(MIN('Council Entry'!AJ119,'Council Entry'!AJ$9),'Council Entry'!AJ$8),'Council Entry'!AJ119)),IF(AND(ISNUMBER('Council Entry'!AJ$8),ISNUMBER('Council Entry'!AJ$9)),MAX(MIN('Council Entry'!AJ119,'Council Entry'!AJ$9),'Council Entry'!AJ$8),'Council Entry'!AJ119))))-'Council Entry'!AJ$5)/('Council Entry'!AJ$6-'Council Entry'!AJ$5)),1))),"No data"))</f>
        <v/>
      </c>
      <c r="AK119" s="13">
        <f>IF('Council Entry'!AK119="","",IFERROR(MAX(0,MIN(10,ROUND(IF('Council Entry'!AK$7="Decrease Risk",10-10*((IF('Council Entry'!AK$4="Logarithm",LN(0.001+IF(AND(ISNUMBER('Council Entry'!AK$8),ISNUMBER('Council Entry'!AK$9)),MAX(MIN('Council Entry'!AK119,'Council Entry'!AK$9),'Council Entry'!AK$8),'Council Entry'!AK119)),IF('Council Entry'!AK$4="Exponential",EXP(IF(AND(ISNUMBER('Council Entry'!AK$8),ISNUMBER('Council Entry'!AK$9)),MAX(MIN('Council Entry'!AK119,'Council Entry'!AK$9),'Council Entry'!AK$8),'Council Entry'!AK119)),IF(AND(ISNUMBER('Council Entry'!AK$8),ISNUMBER('Council Entry'!AK$9)),MAX(MIN('Council Entry'!AK119,'Council Entry'!AK$9),'Council Entry'!AK$8),'Council Entry'!AK119))))-'Council Entry'!AK$5)/('Council Entry'!AK$6-'Council Entry'!AK$5),10*((IF('Council Entry'!AK$4="Logarithm",LN(0.001+IF(AND(ISNUMBER('Council Entry'!AK$8),ISNUMBER('Council Entry'!AK$9)),MAX(MIN('Council Entry'!AK119,'Council Entry'!AK$9),'Council Entry'!AK$8),'Council Entry'!AK119)),IF('Council Entry'!AK$4="Exponential",EXP(IF(AND(ISNUMBER('Council Entry'!AK$8),ISNUMBER('Council Entry'!AK$9)),MAX(MIN('Council Entry'!AK119,'Council Entry'!AK$9),'Council Entry'!AK$8),'Council Entry'!AK119)),IF(AND(ISNUMBER('Council Entry'!AK$8),ISNUMBER('Council Entry'!AK$9)),MAX(MIN('Council Entry'!AK119,'Council Entry'!AK$9),'Council Entry'!AK$8),'Council Entry'!AK119))))-'Council Entry'!AK$5)/('Council Entry'!AK$6-'Council Entry'!AK$5)),1))),"No data"))</f>
        <v/>
      </c>
      <c r="AL119" s="13">
        <f>IF('Council Entry'!AL119="","",IFERROR(MAX(0,MIN(10,ROUND(IF('Council Entry'!AL$7="Decrease Risk",10-10*((IF('Council Entry'!AL$4="Logarithm",LN(0.001+IF(AND(ISNUMBER('Council Entry'!AL$8),ISNUMBER('Council Entry'!AL$9)),MAX(MIN('Council Entry'!AL119,'Council Entry'!AL$9),'Council Entry'!AL$8),'Council Entry'!AL119)),IF('Council Entry'!AL$4="Exponential",EXP(IF(AND(ISNUMBER('Council Entry'!AL$8),ISNUMBER('Council Entry'!AL$9)),MAX(MIN('Council Entry'!AL119,'Council Entry'!AL$9),'Council Entry'!AL$8),'Council Entry'!AL119)),IF(AND(ISNUMBER('Council Entry'!AL$8),ISNUMBER('Council Entry'!AL$9)),MAX(MIN('Council Entry'!AL119,'Council Entry'!AL$9),'Council Entry'!AL$8),'Council Entry'!AL119))))-'Council Entry'!AL$5)/('Council Entry'!AL$6-'Council Entry'!AL$5),10*((IF('Council Entry'!AL$4="Logarithm",LN(0.001+IF(AND(ISNUMBER('Council Entry'!AL$8),ISNUMBER('Council Entry'!AL$9)),MAX(MIN('Council Entry'!AL119,'Council Entry'!AL$9),'Council Entry'!AL$8),'Council Entry'!AL119)),IF('Council Entry'!AL$4="Exponential",EXP(IF(AND(ISNUMBER('Council Entry'!AL$8),ISNUMBER('Council Entry'!AL$9)),MAX(MIN('Council Entry'!AL119,'Council Entry'!AL$9),'Council Entry'!AL$8),'Council Entry'!AL119)),IF(AND(ISNUMBER('Council Entry'!AL$8),ISNUMBER('Council Entry'!AL$9)),MAX(MIN('Council Entry'!AL119,'Council Entry'!AL$9),'Council Entry'!AL$8),'Council Entry'!AL119))))-'Council Entry'!AL$5)/('Council Entry'!AL$6-'Council Entry'!AL$5)),1))),"No data"))</f>
        <v/>
      </c>
      <c r="AM119" s="13">
        <f>IF('Council Entry'!AM119="","",IFERROR(MAX(0,MIN(10,ROUND(IF('Council Entry'!AM$7="Decrease Risk",10-10*((IF('Council Entry'!AM$4="Logarithm",LN(0.001+IF(AND(ISNUMBER('Council Entry'!AM$8),ISNUMBER('Council Entry'!AM$9)),MAX(MIN('Council Entry'!AM119,'Council Entry'!AM$9),'Council Entry'!AM$8),'Council Entry'!AM119)),IF('Council Entry'!AM$4="Exponential",EXP(IF(AND(ISNUMBER('Council Entry'!AM$8),ISNUMBER('Council Entry'!AM$9)),MAX(MIN('Council Entry'!AM119,'Council Entry'!AM$9),'Council Entry'!AM$8),'Council Entry'!AM119)),IF(AND(ISNUMBER('Council Entry'!AM$8),ISNUMBER('Council Entry'!AM$9)),MAX(MIN('Council Entry'!AM119,'Council Entry'!AM$9),'Council Entry'!AM$8),'Council Entry'!AM119))))-'Council Entry'!AM$5)/('Council Entry'!AM$6-'Council Entry'!AM$5),10*((IF('Council Entry'!AM$4="Logarithm",LN(0.001+IF(AND(ISNUMBER('Council Entry'!AM$8),ISNUMBER('Council Entry'!AM$9)),MAX(MIN('Council Entry'!AM119,'Council Entry'!AM$9),'Council Entry'!AM$8),'Council Entry'!AM119)),IF('Council Entry'!AM$4="Exponential",EXP(IF(AND(ISNUMBER('Council Entry'!AM$8),ISNUMBER('Council Entry'!AM$9)),MAX(MIN('Council Entry'!AM119,'Council Entry'!AM$9),'Council Entry'!AM$8),'Council Entry'!AM119)),IF(AND(ISNUMBER('Council Entry'!AM$8),ISNUMBER('Council Entry'!AM$9)),MAX(MIN('Council Entry'!AM119,'Council Entry'!AM$9),'Council Entry'!AM$8),'Council Entry'!AM119))))-'Council Entry'!AM$5)/('Council Entry'!AM$6-'Council Entry'!AM$5)),1))),"No data"))</f>
        <v/>
      </c>
      <c r="AN119" s="13">
        <f>IF('Council Entry'!AN119="","",IFERROR(MAX(0,MIN(10,ROUND(IF('Council Entry'!AN$7="Decrease Risk",10-10*((IF('Council Entry'!AN$4="Logarithm",LN(0.001+IF(AND(ISNUMBER('Council Entry'!AN$8),ISNUMBER('Council Entry'!AN$9)),MAX(MIN('Council Entry'!AN119,'Council Entry'!AN$9),'Council Entry'!AN$8),'Council Entry'!AN119)),IF('Council Entry'!AN$4="Exponential",EXP(IF(AND(ISNUMBER('Council Entry'!AN$8),ISNUMBER('Council Entry'!AN$9)),MAX(MIN('Council Entry'!AN119,'Council Entry'!AN$9),'Council Entry'!AN$8),'Council Entry'!AN119)),IF(AND(ISNUMBER('Council Entry'!AN$8),ISNUMBER('Council Entry'!AN$9)),MAX(MIN('Council Entry'!AN119,'Council Entry'!AN$9),'Council Entry'!AN$8),'Council Entry'!AN119))))-'Council Entry'!AN$5)/('Council Entry'!AN$6-'Council Entry'!AN$5),10*((IF('Council Entry'!AN$4="Logarithm",LN(0.001+IF(AND(ISNUMBER('Council Entry'!AN$8),ISNUMBER('Council Entry'!AN$9)),MAX(MIN('Council Entry'!AN119,'Council Entry'!AN$9),'Council Entry'!AN$8),'Council Entry'!AN119)),IF('Council Entry'!AN$4="Exponential",EXP(IF(AND(ISNUMBER('Council Entry'!AN$8),ISNUMBER('Council Entry'!AN$9)),MAX(MIN('Council Entry'!AN119,'Council Entry'!AN$9),'Council Entry'!AN$8),'Council Entry'!AN119)),IF(AND(ISNUMBER('Council Entry'!AN$8),ISNUMBER('Council Entry'!AN$9)),MAX(MIN('Council Entry'!AN119,'Council Entry'!AN$9),'Council Entry'!AN$8),'Council Entry'!AN119))))-'Council Entry'!AN$5)/('Council Entry'!AN$6-'Council Entry'!AN$5)),1))),"No data"))</f>
        <v/>
      </c>
      <c r="AO119" s="13">
        <f>IF('Council Entry'!AO119="","",IFERROR(MAX(0,MIN(10,ROUND(IF('Council Entry'!AO$7="Decrease Risk",10-10*((IF('Council Entry'!AO$4="Logarithm",LN(0.001+IF(AND(ISNUMBER('Council Entry'!AO$8),ISNUMBER('Council Entry'!AO$9)),MAX(MIN('Council Entry'!AO119,'Council Entry'!AO$9),'Council Entry'!AO$8),'Council Entry'!AO119)),IF('Council Entry'!AO$4="Exponential",EXP(IF(AND(ISNUMBER('Council Entry'!AO$8),ISNUMBER('Council Entry'!AO$9)),MAX(MIN('Council Entry'!AO119,'Council Entry'!AO$9),'Council Entry'!AO$8),'Council Entry'!AO119)),IF(AND(ISNUMBER('Council Entry'!AO$8),ISNUMBER('Council Entry'!AO$9)),MAX(MIN('Council Entry'!AO119,'Council Entry'!AO$9),'Council Entry'!AO$8),'Council Entry'!AO119))))-'Council Entry'!AO$5)/('Council Entry'!AO$6-'Council Entry'!AO$5),10*((IF('Council Entry'!AO$4="Logarithm",LN(0.001+IF(AND(ISNUMBER('Council Entry'!AO$8),ISNUMBER('Council Entry'!AO$9)),MAX(MIN('Council Entry'!AO119,'Council Entry'!AO$9),'Council Entry'!AO$8),'Council Entry'!AO119)),IF('Council Entry'!AO$4="Exponential",EXP(IF(AND(ISNUMBER('Council Entry'!AO$8),ISNUMBER('Council Entry'!AO$9)),MAX(MIN('Council Entry'!AO119,'Council Entry'!AO$9),'Council Entry'!AO$8),'Council Entry'!AO119)),IF(AND(ISNUMBER('Council Entry'!AO$8),ISNUMBER('Council Entry'!AO$9)),MAX(MIN('Council Entry'!AO119,'Council Entry'!AO$9),'Council Entry'!AO$8),'Council Entry'!AO119))))-'Council Entry'!AO$5)/('Council Entry'!AO$6-'Council Entry'!AO$5)),1))),"No data"))</f>
        <v/>
      </c>
      <c r="AP119" s="13">
        <f>IF('Council Entry'!AP119="","",IFERROR(MAX(0,MIN(10,ROUND(IF('Council Entry'!AP$7="Decrease Risk",10-10*((IF('Council Entry'!AP$4="Logarithm",LN(0.001+IF(AND(ISNUMBER('Council Entry'!AP$8),ISNUMBER('Council Entry'!AP$9)),MAX(MIN('Council Entry'!AP119,'Council Entry'!AP$9),'Council Entry'!AP$8),'Council Entry'!AP119)),IF('Council Entry'!AP$4="Exponential",EXP(IF(AND(ISNUMBER('Council Entry'!AP$8),ISNUMBER('Council Entry'!AP$9)),MAX(MIN('Council Entry'!AP119,'Council Entry'!AP$9),'Council Entry'!AP$8),'Council Entry'!AP119)),IF(AND(ISNUMBER('Council Entry'!AP$8),ISNUMBER('Council Entry'!AP$9)),MAX(MIN('Council Entry'!AP119,'Council Entry'!AP$9),'Council Entry'!AP$8),'Council Entry'!AP119))))-'Council Entry'!AP$5)/('Council Entry'!AP$6-'Council Entry'!AP$5),10*((IF('Council Entry'!AP$4="Logarithm",LN(0.001+IF(AND(ISNUMBER('Council Entry'!AP$8),ISNUMBER('Council Entry'!AP$9)),MAX(MIN('Council Entry'!AP119,'Council Entry'!AP$9),'Council Entry'!AP$8),'Council Entry'!AP119)),IF('Council Entry'!AP$4="Exponential",EXP(IF(AND(ISNUMBER('Council Entry'!AP$8),ISNUMBER('Council Entry'!AP$9)),MAX(MIN('Council Entry'!AP119,'Council Entry'!AP$9),'Council Entry'!AP$8),'Council Entry'!AP119)),IF(AND(ISNUMBER('Council Entry'!AP$8),ISNUMBER('Council Entry'!AP$9)),MAX(MIN('Council Entry'!AP119,'Council Entry'!AP$9),'Council Entry'!AP$8),'Council Entry'!AP119))))-'Council Entry'!AP$5)/('Council Entry'!AP$6-'Council Entry'!AP$5)),1))),"No data"))</f>
        <v/>
      </c>
      <c r="AQ119" s="13">
        <f>IF('Council Entry'!AQ119="","",IFERROR(MAX(0,MIN(10,ROUND(IF('Council Entry'!AQ$7="Decrease Risk",10-10*((IF('Council Entry'!AQ$4="Logarithm",LN(0.001+IF(AND(ISNUMBER('Council Entry'!AQ$8),ISNUMBER('Council Entry'!AQ$9)),MAX(MIN('Council Entry'!AQ119,'Council Entry'!AQ$9),'Council Entry'!AQ$8),'Council Entry'!AQ119)),IF('Council Entry'!AQ$4="Exponential",EXP(IF(AND(ISNUMBER('Council Entry'!AQ$8),ISNUMBER('Council Entry'!AQ$9)),MAX(MIN('Council Entry'!AQ119,'Council Entry'!AQ$9),'Council Entry'!AQ$8),'Council Entry'!AQ119)),IF(AND(ISNUMBER('Council Entry'!AQ$8),ISNUMBER('Council Entry'!AQ$9)),MAX(MIN('Council Entry'!AQ119,'Council Entry'!AQ$9),'Council Entry'!AQ$8),'Council Entry'!AQ119))))-'Council Entry'!AQ$5)/('Council Entry'!AQ$6-'Council Entry'!AQ$5),10*((IF('Council Entry'!AQ$4="Logarithm",LN(0.001+IF(AND(ISNUMBER('Council Entry'!AQ$8),ISNUMBER('Council Entry'!AQ$9)),MAX(MIN('Council Entry'!AQ119,'Council Entry'!AQ$9),'Council Entry'!AQ$8),'Council Entry'!AQ119)),IF('Council Entry'!AQ$4="Exponential",EXP(IF(AND(ISNUMBER('Council Entry'!AQ$8),ISNUMBER('Council Entry'!AQ$9)),MAX(MIN('Council Entry'!AQ119,'Council Entry'!AQ$9),'Council Entry'!AQ$8),'Council Entry'!AQ119)),IF(AND(ISNUMBER('Council Entry'!AQ$8),ISNUMBER('Council Entry'!AQ$9)),MAX(MIN('Council Entry'!AQ119,'Council Entry'!AQ$9),'Council Entry'!AQ$8),'Council Entry'!AQ119))))-'Council Entry'!AQ$5)/('Council Entry'!AQ$6-'Council Entry'!AQ$5)),1))),"No data"))</f>
        <v/>
      </c>
      <c r="AR119" s="13">
        <f>IF('Council Entry'!AR119="","",IFERROR(MAX(0,MIN(10,ROUND(IF('Council Entry'!AR$7="Decrease Risk",10-10*((IF('Council Entry'!AR$4="Logarithm",LN(0.001+IF(AND(ISNUMBER('Council Entry'!AR$8),ISNUMBER('Council Entry'!AR$9)),MAX(MIN('Council Entry'!AR119,'Council Entry'!AR$9),'Council Entry'!AR$8),'Council Entry'!AR119)),IF('Council Entry'!AR$4="Exponential",EXP(IF(AND(ISNUMBER('Council Entry'!AR$8),ISNUMBER('Council Entry'!AR$9)),MAX(MIN('Council Entry'!AR119,'Council Entry'!AR$9),'Council Entry'!AR$8),'Council Entry'!AR119)),IF(AND(ISNUMBER('Council Entry'!AR$8),ISNUMBER('Council Entry'!AR$9)),MAX(MIN('Council Entry'!AR119,'Council Entry'!AR$9),'Council Entry'!AR$8),'Council Entry'!AR119))))-'Council Entry'!AR$5)/('Council Entry'!AR$6-'Council Entry'!AR$5),10*((IF('Council Entry'!AR$4="Logarithm",LN(0.001+IF(AND(ISNUMBER('Council Entry'!AR$8),ISNUMBER('Council Entry'!AR$9)),MAX(MIN('Council Entry'!AR119,'Council Entry'!AR$9),'Council Entry'!AR$8),'Council Entry'!AR119)),IF('Council Entry'!AR$4="Exponential",EXP(IF(AND(ISNUMBER('Council Entry'!AR$8),ISNUMBER('Council Entry'!AR$9)),MAX(MIN('Council Entry'!AR119,'Council Entry'!AR$9),'Council Entry'!AR$8),'Council Entry'!AR119)),IF(AND(ISNUMBER('Council Entry'!AR$8),ISNUMBER('Council Entry'!AR$9)),MAX(MIN('Council Entry'!AR119,'Council Entry'!AR$9),'Council Entry'!AR$8),'Council Entry'!AR119))))-'Council Entry'!AR$5)/('Council Entry'!AR$6-'Council Entry'!AR$5)),1))),"No data"))</f>
        <v/>
      </c>
      <c r="AS119" s="13">
        <f>IF('Council Entry'!AS119="","",IFERROR(MAX(0,MIN(10,ROUND(IF('Council Entry'!AS$7="Decrease Risk",10-10*((IF('Council Entry'!AS$4="Logarithm",LN(0.001+IF(AND(ISNUMBER('Council Entry'!AS$8),ISNUMBER('Council Entry'!AS$9)),MAX(MIN('Council Entry'!AS119,'Council Entry'!AS$9),'Council Entry'!AS$8),'Council Entry'!AS119)),IF('Council Entry'!AS$4="Exponential",EXP(IF(AND(ISNUMBER('Council Entry'!AS$8),ISNUMBER('Council Entry'!AS$9)),MAX(MIN('Council Entry'!AS119,'Council Entry'!AS$9),'Council Entry'!AS$8),'Council Entry'!AS119)),IF(AND(ISNUMBER('Council Entry'!AS$8),ISNUMBER('Council Entry'!AS$9)),MAX(MIN('Council Entry'!AS119,'Council Entry'!AS$9),'Council Entry'!AS$8),'Council Entry'!AS119))))-'Council Entry'!AS$5)/('Council Entry'!AS$6-'Council Entry'!AS$5),10*((IF('Council Entry'!AS$4="Logarithm",LN(0.001+IF(AND(ISNUMBER('Council Entry'!AS$8),ISNUMBER('Council Entry'!AS$9)),MAX(MIN('Council Entry'!AS119,'Council Entry'!AS$9),'Council Entry'!AS$8),'Council Entry'!AS119)),IF('Council Entry'!AS$4="Exponential",EXP(IF(AND(ISNUMBER('Council Entry'!AS$8),ISNUMBER('Council Entry'!AS$9)),MAX(MIN('Council Entry'!AS119,'Council Entry'!AS$9),'Council Entry'!AS$8),'Council Entry'!AS119)),IF(AND(ISNUMBER('Council Entry'!AS$8),ISNUMBER('Council Entry'!AS$9)),MAX(MIN('Council Entry'!AS119,'Council Entry'!AS$9),'Council Entry'!AS$8),'Council Entry'!AS119))))-'Council Entry'!AS$5)/('Council Entry'!AS$6-'Council Entry'!AS$5)),1))),"No data"))</f>
        <v/>
      </c>
      <c r="AT119" s="13">
        <f>IF('Council Entry'!AT119="","",IFERROR(MAX(0,MIN(10,ROUND(IF('Council Entry'!AT$7="Decrease Risk",10-10*((IF('Council Entry'!AT$4="Logarithm",LN(0.001+IF(AND(ISNUMBER('Council Entry'!AT$8),ISNUMBER('Council Entry'!AT$9)),MAX(MIN('Council Entry'!AT119,'Council Entry'!AT$9),'Council Entry'!AT$8),'Council Entry'!AT119)),IF('Council Entry'!AT$4="Exponential",EXP(IF(AND(ISNUMBER('Council Entry'!AT$8),ISNUMBER('Council Entry'!AT$9)),MAX(MIN('Council Entry'!AT119,'Council Entry'!AT$9),'Council Entry'!AT$8),'Council Entry'!AT119)),IF(AND(ISNUMBER('Council Entry'!AT$8),ISNUMBER('Council Entry'!AT$9)),MAX(MIN('Council Entry'!AT119,'Council Entry'!AT$9),'Council Entry'!AT$8),'Council Entry'!AT119))))-'Council Entry'!AT$5)/('Council Entry'!AT$6-'Council Entry'!AT$5),10*((IF('Council Entry'!AT$4="Logarithm",LN(0.001+IF(AND(ISNUMBER('Council Entry'!AT$8),ISNUMBER('Council Entry'!AT$9)),MAX(MIN('Council Entry'!AT119,'Council Entry'!AT$9),'Council Entry'!AT$8),'Council Entry'!AT119)),IF('Council Entry'!AT$4="Exponential",EXP(IF(AND(ISNUMBER('Council Entry'!AT$8),ISNUMBER('Council Entry'!AT$9)),MAX(MIN('Council Entry'!AT119,'Council Entry'!AT$9),'Council Entry'!AT$8),'Council Entry'!AT119)),IF(AND(ISNUMBER('Council Entry'!AT$8),ISNUMBER('Council Entry'!AT$9)),MAX(MIN('Council Entry'!AT119,'Council Entry'!AT$9),'Council Entry'!AT$8),'Council Entry'!AT119))))-'Council Entry'!AT$5)/('Council Entry'!AT$6-'Council Entry'!AT$5)),1))),"No data"))</f>
        <v/>
      </c>
      <c r="AU119" s="13">
        <f>IF('Council Entry'!AU119="","",IFERROR(MAX(0,MIN(10,ROUND(IF('Council Entry'!AU$7="Decrease Risk",10-10*((IF('Council Entry'!AU$4="Logarithm",LN(0.001+IF(AND(ISNUMBER('Council Entry'!AU$8),ISNUMBER('Council Entry'!AU$9)),MAX(MIN('Council Entry'!AU119,'Council Entry'!AU$9),'Council Entry'!AU$8),'Council Entry'!AU119)),IF('Council Entry'!AU$4="Exponential",EXP(IF(AND(ISNUMBER('Council Entry'!AU$8),ISNUMBER('Council Entry'!AU$9)),MAX(MIN('Council Entry'!AU119,'Council Entry'!AU$9),'Council Entry'!AU$8),'Council Entry'!AU119)),IF(AND(ISNUMBER('Council Entry'!AU$8),ISNUMBER('Council Entry'!AU$9)),MAX(MIN('Council Entry'!AU119,'Council Entry'!AU$9),'Council Entry'!AU$8),'Council Entry'!AU119))))-'Council Entry'!AU$5)/('Council Entry'!AU$6-'Council Entry'!AU$5),10*((IF('Council Entry'!AU$4="Logarithm",LN(0.001+IF(AND(ISNUMBER('Council Entry'!AU$8),ISNUMBER('Council Entry'!AU$9)),MAX(MIN('Council Entry'!AU119,'Council Entry'!AU$9),'Council Entry'!AU$8),'Council Entry'!AU119)),IF('Council Entry'!AU$4="Exponential",EXP(IF(AND(ISNUMBER('Council Entry'!AU$8),ISNUMBER('Council Entry'!AU$9)),MAX(MIN('Council Entry'!AU119,'Council Entry'!AU$9),'Council Entry'!AU$8),'Council Entry'!AU119)),IF(AND(ISNUMBER('Council Entry'!AU$8),ISNUMBER('Council Entry'!AU$9)),MAX(MIN('Council Entry'!AU119,'Council Entry'!AU$9),'Council Entry'!AU$8),'Council Entry'!AU119))))-'Council Entry'!AU$5)/('Council Entry'!AU$6-'Council Entry'!AU$5)),1))),"No data"))</f>
        <v/>
      </c>
      <c r="AV119" s="13">
        <f>IF('Council Entry'!AV119="","",IFERROR(MAX(0,MIN(10,ROUND(IF('Council Entry'!AV$7="Decrease Risk",10-10*((IF('Council Entry'!AV$4="Logarithm",LN(0.001+IF(AND(ISNUMBER('Council Entry'!AV$8),ISNUMBER('Council Entry'!AV$9)),MAX(MIN('Council Entry'!AV119,'Council Entry'!AV$9),'Council Entry'!AV$8),'Council Entry'!AV119)),IF('Council Entry'!AV$4="Exponential",EXP(IF(AND(ISNUMBER('Council Entry'!AV$8),ISNUMBER('Council Entry'!AV$9)),MAX(MIN('Council Entry'!AV119,'Council Entry'!AV$9),'Council Entry'!AV$8),'Council Entry'!AV119)),IF(AND(ISNUMBER('Council Entry'!AV$8),ISNUMBER('Council Entry'!AV$9)),MAX(MIN('Council Entry'!AV119,'Council Entry'!AV$9),'Council Entry'!AV$8),'Council Entry'!AV119))))-'Council Entry'!AV$5)/('Council Entry'!AV$6-'Council Entry'!AV$5),10*((IF('Council Entry'!AV$4="Logarithm",LN(0.001+IF(AND(ISNUMBER('Council Entry'!AV$8),ISNUMBER('Council Entry'!AV$9)),MAX(MIN('Council Entry'!AV119,'Council Entry'!AV$9),'Council Entry'!AV$8),'Council Entry'!AV119)),IF('Council Entry'!AV$4="Exponential",EXP(IF(AND(ISNUMBER('Council Entry'!AV$8),ISNUMBER('Council Entry'!AV$9)),MAX(MIN('Council Entry'!AV119,'Council Entry'!AV$9),'Council Entry'!AV$8),'Council Entry'!AV119)),IF(AND(ISNUMBER('Council Entry'!AV$8),ISNUMBER('Council Entry'!AV$9)),MAX(MIN('Council Entry'!AV119,'Council Entry'!AV$9),'Council Entry'!AV$8),'Council Entry'!AV119))))-'Council Entry'!AV$5)/('Council Entry'!AV$6-'Council Entry'!AV$5)),1))),"No data"))</f>
        <v/>
      </c>
      <c r="AW119" s="13">
        <f>IF('Council Entry'!AW119="","",IFERROR(MAX(0,MIN(10,ROUND(IF('Council Entry'!AW$7="Decrease Risk",10-10*((IF('Council Entry'!AW$4="Logarithm",LN(0.001+IF(AND(ISNUMBER('Council Entry'!AW$8),ISNUMBER('Council Entry'!AW$9)),MAX(MIN('Council Entry'!AW119,'Council Entry'!AW$9),'Council Entry'!AW$8),'Council Entry'!AW119)),IF('Council Entry'!AW$4="Exponential",EXP(IF(AND(ISNUMBER('Council Entry'!AW$8),ISNUMBER('Council Entry'!AW$9)),MAX(MIN('Council Entry'!AW119,'Council Entry'!AW$9),'Council Entry'!AW$8),'Council Entry'!AW119)),IF(AND(ISNUMBER('Council Entry'!AW$8),ISNUMBER('Council Entry'!AW$9)),MAX(MIN('Council Entry'!AW119,'Council Entry'!AW$9),'Council Entry'!AW$8),'Council Entry'!AW119))))-'Council Entry'!AW$5)/('Council Entry'!AW$6-'Council Entry'!AW$5),10*((IF('Council Entry'!AW$4="Logarithm",LN(0.001+IF(AND(ISNUMBER('Council Entry'!AW$8),ISNUMBER('Council Entry'!AW$9)),MAX(MIN('Council Entry'!AW119,'Council Entry'!AW$9),'Council Entry'!AW$8),'Council Entry'!AW119)),IF('Council Entry'!AW$4="Exponential",EXP(IF(AND(ISNUMBER('Council Entry'!AW$8),ISNUMBER('Council Entry'!AW$9)),MAX(MIN('Council Entry'!AW119,'Council Entry'!AW$9),'Council Entry'!AW$8),'Council Entry'!AW119)),IF(AND(ISNUMBER('Council Entry'!AW$8),ISNUMBER('Council Entry'!AW$9)),MAX(MIN('Council Entry'!AW119,'Council Entry'!AW$9),'Council Entry'!AW$8),'Council Entry'!AW119))))-'Council Entry'!AW$5)/('Council Entry'!AW$6-'Council Entry'!AW$5)),1))),"No data"))</f>
        <v/>
      </c>
      <c r="AX119" s="13">
        <f>IF('Council Entry'!AX119="","",IFERROR(MAX(0,MIN(10,ROUND(IF('Council Entry'!AX$7="Decrease Risk",10-10*((IF('Council Entry'!AX$4="Logarithm",LN(0.001+IF(AND(ISNUMBER('Council Entry'!AX$8),ISNUMBER('Council Entry'!AX$9)),MAX(MIN('Council Entry'!AX119,'Council Entry'!AX$9),'Council Entry'!AX$8),'Council Entry'!AX119)),IF('Council Entry'!AX$4="Exponential",EXP(IF(AND(ISNUMBER('Council Entry'!AX$8),ISNUMBER('Council Entry'!AX$9)),MAX(MIN('Council Entry'!AX119,'Council Entry'!AX$9),'Council Entry'!AX$8),'Council Entry'!AX119)),IF(AND(ISNUMBER('Council Entry'!AX$8),ISNUMBER('Council Entry'!AX$9)),MAX(MIN('Council Entry'!AX119,'Council Entry'!AX$9),'Council Entry'!AX$8),'Council Entry'!AX119))))-'Council Entry'!AX$5)/('Council Entry'!AX$6-'Council Entry'!AX$5),10*((IF('Council Entry'!AX$4="Logarithm",LN(0.001+IF(AND(ISNUMBER('Council Entry'!AX$8),ISNUMBER('Council Entry'!AX$9)),MAX(MIN('Council Entry'!AX119,'Council Entry'!AX$9),'Council Entry'!AX$8),'Council Entry'!AX119)),IF('Council Entry'!AX$4="Exponential",EXP(IF(AND(ISNUMBER('Council Entry'!AX$8),ISNUMBER('Council Entry'!AX$9)),MAX(MIN('Council Entry'!AX119,'Council Entry'!AX$9),'Council Entry'!AX$8),'Council Entry'!AX119)),IF(AND(ISNUMBER('Council Entry'!AX$8),ISNUMBER('Council Entry'!AX$9)),MAX(MIN('Council Entry'!AX119,'Council Entry'!AX$9),'Council Entry'!AX$8),'Council Entry'!AX119))))-'Council Entry'!AX$5)/('Council Entry'!AX$6-'Council Entry'!AX$5)),1))),"No data"))</f>
        <v/>
      </c>
      <c r="AY119" s="13">
        <f>IF('Council Entry'!AY119="","",IFERROR(MAX(0,MIN(10,ROUND(IF('Council Entry'!AY$7="Decrease Risk",10-10*((IF('Council Entry'!AY$4="Logarithm",LN(0.001+IF(AND(ISNUMBER('Council Entry'!AY$8),ISNUMBER('Council Entry'!AY$9)),MAX(MIN('Council Entry'!AY119,'Council Entry'!AY$9),'Council Entry'!AY$8),'Council Entry'!AY119)),IF('Council Entry'!AY$4="Exponential",EXP(IF(AND(ISNUMBER('Council Entry'!AY$8),ISNUMBER('Council Entry'!AY$9)),MAX(MIN('Council Entry'!AY119,'Council Entry'!AY$9),'Council Entry'!AY$8),'Council Entry'!AY119)),IF(AND(ISNUMBER('Council Entry'!AY$8),ISNUMBER('Council Entry'!AY$9)),MAX(MIN('Council Entry'!AY119,'Council Entry'!AY$9),'Council Entry'!AY$8),'Council Entry'!AY119))))-'Council Entry'!AY$5)/('Council Entry'!AY$6-'Council Entry'!AY$5),10*((IF('Council Entry'!AY$4="Logarithm",LN(0.001+IF(AND(ISNUMBER('Council Entry'!AY$8),ISNUMBER('Council Entry'!AY$9)),MAX(MIN('Council Entry'!AY119,'Council Entry'!AY$9),'Council Entry'!AY$8),'Council Entry'!AY119)),IF('Council Entry'!AY$4="Exponential",EXP(IF(AND(ISNUMBER('Council Entry'!AY$8),ISNUMBER('Council Entry'!AY$9)),MAX(MIN('Council Entry'!AY119,'Council Entry'!AY$9),'Council Entry'!AY$8),'Council Entry'!AY119)),IF(AND(ISNUMBER('Council Entry'!AY$8),ISNUMBER('Council Entry'!AY$9)),MAX(MIN('Council Entry'!AY119,'Council Entry'!AY$9),'Council Entry'!AY$8),'Council Entry'!AY119))))-'Council Entry'!AY$5)/('Council Entry'!AY$6-'Council Entry'!AY$5)),1))),"No data"))</f>
        <v/>
      </c>
      <c r="AZ119" s="13">
        <f>IF('Council Entry'!AZ119="","",IFERROR(MAX(0,MIN(10,ROUND(IF('Council Entry'!AZ$7="Decrease Risk",10-10*((IF('Council Entry'!AZ$4="Logarithm",LN(0.001+IF(AND(ISNUMBER('Council Entry'!AZ$8),ISNUMBER('Council Entry'!AZ$9)),MAX(MIN('Council Entry'!AZ119,'Council Entry'!AZ$9),'Council Entry'!AZ$8),'Council Entry'!AZ119)),IF('Council Entry'!AZ$4="Exponential",EXP(IF(AND(ISNUMBER('Council Entry'!AZ$8),ISNUMBER('Council Entry'!AZ$9)),MAX(MIN('Council Entry'!AZ119,'Council Entry'!AZ$9),'Council Entry'!AZ$8),'Council Entry'!AZ119)),IF(AND(ISNUMBER('Council Entry'!AZ$8),ISNUMBER('Council Entry'!AZ$9)),MAX(MIN('Council Entry'!AZ119,'Council Entry'!AZ$9),'Council Entry'!AZ$8),'Council Entry'!AZ119))))-'Council Entry'!AZ$5)/('Council Entry'!AZ$6-'Council Entry'!AZ$5),10*((IF('Council Entry'!AZ$4="Logarithm",LN(0.001+IF(AND(ISNUMBER('Council Entry'!AZ$8),ISNUMBER('Council Entry'!AZ$9)),MAX(MIN('Council Entry'!AZ119,'Council Entry'!AZ$9),'Council Entry'!AZ$8),'Council Entry'!AZ119)),IF('Council Entry'!AZ$4="Exponential",EXP(IF(AND(ISNUMBER('Council Entry'!AZ$8),ISNUMBER('Council Entry'!AZ$9)),MAX(MIN('Council Entry'!AZ119,'Council Entry'!AZ$9),'Council Entry'!AZ$8),'Council Entry'!AZ119)),IF(AND(ISNUMBER('Council Entry'!AZ$8),ISNUMBER('Council Entry'!AZ$9)),MAX(MIN('Council Entry'!AZ119,'Council Entry'!AZ$9),'Council Entry'!AZ$8),'Council Entry'!AZ119))))-'Council Entry'!AZ$5)/('Council Entry'!AZ$6-'Council Entry'!AZ$5)),1))),"No data"))</f>
        <v/>
      </c>
      <c r="BA119" s="13">
        <f>IF('Council Entry'!BA119="","",IFERROR(MAX(0,MIN(10,ROUND(IF('Council Entry'!BA$7="Decrease Risk",10-10*((IF('Council Entry'!BA$4="Logarithm",LN(0.001+IF(AND(ISNUMBER('Council Entry'!BA$8),ISNUMBER('Council Entry'!BA$9)),MAX(MIN('Council Entry'!BA119,'Council Entry'!BA$9),'Council Entry'!BA$8),'Council Entry'!BA119)),IF('Council Entry'!BA$4="Exponential",EXP(IF(AND(ISNUMBER('Council Entry'!BA$8),ISNUMBER('Council Entry'!BA$9)),MAX(MIN('Council Entry'!BA119,'Council Entry'!BA$9),'Council Entry'!BA$8),'Council Entry'!BA119)),IF(AND(ISNUMBER('Council Entry'!BA$8),ISNUMBER('Council Entry'!BA$9)),MAX(MIN('Council Entry'!BA119,'Council Entry'!BA$9),'Council Entry'!BA$8),'Council Entry'!BA119))))-'Council Entry'!BA$5)/('Council Entry'!BA$6-'Council Entry'!BA$5),10*((IF('Council Entry'!BA$4="Logarithm",LN(0.001+IF(AND(ISNUMBER('Council Entry'!BA$8),ISNUMBER('Council Entry'!BA$9)),MAX(MIN('Council Entry'!BA119,'Council Entry'!BA$9),'Council Entry'!BA$8),'Council Entry'!BA119)),IF('Council Entry'!BA$4="Exponential",EXP(IF(AND(ISNUMBER('Council Entry'!BA$8),ISNUMBER('Council Entry'!BA$9)),MAX(MIN('Council Entry'!BA119,'Council Entry'!BA$9),'Council Entry'!BA$8),'Council Entry'!BA119)),IF(AND(ISNUMBER('Council Entry'!BA$8),ISNUMBER('Council Entry'!BA$9)),MAX(MIN('Council Entry'!BA119,'Council Entry'!BA$9),'Council Entry'!BA$8),'Council Entry'!BA119))))-'Council Entry'!BA$5)/('Council Entry'!BA$6-'Council Entry'!BA$5)),1))),"No data"))</f>
        <v/>
      </c>
      <c r="BB119" s="13">
        <f>IF('Council Entry'!BB119="","",IFERROR(MAX(0,MIN(10,ROUND(IF('Council Entry'!BB$7="Decrease Risk",10-10*((IF('Council Entry'!BB$4="Logarithm",LN(0.001+IF(AND(ISNUMBER('Council Entry'!BB$8),ISNUMBER('Council Entry'!BB$9)),MAX(MIN('Council Entry'!BB119,'Council Entry'!BB$9),'Council Entry'!BB$8),'Council Entry'!BB119)),IF('Council Entry'!BB$4="Exponential",EXP(IF(AND(ISNUMBER('Council Entry'!BB$8),ISNUMBER('Council Entry'!BB$9)),MAX(MIN('Council Entry'!BB119,'Council Entry'!BB$9),'Council Entry'!BB$8),'Council Entry'!BB119)),IF(AND(ISNUMBER('Council Entry'!BB$8),ISNUMBER('Council Entry'!BB$9)),MAX(MIN('Council Entry'!BB119,'Council Entry'!BB$9),'Council Entry'!BB$8),'Council Entry'!BB119))))-'Council Entry'!BB$5)/('Council Entry'!BB$6-'Council Entry'!BB$5),10*((IF('Council Entry'!BB$4="Logarithm",LN(0.001+IF(AND(ISNUMBER('Council Entry'!BB$8),ISNUMBER('Council Entry'!BB$9)),MAX(MIN('Council Entry'!BB119,'Council Entry'!BB$9),'Council Entry'!BB$8),'Council Entry'!BB119)),IF('Council Entry'!BB$4="Exponential",EXP(IF(AND(ISNUMBER('Council Entry'!BB$8),ISNUMBER('Council Entry'!BB$9)),MAX(MIN('Council Entry'!BB119,'Council Entry'!BB$9),'Council Entry'!BB$8),'Council Entry'!BB119)),IF(AND(ISNUMBER('Council Entry'!BB$8),ISNUMBER('Council Entry'!BB$9)),MAX(MIN('Council Entry'!BB119,'Council Entry'!BB$9),'Council Entry'!BB$8),'Council Entry'!BB119))))-'Council Entry'!BB$5)/('Council Entry'!BB$6-'Council Entry'!BB$5)),1))),"No data"))</f>
        <v/>
      </c>
      <c r="BC119" s="13">
        <f>IF('Council Entry'!BC119="","",IFERROR(MAX(0,MIN(10,ROUND(IF('Council Entry'!BC$7="Decrease Risk",10-10*((IF('Council Entry'!BC$4="Logarithm",LN(0.001+IF(AND(ISNUMBER('Council Entry'!BC$8),ISNUMBER('Council Entry'!BC$9)),MAX(MIN('Council Entry'!BC119,'Council Entry'!BC$9),'Council Entry'!BC$8),'Council Entry'!BC119)),IF('Council Entry'!BC$4="Exponential",EXP(IF(AND(ISNUMBER('Council Entry'!BC$8),ISNUMBER('Council Entry'!BC$9)),MAX(MIN('Council Entry'!BC119,'Council Entry'!BC$9),'Council Entry'!BC$8),'Council Entry'!BC119)),IF(AND(ISNUMBER('Council Entry'!BC$8),ISNUMBER('Council Entry'!BC$9)),MAX(MIN('Council Entry'!BC119,'Council Entry'!BC$9),'Council Entry'!BC$8),'Council Entry'!BC119))))-'Council Entry'!BC$5)/('Council Entry'!BC$6-'Council Entry'!BC$5),10*((IF('Council Entry'!BC$4="Logarithm",LN(0.001+IF(AND(ISNUMBER('Council Entry'!BC$8),ISNUMBER('Council Entry'!BC$9)),MAX(MIN('Council Entry'!BC119,'Council Entry'!BC$9),'Council Entry'!BC$8),'Council Entry'!BC119)),IF('Council Entry'!BC$4="Exponential",EXP(IF(AND(ISNUMBER('Council Entry'!BC$8),ISNUMBER('Council Entry'!BC$9)),MAX(MIN('Council Entry'!BC119,'Council Entry'!BC$9),'Council Entry'!BC$8),'Council Entry'!BC119)),IF(AND(ISNUMBER('Council Entry'!BC$8),ISNUMBER('Council Entry'!BC$9)),MAX(MIN('Council Entry'!BC119,'Council Entry'!BC$9),'Council Entry'!BC$8),'Council Entry'!BC119))))-'Council Entry'!BC$5)/('Council Entry'!BC$6-'Council Entry'!BC$5)),1))),"No data"))</f>
        <v/>
      </c>
      <c r="BD119" s="13">
        <f>IF('Council Entry'!BD119="","",IFERROR(MAX(0,MIN(10,ROUND(IF('Council Entry'!BD$7="Decrease Risk",10-10*((IF('Council Entry'!BD$4="Logarithm",LN(0.001+IF(AND(ISNUMBER('Council Entry'!BD$8),ISNUMBER('Council Entry'!BD$9)),MAX(MIN('Council Entry'!BD119,'Council Entry'!BD$9),'Council Entry'!BD$8),'Council Entry'!BD119)),IF('Council Entry'!BD$4="Exponential",EXP(IF(AND(ISNUMBER('Council Entry'!BD$8),ISNUMBER('Council Entry'!BD$9)),MAX(MIN('Council Entry'!BD119,'Council Entry'!BD$9),'Council Entry'!BD$8),'Council Entry'!BD119)),IF(AND(ISNUMBER('Council Entry'!BD$8),ISNUMBER('Council Entry'!BD$9)),MAX(MIN('Council Entry'!BD119,'Council Entry'!BD$9),'Council Entry'!BD$8),'Council Entry'!BD119))))-'Council Entry'!BD$5)/('Council Entry'!BD$6-'Council Entry'!BD$5),10*((IF('Council Entry'!BD$4="Logarithm",LN(0.001+IF(AND(ISNUMBER('Council Entry'!BD$8),ISNUMBER('Council Entry'!BD$9)),MAX(MIN('Council Entry'!BD119,'Council Entry'!BD$9),'Council Entry'!BD$8),'Council Entry'!BD119)),IF('Council Entry'!BD$4="Exponential",EXP(IF(AND(ISNUMBER('Council Entry'!BD$8),ISNUMBER('Council Entry'!BD$9)),MAX(MIN('Council Entry'!BD119,'Council Entry'!BD$9),'Council Entry'!BD$8),'Council Entry'!BD119)),IF(AND(ISNUMBER('Council Entry'!BD$8),ISNUMBER('Council Entry'!BD$9)),MAX(MIN('Council Entry'!BD119,'Council Entry'!BD$9),'Council Entry'!BD$8),'Council Entry'!BD119))))-'Council Entry'!BD$5)/('Council Entry'!BD$6-'Council Entry'!BD$5)),1))),"No data"))</f>
        <v/>
      </c>
    </row>
    <row r="120">
      <c r="A120" t="inlineStr">
        <is>
          <t>Mtwara</t>
        </is>
      </c>
      <c r="B120" t="inlineStr">
        <is>
          <t>Masasi Town</t>
        </is>
      </c>
      <c r="C120" t="inlineStr">
        <is>
          <t>C069</t>
        </is>
      </c>
      <c r="D120" s="13">
        <f>IF('Council Entry'!D120="","",IFERROR(MAX(0,MIN(10,ROUND(IF('Council Entry'!D$7="Decrease Risk",10-10*((IF('Council Entry'!D$4="Logarithm",LN(0.001+IF(AND(ISNUMBER('Council Entry'!D$8),ISNUMBER('Council Entry'!D$9)),MAX(MIN('Council Entry'!D120,'Council Entry'!D$9),'Council Entry'!D$8),'Council Entry'!D120)),IF('Council Entry'!D$4="Exponential",EXP(IF(AND(ISNUMBER('Council Entry'!D$8),ISNUMBER('Council Entry'!D$9)),MAX(MIN('Council Entry'!D120,'Council Entry'!D$9),'Council Entry'!D$8),'Council Entry'!D120)),IF(AND(ISNUMBER('Council Entry'!D$8),ISNUMBER('Council Entry'!D$9)),MAX(MIN('Council Entry'!D120,'Council Entry'!D$9),'Council Entry'!D$8),'Council Entry'!D120))))-'Council Entry'!D$5)/('Council Entry'!D$6-'Council Entry'!D$5),10*((IF('Council Entry'!D$4="Logarithm",LN(0.001+IF(AND(ISNUMBER('Council Entry'!D$8),ISNUMBER('Council Entry'!D$9)),MAX(MIN('Council Entry'!D120,'Council Entry'!D$9),'Council Entry'!D$8),'Council Entry'!D120)),IF('Council Entry'!D$4="Exponential",EXP(IF(AND(ISNUMBER('Council Entry'!D$8),ISNUMBER('Council Entry'!D$9)),MAX(MIN('Council Entry'!D120,'Council Entry'!D$9),'Council Entry'!D$8),'Council Entry'!D120)),IF(AND(ISNUMBER('Council Entry'!D$8),ISNUMBER('Council Entry'!D$9)),MAX(MIN('Council Entry'!D120,'Council Entry'!D$9),'Council Entry'!D$8),'Council Entry'!D120))))-'Council Entry'!D$5)/('Council Entry'!D$6-'Council Entry'!D$5)),1))),"No data"))</f>
        <v/>
      </c>
      <c r="E120" s="13">
        <f>IF('Council Entry'!E120="","",IFERROR(MAX(0,MIN(10,ROUND(IF('Council Entry'!E$7="Decrease Risk",10-10*((IF('Council Entry'!E$4="Logarithm",LN(0.001+IF(AND(ISNUMBER('Council Entry'!E$8),ISNUMBER('Council Entry'!E$9)),MAX(MIN('Council Entry'!E120,'Council Entry'!E$9),'Council Entry'!E$8),'Council Entry'!E120)),IF('Council Entry'!E$4="Exponential",EXP(IF(AND(ISNUMBER('Council Entry'!E$8),ISNUMBER('Council Entry'!E$9)),MAX(MIN('Council Entry'!E120,'Council Entry'!E$9),'Council Entry'!E$8),'Council Entry'!E120)),IF(AND(ISNUMBER('Council Entry'!E$8),ISNUMBER('Council Entry'!E$9)),MAX(MIN('Council Entry'!E120,'Council Entry'!E$9),'Council Entry'!E$8),'Council Entry'!E120))))-'Council Entry'!E$5)/('Council Entry'!E$6-'Council Entry'!E$5),10*((IF('Council Entry'!E$4="Logarithm",LN(0.001+IF(AND(ISNUMBER('Council Entry'!E$8),ISNUMBER('Council Entry'!E$9)),MAX(MIN('Council Entry'!E120,'Council Entry'!E$9),'Council Entry'!E$8),'Council Entry'!E120)),IF('Council Entry'!E$4="Exponential",EXP(IF(AND(ISNUMBER('Council Entry'!E$8),ISNUMBER('Council Entry'!E$9)),MAX(MIN('Council Entry'!E120,'Council Entry'!E$9),'Council Entry'!E$8),'Council Entry'!E120)),IF(AND(ISNUMBER('Council Entry'!E$8),ISNUMBER('Council Entry'!E$9)),MAX(MIN('Council Entry'!E120,'Council Entry'!E$9),'Council Entry'!E$8),'Council Entry'!E120))))-'Council Entry'!E$5)/('Council Entry'!E$6-'Council Entry'!E$5)),1))),"No data"))</f>
        <v/>
      </c>
      <c r="F120" s="13">
        <f>IF('Council Entry'!F120="","",IFERROR(MAX(0,MIN(10,ROUND(IF('Council Entry'!F$7="Decrease Risk",10-10*((IF('Council Entry'!F$4="Logarithm",LN(0.001+IF(AND(ISNUMBER('Council Entry'!F$8),ISNUMBER('Council Entry'!F$9)),MAX(MIN('Council Entry'!F120,'Council Entry'!F$9),'Council Entry'!F$8),'Council Entry'!F120)),IF('Council Entry'!F$4="Exponential",EXP(IF(AND(ISNUMBER('Council Entry'!F$8),ISNUMBER('Council Entry'!F$9)),MAX(MIN('Council Entry'!F120,'Council Entry'!F$9),'Council Entry'!F$8),'Council Entry'!F120)),IF(AND(ISNUMBER('Council Entry'!F$8),ISNUMBER('Council Entry'!F$9)),MAX(MIN('Council Entry'!F120,'Council Entry'!F$9),'Council Entry'!F$8),'Council Entry'!F120))))-'Council Entry'!F$5)/('Council Entry'!F$6-'Council Entry'!F$5),10*((IF('Council Entry'!F$4="Logarithm",LN(0.001+IF(AND(ISNUMBER('Council Entry'!F$8),ISNUMBER('Council Entry'!F$9)),MAX(MIN('Council Entry'!F120,'Council Entry'!F$9),'Council Entry'!F$8),'Council Entry'!F120)),IF('Council Entry'!F$4="Exponential",EXP(IF(AND(ISNUMBER('Council Entry'!F$8),ISNUMBER('Council Entry'!F$9)),MAX(MIN('Council Entry'!F120,'Council Entry'!F$9),'Council Entry'!F$8),'Council Entry'!F120)),IF(AND(ISNUMBER('Council Entry'!F$8),ISNUMBER('Council Entry'!F$9)),MAX(MIN('Council Entry'!F120,'Council Entry'!F$9),'Council Entry'!F$8),'Council Entry'!F120))))-'Council Entry'!F$5)/('Council Entry'!F$6-'Council Entry'!F$5)),1))),"No data"))</f>
        <v/>
      </c>
      <c r="G120" s="13">
        <f>IF('Council Entry'!G120="","",IFERROR(MAX(0,MIN(10,ROUND(IF('Council Entry'!G$7="Decrease Risk",10-10*((IF('Council Entry'!G$4="Logarithm",LN(0.001+IF(AND(ISNUMBER('Council Entry'!G$8),ISNUMBER('Council Entry'!G$9)),MAX(MIN('Council Entry'!G120,'Council Entry'!G$9),'Council Entry'!G$8),'Council Entry'!G120)),IF('Council Entry'!G$4="Exponential",EXP(IF(AND(ISNUMBER('Council Entry'!G$8),ISNUMBER('Council Entry'!G$9)),MAX(MIN('Council Entry'!G120,'Council Entry'!G$9),'Council Entry'!G$8),'Council Entry'!G120)),IF(AND(ISNUMBER('Council Entry'!G$8),ISNUMBER('Council Entry'!G$9)),MAX(MIN('Council Entry'!G120,'Council Entry'!G$9),'Council Entry'!G$8),'Council Entry'!G120))))-'Council Entry'!G$5)/('Council Entry'!G$6-'Council Entry'!G$5),10*((IF('Council Entry'!G$4="Logarithm",LN(0.001+IF(AND(ISNUMBER('Council Entry'!G$8),ISNUMBER('Council Entry'!G$9)),MAX(MIN('Council Entry'!G120,'Council Entry'!G$9),'Council Entry'!G$8),'Council Entry'!G120)),IF('Council Entry'!G$4="Exponential",EXP(IF(AND(ISNUMBER('Council Entry'!G$8),ISNUMBER('Council Entry'!G$9)),MAX(MIN('Council Entry'!G120,'Council Entry'!G$9),'Council Entry'!G$8),'Council Entry'!G120)),IF(AND(ISNUMBER('Council Entry'!G$8),ISNUMBER('Council Entry'!G$9)),MAX(MIN('Council Entry'!G120,'Council Entry'!G$9),'Council Entry'!G$8),'Council Entry'!G120))))-'Council Entry'!G$5)/('Council Entry'!G$6-'Council Entry'!G$5)),1))),"No data"))</f>
        <v/>
      </c>
      <c r="H120" s="13">
        <f>IF('Council Entry'!H120="","",IFERROR(MAX(0,MIN(10,ROUND(IF('Council Entry'!H$7="Decrease Risk",10-10*((IF('Council Entry'!H$4="Logarithm",LN(0.001+IF(AND(ISNUMBER('Council Entry'!H$8),ISNUMBER('Council Entry'!H$9)),MAX(MIN('Council Entry'!H120,'Council Entry'!H$9),'Council Entry'!H$8),'Council Entry'!H120)),IF('Council Entry'!H$4="Exponential",EXP(IF(AND(ISNUMBER('Council Entry'!H$8),ISNUMBER('Council Entry'!H$9)),MAX(MIN('Council Entry'!H120,'Council Entry'!H$9),'Council Entry'!H$8),'Council Entry'!H120)),IF(AND(ISNUMBER('Council Entry'!H$8),ISNUMBER('Council Entry'!H$9)),MAX(MIN('Council Entry'!H120,'Council Entry'!H$9),'Council Entry'!H$8),'Council Entry'!H120))))-'Council Entry'!H$5)/('Council Entry'!H$6-'Council Entry'!H$5),10*((IF('Council Entry'!H$4="Logarithm",LN(0.001+IF(AND(ISNUMBER('Council Entry'!H$8),ISNUMBER('Council Entry'!H$9)),MAX(MIN('Council Entry'!H120,'Council Entry'!H$9),'Council Entry'!H$8),'Council Entry'!H120)),IF('Council Entry'!H$4="Exponential",EXP(IF(AND(ISNUMBER('Council Entry'!H$8),ISNUMBER('Council Entry'!H$9)),MAX(MIN('Council Entry'!H120,'Council Entry'!H$9),'Council Entry'!H$8),'Council Entry'!H120)),IF(AND(ISNUMBER('Council Entry'!H$8),ISNUMBER('Council Entry'!H$9)),MAX(MIN('Council Entry'!H120,'Council Entry'!H$9),'Council Entry'!H$8),'Council Entry'!H120))))-'Council Entry'!H$5)/('Council Entry'!H$6-'Council Entry'!H$5)),1))),"No data"))</f>
        <v/>
      </c>
      <c r="I120" s="13">
        <f>IF('Council Entry'!I120="","",IFERROR(MAX(0,MIN(10,ROUND(IF('Council Entry'!I$7="Decrease Risk",10-10*((IF('Council Entry'!I$4="Logarithm",LN(0.001+IF(AND(ISNUMBER('Council Entry'!I$8),ISNUMBER('Council Entry'!I$9)),MAX(MIN('Council Entry'!I120,'Council Entry'!I$9),'Council Entry'!I$8),'Council Entry'!I120)),IF('Council Entry'!I$4="Exponential",EXP(IF(AND(ISNUMBER('Council Entry'!I$8),ISNUMBER('Council Entry'!I$9)),MAX(MIN('Council Entry'!I120,'Council Entry'!I$9),'Council Entry'!I$8),'Council Entry'!I120)),IF(AND(ISNUMBER('Council Entry'!I$8),ISNUMBER('Council Entry'!I$9)),MAX(MIN('Council Entry'!I120,'Council Entry'!I$9),'Council Entry'!I$8),'Council Entry'!I120))))-'Council Entry'!I$5)/('Council Entry'!I$6-'Council Entry'!I$5),10*((IF('Council Entry'!I$4="Logarithm",LN(0.001+IF(AND(ISNUMBER('Council Entry'!I$8),ISNUMBER('Council Entry'!I$9)),MAX(MIN('Council Entry'!I120,'Council Entry'!I$9),'Council Entry'!I$8),'Council Entry'!I120)),IF('Council Entry'!I$4="Exponential",EXP(IF(AND(ISNUMBER('Council Entry'!I$8),ISNUMBER('Council Entry'!I$9)),MAX(MIN('Council Entry'!I120,'Council Entry'!I$9),'Council Entry'!I$8),'Council Entry'!I120)),IF(AND(ISNUMBER('Council Entry'!I$8),ISNUMBER('Council Entry'!I$9)),MAX(MIN('Council Entry'!I120,'Council Entry'!I$9),'Council Entry'!I$8),'Council Entry'!I120))))-'Council Entry'!I$5)/('Council Entry'!I$6-'Council Entry'!I$5)),1))),"No data"))</f>
        <v/>
      </c>
      <c r="J120" s="13">
        <f>IF('Council Entry'!J120="","",IFERROR(MAX(0,MIN(10,ROUND(IF('Council Entry'!J$7="Decrease Risk",10-10*((IF('Council Entry'!J$4="Logarithm",LN(0.001+IF(AND(ISNUMBER('Council Entry'!J$8),ISNUMBER('Council Entry'!J$9)),MAX(MIN('Council Entry'!J120,'Council Entry'!J$9),'Council Entry'!J$8),'Council Entry'!J120)),IF('Council Entry'!J$4="Exponential",EXP(IF(AND(ISNUMBER('Council Entry'!J$8),ISNUMBER('Council Entry'!J$9)),MAX(MIN('Council Entry'!J120,'Council Entry'!J$9),'Council Entry'!J$8),'Council Entry'!J120)),IF(AND(ISNUMBER('Council Entry'!J$8),ISNUMBER('Council Entry'!J$9)),MAX(MIN('Council Entry'!J120,'Council Entry'!J$9),'Council Entry'!J$8),'Council Entry'!J120))))-'Council Entry'!J$5)/('Council Entry'!J$6-'Council Entry'!J$5),10*((IF('Council Entry'!J$4="Logarithm",LN(0.001+IF(AND(ISNUMBER('Council Entry'!J$8),ISNUMBER('Council Entry'!J$9)),MAX(MIN('Council Entry'!J120,'Council Entry'!J$9),'Council Entry'!J$8),'Council Entry'!J120)),IF('Council Entry'!J$4="Exponential",EXP(IF(AND(ISNUMBER('Council Entry'!J$8),ISNUMBER('Council Entry'!J$9)),MAX(MIN('Council Entry'!J120,'Council Entry'!J$9),'Council Entry'!J$8),'Council Entry'!J120)),IF(AND(ISNUMBER('Council Entry'!J$8),ISNUMBER('Council Entry'!J$9)),MAX(MIN('Council Entry'!J120,'Council Entry'!J$9),'Council Entry'!J$8),'Council Entry'!J120))))-'Council Entry'!J$5)/('Council Entry'!J$6-'Council Entry'!J$5)),1))),"No data"))</f>
        <v/>
      </c>
      <c r="K120" s="13">
        <f>IF('Council Entry'!K120="","",IFERROR(MAX(0,MIN(10,ROUND(IF('Council Entry'!K$7="Decrease Risk",10-10*((IF('Council Entry'!K$4="Logarithm",LN(0.001+IF(AND(ISNUMBER('Council Entry'!K$8),ISNUMBER('Council Entry'!K$9)),MAX(MIN('Council Entry'!K120,'Council Entry'!K$9),'Council Entry'!K$8),'Council Entry'!K120)),IF('Council Entry'!K$4="Exponential",EXP(IF(AND(ISNUMBER('Council Entry'!K$8),ISNUMBER('Council Entry'!K$9)),MAX(MIN('Council Entry'!K120,'Council Entry'!K$9),'Council Entry'!K$8),'Council Entry'!K120)),IF(AND(ISNUMBER('Council Entry'!K$8),ISNUMBER('Council Entry'!K$9)),MAX(MIN('Council Entry'!K120,'Council Entry'!K$9),'Council Entry'!K$8),'Council Entry'!K120))))-'Council Entry'!K$5)/('Council Entry'!K$6-'Council Entry'!K$5),10*((IF('Council Entry'!K$4="Logarithm",LN(0.001+IF(AND(ISNUMBER('Council Entry'!K$8),ISNUMBER('Council Entry'!K$9)),MAX(MIN('Council Entry'!K120,'Council Entry'!K$9),'Council Entry'!K$8),'Council Entry'!K120)),IF('Council Entry'!K$4="Exponential",EXP(IF(AND(ISNUMBER('Council Entry'!K$8),ISNUMBER('Council Entry'!K$9)),MAX(MIN('Council Entry'!K120,'Council Entry'!K$9),'Council Entry'!K$8),'Council Entry'!K120)),IF(AND(ISNUMBER('Council Entry'!K$8),ISNUMBER('Council Entry'!K$9)),MAX(MIN('Council Entry'!K120,'Council Entry'!K$9),'Council Entry'!K$8),'Council Entry'!K120))))-'Council Entry'!K$5)/('Council Entry'!K$6-'Council Entry'!K$5)),1))),"No data"))</f>
        <v/>
      </c>
      <c r="L120" s="13">
        <f>IF('Council Entry'!L120="","",IFERROR(MAX(0,MIN(10,ROUND(IF('Council Entry'!L$7="Decrease Risk",10-10*((IF('Council Entry'!L$4="Logarithm",LN(0.001+IF(AND(ISNUMBER('Council Entry'!L$8),ISNUMBER('Council Entry'!L$9)),MAX(MIN('Council Entry'!L120,'Council Entry'!L$9),'Council Entry'!L$8),'Council Entry'!L120)),IF('Council Entry'!L$4="Exponential",EXP(IF(AND(ISNUMBER('Council Entry'!L$8),ISNUMBER('Council Entry'!L$9)),MAX(MIN('Council Entry'!L120,'Council Entry'!L$9),'Council Entry'!L$8),'Council Entry'!L120)),IF(AND(ISNUMBER('Council Entry'!L$8),ISNUMBER('Council Entry'!L$9)),MAX(MIN('Council Entry'!L120,'Council Entry'!L$9),'Council Entry'!L$8),'Council Entry'!L120))))-'Council Entry'!L$5)/('Council Entry'!L$6-'Council Entry'!L$5),10*((IF('Council Entry'!L$4="Logarithm",LN(0.001+IF(AND(ISNUMBER('Council Entry'!L$8),ISNUMBER('Council Entry'!L$9)),MAX(MIN('Council Entry'!L120,'Council Entry'!L$9),'Council Entry'!L$8),'Council Entry'!L120)),IF('Council Entry'!L$4="Exponential",EXP(IF(AND(ISNUMBER('Council Entry'!L$8),ISNUMBER('Council Entry'!L$9)),MAX(MIN('Council Entry'!L120,'Council Entry'!L$9),'Council Entry'!L$8),'Council Entry'!L120)),IF(AND(ISNUMBER('Council Entry'!L$8),ISNUMBER('Council Entry'!L$9)),MAX(MIN('Council Entry'!L120,'Council Entry'!L$9),'Council Entry'!L$8),'Council Entry'!L120))))-'Council Entry'!L$5)/('Council Entry'!L$6-'Council Entry'!L$5)),1))),"No data"))</f>
        <v/>
      </c>
      <c r="M120" s="13">
        <f>IF('Council Entry'!M120="","",IFERROR(MAX(0,MIN(10,ROUND(IF('Council Entry'!M$7="Decrease Risk",10-10*((IF('Council Entry'!M$4="Logarithm",LN(0.001+IF(AND(ISNUMBER('Council Entry'!M$8),ISNUMBER('Council Entry'!M$9)),MAX(MIN('Council Entry'!M120,'Council Entry'!M$9),'Council Entry'!M$8),'Council Entry'!M120)),IF('Council Entry'!M$4="Exponential",EXP(IF(AND(ISNUMBER('Council Entry'!M$8),ISNUMBER('Council Entry'!M$9)),MAX(MIN('Council Entry'!M120,'Council Entry'!M$9),'Council Entry'!M$8),'Council Entry'!M120)),IF(AND(ISNUMBER('Council Entry'!M$8),ISNUMBER('Council Entry'!M$9)),MAX(MIN('Council Entry'!M120,'Council Entry'!M$9),'Council Entry'!M$8),'Council Entry'!M120))))-'Council Entry'!M$5)/('Council Entry'!M$6-'Council Entry'!M$5),10*((IF('Council Entry'!M$4="Logarithm",LN(0.001+IF(AND(ISNUMBER('Council Entry'!M$8),ISNUMBER('Council Entry'!M$9)),MAX(MIN('Council Entry'!M120,'Council Entry'!M$9),'Council Entry'!M$8),'Council Entry'!M120)),IF('Council Entry'!M$4="Exponential",EXP(IF(AND(ISNUMBER('Council Entry'!M$8),ISNUMBER('Council Entry'!M$9)),MAX(MIN('Council Entry'!M120,'Council Entry'!M$9),'Council Entry'!M$8),'Council Entry'!M120)),IF(AND(ISNUMBER('Council Entry'!M$8),ISNUMBER('Council Entry'!M$9)),MAX(MIN('Council Entry'!M120,'Council Entry'!M$9),'Council Entry'!M$8),'Council Entry'!M120))))-'Council Entry'!M$5)/('Council Entry'!M$6-'Council Entry'!M$5)),1))),"No data"))</f>
        <v/>
      </c>
      <c r="N120" s="13">
        <f>IF('Council Entry'!N120="","",IFERROR(MAX(0,MIN(10,ROUND(IF('Council Entry'!N$7="Decrease Risk",10-10*((IF('Council Entry'!N$4="Logarithm",LN(0.001+IF(AND(ISNUMBER('Council Entry'!N$8),ISNUMBER('Council Entry'!N$9)),MAX(MIN('Council Entry'!N120,'Council Entry'!N$9),'Council Entry'!N$8),'Council Entry'!N120)),IF('Council Entry'!N$4="Exponential",EXP(IF(AND(ISNUMBER('Council Entry'!N$8),ISNUMBER('Council Entry'!N$9)),MAX(MIN('Council Entry'!N120,'Council Entry'!N$9),'Council Entry'!N$8),'Council Entry'!N120)),IF(AND(ISNUMBER('Council Entry'!N$8),ISNUMBER('Council Entry'!N$9)),MAX(MIN('Council Entry'!N120,'Council Entry'!N$9),'Council Entry'!N$8),'Council Entry'!N120))))-'Council Entry'!N$5)/('Council Entry'!N$6-'Council Entry'!N$5),10*((IF('Council Entry'!N$4="Logarithm",LN(0.001+IF(AND(ISNUMBER('Council Entry'!N$8),ISNUMBER('Council Entry'!N$9)),MAX(MIN('Council Entry'!N120,'Council Entry'!N$9),'Council Entry'!N$8),'Council Entry'!N120)),IF('Council Entry'!N$4="Exponential",EXP(IF(AND(ISNUMBER('Council Entry'!N$8),ISNUMBER('Council Entry'!N$9)),MAX(MIN('Council Entry'!N120,'Council Entry'!N$9),'Council Entry'!N$8),'Council Entry'!N120)),IF(AND(ISNUMBER('Council Entry'!N$8),ISNUMBER('Council Entry'!N$9)),MAX(MIN('Council Entry'!N120,'Council Entry'!N$9),'Council Entry'!N$8),'Council Entry'!N120))))-'Council Entry'!N$5)/('Council Entry'!N$6-'Council Entry'!N$5)),1))),"No data"))</f>
        <v/>
      </c>
      <c r="O120" s="13">
        <f>IF('Council Entry'!O120="","",IFERROR(MAX(0,MIN(10,ROUND(IF('Council Entry'!O$7="Decrease Risk",10-10*((IF('Council Entry'!O$4="Logarithm",LN(0.001+IF(AND(ISNUMBER('Council Entry'!O$8),ISNUMBER('Council Entry'!O$9)),MAX(MIN('Council Entry'!O120,'Council Entry'!O$9),'Council Entry'!O$8),'Council Entry'!O120)),IF('Council Entry'!O$4="Exponential",EXP(IF(AND(ISNUMBER('Council Entry'!O$8),ISNUMBER('Council Entry'!O$9)),MAX(MIN('Council Entry'!O120,'Council Entry'!O$9),'Council Entry'!O$8),'Council Entry'!O120)),IF(AND(ISNUMBER('Council Entry'!O$8),ISNUMBER('Council Entry'!O$9)),MAX(MIN('Council Entry'!O120,'Council Entry'!O$9),'Council Entry'!O$8),'Council Entry'!O120))))-'Council Entry'!O$5)/('Council Entry'!O$6-'Council Entry'!O$5),10*((IF('Council Entry'!O$4="Logarithm",LN(0.001+IF(AND(ISNUMBER('Council Entry'!O$8),ISNUMBER('Council Entry'!O$9)),MAX(MIN('Council Entry'!O120,'Council Entry'!O$9),'Council Entry'!O$8),'Council Entry'!O120)),IF('Council Entry'!O$4="Exponential",EXP(IF(AND(ISNUMBER('Council Entry'!O$8),ISNUMBER('Council Entry'!O$9)),MAX(MIN('Council Entry'!O120,'Council Entry'!O$9),'Council Entry'!O$8),'Council Entry'!O120)),IF(AND(ISNUMBER('Council Entry'!O$8),ISNUMBER('Council Entry'!O$9)),MAX(MIN('Council Entry'!O120,'Council Entry'!O$9),'Council Entry'!O$8),'Council Entry'!O120))))-'Council Entry'!O$5)/('Council Entry'!O$6-'Council Entry'!O$5)),1))),"No data"))</f>
        <v/>
      </c>
      <c r="P120" s="13">
        <f>IF('Council Entry'!P120="","",IFERROR(MAX(0,MIN(10,ROUND(IF('Council Entry'!P$7="Decrease Risk",10-10*((IF('Council Entry'!P$4="Logarithm",LN(0.001+IF(AND(ISNUMBER('Council Entry'!P$8),ISNUMBER('Council Entry'!P$9)),MAX(MIN('Council Entry'!P120,'Council Entry'!P$9),'Council Entry'!P$8),'Council Entry'!P120)),IF('Council Entry'!P$4="Exponential",EXP(IF(AND(ISNUMBER('Council Entry'!P$8),ISNUMBER('Council Entry'!P$9)),MAX(MIN('Council Entry'!P120,'Council Entry'!P$9),'Council Entry'!P$8),'Council Entry'!P120)),IF(AND(ISNUMBER('Council Entry'!P$8),ISNUMBER('Council Entry'!P$9)),MAX(MIN('Council Entry'!P120,'Council Entry'!P$9),'Council Entry'!P$8),'Council Entry'!P120))))-'Council Entry'!P$5)/('Council Entry'!P$6-'Council Entry'!P$5),10*((IF('Council Entry'!P$4="Logarithm",LN(0.001+IF(AND(ISNUMBER('Council Entry'!P$8),ISNUMBER('Council Entry'!P$9)),MAX(MIN('Council Entry'!P120,'Council Entry'!P$9),'Council Entry'!P$8),'Council Entry'!P120)),IF('Council Entry'!P$4="Exponential",EXP(IF(AND(ISNUMBER('Council Entry'!P$8),ISNUMBER('Council Entry'!P$9)),MAX(MIN('Council Entry'!P120,'Council Entry'!P$9),'Council Entry'!P$8),'Council Entry'!P120)),IF(AND(ISNUMBER('Council Entry'!P$8),ISNUMBER('Council Entry'!P$9)),MAX(MIN('Council Entry'!P120,'Council Entry'!P$9),'Council Entry'!P$8),'Council Entry'!P120))))-'Council Entry'!P$5)/('Council Entry'!P$6-'Council Entry'!P$5)),1))),"No data"))</f>
        <v/>
      </c>
      <c r="Q120" s="13">
        <f>IF('Council Entry'!Q120="","",IFERROR(MAX(0,MIN(10,ROUND(IF('Council Entry'!Q$7="Decrease Risk",10-10*((IF('Council Entry'!Q$4="Logarithm",LN(0.001+IF(AND(ISNUMBER('Council Entry'!Q$8),ISNUMBER('Council Entry'!Q$9)),MAX(MIN('Council Entry'!Q120,'Council Entry'!Q$9),'Council Entry'!Q$8),'Council Entry'!Q120)),IF('Council Entry'!Q$4="Exponential",EXP(IF(AND(ISNUMBER('Council Entry'!Q$8),ISNUMBER('Council Entry'!Q$9)),MAX(MIN('Council Entry'!Q120,'Council Entry'!Q$9),'Council Entry'!Q$8),'Council Entry'!Q120)),IF(AND(ISNUMBER('Council Entry'!Q$8),ISNUMBER('Council Entry'!Q$9)),MAX(MIN('Council Entry'!Q120,'Council Entry'!Q$9),'Council Entry'!Q$8),'Council Entry'!Q120))))-'Council Entry'!Q$5)/('Council Entry'!Q$6-'Council Entry'!Q$5),10*((IF('Council Entry'!Q$4="Logarithm",LN(0.001+IF(AND(ISNUMBER('Council Entry'!Q$8),ISNUMBER('Council Entry'!Q$9)),MAX(MIN('Council Entry'!Q120,'Council Entry'!Q$9),'Council Entry'!Q$8),'Council Entry'!Q120)),IF('Council Entry'!Q$4="Exponential",EXP(IF(AND(ISNUMBER('Council Entry'!Q$8),ISNUMBER('Council Entry'!Q$9)),MAX(MIN('Council Entry'!Q120,'Council Entry'!Q$9),'Council Entry'!Q$8),'Council Entry'!Q120)),IF(AND(ISNUMBER('Council Entry'!Q$8),ISNUMBER('Council Entry'!Q$9)),MAX(MIN('Council Entry'!Q120,'Council Entry'!Q$9),'Council Entry'!Q$8),'Council Entry'!Q120))))-'Council Entry'!Q$5)/('Council Entry'!Q$6-'Council Entry'!Q$5)),1))),"No data"))</f>
        <v/>
      </c>
      <c r="R120" s="13">
        <f>IF('Council Entry'!R120="","",IFERROR(MAX(0,MIN(10,ROUND(IF('Council Entry'!R$7="Decrease Risk",10-10*((IF('Council Entry'!R$4="Logarithm",LN(0.001+IF(AND(ISNUMBER('Council Entry'!R$8),ISNUMBER('Council Entry'!R$9)),MAX(MIN('Council Entry'!R120,'Council Entry'!R$9),'Council Entry'!R$8),'Council Entry'!R120)),IF('Council Entry'!R$4="Exponential",EXP(IF(AND(ISNUMBER('Council Entry'!R$8),ISNUMBER('Council Entry'!R$9)),MAX(MIN('Council Entry'!R120,'Council Entry'!R$9),'Council Entry'!R$8),'Council Entry'!R120)),IF(AND(ISNUMBER('Council Entry'!R$8),ISNUMBER('Council Entry'!R$9)),MAX(MIN('Council Entry'!R120,'Council Entry'!R$9),'Council Entry'!R$8),'Council Entry'!R120))))-'Council Entry'!R$5)/('Council Entry'!R$6-'Council Entry'!R$5),10*((IF('Council Entry'!R$4="Logarithm",LN(0.001+IF(AND(ISNUMBER('Council Entry'!R$8),ISNUMBER('Council Entry'!R$9)),MAX(MIN('Council Entry'!R120,'Council Entry'!R$9),'Council Entry'!R$8),'Council Entry'!R120)),IF('Council Entry'!R$4="Exponential",EXP(IF(AND(ISNUMBER('Council Entry'!R$8),ISNUMBER('Council Entry'!R$9)),MAX(MIN('Council Entry'!R120,'Council Entry'!R$9),'Council Entry'!R$8),'Council Entry'!R120)),IF(AND(ISNUMBER('Council Entry'!R$8),ISNUMBER('Council Entry'!R$9)),MAX(MIN('Council Entry'!R120,'Council Entry'!R$9),'Council Entry'!R$8),'Council Entry'!R120))))-'Council Entry'!R$5)/('Council Entry'!R$6-'Council Entry'!R$5)),1))),"No data"))</f>
        <v/>
      </c>
      <c r="S120" s="13">
        <f>IF('Council Entry'!S120="","",IFERROR(MAX(0,MIN(10,ROUND(IF('Council Entry'!S$7="Decrease Risk",10-10*((IF('Council Entry'!S$4="Logarithm",LN(0.001+IF(AND(ISNUMBER('Council Entry'!S$8),ISNUMBER('Council Entry'!S$9)),MAX(MIN('Council Entry'!S120,'Council Entry'!S$9),'Council Entry'!S$8),'Council Entry'!S120)),IF('Council Entry'!S$4="Exponential",EXP(IF(AND(ISNUMBER('Council Entry'!S$8),ISNUMBER('Council Entry'!S$9)),MAX(MIN('Council Entry'!S120,'Council Entry'!S$9),'Council Entry'!S$8),'Council Entry'!S120)),IF(AND(ISNUMBER('Council Entry'!S$8),ISNUMBER('Council Entry'!S$9)),MAX(MIN('Council Entry'!S120,'Council Entry'!S$9),'Council Entry'!S$8),'Council Entry'!S120))))-'Council Entry'!S$5)/('Council Entry'!S$6-'Council Entry'!S$5),10*((IF('Council Entry'!S$4="Logarithm",LN(0.001+IF(AND(ISNUMBER('Council Entry'!S$8),ISNUMBER('Council Entry'!S$9)),MAX(MIN('Council Entry'!S120,'Council Entry'!S$9),'Council Entry'!S$8),'Council Entry'!S120)),IF('Council Entry'!S$4="Exponential",EXP(IF(AND(ISNUMBER('Council Entry'!S$8),ISNUMBER('Council Entry'!S$9)),MAX(MIN('Council Entry'!S120,'Council Entry'!S$9),'Council Entry'!S$8),'Council Entry'!S120)),IF(AND(ISNUMBER('Council Entry'!S$8),ISNUMBER('Council Entry'!S$9)),MAX(MIN('Council Entry'!S120,'Council Entry'!S$9),'Council Entry'!S$8),'Council Entry'!S120))))-'Council Entry'!S$5)/('Council Entry'!S$6-'Council Entry'!S$5)),1))),"No data"))</f>
        <v/>
      </c>
      <c r="T120" s="13">
        <f>IF('Council Entry'!T120="","",IFERROR(MAX(0,MIN(10,ROUND(IF('Council Entry'!T$7="Decrease Risk",10-10*((IF('Council Entry'!T$4="Logarithm",LN(0.001+IF(AND(ISNUMBER('Council Entry'!T$8),ISNUMBER('Council Entry'!T$9)),MAX(MIN('Council Entry'!T120,'Council Entry'!T$9),'Council Entry'!T$8),'Council Entry'!T120)),IF('Council Entry'!T$4="Exponential",EXP(IF(AND(ISNUMBER('Council Entry'!T$8),ISNUMBER('Council Entry'!T$9)),MAX(MIN('Council Entry'!T120,'Council Entry'!T$9),'Council Entry'!T$8),'Council Entry'!T120)),IF(AND(ISNUMBER('Council Entry'!T$8),ISNUMBER('Council Entry'!T$9)),MAX(MIN('Council Entry'!T120,'Council Entry'!T$9),'Council Entry'!T$8),'Council Entry'!T120))))-'Council Entry'!T$5)/('Council Entry'!T$6-'Council Entry'!T$5),10*((IF('Council Entry'!T$4="Logarithm",LN(0.001+IF(AND(ISNUMBER('Council Entry'!T$8),ISNUMBER('Council Entry'!T$9)),MAX(MIN('Council Entry'!T120,'Council Entry'!T$9),'Council Entry'!T$8),'Council Entry'!T120)),IF('Council Entry'!T$4="Exponential",EXP(IF(AND(ISNUMBER('Council Entry'!T$8),ISNUMBER('Council Entry'!T$9)),MAX(MIN('Council Entry'!T120,'Council Entry'!T$9),'Council Entry'!T$8),'Council Entry'!T120)),IF(AND(ISNUMBER('Council Entry'!T$8),ISNUMBER('Council Entry'!T$9)),MAX(MIN('Council Entry'!T120,'Council Entry'!T$9),'Council Entry'!T$8),'Council Entry'!T120))))-'Council Entry'!T$5)/('Council Entry'!T$6-'Council Entry'!T$5)),1))),"No data"))</f>
        <v/>
      </c>
      <c r="U120" s="13">
        <f>IF('Council Entry'!U120="","",IFERROR(MAX(0,MIN(10,ROUND(IF('Council Entry'!U$7="Decrease Risk",10-10*((IF('Council Entry'!U$4="Logarithm",LN(0.001+IF(AND(ISNUMBER('Council Entry'!U$8),ISNUMBER('Council Entry'!U$9)),MAX(MIN('Council Entry'!U120,'Council Entry'!U$9),'Council Entry'!U$8),'Council Entry'!U120)),IF('Council Entry'!U$4="Exponential",EXP(IF(AND(ISNUMBER('Council Entry'!U$8),ISNUMBER('Council Entry'!U$9)),MAX(MIN('Council Entry'!U120,'Council Entry'!U$9),'Council Entry'!U$8),'Council Entry'!U120)),IF(AND(ISNUMBER('Council Entry'!U$8),ISNUMBER('Council Entry'!U$9)),MAX(MIN('Council Entry'!U120,'Council Entry'!U$9),'Council Entry'!U$8),'Council Entry'!U120))))-'Council Entry'!U$5)/('Council Entry'!U$6-'Council Entry'!U$5),10*((IF('Council Entry'!U$4="Logarithm",LN(0.001+IF(AND(ISNUMBER('Council Entry'!U$8),ISNUMBER('Council Entry'!U$9)),MAX(MIN('Council Entry'!U120,'Council Entry'!U$9),'Council Entry'!U$8),'Council Entry'!U120)),IF('Council Entry'!U$4="Exponential",EXP(IF(AND(ISNUMBER('Council Entry'!U$8),ISNUMBER('Council Entry'!U$9)),MAX(MIN('Council Entry'!U120,'Council Entry'!U$9),'Council Entry'!U$8),'Council Entry'!U120)),IF(AND(ISNUMBER('Council Entry'!U$8),ISNUMBER('Council Entry'!U$9)),MAX(MIN('Council Entry'!U120,'Council Entry'!U$9),'Council Entry'!U$8),'Council Entry'!U120))))-'Council Entry'!U$5)/('Council Entry'!U$6-'Council Entry'!U$5)),1))),"No data"))</f>
        <v/>
      </c>
      <c r="V120" s="13">
        <f>IF('Council Entry'!V120="","",IFERROR(MAX(0,MIN(10,ROUND(IF('Council Entry'!V$7="Decrease Risk",10-10*((IF('Council Entry'!V$4="Logarithm",LN(0.001+IF(AND(ISNUMBER('Council Entry'!V$8),ISNUMBER('Council Entry'!V$9)),MAX(MIN('Council Entry'!V120,'Council Entry'!V$9),'Council Entry'!V$8),'Council Entry'!V120)),IF('Council Entry'!V$4="Exponential",EXP(IF(AND(ISNUMBER('Council Entry'!V$8),ISNUMBER('Council Entry'!V$9)),MAX(MIN('Council Entry'!V120,'Council Entry'!V$9),'Council Entry'!V$8),'Council Entry'!V120)),IF(AND(ISNUMBER('Council Entry'!V$8),ISNUMBER('Council Entry'!V$9)),MAX(MIN('Council Entry'!V120,'Council Entry'!V$9),'Council Entry'!V$8),'Council Entry'!V120))))-'Council Entry'!V$5)/('Council Entry'!V$6-'Council Entry'!V$5),10*((IF('Council Entry'!V$4="Logarithm",LN(0.001+IF(AND(ISNUMBER('Council Entry'!V$8),ISNUMBER('Council Entry'!V$9)),MAX(MIN('Council Entry'!V120,'Council Entry'!V$9),'Council Entry'!V$8),'Council Entry'!V120)),IF('Council Entry'!V$4="Exponential",EXP(IF(AND(ISNUMBER('Council Entry'!V$8),ISNUMBER('Council Entry'!V$9)),MAX(MIN('Council Entry'!V120,'Council Entry'!V$9),'Council Entry'!V$8),'Council Entry'!V120)),IF(AND(ISNUMBER('Council Entry'!V$8),ISNUMBER('Council Entry'!V$9)),MAX(MIN('Council Entry'!V120,'Council Entry'!V$9),'Council Entry'!V$8),'Council Entry'!V120))))-'Council Entry'!V$5)/('Council Entry'!V$6-'Council Entry'!V$5)),1))),"No data"))</f>
        <v/>
      </c>
      <c r="W120" s="13">
        <f>IF('Council Entry'!W120="","",IFERROR(MAX(0,MIN(10,ROUND(IF('Council Entry'!W$7="Decrease Risk",10-10*((IF('Council Entry'!W$4="Logarithm",LN(0.001+IF(AND(ISNUMBER('Council Entry'!W$8),ISNUMBER('Council Entry'!W$9)),MAX(MIN('Council Entry'!W120,'Council Entry'!W$9),'Council Entry'!W$8),'Council Entry'!W120)),IF('Council Entry'!W$4="Exponential",EXP(IF(AND(ISNUMBER('Council Entry'!W$8),ISNUMBER('Council Entry'!W$9)),MAX(MIN('Council Entry'!W120,'Council Entry'!W$9),'Council Entry'!W$8),'Council Entry'!W120)),IF(AND(ISNUMBER('Council Entry'!W$8),ISNUMBER('Council Entry'!W$9)),MAX(MIN('Council Entry'!W120,'Council Entry'!W$9),'Council Entry'!W$8),'Council Entry'!W120))))-'Council Entry'!W$5)/('Council Entry'!W$6-'Council Entry'!W$5),10*((IF('Council Entry'!W$4="Logarithm",LN(0.001+IF(AND(ISNUMBER('Council Entry'!W$8),ISNUMBER('Council Entry'!W$9)),MAX(MIN('Council Entry'!W120,'Council Entry'!W$9),'Council Entry'!W$8),'Council Entry'!W120)),IF('Council Entry'!W$4="Exponential",EXP(IF(AND(ISNUMBER('Council Entry'!W$8),ISNUMBER('Council Entry'!W$9)),MAX(MIN('Council Entry'!W120,'Council Entry'!W$9),'Council Entry'!W$8),'Council Entry'!W120)),IF(AND(ISNUMBER('Council Entry'!W$8),ISNUMBER('Council Entry'!W$9)),MAX(MIN('Council Entry'!W120,'Council Entry'!W$9),'Council Entry'!W$8),'Council Entry'!W120))))-'Council Entry'!W$5)/('Council Entry'!W$6-'Council Entry'!W$5)),1))),"No data"))</f>
        <v/>
      </c>
      <c r="X120" s="13">
        <f>IF('Council Entry'!X120="","",IFERROR(MAX(0,MIN(10,ROUND(IF('Council Entry'!X$7="Decrease Risk",10-10*((IF('Council Entry'!X$4="Logarithm",LN(0.001+IF(AND(ISNUMBER('Council Entry'!X$8),ISNUMBER('Council Entry'!X$9)),MAX(MIN('Council Entry'!X120,'Council Entry'!X$9),'Council Entry'!X$8),'Council Entry'!X120)),IF('Council Entry'!X$4="Exponential",EXP(IF(AND(ISNUMBER('Council Entry'!X$8),ISNUMBER('Council Entry'!X$9)),MAX(MIN('Council Entry'!X120,'Council Entry'!X$9),'Council Entry'!X$8),'Council Entry'!X120)),IF(AND(ISNUMBER('Council Entry'!X$8),ISNUMBER('Council Entry'!X$9)),MAX(MIN('Council Entry'!X120,'Council Entry'!X$9),'Council Entry'!X$8),'Council Entry'!X120))))-'Council Entry'!X$5)/('Council Entry'!X$6-'Council Entry'!X$5),10*((IF('Council Entry'!X$4="Logarithm",LN(0.001+IF(AND(ISNUMBER('Council Entry'!X$8),ISNUMBER('Council Entry'!X$9)),MAX(MIN('Council Entry'!X120,'Council Entry'!X$9),'Council Entry'!X$8),'Council Entry'!X120)),IF('Council Entry'!X$4="Exponential",EXP(IF(AND(ISNUMBER('Council Entry'!X$8),ISNUMBER('Council Entry'!X$9)),MAX(MIN('Council Entry'!X120,'Council Entry'!X$9),'Council Entry'!X$8),'Council Entry'!X120)),IF(AND(ISNUMBER('Council Entry'!X$8),ISNUMBER('Council Entry'!X$9)),MAX(MIN('Council Entry'!X120,'Council Entry'!X$9),'Council Entry'!X$8),'Council Entry'!X120))))-'Council Entry'!X$5)/('Council Entry'!X$6-'Council Entry'!X$5)),1))),"No data"))</f>
        <v/>
      </c>
      <c r="Y120" s="13">
        <f>IF('Council Entry'!Y120="","",IFERROR(MAX(0,MIN(10,ROUND(IF('Council Entry'!Y$7="Decrease Risk",10-10*((IF('Council Entry'!Y$4="Logarithm",LN(0.001+IF(AND(ISNUMBER('Council Entry'!Y$8),ISNUMBER('Council Entry'!Y$9)),MAX(MIN('Council Entry'!Y120,'Council Entry'!Y$9),'Council Entry'!Y$8),'Council Entry'!Y120)),IF('Council Entry'!Y$4="Exponential",EXP(IF(AND(ISNUMBER('Council Entry'!Y$8),ISNUMBER('Council Entry'!Y$9)),MAX(MIN('Council Entry'!Y120,'Council Entry'!Y$9),'Council Entry'!Y$8),'Council Entry'!Y120)),IF(AND(ISNUMBER('Council Entry'!Y$8),ISNUMBER('Council Entry'!Y$9)),MAX(MIN('Council Entry'!Y120,'Council Entry'!Y$9),'Council Entry'!Y$8),'Council Entry'!Y120))))-'Council Entry'!Y$5)/('Council Entry'!Y$6-'Council Entry'!Y$5),10*((IF('Council Entry'!Y$4="Logarithm",LN(0.001+IF(AND(ISNUMBER('Council Entry'!Y$8),ISNUMBER('Council Entry'!Y$9)),MAX(MIN('Council Entry'!Y120,'Council Entry'!Y$9),'Council Entry'!Y$8),'Council Entry'!Y120)),IF('Council Entry'!Y$4="Exponential",EXP(IF(AND(ISNUMBER('Council Entry'!Y$8),ISNUMBER('Council Entry'!Y$9)),MAX(MIN('Council Entry'!Y120,'Council Entry'!Y$9),'Council Entry'!Y$8),'Council Entry'!Y120)),IF(AND(ISNUMBER('Council Entry'!Y$8),ISNUMBER('Council Entry'!Y$9)),MAX(MIN('Council Entry'!Y120,'Council Entry'!Y$9),'Council Entry'!Y$8),'Council Entry'!Y120))))-'Council Entry'!Y$5)/('Council Entry'!Y$6-'Council Entry'!Y$5)),1))),"No data"))</f>
        <v/>
      </c>
      <c r="Z120" s="13">
        <f>IF('Council Entry'!Z120="","",IFERROR(MAX(0,MIN(10,ROUND(IF('Council Entry'!Z$7="Decrease Risk",10-10*((IF('Council Entry'!Z$4="Logarithm",LN(0.001+IF(AND(ISNUMBER('Council Entry'!Z$8),ISNUMBER('Council Entry'!Z$9)),MAX(MIN('Council Entry'!Z120,'Council Entry'!Z$9),'Council Entry'!Z$8),'Council Entry'!Z120)),IF('Council Entry'!Z$4="Exponential",EXP(IF(AND(ISNUMBER('Council Entry'!Z$8),ISNUMBER('Council Entry'!Z$9)),MAX(MIN('Council Entry'!Z120,'Council Entry'!Z$9),'Council Entry'!Z$8),'Council Entry'!Z120)),IF(AND(ISNUMBER('Council Entry'!Z$8),ISNUMBER('Council Entry'!Z$9)),MAX(MIN('Council Entry'!Z120,'Council Entry'!Z$9),'Council Entry'!Z$8),'Council Entry'!Z120))))-'Council Entry'!Z$5)/('Council Entry'!Z$6-'Council Entry'!Z$5),10*((IF('Council Entry'!Z$4="Logarithm",LN(0.001+IF(AND(ISNUMBER('Council Entry'!Z$8),ISNUMBER('Council Entry'!Z$9)),MAX(MIN('Council Entry'!Z120,'Council Entry'!Z$9),'Council Entry'!Z$8),'Council Entry'!Z120)),IF('Council Entry'!Z$4="Exponential",EXP(IF(AND(ISNUMBER('Council Entry'!Z$8),ISNUMBER('Council Entry'!Z$9)),MAX(MIN('Council Entry'!Z120,'Council Entry'!Z$9),'Council Entry'!Z$8),'Council Entry'!Z120)),IF(AND(ISNUMBER('Council Entry'!Z$8),ISNUMBER('Council Entry'!Z$9)),MAX(MIN('Council Entry'!Z120,'Council Entry'!Z$9),'Council Entry'!Z$8),'Council Entry'!Z120))))-'Council Entry'!Z$5)/('Council Entry'!Z$6-'Council Entry'!Z$5)),1))),"No data"))</f>
        <v/>
      </c>
      <c r="AA120" s="13">
        <f>IF('Council Entry'!AA120="","",IFERROR(MAX(0,MIN(10,ROUND(IF('Council Entry'!AA$7="Decrease Risk",10-10*((IF('Council Entry'!AA$4="Logarithm",LN(0.001+IF(AND(ISNUMBER('Council Entry'!AA$8),ISNUMBER('Council Entry'!AA$9)),MAX(MIN('Council Entry'!AA120,'Council Entry'!AA$9),'Council Entry'!AA$8),'Council Entry'!AA120)),IF('Council Entry'!AA$4="Exponential",EXP(IF(AND(ISNUMBER('Council Entry'!AA$8),ISNUMBER('Council Entry'!AA$9)),MAX(MIN('Council Entry'!AA120,'Council Entry'!AA$9),'Council Entry'!AA$8),'Council Entry'!AA120)),IF(AND(ISNUMBER('Council Entry'!AA$8),ISNUMBER('Council Entry'!AA$9)),MAX(MIN('Council Entry'!AA120,'Council Entry'!AA$9),'Council Entry'!AA$8),'Council Entry'!AA120))))-'Council Entry'!AA$5)/('Council Entry'!AA$6-'Council Entry'!AA$5),10*((IF('Council Entry'!AA$4="Logarithm",LN(0.001+IF(AND(ISNUMBER('Council Entry'!AA$8),ISNUMBER('Council Entry'!AA$9)),MAX(MIN('Council Entry'!AA120,'Council Entry'!AA$9),'Council Entry'!AA$8),'Council Entry'!AA120)),IF('Council Entry'!AA$4="Exponential",EXP(IF(AND(ISNUMBER('Council Entry'!AA$8),ISNUMBER('Council Entry'!AA$9)),MAX(MIN('Council Entry'!AA120,'Council Entry'!AA$9),'Council Entry'!AA$8),'Council Entry'!AA120)),IF(AND(ISNUMBER('Council Entry'!AA$8),ISNUMBER('Council Entry'!AA$9)),MAX(MIN('Council Entry'!AA120,'Council Entry'!AA$9),'Council Entry'!AA$8),'Council Entry'!AA120))))-'Council Entry'!AA$5)/('Council Entry'!AA$6-'Council Entry'!AA$5)),1))),"No data"))</f>
        <v/>
      </c>
      <c r="AB120" s="13">
        <f>IF('Council Entry'!AB120="","",IFERROR(MAX(0,MIN(10,ROUND(IF('Council Entry'!AB$7="Decrease Risk",10-10*((IF('Council Entry'!AB$4="Logarithm",LN(0.001+IF(AND(ISNUMBER('Council Entry'!AB$8),ISNUMBER('Council Entry'!AB$9)),MAX(MIN('Council Entry'!AB120,'Council Entry'!AB$9),'Council Entry'!AB$8),'Council Entry'!AB120)),IF('Council Entry'!AB$4="Exponential",EXP(IF(AND(ISNUMBER('Council Entry'!AB$8),ISNUMBER('Council Entry'!AB$9)),MAX(MIN('Council Entry'!AB120,'Council Entry'!AB$9),'Council Entry'!AB$8),'Council Entry'!AB120)),IF(AND(ISNUMBER('Council Entry'!AB$8),ISNUMBER('Council Entry'!AB$9)),MAX(MIN('Council Entry'!AB120,'Council Entry'!AB$9),'Council Entry'!AB$8),'Council Entry'!AB120))))-'Council Entry'!AB$5)/('Council Entry'!AB$6-'Council Entry'!AB$5),10*((IF('Council Entry'!AB$4="Logarithm",LN(0.001+IF(AND(ISNUMBER('Council Entry'!AB$8),ISNUMBER('Council Entry'!AB$9)),MAX(MIN('Council Entry'!AB120,'Council Entry'!AB$9),'Council Entry'!AB$8),'Council Entry'!AB120)),IF('Council Entry'!AB$4="Exponential",EXP(IF(AND(ISNUMBER('Council Entry'!AB$8),ISNUMBER('Council Entry'!AB$9)),MAX(MIN('Council Entry'!AB120,'Council Entry'!AB$9),'Council Entry'!AB$8),'Council Entry'!AB120)),IF(AND(ISNUMBER('Council Entry'!AB$8),ISNUMBER('Council Entry'!AB$9)),MAX(MIN('Council Entry'!AB120,'Council Entry'!AB$9),'Council Entry'!AB$8),'Council Entry'!AB120))))-'Council Entry'!AB$5)/('Council Entry'!AB$6-'Council Entry'!AB$5)),1))),"No data"))</f>
        <v/>
      </c>
      <c r="AC120" s="13">
        <f>IF('Council Entry'!AC120="","",IFERROR(MAX(0,MIN(10,ROUND(IF('Council Entry'!AC$7="Decrease Risk",10-10*((IF('Council Entry'!AC$4="Logarithm",LN(0.001+IF(AND(ISNUMBER('Council Entry'!AC$8),ISNUMBER('Council Entry'!AC$9)),MAX(MIN('Council Entry'!AC120,'Council Entry'!AC$9),'Council Entry'!AC$8),'Council Entry'!AC120)),IF('Council Entry'!AC$4="Exponential",EXP(IF(AND(ISNUMBER('Council Entry'!AC$8),ISNUMBER('Council Entry'!AC$9)),MAX(MIN('Council Entry'!AC120,'Council Entry'!AC$9),'Council Entry'!AC$8),'Council Entry'!AC120)),IF(AND(ISNUMBER('Council Entry'!AC$8),ISNUMBER('Council Entry'!AC$9)),MAX(MIN('Council Entry'!AC120,'Council Entry'!AC$9),'Council Entry'!AC$8),'Council Entry'!AC120))))-'Council Entry'!AC$5)/('Council Entry'!AC$6-'Council Entry'!AC$5),10*((IF('Council Entry'!AC$4="Logarithm",LN(0.001+IF(AND(ISNUMBER('Council Entry'!AC$8),ISNUMBER('Council Entry'!AC$9)),MAX(MIN('Council Entry'!AC120,'Council Entry'!AC$9),'Council Entry'!AC$8),'Council Entry'!AC120)),IF('Council Entry'!AC$4="Exponential",EXP(IF(AND(ISNUMBER('Council Entry'!AC$8),ISNUMBER('Council Entry'!AC$9)),MAX(MIN('Council Entry'!AC120,'Council Entry'!AC$9),'Council Entry'!AC$8),'Council Entry'!AC120)),IF(AND(ISNUMBER('Council Entry'!AC$8),ISNUMBER('Council Entry'!AC$9)),MAX(MIN('Council Entry'!AC120,'Council Entry'!AC$9),'Council Entry'!AC$8),'Council Entry'!AC120))))-'Council Entry'!AC$5)/('Council Entry'!AC$6-'Council Entry'!AC$5)),1))),"No data"))</f>
        <v/>
      </c>
      <c r="AD120" s="13">
        <f>IF('Council Entry'!AD120="","",IFERROR(MAX(0,MIN(10,ROUND(IF('Council Entry'!AD$7="Decrease Risk",10-10*((IF('Council Entry'!AD$4="Logarithm",LN(0.001+IF(AND(ISNUMBER('Council Entry'!AD$8),ISNUMBER('Council Entry'!AD$9)),MAX(MIN('Council Entry'!AD120,'Council Entry'!AD$9),'Council Entry'!AD$8),'Council Entry'!AD120)),IF('Council Entry'!AD$4="Exponential",EXP(IF(AND(ISNUMBER('Council Entry'!AD$8),ISNUMBER('Council Entry'!AD$9)),MAX(MIN('Council Entry'!AD120,'Council Entry'!AD$9),'Council Entry'!AD$8),'Council Entry'!AD120)),IF(AND(ISNUMBER('Council Entry'!AD$8),ISNUMBER('Council Entry'!AD$9)),MAX(MIN('Council Entry'!AD120,'Council Entry'!AD$9),'Council Entry'!AD$8),'Council Entry'!AD120))))-'Council Entry'!AD$5)/('Council Entry'!AD$6-'Council Entry'!AD$5),10*((IF('Council Entry'!AD$4="Logarithm",LN(0.001+IF(AND(ISNUMBER('Council Entry'!AD$8),ISNUMBER('Council Entry'!AD$9)),MAX(MIN('Council Entry'!AD120,'Council Entry'!AD$9),'Council Entry'!AD$8),'Council Entry'!AD120)),IF('Council Entry'!AD$4="Exponential",EXP(IF(AND(ISNUMBER('Council Entry'!AD$8),ISNUMBER('Council Entry'!AD$9)),MAX(MIN('Council Entry'!AD120,'Council Entry'!AD$9),'Council Entry'!AD$8),'Council Entry'!AD120)),IF(AND(ISNUMBER('Council Entry'!AD$8),ISNUMBER('Council Entry'!AD$9)),MAX(MIN('Council Entry'!AD120,'Council Entry'!AD$9),'Council Entry'!AD$8),'Council Entry'!AD120))))-'Council Entry'!AD$5)/('Council Entry'!AD$6-'Council Entry'!AD$5)),1))),"No data"))</f>
        <v/>
      </c>
      <c r="AE120" s="13">
        <f>IF('Council Entry'!AE120="","",IFERROR(MAX(0,MIN(10,ROUND(IF('Council Entry'!AE$7="Decrease Risk",10-10*((IF('Council Entry'!AE$4="Logarithm",LN(0.001+IF(AND(ISNUMBER('Council Entry'!AE$8),ISNUMBER('Council Entry'!AE$9)),MAX(MIN('Council Entry'!AE120,'Council Entry'!AE$9),'Council Entry'!AE$8),'Council Entry'!AE120)),IF('Council Entry'!AE$4="Exponential",EXP(IF(AND(ISNUMBER('Council Entry'!AE$8),ISNUMBER('Council Entry'!AE$9)),MAX(MIN('Council Entry'!AE120,'Council Entry'!AE$9),'Council Entry'!AE$8),'Council Entry'!AE120)),IF(AND(ISNUMBER('Council Entry'!AE$8),ISNUMBER('Council Entry'!AE$9)),MAX(MIN('Council Entry'!AE120,'Council Entry'!AE$9),'Council Entry'!AE$8),'Council Entry'!AE120))))-'Council Entry'!AE$5)/('Council Entry'!AE$6-'Council Entry'!AE$5),10*((IF('Council Entry'!AE$4="Logarithm",LN(0.001+IF(AND(ISNUMBER('Council Entry'!AE$8),ISNUMBER('Council Entry'!AE$9)),MAX(MIN('Council Entry'!AE120,'Council Entry'!AE$9),'Council Entry'!AE$8),'Council Entry'!AE120)),IF('Council Entry'!AE$4="Exponential",EXP(IF(AND(ISNUMBER('Council Entry'!AE$8),ISNUMBER('Council Entry'!AE$9)),MAX(MIN('Council Entry'!AE120,'Council Entry'!AE$9),'Council Entry'!AE$8),'Council Entry'!AE120)),IF(AND(ISNUMBER('Council Entry'!AE$8),ISNUMBER('Council Entry'!AE$9)),MAX(MIN('Council Entry'!AE120,'Council Entry'!AE$9),'Council Entry'!AE$8),'Council Entry'!AE120))))-'Council Entry'!AE$5)/('Council Entry'!AE$6-'Council Entry'!AE$5)),1))),"No data"))</f>
        <v/>
      </c>
      <c r="AF120" s="13">
        <f>IF('Council Entry'!AF120="","",IFERROR(MAX(0,MIN(10,ROUND(IF('Council Entry'!AF$7="Decrease Risk",10-10*((IF('Council Entry'!AF$4="Logarithm",LN(0.001+IF(AND(ISNUMBER('Council Entry'!AF$8),ISNUMBER('Council Entry'!AF$9)),MAX(MIN('Council Entry'!AF120,'Council Entry'!AF$9),'Council Entry'!AF$8),'Council Entry'!AF120)),IF('Council Entry'!AF$4="Exponential",EXP(IF(AND(ISNUMBER('Council Entry'!AF$8),ISNUMBER('Council Entry'!AF$9)),MAX(MIN('Council Entry'!AF120,'Council Entry'!AF$9),'Council Entry'!AF$8),'Council Entry'!AF120)),IF(AND(ISNUMBER('Council Entry'!AF$8),ISNUMBER('Council Entry'!AF$9)),MAX(MIN('Council Entry'!AF120,'Council Entry'!AF$9),'Council Entry'!AF$8),'Council Entry'!AF120))))-'Council Entry'!AF$5)/('Council Entry'!AF$6-'Council Entry'!AF$5),10*((IF('Council Entry'!AF$4="Logarithm",LN(0.001+IF(AND(ISNUMBER('Council Entry'!AF$8),ISNUMBER('Council Entry'!AF$9)),MAX(MIN('Council Entry'!AF120,'Council Entry'!AF$9),'Council Entry'!AF$8),'Council Entry'!AF120)),IF('Council Entry'!AF$4="Exponential",EXP(IF(AND(ISNUMBER('Council Entry'!AF$8),ISNUMBER('Council Entry'!AF$9)),MAX(MIN('Council Entry'!AF120,'Council Entry'!AF$9),'Council Entry'!AF$8),'Council Entry'!AF120)),IF(AND(ISNUMBER('Council Entry'!AF$8),ISNUMBER('Council Entry'!AF$9)),MAX(MIN('Council Entry'!AF120,'Council Entry'!AF$9),'Council Entry'!AF$8),'Council Entry'!AF120))))-'Council Entry'!AF$5)/('Council Entry'!AF$6-'Council Entry'!AF$5)),1))),"No data"))</f>
        <v/>
      </c>
      <c r="AG120" s="13">
        <f>IF('Council Entry'!AG120="","",IFERROR(MAX(0,MIN(10,ROUND(IF('Council Entry'!AG$7="Decrease Risk",10-10*((IF('Council Entry'!AG$4="Logarithm",LN(0.001+IF(AND(ISNUMBER('Council Entry'!AG$8),ISNUMBER('Council Entry'!AG$9)),MAX(MIN('Council Entry'!AG120,'Council Entry'!AG$9),'Council Entry'!AG$8),'Council Entry'!AG120)),IF('Council Entry'!AG$4="Exponential",EXP(IF(AND(ISNUMBER('Council Entry'!AG$8),ISNUMBER('Council Entry'!AG$9)),MAX(MIN('Council Entry'!AG120,'Council Entry'!AG$9),'Council Entry'!AG$8),'Council Entry'!AG120)),IF(AND(ISNUMBER('Council Entry'!AG$8),ISNUMBER('Council Entry'!AG$9)),MAX(MIN('Council Entry'!AG120,'Council Entry'!AG$9),'Council Entry'!AG$8),'Council Entry'!AG120))))-'Council Entry'!AG$5)/('Council Entry'!AG$6-'Council Entry'!AG$5),10*((IF('Council Entry'!AG$4="Logarithm",LN(0.001+IF(AND(ISNUMBER('Council Entry'!AG$8),ISNUMBER('Council Entry'!AG$9)),MAX(MIN('Council Entry'!AG120,'Council Entry'!AG$9),'Council Entry'!AG$8),'Council Entry'!AG120)),IF('Council Entry'!AG$4="Exponential",EXP(IF(AND(ISNUMBER('Council Entry'!AG$8),ISNUMBER('Council Entry'!AG$9)),MAX(MIN('Council Entry'!AG120,'Council Entry'!AG$9),'Council Entry'!AG$8),'Council Entry'!AG120)),IF(AND(ISNUMBER('Council Entry'!AG$8),ISNUMBER('Council Entry'!AG$9)),MAX(MIN('Council Entry'!AG120,'Council Entry'!AG$9),'Council Entry'!AG$8),'Council Entry'!AG120))))-'Council Entry'!AG$5)/('Council Entry'!AG$6-'Council Entry'!AG$5)),1))),"No data"))</f>
        <v/>
      </c>
      <c r="AH120" s="13">
        <f>IF('Council Entry'!AH120="","",IFERROR(MAX(0,MIN(10,ROUND(IF('Council Entry'!AH$7="Decrease Risk",10-10*((IF('Council Entry'!AH$4="Logarithm",LN(0.001+IF(AND(ISNUMBER('Council Entry'!AH$8),ISNUMBER('Council Entry'!AH$9)),MAX(MIN('Council Entry'!AH120,'Council Entry'!AH$9),'Council Entry'!AH$8),'Council Entry'!AH120)),IF('Council Entry'!AH$4="Exponential",EXP(IF(AND(ISNUMBER('Council Entry'!AH$8),ISNUMBER('Council Entry'!AH$9)),MAX(MIN('Council Entry'!AH120,'Council Entry'!AH$9),'Council Entry'!AH$8),'Council Entry'!AH120)),IF(AND(ISNUMBER('Council Entry'!AH$8),ISNUMBER('Council Entry'!AH$9)),MAX(MIN('Council Entry'!AH120,'Council Entry'!AH$9),'Council Entry'!AH$8),'Council Entry'!AH120))))-'Council Entry'!AH$5)/('Council Entry'!AH$6-'Council Entry'!AH$5),10*((IF('Council Entry'!AH$4="Logarithm",LN(0.001+IF(AND(ISNUMBER('Council Entry'!AH$8),ISNUMBER('Council Entry'!AH$9)),MAX(MIN('Council Entry'!AH120,'Council Entry'!AH$9),'Council Entry'!AH$8),'Council Entry'!AH120)),IF('Council Entry'!AH$4="Exponential",EXP(IF(AND(ISNUMBER('Council Entry'!AH$8),ISNUMBER('Council Entry'!AH$9)),MAX(MIN('Council Entry'!AH120,'Council Entry'!AH$9),'Council Entry'!AH$8),'Council Entry'!AH120)),IF(AND(ISNUMBER('Council Entry'!AH$8),ISNUMBER('Council Entry'!AH$9)),MAX(MIN('Council Entry'!AH120,'Council Entry'!AH$9),'Council Entry'!AH$8),'Council Entry'!AH120))))-'Council Entry'!AH$5)/('Council Entry'!AH$6-'Council Entry'!AH$5)),1))),"No data"))</f>
        <v/>
      </c>
      <c r="AI120" s="13">
        <f>IF('Council Entry'!AI120="","",IFERROR(MAX(0,MIN(10,ROUND(IF('Council Entry'!AI$7="Decrease Risk",10-10*((IF('Council Entry'!AI$4="Logarithm",LN(0.001+IF(AND(ISNUMBER('Council Entry'!AI$8),ISNUMBER('Council Entry'!AI$9)),MAX(MIN('Council Entry'!AI120,'Council Entry'!AI$9),'Council Entry'!AI$8),'Council Entry'!AI120)),IF('Council Entry'!AI$4="Exponential",EXP(IF(AND(ISNUMBER('Council Entry'!AI$8),ISNUMBER('Council Entry'!AI$9)),MAX(MIN('Council Entry'!AI120,'Council Entry'!AI$9),'Council Entry'!AI$8),'Council Entry'!AI120)),IF(AND(ISNUMBER('Council Entry'!AI$8),ISNUMBER('Council Entry'!AI$9)),MAX(MIN('Council Entry'!AI120,'Council Entry'!AI$9),'Council Entry'!AI$8),'Council Entry'!AI120))))-'Council Entry'!AI$5)/('Council Entry'!AI$6-'Council Entry'!AI$5),10*((IF('Council Entry'!AI$4="Logarithm",LN(0.001+IF(AND(ISNUMBER('Council Entry'!AI$8),ISNUMBER('Council Entry'!AI$9)),MAX(MIN('Council Entry'!AI120,'Council Entry'!AI$9),'Council Entry'!AI$8),'Council Entry'!AI120)),IF('Council Entry'!AI$4="Exponential",EXP(IF(AND(ISNUMBER('Council Entry'!AI$8),ISNUMBER('Council Entry'!AI$9)),MAX(MIN('Council Entry'!AI120,'Council Entry'!AI$9),'Council Entry'!AI$8),'Council Entry'!AI120)),IF(AND(ISNUMBER('Council Entry'!AI$8),ISNUMBER('Council Entry'!AI$9)),MAX(MIN('Council Entry'!AI120,'Council Entry'!AI$9),'Council Entry'!AI$8),'Council Entry'!AI120))))-'Council Entry'!AI$5)/('Council Entry'!AI$6-'Council Entry'!AI$5)),1))),"No data"))</f>
        <v/>
      </c>
      <c r="AJ120" s="13">
        <f>IF('Council Entry'!AJ120="","",IFERROR(MAX(0,MIN(10,ROUND(IF('Council Entry'!AJ$7="Decrease Risk",10-10*((IF('Council Entry'!AJ$4="Logarithm",LN(0.001+IF(AND(ISNUMBER('Council Entry'!AJ$8),ISNUMBER('Council Entry'!AJ$9)),MAX(MIN('Council Entry'!AJ120,'Council Entry'!AJ$9),'Council Entry'!AJ$8),'Council Entry'!AJ120)),IF('Council Entry'!AJ$4="Exponential",EXP(IF(AND(ISNUMBER('Council Entry'!AJ$8),ISNUMBER('Council Entry'!AJ$9)),MAX(MIN('Council Entry'!AJ120,'Council Entry'!AJ$9),'Council Entry'!AJ$8),'Council Entry'!AJ120)),IF(AND(ISNUMBER('Council Entry'!AJ$8),ISNUMBER('Council Entry'!AJ$9)),MAX(MIN('Council Entry'!AJ120,'Council Entry'!AJ$9),'Council Entry'!AJ$8),'Council Entry'!AJ120))))-'Council Entry'!AJ$5)/('Council Entry'!AJ$6-'Council Entry'!AJ$5),10*((IF('Council Entry'!AJ$4="Logarithm",LN(0.001+IF(AND(ISNUMBER('Council Entry'!AJ$8),ISNUMBER('Council Entry'!AJ$9)),MAX(MIN('Council Entry'!AJ120,'Council Entry'!AJ$9),'Council Entry'!AJ$8),'Council Entry'!AJ120)),IF('Council Entry'!AJ$4="Exponential",EXP(IF(AND(ISNUMBER('Council Entry'!AJ$8),ISNUMBER('Council Entry'!AJ$9)),MAX(MIN('Council Entry'!AJ120,'Council Entry'!AJ$9),'Council Entry'!AJ$8),'Council Entry'!AJ120)),IF(AND(ISNUMBER('Council Entry'!AJ$8),ISNUMBER('Council Entry'!AJ$9)),MAX(MIN('Council Entry'!AJ120,'Council Entry'!AJ$9),'Council Entry'!AJ$8),'Council Entry'!AJ120))))-'Council Entry'!AJ$5)/('Council Entry'!AJ$6-'Council Entry'!AJ$5)),1))),"No data"))</f>
        <v/>
      </c>
      <c r="AK120" s="13">
        <f>IF('Council Entry'!AK120="","",IFERROR(MAX(0,MIN(10,ROUND(IF('Council Entry'!AK$7="Decrease Risk",10-10*((IF('Council Entry'!AK$4="Logarithm",LN(0.001+IF(AND(ISNUMBER('Council Entry'!AK$8),ISNUMBER('Council Entry'!AK$9)),MAX(MIN('Council Entry'!AK120,'Council Entry'!AK$9),'Council Entry'!AK$8),'Council Entry'!AK120)),IF('Council Entry'!AK$4="Exponential",EXP(IF(AND(ISNUMBER('Council Entry'!AK$8),ISNUMBER('Council Entry'!AK$9)),MAX(MIN('Council Entry'!AK120,'Council Entry'!AK$9),'Council Entry'!AK$8),'Council Entry'!AK120)),IF(AND(ISNUMBER('Council Entry'!AK$8),ISNUMBER('Council Entry'!AK$9)),MAX(MIN('Council Entry'!AK120,'Council Entry'!AK$9),'Council Entry'!AK$8),'Council Entry'!AK120))))-'Council Entry'!AK$5)/('Council Entry'!AK$6-'Council Entry'!AK$5),10*((IF('Council Entry'!AK$4="Logarithm",LN(0.001+IF(AND(ISNUMBER('Council Entry'!AK$8),ISNUMBER('Council Entry'!AK$9)),MAX(MIN('Council Entry'!AK120,'Council Entry'!AK$9),'Council Entry'!AK$8),'Council Entry'!AK120)),IF('Council Entry'!AK$4="Exponential",EXP(IF(AND(ISNUMBER('Council Entry'!AK$8),ISNUMBER('Council Entry'!AK$9)),MAX(MIN('Council Entry'!AK120,'Council Entry'!AK$9),'Council Entry'!AK$8),'Council Entry'!AK120)),IF(AND(ISNUMBER('Council Entry'!AK$8),ISNUMBER('Council Entry'!AK$9)),MAX(MIN('Council Entry'!AK120,'Council Entry'!AK$9),'Council Entry'!AK$8),'Council Entry'!AK120))))-'Council Entry'!AK$5)/('Council Entry'!AK$6-'Council Entry'!AK$5)),1))),"No data"))</f>
        <v/>
      </c>
      <c r="AL120" s="13">
        <f>IF('Council Entry'!AL120="","",IFERROR(MAX(0,MIN(10,ROUND(IF('Council Entry'!AL$7="Decrease Risk",10-10*((IF('Council Entry'!AL$4="Logarithm",LN(0.001+IF(AND(ISNUMBER('Council Entry'!AL$8),ISNUMBER('Council Entry'!AL$9)),MAX(MIN('Council Entry'!AL120,'Council Entry'!AL$9),'Council Entry'!AL$8),'Council Entry'!AL120)),IF('Council Entry'!AL$4="Exponential",EXP(IF(AND(ISNUMBER('Council Entry'!AL$8),ISNUMBER('Council Entry'!AL$9)),MAX(MIN('Council Entry'!AL120,'Council Entry'!AL$9),'Council Entry'!AL$8),'Council Entry'!AL120)),IF(AND(ISNUMBER('Council Entry'!AL$8),ISNUMBER('Council Entry'!AL$9)),MAX(MIN('Council Entry'!AL120,'Council Entry'!AL$9),'Council Entry'!AL$8),'Council Entry'!AL120))))-'Council Entry'!AL$5)/('Council Entry'!AL$6-'Council Entry'!AL$5),10*((IF('Council Entry'!AL$4="Logarithm",LN(0.001+IF(AND(ISNUMBER('Council Entry'!AL$8),ISNUMBER('Council Entry'!AL$9)),MAX(MIN('Council Entry'!AL120,'Council Entry'!AL$9),'Council Entry'!AL$8),'Council Entry'!AL120)),IF('Council Entry'!AL$4="Exponential",EXP(IF(AND(ISNUMBER('Council Entry'!AL$8),ISNUMBER('Council Entry'!AL$9)),MAX(MIN('Council Entry'!AL120,'Council Entry'!AL$9),'Council Entry'!AL$8),'Council Entry'!AL120)),IF(AND(ISNUMBER('Council Entry'!AL$8),ISNUMBER('Council Entry'!AL$9)),MAX(MIN('Council Entry'!AL120,'Council Entry'!AL$9),'Council Entry'!AL$8),'Council Entry'!AL120))))-'Council Entry'!AL$5)/('Council Entry'!AL$6-'Council Entry'!AL$5)),1))),"No data"))</f>
        <v/>
      </c>
      <c r="AM120" s="13">
        <f>IF('Council Entry'!AM120="","",IFERROR(MAX(0,MIN(10,ROUND(IF('Council Entry'!AM$7="Decrease Risk",10-10*((IF('Council Entry'!AM$4="Logarithm",LN(0.001+IF(AND(ISNUMBER('Council Entry'!AM$8),ISNUMBER('Council Entry'!AM$9)),MAX(MIN('Council Entry'!AM120,'Council Entry'!AM$9),'Council Entry'!AM$8),'Council Entry'!AM120)),IF('Council Entry'!AM$4="Exponential",EXP(IF(AND(ISNUMBER('Council Entry'!AM$8),ISNUMBER('Council Entry'!AM$9)),MAX(MIN('Council Entry'!AM120,'Council Entry'!AM$9),'Council Entry'!AM$8),'Council Entry'!AM120)),IF(AND(ISNUMBER('Council Entry'!AM$8),ISNUMBER('Council Entry'!AM$9)),MAX(MIN('Council Entry'!AM120,'Council Entry'!AM$9),'Council Entry'!AM$8),'Council Entry'!AM120))))-'Council Entry'!AM$5)/('Council Entry'!AM$6-'Council Entry'!AM$5),10*((IF('Council Entry'!AM$4="Logarithm",LN(0.001+IF(AND(ISNUMBER('Council Entry'!AM$8),ISNUMBER('Council Entry'!AM$9)),MAX(MIN('Council Entry'!AM120,'Council Entry'!AM$9),'Council Entry'!AM$8),'Council Entry'!AM120)),IF('Council Entry'!AM$4="Exponential",EXP(IF(AND(ISNUMBER('Council Entry'!AM$8),ISNUMBER('Council Entry'!AM$9)),MAX(MIN('Council Entry'!AM120,'Council Entry'!AM$9),'Council Entry'!AM$8),'Council Entry'!AM120)),IF(AND(ISNUMBER('Council Entry'!AM$8),ISNUMBER('Council Entry'!AM$9)),MAX(MIN('Council Entry'!AM120,'Council Entry'!AM$9),'Council Entry'!AM$8),'Council Entry'!AM120))))-'Council Entry'!AM$5)/('Council Entry'!AM$6-'Council Entry'!AM$5)),1))),"No data"))</f>
        <v/>
      </c>
      <c r="AN120" s="13">
        <f>IF('Council Entry'!AN120="","",IFERROR(MAX(0,MIN(10,ROUND(IF('Council Entry'!AN$7="Decrease Risk",10-10*((IF('Council Entry'!AN$4="Logarithm",LN(0.001+IF(AND(ISNUMBER('Council Entry'!AN$8),ISNUMBER('Council Entry'!AN$9)),MAX(MIN('Council Entry'!AN120,'Council Entry'!AN$9),'Council Entry'!AN$8),'Council Entry'!AN120)),IF('Council Entry'!AN$4="Exponential",EXP(IF(AND(ISNUMBER('Council Entry'!AN$8),ISNUMBER('Council Entry'!AN$9)),MAX(MIN('Council Entry'!AN120,'Council Entry'!AN$9),'Council Entry'!AN$8),'Council Entry'!AN120)),IF(AND(ISNUMBER('Council Entry'!AN$8),ISNUMBER('Council Entry'!AN$9)),MAX(MIN('Council Entry'!AN120,'Council Entry'!AN$9),'Council Entry'!AN$8),'Council Entry'!AN120))))-'Council Entry'!AN$5)/('Council Entry'!AN$6-'Council Entry'!AN$5),10*((IF('Council Entry'!AN$4="Logarithm",LN(0.001+IF(AND(ISNUMBER('Council Entry'!AN$8),ISNUMBER('Council Entry'!AN$9)),MAX(MIN('Council Entry'!AN120,'Council Entry'!AN$9),'Council Entry'!AN$8),'Council Entry'!AN120)),IF('Council Entry'!AN$4="Exponential",EXP(IF(AND(ISNUMBER('Council Entry'!AN$8),ISNUMBER('Council Entry'!AN$9)),MAX(MIN('Council Entry'!AN120,'Council Entry'!AN$9),'Council Entry'!AN$8),'Council Entry'!AN120)),IF(AND(ISNUMBER('Council Entry'!AN$8),ISNUMBER('Council Entry'!AN$9)),MAX(MIN('Council Entry'!AN120,'Council Entry'!AN$9),'Council Entry'!AN$8),'Council Entry'!AN120))))-'Council Entry'!AN$5)/('Council Entry'!AN$6-'Council Entry'!AN$5)),1))),"No data"))</f>
        <v/>
      </c>
      <c r="AO120" s="13">
        <f>IF('Council Entry'!AO120="","",IFERROR(MAX(0,MIN(10,ROUND(IF('Council Entry'!AO$7="Decrease Risk",10-10*((IF('Council Entry'!AO$4="Logarithm",LN(0.001+IF(AND(ISNUMBER('Council Entry'!AO$8),ISNUMBER('Council Entry'!AO$9)),MAX(MIN('Council Entry'!AO120,'Council Entry'!AO$9),'Council Entry'!AO$8),'Council Entry'!AO120)),IF('Council Entry'!AO$4="Exponential",EXP(IF(AND(ISNUMBER('Council Entry'!AO$8),ISNUMBER('Council Entry'!AO$9)),MAX(MIN('Council Entry'!AO120,'Council Entry'!AO$9),'Council Entry'!AO$8),'Council Entry'!AO120)),IF(AND(ISNUMBER('Council Entry'!AO$8),ISNUMBER('Council Entry'!AO$9)),MAX(MIN('Council Entry'!AO120,'Council Entry'!AO$9),'Council Entry'!AO$8),'Council Entry'!AO120))))-'Council Entry'!AO$5)/('Council Entry'!AO$6-'Council Entry'!AO$5),10*((IF('Council Entry'!AO$4="Logarithm",LN(0.001+IF(AND(ISNUMBER('Council Entry'!AO$8),ISNUMBER('Council Entry'!AO$9)),MAX(MIN('Council Entry'!AO120,'Council Entry'!AO$9),'Council Entry'!AO$8),'Council Entry'!AO120)),IF('Council Entry'!AO$4="Exponential",EXP(IF(AND(ISNUMBER('Council Entry'!AO$8),ISNUMBER('Council Entry'!AO$9)),MAX(MIN('Council Entry'!AO120,'Council Entry'!AO$9),'Council Entry'!AO$8),'Council Entry'!AO120)),IF(AND(ISNUMBER('Council Entry'!AO$8),ISNUMBER('Council Entry'!AO$9)),MAX(MIN('Council Entry'!AO120,'Council Entry'!AO$9),'Council Entry'!AO$8),'Council Entry'!AO120))))-'Council Entry'!AO$5)/('Council Entry'!AO$6-'Council Entry'!AO$5)),1))),"No data"))</f>
        <v/>
      </c>
      <c r="AP120" s="13">
        <f>IF('Council Entry'!AP120="","",IFERROR(MAX(0,MIN(10,ROUND(IF('Council Entry'!AP$7="Decrease Risk",10-10*((IF('Council Entry'!AP$4="Logarithm",LN(0.001+IF(AND(ISNUMBER('Council Entry'!AP$8),ISNUMBER('Council Entry'!AP$9)),MAX(MIN('Council Entry'!AP120,'Council Entry'!AP$9),'Council Entry'!AP$8),'Council Entry'!AP120)),IF('Council Entry'!AP$4="Exponential",EXP(IF(AND(ISNUMBER('Council Entry'!AP$8),ISNUMBER('Council Entry'!AP$9)),MAX(MIN('Council Entry'!AP120,'Council Entry'!AP$9),'Council Entry'!AP$8),'Council Entry'!AP120)),IF(AND(ISNUMBER('Council Entry'!AP$8),ISNUMBER('Council Entry'!AP$9)),MAX(MIN('Council Entry'!AP120,'Council Entry'!AP$9),'Council Entry'!AP$8),'Council Entry'!AP120))))-'Council Entry'!AP$5)/('Council Entry'!AP$6-'Council Entry'!AP$5),10*((IF('Council Entry'!AP$4="Logarithm",LN(0.001+IF(AND(ISNUMBER('Council Entry'!AP$8),ISNUMBER('Council Entry'!AP$9)),MAX(MIN('Council Entry'!AP120,'Council Entry'!AP$9),'Council Entry'!AP$8),'Council Entry'!AP120)),IF('Council Entry'!AP$4="Exponential",EXP(IF(AND(ISNUMBER('Council Entry'!AP$8),ISNUMBER('Council Entry'!AP$9)),MAX(MIN('Council Entry'!AP120,'Council Entry'!AP$9),'Council Entry'!AP$8),'Council Entry'!AP120)),IF(AND(ISNUMBER('Council Entry'!AP$8),ISNUMBER('Council Entry'!AP$9)),MAX(MIN('Council Entry'!AP120,'Council Entry'!AP$9),'Council Entry'!AP$8),'Council Entry'!AP120))))-'Council Entry'!AP$5)/('Council Entry'!AP$6-'Council Entry'!AP$5)),1))),"No data"))</f>
        <v/>
      </c>
      <c r="AQ120" s="13">
        <f>IF('Council Entry'!AQ120="","",IFERROR(MAX(0,MIN(10,ROUND(IF('Council Entry'!AQ$7="Decrease Risk",10-10*((IF('Council Entry'!AQ$4="Logarithm",LN(0.001+IF(AND(ISNUMBER('Council Entry'!AQ$8),ISNUMBER('Council Entry'!AQ$9)),MAX(MIN('Council Entry'!AQ120,'Council Entry'!AQ$9),'Council Entry'!AQ$8),'Council Entry'!AQ120)),IF('Council Entry'!AQ$4="Exponential",EXP(IF(AND(ISNUMBER('Council Entry'!AQ$8),ISNUMBER('Council Entry'!AQ$9)),MAX(MIN('Council Entry'!AQ120,'Council Entry'!AQ$9),'Council Entry'!AQ$8),'Council Entry'!AQ120)),IF(AND(ISNUMBER('Council Entry'!AQ$8),ISNUMBER('Council Entry'!AQ$9)),MAX(MIN('Council Entry'!AQ120,'Council Entry'!AQ$9),'Council Entry'!AQ$8),'Council Entry'!AQ120))))-'Council Entry'!AQ$5)/('Council Entry'!AQ$6-'Council Entry'!AQ$5),10*((IF('Council Entry'!AQ$4="Logarithm",LN(0.001+IF(AND(ISNUMBER('Council Entry'!AQ$8),ISNUMBER('Council Entry'!AQ$9)),MAX(MIN('Council Entry'!AQ120,'Council Entry'!AQ$9),'Council Entry'!AQ$8),'Council Entry'!AQ120)),IF('Council Entry'!AQ$4="Exponential",EXP(IF(AND(ISNUMBER('Council Entry'!AQ$8),ISNUMBER('Council Entry'!AQ$9)),MAX(MIN('Council Entry'!AQ120,'Council Entry'!AQ$9),'Council Entry'!AQ$8),'Council Entry'!AQ120)),IF(AND(ISNUMBER('Council Entry'!AQ$8),ISNUMBER('Council Entry'!AQ$9)),MAX(MIN('Council Entry'!AQ120,'Council Entry'!AQ$9),'Council Entry'!AQ$8),'Council Entry'!AQ120))))-'Council Entry'!AQ$5)/('Council Entry'!AQ$6-'Council Entry'!AQ$5)),1))),"No data"))</f>
        <v/>
      </c>
      <c r="AR120" s="13">
        <f>IF('Council Entry'!AR120="","",IFERROR(MAX(0,MIN(10,ROUND(IF('Council Entry'!AR$7="Decrease Risk",10-10*((IF('Council Entry'!AR$4="Logarithm",LN(0.001+IF(AND(ISNUMBER('Council Entry'!AR$8),ISNUMBER('Council Entry'!AR$9)),MAX(MIN('Council Entry'!AR120,'Council Entry'!AR$9),'Council Entry'!AR$8),'Council Entry'!AR120)),IF('Council Entry'!AR$4="Exponential",EXP(IF(AND(ISNUMBER('Council Entry'!AR$8),ISNUMBER('Council Entry'!AR$9)),MAX(MIN('Council Entry'!AR120,'Council Entry'!AR$9),'Council Entry'!AR$8),'Council Entry'!AR120)),IF(AND(ISNUMBER('Council Entry'!AR$8),ISNUMBER('Council Entry'!AR$9)),MAX(MIN('Council Entry'!AR120,'Council Entry'!AR$9),'Council Entry'!AR$8),'Council Entry'!AR120))))-'Council Entry'!AR$5)/('Council Entry'!AR$6-'Council Entry'!AR$5),10*((IF('Council Entry'!AR$4="Logarithm",LN(0.001+IF(AND(ISNUMBER('Council Entry'!AR$8),ISNUMBER('Council Entry'!AR$9)),MAX(MIN('Council Entry'!AR120,'Council Entry'!AR$9),'Council Entry'!AR$8),'Council Entry'!AR120)),IF('Council Entry'!AR$4="Exponential",EXP(IF(AND(ISNUMBER('Council Entry'!AR$8),ISNUMBER('Council Entry'!AR$9)),MAX(MIN('Council Entry'!AR120,'Council Entry'!AR$9),'Council Entry'!AR$8),'Council Entry'!AR120)),IF(AND(ISNUMBER('Council Entry'!AR$8),ISNUMBER('Council Entry'!AR$9)),MAX(MIN('Council Entry'!AR120,'Council Entry'!AR$9),'Council Entry'!AR$8),'Council Entry'!AR120))))-'Council Entry'!AR$5)/('Council Entry'!AR$6-'Council Entry'!AR$5)),1))),"No data"))</f>
        <v/>
      </c>
      <c r="AS120" s="13">
        <f>IF('Council Entry'!AS120="","",IFERROR(MAX(0,MIN(10,ROUND(IF('Council Entry'!AS$7="Decrease Risk",10-10*((IF('Council Entry'!AS$4="Logarithm",LN(0.001+IF(AND(ISNUMBER('Council Entry'!AS$8),ISNUMBER('Council Entry'!AS$9)),MAX(MIN('Council Entry'!AS120,'Council Entry'!AS$9),'Council Entry'!AS$8),'Council Entry'!AS120)),IF('Council Entry'!AS$4="Exponential",EXP(IF(AND(ISNUMBER('Council Entry'!AS$8),ISNUMBER('Council Entry'!AS$9)),MAX(MIN('Council Entry'!AS120,'Council Entry'!AS$9),'Council Entry'!AS$8),'Council Entry'!AS120)),IF(AND(ISNUMBER('Council Entry'!AS$8),ISNUMBER('Council Entry'!AS$9)),MAX(MIN('Council Entry'!AS120,'Council Entry'!AS$9),'Council Entry'!AS$8),'Council Entry'!AS120))))-'Council Entry'!AS$5)/('Council Entry'!AS$6-'Council Entry'!AS$5),10*((IF('Council Entry'!AS$4="Logarithm",LN(0.001+IF(AND(ISNUMBER('Council Entry'!AS$8),ISNUMBER('Council Entry'!AS$9)),MAX(MIN('Council Entry'!AS120,'Council Entry'!AS$9),'Council Entry'!AS$8),'Council Entry'!AS120)),IF('Council Entry'!AS$4="Exponential",EXP(IF(AND(ISNUMBER('Council Entry'!AS$8),ISNUMBER('Council Entry'!AS$9)),MAX(MIN('Council Entry'!AS120,'Council Entry'!AS$9),'Council Entry'!AS$8),'Council Entry'!AS120)),IF(AND(ISNUMBER('Council Entry'!AS$8),ISNUMBER('Council Entry'!AS$9)),MAX(MIN('Council Entry'!AS120,'Council Entry'!AS$9),'Council Entry'!AS$8),'Council Entry'!AS120))))-'Council Entry'!AS$5)/('Council Entry'!AS$6-'Council Entry'!AS$5)),1))),"No data"))</f>
        <v/>
      </c>
      <c r="AT120" s="13">
        <f>IF('Council Entry'!AT120="","",IFERROR(MAX(0,MIN(10,ROUND(IF('Council Entry'!AT$7="Decrease Risk",10-10*((IF('Council Entry'!AT$4="Logarithm",LN(0.001+IF(AND(ISNUMBER('Council Entry'!AT$8),ISNUMBER('Council Entry'!AT$9)),MAX(MIN('Council Entry'!AT120,'Council Entry'!AT$9),'Council Entry'!AT$8),'Council Entry'!AT120)),IF('Council Entry'!AT$4="Exponential",EXP(IF(AND(ISNUMBER('Council Entry'!AT$8),ISNUMBER('Council Entry'!AT$9)),MAX(MIN('Council Entry'!AT120,'Council Entry'!AT$9),'Council Entry'!AT$8),'Council Entry'!AT120)),IF(AND(ISNUMBER('Council Entry'!AT$8),ISNUMBER('Council Entry'!AT$9)),MAX(MIN('Council Entry'!AT120,'Council Entry'!AT$9),'Council Entry'!AT$8),'Council Entry'!AT120))))-'Council Entry'!AT$5)/('Council Entry'!AT$6-'Council Entry'!AT$5),10*((IF('Council Entry'!AT$4="Logarithm",LN(0.001+IF(AND(ISNUMBER('Council Entry'!AT$8),ISNUMBER('Council Entry'!AT$9)),MAX(MIN('Council Entry'!AT120,'Council Entry'!AT$9),'Council Entry'!AT$8),'Council Entry'!AT120)),IF('Council Entry'!AT$4="Exponential",EXP(IF(AND(ISNUMBER('Council Entry'!AT$8),ISNUMBER('Council Entry'!AT$9)),MAX(MIN('Council Entry'!AT120,'Council Entry'!AT$9),'Council Entry'!AT$8),'Council Entry'!AT120)),IF(AND(ISNUMBER('Council Entry'!AT$8),ISNUMBER('Council Entry'!AT$9)),MAX(MIN('Council Entry'!AT120,'Council Entry'!AT$9),'Council Entry'!AT$8),'Council Entry'!AT120))))-'Council Entry'!AT$5)/('Council Entry'!AT$6-'Council Entry'!AT$5)),1))),"No data"))</f>
        <v/>
      </c>
      <c r="AU120" s="13">
        <f>IF('Council Entry'!AU120="","",IFERROR(MAX(0,MIN(10,ROUND(IF('Council Entry'!AU$7="Decrease Risk",10-10*((IF('Council Entry'!AU$4="Logarithm",LN(0.001+IF(AND(ISNUMBER('Council Entry'!AU$8),ISNUMBER('Council Entry'!AU$9)),MAX(MIN('Council Entry'!AU120,'Council Entry'!AU$9),'Council Entry'!AU$8),'Council Entry'!AU120)),IF('Council Entry'!AU$4="Exponential",EXP(IF(AND(ISNUMBER('Council Entry'!AU$8),ISNUMBER('Council Entry'!AU$9)),MAX(MIN('Council Entry'!AU120,'Council Entry'!AU$9),'Council Entry'!AU$8),'Council Entry'!AU120)),IF(AND(ISNUMBER('Council Entry'!AU$8),ISNUMBER('Council Entry'!AU$9)),MAX(MIN('Council Entry'!AU120,'Council Entry'!AU$9),'Council Entry'!AU$8),'Council Entry'!AU120))))-'Council Entry'!AU$5)/('Council Entry'!AU$6-'Council Entry'!AU$5),10*((IF('Council Entry'!AU$4="Logarithm",LN(0.001+IF(AND(ISNUMBER('Council Entry'!AU$8),ISNUMBER('Council Entry'!AU$9)),MAX(MIN('Council Entry'!AU120,'Council Entry'!AU$9),'Council Entry'!AU$8),'Council Entry'!AU120)),IF('Council Entry'!AU$4="Exponential",EXP(IF(AND(ISNUMBER('Council Entry'!AU$8),ISNUMBER('Council Entry'!AU$9)),MAX(MIN('Council Entry'!AU120,'Council Entry'!AU$9),'Council Entry'!AU$8),'Council Entry'!AU120)),IF(AND(ISNUMBER('Council Entry'!AU$8),ISNUMBER('Council Entry'!AU$9)),MAX(MIN('Council Entry'!AU120,'Council Entry'!AU$9),'Council Entry'!AU$8),'Council Entry'!AU120))))-'Council Entry'!AU$5)/('Council Entry'!AU$6-'Council Entry'!AU$5)),1))),"No data"))</f>
        <v/>
      </c>
      <c r="AV120" s="13">
        <f>IF('Council Entry'!AV120="","",IFERROR(MAX(0,MIN(10,ROUND(IF('Council Entry'!AV$7="Decrease Risk",10-10*((IF('Council Entry'!AV$4="Logarithm",LN(0.001+IF(AND(ISNUMBER('Council Entry'!AV$8),ISNUMBER('Council Entry'!AV$9)),MAX(MIN('Council Entry'!AV120,'Council Entry'!AV$9),'Council Entry'!AV$8),'Council Entry'!AV120)),IF('Council Entry'!AV$4="Exponential",EXP(IF(AND(ISNUMBER('Council Entry'!AV$8),ISNUMBER('Council Entry'!AV$9)),MAX(MIN('Council Entry'!AV120,'Council Entry'!AV$9),'Council Entry'!AV$8),'Council Entry'!AV120)),IF(AND(ISNUMBER('Council Entry'!AV$8),ISNUMBER('Council Entry'!AV$9)),MAX(MIN('Council Entry'!AV120,'Council Entry'!AV$9),'Council Entry'!AV$8),'Council Entry'!AV120))))-'Council Entry'!AV$5)/('Council Entry'!AV$6-'Council Entry'!AV$5),10*((IF('Council Entry'!AV$4="Logarithm",LN(0.001+IF(AND(ISNUMBER('Council Entry'!AV$8),ISNUMBER('Council Entry'!AV$9)),MAX(MIN('Council Entry'!AV120,'Council Entry'!AV$9),'Council Entry'!AV$8),'Council Entry'!AV120)),IF('Council Entry'!AV$4="Exponential",EXP(IF(AND(ISNUMBER('Council Entry'!AV$8),ISNUMBER('Council Entry'!AV$9)),MAX(MIN('Council Entry'!AV120,'Council Entry'!AV$9),'Council Entry'!AV$8),'Council Entry'!AV120)),IF(AND(ISNUMBER('Council Entry'!AV$8),ISNUMBER('Council Entry'!AV$9)),MAX(MIN('Council Entry'!AV120,'Council Entry'!AV$9),'Council Entry'!AV$8),'Council Entry'!AV120))))-'Council Entry'!AV$5)/('Council Entry'!AV$6-'Council Entry'!AV$5)),1))),"No data"))</f>
        <v/>
      </c>
      <c r="AW120" s="13">
        <f>IF('Council Entry'!AW120="","",IFERROR(MAX(0,MIN(10,ROUND(IF('Council Entry'!AW$7="Decrease Risk",10-10*((IF('Council Entry'!AW$4="Logarithm",LN(0.001+IF(AND(ISNUMBER('Council Entry'!AW$8),ISNUMBER('Council Entry'!AW$9)),MAX(MIN('Council Entry'!AW120,'Council Entry'!AW$9),'Council Entry'!AW$8),'Council Entry'!AW120)),IF('Council Entry'!AW$4="Exponential",EXP(IF(AND(ISNUMBER('Council Entry'!AW$8),ISNUMBER('Council Entry'!AW$9)),MAX(MIN('Council Entry'!AW120,'Council Entry'!AW$9),'Council Entry'!AW$8),'Council Entry'!AW120)),IF(AND(ISNUMBER('Council Entry'!AW$8),ISNUMBER('Council Entry'!AW$9)),MAX(MIN('Council Entry'!AW120,'Council Entry'!AW$9),'Council Entry'!AW$8),'Council Entry'!AW120))))-'Council Entry'!AW$5)/('Council Entry'!AW$6-'Council Entry'!AW$5),10*((IF('Council Entry'!AW$4="Logarithm",LN(0.001+IF(AND(ISNUMBER('Council Entry'!AW$8),ISNUMBER('Council Entry'!AW$9)),MAX(MIN('Council Entry'!AW120,'Council Entry'!AW$9),'Council Entry'!AW$8),'Council Entry'!AW120)),IF('Council Entry'!AW$4="Exponential",EXP(IF(AND(ISNUMBER('Council Entry'!AW$8),ISNUMBER('Council Entry'!AW$9)),MAX(MIN('Council Entry'!AW120,'Council Entry'!AW$9),'Council Entry'!AW$8),'Council Entry'!AW120)),IF(AND(ISNUMBER('Council Entry'!AW$8),ISNUMBER('Council Entry'!AW$9)),MAX(MIN('Council Entry'!AW120,'Council Entry'!AW$9),'Council Entry'!AW$8),'Council Entry'!AW120))))-'Council Entry'!AW$5)/('Council Entry'!AW$6-'Council Entry'!AW$5)),1))),"No data"))</f>
        <v/>
      </c>
      <c r="AX120" s="13">
        <f>IF('Council Entry'!AX120="","",IFERROR(MAX(0,MIN(10,ROUND(IF('Council Entry'!AX$7="Decrease Risk",10-10*((IF('Council Entry'!AX$4="Logarithm",LN(0.001+IF(AND(ISNUMBER('Council Entry'!AX$8),ISNUMBER('Council Entry'!AX$9)),MAX(MIN('Council Entry'!AX120,'Council Entry'!AX$9),'Council Entry'!AX$8),'Council Entry'!AX120)),IF('Council Entry'!AX$4="Exponential",EXP(IF(AND(ISNUMBER('Council Entry'!AX$8),ISNUMBER('Council Entry'!AX$9)),MAX(MIN('Council Entry'!AX120,'Council Entry'!AX$9),'Council Entry'!AX$8),'Council Entry'!AX120)),IF(AND(ISNUMBER('Council Entry'!AX$8),ISNUMBER('Council Entry'!AX$9)),MAX(MIN('Council Entry'!AX120,'Council Entry'!AX$9),'Council Entry'!AX$8),'Council Entry'!AX120))))-'Council Entry'!AX$5)/('Council Entry'!AX$6-'Council Entry'!AX$5),10*((IF('Council Entry'!AX$4="Logarithm",LN(0.001+IF(AND(ISNUMBER('Council Entry'!AX$8),ISNUMBER('Council Entry'!AX$9)),MAX(MIN('Council Entry'!AX120,'Council Entry'!AX$9),'Council Entry'!AX$8),'Council Entry'!AX120)),IF('Council Entry'!AX$4="Exponential",EXP(IF(AND(ISNUMBER('Council Entry'!AX$8),ISNUMBER('Council Entry'!AX$9)),MAX(MIN('Council Entry'!AX120,'Council Entry'!AX$9),'Council Entry'!AX$8),'Council Entry'!AX120)),IF(AND(ISNUMBER('Council Entry'!AX$8),ISNUMBER('Council Entry'!AX$9)),MAX(MIN('Council Entry'!AX120,'Council Entry'!AX$9),'Council Entry'!AX$8),'Council Entry'!AX120))))-'Council Entry'!AX$5)/('Council Entry'!AX$6-'Council Entry'!AX$5)),1))),"No data"))</f>
        <v/>
      </c>
      <c r="AY120" s="13">
        <f>IF('Council Entry'!AY120="","",IFERROR(MAX(0,MIN(10,ROUND(IF('Council Entry'!AY$7="Decrease Risk",10-10*((IF('Council Entry'!AY$4="Logarithm",LN(0.001+IF(AND(ISNUMBER('Council Entry'!AY$8),ISNUMBER('Council Entry'!AY$9)),MAX(MIN('Council Entry'!AY120,'Council Entry'!AY$9),'Council Entry'!AY$8),'Council Entry'!AY120)),IF('Council Entry'!AY$4="Exponential",EXP(IF(AND(ISNUMBER('Council Entry'!AY$8),ISNUMBER('Council Entry'!AY$9)),MAX(MIN('Council Entry'!AY120,'Council Entry'!AY$9),'Council Entry'!AY$8),'Council Entry'!AY120)),IF(AND(ISNUMBER('Council Entry'!AY$8),ISNUMBER('Council Entry'!AY$9)),MAX(MIN('Council Entry'!AY120,'Council Entry'!AY$9),'Council Entry'!AY$8),'Council Entry'!AY120))))-'Council Entry'!AY$5)/('Council Entry'!AY$6-'Council Entry'!AY$5),10*((IF('Council Entry'!AY$4="Logarithm",LN(0.001+IF(AND(ISNUMBER('Council Entry'!AY$8),ISNUMBER('Council Entry'!AY$9)),MAX(MIN('Council Entry'!AY120,'Council Entry'!AY$9),'Council Entry'!AY$8),'Council Entry'!AY120)),IF('Council Entry'!AY$4="Exponential",EXP(IF(AND(ISNUMBER('Council Entry'!AY$8),ISNUMBER('Council Entry'!AY$9)),MAX(MIN('Council Entry'!AY120,'Council Entry'!AY$9),'Council Entry'!AY$8),'Council Entry'!AY120)),IF(AND(ISNUMBER('Council Entry'!AY$8),ISNUMBER('Council Entry'!AY$9)),MAX(MIN('Council Entry'!AY120,'Council Entry'!AY$9),'Council Entry'!AY$8),'Council Entry'!AY120))))-'Council Entry'!AY$5)/('Council Entry'!AY$6-'Council Entry'!AY$5)),1))),"No data"))</f>
        <v/>
      </c>
      <c r="AZ120" s="13">
        <f>IF('Council Entry'!AZ120="","",IFERROR(MAX(0,MIN(10,ROUND(IF('Council Entry'!AZ$7="Decrease Risk",10-10*((IF('Council Entry'!AZ$4="Logarithm",LN(0.001+IF(AND(ISNUMBER('Council Entry'!AZ$8),ISNUMBER('Council Entry'!AZ$9)),MAX(MIN('Council Entry'!AZ120,'Council Entry'!AZ$9),'Council Entry'!AZ$8),'Council Entry'!AZ120)),IF('Council Entry'!AZ$4="Exponential",EXP(IF(AND(ISNUMBER('Council Entry'!AZ$8),ISNUMBER('Council Entry'!AZ$9)),MAX(MIN('Council Entry'!AZ120,'Council Entry'!AZ$9),'Council Entry'!AZ$8),'Council Entry'!AZ120)),IF(AND(ISNUMBER('Council Entry'!AZ$8),ISNUMBER('Council Entry'!AZ$9)),MAX(MIN('Council Entry'!AZ120,'Council Entry'!AZ$9),'Council Entry'!AZ$8),'Council Entry'!AZ120))))-'Council Entry'!AZ$5)/('Council Entry'!AZ$6-'Council Entry'!AZ$5),10*((IF('Council Entry'!AZ$4="Logarithm",LN(0.001+IF(AND(ISNUMBER('Council Entry'!AZ$8),ISNUMBER('Council Entry'!AZ$9)),MAX(MIN('Council Entry'!AZ120,'Council Entry'!AZ$9),'Council Entry'!AZ$8),'Council Entry'!AZ120)),IF('Council Entry'!AZ$4="Exponential",EXP(IF(AND(ISNUMBER('Council Entry'!AZ$8),ISNUMBER('Council Entry'!AZ$9)),MAX(MIN('Council Entry'!AZ120,'Council Entry'!AZ$9),'Council Entry'!AZ$8),'Council Entry'!AZ120)),IF(AND(ISNUMBER('Council Entry'!AZ$8),ISNUMBER('Council Entry'!AZ$9)),MAX(MIN('Council Entry'!AZ120,'Council Entry'!AZ$9),'Council Entry'!AZ$8),'Council Entry'!AZ120))))-'Council Entry'!AZ$5)/('Council Entry'!AZ$6-'Council Entry'!AZ$5)),1))),"No data"))</f>
        <v/>
      </c>
      <c r="BA120" s="13">
        <f>IF('Council Entry'!BA120="","",IFERROR(MAX(0,MIN(10,ROUND(IF('Council Entry'!BA$7="Decrease Risk",10-10*((IF('Council Entry'!BA$4="Logarithm",LN(0.001+IF(AND(ISNUMBER('Council Entry'!BA$8),ISNUMBER('Council Entry'!BA$9)),MAX(MIN('Council Entry'!BA120,'Council Entry'!BA$9),'Council Entry'!BA$8),'Council Entry'!BA120)),IF('Council Entry'!BA$4="Exponential",EXP(IF(AND(ISNUMBER('Council Entry'!BA$8),ISNUMBER('Council Entry'!BA$9)),MAX(MIN('Council Entry'!BA120,'Council Entry'!BA$9),'Council Entry'!BA$8),'Council Entry'!BA120)),IF(AND(ISNUMBER('Council Entry'!BA$8),ISNUMBER('Council Entry'!BA$9)),MAX(MIN('Council Entry'!BA120,'Council Entry'!BA$9),'Council Entry'!BA$8),'Council Entry'!BA120))))-'Council Entry'!BA$5)/('Council Entry'!BA$6-'Council Entry'!BA$5),10*((IF('Council Entry'!BA$4="Logarithm",LN(0.001+IF(AND(ISNUMBER('Council Entry'!BA$8),ISNUMBER('Council Entry'!BA$9)),MAX(MIN('Council Entry'!BA120,'Council Entry'!BA$9),'Council Entry'!BA$8),'Council Entry'!BA120)),IF('Council Entry'!BA$4="Exponential",EXP(IF(AND(ISNUMBER('Council Entry'!BA$8),ISNUMBER('Council Entry'!BA$9)),MAX(MIN('Council Entry'!BA120,'Council Entry'!BA$9),'Council Entry'!BA$8),'Council Entry'!BA120)),IF(AND(ISNUMBER('Council Entry'!BA$8),ISNUMBER('Council Entry'!BA$9)),MAX(MIN('Council Entry'!BA120,'Council Entry'!BA$9),'Council Entry'!BA$8),'Council Entry'!BA120))))-'Council Entry'!BA$5)/('Council Entry'!BA$6-'Council Entry'!BA$5)),1))),"No data"))</f>
        <v/>
      </c>
      <c r="BB120" s="13">
        <f>IF('Council Entry'!BB120="","",IFERROR(MAX(0,MIN(10,ROUND(IF('Council Entry'!BB$7="Decrease Risk",10-10*((IF('Council Entry'!BB$4="Logarithm",LN(0.001+IF(AND(ISNUMBER('Council Entry'!BB$8),ISNUMBER('Council Entry'!BB$9)),MAX(MIN('Council Entry'!BB120,'Council Entry'!BB$9),'Council Entry'!BB$8),'Council Entry'!BB120)),IF('Council Entry'!BB$4="Exponential",EXP(IF(AND(ISNUMBER('Council Entry'!BB$8),ISNUMBER('Council Entry'!BB$9)),MAX(MIN('Council Entry'!BB120,'Council Entry'!BB$9),'Council Entry'!BB$8),'Council Entry'!BB120)),IF(AND(ISNUMBER('Council Entry'!BB$8),ISNUMBER('Council Entry'!BB$9)),MAX(MIN('Council Entry'!BB120,'Council Entry'!BB$9),'Council Entry'!BB$8),'Council Entry'!BB120))))-'Council Entry'!BB$5)/('Council Entry'!BB$6-'Council Entry'!BB$5),10*((IF('Council Entry'!BB$4="Logarithm",LN(0.001+IF(AND(ISNUMBER('Council Entry'!BB$8),ISNUMBER('Council Entry'!BB$9)),MAX(MIN('Council Entry'!BB120,'Council Entry'!BB$9),'Council Entry'!BB$8),'Council Entry'!BB120)),IF('Council Entry'!BB$4="Exponential",EXP(IF(AND(ISNUMBER('Council Entry'!BB$8),ISNUMBER('Council Entry'!BB$9)),MAX(MIN('Council Entry'!BB120,'Council Entry'!BB$9),'Council Entry'!BB$8),'Council Entry'!BB120)),IF(AND(ISNUMBER('Council Entry'!BB$8),ISNUMBER('Council Entry'!BB$9)),MAX(MIN('Council Entry'!BB120,'Council Entry'!BB$9),'Council Entry'!BB$8),'Council Entry'!BB120))))-'Council Entry'!BB$5)/('Council Entry'!BB$6-'Council Entry'!BB$5)),1))),"No data"))</f>
        <v/>
      </c>
      <c r="BC120" s="13">
        <f>IF('Council Entry'!BC120="","",IFERROR(MAX(0,MIN(10,ROUND(IF('Council Entry'!BC$7="Decrease Risk",10-10*((IF('Council Entry'!BC$4="Logarithm",LN(0.001+IF(AND(ISNUMBER('Council Entry'!BC$8),ISNUMBER('Council Entry'!BC$9)),MAX(MIN('Council Entry'!BC120,'Council Entry'!BC$9),'Council Entry'!BC$8),'Council Entry'!BC120)),IF('Council Entry'!BC$4="Exponential",EXP(IF(AND(ISNUMBER('Council Entry'!BC$8),ISNUMBER('Council Entry'!BC$9)),MAX(MIN('Council Entry'!BC120,'Council Entry'!BC$9),'Council Entry'!BC$8),'Council Entry'!BC120)),IF(AND(ISNUMBER('Council Entry'!BC$8),ISNUMBER('Council Entry'!BC$9)),MAX(MIN('Council Entry'!BC120,'Council Entry'!BC$9),'Council Entry'!BC$8),'Council Entry'!BC120))))-'Council Entry'!BC$5)/('Council Entry'!BC$6-'Council Entry'!BC$5),10*((IF('Council Entry'!BC$4="Logarithm",LN(0.001+IF(AND(ISNUMBER('Council Entry'!BC$8),ISNUMBER('Council Entry'!BC$9)),MAX(MIN('Council Entry'!BC120,'Council Entry'!BC$9),'Council Entry'!BC$8),'Council Entry'!BC120)),IF('Council Entry'!BC$4="Exponential",EXP(IF(AND(ISNUMBER('Council Entry'!BC$8),ISNUMBER('Council Entry'!BC$9)),MAX(MIN('Council Entry'!BC120,'Council Entry'!BC$9),'Council Entry'!BC$8),'Council Entry'!BC120)),IF(AND(ISNUMBER('Council Entry'!BC$8),ISNUMBER('Council Entry'!BC$9)),MAX(MIN('Council Entry'!BC120,'Council Entry'!BC$9),'Council Entry'!BC$8),'Council Entry'!BC120))))-'Council Entry'!BC$5)/('Council Entry'!BC$6-'Council Entry'!BC$5)),1))),"No data"))</f>
        <v/>
      </c>
      <c r="BD120" s="13">
        <f>IF('Council Entry'!BD120="","",IFERROR(MAX(0,MIN(10,ROUND(IF('Council Entry'!BD$7="Decrease Risk",10-10*((IF('Council Entry'!BD$4="Logarithm",LN(0.001+IF(AND(ISNUMBER('Council Entry'!BD$8),ISNUMBER('Council Entry'!BD$9)),MAX(MIN('Council Entry'!BD120,'Council Entry'!BD$9),'Council Entry'!BD$8),'Council Entry'!BD120)),IF('Council Entry'!BD$4="Exponential",EXP(IF(AND(ISNUMBER('Council Entry'!BD$8),ISNUMBER('Council Entry'!BD$9)),MAX(MIN('Council Entry'!BD120,'Council Entry'!BD$9),'Council Entry'!BD$8),'Council Entry'!BD120)),IF(AND(ISNUMBER('Council Entry'!BD$8),ISNUMBER('Council Entry'!BD$9)),MAX(MIN('Council Entry'!BD120,'Council Entry'!BD$9),'Council Entry'!BD$8),'Council Entry'!BD120))))-'Council Entry'!BD$5)/('Council Entry'!BD$6-'Council Entry'!BD$5),10*((IF('Council Entry'!BD$4="Logarithm",LN(0.001+IF(AND(ISNUMBER('Council Entry'!BD$8),ISNUMBER('Council Entry'!BD$9)),MAX(MIN('Council Entry'!BD120,'Council Entry'!BD$9),'Council Entry'!BD$8),'Council Entry'!BD120)),IF('Council Entry'!BD$4="Exponential",EXP(IF(AND(ISNUMBER('Council Entry'!BD$8),ISNUMBER('Council Entry'!BD$9)),MAX(MIN('Council Entry'!BD120,'Council Entry'!BD$9),'Council Entry'!BD$8),'Council Entry'!BD120)),IF(AND(ISNUMBER('Council Entry'!BD$8),ISNUMBER('Council Entry'!BD$9)),MAX(MIN('Council Entry'!BD120,'Council Entry'!BD$9),'Council Entry'!BD$8),'Council Entry'!BD120))))-'Council Entry'!BD$5)/('Council Entry'!BD$6-'Council Entry'!BD$5)),1))),"No data"))</f>
        <v/>
      </c>
    </row>
    <row r="121">
      <c r="A121" t="inlineStr">
        <is>
          <t>Mtwara</t>
        </is>
      </c>
      <c r="B121" t="inlineStr">
        <is>
          <t>Mtwara District</t>
        </is>
      </c>
      <c r="C121" t="inlineStr">
        <is>
          <t>C063</t>
        </is>
      </c>
      <c r="D121" s="13">
        <f>IF('Council Entry'!D121="","",IFERROR(MAX(0,MIN(10,ROUND(IF('Council Entry'!D$7="Decrease Risk",10-10*((IF('Council Entry'!D$4="Logarithm",LN(0.001+IF(AND(ISNUMBER('Council Entry'!D$8),ISNUMBER('Council Entry'!D$9)),MAX(MIN('Council Entry'!D121,'Council Entry'!D$9),'Council Entry'!D$8),'Council Entry'!D121)),IF('Council Entry'!D$4="Exponential",EXP(IF(AND(ISNUMBER('Council Entry'!D$8),ISNUMBER('Council Entry'!D$9)),MAX(MIN('Council Entry'!D121,'Council Entry'!D$9),'Council Entry'!D$8),'Council Entry'!D121)),IF(AND(ISNUMBER('Council Entry'!D$8),ISNUMBER('Council Entry'!D$9)),MAX(MIN('Council Entry'!D121,'Council Entry'!D$9),'Council Entry'!D$8),'Council Entry'!D121))))-'Council Entry'!D$5)/('Council Entry'!D$6-'Council Entry'!D$5),10*((IF('Council Entry'!D$4="Logarithm",LN(0.001+IF(AND(ISNUMBER('Council Entry'!D$8),ISNUMBER('Council Entry'!D$9)),MAX(MIN('Council Entry'!D121,'Council Entry'!D$9),'Council Entry'!D$8),'Council Entry'!D121)),IF('Council Entry'!D$4="Exponential",EXP(IF(AND(ISNUMBER('Council Entry'!D$8),ISNUMBER('Council Entry'!D$9)),MAX(MIN('Council Entry'!D121,'Council Entry'!D$9),'Council Entry'!D$8),'Council Entry'!D121)),IF(AND(ISNUMBER('Council Entry'!D$8),ISNUMBER('Council Entry'!D$9)),MAX(MIN('Council Entry'!D121,'Council Entry'!D$9),'Council Entry'!D$8),'Council Entry'!D121))))-'Council Entry'!D$5)/('Council Entry'!D$6-'Council Entry'!D$5)),1))),"No data"))</f>
        <v/>
      </c>
      <c r="E121" s="13">
        <f>IF('Council Entry'!E121="","",IFERROR(MAX(0,MIN(10,ROUND(IF('Council Entry'!E$7="Decrease Risk",10-10*((IF('Council Entry'!E$4="Logarithm",LN(0.001+IF(AND(ISNUMBER('Council Entry'!E$8),ISNUMBER('Council Entry'!E$9)),MAX(MIN('Council Entry'!E121,'Council Entry'!E$9),'Council Entry'!E$8),'Council Entry'!E121)),IF('Council Entry'!E$4="Exponential",EXP(IF(AND(ISNUMBER('Council Entry'!E$8),ISNUMBER('Council Entry'!E$9)),MAX(MIN('Council Entry'!E121,'Council Entry'!E$9),'Council Entry'!E$8),'Council Entry'!E121)),IF(AND(ISNUMBER('Council Entry'!E$8),ISNUMBER('Council Entry'!E$9)),MAX(MIN('Council Entry'!E121,'Council Entry'!E$9),'Council Entry'!E$8),'Council Entry'!E121))))-'Council Entry'!E$5)/('Council Entry'!E$6-'Council Entry'!E$5),10*((IF('Council Entry'!E$4="Logarithm",LN(0.001+IF(AND(ISNUMBER('Council Entry'!E$8),ISNUMBER('Council Entry'!E$9)),MAX(MIN('Council Entry'!E121,'Council Entry'!E$9),'Council Entry'!E$8),'Council Entry'!E121)),IF('Council Entry'!E$4="Exponential",EXP(IF(AND(ISNUMBER('Council Entry'!E$8),ISNUMBER('Council Entry'!E$9)),MAX(MIN('Council Entry'!E121,'Council Entry'!E$9),'Council Entry'!E$8),'Council Entry'!E121)),IF(AND(ISNUMBER('Council Entry'!E$8),ISNUMBER('Council Entry'!E$9)),MAX(MIN('Council Entry'!E121,'Council Entry'!E$9),'Council Entry'!E$8),'Council Entry'!E121))))-'Council Entry'!E$5)/('Council Entry'!E$6-'Council Entry'!E$5)),1))),"No data"))</f>
        <v/>
      </c>
      <c r="F121" s="13">
        <f>IF('Council Entry'!F121="","",IFERROR(MAX(0,MIN(10,ROUND(IF('Council Entry'!F$7="Decrease Risk",10-10*((IF('Council Entry'!F$4="Logarithm",LN(0.001+IF(AND(ISNUMBER('Council Entry'!F$8),ISNUMBER('Council Entry'!F$9)),MAX(MIN('Council Entry'!F121,'Council Entry'!F$9),'Council Entry'!F$8),'Council Entry'!F121)),IF('Council Entry'!F$4="Exponential",EXP(IF(AND(ISNUMBER('Council Entry'!F$8),ISNUMBER('Council Entry'!F$9)),MAX(MIN('Council Entry'!F121,'Council Entry'!F$9),'Council Entry'!F$8),'Council Entry'!F121)),IF(AND(ISNUMBER('Council Entry'!F$8),ISNUMBER('Council Entry'!F$9)),MAX(MIN('Council Entry'!F121,'Council Entry'!F$9),'Council Entry'!F$8),'Council Entry'!F121))))-'Council Entry'!F$5)/('Council Entry'!F$6-'Council Entry'!F$5),10*((IF('Council Entry'!F$4="Logarithm",LN(0.001+IF(AND(ISNUMBER('Council Entry'!F$8),ISNUMBER('Council Entry'!F$9)),MAX(MIN('Council Entry'!F121,'Council Entry'!F$9),'Council Entry'!F$8),'Council Entry'!F121)),IF('Council Entry'!F$4="Exponential",EXP(IF(AND(ISNUMBER('Council Entry'!F$8),ISNUMBER('Council Entry'!F$9)),MAX(MIN('Council Entry'!F121,'Council Entry'!F$9),'Council Entry'!F$8),'Council Entry'!F121)),IF(AND(ISNUMBER('Council Entry'!F$8),ISNUMBER('Council Entry'!F$9)),MAX(MIN('Council Entry'!F121,'Council Entry'!F$9),'Council Entry'!F$8),'Council Entry'!F121))))-'Council Entry'!F$5)/('Council Entry'!F$6-'Council Entry'!F$5)),1))),"No data"))</f>
        <v/>
      </c>
      <c r="G121" s="13">
        <f>IF('Council Entry'!G121="","",IFERROR(MAX(0,MIN(10,ROUND(IF('Council Entry'!G$7="Decrease Risk",10-10*((IF('Council Entry'!G$4="Logarithm",LN(0.001+IF(AND(ISNUMBER('Council Entry'!G$8),ISNUMBER('Council Entry'!G$9)),MAX(MIN('Council Entry'!G121,'Council Entry'!G$9),'Council Entry'!G$8),'Council Entry'!G121)),IF('Council Entry'!G$4="Exponential",EXP(IF(AND(ISNUMBER('Council Entry'!G$8),ISNUMBER('Council Entry'!G$9)),MAX(MIN('Council Entry'!G121,'Council Entry'!G$9),'Council Entry'!G$8),'Council Entry'!G121)),IF(AND(ISNUMBER('Council Entry'!G$8),ISNUMBER('Council Entry'!G$9)),MAX(MIN('Council Entry'!G121,'Council Entry'!G$9),'Council Entry'!G$8),'Council Entry'!G121))))-'Council Entry'!G$5)/('Council Entry'!G$6-'Council Entry'!G$5),10*((IF('Council Entry'!G$4="Logarithm",LN(0.001+IF(AND(ISNUMBER('Council Entry'!G$8),ISNUMBER('Council Entry'!G$9)),MAX(MIN('Council Entry'!G121,'Council Entry'!G$9),'Council Entry'!G$8),'Council Entry'!G121)),IF('Council Entry'!G$4="Exponential",EXP(IF(AND(ISNUMBER('Council Entry'!G$8),ISNUMBER('Council Entry'!G$9)),MAX(MIN('Council Entry'!G121,'Council Entry'!G$9),'Council Entry'!G$8),'Council Entry'!G121)),IF(AND(ISNUMBER('Council Entry'!G$8),ISNUMBER('Council Entry'!G$9)),MAX(MIN('Council Entry'!G121,'Council Entry'!G$9),'Council Entry'!G$8),'Council Entry'!G121))))-'Council Entry'!G$5)/('Council Entry'!G$6-'Council Entry'!G$5)),1))),"No data"))</f>
        <v/>
      </c>
      <c r="H121" s="13">
        <f>IF('Council Entry'!H121="","",IFERROR(MAX(0,MIN(10,ROUND(IF('Council Entry'!H$7="Decrease Risk",10-10*((IF('Council Entry'!H$4="Logarithm",LN(0.001+IF(AND(ISNUMBER('Council Entry'!H$8),ISNUMBER('Council Entry'!H$9)),MAX(MIN('Council Entry'!H121,'Council Entry'!H$9),'Council Entry'!H$8),'Council Entry'!H121)),IF('Council Entry'!H$4="Exponential",EXP(IF(AND(ISNUMBER('Council Entry'!H$8),ISNUMBER('Council Entry'!H$9)),MAX(MIN('Council Entry'!H121,'Council Entry'!H$9),'Council Entry'!H$8),'Council Entry'!H121)),IF(AND(ISNUMBER('Council Entry'!H$8),ISNUMBER('Council Entry'!H$9)),MAX(MIN('Council Entry'!H121,'Council Entry'!H$9),'Council Entry'!H$8),'Council Entry'!H121))))-'Council Entry'!H$5)/('Council Entry'!H$6-'Council Entry'!H$5),10*((IF('Council Entry'!H$4="Logarithm",LN(0.001+IF(AND(ISNUMBER('Council Entry'!H$8),ISNUMBER('Council Entry'!H$9)),MAX(MIN('Council Entry'!H121,'Council Entry'!H$9),'Council Entry'!H$8),'Council Entry'!H121)),IF('Council Entry'!H$4="Exponential",EXP(IF(AND(ISNUMBER('Council Entry'!H$8),ISNUMBER('Council Entry'!H$9)),MAX(MIN('Council Entry'!H121,'Council Entry'!H$9),'Council Entry'!H$8),'Council Entry'!H121)),IF(AND(ISNUMBER('Council Entry'!H$8),ISNUMBER('Council Entry'!H$9)),MAX(MIN('Council Entry'!H121,'Council Entry'!H$9),'Council Entry'!H$8),'Council Entry'!H121))))-'Council Entry'!H$5)/('Council Entry'!H$6-'Council Entry'!H$5)),1))),"No data"))</f>
        <v/>
      </c>
      <c r="I121" s="13">
        <f>IF('Council Entry'!I121="","",IFERROR(MAX(0,MIN(10,ROUND(IF('Council Entry'!I$7="Decrease Risk",10-10*((IF('Council Entry'!I$4="Logarithm",LN(0.001+IF(AND(ISNUMBER('Council Entry'!I$8),ISNUMBER('Council Entry'!I$9)),MAX(MIN('Council Entry'!I121,'Council Entry'!I$9),'Council Entry'!I$8),'Council Entry'!I121)),IF('Council Entry'!I$4="Exponential",EXP(IF(AND(ISNUMBER('Council Entry'!I$8),ISNUMBER('Council Entry'!I$9)),MAX(MIN('Council Entry'!I121,'Council Entry'!I$9),'Council Entry'!I$8),'Council Entry'!I121)),IF(AND(ISNUMBER('Council Entry'!I$8),ISNUMBER('Council Entry'!I$9)),MAX(MIN('Council Entry'!I121,'Council Entry'!I$9),'Council Entry'!I$8),'Council Entry'!I121))))-'Council Entry'!I$5)/('Council Entry'!I$6-'Council Entry'!I$5),10*((IF('Council Entry'!I$4="Logarithm",LN(0.001+IF(AND(ISNUMBER('Council Entry'!I$8),ISNUMBER('Council Entry'!I$9)),MAX(MIN('Council Entry'!I121,'Council Entry'!I$9),'Council Entry'!I$8),'Council Entry'!I121)),IF('Council Entry'!I$4="Exponential",EXP(IF(AND(ISNUMBER('Council Entry'!I$8),ISNUMBER('Council Entry'!I$9)),MAX(MIN('Council Entry'!I121,'Council Entry'!I$9),'Council Entry'!I$8),'Council Entry'!I121)),IF(AND(ISNUMBER('Council Entry'!I$8),ISNUMBER('Council Entry'!I$9)),MAX(MIN('Council Entry'!I121,'Council Entry'!I$9),'Council Entry'!I$8),'Council Entry'!I121))))-'Council Entry'!I$5)/('Council Entry'!I$6-'Council Entry'!I$5)),1))),"No data"))</f>
        <v/>
      </c>
      <c r="J121" s="13">
        <f>IF('Council Entry'!J121="","",IFERROR(MAX(0,MIN(10,ROUND(IF('Council Entry'!J$7="Decrease Risk",10-10*((IF('Council Entry'!J$4="Logarithm",LN(0.001+IF(AND(ISNUMBER('Council Entry'!J$8),ISNUMBER('Council Entry'!J$9)),MAX(MIN('Council Entry'!J121,'Council Entry'!J$9),'Council Entry'!J$8),'Council Entry'!J121)),IF('Council Entry'!J$4="Exponential",EXP(IF(AND(ISNUMBER('Council Entry'!J$8),ISNUMBER('Council Entry'!J$9)),MAX(MIN('Council Entry'!J121,'Council Entry'!J$9),'Council Entry'!J$8),'Council Entry'!J121)),IF(AND(ISNUMBER('Council Entry'!J$8),ISNUMBER('Council Entry'!J$9)),MAX(MIN('Council Entry'!J121,'Council Entry'!J$9),'Council Entry'!J$8),'Council Entry'!J121))))-'Council Entry'!J$5)/('Council Entry'!J$6-'Council Entry'!J$5),10*((IF('Council Entry'!J$4="Logarithm",LN(0.001+IF(AND(ISNUMBER('Council Entry'!J$8),ISNUMBER('Council Entry'!J$9)),MAX(MIN('Council Entry'!J121,'Council Entry'!J$9),'Council Entry'!J$8),'Council Entry'!J121)),IF('Council Entry'!J$4="Exponential",EXP(IF(AND(ISNUMBER('Council Entry'!J$8),ISNUMBER('Council Entry'!J$9)),MAX(MIN('Council Entry'!J121,'Council Entry'!J$9),'Council Entry'!J$8),'Council Entry'!J121)),IF(AND(ISNUMBER('Council Entry'!J$8),ISNUMBER('Council Entry'!J$9)),MAX(MIN('Council Entry'!J121,'Council Entry'!J$9),'Council Entry'!J$8),'Council Entry'!J121))))-'Council Entry'!J$5)/('Council Entry'!J$6-'Council Entry'!J$5)),1))),"No data"))</f>
        <v/>
      </c>
      <c r="K121" s="13">
        <f>IF('Council Entry'!K121="","",IFERROR(MAX(0,MIN(10,ROUND(IF('Council Entry'!K$7="Decrease Risk",10-10*((IF('Council Entry'!K$4="Logarithm",LN(0.001+IF(AND(ISNUMBER('Council Entry'!K$8),ISNUMBER('Council Entry'!K$9)),MAX(MIN('Council Entry'!K121,'Council Entry'!K$9),'Council Entry'!K$8),'Council Entry'!K121)),IF('Council Entry'!K$4="Exponential",EXP(IF(AND(ISNUMBER('Council Entry'!K$8),ISNUMBER('Council Entry'!K$9)),MAX(MIN('Council Entry'!K121,'Council Entry'!K$9),'Council Entry'!K$8),'Council Entry'!K121)),IF(AND(ISNUMBER('Council Entry'!K$8),ISNUMBER('Council Entry'!K$9)),MAX(MIN('Council Entry'!K121,'Council Entry'!K$9),'Council Entry'!K$8),'Council Entry'!K121))))-'Council Entry'!K$5)/('Council Entry'!K$6-'Council Entry'!K$5),10*((IF('Council Entry'!K$4="Logarithm",LN(0.001+IF(AND(ISNUMBER('Council Entry'!K$8),ISNUMBER('Council Entry'!K$9)),MAX(MIN('Council Entry'!K121,'Council Entry'!K$9),'Council Entry'!K$8),'Council Entry'!K121)),IF('Council Entry'!K$4="Exponential",EXP(IF(AND(ISNUMBER('Council Entry'!K$8),ISNUMBER('Council Entry'!K$9)),MAX(MIN('Council Entry'!K121,'Council Entry'!K$9),'Council Entry'!K$8),'Council Entry'!K121)),IF(AND(ISNUMBER('Council Entry'!K$8),ISNUMBER('Council Entry'!K$9)),MAX(MIN('Council Entry'!K121,'Council Entry'!K$9),'Council Entry'!K$8),'Council Entry'!K121))))-'Council Entry'!K$5)/('Council Entry'!K$6-'Council Entry'!K$5)),1))),"No data"))</f>
        <v/>
      </c>
      <c r="L121" s="13">
        <f>IF('Council Entry'!L121="","",IFERROR(MAX(0,MIN(10,ROUND(IF('Council Entry'!L$7="Decrease Risk",10-10*((IF('Council Entry'!L$4="Logarithm",LN(0.001+IF(AND(ISNUMBER('Council Entry'!L$8),ISNUMBER('Council Entry'!L$9)),MAX(MIN('Council Entry'!L121,'Council Entry'!L$9),'Council Entry'!L$8),'Council Entry'!L121)),IF('Council Entry'!L$4="Exponential",EXP(IF(AND(ISNUMBER('Council Entry'!L$8),ISNUMBER('Council Entry'!L$9)),MAX(MIN('Council Entry'!L121,'Council Entry'!L$9),'Council Entry'!L$8),'Council Entry'!L121)),IF(AND(ISNUMBER('Council Entry'!L$8),ISNUMBER('Council Entry'!L$9)),MAX(MIN('Council Entry'!L121,'Council Entry'!L$9),'Council Entry'!L$8),'Council Entry'!L121))))-'Council Entry'!L$5)/('Council Entry'!L$6-'Council Entry'!L$5),10*((IF('Council Entry'!L$4="Logarithm",LN(0.001+IF(AND(ISNUMBER('Council Entry'!L$8),ISNUMBER('Council Entry'!L$9)),MAX(MIN('Council Entry'!L121,'Council Entry'!L$9),'Council Entry'!L$8),'Council Entry'!L121)),IF('Council Entry'!L$4="Exponential",EXP(IF(AND(ISNUMBER('Council Entry'!L$8),ISNUMBER('Council Entry'!L$9)),MAX(MIN('Council Entry'!L121,'Council Entry'!L$9),'Council Entry'!L$8),'Council Entry'!L121)),IF(AND(ISNUMBER('Council Entry'!L$8),ISNUMBER('Council Entry'!L$9)),MAX(MIN('Council Entry'!L121,'Council Entry'!L$9),'Council Entry'!L$8),'Council Entry'!L121))))-'Council Entry'!L$5)/('Council Entry'!L$6-'Council Entry'!L$5)),1))),"No data"))</f>
        <v/>
      </c>
      <c r="M121" s="13">
        <f>IF('Council Entry'!M121="","",IFERROR(MAX(0,MIN(10,ROUND(IF('Council Entry'!M$7="Decrease Risk",10-10*((IF('Council Entry'!M$4="Logarithm",LN(0.001+IF(AND(ISNUMBER('Council Entry'!M$8),ISNUMBER('Council Entry'!M$9)),MAX(MIN('Council Entry'!M121,'Council Entry'!M$9),'Council Entry'!M$8),'Council Entry'!M121)),IF('Council Entry'!M$4="Exponential",EXP(IF(AND(ISNUMBER('Council Entry'!M$8),ISNUMBER('Council Entry'!M$9)),MAX(MIN('Council Entry'!M121,'Council Entry'!M$9),'Council Entry'!M$8),'Council Entry'!M121)),IF(AND(ISNUMBER('Council Entry'!M$8),ISNUMBER('Council Entry'!M$9)),MAX(MIN('Council Entry'!M121,'Council Entry'!M$9),'Council Entry'!M$8),'Council Entry'!M121))))-'Council Entry'!M$5)/('Council Entry'!M$6-'Council Entry'!M$5),10*((IF('Council Entry'!M$4="Logarithm",LN(0.001+IF(AND(ISNUMBER('Council Entry'!M$8),ISNUMBER('Council Entry'!M$9)),MAX(MIN('Council Entry'!M121,'Council Entry'!M$9),'Council Entry'!M$8),'Council Entry'!M121)),IF('Council Entry'!M$4="Exponential",EXP(IF(AND(ISNUMBER('Council Entry'!M$8),ISNUMBER('Council Entry'!M$9)),MAX(MIN('Council Entry'!M121,'Council Entry'!M$9),'Council Entry'!M$8),'Council Entry'!M121)),IF(AND(ISNUMBER('Council Entry'!M$8),ISNUMBER('Council Entry'!M$9)),MAX(MIN('Council Entry'!M121,'Council Entry'!M$9),'Council Entry'!M$8),'Council Entry'!M121))))-'Council Entry'!M$5)/('Council Entry'!M$6-'Council Entry'!M$5)),1))),"No data"))</f>
        <v/>
      </c>
      <c r="N121" s="13">
        <f>IF('Council Entry'!N121="","",IFERROR(MAX(0,MIN(10,ROUND(IF('Council Entry'!N$7="Decrease Risk",10-10*((IF('Council Entry'!N$4="Logarithm",LN(0.001+IF(AND(ISNUMBER('Council Entry'!N$8),ISNUMBER('Council Entry'!N$9)),MAX(MIN('Council Entry'!N121,'Council Entry'!N$9),'Council Entry'!N$8),'Council Entry'!N121)),IF('Council Entry'!N$4="Exponential",EXP(IF(AND(ISNUMBER('Council Entry'!N$8),ISNUMBER('Council Entry'!N$9)),MAX(MIN('Council Entry'!N121,'Council Entry'!N$9),'Council Entry'!N$8),'Council Entry'!N121)),IF(AND(ISNUMBER('Council Entry'!N$8),ISNUMBER('Council Entry'!N$9)),MAX(MIN('Council Entry'!N121,'Council Entry'!N$9),'Council Entry'!N$8),'Council Entry'!N121))))-'Council Entry'!N$5)/('Council Entry'!N$6-'Council Entry'!N$5),10*((IF('Council Entry'!N$4="Logarithm",LN(0.001+IF(AND(ISNUMBER('Council Entry'!N$8),ISNUMBER('Council Entry'!N$9)),MAX(MIN('Council Entry'!N121,'Council Entry'!N$9),'Council Entry'!N$8),'Council Entry'!N121)),IF('Council Entry'!N$4="Exponential",EXP(IF(AND(ISNUMBER('Council Entry'!N$8),ISNUMBER('Council Entry'!N$9)),MAX(MIN('Council Entry'!N121,'Council Entry'!N$9),'Council Entry'!N$8),'Council Entry'!N121)),IF(AND(ISNUMBER('Council Entry'!N$8),ISNUMBER('Council Entry'!N$9)),MAX(MIN('Council Entry'!N121,'Council Entry'!N$9),'Council Entry'!N$8),'Council Entry'!N121))))-'Council Entry'!N$5)/('Council Entry'!N$6-'Council Entry'!N$5)),1))),"No data"))</f>
        <v/>
      </c>
      <c r="O121" s="13">
        <f>IF('Council Entry'!O121="","",IFERROR(MAX(0,MIN(10,ROUND(IF('Council Entry'!O$7="Decrease Risk",10-10*((IF('Council Entry'!O$4="Logarithm",LN(0.001+IF(AND(ISNUMBER('Council Entry'!O$8),ISNUMBER('Council Entry'!O$9)),MAX(MIN('Council Entry'!O121,'Council Entry'!O$9),'Council Entry'!O$8),'Council Entry'!O121)),IF('Council Entry'!O$4="Exponential",EXP(IF(AND(ISNUMBER('Council Entry'!O$8),ISNUMBER('Council Entry'!O$9)),MAX(MIN('Council Entry'!O121,'Council Entry'!O$9),'Council Entry'!O$8),'Council Entry'!O121)),IF(AND(ISNUMBER('Council Entry'!O$8),ISNUMBER('Council Entry'!O$9)),MAX(MIN('Council Entry'!O121,'Council Entry'!O$9),'Council Entry'!O$8),'Council Entry'!O121))))-'Council Entry'!O$5)/('Council Entry'!O$6-'Council Entry'!O$5),10*((IF('Council Entry'!O$4="Logarithm",LN(0.001+IF(AND(ISNUMBER('Council Entry'!O$8),ISNUMBER('Council Entry'!O$9)),MAX(MIN('Council Entry'!O121,'Council Entry'!O$9),'Council Entry'!O$8),'Council Entry'!O121)),IF('Council Entry'!O$4="Exponential",EXP(IF(AND(ISNUMBER('Council Entry'!O$8),ISNUMBER('Council Entry'!O$9)),MAX(MIN('Council Entry'!O121,'Council Entry'!O$9),'Council Entry'!O$8),'Council Entry'!O121)),IF(AND(ISNUMBER('Council Entry'!O$8),ISNUMBER('Council Entry'!O$9)),MAX(MIN('Council Entry'!O121,'Council Entry'!O$9),'Council Entry'!O$8),'Council Entry'!O121))))-'Council Entry'!O$5)/('Council Entry'!O$6-'Council Entry'!O$5)),1))),"No data"))</f>
        <v/>
      </c>
      <c r="P121" s="13">
        <f>IF('Council Entry'!P121="","",IFERROR(MAX(0,MIN(10,ROUND(IF('Council Entry'!P$7="Decrease Risk",10-10*((IF('Council Entry'!P$4="Logarithm",LN(0.001+IF(AND(ISNUMBER('Council Entry'!P$8),ISNUMBER('Council Entry'!P$9)),MAX(MIN('Council Entry'!P121,'Council Entry'!P$9),'Council Entry'!P$8),'Council Entry'!P121)),IF('Council Entry'!P$4="Exponential",EXP(IF(AND(ISNUMBER('Council Entry'!P$8),ISNUMBER('Council Entry'!P$9)),MAX(MIN('Council Entry'!P121,'Council Entry'!P$9),'Council Entry'!P$8),'Council Entry'!P121)),IF(AND(ISNUMBER('Council Entry'!P$8),ISNUMBER('Council Entry'!P$9)),MAX(MIN('Council Entry'!P121,'Council Entry'!P$9),'Council Entry'!P$8),'Council Entry'!P121))))-'Council Entry'!P$5)/('Council Entry'!P$6-'Council Entry'!P$5),10*((IF('Council Entry'!P$4="Logarithm",LN(0.001+IF(AND(ISNUMBER('Council Entry'!P$8),ISNUMBER('Council Entry'!P$9)),MAX(MIN('Council Entry'!P121,'Council Entry'!P$9),'Council Entry'!P$8),'Council Entry'!P121)),IF('Council Entry'!P$4="Exponential",EXP(IF(AND(ISNUMBER('Council Entry'!P$8),ISNUMBER('Council Entry'!P$9)),MAX(MIN('Council Entry'!P121,'Council Entry'!P$9),'Council Entry'!P$8),'Council Entry'!P121)),IF(AND(ISNUMBER('Council Entry'!P$8),ISNUMBER('Council Entry'!P$9)),MAX(MIN('Council Entry'!P121,'Council Entry'!P$9),'Council Entry'!P$8),'Council Entry'!P121))))-'Council Entry'!P$5)/('Council Entry'!P$6-'Council Entry'!P$5)),1))),"No data"))</f>
        <v/>
      </c>
      <c r="Q121" s="13">
        <f>IF('Council Entry'!Q121="","",IFERROR(MAX(0,MIN(10,ROUND(IF('Council Entry'!Q$7="Decrease Risk",10-10*((IF('Council Entry'!Q$4="Logarithm",LN(0.001+IF(AND(ISNUMBER('Council Entry'!Q$8),ISNUMBER('Council Entry'!Q$9)),MAX(MIN('Council Entry'!Q121,'Council Entry'!Q$9),'Council Entry'!Q$8),'Council Entry'!Q121)),IF('Council Entry'!Q$4="Exponential",EXP(IF(AND(ISNUMBER('Council Entry'!Q$8),ISNUMBER('Council Entry'!Q$9)),MAX(MIN('Council Entry'!Q121,'Council Entry'!Q$9),'Council Entry'!Q$8),'Council Entry'!Q121)),IF(AND(ISNUMBER('Council Entry'!Q$8),ISNUMBER('Council Entry'!Q$9)),MAX(MIN('Council Entry'!Q121,'Council Entry'!Q$9),'Council Entry'!Q$8),'Council Entry'!Q121))))-'Council Entry'!Q$5)/('Council Entry'!Q$6-'Council Entry'!Q$5),10*((IF('Council Entry'!Q$4="Logarithm",LN(0.001+IF(AND(ISNUMBER('Council Entry'!Q$8),ISNUMBER('Council Entry'!Q$9)),MAX(MIN('Council Entry'!Q121,'Council Entry'!Q$9),'Council Entry'!Q$8),'Council Entry'!Q121)),IF('Council Entry'!Q$4="Exponential",EXP(IF(AND(ISNUMBER('Council Entry'!Q$8),ISNUMBER('Council Entry'!Q$9)),MAX(MIN('Council Entry'!Q121,'Council Entry'!Q$9),'Council Entry'!Q$8),'Council Entry'!Q121)),IF(AND(ISNUMBER('Council Entry'!Q$8),ISNUMBER('Council Entry'!Q$9)),MAX(MIN('Council Entry'!Q121,'Council Entry'!Q$9),'Council Entry'!Q$8),'Council Entry'!Q121))))-'Council Entry'!Q$5)/('Council Entry'!Q$6-'Council Entry'!Q$5)),1))),"No data"))</f>
        <v/>
      </c>
      <c r="R121" s="13">
        <f>IF('Council Entry'!R121="","",IFERROR(MAX(0,MIN(10,ROUND(IF('Council Entry'!R$7="Decrease Risk",10-10*((IF('Council Entry'!R$4="Logarithm",LN(0.001+IF(AND(ISNUMBER('Council Entry'!R$8),ISNUMBER('Council Entry'!R$9)),MAX(MIN('Council Entry'!R121,'Council Entry'!R$9),'Council Entry'!R$8),'Council Entry'!R121)),IF('Council Entry'!R$4="Exponential",EXP(IF(AND(ISNUMBER('Council Entry'!R$8),ISNUMBER('Council Entry'!R$9)),MAX(MIN('Council Entry'!R121,'Council Entry'!R$9),'Council Entry'!R$8),'Council Entry'!R121)),IF(AND(ISNUMBER('Council Entry'!R$8),ISNUMBER('Council Entry'!R$9)),MAX(MIN('Council Entry'!R121,'Council Entry'!R$9),'Council Entry'!R$8),'Council Entry'!R121))))-'Council Entry'!R$5)/('Council Entry'!R$6-'Council Entry'!R$5),10*((IF('Council Entry'!R$4="Logarithm",LN(0.001+IF(AND(ISNUMBER('Council Entry'!R$8),ISNUMBER('Council Entry'!R$9)),MAX(MIN('Council Entry'!R121,'Council Entry'!R$9),'Council Entry'!R$8),'Council Entry'!R121)),IF('Council Entry'!R$4="Exponential",EXP(IF(AND(ISNUMBER('Council Entry'!R$8),ISNUMBER('Council Entry'!R$9)),MAX(MIN('Council Entry'!R121,'Council Entry'!R$9),'Council Entry'!R$8),'Council Entry'!R121)),IF(AND(ISNUMBER('Council Entry'!R$8),ISNUMBER('Council Entry'!R$9)),MAX(MIN('Council Entry'!R121,'Council Entry'!R$9),'Council Entry'!R$8),'Council Entry'!R121))))-'Council Entry'!R$5)/('Council Entry'!R$6-'Council Entry'!R$5)),1))),"No data"))</f>
        <v/>
      </c>
      <c r="S121" s="13">
        <f>IF('Council Entry'!S121="","",IFERROR(MAX(0,MIN(10,ROUND(IF('Council Entry'!S$7="Decrease Risk",10-10*((IF('Council Entry'!S$4="Logarithm",LN(0.001+IF(AND(ISNUMBER('Council Entry'!S$8),ISNUMBER('Council Entry'!S$9)),MAX(MIN('Council Entry'!S121,'Council Entry'!S$9),'Council Entry'!S$8),'Council Entry'!S121)),IF('Council Entry'!S$4="Exponential",EXP(IF(AND(ISNUMBER('Council Entry'!S$8),ISNUMBER('Council Entry'!S$9)),MAX(MIN('Council Entry'!S121,'Council Entry'!S$9),'Council Entry'!S$8),'Council Entry'!S121)),IF(AND(ISNUMBER('Council Entry'!S$8),ISNUMBER('Council Entry'!S$9)),MAX(MIN('Council Entry'!S121,'Council Entry'!S$9),'Council Entry'!S$8),'Council Entry'!S121))))-'Council Entry'!S$5)/('Council Entry'!S$6-'Council Entry'!S$5),10*((IF('Council Entry'!S$4="Logarithm",LN(0.001+IF(AND(ISNUMBER('Council Entry'!S$8),ISNUMBER('Council Entry'!S$9)),MAX(MIN('Council Entry'!S121,'Council Entry'!S$9),'Council Entry'!S$8),'Council Entry'!S121)),IF('Council Entry'!S$4="Exponential",EXP(IF(AND(ISNUMBER('Council Entry'!S$8),ISNUMBER('Council Entry'!S$9)),MAX(MIN('Council Entry'!S121,'Council Entry'!S$9),'Council Entry'!S$8),'Council Entry'!S121)),IF(AND(ISNUMBER('Council Entry'!S$8),ISNUMBER('Council Entry'!S$9)),MAX(MIN('Council Entry'!S121,'Council Entry'!S$9),'Council Entry'!S$8),'Council Entry'!S121))))-'Council Entry'!S$5)/('Council Entry'!S$6-'Council Entry'!S$5)),1))),"No data"))</f>
        <v/>
      </c>
      <c r="T121" s="13">
        <f>IF('Council Entry'!T121="","",IFERROR(MAX(0,MIN(10,ROUND(IF('Council Entry'!T$7="Decrease Risk",10-10*((IF('Council Entry'!T$4="Logarithm",LN(0.001+IF(AND(ISNUMBER('Council Entry'!T$8),ISNUMBER('Council Entry'!T$9)),MAX(MIN('Council Entry'!T121,'Council Entry'!T$9),'Council Entry'!T$8),'Council Entry'!T121)),IF('Council Entry'!T$4="Exponential",EXP(IF(AND(ISNUMBER('Council Entry'!T$8),ISNUMBER('Council Entry'!T$9)),MAX(MIN('Council Entry'!T121,'Council Entry'!T$9),'Council Entry'!T$8),'Council Entry'!T121)),IF(AND(ISNUMBER('Council Entry'!T$8),ISNUMBER('Council Entry'!T$9)),MAX(MIN('Council Entry'!T121,'Council Entry'!T$9),'Council Entry'!T$8),'Council Entry'!T121))))-'Council Entry'!T$5)/('Council Entry'!T$6-'Council Entry'!T$5),10*((IF('Council Entry'!T$4="Logarithm",LN(0.001+IF(AND(ISNUMBER('Council Entry'!T$8),ISNUMBER('Council Entry'!T$9)),MAX(MIN('Council Entry'!T121,'Council Entry'!T$9),'Council Entry'!T$8),'Council Entry'!T121)),IF('Council Entry'!T$4="Exponential",EXP(IF(AND(ISNUMBER('Council Entry'!T$8),ISNUMBER('Council Entry'!T$9)),MAX(MIN('Council Entry'!T121,'Council Entry'!T$9),'Council Entry'!T$8),'Council Entry'!T121)),IF(AND(ISNUMBER('Council Entry'!T$8),ISNUMBER('Council Entry'!T$9)),MAX(MIN('Council Entry'!T121,'Council Entry'!T$9),'Council Entry'!T$8),'Council Entry'!T121))))-'Council Entry'!T$5)/('Council Entry'!T$6-'Council Entry'!T$5)),1))),"No data"))</f>
        <v/>
      </c>
      <c r="U121" s="13">
        <f>IF('Council Entry'!U121="","",IFERROR(MAX(0,MIN(10,ROUND(IF('Council Entry'!U$7="Decrease Risk",10-10*((IF('Council Entry'!U$4="Logarithm",LN(0.001+IF(AND(ISNUMBER('Council Entry'!U$8),ISNUMBER('Council Entry'!U$9)),MAX(MIN('Council Entry'!U121,'Council Entry'!U$9),'Council Entry'!U$8),'Council Entry'!U121)),IF('Council Entry'!U$4="Exponential",EXP(IF(AND(ISNUMBER('Council Entry'!U$8),ISNUMBER('Council Entry'!U$9)),MAX(MIN('Council Entry'!U121,'Council Entry'!U$9),'Council Entry'!U$8),'Council Entry'!U121)),IF(AND(ISNUMBER('Council Entry'!U$8),ISNUMBER('Council Entry'!U$9)),MAX(MIN('Council Entry'!U121,'Council Entry'!U$9),'Council Entry'!U$8),'Council Entry'!U121))))-'Council Entry'!U$5)/('Council Entry'!U$6-'Council Entry'!U$5),10*((IF('Council Entry'!U$4="Logarithm",LN(0.001+IF(AND(ISNUMBER('Council Entry'!U$8),ISNUMBER('Council Entry'!U$9)),MAX(MIN('Council Entry'!U121,'Council Entry'!U$9),'Council Entry'!U$8),'Council Entry'!U121)),IF('Council Entry'!U$4="Exponential",EXP(IF(AND(ISNUMBER('Council Entry'!U$8),ISNUMBER('Council Entry'!U$9)),MAX(MIN('Council Entry'!U121,'Council Entry'!U$9),'Council Entry'!U$8),'Council Entry'!U121)),IF(AND(ISNUMBER('Council Entry'!U$8),ISNUMBER('Council Entry'!U$9)),MAX(MIN('Council Entry'!U121,'Council Entry'!U$9),'Council Entry'!U$8),'Council Entry'!U121))))-'Council Entry'!U$5)/('Council Entry'!U$6-'Council Entry'!U$5)),1))),"No data"))</f>
        <v/>
      </c>
      <c r="V121" s="13">
        <f>IF('Council Entry'!V121="","",IFERROR(MAX(0,MIN(10,ROUND(IF('Council Entry'!V$7="Decrease Risk",10-10*((IF('Council Entry'!V$4="Logarithm",LN(0.001+IF(AND(ISNUMBER('Council Entry'!V$8),ISNUMBER('Council Entry'!V$9)),MAX(MIN('Council Entry'!V121,'Council Entry'!V$9),'Council Entry'!V$8),'Council Entry'!V121)),IF('Council Entry'!V$4="Exponential",EXP(IF(AND(ISNUMBER('Council Entry'!V$8),ISNUMBER('Council Entry'!V$9)),MAX(MIN('Council Entry'!V121,'Council Entry'!V$9),'Council Entry'!V$8),'Council Entry'!V121)),IF(AND(ISNUMBER('Council Entry'!V$8),ISNUMBER('Council Entry'!V$9)),MAX(MIN('Council Entry'!V121,'Council Entry'!V$9),'Council Entry'!V$8),'Council Entry'!V121))))-'Council Entry'!V$5)/('Council Entry'!V$6-'Council Entry'!V$5),10*((IF('Council Entry'!V$4="Logarithm",LN(0.001+IF(AND(ISNUMBER('Council Entry'!V$8),ISNUMBER('Council Entry'!V$9)),MAX(MIN('Council Entry'!V121,'Council Entry'!V$9),'Council Entry'!V$8),'Council Entry'!V121)),IF('Council Entry'!V$4="Exponential",EXP(IF(AND(ISNUMBER('Council Entry'!V$8),ISNUMBER('Council Entry'!V$9)),MAX(MIN('Council Entry'!V121,'Council Entry'!V$9),'Council Entry'!V$8),'Council Entry'!V121)),IF(AND(ISNUMBER('Council Entry'!V$8),ISNUMBER('Council Entry'!V$9)),MAX(MIN('Council Entry'!V121,'Council Entry'!V$9),'Council Entry'!V$8),'Council Entry'!V121))))-'Council Entry'!V$5)/('Council Entry'!V$6-'Council Entry'!V$5)),1))),"No data"))</f>
        <v/>
      </c>
      <c r="W121" s="13">
        <f>IF('Council Entry'!W121="","",IFERROR(MAX(0,MIN(10,ROUND(IF('Council Entry'!W$7="Decrease Risk",10-10*((IF('Council Entry'!W$4="Logarithm",LN(0.001+IF(AND(ISNUMBER('Council Entry'!W$8),ISNUMBER('Council Entry'!W$9)),MAX(MIN('Council Entry'!W121,'Council Entry'!W$9),'Council Entry'!W$8),'Council Entry'!W121)),IF('Council Entry'!W$4="Exponential",EXP(IF(AND(ISNUMBER('Council Entry'!W$8),ISNUMBER('Council Entry'!W$9)),MAX(MIN('Council Entry'!W121,'Council Entry'!W$9),'Council Entry'!W$8),'Council Entry'!W121)),IF(AND(ISNUMBER('Council Entry'!W$8),ISNUMBER('Council Entry'!W$9)),MAX(MIN('Council Entry'!W121,'Council Entry'!W$9),'Council Entry'!W$8),'Council Entry'!W121))))-'Council Entry'!W$5)/('Council Entry'!W$6-'Council Entry'!W$5),10*((IF('Council Entry'!W$4="Logarithm",LN(0.001+IF(AND(ISNUMBER('Council Entry'!W$8),ISNUMBER('Council Entry'!W$9)),MAX(MIN('Council Entry'!W121,'Council Entry'!W$9),'Council Entry'!W$8),'Council Entry'!W121)),IF('Council Entry'!W$4="Exponential",EXP(IF(AND(ISNUMBER('Council Entry'!W$8),ISNUMBER('Council Entry'!W$9)),MAX(MIN('Council Entry'!W121,'Council Entry'!W$9),'Council Entry'!W$8),'Council Entry'!W121)),IF(AND(ISNUMBER('Council Entry'!W$8),ISNUMBER('Council Entry'!W$9)),MAX(MIN('Council Entry'!W121,'Council Entry'!W$9),'Council Entry'!W$8),'Council Entry'!W121))))-'Council Entry'!W$5)/('Council Entry'!W$6-'Council Entry'!W$5)),1))),"No data"))</f>
        <v/>
      </c>
      <c r="X121" s="13">
        <f>IF('Council Entry'!X121="","",IFERROR(MAX(0,MIN(10,ROUND(IF('Council Entry'!X$7="Decrease Risk",10-10*((IF('Council Entry'!X$4="Logarithm",LN(0.001+IF(AND(ISNUMBER('Council Entry'!X$8),ISNUMBER('Council Entry'!X$9)),MAX(MIN('Council Entry'!X121,'Council Entry'!X$9),'Council Entry'!X$8),'Council Entry'!X121)),IF('Council Entry'!X$4="Exponential",EXP(IF(AND(ISNUMBER('Council Entry'!X$8),ISNUMBER('Council Entry'!X$9)),MAX(MIN('Council Entry'!X121,'Council Entry'!X$9),'Council Entry'!X$8),'Council Entry'!X121)),IF(AND(ISNUMBER('Council Entry'!X$8),ISNUMBER('Council Entry'!X$9)),MAX(MIN('Council Entry'!X121,'Council Entry'!X$9),'Council Entry'!X$8),'Council Entry'!X121))))-'Council Entry'!X$5)/('Council Entry'!X$6-'Council Entry'!X$5),10*((IF('Council Entry'!X$4="Logarithm",LN(0.001+IF(AND(ISNUMBER('Council Entry'!X$8),ISNUMBER('Council Entry'!X$9)),MAX(MIN('Council Entry'!X121,'Council Entry'!X$9),'Council Entry'!X$8),'Council Entry'!X121)),IF('Council Entry'!X$4="Exponential",EXP(IF(AND(ISNUMBER('Council Entry'!X$8),ISNUMBER('Council Entry'!X$9)),MAX(MIN('Council Entry'!X121,'Council Entry'!X$9),'Council Entry'!X$8),'Council Entry'!X121)),IF(AND(ISNUMBER('Council Entry'!X$8),ISNUMBER('Council Entry'!X$9)),MAX(MIN('Council Entry'!X121,'Council Entry'!X$9),'Council Entry'!X$8),'Council Entry'!X121))))-'Council Entry'!X$5)/('Council Entry'!X$6-'Council Entry'!X$5)),1))),"No data"))</f>
        <v/>
      </c>
      <c r="Y121" s="13">
        <f>IF('Council Entry'!Y121="","",IFERROR(MAX(0,MIN(10,ROUND(IF('Council Entry'!Y$7="Decrease Risk",10-10*((IF('Council Entry'!Y$4="Logarithm",LN(0.001+IF(AND(ISNUMBER('Council Entry'!Y$8),ISNUMBER('Council Entry'!Y$9)),MAX(MIN('Council Entry'!Y121,'Council Entry'!Y$9),'Council Entry'!Y$8),'Council Entry'!Y121)),IF('Council Entry'!Y$4="Exponential",EXP(IF(AND(ISNUMBER('Council Entry'!Y$8),ISNUMBER('Council Entry'!Y$9)),MAX(MIN('Council Entry'!Y121,'Council Entry'!Y$9),'Council Entry'!Y$8),'Council Entry'!Y121)),IF(AND(ISNUMBER('Council Entry'!Y$8),ISNUMBER('Council Entry'!Y$9)),MAX(MIN('Council Entry'!Y121,'Council Entry'!Y$9),'Council Entry'!Y$8),'Council Entry'!Y121))))-'Council Entry'!Y$5)/('Council Entry'!Y$6-'Council Entry'!Y$5),10*((IF('Council Entry'!Y$4="Logarithm",LN(0.001+IF(AND(ISNUMBER('Council Entry'!Y$8),ISNUMBER('Council Entry'!Y$9)),MAX(MIN('Council Entry'!Y121,'Council Entry'!Y$9),'Council Entry'!Y$8),'Council Entry'!Y121)),IF('Council Entry'!Y$4="Exponential",EXP(IF(AND(ISNUMBER('Council Entry'!Y$8),ISNUMBER('Council Entry'!Y$9)),MAX(MIN('Council Entry'!Y121,'Council Entry'!Y$9),'Council Entry'!Y$8),'Council Entry'!Y121)),IF(AND(ISNUMBER('Council Entry'!Y$8),ISNUMBER('Council Entry'!Y$9)),MAX(MIN('Council Entry'!Y121,'Council Entry'!Y$9),'Council Entry'!Y$8),'Council Entry'!Y121))))-'Council Entry'!Y$5)/('Council Entry'!Y$6-'Council Entry'!Y$5)),1))),"No data"))</f>
        <v/>
      </c>
      <c r="Z121" s="13">
        <f>IF('Council Entry'!Z121="","",IFERROR(MAX(0,MIN(10,ROUND(IF('Council Entry'!Z$7="Decrease Risk",10-10*((IF('Council Entry'!Z$4="Logarithm",LN(0.001+IF(AND(ISNUMBER('Council Entry'!Z$8),ISNUMBER('Council Entry'!Z$9)),MAX(MIN('Council Entry'!Z121,'Council Entry'!Z$9),'Council Entry'!Z$8),'Council Entry'!Z121)),IF('Council Entry'!Z$4="Exponential",EXP(IF(AND(ISNUMBER('Council Entry'!Z$8),ISNUMBER('Council Entry'!Z$9)),MAX(MIN('Council Entry'!Z121,'Council Entry'!Z$9),'Council Entry'!Z$8),'Council Entry'!Z121)),IF(AND(ISNUMBER('Council Entry'!Z$8),ISNUMBER('Council Entry'!Z$9)),MAX(MIN('Council Entry'!Z121,'Council Entry'!Z$9),'Council Entry'!Z$8),'Council Entry'!Z121))))-'Council Entry'!Z$5)/('Council Entry'!Z$6-'Council Entry'!Z$5),10*((IF('Council Entry'!Z$4="Logarithm",LN(0.001+IF(AND(ISNUMBER('Council Entry'!Z$8),ISNUMBER('Council Entry'!Z$9)),MAX(MIN('Council Entry'!Z121,'Council Entry'!Z$9),'Council Entry'!Z$8),'Council Entry'!Z121)),IF('Council Entry'!Z$4="Exponential",EXP(IF(AND(ISNUMBER('Council Entry'!Z$8),ISNUMBER('Council Entry'!Z$9)),MAX(MIN('Council Entry'!Z121,'Council Entry'!Z$9),'Council Entry'!Z$8),'Council Entry'!Z121)),IF(AND(ISNUMBER('Council Entry'!Z$8),ISNUMBER('Council Entry'!Z$9)),MAX(MIN('Council Entry'!Z121,'Council Entry'!Z$9),'Council Entry'!Z$8),'Council Entry'!Z121))))-'Council Entry'!Z$5)/('Council Entry'!Z$6-'Council Entry'!Z$5)),1))),"No data"))</f>
        <v/>
      </c>
      <c r="AA121" s="13">
        <f>IF('Council Entry'!AA121="","",IFERROR(MAX(0,MIN(10,ROUND(IF('Council Entry'!AA$7="Decrease Risk",10-10*((IF('Council Entry'!AA$4="Logarithm",LN(0.001+IF(AND(ISNUMBER('Council Entry'!AA$8),ISNUMBER('Council Entry'!AA$9)),MAX(MIN('Council Entry'!AA121,'Council Entry'!AA$9),'Council Entry'!AA$8),'Council Entry'!AA121)),IF('Council Entry'!AA$4="Exponential",EXP(IF(AND(ISNUMBER('Council Entry'!AA$8),ISNUMBER('Council Entry'!AA$9)),MAX(MIN('Council Entry'!AA121,'Council Entry'!AA$9),'Council Entry'!AA$8),'Council Entry'!AA121)),IF(AND(ISNUMBER('Council Entry'!AA$8),ISNUMBER('Council Entry'!AA$9)),MAX(MIN('Council Entry'!AA121,'Council Entry'!AA$9),'Council Entry'!AA$8),'Council Entry'!AA121))))-'Council Entry'!AA$5)/('Council Entry'!AA$6-'Council Entry'!AA$5),10*((IF('Council Entry'!AA$4="Logarithm",LN(0.001+IF(AND(ISNUMBER('Council Entry'!AA$8),ISNUMBER('Council Entry'!AA$9)),MAX(MIN('Council Entry'!AA121,'Council Entry'!AA$9),'Council Entry'!AA$8),'Council Entry'!AA121)),IF('Council Entry'!AA$4="Exponential",EXP(IF(AND(ISNUMBER('Council Entry'!AA$8),ISNUMBER('Council Entry'!AA$9)),MAX(MIN('Council Entry'!AA121,'Council Entry'!AA$9),'Council Entry'!AA$8),'Council Entry'!AA121)),IF(AND(ISNUMBER('Council Entry'!AA$8),ISNUMBER('Council Entry'!AA$9)),MAX(MIN('Council Entry'!AA121,'Council Entry'!AA$9),'Council Entry'!AA$8),'Council Entry'!AA121))))-'Council Entry'!AA$5)/('Council Entry'!AA$6-'Council Entry'!AA$5)),1))),"No data"))</f>
        <v/>
      </c>
      <c r="AB121" s="13">
        <f>IF('Council Entry'!AB121="","",IFERROR(MAX(0,MIN(10,ROUND(IF('Council Entry'!AB$7="Decrease Risk",10-10*((IF('Council Entry'!AB$4="Logarithm",LN(0.001+IF(AND(ISNUMBER('Council Entry'!AB$8),ISNUMBER('Council Entry'!AB$9)),MAX(MIN('Council Entry'!AB121,'Council Entry'!AB$9),'Council Entry'!AB$8),'Council Entry'!AB121)),IF('Council Entry'!AB$4="Exponential",EXP(IF(AND(ISNUMBER('Council Entry'!AB$8),ISNUMBER('Council Entry'!AB$9)),MAX(MIN('Council Entry'!AB121,'Council Entry'!AB$9),'Council Entry'!AB$8),'Council Entry'!AB121)),IF(AND(ISNUMBER('Council Entry'!AB$8),ISNUMBER('Council Entry'!AB$9)),MAX(MIN('Council Entry'!AB121,'Council Entry'!AB$9),'Council Entry'!AB$8),'Council Entry'!AB121))))-'Council Entry'!AB$5)/('Council Entry'!AB$6-'Council Entry'!AB$5),10*((IF('Council Entry'!AB$4="Logarithm",LN(0.001+IF(AND(ISNUMBER('Council Entry'!AB$8),ISNUMBER('Council Entry'!AB$9)),MAX(MIN('Council Entry'!AB121,'Council Entry'!AB$9),'Council Entry'!AB$8),'Council Entry'!AB121)),IF('Council Entry'!AB$4="Exponential",EXP(IF(AND(ISNUMBER('Council Entry'!AB$8),ISNUMBER('Council Entry'!AB$9)),MAX(MIN('Council Entry'!AB121,'Council Entry'!AB$9),'Council Entry'!AB$8),'Council Entry'!AB121)),IF(AND(ISNUMBER('Council Entry'!AB$8),ISNUMBER('Council Entry'!AB$9)),MAX(MIN('Council Entry'!AB121,'Council Entry'!AB$9),'Council Entry'!AB$8),'Council Entry'!AB121))))-'Council Entry'!AB$5)/('Council Entry'!AB$6-'Council Entry'!AB$5)),1))),"No data"))</f>
        <v/>
      </c>
      <c r="AC121" s="13">
        <f>IF('Council Entry'!AC121="","",IFERROR(MAX(0,MIN(10,ROUND(IF('Council Entry'!AC$7="Decrease Risk",10-10*((IF('Council Entry'!AC$4="Logarithm",LN(0.001+IF(AND(ISNUMBER('Council Entry'!AC$8),ISNUMBER('Council Entry'!AC$9)),MAX(MIN('Council Entry'!AC121,'Council Entry'!AC$9),'Council Entry'!AC$8),'Council Entry'!AC121)),IF('Council Entry'!AC$4="Exponential",EXP(IF(AND(ISNUMBER('Council Entry'!AC$8),ISNUMBER('Council Entry'!AC$9)),MAX(MIN('Council Entry'!AC121,'Council Entry'!AC$9),'Council Entry'!AC$8),'Council Entry'!AC121)),IF(AND(ISNUMBER('Council Entry'!AC$8),ISNUMBER('Council Entry'!AC$9)),MAX(MIN('Council Entry'!AC121,'Council Entry'!AC$9),'Council Entry'!AC$8),'Council Entry'!AC121))))-'Council Entry'!AC$5)/('Council Entry'!AC$6-'Council Entry'!AC$5),10*((IF('Council Entry'!AC$4="Logarithm",LN(0.001+IF(AND(ISNUMBER('Council Entry'!AC$8),ISNUMBER('Council Entry'!AC$9)),MAX(MIN('Council Entry'!AC121,'Council Entry'!AC$9),'Council Entry'!AC$8),'Council Entry'!AC121)),IF('Council Entry'!AC$4="Exponential",EXP(IF(AND(ISNUMBER('Council Entry'!AC$8),ISNUMBER('Council Entry'!AC$9)),MAX(MIN('Council Entry'!AC121,'Council Entry'!AC$9),'Council Entry'!AC$8),'Council Entry'!AC121)),IF(AND(ISNUMBER('Council Entry'!AC$8),ISNUMBER('Council Entry'!AC$9)),MAX(MIN('Council Entry'!AC121,'Council Entry'!AC$9),'Council Entry'!AC$8),'Council Entry'!AC121))))-'Council Entry'!AC$5)/('Council Entry'!AC$6-'Council Entry'!AC$5)),1))),"No data"))</f>
        <v/>
      </c>
      <c r="AD121" s="13">
        <f>IF('Council Entry'!AD121="","",IFERROR(MAX(0,MIN(10,ROUND(IF('Council Entry'!AD$7="Decrease Risk",10-10*((IF('Council Entry'!AD$4="Logarithm",LN(0.001+IF(AND(ISNUMBER('Council Entry'!AD$8),ISNUMBER('Council Entry'!AD$9)),MAX(MIN('Council Entry'!AD121,'Council Entry'!AD$9),'Council Entry'!AD$8),'Council Entry'!AD121)),IF('Council Entry'!AD$4="Exponential",EXP(IF(AND(ISNUMBER('Council Entry'!AD$8),ISNUMBER('Council Entry'!AD$9)),MAX(MIN('Council Entry'!AD121,'Council Entry'!AD$9),'Council Entry'!AD$8),'Council Entry'!AD121)),IF(AND(ISNUMBER('Council Entry'!AD$8),ISNUMBER('Council Entry'!AD$9)),MAX(MIN('Council Entry'!AD121,'Council Entry'!AD$9),'Council Entry'!AD$8),'Council Entry'!AD121))))-'Council Entry'!AD$5)/('Council Entry'!AD$6-'Council Entry'!AD$5),10*((IF('Council Entry'!AD$4="Logarithm",LN(0.001+IF(AND(ISNUMBER('Council Entry'!AD$8),ISNUMBER('Council Entry'!AD$9)),MAX(MIN('Council Entry'!AD121,'Council Entry'!AD$9),'Council Entry'!AD$8),'Council Entry'!AD121)),IF('Council Entry'!AD$4="Exponential",EXP(IF(AND(ISNUMBER('Council Entry'!AD$8),ISNUMBER('Council Entry'!AD$9)),MAX(MIN('Council Entry'!AD121,'Council Entry'!AD$9),'Council Entry'!AD$8),'Council Entry'!AD121)),IF(AND(ISNUMBER('Council Entry'!AD$8),ISNUMBER('Council Entry'!AD$9)),MAX(MIN('Council Entry'!AD121,'Council Entry'!AD$9),'Council Entry'!AD$8),'Council Entry'!AD121))))-'Council Entry'!AD$5)/('Council Entry'!AD$6-'Council Entry'!AD$5)),1))),"No data"))</f>
        <v/>
      </c>
      <c r="AE121" s="13">
        <f>IF('Council Entry'!AE121="","",IFERROR(MAX(0,MIN(10,ROUND(IF('Council Entry'!AE$7="Decrease Risk",10-10*((IF('Council Entry'!AE$4="Logarithm",LN(0.001+IF(AND(ISNUMBER('Council Entry'!AE$8),ISNUMBER('Council Entry'!AE$9)),MAX(MIN('Council Entry'!AE121,'Council Entry'!AE$9),'Council Entry'!AE$8),'Council Entry'!AE121)),IF('Council Entry'!AE$4="Exponential",EXP(IF(AND(ISNUMBER('Council Entry'!AE$8),ISNUMBER('Council Entry'!AE$9)),MAX(MIN('Council Entry'!AE121,'Council Entry'!AE$9),'Council Entry'!AE$8),'Council Entry'!AE121)),IF(AND(ISNUMBER('Council Entry'!AE$8),ISNUMBER('Council Entry'!AE$9)),MAX(MIN('Council Entry'!AE121,'Council Entry'!AE$9),'Council Entry'!AE$8),'Council Entry'!AE121))))-'Council Entry'!AE$5)/('Council Entry'!AE$6-'Council Entry'!AE$5),10*((IF('Council Entry'!AE$4="Logarithm",LN(0.001+IF(AND(ISNUMBER('Council Entry'!AE$8),ISNUMBER('Council Entry'!AE$9)),MAX(MIN('Council Entry'!AE121,'Council Entry'!AE$9),'Council Entry'!AE$8),'Council Entry'!AE121)),IF('Council Entry'!AE$4="Exponential",EXP(IF(AND(ISNUMBER('Council Entry'!AE$8),ISNUMBER('Council Entry'!AE$9)),MAX(MIN('Council Entry'!AE121,'Council Entry'!AE$9),'Council Entry'!AE$8),'Council Entry'!AE121)),IF(AND(ISNUMBER('Council Entry'!AE$8),ISNUMBER('Council Entry'!AE$9)),MAX(MIN('Council Entry'!AE121,'Council Entry'!AE$9),'Council Entry'!AE$8),'Council Entry'!AE121))))-'Council Entry'!AE$5)/('Council Entry'!AE$6-'Council Entry'!AE$5)),1))),"No data"))</f>
        <v/>
      </c>
      <c r="AF121" s="13">
        <f>IF('Council Entry'!AF121="","",IFERROR(MAX(0,MIN(10,ROUND(IF('Council Entry'!AF$7="Decrease Risk",10-10*((IF('Council Entry'!AF$4="Logarithm",LN(0.001+IF(AND(ISNUMBER('Council Entry'!AF$8),ISNUMBER('Council Entry'!AF$9)),MAX(MIN('Council Entry'!AF121,'Council Entry'!AF$9),'Council Entry'!AF$8),'Council Entry'!AF121)),IF('Council Entry'!AF$4="Exponential",EXP(IF(AND(ISNUMBER('Council Entry'!AF$8),ISNUMBER('Council Entry'!AF$9)),MAX(MIN('Council Entry'!AF121,'Council Entry'!AF$9),'Council Entry'!AF$8),'Council Entry'!AF121)),IF(AND(ISNUMBER('Council Entry'!AF$8),ISNUMBER('Council Entry'!AF$9)),MAX(MIN('Council Entry'!AF121,'Council Entry'!AF$9),'Council Entry'!AF$8),'Council Entry'!AF121))))-'Council Entry'!AF$5)/('Council Entry'!AF$6-'Council Entry'!AF$5),10*((IF('Council Entry'!AF$4="Logarithm",LN(0.001+IF(AND(ISNUMBER('Council Entry'!AF$8),ISNUMBER('Council Entry'!AF$9)),MAX(MIN('Council Entry'!AF121,'Council Entry'!AF$9),'Council Entry'!AF$8),'Council Entry'!AF121)),IF('Council Entry'!AF$4="Exponential",EXP(IF(AND(ISNUMBER('Council Entry'!AF$8),ISNUMBER('Council Entry'!AF$9)),MAX(MIN('Council Entry'!AF121,'Council Entry'!AF$9),'Council Entry'!AF$8),'Council Entry'!AF121)),IF(AND(ISNUMBER('Council Entry'!AF$8),ISNUMBER('Council Entry'!AF$9)),MAX(MIN('Council Entry'!AF121,'Council Entry'!AF$9),'Council Entry'!AF$8),'Council Entry'!AF121))))-'Council Entry'!AF$5)/('Council Entry'!AF$6-'Council Entry'!AF$5)),1))),"No data"))</f>
        <v/>
      </c>
      <c r="AG121" s="13">
        <f>IF('Council Entry'!AG121="","",IFERROR(MAX(0,MIN(10,ROUND(IF('Council Entry'!AG$7="Decrease Risk",10-10*((IF('Council Entry'!AG$4="Logarithm",LN(0.001+IF(AND(ISNUMBER('Council Entry'!AG$8),ISNUMBER('Council Entry'!AG$9)),MAX(MIN('Council Entry'!AG121,'Council Entry'!AG$9),'Council Entry'!AG$8),'Council Entry'!AG121)),IF('Council Entry'!AG$4="Exponential",EXP(IF(AND(ISNUMBER('Council Entry'!AG$8),ISNUMBER('Council Entry'!AG$9)),MAX(MIN('Council Entry'!AG121,'Council Entry'!AG$9),'Council Entry'!AG$8),'Council Entry'!AG121)),IF(AND(ISNUMBER('Council Entry'!AG$8),ISNUMBER('Council Entry'!AG$9)),MAX(MIN('Council Entry'!AG121,'Council Entry'!AG$9),'Council Entry'!AG$8),'Council Entry'!AG121))))-'Council Entry'!AG$5)/('Council Entry'!AG$6-'Council Entry'!AG$5),10*((IF('Council Entry'!AG$4="Logarithm",LN(0.001+IF(AND(ISNUMBER('Council Entry'!AG$8),ISNUMBER('Council Entry'!AG$9)),MAX(MIN('Council Entry'!AG121,'Council Entry'!AG$9),'Council Entry'!AG$8),'Council Entry'!AG121)),IF('Council Entry'!AG$4="Exponential",EXP(IF(AND(ISNUMBER('Council Entry'!AG$8),ISNUMBER('Council Entry'!AG$9)),MAX(MIN('Council Entry'!AG121,'Council Entry'!AG$9),'Council Entry'!AG$8),'Council Entry'!AG121)),IF(AND(ISNUMBER('Council Entry'!AG$8),ISNUMBER('Council Entry'!AG$9)),MAX(MIN('Council Entry'!AG121,'Council Entry'!AG$9),'Council Entry'!AG$8),'Council Entry'!AG121))))-'Council Entry'!AG$5)/('Council Entry'!AG$6-'Council Entry'!AG$5)),1))),"No data"))</f>
        <v/>
      </c>
      <c r="AH121" s="13">
        <f>IF('Council Entry'!AH121="","",IFERROR(MAX(0,MIN(10,ROUND(IF('Council Entry'!AH$7="Decrease Risk",10-10*((IF('Council Entry'!AH$4="Logarithm",LN(0.001+IF(AND(ISNUMBER('Council Entry'!AH$8),ISNUMBER('Council Entry'!AH$9)),MAX(MIN('Council Entry'!AH121,'Council Entry'!AH$9),'Council Entry'!AH$8),'Council Entry'!AH121)),IF('Council Entry'!AH$4="Exponential",EXP(IF(AND(ISNUMBER('Council Entry'!AH$8),ISNUMBER('Council Entry'!AH$9)),MAX(MIN('Council Entry'!AH121,'Council Entry'!AH$9),'Council Entry'!AH$8),'Council Entry'!AH121)),IF(AND(ISNUMBER('Council Entry'!AH$8),ISNUMBER('Council Entry'!AH$9)),MAX(MIN('Council Entry'!AH121,'Council Entry'!AH$9),'Council Entry'!AH$8),'Council Entry'!AH121))))-'Council Entry'!AH$5)/('Council Entry'!AH$6-'Council Entry'!AH$5),10*((IF('Council Entry'!AH$4="Logarithm",LN(0.001+IF(AND(ISNUMBER('Council Entry'!AH$8),ISNUMBER('Council Entry'!AH$9)),MAX(MIN('Council Entry'!AH121,'Council Entry'!AH$9),'Council Entry'!AH$8),'Council Entry'!AH121)),IF('Council Entry'!AH$4="Exponential",EXP(IF(AND(ISNUMBER('Council Entry'!AH$8),ISNUMBER('Council Entry'!AH$9)),MAX(MIN('Council Entry'!AH121,'Council Entry'!AH$9),'Council Entry'!AH$8),'Council Entry'!AH121)),IF(AND(ISNUMBER('Council Entry'!AH$8),ISNUMBER('Council Entry'!AH$9)),MAX(MIN('Council Entry'!AH121,'Council Entry'!AH$9),'Council Entry'!AH$8),'Council Entry'!AH121))))-'Council Entry'!AH$5)/('Council Entry'!AH$6-'Council Entry'!AH$5)),1))),"No data"))</f>
        <v/>
      </c>
      <c r="AI121" s="13">
        <f>IF('Council Entry'!AI121="","",IFERROR(MAX(0,MIN(10,ROUND(IF('Council Entry'!AI$7="Decrease Risk",10-10*((IF('Council Entry'!AI$4="Logarithm",LN(0.001+IF(AND(ISNUMBER('Council Entry'!AI$8),ISNUMBER('Council Entry'!AI$9)),MAX(MIN('Council Entry'!AI121,'Council Entry'!AI$9),'Council Entry'!AI$8),'Council Entry'!AI121)),IF('Council Entry'!AI$4="Exponential",EXP(IF(AND(ISNUMBER('Council Entry'!AI$8),ISNUMBER('Council Entry'!AI$9)),MAX(MIN('Council Entry'!AI121,'Council Entry'!AI$9),'Council Entry'!AI$8),'Council Entry'!AI121)),IF(AND(ISNUMBER('Council Entry'!AI$8),ISNUMBER('Council Entry'!AI$9)),MAX(MIN('Council Entry'!AI121,'Council Entry'!AI$9),'Council Entry'!AI$8),'Council Entry'!AI121))))-'Council Entry'!AI$5)/('Council Entry'!AI$6-'Council Entry'!AI$5),10*((IF('Council Entry'!AI$4="Logarithm",LN(0.001+IF(AND(ISNUMBER('Council Entry'!AI$8),ISNUMBER('Council Entry'!AI$9)),MAX(MIN('Council Entry'!AI121,'Council Entry'!AI$9),'Council Entry'!AI$8),'Council Entry'!AI121)),IF('Council Entry'!AI$4="Exponential",EXP(IF(AND(ISNUMBER('Council Entry'!AI$8),ISNUMBER('Council Entry'!AI$9)),MAX(MIN('Council Entry'!AI121,'Council Entry'!AI$9),'Council Entry'!AI$8),'Council Entry'!AI121)),IF(AND(ISNUMBER('Council Entry'!AI$8),ISNUMBER('Council Entry'!AI$9)),MAX(MIN('Council Entry'!AI121,'Council Entry'!AI$9),'Council Entry'!AI$8),'Council Entry'!AI121))))-'Council Entry'!AI$5)/('Council Entry'!AI$6-'Council Entry'!AI$5)),1))),"No data"))</f>
        <v/>
      </c>
      <c r="AJ121" s="13">
        <f>IF('Council Entry'!AJ121="","",IFERROR(MAX(0,MIN(10,ROUND(IF('Council Entry'!AJ$7="Decrease Risk",10-10*((IF('Council Entry'!AJ$4="Logarithm",LN(0.001+IF(AND(ISNUMBER('Council Entry'!AJ$8),ISNUMBER('Council Entry'!AJ$9)),MAX(MIN('Council Entry'!AJ121,'Council Entry'!AJ$9),'Council Entry'!AJ$8),'Council Entry'!AJ121)),IF('Council Entry'!AJ$4="Exponential",EXP(IF(AND(ISNUMBER('Council Entry'!AJ$8),ISNUMBER('Council Entry'!AJ$9)),MAX(MIN('Council Entry'!AJ121,'Council Entry'!AJ$9),'Council Entry'!AJ$8),'Council Entry'!AJ121)),IF(AND(ISNUMBER('Council Entry'!AJ$8),ISNUMBER('Council Entry'!AJ$9)),MAX(MIN('Council Entry'!AJ121,'Council Entry'!AJ$9),'Council Entry'!AJ$8),'Council Entry'!AJ121))))-'Council Entry'!AJ$5)/('Council Entry'!AJ$6-'Council Entry'!AJ$5),10*((IF('Council Entry'!AJ$4="Logarithm",LN(0.001+IF(AND(ISNUMBER('Council Entry'!AJ$8),ISNUMBER('Council Entry'!AJ$9)),MAX(MIN('Council Entry'!AJ121,'Council Entry'!AJ$9),'Council Entry'!AJ$8),'Council Entry'!AJ121)),IF('Council Entry'!AJ$4="Exponential",EXP(IF(AND(ISNUMBER('Council Entry'!AJ$8),ISNUMBER('Council Entry'!AJ$9)),MAX(MIN('Council Entry'!AJ121,'Council Entry'!AJ$9),'Council Entry'!AJ$8),'Council Entry'!AJ121)),IF(AND(ISNUMBER('Council Entry'!AJ$8),ISNUMBER('Council Entry'!AJ$9)),MAX(MIN('Council Entry'!AJ121,'Council Entry'!AJ$9),'Council Entry'!AJ$8),'Council Entry'!AJ121))))-'Council Entry'!AJ$5)/('Council Entry'!AJ$6-'Council Entry'!AJ$5)),1))),"No data"))</f>
        <v/>
      </c>
      <c r="AK121" s="13">
        <f>IF('Council Entry'!AK121="","",IFERROR(MAX(0,MIN(10,ROUND(IF('Council Entry'!AK$7="Decrease Risk",10-10*((IF('Council Entry'!AK$4="Logarithm",LN(0.001+IF(AND(ISNUMBER('Council Entry'!AK$8),ISNUMBER('Council Entry'!AK$9)),MAX(MIN('Council Entry'!AK121,'Council Entry'!AK$9),'Council Entry'!AK$8),'Council Entry'!AK121)),IF('Council Entry'!AK$4="Exponential",EXP(IF(AND(ISNUMBER('Council Entry'!AK$8),ISNUMBER('Council Entry'!AK$9)),MAX(MIN('Council Entry'!AK121,'Council Entry'!AK$9),'Council Entry'!AK$8),'Council Entry'!AK121)),IF(AND(ISNUMBER('Council Entry'!AK$8),ISNUMBER('Council Entry'!AK$9)),MAX(MIN('Council Entry'!AK121,'Council Entry'!AK$9),'Council Entry'!AK$8),'Council Entry'!AK121))))-'Council Entry'!AK$5)/('Council Entry'!AK$6-'Council Entry'!AK$5),10*((IF('Council Entry'!AK$4="Logarithm",LN(0.001+IF(AND(ISNUMBER('Council Entry'!AK$8),ISNUMBER('Council Entry'!AK$9)),MAX(MIN('Council Entry'!AK121,'Council Entry'!AK$9),'Council Entry'!AK$8),'Council Entry'!AK121)),IF('Council Entry'!AK$4="Exponential",EXP(IF(AND(ISNUMBER('Council Entry'!AK$8),ISNUMBER('Council Entry'!AK$9)),MAX(MIN('Council Entry'!AK121,'Council Entry'!AK$9),'Council Entry'!AK$8),'Council Entry'!AK121)),IF(AND(ISNUMBER('Council Entry'!AK$8),ISNUMBER('Council Entry'!AK$9)),MAX(MIN('Council Entry'!AK121,'Council Entry'!AK$9),'Council Entry'!AK$8),'Council Entry'!AK121))))-'Council Entry'!AK$5)/('Council Entry'!AK$6-'Council Entry'!AK$5)),1))),"No data"))</f>
        <v/>
      </c>
      <c r="AL121" s="13">
        <f>IF('Council Entry'!AL121="","",IFERROR(MAX(0,MIN(10,ROUND(IF('Council Entry'!AL$7="Decrease Risk",10-10*((IF('Council Entry'!AL$4="Logarithm",LN(0.001+IF(AND(ISNUMBER('Council Entry'!AL$8),ISNUMBER('Council Entry'!AL$9)),MAX(MIN('Council Entry'!AL121,'Council Entry'!AL$9),'Council Entry'!AL$8),'Council Entry'!AL121)),IF('Council Entry'!AL$4="Exponential",EXP(IF(AND(ISNUMBER('Council Entry'!AL$8),ISNUMBER('Council Entry'!AL$9)),MAX(MIN('Council Entry'!AL121,'Council Entry'!AL$9),'Council Entry'!AL$8),'Council Entry'!AL121)),IF(AND(ISNUMBER('Council Entry'!AL$8),ISNUMBER('Council Entry'!AL$9)),MAX(MIN('Council Entry'!AL121,'Council Entry'!AL$9),'Council Entry'!AL$8),'Council Entry'!AL121))))-'Council Entry'!AL$5)/('Council Entry'!AL$6-'Council Entry'!AL$5),10*((IF('Council Entry'!AL$4="Logarithm",LN(0.001+IF(AND(ISNUMBER('Council Entry'!AL$8),ISNUMBER('Council Entry'!AL$9)),MAX(MIN('Council Entry'!AL121,'Council Entry'!AL$9),'Council Entry'!AL$8),'Council Entry'!AL121)),IF('Council Entry'!AL$4="Exponential",EXP(IF(AND(ISNUMBER('Council Entry'!AL$8),ISNUMBER('Council Entry'!AL$9)),MAX(MIN('Council Entry'!AL121,'Council Entry'!AL$9),'Council Entry'!AL$8),'Council Entry'!AL121)),IF(AND(ISNUMBER('Council Entry'!AL$8),ISNUMBER('Council Entry'!AL$9)),MAX(MIN('Council Entry'!AL121,'Council Entry'!AL$9),'Council Entry'!AL$8),'Council Entry'!AL121))))-'Council Entry'!AL$5)/('Council Entry'!AL$6-'Council Entry'!AL$5)),1))),"No data"))</f>
        <v/>
      </c>
      <c r="AM121" s="13">
        <f>IF('Council Entry'!AM121="","",IFERROR(MAX(0,MIN(10,ROUND(IF('Council Entry'!AM$7="Decrease Risk",10-10*((IF('Council Entry'!AM$4="Logarithm",LN(0.001+IF(AND(ISNUMBER('Council Entry'!AM$8),ISNUMBER('Council Entry'!AM$9)),MAX(MIN('Council Entry'!AM121,'Council Entry'!AM$9),'Council Entry'!AM$8),'Council Entry'!AM121)),IF('Council Entry'!AM$4="Exponential",EXP(IF(AND(ISNUMBER('Council Entry'!AM$8),ISNUMBER('Council Entry'!AM$9)),MAX(MIN('Council Entry'!AM121,'Council Entry'!AM$9),'Council Entry'!AM$8),'Council Entry'!AM121)),IF(AND(ISNUMBER('Council Entry'!AM$8),ISNUMBER('Council Entry'!AM$9)),MAX(MIN('Council Entry'!AM121,'Council Entry'!AM$9),'Council Entry'!AM$8),'Council Entry'!AM121))))-'Council Entry'!AM$5)/('Council Entry'!AM$6-'Council Entry'!AM$5),10*((IF('Council Entry'!AM$4="Logarithm",LN(0.001+IF(AND(ISNUMBER('Council Entry'!AM$8),ISNUMBER('Council Entry'!AM$9)),MAX(MIN('Council Entry'!AM121,'Council Entry'!AM$9),'Council Entry'!AM$8),'Council Entry'!AM121)),IF('Council Entry'!AM$4="Exponential",EXP(IF(AND(ISNUMBER('Council Entry'!AM$8),ISNUMBER('Council Entry'!AM$9)),MAX(MIN('Council Entry'!AM121,'Council Entry'!AM$9),'Council Entry'!AM$8),'Council Entry'!AM121)),IF(AND(ISNUMBER('Council Entry'!AM$8),ISNUMBER('Council Entry'!AM$9)),MAX(MIN('Council Entry'!AM121,'Council Entry'!AM$9),'Council Entry'!AM$8),'Council Entry'!AM121))))-'Council Entry'!AM$5)/('Council Entry'!AM$6-'Council Entry'!AM$5)),1))),"No data"))</f>
        <v/>
      </c>
      <c r="AN121" s="13">
        <f>IF('Council Entry'!AN121="","",IFERROR(MAX(0,MIN(10,ROUND(IF('Council Entry'!AN$7="Decrease Risk",10-10*((IF('Council Entry'!AN$4="Logarithm",LN(0.001+IF(AND(ISNUMBER('Council Entry'!AN$8),ISNUMBER('Council Entry'!AN$9)),MAX(MIN('Council Entry'!AN121,'Council Entry'!AN$9),'Council Entry'!AN$8),'Council Entry'!AN121)),IF('Council Entry'!AN$4="Exponential",EXP(IF(AND(ISNUMBER('Council Entry'!AN$8),ISNUMBER('Council Entry'!AN$9)),MAX(MIN('Council Entry'!AN121,'Council Entry'!AN$9),'Council Entry'!AN$8),'Council Entry'!AN121)),IF(AND(ISNUMBER('Council Entry'!AN$8),ISNUMBER('Council Entry'!AN$9)),MAX(MIN('Council Entry'!AN121,'Council Entry'!AN$9),'Council Entry'!AN$8),'Council Entry'!AN121))))-'Council Entry'!AN$5)/('Council Entry'!AN$6-'Council Entry'!AN$5),10*((IF('Council Entry'!AN$4="Logarithm",LN(0.001+IF(AND(ISNUMBER('Council Entry'!AN$8),ISNUMBER('Council Entry'!AN$9)),MAX(MIN('Council Entry'!AN121,'Council Entry'!AN$9),'Council Entry'!AN$8),'Council Entry'!AN121)),IF('Council Entry'!AN$4="Exponential",EXP(IF(AND(ISNUMBER('Council Entry'!AN$8),ISNUMBER('Council Entry'!AN$9)),MAX(MIN('Council Entry'!AN121,'Council Entry'!AN$9),'Council Entry'!AN$8),'Council Entry'!AN121)),IF(AND(ISNUMBER('Council Entry'!AN$8),ISNUMBER('Council Entry'!AN$9)),MAX(MIN('Council Entry'!AN121,'Council Entry'!AN$9),'Council Entry'!AN$8),'Council Entry'!AN121))))-'Council Entry'!AN$5)/('Council Entry'!AN$6-'Council Entry'!AN$5)),1))),"No data"))</f>
        <v/>
      </c>
      <c r="AO121" s="13">
        <f>IF('Council Entry'!AO121="","",IFERROR(MAX(0,MIN(10,ROUND(IF('Council Entry'!AO$7="Decrease Risk",10-10*((IF('Council Entry'!AO$4="Logarithm",LN(0.001+IF(AND(ISNUMBER('Council Entry'!AO$8),ISNUMBER('Council Entry'!AO$9)),MAX(MIN('Council Entry'!AO121,'Council Entry'!AO$9),'Council Entry'!AO$8),'Council Entry'!AO121)),IF('Council Entry'!AO$4="Exponential",EXP(IF(AND(ISNUMBER('Council Entry'!AO$8),ISNUMBER('Council Entry'!AO$9)),MAX(MIN('Council Entry'!AO121,'Council Entry'!AO$9),'Council Entry'!AO$8),'Council Entry'!AO121)),IF(AND(ISNUMBER('Council Entry'!AO$8),ISNUMBER('Council Entry'!AO$9)),MAX(MIN('Council Entry'!AO121,'Council Entry'!AO$9),'Council Entry'!AO$8),'Council Entry'!AO121))))-'Council Entry'!AO$5)/('Council Entry'!AO$6-'Council Entry'!AO$5),10*((IF('Council Entry'!AO$4="Logarithm",LN(0.001+IF(AND(ISNUMBER('Council Entry'!AO$8),ISNUMBER('Council Entry'!AO$9)),MAX(MIN('Council Entry'!AO121,'Council Entry'!AO$9),'Council Entry'!AO$8),'Council Entry'!AO121)),IF('Council Entry'!AO$4="Exponential",EXP(IF(AND(ISNUMBER('Council Entry'!AO$8),ISNUMBER('Council Entry'!AO$9)),MAX(MIN('Council Entry'!AO121,'Council Entry'!AO$9),'Council Entry'!AO$8),'Council Entry'!AO121)),IF(AND(ISNUMBER('Council Entry'!AO$8),ISNUMBER('Council Entry'!AO$9)),MAX(MIN('Council Entry'!AO121,'Council Entry'!AO$9),'Council Entry'!AO$8),'Council Entry'!AO121))))-'Council Entry'!AO$5)/('Council Entry'!AO$6-'Council Entry'!AO$5)),1))),"No data"))</f>
        <v/>
      </c>
      <c r="AP121" s="13">
        <f>IF('Council Entry'!AP121="","",IFERROR(MAX(0,MIN(10,ROUND(IF('Council Entry'!AP$7="Decrease Risk",10-10*((IF('Council Entry'!AP$4="Logarithm",LN(0.001+IF(AND(ISNUMBER('Council Entry'!AP$8),ISNUMBER('Council Entry'!AP$9)),MAX(MIN('Council Entry'!AP121,'Council Entry'!AP$9),'Council Entry'!AP$8),'Council Entry'!AP121)),IF('Council Entry'!AP$4="Exponential",EXP(IF(AND(ISNUMBER('Council Entry'!AP$8),ISNUMBER('Council Entry'!AP$9)),MAX(MIN('Council Entry'!AP121,'Council Entry'!AP$9),'Council Entry'!AP$8),'Council Entry'!AP121)),IF(AND(ISNUMBER('Council Entry'!AP$8),ISNUMBER('Council Entry'!AP$9)),MAX(MIN('Council Entry'!AP121,'Council Entry'!AP$9),'Council Entry'!AP$8),'Council Entry'!AP121))))-'Council Entry'!AP$5)/('Council Entry'!AP$6-'Council Entry'!AP$5),10*((IF('Council Entry'!AP$4="Logarithm",LN(0.001+IF(AND(ISNUMBER('Council Entry'!AP$8),ISNUMBER('Council Entry'!AP$9)),MAX(MIN('Council Entry'!AP121,'Council Entry'!AP$9),'Council Entry'!AP$8),'Council Entry'!AP121)),IF('Council Entry'!AP$4="Exponential",EXP(IF(AND(ISNUMBER('Council Entry'!AP$8),ISNUMBER('Council Entry'!AP$9)),MAX(MIN('Council Entry'!AP121,'Council Entry'!AP$9),'Council Entry'!AP$8),'Council Entry'!AP121)),IF(AND(ISNUMBER('Council Entry'!AP$8),ISNUMBER('Council Entry'!AP$9)),MAX(MIN('Council Entry'!AP121,'Council Entry'!AP$9),'Council Entry'!AP$8),'Council Entry'!AP121))))-'Council Entry'!AP$5)/('Council Entry'!AP$6-'Council Entry'!AP$5)),1))),"No data"))</f>
        <v/>
      </c>
      <c r="AQ121" s="13">
        <f>IF('Council Entry'!AQ121="","",IFERROR(MAX(0,MIN(10,ROUND(IF('Council Entry'!AQ$7="Decrease Risk",10-10*((IF('Council Entry'!AQ$4="Logarithm",LN(0.001+IF(AND(ISNUMBER('Council Entry'!AQ$8),ISNUMBER('Council Entry'!AQ$9)),MAX(MIN('Council Entry'!AQ121,'Council Entry'!AQ$9),'Council Entry'!AQ$8),'Council Entry'!AQ121)),IF('Council Entry'!AQ$4="Exponential",EXP(IF(AND(ISNUMBER('Council Entry'!AQ$8),ISNUMBER('Council Entry'!AQ$9)),MAX(MIN('Council Entry'!AQ121,'Council Entry'!AQ$9),'Council Entry'!AQ$8),'Council Entry'!AQ121)),IF(AND(ISNUMBER('Council Entry'!AQ$8),ISNUMBER('Council Entry'!AQ$9)),MAX(MIN('Council Entry'!AQ121,'Council Entry'!AQ$9),'Council Entry'!AQ$8),'Council Entry'!AQ121))))-'Council Entry'!AQ$5)/('Council Entry'!AQ$6-'Council Entry'!AQ$5),10*((IF('Council Entry'!AQ$4="Logarithm",LN(0.001+IF(AND(ISNUMBER('Council Entry'!AQ$8),ISNUMBER('Council Entry'!AQ$9)),MAX(MIN('Council Entry'!AQ121,'Council Entry'!AQ$9),'Council Entry'!AQ$8),'Council Entry'!AQ121)),IF('Council Entry'!AQ$4="Exponential",EXP(IF(AND(ISNUMBER('Council Entry'!AQ$8),ISNUMBER('Council Entry'!AQ$9)),MAX(MIN('Council Entry'!AQ121,'Council Entry'!AQ$9),'Council Entry'!AQ$8),'Council Entry'!AQ121)),IF(AND(ISNUMBER('Council Entry'!AQ$8),ISNUMBER('Council Entry'!AQ$9)),MAX(MIN('Council Entry'!AQ121,'Council Entry'!AQ$9),'Council Entry'!AQ$8),'Council Entry'!AQ121))))-'Council Entry'!AQ$5)/('Council Entry'!AQ$6-'Council Entry'!AQ$5)),1))),"No data"))</f>
        <v/>
      </c>
      <c r="AR121" s="13">
        <f>IF('Council Entry'!AR121="","",IFERROR(MAX(0,MIN(10,ROUND(IF('Council Entry'!AR$7="Decrease Risk",10-10*((IF('Council Entry'!AR$4="Logarithm",LN(0.001+IF(AND(ISNUMBER('Council Entry'!AR$8),ISNUMBER('Council Entry'!AR$9)),MAX(MIN('Council Entry'!AR121,'Council Entry'!AR$9),'Council Entry'!AR$8),'Council Entry'!AR121)),IF('Council Entry'!AR$4="Exponential",EXP(IF(AND(ISNUMBER('Council Entry'!AR$8),ISNUMBER('Council Entry'!AR$9)),MAX(MIN('Council Entry'!AR121,'Council Entry'!AR$9),'Council Entry'!AR$8),'Council Entry'!AR121)),IF(AND(ISNUMBER('Council Entry'!AR$8),ISNUMBER('Council Entry'!AR$9)),MAX(MIN('Council Entry'!AR121,'Council Entry'!AR$9),'Council Entry'!AR$8),'Council Entry'!AR121))))-'Council Entry'!AR$5)/('Council Entry'!AR$6-'Council Entry'!AR$5),10*((IF('Council Entry'!AR$4="Logarithm",LN(0.001+IF(AND(ISNUMBER('Council Entry'!AR$8),ISNUMBER('Council Entry'!AR$9)),MAX(MIN('Council Entry'!AR121,'Council Entry'!AR$9),'Council Entry'!AR$8),'Council Entry'!AR121)),IF('Council Entry'!AR$4="Exponential",EXP(IF(AND(ISNUMBER('Council Entry'!AR$8),ISNUMBER('Council Entry'!AR$9)),MAX(MIN('Council Entry'!AR121,'Council Entry'!AR$9),'Council Entry'!AR$8),'Council Entry'!AR121)),IF(AND(ISNUMBER('Council Entry'!AR$8),ISNUMBER('Council Entry'!AR$9)),MAX(MIN('Council Entry'!AR121,'Council Entry'!AR$9),'Council Entry'!AR$8),'Council Entry'!AR121))))-'Council Entry'!AR$5)/('Council Entry'!AR$6-'Council Entry'!AR$5)),1))),"No data"))</f>
        <v/>
      </c>
      <c r="AS121" s="13">
        <f>IF('Council Entry'!AS121="","",IFERROR(MAX(0,MIN(10,ROUND(IF('Council Entry'!AS$7="Decrease Risk",10-10*((IF('Council Entry'!AS$4="Logarithm",LN(0.001+IF(AND(ISNUMBER('Council Entry'!AS$8),ISNUMBER('Council Entry'!AS$9)),MAX(MIN('Council Entry'!AS121,'Council Entry'!AS$9),'Council Entry'!AS$8),'Council Entry'!AS121)),IF('Council Entry'!AS$4="Exponential",EXP(IF(AND(ISNUMBER('Council Entry'!AS$8),ISNUMBER('Council Entry'!AS$9)),MAX(MIN('Council Entry'!AS121,'Council Entry'!AS$9),'Council Entry'!AS$8),'Council Entry'!AS121)),IF(AND(ISNUMBER('Council Entry'!AS$8),ISNUMBER('Council Entry'!AS$9)),MAX(MIN('Council Entry'!AS121,'Council Entry'!AS$9),'Council Entry'!AS$8),'Council Entry'!AS121))))-'Council Entry'!AS$5)/('Council Entry'!AS$6-'Council Entry'!AS$5),10*((IF('Council Entry'!AS$4="Logarithm",LN(0.001+IF(AND(ISNUMBER('Council Entry'!AS$8),ISNUMBER('Council Entry'!AS$9)),MAX(MIN('Council Entry'!AS121,'Council Entry'!AS$9),'Council Entry'!AS$8),'Council Entry'!AS121)),IF('Council Entry'!AS$4="Exponential",EXP(IF(AND(ISNUMBER('Council Entry'!AS$8),ISNUMBER('Council Entry'!AS$9)),MAX(MIN('Council Entry'!AS121,'Council Entry'!AS$9),'Council Entry'!AS$8),'Council Entry'!AS121)),IF(AND(ISNUMBER('Council Entry'!AS$8),ISNUMBER('Council Entry'!AS$9)),MAX(MIN('Council Entry'!AS121,'Council Entry'!AS$9),'Council Entry'!AS$8),'Council Entry'!AS121))))-'Council Entry'!AS$5)/('Council Entry'!AS$6-'Council Entry'!AS$5)),1))),"No data"))</f>
        <v/>
      </c>
      <c r="AT121" s="13">
        <f>IF('Council Entry'!AT121="","",IFERROR(MAX(0,MIN(10,ROUND(IF('Council Entry'!AT$7="Decrease Risk",10-10*((IF('Council Entry'!AT$4="Logarithm",LN(0.001+IF(AND(ISNUMBER('Council Entry'!AT$8),ISNUMBER('Council Entry'!AT$9)),MAX(MIN('Council Entry'!AT121,'Council Entry'!AT$9),'Council Entry'!AT$8),'Council Entry'!AT121)),IF('Council Entry'!AT$4="Exponential",EXP(IF(AND(ISNUMBER('Council Entry'!AT$8),ISNUMBER('Council Entry'!AT$9)),MAX(MIN('Council Entry'!AT121,'Council Entry'!AT$9),'Council Entry'!AT$8),'Council Entry'!AT121)),IF(AND(ISNUMBER('Council Entry'!AT$8),ISNUMBER('Council Entry'!AT$9)),MAX(MIN('Council Entry'!AT121,'Council Entry'!AT$9),'Council Entry'!AT$8),'Council Entry'!AT121))))-'Council Entry'!AT$5)/('Council Entry'!AT$6-'Council Entry'!AT$5),10*((IF('Council Entry'!AT$4="Logarithm",LN(0.001+IF(AND(ISNUMBER('Council Entry'!AT$8),ISNUMBER('Council Entry'!AT$9)),MAX(MIN('Council Entry'!AT121,'Council Entry'!AT$9),'Council Entry'!AT$8),'Council Entry'!AT121)),IF('Council Entry'!AT$4="Exponential",EXP(IF(AND(ISNUMBER('Council Entry'!AT$8),ISNUMBER('Council Entry'!AT$9)),MAX(MIN('Council Entry'!AT121,'Council Entry'!AT$9),'Council Entry'!AT$8),'Council Entry'!AT121)),IF(AND(ISNUMBER('Council Entry'!AT$8),ISNUMBER('Council Entry'!AT$9)),MAX(MIN('Council Entry'!AT121,'Council Entry'!AT$9),'Council Entry'!AT$8),'Council Entry'!AT121))))-'Council Entry'!AT$5)/('Council Entry'!AT$6-'Council Entry'!AT$5)),1))),"No data"))</f>
        <v/>
      </c>
      <c r="AU121" s="13">
        <f>IF('Council Entry'!AU121="","",IFERROR(MAX(0,MIN(10,ROUND(IF('Council Entry'!AU$7="Decrease Risk",10-10*((IF('Council Entry'!AU$4="Logarithm",LN(0.001+IF(AND(ISNUMBER('Council Entry'!AU$8),ISNUMBER('Council Entry'!AU$9)),MAX(MIN('Council Entry'!AU121,'Council Entry'!AU$9),'Council Entry'!AU$8),'Council Entry'!AU121)),IF('Council Entry'!AU$4="Exponential",EXP(IF(AND(ISNUMBER('Council Entry'!AU$8),ISNUMBER('Council Entry'!AU$9)),MAX(MIN('Council Entry'!AU121,'Council Entry'!AU$9),'Council Entry'!AU$8),'Council Entry'!AU121)),IF(AND(ISNUMBER('Council Entry'!AU$8),ISNUMBER('Council Entry'!AU$9)),MAX(MIN('Council Entry'!AU121,'Council Entry'!AU$9),'Council Entry'!AU$8),'Council Entry'!AU121))))-'Council Entry'!AU$5)/('Council Entry'!AU$6-'Council Entry'!AU$5),10*((IF('Council Entry'!AU$4="Logarithm",LN(0.001+IF(AND(ISNUMBER('Council Entry'!AU$8),ISNUMBER('Council Entry'!AU$9)),MAX(MIN('Council Entry'!AU121,'Council Entry'!AU$9),'Council Entry'!AU$8),'Council Entry'!AU121)),IF('Council Entry'!AU$4="Exponential",EXP(IF(AND(ISNUMBER('Council Entry'!AU$8),ISNUMBER('Council Entry'!AU$9)),MAX(MIN('Council Entry'!AU121,'Council Entry'!AU$9),'Council Entry'!AU$8),'Council Entry'!AU121)),IF(AND(ISNUMBER('Council Entry'!AU$8),ISNUMBER('Council Entry'!AU$9)),MAX(MIN('Council Entry'!AU121,'Council Entry'!AU$9),'Council Entry'!AU$8),'Council Entry'!AU121))))-'Council Entry'!AU$5)/('Council Entry'!AU$6-'Council Entry'!AU$5)),1))),"No data"))</f>
        <v/>
      </c>
      <c r="AV121" s="13">
        <f>IF('Council Entry'!AV121="","",IFERROR(MAX(0,MIN(10,ROUND(IF('Council Entry'!AV$7="Decrease Risk",10-10*((IF('Council Entry'!AV$4="Logarithm",LN(0.001+IF(AND(ISNUMBER('Council Entry'!AV$8),ISNUMBER('Council Entry'!AV$9)),MAX(MIN('Council Entry'!AV121,'Council Entry'!AV$9),'Council Entry'!AV$8),'Council Entry'!AV121)),IF('Council Entry'!AV$4="Exponential",EXP(IF(AND(ISNUMBER('Council Entry'!AV$8),ISNUMBER('Council Entry'!AV$9)),MAX(MIN('Council Entry'!AV121,'Council Entry'!AV$9),'Council Entry'!AV$8),'Council Entry'!AV121)),IF(AND(ISNUMBER('Council Entry'!AV$8),ISNUMBER('Council Entry'!AV$9)),MAX(MIN('Council Entry'!AV121,'Council Entry'!AV$9),'Council Entry'!AV$8),'Council Entry'!AV121))))-'Council Entry'!AV$5)/('Council Entry'!AV$6-'Council Entry'!AV$5),10*((IF('Council Entry'!AV$4="Logarithm",LN(0.001+IF(AND(ISNUMBER('Council Entry'!AV$8),ISNUMBER('Council Entry'!AV$9)),MAX(MIN('Council Entry'!AV121,'Council Entry'!AV$9),'Council Entry'!AV$8),'Council Entry'!AV121)),IF('Council Entry'!AV$4="Exponential",EXP(IF(AND(ISNUMBER('Council Entry'!AV$8),ISNUMBER('Council Entry'!AV$9)),MAX(MIN('Council Entry'!AV121,'Council Entry'!AV$9),'Council Entry'!AV$8),'Council Entry'!AV121)),IF(AND(ISNUMBER('Council Entry'!AV$8),ISNUMBER('Council Entry'!AV$9)),MAX(MIN('Council Entry'!AV121,'Council Entry'!AV$9),'Council Entry'!AV$8),'Council Entry'!AV121))))-'Council Entry'!AV$5)/('Council Entry'!AV$6-'Council Entry'!AV$5)),1))),"No data"))</f>
        <v/>
      </c>
      <c r="AW121" s="13">
        <f>IF('Council Entry'!AW121="","",IFERROR(MAX(0,MIN(10,ROUND(IF('Council Entry'!AW$7="Decrease Risk",10-10*((IF('Council Entry'!AW$4="Logarithm",LN(0.001+IF(AND(ISNUMBER('Council Entry'!AW$8),ISNUMBER('Council Entry'!AW$9)),MAX(MIN('Council Entry'!AW121,'Council Entry'!AW$9),'Council Entry'!AW$8),'Council Entry'!AW121)),IF('Council Entry'!AW$4="Exponential",EXP(IF(AND(ISNUMBER('Council Entry'!AW$8),ISNUMBER('Council Entry'!AW$9)),MAX(MIN('Council Entry'!AW121,'Council Entry'!AW$9),'Council Entry'!AW$8),'Council Entry'!AW121)),IF(AND(ISNUMBER('Council Entry'!AW$8),ISNUMBER('Council Entry'!AW$9)),MAX(MIN('Council Entry'!AW121,'Council Entry'!AW$9),'Council Entry'!AW$8),'Council Entry'!AW121))))-'Council Entry'!AW$5)/('Council Entry'!AW$6-'Council Entry'!AW$5),10*((IF('Council Entry'!AW$4="Logarithm",LN(0.001+IF(AND(ISNUMBER('Council Entry'!AW$8),ISNUMBER('Council Entry'!AW$9)),MAX(MIN('Council Entry'!AW121,'Council Entry'!AW$9),'Council Entry'!AW$8),'Council Entry'!AW121)),IF('Council Entry'!AW$4="Exponential",EXP(IF(AND(ISNUMBER('Council Entry'!AW$8),ISNUMBER('Council Entry'!AW$9)),MAX(MIN('Council Entry'!AW121,'Council Entry'!AW$9),'Council Entry'!AW$8),'Council Entry'!AW121)),IF(AND(ISNUMBER('Council Entry'!AW$8),ISNUMBER('Council Entry'!AW$9)),MAX(MIN('Council Entry'!AW121,'Council Entry'!AW$9),'Council Entry'!AW$8),'Council Entry'!AW121))))-'Council Entry'!AW$5)/('Council Entry'!AW$6-'Council Entry'!AW$5)),1))),"No data"))</f>
        <v/>
      </c>
      <c r="AX121" s="13">
        <f>IF('Council Entry'!AX121="","",IFERROR(MAX(0,MIN(10,ROUND(IF('Council Entry'!AX$7="Decrease Risk",10-10*((IF('Council Entry'!AX$4="Logarithm",LN(0.001+IF(AND(ISNUMBER('Council Entry'!AX$8),ISNUMBER('Council Entry'!AX$9)),MAX(MIN('Council Entry'!AX121,'Council Entry'!AX$9),'Council Entry'!AX$8),'Council Entry'!AX121)),IF('Council Entry'!AX$4="Exponential",EXP(IF(AND(ISNUMBER('Council Entry'!AX$8),ISNUMBER('Council Entry'!AX$9)),MAX(MIN('Council Entry'!AX121,'Council Entry'!AX$9),'Council Entry'!AX$8),'Council Entry'!AX121)),IF(AND(ISNUMBER('Council Entry'!AX$8),ISNUMBER('Council Entry'!AX$9)),MAX(MIN('Council Entry'!AX121,'Council Entry'!AX$9),'Council Entry'!AX$8),'Council Entry'!AX121))))-'Council Entry'!AX$5)/('Council Entry'!AX$6-'Council Entry'!AX$5),10*((IF('Council Entry'!AX$4="Logarithm",LN(0.001+IF(AND(ISNUMBER('Council Entry'!AX$8),ISNUMBER('Council Entry'!AX$9)),MAX(MIN('Council Entry'!AX121,'Council Entry'!AX$9),'Council Entry'!AX$8),'Council Entry'!AX121)),IF('Council Entry'!AX$4="Exponential",EXP(IF(AND(ISNUMBER('Council Entry'!AX$8),ISNUMBER('Council Entry'!AX$9)),MAX(MIN('Council Entry'!AX121,'Council Entry'!AX$9),'Council Entry'!AX$8),'Council Entry'!AX121)),IF(AND(ISNUMBER('Council Entry'!AX$8),ISNUMBER('Council Entry'!AX$9)),MAX(MIN('Council Entry'!AX121,'Council Entry'!AX$9),'Council Entry'!AX$8),'Council Entry'!AX121))))-'Council Entry'!AX$5)/('Council Entry'!AX$6-'Council Entry'!AX$5)),1))),"No data"))</f>
        <v/>
      </c>
      <c r="AY121" s="13">
        <f>IF('Council Entry'!AY121="","",IFERROR(MAX(0,MIN(10,ROUND(IF('Council Entry'!AY$7="Decrease Risk",10-10*((IF('Council Entry'!AY$4="Logarithm",LN(0.001+IF(AND(ISNUMBER('Council Entry'!AY$8),ISNUMBER('Council Entry'!AY$9)),MAX(MIN('Council Entry'!AY121,'Council Entry'!AY$9),'Council Entry'!AY$8),'Council Entry'!AY121)),IF('Council Entry'!AY$4="Exponential",EXP(IF(AND(ISNUMBER('Council Entry'!AY$8),ISNUMBER('Council Entry'!AY$9)),MAX(MIN('Council Entry'!AY121,'Council Entry'!AY$9),'Council Entry'!AY$8),'Council Entry'!AY121)),IF(AND(ISNUMBER('Council Entry'!AY$8),ISNUMBER('Council Entry'!AY$9)),MAX(MIN('Council Entry'!AY121,'Council Entry'!AY$9),'Council Entry'!AY$8),'Council Entry'!AY121))))-'Council Entry'!AY$5)/('Council Entry'!AY$6-'Council Entry'!AY$5),10*((IF('Council Entry'!AY$4="Logarithm",LN(0.001+IF(AND(ISNUMBER('Council Entry'!AY$8),ISNUMBER('Council Entry'!AY$9)),MAX(MIN('Council Entry'!AY121,'Council Entry'!AY$9),'Council Entry'!AY$8),'Council Entry'!AY121)),IF('Council Entry'!AY$4="Exponential",EXP(IF(AND(ISNUMBER('Council Entry'!AY$8),ISNUMBER('Council Entry'!AY$9)),MAX(MIN('Council Entry'!AY121,'Council Entry'!AY$9),'Council Entry'!AY$8),'Council Entry'!AY121)),IF(AND(ISNUMBER('Council Entry'!AY$8),ISNUMBER('Council Entry'!AY$9)),MAX(MIN('Council Entry'!AY121,'Council Entry'!AY$9),'Council Entry'!AY$8),'Council Entry'!AY121))))-'Council Entry'!AY$5)/('Council Entry'!AY$6-'Council Entry'!AY$5)),1))),"No data"))</f>
        <v/>
      </c>
      <c r="AZ121" s="13">
        <f>IF('Council Entry'!AZ121="","",IFERROR(MAX(0,MIN(10,ROUND(IF('Council Entry'!AZ$7="Decrease Risk",10-10*((IF('Council Entry'!AZ$4="Logarithm",LN(0.001+IF(AND(ISNUMBER('Council Entry'!AZ$8),ISNUMBER('Council Entry'!AZ$9)),MAX(MIN('Council Entry'!AZ121,'Council Entry'!AZ$9),'Council Entry'!AZ$8),'Council Entry'!AZ121)),IF('Council Entry'!AZ$4="Exponential",EXP(IF(AND(ISNUMBER('Council Entry'!AZ$8),ISNUMBER('Council Entry'!AZ$9)),MAX(MIN('Council Entry'!AZ121,'Council Entry'!AZ$9),'Council Entry'!AZ$8),'Council Entry'!AZ121)),IF(AND(ISNUMBER('Council Entry'!AZ$8),ISNUMBER('Council Entry'!AZ$9)),MAX(MIN('Council Entry'!AZ121,'Council Entry'!AZ$9),'Council Entry'!AZ$8),'Council Entry'!AZ121))))-'Council Entry'!AZ$5)/('Council Entry'!AZ$6-'Council Entry'!AZ$5),10*((IF('Council Entry'!AZ$4="Logarithm",LN(0.001+IF(AND(ISNUMBER('Council Entry'!AZ$8),ISNUMBER('Council Entry'!AZ$9)),MAX(MIN('Council Entry'!AZ121,'Council Entry'!AZ$9),'Council Entry'!AZ$8),'Council Entry'!AZ121)),IF('Council Entry'!AZ$4="Exponential",EXP(IF(AND(ISNUMBER('Council Entry'!AZ$8),ISNUMBER('Council Entry'!AZ$9)),MAX(MIN('Council Entry'!AZ121,'Council Entry'!AZ$9),'Council Entry'!AZ$8),'Council Entry'!AZ121)),IF(AND(ISNUMBER('Council Entry'!AZ$8),ISNUMBER('Council Entry'!AZ$9)),MAX(MIN('Council Entry'!AZ121,'Council Entry'!AZ$9),'Council Entry'!AZ$8),'Council Entry'!AZ121))))-'Council Entry'!AZ$5)/('Council Entry'!AZ$6-'Council Entry'!AZ$5)),1))),"No data"))</f>
        <v/>
      </c>
      <c r="BA121" s="13">
        <f>IF('Council Entry'!BA121="","",IFERROR(MAX(0,MIN(10,ROUND(IF('Council Entry'!BA$7="Decrease Risk",10-10*((IF('Council Entry'!BA$4="Logarithm",LN(0.001+IF(AND(ISNUMBER('Council Entry'!BA$8),ISNUMBER('Council Entry'!BA$9)),MAX(MIN('Council Entry'!BA121,'Council Entry'!BA$9),'Council Entry'!BA$8),'Council Entry'!BA121)),IF('Council Entry'!BA$4="Exponential",EXP(IF(AND(ISNUMBER('Council Entry'!BA$8),ISNUMBER('Council Entry'!BA$9)),MAX(MIN('Council Entry'!BA121,'Council Entry'!BA$9),'Council Entry'!BA$8),'Council Entry'!BA121)),IF(AND(ISNUMBER('Council Entry'!BA$8),ISNUMBER('Council Entry'!BA$9)),MAX(MIN('Council Entry'!BA121,'Council Entry'!BA$9),'Council Entry'!BA$8),'Council Entry'!BA121))))-'Council Entry'!BA$5)/('Council Entry'!BA$6-'Council Entry'!BA$5),10*((IF('Council Entry'!BA$4="Logarithm",LN(0.001+IF(AND(ISNUMBER('Council Entry'!BA$8),ISNUMBER('Council Entry'!BA$9)),MAX(MIN('Council Entry'!BA121,'Council Entry'!BA$9),'Council Entry'!BA$8),'Council Entry'!BA121)),IF('Council Entry'!BA$4="Exponential",EXP(IF(AND(ISNUMBER('Council Entry'!BA$8),ISNUMBER('Council Entry'!BA$9)),MAX(MIN('Council Entry'!BA121,'Council Entry'!BA$9),'Council Entry'!BA$8),'Council Entry'!BA121)),IF(AND(ISNUMBER('Council Entry'!BA$8),ISNUMBER('Council Entry'!BA$9)),MAX(MIN('Council Entry'!BA121,'Council Entry'!BA$9),'Council Entry'!BA$8),'Council Entry'!BA121))))-'Council Entry'!BA$5)/('Council Entry'!BA$6-'Council Entry'!BA$5)),1))),"No data"))</f>
        <v/>
      </c>
      <c r="BB121" s="13">
        <f>IF('Council Entry'!BB121="","",IFERROR(MAX(0,MIN(10,ROUND(IF('Council Entry'!BB$7="Decrease Risk",10-10*((IF('Council Entry'!BB$4="Logarithm",LN(0.001+IF(AND(ISNUMBER('Council Entry'!BB$8),ISNUMBER('Council Entry'!BB$9)),MAX(MIN('Council Entry'!BB121,'Council Entry'!BB$9),'Council Entry'!BB$8),'Council Entry'!BB121)),IF('Council Entry'!BB$4="Exponential",EXP(IF(AND(ISNUMBER('Council Entry'!BB$8),ISNUMBER('Council Entry'!BB$9)),MAX(MIN('Council Entry'!BB121,'Council Entry'!BB$9),'Council Entry'!BB$8),'Council Entry'!BB121)),IF(AND(ISNUMBER('Council Entry'!BB$8),ISNUMBER('Council Entry'!BB$9)),MAX(MIN('Council Entry'!BB121,'Council Entry'!BB$9),'Council Entry'!BB$8),'Council Entry'!BB121))))-'Council Entry'!BB$5)/('Council Entry'!BB$6-'Council Entry'!BB$5),10*((IF('Council Entry'!BB$4="Logarithm",LN(0.001+IF(AND(ISNUMBER('Council Entry'!BB$8),ISNUMBER('Council Entry'!BB$9)),MAX(MIN('Council Entry'!BB121,'Council Entry'!BB$9),'Council Entry'!BB$8),'Council Entry'!BB121)),IF('Council Entry'!BB$4="Exponential",EXP(IF(AND(ISNUMBER('Council Entry'!BB$8),ISNUMBER('Council Entry'!BB$9)),MAX(MIN('Council Entry'!BB121,'Council Entry'!BB$9),'Council Entry'!BB$8),'Council Entry'!BB121)),IF(AND(ISNUMBER('Council Entry'!BB$8),ISNUMBER('Council Entry'!BB$9)),MAX(MIN('Council Entry'!BB121,'Council Entry'!BB$9),'Council Entry'!BB$8),'Council Entry'!BB121))))-'Council Entry'!BB$5)/('Council Entry'!BB$6-'Council Entry'!BB$5)),1))),"No data"))</f>
        <v/>
      </c>
      <c r="BC121" s="13">
        <f>IF('Council Entry'!BC121="","",IFERROR(MAX(0,MIN(10,ROUND(IF('Council Entry'!BC$7="Decrease Risk",10-10*((IF('Council Entry'!BC$4="Logarithm",LN(0.001+IF(AND(ISNUMBER('Council Entry'!BC$8),ISNUMBER('Council Entry'!BC$9)),MAX(MIN('Council Entry'!BC121,'Council Entry'!BC$9),'Council Entry'!BC$8),'Council Entry'!BC121)),IF('Council Entry'!BC$4="Exponential",EXP(IF(AND(ISNUMBER('Council Entry'!BC$8),ISNUMBER('Council Entry'!BC$9)),MAX(MIN('Council Entry'!BC121,'Council Entry'!BC$9),'Council Entry'!BC$8),'Council Entry'!BC121)),IF(AND(ISNUMBER('Council Entry'!BC$8),ISNUMBER('Council Entry'!BC$9)),MAX(MIN('Council Entry'!BC121,'Council Entry'!BC$9),'Council Entry'!BC$8),'Council Entry'!BC121))))-'Council Entry'!BC$5)/('Council Entry'!BC$6-'Council Entry'!BC$5),10*((IF('Council Entry'!BC$4="Logarithm",LN(0.001+IF(AND(ISNUMBER('Council Entry'!BC$8),ISNUMBER('Council Entry'!BC$9)),MAX(MIN('Council Entry'!BC121,'Council Entry'!BC$9),'Council Entry'!BC$8),'Council Entry'!BC121)),IF('Council Entry'!BC$4="Exponential",EXP(IF(AND(ISNUMBER('Council Entry'!BC$8),ISNUMBER('Council Entry'!BC$9)),MAX(MIN('Council Entry'!BC121,'Council Entry'!BC$9),'Council Entry'!BC$8),'Council Entry'!BC121)),IF(AND(ISNUMBER('Council Entry'!BC$8),ISNUMBER('Council Entry'!BC$9)),MAX(MIN('Council Entry'!BC121,'Council Entry'!BC$9),'Council Entry'!BC$8),'Council Entry'!BC121))))-'Council Entry'!BC$5)/('Council Entry'!BC$6-'Council Entry'!BC$5)),1))),"No data"))</f>
        <v/>
      </c>
      <c r="BD121" s="13">
        <f>IF('Council Entry'!BD121="","",IFERROR(MAX(0,MIN(10,ROUND(IF('Council Entry'!BD$7="Decrease Risk",10-10*((IF('Council Entry'!BD$4="Logarithm",LN(0.001+IF(AND(ISNUMBER('Council Entry'!BD$8),ISNUMBER('Council Entry'!BD$9)),MAX(MIN('Council Entry'!BD121,'Council Entry'!BD$9),'Council Entry'!BD$8),'Council Entry'!BD121)),IF('Council Entry'!BD$4="Exponential",EXP(IF(AND(ISNUMBER('Council Entry'!BD$8),ISNUMBER('Council Entry'!BD$9)),MAX(MIN('Council Entry'!BD121,'Council Entry'!BD$9),'Council Entry'!BD$8),'Council Entry'!BD121)),IF(AND(ISNUMBER('Council Entry'!BD$8),ISNUMBER('Council Entry'!BD$9)),MAX(MIN('Council Entry'!BD121,'Council Entry'!BD$9),'Council Entry'!BD$8),'Council Entry'!BD121))))-'Council Entry'!BD$5)/('Council Entry'!BD$6-'Council Entry'!BD$5),10*((IF('Council Entry'!BD$4="Logarithm",LN(0.001+IF(AND(ISNUMBER('Council Entry'!BD$8),ISNUMBER('Council Entry'!BD$9)),MAX(MIN('Council Entry'!BD121,'Council Entry'!BD$9),'Council Entry'!BD$8),'Council Entry'!BD121)),IF('Council Entry'!BD$4="Exponential",EXP(IF(AND(ISNUMBER('Council Entry'!BD$8),ISNUMBER('Council Entry'!BD$9)),MAX(MIN('Council Entry'!BD121,'Council Entry'!BD$9),'Council Entry'!BD$8),'Council Entry'!BD121)),IF(AND(ISNUMBER('Council Entry'!BD$8),ISNUMBER('Council Entry'!BD$9)),MAX(MIN('Council Entry'!BD121,'Council Entry'!BD$9),'Council Entry'!BD$8),'Council Entry'!BD121))))-'Council Entry'!BD$5)/('Council Entry'!BD$6-'Council Entry'!BD$5)),1))),"No data"))</f>
        <v/>
      </c>
    </row>
    <row r="122">
      <c r="A122" t="inlineStr">
        <is>
          <t>Mtwara</t>
        </is>
      </c>
      <c r="B122" t="inlineStr">
        <is>
          <t>Mtwara Mikindani Municipal</t>
        </is>
      </c>
      <c r="C122" t="inlineStr">
        <is>
          <t>C065</t>
        </is>
      </c>
      <c r="D122" s="13">
        <f>IF('Council Entry'!D122="","",IFERROR(MAX(0,MIN(10,ROUND(IF('Council Entry'!D$7="Decrease Risk",10-10*((IF('Council Entry'!D$4="Logarithm",LN(0.001+IF(AND(ISNUMBER('Council Entry'!D$8),ISNUMBER('Council Entry'!D$9)),MAX(MIN('Council Entry'!D122,'Council Entry'!D$9),'Council Entry'!D$8),'Council Entry'!D122)),IF('Council Entry'!D$4="Exponential",EXP(IF(AND(ISNUMBER('Council Entry'!D$8),ISNUMBER('Council Entry'!D$9)),MAX(MIN('Council Entry'!D122,'Council Entry'!D$9),'Council Entry'!D$8),'Council Entry'!D122)),IF(AND(ISNUMBER('Council Entry'!D$8),ISNUMBER('Council Entry'!D$9)),MAX(MIN('Council Entry'!D122,'Council Entry'!D$9),'Council Entry'!D$8),'Council Entry'!D122))))-'Council Entry'!D$5)/('Council Entry'!D$6-'Council Entry'!D$5),10*((IF('Council Entry'!D$4="Logarithm",LN(0.001+IF(AND(ISNUMBER('Council Entry'!D$8),ISNUMBER('Council Entry'!D$9)),MAX(MIN('Council Entry'!D122,'Council Entry'!D$9),'Council Entry'!D$8),'Council Entry'!D122)),IF('Council Entry'!D$4="Exponential",EXP(IF(AND(ISNUMBER('Council Entry'!D$8),ISNUMBER('Council Entry'!D$9)),MAX(MIN('Council Entry'!D122,'Council Entry'!D$9),'Council Entry'!D$8),'Council Entry'!D122)),IF(AND(ISNUMBER('Council Entry'!D$8),ISNUMBER('Council Entry'!D$9)),MAX(MIN('Council Entry'!D122,'Council Entry'!D$9),'Council Entry'!D$8),'Council Entry'!D122))))-'Council Entry'!D$5)/('Council Entry'!D$6-'Council Entry'!D$5)),1))),"No data"))</f>
        <v/>
      </c>
      <c r="E122" s="13">
        <f>IF('Council Entry'!E122="","",IFERROR(MAX(0,MIN(10,ROUND(IF('Council Entry'!E$7="Decrease Risk",10-10*((IF('Council Entry'!E$4="Logarithm",LN(0.001+IF(AND(ISNUMBER('Council Entry'!E$8),ISNUMBER('Council Entry'!E$9)),MAX(MIN('Council Entry'!E122,'Council Entry'!E$9),'Council Entry'!E$8),'Council Entry'!E122)),IF('Council Entry'!E$4="Exponential",EXP(IF(AND(ISNUMBER('Council Entry'!E$8),ISNUMBER('Council Entry'!E$9)),MAX(MIN('Council Entry'!E122,'Council Entry'!E$9),'Council Entry'!E$8),'Council Entry'!E122)),IF(AND(ISNUMBER('Council Entry'!E$8),ISNUMBER('Council Entry'!E$9)),MAX(MIN('Council Entry'!E122,'Council Entry'!E$9),'Council Entry'!E$8),'Council Entry'!E122))))-'Council Entry'!E$5)/('Council Entry'!E$6-'Council Entry'!E$5),10*((IF('Council Entry'!E$4="Logarithm",LN(0.001+IF(AND(ISNUMBER('Council Entry'!E$8),ISNUMBER('Council Entry'!E$9)),MAX(MIN('Council Entry'!E122,'Council Entry'!E$9),'Council Entry'!E$8),'Council Entry'!E122)),IF('Council Entry'!E$4="Exponential",EXP(IF(AND(ISNUMBER('Council Entry'!E$8),ISNUMBER('Council Entry'!E$9)),MAX(MIN('Council Entry'!E122,'Council Entry'!E$9),'Council Entry'!E$8),'Council Entry'!E122)),IF(AND(ISNUMBER('Council Entry'!E$8),ISNUMBER('Council Entry'!E$9)),MAX(MIN('Council Entry'!E122,'Council Entry'!E$9),'Council Entry'!E$8),'Council Entry'!E122))))-'Council Entry'!E$5)/('Council Entry'!E$6-'Council Entry'!E$5)),1))),"No data"))</f>
        <v/>
      </c>
      <c r="F122" s="13">
        <f>IF('Council Entry'!F122="","",IFERROR(MAX(0,MIN(10,ROUND(IF('Council Entry'!F$7="Decrease Risk",10-10*((IF('Council Entry'!F$4="Logarithm",LN(0.001+IF(AND(ISNUMBER('Council Entry'!F$8),ISNUMBER('Council Entry'!F$9)),MAX(MIN('Council Entry'!F122,'Council Entry'!F$9),'Council Entry'!F$8),'Council Entry'!F122)),IF('Council Entry'!F$4="Exponential",EXP(IF(AND(ISNUMBER('Council Entry'!F$8),ISNUMBER('Council Entry'!F$9)),MAX(MIN('Council Entry'!F122,'Council Entry'!F$9),'Council Entry'!F$8),'Council Entry'!F122)),IF(AND(ISNUMBER('Council Entry'!F$8),ISNUMBER('Council Entry'!F$9)),MAX(MIN('Council Entry'!F122,'Council Entry'!F$9),'Council Entry'!F$8),'Council Entry'!F122))))-'Council Entry'!F$5)/('Council Entry'!F$6-'Council Entry'!F$5),10*((IF('Council Entry'!F$4="Logarithm",LN(0.001+IF(AND(ISNUMBER('Council Entry'!F$8),ISNUMBER('Council Entry'!F$9)),MAX(MIN('Council Entry'!F122,'Council Entry'!F$9),'Council Entry'!F$8),'Council Entry'!F122)),IF('Council Entry'!F$4="Exponential",EXP(IF(AND(ISNUMBER('Council Entry'!F$8),ISNUMBER('Council Entry'!F$9)),MAX(MIN('Council Entry'!F122,'Council Entry'!F$9),'Council Entry'!F$8),'Council Entry'!F122)),IF(AND(ISNUMBER('Council Entry'!F$8),ISNUMBER('Council Entry'!F$9)),MAX(MIN('Council Entry'!F122,'Council Entry'!F$9),'Council Entry'!F$8),'Council Entry'!F122))))-'Council Entry'!F$5)/('Council Entry'!F$6-'Council Entry'!F$5)),1))),"No data"))</f>
        <v/>
      </c>
      <c r="G122" s="13">
        <f>IF('Council Entry'!G122="","",IFERROR(MAX(0,MIN(10,ROUND(IF('Council Entry'!G$7="Decrease Risk",10-10*((IF('Council Entry'!G$4="Logarithm",LN(0.001+IF(AND(ISNUMBER('Council Entry'!G$8),ISNUMBER('Council Entry'!G$9)),MAX(MIN('Council Entry'!G122,'Council Entry'!G$9),'Council Entry'!G$8),'Council Entry'!G122)),IF('Council Entry'!G$4="Exponential",EXP(IF(AND(ISNUMBER('Council Entry'!G$8),ISNUMBER('Council Entry'!G$9)),MAX(MIN('Council Entry'!G122,'Council Entry'!G$9),'Council Entry'!G$8),'Council Entry'!G122)),IF(AND(ISNUMBER('Council Entry'!G$8),ISNUMBER('Council Entry'!G$9)),MAX(MIN('Council Entry'!G122,'Council Entry'!G$9),'Council Entry'!G$8),'Council Entry'!G122))))-'Council Entry'!G$5)/('Council Entry'!G$6-'Council Entry'!G$5),10*((IF('Council Entry'!G$4="Logarithm",LN(0.001+IF(AND(ISNUMBER('Council Entry'!G$8),ISNUMBER('Council Entry'!G$9)),MAX(MIN('Council Entry'!G122,'Council Entry'!G$9),'Council Entry'!G$8),'Council Entry'!G122)),IF('Council Entry'!G$4="Exponential",EXP(IF(AND(ISNUMBER('Council Entry'!G$8),ISNUMBER('Council Entry'!G$9)),MAX(MIN('Council Entry'!G122,'Council Entry'!G$9),'Council Entry'!G$8),'Council Entry'!G122)),IF(AND(ISNUMBER('Council Entry'!G$8),ISNUMBER('Council Entry'!G$9)),MAX(MIN('Council Entry'!G122,'Council Entry'!G$9),'Council Entry'!G$8),'Council Entry'!G122))))-'Council Entry'!G$5)/('Council Entry'!G$6-'Council Entry'!G$5)),1))),"No data"))</f>
        <v/>
      </c>
      <c r="H122" s="13">
        <f>IF('Council Entry'!H122="","",IFERROR(MAX(0,MIN(10,ROUND(IF('Council Entry'!H$7="Decrease Risk",10-10*((IF('Council Entry'!H$4="Logarithm",LN(0.001+IF(AND(ISNUMBER('Council Entry'!H$8),ISNUMBER('Council Entry'!H$9)),MAX(MIN('Council Entry'!H122,'Council Entry'!H$9),'Council Entry'!H$8),'Council Entry'!H122)),IF('Council Entry'!H$4="Exponential",EXP(IF(AND(ISNUMBER('Council Entry'!H$8),ISNUMBER('Council Entry'!H$9)),MAX(MIN('Council Entry'!H122,'Council Entry'!H$9),'Council Entry'!H$8),'Council Entry'!H122)),IF(AND(ISNUMBER('Council Entry'!H$8),ISNUMBER('Council Entry'!H$9)),MAX(MIN('Council Entry'!H122,'Council Entry'!H$9),'Council Entry'!H$8),'Council Entry'!H122))))-'Council Entry'!H$5)/('Council Entry'!H$6-'Council Entry'!H$5),10*((IF('Council Entry'!H$4="Logarithm",LN(0.001+IF(AND(ISNUMBER('Council Entry'!H$8),ISNUMBER('Council Entry'!H$9)),MAX(MIN('Council Entry'!H122,'Council Entry'!H$9),'Council Entry'!H$8),'Council Entry'!H122)),IF('Council Entry'!H$4="Exponential",EXP(IF(AND(ISNUMBER('Council Entry'!H$8),ISNUMBER('Council Entry'!H$9)),MAX(MIN('Council Entry'!H122,'Council Entry'!H$9),'Council Entry'!H$8),'Council Entry'!H122)),IF(AND(ISNUMBER('Council Entry'!H$8),ISNUMBER('Council Entry'!H$9)),MAX(MIN('Council Entry'!H122,'Council Entry'!H$9),'Council Entry'!H$8),'Council Entry'!H122))))-'Council Entry'!H$5)/('Council Entry'!H$6-'Council Entry'!H$5)),1))),"No data"))</f>
        <v/>
      </c>
      <c r="I122" s="13">
        <f>IF('Council Entry'!I122="","",IFERROR(MAX(0,MIN(10,ROUND(IF('Council Entry'!I$7="Decrease Risk",10-10*((IF('Council Entry'!I$4="Logarithm",LN(0.001+IF(AND(ISNUMBER('Council Entry'!I$8),ISNUMBER('Council Entry'!I$9)),MAX(MIN('Council Entry'!I122,'Council Entry'!I$9),'Council Entry'!I$8),'Council Entry'!I122)),IF('Council Entry'!I$4="Exponential",EXP(IF(AND(ISNUMBER('Council Entry'!I$8),ISNUMBER('Council Entry'!I$9)),MAX(MIN('Council Entry'!I122,'Council Entry'!I$9),'Council Entry'!I$8),'Council Entry'!I122)),IF(AND(ISNUMBER('Council Entry'!I$8),ISNUMBER('Council Entry'!I$9)),MAX(MIN('Council Entry'!I122,'Council Entry'!I$9),'Council Entry'!I$8),'Council Entry'!I122))))-'Council Entry'!I$5)/('Council Entry'!I$6-'Council Entry'!I$5),10*((IF('Council Entry'!I$4="Logarithm",LN(0.001+IF(AND(ISNUMBER('Council Entry'!I$8),ISNUMBER('Council Entry'!I$9)),MAX(MIN('Council Entry'!I122,'Council Entry'!I$9),'Council Entry'!I$8),'Council Entry'!I122)),IF('Council Entry'!I$4="Exponential",EXP(IF(AND(ISNUMBER('Council Entry'!I$8),ISNUMBER('Council Entry'!I$9)),MAX(MIN('Council Entry'!I122,'Council Entry'!I$9),'Council Entry'!I$8),'Council Entry'!I122)),IF(AND(ISNUMBER('Council Entry'!I$8),ISNUMBER('Council Entry'!I$9)),MAX(MIN('Council Entry'!I122,'Council Entry'!I$9),'Council Entry'!I$8),'Council Entry'!I122))))-'Council Entry'!I$5)/('Council Entry'!I$6-'Council Entry'!I$5)),1))),"No data"))</f>
        <v/>
      </c>
      <c r="J122" s="13">
        <f>IF('Council Entry'!J122="","",IFERROR(MAX(0,MIN(10,ROUND(IF('Council Entry'!J$7="Decrease Risk",10-10*((IF('Council Entry'!J$4="Logarithm",LN(0.001+IF(AND(ISNUMBER('Council Entry'!J$8),ISNUMBER('Council Entry'!J$9)),MAX(MIN('Council Entry'!J122,'Council Entry'!J$9),'Council Entry'!J$8),'Council Entry'!J122)),IF('Council Entry'!J$4="Exponential",EXP(IF(AND(ISNUMBER('Council Entry'!J$8),ISNUMBER('Council Entry'!J$9)),MAX(MIN('Council Entry'!J122,'Council Entry'!J$9),'Council Entry'!J$8),'Council Entry'!J122)),IF(AND(ISNUMBER('Council Entry'!J$8),ISNUMBER('Council Entry'!J$9)),MAX(MIN('Council Entry'!J122,'Council Entry'!J$9),'Council Entry'!J$8),'Council Entry'!J122))))-'Council Entry'!J$5)/('Council Entry'!J$6-'Council Entry'!J$5),10*((IF('Council Entry'!J$4="Logarithm",LN(0.001+IF(AND(ISNUMBER('Council Entry'!J$8),ISNUMBER('Council Entry'!J$9)),MAX(MIN('Council Entry'!J122,'Council Entry'!J$9),'Council Entry'!J$8),'Council Entry'!J122)),IF('Council Entry'!J$4="Exponential",EXP(IF(AND(ISNUMBER('Council Entry'!J$8),ISNUMBER('Council Entry'!J$9)),MAX(MIN('Council Entry'!J122,'Council Entry'!J$9),'Council Entry'!J$8),'Council Entry'!J122)),IF(AND(ISNUMBER('Council Entry'!J$8),ISNUMBER('Council Entry'!J$9)),MAX(MIN('Council Entry'!J122,'Council Entry'!J$9),'Council Entry'!J$8),'Council Entry'!J122))))-'Council Entry'!J$5)/('Council Entry'!J$6-'Council Entry'!J$5)),1))),"No data"))</f>
        <v/>
      </c>
      <c r="K122" s="13">
        <f>IF('Council Entry'!K122="","",IFERROR(MAX(0,MIN(10,ROUND(IF('Council Entry'!K$7="Decrease Risk",10-10*((IF('Council Entry'!K$4="Logarithm",LN(0.001+IF(AND(ISNUMBER('Council Entry'!K$8),ISNUMBER('Council Entry'!K$9)),MAX(MIN('Council Entry'!K122,'Council Entry'!K$9),'Council Entry'!K$8),'Council Entry'!K122)),IF('Council Entry'!K$4="Exponential",EXP(IF(AND(ISNUMBER('Council Entry'!K$8),ISNUMBER('Council Entry'!K$9)),MAX(MIN('Council Entry'!K122,'Council Entry'!K$9),'Council Entry'!K$8),'Council Entry'!K122)),IF(AND(ISNUMBER('Council Entry'!K$8),ISNUMBER('Council Entry'!K$9)),MAX(MIN('Council Entry'!K122,'Council Entry'!K$9),'Council Entry'!K$8),'Council Entry'!K122))))-'Council Entry'!K$5)/('Council Entry'!K$6-'Council Entry'!K$5),10*((IF('Council Entry'!K$4="Logarithm",LN(0.001+IF(AND(ISNUMBER('Council Entry'!K$8),ISNUMBER('Council Entry'!K$9)),MAX(MIN('Council Entry'!K122,'Council Entry'!K$9),'Council Entry'!K$8),'Council Entry'!K122)),IF('Council Entry'!K$4="Exponential",EXP(IF(AND(ISNUMBER('Council Entry'!K$8),ISNUMBER('Council Entry'!K$9)),MAX(MIN('Council Entry'!K122,'Council Entry'!K$9),'Council Entry'!K$8),'Council Entry'!K122)),IF(AND(ISNUMBER('Council Entry'!K$8),ISNUMBER('Council Entry'!K$9)),MAX(MIN('Council Entry'!K122,'Council Entry'!K$9),'Council Entry'!K$8),'Council Entry'!K122))))-'Council Entry'!K$5)/('Council Entry'!K$6-'Council Entry'!K$5)),1))),"No data"))</f>
        <v/>
      </c>
      <c r="L122" s="13">
        <f>IF('Council Entry'!L122="","",IFERROR(MAX(0,MIN(10,ROUND(IF('Council Entry'!L$7="Decrease Risk",10-10*((IF('Council Entry'!L$4="Logarithm",LN(0.001+IF(AND(ISNUMBER('Council Entry'!L$8),ISNUMBER('Council Entry'!L$9)),MAX(MIN('Council Entry'!L122,'Council Entry'!L$9),'Council Entry'!L$8),'Council Entry'!L122)),IF('Council Entry'!L$4="Exponential",EXP(IF(AND(ISNUMBER('Council Entry'!L$8),ISNUMBER('Council Entry'!L$9)),MAX(MIN('Council Entry'!L122,'Council Entry'!L$9),'Council Entry'!L$8),'Council Entry'!L122)),IF(AND(ISNUMBER('Council Entry'!L$8),ISNUMBER('Council Entry'!L$9)),MAX(MIN('Council Entry'!L122,'Council Entry'!L$9),'Council Entry'!L$8),'Council Entry'!L122))))-'Council Entry'!L$5)/('Council Entry'!L$6-'Council Entry'!L$5),10*((IF('Council Entry'!L$4="Logarithm",LN(0.001+IF(AND(ISNUMBER('Council Entry'!L$8),ISNUMBER('Council Entry'!L$9)),MAX(MIN('Council Entry'!L122,'Council Entry'!L$9),'Council Entry'!L$8),'Council Entry'!L122)),IF('Council Entry'!L$4="Exponential",EXP(IF(AND(ISNUMBER('Council Entry'!L$8),ISNUMBER('Council Entry'!L$9)),MAX(MIN('Council Entry'!L122,'Council Entry'!L$9),'Council Entry'!L$8),'Council Entry'!L122)),IF(AND(ISNUMBER('Council Entry'!L$8),ISNUMBER('Council Entry'!L$9)),MAX(MIN('Council Entry'!L122,'Council Entry'!L$9),'Council Entry'!L$8),'Council Entry'!L122))))-'Council Entry'!L$5)/('Council Entry'!L$6-'Council Entry'!L$5)),1))),"No data"))</f>
        <v/>
      </c>
      <c r="M122" s="13">
        <f>IF('Council Entry'!M122="","",IFERROR(MAX(0,MIN(10,ROUND(IF('Council Entry'!M$7="Decrease Risk",10-10*((IF('Council Entry'!M$4="Logarithm",LN(0.001+IF(AND(ISNUMBER('Council Entry'!M$8),ISNUMBER('Council Entry'!M$9)),MAX(MIN('Council Entry'!M122,'Council Entry'!M$9),'Council Entry'!M$8),'Council Entry'!M122)),IF('Council Entry'!M$4="Exponential",EXP(IF(AND(ISNUMBER('Council Entry'!M$8),ISNUMBER('Council Entry'!M$9)),MAX(MIN('Council Entry'!M122,'Council Entry'!M$9),'Council Entry'!M$8),'Council Entry'!M122)),IF(AND(ISNUMBER('Council Entry'!M$8),ISNUMBER('Council Entry'!M$9)),MAX(MIN('Council Entry'!M122,'Council Entry'!M$9),'Council Entry'!M$8),'Council Entry'!M122))))-'Council Entry'!M$5)/('Council Entry'!M$6-'Council Entry'!M$5),10*((IF('Council Entry'!M$4="Logarithm",LN(0.001+IF(AND(ISNUMBER('Council Entry'!M$8),ISNUMBER('Council Entry'!M$9)),MAX(MIN('Council Entry'!M122,'Council Entry'!M$9),'Council Entry'!M$8),'Council Entry'!M122)),IF('Council Entry'!M$4="Exponential",EXP(IF(AND(ISNUMBER('Council Entry'!M$8),ISNUMBER('Council Entry'!M$9)),MAX(MIN('Council Entry'!M122,'Council Entry'!M$9),'Council Entry'!M$8),'Council Entry'!M122)),IF(AND(ISNUMBER('Council Entry'!M$8),ISNUMBER('Council Entry'!M$9)),MAX(MIN('Council Entry'!M122,'Council Entry'!M$9),'Council Entry'!M$8),'Council Entry'!M122))))-'Council Entry'!M$5)/('Council Entry'!M$6-'Council Entry'!M$5)),1))),"No data"))</f>
        <v/>
      </c>
      <c r="N122" s="13">
        <f>IF('Council Entry'!N122="","",IFERROR(MAX(0,MIN(10,ROUND(IF('Council Entry'!N$7="Decrease Risk",10-10*((IF('Council Entry'!N$4="Logarithm",LN(0.001+IF(AND(ISNUMBER('Council Entry'!N$8),ISNUMBER('Council Entry'!N$9)),MAX(MIN('Council Entry'!N122,'Council Entry'!N$9),'Council Entry'!N$8),'Council Entry'!N122)),IF('Council Entry'!N$4="Exponential",EXP(IF(AND(ISNUMBER('Council Entry'!N$8),ISNUMBER('Council Entry'!N$9)),MAX(MIN('Council Entry'!N122,'Council Entry'!N$9),'Council Entry'!N$8),'Council Entry'!N122)),IF(AND(ISNUMBER('Council Entry'!N$8),ISNUMBER('Council Entry'!N$9)),MAX(MIN('Council Entry'!N122,'Council Entry'!N$9),'Council Entry'!N$8),'Council Entry'!N122))))-'Council Entry'!N$5)/('Council Entry'!N$6-'Council Entry'!N$5),10*((IF('Council Entry'!N$4="Logarithm",LN(0.001+IF(AND(ISNUMBER('Council Entry'!N$8),ISNUMBER('Council Entry'!N$9)),MAX(MIN('Council Entry'!N122,'Council Entry'!N$9),'Council Entry'!N$8),'Council Entry'!N122)),IF('Council Entry'!N$4="Exponential",EXP(IF(AND(ISNUMBER('Council Entry'!N$8),ISNUMBER('Council Entry'!N$9)),MAX(MIN('Council Entry'!N122,'Council Entry'!N$9),'Council Entry'!N$8),'Council Entry'!N122)),IF(AND(ISNUMBER('Council Entry'!N$8),ISNUMBER('Council Entry'!N$9)),MAX(MIN('Council Entry'!N122,'Council Entry'!N$9),'Council Entry'!N$8),'Council Entry'!N122))))-'Council Entry'!N$5)/('Council Entry'!N$6-'Council Entry'!N$5)),1))),"No data"))</f>
        <v/>
      </c>
      <c r="O122" s="13">
        <f>IF('Council Entry'!O122="","",IFERROR(MAX(0,MIN(10,ROUND(IF('Council Entry'!O$7="Decrease Risk",10-10*((IF('Council Entry'!O$4="Logarithm",LN(0.001+IF(AND(ISNUMBER('Council Entry'!O$8),ISNUMBER('Council Entry'!O$9)),MAX(MIN('Council Entry'!O122,'Council Entry'!O$9),'Council Entry'!O$8),'Council Entry'!O122)),IF('Council Entry'!O$4="Exponential",EXP(IF(AND(ISNUMBER('Council Entry'!O$8),ISNUMBER('Council Entry'!O$9)),MAX(MIN('Council Entry'!O122,'Council Entry'!O$9),'Council Entry'!O$8),'Council Entry'!O122)),IF(AND(ISNUMBER('Council Entry'!O$8),ISNUMBER('Council Entry'!O$9)),MAX(MIN('Council Entry'!O122,'Council Entry'!O$9),'Council Entry'!O$8),'Council Entry'!O122))))-'Council Entry'!O$5)/('Council Entry'!O$6-'Council Entry'!O$5),10*((IF('Council Entry'!O$4="Logarithm",LN(0.001+IF(AND(ISNUMBER('Council Entry'!O$8),ISNUMBER('Council Entry'!O$9)),MAX(MIN('Council Entry'!O122,'Council Entry'!O$9),'Council Entry'!O$8),'Council Entry'!O122)),IF('Council Entry'!O$4="Exponential",EXP(IF(AND(ISNUMBER('Council Entry'!O$8),ISNUMBER('Council Entry'!O$9)),MAX(MIN('Council Entry'!O122,'Council Entry'!O$9),'Council Entry'!O$8),'Council Entry'!O122)),IF(AND(ISNUMBER('Council Entry'!O$8),ISNUMBER('Council Entry'!O$9)),MAX(MIN('Council Entry'!O122,'Council Entry'!O$9),'Council Entry'!O$8),'Council Entry'!O122))))-'Council Entry'!O$5)/('Council Entry'!O$6-'Council Entry'!O$5)),1))),"No data"))</f>
        <v/>
      </c>
      <c r="P122" s="13">
        <f>IF('Council Entry'!P122="","",IFERROR(MAX(0,MIN(10,ROUND(IF('Council Entry'!P$7="Decrease Risk",10-10*((IF('Council Entry'!P$4="Logarithm",LN(0.001+IF(AND(ISNUMBER('Council Entry'!P$8),ISNUMBER('Council Entry'!P$9)),MAX(MIN('Council Entry'!P122,'Council Entry'!P$9),'Council Entry'!P$8),'Council Entry'!P122)),IF('Council Entry'!P$4="Exponential",EXP(IF(AND(ISNUMBER('Council Entry'!P$8),ISNUMBER('Council Entry'!P$9)),MAX(MIN('Council Entry'!P122,'Council Entry'!P$9),'Council Entry'!P$8),'Council Entry'!P122)),IF(AND(ISNUMBER('Council Entry'!P$8),ISNUMBER('Council Entry'!P$9)),MAX(MIN('Council Entry'!P122,'Council Entry'!P$9),'Council Entry'!P$8),'Council Entry'!P122))))-'Council Entry'!P$5)/('Council Entry'!P$6-'Council Entry'!P$5),10*((IF('Council Entry'!P$4="Logarithm",LN(0.001+IF(AND(ISNUMBER('Council Entry'!P$8),ISNUMBER('Council Entry'!P$9)),MAX(MIN('Council Entry'!P122,'Council Entry'!P$9),'Council Entry'!P$8),'Council Entry'!P122)),IF('Council Entry'!P$4="Exponential",EXP(IF(AND(ISNUMBER('Council Entry'!P$8),ISNUMBER('Council Entry'!P$9)),MAX(MIN('Council Entry'!P122,'Council Entry'!P$9),'Council Entry'!P$8),'Council Entry'!P122)),IF(AND(ISNUMBER('Council Entry'!P$8),ISNUMBER('Council Entry'!P$9)),MAX(MIN('Council Entry'!P122,'Council Entry'!P$9),'Council Entry'!P$8),'Council Entry'!P122))))-'Council Entry'!P$5)/('Council Entry'!P$6-'Council Entry'!P$5)),1))),"No data"))</f>
        <v/>
      </c>
      <c r="Q122" s="13">
        <f>IF('Council Entry'!Q122="","",IFERROR(MAX(0,MIN(10,ROUND(IF('Council Entry'!Q$7="Decrease Risk",10-10*((IF('Council Entry'!Q$4="Logarithm",LN(0.001+IF(AND(ISNUMBER('Council Entry'!Q$8),ISNUMBER('Council Entry'!Q$9)),MAX(MIN('Council Entry'!Q122,'Council Entry'!Q$9),'Council Entry'!Q$8),'Council Entry'!Q122)),IF('Council Entry'!Q$4="Exponential",EXP(IF(AND(ISNUMBER('Council Entry'!Q$8),ISNUMBER('Council Entry'!Q$9)),MAX(MIN('Council Entry'!Q122,'Council Entry'!Q$9),'Council Entry'!Q$8),'Council Entry'!Q122)),IF(AND(ISNUMBER('Council Entry'!Q$8),ISNUMBER('Council Entry'!Q$9)),MAX(MIN('Council Entry'!Q122,'Council Entry'!Q$9),'Council Entry'!Q$8),'Council Entry'!Q122))))-'Council Entry'!Q$5)/('Council Entry'!Q$6-'Council Entry'!Q$5),10*((IF('Council Entry'!Q$4="Logarithm",LN(0.001+IF(AND(ISNUMBER('Council Entry'!Q$8),ISNUMBER('Council Entry'!Q$9)),MAX(MIN('Council Entry'!Q122,'Council Entry'!Q$9),'Council Entry'!Q$8),'Council Entry'!Q122)),IF('Council Entry'!Q$4="Exponential",EXP(IF(AND(ISNUMBER('Council Entry'!Q$8),ISNUMBER('Council Entry'!Q$9)),MAX(MIN('Council Entry'!Q122,'Council Entry'!Q$9),'Council Entry'!Q$8),'Council Entry'!Q122)),IF(AND(ISNUMBER('Council Entry'!Q$8),ISNUMBER('Council Entry'!Q$9)),MAX(MIN('Council Entry'!Q122,'Council Entry'!Q$9),'Council Entry'!Q$8),'Council Entry'!Q122))))-'Council Entry'!Q$5)/('Council Entry'!Q$6-'Council Entry'!Q$5)),1))),"No data"))</f>
        <v/>
      </c>
      <c r="R122" s="13">
        <f>IF('Council Entry'!R122="","",IFERROR(MAX(0,MIN(10,ROUND(IF('Council Entry'!R$7="Decrease Risk",10-10*((IF('Council Entry'!R$4="Logarithm",LN(0.001+IF(AND(ISNUMBER('Council Entry'!R$8),ISNUMBER('Council Entry'!R$9)),MAX(MIN('Council Entry'!R122,'Council Entry'!R$9),'Council Entry'!R$8),'Council Entry'!R122)),IF('Council Entry'!R$4="Exponential",EXP(IF(AND(ISNUMBER('Council Entry'!R$8),ISNUMBER('Council Entry'!R$9)),MAX(MIN('Council Entry'!R122,'Council Entry'!R$9),'Council Entry'!R$8),'Council Entry'!R122)),IF(AND(ISNUMBER('Council Entry'!R$8),ISNUMBER('Council Entry'!R$9)),MAX(MIN('Council Entry'!R122,'Council Entry'!R$9),'Council Entry'!R$8),'Council Entry'!R122))))-'Council Entry'!R$5)/('Council Entry'!R$6-'Council Entry'!R$5),10*((IF('Council Entry'!R$4="Logarithm",LN(0.001+IF(AND(ISNUMBER('Council Entry'!R$8),ISNUMBER('Council Entry'!R$9)),MAX(MIN('Council Entry'!R122,'Council Entry'!R$9),'Council Entry'!R$8),'Council Entry'!R122)),IF('Council Entry'!R$4="Exponential",EXP(IF(AND(ISNUMBER('Council Entry'!R$8),ISNUMBER('Council Entry'!R$9)),MAX(MIN('Council Entry'!R122,'Council Entry'!R$9),'Council Entry'!R$8),'Council Entry'!R122)),IF(AND(ISNUMBER('Council Entry'!R$8),ISNUMBER('Council Entry'!R$9)),MAX(MIN('Council Entry'!R122,'Council Entry'!R$9),'Council Entry'!R$8),'Council Entry'!R122))))-'Council Entry'!R$5)/('Council Entry'!R$6-'Council Entry'!R$5)),1))),"No data"))</f>
        <v/>
      </c>
      <c r="S122" s="13">
        <f>IF('Council Entry'!S122="","",IFERROR(MAX(0,MIN(10,ROUND(IF('Council Entry'!S$7="Decrease Risk",10-10*((IF('Council Entry'!S$4="Logarithm",LN(0.001+IF(AND(ISNUMBER('Council Entry'!S$8),ISNUMBER('Council Entry'!S$9)),MAX(MIN('Council Entry'!S122,'Council Entry'!S$9),'Council Entry'!S$8),'Council Entry'!S122)),IF('Council Entry'!S$4="Exponential",EXP(IF(AND(ISNUMBER('Council Entry'!S$8),ISNUMBER('Council Entry'!S$9)),MAX(MIN('Council Entry'!S122,'Council Entry'!S$9),'Council Entry'!S$8),'Council Entry'!S122)),IF(AND(ISNUMBER('Council Entry'!S$8),ISNUMBER('Council Entry'!S$9)),MAX(MIN('Council Entry'!S122,'Council Entry'!S$9),'Council Entry'!S$8),'Council Entry'!S122))))-'Council Entry'!S$5)/('Council Entry'!S$6-'Council Entry'!S$5),10*((IF('Council Entry'!S$4="Logarithm",LN(0.001+IF(AND(ISNUMBER('Council Entry'!S$8),ISNUMBER('Council Entry'!S$9)),MAX(MIN('Council Entry'!S122,'Council Entry'!S$9),'Council Entry'!S$8),'Council Entry'!S122)),IF('Council Entry'!S$4="Exponential",EXP(IF(AND(ISNUMBER('Council Entry'!S$8),ISNUMBER('Council Entry'!S$9)),MAX(MIN('Council Entry'!S122,'Council Entry'!S$9),'Council Entry'!S$8),'Council Entry'!S122)),IF(AND(ISNUMBER('Council Entry'!S$8),ISNUMBER('Council Entry'!S$9)),MAX(MIN('Council Entry'!S122,'Council Entry'!S$9),'Council Entry'!S$8),'Council Entry'!S122))))-'Council Entry'!S$5)/('Council Entry'!S$6-'Council Entry'!S$5)),1))),"No data"))</f>
        <v/>
      </c>
      <c r="T122" s="13">
        <f>IF('Council Entry'!T122="","",IFERROR(MAX(0,MIN(10,ROUND(IF('Council Entry'!T$7="Decrease Risk",10-10*((IF('Council Entry'!T$4="Logarithm",LN(0.001+IF(AND(ISNUMBER('Council Entry'!T$8),ISNUMBER('Council Entry'!T$9)),MAX(MIN('Council Entry'!T122,'Council Entry'!T$9),'Council Entry'!T$8),'Council Entry'!T122)),IF('Council Entry'!T$4="Exponential",EXP(IF(AND(ISNUMBER('Council Entry'!T$8),ISNUMBER('Council Entry'!T$9)),MAX(MIN('Council Entry'!T122,'Council Entry'!T$9),'Council Entry'!T$8),'Council Entry'!T122)),IF(AND(ISNUMBER('Council Entry'!T$8),ISNUMBER('Council Entry'!T$9)),MAX(MIN('Council Entry'!T122,'Council Entry'!T$9),'Council Entry'!T$8),'Council Entry'!T122))))-'Council Entry'!T$5)/('Council Entry'!T$6-'Council Entry'!T$5),10*((IF('Council Entry'!T$4="Logarithm",LN(0.001+IF(AND(ISNUMBER('Council Entry'!T$8),ISNUMBER('Council Entry'!T$9)),MAX(MIN('Council Entry'!T122,'Council Entry'!T$9),'Council Entry'!T$8),'Council Entry'!T122)),IF('Council Entry'!T$4="Exponential",EXP(IF(AND(ISNUMBER('Council Entry'!T$8),ISNUMBER('Council Entry'!T$9)),MAX(MIN('Council Entry'!T122,'Council Entry'!T$9),'Council Entry'!T$8),'Council Entry'!T122)),IF(AND(ISNUMBER('Council Entry'!T$8),ISNUMBER('Council Entry'!T$9)),MAX(MIN('Council Entry'!T122,'Council Entry'!T$9),'Council Entry'!T$8),'Council Entry'!T122))))-'Council Entry'!T$5)/('Council Entry'!T$6-'Council Entry'!T$5)),1))),"No data"))</f>
        <v/>
      </c>
      <c r="U122" s="13">
        <f>IF('Council Entry'!U122="","",IFERROR(MAX(0,MIN(10,ROUND(IF('Council Entry'!U$7="Decrease Risk",10-10*((IF('Council Entry'!U$4="Logarithm",LN(0.001+IF(AND(ISNUMBER('Council Entry'!U$8),ISNUMBER('Council Entry'!U$9)),MAX(MIN('Council Entry'!U122,'Council Entry'!U$9),'Council Entry'!U$8),'Council Entry'!U122)),IF('Council Entry'!U$4="Exponential",EXP(IF(AND(ISNUMBER('Council Entry'!U$8),ISNUMBER('Council Entry'!U$9)),MAX(MIN('Council Entry'!U122,'Council Entry'!U$9),'Council Entry'!U$8),'Council Entry'!U122)),IF(AND(ISNUMBER('Council Entry'!U$8),ISNUMBER('Council Entry'!U$9)),MAX(MIN('Council Entry'!U122,'Council Entry'!U$9),'Council Entry'!U$8),'Council Entry'!U122))))-'Council Entry'!U$5)/('Council Entry'!U$6-'Council Entry'!U$5),10*((IF('Council Entry'!U$4="Logarithm",LN(0.001+IF(AND(ISNUMBER('Council Entry'!U$8),ISNUMBER('Council Entry'!U$9)),MAX(MIN('Council Entry'!U122,'Council Entry'!U$9),'Council Entry'!U$8),'Council Entry'!U122)),IF('Council Entry'!U$4="Exponential",EXP(IF(AND(ISNUMBER('Council Entry'!U$8),ISNUMBER('Council Entry'!U$9)),MAX(MIN('Council Entry'!U122,'Council Entry'!U$9),'Council Entry'!U$8),'Council Entry'!U122)),IF(AND(ISNUMBER('Council Entry'!U$8),ISNUMBER('Council Entry'!U$9)),MAX(MIN('Council Entry'!U122,'Council Entry'!U$9),'Council Entry'!U$8),'Council Entry'!U122))))-'Council Entry'!U$5)/('Council Entry'!U$6-'Council Entry'!U$5)),1))),"No data"))</f>
        <v/>
      </c>
      <c r="V122" s="13">
        <f>IF('Council Entry'!V122="","",IFERROR(MAX(0,MIN(10,ROUND(IF('Council Entry'!V$7="Decrease Risk",10-10*((IF('Council Entry'!V$4="Logarithm",LN(0.001+IF(AND(ISNUMBER('Council Entry'!V$8),ISNUMBER('Council Entry'!V$9)),MAX(MIN('Council Entry'!V122,'Council Entry'!V$9),'Council Entry'!V$8),'Council Entry'!V122)),IF('Council Entry'!V$4="Exponential",EXP(IF(AND(ISNUMBER('Council Entry'!V$8),ISNUMBER('Council Entry'!V$9)),MAX(MIN('Council Entry'!V122,'Council Entry'!V$9),'Council Entry'!V$8),'Council Entry'!V122)),IF(AND(ISNUMBER('Council Entry'!V$8),ISNUMBER('Council Entry'!V$9)),MAX(MIN('Council Entry'!V122,'Council Entry'!V$9),'Council Entry'!V$8),'Council Entry'!V122))))-'Council Entry'!V$5)/('Council Entry'!V$6-'Council Entry'!V$5),10*((IF('Council Entry'!V$4="Logarithm",LN(0.001+IF(AND(ISNUMBER('Council Entry'!V$8),ISNUMBER('Council Entry'!V$9)),MAX(MIN('Council Entry'!V122,'Council Entry'!V$9),'Council Entry'!V$8),'Council Entry'!V122)),IF('Council Entry'!V$4="Exponential",EXP(IF(AND(ISNUMBER('Council Entry'!V$8),ISNUMBER('Council Entry'!V$9)),MAX(MIN('Council Entry'!V122,'Council Entry'!V$9),'Council Entry'!V$8),'Council Entry'!V122)),IF(AND(ISNUMBER('Council Entry'!V$8),ISNUMBER('Council Entry'!V$9)),MAX(MIN('Council Entry'!V122,'Council Entry'!V$9),'Council Entry'!V$8),'Council Entry'!V122))))-'Council Entry'!V$5)/('Council Entry'!V$6-'Council Entry'!V$5)),1))),"No data"))</f>
        <v/>
      </c>
      <c r="W122" s="13">
        <f>IF('Council Entry'!W122="","",IFERROR(MAX(0,MIN(10,ROUND(IF('Council Entry'!W$7="Decrease Risk",10-10*((IF('Council Entry'!W$4="Logarithm",LN(0.001+IF(AND(ISNUMBER('Council Entry'!W$8),ISNUMBER('Council Entry'!W$9)),MAX(MIN('Council Entry'!W122,'Council Entry'!W$9),'Council Entry'!W$8),'Council Entry'!W122)),IF('Council Entry'!W$4="Exponential",EXP(IF(AND(ISNUMBER('Council Entry'!W$8),ISNUMBER('Council Entry'!W$9)),MAX(MIN('Council Entry'!W122,'Council Entry'!W$9),'Council Entry'!W$8),'Council Entry'!W122)),IF(AND(ISNUMBER('Council Entry'!W$8),ISNUMBER('Council Entry'!W$9)),MAX(MIN('Council Entry'!W122,'Council Entry'!W$9),'Council Entry'!W$8),'Council Entry'!W122))))-'Council Entry'!W$5)/('Council Entry'!W$6-'Council Entry'!W$5),10*((IF('Council Entry'!W$4="Logarithm",LN(0.001+IF(AND(ISNUMBER('Council Entry'!W$8),ISNUMBER('Council Entry'!W$9)),MAX(MIN('Council Entry'!W122,'Council Entry'!W$9),'Council Entry'!W$8),'Council Entry'!W122)),IF('Council Entry'!W$4="Exponential",EXP(IF(AND(ISNUMBER('Council Entry'!W$8),ISNUMBER('Council Entry'!W$9)),MAX(MIN('Council Entry'!W122,'Council Entry'!W$9),'Council Entry'!W$8),'Council Entry'!W122)),IF(AND(ISNUMBER('Council Entry'!W$8),ISNUMBER('Council Entry'!W$9)),MAX(MIN('Council Entry'!W122,'Council Entry'!W$9),'Council Entry'!W$8),'Council Entry'!W122))))-'Council Entry'!W$5)/('Council Entry'!W$6-'Council Entry'!W$5)),1))),"No data"))</f>
        <v/>
      </c>
      <c r="X122" s="13">
        <f>IF('Council Entry'!X122="","",IFERROR(MAX(0,MIN(10,ROUND(IF('Council Entry'!X$7="Decrease Risk",10-10*((IF('Council Entry'!X$4="Logarithm",LN(0.001+IF(AND(ISNUMBER('Council Entry'!X$8),ISNUMBER('Council Entry'!X$9)),MAX(MIN('Council Entry'!X122,'Council Entry'!X$9),'Council Entry'!X$8),'Council Entry'!X122)),IF('Council Entry'!X$4="Exponential",EXP(IF(AND(ISNUMBER('Council Entry'!X$8),ISNUMBER('Council Entry'!X$9)),MAX(MIN('Council Entry'!X122,'Council Entry'!X$9),'Council Entry'!X$8),'Council Entry'!X122)),IF(AND(ISNUMBER('Council Entry'!X$8),ISNUMBER('Council Entry'!X$9)),MAX(MIN('Council Entry'!X122,'Council Entry'!X$9),'Council Entry'!X$8),'Council Entry'!X122))))-'Council Entry'!X$5)/('Council Entry'!X$6-'Council Entry'!X$5),10*((IF('Council Entry'!X$4="Logarithm",LN(0.001+IF(AND(ISNUMBER('Council Entry'!X$8),ISNUMBER('Council Entry'!X$9)),MAX(MIN('Council Entry'!X122,'Council Entry'!X$9),'Council Entry'!X$8),'Council Entry'!X122)),IF('Council Entry'!X$4="Exponential",EXP(IF(AND(ISNUMBER('Council Entry'!X$8),ISNUMBER('Council Entry'!X$9)),MAX(MIN('Council Entry'!X122,'Council Entry'!X$9),'Council Entry'!X$8),'Council Entry'!X122)),IF(AND(ISNUMBER('Council Entry'!X$8),ISNUMBER('Council Entry'!X$9)),MAX(MIN('Council Entry'!X122,'Council Entry'!X$9),'Council Entry'!X$8),'Council Entry'!X122))))-'Council Entry'!X$5)/('Council Entry'!X$6-'Council Entry'!X$5)),1))),"No data"))</f>
        <v/>
      </c>
      <c r="Y122" s="13">
        <f>IF('Council Entry'!Y122="","",IFERROR(MAX(0,MIN(10,ROUND(IF('Council Entry'!Y$7="Decrease Risk",10-10*((IF('Council Entry'!Y$4="Logarithm",LN(0.001+IF(AND(ISNUMBER('Council Entry'!Y$8),ISNUMBER('Council Entry'!Y$9)),MAX(MIN('Council Entry'!Y122,'Council Entry'!Y$9),'Council Entry'!Y$8),'Council Entry'!Y122)),IF('Council Entry'!Y$4="Exponential",EXP(IF(AND(ISNUMBER('Council Entry'!Y$8),ISNUMBER('Council Entry'!Y$9)),MAX(MIN('Council Entry'!Y122,'Council Entry'!Y$9),'Council Entry'!Y$8),'Council Entry'!Y122)),IF(AND(ISNUMBER('Council Entry'!Y$8),ISNUMBER('Council Entry'!Y$9)),MAX(MIN('Council Entry'!Y122,'Council Entry'!Y$9),'Council Entry'!Y$8),'Council Entry'!Y122))))-'Council Entry'!Y$5)/('Council Entry'!Y$6-'Council Entry'!Y$5),10*((IF('Council Entry'!Y$4="Logarithm",LN(0.001+IF(AND(ISNUMBER('Council Entry'!Y$8),ISNUMBER('Council Entry'!Y$9)),MAX(MIN('Council Entry'!Y122,'Council Entry'!Y$9),'Council Entry'!Y$8),'Council Entry'!Y122)),IF('Council Entry'!Y$4="Exponential",EXP(IF(AND(ISNUMBER('Council Entry'!Y$8),ISNUMBER('Council Entry'!Y$9)),MAX(MIN('Council Entry'!Y122,'Council Entry'!Y$9),'Council Entry'!Y$8),'Council Entry'!Y122)),IF(AND(ISNUMBER('Council Entry'!Y$8),ISNUMBER('Council Entry'!Y$9)),MAX(MIN('Council Entry'!Y122,'Council Entry'!Y$9),'Council Entry'!Y$8),'Council Entry'!Y122))))-'Council Entry'!Y$5)/('Council Entry'!Y$6-'Council Entry'!Y$5)),1))),"No data"))</f>
        <v/>
      </c>
      <c r="Z122" s="13">
        <f>IF('Council Entry'!Z122="","",IFERROR(MAX(0,MIN(10,ROUND(IF('Council Entry'!Z$7="Decrease Risk",10-10*((IF('Council Entry'!Z$4="Logarithm",LN(0.001+IF(AND(ISNUMBER('Council Entry'!Z$8),ISNUMBER('Council Entry'!Z$9)),MAX(MIN('Council Entry'!Z122,'Council Entry'!Z$9),'Council Entry'!Z$8),'Council Entry'!Z122)),IF('Council Entry'!Z$4="Exponential",EXP(IF(AND(ISNUMBER('Council Entry'!Z$8),ISNUMBER('Council Entry'!Z$9)),MAX(MIN('Council Entry'!Z122,'Council Entry'!Z$9),'Council Entry'!Z$8),'Council Entry'!Z122)),IF(AND(ISNUMBER('Council Entry'!Z$8),ISNUMBER('Council Entry'!Z$9)),MAX(MIN('Council Entry'!Z122,'Council Entry'!Z$9),'Council Entry'!Z$8),'Council Entry'!Z122))))-'Council Entry'!Z$5)/('Council Entry'!Z$6-'Council Entry'!Z$5),10*((IF('Council Entry'!Z$4="Logarithm",LN(0.001+IF(AND(ISNUMBER('Council Entry'!Z$8),ISNUMBER('Council Entry'!Z$9)),MAX(MIN('Council Entry'!Z122,'Council Entry'!Z$9),'Council Entry'!Z$8),'Council Entry'!Z122)),IF('Council Entry'!Z$4="Exponential",EXP(IF(AND(ISNUMBER('Council Entry'!Z$8),ISNUMBER('Council Entry'!Z$9)),MAX(MIN('Council Entry'!Z122,'Council Entry'!Z$9),'Council Entry'!Z$8),'Council Entry'!Z122)),IF(AND(ISNUMBER('Council Entry'!Z$8),ISNUMBER('Council Entry'!Z$9)),MAX(MIN('Council Entry'!Z122,'Council Entry'!Z$9),'Council Entry'!Z$8),'Council Entry'!Z122))))-'Council Entry'!Z$5)/('Council Entry'!Z$6-'Council Entry'!Z$5)),1))),"No data"))</f>
        <v/>
      </c>
      <c r="AA122" s="13">
        <f>IF('Council Entry'!AA122="","",IFERROR(MAX(0,MIN(10,ROUND(IF('Council Entry'!AA$7="Decrease Risk",10-10*((IF('Council Entry'!AA$4="Logarithm",LN(0.001+IF(AND(ISNUMBER('Council Entry'!AA$8),ISNUMBER('Council Entry'!AA$9)),MAX(MIN('Council Entry'!AA122,'Council Entry'!AA$9),'Council Entry'!AA$8),'Council Entry'!AA122)),IF('Council Entry'!AA$4="Exponential",EXP(IF(AND(ISNUMBER('Council Entry'!AA$8),ISNUMBER('Council Entry'!AA$9)),MAX(MIN('Council Entry'!AA122,'Council Entry'!AA$9),'Council Entry'!AA$8),'Council Entry'!AA122)),IF(AND(ISNUMBER('Council Entry'!AA$8),ISNUMBER('Council Entry'!AA$9)),MAX(MIN('Council Entry'!AA122,'Council Entry'!AA$9),'Council Entry'!AA$8),'Council Entry'!AA122))))-'Council Entry'!AA$5)/('Council Entry'!AA$6-'Council Entry'!AA$5),10*((IF('Council Entry'!AA$4="Logarithm",LN(0.001+IF(AND(ISNUMBER('Council Entry'!AA$8),ISNUMBER('Council Entry'!AA$9)),MAX(MIN('Council Entry'!AA122,'Council Entry'!AA$9),'Council Entry'!AA$8),'Council Entry'!AA122)),IF('Council Entry'!AA$4="Exponential",EXP(IF(AND(ISNUMBER('Council Entry'!AA$8),ISNUMBER('Council Entry'!AA$9)),MAX(MIN('Council Entry'!AA122,'Council Entry'!AA$9),'Council Entry'!AA$8),'Council Entry'!AA122)),IF(AND(ISNUMBER('Council Entry'!AA$8),ISNUMBER('Council Entry'!AA$9)),MAX(MIN('Council Entry'!AA122,'Council Entry'!AA$9),'Council Entry'!AA$8),'Council Entry'!AA122))))-'Council Entry'!AA$5)/('Council Entry'!AA$6-'Council Entry'!AA$5)),1))),"No data"))</f>
        <v/>
      </c>
      <c r="AB122" s="13">
        <f>IF('Council Entry'!AB122="","",IFERROR(MAX(0,MIN(10,ROUND(IF('Council Entry'!AB$7="Decrease Risk",10-10*((IF('Council Entry'!AB$4="Logarithm",LN(0.001+IF(AND(ISNUMBER('Council Entry'!AB$8),ISNUMBER('Council Entry'!AB$9)),MAX(MIN('Council Entry'!AB122,'Council Entry'!AB$9),'Council Entry'!AB$8),'Council Entry'!AB122)),IF('Council Entry'!AB$4="Exponential",EXP(IF(AND(ISNUMBER('Council Entry'!AB$8),ISNUMBER('Council Entry'!AB$9)),MAX(MIN('Council Entry'!AB122,'Council Entry'!AB$9),'Council Entry'!AB$8),'Council Entry'!AB122)),IF(AND(ISNUMBER('Council Entry'!AB$8),ISNUMBER('Council Entry'!AB$9)),MAX(MIN('Council Entry'!AB122,'Council Entry'!AB$9),'Council Entry'!AB$8),'Council Entry'!AB122))))-'Council Entry'!AB$5)/('Council Entry'!AB$6-'Council Entry'!AB$5),10*((IF('Council Entry'!AB$4="Logarithm",LN(0.001+IF(AND(ISNUMBER('Council Entry'!AB$8),ISNUMBER('Council Entry'!AB$9)),MAX(MIN('Council Entry'!AB122,'Council Entry'!AB$9),'Council Entry'!AB$8),'Council Entry'!AB122)),IF('Council Entry'!AB$4="Exponential",EXP(IF(AND(ISNUMBER('Council Entry'!AB$8),ISNUMBER('Council Entry'!AB$9)),MAX(MIN('Council Entry'!AB122,'Council Entry'!AB$9),'Council Entry'!AB$8),'Council Entry'!AB122)),IF(AND(ISNUMBER('Council Entry'!AB$8),ISNUMBER('Council Entry'!AB$9)),MAX(MIN('Council Entry'!AB122,'Council Entry'!AB$9),'Council Entry'!AB$8),'Council Entry'!AB122))))-'Council Entry'!AB$5)/('Council Entry'!AB$6-'Council Entry'!AB$5)),1))),"No data"))</f>
        <v/>
      </c>
      <c r="AC122" s="13">
        <f>IF('Council Entry'!AC122="","",IFERROR(MAX(0,MIN(10,ROUND(IF('Council Entry'!AC$7="Decrease Risk",10-10*((IF('Council Entry'!AC$4="Logarithm",LN(0.001+IF(AND(ISNUMBER('Council Entry'!AC$8),ISNUMBER('Council Entry'!AC$9)),MAX(MIN('Council Entry'!AC122,'Council Entry'!AC$9),'Council Entry'!AC$8),'Council Entry'!AC122)),IF('Council Entry'!AC$4="Exponential",EXP(IF(AND(ISNUMBER('Council Entry'!AC$8),ISNUMBER('Council Entry'!AC$9)),MAX(MIN('Council Entry'!AC122,'Council Entry'!AC$9),'Council Entry'!AC$8),'Council Entry'!AC122)),IF(AND(ISNUMBER('Council Entry'!AC$8),ISNUMBER('Council Entry'!AC$9)),MAX(MIN('Council Entry'!AC122,'Council Entry'!AC$9),'Council Entry'!AC$8),'Council Entry'!AC122))))-'Council Entry'!AC$5)/('Council Entry'!AC$6-'Council Entry'!AC$5),10*((IF('Council Entry'!AC$4="Logarithm",LN(0.001+IF(AND(ISNUMBER('Council Entry'!AC$8),ISNUMBER('Council Entry'!AC$9)),MAX(MIN('Council Entry'!AC122,'Council Entry'!AC$9),'Council Entry'!AC$8),'Council Entry'!AC122)),IF('Council Entry'!AC$4="Exponential",EXP(IF(AND(ISNUMBER('Council Entry'!AC$8),ISNUMBER('Council Entry'!AC$9)),MAX(MIN('Council Entry'!AC122,'Council Entry'!AC$9),'Council Entry'!AC$8),'Council Entry'!AC122)),IF(AND(ISNUMBER('Council Entry'!AC$8),ISNUMBER('Council Entry'!AC$9)),MAX(MIN('Council Entry'!AC122,'Council Entry'!AC$9),'Council Entry'!AC$8),'Council Entry'!AC122))))-'Council Entry'!AC$5)/('Council Entry'!AC$6-'Council Entry'!AC$5)),1))),"No data"))</f>
        <v/>
      </c>
      <c r="AD122" s="13">
        <f>IF('Council Entry'!AD122="","",IFERROR(MAX(0,MIN(10,ROUND(IF('Council Entry'!AD$7="Decrease Risk",10-10*((IF('Council Entry'!AD$4="Logarithm",LN(0.001+IF(AND(ISNUMBER('Council Entry'!AD$8),ISNUMBER('Council Entry'!AD$9)),MAX(MIN('Council Entry'!AD122,'Council Entry'!AD$9),'Council Entry'!AD$8),'Council Entry'!AD122)),IF('Council Entry'!AD$4="Exponential",EXP(IF(AND(ISNUMBER('Council Entry'!AD$8),ISNUMBER('Council Entry'!AD$9)),MAX(MIN('Council Entry'!AD122,'Council Entry'!AD$9),'Council Entry'!AD$8),'Council Entry'!AD122)),IF(AND(ISNUMBER('Council Entry'!AD$8),ISNUMBER('Council Entry'!AD$9)),MAX(MIN('Council Entry'!AD122,'Council Entry'!AD$9),'Council Entry'!AD$8),'Council Entry'!AD122))))-'Council Entry'!AD$5)/('Council Entry'!AD$6-'Council Entry'!AD$5),10*((IF('Council Entry'!AD$4="Logarithm",LN(0.001+IF(AND(ISNUMBER('Council Entry'!AD$8),ISNUMBER('Council Entry'!AD$9)),MAX(MIN('Council Entry'!AD122,'Council Entry'!AD$9),'Council Entry'!AD$8),'Council Entry'!AD122)),IF('Council Entry'!AD$4="Exponential",EXP(IF(AND(ISNUMBER('Council Entry'!AD$8),ISNUMBER('Council Entry'!AD$9)),MAX(MIN('Council Entry'!AD122,'Council Entry'!AD$9),'Council Entry'!AD$8),'Council Entry'!AD122)),IF(AND(ISNUMBER('Council Entry'!AD$8),ISNUMBER('Council Entry'!AD$9)),MAX(MIN('Council Entry'!AD122,'Council Entry'!AD$9),'Council Entry'!AD$8),'Council Entry'!AD122))))-'Council Entry'!AD$5)/('Council Entry'!AD$6-'Council Entry'!AD$5)),1))),"No data"))</f>
        <v/>
      </c>
      <c r="AE122" s="13">
        <f>IF('Council Entry'!AE122="","",IFERROR(MAX(0,MIN(10,ROUND(IF('Council Entry'!AE$7="Decrease Risk",10-10*((IF('Council Entry'!AE$4="Logarithm",LN(0.001+IF(AND(ISNUMBER('Council Entry'!AE$8),ISNUMBER('Council Entry'!AE$9)),MAX(MIN('Council Entry'!AE122,'Council Entry'!AE$9),'Council Entry'!AE$8),'Council Entry'!AE122)),IF('Council Entry'!AE$4="Exponential",EXP(IF(AND(ISNUMBER('Council Entry'!AE$8),ISNUMBER('Council Entry'!AE$9)),MAX(MIN('Council Entry'!AE122,'Council Entry'!AE$9),'Council Entry'!AE$8),'Council Entry'!AE122)),IF(AND(ISNUMBER('Council Entry'!AE$8),ISNUMBER('Council Entry'!AE$9)),MAX(MIN('Council Entry'!AE122,'Council Entry'!AE$9),'Council Entry'!AE$8),'Council Entry'!AE122))))-'Council Entry'!AE$5)/('Council Entry'!AE$6-'Council Entry'!AE$5),10*((IF('Council Entry'!AE$4="Logarithm",LN(0.001+IF(AND(ISNUMBER('Council Entry'!AE$8),ISNUMBER('Council Entry'!AE$9)),MAX(MIN('Council Entry'!AE122,'Council Entry'!AE$9),'Council Entry'!AE$8),'Council Entry'!AE122)),IF('Council Entry'!AE$4="Exponential",EXP(IF(AND(ISNUMBER('Council Entry'!AE$8),ISNUMBER('Council Entry'!AE$9)),MAX(MIN('Council Entry'!AE122,'Council Entry'!AE$9),'Council Entry'!AE$8),'Council Entry'!AE122)),IF(AND(ISNUMBER('Council Entry'!AE$8),ISNUMBER('Council Entry'!AE$9)),MAX(MIN('Council Entry'!AE122,'Council Entry'!AE$9),'Council Entry'!AE$8),'Council Entry'!AE122))))-'Council Entry'!AE$5)/('Council Entry'!AE$6-'Council Entry'!AE$5)),1))),"No data"))</f>
        <v/>
      </c>
      <c r="AF122" s="13">
        <f>IF('Council Entry'!AF122="","",IFERROR(MAX(0,MIN(10,ROUND(IF('Council Entry'!AF$7="Decrease Risk",10-10*((IF('Council Entry'!AF$4="Logarithm",LN(0.001+IF(AND(ISNUMBER('Council Entry'!AF$8),ISNUMBER('Council Entry'!AF$9)),MAX(MIN('Council Entry'!AF122,'Council Entry'!AF$9),'Council Entry'!AF$8),'Council Entry'!AF122)),IF('Council Entry'!AF$4="Exponential",EXP(IF(AND(ISNUMBER('Council Entry'!AF$8),ISNUMBER('Council Entry'!AF$9)),MAX(MIN('Council Entry'!AF122,'Council Entry'!AF$9),'Council Entry'!AF$8),'Council Entry'!AF122)),IF(AND(ISNUMBER('Council Entry'!AF$8),ISNUMBER('Council Entry'!AF$9)),MAX(MIN('Council Entry'!AF122,'Council Entry'!AF$9),'Council Entry'!AF$8),'Council Entry'!AF122))))-'Council Entry'!AF$5)/('Council Entry'!AF$6-'Council Entry'!AF$5),10*((IF('Council Entry'!AF$4="Logarithm",LN(0.001+IF(AND(ISNUMBER('Council Entry'!AF$8),ISNUMBER('Council Entry'!AF$9)),MAX(MIN('Council Entry'!AF122,'Council Entry'!AF$9),'Council Entry'!AF$8),'Council Entry'!AF122)),IF('Council Entry'!AF$4="Exponential",EXP(IF(AND(ISNUMBER('Council Entry'!AF$8),ISNUMBER('Council Entry'!AF$9)),MAX(MIN('Council Entry'!AF122,'Council Entry'!AF$9),'Council Entry'!AF$8),'Council Entry'!AF122)),IF(AND(ISNUMBER('Council Entry'!AF$8),ISNUMBER('Council Entry'!AF$9)),MAX(MIN('Council Entry'!AF122,'Council Entry'!AF$9),'Council Entry'!AF$8),'Council Entry'!AF122))))-'Council Entry'!AF$5)/('Council Entry'!AF$6-'Council Entry'!AF$5)),1))),"No data"))</f>
        <v/>
      </c>
      <c r="AG122" s="13">
        <f>IF('Council Entry'!AG122="","",IFERROR(MAX(0,MIN(10,ROUND(IF('Council Entry'!AG$7="Decrease Risk",10-10*((IF('Council Entry'!AG$4="Logarithm",LN(0.001+IF(AND(ISNUMBER('Council Entry'!AG$8),ISNUMBER('Council Entry'!AG$9)),MAX(MIN('Council Entry'!AG122,'Council Entry'!AG$9),'Council Entry'!AG$8),'Council Entry'!AG122)),IF('Council Entry'!AG$4="Exponential",EXP(IF(AND(ISNUMBER('Council Entry'!AG$8),ISNUMBER('Council Entry'!AG$9)),MAX(MIN('Council Entry'!AG122,'Council Entry'!AG$9),'Council Entry'!AG$8),'Council Entry'!AG122)),IF(AND(ISNUMBER('Council Entry'!AG$8),ISNUMBER('Council Entry'!AG$9)),MAX(MIN('Council Entry'!AG122,'Council Entry'!AG$9),'Council Entry'!AG$8),'Council Entry'!AG122))))-'Council Entry'!AG$5)/('Council Entry'!AG$6-'Council Entry'!AG$5),10*((IF('Council Entry'!AG$4="Logarithm",LN(0.001+IF(AND(ISNUMBER('Council Entry'!AG$8),ISNUMBER('Council Entry'!AG$9)),MAX(MIN('Council Entry'!AG122,'Council Entry'!AG$9),'Council Entry'!AG$8),'Council Entry'!AG122)),IF('Council Entry'!AG$4="Exponential",EXP(IF(AND(ISNUMBER('Council Entry'!AG$8),ISNUMBER('Council Entry'!AG$9)),MAX(MIN('Council Entry'!AG122,'Council Entry'!AG$9),'Council Entry'!AG$8),'Council Entry'!AG122)),IF(AND(ISNUMBER('Council Entry'!AG$8),ISNUMBER('Council Entry'!AG$9)),MAX(MIN('Council Entry'!AG122,'Council Entry'!AG$9),'Council Entry'!AG$8),'Council Entry'!AG122))))-'Council Entry'!AG$5)/('Council Entry'!AG$6-'Council Entry'!AG$5)),1))),"No data"))</f>
        <v/>
      </c>
      <c r="AH122" s="13">
        <f>IF('Council Entry'!AH122="","",IFERROR(MAX(0,MIN(10,ROUND(IF('Council Entry'!AH$7="Decrease Risk",10-10*((IF('Council Entry'!AH$4="Logarithm",LN(0.001+IF(AND(ISNUMBER('Council Entry'!AH$8),ISNUMBER('Council Entry'!AH$9)),MAX(MIN('Council Entry'!AH122,'Council Entry'!AH$9),'Council Entry'!AH$8),'Council Entry'!AH122)),IF('Council Entry'!AH$4="Exponential",EXP(IF(AND(ISNUMBER('Council Entry'!AH$8),ISNUMBER('Council Entry'!AH$9)),MAX(MIN('Council Entry'!AH122,'Council Entry'!AH$9),'Council Entry'!AH$8),'Council Entry'!AH122)),IF(AND(ISNUMBER('Council Entry'!AH$8),ISNUMBER('Council Entry'!AH$9)),MAX(MIN('Council Entry'!AH122,'Council Entry'!AH$9),'Council Entry'!AH$8),'Council Entry'!AH122))))-'Council Entry'!AH$5)/('Council Entry'!AH$6-'Council Entry'!AH$5),10*((IF('Council Entry'!AH$4="Logarithm",LN(0.001+IF(AND(ISNUMBER('Council Entry'!AH$8),ISNUMBER('Council Entry'!AH$9)),MAX(MIN('Council Entry'!AH122,'Council Entry'!AH$9),'Council Entry'!AH$8),'Council Entry'!AH122)),IF('Council Entry'!AH$4="Exponential",EXP(IF(AND(ISNUMBER('Council Entry'!AH$8),ISNUMBER('Council Entry'!AH$9)),MAX(MIN('Council Entry'!AH122,'Council Entry'!AH$9),'Council Entry'!AH$8),'Council Entry'!AH122)),IF(AND(ISNUMBER('Council Entry'!AH$8),ISNUMBER('Council Entry'!AH$9)),MAX(MIN('Council Entry'!AH122,'Council Entry'!AH$9),'Council Entry'!AH$8),'Council Entry'!AH122))))-'Council Entry'!AH$5)/('Council Entry'!AH$6-'Council Entry'!AH$5)),1))),"No data"))</f>
        <v/>
      </c>
      <c r="AI122" s="13">
        <f>IF('Council Entry'!AI122="","",IFERROR(MAX(0,MIN(10,ROUND(IF('Council Entry'!AI$7="Decrease Risk",10-10*((IF('Council Entry'!AI$4="Logarithm",LN(0.001+IF(AND(ISNUMBER('Council Entry'!AI$8),ISNUMBER('Council Entry'!AI$9)),MAX(MIN('Council Entry'!AI122,'Council Entry'!AI$9),'Council Entry'!AI$8),'Council Entry'!AI122)),IF('Council Entry'!AI$4="Exponential",EXP(IF(AND(ISNUMBER('Council Entry'!AI$8),ISNUMBER('Council Entry'!AI$9)),MAX(MIN('Council Entry'!AI122,'Council Entry'!AI$9),'Council Entry'!AI$8),'Council Entry'!AI122)),IF(AND(ISNUMBER('Council Entry'!AI$8),ISNUMBER('Council Entry'!AI$9)),MAX(MIN('Council Entry'!AI122,'Council Entry'!AI$9),'Council Entry'!AI$8),'Council Entry'!AI122))))-'Council Entry'!AI$5)/('Council Entry'!AI$6-'Council Entry'!AI$5),10*((IF('Council Entry'!AI$4="Logarithm",LN(0.001+IF(AND(ISNUMBER('Council Entry'!AI$8),ISNUMBER('Council Entry'!AI$9)),MAX(MIN('Council Entry'!AI122,'Council Entry'!AI$9),'Council Entry'!AI$8),'Council Entry'!AI122)),IF('Council Entry'!AI$4="Exponential",EXP(IF(AND(ISNUMBER('Council Entry'!AI$8),ISNUMBER('Council Entry'!AI$9)),MAX(MIN('Council Entry'!AI122,'Council Entry'!AI$9),'Council Entry'!AI$8),'Council Entry'!AI122)),IF(AND(ISNUMBER('Council Entry'!AI$8),ISNUMBER('Council Entry'!AI$9)),MAX(MIN('Council Entry'!AI122,'Council Entry'!AI$9),'Council Entry'!AI$8),'Council Entry'!AI122))))-'Council Entry'!AI$5)/('Council Entry'!AI$6-'Council Entry'!AI$5)),1))),"No data"))</f>
        <v/>
      </c>
      <c r="AJ122" s="13">
        <f>IF('Council Entry'!AJ122="","",IFERROR(MAX(0,MIN(10,ROUND(IF('Council Entry'!AJ$7="Decrease Risk",10-10*((IF('Council Entry'!AJ$4="Logarithm",LN(0.001+IF(AND(ISNUMBER('Council Entry'!AJ$8),ISNUMBER('Council Entry'!AJ$9)),MAX(MIN('Council Entry'!AJ122,'Council Entry'!AJ$9),'Council Entry'!AJ$8),'Council Entry'!AJ122)),IF('Council Entry'!AJ$4="Exponential",EXP(IF(AND(ISNUMBER('Council Entry'!AJ$8),ISNUMBER('Council Entry'!AJ$9)),MAX(MIN('Council Entry'!AJ122,'Council Entry'!AJ$9),'Council Entry'!AJ$8),'Council Entry'!AJ122)),IF(AND(ISNUMBER('Council Entry'!AJ$8),ISNUMBER('Council Entry'!AJ$9)),MAX(MIN('Council Entry'!AJ122,'Council Entry'!AJ$9),'Council Entry'!AJ$8),'Council Entry'!AJ122))))-'Council Entry'!AJ$5)/('Council Entry'!AJ$6-'Council Entry'!AJ$5),10*((IF('Council Entry'!AJ$4="Logarithm",LN(0.001+IF(AND(ISNUMBER('Council Entry'!AJ$8),ISNUMBER('Council Entry'!AJ$9)),MAX(MIN('Council Entry'!AJ122,'Council Entry'!AJ$9),'Council Entry'!AJ$8),'Council Entry'!AJ122)),IF('Council Entry'!AJ$4="Exponential",EXP(IF(AND(ISNUMBER('Council Entry'!AJ$8),ISNUMBER('Council Entry'!AJ$9)),MAX(MIN('Council Entry'!AJ122,'Council Entry'!AJ$9),'Council Entry'!AJ$8),'Council Entry'!AJ122)),IF(AND(ISNUMBER('Council Entry'!AJ$8),ISNUMBER('Council Entry'!AJ$9)),MAX(MIN('Council Entry'!AJ122,'Council Entry'!AJ$9),'Council Entry'!AJ$8),'Council Entry'!AJ122))))-'Council Entry'!AJ$5)/('Council Entry'!AJ$6-'Council Entry'!AJ$5)),1))),"No data"))</f>
        <v/>
      </c>
      <c r="AK122" s="13">
        <f>IF('Council Entry'!AK122="","",IFERROR(MAX(0,MIN(10,ROUND(IF('Council Entry'!AK$7="Decrease Risk",10-10*((IF('Council Entry'!AK$4="Logarithm",LN(0.001+IF(AND(ISNUMBER('Council Entry'!AK$8),ISNUMBER('Council Entry'!AK$9)),MAX(MIN('Council Entry'!AK122,'Council Entry'!AK$9),'Council Entry'!AK$8),'Council Entry'!AK122)),IF('Council Entry'!AK$4="Exponential",EXP(IF(AND(ISNUMBER('Council Entry'!AK$8),ISNUMBER('Council Entry'!AK$9)),MAX(MIN('Council Entry'!AK122,'Council Entry'!AK$9),'Council Entry'!AK$8),'Council Entry'!AK122)),IF(AND(ISNUMBER('Council Entry'!AK$8),ISNUMBER('Council Entry'!AK$9)),MAX(MIN('Council Entry'!AK122,'Council Entry'!AK$9),'Council Entry'!AK$8),'Council Entry'!AK122))))-'Council Entry'!AK$5)/('Council Entry'!AK$6-'Council Entry'!AK$5),10*((IF('Council Entry'!AK$4="Logarithm",LN(0.001+IF(AND(ISNUMBER('Council Entry'!AK$8),ISNUMBER('Council Entry'!AK$9)),MAX(MIN('Council Entry'!AK122,'Council Entry'!AK$9),'Council Entry'!AK$8),'Council Entry'!AK122)),IF('Council Entry'!AK$4="Exponential",EXP(IF(AND(ISNUMBER('Council Entry'!AK$8),ISNUMBER('Council Entry'!AK$9)),MAX(MIN('Council Entry'!AK122,'Council Entry'!AK$9),'Council Entry'!AK$8),'Council Entry'!AK122)),IF(AND(ISNUMBER('Council Entry'!AK$8),ISNUMBER('Council Entry'!AK$9)),MAX(MIN('Council Entry'!AK122,'Council Entry'!AK$9),'Council Entry'!AK$8),'Council Entry'!AK122))))-'Council Entry'!AK$5)/('Council Entry'!AK$6-'Council Entry'!AK$5)),1))),"No data"))</f>
        <v/>
      </c>
      <c r="AL122" s="13">
        <f>IF('Council Entry'!AL122="","",IFERROR(MAX(0,MIN(10,ROUND(IF('Council Entry'!AL$7="Decrease Risk",10-10*((IF('Council Entry'!AL$4="Logarithm",LN(0.001+IF(AND(ISNUMBER('Council Entry'!AL$8),ISNUMBER('Council Entry'!AL$9)),MAX(MIN('Council Entry'!AL122,'Council Entry'!AL$9),'Council Entry'!AL$8),'Council Entry'!AL122)),IF('Council Entry'!AL$4="Exponential",EXP(IF(AND(ISNUMBER('Council Entry'!AL$8),ISNUMBER('Council Entry'!AL$9)),MAX(MIN('Council Entry'!AL122,'Council Entry'!AL$9),'Council Entry'!AL$8),'Council Entry'!AL122)),IF(AND(ISNUMBER('Council Entry'!AL$8),ISNUMBER('Council Entry'!AL$9)),MAX(MIN('Council Entry'!AL122,'Council Entry'!AL$9),'Council Entry'!AL$8),'Council Entry'!AL122))))-'Council Entry'!AL$5)/('Council Entry'!AL$6-'Council Entry'!AL$5),10*((IF('Council Entry'!AL$4="Logarithm",LN(0.001+IF(AND(ISNUMBER('Council Entry'!AL$8),ISNUMBER('Council Entry'!AL$9)),MAX(MIN('Council Entry'!AL122,'Council Entry'!AL$9),'Council Entry'!AL$8),'Council Entry'!AL122)),IF('Council Entry'!AL$4="Exponential",EXP(IF(AND(ISNUMBER('Council Entry'!AL$8),ISNUMBER('Council Entry'!AL$9)),MAX(MIN('Council Entry'!AL122,'Council Entry'!AL$9),'Council Entry'!AL$8),'Council Entry'!AL122)),IF(AND(ISNUMBER('Council Entry'!AL$8),ISNUMBER('Council Entry'!AL$9)),MAX(MIN('Council Entry'!AL122,'Council Entry'!AL$9),'Council Entry'!AL$8),'Council Entry'!AL122))))-'Council Entry'!AL$5)/('Council Entry'!AL$6-'Council Entry'!AL$5)),1))),"No data"))</f>
        <v/>
      </c>
      <c r="AM122" s="13">
        <f>IF('Council Entry'!AM122="","",IFERROR(MAX(0,MIN(10,ROUND(IF('Council Entry'!AM$7="Decrease Risk",10-10*((IF('Council Entry'!AM$4="Logarithm",LN(0.001+IF(AND(ISNUMBER('Council Entry'!AM$8),ISNUMBER('Council Entry'!AM$9)),MAX(MIN('Council Entry'!AM122,'Council Entry'!AM$9),'Council Entry'!AM$8),'Council Entry'!AM122)),IF('Council Entry'!AM$4="Exponential",EXP(IF(AND(ISNUMBER('Council Entry'!AM$8),ISNUMBER('Council Entry'!AM$9)),MAX(MIN('Council Entry'!AM122,'Council Entry'!AM$9),'Council Entry'!AM$8),'Council Entry'!AM122)),IF(AND(ISNUMBER('Council Entry'!AM$8),ISNUMBER('Council Entry'!AM$9)),MAX(MIN('Council Entry'!AM122,'Council Entry'!AM$9),'Council Entry'!AM$8),'Council Entry'!AM122))))-'Council Entry'!AM$5)/('Council Entry'!AM$6-'Council Entry'!AM$5),10*((IF('Council Entry'!AM$4="Logarithm",LN(0.001+IF(AND(ISNUMBER('Council Entry'!AM$8),ISNUMBER('Council Entry'!AM$9)),MAX(MIN('Council Entry'!AM122,'Council Entry'!AM$9),'Council Entry'!AM$8),'Council Entry'!AM122)),IF('Council Entry'!AM$4="Exponential",EXP(IF(AND(ISNUMBER('Council Entry'!AM$8),ISNUMBER('Council Entry'!AM$9)),MAX(MIN('Council Entry'!AM122,'Council Entry'!AM$9),'Council Entry'!AM$8),'Council Entry'!AM122)),IF(AND(ISNUMBER('Council Entry'!AM$8),ISNUMBER('Council Entry'!AM$9)),MAX(MIN('Council Entry'!AM122,'Council Entry'!AM$9),'Council Entry'!AM$8),'Council Entry'!AM122))))-'Council Entry'!AM$5)/('Council Entry'!AM$6-'Council Entry'!AM$5)),1))),"No data"))</f>
        <v/>
      </c>
      <c r="AN122" s="13">
        <f>IF('Council Entry'!AN122="","",IFERROR(MAX(0,MIN(10,ROUND(IF('Council Entry'!AN$7="Decrease Risk",10-10*((IF('Council Entry'!AN$4="Logarithm",LN(0.001+IF(AND(ISNUMBER('Council Entry'!AN$8),ISNUMBER('Council Entry'!AN$9)),MAX(MIN('Council Entry'!AN122,'Council Entry'!AN$9),'Council Entry'!AN$8),'Council Entry'!AN122)),IF('Council Entry'!AN$4="Exponential",EXP(IF(AND(ISNUMBER('Council Entry'!AN$8),ISNUMBER('Council Entry'!AN$9)),MAX(MIN('Council Entry'!AN122,'Council Entry'!AN$9),'Council Entry'!AN$8),'Council Entry'!AN122)),IF(AND(ISNUMBER('Council Entry'!AN$8),ISNUMBER('Council Entry'!AN$9)),MAX(MIN('Council Entry'!AN122,'Council Entry'!AN$9),'Council Entry'!AN$8),'Council Entry'!AN122))))-'Council Entry'!AN$5)/('Council Entry'!AN$6-'Council Entry'!AN$5),10*((IF('Council Entry'!AN$4="Logarithm",LN(0.001+IF(AND(ISNUMBER('Council Entry'!AN$8),ISNUMBER('Council Entry'!AN$9)),MAX(MIN('Council Entry'!AN122,'Council Entry'!AN$9),'Council Entry'!AN$8),'Council Entry'!AN122)),IF('Council Entry'!AN$4="Exponential",EXP(IF(AND(ISNUMBER('Council Entry'!AN$8),ISNUMBER('Council Entry'!AN$9)),MAX(MIN('Council Entry'!AN122,'Council Entry'!AN$9),'Council Entry'!AN$8),'Council Entry'!AN122)),IF(AND(ISNUMBER('Council Entry'!AN$8),ISNUMBER('Council Entry'!AN$9)),MAX(MIN('Council Entry'!AN122,'Council Entry'!AN$9),'Council Entry'!AN$8),'Council Entry'!AN122))))-'Council Entry'!AN$5)/('Council Entry'!AN$6-'Council Entry'!AN$5)),1))),"No data"))</f>
        <v/>
      </c>
      <c r="AO122" s="13">
        <f>IF('Council Entry'!AO122="","",IFERROR(MAX(0,MIN(10,ROUND(IF('Council Entry'!AO$7="Decrease Risk",10-10*((IF('Council Entry'!AO$4="Logarithm",LN(0.001+IF(AND(ISNUMBER('Council Entry'!AO$8),ISNUMBER('Council Entry'!AO$9)),MAX(MIN('Council Entry'!AO122,'Council Entry'!AO$9),'Council Entry'!AO$8),'Council Entry'!AO122)),IF('Council Entry'!AO$4="Exponential",EXP(IF(AND(ISNUMBER('Council Entry'!AO$8),ISNUMBER('Council Entry'!AO$9)),MAX(MIN('Council Entry'!AO122,'Council Entry'!AO$9),'Council Entry'!AO$8),'Council Entry'!AO122)),IF(AND(ISNUMBER('Council Entry'!AO$8),ISNUMBER('Council Entry'!AO$9)),MAX(MIN('Council Entry'!AO122,'Council Entry'!AO$9),'Council Entry'!AO$8),'Council Entry'!AO122))))-'Council Entry'!AO$5)/('Council Entry'!AO$6-'Council Entry'!AO$5),10*((IF('Council Entry'!AO$4="Logarithm",LN(0.001+IF(AND(ISNUMBER('Council Entry'!AO$8),ISNUMBER('Council Entry'!AO$9)),MAX(MIN('Council Entry'!AO122,'Council Entry'!AO$9),'Council Entry'!AO$8),'Council Entry'!AO122)),IF('Council Entry'!AO$4="Exponential",EXP(IF(AND(ISNUMBER('Council Entry'!AO$8),ISNUMBER('Council Entry'!AO$9)),MAX(MIN('Council Entry'!AO122,'Council Entry'!AO$9),'Council Entry'!AO$8),'Council Entry'!AO122)),IF(AND(ISNUMBER('Council Entry'!AO$8),ISNUMBER('Council Entry'!AO$9)),MAX(MIN('Council Entry'!AO122,'Council Entry'!AO$9),'Council Entry'!AO$8),'Council Entry'!AO122))))-'Council Entry'!AO$5)/('Council Entry'!AO$6-'Council Entry'!AO$5)),1))),"No data"))</f>
        <v/>
      </c>
      <c r="AP122" s="13">
        <f>IF('Council Entry'!AP122="","",IFERROR(MAX(0,MIN(10,ROUND(IF('Council Entry'!AP$7="Decrease Risk",10-10*((IF('Council Entry'!AP$4="Logarithm",LN(0.001+IF(AND(ISNUMBER('Council Entry'!AP$8),ISNUMBER('Council Entry'!AP$9)),MAX(MIN('Council Entry'!AP122,'Council Entry'!AP$9),'Council Entry'!AP$8),'Council Entry'!AP122)),IF('Council Entry'!AP$4="Exponential",EXP(IF(AND(ISNUMBER('Council Entry'!AP$8),ISNUMBER('Council Entry'!AP$9)),MAX(MIN('Council Entry'!AP122,'Council Entry'!AP$9),'Council Entry'!AP$8),'Council Entry'!AP122)),IF(AND(ISNUMBER('Council Entry'!AP$8),ISNUMBER('Council Entry'!AP$9)),MAX(MIN('Council Entry'!AP122,'Council Entry'!AP$9),'Council Entry'!AP$8),'Council Entry'!AP122))))-'Council Entry'!AP$5)/('Council Entry'!AP$6-'Council Entry'!AP$5),10*((IF('Council Entry'!AP$4="Logarithm",LN(0.001+IF(AND(ISNUMBER('Council Entry'!AP$8),ISNUMBER('Council Entry'!AP$9)),MAX(MIN('Council Entry'!AP122,'Council Entry'!AP$9),'Council Entry'!AP$8),'Council Entry'!AP122)),IF('Council Entry'!AP$4="Exponential",EXP(IF(AND(ISNUMBER('Council Entry'!AP$8),ISNUMBER('Council Entry'!AP$9)),MAX(MIN('Council Entry'!AP122,'Council Entry'!AP$9),'Council Entry'!AP$8),'Council Entry'!AP122)),IF(AND(ISNUMBER('Council Entry'!AP$8),ISNUMBER('Council Entry'!AP$9)),MAX(MIN('Council Entry'!AP122,'Council Entry'!AP$9),'Council Entry'!AP$8),'Council Entry'!AP122))))-'Council Entry'!AP$5)/('Council Entry'!AP$6-'Council Entry'!AP$5)),1))),"No data"))</f>
        <v/>
      </c>
      <c r="AQ122" s="13">
        <f>IF('Council Entry'!AQ122="","",IFERROR(MAX(0,MIN(10,ROUND(IF('Council Entry'!AQ$7="Decrease Risk",10-10*((IF('Council Entry'!AQ$4="Logarithm",LN(0.001+IF(AND(ISNUMBER('Council Entry'!AQ$8),ISNUMBER('Council Entry'!AQ$9)),MAX(MIN('Council Entry'!AQ122,'Council Entry'!AQ$9),'Council Entry'!AQ$8),'Council Entry'!AQ122)),IF('Council Entry'!AQ$4="Exponential",EXP(IF(AND(ISNUMBER('Council Entry'!AQ$8),ISNUMBER('Council Entry'!AQ$9)),MAX(MIN('Council Entry'!AQ122,'Council Entry'!AQ$9),'Council Entry'!AQ$8),'Council Entry'!AQ122)),IF(AND(ISNUMBER('Council Entry'!AQ$8),ISNUMBER('Council Entry'!AQ$9)),MAX(MIN('Council Entry'!AQ122,'Council Entry'!AQ$9),'Council Entry'!AQ$8),'Council Entry'!AQ122))))-'Council Entry'!AQ$5)/('Council Entry'!AQ$6-'Council Entry'!AQ$5),10*((IF('Council Entry'!AQ$4="Logarithm",LN(0.001+IF(AND(ISNUMBER('Council Entry'!AQ$8),ISNUMBER('Council Entry'!AQ$9)),MAX(MIN('Council Entry'!AQ122,'Council Entry'!AQ$9),'Council Entry'!AQ$8),'Council Entry'!AQ122)),IF('Council Entry'!AQ$4="Exponential",EXP(IF(AND(ISNUMBER('Council Entry'!AQ$8),ISNUMBER('Council Entry'!AQ$9)),MAX(MIN('Council Entry'!AQ122,'Council Entry'!AQ$9),'Council Entry'!AQ$8),'Council Entry'!AQ122)),IF(AND(ISNUMBER('Council Entry'!AQ$8),ISNUMBER('Council Entry'!AQ$9)),MAX(MIN('Council Entry'!AQ122,'Council Entry'!AQ$9),'Council Entry'!AQ$8),'Council Entry'!AQ122))))-'Council Entry'!AQ$5)/('Council Entry'!AQ$6-'Council Entry'!AQ$5)),1))),"No data"))</f>
        <v/>
      </c>
      <c r="AR122" s="13">
        <f>IF('Council Entry'!AR122="","",IFERROR(MAX(0,MIN(10,ROUND(IF('Council Entry'!AR$7="Decrease Risk",10-10*((IF('Council Entry'!AR$4="Logarithm",LN(0.001+IF(AND(ISNUMBER('Council Entry'!AR$8),ISNUMBER('Council Entry'!AR$9)),MAX(MIN('Council Entry'!AR122,'Council Entry'!AR$9),'Council Entry'!AR$8),'Council Entry'!AR122)),IF('Council Entry'!AR$4="Exponential",EXP(IF(AND(ISNUMBER('Council Entry'!AR$8),ISNUMBER('Council Entry'!AR$9)),MAX(MIN('Council Entry'!AR122,'Council Entry'!AR$9),'Council Entry'!AR$8),'Council Entry'!AR122)),IF(AND(ISNUMBER('Council Entry'!AR$8),ISNUMBER('Council Entry'!AR$9)),MAX(MIN('Council Entry'!AR122,'Council Entry'!AR$9),'Council Entry'!AR$8),'Council Entry'!AR122))))-'Council Entry'!AR$5)/('Council Entry'!AR$6-'Council Entry'!AR$5),10*((IF('Council Entry'!AR$4="Logarithm",LN(0.001+IF(AND(ISNUMBER('Council Entry'!AR$8),ISNUMBER('Council Entry'!AR$9)),MAX(MIN('Council Entry'!AR122,'Council Entry'!AR$9),'Council Entry'!AR$8),'Council Entry'!AR122)),IF('Council Entry'!AR$4="Exponential",EXP(IF(AND(ISNUMBER('Council Entry'!AR$8),ISNUMBER('Council Entry'!AR$9)),MAX(MIN('Council Entry'!AR122,'Council Entry'!AR$9),'Council Entry'!AR$8),'Council Entry'!AR122)),IF(AND(ISNUMBER('Council Entry'!AR$8),ISNUMBER('Council Entry'!AR$9)),MAX(MIN('Council Entry'!AR122,'Council Entry'!AR$9),'Council Entry'!AR$8),'Council Entry'!AR122))))-'Council Entry'!AR$5)/('Council Entry'!AR$6-'Council Entry'!AR$5)),1))),"No data"))</f>
        <v/>
      </c>
      <c r="AS122" s="13">
        <f>IF('Council Entry'!AS122="","",IFERROR(MAX(0,MIN(10,ROUND(IF('Council Entry'!AS$7="Decrease Risk",10-10*((IF('Council Entry'!AS$4="Logarithm",LN(0.001+IF(AND(ISNUMBER('Council Entry'!AS$8),ISNUMBER('Council Entry'!AS$9)),MAX(MIN('Council Entry'!AS122,'Council Entry'!AS$9),'Council Entry'!AS$8),'Council Entry'!AS122)),IF('Council Entry'!AS$4="Exponential",EXP(IF(AND(ISNUMBER('Council Entry'!AS$8),ISNUMBER('Council Entry'!AS$9)),MAX(MIN('Council Entry'!AS122,'Council Entry'!AS$9),'Council Entry'!AS$8),'Council Entry'!AS122)),IF(AND(ISNUMBER('Council Entry'!AS$8),ISNUMBER('Council Entry'!AS$9)),MAX(MIN('Council Entry'!AS122,'Council Entry'!AS$9),'Council Entry'!AS$8),'Council Entry'!AS122))))-'Council Entry'!AS$5)/('Council Entry'!AS$6-'Council Entry'!AS$5),10*((IF('Council Entry'!AS$4="Logarithm",LN(0.001+IF(AND(ISNUMBER('Council Entry'!AS$8),ISNUMBER('Council Entry'!AS$9)),MAX(MIN('Council Entry'!AS122,'Council Entry'!AS$9),'Council Entry'!AS$8),'Council Entry'!AS122)),IF('Council Entry'!AS$4="Exponential",EXP(IF(AND(ISNUMBER('Council Entry'!AS$8),ISNUMBER('Council Entry'!AS$9)),MAX(MIN('Council Entry'!AS122,'Council Entry'!AS$9),'Council Entry'!AS$8),'Council Entry'!AS122)),IF(AND(ISNUMBER('Council Entry'!AS$8),ISNUMBER('Council Entry'!AS$9)),MAX(MIN('Council Entry'!AS122,'Council Entry'!AS$9),'Council Entry'!AS$8),'Council Entry'!AS122))))-'Council Entry'!AS$5)/('Council Entry'!AS$6-'Council Entry'!AS$5)),1))),"No data"))</f>
        <v/>
      </c>
      <c r="AT122" s="13">
        <f>IF('Council Entry'!AT122="","",IFERROR(MAX(0,MIN(10,ROUND(IF('Council Entry'!AT$7="Decrease Risk",10-10*((IF('Council Entry'!AT$4="Logarithm",LN(0.001+IF(AND(ISNUMBER('Council Entry'!AT$8),ISNUMBER('Council Entry'!AT$9)),MAX(MIN('Council Entry'!AT122,'Council Entry'!AT$9),'Council Entry'!AT$8),'Council Entry'!AT122)),IF('Council Entry'!AT$4="Exponential",EXP(IF(AND(ISNUMBER('Council Entry'!AT$8),ISNUMBER('Council Entry'!AT$9)),MAX(MIN('Council Entry'!AT122,'Council Entry'!AT$9),'Council Entry'!AT$8),'Council Entry'!AT122)),IF(AND(ISNUMBER('Council Entry'!AT$8),ISNUMBER('Council Entry'!AT$9)),MAX(MIN('Council Entry'!AT122,'Council Entry'!AT$9),'Council Entry'!AT$8),'Council Entry'!AT122))))-'Council Entry'!AT$5)/('Council Entry'!AT$6-'Council Entry'!AT$5),10*((IF('Council Entry'!AT$4="Logarithm",LN(0.001+IF(AND(ISNUMBER('Council Entry'!AT$8),ISNUMBER('Council Entry'!AT$9)),MAX(MIN('Council Entry'!AT122,'Council Entry'!AT$9),'Council Entry'!AT$8),'Council Entry'!AT122)),IF('Council Entry'!AT$4="Exponential",EXP(IF(AND(ISNUMBER('Council Entry'!AT$8),ISNUMBER('Council Entry'!AT$9)),MAX(MIN('Council Entry'!AT122,'Council Entry'!AT$9),'Council Entry'!AT$8),'Council Entry'!AT122)),IF(AND(ISNUMBER('Council Entry'!AT$8),ISNUMBER('Council Entry'!AT$9)),MAX(MIN('Council Entry'!AT122,'Council Entry'!AT$9),'Council Entry'!AT$8),'Council Entry'!AT122))))-'Council Entry'!AT$5)/('Council Entry'!AT$6-'Council Entry'!AT$5)),1))),"No data"))</f>
        <v/>
      </c>
      <c r="AU122" s="13">
        <f>IF('Council Entry'!AU122="","",IFERROR(MAX(0,MIN(10,ROUND(IF('Council Entry'!AU$7="Decrease Risk",10-10*((IF('Council Entry'!AU$4="Logarithm",LN(0.001+IF(AND(ISNUMBER('Council Entry'!AU$8),ISNUMBER('Council Entry'!AU$9)),MAX(MIN('Council Entry'!AU122,'Council Entry'!AU$9),'Council Entry'!AU$8),'Council Entry'!AU122)),IF('Council Entry'!AU$4="Exponential",EXP(IF(AND(ISNUMBER('Council Entry'!AU$8),ISNUMBER('Council Entry'!AU$9)),MAX(MIN('Council Entry'!AU122,'Council Entry'!AU$9),'Council Entry'!AU$8),'Council Entry'!AU122)),IF(AND(ISNUMBER('Council Entry'!AU$8),ISNUMBER('Council Entry'!AU$9)),MAX(MIN('Council Entry'!AU122,'Council Entry'!AU$9),'Council Entry'!AU$8),'Council Entry'!AU122))))-'Council Entry'!AU$5)/('Council Entry'!AU$6-'Council Entry'!AU$5),10*((IF('Council Entry'!AU$4="Logarithm",LN(0.001+IF(AND(ISNUMBER('Council Entry'!AU$8),ISNUMBER('Council Entry'!AU$9)),MAX(MIN('Council Entry'!AU122,'Council Entry'!AU$9),'Council Entry'!AU$8),'Council Entry'!AU122)),IF('Council Entry'!AU$4="Exponential",EXP(IF(AND(ISNUMBER('Council Entry'!AU$8),ISNUMBER('Council Entry'!AU$9)),MAX(MIN('Council Entry'!AU122,'Council Entry'!AU$9),'Council Entry'!AU$8),'Council Entry'!AU122)),IF(AND(ISNUMBER('Council Entry'!AU$8),ISNUMBER('Council Entry'!AU$9)),MAX(MIN('Council Entry'!AU122,'Council Entry'!AU$9),'Council Entry'!AU$8),'Council Entry'!AU122))))-'Council Entry'!AU$5)/('Council Entry'!AU$6-'Council Entry'!AU$5)),1))),"No data"))</f>
        <v/>
      </c>
      <c r="AV122" s="13">
        <f>IF('Council Entry'!AV122="","",IFERROR(MAX(0,MIN(10,ROUND(IF('Council Entry'!AV$7="Decrease Risk",10-10*((IF('Council Entry'!AV$4="Logarithm",LN(0.001+IF(AND(ISNUMBER('Council Entry'!AV$8),ISNUMBER('Council Entry'!AV$9)),MAX(MIN('Council Entry'!AV122,'Council Entry'!AV$9),'Council Entry'!AV$8),'Council Entry'!AV122)),IF('Council Entry'!AV$4="Exponential",EXP(IF(AND(ISNUMBER('Council Entry'!AV$8),ISNUMBER('Council Entry'!AV$9)),MAX(MIN('Council Entry'!AV122,'Council Entry'!AV$9),'Council Entry'!AV$8),'Council Entry'!AV122)),IF(AND(ISNUMBER('Council Entry'!AV$8),ISNUMBER('Council Entry'!AV$9)),MAX(MIN('Council Entry'!AV122,'Council Entry'!AV$9),'Council Entry'!AV$8),'Council Entry'!AV122))))-'Council Entry'!AV$5)/('Council Entry'!AV$6-'Council Entry'!AV$5),10*((IF('Council Entry'!AV$4="Logarithm",LN(0.001+IF(AND(ISNUMBER('Council Entry'!AV$8),ISNUMBER('Council Entry'!AV$9)),MAX(MIN('Council Entry'!AV122,'Council Entry'!AV$9),'Council Entry'!AV$8),'Council Entry'!AV122)),IF('Council Entry'!AV$4="Exponential",EXP(IF(AND(ISNUMBER('Council Entry'!AV$8),ISNUMBER('Council Entry'!AV$9)),MAX(MIN('Council Entry'!AV122,'Council Entry'!AV$9),'Council Entry'!AV$8),'Council Entry'!AV122)),IF(AND(ISNUMBER('Council Entry'!AV$8),ISNUMBER('Council Entry'!AV$9)),MAX(MIN('Council Entry'!AV122,'Council Entry'!AV$9),'Council Entry'!AV$8),'Council Entry'!AV122))))-'Council Entry'!AV$5)/('Council Entry'!AV$6-'Council Entry'!AV$5)),1))),"No data"))</f>
        <v/>
      </c>
      <c r="AW122" s="13">
        <f>IF('Council Entry'!AW122="","",IFERROR(MAX(0,MIN(10,ROUND(IF('Council Entry'!AW$7="Decrease Risk",10-10*((IF('Council Entry'!AW$4="Logarithm",LN(0.001+IF(AND(ISNUMBER('Council Entry'!AW$8),ISNUMBER('Council Entry'!AW$9)),MAX(MIN('Council Entry'!AW122,'Council Entry'!AW$9),'Council Entry'!AW$8),'Council Entry'!AW122)),IF('Council Entry'!AW$4="Exponential",EXP(IF(AND(ISNUMBER('Council Entry'!AW$8),ISNUMBER('Council Entry'!AW$9)),MAX(MIN('Council Entry'!AW122,'Council Entry'!AW$9),'Council Entry'!AW$8),'Council Entry'!AW122)),IF(AND(ISNUMBER('Council Entry'!AW$8),ISNUMBER('Council Entry'!AW$9)),MAX(MIN('Council Entry'!AW122,'Council Entry'!AW$9),'Council Entry'!AW$8),'Council Entry'!AW122))))-'Council Entry'!AW$5)/('Council Entry'!AW$6-'Council Entry'!AW$5),10*((IF('Council Entry'!AW$4="Logarithm",LN(0.001+IF(AND(ISNUMBER('Council Entry'!AW$8),ISNUMBER('Council Entry'!AW$9)),MAX(MIN('Council Entry'!AW122,'Council Entry'!AW$9),'Council Entry'!AW$8),'Council Entry'!AW122)),IF('Council Entry'!AW$4="Exponential",EXP(IF(AND(ISNUMBER('Council Entry'!AW$8),ISNUMBER('Council Entry'!AW$9)),MAX(MIN('Council Entry'!AW122,'Council Entry'!AW$9),'Council Entry'!AW$8),'Council Entry'!AW122)),IF(AND(ISNUMBER('Council Entry'!AW$8),ISNUMBER('Council Entry'!AW$9)),MAX(MIN('Council Entry'!AW122,'Council Entry'!AW$9),'Council Entry'!AW$8),'Council Entry'!AW122))))-'Council Entry'!AW$5)/('Council Entry'!AW$6-'Council Entry'!AW$5)),1))),"No data"))</f>
        <v/>
      </c>
      <c r="AX122" s="13">
        <f>IF('Council Entry'!AX122="","",IFERROR(MAX(0,MIN(10,ROUND(IF('Council Entry'!AX$7="Decrease Risk",10-10*((IF('Council Entry'!AX$4="Logarithm",LN(0.001+IF(AND(ISNUMBER('Council Entry'!AX$8),ISNUMBER('Council Entry'!AX$9)),MAX(MIN('Council Entry'!AX122,'Council Entry'!AX$9),'Council Entry'!AX$8),'Council Entry'!AX122)),IF('Council Entry'!AX$4="Exponential",EXP(IF(AND(ISNUMBER('Council Entry'!AX$8),ISNUMBER('Council Entry'!AX$9)),MAX(MIN('Council Entry'!AX122,'Council Entry'!AX$9),'Council Entry'!AX$8),'Council Entry'!AX122)),IF(AND(ISNUMBER('Council Entry'!AX$8),ISNUMBER('Council Entry'!AX$9)),MAX(MIN('Council Entry'!AX122,'Council Entry'!AX$9),'Council Entry'!AX$8),'Council Entry'!AX122))))-'Council Entry'!AX$5)/('Council Entry'!AX$6-'Council Entry'!AX$5),10*((IF('Council Entry'!AX$4="Logarithm",LN(0.001+IF(AND(ISNUMBER('Council Entry'!AX$8),ISNUMBER('Council Entry'!AX$9)),MAX(MIN('Council Entry'!AX122,'Council Entry'!AX$9),'Council Entry'!AX$8),'Council Entry'!AX122)),IF('Council Entry'!AX$4="Exponential",EXP(IF(AND(ISNUMBER('Council Entry'!AX$8),ISNUMBER('Council Entry'!AX$9)),MAX(MIN('Council Entry'!AX122,'Council Entry'!AX$9),'Council Entry'!AX$8),'Council Entry'!AX122)),IF(AND(ISNUMBER('Council Entry'!AX$8),ISNUMBER('Council Entry'!AX$9)),MAX(MIN('Council Entry'!AX122,'Council Entry'!AX$9),'Council Entry'!AX$8),'Council Entry'!AX122))))-'Council Entry'!AX$5)/('Council Entry'!AX$6-'Council Entry'!AX$5)),1))),"No data"))</f>
        <v/>
      </c>
      <c r="AY122" s="13">
        <f>IF('Council Entry'!AY122="","",IFERROR(MAX(0,MIN(10,ROUND(IF('Council Entry'!AY$7="Decrease Risk",10-10*((IF('Council Entry'!AY$4="Logarithm",LN(0.001+IF(AND(ISNUMBER('Council Entry'!AY$8),ISNUMBER('Council Entry'!AY$9)),MAX(MIN('Council Entry'!AY122,'Council Entry'!AY$9),'Council Entry'!AY$8),'Council Entry'!AY122)),IF('Council Entry'!AY$4="Exponential",EXP(IF(AND(ISNUMBER('Council Entry'!AY$8),ISNUMBER('Council Entry'!AY$9)),MAX(MIN('Council Entry'!AY122,'Council Entry'!AY$9),'Council Entry'!AY$8),'Council Entry'!AY122)),IF(AND(ISNUMBER('Council Entry'!AY$8),ISNUMBER('Council Entry'!AY$9)),MAX(MIN('Council Entry'!AY122,'Council Entry'!AY$9),'Council Entry'!AY$8),'Council Entry'!AY122))))-'Council Entry'!AY$5)/('Council Entry'!AY$6-'Council Entry'!AY$5),10*((IF('Council Entry'!AY$4="Logarithm",LN(0.001+IF(AND(ISNUMBER('Council Entry'!AY$8),ISNUMBER('Council Entry'!AY$9)),MAX(MIN('Council Entry'!AY122,'Council Entry'!AY$9),'Council Entry'!AY$8),'Council Entry'!AY122)),IF('Council Entry'!AY$4="Exponential",EXP(IF(AND(ISNUMBER('Council Entry'!AY$8),ISNUMBER('Council Entry'!AY$9)),MAX(MIN('Council Entry'!AY122,'Council Entry'!AY$9),'Council Entry'!AY$8),'Council Entry'!AY122)),IF(AND(ISNUMBER('Council Entry'!AY$8),ISNUMBER('Council Entry'!AY$9)),MAX(MIN('Council Entry'!AY122,'Council Entry'!AY$9),'Council Entry'!AY$8),'Council Entry'!AY122))))-'Council Entry'!AY$5)/('Council Entry'!AY$6-'Council Entry'!AY$5)),1))),"No data"))</f>
        <v/>
      </c>
      <c r="AZ122" s="13">
        <f>IF('Council Entry'!AZ122="","",IFERROR(MAX(0,MIN(10,ROUND(IF('Council Entry'!AZ$7="Decrease Risk",10-10*((IF('Council Entry'!AZ$4="Logarithm",LN(0.001+IF(AND(ISNUMBER('Council Entry'!AZ$8),ISNUMBER('Council Entry'!AZ$9)),MAX(MIN('Council Entry'!AZ122,'Council Entry'!AZ$9),'Council Entry'!AZ$8),'Council Entry'!AZ122)),IF('Council Entry'!AZ$4="Exponential",EXP(IF(AND(ISNUMBER('Council Entry'!AZ$8),ISNUMBER('Council Entry'!AZ$9)),MAX(MIN('Council Entry'!AZ122,'Council Entry'!AZ$9),'Council Entry'!AZ$8),'Council Entry'!AZ122)),IF(AND(ISNUMBER('Council Entry'!AZ$8),ISNUMBER('Council Entry'!AZ$9)),MAX(MIN('Council Entry'!AZ122,'Council Entry'!AZ$9),'Council Entry'!AZ$8),'Council Entry'!AZ122))))-'Council Entry'!AZ$5)/('Council Entry'!AZ$6-'Council Entry'!AZ$5),10*((IF('Council Entry'!AZ$4="Logarithm",LN(0.001+IF(AND(ISNUMBER('Council Entry'!AZ$8),ISNUMBER('Council Entry'!AZ$9)),MAX(MIN('Council Entry'!AZ122,'Council Entry'!AZ$9),'Council Entry'!AZ$8),'Council Entry'!AZ122)),IF('Council Entry'!AZ$4="Exponential",EXP(IF(AND(ISNUMBER('Council Entry'!AZ$8),ISNUMBER('Council Entry'!AZ$9)),MAX(MIN('Council Entry'!AZ122,'Council Entry'!AZ$9),'Council Entry'!AZ$8),'Council Entry'!AZ122)),IF(AND(ISNUMBER('Council Entry'!AZ$8),ISNUMBER('Council Entry'!AZ$9)),MAX(MIN('Council Entry'!AZ122,'Council Entry'!AZ$9),'Council Entry'!AZ$8),'Council Entry'!AZ122))))-'Council Entry'!AZ$5)/('Council Entry'!AZ$6-'Council Entry'!AZ$5)),1))),"No data"))</f>
        <v/>
      </c>
      <c r="BA122" s="13">
        <f>IF('Council Entry'!BA122="","",IFERROR(MAX(0,MIN(10,ROUND(IF('Council Entry'!BA$7="Decrease Risk",10-10*((IF('Council Entry'!BA$4="Logarithm",LN(0.001+IF(AND(ISNUMBER('Council Entry'!BA$8),ISNUMBER('Council Entry'!BA$9)),MAX(MIN('Council Entry'!BA122,'Council Entry'!BA$9),'Council Entry'!BA$8),'Council Entry'!BA122)),IF('Council Entry'!BA$4="Exponential",EXP(IF(AND(ISNUMBER('Council Entry'!BA$8),ISNUMBER('Council Entry'!BA$9)),MAX(MIN('Council Entry'!BA122,'Council Entry'!BA$9),'Council Entry'!BA$8),'Council Entry'!BA122)),IF(AND(ISNUMBER('Council Entry'!BA$8),ISNUMBER('Council Entry'!BA$9)),MAX(MIN('Council Entry'!BA122,'Council Entry'!BA$9),'Council Entry'!BA$8),'Council Entry'!BA122))))-'Council Entry'!BA$5)/('Council Entry'!BA$6-'Council Entry'!BA$5),10*((IF('Council Entry'!BA$4="Logarithm",LN(0.001+IF(AND(ISNUMBER('Council Entry'!BA$8),ISNUMBER('Council Entry'!BA$9)),MAX(MIN('Council Entry'!BA122,'Council Entry'!BA$9),'Council Entry'!BA$8),'Council Entry'!BA122)),IF('Council Entry'!BA$4="Exponential",EXP(IF(AND(ISNUMBER('Council Entry'!BA$8),ISNUMBER('Council Entry'!BA$9)),MAX(MIN('Council Entry'!BA122,'Council Entry'!BA$9),'Council Entry'!BA$8),'Council Entry'!BA122)),IF(AND(ISNUMBER('Council Entry'!BA$8),ISNUMBER('Council Entry'!BA$9)),MAX(MIN('Council Entry'!BA122,'Council Entry'!BA$9),'Council Entry'!BA$8),'Council Entry'!BA122))))-'Council Entry'!BA$5)/('Council Entry'!BA$6-'Council Entry'!BA$5)),1))),"No data"))</f>
        <v/>
      </c>
      <c r="BB122" s="13">
        <f>IF('Council Entry'!BB122="","",IFERROR(MAX(0,MIN(10,ROUND(IF('Council Entry'!BB$7="Decrease Risk",10-10*((IF('Council Entry'!BB$4="Logarithm",LN(0.001+IF(AND(ISNUMBER('Council Entry'!BB$8),ISNUMBER('Council Entry'!BB$9)),MAX(MIN('Council Entry'!BB122,'Council Entry'!BB$9),'Council Entry'!BB$8),'Council Entry'!BB122)),IF('Council Entry'!BB$4="Exponential",EXP(IF(AND(ISNUMBER('Council Entry'!BB$8),ISNUMBER('Council Entry'!BB$9)),MAX(MIN('Council Entry'!BB122,'Council Entry'!BB$9),'Council Entry'!BB$8),'Council Entry'!BB122)),IF(AND(ISNUMBER('Council Entry'!BB$8),ISNUMBER('Council Entry'!BB$9)),MAX(MIN('Council Entry'!BB122,'Council Entry'!BB$9),'Council Entry'!BB$8),'Council Entry'!BB122))))-'Council Entry'!BB$5)/('Council Entry'!BB$6-'Council Entry'!BB$5),10*((IF('Council Entry'!BB$4="Logarithm",LN(0.001+IF(AND(ISNUMBER('Council Entry'!BB$8),ISNUMBER('Council Entry'!BB$9)),MAX(MIN('Council Entry'!BB122,'Council Entry'!BB$9),'Council Entry'!BB$8),'Council Entry'!BB122)),IF('Council Entry'!BB$4="Exponential",EXP(IF(AND(ISNUMBER('Council Entry'!BB$8),ISNUMBER('Council Entry'!BB$9)),MAX(MIN('Council Entry'!BB122,'Council Entry'!BB$9),'Council Entry'!BB$8),'Council Entry'!BB122)),IF(AND(ISNUMBER('Council Entry'!BB$8),ISNUMBER('Council Entry'!BB$9)),MAX(MIN('Council Entry'!BB122,'Council Entry'!BB$9),'Council Entry'!BB$8),'Council Entry'!BB122))))-'Council Entry'!BB$5)/('Council Entry'!BB$6-'Council Entry'!BB$5)),1))),"No data"))</f>
        <v/>
      </c>
      <c r="BC122" s="13">
        <f>IF('Council Entry'!BC122="","",IFERROR(MAX(0,MIN(10,ROUND(IF('Council Entry'!BC$7="Decrease Risk",10-10*((IF('Council Entry'!BC$4="Logarithm",LN(0.001+IF(AND(ISNUMBER('Council Entry'!BC$8),ISNUMBER('Council Entry'!BC$9)),MAX(MIN('Council Entry'!BC122,'Council Entry'!BC$9),'Council Entry'!BC$8),'Council Entry'!BC122)),IF('Council Entry'!BC$4="Exponential",EXP(IF(AND(ISNUMBER('Council Entry'!BC$8),ISNUMBER('Council Entry'!BC$9)),MAX(MIN('Council Entry'!BC122,'Council Entry'!BC$9),'Council Entry'!BC$8),'Council Entry'!BC122)),IF(AND(ISNUMBER('Council Entry'!BC$8),ISNUMBER('Council Entry'!BC$9)),MAX(MIN('Council Entry'!BC122,'Council Entry'!BC$9),'Council Entry'!BC$8),'Council Entry'!BC122))))-'Council Entry'!BC$5)/('Council Entry'!BC$6-'Council Entry'!BC$5),10*((IF('Council Entry'!BC$4="Logarithm",LN(0.001+IF(AND(ISNUMBER('Council Entry'!BC$8),ISNUMBER('Council Entry'!BC$9)),MAX(MIN('Council Entry'!BC122,'Council Entry'!BC$9),'Council Entry'!BC$8),'Council Entry'!BC122)),IF('Council Entry'!BC$4="Exponential",EXP(IF(AND(ISNUMBER('Council Entry'!BC$8),ISNUMBER('Council Entry'!BC$9)),MAX(MIN('Council Entry'!BC122,'Council Entry'!BC$9),'Council Entry'!BC$8),'Council Entry'!BC122)),IF(AND(ISNUMBER('Council Entry'!BC$8),ISNUMBER('Council Entry'!BC$9)),MAX(MIN('Council Entry'!BC122,'Council Entry'!BC$9),'Council Entry'!BC$8),'Council Entry'!BC122))))-'Council Entry'!BC$5)/('Council Entry'!BC$6-'Council Entry'!BC$5)),1))),"No data"))</f>
        <v/>
      </c>
      <c r="BD122" s="13">
        <f>IF('Council Entry'!BD122="","",IFERROR(MAX(0,MIN(10,ROUND(IF('Council Entry'!BD$7="Decrease Risk",10-10*((IF('Council Entry'!BD$4="Logarithm",LN(0.001+IF(AND(ISNUMBER('Council Entry'!BD$8),ISNUMBER('Council Entry'!BD$9)),MAX(MIN('Council Entry'!BD122,'Council Entry'!BD$9),'Council Entry'!BD$8),'Council Entry'!BD122)),IF('Council Entry'!BD$4="Exponential",EXP(IF(AND(ISNUMBER('Council Entry'!BD$8),ISNUMBER('Council Entry'!BD$9)),MAX(MIN('Council Entry'!BD122,'Council Entry'!BD$9),'Council Entry'!BD$8),'Council Entry'!BD122)),IF(AND(ISNUMBER('Council Entry'!BD$8),ISNUMBER('Council Entry'!BD$9)),MAX(MIN('Council Entry'!BD122,'Council Entry'!BD$9),'Council Entry'!BD$8),'Council Entry'!BD122))))-'Council Entry'!BD$5)/('Council Entry'!BD$6-'Council Entry'!BD$5),10*((IF('Council Entry'!BD$4="Logarithm",LN(0.001+IF(AND(ISNUMBER('Council Entry'!BD$8),ISNUMBER('Council Entry'!BD$9)),MAX(MIN('Council Entry'!BD122,'Council Entry'!BD$9),'Council Entry'!BD$8),'Council Entry'!BD122)),IF('Council Entry'!BD$4="Exponential",EXP(IF(AND(ISNUMBER('Council Entry'!BD$8),ISNUMBER('Council Entry'!BD$9)),MAX(MIN('Council Entry'!BD122,'Council Entry'!BD$9),'Council Entry'!BD$8),'Council Entry'!BD122)),IF(AND(ISNUMBER('Council Entry'!BD$8),ISNUMBER('Council Entry'!BD$9)),MAX(MIN('Council Entry'!BD122,'Council Entry'!BD$9),'Council Entry'!BD$8),'Council Entry'!BD122))))-'Council Entry'!BD$5)/('Council Entry'!BD$6-'Council Entry'!BD$5)),1))),"No data"))</f>
        <v/>
      </c>
    </row>
    <row r="123">
      <c r="A123" t="inlineStr">
        <is>
          <t>Mtwara</t>
        </is>
      </c>
      <c r="B123" t="inlineStr">
        <is>
          <t>Nanyamba Town</t>
        </is>
      </c>
      <c r="C123" t="inlineStr">
        <is>
          <t>C064</t>
        </is>
      </c>
      <c r="D123" s="13">
        <f>IF('Council Entry'!D123="","",IFERROR(MAX(0,MIN(10,ROUND(IF('Council Entry'!D$7="Decrease Risk",10-10*((IF('Council Entry'!D$4="Logarithm",LN(0.001+IF(AND(ISNUMBER('Council Entry'!D$8),ISNUMBER('Council Entry'!D$9)),MAX(MIN('Council Entry'!D123,'Council Entry'!D$9),'Council Entry'!D$8),'Council Entry'!D123)),IF('Council Entry'!D$4="Exponential",EXP(IF(AND(ISNUMBER('Council Entry'!D$8),ISNUMBER('Council Entry'!D$9)),MAX(MIN('Council Entry'!D123,'Council Entry'!D$9),'Council Entry'!D$8),'Council Entry'!D123)),IF(AND(ISNUMBER('Council Entry'!D$8),ISNUMBER('Council Entry'!D$9)),MAX(MIN('Council Entry'!D123,'Council Entry'!D$9),'Council Entry'!D$8),'Council Entry'!D123))))-'Council Entry'!D$5)/('Council Entry'!D$6-'Council Entry'!D$5),10*((IF('Council Entry'!D$4="Logarithm",LN(0.001+IF(AND(ISNUMBER('Council Entry'!D$8),ISNUMBER('Council Entry'!D$9)),MAX(MIN('Council Entry'!D123,'Council Entry'!D$9),'Council Entry'!D$8),'Council Entry'!D123)),IF('Council Entry'!D$4="Exponential",EXP(IF(AND(ISNUMBER('Council Entry'!D$8),ISNUMBER('Council Entry'!D$9)),MAX(MIN('Council Entry'!D123,'Council Entry'!D$9),'Council Entry'!D$8),'Council Entry'!D123)),IF(AND(ISNUMBER('Council Entry'!D$8),ISNUMBER('Council Entry'!D$9)),MAX(MIN('Council Entry'!D123,'Council Entry'!D$9),'Council Entry'!D$8),'Council Entry'!D123))))-'Council Entry'!D$5)/('Council Entry'!D$6-'Council Entry'!D$5)),1))),"No data"))</f>
        <v/>
      </c>
      <c r="E123" s="13">
        <f>IF('Council Entry'!E123="","",IFERROR(MAX(0,MIN(10,ROUND(IF('Council Entry'!E$7="Decrease Risk",10-10*((IF('Council Entry'!E$4="Logarithm",LN(0.001+IF(AND(ISNUMBER('Council Entry'!E$8),ISNUMBER('Council Entry'!E$9)),MAX(MIN('Council Entry'!E123,'Council Entry'!E$9),'Council Entry'!E$8),'Council Entry'!E123)),IF('Council Entry'!E$4="Exponential",EXP(IF(AND(ISNUMBER('Council Entry'!E$8),ISNUMBER('Council Entry'!E$9)),MAX(MIN('Council Entry'!E123,'Council Entry'!E$9),'Council Entry'!E$8),'Council Entry'!E123)),IF(AND(ISNUMBER('Council Entry'!E$8),ISNUMBER('Council Entry'!E$9)),MAX(MIN('Council Entry'!E123,'Council Entry'!E$9),'Council Entry'!E$8),'Council Entry'!E123))))-'Council Entry'!E$5)/('Council Entry'!E$6-'Council Entry'!E$5),10*((IF('Council Entry'!E$4="Logarithm",LN(0.001+IF(AND(ISNUMBER('Council Entry'!E$8),ISNUMBER('Council Entry'!E$9)),MAX(MIN('Council Entry'!E123,'Council Entry'!E$9),'Council Entry'!E$8),'Council Entry'!E123)),IF('Council Entry'!E$4="Exponential",EXP(IF(AND(ISNUMBER('Council Entry'!E$8),ISNUMBER('Council Entry'!E$9)),MAX(MIN('Council Entry'!E123,'Council Entry'!E$9),'Council Entry'!E$8),'Council Entry'!E123)),IF(AND(ISNUMBER('Council Entry'!E$8),ISNUMBER('Council Entry'!E$9)),MAX(MIN('Council Entry'!E123,'Council Entry'!E$9),'Council Entry'!E$8),'Council Entry'!E123))))-'Council Entry'!E$5)/('Council Entry'!E$6-'Council Entry'!E$5)),1))),"No data"))</f>
        <v/>
      </c>
      <c r="F123" s="13">
        <f>IF('Council Entry'!F123="","",IFERROR(MAX(0,MIN(10,ROUND(IF('Council Entry'!F$7="Decrease Risk",10-10*((IF('Council Entry'!F$4="Logarithm",LN(0.001+IF(AND(ISNUMBER('Council Entry'!F$8),ISNUMBER('Council Entry'!F$9)),MAX(MIN('Council Entry'!F123,'Council Entry'!F$9),'Council Entry'!F$8),'Council Entry'!F123)),IF('Council Entry'!F$4="Exponential",EXP(IF(AND(ISNUMBER('Council Entry'!F$8),ISNUMBER('Council Entry'!F$9)),MAX(MIN('Council Entry'!F123,'Council Entry'!F$9),'Council Entry'!F$8),'Council Entry'!F123)),IF(AND(ISNUMBER('Council Entry'!F$8),ISNUMBER('Council Entry'!F$9)),MAX(MIN('Council Entry'!F123,'Council Entry'!F$9),'Council Entry'!F$8),'Council Entry'!F123))))-'Council Entry'!F$5)/('Council Entry'!F$6-'Council Entry'!F$5),10*((IF('Council Entry'!F$4="Logarithm",LN(0.001+IF(AND(ISNUMBER('Council Entry'!F$8),ISNUMBER('Council Entry'!F$9)),MAX(MIN('Council Entry'!F123,'Council Entry'!F$9),'Council Entry'!F$8),'Council Entry'!F123)),IF('Council Entry'!F$4="Exponential",EXP(IF(AND(ISNUMBER('Council Entry'!F$8),ISNUMBER('Council Entry'!F$9)),MAX(MIN('Council Entry'!F123,'Council Entry'!F$9),'Council Entry'!F$8),'Council Entry'!F123)),IF(AND(ISNUMBER('Council Entry'!F$8),ISNUMBER('Council Entry'!F$9)),MAX(MIN('Council Entry'!F123,'Council Entry'!F$9),'Council Entry'!F$8),'Council Entry'!F123))))-'Council Entry'!F$5)/('Council Entry'!F$6-'Council Entry'!F$5)),1))),"No data"))</f>
        <v/>
      </c>
      <c r="G123" s="13">
        <f>IF('Council Entry'!G123="","",IFERROR(MAX(0,MIN(10,ROUND(IF('Council Entry'!G$7="Decrease Risk",10-10*((IF('Council Entry'!G$4="Logarithm",LN(0.001+IF(AND(ISNUMBER('Council Entry'!G$8),ISNUMBER('Council Entry'!G$9)),MAX(MIN('Council Entry'!G123,'Council Entry'!G$9),'Council Entry'!G$8),'Council Entry'!G123)),IF('Council Entry'!G$4="Exponential",EXP(IF(AND(ISNUMBER('Council Entry'!G$8),ISNUMBER('Council Entry'!G$9)),MAX(MIN('Council Entry'!G123,'Council Entry'!G$9),'Council Entry'!G$8),'Council Entry'!G123)),IF(AND(ISNUMBER('Council Entry'!G$8),ISNUMBER('Council Entry'!G$9)),MAX(MIN('Council Entry'!G123,'Council Entry'!G$9),'Council Entry'!G$8),'Council Entry'!G123))))-'Council Entry'!G$5)/('Council Entry'!G$6-'Council Entry'!G$5),10*((IF('Council Entry'!G$4="Logarithm",LN(0.001+IF(AND(ISNUMBER('Council Entry'!G$8),ISNUMBER('Council Entry'!G$9)),MAX(MIN('Council Entry'!G123,'Council Entry'!G$9),'Council Entry'!G$8),'Council Entry'!G123)),IF('Council Entry'!G$4="Exponential",EXP(IF(AND(ISNUMBER('Council Entry'!G$8),ISNUMBER('Council Entry'!G$9)),MAX(MIN('Council Entry'!G123,'Council Entry'!G$9),'Council Entry'!G$8),'Council Entry'!G123)),IF(AND(ISNUMBER('Council Entry'!G$8),ISNUMBER('Council Entry'!G$9)),MAX(MIN('Council Entry'!G123,'Council Entry'!G$9),'Council Entry'!G$8),'Council Entry'!G123))))-'Council Entry'!G$5)/('Council Entry'!G$6-'Council Entry'!G$5)),1))),"No data"))</f>
        <v/>
      </c>
      <c r="H123" s="13">
        <f>IF('Council Entry'!H123="","",IFERROR(MAX(0,MIN(10,ROUND(IF('Council Entry'!H$7="Decrease Risk",10-10*((IF('Council Entry'!H$4="Logarithm",LN(0.001+IF(AND(ISNUMBER('Council Entry'!H$8),ISNUMBER('Council Entry'!H$9)),MAX(MIN('Council Entry'!H123,'Council Entry'!H$9),'Council Entry'!H$8),'Council Entry'!H123)),IF('Council Entry'!H$4="Exponential",EXP(IF(AND(ISNUMBER('Council Entry'!H$8),ISNUMBER('Council Entry'!H$9)),MAX(MIN('Council Entry'!H123,'Council Entry'!H$9),'Council Entry'!H$8),'Council Entry'!H123)),IF(AND(ISNUMBER('Council Entry'!H$8),ISNUMBER('Council Entry'!H$9)),MAX(MIN('Council Entry'!H123,'Council Entry'!H$9),'Council Entry'!H$8),'Council Entry'!H123))))-'Council Entry'!H$5)/('Council Entry'!H$6-'Council Entry'!H$5),10*((IF('Council Entry'!H$4="Logarithm",LN(0.001+IF(AND(ISNUMBER('Council Entry'!H$8),ISNUMBER('Council Entry'!H$9)),MAX(MIN('Council Entry'!H123,'Council Entry'!H$9),'Council Entry'!H$8),'Council Entry'!H123)),IF('Council Entry'!H$4="Exponential",EXP(IF(AND(ISNUMBER('Council Entry'!H$8),ISNUMBER('Council Entry'!H$9)),MAX(MIN('Council Entry'!H123,'Council Entry'!H$9),'Council Entry'!H$8),'Council Entry'!H123)),IF(AND(ISNUMBER('Council Entry'!H$8),ISNUMBER('Council Entry'!H$9)),MAX(MIN('Council Entry'!H123,'Council Entry'!H$9),'Council Entry'!H$8),'Council Entry'!H123))))-'Council Entry'!H$5)/('Council Entry'!H$6-'Council Entry'!H$5)),1))),"No data"))</f>
        <v/>
      </c>
      <c r="I123" s="13">
        <f>IF('Council Entry'!I123="","",IFERROR(MAX(0,MIN(10,ROUND(IF('Council Entry'!I$7="Decrease Risk",10-10*((IF('Council Entry'!I$4="Logarithm",LN(0.001+IF(AND(ISNUMBER('Council Entry'!I$8),ISNUMBER('Council Entry'!I$9)),MAX(MIN('Council Entry'!I123,'Council Entry'!I$9),'Council Entry'!I$8),'Council Entry'!I123)),IF('Council Entry'!I$4="Exponential",EXP(IF(AND(ISNUMBER('Council Entry'!I$8),ISNUMBER('Council Entry'!I$9)),MAX(MIN('Council Entry'!I123,'Council Entry'!I$9),'Council Entry'!I$8),'Council Entry'!I123)),IF(AND(ISNUMBER('Council Entry'!I$8),ISNUMBER('Council Entry'!I$9)),MAX(MIN('Council Entry'!I123,'Council Entry'!I$9),'Council Entry'!I$8),'Council Entry'!I123))))-'Council Entry'!I$5)/('Council Entry'!I$6-'Council Entry'!I$5),10*((IF('Council Entry'!I$4="Logarithm",LN(0.001+IF(AND(ISNUMBER('Council Entry'!I$8),ISNUMBER('Council Entry'!I$9)),MAX(MIN('Council Entry'!I123,'Council Entry'!I$9),'Council Entry'!I$8),'Council Entry'!I123)),IF('Council Entry'!I$4="Exponential",EXP(IF(AND(ISNUMBER('Council Entry'!I$8),ISNUMBER('Council Entry'!I$9)),MAX(MIN('Council Entry'!I123,'Council Entry'!I$9),'Council Entry'!I$8),'Council Entry'!I123)),IF(AND(ISNUMBER('Council Entry'!I$8),ISNUMBER('Council Entry'!I$9)),MAX(MIN('Council Entry'!I123,'Council Entry'!I$9),'Council Entry'!I$8),'Council Entry'!I123))))-'Council Entry'!I$5)/('Council Entry'!I$6-'Council Entry'!I$5)),1))),"No data"))</f>
        <v/>
      </c>
      <c r="J123" s="13">
        <f>IF('Council Entry'!J123="","",IFERROR(MAX(0,MIN(10,ROUND(IF('Council Entry'!J$7="Decrease Risk",10-10*((IF('Council Entry'!J$4="Logarithm",LN(0.001+IF(AND(ISNUMBER('Council Entry'!J$8),ISNUMBER('Council Entry'!J$9)),MAX(MIN('Council Entry'!J123,'Council Entry'!J$9),'Council Entry'!J$8),'Council Entry'!J123)),IF('Council Entry'!J$4="Exponential",EXP(IF(AND(ISNUMBER('Council Entry'!J$8),ISNUMBER('Council Entry'!J$9)),MAX(MIN('Council Entry'!J123,'Council Entry'!J$9),'Council Entry'!J$8),'Council Entry'!J123)),IF(AND(ISNUMBER('Council Entry'!J$8),ISNUMBER('Council Entry'!J$9)),MAX(MIN('Council Entry'!J123,'Council Entry'!J$9),'Council Entry'!J$8),'Council Entry'!J123))))-'Council Entry'!J$5)/('Council Entry'!J$6-'Council Entry'!J$5),10*((IF('Council Entry'!J$4="Logarithm",LN(0.001+IF(AND(ISNUMBER('Council Entry'!J$8),ISNUMBER('Council Entry'!J$9)),MAX(MIN('Council Entry'!J123,'Council Entry'!J$9),'Council Entry'!J$8),'Council Entry'!J123)),IF('Council Entry'!J$4="Exponential",EXP(IF(AND(ISNUMBER('Council Entry'!J$8),ISNUMBER('Council Entry'!J$9)),MAX(MIN('Council Entry'!J123,'Council Entry'!J$9),'Council Entry'!J$8),'Council Entry'!J123)),IF(AND(ISNUMBER('Council Entry'!J$8),ISNUMBER('Council Entry'!J$9)),MAX(MIN('Council Entry'!J123,'Council Entry'!J$9),'Council Entry'!J$8),'Council Entry'!J123))))-'Council Entry'!J$5)/('Council Entry'!J$6-'Council Entry'!J$5)),1))),"No data"))</f>
        <v/>
      </c>
      <c r="K123" s="13">
        <f>IF('Council Entry'!K123="","",IFERROR(MAX(0,MIN(10,ROUND(IF('Council Entry'!K$7="Decrease Risk",10-10*((IF('Council Entry'!K$4="Logarithm",LN(0.001+IF(AND(ISNUMBER('Council Entry'!K$8),ISNUMBER('Council Entry'!K$9)),MAX(MIN('Council Entry'!K123,'Council Entry'!K$9),'Council Entry'!K$8),'Council Entry'!K123)),IF('Council Entry'!K$4="Exponential",EXP(IF(AND(ISNUMBER('Council Entry'!K$8),ISNUMBER('Council Entry'!K$9)),MAX(MIN('Council Entry'!K123,'Council Entry'!K$9),'Council Entry'!K$8),'Council Entry'!K123)),IF(AND(ISNUMBER('Council Entry'!K$8),ISNUMBER('Council Entry'!K$9)),MAX(MIN('Council Entry'!K123,'Council Entry'!K$9),'Council Entry'!K$8),'Council Entry'!K123))))-'Council Entry'!K$5)/('Council Entry'!K$6-'Council Entry'!K$5),10*((IF('Council Entry'!K$4="Logarithm",LN(0.001+IF(AND(ISNUMBER('Council Entry'!K$8),ISNUMBER('Council Entry'!K$9)),MAX(MIN('Council Entry'!K123,'Council Entry'!K$9),'Council Entry'!K$8),'Council Entry'!K123)),IF('Council Entry'!K$4="Exponential",EXP(IF(AND(ISNUMBER('Council Entry'!K$8),ISNUMBER('Council Entry'!K$9)),MAX(MIN('Council Entry'!K123,'Council Entry'!K$9),'Council Entry'!K$8),'Council Entry'!K123)),IF(AND(ISNUMBER('Council Entry'!K$8),ISNUMBER('Council Entry'!K$9)),MAX(MIN('Council Entry'!K123,'Council Entry'!K$9),'Council Entry'!K$8),'Council Entry'!K123))))-'Council Entry'!K$5)/('Council Entry'!K$6-'Council Entry'!K$5)),1))),"No data"))</f>
        <v/>
      </c>
      <c r="L123" s="13">
        <f>IF('Council Entry'!L123="","",IFERROR(MAX(0,MIN(10,ROUND(IF('Council Entry'!L$7="Decrease Risk",10-10*((IF('Council Entry'!L$4="Logarithm",LN(0.001+IF(AND(ISNUMBER('Council Entry'!L$8),ISNUMBER('Council Entry'!L$9)),MAX(MIN('Council Entry'!L123,'Council Entry'!L$9),'Council Entry'!L$8),'Council Entry'!L123)),IF('Council Entry'!L$4="Exponential",EXP(IF(AND(ISNUMBER('Council Entry'!L$8),ISNUMBER('Council Entry'!L$9)),MAX(MIN('Council Entry'!L123,'Council Entry'!L$9),'Council Entry'!L$8),'Council Entry'!L123)),IF(AND(ISNUMBER('Council Entry'!L$8),ISNUMBER('Council Entry'!L$9)),MAX(MIN('Council Entry'!L123,'Council Entry'!L$9),'Council Entry'!L$8),'Council Entry'!L123))))-'Council Entry'!L$5)/('Council Entry'!L$6-'Council Entry'!L$5),10*((IF('Council Entry'!L$4="Logarithm",LN(0.001+IF(AND(ISNUMBER('Council Entry'!L$8),ISNUMBER('Council Entry'!L$9)),MAX(MIN('Council Entry'!L123,'Council Entry'!L$9),'Council Entry'!L$8),'Council Entry'!L123)),IF('Council Entry'!L$4="Exponential",EXP(IF(AND(ISNUMBER('Council Entry'!L$8),ISNUMBER('Council Entry'!L$9)),MAX(MIN('Council Entry'!L123,'Council Entry'!L$9),'Council Entry'!L$8),'Council Entry'!L123)),IF(AND(ISNUMBER('Council Entry'!L$8),ISNUMBER('Council Entry'!L$9)),MAX(MIN('Council Entry'!L123,'Council Entry'!L$9),'Council Entry'!L$8),'Council Entry'!L123))))-'Council Entry'!L$5)/('Council Entry'!L$6-'Council Entry'!L$5)),1))),"No data"))</f>
        <v/>
      </c>
      <c r="M123" s="13">
        <f>IF('Council Entry'!M123="","",IFERROR(MAX(0,MIN(10,ROUND(IF('Council Entry'!M$7="Decrease Risk",10-10*((IF('Council Entry'!M$4="Logarithm",LN(0.001+IF(AND(ISNUMBER('Council Entry'!M$8),ISNUMBER('Council Entry'!M$9)),MAX(MIN('Council Entry'!M123,'Council Entry'!M$9),'Council Entry'!M$8),'Council Entry'!M123)),IF('Council Entry'!M$4="Exponential",EXP(IF(AND(ISNUMBER('Council Entry'!M$8),ISNUMBER('Council Entry'!M$9)),MAX(MIN('Council Entry'!M123,'Council Entry'!M$9),'Council Entry'!M$8),'Council Entry'!M123)),IF(AND(ISNUMBER('Council Entry'!M$8),ISNUMBER('Council Entry'!M$9)),MAX(MIN('Council Entry'!M123,'Council Entry'!M$9),'Council Entry'!M$8),'Council Entry'!M123))))-'Council Entry'!M$5)/('Council Entry'!M$6-'Council Entry'!M$5),10*((IF('Council Entry'!M$4="Logarithm",LN(0.001+IF(AND(ISNUMBER('Council Entry'!M$8),ISNUMBER('Council Entry'!M$9)),MAX(MIN('Council Entry'!M123,'Council Entry'!M$9),'Council Entry'!M$8),'Council Entry'!M123)),IF('Council Entry'!M$4="Exponential",EXP(IF(AND(ISNUMBER('Council Entry'!M$8),ISNUMBER('Council Entry'!M$9)),MAX(MIN('Council Entry'!M123,'Council Entry'!M$9),'Council Entry'!M$8),'Council Entry'!M123)),IF(AND(ISNUMBER('Council Entry'!M$8),ISNUMBER('Council Entry'!M$9)),MAX(MIN('Council Entry'!M123,'Council Entry'!M$9),'Council Entry'!M$8),'Council Entry'!M123))))-'Council Entry'!M$5)/('Council Entry'!M$6-'Council Entry'!M$5)),1))),"No data"))</f>
        <v/>
      </c>
      <c r="N123" s="13">
        <f>IF('Council Entry'!N123="","",IFERROR(MAX(0,MIN(10,ROUND(IF('Council Entry'!N$7="Decrease Risk",10-10*((IF('Council Entry'!N$4="Logarithm",LN(0.001+IF(AND(ISNUMBER('Council Entry'!N$8),ISNUMBER('Council Entry'!N$9)),MAX(MIN('Council Entry'!N123,'Council Entry'!N$9),'Council Entry'!N$8),'Council Entry'!N123)),IF('Council Entry'!N$4="Exponential",EXP(IF(AND(ISNUMBER('Council Entry'!N$8),ISNUMBER('Council Entry'!N$9)),MAX(MIN('Council Entry'!N123,'Council Entry'!N$9),'Council Entry'!N$8),'Council Entry'!N123)),IF(AND(ISNUMBER('Council Entry'!N$8),ISNUMBER('Council Entry'!N$9)),MAX(MIN('Council Entry'!N123,'Council Entry'!N$9),'Council Entry'!N$8),'Council Entry'!N123))))-'Council Entry'!N$5)/('Council Entry'!N$6-'Council Entry'!N$5),10*((IF('Council Entry'!N$4="Logarithm",LN(0.001+IF(AND(ISNUMBER('Council Entry'!N$8),ISNUMBER('Council Entry'!N$9)),MAX(MIN('Council Entry'!N123,'Council Entry'!N$9),'Council Entry'!N$8),'Council Entry'!N123)),IF('Council Entry'!N$4="Exponential",EXP(IF(AND(ISNUMBER('Council Entry'!N$8),ISNUMBER('Council Entry'!N$9)),MAX(MIN('Council Entry'!N123,'Council Entry'!N$9),'Council Entry'!N$8),'Council Entry'!N123)),IF(AND(ISNUMBER('Council Entry'!N$8),ISNUMBER('Council Entry'!N$9)),MAX(MIN('Council Entry'!N123,'Council Entry'!N$9),'Council Entry'!N$8),'Council Entry'!N123))))-'Council Entry'!N$5)/('Council Entry'!N$6-'Council Entry'!N$5)),1))),"No data"))</f>
        <v/>
      </c>
      <c r="O123" s="13">
        <f>IF('Council Entry'!O123="","",IFERROR(MAX(0,MIN(10,ROUND(IF('Council Entry'!O$7="Decrease Risk",10-10*((IF('Council Entry'!O$4="Logarithm",LN(0.001+IF(AND(ISNUMBER('Council Entry'!O$8),ISNUMBER('Council Entry'!O$9)),MAX(MIN('Council Entry'!O123,'Council Entry'!O$9),'Council Entry'!O$8),'Council Entry'!O123)),IF('Council Entry'!O$4="Exponential",EXP(IF(AND(ISNUMBER('Council Entry'!O$8),ISNUMBER('Council Entry'!O$9)),MAX(MIN('Council Entry'!O123,'Council Entry'!O$9),'Council Entry'!O$8),'Council Entry'!O123)),IF(AND(ISNUMBER('Council Entry'!O$8),ISNUMBER('Council Entry'!O$9)),MAX(MIN('Council Entry'!O123,'Council Entry'!O$9),'Council Entry'!O$8),'Council Entry'!O123))))-'Council Entry'!O$5)/('Council Entry'!O$6-'Council Entry'!O$5),10*((IF('Council Entry'!O$4="Logarithm",LN(0.001+IF(AND(ISNUMBER('Council Entry'!O$8),ISNUMBER('Council Entry'!O$9)),MAX(MIN('Council Entry'!O123,'Council Entry'!O$9),'Council Entry'!O$8),'Council Entry'!O123)),IF('Council Entry'!O$4="Exponential",EXP(IF(AND(ISNUMBER('Council Entry'!O$8),ISNUMBER('Council Entry'!O$9)),MAX(MIN('Council Entry'!O123,'Council Entry'!O$9),'Council Entry'!O$8),'Council Entry'!O123)),IF(AND(ISNUMBER('Council Entry'!O$8),ISNUMBER('Council Entry'!O$9)),MAX(MIN('Council Entry'!O123,'Council Entry'!O$9),'Council Entry'!O$8),'Council Entry'!O123))))-'Council Entry'!O$5)/('Council Entry'!O$6-'Council Entry'!O$5)),1))),"No data"))</f>
        <v/>
      </c>
      <c r="P123" s="13">
        <f>IF('Council Entry'!P123="","",IFERROR(MAX(0,MIN(10,ROUND(IF('Council Entry'!P$7="Decrease Risk",10-10*((IF('Council Entry'!P$4="Logarithm",LN(0.001+IF(AND(ISNUMBER('Council Entry'!P$8),ISNUMBER('Council Entry'!P$9)),MAX(MIN('Council Entry'!P123,'Council Entry'!P$9),'Council Entry'!P$8),'Council Entry'!P123)),IF('Council Entry'!P$4="Exponential",EXP(IF(AND(ISNUMBER('Council Entry'!P$8),ISNUMBER('Council Entry'!P$9)),MAX(MIN('Council Entry'!P123,'Council Entry'!P$9),'Council Entry'!P$8),'Council Entry'!P123)),IF(AND(ISNUMBER('Council Entry'!P$8),ISNUMBER('Council Entry'!P$9)),MAX(MIN('Council Entry'!P123,'Council Entry'!P$9),'Council Entry'!P$8),'Council Entry'!P123))))-'Council Entry'!P$5)/('Council Entry'!P$6-'Council Entry'!P$5),10*((IF('Council Entry'!P$4="Logarithm",LN(0.001+IF(AND(ISNUMBER('Council Entry'!P$8),ISNUMBER('Council Entry'!P$9)),MAX(MIN('Council Entry'!P123,'Council Entry'!P$9),'Council Entry'!P$8),'Council Entry'!P123)),IF('Council Entry'!P$4="Exponential",EXP(IF(AND(ISNUMBER('Council Entry'!P$8),ISNUMBER('Council Entry'!P$9)),MAX(MIN('Council Entry'!P123,'Council Entry'!P$9),'Council Entry'!P$8),'Council Entry'!P123)),IF(AND(ISNUMBER('Council Entry'!P$8),ISNUMBER('Council Entry'!P$9)),MAX(MIN('Council Entry'!P123,'Council Entry'!P$9),'Council Entry'!P$8),'Council Entry'!P123))))-'Council Entry'!P$5)/('Council Entry'!P$6-'Council Entry'!P$5)),1))),"No data"))</f>
        <v/>
      </c>
      <c r="Q123" s="13">
        <f>IF('Council Entry'!Q123="","",IFERROR(MAX(0,MIN(10,ROUND(IF('Council Entry'!Q$7="Decrease Risk",10-10*((IF('Council Entry'!Q$4="Logarithm",LN(0.001+IF(AND(ISNUMBER('Council Entry'!Q$8),ISNUMBER('Council Entry'!Q$9)),MAX(MIN('Council Entry'!Q123,'Council Entry'!Q$9),'Council Entry'!Q$8),'Council Entry'!Q123)),IF('Council Entry'!Q$4="Exponential",EXP(IF(AND(ISNUMBER('Council Entry'!Q$8),ISNUMBER('Council Entry'!Q$9)),MAX(MIN('Council Entry'!Q123,'Council Entry'!Q$9),'Council Entry'!Q$8),'Council Entry'!Q123)),IF(AND(ISNUMBER('Council Entry'!Q$8),ISNUMBER('Council Entry'!Q$9)),MAX(MIN('Council Entry'!Q123,'Council Entry'!Q$9),'Council Entry'!Q$8),'Council Entry'!Q123))))-'Council Entry'!Q$5)/('Council Entry'!Q$6-'Council Entry'!Q$5),10*((IF('Council Entry'!Q$4="Logarithm",LN(0.001+IF(AND(ISNUMBER('Council Entry'!Q$8),ISNUMBER('Council Entry'!Q$9)),MAX(MIN('Council Entry'!Q123,'Council Entry'!Q$9),'Council Entry'!Q$8),'Council Entry'!Q123)),IF('Council Entry'!Q$4="Exponential",EXP(IF(AND(ISNUMBER('Council Entry'!Q$8),ISNUMBER('Council Entry'!Q$9)),MAX(MIN('Council Entry'!Q123,'Council Entry'!Q$9),'Council Entry'!Q$8),'Council Entry'!Q123)),IF(AND(ISNUMBER('Council Entry'!Q$8),ISNUMBER('Council Entry'!Q$9)),MAX(MIN('Council Entry'!Q123,'Council Entry'!Q$9),'Council Entry'!Q$8),'Council Entry'!Q123))))-'Council Entry'!Q$5)/('Council Entry'!Q$6-'Council Entry'!Q$5)),1))),"No data"))</f>
        <v/>
      </c>
      <c r="R123" s="13">
        <f>IF('Council Entry'!R123="","",IFERROR(MAX(0,MIN(10,ROUND(IF('Council Entry'!R$7="Decrease Risk",10-10*((IF('Council Entry'!R$4="Logarithm",LN(0.001+IF(AND(ISNUMBER('Council Entry'!R$8),ISNUMBER('Council Entry'!R$9)),MAX(MIN('Council Entry'!R123,'Council Entry'!R$9),'Council Entry'!R$8),'Council Entry'!R123)),IF('Council Entry'!R$4="Exponential",EXP(IF(AND(ISNUMBER('Council Entry'!R$8),ISNUMBER('Council Entry'!R$9)),MAX(MIN('Council Entry'!R123,'Council Entry'!R$9),'Council Entry'!R$8),'Council Entry'!R123)),IF(AND(ISNUMBER('Council Entry'!R$8),ISNUMBER('Council Entry'!R$9)),MAX(MIN('Council Entry'!R123,'Council Entry'!R$9),'Council Entry'!R$8),'Council Entry'!R123))))-'Council Entry'!R$5)/('Council Entry'!R$6-'Council Entry'!R$5),10*((IF('Council Entry'!R$4="Logarithm",LN(0.001+IF(AND(ISNUMBER('Council Entry'!R$8),ISNUMBER('Council Entry'!R$9)),MAX(MIN('Council Entry'!R123,'Council Entry'!R$9),'Council Entry'!R$8),'Council Entry'!R123)),IF('Council Entry'!R$4="Exponential",EXP(IF(AND(ISNUMBER('Council Entry'!R$8),ISNUMBER('Council Entry'!R$9)),MAX(MIN('Council Entry'!R123,'Council Entry'!R$9),'Council Entry'!R$8),'Council Entry'!R123)),IF(AND(ISNUMBER('Council Entry'!R$8),ISNUMBER('Council Entry'!R$9)),MAX(MIN('Council Entry'!R123,'Council Entry'!R$9),'Council Entry'!R$8),'Council Entry'!R123))))-'Council Entry'!R$5)/('Council Entry'!R$6-'Council Entry'!R$5)),1))),"No data"))</f>
        <v/>
      </c>
      <c r="S123" s="13">
        <f>IF('Council Entry'!S123="","",IFERROR(MAX(0,MIN(10,ROUND(IF('Council Entry'!S$7="Decrease Risk",10-10*((IF('Council Entry'!S$4="Logarithm",LN(0.001+IF(AND(ISNUMBER('Council Entry'!S$8),ISNUMBER('Council Entry'!S$9)),MAX(MIN('Council Entry'!S123,'Council Entry'!S$9),'Council Entry'!S$8),'Council Entry'!S123)),IF('Council Entry'!S$4="Exponential",EXP(IF(AND(ISNUMBER('Council Entry'!S$8),ISNUMBER('Council Entry'!S$9)),MAX(MIN('Council Entry'!S123,'Council Entry'!S$9),'Council Entry'!S$8),'Council Entry'!S123)),IF(AND(ISNUMBER('Council Entry'!S$8),ISNUMBER('Council Entry'!S$9)),MAX(MIN('Council Entry'!S123,'Council Entry'!S$9),'Council Entry'!S$8),'Council Entry'!S123))))-'Council Entry'!S$5)/('Council Entry'!S$6-'Council Entry'!S$5),10*((IF('Council Entry'!S$4="Logarithm",LN(0.001+IF(AND(ISNUMBER('Council Entry'!S$8),ISNUMBER('Council Entry'!S$9)),MAX(MIN('Council Entry'!S123,'Council Entry'!S$9),'Council Entry'!S$8),'Council Entry'!S123)),IF('Council Entry'!S$4="Exponential",EXP(IF(AND(ISNUMBER('Council Entry'!S$8),ISNUMBER('Council Entry'!S$9)),MAX(MIN('Council Entry'!S123,'Council Entry'!S$9),'Council Entry'!S$8),'Council Entry'!S123)),IF(AND(ISNUMBER('Council Entry'!S$8),ISNUMBER('Council Entry'!S$9)),MAX(MIN('Council Entry'!S123,'Council Entry'!S$9),'Council Entry'!S$8),'Council Entry'!S123))))-'Council Entry'!S$5)/('Council Entry'!S$6-'Council Entry'!S$5)),1))),"No data"))</f>
        <v/>
      </c>
      <c r="T123" s="13">
        <f>IF('Council Entry'!T123="","",IFERROR(MAX(0,MIN(10,ROUND(IF('Council Entry'!T$7="Decrease Risk",10-10*((IF('Council Entry'!T$4="Logarithm",LN(0.001+IF(AND(ISNUMBER('Council Entry'!T$8),ISNUMBER('Council Entry'!T$9)),MAX(MIN('Council Entry'!T123,'Council Entry'!T$9),'Council Entry'!T$8),'Council Entry'!T123)),IF('Council Entry'!T$4="Exponential",EXP(IF(AND(ISNUMBER('Council Entry'!T$8),ISNUMBER('Council Entry'!T$9)),MAX(MIN('Council Entry'!T123,'Council Entry'!T$9),'Council Entry'!T$8),'Council Entry'!T123)),IF(AND(ISNUMBER('Council Entry'!T$8),ISNUMBER('Council Entry'!T$9)),MAX(MIN('Council Entry'!T123,'Council Entry'!T$9),'Council Entry'!T$8),'Council Entry'!T123))))-'Council Entry'!T$5)/('Council Entry'!T$6-'Council Entry'!T$5),10*((IF('Council Entry'!T$4="Logarithm",LN(0.001+IF(AND(ISNUMBER('Council Entry'!T$8),ISNUMBER('Council Entry'!T$9)),MAX(MIN('Council Entry'!T123,'Council Entry'!T$9),'Council Entry'!T$8),'Council Entry'!T123)),IF('Council Entry'!T$4="Exponential",EXP(IF(AND(ISNUMBER('Council Entry'!T$8),ISNUMBER('Council Entry'!T$9)),MAX(MIN('Council Entry'!T123,'Council Entry'!T$9),'Council Entry'!T$8),'Council Entry'!T123)),IF(AND(ISNUMBER('Council Entry'!T$8),ISNUMBER('Council Entry'!T$9)),MAX(MIN('Council Entry'!T123,'Council Entry'!T$9),'Council Entry'!T$8),'Council Entry'!T123))))-'Council Entry'!T$5)/('Council Entry'!T$6-'Council Entry'!T$5)),1))),"No data"))</f>
        <v/>
      </c>
      <c r="U123" s="13">
        <f>IF('Council Entry'!U123="","",IFERROR(MAX(0,MIN(10,ROUND(IF('Council Entry'!U$7="Decrease Risk",10-10*((IF('Council Entry'!U$4="Logarithm",LN(0.001+IF(AND(ISNUMBER('Council Entry'!U$8),ISNUMBER('Council Entry'!U$9)),MAX(MIN('Council Entry'!U123,'Council Entry'!U$9),'Council Entry'!U$8),'Council Entry'!U123)),IF('Council Entry'!U$4="Exponential",EXP(IF(AND(ISNUMBER('Council Entry'!U$8),ISNUMBER('Council Entry'!U$9)),MAX(MIN('Council Entry'!U123,'Council Entry'!U$9),'Council Entry'!U$8),'Council Entry'!U123)),IF(AND(ISNUMBER('Council Entry'!U$8),ISNUMBER('Council Entry'!U$9)),MAX(MIN('Council Entry'!U123,'Council Entry'!U$9),'Council Entry'!U$8),'Council Entry'!U123))))-'Council Entry'!U$5)/('Council Entry'!U$6-'Council Entry'!U$5),10*((IF('Council Entry'!U$4="Logarithm",LN(0.001+IF(AND(ISNUMBER('Council Entry'!U$8),ISNUMBER('Council Entry'!U$9)),MAX(MIN('Council Entry'!U123,'Council Entry'!U$9),'Council Entry'!U$8),'Council Entry'!U123)),IF('Council Entry'!U$4="Exponential",EXP(IF(AND(ISNUMBER('Council Entry'!U$8),ISNUMBER('Council Entry'!U$9)),MAX(MIN('Council Entry'!U123,'Council Entry'!U$9),'Council Entry'!U$8),'Council Entry'!U123)),IF(AND(ISNUMBER('Council Entry'!U$8),ISNUMBER('Council Entry'!U$9)),MAX(MIN('Council Entry'!U123,'Council Entry'!U$9),'Council Entry'!U$8),'Council Entry'!U123))))-'Council Entry'!U$5)/('Council Entry'!U$6-'Council Entry'!U$5)),1))),"No data"))</f>
        <v/>
      </c>
      <c r="V123" s="13">
        <f>IF('Council Entry'!V123="","",IFERROR(MAX(0,MIN(10,ROUND(IF('Council Entry'!V$7="Decrease Risk",10-10*((IF('Council Entry'!V$4="Logarithm",LN(0.001+IF(AND(ISNUMBER('Council Entry'!V$8),ISNUMBER('Council Entry'!V$9)),MAX(MIN('Council Entry'!V123,'Council Entry'!V$9),'Council Entry'!V$8),'Council Entry'!V123)),IF('Council Entry'!V$4="Exponential",EXP(IF(AND(ISNUMBER('Council Entry'!V$8),ISNUMBER('Council Entry'!V$9)),MAX(MIN('Council Entry'!V123,'Council Entry'!V$9),'Council Entry'!V$8),'Council Entry'!V123)),IF(AND(ISNUMBER('Council Entry'!V$8),ISNUMBER('Council Entry'!V$9)),MAX(MIN('Council Entry'!V123,'Council Entry'!V$9),'Council Entry'!V$8),'Council Entry'!V123))))-'Council Entry'!V$5)/('Council Entry'!V$6-'Council Entry'!V$5),10*((IF('Council Entry'!V$4="Logarithm",LN(0.001+IF(AND(ISNUMBER('Council Entry'!V$8),ISNUMBER('Council Entry'!V$9)),MAX(MIN('Council Entry'!V123,'Council Entry'!V$9),'Council Entry'!V$8),'Council Entry'!V123)),IF('Council Entry'!V$4="Exponential",EXP(IF(AND(ISNUMBER('Council Entry'!V$8),ISNUMBER('Council Entry'!V$9)),MAX(MIN('Council Entry'!V123,'Council Entry'!V$9),'Council Entry'!V$8),'Council Entry'!V123)),IF(AND(ISNUMBER('Council Entry'!V$8),ISNUMBER('Council Entry'!V$9)),MAX(MIN('Council Entry'!V123,'Council Entry'!V$9),'Council Entry'!V$8),'Council Entry'!V123))))-'Council Entry'!V$5)/('Council Entry'!V$6-'Council Entry'!V$5)),1))),"No data"))</f>
        <v/>
      </c>
      <c r="W123" s="13">
        <f>IF('Council Entry'!W123="","",IFERROR(MAX(0,MIN(10,ROUND(IF('Council Entry'!W$7="Decrease Risk",10-10*((IF('Council Entry'!W$4="Logarithm",LN(0.001+IF(AND(ISNUMBER('Council Entry'!W$8),ISNUMBER('Council Entry'!W$9)),MAX(MIN('Council Entry'!W123,'Council Entry'!W$9),'Council Entry'!W$8),'Council Entry'!W123)),IF('Council Entry'!W$4="Exponential",EXP(IF(AND(ISNUMBER('Council Entry'!W$8),ISNUMBER('Council Entry'!W$9)),MAX(MIN('Council Entry'!W123,'Council Entry'!W$9),'Council Entry'!W$8),'Council Entry'!W123)),IF(AND(ISNUMBER('Council Entry'!W$8),ISNUMBER('Council Entry'!W$9)),MAX(MIN('Council Entry'!W123,'Council Entry'!W$9),'Council Entry'!W$8),'Council Entry'!W123))))-'Council Entry'!W$5)/('Council Entry'!W$6-'Council Entry'!W$5),10*((IF('Council Entry'!W$4="Logarithm",LN(0.001+IF(AND(ISNUMBER('Council Entry'!W$8),ISNUMBER('Council Entry'!W$9)),MAX(MIN('Council Entry'!W123,'Council Entry'!W$9),'Council Entry'!W$8),'Council Entry'!W123)),IF('Council Entry'!W$4="Exponential",EXP(IF(AND(ISNUMBER('Council Entry'!W$8),ISNUMBER('Council Entry'!W$9)),MAX(MIN('Council Entry'!W123,'Council Entry'!W$9),'Council Entry'!W$8),'Council Entry'!W123)),IF(AND(ISNUMBER('Council Entry'!W$8),ISNUMBER('Council Entry'!W$9)),MAX(MIN('Council Entry'!W123,'Council Entry'!W$9),'Council Entry'!W$8),'Council Entry'!W123))))-'Council Entry'!W$5)/('Council Entry'!W$6-'Council Entry'!W$5)),1))),"No data"))</f>
        <v/>
      </c>
      <c r="X123" s="13">
        <f>IF('Council Entry'!X123="","",IFERROR(MAX(0,MIN(10,ROUND(IF('Council Entry'!X$7="Decrease Risk",10-10*((IF('Council Entry'!X$4="Logarithm",LN(0.001+IF(AND(ISNUMBER('Council Entry'!X$8),ISNUMBER('Council Entry'!X$9)),MAX(MIN('Council Entry'!X123,'Council Entry'!X$9),'Council Entry'!X$8),'Council Entry'!X123)),IF('Council Entry'!X$4="Exponential",EXP(IF(AND(ISNUMBER('Council Entry'!X$8),ISNUMBER('Council Entry'!X$9)),MAX(MIN('Council Entry'!X123,'Council Entry'!X$9),'Council Entry'!X$8),'Council Entry'!X123)),IF(AND(ISNUMBER('Council Entry'!X$8),ISNUMBER('Council Entry'!X$9)),MAX(MIN('Council Entry'!X123,'Council Entry'!X$9),'Council Entry'!X$8),'Council Entry'!X123))))-'Council Entry'!X$5)/('Council Entry'!X$6-'Council Entry'!X$5),10*((IF('Council Entry'!X$4="Logarithm",LN(0.001+IF(AND(ISNUMBER('Council Entry'!X$8),ISNUMBER('Council Entry'!X$9)),MAX(MIN('Council Entry'!X123,'Council Entry'!X$9),'Council Entry'!X$8),'Council Entry'!X123)),IF('Council Entry'!X$4="Exponential",EXP(IF(AND(ISNUMBER('Council Entry'!X$8),ISNUMBER('Council Entry'!X$9)),MAX(MIN('Council Entry'!X123,'Council Entry'!X$9),'Council Entry'!X$8),'Council Entry'!X123)),IF(AND(ISNUMBER('Council Entry'!X$8),ISNUMBER('Council Entry'!X$9)),MAX(MIN('Council Entry'!X123,'Council Entry'!X$9),'Council Entry'!X$8),'Council Entry'!X123))))-'Council Entry'!X$5)/('Council Entry'!X$6-'Council Entry'!X$5)),1))),"No data"))</f>
        <v/>
      </c>
      <c r="Y123" s="13">
        <f>IF('Council Entry'!Y123="","",IFERROR(MAX(0,MIN(10,ROUND(IF('Council Entry'!Y$7="Decrease Risk",10-10*((IF('Council Entry'!Y$4="Logarithm",LN(0.001+IF(AND(ISNUMBER('Council Entry'!Y$8),ISNUMBER('Council Entry'!Y$9)),MAX(MIN('Council Entry'!Y123,'Council Entry'!Y$9),'Council Entry'!Y$8),'Council Entry'!Y123)),IF('Council Entry'!Y$4="Exponential",EXP(IF(AND(ISNUMBER('Council Entry'!Y$8),ISNUMBER('Council Entry'!Y$9)),MAX(MIN('Council Entry'!Y123,'Council Entry'!Y$9),'Council Entry'!Y$8),'Council Entry'!Y123)),IF(AND(ISNUMBER('Council Entry'!Y$8),ISNUMBER('Council Entry'!Y$9)),MAX(MIN('Council Entry'!Y123,'Council Entry'!Y$9),'Council Entry'!Y$8),'Council Entry'!Y123))))-'Council Entry'!Y$5)/('Council Entry'!Y$6-'Council Entry'!Y$5),10*((IF('Council Entry'!Y$4="Logarithm",LN(0.001+IF(AND(ISNUMBER('Council Entry'!Y$8),ISNUMBER('Council Entry'!Y$9)),MAX(MIN('Council Entry'!Y123,'Council Entry'!Y$9),'Council Entry'!Y$8),'Council Entry'!Y123)),IF('Council Entry'!Y$4="Exponential",EXP(IF(AND(ISNUMBER('Council Entry'!Y$8),ISNUMBER('Council Entry'!Y$9)),MAX(MIN('Council Entry'!Y123,'Council Entry'!Y$9),'Council Entry'!Y$8),'Council Entry'!Y123)),IF(AND(ISNUMBER('Council Entry'!Y$8),ISNUMBER('Council Entry'!Y$9)),MAX(MIN('Council Entry'!Y123,'Council Entry'!Y$9),'Council Entry'!Y$8),'Council Entry'!Y123))))-'Council Entry'!Y$5)/('Council Entry'!Y$6-'Council Entry'!Y$5)),1))),"No data"))</f>
        <v/>
      </c>
      <c r="Z123" s="13">
        <f>IF('Council Entry'!Z123="","",IFERROR(MAX(0,MIN(10,ROUND(IF('Council Entry'!Z$7="Decrease Risk",10-10*((IF('Council Entry'!Z$4="Logarithm",LN(0.001+IF(AND(ISNUMBER('Council Entry'!Z$8),ISNUMBER('Council Entry'!Z$9)),MAX(MIN('Council Entry'!Z123,'Council Entry'!Z$9),'Council Entry'!Z$8),'Council Entry'!Z123)),IF('Council Entry'!Z$4="Exponential",EXP(IF(AND(ISNUMBER('Council Entry'!Z$8),ISNUMBER('Council Entry'!Z$9)),MAX(MIN('Council Entry'!Z123,'Council Entry'!Z$9),'Council Entry'!Z$8),'Council Entry'!Z123)),IF(AND(ISNUMBER('Council Entry'!Z$8),ISNUMBER('Council Entry'!Z$9)),MAX(MIN('Council Entry'!Z123,'Council Entry'!Z$9),'Council Entry'!Z$8),'Council Entry'!Z123))))-'Council Entry'!Z$5)/('Council Entry'!Z$6-'Council Entry'!Z$5),10*((IF('Council Entry'!Z$4="Logarithm",LN(0.001+IF(AND(ISNUMBER('Council Entry'!Z$8),ISNUMBER('Council Entry'!Z$9)),MAX(MIN('Council Entry'!Z123,'Council Entry'!Z$9),'Council Entry'!Z$8),'Council Entry'!Z123)),IF('Council Entry'!Z$4="Exponential",EXP(IF(AND(ISNUMBER('Council Entry'!Z$8),ISNUMBER('Council Entry'!Z$9)),MAX(MIN('Council Entry'!Z123,'Council Entry'!Z$9),'Council Entry'!Z$8),'Council Entry'!Z123)),IF(AND(ISNUMBER('Council Entry'!Z$8),ISNUMBER('Council Entry'!Z$9)),MAX(MIN('Council Entry'!Z123,'Council Entry'!Z$9),'Council Entry'!Z$8),'Council Entry'!Z123))))-'Council Entry'!Z$5)/('Council Entry'!Z$6-'Council Entry'!Z$5)),1))),"No data"))</f>
        <v/>
      </c>
      <c r="AA123" s="13">
        <f>IF('Council Entry'!AA123="","",IFERROR(MAX(0,MIN(10,ROUND(IF('Council Entry'!AA$7="Decrease Risk",10-10*((IF('Council Entry'!AA$4="Logarithm",LN(0.001+IF(AND(ISNUMBER('Council Entry'!AA$8),ISNUMBER('Council Entry'!AA$9)),MAX(MIN('Council Entry'!AA123,'Council Entry'!AA$9),'Council Entry'!AA$8),'Council Entry'!AA123)),IF('Council Entry'!AA$4="Exponential",EXP(IF(AND(ISNUMBER('Council Entry'!AA$8),ISNUMBER('Council Entry'!AA$9)),MAX(MIN('Council Entry'!AA123,'Council Entry'!AA$9),'Council Entry'!AA$8),'Council Entry'!AA123)),IF(AND(ISNUMBER('Council Entry'!AA$8),ISNUMBER('Council Entry'!AA$9)),MAX(MIN('Council Entry'!AA123,'Council Entry'!AA$9),'Council Entry'!AA$8),'Council Entry'!AA123))))-'Council Entry'!AA$5)/('Council Entry'!AA$6-'Council Entry'!AA$5),10*((IF('Council Entry'!AA$4="Logarithm",LN(0.001+IF(AND(ISNUMBER('Council Entry'!AA$8),ISNUMBER('Council Entry'!AA$9)),MAX(MIN('Council Entry'!AA123,'Council Entry'!AA$9),'Council Entry'!AA$8),'Council Entry'!AA123)),IF('Council Entry'!AA$4="Exponential",EXP(IF(AND(ISNUMBER('Council Entry'!AA$8),ISNUMBER('Council Entry'!AA$9)),MAX(MIN('Council Entry'!AA123,'Council Entry'!AA$9),'Council Entry'!AA$8),'Council Entry'!AA123)),IF(AND(ISNUMBER('Council Entry'!AA$8),ISNUMBER('Council Entry'!AA$9)),MAX(MIN('Council Entry'!AA123,'Council Entry'!AA$9),'Council Entry'!AA$8),'Council Entry'!AA123))))-'Council Entry'!AA$5)/('Council Entry'!AA$6-'Council Entry'!AA$5)),1))),"No data"))</f>
        <v/>
      </c>
      <c r="AB123" s="13">
        <f>IF('Council Entry'!AB123="","",IFERROR(MAX(0,MIN(10,ROUND(IF('Council Entry'!AB$7="Decrease Risk",10-10*((IF('Council Entry'!AB$4="Logarithm",LN(0.001+IF(AND(ISNUMBER('Council Entry'!AB$8),ISNUMBER('Council Entry'!AB$9)),MAX(MIN('Council Entry'!AB123,'Council Entry'!AB$9),'Council Entry'!AB$8),'Council Entry'!AB123)),IF('Council Entry'!AB$4="Exponential",EXP(IF(AND(ISNUMBER('Council Entry'!AB$8),ISNUMBER('Council Entry'!AB$9)),MAX(MIN('Council Entry'!AB123,'Council Entry'!AB$9),'Council Entry'!AB$8),'Council Entry'!AB123)),IF(AND(ISNUMBER('Council Entry'!AB$8),ISNUMBER('Council Entry'!AB$9)),MAX(MIN('Council Entry'!AB123,'Council Entry'!AB$9),'Council Entry'!AB$8),'Council Entry'!AB123))))-'Council Entry'!AB$5)/('Council Entry'!AB$6-'Council Entry'!AB$5),10*((IF('Council Entry'!AB$4="Logarithm",LN(0.001+IF(AND(ISNUMBER('Council Entry'!AB$8),ISNUMBER('Council Entry'!AB$9)),MAX(MIN('Council Entry'!AB123,'Council Entry'!AB$9),'Council Entry'!AB$8),'Council Entry'!AB123)),IF('Council Entry'!AB$4="Exponential",EXP(IF(AND(ISNUMBER('Council Entry'!AB$8),ISNUMBER('Council Entry'!AB$9)),MAX(MIN('Council Entry'!AB123,'Council Entry'!AB$9),'Council Entry'!AB$8),'Council Entry'!AB123)),IF(AND(ISNUMBER('Council Entry'!AB$8),ISNUMBER('Council Entry'!AB$9)),MAX(MIN('Council Entry'!AB123,'Council Entry'!AB$9),'Council Entry'!AB$8),'Council Entry'!AB123))))-'Council Entry'!AB$5)/('Council Entry'!AB$6-'Council Entry'!AB$5)),1))),"No data"))</f>
        <v/>
      </c>
      <c r="AC123" s="13">
        <f>IF('Council Entry'!AC123="","",IFERROR(MAX(0,MIN(10,ROUND(IF('Council Entry'!AC$7="Decrease Risk",10-10*((IF('Council Entry'!AC$4="Logarithm",LN(0.001+IF(AND(ISNUMBER('Council Entry'!AC$8),ISNUMBER('Council Entry'!AC$9)),MAX(MIN('Council Entry'!AC123,'Council Entry'!AC$9),'Council Entry'!AC$8),'Council Entry'!AC123)),IF('Council Entry'!AC$4="Exponential",EXP(IF(AND(ISNUMBER('Council Entry'!AC$8),ISNUMBER('Council Entry'!AC$9)),MAX(MIN('Council Entry'!AC123,'Council Entry'!AC$9),'Council Entry'!AC$8),'Council Entry'!AC123)),IF(AND(ISNUMBER('Council Entry'!AC$8),ISNUMBER('Council Entry'!AC$9)),MAX(MIN('Council Entry'!AC123,'Council Entry'!AC$9),'Council Entry'!AC$8),'Council Entry'!AC123))))-'Council Entry'!AC$5)/('Council Entry'!AC$6-'Council Entry'!AC$5),10*((IF('Council Entry'!AC$4="Logarithm",LN(0.001+IF(AND(ISNUMBER('Council Entry'!AC$8),ISNUMBER('Council Entry'!AC$9)),MAX(MIN('Council Entry'!AC123,'Council Entry'!AC$9),'Council Entry'!AC$8),'Council Entry'!AC123)),IF('Council Entry'!AC$4="Exponential",EXP(IF(AND(ISNUMBER('Council Entry'!AC$8),ISNUMBER('Council Entry'!AC$9)),MAX(MIN('Council Entry'!AC123,'Council Entry'!AC$9),'Council Entry'!AC$8),'Council Entry'!AC123)),IF(AND(ISNUMBER('Council Entry'!AC$8),ISNUMBER('Council Entry'!AC$9)),MAX(MIN('Council Entry'!AC123,'Council Entry'!AC$9),'Council Entry'!AC$8),'Council Entry'!AC123))))-'Council Entry'!AC$5)/('Council Entry'!AC$6-'Council Entry'!AC$5)),1))),"No data"))</f>
        <v/>
      </c>
      <c r="AD123" s="13">
        <f>IF('Council Entry'!AD123="","",IFERROR(MAX(0,MIN(10,ROUND(IF('Council Entry'!AD$7="Decrease Risk",10-10*((IF('Council Entry'!AD$4="Logarithm",LN(0.001+IF(AND(ISNUMBER('Council Entry'!AD$8),ISNUMBER('Council Entry'!AD$9)),MAX(MIN('Council Entry'!AD123,'Council Entry'!AD$9),'Council Entry'!AD$8),'Council Entry'!AD123)),IF('Council Entry'!AD$4="Exponential",EXP(IF(AND(ISNUMBER('Council Entry'!AD$8),ISNUMBER('Council Entry'!AD$9)),MAX(MIN('Council Entry'!AD123,'Council Entry'!AD$9),'Council Entry'!AD$8),'Council Entry'!AD123)),IF(AND(ISNUMBER('Council Entry'!AD$8),ISNUMBER('Council Entry'!AD$9)),MAX(MIN('Council Entry'!AD123,'Council Entry'!AD$9),'Council Entry'!AD$8),'Council Entry'!AD123))))-'Council Entry'!AD$5)/('Council Entry'!AD$6-'Council Entry'!AD$5),10*((IF('Council Entry'!AD$4="Logarithm",LN(0.001+IF(AND(ISNUMBER('Council Entry'!AD$8),ISNUMBER('Council Entry'!AD$9)),MAX(MIN('Council Entry'!AD123,'Council Entry'!AD$9),'Council Entry'!AD$8),'Council Entry'!AD123)),IF('Council Entry'!AD$4="Exponential",EXP(IF(AND(ISNUMBER('Council Entry'!AD$8),ISNUMBER('Council Entry'!AD$9)),MAX(MIN('Council Entry'!AD123,'Council Entry'!AD$9),'Council Entry'!AD$8),'Council Entry'!AD123)),IF(AND(ISNUMBER('Council Entry'!AD$8),ISNUMBER('Council Entry'!AD$9)),MAX(MIN('Council Entry'!AD123,'Council Entry'!AD$9),'Council Entry'!AD$8),'Council Entry'!AD123))))-'Council Entry'!AD$5)/('Council Entry'!AD$6-'Council Entry'!AD$5)),1))),"No data"))</f>
        <v/>
      </c>
      <c r="AE123" s="13">
        <f>IF('Council Entry'!AE123="","",IFERROR(MAX(0,MIN(10,ROUND(IF('Council Entry'!AE$7="Decrease Risk",10-10*((IF('Council Entry'!AE$4="Logarithm",LN(0.001+IF(AND(ISNUMBER('Council Entry'!AE$8),ISNUMBER('Council Entry'!AE$9)),MAX(MIN('Council Entry'!AE123,'Council Entry'!AE$9),'Council Entry'!AE$8),'Council Entry'!AE123)),IF('Council Entry'!AE$4="Exponential",EXP(IF(AND(ISNUMBER('Council Entry'!AE$8),ISNUMBER('Council Entry'!AE$9)),MAX(MIN('Council Entry'!AE123,'Council Entry'!AE$9),'Council Entry'!AE$8),'Council Entry'!AE123)),IF(AND(ISNUMBER('Council Entry'!AE$8),ISNUMBER('Council Entry'!AE$9)),MAX(MIN('Council Entry'!AE123,'Council Entry'!AE$9),'Council Entry'!AE$8),'Council Entry'!AE123))))-'Council Entry'!AE$5)/('Council Entry'!AE$6-'Council Entry'!AE$5),10*((IF('Council Entry'!AE$4="Logarithm",LN(0.001+IF(AND(ISNUMBER('Council Entry'!AE$8),ISNUMBER('Council Entry'!AE$9)),MAX(MIN('Council Entry'!AE123,'Council Entry'!AE$9),'Council Entry'!AE$8),'Council Entry'!AE123)),IF('Council Entry'!AE$4="Exponential",EXP(IF(AND(ISNUMBER('Council Entry'!AE$8),ISNUMBER('Council Entry'!AE$9)),MAX(MIN('Council Entry'!AE123,'Council Entry'!AE$9),'Council Entry'!AE$8),'Council Entry'!AE123)),IF(AND(ISNUMBER('Council Entry'!AE$8),ISNUMBER('Council Entry'!AE$9)),MAX(MIN('Council Entry'!AE123,'Council Entry'!AE$9),'Council Entry'!AE$8),'Council Entry'!AE123))))-'Council Entry'!AE$5)/('Council Entry'!AE$6-'Council Entry'!AE$5)),1))),"No data"))</f>
        <v/>
      </c>
      <c r="AF123" s="13">
        <f>IF('Council Entry'!AF123="","",IFERROR(MAX(0,MIN(10,ROUND(IF('Council Entry'!AF$7="Decrease Risk",10-10*((IF('Council Entry'!AF$4="Logarithm",LN(0.001+IF(AND(ISNUMBER('Council Entry'!AF$8),ISNUMBER('Council Entry'!AF$9)),MAX(MIN('Council Entry'!AF123,'Council Entry'!AF$9),'Council Entry'!AF$8),'Council Entry'!AF123)),IF('Council Entry'!AF$4="Exponential",EXP(IF(AND(ISNUMBER('Council Entry'!AF$8),ISNUMBER('Council Entry'!AF$9)),MAX(MIN('Council Entry'!AF123,'Council Entry'!AF$9),'Council Entry'!AF$8),'Council Entry'!AF123)),IF(AND(ISNUMBER('Council Entry'!AF$8),ISNUMBER('Council Entry'!AF$9)),MAX(MIN('Council Entry'!AF123,'Council Entry'!AF$9),'Council Entry'!AF$8),'Council Entry'!AF123))))-'Council Entry'!AF$5)/('Council Entry'!AF$6-'Council Entry'!AF$5),10*((IF('Council Entry'!AF$4="Logarithm",LN(0.001+IF(AND(ISNUMBER('Council Entry'!AF$8),ISNUMBER('Council Entry'!AF$9)),MAX(MIN('Council Entry'!AF123,'Council Entry'!AF$9),'Council Entry'!AF$8),'Council Entry'!AF123)),IF('Council Entry'!AF$4="Exponential",EXP(IF(AND(ISNUMBER('Council Entry'!AF$8),ISNUMBER('Council Entry'!AF$9)),MAX(MIN('Council Entry'!AF123,'Council Entry'!AF$9),'Council Entry'!AF$8),'Council Entry'!AF123)),IF(AND(ISNUMBER('Council Entry'!AF$8),ISNUMBER('Council Entry'!AF$9)),MAX(MIN('Council Entry'!AF123,'Council Entry'!AF$9),'Council Entry'!AF$8),'Council Entry'!AF123))))-'Council Entry'!AF$5)/('Council Entry'!AF$6-'Council Entry'!AF$5)),1))),"No data"))</f>
        <v/>
      </c>
      <c r="AG123" s="13">
        <f>IF('Council Entry'!AG123="","",IFERROR(MAX(0,MIN(10,ROUND(IF('Council Entry'!AG$7="Decrease Risk",10-10*((IF('Council Entry'!AG$4="Logarithm",LN(0.001+IF(AND(ISNUMBER('Council Entry'!AG$8),ISNUMBER('Council Entry'!AG$9)),MAX(MIN('Council Entry'!AG123,'Council Entry'!AG$9),'Council Entry'!AG$8),'Council Entry'!AG123)),IF('Council Entry'!AG$4="Exponential",EXP(IF(AND(ISNUMBER('Council Entry'!AG$8),ISNUMBER('Council Entry'!AG$9)),MAX(MIN('Council Entry'!AG123,'Council Entry'!AG$9),'Council Entry'!AG$8),'Council Entry'!AG123)),IF(AND(ISNUMBER('Council Entry'!AG$8),ISNUMBER('Council Entry'!AG$9)),MAX(MIN('Council Entry'!AG123,'Council Entry'!AG$9),'Council Entry'!AG$8),'Council Entry'!AG123))))-'Council Entry'!AG$5)/('Council Entry'!AG$6-'Council Entry'!AG$5),10*((IF('Council Entry'!AG$4="Logarithm",LN(0.001+IF(AND(ISNUMBER('Council Entry'!AG$8),ISNUMBER('Council Entry'!AG$9)),MAX(MIN('Council Entry'!AG123,'Council Entry'!AG$9),'Council Entry'!AG$8),'Council Entry'!AG123)),IF('Council Entry'!AG$4="Exponential",EXP(IF(AND(ISNUMBER('Council Entry'!AG$8),ISNUMBER('Council Entry'!AG$9)),MAX(MIN('Council Entry'!AG123,'Council Entry'!AG$9),'Council Entry'!AG$8),'Council Entry'!AG123)),IF(AND(ISNUMBER('Council Entry'!AG$8),ISNUMBER('Council Entry'!AG$9)),MAX(MIN('Council Entry'!AG123,'Council Entry'!AG$9),'Council Entry'!AG$8),'Council Entry'!AG123))))-'Council Entry'!AG$5)/('Council Entry'!AG$6-'Council Entry'!AG$5)),1))),"No data"))</f>
        <v/>
      </c>
      <c r="AH123" s="13">
        <f>IF('Council Entry'!AH123="","",IFERROR(MAX(0,MIN(10,ROUND(IF('Council Entry'!AH$7="Decrease Risk",10-10*((IF('Council Entry'!AH$4="Logarithm",LN(0.001+IF(AND(ISNUMBER('Council Entry'!AH$8),ISNUMBER('Council Entry'!AH$9)),MAX(MIN('Council Entry'!AH123,'Council Entry'!AH$9),'Council Entry'!AH$8),'Council Entry'!AH123)),IF('Council Entry'!AH$4="Exponential",EXP(IF(AND(ISNUMBER('Council Entry'!AH$8),ISNUMBER('Council Entry'!AH$9)),MAX(MIN('Council Entry'!AH123,'Council Entry'!AH$9),'Council Entry'!AH$8),'Council Entry'!AH123)),IF(AND(ISNUMBER('Council Entry'!AH$8),ISNUMBER('Council Entry'!AH$9)),MAX(MIN('Council Entry'!AH123,'Council Entry'!AH$9),'Council Entry'!AH$8),'Council Entry'!AH123))))-'Council Entry'!AH$5)/('Council Entry'!AH$6-'Council Entry'!AH$5),10*((IF('Council Entry'!AH$4="Logarithm",LN(0.001+IF(AND(ISNUMBER('Council Entry'!AH$8),ISNUMBER('Council Entry'!AH$9)),MAX(MIN('Council Entry'!AH123,'Council Entry'!AH$9),'Council Entry'!AH$8),'Council Entry'!AH123)),IF('Council Entry'!AH$4="Exponential",EXP(IF(AND(ISNUMBER('Council Entry'!AH$8),ISNUMBER('Council Entry'!AH$9)),MAX(MIN('Council Entry'!AH123,'Council Entry'!AH$9),'Council Entry'!AH$8),'Council Entry'!AH123)),IF(AND(ISNUMBER('Council Entry'!AH$8),ISNUMBER('Council Entry'!AH$9)),MAX(MIN('Council Entry'!AH123,'Council Entry'!AH$9),'Council Entry'!AH$8),'Council Entry'!AH123))))-'Council Entry'!AH$5)/('Council Entry'!AH$6-'Council Entry'!AH$5)),1))),"No data"))</f>
        <v/>
      </c>
      <c r="AI123" s="13">
        <f>IF('Council Entry'!AI123="","",IFERROR(MAX(0,MIN(10,ROUND(IF('Council Entry'!AI$7="Decrease Risk",10-10*((IF('Council Entry'!AI$4="Logarithm",LN(0.001+IF(AND(ISNUMBER('Council Entry'!AI$8),ISNUMBER('Council Entry'!AI$9)),MAX(MIN('Council Entry'!AI123,'Council Entry'!AI$9),'Council Entry'!AI$8),'Council Entry'!AI123)),IF('Council Entry'!AI$4="Exponential",EXP(IF(AND(ISNUMBER('Council Entry'!AI$8),ISNUMBER('Council Entry'!AI$9)),MAX(MIN('Council Entry'!AI123,'Council Entry'!AI$9),'Council Entry'!AI$8),'Council Entry'!AI123)),IF(AND(ISNUMBER('Council Entry'!AI$8),ISNUMBER('Council Entry'!AI$9)),MAX(MIN('Council Entry'!AI123,'Council Entry'!AI$9),'Council Entry'!AI$8),'Council Entry'!AI123))))-'Council Entry'!AI$5)/('Council Entry'!AI$6-'Council Entry'!AI$5),10*((IF('Council Entry'!AI$4="Logarithm",LN(0.001+IF(AND(ISNUMBER('Council Entry'!AI$8),ISNUMBER('Council Entry'!AI$9)),MAX(MIN('Council Entry'!AI123,'Council Entry'!AI$9),'Council Entry'!AI$8),'Council Entry'!AI123)),IF('Council Entry'!AI$4="Exponential",EXP(IF(AND(ISNUMBER('Council Entry'!AI$8),ISNUMBER('Council Entry'!AI$9)),MAX(MIN('Council Entry'!AI123,'Council Entry'!AI$9),'Council Entry'!AI$8),'Council Entry'!AI123)),IF(AND(ISNUMBER('Council Entry'!AI$8),ISNUMBER('Council Entry'!AI$9)),MAX(MIN('Council Entry'!AI123,'Council Entry'!AI$9),'Council Entry'!AI$8),'Council Entry'!AI123))))-'Council Entry'!AI$5)/('Council Entry'!AI$6-'Council Entry'!AI$5)),1))),"No data"))</f>
        <v/>
      </c>
      <c r="AJ123" s="13">
        <f>IF('Council Entry'!AJ123="","",IFERROR(MAX(0,MIN(10,ROUND(IF('Council Entry'!AJ$7="Decrease Risk",10-10*((IF('Council Entry'!AJ$4="Logarithm",LN(0.001+IF(AND(ISNUMBER('Council Entry'!AJ$8),ISNUMBER('Council Entry'!AJ$9)),MAX(MIN('Council Entry'!AJ123,'Council Entry'!AJ$9),'Council Entry'!AJ$8),'Council Entry'!AJ123)),IF('Council Entry'!AJ$4="Exponential",EXP(IF(AND(ISNUMBER('Council Entry'!AJ$8),ISNUMBER('Council Entry'!AJ$9)),MAX(MIN('Council Entry'!AJ123,'Council Entry'!AJ$9),'Council Entry'!AJ$8),'Council Entry'!AJ123)),IF(AND(ISNUMBER('Council Entry'!AJ$8),ISNUMBER('Council Entry'!AJ$9)),MAX(MIN('Council Entry'!AJ123,'Council Entry'!AJ$9),'Council Entry'!AJ$8),'Council Entry'!AJ123))))-'Council Entry'!AJ$5)/('Council Entry'!AJ$6-'Council Entry'!AJ$5),10*((IF('Council Entry'!AJ$4="Logarithm",LN(0.001+IF(AND(ISNUMBER('Council Entry'!AJ$8),ISNUMBER('Council Entry'!AJ$9)),MAX(MIN('Council Entry'!AJ123,'Council Entry'!AJ$9),'Council Entry'!AJ$8),'Council Entry'!AJ123)),IF('Council Entry'!AJ$4="Exponential",EXP(IF(AND(ISNUMBER('Council Entry'!AJ$8),ISNUMBER('Council Entry'!AJ$9)),MAX(MIN('Council Entry'!AJ123,'Council Entry'!AJ$9),'Council Entry'!AJ$8),'Council Entry'!AJ123)),IF(AND(ISNUMBER('Council Entry'!AJ$8),ISNUMBER('Council Entry'!AJ$9)),MAX(MIN('Council Entry'!AJ123,'Council Entry'!AJ$9),'Council Entry'!AJ$8),'Council Entry'!AJ123))))-'Council Entry'!AJ$5)/('Council Entry'!AJ$6-'Council Entry'!AJ$5)),1))),"No data"))</f>
        <v/>
      </c>
      <c r="AK123" s="13">
        <f>IF('Council Entry'!AK123="","",IFERROR(MAX(0,MIN(10,ROUND(IF('Council Entry'!AK$7="Decrease Risk",10-10*((IF('Council Entry'!AK$4="Logarithm",LN(0.001+IF(AND(ISNUMBER('Council Entry'!AK$8),ISNUMBER('Council Entry'!AK$9)),MAX(MIN('Council Entry'!AK123,'Council Entry'!AK$9),'Council Entry'!AK$8),'Council Entry'!AK123)),IF('Council Entry'!AK$4="Exponential",EXP(IF(AND(ISNUMBER('Council Entry'!AK$8),ISNUMBER('Council Entry'!AK$9)),MAX(MIN('Council Entry'!AK123,'Council Entry'!AK$9),'Council Entry'!AK$8),'Council Entry'!AK123)),IF(AND(ISNUMBER('Council Entry'!AK$8),ISNUMBER('Council Entry'!AK$9)),MAX(MIN('Council Entry'!AK123,'Council Entry'!AK$9),'Council Entry'!AK$8),'Council Entry'!AK123))))-'Council Entry'!AK$5)/('Council Entry'!AK$6-'Council Entry'!AK$5),10*((IF('Council Entry'!AK$4="Logarithm",LN(0.001+IF(AND(ISNUMBER('Council Entry'!AK$8),ISNUMBER('Council Entry'!AK$9)),MAX(MIN('Council Entry'!AK123,'Council Entry'!AK$9),'Council Entry'!AK$8),'Council Entry'!AK123)),IF('Council Entry'!AK$4="Exponential",EXP(IF(AND(ISNUMBER('Council Entry'!AK$8),ISNUMBER('Council Entry'!AK$9)),MAX(MIN('Council Entry'!AK123,'Council Entry'!AK$9),'Council Entry'!AK$8),'Council Entry'!AK123)),IF(AND(ISNUMBER('Council Entry'!AK$8),ISNUMBER('Council Entry'!AK$9)),MAX(MIN('Council Entry'!AK123,'Council Entry'!AK$9),'Council Entry'!AK$8),'Council Entry'!AK123))))-'Council Entry'!AK$5)/('Council Entry'!AK$6-'Council Entry'!AK$5)),1))),"No data"))</f>
        <v/>
      </c>
      <c r="AL123" s="13">
        <f>IF('Council Entry'!AL123="","",IFERROR(MAX(0,MIN(10,ROUND(IF('Council Entry'!AL$7="Decrease Risk",10-10*((IF('Council Entry'!AL$4="Logarithm",LN(0.001+IF(AND(ISNUMBER('Council Entry'!AL$8),ISNUMBER('Council Entry'!AL$9)),MAX(MIN('Council Entry'!AL123,'Council Entry'!AL$9),'Council Entry'!AL$8),'Council Entry'!AL123)),IF('Council Entry'!AL$4="Exponential",EXP(IF(AND(ISNUMBER('Council Entry'!AL$8),ISNUMBER('Council Entry'!AL$9)),MAX(MIN('Council Entry'!AL123,'Council Entry'!AL$9),'Council Entry'!AL$8),'Council Entry'!AL123)),IF(AND(ISNUMBER('Council Entry'!AL$8),ISNUMBER('Council Entry'!AL$9)),MAX(MIN('Council Entry'!AL123,'Council Entry'!AL$9),'Council Entry'!AL$8),'Council Entry'!AL123))))-'Council Entry'!AL$5)/('Council Entry'!AL$6-'Council Entry'!AL$5),10*((IF('Council Entry'!AL$4="Logarithm",LN(0.001+IF(AND(ISNUMBER('Council Entry'!AL$8),ISNUMBER('Council Entry'!AL$9)),MAX(MIN('Council Entry'!AL123,'Council Entry'!AL$9),'Council Entry'!AL$8),'Council Entry'!AL123)),IF('Council Entry'!AL$4="Exponential",EXP(IF(AND(ISNUMBER('Council Entry'!AL$8),ISNUMBER('Council Entry'!AL$9)),MAX(MIN('Council Entry'!AL123,'Council Entry'!AL$9),'Council Entry'!AL$8),'Council Entry'!AL123)),IF(AND(ISNUMBER('Council Entry'!AL$8),ISNUMBER('Council Entry'!AL$9)),MAX(MIN('Council Entry'!AL123,'Council Entry'!AL$9),'Council Entry'!AL$8),'Council Entry'!AL123))))-'Council Entry'!AL$5)/('Council Entry'!AL$6-'Council Entry'!AL$5)),1))),"No data"))</f>
        <v/>
      </c>
      <c r="AM123" s="13">
        <f>IF('Council Entry'!AM123="","",IFERROR(MAX(0,MIN(10,ROUND(IF('Council Entry'!AM$7="Decrease Risk",10-10*((IF('Council Entry'!AM$4="Logarithm",LN(0.001+IF(AND(ISNUMBER('Council Entry'!AM$8),ISNUMBER('Council Entry'!AM$9)),MAX(MIN('Council Entry'!AM123,'Council Entry'!AM$9),'Council Entry'!AM$8),'Council Entry'!AM123)),IF('Council Entry'!AM$4="Exponential",EXP(IF(AND(ISNUMBER('Council Entry'!AM$8),ISNUMBER('Council Entry'!AM$9)),MAX(MIN('Council Entry'!AM123,'Council Entry'!AM$9),'Council Entry'!AM$8),'Council Entry'!AM123)),IF(AND(ISNUMBER('Council Entry'!AM$8),ISNUMBER('Council Entry'!AM$9)),MAX(MIN('Council Entry'!AM123,'Council Entry'!AM$9),'Council Entry'!AM$8),'Council Entry'!AM123))))-'Council Entry'!AM$5)/('Council Entry'!AM$6-'Council Entry'!AM$5),10*((IF('Council Entry'!AM$4="Logarithm",LN(0.001+IF(AND(ISNUMBER('Council Entry'!AM$8),ISNUMBER('Council Entry'!AM$9)),MAX(MIN('Council Entry'!AM123,'Council Entry'!AM$9),'Council Entry'!AM$8),'Council Entry'!AM123)),IF('Council Entry'!AM$4="Exponential",EXP(IF(AND(ISNUMBER('Council Entry'!AM$8),ISNUMBER('Council Entry'!AM$9)),MAX(MIN('Council Entry'!AM123,'Council Entry'!AM$9),'Council Entry'!AM$8),'Council Entry'!AM123)),IF(AND(ISNUMBER('Council Entry'!AM$8),ISNUMBER('Council Entry'!AM$9)),MAX(MIN('Council Entry'!AM123,'Council Entry'!AM$9),'Council Entry'!AM$8),'Council Entry'!AM123))))-'Council Entry'!AM$5)/('Council Entry'!AM$6-'Council Entry'!AM$5)),1))),"No data"))</f>
        <v/>
      </c>
      <c r="AN123" s="13">
        <f>IF('Council Entry'!AN123="","",IFERROR(MAX(0,MIN(10,ROUND(IF('Council Entry'!AN$7="Decrease Risk",10-10*((IF('Council Entry'!AN$4="Logarithm",LN(0.001+IF(AND(ISNUMBER('Council Entry'!AN$8),ISNUMBER('Council Entry'!AN$9)),MAX(MIN('Council Entry'!AN123,'Council Entry'!AN$9),'Council Entry'!AN$8),'Council Entry'!AN123)),IF('Council Entry'!AN$4="Exponential",EXP(IF(AND(ISNUMBER('Council Entry'!AN$8),ISNUMBER('Council Entry'!AN$9)),MAX(MIN('Council Entry'!AN123,'Council Entry'!AN$9),'Council Entry'!AN$8),'Council Entry'!AN123)),IF(AND(ISNUMBER('Council Entry'!AN$8),ISNUMBER('Council Entry'!AN$9)),MAX(MIN('Council Entry'!AN123,'Council Entry'!AN$9),'Council Entry'!AN$8),'Council Entry'!AN123))))-'Council Entry'!AN$5)/('Council Entry'!AN$6-'Council Entry'!AN$5),10*((IF('Council Entry'!AN$4="Logarithm",LN(0.001+IF(AND(ISNUMBER('Council Entry'!AN$8),ISNUMBER('Council Entry'!AN$9)),MAX(MIN('Council Entry'!AN123,'Council Entry'!AN$9),'Council Entry'!AN$8),'Council Entry'!AN123)),IF('Council Entry'!AN$4="Exponential",EXP(IF(AND(ISNUMBER('Council Entry'!AN$8),ISNUMBER('Council Entry'!AN$9)),MAX(MIN('Council Entry'!AN123,'Council Entry'!AN$9),'Council Entry'!AN$8),'Council Entry'!AN123)),IF(AND(ISNUMBER('Council Entry'!AN$8),ISNUMBER('Council Entry'!AN$9)),MAX(MIN('Council Entry'!AN123,'Council Entry'!AN$9),'Council Entry'!AN$8),'Council Entry'!AN123))))-'Council Entry'!AN$5)/('Council Entry'!AN$6-'Council Entry'!AN$5)),1))),"No data"))</f>
        <v/>
      </c>
      <c r="AO123" s="13">
        <f>IF('Council Entry'!AO123="","",IFERROR(MAX(0,MIN(10,ROUND(IF('Council Entry'!AO$7="Decrease Risk",10-10*((IF('Council Entry'!AO$4="Logarithm",LN(0.001+IF(AND(ISNUMBER('Council Entry'!AO$8),ISNUMBER('Council Entry'!AO$9)),MAX(MIN('Council Entry'!AO123,'Council Entry'!AO$9),'Council Entry'!AO$8),'Council Entry'!AO123)),IF('Council Entry'!AO$4="Exponential",EXP(IF(AND(ISNUMBER('Council Entry'!AO$8),ISNUMBER('Council Entry'!AO$9)),MAX(MIN('Council Entry'!AO123,'Council Entry'!AO$9),'Council Entry'!AO$8),'Council Entry'!AO123)),IF(AND(ISNUMBER('Council Entry'!AO$8),ISNUMBER('Council Entry'!AO$9)),MAX(MIN('Council Entry'!AO123,'Council Entry'!AO$9),'Council Entry'!AO$8),'Council Entry'!AO123))))-'Council Entry'!AO$5)/('Council Entry'!AO$6-'Council Entry'!AO$5),10*((IF('Council Entry'!AO$4="Logarithm",LN(0.001+IF(AND(ISNUMBER('Council Entry'!AO$8),ISNUMBER('Council Entry'!AO$9)),MAX(MIN('Council Entry'!AO123,'Council Entry'!AO$9),'Council Entry'!AO$8),'Council Entry'!AO123)),IF('Council Entry'!AO$4="Exponential",EXP(IF(AND(ISNUMBER('Council Entry'!AO$8),ISNUMBER('Council Entry'!AO$9)),MAX(MIN('Council Entry'!AO123,'Council Entry'!AO$9),'Council Entry'!AO$8),'Council Entry'!AO123)),IF(AND(ISNUMBER('Council Entry'!AO$8),ISNUMBER('Council Entry'!AO$9)),MAX(MIN('Council Entry'!AO123,'Council Entry'!AO$9),'Council Entry'!AO$8),'Council Entry'!AO123))))-'Council Entry'!AO$5)/('Council Entry'!AO$6-'Council Entry'!AO$5)),1))),"No data"))</f>
        <v/>
      </c>
      <c r="AP123" s="13">
        <f>IF('Council Entry'!AP123="","",IFERROR(MAX(0,MIN(10,ROUND(IF('Council Entry'!AP$7="Decrease Risk",10-10*((IF('Council Entry'!AP$4="Logarithm",LN(0.001+IF(AND(ISNUMBER('Council Entry'!AP$8),ISNUMBER('Council Entry'!AP$9)),MAX(MIN('Council Entry'!AP123,'Council Entry'!AP$9),'Council Entry'!AP$8),'Council Entry'!AP123)),IF('Council Entry'!AP$4="Exponential",EXP(IF(AND(ISNUMBER('Council Entry'!AP$8),ISNUMBER('Council Entry'!AP$9)),MAX(MIN('Council Entry'!AP123,'Council Entry'!AP$9),'Council Entry'!AP$8),'Council Entry'!AP123)),IF(AND(ISNUMBER('Council Entry'!AP$8),ISNUMBER('Council Entry'!AP$9)),MAX(MIN('Council Entry'!AP123,'Council Entry'!AP$9),'Council Entry'!AP$8),'Council Entry'!AP123))))-'Council Entry'!AP$5)/('Council Entry'!AP$6-'Council Entry'!AP$5),10*((IF('Council Entry'!AP$4="Logarithm",LN(0.001+IF(AND(ISNUMBER('Council Entry'!AP$8),ISNUMBER('Council Entry'!AP$9)),MAX(MIN('Council Entry'!AP123,'Council Entry'!AP$9),'Council Entry'!AP$8),'Council Entry'!AP123)),IF('Council Entry'!AP$4="Exponential",EXP(IF(AND(ISNUMBER('Council Entry'!AP$8),ISNUMBER('Council Entry'!AP$9)),MAX(MIN('Council Entry'!AP123,'Council Entry'!AP$9),'Council Entry'!AP$8),'Council Entry'!AP123)),IF(AND(ISNUMBER('Council Entry'!AP$8),ISNUMBER('Council Entry'!AP$9)),MAX(MIN('Council Entry'!AP123,'Council Entry'!AP$9),'Council Entry'!AP$8),'Council Entry'!AP123))))-'Council Entry'!AP$5)/('Council Entry'!AP$6-'Council Entry'!AP$5)),1))),"No data"))</f>
        <v/>
      </c>
      <c r="AQ123" s="13">
        <f>IF('Council Entry'!AQ123="","",IFERROR(MAX(0,MIN(10,ROUND(IF('Council Entry'!AQ$7="Decrease Risk",10-10*((IF('Council Entry'!AQ$4="Logarithm",LN(0.001+IF(AND(ISNUMBER('Council Entry'!AQ$8),ISNUMBER('Council Entry'!AQ$9)),MAX(MIN('Council Entry'!AQ123,'Council Entry'!AQ$9),'Council Entry'!AQ$8),'Council Entry'!AQ123)),IF('Council Entry'!AQ$4="Exponential",EXP(IF(AND(ISNUMBER('Council Entry'!AQ$8),ISNUMBER('Council Entry'!AQ$9)),MAX(MIN('Council Entry'!AQ123,'Council Entry'!AQ$9),'Council Entry'!AQ$8),'Council Entry'!AQ123)),IF(AND(ISNUMBER('Council Entry'!AQ$8),ISNUMBER('Council Entry'!AQ$9)),MAX(MIN('Council Entry'!AQ123,'Council Entry'!AQ$9),'Council Entry'!AQ$8),'Council Entry'!AQ123))))-'Council Entry'!AQ$5)/('Council Entry'!AQ$6-'Council Entry'!AQ$5),10*((IF('Council Entry'!AQ$4="Logarithm",LN(0.001+IF(AND(ISNUMBER('Council Entry'!AQ$8),ISNUMBER('Council Entry'!AQ$9)),MAX(MIN('Council Entry'!AQ123,'Council Entry'!AQ$9),'Council Entry'!AQ$8),'Council Entry'!AQ123)),IF('Council Entry'!AQ$4="Exponential",EXP(IF(AND(ISNUMBER('Council Entry'!AQ$8),ISNUMBER('Council Entry'!AQ$9)),MAX(MIN('Council Entry'!AQ123,'Council Entry'!AQ$9),'Council Entry'!AQ$8),'Council Entry'!AQ123)),IF(AND(ISNUMBER('Council Entry'!AQ$8),ISNUMBER('Council Entry'!AQ$9)),MAX(MIN('Council Entry'!AQ123,'Council Entry'!AQ$9),'Council Entry'!AQ$8),'Council Entry'!AQ123))))-'Council Entry'!AQ$5)/('Council Entry'!AQ$6-'Council Entry'!AQ$5)),1))),"No data"))</f>
        <v/>
      </c>
      <c r="AR123" s="13">
        <f>IF('Council Entry'!AR123="","",IFERROR(MAX(0,MIN(10,ROUND(IF('Council Entry'!AR$7="Decrease Risk",10-10*((IF('Council Entry'!AR$4="Logarithm",LN(0.001+IF(AND(ISNUMBER('Council Entry'!AR$8),ISNUMBER('Council Entry'!AR$9)),MAX(MIN('Council Entry'!AR123,'Council Entry'!AR$9),'Council Entry'!AR$8),'Council Entry'!AR123)),IF('Council Entry'!AR$4="Exponential",EXP(IF(AND(ISNUMBER('Council Entry'!AR$8),ISNUMBER('Council Entry'!AR$9)),MAX(MIN('Council Entry'!AR123,'Council Entry'!AR$9),'Council Entry'!AR$8),'Council Entry'!AR123)),IF(AND(ISNUMBER('Council Entry'!AR$8),ISNUMBER('Council Entry'!AR$9)),MAX(MIN('Council Entry'!AR123,'Council Entry'!AR$9),'Council Entry'!AR$8),'Council Entry'!AR123))))-'Council Entry'!AR$5)/('Council Entry'!AR$6-'Council Entry'!AR$5),10*((IF('Council Entry'!AR$4="Logarithm",LN(0.001+IF(AND(ISNUMBER('Council Entry'!AR$8),ISNUMBER('Council Entry'!AR$9)),MAX(MIN('Council Entry'!AR123,'Council Entry'!AR$9),'Council Entry'!AR$8),'Council Entry'!AR123)),IF('Council Entry'!AR$4="Exponential",EXP(IF(AND(ISNUMBER('Council Entry'!AR$8),ISNUMBER('Council Entry'!AR$9)),MAX(MIN('Council Entry'!AR123,'Council Entry'!AR$9),'Council Entry'!AR$8),'Council Entry'!AR123)),IF(AND(ISNUMBER('Council Entry'!AR$8),ISNUMBER('Council Entry'!AR$9)),MAX(MIN('Council Entry'!AR123,'Council Entry'!AR$9),'Council Entry'!AR$8),'Council Entry'!AR123))))-'Council Entry'!AR$5)/('Council Entry'!AR$6-'Council Entry'!AR$5)),1))),"No data"))</f>
        <v/>
      </c>
      <c r="AS123" s="13">
        <f>IF('Council Entry'!AS123="","",IFERROR(MAX(0,MIN(10,ROUND(IF('Council Entry'!AS$7="Decrease Risk",10-10*((IF('Council Entry'!AS$4="Logarithm",LN(0.001+IF(AND(ISNUMBER('Council Entry'!AS$8),ISNUMBER('Council Entry'!AS$9)),MAX(MIN('Council Entry'!AS123,'Council Entry'!AS$9),'Council Entry'!AS$8),'Council Entry'!AS123)),IF('Council Entry'!AS$4="Exponential",EXP(IF(AND(ISNUMBER('Council Entry'!AS$8),ISNUMBER('Council Entry'!AS$9)),MAX(MIN('Council Entry'!AS123,'Council Entry'!AS$9),'Council Entry'!AS$8),'Council Entry'!AS123)),IF(AND(ISNUMBER('Council Entry'!AS$8),ISNUMBER('Council Entry'!AS$9)),MAX(MIN('Council Entry'!AS123,'Council Entry'!AS$9),'Council Entry'!AS$8),'Council Entry'!AS123))))-'Council Entry'!AS$5)/('Council Entry'!AS$6-'Council Entry'!AS$5),10*((IF('Council Entry'!AS$4="Logarithm",LN(0.001+IF(AND(ISNUMBER('Council Entry'!AS$8),ISNUMBER('Council Entry'!AS$9)),MAX(MIN('Council Entry'!AS123,'Council Entry'!AS$9),'Council Entry'!AS$8),'Council Entry'!AS123)),IF('Council Entry'!AS$4="Exponential",EXP(IF(AND(ISNUMBER('Council Entry'!AS$8),ISNUMBER('Council Entry'!AS$9)),MAX(MIN('Council Entry'!AS123,'Council Entry'!AS$9),'Council Entry'!AS$8),'Council Entry'!AS123)),IF(AND(ISNUMBER('Council Entry'!AS$8),ISNUMBER('Council Entry'!AS$9)),MAX(MIN('Council Entry'!AS123,'Council Entry'!AS$9),'Council Entry'!AS$8),'Council Entry'!AS123))))-'Council Entry'!AS$5)/('Council Entry'!AS$6-'Council Entry'!AS$5)),1))),"No data"))</f>
        <v/>
      </c>
      <c r="AT123" s="13">
        <f>IF('Council Entry'!AT123="","",IFERROR(MAX(0,MIN(10,ROUND(IF('Council Entry'!AT$7="Decrease Risk",10-10*((IF('Council Entry'!AT$4="Logarithm",LN(0.001+IF(AND(ISNUMBER('Council Entry'!AT$8),ISNUMBER('Council Entry'!AT$9)),MAX(MIN('Council Entry'!AT123,'Council Entry'!AT$9),'Council Entry'!AT$8),'Council Entry'!AT123)),IF('Council Entry'!AT$4="Exponential",EXP(IF(AND(ISNUMBER('Council Entry'!AT$8),ISNUMBER('Council Entry'!AT$9)),MAX(MIN('Council Entry'!AT123,'Council Entry'!AT$9),'Council Entry'!AT$8),'Council Entry'!AT123)),IF(AND(ISNUMBER('Council Entry'!AT$8),ISNUMBER('Council Entry'!AT$9)),MAX(MIN('Council Entry'!AT123,'Council Entry'!AT$9),'Council Entry'!AT$8),'Council Entry'!AT123))))-'Council Entry'!AT$5)/('Council Entry'!AT$6-'Council Entry'!AT$5),10*((IF('Council Entry'!AT$4="Logarithm",LN(0.001+IF(AND(ISNUMBER('Council Entry'!AT$8),ISNUMBER('Council Entry'!AT$9)),MAX(MIN('Council Entry'!AT123,'Council Entry'!AT$9),'Council Entry'!AT$8),'Council Entry'!AT123)),IF('Council Entry'!AT$4="Exponential",EXP(IF(AND(ISNUMBER('Council Entry'!AT$8),ISNUMBER('Council Entry'!AT$9)),MAX(MIN('Council Entry'!AT123,'Council Entry'!AT$9),'Council Entry'!AT$8),'Council Entry'!AT123)),IF(AND(ISNUMBER('Council Entry'!AT$8),ISNUMBER('Council Entry'!AT$9)),MAX(MIN('Council Entry'!AT123,'Council Entry'!AT$9),'Council Entry'!AT$8),'Council Entry'!AT123))))-'Council Entry'!AT$5)/('Council Entry'!AT$6-'Council Entry'!AT$5)),1))),"No data"))</f>
        <v/>
      </c>
      <c r="AU123" s="13">
        <f>IF('Council Entry'!AU123="","",IFERROR(MAX(0,MIN(10,ROUND(IF('Council Entry'!AU$7="Decrease Risk",10-10*((IF('Council Entry'!AU$4="Logarithm",LN(0.001+IF(AND(ISNUMBER('Council Entry'!AU$8),ISNUMBER('Council Entry'!AU$9)),MAX(MIN('Council Entry'!AU123,'Council Entry'!AU$9),'Council Entry'!AU$8),'Council Entry'!AU123)),IF('Council Entry'!AU$4="Exponential",EXP(IF(AND(ISNUMBER('Council Entry'!AU$8),ISNUMBER('Council Entry'!AU$9)),MAX(MIN('Council Entry'!AU123,'Council Entry'!AU$9),'Council Entry'!AU$8),'Council Entry'!AU123)),IF(AND(ISNUMBER('Council Entry'!AU$8),ISNUMBER('Council Entry'!AU$9)),MAX(MIN('Council Entry'!AU123,'Council Entry'!AU$9),'Council Entry'!AU$8),'Council Entry'!AU123))))-'Council Entry'!AU$5)/('Council Entry'!AU$6-'Council Entry'!AU$5),10*((IF('Council Entry'!AU$4="Logarithm",LN(0.001+IF(AND(ISNUMBER('Council Entry'!AU$8),ISNUMBER('Council Entry'!AU$9)),MAX(MIN('Council Entry'!AU123,'Council Entry'!AU$9),'Council Entry'!AU$8),'Council Entry'!AU123)),IF('Council Entry'!AU$4="Exponential",EXP(IF(AND(ISNUMBER('Council Entry'!AU$8),ISNUMBER('Council Entry'!AU$9)),MAX(MIN('Council Entry'!AU123,'Council Entry'!AU$9),'Council Entry'!AU$8),'Council Entry'!AU123)),IF(AND(ISNUMBER('Council Entry'!AU$8),ISNUMBER('Council Entry'!AU$9)),MAX(MIN('Council Entry'!AU123,'Council Entry'!AU$9),'Council Entry'!AU$8),'Council Entry'!AU123))))-'Council Entry'!AU$5)/('Council Entry'!AU$6-'Council Entry'!AU$5)),1))),"No data"))</f>
        <v/>
      </c>
      <c r="AV123" s="13">
        <f>IF('Council Entry'!AV123="","",IFERROR(MAX(0,MIN(10,ROUND(IF('Council Entry'!AV$7="Decrease Risk",10-10*((IF('Council Entry'!AV$4="Logarithm",LN(0.001+IF(AND(ISNUMBER('Council Entry'!AV$8),ISNUMBER('Council Entry'!AV$9)),MAX(MIN('Council Entry'!AV123,'Council Entry'!AV$9),'Council Entry'!AV$8),'Council Entry'!AV123)),IF('Council Entry'!AV$4="Exponential",EXP(IF(AND(ISNUMBER('Council Entry'!AV$8),ISNUMBER('Council Entry'!AV$9)),MAX(MIN('Council Entry'!AV123,'Council Entry'!AV$9),'Council Entry'!AV$8),'Council Entry'!AV123)),IF(AND(ISNUMBER('Council Entry'!AV$8),ISNUMBER('Council Entry'!AV$9)),MAX(MIN('Council Entry'!AV123,'Council Entry'!AV$9),'Council Entry'!AV$8),'Council Entry'!AV123))))-'Council Entry'!AV$5)/('Council Entry'!AV$6-'Council Entry'!AV$5),10*((IF('Council Entry'!AV$4="Logarithm",LN(0.001+IF(AND(ISNUMBER('Council Entry'!AV$8),ISNUMBER('Council Entry'!AV$9)),MAX(MIN('Council Entry'!AV123,'Council Entry'!AV$9),'Council Entry'!AV$8),'Council Entry'!AV123)),IF('Council Entry'!AV$4="Exponential",EXP(IF(AND(ISNUMBER('Council Entry'!AV$8),ISNUMBER('Council Entry'!AV$9)),MAX(MIN('Council Entry'!AV123,'Council Entry'!AV$9),'Council Entry'!AV$8),'Council Entry'!AV123)),IF(AND(ISNUMBER('Council Entry'!AV$8),ISNUMBER('Council Entry'!AV$9)),MAX(MIN('Council Entry'!AV123,'Council Entry'!AV$9),'Council Entry'!AV$8),'Council Entry'!AV123))))-'Council Entry'!AV$5)/('Council Entry'!AV$6-'Council Entry'!AV$5)),1))),"No data"))</f>
        <v/>
      </c>
      <c r="AW123" s="13">
        <f>IF('Council Entry'!AW123="","",IFERROR(MAX(0,MIN(10,ROUND(IF('Council Entry'!AW$7="Decrease Risk",10-10*((IF('Council Entry'!AW$4="Logarithm",LN(0.001+IF(AND(ISNUMBER('Council Entry'!AW$8),ISNUMBER('Council Entry'!AW$9)),MAX(MIN('Council Entry'!AW123,'Council Entry'!AW$9),'Council Entry'!AW$8),'Council Entry'!AW123)),IF('Council Entry'!AW$4="Exponential",EXP(IF(AND(ISNUMBER('Council Entry'!AW$8),ISNUMBER('Council Entry'!AW$9)),MAX(MIN('Council Entry'!AW123,'Council Entry'!AW$9),'Council Entry'!AW$8),'Council Entry'!AW123)),IF(AND(ISNUMBER('Council Entry'!AW$8),ISNUMBER('Council Entry'!AW$9)),MAX(MIN('Council Entry'!AW123,'Council Entry'!AW$9),'Council Entry'!AW$8),'Council Entry'!AW123))))-'Council Entry'!AW$5)/('Council Entry'!AW$6-'Council Entry'!AW$5),10*((IF('Council Entry'!AW$4="Logarithm",LN(0.001+IF(AND(ISNUMBER('Council Entry'!AW$8),ISNUMBER('Council Entry'!AW$9)),MAX(MIN('Council Entry'!AW123,'Council Entry'!AW$9),'Council Entry'!AW$8),'Council Entry'!AW123)),IF('Council Entry'!AW$4="Exponential",EXP(IF(AND(ISNUMBER('Council Entry'!AW$8),ISNUMBER('Council Entry'!AW$9)),MAX(MIN('Council Entry'!AW123,'Council Entry'!AW$9),'Council Entry'!AW$8),'Council Entry'!AW123)),IF(AND(ISNUMBER('Council Entry'!AW$8),ISNUMBER('Council Entry'!AW$9)),MAX(MIN('Council Entry'!AW123,'Council Entry'!AW$9),'Council Entry'!AW$8),'Council Entry'!AW123))))-'Council Entry'!AW$5)/('Council Entry'!AW$6-'Council Entry'!AW$5)),1))),"No data"))</f>
        <v/>
      </c>
      <c r="AX123" s="13">
        <f>IF('Council Entry'!AX123="","",IFERROR(MAX(0,MIN(10,ROUND(IF('Council Entry'!AX$7="Decrease Risk",10-10*((IF('Council Entry'!AX$4="Logarithm",LN(0.001+IF(AND(ISNUMBER('Council Entry'!AX$8),ISNUMBER('Council Entry'!AX$9)),MAX(MIN('Council Entry'!AX123,'Council Entry'!AX$9),'Council Entry'!AX$8),'Council Entry'!AX123)),IF('Council Entry'!AX$4="Exponential",EXP(IF(AND(ISNUMBER('Council Entry'!AX$8),ISNUMBER('Council Entry'!AX$9)),MAX(MIN('Council Entry'!AX123,'Council Entry'!AX$9),'Council Entry'!AX$8),'Council Entry'!AX123)),IF(AND(ISNUMBER('Council Entry'!AX$8),ISNUMBER('Council Entry'!AX$9)),MAX(MIN('Council Entry'!AX123,'Council Entry'!AX$9),'Council Entry'!AX$8),'Council Entry'!AX123))))-'Council Entry'!AX$5)/('Council Entry'!AX$6-'Council Entry'!AX$5),10*((IF('Council Entry'!AX$4="Logarithm",LN(0.001+IF(AND(ISNUMBER('Council Entry'!AX$8),ISNUMBER('Council Entry'!AX$9)),MAX(MIN('Council Entry'!AX123,'Council Entry'!AX$9),'Council Entry'!AX$8),'Council Entry'!AX123)),IF('Council Entry'!AX$4="Exponential",EXP(IF(AND(ISNUMBER('Council Entry'!AX$8),ISNUMBER('Council Entry'!AX$9)),MAX(MIN('Council Entry'!AX123,'Council Entry'!AX$9),'Council Entry'!AX$8),'Council Entry'!AX123)),IF(AND(ISNUMBER('Council Entry'!AX$8),ISNUMBER('Council Entry'!AX$9)),MAX(MIN('Council Entry'!AX123,'Council Entry'!AX$9),'Council Entry'!AX$8),'Council Entry'!AX123))))-'Council Entry'!AX$5)/('Council Entry'!AX$6-'Council Entry'!AX$5)),1))),"No data"))</f>
        <v/>
      </c>
      <c r="AY123" s="13">
        <f>IF('Council Entry'!AY123="","",IFERROR(MAX(0,MIN(10,ROUND(IF('Council Entry'!AY$7="Decrease Risk",10-10*((IF('Council Entry'!AY$4="Logarithm",LN(0.001+IF(AND(ISNUMBER('Council Entry'!AY$8),ISNUMBER('Council Entry'!AY$9)),MAX(MIN('Council Entry'!AY123,'Council Entry'!AY$9),'Council Entry'!AY$8),'Council Entry'!AY123)),IF('Council Entry'!AY$4="Exponential",EXP(IF(AND(ISNUMBER('Council Entry'!AY$8),ISNUMBER('Council Entry'!AY$9)),MAX(MIN('Council Entry'!AY123,'Council Entry'!AY$9),'Council Entry'!AY$8),'Council Entry'!AY123)),IF(AND(ISNUMBER('Council Entry'!AY$8),ISNUMBER('Council Entry'!AY$9)),MAX(MIN('Council Entry'!AY123,'Council Entry'!AY$9),'Council Entry'!AY$8),'Council Entry'!AY123))))-'Council Entry'!AY$5)/('Council Entry'!AY$6-'Council Entry'!AY$5),10*((IF('Council Entry'!AY$4="Logarithm",LN(0.001+IF(AND(ISNUMBER('Council Entry'!AY$8),ISNUMBER('Council Entry'!AY$9)),MAX(MIN('Council Entry'!AY123,'Council Entry'!AY$9),'Council Entry'!AY$8),'Council Entry'!AY123)),IF('Council Entry'!AY$4="Exponential",EXP(IF(AND(ISNUMBER('Council Entry'!AY$8),ISNUMBER('Council Entry'!AY$9)),MAX(MIN('Council Entry'!AY123,'Council Entry'!AY$9),'Council Entry'!AY$8),'Council Entry'!AY123)),IF(AND(ISNUMBER('Council Entry'!AY$8),ISNUMBER('Council Entry'!AY$9)),MAX(MIN('Council Entry'!AY123,'Council Entry'!AY$9),'Council Entry'!AY$8),'Council Entry'!AY123))))-'Council Entry'!AY$5)/('Council Entry'!AY$6-'Council Entry'!AY$5)),1))),"No data"))</f>
        <v/>
      </c>
      <c r="AZ123" s="13">
        <f>IF('Council Entry'!AZ123="","",IFERROR(MAX(0,MIN(10,ROUND(IF('Council Entry'!AZ$7="Decrease Risk",10-10*((IF('Council Entry'!AZ$4="Logarithm",LN(0.001+IF(AND(ISNUMBER('Council Entry'!AZ$8),ISNUMBER('Council Entry'!AZ$9)),MAX(MIN('Council Entry'!AZ123,'Council Entry'!AZ$9),'Council Entry'!AZ$8),'Council Entry'!AZ123)),IF('Council Entry'!AZ$4="Exponential",EXP(IF(AND(ISNUMBER('Council Entry'!AZ$8),ISNUMBER('Council Entry'!AZ$9)),MAX(MIN('Council Entry'!AZ123,'Council Entry'!AZ$9),'Council Entry'!AZ$8),'Council Entry'!AZ123)),IF(AND(ISNUMBER('Council Entry'!AZ$8),ISNUMBER('Council Entry'!AZ$9)),MAX(MIN('Council Entry'!AZ123,'Council Entry'!AZ$9),'Council Entry'!AZ$8),'Council Entry'!AZ123))))-'Council Entry'!AZ$5)/('Council Entry'!AZ$6-'Council Entry'!AZ$5),10*((IF('Council Entry'!AZ$4="Logarithm",LN(0.001+IF(AND(ISNUMBER('Council Entry'!AZ$8),ISNUMBER('Council Entry'!AZ$9)),MAX(MIN('Council Entry'!AZ123,'Council Entry'!AZ$9),'Council Entry'!AZ$8),'Council Entry'!AZ123)),IF('Council Entry'!AZ$4="Exponential",EXP(IF(AND(ISNUMBER('Council Entry'!AZ$8),ISNUMBER('Council Entry'!AZ$9)),MAX(MIN('Council Entry'!AZ123,'Council Entry'!AZ$9),'Council Entry'!AZ$8),'Council Entry'!AZ123)),IF(AND(ISNUMBER('Council Entry'!AZ$8),ISNUMBER('Council Entry'!AZ$9)),MAX(MIN('Council Entry'!AZ123,'Council Entry'!AZ$9),'Council Entry'!AZ$8),'Council Entry'!AZ123))))-'Council Entry'!AZ$5)/('Council Entry'!AZ$6-'Council Entry'!AZ$5)),1))),"No data"))</f>
        <v/>
      </c>
      <c r="BA123" s="13">
        <f>IF('Council Entry'!BA123="","",IFERROR(MAX(0,MIN(10,ROUND(IF('Council Entry'!BA$7="Decrease Risk",10-10*((IF('Council Entry'!BA$4="Logarithm",LN(0.001+IF(AND(ISNUMBER('Council Entry'!BA$8),ISNUMBER('Council Entry'!BA$9)),MAX(MIN('Council Entry'!BA123,'Council Entry'!BA$9),'Council Entry'!BA$8),'Council Entry'!BA123)),IF('Council Entry'!BA$4="Exponential",EXP(IF(AND(ISNUMBER('Council Entry'!BA$8),ISNUMBER('Council Entry'!BA$9)),MAX(MIN('Council Entry'!BA123,'Council Entry'!BA$9),'Council Entry'!BA$8),'Council Entry'!BA123)),IF(AND(ISNUMBER('Council Entry'!BA$8),ISNUMBER('Council Entry'!BA$9)),MAX(MIN('Council Entry'!BA123,'Council Entry'!BA$9),'Council Entry'!BA$8),'Council Entry'!BA123))))-'Council Entry'!BA$5)/('Council Entry'!BA$6-'Council Entry'!BA$5),10*((IF('Council Entry'!BA$4="Logarithm",LN(0.001+IF(AND(ISNUMBER('Council Entry'!BA$8),ISNUMBER('Council Entry'!BA$9)),MAX(MIN('Council Entry'!BA123,'Council Entry'!BA$9),'Council Entry'!BA$8),'Council Entry'!BA123)),IF('Council Entry'!BA$4="Exponential",EXP(IF(AND(ISNUMBER('Council Entry'!BA$8),ISNUMBER('Council Entry'!BA$9)),MAX(MIN('Council Entry'!BA123,'Council Entry'!BA$9),'Council Entry'!BA$8),'Council Entry'!BA123)),IF(AND(ISNUMBER('Council Entry'!BA$8),ISNUMBER('Council Entry'!BA$9)),MAX(MIN('Council Entry'!BA123,'Council Entry'!BA$9),'Council Entry'!BA$8),'Council Entry'!BA123))))-'Council Entry'!BA$5)/('Council Entry'!BA$6-'Council Entry'!BA$5)),1))),"No data"))</f>
        <v/>
      </c>
      <c r="BB123" s="13">
        <f>IF('Council Entry'!BB123="","",IFERROR(MAX(0,MIN(10,ROUND(IF('Council Entry'!BB$7="Decrease Risk",10-10*((IF('Council Entry'!BB$4="Logarithm",LN(0.001+IF(AND(ISNUMBER('Council Entry'!BB$8),ISNUMBER('Council Entry'!BB$9)),MAX(MIN('Council Entry'!BB123,'Council Entry'!BB$9),'Council Entry'!BB$8),'Council Entry'!BB123)),IF('Council Entry'!BB$4="Exponential",EXP(IF(AND(ISNUMBER('Council Entry'!BB$8),ISNUMBER('Council Entry'!BB$9)),MAX(MIN('Council Entry'!BB123,'Council Entry'!BB$9),'Council Entry'!BB$8),'Council Entry'!BB123)),IF(AND(ISNUMBER('Council Entry'!BB$8),ISNUMBER('Council Entry'!BB$9)),MAX(MIN('Council Entry'!BB123,'Council Entry'!BB$9),'Council Entry'!BB$8),'Council Entry'!BB123))))-'Council Entry'!BB$5)/('Council Entry'!BB$6-'Council Entry'!BB$5),10*((IF('Council Entry'!BB$4="Logarithm",LN(0.001+IF(AND(ISNUMBER('Council Entry'!BB$8),ISNUMBER('Council Entry'!BB$9)),MAX(MIN('Council Entry'!BB123,'Council Entry'!BB$9),'Council Entry'!BB$8),'Council Entry'!BB123)),IF('Council Entry'!BB$4="Exponential",EXP(IF(AND(ISNUMBER('Council Entry'!BB$8),ISNUMBER('Council Entry'!BB$9)),MAX(MIN('Council Entry'!BB123,'Council Entry'!BB$9),'Council Entry'!BB$8),'Council Entry'!BB123)),IF(AND(ISNUMBER('Council Entry'!BB$8),ISNUMBER('Council Entry'!BB$9)),MAX(MIN('Council Entry'!BB123,'Council Entry'!BB$9),'Council Entry'!BB$8),'Council Entry'!BB123))))-'Council Entry'!BB$5)/('Council Entry'!BB$6-'Council Entry'!BB$5)),1))),"No data"))</f>
        <v/>
      </c>
      <c r="BC123" s="13">
        <f>IF('Council Entry'!BC123="","",IFERROR(MAX(0,MIN(10,ROUND(IF('Council Entry'!BC$7="Decrease Risk",10-10*((IF('Council Entry'!BC$4="Logarithm",LN(0.001+IF(AND(ISNUMBER('Council Entry'!BC$8),ISNUMBER('Council Entry'!BC$9)),MAX(MIN('Council Entry'!BC123,'Council Entry'!BC$9),'Council Entry'!BC$8),'Council Entry'!BC123)),IF('Council Entry'!BC$4="Exponential",EXP(IF(AND(ISNUMBER('Council Entry'!BC$8),ISNUMBER('Council Entry'!BC$9)),MAX(MIN('Council Entry'!BC123,'Council Entry'!BC$9),'Council Entry'!BC$8),'Council Entry'!BC123)),IF(AND(ISNUMBER('Council Entry'!BC$8),ISNUMBER('Council Entry'!BC$9)),MAX(MIN('Council Entry'!BC123,'Council Entry'!BC$9),'Council Entry'!BC$8),'Council Entry'!BC123))))-'Council Entry'!BC$5)/('Council Entry'!BC$6-'Council Entry'!BC$5),10*((IF('Council Entry'!BC$4="Logarithm",LN(0.001+IF(AND(ISNUMBER('Council Entry'!BC$8),ISNUMBER('Council Entry'!BC$9)),MAX(MIN('Council Entry'!BC123,'Council Entry'!BC$9),'Council Entry'!BC$8),'Council Entry'!BC123)),IF('Council Entry'!BC$4="Exponential",EXP(IF(AND(ISNUMBER('Council Entry'!BC$8),ISNUMBER('Council Entry'!BC$9)),MAX(MIN('Council Entry'!BC123,'Council Entry'!BC$9),'Council Entry'!BC$8),'Council Entry'!BC123)),IF(AND(ISNUMBER('Council Entry'!BC$8),ISNUMBER('Council Entry'!BC$9)),MAX(MIN('Council Entry'!BC123,'Council Entry'!BC$9),'Council Entry'!BC$8),'Council Entry'!BC123))))-'Council Entry'!BC$5)/('Council Entry'!BC$6-'Council Entry'!BC$5)),1))),"No data"))</f>
        <v/>
      </c>
      <c r="BD123" s="13">
        <f>IF('Council Entry'!BD123="","",IFERROR(MAX(0,MIN(10,ROUND(IF('Council Entry'!BD$7="Decrease Risk",10-10*((IF('Council Entry'!BD$4="Logarithm",LN(0.001+IF(AND(ISNUMBER('Council Entry'!BD$8),ISNUMBER('Council Entry'!BD$9)),MAX(MIN('Council Entry'!BD123,'Council Entry'!BD$9),'Council Entry'!BD$8),'Council Entry'!BD123)),IF('Council Entry'!BD$4="Exponential",EXP(IF(AND(ISNUMBER('Council Entry'!BD$8),ISNUMBER('Council Entry'!BD$9)),MAX(MIN('Council Entry'!BD123,'Council Entry'!BD$9),'Council Entry'!BD$8),'Council Entry'!BD123)),IF(AND(ISNUMBER('Council Entry'!BD$8),ISNUMBER('Council Entry'!BD$9)),MAX(MIN('Council Entry'!BD123,'Council Entry'!BD$9),'Council Entry'!BD$8),'Council Entry'!BD123))))-'Council Entry'!BD$5)/('Council Entry'!BD$6-'Council Entry'!BD$5),10*((IF('Council Entry'!BD$4="Logarithm",LN(0.001+IF(AND(ISNUMBER('Council Entry'!BD$8),ISNUMBER('Council Entry'!BD$9)),MAX(MIN('Council Entry'!BD123,'Council Entry'!BD$9),'Council Entry'!BD$8),'Council Entry'!BD123)),IF('Council Entry'!BD$4="Exponential",EXP(IF(AND(ISNUMBER('Council Entry'!BD$8),ISNUMBER('Council Entry'!BD$9)),MAX(MIN('Council Entry'!BD123,'Council Entry'!BD$9),'Council Entry'!BD$8),'Council Entry'!BD123)),IF(AND(ISNUMBER('Council Entry'!BD$8),ISNUMBER('Council Entry'!BD$9)),MAX(MIN('Council Entry'!BD123,'Council Entry'!BD$9),'Council Entry'!BD$8),'Council Entry'!BD123))))-'Council Entry'!BD$5)/('Council Entry'!BD$6-'Council Entry'!BD$5)),1))),"No data"))</f>
        <v/>
      </c>
    </row>
    <row r="124">
      <c r="A124" t="inlineStr">
        <is>
          <t>Mtwara</t>
        </is>
      </c>
      <c r="B124" t="inlineStr">
        <is>
          <t>Nanyumbu District</t>
        </is>
      </c>
      <c r="C124" t="inlineStr">
        <is>
          <t>C071</t>
        </is>
      </c>
      <c r="D124" s="13">
        <f>IF('Council Entry'!D124="","",IFERROR(MAX(0,MIN(10,ROUND(IF('Council Entry'!D$7="Decrease Risk",10-10*((IF('Council Entry'!D$4="Logarithm",LN(0.001+IF(AND(ISNUMBER('Council Entry'!D$8),ISNUMBER('Council Entry'!D$9)),MAX(MIN('Council Entry'!D124,'Council Entry'!D$9),'Council Entry'!D$8),'Council Entry'!D124)),IF('Council Entry'!D$4="Exponential",EXP(IF(AND(ISNUMBER('Council Entry'!D$8),ISNUMBER('Council Entry'!D$9)),MAX(MIN('Council Entry'!D124,'Council Entry'!D$9),'Council Entry'!D$8),'Council Entry'!D124)),IF(AND(ISNUMBER('Council Entry'!D$8),ISNUMBER('Council Entry'!D$9)),MAX(MIN('Council Entry'!D124,'Council Entry'!D$9),'Council Entry'!D$8),'Council Entry'!D124))))-'Council Entry'!D$5)/('Council Entry'!D$6-'Council Entry'!D$5),10*((IF('Council Entry'!D$4="Logarithm",LN(0.001+IF(AND(ISNUMBER('Council Entry'!D$8),ISNUMBER('Council Entry'!D$9)),MAX(MIN('Council Entry'!D124,'Council Entry'!D$9),'Council Entry'!D$8),'Council Entry'!D124)),IF('Council Entry'!D$4="Exponential",EXP(IF(AND(ISNUMBER('Council Entry'!D$8),ISNUMBER('Council Entry'!D$9)),MAX(MIN('Council Entry'!D124,'Council Entry'!D$9),'Council Entry'!D$8),'Council Entry'!D124)),IF(AND(ISNUMBER('Council Entry'!D$8),ISNUMBER('Council Entry'!D$9)),MAX(MIN('Council Entry'!D124,'Council Entry'!D$9),'Council Entry'!D$8),'Council Entry'!D124))))-'Council Entry'!D$5)/('Council Entry'!D$6-'Council Entry'!D$5)),1))),"No data"))</f>
        <v/>
      </c>
      <c r="E124" s="13">
        <f>IF('Council Entry'!E124="","",IFERROR(MAX(0,MIN(10,ROUND(IF('Council Entry'!E$7="Decrease Risk",10-10*((IF('Council Entry'!E$4="Logarithm",LN(0.001+IF(AND(ISNUMBER('Council Entry'!E$8),ISNUMBER('Council Entry'!E$9)),MAX(MIN('Council Entry'!E124,'Council Entry'!E$9),'Council Entry'!E$8),'Council Entry'!E124)),IF('Council Entry'!E$4="Exponential",EXP(IF(AND(ISNUMBER('Council Entry'!E$8),ISNUMBER('Council Entry'!E$9)),MAX(MIN('Council Entry'!E124,'Council Entry'!E$9),'Council Entry'!E$8),'Council Entry'!E124)),IF(AND(ISNUMBER('Council Entry'!E$8),ISNUMBER('Council Entry'!E$9)),MAX(MIN('Council Entry'!E124,'Council Entry'!E$9),'Council Entry'!E$8),'Council Entry'!E124))))-'Council Entry'!E$5)/('Council Entry'!E$6-'Council Entry'!E$5),10*((IF('Council Entry'!E$4="Logarithm",LN(0.001+IF(AND(ISNUMBER('Council Entry'!E$8),ISNUMBER('Council Entry'!E$9)),MAX(MIN('Council Entry'!E124,'Council Entry'!E$9),'Council Entry'!E$8),'Council Entry'!E124)),IF('Council Entry'!E$4="Exponential",EXP(IF(AND(ISNUMBER('Council Entry'!E$8),ISNUMBER('Council Entry'!E$9)),MAX(MIN('Council Entry'!E124,'Council Entry'!E$9),'Council Entry'!E$8),'Council Entry'!E124)),IF(AND(ISNUMBER('Council Entry'!E$8),ISNUMBER('Council Entry'!E$9)),MAX(MIN('Council Entry'!E124,'Council Entry'!E$9),'Council Entry'!E$8),'Council Entry'!E124))))-'Council Entry'!E$5)/('Council Entry'!E$6-'Council Entry'!E$5)),1))),"No data"))</f>
        <v/>
      </c>
      <c r="F124" s="13">
        <f>IF('Council Entry'!F124="","",IFERROR(MAX(0,MIN(10,ROUND(IF('Council Entry'!F$7="Decrease Risk",10-10*((IF('Council Entry'!F$4="Logarithm",LN(0.001+IF(AND(ISNUMBER('Council Entry'!F$8),ISNUMBER('Council Entry'!F$9)),MAX(MIN('Council Entry'!F124,'Council Entry'!F$9),'Council Entry'!F$8),'Council Entry'!F124)),IF('Council Entry'!F$4="Exponential",EXP(IF(AND(ISNUMBER('Council Entry'!F$8),ISNUMBER('Council Entry'!F$9)),MAX(MIN('Council Entry'!F124,'Council Entry'!F$9),'Council Entry'!F$8),'Council Entry'!F124)),IF(AND(ISNUMBER('Council Entry'!F$8),ISNUMBER('Council Entry'!F$9)),MAX(MIN('Council Entry'!F124,'Council Entry'!F$9),'Council Entry'!F$8),'Council Entry'!F124))))-'Council Entry'!F$5)/('Council Entry'!F$6-'Council Entry'!F$5),10*((IF('Council Entry'!F$4="Logarithm",LN(0.001+IF(AND(ISNUMBER('Council Entry'!F$8),ISNUMBER('Council Entry'!F$9)),MAX(MIN('Council Entry'!F124,'Council Entry'!F$9),'Council Entry'!F$8),'Council Entry'!F124)),IF('Council Entry'!F$4="Exponential",EXP(IF(AND(ISNUMBER('Council Entry'!F$8),ISNUMBER('Council Entry'!F$9)),MAX(MIN('Council Entry'!F124,'Council Entry'!F$9),'Council Entry'!F$8),'Council Entry'!F124)),IF(AND(ISNUMBER('Council Entry'!F$8),ISNUMBER('Council Entry'!F$9)),MAX(MIN('Council Entry'!F124,'Council Entry'!F$9),'Council Entry'!F$8),'Council Entry'!F124))))-'Council Entry'!F$5)/('Council Entry'!F$6-'Council Entry'!F$5)),1))),"No data"))</f>
        <v/>
      </c>
      <c r="G124" s="13">
        <f>IF('Council Entry'!G124="","",IFERROR(MAX(0,MIN(10,ROUND(IF('Council Entry'!G$7="Decrease Risk",10-10*((IF('Council Entry'!G$4="Logarithm",LN(0.001+IF(AND(ISNUMBER('Council Entry'!G$8),ISNUMBER('Council Entry'!G$9)),MAX(MIN('Council Entry'!G124,'Council Entry'!G$9),'Council Entry'!G$8),'Council Entry'!G124)),IF('Council Entry'!G$4="Exponential",EXP(IF(AND(ISNUMBER('Council Entry'!G$8),ISNUMBER('Council Entry'!G$9)),MAX(MIN('Council Entry'!G124,'Council Entry'!G$9),'Council Entry'!G$8),'Council Entry'!G124)),IF(AND(ISNUMBER('Council Entry'!G$8),ISNUMBER('Council Entry'!G$9)),MAX(MIN('Council Entry'!G124,'Council Entry'!G$9),'Council Entry'!G$8),'Council Entry'!G124))))-'Council Entry'!G$5)/('Council Entry'!G$6-'Council Entry'!G$5),10*((IF('Council Entry'!G$4="Logarithm",LN(0.001+IF(AND(ISNUMBER('Council Entry'!G$8),ISNUMBER('Council Entry'!G$9)),MAX(MIN('Council Entry'!G124,'Council Entry'!G$9),'Council Entry'!G$8),'Council Entry'!G124)),IF('Council Entry'!G$4="Exponential",EXP(IF(AND(ISNUMBER('Council Entry'!G$8),ISNUMBER('Council Entry'!G$9)),MAX(MIN('Council Entry'!G124,'Council Entry'!G$9),'Council Entry'!G$8),'Council Entry'!G124)),IF(AND(ISNUMBER('Council Entry'!G$8),ISNUMBER('Council Entry'!G$9)),MAX(MIN('Council Entry'!G124,'Council Entry'!G$9),'Council Entry'!G$8),'Council Entry'!G124))))-'Council Entry'!G$5)/('Council Entry'!G$6-'Council Entry'!G$5)),1))),"No data"))</f>
        <v/>
      </c>
      <c r="H124" s="13">
        <f>IF('Council Entry'!H124="","",IFERROR(MAX(0,MIN(10,ROUND(IF('Council Entry'!H$7="Decrease Risk",10-10*((IF('Council Entry'!H$4="Logarithm",LN(0.001+IF(AND(ISNUMBER('Council Entry'!H$8),ISNUMBER('Council Entry'!H$9)),MAX(MIN('Council Entry'!H124,'Council Entry'!H$9),'Council Entry'!H$8),'Council Entry'!H124)),IF('Council Entry'!H$4="Exponential",EXP(IF(AND(ISNUMBER('Council Entry'!H$8),ISNUMBER('Council Entry'!H$9)),MAX(MIN('Council Entry'!H124,'Council Entry'!H$9),'Council Entry'!H$8),'Council Entry'!H124)),IF(AND(ISNUMBER('Council Entry'!H$8),ISNUMBER('Council Entry'!H$9)),MAX(MIN('Council Entry'!H124,'Council Entry'!H$9),'Council Entry'!H$8),'Council Entry'!H124))))-'Council Entry'!H$5)/('Council Entry'!H$6-'Council Entry'!H$5),10*((IF('Council Entry'!H$4="Logarithm",LN(0.001+IF(AND(ISNUMBER('Council Entry'!H$8),ISNUMBER('Council Entry'!H$9)),MAX(MIN('Council Entry'!H124,'Council Entry'!H$9),'Council Entry'!H$8),'Council Entry'!H124)),IF('Council Entry'!H$4="Exponential",EXP(IF(AND(ISNUMBER('Council Entry'!H$8),ISNUMBER('Council Entry'!H$9)),MAX(MIN('Council Entry'!H124,'Council Entry'!H$9),'Council Entry'!H$8),'Council Entry'!H124)),IF(AND(ISNUMBER('Council Entry'!H$8),ISNUMBER('Council Entry'!H$9)),MAX(MIN('Council Entry'!H124,'Council Entry'!H$9),'Council Entry'!H$8),'Council Entry'!H124))))-'Council Entry'!H$5)/('Council Entry'!H$6-'Council Entry'!H$5)),1))),"No data"))</f>
        <v/>
      </c>
      <c r="I124" s="13">
        <f>IF('Council Entry'!I124="","",IFERROR(MAX(0,MIN(10,ROUND(IF('Council Entry'!I$7="Decrease Risk",10-10*((IF('Council Entry'!I$4="Logarithm",LN(0.001+IF(AND(ISNUMBER('Council Entry'!I$8),ISNUMBER('Council Entry'!I$9)),MAX(MIN('Council Entry'!I124,'Council Entry'!I$9),'Council Entry'!I$8),'Council Entry'!I124)),IF('Council Entry'!I$4="Exponential",EXP(IF(AND(ISNUMBER('Council Entry'!I$8),ISNUMBER('Council Entry'!I$9)),MAX(MIN('Council Entry'!I124,'Council Entry'!I$9),'Council Entry'!I$8),'Council Entry'!I124)),IF(AND(ISNUMBER('Council Entry'!I$8),ISNUMBER('Council Entry'!I$9)),MAX(MIN('Council Entry'!I124,'Council Entry'!I$9),'Council Entry'!I$8),'Council Entry'!I124))))-'Council Entry'!I$5)/('Council Entry'!I$6-'Council Entry'!I$5),10*((IF('Council Entry'!I$4="Logarithm",LN(0.001+IF(AND(ISNUMBER('Council Entry'!I$8),ISNUMBER('Council Entry'!I$9)),MAX(MIN('Council Entry'!I124,'Council Entry'!I$9),'Council Entry'!I$8),'Council Entry'!I124)),IF('Council Entry'!I$4="Exponential",EXP(IF(AND(ISNUMBER('Council Entry'!I$8),ISNUMBER('Council Entry'!I$9)),MAX(MIN('Council Entry'!I124,'Council Entry'!I$9),'Council Entry'!I$8),'Council Entry'!I124)),IF(AND(ISNUMBER('Council Entry'!I$8),ISNUMBER('Council Entry'!I$9)),MAX(MIN('Council Entry'!I124,'Council Entry'!I$9),'Council Entry'!I$8),'Council Entry'!I124))))-'Council Entry'!I$5)/('Council Entry'!I$6-'Council Entry'!I$5)),1))),"No data"))</f>
        <v/>
      </c>
      <c r="J124" s="13">
        <f>IF('Council Entry'!J124="","",IFERROR(MAX(0,MIN(10,ROUND(IF('Council Entry'!J$7="Decrease Risk",10-10*((IF('Council Entry'!J$4="Logarithm",LN(0.001+IF(AND(ISNUMBER('Council Entry'!J$8),ISNUMBER('Council Entry'!J$9)),MAX(MIN('Council Entry'!J124,'Council Entry'!J$9),'Council Entry'!J$8),'Council Entry'!J124)),IF('Council Entry'!J$4="Exponential",EXP(IF(AND(ISNUMBER('Council Entry'!J$8),ISNUMBER('Council Entry'!J$9)),MAX(MIN('Council Entry'!J124,'Council Entry'!J$9),'Council Entry'!J$8),'Council Entry'!J124)),IF(AND(ISNUMBER('Council Entry'!J$8),ISNUMBER('Council Entry'!J$9)),MAX(MIN('Council Entry'!J124,'Council Entry'!J$9),'Council Entry'!J$8),'Council Entry'!J124))))-'Council Entry'!J$5)/('Council Entry'!J$6-'Council Entry'!J$5),10*((IF('Council Entry'!J$4="Logarithm",LN(0.001+IF(AND(ISNUMBER('Council Entry'!J$8),ISNUMBER('Council Entry'!J$9)),MAX(MIN('Council Entry'!J124,'Council Entry'!J$9),'Council Entry'!J$8),'Council Entry'!J124)),IF('Council Entry'!J$4="Exponential",EXP(IF(AND(ISNUMBER('Council Entry'!J$8),ISNUMBER('Council Entry'!J$9)),MAX(MIN('Council Entry'!J124,'Council Entry'!J$9),'Council Entry'!J$8),'Council Entry'!J124)),IF(AND(ISNUMBER('Council Entry'!J$8),ISNUMBER('Council Entry'!J$9)),MAX(MIN('Council Entry'!J124,'Council Entry'!J$9),'Council Entry'!J$8),'Council Entry'!J124))))-'Council Entry'!J$5)/('Council Entry'!J$6-'Council Entry'!J$5)),1))),"No data"))</f>
        <v/>
      </c>
      <c r="K124" s="13">
        <f>IF('Council Entry'!K124="","",IFERROR(MAX(0,MIN(10,ROUND(IF('Council Entry'!K$7="Decrease Risk",10-10*((IF('Council Entry'!K$4="Logarithm",LN(0.001+IF(AND(ISNUMBER('Council Entry'!K$8),ISNUMBER('Council Entry'!K$9)),MAX(MIN('Council Entry'!K124,'Council Entry'!K$9),'Council Entry'!K$8),'Council Entry'!K124)),IF('Council Entry'!K$4="Exponential",EXP(IF(AND(ISNUMBER('Council Entry'!K$8),ISNUMBER('Council Entry'!K$9)),MAX(MIN('Council Entry'!K124,'Council Entry'!K$9),'Council Entry'!K$8),'Council Entry'!K124)),IF(AND(ISNUMBER('Council Entry'!K$8),ISNUMBER('Council Entry'!K$9)),MAX(MIN('Council Entry'!K124,'Council Entry'!K$9),'Council Entry'!K$8),'Council Entry'!K124))))-'Council Entry'!K$5)/('Council Entry'!K$6-'Council Entry'!K$5),10*((IF('Council Entry'!K$4="Logarithm",LN(0.001+IF(AND(ISNUMBER('Council Entry'!K$8),ISNUMBER('Council Entry'!K$9)),MAX(MIN('Council Entry'!K124,'Council Entry'!K$9),'Council Entry'!K$8),'Council Entry'!K124)),IF('Council Entry'!K$4="Exponential",EXP(IF(AND(ISNUMBER('Council Entry'!K$8),ISNUMBER('Council Entry'!K$9)),MAX(MIN('Council Entry'!K124,'Council Entry'!K$9),'Council Entry'!K$8),'Council Entry'!K124)),IF(AND(ISNUMBER('Council Entry'!K$8),ISNUMBER('Council Entry'!K$9)),MAX(MIN('Council Entry'!K124,'Council Entry'!K$9),'Council Entry'!K$8),'Council Entry'!K124))))-'Council Entry'!K$5)/('Council Entry'!K$6-'Council Entry'!K$5)),1))),"No data"))</f>
        <v/>
      </c>
      <c r="L124" s="13">
        <f>IF('Council Entry'!L124="","",IFERROR(MAX(0,MIN(10,ROUND(IF('Council Entry'!L$7="Decrease Risk",10-10*((IF('Council Entry'!L$4="Logarithm",LN(0.001+IF(AND(ISNUMBER('Council Entry'!L$8),ISNUMBER('Council Entry'!L$9)),MAX(MIN('Council Entry'!L124,'Council Entry'!L$9),'Council Entry'!L$8),'Council Entry'!L124)),IF('Council Entry'!L$4="Exponential",EXP(IF(AND(ISNUMBER('Council Entry'!L$8),ISNUMBER('Council Entry'!L$9)),MAX(MIN('Council Entry'!L124,'Council Entry'!L$9),'Council Entry'!L$8),'Council Entry'!L124)),IF(AND(ISNUMBER('Council Entry'!L$8),ISNUMBER('Council Entry'!L$9)),MAX(MIN('Council Entry'!L124,'Council Entry'!L$9),'Council Entry'!L$8),'Council Entry'!L124))))-'Council Entry'!L$5)/('Council Entry'!L$6-'Council Entry'!L$5),10*((IF('Council Entry'!L$4="Logarithm",LN(0.001+IF(AND(ISNUMBER('Council Entry'!L$8),ISNUMBER('Council Entry'!L$9)),MAX(MIN('Council Entry'!L124,'Council Entry'!L$9),'Council Entry'!L$8),'Council Entry'!L124)),IF('Council Entry'!L$4="Exponential",EXP(IF(AND(ISNUMBER('Council Entry'!L$8),ISNUMBER('Council Entry'!L$9)),MAX(MIN('Council Entry'!L124,'Council Entry'!L$9),'Council Entry'!L$8),'Council Entry'!L124)),IF(AND(ISNUMBER('Council Entry'!L$8),ISNUMBER('Council Entry'!L$9)),MAX(MIN('Council Entry'!L124,'Council Entry'!L$9),'Council Entry'!L$8),'Council Entry'!L124))))-'Council Entry'!L$5)/('Council Entry'!L$6-'Council Entry'!L$5)),1))),"No data"))</f>
        <v/>
      </c>
      <c r="M124" s="13">
        <f>IF('Council Entry'!M124="","",IFERROR(MAX(0,MIN(10,ROUND(IF('Council Entry'!M$7="Decrease Risk",10-10*((IF('Council Entry'!M$4="Logarithm",LN(0.001+IF(AND(ISNUMBER('Council Entry'!M$8),ISNUMBER('Council Entry'!M$9)),MAX(MIN('Council Entry'!M124,'Council Entry'!M$9),'Council Entry'!M$8),'Council Entry'!M124)),IF('Council Entry'!M$4="Exponential",EXP(IF(AND(ISNUMBER('Council Entry'!M$8),ISNUMBER('Council Entry'!M$9)),MAX(MIN('Council Entry'!M124,'Council Entry'!M$9),'Council Entry'!M$8),'Council Entry'!M124)),IF(AND(ISNUMBER('Council Entry'!M$8),ISNUMBER('Council Entry'!M$9)),MAX(MIN('Council Entry'!M124,'Council Entry'!M$9),'Council Entry'!M$8),'Council Entry'!M124))))-'Council Entry'!M$5)/('Council Entry'!M$6-'Council Entry'!M$5),10*((IF('Council Entry'!M$4="Logarithm",LN(0.001+IF(AND(ISNUMBER('Council Entry'!M$8),ISNUMBER('Council Entry'!M$9)),MAX(MIN('Council Entry'!M124,'Council Entry'!M$9),'Council Entry'!M$8),'Council Entry'!M124)),IF('Council Entry'!M$4="Exponential",EXP(IF(AND(ISNUMBER('Council Entry'!M$8),ISNUMBER('Council Entry'!M$9)),MAX(MIN('Council Entry'!M124,'Council Entry'!M$9),'Council Entry'!M$8),'Council Entry'!M124)),IF(AND(ISNUMBER('Council Entry'!M$8),ISNUMBER('Council Entry'!M$9)),MAX(MIN('Council Entry'!M124,'Council Entry'!M$9),'Council Entry'!M$8),'Council Entry'!M124))))-'Council Entry'!M$5)/('Council Entry'!M$6-'Council Entry'!M$5)),1))),"No data"))</f>
        <v/>
      </c>
      <c r="N124" s="13">
        <f>IF('Council Entry'!N124="","",IFERROR(MAX(0,MIN(10,ROUND(IF('Council Entry'!N$7="Decrease Risk",10-10*((IF('Council Entry'!N$4="Logarithm",LN(0.001+IF(AND(ISNUMBER('Council Entry'!N$8),ISNUMBER('Council Entry'!N$9)),MAX(MIN('Council Entry'!N124,'Council Entry'!N$9),'Council Entry'!N$8),'Council Entry'!N124)),IF('Council Entry'!N$4="Exponential",EXP(IF(AND(ISNUMBER('Council Entry'!N$8),ISNUMBER('Council Entry'!N$9)),MAX(MIN('Council Entry'!N124,'Council Entry'!N$9),'Council Entry'!N$8),'Council Entry'!N124)),IF(AND(ISNUMBER('Council Entry'!N$8),ISNUMBER('Council Entry'!N$9)),MAX(MIN('Council Entry'!N124,'Council Entry'!N$9),'Council Entry'!N$8),'Council Entry'!N124))))-'Council Entry'!N$5)/('Council Entry'!N$6-'Council Entry'!N$5),10*((IF('Council Entry'!N$4="Logarithm",LN(0.001+IF(AND(ISNUMBER('Council Entry'!N$8),ISNUMBER('Council Entry'!N$9)),MAX(MIN('Council Entry'!N124,'Council Entry'!N$9),'Council Entry'!N$8),'Council Entry'!N124)),IF('Council Entry'!N$4="Exponential",EXP(IF(AND(ISNUMBER('Council Entry'!N$8),ISNUMBER('Council Entry'!N$9)),MAX(MIN('Council Entry'!N124,'Council Entry'!N$9),'Council Entry'!N$8),'Council Entry'!N124)),IF(AND(ISNUMBER('Council Entry'!N$8),ISNUMBER('Council Entry'!N$9)),MAX(MIN('Council Entry'!N124,'Council Entry'!N$9),'Council Entry'!N$8),'Council Entry'!N124))))-'Council Entry'!N$5)/('Council Entry'!N$6-'Council Entry'!N$5)),1))),"No data"))</f>
        <v/>
      </c>
      <c r="O124" s="13">
        <f>IF('Council Entry'!O124="","",IFERROR(MAX(0,MIN(10,ROUND(IF('Council Entry'!O$7="Decrease Risk",10-10*((IF('Council Entry'!O$4="Logarithm",LN(0.001+IF(AND(ISNUMBER('Council Entry'!O$8),ISNUMBER('Council Entry'!O$9)),MAX(MIN('Council Entry'!O124,'Council Entry'!O$9),'Council Entry'!O$8),'Council Entry'!O124)),IF('Council Entry'!O$4="Exponential",EXP(IF(AND(ISNUMBER('Council Entry'!O$8),ISNUMBER('Council Entry'!O$9)),MAX(MIN('Council Entry'!O124,'Council Entry'!O$9),'Council Entry'!O$8),'Council Entry'!O124)),IF(AND(ISNUMBER('Council Entry'!O$8),ISNUMBER('Council Entry'!O$9)),MAX(MIN('Council Entry'!O124,'Council Entry'!O$9),'Council Entry'!O$8),'Council Entry'!O124))))-'Council Entry'!O$5)/('Council Entry'!O$6-'Council Entry'!O$5),10*((IF('Council Entry'!O$4="Logarithm",LN(0.001+IF(AND(ISNUMBER('Council Entry'!O$8),ISNUMBER('Council Entry'!O$9)),MAX(MIN('Council Entry'!O124,'Council Entry'!O$9),'Council Entry'!O$8),'Council Entry'!O124)),IF('Council Entry'!O$4="Exponential",EXP(IF(AND(ISNUMBER('Council Entry'!O$8),ISNUMBER('Council Entry'!O$9)),MAX(MIN('Council Entry'!O124,'Council Entry'!O$9),'Council Entry'!O$8),'Council Entry'!O124)),IF(AND(ISNUMBER('Council Entry'!O$8),ISNUMBER('Council Entry'!O$9)),MAX(MIN('Council Entry'!O124,'Council Entry'!O$9),'Council Entry'!O$8),'Council Entry'!O124))))-'Council Entry'!O$5)/('Council Entry'!O$6-'Council Entry'!O$5)),1))),"No data"))</f>
        <v/>
      </c>
      <c r="P124" s="13">
        <f>IF('Council Entry'!P124="","",IFERROR(MAX(0,MIN(10,ROUND(IF('Council Entry'!P$7="Decrease Risk",10-10*((IF('Council Entry'!P$4="Logarithm",LN(0.001+IF(AND(ISNUMBER('Council Entry'!P$8),ISNUMBER('Council Entry'!P$9)),MAX(MIN('Council Entry'!P124,'Council Entry'!P$9),'Council Entry'!P$8),'Council Entry'!P124)),IF('Council Entry'!P$4="Exponential",EXP(IF(AND(ISNUMBER('Council Entry'!P$8),ISNUMBER('Council Entry'!P$9)),MAX(MIN('Council Entry'!P124,'Council Entry'!P$9),'Council Entry'!P$8),'Council Entry'!P124)),IF(AND(ISNUMBER('Council Entry'!P$8),ISNUMBER('Council Entry'!P$9)),MAX(MIN('Council Entry'!P124,'Council Entry'!P$9),'Council Entry'!P$8),'Council Entry'!P124))))-'Council Entry'!P$5)/('Council Entry'!P$6-'Council Entry'!P$5),10*((IF('Council Entry'!P$4="Logarithm",LN(0.001+IF(AND(ISNUMBER('Council Entry'!P$8),ISNUMBER('Council Entry'!P$9)),MAX(MIN('Council Entry'!P124,'Council Entry'!P$9),'Council Entry'!P$8),'Council Entry'!P124)),IF('Council Entry'!P$4="Exponential",EXP(IF(AND(ISNUMBER('Council Entry'!P$8),ISNUMBER('Council Entry'!P$9)),MAX(MIN('Council Entry'!P124,'Council Entry'!P$9),'Council Entry'!P$8),'Council Entry'!P124)),IF(AND(ISNUMBER('Council Entry'!P$8),ISNUMBER('Council Entry'!P$9)),MAX(MIN('Council Entry'!P124,'Council Entry'!P$9),'Council Entry'!P$8),'Council Entry'!P124))))-'Council Entry'!P$5)/('Council Entry'!P$6-'Council Entry'!P$5)),1))),"No data"))</f>
        <v/>
      </c>
      <c r="Q124" s="13">
        <f>IF('Council Entry'!Q124="","",IFERROR(MAX(0,MIN(10,ROUND(IF('Council Entry'!Q$7="Decrease Risk",10-10*((IF('Council Entry'!Q$4="Logarithm",LN(0.001+IF(AND(ISNUMBER('Council Entry'!Q$8),ISNUMBER('Council Entry'!Q$9)),MAX(MIN('Council Entry'!Q124,'Council Entry'!Q$9),'Council Entry'!Q$8),'Council Entry'!Q124)),IF('Council Entry'!Q$4="Exponential",EXP(IF(AND(ISNUMBER('Council Entry'!Q$8),ISNUMBER('Council Entry'!Q$9)),MAX(MIN('Council Entry'!Q124,'Council Entry'!Q$9),'Council Entry'!Q$8),'Council Entry'!Q124)),IF(AND(ISNUMBER('Council Entry'!Q$8),ISNUMBER('Council Entry'!Q$9)),MAX(MIN('Council Entry'!Q124,'Council Entry'!Q$9),'Council Entry'!Q$8),'Council Entry'!Q124))))-'Council Entry'!Q$5)/('Council Entry'!Q$6-'Council Entry'!Q$5),10*((IF('Council Entry'!Q$4="Logarithm",LN(0.001+IF(AND(ISNUMBER('Council Entry'!Q$8),ISNUMBER('Council Entry'!Q$9)),MAX(MIN('Council Entry'!Q124,'Council Entry'!Q$9),'Council Entry'!Q$8),'Council Entry'!Q124)),IF('Council Entry'!Q$4="Exponential",EXP(IF(AND(ISNUMBER('Council Entry'!Q$8),ISNUMBER('Council Entry'!Q$9)),MAX(MIN('Council Entry'!Q124,'Council Entry'!Q$9),'Council Entry'!Q$8),'Council Entry'!Q124)),IF(AND(ISNUMBER('Council Entry'!Q$8),ISNUMBER('Council Entry'!Q$9)),MAX(MIN('Council Entry'!Q124,'Council Entry'!Q$9),'Council Entry'!Q$8),'Council Entry'!Q124))))-'Council Entry'!Q$5)/('Council Entry'!Q$6-'Council Entry'!Q$5)),1))),"No data"))</f>
        <v/>
      </c>
      <c r="R124" s="13">
        <f>IF('Council Entry'!R124="","",IFERROR(MAX(0,MIN(10,ROUND(IF('Council Entry'!R$7="Decrease Risk",10-10*((IF('Council Entry'!R$4="Logarithm",LN(0.001+IF(AND(ISNUMBER('Council Entry'!R$8),ISNUMBER('Council Entry'!R$9)),MAX(MIN('Council Entry'!R124,'Council Entry'!R$9),'Council Entry'!R$8),'Council Entry'!R124)),IF('Council Entry'!R$4="Exponential",EXP(IF(AND(ISNUMBER('Council Entry'!R$8),ISNUMBER('Council Entry'!R$9)),MAX(MIN('Council Entry'!R124,'Council Entry'!R$9),'Council Entry'!R$8),'Council Entry'!R124)),IF(AND(ISNUMBER('Council Entry'!R$8),ISNUMBER('Council Entry'!R$9)),MAX(MIN('Council Entry'!R124,'Council Entry'!R$9),'Council Entry'!R$8),'Council Entry'!R124))))-'Council Entry'!R$5)/('Council Entry'!R$6-'Council Entry'!R$5),10*((IF('Council Entry'!R$4="Logarithm",LN(0.001+IF(AND(ISNUMBER('Council Entry'!R$8),ISNUMBER('Council Entry'!R$9)),MAX(MIN('Council Entry'!R124,'Council Entry'!R$9),'Council Entry'!R$8),'Council Entry'!R124)),IF('Council Entry'!R$4="Exponential",EXP(IF(AND(ISNUMBER('Council Entry'!R$8),ISNUMBER('Council Entry'!R$9)),MAX(MIN('Council Entry'!R124,'Council Entry'!R$9),'Council Entry'!R$8),'Council Entry'!R124)),IF(AND(ISNUMBER('Council Entry'!R$8),ISNUMBER('Council Entry'!R$9)),MAX(MIN('Council Entry'!R124,'Council Entry'!R$9),'Council Entry'!R$8),'Council Entry'!R124))))-'Council Entry'!R$5)/('Council Entry'!R$6-'Council Entry'!R$5)),1))),"No data"))</f>
        <v/>
      </c>
      <c r="S124" s="13">
        <f>IF('Council Entry'!S124="","",IFERROR(MAX(0,MIN(10,ROUND(IF('Council Entry'!S$7="Decrease Risk",10-10*((IF('Council Entry'!S$4="Logarithm",LN(0.001+IF(AND(ISNUMBER('Council Entry'!S$8),ISNUMBER('Council Entry'!S$9)),MAX(MIN('Council Entry'!S124,'Council Entry'!S$9),'Council Entry'!S$8),'Council Entry'!S124)),IF('Council Entry'!S$4="Exponential",EXP(IF(AND(ISNUMBER('Council Entry'!S$8),ISNUMBER('Council Entry'!S$9)),MAX(MIN('Council Entry'!S124,'Council Entry'!S$9),'Council Entry'!S$8),'Council Entry'!S124)),IF(AND(ISNUMBER('Council Entry'!S$8),ISNUMBER('Council Entry'!S$9)),MAX(MIN('Council Entry'!S124,'Council Entry'!S$9),'Council Entry'!S$8),'Council Entry'!S124))))-'Council Entry'!S$5)/('Council Entry'!S$6-'Council Entry'!S$5),10*((IF('Council Entry'!S$4="Logarithm",LN(0.001+IF(AND(ISNUMBER('Council Entry'!S$8),ISNUMBER('Council Entry'!S$9)),MAX(MIN('Council Entry'!S124,'Council Entry'!S$9),'Council Entry'!S$8),'Council Entry'!S124)),IF('Council Entry'!S$4="Exponential",EXP(IF(AND(ISNUMBER('Council Entry'!S$8),ISNUMBER('Council Entry'!S$9)),MAX(MIN('Council Entry'!S124,'Council Entry'!S$9),'Council Entry'!S$8),'Council Entry'!S124)),IF(AND(ISNUMBER('Council Entry'!S$8),ISNUMBER('Council Entry'!S$9)),MAX(MIN('Council Entry'!S124,'Council Entry'!S$9),'Council Entry'!S$8),'Council Entry'!S124))))-'Council Entry'!S$5)/('Council Entry'!S$6-'Council Entry'!S$5)),1))),"No data"))</f>
        <v/>
      </c>
      <c r="T124" s="13">
        <f>IF('Council Entry'!T124="","",IFERROR(MAX(0,MIN(10,ROUND(IF('Council Entry'!T$7="Decrease Risk",10-10*((IF('Council Entry'!T$4="Logarithm",LN(0.001+IF(AND(ISNUMBER('Council Entry'!T$8),ISNUMBER('Council Entry'!T$9)),MAX(MIN('Council Entry'!T124,'Council Entry'!T$9),'Council Entry'!T$8),'Council Entry'!T124)),IF('Council Entry'!T$4="Exponential",EXP(IF(AND(ISNUMBER('Council Entry'!T$8),ISNUMBER('Council Entry'!T$9)),MAX(MIN('Council Entry'!T124,'Council Entry'!T$9),'Council Entry'!T$8),'Council Entry'!T124)),IF(AND(ISNUMBER('Council Entry'!T$8),ISNUMBER('Council Entry'!T$9)),MAX(MIN('Council Entry'!T124,'Council Entry'!T$9),'Council Entry'!T$8),'Council Entry'!T124))))-'Council Entry'!T$5)/('Council Entry'!T$6-'Council Entry'!T$5),10*((IF('Council Entry'!T$4="Logarithm",LN(0.001+IF(AND(ISNUMBER('Council Entry'!T$8),ISNUMBER('Council Entry'!T$9)),MAX(MIN('Council Entry'!T124,'Council Entry'!T$9),'Council Entry'!T$8),'Council Entry'!T124)),IF('Council Entry'!T$4="Exponential",EXP(IF(AND(ISNUMBER('Council Entry'!T$8),ISNUMBER('Council Entry'!T$9)),MAX(MIN('Council Entry'!T124,'Council Entry'!T$9),'Council Entry'!T$8),'Council Entry'!T124)),IF(AND(ISNUMBER('Council Entry'!T$8),ISNUMBER('Council Entry'!T$9)),MAX(MIN('Council Entry'!T124,'Council Entry'!T$9),'Council Entry'!T$8),'Council Entry'!T124))))-'Council Entry'!T$5)/('Council Entry'!T$6-'Council Entry'!T$5)),1))),"No data"))</f>
        <v/>
      </c>
      <c r="U124" s="13">
        <f>IF('Council Entry'!U124="","",IFERROR(MAX(0,MIN(10,ROUND(IF('Council Entry'!U$7="Decrease Risk",10-10*((IF('Council Entry'!U$4="Logarithm",LN(0.001+IF(AND(ISNUMBER('Council Entry'!U$8),ISNUMBER('Council Entry'!U$9)),MAX(MIN('Council Entry'!U124,'Council Entry'!U$9),'Council Entry'!U$8),'Council Entry'!U124)),IF('Council Entry'!U$4="Exponential",EXP(IF(AND(ISNUMBER('Council Entry'!U$8),ISNUMBER('Council Entry'!U$9)),MAX(MIN('Council Entry'!U124,'Council Entry'!U$9),'Council Entry'!U$8),'Council Entry'!U124)),IF(AND(ISNUMBER('Council Entry'!U$8),ISNUMBER('Council Entry'!U$9)),MAX(MIN('Council Entry'!U124,'Council Entry'!U$9),'Council Entry'!U$8),'Council Entry'!U124))))-'Council Entry'!U$5)/('Council Entry'!U$6-'Council Entry'!U$5),10*((IF('Council Entry'!U$4="Logarithm",LN(0.001+IF(AND(ISNUMBER('Council Entry'!U$8),ISNUMBER('Council Entry'!U$9)),MAX(MIN('Council Entry'!U124,'Council Entry'!U$9),'Council Entry'!U$8),'Council Entry'!U124)),IF('Council Entry'!U$4="Exponential",EXP(IF(AND(ISNUMBER('Council Entry'!U$8),ISNUMBER('Council Entry'!U$9)),MAX(MIN('Council Entry'!U124,'Council Entry'!U$9),'Council Entry'!U$8),'Council Entry'!U124)),IF(AND(ISNUMBER('Council Entry'!U$8),ISNUMBER('Council Entry'!U$9)),MAX(MIN('Council Entry'!U124,'Council Entry'!U$9),'Council Entry'!U$8),'Council Entry'!U124))))-'Council Entry'!U$5)/('Council Entry'!U$6-'Council Entry'!U$5)),1))),"No data"))</f>
        <v/>
      </c>
      <c r="V124" s="13">
        <f>IF('Council Entry'!V124="","",IFERROR(MAX(0,MIN(10,ROUND(IF('Council Entry'!V$7="Decrease Risk",10-10*((IF('Council Entry'!V$4="Logarithm",LN(0.001+IF(AND(ISNUMBER('Council Entry'!V$8),ISNUMBER('Council Entry'!V$9)),MAX(MIN('Council Entry'!V124,'Council Entry'!V$9),'Council Entry'!V$8),'Council Entry'!V124)),IF('Council Entry'!V$4="Exponential",EXP(IF(AND(ISNUMBER('Council Entry'!V$8),ISNUMBER('Council Entry'!V$9)),MAX(MIN('Council Entry'!V124,'Council Entry'!V$9),'Council Entry'!V$8),'Council Entry'!V124)),IF(AND(ISNUMBER('Council Entry'!V$8),ISNUMBER('Council Entry'!V$9)),MAX(MIN('Council Entry'!V124,'Council Entry'!V$9),'Council Entry'!V$8),'Council Entry'!V124))))-'Council Entry'!V$5)/('Council Entry'!V$6-'Council Entry'!V$5),10*((IF('Council Entry'!V$4="Logarithm",LN(0.001+IF(AND(ISNUMBER('Council Entry'!V$8),ISNUMBER('Council Entry'!V$9)),MAX(MIN('Council Entry'!V124,'Council Entry'!V$9),'Council Entry'!V$8),'Council Entry'!V124)),IF('Council Entry'!V$4="Exponential",EXP(IF(AND(ISNUMBER('Council Entry'!V$8),ISNUMBER('Council Entry'!V$9)),MAX(MIN('Council Entry'!V124,'Council Entry'!V$9),'Council Entry'!V$8),'Council Entry'!V124)),IF(AND(ISNUMBER('Council Entry'!V$8),ISNUMBER('Council Entry'!V$9)),MAX(MIN('Council Entry'!V124,'Council Entry'!V$9),'Council Entry'!V$8),'Council Entry'!V124))))-'Council Entry'!V$5)/('Council Entry'!V$6-'Council Entry'!V$5)),1))),"No data"))</f>
        <v/>
      </c>
      <c r="W124" s="13">
        <f>IF('Council Entry'!W124="","",IFERROR(MAX(0,MIN(10,ROUND(IF('Council Entry'!W$7="Decrease Risk",10-10*((IF('Council Entry'!W$4="Logarithm",LN(0.001+IF(AND(ISNUMBER('Council Entry'!W$8),ISNUMBER('Council Entry'!W$9)),MAX(MIN('Council Entry'!W124,'Council Entry'!W$9),'Council Entry'!W$8),'Council Entry'!W124)),IF('Council Entry'!W$4="Exponential",EXP(IF(AND(ISNUMBER('Council Entry'!W$8),ISNUMBER('Council Entry'!W$9)),MAX(MIN('Council Entry'!W124,'Council Entry'!W$9),'Council Entry'!W$8),'Council Entry'!W124)),IF(AND(ISNUMBER('Council Entry'!W$8),ISNUMBER('Council Entry'!W$9)),MAX(MIN('Council Entry'!W124,'Council Entry'!W$9),'Council Entry'!W$8),'Council Entry'!W124))))-'Council Entry'!W$5)/('Council Entry'!W$6-'Council Entry'!W$5),10*((IF('Council Entry'!W$4="Logarithm",LN(0.001+IF(AND(ISNUMBER('Council Entry'!W$8),ISNUMBER('Council Entry'!W$9)),MAX(MIN('Council Entry'!W124,'Council Entry'!W$9),'Council Entry'!W$8),'Council Entry'!W124)),IF('Council Entry'!W$4="Exponential",EXP(IF(AND(ISNUMBER('Council Entry'!W$8),ISNUMBER('Council Entry'!W$9)),MAX(MIN('Council Entry'!W124,'Council Entry'!W$9),'Council Entry'!W$8),'Council Entry'!W124)),IF(AND(ISNUMBER('Council Entry'!W$8),ISNUMBER('Council Entry'!W$9)),MAX(MIN('Council Entry'!W124,'Council Entry'!W$9),'Council Entry'!W$8),'Council Entry'!W124))))-'Council Entry'!W$5)/('Council Entry'!W$6-'Council Entry'!W$5)),1))),"No data"))</f>
        <v/>
      </c>
      <c r="X124" s="13">
        <f>IF('Council Entry'!X124="","",IFERROR(MAX(0,MIN(10,ROUND(IF('Council Entry'!X$7="Decrease Risk",10-10*((IF('Council Entry'!X$4="Logarithm",LN(0.001+IF(AND(ISNUMBER('Council Entry'!X$8),ISNUMBER('Council Entry'!X$9)),MAX(MIN('Council Entry'!X124,'Council Entry'!X$9),'Council Entry'!X$8),'Council Entry'!X124)),IF('Council Entry'!X$4="Exponential",EXP(IF(AND(ISNUMBER('Council Entry'!X$8),ISNUMBER('Council Entry'!X$9)),MAX(MIN('Council Entry'!X124,'Council Entry'!X$9),'Council Entry'!X$8),'Council Entry'!X124)),IF(AND(ISNUMBER('Council Entry'!X$8),ISNUMBER('Council Entry'!X$9)),MAX(MIN('Council Entry'!X124,'Council Entry'!X$9),'Council Entry'!X$8),'Council Entry'!X124))))-'Council Entry'!X$5)/('Council Entry'!X$6-'Council Entry'!X$5),10*((IF('Council Entry'!X$4="Logarithm",LN(0.001+IF(AND(ISNUMBER('Council Entry'!X$8),ISNUMBER('Council Entry'!X$9)),MAX(MIN('Council Entry'!X124,'Council Entry'!X$9),'Council Entry'!X$8),'Council Entry'!X124)),IF('Council Entry'!X$4="Exponential",EXP(IF(AND(ISNUMBER('Council Entry'!X$8),ISNUMBER('Council Entry'!X$9)),MAX(MIN('Council Entry'!X124,'Council Entry'!X$9),'Council Entry'!X$8),'Council Entry'!X124)),IF(AND(ISNUMBER('Council Entry'!X$8),ISNUMBER('Council Entry'!X$9)),MAX(MIN('Council Entry'!X124,'Council Entry'!X$9),'Council Entry'!X$8),'Council Entry'!X124))))-'Council Entry'!X$5)/('Council Entry'!X$6-'Council Entry'!X$5)),1))),"No data"))</f>
        <v/>
      </c>
      <c r="Y124" s="13">
        <f>IF('Council Entry'!Y124="","",IFERROR(MAX(0,MIN(10,ROUND(IF('Council Entry'!Y$7="Decrease Risk",10-10*((IF('Council Entry'!Y$4="Logarithm",LN(0.001+IF(AND(ISNUMBER('Council Entry'!Y$8),ISNUMBER('Council Entry'!Y$9)),MAX(MIN('Council Entry'!Y124,'Council Entry'!Y$9),'Council Entry'!Y$8),'Council Entry'!Y124)),IF('Council Entry'!Y$4="Exponential",EXP(IF(AND(ISNUMBER('Council Entry'!Y$8),ISNUMBER('Council Entry'!Y$9)),MAX(MIN('Council Entry'!Y124,'Council Entry'!Y$9),'Council Entry'!Y$8),'Council Entry'!Y124)),IF(AND(ISNUMBER('Council Entry'!Y$8),ISNUMBER('Council Entry'!Y$9)),MAX(MIN('Council Entry'!Y124,'Council Entry'!Y$9),'Council Entry'!Y$8),'Council Entry'!Y124))))-'Council Entry'!Y$5)/('Council Entry'!Y$6-'Council Entry'!Y$5),10*((IF('Council Entry'!Y$4="Logarithm",LN(0.001+IF(AND(ISNUMBER('Council Entry'!Y$8),ISNUMBER('Council Entry'!Y$9)),MAX(MIN('Council Entry'!Y124,'Council Entry'!Y$9),'Council Entry'!Y$8),'Council Entry'!Y124)),IF('Council Entry'!Y$4="Exponential",EXP(IF(AND(ISNUMBER('Council Entry'!Y$8),ISNUMBER('Council Entry'!Y$9)),MAX(MIN('Council Entry'!Y124,'Council Entry'!Y$9),'Council Entry'!Y$8),'Council Entry'!Y124)),IF(AND(ISNUMBER('Council Entry'!Y$8),ISNUMBER('Council Entry'!Y$9)),MAX(MIN('Council Entry'!Y124,'Council Entry'!Y$9),'Council Entry'!Y$8),'Council Entry'!Y124))))-'Council Entry'!Y$5)/('Council Entry'!Y$6-'Council Entry'!Y$5)),1))),"No data"))</f>
        <v/>
      </c>
      <c r="Z124" s="13">
        <f>IF('Council Entry'!Z124="","",IFERROR(MAX(0,MIN(10,ROUND(IF('Council Entry'!Z$7="Decrease Risk",10-10*((IF('Council Entry'!Z$4="Logarithm",LN(0.001+IF(AND(ISNUMBER('Council Entry'!Z$8),ISNUMBER('Council Entry'!Z$9)),MAX(MIN('Council Entry'!Z124,'Council Entry'!Z$9),'Council Entry'!Z$8),'Council Entry'!Z124)),IF('Council Entry'!Z$4="Exponential",EXP(IF(AND(ISNUMBER('Council Entry'!Z$8),ISNUMBER('Council Entry'!Z$9)),MAX(MIN('Council Entry'!Z124,'Council Entry'!Z$9),'Council Entry'!Z$8),'Council Entry'!Z124)),IF(AND(ISNUMBER('Council Entry'!Z$8),ISNUMBER('Council Entry'!Z$9)),MAX(MIN('Council Entry'!Z124,'Council Entry'!Z$9),'Council Entry'!Z$8),'Council Entry'!Z124))))-'Council Entry'!Z$5)/('Council Entry'!Z$6-'Council Entry'!Z$5),10*((IF('Council Entry'!Z$4="Logarithm",LN(0.001+IF(AND(ISNUMBER('Council Entry'!Z$8),ISNUMBER('Council Entry'!Z$9)),MAX(MIN('Council Entry'!Z124,'Council Entry'!Z$9),'Council Entry'!Z$8),'Council Entry'!Z124)),IF('Council Entry'!Z$4="Exponential",EXP(IF(AND(ISNUMBER('Council Entry'!Z$8),ISNUMBER('Council Entry'!Z$9)),MAX(MIN('Council Entry'!Z124,'Council Entry'!Z$9),'Council Entry'!Z$8),'Council Entry'!Z124)),IF(AND(ISNUMBER('Council Entry'!Z$8),ISNUMBER('Council Entry'!Z$9)),MAX(MIN('Council Entry'!Z124,'Council Entry'!Z$9),'Council Entry'!Z$8),'Council Entry'!Z124))))-'Council Entry'!Z$5)/('Council Entry'!Z$6-'Council Entry'!Z$5)),1))),"No data"))</f>
        <v/>
      </c>
      <c r="AA124" s="13">
        <f>IF('Council Entry'!AA124="","",IFERROR(MAX(0,MIN(10,ROUND(IF('Council Entry'!AA$7="Decrease Risk",10-10*((IF('Council Entry'!AA$4="Logarithm",LN(0.001+IF(AND(ISNUMBER('Council Entry'!AA$8),ISNUMBER('Council Entry'!AA$9)),MAX(MIN('Council Entry'!AA124,'Council Entry'!AA$9),'Council Entry'!AA$8),'Council Entry'!AA124)),IF('Council Entry'!AA$4="Exponential",EXP(IF(AND(ISNUMBER('Council Entry'!AA$8),ISNUMBER('Council Entry'!AA$9)),MAX(MIN('Council Entry'!AA124,'Council Entry'!AA$9),'Council Entry'!AA$8),'Council Entry'!AA124)),IF(AND(ISNUMBER('Council Entry'!AA$8),ISNUMBER('Council Entry'!AA$9)),MAX(MIN('Council Entry'!AA124,'Council Entry'!AA$9),'Council Entry'!AA$8),'Council Entry'!AA124))))-'Council Entry'!AA$5)/('Council Entry'!AA$6-'Council Entry'!AA$5),10*((IF('Council Entry'!AA$4="Logarithm",LN(0.001+IF(AND(ISNUMBER('Council Entry'!AA$8),ISNUMBER('Council Entry'!AA$9)),MAX(MIN('Council Entry'!AA124,'Council Entry'!AA$9),'Council Entry'!AA$8),'Council Entry'!AA124)),IF('Council Entry'!AA$4="Exponential",EXP(IF(AND(ISNUMBER('Council Entry'!AA$8),ISNUMBER('Council Entry'!AA$9)),MAX(MIN('Council Entry'!AA124,'Council Entry'!AA$9),'Council Entry'!AA$8),'Council Entry'!AA124)),IF(AND(ISNUMBER('Council Entry'!AA$8),ISNUMBER('Council Entry'!AA$9)),MAX(MIN('Council Entry'!AA124,'Council Entry'!AA$9),'Council Entry'!AA$8),'Council Entry'!AA124))))-'Council Entry'!AA$5)/('Council Entry'!AA$6-'Council Entry'!AA$5)),1))),"No data"))</f>
        <v/>
      </c>
      <c r="AB124" s="13">
        <f>IF('Council Entry'!AB124="","",IFERROR(MAX(0,MIN(10,ROUND(IF('Council Entry'!AB$7="Decrease Risk",10-10*((IF('Council Entry'!AB$4="Logarithm",LN(0.001+IF(AND(ISNUMBER('Council Entry'!AB$8),ISNUMBER('Council Entry'!AB$9)),MAX(MIN('Council Entry'!AB124,'Council Entry'!AB$9),'Council Entry'!AB$8),'Council Entry'!AB124)),IF('Council Entry'!AB$4="Exponential",EXP(IF(AND(ISNUMBER('Council Entry'!AB$8),ISNUMBER('Council Entry'!AB$9)),MAX(MIN('Council Entry'!AB124,'Council Entry'!AB$9),'Council Entry'!AB$8),'Council Entry'!AB124)),IF(AND(ISNUMBER('Council Entry'!AB$8),ISNUMBER('Council Entry'!AB$9)),MAX(MIN('Council Entry'!AB124,'Council Entry'!AB$9),'Council Entry'!AB$8),'Council Entry'!AB124))))-'Council Entry'!AB$5)/('Council Entry'!AB$6-'Council Entry'!AB$5),10*((IF('Council Entry'!AB$4="Logarithm",LN(0.001+IF(AND(ISNUMBER('Council Entry'!AB$8),ISNUMBER('Council Entry'!AB$9)),MAX(MIN('Council Entry'!AB124,'Council Entry'!AB$9),'Council Entry'!AB$8),'Council Entry'!AB124)),IF('Council Entry'!AB$4="Exponential",EXP(IF(AND(ISNUMBER('Council Entry'!AB$8),ISNUMBER('Council Entry'!AB$9)),MAX(MIN('Council Entry'!AB124,'Council Entry'!AB$9),'Council Entry'!AB$8),'Council Entry'!AB124)),IF(AND(ISNUMBER('Council Entry'!AB$8),ISNUMBER('Council Entry'!AB$9)),MAX(MIN('Council Entry'!AB124,'Council Entry'!AB$9),'Council Entry'!AB$8),'Council Entry'!AB124))))-'Council Entry'!AB$5)/('Council Entry'!AB$6-'Council Entry'!AB$5)),1))),"No data"))</f>
        <v/>
      </c>
      <c r="AC124" s="13">
        <f>IF('Council Entry'!AC124="","",IFERROR(MAX(0,MIN(10,ROUND(IF('Council Entry'!AC$7="Decrease Risk",10-10*((IF('Council Entry'!AC$4="Logarithm",LN(0.001+IF(AND(ISNUMBER('Council Entry'!AC$8),ISNUMBER('Council Entry'!AC$9)),MAX(MIN('Council Entry'!AC124,'Council Entry'!AC$9),'Council Entry'!AC$8),'Council Entry'!AC124)),IF('Council Entry'!AC$4="Exponential",EXP(IF(AND(ISNUMBER('Council Entry'!AC$8),ISNUMBER('Council Entry'!AC$9)),MAX(MIN('Council Entry'!AC124,'Council Entry'!AC$9),'Council Entry'!AC$8),'Council Entry'!AC124)),IF(AND(ISNUMBER('Council Entry'!AC$8),ISNUMBER('Council Entry'!AC$9)),MAX(MIN('Council Entry'!AC124,'Council Entry'!AC$9),'Council Entry'!AC$8),'Council Entry'!AC124))))-'Council Entry'!AC$5)/('Council Entry'!AC$6-'Council Entry'!AC$5),10*((IF('Council Entry'!AC$4="Logarithm",LN(0.001+IF(AND(ISNUMBER('Council Entry'!AC$8),ISNUMBER('Council Entry'!AC$9)),MAX(MIN('Council Entry'!AC124,'Council Entry'!AC$9),'Council Entry'!AC$8),'Council Entry'!AC124)),IF('Council Entry'!AC$4="Exponential",EXP(IF(AND(ISNUMBER('Council Entry'!AC$8),ISNUMBER('Council Entry'!AC$9)),MAX(MIN('Council Entry'!AC124,'Council Entry'!AC$9),'Council Entry'!AC$8),'Council Entry'!AC124)),IF(AND(ISNUMBER('Council Entry'!AC$8),ISNUMBER('Council Entry'!AC$9)),MAX(MIN('Council Entry'!AC124,'Council Entry'!AC$9),'Council Entry'!AC$8),'Council Entry'!AC124))))-'Council Entry'!AC$5)/('Council Entry'!AC$6-'Council Entry'!AC$5)),1))),"No data"))</f>
        <v/>
      </c>
      <c r="AD124" s="13">
        <f>IF('Council Entry'!AD124="","",IFERROR(MAX(0,MIN(10,ROUND(IF('Council Entry'!AD$7="Decrease Risk",10-10*((IF('Council Entry'!AD$4="Logarithm",LN(0.001+IF(AND(ISNUMBER('Council Entry'!AD$8),ISNUMBER('Council Entry'!AD$9)),MAX(MIN('Council Entry'!AD124,'Council Entry'!AD$9),'Council Entry'!AD$8),'Council Entry'!AD124)),IF('Council Entry'!AD$4="Exponential",EXP(IF(AND(ISNUMBER('Council Entry'!AD$8),ISNUMBER('Council Entry'!AD$9)),MAX(MIN('Council Entry'!AD124,'Council Entry'!AD$9),'Council Entry'!AD$8),'Council Entry'!AD124)),IF(AND(ISNUMBER('Council Entry'!AD$8),ISNUMBER('Council Entry'!AD$9)),MAX(MIN('Council Entry'!AD124,'Council Entry'!AD$9),'Council Entry'!AD$8),'Council Entry'!AD124))))-'Council Entry'!AD$5)/('Council Entry'!AD$6-'Council Entry'!AD$5),10*((IF('Council Entry'!AD$4="Logarithm",LN(0.001+IF(AND(ISNUMBER('Council Entry'!AD$8),ISNUMBER('Council Entry'!AD$9)),MAX(MIN('Council Entry'!AD124,'Council Entry'!AD$9),'Council Entry'!AD$8),'Council Entry'!AD124)),IF('Council Entry'!AD$4="Exponential",EXP(IF(AND(ISNUMBER('Council Entry'!AD$8),ISNUMBER('Council Entry'!AD$9)),MAX(MIN('Council Entry'!AD124,'Council Entry'!AD$9),'Council Entry'!AD$8),'Council Entry'!AD124)),IF(AND(ISNUMBER('Council Entry'!AD$8),ISNUMBER('Council Entry'!AD$9)),MAX(MIN('Council Entry'!AD124,'Council Entry'!AD$9),'Council Entry'!AD$8),'Council Entry'!AD124))))-'Council Entry'!AD$5)/('Council Entry'!AD$6-'Council Entry'!AD$5)),1))),"No data"))</f>
        <v/>
      </c>
      <c r="AE124" s="13">
        <f>IF('Council Entry'!AE124="","",IFERROR(MAX(0,MIN(10,ROUND(IF('Council Entry'!AE$7="Decrease Risk",10-10*((IF('Council Entry'!AE$4="Logarithm",LN(0.001+IF(AND(ISNUMBER('Council Entry'!AE$8),ISNUMBER('Council Entry'!AE$9)),MAX(MIN('Council Entry'!AE124,'Council Entry'!AE$9),'Council Entry'!AE$8),'Council Entry'!AE124)),IF('Council Entry'!AE$4="Exponential",EXP(IF(AND(ISNUMBER('Council Entry'!AE$8),ISNUMBER('Council Entry'!AE$9)),MAX(MIN('Council Entry'!AE124,'Council Entry'!AE$9),'Council Entry'!AE$8),'Council Entry'!AE124)),IF(AND(ISNUMBER('Council Entry'!AE$8),ISNUMBER('Council Entry'!AE$9)),MAX(MIN('Council Entry'!AE124,'Council Entry'!AE$9),'Council Entry'!AE$8),'Council Entry'!AE124))))-'Council Entry'!AE$5)/('Council Entry'!AE$6-'Council Entry'!AE$5),10*((IF('Council Entry'!AE$4="Logarithm",LN(0.001+IF(AND(ISNUMBER('Council Entry'!AE$8),ISNUMBER('Council Entry'!AE$9)),MAX(MIN('Council Entry'!AE124,'Council Entry'!AE$9),'Council Entry'!AE$8),'Council Entry'!AE124)),IF('Council Entry'!AE$4="Exponential",EXP(IF(AND(ISNUMBER('Council Entry'!AE$8),ISNUMBER('Council Entry'!AE$9)),MAX(MIN('Council Entry'!AE124,'Council Entry'!AE$9),'Council Entry'!AE$8),'Council Entry'!AE124)),IF(AND(ISNUMBER('Council Entry'!AE$8),ISNUMBER('Council Entry'!AE$9)),MAX(MIN('Council Entry'!AE124,'Council Entry'!AE$9),'Council Entry'!AE$8),'Council Entry'!AE124))))-'Council Entry'!AE$5)/('Council Entry'!AE$6-'Council Entry'!AE$5)),1))),"No data"))</f>
        <v/>
      </c>
      <c r="AF124" s="13">
        <f>IF('Council Entry'!AF124="","",IFERROR(MAX(0,MIN(10,ROUND(IF('Council Entry'!AF$7="Decrease Risk",10-10*((IF('Council Entry'!AF$4="Logarithm",LN(0.001+IF(AND(ISNUMBER('Council Entry'!AF$8),ISNUMBER('Council Entry'!AF$9)),MAX(MIN('Council Entry'!AF124,'Council Entry'!AF$9),'Council Entry'!AF$8),'Council Entry'!AF124)),IF('Council Entry'!AF$4="Exponential",EXP(IF(AND(ISNUMBER('Council Entry'!AF$8),ISNUMBER('Council Entry'!AF$9)),MAX(MIN('Council Entry'!AF124,'Council Entry'!AF$9),'Council Entry'!AF$8),'Council Entry'!AF124)),IF(AND(ISNUMBER('Council Entry'!AF$8),ISNUMBER('Council Entry'!AF$9)),MAX(MIN('Council Entry'!AF124,'Council Entry'!AF$9),'Council Entry'!AF$8),'Council Entry'!AF124))))-'Council Entry'!AF$5)/('Council Entry'!AF$6-'Council Entry'!AF$5),10*((IF('Council Entry'!AF$4="Logarithm",LN(0.001+IF(AND(ISNUMBER('Council Entry'!AF$8),ISNUMBER('Council Entry'!AF$9)),MAX(MIN('Council Entry'!AF124,'Council Entry'!AF$9),'Council Entry'!AF$8),'Council Entry'!AF124)),IF('Council Entry'!AF$4="Exponential",EXP(IF(AND(ISNUMBER('Council Entry'!AF$8),ISNUMBER('Council Entry'!AF$9)),MAX(MIN('Council Entry'!AF124,'Council Entry'!AF$9),'Council Entry'!AF$8),'Council Entry'!AF124)),IF(AND(ISNUMBER('Council Entry'!AF$8),ISNUMBER('Council Entry'!AF$9)),MAX(MIN('Council Entry'!AF124,'Council Entry'!AF$9),'Council Entry'!AF$8),'Council Entry'!AF124))))-'Council Entry'!AF$5)/('Council Entry'!AF$6-'Council Entry'!AF$5)),1))),"No data"))</f>
        <v/>
      </c>
      <c r="AG124" s="13">
        <f>IF('Council Entry'!AG124="","",IFERROR(MAX(0,MIN(10,ROUND(IF('Council Entry'!AG$7="Decrease Risk",10-10*((IF('Council Entry'!AG$4="Logarithm",LN(0.001+IF(AND(ISNUMBER('Council Entry'!AG$8),ISNUMBER('Council Entry'!AG$9)),MAX(MIN('Council Entry'!AG124,'Council Entry'!AG$9),'Council Entry'!AG$8),'Council Entry'!AG124)),IF('Council Entry'!AG$4="Exponential",EXP(IF(AND(ISNUMBER('Council Entry'!AG$8),ISNUMBER('Council Entry'!AG$9)),MAX(MIN('Council Entry'!AG124,'Council Entry'!AG$9),'Council Entry'!AG$8),'Council Entry'!AG124)),IF(AND(ISNUMBER('Council Entry'!AG$8),ISNUMBER('Council Entry'!AG$9)),MAX(MIN('Council Entry'!AG124,'Council Entry'!AG$9),'Council Entry'!AG$8),'Council Entry'!AG124))))-'Council Entry'!AG$5)/('Council Entry'!AG$6-'Council Entry'!AG$5),10*((IF('Council Entry'!AG$4="Logarithm",LN(0.001+IF(AND(ISNUMBER('Council Entry'!AG$8),ISNUMBER('Council Entry'!AG$9)),MAX(MIN('Council Entry'!AG124,'Council Entry'!AG$9),'Council Entry'!AG$8),'Council Entry'!AG124)),IF('Council Entry'!AG$4="Exponential",EXP(IF(AND(ISNUMBER('Council Entry'!AG$8),ISNUMBER('Council Entry'!AG$9)),MAX(MIN('Council Entry'!AG124,'Council Entry'!AG$9),'Council Entry'!AG$8),'Council Entry'!AG124)),IF(AND(ISNUMBER('Council Entry'!AG$8),ISNUMBER('Council Entry'!AG$9)),MAX(MIN('Council Entry'!AG124,'Council Entry'!AG$9),'Council Entry'!AG$8),'Council Entry'!AG124))))-'Council Entry'!AG$5)/('Council Entry'!AG$6-'Council Entry'!AG$5)),1))),"No data"))</f>
        <v/>
      </c>
      <c r="AH124" s="13">
        <f>IF('Council Entry'!AH124="","",IFERROR(MAX(0,MIN(10,ROUND(IF('Council Entry'!AH$7="Decrease Risk",10-10*((IF('Council Entry'!AH$4="Logarithm",LN(0.001+IF(AND(ISNUMBER('Council Entry'!AH$8),ISNUMBER('Council Entry'!AH$9)),MAX(MIN('Council Entry'!AH124,'Council Entry'!AH$9),'Council Entry'!AH$8),'Council Entry'!AH124)),IF('Council Entry'!AH$4="Exponential",EXP(IF(AND(ISNUMBER('Council Entry'!AH$8),ISNUMBER('Council Entry'!AH$9)),MAX(MIN('Council Entry'!AH124,'Council Entry'!AH$9),'Council Entry'!AH$8),'Council Entry'!AH124)),IF(AND(ISNUMBER('Council Entry'!AH$8),ISNUMBER('Council Entry'!AH$9)),MAX(MIN('Council Entry'!AH124,'Council Entry'!AH$9),'Council Entry'!AH$8),'Council Entry'!AH124))))-'Council Entry'!AH$5)/('Council Entry'!AH$6-'Council Entry'!AH$5),10*((IF('Council Entry'!AH$4="Logarithm",LN(0.001+IF(AND(ISNUMBER('Council Entry'!AH$8),ISNUMBER('Council Entry'!AH$9)),MAX(MIN('Council Entry'!AH124,'Council Entry'!AH$9),'Council Entry'!AH$8),'Council Entry'!AH124)),IF('Council Entry'!AH$4="Exponential",EXP(IF(AND(ISNUMBER('Council Entry'!AH$8),ISNUMBER('Council Entry'!AH$9)),MAX(MIN('Council Entry'!AH124,'Council Entry'!AH$9),'Council Entry'!AH$8),'Council Entry'!AH124)),IF(AND(ISNUMBER('Council Entry'!AH$8),ISNUMBER('Council Entry'!AH$9)),MAX(MIN('Council Entry'!AH124,'Council Entry'!AH$9),'Council Entry'!AH$8),'Council Entry'!AH124))))-'Council Entry'!AH$5)/('Council Entry'!AH$6-'Council Entry'!AH$5)),1))),"No data"))</f>
        <v/>
      </c>
      <c r="AI124" s="13">
        <f>IF('Council Entry'!AI124="","",IFERROR(MAX(0,MIN(10,ROUND(IF('Council Entry'!AI$7="Decrease Risk",10-10*((IF('Council Entry'!AI$4="Logarithm",LN(0.001+IF(AND(ISNUMBER('Council Entry'!AI$8),ISNUMBER('Council Entry'!AI$9)),MAX(MIN('Council Entry'!AI124,'Council Entry'!AI$9),'Council Entry'!AI$8),'Council Entry'!AI124)),IF('Council Entry'!AI$4="Exponential",EXP(IF(AND(ISNUMBER('Council Entry'!AI$8),ISNUMBER('Council Entry'!AI$9)),MAX(MIN('Council Entry'!AI124,'Council Entry'!AI$9),'Council Entry'!AI$8),'Council Entry'!AI124)),IF(AND(ISNUMBER('Council Entry'!AI$8),ISNUMBER('Council Entry'!AI$9)),MAX(MIN('Council Entry'!AI124,'Council Entry'!AI$9),'Council Entry'!AI$8),'Council Entry'!AI124))))-'Council Entry'!AI$5)/('Council Entry'!AI$6-'Council Entry'!AI$5),10*((IF('Council Entry'!AI$4="Logarithm",LN(0.001+IF(AND(ISNUMBER('Council Entry'!AI$8),ISNUMBER('Council Entry'!AI$9)),MAX(MIN('Council Entry'!AI124,'Council Entry'!AI$9),'Council Entry'!AI$8),'Council Entry'!AI124)),IF('Council Entry'!AI$4="Exponential",EXP(IF(AND(ISNUMBER('Council Entry'!AI$8),ISNUMBER('Council Entry'!AI$9)),MAX(MIN('Council Entry'!AI124,'Council Entry'!AI$9),'Council Entry'!AI$8),'Council Entry'!AI124)),IF(AND(ISNUMBER('Council Entry'!AI$8),ISNUMBER('Council Entry'!AI$9)),MAX(MIN('Council Entry'!AI124,'Council Entry'!AI$9),'Council Entry'!AI$8),'Council Entry'!AI124))))-'Council Entry'!AI$5)/('Council Entry'!AI$6-'Council Entry'!AI$5)),1))),"No data"))</f>
        <v/>
      </c>
      <c r="AJ124" s="13">
        <f>IF('Council Entry'!AJ124="","",IFERROR(MAX(0,MIN(10,ROUND(IF('Council Entry'!AJ$7="Decrease Risk",10-10*((IF('Council Entry'!AJ$4="Logarithm",LN(0.001+IF(AND(ISNUMBER('Council Entry'!AJ$8),ISNUMBER('Council Entry'!AJ$9)),MAX(MIN('Council Entry'!AJ124,'Council Entry'!AJ$9),'Council Entry'!AJ$8),'Council Entry'!AJ124)),IF('Council Entry'!AJ$4="Exponential",EXP(IF(AND(ISNUMBER('Council Entry'!AJ$8),ISNUMBER('Council Entry'!AJ$9)),MAX(MIN('Council Entry'!AJ124,'Council Entry'!AJ$9),'Council Entry'!AJ$8),'Council Entry'!AJ124)),IF(AND(ISNUMBER('Council Entry'!AJ$8),ISNUMBER('Council Entry'!AJ$9)),MAX(MIN('Council Entry'!AJ124,'Council Entry'!AJ$9),'Council Entry'!AJ$8),'Council Entry'!AJ124))))-'Council Entry'!AJ$5)/('Council Entry'!AJ$6-'Council Entry'!AJ$5),10*((IF('Council Entry'!AJ$4="Logarithm",LN(0.001+IF(AND(ISNUMBER('Council Entry'!AJ$8),ISNUMBER('Council Entry'!AJ$9)),MAX(MIN('Council Entry'!AJ124,'Council Entry'!AJ$9),'Council Entry'!AJ$8),'Council Entry'!AJ124)),IF('Council Entry'!AJ$4="Exponential",EXP(IF(AND(ISNUMBER('Council Entry'!AJ$8),ISNUMBER('Council Entry'!AJ$9)),MAX(MIN('Council Entry'!AJ124,'Council Entry'!AJ$9),'Council Entry'!AJ$8),'Council Entry'!AJ124)),IF(AND(ISNUMBER('Council Entry'!AJ$8),ISNUMBER('Council Entry'!AJ$9)),MAX(MIN('Council Entry'!AJ124,'Council Entry'!AJ$9),'Council Entry'!AJ$8),'Council Entry'!AJ124))))-'Council Entry'!AJ$5)/('Council Entry'!AJ$6-'Council Entry'!AJ$5)),1))),"No data"))</f>
        <v/>
      </c>
      <c r="AK124" s="13">
        <f>IF('Council Entry'!AK124="","",IFERROR(MAX(0,MIN(10,ROUND(IF('Council Entry'!AK$7="Decrease Risk",10-10*((IF('Council Entry'!AK$4="Logarithm",LN(0.001+IF(AND(ISNUMBER('Council Entry'!AK$8),ISNUMBER('Council Entry'!AK$9)),MAX(MIN('Council Entry'!AK124,'Council Entry'!AK$9),'Council Entry'!AK$8),'Council Entry'!AK124)),IF('Council Entry'!AK$4="Exponential",EXP(IF(AND(ISNUMBER('Council Entry'!AK$8),ISNUMBER('Council Entry'!AK$9)),MAX(MIN('Council Entry'!AK124,'Council Entry'!AK$9),'Council Entry'!AK$8),'Council Entry'!AK124)),IF(AND(ISNUMBER('Council Entry'!AK$8),ISNUMBER('Council Entry'!AK$9)),MAX(MIN('Council Entry'!AK124,'Council Entry'!AK$9),'Council Entry'!AK$8),'Council Entry'!AK124))))-'Council Entry'!AK$5)/('Council Entry'!AK$6-'Council Entry'!AK$5),10*((IF('Council Entry'!AK$4="Logarithm",LN(0.001+IF(AND(ISNUMBER('Council Entry'!AK$8),ISNUMBER('Council Entry'!AK$9)),MAX(MIN('Council Entry'!AK124,'Council Entry'!AK$9),'Council Entry'!AK$8),'Council Entry'!AK124)),IF('Council Entry'!AK$4="Exponential",EXP(IF(AND(ISNUMBER('Council Entry'!AK$8),ISNUMBER('Council Entry'!AK$9)),MAX(MIN('Council Entry'!AK124,'Council Entry'!AK$9),'Council Entry'!AK$8),'Council Entry'!AK124)),IF(AND(ISNUMBER('Council Entry'!AK$8),ISNUMBER('Council Entry'!AK$9)),MAX(MIN('Council Entry'!AK124,'Council Entry'!AK$9),'Council Entry'!AK$8),'Council Entry'!AK124))))-'Council Entry'!AK$5)/('Council Entry'!AK$6-'Council Entry'!AK$5)),1))),"No data"))</f>
        <v/>
      </c>
      <c r="AL124" s="13">
        <f>IF('Council Entry'!AL124="","",IFERROR(MAX(0,MIN(10,ROUND(IF('Council Entry'!AL$7="Decrease Risk",10-10*((IF('Council Entry'!AL$4="Logarithm",LN(0.001+IF(AND(ISNUMBER('Council Entry'!AL$8),ISNUMBER('Council Entry'!AL$9)),MAX(MIN('Council Entry'!AL124,'Council Entry'!AL$9),'Council Entry'!AL$8),'Council Entry'!AL124)),IF('Council Entry'!AL$4="Exponential",EXP(IF(AND(ISNUMBER('Council Entry'!AL$8),ISNUMBER('Council Entry'!AL$9)),MAX(MIN('Council Entry'!AL124,'Council Entry'!AL$9),'Council Entry'!AL$8),'Council Entry'!AL124)),IF(AND(ISNUMBER('Council Entry'!AL$8),ISNUMBER('Council Entry'!AL$9)),MAX(MIN('Council Entry'!AL124,'Council Entry'!AL$9),'Council Entry'!AL$8),'Council Entry'!AL124))))-'Council Entry'!AL$5)/('Council Entry'!AL$6-'Council Entry'!AL$5),10*((IF('Council Entry'!AL$4="Logarithm",LN(0.001+IF(AND(ISNUMBER('Council Entry'!AL$8),ISNUMBER('Council Entry'!AL$9)),MAX(MIN('Council Entry'!AL124,'Council Entry'!AL$9),'Council Entry'!AL$8),'Council Entry'!AL124)),IF('Council Entry'!AL$4="Exponential",EXP(IF(AND(ISNUMBER('Council Entry'!AL$8),ISNUMBER('Council Entry'!AL$9)),MAX(MIN('Council Entry'!AL124,'Council Entry'!AL$9),'Council Entry'!AL$8),'Council Entry'!AL124)),IF(AND(ISNUMBER('Council Entry'!AL$8),ISNUMBER('Council Entry'!AL$9)),MAX(MIN('Council Entry'!AL124,'Council Entry'!AL$9),'Council Entry'!AL$8),'Council Entry'!AL124))))-'Council Entry'!AL$5)/('Council Entry'!AL$6-'Council Entry'!AL$5)),1))),"No data"))</f>
        <v/>
      </c>
      <c r="AM124" s="13">
        <f>IF('Council Entry'!AM124="","",IFERROR(MAX(0,MIN(10,ROUND(IF('Council Entry'!AM$7="Decrease Risk",10-10*((IF('Council Entry'!AM$4="Logarithm",LN(0.001+IF(AND(ISNUMBER('Council Entry'!AM$8),ISNUMBER('Council Entry'!AM$9)),MAX(MIN('Council Entry'!AM124,'Council Entry'!AM$9),'Council Entry'!AM$8),'Council Entry'!AM124)),IF('Council Entry'!AM$4="Exponential",EXP(IF(AND(ISNUMBER('Council Entry'!AM$8),ISNUMBER('Council Entry'!AM$9)),MAX(MIN('Council Entry'!AM124,'Council Entry'!AM$9),'Council Entry'!AM$8),'Council Entry'!AM124)),IF(AND(ISNUMBER('Council Entry'!AM$8),ISNUMBER('Council Entry'!AM$9)),MAX(MIN('Council Entry'!AM124,'Council Entry'!AM$9),'Council Entry'!AM$8),'Council Entry'!AM124))))-'Council Entry'!AM$5)/('Council Entry'!AM$6-'Council Entry'!AM$5),10*((IF('Council Entry'!AM$4="Logarithm",LN(0.001+IF(AND(ISNUMBER('Council Entry'!AM$8),ISNUMBER('Council Entry'!AM$9)),MAX(MIN('Council Entry'!AM124,'Council Entry'!AM$9),'Council Entry'!AM$8),'Council Entry'!AM124)),IF('Council Entry'!AM$4="Exponential",EXP(IF(AND(ISNUMBER('Council Entry'!AM$8),ISNUMBER('Council Entry'!AM$9)),MAX(MIN('Council Entry'!AM124,'Council Entry'!AM$9),'Council Entry'!AM$8),'Council Entry'!AM124)),IF(AND(ISNUMBER('Council Entry'!AM$8),ISNUMBER('Council Entry'!AM$9)),MAX(MIN('Council Entry'!AM124,'Council Entry'!AM$9),'Council Entry'!AM$8),'Council Entry'!AM124))))-'Council Entry'!AM$5)/('Council Entry'!AM$6-'Council Entry'!AM$5)),1))),"No data"))</f>
        <v/>
      </c>
      <c r="AN124" s="13">
        <f>IF('Council Entry'!AN124="","",IFERROR(MAX(0,MIN(10,ROUND(IF('Council Entry'!AN$7="Decrease Risk",10-10*((IF('Council Entry'!AN$4="Logarithm",LN(0.001+IF(AND(ISNUMBER('Council Entry'!AN$8),ISNUMBER('Council Entry'!AN$9)),MAX(MIN('Council Entry'!AN124,'Council Entry'!AN$9),'Council Entry'!AN$8),'Council Entry'!AN124)),IF('Council Entry'!AN$4="Exponential",EXP(IF(AND(ISNUMBER('Council Entry'!AN$8),ISNUMBER('Council Entry'!AN$9)),MAX(MIN('Council Entry'!AN124,'Council Entry'!AN$9),'Council Entry'!AN$8),'Council Entry'!AN124)),IF(AND(ISNUMBER('Council Entry'!AN$8),ISNUMBER('Council Entry'!AN$9)),MAX(MIN('Council Entry'!AN124,'Council Entry'!AN$9),'Council Entry'!AN$8),'Council Entry'!AN124))))-'Council Entry'!AN$5)/('Council Entry'!AN$6-'Council Entry'!AN$5),10*((IF('Council Entry'!AN$4="Logarithm",LN(0.001+IF(AND(ISNUMBER('Council Entry'!AN$8),ISNUMBER('Council Entry'!AN$9)),MAX(MIN('Council Entry'!AN124,'Council Entry'!AN$9),'Council Entry'!AN$8),'Council Entry'!AN124)),IF('Council Entry'!AN$4="Exponential",EXP(IF(AND(ISNUMBER('Council Entry'!AN$8),ISNUMBER('Council Entry'!AN$9)),MAX(MIN('Council Entry'!AN124,'Council Entry'!AN$9),'Council Entry'!AN$8),'Council Entry'!AN124)),IF(AND(ISNUMBER('Council Entry'!AN$8),ISNUMBER('Council Entry'!AN$9)),MAX(MIN('Council Entry'!AN124,'Council Entry'!AN$9),'Council Entry'!AN$8),'Council Entry'!AN124))))-'Council Entry'!AN$5)/('Council Entry'!AN$6-'Council Entry'!AN$5)),1))),"No data"))</f>
        <v/>
      </c>
      <c r="AO124" s="13">
        <f>IF('Council Entry'!AO124="","",IFERROR(MAX(0,MIN(10,ROUND(IF('Council Entry'!AO$7="Decrease Risk",10-10*((IF('Council Entry'!AO$4="Logarithm",LN(0.001+IF(AND(ISNUMBER('Council Entry'!AO$8),ISNUMBER('Council Entry'!AO$9)),MAX(MIN('Council Entry'!AO124,'Council Entry'!AO$9),'Council Entry'!AO$8),'Council Entry'!AO124)),IF('Council Entry'!AO$4="Exponential",EXP(IF(AND(ISNUMBER('Council Entry'!AO$8),ISNUMBER('Council Entry'!AO$9)),MAX(MIN('Council Entry'!AO124,'Council Entry'!AO$9),'Council Entry'!AO$8),'Council Entry'!AO124)),IF(AND(ISNUMBER('Council Entry'!AO$8),ISNUMBER('Council Entry'!AO$9)),MAX(MIN('Council Entry'!AO124,'Council Entry'!AO$9),'Council Entry'!AO$8),'Council Entry'!AO124))))-'Council Entry'!AO$5)/('Council Entry'!AO$6-'Council Entry'!AO$5),10*((IF('Council Entry'!AO$4="Logarithm",LN(0.001+IF(AND(ISNUMBER('Council Entry'!AO$8),ISNUMBER('Council Entry'!AO$9)),MAX(MIN('Council Entry'!AO124,'Council Entry'!AO$9),'Council Entry'!AO$8),'Council Entry'!AO124)),IF('Council Entry'!AO$4="Exponential",EXP(IF(AND(ISNUMBER('Council Entry'!AO$8),ISNUMBER('Council Entry'!AO$9)),MAX(MIN('Council Entry'!AO124,'Council Entry'!AO$9),'Council Entry'!AO$8),'Council Entry'!AO124)),IF(AND(ISNUMBER('Council Entry'!AO$8),ISNUMBER('Council Entry'!AO$9)),MAX(MIN('Council Entry'!AO124,'Council Entry'!AO$9),'Council Entry'!AO$8),'Council Entry'!AO124))))-'Council Entry'!AO$5)/('Council Entry'!AO$6-'Council Entry'!AO$5)),1))),"No data"))</f>
        <v/>
      </c>
      <c r="AP124" s="13">
        <f>IF('Council Entry'!AP124="","",IFERROR(MAX(0,MIN(10,ROUND(IF('Council Entry'!AP$7="Decrease Risk",10-10*((IF('Council Entry'!AP$4="Logarithm",LN(0.001+IF(AND(ISNUMBER('Council Entry'!AP$8),ISNUMBER('Council Entry'!AP$9)),MAX(MIN('Council Entry'!AP124,'Council Entry'!AP$9),'Council Entry'!AP$8),'Council Entry'!AP124)),IF('Council Entry'!AP$4="Exponential",EXP(IF(AND(ISNUMBER('Council Entry'!AP$8),ISNUMBER('Council Entry'!AP$9)),MAX(MIN('Council Entry'!AP124,'Council Entry'!AP$9),'Council Entry'!AP$8),'Council Entry'!AP124)),IF(AND(ISNUMBER('Council Entry'!AP$8),ISNUMBER('Council Entry'!AP$9)),MAX(MIN('Council Entry'!AP124,'Council Entry'!AP$9),'Council Entry'!AP$8),'Council Entry'!AP124))))-'Council Entry'!AP$5)/('Council Entry'!AP$6-'Council Entry'!AP$5),10*((IF('Council Entry'!AP$4="Logarithm",LN(0.001+IF(AND(ISNUMBER('Council Entry'!AP$8),ISNUMBER('Council Entry'!AP$9)),MAX(MIN('Council Entry'!AP124,'Council Entry'!AP$9),'Council Entry'!AP$8),'Council Entry'!AP124)),IF('Council Entry'!AP$4="Exponential",EXP(IF(AND(ISNUMBER('Council Entry'!AP$8),ISNUMBER('Council Entry'!AP$9)),MAX(MIN('Council Entry'!AP124,'Council Entry'!AP$9),'Council Entry'!AP$8),'Council Entry'!AP124)),IF(AND(ISNUMBER('Council Entry'!AP$8),ISNUMBER('Council Entry'!AP$9)),MAX(MIN('Council Entry'!AP124,'Council Entry'!AP$9),'Council Entry'!AP$8),'Council Entry'!AP124))))-'Council Entry'!AP$5)/('Council Entry'!AP$6-'Council Entry'!AP$5)),1))),"No data"))</f>
        <v/>
      </c>
      <c r="AQ124" s="13">
        <f>IF('Council Entry'!AQ124="","",IFERROR(MAX(0,MIN(10,ROUND(IF('Council Entry'!AQ$7="Decrease Risk",10-10*((IF('Council Entry'!AQ$4="Logarithm",LN(0.001+IF(AND(ISNUMBER('Council Entry'!AQ$8),ISNUMBER('Council Entry'!AQ$9)),MAX(MIN('Council Entry'!AQ124,'Council Entry'!AQ$9),'Council Entry'!AQ$8),'Council Entry'!AQ124)),IF('Council Entry'!AQ$4="Exponential",EXP(IF(AND(ISNUMBER('Council Entry'!AQ$8),ISNUMBER('Council Entry'!AQ$9)),MAX(MIN('Council Entry'!AQ124,'Council Entry'!AQ$9),'Council Entry'!AQ$8),'Council Entry'!AQ124)),IF(AND(ISNUMBER('Council Entry'!AQ$8),ISNUMBER('Council Entry'!AQ$9)),MAX(MIN('Council Entry'!AQ124,'Council Entry'!AQ$9),'Council Entry'!AQ$8),'Council Entry'!AQ124))))-'Council Entry'!AQ$5)/('Council Entry'!AQ$6-'Council Entry'!AQ$5),10*((IF('Council Entry'!AQ$4="Logarithm",LN(0.001+IF(AND(ISNUMBER('Council Entry'!AQ$8),ISNUMBER('Council Entry'!AQ$9)),MAX(MIN('Council Entry'!AQ124,'Council Entry'!AQ$9),'Council Entry'!AQ$8),'Council Entry'!AQ124)),IF('Council Entry'!AQ$4="Exponential",EXP(IF(AND(ISNUMBER('Council Entry'!AQ$8),ISNUMBER('Council Entry'!AQ$9)),MAX(MIN('Council Entry'!AQ124,'Council Entry'!AQ$9),'Council Entry'!AQ$8),'Council Entry'!AQ124)),IF(AND(ISNUMBER('Council Entry'!AQ$8),ISNUMBER('Council Entry'!AQ$9)),MAX(MIN('Council Entry'!AQ124,'Council Entry'!AQ$9),'Council Entry'!AQ$8),'Council Entry'!AQ124))))-'Council Entry'!AQ$5)/('Council Entry'!AQ$6-'Council Entry'!AQ$5)),1))),"No data"))</f>
        <v/>
      </c>
      <c r="AR124" s="13">
        <f>IF('Council Entry'!AR124="","",IFERROR(MAX(0,MIN(10,ROUND(IF('Council Entry'!AR$7="Decrease Risk",10-10*((IF('Council Entry'!AR$4="Logarithm",LN(0.001+IF(AND(ISNUMBER('Council Entry'!AR$8),ISNUMBER('Council Entry'!AR$9)),MAX(MIN('Council Entry'!AR124,'Council Entry'!AR$9),'Council Entry'!AR$8),'Council Entry'!AR124)),IF('Council Entry'!AR$4="Exponential",EXP(IF(AND(ISNUMBER('Council Entry'!AR$8),ISNUMBER('Council Entry'!AR$9)),MAX(MIN('Council Entry'!AR124,'Council Entry'!AR$9),'Council Entry'!AR$8),'Council Entry'!AR124)),IF(AND(ISNUMBER('Council Entry'!AR$8),ISNUMBER('Council Entry'!AR$9)),MAX(MIN('Council Entry'!AR124,'Council Entry'!AR$9),'Council Entry'!AR$8),'Council Entry'!AR124))))-'Council Entry'!AR$5)/('Council Entry'!AR$6-'Council Entry'!AR$5),10*((IF('Council Entry'!AR$4="Logarithm",LN(0.001+IF(AND(ISNUMBER('Council Entry'!AR$8),ISNUMBER('Council Entry'!AR$9)),MAX(MIN('Council Entry'!AR124,'Council Entry'!AR$9),'Council Entry'!AR$8),'Council Entry'!AR124)),IF('Council Entry'!AR$4="Exponential",EXP(IF(AND(ISNUMBER('Council Entry'!AR$8),ISNUMBER('Council Entry'!AR$9)),MAX(MIN('Council Entry'!AR124,'Council Entry'!AR$9),'Council Entry'!AR$8),'Council Entry'!AR124)),IF(AND(ISNUMBER('Council Entry'!AR$8),ISNUMBER('Council Entry'!AR$9)),MAX(MIN('Council Entry'!AR124,'Council Entry'!AR$9),'Council Entry'!AR$8),'Council Entry'!AR124))))-'Council Entry'!AR$5)/('Council Entry'!AR$6-'Council Entry'!AR$5)),1))),"No data"))</f>
        <v/>
      </c>
      <c r="AS124" s="13">
        <f>IF('Council Entry'!AS124="","",IFERROR(MAX(0,MIN(10,ROUND(IF('Council Entry'!AS$7="Decrease Risk",10-10*((IF('Council Entry'!AS$4="Logarithm",LN(0.001+IF(AND(ISNUMBER('Council Entry'!AS$8),ISNUMBER('Council Entry'!AS$9)),MAX(MIN('Council Entry'!AS124,'Council Entry'!AS$9),'Council Entry'!AS$8),'Council Entry'!AS124)),IF('Council Entry'!AS$4="Exponential",EXP(IF(AND(ISNUMBER('Council Entry'!AS$8),ISNUMBER('Council Entry'!AS$9)),MAX(MIN('Council Entry'!AS124,'Council Entry'!AS$9),'Council Entry'!AS$8),'Council Entry'!AS124)),IF(AND(ISNUMBER('Council Entry'!AS$8),ISNUMBER('Council Entry'!AS$9)),MAX(MIN('Council Entry'!AS124,'Council Entry'!AS$9),'Council Entry'!AS$8),'Council Entry'!AS124))))-'Council Entry'!AS$5)/('Council Entry'!AS$6-'Council Entry'!AS$5),10*((IF('Council Entry'!AS$4="Logarithm",LN(0.001+IF(AND(ISNUMBER('Council Entry'!AS$8),ISNUMBER('Council Entry'!AS$9)),MAX(MIN('Council Entry'!AS124,'Council Entry'!AS$9),'Council Entry'!AS$8),'Council Entry'!AS124)),IF('Council Entry'!AS$4="Exponential",EXP(IF(AND(ISNUMBER('Council Entry'!AS$8),ISNUMBER('Council Entry'!AS$9)),MAX(MIN('Council Entry'!AS124,'Council Entry'!AS$9),'Council Entry'!AS$8),'Council Entry'!AS124)),IF(AND(ISNUMBER('Council Entry'!AS$8),ISNUMBER('Council Entry'!AS$9)),MAX(MIN('Council Entry'!AS124,'Council Entry'!AS$9),'Council Entry'!AS$8),'Council Entry'!AS124))))-'Council Entry'!AS$5)/('Council Entry'!AS$6-'Council Entry'!AS$5)),1))),"No data"))</f>
        <v/>
      </c>
      <c r="AT124" s="13">
        <f>IF('Council Entry'!AT124="","",IFERROR(MAX(0,MIN(10,ROUND(IF('Council Entry'!AT$7="Decrease Risk",10-10*((IF('Council Entry'!AT$4="Logarithm",LN(0.001+IF(AND(ISNUMBER('Council Entry'!AT$8),ISNUMBER('Council Entry'!AT$9)),MAX(MIN('Council Entry'!AT124,'Council Entry'!AT$9),'Council Entry'!AT$8),'Council Entry'!AT124)),IF('Council Entry'!AT$4="Exponential",EXP(IF(AND(ISNUMBER('Council Entry'!AT$8),ISNUMBER('Council Entry'!AT$9)),MAX(MIN('Council Entry'!AT124,'Council Entry'!AT$9),'Council Entry'!AT$8),'Council Entry'!AT124)),IF(AND(ISNUMBER('Council Entry'!AT$8),ISNUMBER('Council Entry'!AT$9)),MAX(MIN('Council Entry'!AT124,'Council Entry'!AT$9),'Council Entry'!AT$8),'Council Entry'!AT124))))-'Council Entry'!AT$5)/('Council Entry'!AT$6-'Council Entry'!AT$5),10*((IF('Council Entry'!AT$4="Logarithm",LN(0.001+IF(AND(ISNUMBER('Council Entry'!AT$8),ISNUMBER('Council Entry'!AT$9)),MAX(MIN('Council Entry'!AT124,'Council Entry'!AT$9),'Council Entry'!AT$8),'Council Entry'!AT124)),IF('Council Entry'!AT$4="Exponential",EXP(IF(AND(ISNUMBER('Council Entry'!AT$8),ISNUMBER('Council Entry'!AT$9)),MAX(MIN('Council Entry'!AT124,'Council Entry'!AT$9),'Council Entry'!AT$8),'Council Entry'!AT124)),IF(AND(ISNUMBER('Council Entry'!AT$8),ISNUMBER('Council Entry'!AT$9)),MAX(MIN('Council Entry'!AT124,'Council Entry'!AT$9),'Council Entry'!AT$8),'Council Entry'!AT124))))-'Council Entry'!AT$5)/('Council Entry'!AT$6-'Council Entry'!AT$5)),1))),"No data"))</f>
        <v/>
      </c>
      <c r="AU124" s="13">
        <f>IF('Council Entry'!AU124="","",IFERROR(MAX(0,MIN(10,ROUND(IF('Council Entry'!AU$7="Decrease Risk",10-10*((IF('Council Entry'!AU$4="Logarithm",LN(0.001+IF(AND(ISNUMBER('Council Entry'!AU$8),ISNUMBER('Council Entry'!AU$9)),MAX(MIN('Council Entry'!AU124,'Council Entry'!AU$9),'Council Entry'!AU$8),'Council Entry'!AU124)),IF('Council Entry'!AU$4="Exponential",EXP(IF(AND(ISNUMBER('Council Entry'!AU$8),ISNUMBER('Council Entry'!AU$9)),MAX(MIN('Council Entry'!AU124,'Council Entry'!AU$9),'Council Entry'!AU$8),'Council Entry'!AU124)),IF(AND(ISNUMBER('Council Entry'!AU$8),ISNUMBER('Council Entry'!AU$9)),MAX(MIN('Council Entry'!AU124,'Council Entry'!AU$9),'Council Entry'!AU$8),'Council Entry'!AU124))))-'Council Entry'!AU$5)/('Council Entry'!AU$6-'Council Entry'!AU$5),10*((IF('Council Entry'!AU$4="Logarithm",LN(0.001+IF(AND(ISNUMBER('Council Entry'!AU$8),ISNUMBER('Council Entry'!AU$9)),MAX(MIN('Council Entry'!AU124,'Council Entry'!AU$9),'Council Entry'!AU$8),'Council Entry'!AU124)),IF('Council Entry'!AU$4="Exponential",EXP(IF(AND(ISNUMBER('Council Entry'!AU$8),ISNUMBER('Council Entry'!AU$9)),MAX(MIN('Council Entry'!AU124,'Council Entry'!AU$9),'Council Entry'!AU$8),'Council Entry'!AU124)),IF(AND(ISNUMBER('Council Entry'!AU$8),ISNUMBER('Council Entry'!AU$9)),MAX(MIN('Council Entry'!AU124,'Council Entry'!AU$9),'Council Entry'!AU$8),'Council Entry'!AU124))))-'Council Entry'!AU$5)/('Council Entry'!AU$6-'Council Entry'!AU$5)),1))),"No data"))</f>
        <v/>
      </c>
      <c r="AV124" s="13">
        <f>IF('Council Entry'!AV124="","",IFERROR(MAX(0,MIN(10,ROUND(IF('Council Entry'!AV$7="Decrease Risk",10-10*((IF('Council Entry'!AV$4="Logarithm",LN(0.001+IF(AND(ISNUMBER('Council Entry'!AV$8),ISNUMBER('Council Entry'!AV$9)),MAX(MIN('Council Entry'!AV124,'Council Entry'!AV$9),'Council Entry'!AV$8),'Council Entry'!AV124)),IF('Council Entry'!AV$4="Exponential",EXP(IF(AND(ISNUMBER('Council Entry'!AV$8),ISNUMBER('Council Entry'!AV$9)),MAX(MIN('Council Entry'!AV124,'Council Entry'!AV$9),'Council Entry'!AV$8),'Council Entry'!AV124)),IF(AND(ISNUMBER('Council Entry'!AV$8),ISNUMBER('Council Entry'!AV$9)),MAX(MIN('Council Entry'!AV124,'Council Entry'!AV$9),'Council Entry'!AV$8),'Council Entry'!AV124))))-'Council Entry'!AV$5)/('Council Entry'!AV$6-'Council Entry'!AV$5),10*((IF('Council Entry'!AV$4="Logarithm",LN(0.001+IF(AND(ISNUMBER('Council Entry'!AV$8),ISNUMBER('Council Entry'!AV$9)),MAX(MIN('Council Entry'!AV124,'Council Entry'!AV$9),'Council Entry'!AV$8),'Council Entry'!AV124)),IF('Council Entry'!AV$4="Exponential",EXP(IF(AND(ISNUMBER('Council Entry'!AV$8),ISNUMBER('Council Entry'!AV$9)),MAX(MIN('Council Entry'!AV124,'Council Entry'!AV$9),'Council Entry'!AV$8),'Council Entry'!AV124)),IF(AND(ISNUMBER('Council Entry'!AV$8),ISNUMBER('Council Entry'!AV$9)),MAX(MIN('Council Entry'!AV124,'Council Entry'!AV$9),'Council Entry'!AV$8),'Council Entry'!AV124))))-'Council Entry'!AV$5)/('Council Entry'!AV$6-'Council Entry'!AV$5)),1))),"No data"))</f>
        <v/>
      </c>
      <c r="AW124" s="13">
        <f>IF('Council Entry'!AW124="","",IFERROR(MAX(0,MIN(10,ROUND(IF('Council Entry'!AW$7="Decrease Risk",10-10*((IF('Council Entry'!AW$4="Logarithm",LN(0.001+IF(AND(ISNUMBER('Council Entry'!AW$8),ISNUMBER('Council Entry'!AW$9)),MAX(MIN('Council Entry'!AW124,'Council Entry'!AW$9),'Council Entry'!AW$8),'Council Entry'!AW124)),IF('Council Entry'!AW$4="Exponential",EXP(IF(AND(ISNUMBER('Council Entry'!AW$8),ISNUMBER('Council Entry'!AW$9)),MAX(MIN('Council Entry'!AW124,'Council Entry'!AW$9),'Council Entry'!AW$8),'Council Entry'!AW124)),IF(AND(ISNUMBER('Council Entry'!AW$8),ISNUMBER('Council Entry'!AW$9)),MAX(MIN('Council Entry'!AW124,'Council Entry'!AW$9),'Council Entry'!AW$8),'Council Entry'!AW124))))-'Council Entry'!AW$5)/('Council Entry'!AW$6-'Council Entry'!AW$5),10*((IF('Council Entry'!AW$4="Logarithm",LN(0.001+IF(AND(ISNUMBER('Council Entry'!AW$8),ISNUMBER('Council Entry'!AW$9)),MAX(MIN('Council Entry'!AW124,'Council Entry'!AW$9),'Council Entry'!AW$8),'Council Entry'!AW124)),IF('Council Entry'!AW$4="Exponential",EXP(IF(AND(ISNUMBER('Council Entry'!AW$8),ISNUMBER('Council Entry'!AW$9)),MAX(MIN('Council Entry'!AW124,'Council Entry'!AW$9),'Council Entry'!AW$8),'Council Entry'!AW124)),IF(AND(ISNUMBER('Council Entry'!AW$8),ISNUMBER('Council Entry'!AW$9)),MAX(MIN('Council Entry'!AW124,'Council Entry'!AW$9),'Council Entry'!AW$8),'Council Entry'!AW124))))-'Council Entry'!AW$5)/('Council Entry'!AW$6-'Council Entry'!AW$5)),1))),"No data"))</f>
        <v/>
      </c>
      <c r="AX124" s="13">
        <f>IF('Council Entry'!AX124="","",IFERROR(MAX(0,MIN(10,ROUND(IF('Council Entry'!AX$7="Decrease Risk",10-10*((IF('Council Entry'!AX$4="Logarithm",LN(0.001+IF(AND(ISNUMBER('Council Entry'!AX$8),ISNUMBER('Council Entry'!AX$9)),MAX(MIN('Council Entry'!AX124,'Council Entry'!AX$9),'Council Entry'!AX$8),'Council Entry'!AX124)),IF('Council Entry'!AX$4="Exponential",EXP(IF(AND(ISNUMBER('Council Entry'!AX$8),ISNUMBER('Council Entry'!AX$9)),MAX(MIN('Council Entry'!AX124,'Council Entry'!AX$9),'Council Entry'!AX$8),'Council Entry'!AX124)),IF(AND(ISNUMBER('Council Entry'!AX$8),ISNUMBER('Council Entry'!AX$9)),MAX(MIN('Council Entry'!AX124,'Council Entry'!AX$9),'Council Entry'!AX$8),'Council Entry'!AX124))))-'Council Entry'!AX$5)/('Council Entry'!AX$6-'Council Entry'!AX$5),10*((IF('Council Entry'!AX$4="Logarithm",LN(0.001+IF(AND(ISNUMBER('Council Entry'!AX$8),ISNUMBER('Council Entry'!AX$9)),MAX(MIN('Council Entry'!AX124,'Council Entry'!AX$9),'Council Entry'!AX$8),'Council Entry'!AX124)),IF('Council Entry'!AX$4="Exponential",EXP(IF(AND(ISNUMBER('Council Entry'!AX$8),ISNUMBER('Council Entry'!AX$9)),MAX(MIN('Council Entry'!AX124,'Council Entry'!AX$9),'Council Entry'!AX$8),'Council Entry'!AX124)),IF(AND(ISNUMBER('Council Entry'!AX$8),ISNUMBER('Council Entry'!AX$9)),MAX(MIN('Council Entry'!AX124,'Council Entry'!AX$9),'Council Entry'!AX$8),'Council Entry'!AX124))))-'Council Entry'!AX$5)/('Council Entry'!AX$6-'Council Entry'!AX$5)),1))),"No data"))</f>
        <v/>
      </c>
      <c r="AY124" s="13">
        <f>IF('Council Entry'!AY124="","",IFERROR(MAX(0,MIN(10,ROUND(IF('Council Entry'!AY$7="Decrease Risk",10-10*((IF('Council Entry'!AY$4="Logarithm",LN(0.001+IF(AND(ISNUMBER('Council Entry'!AY$8),ISNUMBER('Council Entry'!AY$9)),MAX(MIN('Council Entry'!AY124,'Council Entry'!AY$9),'Council Entry'!AY$8),'Council Entry'!AY124)),IF('Council Entry'!AY$4="Exponential",EXP(IF(AND(ISNUMBER('Council Entry'!AY$8),ISNUMBER('Council Entry'!AY$9)),MAX(MIN('Council Entry'!AY124,'Council Entry'!AY$9),'Council Entry'!AY$8),'Council Entry'!AY124)),IF(AND(ISNUMBER('Council Entry'!AY$8),ISNUMBER('Council Entry'!AY$9)),MAX(MIN('Council Entry'!AY124,'Council Entry'!AY$9),'Council Entry'!AY$8),'Council Entry'!AY124))))-'Council Entry'!AY$5)/('Council Entry'!AY$6-'Council Entry'!AY$5),10*((IF('Council Entry'!AY$4="Logarithm",LN(0.001+IF(AND(ISNUMBER('Council Entry'!AY$8),ISNUMBER('Council Entry'!AY$9)),MAX(MIN('Council Entry'!AY124,'Council Entry'!AY$9),'Council Entry'!AY$8),'Council Entry'!AY124)),IF('Council Entry'!AY$4="Exponential",EXP(IF(AND(ISNUMBER('Council Entry'!AY$8),ISNUMBER('Council Entry'!AY$9)),MAX(MIN('Council Entry'!AY124,'Council Entry'!AY$9),'Council Entry'!AY$8),'Council Entry'!AY124)),IF(AND(ISNUMBER('Council Entry'!AY$8),ISNUMBER('Council Entry'!AY$9)),MAX(MIN('Council Entry'!AY124,'Council Entry'!AY$9),'Council Entry'!AY$8),'Council Entry'!AY124))))-'Council Entry'!AY$5)/('Council Entry'!AY$6-'Council Entry'!AY$5)),1))),"No data"))</f>
        <v/>
      </c>
      <c r="AZ124" s="13">
        <f>IF('Council Entry'!AZ124="","",IFERROR(MAX(0,MIN(10,ROUND(IF('Council Entry'!AZ$7="Decrease Risk",10-10*((IF('Council Entry'!AZ$4="Logarithm",LN(0.001+IF(AND(ISNUMBER('Council Entry'!AZ$8),ISNUMBER('Council Entry'!AZ$9)),MAX(MIN('Council Entry'!AZ124,'Council Entry'!AZ$9),'Council Entry'!AZ$8),'Council Entry'!AZ124)),IF('Council Entry'!AZ$4="Exponential",EXP(IF(AND(ISNUMBER('Council Entry'!AZ$8),ISNUMBER('Council Entry'!AZ$9)),MAX(MIN('Council Entry'!AZ124,'Council Entry'!AZ$9),'Council Entry'!AZ$8),'Council Entry'!AZ124)),IF(AND(ISNUMBER('Council Entry'!AZ$8),ISNUMBER('Council Entry'!AZ$9)),MAX(MIN('Council Entry'!AZ124,'Council Entry'!AZ$9),'Council Entry'!AZ$8),'Council Entry'!AZ124))))-'Council Entry'!AZ$5)/('Council Entry'!AZ$6-'Council Entry'!AZ$5),10*((IF('Council Entry'!AZ$4="Logarithm",LN(0.001+IF(AND(ISNUMBER('Council Entry'!AZ$8),ISNUMBER('Council Entry'!AZ$9)),MAX(MIN('Council Entry'!AZ124,'Council Entry'!AZ$9),'Council Entry'!AZ$8),'Council Entry'!AZ124)),IF('Council Entry'!AZ$4="Exponential",EXP(IF(AND(ISNUMBER('Council Entry'!AZ$8),ISNUMBER('Council Entry'!AZ$9)),MAX(MIN('Council Entry'!AZ124,'Council Entry'!AZ$9),'Council Entry'!AZ$8),'Council Entry'!AZ124)),IF(AND(ISNUMBER('Council Entry'!AZ$8),ISNUMBER('Council Entry'!AZ$9)),MAX(MIN('Council Entry'!AZ124,'Council Entry'!AZ$9),'Council Entry'!AZ$8),'Council Entry'!AZ124))))-'Council Entry'!AZ$5)/('Council Entry'!AZ$6-'Council Entry'!AZ$5)),1))),"No data"))</f>
        <v/>
      </c>
      <c r="BA124" s="13">
        <f>IF('Council Entry'!BA124="","",IFERROR(MAX(0,MIN(10,ROUND(IF('Council Entry'!BA$7="Decrease Risk",10-10*((IF('Council Entry'!BA$4="Logarithm",LN(0.001+IF(AND(ISNUMBER('Council Entry'!BA$8),ISNUMBER('Council Entry'!BA$9)),MAX(MIN('Council Entry'!BA124,'Council Entry'!BA$9),'Council Entry'!BA$8),'Council Entry'!BA124)),IF('Council Entry'!BA$4="Exponential",EXP(IF(AND(ISNUMBER('Council Entry'!BA$8),ISNUMBER('Council Entry'!BA$9)),MAX(MIN('Council Entry'!BA124,'Council Entry'!BA$9),'Council Entry'!BA$8),'Council Entry'!BA124)),IF(AND(ISNUMBER('Council Entry'!BA$8),ISNUMBER('Council Entry'!BA$9)),MAX(MIN('Council Entry'!BA124,'Council Entry'!BA$9),'Council Entry'!BA$8),'Council Entry'!BA124))))-'Council Entry'!BA$5)/('Council Entry'!BA$6-'Council Entry'!BA$5),10*((IF('Council Entry'!BA$4="Logarithm",LN(0.001+IF(AND(ISNUMBER('Council Entry'!BA$8),ISNUMBER('Council Entry'!BA$9)),MAX(MIN('Council Entry'!BA124,'Council Entry'!BA$9),'Council Entry'!BA$8),'Council Entry'!BA124)),IF('Council Entry'!BA$4="Exponential",EXP(IF(AND(ISNUMBER('Council Entry'!BA$8),ISNUMBER('Council Entry'!BA$9)),MAX(MIN('Council Entry'!BA124,'Council Entry'!BA$9),'Council Entry'!BA$8),'Council Entry'!BA124)),IF(AND(ISNUMBER('Council Entry'!BA$8),ISNUMBER('Council Entry'!BA$9)),MAX(MIN('Council Entry'!BA124,'Council Entry'!BA$9),'Council Entry'!BA$8),'Council Entry'!BA124))))-'Council Entry'!BA$5)/('Council Entry'!BA$6-'Council Entry'!BA$5)),1))),"No data"))</f>
        <v/>
      </c>
      <c r="BB124" s="13">
        <f>IF('Council Entry'!BB124="","",IFERROR(MAX(0,MIN(10,ROUND(IF('Council Entry'!BB$7="Decrease Risk",10-10*((IF('Council Entry'!BB$4="Logarithm",LN(0.001+IF(AND(ISNUMBER('Council Entry'!BB$8),ISNUMBER('Council Entry'!BB$9)),MAX(MIN('Council Entry'!BB124,'Council Entry'!BB$9),'Council Entry'!BB$8),'Council Entry'!BB124)),IF('Council Entry'!BB$4="Exponential",EXP(IF(AND(ISNUMBER('Council Entry'!BB$8),ISNUMBER('Council Entry'!BB$9)),MAX(MIN('Council Entry'!BB124,'Council Entry'!BB$9),'Council Entry'!BB$8),'Council Entry'!BB124)),IF(AND(ISNUMBER('Council Entry'!BB$8),ISNUMBER('Council Entry'!BB$9)),MAX(MIN('Council Entry'!BB124,'Council Entry'!BB$9),'Council Entry'!BB$8),'Council Entry'!BB124))))-'Council Entry'!BB$5)/('Council Entry'!BB$6-'Council Entry'!BB$5),10*((IF('Council Entry'!BB$4="Logarithm",LN(0.001+IF(AND(ISNUMBER('Council Entry'!BB$8),ISNUMBER('Council Entry'!BB$9)),MAX(MIN('Council Entry'!BB124,'Council Entry'!BB$9),'Council Entry'!BB$8),'Council Entry'!BB124)),IF('Council Entry'!BB$4="Exponential",EXP(IF(AND(ISNUMBER('Council Entry'!BB$8),ISNUMBER('Council Entry'!BB$9)),MAX(MIN('Council Entry'!BB124,'Council Entry'!BB$9),'Council Entry'!BB$8),'Council Entry'!BB124)),IF(AND(ISNUMBER('Council Entry'!BB$8),ISNUMBER('Council Entry'!BB$9)),MAX(MIN('Council Entry'!BB124,'Council Entry'!BB$9),'Council Entry'!BB$8),'Council Entry'!BB124))))-'Council Entry'!BB$5)/('Council Entry'!BB$6-'Council Entry'!BB$5)),1))),"No data"))</f>
        <v/>
      </c>
      <c r="BC124" s="13">
        <f>IF('Council Entry'!BC124="","",IFERROR(MAX(0,MIN(10,ROUND(IF('Council Entry'!BC$7="Decrease Risk",10-10*((IF('Council Entry'!BC$4="Logarithm",LN(0.001+IF(AND(ISNUMBER('Council Entry'!BC$8),ISNUMBER('Council Entry'!BC$9)),MAX(MIN('Council Entry'!BC124,'Council Entry'!BC$9),'Council Entry'!BC$8),'Council Entry'!BC124)),IF('Council Entry'!BC$4="Exponential",EXP(IF(AND(ISNUMBER('Council Entry'!BC$8),ISNUMBER('Council Entry'!BC$9)),MAX(MIN('Council Entry'!BC124,'Council Entry'!BC$9),'Council Entry'!BC$8),'Council Entry'!BC124)),IF(AND(ISNUMBER('Council Entry'!BC$8),ISNUMBER('Council Entry'!BC$9)),MAX(MIN('Council Entry'!BC124,'Council Entry'!BC$9),'Council Entry'!BC$8),'Council Entry'!BC124))))-'Council Entry'!BC$5)/('Council Entry'!BC$6-'Council Entry'!BC$5),10*((IF('Council Entry'!BC$4="Logarithm",LN(0.001+IF(AND(ISNUMBER('Council Entry'!BC$8),ISNUMBER('Council Entry'!BC$9)),MAX(MIN('Council Entry'!BC124,'Council Entry'!BC$9),'Council Entry'!BC$8),'Council Entry'!BC124)),IF('Council Entry'!BC$4="Exponential",EXP(IF(AND(ISNUMBER('Council Entry'!BC$8),ISNUMBER('Council Entry'!BC$9)),MAX(MIN('Council Entry'!BC124,'Council Entry'!BC$9),'Council Entry'!BC$8),'Council Entry'!BC124)),IF(AND(ISNUMBER('Council Entry'!BC$8),ISNUMBER('Council Entry'!BC$9)),MAX(MIN('Council Entry'!BC124,'Council Entry'!BC$9),'Council Entry'!BC$8),'Council Entry'!BC124))))-'Council Entry'!BC$5)/('Council Entry'!BC$6-'Council Entry'!BC$5)),1))),"No data"))</f>
        <v/>
      </c>
      <c r="BD124" s="13">
        <f>IF('Council Entry'!BD124="","",IFERROR(MAX(0,MIN(10,ROUND(IF('Council Entry'!BD$7="Decrease Risk",10-10*((IF('Council Entry'!BD$4="Logarithm",LN(0.001+IF(AND(ISNUMBER('Council Entry'!BD$8),ISNUMBER('Council Entry'!BD$9)),MAX(MIN('Council Entry'!BD124,'Council Entry'!BD$9),'Council Entry'!BD$8),'Council Entry'!BD124)),IF('Council Entry'!BD$4="Exponential",EXP(IF(AND(ISNUMBER('Council Entry'!BD$8),ISNUMBER('Council Entry'!BD$9)),MAX(MIN('Council Entry'!BD124,'Council Entry'!BD$9),'Council Entry'!BD$8),'Council Entry'!BD124)),IF(AND(ISNUMBER('Council Entry'!BD$8),ISNUMBER('Council Entry'!BD$9)),MAX(MIN('Council Entry'!BD124,'Council Entry'!BD$9),'Council Entry'!BD$8),'Council Entry'!BD124))))-'Council Entry'!BD$5)/('Council Entry'!BD$6-'Council Entry'!BD$5),10*((IF('Council Entry'!BD$4="Logarithm",LN(0.001+IF(AND(ISNUMBER('Council Entry'!BD$8),ISNUMBER('Council Entry'!BD$9)),MAX(MIN('Council Entry'!BD124,'Council Entry'!BD$9),'Council Entry'!BD$8),'Council Entry'!BD124)),IF('Council Entry'!BD$4="Exponential",EXP(IF(AND(ISNUMBER('Council Entry'!BD$8),ISNUMBER('Council Entry'!BD$9)),MAX(MIN('Council Entry'!BD124,'Council Entry'!BD$9),'Council Entry'!BD$8),'Council Entry'!BD124)),IF(AND(ISNUMBER('Council Entry'!BD$8),ISNUMBER('Council Entry'!BD$9)),MAX(MIN('Council Entry'!BD124,'Council Entry'!BD$9),'Council Entry'!BD$8),'Council Entry'!BD124))))-'Council Entry'!BD$5)/('Council Entry'!BD$6-'Council Entry'!BD$5)),1))),"No data"))</f>
        <v/>
      </c>
    </row>
    <row r="125">
      <c r="A125" t="inlineStr">
        <is>
          <t>Mtwara</t>
        </is>
      </c>
      <c r="B125" t="inlineStr">
        <is>
          <t>Newala District</t>
        </is>
      </c>
      <c r="C125" t="inlineStr">
        <is>
          <t>C066</t>
        </is>
      </c>
      <c r="D125" s="13">
        <f>IF('Council Entry'!D125="","",IFERROR(MAX(0,MIN(10,ROUND(IF('Council Entry'!D$7="Decrease Risk",10-10*((IF('Council Entry'!D$4="Logarithm",LN(0.001+IF(AND(ISNUMBER('Council Entry'!D$8),ISNUMBER('Council Entry'!D$9)),MAX(MIN('Council Entry'!D125,'Council Entry'!D$9),'Council Entry'!D$8),'Council Entry'!D125)),IF('Council Entry'!D$4="Exponential",EXP(IF(AND(ISNUMBER('Council Entry'!D$8),ISNUMBER('Council Entry'!D$9)),MAX(MIN('Council Entry'!D125,'Council Entry'!D$9),'Council Entry'!D$8),'Council Entry'!D125)),IF(AND(ISNUMBER('Council Entry'!D$8),ISNUMBER('Council Entry'!D$9)),MAX(MIN('Council Entry'!D125,'Council Entry'!D$9),'Council Entry'!D$8),'Council Entry'!D125))))-'Council Entry'!D$5)/('Council Entry'!D$6-'Council Entry'!D$5),10*((IF('Council Entry'!D$4="Logarithm",LN(0.001+IF(AND(ISNUMBER('Council Entry'!D$8),ISNUMBER('Council Entry'!D$9)),MAX(MIN('Council Entry'!D125,'Council Entry'!D$9),'Council Entry'!D$8),'Council Entry'!D125)),IF('Council Entry'!D$4="Exponential",EXP(IF(AND(ISNUMBER('Council Entry'!D$8),ISNUMBER('Council Entry'!D$9)),MAX(MIN('Council Entry'!D125,'Council Entry'!D$9),'Council Entry'!D$8),'Council Entry'!D125)),IF(AND(ISNUMBER('Council Entry'!D$8),ISNUMBER('Council Entry'!D$9)),MAX(MIN('Council Entry'!D125,'Council Entry'!D$9),'Council Entry'!D$8),'Council Entry'!D125))))-'Council Entry'!D$5)/('Council Entry'!D$6-'Council Entry'!D$5)),1))),"No data"))</f>
        <v/>
      </c>
      <c r="E125" s="13">
        <f>IF('Council Entry'!E125="","",IFERROR(MAX(0,MIN(10,ROUND(IF('Council Entry'!E$7="Decrease Risk",10-10*((IF('Council Entry'!E$4="Logarithm",LN(0.001+IF(AND(ISNUMBER('Council Entry'!E$8),ISNUMBER('Council Entry'!E$9)),MAX(MIN('Council Entry'!E125,'Council Entry'!E$9),'Council Entry'!E$8),'Council Entry'!E125)),IF('Council Entry'!E$4="Exponential",EXP(IF(AND(ISNUMBER('Council Entry'!E$8),ISNUMBER('Council Entry'!E$9)),MAX(MIN('Council Entry'!E125,'Council Entry'!E$9),'Council Entry'!E$8),'Council Entry'!E125)),IF(AND(ISNUMBER('Council Entry'!E$8),ISNUMBER('Council Entry'!E$9)),MAX(MIN('Council Entry'!E125,'Council Entry'!E$9),'Council Entry'!E$8),'Council Entry'!E125))))-'Council Entry'!E$5)/('Council Entry'!E$6-'Council Entry'!E$5),10*((IF('Council Entry'!E$4="Logarithm",LN(0.001+IF(AND(ISNUMBER('Council Entry'!E$8),ISNUMBER('Council Entry'!E$9)),MAX(MIN('Council Entry'!E125,'Council Entry'!E$9),'Council Entry'!E$8),'Council Entry'!E125)),IF('Council Entry'!E$4="Exponential",EXP(IF(AND(ISNUMBER('Council Entry'!E$8),ISNUMBER('Council Entry'!E$9)),MAX(MIN('Council Entry'!E125,'Council Entry'!E$9),'Council Entry'!E$8),'Council Entry'!E125)),IF(AND(ISNUMBER('Council Entry'!E$8),ISNUMBER('Council Entry'!E$9)),MAX(MIN('Council Entry'!E125,'Council Entry'!E$9),'Council Entry'!E$8),'Council Entry'!E125))))-'Council Entry'!E$5)/('Council Entry'!E$6-'Council Entry'!E$5)),1))),"No data"))</f>
        <v/>
      </c>
      <c r="F125" s="13">
        <f>IF('Council Entry'!F125="","",IFERROR(MAX(0,MIN(10,ROUND(IF('Council Entry'!F$7="Decrease Risk",10-10*((IF('Council Entry'!F$4="Logarithm",LN(0.001+IF(AND(ISNUMBER('Council Entry'!F$8),ISNUMBER('Council Entry'!F$9)),MAX(MIN('Council Entry'!F125,'Council Entry'!F$9),'Council Entry'!F$8),'Council Entry'!F125)),IF('Council Entry'!F$4="Exponential",EXP(IF(AND(ISNUMBER('Council Entry'!F$8),ISNUMBER('Council Entry'!F$9)),MAX(MIN('Council Entry'!F125,'Council Entry'!F$9),'Council Entry'!F$8),'Council Entry'!F125)),IF(AND(ISNUMBER('Council Entry'!F$8),ISNUMBER('Council Entry'!F$9)),MAX(MIN('Council Entry'!F125,'Council Entry'!F$9),'Council Entry'!F$8),'Council Entry'!F125))))-'Council Entry'!F$5)/('Council Entry'!F$6-'Council Entry'!F$5),10*((IF('Council Entry'!F$4="Logarithm",LN(0.001+IF(AND(ISNUMBER('Council Entry'!F$8),ISNUMBER('Council Entry'!F$9)),MAX(MIN('Council Entry'!F125,'Council Entry'!F$9),'Council Entry'!F$8),'Council Entry'!F125)),IF('Council Entry'!F$4="Exponential",EXP(IF(AND(ISNUMBER('Council Entry'!F$8),ISNUMBER('Council Entry'!F$9)),MAX(MIN('Council Entry'!F125,'Council Entry'!F$9),'Council Entry'!F$8),'Council Entry'!F125)),IF(AND(ISNUMBER('Council Entry'!F$8),ISNUMBER('Council Entry'!F$9)),MAX(MIN('Council Entry'!F125,'Council Entry'!F$9),'Council Entry'!F$8),'Council Entry'!F125))))-'Council Entry'!F$5)/('Council Entry'!F$6-'Council Entry'!F$5)),1))),"No data"))</f>
        <v/>
      </c>
      <c r="G125" s="13">
        <f>IF('Council Entry'!G125="","",IFERROR(MAX(0,MIN(10,ROUND(IF('Council Entry'!G$7="Decrease Risk",10-10*((IF('Council Entry'!G$4="Logarithm",LN(0.001+IF(AND(ISNUMBER('Council Entry'!G$8),ISNUMBER('Council Entry'!G$9)),MAX(MIN('Council Entry'!G125,'Council Entry'!G$9),'Council Entry'!G$8),'Council Entry'!G125)),IF('Council Entry'!G$4="Exponential",EXP(IF(AND(ISNUMBER('Council Entry'!G$8),ISNUMBER('Council Entry'!G$9)),MAX(MIN('Council Entry'!G125,'Council Entry'!G$9),'Council Entry'!G$8),'Council Entry'!G125)),IF(AND(ISNUMBER('Council Entry'!G$8),ISNUMBER('Council Entry'!G$9)),MAX(MIN('Council Entry'!G125,'Council Entry'!G$9),'Council Entry'!G$8),'Council Entry'!G125))))-'Council Entry'!G$5)/('Council Entry'!G$6-'Council Entry'!G$5),10*((IF('Council Entry'!G$4="Logarithm",LN(0.001+IF(AND(ISNUMBER('Council Entry'!G$8),ISNUMBER('Council Entry'!G$9)),MAX(MIN('Council Entry'!G125,'Council Entry'!G$9),'Council Entry'!G$8),'Council Entry'!G125)),IF('Council Entry'!G$4="Exponential",EXP(IF(AND(ISNUMBER('Council Entry'!G$8),ISNUMBER('Council Entry'!G$9)),MAX(MIN('Council Entry'!G125,'Council Entry'!G$9),'Council Entry'!G$8),'Council Entry'!G125)),IF(AND(ISNUMBER('Council Entry'!G$8),ISNUMBER('Council Entry'!G$9)),MAX(MIN('Council Entry'!G125,'Council Entry'!G$9),'Council Entry'!G$8),'Council Entry'!G125))))-'Council Entry'!G$5)/('Council Entry'!G$6-'Council Entry'!G$5)),1))),"No data"))</f>
        <v/>
      </c>
      <c r="H125" s="13">
        <f>IF('Council Entry'!H125="","",IFERROR(MAX(0,MIN(10,ROUND(IF('Council Entry'!H$7="Decrease Risk",10-10*((IF('Council Entry'!H$4="Logarithm",LN(0.001+IF(AND(ISNUMBER('Council Entry'!H$8),ISNUMBER('Council Entry'!H$9)),MAX(MIN('Council Entry'!H125,'Council Entry'!H$9),'Council Entry'!H$8),'Council Entry'!H125)),IF('Council Entry'!H$4="Exponential",EXP(IF(AND(ISNUMBER('Council Entry'!H$8),ISNUMBER('Council Entry'!H$9)),MAX(MIN('Council Entry'!H125,'Council Entry'!H$9),'Council Entry'!H$8),'Council Entry'!H125)),IF(AND(ISNUMBER('Council Entry'!H$8),ISNUMBER('Council Entry'!H$9)),MAX(MIN('Council Entry'!H125,'Council Entry'!H$9),'Council Entry'!H$8),'Council Entry'!H125))))-'Council Entry'!H$5)/('Council Entry'!H$6-'Council Entry'!H$5),10*((IF('Council Entry'!H$4="Logarithm",LN(0.001+IF(AND(ISNUMBER('Council Entry'!H$8),ISNUMBER('Council Entry'!H$9)),MAX(MIN('Council Entry'!H125,'Council Entry'!H$9),'Council Entry'!H$8),'Council Entry'!H125)),IF('Council Entry'!H$4="Exponential",EXP(IF(AND(ISNUMBER('Council Entry'!H$8),ISNUMBER('Council Entry'!H$9)),MAX(MIN('Council Entry'!H125,'Council Entry'!H$9),'Council Entry'!H$8),'Council Entry'!H125)),IF(AND(ISNUMBER('Council Entry'!H$8),ISNUMBER('Council Entry'!H$9)),MAX(MIN('Council Entry'!H125,'Council Entry'!H$9),'Council Entry'!H$8),'Council Entry'!H125))))-'Council Entry'!H$5)/('Council Entry'!H$6-'Council Entry'!H$5)),1))),"No data"))</f>
        <v/>
      </c>
      <c r="I125" s="13">
        <f>IF('Council Entry'!I125="","",IFERROR(MAX(0,MIN(10,ROUND(IF('Council Entry'!I$7="Decrease Risk",10-10*((IF('Council Entry'!I$4="Logarithm",LN(0.001+IF(AND(ISNUMBER('Council Entry'!I$8),ISNUMBER('Council Entry'!I$9)),MAX(MIN('Council Entry'!I125,'Council Entry'!I$9),'Council Entry'!I$8),'Council Entry'!I125)),IF('Council Entry'!I$4="Exponential",EXP(IF(AND(ISNUMBER('Council Entry'!I$8),ISNUMBER('Council Entry'!I$9)),MAX(MIN('Council Entry'!I125,'Council Entry'!I$9),'Council Entry'!I$8),'Council Entry'!I125)),IF(AND(ISNUMBER('Council Entry'!I$8),ISNUMBER('Council Entry'!I$9)),MAX(MIN('Council Entry'!I125,'Council Entry'!I$9),'Council Entry'!I$8),'Council Entry'!I125))))-'Council Entry'!I$5)/('Council Entry'!I$6-'Council Entry'!I$5),10*((IF('Council Entry'!I$4="Logarithm",LN(0.001+IF(AND(ISNUMBER('Council Entry'!I$8),ISNUMBER('Council Entry'!I$9)),MAX(MIN('Council Entry'!I125,'Council Entry'!I$9),'Council Entry'!I$8),'Council Entry'!I125)),IF('Council Entry'!I$4="Exponential",EXP(IF(AND(ISNUMBER('Council Entry'!I$8),ISNUMBER('Council Entry'!I$9)),MAX(MIN('Council Entry'!I125,'Council Entry'!I$9),'Council Entry'!I$8),'Council Entry'!I125)),IF(AND(ISNUMBER('Council Entry'!I$8),ISNUMBER('Council Entry'!I$9)),MAX(MIN('Council Entry'!I125,'Council Entry'!I$9),'Council Entry'!I$8),'Council Entry'!I125))))-'Council Entry'!I$5)/('Council Entry'!I$6-'Council Entry'!I$5)),1))),"No data"))</f>
        <v/>
      </c>
      <c r="J125" s="13">
        <f>IF('Council Entry'!J125="","",IFERROR(MAX(0,MIN(10,ROUND(IF('Council Entry'!J$7="Decrease Risk",10-10*((IF('Council Entry'!J$4="Logarithm",LN(0.001+IF(AND(ISNUMBER('Council Entry'!J$8),ISNUMBER('Council Entry'!J$9)),MAX(MIN('Council Entry'!J125,'Council Entry'!J$9),'Council Entry'!J$8),'Council Entry'!J125)),IF('Council Entry'!J$4="Exponential",EXP(IF(AND(ISNUMBER('Council Entry'!J$8),ISNUMBER('Council Entry'!J$9)),MAX(MIN('Council Entry'!J125,'Council Entry'!J$9),'Council Entry'!J$8),'Council Entry'!J125)),IF(AND(ISNUMBER('Council Entry'!J$8),ISNUMBER('Council Entry'!J$9)),MAX(MIN('Council Entry'!J125,'Council Entry'!J$9),'Council Entry'!J$8),'Council Entry'!J125))))-'Council Entry'!J$5)/('Council Entry'!J$6-'Council Entry'!J$5),10*((IF('Council Entry'!J$4="Logarithm",LN(0.001+IF(AND(ISNUMBER('Council Entry'!J$8),ISNUMBER('Council Entry'!J$9)),MAX(MIN('Council Entry'!J125,'Council Entry'!J$9),'Council Entry'!J$8),'Council Entry'!J125)),IF('Council Entry'!J$4="Exponential",EXP(IF(AND(ISNUMBER('Council Entry'!J$8),ISNUMBER('Council Entry'!J$9)),MAX(MIN('Council Entry'!J125,'Council Entry'!J$9),'Council Entry'!J$8),'Council Entry'!J125)),IF(AND(ISNUMBER('Council Entry'!J$8),ISNUMBER('Council Entry'!J$9)),MAX(MIN('Council Entry'!J125,'Council Entry'!J$9),'Council Entry'!J$8),'Council Entry'!J125))))-'Council Entry'!J$5)/('Council Entry'!J$6-'Council Entry'!J$5)),1))),"No data"))</f>
        <v/>
      </c>
      <c r="K125" s="13">
        <f>IF('Council Entry'!K125="","",IFERROR(MAX(0,MIN(10,ROUND(IF('Council Entry'!K$7="Decrease Risk",10-10*((IF('Council Entry'!K$4="Logarithm",LN(0.001+IF(AND(ISNUMBER('Council Entry'!K$8),ISNUMBER('Council Entry'!K$9)),MAX(MIN('Council Entry'!K125,'Council Entry'!K$9),'Council Entry'!K$8),'Council Entry'!K125)),IF('Council Entry'!K$4="Exponential",EXP(IF(AND(ISNUMBER('Council Entry'!K$8),ISNUMBER('Council Entry'!K$9)),MAX(MIN('Council Entry'!K125,'Council Entry'!K$9),'Council Entry'!K$8),'Council Entry'!K125)),IF(AND(ISNUMBER('Council Entry'!K$8),ISNUMBER('Council Entry'!K$9)),MAX(MIN('Council Entry'!K125,'Council Entry'!K$9),'Council Entry'!K$8),'Council Entry'!K125))))-'Council Entry'!K$5)/('Council Entry'!K$6-'Council Entry'!K$5),10*((IF('Council Entry'!K$4="Logarithm",LN(0.001+IF(AND(ISNUMBER('Council Entry'!K$8),ISNUMBER('Council Entry'!K$9)),MAX(MIN('Council Entry'!K125,'Council Entry'!K$9),'Council Entry'!K$8),'Council Entry'!K125)),IF('Council Entry'!K$4="Exponential",EXP(IF(AND(ISNUMBER('Council Entry'!K$8),ISNUMBER('Council Entry'!K$9)),MAX(MIN('Council Entry'!K125,'Council Entry'!K$9),'Council Entry'!K$8),'Council Entry'!K125)),IF(AND(ISNUMBER('Council Entry'!K$8),ISNUMBER('Council Entry'!K$9)),MAX(MIN('Council Entry'!K125,'Council Entry'!K$9),'Council Entry'!K$8),'Council Entry'!K125))))-'Council Entry'!K$5)/('Council Entry'!K$6-'Council Entry'!K$5)),1))),"No data"))</f>
        <v/>
      </c>
      <c r="L125" s="13">
        <f>IF('Council Entry'!L125="","",IFERROR(MAX(0,MIN(10,ROUND(IF('Council Entry'!L$7="Decrease Risk",10-10*((IF('Council Entry'!L$4="Logarithm",LN(0.001+IF(AND(ISNUMBER('Council Entry'!L$8),ISNUMBER('Council Entry'!L$9)),MAX(MIN('Council Entry'!L125,'Council Entry'!L$9),'Council Entry'!L$8),'Council Entry'!L125)),IF('Council Entry'!L$4="Exponential",EXP(IF(AND(ISNUMBER('Council Entry'!L$8),ISNUMBER('Council Entry'!L$9)),MAX(MIN('Council Entry'!L125,'Council Entry'!L$9),'Council Entry'!L$8),'Council Entry'!L125)),IF(AND(ISNUMBER('Council Entry'!L$8),ISNUMBER('Council Entry'!L$9)),MAX(MIN('Council Entry'!L125,'Council Entry'!L$9),'Council Entry'!L$8),'Council Entry'!L125))))-'Council Entry'!L$5)/('Council Entry'!L$6-'Council Entry'!L$5),10*((IF('Council Entry'!L$4="Logarithm",LN(0.001+IF(AND(ISNUMBER('Council Entry'!L$8),ISNUMBER('Council Entry'!L$9)),MAX(MIN('Council Entry'!L125,'Council Entry'!L$9),'Council Entry'!L$8),'Council Entry'!L125)),IF('Council Entry'!L$4="Exponential",EXP(IF(AND(ISNUMBER('Council Entry'!L$8),ISNUMBER('Council Entry'!L$9)),MAX(MIN('Council Entry'!L125,'Council Entry'!L$9),'Council Entry'!L$8),'Council Entry'!L125)),IF(AND(ISNUMBER('Council Entry'!L$8),ISNUMBER('Council Entry'!L$9)),MAX(MIN('Council Entry'!L125,'Council Entry'!L$9),'Council Entry'!L$8),'Council Entry'!L125))))-'Council Entry'!L$5)/('Council Entry'!L$6-'Council Entry'!L$5)),1))),"No data"))</f>
        <v/>
      </c>
      <c r="M125" s="13">
        <f>IF('Council Entry'!M125="","",IFERROR(MAX(0,MIN(10,ROUND(IF('Council Entry'!M$7="Decrease Risk",10-10*((IF('Council Entry'!M$4="Logarithm",LN(0.001+IF(AND(ISNUMBER('Council Entry'!M$8),ISNUMBER('Council Entry'!M$9)),MAX(MIN('Council Entry'!M125,'Council Entry'!M$9),'Council Entry'!M$8),'Council Entry'!M125)),IF('Council Entry'!M$4="Exponential",EXP(IF(AND(ISNUMBER('Council Entry'!M$8),ISNUMBER('Council Entry'!M$9)),MAX(MIN('Council Entry'!M125,'Council Entry'!M$9),'Council Entry'!M$8),'Council Entry'!M125)),IF(AND(ISNUMBER('Council Entry'!M$8),ISNUMBER('Council Entry'!M$9)),MAX(MIN('Council Entry'!M125,'Council Entry'!M$9),'Council Entry'!M$8),'Council Entry'!M125))))-'Council Entry'!M$5)/('Council Entry'!M$6-'Council Entry'!M$5),10*((IF('Council Entry'!M$4="Logarithm",LN(0.001+IF(AND(ISNUMBER('Council Entry'!M$8),ISNUMBER('Council Entry'!M$9)),MAX(MIN('Council Entry'!M125,'Council Entry'!M$9),'Council Entry'!M$8),'Council Entry'!M125)),IF('Council Entry'!M$4="Exponential",EXP(IF(AND(ISNUMBER('Council Entry'!M$8),ISNUMBER('Council Entry'!M$9)),MAX(MIN('Council Entry'!M125,'Council Entry'!M$9),'Council Entry'!M$8),'Council Entry'!M125)),IF(AND(ISNUMBER('Council Entry'!M$8),ISNUMBER('Council Entry'!M$9)),MAX(MIN('Council Entry'!M125,'Council Entry'!M$9),'Council Entry'!M$8),'Council Entry'!M125))))-'Council Entry'!M$5)/('Council Entry'!M$6-'Council Entry'!M$5)),1))),"No data"))</f>
        <v/>
      </c>
      <c r="N125" s="13">
        <f>IF('Council Entry'!N125="","",IFERROR(MAX(0,MIN(10,ROUND(IF('Council Entry'!N$7="Decrease Risk",10-10*((IF('Council Entry'!N$4="Logarithm",LN(0.001+IF(AND(ISNUMBER('Council Entry'!N$8),ISNUMBER('Council Entry'!N$9)),MAX(MIN('Council Entry'!N125,'Council Entry'!N$9),'Council Entry'!N$8),'Council Entry'!N125)),IF('Council Entry'!N$4="Exponential",EXP(IF(AND(ISNUMBER('Council Entry'!N$8),ISNUMBER('Council Entry'!N$9)),MAX(MIN('Council Entry'!N125,'Council Entry'!N$9),'Council Entry'!N$8),'Council Entry'!N125)),IF(AND(ISNUMBER('Council Entry'!N$8),ISNUMBER('Council Entry'!N$9)),MAX(MIN('Council Entry'!N125,'Council Entry'!N$9),'Council Entry'!N$8),'Council Entry'!N125))))-'Council Entry'!N$5)/('Council Entry'!N$6-'Council Entry'!N$5),10*((IF('Council Entry'!N$4="Logarithm",LN(0.001+IF(AND(ISNUMBER('Council Entry'!N$8),ISNUMBER('Council Entry'!N$9)),MAX(MIN('Council Entry'!N125,'Council Entry'!N$9),'Council Entry'!N$8),'Council Entry'!N125)),IF('Council Entry'!N$4="Exponential",EXP(IF(AND(ISNUMBER('Council Entry'!N$8),ISNUMBER('Council Entry'!N$9)),MAX(MIN('Council Entry'!N125,'Council Entry'!N$9),'Council Entry'!N$8),'Council Entry'!N125)),IF(AND(ISNUMBER('Council Entry'!N$8),ISNUMBER('Council Entry'!N$9)),MAX(MIN('Council Entry'!N125,'Council Entry'!N$9),'Council Entry'!N$8),'Council Entry'!N125))))-'Council Entry'!N$5)/('Council Entry'!N$6-'Council Entry'!N$5)),1))),"No data"))</f>
        <v/>
      </c>
      <c r="O125" s="13">
        <f>IF('Council Entry'!O125="","",IFERROR(MAX(0,MIN(10,ROUND(IF('Council Entry'!O$7="Decrease Risk",10-10*((IF('Council Entry'!O$4="Logarithm",LN(0.001+IF(AND(ISNUMBER('Council Entry'!O$8),ISNUMBER('Council Entry'!O$9)),MAX(MIN('Council Entry'!O125,'Council Entry'!O$9),'Council Entry'!O$8),'Council Entry'!O125)),IF('Council Entry'!O$4="Exponential",EXP(IF(AND(ISNUMBER('Council Entry'!O$8),ISNUMBER('Council Entry'!O$9)),MAX(MIN('Council Entry'!O125,'Council Entry'!O$9),'Council Entry'!O$8),'Council Entry'!O125)),IF(AND(ISNUMBER('Council Entry'!O$8),ISNUMBER('Council Entry'!O$9)),MAX(MIN('Council Entry'!O125,'Council Entry'!O$9),'Council Entry'!O$8),'Council Entry'!O125))))-'Council Entry'!O$5)/('Council Entry'!O$6-'Council Entry'!O$5),10*((IF('Council Entry'!O$4="Logarithm",LN(0.001+IF(AND(ISNUMBER('Council Entry'!O$8),ISNUMBER('Council Entry'!O$9)),MAX(MIN('Council Entry'!O125,'Council Entry'!O$9),'Council Entry'!O$8),'Council Entry'!O125)),IF('Council Entry'!O$4="Exponential",EXP(IF(AND(ISNUMBER('Council Entry'!O$8),ISNUMBER('Council Entry'!O$9)),MAX(MIN('Council Entry'!O125,'Council Entry'!O$9),'Council Entry'!O$8),'Council Entry'!O125)),IF(AND(ISNUMBER('Council Entry'!O$8),ISNUMBER('Council Entry'!O$9)),MAX(MIN('Council Entry'!O125,'Council Entry'!O$9),'Council Entry'!O$8),'Council Entry'!O125))))-'Council Entry'!O$5)/('Council Entry'!O$6-'Council Entry'!O$5)),1))),"No data"))</f>
        <v/>
      </c>
      <c r="P125" s="13">
        <f>IF('Council Entry'!P125="","",IFERROR(MAX(0,MIN(10,ROUND(IF('Council Entry'!P$7="Decrease Risk",10-10*((IF('Council Entry'!P$4="Logarithm",LN(0.001+IF(AND(ISNUMBER('Council Entry'!P$8),ISNUMBER('Council Entry'!P$9)),MAX(MIN('Council Entry'!P125,'Council Entry'!P$9),'Council Entry'!P$8),'Council Entry'!P125)),IF('Council Entry'!P$4="Exponential",EXP(IF(AND(ISNUMBER('Council Entry'!P$8),ISNUMBER('Council Entry'!P$9)),MAX(MIN('Council Entry'!P125,'Council Entry'!P$9),'Council Entry'!P$8),'Council Entry'!P125)),IF(AND(ISNUMBER('Council Entry'!P$8),ISNUMBER('Council Entry'!P$9)),MAX(MIN('Council Entry'!P125,'Council Entry'!P$9),'Council Entry'!P$8),'Council Entry'!P125))))-'Council Entry'!P$5)/('Council Entry'!P$6-'Council Entry'!P$5),10*((IF('Council Entry'!P$4="Logarithm",LN(0.001+IF(AND(ISNUMBER('Council Entry'!P$8),ISNUMBER('Council Entry'!P$9)),MAX(MIN('Council Entry'!P125,'Council Entry'!P$9),'Council Entry'!P$8),'Council Entry'!P125)),IF('Council Entry'!P$4="Exponential",EXP(IF(AND(ISNUMBER('Council Entry'!P$8),ISNUMBER('Council Entry'!P$9)),MAX(MIN('Council Entry'!P125,'Council Entry'!P$9),'Council Entry'!P$8),'Council Entry'!P125)),IF(AND(ISNUMBER('Council Entry'!P$8),ISNUMBER('Council Entry'!P$9)),MAX(MIN('Council Entry'!P125,'Council Entry'!P$9),'Council Entry'!P$8),'Council Entry'!P125))))-'Council Entry'!P$5)/('Council Entry'!P$6-'Council Entry'!P$5)),1))),"No data"))</f>
        <v/>
      </c>
      <c r="Q125" s="13">
        <f>IF('Council Entry'!Q125="","",IFERROR(MAX(0,MIN(10,ROUND(IF('Council Entry'!Q$7="Decrease Risk",10-10*((IF('Council Entry'!Q$4="Logarithm",LN(0.001+IF(AND(ISNUMBER('Council Entry'!Q$8),ISNUMBER('Council Entry'!Q$9)),MAX(MIN('Council Entry'!Q125,'Council Entry'!Q$9),'Council Entry'!Q$8),'Council Entry'!Q125)),IF('Council Entry'!Q$4="Exponential",EXP(IF(AND(ISNUMBER('Council Entry'!Q$8),ISNUMBER('Council Entry'!Q$9)),MAX(MIN('Council Entry'!Q125,'Council Entry'!Q$9),'Council Entry'!Q$8),'Council Entry'!Q125)),IF(AND(ISNUMBER('Council Entry'!Q$8),ISNUMBER('Council Entry'!Q$9)),MAX(MIN('Council Entry'!Q125,'Council Entry'!Q$9),'Council Entry'!Q$8),'Council Entry'!Q125))))-'Council Entry'!Q$5)/('Council Entry'!Q$6-'Council Entry'!Q$5),10*((IF('Council Entry'!Q$4="Logarithm",LN(0.001+IF(AND(ISNUMBER('Council Entry'!Q$8),ISNUMBER('Council Entry'!Q$9)),MAX(MIN('Council Entry'!Q125,'Council Entry'!Q$9),'Council Entry'!Q$8),'Council Entry'!Q125)),IF('Council Entry'!Q$4="Exponential",EXP(IF(AND(ISNUMBER('Council Entry'!Q$8),ISNUMBER('Council Entry'!Q$9)),MAX(MIN('Council Entry'!Q125,'Council Entry'!Q$9),'Council Entry'!Q$8),'Council Entry'!Q125)),IF(AND(ISNUMBER('Council Entry'!Q$8),ISNUMBER('Council Entry'!Q$9)),MAX(MIN('Council Entry'!Q125,'Council Entry'!Q$9),'Council Entry'!Q$8),'Council Entry'!Q125))))-'Council Entry'!Q$5)/('Council Entry'!Q$6-'Council Entry'!Q$5)),1))),"No data"))</f>
        <v/>
      </c>
      <c r="R125" s="13">
        <f>IF('Council Entry'!R125="","",IFERROR(MAX(0,MIN(10,ROUND(IF('Council Entry'!R$7="Decrease Risk",10-10*((IF('Council Entry'!R$4="Logarithm",LN(0.001+IF(AND(ISNUMBER('Council Entry'!R$8),ISNUMBER('Council Entry'!R$9)),MAX(MIN('Council Entry'!R125,'Council Entry'!R$9),'Council Entry'!R$8),'Council Entry'!R125)),IF('Council Entry'!R$4="Exponential",EXP(IF(AND(ISNUMBER('Council Entry'!R$8),ISNUMBER('Council Entry'!R$9)),MAX(MIN('Council Entry'!R125,'Council Entry'!R$9),'Council Entry'!R$8),'Council Entry'!R125)),IF(AND(ISNUMBER('Council Entry'!R$8),ISNUMBER('Council Entry'!R$9)),MAX(MIN('Council Entry'!R125,'Council Entry'!R$9),'Council Entry'!R$8),'Council Entry'!R125))))-'Council Entry'!R$5)/('Council Entry'!R$6-'Council Entry'!R$5),10*((IF('Council Entry'!R$4="Logarithm",LN(0.001+IF(AND(ISNUMBER('Council Entry'!R$8),ISNUMBER('Council Entry'!R$9)),MAX(MIN('Council Entry'!R125,'Council Entry'!R$9),'Council Entry'!R$8),'Council Entry'!R125)),IF('Council Entry'!R$4="Exponential",EXP(IF(AND(ISNUMBER('Council Entry'!R$8),ISNUMBER('Council Entry'!R$9)),MAX(MIN('Council Entry'!R125,'Council Entry'!R$9),'Council Entry'!R$8),'Council Entry'!R125)),IF(AND(ISNUMBER('Council Entry'!R$8),ISNUMBER('Council Entry'!R$9)),MAX(MIN('Council Entry'!R125,'Council Entry'!R$9),'Council Entry'!R$8),'Council Entry'!R125))))-'Council Entry'!R$5)/('Council Entry'!R$6-'Council Entry'!R$5)),1))),"No data"))</f>
        <v/>
      </c>
      <c r="S125" s="13">
        <f>IF('Council Entry'!S125="","",IFERROR(MAX(0,MIN(10,ROUND(IF('Council Entry'!S$7="Decrease Risk",10-10*((IF('Council Entry'!S$4="Logarithm",LN(0.001+IF(AND(ISNUMBER('Council Entry'!S$8),ISNUMBER('Council Entry'!S$9)),MAX(MIN('Council Entry'!S125,'Council Entry'!S$9),'Council Entry'!S$8),'Council Entry'!S125)),IF('Council Entry'!S$4="Exponential",EXP(IF(AND(ISNUMBER('Council Entry'!S$8),ISNUMBER('Council Entry'!S$9)),MAX(MIN('Council Entry'!S125,'Council Entry'!S$9),'Council Entry'!S$8),'Council Entry'!S125)),IF(AND(ISNUMBER('Council Entry'!S$8),ISNUMBER('Council Entry'!S$9)),MAX(MIN('Council Entry'!S125,'Council Entry'!S$9),'Council Entry'!S$8),'Council Entry'!S125))))-'Council Entry'!S$5)/('Council Entry'!S$6-'Council Entry'!S$5),10*((IF('Council Entry'!S$4="Logarithm",LN(0.001+IF(AND(ISNUMBER('Council Entry'!S$8),ISNUMBER('Council Entry'!S$9)),MAX(MIN('Council Entry'!S125,'Council Entry'!S$9),'Council Entry'!S$8),'Council Entry'!S125)),IF('Council Entry'!S$4="Exponential",EXP(IF(AND(ISNUMBER('Council Entry'!S$8),ISNUMBER('Council Entry'!S$9)),MAX(MIN('Council Entry'!S125,'Council Entry'!S$9),'Council Entry'!S$8),'Council Entry'!S125)),IF(AND(ISNUMBER('Council Entry'!S$8),ISNUMBER('Council Entry'!S$9)),MAX(MIN('Council Entry'!S125,'Council Entry'!S$9),'Council Entry'!S$8),'Council Entry'!S125))))-'Council Entry'!S$5)/('Council Entry'!S$6-'Council Entry'!S$5)),1))),"No data"))</f>
        <v/>
      </c>
      <c r="T125" s="13">
        <f>IF('Council Entry'!T125="","",IFERROR(MAX(0,MIN(10,ROUND(IF('Council Entry'!T$7="Decrease Risk",10-10*((IF('Council Entry'!T$4="Logarithm",LN(0.001+IF(AND(ISNUMBER('Council Entry'!T$8),ISNUMBER('Council Entry'!T$9)),MAX(MIN('Council Entry'!T125,'Council Entry'!T$9),'Council Entry'!T$8),'Council Entry'!T125)),IF('Council Entry'!T$4="Exponential",EXP(IF(AND(ISNUMBER('Council Entry'!T$8),ISNUMBER('Council Entry'!T$9)),MAX(MIN('Council Entry'!T125,'Council Entry'!T$9),'Council Entry'!T$8),'Council Entry'!T125)),IF(AND(ISNUMBER('Council Entry'!T$8),ISNUMBER('Council Entry'!T$9)),MAX(MIN('Council Entry'!T125,'Council Entry'!T$9),'Council Entry'!T$8),'Council Entry'!T125))))-'Council Entry'!T$5)/('Council Entry'!T$6-'Council Entry'!T$5),10*((IF('Council Entry'!T$4="Logarithm",LN(0.001+IF(AND(ISNUMBER('Council Entry'!T$8),ISNUMBER('Council Entry'!T$9)),MAX(MIN('Council Entry'!T125,'Council Entry'!T$9),'Council Entry'!T$8),'Council Entry'!T125)),IF('Council Entry'!T$4="Exponential",EXP(IF(AND(ISNUMBER('Council Entry'!T$8),ISNUMBER('Council Entry'!T$9)),MAX(MIN('Council Entry'!T125,'Council Entry'!T$9),'Council Entry'!T$8),'Council Entry'!T125)),IF(AND(ISNUMBER('Council Entry'!T$8),ISNUMBER('Council Entry'!T$9)),MAX(MIN('Council Entry'!T125,'Council Entry'!T$9),'Council Entry'!T$8),'Council Entry'!T125))))-'Council Entry'!T$5)/('Council Entry'!T$6-'Council Entry'!T$5)),1))),"No data"))</f>
        <v/>
      </c>
      <c r="U125" s="13">
        <f>IF('Council Entry'!U125="","",IFERROR(MAX(0,MIN(10,ROUND(IF('Council Entry'!U$7="Decrease Risk",10-10*((IF('Council Entry'!U$4="Logarithm",LN(0.001+IF(AND(ISNUMBER('Council Entry'!U$8),ISNUMBER('Council Entry'!U$9)),MAX(MIN('Council Entry'!U125,'Council Entry'!U$9),'Council Entry'!U$8),'Council Entry'!U125)),IF('Council Entry'!U$4="Exponential",EXP(IF(AND(ISNUMBER('Council Entry'!U$8),ISNUMBER('Council Entry'!U$9)),MAX(MIN('Council Entry'!U125,'Council Entry'!U$9),'Council Entry'!U$8),'Council Entry'!U125)),IF(AND(ISNUMBER('Council Entry'!U$8),ISNUMBER('Council Entry'!U$9)),MAX(MIN('Council Entry'!U125,'Council Entry'!U$9),'Council Entry'!U$8),'Council Entry'!U125))))-'Council Entry'!U$5)/('Council Entry'!U$6-'Council Entry'!U$5),10*((IF('Council Entry'!U$4="Logarithm",LN(0.001+IF(AND(ISNUMBER('Council Entry'!U$8),ISNUMBER('Council Entry'!U$9)),MAX(MIN('Council Entry'!U125,'Council Entry'!U$9),'Council Entry'!U$8),'Council Entry'!U125)),IF('Council Entry'!U$4="Exponential",EXP(IF(AND(ISNUMBER('Council Entry'!U$8),ISNUMBER('Council Entry'!U$9)),MAX(MIN('Council Entry'!U125,'Council Entry'!U$9),'Council Entry'!U$8),'Council Entry'!U125)),IF(AND(ISNUMBER('Council Entry'!U$8),ISNUMBER('Council Entry'!U$9)),MAX(MIN('Council Entry'!U125,'Council Entry'!U$9),'Council Entry'!U$8),'Council Entry'!U125))))-'Council Entry'!U$5)/('Council Entry'!U$6-'Council Entry'!U$5)),1))),"No data"))</f>
        <v/>
      </c>
      <c r="V125" s="13">
        <f>IF('Council Entry'!V125="","",IFERROR(MAX(0,MIN(10,ROUND(IF('Council Entry'!V$7="Decrease Risk",10-10*((IF('Council Entry'!V$4="Logarithm",LN(0.001+IF(AND(ISNUMBER('Council Entry'!V$8),ISNUMBER('Council Entry'!V$9)),MAX(MIN('Council Entry'!V125,'Council Entry'!V$9),'Council Entry'!V$8),'Council Entry'!V125)),IF('Council Entry'!V$4="Exponential",EXP(IF(AND(ISNUMBER('Council Entry'!V$8),ISNUMBER('Council Entry'!V$9)),MAX(MIN('Council Entry'!V125,'Council Entry'!V$9),'Council Entry'!V$8),'Council Entry'!V125)),IF(AND(ISNUMBER('Council Entry'!V$8),ISNUMBER('Council Entry'!V$9)),MAX(MIN('Council Entry'!V125,'Council Entry'!V$9),'Council Entry'!V$8),'Council Entry'!V125))))-'Council Entry'!V$5)/('Council Entry'!V$6-'Council Entry'!V$5),10*((IF('Council Entry'!V$4="Logarithm",LN(0.001+IF(AND(ISNUMBER('Council Entry'!V$8),ISNUMBER('Council Entry'!V$9)),MAX(MIN('Council Entry'!V125,'Council Entry'!V$9),'Council Entry'!V$8),'Council Entry'!V125)),IF('Council Entry'!V$4="Exponential",EXP(IF(AND(ISNUMBER('Council Entry'!V$8),ISNUMBER('Council Entry'!V$9)),MAX(MIN('Council Entry'!V125,'Council Entry'!V$9),'Council Entry'!V$8),'Council Entry'!V125)),IF(AND(ISNUMBER('Council Entry'!V$8),ISNUMBER('Council Entry'!V$9)),MAX(MIN('Council Entry'!V125,'Council Entry'!V$9),'Council Entry'!V$8),'Council Entry'!V125))))-'Council Entry'!V$5)/('Council Entry'!V$6-'Council Entry'!V$5)),1))),"No data"))</f>
        <v/>
      </c>
      <c r="W125" s="13">
        <f>IF('Council Entry'!W125="","",IFERROR(MAX(0,MIN(10,ROUND(IF('Council Entry'!W$7="Decrease Risk",10-10*((IF('Council Entry'!W$4="Logarithm",LN(0.001+IF(AND(ISNUMBER('Council Entry'!W$8),ISNUMBER('Council Entry'!W$9)),MAX(MIN('Council Entry'!W125,'Council Entry'!W$9),'Council Entry'!W$8),'Council Entry'!W125)),IF('Council Entry'!W$4="Exponential",EXP(IF(AND(ISNUMBER('Council Entry'!W$8),ISNUMBER('Council Entry'!W$9)),MAX(MIN('Council Entry'!W125,'Council Entry'!W$9),'Council Entry'!W$8),'Council Entry'!W125)),IF(AND(ISNUMBER('Council Entry'!W$8),ISNUMBER('Council Entry'!W$9)),MAX(MIN('Council Entry'!W125,'Council Entry'!W$9),'Council Entry'!W$8),'Council Entry'!W125))))-'Council Entry'!W$5)/('Council Entry'!W$6-'Council Entry'!W$5),10*((IF('Council Entry'!W$4="Logarithm",LN(0.001+IF(AND(ISNUMBER('Council Entry'!W$8),ISNUMBER('Council Entry'!W$9)),MAX(MIN('Council Entry'!W125,'Council Entry'!W$9),'Council Entry'!W$8),'Council Entry'!W125)),IF('Council Entry'!W$4="Exponential",EXP(IF(AND(ISNUMBER('Council Entry'!W$8),ISNUMBER('Council Entry'!W$9)),MAX(MIN('Council Entry'!W125,'Council Entry'!W$9),'Council Entry'!W$8),'Council Entry'!W125)),IF(AND(ISNUMBER('Council Entry'!W$8),ISNUMBER('Council Entry'!W$9)),MAX(MIN('Council Entry'!W125,'Council Entry'!W$9),'Council Entry'!W$8),'Council Entry'!W125))))-'Council Entry'!W$5)/('Council Entry'!W$6-'Council Entry'!W$5)),1))),"No data"))</f>
        <v/>
      </c>
      <c r="X125" s="13">
        <f>IF('Council Entry'!X125="","",IFERROR(MAX(0,MIN(10,ROUND(IF('Council Entry'!X$7="Decrease Risk",10-10*((IF('Council Entry'!X$4="Logarithm",LN(0.001+IF(AND(ISNUMBER('Council Entry'!X$8),ISNUMBER('Council Entry'!X$9)),MAX(MIN('Council Entry'!X125,'Council Entry'!X$9),'Council Entry'!X$8),'Council Entry'!X125)),IF('Council Entry'!X$4="Exponential",EXP(IF(AND(ISNUMBER('Council Entry'!X$8),ISNUMBER('Council Entry'!X$9)),MAX(MIN('Council Entry'!X125,'Council Entry'!X$9),'Council Entry'!X$8),'Council Entry'!X125)),IF(AND(ISNUMBER('Council Entry'!X$8),ISNUMBER('Council Entry'!X$9)),MAX(MIN('Council Entry'!X125,'Council Entry'!X$9),'Council Entry'!X$8),'Council Entry'!X125))))-'Council Entry'!X$5)/('Council Entry'!X$6-'Council Entry'!X$5),10*((IF('Council Entry'!X$4="Logarithm",LN(0.001+IF(AND(ISNUMBER('Council Entry'!X$8),ISNUMBER('Council Entry'!X$9)),MAX(MIN('Council Entry'!X125,'Council Entry'!X$9),'Council Entry'!X$8),'Council Entry'!X125)),IF('Council Entry'!X$4="Exponential",EXP(IF(AND(ISNUMBER('Council Entry'!X$8),ISNUMBER('Council Entry'!X$9)),MAX(MIN('Council Entry'!X125,'Council Entry'!X$9),'Council Entry'!X$8),'Council Entry'!X125)),IF(AND(ISNUMBER('Council Entry'!X$8),ISNUMBER('Council Entry'!X$9)),MAX(MIN('Council Entry'!X125,'Council Entry'!X$9),'Council Entry'!X$8),'Council Entry'!X125))))-'Council Entry'!X$5)/('Council Entry'!X$6-'Council Entry'!X$5)),1))),"No data"))</f>
        <v/>
      </c>
      <c r="Y125" s="13">
        <f>IF('Council Entry'!Y125="","",IFERROR(MAX(0,MIN(10,ROUND(IF('Council Entry'!Y$7="Decrease Risk",10-10*((IF('Council Entry'!Y$4="Logarithm",LN(0.001+IF(AND(ISNUMBER('Council Entry'!Y$8),ISNUMBER('Council Entry'!Y$9)),MAX(MIN('Council Entry'!Y125,'Council Entry'!Y$9),'Council Entry'!Y$8),'Council Entry'!Y125)),IF('Council Entry'!Y$4="Exponential",EXP(IF(AND(ISNUMBER('Council Entry'!Y$8),ISNUMBER('Council Entry'!Y$9)),MAX(MIN('Council Entry'!Y125,'Council Entry'!Y$9),'Council Entry'!Y$8),'Council Entry'!Y125)),IF(AND(ISNUMBER('Council Entry'!Y$8),ISNUMBER('Council Entry'!Y$9)),MAX(MIN('Council Entry'!Y125,'Council Entry'!Y$9),'Council Entry'!Y$8),'Council Entry'!Y125))))-'Council Entry'!Y$5)/('Council Entry'!Y$6-'Council Entry'!Y$5),10*((IF('Council Entry'!Y$4="Logarithm",LN(0.001+IF(AND(ISNUMBER('Council Entry'!Y$8),ISNUMBER('Council Entry'!Y$9)),MAX(MIN('Council Entry'!Y125,'Council Entry'!Y$9),'Council Entry'!Y$8),'Council Entry'!Y125)),IF('Council Entry'!Y$4="Exponential",EXP(IF(AND(ISNUMBER('Council Entry'!Y$8),ISNUMBER('Council Entry'!Y$9)),MAX(MIN('Council Entry'!Y125,'Council Entry'!Y$9),'Council Entry'!Y$8),'Council Entry'!Y125)),IF(AND(ISNUMBER('Council Entry'!Y$8),ISNUMBER('Council Entry'!Y$9)),MAX(MIN('Council Entry'!Y125,'Council Entry'!Y$9),'Council Entry'!Y$8),'Council Entry'!Y125))))-'Council Entry'!Y$5)/('Council Entry'!Y$6-'Council Entry'!Y$5)),1))),"No data"))</f>
        <v/>
      </c>
      <c r="Z125" s="13">
        <f>IF('Council Entry'!Z125="","",IFERROR(MAX(0,MIN(10,ROUND(IF('Council Entry'!Z$7="Decrease Risk",10-10*((IF('Council Entry'!Z$4="Logarithm",LN(0.001+IF(AND(ISNUMBER('Council Entry'!Z$8),ISNUMBER('Council Entry'!Z$9)),MAX(MIN('Council Entry'!Z125,'Council Entry'!Z$9),'Council Entry'!Z$8),'Council Entry'!Z125)),IF('Council Entry'!Z$4="Exponential",EXP(IF(AND(ISNUMBER('Council Entry'!Z$8),ISNUMBER('Council Entry'!Z$9)),MAX(MIN('Council Entry'!Z125,'Council Entry'!Z$9),'Council Entry'!Z$8),'Council Entry'!Z125)),IF(AND(ISNUMBER('Council Entry'!Z$8),ISNUMBER('Council Entry'!Z$9)),MAX(MIN('Council Entry'!Z125,'Council Entry'!Z$9),'Council Entry'!Z$8),'Council Entry'!Z125))))-'Council Entry'!Z$5)/('Council Entry'!Z$6-'Council Entry'!Z$5),10*((IF('Council Entry'!Z$4="Logarithm",LN(0.001+IF(AND(ISNUMBER('Council Entry'!Z$8),ISNUMBER('Council Entry'!Z$9)),MAX(MIN('Council Entry'!Z125,'Council Entry'!Z$9),'Council Entry'!Z$8),'Council Entry'!Z125)),IF('Council Entry'!Z$4="Exponential",EXP(IF(AND(ISNUMBER('Council Entry'!Z$8),ISNUMBER('Council Entry'!Z$9)),MAX(MIN('Council Entry'!Z125,'Council Entry'!Z$9),'Council Entry'!Z$8),'Council Entry'!Z125)),IF(AND(ISNUMBER('Council Entry'!Z$8),ISNUMBER('Council Entry'!Z$9)),MAX(MIN('Council Entry'!Z125,'Council Entry'!Z$9),'Council Entry'!Z$8),'Council Entry'!Z125))))-'Council Entry'!Z$5)/('Council Entry'!Z$6-'Council Entry'!Z$5)),1))),"No data"))</f>
        <v/>
      </c>
      <c r="AA125" s="13">
        <f>IF('Council Entry'!AA125="","",IFERROR(MAX(0,MIN(10,ROUND(IF('Council Entry'!AA$7="Decrease Risk",10-10*((IF('Council Entry'!AA$4="Logarithm",LN(0.001+IF(AND(ISNUMBER('Council Entry'!AA$8),ISNUMBER('Council Entry'!AA$9)),MAX(MIN('Council Entry'!AA125,'Council Entry'!AA$9),'Council Entry'!AA$8),'Council Entry'!AA125)),IF('Council Entry'!AA$4="Exponential",EXP(IF(AND(ISNUMBER('Council Entry'!AA$8),ISNUMBER('Council Entry'!AA$9)),MAX(MIN('Council Entry'!AA125,'Council Entry'!AA$9),'Council Entry'!AA$8),'Council Entry'!AA125)),IF(AND(ISNUMBER('Council Entry'!AA$8),ISNUMBER('Council Entry'!AA$9)),MAX(MIN('Council Entry'!AA125,'Council Entry'!AA$9),'Council Entry'!AA$8),'Council Entry'!AA125))))-'Council Entry'!AA$5)/('Council Entry'!AA$6-'Council Entry'!AA$5),10*((IF('Council Entry'!AA$4="Logarithm",LN(0.001+IF(AND(ISNUMBER('Council Entry'!AA$8),ISNUMBER('Council Entry'!AA$9)),MAX(MIN('Council Entry'!AA125,'Council Entry'!AA$9),'Council Entry'!AA$8),'Council Entry'!AA125)),IF('Council Entry'!AA$4="Exponential",EXP(IF(AND(ISNUMBER('Council Entry'!AA$8),ISNUMBER('Council Entry'!AA$9)),MAX(MIN('Council Entry'!AA125,'Council Entry'!AA$9),'Council Entry'!AA$8),'Council Entry'!AA125)),IF(AND(ISNUMBER('Council Entry'!AA$8),ISNUMBER('Council Entry'!AA$9)),MAX(MIN('Council Entry'!AA125,'Council Entry'!AA$9),'Council Entry'!AA$8),'Council Entry'!AA125))))-'Council Entry'!AA$5)/('Council Entry'!AA$6-'Council Entry'!AA$5)),1))),"No data"))</f>
        <v/>
      </c>
      <c r="AB125" s="13">
        <f>IF('Council Entry'!AB125="","",IFERROR(MAX(0,MIN(10,ROUND(IF('Council Entry'!AB$7="Decrease Risk",10-10*((IF('Council Entry'!AB$4="Logarithm",LN(0.001+IF(AND(ISNUMBER('Council Entry'!AB$8),ISNUMBER('Council Entry'!AB$9)),MAX(MIN('Council Entry'!AB125,'Council Entry'!AB$9),'Council Entry'!AB$8),'Council Entry'!AB125)),IF('Council Entry'!AB$4="Exponential",EXP(IF(AND(ISNUMBER('Council Entry'!AB$8),ISNUMBER('Council Entry'!AB$9)),MAX(MIN('Council Entry'!AB125,'Council Entry'!AB$9),'Council Entry'!AB$8),'Council Entry'!AB125)),IF(AND(ISNUMBER('Council Entry'!AB$8),ISNUMBER('Council Entry'!AB$9)),MAX(MIN('Council Entry'!AB125,'Council Entry'!AB$9),'Council Entry'!AB$8),'Council Entry'!AB125))))-'Council Entry'!AB$5)/('Council Entry'!AB$6-'Council Entry'!AB$5),10*((IF('Council Entry'!AB$4="Logarithm",LN(0.001+IF(AND(ISNUMBER('Council Entry'!AB$8),ISNUMBER('Council Entry'!AB$9)),MAX(MIN('Council Entry'!AB125,'Council Entry'!AB$9),'Council Entry'!AB$8),'Council Entry'!AB125)),IF('Council Entry'!AB$4="Exponential",EXP(IF(AND(ISNUMBER('Council Entry'!AB$8),ISNUMBER('Council Entry'!AB$9)),MAX(MIN('Council Entry'!AB125,'Council Entry'!AB$9),'Council Entry'!AB$8),'Council Entry'!AB125)),IF(AND(ISNUMBER('Council Entry'!AB$8),ISNUMBER('Council Entry'!AB$9)),MAX(MIN('Council Entry'!AB125,'Council Entry'!AB$9),'Council Entry'!AB$8),'Council Entry'!AB125))))-'Council Entry'!AB$5)/('Council Entry'!AB$6-'Council Entry'!AB$5)),1))),"No data"))</f>
        <v/>
      </c>
      <c r="AC125" s="13">
        <f>IF('Council Entry'!AC125="","",IFERROR(MAX(0,MIN(10,ROUND(IF('Council Entry'!AC$7="Decrease Risk",10-10*((IF('Council Entry'!AC$4="Logarithm",LN(0.001+IF(AND(ISNUMBER('Council Entry'!AC$8),ISNUMBER('Council Entry'!AC$9)),MAX(MIN('Council Entry'!AC125,'Council Entry'!AC$9),'Council Entry'!AC$8),'Council Entry'!AC125)),IF('Council Entry'!AC$4="Exponential",EXP(IF(AND(ISNUMBER('Council Entry'!AC$8),ISNUMBER('Council Entry'!AC$9)),MAX(MIN('Council Entry'!AC125,'Council Entry'!AC$9),'Council Entry'!AC$8),'Council Entry'!AC125)),IF(AND(ISNUMBER('Council Entry'!AC$8),ISNUMBER('Council Entry'!AC$9)),MAX(MIN('Council Entry'!AC125,'Council Entry'!AC$9),'Council Entry'!AC$8),'Council Entry'!AC125))))-'Council Entry'!AC$5)/('Council Entry'!AC$6-'Council Entry'!AC$5),10*((IF('Council Entry'!AC$4="Logarithm",LN(0.001+IF(AND(ISNUMBER('Council Entry'!AC$8),ISNUMBER('Council Entry'!AC$9)),MAX(MIN('Council Entry'!AC125,'Council Entry'!AC$9),'Council Entry'!AC$8),'Council Entry'!AC125)),IF('Council Entry'!AC$4="Exponential",EXP(IF(AND(ISNUMBER('Council Entry'!AC$8),ISNUMBER('Council Entry'!AC$9)),MAX(MIN('Council Entry'!AC125,'Council Entry'!AC$9),'Council Entry'!AC$8),'Council Entry'!AC125)),IF(AND(ISNUMBER('Council Entry'!AC$8),ISNUMBER('Council Entry'!AC$9)),MAX(MIN('Council Entry'!AC125,'Council Entry'!AC$9),'Council Entry'!AC$8),'Council Entry'!AC125))))-'Council Entry'!AC$5)/('Council Entry'!AC$6-'Council Entry'!AC$5)),1))),"No data"))</f>
        <v/>
      </c>
      <c r="AD125" s="13">
        <f>IF('Council Entry'!AD125="","",IFERROR(MAX(0,MIN(10,ROUND(IF('Council Entry'!AD$7="Decrease Risk",10-10*((IF('Council Entry'!AD$4="Logarithm",LN(0.001+IF(AND(ISNUMBER('Council Entry'!AD$8),ISNUMBER('Council Entry'!AD$9)),MAX(MIN('Council Entry'!AD125,'Council Entry'!AD$9),'Council Entry'!AD$8),'Council Entry'!AD125)),IF('Council Entry'!AD$4="Exponential",EXP(IF(AND(ISNUMBER('Council Entry'!AD$8),ISNUMBER('Council Entry'!AD$9)),MAX(MIN('Council Entry'!AD125,'Council Entry'!AD$9),'Council Entry'!AD$8),'Council Entry'!AD125)),IF(AND(ISNUMBER('Council Entry'!AD$8),ISNUMBER('Council Entry'!AD$9)),MAX(MIN('Council Entry'!AD125,'Council Entry'!AD$9),'Council Entry'!AD$8),'Council Entry'!AD125))))-'Council Entry'!AD$5)/('Council Entry'!AD$6-'Council Entry'!AD$5),10*((IF('Council Entry'!AD$4="Logarithm",LN(0.001+IF(AND(ISNUMBER('Council Entry'!AD$8),ISNUMBER('Council Entry'!AD$9)),MAX(MIN('Council Entry'!AD125,'Council Entry'!AD$9),'Council Entry'!AD$8),'Council Entry'!AD125)),IF('Council Entry'!AD$4="Exponential",EXP(IF(AND(ISNUMBER('Council Entry'!AD$8),ISNUMBER('Council Entry'!AD$9)),MAX(MIN('Council Entry'!AD125,'Council Entry'!AD$9),'Council Entry'!AD$8),'Council Entry'!AD125)),IF(AND(ISNUMBER('Council Entry'!AD$8),ISNUMBER('Council Entry'!AD$9)),MAX(MIN('Council Entry'!AD125,'Council Entry'!AD$9),'Council Entry'!AD$8),'Council Entry'!AD125))))-'Council Entry'!AD$5)/('Council Entry'!AD$6-'Council Entry'!AD$5)),1))),"No data"))</f>
        <v/>
      </c>
      <c r="AE125" s="13">
        <f>IF('Council Entry'!AE125="","",IFERROR(MAX(0,MIN(10,ROUND(IF('Council Entry'!AE$7="Decrease Risk",10-10*((IF('Council Entry'!AE$4="Logarithm",LN(0.001+IF(AND(ISNUMBER('Council Entry'!AE$8),ISNUMBER('Council Entry'!AE$9)),MAX(MIN('Council Entry'!AE125,'Council Entry'!AE$9),'Council Entry'!AE$8),'Council Entry'!AE125)),IF('Council Entry'!AE$4="Exponential",EXP(IF(AND(ISNUMBER('Council Entry'!AE$8),ISNUMBER('Council Entry'!AE$9)),MAX(MIN('Council Entry'!AE125,'Council Entry'!AE$9),'Council Entry'!AE$8),'Council Entry'!AE125)),IF(AND(ISNUMBER('Council Entry'!AE$8),ISNUMBER('Council Entry'!AE$9)),MAX(MIN('Council Entry'!AE125,'Council Entry'!AE$9),'Council Entry'!AE$8),'Council Entry'!AE125))))-'Council Entry'!AE$5)/('Council Entry'!AE$6-'Council Entry'!AE$5),10*((IF('Council Entry'!AE$4="Logarithm",LN(0.001+IF(AND(ISNUMBER('Council Entry'!AE$8),ISNUMBER('Council Entry'!AE$9)),MAX(MIN('Council Entry'!AE125,'Council Entry'!AE$9),'Council Entry'!AE$8),'Council Entry'!AE125)),IF('Council Entry'!AE$4="Exponential",EXP(IF(AND(ISNUMBER('Council Entry'!AE$8),ISNUMBER('Council Entry'!AE$9)),MAX(MIN('Council Entry'!AE125,'Council Entry'!AE$9),'Council Entry'!AE$8),'Council Entry'!AE125)),IF(AND(ISNUMBER('Council Entry'!AE$8),ISNUMBER('Council Entry'!AE$9)),MAX(MIN('Council Entry'!AE125,'Council Entry'!AE$9),'Council Entry'!AE$8),'Council Entry'!AE125))))-'Council Entry'!AE$5)/('Council Entry'!AE$6-'Council Entry'!AE$5)),1))),"No data"))</f>
        <v/>
      </c>
      <c r="AF125" s="13">
        <f>IF('Council Entry'!AF125="","",IFERROR(MAX(0,MIN(10,ROUND(IF('Council Entry'!AF$7="Decrease Risk",10-10*((IF('Council Entry'!AF$4="Logarithm",LN(0.001+IF(AND(ISNUMBER('Council Entry'!AF$8),ISNUMBER('Council Entry'!AF$9)),MAX(MIN('Council Entry'!AF125,'Council Entry'!AF$9),'Council Entry'!AF$8),'Council Entry'!AF125)),IF('Council Entry'!AF$4="Exponential",EXP(IF(AND(ISNUMBER('Council Entry'!AF$8),ISNUMBER('Council Entry'!AF$9)),MAX(MIN('Council Entry'!AF125,'Council Entry'!AF$9),'Council Entry'!AF$8),'Council Entry'!AF125)),IF(AND(ISNUMBER('Council Entry'!AF$8),ISNUMBER('Council Entry'!AF$9)),MAX(MIN('Council Entry'!AF125,'Council Entry'!AF$9),'Council Entry'!AF$8),'Council Entry'!AF125))))-'Council Entry'!AF$5)/('Council Entry'!AF$6-'Council Entry'!AF$5),10*((IF('Council Entry'!AF$4="Logarithm",LN(0.001+IF(AND(ISNUMBER('Council Entry'!AF$8),ISNUMBER('Council Entry'!AF$9)),MAX(MIN('Council Entry'!AF125,'Council Entry'!AF$9),'Council Entry'!AF$8),'Council Entry'!AF125)),IF('Council Entry'!AF$4="Exponential",EXP(IF(AND(ISNUMBER('Council Entry'!AF$8),ISNUMBER('Council Entry'!AF$9)),MAX(MIN('Council Entry'!AF125,'Council Entry'!AF$9),'Council Entry'!AF$8),'Council Entry'!AF125)),IF(AND(ISNUMBER('Council Entry'!AF$8),ISNUMBER('Council Entry'!AF$9)),MAX(MIN('Council Entry'!AF125,'Council Entry'!AF$9),'Council Entry'!AF$8),'Council Entry'!AF125))))-'Council Entry'!AF$5)/('Council Entry'!AF$6-'Council Entry'!AF$5)),1))),"No data"))</f>
        <v/>
      </c>
      <c r="AG125" s="13">
        <f>IF('Council Entry'!AG125="","",IFERROR(MAX(0,MIN(10,ROUND(IF('Council Entry'!AG$7="Decrease Risk",10-10*((IF('Council Entry'!AG$4="Logarithm",LN(0.001+IF(AND(ISNUMBER('Council Entry'!AG$8),ISNUMBER('Council Entry'!AG$9)),MAX(MIN('Council Entry'!AG125,'Council Entry'!AG$9),'Council Entry'!AG$8),'Council Entry'!AG125)),IF('Council Entry'!AG$4="Exponential",EXP(IF(AND(ISNUMBER('Council Entry'!AG$8),ISNUMBER('Council Entry'!AG$9)),MAX(MIN('Council Entry'!AG125,'Council Entry'!AG$9),'Council Entry'!AG$8),'Council Entry'!AG125)),IF(AND(ISNUMBER('Council Entry'!AG$8),ISNUMBER('Council Entry'!AG$9)),MAX(MIN('Council Entry'!AG125,'Council Entry'!AG$9),'Council Entry'!AG$8),'Council Entry'!AG125))))-'Council Entry'!AG$5)/('Council Entry'!AG$6-'Council Entry'!AG$5),10*((IF('Council Entry'!AG$4="Logarithm",LN(0.001+IF(AND(ISNUMBER('Council Entry'!AG$8),ISNUMBER('Council Entry'!AG$9)),MAX(MIN('Council Entry'!AG125,'Council Entry'!AG$9),'Council Entry'!AG$8),'Council Entry'!AG125)),IF('Council Entry'!AG$4="Exponential",EXP(IF(AND(ISNUMBER('Council Entry'!AG$8),ISNUMBER('Council Entry'!AG$9)),MAX(MIN('Council Entry'!AG125,'Council Entry'!AG$9),'Council Entry'!AG$8),'Council Entry'!AG125)),IF(AND(ISNUMBER('Council Entry'!AG$8),ISNUMBER('Council Entry'!AG$9)),MAX(MIN('Council Entry'!AG125,'Council Entry'!AG$9),'Council Entry'!AG$8),'Council Entry'!AG125))))-'Council Entry'!AG$5)/('Council Entry'!AG$6-'Council Entry'!AG$5)),1))),"No data"))</f>
        <v/>
      </c>
      <c r="AH125" s="13">
        <f>IF('Council Entry'!AH125="","",IFERROR(MAX(0,MIN(10,ROUND(IF('Council Entry'!AH$7="Decrease Risk",10-10*((IF('Council Entry'!AH$4="Logarithm",LN(0.001+IF(AND(ISNUMBER('Council Entry'!AH$8),ISNUMBER('Council Entry'!AH$9)),MAX(MIN('Council Entry'!AH125,'Council Entry'!AH$9),'Council Entry'!AH$8),'Council Entry'!AH125)),IF('Council Entry'!AH$4="Exponential",EXP(IF(AND(ISNUMBER('Council Entry'!AH$8),ISNUMBER('Council Entry'!AH$9)),MAX(MIN('Council Entry'!AH125,'Council Entry'!AH$9),'Council Entry'!AH$8),'Council Entry'!AH125)),IF(AND(ISNUMBER('Council Entry'!AH$8),ISNUMBER('Council Entry'!AH$9)),MAX(MIN('Council Entry'!AH125,'Council Entry'!AH$9),'Council Entry'!AH$8),'Council Entry'!AH125))))-'Council Entry'!AH$5)/('Council Entry'!AH$6-'Council Entry'!AH$5),10*((IF('Council Entry'!AH$4="Logarithm",LN(0.001+IF(AND(ISNUMBER('Council Entry'!AH$8),ISNUMBER('Council Entry'!AH$9)),MAX(MIN('Council Entry'!AH125,'Council Entry'!AH$9),'Council Entry'!AH$8),'Council Entry'!AH125)),IF('Council Entry'!AH$4="Exponential",EXP(IF(AND(ISNUMBER('Council Entry'!AH$8),ISNUMBER('Council Entry'!AH$9)),MAX(MIN('Council Entry'!AH125,'Council Entry'!AH$9),'Council Entry'!AH$8),'Council Entry'!AH125)),IF(AND(ISNUMBER('Council Entry'!AH$8),ISNUMBER('Council Entry'!AH$9)),MAX(MIN('Council Entry'!AH125,'Council Entry'!AH$9),'Council Entry'!AH$8),'Council Entry'!AH125))))-'Council Entry'!AH$5)/('Council Entry'!AH$6-'Council Entry'!AH$5)),1))),"No data"))</f>
        <v/>
      </c>
      <c r="AI125" s="13">
        <f>IF('Council Entry'!AI125="","",IFERROR(MAX(0,MIN(10,ROUND(IF('Council Entry'!AI$7="Decrease Risk",10-10*((IF('Council Entry'!AI$4="Logarithm",LN(0.001+IF(AND(ISNUMBER('Council Entry'!AI$8),ISNUMBER('Council Entry'!AI$9)),MAX(MIN('Council Entry'!AI125,'Council Entry'!AI$9),'Council Entry'!AI$8),'Council Entry'!AI125)),IF('Council Entry'!AI$4="Exponential",EXP(IF(AND(ISNUMBER('Council Entry'!AI$8),ISNUMBER('Council Entry'!AI$9)),MAX(MIN('Council Entry'!AI125,'Council Entry'!AI$9),'Council Entry'!AI$8),'Council Entry'!AI125)),IF(AND(ISNUMBER('Council Entry'!AI$8),ISNUMBER('Council Entry'!AI$9)),MAX(MIN('Council Entry'!AI125,'Council Entry'!AI$9),'Council Entry'!AI$8),'Council Entry'!AI125))))-'Council Entry'!AI$5)/('Council Entry'!AI$6-'Council Entry'!AI$5),10*((IF('Council Entry'!AI$4="Logarithm",LN(0.001+IF(AND(ISNUMBER('Council Entry'!AI$8),ISNUMBER('Council Entry'!AI$9)),MAX(MIN('Council Entry'!AI125,'Council Entry'!AI$9),'Council Entry'!AI$8),'Council Entry'!AI125)),IF('Council Entry'!AI$4="Exponential",EXP(IF(AND(ISNUMBER('Council Entry'!AI$8),ISNUMBER('Council Entry'!AI$9)),MAX(MIN('Council Entry'!AI125,'Council Entry'!AI$9),'Council Entry'!AI$8),'Council Entry'!AI125)),IF(AND(ISNUMBER('Council Entry'!AI$8),ISNUMBER('Council Entry'!AI$9)),MAX(MIN('Council Entry'!AI125,'Council Entry'!AI$9),'Council Entry'!AI$8),'Council Entry'!AI125))))-'Council Entry'!AI$5)/('Council Entry'!AI$6-'Council Entry'!AI$5)),1))),"No data"))</f>
        <v/>
      </c>
      <c r="AJ125" s="13">
        <f>IF('Council Entry'!AJ125="","",IFERROR(MAX(0,MIN(10,ROUND(IF('Council Entry'!AJ$7="Decrease Risk",10-10*((IF('Council Entry'!AJ$4="Logarithm",LN(0.001+IF(AND(ISNUMBER('Council Entry'!AJ$8),ISNUMBER('Council Entry'!AJ$9)),MAX(MIN('Council Entry'!AJ125,'Council Entry'!AJ$9),'Council Entry'!AJ$8),'Council Entry'!AJ125)),IF('Council Entry'!AJ$4="Exponential",EXP(IF(AND(ISNUMBER('Council Entry'!AJ$8),ISNUMBER('Council Entry'!AJ$9)),MAX(MIN('Council Entry'!AJ125,'Council Entry'!AJ$9),'Council Entry'!AJ$8),'Council Entry'!AJ125)),IF(AND(ISNUMBER('Council Entry'!AJ$8),ISNUMBER('Council Entry'!AJ$9)),MAX(MIN('Council Entry'!AJ125,'Council Entry'!AJ$9),'Council Entry'!AJ$8),'Council Entry'!AJ125))))-'Council Entry'!AJ$5)/('Council Entry'!AJ$6-'Council Entry'!AJ$5),10*((IF('Council Entry'!AJ$4="Logarithm",LN(0.001+IF(AND(ISNUMBER('Council Entry'!AJ$8),ISNUMBER('Council Entry'!AJ$9)),MAX(MIN('Council Entry'!AJ125,'Council Entry'!AJ$9),'Council Entry'!AJ$8),'Council Entry'!AJ125)),IF('Council Entry'!AJ$4="Exponential",EXP(IF(AND(ISNUMBER('Council Entry'!AJ$8),ISNUMBER('Council Entry'!AJ$9)),MAX(MIN('Council Entry'!AJ125,'Council Entry'!AJ$9),'Council Entry'!AJ$8),'Council Entry'!AJ125)),IF(AND(ISNUMBER('Council Entry'!AJ$8),ISNUMBER('Council Entry'!AJ$9)),MAX(MIN('Council Entry'!AJ125,'Council Entry'!AJ$9),'Council Entry'!AJ$8),'Council Entry'!AJ125))))-'Council Entry'!AJ$5)/('Council Entry'!AJ$6-'Council Entry'!AJ$5)),1))),"No data"))</f>
        <v/>
      </c>
      <c r="AK125" s="13">
        <f>IF('Council Entry'!AK125="","",IFERROR(MAX(0,MIN(10,ROUND(IF('Council Entry'!AK$7="Decrease Risk",10-10*((IF('Council Entry'!AK$4="Logarithm",LN(0.001+IF(AND(ISNUMBER('Council Entry'!AK$8),ISNUMBER('Council Entry'!AK$9)),MAX(MIN('Council Entry'!AK125,'Council Entry'!AK$9),'Council Entry'!AK$8),'Council Entry'!AK125)),IF('Council Entry'!AK$4="Exponential",EXP(IF(AND(ISNUMBER('Council Entry'!AK$8),ISNUMBER('Council Entry'!AK$9)),MAX(MIN('Council Entry'!AK125,'Council Entry'!AK$9),'Council Entry'!AK$8),'Council Entry'!AK125)),IF(AND(ISNUMBER('Council Entry'!AK$8),ISNUMBER('Council Entry'!AK$9)),MAX(MIN('Council Entry'!AK125,'Council Entry'!AK$9),'Council Entry'!AK$8),'Council Entry'!AK125))))-'Council Entry'!AK$5)/('Council Entry'!AK$6-'Council Entry'!AK$5),10*((IF('Council Entry'!AK$4="Logarithm",LN(0.001+IF(AND(ISNUMBER('Council Entry'!AK$8),ISNUMBER('Council Entry'!AK$9)),MAX(MIN('Council Entry'!AK125,'Council Entry'!AK$9),'Council Entry'!AK$8),'Council Entry'!AK125)),IF('Council Entry'!AK$4="Exponential",EXP(IF(AND(ISNUMBER('Council Entry'!AK$8),ISNUMBER('Council Entry'!AK$9)),MAX(MIN('Council Entry'!AK125,'Council Entry'!AK$9),'Council Entry'!AK$8),'Council Entry'!AK125)),IF(AND(ISNUMBER('Council Entry'!AK$8),ISNUMBER('Council Entry'!AK$9)),MAX(MIN('Council Entry'!AK125,'Council Entry'!AK$9),'Council Entry'!AK$8),'Council Entry'!AK125))))-'Council Entry'!AK$5)/('Council Entry'!AK$6-'Council Entry'!AK$5)),1))),"No data"))</f>
        <v/>
      </c>
      <c r="AL125" s="13">
        <f>IF('Council Entry'!AL125="","",IFERROR(MAX(0,MIN(10,ROUND(IF('Council Entry'!AL$7="Decrease Risk",10-10*((IF('Council Entry'!AL$4="Logarithm",LN(0.001+IF(AND(ISNUMBER('Council Entry'!AL$8),ISNUMBER('Council Entry'!AL$9)),MAX(MIN('Council Entry'!AL125,'Council Entry'!AL$9),'Council Entry'!AL$8),'Council Entry'!AL125)),IF('Council Entry'!AL$4="Exponential",EXP(IF(AND(ISNUMBER('Council Entry'!AL$8),ISNUMBER('Council Entry'!AL$9)),MAX(MIN('Council Entry'!AL125,'Council Entry'!AL$9),'Council Entry'!AL$8),'Council Entry'!AL125)),IF(AND(ISNUMBER('Council Entry'!AL$8),ISNUMBER('Council Entry'!AL$9)),MAX(MIN('Council Entry'!AL125,'Council Entry'!AL$9),'Council Entry'!AL$8),'Council Entry'!AL125))))-'Council Entry'!AL$5)/('Council Entry'!AL$6-'Council Entry'!AL$5),10*((IF('Council Entry'!AL$4="Logarithm",LN(0.001+IF(AND(ISNUMBER('Council Entry'!AL$8),ISNUMBER('Council Entry'!AL$9)),MAX(MIN('Council Entry'!AL125,'Council Entry'!AL$9),'Council Entry'!AL$8),'Council Entry'!AL125)),IF('Council Entry'!AL$4="Exponential",EXP(IF(AND(ISNUMBER('Council Entry'!AL$8),ISNUMBER('Council Entry'!AL$9)),MAX(MIN('Council Entry'!AL125,'Council Entry'!AL$9),'Council Entry'!AL$8),'Council Entry'!AL125)),IF(AND(ISNUMBER('Council Entry'!AL$8),ISNUMBER('Council Entry'!AL$9)),MAX(MIN('Council Entry'!AL125,'Council Entry'!AL$9),'Council Entry'!AL$8),'Council Entry'!AL125))))-'Council Entry'!AL$5)/('Council Entry'!AL$6-'Council Entry'!AL$5)),1))),"No data"))</f>
        <v/>
      </c>
      <c r="AM125" s="13">
        <f>IF('Council Entry'!AM125="","",IFERROR(MAX(0,MIN(10,ROUND(IF('Council Entry'!AM$7="Decrease Risk",10-10*((IF('Council Entry'!AM$4="Logarithm",LN(0.001+IF(AND(ISNUMBER('Council Entry'!AM$8),ISNUMBER('Council Entry'!AM$9)),MAX(MIN('Council Entry'!AM125,'Council Entry'!AM$9),'Council Entry'!AM$8),'Council Entry'!AM125)),IF('Council Entry'!AM$4="Exponential",EXP(IF(AND(ISNUMBER('Council Entry'!AM$8),ISNUMBER('Council Entry'!AM$9)),MAX(MIN('Council Entry'!AM125,'Council Entry'!AM$9),'Council Entry'!AM$8),'Council Entry'!AM125)),IF(AND(ISNUMBER('Council Entry'!AM$8),ISNUMBER('Council Entry'!AM$9)),MAX(MIN('Council Entry'!AM125,'Council Entry'!AM$9),'Council Entry'!AM$8),'Council Entry'!AM125))))-'Council Entry'!AM$5)/('Council Entry'!AM$6-'Council Entry'!AM$5),10*((IF('Council Entry'!AM$4="Logarithm",LN(0.001+IF(AND(ISNUMBER('Council Entry'!AM$8),ISNUMBER('Council Entry'!AM$9)),MAX(MIN('Council Entry'!AM125,'Council Entry'!AM$9),'Council Entry'!AM$8),'Council Entry'!AM125)),IF('Council Entry'!AM$4="Exponential",EXP(IF(AND(ISNUMBER('Council Entry'!AM$8),ISNUMBER('Council Entry'!AM$9)),MAX(MIN('Council Entry'!AM125,'Council Entry'!AM$9),'Council Entry'!AM$8),'Council Entry'!AM125)),IF(AND(ISNUMBER('Council Entry'!AM$8),ISNUMBER('Council Entry'!AM$9)),MAX(MIN('Council Entry'!AM125,'Council Entry'!AM$9),'Council Entry'!AM$8),'Council Entry'!AM125))))-'Council Entry'!AM$5)/('Council Entry'!AM$6-'Council Entry'!AM$5)),1))),"No data"))</f>
        <v/>
      </c>
      <c r="AN125" s="13">
        <f>IF('Council Entry'!AN125="","",IFERROR(MAX(0,MIN(10,ROUND(IF('Council Entry'!AN$7="Decrease Risk",10-10*((IF('Council Entry'!AN$4="Logarithm",LN(0.001+IF(AND(ISNUMBER('Council Entry'!AN$8),ISNUMBER('Council Entry'!AN$9)),MAX(MIN('Council Entry'!AN125,'Council Entry'!AN$9),'Council Entry'!AN$8),'Council Entry'!AN125)),IF('Council Entry'!AN$4="Exponential",EXP(IF(AND(ISNUMBER('Council Entry'!AN$8),ISNUMBER('Council Entry'!AN$9)),MAX(MIN('Council Entry'!AN125,'Council Entry'!AN$9),'Council Entry'!AN$8),'Council Entry'!AN125)),IF(AND(ISNUMBER('Council Entry'!AN$8),ISNUMBER('Council Entry'!AN$9)),MAX(MIN('Council Entry'!AN125,'Council Entry'!AN$9),'Council Entry'!AN$8),'Council Entry'!AN125))))-'Council Entry'!AN$5)/('Council Entry'!AN$6-'Council Entry'!AN$5),10*((IF('Council Entry'!AN$4="Logarithm",LN(0.001+IF(AND(ISNUMBER('Council Entry'!AN$8),ISNUMBER('Council Entry'!AN$9)),MAX(MIN('Council Entry'!AN125,'Council Entry'!AN$9),'Council Entry'!AN$8),'Council Entry'!AN125)),IF('Council Entry'!AN$4="Exponential",EXP(IF(AND(ISNUMBER('Council Entry'!AN$8),ISNUMBER('Council Entry'!AN$9)),MAX(MIN('Council Entry'!AN125,'Council Entry'!AN$9),'Council Entry'!AN$8),'Council Entry'!AN125)),IF(AND(ISNUMBER('Council Entry'!AN$8),ISNUMBER('Council Entry'!AN$9)),MAX(MIN('Council Entry'!AN125,'Council Entry'!AN$9),'Council Entry'!AN$8),'Council Entry'!AN125))))-'Council Entry'!AN$5)/('Council Entry'!AN$6-'Council Entry'!AN$5)),1))),"No data"))</f>
        <v/>
      </c>
      <c r="AO125" s="13">
        <f>IF('Council Entry'!AO125="","",IFERROR(MAX(0,MIN(10,ROUND(IF('Council Entry'!AO$7="Decrease Risk",10-10*((IF('Council Entry'!AO$4="Logarithm",LN(0.001+IF(AND(ISNUMBER('Council Entry'!AO$8),ISNUMBER('Council Entry'!AO$9)),MAX(MIN('Council Entry'!AO125,'Council Entry'!AO$9),'Council Entry'!AO$8),'Council Entry'!AO125)),IF('Council Entry'!AO$4="Exponential",EXP(IF(AND(ISNUMBER('Council Entry'!AO$8),ISNUMBER('Council Entry'!AO$9)),MAX(MIN('Council Entry'!AO125,'Council Entry'!AO$9),'Council Entry'!AO$8),'Council Entry'!AO125)),IF(AND(ISNUMBER('Council Entry'!AO$8),ISNUMBER('Council Entry'!AO$9)),MAX(MIN('Council Entry'!AO125,'Council Entry'!AO$9),'Council Entry'!AO$8),'Council Entry'!AO125))))-'Council Entry'!AO$5)/('Council Entry'!AO$6-'Council Entry'!AO$5),10*((IF('Council Entry'!AO$4="Logarithm",LN(0.001+IF(AND(ISNUMBER('Council Entry'!AO$8),ISNUMBER('Council Entry'!AO$9)),MAX(MIN('Council Entry'!AO125,'Council Entry'!AO$9),'Council Entry'!AO$8),'Council Entry'!AO125)),IF('Council Entry'!AO$4="Exponential",EXP(IF(AND(ISNUMBER('Council Entry'!AO$8),ISNUMBER('Council Entry'!AO$9)),MAX(MIN('Council Entry'!AO125,'Council Entry'!AO$9),'Council Entry'!AO$8),'Council Entry'!AO125)),IF(AND(ISNUMBER('Council Entry'!AO$8),ISNUMBER('Council Entry'!AO$9)),MAX(MIN('Council Entry'!AO125,'Council Entry'!AO$9),'Council Entry'!AO$8),'Council Entry'!AO125))))-'Council Entry'!AO$5)/('Council Entry'!AO$6-'Council Entry'!AO$5)),1))),"No data"))</f>
        <v/>
      </c>
      <c r="AP125" s="13">
        <f>IF('Council Entry'!AP125="","",IFERROR(MAX(0,MIN(10,ROUND(IF('Council Entry'!AP$7="Decrease Risk",10-10*((IF('Council Entry'!AP$4="Logarithm",LN(0.001+IF(AND(ISNUMBER('Council Entry'!AP$8),ISNUMBER('Council Entry'!AP$9)),MAX(MIN('Council Entry'!AP125,'Council Entry'!AP$9),'Council Entry'!AP$8),'Council Entry'!AP125)),IF('Council Entry'!AP$4="Exponential",EXP(IF(AND(ISNUMBER('Council Entry'!AP$8),ISNUMBER('Council Entry'!AP$9)),MAX(MIN('Council Entry'!AP125,'Council Entry'!AP$9),'Council Entry'!AP$8),'Council Entry'!AP125)),IF(AND(ISNUMBER('Council Entry'!AP$8),ISNUMBER('Council Entry'!AP$9)),MAX(MIN('Council Entry'!AP125,'Council Entry'!AP$9),'Council Entry'!AP$8),'Council Entry'!AP125))))-'Council Entry'!AP$5)/('Council Entry'!AP$6-'Council Entry'!AP$5),10*((IF('Council Entry'!AP$4="Logarithm",LN(0.001+IF(AND(ISNUMBER('Council Entry'!AP$8),ISNUMBER('Council Entry'!AP$9)),MAX(MIN('Council Entry'!AP125,'Council Entry'!AP$9),'Council Entry'!AP$8),'Council Entry'!AP125)),IF('Council Entry'!AP$4="Exponential",EXP(IF(AND(ISNUMBER('Council Entry'!AP$8),ISNUMBER('Council Entry'!AP$9)),MAX(MIN('Council Entry'!AP125,'Council Entry'!AP$9),'Council Entry'!AP$8),'Council Entry'!AP125)),IF(AND(ISNUMBER('Council Entry'!AP$8),ISNUMBER('Council Entry'!AP$9)),MAX(MIN('Council Entry'!AP125,'Council Entry'!AP$9),'Council Entry'!AP$8),'Council Entry'!AP125))))-'Council Entry'!AP$5)/('Council Entry'!AP$6-'Council Entry'!AP$5)),1))),"No data"))</f>
        <v/>
      </c>
      <c r="AQ125" s="13">
        <f>IF('Council Entry'!AQ125="","",IFERROR(MAX(0,MIN(10,ROUND(IF('Council Entry'!AQ$7="Decrease Risk",10-10*((IF('Council Entry'!AQ$4="Logarithm",LN(0.001+IF(AND(ISNUMBER('Council Entry'!AQ$8),ISNUMBER('Council Entry'!AQ$9)),MAX(MIN('Council Entry'!AQ125,'Council Entry'!AQ$9),'Council Entry'!AQ$8),'Council Entry'!AQ125)),IF('Council Entry'!AQ$4="Exponential",EXP(IF(AND(ISNUMBER('Council Entry'!AQ$8),ISNUMBER('Council Entry'!AQ$9)),MAX(MIN('Council Entry'!AQ125,'Council Entry'!AQ$9),'Council Entry'!AQ$8),'Council Entry'!AQ125)),IF(AND(ISNUMBER('Council Entry'!AQ$8),ISNUMBER('Council Entry'!AQ$9)),MAX(MIN('Council Entry'!AQ125,'Council Entry'!AQ$9),'Council Entry'!AQ$8),'Council Entry'!AQ125))))-'Council Entry'!AQ$5)/('Council Entry'!AQ$6-'Council Entry'!AQ$5),10*((IF('Council Entry'!AQ$4="Logarithm",LN(0.001+IF(AND(ISNUMBER('Council Entry'!AQ$8),ISNUMBER('Council Entry'!AQ$9)),MAX(MIN('Council Entry'!AQ125,'Council Entry'!AQ$9),'Council Entry'!AQ$8),'Council Entry'!AQ125)),IF('Council Entry'!AQ$4="Exponential",EXP(IF(AND(ISNUMBER('Council Entry'!AQ$8),ISNUMBER('Council Entry'!AQ$9)),MAX(MIN('Council Entry'!AQ125,'Council Entry'!AQ$9),'Council Entry'!AQ$8),'Council Entry'!AQ125)),IF(AND(ISNUMBER('Council Entry'!AQ$8),ISNUMBER('Council Entry'!AQ$9)),MAX(MIN('Council Entry'!AQ125,'Council Entry'!AQ$9),'Council Entry'!AQ$8),'Council Entry'!AQ125))))-'Council Entry'!AQ$5)/('Council Entry'!AQ$6-'Council Entry'!AQ$5)),1))),"No data"))</f>
        <v/>
      </c>
      <c r="AR125" s="13">
        <f>IF('Council Entry'!AR125="","",IFERROR(MAX(0,MIN(10,ROUND(IF('Council Entry'!AR$7="Decrease Risk",10-10*((IF('Council Entry'!AR$4="Logarithm",LN(0.001+IF(AND(ISNUMBER('Council Entry'!AR$8),ISNUMBER('Council Entry'!AR$9)),MAX(MIN('Council Entry'!AR125,'Council Entry'!AR$9),'Council Entry'!AR$8),'Council Entry'!AR125)),IF('Council Entry'!AR$4="Exponential",EXP(IF(AND(ISNUMBER('Council Entry'!AR$8),ISNUMBER('Council Entry'!AR$9)),MAX(MIN('Council Entry'!AR125,'Council Entry'!AR$9),'Council Entry'!AR$8),'Council Entry'!AR125)),IF(AND(ISNUMBER('Council Entry'!AR$8),ISNUMBER('Council Entry'!AR$9)),MAX(MIN('Council Entry'!AR125,'Council Entry'!AR$9),'Council Entry'!AR$8),'Council Entry'!AR125))))-'Council Entry'!AR$5)/('Council Entry'!AR$6-'Council Entry'!AR$5),10*((IF('Council Entry'!AR$4="Logarithm",LN(0.001+IF(AND(ISNUMBER('Council Entry'!AR$8),ISNUMBER('Council Entry'!AR$9)),MAX(MIN('Council Entry'!AR125,'Council Entry'!AR$9),'Council Entry'!AR$8),'Council Entry'!AR125)),IF('Council Entry'!AR$4="Exponential",EXP(IF(AND(ISNUMBER('Council Entry'!AR$8),ISNUMBER('Council Entry'!AR$9)),MAX(MIN('Council Entry'!AR125,'Council Entry'!AR$9),'Council Entry'!AR$8),'Council Entry'!AR125)),IF(AND(ISNUMBER('Council Entry'!AR$8),ISNUMBER('Council Entry'!AR$9)),MAX(MIN('Council Entry'!AR125,'Council Entry'!AR$9),'Council Entry'!AR$8),'Council Entry'!AR125))))-'Council Entry'!AR$5)/('Council Entry'!AR$6-'Council Entry'!AR$5)),1))),"No data"))</f>
        <v/>
      </c>
      <c r="AS125" s="13">
        <f>IF('Council Entry'!AS125="","",IFERROR(MAX(0,MIN(10,ROUND(IF('Council Entry'!AS$7="Decrease Risk",10-10*((IF('Council Entry'!AS$4="Logarithm",LN(0.001+IF(AND(ISNUMBER('Council Entry'!AS$8),ISNUMBER('Council Entry'!AS$9)),MAX(MIN('Council Entry'!AS125,'Council Entry'!AS$9),'Council Entry'!AS$8),'Council Entry'!AS125)),IF('Council Entry'!AS$4="Exponential",EXP(IF(AND(ISNUMBER('Council Entry'!AS$8),ISNUMBER('Council Entry'!AS$9)),MAX(MIN('Council Entry'!AS125,'Council Entry'!AS$9),'Council Entry'!AS$8),'Council Entry'!AS125)),IF(AND(ISNUMBER('Council Entry'!AS$8),ISNUMBER('Council Entry'!AS$9)),MAX(MIN('Council Entry'!AS125,'Council Entry'!AS$9),'Council Entry'!AS$8),'Council Entry'!AS125))))-'Council Entry'!AS$5)/('Council Entry'!AS$6-'Council Entry'!AS$5),10*((IF('Council Entry'!AS$4="Logarithm",LN(0.001+IF(AND(ISNUMBER('Council Entry'!AS$8),ISNUMBER('Council Entry'!AS$9)),MAX(MIN('Council Entry'!AS125,'Council Entry'!AS$9),'Council Entry'!AS$8),'Council Entry'!AS125)),IF('Council Entry'!AS$4="Exponential",EXP(IF(AND(ISNUMBER('Council Entry'!AS$8),ISNUMBER('Council Entry'!AS$9)),MAX(MIN('Council Entry'!AS125,'Council Entry'!AS$9),'Council Entry'!AS$8),'Council Entry'!AS125)),IF(AND(ISNUMBER('Council Entry'!AS$8),ISNUMBER('Council Entry'!AS$9)),MAX(MIN('Council Entry'!AS125,'Council Entry'!AS$9),'Council Entry'!AS$8),'Council Entry'!AS125))))-'Council Entry'!AS$5)/('Council Entry'!AS$6-'Council Entry'!AS$5)),1))),"No data"))</f>
        <v/>
      </c>
      <c r="AT125" s="13">
        <f>IF('Council Entry'!AT125="","",IFERROR(MAX(0,MIN(10,ROUND(IF('Council Entry'!AT$7="Decrease Risk",10-10*((IF('Council Entry'!AT$4="Logarithm",LN(0.001+IF(AND(ISNUMBER('Council Entry'!AT$8),ISNUMBER('Council Entry'!AT$9)),MAX(MIN('Council Entry'!AT125,'Council Entry'!AT$9),'Council Entry'!AT$8),'Council Entry'!AT125)),IF('Council Entry'!AT$4="Exponential",EXP(IF(AND(ISNUMBER('Council Entry'!AT$8),ISNUMBER('Council Entry'!AT$9)),MAX(MIN('Council Entry'!AT125,'Council Entry'!AT$9),'Council Entry'!AT$8),'Council Entry'!AT125)),IF(AND(ISNUMBER('Council Entry'!AT$8),ISNUMBER('Council Entry'!AT$9)),MAX(MIN('Council Entry'!AT125,'Council Entry'!AT$9),'Council Entry'!AT$8),'Council Entry'!AT125))))-'Council Entry'!AT$5)/('Council Entry'!AT$6-'Council Entry'!AT$5),10*((IF('Council Entry'!AT$4="Logarithm",LN(0.001+IF(AND(ISNUMBER('Council Entry'!AT$8),ISNUMBER('Council Entry'!AT$9)),MAX(MIN('Council Entry'!AT125,'Council Entry'!AT$9),'Council Entry'!AT$8),'Council Entry'!AT125)),IF('Council Entry'!AT$4="Exponential",EXP(IF(AND(ISNUMBER('Council Entry'!AT$8),ISNUMBER('Council Entry'!AT$9)),MAX(MIN('Council Entry'!AT125,'Council Entry'!AT$9),'Council Entry'!AT$8),'Council Entry'!AT125)),IF(AND(ISNUMBER('Council Entry'!AT$8),ISNUMBER('Council Entry'!AT$9)),MAX(MIN('Council Entry'!AT125,'Council Entry'!AT$9),'Council Entry'!AT$8),'Council Entry'!AT125))))-'Council Entry'!AT$5)/('Council Entry'!AT$6-'Council Entry'!AT$5)),1))),"No data"))</f>
        <v/>
      </c>
      <c r="AU125" s="13">
        <f>IF('Council Entry'!AU125="","",IFERROR(MAX(0,MIN(10,ROUND(IF('Council Entry'!AU$7="Decrease Risk",10-10*((IF('Council Entry'!AU$4="Logarithm",LN(0.001+IF(AND(ISNUMBER('Council Entry'!AU$8),ISNUMBER('Council Entry'!AU$9)),MAX(MIN('Council Entry'!AU125,'Council Entry'!AU$9),'Council Entry'!AU$8),'Council Entry'!AU125)),IF('Council Entry'!AU$4="Exponential",EXP(IF(AND(ISNUMBER('Council Entry'!AU$8),ISNUMBER('Council Entry'!AU$9)),MAX(MIN('Council Entry'!AU125,'Council Entry'!AU$9),'Council Entry'!AU$8),'Council Entry'!AU125)),IF(AND(ISNUMBER('Council Entry'!AU$8),ISNUMBER('Council Entry'!AU$9)),MAX(MIN('Council Entry'!AU125,'Council Entry'!AU$9),'Council Entry'!AU$8),'Council Entry'!AU125))))-'Council Entry'!AU$5)/('Council Entry'!AU$6-'Council Entry'!AU$5),10*((IF('Council Entry'!AU$4="Logarithm",LN(0.001+IF(AND(ISNUMBER('Council Entry'!AU$8),ISNUMBER('Council Entry'!AU$9)),MAX(MIN('Council Entry'!AU125,'Council Entry'!AU$9),'Council Entry'!AU$8),'Council Entry'!AU125)),IF('Council Entry'!AU$4="Exponential",EXP(IF(AND(ISNUMBER('Council Entry'!AU$8),ISNUMBER('Council Entry'!AU$9)),MAX(MIN('Council Entry'!AU125,'Council Entry'!AU$9),'Council Entry'!AU$8),'Council Entry'!AU125)),IF(AND(ISNUMBER('Council Entry'!AU$8),ISNUMBER('Council Entry'!AU$9)),MAX(MIN('Council Entry'!AU125,'Council Entry'!AU$9),'Council Entry'!AU$8),'Council Entry'!AU125))))-'Council Entry'!AU$5)/('Council Entry'!AU$6-'Council Entry'!AU$5)),1))),"No data"))</f>
        <v/>
      </c>
      <c r="AV125" s="13">
        <f>IF('Council Entry'!AV125="","",IFERROR(MAX(0,MIN(10,ROUND(IF('Council Entry'!AV$7="Decrease Risk",10-10*((IF('Council Entry'!AV$4="Logarithm",LN(0.001+IF(AND(ISNUMBER('Council Entry'!AV$8),ISNUMBER('Council Entry'!AV$9)),MAX(MIN('Council Entry'!AV125,'Council Entry'!AV$9),'Council Entry'!AV$8),'Council Entry'!AV125)),IF('Council Entry'!AV$4="Exponential",EXP(IF(AND(ISNUMBER('Council Entry'!AV$8),ISNUMBER('Council Entry'!AV$9)),MAX(MIN('Council Entry'!AV125,'Council Entry'!AV$9),'Council Entry'!AV$8),'Council Entry'!AV125)),IF(AND(ISNUMBER('Council Entry'!AV$8),ISNUMBER('Council Entry'!AV$9)),MAX(MIN('Council Entry'!AV125,'Council Entry'!AV$9),'Council Entry'!AV$8),'Council Entry'!AV125))))-'Council Entry'!AV$5)/('Council Entry'!AV$6-'Council Entry'!AV$5),10*((IF('Council Entry'!AV$4="Logarithm",LN(0.001+IF(AND(ISNUMBER('Council Entry'!AV$8),ISNUMBER('Council Entry'!AV$9)),MAX(MIN('Council Entry'!AV125,'Council Entry'!AV$9),'Council Entry'!AV$8),'Council Entry'!AV125)),IF('Council Entry'!AV$4="Exponential",EXP(IF(AND(ISNUMBER('Council Entry'!AV$8),ISNUMBER('Council Entry'!AV$9)),MAX(MIN('Council Entry'!AV125,'Council Entry'!AV$9),'Council Entry'!AV$8),'Council Entry'!AV125)),IF(AND(ISNUMBER('Council Entry'!AV$8),ISNUMBER('Council Entry'!AV$9)),MAX(MIN('Council Entry'!AV125,'Council Entry'!AV$9),'Council Entry'!AV$8),'Council Entry'!AV125))))-'Council Entry'!AV$5)/('Council Entry'!AV$6-'Council Entry'!AV$5)),1))),"No data"))</f>
        <v/>
      </c>
      <c r="AW125" s="13">
        <f>IF('Council Entry'!AW125="","",IFERROR(MAX(0,MIN(10,ROUND(IF('Council Entry'!AW$7="Decrease Risk",10-10*((IF('Council Entry'!AW$4="Logarithm",LN(0.001+IF(AND(ISNUMBER('Council Entry'!AW$8),ISNUMBER('Council Entry'!AW$9)),MAX(MIN('Council Entry'!AW125,'Council Entry'!AW$9),'Council Entry'!AW$8),'Council Entry'!AW125)),IF('Council Entry'!AW$4="Exponential",EXP(IF(AND(ISNUMBER('Council Entry'!AW$8),ISNUMBER('Council Entry'!AW$9)),MAX(MIN('Council Entry'!AW125,'Council Entry'!AW$9),'Council Entry'!AW$8),'Council Entry'!AW125)),IF(AND(ISNUMBER('Council Entry'!AW$8),ISNUMBER('Council Entry'!AW$9)),MAX(MIN('Council Entry'!AW125,'Council Entry'!AW$9),'Council Entry'!AW$8),'Council Entry'!AW125))))-'Council Entry'!AW$5)/('Council Entry'!AW$6-'Council Entry'!AW$5),10*((IF('Council Entry'!AW$4="Logarithm",LN(0.001+IF(AND(ISNUMBER('Council Entry'!AW$8),ISNUMBER('Council Entry'!AW$9)),MAX(MIN('Council Entry'!AW125,'Council Entry'!AW$9),'Council Entry'!AW$8),'Council Entry'!AW125)),IF('Council Entry'!AW$4="Exponential",EXP(IF(AND(ISNUMBER('Council Entry'!AW$8),ISNUMBER('Council Entry'!AW$9)),MAX(MIN('Council Entry'!AW125,'Council Entry'!AW$9),'Council Entry'!AW$8),'Council Entry'!AW125)),IF(AND(ISNUMBER('Council Entry'!AW$8),ISNUMBER('Council Entry'!AW$9)),MAX(MIN('Council Entry'!AW125,'Council Entry'!AW$9),'Council Entry'!AW$8),'Council Entry'!AW125))))-'Council Entry'!AW$5)/('Council Entry'!AW$6-'Council Entry'!AW$5)),1))),"No data"))</f>
        <v/>
      </c>
      <c r="AX125" s="13">
        <f>IF('Council Entry'!AX125="","",IFERROR(MAX(0,MIN(10,ROUND(IF('Council Entry'!AX$7="Decrease Risk",10-10*((IF('Council Entry'!AX$4="Logarithm",LN(0.001+IF(AND(ISNUMBER('Council Entry'!AX$8),ISNUMBER('Council Entry'!AX$9)),MAX(MIN('Council Entry'!AX125,'Council Entry'!AX$9),'Council Entry'!AX$8),'Council Entry'!AX125)),IF('Council Entry'!AX$4="Exponential",EXP(IF(AND(ISNUMBER('Council Entry'!AX$8),ISNUMBER('Council Entry'!AX$9)),MAX(MIN('Council Entry'!AX125,'Council Entry'!AX$9),'Council Entry'!AX$8),'Council Entry'!AX125)),IF(AND(ISNUMBER('Council Entry'!AX$8),ISNUMBER('Council Entry'!AX$9)),MAX(MIN('Council Entry'!AX125,'Council Entry'!AX$9),'Council Entry'!AX$8),'Council Entry'!AX125))))-'Council Entry'!AX$5)/('Council Entry'!AX$6-'Council Entry'!AX$5),10*((IF('Council Entry'!AX$4="Logarithm",LN(0.001+IF(AND(ISNUMBER('Council Entry'!AX$8),ISNUMBER('Council Entry'!AX$9)),MAX(MIN('Council Entry'!AX125,'Council Entry'!AX$9),'Council Entry'!AX$8),'Council Entry'!AX125)),IF('Council Entry'!AX$4="Exponential",EXP(IF(AND(ISNUMBER('Council Entry'!AX$8),ISNUMBER('Council Entry'!AX$9)),MAX(MIN('Council Entry'!AX125,'Council Entry'!AX$9),'Council Entry'!AX$8),'Council Entry'!AX125)),IF(AND(ISNUMBER('Council Entry'!AX$8),ISNUMBER('Council Entry'!AX$9)),MAX(MIN('Council Entry'!AX125,'Council Entry'!AX$9),'Council Entry'!AX$8),'Council Entry'!AX125))))-'Council Entry'!AX$5)/('Council Entry'!AX$6-'Council Entry'!AX$5)),1))),"No data"))</f>
        <v/>
      </c>
      <c r="AY125" s="13">
        <f>IF('Council Entry'!AY125="","",IFERROR(MAX(0,MIN(10,ROUND(IF('Council Entry'!AY$7="Decrease Risk",10-10*((IF('Council Entry'!AY$4="Logarithm",LN(0.001+IF(AND(ISNUMBER('Council Entry'!AY$8),ISNUMBER('Council Entry'!AY$9)),MAX(MIN('Council Entry'!AY125,'Council Entry'!AY$9),'Council Entry'!AY$8),'Council Entry'!AY125)),IF('Council Entry'!AY$4="Exponential",EXP(IF(AND(ISNUMBER('Council Entry'!AY$8),ISNUMBER('Council Entry'!AY$9)),MAX(MIN('Council Entry'!AY125,'Council Entry'!AY$9),'Council Entry'!AY$8),'Council Entry'!AY125)),IF(AND(ISNUMBER('Council Entry'!AY$8),ISNUMBER('Council Entry'!AY$9)),MAX(MIN('Council Entry'!AY125,'Council Entry'!AY$9),'Council Entry'!AY$8),'Council Entry'!AY125))))-'Council Entry'!AY$5)/('Council Entry'!AY$6-'Council Entry'!AY$5),10*((IF('Council Entry'!AY$4="Logarithm",LN(0.001+IF(AND(ISNUMBER('Council Entry'!AY$8),ISNUMBER('Council Entry'!AY$9)),MAX(MIN('Council Entry'!AY125,'Council Entry'!AY$9),'Council Entry'!AY$8),'Council Entry'!AY125)),IF('Council Entry'!AY$4="Exponential",EXP(IF(AND(ISNUMBER('Council Entry'!AY$8),ISNUMBER('Council Entry'!AY$9)),MAX(MIN('Council Entry'!AY125,'Council Entry'!AY$9),'Council Entry'!AY$8),'Council Entry'!AY125)),IF(AND(ISNUMBER('Council Entry'!AY$8),ISNUMBER('Council Entry'!AY$9)),MAX(MIN('Council Entry'!AY125,'Council Entry'!AY$9),'Council Entry'!AY$8),'Council Entry'!AY125))))-'Council Entry'!AY$5)/('Council Entry'!AY$6-'Council Entry'!AY$5)),1))),"No data"))</f>
        <v/>
      </c>
      <c r="AZ125" s="13">
        <f>IF('Council Entry'!AZ125="","",IFERROR(MAX(0,MIN(10,ROUND(IF('Council Entry'!AZ$7="Decrease Risk",10-10*((IF('Council Entry'!AZ$4="Logarithm",LN(0.001+IF(AND(ISNUMBER('Council Entry'!AZ$8),ISNUMBER('Council Entry'!AZ$9)),MAX(MIN('Council Entry'!AZ125,'Council Entry'!AZ$9),'Council Entry'!AZ$8),'Council Entry'!AZ125)),IF('Council Entry'!AZ$4="Exponential",EXP(IF(AND(ISNUMBER('Council Entry'!AZ$8),ISNUMBER('Council Entry'!AZ$9)),MAX(MIN('Council Entry'!AZ125,'Council Entry'!AZ$9),'Council Entry'!AZ$8),'Council Entry'!AZ125)),IF(AND(ISNUMBER('Council Entry'!AZ$8),ISNUMBER('Council Entry'!AZ$9)),MAX(MIN('Council Entry'!AZ125,'Council Entry'!AZ$9),'Council Entry'!AZ$8),'Council Entry'!AZ125))))-'Council Entry'!AZ$5)/('Council Entry'!AZ$6-'Council Entry'!AZ$5),10*((IF('Council Entry'!AZ$4="Logarithm",LN(0.001+IF(AND(ISNUMBER('Council Entry'!AZ$8),ISNUMBER('Council Entry'!AZ$9)),MAX(MIN('Council Entry'!AZ125,'Council Entry'!AZ$9),'Council Entry'!AZ$8),'Council Entry'!AZ125)),IF('Council Entry'!AZ$4="Exponential",EXP(IF(AND(ISNUMBER('Council Entry'!AZ$8),ISNUMBER('Council Entry'!AZ$9)),MAX(MIN('Council Entry'!AZ125,'Council Entry'!AZ$9),'Council Entry'!AZ$8),'Council Entry'!AZ125)),IF(AND(ISNUMBER('Council Entry'!AZ$8),ISNUMBER('Council Entry'!AZ$9)),MAX(MIN('Council Entry'!AZ125,'Council Entry'!AZ$9),'Council Entry'!AZ$8),'Council Entry'!AZ125))))-'Council Entry'!AZ$5)/('Council Entry'!AZ$6-'Council Entry'!AZ$5)),1))),"No data"))</f>
        <v/>
      </c>
      <c r="BA125" s="13">
        <f>IF('Council Entry'!BA125="","",IFERROR(MAX(0,MIN(10,ROUND(IF('Council Entry'!BA$7="Decrease Risk",10-10*((IF('Council Entry'!BA$4="Logarithm",LN(0.001+IF(AND(ISNUMBER('Council Entry'!BA$8),ISNUMBER('Council Entry'!BA$9)),MAX(MIN('Council Entry'!BA125,'Council Entry'!BA$9),'Council Entry'!BA$8),'Council Entry'!BA125)),IF('Council Entry'!BA$4="Exponential",EXP(IF(AND(ISNUMBER('Council Entry'!BA$8),ISNUMBER('Council Entry'!BA$9)),MAX(MIN('Council Entry'!BA125,'Council Entry'!BA$9),'Council Entry'!BA$8),'Council Entry'!BA125)),IF(AND(ISNUMBER('Council Entry'!BA$8),ISNUMBER('Council Entry'!BA$9)),MAX(MIN('Council Entry'!BA125,'Council Entry'!BA$9),'Council Entry'!BA$8),'Council Entry'!BA125))))-'Council Entry'!BA$5)/('Council Entry'!BA$6-'Council Entry'!BA$5),10*((IF('Council Entry'!BA$4="Logarithm",LN(0.001+IF(AND(ISNUMBER('Council Entry'!BA$8),ISNUMBER('Council Entry'!BA$9)),MAX(MIN('Council Entry'!BA125,'Council Entry'!BA$9),'Council Entry'!BA$8),'Council Entry'!BA125)),IF('Council Entry'!BA$4="Exponential",EXP(IF(AND(ISNUMBER('Council Entry'!BA$8),ISNUMBER('Council Entry'!BA$9)),MAX(MIN('Council Entry'!BA125,'Council Entry'!BA$9),'Council Entry'!BA$8),'Council Entry'!BA125)),IF(AND(ISNUMBER('Council Entry'!BA$8),ISNUMBER('Council Entry'!BA$9)),MAX(MIN('Council Entry'!BA125,'Council Entry'!BA$9),'Council Entry'!BA$8),'Council Entry'!BA125))))-'Council Entry'!BA$5)/('Council Entry'!BA$6-'Council Entry'!BA$5)),1))),"No data"))</f>
        <v/>
      </c>
      <c r="BB125" s="13">
        <f>IF('Council Entry'!BB125="","",IFERROR(MAX(0,MIN(10,ROUND(IF('Council Entry'!BB$7="Decrease Risk",10-10*((IF('Council Entry'!BB$4="Logarithm",LN(0.001+IF(AND(ISNUMBER('Council Entry'!BB$8),ISNUMBER('Council Entry'!BB$9)),MAX(MIN('Council Entry'!BB125,'Council Entry'!BB$9),'Council Entry'!BB$8),'Council Entry'!BB125)),IF('Council Entry'!BB$4="Exponential",EXP(IF(AND(ISNUMBER('Council Entry'!BB$8),ISNUMBER('Council Entry'!BB$9)),MAX(MIN('Council Entry'!BB125,'Council Entry'!BB$9),'Council Entry'!BB$8),'Council Entry'!BB125)),IF(AND(ISNUMBER('Council Entry'!BB$8),ISNUMBER('Council Entry'!BB$9)),MAX(MIN('Council Entry'!BB125,'Council Entry'!BB$9),'Council Entry'!BB$8),'Council Entry'!BB125))))-'Council Entry'!BB$5)/('Council Entry'!BB$6-'Council Entry'!BB$5),10*((IF('Council Entry'!BB$4="Logarithm",LN(0.001+IF(AND(ISNUMBER('Council Entry'!BB$8),ISNUMBER('Council Entry'!BB$9)),MAX(MIN('Council Entry'!BB125,'Council Entry'!BB$9),'Council Entry'!BB$8),'Council Entry'!BB125)),IF('Council Entry'!BB$4="Exponential",EXP(IF(AND(ISNUMBER('Council Entry'!BB$8),ISNUMBER('Council Entry'!BB$9)),MAX(MIN('Council Entry'!BB125,'Council Entry'!BB$9),'Council Entry'!BB$8),'Council Entry'!BB125)),IF(AND(ISNUMBER('Council Entry'!BB$8),ISNUMBER('Council Entry'!BB$9)),MAX(MIN('Council Entry'!BB125,'Council Entry'!BB$9),'Council Entry'!BB$8),'Council Entry'!BB125))))-'Council Entry'!BB$5)/('Council Entry'!BB$6-'Council Entry'!BB$5)),1))),"No data"))</f>
        <v/>
      </c>
      <c r="BC125" s="13">
        <f>IF('Council Entry'!BC125="","",IFERROR(MAX(0,MIN(10,ROUND(IF('Council Entry'!BC$7="Decrease Risk",10-10*((IF('Council Entry'!BC$4="Logarithm",LN(0.001+IF(AND(ISNUMBER('Council Entry'!BC$8),ISNUMBER('Council Entry'!BC$9)),MAX(MIN('Council Entry'!BC125,'Council Entry'!BC$9),'Council Entry'!BC$8),'Council Entry'!BC125)),IF('Council Entry'!BC$4="Exponential",EXP(IF(AND(ISNUMBER('Council Entry'!BC$8),ISNUMBER('Council Entry'!BC$9)),MAX(MIN('Council Entry'!BC125,'Council Entry'!BC$9),'Council Entry'!BC$8),'Council Entry'!BC125)),IF(AND(ISNUMBER('Council Entry'!BC$8),ISNUMBER('Council Entry'!BC$9)),MAX(MIN('Council Entry'!BC125,'Council Entry'!BC$9),'Council Entry'!BC$8),'Council Entry'!BC125))))-'Council Entry'!BC$5)/('Council Entry'!BC$6-'Council Entry'!BC$5),10*((IF('Council Entry'!BC$4="Logarithm",LN(0.001+IF(AND(ISNUMBER('Council Entry'!BC$8),ISNUMBER('Council Entry'!BC$9)),MAX(MIN('Council Entry'!BC125,'Council Entry'!BC$9),'Council Entry'!BC$8),'Council Entry'!BC125)),IF('Council Entry'!BC$4="Exponential",EXP(IF(AND(ISNUMBER('Council Entry'!BC$8),ISNUMBER('Council Entry'!BC$9)),MAX(MIN('Council Entry'!BC125,'Council Entry'!BC$9),'Council Entry'!BC$8),'Council Entry'!BC125)),IF(AND(ISNUMBER('Council Entry'!BC$8),ISNUMBER('Council Entry'!BC$9)),MAX(MIN('Council Entry'!BC125,'Council Entry'!BC$9),'Council Entry'!BC$8),'Council Entry'!BC125))))-'Council Entry'!BC$5)/('Council Entry'!BC$6-'Council Entry'!BC$5)),1))),"No data"))</f>
        <v/>
      </c>
      <c r="BD125" s="13">
        <f>IF('Council Entry'!BD125="","",IFERROR(MAX(0,MIN(10,ROUND(IF('Council Entry'!BD$7="Decrease Risk",10-10*((IF('Council Entry'!BD$4="Logarithm",LN(0.001+IF(AND(ISNUMBER('Council Entry'!BD$8),ISNUMBER('Council Entry'!BD$9)),MAX(MIN('Council Entry'!BD125,'Council Entry'!BD$9),'Council Entry'!BD$8),'Council Entry'!BD125)),IF('Council Entry'!BD$4="Exponential",EXP(IF(AND(ISNUMBER('Council Entry'!BD$8),ISNUMBER('Council Entry'!BD$9)),MAX(MIN('Council Entry'!BD125,'Council Entry'!BD$9),'Council Entry'!BD$8),'Council Entry'!BD125)),IF(AND(ISNUMBER('Council Entry'!BD$8),ISNUMBER('Council Entry'!BD$9)),MAX(MIN('Council Entry'!BD125,'Council Entry'!BD$9),'Council Entry'!BD$8),'Council Entry'!BD125))))-'Council Entry'!BD$5)/('Council Entry'!BD$6-'Council Entry'!BD$5),10*((IF('Council Entry'!BD$4="Logarithm",LN(0.001+IF(AND(ISNUMBER('Council Entry'!BD$8),ISNUMBER('Council Entry'!BD$9)),MAX(MIN('Council Entry'!BD125,'Council Entry'!BD$9),'Council Entry'!BD$8),'Council Entry'!BD125)),IF('Council Entry'!BD$4="Exponential",EXP(IF(AND(ISNUMBER('Council Entry'!BD$8),ISNUMBER('Council Entry'!BD$9)),MAX(MIN('Council Entry'!BD125,'Council Entry'!BD$9),'Council Entry'!BD$8),'Council Entry'!BD125)),IF(AND(ISNUMBER('Council Entry'!BD$8),ISNUMBER('Council Entry'!BD$9)),MAX(MIN('Council Entry'!BD125,'Council Entry'!BD$9),'Council Entry'!BD$8),'Council Entry'!BD125))))-'Council Entry'!BD$5)/('Council Entry'!BD$6-'Council Entry'!BD$5)),1))),"No data"))</f>
        <v/>
      </c>
    </row>
    <row r="126">
      <c r="A126" t="inlineStr">
        <is>
          <t>Mtwara</t>
        </is>
      </c>
      <c r="B126" t="inlineStr">
        <is>
          <t>Newala Town</t>
        </is>
      </c>
      <c r="C126" t="inlineStr">
        <is>
          <t>C067</t>
        </is>
      </c>
      <c r="D126" s="13">
        <f>IF('Council Entry'!D126="","",IFERROR(MAX(0,MIN(10,ROUND(IF('Council Entry'!D$7="Decrease Risk",10-10*((IF('Council Entry'!D$4="Logarithm",LN(0.001+IF(AND(ISNUMBER('Council Entry'!D$8),ISNUMBER('Council Entry'!D$9)),MAX(MIN('Council Entry'!D126,'Council Entry'!D$9),'Council Entry'!D$8),'Council Entry'!D126)),IF('Council Entry'!D$4="Exponential",EXP(IF(AND(ISNUMBER('Council Entry'!D$8),ISNUMBER('Council Entry'!D$9)),MAX(MIN('Council Entry'!D126,'Council Entry'!D$9),'Council Entry'!D$8),'Council Entry'!D126)),IF(AND(ISNUMBER('Council Entry'!D$8),ISNUMBER('Council Entry'!D$9)),MAX(MIN('Council Entry'!D126,'Council Entry'!D$9),'Council Entry'!D$8),'Council Entry'!D126))))-'Council Entry'!D$5)/('Council Entry'!D$6-'Council Entry'!D$5),10*((IF('Council Entry'!D$4="Logarithm",LN(0.001+IF(AND(ISNUMBER('Council Entry'!D$8),ISNUMBER('Council Entry'!D$9)),MAX(MIN('Council Entry'!D126,'Council Entry'!D$9),'Council Entry'!D$8),'Council Entry'!D126)),IF('Council Entry'!D$4="Exponential",EXP(IF(AND(ISNUMBER('Council Entry'!D$8),ISNUMBER('Council Entry'!D$9)),MAX(MIN('Council Entry'!D126,'Council Entry'!D$9),'Council Entry'!D$8),'Council Entry'!D126)),IF(AND(ISNUMBER('Council Entry'!D$8),ISNUMBER('Council Entry'!D$9)),MAX(MIN('Council Entry'!D126,'Council Entry'!D$9),'Council Entry'!D$8),'Council Entry'!D126))))-'Council Entry'!D$5)/('Council Entry'!D$6-'Council Entry'!D$5)),1))),"No data"))</f>
        <v/>
      </c>
      <c r="E126" s="13">
        <f>IF('Council Entry'!E126="","",IFERROR(MAX(0,MIN(10,ROUND(IF('Council Entry'!E$7="Decrease Risk",10-10*((IF('Council Entry'!E$4="Logarithm",LN(0.001+IF(AND(ISNUMBER('Council Entry'!E$8),ISNUMBER('Council Entry'!E$9)),MAX(MIN('Council Entry'!E126,'Council Entry'!E$9),'Council Entry'!E$8),'Council Entry'!E126)),IF('Council Entry'!E$4="Exponential",EXP(IF(AND(ISNUMBER('Council Entry'!E$8),ISNUMBER('Council Entry'!E$9)),MAX(MIN('Council Entry'!E126,'Council Entry'!E$9),'Council Entry'!E$8),'Council Entry'!E126)),IF(AND(ISNUMBER('Council Entry'!E$8),ISNUMBER('Council Entry'!E$9)),MAX(MIN('Council Entry'!E126,'Council Entry'!E$9),'Council Entry'!E$8),'Council Entry'!E126))))-'Council Entry'!E$5)/('Council Entry'!E$6-'Council Entry'!E$5),10*((IF('Council Entry'!E$4="Logarithm",LN(0.001+IF(AND(ISNUMBER('Council Entry'!E$8),ISNUMBER('Council Entry'!E$9)),MAX(MIN('Council Entry'!E126,'Council Entry'!E$9),'Council Entry'!E$8),'Council Entry'!E126)),IF('Council Entry'!E$4="Exponential",EXP(IF(AND(ISNUMBER('Council Entry'!E$8),ISNUMBER('Council Entry'!E$9)),MAX(MIN('Council Entry'!E126,'Council Entry'!E$9),'Council Entry'!E$8),'Council Entry'!E126)),IF(AND(ISNUMBER('Council Entry'!E$8),ISNUMBER('Council Entry'!E$9)),MAX(MIN('Council Entry'!E126,'Council Entry'!E$9),'Council Entry'!E$8),'Council Entry'!E126))))-'Council Entry'!E$5)/('Council Entry'!E$6-'Council Entry'!E$5)),1))),"No data"))</f>
        <v/>
      </c>
      <c r="F126" s="13">
        <f>IF('Council Entry'!F126="","",IFERROR(MAX(0,MIN(10,ROUND(IF('Council Entry'!F$7="Decrease Risk",10-10*((IF('Council Entry'!F$4="Logarithm",LN(0.001+IF(AND(ISNUMBER('Council Entry'!F$8),ISNUMBER('Council Entry'!F$9)),MAX(MIN('Council Entry'!F126,'Council Entry'!F$9),'Council Entry'!F$8),'Council Entry'!F126)),IF('Council Entry'!F$4="Exponential",EXP(IF(AND(ISNUMBER('Council Entry'!F$8),ISNUMBER('Council Entry'!F$9)),MAX(MIN('Council Entry'!F126,'Council Entry'!F$9),'Council Entry'!F$8),'Council Entry'!F126)),IF(AND(ISNUMBER('Council Entry'!F$8),ISNUMBER('Council Entry'!F$9)),MAX(MIN('Council Entry'!F126,'Council Entry'!F$9),'Council Entry'!F$8),'Council Entry'!F126))))-'Council Entry'!F$5)/('Council Entry'!F$6-'Council Entry'!F$5),10*((IF('Council Entry'!F$4="Logarithm",LN(0.001+IF(AND(ISNUMBER('Council Entry'!F$8),ISNUMBER('Council Entry'!F$9)),MAX(MIN('Council Entry'!F126,'Council Entry'!F$9),'Council Entry'!F$8),'Council Entry'!F126)),IF('Council Entry'!F$4="Exponential",EXP(IF(AND(ISNUMBER('Council Entry'!F$8),ISNUMBER('Council Entry'!F$9)),MAX(MIN('Council Entry'!F126,'Council Entry'!F$9),'Council Entry'!F$8),'Council Entry'!F126)),IF(AND(ISNUMBER('Council Entry'!F$8),ISNUMBER('Council Entry'!F$9)),MAX(MIN('Council Entry'!F126,'Council Entry'!F$9),'Council Entry'!F$8),'Council Entry'!F126))))-'Council Entry'!F$5)/('Council Entry'!F$6-'Council Entry'!F$5)),1))),"No data"))</f>
        <v/>
      </c>
      <c r="G126" s="13">
        <f>IF('Council Entry'!G126="","",IFERROR(MAX(0,MIN(10,ROUND(IF('Council Entry'!G$7="Decrease Risk",10-10*((IF('Council Entry'!G$4="Logarithm",LN(0.001+IF(AND(ISNUMBER('Council Entry'!G$8),ISNUMBER('Council Entry'!G$9)),MAX(MIN('Council Entry'!G126,'Council Entry'!G$9),'Council Entry'!G$8),'Council Entry'!G126)),IF('Council Entry'!G$4="Exponential",EXP(IF(AND(ISNUMBER('Council Entry'!G$8),ISNUMBER('Council Entry'!G$9)),MAX(MIN('Council Entry'!G126,'Council Entry'!G$9),'Council Entry'!G$8),'Council Entry'!G126)),IF(AND(ISNUMBER('Council Entry'!G$8),ISNUMBER('Council Entry'!G$9)),MAX(MIN('Council Entry'!G126,'Council Entry'!G$9),'Council Entry'!G$8),'Council Entry'!G126))))-'Council Entry'!G$5)/('Council Entry'!G$6-'Council Entry'!G$5),10*((IF('Council Entry'!G$4="Logarithm",LN(0.001+IF(AND(ISNUMBER('Council Entry'!G$8),ISNUMBER('Council Entry'!G$9)),MAX(MIN('Council Entry'!G126,'Council Entry'!G$9),'Council Entry'!G$8),'Council Entry'!G126)),IF('Council Entry'!G$4="Exponential",EXP(IF(AND(ISNUMBER('Council Entry'!G$8),ISNUMBER('Council Entry'!G$9)),MAX(MIN('Council Entry'!G126,'Council Entry'!G$9),'Council Entry'!G$8),'Council Entry'!G126)),IF(AND(ISNUMBER('Council Entry'!G$8),ISNUMBER('Council Entry'!G$9)),MAX(MIN('Council Entry'!G126,'Council Entry'!G$9),'Council Entry'!G$8),'Council Entry'!G126))))-'Council Entry'!G$5)/('Council Entry'!G$6-'Council Entry'!G$5)),1))),"No data"))</f>
        <v/>
      </c>
      <c r="H126" s="13">
        <f>IF('Council Entry'!H126="","",IFERROR(MAX(0,MIN(10,ROUND(IF('Council Entry'!H$7="Decrease Risk",10-10*((IF('Council Entry'!H$4="Logarithm",LN(0.001+IF(AND(ISNUMBER('Council Entry'!H$8),ISNUMBER('Council Entry'!H$9)),MAX(MIN('Council Entry'!H126,'Council Entry'!H$9),'Council Entry'!H$8),'Council Entry'!H126)),IF('Council Entry'!H$4="Exponential",EXP(IF(AND(ISNUMBER('Council Entry'!H$8),ISNUMBER('Council Entry'!H$9)),MAX(MIN('Council Entry'!H126,'Council Entry'!H$9),'Council Entry'!H$8),'Council Entry'!H126)),IF(AND(ISNUMBER('Council Entry'!H$8),ISNUMBER('Council Entry'!H$9)),MAX(MIN('Council Entry'!H126,'Council Entry'!H$9),'Council Entry'!H$8),'Council Entry'!H126))))-'Council Entry'!H$5)/('Council Entry'!H$6-'Council Entry'!H$5),10*((IF('Council Entry'!H$4="Logarithm",LN(0.001+IF(AND(ISNUMBER('Council Entry'!H$8),ISNUMBER('Council Entry'!H$9)),MAX(MIN('Council Entry'!H126,'Council Entry'!H$9),'Council Entry'!H$8),'Council Entry'!H126)),IF('Council Entry'!H$4="Exponential",EXP(IF(AND(ISNUMBER('Council Entry'!H$8),ISNUMBER('Council Entry'!H$9)),MAX(MIN('Council Entry'!H126,'Council Entry'!H$9),'Council Entry'!H$8),'Council Entry'!H126)),IF(AND(ISNUMBER('Council Entry'!H$8),ISNUMBER('Council Entry'!H$9)),MAX(MIN('Council Entry'!H126,'Council Entry'!H$9),'Council Entry'!H$8),'Council Entry'!H126))))-'Council Entry'!H$5)/('Council Entry'!H$6-'Council Entry'!H$5)),1))),"No data"))</f>
        <v/>
      </c>
      <c r="I126" s="13">
        <f>IF('Council Entry'!I126="","",IFERROR(MAX(0,MIN(10,ROUND(IF('Council Entry'!I$7="Decrease Risk",10-10*((IF('Council Entry'!I$4="Logarithm",LN(0.001+IF(AND(ISNUMBER('Council Entry'!I$8),ISNUMBER('Council Entry'!I$9)),MAX(MIN('Council Entry'!I126,'Council Entry'!I$9),'Council Entry'!I$8),'Council Entry'!I126)),IF('Council Entry'!I$4="Exponential",EXP(IF(AND(ISNUMBER('Council Entry'!I$8),ISNUMBER('Council Entry'!I$9)),MAX(MIN('Council Entry'!I126,'Council Entry'!I$9),'Council Entry'!I$8),'Council Entry'!I126)),IF(AND(ISNUMBER('Council Entry'!I$8),ISNUMBER('Council Entry'!I$9)),MAX(MIN('Council Entry'!I126,'Council Entry'!I$9),'Council Entry'!I$8),'Council Entry'!I126))))-'Council Entry'!I$5)/('Council Entry'!I$6-'Council Entry'!I$5),10*((IF('Council Entry'!I$4="Logarithm",LN(0.001+IF(AND(ISNUMBER('Council Entry'!I$8),ISNUMBER('Council Entry'!I$9)),MAX(MIN('Council Entry'!I126,'Council Entry'!I$9),'Council Entry'!I$8),'Council Entry'!I126)),IF('Council Entry'!I$4="Exponential",EXP(IF(AND(ISNUMBER('Council Entry'!I$8),ISNUMBER('Council Entry'!I$9)),MAX(MIN('Council Entry'!I126,'Council Entry'!I$9),'Council Entry'!I$8),'Council Entry'!I126)),IF(AND(ISNUMBER('Council Entry'!I$8),ISNUMBER('Council Entry'!I$9)),MAX(MIN('Council Entry'!I126,'Council Entry'!I$9),'Council Entry'!I$8),'Council Entry'!I126))))-'Council Entry'!I$5)/('Council Entry'!I$6-'Council Entry'!I$5)),1))),"No data"))</f>
        <v/>
      </c>
      <c r="J126" s="13">
        <f>IF('Council Entry'!J126="","",IFERROR(MAX(0,MIN(10,ROUND(IF('Council Entry'!J$7="Decrease Risk",10-10*((IF('Council Entry'!J$4="Logarithm",LN(0.001+IF(AND(ISNUMBER('Council Entry'!J$8),ISNUMBER('Council Entry'!J$9)),MAX(MIN('Council Entry'!J126,'Council Entry'!J$9),'Council Entry'!J$8),'Council Entry'!J126)),IF('Council Entry'!J$4="Exponential",EXP(IF(AND(ISNUMBER('Council Entry'!J$8),ISNUMBER('Council Entry'!J$9)),MAX(MIN('Council Entry'!J126,'Council Entry'!J$9),'Council Entry'!J$8),'Council Entry'!J126)),IF(AND(ISNUMBER('Council Entry'!J$8),ISNUMBER('Council Entry'!J$9)),MAX(MIN('Council Entry'!J126,'Council Entry'!J$9),'Council Entry'!J$8),'Council Entry'!J126))))-'Council Entry'!J$5)/('Council Entry'!J$6-'Council Entry'!J$5),10*((IF('Council Entry'!J$4="Logarithm",LN(0.001+IF(AND(ISNUMBER('Council Entry'!J$8),ISNUMBER('Council Entry'!J$9)),MAX(MIN('Council Entry'!J126,'Council Entry'!J$9),'Council Entry'!J$8),'Council Entry'!J126)),IF('Council Entry'!J$4="Exponential",EXP(IF(AND(ISNUMBER('Council Entry'!J$8),ISNUMBER('Council Entry'!J$9)),MAX(MIN('Council Entry'!J126,'Council Entry'!J$9),'Council Entry'!J$8),'Council Entry'!J126)),IF(AND(ISNUMBER('Council Entry'!J$8),ISNUMBER('Council Entry'!J$9)),MAX(MIN('Council Entry'!J126,'Council Entry'!J$9),'Council Entry'!J$8),'Council Entry'!J126))))-'Council Entry'!J$5)/('Council Entry'!J$6-'Council Entry'!J$5)),1))),"No data"))</f>
        <v/>
      </c>
      <c r="K126" s="13">
        <f>IF('Council Entry'!K126="","",IFERROR(MAX(0,MIN(10,ROUND(IF('Council Entry'!K$7="Decrease Risk",10-10*((IF('Council Entry'!K$4="Logarithm",LN(0.001+IF(AND(ISNUMBER('Council Entry'!K$8),ISNUMBER('Council Entry'!K$9)),MAX(MIN('Council Entry'!K126,'Council Entry'!K$9),'Council Entry'!K$8),'Council Entry'!K126)),IF('Council Entry'!K$4="Exponential",EXP(IF(AND(ISNUMBER('Council Entry'!K$8),ISNUMBER('Council Entry'!K$9)),MAX(MIN('Council Entry'!K126,'Council Entry'!K$9),'Council Entry'!K$8),'Council Entry'!K126)),IF(AND(ISNUMBER('Council Entry'!K$8),ISNUMBER('Council Entry'!K$9)),MAX(MIN('Council Entry'!K126,'Council Entry'!K$9),'Council Entry'!K$8),'Council Entry'!K126))))-'Council Entry'!K$5)/('Council Entry'!K$6-'Council Entry'!K$5),10*((IF('Council Entry'!K$4="Logarithm",LN(0.001+IF(AND(ISNUMBER('Council Entry'!K$8),ISNUMBER('Council Entry'!K$9)),MAX(MIN('Council Entry'!K126,'Council Entry'!K$9),'Council Entry'!K$8),'Council Entry'!K126)),IF('Council Entry'!K$4="Exponential",EXP(IF(AND(ISNUMBER('Council Entry'!K$8),ISNUMBER('Council Entry'!K$9)),MAX(MIN('Council Entry'!K126,'Council Entry'!K$9),'Council Entry'!K$8),'Council Entry'!K126)),IF(AND(ISNUMBER('Council Entry'!K$8),ISNUMBER('Council Entry'!K$9)),MAX(MIN('Council Entry'!K126,'Council Entry'!K$9),'Council Entry'!K$8),'Council Entry'!K126))))-'Council Entry'!K$5)/('Council Entry'!K$6-'Council Entry'!K$5)),1))),"No data"))</f>
        <v/>
      </c>
      <c r="L126" s="13">
        <f>IF('Council Entry'!L126="","",IFERROR(MAX(0,MIN(10,ROUND(IF('Council Entry'!L$7="Decrease Risk",10-10*((IF('Council Entry'!L$4="Logarithm",LN(0.001+IF(AND(ISNUMBER('Council Entry'!L$8),ISNUMBER('Council Entry'!L$9)),MAX(MIN('Council Entry'!L126,'Council Entry'!L$9),'Council Entry'!L$8),'Council Entry'!L126)),IF('Council Entry'!L$4="Exponential",EXP(IF(AND(ISNUMBER('Council Entry'!L$8),ISNUMBER('Council Entry'!L$9)),MAX(MIN('Council Entry'!L126,'Council Entry'!L$9),'Council Entry'!L$8),'Council Entry'!L126)),IF(AND(ISNUMBER('Council Entry'!L$8),ISNUMBER('Council Entry'!L$9)),MAX(MIN('Council Entry'!L126,'Council Entry'!L$9),'Council Entry'!L$8),'Council Entry'!L126))))-'Council Entry'!L$5)/('Council Entry'!L$6-'Council Entry'!L$5),10*((IF('Council Entry'!L$4="Logarithm",LN(0.001+IF(AND(ISNUMBER('Council Entry'!L$8),ISNUMBER('Council Entry'!L$9)),MAX(MIN('Council Entry'!L126,'Council Entry'!L$9),'Council Entry'!L$8),'Council Entry'!L126)),IF('Council Entry'!L$4="Exponential",EXP(IF(AND(ISNUMBER('Council Entry'!L$8),ISNUMBER('Council Entry'!L$9)),MAX(MIN('Council Entry'!L126,'Council Entry'!L$9),'Council Entry'!L$8),'Council Entry'!L126)),IF(AND(ISNUMBER('Council Entry'!L$8),ISNUMBER('Council Entry'!L$9)),MAX(MIN('Council Entry'!L126,'Council Entry'!L$9),'Council Entry'!L$8),'Council Entry'!L126))))-'Council Entry'!L$5)/('Council Entry'!L$6-'Council Entry'!L$5)),1))),"No data"))</f>
        <v/>
      </c>
      <c r="M126" s="13">
        <f>IF('Council Entry'!M126="","",IFERROR(MAX(0,MIN(10,ROUND(IF('Council Entry'!M$7="Decrease Risk",10-10*((IF('Council Entry'!M$4="Logarithm",LN(0.001+IF(AND(ISNUMBER('Council Entry'!M$8),ISNUMBER('Council Entry'!M$9)),MAX(MIN('Council Entry'!M126,'Council Entry'!M$9),'Council Entry'!M$8),'Council Entry'!M126)),IF('Council Entry'!M$4="Exponential",EXP(IF(AND(ISNUMBER('Council Entry'!M$8),ISNUMBER('Council Entry'!M$9)),MAX(MIN('Council Entry'!M126,'Council Entry'!M$9),'Council Entry'!M$8),'Council Entry'!M126)),IF(AND(ISNUMBER('Council Entry'!M$8),ISNUMBER('Council Entry'!M$9)),MAX(MIN('Council Entry'!M126,'Council Entry'!M$9),'Council Entry'!M$8),'Council Entry'!M126))))-'Council Entry'!M$5)/('Council Entry'!M$6-'Council Entry'!M$5),10*((IF('Council Entry'!M$4="Logarithm",LN(0.001+IF(AND(ISNUMBER('Council Entry'!M$8),ISNUMBER('Council Entry'!M$9)),MAX(MIN('Council Entry'!M126,'Council Entry'!M$9),'Council Entry'!M$8),'Council Entry'!M126)),IF('Council Entry'!M$4="Exponential",EXP(IF(AND(ISNUMBER('Council Entry'!M$8),ISNUMBER('Council Entry'!M$9)),MAX(MIN('Council Entry'!M126,'Council Entry'!M$9),'Council Entry'!M$8),'Council Entry'!M126)),IF(AND(ISNUMBER('Council Entry'!M$8),ISNUMBER('Council Entry'!M$9)),MAX(MIN('Council Entry'!M126,'Council Entry'!M$9),'Council Entry'!M$8),'Council Entry'!M126))))-'Council Entry'!M$5)/('Council Entry'!M$6-'Council Entry'!M$5)),1))),"No data"))</f>
        <v/>
      </c>
      <c r="N126" s="13">
        <f>IF('Council Entry'!N126="","",IFERROR(MAX(0,MIN(10,ROUND(IF('Council Entry'!N$7="Decrease Risk",10-10*((IF('Council Entry'!N$4="Logarithm",LN(0.001+IF(AND(ISNUMBER('Council Entry'!N$8),ISNUMBER('Council Entry'!N$9)),MAX(MIN('Council Entry'!N126,'Council Entry'!N$9),'Council Entry'!N$8),'Council Entry'!N126)),IF('Council Entry'!N$4="Exponential",EXP(IF(AND(ISNUMBER('Council Entry'!N$8),ISNUMBER('Council Entry'!N$9)),MAX(MIN('Council Entry'!N126,'Council Entry'!N$9),'Council Entry'!N$8),'Council Entry'!N126)),IF(AND(ISNUMBER('Council Entry'!N$8),ISNUMBER('Council Entry'!N$9)),MAX(MIN('Council Entry'!N126,'Council Entry'!N$9),'Council Entry'!N$8),'Council Entry'!N126))))-'Council Entry'!N$5)/('Council Entry'!N$6-'Council Entry'!N$5),10*((IF('Council Entry'!N$4="Logarithm",LN(0.001+IF(AND(ISNUMBER('Council Entry'!N$8),ISNUMBER('Council Entry'!N$9)),MAX(MIN('Council Entry'!N126,'Council Entry'!N$9),'Council Entry'!N$8),'Council Entry'!N126)),IF('Council Entry'!N$4="Exponential",EXP(IF(AND(ISNUMBER('Council Entry'!N$8),ISNUMBER('Council Entry'!N$9)),MAX(MIN('Council Entry'!N126,'Council Entry'!N$9),'Council Entry'!N$8),'Council Entry'!N126)),IF(AND(ISNUMBER('Council Entry'!N$8),ISNUMBER('Council Entry'!N$9)),MAX(MIN('Council Entry'!N126,'Council Entry'!N$9),'Council Entry'!N$8),'Council Entry'!N126))))-'Council Entry'!N$5)/('Council Entry'!N$6-'Council Entry'!N$5)),1))),"No data"))</f>
        <v/>
      </c>
      <c r="O126" s="13">
        <f>IF('Council Entry'!O126="","",IFERROR(MAX(0,MIN(10,ROUND(IF('Council Entry'!O$7="Decrease Risk",10-10*((IF('Council Entry'!O$4="Logarithm",LN(0.001+IF(AND(ISNUMBER('Council Entry'!O$8),ISNUMBER('Council Entry'!O$9)),MAX(MIN('Council Entry'!O126,'Council Entry'!O$9),'Council Entry'!O$8),'Council Entry'!O126)),IF('Council Entry'!O$4="Exponential",EXP(IF(AND(ISNUMBER('Council Entry'!O$8),ISNUMBER('Council Entry'!O$9)),MAX(MIN('Council Entry'!O126,'Council Entry'!O$9),'Council Entry'!O$8),'Council Entry'!O126)),IF(AND(ISNUMBER('Council Entry'!O$8),ISNUMBER('Council Entry'!O$9)),MAX(MIN('Council Entry'!O126,'Council Entry'!O$9),'Council Entry'!O$8),'Council Entry'!O126))))-'Council Entry'!O$5)/('Council Entry'!O$6-'Council Entry'!O$5),10*((IF('Council Entry'!O$4="Logarithm",LN(0.001+IF(AND(ISNUMBER('Council Entry'!O$8),ISNUMBER('Council Entry'!O$9)),MAX(MIN('Council Entry'!O126,'Council Entry'!O$9),'Council Entry'!O$8),'Council Entry'!O126)),IF('Council Entry'!O$4="Exponential",EXP(IF(AND(ISNUMBER('Council Entry'!O$8),ISNUMBER('Council Entry'!O$9)),MAX(MIN('Council Entry'!O126,'Council Entry'!O$9),'Council Entry'!O$8),'Council Entry'!O126)),IF(AND(ISNUMBER('Council Entry'!O$8),ISNUMBER('Council Entry'!O$9)),MAX(MIN('Council Entry'!O126,'Council Entry'!O$9),'Council Entry'!O$8),'Council Entry'!O126))))-'Council Entry'!O$5)/('Council Entry'!O$6-'Council Entry'!O$5)),1))),"No data"))</f>
        <v/>
      </c>
      <c r="P126" s="13">
        <f>IF('Council Entry'!P126="","",IFERROR(MAX(0,MIN(10,ROUND(IF('Council Entry'!P$7="Decrease Risk",10-10*((IF('Council Entry'!P$4="Logarithm",LN(0.001+IF(AND(ISNUMBER('Council Entry'!P$8),ISNUMBER('Council Entry'!P$9)),MAX(MIN('Council Entry'!P126,'Council Entry'!P$9),'Council Entry'!P$8),'Council Entry'!P126)),IF('Council Entry'!P$4="Exponential",EXP(IF(AND(ISNUMBER('Council Entry'!P$8),ISNUMBER('Council Entry'!P$9)),MAX(MIN('Council Entry'!P126,'Council Entry'!P$9),'Council Entry'!P$8),'Council Entry'!P126)),IF(AND(ISNUMBER('Council Entry'!P$8),ISNUMBER('Council Entry'!P$9)),MAX(MIN('Council Entry'!P126,'Council Entry'!P$9),'Council Entry'!P$8),'Council Entry'!P126))))-'Council Entry'!P$5)/('Council Entry'!P$6-'Council Entry'!P$5),10*((IF('Council Entry'!P$4="Logarithm",LN(0.001+IF(AND(ISNUMBER('Council Entry'!P$8),ISNUMBER('Council Entry'!P$9)),MAX(MIN('Council Entry'!P126,'Council Entry'!P$9),'Council Entry'!P$8),'Council Entry'!P126)),IF('Council Entry'!P$4="Exponential",EXP(IF(AND(ISNUMBER('Council Entry'!P$8),ISNUMBER('Council Entry'!P$9)),MAX(MIN('Council Entry'!P126,'Council Entry'!P$9),'Council Entry'!P$8),'Council Entry'!P126)),IF(AND(ISNUMBER('Council Entry'!P$8),ISNUMBER('Council Entry'!P$9)),MAX(MIN('Council Entry'!P126,'Council Entry'!P$9),'Council Entry'!P$8),'Council Entry'!P126))))-'Council Entry'!P$5)/('Council Entry'!P$6-'Council Entry'!P$5)),1))),"No data"))</f>
        <v/>
      </c>
      <c r="Q126" s="13">
        <f>IF('Council Entry'!Q126="","",IFERROR(MAX(0,MIN(10,ROUND(IF('Council Entry'!Q$7="Decrease Risk",10-10*((IF('Council Entry'!Q$4="Logarithm",LN(0.001+IF(AND(ISNUMBER('Council Entry'!Q$8),ISNUMBER('Council Entry'!Q$9)),MAX(MIN('Council Entry'!Q126,'Council Entry'!Q$9),'Council Entry'!Q$8),'Council Entry'!Q126)),IF('Council Entry'!Q$4="Exponential",EXP(IF(AND(ISNUMBER('Council Entry'!Q$8),ISNUMBER('Council Entry'!Q$9)),MAX(MIN('Council Entry'!Q126,'Council Entry'!Q$9),'Council Entry'!Q$8),'Council Entry'!Q126)),IF(AND(ISNUMBER('Council Entry'!Q$8),ISNUMBER('Council Entry'!Q$9)),MAX(MIN('Council Entry'!Q126,'Council Entry'!Q$9),'Council Entry'!Q$8),'Council Entry'!Q126))))-'Council Entry'!Q$5)/('Council Entry'!Q$6-'Council Entry'!Q$5),10*((IF('Council Entry'!Q$4="Logarithm",LN(0.001+IF(AND(ISNUMBER('Council Entry'!Q$8),ISNUMBER('Council Entry'!Q$9)),MAX(MIN('Council Entry'!Q126,'Council Entry'!Q$9),'Council Entry'!Q$8),'Council Entry'!Q126)),IF('Council Entry'!Q$4="Exponential",EXP(IF(AND(ISNUMBER('Council Entry'!Q$8),ISNUMBER('Council Entry'!Q$9)),MAX(MIN('Council Entry'!Q126,'Council Entry'!Q$9),'Council Entry'!Q$8),'Council Entry'!Q126)),IF(AND(ISNUMBER('Council Entry'!Q$8),ISNUMBER('Council Entry'!Q$9)),MAX(MIN('Council Entry'!Q126,'Council Entry'!Q$9),'Council Entry'!Q$8),'Council Entry'!Q126))))-'Council Entry'!Q$5)/('Council Entry'!Q$6-'Council Entry'!Q$5)),1))),"No data"))</f>
        <v/>
      </c>
      <c r="R126" s="13">
        <f>IF('Council Entry'!R126="","",IFERROR(MAX(0,MIN(10,ROUND(IF('Council Entry'!R$7="Decrease Risk",10-10*((IF('Council Entry'!R$4="Logarithm",LN(0.001+IF(AND(ISNUMBER('Council Entry'!R$8),ISNUMBER('Council Entry'!R$9)),MAX(MIN('Council Entry'!R126,'Council Entry'!R$9),'Council Entry'!R$8),'Council Entry'!R126)),IF('Council Entry'!R$4="Exponential",EXP(IF(AND(ISNUMBER('Council Entry'!R$8),ISNUMBER('Council Entry'!R$9)),MAX(MIN('Council Entry'!R126,'Council Entry'!R$9),'Council Entry'!R$8),'Council Entry'!R126)),IF(AND(ISNUMBER('Council Entry'!R$8),ISNUMBER('Council Entry'!R$9)),MAX(MIN('Council Entry'!R126,'Council Entry'!R$9),'Council Entry'!R$8),'Council Entry'!R126))))-'Council Entry'!R$5)/('Council Entry'!R$6-'Council Entry'!R$5),10*((IF('Council Entry'!R$4="Logarithm",LN(0.001+IF(AND(ISNUMBER('Council Entry'!R$8),ISNUMBER('Council Entry'!R$9)),MAX(MIN('Council Entry'!R126,'Council Entry'!R$9),'Council Entry'!R$8),'Council Entry'!R126)),IF('Council Entry'!R$4="Exponential",EXP(IF(AND(ISNUMBER('Council Entry'!R$8),ISNUMBER('Council Entry'!R$9)),MAX(MIN('Council Entry'!R126,'Council Entry'!R$9),'Council Entry'!R$8),'Council Entry'!R126)),IF(AND(ISNUMBER('Council Entry'!R$8),ISNUMBER('Council Entry'!R$9)),MAX(MIN('Council Entry'!R126,'Council Entry'!R$9),'Council Entry'!R$8),'Council Entry'!R126))))-'Council Entry'!R$5)/('Council Entry'!R$6-'Council Entry'!R$5)),1))),"No data"))</f>
        <v/>
      </c>
      <c r="S126" s="13">
        <f>IF('Council Entry'!S126="","",IFERROR(MAX(0,MIN(10,ROUND(IF('Council Entry'!S$7="Decrease Risk",10-10*((IF('Council Entry'!S$4="Logarithm",LN(0.001+IF(AND(ISNUMBER('Council Entry'!S$8),ISNUMBER('Council Entry'!S$9)),MAX(MIN('Council Entry'!S126,'Council Entry'!S$9),'Council Entry'!S$8),'Council Entry'!S126)),IF('Council Entry'!S$4="Exponential",EXP(IF(AND(ISNUMBER('Council Entry'!S$8),ISNUMBER('Council Entry'!S$9)),MAX(MIN('Council Entry'!S126,'Council Entry'!S$9),'Council Entry'!S$8),'Council Entry'!S126)),IF(AND(ISNUMBER('Council Entry'!S$8),ISNUMBER('Council Entry'!S$9)),MAX(MIN('Council Entry'!S126,'Council Entry'!S$9),'Council Entry'!S$8),'Council Entry'!S126))))-'Council Entry'!S$5)/('Council Entry'!S$6-'Council Entry'!S$5),10*((IF('Council Entry'!S$4="Logarithm",LN(0.001+IF(AND(ISNUMBER('Council Entry'!S$8),ISNUMBER('Council Entry'!S$9)),MAX(MIN('Council Entry'!S126,'Council Entry'!S$9),'Council Entry'!S$8),'Council Entry'!S126)),IF('Council Entry'!S$4="Exponential",EXP(IF(AND(ISNUMBER('Council Entry'!S$8),ISNUMBER('Council Entry'!S$9)),MAX(MIN('Council Entry'!S126,'Council Entry'!S$9),'Council Entry'!S$8),'Council Entry'!S126)),IF(AND(ISNUMBER('Council Entry'!S$8),ISNUMBER('Council Entry'!S$9)),MAX(MIN('Council Entry'!S126,'Council Entry'!S$9),'Council Entry'!S$8),'Council Entry'!S126))))-'Council Entry'!S$5)/('Council Entry'!S$6-'Council Entry'!S$5)),1))),"No data"))</f>
        <v/>
      </c>
      <c r="T126" s="13">
        <f>IF('Council Entry'!T126="","",IFERROR(MAX(0,MIN(10,ROUND(IF('Council Entry'!T$7="Decrease Risk",10-10*((IF('Council Entry'!T$4="Logarithm",LN(0.001+IF(AND(ISNUMBER('Council Entry'!T$8),ISNUMBER('Council Entry'!T$9)),MAX(MIN('Council Entry'!T126,'Council Entry'!T$9),'Council Entry'!T$8),'Council Entry'!T126)),IF('Council Entry'!T$4="Exponential",EXP(IF(AND(ISNUMBER('Council Entry'!T$8),ISNUMBER('Council Entry'!T$9)),MAX(MIN('Council Entry'!T126,'Council Entry'!T$9),'Council Entry'!T$8),'Council Entry'!T126)),IF(AND(ISNUMBER('Council Entry'!T$8),ISNUMBER('Council Entry'!T$9)),MAX(MIN('Council Entry'!T126,'Council Entry'!T$9),'Council Entry'!T$8),'Council Entry'!T126))))-'Council Entry'!T$5)/('Council Entry'!T$6-'Council Entry'!T$5),10*((IF('Council Entry'!T$4="Logarithm",LN(0.001+IF(AND(ISNUMBER('Council Entry'!T$8),ISNUMBER('Council Entry'!T$9)),MAX(MIN('Council Entry'!T126,'Council Entry'!T$9),'Council Entry'!T$8),'Council Entry'!T126)),IF('Council Entry'!T$4="Exponential",EXP(IF(AND(ISNUMBER('Council Entry'!T$8),ISNUMBER('Council Entry'!T$9)),MAX(MIN('Council Entry'!T126,'Council Entry'!T$9),'Council Entry'!T$8),'Council Entry'!T126)),IF(AND(ISNUMBER('Council Entry'!T$8),ISNUMBER('Council Entry'!T$9)),MAX(MIN('Council Entry'!T126,'Council Entry'!T$9),'Council Entry'!T$8),'Council Entry'!T126))))-'Council Entry'!T$5)/('Council Entry'!T$6-'Council Entry'!T$5)),1))),"No data"))</f>
        <v/>
      </c>
      <c r="U126" s="13">
        <f>IF('Council Entry'!U126="","",IFERROR(MAX(0,MIN(10,ROUND(IF('Council Entry'!U$7="Decrease Risk",10-10*((IF('Council Entry'!U$4="Logarithm",LN(0.001+IF(AND(ISNUMBER('Council Entry'!U$8),ISNUMBER('Council Entry'!U$9)),MAX(MIN('Council Entry'!U126,'Council Entry'!U$9),'Council Entry'!U$8),'Council Entry'!U126)),IF('Council Entry'!U$4="Exponential",EXP(IF(AND(ISNUMBER('Council Entry'!U$8),ISNUMBER('Council Entry'!U$9)),MAX(MIN('Council Entry'!U126,'Council Entry'!U$9),'Council Entry'!U$8),'Council Entry'!U126)),IF(AND(ISNUMBER('Council Entry'!U$8),ISNUMBER('Council Entry'!U$9)),MAX(MIN('Council Entry'!U126,'Council Entry'!U$9),'Council Entry'!U$8),'Council Entry'!U126))))-'Council Entry'!U$5)/('Council Entry'!U$6-'Council Entry'!U$5),10*((IF('Council Entry'!U$4="Logarithm",LN(0.001+IF(AND(ISNUMBER('Council Entry'!U$8),ISNUMBER('Council Entry'!U$9)),MAX(MIN('Council Entry'!U126,'Council Entry'!U$9),'Council Entry'!U$8),'Council Entry'!U126)),IF('Council Entry'!U$4="Exponential",EXP(IF(AND(ISNUMBER('Council Entry'!U$8),ISNUMBER('Council Entry'!U$9)),MAX(MIN('Council Entry'!U126,'Council Entry'!U$9),'Council Entry'!U$8),'Council Entry'!U126)),IF(AND(ISNUMBER('Council Entry'!U$8),ISNUMBER('Council Entry'!U$9)),MAX(MIN('Council Entry'!U126,'Council Entry'!U$9),'Council Entry'!U$8),'Council Entry'!U126))))-'Council Entry'!U$5)/('Council Entry'!U$6-'Council Entry'!U$5)),1))),"No data"))</f>
        <v/>
      </c>
      <c r="V126" s="13">
        <f>IF('Council Entry'!V126="","",IFERROR(MAX(0,MIN(10,ROUND(IF('Council Entry'!V$7="Decrease Risk",10-10*((IF('Council Entry'!V$4="Logarithm",LN(0.001+IF(AND(ISNUMBER('Council Entry'!V$8),ISNUMBER('Council Entry'!V$9)),MAX(MIN('Council Entry'!V126,'Council Entry'!V$9),'Council Entry'!V$8),'Council Entry'!V126)),IF('Council Entry'!V$4="Exponential",EXP(IF(AND(ISNUMBER('Council Entry'!V$8),ISNUMBER('Council Entry'!V$9)),MAX(MIN('Council Entry'!V126,'Council Entry'!V$9),'Council Entry'!V$8),'Council Entry'!V126)),IF(AND(ISNUMBER('Council Entry'!V$8),ISNUMBER('Council Entry'!V$9)),MAX(MIN('Council Entry'!V126,'Council Entry'!V$9),'Council Entry'!V$8),'Council Entry'!V126))))-'Council Entry'!V$5)/('Council Entry'!V$6-'Council Entry'!V$5),10*((IF('Council Entry'!V$4="Logarithm",LN(0.001+IF(AND(ISNUMBER('Council Entry'!V$8),ISNUMBER('Council Entry'!V$9)),MAX(MIN('Council Entry'!V126,'Council Entry'!V$9),'Council Entry'!V$8),'Council Entry'!V126)),IF('Council Entry'!V$4="Exponential",EXP(IF(AND(ISNUMBER('Council Entry'!V$8),ISNUMBER('Council Entry'!V$9)),MAX(MIN('Council Entry'!V126,'Council Entry'!V$9),'Council Entry'!V$8),'Council Entry'!V126)),IF(AND(ISNUMBER('Council Entry'!V$8),ISNUMBER('Council Entry'!V$9)),MAX(MIN('Council Entry'!V126,'Council Entry'!V$9),'Council Entry'!V$8),'Council Entry'!V126))))-'Council Entry'!V$5)/('Council Entry'!V$6-'Council Entry'!V$5)),1))),"No data"))</f>
        <v/>
      </c>
      <c r="W126" s="13">
        <f>IF('Council Entry'!W126="","",IFERROR(MAX(0,MIN(10,ROUND(IF('Council Entry'!W$7="Decrease Risk",10-10*((IF('Council Entry'!W$4="Logarithm",LN(0.001+IF(AND(ISNUMBER('Council Entry'!W$8),ISNUMBER('Council Entry'!W$9)),MAX(MIN('Council Entry'!W126,'Council Entry'!W$9),'Council Entry'!W$8),'Council Entry'!W126)),IF('Council Entry'!W$4="Exponential",EXP(IF(AND(ISNUMBER('Council Entry'!W$8),ISNUMBER('Council Entry'!W$9)),MAX(MIN('Council Entry'!W126,'Council Entry'!W$9),'Council Entry'!W$8),'Council Entry'!W126)),IF(AND(ISNUMBER('Council Entry'!W$8),ISNUMBER('Council Entry'!W$9)),MAX(MIN('Council Entry'!W126,'Council Entry'!W$9),'Council Entry'!W$8),'Council Entry'!W126))))-'Council Entry'!W$5)/('Council Entry'!W$6-'Council Entry'!W$5),10*((IF('Council Entry'!W$4="Logarithm",LN(0.001+IF(AND(ISNUMBER('Council Entry'!W$8),ISNUMBER('Council Entry'!W$9)),MAX(MIN('Council Entry'!W126,'Council Entry'!W$9),'Council Entry'!W$8),'Council Entry'!W126)),IF('Council Entry'!W$4="Exponential",EXP(IF(AND(ISNUMBER('Council Entry'!W$8),ISNUMBER('Council Entry'!W$9)),MAX(MIN('Council Entry'!W126,'Council Entry'!W$9),'Council Entry'!W$8),'Council Entry'!W126)),IF(AND(ISNUMBER('Council Entry'!W$8),ISNUMBER('Council Entry'!W$9)),MAX(MIN('Council Entry'!W126,'Council Entry'!W$9),'Council Entry'!W$8),'Council Entry'!W126))))-'Council Entry'!W$5)/('Council Entry'!W$6-'Council Entry'!W$5)),1))),"No data"))</f>
        <v/>
      </c>
      <c r="X126" s="13">
        <f>IF('Council Entry'!X126="","",IFERROR(MAX(0,MIN(10,ROUND(IF('Council Entry'!X$7="Decrease Risk",10-10*((IF('Council Entry'!X$4="Logarithm",LN(0.001+IF(AND(ISNUMBER('Council Entry'!X$8),ISNUMBER('Council Entry'!X$9)),MAX(MIN('Council Entry'!X126,'Council Entry'!X$9),'Council Entry'!X$8),'Council Entry'!X126)),IF('Council Entry'!X$4="Exponential",EXP(IF(AND(ISNUMBER('Council Entry'!X$8),ISNUMBER('Council Entry'!X$9)),MAX(MIN('Council Entry'!X126,'Council Entry'!X$9),'Council Entry'!X$8),'Council Entry'!X126)),IF(AND(ISNUMBER('Council Entry'!X$8),ISNUMBER('Council Entry'!X$9)),MAX(MIN('Council Entry'!X126,'Council Entry'!X$9),'Council Entry'!X$8),'Council Entry'!X126))))-'Council Entry'!X$5)/('Council Entry'!X$6-'Council Entry'!X$5),10*((IF('Council Entry'!X$4="Logarithm",LN(0.001+IF(AND(ISNUMBER('Council Entry'!X$8),ISNUMBER('Council Entry'!X$9)),MAX(MIN('Council Entry'!X126,'Council Entry'!X$9),'Council Entry'!X$8),'Council Entry'!X126)),IF('Council Entry'!X$4="Exponential",EXP(IF(AND(ISNUMBER('Council Entry'!X$8),ISNUMBER('Council Entry'!X$9)),MAX(MIN('Council Entry'!X126,'Council Entry'!X$9),'Council Entry'!X$8),'Council Entry'!X126)),IF(AND(ISNUMBER('Council Entry'!X$8),ISNUMBER('Council Entry'!X$9)),MAX(MIN('Council Entry'!X126,'Council Entry'!X$9),'Council Entry'!X$8),'Council Entry'!X126))))-'Council Entry'!X$5)/('Council Entry'!X$6-'Council Entry'!X$5)),1))),"No data"))</f>
        <v/>
      </c>
      <c r="Y126" s="13">
        <f>IF('Council Entry'!Y126="","",IFERROR(MAX(0,MIN(10,ROUND(IF('Council Entry'!Y$7="Decrease Risk",10-10*((IF('Council Entry'!Y$4="Logarithm",LN(0.001+IF(AND(ISNUMBER('Council Entry'!Y$8),ISNUMBER('Council Entry'!Y$9)),MAX(MIN('Council Entry'!Y126,'Council Entry'!Y$9),'Council Entry'!Y$8),'Council Entry'!Y126)),IF('Council Entry'!Y$4="Exponential",EXP(IF(AND(ISNUMBER('Council Entry'!Y$8),ISNUMBER('Council Entry'!Y$9)),MAX(MIN('Council Entry'!Y126,'Council Entry'!Y$9),'Council Entry'!Y$8),'Council Entry'!Y126)),IF(AND(ISNUMBER('Council Entry'!Y$8),ISNUMBER('Council Entry'!Y$9)),MAX(MIN('Council Entry'!Y126,'Council Entry'!Y$9),'Council Entry'!Y$8),'Council Entry'!Y126))))-'Council Entry'!Y$5)/('Council Entry'!Y$6-'Council Entry'!Y$5),10*((IF('Council Entry'!Y$4="Logarithm",LN(0.001+IF(AND(ISNUMBER('Council Entry'!Y$8),ISNUMBER('Council Entry'!Y$9)),MAX(MIN('Council Entry'!Y126,'Council Entry'!Y$9),'Council Entry'!Y$8),'Council Entry'!Y126)),IF('Council Entry'!Y$4="Exponential",EXP(IF(AND(ISNUMBER('Council Entry'!Y$8),ISNUMBER('Council Entry'!Y$9)),MAX(MIN('Council Entry'!Y126,'Council Entry'!Y$9),'Council Entry'!Y$8),'Council Entry'!Y126)),IF(AND(ISNUMBER('Council Entry'!Y$8),ISNUMBER('Council Entry'!Y$9)),MAX(MIN('Council Entry'!Y126,'Council Entry'!Y$9),'Council Entry'!Y$8),'Council Entry'!Y126))))-'Council Entry'!Y$5)/('Council Entry'!Y$6-'Council Entry'!Y$5)),1))),"No data"))</f>
        <v/>
      </c>
      <c r="Z126" s="13">
        <f>IF('Council Entry'!Z126="","",IFERROR(MAX(0,MIN(10,ROUND(IF('Council Entry'!Z$7="Decrease Risk",10-10*((IF('Council Entry'!Z$4="Logarithm",LN(0.001+IF(AND(ISNUMBER('Council Entry'!Z$8),ISNUMBER('Council Entry'!Z$9)),MAX(MIN('Council Entry'!Z126,'Council Entry'!Z$9),'Council Entry'!Z$8),'Council Entry'!Z126)),IF('Council Entry'!Z$4="Exponential",EXP(IF(AND(ISNUMBER('Council Entry'!Z$8),ISNUMBER('Council Entry'!Z$9)),MAX(MIN('Council Entry'!Z126,'Council Entry'!Z$9),'Council Entry'!Z$8),'Council Entry'!Z126)),IF(AND(ISNUMBER('Council Entry'!Z$8),ISNUMBER('Council Entry'!Z$9)),MAX(MIN('Council Entry'!Z126,'Council Entry'!Z$9),'Council Entry'!Z$8),'Council Entry'!Z126))))-'Council Entry'!Z$5)/('Council Entry'!Z$6-'Council Entry'!Z$5),10*((IF('Council Entry'!Z$4="Logarithm",LN(0.001+IF(AND(ISNUMBER('Council Entry'!Z$8),ISNUMBER('Council Entry'!Z$9)),MAX(MIN('Council Entry'!Z126,'Council Entry'!Z$9),'Council Entry'!Z$8),'Council Entry'!Z126)),IF('Council Entry'!Z$4="Exponential",EXP(IF(AND(ISNUMBER('Council Entry'!Z$8),ISNUMBER('Council Entry'!Z$9)),MAX(MIN('Council Entry'!Z126,'Council Entry'!Z$9),'Council Entry'!Z$8),'Council Entry'!Z126)),IF(AND(ISNUMBER('Council Entry'!Z$8),ISNUMBER('Council Entry'!Z$9)),MAX(MIN('Council Entry'!Z126,'Council Entry'!Z$9),'Council Entry'!Z$8),'Council Entry'!Z126))))-'Council Entry'!Z$5)/('Council Entry'!Z$6-'Council Entry'!Z$5)),1))),"No data"))</f>
        <v/>
      </c>
      <c r="AA126" s="13">
        <f>IF('Council Entry'!AA126="","",IFERROR(MAX(0,MIN(10,ROUND(IF('Council Entry'!AA$7="Decrease Risk",10-10*((IF('Council Entry'!AA$4="Logarithm",LN(0.001+IF(AND(ISNUMBER('Council Entry'!AA$8),ISNUMBER('Council Entry'!AA$9)),MAX(MIN('Council Entry'!AA126,'Council Entry'!AA$9),'Council Entry'!AA$8),'Council Entry'!AA126)),IF('Council Entry'!AA$4="Exponential",EXP(IF(AND(ISNUMBER('Council Entry'!AA$8),ISNUMBER('Council Entry'!AA$9)),MAX(MIN('Council Entry'!AA126,'Council Entry'!AA$9),'Council Entry'!AA$8),'Council Entry'!AA126)),IF(AND(ISNUMBER('Council Entry'!AA$8),ISNUMBER('Council Entry'!AA$9)),MAX(MIN('Council Entry'!AA126,'Council Entry'!AA$9),'Council Entry'!AA$8),'Council Entry'!AA126))))-'Council Entry'!AA$5)/('Council Entry'!AA$6-'Council Entry'!AA$5),10*((IF('Council Entry'!AA$4="Logarithm",LN(0.001+IF(AND(ISNUMBER('Council Entry'!AA$8),ISNUMBER('Council Entry'!AA$9)),MAX(MIN('Council Entry'!AA126,'Council Entry'!AA$9),'Council Entry'!AA$8),'Council Entry'!AA126)),IF('Council Entry'!AA$4="Exponential",EXP(IF(AND(ISNUMBER('Council Entry'!AA$8),ISNUMBER('Council Entry'!AA$9)),MAX(MIN('Council Entry'!AA126,'Council Entry'!AA$9),'Council Entry'!AA$8),'Council Entry'!AA126)),IF(AND(ISNUMBER('Council Entry'!AA$8),ISNUMBER('Council Entry'!AA$9)),MAX(MIN('Council Entry'!AA126,'Council Entry'!AA$9),'Council Entry'!AA$8),'Council Entry'!AA126))))-'Council Entry'!AA$5)/('Council Entry'!AA$6-'Council Entry'!AA$5)),1))),"No data"))</f>
        <v/>
      </c>
      <c r="AB126" s="13">
        <f>IF('Council Entry'!AB126="","",IFERROR(MAX(0,MIN(10,ROUND(IF('Council Entry'!AB$7="Decrease Risk",10-10*((IF('Council Entry'!AB$4="Logarithm",LN(0.001+IF(AND(ISNUMBER('Council Entry'!AB$8),ISNUMBER('Council Entry'!AB$9)),MAX(MIN('Council Entry'!AB126,'Council Entry'!AB$9),'Council Entry'!AB$8),'Council Entry'!AB126)),IF('Council Entry'!AB$4="Exponential",EXP(IF(AND(ISNUMBER('Council Entry'!AB$8),ISNUMBER('Council Entry'!AB$9)),MAX(MIN('Council Entry'!AB126,'Council Entry'!AB$9),'Council Entry'!AB$8),'Council Entry'!AB126)),IF(AND(ISNUMBER('Council Entry'!AB$8),ISNUMBER('Council Entry'!AB$9)),MAX(MIN('Council Entry'!AB126,'Council Entry'!AB$9),'Council Entry'!AB$8),'Council Entry'!AB126))))-'Council Entry'!AB$5)/('Council Entry'!AB$6-'Council Entry'!AB$5),10*((IF('Council Entry'!AB$4="Logarithm",LN(0.001+IF(AND(ISNUMBER('Council Entry'!AB$8),ISNUMBER('Council Entry'!AB$9)),MAX(MIN('Council Entry'!AB126,'Council Entry'!AB$9),'Council Entry'!AB$8),'Council Entry'!AB126)),IF('Council Entry'!AB$4="Exponential",EXP(IF(AND(ISNUMBER('Council Entry'!AB$8),ISNUMBER('Council Entry'!AB$9)),MAX(MIN('Council Entry'!AB126,'Council Entry'!AB$9),'Council Entry'!AB$8),'Council Entry'!AB126)),IF(AND(ISNUMBER('Council Entry'!AB$8),ISNUMBER('Council Entry'!AB$9)),MAX(MIN('Council Entry'!AB126,'Council Entry'!AB$9),'Council Entry'!AB$8),'Council Entry'!AB126))))-'Council Entry'!AB$5)/('Council Entry'!AB$6-'Council Entry'!AB$5)),1))),"No data"))</f>
        <v/>
      </c>
      <c r="AC126" s="13">
        <f>IF('Council Entry'!AC126="","",IFERROR(MAX(0,MIN(10,ROUND(IF('Council Entry'!AC$7="Decrease Risk",10-10*((IF('Council Entry'!AC$4="Logarithm",LN(0.001+IF(AND(ISNUMBER('Council Entry'!AC$8),ISNUMBER('Council Entry'!AC$9)),MAX(MIN('Council Entry'!AC126,'Council Entry'!AC$9),'Council Entry'!AC$8),'Council Entry'!AC126)),IF('Council Entry'!AC$4="Exponential",EXP(IF(AND(ISNUMBER('Council Entry'!AC$8),ISNUMBER('Council Entry'!AC$9)),MAX(MIN('Council Entry'!AC126,'Council Entry'!AC$9),'Council Entry'!AC$8),'Council Entry'!AC126)),IF(AND(ISNUMBER('Council Entry'!AC$8),ISNUMBER('Council Entry'!AC$9)),MAX(MIN('Council Entry'!AC126,'Council Entry'!AC$9),'Council Entry'!AC$8),'Council Entry'!AC126))))-'Council Entry'!AC$5)/('Council Entry'!AC$6-'Council Entry'!AC$5),10*((IF('Council Entry'!AC$4="Logarithm",LN(0.001+IF(AND(ISNUMBER('Council Entry'!AC$8),ISNUMBER('Council Entry'!AC$9)),MAX(MIN('Council Entry'!AC126,'Council Entry'!AC$9),'Council Entry'!AC$8),'Council Entry'!AC126)),IF('Council Entry'!AC$4="Exponential",EXP(IF(AND(ISNUMBER('Council Entry'!AC$8),ISNUMBER('Council Entry'!AC$9)),MAX(MIN('Council Entry'!AC126,'Council Entry'!AC$9),'Council Entry'!AC$8),'Council Entry'!AC126)),IF(AND(ISNUMBER('Council Entry'!AC$8),ISNUMBER('Council Entry'!AC$9)),MAX(MIN('Council Entry'!AC126,'Council Entry'!AC$9),'Council Entry'!AC$8),'Council Entry'!AC126))))-'Council Entry'!AC$5)/('Council Entry'!AC$6-'Council Entry'!AC$5)),1))),"No data"))</f>
        <v/>
      </c>
      <c r="AD126" s="13">
        <f>IF('Council Entry'!AD126="","",IFERROR(MAX(0,MIN(10,ROUND(IF('Council Entry'!AD$7="Decrease Risk",10-10*((IF('Council Entry'!AD$4="Logarithm",LN(0.001+IF(AND(ISNUMBER('Council Entry'!AD$8),ISNUMBER('Council Entry'!AD$9)),MAX(MIN('Council Entry'!AD126,'Council Entry'!AD$9),'Council Entry'!AD$8),'Council Entry'!AD126)),IF('Council Entry'!AD$4="Exponential",EXP(IF(AND(ISNUMBER('Council Entry'!AD$8),ISNUMBER('Council Entry'!AD$9)),MAX(MIN('Council Entry'!AD126,'Council Entry'!AD$9),'Council Entry'!AD$8),'Council Entry'!AD126)),IF(AND(ISNUMBER('Council Entry'!AD$8),ISNUMBER('Council Entry'!AD$9)),MAX(MIN('Council Entry'!AD126,'Council Entry'!AD$9),'Council Entry'!AD$8),'Council Entry'!AD126))))-'Council Entry'!AD$5)/('Council Entry'!AD$6-'Council Entry'!AD$5),10*((IF('Council Entry'!AD$4="Logarithm",LN(0.001+IF(AND(ISNUMBER('Council Entry'!AD$8),ISNUMBER('Council Entry'!AD$9)),MAX(MIN('Council Entry'!AD126,'Council Entry'!AD$9),'Council Entry'!AD$8),'Council Entry'!AD126)),IF('Council Entry'!AD$4="Exponential",EXP(IF(AND(ISNUMBER('Council Entry'!AD$8),ISNUMBER('Council Entry'!AD$9)),MAX(MIN('Council Entry'!AD126,'Council Entry'!AD$9),'Council Entry'!AD$8),'Council Entry'!AD126)),IF(AND(ISNUMBER('Council Entry'!AD$8),ISNUMBER('Council Entry'!AD$9)),MAX(MIN('Council Entry'!AD126,'Council Entry'!AD$9),'Council Entry'!AD$8),'Council Entry'!AD126))))-'Council Entry'!AD$5)/('Council Entry'!AD$6-'Council Entry'!AD$5)),1))),"No data"))</f>
        <v/>
      </c>
      <c r="AE126" s="13">
        <f>IF('Council Entry'!AE126="","",IFERROR(MAX(0,MIN(10,ROUND(IF('Council Entry'!AE$7="Decrease Risk",10-10*((IF('Council Entry'!AE$4="Logarithm",LN(0.001+IF(AND(ISNUMBER('Council Entry'!AE$8),ISNUMBER('Council Entry'!AE$9)),MAX(MIN('Council Entry'!AE126,'Council Entry'!AE$9),'Council Entry'!AE$8),'Council Entry'!AE126)),IF('Council Entry'!AE$4="Exponential",EXP(IF(AND(ISNUMBER('Council Entry'!AE$8),ISNUMBER('Council Entry'!AE$9)),MAX(MIN('Council Entry'!AE126,'Council Entry'!AE$9),'Council Entry'!AE$8),'Council Entry'!AE126)),IF(AND(ISNUMBER('Council Entry'!AE$8),ISNUMBER('Council Entry'!AE$9)),MAX(MIN('Council Entry'!AE126,'Council Entry'!AE$9),'Council Entry'!AE$8),'Council Entry'!AE126))))-'Council Entry'!AE$5)/('Council Entry'!AE$6-'Council Entry'!AE$5),10*((IF('Council Entry'!AE$4="Logarithm",LN(0.001+IF(AND(ISNUMBER('Council Entry'!AE$8),ISNUMBER('Council Entry'!AE$9)),MAX(MIN('Council Entry'!AE126,'Council Entry'!AE$9),'Council Entry'!AE$8),'Council Entry'!AE126)),IF('Council Entry'!AE$4="Exponential",EXP(IF(AND(ISNUMBER('Council Entry'!AE$8),ISNUMBER('Council Entry'!AE$9)),MAX(MIN('Council Entry'!AE126,'Council Entry'!AE$9),'Council Entry'!AE$8),'Council Entry'!AE126)),IF(AND(ISNUMBER('Council Entry'!AE$8),ISNUMBER('Council Entry'!AE$9)),MAX(MIN('Council Entry'!AE126,'Council Entry'!AE$9),'Council Entry'!AE$8),'Council Entry'!AE126))))-'Council Entry'!AE$5)/('Council Entry'!AE$6-'Council Entry'!AE$5)),1))),"No data"))</f>
        <v/>
      </c>
      <c r="AF126" s="13">
        <f>IF('Council Entry'!AF126="","",IFERROR(MAX(0,MIN(10,ROUND(IF('Council Entry'!AF$7="Decrease Risk",10-10*((IF('Council Entry'!AF$4="Logarithm",LN(0.001+IF(AND(ISNUMBER('Council Entry'!AF$8),ISNUMBER('Council Entry'!AF$9)),MAX(MIN('Council Entry'!AF126,'Council Entry'!AF$9),'Council Entry'!AF$8),'Council Entry'!AF126)),IF('Council Entry'!AF$4="Exponential",EXP(IF(AND(ISNUMBER('Council Entry'!AF$8),ISNUMBER('Council Entry'!AF$9)),MAX(MIN('Council Entry'!AF126,'Council Entry'!AF$9),'Council Entry'!AF$8),'Council Entry'!AF126)),IF(AND(ISNUMBER('Council Entry'!AF$8),ISNUMBER('Council Entry'!AF$9)),MAX(MIN('Council Entry'!AF126,'Council Entry'!AF$9),'Council Entry'!AF$8),'Council Entry'!AF126))))-'Council Entry'!AF$5)/('Council Entry'!AF$6-'Council Entry'!AF$5),10*((IF('Council Entry'!AF$4="Logarithm",LN(0.001+IF(AND(ISNUMBER('Council Entry'!AF$8),ISNUMBER('Council Entry'!AF$9)),MAX(MIN('Council Entry'!AF126,'Council Entry'!AF$9),'Council Entry'!AF$8),'Council Entry'!AF126)),IF('Council Entry'!AF$4="Exponential",EXP(IF(AND(ISNUMBER('Council Entry'!AF$8),ISNUMBER('Council Entry'!AF$9)),MAX(MIN('Council Entry'!AF126,'Council Entry'!AF$9),'Council Entry'!AF$8),'Council Entry'!AF126)),IF(AND(ISNUMBER('Council Entry'!AF$8),ISNUMBER('Council Entry'!AF$9)),MAX(MIN('Council Entry'!AF126,'Council Entry'!AF$9),'Council Entry'!AF$8),'Council Entry'!AF126))))-'Council Entry'!AF$5)/('Council Entry'!AF$6-'Council Entry'!AF$5)),1))),"No data"))</f>
        <v/>
      </c>
      <c r="AG126" s="13">
        <f>IF('Council Entry'!AG126="","",IFERROR(MAX(0,MIN(10,ROUND(IF('Council Entry'!AG$7="Decrease Risk",10-10*((IF('Council Entry'!AG$4="Logarithm",LN(0.001+IF(AND(ISNUMBER('Council Entry'!AG$8),ISNUMBER('Council Entry'!AG$9)),MAX(MIN('Council Entry'!AG126,'Council Entry'!AG$9),'Council Entry'!AG$8),'Council Entry'!AG126)),IF('Council Entry'!AG$4="Exponential",EXP(IF(AND(ISNUMBER('Council Entry'!AG$8),ISNUMBER('Council Entry'!AG$9)),MAX(MIN('Council Entry'!AG126,'Council Entry'!AG$9),'Council Entry'!AG$8),'Council Entry'!AG126)),IF(AND(ISNUMBER('Council Entry'!AG$8),ISNUMBER('Council Entry'!AG$9)),MAX(MIN('Council Entry'!AG126,'Council Entry'!AG$9),'Council Entry'!AG$8),'Council Entry'!AG126))))-'Council Entry'!AG$5)/('Council Entry'!AG$6-'Council Entry'!AG$5),10*((IF('Council Entry'!AG$4="Logarithm",LN(0.001+IF(AND(ISNUMBER('Council Entry'!AG$8),ISNUMBER('Council Entry'!AG$9)),MAX(MIN('Council Entry'!AG126,'Council Entry'!AG$9),'Council Entry'!AG$8),'Council Entry'!AG126)),IF('Council Entry'!AG$4="Exponential",EXP(IF(AND(ISNUMBER('Council Entry'!AG$8),ISNUMBER('Council Entry'!AG$9)),MAX(MIN('Council Entry'!AG126,'Council Entry'!AG$9),'Council Entry'!AG$8),'Council Entry'!AG126)),IF(AND(ISNUMBER('Council Entry'!AG$8),ISNUMBER('Council Entry'!AG$9)),MAX(MIN('Council Entry'!AG126,'Council Entry'!AG$9),'Council Entry'!AG$8),'Council Entry'!AG126))))-'Council Entry'!AG$5)/('Council Entry'!AG$6-'Council Entry'!AG$5)),1))),"No data"))</f>
        <v/>
      </c>
      <c r="AH126" s="13">
        <f>IF('Council Entry'!AH126="","",IFERROR(MAX(0,MIN(10,ROUND(IF('Council Entry'!AH$7="Decrease Risk",10-10*((IF('Council Entry'!AH$4="Logarithm",LN(0.001+IF(AND(ISNUMBER('Council Entry'!AH$8),ISNUMBER('Council Entry'!AH$9)),MAX(MIN('Council Entry'!AH126,'Council Entry'!AH$9),'Council Entry'!AH$8),'Council Entry'!AH126)),IF('Council Entry'!AH$4="Exponential",EXP(IF(AND(ISNUMBER('Council Entry'!AH$8),ISNUMBER('Council Entry'!AH$9)),MAX(MIN('Council Entry'!AH126,'Council Entry'!AH$9),'Council Entry'!AH$8),'Council Entry'!AH126)),IF(AND(ISNUMBER('Council Entry'!AH$8),ISNUMBER('Council Entry'!AH$9)),MAX(MIN('Council Entry'!AH126,'Council Entry'!AH$9),'Council Entry'!AH$8),'Council Entry'!AH126))))-'Council Entry'!AH$5)/('Council Entry'!AH$6-'Council Entry'!AH$5),10*((IF('Council Entry'!AH$4="Logarithm",LN(0.001+IF(AND(ISNUMBER('Council Entry'!AH$8),ISNUMBER('Council Entry'!AH$9)),MAX(MIN('Council Entry'!AH126,'Council Entry'!AH$9),'Council Entry'!AH$8),'Council Entry'!AH126)),IF('Council Entry'!AH$4="Exponential",EXP(IF(AND(ISNUMBER('Council Entry'!AH$8),ISNUMBER('Council Entry'!AH$9)),MAX(MIN('Council Entry'!AH126,'Council Entry'!AH$9),'Council Entry'!AH$8),'Council Entry'!AH126)),IF(AND(ISNUMBER('Council Entry'!AH$8),ISNUMBER('Council Entry'!AH$9)),MAX(MIN('Council Entry'!AH126,'Council Entry'!AH$9),'Council Entry'!AH$8),'Council Entry'!AH126))))-'Council Entry'!AH$5)/('Council Entry'!AH$6-'Council Entry'!AH$5)),1))),"No data"))</f>
        <v/>
      </c>
      <c r="AI126" s="13">
        <f>IF('Council Entry'!AI126="","",IFERROR(MAX(0,MIN(10,ROUND(IF('Council Entry'!AI$7="Decrease Risk",10-10*((IF('Council Entry'!AI$4="Logarithm",LN(0.001+IF(AND(ISNUMBER('Council Entry'!AI$8),ISNUMBER('Council Entry'!AI$9)),MAX(MIN('Council Entry'!AI126,'Council Entry'!AI$9),'Council Entry'!AI$8),'Council Entry'!AI126)),IF('Council Entry'!AI$4="Exponential",EXP(IF(AND(ISNUMBER('Council Entry'!AI$8),ISNUMBER('Council Entry'!AI$9)),MAX(MIN('Council Entry'!AI126,'Council Entry'!AI$9),'Council Entry'!AI$8),'Council Entry'!AI126)),IF(AND(ISNUMBER('Council Entry'!AI$8),ISNUMBER('Council Entry'!AI$9)),MAX(MIN('Council Entry'!AI126,'Council Entry'!AI$9),'Council Entry'!AI$8),'Council Entry'!AI126))))-'Council Entry'!AI$5)/('Council Entry'!AI$6-'Council Entry'!AI$5),10*((IF('Council Entry'!AI$4="Logarithm",LN(0.001+IF(AND(ISNUMBER('Council Entry'!AI$8),ISNUMBER('Council Entry'!AI$9)),MAX(MIN('Council Entry'!AI126,'Council Entry'!AI$9),'Council Entry'!AI$8),'Council Entry'!AI126)),IF('Council Entry'!AI$4="Exponential",EXP(IF(AND(ISNUMBER('Council Entry'!AI$8),ISNUMBER('Council Entry'!AI$9)),MAX(MIN('Council Entry'!AI126,'Council Entry'!AI$9),'Council Entry'!AI$8),'Council Entry'!AI126)),IF(AND(ISNUMBER('Council Entry'!AI$8),ISNUMBER('Council Entry'!AI$9)),MAX(MIN('Council Entry'!AI126,'Council Entry'!AI$9),'Council Entry'!AI$8),'Council Entry'!AI126))))-'Council Entry'!AI$5)/('Council Entry'!AI$6-'Council Entry'!AI$5)),1))),"No data"))</f>
        <v/>
      </c>
      <c r="AJ126" s="13">
        <f>IF('Council Entry'!AJ126="","",IFERROR(MAX(0,MIN(10,ROUND(IF('Council Entry'!AJ$7="Decrease Risk",10-10*((IF('Council Entry'!AJ$4="Logarithm",LN(0.001+IF(AND(ISNUMBER('Council Entry'!AJ$8),ISNUMBER('Council Entry'!AJ$9)),MAX(MIN('Council Entry'!AJ126,'Council Entry'!AJ$9),'Council Entry'!AJ$8),'Council Entry'!AJ126)),IF('Council Entry'!AJ$4="Exponential",EXP(IF(AND(ISNUMBER('Council Entry'!AJ$8),ISNUMBER('Council Entry'!AJ$9)),MAX(MIN('Council Entry'!AJ126,'Council Entry'!AJ$9),'Council Entry'!AJ$8),'Council Entry'!AJ126)),IF(AND(ISNUMBER('Council Entry'!AJ$8),ISNUMBER('Council Entry'!AJ$9)),MAX(MIN('Council Entry'!AJ126,'Council Entry'!AJ$9),'Council Entry'!AJ$8),'Council Entry'!AJ126))))-'Council Entry'!AJ$5)/('Council Entry'!AJ$6-'Council Entry'!AJ$5),10*((IF('Council Entry'!AJ$4="Logarithm",LN(0.001+IF(AND(ISNUMBER('Council Entry'!AJ$8),ISNUMBER('Council Entry'!AJ$9)),MAX(MIN('Council Entry'!AJ126,'Council Entry'!AJ$9),'Council Entry'!AJ$8),'Council Entry'!AJ126)),IF('Council Entry'!AJ$4="Exponential",EXP(IF(AND(ISNUMBER('Council Entry'!AJ$8),ISNUMBER('Council Entry'!AJ$9)),MAX(MIN('Council Entry'!AJ126,'Council Entry'!AJ$9),'Council Entry'!AJ$8),'Council Entry'!AJ126)),IF(AND(ISNUMBER('Council Entry'!AJ$8),ISNUMBER('Council Entry'!AJ$9)),MAX(MIN('Council Entry'!AJ126,'Council Entry'!AJ$9),'Council Entry'!AJ$8),'Council Entry'!AJ126))))-'Council Entry'!AJ$5)/('Council Entry'!AJ$6-'Council Entry'!AJ$5)),1))),"No data"))</f>
        <v/>
      </c>
      <c r="AK126" s="13">
        <f>IF('Council Entry'!AK126="","",IFERROR(MAX(0,MIN(10,ROUND(IF('Council Entry'!AK$7="Decrease Risk",10-10*((IF('Council Entry'!AK$4="Logarithm",LN(0.001+IF(AND(ISNUMBER('Council Entry'!AK$8),ISNUMBER('Council Entry'!AK$9)),MAX(MIN('Council Entry'!AK126,'Council Entry'!AK$9),'Council Entry'!AK$8),'Council Entry'!AK126)),IF('Council Entry'!AK$4="Exponential",EXP(IF(AND(ISNUMBER('Council Entry'!AK$8),ISNUMBER('Council Entry'!AK$9)),MAX(MIN('Council Entry'!AK126,'Council Entry'!AK$9),'Council Entry'!AK$8),'Council Entry'!AK126)),IF(AND(ISNUMBER('Council Entry'!AK$8),ISNUMBER('Council Entry'!AK$9)),MAX(MIN('Council Entry'!AK126,'Council Entry'!AK$9),'Council Entry'!AK$8),'Council Entry'!AK126))))-'Council Entry'!AK$5)/('Council Entry'!AK$6-'Council Entry'!AK$5),10*((IF('Council Entry'!AK$4="Logarithm",LN(0.001+IF(AND(ISNUMBER('Council Entry'!AK$8),ISNUMBER('Council Entry'!AK$9)),MAX(MIN('Council Entry'!AK126,'Council Entry'!AK$9),'Council Entry'!AK$8),'Council Entry'!AK126)),IF('Council Entry'!AK$4="Exponential",EXP(IF(AND(ISNUMBER('Council Entry'!AK$8),ISNUMBER('Council Entry'!AK$9)),MAX(MIN('Council Entry'!AK126,'Council Entry'!AK$9),'Council Entry'!AK$8),'Council Entry'!AK126)),IF(AND(ISNUMBER('Council Entry'!AK$8),ISNUMBER('Council Entry'!AK$9)),MAX(MIN('Council Entry'!AK126,'Council Entry'!AK$9),'Council Entry'!AK$8),'Council Entry'!AK126))))-'Council Entry'!AK$5)/('Council Entry'!AK$6-'Council Entry'!AK$5)),1))),"No data"))</f>
        <v/>
      </c>
      <c r="AL126" s="13">
        <f>IF('Council Entry'!AL126="","",IFERROR(MAX(0,MIN(10,ROUND(IF('Council Entry'!AL$7="Decrease Risk",10-10*((IF('Council Entry'!AL$4="Logarithm",LN(0.001+IF(AND(ISNUMBER('Council Entry'!AL$8),ISNUMBER('Council Entry'!AL$9)),MAX(MIN('Council Entry'!AL126,'Council Entry'!AL$9),'Council Entry'!AL$8),'Council Entry'!AL126)),IF('Council Entry'!AL$4="Exponential",EXP(IF(AND(ISNUMBER('Council Entry'!AL$8),ISNUMBER('Council Entry'!AL$9)),MAX(MIN('Council Entry'!AL126,'Council Entry'!AL$9),'Council Entry'!AL$8),'Council Entry'!AL126)),IF(AND(ISNUMBER('Council Entry'!AL$8),ISNUMBER('Council Entry'!AL$9)),MAX(MIN('Council Entry'!AL126,'Council Entry'!AL$9),'Council Entry'!AL$8),'Council Entry'!AL126))))-'Council Entry'!AL$5)/('Council Entry'!AL$6-'Council Entry'!AL$5),10*((IF('Council Entry'!AL$4="Logarithm",LN(0.001+IF(AND(ISNUMBER('Council Entry'!AL$8),ISNUMBER('Council Entry'!AL$9)),MAX(MIN('Council Entry'!AL126,'Council Entry'!AL$9),'Council Entry'!AL$8),'Council Entry'!AL126)),IF('Council Entry'!AL$4="Exponential",EXP(IF(AND(ISNUMBER('Council Entry'!AL$8),ISNUMBER('Council Entry'!AL$9)),MAX(MIN('Council Entry'!AL126,'Council Entry'!AL$9),'Council Entry'!AL$8),'Council Entry'!AL126)),IF(AND(ISNUMBER('Council Entry'!AL$8),ISNUMBER('Council Entry'!AL$9)),MAX(MIN('Council Entry'!AL126,'Council Entry'!AL$9),'Council Entry'!AL$8),'Council Entry'!AL126))))-'Council Entry'!AL$5)/('Council Entry'!AL$6-'Council Entry'!AL$5)),1))),"No data"))</f>
        <v/>
      </c>
      <c r="AM126" s="13">
        <f>IF('Council Entry'!AM126="","",IFERROR(MAX(0,MIN(10,ROUND(IF('Council Entry'!AM$7="Decrease Risk",10-10*((IF('Council Entry'!AM$4="Logarithm",LN(0.001+IF(AND(ISNUMBER('Council Entry'!AM$8),ISNUMBER('Council Entry'!AM$9)),MAX(MIN('Council Entry'!AM126,'Council Entry'!AM$9),'Council Entry'!AM$8),'Council Entry'!AM126)),IF('Council Entry'!AM$4="Exponential",EXP(IF(AND(ISNUMBER('Council Entry'!AM$8),ISNUMBER('Council Entry'!AM$9)),MAX(MIN('Council Entry'!AM126,'Council Entry'!AM$9),'Council Entry'!AM$8),'Council Entry'!AM126)),IF(AND(ISNUMBER('Council Entry'!AM$8),ISNUMBER('Council Entry'!AM$9)),MAX(MIN('Council Entry'!AM126,'Council Entry'!AM$9),'Council Entry'!AM$8),'Council Entry'!AM126))))-'Council Entry'!AM$5)/('Council Entry'!AM$6-'Council Entry'!AM$5),10*((IF('Council Entry'!AM$4="Logarithm",LN(0.001+IF(AND(ISNUMBER('Council Entry'!AM$8),ISNUMBER('Council Entry'!AM$9)),MAX(MIN('Council Entry'!AM126,'Council Entry'!AM$9),'Council Entry'!AM$8),'Council Entry'!AM126)),IF('Council Entry'!AM$4="Exponential",EXP(IF(AND(ISNUMBER('Council Entry'!AM$8),ISNUMBER('Council Entry'!AM$9)),MAX(MIN('Council Entry'!AM126,'Council Entry'!AM$9),'Council Entry'!AM$8),'Council Entry'!AM126)),IF(AND(ISNUMBER('Council Entry'!AM$8),ISNUMBER('Council Entry'!AM$9)),MAX(MIN('Council Entry'!AM126,'Council Entry'!AM$9),'Council Entry'!AM$8),'Council Entry'!AM126))))-'Council Entry'!AM$5)/('Council Entry'!AM$6-'Council Entry'!AM$5)),1))),"No data"))</f>
        <v/>
      </c>
      <c r="AN126" s="13">
        <f>IF('Council Entry'!AN126="","",IFERROR(MAX(0,MIN(10,ROUND(IF('Council Entry'!AN$7="Decrease Risk",10-10*((IF('Council Entry'!AN$4="Logarithm",LN(0.001+IF(AND(ISNUMBER('Council Entry'!AN$8),ISNUMBER('Council Entry'!AN$9)),MAX(MIN('Council Entry'!AN126,'Council Entry'!AN$9),'Council Entry'!AN$8),'Council Entry'!AN126)),IF('Council Entry'!AN$4="Exponential",EXP(IF(AND(ISNUMBER('Council Entry'!AN$8),ISNUMBER('Council Entry'!AN$9)),MAX(MIN('Council Entry'!AN126,'Council Entry'!AN$9),'Council Entry'!AN$8),'Council Entry'!AN126)),IF(AND(ISNUMBER('Council Entry'!AN$8),ISNUMBER('Council Entry'!AN$9)),MAX(MIN('Council Entry'!AN126,'Council Entry'!AN$9),'Council Entry'!AN$8),'Council Entry'!AN126))))-'Council Entry'!AN$5)/('Council Entry'!AN$6-'Council Entry'!AN$5),10*((IF('Council Entry'!AN$4="Logarithm",LN(0.001+IF(AND(ISNUMBER('Council Entry'!AN$8),ISNUMBER('Council Entry'!AN$9)),MAX(MIN('Council Entry'!AN126,'Council Entry'!AN$9),'Council Entry'!AN$8),'Council Entry'!AN126)),IF('Council Entry'!AN$4="Exponential",EXP(IF(AND(ISNUMBER('Council Entry'!AN$8),ISNUMBER('Council Entry'!AN$9)),MAX(MIN('Council Entry'!AN126,'Council Entry'!AN$9),'Council Entry'!AN$8),'Council Entry'!AN126)),IF(AND(ISNUMBER('Council Entry'!AN$8),ISNUMBER('Council Entry'!AN$9)),MAX(MIN('Council Entry'!AN126,'Council Entry'!AN$9),'Council Entry'!AN$8),'Council Entry'!AN126))))-'Council Entry'!AN$5)/('Council Entry'!AN$6-'Council Entry'!AN$5)),1))),"No data"))</f>
        <v/>
      </c>
      <c r="AO126" s="13">
        <f>IF('Council Entry'!AO126="","",IFERROR(MAX(0,MIN(10,ROUND(IF('Council Entry'!AO$7="Decrease Risk",10-10*((IF('Council Entry'!AO$4="Logarithm",LN(0.001+IF(AND(ISNUMBER('Council Entry'!AO$8),ISNUMBER('Council Entry'!AO$9)),MAX(MIN('Council Entry'!AO126,'Council Entry'!AO$9),'Council Entry'!AO$8),'Council Entry'!AO126)),IF('Council Entry'!AO$4="Exponential",EXP(IF(AND(ISNUMBER('Council Entry'!AO$8),ISNUMBER('Council Entry'!AO$9)),MAX(MIN('Council Entry'!AO126,'Council Entry'!AO$9),'Council Entry'!AO$8),'Council Entry'!AO126)),IF(AND(ISNUMBER('Council Entry'!AO$8),ISNUMBER('Council Entry'!AO$9)),MAX(MIN('Council Entry'!AO126,'Council Entry'!AO$9),'Council Entry'!AO$8),'Council Entry'!AO126))))-'Council Entry'!AO$5)/('Council Entry'!AO$6-'Council Entry'!AO$5),10*((IF('Council Entry'!AO$4="Logarithm",LN(0.001+IF(AND(ISNUMBER('Council Entry'!AO$8),ISNUMBER('Council Entry'!AO$9)),MAX(MIN('Council Entry'!AO126,'Council Entry'!AO$9),'Council Entry'!AO$8),'Council Entry'!AO126)),IF('Council Entry'!AO$4="Exponential",EXP(IF(AND(ISNUMBER('Council Entry'!AO$8),ISNUMBER('Council Entry'!AO$9)),MAX(MIN('Council Entry'!AO126,'Council Entry'!AO$9),'Council Entry'!AO$8),'Council Entry'!AO126)),IF(AND(ISNUMBER('Council Entry'!AO$8),ISNUMBER('Council Entry'!AO$9)),MAX(MIN('Council Entry'!AO126,'Council Entry'!AO$9),'Council Entry'!AO$8),'Council Entry'!AO126))))-'Council Entry'!AO$5)/('Council Entry'!AO$6-'Council Entry'!AO$5)),1))),"No data"))</f>
        <v/>
      </c>
      <c r="AP126" s="13">
        <f>IF('Council Entry'!AP126="","",IFERROR(MAX(0,MIN(10,ROUND(IF('Council Entry'!AP$7="Decrease Risk",10-10*((IF('Council Entry'!AP$4="Logarithm",LN(0.001+IF(AND(ISNUMBER('Council Entry'!AP$8),ISNUMBER('Council Entry'!AP$9)),MAX(MIN('Council Entry'!AP126,'Council Entry'!AP$9),'Council Entry'!AP$8),'Council Entry'!AP126)),IF('Council Entry'!AP$4="Exponential",EXP(IF(AND(ISNUMBER('Council Entry'!AP$8),ISNUMBER('Council Entry'!AP$9)),MAX(MIN('Council Entry'!AP126,'Council Entry'!AP$9),'Council Entry'!AP$8),'Council Entry'!AP126)),IF(AND(ISNUMBER('Council Entry'!AP$8),ISNUMBER('Council Entry'!AP$9)),MAX(MIN('Council Entry'!AP126,'Council Entry'!AP$9),'Council Entry'!AP$8),'Council Entry'!AP126))))-'Council Entry'!AP$5)/('Council Entry'!AP$6-'Council Entry'!AP$5),10*((IF('Council Entry'!AP$4="Logarithm",LN(0.001+IF(AND(ISNUMBER('Council Entry'!AP$8),ISNUMBER('Council Entry'!AP$9)),MAX(MIN('Council Entry'!AP126,'Council Entry'!AP$9),'Council Entry'!AP$8),'Council Entry'!AP126)),IF('Council Entry'!AP$4="Exponential",EXP(IF(AND(ISNUMBER('Council Entry'!AP$8),ISNUMBER('Council Entry'!AP$9)),MAX(MIN('Council Entry'!AP126,'Council Entry'!AP$9),'Council Entry'!AP$8),'Council Entry'!AP126)),IF(AND(ISNUMBER('Council Entry'!AP$8),ISNUMBER('Council Entry'!AP$9)),MAX(MIN('Council Entry'!AP126,'Council Entry'!AP$9),'Council Entry'!AP$8),'Council Entry'!AP126))))-'Council Entry'!AP$5)/('Council Entry'!AP$6-'Council Entry'!AP$5)),1))),"No data"))</f>
        <v/>
      </c>
      <c r="AQ126" s="13">
        <f>IF('Council Entry'!AQ126="","",IFERROR(MAX(0,MIN(10,ROUND(IF('Council Entry'!AQ$7="Decrease Risk",10-10*((IF('Council Entry'!AQ$4="Logarithm",LN(0.001+IF(AND(ISNUMBER('Council Entry'!AQ$8),ISNUMBER('Council Entry'!AQ$9)),MAX(MIN('Council Entry'!AQ126,'Council Entry'!AQ$9),'Council Entry'!AQ$8),'Council Entry'!AQ126)),IF('Council Entry'!AQ$4="Exponential",EXP(IF(AND(ISNUMBER('Council Entry'!AQ$8),ISNUMBER('Council Entry'!AQ$9)),MAX(MIN('Council Entry'!AQ126,'Council Entry'!AQ$9),'Council Entry'!AQ$8),'Council Entry'!AQ126)),IF(AND(ISNUMBER('Council Entry'!AQ$8),ISNUMBER('Council Entry'!AQ$9)),MAX(MIN('Council Entry'!AQ126,'Council Entry'!AQ$9),'Council Entry'!AQ$8),'Council Entry'!AQ126))))-'Council Entry'!AQ$5)/('Council Entry'!AQ$6-'Council Entry'!AQ$5),10*((IF('Council Entry'!AQ$4="Logarithm",LN(0.001+IF(AND(ISNUMBER('Council Entry'!AQ$8),ISNUMBER('Council Entry'!AQ$9)),MAX(MIN('Council Entry'!AQ126,'Council Entry'!AQ$9),'Council Entry'!AQ$8),'Council Entry'!AQ126)),IF('Council Entry'!AQ$4="Exponential",EXP(IF(AND(ISNUMBER('Council Entry'!AQ$8),ISNUMBER('Council Entry'!AQ$9)),MAX(MIN('Council Entry'!AQ126,'Council Entry'!AQ$9),'Council Entry'!AQ$8),'Council Entry'!AQ126)),IF(AND(ISNUMBER('Council Entry'!AQ$8),ISNUMBER('Council Entry'!AQ$9)),MAX(MIN('Council Entry'!AQ126,'Council Entry'!AQ$9),'Council Entry'!AQ$8),'Council Entry'!AQ126))))-'Council Entry'!AQ$5)/('Council Entry'!AQ$6-'Council Entry'!AQ$5)),1))),"No data"))</f>
        <v/>
      </c>
      <c r="AR126" s="13">
        <f>IF('Council Entry'!AR126="","",IFERROR(MAX(0,MIN(10,ROUND(IF('Council Entry'!AR$7="Decrease Risk",10-10*((IF('Council Entry'!AR$4="Logarithm",LN(0.001+IF(AND(ISNUMBER('Council Entry'!AR$8),ISNUMBER('Council Entry'!AR$9)),MAX(MIN('Council Entry'!AR126,'Council Entry'!AR$9),'Council Entry'!AR$8),'Council Entry'!AR126)),IF('Council Entry'!AR$4="Exponential",EXP(IF(AND(ISNUMBER('Council Entry'!AR$8),ISNUMBER('Council Entry'!AR$9)),MAX(MIN('Council Entry'!AR126,'Council Entry'!AR$9),'Council Entry'!AR$8),'Council Entry'!AR126)),IF(AND(ISNUMBER('Council Entry'!AR$8),ISNUMBER('Council Entry'!AR$9)),MAX(MIN('Council Entry'!AR126,'Council Entry'!AR$9),'Council Entry'!AR$8),'Council Entry'!AR126))))-'Council Entry'!AR$5)/('Council Entry'!AR$6-'Council Entry'!AR$5),10*((IF('Council Entry'!AR$4="Logarithm",LN(0.001+IF(AND(ISNUMBER('Council Entry'!AR$8),ISNUMBER('Council Entry'!AR$9)),MAX(MIN('Council Entry'!AR126,'Council Entry'!AR$9),'Council Entry'!AR$8),'Council Entry'!AR126)),IF('Council Entry'!AR$4="Exponential",EXP(IF(AND(ISNUMBER('Council Entry'!AR$8),ISNUMBER('Council Entry'!AR$9)),MAX(MIN('Council Entry'!AR126,'Council Entry'!AR$9),'Council Entry'!AR$8),'Council Entry'!AR126)),IF(AND(ISNUMBER('Council Entry'!AR$8),ISNUMBER('Council Entry'!AR$9)),MAX(MIN('Council Entry'!AR126,'Council Entry'!AR$9),'Council Entry'!AR$8),'Council Entry'!AR126))))-'Council Entry'!AR$5)/('Council Entry'!AR$6-'Council Entry'!AR$5)),1))),"No data"))</f>
        <v/>
      </c>
      <c r="AS126" s="13">
        <f>IF('Council Entry'!AS126="","",IFERROR(MAX(0,MIN(10,ROUND(IF('Council Entry'!AS$7="Decrease Risk",10-10*((IF('Council Entry'!AS$4="Logarithm",LN(0.001+IF(AND(ISNUMBER('Council Entry'!AS$8),ISNUMBER('Council Entry'!AS$9)),MAX(MIN('Council Entry'!AS126,'Council Entry'!AS$9),'Council Entry'!AS$8),'Council Entry'!AS126)),IF('Council Entry'!AS$4="Exponential",EXP(IF(AND(ISNUMBER('Council Entry'!AS$8),ISNUMBER('Council Entry'!AS$9)),MAX(MIN('Council Entry'!AS126,'Council Entry'!AS$9),'Council Entry'!AS$8),'Council Entry'!AS126)),IF(AND(ISNUMBER('Council Entry'!AS$8),ISNUMBER('Council Entry'!AS$9)),MAX(MIN('Council Entry'!AS126,'Council Entry'!AS$9),'Council Entry'!AS$8),'Council Entry'!AS126))))-'Council Entry'!AS$5)/('Council Entry'!AS$6-'Council Entry'!AS$5),10*((IF('Council Entry'!AS$4="Logarithm",LN(0.001+IF(AND(ISNUMBER('Council Entry'!AS$8),ISNUMBER('Council Entry'!AS$9)),MAX(MIN('Council Entry'!AS126,'Council Entry'!AS$9),'Council Entry'!AS$8),'Council Entry'!AS126)),IF('Council Entry'!AS$4="Exponential",EXP(IF(AND(ISNUMBER('Council Entry'!AS$8),ISNUMBER('Council Entry'!AS$9)),MAX(MIN('Council Entry'!AS126,'Council Entry'!AS$9),'Council Entry'!AS$8),'Council Entry'!AS126)),IF(AND(ISNUMBER('Council Entry'!AS$8),ISNUMBER('Council Entry'!AS$9)),MAX(MIN('Council Entry'!AS126,'Council Entry'!AS$9),'Council Entry'!AS$8),'Council Entry'!AS126))))-'Council Entry'!AS$5)/('Council Entry'!AS$6-'Council Entry'!AS$5)),1))),"No data"))</f>
        <v/>
      </c>
      <c r="AT126" s="13">
        <f>IF('Council Entry'!AT126="","",IFERROR(MAX(0,MIN(10,ROUND(IF('Council Entry'!AT$7="Decrease Risk",10-10*((IF('Council Entry'!AT$4="Logarithm",LN(0.001+IF(AND(ISNUMBER('Council Entry'!AT$8),ISNUMBER('Council Entry'!AT$9)),MAX(MIN('Council Entry'!AT126,'Council Entry'!AT$9),'Council Entry'!AT$8),'Council Entry'!AT126)),IF('Council Entry'!AT$4="Exponential",EXP(IF(AND(ISNUMBER('Council Entry'!AT$8),ISNUMBER('Council Entry'!AT$9)),MAX(MIN('Council Entry'!AT126,'Council Entry'!AT$9),'Council Entry'!AT$8),'Council Entry'!AT126)),IF(AND(ISNUMBER('Council Entry'!AT$8),ISNUMBER('Council Entry'!AT$9)),MAX(MIN('Council Entry'!AT126,'Council Entry'!AT$9),'Council Entry'!AT$8),'Council Entry'!AT126))))-'Council Entry'!AT$5)/('Council Entry'!AT$6-'Council Entry'!AT$5),10*((IF('Council Entry'!AT$4="Logarithm",LN(0.001+IF(AND(ISNUMBER('Council Entry'!AT$8),ISNUMBER('Council Entry'!AT$9)),MAX(MIN('Council Entry'!AT126,'Council Entry'!AT$9),'Council Entry'!AT$8),'Council Entry'!AT126)),IF('Council Entry'!AT$4="Exponential",EXP(IF(AND(ISNUMBER('Council Entry'!AT$8),ISNUMBER('Council Entry'!AT$9)),MAX(MIN('Council Entry'!AT126,'Council Entry'!AT$9),'Council Entry'!AT$8),'Council Entry'!AT126)),IF(AND(ISNUMBER('Council Entry'!AT$8),ISNUMBER('Council Entry'!AT$9)),MAX(MIN('Council Entry'!AT126,'Council Entry'!AT$9),'Council Entry'!AT$8),'Council Entry'!AT126))))-'Council Entry'!AT$5)/('Council Entry'!AT$6-'Council Entry'!AT$5)),1))),"No data"))</f>
        <v/>
      </c>
      <c r="AU126" s="13">
        <f>IF('Council Entry'!AU126="","",IFERROR(MAX(0,MIN(10,ROUND(IF('Council Entry'!AU$7="Decrease Risk",10-10*((IF('Council Entry'!AU$4="Logarithm",LN(0.001+IF(AND(ISNUMBER('Council Entry'!AU$8),ISNUMBER('Council Entry'!AU$9)),MAX(MIN('Council Entry'!AU126,'Council Entry'!AU$9),'Council Entry'!AU$8),'Council Entry'!AU126)),IF('Council Entry'!AU$4="Exponential",EXP(IF(AND(ISNUMBER('Council Entry'!AU$8),ISNUMBER('Council Entry'!AU$9)),MAX(MIN('Council Entry'!AU126,'Council Entry'!AU$9),'Council Entry'!AU$8),'Council Entry'!AU126)),IF(AND(ISNUMBER('Council Entry'!AU$8),ISNUMBER('Council Entry'!AU$9)),MAX(MIN('Council Entry'!AU126,'Council Entry'!AU$9),'Council Entry'!AU$8),'Council Entry'!AU126))))-'Council Entry'!AU$5)/('Council Entry'!AU$6-'Council Entry'!AU$5),10*((IF('Council Entry'!AU$4="Logarithm",LN(0.001+IF(AND(ISNUMBER('Council Entry'!AU$8),ISNUMBER('Council Entry'!AU$9)),MAX(MIN('Council Entry'!AU126,'Council Entry'!AU$9),'Council Entry'!AU$8),'Council Entry'!AU126)),IF('Council Entry'!AU$4="Exponential",EXP(IF(AND(ISNUMBER('Council Entry'!AU$8),ISNUMBER('Council Entry'!AU$9)),MAX(MIN('Council Entry'!AU126,'Council Entry'!AU$9),'Council Entry'!AU$8),'Council Entry'!AU126)),IF(AND(ISNUMBER('Council Entry'!AU$8),ISNUMBER('Council Entry'!AU$9)),MAX(MIN('Council Entry'!AU126,'Council Entry'!AU$9),'Council Entry'!AU$8),'Council Entry'!AU126))))-'Council Entry'!AU$5)/('Council Entry'!AU$6-'Council Entry'!AU$5)),1))),"No data"))</f>
        <v/>
      </c>
      <c r="AV126" s="13">
        <f>IF('Council Entry'!AV126="","",IFERROR(MAX(0,MIN(10,ROUND(IF('Council Entry'!AV$7="Decrease Risk",10-10*((IF('Council Entry'!AV$4="Logarithm",LN(0.001+IF(AND(ISNUMBER('Council Entry'!AV$8),ISNUMBER('Council Entry'!AV$9)),MAX(MIN('Council Entry'!AV126,'Council Entry'!AV$9),'Council Entry'!AV$8),'Council Entry'!AV126)),IF('Council Entry'!AV$4="Exponential",EXP(IF(AND(ISNUMBER('Council Entry'!AV$8),ISNUMBER('Council Entry'!AV$9)),MAX(MIN('Council Entry'!AV126,'Council Entry'!AV$9),'Council Entry'!AV$8),'Council Entry'!AV126)),IF(AND(ISNUMBER('Council Entry'!AV$8),ISNUMBER('Council Entry'!AV$9)),MAX(MIN('Council Entry'!AV126,'Council Entry'!AV$9),'Council Entry'!AV$8),'Council Entry'!AV126))))-'Council Entry'!AV$5)/('Council Entry'!AV$6-'Council Entry'!AV$5),10*((IF('Council Entry'!AV$4="Logarithm",LN(0.001+IF(AND(ISNUMBER('Council Entry'!AV$8),ISNUMBER('Council Entry'!AV$9)),MAX(MIN('Council Entry'!AV126,'Council Entry'!AV$9),'Council Entry'!AV$8),'Council Entry'!AV126)),IF('Council Entry'!AV$4="Exponential",EXP(IF(AND(ISNUMBER('Council Entry'!AV$8),ISNUMBER('Council Entry'!AV$9)),MAX(MIN('Council Entry'!AV126,'Council Entry'!AV$9),'Council Entry'!AV$8),'Council Entry'!AV126)),IF(AND(ISNUMBER('Council Entry'!AV$8),ISNUMBER('Council Entry'!AV$9)),MAX(MIN('Council Entry'!AV126,'Council Entry'!AV$9),'Council Entry'!AV$8),'Council Entry'!AV126))))-'Council Entry'!AV$5)/('Council Entry'!AV$6-'Council Entry'!AV$5)),1))),"No data"))</f>
        <v/>
      </c>
      <c r="AW126" s="13">
        <f>IF('Council Entry'!AW126="","",IFERROR(MAX(0,MIN(10,ROUND(IF('Council Entry'!AW$7="Decrease Risk",10-10*((IF('Council Entry'!AW$4="Logarithm",LN(0.001+IF(AND(ISNUMBER('Council Entry'!AW$8),ISNUMBER('Council Entry'!AW$9)),MAX(MIN('Council Entry'!AW126,'Council Entry'!AW$9),'Council Entry'!AW$8),'Council Entry'!AW126)),IF('Council Entry'!AW$4="Exponential",EXP(IF(AND(ISNUMBER('Council Entry'!AW$8),ISNUMBER('Council Entry'!AW$9)),MAX(MIN('Council Entry'!AW126,'Council Entry'!AW$9),'Council Entry'!AW$8),'Council Entry'!AW126)),IF(AND(ISNUMBER('Council Entry'!AW$8),ISNUMBER('Council Entry'!AW$9)),MAX(MIN('Council Entry'!AW126,'Council Entry'!AW$9),'Council Entry'!AW$8),'Council Entry'!AW126))))-'Council Entry'!AW$5)/('Council Entry'!AW$6-'Council Entry'!AW$5),10*((IF('Council Entry'!AW$4="Logarithm",LN(0.001+IF(AND(ISNUMBER('Council Entry'!AW$8),ISNUMBER('Council Entry'!AW$9)),MAX(MIN('Council Entry'!AW126,'Council Entry'!AW$9),'Council Entry'!AW$8),'Council Entry'!AW126)),IF('Council Entry'!AW$4="Exponential",EXP(IF(AND(ISNUMBER('Council Entry'!AW$8),ISNUMBER('Council Entry'!AW$9)),MAX(MIN('Council Entry'!AW126,'Council Entry'!AW$9),'Council Entry'!AW$8),'Council Entry'!AW126)),IF(AND(ISNUMBER('Council Entry'!AW$8),ISNUMBER('Council Entry'!AW$9)),MAX(MIN('Council Entry'!AW126,'Council Entry'!AW$9),'Council Entry'!AW$8),'Council Entry'!AW126))))-'Council Entry'!AW$5)/('Council Entry'!AW$6-'Council Entry'!AW$5)),1))),"No data"))</f>
        <v/>
      </c>
      <c r="AX126" s="13">
        <f>IF('Council Entry'!AX126="","",IFERROR(MAX(0,MIN(10,ROUND(IF('Council Entry'!AX$7="Decrease Risk",10-10*((IF('Council Entry'!AX$4="Logarithm",LN(0.001+IF(AND(ISNUMBER('Council Entry'!AX$8),ISNUMBER('Council Entry'!AX$9)),MAX(MIN('Council Entry'!AX126,'Council Entry'!AX$9),'Council Entry'!AX$8),'Council Entry'!AX126)),IF('Council Entry'!AX$4="Exponential",EXP(IF(AND(ISNUMBER('Council Entry'!AX$8),ISNUMBER('Council Entry'!AX$9)),MAX(MIN('Council Entry'!AX126,'Council Entry'!AX$9),'Council Entry'!AX$8),'Council Entry'!AX126)),IF(AND(ISNUMBER('Council Entry'!AX$8),ISNUMBER('Council Entry'!AX$9)),MAX(MIN('Council Entry'!AX126,'Council Entry'!AX$9),'Council Entry'!AX$8),'Council Entry'!AX126))))-'Council Entry'!AX$5)/('Council Entry'!AX$6-'Council Entry'!AX$5),10*((IF('Council Entry'!AX$4="Logarithm",LN(0.001+IF(AND(ISNUMBER('Council Entry'!AX$8),ISNUMBER('Council Entry'!AX$9)),MAX(MIN('Council Entry'!AX126,'Council Entry'!AX$9),'Council Entry'!AX$8),'Council Entry'!AX126)),IF('Council Entry'!AX$4="Exponential",EXP(IF(AND(ISNUMBER('Council Entry'!AX$8),ISNUMBER('Council Entry'!AX$9)),MAX(MIN('Council Entry'!AX126,'Council Entry'!AX$9),'Council Entry'!AX$8),'Council Entry'!AX126)),IF(AND(ISNUMBER('Council Entry'!AX$8),ISNUMBER('Council Entry'!AX$9)),MAX(MIN('Council Entry'!AX126,'Council Entry'!AX$9),'Council Entry'!AX$8),'Council Entry'!AX126))))-'Council Entry'!AX$5)/('Council Entry'!AX$6-'Council Entry'!AX$5)),1))),"No data"))</f>
        <v/>
      </c>
      <c r="AY126" s="13">
        <f>IF('Council Entry'!AY126="","",IFERROR(MAX(0,MIN(10,ROUND(IF('Council Entry'!AY$7="Decrease Risk",10-10*((IF('Council Entry'!AY$4="Logarithm",LN(0.001+IF(AND(ISNUMBER('Council Entry'!AY$8),ISNUMBER('Council Entry'!AY$9)),MAX(MIN('Council Entry'!AY126,'Council Entry'!AY$9),'Council Entry'!AY$8),'Council Entry'!AY126)),IF('Council Entry'!AY$4="Exponential",EXP(IF(AND(ISNUMBER('Council Entry'!AY$8),ISNUMBER('Council Entry'!AY$9)),MAX(MIN('Council Entry'!AY126,'Council Entry'!AY$9),'Council Entry'!AY$8),'Council Entry'!AY126)),IF(AND(ISNUMBER('Council Entry'!AY$8),ISNUMBER('Council Entry'!AY$9)),MAX(MIN('Council Entry'!AY126,'Council Entry'!AY$9),'Council Entry'!AY$8),'Council Entry'!AY126))))-'Council Entry'!AY$5)/('Council Entry'!AY$6-'Council Entry'!AY$5),10*((IF('Council Entry'!AY$4="Logarithm",LN(0.001+IF(AND(ISNUMBER('Council Entry'!AY$8),ISNUMBER('Council Entry'!AY$9)),MAX(MIN('Council Entry'!AY126,'Council Entry'!AY$9),'Council Entry'!AY$8),'Council Entry'!AY126)),IF('Council Entry'!AY$4="Exponential",EXP(IF(AND(ISNUMBER('Council Entry'!AY$8),ISNUMBER('Council Entry'!AY$9)),MAX(MIN('Council Entry'!AY126,'Council Entry'!AY$9),'Council Entry'!AY$8),'Council Entry'!AY126)),IF(AND(ISNUMBER('Council Entry'!AY$8),ISNUMBER('Council Entry'!AY$9)),MAX(MIN('Council Entry'!AY126,'Council Entry'!AY$9),'Council Entry'!AY$8),'Council Entry'!AY126))))-'Council Entry'!AY$5)/('Council Entry'!AY$6-'Council Entry'!AY$5)),1))),"No data"))</f>
        <v/>
      </c>
      <c r="AZ126" s="13">
        <f>IF('Council Entry'!AZ126="","",IFERROR(MAX(0,MIN(10,ROUND(IF('Council Entry'!AZ$7="Decrease Risk",10-10*((IF('Council Entry'!AZ$4="Logarithm",LN(0.001+IF(AND(ISNUMBER('Council Entry'!AZ$8),ISNUMBER('Council Entry'!AZ$9)),MAX(MIN('Council Entry'!AZ126,'Council Entry'!AZ$9),'Council Entry'!AZ$8),'Council Entry'!AZ126)),IF('Council Entry'!AZ$4="Exponential",EXP(IF(AND(ISNUMBER('Council Entry'!AZ$8),ISNUMBER('Council Entry'!AZ$9)),MAX(MIN('Council Entry'!AZ126,'Council Entry'!AZ$9),'Council Entry'!AZ$8),'Council Entry'!AZ126)),IF(AND(ISNUMBER('Council Entry'!AZ$8),ISNUMBER('Council Entry'!AZ$9)),MAX(MIN('Council Entry'!AZ126,'Council Entry'!AZ$9),'Council Entry'!AZ$8),'Council Entry'!AZ126))))-'Council Entry'!AZ$5)/('Council Entry'!AZ$6-'Council Entry'!AZ$5),10*((IF('Council Entry'!AZ$4="Logarithm",LN(0.001+IF(AND(ISNUMBER('Council Entry'!AZ$8),ISNUMBER('Council Entry'!AZ$9)),MAX(MIN('Council Entry'!AZ126,'Council Entry'!AZ$9),'Council Entry'!AZ$8),'Council Entry'!AZ126)),IF('Council Entry'!AZ$4="Exponential",EXP(IF(AND(ISNUMBER('Council Entry'!AZ$8),ISNUMBER('Council Entry'!AZ$9)),MAX(MIN('Council Entry'!AZ126,'Council Entry'!AZ$9),'Council Entry'!AZ$8),'Council Entry'!AZ126)),IF(AND(ISNUMBER('Council Entry'!AZ$8),ISNUMBER('Council Entry'!AZ$9)),MAX(MIN('Council Entry'!AZ126,'Council Entry'!AZ$9),'Council Entry'!AZ$8),'Council Entry'!AZ126))))-'Council Entry'!AZ$5)/('Council Entry'!AZ$6-'Council Entry'!AZ$5)),1))),"No data"))</f>
        <v/>
      </c>
      <c r="BA126" s="13">
        <f>IF('Council Entry'!BA126="","",IFERROR(MAX(0,MIN(10,ROUND(IF('Council Entry'!BA$7="Decrease Risk",10-10*((IF('Council Entry'!BA$4="Logarithm",LN(0.001+IF(AND(ISNUMBER('Council Entry'!BA$8),ISNUMBER('Council Entry'!BA$9)),MAX(MIN('Council Entry'!BA126,'Council Entry'!BA$9),'Council Entry'!BA$8),'Council Entry'!BA126)),IF('Council Entry'!BA$4="Exponential",EXP(IF(AND(ISNUMBER('Council Entry'!BA$8),ISNUMBER('Council Entry'!BA$9)),MAX(MIN('Council Entry'!BA126,'Council Entry'!BA$9),'Council Entry'!BA$8),'Council Entry'!BA126)),IF(AND(ISNUMBER('Council Entry'!BA$8),ISNUMBER('Council Entry'!BA$9)),MAX(MIN('Council Entry'!BA126,'Council Entry'!BA$9),'Council Entry'!BA$8),'Council Entry'!BA126))))-'Council Entry'!BA$5)/('Council Entry'!BA$6-'Council Entry'!BA$5),10*((IF('Council Entry'!BA$4="Logarithm",LN(0.001+IF(AND(ISNUMBER('Council Entry'!BA$8),ISNUMBER('Council Entry'!BA$9)),MAX(MIN('Council Entry'!BA126,'Council Entry'!BA$9),'Council Entry'!BA$8),'Council Entry'!BA126)),IF('Council Entry'!BA$4="Exponential",EXP(IF(AND(ISNUMBER('Council Entry'!BA$8),ISNUMBER('Council Entry'!BA$9)),MAX(MIN('Council Entry'!BA126,'Council Entry'!BA$9),'Council Entry'!BA$8),'Council Entry'!BA126)),IF(AND(ISNUMBER('Council Entry'!BA$8),ISNUMBER('Council Entry'!BA$9)),MAX(MIN('Council Entry'!BA126,'Council Entry'!BA$9),'Council Entry'!BA$8),'Council Entry'!BA126))))-'Council Entry'!BA$5)/('Council Entry'!BA$6-'Council Entry'!BA$5)),1))),"No data"))</f>
        <v/>
      </c>
      <c r="BB126" s="13">
        <f>IF('Council Entry'!BB126="","",IFERROR(MAX(0,MIN(10,ROUND(IF('Council Entry'!BB$7="Decrease Risk",10-10*((IF('Council Entry'!BB$4="Logarithm",LN(0.001+IF(AND(ISNUMBER('Council Entry'!BB$8),ISNUMBER('Council Entry'!BB$9)),MAX(MIN('Council Entry'!BB126,'Council Entry'!BB$9),'Council Entry'!BB$8),'Council Entry'!BB126)),IF('Council Entry'!BB$4="Exponential",EXP(IF(AND(ISNUMBER('Council Entry'!BB$8),ISNUMBER('Council Entry'!BB$9)),MAX(MIN('Council Entry'!BB126,'Council Entry'!BB$9),'Council Entry'!BB$8),'Council Entry'!BB126)),IF(AND(ISNUMBER('Council Entry'!BB$8),ISNUMBER('Council Entry'!BB$9)),MAX(MIN('Council Entry'!BB126,'Council Entry'!BB$9),'Council Entry'!BB$8),'Council Entry'!BB126))))-'Council Entry'!BB$5)/('Council Entry'!BB$6-'Council Entry'!BB$5),10*((IF('Council Entry'!BB$4="Logarithm",LN(0.001+IF(AND(ISNUMBER('Council Entry'!BB$8),ISNUMBER('Council Entry'!BB$9)),MAX(MIN('Council Entry'!BB126,'Council Entry'!BB$9),'Council Entry'!BB$8),'Council Entry'!BB126)),IF('Council Entry'!BB$4="Exponential",EXP(IF(AND(ISNUMBER('Council Entry'!BB$8),ISNUMBER('Council Entry'!BB$9)),MAX(MIN('Council Entry'!BB126,'Council Entry'!BB$9),'Council Entry'!BB$8),'Council Entry'!BB126)),IF(AND(ISNUMBER('Council Entry'!BB$8),ISNUMBER('Council Entry'!BB$9)),MAX(MIN('Council Entry'!BB126,'Council Entry'!BB$9),'Council Entry'!BB$8),'Council Entry'!BB126))))-'Council Entry'!BB$5)/('Council Entry'!BB$6-'Council Entry'!BB$5)),1))),"No data"))</f>
        <v/>
      </c>
      <c r="BC126" s="13">
        <f>IF('Council Entry'!BC126="","",IFERROR(MAX(0,MIN(10,ROUND(IF('Council Entry'!BC$7="Decrease Risk",10-10*((IF('Council Entry'!BC$4="Logarithm",LN(0.001+IF(AND(ISNUMBER('Council Entry'!BC$8),ISNUMBER('Council Entry'!BC$9)),MAX(MIN('Council Entry'!BC126,'Council Entry'!BC$9),'Council Entry'!BC$8),'Council Entry'!BC126)),IF('Council Entry'!BC$4="Exponential",EXP(IF(AND(ISNUMBER('Council Entry'!BC$8),ISNUMBER('Council Entry'!BC$9)),MAX(MIN('Council Entry'!BC126,'Council Entry'!BC$9),'Council Entry'!BC$8),'Council Entry'!BC126)),IF(AND(ISNUMBER('Council Entry'!BC$8),ISNUMBER('Council Entry'!BC$9)),MAX(MIN('Council Entry'!BC126,'Council Entry'!BC$9),'Council Entry'!BC$8),'Council Entry'!BC126))))-'Council Entry'!BC$5)/('Council Entry'!BC$6-'Council Entry'!BC$5),10*((IF('Council Entry'!BC$4="Logarithm",LN(0.001+IF(AND(ISNUMBER('Council Entry'!BC$8),ISNUMBER('Council Entry'!BC$9)),MAX(MIN('Council Entry'!BC126,'Council Entry'!BC$9),'Council Entry'!BC$8),'Council Entry'!BC126)),IF('Council Entry'!BC$4="Exponential",EXP(IF(AND(ISNUMBER('Council Entry'!BC$8),ISNUMBER('Council Entry'!BC$9)),MAX(MIN('Council Entry'!BC126,'Council Entry'!BC$9),'Council Entry'!BC$8),'Council Entry'!BC126)),IF(AND(ISNUMBER('Council Entry'!BC$8),ISNUMBER('Council Entry'!BC$9)),MAX(MIN('Council Entry'!BC126,'Council Entry'!BC$9),'Council Entry'!BC$8),'Council Entry'!BC126))))-'Council Entry'!BC$5)/('Council Entry'!BC$6-'Council Entry'!BC$5)),1))),"No data"))</f>
        <v/>
      </c>
      <c r="BD126" s="13">
        <f>IF('Council Entry'!BD126="","",IFERROR(MAX(0,MIN(10,ROUND(IF('Council Entry'!BD$7="Decrease Risk",10-10*((IF('Council Entry'!BD$4="Logarithm",LN(0.001+IF(AND(ISNUMBER('Council Entry'!BD$8),ISNUMBER('Council Entry'!BD$9)),MAX(MIN('Council Entry'!BD126,'Council Entry'!BD$9),'Council Entry'!BD$8),'Council Entry'!BD126)),IF('Council Entry'!BD$4="Exponential",EXP(IF(AND(ISNUMBER('Council Entry'!BD$8),ISNUMBER('Council Entry'!BD$9)),MAX(MIN('Council Entry'!BD126,'Council Entry'!BD$9),'Council Entry'!BD$8),'Council Entry'!BD126)),IF(AND(ISNUMBER('Council Entry'!BD$8),ISNUMBER('Council Entry'!BD$9)),MAX(MIN('Council Entry'!BD126,'Council Entry'!BD$9),'Council Entry'!BD$8),'Council Entry'!BD126))))-'Council Entry'!BD$5)/('Council Entry'!BD$6-'Council Entry'!BD$5),10*((IF('Council Entry'!BD$4="Logarithm",LN(0.001+IF(AND(ISNUMBER('Council Entry'!BD$8),ISNUMBER('Council Entry'!BD$9)),MAX(MIN('Council Entry'!BD126,'Council Entry'!BD$9),'Council Entry'!BD$8),'Council Entry'!BD126)),IF('Council Entry'!BD$4="Exponential",EXP(IF(AND(ISNUMBER('Council Entry'!BD$8),ISNUMBER('Council Entry'!BD$9)),MAX(MIN('Council Entry'!BD126,'Council Entry'!BD$9),'Council Entry'!BD$8),'Council Entry'!BD126)),IF(AND(ISNUMBER('Council Entry'!BD$8),ISNUMBER('Council Entry'!BD$9)),MAX(MIN('Council Entry'!BD126,'Council Entry'!BD$9),'Council Entry'!BD$8),'Council Entry'!BD126))))-'Council Entry'!BD$5)/('Council Entry'!BD$6-'Council Entry'!BD$5)),1))),"No data"))</f>
        <v/>
      </c>
    </row>
    <row r="127">
      <c r="A127" t="inlineStr">
        <is>
          <t>Mtwara</t>
        </is>
      </c>
      <c r="B127" t="inlineStr">
        <is>
          <t>Tandahimba District</t>
        </is>
      </c>
      <c r="C127" t="inlineStr">
        <is>
          <t>C070</t>
        </is>
      </c>
      <c r="D127" s="13">
        <f>IF('Council Entry'!D127="","",IFERROR(MAX(0,MIN(10,ROUND(IF('Council Entry'!D$7="Decrease Risk",10-10*((IF('Council Entry'!D$4="Logarithm",LN(0.001+IF(AND(ISNUMBER('Council Entry'!D$8),ISNUMBER('Council Entry'!D$9)),MAX(MIN('Council Entry'!D127,'Council Entry'!D$9),'Council Entry'!D$8),'Council Entry'!D127)),IF('Council Entry'!D$4="Exponential",EXP(IF(AND(ISNUMBER('Council Entry'!D$8),ISNUMBER('Council Entry'!D$9)),MAX(MIN('Council Entry'!D127,'Council Entry'!D$9),'Council Entry'!D$8),'Council Entry'!D127)),IF(AND(ISNUMBER('Council Entry'!D$8),ISNUMBER('Council Entry'!D$9)),MAX(MIN('Council Entry'!D127,'Council Entry'!D$9),'Council Entry'!D$8),'Council Entry'!D127))))-'Council Entry'!D$5)/('Council Entry'!D$6-'Council Entry'!D$5),10*((IF('Council Entry'!D$4="Logarithm",LN(0.001+IF(AND(ISNUMBER('Council Entry'!D$8),ISNUMBER('Council Entry'!D$9)),MAX(MIN('Council Entry'!D127,'Council Entry'!D$9),'Council Entry'!D$8),'Council Entry'!D127)),IF('Council Entry'!D$4="Exponential",EXP(IF(AND(ISNUMBER('Council Entry'!D$8),ISNUMBER('Council Entry'!D$9)),MAX(MIN('Council Entry'!D127,'Council Entry'!D$9),'Council Entry'!D$8),'Council Entry'!D127)),IF(AND(ISNUMBER('Council Entry'!D$8),ISNUMBER('Council Entry'!D$9)),MAX(MIN('Council Entry'!D127,'Council Entry'!D$9),'Council Entry'!D$8),'Council Entry'!D127))))-'Council Entry'!D$5)/('Council Entry'!D$6-'Council Entry'!D$5)),1))),"No data"))</f>
        <v/>
      </c>
      <c r="E127" s="13">
        <f>IF('Council Entry'!E127="","",IFERROR(MAX(0,MIN(10,ROUND(IF('Council Entry'!E$7="Decrease Risk",10-10*((IF('Council Entry'!E$4="Logarithm",LN(0.001+IF(AND(ISNUMBER('Council Entry'!E$8),ISNUMBER('Council Entry'!E$9)),MAX(MIN('Council Entry'!E127,'Council Entry'!E$9),'Council Entry'!E$8),'Council Entry'!E127)),IF('Council Entry'!E$4="Exponential",EXP(IF(AND(ISNUMBER('Council Entry'!E$8),ISNUMBER('Council Entry'!E$9)),MAX(MIN('Council Entry'!E127,'Council Entry'!E$9),'Council Entry'!E$8),'Council Entry'!E127)),IF(AND(ISNUMBER('Council Entry'!E$8),ISNUMBER('Council Entry'!E$9)),MAX(MIN('Council Entry'!E127,'Council Entry'!E$9),'Council Entry'!E$8),'Council Entry'!E127))))-'Council Entry'!E$5)/('Council Entry'!E$6-'Council Entry'!E$5),10*((IF('Council Entry'!E$4="Logarithm",LN(0.001+IF(AND(ISNUMBER('Council Entry'!E$8),ISNUMBER('Council Entry'!E$9)),MAX(MIN('Council Entry'!E127,'Council Entry'!E$9),'Council Entry'!E$8),'Council Entry'!E127)),IF('Council Entry'!E$4="Exponential",EXP(IF(AND(ISNUMBER('Council Entry'!E$8),ISNUMBER('Council Entry'!E$9)),MAX(MIN('Council Entry'!E127,'Council Entry'!E$9),'Council Entry'!E$8),'Council Entry'!E127)),IF(AND(ISNUMBER('Council Entry'!E$8),ISNUMBER('Council Entry'!E$9)),MAX(MIN('Council Entry'!E127,'Council Entry'!E$9),'Council Entry'!E$8),'Council Entry'!E127))))-'Council Entry'!E$5)/('Council Entry'!E$6-'Council Entry'!E$5)),1))),"No data"))</f>
        <v/>
      </c>
      <c r="F127" s="13">
        <f>IF('Council Entry'!F127="","",IFERROR(MAX(0,MIN(10,ROUND(IF('Council Entry'!F$7="Decrease Risk",10-10*((IF('Council Entry'!F$4="Logarithm",LN(0.001+IF(AND(ISNUMBER('Council Entry'!F$8),ISNUMBER('Council Entry'!F$9)),MAX(MIN('Council Entry'!F127,'Council Entry'!F$9),'Council Entry'!F$8),'Council Entry'!F127)),IF('Council Entry'!F$4="Exponential",EXP(IF(AND(ISNUMBER('Council Entry'!F$8),ISNUMBER('Council Entry'!F$9)),MAX(MIN('Council Entry'!F127,'Council Entry'!F$9),'Council Entry'!F$8),'Council Entry'!F127)),IF(AND(ISNUMBER('Council Entry'!F$8),ISNUMBER('Council Entry'!F$9)),MAX(MIN('Council Entry'!F127,'Council Entry'!F$9),'Council Entry'!F$8),'Council Entry'!F127))))-'Council Entry'!F$5)/('Council Entry'!F$6-'Council Entry'!F$5),10*((IF('Council Entry'!F$4="Logarithm",LN(0.001+IF(AND(ISNUMBER('Council Entry'!F$8),ISNUMBER('Council Entry'!F$9)),MAX(MIN('Council Entry'!F127,'Council Entry'!F$9),'Council Entry'!F$8),'Council Entry'!F127)),IF('Council Entry'!F$4="Exponential",EXP(IF(AND(ISNUMBER('Council Entry'!F$8),ISNUMBER('Council Entry'!F$9)),MAX(MIN('Council Entry'!F127,'Council Entry'!F$9),'Council Entry'!F$8),'Council Entry'!F127)),IF(AND(ISNUMBER('Council Entry'!F$8),ISNUMBER('Council Entry'!F$9)),MAX(MIN('Council Entry'!F127,'Council Entry'!F$9),'Council Entry'!F$8),'Council Entry'!F127))))-'Council Entry'!F$5)/('Council Entry'!F$6-'Council Entry'!F$5)),1))),"No data"))</f>
        <v/>
      </c>
      <c r="G127" s="13">
        <f>IF('Council Entry'!G127="","",IFERROR(MAX(0,MIN(10,ROUND(IF('Council Entry'!G$7="Decrease Risk",10-10*((IF('Council Entry'!G$4="Logarithm",LN(0.001+IF(AND(ISNUMBER('Council Entry'!G$8),ISNUMBER('Council Entry'!G$9)),MAX(MIN('Council Entry'!G127,'Council Entry'!G$9),'Council Entry'!G$8),'Council Entry'!G127)),IF('Council Entry'!G$4="Exponential",EXP(IF(AND(ISNUMBER('Council Entry'!G$8),ISNUMBER('Council Entry'!G$9)),MAX(MIN('Council Entry'!G127,'Council Entry'!G$9),'Council Entry'!G$8),'Council Entry'!G127)),IF(AND(ISNUMBER('Council Entry'!G$8),ISNUMBER('Council Entry'!G$9)),MAX(MIN('Council Entry'!G127,'Council Entry'!G$9),'Council Entry'!G$8),'Council Entry'!G127))))-'Council Entry'!G$5)/('Council Entry'!G$6-'Council Entry'!G$5),10*((IF('Council Entry'!G$4="Logarithm",LN(0.001+IF(AND(ISNUMBER('Council Entry'!G$8),ISNUMBER('Council Entry'!G$9)),MAX(MIN('Council Entry'!G127,'Council Entry'!G$9),'Council Entry'!G$8),'Council Entry'!G127)),IF('Council Entry'!G$4="Exponential",EXP(IF(AND(ISNUMBER('Council Entry'!G$8),ISNUMBER('Council Entry'!G$9)),MAX(MIN('Council Entry'!G127,'Council Entry'!G$9),'Council Entry'!G$8),'Council Entry'!G127)),IF(AND(ISNUMBER('Council Entry'!G$8),ISNUMBER('Council Entry'!G$9)),MAX(MIN('Council Entry'!G127,'Council Entry'!G$9),'Council Entry'!G$8),'Council Entry'!G127))))-'Council Entry'!G$5)/('Council Entry'!G$6-'Council Entry'!G$5)),1))),"No data"))</f>
        <v/>
      </c>
      <c r="H127" s="13">
        <f>IF('Council Entry'!H127="","",IFERROR(MAX(0,MIN(10,ROUND(IF('Council Entry'!H$7="Decrease Risk",10-10*((IF('Council Entry'!H$4="Logarithm",LN(0.001+IF(AND(ISNUMBER('Council Entry'!H$8),ISNUMBER('Council Entry'!H$9)),MAX(MIN('Council Entry'!H127,'Council Entry'!H$9),'Council Entry'!H$8),'Council Entry'!H127)),IF('Council Entry'!H$4="Exponential",EXP(IF(AND(ISNUMBER('Council Entry'!H$8),ISNUMBER('Council Entry'!H$9)),MAX(MIN('Council Entry'!H127,'Council Entry'!H$9),'Council Entry'!H$8),'Council Entry'!H127)),IF(AND(ISNUMBER('Council Entry'!H$8),ISNUMBER('Council Entry'!H$9)),MAX(MIN('Council Entry'!H127,'Council Entry'!H$9),'Council Entry'!H$8),'Council Entry'!H127))))-'Council Entry'!H$5)/('Council Entry'!H$6-'Council Entry'!H$5),10*((IF('Council Entry'!H$4="Logarithm",LN(0.001+IF(AND(ISNUMBER('Council Entry'!H$8),ISNUMBER('Council Entry'!H$9)),MAX(MIN('Council Entry'!H127,'Council Entry'!H$9),'Council Entry'!H$8),'Council Entry'!H127)),IF('Council Entry'!H$4="Exponential",EXP(IF(AND(ISNUMBER('Council Entry'!H$8),ISNUMBER('Council Entry'!H$9)),MAX(MIN('Council Entry'!H127,'Council Entry'!H$9),'Council Entry'!H$8),'Council Entry'!H127)),IF(AND(ISNUMBER('Council Entry'!H$8),ISNUMBER('Council Entry'!H$9)),MAX(MIN('Council Entry'!H127,'Council Entry'!H$9),'Council Entry'!H$8),'Council Entry'!H127))))-'Council Entry'!H$5)/('Council Entry'!H$6-'Council Entry'!H$5)),1))),"No data"))</f>
        <v/>
      </c>
      <c r="I127" s="13">
        <f>IF('Council Entry'!I127="","",IFERROR(MAX(0,MIN(10,ROUND(IF('Council Entry'!I$7="Decrease Risk",10-10*((IF('Council Entry'!I$4="Logarithm",LN(0.001+IF(AND(ISNUMBER('Council Entry'!I$8),ISNUMBER('Council Entry'!I$9)),MAX(MIN('Council Entry'!I127,'Council Entry'!I$9),'Council Entry'!I$8),'Council Entry'!I127)),IF('Council Entry'!I$4="Exponential",EXP(IF(AND(ISNUMBER('Council Entry'!I$8),ISNUMBER('Council Entry'!I$9)),MAX(MIN('Council Entry'!I127,'Council Entry'!I$9),'Council Entry'!I$8),'Council Entry'!I127)),IF(AND(ISNUMBER('Council Entry'!I$8),ISNUMBER('Council Entry'!I$9)),MAX(MIN('Council Entry'!I127,'Council Entry'!I$9),'Council Entry'!I$8),'Council Entry'!I127))))-'Council Entry'!I$5)/('Council Entry'!I$6-'Council Entry'!I$5),10*((IF('Council Entry'!I$4="Logarithm",LN(0.001+IF(AND(ISNUMBER('Council Entry'!I$8),ISNUMBER('Council Entry'!I$9)),MAX(MIN('Council Entry'!I127,'Council Entry'!I$9),'Council Entry'!I$8),'Council Entry'!I127)),IF('Council Entry'!I$4="Exponential",EXP(IF(AND(ISNUMBER('Council Entry'!I$8),ISNUMBER('Council Entry'!I$9)),MAX(MIN('Council Entry'!I127,'Council Entry'!I$9),'Council Entry'!I$8),'Council Entry'!I127)),IF(AND(ISNUMBER('Council Entry'!I$8),ISNUMBER('Council Entry'!I$9)),MAX(MIN('Council Entry'!I127,'Council Entry'!I$9),'Council Entry'!I$8),'Council Entry'!I127))))-'Council Entry'!I$5)/('Council Entry'!I$6-'Council Entry'!I$5)),1))),"No data"))</f>
        <v/>
      </c>
      <c r="J127" s="13">
        <f>IF('Council Entry'!J127="","",IFERROR(MAX(0,MIN(10,ROUND(IF('Council Entry'!J$7="Decrease Risk",10-10*((IF('Council Entry'!J$4="Logarithm",LN(0.001+IF(AND(ISNUMBER('Council Entry'!J$8),ISNUMBER('Council Entry'!J$9)),MAX(MIN('Council Entry'!J127,'Council Entry'!J$9),'Council Entry'!J$8),'Council Entry'!J127)),IF('Council Entry'!J$4="Exponential",EXP(IF(AND(ISNUMBER('Council Entry'!J$8),ISNUMBER('Council Entry'!J$9)),MAX(MIN('Council Entry'!J127,'Council Entry'!J$9),'Council Entry'!J$8),'Council Entry'!J127)),IF(AND(ISNUMBER('Council Entry'!J$8),ISNUMBER('Council Entry'!J$9)),MAX(MIN('Council Entry'!J127,'Council Entry'!J$9),'Council Entry'!J$8),'Council Entry'!J127))))-'Council Entry'!J$5)/('Council Entry'!J$6-'Council Entry'!J$5),10*((IF('Council Entry'!J$4="Logarithm",LN(0.001+IF(AND(ISNUMBER('Council Entry'!J$8),ISNUMBER('Council Entry'!J$9)),MAX(MIN('Council Entry'!J127,'Council Entry'!J$9),'Council Entry'!J$8),'Council Entry'!J127)),IF('Council Entry'!J$4="Exponential",EXP(IF(AND(ISNUMBER('Council Entry'!J$8),ISNUMBER('Council Entry'!J$9)),MAX(MIN('Council Entry'!J127,'Council Entry'!J$9),'Council Entry'!J$8),'Council Entry'!J127)),IF(AND(ISNUMBER('Council Entry'!J$8),ISNUMBER('Council Entry'!J$9)),MAX(MIN('Council Entry'!J127,'Council Entry'!J$9),'Council Entry'!J$8),'Council Entry'!J127))))-'Council Entry'!J$5)/('Council Entry'!J$6-'Council Entry'!J$5)),1))),"No data"))</f>
        <v/>
      </c>
      <c r="K127" s="13">
        <f>IF('Council Entry'!K127="","",IFERROR(MAX(0,MIN(10,ROUND(IF('Council Entry'!K$7="Decrease Risk",10-10*((IF('Council Entry'!K$4="Logarithm",LN(0.001+IF(AND(ISNUMBER('Council Entry'!K$8),ISNUMBER('Council Entry'!K$9)),MAX(MIN('Council Entry'!K127,'Council Entry'!K$9),'Council Entry'!K$8),'Council Entry'!K127)),IF('Council Entry'!K$4="Exponential",EXP(IF(AND(ISNUMBER('Council Entry'!K$8),ISNUMBER('Council Entry'!K$9)),MAX(MIN('Council Entry'!K127,'Council Entry'!K$9),'Council Entry'!K$8),'Council Entry'!K127)),IF(AND(ISNUMBER('Council Entry'!K$8),ISNUMBER('Council Entry'!K$9)),MAX(MIN('Council Entry'!K127,'Council Entry'!K$9),'Council Entry'!K$8),'Council Entry'!K127))))-'Council Entry'!K$5)/('Council Entry'!K$6-'Council Entry'!K$5),10*((IF('Council Entry'!K$4="Logarithm",LN(0.001+IF(AND(ISNUMBER('Council Entry'!K$8),ISNUMBER('Council Entry'!K$9)),MAX(MIN('Council Entry'!K127,'Council Entry'!K$9),'Council Entry'!K$8),'Council Entry'!K127)),IF('Council Entry'!K$4="Exponential",EXP(IF(AND(ISNUMBER('Council Entry'!K$8),ISNUMBER('Council Entry'!K$9)),MAX(MIN('Council Entry'!K127,'Council Entry'!K$9),'Council Entry'!K$8),'Council Entry'!K127)),IF(AND(ISNUMBER('Council Entry'!K$8),ISNUMBER('Council Entry'!K$9)),MAX(MIN('Council Entry'!K127,'Council Entry'!K$9),'Council Entry'!K$8),'Council Entry'!K127))))-'Council Entry'!K$5)/('Council Entry'!K$6-'Council Entry'!K$5)),1))),"No data"))</f>
        <v/>
      </c>
      <c r="L127" s="13">
        <f>IF('Council Entry'!L127="","",IFERROR(MAX(0,MIN(10,ROUND(IF('Council Entry'!L$7="Decrease Risk",10-10*((IF('Council Entry'!L$4="Logarithm",LN(0.001+IF(AND(ISNUMBER('Council Entry'!L$8),ISNUMBER('Council Entry'!L$9)),MAX(MIN('Council Entry'!L127,'Council Entry'!L$9),'Council Entry'!L$8),'Council Entry'!L127)),IF('Council Entry'!L$4="Exponential",EXP(IF(AND(ISNUMBER('Council Entry'!L$8),ISNUMBER('Council Entry'!L$9)),MAX(MIN('Council Entry'!L127,'Council Entry'!L$9),'Council Entry'!L$8),'Council Entry'!L127)),IF(AND(ISNUMBER('Council Entry'!L$8),ISNUMBER('Council Entry'!L$9)),MAX(MIN('Council Entry'!L127,'Council Entry'!L$9),'Council Entry'!L$8),'Council Entry'!L127))))-'Council Entry'!L$5)/('Council Entry'!L$6-'Council Entry'!L$5),10*((IF('Council Entry'!L$4="Logarithm",LN(0.001+IF(AND(ISNUMBER('Council Entry'!L$8),ISNUMBER('Council Entry'!L$9)),MAX(MIN('Council Entry'!L127,'Council Entry'!L$9),'Council Entry'!L$8),'Council Entry'!L127)),IF('Council Entry'!L$4="Exponential",EXP(IF(AND(ISNUMBER('Council Entry'!L$8),ISNUMBER('Council Entry'!L$9)),MAX(MIN('Council Entry'!L127,'Council Entry'!L$9),'Council Entry'!L$8),'Council Entry'!L127)),IF(AND(ISNUMBER('Council Entry'!L$8),ISNUMBER('Council Entry'!L$9)),MAX(MIN('Council Entry'!L127,'Council Entry'!L$9),'Council Entry'!L$8),'Council Entry'!L127))))-'Council Entry'!L$5)/('Council Entry'!L$6-'Council Entry'!L$5)),1))),"No data"))</f>
        <v/>
      </c>
      <c r="M127" s="13">
        <f>IF('Council Entry'!M127="","",IFERROR(MAX(0,MIN(10,ROUND(IF('Council Entry'!M$7="Decrease Risk",10-10*((IF('Council Entry'!M$4="Logarithm",LN(0.001+IF(AND(ISNUMBER('Council Entry'!M$8),ISNUMBER('Council Entry'!M$9)),MAX(MIN('Council Entry'!M127,'Council Entry'!M$9),'Council Entry'!M$8),'Council Entry'!M127)),IF('Council Entry'!M$4="Exponential",EXP(IF(AND(ISNUMBER('Council Entry'!M$8),ISNUMBER('Council Entry'!M$9)),MAX(MIN('Council Entry'!M127,'Council Entry'!M$9),'Council Entry'!M$8),'Council Entry'!M127)),IF(AND(ISNUMBER('Council Entry'!M$8),ISNUMBER('Council Entry'!M$9)),MAX(MIN('Council Entry'!M127,'Council Entry'!M$9),'Council Entry'!M$8),'Council Entry'!M127))))-'Council Entry'!M$5)/('Council Entry'!M$6-'Council Entry'!M$5),10*((IF('Council Entry'!M$4="Logarithm",LN(0.001+IF(AND(ISNUMBER('Council Entry'!M$8),ISNUMBER('Council Entry'!M$9)),MAX(MIN('Council Entry'!M127,'Council Entry'!M$9),'Council Entry'!M$8),'Council Entry'!M127)),IF('Council Entry'!M$4="Exponential",EXP(IF(AND(ISNUMBER('Council Entry'!M$8),ISNUMBER('Council Entry'!M$9)),MAX(MIN('Council Entry'!M127,'Council Entry'!M$9),'Council Entry'!M$8),'Council Entry'!M127)),IF(AND(ISNUMBER('Council Entry'!M$8),ISNUMBER('Council Entry'!M$9)),MAX(MIN('Council Entry'!M127,'Council Entry'!M$9),'Council Entry'!M$8),'Council Entry'!M127))))-'Council Entry'!M$5)/('Council Entry'!M$6-'Council Entry'!M$5)),1))),"No data"))</f>
        <v/>
      </c>
      <c r="N127" s="13">
        <f>IF('Council Entry'!N127="","",IFERROR(MAX(0,MIN(10,ROUND(IF('Council Entry'!N$7="Decrease Risk",10-10*((IF('Council Entry'!N$4="Logarithm",LN(0.001+IF(AND(ISNUMBER('Council Entry'!N$8),ISNUMBER('Council Entry'!N$9)),MAX(MIN('Council Entry'!N127,'Council Entry'!N$9),'Council Entry'!N$8),'Council Entry'!N127)),IF('Council Entry'!N$4="Exponential",EXP(IF(AND(ISNUMBER('Council Entry'!N$8),ISNUMBER('Council Entry'!N$9)),MAX(MIN('Council Entry'!N127,'Council Entry'!N$9),'Council Entry'!N$8),'Council Entry'!N127)),IF(AND(ISNUMBER('Council Entry'!N$8),ISNUMBER('Council Entry'!N$9)),MAX(MIN('Council Entry'!N127,'Council Entry'!N$9),'Council Entry'!N$8),'Council Entry'!N127))))-'Council Entry'!N$5)/('Council Entry'!N$6-'Council Entry'!N$5),10*((IF('Council Entry'!N$4="Logarithm",LN(0.001+IF(AND(ISNUMBER('Council Entry'!N$8),ISNUMBER('Council Entry'!N$9)),MAX(MIN('Council Entry'!N127,'Council Entry'!N$9),'Council Entry'!N$8),'Council Entry'!N127)),IF('Council Entry'!N$4="Exponential",EXP(IF(AND(ISNUMBER('Council Entry'!N$8),ISNUMBER('Council Entry'!N$9)),MAX(MIN('Council Entry'!N127,'Council Entry'!N$9),'Council Entry'!N$8),'Council Entry'!N127)),IF(AND(ISNUMBER('Council Entry'!N$8),ISNUMBER('Council Entry'!N$9)),MAX(MIN('Council Entry'!N127,'Council Entry'!N$9),'Council Entry'!N$8),'Council Entry'!N127))))-'Council Entry'!N$5)/('Council Entry'!N$6-'Council Entry'!N$5)),1))),"No data"))</f>
        <v/>
      </c>
      <c r="O127" s="13">
        <f>IF('Council Entry'!O127="","",IFERROR(MAX(0,MIN(10,ROUND(IF('Council Entry'!O$7="Decrease Risk",10-10*((IF('Council Entry'!O$4="Logarithm",LN(0.001+IF(AND(ISNUMBER('Council Entry'!O$8),ISNUMBER('Council Entry'!O$9)),MAX(MIN('Council Entry'!O127,'Council Entry'!O$9),'Council Entry'!O$8),'Council Entry'!O127)),IF('Council Entry'!O$4="Exponential",EXP(IF(AND(ISNUMBER('Council Entry'!O$8),ISNUMBER('Council Entry'!O$9)),MAX(MIN('Council Entry'!O127,'Council Entry'!O$9),'Council Entry'!O$8),'Council Entry'!O127)),IF(AND(ISNUMBER('Council Entry'!O$8),ISNUMBER('Council Entry'!O$9)),MAX(MIN('Council Entry'!O127,'Council Entry'!O$9),'Council Entry'!O$8),'Council Entry'!O127))))-'Council Entry'!O$5)/('Council Entry'!O$6-'Council Entry'!O$5),10*((IF('Council Entry'!O$4="Logarithm",LN(0.001+IF(AND(ISNUMBER('Council Entry'!O$8),ISNUMBER('Council Entry'!O$9)),MAX(MIN('Council Entry'!O127,'Council Entry'!O$9),'Council Entry'!O$8),'Council Entry'!O127)),IF('Council Entry'!O$4="Exponential",EXP(IF(AND(ISNUMBER('Council Entry'!O$8),ISNUMBER('Council Entry'!O$9)),MAX(MIN('Council Entry'!O127,'Council Entry'!O$9),'Council Entry'!O$8),'Council Entry'!O127)),IF(AND(ISNUMBER('Council Entry'!O$8),ISNUMBER('Council Entry'!O$9)),MAX(MIN('Council Entry'!O127,'Council Entry'!O$9),'Council Entry'!O$8),'Council Entry'!O127))))-'Council Entry'!O$5)/('Council Entry'!O$6-'Council Entry'!O$5)),1))),"No data"))</f>
        <v/>
      </c>
      <c r="P127" s="13">
        <f>IF('Council Entry'!P127="","",IFERROR(MAX(0,MIN(10,ROUND(IF('Council Entry'!P$7="Decrease Risk",10-10*((IF('Council Entry'!P$4="Logarithm",LN(0.001+IF(AND(ISNUMBER('Council Entry'!P$8),ISNUMBER('Council Entry'!P$9)),MAX(MIN('Council Entry'!P127,'Council Entry'!P$9),'Council Entry'!P$8),'Council Entry'!P127)),IF('Council Entry'!P$4="Exponential",EXP(IF(AND(ISNUMBER('Council Entry'!P$8),ISNUMBER('Council Entry'!P$9)),MAX(MIN('Council Entry'!P127,'Council Entry'!P$9),'Council Entry'!P$8),'Council Entry'!P127)),IF(AND(ISNUMBER('Council Entry'!P$8),ISNUMBER('Council Entry'!P$9)),MAX(MIN('Council Entry'!P127,'Council Entry'!P$9),'Council Entry'!P$8),'Council Entry'!P127))))-'Council Entry'!P$5)/('Council Entry'!P$6-'Council Entry'!P$5),10*((IF('Council Entry'!P$4="Logarithm",LN(0.001+IF(AND(ISNUMBER('Council Entry'!P$8),ISNUMBER('Council Entry'!P$9)),MAX(MIN('Council Entry'!P127,'Council Entry'!P$9),'Council Entry'!P$8),'Council Entry'!P127)),IF('Council Entry'!P$4="Exponential",EXP(IF(AND(ISNUMBER('Council Entry'!P$8),ISNUMBER('Council Entry'!P$9)),MAX(MIN('Council Entry'!P127,'Council Entry'!P$9),'Council Entry'!P$8),'Council Entry'!P127)),IF(AND(ISNUMBER('Council Entry'!P$8),ISNUMBER('Council Entry'!P$9)),MAX(MIN('Council Entry'!P127,'Council Entry'!P$9),'Council Entry'!P$8),'Council Entry'!P127))))-'Council Entry'!P$5)/('Council Entry'!P$6-'Council Entry'!P$5)),1))),"No data"))</f>
        <v/>
      </c>
      <c r="Q127" s="13">
        <f>IF('Council Entry'!Q127="","",IFERROR(MAX(0,MIN(10,ROUND(IF('Council Entry'!Q$7="Decrease Risk",10-10*((IF('Council Entry'!Q$4="Logarithm",LN(0.001+IF(AND(ISNUMBER('Council Entry'!Q$8),ISNUMBER('Council Entry'!Q$9)),MAX(MIN('Council Entry'!Q127,'Council Entry'!Q$9),'Council Entry'!Q$8),'Council Entry'!Q127)),IF('Council Entry'!Q$4="Exponential",EXP(IF(AND(ISNUMBER('Council Entry'!Q$8),ISNUMBER('Council Entry'!Q$9)),MAX(MIN('Council Entry'!Q127,'Council Entry'!Q$9),'Council Entry'!Q$8),'Council Entry'!Q127)),IF(AND(ISNUMBER('Council Entry'!Q$8),ISNUMBER('Council Entry'!Q$9)),MAX(MIN('Council Entry'!Q127,'Council Entry'!Q$9),'Council Entry'!Q$8),'Council Entry'!Q127))))-'Council Entry'!Q$5)/('Council Entry'!Q$6-'Council Entry'!Q$5),10*((IF('Council Entry'!Q$4="Logarithm",LN(0.001+IF(AND(ISNUMBER('Council Entry'!Q$8),ISNUMBER('Council Entry'!Q$9)),MAX(MIN('Council Entry'!Q127,'Council Entry'!Q$9),'Council Entry'!Q$8),'Council Entry'!Q127)),IF('Council Entry'!Q$4="Exponential",EXP(IF(AND(ISNUMBER('Council Entry'!Q$8),ISNUMBER('Council Entry'!Q$9)),MAX(MIN('Council Entry'!Q127,'Council Entry'!Q$9),'Council Entry'!Q$8),'Council Entry'!Q127)),IF(AND(ISNUMBER('Council Entry'!Q$8),ISNUMBER('Council Entry'!Q$9)),MAX(MIN('Council Entry'!Q127,'Council Entry'!Q$9),'Council Entry'!Q$8),'Council Entry'!Q127))))-'Council Entry'!Q$5)/('Council Entry'!Q$6-'Council Entry'!Q$5)),1))),"No data"))</f>
        <v/>
      </c>
      <c r="R127" s="13">
        <f>IF('Council Entry'!R127="","",IFERROR(MAX(0,MIN(10,ROUND(IF('Council Entry'!R$7="Decrease Risk",10-10*((IF('Council Entry'!R$4="Logarithm",LN(0.001+IF(AND(ISNUMBER('Council Entry'!R$8),ISNUMBER('Council Entry'!R$9)),MAX(MIN('Council Entry'!R127,'Council Entry'!R$9),'Council Entry'!R$8),'Council Entry'!R127)),IF('Council Entry'!R$4="Exponential",EXP(IF(AND(ISNUMBER('Council Entry'!R$8),ISNUMBER('Council Entry'!R$9)),MAX(MIN('Council Entry'!R127,'Council Entry'!R$9),'Council Entry'!R$8),'Council Entry'!R127)),IF(AND(ISNUMBER('Council Entry'!R$8),ISNUMBER('Council Entry'!R$9)),MAX(MIN('Council Entry'!R127,'Council Entry'!R$9),'Council Entry'!R$8),'Council Entry'!R127))))-'Council Entry'!R$5)/('Council Entry'!R$6-'Council Entry'!R$5),10*((IF('Council Entry'!R$4="Logarithm",LN(0.001+IF(AND(ISNUMBER('Council Entry'!R$8),ISNUMBER('Council Entry'!R$9)),MAX(MIN('Council Entry'!R127,'Council Entry'!R$9),'Council Entry'!R$8),'Council Entry'!R127)),IF('Council Entry'!R$4="Exponential",EXP(IF(AND(ISNUMBER('Council Entry'!R$8),ISNUMBER('Council Entry'!R$9)),MAX(MIN('Council Entry'!R127,'Council Entry'!R$9),'Council Entry'!R$8),'Council Entry'!R127)),IF(AND(ISNUMBER('Council Entry'!R$8),ISNUMBER('Council Entry'!R$9)),MAX(MIN('Council Entry'!R127,'Council Entry'!R$9),'Council Entry'!R$8),'Council Entry'!R127))))-'Council Entry'!R$5)/('Council Entry'!R$6-'Council Entry'!R$5)),1))),"No data"))</f>
        <v/>
      </c>
      <c r="S127" s="13">
        <f>IF('Council Entry'!S127="","",IFERROR(MAX(0,MIN(10,ROUND(IF('Council Entry'!S$7="Decrease Risk",10-10*((IF('Council Entry'!S$4="Logarithm",LN(0.001+IF(AND(ISNUMBER('Council Entry'!S$8),ISNUMBER('Council Entry'!S$9)),MAX(MIN('Council Entry'!S127,'Council Entry'!S$9),'Council Entry'!S$8),'Council Entry'!S127)),IF('Council Entry'!S$4="Exponential",EXP(IF(AND(ISNUMBER('Council Entry'!S$8),ISNUMBER('Council Entry'!S$9)),MAX(MIN('Council Entry'!S127,'Council Entry'!S$9),'Council Entry'!S$8),'Council Entry'!S127)),IF(AND(ISNUMBER('Council Entry'!S$8),ISNUMBER('Council Entry'!S$9)),MAX(MIN('Council Entry'!S127,'Council Entry'!S$9),'Council Entry'!S$8),'Council Entry'!S127))))-'Council Entry'!S$5)/('Council Entry'!S$6-'Council Entry'!S$5),10*((IF('Council Entry'!S$4="Logarithm",LN(0.001+IF(AND(ISNUMBER('Council Entry'!S$8),ISNUMBER('Council Entry'!S$9)),MAX(MIN('Council Entry'!S127,'Council Entry'!S$9),'Council Entry'!S$8),'Council Entry'!S127)),IF('Council Entry'!S$4="Exponential",EXP(IF(AND(ISNUMBER('Council Entry'!S$8),ISNUMBER('Council Entry'!S$9)),MAX(MIN('Council Entry'!S127,'Council Entry'!S$9),'Council Entry'!S$8),'Council Entry'!S127)),IF(AND(ISNUMBER('Council Entry'!S$8),ISNUMBER('Council Entry'!S$9)),MAX(MIN('Council Entry'!S127,'Council Entry'!S$9),'Council Entry'!S$8),'Council Entry'!S127))))-'Council Entry'!S$5)/('Council Entry'!S$6-'Council Entry'!S$5)),1))),"No data"))</f>
        <v/>
      </c>
      <c r="T127" s="13">
        <f>IF('Council Entry'!T127="","",IFERROR(MAX(0,MIN(10,ROUND(IF('Council Entry'!T$7="Decrease Risk",10-10*((IF('Council Entry'!T$4="Logarithm",LN(0.001+IF(AND(ISNUMBER('Council Entry'!T$8),ISNUMBER('Council Entry'!T$9)),MAX(MIN('Council Entry'!T127,'Council Entry'!T$9),'Council Entry'!T$8),'Council Entry'!T127)),IF('Council Entry'!T$4="Exponential",EXP(IF(AND(ISNUMBER('Council Entry'!T$8),ISNUMBER('Council Entry'!T$9)),MAX(MIN('Council Entry'!T127,'Council Entry'!T$9),'Council Entry'!T$8),'Council Entry'!T127)),IF(AND(ISNUMBER('Council Entry'!T$8),ISNUMBER('Council Entry'!T$9)),MAX(MIN('Council Entry'!T127,'Council Entry'!T$9),'Council Entry'!T$8),'Council Entry'!T127))))-'Council Entry'!T$5)/('Council Entry'!T$6-'Council Entry'!T$5),10*((IF('Council Entry'!T$4="Logarithm",LN(0.001+IF(AND(ISNUMBER('Council Entry'!T$8),ISNUMBER('Council Entry'!T$9)),MAX(MIN('Council Entry'!T127,'Council Entry'!T$9),'Council Entry'!T$8),'Council Entry'!T127)),IF('Council Entry'!T$4="Exponential",EXP(IF(AND(ISNUMBER('Council Entry'!T$8),ISNUMBER('Council Entry'!T$9)),MAX(MIN('Council Entry'!T127,'Council Entry'!T$9),'Council Entry'!T$8),'Council Entry'!T127)),IF(AND(ISNUMBER('Council Entry'!T$8),ISNUMBER('Council Entry'!T$9)),MAX(MIN('Council Entry'!T127,'Council Entry'!T$9),'Council Entry'!T$8),'Council Entry'!T127))))-'Council Entry'!T$5)/('Council Entry'!T$6-'Council Entry'!T$5)),1))),"No data"))</f>
        <v/>
      </c>
      <c r="U127" s="13">
        <f>IF('Council Entry'!U127="","",IFERROR(MAX(0,MIN(10,ROUND(IF('Council Entry'!U$7="Decrease Risk",10-10*((IF('Council Entry'!U$4="Logarithm",LN(0.001+IF(AND(ISNUMBER('Council Entry'!U$8),ISNUMBER('Council Entry'!U$9)),MAX(MIN('Council Entry'!U127,'Council Entry'!U$9),'Council Entry'!U$8),'Council Entry'!U127)),IF('Council Entry'!U$4="Exponential",EXP(IF(AND(ISNUMBER('Council Entry'!U$8),ISNUMBER('Council Entry'!U$9)),MAX(MIN('Council Entry'!U127,'Council Entry'!U$9),'Council Entry'!U$8),'Council Entry'!U127)),IF(AND(ISNUMBER('Council Entry'!U$8),ISNUMBER('Council Entry'!U$9)),MAX(MIN('Council Entry'!U127,'Council Entry'!U$9),'Council Entry'!U$8),'Council Entry'!U127))))-'Council Entry'!U$5)/('Council Entry'!U$6-'Council Entry'!U$5),10*((IF('Council Entry'!U$4="Logarithm",LN(0.001+IF(AND(ISNUMBER('Council Entry'!U$8),ISNUMBER('Council Entry'!U$9)),MAX(MIN('Council Entry'!U127,'Council Entry'!U$9),'Council Entry'!U$8),'Council Entry'!U127)),IF('Council Entry'!U$4="Exponential",EXP(IF(AND(ISNUMBER('Council Entry'!U$8),ISNUMBER('Council Entry'!U$9)),MAX(MIN('Council Entry'!U127,'Council Entry'!U$9),'Council Entry'!U$8),'Council Entry'!U127)),IF(AND(ISNUMBER('Council Entry'!U$8),ISNUMBER('Council Entry'!U$9)),MAX(MIN('Council Entry'!U127,'Council Entry'!U$9),'Council Entry'!U$8),'Council Entry'!U127))))-'Council Entry'!U$5)/('Council Entry'!U$6-'Council Entry'!U$5)),1))),"No data"))</f>
        <v/>
      </c>
      <c r="V127" s="13">
        <f>IF('Council Entry'!V127="","",IFERROR(MAX(0,MIN(10,ROUND(IF('Council Entry'!V$7="Decrease Risk",10-10*((IF('Council Entry'!V$4="Logarithm",LN(0.001+IF(AND(ISNUMBER('Council Entry'!V$8),ISNUMBER('Council Entry'!V$9)),MAX(MIN('Council Entry'!V127,'Council Entry'!V$9),'Council Entry'!V$8),'Council Entry'!V127)),IF('Council Entry'!V$4="Exponential",EXP(IF(AND(ISNUMBER('Council Entry'!V$8),ISNUMBER('Council Entry'!V$9)),MAX(MIN('Council Entry'!V127,'Council Entry'!V$9),'Council Entry'!V$8),'Council Entry'!V127)),IF(AND(ISNUMBER('Council Entry'!V$8),ISNUMBER('Council Entry'!V$9)),MAX(MIN('Council Entry'!V127,'Council Entry'!V$9),'Council Entry'!V$8),'Council Entry'!V127))))-'Council Entry'!V$5)/('Council Entry'!V$6-'Council Entry'!V$5),10*((IF('Council Entry'!V$4="Logarithm",LN(0.001+IF(AND(ISNUMBER('Council Entry'!V$8),ISNUMBER('Council Entry'!V$9)),MAX(MIN('Council Entry'!V127,'Council Entry'!V$9),'Council Entry'!V$8),'Council Entry'!V127)),IF('Council Entry'!V$4="Exponential",EXP(IF(AND(ISNUMBER('Council Entry'!V$8),ISNUMBER('Council Entry'!V$9)),MAX(MIN('Council Entry'!V127,'Council Entry'!V$9),'Council Entry'!V$8),'Council Entry'!V127)),IF(AND(ISNUMBER('Council Entry'!V$8),ISNUMBER('Council Entry'!V$9)),MAX(MIN('Council Entry'!V127,'Council Entry'!V$9),'Council Entry'!V$8),'Council Entry'!V127))))-'Council Entry'!V$5)/('Council Entry'!V$6-'Council Entry'!V$5)),1))),"No data"))</f>
        <v/>
      </c>
      <c r="W127" s="13">
        <f>IF('Council Entry'!W127="","",IFERROR(MAX(0,MIN(10,ROUND(IF('Council Entry'!W$7="Decrease Risk",10-10*((IF('Council Entry'!W$4="Logarithm",LN(0.001+IF(AND(ISNUMBER('Council Entry'!W$8),ISNUMBER('Council Entry'!W$9)),MAX(MIN('Council Entry'!W127,'Council Entry'!W$9),'Council Entry'!W$8),'Council Entry'!W127)),IF('Council Entry'!W$4="Exponential",EXP(IF(AND(ISNUMBER('Council Entry'!W$8),ISNUMBER('Council Entry'!W$9)),MAX(MIN('Council Entry'!W127,'Council Entry'!W$9),'Council Entry'!W$8),'Council Entry'!W127)),IF(AND(ISNUMBER('Council Entry'!W$8),ISNUMBER('Council Entry'!W$9)),MAX(MIN('Council Entry'!W127,'Council Entry'!W$9),'Council Entry'!W$8),'Council Entry'!W127))))-'Council Entry'!W$5)/('Council Entry'!W$6-'Council Entry'!W$5),10*((IF('Council Entry'!W$4="Logarithm",LN(0.001+IF(AND(ISNUMBER('Council Entry'!W$8),ISNUMBER('Council Entry'!W$9)),MAX(MIN('Council Entry'!W127,'Council Entry'!W$9),'Council Entry'!W$8),'Council Entry'!W127)),IF('Council Entry'!W$4="Exponential",EXP(IF(AND(ISNUMBER('Council Entry'!W$8),ISNUMBER('Council Entry'!W$9)),MAX(MIN('Council Entry'!W127,'Council Entry'!W$9),'Council Entry'!W$8),'Council Entry'!W127)),IF(AND(ISNUMBER('Council Entry'!W$8),ISNUMBER('Council Entry'!W$9)),MAX(MIN('Council Entry'!W127,'Council Entry'!W$9),'Council Entry'!W$8),'Council Entry'!W127))))-'Council Entry'!W$5)/('Council Entry'!W$6-'Council Entry'!W$5)),1))),"No data"))</f>
        <v/>
      </c>
      <c r="X127" s="13">
        <f>IF('Council Entry'!X127="","",IFERROR(MAX(0,MIN(10,ROUND(IF('Council Entry'!X$7="Decrease Risk",10-10*((IF('Council Entry'!X$4="Logarithm",LN(0.001+IF(AND(ISNUMBER('Council Entry'!X$8),ISNUMBER('Council Entry'!X$9)),MAX(MIN('Council Entry'!X127,'Council Entry'!X$9),'Council Entry'!X$8),'Council Entry'!X127)),IF('Council Entry'!X$4="Exponential",EXP(IF(AND(ISNUMBER('Council Entry'!X$8),ISNUMBER('Council Entry'!X$9)),MAX(MIN('Council Entry'!X127,'Council Entry'!X$9),'Council Entry'!X$8),'Council Entry'!X127)),IF(AND(ISNUMBER('Council Entry'!X$8),ISNUMBER('Council Entry'!X$9)),MAX(MIN('Council Entry'!X127,'Council Entry'!X$9),'Council Entry'!X$8),'Council Entry'!X127))))-'Council Entry'!X$5)/('Council Entry'!X$6-'Council Entry'!X$5),10*((IF('Council Entry'!X$4="Logarithm",LN(0.001+IF(AND(ISNUMBER('Council Entry'!X$8),ISNUMBER('Council Entry'!X$9)),MAX(MIN('Council Entry'!X127,'Council Entry'!X$9),'Council Entry'!X$8),'Council Entry'!X127)),IF('Council Entry'!X$4="Exponential",EXP(IF(AND(ISNUMBER('Council Entry'!X$8),ISNUMBER('Council Entry'!X$9)),MAX(MIN('Council Entry'!X127,'Council Entry'!X$9),'Council Entry'!X$8),'Council Entry'!X127)),IF(AND(ISNUMBER('Council Entry'!X$8),ISNUMBER('Council Entry'!X$9)),MAX(MIN('Council Entry'!X127,'Council Entry'!X$9),'Council Entry'!X$8),'Council Entry'!X127))))-'Council Entry'!X$5)/('Council Entry'!X$6-'Council Entry'!X$5)),1))),"No data"))</f>
        <v/>
      </c>
      <c r="Y127" s="13">
        <f>IF('Council Entry'!Y127="","",IFERROR(MAX(0,MIN(10,ROUND(IF('Council Entry'!Y$7="Decrease Risk",10-10*((IF('Council Entry'!Y$4="Logarithm",LN(0.001+IF(AND(ISNUMBER('Council Entry'!Y$8),ISNUMBER('Council Entry'!Y$9)),MAX(MIN('Council Entry'!Y127,'Council Entry'!Y$9),'Council Entry'!Y$8),'Council Entry'!Y127)),IF('Council Entry'!Y$4="Exponential",EXP(IF(AND(ISNUMBER('Council Entry'!Y$8),ISNUMBER('Council Entry'!Y$9)),MAX(MIN('Council Entry'!Y127,'Council Entry'!Y$9),'Council Entry'!Y$8),'Council Entry'!Y127)),IF(AND(ISNUMBER('Council Entry'!Y$8),ISNUMBER('Council Entry'!Y$9)),MAX(MIN('Council Entry'!Y127,'Council Entry'!Y$9),'Council Entry'!Y$8),'Council Entry'!Y127))))-'Council Entry'!Y$5)/('Council Entry'!Y$6-'Council Entry'!Y$5),10*((IF('Council Entry'!Y$4="Logarithm",LN(0.001+IF(AND(ISNUMBER('Council Entry'!Y$8),ISNUMBER('Council Entry'!Y$9)),MAX(MIN('Council Entry'!Y127,'Council Entry'!Y$9),'Council Entry'!Y$8),'Council Entry'!Y127)),IF('Council Entry'!Y$4="Exponential",EXP(IF(AND(ISNUMBER('Council Entry'!Y$8),ISNUMBER('Council Entry'!Y$9)),MAX(MIN('Council Entry'!Y127,'Council Entry'!Y$9),'Council Entry'!Y$8),'Council Entry'!Y127)),IF(AND(ISNUMBER('Council Entry'!Y$8),ISNUMBER('Council Entry'!Y$9)),MAX(MIN('Council Entry'!Y127,'Council Entry'!Y$9),'Council Entry'!Y$8),'Council Entry'!Y127))))-'Council Entry'!Y$5)/('Council Entry'!Y$6-'Council Entry'!Y$5)),1))),"No data"))</f>
        <v/>
      </c>
      <c r="Z127" s="13">
        <f>IF('Council Entry'!Z127="","",IFERROR(MAX(0,MIN(10,ROUND(IF('Council Entry'!Z$7="Decrease Risk",10-10*((IF('Council Entry'!Z$4="Logarithm",LN(0.001+IF(AND(ISNUMBER('Council Entry'!Z$8),ISNUMBER('Council Entry'!Z$9)),MAX(MIN('Council Entry'!Z127,'Council Entry'!Z$9),'Council Entry'!Z$8),'Council Entry'!Z127)),IF('Council Entry'!Z$4="Exponential",EXP(IF(AND(ISNUMBER('Council Entry'!Z$8),ISNUMBER('Council Entry'!Z$9)),MAX(MIN('Council Entry'!Z127,'Council Entry'!Z$9),'Council Entry'!Z$8),'Council Entry'!Z127)),IF(AND(ISNUMBER('Council Entry'!Z$8),ISNUMBER('Council Entry'!Z$9)),MAX(MIN('Council Entry'!Z127,'Council Entry'!Z$9),'Council Entry'!Z$8),'Council Entry'!Z127))))-'Council Entry'!Z$5)/('Council Entry'!Z$6-'Council Entry'!Z$5),10*((IF('Council Entry'!Z$4="Logarithm",LN(0.001+IF(AND(ISNUMBER('Council Entry'!Z$8),ISNUMBER('Council Entry'!Z$9)),MAX(MIN('Council Entry'!Z127,'Council Entry'!Z$9),'Council Entry'!Z$8),'Council Entry'!Z127)),IF('Council Entry'!Z$4="Exponential",EXP(IF(AND(ISNUMBER('Council Entry'!Z$8),ISNUMBER('Council Entry'!Z$9)),MAX(MIN('Council Entry'!Z127,'Council Entry'!Z$9),'Council Entry'!Z$8),'Council Entry'!Z127)),IF(AND(ISNUMBER('Council Entry'!Z$8),ISNUMBER('Council Entry'!Z$9)),MAX(MIN('Council Entry'!Z127,'Council Entry'!Z$9),'Council Entry'!Z$8),'Council Entry'!Z127))))-'Council Entry'!Z$5)/('Council Entry'!Z$6-'Council Entry'!Z$5)),1))),"No data"))</f>
        <v/>
      </c>
      <c r="AA127" s="13">
        <f>IF('Council Entry'!AA127="","",IFERROR(MAX(0,MIN(10,ROUND(IF('Council Entry'!AA$7="Decrease Risk",10-10*((IF('Council Entry'!AA$4="Logarithm",LN(0.001+IF(AND(ISNUMBER('Council Entry'!AA$8),ISNUMBER('Council Entry'!AA$9)),MAX(MIN('Council Entry'!AA127,'Council Entry'!AA$9),'Council Entry'!AA$8),'Council Entry'!AA127)),IF('Council Entry'!AA$4="Exponential",EXP(IF(AND(ISNUMBER('Council Entry'!AA$8),ISNUMBER('Council Entry'!AA$9)),MAX(MIN('Council Entry'!AA127,'Council Entry'!AA$9),'Council Entry'!AA$8),'Council Entry'!AA127)),IF(AND(ISNUMBER('Council Entry'!AA$8),ISNUMBER('Council Entry'!AA$9)),MAX(MIN('Council Entry'!AA127,'Council Entry'!AA$9),'Council Entry'!AA$8),'Council Entry'!AA127))))-'Council Entry'!AA$5)/('Council Entry'!AA$6-'Council Entry'!AA$5),10*((IF('Council Entry'!AA$4="Logarithm",LN(0.001+IF(AND(ISNUMBER('Council Entry'!AA$8),ISNUMBER('Council Entry'!AA$9)),MAX(MIN('Council Entry'!AA127,'Council Entry'!AA$9),'Council Entry'!AA$8),'Council Entry'!AA127)),IF('Council Entry'!AA$4="Exponential",EXP(IF(AND(ISNUMBER('Council Entry'!AA$8),ISNUMBER('Council Entry'!AA$9)),MAX(MIN('Council Entry'!AA127,'Council Entry'!AA$9),'Council Entry'!AA$8),'Council Entry'!AA127)),IF(AND(ISNUMBER('Council Entry'!AA$8),ISNUMBER('Council Entry'!AA$9)),MAX(MIN('Council Entry'!AA127,'Council Entry'!AA$9),'Council Entry'!AA$8),'Council Entry'!AA127))))-'Council Entry'!AA$5)/('Council Entry'!AA$6-'Council Entry'!AA$5)),1))),"No data"))</f>
        <v/>
      </c>
      <c r="AB127" s="13">
        <f>IF('Council Entry'!AB127="","",IFERROR(MAX(0,MIN(10,ROUND(IF('Council Entry'!AB$7="Decrease Risk",10-10*((IF('Council Entry'!AB$4="Logarithm",LN(0.001+IF(AND(ISNUMBER('Council Entry'!AB$8),ISNUMBER('Council Entry'!AB$9)),MAX(MIN('Council Entry'!AB127,'Council Entry'!AB$9),'Council Entry'!AB$8),'Council Entry'!AB127)),IF('Council Entry'!AB$4="Exponential",EXP(IF(AND(ISNUMBER('Council Entry'!AB$8),ISNUMBER('Council Entry'!AB$9)),MAX(MIN('Council Entry'!AB127,'Council Entry'!AB$9),'Council Entry'!AB$8),'Council Entry'!AB127)),IF(AND(ISNUMBER('Council Entry'!AB$8),ISNUMBER('Council Entry'!AB$9)),MAX(MIN('Council Entry'!AB127,'Council Entry'!AB$9),'Council Entry'!AB$8),'Council Entry'!AB127))))-'Council Entry'!AB$5)/('Council Entry'!AB$6-'Council Entry'!AB$5),10*((IF('Council Entry'!AB$4="Logarithm",LN(0.001+IF(AND(ISNUMBER('Council Entry'!AB$8),ISNUMBER('Council Entry'!AB$9)),MAX(MIN('Council Entry'!AB127,'Council Entry'!AB$9),'Council Entry'!AB$8),'Council Entry'!AB127)),IF('Council Entry'!AB$4="Exponential",EXP(IF(AND(ISNUMBER('Council Entry'!AB$8),ISNUMBER('Council Entry'!AB$9)),MAX(MIN('Council Entry'!AB127,'Council Entry'!AB$9),'Council Entry'!AB$8),'Council Entry'!AB127)),IF(AND(ISNUMBER('Council Entry'!AB$8),ISNUMBER('Council Entry'!AB$9)),MAX(MIN('Council Entry'!AB127,'Council Entry'!AB$9),'Council Entry'!AB$8),'Council Entry'!AB127))))-'Council Entry'!AB$5)/('Council Entry'!AB$6-'Council Entry'!AB$5)),1))),"No data"))</f>
        <v/>
      </c>
      <c r="AC127" s="13">
        <f>IF('Council Entry'!AC127="","",IFERROR(MAX(0,MIN(10,ROUND(IF('Council Entry'!AC$7="Decrease Risk",10-10*((IF('Council Entry'!AC$4="Logarithm",LN(0.001+IF(AND(ISNUMBER('Council Entry'!AC$8),ISNUMBER('Council Entry'!AC$9)),MAX(MIN('Council Entry'!AC127,'Council Entry'!AC$9),'Council Entry'!AC$8),'Council Entry'!AC127)),IF('Council Entry'!AC$4="Exponential",EXP(IF(AND(ISNUMBER('Council Entry'!AC$8),ISNUMBER('Council Entry'!AC$9)),MAX(MIN('Council Entry'!AC127,'Council Entry'!AC$9),'Council Entry'!AC$8),'Council Entry'!AC127)),IF(AND(ISNUMBER('Council Entry'!AC$8),ISNUMBER('Council Entry'!AC$9)),MAX(MIN('Council Entry'!AC127,'Council Entry'!AC$9),'Council Entry'!AC$8),'Council Entry'!AC127))))-'Council Entry'!AC$5)/('Council Entry'!AC$6-'Council Entry'!AC$5),10*((IF('Council Entry'!AC$4="Logarithm",LN(0.001+IF(AND(ISNUMBER('Council Entry'!AC$8),ISNUMBER('Council Entry'!AC$9)),MAX(MIN('Council Entry'!AC127,'Council Entry'!AC$9),'Council Entry'!AC$8),'Council Entry'!AC127)),IF('Council Entry'!AC$4="Exponential",EXP(IF(AND(ISNUMBER('Council Entry'!AC$8),ISNUMBER('Council Entry'!AC$9)),MAX(MIN('Council Entry'!AC127,'Council Entry'!AC$9),'Council Entry'!AC$8),'Council Entry'!AC127)),IF(AND(ISNUMBER('Council Entry'!AC$8),ISNUMBER('Council Entry'!AC$9)),MAX(MIN('Council Entry'!AC127,'Council Entry'!AC$9),'Council Entry'!AC$8),'Council Entry'!AC127))))-'Council Entry'!AC$5)/('Council Entry'!AC$6-'Council Entry'!AC$5)),1))),"No data"))</f>
        <v/>
      </c>
      <c r="AD127" s="13">
        <f>IF('Council Entry'!AD127="","",IFERROR(MAX(0,MIN(10,ROUND(IF('Council Entry'!AD$7="Decrease Risk",10-10*((IF('Council Entry'!AD$4="Logarithm",LN(0.001+IF(AND(ISNUMBER('Council Entry'!AD$8),ISNUMBER('Council Entry'!AD$9)),MAX(MIN('Council Entry'!AD127,'Council Entry'!AD$9),'Council Entry'!AD$8),'Council Entry'!AD127)),IF('Council Entry'!AD$4="Exponential",EXP(IF(AND(ISNUMBER('Council Entry'!AD$8),ISNUMBER('Council Entry'!AD$9)),MAX(MIN('Council Entry'!AD127,'Council Entry'!AD$9),'Council Entry'!AD$8),'Council Entry'!AD127)),IF(AND(ISNUMBER('Council Entry'!AD$8),ISNUMBER('Council Entry'!AD$9)),MAX(MIN('Council Entry'!AD127,'Council Entry'!AD$9),'Council Entry'!AD$8),'Council Entry'!AD127))))-'Council Entry'!AD$5)/('Council Entry'!AD$6-'Council Entry'!AD$5),10*((IF('Council Entry'!AD$4="Logarithm",LN(0.001+IF(AND(ISNUMBER('Council Entry'!AD$8),ISNUMBER('Council Entry'!AD$9)),MAX(MIN('Council Entry'!AD127,'Council Entry'!AD$9),'Council Entry'!AD$8),'Council Entry'!AD127)),IF('Council Entry'!AD$4="Exponential",EXP(IF(AND(ISNUMBER('Council Entry'!AD$8),ISNUMBER('Council Entry'!AD$9)),MAX(MIN('Council Entry'!AD127,'Council Entry'!AD$9),'Council Entry'!AD$8),'Council Entry'!AD127)),IF(AND(ISNUMBER('Council Entry'!AD$8),ISNUMBER('Council Entry'!AD$9)),MAX(MIN('Council Entry'!AD127,'Council Entry'!AD$9),'Council Entry'!AD$8),'Council Entry'!AD127))))-'Council Entry'!AD$5)/('Council Entry'!AD$6-'Council Entry'!AD$5)),1))),"No data"))</f>
        <v/>
      </c>
      <c r="AE127" s="13">
        <f>IF('Council Entry'!AE127="","",IFERROR(MAX(0,MIN(10,ROUND(IF('Council Entry'!AE$7="Decrease Risk",10-10*((IF('Council Entry'!AE$4="Logarithm",LN(0.001+IF(AND(ISNUMBER('Council Entry'!AE$8),ISNUMBER('Council Entry'!AE$9)),MAX(MIN('Council Entry'!AE127,'Council Entry'!AE$9),'Council Entry'!AE$8),'Council Entry'!AE127)),IF('Council Entry'!AE$4="Exponential",EXP(IF(AND(ISNUMBER('Council Entry'!AE$8),ISNUMBER('Council Entry'!AE$9)),MAX(MIN('Council Entry'!AE127,'Council Entry'!AE$9),'Council Entry'!AE$8),'Council Entry'!AE127)),IF(AND(ISNUMBER('Council Entry'!AE$8),ISNUMBER('Council Entry'!AE$9)),MAX(MIN('Council Entry'!AE127,'Council Entry'!AE$9),'Council Entry'!AE$8),'Council Entry'!AE127))))-'Council Entry'!AE$5)/('Council Entry'!AE$6-'Council Entry'!AE$5),10*((IF('Council Entry'!AE$4="Logarithm",LN(0.001+IF(AND(ISNUMBER('Council Entry'!AE$8),ISNUMBER('Council Entry'!AE$9)),MAX(MIN('Council Entry'!AE127,'Council Entry'!AE$9),'Council Entry'!AE$8),'Council Entry'!AE127)),IF('Council Entry'!AE$4="Exponential",EXP(IF(AND(ISNUMBER('Council Entry'!AE$8),ISNUMBER('Council Entry'!AE$9)),MAX(MIN('Council Entry'!AE127,'Council Entry'!AE$9),'Council Entry'!AE$8),'Council Entry'!AE127)),IF(AND(ISNUMBER('Council Entry'!AE$8),ISNUMBER('Council Entry'!AE$9)),MAX(MIN('Council Entry'!AE127,'Council Entry'!AE$9),'Council Entry'!AE$8),'Council Entry'!AE127))))-'Council Entry'!AE$5)/('Council Entry'!AE$6-'Council Entry'!AE$5)),1))),"No data"))</f>
        <v/>
      </c>
      <c r="AF127" s="13">
        <f>IF('Council Entry'!AF127="","",IFERROR(MAX(0,MIN(10,ROUND(IF('Council Entry'!AF$7="Decrease Risk",10-10*((IF('Council Entry'!AF$4="Logarithm",LN(0.001+IF(AND(ISNUMBER('Council Entry'!AF$8),ISNUMBER('Council Entry'!AF$9)),MAX(MIN('Council Entry'!AF127,'Council Entry'!AF$9),'Council Entry'!AF$8),'Council Entry'!AF127)),IF('Council Entry'!AF$4="Exponential",EXP(IF(AND(ISNUMBER('Council Entry'!AF$8),ISNUMBER('Council Entry'!AF$9)),MAX(MIN('Council Entry'!AF127,'Council Entry'!AF$9),'Council Entry'!AF$8),'Council Entry'!AF127)),IF(AND(ISNUMBER('Council Entry'!AF$8),ISNUMBER('Council Entry'!AF$9)),MAX(MIN('Council Entry'!AF127,'Council Entry'!AF$9),'Council Entry'!AF$8),'Council Entry'!AF127))))-'Council Entry'!AF$5)/('Council Entry'!AF$6-'Council Entry'!AF$5),10*((IF('Council Entry'!AF$4="Logarithm",LN(0.001+IF(AND(ISNUMBER('Council Entry'!AF$8),ISNUMBER('Council Entry'!AF$9)),MAX(MIN('Council Entry'!AF127,'Council Entry'!AF$9),'Council Entry'!AF$8),'Council Entry'!AF127)),IF('Council Entry'!AF$4="Exponential",EXP(IF(AND(ISNUMBER('Council Entry'!AF$8),ISNUMBER('Council Entry'!AF$9)),MAX(MIN('Council Entry'!AF127,'Council Entry'!AF$9),'Council Entry'!AF$8),'Council Entry'!AF127)),IF(AND(ISNUMBER('Council Entry'!AF$8),ISNUMBER('Council Entry'!AF$9)),MAX(MIN('Council Entry'!AF127,'Council Entry'!AF$9),'Council Entry'!AF$8),'Council Entry'!AF127))))-'Council Entry'!AF$5)/('Council Entry'!AF$6-'Council Entry'!AF$5)),1))),"No data"))</f>
        <v/>
      </c>
      <c r="AG127" s="13">
        <f>IF('Council Entry'!AG127="","",IFERROR(MAX(0,MIN(10,ROUND(IF('Council Entry'!AG$7="Decrease Risk",10-10*((IF('Council Entry'!AG$4="Logarithm",LN(0.001+IF(AND(ISNUMBER('Council Entry'!AG$8),ISNUMBER('Council Entry'!AG$9)),MAX(MIN('Council Entry'!AG127,'Council Entry'!AG$9),'Council Entry'!AG$8),'Council Entry'!AG127)),IF('Council Entry'!AG$4="Exponential",EXP(IF(AND(ISNUMBER('Council Entry'!AG$8),ISNUMBER('Council Entry'!AG$9)),MAX(MIN('Council Entry'!AG127,'Council Entry'!AG$9),'Council Entry'!AG$8),'Council Entry'!AG127)),IF(AND(ISNUMBER('Council Entry'!AG$8),ISNUMBER('Council Entry'!AG$9)),MAX(MIN('Council Entry'!AG127,'Council Entry'!AG$9),'Council Entry'!AG$8),'Council Entry'!AG127))))-'Council Entry'!AG$5)/('Council Entry'!AG$6-'Council Entry'!AG$5),10*((IF('Council Entry'!AG$4="Logarithm",LN(0.001+IF(AND(ISNUMBER('Council Entry'!AG$8),ISNUMBER('Council Entry'!AG$9)),MAX(MIN('Council Entry'!AG127,'Council Entry'!AG$9),'Council Entry'!AG$8),'Council Entry'!AG127)),IF('Council Entry'!AG$4="Exponential",EXP(IF(AND(ISNUMBER('Council Entry'!AG$8),ISNUMBER('Council Entry'!AG$9)),MAX(MIN('Council Entry'!AG127,'Council Entry'!AG$9),'Council Entry'!AG$8),'Council Entry'!AG127)),IF(AND(ISNUMBER('Council Entry'!AG$8),ISNUMBER('Council Entry'!AG$9)),MAX(MIN('Council Entry'!AG127,'Council Entry'!AG$9),'Council Entry'!AG$8),'Council Entry'!AG127))))-'Council Entry'!AG$5)/('Council Entry'!AG$6-'Council Entry'!AG$5)),1))),"No data"))</f>
        <v/>
      </c>
      <c r="AH127" s="13">
        <f>IF('Council Entry'!AH127="","",IFERROR(MAX(0,MIN(10,ROUND(IF('Council Entry'!AH$7="Decrease Risk",10-10*((IF('Council Entry'!AH$4="Logarithm",LN(0.001+IF(AND(ISNUMBER('Council Entry'!AH$8),ISNUMBER('Council Entry'!AH$9)),MAX(MIN('Council Entry'!AH127,'Council Entry'!AH$9),'Council Entry'!AH$8),'Council Entry'!AH127)),IF('Council Entry'!AH$4="Exponential",EXP(IF(AND(ISNUMBER('Council Entry'!AH$8),ISNUMBER('Council Entry'!AH$9)),MAX(MIN('Council Entry'!AH127,'Council Entry'!AH$9),'Council Entry'!AH$8),'Council Entry'!AH127)),IF(AND(ISNUMBER('Council Entry'!AH$8),ISNUMBER('Council Entry'!AH$9)),MAX(MIN('Council Entry'!AH127,'Council Entry'!AH$9),'Council Entry'!AH$8),'Council Entry'!AH127))))-'Council Entry'!AH$5)/('Council Entry'!AH$6-'Council Entry'!AH$5),10*((IF('Council Entry'!AH$4="Logarithm",LN(0.001+IF(AND(ISNUMBER('Council Entry'!AH$8),ISNUMBER('Council Entry'!AH$9)),MAX(MIN('Council Entry'!AH127,'Council Entry'!AH$9),'Council Entry'!AH$8),'Council Entry'!AH127)),IF('Council Entry'!AH$4="Exponential",EXP(IF(AND(ISNUMBER('Council Entry'!AH$8),ISNUMBER('Council Entry'!AH$9)),MAX(MIN('Council Entry'!AH127,'Council Entry'!AH$9),'Council Entry'!AH$8),'Council Entry'!AH127)),IF(AND(ISNUMBER('Council Entry'!AH$8),ISNUMBER('Council Entry'!AH$9)),MAX(MIN('Council Entry'!AH127,'Council Entry'!AH$9),'Council Entry'!AH$8),'Council Entry'!AH127))))-'Council Entry'!AH$5)/('Council Entry'!AH$6-'Council Entry'!AH$5)),1))),"No data"))</f>
        <v/>
      </c>
      <c r="AI127" s="13">
        <f>IF('Council Entry'!AI127="","",IFERROR(MAX(0,MIN(10,ROUND(IF('Council Entry'!AI$7="Decrease Risk",10-10*((IF('Council Entry'!AI$4="Logarithm",LN(0.001+IF(AND(ISNUMBER('Council Entry'!AI$8),ISNUMBER('Council Entry'!AI$9)),MAX(MIN('Council Entry'!AI127,'Council Entry'!AI$9),'Council Entry'!AI$8),'Council Entry'!AI127)),IF('Council Entry'!AI$4="Exponential",EXP(IF(AND(ISNUMBER('Council Entry'!AI$8),ISNUMBER('Council Entry'!AI$9)),MAX(MIN('Council Entry'!AI127,'Council Entry'!AI$9),'Council Entry'!AI$8),'Council Entry'!AI127)),IF(AND(ISNUMBER('Council Entry'!AI$8),ISNUMBER('Council Entry'!AI$9)),MAX(MIN('Council Entry'!AI127,'Council Entry'!AI$9),'Council Entry'!AI$8),'Council Entry'!AI127))))-'Council Entry'!AI$5)/('Council Entry'!AI$6-'Council Entry'!AI$5),10*((IF('Council Entry'!AI$4="Logarithm",LN(0.001+IF(AND(ISNUMBER('Council Entry'!AI$8),ISNUMBER('Council Entry'!AI$9)),MAX(MIN('Council Entry'!AI127,'Council Entry'!AI$9),'Council Entry'!AI$8),'Council Entry'!AI127)),IF('Council Entry'!AI$4="Exponential",EXP(IF(AND(ISNUMBER('Council Entry'!AI$8),ISNUMBER('Council Entry'!AI$9)),MAX(MIN('Council Entry'!AI127,'Council Entry'!AI$9),'Council Entry'!AI$8),'Council Entry'!AI127)),IF(AND(ISNUMBER('Council Entry'!AI$8),ISNUMBER('Council Entry'!AI$9)),MAX(MIN('Council Entry'!AI127,'Council Entry'!AI$9),'Council Entry'!AI$8),'Council Entry'!AI127))))-'Council Entry'!AI$5)/('Council Entry'!AI$6-'Council Entry'!AI$5)),1))),"No data"))</f>
        <v/>
      </c>
      <c r="AJ127" s="13">
        <f>IF('Council Entry'!AJ127="","",IFERROR(MAX(0,MIN(10,ROUND(IF('Council Entry'!AJ$7="Decrease Risk",10-10*((IF('Council Entry'!AJ$4="Logarithm",LN(0.001+IF(AND(ISNUMBER('Council Entry'!AJ$8),ISNUMBER('Council Entry'!AJ$9)),MAX(MIN('Council Entry'!AJ127,'Council Entry'!AJ$9),'Council Entry'!AJ$8),'Council Entry'!AJ127)),IF('Council Entry'!AJ$4="Exponential",EXP(IF(AND(ISNUMBER('Council Entry'!AJ$8),ISNUMBER('Council Entry'!AJ$9)),MAX(MIN('Council Entry'!AJ127,'Council Entry'!AJ$9),'Council Entry'!AJ$8),'Council Entry'!AJ127)),IF(AND(ISNUMBER('Council Entry'!AJ$8),ISNUMBER('Council Entry'!AJ$9)),MAX(MIN('Council Entry'!AJ127,'Council Entry'!AJ$9),'Council Entry'!AJ$8),'Council Entry'!AJ127))))-'Council Entry'!AJ$5)/('Council Entry'!AJ$6-'Council Entry'!AJ$5),10*((IF('Council Entry'!AJ$4="Logarithm",LN(0.001+IF(AND(ISNUMBER('Council Entry'!AJ$8),ISNUMBER('Council Entry'!AJ$9)),MAX(MIN('Council Entry'!AJ127,'Council Entry'!AJ$9),'Council Entry'!AJ$8),'Council Entry'!AJ127)),IF('Council Entry'!AJ$4="Exponential",EXP(IF(AND(ISNUMBER('Council Entry'!AJ$8),ISNUMBER('Council Entry'!AJ$9)),MAX(MIN('Council Entry'!AJ127,'Council Entry'!AJ$9),'Council Entry'!AJ$8),'Council Entry'!AJ127)),IF(AND(ISNUMBER('Council Entry'!AJ$8),ISNUMBER('Council Entry'!AJ$9)),MAX(MIN('Council Entry'!AJ127,'Council Entry'!AJ$9),'Council Entry'!AJ$8),'Council Entry'!AJ127))))-'Council Entry'!AJ$5)/('Council Entry'!AJ$6-'Council Entry'!AJ$5)),1))),"No data"))</f>
        <v/>
      </c>
      <c r="AK127" s="13">
        <f>IF('Council Entry'!AK127="","",IFERROR(MAX(0,MIN(10,ROUND(IF('Council Entry'!AK$7="Decrease Risk",10-10*((IF('Council Entry'!AK$4="Logarithm",LN(0.001+IF(AND(ISNUMBER('Council Entry'!AK$8),ISNUMBER('Council Entry'!AK$9)),MAX(MIN('Council Entry'!AK127,'Council Entry'!AK$9),'Council Entry'!AK$8),'Council Entry'!AK127)),IF('Council Entry'!AK$4="Exponential",EXP(IF(AND(ISNUMBER('Council Entry'!AK$8),ISNUMBER('Council Entry'!AK$9)),MAX(MIN('Council Entry'!AK127,'Council Entry'!AK$9),'Council Entry'!AK$8),'Council Entry'!AK127)),IF(AND(ISNUMBER('Council Entry'!AK$8),ISNUMBER('Council Entry'!AK$9)),MAX(MIN('Council Entry'!AK127,'Council Entry'!AK$9),'Council Entry'!AK$8),'Council Entry'!AK127))))-'Council Entry'!AK$5)/('Council Entry'!AK$6-'Council Entry'!AK$5),10*((IF('Council Entry'!AK$4="Logarithm",LN(0.001+IF(AND(ISNUMBER('Council Entry'!AK$8),ISNUMBER('Council Entry'!AK$9)),MAX(MIN('Council Entry'!AK127,'Council Entry'!AK$9),'Council Entry'!AK$8),'Council Entry'!AK127)),IF('Council Entry'!AK$4="Exponential",EXP(IF(AND(ISNUMBER('Council Entry'!AK$8),ISNUMBER('Council Entry'!AK$9)),MAX(MIN('Council Entry'!AK127,'Council Entry'!AK$9),'Council Entry'!AK$8),'Council Entry'!AK127)),IF(AND(ISNUMBER('Council Entry'!AK$8),ISNUMBER('Council Entry'!AK$9)),MAX(MIN('Council Entry'!AK127,'Council Entry'!AK$9),'Council Entry'!AK$8),'Council Entry'!AK127))))-'Council Entry'!AK$5)/('Council Entry'!AK$6-'Council Entry'!AK$5)),1))),"No data"))</f>
        <v/>
      </c>
      <c r="AL127" s="13">
        <f>IF('Council Entry'!AL127="","",IFERROR(MAX(0,MIN(10,ROUND(IF('Council Entry'!AL$7="Decrease Risk",10-10*((IF('Council Entry'!AL$4="Logarithm",LN(0.001+IF(AND(ISNUMBER('Council Entry'!AL$8),ISNUMBER('Council Entry'!AL$9)),MAX(MIN('Council Entry'!AL127,'Council Entry'!AL$9),'Council Entry'!AL$8),'Council Entry'!AL127)),IF('Council Entry'!AL$4="Exponential",EXP(IF(AND(ISNUMBER('Council Entry'!AL$8),ISNUMBER('Council Entry'!AL$9)),MAX(MIN('Council Entry'!AL127,'Council Entry'!AL$9),'Council Entry'!AL$8),'Council Entry'!AL127)),IF(AND(ISNUMBER('Council Entry'!AL$8),ISNUMBER('Council Entry'!AL$9)),MAX(MIN('Council Entry'!AL127,'Council Entry'!AL$9),'Council Entry'!AL$8),'Council Entry'!AL127))))-'Council Entry'!AL$5)/('Council Entry'!AL$6-'Council Entry'!AL$5),10*((IF('Council Entry'!AL$4="Logarithm",LN(0.001+IF(AND(ISNUMBER('Council Entry'!AL$8),ISNUMBER('Council Entry'!AL$9)),MAX(MIN('Council Entry'!AL127,'Council Entry'!AL$9),'Council Entry'!AL$8),'Council Entry'!AL127)),IF('Council Entry'!AL$4="Exponential",EXP(IF(AND(ISNUMBER('Council Entry'!AL$8),ISNUMBER('Council Entry'!AL$9)),MAX(MIN('Council Entry'!AL127,'Council Entry'!AL$9),'Council Entry'!AL$8),'Council Entry'!AL127)),IF(AND(ISNUMBER('Council Entry'!AL$8),ISNUMBER('Council Entry'!AL$9)),MAX(MIN('Council Entry'!AL127,'Council Entry'!AL$9),'Council Entry'!AL$8),'Council Entry'!AL127))))-'Council Entry'!AL$5)/('Council Entry'!AL$6-'Council Entry'!AL$5)),1))),"No data"))</f>
        <v/>
      </c>
      <c r="AM127" s="13">
        <f>IF('Council Entry'!AM127="","",IFERROR(MAX(0,MIN(10,ROUND(IF('Council Entry'!AM$7="Decrease Risk",10-10*((IF('Council Entry'!AM$4="Logarithm",LN(0.001+IF(AND(ISNUMBER('Council Entry'!AM$8),ISNUMBER('Council Entry'!AM$9)),MAX(MIN('Council Entry'!AM127,'Council Entry'!AM$9),'Council Entry'!AM$8),'Council Entry'!AM127)),IF('Council Entry'!AM$4="Exponential",EXP(IF(AND(ISNUMBER('Council Entry'!AM$8),ISNUMBER('Council Entry'!AM$9)),MAX(MIN('Council Entry'!AM127,'Council Entry'!AM$9),'Council Entry'!AM$8),'Council Entry'!AM127)),IF(AND(ISNUMBER('Council Entry'!AM$8),ISNUMBER('Council Entry'!AM$9)),MAX(MIN('Council Entry'!AM127,'Council Entry'!AM$9),'Council Entry'!AM$8),'Council Entry'!AM127))))-'Council Entry'!AM$5)/('Council Entry'!AM$6-'Council Entry'!AM$5),10*((IF('Council Entry'!AM$4="Logarithm",LN(0.001+IF(AND(ISNUMBER('Council Entry'!AM$8),ISNUMBER('Council Entry'!AM$9)),MAX(MIN('Council Entry'!AM127,'Council Entry'!AM$9),'Council Entry'!AM$8),'Council Entry'!AM127)),IF('Council Entry'!AM$4="Exponential",EXP(IF(AND(ISNUMBER('Council Entry'!AM$8),ISNUMBER('Council Entry'!AM$9)),MAX(MIN('Council Entry'!AM127,'Council Entry'!AM$9),'Council Entry'!AM$8),'Council Entry'!AM127)),IF(AND(ISNUMBER('Council Entry'!AM$8),ISNUMBER('Council Entry'!AM$9)),MAX(MIN('Council Entry'!AM127,'Council Entry'!AM$9),'Council Entry'!AM$8),'Council Entry'!AM127))))-'Council Entry'!AM$5)/('Council Entry'!AM$6-'Council Entry'!AM$5)),1))),"No data"))</f>
        <v/>
      </c>
      <c r="AN127" s="13">
        <f>IF('Council Entry'!AN127="","",IFERROR(MAX(0,MIN(10,ROUND(IF('Council Entry'!AN$7="Decrease Risk",10-10*((IF('Council Entry'!AN$4="Logarithm",LN(0.001+IF(AND(ISNUMBER('Council Entry'!AN$8),ISNUMBER('Council Entry'!AN$9)),MAX(MIN('Council Entry'!AN127,'Council Entry'!AN$9),'Council Entry'!AN$8),'Council Entry'!AN127)),IF('Council Entry'!AN$4="Exponential",EXP(IF(AND(ISNUMBER('Council Entry'!AN$8),ISNUMBER('Council Entry'!AN$9)),MAX(MIN('Council Entry'!AN127,'Council Entry'!AN$9),'Council Entry'!AN$8),'Council Entry'!AN127)),IF(AND(ISNUMBER('Council Entry'!AN$8),ISNUMBER('Council Entry'!AN$9)),MAX(MIN('Council Entry'!AN127,'Council Entry'!AN$9),'Council Entry'!AN$8),'Council Entry'!AN127))))-'Council Entry'!AN$5)/('Council Entry'!AN$6-'Council Entry'!AN$5),10*((IF('Council Entry'!AN$4="Logarithm",LN(0.001+IF(AND(ISNUMBER('Council Entry'!AN$8),ISNUMBER('Council Entry'!AN$9)),MAX(MIN('Council Entry'!AN127,'Council Entry'!AN$9),'Council Entry'!AN$8),'Council Entry'!AN127)),IF('Council Entry'!AN$4="Exponential",EXP(IF(AND(ISNUMBER('Council Entry'!AN$8),ISNUMBER('Council Entry'!AN$9)),MAX(MIN('Council Entry'!AN127,'Council Entry'!AN$9),'Council Entry'!AN$8),'Council Entry'!AN127)),IF(AND(ISNUMBER('Council Entry'!AN$8),ISNUMBER('Council Entry'!AN$9)),MAX(MIN('Council Entry'!AN127,'Council Entry'!AN$9),'Council Entry'!AN$8),'Council Entry'!AN127))))-'Council Entry'!AN$5)/('Council Entry'!AN$6-'Council Entry'!AN$5)),1))),"No data"))</f>
        <v/>
      </c>
      <c r="AO127" s="13">
        <f>IF('Council Entry'!AO127="","",IFERROR(MAX(0,MIN(10,ROUND(IF('Council Entry'!AO$7="Decrease Risk",10-10*((IF('Council Entry'!AO$4="Logarithm",LN(0.001+IF(AND(ISNUMBER('Council Entry'!AO$8),ISNUMBER('Council Entry'!AO$9)),MAX(MIN('Council Entry'!AO127,'Council Entry'!AO$9),'Council Entry'!AO$8),'Council Entry'!AO127)),IF('Council Entry'!AO$4="Exponential",EXP(IF(AND(ISNUMBER('Council Entry'!AO$8),ISNUMBER('Council Entry'!AO$9)),MAX(MIN('Council Entry'!AO127,'Council Entry'!AO$9),'Council Entry'!AO$8),'Council Entry'!AO127)),IF(AND(ISNUMBER('Council Entry'!AO$8),ISNUMBER('Council Entry'!AO$9)),MAX(MIN('Council Entry'!AO127,'Council Entry'!AO$9),'Council Entry'!AO$8),'Council Entry'!AO127))))-'Council Entry'!AO$5)/('Council Entry'!AO$6-'Council Entry'!AO$5),10*((IF('Council Entry'!AO$4="Logarithm",LN(0.001+IF(AND(ISNUMBER('Council Entry'!AO$8),ISNUMBER('Council Entry'!AO$9)),MAX(MIN('Council Entry'!AO127,'Council Entry'!AO$9),'Council Entry'!AO$8),'Council Entry'!AO127)),IF('Council Entry'!AO$4="Exponential",EXP(IF(AND(ISNUMBER('Council Entry'!AO$8),ISNUMBER('Council Entry'!AO$9)),MAX(MIN('Council Entry'!AO127,'Council Entry'!AO$9),'Council Entry'!AO$8),'Council Entry'!AO127)),IF(AND(ISNUMBER('Council Entry'!AO$8),ISNUMBER('Council Entry'!AO$9)),MAX(MIN('Council Entry'!AO127,'Council Entry'!AO$9),'Council Entry'!AO$8),'Council Entry'!AO127))))-'Council Entry'!AO$5)/('Council Entry'!AO$6-'Council Entry'!AO$5)),1))),"No data"))</f>
        <v/>
      </c>
      <c r="AP127" s="13">
        <f>IF('Council Entry'!AP127="","",IFERROR(MAX(0,MIN(10,ROUND(IF('Council Entry'!AP$7="Decrease Risk",10-10*((IF('Council Entry'!AP$4="Logarithm",LN(0.001+IF(AND(ISNUMBER('Council Entry'!AP$8),ISNUMBER('Council Entry'!AP$9)),MAX(MIN('Council Entry'!AP127,'Council Entry'!AP$9),'Council Entry'!AP$8),'Council Entry'!AP127)),IF('Council Entry'!AP$4="Exponential",EXP(IF(AND(ISNUMBER('Council Entry'!AP$8),ISNUMBER('Council Entry'!AP$9)),MAX(MIN('Council Entry'!AP127,'Council Entry'!AP$9),'Council Entry'!AP$8),'Council Entry'!AP127)),IF(AND(ISNUMBER('Council Entry'!AP$8),ISNUMBER('Council Entry'!AP$9)),MAX(MIN('Council Entry'!AP127,'Council Entry'!AP$9),'Council Entry'!AP$8),'Council Entry'!AP127))))-'Council Entry'!AP$5)/('Council Entry'!AP$6-'Council Entry'!AP$5),10*((IF('Council Entry'!AP$4="Logarithm",LN(0.001+IF(AND(ISNUMBER('Council Entry'!AP$8),ISNUMBER('Council Entry'!AP$9)),MAX(MIN('Council Entry'!AP127,'Council Entry'!AP$9),'Council Entry'!AP$8),'Council Entry'!AP127)),IF('Council Entry'!AP$4="Exponential",EXP(IF(AND(ISNUMBER('Council Entry'!AP$8),ISNUMBER('Council Entry'!AP$9)),MAX(MIN('Council Entry'!AP127,'Council Entry'!AP$9),'Council Entry'!AP$8),'Council Entry'!AP127)),IF(AND(ISNUMBER('Council Entry'!AP$8),ISNUMBER('Council Entry'!AP$9)),MAX(MIN('Council Entry'!AP127,'Council Entry'!AP$9),'Council Entry'!AP$8),'Council Entry'!AP127))))-'Council Entry'!AP$5)/('Council Entry'!AP$6-'Council Entry'!AP$5)),1))),"No data"))</f>
        <v/>
      </c>
      <c r="AQ127" s="13">
        <f>IF('Council Entry'!AQ127="","",IFERROR(MAX(0,MIN(10,ROUND(IF('Council Entry'!AQ$7="Decrease Risk",10-10*((IF('Council Entry'!AQ$4="Logarithm",LN(0.001+IF(AND(ISNUMBER('Council Entry'!AQ$8),ISNUMBER('Council Entry'!AQ$9)),MAX(MIN('Council Entry'!AQ127,'Council Entry'!AQ$9),'Council Entry'!AQ$8),'Council Entry'!AQ127)),IF('Council Entry'!AQ$4="Exponential",EXP(IF(AND(ISNUMBER('Council Entry'!AQ$8),ISNUMBER('Council Entry'!AQ$9)),MAX(MIN('Council Entry'!AQ127,'Council Entry'!AQ$9),'Council Entry'!AQ$8),'Council Entry'!AQ127)),IF(AND(ISNUMBER('Council Entry'!AQ$8),ISNUMBER('Council Entry'!AQ$9)),MAX(MIN('Council Entry'!AQ127,'Council Entry'!AQ$9),'Council Entry'!AQ$8),'Council Entry'!AQ127))))-'Council Entry'!AQ$5)/('Council Entry'!AQ$6-'Council Entry'!AQ$5),10*((IF('Council Entry'!AQ$4="Logarithm",LN(0.001+IF(AND(ISNUMBER('Council Entry'!AQ$8),ISNUMBER('Council Entry'!AQ$9)),MAX(MIN('Council Entry'!AQ127,'Council Entry'!AQ$9),'Council Entry'!AQ$8),'Council Entry'!AQ127)),IF('Council Entry'!AQ$4="Exponential",EXP(IF(AND(ISNUMBER('Council Entry'!AQ$8),ISNUMBER('Council Entry'!AQ$9)),MAX(MIN('Council Entry'!AQ127,'Council Entry'!AQ$9),'Council Entry'!AQ$8),'Council Entry'!AQ127)),IF(AND(ISNUMBER('Council Entry'!AQ$8),ISNUMBER('Council Entry'!AQ$9)),MAX(MIN('Council Entry'!AQ127,'Council Entry'!AQ$9),'Council Entry'!AQ$8),'Council Entry'!AQ127))))-'Council Entry'!AQ$5)/('Council Entry'!AQ$6-'Council Entry'!AQ$5)),1))),"No data"))</f>
        <v/>
      </c>
      <c r="AR127" s="13">
        <f>IF('Council Entry'!AR127="","",IFERROR(MAX(0,MIN(10,ROUND(IF('Council Entry'!AR$7="Decrease Risk",10-10*((IF('Council Entry'!AR$4="Logarithm",LN(0.001+IF(AND(ISNUMBER('Council Entry'!AR$8),ISNUMBER('Council Entry'!AR$9)),MAX(MIN('Council Entry'!AR127,'Council Entry'!AR$9),'Council Entry'!AR$8),'Council Entry'!AR127)),IF('Council Entry'!AR$4="Exponential",EXP(IF(AND(ISNUMBER('Council Entry'!AR$8),ISNUMBER('Council Entry'!AR$9)),MAX(MIN('Council Entry'!AR127,'Council Entry'!AR$9),'Council Entry'!AR$8),'Council Entry'!AR127)),IF(AND(ISNUMBER('Council Entry'!AR$8),ISNUMBER('Council Entry'!AR$9)),MAX(MIN('Council Entry'!AR127,'Council Entry'!AR$9),'Council Entry'!AR$8),'Council Entry'!AR127))))-'Council Entry'!AR$5)/('Council Entry'!AR$6-'Council Entry'!AR$5),10*((IF('Council Entry'!AR$4="Logarithm",LN(0.001+IF(AND(ISNUMBER('Council Entry'!AR$8),ISNUMBER('Council Entry'!AR$9)),MAX(MIN('Council Entry'!AR127,'Council Entry'!AR$9),'Council Entry'!AR$8),'Council Entry'!AR127)),IF('Council Entry'!AR$4="Exponential",EXP(IF(AND(ISNUMBER('Council Entry'!AR$8),ISNUMBER('Council Entry'!AR$9)),MAX(MIN('Council Entry'!AR127,'Council Entry'!AR$9),'Council Entry'!AR$8),'Council Entry'!AR127)),IF(AND(ISNUMBER('Council Entry'!AR$8),ISNUMBER('Council Entry'!AR$9)),MAX(MIN('Council Entry'!AR127,'Council Entry'!AR$9),'Council Entry'!AR$8),'Council Entry'!AR127))))-'Council Entry'!AR$5)/('Council Entry'!AR$6-'Council Entry'!AR$5)),1))),"No data"))</f>
        <v/>
      </c>
      <c r="AS127" s="13">
        <f>IF('Council Entry'!AS127="","",IFERROR(MAX(0,MIN(10,ROUND(IF('Council Entry'!AS$7="Decrease Risk",10-10*((IF('Council Entry'!AS$4="Logarithm",LN(0.001+IF(AND(ISNUMBER('Council Entry'!AS$8),ISNUMBER('Council Entry'!AS$9)),MAX(MIN('Council Entry'!AS127,'Council Entry'!AS$9),'Council Entry'!AS$8),'Council Entry'!AS127)),IF('Council Entry'!AS$4="Exponential",EXP(IF(AND(ISNUMBER('Council Entry'!AS$8),ISNUMBER('Council Entry'!AS$9)),MAX(MIN('Council Entry'!AS127,'Council Entry'!AS$9),'Council Entry'!AS$8),'Council Entry'!AS127)),IF(AND(ISNUMBER('Council Entry'!AS$8),ISNUMBER('Council Entry'!AS$9)),MAX(MIN('Council Entry'!AS127,'Council Entry'!AS$9),'Council Entry'!AS$8),'Council Entry'!AS127))))-'Council Entry'!AS$5)/('Council Entry'!AS$6-'Council Entry'!AS$5),10*((IF('Council Entry'!AS$4="Logarithm",LN(0.001+IF(AND(ISNUMBER('Council Entry'!AS$8),ISNUMBER('Council Entry'!AS$9)),MAX(MIN('Council Entry'!AS127,'Council Entry'!AS$9),'Council Entry'!AS$8),'Council Entry'!AS127)),IF('Council Entry'!AS$4="Exponential",EXP(IF(AND(ISNUMBER('Council Entry'!AS$8),ISNUMBER('Council Entry'!AS$9)),MAX(MIN('Council Entry'!AS127,'Council Entry'!AS$9),'Council Entry'!AS$8),'Council Entry'!AS127)),IF(AND(ISNUMBER('Council Entry'!AS$8),ISNUMBER('Council Entry'!AS$9)),MAX(MIN('Council Entry'!AS127,'Council Entry'!AS$9),'Council Entry'!AS$8),'Council Entry'!AS127))))-'Council Entry'!AS$5)/('Council Entry'!AS$6-'Council Entry'!AS$5)),1))),"No data"))</f>
        <v/>
      </c>
      <c r="AT127" s="13">
        <f>IF('Council Entry'!AT127="","",IFERROR(MAX(0,MIN(10,ROUND(IF('Council Entry'!AT$7="Decrease Risk",10-10*((IF('Council Entry'!AT$4="Logarithm",LN(0.001+IF(AND(ISNUMBER('Council Entry'!AT$8),ISNUMBER('Council Entry'!AT$9)),MAX(MIN('Council Entry'!AT127,'Council Entry'!AT$9),'Council Entry'!AT$8),'Council Entry'!AT127)),IF('Council Entry'!AT$4="Exponential",EXP(IF(AND(ISNUMBER('Council Entry'!AT$8),ISNUMBER('Council Entry'!AT$9)),MAX(MIN('Council Entry'!AT127,'Council Entry'!AT$9),'Council Entry'!AT$8),'Council Entry'!AT127)),IF(AND(ISNUMBER('Council Entry'!AT$8),ISNUMBER('Council Entry'!AT$9)),MAX(MIN('Council Entry'!AT127,'Council Entry'!AT$9),'Council Entry'!AT$8),'Council Entry'!AT127))))-'Council Entry'!AT$5)/('Council Entry'!AT$6-'Council Entry'!AT$5),10*((IF('Council Entry'!AT$4="Logarithm",LN(0.001+IF(AND(ISNUMBER('Council Entry'!AT$8),ISNUMBER('Council Entry'!AT$9)),MAX(MIN('Council Entry'!AT127,'Council Entry'!AT$9),'Council Entry'!AT$8),'Council Entry'!AT127)),IF('Council Entry'!AT$4="Exponential",EXP(IF(AND(ISNUMBER('Council Entry'!AT$8),ISNUMBER('Council Entry'!AT$9)),MAX(MIN('Council Entry'!AT127,'Council Entry'!AT$9),'Council Entry'!AT$8),'Council Entry'!AT127)),IF(AND(ISNUMBER('Council Entry'!AT$8),ISNUMBER('Council Entry'!AT$9)),MAX(MIN('Council Entry'!AT127,'Council Entry'!AT$9),'Council Entry'!AT$8),'Council Entry'!AT127))))-'Council Entry'!AT$5)/('Council Entry'!AT$6-'Council Entry'!AT$5)),1))),"No data"))</f>
        <v/>
      </c>
      <c r="AU127" s="13">
        <f>IF('Council Entry'!AU127="","",IFERROR(MAX(0,MIN(10,ROUND(IF('Council Entry'!AU$7="Decrease Risk",10-10*((IF('Council Entry'!AU$4="Logarithm",LN(0.001+IF(AND(ISNUMBER('Council Entry'!AU$8),ISNUMBER('Council Entry'!AU$9)),MAX(MIN('Council Entry'!AU127,'Council Entry'!AU$9),'Council Entry'!AU$8),'Council Entry'!AU127)),IF('Council Entry'!AU$4="Exponential",EXP(IF(AND(ISNUMBER('Council Entry'!AU$8),ISNUMBER('Council Entry'!AU$9)),MAX(MIN('Council Entry'!AU127,'Council Entry'!AU$9),'Council Entry'!AU$8),'Council Entry'!AU127)),IF(AND(ISNUMBER('Council Entry'!AU$8),ISNUMBER('Council Entry'!AU$9)),MAX(MIN('Council Entry'!AU127,'Council Entry'!AU$9),'Council Entry'!AU$8),'Council Entry'!AU127))))-'Council Entry'!AU$5)/('Council Entry'!AU$6-'Council Entry'!AU$5),10*((IF('Council Entry'!AU$4="Logarithm",LN(0.001+IF(AND(ISNUMBER('Council Entry'!AU$8),ISNUMBER('Council Entry'!AU$9)),MAX(MIN('Council Entry'!AU127,'Council Entry'!AU$9),'Council Entry'!AU$8),'Council Entry'!AU127)),IF('Council Entry'!AU$4="Exponential",EXP(IF(AND(ISNUMBER('Council Entry'!AU$8),ISNUMBER('Council Entry'!AU$9)),MAX(MIN('Council Entry'!AU127,'Council Entry'!AU$9),'Council Entry'!AU$8),'Council Entry'!AU127)),IF(AND(ISNUMBER('Council Entry'!AU$8),ISNUMBER('Council Entry'!AU$9)),MAX(MIN('Council Entry'!AU127,'Council Entry'!AU$9),'Council Entry'!AU$8),'Council Entry'!AU127))))-'Council Entry'!AU$5)/('Council Entry'!AU$6-'Council Entry'!AU$5)),1))),"No data"))</f>
        <v/>
      </c>
      <c r="AV127" s="13">
        <f>IF('Council Entry'!AV127="","",IFERROR(MAX(0,MIN(10,ROUND(IF('Council Entry'!AV$7="Decrease Risk",10-10*((IF('Council Entry'!AV$4="Logarithm",LN(0.001+IF(AND(ISNUMBER('Council Entry'!AV$8),ISNUMBER('Council Entry'!AV$9)),MAX(MIN('Council Entry'!AV127,'Council Entry'!AV$9),'Council Entry'!AV$8),'Council Entry'!AV127)),IF('Council Entry'!AV$4="Exponential",EXP(IF(AND(ISNUMBER('Council Entry'!AV$8),ISNUMBER('Council Entry'!AV$9)),MAX(MIN('Council Entry'!AV127,'Council Entry'!AV$9),'Council Entry'!AV$8),'Council Entry'!AV127)),IF(AND(ISNUMBER('Council Entry'!AV$8),ISNUMBER('Council Entry'!AV$9)),MAX(MIN('Council Entry'!AV127,'Council Entry'!AV$9),'Council Entry'!AV$8),'Council Entry'!AV127))))-'Council Entry'!AV$5)/('Council Entry'!AV$6-'Council Entry'!AV$5),10*((IF('Council Entry'!AV$4="Logarithm",LN(0.001+IF(AND(ISNUMBER('Council Entry'!AV$8),ISNUMBER('Council Entry'!AV$9)),MAX(MIN('Council Entry'!AV127,'Council Entry'!AV$9),'Council Entry'!AV$8),'Council Entry'!AV127)),IF('Council Entry'!AV$4="Exponential",EXP(IF(AND(ISNUMBER('Council Entry'!AV$8),ISNUMBER('Council Entry'!AV$9)),MAX(MIN('Council Entry'!AV127,'Council Entry'!AV$9),'Council Entry'!AV$8),'Council Entry'!AV127)),IF(AND(ISNUMBER('Council Entry'!AV$8),ISNUMBER('Council Entry'!AV$9)),MAX(MIN('Council Entry'!AV127,'Council Entry'!AV$9),'Council Entry'!AV$8),'Council Entry'!AV127))))-'Council Entry'!AV$5)/('Council Entry'!AV$6-'Council Entry'!AV$5)),1))),"No data"))</f>
        <v/>
      </c>
      <c r="AW127" s="13">
        <f>IF('Council Entry'!AW127="","",IFERROR(MAX(0,MIN(10,ROUND(IF('Council Entry'!AW$7="Decrease Risk",10-10*((IF('Council Entry'!AW$4="Logarithm",LN(0.001+IF(AND(ISNUMBER('Council Entry'!AW$8),ISNUMBER('Council Entry'!AW$9)),MAX(MIN('Council Entry'!AW127,'Council Entry'!AW$9),'Council Entry'!AW$8),'Council Entry'!AW127)),IF('Council Entry'!AW$4="Exponential",EXP(IF(AND(ISNUMBER('Council Entry'!AW$8),ISNUMBER('Council Entry'!AW$9)),MAX(MIN('Council Entry'!AW127,'Council Entry'!AW$9),'Council Entry'!AW$8),'Council Entry'!AW127)),IF(AND(ISNUMBER('Council Entry'!AW$8),ISNUMBER('Council Entry'!AW$9)),MAX(MIN('Council Entry'!AW127,'Council Entry'!AW$9),'Council Entry'!AW$8),'Council Entry'!AW127))))-'Council Entry'!AW$5)/('Council Entry'!AW$6-'Council Entry'!AW$5),10*((IF('Council Entry'!AW$4="Logarithm",LN(0.001+IF(AND(ISNUMBER('Council Entry'!AW$8),ISNUMBER('Council Entry'!AW$9)),MAX(MIN('Council Entry'!AW127,'Council Entry'!AW$9),'Council Entry'!AW$8),'Council Entry'!AW127)),IF('Council Entry'!AW$4="Exponential",EXP(IF(AND(ISNUMBER('Council Entry'!AW$8),ISNUMBER('Council Entry'!AW$9)),MAX(MIN('Council Entry'!AW127,'Council Entry'!AW$9),'Council Entry'!AW$8),'Council Entry'!AW127)),IF(AND(ISNUMBER('Council Entry'!AW$8),ISNUMBER('Council Entry'!AW$9)),MAX(MIN('Council Entry'!AW127,'Council Entry'!AW$9),'Council Entry'!AW$8),'Council Entry'!AW127))))-'Council Entry'!AW$5)/('Council Entry'!AW$6-'Council Entry'!AW$5)),1))),"No data"))</f>
        <v/>
      </c>
      <c r="AX127" s="13">
        <f>IF('Council Entry'!AX127="","",IFERROR(MAX(0,MIN(10,ROUND(IF('Council Entry'!AX$7="Decrease Risk",10-10*((IF('Council Entry'!AX$4="Logarithm",LN(0.001+IF(AND(ISNUMBER('Council Entry'!AX$8),ISNUMBER('Council Entry'!AX$9)),MAX(MIN('Council Entry'!AX127,'Council Entry'!AX$9),'Council Entry'!AX$8),'Council Entry'!AX127)),IF('Council Entry'!AX$4="Exponential",EXP(IF(AND(ISNUMBER('Council Entry'!AX$8),ISNUMBER('Council Entry'!AX$9)),MAX(MIN('Council Entry'!AX127,'Council Entry'!AX$9),'Council Entry'!AX$8),'Council Entry'!AX127)),IF(AND(ISNUMBER('Council Entry'!AX$8),ISNUMBER('Council Entry'!AX$9)),MAX(MIN('Council Entry'!AX127,'Council Entry'!AX$9),'Council Entry'!AX$8),'Council Entry'!AX127))))-'Council Entry'!AX$5)/('Council Entry'!AX$6-'Council Entry'!AX$5),10*((IF('Council Entry'!AX$4="Logarithm",LN(0.001+IF(AND(ISNUMBER('Council Entry'!AX$8),ISNUMBER('Council Entry'!AX$9)),MAX(MIN('Council Entry'!AX127,'Council Entry'!AX$9),'Council Entry'!AX$8),'Council Entry'!AX127)),IF('Council Entry'!AX$4="Exponential",EXP(IF(AND(ISNUMBER('Council Entry'!AX$8),ISNUMBER('Council Entry'!AX$9)),MAX(MIN('Council Entry'!AX127,'Council Entry'!AX$9),'Council Entry'!AX$8),'Council Entry'!AX127)),IF(AND(ISNUMBER('Council Entry'!AX$8),ISNUMBER('Council Entry'!AX$9)),MAX(MIN('Council Entry'!AX127,'Council Entry'!AX$9),'Council Entry'!AX$8),'Council Entry'!AX127))))-'Council Entry'!AX$5)/('Council Entry'!AX$6-'Council Entry'!AX$5)),1))),"No data"))</f>
        <v/>
      </c>
      <c r="AY127" s="13">
        <f>IF('Council Entry'!AY127="","",IFERROR(MAX(0,MIN(10,ROUND(IF('Council Entry'!AY$7="Decrease Risk",10-10*((IF('Council Entry'!AY$4="Logarithm",LN(0.001+IF(AND(ISNUMBER('Council Entry'!AY$8),ISNUMBER('Council Entry'!AY$9)),MAX(MIN('Council Entry'!AY127,'Council Entry'!AY$9),'Council Entry'!AY$8),'Council Entry'!AY127)),IF('Council Entry'!AY$4="Exponential",EXP(IF(AND(ISNUMBER('Council Entry'!AY$8),ISNUMBER('Council Entry'!AY$9)),MAX(MIN('Council Entry'!AY127,'Council Entry'!AY$9),'Council Entry'!AY$8),'Council Entry'!AY127)),IF(AND(ISNUMBER('Council Entry'!AY$8),ISNUMBER('Council Entry'!AY$9)),MAX(MIN('Council Entry'!AY127,'Council Entry'!AY$9),'Council Entry'!AY$8),'Council Entry'!AY127))))-'Council Entry'!AY$5)/('Council Entry'!AY$6-'Council Entry'!AY$5),10*((IF('Council Entry'!AY$4="Logarithm",LN(0.001+IF(AND(ISNUMBER('Council Entry'!AY$8),ISNUMBER('Council Entry'!AY$9)),MAX(MIN('Council Entry'!AY127,'Council Entry'!AY$9),'Council Entry'!AY$8),'Council Entry'!AY127)),IF('Council Entry'!AY$4="Exponential",EXP(IF(AND(ISNUMBER('Council Entry'!AY$8),ISNUMBER('Council Entry'!AY$9)),MAX(MIN('Council Entry'!AY127,'Council Entry'!AY$9),'Council Entry'!AY$8),'Council Entry'!AY127)),IF(AND(ISNUMBER('Council Entry'!AY$8),ISNUMBER('Council Entry'!AY$9)),MAX(MIN('Council Entry'!AY127,'Council Entry'!AY$9),'Council Entry'!AY$8),'Council Entry'!AY127))))-'Council Entry'!AY$5)/('Council Entry'!AY$6-'Council Entry'!AY$5)),1))),"No data"))</f>
        <v/>
      </c>
      <c r="AZ127" s="13">
        <f>IF('Council Entry'!AZ127="","",IFERROR(MAX(0,MIN(10,ROUND(IF('Council Entry'!AZ$7="Decrease Risk",10-10*((IF('Council Entry'!AZ$4="Logarithm",LN(0.001+IF(AND(ISNUMBER('Council Entry'!AZ$8),ISNUMBER('Council Entry'!AZ$9)),MAX(MIN('Council Entry'!AZ127,'Council Entry'!AZ$9),'Council Entry'!AZ$8),'Council Entry'!AZ127)),IF('Council Entry'!AZ$4="Exponential",EXP(IF(AND(ISNUMBER('Council Entry'!AZ$8),ISNUMBER('Council Entry'!AZ$9)),MAX(MIN('Council Entry'!AZ127,'Council Entry'!AZ$9),'Council Entry'!AZ$8),'Council Entry'!AZ127)),IF(AND(ISNUMBER('Council Entry'!AZ$8),ISNUMBER('Council Entry'!AZ$9)),MAX(MIN('Council Entry'!AZ127,'Council Entry'!AZ$9),'Council Entry'!AZ$8),'Council Entry'!AZ127))))-'Council Entry'!AZ$5)/('Council Entry'!AZ$6-'Council Entry'!AZ$5),10*((IF('Council Entry'!AZ$4="Logarithm",LN(0.001+IF(AND(ISNUMBER('Council Entry'!AZ$8),ISNUMBER('Council Entry'!AZ$9)),MAX(MIN('Council Entry'!AZ127,'Council Entry'!AZ$9),'Council Entry'!AZ$8),'Council Entry'!AZ127)),IF('Council Entry'!AZ$4="Exponential",EXP(IF(AND(ISNUMBER('Council Entry'!AZ$8),ISNUMBER('Council Entry'!AZ$9)),MAX(MIN('Council Entry'!AZ127,'Council Entry'!AZ$9),'Council Entry'!AZ$8),'Council Entry'!AZ127)),IF(AND(ISNUMBER('Council Entry'!AZ$8),ISNUMBER('Council Entry'!AZ$9)),MAX(MIN('Council Entry'!AZ127,'Council Entry'!AZ$9),'Council Entry'!AZ$8),'Council Entry'!AZ127))))-'Council Entry'!AZ$5)/('Council Entry'!AZ$6-'Council Entry'!AZ$5)),1))),"No data"))</f>
        <v/>
      </c>
      <c r="BA127" s="13">
        <f>IF('Council Entry'!BA127="","",IFERROR(MAX(0,MIN(10,ROUND(IF('Council Entry'!BA$7="Decrease Risk",10-10*((IF('Council Entry'!BA$4="Logarithm",LN(0.001+IF(AND(ISNUMBER('Council Entry'!BA$8),ISNUMBER('Council Entry'!BA$9)),MAX(MIN('Council Entry'!BA127,'Council Entry'!BA$9),'Council Entry'!BA$8),'Council Entry'!BA127)),IF('Council Entry'!BA$4="Exponential",EXP(IF(AND(ISNUMBER('Council Entry'!BA$8),ISNUMBER('Council Entry'!BA$9)),MAX(MIN('Council Entry'!BA127,'Council Entry'!BA$9),'Council Entry'!BA$8),'Council Entry'!BA127)),IF(AND(ISNUMBER('Council Entry'!BA$8),ISNUMBER('Council Entry'!BA$9)),MAX(MIN('Council Entry'!BA127,'Council Entry'!BA$9),'Council Entry'!BA$8),'Council Entry'!BA127))))-'Council Entry'!BA$5)/('Council Entry'!BA$6-'Council Entry'!BA$5),10*((IF('Council Entry'!BA$4="Logarithm",LN(0.001+IF(AND(ISNUMBER('Council Entry'!BA$8),ISNUMBER('Council Entry'!BA$9)),MAX(MIN('Council Entry'!BA127,'Council Entry'!BA$9),'Council Entry'!BA$8),'Council Entry'!BA127)),IF('Council Entry'!BA$4="Exponential",EXP(IF(AND(ISNUMBER('Council Entry'!BA$8),ISNUMBER('Council Entry'!BA$9)),MAX(MIN('Council Entry'!BA127,'Council Entry'!BA$9),'Council Entry'!BA$8),'Council Entry'!BA127)),IF(AND(ISNUMBER('Council Entry'!BA$8),ISNUMBER('Council Entry'!BA$9)),MAX(MIN('Council Entry'!BA127,'Council Entry'!BA$9),'Council Entry'!BA$8),'Council Entry'!BA127))))-'Council Entry'!BA$5)/('Council Entry'!BA$6-'Council Entry'!BA$5)),1))),"No data"))</f>
        <v/>
      </c>
      <c r="BB127" s="13">
        <f>IF('Council Entry'!BB127="","",IFERROR(MAX(0,MIN(10,ROUND(IF('Council Entry'!BB$7="Decrease Risk",10-10*((IF('Council Entry'!BB$4="Logarithm",LN(0.001+IF(AND(ISNUMBER('Council Entry'!BB$8),ISNUMBER('Council Entry'!BB$9)),MAX(MIN('Council Entry'!BB127,'Council Entry'!BB$9),'Council Entry'!BB$8),'Council Entry'!BB127)),IF('Council Entry'!BB$4="Exponential",EXP(IF(AND(ISNUMBER('Council Entry'!BB$8),ISNUMBER('Council Entry'!BB$9)),MAX(MIN('Council Entry'!BB127,'Council Entry'!BB$9),'Council Entry'!BB$8),'Council Entry'!BB127)),IF(AND(ISNUMBER('Council Entry'!BB$8),ISNUMBER('Council Entry'!BB$9)),MAX(MIN('Council Entry'!BB127,'Council Entry'!BB$9),'Council Entry'!BB$8),'Council Entry'!BB127))))-'Council Entry'!BB$5)/('Council Entry'!BB$6-'Council Entry'!BB$5),10*((IF('Council Entry'!BB$4="Logarithm",LN(0.001+IF(AND(ISNUMBER('Council Entry'!BB$8),ISNUMBER('Council Entry'!BB$9)),MAX(MIN('Council Entry'!BB127,'Council Entry'!BB$9),'Council Entry'!BB$8),'Council Entry'!BB127)),IF('Council Entry'!BB$4="Exponential",EXP(IF(AND(ISNUMBER('Council Entry'!BB$8),ISNUMBER('Council Entry'!BB$9)),MAX(MIN('Council Entry'!BB127,'Council Entry'!BB$9),'Council Entry'!BB$8),'Council Entry'!BB127)),IF(AND(ISNUMBER('Council Entry'!BB$8),ISNUMBER('Council Entry'!BB$9)),MAX(MIN('Council Entry'!BB127,'Council Entry'!BB$9),'Council Entry'!BB$8),'Council Entry'!BB127))))-'Council Entry'!BB$5)/('Council Entry'!BB$6-'Council Entry'!BB$5)),1))),"No data"))</f>
        <v/>
      </c>
      <c r="BC127" s="13">
        <f>IF('Council Entry'!BC127="","",IFERROR(MAX(0,MIN(10,ROUND(IF('Council Entry'!BC$7="Decrease Risk",10-10*((IF('Council Entry'!BC$4="Logarithm",LN(0.001+IF(AND(ISNUMBER('Council Entry'!BC$8),ISNUMBER('Council Entry'!BC$9)),MAX(MIN('Council Entry'!BC127,'Council Entry'!BC$9),'Council Entry'!BC$8),'Council Entry'!BC127)),IF('Council Entry'!BC$4="Exponential",EXP(IF(AND(ISNUMBER('Council Entry'!BC$8),ISNUMBER('Council Entry'!BC$9)),MAX(MIN('Council Entry'!BC127,'Council Entry'!BC$9),'Council Entry'!BC$8),'Council Entry'!BC127)),IF(AND(ISNUMBER('Council Entry'!BC$8),ISNUMBER('Council Entry'!BC$9)),MAX(MIN('Council Entry'!BC127,'Council Entry'!BC$9),'Council Entry'!BC$8),'Council Entry'!BC127))))-'Council Entry'!BC$5)/('Council Entry'!BC$6-'Council Entry'!BC$5),10*((IF('Council Entry'!BC$4="Logarithm",LN(0.001+IF(AND(ISNUMBER('Council Entry'!BC$8),ISNUMBER('Council Entry'!BC$9)),MAX(MIN('Council Entry'!BC127,'Council Entry'!BC$9),'Council Entry'!BC$8),'Council Entry'!BC127)),IF('Council Entry'!BC$4="Exponential",EXP(IF(AND(ISNUMBER('Council Entry'!BC$8),ISNUMBER('Council Entry'!BC$9)),MAX(MIN('Council Entry'!BC127,'Council Entry'!BC$9),'Council Entry'!BC$8),'Council Entry'!BC127)),IF(AND(ISNUMBER('Council Entry'!BC$8),ISNUMBER('Council Entry'!BC$9)),MAX(MIN('Council Entry'!BC127,'Council Entry'!BC$9),'Council Entry'!BC$8),'Council Entry'!BC127))))-'Council Entry'!BC$5)/('Council Entry'!BC$6-'Council Entry'!BC$5)),1))),"No data"))</f>
        <v/>
      </c>
      <c r="BD127" s="13">
        <f>IF('Council Entry'!BD127="","",IFERROR(MAX(0,MIN(10,ROUND(IF('Council Entry'!BD$7="Decrease Risk",10-10*((IF('Council Entry'!BD$4="Logarithm",LN(0.001+IF(AND(ISNUMBER('Council Entry'!BD$8),ISNUMBER('Council Entry'!BD$9)),MAX(MIN('Council Entry'!BD127,'Council Entry'!BD$9),'Council Entry'!BD$8),'Council Entry'!BD127)),IF('Council Entry'!BD$4="Exponential",EXP(IF(AND(ISNUMBER('Council Entry'!BD$8),ISNUMBER('Council Entry'!BD$9)),MAX(MIN('Council Entry'!BD127,'Council Entry'!BD$9),'Council Entry'!BD$8),'Council Entry'!BD127)),IF(AND(ISNUMBER('Council Entry'!BD$8),ISNUMBER('Council Entry'!BD$9)),MAX(MIN('Council Entry'!BD127,'Council Entry'!BD$9),'Council Entry'!BD$8),'Council Entry'!BD127))))-'Council Entry'!BD$5)/('Council Entry'!BD$6-'Council Entry'!BD$5),10*((IF('Council Entry'!BD$4="Logarithm",LN(0.001+IF(AND(ISNUMBER('Council Entry'!BD$8),ISNUMBER('Council Entry'!BD$9)),MAX(MIN('Council Entry'!BD127,'Council Entry'!BD$9),'Council Entry'!BD$8),'Council Entry'!BD127)),IF('Council Entry'!BD$4="Exponential",EXP(IF(AND(ISNUMBER('Council Entry'!BD$8),ISNUMBER('Council Entry'!BD$9)),MAX(MIN('Council Entry'!BD127,'Council Entry'!BD$9),'Council Entry'!BD$8),'Council Entry'!BD127)),IF(AND(ISNUMBER('Council Entry'!BD$8),ISNUMBER('Council Entry'!BD$9)),MAX(MIN('Council Entry'!BD127,'Council Entry'!BD$9),'Council Entry'!BD$8),'Council Entry'!BD127))))-'Council Entry'!BD$5)/('Council Entry'!BD$6-'Council Entry'!BD$5)),1))),"No data"))</f>
        <v/>
      </c>
    </row>
    <row r="128">
      <c r="A128" t="inlineStr">
        <is>
          <t>Mwanza</t>
        </is>
      </c>
      <c r="B128" t="inlineStr">
        <is>
          <t>Buchosa District</t>
        </is>
      </c>
      <c r="C128" t="inlineStr">
        <is>
          <t>C138</t>
        </is>
      </c>
      <c r="D128" s="13">
        <f>IF('Council Entry'!D128="","",IFERROR(MAX(0,MIN(10,ROUND(IF('Council Entry'!D$7="Decrease Risk",10-10*((IF('Council Entry'!D$4="Logarithm",LN(0.001+IF(AND(ISNUMBER('Council Entry'!D$8),ISNUMBER('Council Entry'!D$9)),MAX(MIN('Council Entry'!D128,'Council Entry'!D$9),'Council Entry'!D$8),'Council Entry'!D128)),IF('Council Entry'!D$4="Exponential",EXP(IF(AND(ISNUMBER('Council Entry'!D$8),ISNUMBER('Council Entry'!D$9)),MAX(MIN('Council Entry'!D128,'Council Entry'!D$9),'Council Entry'!D$8),'Council Entry'!D128)),IF(AND(ISNUMBER('Council Entry'!D$8),ISNUMBER('Council Entry'!D$9)),MAX(MIN('Council Entry'!D128,'Council Entry'!D$9),'Council Entry'!D$8),'Council Entry'!D128))))-'Council Entry'!D$5)/('Council Entry'!D$6-'Council Entry'!D$5),10*((IF('Council Entry'!D$4="Logarithm",LN(0.001+IF(AND(ISNUMBER('Council Entry'!D$8),ISNUMBER('Council Entry'!D$9)),MAX(MIN('Council Entry'!D128,'Council Entry'!D$9),'Council Entry'!D$8),'Council Entry'!D128)),IF('Council Entry'!D$4="Exponential",EXP(IF(AND(ISNUMBER('Council Entry'!D$8),ISNUMBER('Council Entry'!D$9)),MAX(MIN('Council Entry'!D128,'Council Entry'!D$9),'Council Entry'!D$8),'Council Entry'!D128)),IF(AND(ISNUMBER('Council Entry'!D$8),ISNUMBER('Council Entry'!D$9)),MAX(MIN('Council Entry'!D128,'Council Entry'!D$9),'Council Entry'!D$8),'Council Entry'!D128))))-'Council Entry'!D$5)/('Council Entry'!D$6-'Council Entry'!D$5)),1))),"No data"))</f>
        <v/>
      </c>
      <c r="E128" s="13">
        <f>IF('Council Entry'!E128="","",IFERROR(MAX(0,MIN(10,ROUND(IF('Council Entry'!E$7="Decrease Risk",10-10*((IF('Council Entry'!E$4="Logarithm",LN(0.001+IF(AND(ISNUMBER('Council Entry'!E$8),ISNUMBER('Council Entry'!E$9)),MAX(MIN('Council Entry'!E128,'Council Entry'!E$9),'Council Entry'!E$8),'Council Entry'!E128)),IF('Council Entry'!E$4="Exponential",EXP(IF(AND(ISNUMBER('Council Entry'!E$8),ISNUMBER('Council Entry'!E$9)),MAX(MIN('Council Entry'!E128,'Council Entry'!E$9),'Council Entry'!E$8),'Council Entry'!E128)),IF(AND(ISNUMBER('Council Entry'!E$8),ISNUMBER('Council Entry'!E$9)),MAX(MIN('Council Entry'!E128,'Council Entry'!E$9),'Council Entry'!E$8),'Council Entry'!E128))))-'Council Entry'!E$5)/('Council Entry'!E$6-'Council Entry'!E$5),10*((IF('Council Entry'!E$4="Logarithm",LN(0.001+IF(AND(ISNUMBER('Council Entry'!E$8),ISNUMBER('Council Entry'!E$9)),MAX(MIN('Council Entry'!E128,'Council Entry'!E$9),'Council Entry'!E$8),'Council Entry'!E128)),IF('Council Entry'!E$4="Exponential",EXP(IF(AND(ISNUMBER('Council Entry'!E$8),ISNUMBER('Council Entry'!E$9)),MAX(MIN('Council Entry'!E128,'Council Entry'!E$9),'Council Entry'!E$8),'Council Entry'!E128)),IF(AND(ISNUMBER('Council Entry'!E$8),ISNUMBER('Council Entry'!E$9)),MAX(MIN('Council Entry'!E128,'Council Entry'!E$9),'Council Entry'!E$8),'Council Entry'!E128))))-'Council Entry'!E$5)/('Council Entry'!E$6-'Council Entry'!E$5)),1))),"No data"))</f>
        <v/>
      </c>
      <c r="F128" s="13">
        <f>IF('Council Entry'!F128="","",IFERROR(MAX(0,MIN(10,ROUND(IF('Council Entry'!F$7="Decrease Risk",10-10*((IF('Council Entry'!F$4="Logarithm",LN(0.001+IF(AND(ISNUMBER('Council Entry'!F$8),ISNUMBER('Council Entry'!F$9)),MAX(MIN('Council Entry'!F128,'Council Entry'!F$9),'Council Entry'!F$8),'Council Entry'!F128)),IF('Council Entry'!F$4="Exponential",EXP(IF(AND(ISNUMBER('Council Entry'!F$8),ISNUMBER('Council Entry'!F$9)),MAX(MIN('Council Entry'!F128,'Council Entry'!F$9),'Council Entry'!F$8),'Council Entry'!F128)),IF(AND(ISNUMBER('Council Entry'!F$8),ISNUMBER('Council Entry'!F$9)),MAX(MIN('Council Entry'!F128,'Council Entry'!F$9),'Council Entry'!F$8),'Council Entry'!F128))))-'Council Entry'!F$5)/('Council Entry'!F$6-'Council Entry'!F$5),10*((IF('Council Entry'!F$4="Logarithm",LN(0.001+IF(AND(ISNUMBER('Council Entry'!F$8),ISNUMBER('Council Entry'!F$9)),MAX(MIN('Council Entry'!F128,'Council Entry'!F$9),'Council Entry'!F$8),'Council Entry'!F128)),IF('Council Entry'!F$4="Exponential",EXP(IF(AND(ISNUMBER('Council Entry'!F$8),ISNUMBER('Council Entry'!F$9)),MAX(MIN('Council Entry'!F128,'Council Entry'!F$9),'Council Entry'!F$8),'Council Entry'!F128)),IF(AND(ISNUMBER('Council Entry'!F$8),ISNUMBER('Council Entry'!F$9)),MAX(MIN('Council Entry'!F128,'Council Entry'!F$9),'Council Entry'!F$8),'Council Entry'!F128))))-'Council Entry'!F$5)/('Council Entry'!F$6-'Council Entry'!F$5)),1))),"No data"))</f>
        <v/>
      </c>
      <c r="G128" s="13">
        <f>IF('Council Entry'!G128="","",IFERROR(MAX(0,MIN(10,ROUND(IF('Council Entry'!G$7="Decrease Risk",10-10*((IF('Council Entry'!G$4="Logarithm",LN(0.001+IF(AND(ISNUMBER('Council Entry'!G$8),ISNUMBER('Council Entry'!G$9)),MAX(MIN('Council Entry'!G128,'Council Entry'!G$9),'Council Entry'!G$8),'Council Entry'!G128)),IF('Council Entry'!G$4="Exponential",EXP(IF(AND(ISNUMBER('Council Entry'!G$8),ISNUMBER('Council Entry'!G$9)),MAX(MIN('Council Entry'!G128,'Council Entry'!G$9),'Council Entry'!G$8),'Council Entry'!G128)),IF(AND(ISNUMBER('Council Entry'!G$8),ISNUMBER('Council Entry'!G$9)),MAX(MIN('Council Entry'!G128,'Council Entry'!G$9),'Council Entry'!G$8),'Council Entry'!G128))))-'Council Entry'!G$5)/('Council Entry'!G$6-'Council Entry'!G$5),10*((IF('Council Entry'!G$4="Logarithm",LN(0.001+IF(AND(ISNUMBER('Council Entry'!G$8),ISNUMBER('Council Entry'!G$9)),MAX(MIN('Council Entry'!G128,'Council Entry'!G$9),'Council Entry'!G$8),'Council Entry'!G128)),IF('Council Entry'!G$4="Exponential",EXP(IF(AND(ISNUMBER('Council Entry'!G$8),ISNUMBER('Council Entry'!G$9)),MAX(MIN('Council Entry'!G128,'Council Entry'!G$9),'Council Entry'!G$8),'Council Entry'!G128)),IF(AND(ISNUMBER('Council Entry'!G$8),ISNUMBER('Council Entry'!G$9)),MAX(MIN('Council Entry'!G128,'Council Entry'!G$9),'Council Entry'!G$8),'Council Entry'!G128))))-'Council Entry'!G$5)/('Council Entry'!G$6-'Council Entry'!G$5)),1))),"No data"))</f>
        <v/>
      </c>
      <c r="H128" s="13">
        <f>IF('Council Entry'!H128="","",IFERROR(MAX(0,MIN(10,ROUND(IF('Council Entry'!H$7="Decrease Risk",10-10*((IF('Council Entry'!H$4="Logarithm",LN(0.001+IF(AND(ISNUMBER('Council Entry'!H$8),ISNUMBER('Council Entry'!H$9)),MAX(MIN('Council Entry'!H128,'Council Entry'!H$9),'Council Entry'!H$8),'Council Entry'!H128)),IF('Council Entry'!H$4="Exponential",EXP(IF(AND(ISNUMBER('Council Entry'!H$8),ISNUMBER('Council Entry'!H$9)),MAX(MIN('Council Entry'!H128,'Council Entry'!H$9),'Council Entry'!H$8),'Council Entry'!H128)),IF(AND(ISNUMBER('Council Entry'!H$8),ISNUMBER('Council Entry'!H$9)),MAX(MIN('Council Entry'!H128,'Council Entry'!H$9),'Council Entry'!H$8),'Council Entry'!H128))))-'Council Entry'!H$5)/('Council Entry'!H$6-'Council Entry'!H$5),10*((IF('Council Entry'!H$4="Logarithm",LN(0.001+IF(AND(ISNUMBER('Council Entry'!H$8),ISNUMBER('Council Entry'!H$9)),MAX(MIN('Council Entry'!H128,'Council Entry'!H$9),'Council Entry'!H$8),'Council Entry'!H128)),IF('Council Entry'!H$4="Exponential",EXP(IF(AND(ISNUMBER('Council Entry'!H$8),ISNUMBER('Council Entry'!H$9)),MAX(MIN('Council Entry'!H128,'Council Entry'!H$9),'Council Entry'!H$8),'Council Entry'!H128)),IF(AND(ISNUMBER('Council Entry'!H$8),ISNUMBER('Council Entry'!H$9)),MAX(MIN('Council Entry'!H128,'Council Entry'!H$9),'Council Entry'!H$8),'Council Entry'!H128))))-'Council Entry'!H$5)/('Council Entry'!H$6-'Council Entry'!H$5)),1))),"No data"))</f>
        <v/>
      </c>
      <c r="I128" s="13">
        <f>IF('Council Entry'!I128="","",IFERROR(MAX(0,MIN(10,ROUND(IF('Council Entry'!I$7="Decrease Risk",10-10*((IF('Council Entry'!I$4="Logarithm",LN(0.001+IF(AND(ISNUMBER('Council Entry'!I$8),ISNUMBER('Council Entry'!I$9)),MAX(MIN('Council Entry'!I128,'Council Entry'!I$9),'Council Entry'!I$8),'Council Entry'!I128)),IF('Council Entry'!I$4="Exponential",EXP(IF(AND(ISNUMBER('Council Entry'!I$8),ISNUMBER('Council Entry'!I$9)),MAX(MIN('Council Entry'!I128,'Council Entry'!I$9),'Council Entry'!I$8),'Council Entry'!I128)),IF(AND(ISNUMBER('Council Entry'!I$8),ISNUMBER('Council Entry'!I$9)),MAX(MIN('Council Entry'!I128,'Council Entry'!I$9),'Council Entry'!I$8),'Council Entry'!I128))))-'Council Entry'!I$5)/('Council Entry'!I$6-'Council Entry'!I$5),10*((IF('Council Entry'!I$4="Logarithm",LN(0.001+IF(AND(ISNUMBER('Council Entry'!I$8),ISNUMBER('Council Entry'!I$9)),MAX(MIN('Council Entry'!I128,'Council Entry'!I$9),'Council Entry'!I$8),'Council Entry'!I128)),IF('Council Entry'!I$4="Exponential",EXP(IF(AND(ISNUMBER('Council Entry'!I$8),ISNUMBER('Council Entry'!I$9)),MAX(MIN('Council Entry'!I128,'Council Entry'!I$9),'Council Entry'!I$8),'Council Entry'!I128)),IF(AND(ISNUMBER('Council Entry'!I$8),ISNUMBER('Council Entry'!I$9)),MAX(MIN('Council Entry'!I128,'Council Entry'!I$9),'Council Entry'!I$8),'Council Entry'!I128))))-'Council Entry'!I$5)/('Council Entry'!I$6-'Council Entry'!I$5)),1))),"No data"))</f>
        <v/>
      </c>
      <c r="J128" s="13">
        <f>IF('Council Entry'!J128="","",IFERROR(MAX(0,MIN(10,ROUND(IF('Council Entry'!J$7="Decrease Risk",10-10*((IF('Council Entry'!J$4="Logarithm",LN(0.001+IF(AND(ISNUMBER('Council Entry'!J$8),ISNUMBER('Council Entry'!J$9)),MAX(MIN('Council Entry'!J128,'Council Entry'!J$9),'Council Entry'!J$8),'Council Entry'!J128)),IF('Council Entry'!J$4="Exponential",EXP(IF(AND(ISNUMBER('Council Entry'!J$8),ISNUMBER('Council Entry'!J$9)),MAX(MIN('Council Entry'!J128,'Council Entry'!J$9),'Council Entry'!J$8),'Council Entry'!J128)),IF(AND(ISNUMBER('Council Entry'!J$8),ISNUMBER('Council Entry'!J$9)),MAX(MIN('Council Entry'!J128,'Council Entry'!J$9),'Council Entry'!J$8),'Council Entry'!J128))))-'Council Entry'!J$5)/('Council Entry'!J$6-'Council Entry'!J$5),10*((IF('Council Entry'!J$4="Logarithm",LN(0.001+IF(AND(ISNUMBER('Council Entry'!J$8),ISNUMBER('Council Entry'!J$9)),MAX(MIN('Council Entry'!J128,'Council Entry'!J$9),'Council Entry'!J$8),'Council Entry'!J128)),IF('Council Entry'!J$4="Exponential",EXP(IF(AND(ISNUMBER('Council Entry'!J$8),ISNUMBER('Council Entry'!J$9)),MAX(MIN('Council Entry'!J128,'Council Entry'!J$9),'Council Entry'!J$8),'Council Entry'!J128)),IF(AND(ISNUMBER('Council Entry'!J$8),ISNUMBER('Council Entry'!J$9)),MAX(MIN('Council Entry'!J128,'Council Entry'!J$9),'Council Entry'!J$8),'Council Entry'!J128))))-'Council Entry'!J$5)/('Council Entry'!J$6-'Council Entry'!J$5)),1))),"No data"))</f>
        <v/>
      </c>
      <c r="K128" s="13">
        <f>IF('Council Entry'!K128="","",IFERROR(MAX(0,MIN(10,ROUND(IF('Council Entry'!K$7="Decrease Risk",10-10*((IF('Council Entry'!K$4="Logarithm",LN(0.001+IF(AND(ISNUMBER('Council Entry'!K$8),ISNUMBER('Council Entry'!K$9)),MAX(MIN('Council Entry'!K128,'Council Entry'!K$9),'Council Entry'!K$8),'Council Entry'!K128)),IF('Council Entry'!K$4="Exponential",EXP(IF(AND(ISNUMBER('Council Entry'!K$8),ISNUMBER('Council Entry'!K$9)),MAX(MIN('Council Entry'!K128,'Council Entry'!K$9),'Council Entry'!K$8),'Council Entry'!K128)),IF(AND(ISNUMBER('Council Entry'!K$8),ISNUMBER('Council Entry'!K$9)),MAX(MIN('Council Entry'!K128,'Council Entry'!K$9),'Council Entry'!K$8),'Council Entry'!K128))))-'Council Entry'!K$5)/('Council Entry'!K$6-'Council Entry'!K$5),10*((IF('Council Entry'!K$4="Logarithm",LN(0.001+IF(AND(ISNUMBER('Council Entry'!K$8),ISNUMBER('Council Entry'!K$9)),MAX(MIN('Council Entry'!K128,'Council Entry'!K$9),'Council Entry'!K$8),'Council Entry'!K128)),IF('Council Entry'!K$4="Exponential",EXP(IF(AND(ISNUMBER('Council Entry'!K$8),ISNUMBER('Council Entry'!K$9)),MAX(MIN('Council Entry'!K128,'Council Entry'!K$9),'Council Entry'!K$8),'Council Entry'!K128)),IF(AND(ISNUMBER('Council Entry'!K$8),ISNUMBER('Council Entry'!K$9)),MAX(MIN('Council Entry'!K128,'Council Entry'!K$9),'Council Entry'!K$8),'Council Entry'!K128))))-'Council Entry'!K$5)/('Council Entry'!K$6-'Council Entry'!K$5)),1))),"No data"))</f>
        <v/>
      </c>
      <c r="L128" s="13">
        <f>IF('Council Entry'!L128="","",IFERROR(MAX(0,MIN(10,ROUND(IF('Council Entry'!L$7="Decrease Risk",10-10*((IF('Council Entry'!L$4="Logarithm",LN(0.001+IF(AND(ISNUMBER('Council Entry'!L$8),ISNUMBER('Council Entry'!L$9)),MAX(MIN('Council Entry'!L128,'Council Entry'!L$9),'Council Entry'!L$8),'Council Entry'!L128)),IF('Council Entry'!L$4="Exponential",EXP(IF(AND(ISNUMBER('Council Entry'!L$8),ISNUMBER('Council Entry'!L$9)),MAX(MIN('Council Entry'!L128,'Council Entry'!L$9),'Council Entry'!L$8),'Council Entry'!L128)),IF(AND(ISNUMBER('Council Entry'!L$8),ISNUMBER('Council Entry'!L$9)),MAX(MIN('Council Entry'!L128,'Council Entry'!L$9),'Council Entry'!L$8),'Council Entry'!L128))))-'Council Entry'!L$5)/('Council Entry'!L$6-'Council Entry'!L$5),10*((IF('Council Entry'!L$4="Logarithm",LN(0.001+IF(AND(ISNUMBER('Council Entry'!L$8),ISNUMBER('Council Entry'!L$9)),MAX(MIN('Council Entry'!L128,'Council Entry'!L$9),'Council Entry'!L$8),'Council Entry'!L128)),IF('Council Entry'!L$4="Exponential",EXP(IF(AND(ISNUMBER('Council Entry'!L$8),ISNUMBER('Council Entry'!L$9)),MAX(MIN('Council Entry'!L128,'Council Entry'!L$9),'Council Entry'!L$8),'Council Entry'!L128)),IF(AND(ISNUMBER('Council Entry'!L$8),ISNUMBER('Council Entry'!L$9)),MAX(MIN('Council Entry'!L128,'Council Entry'!L$9),'Council Entry'!L$8),'Council Entry'!L128))))-'Council Entry'!L$5)/('Council Entry'!L$6-'Council Entry'!L$5)),1))),"No data"))</f>
        <v/>
      </c>
      <c r="M128" s="13">
        <f>IF('Council Entry'!M128="","",IFERROR(MAX(0,MIN(10,ROUND(IF('Council Entry'!M$7="Decrease Risk",10-10*((IF('Council Entry'!M$4="Logarithm",LN(0.001+IF(AND(ISNUMBER('Council Entry'!M$8),ISNUMBER('Council Entry'!M$9)),MAX(MIN('Council Entry'!M128,'Council Entry'!M$9),'Council Entry'!M$8),'Council Entry'!M128)),IF('Council Entry'!M$4="Exponential",EXP(IF(AND(ISNUMBER('Council Entry'!M$8),ISNUMBER('Council Entry'!M$9)),MAX(MIN('Council Entry'!M128,'Council Entry'!M$9),'Council Entry'!M$8),'Council Entry'!M128)),IF(AND(ISNUMBER('Council Entry'!M$8),ISNUMBER('Council Entry'!M$9)),MAX(MIN('Council Entry'!M128,'Council Entry'!M$9),'Council Entry'!M$8),'Council Entry'!M128))))-'Council Entry'!M$5)/('Council Entry'!M$6-'Council Entry'!M$5),10*((IF('Council Entry'!M$4="Logarithm",LN(0.001+IF(AND(ISNUMBER('Council Entry'!M$8),ISNUMBER('Council Entry'!M$9)),MAX(MIN('Council Entry'!M128,'Council Entry'!M$9),'Council Entry'!M$8),'Council Entry'!M128)),IF('Council Entry'!M$4="Exponential",EXP(IF(AND(ISNUMBER('Council Entry'!M$8),ISNUMBER('Council Entry'!M$9)),MAX(MIN('Council Entry'!M128,'Council Entry'!M$9),'Council Entry'!M$8),'Council Entry'!M128)),IF(AND(ISNUMBER('Council Entry'!M$8),ISNUMBER('Council Entry'!M$9)),MAX(MIN('Council Entry'!M128,'Council Entry'!M$9),'Council Entry'!M$8),'Council Entry'!M128))))-'Council Entry'!M$5)/('Council Entry'!M$6-'Council Entry'!M$5)),1))),"No data"))</f>
        <v/>
      </c>
      <c r="N128" s="13">
        <f>IF('Council Entry'!N128="","",IFERROR(MAX(0,MIN(10,ROUND(IF('Council Entry'!N$7="Decrease Risk",10-10*((IF('Council Entry'!N$4="Logarithm",LN(0.001+IF(AND(ISNUMBER('Council Entry'!N$8),ISNUMBER('Council Entry'!N$9)),MAX(MIN('Council Entry'!N128,'Council Entry'!N$9),'Council Entry'!N$8),'Council Entry'!N128)),IF('Council Entry'!N$4="Exponential",EXP(IF(AND(ISNUMBER('Council Entry'!N$8),ISNUMBER('Council Entry'!N$9)),MAX(MIN('Council Entry'!N128,'Council Entry'!N$9),'Council Entry'!N$8),'Council Entry'!N128)),IF(AND(ISNUMBER('Council Entry'!N$8),ISNUMBER('Council Entry'!N$9)),MAX(MIN('Council Entry'!N128,'Council Entry'!N$9),'Council Entry'!N$8),'Council Entry'!N128))))-'Council Entry'!N$5)/('Council Entry'!N$6-'Council Entry'!N$5),10*((IF('Council Entry'!N$4="Logarithm",LN(0.001+IF(AND(ISNUMBER('Council Entry'!N$8),ISNUMBER('Council Entry'!N$9)),MAX(MIN('Council Entry'!N128,'Council Entry'!N$9),'Council Entry'!N$8),'Council Entry'!N128)),IF('Council Entry'!N$4="Exponential",EXP(IF(AND(ISNUMBER('Council Entry'!N$8),ISNUMBER('Council Entry'!N$9)),MAX(MIN('Council Entry'!N128,'Council Entry'!N$9),'Council Entry'!N$8),'Council Entry'!N128)),IF(AND(ISNUMBER('Council Entry'!N$8),ISNUMBER('Council Entry'!N$9)),MAX(MIN('Council Entry'!N128,'Council Entry'!N$9),'Council Entry'!N$8),'Council Entry'!N128))))-'Council Entry'!N$5)/('Council Entry'!N$6-'Council Entry'!N$5)),1))),"No data"))</f>
        <v/>
      </c>
      <c r="O128" s="13">
        <f>IF('Council Entry'!O128="","",IFERROR(MAX(0,MIN(10,ROUND(IF('Council Entry'!O$7="Decrease Risk",10-10*((IF('Council Entry'!O$4="Logarithm",LN(0.001+IF(AND(ISNUMBER('Council Entry'!O$8),ISNUMBER('Council Entry'!O$9)),MAX(MIN('Council Entry'!O128,'Council Entry'!O$9),'Council Entry'!O$8),'Council Entry'!O128)),IF('Council Entry'!O$4="Exponential",EXP(IF(AND(ISNUMBER('Council Entry'!O$8),ISNUMBER('Council Entry'!O$9)),MAX(MIN('Council Entry'!O128,'Council Entry'!O$9),'Council Entry'!O$8),'Council Entry'!O128)),IF(AND(ISNUMBER('Council Entry'!O$8),ISNUMBER('Council Entry'!O$9)),MAX(MIN('Council Entry'!O128,'Council Entry'!O$9),'Council Entry'!O$8),'Council Entry'!O128))))-'Council Entry'!O$5)/('Council Entry'!O$6-'Council Entry'!O$5),10*((IF('Council Entry'!O$4="Logarithm",LN(0.001+IF(AND(ISNUMBER('Council Entry'!O$8),ISNUMBER('Council Entry'!O$9)),MAX(MIN('Council Entry'!O128,'Council Entry'!O$9),'Council Entry'!O$8),'Council Entry'!O128)),IF('Council Entry'!O$4="Exponential",EXP(IF(AND(ISNUMBER('Council Entry'!O$8),ISNUMBER('Council Entry'!O$9)),MAX(MIN('Council Entry'!O128,'Council Entry'!O$9),'Council Entry'!O$8),'Council Entry'!O128)),IF(AND(ISNUMBER('Council Entry'!O$8),ISNUMBER('Council Entry'!O$9)),MAX(MIN('Council Entry'!O128,'Council Entry'!O$9),'Council Entry'!O$8),'Council Entry'!O128))))-'Council Entry'!O$5)/('Council Entry'!O$6-'Council Entry'!O$5)),1))),"No data"))</f>
        <v/>
      </c>
      <c r="P128" s="13">
        <f>IF('Council Entry'!P128="","",IFERROR(MAX(0,MIN(10,ROUND(IF('Council Entry'!P$7="Decrease Risk",10-10*((IF('Council Entry'!P$4="Logarithm",LN(0.001+IF(AND(ISNUMBER('Council Entry'!P$8),ISNUMBER('Council Entry'!P$9)),MAX(MIN('Council Entry'!P128,'Council Entry'!P$9),'Council Entry'!P$8),'Council Entry'!P128)),IF('Council Entry'!P$4="Exponential",EXP(IF(AND(ISNUMBER('Council Entry'!P$8),ISNUMBER('Council Entry'!P$9)),MAX(MIN('Council Entry'!P128,'Council Entry'!P$9),'Council Entry'!P$8),'Council Entry'!P128)),IF(AND(ISNUMBER('Council Entry'!P$8),ISNUMBER('Council Entry'!P$9)),MAX(MIN('Council Entry'!P128,'Council Entry'!P$9),'Council Entry'!P$8),'Council Entry'!P128))))-'Council Entry'!P$5)/('Council Entry'!P$6-'Council Entry'!P$5),10*((IF('Council Entry'!P$4="Logarithm",LN(0.001+IF(AND(ISNUMBER('Council Entry'!P$8),ISNUMBER('Council Entry'!P$9)),MAX(MIN('Council Entry'!P128,'Council Entry'!P$9),'Council Entry'!P$8),'Council Entry'!P128)),IF('Council Entry'!P$4="Exponential",EXP(IF(AND(ISNUMBER('Council Entry'!P$8),ISNUMBER('Council Entry'!P$9)),MAX(MIN('Council Entry'!P128,'Council Entry'!P$9),'Council Entry'!P$8),'Council Entry'!P128)),IF(AND(ISNUMBER('Council Entry'!P$8),ISNUMBER('Council Entry'!P$9)),MAX(MIN('Council Entry'!P128,'Council Entry'!P$9),'Council Entry'!P$8),'Council Entry'!P128))))-'Council Entry'!P$5)/('Council Entry'!P$6-'Council Entry'!P$5)),1))),"No data"))</f>
        <v/>
      </c>
      <c r="Q128" s="13">
        <f>IF('Council Entry'!Q128="","",IFERROR(MAX(0,MIN(10,ROUND(IF('Council Entry'!Q$7="Decrease Risk",10-10*((IF('Council Entry'!Q$4="Logarithm",LN(0.001+IF(AND(ISNUMBER('Council Entry'!Q$8),ISNUMBER('Council Entry'!Q$9)),MAX(MIN('Council Entry'!Q128,'Council Entry'!Q$9),'Council Entry'!Q$8),'Council Entry'!Q128)),IF('Council Entry'!Q$4="Exponential",EXP(IF(AND(ISNUMBER('Council Entry'!Q$8),ISNUMBER('Council Entry'!Q$9)),MAX(MIN('Council Entry'!Q128,'Council Entry'!Q$9),'Council Entry'!Q$8),'Council Entry'!Q128)),IF(AND(ISNUMBER('Council Entry'!Q$8),ISNUMBER('Council Entry'!Q$9)),MAX(MIN('Council Entry'!Q128,'Council Entry'!Q$9),'Council Entry'!Q$8),'Council Entry'!Q128))))-'Council Entry'!Q$5)/('Council Entry'!Q$6-'Council Entry'!Q$5),10*((IF('Council Entry'!Q$4="Logarithm",LN(0.001+IF(AND(ISNUMBER('Council Entry'!Q$8),ISNUMBER('Council Entry'!Q$9)),MAX(MIN('Council Entry'!Q128,'Council Entry'!Q$9),'Council Entry'!Q$8),'Council Entry'!Q128)),IF('Council Entry'!Q$4="Exponential",EXP(IF(AND(ISNUMBER('Council Entry'!Q$8),ISNUMBER('Council Entry'!Q$9)),MAX(MIN('Council Entry'!Q128,'Council Entry'!Q$9),'Council Entry'!Q$8),'Council Entry'!Q128)),IF(AND(ISNUMBER('Council Entry'!Q$8),ISNUMBER('Council Entry'!Q$9)),MAX(MIN('Council Entry'!Q128,'Council Entry'!Q$9),'Council Entry'!Q$8),'Council Entry'!Q128))))-'Council Entry'!Q$5)/('Council Entry'!Q$6-'Council Entry'!Q$5)),1))),"No data"))</f>
        <v/>
      </c>
      <c r="R128" s="13">
        <f>IF('Council Entry'!R128="","",IFERROR(MAX(0,MIN(10,ROUND(IF('Council Entry'!R$7="Decrease Risk",10-10*((IF('Council Entry'!R$4="Logarithm",LN(0.001+IF(AND(ISNUMBER('Council Entry'!R$8),ISNUMBER('Council Entry'!R$9)),MAX(MIN('Council Entry'!R128,'Council Entry'!R$9),'Council Entry'!R$8),'Council Entry'!R128)),IF('Council Entry'!R$4="Exponential",EXP(IF(AND(ISNUMBER('Council Entry'!R$8),ISNUMBER('Council Entry'!R$9)),MAX(MIN('Council Entry'!R128,'Council Entry'!R$9),'Council Entry'!R$8),'Council Entry'!R128)),IF(AND(ISNUMBER('Council Entry'!R$8),ISNUMBER('Council Entry'!R$9)),MAX(MIN('Council Entry'!R128,'Council Entry'!R$9),'Council Entry'!R$8),'Council Entry'!R128))))-'Council Entry'!R$5)/('Council Entry'!R$6-'Council Entry'!R$5),10*((IF('Council Entry'!R$4="Logarithm",LN(0.001+IF(AND(ISNUMBER('Council Entry'!R$8),ISNUMBER('Council Entry'!R$9)),MAX(MIN('Council Entry'!R128,'Council Entry'!R$9),'Council Entry'!R$8),'Council Entry'!R128)),IF('Council Entry'!R$4="Exponential",EXP(IF(AND(ISNUMBER('Council Entry'!R$8),ISNUMBER('Council Entry'!R$9)),MAX(MIN('Council Entry'!R128,'Council Entry'!R$9),'Council Entry'!R$8),'Council Entry'!R128)),IF(AND(ISNUMBER('Council Entry'!R$8),ISNUMBER('Council Entry'!R$9)),MAX(MIN('Council Entry'!R128,'Council Entry'!R$9),'Council Entry'!R$8),'Council Entry'!R128))))-'Council Entry'!R$5)/('Council Entry'!R$6-'Council Entry'!R$5)),1))),"No data"))</f>
        <v/>
      </c>
      <c r="S128" s="13">
        <f>IF('Council Entry'!S128="","",IFERROR(MAX(0,MIN(10,ROUND(IF('Council Entry'!S$7="Decrease Risk",10-10*((IF('Council Entry'!S$4="Logarithm",LN(0.001+IF(AND(ISNUMBER('Council Entry'!S$8),ISNUMBER('Council Entry'!S$9)),MAX(MIN('Council Entry'!S128,'Council Entry'!S$9),'Council Entry'!S$8),'Council Entry'!S128)),IF('Council Entry'!S$4="Exponential",EXP(IF(AND(ISNUMBER('Council Entry'!S$8),ISNUMBER('Council Entry'!S$9)),MAX(MIN('Council Entry'!S128,'Council Entry'!S$9),'Council Entry'!S$8),'Council Entry'!S128)),IF(AND(ISNUMBER('Council Entry'!S$8),ISNUMBER('Council Entry'!S$9)),MAX(MIN('Council Entry'!S128,'Council Entry'!S$9),'Council Entry'!S$8),'Council Entry'!S128))))-'Council Entry'!S$5)/('Council Entry'!S$6-'Council Entry'!S$5),10*((IF('Council Entry'!S$4="Logarithm",LN(0.001+IF(AND(ISNUMBER('Council Entry'!S$8),ISNUMBER('Council Entry'!S$9)),MAX(MIN('Council Entry'!S128,'Council Entry'!S$9),'Council Entry'!S$8),'Council Entry'!S128)),IF('Council Entry'!S$4="Exponential",EXP(IF(AND(ISNUMBER('Council Entry'!S$8),ISNUMBER('Council Entry'!S$9)),MAX(MIN('Council Entry'!S128,'Council Entry'!S$9),'Council Entry'!S$8),'Council Entry'!S128)),IF(AND(ISNUMBER('Council Entry'!S$8),ISNUMBER('Council Entry'!S$9)),MAX(MIN('Council Entry'!S128,'Council Entry'!S$9),'Council Entry'!S$8),'Council Entry'!S128))))-'Council Entry'!S$5)/('Council Entry'!S$6-'Council Entry'!S$5)),1))),"No data"))</f>
        <v/>
      </c>
      <c r="T128" s="13">
        <f>IF('Council Entry'!T128="","",IFERROR(MAX(0,MIN(10,ROUND(IF('Council Entry'!T$7="Decrease Risk",10-10*((IF('Council Entry'!T$4="Logarithm",LN(0.001+IF(AND(ISNUMBER('Council Entry'!T$8),ISNUMBER('Council Entry'!T$9)),MAX(MIN('Council Entry'!T128,'Council Entry'!T$9),'Council Entry'!T$8),'Council Entry'!T128)),IF('Council Entry'!T$4="Exponential",EXP(IF(AND(ISNUMBER('Council Entry'!T$8),ISNUMBER('Council Entry'!T$9)),MAX(MIN('Council Entry'!T128,'Council Entry'!T$9),'Council Entry'!T$8),'Council Entry'!T128)),IF(AND(ISNUMBER('Council Entry'!T$8),ISNUMBER('Council Entry'!T$9)),MAX(MIN('Council Entry'!T128,'Council Entry'!T$9),'Council Entry'!T$8),'Council Entry'!T128))))-'Council Entry'!T$5)/('Council Entry'!T$6-'Council Entry'!T$5),10*((IF('Council Entry'!T$4="Logarithm",LN(0.001+IF(AND(ISNUMBER('Council Entry'!T$8),ISNUMBER('Council Entry'!T$9)),MAX(MIN('Council Entry'!T128,'Council Entry'!T$9),'Council Entry'!T$8),'Council Entry'!T128)),IF('Council Entry'!T$4="Exponential",EXP(IF(AND(ISNUMBER('Council Entry'!T$8),ISNUMBER('Council Entry'!T$9)),MAX(MIN('Council Entry'!T128,'Council Entry'!T$9),'Council Entry'!T$8),'Council Entry'!T128)),IF(AND(ISNUMBER('Council Entry'!T$8),ISNUMBER('Council Entry'!T$9)),MAX(MIN('Council Entry'!T128,'Council Entry'!T$9),'Council Entry'!T$8),'Council Entry'!T128))))-'Council Entry'!T$5)/('Council Entry'!T$6-'Council Entry'!T$5)),1))),"No data"))</f>
        <v/>
      </c>
      <c r="U128" s="13">
        <f>IF('Council Entry'!U128="","",IFERROR(MAX(0,MIN(10,ROUND(IF('Council Entry'!U$7="Decrease Risk",10-10*((IF('Council Entry'!U$4="Logarithm",LN(0.001+IF(AND(ISNUMBER('Council Entry'!U$8),ISNUMBER('Council Entry'!U$9)),MAX(MIN('Council Entry'!U128,'Council Entry'!U$9),'Council Entry'!U$8),'Council Entry'!U128)),IF('Council Entry'!U$4="Exponential",EXP(IF(AND(ISNUMBER('Council Entry'!U$8),ISNUMBER('Council Entry'!U$9)),MAX(MIN('Council Entry'!U128,'Council Entry'!U$9),'Council Entry'!U$8),'Council Entry'!U128)),IF(AND(ISNUMBER('Council Entry'!U$8),ISNUMBER('Council Entry'!U$9)),MAX(MIN('Council Entry'!U128,'Council Entry'!U$9),'Council Entry'!U$8),'Council Entry'!U128))))-'Council Entry'!U$5)/('Council Entry'!U$6-'Council Entry'!U$5),10*((IF('Council Entry'!U$4="Logarithm",LN(0.001+IF(AND(ISNUMBER('Council Entry'!U$8),ISNUMBER('Council Entry'!U$9)),MAX(MIN('Council Entry'!U128,'Council Entry'!U$9),'Council Entry'!U$8),'Council Entry'!U128)),IF('Council Entry'!U$4="Exponential",EXP(IF(AND(ISNUMBER('Council Entry'!U$8),ISNUMBER('Council Entry'!U$9)),MAX(MIN('Council Entry'!U128,'Council Entry'!U$9),'Council Entry'!U$8),'Council Entry'!U128)),IF(AND(ISNUMBER('Council Entry'!U$8),ISNUMBER('Council Entry'!U$9)),MAX(MIN('Council Entry'!U128,'Council Entry'!U$9),'Council Entry'!U$8),'Council Entry'!U128))))-'Council Entry'!U$5)/('Council Entry'!U$6-'Council Entry'!U$5)),1))),"No data"))</f>
        <v/>
      </c>
      <c r="V128" s="13">
        <f>IF('Council Entry'!V128="","",IFERROR(MAX(0,MIN(10,ROUND(IF('Council Entry'!V$7="Decrease Risk",10-10*((IF('Council Entry'!V$4="Logarithm",LN(0.001+IF(AND(ISNUMBER('Council Entry'!V$8),ISNUMBER('Council Entry'!V$9)),MAX(MIN('Council Entry'!V128,'Council Entry'!V$9),'Council Entry'!V$8),'Council Entry'!V128)),IF('Council Entry'!V$4="Exponential",EXP(IF(AND(ISNUMBER('Council Entry'!V$8),ISNUMBER('Council Entry'!V$9)),MAX(MIN('Council Entry'!V128,'Council Entry'!V$9),'Council Entry'!V$8),'Council Entry'!V128)),IF(AND(ISNUMBER('Council Entry'!V$8),ISNUMBER('Council Entry'!V$9)),MAX(MIN('Council Entry'!V128,'Council Entry'!V$9),'Council Entry'!V$8),'Council Entry'!V128))))-'Council Entry'!V$5)/('Council Entry'!V$6-'Council Entry'!V$5),10*((IF('Council Entry'!V$4="Logarithm",LN(0.001+IF(AND(ISNUMBER('Council Entry'!V$8),ISNUMBER('Council Entry'!V$9)),MAX(MIN('Council Entry'!V128,'Council Entry'!V$9),'Council Entry'!V$8),'Council Entry'!V128)),IF('Council Entry'!V$4="Exponential",EXP(IF(AND(ISNUMBER('Council Entry'!V$8),ISNUMBER('Council Entry'!V$9)),MAX(MIN('Council Entry'!V128,'Council Entry'!V$9),'Council Entry'!V$8),'Council Entry'!V128)),IF(AND(ISNUMBER('Council Entry'!V$8),ISNUMBER('Council Entry'!V$9)),MAX(MIN('Council Entry'!V128,'Council Entry'!V$9),'Council Entry'!V$8),'Council Entry'!V128))))-'Council Entry'!V$5)/('Council Entry'!V$6-'Council Entry'!V$5)),1))),"No data"))</f>
        <v/>
      </c>
      <c r="W128" s="13">
        <f>IF('Council Entry'!W128="","",IFERROR(MAX(0,MIN(10,ROUND(IF('Council Entry'!W$7="Decrease Risk",10-10*((IF('Council Entry'!W$4="Logarithm",LN(0.001+IF(AND(ISNUMBER('Council Entry'!W$8),ISNUMBER('Council Entry'!W$9)),MAX(MIN('Council Entry'!W128,'Council Entry'!W$9),'Council Entry'!W$8),'Council Entry'!W128)),IF('Council Entry'!W$4="Exponential",EXP(IF(AND(ISNUMBER('Council Entry'!W$8),ISNUMBER('Council Entry'!W$9)),MAX(MIN('Council Entry'!W128,'Council Entry'!W$9),'Council Entry'!W$8),'Council Entry'!W128)),IF(AND(ISNUMBER('Council Entry'!W$8),ISNUMBER('Council Entry'!W$9)),MAX(MIN('Council Entry'!W128,'Council Entry'!W$9),'Council Entry'!W$8),'Council Entry'!W128))))-'Council Entry'!W$5)/('Council Entry'!W$6-'Council Entry'!W$5),10*((IF('Council Entry'!W$4="Logarithm",LN(0.001+IF(AND(ISNUMBER('Council Entry'!W$8),ISNUMBER('Council Entry'!W$9)),MAX(MIN('Council Entry'!W128,'Council Entry'!W$9),'Council Entry'!W$8),'Council Entry'!W128)),IF('Council Entry'!W$4="Exponential",EXP(IF(AND(ISNUMBER('Council Entry'!W$8),ISNUMBER('Council Entry'!W$9)),MAX(MIN('Council Entry'!W128,'Council Entry'!W$9),'Council Entry'!W$8),'Council Entry'!W128)),IF(AND(ISNUMBER('Council Entry'!W$8),ISNUMBER('Council Entry'!W$9)),MAX(MIN('Council Entry'!W128,'Council Entry'!W$9),'Council Entry'!W$8),'Council Entry'!W128))))-'Council Entry'!W$5)/('Council Entry'!W$6-'Council Entry'!W$5)),1))),"No data"))</f>
        <v/>
      </c>
      <c r="X128" s="13">
        <f>IF('Council Entry'!X128="","",IFERROR(MAX(0,MIN(10,ROUND(IF('Council Entry'!X$7="Decrease Risk",10-10*((IF('Council Entry'!X$4="Logarithm",LN(0.001+IF(AND(ISNUMBER('Council Entry'!X$8),ISNUMBER('Council Entry'!X$9)),MAX(MIN('Council Entry'!X128,'Council Entry'!X$9),'Council Entry'!X$8),'Council Entry'!X128)),IF('Council Entry'!X$4="Exponential",EXP(IF(AND(ISNUMBER('Council Entry'!X$8),ISNUMBER('Council Entry'!X$9)),MAX(MIN('Council Entry'!X128,'Council Entry'!X$9),'Council Entry'!X$8),'Council Entry'!X128)),IF(AND(ISNUMBER('Council Entry'!X$8),ISNUMBER('Council Entry'!X$9)),MAX(MIN('Council Entry'!X128,'Council Entry'!X$9),'Council Entry'!X$8),'Council Entry'!X128))))-'Council Entry'!X$5)/('Council Entry'!X$6-'Council Entry'!X$5),10*((IF('Council Entry'!X$4="Logarithm",LN(0.001+IF(AND(ISNUMBER('Council Entry'!X$8),ISNUMBER('Council Entry'!X$9)),MAX(MIN('Council Entry'!X128,'Council Entry'!X$9),'Council Entry'!X$8),'Council Entry'!X128)),IF('Council Entry'!X$4="Exponential",EXP(IF(AND(ISNUMBER('Council Entry'!X$8),ISNUMBER('Council Entry'!X$9)),MAX(MIN('Council Entry'!X128,'Council Entry'!X$9),'Council Entry'!X$8),'Council Entry'!X128)),IF(AND(ISNUMBER('Council Entry'!X$8),ISNUMBER('Council Entry'!X$9)),MAX(MIN('Council Entry'!X128,'Council Entry'!X$9),'Council Entry'!X$8),'Council Entry'!X128))))-'Council Entry'!X$5)/('Council Entry'!X$6-'Council Entry'!X$5)),1))),"No data"))</f>
        <v/>
      </c>
      <c r="Y128" s="13">
        <f>IF('Council Entry'!Y128="","",IFERROR(MAX(0,MIN(10,ROUND(IF('Council Entry'!Y$7="Decrease Risk",10-10*((IF('Council Entry'!Y$4="Logarithm",LN(0.001+IF(AND(ISNUMBER('Council Entry'!Y$8),ISNUMBER('Council Entry'!Y$9)),MAX(MIN('Council Entry'!Y128,'Council Entry'!Y$9),'Council Entry'!Y$8),'Council Entry'!Y128)),IF('Council Entry'!Y$4="Exponential",EXP(IF(AND(ISNUMBER('Council Entry'!Y$8),ISNUMBER('Council Entry'!Y$9)),MAX(MIN('Council Entry'!Y128,'Council Entry'!Y$9),'Council Entry'!Y$8),'Council Entry'!Y128)),IF(AND(ISNUMBER('Council Entry'!Y$8),ISNUMBER('Council Entry'!Y$9)),MAX(MIN('Council Entry'!Y128,'Council Entry'!Y$9),'Council Entry'!Y$8),'Council Entry'!Y128))))-'Council Entry'!Y$5)/('Council Entry'!Y$6-'Council Entry'!Y$5),10*((IF('Council Entry'!Y$4="Logarithm",LN(0.001+IF(AND(ISNUMBER('Council Entry'!Y$8),ISNUMBER('Council Entry'!Y$9)),MAX(MIN('Council Entry'!Y128,'Council Entry'!Y$9),'Council Entry'!Y$8),'Council Entry'!Y128)),IF('Council Entry'!Y$4="Exponential",EXP(IF(AND(ISNUMBER('Council Entry'!Y$8),ISNUMBER('Council Entry'!Y$9)),MAX(MIN('Council Entry'!Y128,'Council Entry'!Y$9),'Council Entry'!Y$8),'Council Entry'!Y128)),IF(AND(ISNUMBER('Council Entry'!Y$8),ISNUMBER('Council Entry'!Y$9)),MAX(MIN('Council Entry'!Y128,'Council Entry'!Y$9),'Council Entry'!Y$8),'Council Entry'!Y128))))-'Council Entry'!Y$5)/('Council Entry'!Y$6-'Council Entry'!Y$5)),1))),"No data"))</f>
        <v/>
      </c>
      <c r="Z128" s="13">
        <f>IF('Council Entry'!Z128="","",IFERROR(MAX(0,MIN(10,ROUND(IF('Council Entry'!Z$7="Decrease Risk",10-10*((IF('Council Entry'!Z$4="Logarithm",LN(0.001+IF(AND(ISNUMBER('Council Entry'!Z$8),ISNUMBER('Council Entry'!Z$9)),MAX(MIN('Council Entry'!Z128,'Council Entry'!Z$9),'Council Entry'!Z$8),'Council Entry'!Z128)),IF('Council Entry'!Z$4="Exponential",EXP(IF(AND(ISNUMBER('Council Entry'!Z$8),ISNUMBER('Council Entry'!Z$9)),MAX(MIN('Council Entry'!Z128,'Council Entry'!Z$9),'Council Entry'!Z$8),'Council Entry'!Z128)),IF(AND(ISNUMBER('Council Entry'!Z$8),ISNUMBER('Council Entry'!Z$9)),MAX(MIN('Council Entry'!Z128,'Council Entry'!Z$9),'Council Entry'!Z$8),'Council Entry'!Z128))))-'Council Entry'!Z$5)/('Council Entry'!Z$6-'Council Entry'!Z$5),10*((IF('Council Entry'!Z$4="Logarithm",LN(0.001+IF(AND(ISNUMBER('Council Entry'!Z$8),ISNUMBER('Council Entry'!Z$9)),MAX(MIN('Council Entry'!Z128,'Council Entry'!Z$9),'Council Entry'!Z$8),'Council Entry'!Z128)),IF('Council Entry'!Z$4="Exponential",EXP(IF(AND(ISNUMBER('Council Entry'!Z$8),ISNUMBER('Council Entry'!Z$9)),MAX(MIN('Council Entry'!Z128,'Council Entry'!Z$9),'Council Entry'!Z$8),'Council Entry'!Z128)),IF(AND(ISNUMBER('Council Entry'!Z$8),ISNUMBER('Council Entry'!Z$9)),MAX(MIN('Council Entry'!Z128,'Council Entry'!Z$9),'Council Entry'!Z$8),'Council Entry'!Z128))))-'Council Entry'!Z$5)/('Council Entry'!Z$6-'Council Entry'!Z$5)),1))),"No data"))</f>
        <v/>
      </c>
      <c r="AA128" s="13">
        <f>IF('Council Entry'!AA128="","",IFERROR(MAX(0,MIN(10,ROUND(IF('Council Entry'!AA$7="Decrease Risk",10-10*((IF('Council Entry'!AA$4="Logarithm",LN(0.001+IF(AND(ISNUMBER('Council Entry'!AA$8),ISNUMBER('Council Entry'!AA$9)),MAX(MIN('Council Entry'!AA128,'Council Entry'!AA$9),'Council Entry'!AA$8),'Council Entry'!AA128)),IF('Council Entry'!AA$4="Exponential",EXP(IF(AND(ISNUMBER('Council Entry'!AA$8),ISNUMBER('Council Entry'!AA$9)),MAX(MIN('Council Entry'!AA128,'Council Entry'!AA$9),'Council Entry'!AA$8),'Council Entry'!AA128)),IF(AND(ISNUMBER('Council Entry'!AA$8),ISNUMBER('Council Entry'!AA$9)),MAX(MIN('Council Entry'!AA128,'Council Entry'!AA$9),'Council Entry'!AA$8),'Council Entry'!AA128))))-'Council Entry'!AA$5)/('Council Entry'!AA$6-'Council Entry'!AA$5),10*((IF('Council Entry'!AA$4="Logarithm",LN(0.001+IF(AND(ISNUMBER('Council Entry'!AA$8),ISNUMBER('Council Entry'!AA$9)),MAX(MIN('Council Entry'!AA128,'Council Entry'!AA$9),'Council Entry'!AA$8),'Council Entry'!AA128)),IF('Council Entry'!AA$4="Exponential",EXP(IF(AND(ISNUMBER('Council Entry'!AA$8),ISNUMBER('Council Entry'!AA$9)),MAX(MIN('Council Entry'!AA128,'Council Entry'!AA$9),'Council Entry'!AA$8),'Council Entry'!AA128)),IF(AND(ISNUMBER('Council Entry'!AA$8),ISNUMBER('Council Entry'!AA$9)),MAX(MIN('Council Entry'!AA128,'Council Entry'!AA$9),'Council Entry'!AA$8),'Council Entry'!AA128))))-'Council Entry'!AA$5)/('Council Entry'!AA$6-'Council Entry'!AA$5)),1))),"No data"))</f>
        <v/>
      </c>
      <c r="AB128" s="13">
        <f>IF('Council Entry'!AB128="","",IFERROR(MAX(0,MIN(10,ROUND(IF('Council Entry'!AB$7="Decrease Risk",10-10*((IF('Council Entry'!AB$4="Logarithm",LN(0.001+IF(AND(ISNUMBER('Council Entry'!AB$8),ISNUMBER('Council Entry'!AB$9)),MAX(MIN('Council Entry'!AB128,'Council Entry'!AB$9),'Council Entry'!AB$8),'Council Entry'!AB128)),IF('Council Entry'!AB$4="Exponential",EXP(IF(AND(ISNUMBER('Council Entry'!AB$8),ISNUMBER('Council Entry'!AB$9)),MAX(MIN('Council Entry'!AB128,'Council Entry'!AB$9),'Council Entry'!AB$8),'Council Entry'!AB128)),IF(AND(ISNUMBER('Council Entry'!AB$8),ISNUMBER('Council Entry'!AB$9)),MAX(MIN('Council Entry'!AB128,'Council Entry'!AB$9),'Council Entry'!AB$8),'Council Entry'!AB128))))-'Council Entry'!AB$5)/('Council Entry'!AB$6-'Council Entry'!AB$5),10*((IF('Council Entry'!AB$4="Logarithm",LN(0.001+IF(AND(ISNUMBER('Council Entry'!AB$8),ISNUMBER('Council Entry'!AB$9)),MAX(MIN('Council Entry'!AB128,'Council Entry'!AB$9),'Council Entry'!AB$8),'Council Entry'!AB128)),IF('Council Entry'!AB$4="Exponential",EXP(IF(AND(ISNUMBER('Council Entry'!AB$8),ISNUMBER('Council Entry'!AB$9)),MAX(MIN('Council Entry'!AB128,'Council Entry'!AB$9),'Council Entry'!AB$8),'Council Entry'!AB128)),IF(AND(ISNUMBER('Council Entry'!AB$8),ISNUMBER('Council Entry'!AB$9)),MAX(MIN('Council Entry'!AB128,'Council Entry'!AB$9),'Council Entry'!AB$8),'Council Entry'!AB128))))-'Council Entry'!AB$5)/('Council Entry'!AB$6-'Council Entry'!AB$5)),1))),"No data"))</f>
        <v/>
      </c>
      <c r="AC128" s="13">
        <f>IF('Council Entry'!AC128="","",IFERROR(MAX(0,MIN(10,ROUND(IF('Council Entry'!AC$7="Decrease Risk",10-10*((IF('Council Entry'!AC$4="Logarithm",LN(0.001+IF(AND(ISNUMBER('Council Entry'!AC$8),ISNUMBER('Council Entry'!AC$9)),MAX(MIN('Council Entry'!AC128,'Council Entry'!AC$9),'Council Entry'!AC$8),'Council Entry'!AC128)),IF('Council Entry'!AC$4="Exponential",EXP(IF(AND(ISNUMBER('Council Entry'!AC$8),ISNUMBER('Council Entry'!AC$9)),MAX(MIN('Council Entry'!AC128,'Council Entry'!AC$9),'Council Entry'!AC$8),'Council Entry'!AC128)),IF(AND(ISNUMBER('Council Entry'!AC$8),ISNUMBER('Council Entry'!AC$9)),MAX(MIN('Council Entry'!AC128,'Council Entry'!AC$9),'Council Entry'!AC$8),'Council Entry'!AC128))))-'Council Entry'!AC$5)/('Council Entry'!AC$6-'Council Entry'!AC$5),10*((IF('Council Entry'!AC$4="Logarithm",LN(0.001+IF(AND(ISNUMBER('Council Entry'!AC$8),ISNUMBER('Council Entry'!AC$9)),MAX(MIN('Council Entry'!AC128,'Council Entry'!AC$9),'Council Entry'!AC$8),'Council Entry'!AC128)),IF('Council Entry'!AC$4="Exponential",EXP(IF(AND(ISNUMBER('Council Entry'!AC$8),ISNUMBER('Council Entry'!AC$9)),MAX(MIN('Council Entry'!AC128,'Council Entry'!AC$9),'Council Entry'!AC$8),'Council Entry'!AC128)),IF(AND(ISNUMBER('Council Entry'!AC$8),ISNUMBER('Council Entry'!AC$9)),MAX(MIN('Council Entry'!AC128,'Council Entry'!AC$9),'Council Entry'!AC$8),'Council Entry'!AC128))))-'Council Entry'!AC$5)/('Council Entry'!AC$6-'Council Entry'!AC$5)),1))),"No data"))</f>
        <v/>
      </c>
      <c r="AD128" s="13">
        <f>IF('Council Entry'!AD128="","",IFERROR(MAX(0,MIN(10,ROUND(IF('Council Entry'!AD$7="Decrease Risk",10-10*((IF('Council Entry'!AD$4="Logarithm",LN(0.001+IF(AND(ISNUMBER('Council Entry'!AD$8),ISNUMBER('Council Entry'!AD$9)),MAX(MIN('Council Entry'!AD128,'Council Entry'!AD$9),'Council Entry'!AD$8),'Council Entry'!AD128)),IF('Council Entry'!AD$4="Exponential",EXP(IF(AND(ISNUMBER('Council Entry'!AD$8),ISNUMBER('Council Entry'!AD$9)),MAX(MIN('Council Entry'!AD128,'Council Entry'!AD$9),'Council Entry'!AD$8),'Council Entry'!AD128)),IF(AND(ISNUMBER('Council Entry'!AD$8),ISNUMBER('Council Entry'!AD$9)),MAX(MIN('Council Entry'!AD128,'Council Entry'!AD$9),'Council Entry'!AD$8),'Council Entry'!AD128))))-'Council Entry'!AD$5)/('Council Entry'!AD$6-'Council Entry'!AD$5),10*((IF('Council Entry'!AD$4="Logarithm",LN(0.001+IF(AND(ISNUMBER('Council Entry'!AD$8),ISNUMBER('Council Entry'!AD$9)),MAX(MIN('Council Entry'!AD128,'Council Entry'!AD$9),'Council Entry'!AD$8),'Council Entry'!AD128)),IF('Council Entry'!AD$4="Exponential",EXP(IF(AND(ISNUMBER('Council Entry'!AD$8),ISNUMBER('Council Entry'!AD$9)),MAX(MIN('Council Entry'!AD128,'Council Entry'!AD$9),'Council Entry'!AD$8),'Council Entry'!AD128)),IF(AND(ISNUMBER('Council Entry'!AD$8),ISNUMBER('Council Entry'!AD$9)),MAX(MIN('Council Entry'!AD128,'Council Entry'!AD$9),'Council Entry'!AD$8),'Council Entry'!AD128))))-'Council Entry'!AD$5)/('Council Entry'!AD$6-'Council Entry'!AD$5)),1))),"No data"))</f>
        <v/>
      </c>
      <c r="AE128" s="13">
        <f>IF('Council Entry'!AE128="","",IFERROR(MAX(0,MIN(10,ROUND(IF('Council Entry'!AE$7="Decrease Risk",10-10*((IF('Council Entry'!AE$4="Logarithm",LN(0.001+IF(AND(ISNUMBER('Council Entry'!AE$8),ISNUMBER('Council Entry'!AE$9)),MAX(MIN('Council Entry'!AE128,'Council Entry'!AE$9),'Council Entry'!AE$8),'Council Entry'!AE128)),IF('Council Entry'!AE$4="Exponential",EXP(IF(AND(ISNUMBER('Council Entry'!AE$8),ISNUMBER('Council Entry'!AE$9)),MAX(MIN('Council Entry'!AE128,'Council Entry'!AE$9),'Council Entry'!AE$8),'Council Entry'!AE128)),IF(AND(ISNUMBER('Council Entry'!AE$8),ISNUMBER('Council Entry'!AE$9)),MAX(MIN('Council Entry'!AE128,'Council Entry'!AE$9),'Council Entry'!AE$8),'Council Entry'!AE128))))-'Council Entry'!AE$5)/('Council Entry'!AE$6-'Council Entry'!AE$5),10*((IF('Council Entry'!AE$4="Logarithm",LN(0.001+IF(AND(ISNUMBER('Council Entry'!AE$8),ISNUMBER('Council Entry'!AE$9)),MAX(MIN('Council Entry'!AE128,'Council Entry'!AE$9),'Council Entry'!AE$8),'Council Entry'!AE128)),IF('Council Entry'!AE$4="Exponential",EXP(IF(AND(ISNUMBER('Council Entry'!AE$8),ISNUMBER('Council Entry'!AE$9)),MAX(MIN('Council Entry'!AE128,'Council Entry'!AE$9),'Council Entry'!AE$8),'Council Entry'!AE128)),IF(AND(ISNUMBER('Council Entry'!AE$8),ISNUMBER('Council Entry'!AE$9)),MAX(MIN('Council Entry'!AE128,'Council Entry'!AE$9),'Council Entry'!AE$8),'Council Entry'!AE128))))-'Council Entry'!AE$5)/('Council Entry'!AE$6-'Council Entry'!AE$5)),1))),"No data"))</f>
        <v/>
      </c>
      <c r="AF128" s="13">
        <f>IF('Council Entry'!AF128="","",IFERROR(MAX(0,MIN(10,ROUND(IF('Council Entry'!AF$7="Decrease Risk",10-10*((IF('Council Entry'!AF$4="Logarithm",LN(0.001+IF(AND(ISNUMBER('Council Entry'!AF$8),ISNUMBER('Council Entry'!AF$9)),MAX(MIN('Council Entry'!AF128,'Council Entry'!AF$9),'Council Entry'!AF$8),'Council Entry'!AF128)),IF('Council Entry'!AF$4="Exponential",EXP(IF(AND(ISNUMBER('Council Entry'!AF$8),ISNUMBER('Council Entry'!AF$9)),MAX(MIN('Council Entry'!AF128,'Council Entry'!AF$9),'Council Entry'!AF$8),'Council Entry'!AF128)),IF(AND(ISNUMBER('Council Entry'!AF$8),ISNUMBER('Council Entry'!AF$9)),MAX(MIN('Council Entry'!AF128,'Council Entry'!AF$9),'Council Entry'!AF$8),'Council Entry'!AF128))))-'Council Entry'!AF$5)/('Council Entry'!AF$6-'Council Entry'!AF$5),10*((IF('Council Entry'!AF$4="Logarithm",LN(0.001+IF(AND(ISNUMBER('Council Entry'!AF$8),ISNUMBER('Council Entry'!AF$9)),MAX(MIN('Council Entry'!AF128,'Council Entry'!AF$9),'Council Entry'!AF$8),'Council Entry'!AF128)),IF('Council Entry'!AF$4="Exponential",EXP(IF(AND(ISNUMBER('Council Entry'!AF$8),ISNUMBER('Council Entry'!AF$9)),MAX(MIN('Council Entry'!AF128,'Council Entry'!AF$9),'Council Entry'!AF$8),'Council Entry'!AF128)),IF(AND(ISNUMBER('Council Entry'!AF$8),ISNUMBER('Council Entry'!AF$9)),MAX(MIN('Council Entry'!AF128,'Council Entry'!AF$9),'Council Entry'!AF$8),'Council Entry'!AF128))))-'Council Entry'!AF$5)/('Council Entry'!AF$6-'Council Entry'!AF$5)),1))),"No data"))</f>
        <v/>
      </c>
      <c r="AG128" s="13">
        <f>IF('Council Entry'!AG128="","",IFERROR(MAX(0,MIN(10,ROUND(IF('Council Entry'!AG$7="Decrease Risk",10-10*((IF('Council Entry'!AG$4="Logarithm",LN(0.001+IF(AND(ISNUMBER('Council Entry'!AG$8),ISNUMBER('Council Entry'!AG$9)),MAX(MIN('Council Entry'!AG128,'Council Entry'!AG$9),'Council Entry'!AG$8),'Council Entry'!AG128)),IF('Council Entry'!AG$4="Exponential",EXP(IF(AND(ISNUMBER('Council Entry'!AG$8),ISNUMBER('Council Entry'!AG$9)),MAX(MIN('Council Entry'!AG128,'Council Entry'!AG$9),'Council Entry'!AG$8),'Council Entry'!AG128)),IF(AND(ISNUMBER('Council Entry'!AG$8),ISNUMBER('Council Entry'!AG$9)),MAX(MIN('Council Entry'!AG128,'Council Entry'!AG$9),'Council Entry'!AG$8),'Council Entry'!AG128))))-'Council Entry'!AG$5)/('Council Entry'!AG$6-'Council Entry'!AG$5),10*((IF('Council Entry'!AG$4="Logarithm",LN(0.001+IF(AND(ISNUMBER('Council Entry'!AG$8),ISNUMBER('Council Entry'!AG$9)),MAX(MIN('Council Entry'!AG128,'Council Entry'!AG$9),'Council Entry'!AG$8),'Council Entry'!AG128)),IF('Council Entry'!AG$4="Exponential",EXP(IF(AND(ISNUMBER('Council Entry'!AG$8),ISNUMBER('Council Entry'!AG$9)),MAX(MIN('Council Entry'!AG128,'Council Entry'!AG$9),'Council Entry'!AG$8),'Council Entry'!AG128)),IF(AND(ISNUMBER('Council Entry'!AG$8),ISNUMBER('Council Entry'!AG$9)),MAX(MIN('Council Entry'!AG128,'Council Entry'!AG$9),'Council Entry'!AG$8),'Council Entry'!AG128))))-'Council Entry'!AG$5)/('Council Entry'!AG$6-'Council Entry'!AG$5)),1))),"No data"))</f>
        <v/>
      </c>
      <c r="AH128" s="13">
        <f>IF('Council Entry'!AH128="","",IFERROR(MAX(0,MIN(10,ROUND(IF('Council Entry'!AH$7="Decrease Risk",10-10*((IF('Council Entry'!AH$4="Logarithm",LN(0.001+IF(AND(ISNUMBER('Council Entry'!AH$8),ISNUMBER('Council Entry'!AH$9)),MAX(MIN('Council Entry'!AH128,'Council Entry'!AH$9),'Council Entry'!AH$8),'Council Entry'!AH128)),IF('Council Entry'!AH$4="Exponential",EXP(IF(AND(ISNUMBER('Council Entry'!AH$8),ISNUMBER('Council Entry'!AH$9)),MAX(MIN('Council Entry'!AH128,'Council Entry'!AH$9),'Council Entry'!AH$8),'Council Entry'!AH128)),IF(AND(ISNUMBER('Council Entry'!AH$8),ISNUMBER('Council Entry'!AH$9)),MAX(MIN('Council Entry'!AH128,'Council Entry'!AH$9),'Council Entry'!AH$8),'Council Entry'!AH128))))-'Council Entry'!AH$5)/('Council Entry'!AH$6-'Council Entry'!AH$5),10*((IF('Council Entry'!AH$4="Logarithm",LN(0.001+IF(AND(ISNUMBER('Council Entry'!AH$8),ISNUMBER('Council Entry'!AH$9)),MAX(MIN('Council Entry'!AH128,'Council Entry'!AH$9),'Council Entry'!AH$8),'Council Entry'!AH128)),IF('Council Entry'!AH$4="Exponential",EXP(IF(AND(ISNUMBER('Council Entry'!AH$8),ISNUMBER('Council Entry'!AH$9)),MAX(MIN('Council Entry'!AH128,'Council Entry'!AH$9),'Council Entry'!AH$8),'Council Entry'!AH128)),IF(AND(ISNUMBER('Council Entry'!AH$8),ISNUMBER('Council Entry'!AH$9)),MAX(MIN('Council Entry'!AH128,'Council Entry'!AH$9),'Council Entry'!AH$8),'Council Entry'!AH128))))-'Council Entry'!AH$5)/('Council Entry'!AH$6-'Council Entry'!AH$5)),1))),"No data"))</f>
        <v/>
      </c>
      <c r="AI128" s="13">
        <f>IF('Council Entry'!AI128="","",IFERROR(MAX(0,MIN(10,ROUND(IF('Council Entry'!AI$7="Decrease Risk",10-10*((IF('Council Entry'!AI$4="Logarithm",LN(0.001+IF(AND(ISNUMBER('Council Entry'!AI$8),ISNUMBER('Council Entry'!AI$9)),MAX(MIN('Council Entry'!AI128,'Council Entry'!AI$9),'Council Entry'!AI$8),'Council Entry'!AI128)),IF('Council Entry'!AI$4="Exponential",EXP(IF(AND(ISNUMBER('Council Entry'!AI$8),ISNUMBER('Council Entry'!AI$9)),MAX(MIN('Council Entry'!AI128,'Council Entry'!AI$9),'Council Entry'!AI$8),'Council Entry'!AI128)),IF(AND(ISNUMBER('Council Entry'!AI$8),ISNUMBER('Council Entry'!AI$9)),MAX(MIN('Council Entry'!AI128,'Council Entry'!AI$9),'Council Entry'!AI$8),'Council Entry'!AI128))))-'Council Entry'!AI$5)/('Council Entry'!AI$6-'Council Entry'!AI$5),10*((IF('Council Entry'!AI$4="Logarithm",LN(0.001+IF(AND(ISNUMBER('Council Entry'!AI$8),ISNUMBER('Council Entry'!AI$9)),MAX(MIN('Council Entry'!AI128,'Council Entry'!AI$9),'Council Entry'!AI$8),'Council Entry'!AI128)),IF('Council Entry'!AI$4="Exponential",EXP(IF(AND(ISNUMBER('Council Entry'!AI$8),ISNUMBER('Council Entry'!AI$9)),MAX(MIN('Council Entry'!AI128,'Council Entry'!AI$9),'Council Entry'!AI$8),'Council Entry'!AI128)),IF(AND(ISNUMBER('Council Entry'!AI$8),ISNUMBER('Council Entry'!AI$9)),MAX(MIN('Council Entry'!AI128,'Council Entry'!AI$9),'Council Entry'!AI$8),'Council Entry'!AI128))))-'Council Entry'!AI$5)/('Council Entry'!AI$6-'Council Entry'!AI$5)),1))),"No data"))</f>
        <v/>
      </c>
      <c r="AJ128" s="13">
        <f>IF('Council Entry'!AJ128="","",IFERROR(MAX(0,MIN(10,ROUND(IF('Council Entry'!AJ$7="Decrease Risk",10-10*((IF('Council Entry'!AJ$4="Logarithm",LN(0.001+IF(AND(ISNUMBER('Council Entry'!AJ$8),ISNUMBER('Council Entry'!AJ$9)),MAX(MIN('Council Entry'!AJ128,'Council Entry'!AJ$9),'Council Entry'!AJ$8),'Council Entry'!AJ128)),IF('Council Entry'!AJ$4="Exponential",EXP(IF(AND(ISNUMBER('Council Entry'!AJ$8),ISNUMBER('Council Entry'!AJ$9)),MAX(MIN('Council Entry'!AJ128,'Council Entry'!AJ$9),'Council Entry'!AJ$8),'Council Entry'!AJ128)),IF(AND(ISNUMBER('Council Entry'!AJ$8),ISNUMBER('Council Entry'!AJ$9)),MAX(MIN('Council Entry'!AJ128,'Council Entry'!AJ$9),'Council Entry'!AJ$8),'Council Entry'!AJ128))))-'Council Entry'!AJ$5)/('Council Entry'!AJ$6-'Council Entry'!AJ$5),10*((IF('Council Entry'!AJ$4="Logarithm",LN(0.001+IF(AND(ISNUMBER('Council Entry'!AJ$8),ISNUMBER('Council Entry'!AJ$9)),MAX(MIN('Council Entry'!AJ128,'Council Entry'!AJ$9),'Council Entry'!AJ$8),'Council Entry'!AJ128)),IF('Council Entry'!AJ$4="Exponential",EXP(IF(AND(ISNUMBER('Council Entry'!AJ$8),ISNUMBER('Council Entry'!AJ$9)),MAX(MIN('Council Entry'!AJ128,'Council Entry'!AJ$9),'Council Entry'!AJ$8),'Council Entry'!AJ128)),IF(AND(ISNUMBER('Council Entry'!AJ$8),ISNUMBER('Council Entry'!AJ$9)),MAX(MIN('Council Entry'!AJ128,'Council Entry'!AJ$9),'Council Entry'!AJ$8),'Council Entry'!AJ128))))-'Council Entry'!AJ$5)/('Council Entry'!AJ$6-'Council Entry'!AJ$5)),1))),"No data"))</f>
        <v/>
      </c>
      <c r="AK128" s="13">
        <f>IF('Council Entry'!AK128="","",IFERROR(MAX(0,MIN(10,ROUND(IF('Council Entry'!AK$7="Decrease Risk",10-10*((IF('Council Entry'!AK$4="Logarithm",LN(0.001+IF(AND(ISNUMBER('Council Entry'!AK$8),ISNUMBER('Council Entry'!AK$9)),MAX(MIN('Council Entry'!AK128,'Council Entry'!AK$9),'Council Entry'!AK$8),'Council Entry'!AK128)),IF('Council Entry'!AK$4="Exponential",EXP(IF(AND(ISNUMBER('Council Entry'!AK$8),ISNUMBER('Council Entry'!AK$9)),MAX(MIN('Council Entry'!AK128,'Council Entry'!AK$9),'Council Entry'!AK$8),'Council Entry'!AK128)),IF(AND(ISNUMBER('Council Entry'!AK$8),ISNUMBER('Council Entry'!AK$9)),MAX(MIN('Council Entry'!AK128,'Council Entry'!AK$9),'Council Entry'!AK$8),'Council Entry'!AK128))))-'Council Entry'!AK$5)/('Council Entry'!AK$6-'Council Entry'!AK$5),10*((IF('Council Entry'!AK$4="Logarithm",LN(0.001+IF(AND(ISNUMBER('Council Entry'!AK$8),ISNUMBER('Council Entry'!AK$9)),MAX(MIN('Council Entry'!AK128,'Council Entry'!AK$9),'Council Entry'!AK$8),'Council Entry'!AK128)),IF('Council Entry'!AK$4="Exponential",EXP(IF(AND(ISNUMBER('Council Entry'!AK$8),ISNUMBER('Council Entry'!AK$9)),MAX(MIN('Council Entry'!AK128,'Council Entry'!AK$9),'Council Entry'!AK$8),'Council Entry'!AK128)),IF(AND(ISNUMBER('Council Entry'!AK$8),ISNUMBER('Council Entry'!AK$9)),MAX(MIN('Council Entry'!AK128,'Council Entry'!AK$9),'Council Entry'!AK$8),'Council Entry'!AK128))))-'Council Entry'!AK$5)/('Council Entry'!AK$6-'Council Entry'!AK$5)),1))),"No data"))</f>
        <v/>
      </c>
      <c r="AL128" s="13">
        <f>IF('Council Entry'!AL128="","",IFERROR(MAX(0,MIN(10,ROUND(IF('Council Entry'!AL$7="Decrease Risk",10-10*((IF('Council Entry'!AL$4="Logarithm",LN(0.001+IF(AND(ISNUMBER('Council Entry'!AL$8),ISNUMBER('Council Entry'!AL$9)),MAX(MIN('Council Entry'!AL128,'Council Entry'!AL$9),'Council Entry'!AL$8),'Council Entry'!AL128)),IF('Council Entry'!AL$4="Exponential",EXP(IF(AND(ISNUMBER('Council Entry'!AL$8),ISNUMBER('Council Entry'!AL$9)),MAX(MIN('Council Entry'!AL128,'Council Entry'!AL$9),'Council Entry'!AL$8),'Council Entry'!AL128)),IF(AND(ISNUMBER('Council Entry'!AL$8),ISNUMBER('Council Entry'!AL$9)),MAX(MIN('Council Entry'!AL128,'Council Entry'!AL$9),'Council Entry'!AL$8),'Council Entry'!AL128))))-'Council Entry'!AL$5)/('Council Entry'!AL$6-'Council Entry'!AL$5),10*((IF('Council Entry'!AL$4="Logarithm",LN(0.001+IF(AND(ISNUMBER('Council Entry'!AL$8),ISNUMBER('Council Entry'!AL$9)),MAX(MIN('Council Entry'!AL128,'Council Entry'!AL$9),'Council Entry'!AL$8),'Council Entry'!AL128)),IF('Council Entry'!AL$4="Exponential",EXP(IF(AND(ISNUMBER('Council Entry'!AL$8),ISNUMBER('Council Entry'!AL$9)),MAX(MIN('Council Entry'!AL128,'Council Entry'!AL$9),'Council Entry'!AL$8),'Council Entry'!AL128)),IF(AND(ISNUMBER('Council Entry'!AL$8),ISNUMBER('Council Entry'!AL$9)),MAX(MIN('Council Entry'!AL128,'Council Entry'!AL$9),'Council Entry'!AL$8),'Council Entry'!AL128))))-'Council Entry'!AL$5)/('Council Entry'!AL$6-'Council Entry'!AL$5)),1))),"No data"))</f>
        <v/>
      </c>
      <c r="AM128" s="13">
        <f>IF('Council Entry'!AM128="","",IFERROR(MAX(0,MIN(10,ROUND(IF('Council Entry'!AM$7="Decrease Risk",10-10*((IF('Council Entry'!AM$4="Logarithm",LN(0.001+IF(AND(ISNUMBER('Council Entry'!AM$8),ISNUMBER('Council Entry'!AM$9)),MAX(MIN('Council Entry'!AM128,'Council Entry'!AM$9),'Council Entry'!AM$8),'Council Entry'!AM128)),IF('Council Entry'!AM$4="Exponential",EXP(IF(AND(ISNUMBER('Council Entry'!AM$8),ISNUMBER('Council Entry'!AM$9)),MAX(MIN('Council Entry'!AM128,'Council Entry'!AM$9),'Council Entry'!AM$8),'Council Entry'!AM128)),IF(AND(ISNUMBER('Council Entry'!AM$8),ISNUMBER('Council Entry'!AM$9)),MAX(MIN('Council Entry'!AM128,'Council Entry'!AM$9),'Council Entry'!AM$8),'Council Entry'!AM128))))-'Council Entry'!AM$5)/('Council Entry'!AM$6-'Council Entry'!AM$5),10*((IF('Council Entry'!AM$4="Logarithm",LN(0.001+IF(AND(ISNUMBER('Council Entry'!AM$8),ISNUMBER('Council Entry'!AM$9)),MAX(MIN('Council Entry'!AM128,'Council Entry'!AM$9),'Council Entry'!AM$8),'Council Entry'!AM128)),IF('Council Entry'!AM$4="Exponential",EXP(IF(AND(ISNUMBER('Council Entry'!AM$8),ISNUMBER('Council Entry'!AM$9)),MAX(MIN('Council Entry'!AM128,'Council Entry'!AM$9),'Council Entry'!AM$8),'Council Entry'!AM128)),IF(AND(ISNUMBER('Council Entry'!AM$8),ISNUMBER('Council Entry'!AM$9)),MAX(MIN('Council Entry'!AM128,'Council Entry'!AM$9),'Council Entry'!AM$8),'Council Entry'!AM128))))-'Council Entry'!AM$5)/('Council Entry'!AM$6-'Council Entry'!AM$5)),1))),"No data"))</f>
        <v/>
      </c>
      <c r="AN128" s="13">
        <f>IF('Council Entry'!AN128="","",IFERROR(MAX(0,MIN(10,ROUND(IF('Council Entry'!AN$7="Decrease Risk",10-10*((IF('Council Entry'!AN$4="Logarithm",LN(0.001+IF(AND(ISNUMBER('Council Entry'!AN$8),ISNUMBER('Council Entry'!AN$9)),MAX(MIN('Council Entry'!AN128,'Council Entry'!AN$9),'Council Entry'!AN$8),'Council Entry'!AN128)),IF('Council Entry'!AN$4="Exponential",EXP(IF(AND(ISNUMBER('Council Entry'!AN$8),ISNUMBER('Council Entry'!AN$9)),MAX(MIN('Council Entry'!AN128,'Council Entry'!AN$9),'Council Entry'!AN$8),'Council Entry'!AN128)),IF(AND(ISNUMBER('Council Entry'!AN$8),ISNUMBER('Council Entry'!AN$9)),MAX(MIN('Council Entry'!AN128,'Council Entry'!AN$9),'Council Entry'!AN$8),'Council Entry'!AN128))))-'Council Entry'!AN$5)/('Council Entry'!AN$6-'Council Entry'!AN$5),10*((IF('Council Entry'!AN$4="Logarithm",LN(0.001+IF(AND(ISNUMBER('Council Entry'!AN$8),ISNUMBER('Council Entry'!AN$9)),MAX(MIN('Council Entry'!AN128,'Council Entry'!AN$9),'Council Entry'!AN$8),'Council Entry'!AN128)),IF('Council Entry'!AN$4="Exponential",EXP(IF(AND(ISNUMBER('Council Entry'!AN$8),ISNUMBER('Council Entry'!AN$9)),MAX(MIN('Council Entry'!AN128,'Council Entry'!AN$9),'Council Entry'!AN$8),'Council Entry'!AN128)),IF(AND(ISNUMBER('Council Entry'!AN$8),ISNUMBER('Council Entry'!AN$9)),MAX(MIN('Council Entry'!AN128,'Council Entry'!AN$9),'Council Entry'!AN$8),'Council Entry'!AN128))))-'Council Entry'!AN$5)/('Council Entry'!AN$6-'Council Entry'!AN$5)),1))),"No data"))</f>
        <v/>
      </c>
      <c r="AO128" s="13">
        <f>IF('Council Entry'!AO128="","",IFERROR(MAX(0,MIN(10,ROUND(IF('Council Entry'!AO$7="Decrease Risk",10-10*((IF('Council Entry'!AO$4="Logarithm",LN(0.001+IF(AND(ISNUMBER('Council Entry'!AO$8),ISNUMBER('Council Entry'!AO$9)),MAX(MIN('Council Entry'!AO128,'Council Entry'!AO$9),'Council Entry'!AO$8),'Council Entry'!AO128)),IF('Council Entry'!AO$4="Exponential",EXP(IF(AND(ISNUMBER('Council Entry'!AO$8),ISNUMBER('Council Entry'!AO$9)),MAX(MIN('Council Entry'!AO128,'Council Entry'!AO$9),'Council Entry'!AO$8),'Council Entry'!AO128)),IF(AND(ISNUMBER('Council Entry'!AO$8),ISNUMBER('Council Entry'!AO$9)),MAX(MIN('Council Entry'!AO128,'Council Entry'!AO$9),'Council Entry'!AO$8),'Council Entry'!AO128))))-'Council Entry'!AO$5)/('Council Entry'!AO$6-'Council Entry'!AO$5),10*((IF('Council Entry'!AO$4="Logarithm",LN(0.001+IF(AND(ISNUMBER('Council Entry'!AO$8),ISNUMBER('Council Entry'!AO$9)),MAX(MIN('Council Entry'!AO128,'Council Entry'!AO$9),'Council Entry'!AO$8),'Council Entry'!AO128)),IF('Council Entry'!AO$4="Exponential",EXP(IF(AND(ISNUMBER('Council Entry'!AO$8),ISNUMBER('Council Entry'!AO$9)),MAX(MIN('Council Entry'!AO128,'Council Entry'!AO$9),'Council Entry'!AO$8),'Council Entry'!AO128)),IF(AND(ISNUMBER('Council Entry'!AO$8),ISNUMBER('Council Entry'!AO$9)),MAX(MIN('Council Entry'!AO128,'Council Entry'!AO$9),'Council Entry'!AO$8),'Council Entry'!AO128))))-'Council Entry'!AO$5)/('Council Entry'!AO$6-'Council Entry'!AO$5)),1))),"No data"))</f>
        <v/>
      </c>
      <c r="AP128" s="13">
        <f>IF('Council Entry'!AP128="","",IFERROR(MAX(0,MIN(10,ROUND(IF('Council Entry'!AP$7="Decrease Risk",10-10*((IF('Council Entry'!AP$4="Logarithm",LN(0.001+IF(AND(ISNUMBER('Council Entry'!AP$8),ISNUMBER('Council Entry'!AP$9)),MAX(MIN('Council Entry'!AP128,'Council Entry'!AP$9),'Council Entry'!AP$8),'Council Entry'!AP128)),IF('Council Entry'!AP$4="Exponential",EXP(IF(AND(ISNUMBER('Council Entry'!AP$8),ISNUMBER('Council Entry'!AP$9)),MAX(MIN('Council Entry'!AP128,'Council Entry'!AP$9),'Council Entry'!AP$8),'Council Entry'!AP128)),IF(AND(ISNUMBER('Council Entry'!AP$8),ISNUMBER('Council Entry'!AP$9)),MAX(MIN('Council Entry'!AP128,'Council Entry'!AP$9),'Council Entry'!AP$8),'Council Entry'!AP128))))-'Council Entry'!AP$5)/('Council Entry'!AP$6-'Council Entry'!AP$5),10*((IF('Council Entry'!AP$4="Logarithm",LN(0.001+IF(AND(ISNUMBER('Council Entry'!AP$8),ISNUMBER('Council Entry'!AP$9)),MAX(MIN('Council Entry'!AP128,'Council Entry'!AP$9),'Council Entry'!AP$8),'Council Entry'!AP128)),IF('Council Entry'!AP$4="Exponential",EXP(IF(AND(ISNUMBER('Council Entry'!AP$8),ISNUMBER('Council Entry'!AP$9)),MAX(MIN('Council Entry'!AP128,'Council Entry'!AP$9),'Council Entry'!AP$8),'Council Entry'!AP128)),IF(AND(ISNUMBER('Council Entry'!AP$8),ISNUMBER('Council Entry'!AP$9)),MAX(MIN('Council Entry'!AP128,'Council Entry'!AP$9),'Council Entry'!AP$8),'Council Entry'!AP128))))-'Council Entry'!AP$5)/('Council Entry'!AP$6-'Council Entry'!AP$5)),1))),"No data"))</f>
        <v/>
      </c>
      <c r="AQ128" s="13">
        <f>IF('Council Entry'!AQ128="","",IFERROR(MAX(0,MIN(10,ROUND(IF('Council Entry'!AQ$7="Decrease Risk",10-10*((IF('Council Entry'!AQ$4="Logarithm",LN(0.001+IF(AND(ISNUMBER('Council Entry'!AQ$8),ISNUMBER('Council Entry'!AQ$9)),MAX(MIN('Council Entry'!AQ128,'Council Entry'!AQ$9),'Council Entry'!AQ$8),'Council Entry'!AQ128)),IF('Council Entry'!AQ$4="Exponential",EXP(IF(AND(ISNUMBER('Council Entry'!AQ$8),ISNUMBER('Council Entry'!AQ$9)),MAX(MIN('Council Entry'!AQ128,'Council Entry'!AQ$9),'Council Entry'!AQ$8),'Council Entry'!AQ128)),IF(AND(ISNUMBER('Council Entry'!AQ$8),ISNUMBER('Council Entry'!AQ$9)),MAX(MIN('Council Entry'!AQ128,'Council Entry'!AQ$9),'Council Entry'!AQ$8),'Council Entry'!AQ128))))-'Council Entry'!AQ$5)/('Council Entry'!AQ$6-'Council Entry'!AQ$5),10*((IF('Council Entry'!AQ$4="Logarithm",LN(0.001+IF(AND(ISNUMBER('Council Entry'!AQ$8),ISNUMBER('Council Entry'!AQ$9)),MAX(MIN('Council Entry'!AQ128,'Council Entry'!AQ$9),'Council Entry'!AQ$8),'Council Entry'!AQ128)),IF('Council Entry'!AQ$4="Exponential",EXP(IF(AND(ISNUMBER('Council Entry'!AQ$8),ISNUMBER('Council Entry'!AQ$9)),MAX(MIN('Council Entry'!AQ128,'Council Entry'!AQ$9),'Council Entry'!AQ$8),'Council Entry'!AQ128)),IF(AND(ISNUMBER('Council Entry'!AQ$8),ISNUMBER('Council Entry'!AQ$9)),MAX(MIN('Council Entry'!AQ128,'Council Entry'!AQ$9),'Council Entry'!AQ$8),'Council Entry'!AQ128))))-'Council Entry'!AQ$5)/('Council Entry'!AQ$6-'Council Entry'!AQ$5)),1))),"No data"))</f>
        <v/>
      </c>
      <c r="AR128" s="13">
        <f>IF('Council Entry'!AR128="","",IFERROR(MAX(0,MIN(10,ROUND(IF('Council Entry'!AR$7="Decrease Risk",10-10*((IF('Council Entry'!AR$4="Logarithm",LN(0.001+IF(AND(ISNUMBER('Council Entry'!AR$8),ISNUMBER('Council Entry'!AR$9)),MAX(MIN('Council Entry'!AR128,'Council Entry'!AR$9),'Council Entry'!AR$8),'Council Entry'!AR128)),IF('Council Entry'!AR$4="Exponential",EXP(IF(AND(ISNUMBER('Council Entry'!AR$8),ISNUMBER('Council Entry'!AR$9)),MAX(MIN('Council Entry'!AR128,'Council Entry'!AR$9),'Council Entry'!AR$8),'Council Entry'!AR128)),IF(AND(ISNUMBER('Council Entry'!AR$8),ISNUMBER('Council Entry'!AR$9)),MAX(MIN('Council Entry'!AR128,'Council Entry'!AR$9),'Council Entry'!AR$8),'Council Entry'!AR128))))-'Council Entry'!AR$5)/('Council Entry'!AR$6-'Council Entry'!AR$5),10*((IF('Council Entry'!AR$4="Logarithm",LN(0.001+IF(AND(ISNUMBER('Council Entry'!AR$8),ISNUMBER('Council Entry'!AR$9)),MAX(MIN('Council Entry'!AR128,'Council Entry'!AR$9),'Council Entry'!AR$8),'Council Entry'!AR128)),IF('Council Entry'!AR$4="Exponential",EXP(IF(AND(ISNUMBER('Council Entry'!AR$8),ISNUMBER('Council Entry'!AR$9)),MAX(MIN('Council Entry'!AR128,'Council Entry'!AR$9),'Council Entry'!AR$8),'Council Entry'!AR128)),IF(AND(ISNUMBER('Council Entry'!AR$8),ISNUMBER('Council Entry'!AR$9)),MAX(MIN('Council Entry'!AR128,'Council Entry'!AR$9),'Council Entry'!AR$8),'Council Entry'!AR128))))-'Council Entry'!AR$5)/('Council Entry'!AR$6-'Council Entry'!AR$5)),1))),"No data"))</f>
        <v/>
      </c>
      <c r="AS128" s="13">
        <f>IF('Council Entry'!AS128="","",IFERROR(MAX(0,MIN(10,ROUND(IF('Council Entry'!AS$7="Decrease Risk",10-10*((IF('Council Entry'!AS$4="Logarithm",LN(0.001+IF(AND(ISNUMBER('Council Entry'!AS$8),ISNUMBER('Council Entry'!AS$9)),MAX(MIN('Council Entry'!AS128,'Council Entry'!AS$9),'Council Entry'!AS$8),'Council Entry'!AS128)),IF('Council Entry'!AS$4="Exponential",EXP(IF(AND(ISNUMBER('Council Entry'!AS$8),ISNUMBER('Council Entry'!AS$9)),MAX(MIN('Council Entry'!AS128,'Council Entry'!AS$9),'Council Entry'!AS$8),'Council Entry'!AS128)),IF(AND(ISNUMBER('Council Entry'!AS$8),ISNUMBER('Council Entry'!AS$9)),MAX(MIN('Council Entry'!AS128,'Council Entry'!AS$9),'Council Entry'!AS$8),'Council Entry'!AS128))))-'Council Entry'!AS$5)/('Council Entry'!AS$6-'Council Entry'!AS$5),10*((IF('Council Entry'!AS$4="Logarithm",LN(0.001+IF(AND(ISNUMBER('Council Entry'!AS$8),ISNUMBER('Council Entry'!AS$9)),MAX(MIN('Council Entry'!AS128,'Council Entry'!AS$9),'Council Entry'!AS$8),'Council Entry'!AS128)),IF('Council Entry'!AS$4="Exponential",EXP(IF(AND(ISNUMBER('Council Entry'!AS$8),ISNUMBER('Council Entry'!AS$9)),MAX(MIN('Council Entry'!AS128,'Council Entry'!AS$9),'Council Entry'!AS$8),'Council Entry'!AS128)),IF(AND(ISNUMBER('Council Entry'!AS$8),ISNUMBER('Council Entry'!AS$9)),MAX(MIN('Council Entry'!AS128,'Council Entry'!AS$9),'Council Entry'!AS$8),'Council Entry'!AS128))))-'Council Entry'!AS$5)/('Council Entry'!AS$6-'Council Entry'!AS$5)),1))),"No data"))</f>
        <v/>
      </c>
      <c r="AT128" s="13">
        <f>IF('Council Entry'!AT128="","",IFERROR(MAX(0,MIN(10,ROUND(IF('Council Entry'!AT$7="Decrease Risk",10-10*((IF('Council Entry'!AT$4="Logarithm",LN(0.001+IF(AND(ISNUMBER('Council Entry'!AT$8),ISNUMBER('Council Entry'!AT$9)),MAX(MIN('Council Entry'!AT128,'Council Entry'!AT$9),'Council Entry'!AT$8),'Council Entry'!AT128)),IF('Council Entry'!AT$4="Exponential",EXP(IF(AND(ISNUMBER('Council Entry'!AT$8),ISNUMBER('Council Entry'!AT$9)),MAX(MIN('Council Entry'!AT128,'Council Entry'!AT$9),'Council Entry'!AT$8),'Council Entry'!AT128)),IF(AND(ISNUMBER('Council Entry'!AT$8),ISNUMBER('Council Entry'!AT$9)),MAX(MIN('Council Entry'!AT128,'Council Entry'!AT$9),'Council Entry'!AT$8),'Council Entry'!AT128))))-'Council Entry'!AT$5)/('Council Entry'!AT$6-'Council Entry'!AT$5),10*((IF('Council Entry'!AT$4="Logarithm",LN(0.001+IF(AND(ISNUMBER('Council Entry'!AT$8),ISNUMBER('Council Entry'!AT$9)),MAX(MIN('Council Entry'!AT128,'Council Entry'!AT$9),'Council Entry'!AT$8),'Council Entry'!AT128)),IF('Council Entry'!AT$4="Exponential",EXP(IF(AND(ISNUMBER('Council Entry'!AT$8),ISNUMBER('Council Entry'!AT$9)),MAX(MIN('Council Entry'!AT128,'Council Entry'!AT$9),'Council Entry'!AT$8),'Council Entry'!AT128)),IF(AND(ISNUMBER('Council Entry'!AT$8),ISNUMBER('Council Entry'!AT$9)),MAX(MIN('Council Entry'!AT128,'Council Entry'!AT$9),'Council Entry'!AT$8),'Council Entry'!AT128))))-'Council Entry'!AT$5)/('Council Entry'!AT$6-'Council Entry'!AT$5)),1))),"No data"))</f>
        <v/>
      </c>
      <c r="AU128" s="13">
        <f>IF('Council Entry'!AU128="","",IFERROR(MAX(0,MIN(10,ROUND(IF('Council Entry'!AU$7="Decrease Risk",10-10*((IF('Council Entry'!AU$4="Logarithm",LN(0.001+IF(AND(ISNUMBER('Council Entry'!AU$8),ISNUMBER('Council Entry'!AU$9)),MAX(MIN('Council Entry'!AU128,'Council Entry'!AU$9),'Council Entry'!AU$8),'Council Entry'!AU128)),IF('Council Entry'!AU$4="Exponential",EXP(IF(AND(ISNUMBER('Council Entry'!AU$8),ISNUMBER('Council Entry'!AU$9)),MAX(MIN('Council Entry'!AU128,'Council Entry'!AU$9),'Council Entry'!AU$8),'Council Entry'!AU128)),IF(AND(ISNUMBER('Council Entry'!AU$8),ISNUMBER('Council Entry'!AU$9)),MAX(MIN('Council Entry'!AU128,'Council Entry'!AU$9),'Council Entry'!AU$8),'Council Entry'!AU128))))-'Council Entry'!AU$5)/('Council Entry'!AU$6-'Council Entry'!AU$5),10*((IF('Council Entry'!AU$4="Logarithm",LN(0.001+IF(AND(ISNUMBER('Council Entry'!AU$8),ISNUMBER('Council Entry'!AU$9)),MAX(MIN('Council Entry'!AU128,'Council Entry'!AU$9),'Council Entry'!AU$8),'Council Entry'!AU128)),IF('Council Entry'!AU$4="Exponential",EXP(IF(AND(ISNUMBER('Council Entry'!AU$8),ISNUMBER('Council Entry'!AU$9)),MAX(MIN('Council Entry'!AU128,'Council Entry'!AU$9),'Council Entry'!AU$8),'Council Entry'!AU128)),IF(AND(ISNUMBER('Council Entry'!AU$8),ISNUMBER('Council Entry'!AU$9)),MAX(MIN('Council Entry'!AU128,'Council Entry'!AU$9),'Council Entry'!AU$8),'Council Entry'!AU128))))-'Council Entry'!AU$5)/('Council Entry'!AU$6-'Council Entry'!AU$5)),1))),"No data"))</f>
        <v/>
      </c>
      <c r="AV128" s="13">
        <f>IF('Council Entry'!AV128="","",IFERROR(MAX(0,MIN(10,ROUND(IF('Council Entry'!AV$7="Decrease Risk",10-10*((IF('Council Entry'!AV$4="Logarithm",LN(0.001+IF(AND(ISNUMBER('Council Entry'!AV$8),ISNUMBER('Council Entry'!AV$9)),MAX(MIN('Council Entry'!AV128,'Council Entry'!AV$9),'Council Entry'!AV$8),'Council Entry'!AV128)),IF('Council Entry'!AV$4="Exponential",EXP(IF(AND(ISNUMBER('Council Entry'!AV$8),ISNUMBER('Council Entry'!AV$9)),MAX(MIN('Council Entry'!AV128,'Council Entry'!AV$9),'Council Entry'!AV$8),'Council Entry'!AV128)),IF(AND(ISNUMBER('Council Entry'!AV$8),ISNUMBER('Council Entry'!AV$9)),MAX(MIN('Council Entry'!AV128,'Council Entry'!AV$9),'Council Entry'!AV$8),'Council Entry'!AV128))))-'Council Entry'!AV$5)/('Council Entry'!AV$6-'Council Entry'!AV$5),10*((IF('Council Entry'!AV$4="Logarithm",LN(0.001+IF(AND(ISNUMBER('Council Entry'!AV$8),ISNUMBER('Council Entry'!AV$9)),MAX(MIN('Council Entry'!AV128,'Council Entry'!AV$9),'Council Entry'!AV$8),'Council Entry'!AV128)),IF('Council Entry'!AV$4="Exponential",EXP(IF(AND(ISNUMBER('Council Entry'!AV$8),ISNUMBER('Council Entry'!AV$9)),MAX(MIN('Council Entry'!AV128,'Council Entry'!AV$9),'Council Entry'!AV$8),'Council Entry'!AV128)),IF(AND(ISNUMBER('Council Entry'!AV$8),ISNUMBER('Council Entry'!AV$9)),MAX(MIN('Council Entry'!AV128,'Council Entry'!AV$9),'Council Entry'!AV$8),'Council Entry'!AV128))))-'Council Entry'!AV$5)/('Council Entry'!AV$6-'Council Entry'!AV$5)),1))),"No data"))</f>
        <v/>
      </c>
      <c r="AW128" s="13">
        <f>IF('Council Entry'!AW128="","",IFERROR(MAX(0,MIN(10,ROUND(IF('Council Entry'!AW$7="Decrease Risk",10-10*((IF('Council Entry'!AW$4="Logarithm",LN(0.001+IF(AND(ISNUMBER('Council Entry'!AW$8),ISNUMBER('Council Entry'!AW$9)),MAX(MIN('Council Entry'!AW128,'Council Entry'!AW$9),'Council Entry'!AW$8),'Council Entry'!AW128)),IF('Council Entry'!AW$4="Exponential",EXP(IF(AND(ISNUMBER('Council Entry'!AW$8),ISNUMBER('Council Entry'!AW$9)),MAX(MIN('Council Entry'!AW128,'Council Entry'!AW$9),'Council Entry'!AW$8),'Council Entry'!AW128)),IF(AND(ISNUMBER('Council Entry'!AW$8),ISNUMBER('Council Entry'!AW$9)),MAX(MIN('Council Entry'!AW128,'Council Entry'!AW$9),'Council Entry'!AW$8),'Council Entry'!AW128))))-'Council Entry'!AW$5)/('Council Entry'!AW$6-'Council Entry'!AW$5),10*((IF('Council Entry'!AW$4="Logarithm",LN(0.001+IF(AND(ISNUMBER('Council Entry'!AW$8),ISNUMBER('Council Entry'!AW$9)),MAX(MIN('Council Entry'!AW128,'Council Entry'!AW$9),'Council Entry'!AW$8),'Council Entry'!AW128)),IF('Council Entry'!AW$4="Exponential",EXP(IF(AND(ISNUMBER('Council Entry'!AW$8),ISNUMBER('Council Entry'!AW$9)),MAX(MIN('Council Entry'!AW128,'Council Entry'!AW$9),'Council Entry'!AW$8),'Council Entry'!AW128)),IF(AND(ISNUMBER('Council Entry'!AW$8),ISNUMBER('Council Entry'!AW$9)),MAX(MIN('Council Entry'!AW128,'Council Entry'!AW$9),'Council Entry'!AW$8),'Council Entry'!AW128))))-'Council Entry'!AW$5)/('Council Entry'!AW$6-'Council Entry'!AW$5)),1))),"No data"))</f>
        <v/>
      </c>
      <c r="AX128" s="13">
        <f>IF('Council Entry'!AX128="","",IFERROR(MAX(0,MIN(10,ROUND(IF('Council Entry'!AX$7="Decrease Risk",10-10*((IF('Council Entry'!AX$4="Logarithm",LN(0.001+IF(AND(ISNUMBER('Council Entry'!AX$8),ISNUMBER('Council Entry'!AX$9)),MAX(MIN('Council Entry'!AX128,'Council Entry'!AX$9),'Council Entry'!AX$8),'Council Entry'!AX128)),IF('Council Entry'!AX$4="Exponential",EXP(IF(AND(ISNUMBER('Council Entry'!AX$8),ISNUMBER('Council Entry'!AX$9)),MAX(MIN('Council Entry'!AX128,'Council Entry'!AX$9),'Council Entry'!AX$8),'Council Entry'!AX128)),IF(AND(ISNUMBER('Council Entry'!AX$8),ISNUMBER('Council Entry'!AX$9)),MAX(MIN('Council Entry'!AX128,'Council Entry'!AX$9),'Council Entry'!AX$8),'Council Entry'!AX128))))-'Council Entry'!AX$5)/('Council Entry'!AX$6-'Council Entry'!AX$5),10*((IF('Council Entry'!AX$4="Logarithm",LN(0.001+IF(AND(ISNUMBER('Council Entry'!AX$8),ISNUMBER('Council Entry'!AX$9)),MAX(MIN('Council Entry'!AX128,'Council Entry'!AX$9),'Council Entry'!AX$8),'Council Entry'!AX128)),IF('Council Entry'!AX$4="Exponential",EXP(IF(AND(ISNUMBER('Council Entry'!AX$8),ISNUMBER('Council Entry'!AX$9)),MAX(MIN('Council Entry'!AX128,'Council Entry'!AX$9),'Council Entry'!AX$8),'Council Entry'!AX128)),IF(AND(ISNUMBER('Council Entry'!AX$8),ISNUMBER('Council Entry'!AX$9)),MAX(MIN('Council Entry'!AX128,'Council Entry'!AX$9),'Council Entry'!AX$8),'Council Entry'!AX128))))-'Council Entry'!AX$5)/('Council Entry'!AX$6-'Council Entry'!AX$5)),1))),"No data"))</f>
        <v/>
      </c>
      <c r="AY128" s="13">
        <f>IF('Council Entry'!AY128="","",IFERROR(MAX(0,MIN(10,ROUND(IF('Council Entry'!AY$7="Decrease Risk",10-10*((IF('Council Entry'!AY$4="Logarithm",LN(0.001+IF(AND(ISNUMBER('Council Entry'!AY$8),ISNUMBER('Council Entry'!AY$9)),MAX(MIN('Council Entry'!AY128,'Council Entry'!AY$9),'Council Entry'!AY$8),'Council Entry'!AY128)),IF('Council Entry'!AY$4="Exponential",EXP(IF(AND(ISNUMBER('Council Entry'!AY$8),ISNUMBER('Council Entry'!AY$9)),MAX(MIN('Council Entry'!AY128,'Council Entry'!AY$9),'Council Entry'!AY$8),'Council Entry'!AY128)),IF(AND(ISNUMBER('Council Entry'!AY$8),ISNUMBER('Council Entry'!AY$9)),MAX(MIN('Council Entry'!AY128,'Council Entry'!AY$9),'Council Entry'!AY$8),'Council Entry'!AY128))))-'Council Entry'!AY$5)/('Council Entry'!AY$6-'Council Entry'!AY$5),10*((IF('Council Entry'!AY$4="Logarithm",LN(0.001+IF(AND(ISNUMBER('Council Entry'!AY$8),ISNUMBER('Council Entry'!AY$9)),MAX(MIN('Council Entry'!AY128,'Council Entry'!AY$9),'Council Entry'!AY$8),'Council Entry'!AY128)),IF('Council Entry'!AY$4="Exponential",EXP(IF(AND(ISNUMBER('Council Entry'!AY$8),ISNUMBER('Council Entry'!AY$9)),MAX(MIN('Council Entry'!AY128,'Council Entry'!AY$9),'Council Entry'!AY$8),'Council Entry'!AY128)),IF(AND(ISNUMBER('Council Entry'!AY$8),ISNUMBER('Council Entry'!AY$9)),MAX(MIN('Council Entry'!AY128,'Council Entry'!AY$9),'Council Entry'!AY$8),'Council Entry'!AY128))))-'Council Entry'!AY$5)/('Council Entry'!AY$6-'Council Entry'!AY$5)),1))),"No data"))</f>
        <v/>
      </c>
      <c r="AZ128" s="13">
        <f>IF('Council Entry'!AZ128="","",IFERROR(MAX(0,MIN(10,ROUND(IF('Council Entry'!AZ$7="Decrease Risk",10-10*((IF('Council Entry'!AZ$4="Logarithm",LN(0.001+IF(AND(ISNUMBER('Council Entry'!AZ$8),ISNUMBER('Council Entry'!AZ$9)),MAX(MIN('Council Entry'!AZ128,'Council Entry'!AZ$9),'Council Entry'!AZ$8),'Council Entry'!AZ128)),IF('Council Entry'!AZ$4="Exponential",EXP(IF(AND(ISNUMBER('Council Entry'!AZ$8),ISNUMBER('Council Entry'!AZ$9)),MAX(MIN('Council Entry'!AZ128,'Council Entry'!AZ$9),'Council Entry'!AZ$8),'Council Entry'!AZ128)),IF(AND(ISNUMBER('Council Entry'!AZ$8),ISNUMBER('Council Entry'!AZ$9)),MAX(MIN('Council Entry'!AZ128,'Council Entry'!AZ$9),'Council Entry'!AZ$8),'Council Entry'!AZ128))))-'Council Entry'!AZ$5)/('Council Entry'!AZ$6-'Council Entry'!AZ$5),10*((IF('Council Entry'!AZ$4="Logarithm",LN(0.001+IF(AND(ISNUMBER('Council Entry'!AZ$8),ISNUMBER('Council Entry'!AZ$9)),MAX(MIN('Council Entry'!AZ128,'Council Entry'!AZ$9),'Council Entry'!AZ$8),'Council Entry'!AZ128)),IF('Council Entry'!AZ$4="Exponential",EXP(IF(AND(ISNUMBER('Council Entry'!AZ$8),ISNUMBER('Council Entry'!AZ$9)),MAX(MIN('Council Entry'!AZ128,'Council Entry'!AZ$9),'Council Entry'!AZ$8),'Council Entry'!AZ128)),IF(AND(ISNUMBER('Council Entry'!AZ$8),ISNUMBER('Council Entry'!AZ$9)),MAX(MIN('Council Entry'!AZ128,'Council Entry'!AZ$9),'Council Entry'!AZ$8),'Council Entry'!AZ128))))-'Council Entry'!AZ$5)/('Council Entry'!AZ$6-'Council Entry'!AZ$5)),1))),"No data"))</f>
        <v/>
      </c>
      <c r="BA128" s="13">
        <f>IF('Council Entry'!BA128="","",IFERROR(MAX(0,MIN(10,ROUND(IF('Council Entry'!BA$7="Decrease Risk",10-10*((IF('Council Entry'!BA$4="Logarithm",LN(0.001+IF(AND(ISNUMBER('Council Entry'!BA$8),ISNUMBER('Council Entry'!BA$9)),MAX(MIN('Council Entry'!BA128,'Council Entry'!BA$9),'Council Entry'!BA$8),'Council Entry'!BA128)),IF('Council Entry'!BA$4="Exponential",EXP(IF(AND(ISNUMBER('Council Entry'!BA$8),ISNUMBER('Council Entry'!BA$9)),MAX(MIN('Council Entry'!BA128,'Council Entry'!BA$9),'Council Entry'!BA$8),'Council Entry'!BA128)),IF(AND(ISNUMBER('Council Entry'!BA$8),ISNUMBER('Council Entry'!BA$9)),MAX(MIN('Council Entry'!BA128,'Council Entry'!BA$9),'Council Entry'!BA$8),'Council Entry'!BA128))))-'Council Entry'!BA$5)/('Council Entry'!BA$6-'Council Entry'!BA$5),10*((IF('Council Entry'!BA$4="Logarithm",LN(0.001+IF(AND(ISNUMBER('Council Entry'!BA$8),ISNUMBER('Council Entry'!BA$9)),MAX(MIN('Council Entry'!BA128,'Council Entry'!BA$9),'Council Entry'!BA$8),'Council Entry'!BA128)),IF('Council Entry'!BA$4="Exponential",EXP(IF(AND(ISNUMBER('Council Entry'!BA$8),ISNUMBER('Council Entry'!BA$9)),MAX(MIN('Council Entry'!BA128,'Council Entry'!BA$9),'Council Entry'!BA$8),'Council Entry'!BA128)),IF(AND(ISNUMBER('Council Entry'!BA$8),ISNUMBER('Council Entry'!BA$9)),MAX(MIN('Council Entry'!BA128,'Council Entry'!BA$9),'Council Entry'!BA$8),'Council Entry'!BA128))))-'Council Entry'!BA$5)/('Council Entry'!BA$6-'Council Entry'!BA$5)),1))),"No data"))</f>
        <v/>
      </c>
      <c r="BB128" s="13">
        <f>IF('Council Entry'!BB128="","",IFERROR(MAX(0,MIN(10,ROUND(IF('Council Entry'!BB$7="Decrease Risk",10-10*((IF('Council Entry'!BB$4="Logarithm",LN(0.001+IF(AND(ISNUMBER('Council Entry'!BB$8),ISNUMBER('Council Entry'!BB$9)),MAX(MIN('Council Entry'!BB128,'Council Entry'!BB$9),'Council Entry'!BB$8),'Council Entry'!BB128)),IF('Council Entry'!BB$4="Exponential",EXP(IF(AND(ISNUMBER('Council Entry'!BB$8),ISNUMBER('Council Entry'!BB$9)),MAX(MIN('Council Entry'!BB128,'Council Entry'!BB$9),'Council Entry'!BB$8),'Council Entry'!BB128)),IF(AND(ISNUMBER('Council Entry'!BB$8),ISNUMBER('Council Entry'!BB$9)),MAX(MIN('Council Entry'!BB128,'Council Entry'!BB$9),'Council Entry'!BB$8),'Council Entry'!BB128))))-'Council Entry'!BB$5)/('Council Entry'!BB$6-'Council Entry'!BB$5),10*((IF('Council Entry'!BB$4="Logarithm",LN(0.001+IF(AND(ISNUMBER('Council Entry'!BB$8),ISNUMBER('Council Entry'!BB$9)),MAX(MIN('Council Entry'!BB128,'Council Entry'!BB$9),'Council Entry'!BB$8),'Council Entry'!BB128)),IF('Council Entry'!BB$4="Exponential",EXP(IF(AND(ISNUMBER('Council Entry'!BB$8),ISNUMBER('Council Entry'!BB$9)),MAX(MIN('Council Entry'!BB128,'Council Entry'!BB$9),'Council Entry'!BB$8),'Council Entry'!BB128)),IF(AND(ISNUMBER('Council Entry'!BB$8),ISNUMBER('Council Entry'!BB$9)),MAX(MIN('Council Entry'!BB128,'Council Entry'!BB$9),'Council Entry'!BB$8),'Council Entry'!BB128))))-'Council Entry'!BB$5)/('Council Entry'!BB$6-'Council Entry'!BB$5)),1))),"No data"))</f>
        <v/>
      </c>
      <c r="BC128" s="13">
        <f>IF('Council Entry'!BC128="","",IFERROR(MAX(0,MIN(10,ROUND(IF('Council Entry'!BC$7="Decrease Risk",10-10*((IF('Council Entry'!BC$4="Logarithm",LN(0.001+IF(AND(ISNUMBER('Council Entry'!BC$8),ISNUMBER('Council Entry'!BC$9)),MAX(MIN('Council Entry'!BC128,'Council Entry'!BC$9),'Council Entry'!BC$8),'Council Entry'!BC128)),IF('Council Entry'!BC$4="Exponential",EXP(IF(AND(ISNUMBER('Council Entry'!BC$8),ISNUMBER('Council Entry'!BC$9)),MAX(MIN('Council Entry'!BC128,'Council Entry'!BC$9),'Council Entry'!BC$8),'Council Entry'!BC128)),IF(AND(ISNUMBER('Council Entry'!BC$8),ISNUMBER('Council Entry'!BC$9)),MAX(MIN('Council Entry'!BC128,'Council Entry'!BC$9),'Council Entry'!BC$8),'Council Entry'!BC128))))-'Council Entry'!BC$5)/('Council Entry'!BC$6-'Council Entry'!BC$5),10*((IF('Council Entry'!BC$4="Logarithm",LN(0.001+IF(AND(ISNUMBER('Council Entry'!BC$8),ISNUMBER('Council Entry'!BC$9)),MAX(MIN('Council Entry'!BC128,'Council Entry'!BC$9),'Council Entry'!BC$8),'Council Entry'!BC128)),IF('Council Entry'!BC$4="Exponential",EXP(IF(AND(ISNUMBER('Council Entry'!BC$8),ISNUMBER('Council Entry'!BC$9)),MAX(MIN('Council Entry'!BC128,'Council Entry'!BC$9),'Council Entry'!BC$8),'Council Entry'!BC128)),IF(AND(ISNUMBER('Council Entry'!BC$8),ISNUMBER('Council Entry'!BC$9)),MAX(MIN('Council Entry'!BC128,'Council Entry'!BC$9),'Council Entry'!BC$8),'Council Entry'!BC128))))-'Council Entry'!BC$5)/('Council Entry'!BC$6-'Council Entry'!BC$5)),1))),"No data"))</f>
        <v/>
      </c>
      <c r="BD128" s="13">
        <f>IF('Council Entry'!BD128="","",IFERROR(MAX(0,MIN(10,ROUND(IF('Council Entry'!BD$7="Decrease Risk",10-10*((IF('Council Entry'!BD$4="Logarithm",LN(0.001+IF(AND(ISNUMBER('Council Entry'!BD$8),ISNUMBER('Council Entry'!BD$9)),MAX(MIN('Council Entry'!BD128,'Council Entry'!BD$9),'Council Entry'!BD$8),'Council Entry'!BD128)),IF('Council Entry'!BD$4="Exponential",EXP(IF(AND(ISNUMBER('Council Entry'!BD$8),ISNUMBER('Council Entry'!BD$9)),MAX(MIN('Council Entry'!BD128,'Council Entry'!BD$9),'Council Entry'!BD$8),'Council Entry'!BD128)),IF(AND(ISNUMBER('Council Entry'!BD$8),ISNUMBER('Council Entry'!BD$9)),MAX(MIN('Council Entry'!BD128,'Council Entry'!BD$9),'Council Entry'!BD$8),'Council Entry'!BD128))))-'Council Entry'!BD$5)/('Council Entry'!BD$6-'Council Entry'!BD$5),10*((IF('Council Entry'!BD$4="Logarithm",LN(0.001+IF(AND(ISNUMBER('Council Entry'!BD$8),ISNUMBER('Council Entry'!BD$9)),MAX(MIN('Council Entry'!BD128,'Council Entry'!BD$9),'Council Entry'!BD$8),'Council Entry'!BD128)),IF('Council Entry'!BD$4="Exponential",EXP(IF(AND(ISNUMBER('Council Entry'!BD$8),ISNUMBER('Council Entry'!BD$9)),MAX(MIN('Council Entry'!BD128,'Council Entry'!BD$9),'Council Entry'!BD$8),'Council Entry'!BD128)),IF(AND(ISNUMBER('Council Entry'!BD$8),ISNUMBER('Council Entry'!BD$9)),MAX(MIN('Council Entry'!BD128,'Council Entry'!BD$9),'Council Entry'!BD$8),'Council Entry'!BD128))))-'Council Entry'!BD$5)/('Council Entry'!BD$6-'Council Entry'!BD$5)),1))),"No data"))</f>
        <v/>
      </c>
    </row>
    <row r="129">
      <c r="A129" t="inlineStr">
        <is>
          <t>Mwanza</t>
        </is>
      </c>
      <c r="B129" t="inlineStr">
        <is>
          <t>Ilemela Municipal</t>
        </is>
      </c>
      <c r="C129" t="inlineStr">
        <is>
          <t>C139</t>
        </is>
      </c>
      <c r="D129" s="13">
        <f>IF('Council Entry'!D129="","",IFERROR(MAX(0,MIN(10,ROUND(IF('Council Entry'!D$7="Decrease Risk",10-10*((IF('Council Entry'!D$4="Logarithm",LN(0.001+IF(AND(ISNUMBER('Council Entry'!D$8),ISNUMBER('Council Entry'!D$9)),MAX(MIN('Council Entry'!D129,'Council Entry'!D$9),'Council Entry'!D$8),'Council Entry'!D129)),IF('Council Entry'!D$4="Exponential",EXP(IF(AND(ISNUMBER('Council Entry'!D$8),ISNUMBER('Council Entry'!D$9)),MAX(MIN('Council Entry'!D129,'Council Entry'!D$9),'Council Entry'!D$8),'Council Entry'!D129)),IF(AND(ISNUMBER('Council Entry'!D$8),ISNUMBER('Council Entry'!D$9)),MAX(MIN('Council Entry'!D129,'Council Entry'!D$9),'Council Entry'!D$8),'Council Entry'!D129))))-'Council Entry'!D$5)/('Council Entry'!D$6-'Council Entry'!D$5),10*((IF('Council Entry'!D$4="Logarithm",LN(0.001+IF(AND(ISNUMBER('Council Entry'!D$8),ISNUMBER('Council Entry'!D$9)),MAX(MIN('Council Entry'!D129,'Council Entry'!D$9),'Council Entry'!D$8),'Council Entry'!D129)),IF('Council Entry'!D$4="Exponential",EXP(IF(AND(ISNUMBER('Council Entry'!D$8),ISNUMBER('Council Entry'!D$9)),MAX(MIN('Council Entry'!D129,'Council Entry'!D$9),'Council Entry'!D$8),'Council Entry'!D129)),IF(AND(ISNUMBER('Council Entry'!D$8),ISNUMBER('Council Entry'!D$9)),MAX(MIN('Council Entry'!D129,'Council Entry'!D$9),'Council Entry'!D$8),'Council Entry'!D129))))-'Council Entry'!D$5)/('Council Entry'!D$6-'Council Entry'!D$5)),1))),"No data"))</f>
        <v/>
      </c>
      <c r="E129" s="13">
        <f>IF('Council Entry'!E129="","",IFERROR(MAX(0,MIN(10,ROUND(IF('Council Entry'!E$7="Decrease Risk",10-10*((IF('Council Entry'!E$4="Logarithm",LN(0.001+IF(AND(ISNUMBER('Council Entry'!E$8),ISNUMBER('Council Entry'!E$9)),MAX(MIN('Council Entry'!E129,'Council Entry'!E$9),'Council Entry'!E$8),'Council Entry'!E129)),IF('Council Entry'!E$4="Exponential",EXP(IF(AND(ISNUMBER('Council Entry'!E$8),ISNUMBER('Council Entry'!E$9)),MAX(MIN('Council Entry'!E129,'Council Entry'!E$9),'Council Entry'!E$8),'Council Entry'!E129)),IF(AND(ISNUMBER('Council Entry'!E$8),ISNUMBER('Council Entry'!E$9)),MAX(MIN('Council Entry'!E129,'Council Entry'!E$9),'Council Entry'!E$8),'Council Entry'!E129))))-'Council Entry'!E$5)/('Council Entry'!E$6-'Council Entry'!E$5),10*((IF('Council Entry'!E$4="Logarithm",LN(0.001+IF(AND(ISNUMBER('Council Entry'!E$8),ISNUMBER('Council Entry'!E$9)),MAX(MIN('Council Entry'!E129,'Council Entry'!E$9),'Council Entry'!E$8),'Council Entry'!E129)),IF('Council Entry'!E$4="Exponential",EXP(IF(AND(ISNUMBER('Council Entry'!E$8),ISNUMBER('Council Entry'!E$9)),MAX(MIN('Council Entry'!E129,'Council Entry'!E$9),'Council Entry'!E$8),'Council Entry'!E129)),IF(AND(ISNUMBER('Council Entry'!E$8),ISNUMBER('Council Entry'!E$9)),MAX(MIN('Council Entry'!E129,'Council Entry'!E$9),'Council Entry'!E$8),'Council Entry'!E129))))-'Council Entry'!E$5)/('Council Entry'!E$6-'Council Entry'!E$5)),1))),"No data"))</f>
        <v/>
      </c>
      <c r="F129" s="13">
        <f>IF('Council Entry'!F129="","",IFERROR(MAX(0,MIN(10,ROUND(IF('Council Entry'!F$7="Decrease Risk",10-10*((IF('Council Entry'!F$4="Logarithm",LN(0.001+IF(AND(ISNUMBER('Council Entry'!F$8),ISNUMBER('Council Entry'!F$9)),MAX(MIN('Council Entry'!F129,'Council Entry'!F$9),'Council Entry'!F$8),'Council Entry'!F129)),IF('Council Entry'!F$4="Exponential",EXP(IF(AND(ISNUMBER('Council Entry'!F$8),ISNUMBER('Council Entry'!F$9)),MAX(MIN('Council Entry'!F129,'Council Entry'!F$9),'Council Entry'!F$8),'Council Entry'!F129)),IF(AND(ISNUMBER('Council Entry'!F$8),ISNUMBER('Council Entry'!F$9)),MAX(MIN('Council Entry'!F129,'Council Entry'!F$9),'Council Entry'!F$8),'Council Entry'!F129))))-'Council Entry'!F$5)/('Council Entry'!F$6-'Council Entry'!F$5),10*((IF('Council Entry'!F$4="Logarithm",LN(0.001+IF(AND(ISNUMBER('Council Entry'!F$8),ISNUMBER('Council Entry'!F$9)),MAX(MIN('Council Entry'!F129,'Council Entry'!F$9),'Council Entry'!F$8),'Council Entry'!F129)),IF('Council Entry'!F$4="Exponential",EXP(IF(AND(ISNUMBER('Council Entry'!F$8),ISNUMBER('Council Entry'!F$9)),MAX(MIN('Council Entry'!F129,'Council Entry'!F$9),'Council Entry'!F$8),'Council Entry'!F129)),IF(AND(ISNUMBER('Council Entry'!F$8),ISNUMBER('Council Entry'!F$9)),MAX(MIN('Council Entry'!F129,'Council Entry'!F$9),'Council Entry'!F$8),'Council Entry'!F129))))-'Council Entry'!F$5)/('Council Entry'!F$6-'Council Entry'!F$5)),1))),"No data"))</f>
        <v/>
      </c>
      <c r="G129" s="13">
        <f>IF('Council Entry'!G129="","",IFERROR(MAX(0,MIN(10,ROUND(IF('Council Entry'!G$7="Decrease Risk",10-10*((IF('Council Entry'!G$4="Logarithm",LN(0.001+IF(AND(ISNUMBER('Council Entry'!G$8),ISNUMBER('Council Entry'!G$9)),MAX(MIN('Council Entry'!G129,'Council Entry'!G$9),'Council Entry'!G$8),'Council Entry'!G129)),IF('Council Entry'!G$4="Exponential",EXP(IF(AND(ISNUMBER('Council Entry'!G$8),ISNUMBER('Council Entry'!G$9)),MAX(MIN('Council Entry'!G129,'Council Entry'!G$9),'Council Entry'!G$8),'Council Entry'!G129)),IF(AND(ISNUMBER('Council Entry'!G$8),ISNUMBER('Council Entry'!G$9)),MAX(MIN('Council Entry'!G129,'Council Entry'!G$9),'Council Entry'!G$8),'Council Entry'!G129))))-'Council Entry'!G$5)/('Council Entry'!G$6-'Council Entry'!G$5),10*((IF('Council Entry'!G$4="Logarithm",LN(0.001+IF(AND(ISNUMBER('Council Entry'!G$8),ISNUMBER('Council Entry'!G$9)),MAX(MIN('Council Entry'!G129,'Council Entry'!G$9),'Council Entry'!G$8),'Council Entry'!G129)),IF('Council Entry'!G$4="Exponential",EXP(IF(AND(ISNUMBER('Council Entry'!G$8),ISNUMBER('Council Entry'!G$9)),MAX(MIN('Council Entry'!G129,'Council Entry'!G$9),'Council Entry'!G$8),'Council Entry'!G129)),IF(AND(ISNUMBER('Council Entry'!G$8),ISNUMBER('Council Entry'!G$9)),MAX(MIN('Council Entry'!G129,'Council Entry'!G$9),'Council Entry'!G$8),'Council Entry'!G129))))-'Council Entry'!G$5)/('Council Entry'!G$6-'Council Entry'!G$5)),1))),"No data"))</f>
        <v/>
      </c>
      <c r="H129" s="13">
        <f>IF('Council Entry'!H129="","",IFERROR(MAX(0,MIN(10,ROUND(IF('Council Entry'!H$7="Decrease Risk",10-10*((IF('Council Entry'!H$4="Logarithm",LN(0.001+IF(AND(ISNUMBER('Council Entry'!H$8),ISNUMBER('Council Entry'!H$9)),MAX(MIN('Council Entry'!H129,'Council Entry'!H$9),'Council Entry'!H$8),'Council Entry'!H129)),IF('Council Entry'!H$4="Exponential",EXP(IF(AND(ISNUMBER('Council Entry'!H$8),ISNUMBER('Council Entry'!H$9)),MAX(MIN('Council Entry'!H129,'Council Entry'!H$9),'Council Entry'!H$8),'Council Entry'!H129)),IF(AND(ISNUMBER('Council Entry'!H$8),ISNUMBER('Council Entry'!H$9)),MAX(MIN('Council Entry'!H129,'Council Entry'!H$9),'Council Entry'!H$8),'Council Entry'!H129))))-'Council Entry'!H$5)/('Council Entry'!H$6-'Council Entry'!H$5),10*((IF('Council Entry'!H$4="Logarithm",LN(0.001+IF(AND(ISNUMBER('Council Entry'!H$8),ISNUMBER('Council Entry'!H$9)),MAX(MIN('Council Entry'!H129,'Council Entry'!H$9),'Council Entry'!H$8),'Council Entry'!H129)),IF('Council Entry'!H$4="Exponential",EXP(IF(AND(ISNUMBER('Council Entry'!H$8),ISNUMBER('Council Entry'!H$9)),MAX(MIN('Council Entry'!H129,'Council Entry'!H$9),'Council Entry'!H$8),'Council Entry'!H129)),IF(AND(ISNUMBER('Council Entry'!H$8),ISNUMBER('Council Entry'!H$9)),MAX(MIN('Council Entry'!H129,'Council Entry'!H$9),'Council Entry'!H$8),'Council Entry'!H129))))-'Council Entry'!H$5)/('Council Entry'!H$6-'Council Entry'!H$5)),1))),"No data"))</f>
        <v/>
      </c>
      <c r="I129" s="13">
        <f>IF('Council Entry'!I129="","",IFERROR(MAX(0,MIN(10,ROUND(IF('Council Entry'!I$7="Decrease Risk",10-10*((IF('Council Entry'!I$4="Logarithm",LN(0.001+IF(AND(ISNUMBER('Council Entry'!I$8),ISNUMBER('Council Entry'!I$9)),MAX(MIN('Council Entry'!I129,'Council Entry'!I$9),'Council Entry'!I$8),'Council Entry'!I129)),IF('Council Entry'!I$4="Exponential",EXP(IF(AND(ISNUMBER('Council Entry'!I$8),ISNUMBER('Council Entry'!I$9)),MAX(MIN('Council Entry'!I129,'Council Entry'!I$9),'Council Entry'!I$8),'Council Entry'!I129)),IF(AND(ISNUMBER('Council Entry'!I$8),ISNUMBER('Council Entry'!I$9)),MAX(MIN('Council Entry'!I129,'Council Entry'!I$9),'Council Entry'!I$8),'Council Entry'!I129))))-'Council Entry'!I$5)/('Council Entry'!I$6-'Council Entry'!I$5),10*((IF('Council Entry'!I$4="Logarithm",LN(0.001+IF(AND(ISNUMBER('Council Entry'!I$8),ISNUMBER('Council Entry'!I$9)),MAX(MIN('Council Entry'!I129,'Council Entry'!I$9),'Council Entry'!I$8),'Council Entry'!I129)),IF('Council Entry'!I$4="Exponential",EXP(IF(AND(ISNUMBER('Council Entry'!I$8),ISNUMBER('Council Entry'!I$9)),MAX(MIN('Council Entry'!I129,'Council Entry'!I$9),'Council Entry'!I$8),'Council Entry'!I129)),IF(AND(ISNUMBER('Council Entry'!I$8),ISNUMBER('Council Entry'!I$9)),MAX(MIN('Council Entry'!I129,'Council Entry'!I$9),'Council Entry'!I$8),'Council Entry'!I129))))-'Council Entry'!I$5)/('Council Entry'!I$6-'Council Entry'!I$5)),1))),"No data"))</f>
        <v/>
      </c>
      <c r="J129" s="13">
        <f>IF('Council Entry'!J129="","",IFERROR(MAX(0,MIN(10,ROUND(IF('Council Entry'!J$7="Decrease Risk",10-10*((IF('Council Entry'!J$4="Logarithm",LN(0.001+IF(AND(ISNUMBER('Council Entry'!J$8),ISNUMBER('Council Entry'!J$9)),MAX(MIN('Council Entry'!J129,'Council Entry'!J$9),'Council Entry'!J$8),'Council Entry'!J129)),IF('Council Entry'!J$4="Exponential",EXP(IF(AND(ISNUMBER('Council Entry'!J$8),ISNUMBER('Council Entry'!J$9)),MAX(MIN('Council Entry'!J129,'Council Entry'!J$9),'Council Entry'!J$8),'Council Entry'!J129)),IF(AND(ISNUMBER('Council Entry'!J$8),ISNUMBER('Council Entry'!J$9)),MAX(MIN('Council Entry'!J129,'Council Entry'!J$9),'Council Entry'!J$8),'Council Entry'!J129))))-'Council Entry'!J$5)/('Council Entry'!J$6-'Council Entry'!J$5),10*((IF('Council Entry'!J$4="Logarithm",LN(0.001+IF(AND(ISNUMBER('Council Entry'!J$8),ISNUMBER('Council Entry'!J$9)),MAX(MIN('Council Entry'!J129,'Council Entry'!J$9),'Council Entry'!J$8),'Council Entry'!J129)),IF('Council Entry'!J$4="Exponential",EXP(IF(AND(ISNUMBER('Council Entry'!J$8),ISNUMBER('Council Entry'!J$9)),MAX(MIN('Council Entry'!J129,'Council Entry'!J$9),'Council Entry'!J$8),'Council Entry'!J129)),IF(AND(ISNUMBER('Council Entry'!J$8),ISNUMBER('Council Entry'!J$9)),MAX(MIN('Council Entry'!J129,'Council Entry'!J$9),'Council Entry'!J$8),'Council Entry'!J129))))-'Council Entry'!J$5)/('Council Entry'!J$6-'Council Entry'!J$5)),1))),"No data"))</f>
        <v/>
      </c>
      <c r="K129" s="13">
        <f>IF('Council Entry'!K129="","",IFERROR(MAX(0,MIN(10,ROUND(IF('Council Entry'!K$7="Decrease Risk",10-10*((IF('Council Entry'!K$4="Logarithm",LN(0.001+IF(AND(ISNUMBER('Council Entry'!K$8),ISNUMBER('Council Entry'!K$9)),MAX(MIN('Council Entry'!K129,'Council Entry'!K$9),'Council Entry'!K$8),'Council Entry'!K129)),IF('Council Entry'!K$4="Exponential",EXP(IF(AND(ISNUMBER('Council Entry'!K$8),ISNUMBER('Council Entry'!K$9)),MAX(MIN('Council Entry'!K129,'Council Entry'!K$9),'Council Entry'!K$8),'Council Entry'!K129)),IF(AND(ISNUMBER('Council Entry'!K$8),ISNUMBER('Council Entry'!K$9)),MAX(MIN('Council Entry'!K129,'Council Entry'!K$9),'Council Entry'!K$8),'Council Entry'!K129))))-'Council Entry'!K$5)/('Council Entry'!K$6-'Council Entry'!K$5),10*((IF('Council Entry'!K$4="Logarithm",LN(0.001+IF(AND(ISNUMBER('Council Entry'!K$8),ISNUMBER('Council Entry'!K$9)),MAX(MIN('Council Entry'!K129,'Council Entry'!K$9),'Council Entry'!K$8),'Council Entry'!K129)),IF('Council Entry'!K$4="Exponential",EXP(IF(AND(ISNUMBER('Council Entry'!K$8),ISNUMBER('Council Entry'!K$9)),MAX(MIN('Council Entry'!K129,'Council Entry'!K$9),'Council Entry'!K$8),'Council Entry'!K129)),IF(AND(ISNUMBER('Council Entry'!K$8),ISNUMBER('Council Entry'!K$9)),MAX(MIN('Council Entry'!K129,'Council Entry'!K$9),'Council Entry'!K$8),'Council Entry'!K129))))-'Council Entry'!K$5)/('Council Entry'!K$6-'Council Entry'!K$5)),1))),"No data"))</f>
        <v/>
      </c>
      <c r="L129" s="13">
        <f>IF('Council Entry'!L129="","",IFERROR(MAX(0,MIN(10,ROUND(IF('Council Entry'!L$7="Decrease Risk",10-10*((IF('Council Entry'!L$4="Logarithm",LN(0.001+IF(AND(ISNUMBER('Council Entry'!L$8),ISNUMBER('Council Entry'!L$9)),MAX(MIN('Council Entry'!L129,'Council Entry'!L$9),'Council Entry'!L$8),'Council Entry'!L129)),IF('Council Entry'!L$4="Exponential",EXP(IF(AND(ISNUMBER('Council Entry'!L$8),ISNUMBER('Council Entry'!L$9)),MAX(MIN('Council Entry'!L129,'Council Entry'!L$9),'Council Entry'!L$8),'Council Entry'!L129)),IF(AND(ISNUMBER('Council Entry'!L$8),ISNUMBER('Council Entry'!L$9)),MAX(MIN('Council Entry'!L129,'Council Entry'!L$9),'Council Entry'!L$8),'Council Entry'!L129))))-'Council Entry'!L$5)/('Council Entry'!L$6-'Council Entry'!L$5),10*((IF('Council Entry'!L$4="Logarithm",LN(0.001+IF(AND(ISNUMBER('Council Entry'!L$8),ISNUMBER('Council Entry'!L$9)),MAX(MIN('Council Entry'!L129,'Council Entry'!L$9),'Council Entry'!L$8),'Council Entry'!L129)),IF('Council Entry'!L$4="Exponential",EXP(IF(AND(ISNUMBER('Council Entry'!L$8),ISNUMBER('Council Entry'!L$9)),MAX(MIN('Council Entry'!L129,'Council Entry'!L$9),'Council Entry'!L$8),'Council Entry'!L129)),IF(AND(ISNUMBER('Council Entry'!L$8),ISNUMBER('Council Entry'!L$9)),MAX(MIN('Council Entry'!L129,'Council Entry'!L$9),'Council Entry'!L$8),'Council Entry'!L129))))-'Council Entry'!L$5)/('Council Entry'!L$6-'Council Entry'!L$5)),1))),"No data"))</f>
        <v/>
      </c>
      <c r="M129" s="13">
        <f>IF('Council Entry'!M129="","",IFERROR(MAX(0,MIN(10,ROUND(IF('Council Entry'!M$7="Decrease Risk",10-10*((IF('Council Entry'!M$4="Logarithm",LN(0.001+IF(AND(ISNUMBER('Council Entry'!M$8),ISNUMBER('Council Entry'!M$9)),MAX(MIN('Council Entry'!M129,'Council Entry'!M$9),'Council Entry'!M$8),'Council Entry'!M129)),IF('Council Entry'!M$4="Exponential",EXP(IF(AND(ISNUMBER('Council Entry'!M$8),ISNUMBER('Council Entry'!M$9)),MAX(MIN('Council Entry'!M129,'Council Entry'!M$9),'Council Entry'!M$8),'Council Entry'!M129)),IF(AND(ISNUMBER('Council Entry'!M$8),ISNUMBER('Council Entry'!M$9)),MAX(MIN('Council Entry'!M129,'Council Entry'!M$9),'Council Entry'!M$8),'Council Entry'!M129))))-'Council Entry'!M$5)/('Council Entry'!M$6-'Council Entry'!M$5),10*((IF('Council Entry'!M$4="Logarithm",LN(0.001+IF(AND(ISNUMBER('Council Entry'!M$8),ISNUMBER('Council Entry'!M$9)),MAX(MIN('Council Entry'!M129,'Council Entry'!M$9),'Council Entry'!M$8),'Council Entry'!M129)),IF('Council Entry'!M$4="Exponential",EXP(IF(AND(ISNUMBER('Council Entry'!M$8),ISNUMBER('Council Entry'!M$9)),MAX(MIN('Council Entry'!M129,'Council Entry'!M$9),'Council Entry'!M$8),'Council Entry'!M129)),IF(AND(ISNUMBER('Council Entry'!M$8),ISNUMBER('Council Entry'!M$9)),MAX(MIN('Council Entry'!M129,'Council Entry'!M$9),'Council Entry'!M$8),'Council Entry'!M129))))-'Council Entry'!M$5)/('Council Entry'!M$6-'Council Entry'!M$5)),1))),"No data"))</f>
        <v/>
      </c>
      <c r="N129" s="13">
        <f>IF('Council Entry'!N129="","",IFERROR(MAX(0,MIN(10,ROUND(IF('Council Entry'!N$7="Decrease Risk",10-10*((IF('Council Entry'!N$4="Logarithm",LN(0.001+IF(AND(ISNUMBER('Council Entry'!N$8),ISNUMBER('Council Entry'!N$9)),MAX(MIN('Council Entry'!N129,'Council Entry'!N$9),'Council Entry'!N$8),'Council Entry'!N129)),IF('Council Entry'!N$4="Exponential",EXP(IF(AND(ISNUMBER('Council Entry'!N$8),ISNUMBER('Council Entry'!N$9)),MAX(MIN('Council Entry'!N129,'Council Entry'!N$9),'Council Entry'!N$8),'Council Entry'!N129)),IF(AND(ISNUMBER('Council Entry'!N$8),ISNUMBER('Council Entry'!N$9)),MAX(MIN('Council Entry'!N129,'Council Entry'!N$9),'Council Entry'!N$8),'Council Entry'!N129))))-'Council Entry'!N$5)/('Council Entry'!N$6-'Council Entry'!N$5),10*((IF('Council Entry'!N$4="Logarithm",LN(0.001+IF(AND(ISNUMBER('Council Entry'!N$8),ISNUMBER('Council Entry'!N$9)),MAX(MIN('Council Entry'!N129,'Council Entry'!N$9),'Council Entry'!N$8),'Council Entry'!N129)),IF('Council Entry'!N$4="Exponential",EXP(IF(AND(ISNUMBER('Council Entry'!N$8),ISNUMBER('Council Entry'!N$9)),MAX(MIN('Council Entry'!N129,'Council Entry'!N$9),'Council Entry'!N$8),'Council Entry'!N129)),IF(AND(ISNUMBER('Council Entry'!N$8),ISNUMBER('Council Entry'!N$9)),MAX(MIN('Council Entry'!N129,'Council Entry'!N$9),'Council Entry'!N$8),'Council Entry'!N129))))-'Council Entry'!N$5)/('Council Entry'!N$6-'Council Entry'!N$5)),1))),"No data"))</f>
        <v/>
      </c>
      <c r="O129" s="13">
        <f>IF('Council Entry'!O129="","",IFERROR(MAX(0,MIN(10,ROUND(IF('Council Entry'!O$7="Decrease Risk",10-10*((IF('Council Entry'!O$4="Logarithm",LN(0.001+IF(AND(ISNUMBER('Council Entry'!O$8),ISNUMBER('Council Entry'!O$9)),MAX(MIN('Council Entry'!O129,'Council Entry'!O$9),'Council Entry'!O$8),'Council Entry'!O129)),IF('Council Entry'!O$4="Exponential",EXP(IF(AND(ISNUMBER('Council Entry'!O$8),ISNUMBER('Council Entry'!O$9)),MAX(MIN('Council Entry'!O129,'Council Entry'!O$9),'Council Entry'!O$8),'Council Entry'!O129)),IF(AND(ISNUMBER('Council Entry'!O$8),ISNUMBER('Council Entry'!O$9)),MAX(MIN('Council Entry'!O129,'Council Entry'!O$9),'Council Entry'!O$8),'Council Entry'!O129))))-'Council Entry'!O$5)/('Council Entry'!O$6-'Council Entry'!O$5),10*((IF('Council Entry'!O$4="Logarithm",LN(0.001+IF(AND(ISNUMBER('Council Entry'!O$8),ISNUMBER('Council Entry'!O$9)),MAX(MIN('Council Entry'!O129,'Council Entry'!O$9),'Council Entry'!O$8),'Council Entry'!O129)),IF('Council Entry'!O$4="Exponential",EXP(IF(AND(ISNUMBER('Council Entry'!O$8),ISNUMBER('Council Entry'!O$9)),MAX(MIN('Council Entry'!O129,'Council Entry'!O$9),'Council Entry'!O$8),'Council Entry'!O129)),IF(AND(ISNUMBER('Council Entry'!O$8),ISNUMBER('Council Entry'!O$9)),MAX(MIN('Council Entry'!O129,'Council Entry'!O$9),'Council Entry'!O$8),'Council Entry'!O129))))-'Council Entry'!O$5)/('Council Entry'!O$6-'Council Entry'!O$5)),1))),"No data"))</f>
        <v/>
      </c>
      <c r="P129" s="13">
        <f>IF('Council Entry'!P129="","",IFERROR(MAX(0,MIN(10,ROUND(IF('Council Entry'!P$7="Decrease Risk",10-10*((IF('Council Entry'!P$4="Logarithm",LN(0.001+IF(AND(ISNUMBER('Council Entry'!P$8),ISNUMBER('Council Entry'!P$9)),MAX(MIN('Council Entry'!P129,'Council Entry'!P$9),'Council Entry'!P$8),'Council Entry'!P129)),IF('Council Entry'!P$4="Exponential",EXP(IF(AND(ISNUMBER('Council Entry'!P$8),ISNUMBER('Council Entry'!P$9)),MAX(MIN('Council Entry'!P129,'Council Entry'!P$9),'Council Entry'!P$8),'Council Entry'!P129)),IF(AND(ISNUMBER('Council Entry'!P$8),ISNUMBER('Council Entry'!P$9)),MAX(MIN('Council Entry'!P129,'Council Entry'!P$9),'Council Entry'!P$8),'Council Entry'!P129))))-'Council Entry'!P$5)/('Council Entry'!P$6-'Council Entry'!P$5),10*((IF('Council Entry'!P$4="Logarithm",LN(0.001+IF(AND(ISNUMBER('Council Entry'!P$8),ISNUMBER('Council Entry'!P$9)),MAX(MIN('Council Entry'!P129,'Council Entry'!P$9),'Council Entry'!P$8),'Council Entry'!P129)),IF('Council Entry'!P$4="Exponential",EXP(IF(AND(ISNUMBER('Council Entry'!P$8),ISNUMBER('Council Entry'!P$9)),MAX(MIN('Council Entry'!P129,'Council Entry'!P$9),'Council Entry'!P$8),'Council Entry'!P129)),IF(AND(ISNUMBER('Council Entry'!P$8),ISNUMBER('Council Entry'!P$9)),MAX(MIN('Council Entry'!P129,'Council Entry'!P$9),'Council Entry'!P$8),'Council Entry'!P129))))-'Council Entry'!P$5)/('Council Entry'!P$6-'Council Entry'!P$5)),1))),"No data"))</f>
        <v/>
      </c>
      <c r="Q129" s="13">
        <f>IF('Council Entry'!Q129="","",IFERROR(MAX(0,MIN(10,ROUND(IF('Council Entry'!Q$7="Decrease Risk",10-10*((IF('Council Entry'!Q$4="Logarithm",LN(0.001+IF(AND(ISNUMBER('Council Entry'!Q$8),ISNUMBER('Council Entry'!Q$9)),MAX(MIN('Council Entry'!Q129,'Council Entry'!Q$9),'Council Entry'!Q$8),'Council Entry'!Q129)),IF('Council Entry'!Q$4="Exponential",EXP(IF(AND(ISNUMBER('Council Entry'!Q$8),ISNUMBER('Council Entry'!Q$9)),MAX(MIN('Council Entry'!Q129,'Council Entry'!Q$9),'Council Entry'!Q$8),'Council Entry'!Q129)),IF(AND(ISNUMBER('Council Entry'!Q$8),ISNUMBER('Council Entry'!Q$9)),MAX(MIN('Council Entry'!Q129,'Council Entry'!Q$9),'Council Entry'!Q$8),'Council Entry'!Q129))))-'Council Entry'!Q$5)/('Council Entry'!Q$6-'Council Entry'!Q$5),10*((IF('Council Entry'!Q$4="Logarithm",LN(0.001+IF(AND(ISNUMBER('Council Entry'!Q$8),ISNUMBER('Council Entry'!Q$9)),MAX(MIN('Council Entry'!Q129,'Council Entry'!Q$9),'Council Entry'!Q$8),'Council Entry'!Q129)),IF('Council Entry'!Q$4="Exponential",EXP(IF(AND(ISNUMBER('Council Entry'!Q$8),ISNUMBER('Council Entry'!Q$9)),MAX(MIN('Council Entry'!Q129,'Council Entry'!Q$9),'Council Entry'!Q$8),'Council Entry'!Q129)),IF(AND(ISNUMBER('Council Entry'!Q$8),ISNUMBER('Council Entry'!Q$9)),MAX(MIN('Council Entry'!Q129,'Council Entry'!Q$9),'Council Entry'!Q$8),'Council Entry'!Q129))))-'Council Entry'!Q$5)/('Council Entry'!Q$6-'Council Entry'!Q$5)),1))),"No data"))</f>
        <v/>
      </c>
      <c r="R129" s="13">
        <f>IF('Council Entry'!R129="","",IFERROR(MAX(0,MIN(10,ROUND(IF('Council Entry'!R$7="Decrease Risk",10-10*((IF('Council Entry'!R$4="Logarithm",LN(0.001+IF(AND(ISNUMBER('Council Entry'!R$8),ISNUMBER('Council Entry'!R$9)),MAX(MIN('Council Entry'!R129,'Council Entry'!R$9),'Council Entry'!R$8),'Council Entry'!R129)),IF('Council Entry'!R$4="Exponential",EXP(IF(AND(ISNUMBER('Council Entry'!R$8),ISNUMBER('Council Entry'!R$9)),MAX(MIN('Council Entry'!R129,'Council Entry'!R$9),'Council Entry'!R$8),'Council Entry'!R129)),IF(AND(ISNUMBER('Council Entry'!R$8),ISNUMBER('Council Entry'!R$9)),MAX(MIN('Council Entry'!R129,'Council Entry'!R$9),'Council Entry'!R$8),'Council Entry'!R129))))-'Council Entry'!R$5)/('Council Entry'!R$6-'Council Entry'!R$5),10*((IF('Council Entry'!R$4="Logarithm",LN(0.001+IF(AND(ISNUMBER('Council Entry'!R$8),ISNUMBER('Council Entry'!R$9)),MAX(MIN('Council Entry'!R129,'Council Entry'!R$9),'Council Entry'!R$8),'Council Entry'!R129)),IF('Council Entry'!R$4="Exponential",EXP(IF(AND(ISNUMBER('Council Entry'!R$8),ISNUMBER('Council Entry'!R$9)),MAX(MIN('Council Entry'!R129,'Council Entry'!R$9),'Council Entry'!R$8),'Council Entry'!R129)),IF(AND(ISNUMBER('Council Entry'!R$8),ISNUMBER('Council Entry'!R$9)),MAX(MIN('Council Entry'!R129,'Council Entry'!R$9),'Council Entry'!R$8),'Council Entry'!R129))))-'Council Entry'!R$5)/('Council Entry'!R$6-'Council Entry'!R$5)),1))),"No data"))</f>
        <v/>
      </c>
      <c r="S129" s="13">
        <f>IF('Council Entry'!S129="","",IFERROR(MAX(0,MIN(10,ROUND(IF('Council Entry'!S$7="Decrease Risk",10-10*((IF('Council Entry'!S$4="Logarithm",LN(0.001+IF(AND(ISNUMBER('Council Entry'!S$8),ISNUMBER('Council Entry'!S$9)),MAX(MIN('Council Entry'!S129,'Council Entry'!S$9),'Council Entry'!S$8),'Council Entry'!S129)),IF('Council Entry'!S$4="Exponential",EXP(IF(AND(ISNUMBER('Council Entry'!S$8),ISNUMBER('Council Entry'!S$9)),MAX(MIN('Council Entry'!S129,'Council Entry'!S$9),'Council Entry'!S$8),'Council Entry'!S129)),IF(AND(ISNUMBER('Council Entry'!S$8),ISNUMBER('Council Entry'!S$9)),MAX(MIN('Council Entry'!S129,'Council Entry'!S$9),'Council Entry'!S$8),'Council Entry'!S129))))-'Council Entry'!S$5)/('Council Entry'!S$6-'Council Entry'!S$5),10*((IF('Council Entry'!S$4="Logarithm",LN(0.001+IF(AND(ISNUMBER('Council Entry'!S$8),ISNUMBER('Council Entry'!S$9)),MAX(MIN('Council Entry'!S129,'Council Entry'!S$9),'Council Entry'!S$8),'Council Entry'!S129)),IF('Council Entry'!S$4="Exponential",EXP(IF(AND(ISNUMBER('Council Entry'!S$8),ISNUMBER('Council Entry'!S$9)),MAX(MIN('Council Entry'!S129,'Council Entry'!S$9),'Council Entry'!S$8),'Council Entry'!S129)),IF(AND(ISNUMBER('Council Entry'!S$8),ISNUMBER('Council Entry'!S$9)),MAX(MIN('Council Entry'!S129,'Council Entry'!S$9),'Council Entry'!S$8),'Council Entry'!S129))))-'Council Entry'!S$5)/('Council Entry'!S$6-'Council Entry'!S$5)),1))),"No data"))</f>
        <v/>
      </c>
      <c r="T129" s="13">
        <f>IF('Council Entry'!T129="","",IFERROR(MAX(0,MIN(10,ROUND(IF('Council Entry'!T$7="Decrease Risk",10-10*((IF('Council Entry'!T$4="Logarithm",LN(0.001+IF(AND(ISNUMBER('Council Entry'!T$8),ISNUMBER('Council Entry'!T$9)),MAX(MIN('Council Entry'!T129,'Council Entry'!T$9),'Council Entry'!T$8),'Council Entry'!T129)),IF('Council Entry'!T$4="Exponential",EXP(IF(AND(ISNUMBER('Council Entry'!T$8),ISNUMBER('Council Entry'!T$9)),MAX(MIN('Council Entry'!T129,'Council Entry'!T$9),'Council Entry'!T$8),'Council Entry'!T129)),IF(AND(ISNUMBER('Council Entry'!T$8),ISNUMBER('Council Entry'!T$9)),MAX(MIN('Council Entry'!T129,'Council Entry'!T$9),'Council Entry'!T$8),'Council Entry'!T129))))-'Council Entry'!T$5)/('Council Entry'!T$6-'Council Entry'!T$5),10*((IF('Council Entry'!T$4="Logarithm",LN(0.001+IF(AND(ISNUMBER('Council Entry'!T$8),ISNUMBER('Council Entry'!T$9)),MAX(MIN('Council Entry'!T129,'Council Entry'!T$9),'Council Entry'!T$8),'Council Entry'!T129)),IF('Council Entry'!T$4="Exponential",EXP(IF(AND(ISNUMBER('Council Entry'!T$8),ISNUMBER('Council Entry'!T$9)),MAX(MIN('Council Entry'!T129,'Council Entry'!T$9),'Council Entry'!T$8),'Council Entry'!T129)),IF(AND(ISNUMBER('Council Entry'!T$8),ISNUMBER('Council Entry'!T$9)),MAX(MIN('Council Entry'!T129,'Council Entry'!T$9),'Council Entry'!T$8),'Council Entry'!T129))))-'Council Entry'!T$5)/('Council Entry'!T$6-'Council Entry'!T$5)),1))),"No data"))</f>
        <v/>
      </c>
      <c r="U129" s="13">
        <f>IF('Council Entry'!U129="","",IFERROR(MAX(0,MIN(10,ROUND(IF('Council Entry'!U$7="Decrease Risk",10-10*((IF('Council Entry'!U$4="Logarithm",LN(0.001+IF(AND(ISNUMBER('Council Entry'!U$8),ISNUMBER('Council Entry'!U$9)),MAX(MIN('Council Entry'!U129,'Council Entry'!U$9),'Council Entry'!U$8),'Council Entry'!U129)),IF('Council Entry'!U$4="Exponential",EXP(IF(AND(ISNUMBER('Council Entry'!U$8),ISNUMBER('Council Entry'!U$9)),MAX(MIN('Council Entry'!U129,'Council Entry'!U$9),'Council Entry'!U$8),'Council Entry'!U129)),IF(AND(ISNUMBER('Council Entry'!U$8),ISNUMBER('Council Entry'!U$9)),MAX(MIN('Council Entry'!U129,'Council Entry'!U$9),'Council Entry'!U$8),'Council Entry'!U129))))-'Council Entry'!U$5)/('Council Entry'!U$6-'Council Entry'!U$5),10*((IF('Council Entry'!U$4="Logarithm",LN(0.001+IF(AND(ISNUMBER('Council Entry'!U$8),ISNUMBER('Council Entry'!U$9)),MAX(MIN('Council Entry'!U129,'Council Entry'!U$9),'Council Entry'!U$8),'Council Entry'!U129)),IF('Council Entry'!U$4="Exponential",EXP(IF(AND(ISNUMBER('Council Entry'!U$8),ISNUMBER('Council Entry'!U$9)),MAX(MIN('Council Entry'!U129,'Council Entry'!U$9),'Council Entry'!U$8),'Council Entry'!U129)),IF(AND(ISNUMBER('Council Entry'!U$8),ISNUMBER('Council Entry'!U$9)),MAX(MIN('Council Entry'!U129,'Council Entry'!U$9),'Council Entry'!U$8),'Council Entry'!U129))))-'Council Entry'!U$5)/('Council Entry'!U$6-'Council Entry'!U$5)),1))),"No data"))</f>
        <v/>
      </c>
      <c r="V129" s="13">
        <f>IF('Council Entry'!V129="","",IFERROR(MAX(0,MIN(10,ROUND(IF('Council Entry'!V$7="Decrease Risk",10-10*((IF('Council Entry'!V$4="Logarithm",LN(0.001+IF(AND(ISNUMBER('Council Entry'!V$8),ISNUMBER('Council Entry'!V$9)),MAX(MIN('Council Entry'!V129,'Council Entry'!V$9),'Council Entry'!V$8),'Council Entry'!V129)),IF('Council Entry'!V$4="Exponential",EXP(IF(AND(ISNUMBER('Council Entry'!V$8),ISNUMBER('Council Entry'!V$9)),MAX(MIN('Council Entry'!V129,'Council Entry'!V$9),'Council Entry'!V$8),'Council Entry'!V129)),IF(AND(ISNUMBER('Council Entry'!V$8),ISNUMBER('Council Entry'!V$9)),MAX(MIN('Council Entry'!V129,'Council Entry'!V$9),'Council Entry'!V$8),'Council Entry'!V129))))-'Council Entry'!V$5)/('Council Entry'!V$6-'Council Entry'!V$5),10*((IF('Council Entry'!V$4="Logarithm",LN(0.001+IF(AND(ISNUMBER('Council Entry'!V$8),ISNUMBER('Council Entry'!V$9)),MAX(MIN('Council Entry'!V129,'Council Entry'!V$9),'Council Entry'!V$8),'Council Entry'!V129)),IF('Council Entry'!V$4="Exponential",EXP(IF(AND(ISNUMBER('Council Entry'!V$8),ISNUMBER('Council Entry'!V$9)),MAX(MIN('Council Entry'!V129,'Council Entry'!V$9),'Council Entry'!V$8),'Council Entry'!V129)),IF(AND(ISNUMBER('Council Entry'!V$8),ISNUMBER('Council Entry'!V$9)),MAX(MIN('Council Entry'!V129,'Council Entry'!V$9),'Council Entry'!V$8),'Council Entry'!V129))))-'Council Entry'!V$5)/('Council Entry'!V$6-'Council Entry'!V$5)),1))),"No data"))</f>
        <v/>
      </c>
      <c r="W129" s="13">
        <f>IF('Council Entry'!W129="","",IFERROR(MAX(0,MIN(10,ROUND(IF('Council Entry'!W$7="Decrease Risk",10-10*((IF('Council Entry'!W$4="Logarithm",LN(0.001+IF(AND(ISNUMBER('Council Entry'!W$8),ISNUMBER('Council Entry'!W$9)),MAX(MIN('Council Entry'!W129,'Council Entry'!W$9),'Council Entry'!W$8),'Council Entry'!W129)),IF('Council Entry'!W$4="Exponential",EXP(IF(AND(ISNUMBER('Council Entry'!W$8),ISNUMBER('Council Entry'!W$9)),MAX(MIN('Council Entry'!W129,'Council Entry'!W$9),'Council Entry'!W$8),'Council Entry'!W129)),IF(AND(ISNUMBER('Council Entry'!W$8),ISNUMBER('Council Entry'!W$9)),MAX(MIN('Council Entry'!W129,'Council Entry'!W$9),'Council Entry'!W$8),'Council Entry'!W129))))-'Council Entry'!W$5)/('Council Entry'!W$6-'Council Entry'!W$5),10*((IF('Council Entry'!W$4="Logarithm",LN(0.001+IF(AND(ISNUMBER('Council Entry'!W$8),ISNUMBER('Council Entry'!W$9)),MAX(MIN('Council Entry'!W129,'Council Entry'!W$9),'Council Entry'!W$8),'Council Entry'!W129)),IF('Council Entry'!W$4="Exponential",EXP(IF(AND(ISNUMBER('Council Entry'!W$8),ISNUMBER('Council Entry'!W$9)),MAX(MIN('Council Entry'!W129,'Council Entry'!W$9),'Council Entry'!W$8),'Council Entry'!W129)),IF(AND(ISNUMBER('Council Entry'!W$8),ISNUMBER('Council Entry'!W$9)),MAX(MIN('Council Entry'!W129,'Council Entry'!W$9),'Council Entry'!W$8),'Council Entry'!W129))))-'Council Entry'!W$5)/('Council Entry'!W$6-'Council Entry'!W$5)),1))),"No data"))</f>
        <v/>
      </c>
      <c r="X129" s="13">
        <f>IF('Council Entry'!X129="","",IFERROR(MAX(0,MIN(10,ROUND(IF('Council Entry'!X$7="Decrease Risk",10-10*((IF('Council Entry'!X$4="Logarithm",LN(0.001+IF(AND(ISNUMBER('Council Entry'!X$8),ISNUMBER('Council Entry'!X$9)),MAX(MIN('Council Entry'!X129,'Council Entry'!X$9),'Council Entry'!X$8),'Council Entry'!X129)),IF('Council Entry'!X$4="Exponential",EXP(IF(AND(ISNUMBER('Council Entry'!X$8),ISNUMBER('Council Entry'!X$9)),MAX(MIN('Council Entry'!X129,'Council Entry'!X$9),'Council Entry'!X$8),'Council Entry'!X129)),IF(AND(ISNUMBER('Council Entry'!X$8),ISNUMBER('Council Entry'!X$9)),MAX(MIN('Council Entry'!X129,'Council Entry'!X$9),'Council Entry'!X$8),'Council Entry'!X129))))-'Council Entry'!X$5)/('Council Entry'!X$6-'Council Entry'!X$5),10*((IF('Council Entry'!X$4="Logarithm",LN(0.001+IF(AND(ISNUMBER('Council Entry'!X$8),ISNUMBER('Council Entry'!X$9)),MAX(MIN('Council Entry'!X129,'Council Entry'!X$9),'Council Entry'!X$8),'Council Entry'!X129)),IF('Council Entry'!X$4="Exponential",EXP(IF(AND(ISNUMBER('Council Entry'!X$8),ISNUMBER('Council Entry'!X$9)),MAX(MIN('Council Entry'!X129,'Council Entry'!X$9),'Council Entry'!X$8),'Council Entry'!X129)),IF(AND(ISNUMBER('Council Entry'!X$8),ISNUMBER('Council Entry'!X$9)),MAX(MIN('Council Entry'!X129,'Council Entry'!X$9),'Council Entry'!X$8),'Council Entry'!X129))))-'Council Entry'!X$5)/('Council Entry'!X$6-'Council Entry'!X$5)),1))),"No data"))</f>
        <v/>
      </c>
      <c r="Y129" s="13">
        <f>IF('Council Entry'!Y129="","",IFERROR(MAX(0,MIN(10,ROUND(IF('Council Entry'!Y$7="Decrease Risk",10-10*((IF('Council Entry'!Y$4="Logarithm",LN(0.001+IF(AND(ISNUMBER('Council Entry'!Y$8),ISNUMBER('Council Entry'!Y$9)),MAX(MIN('Council Entry'!Y129,'Council Entry'!Y$9),'Council Entry'!Y$8),'Council Entry'!Y129)),IF('Council Entry'!Y$4="Exponential",EXP(IF(AND(ISNUMBER('Council Entry'!Y$8),ISNUMBER('Council Entry'!Y$9)),MAX(MIN('Council Entry'!Y129,'Council Entry'!Y$9),'Council Entry'!Y$8),'Council Entry'!Y129)),IF(AND(ISNUMBER('Council Entry'!Y$8),ISNUMBER('Council Entry'!Y$9)),MAX(MIN('Council Entry'!Y129,'Council Entry'!Y$9),'Council Entry'!Y$8),'Council Entry'!Y129))))-'Council Entry'!Y$5)/('Council Entry'!Y$6-'Council Entry'!Y$5),10*((IF('Council Entry'!Y$4="Logarithm",LN(0.001+IF(AND(ISNUMBER('Council Entry'!Y$8),ISNUMBER('Council Entry'!Y$9)),MAX(MIN('Council Entry'!Y129,'Council Entry'!Y$9),'Council Entry'!Y$8),'Council Entry'!Y129)),IF('Council Entry'!Y$4="Exponential",EXP(IF(AND(ISNUMBER('Council Entry'!Y$8),ISNUMBER('Council Entry'!Y$9)),MAX(MIN('Council Entry'!Y129,'Council Entry'!Y$9),'Council Entry'!Y$8),'Council Entry'!Y129)),IF(AND(ISNUMBER('Council Entry'!Y$8),ISNUMBER('Council Entry'!Y$9)),MAX(MIN('Council Entry'!Y129,'Council Entry'!Y$9),'Council Entry'!Y$8),'Council Entry'!Y129))))-'Council Entry'!Y$5)/('Council Entry'!Y$6-'Council Entry'!Y$5)),1))),"No data"))</f>
        <v/>
      </c>
      <c r="Z129" s="13">
        <f>IF('Council Entry'!Z129="","",IFERROR(MAX(0,MIN(10,ROUND(IF('Council Entry'!Z$7="Decrease Risk",10-10*((IF('Council Entry'!Z$4="Logarithm",LN(0.001+IF(AND(ISNUMBER('Council Entry'!Z$8),ISNUMBER('Council Entry'!Z$9)),MAX(MIN('Council Entry'!Z129,'Council Entry'!Z$9),'Council Entry'!Z$8),'Council Entry'!Z129)),IF('Council Entry'!Z$4="Exponential",EXP(IF(AND(ISNUMBER('Council Entry'!Z$8),ISNUMBER('Council Entry'!Z$9)),MAX(MIN('Council Entry'!Z129,'Council Entry'!Z$9),'Council Entry'!Z$8),'Council Entry'!Z129)),IF(AND(ISNUMBER('Council Entry'!Z$8),ISNUMBER('Council Entry'!Z$9)),MAX(MIN('Council Entry'!Z129,'Council Entry'!Z$9),'Council Entry'!Z$8),'Council Entry'!Z129))))-'Council Entry'!Z$5)/('Council Entry'!Z$6-'Council Entry'!Z$5),10*((IF('Council Entry'!Z$4="Logarithm",LN(0.001+IF(AND(ISNUMBER('Council Entry'!Z$8),ISNUMBER('Council Entry'!Z$9)),MAX(MIN('Council Entry'!Z129,'Council Entry'!Z$9),'Council Entry'!Z$8),'Council Entry'!Z129)),IF('Council Entry'!Z$4="Exponential",EXP(IF(AND(ISNUMBER('Council Entry'!Z$8),ISNUMBER('Council Entry'!Z$9)),MAX(MIN('Council Entry'!Z129,'Council Entry'!Z$9),'Council Entry'!Z$8),'Council Entry'!Z129)),IF(AND(ISNUMBER('Council Entry'!Z$8),ISNUMBER('Council Entry'!Z$9)),MAX(MIN('Council Entry'!Z129,'Council Entry'!Z$9),'Council Entry'!Z$8),'Council Entry'!Z129))))-'Council Entry'!Z$5)/('Council Entry'!Z$6-'Council Entry'!Z$5)),1))),"No data"))</f>
        <v/>
      </c>
      <c r="AA129" s="13">
        <f>IF('Council Entry'!AA129="","",IFERROR(MAX(0,MIN(10,ROUND(IF('Council Entry'!AA$7="Decrease Risk",10-10*((IF('Council Entry'!AA$4="Logarithm",LN(0.001+IF(AND(ISNUMBER('Council Entry'!AA$8),ISNUMBER('Council Entry'!AA$9)),MAX(MIN('Council Entry'!AA129,'Council Entry'!AA$9),'Council Entry'!AA$8),'Council Entry'!AA129)),IF('Council Entry'!AA$4="Exponential",EXP(IF(AND(ISNUMBER('Council Entry'!AA$8),ISNUMBER('Council Entry'!AA$9)),MAX(MIN('Council Entry'!AA129,'Council Entry'!AA$9),'Council Entry'!AA$8),'Council Entry'!AA129)),IF(AND(ISNUMBER('Council Entry'!AA$8),ISNUMBER('Council Entry'!AA$9)),MAX(MIN('Council Entry'!AA129,'Council Entry'!AA$9),'Council Entry'!AA$8),'Council Entry'!AA129))))-'Council Entry'!AA$5)/('Council Entry'!AA$6-'Council Entry'!AA$5),10*((IF('Council Entry'!AA$4="Logarithm",LN(0.001+IF(AND(ISNUMBER('Council Entry'!AA$8),ISNUMBER('Council Entry'!AA$9)),MAX(MIN('Council Entry'!AA129,'Council Entry'!AA$9),'Council Entry'!AA$8),'Council Entry'!AA129)),IF('Council Entry'!AA$4="Exponential",EXP(IF(AND(ISNUMBER('Council Entry'!AA$8),ISNUMBER('Council Entry'!AA$9)),MAX(MIN('Council Entry'!AA129,'Council Entry'!AA$9),'Council Entry'!AA$8),'Council Entry'!AA129)),IF(AND(ISNUMBER('Council Entry'!AA$8),ISNUMBER('Council Entry'!AA$9)),MAX(MIN('Council Entry'!AA129,'Council Entry'!AA$9),'Council Entry'!AA$8),'Council Entry'!AA129))))-'Council Entry'!AA$5)/('Council Entry'!AA$6-'Council Entry'!AA$5)),1))),"No data"))</f>
        <v/>
      </c>
      <c r="AB129" s="13">
        <f>IF('Council Entry'!AB129="","",IFERROR(MAX(0,MIN(10,ROUND(IF('Council Entry'!AB$7="Decrease Risk",10-10*((IF('Council Entry'!AB$4="Logarithm",LN(0.001+IF(AND(ISNUMBER('Council Entry'!AB$8),ISNUMBER('Council Entry'!AB$9)),MAX(MIN('Council Entry'!AB129,'Council Entry'!AB$9),'Council Entry'!AB$8),'Council Entry'!AB129)),IF('Council Entry'!AB$4="Exponential",EXP(IF(AND(ISNUMBER('Council Entry'!AB$8),ISNUMBER('Council Entry'!AB$9)),MAX(MIN('Council Entry'!AB129,'Council Entry'!AB$9),'Council Entry'!AB$8),'Council Entry'!AB129)),IF(AND(ISNUMBER('Council Entry'!AB$8),ISNUMBER('Council Entry'!AB$9)),MAX(MIN('Council Entry'!AB129,'Council Entry'!AB$9),'Council Entry'!AB$8),'Council Entry'!AB129))))-'Council Entry'!AB$5)/('Council Entry'!AB$6-'Council Entry'!AB$5),10*((IF('Council Entry'!AB$4="Logarithm",LN(0.001+IF(AND(ISNUMBER('Council Entry'!AB$8),ISNUMBER('Council Entry'!AB$9)),MAX(MIN('Council Entry'!AB129,'Council Entry'!AB$9),'Council Entry'!AB$8),'Council Entry'!AB129)),IF('Council Entry'!AB$4="Exponential",EXP(IF(AND(ISNUMBER('Council Entry'!AB$8),ISNUMBER('Council Entry'!AB$9)),MAX(MIN('Council Entry'!AB129,'Council Entry'!AB$9),'Council Entry'!AB$8),'Council Entry'!AB129)),IF(AND(ISNUMBER('Council Entry'!AB$8),ISNUMBER('Council Entry'!AB$9)),MAX(MIN('Council Entry'!AB129,'Council Entry'!AB$9),'Council Entry'!AB$8),'Council Entry'!AB129))))-'Council Entry'!AB$5)/('Council Entry'!AB$6-'Council Entry'!AB$5)),1))),"No data"))</f>
        <v/>
      </c>
      <c r="AC129" s="13">
        <f>IF('Council Entry'!AC129="","",IFERROR(MAX(0,MIN(10,ROUND(IF('Council Entry'!AC$7="Decrease Risk",10-10*((IF('Council Entry'!AC$4="Logarithm",LN(0.001+IF(AND(ISNUMBER('Council Entry'!AC$8),ISNUMBER('Council Entry'!AC$9)),MAX(MIN('Council Entry'!AC129,'Council Entry'!AC$9),'Council Entry'!AC$8),'Council Entry'!AC129)),IF('Council Entry'!AC$4="Exponential",EXP(IF(AND(ISNUMBER('Council Entry'!AC$8),ISNUMBER('Council Entry'!AC$9)),MAX(MIN('Council Entry'!AC129,'Council Entry'!AC$9),'Council Entry'!AC$8),'Council Entry'!AC129)),IF(AND(ISNUMBER('Council Entry'!AC$8),ISNUMBER('Council Entry'!AC$9)),MAX(MIN('Council Entry'!AC129,'Council Entry'!AC$9),'Council Entry'!AC$8),'Council Entry'!AC129))))-'Council Entry'!AC$5)/('Council Entry'!AC$6-'Council Entry'!AC$5),10*((IF('Council Entry'!AC$4="Logarithm",LN(0.001+IF(AND(ISNUMBER('Council Entry'!AC$8),ISNUMBER('Council Entry'!AC$9)),MAX(MIN('Council Entry'!AC129,'Council Entry'!AC$9),'Council Entry'!AC$8),'Council Entry'!AC129)),IF('Council Entry'!AC$4="Exponential",EXP(IF(AND(ISNUMBER('Council Entry'!AC$8),ISNUMBER('Council Entry'!AC$9)),MAX(MIN('Council Entry'!AC129,'Council Entry'!AC$9),'Council Entry'!AC$8),'Council Entry'!AC129)),IF(AND(ISNUMBER('Council Entry'!AC$8),ISNUMBER('Council Entry'!AC$9)),MAX(MIN('Council Entry'!AC129,'Council Entry'!AC$9),'Council Entry'!AC$8),'Council Entry'!AC129))))-'Council Entry'!AC$5)/('Council Entry'!AC$6-'Council Entry'!AC$5)),1))),"No data"))</f>
        <v/>
      </c>
      <c r="AD129" s="13">
        <f>IF('Council Entry'!AD129="","",IFERROR(MAX(0,MIN(10,ROUND(IF('Council Entry'!AD$7="Decrease Risk",10-10*((IF('Council Entry'!AD$4="Logarithm",LN(0.001+IF(AND(ISNUMBER('Council Entry'!AD$8),ISNUMBER('Council Entry'!AD$9)),MAX(MIN('Council Entry'!AD129,'Council Entry'!AD$9),'Council Entry'!AD$8),'Council Entry'!AD129)),IF('Council Entry'!AD$4="Exponential",EXP(IF(AND(ISNUMBER('Council Entry'!AD$8),ISNUMBER('Council Entry'!AD$9)),MAX(MIN('Council Entry'!AD129,'Council Entry'!AD$9),'Council Entry'!AD$8),'Council Entry'!AD129)),IF(AND(ISNUMBER('Council Entry'!AD$8),ISNUMBER('Council Entry'!AD$9)),MAX(MIN('Council Entry'!AD129,'Council Entry'!AD$9),'Council Entry'!AD$8),'Council Entry'!AD129))))-'Council Entry'!AD$5)/('Council Entry'!AD$6-'Council Entry'!AD$5),10*((IF('Council Entry'!AD$4="Logarithm",LN(0.001+IF(AND(ISNUMBER('Council Entry'!AD$8),ISNUMBER('Council Entry'!AD$9)),MAX(MIN('Council Entry'!AD129,'Council Entry'!AD$9),'Council Entry'!AD$8),'Council Entry'!AD129)),IF('Council Entry'!AD$4="Exponential",EXP(IF(AND(ISNUMBER('Council Entry'!AD$8),ISNUMBER('Council Entry'!AD$9)),MAX(MIN('Council Entry'!AD129,'Council Entry'!AD$9),'Council Entry'!AD$8),'Council Entry'!AD129)),IF(AND(ISNUMBER('Council Entry'!AD$8),ISNUMBER('Council Entry'!AD$9)),MAX(MIN('Council Entry'!AD129,'Council Entry'!AD$9),'Council Entry'!AD$8),'Council Entry'!AD129))))-'Council Entry'!AD$5)/('Council Entry'!AD$6-'Council Entry'!AD$5)),1))),"No data"))</f>
        <v/>
      </c>
      <c r="AE129" s="13">
        <f>IF('Council Entry'!AE129="","",IFERROR(MAX(0,MIN(10,ROUND(IF('Council Entry'!AE$7="Decrease Risk",10-10*((IF('Council Entry'!AE$4="Logarithm",LN(0.001+IF(AND(ISNUMBER('Council Entry'!AE$8),ISNUMBER('Council Entry'!AE$9)),MAX(MIN('Council Entry'!AE129,'Council Entry'!AE$9),'Council Entry'!AE$8),'Council Entry'!AE129)),IF('Council Entry'!AE$4="Exponential",EXP(IF(AND(ISNUMBER('Council Entry'!AE$8),ISNUMBER('Council Entry'!AE$9)),MAX(MIN('Council Entry'!AE129,'Council Entry'!AE$9),'Council Entry'!AE$8),'Council Entry'!AE129)),IF(AND(ISNUMBER('Council Entry'!AE$8),ISNUMBER('Council Entry'!AE$9)),MAX(MIN('Council Entry'!AE129,'Council Entry'!AE$9),'Council Entry'!AE$8),'Council Entry'!AE129))))-'Council Entry'!AE$5)/('Council Entry'!AE$6-'Council Entry'!AE$5),10*((IF('Council Entry'!AE$4="Logarithm",LN(0.001+IF(AND(ISNUMBER('Council Entry'!AE$8),ISNUMBER('Council Entry'!AE$9)),MAX(MIN('Council Entry'!AE129,'Council Entry'!AE$9),'Council Entry'!AE$8),'Council Entry'!AE129)),IF('Council Entry'!AE$4="Exponential",EXP(IF(AND(ISNUMBER('Council Entry'!AE$8),ISNUMBER('Council Entry'!AE$9)),MAX(MIN('Council Entry'!AE129,'Council Entry'!AE$9),'Council Entry'!AE$8),'Council Entry'!AE129)),IF(AND(ISNUMBER('Council Entry'!AE$8),ISNUMBER('Council Entry'!AE$9)),MAX(MIN('Council Entry'!AE129,'Council Entry'!AE$9),'Council Entry'!AE$8),'Council Entry'!AE129))))-'Council Entry'!AE$5)/('Council Entry'!AE$6-'Council Entry'!AE$5)),1))),"No data"))</f>
        <v/>
      </c>
      <c r="AF129" s="13">
        <f>IF('Council Entry'!AF129="","",IFERROR(MAX(0,MIN(10,ROUND(IF('Council Entry'!AF$7="Decrease Risk",10-10*((IF('Council Entry'!AF$4="Logarithm",LN(0.001+IF(AND(ISNUMBER('Council Entry'!AF$8),ISNUMBER('Council Entry'!AF$9)),MAX(MIN('Council Entry'!AF129,'Council Entry'!AF$9),'Council Entry'!AF$8),'Council Entry'!AF129)),IF('Council Entry'!AF$4="Exponential",EXP(IF(AND(ISNUMBER('Council Entry'!AF$8),ISNUMBER('Council Entry'!AF$9)),MAX(MIN('Council Entry'!AF129,'Council Entry'!AF$9),'Council Entry'!AF$8),'Council Entry'!AF129)),IF(AND(ISNUMBER('Council Entry'!AF$8),ISNUMBER('Council Entry'!AF$9)),MAX(MIN('Council Entry'!AF129,'Council Entry'!AF$9),'Council Entry'!AF$8),'Council Entry'!AF129))))-'Council Entry'!AF$5)/('Council Entry'!AF$6-'Council Entry'!AF$5),10*((IF('Council Entry'!AF$4="Logarithm",LN(0.001+IF(AND(ISNUMBER('Council Entry'!AF$8),ISNUMBER('Council Entry'!AF$9)),MAX(MIN('Council Entry'!AF129,'Council Entry'!AF$9),'Council Entry'!AF$8),'Council Entry'!AF129)),IF('Council Entry'!AF$4="Exponential",EXP(IF(AND(ISNUMBER('Council Entry'!AF$8),ISNUMBER('Council Entry'!AF$9)),MAX(MIN('Council Entry'!AF129,'Council Entry'!AF$9),'Council Entry'!AF$8),'Council Entry'!AF129)),IF(AND(ISNUMBER('Council Entry'!AF$8),ISNUMBER('Council Entry'!AF$9)),MAX(MIN('Council Entry'!AF129,'Council Entry'!AF$9),'Council Entry'!AF$8),'Council Entry'!AF129))))-'Council Entry'!AF$5)/('Council Entry'!AF$6-'Council Entry'!AF$5)),1))),"No data"))</f>
        <v/>
      </c>
      <c r="AG129" s="13">
        <f>IF('Council Entry'!AG129="","",IFERROR(MAX(0,MIN(10,ROUND(IF('Council Entry'!AG$7="Decrease Risk",10-10*((IF('Council Entry'!AG$4="Logarithm",LN(0.001+IF(AND(ISNUMBER('Council Entry'!AG$8),ISNUMBER('Council Entry'!AG$9)),MAX(MIN('Council Entry'!AG129,'Council Entry'!AG$9),'Council Entry'!AG$8),'Council Entry'!AG129)),IF('Council Entry'!AG$4="Exponential",EXP(IF(AND(ISNUMBER('Council Entry'!AG$8),ISNUMBER('Council Entry'!AG$9)),MAX(MIN('Council Entry'!AG129,'Council Entry'!AG$9),'Council Entry'!AG$8),'Council Entry'!AG129)),IF(AND(ISNUMBER('Council Entry'!AG$8),ISNUMBER('Council Entry'!AG$9)),MAX(MIN('Council Entry'!AG129,'Council Entry'!AG$9),'Council Entry'!AG$8),'Council Entry'!AG129))))-'Council Entry'!AG$5)/('Council Entry'!AG$6-'Council Entry'!AG$5),10*((IF('Council Entry'!AG$4="Logarithm",LN(0.001+IF(AND(ISNUMBER('Council Entry'!AG$8),ISNUMBER('Council Entry'!AG$9)),MAX(MIN('Council Entry'!AG129,'Council Entry'!AG$9),'Council Entry'!AG$8),'Council Entry'!AG129)),IF('Council Entry'!AG$4="Exponential",EXP(IF(AND(ISNUMBER('Council Entry'!AG$8),ISNUMBER('Council Entry'!AG$9)),MAX(MIN('Council Entry'!AG129,'Council Entry'!AG$9),'Council Entry'!AG$8),'Council Entry'!AG129)),IF(AND(ISNUMBER('Council Entry'!AG$8),ISNUMBER('Council Entry'!AG$9)),MAX(MIN('Council Entry'!AG129,'Council Entry'!AG$9),'Council Entry'!AG$8),'Council Entry'!AG129))))-'Council Entry'!AG$5)/('Council Entry'!AG$6-'Council Entry'!AG$5)),1))),"No data"))</f>
        <v/>
      </c>
      <c r="AH129" s="13">
        <f>IF('Council Entry'!AH129="","",IFERROR(MAX(0,MIN(10,ROUND(IF('Council Entry'!AH$7="Decrease Risk",10-10*((IF('Council Entry'!AH$4="Logarithm",LN(0.001+IF(AND(ISNUMBER('Council Entry'!AH$8),ISNUMBER('Council Entry'!AH$9)),MAX(MIN('Council Entry'!AH129,'Council Entry'!AH$9),'Council Entry'!AH$8),'Council Entry'!AH129)),IF('Council Entry'!AH$4="Exponential",EXP(IF(AND(ISNUMBER('Council Entry'!AH$8),ISNUMBER('Council Entry'!AH$9)),MAX(MIN('Council Entry'!AH129,'Council Entry'!AH$9),'Council Entry'!AH$8),'Council Entry'!AH129)),IF(AND(ISNUMBER('Council Entry'!AH$8),ISNUMBER('Council Entry'!AH$9)),MAX(MIN('Council Entry'!AH129,'Council Entry'!AH$9),'Council Entry'!AH$8),'Council Entry'!AH129))))-'Council Entry'!AH$5)/('Council Entry'!AH$6-'Council Entry'!AH$5),10*((IF('Council Entry'!AH$4="Logarithm",LN(0.001+IF(AND(ISNUMBER('Council Entry'!AH$8),ISNUMBER('Council Entry'!AH$9)),MAX(MIN('Council Entry'!AH129,'Council Entry'!AH$9),'Council Entry'!AH$8),'Council Entry'!AH129)),IF('Council Entry'!AH$4="Exponential",EXP(IF(AND(ISNUMBER('Council Entry'!AH$8),ISNUMBER('Council Entry'!AH$9)),MAX(MIN('Council Entry'!AH129,'Council Entry'!AH$9),'Council Entry'!AH$8),'Council Entry'!AH129)),IF(AND(ISNUMBER('Council Entry'!AH$8),ISNUMBER('Council Entry'!AH$9)),MAX(MIN('Council Entry'!AH129,'Council Entry'!AH$9),'Council Entry'!AH$8),'Council Entry'!AH129))))-'Council Entry'!AH$5)/('Council Entry'!AH$6-'Council Entry'!AH$5)),1))),"No data"))</f>
        <v/>
      </c>
      <c r="AI129" s="13">
        <f>IF('Council Entry'!AI129="","",IFERROR(MAX(0,MIN(10,ROUND(IF('Council Entry'!AI$7="Decrease Risk",10-10*((IF('Council Entry'!AI$4="Logarithm",LN(0.001+IF(AND(ISNUMBER('Council Entry'!AI$8),ISNUMBER('Council Entry'!AI$9)),MAX(MIN('Council Entry'!AI129,'Council Entry'!AI$9),'Council Entry'!AI$8),'Council Entry'!AI129)),IF('Council Entry'!AI$4="Exponential",EXP(IF(AND(ISNUMBER('Council Entry'!AI$8),ISNUMBER('Council Entry'!AI$9)),MAX(MIN('Council Entry'!AI129,'Council Entry'!AI$9),'Council Entry'!AI$8),'Council Entry'!AI129)),IF(AND(ISNUMBER('Council Entry'!AI$8),ISNUMBER('Council Entry'!AI$9)),MAX(MIN('Council Entry'!AI129,'Council Entry'!AI$9),'Council Entry'!AI$8),'Council Entry'!AI129))))-'Council Entry'!AI$5)/('Council Entry'!AI$6-'Council Entry'!AI$5),10*((IF('Council Entry'!AI$4="Logarithm",LN(0.001+IF(AND(ISNUMBER('Council Entry'!AI$8),ISNUMBER('Council Entry'!AI$9)),MAX(MIN('Council Entry'!AI129,'Council Entry'!AI$9),'Council Entry'!AI$8),'Council Entry'!AI129)),IF('Council Entry'!AI$4="Exponential",EXP(IF(AND(ISNUMBER('Council Entry'!AI$8),ISNUMBER('Council Entry'!AI$9)),MAX(MIN('Council Entry'!AI129,'Council Entry'!AI$9),'Council Entry'!AI$8),'Council Entry'!AI129)),IF(AND(ISNUMBER('Council Entry'!AI$8),ISNUMBER('Council Entry'!AI$9)),MAX(MIN('Council Entry'!AI129,'Council Entry'!AI$9),'Council Entry'!AI$8),'Council Entry'!AI129))))-'Council Entry'!AI$5)/('Council Entry'!AI$6-'Council Entry'!AI$5)),1))),"No data"))</f>
        <v/>
      </c>
      <c r="AJ129" s="13">
        <f>IF('Council Entry'!AJ129="","",IFERROR(MAX(0,MIN(10,ROUND(IF('Council Entry'!AJ$7="Decrease Risk",10-10*((IF('Council Entry'!AJ$4="Logarithm",LN(0.001+IF(AND(ISNUMBER('Council Entry'!AJ$8),ISNUMBER('Council Entry'!AJ$9)),MAX(MIN('Council Entry'!AJ129,'Council Entry'!AJ$9),'Council Entry'!AJ$8),'Council Entry'!AJ129)),IF('Council Entry'!AJ$4="Exponential",EXP(IF(AND(ISNUMBER('Council Entry'!AJ$8),ISNUMBER('Council Entry'!AJ$9)),MAX(MIN('Council Entry'!AJ129,'Council Entry'!AJ$9),'Council Entry'!AJ$8),'Council Entry'!AJ129)),IF(AND(ISNUMBER('Council Entry'!AJ$8),ISNUMBER('Council Entry'!AJ$9)),MAX(MIN('Council Entry'!AJ129,'Council Entry'!AJ$9),'Council Entry'!AJ$8),'Council Entry'!AJ129))))-'Council Entry'!AJ$5)/('Council Entry'!AJ$6-'Council Entry'!AJ$5),10*((IF('Council Entry'!AJ$4="Logarithm",LN(0.001+IF(AND(ISNUMBER('Council Entry'!AJ$8),ISNUMBER('Council Entry'!AJ$9)),MAX(MIN('Council Entry'!AJ129,'Council Entry'!AJ$9),'Council Entry'!AJ$8),'Council Entry'!AJ129)),IF('Council Entry'!AJ$4="Exponential",EXP(IF(AND(ISNUMBER('Council Entry'!AJ$8),ISNUMBER('Council Entry'!AJ$9)),MAX(MIN('Council Entry'!AJ129,'Council Entry'!AJ$9),'Council Entry'!AJ$8),'Council Entry'!AJ129)),IF(AND(ISNUMBER('Council Entry'!AJ$8),ISNUMBER('Council Entry'!AJ$9)),MAX(MIN('Council Entry'!AJ129,'Council Entry'!AJ$9),'Council Entry'!AJ$8),'Council Entry'!AJ129))))-'Council Entry'!AJ$5)/('Council Entry'!AJ$6-'Council Entry'!AJ$5)),1))),"No data"))</f>
        <v/>
      </c>
      <c r="AK129" s="13">
        <f>IF('Council Entry'!AK129="","",IFERROR(MAX(0,MIN(10,ROUND(IF('Council Entry'!AK$7="Decrease Risk",10-10*((IF('Council Entry'!AK$4="Logarithm",LN(0.001+IF(AND(ISNUMBER('Council Entry'!AK$8),ISNUMBER('Council Entry'!AK$9)),MAX(MIN('Council Entry'!AK129,'Council Entry'!AK$9),'Council Entry'!AK$8),'Council Entry'!AK129)),IF('Council Entry'!AK$4="Exponential",EXP(IF(AND(ISNUMBER('Council Entry'!AK$8),ISNUMBER('Council Entry'!AK$9)),MAX(MIN('Council Entry'!AK129,'Council Entry'!AK$9),'Council Entry'!AK$8),'Council Entry'!AK129)),IF(AND(ISNUMBER('Council Entry'!AK$8),ISNUMBER('Council Entry'!AK$9)),MAX(MIN('Council Entry'!AK129,'Council Entry'!AK$9),'Council Entry'!AK$8),'Council Entry'!AK129))))-'Council Entry'!AK$5)/('Council Entry'!AK$6-'Council Entry'!AK$5),10*((IF('Council Entry'!AK$4="Logarithm",LN(0.001+IF(AND(ISNUMBER('Council Entry'!AK$8),ISNUMBER('Council Entry'!AK$9)),MAX(MIN('Council Entry'!AK129,'Council Entry'!AK$9),'Council Entry'!AK$8),'Council Entry'!AK129)),IF('Council Entry'!AK$4="Exponential",EXP(IF(AND(ISNUMBER('Council Entry'!AK$8),ISNUMBER('Council Entry'!AK$9)),MAX(MIN('Council Entry'!AK129,'Council Entry'!AK$9),'Council Entry'!AK$8),'Council Entry'!AK129)),IF(AND(ISNUMBER('Council Entry'!AK$8),ISNUMBER('Council Entry'!AK$9)),MAX(MIN('Council Entry'!AK129,'Council Entry'!AK$9),'Council Entry'!AK$8),'Council Entry'!AK129))))-'Council Entry'!AK$5)/('Council Entry'!AK$6-'Council Entry'!AK$5)),1))),"No data"))</f>
        <v/>
      </c>
      <c r="AL129" s="13">
        <f>IF('Council Entry'!AL129="","",IFERROR(MAX(0,MIN(10,ROUND(IF('Council Entry'!AL$7="Decrease Risk",10-10*((IF('Council Entry'!AL$4="Logarithm",LN(0.001+IF(AND(ISNUMBER('Council Entry'!AL$8),ISNUMBER('Council Entry'!AL$9)),MAX(MIN('Council Entry'!AL129,'Council Entry'!AL$9),'Council Entry'!AL$8),'Council Entry'!AL129)),IF('Council Entry'!AL$4="Exponential",EXP(IF(AND(ISNUMBER('Council Entry'!AL$8),ISNUMBER('Council Entry'!AL$9)),MAX(MIN('Council Entry'!AL129,'Council Entry'!AL$9),'Council Entry'!AL$8),'Council Entry'!AL129)),IF(AND(ISNUMBER('Council Entry'!AL$8),ISNUMBER('Council Entry'!AL$9)),MAX(MIN('Council Entry'!AL129,'Council Entry'!AL$9),'Council Entry'!AL$8),'Council Entry'!AL129))))-'Council Entry'!AL$5)/('Council Entry'!AL$6-'Council Entry'!AL$5),10*((IF('Council Entry'!AL$4="Logarithm",LN(0.001+IF(AND(ISNUMBER('Council Entry'!AL$8),ISNUMBER('Council Entry'!AL$9)),MAX(MIN('Council Entry'!AL129,'Council Entry'!AL$9),'Council Entry'!AL$8),'Council Entry'!AL129)),IF('Council Entry'!AL$4="Exponential",EXP(IF(AND(ISNUMBER('Council Entry'!AL$8),ISNUMBER('Council Entry'!AL$9)),MAX(MIN('Council Entry'!AL129,'Council Entry'!AL$9),'Council Entry'!AL$8),'Council Entry'!AL129)),IF(AND(ISNUMBER('Council Entry'!AL$8),ISNUMBER('Council Entry'!AL$9)),MAX(MIN('Council Entry'!AL129,'Council Entry'!AL$9),'Council Entry'!AL$8),'Council Entry'!AL129))))-'Council Entry'!AL$5)/('Council Entry'!AL$6-'Council Entry'!AL$5)),1))),"No data"))</f>
        <v/>
      </c>
      <c r="AM129" s="13">
        <f>IF('Council Entry'!AM129="","",IFERROR(MAX(0,MIN(10,ROUND(IF('Council Entry'!AM$7="Decrease Risk",10-10*((IF('Council Entry'!AM$4="Logarithm",LN(0.001+IF(AND(ISNUMBER('Council Entry'!AM$8),ISNUMBER('Council Entry'!AM$9)),MAX(MIN('Council Entry'!AM129,'Council Entry'!AM$9),'Council Entry'!AM$8),'Council Entry'!AM129)),IF('Council Entry'!AM$4="Exponential",EXP(IF(AND(ISNUMBER('Council Entry'!AM$8),ISNUMBER('Council Entry'!AM$9)),MAX(MIN('Council Entry'!AM129,'Council Entry'!AM$9),'Council Entry'!AM$8),'Council Entry'!AM129)),IF(AND(ISNUMBER('Council Entry'!AM$8),ISNUMBER('Council Entry'!AM$9)),MAX(MIN('Council Entry'!AM129,'Council Entry'!AM$9),'Council Entry'!AM$8),'Council Entry'!AM129))))-'Council Entry'!AM$5)/('Council Entry'!AM$6-'Council Entry'!AM$5),10*((IF('Council Entry'!AM$4="Logarithm",LN(0.001+IF(AND(ISNUMBER('Council Entry'!AM$8),ISNUMBER('Council Entry'!AM$9)),MAX(MIN('Council Entry'!AM129,'Council Entry'!AM$9),'Council Entry'!AM$8),'Council Entry'!AM129)),IF('Council Entry'!AM$4="Exponential",EXP(IF(AND(ISNUMBER('Council Entry'!AM$8),ISNUMBER('Council Entry'!AM$9)),MAX(MIN('Council Entry'!AM129,'Council Entry'!AM$9),'Council Entry'!AM$8),'Council Entry'!AM129)),IF(AND(ISNUMBER('Council Entry'!AM$8),ISNUMBER('Council Entry'!AM$9)),MAX(MIN('Council Entry'!AM129,'Council Entry'!AM$9),'Council Entry'!AM$8),'Council Entry'!AM129))))-'Council Entry'!AM$5)/('Council Entry'!AM$6-'Council Entry'!AM$5)),1))),"No data"))</f>
        <v/>
      </c>
      <c r="AN129" s="13">
        <f>IF('Council Entry'!AN129="","",IFERROR(MAX(0,MIN(10,ROUND(IF('Council Entry'!AN$7="Decrease Risk",10-10*((IF('Council Entry'!AN$4="Logarithm",LN(0.001+IF(AND(ISNUMBER('Council Entry'!AN$8),ISNUMBER('Council Entry'!AN$9)),MAX(MIN('Council Entry'!AN129,'Council Entry'!AN$9),'Council Entry'!AN$8),'Council Entry'!AN129)),IF('Council Entry'!AN$4="Exponential",EXP(IF(AND(ISNUMBER('Council Entry'!AN$8),ISNUMBER('Council Entry'!AN$9)),MAX(MIN('Council Entry'!AN129,'Council Entry'!AN$9),'Council Entry'!AN$8),'Council Entry'!AN129)),IF(AND(ISNUMBER('Council Entry'!AN$8),ISNUMBER('Council Entry'!AN$9)),MAX(MIN('Council Entry'!AN129,'Council Entry'!AN$9),'Council Entry'!AN$8),'Council Entry'!AN129))))-'Council Entry'!AN$5)/('Council Entry'!AN$6-'Council Entry'!AN$5),10*((IF('Council Entry'!AN$4="Logarithm",LN(0.001+IF(AND(ISNUMBER('Council Entry'!AN$8),ISNUMBER('Council Entry'!AN$9)),MAX(MIN('Council Entry'!AN129,'Council Entry'!AN$9),'Council Entry'!AN$8),'Council Entry'!AN129)),IF('Council Entry'!AN$4="Exponential",EXP(IF(AND(ISNUMBER('Council Entry'!AN$8),ISNUMBER('Council Entry'!AN$9)),MAX(MIN('Council Entry'!AN129,'Council Entry'!AN$9),'Council Entry'!AN$8),'Council Entry'!AN129)),IF(AND(ISNUMBER('Council Entry'!AN$8),ISNUMBER('Council Entry'!AN$9)),MAX(MIN('Council Entry'!AN129,'Council Entry'!AN$9),'Council Entry'!AN$8),'Council Entry'!AN129))))-'Council Entry'!AN$5)/('Council Entry'!AN$6-'Council Entry'!AN$5)),1))),"No data"))</f>
        <v/>
      </c>
      <c r="AO129" s="13">
        <f>IF('Council Entry'!AO129="","",IFERROR(MAX(0,MIN(10,ROUND(IF('Council Entry'!AO$7="Decrease Risk",10-10*((IF('Council Entry'!AO$4="Logarithm",LN(0.001+IF(AND(ISNUMBER('Council Entry'!AO$8),ISNUMBER('Council Entry'!AO$9)),MAX(MIN('Council Entry'!AO129,'Council Entry'!AO$9),'Council Entry'!AO$8),'Council Entry'!AO129)),IF('Council Entry'!AO$4="Exponential",EXP(IF(AND(ISNUMBER('Council Entry'!AO$8),ISNUMBER('Council Entry'!AO$9)),MAX(MIN('Council Entry'!AO129,'Council Entry'!AO$9),'Council Entry'!AO$8),'Council Entry'!AO129)),IF(AND(ISNUMBER('Council Entry'!AO$8),ISNUMBER('Council Entry'!AO$9)),MAX(MIN('Council Entry'!AO129,'Council Entry'!AO$9),'Council Entry'!AO$8),'Council Entry'!AO129))))-'Council Entry'!AO$5)/('Council Entry'!AO$6-'Council Entry'!AO$5),10*((IF('Council Entry'!AO$4="Logarithm",LN(0.001+IF(AND(ISNUMBER('Council Entry'!AO$8),ISNUMBER('Council Entry'!AO$9)),MAX(MIN('Council Entry'!AO129,'Council Entry'!AO$9),'Council Entry'!AO$8),'Council Entry'!AO129)),IF('Council Entry'!AO$4="Exponential",EXP(IF(AND(ISNUMBER('Council Entry'!AO$8),ISNUMBER('Council Entry'!AO$9)),MAX(MIN('Council Entry'!AO129,'Council Entry'!AO$9),'Council Entry'!AO$8),'Council Entry'!AO129)),IF(AND(ISNUMBER('Council Entry'!AO$8),ISNUMBER('Council Entry'!AO$9)),MAX(MIN('Council Entry'!AO129,'Council Entry'!AO$9),'Council Entry'!AO$8),'Council Entry'!AO129))))-'Council Entry'!AO$5)/('Council Entry'!AO$6-'Council Entry'!AO$5)),1))),"No data"))</f>
        <v/>
      </c>
      <c r="AP129" s="13">
        <f>IF('Council Entry'!AP129="","",IFERROR(MAX(0,MIN(10,ROUND(IF('Council Entry'!AP$7="Decrease Risk",10-10*((IF('Council Entry'!AP$4="Logarithm",LN(0.001+IF(AND(ISNUMBER('Council Entry'!AP$8),ISNUMBER('Council Entry'!AP$9)),MAX(MIN('Council Entry'!AP129,'Council Entry'!AP$9),'Council Entry'!AP$8),'Council Entry'!AP129)),IF('Council Entry'!AP$4="Exponential",EXP(IF(AND(ISNUMBER('Council Entry'!AP$8),ISNUMBER('Council Entry'!AP$9)),MAX(MIN('Council Entry'!AP129,'Council Entry'!AP$9),'Council Entry'!AP$8),'Council Entry'!AP129)),IF(AND(ISNUMBER('Council Entry'!AP$8),ISNUMBER('Council Entry'!AP$9)),MAX(MIN('Council Entry'!AP129,'Council Entry'!AP$9),'Council Entry'!AP$8),'Council Entry'!AP129))))-'Council Entry'!AP$5)/('Council Entry'!AP$6-'Council Entry'!AP$5),10*((IF('Council Entry'!AP$4="Logarithm",LN(0.001+IF(AND(ISNUMBER('Council Entry'!AP$8),ISNUMBER('Council Entry'!AP$9)),MAX(MIN('Council Entry'!AP129,'Council Entry'!AP$9),'Council Entry'!AP$8),'Council Entry'!AP129)),IF('Council Entry'!AP$4="Exponential",EXP(IF(AND(ISNUMBER('Council Entry'!AP$8),ISNUMBER('Council Entry'!AP$9)),MAX(MIN('Council Entry'!AP129,'Council Entry'!AP$9),'Council Entry'!AP$8),'Council Entry'!AP129)),IF(AND(ISNUMBER('Council Entry'!AP$8),ISNUMBER('Council Entry'!AP$9)),MAX(MIN('Council Entry'!AP129,'Council Entry'!AP$9),'Council Entry'!AP$8),'Council Entry'!AP129))))-'Council Entry'!AP$5)/('Council Entry'!AP$6-'Council Entry'!AP$5)),1))),"No data"))</f>
        <v/>
      </c>
      <c r="AQ129" s="13">
        <f>IF('Council Entry'!AQ129="","",IFERROR(MAX(0,MIN(10,ROUND(IF('Council Entry'!AQ$7="Decrease Risk",10-10*((IF('Council Entry'!AQ$4="Logarithm",LN(0.001+IF(AND(ISNUMBER('Council Entry'!AQ$8),ISNUMBER('Council Entry'!AQ$9)),MAX(MIN('Council Entry'!AQ129,'Council Entry'!AQ$9),'Council Entry'!AQ$8),'Council Entry'!AQ129)),IF('Council Entry'!AQ$4="Exponential",EXP(IF(AND(ISNUMBER('Council Entry'!AQ$8),ISNUMBER('Council Entry'!AQ$9)),MAX(MIN('Council Entry'!AQ129,'Council Entry'!AQ$9),'Council Entry'!AQ$8),'Council Entry'!AQ129)),IF(AND(ISNUMBER('Council Entry'!AQ$8),ISNUMBER('Council Entry'!AQ$9)),MAX(MIN('Council Entry'!AQ129,'Council Entry'!AQ$9),'Council Entry'!AQ$8),'Council Entry'!AQ129))))-'Council Entry'!AQ$5)/('Council Entry'!AQ$6-'Council Entry'!AQ$5),10*((IF('Council Entry'!AQ$4="Logarithm",LN(0.001+IF(AND(ISNUMBER('Council Entry'!AQ$8),ISNUMBER('Council Entry'!AQ$9)),MAX(MIN('Council Entry'!AQ129,'Council Entry'!AQ$9),'Council Entry'!AQ$8),'Council Entry'!AQ129)),IF('Council Entry'!AQ$4="Exponential",EXP(IF(AND(ISNUMBER('Council Entry'!AQ$8),ISNUMBER('Council Entry'!AQ$9)),MAX(MIN('Council Entry'!AQ129,'Council Entry'!AQ$9),'Council Entry'!AQ$8),'Council Entry'!AQ129)),IF(AND(ISNUMBER('Council Entry'!AQ$8),ISNUMBER('Council Entry'!AQ$9)),MAX(MIN('Council Entry'!AQ129,'Council Entry'!AQ$9),'Council Entry'!AQ$8),'Council Entry'!AQ129))))-'Council Entry'!AQ$5)/('Council Entry'!AQ$6-'Council Entry'!AQ$5)),1))),"No data"))</f>
        <v/>
      </c>
      <c r="AR129" s="13">
        <f>IF('Council Entry'!AR129="","",IFERROR(MAX(0,MIN(10,ROUND(IF('Council Entry'!AR$7="Decrease Risk",10-10*((IF('Council Entry'!AR$4="Logarithm",LN(0.001+IF(AND(ISNUMBER('Council Entry'!AR$8),ISNUMBER('Council Entry'!AR$9)),MAX(MIN('Council Entry'!AR129,'Council Entry'!AR$9),'Council Entry'!AR$8),'Council Entry'!AR129)),IF('Council Entry'!AR$4="Exponential",EXP(IF(AND(ISNUMBER('Council Entry'!AR$8),ISNUMBER('Council Entry'!AR$9)),MAX(MIN('Council Entry'!AR129,'Council Entry'!AR$9),'Council Entry'!AR$8),'Council Entry'!AR129)),IF(AND(ISNUMBER('Council Entry'!AR$8),ISNUMBER('Council Entry'!AR$9)),MAX(MIN('Council Entry'!AR129,'Council Entry'!AR$9),'Council Entry'!AR$8),'Council Entry'!AR129))))-'Council Entry'!AR$5)/('Council Entry'!AR$6-'Council Entry'!AR$5),10*((IF('Council Entry'!AR$4="Logarithm",LN(0.001+IF(AND(ISNUMBER('Council Entry'!AR$8),ISNUMBER('Council Entry'!AR$9)),MAX(MIN('Council Entry'!AR129,'Council Entry'!AR$9),'Council Entry'!AR$8),'Council Entry'!AR129)),IF('Council Entry'!AR$4="Exponential",EXP(IF(AND(ISNUMBER('Council Entry'!AR$8),ISNUMBER('Council Entry'!AR$9)),MAX(MIN('Council Entry'!AR129,'Council Entry'!AR$9),'Council Entry'!AR$8),'Council Entry'!AR129)),IF(AND(ISNUMBER('Council Entry'!AR$8),ISNUMBER('Council Entry'!AR$9)),MAX(MIN('Council Entry'!AR129,'Council Entry'!AR$9),'Council Entry'!AR$8),'Council Entry'!AR129))))-'Council Entry'!AR$5)/('Council Entry'!AR$6-'Council Entry'!AR$5)),1))),"No data"))</f>
        <v/>
      </c>
      <c r="AS129" s="13">
        <f>IF('Council Entry'!AS129="","",IFERROR(MAX(0,MIN(10,ROUND(IF('Council Entry'!AS$7="Decrease Risk",10-10*((IF('Council Entry'!AS$4="Logarithm",LN(0.001+IF(AND(ISNUMBER('Council Entry'!AS$8),ISNUMBER('Council Entry'!AS$9)),MAX(MIN('Council Entry'!AS129,'Council Entry'!AS$9),'Council Entry'!AS$8),'Council Entry'!AS129)),IF('Council Entry'!AS$4="Exponential",EXP(IF(AND(ISNUMBER('Council Entry'!AS$8),ISNUMBER('Council Entry'!AS$9)),MAX(MIN('Council Entry'!AS129,'Council Entry'!AS$9),'Council Entry'!AS$8),'Council Entry'!AS129)),IF(AND(ISNUMBER('Council Entry'!AS$8),ISNUMBER('Council Entry'!AS$9)),MAX(MIN('Council Entry'!AS129,'Council Entry'!AS$9),'Council Entry'!AS$8),'Council Entry'!AS129))))-'Council Entry'!AS$5)/('Council Entry'!AS$6-'Council Entry'!AS$5),10*((IF('Council Entry'!AS$4="Logarithm",LN(0.001+IF(AND(ISNUMBER('Council Entry'!AS$8),ISNUMBER('Council Entry'!AS$9)),MAX(MIN('Council Entry'!AS129,'Council Entry'!AS$9),'Council Entry'!AS$8),'Council Entry'!AS129)),IF('Council Entry'!AS$4="Exponential",EXP(IF(AND(ISNUMBER('Council Entry'!AS$8),ISNUMBER('Council Entry'!AS$9)),MAX(MIN('Council Entry'!AS129,'Council Entry'!AS$9),'Council Entry'!AS$8),'Council Entry'!AS129)),IF(AND(ISNUMBER('Council Entry'!AS$8),ISNUMBER('Council Entry'!AS$9)),MAX(MIN('Council Entry'!AS129,'Council Entry'!AS$9),'Council Entry'!AS$8),'Council Entry'!AS129))))-'Council Entry'!AS$5)/('Council Entry'!AS$6-'Council Entry'!AS$5)),1))),"No data"))</f>
        <v/>
      </c>
      <c r="AT129" s="13">
        <f>IF('Council Entry'!AT129="","",IFERROR(MAX(0,MIN(10,ROUND(IF('Council Entry'!AT$7="Decrease Risk",10-10*((IF('Council Entry'!AT$4="Logarithm",LN(0.001+IF(AND(ISNUMBER('Council Entry'!AT$8),ISNUMBER('Council Entry'!AT$9)),MAX(MIN('Council Entry'!AT129,'Council Entry'!AT$9),'Council Entry'!AT$8),'Council Entry'!AT129)),IF('Council Entry'!AT$4="Exponential",EXP(IF(AND(ISNUMBER('Council Entry'!AT$8),ISNUMBER('Council Entry'!AT$9)),MAX(MIN('Council Entry'!AT129,'Council Entry'!AT$9),'Council Entry'!AT$8),'Council Entry'!AT129)),IF(AND(ISNUMBER('Council Entry'!AT$8),ISNUMBER('Council Entry'!AT$9)),MAX(MIN('Council Entry'!AT129,'Council Entry'!AT$9),'Council Entry'!AT$8),'Council Entry'!AT129))))-'Council Entry'!AT$5)/('Council Entry'!AT$6-'Council Entry'!AT$5),10*((IF('Council Entry'!AT$4="Logarithm",LN(0.001+IF(AND(ISNUMBER('Council Entry'!AT$8),ISNUMBER('Council Entry'!AT$9)),MAX(MIN('Council Entry'!AT129,'Council Entry'!AT$9),'Council Entry'!AT$8),'Council Entry'!AT129)),IF('Council Entry'!AT$4="Exponential",EXP(IF(AND(ISNUMBER('Council Entry'!AT$8),ISNUMBER('Council Entry'!AT$9)),MAX(MIN('Council Entry'!AT129,'Council Entry'!AT$9),'Council Entry'!AT$8),'Council Entry'!AT129)),IF(AND(ISNUMBER('Council Entry'!AT$8),ISNUMBER('Council Entry'!AT$9)),MAX(MIN('Council Entry'!AT129,'Council Entry'!AT$9),'Council Entry'!AT$8),'Council Entry'!AT129))))-'Council Entry'!AT$5)/('Council Entry'!AT$6-'Council Entry'!AT$5)),1))),"No data"))</f>
        <v/>
      </c>
      <c r="AU129" s="13">
        <f>IF('Council Entry'!AU129="","",IFERROR(MAX(0,MIN(10,ROUND(IF('Council Entry'!AU$7="Decrease Risk",10-10*((IF('Council Entry'!AU$4="Logarithm",LN(0.001+IF(AND(ISNUMBER('Council Entry'!AU$8),ISNUMBER('Council Entry'!AU$9)),MAX(MIN('Council Entry'!AU129,'Council Entry'!AU$9),'Council Entry'!AU$8),'Council Entry'!AU129)),IF('Council Entry'!AU$4="Exponential",EXP(IF(AND(ISNUMBER('Council Entry'!AU$8),ISNUMBER('Council Entry'!AU$9)),MAX(MIN('Council Entry'!AU129,'Council Entry'!AU$9),'Council Entry'!AU$8),'Council Entry'!AU129)),IF(AND(ISNUMBER('Council Entry'!AU$8),ISNUMBER('Council Entry'!AU$9)),MAX(MIN('Council Entry'!AU129,'Council Entry'!AU$9),'Council Entry'!AU$8),'Council Entry'!AU129))))-'Council Entry'!AU$5)/('Council Entry'!AU$6-'Council Entry'!AU$5),10*((IF('Council Entry'!AU$4="Logarithm",LN(0.001+IF(AND(ISNUMBER('Council Entry'!AU$8),ISNUMBER('Council Entry'!AU$9)),MAX(MIN('Council Entry'!AU129,'Council Entry'!AU$9),'Council Entry'!AU$8),'Council Entry'!AU129)),IF('Council Entry'!AU$4="Exponential",EXP(IF(AND(ISNUMBER('Council Entry'!AU$8),ISNUMBER('Council Entry'!AU$9)),MAX(MIN('Council Entry'!AU129,'Council Entry'!AU$9),'Council Entry'!AU$8),'Council Entry'!AU129)),IF(AND(ISNUMBER('Council Entry'!AU$8),ISNUMBER('Council Entry'!AU$9)),MAX(MIN('Council Entry'!AU129,'Council Entry'!AU$9),'Council Entry'!AU$8),'Council Entry'!AU129))))-'Council Entry'!AU$5)/('Council Entry'!AU$6-'Council Entry'!AU$5)),1))),"No data"))</f>
        <v/>
      </c>
      <c r="AV129" s="13">
        <f>IF('Council Entry'!AV129="","",IFERROR(MAX(0,MIN(10,ROUND(IF('Council Entry'!AV$7="Decrease Risk",10-10*((IF('Council Entry'!AV$4="Logarithm",LN(0.001+IF(AND(ISNUMBER('Council Entry'!AV$8),ISNUMBER('Council Entry'!AV$9)),MAX(MIN('Council Entry'!AV129,'Council Entry'!AV$9),'Council Entry'!AV$8),'Council Entry'!AV129)),IF('Council Entry'!AV$4="Exponential",EXP(IF(AND(ISNUMBER('Council Entry'!AV$8),ISNUMBER('Council Entry'!AV$9)),MAX(MIN('Council Entry'!AV129,'Council Entry'!AV$9),'Council Entry'!AV$8),'Council Entry'!AV129)),IF(AND(ISNUMBER('Council Entry'!AV$8),ISNUMBER('Council Entry'!AV$9)),MAX(MIN('Council Entry'!AV129,'Council Entry'!AV$9),'Council Entry'!AV$8),'Council Entry'!AV129))))-'Council Entry'!AV$5)/('Council Entry'!AV$6-'Council Entry'!AV$5),10*((IF('Council Entry'!AV$4="Logarithm",LN(0.001+IF(AND(ISNUMBER('Council Entry'!AV$8),ISNUMBER('Council Entry'!AV$9)),MAX(MIN('Council Entry'!AV129,'Council Entry'!AV$9),'Council Entry'!AV$8),'Council Entry'!AV129)),IF('Council Entry'!AV$4="Exponential",EXP(IF(AND(ISNUMBER('Council Entry'!AV$8),ISNUMBER('Council Entry'!AV$9)),MAX(MIN('Council Entry'!AV129,'Council Entry'!AV$9),'Council Entry'!AV$8),'Council Entry'!AV129)),IF(AND(ISNUMBER('Council Entry'!AV$8),ISNUMBER('Council Entry'!AV$9)),MAX(MIN('Council Entry'!AV129,'Council Entry'!AV$9),'Council Entry'!AV$8),'Council Entry'!AV129))))-'Council Entry'!AV$5)/('Council Entry'!AV$6-'Council Entry'!AV$5)),1))),"No data"))</f>
        <v/>
      </c>
      <c r="AW129" s="13">
        <f>IF('Council Entry'!AW129="","",IFERROR(MAX(0,MIN(10,ROUND(IF('Council Entry'!AW$7="Decrease Risk",10-10*((IF('Council Entry'!AW$4="Logarithm",LN(0.001+IF(AND(ISNUMBER('Council Entry'!AW$8),ISNUMBER('Council Entry'!AW$9)),MAX(MIN('Council Entry'!AW129,'Council Entry'!AW$9),'Council Entry'!AW$8),'Council Entry'!AW129)),IF('Council Entry'!AW$4="Exponential",EXP(IF(AND(ISNUMBER('Council Entry'!AW$8),ISNUMBER('Council Entry'!AW$9)),MAX(MIN('Council Entry'!AW129,'Council Entry'!AW$9),'Council Entry'!AW$8),'Council Entry'!AW129)),IF(AND(ISNUMBER('Council Entry'!AW$8),ISNUMBER('Council Entry'!AW$9)),MAX(MIN('Council Entry'!AW129,'Council Entry'!AW$9),'Council Entry'!AW$8),'Council Entry'!AW129))))-'Council Entry'!AW$5)/('Council Entry'!AW$6-'Council Entry'!AW$5),10*((IF('Council Entry'!AW$4="Logarithm",LN(0.001+IF(AND(ISNUMBER('Council Entry'!AW$8),ISNUMBER('Council Entry'!AW$9)),MAX(MIN('Council Entry'!AW129,'Council Entry'!AW$9),'Council Entry'!AW$8),'Council Entry'!AW129)),IF('Council Entry'!AW$4="Exponential",EXP(IF(AND(ISNUMBER('Council Entry'!AW$8),ISNUMBER('Council Entry'!AW$9)),MAX(MIN('Council Entry'!AW129,'Council Entry'!AW$9),'Council Entry'!AW$8),'Council Entry'!AW129)),IF(AND(ISNUMBER('Council Entry'!AW$8),ISNUMBER('Council Entry'!AW$9)),MAX(MIN('Council Entry'!AW129,'Council Entry'!AW$9),'Council Entry'!AW$8),'Council Entry'!AW129))))-'Council Entry'!AW$5)/('Council Entry'!AW$6-'Council Entry'!AW$5)),1))),"No data"))</f>
        <v/>
      </c>
      <c r="AX129" s="13">
        <f>IF('Council Entry'!AX129="","",IFERROR(MAX(0,MIN(10,ROUND(IF('Council Entry'!AX$7="Decrease Risk",10-10*((IF('Council Entry'!AX$4="Logarithm",LN(0.001+IF(AND(ISNUMBER('Council Entry'!AX$8),ISNUMBER('Council Entry'!AX$9)),MAX(MIN('Council Entry'!AX129,'Council Entry'!AX$9),'Council Entry'!AX$8),'Council Entry'!AX129)),IF('Council Entry'!AX$4="Exponential",EXP(IF(AND(ISNUMBER('Council Entry'!AX$8),ISNUMBER('Council Entry'!AX$9)),MAX(MIN('Council Entry'!AX129,'Council Entry'!AX$9),'Council Entry'!AX$8),'Council Entry'!AX129)),IF(AND(ISNUMBER('Council Entry'!AX$8),ISNUMBER('Council Entry'!AX$9)),MAX(MIN('Council Entry'!AX129,'Council Entry'!AX$9),'Council Entry'!AX$8),'Council Entry'!AX129))))-'Council Entry'!AX$5)/('Council Entry'!AX$6-'Council Entry'!AX$5),10*((IF('Council Entry'!AX$4="Logarithm",LN(0.001+IF(AND(ISNUMBER('Council Entry'!AX$8),ISNUMBER('Council Entry'!AX$9)),MAX(MIN('Council Entry'!AX129,'Council Entry'!AX$9),'Council Entry'!AX$8),'Council Entry'!AX129)),IF('Council Entry'!AX$4="Exponential",EXP(IF(AND(ISNUMBER('Council Entry'!AX$8),ISNUMBER('Council Entry'!AX$9)),MAX(MIN('Council Entry'!AX129,'Council Entry'!AX$9),'Council Entry'!AX$8),'Council Entry'!AX129)),IF(AND(ISNUMBER('Council Entry'!AX$8),ISNUMBER('Council Entry'!AX$9)),MAX(MIN('Council Entry'!AX129,'Council Entry'!AX$9),'Council Entry'!AX$8),'Council Entry'!AX129))))-'Council Entry'!AX$5)/('Council Entry'!AX$6-'Council Entry'!AX$5)),1))),"No data"))</f>
        <v/>
      </c>
      <c r="AY129" s="13">
        <f>IF('Council Entry'!AY129="","",IFERROR(MAX(0,MIN(10,ROUND(IF('Council Entry'!AY$7="Decrease Risk",10-10*((IF('Council Entry'!AY$4="Logarithm",LN(0.001+IF(AND(ISNUMBER('Council Entry'!AY$8),ISNUMBER('Council Entry'!AY$9)),MAX(MIN('Council Entry'!AY129,'Council Entry'!AY$9),'Council Entry'!AY$8),'Council Entry'!AY129)),IF('Council Entry'!AY$4="Exponential",EXP(IF(AND(ISNUMBER('Council Entry'!AY$8),ISNUMBER('Council Entry'!AY$9)),MAX(MIN('Council Entry'!AY129,'Council Entry'!AY$9),'Council Entry'!AY$8),'Council Entry'!AY129)),IF(AND(ISNUMBER('Council Entry'!AY$8),ISNUMBER('Council Entry'!AY$9)),MAX(MIN('Council Entry'!AY129,'Council Entry'!AY$9),'Council Entry'!AY$8),'Council Entry'!AY129))))-'Council Entry'!AY$5)/('Council Entry'!AY$6-'Council Entry'!AY$5),10*((IF('Council Entry'!AY$4="Logarithm",LN(0.001+IF(AND(ISNUMBER('Council Entry'!AY$8),ISNUMBER('Council Entry'!AY$9)),MAX(MIN('Council Entry'!AY129,'Council Entry'!AY$9),'Council Entry'!AY$8),'Council Entry'!AY129)),IF('Council Entry'!AY$4="Exponential",EXP(IF(AND(ISNUMBER('Council Entry'!AY$8),ISNUMBER('Council Entry'!AY$9)),MAX(MIN('Council Entry'!AY129,'Council Entry'!AY$9),'Council Entry'!AY$8),'Council Entry'!AY129)),IF(AND(ISNUMBER('Council Entry'!AY$8),ISNUMBER('Council Entry'!AY$9)),MAX(MIN('Council Entry'!AY129,'Council Entry'!AY$9),'Council Entry'!AY$8),'Council Entry'!AY129))))-'Council Entry'!AY$5)/('Council Entry'!AY$6-'Council Entry'!AY$5)),1))),"No data"))</f>
        <v/>
      </c>
      <c r="AZ129" s="13">
        <f>IF('Council Entry'!AZ129="","",IFERROR(MAX(0,MIN(10,ROUND(IF('Council Entry'!AZ$7="Decrease Risk",10-10*((IF('Council Entry'!AZ$4="Logarithm",LN(0.001+IF(AND(ISNUMBER('Council Entry'!AZ$8),ISNUMBER('Council Entry'!AZ$9)),MAX(MIN('Council Entry'!AZ129,'Council Entry'!AZ$9),'Council Entry'!AZ$8),'Council Entry'!AZ129)),IF('Council Entry'!AZ$4="Exponential",EXP(IF(AND(ISNUMBER('Council Entry'!AZ$8),ISNUMBER('Council Entry'!AZ$9)),MAX(MIN('Council Entry'!AZ129,'Council Entry'!AZ$9),'Council Entry'!AZ$8),'Council Entry'!AZ129)),IF(AND(ISNUMBER('Council Entry'!AZ$8),ISNUMBER('Council Entry'!AZ$9)),MAX(MIN('Council Entry'!AZ129,'Council Entry'!AZ$9),'Council Entry'!AZ$8),'Council Entry'!AZ129))))-'Council Entry'!AZ$5)/('Council Entry'!AZ$6-'Council Entry'!AZ$5),10*((IF('Council Entry'!AZ$4="Logarithm",LN(0.001+IF(AND(ISNUMBER('Council Entry'!AZ$8),ISNUMBER('Council Entry'!AZ$9)),MAX(MIN('Council Entry'!AZ129,'Council Entry'!AZ$9),'Council Entry'!AZ$8),'Council Entry'!AZ129)),IF('Council Entry'!AZ$4="Exponential",EXP(IF(AND(ISNUMBER('Council Entry'!AZ$8),ISNUMBER('Council Entry'!AZ$9)),MAX(MIN('Council Entry'!AZ129,'Council Entry'!AZ$9),'Council Entry'!AZ$8),'Council Entry'!AZ129)),IF(AND(ISNUMBER('Council Entry'!AZ$8),ISNUMBER('Council Entry'!AZ$9)),MAX(MIN('Council Entry'!AZ129,'Council Entry'!AZ$9),'Council Entry'!AZ$8),'Council Entry'!AZ129))))-'Council Entry'!AZ$5)/('Council Entry'!AZ$6-'Council Entry'!AZ$5)),1))),"No data"))</f>
        <v/>
      </c>
      <c r="BA129" s="13">
        <f>IF('Council Entry'!BA129="","",IFERROR(MAX(0,MIN(10,ROUND(IF('Council Entry'!BA$7="Decrease Risk",10-10*((IF('Council Entry'!BA$4="Logarithm",LN(0.001+IF(AND(ISNUMBER('Council Entry'!BA$8),ISNUMBER('Council Entry'!BA$9)),MAX(MIN('Council Entry'!BA129,'Council Entry'!BA$9),'Council Entry'!BA$8),'Council Entry'!BA129)),IF('Council Entry'!BA$4="Exponential",EXP(IF(AND(ISNUMBER('Council Entry'!BA$8),ISNUMBER('Council Entry'!BA$9)),MAX(MIN('Council Entry'!BA129,'Council Entry'!BA$9),'Council Entry'!BA$8),'Council Entry'!BA129)),IF(AND(ISNUMBER('Council Entry'!BA$8),ISNUMBER('Council Entry'!BA$9)),MAX(MIN('Council Entry'!BA129,'Council Entry'!BA$9),'Council Entry'!BA$8),'Council Entry'!BA129))))-'Council Entry'!BA$5)/('Council Entry'!BA$6-'Council Entry'!BA$5),10*((IF('Council Entry'!BA$4="Logarithm",LN(0.001+IF(AND(ISNUMBER('Council Entry'!BA$8),ISNUMBER('Council Entry'!BA$9)),MAX(MIN('Council Entry'!BA129,'Council Entry'!BA$9),'Council Entry'!BA$8),'Council Entry'!BA129)),IF('Council Entry'!BA$4="Exponential",EXP(IF(AND(ISNUMBER('Council Entry'!BA$8),ISNUMBER('Council Entry'!BA$9)),MAX(MIN('Council Entry'!BA129,'Council Entry'!BA$9),'Council Entry'!BA$8),'Council Entry'!BA129)),IF(AND(ISNUMBER('Council Entry'!BA$8),ISNUMBER('Council Entry'!BA$9)),MAX(MIN('Council Entry'!BA129,'Council Entry'!BA$9),'Council Entry'!BA$8),'Council Entry'!BA129))))-'Council Entry'!BA$5)/('Council Entry'!BA$6-'Council Entry'!BA$5)),1))),"No data"))</f>
        <v/>
      </c>
      <c r="BB129" s="13">
        <f>IF('Council Entry'!BB129="","",IFERROR(MAX(0,MIN(10,ROUND(IF('Council Entry'!BB$7="Decrease Risk",10-10*((IF('Council Entry'!BB$4="Logarithm",LN(0.001+IF(AND(ISNUMBER('Council Entry'!BB$8),ISNUMBER('Council Entry'!BB$9)),MAX(MIN('Council Entry'!BB129,'Council Entry'!BB$9),'Council Entry'!BB$8),'Council Entry'!BB129)),IF('Council Entry'!BB$4="Exponential",EXP(IF(AND(ISNUMBER('Council Entry'!BB$8),ISNUMBER('Council Entry'!BB$9)),MAX(MIN('Council Entry'!BB129,'Council Entry'!BB$9),'Council Entry'!BB$8),'Council Entry'!BB129)),IF(AND(ISNUMBER('Council Entry'!BB$8),ISNUMBER('Council Entry'!BB$9)),MAX(MIN('Council Entry'!BB129,'Council Entry'!BB$9),'Council Entry'!BB$8),'Council Entry'!BB129))))-'Council Entry'!BB$5)/('Council Entry'!BB$6-'Council Entry'!BB$5),10*((IF('Council Entry'!BB$4="Logarithm",LN(0.001+IF(AND(ISNUMBER('Council Entry'!BB$8),ISNUMBER('Council Entry'!BB$9)),MAX(MIN('Council Entry'!BB129,'Council Entry'!BB$9),'Council Entry'!BB$8),'Council Entry'!BB129)),IF('Council Entry'!BB$4="Exponential",EXP(IF(AND(ISNUMBER('Council Entry'!BB$8),ISNUMBER('Council Entry'!BB$9)),MAX(MIN('Council Entry'!BB129,'Council Entry'!BB$9),'Council Entry'!BB$8),'Council Entry'!BB129)),IF(AND(ISNUMBER('Council Entry'!BB$8),ISNUMBER('Council Entry'!BB$9)),MAX(MIN('Council Entry'!BB129,'Council Entry'!BB$9),'Council Entry'!BB$8),'Council Entry'!BB129))))-'Council Entry'!BB$5)/('Council Entry'!BB$6-'Council Entry'!BB$5)),1))),"No data"))</f>
        <v/>
      </c>
      <c r="BC129" s="13">
        <f>IF('Council Entry'!BC129="","",IFERROR(MAX(0,MIN(10,ROUND(IF('Council Entry'!BC$7="Decrease Risk",10-10*((IF('Council Entry'!BC$4="Logarithm",LN(0.001+IF(AND(ISNUMBER('Council Entry'!BC$8),ISNUMBER('Council Entry'!BC$9)),MAX(MIN('Council Entry'!BC129,'Council Entry'!BC$9),'Council Entry'!BC$8),'Council Entry'!BC129)),IF('Council Entry'!BC$4="Exponential",EXP(IF(AND(ISNUMBER('Council Entry'!BC$8),ISNUMBER('Council Entry'!BC$9)),MAX(MIN('Council Entry'!BC129,'Council Entry'!BC$9),'Council Entry'!BC$8),'Council Entry'!BC129)),IF(AND(ISNUMBER('Council Entry'!BC$8),ISNUMBER('Council Entry'!BC$9)),MAX(MIN('Council Entry'!BC129,'Council Entry'!BC$9),'Council Entry'!BC$8),'Council Entry'!BC129))))-'Council Entry'!BC$5)/('Council Entry'!BC$6-'Council Entry'!BC$5),10*((IF('Council Entry'!BC$4="Logarithm",LN(0.001+IF(AND(ISNUMBER('Council Entry'!BC$8),ISNUMBER('Council Entry'!BC$9)),MAX(MIN('Council Entry'!BC129,'Council Entry'!BC$9),'Council Entry'!BC$8),'Council Entry'!BC129)),IF('Council Entry'!BC$4="Exponential",EXP(IF(AND(ISNUMBER('Council Entry'!BC$8),ISNUMBER('Council Entry'!BC$9)),MAX(MIN('Council Entry'!BC129,'Council Entry'!BC$9),'Council Entry'!BC$8),'Council Entry'!BC129)),IF(AND(ISNUMBER('Council Entry'!BC$8),ISNUMBER('Council Entry'!BC$9)),MAX(MIN('Council Entry'!BC129,'Council Entry'!BC$9),'Council Entry'!BC$8),'Council Entry'!BC129))))-'Council Entry'!BC$5)/('Council Entry'!BC$6-'Council Entry'!BC$5)),1))),"No data"))</f>
        <v/>
      </c>
      <c r="BD129" s="13">
        <f>IF('Council Entry'!BD129="","",IFERROR(MAX(0,MIN(10,ROUND(IF('Council Entry'!BD$7="Decrease Risk",10-10*((IF('Council Entry'!BD$4="Logarithm",LN(0.001+IF(AND(ISNUMBER('Council Entry'!BD$8),ISNUMBER('Council Entry'!BD$9)),MAX(MIN('Council Entry'!BD129,'Council Entry'!BD$9),'Council Entry'!BD$8),'Council Entry'!BD129)),IF('Council Entry'!BD$4="Exponential",EXP(IF(AND(ISNUMBER('Council Entry'!BD$8),ISNUMBER('Council Entry'!BD$9)),MAX(MIN('Council Entry'!BD129,'Council Entry'!BD$9),'Council Entry'!BD$8),'Council Entry'!BD129)),IF(AND(ISNUMBER('Council Entry'!BD$8),ISNUMBER('Council Entry'!BD$9)),MAX(MIN('Council Entry'!BD129,'Council Entry'!BD$9),'Council Entry'!BD$8),'Council Entry'!BD129))))-'Council Entry'!BD$5)/('Council Entry'!BD$6-'Council Entry'!BD$5),10*((IF('Council Entry'!BD$4="Logarithm",LN(0.001+IF(AND(ISNUMBER('Council Entry'!BD$8),ISNUMBER('Council Entry'!BD$9)),MAX(MIN('Council Entry'!BD129,'Council Entry'!BD$9),'Council Entry'!BD$8),'Council Entry'!BD129)),IF('Council Entry'!BD$4="Exponential",EXP(IF(AND(ISNUMBER('Council Entry'!BD$8),ISNUMBER('Council Entry'!BD$9)),MAX(MIN('Council Entry'!BD129,'Council Entry'!BD$9),'Council Entry'!BD$8),'Council Entry'!BD129)),IF(AND(ISNUMBER('Council Entry'!BD$8),ISNUMBER('Council Entry'!BD$9)),MAX(MIN('Council Entry'!BD129,'Council Entry'!BD$9),'Council Entry'!BD$8),'Council Entry'!BD129))))-'Council Entry'!BD$5)/('Council Entry'!BD$6-'Council Entry'!BD$5)),1))),"No data"))</f>
        <v/>
      </c>
    </row>
    <row r="130">
      <c r="A130" t="inlineStr">
        <is>
          <t>Mwanza</t>
        </is>
      </c>
      <c r="B130" t="inlineStr">
        <is>
          <t>Kwimba District</t>
        </is>
      </c>
      <c r="C130" t="inlineStr">
        <is>
          <t>C136</t>
        </is>
      </c>
      <c r="D130" s="13">
        <f>IF('Council Entry'!D130="","",IFERROR(MAX(0,MIN(10,ROUND(IF('Council Entry'!D$7="Decrease Risk",10-10*((IF('Council Entry'!D$4="Logarithm",LN(0.001+IF(AND(ISNUMBER('Council Entry'!D$8),ISNUMBER('Council Entry'!D$9)),MAX(MIN('Council Entry'!D130,'Council Entry'!D$9),'Council Entry'!D$8),'Council Entry'!D130)),IF('Council Entry'!D$4="Exponential",EXP(IF(AND(ISNUMBER('Council Entry'!D$8),ISNUMBER('Council Entry'!D$9)),MAX(MIN('Council Entry'!D130,'Council Entry'!D$9),'Council Entry'!D$8),'Council Entry'!D130)),IF(AND(ISNUMBER('Council Entry'!D$8),ISNUMBER('Council Entry'!D$9)),MAX(MIN('Council Entry'!D130,'Council Entry'!D$9),'Council Entry'!D$8),'Council Entry'!D130))))-'Council Entry'!D$5)/('Council Entry'!D$6-'Council Entry'!D$5),10*((IF('Council Entry'!D$4="Logarithm",LN(0.001+IF(AND(ISNUMBER('Council Entry'!D$8),ISNUMBER('Council Entry'!D$9)),MAX(MIN('Council Entry'!D130,'Council Entry'!D$9),'Council Entry'!D$8),'Council Entry'!D130)),IF('Council Entry'!D$4="Exponential",EXP(IF(AND(ISNUMBER('Council Entry'!D$8),ISNUMBER('Council Entry'!D$9)),MAX(MIN('Council Entry'!D130,'Council Entry'!D$9),'Council Entry'!D$8),'Council Entry'!D130)),IF(AND(ISNUMBER('Council Entry'!D$8),ISNUMBER('Council Entry'!D$9)),MAX(MIN('Council Entry'!D130,'Council Entry'!D$9),'Council Entry'!D$8),'Council Entry'!D130))))-'Council Entry'!D$5)/('Council Entry'!D$6-'Council Entry'!D$5)),1))),"No data"))</f>
        <v/>
      </c>
      <c r="E130" s="13">
        <f>IF('Council Entry'!E130="","",IFERROR(MAX(0,MIN(10,ROUND(IF('Council Entry'!E$7="Decrease Risk",10-10*((IF('Council Entry'!E$4="Logarithm",LN(0.001+IF(AND(ISNUMBER('Council Entry'!E$8),ISNUMBER('Council Entry'!E$9)),MAX(MIN('Council Entry'!E130,'Council Entry'!E$9),'Council Entry'!E$8),'Council Entry'!E130)),IF('Council Entry'!E$4="Exponential",EXP(IF(AND(ISNUMBER('Council Entry'!E$8),ISNUMBER('Council Entry'!E$9)),MAX(MIN('Council Entry'!E130,'Council Entry'!E$9),'Council Entry'!E$8),'Council Entry'!E130)),IF(AND(ISNUMBER('Council Entry'!E$8),ISNUMBER('Council Entry'!E$9)),MAX(MIN('Council Entry'!E130,'Council Entry'!E$9),'Council Entry'!E$8),'Council Entry'!E130))))-'Council Entry'!E$5)/('Council Entry'!E$6-'Council Entry'!E$5),10*((IF('Council Entry'!E$4="Logarithm",LN(0.001+IF(AND(ISNUMBER('Council Entry'!E$8),ISNUMBER('Council Entry'!E$9)),MAX(MIN('Council Entry'!E130,'Council Entry'!E$9),'Council Entry'!E$8),'Council Entry'!E130)),IF('Council Entry'!E$4="Exponential",EXP(IF(AND(ISNUMBER('Council Entry'!E$8),ISNUMBER('Council Entry'!E$9)),MAX(MIN('Council Entry'!E130,'Council Entry'!E$9),'Council Entry'!E$8),'Council Entry'!E130)),IF(AND(ISNUMBER('Council Entry'!E$8),ISNUMBER('Council Entry'!E$9)),MAX(MIN('Council Entry'!E130,'Council Entry'!E$9),'Council Entry'!E$8),'Council Entry'!E130))))-'Council Entry'!E$5)/('Council Entry'!E$6-'Council Entry'!E$5)),1))),"No data"))</f>
        <v/>
      </c>
      <c r="F130" s="13">
        <f>IF('Council Entry'!F130="","",IFERROR(MAX(0,MIN(10,ROUND(IF('Council Entry'!F$7="Decrease Risk",10-10*((IF('Council Entry'!F$4="Logarithm",LN(0.001+IF(AND(ISNUMBER('Council Entry'!F$8),ISNUMBER('Council Entry'!F$9)),MAX(MIN('Council Entry'!F130,'Council Entry'!F$9),'Council Entry'!F$8),'Council Entry'!F130)),IF('Council Entry'!F$4="Exponential",EXP(IF(AND(ISNUMBER('Council Entry'!F$8),ISNUMBER('Council Entry'!F$9)),MAX(MIN('Council Entry'!F130,'Council Entry'!F$9),'Council Entry'!F$8),'Council Entry'!F130)),IF(AND(ISNUMBER('Council Entry'!F$8),ISNUMBER('Council Entry'!F$9)),MAX(MIN('Council Entry'!F130,'Council Entry'!F$9),'Council Entry'!F$8),'Council Entry'!F130))))-'Council Entry'!F$5)/('Council Entry'!F$6-'Council Entry'!F$5),10*((IF('Council Entry'!F$4="Logarithm",LN(0.001+IF(AND(ISNUMBER('Council Entry'!F$8),ISNUMBER('Council Entry'!F$9)),MAX(MIN('Council Entry'!F130,'Council Entry'!F$9),'Council Entry'!F$8),'Council Entry'!F130)),IF('Council Entry'!F$4="Exponential",EXP(IF(AND(ISNUMBER('Council Entry'!F$8),ISNUMBER('Council Entry'!F$9)),MAX(MIN('Council Entry'!F130,'Council Entry'!F$9),'Council Entry'!F$8),'Council Entry'!F130)),IF(AND(ISNUMBER('Council Entry'!F$8),ISNUMBER('Council Entry'!F$9)),MAX(MIN('Council Entry'!F130,'Council Entry'!F$9),'Council Entry'!F$8),'Council Entry'!F130))))-'Council Entry'!F$5)/('Council Entry'!F$6-'Council Entry'!F$5)),1))),"No data"))</f>
        <v/>
      </c>
      <c r="G130" s="13">
        <f>IF('Council Entry'!G130="","",IFERROR(MAX(0,MIN(10,ROUND(IF('Council Entry'!G$7="Decrease Risk",10-10*((IF('Council Entry'!G$4="Logarithm",LN(0.001+IF(AND(ISNUMBER('Council Entry'!G$8),ISNUMBER('Council Entry'!G$9)),MAX(MIN('Council Entry'!G130,'Council Entry'!G$9),'Council Entry'!G$8),'Council Entry'!G130)),IF('Council Entry'!G$4="Exponential",EXP(IF(AND(ISNUMBER('Council Entry'!G$8),ISNUMBER('Council Entry'!G$9)),MAX(MIN('Council Entry'!G130,'Council Entry'!G$9),'Council Entry'!G$8),'Council Entry'!G130)),IF(AND(ISNUMBER('Council Entry'!G$8),ISNUMBER('Council Entry'!G$9)),MAX(MIN('Council Entry'!G130,'Council Entry'!G$9),'Council Entry'!G$8),'Council Entry'!G130))))-'Council Entry'!G$5)/('Council Entry'!G$6-'Council Entry'!G$5),10*((IF('Council Entry'!G$4="Logarithm",LN(0.001+IF(AND(ISNUMBER('Council Entry'!G$8),ISNUMBER('Council Entry'!G$9)),MAX(MIN('Council Entry'!G130,'Council Entry'!G$9),'Council Entry'!G$8),'Council Entry'!G130)),IF('Council Entry'!G$4="Exponential",EXP(IF(AND(ISNUMBER('Council Entry'!G$8),ISNUMBER('Council Entry'!G$9)),MAX(MIN('Council Entry'!G130,'Council Entry'!G$9),'Council Entry'!G$8),'Council Entry'!G130)),IF(AND(ISNUMBER('Council Entry'!G$8),ISNUMBER('Council Entry'!G$9)),MAX(MIN('Council Entry'!G130,'Council Entry'!G$9),'Council Entry'!G$8),'Council Entry'!G130))))-'Council Entry'!G$5)/('Council Entry'!G$6-'Council Entry'!G$5)),1))),"No data"))</f>
        <v/>
      </c>
      <c r="H130" s="13">
        <f>IF('Council Entry'!H130="","",IFERROR(MAX(0,MIN(10,ROUND(IF('Council Entry'!H$7="Decrease Risk",10-10*((IF('Council Entry'!H$4="Logarithm",LN(0.001+IF(AND(ISNUMBER('Council Entry'!H$8),ISNUMBER('Council Entry'!H$9)),MAX(MIN('Council Entry'!H130,'Council Entry'!H$9),'Council Entry'!H$8),'Council Entry'!H130)),IF('Council Entry'!H$4="Exponential",EXP(IF(AND(ISNUMBER('Council Entry'!H$8),ISNUMBER('Council Entry'!H$9)),MAX(MIN('Council Entry'!H130,'Council Entry'!H$9),'Council Entry'!H$8),'Council Entry'!H130)),IF(AND(ISNUMBER('Council Entry'!H$8),ISNUMBER('Council Entry'!H$9)),MAX(MIN('Council Entry'!H130,'Council Entry'!H$9),'Council Entry'!H$8),'Council Entry'!H130))))-'Council Entry'!H$5)/('Council Entry'!H$6-'Council Entry'!H$5),10*((IF('Council Entry'!H$4="Logarithm",LN(0.001+IF(AND(ISNUMBER('Council Entry'!H$8),ISNUMBER('Council Entry'!H$9)),MAX(MIN('Council Entry'!H130,'Council Entry'!H$9),'Council Entry'!H$8),'Council Entry'!H130)),IF('Council Entry'!H$4="Exponential",EXP(IF(AND(ISNUMBER('Council Entry'!H$8),ISNUMBER('Council Entry'!H$9)),MAX(MIN('Council Entry'!H130,'Council Entry'!H$9),'Council Entry'!H$8),'Council Entry'!H130)),IF(AND(ISNUMBER('Council Entry'!H$8),ISNUMBER('Council Entry'!H$9)),MAX(MIN('Council Entry'!H130,'Council Entry'!H$9),'Council Entry'!H$8),'Council Entry'!H130))))-'Council Entry'!H$5)/('Council Entry'!H$6-'Council Entry'!H$5)),1))),"No data"))</f>
        <v/>
      </c>
      <c r="I130" s="13">
        <f>IF('Council Entry'!I130="","",IFERROR(MAX(0,MIN(10,ROUND(IF('Council Entry'!I$7="Decrease Risk",10-10*((IF('Council Entry'!I$4="Logarithm",LN(0.001+IF(AND(ISNUMBER('Council Entry'!I$8),ISNUMBER('Council Entry'!I$9)),MAX(MIN('Council Entry'!I130,'Council Entry'!I$9),'Council Entry'!I$8),'Council Entry'!I130)),IF('Council Entry'!I$4="Exponential",EXP(IF(AND(ISNUMBER('Council Entry'!I$8),ISNUMBER('Council Entry'!I$9)),MAX(MIN('Council Entry'!I130,'Council Entry'!I$9),'Council Entry'!I$8),'Council Entry'!I130)),IF(AND(ISNUMBER('Council Entry'!I$8),ISNUMBER('Council Entry'!I$9)),MAX(MIN('Council Entry'!I130,'Council Entry'!I$9),'Council Entry'!I$8),'Council Entry'!I130))))-'Council Entry'!I$5)/('Council Entry'!I$6-'Council Entry'!I$5),10*((IF('Council Entry'!I$4="Logarithm",LN(0.001+IF(AND(ISNUMBER('Council Entry'!I$8),ISNUMBER('Council Entry'!I$9)),MAX(MIN('Council Entry'!I130,'Council Entry'!I$9),'Council Entry'!I$8),'Council Entry'!I130)),IF('Council Entry'!I$4="Exponential",EXP(IF(AND(ISNUMBER('Council Entry'!I$8),ISNUMBER('Council Entry'!I$9)),MAX(MIN('Council Entry'!I130,'Council Entry'!I$9),'Council Entry'!I$8),'Council Entry'!I130)),IF(AND(ISNUMBER('Council Entry'!I$8),ISNUMBER('Council Entry'!I$9)),MAX(MIN('Council Entry'!I130,'Council Entry'!I$9),'Council Entry'!I$8),'Council Entry'!I130))))-'Council Entry'!I$5)/('Council Entry'!I$6-'Council Entry'!I$5)),1))),"No data"))</f>
        <v/>
      </c>
      <c r="J130" s="13">
        <f>IF('Council Entry'!J130="","",IFERROR(MAX(0,MIN(10,ROUND(IF('Council Entry'!J$7="Decrease Risk",10-10*((IF('Council Entry'!J$4="Logarithm",LN(0.001+IF(AND(ISNUMBER('Council Entry'!J$8),ISNUMBER('Council Entry'!J$9)),MAX(MIN('Council Entry'!J130,'Council Entry'!J$9),'Council Entry'!J$8),'Council Entry'!J130)),IF('Council Entry'!J$4="Exponential",EXP(IF(AND(ISNUMBER('Council Entry'!J$8),ISNUMBER('Council Entry'!J$9)),MAX(MIN('Council Entry'!J130,'Council Entry'!J$9),'Council Entry'!J$8),'Council Entry'!J130)),IF(AND(ISNUMBER('Council Entry'!J$8),ISNUMBER('Council Entry'!J$9)),MAX(MIN('Council Entry'!J130,'Council Entry'!J$9),'Council Entry'!J$8),'Council Entry'!J130))))-'Council Entry'!J$5)/('Council Entry'!J$6-'Council Entry'!J$5),10*((IF('Council Entry'!J$4="Logarithm",LN(0.001+IF(AND(ISNUMBER('Council Entry'!J$8),ISNUMBER('Council Entry'!J$9)),MAX(MIN('Council Entry'!J130,'Council Entry'!J$9),'Council Entry'!J$8),'Council Entry'!J130)),IF('Council Entry'!J$4="Exponential",EXP(IF(AND(ISNUMBER('Council Entry'!J$8),ISNUMBER('Council Entry'!J$9)),MAX(MIN('Council Entry'!J130,'Council Entry'!J$9),'Council Entry'!J$8),'Council Entry'!J130)),IF(AND(ISNUMBER('Council Entry'!J$8),ISNUMBER('Council Entry'!J$9)),MAX(MIN('Council Entry'!J130,'Council Entry'!J$9),'Council Entry'!J$8),'Council Entry'!J130))))-'Council Entry'!J$5)/('Council Entry'!J$6-'Council Entry'!J$5)),1))),"No data"))</f>
        <v/>
      </c>
      <c r="K130" s="13">
        <f>IF('Council Entry'!K130="","",IFERROR(MAX(0,MIN(10,ROUND(IF('Council Entry'!K$7="Decrease Risk",10-10*((IF('Council Entry'!K$4="Logarithm",LN(0.001+IF(AND(ISNUMBER('Council Entry'!K$8),ISNUMBER('Council Entry'!K$9)),MAX(MIN('Council Entry'!K130,'Council Entry'!K$9),'Council Entry'!K$8),'Council Entry'!K130)),IF('Council Entry'!K$4="Exponential",EXP(IF(AND(ISNUMBER('Council Entry'!K$8),ISNUMBER('Council Entry'!K$9)),MAX(MIN('Council Entry'!K130,'Council Entry'!K$9),'Council Entry'!K$8),'Council Entry'!K130)),IF(AND(ISNUMBER('Council Entry'!K$8),ISNUMBER('Council Entry'!K$9)),MAX(MIN('Council Entry'!K130,'Council Entry'!K$9),'Council Entry'!K$8),'Council Entry'!K130))))-'Council Entry'!K$5)/('Council Entry'!K$6-'Council Entry'!K$5),10*((IF('Council Entry'!K$4="Logarithm",LN(0.001+IF(AND(ISNUMBER('Council Entry'!K$8),ISNUMBER('Council Entry'!K$9)),MAX(MIN('Council Entry'!K130,'Council Entry'!K$9),'Council Entry'!K$8),'Council Entry'!K130)),IF('Council Entry'!K$4="Exponential",EXP(IF(AND(ISNUMBER('Council Entry'!K$8),ISNUMBER('Council Entry'!K$9)),MAX(MIN('Council Entry'!K130,'Council Entry'!K$9),'Council Entry'!K$8),'Council Entry'!K130)),IF(AND(ISNUMBER('Council Entry'!K$8),ISNUMBER('Council Entry'!K$9)),MAX(MIN('Council Entry'!K130,'Council Entry'!K$9),'Council Entry'!K$8),'Council Entry'!K130))))-'Council Entry'!K$5)/('Council Entry'!K$6-'Council Entry'!K$5)),1))),"No data"))</f>
        <v/>
      </c>
      <c r="L130" s="13">
        <f>IF('Council Entry'!L130="","",IFERROR(MAX(0,MIN(10,ROUND(IF('Council Entry'!L$7="Decrease Risk",10-10*((IF('Council Entry'!L$4="Logarithm",LN(0.001+IF(AND(ISNUMBER('Council Entry'!L$8),ISNUMBER('Council Entry'!L$9)),MAX(MIN('Council Entry'!L130,'Council Entry'!L$9),'Council Entry'!L$8),'Council Entry'!L130)),IF('Council Entry'!L$4="Exponential",EXP(IF(AND(ISNUMBER('Council Entry'!L$8),ISNUMBER('Council Entry'!L$9)),MAX(MIN('Council Entry'!L130,'Council Entry'!L$9),'Council Entry'!L$8),'Council Entry'!L130)),IF(AND(ISNUMBER('Council Entry'!L$8),ISNUMBER('Council Entry'!L$9)),MAX(MIN('Council Entry'!L130,'Council Entry'!L$9),'Council Entry'!L$8),'Council Entry'!L130))))-'Council Entry'!L$5)/('Council Entry'!L$6-'Council Entry'!L$5),10*((IF('Council Entry'!L$4="Logarithm",LN(0.001+IF(AND(ISNUMBER('Council Entry'!L$8),ISNUMBER('Council Entry'!L$9)),MAX(MIN('Council Entry'!L130,'Council Entry'!L$9),'Council Entry'!L$8),'Council Entry'!L130)),IF('Council Entry'!L$4="Exponential",EXP(IF(AND(ISNUMBER('Council Entry'!L$8),ISNUMBER('Council Entry'!L$9)),MAX(MIN('Council Entry'!L130,'Council Entry'!L$9),'Council Entry'!L$8),'Council Entry'!L130)),IF(AND(ISNUMBER('Council Entry'!L$8),ISNUMBER('Council Entry'!L$9)),MAX(MIN('Council Entry'!L130,'Council Entry'!L$9),'Council Entry'!L$8),'Council Entry'!L130))))-'Council Entry'!L$5)/('Council Entry'!L$6-'Council Entry'!L$5)),1))),"No data"))</f>
        <v/>
      </c>
      <c r="M130" s="13">
        <f>IF('Council Entry'!M130="","",IFERROR(MAX(0,MIN(10,ROUND(IF('Council Entry'!M$7="Decrease Risk",10-10*((IF('Council Entry'!M$4="Logarithm",LN(0.001+IF(AND(ISNUMBER('Council Entry'!M$8),ISNUMBER('Council Entry'!M$9)),MAX(MIN('Council Entry'!M130,'Council Entry'!M$9),'Council Entry'!M$8),'Council Entry'!M130)),IF('Council Entry'!M$4="Exponential",EXP(IF(AND(ISNUMBER('Council Entry'!M$8),ISNUMBER('Council Entry'!M$9)),MAX(MIN('Council Entry'!M130,'Council Entry'!M$9),'Council Entry'!M$8),'Council Entry'!M130)),IF(AND(ISNUMBER('Council Entry'!M$8),ISNUMBER('Council Entry'!M$9)),MAX(MIN('Council Entry'!M130,'Council Entry'!M$9),'Council Entry'!M$8),'Council Entry'!M130))))-'Council Entry'!M$5)/('Council Entry'!M$6-'Council Entry'!M$5),10*((IF('Council Entry'!M$4="Logarithm",LN(0.001+IF(AND(ISNUMBER('Council Entry'!M$8),ISNUMBER('Council Entry'!M$9)),MAX(MIN('Council Entry'!M130,'Council Entry'!M$9),'Council Entry'!M$8),'Council Entry'!M130)),IF('Council Entry'!M$4="Exponential",EXP(IF(AND(ISNUMBER('Council Entry'!M$8),ISNUMBER('Council Entry'!M$9)),MAX(MIN('Council Entry'!M130,'Council Entry'!M$9),'Council Entry'!M$8),'Council Entry'!M130)),IF(AND(ISNUMBER('Council Entry'!M$8),ISNUMBER('Council Entry'!M$9)),MAX(MIN('Council Entry'!M130,'Council Entry'!M$9),'Council Entry'!M$8),'Council Entry'!M130))))-'Council Entry'!M$5)/('Council Entry'!M$6-'Council Entry'!M$5)),1))),"No data"))</f>
        <v/>
      </c>
      <c r="N130" s="13">
        <f>IF('Council Entry'!N130="","",IFERROR(MAX(0,MIN(10,ROUND(IF('Council Entry'!N$7="Decrease Risk",10-10*((IF('Council Entry'!N$4="Logarithm",LN(0.001+IF(AND(ISNUMBER('Council Entry'!N$8),ISNUMBER('Council Entry'!N$9)),MAX(MIN('Council Entry'!N130,'Council Entry'!N$9),'Council Entry'!N$8),'Council Entry'!N130)),IF('Council Entry'!N$4="Exponential",EXP(IF(AND(ISNUMBER('Council Entry'!N$8),ISNUMBER('Council Entry'!N$9)),MAX(MIN('Council Entry'!N130,'Council Entry'!N$9),'Council Entry'!N$8),'Council Entry'!N130)),IF(AND(ISNUMBER('Council Entry'!N$8),ISNUMBER('Council Entry'!N$9)),MAX(MIN('Council Entry'!N130,'Council Entry'!N$9),'Council Entry'!N$8),'Council Entry'!N130))))-'Council Entry'!N$5)/('Council Entry'!N$6-'Council Entry'!N$5),10*((IF('Council Entry'!N$4="Logarithm",LN(0.001+IF(AND(ISNUMBER('Council Entry'!N$8),ISNUMBER('Council Entry'!N$9)),MAX(MIN('Council Entry'!N130,'Council Entry'!N$9),'Council Entry'!N$8),'Council Entry'!N130)),IF('Council Entry'!N$4="Exponential",EXP(IF(AND(ISNUMBER('Council Entry'!N$8),ISNUMBER('Council Entry'!N$9)),MAX(MIN('Council Entry'!N130,'Council Entry'!N$9),'Council Entry'!N$8),'Council Entry'!N130)),IF(AND(ISNUMBER('Council Entry'!N$8),ISNUMBER('Council Entry'!N$9)),MAX(MIN('Council Entry'!N130,'Council Entry'!N$9),'Council Entry'!N$8),'Council Entry'!N130))))-'Council Entry'!N$5)/('Council Entry'!N$6-'Council Entry'!N$5)),1))),"No data"))</f>
        <v/>
      </c>
      <c r="O130" s="13">
        <f>IF('Council Entry'!O130="","",IFERROR(MAX(0,MIN(10,ROUND(IF('Council Entry'!O$7="Decrease Risk",10-10*((IF('Council Entry'!O$4="Logarithm",LN(0.001+IF(AND(ISNUMBER('Council Entry'!O$8),ISNUMBER('Council Entry'!O$9)),MAX(MIN('Council Entry'!O130,'Council Entry'!O$9),'Council Entry'!O$8),'Council Entry'!O130)),IF('Council Entry'!O$4="Exponential",EXP(IF(AND(ISNUMBER('Council Entry'!O$8),ISNUMBER('Council Entry'!O$9)),MAX(MIN('Council Entry'!O130,'Council Entry'!O$9),'Council Entry'!O$8),'Council Entry'!O130)),IF(AND(ISNUMBER('Council Entry'!O$8),ISNUMBER('Council Entry'!O$9)),MAX(MIN('Council Entry'!O130,'Council Entry'!O$9),'Council Entry'!O$8),'Council Entry'!O130))))-'Council Entry'!O$5)/('Council Entry'!O$6-'Council Entry'!O$5),10*((IF('Council Entry'!O$4="Logarithm",LN(0.001+IF(AND(ISNUMBER('Council Entry'!O$8),ISNUMBER('Council Entry'!O$9)),MAX(MIN('Council Entry'!O130,'Council Entry'!O$9),'Council Entry'!O$8),'Council Entry'!O130)),IF('Council Entry'!O$4="Exponential",EXP(IF(AND(ISNUMBER('Council Entry'!O$8),ISNUMBER('Council Entry'!O$9)),MAX(MIN('Council Entry'!O130,'Council Entry'!O$9),'Council Entry'!O$8),'Council Entry'!O130)),IF(AND(ISNUMBER('Council Entry'!O$8),ISNUMBER('Council Entry'!O$9)),MAX(MIN('Council Entry'!O130,'Council Entry'!O$9),'Council Entry'!O$8),'Council Entry'!O130))))-'Council Entry'!O$5)/('Council Entry'!O$6-'Council Entry'!O$5)),1))),"No data"))</f>
        <v/>
      </c>
      <c r="P130" s="13">
        <f>IF('Council Entry'!P130="","",IFERROR(MAX(0,MIN(10,ROUND(IF('Council Entry'!P$7="Decrease Risk",10-10*((IF('Council Entry'!P$4="Logarithm",LN(0.001+IF(AND(ISNUMBER('Council Entry'!P$8),ISNUMBER('Council Entry'!P$9)),MAX(MIN('Council Entry'!P130,'Council Entry'!P$9),'Council Entry'!P$8),'Council Entry'!P130)),IF('Council Entry'!P$4="Exponential",EXP(IF(AND(ISNUMBER('Council Entry'!P$8),ISNUMBER('Council Entry'!P$9)),MAX(MIN('Council Entry'!P130,'Council Entry'!P$9),'Council Entry'!P$8),'Council Entry'!P130)),IF(AND(ISNUMBER('Council Entry'!P$8),ISNUMBER('Council Entry'!P$9)),MAX(MIN('Council Entry'!P130,'Council Entry'!P$9),'Council Entry'!P$8),'Council Entry'!P130))))-'Council Entry'!P$5)/('Council Entry'!P$6-'Council Entry'!P$5),10*((IF('Council Entry'!P$4="Logarithm",LN(0.001+IF(AND(ISNUMBER('Council Entry'!P$8),ISNUMBER('Council Entry'!P$9)),MAX(MIN('Council Entry'!P130,'Council Entry'!P$9),'Council Entry'!P$8),'Council Entry'!P130)),IF('Council Entry'!P$4="Exponential",EXP(IF(AND(ISNUMBER('Council Entry'!P$8),ISNUMBER('Council Entry'!P$9)),MAX(MIN('Council Entry'!P130,'Council Entry'!P$9),'Council Entry'!P$8),'Council Entry'!P130)),IF(AND(ISNUMBER('Council Entry'!P$8),ISNUMBER('Council Entry'!P$9)),MAX(MIN('Council Entry'!P130,'Council Entry'!P$9),'Council Entry'!P$8),'Council Entry'!P130))))-'Council Entry'!P$5)/('Council Entry'!P$6-'Council Entry'!P$5)),1))),"No data"))</f>
        <v/>
      </c>
      <c r="Q130" s="13">
        <f>IF('Council Entry'!Q130="","",IFERROR(MAX(0,MIN(10,ROUND(IF('Council Entry'!Q$7="Decrease Risk",10-10*((IF('Council Entry'!Q$4="Logarithm",LN(0.001+IF(AND(ISNUMBER('Council Entry'!Q$8),ISNUMBER('Council Entry'!Q$9)),MAX(MIN('Council Entry'!Q130,'Council Entry'!Q$9),'Council Entry'!Q$8),'Council Entry'!Q130)),IF('Council Entry'!Q$4="Exponential",EXP(IF(AND(ISNUMBER('Council Entry'!Q$8),ISNUMBER('Council Entry'!Q$9)),MAX(MIN('Council Entry'!Q130,'Council Entry'!Q$9),'Council Entry'!Q$8),'Council Entry'!Q130)),IF(AND(ISNUMBER('Council Entry'!Q$8),ISNUMBER('Council Entry'!Q$9)),MAX(MIN('Council Entry'!Q130,'Council Entry'!Q$9),'Council Entry'!Q$8),'Council Entry'!Q130))))-'Council Entry'!Q$5)/('Council Entry'!Q$6-'Council Entry'!Q$5),10*((IF('Council Entry'!Q$4="Logarithm",LN(0.001+IF(AND(ISNUMBER('Council Entry'!Q$8),ISNUMBER('Council Entry'!Q$9)),MAX(MIN('Council Entry'!Q130,'Council Entry'!Q$9),'Council Entry'!Q$8),'Council Entry'!Q130)),IF('Council Entry'!Q$4="Exponential",EXP(IF(AND(ISNUMBER('Council Entry'!Q$8),ISNUMBER('Council Entry'!Q$9)),MAX(MIN('Council Entry'!Q130,'Council Entry'!Q$9),'Council Entry'!Q$8),'Council Entry'!Q130)),IF(AND(ISNUMBER('Council Entry'!Q$8),ISNUMBER('Council Entry'!Q$9)),MAX(MIN('Council Entry'!Q130,'Council Entry'!Q$9),'Council Entry'!Q$8),'Council Entry'!Q130))))-'Council Entry'!Q$5)/('Council Entry'!Q$6-'Council Entry'!Q$5)),1))),"No data"))</f>
        <v/>
      </c>
      <c r="R130" s="13">
        <f>IF('Council Entry'!R130="","",IFERROR(MAX(0,MIN(10,ROUND(IF('Council Entry'!R$7="Decrease Risk",10-10*((IF('Council Entry'!R$4="Logarithm",LN(0.001+IF(AND(ISNUMBER('Council Entry'!R$8),ISNUMBER('Council Entry'!R$9)),MAX(MIN('Council Entry'!R130,'Council Entry'!R$9),'Council Entry'!R$8),'Council Entry'!R130)),IF('Council Entry'!R$4="Exponential",EXP(IF(AND(ISNUMBER('Council Entry'!R$8),ISNUMBER('Council Entry'!R$9)),MAX(MIN('Council Entry'!R130,'Council Entry'!R$9),'Council Entry'!R$8),'Council Entry'!R130)),IF(AND(ISNUMBER('Council Entry'!R$8),ISNUMBER('Council Entry'!R$9)),MAX(MIN('Council Entry'!R130,'Council Entry'!R$9),'Council Entry'!R$8),'Council Entry'!R130))))-'Council Entry'!R$5)/('Council Entry'!R$6-'Council Entry'!R$5),10*((IF('Council Entry'!R$4="Logarithm",LN(0.001+IF(AND(ISNUMBER('Council Entry'!R$8),ISNUMBER('Council Entry'!R$9)),MAX(MIN('Council Entry'!R130,'Council Entry'!R$9),'Council Entry'!R$8),'Council Entry'!R130)),IF('Council Entry'!R$4="Exponential",EXP(IF(AND(ISNUMBER('Council Entry'!R$8),ISNUMBER('Council Entry'!R$9)),MAX(MIN('Council Entry'!R130,'Council Entry'!R$9),'Council Entry'!R$8),'Council Entry'!R130)),IF(AND(ISNUMBER('Council Entry'!R$8),ISNUMBER('Council Entry'!R$9)),MAX(MIN('Council Entry'!R130,'Council Entry'!R$9),'Council Entry'!R$8),'Council Entry'!R130))))-'Council Entry'!R$5)/('Council Entry'!R$6-'Council Entry'!R$5)),1))),"No data"))</f>
        <v/>
      </c>
      <c r="S130" s="13">
        <f>IF('Council Entry'!S130="","",IFERROR(MAX(0,MIN(10,ROUND(IF('Council Entry'!S$7="Decrease Risk",10-10*((IF('Council Entry'!S$4="Logarithm",LN(0.001+IF(AND(ISNUMBER('Council Entry'!S$8),ISNUMBER('Council Entry'!S$9)),MAX(MIN('Council Entry'!S130,'Council Entry'!S$9),'Council Entry'!S$8),'Council Entry'!S130)),IF('Council Entry'!S$4="Exponential",EXP(IF(AND(ISNUMBER('Council Entry'!S$8),ISNUMBER('Council Entry'!S$9)),MAX(MIN('Council Entry'!S130,'Council Entry'!S$9),'Council Entry'!S$8),'Council Entry'!S130)),IF(AND(ISNUMBER('Council Entry'!S$8),ISNUMBER('Council Entry'!S$9)),MAX(MIN('Council Entry'!S130,'Council Entry'!S$9),'Council Entry'!S$8),'Council Entry'!S130))))-'Council Entry'!S$5)/('Council Entry'!S$6-'Council Entry'!S$5),10*((IF('Council Entry'!S$4="Logarithm",LN(0.001+IF(AND(ISNUMBER('Council Entry'!S$8),ISNUMBER('Council Entry'!S$9)),MAX(MIN('Council Entry'!S130,'Council Entry'!S$9),'Council Entry'!S$8),'Council Entry'!S130)),IF('Council Entry'!S$4="Exponential",EXP(IF(AND(ISNUMBER('Council Entry'!S$8),ISNUMBER('Council Entry'!S$9)),MAX(MIN('Council Entry'!S130,'Council Entry'!S$9),'Council Entry'!S$8),'Council Entry'!S130)),IF(AND(ISNUMBER('Council Entry'!S$8),ISNUMBER('Council Entry'!S$9)),MAX(MIN('Council Entry'!S130,'Council Entry'!S$9),'Council Entry'!S$8),'Council Entry'!S130))))-'Council Entry'!S$5)/('Council Entry'!S$6-'Council Entry'!S$5)),1))),"No data"))</f>
        <v/>
      </c>
      <c r="T130" s="13">
        <f>IF('Council Entry'!T130="","",IFERROR(MAX(0,MIN(10,ROUND(IF('Council Entry'!T$7="Decrease Risk",10-10*((IF('Council Entry'!T$4="Logarithm",LN(0.001+IF(AND(ISNUMBER('Council Entry'!T$8),ISNUMBER('Council Entry'!T$9)),MAX(MIN('Council Entry'!T130,'Council Entry'!T$9),'Council Entry'!T$8),'Council Entry'!T130)),IF('Council Entry'!T$4="Exponential",EXP(IF(AND(ISNUMBER('Council Entry'!T$8),ISNUMBER('Council Entry'!T$9)),MAX(MIN('Council Entry'!T130,'Council Entry'!T$9),'Council Entry'!T$8),'Council Entry'!T130)),IF(AND(ISNUMBER('Council Entry'!T$8),ISNUMBER('Council Entry'!T$9)),MAX(MIN('Council Entry'!T130,'Council Entry'!T$9),'Council Entry'!T$8),'Council Entry'!T130))))-'Council Entry'!T$5)/('Council Entry'!T$6-'Council Entry'!T$5),10*((IF('Council Entry'!T$4="Logarithm",LN(0.001+IF(AND(ISNUMBER('Council Entry'!T$8),ISNUMBER('Council Entry'!T$9)),MAX(MIN('Council Entry'!T130,'Council Entry'!T$9),'Council Entry'!T$8),'Council Entry'!T130)),IF('Council Entry'!T$4="Exponential",EXP(IF(AND(ISNUMBER('Council Entry'!T$8),ISNUMBER('Council Entry'!T$9)),MAX(MIN('Council Entry'!T130,'Council Entry'!T$9),'Council Entry'!T$8),'Council Entry'!T130)),IF(AND(ISNUMBER('Council Entry'!T$8),ISNUMBER('Council Entry'!T$9)),MAX(MIN('Council Entry'!T130,'Council Entry'!T$9),'Council Entry'!T$8),'Council Entry'!T130))))-'Council Entry'!T$5)/('Council Entry'!T$6-'Council Entry'!T$5)),1))),"No data"))</f>
        <v/>
      </c>
      <c r="U130" s="13">
        <f>IF('Council Entry'!U130="","",IFERROR(MAX(0,MIN(10,ROUND(IF('Council Entry'!U$7="Decrease Risk",10-10*((IF('Council Entry'!U$4="Logarithm",LN(0.001+IF(AND(ISNUMBER('Council Entry'!U$8),ISNUMBER('Council Entry'!U$9)),MAX(MIN('Council Entry'!U130,'Council Entry'!U$9),'Council Entry'!U$8),'Council Entry'!U130)),IF('Council Entry'!U$4="Exponential",EXP(IF(AND(ISNUMBER('Council Entry'!U$8),ISNUMBER('Council Entry'!U$9)),MAX(MIN('Council Entry'!U130,'Council Entry'!U$9),'Council Entry'!U$8),'Council Entry'!U130)),IF(AND(ISNUMBER('Council Entry'!U$8),ISNUMBER('Council Entry'!U$9)),MAX(MIN('Council Entry'!U130,'Council Entry'!U$9),'Council Entry'!U$8),'Council Entry'!U130))))-'Council Entry'!U$5)/('Council Entry'!U$6-'Council Entry'!U$5),10*((IF('Council Entry'!U$4="Logarithm",LN(0.001+IF(AND(ISNUMBER('Council Entry'!U$8),ISNUMBER('Council Entry'!U$9)),MAX(MIN('Council Entry'!U130,'Council Entry'!U$9),'Council Entry'!U$8),'Council Entry'!U130)),IF('Council Entry'!U$4="Exponential",EXP(IF(AND(ISNUMBER('Council Entry'!U$8),ISNUMBER('Council Entry'!U$9)),MAX(MIN('Council Entry'!U130,'Council Entry'!U$9),'Council Entry'!U$8),'Council Entry'!U130)),IF(AND(ISNUMBER('Council Entry'!U$8),ISNUMBER('Council Entry'!U$9)),MAX(MIN('Council Entry'!U130,'Council Entry'!U$9),'Council Entry'!U$8),'Council Entry'!U130))))-'Council Entry'!U$5)/('Council Entry'!U$6-'Council Entry'!U$5)),1))),"No data"))</f>
        <v/>
      </c>
      <c r="V130" s="13">
        <f>IF('Council Entry'!V130="","",IFERROR(MAX(0,MIN(10,ROUND(IF('Council Entry'!V$7="Decrease Risk",10-10*((IF('Council Entry'!V$4="Logarithm",LN(0.001+IF(AND(ISNUMBER('Council Entry'!V$8),ISNUMBER('Council Entry'!V$9)),MAX(MIN('Council Entry'!V130,'Council Entry'!V$9),'Council Entry'!V$8),'Council Entry'!V130)),IF('Council Entry'!V$4="Exponential",EXP(IF(AND(ISNUMBER('Council Entry'!V$8),ISNUMBER('Council Entry'!V$9)),MAX(MIN('Council Entry'!V130,'Council Entry'!V$9),'Council Entry'!V$8),'Council Entry'!V130)),IF(AND(ISNUMBER('Council Entry'!V$8),ISNUMBER('Council Entry'!V$9)),MAX(MIN('Council Entry'!V130,'Council Entry'!V$9),'Council Entry'!V$8),'Council Entry'!V130))))-'Council Entry'!V$5)/('Council Entry'!V$6-'Council Entry'!V$5),10*((IF('Council Entry'!V$4="Logarithm",LN(0.001+IF(AND(ISNUMBER('Council Entry'!V$8),ISNUMBER('Council Entry'!V$9)),MAX(MIN('Council Entry'!V130,'Council Entry'!V$9),'Council Entry'!V$8),'Council Entry'!V130)),IF('Council Entry'!V$4="Exponential",EXP(IF(AND(ISNUMBER('Council Entry'!V$8),ISNUMBER('Council Entry'!V$9)),MAX(MIN('Council Entry'!V130,'Council Entry'!V$9),'Council Entry'!V$8),'Council Entry'!V130)),IF(AND(ISNUMBER('Council Entry'!V$8),ISNUMBER('Council Entry'!V$9)),MAX(MIN('Council Entry'!V130,'Council Entry'!V$9),'Council Entry'!V$8),'Council Entry'!V130))))-'Council Entry'!V$5)/('Council Entry'!V$6-'Council Entry'!V$5)),1))),"No data"))</f>
        <v/>
      </c>
      <c r="W130" s="13">
        <f>IF('Council Entry'!W130="","",IFERROR(MAX(0,MIN(10,ROUND(IF('Council Entry'!W$7="Decrease Risk",10-10*((IF('Council Entry'!W$4="Logarithm",LN(0.001+IF(AND(ISNUMBER('Council Entry'!W$8),ISNUMBER('Council Entry'!W$9)),MAX(MIN('Council Entry'!W130,'Council Entry'!W$9),'Council Entry'!W$8),'Council Entry'!W130)),IF('Council Entry'!W$4="Exponential",EXP(IF(AND(ISNUMBER('Council Entry'!W$8),ISNUMBER('Council Entry'!W$9)),MAX(MIN('Council Entry'!W130,'Council Entry'!W$9),'Council Entry'!W$8),'Council Entry'!W130)),IF(AND(ISNUMBER('Council Entry'!W$8),ISNUMBER('Council Entry'!W$9)),MAX(MIN('Council Entry'!W130,'Council Entry'!W$9),'Council Entry'!W$8),'Council Entry'!W130))))-'Council Entry'!W$5)/('Council Entry'!W$6-'Council Entry'!W$5),10*((IF('Council Entry'!W$4="Logarithm",LN(0.001+IF(AND(ISNUMBER('Council Entry'!W$8),ISNUMBER('Council Entry'!W$9)),MAX(MIN('Council Entry'!W130,'Council Entry'!W$9),'Council Entry'!W$8),'Council Entry'!W130)),IF('Council Entry'!W$4="Exponential",EXP(IF(AND(ISNUMBER('Council Entry'!W$8),ISNUMBER('Council Entry'!W$9)),MAX(MIN('Council Entry'!W130,'Council Entry'!W$9),'Council Entry'!W$8),'Council Entry'!W130)),IF(AND(ISNUMBER('Council Entry'!W$8),ISNUMBER('Council Entry'!W$9)),MAX(MIN('Council Entry'!W130,'Council Entry'!W$9),'Council Entry'!W$8),'Council Entry'!W130))))-'Council Entry'!W$5)/('Council Entry'!W$6-'Council Entry'!W$5)),1))),"No data"))</f>
        <v/>
      </c>
      <c r="X130" s="13">
        <f>IF('Council Entry'!X130="","",IFERROR(MAX(0,MIN(10,ROUND(IF('Council Entry'!X$7="Decrease Risk",10-10*((IF('Council Entry'!X$4="Logarithm",LN(0.001+IF(AND(ISNUMBER('Council Entry'!X$8),ISNUMBER('Council Entry'!X$9)),MAX(MIN('Council Entry'!X130,'Council Entry'!X$9),'Council Entry'!X$8),'Council Entry'!X130)),IF('Council Entry'!X$4="Exponential",EXP(IF(AND(ISNUMBER('Council Entry'!X$8),ISNUMBER('Council Entry'!X$9)),MAX(MIN('Council Entry'!X130,'Council Entry'!X$9),'Council Entry'!X$8),'Council Entry'!X130)),IF(AND(ISNUMBER('Council Entry'!X$8),ISNUMBER('Council Entry'!X$9)),MAX(MIN('Council Entry'!X130,'Council Entry'!X$9),'Council Entry'!X$8),'Council Entry'!X130))))-'Council Entry'!X$5)/('Council Entry'!X$6-'Council Entry'!X$5),10*((IF('Council Entry'!X$4="Logarithm",LN(0.001+IF(AND(ISNUMBER('Council Entry'!X$8),ISNUMBER('Council Entry'!X$9)),MAX(MIN('Council Entry'!X130,'Council Entry'!X$9),'Council Entry'!X$8),'Council Entry'!X130)),IF('Council Entry'!X$4="Exponential",EXP(IF(AND(ISNUMBER('Council Entry'!X$8),ISNUMBER('Council Entry'!X$9)),MAX(MIN('Council Entry'!X130,'Council Entry'!X$9),'Council Entry'!X$8),'Council Entry'!X130)),IF(AND(ISNUMBER('Council Entry'!X$8),ISNUMBER('Council Entry'!X$9)),MAX(MIN('Council Entry'!X130,'Council Entry'!X$9),'Council Entry'!X$8),'Council Entry'!X130))))-'Council Entry'!X$5)/('Council Entry'!X$6-'Council Entry'!X$5)),1))),"No data"))</f>
        <v/>
      </c>
      <c r="Y130" s="13">
        <f>IF('Council Entry'!Y130="","",IFERROR(MAX(0,MIN(10,ROUND(IF('Council Entry'!Y$7="Decrease Risk",10-10*((IF('Council Entry'!Y$4="Logarithm",LN(0.001+IF(AND(ISNUMBER('Council Entry'!Y$8),ISNUMBER('Council Entry'!Y$9)),MAX(MIN('Council Entry'!Y130,'Council Entry'!Y$9),'Council Entry'!Y$8),'Council Entry'!Y130)),IF('Council Entry'!Y$4="Exponential",EXP(IF(AND(ISNUMBER('Council Entry'!Y$8),ISNUMBER('Council Entry'!Y$9)),MAX(MIN('Council Entry'!Y130,'Council Entry'!Y$9),'Council Entry'!Y$8),'Council Entry'!Y130)),IF(AND(ISNUMBER('Council Entry'!Y$8),ISNUMBER('Council Entry'!Y$9)),MAX(MIN('Council Entry'!Y130,'Council Entry'!Y$9),'Council Entry'!Y$8),'Council Entry'!Y130))))-'Council Entry'!Y$5)/('Council Entry'!Y$6-'Council Entry'!Y$5),10*((IF('Council Entry'!Y$4="Logarithm",LN(0.001+IF(AND(ISNUMBER('Council Entry'!Y$8),ISNUMBER('Council Entry'!Y$9)),MAX(MIN('Council Entry'!Y130,'Council Entry'!Y$9),'Council Entry'!Y$8),'Council Entry'!Y130)),IF('Council Entry'!Y$4="Exponential",EXP(IF(AND(ISNUMBER('Council Entry'!Y$8),ISNUMBER('Council Entry'!Y$9)),MAX(MIN('Council Entry'!Y130,'Council Entry'!Y$9),'Council Entry'!Y$8),'Council Entry'!Y130)),IF(AND(ISNUMBER('Council Entry'!Y$8),ISNUMBER('Council Entry'!Y$9)),MAX(MIN('Council Entry'!Y130,'Council Entry'!Y$9),'Council Entry'!Y$8),'Council Entry'!Y130))))-'Council Entry'!Y$5)/('Council Entry'!Y$6-'Council Entry'!Y$5)),1))),"No data"))</f>
        <v/>
      </c>
      <c r="Z130" s="13">
        <f>IF('Council Entry'!Z130="","",IFERROR(MAX(0,MIN(10,ROUND(IF('Council Entry'!Z$7="Decrease Risk",10-10*((IF('Council Entry'!Z$4="Logarithm",LN(0.001+IF(AND(ISNUMBER('Council Entry'!Z$8),ISNUMBER('Council Entry'!Z$9)),MAX(MIN('Council Entry'!Z130,'Council Entry'!Z$9),'Council Entry'!Z$8),'Council Entry'!Z130)),IF('Council Entry'!Z$4="Exponential",EXP(IF(AND(ISNUMBER('Council Entry'!Z$8),ISNUMBER('Council Entry'!Z$9)),MAX(MIN('Council Entry'!Z130,'Council Entry'!Z$9),'Council Entry'!Z$8),'Council Entry'!Z130)),IF(AND(ISNUMBER('Council Entry'!Z$8),ISNUMBER('Council Entry'!Z$9)),MAX(MIN('Council Entry'!Z130,'Council Entry'!Z$9),'Council Entry'!Z$8),'Council Entry'!Z130))))-'Council Entry'!Z$5)/('Council Entry'!Z$6-'Council Entry'!Z$5),10*((IF('Council Entry'!Z$4="Logarithm",LN(0.001+IF(AND(ISNUMBER('Council Entry'!Z$8),ISNUMBER('Council Entry'!Z$9)),MAX(MIN('Council Entry'!Z130,'Council Entry'!Z$9),'Council Entry'!Z$8),'Council Entry'!Z130)),IF('Council Entry'!Z$4="Exponential",EXP(IF(AND(ISNUMBER('Council Entry'!Z$8),ISNUMBER('Council Entry'!Z$9)),MAX(MIN('Council Entry'!Z130,'Council Entry'!Z$9),'Council Entry'!Z$8),'Council Entry'!Z130)),IF(AND(ISNUMBER('Council Entry'!Z$8),ISNUMBER('Council Entry'!Z$9)),MAX(MIN('Council Entry'!Z130,'Council Entry'!Z$9),'Council Entry'!Z$8),'Council Entry'!Z130))))-'Council Entry'!Z$5)/('Council Entry'!Z$6-'Council Entry'!Z$5)),1))),"No data"))</f>
        <v/>
      </c>
      <c r="AA130" s="13">
        <f>IF('Council Entry'!AA130="","",IFERROR(MAX(0,MIN(10,ROUND(IF('Council Entry'!AA$7="Decrease Risk",10-10*((IF('Council Entry'!AA$4="Logarithm",LN(0.001+IF(AND(ISNUMBER('Council Entry'!AA$8),ISNUMBER('Council Entry'!AA$9)),MAX(MIN('Council Entry'!AA130,'Council Entry'!AA$9),'Council Entry'!AA$8),'Council Entry'!AA130)),IF('Council Entry'!AA$4="Exponential",EXP(IF(AND(ISNUMBER('Council Entry'!AA$8),ISNUMBER('Council Entry'!AA$9)),MAX(MIN('Council Entry'!AA130,'Council Entry'!AA$9),'Council Entry'!AA$8),'Council Entry'!AA130)),IF(AND(ISNUMBER('Council Entry'!AA$8),ISNUMBER('Council Entry'!AA$9)),MAX(MIN('Council Entry'!AA130,'Council Entry'!AA$9),'Council Entry'!AA$8),'Council Entry'!AA130))))-'Council Entry'!AA$5)/('Council Entry'!AA$6-'Council Entry'!AA$5),10*((IF('Council Entry'!AA$4="Logarithm",LN(0.001+IF(AND(ISNUMBER('Council Entry'!AA$8),ISNUMBER('Council Entry'!AA$9)),MAX(MIN('Council Entry'!AA130,'Council Entry'!AA$9),'Council Entry'!AA$8),'Council Entry'!AA130)),IF('Council Entry'!AA$4="Exponential",EXP(IF(AND(ISNUMBER('Council Entry'!AA$8),ISNUMBER('Council Entry'!AA$9)),MAX(MIN('Council Entry'!AA130,'Council Entry'!AA$9),'Council Entry'!AA$8),'Council Entry'!AA130)),IF(AND(ISNUMBER('Council Entry'!AA$8),ISNUMBER('Council Entry'!AA$9)),MAX(MIN('Council Entry'!AA130,'Council Entry'!AA$9),'Council Entry'!AA$8),'Council Entry'!AA130))))-'Council Entry'!AA$5)/('Council Entry'!AA$6-'Council Entry'!AA$5)),1))),"No data"))</f>
        <v/>
      </c>
      <c r="AB130" s="13">
        <f>IF('Council Entry'!AB130="","",IFERROR(MAX(0,MIN(10,ROUND(IF('Council Entry'!AB$7="Decrease Risk",10-10*((IF('Council Entry'!AB$4="Logarithm",LN(0.001+IF(AND(ISNUMBER('Council Entry'!AB$8),ISNUMBER('Council Entry'!AB$9)),MAX(MIN('Council Entry'!AB130,'Council Entry'!AB$9),'Council Entry'!AB$8),'Council Entry'!AB130)),IF('Council Entry'!AB$4="Exponential",EXP(IF(AND(ISNUMBER('Council Entry'!AB$8),ISNUMBER('Council Entry'!AB$9)),MAX(MIN('Council Entry'!AB130,'Council Entry'!AB$9),'Council Entry'!AB$8),'Council Entry'!AB130)),IF(AND(ISNUMBER('Council Entry'!AB$8),ISNUMBER('Council Entry'!AB$9)),MAX(MIN('Council Entry'!AB130,'Council Entry'!AB$9),'Council Entry'!AB$8),'Council Entry'!AB130))))-'Council Entry'!AB$5)/('Council Entry'!AB$6-'Council Entry'!AB$5),10*((IF('Council Entry'!AB$4="Logarithm",LN(0.001+IF(AND(ISNUMBER('Council Entry'!AB$8),ISNUMBER('Council Entry'!AB$9)),MAX(MIN('Council Entry'!AB130,'Council Entry'!AB$9),'Council Entry'!AB$8),'Council Entry'!AB130)),IF('Council Entry'!AB$4="Exponential",EXP(IF(AND(ISNUMBER('Council Entry'!AB$8),ISNUMBER('Council Entry'!AB$9)),MAX(MIN('Council Entry'!AB130,'Council Entry'!AB$9),'Council Entry'!AB$8),'Council Entry'!AB130)),IF(AND(ISNUMBER('Council Entry'!AB$8),ISNUMBER('Council Entry'!AB$9)),MAX(MIN('Council Entry'!AB130,'Council Entry'!AB$9),'Council Entry'!AB$8),'Council Entry'!AB130))))-'Council Entry'!AB$5)/('Council Entry'!AB$6-'Council Entry'!AB$5)),1))),"No data"))</f>
        <v/>
      </c>
      <c r="AC130" s="13">
        <f>IF('Council Entry'!AC130="","",IFERROR(MAX(0,MIN(10,ROUND(IF('Council Entry'!AC$7="Decrease Risk",10-10*((IF('Council Entry'!AC$4="Logarithm",LN(0.001+IF(AND(ISNUMBER('Council Entry'!AC$8),ISNUMBER('Council Entry'!AC$9)),MAX(MIN('Council Entry'!AC130,'Council Entry'!AC$9),'Council Entry'!AC$8),'Council Entry'!AC130)),IF('Council Entry'!AC$4="Exponential",EXP(IF(AND(ISNUMBER('Council Entry'!AC$8),ISNUMBER('Council Entry'!AC$9)),MAX(MIN('Council Entry'!AC130,'Council Entry'!AC$9),'Council Entry'!AC$8),'Council Entry'!AC130)),IF(AND(ISNUMBER('Council Entry'!AC$8),ISNUMBER('Council Entry'!AC$9)),MAX(MIN('Council Entry'!AC130,'Council Entry'!AC$9),'Council Entry'!AC$8),'Council Entry'!AC130))))-'Council Entry'!AC$5)/('Council Entry'!AC$6-'Council Entry'!AC$5),10*((IF('Council Entry'!AC$4="Logarithm",LN(0.001+IF(AND(ISNUMBER('Council Entry'!AC$8),ISNUMBER('Council Entry'!AC$9)),MAX(MIN('Council Entry'!AC130,'Council Entry'!AC$9),'Council Entry'!AC$8),'Council Entry'!AC130)),IF('Council Entry'!AC$4="Exponential",EXP(IF(AND(ISNUMBER('Council Entry'!AC$8),ISNUMBER('Council Entry'!AC$9)),MAX(MIN('Council Entry'!AC130,'Council Entry'!AC$9),'Council Entry'!AC$8),'Council Entry'!AC130)),IF(AND(ISNUMBER('Council Entry'!AC$8),ISNUMBER('Council Entry'!AC$9)),MAX(MIN('Council Entry'!AC130,'Council Entry'!AC$9),'Council Entry'!AC$8),'Council Entry'!AC130))))-'Council Entry'!AC$5)/('Council Entry'!AC$6-'Council Entry'!AC$5)),1))),"No data"))</f>
        <v/>
      </c>
      <c r="AD130" s="13">
        <f>IF('Council Entry'!AD130="","",IFERROR(MAX(0,MIN(10,ROUND(IF('Council Entry'!AD$7="Decrease Risk",10-10*((IF('Council Entry'!AD$4="Logarithm",LN(0.001+IF(AND(ISNUMBER('Council Entry'!AD$8),ISNUMBER('Council Entry'!AD$9)),MAX(MIN('Council Entry'!AD130,'Council Entry'!AD$9),'Council Entry'!AD$8),'Council Entry'!AD130)),IF('Council Entry'!AD$4="Exponential",EXP(IF(AND(ISNUMBER('Council Entry'!AD$8),ISNUMBER('Council Entry'!AD$9)),MAX(MIN('Council Entry'!AD130,'Council Entry'!AD$9),'Council Entry'!AD$8),'Council Entry'!AD130)),IF(AND(ISNUMBER('Council Entry'!AD$8),ISNUMBER('Council Entry'!AD$9)),MAX(MIN('Council Entry'!AD130,'Council Entry'!AD$9),'Council Entry'!AD$8),'Council Entry'!AD130))))-'Council Entry'!AD$5)/('Council Entry'!AD$6-'Council Entry'!AD$5),10*((IF('Council Entry'!AD$4="Logarithm",LN(0.001+IF(AND(ISNUMBER('Council Entry'!AD$8),ISNUMBER('Council Entry'!AD$9)),MAX(MIN('Council Entry'!AD130,'Council Entry'!AD$9),'Council Entry'!AD$8),'Council Entry'!AD130)),IF('Council Entry'!AD$4="Exponential",EXP(IF(AND(ISNUMBER('Council Entry'!AD$8),ISNUMBER('Council Entry'!AD$9)),MAX(MIN('Council Entry'!AD130,'Council Entry'!AD$9),'Council Entry'!AD$8),'Council Entry'!AD130)),IF(AND(ISNUMBER('Council Entry'!AD$8),ISNUMBER('Council Entry'!AD$9)),MAX(MIN('Council Entry'!AD130,'Council Entry'!AD$9),'Council Entry'!AD$8),'Council Entry'!AD130))))-'Council Entry'!AD$5)/('Council Entry'!AD$6-'Council Entry'!AD$5)),1))),"No data"))</f>
        <v/>
      </c>
      <c r="AE130" s="13">
        <f>IF('Council Entry'!AE130="","",IFERROR(MAX(0,MIN(10,ROUND(IF('Council Entry'!AE$7="Decrease Risk",10-10*((IF('Council Entry'!AE$4="Logarithm",LN(0.001+IF(AND(ISNUMBER('Council Entry'!AE$8),ISNUMBER('Council Entry'!AE$9)),MAX(MIN('Council Entry'!AE130,'Council Entry'!AE$9),'Council Entry'!AE$8),'Council Entry'!AE130)),IF('Council Entry'!AE$4="Exponential",EXP(IF(AND(ISNUMBER('Council Entry'!AE$8),ISNUMBER('Council Entry'!AE$9)),MAX(MIN('Council Entry'!AE130,'Council Entry'!AE$9),'Council Entry'!AE$8),'Council Entry'!AE130)),IF(AND(ISNUMBER('Council Entry'!AE$8),ISNUMBER('Council Entry'!AE$9)),MAX(MIN('Council Entry'!AE130,'Council Entry'!AE$9),'Council Entry'!AE$8),'Council Entry'!AE130))))-'Council Entry'!AE$5)/('Council Entry'!AE$6-'Council Entry'!AE$5),10*((IF('Council Entry'!AE$4="Logarithm",LN(0.001+IF(AND(ISNUMBER('Council Entry'!AE$8),ISNUMBER('Council Entry'!AE$9)),MAX(MIN('Council Entry'!AE130,'Council Entry'!AE$9),'Council Entry'!AE$8),'Council Entry'!AE130)),IF('Council Entry'!AE$4="Exponential",EXP(IF(AND(ISNUMBER('Council Entry'!AE$8),ISNUMBER('Council Entry'!AE$9)),MAX(MIN('Council Entry'!AE130,'Council Entry'!AE$9),'Council Entry'!AE$8),'Council Entry'!AE130)),IF(AND(ISNUMBER('Council Entry'!AE$8),ISNUMBER('Council Entry'!AE$9)),MAX(MIN('Council Entry'!AE130,'Council Entry'!AE$9),'Council Entry'!AE$8),'Council Entry'!AE130))))-'Council Entry'!AE$5)/('Council Entry'!AE$6-'Council Entry'!AE$5)),1))),"No data"))</f>
        <v/>
      </c>
      <c r="AF130" s="13">
        <f>IF('Council Entry'!AF130="","",IFERROR(MAX(0,MIN(10,ROUND(IF('Council Entry'!AF$7="Decrease Risk",10-10*((IF('Council Entry'!AF$4="Logarithm",LN(0.001+IF(AND(ISNUMBER('Council Entry'!AF$8),ISNUMBER('Council Entry'!AF$9)),MAX(MIN('Council Entry'!AF130,'Council Entry'!AF$9),'Council Entry'!AF$8),'Council Entry'!AF130)),IF('Council Entry'!AF$4="Exponential",EXP(IF(AND(ISNUMBER('Council Entry'!AF$8),ISNUMBER('Council Entry'!AF$9)),MAX(MIN('Council Entry'!AF130,'Council Entry'!AF$9),'Council Entry'!AF$8),'Council Entry'!AF130)),IF(AND(ISNUMBER('Council Entry'!AF$8),ISNUMBER('Council Entry'!AF$9)),MAX(MIN('Council Entry'!AF130,'Council Entry'!AF$9),'Council Entry'!AF$8),'Council Entry'!AF130))))-'Council Entry'!AF$5)/('Council Entry'!AF$6-'Council Entry'!AF$5),10*((IF('Council Entry'!AF$4="Logarithm",LN(0.001+IF(AND(ISNUMBER('Council Entry'!AF$8),ISNUMBER('Council Entry'!AF$9)),MAX(MIN('Council Entry'!AF130,'Council Entry'!AF$9),'Council Entry'!AF$8),'Council Entry'!AF130)),IF('Council Entry'!AF$4="Exponential",EXP(IF(AND(ISNUMBER('Council Entry'!AF$8),ISNUMBER('Council Entry'!AF$9)),MAX(MIN('Council Entry'!AF130,'Council Entry'!AF$9),'Council Entry'!AF$8),'Council Entry'!AF130)),IF(AND(ISNUMBER('Council Entry'!AF$8),ISNUMBER('Council Entry'!AF$9)),MAX(MIN('Council Entry'!AF130,'Council Entry'!AF$9),'Council Entry'!AF$8),'Council Entry'!AF130))))-'Council Entry'!AF$5)/('Council Entry'!AF$6-'Council Entry'!AF$5)),1))),"No data"))</f>
        <v/>
      </c>
      <c r="AG130" s="13">
        <f>IF('Council Entry'!AG130="","",IFERROR(MAX(0,MIN(10,ROUND(IF('Council Entry'!AG$7="Decrease Risk",10-10*((IF('Council Entry'!AG$4="Logarithm",LN(0.001+IF(AND(ISNUMBER('Council Entry'!AG$8),ISNUMBER('Council Entry'!AG$9)),MAX(MIN('Council Entry'!AG130,'Council Entry'!AG$9),'Council Entry'!AG$8),'Council Entry'!AG130)),IF('Council Entry'!AG$4="Exponential",EXP(IF(AND(ISNUMBER('Council Entry'!AG$8),ISNUMBER('Council Entry'!AG$9)),MAX(MIN('Council Entry'!AG130,'Council Entry'!AG$9),'Council Entry'!AG$8),'Council Entry'!AG130)),IF(AND(ISNUMBER('Council Entry'!AG$8),ISNUMBER('Council Entry'!AG$9)),MAX(MIN('Council Entry'!AG130,'Council Entry'!AG$9),'Council Entry'!AG$8),'Council Entry'!AG130))))-'Council Entry'!AG$5)/('Council Entry'!AG$6-'Council Entry'!AG$5),10*((IF('Council Entry'!AG$4="Logarithm",LN(0.001+IF(AND(ISNUMBER('Council Entry'!AG$8),ISNUMBER('Council Entry'!AG$9)),MAX(MIN('Council Entry'!AG130,'Council Entry'!AG$9),'Council Entry'!AG$8),'Council Entry'!AG130)),IF('Council Entry'!AG$4="Exponential",EXP(IF(AND(ISNUMBER('Council Entry'!AG$8),ISNUMBER('Council Entry'!AG$9)),MAX(MIN('Council Entry'!AG130,'Council Entry'!AG$9),'Council Entry'!AG$8),'Council Entry'!AG130)),IF(AND(ISNUMBER('Council Entry'!AG$8),ISNUMBER('Council Entry'!AG$9)),MAX(MIN('Council Entry'!AG130,'Council Entry'!AG$9),'Council Entry'!AG$8),'Council Entry'!AG130))))-'Council Entry'!AG$5)/('Council Entry'!AG$6-'Council Entry'!AG$5)),1))),"No data"))</f>
        <v/>
      </c>
      <c r="AH130" s="13">
        <f>IF('Council Entry'!AH130="","",IFERROR(MAX(0,MIN(10,ROUND(IF('Council Entry'!AH$7="Decrease Risk",10-10*((IF('Council Entry'!AH$4="Logarithm",LN(0.001+IF(AND(ISNUMBER('Council Entry'!AH$8),ISNUMBER('Council Entry'!AH$9)),MAX(MIN('Council Entry'!AH130,'Council Entry'!AH$9),'Council Entry'!AH$8),'Council Entry'!AH130)),IF('Council Entry'!AH$4="Exponential",EXP(IF(AND(ISNUMBER('Council Entry'!AH$8),ISNUMBER('Council Entry'!AH$9)),MAX(MIN('Council Entry'!AH130,'Council Entry'!AH$9),'Council Entry'!AH$8),'Council Entry'!AH130)),IF(AND(ISNUMBER('Council Entry'!AH$8),ISNUMBER('Council Entry'!AH$9)),MAX(MIN('Council Entry'!AH130,'Council Entry'!AH$9),'Council Entry'!AH$8),'Council Entry'!AH130))))-'Council Entry'!AH$5)/('Council Entry'!AH$6-'Council Entry'!AH$5),10*((IF('Council Entry'!AH$4="Logarithm",LN(0.001+IF(AND(ISNUMBER('Council Entry'!AH$8),ISNUMBER('Council Entry'!AH$9)),MAX(MIN('Council Entry'!AH130,'Council Entry'!AH$9),'Council Entry'!AH$8),'Council Entry'!AH130)),IF('Council Entry'!AH$4="Exponential",EXP(IF(AND(ISNUMBER('Council Entry'!AH$8),ISNUMBER('Council Entry'!AH$9)),MAX(MIN('Council Entry'!AH130,'Council Entry'!AH$9),'Council Entry'!AH$8),'Council Entry'!AH130)),IF(AND(ISNUMBER('Council Entry'!AH$8),ISNUMBER('Council Entry'!AH$9)),MAX(MIN('Council Entry'!AH130,'Council Entry'!AH$9),'Council Entry'!AH$8),'Council Entry'!AH130))))-'Council Entry'!AH$5)/('Council Entry'!AH$6-'Council Entry'!AH$5)),1))),"No data"))</f>
        <v/>
      </c>
      <c r="AI130" s="13">
        <f>IF('Council Entry'!AI130="","",IFERROR(MAX(0,MIN(10,ROUND(IF('Council Entry'!AI$7="Decrease Risk",10-10*((IF('Council Entry'!AI$4="Logarithm",LN(0.001+IF(AND(ISNUMBER('Council Entry'!AI$8),ISNUMBER('Council Entry'!AI$9)),MAX(MIN('Council Entry'!AI130,'Council Entry'!AI$9),'Council Entry'!AI$8),'Council Entry'!AI130)),IF('Council Entry'!AI$4="Exponential",EXP(IF(AND(ISNUMBER('Council Entry'!AI$8),ISNUMBER('Council Entry'!AI$9)),MAX(MIN('Council Entry'!AI130,'Council Entry'!AI$9),'Council Entry'!AI$8),'Council Entry'!AI130)),IF(AND(ISNUMBER('Council Entry'!AI$8),ISNUMBER('Council Entry'!AI$9)),MAX(MIN('Council Entry'!AI130,'Council Entry'!AI$9),'Council Entry'!AI$8),'Council Entry'!AI130))))-'Council Entry'!AI$5)/('Council Entry'!AI$6-'Council Entry'!AI$5),10*((IF('Council Entry'!AI$4="Logarithm",LN(0.001+IF(AND(ISNUMBER('Council Entry'!AI$8),ISNUMBER('Council Entry'!AI$9)),MAX(MIN('Council Entry'!AI130,'Council Entry'!AI$9),'Council Entry'!AI$8),'Council Entry'!AI130)),IF('Council Entry'!AI$4="Exponential",EXP(IF(AND(ISNUMBER('Council Entry'!AI$8),ISNUMBER('Council Entry'!AI$9)),MAX(MIN('Council Entry'!AI130,'Council Entry'!AI$9),'Council Entry'!AI$8),'Council Entry'!AI130)),IF(AND(ISNUMBER('Council Entry'!AI$8),ISNUMBER('Council Entry'!AI$9)),MAX(MIN('Council Entry'!AI130,'Council Entry'!AI$9),'Council Entry'!AI$8),'Council Entry'!AI130))))-'Council Entry'!AI$5)/('Council Entry'!AI$6-'Council Entry'!AI$5)),1))),"No data"))</f>
        <v/>
      </c>
      <c r="AJ130" s="13">
        <f>IF('Council Entry'!AJ130="","",IFERROR(MAX(0,MIN(10,ROUND(IF('Council Entry'!AJ$7="Decrease Risk",10-10*((IF('Council Entry'!AJ$4="Logarithm",LN(0.001+IF(AND(ISNUMBER('Council Entry'!AJ$8),ISNUMBER('Council Entry'!AJ$9)),MAX(MIN('Council Entry'!AJ130,'Council Entry'!AJ$9),'Council Entry'!AJ$8),'Council Entry'!AJ130)),IF('Council Entry'!AJ$4="Exponential",EXP(IF(AND(ISNUMBER('Council Entry'!AJ$8),ISNUMBER('Council Entry'!AJ$9)),MAX(MIN('Council Entry'!AJ130,'Council Entry'!AJ$9),'Council Entry'!AJ$8),'Council Entry'!AJ130)),IF(AND(ISNUMBER('Council Entry'!AJ$8),ISNUMBER('Council Entry'!AJ$9)),MAX(MIN('Council Entry'!AJ130,'Council Entry'!AJ$9),'Council Entry'!AJ$8),'Council Entry'!AJ130))))-'Council Entry'!AJ$5)/('Council Entry'!AJ$6-'Council Entry'!AJ$5),10*((IF('Council Entry'!AJ$4="Logarithm",LN(0.001+IF(AND(ISNUMBER('Council Entry'!AJ$8),ISNUMBER('Council Entry'!AJ$9)),MAX(MIN('Council Entry'!AJ130,'Council Entry'!AJ$9),'Council Entry'!AJ$8),'Council Entry'!AJ130)),IF('Council Entry'!AJ$4="Exponential",EXP(IF(AND(ISNUMBER('Council Entry'!AJ$8),ISNUMBER('Council Entry'!AJ$9)),MAX(MIN('Council Entry'!AJ130,'Council Entry'!AJ$9),'Council Entry'!AJ$8),'Council Entry'!AJ130)),IF(AND(ISNUMBER('Council Entry'!AJ$8),ISNUMBER('Council Entry'!AJ$9)),MAX(MIN('Council Entry'!AJ130,'Council Entry'!AJ$9),'Council Entry'!AJ$8),'Council Entry'!AJ130))))-'Council Entry'!AJ$5)/('Council Entry'!AJ$6-'Council Entry'!AJ$5)),1))),"No data"))</f>
        <v/>
      </c>
      <c r="AK130" s="13">
        <f>IF('Council Entry'!AK130="","",IFERROR(MAX(0,MIN(10,ROUND(IF('Council Entry'!AK$7="Decrease Risk",10-10*((IF('Council Entry'!AK$4="Logarithm",LN(0.001+IF(AND(ISNUMBER('Council Entry'!AK$8),ISNUMBER('Council Entry'!AK$9)),MAX(MIN('Council Entry'!AK130,'Council Entry'!AK$9),'Council Entry'!AK$8),'Council Entry'!AK130)),IF('Council Entry'!AK$4="Exponential",EXP(IF(AND(ISNUMBER('Council Entry'!AK$8),ISNUMBER('Council Entry'!AK$9)),MAX(MIN('Council Entry'!AK130,'Council Entry'!AK$9),'Council Entry'!AK$8),'Council Entry'!AK130)),IF(AND(ISNUMBER('Council Entry'!AK$8),ISNUMBER('Council Entry'!AK$9)),MAX(MIN('Council Entry'!AK130,'Council Entry'!AK$9),'Council Entry'!AK$8),'Council Entry'!AK130))))-'Council Entry'!AK$5)/('Council Entry'!AK$6-'Council Entry'!AK$5),10*((IF('Council Entry'!AK$4="Logarithm",LN(0.001+IF(AND(ISNUMBER('Council Entry'!AK$8),ISNUMBER('Council Entry'!AK$9)),MAX(MIN('Council Entry'!AK130,'Council Entry'!AK$9),'Council Entry'!AK$8),'Council Entry'!AK130)),IF('Council Entry'!AK$4="Exponential",EXP(IF(AND(ISNUMBER('Council Entry'!AK$8),ISNUMBER('Council Entry'!AK$9)),MAX(MIN('Council Entry'!AK130,'Council Entry'!AK$9),'Council Entry'!AK$8),'Council Entry'!AK130)),IF(AND(ISNUMBER('Council Entry'!AK$8),ISNUMBER('Council Entry'!AK$9)),MAX(MIN('Council Entry'!AK130,'Council Entry'!AK$9),'Council Entry'!AK$8),'Council Entry'!AK130))))-'Council Entry'!AK$5)/('Council Entry'!AK$6-'Council Entry'!AK$5)),1))),"No data"))</f>
        <v/>
      </c>
      <c r="AL130" s="13">
        <f>IF('Council Entry'!AL130="","",IFERROR(MAX(0,MIN(10,ROUND(IF('Council Entry'!AL$7="Decrease Risk",10-10*((IF('Council Entry'!AL$4="Logarithm",LN(0.001+IF(AND(ISNUMBER('Council Entry'!AL$8),ISNUMBER('Council Entry'!AL$9)),MAX(MIN('Council Entry'!AL130,'Council Entry'!AL$9),'Council Entry'!AL$8),'Council Entry'!AL130)),IF('Council Entry'!AL$4="Exponential",EXP(IF(AND(ISNUMBER('Council Entry'!AL$8),ISNUMBER('Council Entry'!AL$9)),MAX(MIN('Council Entry'!AL130,'Council Entry'!AL$9),'Council Entry'!AL$8),'Council Entry'!AL130)),IF(AND(ISNUMBER('Council Entry'!AL$8),ISNUMBER('Council Entry'!AL$9)),MAX(MIN('Council Entry'!AL130,'Council Entry'!AL$9),'Council Entry'!AL$8),'Council Entry'!AL130))))-'Council Entry'!AL$5)/('Council Entry'!AL$6-'Council Entry'!AL$5),10*((IF('Council Entry'!AL$4="Logarithm",LN(0.001+IF(AND(ISNUMBER('Council Entry'!AL$8),ISNUMBER('Council Entry'!AL$9)),MAX(MIN('Council Entry'!AL130,'Council Entry'!AL$9),'Council Entry'!AL$8),'Council Entry'!AL130)),IF('Council Entry'!AL$4="Exponential",EXP(IF(AND(ISNUMBER('Council Entry'!AL$8),ISNUMBER('Council Entry'!AL$9)),MAX(MIN('Council Entry'!AL130,'Council Entry'!AL$9),'Council Entry'!AL$8),'Council Entry'!AL130)),IF(AND(ISNUMBER('Council Entry'!AL$8),ISNUMBER('Council Entry'!AL$9)),MAX(MIN('Council Entry'!AL130,'Council Entry'!AL$9),'Council Entry'!AL$8),'Council Entry'!AL130))))-'Council Entry'!AL$5)/('Council Entry'!AL$6-'Council Entry'!AL$5)),1))),"No data"))</f>
        <v/>
      </c>
      <c r="AM130" s="13">
        <f>IF('Council Entry'!AM130="","",IFERROR(MAX(0,MIN(10,ROUND(IF('Council Entry'!AM$7="Decrease Risk",10-10*((IF('Council Entry'!AM$4="Logarithm",LN(0.001+IF(AND(ISNUMBER('Council Entry'!AM$8),ISNUMBER('Council Entry'!AM$9)),MAX(MIN('Council Entry'!AM130,'Council Entry'!AM$9),'Council Entry'!AM$8),'Council Entry'!AM130)),IF('Council Entry'!AM$4="Exponential",EXP(IF(AND(ISNUMBER('Council Entry'!AM$8),ISNUMBER('Council Entry'!AM$9)),MAX(MIN('Council Entry'!AM130,'Council Entry'!AM$9),'Council Entry'!AM$8),'Council Entry'!AM130)),IF(AND(ISNUMBER('Council Entry'!AM$8),ISNUMBER('Council Entry'!AM$9)),MAX(MIN('Council Entry'!AM130,'Council Entry'!AM$9),'Council Entry'!AM$8),'Council Entry'!AM130))))-'Council Entry'!AM$5)/('Council Entry'!AM$6-'Council Entry'!AM$5),10*((IF('Council Entry'!AM$4="Logarithm",LN(0.001+IF(AND(ISNUMBER('Council Entry'!AM$8),ISNUMBER('Council Entry'!AM$9)),MAX(MIN('Council Entry'!AM130,'Council Entry'!AM$9),'Council Entry'!AM$8),'Council Entry'!AM130)),IF('Council Entry'!AM$4="Exponential",EXP(IF(AND(ISNUMBER('Council Entry'!AM$8),ISNUMBER('Council Entry'!AM$9)),MAX(MIN('Council Entry'!AM130,'Council Entry'!AM$9),'Council Entry'!AM$8),'Council Entry'!AM130)),IF(AND(ISNUMBER('Council Entry'!AM$8),ISNUMBER('Council Entry'!AM$9)),MAX(MIN('Council Entry'!AM130,'Council Entry'!AM$9),'Council Entry'!AM$8),'Council Entry'!AM130))))-'Council Entry'!AM$5)/('Council Entry'!AM$6-'Council Entry'!AM$5)),1))),"No data"))</f>
        <v/>
      </c>
      <c r="AN130" s="13">
        <f>IF('Council Entry'!AN130="","",IFERROR(MAX(0,MIN(10,ROUND(IF('Council Entry'!AN$7="Decrease Risk",10-10*((IF('Council Entry'!AN$4="Logarithm",LN(0.001+IF(AND(ISNUMBER('Council Entry'!AN$8),ISNUMBER('Council Entry'!AN$9)),MAX(MIN('Council Entry'!AN130,'Council Entry'!AN$9),'Council Entry'!AN$8),'Council Entry'!AN130)),IF('Council Entry'!AN$4="Exponential",EXP(IF(AND(ISNUMBER('Council Entry'!AN$8),ISNUMBER('Council Entry'!AN$9)),MAX(MIN('Council Entry'!AN130,'Council Entry'!AN$9),'Council Entry'!AN$8),'Council Entry'!AN130)),IF(AND(ISNUMBER('Council Entry'!AN$8),ISNUMBER('Council Entry'!AN$9)),MAX(MIN('Council Entry'!AN130,'Council Entry'!AN$9),'Council Entry'!AN$8),'Council Entry'!AN130))))-'Council Entry'!AN$5)/('Council Entry'!AN$6-'Council Entry'!AN$5),10*((IF('Council Entry'!AN$4="Logarithm",LN(0.001+IF(AND(ISNUMBER('Council Entry'!AN$8),ISNUMBER('Council Entry'!AN$9)),MAX(MIN('Council Entry'!AN130,'Council Entry'!AN$9),'Council Entry'!AN$8),'Council Entry'!AN130)),IF('Council Entry'!AN$4="Exponential",EXP(IF(AND(ISNUMBER('Council Entry'!AN$8),ISNUMBER('Council Entry'!AN$9)),MAX(MIN('Council Entry'!AN130,'Council Entry'!AN$9),'Council Entry'!AN$8),'Council Entry'!AN130)),IF(AND(ISNUMBER('Council Entry'!AN$8),ISNUMBER('Council Entry'!AN$9)),MAX(MIN('Council Entry'!AN130,'Council Entry'!AN$9),'Council Entry'!AN$8),'Council Entry'!AN130))))-'Council Entry'!AN$5)/('Council Entry'!AN$6-'Council Entry'!AN$5)),1))),"No data"))</f>
        <v/>
      </c>
      <c r="AO130" s="13">
        <f>IF('Council Entry'!AO130="","",IFERROR(MAX(0,MIN(10,ROUND(IF('Council Entry'!AO$7="Decrease Risk",10-10*((IF('Council Entry'!AO$4="Logarithm",LN(0.001+IF(AND(ISNUMBER('Council Entry'!AO$8),ISNUMBER('Council Entry'!AO$9)),MAX(MIN('Council Entry'!AO130,'Council Entry'!AO$9),'Council Entry'!AO$8),'Council Entry'!AO130)),IF('Council Entry'!AO$4="Exponential",EXP(IF(AND(ISNUMBER('Council Entry'!AO$8),ISNUMBER('Council Entry'!AO$9)),MAX(MIN('Council Entry'!AO130,'Council Entry'!AO$9),'Council Entry'!AO$8),'Council Entry'!AO130)),IF(AND(ISNUMBER('Council Entry'!AO$8),ISNUMBER('Council Entry'!AO$9)),MAX(MIN('Council Entry'!AO130,'Council Entry'!AO$9),'Council Entry'!AO$8),'Council Entry'!AO130))))-'Council Entry'!AO$5)/('Council Entry'!AO$6-'Council Entry'!AO$5),10*((IF('Council Entry'!AO$4="Logarithm",LN(0.001+IF(AND(ISNUMBER('Council Entry'!AO$8),ISNUMBER('Council Entry'!AO$9)),MAX(MIN('Council Entry'!AO130,'Council Entry'!AO$9),'Council Entry'!AO$8),'Council Entry'!AO130)),IF('Council Entry'!AO$4="Exponential",EXP(IF(AND(ISNUMBER('Council Entry'!AO$8),ISNUMBER('Council Entry'!AO$9)),MAX(MIN('Council Entry'!AO130,'Council Entry'!AO$9),'Council Entry'!AO$8),'Council Entry'!AO130)),IF(AND(ISNUMBER('Council Entry'!AO$8),ISNUMBER('Council Entry'!AO$9)),MAX(MIN('Council Entry'!AO130,'Council Entry'!AO$9),'Council Entry'!AO$8),'Council Entry'!AO130))))-'Council Entry'!AO$5)/('Council Entry'!AO$6-'Council Entry'!AO$5)),1))),"No data"))</f>
        <v/>
      </c>
      <c r="AP130" s="13">
        <f>IF('Council Entry'!AP130="","",IFERROR(MAX(0,MIN(10,ROUND(IF('Council Entry'!AP$7="Decrease Risk",10-10*((IF('Council Entry'!AP$4="Logarithm",LN(0.001+IF(AND(ISNUMBER('Council Entry'!AP$8),ISNUMBER('Council Entry'!AP$9)),MAX(MIN('Council Entry'!AP130,'Council Entry'!AP$9),'Council Entry'!AP$8),'Council Entry'!AP130)),IF('Council Entry'!AP$4="Exponential",EXP(IF(AND(ISNUMBER('Council Entry'!AP$8),ISNUMBER('Council Entry'!AP$9)),MAX(MIN('Council Entry'!AP130,'Council Entry'!AP$9),'Council Entry'!AP$8),'Council Entry'!AP130)),IF(AND(ISNUMBER('Council Entry'!AP$8),ISNUMBER('Council Entry'!AP$9)),MAX(MIN('Council Entry'!AP130,'Council Entry'!AP$9),'Council Entry'!AP$8),'Council Entry'!AP130))))-'Council Entry'!AP$5)/('Council Entry'!AP$6-'Council Entry'!AP$5),10*((IF('Council Entry'!AP$4="Logarithm",LN(0.001+IF(AND(ISNUMBER('Council Entry'!AP$8),ISNUMBER('Council Entry'!AP$9)),MAX(MIN('Council Entry'!AP130,'Council Entry'!AP$9),'Council Entry'!AP$8),'Council Entry'!AP130)),IF('Council Entry'!AP$4="Exponential",EXP(IF(AND(ISNUMBER('Council Entry'!AP$8),ISNUMBER('Council Entry'!AP$9)),MAX(MIN('Council Entry'!AP130,'Council Entry'!AP$9),'Council Entry'!AP$8),'Council Entry'!AP130)),IF(AND(ISNUMBER('Council Entry'!AP$8),ISNUMBER('Council Entry'!AP$9)),MAX(MIN('Council Entry'!AP130,'Council Entry'!AP$9),'Council Entry'!AP$8),'Council Entry'!AP130))))-'Council Entry'!AP$5)/('Council Entry'!AP$6-'Council Entry'!AP$5)),1))),"No data"))</f>
        <v/>
      </c>
      <c r="AQ130" s="13">
        <f>IF('Council Entry'!AQ130="","",IFERROR(MAX(0,MIN(10,ROUND(IF('Council Entry'!AQ$7="Decrease Risk",10-10*((IF('Council Entry'!AQ$4="Logarithm",LN(0.001+IF(AND(ISNUMBER('Council Entry'!AQ$8),ISNUMBER('Council Entry'!AQ$9)),MAX(MIN('Council Entry'!AQ130,'Council Entry'!AQ$9),'Council Entry'!AQ$8),'Council Entry'!AQ130)),IF('Council Entry'!AQ$4="Exponential",EXP(IF(AND(ISNUMBER('Council Entry'!AQ$8),ISNUMBER('Council Entry'!AQ$9)),MAX(MIN('Council Entry'!AQ130,'Council Entry'!AQ$9),'Council Entry'!AQ$8),'Council Entry'!AQ130)),IF(AND(ISNUMBER('Council Entry'!AQ$8),ISNUMBER('Council Entry'!AQ$9)),MAX(MIN('Council Entry'!AQ130,'Council Entry'!AQ$9),'Council Entry'!AQ$8),'Council Entry'!AQ130))))-'Council Entry'!AQ$5)/('Council Entry'!AQ$6-'Council Entry'!AQ$5),10*((IF('Council Entry'!AQ$4="Logarithm",LN(0.001+IF(AND(ISNUMBER('Council Entry'!AQ$8),ISNUMBER('Council Entry'!AQ$9)),MAX(MIN('Council Entry'!AQ130,'Council Entry'!AQ$9),'Council Entry'!AQ$8),'Council Entry'!AQ130)),IF('Council Entry'!AQ$4="Exponential",EXP(IF(AND(ISNUMBER('Council Entry'!AQ$8),ISNUMBER('Council Entry'!AQ$9)),MAX(MIN('Council Entry'!AQ130,'Council Entry'!AQ$9),'Council Entry'!AQ$8),'Council Entry'!AQ130)),IF(AND(ISNUMBER('Council Entry'!AQ$8),ISNUMBER('Council Entry'!AQ$9)),MAX(MIN('Council Entry'!AQ130,'Council Entry'!AQ$9),'Council Entry'!AQ$8),'Council Entry'!AQ130))))-'Council Entry'!AQ$5)/('Council Entry'!AQ$6-'Council Entry'!AQ$5)),1))),"No data"))</f>
        <v/>
      </c>
      <c r="AR130" s="13">
        <f>IF('Council Entry'!AR130="","",IFERROR(MAX(0,MIN(10,ROUND(IF('Council Entry'!AR$7="Decrease Risk",10-10*((IF('Council Entry'!AR$4="Logarithm",LN(0.001+IF(AND(ISNUMBER('Council Entry'!AR$8),ISNUMBER('Council Entry'!AR$9)),MAX(MIN('Council Entry'!AR130,'Council Entry'!AR$9),'Council Entry'!AR$8),'Council Entry'!AR130)),IF('Council Entry'!AR$4="Exponential",EXP(IF(AND(ISNUMBER('Council Entry'!AR$8),ISNUMBER('Council Entry'!AR$9)),MAX(MIN('Council Entry'!AR130,'Council Entry'!AR$9),'Council Entry'!AR$8),'Council Entry'!AR130)),IF(AND(ISNUMBER('Council Entry'!AR$8),ISNUMBER('Council Entry'!AR$9)),MAX(MIN('Council Entry'!AR130,'Council Entry'!AR$9),'Council Entry'!AR$8),'Council Entry'!AR130))))-'Council Entry'!AR$5)/('Council Entry'!AR$6-'Council Entry'!AR$5),10*((IF('Council Entry'!AR$4="Logarithm",LN(0.001+IF(AND(ISNUMBER('Council Entry'!AR$8),ISNUMBER('Council Entry'!AR$9)),MAX(MIN('Council Entry'!AR130,'Council Entry'!AR$9),'Council Entry'!AR$8),'Council Entry'!AR130)),IF('Council Entry'!AR$4="Exponential",EXP(IF(AND(ISNUMBER('Council Entry'!AR$8),ISNUMBER('Council Entry'!AR$9)),MAX(MIN('Council Entry'!AR130,'Council Entry'!AR$9),'Council Entry'!AR$8),'Council Entry'!AR130)),IF(AND(ISNUMBER('Council Entry'!AR$8),ISNUMBER('Council Entry'!AR$9)),MAX(MIN('Council Entry'!AR130,'Council Entry'!AR$9),'Council Entry'!AR$8),'Council Entry'!AR130))))-'Council Entry'!AR$5)/('Council Entry'!AR$6-'Council Entry'!AR$5)),1))),"No data"))</f>
        <v/>
      </c>
      <c r="AS130" s="13">
        <f>IF('Council Entry'!AS130="","",IFERROR(MAX(0,MIN(10,ROUND(IF('Council Entry'!AS$7="Decrease Risk",10-10*((IF('Council Entry'!AS$4="Logarithm",LN(0.001+IF(AND(ISNUMBER('Council Entry'!AS$8),ISNUMBER('Council Entry'!AS$9)),MAX(MIN('Council Entry'!AS130,'Council Entry'!AS$9),'Council Entry'!AS$8),'Council Entry'!AS130)),IF('Council Entry'!AS$4="Exponential",EXP(IF(AND(ISNUMBER('Council Entry'!AS$8),ISNUMBER('Council Entry'!AS$9)),MAX(MIN('Council Entry'!AS130,'Council Entry'!AS$9),'Council Entry'!AS$8),'Council Entry'!AS130)),IF(AND(ISNUMBER('Council Entry'!AS$8),ISNUMBER('Council Entry'!AS$9)),MAX(MIN('Council Entry'!AS130,'Council Entry'!AS$9),'Council Entry'!AS$8),'Council Entry'!AS130))))-'Council Entry'!AS$5)/('Council Entry'!AS$6-'Council Entry'!AS$5),10*((IF('Council Entry'!AS$4="Logarithm",LN(0.001+IF(AND(ISNUMBER('Council Entry'!AS$8),ISNUMBER('Council Entry'!AS$9)),MAX(MIN('Council Entry'!AS130,'Council Entry'!AS$9),'Council Entry'!AS$8),'Council Entry'!AS130)),IF('Council Entry'!AS$4="Exponential",EXP(IF(AND(ISNUMBER('Council Entry'!AS$8),ISNUMBER('Council Entry'!AS$9)),MAX(MIN('Council Entry'!AS130,'Council Entry'!AS$9),'Council Entry'!AS$8),'Council Entry'!AS130)),IF(AND(ISNUMBER('Council Entry'!AS$8),ISNUMBER('Council Entry'!AS$9)),MAX(MIN('Council Entry'!AS130,'Council Entry'!AS$9),'Council Entry'!AS$8),'Council Entry'!AS130))))-'Council Entry'!AS$5)/('Council Entry'!AS$6-'Council Entry'!AS$5)),1))),"No data"))</f>
        <v/>
      </c>
      <c r="AT130" s="13">
        <f>IF('Council Entry'!AT130="","",IFERROR(MAX(0,MIN(10,ROUND(IF('Council Entry'!AT$7="Decrease Risk",10-10*((IF('Council Entry'!AT$4="Logarithm",LN(0.001+IF(AND(ISNUMBER('Council Entry'!AT$8),ISNUMBER('Council Entry'!AT$9)),MAX(MIN('Council Entry'!AT130,'Council Entry'!AT$9),'Council Entry'!AT$8),'Council Entry'!AT130)),IF('Council Entry'!AT$4="Exponential",EXP(IF(AND(ISNUMBER('Council Entry'!AT$8),ISNUMBER('Council Entry'!AT$9)),MAX(MIN('Council Entry'!AT130,'Council Entry'!AT$9),'Council Entry'!AT$8),'Council Entry'!AT130)),IF(AND(ISNUMBER('Council Entry'!AT$8),ISNUMBER('Council Entry'!AT$9)),MAX(MIN('Council Entry'!AT130,'Council Entry'!AT$9),'Council Entry'!AT$8),'Council Entry'!AT130))))-'Council Entry'!AT$5)/('Council Entry'!AT$6-'Council Entry'!AT$5),10*((IF('Council Entry'!AT$4="Logarithm",LN(0.001+IF(AND(ISNUMBER('Council Entry'!AT$8),ISNUMBER('Council Entry'!AT$9)),MAX(MIN('Council Entry'!AT130,'Council Entry'!AT$9),'Council Entry'!AT$8),'Council Entry'!AT130)),IF('Council Entry'!AT$4="Exponential",EXP(IF(AND(ISNUMBER('Council Entry'!AT$8),ISNUMBER('Council Entry'!AT$9)),MAX(MIN('Council Entry'!AT130,'Council Entry'!AT$9),'Council Entry'!AT$8),'Council Entry'!AT130)),IF(AND(ISNUMBER('Council Entry'!AT$8),ISNUMBER('Council Entry'!AT$9)),MAX(MIN('Council Entry'!AT130,'Council Entry'!AT$9),'Council Entry'!AT$8),'Council Entry'!AT130))))-'Council Entry'!AT$5)/('Council Entry'!AT$6-'Council Entry'!AT$5)),1))),"No data"))</f>
        <v/>
      </c>
      <c r="AU130" s="13">
        <f>IF('Council Entry'!AU130="","",IFERROR(MAX(0,MIN(10,ROUND(IF('Council Entry'!AU$7="Decrease Risk",10-10*((IF('Council Entry'!AU$4="Logarithm",LN(0.001+IF(AND(ISNUMBER('Council Entry'!AU$8),ISNUMBER('Council Entry'!AU$9)),MAX(MIN('Council Entry'!AU130,'Council Entry'!AU$9),'Council Entry'!AU$8),'Council Entry'!AU130)),IF('Council Entry'!AU$4="Exponential",EXP(IF(AND(ISNUMBER('Council Entry'!AU$8),ISNUMBER('Council Entry'!AU$9)),MAX(MIN('Council Entry'!AU130,'Council Entry'!AU$9),'Council Entry'!AU$8),'Council Entry'!AU130)),IF(AND(ISNUMBER('Council Entry'!AU$8),ISNUMBER('Council Entry'!AU$9)),MAX(MIN('Council Entry'!AU130,'Council Entry'!AU$9),'Council Entry'!AU$8),'Council Entry'!AU130))))-'Council Entry'!AU$5)/('Council Entry'!AU$6-'Council Entry'!AU$5),10*((IF('Council Entry'!AU$4="Logarithm",LN(0.001+IF(AND(ISNUMBER('Council Entry'!AU$8),ISNUMBER('Council Entry'!AU$9)),MAX(MIN('Council Entry'!AU130,'Council Entry'!AU$9),'Council Entry'!AU$8),'Council Entry'!AU130)),IF('Council Entry'!AU$4="Exponential",EXP(IF(AND(ISNUMBER('Council Entry'!AU$8),ISNUMBER('Council Entry'!AU$9)),MAX(MIN('Council Entry'!AU130,'Council Entry'!AU$9),'Council Entry'!AU$8),'Council Entry'!AU130)),IF(AND(ISNUMBER('Council Entry'!AU$8),ISNUMBER('Council Entry'!AU$9)),MAX(MIN('Council Entry'!AU130,'Council Entry'!AU$9),'Council Entry'!AU$8),'Council Entry'!AU130))))-'Council Entry'!AU$5)/('Council Entry'!AU$6-'Council Entry'!AU$5)),1))),"No data"))</f>
        <v/>
      </c>
      <c r="AV130" s="13">
        <f>IF('Council Entry'!AV130="","",IFERROR(MAX(0,MIN(10,ROUND(IF('Council Entry'!AV$7="Decrease Risk",10-10*((IF('Council Entry'!AV$4="Logarithm",LN(0.001+IF(AND(ISNUMBER('Council Entry'!AV$8),ISNUMBER('Council Entry'!AV$9)),MAX(MIN('Council Entry'!AV130,'Council Entry'!AV$9),'Council Entry'!AV$8),'Council Entry'!AV130)),IF('Council Entry'!AV$4="Exponential",EXP(IF(AND(ISNUMBER('Council Entry'!AV$8),ISNUMBER('Council Entry'!AV$9)),MAX(MIN('Council Entry'!AV130,'Council Entry'!AV$9),'Council Entry'!AV$8),'Council Entry'!AV130)),IF(AND(ISNUMBER('Council Entry'!AV$8),ISNUMBER('Council Entry'!AV$9)),MAX(MIN('Council Entry'!AV130,'Council Entry'!AV$9),'Council Entry'!AV$8),'Council Entry'!AV130))))-'Council Entry'!AV$5)/('Council Entry'!AV$6-'Council Entry'!AV$5),10*((IF('Council Entry'!AV$4="Logarithm",LN(0.001+IF(AND(ISNUMBER('Council Entry'!AV$8),ISNUMBER('Council Entry'!AV$9)),MAX(MIN('Council Entry'!AV130,'Council Entry'!AV$9),'Council Entry'!AV$8),'Council Entry'!AV130)),IF('Council Entry'!AV$4="Exponential",EXP(IF(AND(ISNUMBER('Council Entry'!AV$8),ISNUMBER('Council Entry'!AV$9)),MAX(MIN('Council Entry'!AV130,'Council Entry'!AV$9),'Council Entry'!AV$8),'Council Entry'!AV130)),IF(AND(ISNUMBER('Council Entry'!AV$8),ISNUMBER('Council Entry'!AV$9)),MAX(MIN('Council Entry'!AV130,'Council Entry'!AV$9),'Council Entry'!AV$8),'Council Entry'!AV130))))-'Council Entry'!AV$5)/('Council Entry'!AV$6-'Council Entry'!AV$5)),1))),"No data"))</f>
        <v/>
      </c>
      <c r="AW130" s="13">
        <f>IF('Council Entry'!AW130="","",IFERROR(MAX(0,MIN(10,ROUND(IF('Council Entry'!AW$7="Decrease Risk",10-10*((IF('Council Entry'!AW$4="Logarithm",LN(0.001+IF(AND(ISNUMBER('Council Entry'!AW$8),ISNUMBER('Council Entry'!AW$9)),MAX(MIN('Council Entry'!AW130,'Council Entry'!AW$9),'Council Entry'!AW$8),'Council Entry'!AW130)),IF('Council Entry'!AW$4="Exponential",EXP(IF(AND(ISNUMBER('Council Entry'!AW$8),ISNUMBER('Council Entry'!AW$9)),MAX(MIN('Council Entry'!AW130,'Council Entry'!AW$9),'Council Entry'!AW$8),'Council Entry'!AW130)),IF(AND(ISNUMBER('Council Entry'!AW$8),ISNUMBER('Council Entry'!AW$9)),MAX(MIN('Council Entry'!AW130,'Council Entry'!AW$9),'Council Entry'!AW$8),'Council Entry'!AW130))))-'Council Entry'!AW$5)/('Council Entry'!AW$6-'Council Entry'!AW$5),10*((IF('Council Entry'!AW$4="Logarithm",LN(0.001+IF(AND(ISNUMBER('Council Entry'!AW$8),ISNUMBER('Council Entry'!AW$9)),MAX(MIN('Council Entry'!AW130,'Council Entry'!AW$9),'Council Entry'!AW$8),'Council Entry'!AW130)),IF('Council Entry'!AW$4="Exponential",EXP(IF(AND(ISNUMBER('Council Entry'!AW$8),ISNUMBER('Council Entry'!AW$9)),MAX(MIN('Council Entry'!AW130,'Council Entry'!AW$9),'Council Entry'!AW$8),'Council Entry'!AW130)),IF(AND(ISNUMBER('Council Entry'!AW$8),ISNUMBER('Council Entry'!AW$9)),MAX(MIN('Council Entry'!AW130,'Council Entry'!AW$9),'Council Entry'!AW$8),'Council Entry'!AW130))))-'Council Entry'!AW$5)/('Council Entry'!AW$6-'Council Entry'!AW$5)),1))),"No data"))</f>
        <v/>
      </c>
      <c r="AX130" s="13">
        <f>IF('Council Entry'!AX130="","",IFERROR(MAX(0,MIN(10,ROUND(IF('Council Entry'!AX$7="Decrease Risk",10-10*((IF('Council Entry'!AX$4="Logarithm",LN(0.001+IF(AND(ISNUMBER('Council Entry'!AX$8),ISNUMBER('Council Entry'!AX$9)),MAX(MIN('Council Entry'!AX130,'Council Entry'!AX$9),'Council Entry'!AX$8),'Council Entry'!AX130)),IF('Council Entry'!AX$4="Exponential",EXP(IF(AND(ISNUMBER('Council Entry'!AX$8),ISNUMBER('Council Entry'!AX$9)),MAX(MIN('Council Entry'!AX130,'Council Entry'!AX$9),'Council Entry'!AX$8),'Council Entry'!AX130)),IF(AND(ISNUMBER('Council Entry'!AX$8),ISNUMBER('Council Entry'!AX$9)),MAX(MIN('Council Entry'!AX130,'Council Entry'!AX$9),'Council Entry'!AX$8),'Council Entry'!AX130))))-'Council Entry'!AX$5)/('Council Entry'!AX$6-'Council Entry'!AX$5),10*((IF('Council Entry'!AX$4="Logarithm",LN(0.001+IF(AND(ISNUMBER('Council Entry'!AX$8),ISNUMBER('Council Entry'!AX$9)),MAX(MIN('Council Entry'!AX130,'Council Entry'!AX$9),'Council Entry'!AX$8),'Council Entry'!AX130)),IF('Council Entry'!AX$4="Exponential",EXP(IF(AND(ISNUMBER('Council Entry'!AX$8),ISNUMBER('Council Entry'!AX$9)),MAX(MIN('Council Entry'!AX130,'Council Entry'!AX$9),'Council Entry'!AX$8),'Council Entry'!AX130)),IF(AND(ISNUMBER('Council Entry'!AX$8),ISNUMBER('Council Entry'!AX$9)),MAX(MIN('Council Entry'!AX130,'Council Entry'!AX$9),'Council Entry'!AX$8),'Council Entry'!AX130))))-'Council Entry'!AX$5)/('Council Entry'!AX$6-'Council Entry'!AX$5)),1))),"No data"))</f>
        <v/>
      </c>
      <c r="AY130" s="13">
        <f>IF('Council Entry'!AY130="","",IFERROR(MAX(0,MIN(10,ROUND(IF('Council Entry'!AY$7="Decrease Risk",10-10*((IF('Council Entry'!AY$4="Logarithm",LN(0.001+IF(AND(ISNUMBER('Council Entry'!AY$8),ISNUMBER('Council Entry'!AY$9)),MAX(MIN('Council Entry'!AY130,'Council Entry'!AY$9),'Council Entry'!AY$8),'Council Entry'!AY130)),IF('Council Entry'!AY$4="Exponential",EXP(IF(AND(ISNUMBER('Council Entry'!AY$8),ISNUMBER('Council Entry'!AY$9)),MAX(MIN('Council Entry'!AY130,'Council Entry'!AY$9),'Council Entry'!AY$8),'Council Entry'!AY130)),IF(AND(ISNUMBER('Council Entry'!AY$8),ISNUMBER('Council Entry'!AY$9)),MAX(MIN('Council Entry'!AY130,'Council Entry'!AY$9),'Council Entry'!AY$8),'Council Entry'!AY130))))-'Council Entry'!AY$5)/('Council Entry'!AY$6-'Council Entry'!AY$5),10*((IF('Council Entry'!AY$4="Logarithm",LN(0.001+IF(AND(ISNUMBER('Council Entry'!AY$8),ISNUMBER('Council Entry'!AY$9)),MAX(MIN('Council Entry'!AY130,'Council Entry'!AY$9),'Council Entry'!AY$8),'Council Entry'!AY130)),IF('Council Entry'!AY$4="Exponential",EXP(IF(AND(ISNUMBER('Council Entry'!AY$8),ISNUMBER('Council Entry'!AY$9)),MAX(MIN('Council Entry'!AY130,'Council Entry'!AY$9),'Council Entry'!AY$8),'Council Entry'!AY130)),IF(AND(ISNUMBER('Council Entry'!AY$8),ISNUMBER('Council Entry'!AY$9)),MAX(MIN('Council Entry'!AY130,'Council Entry'!AY$9),'Council Entry'!AY$8),'Council Entry'!AY130))))-'Council Entry'!AY$5)/('Council Entry'!AY$6-'Council Entry'!AY$5)),1))),"No data"))</f>
        <v/>
      </c>
      <c r="AZ130" s="13">
        <f>IF('Council Entry'!AZ130="","",IFERROR(MAX(0,MIN(10,ROUND(IF('Council Entry'!AZ$7="Decrease Risk",10-10*((IF('Council Entry'!AZ$4="Logarithm",LN(0.001+IF(AND(ISNUMBER('Council Entry'!AZ$8),ISNUMBER('Council Entry'!AZ$9)),MAX(MIN('Council Entry'!AZ130,'Council Entry'!AZ$9),'Council Entry'!AZ$8),'Council Entry'!AZ130)),IF('Council Entry'!AZ$4="Exponential",EXP(IF(AND(ISNUMBER('Council Entry'!AZ$8),ISNUMBER('Council Entry'!AZ$9)),MAX(MIN('Council Entry'!AZ130,'Council Entry'!AZ$9),'Council Entry'!AZ$8),'Council Entry'!AZ130)),IF(AND(ISNUMBER('Council Entry'!AZ$8),ISNUMBER('Council Entry'!AZ$9)),MAX(MIN('Council Entry'!AZ130,'Council Entry'!AZ$9),'Council Entry'!AZ$8),'Council Entry'!AZ130))))-'Council Entry'!AZ$5)/('Council Entry'!AZ$6-'Council Entry'!AZ$5),10*((IF('Council Entry'!AZ$4="Logarithm",LN(0.001+IF(AND(ISNUMBER('Council Entry'!AZ$8),ISNUMBER('Council Entry'!AZ$9)),MAX(MIN('Council Entry'!AZ130,'Council Entry'!AZ$9),'Council Entry'!AZ$8),'Council Entry'!AZ130)),IF('Council Entry'!AZ$4="Exponential",EXP(IF(AND(ISNUMBER('Council Entry'!AZ$8),ISNUMBER('Council Entry'!AZ$9)),MAX(MIN('Council Entry'!AZ130,'Council Entry'!AZ$9),'Council Entry'!AZ$8),'Council Entry'!AZ130)),IF(AND(ISNUMBER('Council Entry'!AZ$8),ISNUMBER('Council Entry'!AZ$9)),MAX(MIN('Council Entry'!AZ130,'Council Entry'!AZ$9),'Council Entry'!AZ$8),'Council Entry'!AZ130))))-'Council Entry'!AZ$5)/('Council Entry'!AZ$6-'Council Entry'!AZ$5)),1))),"No data"))</f>
        <v/>
      </c>
      <c r="BA130" s="13">
        <f>IF('Council Entry'!BA130="","",IFERROR(MAX(0,MIN(10,ROUND(IF('Council Entry'!BA$7="Decrease Risk",10-10*((IF('Council Entry'!BA$4="Logarithm",LN(0.001+IF(AND(ISNUMBER('Council Entry'!BA$8),ISNUMBER('Council Entry'!BA$9)),MAX(MIN('Council Entry'!BA130,'Council Entry'!BA$9),'Council Entry'!BA$8),'Council Entry'!BA130)),IF('Council Entry'!BA$4="Exponential",EXP(IF(AND(ISNUMBER('Council Entry'!BA$8),ISNUMBER('Council Entry'!BA$9)),MAX(MIN('Council Entry'!BA130,'Council Entry'!BA$9),'Council Entry'!BA$8),'Council Entry'!BA130)),IF(AND(ISNUMBER('Council Entry'!BA$8),ISNUMBER('Council Entry'!BA$9)),MAX(MIN('Council Entry'!BA130,'Council Entry'!BA$9),'Council Entry'!BA$8),'Council Entry'!BA130))))-'Council Entry'!BA$5)/('Council Entry'!BA$6-'Council Entry'!BA$5),10*((IF('Council Entry'!BA$4="Logarithm",LN(0.001+IF(AND(ISNUMBER('Council Entry'!BA$8),ISNUMBER('Council Entry'!BA$9)),MAX(MIN('Council Entry'!BA130,'Council Entry'!BA$9),'Council Entry'!BA$8),'Council Entry'!BA130)),IF('Council Entry'!BA$4="Exponential",EXP(IF(AND(ISNUMBER('Council Entry'!BA$8),ISNUMBER('Council Entry'!BA$9)),MAX(MIN('Council Entry'!BA130,'Council Entry'!BA$9),'Council Entry'!BA$8),'Council Entry'!BA130)),IF(AND(ISNUMBER('Council Entry'!BA$8),ISNUMBER('Council Entry'!BA$9)),MAX(MIN('Council Entry'!BA130,'Council Entry'!BA$9),'Council Entry'!BA$8),'Council Entry'!BA130))))-'Council Entry'!BA$5)/('Council Entry'!BA$6-'Council Entry'!BA$5)),1))),"No data"))</f>
        <v/>
      </c>
      <c r="BB130" s="13">
        <f>IF('Council Entry'!BB130="","",IFERROR(MAX(0,MIN(10,ROUND(IF('Council Entry'!BB$7="Decrease Risk",10-10*((IF('Council Entry'!BB$4="Logarithm",LN(0.001+IF(AND(ISNUMBER('Council Entry'!BB$8),ISNUMBER('Council Entry'!BB$9)),MAX(MIN('Council Entry'!BB130,'Council Entry'!BB$9),'Council Entry'!BB$8),'Council Entry'!BB130)),IF('Council Entry'!BB$4="Exponential",EXP(IF(AND(ISNUMBER('Council Entry'!BB$8),ISNUMBER('Council Entry'!BB$9)),MAX(MIN('Council Entry'!BB130,'Council Entry'!BB$9),'Council Entry'!BB$8),'Council Entry'!BB130)),IF(AND(ISNUMBER('Council Entry'!BB$8),ISNUMBER('Council Entry'!BB$9)),MAX(MIN('Council Entry'!BB130,'Council Entry'!BB$9),'Council Entry'!BB$8),'Council Entry'!BB130))))-'Council Entry'!BB$5)/('Council Entry'!BB$6-'Council Entry'!BB$5),10*((IF('Council Entry'!BB$4="Logarithm",LN(0.001+IF(AND(ISNUMBER('Council Entry'!BB$8),ISNUMBER('Council Entry'!BB$9)),MAX(MIN('Council Entry'!BB130,'Council Entry'!BB$9),'Council Entry'!BB$8),'Council Entry'!BB130)),IF('Council Entry'!BB$4="Exponential",EXP(IF(AND(ISNUMBER('Council Entry'!BB$8),ISNUMBER('Council Entry'!BB$9)),MAX(MIN('Council Entry'!BB130,'Council Entry'!BB$9),'Council Entry'!BB$8),'Council Entry'!BB130)),IF(AND(ISNUMBER('Council Entry'!BB$8),ISNUMBER('Council Entry'!BB$9)),MAX(MIN('Council Entry'!BB130,'Council Entry'!BB$9),'Council Entry'!BB$8),'Council Entry'!BB130))))-'Council Entry'!BB$5)/('Council Entry'!BB$6-'Council Entry'!BB$5)),1))),"No data"))</f>
        <v/>
      </c>
      <c r="BC130" s="13">
        <f>IF('Council Entry'!BC130="","",IFERROR(MAX(0,MIN(10,ROUND(IF('Council Entry'!BC$7="Decrease Risk",10-10*((IF('Council Entry'!BC$4="Logarithm",LN(0.001+IF(AND(ISNUMBER('Council Entry'!BC$8),ISNUMBER('Council Entry'!BC$9)),MAX(MIN('Council Entry'!BC130,'Council Entry'!BC$9),'Council Entry'!BC$8),'Council Entry'!BC130)),IF('Council Entry'!BC$4="Exponential",EXP(IF(AND(ISNUMBER('Council Entry'!BC$8),ISNUMBER('Council Entry'!BC$9)),MAX(MIN('Council Entry'!BC130,'Council Entry'!BC$9),'Council Entry'!BC$8),'Council Entry'!BC130)),IF(AND(ISNUMBER('Council Entry'!BC$8),ISNUMBER('Council Entry'!BC$9)),MAX(MIN('Council Entry'!BC130,'Council Entry'!BC$9),'Council Entry'!BC$8),'Council Entry'!BC130))))-'Council Entry'!BC$5)/('Council Entry'!BC$6-'Council Entry'!BC$5),10*((IF('Council Entry'!BC$4="Logarithm",LN(0.001+IF(AND(ISNUMBER('Council Entry'!BC$8),ISNUMBER('Council Entry'!BC$9)),MAX(MIN('Council Entry'!BC130,'Council Entry'!BC$9),'Council Entry'!BC$8),'Council Entry'!BC130)),IF('Council Entry'!BC$4="Exponential",EXP(IF(AND(ISNUMBER('Council Entry'!BC$8),ISNUMBER('Council Entry'!BC$9)),MAX(MIN('Council Entry'!BC130,'Council Entry'!BC$9),'Council Entry'!BC$8),'Council Entry'!BC130)),IF(AND(ISNUMBER('Council Entry'!BC$8),ISNUMBER('Council Entry'!BC$9)),MAX(MIN('Council Entry'!BC130,'Council Entry'!BC$9),'Council Entry'!BC$8),'Council Entry'!BC130))))-'Council Entry'!BC$5)/('Council Entry'!BC$6-'Council Entry'!BC$5)),1))),"No data"))</f>
        <v/>
      </c>
      <c r="BD130" s="13">
        <f>IF('Council Entry'!BD130="","",IFERROR(MAX(0,MIN(10,ROUND(IF('Council Entry'!BD$7="Decrease Risk",10-10*((IF('Council Entry'!BD$4="Logarithm",LN(0.001+IF(AND(ISNUMBER('Council Entry'!BD$8),ISNUMBER('Council Entry'!BD$9)),MAX(MIN('Council Entry'!BD130,'Council Entry'!BD$9),'Council Entry'!BD$8),'Council Entry'!BD130)),IF('Council Entry'!BD$4="Exponential",EXP(IF(AND(ISNUMBER('Council Entry'!BD$8),ISNUMBER('Council Entry'!BD$9)),MAX(MIN('Council Entry'!BD130,'Council Entry'!BD$9),'Council Entry'!BD$8),'Council Entry'!BD130)),IF(AND(ISNUMBER('Council Entry'!BD$8),ISNUMBER('Council Entry'!BD$9)),MAX(MIN('Council Entry'!BD130,'Council Entry'!BD$9),'Council Entry'!BD$8),'Council Entry'!BD130))))-'Council Entry'!BD$5)/('Council Entry'!BD$6-'Council Entry'!BD$5),10*((IF('Council Entry'!BD$4="Logarithm",LN(0.001+IF(AND(ISNUMBER('Council Entry'!BD$8),ISNUMBER('Council Entry'!BD$9)),MAX(MIN('Council Entry'!BD130,'Council Entry'!BD$9),'Council Entry'!BD$8),'Council Entry'!BD130)),IF('Council Entry'!BD$4="Exponential",EXP(IF(AND(ISNUMBER('Council Entry'!BD$8),ISNUMBER('Council Entry'!BD$9)),MAX(MIN('Council Entry'!BD130,'Council Entry'!BD$9),'Council Entry'!BD$8),'Council Entry'!BD130)),IF(AND(ISNUMBER('Council Entry'!BD$8),ISNUMBER('Council Entry'!BD$9)),MAX(MIN('Council Entry'!BD130,'Council Entry'!BD$9),'Council Entry'!BD$8),'Council Entry'!BD130))))-'Council Entry'!BD$5)/('Council Entry'!BD$6-'Council Entry'!BD$5)),1))),"No data"))</f>
        <v/>
      </c>
    </row>
    <row r="131">
      <c r="A131" t="inlineStr">
        <is>
          <t>Mwanza</t>
        </is>
      </c>
      <c r="B131" t="inlineStr">
        <is>
          <t>Magu District</t>
        </is>
      </c>
      <c r="C131" t="inlineStr">
        <is>
          <t>C134</t>
        </is>
      </c>
      <c r="D131" s="13">
        <f>IF('Council Entry'!D131="","",IFERROR(MAX(0,MIN(10,ROUND(IF('Council Entry'!D$7="Decrease Risk",10-10*((IF('Council Entry'!D$4="Logarithm",LN(0.001+IF(AND(ISNUMBER('Council Entry'!D$8),ISNUMBER('Council Entry'!D$9)),MAX(MIN('Council Entry'!D131,'Council Entry'!D$9),'Council Entry'!D$8),'Council Entry'!D131)),IF('Council Entry'!D$4="Exponential",EXP(IF(AND(ISNUMBER('Council Entry'!D$8),ISNUMBER('Council Entry'!D$9)),MAX(MIN('Council Entry'!D131,'Council Entry'!D$9),'Council Entry'!D$8),'Council Entry'!D131)),IF(AND(ISNUMBER('Council Entry'!D$8),ISNUMBER('Council Entry'!D$9)),MAX(MIN('Council Entry'!D131,'Council Entry'!D$9),'Council Entry'!D$8),'Council Entry'!D131))))-'Council Entry'!D$5)/('Council Entry'!D$6-'Council Entry'!D$5),10*((IF('Council Entry'!D$4="Logarithm",LN(0.001+IF(AND(ISNUMBER('Council Entry'!D$8),ISNUMBER('Council Entry'!D$9)),MAX(MIN('Council Entry'!D131,'Council Entry'!D$9),'Council Entry'!D$8),'Council Entry'!D131)),IF('Council Entry'!D$4="Exponential",EXP(IF(AND(ISNUMBER('Council Entry'!D$8),ISNUMBER('Council Entry'!D$9)),MAX(MIN('Council Entry'!D131,'Council Entry'!D$9),'Council Entry'!D$8),'Council Entry'!D131)),IF(AND(ISNUMBER('Council Entry'!D$8),ISNUMBER('Council Entry'!D$9)),MAX(MIN('Council Entry'!D131,'Council Entry'!D$9),'Council Entry'!D$8),'Council Entry'!D131))))-'Council Entry'!D$5)/('Council Entry'!D$6-'Council Entry'!D$5)),1))),"No data"))</f>
        <v/>
      </c>
      <c r="E131" s="13">
        <f>IF('Council Entry'!E131="","",IFERROR(MAX(0,MIN(10,ROUND(IF('Council Entry'!E$7="Decrease Risk",10-10*((IF('Council Entry'!E$4="Logarithm",LN(0.001+IF(AND(ISNUMBER('Council Entry'!E$8),ISNUMBER('Council Entry'!E$9)),MAX(MIN('Council Entry'!E131,'Council Entry'!E$9),'Council Entry'!E$8),'Council Entry'!E131)),IF('Council Entry'!E$4="Exponential",EXP(IF(AND(ISNUMBER('Council Entry'!E$8),ISNUMBER('Council Entry'!E$9)),MAX(MIN('Council Entry'!E131,'Council Entry'!E$9),'Council Entry'!E$8),'Council Entry'!E131)),IF(AND(ISNUMBER('Council Entry'!E$8),ISNUMBER('Council Entry'!E$9)),MAX(MIN('Council Entry'!E131,'Council Entry'!E$9),'Council Entry'!E$8),'Council Entry'!E131))))-'Council Entry'!E$5)/('Council Entry'!E$6-'Council Entry'!E$5),10*((IF('Council Entry'!E$4="Logarithm",LN(0.001+IF(AND(ISNUMBER('Council Entry'!E$8),ISNUMBER('Council Entry'!E$9)),MAX(MIN('Council Entry'!E131,'Council Entry'!E$9),'Council Entry'!E$8),'Council Entry'!E131)),IF('Council Entry'!E$4="Exponential",EXP(IF(AND(ISNUMBER('Council Entry'!E$8),ISNUMBER('Council Entry'!E$9)),MAX(MIN('Council Entry'!E131,'Council Entry'!E$9),'Council Entry'!E$8),'Council Entry'!E131)),IF(AND(ISNUMBER('Council Entry'!E$8),ISNUMBER('Council Entry'!E$9)),MAX(MIN('Council Entry'!E131,'Council Entry'!E$9),'Council Entry'!E$8),'Council Entry'!E131))))-'Council Entry'!E$5)/('Council Entry'!E$6-'Council Entry'!E$5)),1))),"No data"))</f>
        <v/>
      </c>
      <c r="F131" s="13">
        <f>IF('Council Entry'!F131="","",IFERROR(MAX(0,MIN(10,ROUND(IF('Council Entry'!F$7="Decrease Risk",10-10*((IF('Council Entry'!F$4="Logarithm",LN(0.001+IF(AND(ISNUMBER('Council Entry'!F$8),ISNUMBER('Council Entry'!F$9)),MAX(MIN('Council Entry'!F131,'Council Entry'!F$9),'Council Entry'!F$8),'Council Entry'!F131)),IF('Council Entry'!F$4="Exponential",EXP(IF(AND(ISNUMBER('Council Entry'!F$8),ISNUMBER('Council Entry'!F$9)),MAX(MIN('Council Entry'!F131,'Council Entry'!F$9),'Council Entry'!F$8),'Council Entry'!F131)),IF(AND(ISNUMBER('Council Entry'!F$8),ISNUMBER('Council Entry'!F$9)),MAX(MIN('Council Entry'!F131,'Council Entry'!F$9),'Council Entry'!F$8),'Council Entry'!F131))))-'Council Entry'!F$5)/('Council Entry'!F$6-'Council Entry'!F$5),10*((IF('Council Entry'!F$4="Logarithm",LN(0.001+IF(AND(ISNUMBER('Council Entry'!F$8),ISNUMBER('Council Entry'!F$9)),MAX(MIN('Council Entry'!F131,'Council Entry'!F$9),'Council Entry'!F$8),'Council Entry'!F131)),IF('Council Entry'!F$4="Exponential",EXP(IF(AND(ISNUMBER('Council Entry'!F$8),ISNUMBER('Council Entry'!F$9)),MAX(MIN('Council Entry'!F131,'Council Entry'!F$9),'Council Entry'!F$8),'Council Entry'!F131)),IF(AND(ISNUMBER('Council Entry'!F$8),ISNUMBER('Council Entry'!F$9)),MAX(MIN('Council Entry'!F131,'Council Entry'!F$9),'Council Entry'!F$8),'Council Entry'!F131))))-'Council Entry'!F$5)/('Council Entry'!F$6-'Council Entry'!F$5)),1))),"No data"))</f>
        <v/>
      </c>
      <c r="G131" s="13">
        <f>IF('Council Entry'!G131="","",IFERROR(MAX(0,MIN(10,ROUND(IF('Council Entry'!G$7="Decrease Risk",10-10*((IF('Council Entry'!G$4="Logarithm",LN(0.001+IF(AND(ISNUMBER('Council Entry'!G$8),ISNUMBER('Council Entry'!G$9)),MAX(MIN('Council Entry'!G131,'Council Entry'!G$9),'Council Entry'!G$8),'Council Entry'!G131)),IF('Council Entry'!G$4="Exponential",EXP(IF(AND(ISNUMBER('Council Entry'!G$8),ISNUMBER('Council Entry'!G$9)),MAX(MIN('Council Entry'!G131,'Council Entry'!G$9),'Council Entry'!G$8),'Council Entry'!G131)),IF(AND(ISNUMBER('Council Entry'!G$8),ISNUMBER('Council Entry'!G$9)),MAX(MIN('Council Entry'!G131,'Council Entry'!G$9),'Council Entry'!G$8),'Council Entry'!G131))))-'Council Entry'!G$5)/('Council Entry'!G$6-'Council Entry'!G$5),10*((IF('Council Entry'!G$4="Logarithm",LN(0.001+IF(AND(ISNUMBER('Council Entry'!G$8),ISNUMBER('Council Entry'!G$9)),MAX(MIN('Council Entry'!G131,'Council Entry'!G$9),'Council Entry'!G$8),'Council Entry'!G131)),IF('Council Entry'!G$4="Exponential",EXP(IF(AND(ISNUMBER('Council Entry'!G$8),ISNUMBER('Council Entry'!G$9)),MAX(MIN('Council Entry'!G131,'Council Entry'!G$9),'Council Entry'!G$8),'Council Entry'!G131)),IF(AND(ISNUMBER('Council Entry'!G$8),ISNUMBER('Council Entry'!G$9)),MAX(MIN('Council Entry'!G131,'Council Entry'!G$9),'Council Entry'!G$8),'Council Entry'!G131))))-'Council Entry'!G$5)/('Council Entry'!G$6-'Council Entry'!G$5)),1))),"No data"))</f>
        <v/>
      </c>
      <c r="H131" s="13">
        <f>IF('Council Entry'!H131="","",IFERROR(MAX(0,MIN(10,ROUND(IF('Council Entry'!H$7="Decrease Risk",10-10*((IF('Council Entry'!H$4="Logarithm",LN(0.001+IF(AND(ISNUMBER('Council Entry'!H$8),ISNUMBER('Council Entry'!H$9)),MAX(MIN('Council Entry'!H131,'Council Entry'!H$9),'Council Entry'!H$8),'Council Entry'!H131)),IF('Council Entry'!H$4="Exponential",EXP(IF(AND(ISNUMBER('Council Entry'!H$8),ISNUMBER('Council Entry'!H$9)),MAX(MIN('Council Entry'!H131,'Council Entry'!H$9),'Council Entry'!H$8),'Council Entry'!H131)),IF(AND(ISNUMBER('Council Entry'!H$8),ISNUMBER('Council Entry'!H$9)),MAX(MIN('Council Entry'!H131,'Council Entry'!H$9),'Council Entry'!H$8),'Council Entry'!H131))))-'Council Entry'!H$5)/('Council Entry'!H$6-'Council Entry'!H$5),10*((IF('Council Entry'!H$4="Logarithm",LN(0.001+IF(AND(ISNUMBER('Council Entry'!H$8),ISNUMBER('Council Entry'!H$9)),MAX(MIN('Council Entry'!H131,'Council Entry'!H$9),'Council Entry'!H$8),'Council Entry'!H131)),IF('Council Entry'!H$4="Exponential",EXP(IF(AND(ISNUMBER('Council Entry'!H$8),ISNUMBER('Council Entry'!H$9)),MAX(MIN('Council Entry'!H131,'Council Entry'!H$9),'Council Entry'!H$8),'Council Entry'!H131)),IF(AND(ISNUMBER('Council Entry'!H$8),ISNUMBER('Council Entry'!H$9)),MAX(MIN('Council Entry'!H131,'Council Entry'!H$9),'Council Entry'!H$8),'Council Entry'!H131))))-'Council Entry'!H$5)/('Council Entry'!H$6-'Council Entry'!H$5)),1))),"No data"))</f>
        <v/>
      </c>
      <c r="I131" s="13">
        <f>IF('Council Entry'!I131="","",IFERROR(MAX(0,MIN(10,ROUND(IF('Council Entry'!I$7="Decrease Risk",10-10*((IF('Council Entry'!I$4="Logarithm",LN(0.001+IF(AND(ISNUMBER('Council Entry'!I$8),ISNUMBER('Council Entry'!I$9)),MAX(MIN('Council Entry'!I131,'Council Entry'!I$9),'Council Entry'!I$8),'Council Entry'!I131)),IF('Council Entry'!I$4="Exponential",EXP(IF(AND(ISNUMBER('Council Entry'!I$8),ISNUMBER('Council Entry'!I$9)),MAX(MIN('Council Entry'!I131,'Council Entry'!I$9),'Council Entry'!I$8),'Council Entry'!I131)),IF(AND(ISNUMBER('Council Entry'!I$8),ISNUMBER('Council Entry'!I$9)),MAX(MIN('Council Entry'!I131,'Council Entry'!I$9),'Council Entry'!I$8),'Council Entry'!I131))))-'Council Entry'!I$5)/('Council Entry'!I$6-'Council Entry'!I$5),10*((IF('Council Entry'!I$4="Logarithm",LN(0.001+IF(AND(ISNUMBER('Council Entry'!I$8),ISNUMBER('Council Entry'!I$9)),MAX(MIN('Council Entry'!I131,'Council Entry'!I$9),'Council Entry'!I$8),'Council Entry'!I131)),IF('Council Entry'!I$4="Exponential",EXP(IF(AND(ISNUMBER('Council Entry'!I$8),ISNUMBER('Council Entry'!I$9)),MAX(MIN('Council Entry'!I131,'Council Entry'!I$9),'Council Entry'!I$8),'Council Entry'!I131)),IF(AND(ISNUMBER('Council Entry'!I$8),ISNUMBER('Council Entry'!I$9)),MAX(MIN('Council Entry'!I131,'Council Entry'!I$9),'Council Entry'!I$8),'Council Entry'!I131))))-'Council Entry'!I$5)/('Council Entry'!I$6-'Council Entry'!I$5)),1))),"No data"))</f>
        <v/>
      </c>
      <c r="J131" s="13">
        <f>IF('Council Entry'!J131="","",IFERROR(MAX(0,MIN(10,ROUND(IF('Council Entry'!J$7="Decrease Risk",10-10*((IF('Council Entry'!J$4="Logarithm",LN(0.001+IF(AND(ISNUMBER('Council Entry'!J$8),ISNUMBER('Council Entry'!J$9)),MAX(MIN('Council Entry'!J131,'Council Entry'!J$9),'Council Entry'!J$8),'Council Entry'!J131)),IF('Council Entry'!J$4="Exponential",EXP(IF(AND(ISNUMBER('Council Entry'!J$8),ISNUMBER('Council Entry'!J$9)),MAX(MIN('Council Entry'!J131,'Council Entry'!J$9),'Council Entry'!J$8),'Council Entry'!J131)),IF(AND(ISNUMBER('Council Entry'!J$8),ISNUMBER('Council Entry'!J$9)),MAX(MIN('Council Entry'!J131,'Council Entry'!J$9),'Council Entry'!J$8),'Council Entry'!J131))))-'Council Entry'!J$5)/('Council Entry'!J$6-'Council Entry'!J$5),10*((IF('Council Entry'!J$4="Logarithm",LN(0.001+IF(AND(ISNUMBER('Council Entry'!J$8),ISNUMBER('Council Entry'!J$9)),MAX(MIN('Council Entry'!J131,'Council Entry'!J$9),'Council Entry'!J$8),'Council Entry'!J131)),IF('Council Entry'!J$4="Exponential",EXP(IF(AND(ISNUMBER('Council Entry'!J$8),ISNUMBER('Council Entry'!J$9)),MAX(MIN('Council Entry'!J131,'Council Entry'!J$9),'Council Entry'!J$8),'Council Entry'!J131)),IF(AND(ISNUMBER('Council Entry'!J$8),ISNUMBER('Council Entry'!J$9)),MAX(MIN('Council Entry'!J131,'Council Entry'!J$9),'Council Entry'!J$8),'Council Entry'!J131))))-'Council Entry'!J$5)/('Council Entry'!J$6-'Council Entry'!J$5)),1))),"No data"))</f>
        <v/>
      </c>
      <c r="K131" s="13">
        <f>IF('Council Entry'!K131="","",IFERROR(MAX(0,MIN(10,ROUND(IF('Council Entry'!K$7="Decrease Risk",10-10*((IF('Council Entry'!K$4="Logarithm",LN(0.001+IF(AND(ISNUMBER('Council Entry'!K$8),ISNUMBER('Council Entry'!K$9)),MAX(MIN('Council Entry'!K131,'Council Entry'!K$9),'Council Entry'!K$8),'Council Entry'!K131)),IF('Council Entry'!K$4="Exponential",EXP(IF(AND(ISNUMBER('Council Entry'!K$8),ISNUMBER('Council Entry'!K$9)),MAX(MIN('Council Entry'!K131,'Council Entry'!K$9),'Council Entry'!K$8),'Council Entry'!K131)),IF(AND(ISNUMBER('Council Entry'!K$8),ISNUMBER('Council Entry'!K$9)),MAX(MIN('Council Entry'!K131,'Council Entry'!K$9),'Council Entry'!K$8),'Council Entry'!K131))))-'Council Entry'!K$5)/('Council Entry'!K$6-'Council Entry'!K$5),10*((IF('Council Entry'!K$4="Logarithm",LN(0.001+IF(AND(ISNUMBER('Council Entry'!K$8),ISNUMBER('Council Entry'!K$9)),MAX(MIN('Council Entry'!K131,'Council Entry'!K$9),'Council Entry'!K$8),'Council Entry'!K131)),IF('Council Entry'!K$4="Exponential",EXP(IF(AND(ISNUMBER('Council Entry'!K$8),ISNUMBER('Council Entry'!K$9)),MAX(MIN('Council Entry'!K131,'Council Entry'!K$9),'Council Entry'!K$8),'Council Entry'!K131)),IF(AND(ISNUMBER('Council Entry'!K$8),ISNUMBER('Council Entry'!K$9)),MAX(MIN('Council Entry'!K131,'Council Entry'!K$9),'Council Entry'!K$8),'Council Entry'!K131))))-'Council Entry'!K$5)/('Council Entry'!K$6-'Council Entry'!K$5)),1))),"No data"))</f>
        <v/>
      </c>
      <c r="L131" s="13">
        <f>IF('Council Entry'!L131="","",IFERROR(MAX(0,MIN(10,ROUND(IF('Council Entry'!L$7="Decrease Risk",10-10*((IF('Council Entry'!L$4="Logarithm",LN(0.001+IF(AND(ISNUMBER('Council Entry'!L$8),ISNUMBER('Council Entry'!L$9)),MAX(MIN('Council Entry'!L131,'Council Entry'!L$9),'Council Entry'!L$8),'Council Entry'!L131)),IF('Council Entry'!L$4="Exponential",EXP(IF(AND(ISNUMBER('Council Entry'!L$8),ISNUMBER('Council Entry'!L$9)),MAX(MIN('Council Entry'!L131,'Council Entry'!L$9),'Council Entry'!L$8),'Council Entry'!L131)),IF(AND(ISNUMBER('Council Entry'!L$8),ISNUMBER('Council Entry'!L$9)),MAX(MIN('Council Entry'!L131,'Council Entry'!L$9),'Council Entry'!L$8),'Council Entry'!L131))))-'Council Entry'!L$5)/('Council Entry'!L$6-'Council Entry'!L$5),10*((IF('Council Entry'!L$4="Logarithm",LN(0.001+IF(AND(ISNUMBER('Council Entry'!L$8),ISNUMBER('Council Entry'!L$9)),MAX(MIN('Council Entry'!L131,'Council Entry'!L$9),'Council Entry'!L$8),'Council Entry'!L131)),IF('Council Entry'!L$4="Exponential",EXP(IF(AND(ISNUMBER('Council Entry'!L$8),ISNUMBER('Council Entry'!L$9)),MAX(MIN('Council Entry'!L131,'Council Entry'!L$9),'Council Entry'!L$8),'Council Entry'!L131)),IF(AND(ISNUMBER('Council Entry'!L$8),ISNUMBER('Council Entry'!L$9)),MAX(MIN('Council Entry'!L131,'Council Entry'!L$9),'Council Entry'!L$8),'Council Entry'!L131))))-'Council Entry'!L$5)/('Council Entry'!L$6-'Council Entry'!L$5)),1))),"No data"))</f>
        <v/>
      </c>
      <c r="M131" s="13">
        <f>IF('Council Entry'!M131="","",IFERROR(MAX(0,MIN(10,ROUND(IF('Council Entry'!M$7="Decrease Risk",10-10*((IF('Council Entry'!M$4="Logarithm",LN(0.001+IF(AND(ISNUMBER('Council Entry'!M$8),ISNUMBER('Council Entry'!M$9)),MAX(MIN('Council Entry'!M131,'Council Entry'!M$9),'Council Entry'!M$8),'Council Entry'!M131)),IF('Council Entry'!M$4="Exponential",EXP(IF(AND(ISNUMBER('Council Entry'!M$8),ISNUMBER('Council Entry'!M$9)),MAX(MIN('Council Entry'!M131,'Council Entry'!M$9),'Council Entry'!M$8),'Council Entry'!M131)),IF(AND(ISNUMBER('Council Entry'!M$8),ISNUMBER('Council Entry'!M$9)),MAX(MIN('Council Entry'!M131,'Council Entry'!M$9),'Council Entry'!M$8),'Council Entry'!M131))))-'Council Entry'!M$5)/('Council Entry'!M$6-'Council Entry'!M$5),10*((IF('Council Entry'!M$4="Logarithm",LN(0.001+IF(AND(ISNUMBER('Council Entry'!M$8),ISNUMBER('Council Entry'!M$9)),MAX(MIN('Council Entry'!M131,'Council Entry'!M$9),'Council Entry'!M$8),'Council Entry'!M131)),IF('Council Entry'!M$4="Exponential",EXP(IF(AND(ISNUMBER('Council Entry'!M$8),ISNUMBER('Council Entry'!M$9)),MAX(MIN('Council Entry'!M131,'Council Entry'!M$9),'Council Entry'!M$8),'Council Entry'!M131)),IF(AND(ISNUMBER('Council Entry'!M$8),ISNUMBER('Council Entry'!M$9)),MAX(MIN('Council Entry'!M131,'Council Entry'!M$9),'Council Entry'!M$8),'Council Entry'!M131))))-'Council Entry'!M$5)/('Council Entry'!M$6-'Council Entry'!M$5)),1))),"No data"))</f>
        <v/>
      </c>
      <c r="N131" s="13">
        <f>IF('Council Entry'!N131="","",IFERROR(MAX(0,MIN(10,ROUND(IF('Council Entry'!N$7="Decrease Risk",10-10*((IF('Council Entry'!N$4="Logarithm",LN(0.001+IF(AND(ISNUMBER('Council Entry'!N$8),ISNUMBER('Council Entry'!N$9)),MAX(MIN('Council Entry'!N131,'Council Entry'!N$9),'Council Entry'!N$8),'Council Entry'!N131)),IF('Council Entry'!N$4="Exponential",EXP(IF(AND(ISNUMBER('Council Entry'!N$8),ISNUMBER('Council Entry'!N$9)),MAX(MIN('Council Entry'!N131,'Council Entry'!N$9),'Council Entry'!N$8),'Council Entry'!N131)),IF(AND(ISNUMBER('Council Entry'!N$8),ISNUMBER('Council Entry'!N$9)),MAX(MIN('Council Entry'!N131,'Council Entry'!N$9),'Council Entry'!N$8),'Council Entry'!N131))))-'Council Entry'!N$5)/('Council Entry'!N$6-'Council Entry'!N$5),10*((IF('Council Entry'!N$4="Logarithm",LN(0.001+IF(AND(ISNUMBER('Council Entry'!N$8),ISNUMBER('Council Entry'!N$9)),MAX(MIN('Council Entry'!N131,'Council Entry'!N$9),'Council Entry'!N$8),'Council Entry'!N131)),IF('Council Entry'!N$4="Exponential",EXP(IF(AND(ISNUMBER('Council Entry'!N$8),ISNUMBER('Council Entry'!N$9)),MAX(MIN('Council Entry'!N131,'Council Entry'!N$9),'Council Entry'!N$8),'Council Entry'!N131)),IF(AND(ISNUMBER('Council Entry'!N$8),ISNUMBER('Council Entry'!N$9)),MAX(MIN('Council Entry'!N131,'Council Entry'!N$9),'Council Entry'!N$8),'Council Entry'!N131))))-'Council Entry'!N$5)/('Council Entry'!N$6-'Council Entry'!N$5)),1))),"No data"))</f>
        <v/>
      </c>
      <c r="O131" s="13">
        <f>IF('Council Entry'!O131="","",IFERROR(MAX(0,MIN(10,ROUND(IF('Council Entry'!O$7="Decrease Risk",10-10*((IF('Council Entry'!O$4="Logarithm",LN(0.001+IF(AND(ISNUMBER('Council Entry'!O$8),ISNUMBER('Council Entry'!O$9)),MAX(MIN('Council Entry'!O131,'Council Entry'!O$9),'Council Entry'!O$8),'Council Entry'!O131)),IF('Council Entry'!O$4="Exponential",EXP(IF(AND(ISNUMBER('Council Entry'!O$8),ISNUMBER('Council Entry'!O$9)),MAX(MIN('Council Entry'!O131,'Council Entry'!O$9),'Council Entry'!O$8),'Council Entry'!O131)),IF(AND(ISNUMBER('Council Entry'!O$8),ISNUMBER('Council Entry'!O$9)),MAX(MIN('Council Entry'!O131,'Council Entry'!O$9),'Council Entry'!O$8),'Council Entry'!O131))))-'Council Entry'!O$5)/('Council Entry'!O$6-'Council Entry'!O$5),10*((IF('Council Entry'!O$4="Logarithm",LN(0.001+IF(AND(ISNUMBER('Council Entry'!O$8),ISNUMBER('Council Entry'!O$9)),MAX(MIN('Council Entry'!O131,'Council Entry'!O$9),'Council Entry'!O$8),'Council Entry'!O131)),IF('Council Entry'!O$4="Exponential",EXP(IF(AND(ISNUMBER('Council Entry'!O$8),ISNUMBER('Council Entry'!O$9)),MAX(MIN('Council Entry'!O131,'Council Entry'!O$9),'Council Entry'!O$8),'Council Entry'!O131)),IF(AND(ISNUMBER('Council Entry'!O$8),ISNUMBER('Council Entry'!O$9)),MAX(MIN('Council Entry'!O131,'Council Entry'!O$9),'Council Entry'!O$8),'Council Entry'!O131))))-'Council Entry'!O$5)/('Council Entry'!O$6-'Council Entry'!O$5)),1))),"No data"))</f>
        <v/>
      </c>
      <c r="P131" s="13">
        <f>IF('Council Entry'!P131="","",IFERROR(MAX(0,MIN(10,ROUND(IF('Council Entry'!P$7="Decrease Risk",10-10*((IF('Council Entry'!P$4="Logarithm",LN(0.001+IF(AND(ISNUMBER('Council Entry'!P$8),ISNUMBER('Council Entry'!P$9)),MAX(MIN('Council Entry'!P131,'Council Entry'!P$9),'Council Entry'!P$8),'Council Entry'!P131)),IF('Council Entry'!P$4="Exponential",EXP(IF(AND(ISNUMBER('Council Entry'!P$8),ISNUMBER('Council Entry'!P$9)),MAX(MIN('Council Entry'!P131,'Council Entry'!P$9),'Council Entry'!P$8),'Council Entry'!P131)),IF(AND(ISNUMBER('Council Entry'!P$8),ISNUMBER('Council Entry'!P$9)),MAX(MIN('Council Entry'!P131,'Council Entry'!P$9),'Council Entry'!P$8),'Council Entry'!P131))))-'Council Entry'!P$5)/('Council Entry'!P$6-'Council Entry'!P$5),10*((IF('Council Entry'!P$4="Logarithm",LN(0.001+IF(AND(ISNUMBER('Council Entry'!P$8),ISNUMBER('Council Entry'!P$9)),MAX(MIN('Council Entry'!P131,'Council Entry'!P$9),'Council Entry'!P$8),'Council Entry'!P131)),IF('Council Entry'!P$4="Exponential",EXP(IF(AND(ISNUMBER('Council Entry'!P$8),ISNUMBER('Council Entry'!P$9)),MAX(MIN('Council Entry'!P131,'Council Entry'!P$9),'Council Entry'!P$8),'Council Entry'!P131)),IF(AND(ISNUMBER('Council Entry'!P$8),ISNUMBER('Council Entry'!P$9)),MAX(MIN('Council Entry'!P131,'Council Entry'!P$9),'Council Entry'!P$8),'Council Entry'!P131))))-'Council Entry'!P$5)/('Council Entry'!P$6-'Council Entry'!P$5)),1))),"No data"))</f>
        <v/>
      </c>
      <c r="Q131" s="13">
        <f>IF('Council Entry'!Q131="","",IFERROR(MAX(0,MIN(10,ROUND(IF('Council Entry'!Q$7="Decrease Risk",10-10*((IF('Council Entry'!Q$4="Logarithm",LN(0.001+IF(AND(ISNUMBER('Council Entry'!Q$8),ISNUMBER('Council Entry'!Q$9)),MAX(MIN('Council Entry'!Q131,'Council Entry'!Q$9),'Council Entry'!Q$8),'Council Entry'!Q131)),IF('Council Entry'!Q$4="Exponential",EXP(IF(AND(ISNUMBER('Council Entry'!Q$8),ISNUMBER('Council Entry'!Q$9)),MAX(MIN('Council Entry'!Q131,'Council Entry'!Q$9),'Council Entry'!Q$8),'Council Entry'!Q131)),IF(AND(ISNUMBER('Council Entry'!Q$8),ISNUMBER('Council Entry'!Q$9)),MAX(MIN('Council Entry'!Q131,'Council Entry'!Q$9),'Council Entry'!Q$8),'Council Entry'!Q131))))-'Council Entry'!Q$5)/('Council Entry'!Q$6-'Council Entry'!Q$5),10*((IF('Council Entry'!Q$4="Logarithm",LN(0.001+IF(AND(ISNUMBER('Council Entry'!Q$8),ISNUMBER('Council Entry'!Q$9)),MAX(MIN('Council Entry'!Q131,'Council Entry'!Q$9),'Council Entry'!Q$8),'Council Entry'!Q131)),IF('Council Entry'!Q$4="Exponential",EXP(IF(AND(ISNUMBER('Council Entry'!Q$8),ISNUMBER('Council Entry'!Q$9)),MAX(MIN('Council Entry'!Q131,'Council Entry'!Q$9),'Council Entry'!Q$8),'Council Entry'!Q131)),IF(AND(ISNUMBER('Council Entry'!Q$8),ISNUMBER('Council Entry'!Q$9)),MAX(MIN('Council Entry'!Q131,'Council Entry'!Q$9),'Council Entry'!Q$8),'Council Entry'!Q131))))-'Council Entry'!Q$5)/('Council Entry'!Q$6-'Council Entry'!Q$5)),1))),"No data"))</f>
        <v/>
      </c>
      <c r="R131" s="13">
        <f>IF('Council Entry'!R131="","",IFERROR(MAX(0,MIN(10,ROUND(IF('Council Entry'!R$7="Decrease Risk",10-10*((IF('Council Entry'!R$4="Logarithm",LN(0.001+IF(AND(ISNUMBER('Council Entry'!R$8),ISNUMBER('Council Entry'!R$9)),MAX(MIN('Council Entry'!R131,'Council Entry'!R$9),'Council Entry'!R$8),'Council Entry'!R131)),IF('Council Entry'!R$4="Exponential",EXP(IF(AND(ISNUMBER('Council Entry'!R$8),ISNUMBER('Council Entry'!R$9)),MAX(MIN('Council Entry'!R131,'Council Entry'!R$9),'Council Entry'!R$8),'Council Entry'!R131)),IF(AND(ISNUMBER('Council Entry'!R$8),ISNUMBER('Council Entry'!R$9)),MAX(MIN('Council Entry'!R131,'Council Entry'!R$9),'Council Entry'!R$8),'Council Entry'!R131))))-'Council Entry'!R$5)/('Council Entry'!R$6-'Council Entry'!R$5),10*((IF('Council Entry'!R$4="Logarithm",LN(0.001+IF(AND(ISNUMBER('Council Entry'!R$8),ISNUMBER('Council Entry'!R$9)),MAX(MIN('Council Entry'!R131,'Council Entry'!R$9),'Council Entry'!R$8),'Council Entry'!R131)),IF('Council Entry'!R$4="Exponential",EXP(IF(AND(ISNUMBER('Council Entry'!R$8),ISNUMBER('Council Entry'!R$9)),MAX(MIN('Council Entry'!R131,'Council Entry'!R$9),'Council Entry'!R$8),'Council Entry'!R131)),IF(AND(ISNUMBER('Council Entry'!R$8),ISNUMBER('Council Entry'!R$9)),MAX(MIN('Council Entry'!R131,'Council Entry'!R$9),'Council Entry'!R$8),'Council Entry'!R131))))-'Council Entry'!R$5)/('Council Entry'!R$6-'Council Entry'!R$5)),1))),"No data"))</f>
        <v/>
      </c>
      <c r="S131" s="13">
        <f>IF('Council Entry'!S131="","",IFERROR(MAX(0,MIN(10,ROUND(IF('Council Entry'!S$7="Decrease Risk",10-10*((IF('Council Entry'!S$4="Logarithm",LN(0.001+IF(AND(ISNUMBER('Council Entry'!S$8),ISNUMBER('Council Entry'!S$9)),MAX(MIN('Council Entry'!S131,'Council Entry'!S$9),'Council Entry'!S$8),'Council Entry'!S131)),IF('Council Entry'!S$4="Exponential",EXP(IF(AND(ISNUMBER('Council Entry'!S$8),ISNUMBER('Council Entry'!S$9)),MAX(MIN('Council Entry'!S131,'Council Entry'!S$9),'Council Entry'!S$8),'Council Entry'!S131)),IF(AND(ISNUMBER('Council Entry'!S$8),ISNUMBER('Council Entry'!S$9)),MAX(MIN('Council Entry'!S131,'Council Entry'!S$9),'Council Entry'!S$8),'Council Entry'!S131))))-'Council Entry'!S$5)/('Council Entry'!S$6-'Council Entry'!S$5),10*((IF('Council Entry'!S$4="Logarithm",LN(0.001+IF(AND(ISNUMBER('Council Entry'!S$8),ISNUMBER('Council Entry'!S$9)),MAX(MIN('Council Entry'!S131,'Council Entry'!S$9),'Council Entry'!S$8),'Council Entry'!S131)),IF('Council Entry'!S$4="Exponential",EXP(IF(AND(ISNUMBER('Council Entry'!S$8),ISNUMBER('Council Entry'!S$9)),MAX(MIN('Council Entry'!S131,'Council Entry'!S$9),'Council Entry'!S$8),'Council Entry'!S131)),IF(AND(ISNUMBER('Council Entry'!S$8),ISNUMBER('Council Entry'!S$9)),MAX(MIN('Council Entry'!S131,'Council Entry'!S$9),'Council Entry'!S$8),'Council Entry'!S131))))-'Council Entry'!S$5)/('Council Entry'!S$6-'Council Entry'!S$5)),1))),"No data"))</f>
        <v/>
      </c>
      <c r="T131" s="13">
        <f>IF('Council Entry'!T131="","",IFERROR(MAX(0,MIN(10,ROUND(IF('Council Entry'!T$7="Decrease Risk",10-10*((IF('Council Entry'!T$4="Logarithm",LN(0.001+IF(AND(ISNUMBER('Council Entry'!T$8),ISNUMBER('Council Entry'!T$9)),MAX(MIN('Council Entry'!T131,'Council Entry'!T$9),'Council Entry'!T$8),'Council Entry'!T131)),IF('Council Entry'!T$4="Exponential",EXP(IF(AND(ISNUMBER('Council Entry'!T$8),ISNUMBER('Council Entry'!T$9)),MAX(MIN('Council Entry'!T131,'Council Entry'!T$9),'Council Entry'!T$8),'Council Entry'!T131)),IF(AND(ISNUMBER('Council Entry'!T$8),ISNUMBER('Council Entry'!T$9)),MAX(MIN('Council Entry'!T131,'Council Entry'!T$9),'Council Entry'!T$8),'Council Entry'!T131))))-'Council Entry'!T$5)/('Council Entry'!T$6-'Council Entry'!T$5),10*((IF('Council Entry'!T$4="Logarithm",LN(0.001+IF(AND(ISNUMBER('Council Entry'!T$8),ISNUMBER('Council Entry'!T$9)),MAX(MIN('Council Entry'!T131,'Council Entry'!T$9),'Council Entry'!T$8),'Council Entry'!T131)),IF('Council Entry'!T$4="Exponential",EXP(IF(AND(ISNUMBER('Council Entry'!T$8),ISNUMBER('Council Entry'!T$9)),MAX(MIN('Council Entry'!T131,'Council Entry'!T$9),'Council Entry'!T$8),'Council Entry'!T131)),IF(AND(ISNUMBER('Council Entry'!T$8),ISNUMBER('Council Entry'!T$9)),MAX(MIN('Council Entry'!T131,'Council Entry'!T$9),'Council Entry'!T$8),'Council Entry'!T131))))-'Council Entry'!T$5)/('Council Entry'!T$6-'Council Entry'!T$5)),1))),"No data"))</f>
        <v/>
      </c>
      <c r="U131" s="13">
        <f>IF('Council Entry'!U131="","",IFERROR(MAX(0,MIN(10,ROUND(IF('Council Entry'!U$7="Decrease Risk",10-10*((IF('Council Entry'!U$4="Logarithm",LN(0.001+IF(AND(ISNUMBER('Council Entry'!U$8),ISNUMBER('Council Entry'!U$9)),MAX(MIN('Council Entry'!U131,'Council Entry'!U$9),'Council Entry'!U$8),'Council Entry'!U131)),IF('Council Entry'!U$4="Exponential",EXP(IF(AND(ISNUMBER('Council Entry'!U$8),ISNUMBER('Council Entry'!U$9)),MAX(MIN('Council Entry'!U131,'Council Entry'!U$9),'Council Entry'!U$8),'Council Entry'!U131)),IF(AND(ISNUMBER('Council Entry'!U$8),ISNUMBER('Council Entry'!U$9)),MAX(MIN('Council Entry'!U131,'Council Entry'!U$9),'Council Entry'!U$8),'Council Entry'!U131))))-'Council Entry'!U$5)/('Council Entry'!U$6-'Council Entry'!U$5),10*((IF('Council Entry'!U$4="Logarithm",LN(0.001+IF(AND(ISNUMBER('Council Entry'!U$8),ISNUMBER('Council Entry'!U$9)),MAX(MIN('Council Entry'!U131,'Council Entry'!U$9),'Council Entry'!U$8),'Council Entry'!U131)),IF('Council Entry'!U$4="Exponential",EXP(IF(AND(ISNUMBER('Council Entry'!U$8),ISNUMBER('Council Entry'!U$9)),MAX(MIN('Council Entry'!U131,'Council Entry'!U$9),'Council Entry'!U$8),'Council Entry'!U131)),IF(AND(ISNUMBER('Council Entry'!U$8),ISNUMBER('Council Entry'!U$9)),MAX(MIN('Council Entry'!U131,'Council Entry'!U$9),'Council Entry'!U$8),'Council Entry'!U131))))-'Council Entry'!U$5)/('Council Entry'!U$6-'Council Entry'!U$5)),1))),"No data"))</f>
        <v/>
      </c>
      <c r="V131" s="13">
        <f>IF('Council Entry'!V131="","",IFERROR(MAX(0,MIN(10,ROUND(IF('Council Entry'!V$7="Decrease Risk",10-10*((IF('Council Entry'!V$4="Logarithm",LN(0.001+IF(AND(ISNUMBER('Council Entry'!V$8),ISNUMBER('Council Entry'!V$9)),MAX(MIN('Council Entry'!V131,'Council Entry'!V$9),'Council Entry'!V$8),'Council Entry'!V131)),IF('Council Entry'!V$4="Exponential",EXP(IF(AND(ISNUMBER('Council Entry'!V$8),ISNUMBER('Council Entry'!V$9)),MAX(MIN('Council Entry'!V131,'Council Entry'!V$9),'Council Entry'!V$8),'Council Entry'!V131)),IF(AND(ISNUMBER('Council Entry'!V$8),ISNUMBER('Council Entry'!V$9)),MAX(MIN('Council Entry'!V131,'Council Entry'!V$9),'Council Entry'!V$8),'Council Entry'!V131))))-'Council Entry'!V$5)/('Council Entry'!V$6-'Council Entry'!V$5),10*((IF('Council Entry'!V$4="Logarithm",LN(0.001+IF(AND(ISNUMBER('Council Entry'!V$8),ISNUMBER('Council Entry'!V$9)),MAX(MIN('Council Entry'!V131,'Council Entry'!V$9),'Council Entry'!V$8),'Council Entry'!V131)),IF('Council Entry'!V$4="Exponential",EXP(IF(AND(ISNUMBER('Council Entry'!V$8),ISNUMBER('Council Entry'!V$9)),MAX(MIN('Council Entry'!V131,'Council Entry'!V$9),'Council Entry'!V$8),'Council Entry'!V131)),IF(AND(ISNUMBER('Council Entry'!V$8),ISNUMBER('Council Entry'!V$9)),MAX(MIN('Council Entry'!V131,'Council Entry'!V$9),'Council Entry'!V$8),'Council Entry'!V131))))-'Council Entry'!V$5)/('Council Entry'!V$6-'Council Entry'!V$5)),1))),"No data"))</f>
        <v/>
      </c>
      <c r="W131" s="13">
        <f>IF('Council Entry'!W131="","",IFERROR(MAX(0,MIN(10,ROUND(IF('Council Entry'!W$7="Decrease Risk",10-10*((IF('Council Entry'!W$4="Logarithm",LN(0.001+IF(AND(ISNUMBER('Council Entry'!W$8),ISNUMBER('Council Entry'!W$9)),MAX(MIN('Council Entry'!W131,'Council Entry'!W$9),'Council Entry'!W$8),'Council Entry'!W131)),IF('Council Entry'!W$4="Exponential",EXP(IF(AND(ISNUMBER('Council Entry'!W$8),ISNUMBER('Council Entry'!W$9)),MAX(MIN('Council Entry'!W131,'Council Entry'!W$9),'Council Entry'!W$8),'Council Entry'!W131)),IF(AND(ISNUMBER('Council Entry'!W$8),ISNUMBER('Council Entry'!W$9)),MAX(MIN('Council Entry'!W131,'Council Entry'!W$9),'Council Entry'!W$8),'Council Entry'!W131))))-'Council Entry'!W$5)/('Council Entry'!W$6-'Council Entry'!W$5),10*((IF('Council Entry'!W$4="Logarithm",LN(0.001+IF(AND(ISNUMBER('Council Entry'!W$8),ISNUMBER('Council Entry'!W$9)),MAX(MIN('Council Entry'!W131,'Council Entry'!W$9),'Council Entry'!W$8),'Council Entry'!W131)),IF('Council Entry'!W$4="Exponential",EXP(IF(AND(ISNUMBER('Council Entry'!W$8),ISNUMBER('Council Entry'!W$9)),MAX(MIN('Council Entry'!W131,'Council Entry'!W$9),'Council Entry'!W$8),'Council Entry'!W131)),IF(AND(ISNUMBER('Council Entry'!W$8),ISNUMBER('Council Entry'!W$9)),MAX(MIN('Council Entry'!W131,'Council Entry'!W$9),'Council Entry'!W$8),'Council Entry'!W131))))-'Council Entry'!W$5)/('Council Entry'!W$6-'Council Entry'!W$5)),1))),"No data"))</f>
        <v/>
      </c>
      <c r="X131" s="13">
        <f>IF('Council Entry'!X131="","",IFERROR(MAX(0,MIN(10,ROUND(IF('Council Entry'!X$7="Decrease Risk",10-10*((IF('Council Entry'!X$4="Logarithm",LN(0.001+IF(AND(ISNUMBER('Council Entry'!X$8),ISNUMBER('Council Entry'!X$9)),MAX(MIN('Council Entry'!X131,'Council Entry'!X$9),'Council Entry'!X$8),'Council Entry'!X131)),IF('Council Entry'!X$4="Exponential",EXP(IF(AND(ISNUMBER('Council Entry'!X$8),ISNUMBER('Council Entry'!X$9)),MAX(MIN('Council Entry'!X131,'Council Entry'!X$9),'Council Entry'!X$8),'Council Entry'!X131)),IF(AND(ISNUMBER('Council Entry'!X$8),ISNUMBER('Council Entry'!X$9)),MAX(MIN('Council Entry'!X131,'Council Entry'!X$9),'Council Entry'!X$8),'Council Entry'!X131))))-'Council Entry'!X$5)/('Council Entry'!X$6-'Council Entry'!X$5),10*((IF('Council Entry'!X$4="Logarithm",LN(0.001+IF(AND(ISNUMBER('Council Entry'!X$8),ISNUMBER('Council Entry'!X$9)),MAX(MIN('Council Entry'!X131,'Council Entry'!X$9),'Council Entry'!X$8),'Council Entry'!X131)),IF('Council Entry'!X$4="Exponential",EXP(IF(AND(ISNUMBER('Council Entry'!X$8),ISNUMBER('Council Entry'!X$9)),MAX(MIN('Council Entry'!X131,'Council Entry'!X$9),'Council Entry'!X$8),'Council Entry'!X131)),IF(AND(ISNUMBER('Council Entry'!X$8),ISNUMBER('Council Entry'!X$9)),MAX(MIN('Council Entry'!X131,'Council Entry'!X$9),'Council Entry'!X$8),'Council Entry'!X131))))-'Council Entry'!X$5)/('Council Entry'!X$6-'Council Entry'!X$5)),1))),"No data"))</f>
        <v/>
      </c>
      <c r="Y131" s="13">
        <f>IF('Council Entry'!Y131="","",IFERROR(MAX(0,MIN(10,ROUND(IF('Council Entry'!Y$7="Decrease Risk",10-10*((IF('Council Entry'!Y$4="Logarithm",LN(0.001+IF(AND(ISNUMBER('Council Entry'!Y$8),ISNUMBER('Council Entry'!Y$9)),MAX(MIN('Council Entry'!Y131,'Council Entry'!Y$9),'Council Entry'!Y$8),'Council Entry'!Y131)),IF('Council Entry'!Y$4="Exponential",EXP(IF(AND(ISNUMBER('Council Entry'!Y$8),ISNUMBER('Council Entry'!Y$9)),MAX(MIN('Council Entry'!Y131,'Council Entry'!Y$9),'Council Entry'!Y$8),'Council Entry'!Y131)),IF(AND(ISNUMBER('Council Entry'!Y$8),ISNUMBER('Council Entry'!Y$9)),MAX(MIN('Council Entry'!Y131,'Council Entry'!Y$9),'Council Entry'!Y$8),'Council Entry'!Y131))))-'Council Entry'!Y$5)/('Council Entry'!Y$6-'Council Entry'!Y$5),10*((IF('Council Entry'!Y$4="Logarithm",LN(0.001+IF(AND(ISNUMBER('Council Entry'!Y$8),ISNUMBER('Council Entry'!Y$9)),MAX(MIN('Council Entry'!Y131,'Council Entry'!Y$9),'Council Entry'!Y$8),'Council Entry'!Y131)),IF('Council Entry'!Y$4="Exponential",EXP(IF(AND(ISNUMBER('Council Entry'!Y$8),ISNUMBER('Council Entry'!Y$9)),MAX(MIN('Council Entry'!Y131,'Council Entry'!Y$9),'Council Entry'!Y$8),'Council Entry'!Y131)),IF(AND(ISNUMBER('Council Entry'!Y$8),ISNUMBER('Council Entry'!Y$9)),MAX(MIN('Council Entry'!Y131,'Council Entry'!Y$9),'Council Entry'!Y$8),'Council Entry'!Y131))))-'Council Entry'!Y$5)/('Council Entry'!Y$6-'Council Entry'!Y$5)),1))),"No data"))</f>
        <v/>
      </c>
      <c r="Z131" s="13">
        <f>IF('Council Entry'!Z131="","",IFERROR(MAX(0,MIN(10,ROUND(IF('Council Entry'!Z$7="Decrease Risk",10-10*((IF('Council Entry'!Z$4="Logarithm",LN(0.001+IF(AND(ISNUMBER('Council Entry'!Z$8),ISNUMBER('Council Entry'!Z$9)),MAX(MIN('Council Entry'!Z131,'Council Entry'!Z$9),'Council Entry'!Z$8),'Council Entry'!Z131)),IF('Council Entry'!Z$4="Exponential",EXP(IF(AND(ISNUMBER('Council Entry'!Z$8),ISNUMBER('Council Entry'!Z$9)),MAX(MIN('Council Entry'!Z131,'Council Entry'!Z$9),'Council Entry'!Z$8),'Council Entry'!Z131)),IF(AND(ISNUMBER('Council Entry'!Z$8),ISNUMBER('Council Entry'!Z$9)),MAX(MIN('Council Entry'!Z131,'Council Entry'!Z$9),'Council Entry'!Z$8),'Council Entry'!Z131))))-'Council Entry'!Z$5)/('Council Entry'!Z$6-'Council Entry'!Z$5),10*((IF('Council Entry'!Z$4="Logarithm",LN(0.001+IF(AND(ISNUMBER('Council Entry'!Z$8),ISNUMBER('Council Entry'!Z$9)),MAX(MIN('Council Entry'!Z131,'Council Entry'!Z$9),'Council Entry'!Z$8),'Council Entry'!Z131)),IF('Council Entry'!Z$4="Exponential",EXP(IF(AND(ISNUMBER('Council Entry'!Z$8),ISNUMBER('Council Entry'!Z$9)),MAX(MIN('Council Entry'!Z131,'Council Entry'!Z$9),'Council Entry'!Z$8),'Council Entry'!Z131)),IF(AND(ISNUMBER('Council Entry'!Z$8),ISNUMBER('Council Entry'!Z$9)),MAX(MIN('Council Entry'!Z131,'Council Entry'!Z$9),'Council Entry'!Z$8),'Council Entry'!Z131))))-'Council Entry'!Z$5)/('Council Entry'!Z$6-'Council Entry'!Z$5)),1))),"No data"))</f>
        <v/>
      </c>
      <c r="AA131" s="13">
        <f>IF('Council Entry'!AA131="","",IFERROR(MAX(0,MIN(10,ROUND(IF('Council Entry'!AA$7="Decrease Risk",10-10*((IF('Council Entry'!AA$4="Logarithm",LN(0.001+IF(AND(ISNUMBER('Council Entry'!AA$8),ISNUMBER('Council Entry'!AA$9)),MAX(MIN('Council Entry'!AA131,'Council Entry'!AA$9),'Council Entry'!AA$8),'Council Entry'!AA131)),IF('Council Entry'!AA$4="Exponential",EXP(IF(AND(ISNUMBER('Council Entry'!AA$8),ISNUMBER('Council Entry'!AA$9)),MAX(MIN('Council Entry'!AA131,'Council Entry'!AA$9),'Council Entry'!AA$8),'Council Entry'!AA131)),IF(AND(ISNUMBER('Council Entry'!AA$8),ISNUMBER('Council Entry'!AA$9)),MAX(MIN('Council Entry'!AA131,'Council Entry'!AA$9),'Council Entry'!AA$8),'Council Entry'!AA131))))-'Council Entry'!AA$5)/('Council Entry'!AA$6-'Council Entry'!AA$5),10*((IF('Council Entry'!AA$4="Logarithm",LN(0.001+IF(AND(ISNUMBER('Council Entry'!AA$8),ISNUMBER('Council Entry'!AA$9)),MAX(MIN('Council Entry'!AA131,'Council Entry'!AA$9),'Council Entry'!AA$8),'Council Entry'!AA131)),IF('Council Entry'!AA$4="Exponential",EXP(IF(AND(ISNUMBER('Council Entry'!AA$8),ISNUMBER('Council Entry'!AA$9)),MAX(MIN('Council Entry'!AA131,'Council Entry'!AA$9),'Council Entry'!AA$8),'Council Entry'!AA131)),IF(AND(ISNUMBER('Council Entry'!AA$8),ISNUMBER('Council Entry'!AA$9)),MAX(MIN('Council Entry'!AA131,'Council Entry'!AA$9),'Council Entry'!AA$8),'Council Entry'!AA131))))-'Council Entry'!AA$5)/('Council Entry'!AA$6-'Council Entry'!AA$5)),1))),"No data"))</f>
        <v/>
      </c>
      <c r="AB131" s="13">
        <f>IF('Council Entry'!AB131="","",IFERROR(MAX(0,MIN(10,ROUND(IF('Council Entry'!AB$7="Decrease Risk",10-10*((IF('Council Entry'!AB$4="Logarithm",LN(0.001+IF(AND(ISNUMBER('Council Entry'!AB$8),ISNUMBER('Council Entry'!AB$9)),MAX(MIN('Council Entry'!AB131,'Council Entry'!AB$9),'Council Entry'!AB$8),'Council Entry'!AB131)),IF('Council Entry'!AB$4="Exponential",EXP(IF(AND(ISNUMBER('Council Entry'!AB$8),ISNUMBER('Council Entry'!AB$9)),MAX(MIN('Council Entry'!AB131,'Council Entry'!AB$9),'Council Entry'!AB$8),'Council Entry'!AB131)),IF(AND(ISNUMBER('Council Entry'!AB$8),ISNUMBER('Council Entry'!AB$9)),MAX(MIN('Council Entry'!AB131,'Council Entry'!AB$9),'Council Entry'!AB$8),'Council Entry'!AB131))))-'Council Entry'!AB$5)/('Council Entry'!AB$6-'Council Entry'!AB$5),10*((IF('Council Entry'!AB$4="Logarithm",LN(0.001+IF(AND(ISNUMBER('Council Entry'!AB$8),ISNUMBER('Council Entry'!AB$9)),MAX(MIN('Council Entry'!AB131,'Council Entry'!AB$9),'Council Entry'!AB$8),'Council Entry'!AB131)),IF('Council Entry'!AB$4="Exponential",EXP(IF(AND(ISNUMBER('Council Entry'!AB$8),ISNUMBER('Council Entry'!AB$9)),MAX(MIN('Council Entry'!AB131,'Council Entry'!AB$9),'Council Entry'!AB$8),'Council Entry'!AB131)),IF(AND(ISNUMBER('Council Entry'!AB$8),ISNUMBER('Council Entry'!AB$9)),MAX(MIN('Council Entry'!AB131,'Council Entry'!AB$9),'Council Entry'!AB$8),'Council Entry'!AB131))))-'Council Entry'!AB$5)/('Council Entry'!AB$6-'Council Entry'!AB$5)),1))),"No data"))</f>
        <v/>
      </c>
      <c r="AC131" s="13">
        <f>IF('Council Entry'!AC131="","",IFERROR(MAX(0,MIN(10,ROUND(IF('Council Entry'!AC$7="Decrease Risk",10-10*((IF('Council Entry'!AC$4="Logarithm",LN(0.001+IF(AND(ISNUMBER('Council Entry'!AC$8),ISNUMBER('Council Entry'!AC$9)),MAX(MIN('Council Entry'!AC131,'Council Entry'!AC$9),'Council Entry'!AC$8),'Council Entry'!AC131)),IF('Council Entry'!AC$4="Exponential",EXP(IF(AND(ISNUMBER('Council Entry'!AC$8),ISNUMBER('Council Entry'!AC$9)),MAX(MIN('Council Entry'!AC131,'Council Entry'!AC$9),'Council Entry'!AC$8),'Council Entry'!AC131)),IF(AND(ISNUMBER('Council Entry'!AC$8),ISNUMBER('Council Entry'!AC$9)),MAX(MIN('Council Entry'!AC131,'Council Entry'!AC$9),'Council Entry'!AC$8),'Council Entry'!AC131))))-'Council Entry'!AC$5)/('Council Entry'!AC$6-'Council Entry'!AC$5),10*((IF('Council Entry'!AC$4="Logarithm",LN(0.001+IF(AND(ISNUMBER('Council Entry'!AC$8),ISNUMBER('Council Entry'!AC$9)),MAX(MIN('Council Entry'!AC131,'Council Entry'!AC$9),'Council Entry'!AC$8),'Council Entry'!AC131)),IF('Council Entry'!AC$4="Exponential",EXP(IF(AND(ISNUMBER('Council Entry'!AC$8),ISNUMBER('Council Entry'!AC$9)),MAX(MIN('Council Entry'!AC131,'Council Entry'!AC$9),'Council Entry'!AC$8),'Council Entry'!AC131)),IF(AND(ISNUMBER('Council Entry'!AC$8),ISNUMBER('Council Entry'!AC$9)),MAX(MIN('Council Entry'!AC131,'Council Entry'!AC$9),'Council Entry'!AC$8),'Council Entry'!AC131))))-'Council Entry'!AC$5)/('Council Entry'!AC$6-'Council Entry'!AC$5)),1))),"No data"))</f>
        <v/>
      </c>
      <c r="AD131" s="13">
        <f>IF('Council Entry'!AD131="","",IFERROR(MAX(0,MIN(10,ROUND(IF('Council Entry'!AD$7="Decrease Risk",10-10*((IF('Council Entry'!AD$4="Logarithm",LN(0.001+IF(AND(ISNUMBER('Council Entry'!AD$8),ISNUMBER('Council Entry'!AD$9)),MAX(MIN('Council Entry'!AD131,'Council Entry'!AD$9),'Council Entry'!AD$8),'Council Entry'!AD131)),IF('Council Entry'!AD$4="Exponential",EXP(IF(AND(ISNUMBER('Council Entry'!AD$8),ISNUMBER('Council Entry'!AD$9)),MAX(MIN('Council Entry'!AD131,'Council Entry'!AD$9),'Council Entry'!AD$8),'Council Entry'!AD131)),IF(AND(ISNUMBER('Council Entry'!AD$8),ISNUMBER('Council Entry'!AD$9)),MAX(MIN('Council Entry'!AD131,'Council Entry'!AD$9),'Council Entry'!AD$8),'Council Entry'!AD131))))-'Council Entry'!AD$5)/('Council Entry'!AD$6-'Council Entry'!AD$5),10*((IF('Council Entry'!AD$4="Logarithm",LN(0.001+IF(AND(ISNUMBER('Council Entry'!AD$8),ISNUMBER('Council Entry'!AD$9)),MAX(MIN('Council Entry'!AD131,'Council Entry'!AD$9),'Council Entry'!AD$8),'Council Entry'!AD131)),IF('Council Entry'!AD$4="Exponential",EXP(IF(AND(ISNUMBER('Council Entry'!AD$8),ISNUMBER('Council Entry'!AD$9)),MAX(MIN('Council Entry'!AD131,'Council Entry'!AD$9),'Council Entry'!AD$8),'Council Entry'!AD131)),IF(AND(ISNUMBER('Council Entry'!AD$8),ISNUMBER('Council Entry'!AD$9)),MAX(MIN('Council Entry'!AD131,'Council Entry'!AD$9),'Council Entry'!AD$8),'Council Entry'!AD131))))-'Council Entry'!AD$5)/('Council Entry'!AD$6-'Council Entry'!AD$5)),1))),"No data"))</f>
        <v/>
      </c>
      <c r="AE131" s="13">
        <f>IF('Council Entry'!AE131="","",IFERROR(MAX(0,MIN(10,ROUND(IF('Council Entry'!AE$7="Decrease Risk",10-10*((IF('Council Entry'!AE$4="Logarithm",LN(0.001+IF(AND(ISNUMBER('Council Entry'!AE$8),ISNUMBER('Council Entry'!AE$9)),MAX(MIN('Council Entry'!AE131,'Council Entry'!AE$9),'Council Entry'!AE$8),'Council Entry'!AE131)),IF('Council Entry'!AE$4="Exponential",EXP(IF(AND(ISNUMBER('Council Entry'!AE$8),ISNUMBER('Council Entry'!AE$9)),MAX(MIN('Council Entry'!AE131,'Council Entry'!AE$9),'Council Entry'!AE$8),'Council Entry'!AE131)),IF(AND(ISNUMBER('Council Entry'!AE$8),ISNUMBER('Council Entry'!AE$9)),MAX(MIN('Council Entry'!AE131,'Council Entry'!AE$9),'Council Entry'!AE$8),'Council Entry'!AE131))))-'Council Entry'!AE$5)/('Council Entry'!AE$6-'Council Entry'!AE$5),10*((IF('Council Entry'!AE$4="Logarithm",LN(0.001+IF(AND(ISNUMBER('Council Entry'!AE$8),ISNUMBER('Council Entry'!AE$9)),MAX(MIN('Council Entry'!AE131,'Council Entry'!AE$9),'Council Entry'!AE$8),'Council Entry'!AE131)),IF('Council Entry'!AE$4="Exponential",EXP(IF(AND(ISNUMBER('Council Entry'!AE$8),ISNUMBER('Council Entry'!AE$9)),MAX(MIN('Council Entry'!AE131,'Council Entry'!AE$9),'Council Entry'!AE$8),'Council Entry'!AE131)),IF(AND(ISNUMBER('Council Entry'!AE$8),ISNUMBER('Council Entry'!AE$9)),MAX(MIN('Council Entry'!AE131,'Council Entry'!AE$9),'Council Entry'!AE$8),'Council Entry'!AE131))))-'Council Entry'!AE$5)/('Council Entry'!AE$6-'Council Entry'!AE$5)),1))),"No data"))</f>
        <v/>
      </c>
      <c r="AF131" s="13">
        <f>IF('Council Entry'!AF131="","",IFERROR(MAX(0,MIN(10,ROUND(IF('Council Entry'!AF$7="Decrease Risk",10-10*((IF('Council Entry'!AF$4="Logarithm",LN(0.001+IF(AND(ISNUMBER('Council Entry'!AF$8),ISNUMBER('Council Entry'!AF$9)),MAX(MIN('Council Entry'!AF131,'Council Entry'!AF$9),'Council Entry'!AF$8),'Council Entry'!AF131)),IF('Council Entry'!AF$4="Exponential",EXP(IF(AND(ISNUMBER('Council Entry'!AF$8),ISNUMBER('Council Entry'!AF$9)),MAX(MIN('Council Entry'!AF131,'Council Entry'!AF$9),'Council Entry'!AF$8),'Council Entry'!AF131)),IF(AND(ISNUMBER('Council Entry'!AF$8),ISNUMBER('Council Entry'!AF$9)),MAX(MIN('Council Entry'!AF131,'Council Entry'!AF$9),'Council Entry'!AF$8),'Council Entry'!AF131))))-'Council Entry'!AF$5)/('Council Entry'!AF$6-'Council Entry'!AF$5),10*((IF('Council Entry'!AF$4="Logarithm",LN(0.001+IF(AND(ISNUMBER('Council Entry'!AF$8),ISNUMBER('Council Entry'!AF$9)),MAX(MIN('Council Entry'!AF131,'Council Entry'!AF$9),'Council Entry'!AF$8),'Council Entry'!AF131)),IF('Council Entry'!AF$4="Exponential",EXP(IF(AND(ISNUMBER('Council Entry'!AF$8),ISNUMBER('Council Entry'!AF$9)),MAX(MIN('Council Entry'!AF131,'Council Entry'!AF$9),'Council Entry'!AF$8),'Council Entry'!AF131)),IF(AND(ISNUMBER('Council Entry'!AF$8),ISNUMBER('Council Entry'!AF$9)),MAX(MIN('Council Entry'!AF131,'Council Entry'!AF$9),'Council Entry'!AF$8),'Council Entry'!AF131))))-'Council Entry'!AF$5)/('Council Entry'!AF$6-'Council Entry'!AF$5)),1))),"No data"))</f>
        <v/>
      </c>
      <c r="AG131" s="13">
        <f>IF('Council Entry'!AG131="","",IFERROR(MAX(0,MIN(10,ROUND(IF('Council Entry'!AG$7="Decrease Risk",10-10*((IF('Council Entry'!AG$4="Logarithm",LN(0.001+IF(AND(ISNUMBER('Council Entry'!AG$8),ISNUMBER('Council Entry'!AG$9)),MAX(MIN('Council Entry'!AG131,'Council Entry'!AG$9),'Council Entry'!AG$8),'Council Entry'!AG131)),IF('Council Entry'!AG$4="Exponential",EXP(IF(AND(ISNUMBER('Council Entry'!AG$8),ISNUMBER('Council Entry'!AG$9)),MAX(MIN('Council Entry'!AG131,'Council Entry'!AG$9),'Council Entry'!AG$8),'Council Entry'!AG131)),IF(AND(ISNUMBER('Council Entry'!AG$8),ISNUMBER('Council Entry'!AG$9)),MAX(MIN('Council Entry'!AG131,'Council Entry'!AG$9),'Council Entry'!AG$8),'Council Entry'!AG131))))-'Council Entry'!AG$5)/('Council Entry'!AG$6-'Council Entry'!AG$5),10*((IF('Council Entry'!AG$4="Logarithm",LN(0.001+IF(AND(ISNUMBER('Council Entry'!AG$8),ISNUMBER('Council Entry'!AG$9)),MAX(MIN('Council Entry'!AG131,'Council Entry'!AG$9),'Council Entry'!AG$8),'Council Entry'!AG131)),IF('Council Entry'!AG$4="Exponential",EXP(IF(AND(ISNUMBER('Council Entry'!AG$8),ISNUMBER('Council Entry'!AG$9)),MAX(MIN('Council Entry'!AG131,'Council Entry'!AG$9),'Council Entry'!AG$8),'Council Entry'!AG131)),IF(AND(ISNUMBER('Council Entry'!AG$8),ISNUMBER('Council Entry'!AG$9)),MAX(MIN('Council Entry'!AG131,'Council Entry'!AG$9),'Council Entry'!AG$8),'Council Entry'!AG131))))-'Council Entry'!AG$5)/('Council Entry'!AG$6-'Council Entry'!AG$5)),1))),"No data"))</f>
        <v/>
      </c>
      <c r="AH131" s="13">
        <f>IF('Council Entry'!AH131="","",IFERROR(MAX(0,MIN(10,ROUND(IF('Council Entry'!AH$7="Decrease Risk",10-10*((IF('Council Entry'!AH$4="Logarithm",LN(0.001+IF(AND(ISNUMBER('Council Entry'!AH$8),ISNUMBER('Council Entry'!AH$9)),MAX(MIN('Council Entry'!AH131,'Council Entry'!AH$9),'Council Entry'!AH$8),'Council Entry'!AH131)),IF('Council Entry'!AH$4="Exponential",EXP(IF(AND(ISNUMBER('Council Entry'!AH$8),ISNUMBER('Council Entry'!AH$9)),MAX(MIN('Council Entry'!AH131,'Council Entry'!AH$9),'Council Entry'!AH$8),'Council Entry'!AH131)),IF(AND(ISNUMBER('Council Entry'!AH$8),ISNUMBER('Council Entry'!AH$9)),MAX(MIN('Council Entry'!AH131,'Council Entry'!AH$9),'Council Entry'!AH$8),'Council Entry'!AH131))))-'Council Entry'!AH$5)/('Council Entry'!AH$6-'Council Entry'!AH$5),10*((IF('Council Entry'!AH$4="Logarithm",LN(0.001+IF(AND(ISNUMBER('Council Entry'!AH$8),ISNUMBER('Council Entry'!AH$9)),MAX(MIN('Council Entry'!AH131,'Council Entry'!AH$9),'Council Entry'!AH$8),'Council Entry'!AH131)),IF('Council Entry'!AH$4="Exponential",EXP(IF(AND(ISNUMBER('Council Entry'!AH$8),ISNUMBER('Council Entry'!AH$9)),MAX(MIN('Council Entry'!AH131,'Council Entry'!AH$9),'Council Entry'!AH$8),'Council Entry'!AH131)),IF(AND(ISNUMBER('Council Entry'!AH$8),ISNUMBER('Council Entry'!AH$9)),MAX(MIN('Council Entry'!AH131,'Council Entry'!AH$9),'Council Entry'!AH$8),'Council Entry'!AH131))))-'Council Entry'!AH$5)/('Council Entry'!AH$6-'Council Entry'!AH$5)),1))),"No data"))</f>
        <v/>
      </c>
      <c r="AI131" s="13">
        <f>IF('Council Entry'!AI131="","",IFERROR(MAX(0,MIN(10,ROUND(IF('Council Entry'!AI$7="Decrease Risk",10-10*((IF('Council Entry'!AI$4="Logarithm",LN(0.001+IF(AND(ISNUMBER('Council Entry'!AI$8),ISNUMBER('Council Entry'!AI$9)),MAX(MIN('Council Entry'!AI131,'Council Entry'!AI$9),'Council Entry'!AI$8),'Council Entry'!AI131)),IF('Council Entry'!AI$4="Exponential",EXP(IF(AND(ISNUMBER('Council Entry'!AI$8),ISNUMBER('Council Entry'!AI$9)),MAX(MIN('Council Entry'!AI131,'Council Entry'!AI$9),'Council Entry'!AI$8),'Council Entry'!AI131)),IF(AND(ISNUMBER('Council Entry'!AI$8),ISNUMBER('Council Entry'!AI$9)),MAX(MIN('Council Entry'!AI131,'Council Entry'!AI$9),'Council Entry'!AI$8),'Council Entry'!AI131))))-'Council Entry'!AI$5)/('Council Entry'!AI$6-'Council Entry'!AI$5),10*((IF('Council Entry'!AI$4="Logarithm",LN(0.001+IF(AND(ISNUMBER('Council Entry'!AI$8),ISNUMBER('Council Entry'!AI$9)),MAX(MIN('Council Entry'!AI131,'Council Entry'!AI$9),'Council Entry'!AI$8),'Council Entry'!AI131)),IF('Council Entry'!AI$4="Exponential",EXP(IF(AND(ISNUMBER('Council Entry'!AI$8),ISNUMBER('Council Entry'!AI$9)),MAX(MIN('Council Entry'!AI131,'Council Entry'!AI$9),'Council Entry'!AI$8),'Council Entry'!AI131)),IF(AND(ISNUMBER('Council Entry'!AI$8),ISNUMBER('Council Entry'!AI$9)),MAX(MIN('Council Entry'!AI131,'Council Entry'!AI$9),'Council Entry'!AI$8),'Council Entry'!AI131))))-'Council Entry'!AI$5)/('Council Entry'!AI$6-'Council Entry'!AI$5)),1))),"No data"))</f>
        <v/>
      </c>
      <c r="AJ131" s="13">
        <f>IF('Council Entry'!AJ131="","",IFERROR(MAX(0,MIN(10,ROUND(IF('Council Entry'!AJ$7="Decrease Risk",10-10*((IF('Council Entry'!AJ$4="Logarithm",LN(0.001+IF(AND(ISNUMBER('Council Entry'!AJ$8),ISNUMBER('Council Entry'!AJ$9)),MAX(MIN('Council Entry'!AJ131,'Council Entry'!AJ$9),'Council Entry'!AJ$8),'Council Entry'!AJ131)),IF('Council Entry'!AJ$4="Exponential",EXP(IF(AND(ISNUMBER('Council Entry'!AJ$8),ISNUMBER('Council Entry'!AJ$9)),MAX(MIN('Council Entry'!AJ131,'Council Entry'!AJ$9),'Council Entry'!AJ$8),'Council Entry'!AJ131)),IF(AND(ISNUMBER('Council Entry'!AJ$8),ISNUMBER('Council Entry'!AJ$9)),MAX(MIN('Council Entry'!AJ131,'Council Entry'!AJ$9),'Council Entry'!AJ$8),'Council Entry'!AJ131))))-'Council Entry'!AJ$5)/('Council Entry'!AJ$6-'Council Entry'!AJ$5),10*((IF('Council Entry'!AJ$4="Logarithm",LN(0.001+IF(AND(ISNUMBER('Council Entry'!AJ$8),ISNUMBER('Council Entry'!AJ$9)),MAX(MIN('Council Entry'!AJ131,'Council Entry'!AJ$9),'Council Entry'!AJ$8),'Council Entry'!AJ131)),IF('Council Entry'!AJ$4="Exponential",EXP(IF(AND(ISNUMBER('Council Entry'!AJ$8),ISNUMBER('Council Entry'!AJ$9)),MAX(MIN('Council Entry'!AJ131,'Council Entry'!AJ$9),'Council Entry'!AJ$8),'Council Entry'!AJ131)),IF(AND(ISNUMBER('Council Entry'!AJ$8),ISNUMBER('Council Entry'!AJ$9)),MAX(MIN('Council Entry'!AJ131,'Council Entry'!AJ$9),'Council Entry'!AJ$8),'Council Entry'!AJ131))))-'Council Entry'!AJ$5)/('Council Entry'!AJ$6-'Council Entry'!AJ$5)),1))),"No data"))</f>
        <v/>
      </c>
      <c r="AK131" s="13">
        <f>IF('Council Entry'!AK131="","",IFERROR(MAX(0,MIN(10,ROUND(IF('Council Entry'!AK$7="Decrease Risk",10-10*((IF('Council Entry'!AK$4="Logarithm",LN(0.001+IF(AND(ISNUMBER('Council Entry'!AK$8),ISNUMBER('Council Entry'!AK$9)),MAX(MIN('Council Entry'!AK131,'Council Entry'!AK$9),'Council Entry'!AK$8),'Council Entry'!AK131)),IF('Council Entry'!AK$4="Exponential",EXP(IF(AND(ISNUMBER('Council Entry'!AK$8),ISNUMBER('Council Entry'!AK$9)),MAX(MIN('Council Entry'!AK131,'Council Entry'!AK$9),'Council Entry'!AK$8),'Council Entry'!AK131)),IF(AND(ISNUMBER('Council Entry'!AK$8),ISNUMBER('Council Entry'!AK$9)),MAX(MIN('Council Entry'!AK131,'Council Entry'!AK$9),'Council Entry'!AK$8),'Council Entry'!AK131))))-'Council Entry'!AK$5)/('Council Entry'!AK$6-'Council Entry'!AK$5),10*((IF('Council Entry'!AK$4="Logarithm",LN(0.001+IF(AND(ISNUMBER('Council Entry'!AK$8),ISNUMBER('Council Entry'!AK$9)),MAX(MIN('Council Entry'!AK131,'Council Entry'!AK$9),'Council Entry'!AK$8),'Council Entry'!AK131)),IF('Council Entry'!AK$4="Exponential",EXP(IF(AND(ISNUMBER('Council Entry'!AK$8),ISNUMBER('Council Entry'!AK$9)),MAX(MIN('Council Entry'!AK131,'Council Entry'!AK$9),'Council Entry'!AK$8),'Council Entry'!AK131)),IF(AND(ISNUMBER('Council Entry'!AK$8),ISNUMBER('Council Entry'!AK$9)),MAX(MIN('Council Entry'!AK131,'Council Entry'!AK$9),'Council Entry'!AK$8),'Council Entry'!AK131))))-'Council Entry'!AK$5)/('Council Entry'!AK$6-'Council Entry'!AK$5)),1))),"No data"))</f>
        <v/>
      </c>
      <c r="AL131" s="13">
        <f>IF('Council Entry'!AL131="","",IFERROR(MAX(0,MIN(10,ROUND(IF('Council Entry'!AL$7="Decrease Risk",10-10*((IF('Council Entry'!AL$4="Logarithm",LN(0.001+IF(AND(ISNUMBER('Council Entry'!AL$8),ISNUMBER('Council Entry'!AL$9)),MAX(MIN('Council Entry'!AL131,'Council Entry'!AL$9),'Council Entry'!AL$8),'Council Entry'!AL131)),IF('Council Entry'!AL$4="Exponential",EXP(IF(AND(ISNUMBER('Council Entry'!AL$8),ISNUMBER('Council Entry'!AL$9)),MAX(MIN('Council Entry'!AL131,'Council Entry'!AL$9),'Council Entry'!AL$8),'Council Entry'!AL131)),IF(AND(ISNUMBER('Council Entry'!AL$8),ISNUMBER('Council Entry'!AL$9)),MAX(MIN('Council Entry'!AL131,'Council Entry'!AL$9),'Council Entry'!AL$8),'Council Entry'!AL131))))-'Council Entry'!AL$5)/('Council Entry'!AL$6-'Council Entry'!AL$5),10*((IF('Council Entry'!AL$4="Logarithm",LN(0.001+IF(AND(ISNUMBER('Council Entry'!AL$8),ISNUMBER('Council Entry'!AL$9)),MAX(MIN('Council Entry'!AL131,'Council Entry'!AL$9),'Council Entry'!AL$8),'Council Entry'!AL131)),IF('Council Entry'!AL$4="Exponential",EXP(IF(AND(ISNUMBER('Council Entry'!AL$8),ISNUMBER('Council Entry'!AL$9)),MAX(MIN('Council Entry'!AL131,'Council Entry'!AL$9),'Council Entry'!AL$8),'Council Entry'!AL131)),IF(AND(ISNUMBER('Council Entry'!AL$8),ISNUMBER('Council Entry'!AL$9)),MAX(MIN('Council Entry'!AL131,'Council Entry'!AL$9),'Council Entry'!AL$8),'Council Entry'!AL131))))-'Council Entry'!AL$5)/('Council Entry'!AL$6-'Council Entry'!AL$5)),1))),"No data"))</f>
        <v/>
      </c>
      <c r="AM131" s="13">
        <f>IF('Council Entry'!AM131="","",IFERROR(MAX(0,MIN(10,ROUND(IF('Council Entry'!AM$7="Decrease Risk",10-10*((IF('Council Entry'!AM$4="Logarithm",LN(0.001+IF(AND(ISNUMBER('Council Entry'!AM$8),ISNUMBER('Council Entry'!AM$9)),MAX(MIN('Council Entry'!AM131,'Council Entry'!AM$9),'Council Entry'!AM$8),'Council Entry'!AM131)),IF('Council Entry'!AM$4="Exponential",EXP(IF(AND(ISNUMBER('Council Entry'!AM$8),ISNUMBER('Council Entry'!AM$9)),MAX(MIN('Council Entry'!AM131,'Council Entry'!AM$9),'Council Entry'!AM$8),'Council Entry'!AM131)),IF(AND(ISNUMBER('Council Entry'!AM$8),ISNUMBER('Council Entry'!AM$9)),MAX(MIN('Council Entry'!AM131,'Council Entry'!AM$9),'Council Entry'!AM$8),'Council Entry'!AM131))))-'Council Entry'!AM$5)/('Council Entry'!AM$6-'Council Entry'!AM$5),10*((IF('Council Entry'!AM$4="Logarithm",LN(0.001+IF(AND(ISNUMBER('Council Entry'!AM$8),ISNUMBER('Council Entry'!AM$9)),MAX(MIN('Council Entry'!AM131,'Council Entry'!AM$9),'Council Entry'!AM$8),'Council Entry'!AM131)),IF('Council Entry'!AM$4="Exponential",EXP(IF(AND(ISNUMBER('Council Entry'!AM$8),ISNUMBER('Council Entry'!AM$9)),MAX(MIN('Council Entry'!AM131,'Council Entry'!AM$9),'Council Entry'!AM$8),'Council Entry'!AM131)),IF(AND(ISNUMBER('Council Entry'!AM$8),ISNUMBER('Council Entry'!AM$9)),MAX(MIN('Council Entry'!AM131,'Council Entry'!AM$9),'Council Entry'!AM$8),'Council Entry'!AM131))))-'Council Entry'!AM$5)/('Council Entry'!AM$6-'Council Entry'!AM$5)),1))),"No data"))</f>
        <v/>
      </c>
      <c r="AN131" s="13">
        <f>IF('Council Entry'!AN131="","",IFERROR(MAX(0,MIN(10,ROUND(IF('Council Entry'!AN$7="Decrease Risk",10-10*((IF('Council Entry'!AN$4="Logarithm",LN(0.001+IF(AND(ISNUMBER('Council Entry'!AN$8),ISNUMBER('Council Entry'!AN$9)),MAX(MIN('Council Entry'!AN131,'Council Entry'!AN$9),'Council Entry'!AN$8),'Council Entry'!AN131)),IF('Council Entry'!AN$4="Exponential",EXP(IF(AND(ISNUMBER('Council Entry'!AN$8),ISNUMBER('Council Entry'!AN$9)),MAX(MIN('Council Entry'!AN131,'Council Entry'!AN$9),'Council Entry'!AN$8),'Council Entry'!AN131)),IF(AND(ISNUMBER('Council Entry'!AN$8),ISNUMBER('Council Entry'!AN$9)),MAX(MIN('Council Entry'!AN131,'Council Entry'!AN$9),'Council Entry'!AN$8),'Council Entry'!AN131))))-'Council Entry'!AN$5)/('Council Entry'!AN$6-'Council Entry'!AN$5),10*((IF('Council Entry'!AN$4="Logarithm",LN(0.001+IF(AND(ISNUMBER('Council Entry'!AN$8),ISNUMBER('Council Entry'!AN$9)),MAX(MIN('Council Entry'!AN131,'Council Entry'!AN$9),'Council Entry'!AN$8),'Council Entry'!AN131)),IF('Council Entry'!AN$4="Exponential",EXP(IF(AND(ISNUMBER('Council Entry'!AN$8),ISNUMBER('Council Entry'!AN$9)),MAX(MIN('Council Entry'!AN131,'Council Entry'!AN$9),'Council Entry'!AN$8),'Council Entry'!AN131)),IF(AND(ISNUMBER('Council Entry'!AN$8),ISNUMBER('Council Entry'!AN$9)),MAX(MIN('Council Entry'!AN131,'Council Entry'!AN$9),'Council Entry'!AN$8),'Council Entry'!AN131))))-'Council Entry'!AN$5)/('Council Entry'!AN$6-'Council Entry'!AN$5)),1))),"No data"))</f>
        <v/>
      </c>
      <c r="AO131" s="13">
        <f>IF('Council Entry'!AO131="","",IFERROR(MAX(0,MIN(10,ROUND(IF('Council Entry'!AO$7="Decrease Risk",10-10*((IF('Council Entry'!AO$4="Logarithm",LN(0.001+IF(AND(ISNUMBER('Council Entry'!AO$8),ISNUMBER('Council Entry'!AO$9)),MAX(MIN('Council Entry'!AO131,'Council Entry'!AO$9),'Council Entry'!AO$8),'Council Entry'!AO131)),IF('Council Entry'!AO$4="Exponential",EXP(IF(AND(ISNUMBER('Council Entry'!AO$8),ISNUMBER('Council Entry'!AO$9)),MAX(MIN('Council Entry'!AO131,'Council Entry'!AO$9),'Council Entry'!AO$8),'Council Entry'!AO131)),IF(AND(ISNUMBER('Council Entry'!AO$8),ISNUMBER('Council Entry'!AO$9)),MAX(MIN('Council Entry'!AO131,'Council Entry'!AO$9),'Council Entry'!AO$8),'Council Entry'!AO131))))-'Council Entry'!AO$5)/('Council Entry'!AO$6-'Council Entry'!AO$5),10*((IF('Council Entry'!AO$4="Logarithm",LN(0.001+IF(AND(ISNUMBER('Council Entry'!AO$8),ISNUMBER('Council Entry'!AO$9)),MAX(MIN('Council Entry'!AO131,'Council Entry'!AO$9),'Council Entry'!AO$8),'Council Entry'!AO131)),IF('Council Entry'!AO$4="Exponential",EXP(IF(AND(ISNUMBER('Council Entry'!AO$8),ISNUMBER('Council Entry'!AO$9)),MAX(MIN('Council Entry'!AO131,'Council Entry'!AO$9),'Council Entry'!AO$8),'Council Entry'!AO131)),IF(AND(ISNUMBER('Council Entry'!AO$8),ISNUMBER('Council Entry'!AO$9)),MAX(MIN('Council Entry'!AO131,'Council Entry'!AO$9),'Council Entry'!AO$8),'Council Entry'!AO131))))-'Council Entry'!AO$5)/('Council Entry'!AO$6-'Council Entry'!AO$5)),1))),"No data"))</f>
        <v/>
      </c>
      <c r="AP131" s="13">
        <f>IF('Council Entry'!AP131="","",IFERROR(MAX(0,MIN(10,ROUND(IF('Council Entry'!AP$7="Decrease Risk",10-10*((IF('Council Entry'!AP$4="Logarithm",LN(0.001+IF(AND(ISNUMBER('Council Entry'!AP$8),ISNUMBER('Council Entry'!AP$9)),MAX(MIN('Council Entry'!AP131,'Council Entry'!AP$9),'Council Entry'!AP$8),'Council Entry'!AP131)),IF('Council Entry'!AP$4="Exponential",EXP(IF(AND(ISNUMBER('Council Entry'!AP$8),ISNUMBER('Council Entry'!AP$9)),MAX(MIN('Council Entry'!AP131,'Council Entry'!AP$9),'Council Entry'!AP$8),'Council Entry'!AP131)),IF(AND(ISNUMBER('Council Entry'!AP$8),ISNUMBER('Council Entry'!AP$9)),MAX(MIN('Council Entry'!AP131,'Council Entry'!AP$9),'Council Entry'!AP$8),'Council Entry'!AP131))))-'Council Entry'!AP$5)/('Council Entry'!AP$6-'Council Entry'!AP$5),10*((IF('Council Entry'!AP$4="Logarithm",LN(0.001+IF(AND(ISNUMBER('Council Entry'!AP$8),ISNUMBER('Council Entry'!AP$9)),MAX(MIN('Council Entry'!AP131,'Council Entry'!AP$9),'Council Entry'!AP$8),'Council Entry'!AP131)),IF('Council Entry'!AP$4="Exponential",EXP(IF(AND(ISNUMBER('Council Entry'!AP$8),ISNUMBER('Council Entry'!AP$9)),MAX(MIN('Council Entry'!AP131,'Council Entry'!AP$9),'Council Entry'!AP$8),'Council Entry'!AP131)),IF(AND(ISNUMBER('Council Entry'!AP$8),ISNUMBER('Council Entry'!AP$9)),MAX(MIN('Council Entry'!AP131,'Council Entry'!AP$9),'Council Entry'!AP$8),'Council Entry'!AP131))))-'Council Entry'!AP$5)/('Council Entry'!AP$6-'Council Entry'!AP$5)),1))),"No data"))</f>
        <v/>
      </c>
      <c r="AQ131" s="13">
        <f>IF('Council Entry'!AQ131="","",IFERROR(MAX(0,MIN(10,ROUND(IF('Council Entry'!AQ$7="Decrease Risk",10-10*((IF('Council Entry'!AQ$4="Logarithm",LN(0.001+IF(AND(ISNUMBER('Council Entry'!AQ$8),ISNUMBER('Council Entry'!AQ$9)),MAX(MIN('Council Entry'!AQ131,'Council Entry'!AQ$9),'Council Entry'!AQ$8),'Council Entry'!AQ131)),IF('Council Entry'!AQ$4="Exponential",EXP(IF(AND(ISNUMBER('Council Entry'!AQ$8),ISNUMBER('Council Entry'!AQ$9)),MAX(MIN('Council Entry'!AQ131,'Council Entry'!AQ$9),'Council Entry'!AQ$8),'Council Entry'!AQ131)),IF(AND(ISNUMBER('Council Entry'!AQ$8),ISNUMBER('Council Entry'!AQ$9)),MAX(MIN('Council Entry'!AQ131,'Council Entry'!AQ$9),'Council Entry'!AQ$8),'Council Entry'!AQ131))))-'Council Entry'!AQ$5)/('Council Entry'!AQ$6-'Council Entry'!AQ$5),10*((IF('Council Entry'!AQ$4="Logarithm",LN(0.001+IF(AND(ISNUMBER('Council Entry'!AQ$8),ISNUMBER('Council Entry'!AQ$9)),MAX(MIN('Council Entry'!AQ131,'Council Entry'!AQ$9),'Council Entry'!AQ$8),'Council Entry'!AQ131)),IF('Council Entry'!AQ$4="Exponential",EXP(IF(AND(ISNUMBER('Council Entry'!AQ$8),ISNUMBER('Council Entry'!AQ$9)),MAX(MIN('Council Entry'!AQ131,'Council Entry'!AQ$9),'Council Entry'!AQ$8),'Council Entry'!AQ131)),IF(AND(ISNUMBER('Council Entry'!AQ$8),ISNUMBER('Council Entry'!AQ$9)),MAX(MIN('Council Entry'!AQ131,'Council Entry'!AQ$9),'Council Entry'!AQ$8),'Council Entry'!AQ131))))-'Council Entry'!AQ$5)/('Council Entry'!AQ$6-'Council Entry'!AQ$5)),1))),"No data"))</f>
        <v/>
      </c>
      <c r="AR131" s="13">
        <f>IF('Council Entry'!AR131="","",IFERROR(MAX(0,MIN(10,ROUND(IF('Council Entry'!AR$7="Decrease Risk",10-10*((IF('Council Entry'!AR$4="Logarithm",LN(0.001+IF(AND(ISNUMBER('Council Entry'!AR$8),ISNUMBER('Council Entry'!AR$9)),MAX(MIN('Council Entry'!AR131,'Council Entry'!AR$9),'Council Entry'!AR$8),'Council Entry'!AR131)),IF('Council Entry'!AR$4="Exponential",EXP(IF(AND(ISNUMBER('Council Entry'!AR$8),ISNUMBER('Council Entry'!AR$9)),MAX(MIN('Council Entry'!AR131,'Council Entry'!AR$9),'Council Entry'!AR$8),'Council Entry'!AR131)),IF(AND(ISNUMBER('Council Entry'!AR$8),ISNUMBER('Council Entry'!AR$9)),MAX(MIN('Council Entry'!AR131,'Council Entry'!AR$9),'Council Entry'!AR$8),'Council Entry'!AR131))))-'Council Entry'!AR$5)/('Council Entry'!AR$6-'Council Entry'!AR$5),10*((IF('Council Entry'!AR$4="Logarithm",LN(0.001+IF(AND(ISNUMBER('Council Entry'!AR$8),ISNUMBER('Council Entry'!AR$9)),MAX(MIN('Council Entry'!AR131,'Council Entry'!AR$9),'Council Entry'!AR$8),'Council Entry'!AR131)),IF('Council Entry'!AR$4="Exponential",EXP(IF(AND(ISNUMBER('Council Entry'!AR$8),ISNUMBER('Council Entry'!AR$9)),MAX(MIN('Council Entry'!AR131,'Council Entry'!AR$9),'Council Entry'!AR$8),'Council Entry'!AR131)),IF(AND(ISNUMBER('Council Entry'!AR$8),ISNUMBER('Council Entry'!AR$9)),MAX(MIN('Council Entry'!AR131,'Council Entry'!AR$9),'Council Entry'!AR$8),'Council Entry'!AR131))))-'Council Entry'!AR$5)/('Council Entry'!AR$6-'Council Entry'!AR$5)),1))),"No data"))</f>
        <v/>
      </c>
      <c r="AS131" s="13">
        <f>IF('Council Entry'!AS131="","",IFERROR(MAX(0,MIN(10,ROUND(IF('Council Entry'!AS$7="Decrease Risk",10-10*((IF('Council Entry'!AS$4="Logarithm",LN(0.001+IF(AND(ISNUMBER('Council Entry'!AS$8),ISNUMBER('Council Entry'!AS$9)),MAX(MIN('Council Entry'!AS131,'Council Entry'!AS$9),'Council Entry'!AS$8),'Council Entry'!AS131)),IF('Council Entry'!AS$4="Exponential",EXP(IF(AND(ISNUMBER('Council Entry'!AS$8),ISNUMBER('Council Entry'!AS$9)),MAX(MIN('Council Entry'!AS131,'Council Entry'!AS$9),'Council Entry'!AS$8),'Council Entry'!AS131)),IF(AND(ISNUMBER('Council Entry'!AS$8),ISNUMBER('Council Entry'!AS$9)),MAX(MIN('Council Entry'!AS131,'Council Entry'!AS$9),'Council Entry'!AS$8),'Council Entry'!AS131))))-'Council Entry'!AS$5)/('Council Entry'!AS$6-'Council Entry'!AS$5),10*((IF('Council Entry'!AS$4="Logarithm",LN(0.001+IF(AND(ISNUMBER('Council Entry'!AS$8),ISNUMBER('Council Entry'!AS$9)),MAX(MIN('Council Entry'!AS131,'Council Entry'!AS$9),'Council Entry'!AS$8),'Council Entry'!AS131)),IF('Council Entry'!AS$4="Exponential",EXP(IF(AND(ISNUMBER('Council Entry'!AS$8),ISNUMBER('Council Entry'!AS$9)),MAX(MIN('Council Entry'!AS131,'Council Entry'!AS$9),'Council Entry'!AS$8),'Council Entry'!AS131)),IF(AND(ISNUMBER('Council Entry'!AS$8),ISNUMBER('Council Entry'!AS$9)),MAX(MIN('Council Entry'!AS131,'Council Entry'!AS$9),'Council Entry'!AS$8),'Council Entry'!AS131))))-'Council Entry'!AS$5)/('Council Entry'!AS$6-'Council Entry'!AS$5)),1))),"No data"))</f>
        <v/>
      </c>
      <c r="AT131" s="13">
        <f>IF('Council Entry'!AT131="","",IFERROR(MAX(0,MIN(10,ROUND(IF('Council Entry'!AT$7="Decrease Risk",10-10*((IF('Council Entry'!AT$4="Logarithm",LN(0.001+IF(AND(ISNUMBER('Council Entry'!AT$8),ISNUMBER('Council Entry'!AT$9)),MAX(MIN('Council Entry'!AT131,'Council Entry'!AT$9),'Council Entry'!AT$8),'Council Entry'!AT131)),IF('Council Entry'!AT$4="Exponential",EXP(IF(AND(ISNUMBER('Council Entry'!AT$8),ISNUMBER('Council Entry'!AT$9)),MAX(MIN('Council Entry'!AT131,'Council Entry'!AT$9),'Council Entry'!AT$8),'Council Entry'!AT131)),IF(AND(ISNUMBER('Council Entry'!AT$8),ISNUMBER('Council Entry'!AT$9)),MAX(MIN('Council Entry'!AT131,'Council Entry'!AT$9),'Council Entry'!AT$8),'Council Entry'!AT131))))-'Council Entry'!AT$5)/('Council Entry'!AT$6-'Council Entry'!AT$5),10*((IF('Council Entry'!AT$4="Logarithm",LN(0.001+IF(AND(ISNUMBER('Council Entry'!AT$8),ISNUMBER('Council Entry'!AT$9)),MAX(MIN('Council Entry'!AT131,'Council Entry'!AT$9),'Council Entry'!AT$8),'Council Entry'!AT131)),IF('Council Entry'!AT$4="Exponential",EXP(IF(AND(ISNUMBER('Council Entry'!AT$8),ISNUMBER('Council Entry'!AT$9)),MAX(MIN('Council Entry'!AT131,'Council Entry'!AT$9),'Council Entry'!AT$8),'Council Entry'!AT131)),IF(AND(ISNUMBER('Council Entry'!AT$8),ISNUMBER('Council Entry'!AT$9)),MAX(MIN('Council Entry'!AT131,'Council Entry'!AT$9),'Council Entry'!AT$8),'Council Entry'!AT131))))-'Council Entry'!AT$5)/('Council Entry'!AT$6-'Council Entry'!AT$5)),1))),"No data"))</f>
        <v/>
      </c>
      <c r="AU131" s="13">
        <f>IF('Council Entry'!AU131="","",IFERROR(MAX(0,MIN(10,ROUND(IF('Council Entry'!AU$7="Decrease Risk",10-10*((IF('Council Entry'!AU$4="Logarithm",LN(0.001+IF(AND(ISNUMBER('Council Entry'!AU$8),ISNUMBER('Council Entry'!AU$9)),MAX(MIN('Council Entry'!AU131,'Council Entry'!AU$9),'Council Entry'!AU$8),'Council Entry'!AU131)),IF('Council Entry'!AU$4="Exponential",EXP(IF(AND(ISNUMBER('Council Entry'!AU$8),ISNUMBER('Council Entry'!AU$9)),MAX(MIN('Council Entry'!AU131,'Council Entry'!AU$9),'Council Entry'!AU$8),'Council Entry'!AU131)),IF(AND(ISNUMBER('Council Entry'!AU$8),ISNUMBER('Council Entry'!AU$9)),MAX(MIN('Council Entry'!AU131,'Council Entry'!AU$9),'Council Entry'!AU$8),'Council Entry'!AU131))))-'Council Entry'!AU$5)/('Council Entry'!AU$6-'Council Entry'!AU$5),10*((IF('Council Entry'!AU$4="Logarithm",LN(0.001+IF(AND(ISNUMBER('Council Entry'!AU$8),ISNUMBER('Council Entry'!AU$9)),MAX(MIN('Council Entry'!AU131,'Council Entry'!AU$9),'Council Entry'!AU$8),'Council Entry'!AU131)),IF('Council Entry'!AU$4="Exponential",EXP(IF(AND(ISNUMBER('Council Entry'!AU$8),ISNUMBER('Council Entry'!AU$9)),MAX(MIN('Council Entry'!AU131,'Council Entry'!AU$9),'Council Entry'!AU$8),'Council Entry'!AU131)),IF(AND(ISNUMBER('Council Entry'!AU$8),ISNUMBER('Council Entry'!AU$9)),MAX(MIN('Council Entry'!AU131,'Council Entry'!AU$9),'Council Entry'!AU$8),'Council Entry'!AU131))))-'Council Entry'!AU$5)/('Council Entry'!AU$6-'Council Entry'!AU$5)),1))),"No data"))</f>
        <v/>
      </c>
      <c r="AV131" s="13">
        <f>IF('Council Entry'!AV131="","",IFERROR(MAX(0,MIN(10,ROUND(IF('Council Entry'!AV$7="Decrease Risk",10-10*((IF('Council Entry'!AV$4="Logarithm",LN(0.001+IF(AND(ISNUMBER('Council Entry'!AV$8),ISNUMBER('Council Entry'!AV$9)),MAX(MIN('Council Entry'!AV131,'Council Entry'!AV$9),'Council Entry'!AV$8),'Council Entry'!AV131)),IF('Council Entry'!AV$4="Exponential",EXP(IF(AND(ISNUMBER('Council Entry'!AV$8),ISNUMBER('Council Entry'!AV$9)),MAX(MIN('Council Entry'!AV131,'Council Entry'!AV$9),'Council Entry'!AV$8),'Council Entry'!AV131)),IF(AND(ISNUMBER('Council Entry'!AV$8),ISNUMBER('Council Entry'!AV$9)),MAX(MIN('Council Entry'!AV131,'Council Entry'!AV$9),'Council Entry'!AV$8),'Council Entry'!AV131))))-'Council Entry'!AV$5)/('Council Entry'!AV$6-'Council Entry'!AV$5),10*((IF('Council Entry'!AV$4="Logarithm",LN(0.001+IF(AND(ISNUMBER('Council Entry'!AV$8),ISNUMBER('Council Entry'!AV$9)),MAX(MIN('Council Entry'!AV131,'Council Entry'!AV$9),'Council Entry'!AV$8),'Council Entry'!AV131)),IF('Council Entry'!AV$4="Exponential",EXP(IF(AND(ISNUMBER('Council Entry'!AV$8),ISNUMBER('Council Entry'!AV$9)),MAX(MIN('Council Entry'!AV131,'Council Entry'!AV$9),'Council Entry'!AV$8),'Council Entry'!AV131)),IF(AND(ISNUMBER('Council Entry'!AV$8),ISNUMBER('Council Entry'!AV$9)),MAX(MIN('Council Entry'!AV131,'Council Entry'!AV$9),'Council Entry'!AV$8),'Council Entry'!AV131))))-'Council Entry'!AV$5)/('Council Entry'!AV$6-'Council Entry'!AV$5)),1))),"No data"))</f>
        <v/>
      </c>
      <c r="AW131" s="13">
        <f>IF('Council Entry'!AW131="","",IFERROR(MAX(0,MIN(10,ROUND(IF('Council Entry'!AW$7="Decrease Risk",10-10*((IF('Council Entry'!AW$4="Logarithm",LN(0.001+IF(AND(ISNUMBER('Council Entry'!AW$8),ISNUMBER('Council Entry'!AW$9)),MAX(MIN('Council Entry'!AW131,'Council Entry'!AW$9),'Council Entry'!AW$8),'Council Entry'!AW131)),IF('Council Entry'!AW$4="Exponential",EXP(IF(AND(ISNUMBER('Council Entry'!AW$8),ISNUMBER('Council Entry'!AW$9)),MAX(MIN('Council Entry'!AW131,'Council Entry'!AW$9),'Council Entry'!AW$8),'Council Entry'!AW131)),IF(AND(ISNUMBER('Council Entry'!AW$8),ISNUMBER('Council Entry'!AW$9)),MAX(MIN('Council Entry'!AW131,'Council Entry'!AW$9),'Council Entry'!AW$8),'Council Entry'!AW131))))-'Council Entry'!AW$5)/('Council Entry'!AW$6-'Council Entry'!AW$5),10*((IF('Council Entry'!AW$4="Logarithm",LN(0.001+IF(AND(ISNUMBER('Council Entry'!AW$8),ISNUMBER('Council Entry'!AW$9)),MAX(MIN('Council Entry'!AW131,'Council Entry'!AW$9),'Council Entry'!AW$8),'Council Entry'!AW131)),IF('Council Entry'!AW$4="Exponential",EXP(IF(AND(ISNUMBER('Council Entry'!AW$8),ISNUMBER('Council Entry'!AW$9)),MAX(MIN('Council Entry'!AW131,'Council Entry'!AW$9),'Council Entry'!AW$8),'Council Entry'!AW131)),IF(AND(ISNUMBER('Council Entry'!AW$8),ISNUMBER('Council Entry'!AW$9)),MAX(MIN('Council Entry'!AW131,'Council Entry'!AW$9),'Council Entry'!AW$8),'Council Entry'!AW131))))-'Council Entry'!AW$5)/('Council Entry'!AW$6-'Council Entry'!AW$5)),1))),"No data"))</f>
        <v/>
      </c>
      <c r="AX131" s="13">
        <f>IF('Council Entry'!AX131="","",IFERROR(MAX(0,MIN(10,ROUND(IF('Council Entry'!AX$7="Decrease Risk",10-10*((IF('Council Entry'!AX$4="Logarithm",LN(0.001+IF(AND(ISNUMBER('Council Entry'!AX$8),ISNUMBER('Council Entry'!AX$9)),MAX(MIN('Council Entry'!AX131,'Council Entry'!AX$9),'Council Entry'!AX$8),'Council Entry'!AX131)),IF('Council Entry'!AX$4="Exponential",EXP(IF(AND(ISNUMBER('Council Entry'!AX$8),ISNUMBER('Council Entry'!AX$9)),MAX(MIN('Council Entry'!AX131,'Council Entry'!AX$9),'Council Entry'!AX$8),'Council Entry'!AX131)),IF(AND(ISNUMBER('Council Entry'!AX$8),ISNUMBER('Council Entry'!AX$9)),MAX(MIN('Council Entry'!AX131,'Council Entry'!AX$9),'Council Entry'!AX$8),'Council Entry'!AX131))))-'Council Entry'!AX$5)/('Council Entry'!AX$6-'Council Entry'!AX$5),10*((IF('Council Entry'!AX$4="Logarithm",LN(0.001+IF(AND(ISNUMBER('Council Entry'!AX$8),ISNUMBER('Council Entry'!AX$9)),MAX(MIN('Council Entry'!AX131,'Council Entry'!AX$9),'Council Entry'!AX$8),'Council Entry'!AX131)),IF('Council Entry'!AX$4="Exponential",EXP(IF(AND(ISNUMBER('Council Entry'!AX$8),ISNUMBER('Council Entry'!AX$9)),MAX(MIN('Council Entry'!AX131,'Council Entry'!AX$9),'Council Entry'!AX$8),'Council Entry'!AX131)),IF(AND(ISNUMBER('Council Entry'!AX$8),ISNUMBER('Council Entry'!AX$9)),MAX(MIN('Council Entry'!AX131,'Council Entry'!AX$9),'Council Entry'!AX$8),'Council Entry'!AX131))))-'Council Entry'!AX$5)/('Council Entry'!AX$6-'Council Entry'!AX$5)),1))),"No data"))</f>
        <v/>
      </c>
      <c r="AY131" s="13">
        <f>IF('Council Entry'!AY131="","",IFERROR(MAX(0,MIN(10,ROUND(IF('Council Entry'!AY$7="Decrease Risk",10-10*((IF('Council Entry'!AY$4="Logarithm",LN(0.001+IF(AND(ISNUMBER('Council Entry'!AY$8),ISNUMBER('Council Entry'!AY$9)),MAX(MIN('Council Entry'!AY131,'Council Entry'!AY$9),'Council Entry'!AY$8),'Council Entry'!AY131)),IF('Council Entry'!AY$4="Exponential",EXP(IF(AND(ISNUMBER('Council Entry'!AY$8),ISNUMBER('Council Entry'!AY$9)),MAX(MIN('Council Entry'!AY131,'Council Entry'!AY$9),'Council Entry'!AY$8),'Council Entry'!AY131)),IF(AND(ISNUMBER('Council Entry'!AY$8),ISNUMBER('Council Entry'!AY$9)),MAX(MIN('Council Entry'!AY131,'Council Entry'!AY$9),'Council Entry'!AY$8),'Council Entry'!AY131))))-'Council Entry'!AY$5)/('Council Entry'!AY$6-'Council Entry'!AY$5),10*((IF('Council Entry'!AY$4="Logarithm",LN(0.001+IF(AND(ISNUMBER('Council Entry'!AY$8),ISNUMBER('Council Entry'!AY$9)),MAX(MIN('Council Entry'!AY131,'Council Entry'!AY$9),'Council Entry'!AY$8),'Council Entry'!AY131)),IF('Council Entry'!AY$4="Exponential",EXP(IF(AND(ISNUMBER('Council Entry'!AY$8),ISNUMBER('Council Entry'!AY$9)),MAX(MIN('Council Entry'!AY131,'Council Entry'!AY$9),'Council Entry'!AY$8),'Council Entry'!AY131)),IF(AND(ISNUMBER('Council Entry'!AY$8),ISNUMBER('Council Entry'!AY$9)),MAX(MIN('Council Entry'!AY131,'Council Entry'!AY$9),'Council Entry'!AY$8),'Council Entry'!AY131))))-'Council Entry'!AY$5)/('Council Entry'!AY$6-'Council Entry'!AY$5)),1))),"No data"))</f>
        <v/>
      </c>
      <c r="AZ131" s="13">
        <f>IF('Council Entry'!AZ131="","",IFERROR(MAX(0,MIN(10,ROUND(IF('Council Entry'!AZ$7="Decrease Risk",10-10*((IF('Council Entry'!AZ$4="Logarithm",LN(0.001+IF(AND(ISNUMBER('Council Entry'!AZ$8),ISNUMBER('Council Entry'!AZ$9)),MAX(MIN('Council Entry'!AZ131,'Council Entry'!AZ$9),'Council Entry'!AZ$8),'Council Entry'!AZ131)),IF('Council Entry'!AZ$4="Exponential",EXP(IF(AND(ISNUMBER('Council Entry'!AZ$8),ISNUMBER('Council Entry'!AZ$9)),MAX(MIN('Council Entry'!AZ131,'Council Entry'!AZ$9),'Council Entry'!AZ$8),'Council Entry'!AZ131)),IF(AND(ISNUMBER('Council Entry'!AZ$8),ISNUMBER('Council Entry'!AZ$9)),MAX(MIN('Council Entry'!AZ131,'Council Entry'!AZ$9),'Council Entry'!AZ$8),'Council Entry'!AZ131))))-'Council Entry'!AZ$5)/('Council Entry'!AZ$6-'Council Entry'!AZ$5),10*((IF('Council Entry'!AZ$4="Logarithm",LN(0.001+IF(AND(ISNUMBER('Council Entry'!AZ$8),ISNUMBER('Council Entry'!AZ$9)),MAX(MIN('Council Entry'!AZ131,'Council Entry'!AZ$9),'Council Entry'!AZ$8),'Council Entry'!AZ131)),IF('Council Entry'!AZ$4="Exponential",EXP(IF(AND(ISNUMBER('Council Entry'!AZ$8),ISNUMBER('Council Entry'!AZ$9)),MAX(MIN('Council Entry'!AZ131,'Council Entry'!AZ$9),'Council Entry'!AZ$8),'Council Entry'!AZ131)),IF(AND(ISNUMBER('Council Entry'!AZ$8),ISNUMBER('Council Entry'!AZ$9)),MAX(MIN('Council Entry'!AZ131,'Council Entry'!AZ$9),'Council Entry'!AZ$8),'Council Entry'!AZ131))))-'Council Entry'!AZ$5)/('Council Entry'!AZ$6-'Council Entry'!AZ$5)),1))),"No data"))</f>
        <v/>
      </c>
      <c r="BA131" s="13">
        <f>IF('Council Entry'!BA131="","",IFERROR(MAX(0,MIN(10,ROUND(IF('Council Entry'!BA$7="Decrease Risk",10-10*((IF('Council Entry'!BA$4="Logarithm",LN(0.001+IF(AND(ISNUMBER('Council Entry'!BA$8),ISNUMBER('Council Entry'!BA$9)),MAX(MIN('Council Entry'!BA131,'Council Entry'!BA$9),'Council Entry'!BA$8),'Council Entry'!BA131)),IF('Council Entry'!BA$4="Exponential",EXP(IF(AND(ISNUMBER('Council Entry'!BA$8),ISNUMBER('Council Entry'!BA$9)),MAX(MIN('Council Entry'!BA131,'Council Entry'!BA$9),'Council Entry'!BA$8),'Council Entry'!BA131)),IF(AND(ISNUMBER('Council Entry'!BA$8),ISNUMBER('Council Entry'!BA$9)),MAX(MIN('Council Entry'!BA131,'Council Entry'!BA$9),'Council Entry'!BA$8),'Council Entry'!BA131))))-'Council Entry'!BA$5)/('Council Entry'!BA$6-'Council Entry'!BA$5),10*((IF('Council Entry'!BA$4="Logarithm",LN(0.001+IF(AND(ISNUMBER('Council Entry'!BA$8),ISNUMBER('Council Entry'!BA$9)),MAX(MIN('Council Entry'!BA131,'Council Entry'!BA$9),'Council Entry'!BA$8),'Council Entry'!BA131)),IF('Council Entry'!BA$4="Exponential",EXP(IF(AND(ISNUMBER('Council Entry'!BA$8),ISNUMBER('Council Entry'!BA$9)),MAX(MIN('Council Entry'!BA131,'Council Entry'!BA$9),'Council Entry'!BA$8),'Council Entry'!BA131)),IF(AND(ISNUMBER('Council Entry'!BA$8),ISNUMBER('Council Entry'!BA$9)),MAX(MIN('Council Entry'!BA131,'Council Entry'!BA$9),'Council Entry'!BA$8),'Council Entry'!BA131))))-'Council Entry'!BA$5)/('Council Entry'!BA$6-'Council Entry'!BA$5)),1))),"No data"))</f>
        <v/>
      </c>
      <c r="BB131" s="13">
        <f>IF('Council Entry'!BB131="","",IFERROR(MAX(0,MIN(10,ROUND(IF('Council Entry'!BB$7="Decrease Risk",10-10*((IF('Council Entry'!BB$4="Logarithm",LN(0.001+IF(AND(ISNUMBER('Council Entry'!BB$8),ISNUMBER('Council Entry'!BB$9)),MAX(MIN('Council Entry'!BB131,'Council Entry'!BB$9),'Council Entry'!BB$8),'Council Entry'!BB131)),IF('Council Entry'!BB$4="Exponential",EXP(IF(AND(ISNUMBER('Council Entry'!BB$8),ISNUMBER('Council Entry'!BB$9)),MAX(MIN('Council Entry'!BB131,'Council Entry'!BB$9),'Council Entry'!BB$8),'Council Entry'!BB131)),IF(AND(ISNUMBER('Council Entry'!BB$8),ISNUMBER('Council Entry'!BB$9)),MAX(MIN('Council Entry'!BB131,'Council Entry'!BB$9),'Council Entry'!BB$8),'Council Entry'!BB131))))-'Council Entry'!BB$5)/('Council Entry'!BB$6-'Council Entry'!BB$5),10*((IF('Council Entry'!BB$4="Logarithm",LN(0.001+IF(AND(ISNUMBER('Council Entry'!BB$8),ISNUMBER('Council Entry'!BB$9)),MAX(MIN('Council Entry'!BB131,'Council Entry'!BB$9),'Council Entry'!BB$8),'Council Entry'!BB131)),IF('Council Entry'!BB$4="Exponential",EXP(IF(AND(ISNUMBER('Council Entry'!BB$8),ISNUMBER('Council Entry'!BB$9)),MAX(MIN('Council Entry'!BB131,'Council Entry'!BB$9),'Council Entry'!BB$8),'Council Entry'!BB131)),IF(AND(ISNUMBER('Council Entry'!BB$8),ISNUMBER('Council Entry'!BB$9)),MAX(MIN('Council Entry'!BB131,'Council Entry'!BB$9),'Council Entry'!BB$8),'Council Entry'!BB131))))-'Council Entry'!BB$5)/('Council Entry'!BB$6-'Council Entry'!BB$5)),1))),"No data"))</f>
        <v/>
      </c>
      <c r="BC131" s="13">
        <f>IF('Council Entry'!BC131="","",IFERROR(MAX(0,MIN(10,ROUND(IF('Council Entry'!BC$7="Decrease Risk",10-10*((IF('Council Entry'!BC$4="Logarithm",LN(0.001+IF(AND(ISNUMBER('Council Entry'!BC$8),ISNUMBER('Council Entry'!BC$9)),MAX(MIN('Council Entry'!BC131,'Council Entry'!BC$9),'Council Entry'!BC$8),'Council Entry'!BC131)),IF('Council Entry'!BC$4="Exponential",EXP(IF(AND(ISNUMBER('Council Entry'!BC$8),ISNUMBER('Council Entry'!BC$9)),MAX(MIN('Council Entry'!BC131,'Council Entry'!BC$9),'Council Entry'!BC$8),'Council Entry'!BC131)),IF(AND(ISNUMBER('Council Entry'!BC$8),ISNUMBER('Council Entry'!BC$9)),MAX(MIN('Council Entry'!BC131,'Council Entry'!BC$9),'Council Entry'!BC$8),'Council Entry'!BC131))))-'Council Entry'!BC$5)/('Council Entry'!BC$6-'Council Entry'!BC$5),10*((IF('Council Entry'!BC$4="Logarithm",LN(0.001+IF(AND(ISNUMBER('Council Entry'!BC$8),ISNUMBER('Council Entry'!BC$9)),MAX(MIN('Council Entry'!BC131,'Council Entry'!BC$9),'Council Entry'!BC$8),'Council Entry'!BC131)),IF('Council Entry'!BC$4="Exponential",EXP(IF(AND(ISNUMBER('Council Entry'!BC$8),ISNUMBER('Council Entry'!BC$9)),MAX(MIN('Council Entry'!BC131,'Council Entry'!BC$9),'Council Entry'!BC$8),'Council Entry'!BC131)),IF(AND(ISNUMBER('Council Entry'!BC$8),ISNUMBER('Council Entry'!BC$9)),MAX(MIN('Council Entry'!BC131,'Council Entry'!BC$9),'Council Entry'!BC$8),'Council Entry'!BC131))))-'Council Entry'!BC$5)/('Council Entry'!BC$6-'Council Entry'!BC$5)),1))),"No data"))</f>
        <v/>
      </c>
      <c r="BD131" s="13">
        <f>IF('Council Entry'!BD131="","",IFERROR(MAX(0,MIN(10,ROUND(IF('Council Entry'!BD$7="Decrease Risk",10-10*((IF('Council Entry'!BD$4="Logarithm",LN(0.001+IF(AND(ISNUMBER('Council Entry'!BD$8),ISNUMBER('Council Entry'!BD$9)),MAX(MIN('Council Entry'!BD131,'Council Entry'!BD$9),'Council Entry'!BD$8),'Council Entry'!BD131)),IF('Council Entry'!BD$4="Exponential",EXP(IF(AND(ISNUMBER('Council Entry'!BD$8),ISNUMBER('Council Entry'!BD$9)),MAX(MIN('Council Entry'!BD131,'Council Entry'!BD$9),'Council Entry'!BD$8),'Council Entry'!BD131)),IF(AND(ISNUMBER('Council Entry'!BD$8),ISNUMBER('Council Entry'!BD$9)),MAX(MIN('Council Entry'!BD131,'Council Entry'!BD$9),'Council Entry'!BD$8),'Council Entry'!BD131))))-'Council Entry'!BD$5)/('Council Entry'!BD$6-'Council Entry'!BD$5),10*((IF('Council Entry'!BD$4="Logarithm",LN(0.001+IF(AND(ISNUMBER('Council Entry'!BD$8),ISNUMBER('Council Entry'!BD$9)),MAX(MIN('Council Entry'!BD131,'Council Entry'!BD$9),'Council Entry'!BD$8),'Council Entry'!BD131)),IF('Council Entry'!BD$4="Exponential",EXP(IF(AND(ISNUMBER('Council Entry'!BD$8),ISNUMBER('Council Entry'!BD$9)),MAX(MIN('Council Entry'!BD131,'Council Entry'!BD$9),'Council Entry'!BD$8),'Council Entry'!BD131)),IF(AND(ISNUMBER('Council Entry'!BD$8),ISNUMBER('Council Entry'!BD$9)),MAX(MIN('Council Entry'!BD131,'Council Entry'!BD$9),'Council Entry'!BD$8),'Council Entry'!BD131))))-'Council Entry'!BD$5)/('Council Entry'!BD$6-'Council Entry'!BD$5)),1))),"No data"))</f>
        <v/>
      </c>
    </row>
    <row r="132">
      <c r="A132" t="inlineStr">
        <is>
          <t>Mwanza</t>
        </is>
      </c>
      <c r="B132" t="inlineStr">
        <is>
          <t>Misungwi District</t>
        </is>
      </c>
      <c r="C132" t="inlineStr">
        <is>
          <t>C140</t>
        </is>
      </c>
      <c r="D132" s="13">
        <f>IF('Council Entry'!D132="","",IFERROR(MAX(0,MIN(10,ROUND(IF('Council Entry'!D$7="Decrease Risk",10-10*((IF('Council Entry'!D$4="Logarithm",LN(0.001+IF(AND(ISNUMBER('Council Entry'!D$8),ISNUMBER('Council Entry'!D$9)),MAX(MIN('Council Entry'!D132,'Council Entry'!D$9),'Council Entry'!D$8),'Council Entry'!D132)),IF('Council Entry'!D$4="Exponential",EXP(IF(AND(ISNUMBER('Council Entry'!D$8),ISNUMBER('Council Entry'!D$9)),MAX(MIN('Council Entry'!D132,'Council Entry'!D$9),'Council Entry'!D$8),'Council Entry'!D132)),IF(AND(ISNUMBER('Council Entry'!D$8),ISNUMBER('Council Entry'!D$9)),MAX(MIN('Council Entry'!D132,'Council Entry'!D$9),'Council Entry'!D$8),'Council Entry'!D132))))-'Council Entry'!D$5)/('Council Entry'!D$6-'Council Entry'!D$5),10*((IF('Council Entry'!D$4="Logarithm",LN(0.001+IF(AND(ISNUMBER('Council Entry'!D$8),ISNUMBER('Council Entry'!D$9)),MAX(MIN('Council Entry'!D132,'Council Entry'!D$9),'Council Entry'!D$8),'Council Entry'!D132)),IF('Council Entry'!D$4="Exponential",EXP(IF(AND(ISNUMBER('Council Entry'!D$8),ISNUMBER('Council Entry'!D$9)),MAX(MIN('Council Entry'!D132,'Council Entry'!D$9),'Council Entry'!D$8),'Council Entry'!D132)),IF(AND(ISNUMBER('Council Entry'!D$8),ISNUMBER('Council Entry'!D$9)),MAX(MIN('Council Entry'!D132,'Council Entry'!D$9),'Council Entry'!D$8),'Council Entry'!D132))))-'Council Entry'!D$5)/('Council Entry'!D$6-'Council Entry'!D$5)),1))),"No data"))</f>
        <v/>
      </c>
      <c r="E132" s="13">
        <f>IF('Council Entry'!E132="","",IFERROR(MAX(0,MIN(10,ROUND(IF('Council Entry'!E$7="Decrease Risk",10-10*((IF('Council Entry'!E$4="Logarithm",LN(0.001+IF(AND(ISNUMBER('Council Entry'!E$8),ISNUMBER('Council Entry'!E$9)),MAX(MIN('Council Entry'!E132,'Council Entry'!E$9),'Council Entry'!E$8),'Council Entry'!E132)),IF('Council Entry'!E$4="Exponential",EXP(IF(AND(ISNUMBER('Council Entry'!E$8),ISNUMBER('Council Entry'!E$9)),MAX(MIN('Council Entry'!E132,'Council Entry'!E$9),'Council Entry'!E$8),'Council Entry'!E132)),IF(AND(ISNUMBER('Council Entry'!E$8),ISNUMBER('Council Entry'!E$9)),MAX(MIN('Council Entry'!E132,'Council Entry'!E$9),'Council Entry'!E$8),'Council Entry'!E132))))-'Council Entry'!E$5)/('Council Entry'!E$6-'Council Entry'!E$5),10*((IF('Council Entry'!E$4="Logarithm",LN(0.001+IF(AND(ISNUMBER('Council Entry'!E$8),ISNUMBER('Council Entry'!E$9)),MAX(MIN('Council Entry'!E132,'Council Entry'!E$9),'Council Entry'!E$8),'Council Entry'!E132)),IF('Council Entry'!E$4="Exponential",EXP(IF(AND(ISNUMBER('Council Entry'!E$8),ISNUMBER('Council Entry'!E$9)),MAX(MIN('Council Entry'!E132,'Council Entry'!E$9),'Council Entry'!E$8),'Council Entry'!E132)),IF(AND(ISNUMBER('Council Entry'!E$8),ISNUMBER('Council Entry'!E$9)),MAX(MIN('Council Entry'!E132,'Council Entry'!E$9),'Council Entry'!E$8),'Council Entry'!E132))))-'Council Entry'!E$5)/('Council Entry'!E$6-'Council Entry'!E$5)),1))),"No data"))</f>
        <v/>
      </c>
      <c r="F132" s="13">
        <f>IF('Council Entry'!F132="","",IFERROR(MAX(0,MIN(10,ROUND(IF('Council Entry'!F$7="Decrease Risk",10-10*((IF('Council Entry'!F$4="Logarithm",LN(0.001+IF(AND(ISNUMBER('Council Entry'!F$8),ISNUMBER('Council Entry'!F$9)),MAX(MIN('Council Entry'!F132,'Council Entry'!F$9),'Council Entry'!F$8),'Council Entry'!F132)),IF('Council Entry'!F$4="Exponential",EXP(IF(AND(ISNUMBER('Council Entry'!F$8),ISNUMBER('Council Entry'!F$9)),MAX(MIN('Council Entry'!F132,'Council Entry'!F$9),'Council Entry'!F$8),'Council Entry'!F132)),IF(AND(ISNUMBER('Council Entry'!F$8),ISNUMBER('Council Entry'!F$9)),MAX(MIN('Council Entry'!F132,'Council Entry'!F$9),'Council Entry'!F$8),'Council Entry'!F132))))-'Council Entry'!F$5)/('Council Entry'!F$6-'Council Entry'!F$5),10*((IF('Council Entry'!F$4="Logarithm",LN(0.001+IF(AND(ISNUMBER('Council Entry'!F$8),ISNUMBER('Council Entry'!F$9)),MAX(MIN('Council Entry'!F132,'Council Entry'!F$9),'Council Entry'!F$8),'Council Entry'!F132)),IF('Council Entry'!F$4="Exponential",EXP(IF(AND(ISNUMBER('Council Entry'!F$8),ISNUMBER('Council Entry'!F$9)),MAX(MIN('Council Entry'!F132,'Council Entry'!F$9),'Council Entry'!F$8),'Council Entry'!F132)),IF(AND(ISNUMBER('Council Entry'!F$8),ISNUMBER('Council Entry'!F$9)),MAX(MIN('Council Entry'!F132,'Council Entry'!F$9),'Council Entry'!F$8),'Council Entry'!F132))))-'Council Entry'!F$5)/('Council Entry'!F$6-'Council Entry'!F$5)),1))),"No data"))</f>
        <v/>
      </c>
      <c r="G132" s="13">
        <f>IF('Council Entry'!G132="","",IFERROR(MAX(0,MIN(10,ROUND(IF('Council Entry'!G$7="Decrease Risk",10-10*((IF('Council Entry'!G$4="Logarithm",LN(0.001+IF(AND(ISNUMBER('Council Entry'!G$8),ISNUMBER('Council Entry'!G$9)),MAX(MIN('Council Entry'!G132,'Council Entry'!G$9),'Council Entry'!G$8),'Council Entry'!G132)),IF('Council Entry'!G$4="Exponential",EXP(IF(AND(ISNUMBER('Council Entry'!G$8),ISNUMBER('Council Entry'!G$9)),MAX(MIN('Council Entry'!G132,'Council Entry'!G$9),'Council Entry'!G$8),'Council Entry'!G132)),IF(AND(ISNUMBER('Council Entry'!G$8),ISNUMBER('Council Entry'!G$9)),MAX(MIN('Council Entry'!G132,'Council Entry'!G$9),'Council Entry'!G$8),'Council Entry'!G132))))-'Council Entry'!G$5)/('Council Entry'!G$6-'Council Entry'!G$5),10*((IF('Council Entry'!G$4="Logarithm",LN(0.001+IF(AND(ISNUMBER('Council Entry'!G$8),ISNUMBER('Council Entry'!G$9)),MAX(MIN('Council Entry'!G132,'Council Entry'!G$9),'Council Entry'!G$8),'Council Entry'!G132)),IF('Council Entry'!G$4="Exponential",EXP(IF(AND(ISNUMBER('Council Entry'!G$8),ISNUMBER('Council Entry'!G$9)),MAX(MIN('Council Entry'!G132,'Council Entry'!G$9),'Council Entry'!G$8),'Council Entry'!G132)),IF(AND(ISNUMBER('Council Entry'!G$8),ISNUMBER('Council Entry'!G$9)),MAX(MIN('Council Entry'!G132,'Council Entry'!G$9),'Council Entry'!G$8),'Council Entry'!G132))))-'Council Entry'!G$5)/('Council Entry'!G$6-'Council Entry'!G$5)),1))),"No data"))</f>
        <v/>
      </c>
      <c r="H132" s="13">
        <f>IF('Council Entry'!H132="","",IFERROR(MAX(0,MIN(10,ROUND(IF('Council Entry'!H$7="Decrease Risk",10-10*((IF('Council Entry'!H$4="Logarithm",LN(0.001+IF(AND(ISNUMBER('Council Entry'!H$8),ISNUMBER('Council Entry'!H$9)),MAX(MIN('Council Entry'!H132,'Council Entry'!H$9),'Council Entry'!H$8),'Council Entry'!H132)),IF('Council Entry'!H$4="Exponential",EXP(IF(AND(ISNUMBER('Council Entry'!H$8),ISNUMBER('Council Entry'!H$9)),MAX(MIN('Council Entry'!H132,'Council Entry'!H$9),'Council Entry'!H$8),'Council Entry'!H132)),IF(AND(ISNUMBER('Council Entry'!H$8),ISNUMBER('Council Entry'!H$9)),MAX(MIN('Council Entry'!H132,'Council Entry'!H$9),'Council Entry'!H$8),'Council Entry'!H132))))-'Council Entry'!H$5)/('Council Entry'!H$6-'Council Entry'!H$5),10*((IF('Council Entry'!H$4="Logarithm",LN(0.001+IF(AND(ISNUMBER('Council Entry'!H$8),ISNUMBER('Council Entry'!H$9)),MAX(MIN('Council Entry'!H132,'Council Entry'!H$9),'Council Entry'!H$8),'Council Entry'!H132)),IF('Council Entry'!H$4="Exponential",EXP(IF(AND(ISNUMBER('Council Entry'!H$8),ISNUMBER('Council Entry'!H$9)),MAX(MIN('Council Entry'!H132,'Council Entry'!H$9),'Council Entry'!H$8),'Council Entry'!H132)),IF(AND(ISNUMBER('Council Entry'!H$8),ISNUMBER('Council Entry'!H$9)),MAX(MIN('Council Entry'!H132,'Council Entry'!H$9),'Council Entry'!H$8),'Council Entry'!H132))))-'Council Entry'!H$5)/('Council Entry'!H$6-'Council Entry'!H$5)),1))),"No data"))</f>
        <v/>
      </c>
      <c r="I132" s="13">
        <f>IF('Council Entry'!I132="","",IFERROR(MAX(0,MIN(10,ROUND(IF('Council Entry'!I$7="Decrease Risk",10-10*((IF('Council Entry'!I$4="Logarithm",LN(0.001+IF(AND(ISNUMBER('Council Entry'!I$8),ISNUMBER('Council Entry'!I$9)),MAX(MIN('Council Entry'!I132,'Council Entry'!I$9),'Council Entry'!I$8),'Council Entry'!I132)),IF('Council Entry'!I$4="Exponential",EXP(IF(AND(ISNUMBER('Council Entry'!I$8),ISNUMBER('Council Entry'!I$9)),MAX(MIN('Council Entry'!I132,'Council Entry'!I$9),'Council Entry'!I$8),'Council Entry'!I132)),IF(AND(ISNUMBER('Council Entry'!I$8),ISNUMBER('Council Entry'!I$9)),MAX(MIN('Council Entry'!I132,'Council Entry'!I$9),'Council Entry'!I$8),'Council Entry'!I132))))-'Council Entry'!I$5)/('Council Entry'!I$6-'Council Entry'!I$5),10*((IF('Council Entry'!I$4="Logarithm",LN(0.001+IF(AND(ISNUMBER('Council Entry'!I$8),ISNUMBER('Council Entry'!I$9)),MAX(MIN('Council Entry'!I132,'Council Entry'!I$9),'Council Entry'!I$8),'Council Entry'!I132)),IF('Council Entry'!I$4="Exponential",EXP(IF(AND(ISNUMBER('Council Entry'!I$8),ISNUMBER('Council Entry'!I$9)),MAX(MIN('Council Entry'!I132,'Council Entry'!I$9),'Council Entry'!I$8),'Council Entry'!I132)),IF(AND(ISNUMBER('Council Entry'!I$8),ISNUMBER('Council Entry'!I$9)),MAX(MIN('Council Entry'!I132,'Council Entry'!I$9),'Council Entry'!I$8),'Council Entry'!I132))))-'Council Entry'!I$5)/('Council Entry'!I$6-'Council Entry'!I$5)),1))),"No data"))</f>
        <v/>
      </c>
      <c r="J132" s="13">
        <f>IF('Council Entry'!J132="","",IFERROR(MAX(0,MIN(10,ROUND(IF('Council Entry'!J$7="Decrease Risk",10-10*((IF('Council Entry'!J$4="Logarithm",LN(0.001+IF(AND(ISNUMBER('Council Entry'!J$8),ISNUMBER('Council Entry'!J$9)),MAX(MIN('Council Entry'!J132,'Council Entry'!J$9),'Council Entry'!J$8),'Council Entry'!J132)),IF('Council Entry'!J$4="Exponential",EXP(IF(AND(ISNUMBER('Council Entry'!J$8),ISNUMBER('Council Entry'!J$9)),MAX(MIN('Council Entry'!J132,'Council Entry'!J$9),'Council Entry'!J$8),'Council Entry'!J132)),IF(AND(ISNUMBER('Council Entry'!J$8),ISNUMBER('Council Entry'!J$9)),MAX(MIN('Council Entry'!J132,'Council Entry'!J$9),'Council Entry'!J$8),'Council Entry'!J132))))-'Council Entry'!J$5)/('Council Entry'!J$6-'Council Entry'!J$5),10*((IF('Council Entry'!J$4="Logarithm",LN(0.001+IF(AND(ISNUMBER('Council Entry'!J$8),ISNUMBER('Council Entry'!J$9)),MAX(MIN('Council Entry'!J132,'Council Entry'!J$9),'Council Entry'!J$8),'Council Entry'!J132)),IF('Council Entry'!J$4="Exponential",EXP(IF(AND(ISNUMBER('Council Entry'!J$8),ISNUMBER('Council Entry'!J$9)),MAX(MIN('Council Entry'!J132,'Council Entry'!J$9),'Council Entry'!J$8),'Council Entry'!J132)),IF(AND(ISNUMBER('Council Entry'!J$8),ISNUMBER('Council Entry'!J$9)),MAX(MIN('Council Entry'!J132,'Council Entry'!J$9),'Council Entry'!J$8),'Council Entry'!J132))))-'Council Entry'!J$5)/('Council Entry'!J$6-'Council Entry'!J$5)),1))),"No data"))</f>
        <v/>
      </c>
      <c r="K132" s="13">
        <f>IF('Council Entry'!K132="","",IFERROR(MAX(0,MIN(10,ROUND(IF('Council Entry'!K$7="Decrease Risk",10-10*((IF('Council Entry'!K$4="Logarithm",LN(0.001+IF(AND(ISNUMBER('Council Entry'!K$8),ISNUMBER('Council Entry'!K$9)),MAX(MIN('Council Entry'!K132,'Council Entry'!K$9),'Council Entry'!K$8),'Council Entry'!K132)),IF('Council Entry'!K$4="Exponential",EXP(IF(AND(ISNUMBER('Council Entry'!K$8),ISNUMBER('Council Entry'!K$9)),MAX(MIN('Council Entry'!K132,'Council Entry'!K$9),'Council Entry'!K$8),'Council Entry'!K132)),IF(AND(ISNUMBER('Council Entry'!K$8),ISNUMBER('Council Entry'!K$9)),MAX(MIN('Council Entry'!K132,'Council Entry'!K$9),'Council Entry'!K$8),'Council Entry'!K132))))-'Council Entry'!K$5)/('Council Entry'!K$6-'Council Entry'!K$5),10*((IF('Council Entry'!K$4="Logarithm",LN(0.001+IF(AND(ISNUMBER('Council Entry'!K$8),ISNUMBER('Council Entry'!K$9)),MAX(MIN('Council Entry'!K132,'Council Entry'!K$9),'Council Entry'!K$8),'Council Entry'!K132)),IF('Council Entry'!K$4="Exponential",EXP(IF(AND(ISNUMBER('Council Entry'!K$8),ISNUMBER('Council Entry'!K$9)),MAX(MIN('Council Entry'!K132,'Council Entry'!K$9),'Council Entry'!K$8),'Council Entry'!K132)),IF(AND(ISNUMBER('Council Entry'!K$8),ISNUMBER('Council Entry'!K$9)),MAX(MIN('Council Entry'!K132,'Council Entry'!K$9),'Council Entry'!K$8),'Council Entry'!K132))))-'Council Entry'!K$5)/('Council Entry'!K$6-'Council Entry'!K$5)),1))),"No data"))</f>
        <v/>
      </c>
      <c r="L132" s="13">
        <f>IF('Council Entry'!L132="","",IFERROR(MAX(0,MIN(10,ROUND(IF('Council Entry'!L$7="Decrease Risk",10-10*((IF('Council Entry'!L$4="Logarithm",LN(0.001+IF(AND(ISNUMBER('Council Entry'!L$8),ISNUMBER('Council Entry'!L$9)),MAX(MIN('Council Entry'!L132,'Council Entry'!L$9),'Council Entry'!L$8),'Council Entry'!L132)),IF('Council Entry'!L$4="Exponential",EXP(IF(AND(ISNUMBER('Council Entry'!L$8),ISNUMBER('Council Entry'!L$9)),MAX(MIN('Council Entry'!L132,'Council Entry'!L$9),'Council Entry'!L$8),'Council Entry'!L132)),IF(AND(ISNUMBER('Council Entry'!L$8),ISNUMBER('Council Entry'!L$9)),MAX(MIN('Council Entry'!L132,'Council Entry'!L$9),'Council Entry'!L$8),'Council Entry'!L132))))-'Council Entry'!L$5)/('Council Entry'!L$6-'Council Entry'!L$5),10*((IF('Council Entry'!L$4="Logarithm",LN(0.001+IF(AND(ISNUMBER('Council Entry'!L$8),ISNUMBER('Council Entry'!L$9)),MAX(MIN('Council Entry'!L132,'Council Entry'!L$9),'Council Entry'!L$8),'Council Entry'!L132)),IF('Council Entry'!L$4="Exponential",EXP(IF(AND(ISNUMBER('Council Entry'!L$8),ISNUMBER('Council Entry'!L$9)),MAX(MIN('Council Entry'!L132,'Council Entry'!L$9),'Council Entry'!L$8),'Council Entry'!L132)),IF(AND(ISNUMBER('Council Entry'!L$8),ISNUMBER('Council Entry'!L$9)),MAX(MIN('Council Entry'!L132,'Council Entry'!L$9),'Council Entry'!L$8),'Council Entry'!L132))))-'Council Entry'!L$5)/('Council Entry'!L$6-'Council Entry'!L$5)),1))),"No data"))</f>
        <v/>
      </c>
      <c r="M132" s="13">
        <f>IF('Council Entry'!M132="","",IFERROR(MAX(0,MIN(10,ROUND(IF('Council Entry'!M$7="Decrease Risk",10-10*((IF('Council Entry'!M$4="Logarithm",LN(0.001+IF(AND(ISNUMBER('Council Entry'!M$8),ISNUMBER('Council Entry'!M$9)),MAX(MIN('Council Entry'!M132,'Council Entry'!M$9),'Council Entry'!M$8),'Council Entry'!M132)),IF('Council Entry'!M$4="Exponential",EXP(IF(AND(ISNUMBER('Council Entry'!M$8),ISNUMBER('Council Entry'!M$9)),MAX(MIN('Council Entry'!M132,'Council Entry'!M$9),'Council Entry'!M$8),'Council Entry'!M132)),IF(AND(ISNUMBER('Council Entry'!M$8),ISNUMBER('Council Entry'!M$9)),MAX(MIN('Council Entry'!M132,'Council Entry'!M$9),'Council Entry'!M$8),'Council Entry'!M132))))-'Council Entry'!M$5)/('Council Entry'!M$6-'Council Entry'!M$5),10*((IF('Council Entry'!M$4="Logarithm",LN(0.001+IF(AND(ISNUMBER('Council Entry'!M$8),ISNUMBER('Council Entry'!M$9)),MAX(MIN('Council Entry'!M132,'Council Entry'!M$9),'Council Entry'!M$8),'Council Entry'!M132)),IF('Council Entry'!M$4="Exponential",EXP(IF(AND(ISNUMBER('Council Entry'!M$8),ISNUMBER('Council Entry'!M$9)),MAX(MIN('Council Entry'!M132,'Council Entry'!M$9),'Council Entry'!M$8),'Council Entry'!M132)),IF(AND(ISNUMBER('Council Entry'!M$8),ISNUMBER('Council Entry'!M$9)),MAX(MIN('Council Entry'!M132,'Council Entry'!M$9),'Council Entry'!M$8),'Council Entry'!M132))))-'Council Entry'!M$5)/('Council Entry'!M$6-'Council Entry'!M$5)),1))),"No data"))</f>
        <v/>
      </c>
      <c r="N132" s="13">
        <f>IF('Council Entry'!N132="","",IFERROR(MAX(0,MIN(10,ROUND(IF('Council Entry'!N$7="Decrease Risk",10-10*((IF('Council Entry'!N$4="Logarithm",LN(0.001+IF(AND(ISNUMBER('Council Entry'!N$8),ISNUMBER('Council Entry'!N$9)),MAX(MIN('Council Entry'!N132,'Council Entry'!N$9),'Council Entry'!N$8),'Council Entry'!N132)),IF('Council Entry'!N$4="Exponential",EXP(IF(AND(ISNUMBER('Council Entry'!N$8),ISNUMBER('Council Entry'!N$9)),MAX(MIN('Council Entry'!N132,'Council Entry'!N$9),'Council Entry'!N$8),'Council Entry'!N132)),IF(AND(ISNUMBER('Council Entry'!N$8),ISNUMBER('Council Entry'!N$9)),MAX(MIN('Council Entry'!N132,'Council Entry'!N$9),'Council Entry'!N$8),'Council Entry'!N132))))-'Council Entry'!N$5)/('Council Entry'!N$6-'Council Entry'!N$5),10*((IF('Council Entry'!N$4="Logarithm",LN(0.001+IF(AND(ISNUMBER('Council Entry'!N$8),ISNUMBER('Council Entry'!N$9)),MAX(MIN('Council Entry'!N132,'Council Entry'!N$9),'Council Entry'!N$8),'Council Entry'!N132)),IF('Council Entry'!N$4="Exponential",EXP(IF(AND(ISNUMBER('Council Entry'!N$8),ISNUMBER('Council Entry'!N$9)),MAX(MIN('Council Entry'!N132,'Council Entry'!N$9),'Council Entry'!N$8),'Council Entry'!N132)),IF(AND(ISNUMBER('Council Entry'!N$8),ISNUMBER('Council Entry'!N$9)),MAX(MIN('Council Entry'!N132,'Council Entry'!N$9),'Council Entry'!N$8),'Council Entry'!N132))))-'Council Entry'!N$5)/('Council Entry'!N$6-'Council Entry'!N$5)),1))),"No data"))</f>
        <v/>
      </c>
      <c r="O132" s="13">
        <f>IF('Council Entry'!O132="","",IFERROR(MAX(0,MIN(10,ROUND(IF('Council Entry'!O$7="Decrease Risk",10-10*((IF('Council Entry'!O$4="Logarithm",LN(0.001+IF(AND(ISNUMBER('Council Entry'!O$8),ISNUMBER('Council Entry'!O$9)),MAX(MIN('Council Entry'!O132,'Council Entry'!O$9),'Council Entry'!O$8),'Council Entry'!O132)),IF('Council Entry'!O$4="Exponential",EXP(IF(AND(ISNUMBER('Council Entry'!O$8),ISNUMBER('Council Entry'!O$9)),MAX(MIN('Council Entry'!O132,'Council Entry'!O$9),'Council Entry'!O$8),'Council Entry'!O132)),IF(AND(ISNUMBER('Council Entry'!O$8),ISNUMBER('Council Entry'!O$9)),MAX(MIN('Council Entry'!O132,'Council Entry'!O$9),'Council Entry'!O$8),'Council Entry'!O132))))-'Council Entry'!O$5)/('Council Entry'!O$6-'Council Entry'!O$5),10*((IF('Council Entry'!O$4="Logarithm",LN(0.001+IF(AND(ISNUMBER('Council Entry'!O$8),ISNUMBER('Council Entry'!O$9)),MAX(MIN('Council Entry'!O132,'Council Entry'!O$9),'Council Entry'!O$8),'Council Entry'!O132)),IF('Council Entry'!O$4="Exponential",EXP(IF(AND(ISNUMBER('Council Entry'!O$8),ISNUMBER('Council Entry'!O$9)),MAX(MIN('Council Entry'!O132,'Council Entry'!O$9),'Council Entry'!O$8),'Council Entry'!O132)),IF(AND(ISNUMBER('Council Entry'!O$8),ISNUMBER('Council Entry'!O$9)),MAX(MIN('Council Entry'!O132,'Council Entry'!O$9),'Council Entry'!O$8),'Council Entry'!O132))))-'Council Entry'!O$5)/('Council Entry'!O$6-'Council Entry'!O$5)),1))),"No data"))</f>
        <v/>
      </c>
      <c r="P132" s="13">
        <f>IF('Council Entry'!P132="","",IFERROR(MAX(0,MIN(10,ROUND(IF('Council Entry'!P$7="Decrease Risk",10-10*((IF('Council Entry'!P$4="Logarithm",LN(0.001+IF(AND(ISNUMBER('Council Entry'!P$8),ISNUMBER('Council Entry'!P$9)),MAX(MIN('Council Entry'!P132,'Council Entry'!P$9),'Council Entry'!P$8),'Council Entry'!P132)),IF('Council Entry'!P$4="Exponential",EXP(IF(AND(ISNUMBER('Council Entry'!P$8),ISNUMBER('Council Entry'!P$9)),MAX(MIN('Council Entry'!P132,'Council Entry'!P$9),'Council Entry'!P$8),'Council Entry'!P132)),IF(AND(ISNUMBER('Council Entry'!P$8),ISNUMBER('Council Entry'!P$9)),MAX(MIN('Council Entry'!P132,'Council Entry'!P$9),'Council Entry'!P$8),'Council Entry'!P132))))-'Council Entry'!P$5)/('Council Entry'!P$6-'Council Entry'!P$5),10*((IF('Council Entry'!P$4="Logarithm",LN(0.001+IF(AND(ISNUMBER('Council Entry'!P$8),ISNUMBER('Council Entry'!P$9)),MAX(MIN('Council Entry'!P132,'Council Entry'!P$9),'Council Entry'!P$8),'Council Entry'!P132)),IF('Council Entry'!P$4="Exponential",EXP(IF(AND(ISNUMBER('Council Entry'!P$8),ISNUMBER('Council Entry'!P$9)),MAX(MIN('Council Entry'!P132,'Council Entry'!P$9),'Council Entry'!P$8),'Council Entry'!P132)),IF(AND(ISNUMBER('Council Entry'!P$8),ISNUMBER('Council Entry'!P$9)),MAX(MIN('Council Entry'!P132,'Council Entry'!P$9),'Council Entry'!P$8),'Council Entry'!P132))))-'Council Entry'!P$5)/('Council Entry'!P$6-'Council Entry'!P$5)),1))),"No data"))</f>
        <v/>
      </c>
      <c r="Q132" s="13">
        <f>IF('Council Entry'!Q132="","",IFERROR(MAX(0,MIN(10,ROUND(IF('Council Entry'!Q$7="Decrease Risk",10-10*((IF('Council Entry'!Q$4="Logarithm",LN(0.001+IF(AND(ISNUMBER('Council Entry'!Q$8),ISNUMBER('Council Entry'!Q$9)),MAX(MIN('Council Entry'!Q132,'Council Entry'!Q$9),'Council Entry'!Q$8),'Council Entry'!Q132)),IF('Council Entry'!Q$4="Exponential",EXP(IF(AND(ISNUMBER('Council Entry'!Q$8),ISNUMBER('Council Entry'!Q$9)),MAX(MIN('Council Entry'!Q132,'Council Entry'!Q$9),'Council Entry'!Q$8),'Council Entry'!Q132)),IF(AND(ISNUMBER('Council Entry'!Q$8),ISNUMBER('Council Entry'!Q$9)),MAX(MIN('Council Entry'!Q132,'Council Entry'!Q$9),'Council Entry'!Q$8),'Council Entry'!Q132))))-'Council Entry'!Q$5)/('Council Entry'!Q$6-'Council Entry'!Q$5),10*((IF('Council Entry'!Q$4="Logarithm",LN(0.001+IF(AND(ISNUMBER('Council Entry'!Q$8),ISNUMBER('Council Entry'!Q$9)),MAX(MIN('Council Entry'!Q132,'Council Entry'!Q$9),'Council Entry'!Q$8),'Council Entry'!Q132)),IF('Council Entry'!Q$4="Exponential",EXP(IF(AND(ISNUMBER('Council Entry'!Q$8),ISNUMBER('Council Entry'!Q$9)),MAX(MIN('Council Entry'!Q132,'Council Entry'!Q$9),'Council Entry'!Q$8),'Council Entry'!Q132)),IF(AND(ISNUMBER('Council Entry'!Q$8),ISNUMBER('Council Entry'!Q$9)),MAX(MIN('Council Entry'!Q132,'Council Entry'!Q$9),'Council Entry'!Q$8),'Council Entry'!Q132))))-'Council Entry'!Q$5)/('Council Entry'!Q$6-'Council Entry'!Q$5)),1))),"No data"))</f>
        <v/>
      </c>
      <c r="R132" s="13">
        <f>IF('Council Entry'!R132="","",IFERROR(MAX(0,MIN(10,ROUND(IF('Council Entry'!R$7="Decrease Risk",10-10*((IF('Council Entry'!R$4="Logarithm",LN(0.001+IF(AND(ISNUMBER('Council Entry'!R$8),ISNUMBER('Council Entry'!R$9)),MAX(MIN('Council Entry'!R132,'Council Entry'!R$9),'Council Entry'!R$8),'Council Entry'!R132)),IF('Council Entry'!R$4="Exponential",EXP(IF(AND(ISNUMBER('Council Entry'!R$8),ISNUMBER('Council Entry'!R$9)),MAX(MIN('Council Entry'!R132,'Council Entry'!R$9),'Council Entry'!R$8),'Council Entry'!R132)),IF(AND(ISNUMBER('Council Entry'!R$8),ISNUMBER('Council Entry'!R$9)),MAX(MIN('Council Entry'!R132,'Council Entry'!R$9),'Council Entry'!R$8),'Council Entry'!R132))))-'Council Entry'!R$5)/('Council Entry'!R$6-'Council Entry'!R$5),10*((IF('Council Entry'!R$4="Logarithm",LN(0.001+IF(AND(ISNUMBER('Council Entry'!R$8),ISNUMBER('Council Entry'!R$9)),MAX(MIN('Council Entry'!R132,'Council Entry'!R$9),'Council Entry'!R$8),'Council Entry'!R132)),IF('Council Entry'!R$4="Exponential",EXP(IF(AND(ISNUMBER('Council Entry'!R$8),ISNUMBER('Council Entry'!R$9)),MAX(MIN('Council Entry'!R132,'Council Entry'!R$9),'Council Entry'!R$8),'Council Entry'!R132)),IF(AND(ISNUMBER('Council Entry'!R$8),ISNUMBER('Council Entry'!R$9)),MAX(MIN('Council Entry'!R132,'Council Entry'!R$9),'Council Entry'!R$8),'Council Entry'!R132))))-'Council Entry'!R$5)/('Council Entry'!R$6-'Council Entry'!R$5)),1))),"No data"))</f>
        <v/>
      </c>
      <c r="S132" s="13">
        <f>IF('Council Entry'!S132="","",IFERROR(MAX(0,MIN(10,ROUND(IF('Council Entry'!S$7="Decrease Risk",10-10*((IF('Council Entry'!S$4="Logarithm",LN(0.001+IF(AND(ISNUMBER('Council Entry'!S$8),ISNUMBER('Council Entry'!S$9)),MAX(MIN('Council Entry'!S132,'Council Entry'!S$9),'Council Entry'!S$8),'Council Entry'!S132)),IF('Council Entry'!S$4="Exponential",EXP(IF(AND(ISNUMBER('Council Entry'!S$8),ISNUMBER('Council Entry'!S$9)),MAX(MIN('Council Entry'!S132,'Council Entry'!S$9),'Council Entry'!S$8),'Council Entry'!S132)),IF(AND(ISNUMBER('Council Entry'!S$8),ISNUMBER('Council Entry'!S$9)),MAX(MIN('Council Entry'!S132,'Council Entry'!S$9),'Council Entry'!S$8),'Council Entry'!S132))))-'Council Entry'!S$5)/('Council Entry'!S$6-'Council Entry'!S$5),10*((IF('Council Entry'!S$4="Logarithm",LN(0.001+IF(AND(ISNUMBER('Council Entry'!S$8),ISNUMBER('Council Entry'!S$9)),MAX(MIN('Council Entry'!S132,'Council Entry'!S$9),'Council Entry'!S$8),'Council Entry'!S132)),IF('Council Entry'!S$4="Exponential",EXP(IF(AND(ISNUMBER('Council Entry'!S$8),ISNUMBER('Council Entry'!S$9)),MAX(MIN('Council Entry'!S132,'Council Entry'!S$9),'Council Entry'!S$8),'Council Entry'!S132)),IF(AND(ISNUMBER('Council Entry'!S$8),ISNUMBER('Council Entry'!S$9)),MAX(MIN('Council Entry'!S132,'Council Entry'!S$9),'Council Entry'!S$8),'Council Entry'!S132))))-'Council Entry'!S$5)/('Council Entry'!S$6-'Council Entry'!S$5)),1))),"No data"))</f>
        <v/>
      </c>
      <c r="T132" s="13">
        <f>IF('Council Entry'!T132="","",IFERROR(MAX(0,MIN(10,ROUND(IF('Council Entry'!T$7="Decrease Risk",10-10*((IF('Council Entry'!T$4="Logarithm",LN(0.001+IF(AND(ISNUMBER('Council Entry'!T$8),ISNUMBER('Council Entry'!T$9)),MAX(MIN('Council Entry'!T132,'Council Entry'!T$9),'Council Entry'!T$8),'Council Entry'!T132)),IF('Council Entry'!T$4="Exponential",EXP(IF(AND(ISNUMBER('Council Entry'!T$8),ISNUMBER('Council Entry'!T$9)),MAX(MIN('Council Entry'!T132,'Council Entry'!T$9),'Council Entry'!T$8),'Council Entry'!T132)),IF(AND(ISNUMBER('Council Entry'!T$8),ISNUMBER('Council Entry'!T$9)),MAX(MIN('Council Entry'!T132,'Council Entry'!T$9),'Council Entry'!T$8),'Council Entry'!T132))))-'Council Entry'!T$5)/('Council Entry'!T$6-'Council Entry'!T$5),10*((IF('Council Entry'!T$4="Logarithm",LN(0.001+IF(AND(ISNUMBER('Council Entry'!T$8),ISNUMBER('Council Entry'!T$9)),MAX(MIN('Council Entry'!T132,'Council Entry'!T$9),'Council Entry'!T$8),'Council Entry'!T132)),IF('Council Entry'!T$4="Exponential",EXP(IF(AND(ISNUMBER('Council Entry'!T$8),ISNUMBER('Council Entry'!T$9)),MAX(MIN('Council Entry'!T132,'Council Entry'!T$9),'Council Entry'!T$8),'Council Entry'!T132)),IF(AND(ISNUMBER('Council Entry'!T$8),ISNUMBER('Council Entry'!T$9)),MAX(MIN('Council Entry'!T132,'Council Entry'!T$9),'Council Entry'!T$8),'Council Entry'!T132))))-'Council Entry'!T$5)/('Council Entry'!T$6-'Council Entry'!T$5)),1))),"No data"))</f>
        <v/>
      </c>
      <c r="U132" s="13">
        <f>IF('Council Entry'!U132="","",IFERROR(MAX(0,MIN(10,ROUND(IF('Council Entry'!U$7="Decrease Risk",10-10*((IF('Council Entry'!U$4="Logarithm",LN(0.001+IF(AND(ISNUMBER('Council Entry'!U$8),ISNUMBER('Council Entry'!U$9)),MAX(MIN('Council Entry'!U132,'Council Entry'!U$9),'Council Entry'!U$8),'Council Entry'!U132)),IF('Council Entry'!U$4="Exponential",EXP(IF(AND(ISNUMBER('Council Entry'!U$8),ISNUMBER('Council Entry'!U$9)),MAX(MIN('Council Entry'!U132,'Council Entry'!U$9),'Council Entry'!U$8),'Council Entry'!U132)),IF(AND(ISNUMBER('Council Entry'!U$8),ISNUMBER('Council Entry'!U$9)),MAX(MIN('Council Entry'!U132,'Council Entry'!U$9),'Council Entry'!U$8),'Council Entry'!U132))))-'Council Entry'!U$5)/('Council Entry'!U$6-'Council Entry'!U$5),10*((IF('Council Entry'!U$4="Logarithm",LN(0.001+IF(AND(ISNUMBER('Council Entry'!U$8),ISNUMBER('Council Entry'!U$9)),MAX(MIN('Council Entry'!U132,'Council Entry'!U$9),'Council Entry'!U$8),'Council Entry'!U132)),IF('Council Entry'!U$4="Exponential",EXP(IF(AND(ISNUMBER('Council Entry'!U$8),ISNUMBER('Council Entry'!U$9)),MAX(MIN('Council Entry'!U132,'Council Entry'!U$9),'Council Entry'!U$8),'Council Entry'!U132)),IF(AND(ISNUMBER('Council Entry'!U$8),ISNUMBER('Council Entry'!U$9)),MAX(MIN('Council Entry'!U132,'Council Entry'!U$9),'Council Entry'!U$8),'Council Entry'!U132))))-'Council Entry'!U$5)/('Council Entry'!U$6-'Council Entry'!U$5)),1))),"No data"))</f>
        <v/>
      </c>
      <c r="V132" s="13">
        <f>IF('Council Entry'!V132="","",IFERROR(MAX(0,MIN(10,ROUND(IF('Council Entry'!V$7="Decrease Risk",10-10*((IF('Council Entry'!V$4="Logarithm",LN(0.001+IF(AND(ISNUMBER('Council Entry'!V$8),ISNUMBER('Council Entry'!V$9)),MAX(MIN('Council Entry'!V132,'Council Entry'!V$9),'Council Entry'!V$8),'Council Entry'!V132)),IF('Council Entry'!V$4="Exponential",EXP(IF(AND(ISNUMBER('Council Entry'!V$8),ISNUMBER('Council Entry'!V$9)),MAX(MIN('Council Entry'!V132,'Council Entry'!V$9),'Council Entry'!V$8),'Council Entry'!V132)),IF(AND(ISNUMBER('Council Entry'!V$8),ISNUMBER('Council Entry'!V$9)),MAX(MIN('Council Entry'!V132,'Council Entry'!V$9),'Council Entry'!V$8),'Council Entry'!V132))))-'Council Entry'!V$5)/('Council Entry'!V$6-'Council Entry'!V$5),10*((IF('Council Entry'!V$4="Logarithm",LN(0.001+IF(AND(ISNUMBER('Council Entry'!V$8),ISNUMBER('Council Entry'!V$9)),MAX(MIN('Council Entry'!V132,'Council Entry'!V$9),'Council Entry'!V$8),'Council Entry'!V132)),IF('Council Entry'!V$4="Exponential",EXP(IF(AND(ISNUMBER('Council Entry'!V$8),ISNUMBER('Council Entry'!V$9)),MAX(MIN('Council Entry'!V132,'Council Entry'!V$9),'Council Entry'!V$8),'Council Entry'!V132)),IF(AND(ISNUMBER('Council Entry'!V$8),ISNUMBER('Council Entry'!V$9)),MAX(MIN('Council Entry'!V132,'Council Entry'!V$9),'Council Entry'!V$8),'Council Entry'!V132))))-'Council Entry'!V$5)/('Council Entry'!V$6-'Council Entry'!V$5)),1))),"No data"))</f>
        <v/>
      </c>
      <c r="W132" s="13">
        <f>IF('Council Entry'!W132="","",IFERROR(MAX(0,MIN(10,ROUND(IF('Council Entry'!W$7="Decrease Risk",10-10*((IF('Council Entry'!W$4="Logarithm",LN(0.001+IF(AND(ISNUMBER('Council Entry'!W$8),ISNUMBER('Council Entry'!W$9)),MAX(MIN('Council Entry'!W132,'Council Entry'!W$9),'Council Entry'!W$8),'Council Entry'!W132)),IF('Council Entry'!W$4="Exponential",EXP(IF(AND(ISNUMBER('Council Entry'!W$8),ISNUMBER('Council Entry'!W$9)),MAX(MIN('Council Entry'!W132,'Council Entry'!W$9),'Council Entry'!W$8),'Council Entry'!W132)),IF(AND(ISNUMBER('Council Entry'!W$8),ISNUMBER('Council Entry'!W$9)),MAX(MIN('Council Entry'!W132,'Council Entry'!W$9),'Council Entry'!W$8),'Council Entry'!W132))))-'Council Entry'!W$5)/('Council Entry'!W$6-'Council Entry'!W$5),10*((IF('Council Entry'!W$4="Logarithm",LN(0.001+IF(AND(ISNUMBER('Council Entry'!W$8),ISNUMBER('Council Entry'!W$9)),MAX(MIN('Council Entry'!W132,'Council Entry'!W$9),'Council Entry'!W$8),'Council Entry'!W132)),IF('Council Entry'!W$4="Exponential",EXP(IF(AND(ISNUMBER('Council Entry'!W$8),ISNUMBER('Council Entry'!W$9)),MAX(MIN('Council Entry'!W132,'Council Entry'!W$9),'Council Entry'!W$8),'Council Entry'!W132)),IF(AND(ISNUMBER('Council Entry'!W$8),ISNUMBER('Council Entry'!W$9)),MAX(MIN('Council Entry'!W132,'Council Entry'!W$9),'Council Entry'!W$8),'Council Entry'!W132))))-'Council Entry'!W$5)/('Council Entry'!W$6-'Council Entry'!W$5)),1))),"No data"))</f>
        <v/>
      </c>
      <c r="X132" s="13">
        <f>IF('Council Entry'!X132="","",IFERROR(MAX(0,MIN(10,ROUND(IF('Council Entry'!X$7="Decrease Risk",10-10*((IF('Council Entry'!X$4="Logarithm",LN(0.001+IF(AND(ISNUMBER('Council Entry'!X$8),ISNUMBER('Council Entry'!X$9)),MAX(MIN('Council Entry'!X132,'Council Entry'!X$9),'Council Entry'!X$8),'Council Entry'!X132)),IF('Council Entry'!X$4="Exponential",EXP(IF(AND(ISNUMBER('Council Entry'!X$8),ISNUMBER('Council Entry'!X$9)),MAX(MIN('Council Entry'!X132,'Council Entry'!X$9),'Council Entry'!X$8),'Council Entry'!X132)),IF(AND(ISNUMBER('Council Entry'!X$8),ISNUMBER('Council Entry'!X$9)),MAX(MIN('Council Entry'!X132,'Council Entry'!X$9),'Council Entry'!X$8),'Council Entry'!X132))))-'Council Entry'!X$5)/('Council Entry'!X$6-'Council Entry'!X$5),10*((IF('Council Entry'!X$4="Logarithm",LN(0.001+IF(AND(ISNUMBER('Council Entry'!X$8),ISNUMBER('Council Entry'!X$9)),MAX(MIN('Council Entry'!X132,'Council Entry'!X$9),'Council Entry'!X$8),'Council Entry'!X132)),IF('Council Entry'!X$4="Exponential",EXP(IF(AND(ISNUMBER('Council Entry'!X$8),ISNUMBER('Council Entry'!X$9)),MAX(MIN('Council Entry'!X132,'Council Entry'!X$9),'Council Entry'!X$8),'Council Entry'!X132)),IF(AND(ISNUMBER('Council Entry'!X$8),ISNUMBER('Council Entry'!X$9)),MAX(MIN('Council Entry'!X132,'Council Entry'!X$9),'Council Entry'!X$8),'Council Entry'!X132))))-'Council Entry'!X$5)/('Council Entry'!X$6-'Council Entry'!X$5)),1))),"No data"))</f>
        <v/>
      </c>
      <c r="Y132" s="13">
        <f>IF('Council Entry'!Y132="","",IFERROR(MAX(0,MIN(10,ROUND(IF('Council Entry'!Y$7="Decrease Risk",10-10*((IF('Council Entry'!Y$4="Logarithm",LN(0.001+IF(AND(ISNUMBER('Council Entry'!Y$8),ISNUMBER('Council Entry'!Y$9)),MAX(MIN('Council Entry'!Y132,'Council Entry'!Y$9),'Council Entry'!Y$8),'Council Entry'!Y132)),IF('Council Entry'!Y$4="Exponential",EXP(IF(AND(ISNUMBER('Council Entry'!Y$8),ISNUMBER('Council Entry'!Y$9)),MAX(MIN('Council Entry'!Y132,'Council Entry'!Y$9),'Council Entry'!Y$8),'Council Entry'!Y132)),IF(AND(ISNUMBER('Council Entry'!Y$8),ISNUMBER('Council Entry'!Y$9)),MAX(MIN('Council Entry'!Y132,'Council Entry'!Y$9),'Council Entry'!Y$8),'Council Entry'!Y132))))-'Council Entry'!Y$5)/('Council Entry'!Y$6-'Council Entry'!Y$5),10*((IF('Council Entry'!Y$4="Logarithm",LN(0.001+IF(AND(ISNUMBER('Council Entry'!Y$8),ISNUMBER('Council Entry'!Y$9)),MAX(MIN('Council Entry'!Y132,'Council Entry'!Y$9),'Council Entry'!Y$8),'Council Entry'!Y132)),IF('Council Entry'!Y$4="Exponential",EXP(IF(AND(ISNUMBER('Council Entry'!Y$8),ISNUMBER('Council Entry'!Y$9)),MAX(MIN('Council Entry'!Y132,'Council Entry'!Y$9),'Council Entry'!Y$8),'Council Entry'!Y132)),IF(AND(ISNUMBER('Council Entry'!Y$8),ISNUMBER('Council Entry'!Y$9)),MAX(MIN('Council Entry'!Y132,'Council Entry'!Y$9),'Council Entry'!Y$8),'Council Entry'!Y132))))-'Council Entry'!Y$5)/('Council Entry'!Y$6-'Council Entry'!Y$5)),1))),"No data"))</f>
        <v/>
      </c>
      <c r="Z132" s="13">
        <f>IF('Council Entry'!Z132="","",IFERROR(MAX(0,MIN(10,ROUND(IF('Council Entry'!Z$7="Decrease Risk",10-10*((IF('Council Entry'!Z$4="Logarithm",LN(0.001+IF(AND(ISNUMBER('Council Entry'!Z$8),ISNUMBER('Council Entry'!Z$9)),MAX(MIN('Council Entry'!Z132,'Council Entry'!Z$9),'Council Entry'!Z$8),'Council Entry'!Z132)),IF('Council Entry'!Z$4="Exponential",EXP(IF(AND(ISNUMBER('Council Entry'!Z$8),ISNUMBER('Council Entry'!Z$9)),MAX(MIN('Council Entry'!Z132,'Council Entry'!Z$9),'Council Entry'!Z$8),'Council Entry'!Z132)),IF(AND(ISNUMBER('Council Entry'!Z$8),ISNUMBER('Council Entry'!Z$9)),MAX(MIN('Council Entry'!Z132,'Council Entry'!Z$9),'Council Entry'!Z$8),'Council Entry'!Z132))))-'Council Entry'!Z$5)/('Council Entry'!Z$6-'Council Entry'!Z$5),10*((IF('Council Entry'!Z$4="Logarithm",LN(0.001+IF(AND(ISNUMBER('Council Entry'!Z$8),ISNUMBER('Council Entry'!Z$9)),MAX(MIN('Council Entry'!Z132,'Council Entry'!Z$9),'Council Entry'!Z$8),'Council Entry'!Z132)),IF('Council Entry'!Z$4="Exponential",EXP(IF(AND(ISNUMBER('Council Entry'!Z$8),ISNUMBER('Council Entry'!Z$9)),MAX(MIN('Council Entry'!Z132,'Council Entry'!Z$9),'Council Entry'!Z$8),'Council Entry'!Z132)),IF(AND(ISNUMBER('Council Entry'!Z$8),ISNUMBER('Council Entry'!Z$9)),MAX(MIN('Council Entry'!Z132,'Council Entry'!Z$9),'Council Entry'!Z$8),'Council Entry'!Z132))))-'Council Entry'!Z$5)/('Council Entry'!Z$6-'Council Entry'!Z$5)),1))),"No data"))</f>
        <v/>
      </c>
      <c r="AA132" s="13">
        <f>IF('Council Entry'!AA132="","",IFERROR(MAX(0,MIN(10,ROUND(IF('Council Entry'!AA$7="Decrease Risk",10-10*((IF('Council Entry'!AA$4="Logarithm",LN(0.001+IF(AND(ISNUMBER('Council Entry'!AA$8),ISNUMBER('Council Entry'!AA$9)),MAX(MIN('Council Entry'!AA132,'Council Entry'!AA$9),'Council Entry'!AA$8),'Council Entry'!AA132)),IF('Council Entry'!AA$4="Exponential",EXP(IF(AND(ISNUMBER('Council Entry'!AA$8),ISNUMBER('Council Entry'!AA$9)),MAX(MIN('Council Entry'!AA132,'Council Entry'!AA$9),'Council Entry'!AA$8),'Council Entry'!AA132)),IF(AND(ISNUMBER('Council Entry'!AA$8),ISNUMBER('Council Entry'!AA$9)),MAX(MIN('Council Entry'!AA132,'Council Entry'!AA$9),'Council Entry'!AA$8),'Council Entry'!AA132))))-'Council Entry'!AA$5)/('Council Entry'!AA$6-'Council Entry'!AA$5),10*((IF('Council Entry'!AA$4="Logarithm",LN(0.001+IF(AND(ISNUMBER('Council Entry'!AA$8),ISNUMBER('Council Entry'!AA$9)),MAX(MIN('Council Entry'!AA132,'Council Entry'!AA$9),'Council Entry'!AA$8),'Council Entry'!AA132)),IF('Council Entry'!AA$4="Exponential",EXP(IF(AND(ISNUMBER('Council Entry'!AA$8),ISNUMBER('Council Entry'!AA$9)),MAX(MIN('Council Entry'!AA132,'Council Entry'!AA$9),'Council Entry'!AA$8),'Council Entry'!AA132)),IF(AND(ISNUMBER('Council Entry'!AA$8),ISNUMBER('Council Entry'!AA$9)),MAX(MIN('Council Entry'!AA132,'Council Entry'!AA$9),'Council Entry'!AA$8),'Council Entry'!AA132))))-'Council Entry'!AA$5)/('Council Entry'!AA$6-'Council Entry'!AA$5)),1))),"No data"))</f>
        <v/>
      </c>
      <c r="AB132" s="13">
        <f>IF('Council Entry'!AB132="","",IFERROR(MAX(0,MIN(10,ROUND(IF('Council Entry'!AB$7="Decrease Risk",10-10*((IF('Council Entry'!AB$4="Logarithm",LN(0.001+IF(AND(ISNUMBER('Council Entry'!AB$8),ISNUMBER('Council Entry'!AB$9)),MAX(MIN('Council Entry'!AB132,'Council Entry'!AB$9),'Council Entry'!AB$8),'Council Entry'!AB132)),IF('Council Entry'!AB$4="Exponential",EXP(IF(AND(ISNUMBER('Council Entry'!AB$8),ISNUMBER('Council Entry'!AB$9)),MAX(MIN('Council Entry'!AB132,'Council Entry'!AB$9),'Council Entry'!AB$8),'Council Entry'!AB132)),IF(AND(ISNUMBER('Council Entry'!AB$8),ISNUMBER('Council Entry'!AB$9)),MAX(MIN('Council Entry'!AB132,'Council Entry'!AB$9),'Council Entry'!AB$8),'Council Entry'!AB132))))-'Council Entry'!AB$5)/('Council Entry'!AB$6-'Council Entry'!AB$5),10*((IF('Council Entry'!AB$4="Logarithm",LN(0.001+IF(AND(ISNUMBER('Council Entry'!AB$8),ISNUMBER('Council Entry'!AB$9)),MAX(MIN('Council Entry'!AB132,'Council Entry'!AB$9),'Council Entry'!AB$8),'Council Entry'!AB132)),IF('Council Entry'!AB$4="Exponential",EXP(IF(AND(ISNUMBER('Council Entry'!AB$8),ISNUMBER('Council Entry'!AB$9)),MAX(MIN('Council Entry'!AB132,'Council Entry'!AB$9),'Council Entry'!AB$8),'Council Entry'!AB132)),IF(AND(ISNUMBER('Council Entry'!AB$8),ISNUMBER('Council Entry'!AB$9)),MAX(MIN('Council Entry'!AB132,'Council Entry'!AB$9),'Council Entry'!AB$8),'Council Entry'!AB132))))-'Council Entry'!AB$5)/('Council Entry'!AB$6-'Council Entry'!AB$5)),1))),"No data"))</f>
        <v/>
      </c>
      <c r="AC132" s="13">
        <f>IF('Council Entry'!AC132="","",IFERROR(MAX(0,MIN(10,ROUND(IF('Council Entry'!AC$7="Decrease Risk",10-10*((IF('Council Entry'!AC$4="Logarithm",LN(0.001+IF(AND(ISNUMBER('Council Entry'!AC$8),ISNUMBER('Council Entry'!AC$9)),MAX(MIN('Council Entry'!AC132,'Council Entry'!AC$9),'Council Entry'!AC$8),'Council Entry'!AC132)),IF('Council Entry'!AC$4="Exponential",EXP(IF(AND(ISNUMBER('Council Entry'!AC$8),ISNUMBER('Council Entry'!AC$9)),MAX(MIN('Council Entry'!AC132,'Council Entry'!AC$9),'Council Entry'!AC$8),'Council Entry'!AC132)),IF(AND(ISNUMBER('Council Entry'!AC$8),ISNUMBER('Council Entry'!AC$9)),MAX(MIN('Council Entry'!AC132,'Council Entry'!AC$9),'Council Entry'!AC$8),'Council Entry'!AC132))))-'Council Entry'!AC$5)/('Council Entry'!AC$6-'Council Entry'!AC$5),10*((IF('Council Entry'!AC$4="Logarithm",LN(0.001+IF(AND(ISNUMBER('Council Entry'!AC$8),ISNUMBER('Council Entry'!AC$9)),MAX(MIN('Council Entry'!AC132,'Council Entry'!AC$9),'Council Entry'!AC$8),'Council Entry'!AC132)),IF('Council Entry'!AC$4="Exponential",EXP(IF(AND(ISNUMBER('Council Entry'!AC$8),ISNUMBER('Council Entry'!AC$9)),MAX(MIN('Council Entry'!AC132,'Council Entry'!AC$9),'Council Entry'!AC$8),'Council Entry'!AC132)),IF(AND(ISNUMBER('Council Entry'!AC$8),ISNUMBER('Council Entry'!AC$9)),MAX(MIN('Council Entry'!AC132,'Council Entry'!AC$9),'Council Entry'!AC$8),'Council Entry'!AC132))))-'Council Entry'!AC$5)/('Council Entry'!AC$6-'Council Entry'!AC$5)),1))),"No data"))</f>
        <v/>
      </c>
      <c r="AD132" s="13">
        <f>IF('Council Entry'!AD132="","",IFERROR(MAX(0,MIN(10,ROUND(IF('Council Entry'!AD$7="Decrease Risk",10-10*((IF('Council Entry'!AD$4="Logarithm",LN(0.001+IF(AND(ISNUMBER('Council Entry'!AD$8),ISNUMBER('Council Entry'!AD$9)),MAX(MIN('Council Entry'!AD132,'Council Entry'!AD$9),'Council Entry'!AD$8),'Council Entry'!AD132)),IF('Council Entry'!AD$4="Exponential",EXP(IF(AND(ISNUMBER('Council Entry'!AD$8),ISNUMBER('Council Entry'!AD$9)),MAX(MIN('Council Entry'!AD132,'Council Entry'!AD$9),'Council Entry'!AD$8),'Council Entry'!AD132)),IF(AND(ISNUMBER('Council Entry'!AD$8),ISNUMBER('Council Entry'!AD$9)),MAX(MIN('Council Entry'!AD132,'Council Entry'!AD$9),'Council Entry'!AD$8),'Council Entry'!AD132))))-'Council Entry'!AD$5)/('Council Entry'!AD$6-'Council Entry'!AD$5),10*((IF('Council Entry'!AD$4="Logarithm",LN(0.001+IF(AND(ISNUMBER('Council Entry'!AD$8),ISNUMBER('Council Entry'!AD$9)),MAX(MIN('Council Entry'!AD132,'Council Entry'!AD$9),'Council Entry'!AD$8),'Council Entry'!AD132)),IF('Council Entry'!AD$4="Exponential",EXP(IF(AND(ISNUMBER('Council Entry'!AD$8),ISNUMBER('Council Entry'!AD$9)),MAX(MIN('Council Entry'!AD132,'Council Entry'!AD$9),'Council Entry'!AD$8),'Council Entry'!AD132)),IF(AND(ISNUMBER('Council Entry'!AD$8),ISNUMBER('Council Entry'!AD$9)),MAX(MIN('Council Entry'!AD132,'Council Entry'!AD$9),'Council Entry'!AD$8),'Council Entry'!AD132))))-'Council Entry'!AD$5)/('Council Entry'!AD$6-'Council Entry'!AD$5)),1))),"No data"))</f>
        <v/>
      </c>
      <c r="AE132" s="13">
        <f>IF('Council Entry'!AE132="","",IFERROR(MAX(0,MIN(10,ROUND(IF('Council Entry'!AE$7="Decrease Risk",10-10*((IF('Council Entry'!AE$4="Logarithm",LN(0.001+IF(AND(ISNUMBER('Council Entry'!AE$8),ISNUMBER('Council Entry'!AE$9)),MAX(MIN('Council Entry'!AE132,'Council Entry'!AE$9),'Council Entry'!AE$8),'Council Entry'!AE132)),IF('Council Entry'!AE$4="Exponential",EXP(IF(AND(ISNUMBER('Council Entry'!AE$8),ISNUMBER('Council Entry'!AE$9)),MAX(MIN('Council Entry'!AE132,'Council Entry'!AE$9),'Council Entry'!AE$8),'Council Entry'!AE132)),IF(AND(ISNUMBER('Council Entry'!AE$8),ISNUMBER('Council Entry'!AE$9)),MAX(MIN('Council Entry'!AE132,'Council Entry'!AE$9),'Council Entry'!AE$8),'Council Entry'!AE132))))-'Council Entry'!AE$5)/('Council Entry'!AE$6-'Council Entry'!AE$5),10*((IF('Council Entry'!AE$4="Logarithm",LN(0.001+IF(AND(ISNUMBER('Council Entry'!AE$8),ISNUMBER('Council Entry'!AE$9)),MAX(MIN('Council Entry'!AE132,'Council Entry'!AE$9),'Council Entry'!AE$8),'Council Entry'!AE132)),IF('Council Entry'!AE$4="Exponential",EXP(IF(AND(ISNUMBER('Council Entry'!AE$8),ISNUMBER('Council Entry'!AE$9)),MAX(MIN('Council Entry'!AE132,'Council Entry'!AE$9),'Council Entry'!AE$8),'Council Entry'!AE132)),IF(AND(ISNUMBER('Council Entry'!AE$8),ISNUMBER('Council Entry'!AE$9)),MAX(MIN('Council Entry'!AE132,'Council Entry'!AE$9),'Council Entry'!AE$8),'Council Entry'!AE132))))-'Council Entry'!AE$5)/('Council Entry'!AE$6-'Council Entry'!AE$5)),1))),"No data"))</f>
        <v/>
      </c>
      <c r="AF132" s="13">
        <f>IF('Council Entry'!AF132="","",IFERROR(MAX(0,MIN(10,ROUND(IF('Council Entry'!AF$7="Decrease Risk",10-10*((IF('Council Entry'!AF$4="Logarithm",LN(0.001+IF(AND(ISNUMBER('Council Entry'!AF$8),ISNUMBER('Council Entry'!AF$9)),MAX(MIN('Council Entry'!AF132,'Council Entry'!AF$9),'Council Entry'!AF$8),'Council Entry'!AF132)),IF('Council Entry'!AF$4="Exponential",EXP(IF(AND(ISNUMBER('Council Entry'!AF$8),ISNUMBER('Council Entry'!AF$9)),MAX(MIN('Council Entry'!AF132,'Council Entry'!AF$9),'Council Entry'!AF$8),'Council Entry'!AF132)),IF(AND(ISNUMBER('Council Entry'!AF$8),ISNUMBER('Council Entry'!AF$9)),MAX(MIN('Council Entry'!AF132,'Council Entry'!AF$9),'Council Entry'!AF$8),'Council Entry'!AF132))))-'Council Entry'!AF$5)/('Council Entry'!AF$6-'Council Entry'!AF$5),10*((IF('Council Entry'!AF$4="Logarithm",LN(0.001+IF(AND(ISNUMBER('Council Entry'!AF$8),ISNUMBER('Council Entry'!AF$9)),MAX(MIN('Council Entry'!AF132,'Council Entry'!AF$9),'Council Entry'!AF$8),'Council Entry'!AF132)),IF('Council Entry'!AF$4="Exponential",EXP(IF(AND(ISNUMBER('Council Entry'!AF$8),ISNUMBER('Council Entry'!AF$9)),MAX(MIN('Council Entry'!AF132,'Council Entry'!AF$9),'Council Entry'!AF$8),'Council Entry'!AF132)),IF(AND(ISNUMBER('Council Entry'!AF$8),ISNUMBER('Council Entry'!AF$9)),MAX(MIN('Council Entry'!AF132,'Council Entry'!AF$9),'Council Entry'!AF$8),'Council Entry'!AF132))))-'Council Entry'!AF$5)/('Council Entry'!AF$6-'Council Entry'!AF$5)),1))),"No data"))</f>
        <v/>
      </c>
      <c r="AG132" s="13">
        <f>IF('Council Entry'!AG132="","",IFERROR(MAX(0,MIN(10,ROUND(IF('Council Entry'!AG$7="Decrease Risk",10-10*((IF('Council Entry'!AG$4="Logarithm",LN(0.001+IF(AND(ISNUMBER('Council Entry'!AG$8),ISNUMBER('Council Entry'!AG$9)),MAX(MIN('Council Entry'!AG132,'Council Entry'!AG$9),'Council Entry'!AG$8),'Council Entry'!AG132)),IF('Council Entry'!AG$4="Exponential",EXP(IF(AND(ISNUMBER('Council Entry'!AG$8),ISNUMBER('Council Entry'!AG$9)),MAX(MIN('Council Entry'!AG132,'Council Entry'!AG$9),'Council Entry'!AG$8),'Council Entry'!AG132)),IF(AND(ISNUMBER('Council Entry'!AG$8),ISNUMBER('Council Entry'!AG$9)),MAX(MIN('Council Entry'!AG132,'Council Entry'!AG$9),'Council Entry'!AG$8),'Council Entry'!AG132))))-'Council Entry'!AG$5)/('Council Entry'!AG$6-'Council Entry'!AG$5),10*((IF('Council Entry'!AG$4="Logarithm",LN(0.001+IF(AND(ISNUMBER('Council Entry'!AG$8),ISNUMBER('Council Entry'!AG$9)),MAX(MIN('Council Entry'!AG132,'Council Entry'!AG$9),'Council Entry'!AG$8),'Council Entry'!AG132)),IF('Council Entry'!AG$4="Exponential",EXP(IF(AND(ISNUMBER('Council Entry'!AG$8),ISNUMBER('Council Entry'!AG$9)),MAX(MIN('Council Entry'!AG132,'Council Entry'!AG$9),'Council Entry'!AG$8),'Council Entry'!AG132)),IF(AND(ISNUMBER('Council Entry'!AG$8),ISNUMBER('Council Entry'!AG$9)),MAX(MIN('Council Entry'!AG132,'Council Entry'!AG$9),'Council Entry'!AG$8),'Council Entry'!AG132))))-'Council Entry'!AG$5)/('Council Entry'!AG$6-'Council Entry'!AG$5)),1))),"No data"))</f>
        <v/>
      </c>
      <c r="AH132" s="13">
        <f>IF('Council Entry'!AH132="","",IFERROR(MAX(0,MIN(10,ROUND(IF('Council Entry'!AH$7="Decrease Risk",10-10*((IF('Council Entry'!AH$4="Logarithm",LN(0.001+IF(AND(ISNUMBER('Council Entry'!AH$8),ISNUMBER('Council Entry'!AH$9)),MAX(MIN('Council Entry'!AH132,'Council Entry'!AH$9),'Council Entry'!AH$8),'Council Entry'!AH132)),IF('Council Entry'!AH$4="Exponential",EXP(IF(AND(ISNUMBER('Council Entry'!AH$8),ISNUMBER('Council Entry'!AH$9)),MAX(MIN('Council Entry'!AH132,'Council Entry'!AH$9),'Council Entry'!AH$8),'Council Entry'!AH132)),IF(AND(ISNUMBER('Council Entry'!AH$8),ISNUMBER('Council Entry'!AH$9)),MAX(MIN('Council Entry'!AH132,'Council Entry'!AH$9),'Council Entry'!AH$8),'Council Entry'!AH132))))-'Council Entry'!AH$5)/('Council Entry'!AH$6-'Council Entry'!AH$5),10*((IF('Council Entry'!AH$4="Logarithm",LN(0.001+IF(AND(ISNUMBER('Council Entry'!AH$8),ISNUMBER('Council Entry'!AH$9)),MAX(MIN('Council Entry'!AH132,'Council Entry'!AH$9),'Council Entry'!AH$8),'Council Entry'!AH132)),IF('Council Entry'!AH$4="Exponential",EXP(IF(AND(ISNUMBER('Council Entry'!AH$8),ISNUMBER('Council Entry'!AH$9)),MAX(MIN('Council Entry'!AH132,'Council Entry'!AH$9),'Council Entry'!AH$8),'Council Entry'!AH132)),IF(AND(ISNUMBER('Council Entry'!AH$8),ISNUMBER('Council Entry'!AH$9)),MAX(MIN('Council Entry'!AH132,'Council Entry'!AH$9),'Council Entry'!AH$8),'Council Entry'!AH132))))-'Council Entry'!AH$5)/('Council Entry'!AH$6-'Council Entry'!AH$5)),1))),"No data"))</f>
        <v/>
      </c>
      <c r="AI132" s="13">
        <f>IF('Council Entry'!AI132="","",IFERROR(MAX(0,MIN(10,ROUND(IF('Council Entry'!AI$7="Decrease Risk",10-10*((IF('Council Entry'!AI$4="Logarithm",LN(0.001+IF(AND(ISNUMBER('Council Entry'!AI$8),ISNUMBER('Council Entry'!AI$9)),MAX(MIN('Council Entry'!AI132,'Council Entry'!AI$9),'Council Entry'!AI$8),'Council Entry'!AI132)),IF('Council Entry'!AI$4="Exponential",EXP(IF(AND(ISNUMBER('Council Entry'!AI$8),ISNUMBER('Council Entry'!AI$9)),MAX(MIN('Council Entry'!AI132,'Council Entry'!AI$9),'Council Entry'!AI$8),'Council Entry'!AI132)),IF(AND(ISNUMBER('Council Entry'!AI$8),ISNUMBER('Council Entry'!AI$9)),MAX(MIN('Council Entry'!AI132,'Council Entry'!AI$9),'Council Entry'!AI$8),'Council Entry'!AI132))))-'Council Entry'!AI$5)/('Council Entry'!AI$6-'Council Entry'!AI$5),10*((IF('Council Entry'!AI$4="Logarithm",LN(0.001+IF(AND(ISNUMBER('Council Entry'!AI$8),ISNUMBER('Council Entry'!AI$9)),MAX(MIN('Council Entry'!AI132,'Council Entry'!AI$9),'Council Entry'!AI$8),'Council Entry'!AI132)),IF('Council Entry'!AI$4="Exponential",EXP(IF(AND(ISNUMBER('Council Entry'!AI$8),ISNUMBER('Council Entry'!AI$9)),MAX(MIN('Council Entry'!AI132,'Council Entry'!AI$9),'Council Entry'!AI$8),'Council Entry'!AI132)),IF(AND(ISNUMBER('Council Entry'!AI$8),ISNUMBER('Council Entry'!AI$9)),MAX(MIN('Council Entry'!AI132,'Council Entry'!AI$9),'Council Entry'!AI$8),'Council Entry'!AI132))))-'Council Entry'!AI$5)/('Council Entry'!AI$6-'Council Entry'!AI$5)),1))),"No data"))</f>
        <v/>
      </c>
      <c r="AJ132" s="13">
        <f>IF('Council Entry'!AJ132="","",IFERROR(MAX(0,MIN(10,ROUND(IF('Council Entry'!AJ$7="Decrease Risk",10-10*((IF('Council Entry'!AJ$4="Logarithm",LN(0.001+IF(AND(ISNUMBER('Council Entry'!AJ$8),ISNUMBER('Council Entry'!AJ$9)),MAX(MIN('Council Entry'!AJ132,'Council Entry'!AJ$9),'Council Entry'!AJ$8),'Council Entry'!AJ132)),IF('Council Entry'!AJ$4="Exponential",EXP(IF(AND(ISNUMBER('Council Entry'!AJ$8),ISNUMBER('Council Entry'!AJ$9)),MAX(MIN('Council Entry'!AJ132,'Council Entry'!AJ$9),'Council Entry'!AJ$8),'Council Entry'!AJ132)),IF(AND(ISNUMBER('Council Entry'!AJ$8),ISNUMBER('Council Entry'!AJ$9)),MAX(MIN('Council Entry'!AJ132,'Council Entry'!AJ$9),'Council Entry'!AJ$8),'Council Entry'!AJ132))))-'Council Entry'!AJ$5)/('Council Entry'!AJ$6-'Council Entry'!AJ$5),10*((IF('Council Entry'!AJ$4="Logarithm",LN(0.001+IF(AND(ISNUMBER('Council Entry'!AJ$8),ISNUMBER('Council Entry'!AJ$9)),MAX(MIN('Council Entry'!AJ132,'Council Entry'!AJ$9),'Council Entry'!AJ$8),'Council Entry'!AJ132)),IF('Council Entry'!AJ$4="Exponential",EXP(IF(AND(ISNUMBER('Council Entry'!AJ$8),ISNUMBER('Council Entry'!AJ$9)),MAX(MIN('Council Entry'!AJ132,'Council Entry'!AJ$9),'Council Entry'!AJ$8),'Council Entry'!AJ132)),IF(AND(ISNUMBER('Council Entry'!AJ$8),ISNUMBER('Council Entry'!AJ$9)),MAX(MIN('Council Entry'!AJ132,'Council Entry'!AJ$9),'Council Entry'!AJ$8),'Council Entry'!AJ132))))-'Council Entry'!AJ$5)/('Council Entry'!AJ$6-'Council Entry'!AJ$5)),1))),"No data"))</f>
        <v/>
      </c>
      <c r="AK132" s="13">
        <f>IF('Council Entry'!AK132="","",IFERROR(MAX(0,MIN(10,ROUND(IF('Council Entry'!AK$7="Decrease Risk",10-10*((IF('Council Entry'!AK$4="Logarithm",LN(0.001+IF(AND(ISNUMBER('Council Entry'!AK$8),ISNUMBER('Council Entry'!AK$9)),MAX(MIN('Council Entry'!AK132,'Council Entry'!AK$9),'Council Entry'!AK$8),'Council Entry'!AK132)),IF('Council Entry'!AK$4="Exponential",EXP(IF(AND(ISNUMBER('Council Entry'!AK$8),ISNUMBER('Council Entry'!AK$9)),MAX(MIN('Council Entry'!AK132,'Council Entry'!AK$9),'Council Entry'!AK$8),'Council Entry'!AK132)),IF(AND(ISNUMBER('Council Entry'!AK$8),ISNUMBER('Council Entry'!AK$9)),MAX(MIN('Council Entry'!AK132,'Council Entry'!AK$9),'Council Entry'!AK$8),'Council Entry'!AK132))))-'Council Entry'!AK$5)/('Council Entry'!AK$6-'Council Entry'!AK$5),10*((IF('Council Entry'!AK$4="Logarithm",LN(0.001+IF(AND(ISNUMBER('Council Entry'!AK$8),ISNUMBER('Council Entry'!AK$9)),MAX(MIN('Council Entry'!AK132,'Council Entry'!AK$9),'Council Entry'!AK$8),'Council Entry'!AK132)),IF('Council Entry'!AK$4="Exponential",EXP(IF(AND(ISNUMBER('Council Entry'!AK$8),ISNUMBER('Council Entry'!AK$9)),MAX(MIN('Council Entry'!AK132,'Council Entry'!AK$9),'Council Entry'!AK$8),'Council Entry'!AK132)),IF(AND(ISNUMBER('Council Entry'!AK$8),ISNUMBER('Council Entry'!AK$9)),MAX(MIN('Council Entry'!AK132,'Council Entry'!AK$9),'Council Entry'!AK$8),'Council Entry'!AK132))))-'Council Entry'!AK$5)/('Council Entry'!AK$6-'Council Entry'!AK$5)),1))),"No data"))</f>
        <v/>
      </c>
      <c r="AL132" s="13">
        <f>IF('Council Entry'!AL132="","",IFERROR(MAX(0,MIN(10,ROUND(IF('Council Entry'!AL$7="Decrease Risk",10-10*((IF('Council Entry'!AL$4="Logarithm",LN(0.001+IF(AND(ISNUMBER('Council Entry'!AL$8),ISNUMBER('Council Entry'!AL$9)),MAX(MIN('Council Entry'!AL132,'Council Entry'!AL$9),'Council Entry'!AL$8),'Council Entry'!AL132)),IF('Council Entry'!AL$4="Exponential",EXP(IF(AND(ISNUMBER('Council Entry'!AL$8),ISNUMBER('Council Entry'!AL$9)),MAX(MIN('Council Entry'!AL132,'Council Entry'!AL$9),'Council Entry'!AL$8),'Council Entry'!AL132)),IF(AND(ISNUMBER('Council Entry'!AL$8),ISNUMBER('Council Entry'!AL$9)),MAX(MIN('Council Entry'!AL132,'Council Entry'!AL$9),'Council Entry'!AL$8),'Council Entry'!AL132))))-'Council Entry'!AL$5)/('Council Entry'!AL$6-'Council Entry'!AL$5),10*((IF('Council Entry'!AL$4="Logarithm",LN(0.001+IF(AND(ISNUMBER('Council Entry'!AL$8),ISNUMBER('Council Entry'!AL$9)),MAX(MIN('Council Entry'!AL132,'Council Entry'!AL$9),'Council Entry'!AL$8),'Council Entry'!AL132)),IF('Council Entry'!AL$4="Exponential",EXP(IF(AND(ISNUMBER('Council Entry'!AL$8),ISNUMBER('Council Entry'!AL$9)),MAX(MIN('Council Entry'!AL132,'Council Entry'!AL$9),'Council Entry'!AL$8),'Council Entry'!AL132)),IF(AND(ISNUMBER('Council Entry'!AL$8),ISNUMBER('Council Entry'!AL$9)),MAX(MIN('Council Entry'!AL132,'Council Entry'!AL$9),'Council Entry'!AL$8),'Council Entry'!AL132))))-'Council Entry'!AL$5)/('Council Entry'!AL$6-'Council Entry'!AL$5)),1))),"No data"))</f>
        <v/>
      </c>
      <c r="AM132" s="13">
        <f>IF('Council Entry'!AM132="","",IFERROR(MAX(0,MIN(10,ROUND(IF('Council Entry'!AM$7="Decrease Risk",10-10*((IF('Council Entry'!AM$4="Logarithm",LN(0.001+IF(AND(ISNUMBER('Council Entry'!AM$8),ISNUMBER('Council Entry'!AM$9)),MAX(MIN('Council Entry'!AM132,'Council Entry'!AM$9),'Council Entry'!AM$8),'Council Entry'!AM132)),IF('Council Entry'!AM$4="Exponential",EXP(IF(AND(ISNUMBER('Council Entry'!AM$8),ISNUMBER('Council Entry'!AM$9)),MAX(MIN('Council Entry'!AM132,'Council Entry'!AM$9),'Council Entry'!AM$8),'Council Entry'!AM132)),IF(AND(ISNUMBER('Council Entry'!AM$8),ISNUMBER('Council Entry'!AM$9)),MAX(MIN('Council Entry'!AM132,'Council Entry'!AM$9),'Council Entry'!AM$8),'Council Entry'!AM132))))-'Council Entry'!AM$5)/('Council Entry'!AM$6-'Council Entry'!AM$5),10*((IF('Council Entry'!AM$4="Logarithm",LN(0.001+IF(AND(ISNUMBER('Council Entry'!AM$8),ISNUMBER('Council Entry'!AM$9)),MAX(MIN('Council Entry'!AM132,'Council Entry'!AM$9),'Council Entry'!AM$8),'Council Entry'!AM132)),IF('Council Entry'!AM$4="Exponential",EXP(IF(AND(ISNUMBER('Council Entry'!AM$8),ISNUMBER('Council Entry'!AM$9)),MAX(MIN('Council Entry'!AM132,'Council Entry'!AM$9),'Council Entry'!AM$8),'Council Entry'!AM132)),IF(AND(ISNUMBER('Council Entry'!AM$8),ISNUMBER('Council Entry'!AM$9)),MAX(MIN('Council Entry'!AM132,'Council Entry'!AM$9),'Council Entry'!AM$8),'Council Entry'!AM132))))-'Council Entry'!AM$5)/('Council Entry'!AM$6-'Council Entry'!AM$5)),1))),"No data"))</f>
        <v/>
      </c>
      <c r="AN132" s="13">
        <f>IF('Council Entry'!AN132="","",IFERROR(MAX(0,MIN(10,ROUND(IF('Council Entry'!AN$7="Decrease Risk",10-10*((IF('Council Entry'!AN$4="Logarithm",LN(0.001+IF(AND(ISNUMBER('Council Entry'!AN$8),ISNUMBER('Council Entry'!AN$9)),MAX(MIN('Council Entry'!AN132,'Council Entry'!AN$9),'Council Entry'!AN$8),'Council Entry'!AN132)),IF('Council Entry'!AN$4="Exponential",EXP(IF(AND(ISNUMBER('Council Entry'!AN$8),ISNUMBER('Council Entry'!AN$9)),MAX(MIN('Council Entry'!AN132,'Council Entry'!AN$9),'Council Entry'!AN$8),'Council Entry'!AN132)),IF(AND(ISNUMBER('Council Entry'!AN$8),ISNUMBER('Council Entry'!AN$9)),MAX(MIN('Council Entry'!AN132,'Council Entry'!AN$9),'Council Entry'!AN$8),'Council Entry'!AN132))))-'Council Entry'!AN$5)/('Council Entry'!AN$6-'Council Entry'!AN$5),10*((IF('Council Entry'!AN$4="Logarithm",LN(0.001+IF(AND(ISNUMBER('Council Entry'!AN$8),ISNUMBER('Council Entry'!AN$9)),MAX(MIN('Council Entry'!AN132,'Council Entry'!AN$9),'Council Entry'!AN$8),'Council Entry'!AN132)),IF('Council Entry'!AN$4="Exponential",EXP(IF(AND(ISNUMBER('Council Entry'!AN$8),ISNUMBER('Council Entry'!AN$9)),MAX(MIN('Council Entry'!AN132,'Council Entry'!AN$9),'Council Entry'!AN$8),'Council Entry'!AN132)),IF(AND(ISNUMBER('Council Entry'!AN$8),ISNUMBER('Council Entry'!AN$9)),MAX(MIN('Council Entry'!AN132,'Council Entry'!AN$9),'Council Entry'!AN$8),'Council Entry'!AN132))))-'Council Entry'!AN$5)/('Council Entry'!AN$6-'Council Entry'!AN$5)),1))),"No data"))</f>
        <v/>
      </c>
      <c r="AO132" s="13">
        <f>IF('Council Entry'!AO132="","",IFERROR(MAX(0,MIN(10,ROUND(IF('Council Entry'!AO$7="Decrease Risk",10-10*((IF('Council Entry'!AO$4="Logarithm",LN(0.001+IF(AND(ISNUMBER('Council Entry'!AO$8),ISNUMBER('Council Entry'!AO$9)),MAX(MIN('Council Entry'!AO132,'Council Entry'!AO$9),'Council Entry'!AO$8),'Council Entry'!AO132)),IF('Council Entry'!AO$4="Exponential",EXP(IF(AND(ISNUMBER('Council Entry'!AO$8),ISNUMBER('Council Entry'!AO$9)),MAX(MIN('Council Entry'!AO132,'Council Entry'!AO$9),'Council Entry'!AO$8),'Council Entry'!AO132)),IF(AND(ISNUMBER('Council Entry'!AO$8),ISNUMBER('Council Entry'!AO$9)),MAX(MIN('Council Entry'!AO132,'Council Entry'!AO$9),'Council Entry'!AO$8),'Council Entry'!AO132))))-'Council Entry'!AO$5)/('Council Entry'!AO$6-'Council Entry'!AO$5),10*((IF('Council Entry'!AO$4="Logarithm",LN(0.001+IF(AND(ISNUMBER('Council Entry'!AO$8),ISNUMBER('Council Entry'!AO$9)),MAX(MIN('Council Entry'!AO132,'Council Entry'!AO$9),'Council Entry'!AO$8),'Council Entry'!AO132)),IF('Council Entry'!AO$4="Exponential",EXP(IF(AND(ISNUMBER('Council Entry'!AO$8),ISNUMBER('Council Entry'!AO$9)),MAX(MIN('Council Entry'!AO132,'Council Entry'!AO$9),'Council Entry'!AO$8),'Council Entry'!AO132)),IF(AND(ISNUMBER('Council Entry'!AO$8),ISNUMBER('Council Entry'!AO$9)),MAX(MIN('Council Entry'!AO132,'Council Entry'!AO$9),'Council Entry'!AO$8),'Council Entry'!AO132))))-'Council Entry'!AO$5)/('Council Entry'!AO$6-'Council Entry'!AO$5)),1))),"No data"))</f>
        <v/>
      </c>
      <c r="AP132" s="13">
        <f>IF('Council Entry'!AP132="","",IFERROR(MAX(0,MIN(10,ROUND(IF('Council Entry'!AP$7="Decrease Risk",10-10*((IF('Council Entry'!AP$4="Logarithm",LN(0.001+IF(AND(ISNUMBER('Council Entry'!AP$8),ISNUMBER('Council Entry'!AP$9)),MAX(MIN('Council Entry'!AP132,'Council Entry'!AP$9),'Council Entry'!AP$8),'Council Entry'!AP132)),IF('Council Entry'!AP$4="Exponential",EXP(IF(AND(ISNUMBER('Council Entry'!AP$8),ISNUMBER('Council Entry'!AP$9)),MAX(MIN('Council Entry'!AP132,'Council Entry'!AP$9),'Council Entry'!AP$8),'Council Entry'!AP132)),IF(AND(ISNUMBER('Council Entry'!AP$8),ISNUMBER('Council Entry'!AP$9)),MAX(MIN('Council Entry'!AP132,'Council Entry'!AP$9),'Council Entry'!AP$8),'Council Entry'!AP132))))-'Council Entry'!AP$5)/('Council Entry'!AP$6-'Council Entry'!AP$5),10*((IF('Council Entry'!AP$4="Logarithm",LN(0.001+IF(AND(ISNUMBER('Council Entry'!AP$8),ISNUMBER('Council Entry'!AP$9)),MAX(MIN('Council Entry'!AP132,'Council Entry'!AP$9),'Council Entry'!AP$8),'Council Entry'!AP132)),IF('Council Entry'!AP$4="Exponential",EXP(IF(AND(ISNUMBER('Council Entry'!AP$8),ISNUMBER('Council Entry'!AP$9)),MAX(MIN('Council Entry'!AP132,'Council Entry'!AP$9),'Council Entry'!AP$8),'Council Entry'!AP132)),IF(AND(ISNUMBER('Council Entry'!AP$8),ISNUMBER('Council Entry'!AP$9)),MAX(MIN('Council Entry'!AP132,'Council Entry'!AP$9),'Council Entry'!AP$8),'Council Entry'!AP132))))-'Council Entry'!AP$5)/('Council Entry'!AP$6-'Council Entry'!AP$5)),1))),"No data"))</f>
        <v/>
      </c>
      <c r="AQ132" s="13">
        <f>IF('Council Entry'!AQ132="","",IFERROR(MAX(0,MIN(10,ROUND(IF('Council Entry'!AQ$7="Decrease Risk",10-10*((IF('Council Entry'!AQ$4="Logarithm",LN(0.001+IF(AND(ISNUMBER('Council Entry'!AQ$8),ISNUMBER('Council Entry'!AQ$9)),MAX(MIN('Council Entry'!AQ132,'Council Entry'!AQ$9),'Council Entry'!AQ$8),'Council Entry'!AQ132)),IF('Council Entry'!AQ$4="Exponential",EXP(IF(AND(ISNUMBER('Council Entry'!AQ$8),ISNUMBER('Council Entry'!AQ$9)),MAX(MIN('Council Entry'!AQ132,'Council Entry'!AQ$9),'Council Entry'!AQ$8),'Council Entry'!AQ132)),IF(AND(ISNUMBER('Council Entry'!AQ$8),ISNUMBER('Council Entry'!AQ$9)),MAX(MIN('Council Entry'!AQ132,'Council Entry'!AQ$9),'Council Entry'!AQ$8),'Council Entry'!AQ132))))-'Council Entry'!AQ$5)/('Council Entry'!AQ$6-'Council Entry'!AQ$5),10*((IF('Council Entry'!AQ$4="Logarithm",LN(0.001+IF(AND(ISNUMBER('Council Entry'!AQ$8),ISNUMBER('Council Entry'!AQ$9)),MAX(MIN('Council Entry'!AQ132,'Council Entry'!AQ$9),'Council Entry'!AQ$8),'Council Entry'!AQ132)),IF('Council Entry'!AQ$4="Exponential",EXP(IF(AND(ISNUMBER('Council Entry'!AQ$8),ISNUMBER('Council Entry'!AQ$9)),MAX(MIN('Council Entry'!AQ132,'Council Entry'!AQ$9),'Council Entry'!AQ$8),'Council Entry'!AQ132)),IF(AND(ISNUMBER('Council Entry'!AQ$8),ISNUMBER('Council Entry'!AQ$9)),MAX(MIN('Council Entry'!AQ132,'Council Entry'!AQ$9),'Council Entry'!AQ$8),'Council Entry'!AQ132))))-'Council Entry'!AQ$5)/('Council Entry'!AQ$6-'Council Entry'!AQ$5)),1))),"No data"))</f>
        <v/>
      </c>
      <c r="AR132" s="13">
        <f>IF('Council Entry'!AR132="","",IFERROR(MAX(0,MIN(10,ROUND(IF('Council Entry'!AR$7="Decrease Risk",10-10*((IF('Council Entry'!AR$4="Logarithm",LN(0.001+IF(AND(ISNUMBER('Council Entry'!AR$8),ISNUMBER('Council Entry'!AR$9)),MAX(MIN('Council Entry'!AR132,'Council Entry'!AR$9),'Council Entry'!AR$8),'Council Entry'!AR132)),IF('Council Entry'!AR$4="Exponential",EXP(IF(AND(ISNUMBER('Council Entry'!AR$8),ISNUMBER('Council Entry'!AR$9)),MAX(MIN('Council Entry'!AR132,'Council Entry'!AR$9),'Council Entry'!AR$8),'Council Entry'!AR132)),IF(AND(ISNUMBER('Council Entry'!AR$8),ISNUMBER('Council Entry'!AR$9)),MAX(MIN('Council Entry'!AR132,'Council Entry'!AR$9),'Council Entry'!AR$8),'Council Entry'!AR132))))-'Council Entry'!AR$5)/('Council Entry'!AR$6-'Council Entry'!AR$5),10*((IF('Council Entry'!AR$4="Logarithm",LN(0.001+IF(AND(ISNUMBER('Council Entry'!AR$8),ISNUMBER('Council Entry'!AR$9)),MAX(MIN('Council Entry'!AR132,'Council Entry'!AR$9),'Council Entry'!AR$8),'Council Entry'!AR132)),IF('Council Entry'!AR$4="Exponential",EXP(IF(AND(ISNUMBER('Council Entry'!AR$8),ISNUMBER('Council Entry'!AR$9)),MAX(MIN('Council Entry'!AR132,'Council Entry'!AR$9),'Council Entry'!AR$8),'Council Entry'!AR132)),IF(AND(ISNUMBER('Council Entry'!AR$8),ISNUMBER('Council Entry'!AR$9)),MAX(MIN('Council Entry'!AR132,'Council Entry'!AR$9),'Council Entry'!AR$8),'Council Entry'!AR132))))-'Council Entry'!AR$5)/('Council Entry'!AR$6-'Council Entry'!AR$5)),1))),"No data"))</f>
        <v/>
      </c>
      <c r="AS132" s="13">
        <f>IF('Council Entry'!AS132="","",IFERROR(MAX(0,MIN(10,ROUND(IF('Council Entry'!AS$7="Decrease Risk",10-10*((IF('Council Entry'!AS$4="Logarithm",LN(0.001+IF(AND(ISNUMBER('Council Entry'!AS$8),ISNUMBER('Council Entry'!AS$9)),MAX(MIN('Council Entry'!AS132,'Council Entry'!AS$9),'Council Entry'!AS$8),'Council Entry'!AS132)),IF('Council Entry'!AS$4="Exponential",EXP(IF(AND(ISNUMBER('Council Entry'!AS$8),ISNUMBER('Council Entry'!AS$9)),MAX(MIN('Council Entry'!AS132,'Council Entry'!AS$9),'Council Entry'!AS$8),'Council Entry'!AS132)),IF(AND(ISNUMBER('Council Entry'!AS$8),ISNUMBER('Council Entry'!AS$9)),MAX(MIN('Council Entry'!AS132,'Council Entry'!AS$9),'Council Entry'!AS$8),'Council Entry'!AS132))))-'Council Entry'!AS$5)/('Council Entry'!AS$6-'Council Entry'!AS$5),10*((IF('Council Entry'!AS$4="Logarithm",LN(0.001+IF(AND(ISNUMBER('Council Entry'!AS$8),ISNUMBER('Council Entry'!AS$9)),MAX(MIN('Council Entry'!AS132,'Council Entry'!AS$9),'Council Entry'!AS$8),'Council Entry'!AS132)),IF('Council Entry'!AS$4="Exponential",EXP(IF(AND(ISNUMBER('Council Entry'!AS$8),ISNUMBER('Council Entry'!AS$9)),MAX(MIN('Council Entry'!AS132,'Council Entry'!AS$9),'Council Entry'!AS$8),'Council Entry'!AS132)),IF(AND(ISNUMBER('Council Entry'!AS$8),ISNUMBER('Council Entry'!AS$9)),MAX(MIN('Council Entry'!AS132,'Council Entry'!AS$9),'Council Entry'!AS$8),'Council Entry'!AS132))))-'Council Entry'!AS$5)/('Council Entry'!AS$6-'Council Entry'!AS$5)),1))),"No data"))</f>
        <v/>
      </c>
      <c r="AT132" s="13">
        <f>IF('Council Entry'!AT132="","",IFERROR(MAX(0,MIN(10,ROUND(IF('Council Entry'!AT$7="Decrease Risk",10-10*((IF('Council Entry'!AT$4="Logarithm",LN(0.001+IF(AND(ISNUMBER('Council Entry'!AT$8),ISNUMBER('Council Entry'!AT$9)),MAX(MIN('Council Entry'!AT132,'Council Entry'!AT$9),'Council Entry'!AT$8),'Council Entry'!AT132)),IF('Council Entry'!AT$4="Exponential",EXP(IF(AND(ISNUMBER('Council Entry'!AT$8),ISNUMBER('Council Entry'!AT$9)),MAX(MIN('Council Entry'!AT132,'Council Entry'!AT$9),'Council Entry'!AT$8),'Council Entry'!AT132)),IF(AND(ISNUMBER('Council Entry'!AT$8),ISNUMBER('Council Entry'!AT$9)),MAX(MIN('Council Entry'!AT132,'Council Entry'!AT$9),'Council Entry'!AT$8),'Council Entry'!AT132))))-'Council Entry'!AT$5)/('Council Entry'!AT$6-'Council Entry'!AT$5),10*((IF('Council Entry'!AT$4="Logarithm",LN(0.001+IF(AND(ISNUMBER('Council Entry'!AT$8),ISNUMBER('Council Entry'!AT$9)),MAX(MIN('Council Entry'!AT132,'Council Entry'!AT$9),'Council Entry'!AT$8),'Council Entry'!AT132)),IF('Council Entry'!AT$4="Exponential",EXP(IF(AND(ISNUMBER('Council Entry'!AT$8),ISNUMBER('Council Entry'!AT$9)),MAX(MIN('Council Entry'!AT132,'Council Entry'!AT$9),'Council Entry'!AT$8),'Council Entry'!AT132)),IF(AND(ISNUMBER('Council Entry'!AT$8),ISNUMBER('Council Entry'!AT$9)),MAX(MIN('Council Entry'!AT132,'Council Entry'!AT$9),'Council Entry'!AT$8),'Council Entry'!AT132))))-'Council Entry'!AT$5)/('Council Entry'!AT$6-'Council Entry'!AT$5)),1))),"No data"))</f>
        <v/>
      </c>
      <c r="AU132" s="13">
        <f>IF('Council Entry'!AU132="","",IFERROR(MAX(0,MIN(10,ROUND(IF('Council Entry'!AU$7="Decrease Risk",10-10*((IF('Council Entry'!AU$4="Logarithm",LN(0.001+IF(AND(ISNUMBER('Council Entry'!AU$8),ISNUMBER('Council Entry'!AU$9)),MAX(MIN('Council Entry'!AU132,'Council Entry'!AU$9),'Council Entry'!AU$8),'Council Entry'!AU132)),IF('Council Entry'!AU$4="Exponential",EXP(IF(AND(ISNUMBER('Council Entry'!AU$8),ISNUMBER('Council Entry'!AU$9)),MAX(MIN('Council Entry'!AU132,'Council Entry'!AU$9),'Council Entry'!AU$8),'Council Entry'!AU132)),IF(AND(ISNUMBER('Council Entry'!AU$8),ISNUMBER('Council Entry'!AU$9)),MAX(MIN('Council Entry'!AU132,'Council Entry'!AU$9),'Council Entry'!AU$8),'Council Entry'!AU132))))-'Council Entry'!AU$5)/('Council Entry'!AU$6-'Council Entry'!AU$5),10*((IF('Council Entry'!AU$4="Logarithm",LN(0.001+IF(AND(ISNUMBER('Council Entry'!AU$8),ISNUMBER('Council Entry'!AU$9)),MAX(MIN('Council Entry'!AU132,'Council Entry'!AU$9),'Council Entry'!AU$8),'Council Entry'!AU132)),IF('Council Entry'!AU$4="Exponential",EXP(IF(AND(ISNUMBER('Council Entry'!AU$8),ISNUMBER('Council Entry'!AU$9)),MAX(MIN('Council Entry'!AU132,'Council Entry'!AU$9),'Council Entry'!AU$8),'Council Entry'!AU132)),IF(AND(ISNUMBER('Council Entry'!AU$8),ISNUMBER('Council Entry'!AU$9)),MAX(MIN('Council Entry'!AU132,'Council Entry'!AU$9),'Council Entry'!AU$8),'Council Entry'!AU132))))-'Council Entry'!AU$5)/('Council Entry'!AU$6-'Council Entry'!AU$5)),1))),"No data"))</f>
        <v/>
      </c>
      <c r="AV132" s="13">
        <f>IF('Council Entry'!AV132="","",IFERROR(MAX(0,MIN(10,ROUND(IF('Council Entry'!AV$7="Decrease Risk",10-10*((IF('Council Entry'!AV$4="Logarithm",LN(0.001+IF(AND(ISNUMBER('Council Entry'!AV$8),ISNUMBER('Council Entry'!AV$9)),MAX(MIN('Council Entry'!AV132,'Council Entry'!AV$9),'Council Entry'!AV$8),'Council Entry'!AV132)),IF('Council Entry'!AV$4="Exponential",EXP(IF(AND(ISNUMBER('Council Entry'!AV$8),ISNUMBER('Council Entry'!AV$9)),MAX(MIN('Council Entry'!AV132,'Council Entry'!AV$9),'Council Entry'!AV$8),'Council Entry'!AV132)),IF(AND(ISNUMBER('Council Entry'!AV$8),ISNUMBER('Council Entry'!AV$9)),MAX(MIN('Council Entry'!AV132,'Council Entry'!AV$9),'Council Entry'!AV$8),'Council Entry'!AV132))))-'Council Entry'!AV$5)/('Council Entry'!AV$6-'Council Entry'!AV$5),10*((IF('Council Entry'!AV$4="Logarithm",LN(0.001+IF(AND(ISNUMBER('Council Entry'!AV$8),ISNUMBER('Council Entry'!AV$9)),MAX(MIN('Council Entry'!AV132,'Council Entry'!AV$9),'Council Entry'!AV$8),'Council Entry'!AV132)),IF('Council Entry'!AV$4="Exponential",EXP(IF(AND(ISNUMBER('Council Entry'!AV$8),ISNUMBER('Council Entry'!AV$9)),MAX(MIN('Council Entry'!AV132,'Council Entry'!AV$9),'Council Entry'!AV$8),'Council Entry'!AV132)),IF(AND(ISNUMBER('Council Entry'!AV$8),ISNUMBER('Council Entry'!AV$9)),MAX(MIN('Council Entry'!AV132,'Council Entry'!AV$9),'Council Entry'!AV$8),'Council Entry'!AV132))))-'Council Entry'!AV$5)/('Council Entry'!AV$6-'Council Entry'!AV$5)),1))),"No data"))</f>
        <v/>
      </c>
      <c r="AW132" s="13">
        <f>IF('Council Entry'!AW132="","",IFERROR(MAX(0,MIN(10,ROUND(IF('Council Entry'!AW$7="Decrease Risk",10-10*((IF('Council Entry'!AW$4="Logarithm",LN(0.001+IF(AND(ISNUMBER('Council Entry'!AW$8),ISNUMBER('Council Entry'!AW$9)),MAX(MIN('Council Entry'!AW132,'Council Entry'!AW$9),'Council Entry'!AW$8),'Council Entry'!AW132)),IF('Council Entry'!AW$4="Exponential",EXP(IF(AND(ISNUMBER('Council Entry'!AW$8),ISNUMBER('Council Entry'!AW$9)),MAX(MIN('Council Entry'!AW132,'Council Entry'!AW$9),'Council Entry'!AW$8),'Council Entry'!AW132)),IF(AND(ISNUMBER('Council Entry'!AW$8),ISNUMBER('Council Entry'!AW$9)),MAX(MIN('Council Entry'!AW132,'Council Entry'!AW$9),'Council Entry'!AW$8),'Council Entry'!AW132))))-'Council Entry'!AW$5)/('Council Entry'!AW$6-'Council Entry'!AW$5),10*((IF('Council Entry'!AW$4="Logarithm",LN(0.001+IF(AND(ISNUMBER('Council Entry'!AW$8),ISNUMBER('Council Entry'!AW$9)),MAX(MIN('Council Entry'!AW132,'Council Entry'!AW$9),'Council Entry'!AW$8),'Council Entry'!AW132)),IF('Council Entry'!AW$4="Exponential",EXP(IF(AND(ISNUMBER('Council Entry'!AW$8),ISNUMBER('Council Entry'!AW$9)),MAX(MIN('Council Entry'!AW132,'Council Entry'!AW$9),'Council Entry'!AW$8),'Council Entry'!AW132)),IF(AND(ISNUMBER('Council Entry'!AW$8),ISNUMBER('Council Entry'!AW$9)),MAX(MIN('Council Entry'!AW132,'Council Entry'!AW$9),'Council Entry'!AW$8),'Council Entry'!AW132))))-'Council Entry'!AW$5)/('Council Entry'!AW$6-'Council Entry'!AW$5)),1))),"No data"))</f>
        <v/>
      </c>
      <c r="AX132" s="13">
        <f>IF('Council Entry'!AX132="","",IFERROR(MAX(0,MIN(10,ROUND(IF('Council Entry'!AX$7="Decrease Risk",10-10*((IF('Council Entry'!AX$4="Logarithm",LN(0.001+IF(AND(ISNUMBER('Council Entry'!AX$8),ISNUMBER('Council Entry'!AX$9)),MAX(MIN('Council Entry'!AX132,'Council Entry'!AX$9),'Council Entry'!AX$8),'Council Entry'!AX132)),IF('Council Entry'!AX$4="Exponential",EXP(IF(AND(ISNUMBER('Council Entry'!AX$8),ISNUMBER('Council Entry'!AX$9)),MAX(MIN('Council Entry'!AX132,'Council Entry'!AX$9),'Council Entry'!AX$8),'Council Entry'!AX132)),IF(AND(ISNUMBER('Council Entry'!AX$8),ISNUMBER('Council Entry'!AX$9)),MAX(MIN('Council Entry'!AX132,'Council Entry'!AX$9),'Council Entry'!AX$8),'Council Entry'!AX132))))-'Council Entry'!AX$5)/('Council Entry'!AX$6-'Council Entry'!AX$5),10*((IF('Council Entry'!AX$4="Logarithm",LN(0.001+IF(AND(ISNUMBER('Council Entry'!AX$8),ISNUMBER('Council Entry'!AX$9)),MAX(MIN('Council Entry'!AX132,'Council Entry'!AX$9),'Council Entry'!AX$8),'Council Entry'!AX132)),IF('Council Entry'!AX$4="Exponential",EXP(IF(AND(ISNUMBER('Council Entry'!AX$8),ISNUMBER('Council Entry'!AX$9)),MAX(MIN('Council Entry'!AX132,'Council Entry'!AX$9),'Council Entry'!AX$8),'Council Entry'!AX132)),IF(AND(ISNUMBER('Council Entry'!AX$8),ISNUMBER('Council Entry'!AX$9)),MAX(MIN('Council Entry'!AX132,'Council Entry'!AX$9),'Council Entry'!AX$8),'Council Entry'!AX132))))-'Council Entry'!AX$5)/('Council Entry'!AX$6-'Council Entry'!AX$5)),1))),"No data"))</f>
        <v/>
      </c>
      <c r="AY132" s="13">
        <f>IF('Council Entry'!AY132="","",IFERROR(MAX(0,MIN(10,ROUND(IF('Council Entry'!AY$7="Decrease Risk",10-10*((IF('Council Entry'!AY$4="Logarithm",LN(0.001+IF(AND(ISNUMBER('Council Entry'!AY$8),ISNUMBER('Council Entry'!AY$9)),MAX(MIN('Council Entry'!AY132,'Council Entry'!AY$9),'Council Entry'!AY$8),'Council Entry'!AY132)),IF('Council Entry'!AY$4="Exponential",EXP(IF(AND(ISNUMBER('Council Entry'!AY$8),ISNUMBER('Council Entry'!AY$9)),MAX(MIN('Council Entry'!AY132,'Council Entry'!AY$9),'Council Entry'!AY$8),'Council Entry'!AY132)),IF(AND(ISNUMBER('Council Entry'!AY$8),ISNUMBER('Council Entry'!AY$9)),MAX(MIN('Council Entry'!AY132,'Council Entry'!AY$9),'Council Entry'!AY$8),'Council Entry'!AY132))))-'Council Entry'!AY$5)/('Council Entry'!AY$6-'Council Entry'!AY$5),10*((IF('Council Entry'!AY$4="Logarithm",LN(0.001+IF(AND(ISNUMBER('Council Entry'!AY$8),ISNUMBER('Council Entry'!AY$9)),MAX(MIN('Council Entry'!AY132,'Council Entry'!AY$9),'Council Entry'!AY$8),'Council Entry'!AY132)),IF('Council Entry'!AY$4="Exponential",EXP(IF(AND(ISNUMBER('Council Entry'!AY$8),ISNUMBER('Council Entry'!AY$9)),MAX(MIN('Council Entry'!AY132,'Council Entry'!AY$9),'Council Entry'!AY$8),'Council Entry'!AY132)),IF(AND(ISNUMBER('Council Entry'!AY$8),ISNUMBER('Council Entry'!AY$9)),MAX(MIN('Council Entry'!AY132,'Council Entry'!AY$9),'Council Entry'!AY$8),'Council Entry'!AY132))))-'Council Entry'!AY$5)/('Council Entry'!AY$6-'Council Entry'!AY$5)),1))),"No data"))</f>
        <v/>
      </c>
      <c r="AZ132" s="13">
        <f>IF('Council Entry'!AZ132="","",IFERROR(MAX(0,MIN(10,ROUND(IF('Council Entry'!AZ$7="Decrease Risk",10-10*((IF('Council Entry'!AZ$4="Logarithm",LN(0.001+IF(AND(ISNUMBER('Council Entry'!AZ$8),ISNUMBER('Council Entry'!AZ$9)),MAX(MIN('Council Entry'!AZ132,'Council Entry'!AZ$9),'Council Entry'!AZ$8),'Council Entry'!AZ132)),IF('Council Entry'!AZ$4="Exponential",EXP(IF(AND(ISNUMBER('Council Entry'!AZ$8),ISNUMBER('Council Entry'!AZ$9)),MAX(MIN('Council Entry'!AZ132,'Council Entry'!AZ$9),'Council Entry'!AZ$8),'Council Entry'!AZ132)),IF(AND(ISNUMBER('Council Entry'!AZ$8),ISNUMBER('Council Entry'!AZ$9)),MAX(MIN('Council Entry'!AZ132,'Council Entry'!AZ$9),'Council Entry'!AZ$8),'Council Entry'!AZ132))))-'Council Entry'!AZ$5)/('Council Entry'!AZ$6-'Council Entry'!AZ$5),10*((IF('Council Entry'!AZ$4="Logarithm",LN(0.001+IF(AND(ISNUMBER('Council Entry'!AZ$8),ISNUMBER('Council Entry'!AZ$9)),MAX(MIN('Council Entry'!AZ132,'Council Entry'!AZ$9),'Council Entry'!AZ$8),'Council Entry'!AZ132)),IF('Council Entry'!AZ$4="Exponential",EXP(IF(AND(ISNUMBER('Council Entry'!AZ$8),ISNUMBER('Council Entry'!AZ$9)),MAX(MIN('Council Entry'!AZ132,'Council Entry'!AZ$9),'Council Entry'!AZ$8),'Council Entry'!AZ132)),IF(AND(ISNUMBER('Council Entry'!AZ$8),ISNUMBER('Council Entry'!AZ$9)),MAX(MIN('Council Entry'!AZ132,'Council Entry'!AZ$9),'Council Entry'!AZ$8),'Council Entry'!AZ132))))-'Council Entry'!AZ$5)/('Council Entry'!AZ$6-'Council Entry'!AZ$5)),1))),"No data"))</f>
        <v/>
      </c>
      <c r="BA132" s="13">
        <f>IF('Council Entry'!BA132="","",IFERROR(MAX(0,MIN(10,ROUND(IF('Council Entry'!BA$7="Decrease Risk",10-10*((IF('Council Entry'!BA$4="Logarithm",LN(0.001+IF(AND(ISNUMBER('Council Entry'!BA$8),ISNUMBER('Council Entry'!BA$9)),MAX(MIN('Council Entry'!BA132,'Council Entry'!BA$9),'Council Entry'!BA$8),'Council Entry'!BA132)),IF('Council Entry'!BA$4="Exponential",EXP(IF(AND(ISNUMBER('Council Entry'!BA$8),ISNUMBER('Council Entry'!BA$9)),MAX(MIN('Council Entry'!BA132,'Council Entry'!BA$9),'Council Entry'!BA$8),'Council Entry'!BA132)),IF(AND(ISNUMBER('Council Entry'!BA$8),ISNUMBER('Council Entry'!BA$9)),MAX(MIN('Council Entry'!BA132,'Council Entry'!BA$9),'Council Entry'!BA$8),'Council Entry'!BA132))))-'Council Entry'!BA$5)/('Council Entry'!BA$6-'Council Entry'!BA$5),10*((IF('Council Entry'!BA$4="Logarithm",LN(0.001+IF(AND(ISNUMBER('Council Entry'!BA$8),ISNUMBER('Council Entry'!BA$9)),MAX(MIN('Council Entry'!BA132,'Council Entry'!BA$9),'Council Entry'!BA$8),'Council Entry'!BA132)),IF('Council Entry'!BA$4="Exponential",EXP(IF(AND(ISNUMBER('Council Entry'!BA$8),ISNUMBER('Council Entry'!BA$9)),MAX(MIN('Council Entry'!BA132,'Council Entry'!BA$9),'Council Entry'!BA$8),'Council Entry'!BA132)),IF(AND(ISNUMBER('Council Entry'!BA$8),ISNUMBER('Council Entry'!BA$9)),MAX(MIN('Council Entry'!BA132,'Council Entry'!BA$9),'Council Entry'!BA$8),'Council Entry'!BA132))))-'Council Entry'!BA$5)/('Council Entry'!BA$6-'Council Entry'!BA$5)),1))),"No data"))</f>
        <v/>
      </c>
      <c r="BB132" s="13">
        <f>IF('Council Entry'!BB132="","",IFERROR(MAX(0,MIN(10,ROUND(IF('Council Entry'!BB$7="Decrease Risk",10-10*((IF('Council Entry'!BB$4="Logarithm",LN(0.001+IF(AND(ISNUMBER('Council Entry'!BB$8),ISNUMBER('Council Entry'!BB$9)),MAX(MIN('Council Entry'!BB132,'Council Entry'!BB$9),'Council Entry'!BB$8),'Council Entry'!BB132)),IF('Council Entry'!BB$4="Exponential",EXP(IF(AND(ISNUMBER('Council Entry'!BB$8),ISNUMBER('Council Entry'!BB$9)),MAX(MIN('Council Entry'!BB132,'Council Entry'!BB$9),'Council Entry'!BB$8),'Council Entry'!BB132)),IF(AND(ISNUMBER('Council Entry'!BB$8),ISNUMBER('Council Entry'!BB$9)),MAX(MIN('Council Entry'!BB132,'Council Entry'!BB$9),'Council Entry'!BB$8),'Council Entry'!BB132))))-'Council Entry'!BB$5)/('Council Entry'!BB$6-'Council Entry'!BB$5),10*((IF('Council Entry'!BB$4="Logarithm",LN(0.001+IF(AND(ISNUMBER('Council Entry'!BB$8),ISNUMBER('Council Entry'!BB$9)),MAX(MIN('Council Entry'!BB132,'Council Entry'!BB$9),'Council Entry'!BB$8),'Council Entry'!BB132)),IF('Council Entry'!BB$4="Exponential",EXP(IF(AND(ISNUMBER('Council Entry'!BB$8),ISNUMBER('Council Entry'!BB$9)),MAX(MIN('Council Entry'!BB132,'Council Entry'!BB$9),'Council Entry'!BB$8),'Council Entry'!BB132)),IF(AND(ISNUMBER('Council Entry'!BB$8),ISNUMBER('Council Entry'!BB$9)),MAX(MIN('Council Entry'!BB132,'Council Entry'!BB$9),'Council Entry'!BB$8),'Council Entry'!BB132))))-'Council Entry'!BB$5)/('Council Entry'!BB$6-'Council Entry'!BB$5)),1))),"No data"))</f>
        <v/>
      </c>
      <c r="BC132" s="13">
        <f>IF('Council Entry'!BC132="","",IFERROR(MAX(0,MIN(10,ROUND(IF('Council Entry'!BC$7="Decrease Risk",10-10*((IF('Council Entry'!BC$4="Logarithm",LN(0.001+IF(AND(ISNUMBER('Council Entry'!BC$8),ISNUMBER('Council Entry'!BC$9)),MAX(MIN('Council Entry'!BC132,'Council Entry'!BC$9),'Council Entry'!BC$8),'Council Entry'!BC132)),IF('Council Entry'!BC$4="Exponential",EXP(IF(AND(ISNUMBER('Council Entry'!BC$8),ISNUMBER('Council Entry'!BC$9)),MAX(MIN('Council Entry'!BC132,'Council Entry'!BC$9),'Council Entry'!BC$8),'Council Entry'!BC132)),IF(AND(ISNUMBER('Council Entry'!BC$8),ISNUMBER('Council Entry'!BC$9)),MAX(MIN('Council Entry'!BC132,'Council Entry'!BC$9),'Council Entry'!BC$8),'Council Entry'!BC132))))-'Council Entry'!BC$5)/('Council Entry'!BC$6-'Council Entry'!BC$5),10*((IF('Council Entry'!BC$4="Logarithm",LN(0.001+IF(AND(ISNUMBER('Council Entry'!BC$8),ISNUMBER('Council Entry'!BC$9)),MAX(MIN('Council Entry'!BC132,'Council Entry'!BC$9),'Council Entry'!BC$8),'Council Entry'!BC132)),IF('Council Entry'!BC$4="Exponential",EXP(IF(AND(ISNUMBER('Council Entry'!BC$8),ISNUMBER('Council Entry'!BC$9)),MAX(MIN('Council Entry'!BC132,'Council Entry'!BC$9),'Council Entry'!BC$8),'Council Entry'!BC132)),IF(AND(ISNUMBER('Council Entry'!BC$8),ISNUMBER('Council Entry'!BC$9)),MAX(MIN('Council Entry'!BC132,'Council Entry'!BC$9),'Council Entry'!BC$8),'Council Entry'!BC132))))-'Council Entry'!BC$5)/('Council Entry'!BC$6-'Council Entry'!BC$5)),1))),"No data"))</f>
        <v/>
      </c>
      <c r="BD132" s="13">
        <f>IF('Council Entry'!BD132="","",IFERROR(MAX(0,MIN(10,ROUND(IF('Council Entry'!BD$7="Decrease Risk",10-10*((IF('Council Entry'!BD$4="Logarithm",LN(0.001+IF(AND(ISNUMBER('Council Entry'!BD$8),ISNUMBER('Council Entry'!BD$9)),MAX(MIN('Council Entry'!BD132,'Council Entry'!BD$9),'Council Entry'!BD$8),'Council Entry'!BD132)),IF('Council Entry'!BD$4="Exponential",EXP(IF(AND(ISNUMBER('Council Entry'!BD$8),ISNUMBER('Council Entry'!BD$9)),MAX(MIN('Council Entry'!BD132,'Council Entry'!BD$9),'Council Entry'!BD$8),'Council Entry'!BD132)),IF(AND(ISNUMBER('Council Entry'!BD$8),ISNUMBER('Council Entry'!BD$9)),MAX(MIN('Council Entry'!BD132,'Council Entry'!BD$9),'Council Entry'!BD$8),'Council Entry'!BD132))))-'Council Entry'!BD$5)/('Council Entry'!BD$6-'Council Entry'!BD$5),10*((IF('Council Entry'!BD$4="Logarithm",LN(0.001+IF(AND(ISNUMBER('Council Entry'!BD$8),ISNUMBER('Council Entry'!BD$9)),MAX(MIN('Council Entry'!BD132,'Council Entry'!BD$9),'Council Entry'!BD$8),'Council Entry'!BD132)),IF('Council Entry'!BD$4="Exponential",EXP(IF(AND(ISNUMBER('Council Entry'!BD$8),ISNUMBER('Council Entry'!BD$9)),MAX(MIN('Council Entry'!BD132,'Council Entry'!BD$9),'Council Entry'!BD$8),'Council Entry'!BD132)),IF(AND(ISNUMBER('Council Entry'!BD$8),ISNUMBER('Council Entry'!BD$9)),MAX(MIN('Council Entry'!BD132,'Council Entry'!BD$9),'Council Entry'!BD$8),'Council Entry'!BD132))))-'Council Entry'!BD$5)/('Council Entry'!BD$6-'Council Entry'!BD$5)),1))),"No data"))</f>
        <v/>
      </c>
    </row>
    <row r="133">
      <c r="A133" t="inlineStr">
        <is>
          <t>Mwanza</t>
        </is>
      </c>
      <c r="B133" t="inlineStr">
        <is>
          <t>Mwanza City</t>
        </is>
      </c>
      <c r="C133" t="inlineStr">
        <is>
          <t>C135</t>
        </is>
      </c>
      <c r="D133" s="13">
        <f>IF('Council Entry'!D133="","",IFERROR(MAX(0,MIN(10,ROUND(IF('Council Entry'!D$7="Decrease Risk",10-10*((IF('Council Entry'!D$4="Logarithm",LN(0.001+IF(AND(ISNUMBER('Council Entry'!D$8),ISNUMBER('Council Entry'!D$9)),MAX(MIN('Council Entry'!D133,'Council Entry'!D$9),'Council Entry'!D$8),'Council Entry'!D133)),IF('Council Entry'!D$4="Exponential",EXP(IF(AND(ISNUMBER('Council Entry'!D$8),ISNUMBER('Council Entry'!D$9)),MAX(MIN('Council Entry'!D133,'Council Entry'!D$9),'Council Entry'!D$8),'Council Entry'!D133)),IF(AND(ISNUMBER('Council Entry'!D$8),ISNUMBER('Council Entry'!D$9)),MAX(MIN('Council Entry'!D133,'Council Entry'!D$9),'Council Entry'!D$8),'Council Entry'!D133))))-'Council Entry'!D$5)/('Council Entry'!D$6-'Council Entry'!D$5),10*((IF('Council Entry'!D$4="Logarithm",LN(0.001+IF(AND(ISNUMBER('Council Entry'!D$8),ISNUMBER('Council Entry'!D$9)),MAX(MIN('Council Entry'!D133,'Council Entry'!D$9),'Council Entry'!D$8),'Council Entry'!D133)),IF('Council Entry'!D$4="Exponential",EXP(IF(AND(ISNUMBER('Council Entry'!D$8),ISNUMBER('Council Entry'!D$9)),MAX(MIN('Council Entry'!D133,'Council Entry'!D$9),'Council Entry'!D$8),'Council Entry'!D133)),IF(AND(ISNUMBER('Council Entry'!D$8),ISNUMBER('Council Entry'!D$9)),MAX(MIN('Council Entry'!D133,'Council Entry'!D$9),'Council Entry'!D$8),'Council Entry'!D133))))-'Council Entry'!D$5)/('Council Entry'!D$6-'Council Entry'!D$5)),1))),"No data"))</f>
        <v/>
      </c>
      <c r="E133" s="13">
        <f>IF('Council Entry'!E133="","",IFERROR(MAX(0,MIN(10,ROUND(IF('Council Entry'!E$7="Decrease Risk",10-10*((IF('Council Entry'!E$4="Logarithm",LN(0.001+IF(AND(ISNUMBER('Council Entry'!E$8),ISNUMBER('Council Entry'!E$9)),MAX(MIN('Council Entry'!E133,'Council Entry'!E$9),'Council Entry'!E$8),'Council Entry'!E133)),IF('Council Entry'!E$4="Exponential",EXP(IF(AND(ISNUMBER('Council Entry'!E$8),ISNUMBER('Council Entry'!E$9)),MAX(MIN('Council Entry'!E133,'Council Entry'!E$9),'Council Entry'!E$8),'Council Entry'!E133)),IF(AND(ISNUMBER('Council Entry'!E$8),ISNUMBER('Council Entry'!E$9)),MAX(MIN('Council Entry'!E133,'Council Entry'!E$9),'Council Entry'!E$8),'Council Entry'!E133))))-'Council Entry'!E$5)/('Council Entry'!E$6-'Council Entry'!E$5),10*((IF('Council Entry'!E$4="Logarithm",LN(0.001+IF(AND(ISNUMBER('Council Entry'!E$8),ISNUMBER('Council Entry'!E$9)),MAX(MIN('Council Entry'!E133,'Council Entry'!E$9),'Council Entry'!E$8),'Council Entry'!E133)),IF('Council Entry'!E$4="Exponential",EXP(IF(AND(ISNUMBER('Council Entry'!E$8),ISNUMBER('Council Entry'!E$9)),MAX(MIN('Council Entry'!E133,'Council Entry'!E$9),'Council Entry'!E$8),'Council Entry'!E133)),IF(AND(ISNUMBER('Council Entry'!E$8),ISNUMBER('Council Entry'!E$9)),MAX(MIN('Council Entry'!E133,'Council Entry'!E$9),'Council Entry'!E$8),'Council Entry'!E133))))-'Council Entry'!E$5)/('Council Entry'!E$6-'Council Entry'!E$5)),1))),"No data"))</f>
        <v/>
      </c>
      <c r="F133" s="13">
        <f>IF('Council Entry'!F133="","",IFERROR(MAX(0,MIN(10,ROUND(IF('Council Entry'!F$7="Decrease Risk",10-10*((IF('Council Entry'!F$4="Logarithm",LN(0.001+IF(AND(ISNUMBER('Council Entry'!F$8),ISNUMBER('Council Entry'!F$9)),MAX(MIN('Council Entry'!F133,'Council Entry'!F$9),'Council Entry'!F$8),'Council Entry'!F133)),IF('Council Entry'!F$4="Exponential",EXP(IF(AND(ISNUMBER('Council Entry'!F$8),ISNUMBER('Council Entry'!F$9)),MAX(MIN('Council Entry'!F133,'Council Entry'!F$9),'Council Entry'!F$8),'Council Entry'!F133)),IF(AND(ISNUMBER('Council Entry'!F$8),ISNUMBER('Council Entry'!F$9)),MAX(MIN('Council Entry'!F133,'Council Entry'!F$9),'Council Entry'!F$8),'Council Entry'!F133))))-'Council Entry'!F$5)/('Council Entry'!F$6-'Council Entry'!F$5),10*((IF('Council Entry'!F$4="Logarithm",LN(0.001+IF(AND(ISNUMBER('Council Entry'!F$8),ISNUMBER('Council Entry'!F$9)),MAX(MIN('Council Entry'!F133,'Council Entry'!F$9),'Council Entry'!F$8),'Council Entry'!F133)),IF('Council Entry'!F$4="Exponential",EXP(IF(AND(ISNUMBER('Council Entry'!F$8),ISNUMBER('Council Entry'!F$9)),MAX(MIN('Council Entry'!F133,'Council Entry'!F$9),'Council Entry'!F$8),'Council Entry'!F133)),IF(AND(ISNUMBER('Council Entry'!F$8),ISNUMBER('Council Entry'!F$9)),MAX(MIN('Council Entry'!F133,'Council Entry'!F$9),'Council Entry'!F$8),'Council Entry'!F133))))-'Council Entry'!F$5)/('Council Entry'!F$6-'Council Entry'!F$5)),1))),"No data"))</f>
        <v/>
      </c>
      <c r="G133" s="13">
        <f>IF('Council Entry'!G133="","",IFERROR(MAX(0,MIN(10,ROUND(IF('Council Entry'!G$7="Decrease Risk",10-10*((IF('Council Entry'!G$4="Logarithm",LN(0.001+IF(AND(ISNUMBER('Council Entry'!G$8),ISNUMBER('Council Entry'!G$9)),MAX(MIN('Council Entry'!G133,'Council Entry'!G$9),'Council Entry'!G$8),'Council Entry'!G133)),IF('Council Entry'!G$4="Exponential",EXP(IF(AND(ISNUMBER('Council Entry'!G$8),ISNUMBER('Council Entry'!G$9)),MAX(MIN('Council Entry'!G133,'Council Entry'!G$9),'Council Entry'!G$8),'Council Entry'!G133)),IF(AND(ISNUMBER('Council Entry'!G$8),ISNUMBER('Council Entry'!G$9)),MAX(MIN('Council Entry'!G133,'Council Entry'!G$9),'Council Entry'!G$8),'Council Entry'!G133))))-'Council Entry'!G$5)/('Council Entry'!G$6-'Council Entry'!G$5),10*((IF('Council Entry'!G$4="Logarithm",LN(0.001+IF(AND(ISNUMBER('Council Entry'!G$8),ISNUMBER('Council Entry'!G$9)),MAX(MIN('Council Entry'!G133,'Council Entry'!G$9),'Council Entry'!G$8),'Council Entry'!G133)),IF('Council Entry'!G$4="Exponential",EXP(IF(AND(ISNUMBER('Council Entry'!G$8),ISNUMBER('Council Entry'!G$9)),MAX(MIN('Council Entry'!G133,'Council Entry'!G$9),'Council Entry'!G$8),'Council Entry'!G133)),IF(AND(ISNUMBER('Council Entry'!G$8),ISNUMBER('Council Entry'!G$9)),MAX(MIN('Council Entry'!G133,'Council Entry'!G$9),'Council Entry'!G$8),'Council Entry'!G133))))-'Council Entry'!G$5)/('Council Entry'!G$6-'Council Entry'!G$5)),1))),"No data"))</f>
        <v/>
      </c>
      <c r="H133" s="13">
        <f>IF('Council Entry'!H133="","",IFERROR(MAX(0,MIN(10,ROUND(IF('Council Entry'!H$7="Decrease Risk",10-10*((IF('Council Entry'!H$4="Logarithm",LN(0.001+IF(AND(ISNUMBER('Council Entry'!H$8),ISNUMBER('Council Entry'!H$9)),MAX(MIN('Council Entry'!H133,'Council Entry'!H$9),'Council Entry'!H$8),'Council Entry'!H133)),IF('Council Entry'!H$4="Exponential",EXP(IF(AND(ISNUMBER('Council Entry'!H$8),ISNUMBER('Council Entry'!H$9)),MAX(MIN('Council Entry'!H133,'Council Entry'!H$9),'Council Entry'!H$8),'Council Entry'!H133)),IF(AND(ISNUMBER('Council Entry'!H$8),ISNUMBER('Council Entry'!H$9)),MAX(MIN('Council Entry'!H133,'Council Entry'!H$9),'Council Entry'!H$8),'Council Entry'!H133))))-'Council Entry'!H$5)/('Council Entry'!H$6-'Council Entry'!H$5),10*((IF('Council Entry'!H$4="Logarithm",LN(0.001+IF(AND(ISNUMBER('Council Entry'!H$8),ISNUMBER('Council Entry'!H$9)),MAX(MIN('Council Entry'!H133,'Council Entry'!H$9),'Council Entry'!H$8),'Council Entry'!H133)),IF('Council Entry'!H$4="Exponential",EXP(IF(AND(ISNUMBER('Council Entry'!H$8),ISNUMBER('Council Entry'!H$9)),MAX(MIN('Council Entry'!H133,'Council Entry'!H$9),'Council Entry'!H$8),'Council Entry'!H133)),IF(AND(ISNUMBER('Council Entry'!H$8),ISNUMBER('Council Entry'!H$9)),MAX(MIN('Council Entry'!H133,'Council Entry'!H$9),'Council Entry'!H$8),'Council Entry'!H133))))-'Council Entry'!H$5)/('Council Entry'!H$6-'Council Entry'!H$5)),1))),"No data"))</f>
        <v/>
      </c>
      <c r="I133" s="13">
        <f>IF('Council Entry'!I133="","",IFERROR(MAX(0,MIN(10,ROUND(IF('Council Entry'!I$7="Decrease Risk",10-10*((IF('Council Entry'!I$4="Logarithm",LN(0.001+IF(AND(ISNUMBER('Council Entry'!I$8),ISNUMBER('Council Entry'!I$9)),MAX(MIN('Council Entry'!I133,'Council Entry'!I$9),'Council Entry'!I$8),'Council Entry'!I133)),IF('Council Entry'!I$4="Exponential",EXP(IF(AND(ISNUMBER('Council Entry'!I$8),ISNUMBER('Council Entry'!I$9)),MAX(MIN('Council Entry'!I133,'Council Entry'!I$9),'Council Entry'!I$8),'Council Entry'!I133)),IF(AND(ISNUMBER('Council Entry'!I$8),ISNUMBER('Council Entry'!I$9)),MAX(MIN('Council Entry'!I133,'Council Entry'!I$9),'Council Entry'!I$8),'Council Entry'!I133))))-'Council Entry'!I$5)/('Council Entry'!I$6-'Council Entry'!I$5),10*((IF('Council Entry'!I$4="Logarithm",LN(0.001+IF(AND(ISNUMBER('Council Entry'!I$8),ISNUMBER('Council Entry'!I$9)),MAX(MIN('Council Entry'!I133,'Council Entry'!I$9),'Council Entry'!I$8),'Council Entry'!I133)),IF('Council Entry'!I$4="Exponential",EXP(IF(AND(ISNUMBER('Council Entry'!I$8),ISNUMBER('Council Entry'!I$9)),MAX(MIN('Council Entry'!I133,'Council Entry'!I$9),'Council Entry'!I$8),'Council Entry'!I133)),IF(AND(ISNUMBER('Council Entry'!I$8),ISNUMBER('Council Entry'!I$9)),MAX(MIN('Council Entry'!I133,'Council Entry'!I$9),'Council Entry'!I$8),'Council Entry'!I133))))-'Council Entry'!I$5)/('Council Entry'!I$6-'Council Entry'!I$5)),1))),"No data"))</f>
        <v/>
      </c>
      <c r="J133" s="13">
        <f>IF('Council Entry'!J133="","",IFERROR(MAX(0,MIN(10,ROUND(IF('Council Entry'!J$7="Decrease Risk",10-10*((IF('Council Entry'!J$4="Logarithm",LN(0.001+IF(AND(ISNUMBER('Council Entry'!J$8),ISNUMBER('Council Entry'!J$9)),MAX(MIN('Council Entry'!J133,'Council Entry'!J$9),'Council Entry'!J$8),'Council Entry'!J133)),IF('Council Entry'!J$4="Exponential",EXP(IF(AND(ISNUMBER('Council Entry'!J$8),ISNUMBER('Council Entry'!J$9)),MAX(MIN('Council Entry'!J133,'Council Entry'!J$9),'Council Entry'!J$8),'Council Entry'!J133)),IF(AND(ISNUMBER('Council Entry'!J$8),ISNUMBER('Council Entry'!J$9)),MAX(MIN('Council Entry'!J133,'Council Entry'!J$9),'Council Entry'!J$8),'Council Entry'!J133))))-'Council Entry'!J$5)/('Council Entry'!J$6-'Council Entry'!J$5),10*((IF('Council Entry'!J$4="Logarithm",LN(0.001+IF(AND(ISNUMBER('Council Entry'!J$8),ISNUMBER('Council Entry'!J$9)),MAX(MIN('Council Entry'!J133,'Council Entry'!J$9),'Council Entry'!J$8),'Council Entry'!J133)),IF('Council Entry'!J$4="Exponential",EXP(IF(AND(ISNUMBER('Council Entry'!J$8),ISNUMBER('Council Entry'!J$9)),MAX(MIN('Council Entry'!J133,'Council Entry'!J$9),'Council Entry'!J$8),'Council Entry'!J133)),IF(AND(ISNUMBER('Council Entry'!J$8),ISNUMBER('Council Entry'!J$9)),MAX(MIN('Council Entry'!J133,'Council Entry'!J$9),'Council Entry'!J$8),'Council Entry'!J133))))-'Council Entry'!J$5)/('Council Entry'!J$6-'Council Entry'!J$5)),1))),"No data"))</f>
        <v/>
      </c>
      <c r="K133" s="13">
        <f>IF('Council Entry'!K133="","",IFERROR(MAX(0,MIN(10,ROUND(IF('Council Entry'!K$7="Decrease Risk",10-10*((IF('Council Entry'!K$4="Logarithm",LN(0.001+IF(AND(ISNUMBER('Council Entry'!K$8),ISNUMBER('Council Entry'!K$9)),MAX(MIN('Council Entry'!K133,'Council Entry'!K$9),'Council Entry'!K$8),'Council Entry'!K133)),IF('Council Entry'!K$4="Exponential",EXP(IF(AND(ISNUMBER('Council Entry'!K$8),ISNUMBER('Council Entry'!K$9)),MAX(MIN('Council Entry'!K133,'Council Entry'!K$9),'Council Entry'!K$8),'Council Entry'!K133)),IF(AND(ISNUMBER('Council Entry'!K$8),ISNUMBER('Council Entry'!K$9)),MAX(MIN('Council Entry'!K133,'Council Entry'!K$9),'Council Entry'!K$8),'Council Entry'!K133))))-'Council Entry'!K$5)/('Council Entry'!K$6-'Council Entry'!K$5),10*((IF('Council Entry'!K$4="Logarithm",LN(0.001+IF(AND(ISNUMBER('Council Entry'!K$8),ISNUMBER('Council Entry'!K$9)),MAX(MIN('Council Entry'!K133,'Council Entry'!K$9),'Council Entry'!K$8),'Council Entry'!K133)),IF('Council Entry'!K$4="Exponential",EXP(IF(AND(ISNUMBER('Council Entry'!K$8),ISNUMBER('Council Entry'!K$9)),MAX(MIN('Council Entry'!K133,'Council Entry'!K$9),'Council Entry'!K$8),'Council Entry'!K133)),IF(AND(ISNUMBER('Council Entry'!K$8),ISNUMBER('Council Entry'!K$9)),MAX(MIN('Council Entry'!K133,'Council Entry'!K$9),'Council Entry'!K$8),'Council Entry'!K133))))-'Council Entry'!K$5)/('Council Entry'!K$6-'Council Entry'!K$5)),1))),"No data"))</f>
        <v/>
      </c>
      <c r="L133" s="13">
        <f>IF('Council Entry'!L133="","",IFERROR(MAX(0,MIN(10,ROUND(IF('Council Entry'!L$7="Decrease Risk",10-10*((IF('Council Entry'!L$4="Logarithm",LN(0.001+IF(AND(ISNUMBER('Council Entry'!L$8),ISNUMBER('Council Entry'!L$9)),MAX(MIN('Council Entry'!L133,'Council Entry'!L$9),'Council Entry'!L$8),'Council Entry'!L133)),IF('Council Entry'!L$4="Exponential",EXP(IF(AND(ISNUMBER('Council Entry'!L$8),ISNUMBER('Council Entry'!L$9)),MAX(MIN('Council Entry'!L133,'Council Entry'!L$9),'Council Entry'!L$8),'Council Entry'!L133)),IF(AND(ISNUMBER('Council Entry'!L$8),ISNUMBER('Council Entry'!L$9)),MAX(MIN('Council Entry'!L133,'Council Entry'!L$9),'Council Entry'!L$8),'Council Entry'!L133))))-'Council Entry'!L$5)/('Council Entry'!L$6-'Council Entry'!L$5),10*((IF('Council Entry'!L$4="Logarithm",LN(0.001+IF(AND(ISNUMBER('Council Entry'!L$8),ISNUMBER('Council Entry'!L$9)),MAX(MIN('Council Entry'!L133,'Council Entry'!L$9),'Council Entry'!L$8),'Council Entry'!L133)),IF('Council Entry'!L$4="Exponential",EXP(IF(AND(ISNUMBER('Council Entry'!L$8),ISNUMBER('Council Entry'!L$9)),MAX(MIN('Council Entry'!L133,'Council Entry'!L$9),'Council Entry'!L$8),'Council Entry'!L133)),IF(AND(ISNUMBER('Council Entry'!L$8),ISNUMBER('Council Entry'!L$9)),MAX(MIN('Council Entry'!L133,'Council Entry'!L$9),'Council Entry'!L$8),'Council Entry'!L133))))-'Council Entry'!L$5)/('Council Entry'!L$6-'Council Entry'!L$5)),1))),"No data"))</f>
        <v/>
      </c>
      <c r="M133" s="13">
        <f>IF('Council Entry'!M133="","",IFERROR(MAX(0,MIN(10,ROUND(IF('Council Entry'!M$7="Decrease Risk",10-10*((IF('Council Entry'!M$4="Logarithm",LN(0.001+IF(AND(ISNUMBER('Council Entry'!M$8),ISNUMBER('Council Entry'!M$9)),MAX(MIN('Council Entry'!M133,'Council Entry'!M$9),'Council Entry'!M$8),'Council Entry'!M133)),IF('Council Entry'!M$4="Exponential",EXP(IF(AND(ISNUMBER('Council Entry'!M$8),ISNUMBER('Council Entry'!M$9)),MAX(MIN('Council Entry'!M133,'Council Entry'!M$9),'Council Entry'!M$8),'Council Entry'!M133)),IF(AND(ISNUMBER('Council Entry'!M$8),ISNUMBER('Council Entry'!M$9)),MAX(MIN('Council Entry'!M133,'Council Entry'!M$9),'Council Entry'!M$8),'Council Entry'!M133))))-'Council Entry'!M$5)/('Council Entry'!M$6-'Council Entry'!M$5),10*((IF('Council Entry'!M$4="Logarithm",LN(0.001+IF(AND(ISNUMBER('Council Entry'!M$8),ISNUMBER('Council Entry'!M$9)),MAX(MIN('Council Entry'!M133,'Council Entry'!M$9),'Council Entry'!M$8),'Council Entry'!M133)),IF('Council Entry'!M$4="Exponential",EXP(IF(AND(ISNUMBER('Council Entry'!M$8),ISNUMBER('Council Entry'!M$9)),MAX(MIN('Council Entry'!M133,'Council Entry'!M$9),'Council Entry'!M$8),'Council Entry'!M133)),IF(AND(ISNUMBER('Council Entry'!M$8),ISNUMBER('Council Entry'!M$9)),MAX(MIN('Council Entry'!M133,'Council Entry'!M$9),'Council Entry'!M$8),'Council Entry'!M133))))-'Council Entry'!M$5)/('Council Entry'!M$6-'Council Entry'!M$5)),1))),"No data"))</f>
        <v/>
      </c>
      <c r="N133" s="13">
        <f>IF('Council Entry'!N133="","",IFERROR(MAX(0,MIN(10,ROUND(IF('Council Entry'!N$7="Decrease Risk",10-10*((IF('Council Entry'!N$4="Logarithm",LN(0.001+IF(AND(ISNUMBER('Council Entry'!N$8),ISNUMBER('Council Entry'!N$9)),MAX(MIN('Council Entry'!N133,'Council Entry'!N$9),'Council Entry'!N$8),'Council Entry'!N133)),IF('Council Entry'!N$4="Exponential",EXP(IF(AND(ISNUMBER('Council Entry'!N$8),ISNUMBER('Council Entry'!N$9)),MAX(MIN('Council Entry'!N133,'Council Entry'!N$9),'Council Entry'!N$8),'Council Entry'!N133)),IF(AND(ISNUMBER('Council Entry'!N$8),ISNUMBER('Council Entry'!N$9)),MAX(MIN('Council Entry'!N133,'Council Entry'!N$9),'Council Entry'!N$8),'Council Entry'!N133))))-'Council Entry'!N$5)/('Council Entry'!N$6-'Council Entry'!N$5),10*((IF('Council Entry'!N$4="Logarithm",LN(0.001+IF(AND(ISNUMBER('Council Entry'!N$8),ISNUMBER('Council Entry'!N$9)),MAX(MIN('Council Entry'!N133,'Council Entry'!N$9),'Council Entry'!N$8),'Council Entry'!N133)),IF('Council Entry'!N$4="Exponential",EXP(IF(AND(ISNUMBER('Council Entry'!N$8),ISNUMBER('Council Entry'!N$9)),MAX(MIN('Council Entry'!N133,'Council Entry'!N$9),'Council Entry'!N$8),'Council Entry'!N133)),IF(AND(ISNUMBER('Council Entry'!N$8),ISNUMBER('Council Entry'!N$9)),MAX(MIN('Council Entry'!N133,'Council Entry'!N$9),'Council Entry'!N$8),'Council Entry'!N133))))-'Council Entry'!N$5)/('Council Entry'!N$6-'Council Entry'!N$5)),1))),"No data"))</f>
        <v/>
      </c>
      <c r="O133" s="13">
        <f>IF('Council Entry'!O133="","",IFERROR(MAX(0,MIN(10,ROUND(IF('Council Entry'!O$7="Decrease Risk",10-10*((IF('Council Entry'!O$4="Logarithm",LN(0.001+IF(AND(ISNUMBER('Council Entry'!O$8),ISNUMBER('Council Entry'!O$9)),MAX(MIN('Council Entry'!O133,'Council Entry'!O$9),'Council Entry'!O$8),'Council Entry'!O133)),IF('Council Entry'!O$4="Exponential",EXP(IF(AND(ISNUMBER('Council Entry'!O$8),ISNUMBER('Council Entry'!O$9)),MAX(MIN('Council Entry'!O133,'Council Entry'!O$9),'Council Entry'!O$8),'Council Entry'!O133)),IF(AND(ISNUMBER('Council Entry'!O$8),ISNUMBER('Council Entry'!O$9)),MAX(MIN('Council Entry'!O133,'Council Entry'!O$9),'Council Entry'!O$8),'Council Entry'!O133))))-'Council Entry'!O$5)/('Council Entry'!O$6-'Council Entry'!O$5),10*((IF('Council Entry'!O$4="Logarithm",LN(0.001+IF(AND(ISNUMBER('Council Entry'!O$8),ISNUMBER('Council Entry'!O$9)),MAX(MIN('Council Entry'!O133,'Council Entry'!O$9),'Council Entry'!O$8),'Council Entry'!O133)),IF('Council Entry'!O$4="Exponential",EXP(IF(AND(ISNUMBER('Council Entry'!O$8),ISNUMBER('Council Entry'!O$9)),MAX(MIN('Council Entry'!O133,'Council Entry'!O$9),'Council Entry'!O$8),'Council Entry'!O133)),IF(AND(ISNUMBER('Council Entry'!O$8),ISNUMBER('Council Entry'!O$9)),MAX(MIN('Council Entry'!O133,'Council Entry'!O$9),'Council Entry'!O$8),'Council Entry'!O133))))-'Council Entry'!O$5)/('Council Entry'!O$6-'Council Entry'!O$5)),1))),"No data"))</f>
        <v/>
      </c>
      <c r="P133" s="13">
        <f>IF('Council Entry'!P133="","",IFERROR(MAX(0,MIN(10,ROUND(IF('Council Entry'!P$7="Decrease Risk",10-10*((IF('Council Entry'!P$4="Logarithm",LN(0.001+IF(AND(ISNUMBER('Council Entry'!P$8),ISNUMBER('Council Entry'!P$9)),MAX(MIN('Council Entry'!P133,'Council Entry'!P$9),'Council Entry'!P$8),'Council Entry'!P133)),IF('Council Entry'!P$4="Exponential",EXP(IF(AND(ISNUMBER('Council Entry'!P$8),ISNUMBER('Council Entry'!P$9)),MAX(MIN('Council Entry'!P133,'Council Entry'!P$9),'Council Entry'!P$8),'Council Entry'!P133)),IF(AND(ISNUMBER('Council Entry'!P$8),ISNUMBER('Council Entry'!P$9)),MAX(MIN('Council Entry'!P133,'Council Entry'!P$9),'Council Entry'!P$8),'Council Entry'!P133))))-'Council Entry'!P$5)/('Council Entry'!P$6-'Council Entry'!P$5),10*((IF('Council Entry'!P$4="Logarithm",LN(0.001+IF(AND(ISNUMBER('Council Entry'!P$8),ISNUMBER('Council Entry'!P$9)),MAX(MIN('Council Entry'!P133,'Council Entry'!P$9),'Council Entry'!P$8),'Council Entry'!P133)),IF('Council Entry'!P$4="Exponential",EXP(IF(AND(ISNUMBER('Council Entry'!P$8),ISNUMBER('Council Entry'!P$9)),MAX(MIN('Council Entry'!P133,'Council Entry'!P$9),'Council Entry'!P$8),'Council Entry'!P133)),IF(AND(ISNUMBER('Council Entry'!P$8),ISNUMBER('Council Entry'!P$9)),MAX(MIN('Council Entry'!P133,'Council Entry'!P$9),'Council Entry'!P$8),'Council Entry'!P133))))-'Council Entry'!P$5)/('Council Entry'!P$6-'Council Entry'!P$5)),1))),"No data"))</f>
        <v/>
      </c>
      <c r="Q133" s="13">
        <f>IF('Council Entry'!Q133="","",IFERROR(MAX(0,MIN(10,ROUND(IF('Council Entry'!Q$7="Decrease Risk",10-10*((IF('Council Entry'!Q$4="Logarithm",LN(0.001+IF(AND(ISNUMBER('Council Entry'!Q$8),ISNUMBER('Council Entry'!Q$9)),MAX(MIN('Council Entry'!Q133,'Council Entry'!Q$9),'Council Entry'!Q$8),'Council Entry'!Q133)),IF('Council Entry'!Q$4="Exponential",EXP(IF(AND(ISNUMBER('Council Entry'!Q$8),ISNUMBER('Council Entry'!Q$9)),MAX(MIN('Council Entry'!Q133,'Council Entry'!Q$9),'Council Entry'!Q$8),'Council Entry'!Q133)),IF(AND(ISNUMBER('Council Entry'!Q$8),ISNUMBER('Council Entry'!Q$9)),MAX(MIN('Council Entry'!Q133,'Council Entry'!Q$9),'Council Entry'!Q$8),'Council Entry'!Q133))))-'Council Entry'!Q$5)/('Council Entry'!Q$6-'Council Entry'!Q$5),10*((IF('Council Entry'!Q$4="Logarithm",LN(0.001+IF(AND(ISNUMBER('Council Entry'!Q$8),ISNUMBER('Council Entry'!Q$9)),MAX(MIN('Council Entry'!Q133,'Council Entry'!Q$9),'Council Entry'!Q$8),'Council Entry'!Q133)),IF('Council Entry'!Q$4="Exponential",EXP(IF(AND(ISNUMBER('Council Entry'!Q$8),ISNUMBER('Council Entry'!Q$9)),MAX(MIN('Council Entry'!Q133,'Council Entry'!Q$9),'Council Entry'!Q$8),'Council Entry'!Q133)),IF(AND(ISNUMBER('Council Entry'!Q$8),ISNUMBER('Council Entry'!Q$9)),MAX(MIN('Council Entry'!Q133,'Council Entry'!Q$9),'Council Entry'!Q$8),'Council Entry'!Q133))))-'Council Entry'!Q$5)/('Council Entry'!Q$6-'Council Entry'!Q$5)),1))),"No data"))</f>
        <v/>
      </c>
      <c r="R133" s="13">
        <f>IF('Council Entry'!R133="","",IFERROR(MAX(0,MIN(10,ROUND(IF('Council Entry'!R$7="Decrease Risk",10-10*((IF('Council Entry'!R$4="Logarithm",LN(0.001+IF(AND(ISNUMBER('Council Entry'!R$8),ISNUMBER('Council Entry'!R$9)),MAX(MIN('Council Entry'!R133,'Council Entry'!R$9),'Council Entry'!R$8),'Council Entry'!R133)),IF('Council Entry'!R$4="Exponential",EXP(IF(AND(ISNUMBER('Council Entry'!R$8),ISNUMBER('Council Entry'!R$9)),MAX(MIN('Council Entry'!R133,'Council Entry'!R$9),'Council Entry'!R$8),'Council Entry'!R133)),IF(AND(ISNUMBER('Council Entry'!R$8),ISNUMBER('Council Entry'!R$9)),MAX(MIN('Council Entry'!R133,'Council Entry'!R$9),'Council Entry'!R$8),'Council Entry'!R133))))-'Council Entry'!R$5)/('Council Entry'!R$6-'Council Entry'!R$5),10*((IF('Council Entry'!R$4="Logarithm",LN(0.001+IF(AND(ISNUMBER('Council Entry'!R$8),ISNUMBER('Council Entry'!R$9)),MAX(MIN('Council Entry'!R133,'Council Entry'!R$9),'Council Entry'!R$8),'Council Entry'!R133)),IF('Council Entry'!R$4="Exponential",EXP(IF(AND(ISNUMBER('Council Entry'!R$8),ISNUMBER('Council Entry'!R$9)),MAX(MIN('Council Entry'!R133,'Council Entry'!R$9),'Council Entry'!R$8),'Council Entry'!R133)),IF(AND(ISNUMBER('Council Entry'!R$8),ISNUMBER('Council Entry'!R$9)),MAX(MIN('Council Entry'!R133,'Council Entry'!R$9),'Council Entry'!R$8),'Council Entry'!R133))))-'Council Entry'!R$5)/('Council Entry'!R$6-'Council Entry'!R$5)),1))),"No data"))</f>
        <v/>
      </c>
      <c r="S133" s="13">
        <f>IF('Council Entry'!S133="","",IFERROR(MAX(0,MIN(10,ROUND(IF('Council Entry'!S$7="Decrease Risk",10-10*((IF('Council Entry'!S$4="Logarithm",LN(0.001+IF(AND(ISNUMBER('Council Entry'!S$8),ISNUMBER('Council Entry'!S$9)),MAX(MIN('Council Entry'!S133,'Council Entry'!S$9),'Council Entry'!S$8),'Council Entry'!S133)),IF('Council Entry'!S$4="Exponential",EXP(IF(AND(ISNUMBER('Council Entry'!S$8),ISNUMBER('Council Entry'!S$9)),MAX(MIN('Council Entry'!S133,'Council Entry'!S$9),'Council Entry'!S$8),'Council Entry'!S133)),IF(AND(ISNUMBER('Council Entry'!S$8),ISNUMBER('Council Entry'!S$9)),MAX(MIN('Council Entry'!S133,'Council Entry'!S$9),'Council Entry'!S$8),'Council Entry'!S133))))-'Council Entry'!S$5)/('Council Entry'!S$6-'Council Entry'!S$5),10*((IF('Council Entry'!S$4="Logarithm",LN(0.001+IF(AND(ISNUMBER('Council Entry'!S$8),ISNUMBER('Council Entry'!S$9)),MAX(MIN('Council Entry'!S133,'Council Entry'!S$9),'Council Entry'!S$8),'Council Entry'!S133)),IF('Council Entry'!S$4="Exponential",EXP(IF(AND(ISNUMBER('Council Entry'!S$8),ISNUMBER('Council Entry'!S$9)),MAX(MIN('Council Entry'!S133,'Council Entry'!S$9),'Council Entry'!S$8),'Council Entry'!S133)),IF(AND(ISNUMBER('Council Entry'!S$8),ISNUMBER('Council Entry'!S$9)),MAX(MIN('Council Entry'!S133,'Council Entry'!S$9),'Council Entry'!S$8),'Council Entry'!S133))))-'Council Entry'!S$5)/('Council Entry'!S$6-'Council Entry'!S$5)),1))),"No data"))</f>
        <v/>
      </c>
      <c r="T133" s="13">
        <f>IF('Council Entry'!T133="","",IFERROR(MAX(0,MIN(10,ROUND(IF('Council Entry'!T$7="Decrease Risk",10-10*((IF('Council Entry'!T$4="Logarithm",LN(0.001+IF(AND(ISNUMBER('Council Entry'!T$8),ISNUMBER('Council Entry'!T$9)),MAX(MIN('Council Entry'!T133,'Council Entry'!T$9),'Council Entry'!T$8),'Council Entry'!T133)),IF('Council Entry'!T$4="Exponential",EXP(IF(AND(ISNUMBER('Council Entry'!T$8),ISNUMBER('Council Entry'!T$9)),MAX(MIN('Council Entry'!T133,'Council Entry'!T$9),'Council Entry'!T$8),'Council Entry'!T133)),IF(AND(ISNUMBER('Council Entry'!T$8),ISNUMBER('Council Entry'!T$9)),MAX(MIN('Council Entry'!T133,'Council Entry'!T$9),'Council Entry'!T$8),'Council Entry'!T133))))-'Council Entry'!T$5)/('Council Entry'!T$6-'Council Entry'!T$5),10*((IF('Council Entry'!T$4="Logarithm",LN(0.001+IF(AND(ISNUMBER('Council Entry'!T$8),ISNUMBER('Council Entry'!T$9)),MAX(MIN('Council Entry'!T133,'Council Entry'!T$9),'Council Entry'!T$8),'Council Entry'!T133)),IF('Council Entry'!T$4="Exponential",EXP(IF(AND(ISNUMBER('Council Entry'!T$8),ISNUMBER('Council Entry'!T$9)),MAX(MIN('Council Entry'!T133,'Council Entry'!T$9),'Council Entry'!T$8),'Council Entry'!T133)),IF(AND(ISNUMBER('Council Entry'!T$8),ISNUMBER('Council Entry'!T$9)),MAX(MIN('Council Entry'!T133,'Council Entry'!T$9),'Council Entry'!T$8),'Council Entry'!T133))))-'Council Entry'!T$5)/('Council Entry'!T$6-'Council Entry'!T$5)),1))),"No data"))</f>
        <v/>
      </c>
      <c r="U133" s="13">
        <f>IF('Council Entry'!U133="","",IFERROR(MAX(0,MIN(10,ROUND(IF('Council Entry'!U$7="Decrease Risk",10-10*((IF('Council Entry'!U$4="Logarithm",LN(0.001+IF(AND(ISNUMBER('Council Entry'!U$8),ISNUMBER('Council Entry'!U$9)),MAX(MIN('Council Entry'!U133,'Council Entry'!U$9),'Council Entry'!U$8),'Council Entry'!U133)),IF('Council Entry'!U$4="Exponential",EXP(IF(AND(ISNUMBER('Council Entry'!U$8),ISNUMBER('Council Entry'!U$9)),MAX(MIN('Council Entry'!U133,'Council Entry'!U$9),'Council Entry'!U$8),'Council Entry'!U133)),IF(AND(ISNUMBER('Council Entry'!U$8),ISNUMBER('Council Entry'!U$9)),MAX(MIN('Council Entry'!U133,'Council Entry'!U$9),'Council Entry'!U$8),'Council Entry'!U133))))-'Council Entry'!U$5)/('Council Entry'!U$6-'Council Entry'!U$5),10*((IF('Council Entry'!U$4="Logarithm",LN(0.001+IF(AND(ISNUMBER('Council Entry'!U$8),ISNUMBER('Council Entry'!U$9)),MAX(MIN('Council Entry'!U133,'Council Entry'!U$9),'Council Entry'!U$8),'Council Entry'!U133)),IF('Council Entry'!U$4="Exponential",EXP(IF(AND(ISNUMBER('Council Entry'!U$8),ISNUMBER('Council Entry'!U$9)),MAX(MIN('Council Entry'!U133,'Council Entry'!U$9),'Council Entry'!U$8),'Council Entry'!U133)),IF(AND(ISNUMBER('Council Entry'!U$8),ISNUMBER('Council Entry'!U$9)),MAX(MIN('Council Entry'!U133,'Council Entry'!U$9),'Council Entry'!U$8),'Council Entry'!U133))))-'Council Entry'!U$5)/('Council Entry'!U$6-'Council Entry'!U$5)),1))),"No data"))</f>
        <v/>
      </c>
      <c r="V133" s="13">
        <f>IF('Council Entry'!V133="","",IFERROR(MAX(0,MIN(10,ROUND(IF('Council Entry'!V$7="Decrease Risk",10-10*((IF('Council Entry'!V$4="Logarithm",LN(0.001+IF(AND(ISNUMBER('Council Entry'!V$8),ISNUMBER('Council Entry'!V$9)),MAX(MIN('Council Entry'!V133,'Council Entry'!V$9),'Council Entry'!V$8),'Council Entry'!V133)),IF('Council Entry'!V$4="Exponential",EXP(IF(AND(ISNUMBER('Council Entry'!V$8),ISNUMBER('Council Entry'!V$9)),MAX(MIN('Council Entry'!V133,'Council Entry'!V$9),'Council Entry'!V$8),'Council Entry'!V133)),IF(AND(ISNUMBER('Council Entry'!V$8),ISNUMBER('Council Entry'!V$9)),MAX(MIN('Council Entry'!V133,'Council Entry'!V$9),'Council Entry'!V$8),'Council Entry'!V133))))-'Council Entry'!V$5)/('Council Entry'!V$6-'Council Entry'!V$5),10*((IF('Council Entry'!V$4="Logarithm",LN(0.001+IF(AND(ISNUMBER('Council Entry'!V$8),ISNUMBER('Council Entry'!V$9)),MAX(MIN('Council Entry'!V133,'Council Entry'!V$9),'Council Entry'!V$8),'Council Entry'!V133)),IF('Council Entry'!V$4="Exponential",EXP(IF(AND(ISNUMBER('Council Entry'!V$8),ISNUMBER('Council Entry'!V$9)),MAX(MIN('Council Entry'!V133,'Council Entry'!V$9),'Council Entry'!V$8),'Council Entry'!V133)),IF(AND(ISNUMBER('Council Entry'!V$8),ISNUMBER('Council Entry'!V$9)),MAX(MIN('Council Entry'!V133,'Council Entry'!V$9),'Council Entry'!V$8),'Council Entry'!V133))))-'Council Entry'!V$5)/('Council Entry'!V$6-'Council Entry'!V$5)),1))),"No data"))</f>
        <v/>
      </c>
      <c r="W133" s="13">
        <f>IF('Council Entry'!W133="","",IFERROR(MAX(0,MIN(10,ROUND(IF('Council Entry'!W$7="Decrease Risk",10-10*((IF('Council Entry'!W$4="Logarithm",LN(0.001+IF(AND(ISNUMBER('Council Entry'!W$8),ISNUMBER('Council Entry'!W$9)),MAX(MIN('Council Entry'!W133,'Council Entry'!W$9),'Council Entry'!W$8),'Council Entry'!W133)),IF('Council Entry'!W$4="Exponential",EXP(IF(AND(ISNUMBER('Council Entry'!W$8),ISNUMBER('Council Entry'!W$9)),MAX(MIN('Council Entry'!W133,'Council Entry'!W$9),'Council Entry'!W$8),'Council Entry'!W133)),IF(AND(ISNUMBER('Council Entry'!W$8),ISNUMBER('Council Entry'!W$9)),MAX(MIN('Council Entry'!W133,'Council Entry'!W$9),'Council Entry'!W$8),'Council Entry'!W133))))-'Council Entry'!W$5)/('Council Entry'!W$6-'Council Entry'!W$5),10*((IF('Council Entry'!W$4="Logarithm",LN(0.001+IF(AND(ISNUMBER('Council Entry'!W$8),ISNUMBER('Council Entry'!W$9)),MAX(MIN('Council Entry'!W133,'Council Entry'!W$9),'Council Entry'!W$8),'Council Entry'!W133)),IF('Council Entry'!W$4="Exponential",EXP(IF(AND(ISNUMBER('Council Entry'!W$8),ISNUMBER('Council Entry'!W$9)),MAX(MIN('Council Entry'!W133,'Council Entry'!W$9),'Council Entry'!W$8),'Council Entry'!W133)),IF(AND(ISNUMBER('Council Entry'!W$8),ISNUMBER('Council Entry'!W$9)),MAX(MIN('Council Entry'!W133,'Council Entry'!W$9),'Council Entry'!W$8),'Council Entry'!W133))))-'Council Entry'!W$5)/('Council Entry'!W$6-'Council Entry'!W$5)),1))),"No data"))</f>
        <v/>
      </c>
      <c r="X133" s="13">
        <f>IF('Council Entry'!X133="","",IFERROR(MAX(0,MIN(10,ROUND(IF('Council Entry'!X$7="Decrease Risk",10-10*((IF('Council Entry'!X$4="Logarithm",LN(0.001+IF(AND(ISNUMBER('Council Entry'!X$8),ISNUMBER('Council Entry'!X$9)),MAX(MIN('Council Entry'!X133,'Council Entry'!X$9),'Council Entry'!X$8),'Council Entry'!X133)),IF('Council Entry'!X$4="Exponential",EXP(IF(AND(ISNUMBER('Council Entry'!X$8),ISNUMBER('Council Entry'!X$9)),MAX(MIN('Council Entry'!X133,'Council Entry'!X$9),'Council Entry'!X$8),'Council Entry'!X133)),IF(AND(ISNUMBER('Council Entry'!X$8),ISNUMBER('Council Entry'!X$9)),MAX(MIN('Council Entry'!X133,'Council Entry'!X$9),'Council Entry'!X$8),'Council Entry'!X133))))-'Council Entry'!X$5)/('Council Entry'!X$6-'Council Entry'!X$5),10*((IF('Council Entry'!X$4="Logarithm",LN(0.001+IF(AND(ISNUMBER('Council Entry'!X$8),ISNUMBER('Council Entry'!X$9)),MAX(MIN('Council Entry'!X133,'Council Entry'!X$9),'Council Entry'!X$8),'Council Entry'!X133)),IF('Council Entry'!X$4="Exponential",EXP(IF(AND(ISNUMBER('Council Entry'!X$8),ISNUMBER('Council Entry'!X$9)),MAX(MIN('Council Entry'!X133,'Council Entry'!X$9),'Council Entry'!X$8),'Council Entry'!X133)),IF(AND(ISNUMBER('Council Entry'!X$8),ISNUMBER('Council Entry'!X$9)),MAX(MIN('Council Entry'!X133,'Council Entry'!X$9),'Council Entry'!X$8),'Council Entry'!X133))))-'Council Entry'!X$5)/('Council Entry'!X$6-'Council Entry'!X$5)),1))),"No data"))</f>
        <v/>
      </c>
      <c r="Y133" s="13">
        <f>IF('Council Entry'!Y133="","",IFERROR(MAX(0,MIN(10,ROUND(IF('Council Entry'!Y$7="Decrease Risk",10-10*((IF('Council Entry'!Y$4="Logarithm",LN(0.001+IF(AND(ISNUMBER('Council Entry'!Y$8),ISNUMBER('Council Entry'!Y$9)),MAX(MIN('Council Entry'!Y133,'Council Entry'!Y$9),'Council Entry'!Y$8),'Council Entry'!Y133)),IF('Council Entry'!Y$4="Exponential",EXP(IF(AND(ISNUMBER('Council Entry'!Y$8),ISNUMBER('Council Entry'!Y$9)),MAX(MIN('Council Entry'!Y133,'Council Entry'!Y$9),'Council Entry'!Y$8),'Council Entry'!Y133)),IF(AND(ISNUMBER('Council Entry'!Y$8),ISNUMBER('Council Entry'!Y$9)),MAX(MIN('Council Entry'!Y133,'Council Entry'!Y$9),'Council Entry'!Y$8),'Council Entry'!Y133))))-'Council Entry'!Y$5)/('Council Entry'!Y$6-'Council Entry'!Y$5),10*((IF('Council Entry'!Y$4="Logarithm",LN(0.001+IF(AND(ISNUMBER('Council Entry'!Y$8),ISNUMBER('Council Entry'!Y$9)),MAX(MIN('Council Entry'!Y133,'Council Entry'!Y$9),'Council Entry'!Y$8),'Council Entry'!Y133)),IF('Council Entry'!Y$4="Exponential",EXP(IF(AND(ISNUMBER('Council Entry'!Y$8),ISNUMBER('Council Entry'!Y$9)),MAX(MIN('Council Entry'!Y133,'Council Entry'!Y$9),'Council Entry'!Y$8),'Council Entry'!Y133)),IF(AND(ISNUMBER('Council Entry'!Y$8),ISNUMBER('Council Entry'!Y$9)),MAX(MIN('Council Entry'!Y133,'Council Entry'!Y$9),'Council Entry'!Y$8),'Council Entry'!Y133))))-'Council Entry'!Y$5)/('Council Entry'!Y$6-'Council Entry'!Y$5)),1))),"No data"))</f>
        <v/>
      </c>
      <c r="Z133" s="13">
        <f>IF('Council Entry'!Z133="","",IFERROR(MAX(0,MIN(10,ROUND(IF('Council Entry'!Z$7="Decrease Risk",10-10*((IF('Council Entry'!Z$4="Logarithm",LN(0.001+IF(AND(ISNUMBER('Council Entry'!Z$8),ISNUMBER('Council Entry'!Z$9)),MAX(MIN('Council Entry'!Z133,'Council Entry'!Z$9),'Council Entry'!Z$8),'Council Entry'!Z133)),IF('Council Entry'!Z$4="Exponential",EXP(IF(AND(ISNUMBER('Council Entry'!Z$8),ISNUMBER('Council Entry'!Z$9)),MAX(MIN('Council Entry'!Z133,'Council Entry'!Z$9),'Council Entry'!Z$8),'Council Entry'!Z133)),IF(AND(ISNUMBER('Council Entry'!Z$8),ISNUMBER('Council Entry'!Z$9)),MAX(MIN('Council Entry'!Z133,'Council Entry'!Z$9),'Council Entry'!Z$8),'Council Entry'!Z133))))-'Council Entry'!Z$5)/('Council Entry'!Z$6-'Council Entry'!Z$5),10*((IF('Council Entry'!Z$4="Logarithm",LN(0.001+IF(AND(ISNUMBER('Council Entry'!Z$8),ISNUMBER('Council Entry'!Z$9)),MAX(MIN('Council Entry'!Z133,'Council Entry'!Z$9),'Council Entry'!Z$8),'Council Entry'!Z133)),IF('Council Entry'!Z$4="Exponential",EXP(IF(AND(ISNUMBER('Council Entry'!Z$8),ISNUMBER('Council Entry'!Z$9)),MAX(MIN('Council Entry'!Z133,'Council Entry'!Z$9),'Council Entry'!Z$8),'Council Entry'!Z133)),IF(AND(ISNUMBER('Council Entry'!Z$8),ISNUMBER('Council Entry'!Z$9)),MAX(MIN('Council Entry'!Z133,'Council Entry'!Z$9),'Council Entry'!Z$8),'Council Entry'!Z133))))-'Council Entry'!Z$5)/('Council Entry'!Z$6-'Council Entry'!Z$5)),1))),"No data"))</f>
        <v/>
      </c>
      <c r="AA133" s="13">
        <f>IF('Council Entry'!AA133="","",IFERROR(MAX(0,MIN(10,ROUND(IF('Council Entry'!AA$7="Decrease Risk",10-10*((IF('Council Entry'!AA$4="Logarithm",LN(0.001+IF(AND(ISNUMBER('Council Entry'!AA$8),ISNUMBER('Council Entry'!AA$9)),MAX(MIN('Council Entry'!AA133,'Council Entry'!AA$9),'Council Entry'!AA$8),'Council Entry'!AA133)),IF('Council Entry'!AA$4="Exponential",EXP(IF(AND(ISNUMBER('Council Entry'!AA$8),ISNUMBER('Council Entry'!AA$9)),MAX(MIN('Council Entry'!AA133,'Council Entry'!AA$9),'Council Entry'!AA$8),'Council Entry'!AA133)),IF(AND(ISNUMBER('Council Entry'!AA$8),ISNUMBER('Council Entry'!AA$9)),MAX(MIN('Council Entry'!AA133,'Council Entry'!AA$9),'Council Entry'!AA$8),'Council Entry'!AA133))))-'Council Entry'!AA$5)/('Council Entry'!AA$6-'Council Entry'!AA$5),10*((IF('Council Entry'!AA$4="Logarithm",LN(0.001+IF(AND(ISNUMBER('Council Entry'!AA$8),ISNUMBER('Council Entry'!AA$9)),MAX(MIN('Council Entry'!AA133,'Council Entry'!AA$9),'Council Entry'!AA$8),'Council Entry'!AA133)),IF('Council Entry'!AA$4="Exponential",EXP(IF(AND(ISNUMBER('Council Entry'!AA$8),ISNUMBER('Council Entry'!AA$9)),MAX(MIN('Council Entry'!AA133,'Council Entry'!AA$9),'Council Entry'!AA$8),'Council Entry'!AA133)),IF(AND(ISNUMBER('Council Entry'!AA$8),ISNUMBER('Council Entry'!AA$9)),MAX(MIN('Council Entry'!AA133,'Council Entry'!AA$9),'Council Entry'!AA$8),'Council Entry'!AA133))))-'Council Entry'!AA$5)/('Council Entry'!AA$6-'Council Entry'!AA$5)),1))),"No data"))</f>
        <v/>
      </c>
      <c r="AB133" s="13">
        <f>IF('Council Entry'!AB133="","",IFERROR(MAX(0,MIN(10,ROUND(IF('Council Entry'!AB$7="Decrease Risk",10-10*((IF('Council Entry'!AB$4="Logarithm",LN(0.001+IF(AND(ISNUMBER('Council Entry'!AB$8),ISNUMBER('Council Entry'!AB$9)),MAX(MIN('Council Entry'!AB133,'Council Entry'!AB$9),'Council Entry'!AB$8),'Council Entry'!AB133)),IF('Council Entry'!AB$4="Exponential",EXP(IF(AND(ISNUMBER('Council Entry'!AB$8),ISNUMBER('Council Entry'!AB$9)),MAX(MIN('Council Entry'!AB133,'Council Entry'!AB$9),'Council Entry'!AB$8),'Council Entry'!AB133)),IF(AND(ISNUMBER('Council Entry'!AB$8),ISNUMBER('Council Entry'!AB$9)),MAX(MIN('Council Entry'!AB133,'Council Entry'!AB$9),'Council Entry'!AB$8),'Council Entry'!AB133))))-'Council Entry'!AB$5)/('Council Entry'!AB$6-'Council Entry'!AB$5),10*((IF('Council Entry'!AB$4="Logarithm",LN(0.001+IF(AND(ISNUMBER('Council Entry'!AB$8),ISNUMBER('Council Entry'!AB$9)),MAX(MIN('Council Entry'!AB133,'Council Entry'!AB$9),'Council Entry'!AB$8),'Council Entry'!AB133)),IF('Council Entry'!AB$4="Exponential",EXP(IF(AND(ISNUMBER('Council Entry'!AB$8),ISNUMBER('Council Entry'!AB$9)),MAX(MIN('Council Entry'!AB133,'Council Entry'!AB$9),'Council Entry'!AB$8),'Council Entry'!AB133)),IF(AND(ISNUMBER('Council Entry'!AB$8),ISNUMBER('Council Entry'!AB$9)),MAX(MIN('Council Entry'!AB133,'Council Entry'!AB$9),'Council Entry'!AB$8),'Council Entry'!AB133))))-'Council Entry'!AB$5)/('Council Entry'!AB$6-'Council Entry'!AB$5)),1))),"No data"))</f>
        <v/>
      </c>
      <c r="AC133" s="13">
        <f>IF('Council Entry'!AC133="","",IFERROR(MAX(0,MIN(10,ROUND(IF('Council Entry'!AC$7="Decrease Risk",10-10*((IF('Council Entry'!AC$4="Logarithm",LN(0.001+IF(AND(ISNUMBER('Council Entry'!AC$8),ISNUMBER('Council Entry'!AC$9)),MAX(MIN('Council Entry'!AC133,'Council Entry'!AC$9),'Council Entry'!AC$8),'Council Entry'!AC133)),IF('Council Entry'!AC$4="Exponential",EXP(IF(AND(ISNUMBER('Council Entry'!AC$8),ISNUMBER('Council Entry'!AC$9)),MAX(MIN('Council Entry'!AC133,'Council Entry'!AC$9),'Council Entry'!AC$8),'Council Entry'!AC133)),IF(AND(ISNUMBER('Council Entry'!AC$8),ISNUMBER('Council Entry'!AC$9)),MAX(MIN('Council Entry'!AC133,'Council Entry'!AC$9),'Council Entry'!AC$8),'Council Entry'!AC133))))-'Council Entry'!AC$5)/('Council Entry'!AC$6-'Council Entry'!AC$5),10*((IF('Council Entry'!AC$4="Logarithm",LN(0.001+IF(AND(ISNUMBER('Council Entry'!AC$8),ISNUMBER('Council Entry'!AC$9)),MAX(MIN('Council Entry'!AC133,'Council Entry'!AC$9),'Council Entry'!AC$8),'Council Entry'!AC133)),IF('Council Entry'!AC$4="Exponential",EXP(IF(AND(ISNUMBER('Council Entry'!AC$8),ISNUMBER('Council Entry'!AC$9)),MAX(MIN('Council Entry'!AC133,'Council Entry'!AC$9),'Council Entry'!AC$8),'Council Entry'!AC133)),IF(AND(ISNUMBER('Council Entry'!AC$8),ISNUMBER('Council Entry'!AC$9)),MAX(MIN('Council Entry'!AC133,'Council Entry'!AC$9),'Council Entry'!AC$8),'Council Entry'!AC133))))-'Council Entry'!AC$5)/('Council Entry'!AC$6-'Council Entry'!AC$5)),1))),"No data"))</f>
        <v/>
      </c>
      <c r="AD133" s="13">
        <f>IF('Council Entry'!AD133="","",IFERROR(MAX(0,MIN(10,ROUND(IF('Council Entry'!AD$7="Decrease Risk",10-10*((IF('Council Entry'!AD$4="Logarithm",LN(0.001+IF(AND(ISNUMBER('Council Entry'!AD$8),ISNUMBER('Council Entry'!AD$9)),MAX(MIN('Council Entry'!AD133,'Council Entry'!AD$9),'Council Entry'!AD$8),'Council Entry'!AD133)),IF('Council Entry'!AD$4="Exponential",EXP(IF(AND(ISNUMBER('Council Entry'!AD$8),ISNUMBER('Council Entry'!AD$9)),MAX(MIN('Council Entry'!AD133,'Council Entry'!AD$9),'Council Entry'!AD$8),'Council Entry'!AD133)),IF(AND(ISNUMBER('Council Entry'!AD$8),ISNUMBER('Council Entry'!AD$9)),MAX(MIN('Council Entry'!AD133,'Council Entry'!AD$9),'Council Entry'!AD$8),'Council Entry'!AD133))))-'Council Entry'!AD$5)/('Council Entry'!AD$6-'Council Entry'!AD$5),10*((IF('Council Entry'!AD$4="Logarithm",LN(0.001+IF(AND(ISNUMBER('Council Entry'!AD$8),ISNUMBER('Council Entry'!AD$9)),MAX(MIN('Council Entry'!AD133,'Council Entry'!AD$9),'Council Entry'!AD$8),'Council Entry'!AD133)),IF('Council Entry'!AD$4="Exponential",EXP(IF(AND(ISNUMBER('Council Entry'!AD$8),ISNUMBER('Council Entry'!AD$9)),MAX(MIN('Council Entry'!AD133,'Council Entry'!AD$9),'Council Entry'!AD$8),'Council Entry'!AD133)),IF(AND(ISNUMBER('Council Entry'!AD$8),ISNUMBER('Council Entry'!AD$9)),MAX(MIN('Council Entry'!AD133,'Council Entry'!AD$9),'Council Entry'!AD$8),'Council Entry'!AD133))))-'Council Entry'!AD$5)/('Council Entry'!AD$6-'Council Entry'!AD$5)),1))),"No data"))</f>
        <v/>
      </c>
      <c r="AE133" s="13">
        <f>IF('Council Entry'!AE133="","",IFERROR(MAX(0,MIN(10,ROUND(IF('Council Entry'!AE$7="Decrease Risk",10-10*((IF('Council Entry'!AE$4="Logarithm",LN(0.001+IF(AND(ISNUMBER('Council Entry'!AE$8),ISNUMBER('Council Entry'!AE$9)),MAX(MIN('Council Entry'!AE133,'Council Entry'!AE$9),'Council Entry'!AE$8),'Council Entry'!AE133)),IF('Council Entry'!AE$4="Exponential",EXP(IF(AND(ISNUMBER('Council Entry'!AE$8),ISNUMBER('Council Entry'!AE$9)),MAX(MIN('Council Entry'!AE133,'Council Entry'!AE$9),'Council Entry'!AE$8),'Council Entry'!AE133)),IF(AND(ISNUMBER('Council Entry'!AE$8),ISNUMBER('Council Entry'!AE$9)),MAX(MIN('Council Entry'!AE133,'Council Entry'!AE$9),'Council Entry'!AE$8),'Council Entry'!AE133))))-'Council Entry'!AE$5)/('Council Entry'!AE$6-'Council Entry'!AE$5),10*((IF('Council Entry'!AE$4="Logarithm",LN(0.001+IF(AND(ISNUMBER('Council Entry'!AE$8),ISNUMBER('Council Entry'!AE$9)),MAX(MIN('Council Entry'!AE133,'Council Entry'!AE$9),'Council Entry'!AE$8),'Council Entry'!AE133)),IF('Council Entry'!AE$4="Exponential",EXP(IF(AND(ISNUMBER('Council Entry'!AE$8),ISNUMBER('Council Entry'!AE$9)),MAX(MIN('Council Entry'!AE133,'Council Entry'!AE$9),'Council Entry'!AE$8),'Council Entry'!AE133)),IF(AND(ISNUMBER('Council Entry'!AE$8),ISNUMBER('Council Entry'!AE$9)),MAX(MIN('Council Entry'!AE133,'Council Entry'!AE$9),'Council Entry'!AE$8),'Council Entry'!AE133))))-'Council Entry'!AE$5)/('Council Entry'!AE$6-'Council Entry'!AE$5)),1))),"No data"))</f>
        <v/>
      </c>
      <c r="AF133" s="13">
        <f>IF('Council Entry'!AF133="","",IFERROR(MAX(0,MIN(10,ROUND(IF('Council Entry'!AF$7="Decrease Risk",10-10*((IF('Council Entry'!AF$4="Logarithm",LN(0.001+IF(AND(ISNUMBER('Council Entry'!AF$8),ISNUMBER('Council Entry'!AF$9)),MAX(MIN('Council Entry'!AF133,'Council Entry'!AF$9),'Council Entry'!AF$8),'Council Entry'!AF133)),IF('Council Entry'!AF$4="Exponential",EXP(IF(AND(ISNUMBER('Council Entry'!AF$8),ISNUMBER('Council Entry'!AF$9)),MAX(MIN('Council Entry'!AF133,'Council Entry'!AF$9),'Council Entry'!AF$8),'Council Entry'!AF133)),IF(AND(ISNUMBER('Council Entry'!AF$8),ISNUMBER('Council Entry'!AF$9)),MAX(MIN('Council Entry'!AF133,'Council Entry'!AF$9),'Council Entry'!AF$8),'Council Entry'!AF133))))-'Council Entry'!AF$5)/('Council Entry'!AF$6-'Council Entry'!AF$5),10*((IF('Council Entry'!AF$4="Logarithm",LN(0.001+IF(AND(ISNUMBER('Council Entry'!AF$8),ISNUMBER('Council Entry'!AF$9)),MAX(MIN('Council Entry'!AF133,'Council Entry'!AF$9),'Council Entry'!AF$8),'Council Entry'!AF133)),IF('Council Entry'!AF$4="Exponential",EXP(IF(AND(ISNUMBER('Council Entry'!AF$8),ISNUMBER('Council Entry'!AF$9)),MAX(MIN('Council Entry'!AF133,'Council Entry'!AF$9),'Council Entry'!AF$8),'Council Entry'!AF133)),IF(AND(ISNUMBER('Council Entry'!AF$8),ISNUMBER('Council Entry'!AF$9)),MAX(MIN('Council Entry'!AF133,'Council Entry'!AF$9),'Council Entry'!AF$8),'Council Entry'!AF133))))-'Council Entry'!AF$5)/('Council Entry'!AF$6-'Council Entry'!AF$5)),1))),"No data"))</f>
        <v/>
      </c>
      <c r="AG133" s="13">
        <f>IF('Council Entry'!AG133="","",IFERROR(MAX(0,MIN(10,ROUND(IF('Council Entry'!AG$7="Decrease Risk",10-10*((IF('Council Entry'!AG$4="Logarithm",LN(0.001+IF(AND(ISNUMBER('Council Entry'!AG$8),ISNUMBER('Council Entry'!AG$9)),MAX(MIN('Council Entry'!AG133,'Council Entry'!AG$9),'Council Entry'!AG$8),'Council Entry'!AG133)),IF('Council Entry'!AG$4="Exponential",EXP(IF(AND(ISNUMBER('Council Entry'!AG$8),ISNUMBER('Council Entry'!AG$9)),MAX(MIN('Council Entry'!AG133,'Council Entry'!AG$9),'Council Entry'!AG$8),'Council Entry'!AG133)),IF(AND(ISNUMBER('Council Entry'!AG$8),ISNUMBER('Council Entry'!AG$9)),MAX(MIN('Council Entry'!AG133,'Council Entry'!AG$9),'Council Entry'!AG$8),'Council Entry'!AG133))))-'Council Entry'!AG$5)/('Council Entry'!AG$6-'Council Entry'!AG$5),10*((IF('Council Entry'!AG$4="Logarithm",LN(0.001+IF(AND(ISNUMBER('Council Entry'!AG$8),ISNUMBER('Council Entry'!AG$9)),MAX(MIN('Council Entry'!AG133,'Council Entry'!AG$9),'Council Entry'!AG$8),'Council Entry'!AG133)),IF('Council Entry'!AG$4="Exponential",EXP(IF(AND(ISNUMBER('Council Entry'!AG$8),ISNUMBER('Council Entry'!AG$9)),MAX(MIN('Council Entry'!AG133,'Council Entry'!AG$9),'Council Entry'!AG$8),'Council Entry'!AG133)),IF(AND(ISNUMBER('Council Entry'!AG$8),ISNUMBER('Council Entry'!AG$9)),MAX(MIN('Council Entry'!AG133,'Council Entry'!AG$9),'Council Entry'!AG$8),'Council Entry'!AG133))))-'Council Entry'!AG$5)/('Council Entry'!AG$6-'Council Entry'!AG$5)),1))),"No data"))</f>
        <v/>
      </c>
      <c r="AH133" s="13">
        <f>IF('Council Entry'!AH133="","",IFERROR(MAX(0,MIN(10,ROUND(IF('Council Entry'!AH$7="Decrease Risk",10-10*((IF('Council Entry'!AH$4="Logarithm",LN(0.001+IF(AND(ISNUMBER('Council Entry'!AH$8),ISNUMBER('Council Entry'!AH$9)),MAX(MIN('Council Entry'!AH133,'Council Entry'!AH$9),'Council Entry'!AH$8),'Council Entry'!AH133)),IF('Council Entry'!AH$4="Exponential",EXP(IF(AND(ISNUMBER('Council Entry'!AH$8),ISNUMBER('Council Entry'!AH$9)),MAX(MIN('Council Entry'!AH133,'Council Entry'!AH$9),'Council Entry'!AH$8),'Council Entry'!AH133)),IF(AND(ISNUMBER('Council Entry'!AH$8),ISNUMBER('Council Entry'!AH$9)),MAX(MIN('Council Entry'!AH133,'Council Entry'!AH$9),'Council Entry'!AH$8),'Council Entry'!AH133))))-'Council Entry'!AH$5)/('Council Entry'!AH$6-'Council Entry'!AH$5),10*((IF('Council Entry'!AH$4="Logarithm",LN(0.001+IF(AND(ISNUMBER('Council Entry'!AH$8),ISNUMBER('Council Entry'!AH$9)),MAX(MIN('Council Entry'!AH133,'Council Entry'!AH$9),'Council Entry'!AH$8),'Council Entry'!AH133)),IF('Council Entry'!AH$4="Exponential",EXP(IF(AND(ISNUMBER('Council Entry'!AH$8),ISNUMBER('Council Entry'!AH$9)),MAX(MIN('Council Entry'!AH133,'Council Entry'!AH$9),'Council Entry'!AH$8),'Council Entry'!AH133)),IF(AND(ISNUMBER('Council Entry'!AH$8),ISNUMBER('Council Entry'!AH$9)),MAX(MIN('Council Entry'!AH133,'Council Entry'!AH$9),'Council Entry'!AH$8),'Council Entry'!AH133))))-'Council Entry'!AH$5)/('Council Entry'!AH$6-'Council Entry'!AH$5)),1))),"No data"))</f>
        <v/>
      </c>
      <c r="AI133" s="13">
        <f>IF('Council Entry'!AI133="","",IFERROR(MAX(0,MIN(10,ROUND(IF('Council Entry'!AI$7="Decrease Risk",10-10*((IF('Council Entry'!AI$4="Logarithm",LN(0.001+IF(AND(ISNUMBER('Council Entry'!AI$8),ISNUMBER('Council Entry'!AI$9)),MAX(MIN('Council Entry'!AI133,'Council Entry'!AI$9),'Council Entry'!AI$8),'Council Entry'!AI133)),IF('Council Entry'!AI$4="Exponential",EXP(IF(AND(ISNUMBER('Council Entry'!AI$8),ISNUMBER('Council Entry'!AI$9)),MAX(MIN('Council Entry'!AI133,'Council Entry'!AI$9),'Council Entry'!AI$8),'Council Entry'!AI133)),IF(AND(ISNUMBER('Council Entry'!AI$8),ISNUMBER('Council Entry'!AI$9)),MAX(MIN('Council Entry'!AI133,'Council Entry'!AI$9),'Council Entry'!AI$8),'Council Entry'!AI133))))-'Council Entry'!AI$5)/('Council Entry'!AI$6-'Council Entry'!AI$5),10*((IF('Council Entry'!AI$4="Logarithm",LN(0.001+IF(AND(ISNUMBER('Council Entry'!AI$8),ISNUMBER('Council Entry'!AI$9)),MAX(MIN('Council Entry'!AI133,'Council Entry'!AI$9),'Council Entry'!AI$8),'Council Entry'!AI133)),IF('Council Entry'!AI$4="Exponential",EXP(IF(AND(ISNUMBER('Council Entry'!AI$8),ISNUMBER('Council Entry'!AI$9)),MAX(MIN('Council Entry'!AI133,'Council Entry'!AI$9),'Council Entry'!AI$8),'Council Entry'!AI133)),IF(AND(ISNUMBER('Council Entry'!AI$8),ISNUMBER('Council Entry'!AI$9)),MAX(MIN('Council Entry'!AI133,'Council Entry'!AI$9),'Council Entry'!AI$8),'Council Entry'!AI133))))-'Council Entry'!AI$5)/('Council Entry'!AI$6-'Council Entry'!AI$5)),1))),"No data"))</f>
        <v/>
      </c>
      <c r="AJ133" s="13">
        <f>IF('Council Entry'!AJ133="","",IFERROR(MAX(0,MIN(10,ROUND(IF('Council Entry'!AJ$7="Decrease Risk",10-10*((IF('Council Entry'!AJ$4="Logarithm",LN(0.001+IF(AND(ISNUMBER('Council Entry'!AJ$8),ISNUMBER('Council Entry'!AJ$9)),MAX(MIN('Council Entry'!AJ133,'Council Entry'!AJ$9),'Council Entry'!AJ$8),'Council Entry'!AJ133)),IF('Council Entry'!AJ$4="Exponential",EXP(IF(AND(ISNUMBER('Council Entry'!AJ$8),ISNUMBER('Council Entry'!AJ$9)),MAX(MIN('Council Entry'!AJ133,'Council Entry'!AJ$9),'Council Entry'!AJ$8),'Council Entry'!AJ133)),IF(AND(ISNUMBER('Council Entry'!AJ$8),ISNUMBER('Council Entry'!AJ$9)),MAX(MIN('Council Entry'!AJ133,'Council Entry'!AJ$9),'Council Entry'!AJ$8),'Council Entry'!AJ133))))-'Council Entry'!AJ$5)/('Council Entry'!AJ$6-'Council Entry'!AJ$5),10*((IF('Council Entry'!AJ$4="Logarithm",LN(0.001+IF(AND(ISNUMBER('Council Entry'!AJ$8),ISNUMBER('Council Entry'!AJ$9)),MAX(MIN('Council Entry'!AJ133,'Council Entry'!AJ$9),'Council Entry'!AJ$8),'Council Entry'!AJ133)),IF('Council Entry'!AJ$4="Exponential",EXP(IF(AND(ISNUMBER('Council Entry'!AJ$8),ISNUMBER('Council Entry'!AJ$9)),MAX(MIN('Council Entry'!AJ133,'Council Entry'!AJ$9),'Council Entry'!AJ$8),'Council Entry'!AJ133)),IF(AND(ISNUMBER('Council Entry'!AJ$8),ISNUMBER('Council Entry'!AJ$9)),MAX(MIN('Council Entry'!AJ133,'Council Entry'!AJ$9),'Council Entry'!AJ$8),'Council Entry'!AJ133))))-'Council Entry'!AJ$5)/('Council Entry'!AJ$6-'Council Entry'!AJ$5)),1))),"No data"))</f>
        <v/>
      </c>
      <c r="AK133" s="13">
        <f>IF('Council Entry'!AK133="","",IFERROR(MAX(0,MIN(10,ROUND(IF('Council Entry'!AK$7="Decrease Risk",10-10*((IF('Council Entry'!AK$4="Logarithm",LN(0.001+IF(AND(ISNUMBER('Council Entry'!AK$8),ISNUMBER('Council Entry'!AK$9)),MAX(MIN('Council Entry'!AK133,'Council Entry'!AK$9),'Council Entry'!AK$8),'Council Entry'!AK133)),IF('Council Entry'!AK$4="Exponential",EXP(IF(AND(ISNUMBER('Council Entry'!AK$8),ISNUMBER('Council Entry'!AK$9)),MAX(MIN('Council Entry'!AK133,'Council Entry'!AK$9),'Council Entry'!AK$8),'Council Entry'!AK133)),IF(AND(ISNUMBER('Council Entry'!AK$8),ISNUMBER('Council Entry'!AK$9)),MAX(MIN('Council Entry'!AK133,'Council Entry'!AK$9),'Council Entry'!AK$8),'Council Entry'!AK133))))-'Council Entry'!AK$5)/('Council Entry'!AK$6-'Council Entry'!AK$5),10*((IF('Council Entry'!AK$4="Logarithm",LN(0.001+IF(AND(ISNUMBER('Council Entry'!AK$8),ISNUMBER('Council Entry'!AK$9)),MAX(MIN('Council Entry'!AK133,'Council Entry'!AK$9),'Council Entry'!AK$8),'Council Entry'!AK133)),IF('Council Entry'!AK$4="Exponential",EXP(IF(AND(ISNUMBER('Council Entry'!AK$8),ISNUMBER('Council Entry'!AK$9)),MAX(MIN('Council Entry'!AK133,'Council Entry'!AK$9),'Council Entry'!AK$8),'Council Entry'!AK133)),IF(AND(ISNUMBER('Council Entry'!AK$8),ISNUMBER('Council Entry'!AK$9)),MAX(MIN('Council Entry'!AK133,'Council Entry'!AK$9),'Council Entry'!AK$8),'Council Entry'!AK133))))-'Council Entry'!AK$5)/('Council Entry'!AK$6-'Council Entry'!AK$5)),1))),"No data"))</f>
        <v/>
      </c>
      <c r="AL133" s="13">
        <f>IF('Council Entry'!AL133="","",IFERROR(MAX(0,MIN(10,ROUND(IF('Council Entry'!AL$7="Decrease Risk",10-10*((IF('Council Entry'!AL$4="Logarithm",LN(0.001+IF(AND(ISNUMBER('Council Entry'!AL$8),ISNUMBER('Council Entry'!AL$9)),MAX(MIN('Council Entry'!AL133,'Council Entry'!AL$9),'Council Entry'!AL$8),'Council Entry'!AL133)),IF('Council Entry'!AL$4="Exponential",EXP(IF(AND(ISNUMBER('Council Entry'!AL$8),ISNUMBER('Council Entry'!AL$9)),MAX(MIN('Council Entry'!AL133,'Council Entry'!AL$9),'Council Entry'!AL$8),'Council Entry'!AL133)),IF(AND(ISNUMBER('Council Entry'!AL$8),ISNUMBER('Council Entry'!AL$9)),MAX(MIN('Council Entry'!AL133,'Council Entry'!AL$9),'Council Entry'!AL$8),'Council Entry'!AL133))))-'Council Entry'!AL$5)/('Council Entry'!AL$6-'Council Entry'!AL$5),10*((IF('Council Entry'!AL$4="Logarithm",LN(0.001+IF(AND(ISNUMBER('Council Entry'!AL$8),ISNUMBER('Council Entry'!AL$9)),MAX(MIN('Council Entry'!AL133,'Council Entry'!AL$9),'Council Entry'!AL$8),'Council Entry'!AL133)),IF('Council Entry'!AL$4="Exponential",EXP(IF(AND(ISNUMBER('Council Entry'!AL$8),ISNUMBER('Council Entry'!AL$9)),MAX(MIN('Council Entry'!AL133,'Council Entry'!AL$9),'Council Entry'!AL$8),'Council Entry'!AL133)),IF(AND(ISNUMBER('Council Entry'!AL$8),ISNUMBER('Council Entry'!AL$9)),MAX(MIN('Council Entry'!AL133,'Council Entry'!AL$9),'Council Entry'!AL$8),'Council Entry'!AL133))))-'Council Entry'!AL$5)/('Council Entry'!AL$6-'Council Entry'!AL$5)),1))),"No data"))</f>
        <v/>
      </c>
      <c r="AM133" s="13">
        <f>IF('Council Entry'!AM133="","",IFERROR(MAX(0,MIN(10,ROUND(IF('Council Entry'!AM$7="Decrease Risk",10-10*((IF('Council Entry'!AM$4="Logarithm",LN(0.001+IF(AND(ISNUMBER('Council Entry'!AM$8),ISNUMBER('Council Entry'!AM$9)),MAX(MIN('Council Entry'!AM133,'Council Entry'!AM$9),'Council Entry'!AM$8),'Council Entry'!AM133)),IF('Council Entry'!AM$4="Exponential",EXP(IF(AND(ISNUMBER('Council Entry'!AM$8),ISNUMBER('Council Entry'!AM$9)),MAX(MIN('Council Entry'!AM133,'Council Entry'!AM$9),'Council Entry'!AM$8),'Council Entry'!AM133)),IF(AND(ISNUMBER('Council Entry'!AM$8),ISNUMBER('Council Entry'!AM$9)),MAX(MIN('Council Entry'!AM133,'Council Entry'!AM$9),'Council Entry'!AM$8),'Council Entry'!AM133))))-'Council Entry'!AM$5)/('Council Entry'!AM$6-'Council Entry'!AM$5),10*((IF('Council Entry'!AM$4="Logarithm",LN(0.001+IF(AND(ISNUMBER('Council Entry'!AM$8),ISNUMBER('Council Entry'!AM$9)),MAX(MIN('Council Entry'!AM133,'Council Entry'!AM$9),'Council Entry'!AM$8),'Council Entry'!AM133)),IF('Council Entry'!AM$4="Exponential",EXP(IF(AND(ISNUMBER('Council Entry'!AM$8),ISNUMBER('Council Entry'!AM$9)),MAX(MIN('Council Entry'!AM133,'Council Entry'!AM$9),'Council Entry'!AM$8),'Council Entry'!AM133)),IF(AND(ISNUMBER('Council Entry'!AM$8),ISNUMBER('Council Entry'!AM$9)),MAX(MIN('Council Entry'!AM133,'Council Entry'!AM$9),'Council Entry'!AM$8),'Council Entry'!AM133))))-'Council Entry'!AM$5)/('Council Entry'!AM$6-'Council Entry'!AM$5)),1))),"No data"))</f>
        <v/>
      </c>
      <c r="AN133" s="13">
        <f>IF('Council Entry'!AN133="","",IFERROR(MAX(0,MIN(10,ROUND(IF('Council Entry'!AN$7="Decrease Risk",10-10*((IF('Council Entry'!AN$4="Logarithm",LN(0.001+IF(AND(ISNUMBER('Council Entry'!AN$8),ISNUMBER('Council Entry'!AN$9)),MAX(MIN('Council Entry'!AN133,'Council Entry'!AN$9),'Council Entry'!AN$8),'Council Entry'!AN133)),IF('Council Entry'!AN$4="Exponential",EXP(IF(AND(ISNUMBER('Council Entry'!AN$8),ISNUMBER('Council Entry'!AN$9)),MAX(MIN('Council Entry'!AN133,'Council Entry'!AN$9),'Council Entry'!AN$8),'Council Entry'!AN133)),IF(AND(ISNUMBER('Council Entry'!AN$8),ISNUMBER('Council Entry'!AN$9)),MAX(MIN('Council Entry'!AN133,'Council Entry'!AN$9),'Council Entry'!AN$8),'Council Entry'!AN133))))-'Council Entry'!AN$5)/('Council Entry'!AN$6-'Council Entry'!AN$5),10*((IF('Council Entry'!AN$4="Logarithm",LN(0.001+IF(AND(ISNUMBER('Council Entry'!AN$8),ISNUMBER('Council Entry'!AN$9)),MAX(MIN('Council Entry'!AN133,'Council Entry'!AN$9),'Council Entry'!AN$8),'Council Entry'!AN133)),IF('Council Entry'!AN$4="Exponential",EXP(IF(AND(ISNUMBER('Council Entry'!AN$8),ISNUMBER('Council Entry'!AN$9)),MAX(MIN('Council Entry'!AN133,'Council Entry'!AN$9),'Council Entry'!AN$8),'Council Entry'!AN133)),IF(AND(ISNUMBER('Council Entry'!AN$8),ISNUMBER('Council Entry'!AN$9)),MAX(MIN('Council Entry'!AN133,'Council Entry'!AN$9),'Council Entry'!AN$8),'Council Entry'!AN133))))-'Council Entry'!AN$5)/('Council Entry'!AN$6-'Council Entry'!AN$5)),1))),"No data"))</f>
        <v/>
      </c>
      <c r="AO133" s="13">
        <f>IF('Council Entry'!AO133="","",IFERROR(MAX(0,MIN(10,ROUND(IF('Council Entry'!AO$7="Decrease Risk",10-10*((IF('Council Entry'!AO$4="Logarithm",LN(0.001+IF(AND(ISNUMBER('Council Entry'!AO$8),ISNUMBER('Council Entry'!AO$9)),MAX(MIN('Council Entry'!AO133,'Council Entry'!AO$9),'Council Entry'!AO$8),'Council Entry'!AO133)),IF('Council Entry'!AO$4="Exponential",EXP(IF(AND(ISNUMBER('Council Entry'!AO$8),ISNUMBER('Council Entry'!AO$9)),MAX(MIN('Council Entry'!AO133,'Council Entry'!AO$9),'Council Entry'!AO$8),'Council Entry'!AO133)),IF(AND(ISNUMBER('Council Entry'!AO$8),ISNUMBER('Council Entry'!AO$9)),MAX(MIN('Council Entry'!AO133,'Council Entry'!AO$9),'Council Entry'!AO$8),'Council Entry'!AO133))))-'Council Entry'!AO$5)/('Council Entry'!AO$6-'Council Entry'!AO$5),10*((IF('Council Entry'!AO$4="Logarithm",LN(0.001+IF(AND(ISNUMBER('Council Entry'!AO$8),ISNUMBER('Council Entry'!AO$9)),MAX(MIN('Council Entry'!AO133,'Council Entry'!AO$9),'Council Entry'!AO$8),'Council Entry'!AO133)),IF('Council Entry'!AO$4="Exponential",EXP(IF(AND(ISNUMBER('Council Entry'!AO$8),ISNUMBER('Council Entry'!AO$9)),MAX(MIN('Council Entry'!AO133,'Council Entry'!AO$9),'Council Entry'!AO$8),'Council Entry'!AO133)),IF(AND(ISNUMBER('Council Entry'!AO$8),ISNUMBER('Council Entry'!AO$9)),MAX(MIN('Council Entry'!AO133,'Council Entry'!AO$9),'Council Entry'!AO$8),'Council Entry'!AO133))))-'Council Entry'!AO$5)/('Council Entry'!AO$6-'Council Entry'!AO$5)),1))),"No data"))</f>
        <v/>
      </c>
      <c r="AP133" s="13">
        <f>IF('Council Entry'!AP133="","",IFERROR(MAX(0,MIN(10,ROUND(IF('Council Entry'!AP$7="Decrease Risk",10-10*((IF('Council Entry'!AP$4="Logarithm",LN(0.001+IF(AND(ISNUMBER('Council Entry'!AP$8),ISNUMBER('Council Entry'!AP$9)),MAX(MIN('Council Entry'!AP133,'Council Entry'!AP$9),'Council Entry'!AP$8),'Council Entry'!AP133)),IF('Council Entry'!AP$4="Exponential",EXP(IF(AND(ISNUMBER('Council Entry'!AP$8),ISNUMBER('Council Entry'!AP$9)),MAX(MIN('Council Entry'!AP133,'Council Entry'!AP$9),'Council Entry'!AP$8),'Council Entry'!AP133)),IF(AND(ISNUMBER('Council Entry'!AP$8),ISNUMBER('Council Entry'!AP$9)),MAX(MIN('Council Entry'!AP133,'Council Entry'!AP$9),'Council Entry'!AP$8),'Council Entry'!AP133))))-'Council Entry'!AP$5)/('Council Entry'!AP$6-'Council Entry'!AP$5),10*((IF('Council Entry'!AP$4="Logarithm",LN(0.001+IF(AND(ISNUMBER('Council Entry'!AP$8),ISNUMBER('Council Entry'!AP$9)),MAX(MIN('Council Entry'!AP133,'Council Entry'!AP$9),'Council Entry'!AP$8),'Council Entry'!AP133)),IF('Council Entry'!AP$4="Exponential",EXP(IF(AND(ISNUMBER('Council Entry'!AP$8),ISNUMBER('Council Entry'!AP$9)),MAX(MIN('Council Entry'!AP133,'Council Entry'!AP$9),'Council Entry'!AP$8),'Council Entry'!AP133)),IF(AND(ISNUMBER('Council Entry'!AP$8),ISNUMBER('Council Entry'!AP$9)),MAX(MIN('Council Entry'!AP133,'Council Entry'!AP$9),'Council Entry'!AP$8),'Council Entry'!AP133))))-'Council Entry'!AP$5)/('Council Entry'!AP$6-'Council Entry'!AP$5)),1))),"No data"))</f>
        <v/>
      </c>
      <c r="AQ133" s="13">
        <f>IF('Council Entry'!AQ133="","",IFERROR(MAX(0,MIN(10,ROUND(IF('Council Entry'!AQ$7="Decrease Risk",10-10*((IF('Council Entry'!AQ$4="Logarithm",LN(0.001+IF(AND(ISNUMBER('Council Entry'!AQ$8),ISNUMBER('Council Entry'!AQ$9)),MAX(MIN('Council Entry'!AQ133,'Council Entry'!AQ$9),'Council Entry'!AQ$8),'Council Entry'!AQ133)),IF('Council Entry'!AQ$4="Exponential",EXP(IF(AND(ISNUMBER('Council Entry'!AQ$8),ISNUMBER('Council Entry'!AQ$9)),MAX(MIN('Council Entry'!AQ133,'Council Entry'!AQ$9),'Council Entry'!AQ$8),'Council Entry'!AQ133)),IF(AND(ISNUMBER('Council Entry'!AQ$8),ISNUMBER('Council Entry'!AQ$9)),MAX(MIN('Council Entry'!AQ133,'Council Entry'!AQ$9),'Council Entry'!AQ$8),'Council Entry'!AQ133))))-'Council Entry'!AQ$5)/('Council Entry'!AQ$6-'Council Entry'!AQ$5),10*((IF('Council Entry'!AQ$4="Logarithm",LN(0.001+IF(AND(ISNUMBER('Council Entry'!AQ$8),ISNUMBER('Council Entry'!AQ$9)),MAX(MIN('Council Entry'!AQ133,'Council Entry'!AQ$9),'Council Entry'!AQ$8),'Council Entry'!AQ133)),IF('Council Entry'!AQ$4="Exponential",EXP(IF(AND(ISNUMBER('Council Entry'!AQ$8),ISNUMBER('Council Entry'!AQ$9)),MAX(MIN('Council Entry'!AQ133,'Council Entry'!AQ$9),'Council Entry'!AQ$8),'Council Entry'!AQ133)),IF(AND(ISNUMBER('Council Entry'!AQ$8),ISNUMBER('Council Entry'!AQ$9)),MAX(MIN('Council Entry'!AQ133,'Council Entry'!AQ$9),'Council Entry'!AQ$8),'Council Entry'!AQ133))))-'Council Entry'!AQ$5)/('Council Entry'!AQ$6-'Council Entry'!AQ$5)),1))),"No data"))</f>
        <v/>
      </c>
      <c r="AR133" s="13">
        <f>IF('Council Entry'!AR133="","",IFERROR(MAX(0,MIN(10,ROUND(IF('Council Entry'!AR$7="Decrease Risk",10-10*((IF('Council Entry'!AR$4="Logarithm",LN(0.001+IF(AND(ISNUMBER('Council Entry'!AR$8),ISNUMBER('Council Entry'!AR$9)),MAX(MIN('Council Entry'!AR133,'Council Entry'!AR$9),'Council Entry'!AR$8),'Council Entry'!AR133)),IF('Council Entry'!AR$4="Exponential",EXP(IF(AND(ISNUMBER('Council Entry'!AR$8),ISNUMBER('Council Entry'!AR$9)),MAX(MIN('Council Entry'!AR133,'Council Entry'!AR$9),'Council Entry'!AR$8),'Council Entry'!AR133)),IF(AND(ISNUMBER('Council Entry'!AR$8),ISNUMBER('Council Entry'!AR$9)),MAX(MIN('Council Entry'!AR133,'Council Entry'!AR$9),'Council Entry'!AR$8),'Council Entry'!AR133))))-'Council Entry'!AR$5)/('Council Entry'!AR$6-'Council Entry'!AR$5),10*((IF('Council Entry'!AR$4="Logarithm",LN(0.001+IF(AND(ISNUMBER('Council Entry'!AR$8),ISNUMBER('Council Entry'!AR$9)),MAX(MIN('Council Entry'!AR133,'Council Entry'!AR$9),'Council Entry'!AR$8),'Council Entry'!AR133)),IF('Council Entry'!AR$4="Exponential",EXP(IF(AND(ISNUMBER('Council Entry'!AR$8),ISNUMBER('Council Entry'!AR$9)),MAX(MIN('Council Entry'!AR133,'Council Entry'!AR$9),'Council Entry'!AR$8),'Council Entry'!AR133)),IF(AND(ISNUMBER('Council Entry'!AR$8),ISNUMBER('Council Entry'!AR$9)),MAX(MIN('Council Entry'!AR133,'Council Entry'!AR$9),'Council Entry'!AR$8),'Council Entry'!AR133))))-'Council Entry'!AR$5)/('Council Entry'!AR$6-'Council Entry'!AR$5)),1))),"No data"))</f>
        <v/>
      </c>
      <c r="AS133" s="13">
        <f>IF('Council Entry'!AS133="","",IFERROR(MAX(0,MIN(10,ROUND(IF('Council Entry'!AS$7="Decrease Risk",10-10*((IF('Council Entry'!AS$4="Logarithm",LN(0.001+IF(AND(ISNUMBER('Council Entry'!AS$8),ISNUMBER('Council Entry'!AS$9)),MAX(MIN('Council Entry'!AS133,'Council Entry'!AS$9),'Council Entry'!AS$8),'Council Entry'!AS133)),IF('Council Entry'!AS$4="Exponential",EXP(IF(AND(ISNUMBER('Council Entry'!AS$8),ISNUMBER('Council Entry'!AS$9)),MAX(MIN('Council Entry'!AS133,'Council Entry'!AS$9),'Council Entry'!AS$8),'Council Entry'!AS133)),IF(AND(ISNUMBER('Council Entry'!AS$8),ISNUMBER('Council Entry'!AS$9)),MAX(MIN('Council Entry'!AS133,'Council Entry'!AS$9),'Council Entry'!AS$8),'Council Entry'!AS133))))-'Council Entry'!AS$5)/('Council Entry'!AS$6-'Council Entry'!AS$5),10*((IF('Council Entry'!AS$4="Logarithm",LN(0.001+IF(AND(ISNUMBER('Council Entry'!AS$8),ISNUMBER('Council Entry'!AS$9)),MAX(MIN('Council Entry'!AS133,'Council Entry'!AS$9),'Council Entry'!AS$8),'Council Entry'!AS133)),IF('Council Entry'!AS$4="Exponential",EXP(IF(AND(ISNUMBER('Council Entry'!AS$8),ISNUMBER('Council Entry'!AS$9)),MAX(MIN('Council Entry'!AS133,'Council Entry'!AS$9),'Council Entry'!AS$8),'Council Entry'!AS133)),IF(AND(ISNUMBER('Council Entry'!AS$8),ISNUMBER('Council Entry'!AS$9)),MAX(MIN('Council Entry'!AS133,'Council Entry'!AS$9),'Council Entry'!AS$8),'Council Entry'!AS133))))-'Council Entry'!AS$5)/('Council Entry'!AS$6-'Council Entry'!AS$5)),1))),"No data"))</f>
        <v/>
      </c>
      <c r="AT133" s="13">
        <f>IF('Council Entry'!AT133="","",IFERROR(MAX(0,MIN(10,ROUND(IF('Council Entry'!AT$7="Decrease Risk",10-10*((IF('Council Entry'!AT$4="Logarithm",LN(0.001+IF(AND(ISNUMBER('Council Entry'!AT$8),ISNUMBER('Council Entry'!AT$9)),MAX(MIN('Council Entry'!AT133,'Council Entry'!AT$9),'Council Entry'!AT$8),'Council Entry'!AT133)),IF('Council Entry'!AT$4="Exponential",EXP(IF(AND(ISNUMBER('Council Entry'!AT$8),ISNUMBER('Council Entry'!AT$9)),MAX(MIN('Council Entry'!AT133,'Council Entry'!AT$9),'Council Entry'!AT$8),'Council Entry'!AT133)),IF(AND(ISNUMBER('Council Entry'!AT$8),ISNUMBER('Council Entry'!AT$9)),MAX(MIN('Council Entry'!AT133,'Council Entry'!AT$9),'Council Entry'!AT$8),'Council Entry'!AT133))))-'Council Entry'!AT$5)/('Council Entry'!AT$6-'Council Entry'!AT$5),10*((IF('Council Entry'!AT$4="Logarithm",LN(0.001+IF(AND(ISNUMBER('Council Entry'!AT$8),ISNUMBER('Council Entry'!AT$9)),MAX(MIN('Council Entry'!AT133,'Council Entry'!AT$9),'Council Entry'!AT$8),'Council Entry'!AT133)),IF('Council Entry'!AT$4="Exponential",EXP(IF(AND(ISNUMBER('Council Entry'!AT$8),ISNUMBER('Council Entry'!AT$9)),MAX(MIN('Council Entry'!AT133,'Council Entry'!AT$9),'Council Entry'!AT$8),'Council Entry'!AT133)),IF(AND(ISNUMBER('Council Entry'!AT$8),ISNUMBER('Council Entry'!AT$9)),MAX(MIN('Council Entry'!AT133,'Council Entry'!AT$9),'Council Entry'!AT$8),'Council Entry'!AT133))))-'Council Entry'!AT$5)/('Council Entry'!AT$6-'Council Entry'!AT$5)),1))),"No data"))</f>
        <v/>
      </c>
      <c r="AU133" s="13">
        <f>IF('Council Entry'!AU133="","",IFERROR(MAX(0,MIN(10,ROUND(IF('Council Entry'!AU$7="Decrease Risk",10-10*((IF('Council Entry'!AU$4="Logarithm",LN(0.001+IF(AND(ISNUMBER('Council Entry'!AU$8),ISNUMBER('Council Entry'!AU$9)),MAX(MIN('Council Entry'!AU133,'Council Entry'!AU$9),'Council Entry'!AU$8),'Council Entry'!AU133)),IF('Council Entry'!AU$4="Exponential",EXP(IF(AND(ISNUMBER('Council Entry'!AU$8),ISNUMBER('Council Entry'!AU$9)),MAX(MIN('Council Entry'!AU133,'Council Entry'!AU$9),'Council Entry'!AU$8),'Council Entry'!AU133)),IF(AND(ISNUMBER('Council Entry'!AU$8),ISNUMBER('Council Entry'!AU$9)),MAX(MIN('Council Entry'!AU133,'Council Entry'!AU$9),'Council Entry'!AU$8),'Council Entry'!AU133))))-'Council Entry'!AU$5)/('Council Entry'!AU$6-'Council Entry'!AU$5),10*((IF('Council Entry'!AU$4="Logarithm",LN(0.001+IF(AND(ISNUMBER('Council Entry'!AU$8),ISNUMBER('Council Entry'!AU$9)),MAX(MIN('Council Entry'!AU133,'Council Entry'!AU$9),'Council Entry'!AU$8),'Council Entry'!AU133)),IF('Council Entry'!AU$4="Exponential",EXP(IF(AND(ISNUMBER('Council Entry'!AU$8),ISNUMBER('Council Entry'!AU$9)),MAX(MIN('Council Entry'!AU133,'Council Entry'!AU$9),'Council Entry'!AU$8),'Council Entry'!AU133)),IF(AND(ISNUMBER('Council Entry'!AU$8),ISNUMBER('Council Entry'!AU$9)),MAX(MIN('Council Entry'!AU133,'Council Entry'!AU$9),'Council Entry'!AU$8),'Council Entry'!AU133))))-'Council Entry'!AU$5)/('Council Entry'!AU$6-'Council Entry'!AU$5)),1))),"No data"))</f>
        <v/>
      </c>
      <c r="AV133" s="13">
        <f>IF('Council Entry'!AV133="","",IFERROR(MAX(0,MIN(10,ROUND(IF('Council Entry'!AV$7="Decrease Risk",10-10*((IF('Council Entry'!AV$4="Logarithm",LN(0.001+IF(AND(ISNUMBER('Council Entry'!AV$8),ISNUMBER('Council Entry'!AV$9)),MAX(MIN('Council Entry'!AV133,'Council Entry'!AV$9),'Council Entry'!AV$8),'Council Entry'!AV133)),IF('Council Entry'!AV$4="Exponential",EXP(IF(AND(ISNUMBER('Council Entry'!AV$8),ISNUMBER('Council Entry'!AV$9)),MAX(MIN('Council Entry'!AV133,'Council Entry'!AV$9),'Council Entry'!AV$8),'Council Entry'!AV133)),IF(AND(ISNUMBER('Council Entry'!AV$8),ISNUMBER('Council Entry'!AV$9)),MAX(MIN('Council Entry'!AV133,'Council Entry'!AV$9),'Council Entry'!AV$8),'Council Entry'!AV133))))-'Council Entry'!AV$5)/('Council Entry'!AV$6-'Council Entry'!AV$5),10*((IF('Council Entry'!AV$4="Logarithm",LN(0.001+IF(AND(ISNUMBER('Council Entry'!AV$8),ISNUMBER('Council Entry'!AV$9)),MAX(MIN('Council Entry'!AV133,'Council Entry'!AV$9),'Council Entry'!AV$8),'Council Entry'!AV133)),IF('Council Entry'!AV$4="Exponential",EXP(IF(AND(ISNUMBER('Council Entry'!AV$8),ISNUMBER('Council Entry'!AV$9)),MAX(MIN('Council Entry'!AV133,'Council Entry'!AV$9),'Council Entry'!AV$8),'Council Entry'!AV133)),IF(AND(ISNUMBER('Council Entry'!AV$8),ISNUMBER('Council Entry'!AV$9)),MAX(MIN('Council Entry'!AV133,'Council Entry'!AV$9),'Council Entry'!AV$8),'Council Entry'!AV133))))-'Council Entry'!AV$5)/('Council Entry'!AV$6-'Council Entry'!AV$5)),1))),"No data"))</f>
        <v/>
      </c>
      <c r="AW133" s="13">
        <f>IF('Council Entry'!AW133="","",IFERROR(MAX(0,MIN(10,ROUND(IF('Council Entry'!AW$7="Decrease Risk",10-10*((IF('Council Entry'!AW$4="Logarithm",LN(0.001+IF(AND(ISNUMBER('Council Entry'!AW$8),ISNUMBER('Council Entry'!AW$9)),MAX(MIN('Council Entry'!AW133,'Council Entry'!AW$9),'Council Entry'!AW$8),'Council Entry'!AW133)),IF('Council Entry'!AW$4="Exponential",EXP(IF(AND(ISNUMBER('Council Entry'!AW$8),ISNUMBER('Council Entry'!AW$9)),MAX(MIN('Council Entry'!AW133,'Council Entry'!AW$9),'Council Entry'!AW$8),'Council Entry'!AW133)),IF(AND(ISNUMBER('Council Entry'!AW$8),ISNUMBER('Council Entry'!AW$9)),MAX(MIN('Council Entry'!AW133,'Council Entry'!AW$9),'Council Entry'!AW$8),'Council Entry'!AW133))))-'Council Entry'!AW$5)/('Council Entry'!AW$6-'Council Entry'!AW$5),10*((IF('Council Entry'!AW$4="Logarithm",LN(0.001+IF(AND(ISNUMBER('Council Entry'!AW$8),ISNUMBER('Council Entry'!AW$9)),MAX(MIN('Council Entry'!AW133,'Council Entry'!AW$9),'Council Entry'!AW$8),'Council Entry'!AW133)),IF('Council Entry'!AW$4="Exponential",EXP(IF(AND(ISNUMBER('Council Entry'!AW$8),ISNUMBER('Council Entry'!AW$9)),MAX(MIN('Council Entry'!AW133,'Council Entry'!AW$9),'Council Entry'!AW$8),'Council Entry'!AW133)),IF(AND(ISNUMBER('Council Entry'!AW$8),ISNUMBER('Council Entry'!AW$9)),MAX(MIN('Council Entry'!AW133,'Council Entry'!AW$9),'Council Entry'!AW$8),'Council Entry'!AW133))))-'Council Entry'!AW$5)/('Council Entry'!AW$6-'Council Entry'!AW$5)),1))),"No data"))</f>
        <v/>
      </c>
      <c r="AX133" s="13">
        <f>IF('Council Entry'!AX133="","",IFERROR(MAX(0,MIN(10,ROUND(IF('Council Entry'!AX$7="Decrease Risk",10-10*((IF('Council Entry'!AX$4="Logarithm",LN(0.001+IF(AND(ISNUMBER('Council Entry'!AX$8),ISNUMBER('Council Entry'!AX$9)),MAX(MIN('Council Entry'!AX133,'Council Entry'!AX$9),'Council Entry'!AX$8),'Council Entry'!AX133)),IF('Council Entry'!AX$4="Exponential",EXP(IF(AND(ISNUMBER('Council Entry'!AX$8),ISNUMBER('Council Entry'!AX$9)),MAX(MIN('Council Entry'!AX133,'Council Entry'!AX$9),'Council Entry'!AX$8),'Council Entry'!AX133)),IF(AND(ISNUMBER('Council Entry'!AX$8),ISNUMBER('Council Entry'!AX$9)),MAX(MIN('Council Entry'!AX133,'Council Entry'!AX$9),'Council Entry'!AX$8),'Council Entry'!AX133))))-'Council Entry'!AX$5)/('Council Entry'!AX$6-'Council Entry'!AX$5),10*((IF('Council Entry'!AX$4="Logarithm",LN(0.001+IF(AND(ISNUMBER('Council Entry'!AX$8),ISNUMBER('Council Entry'!AX$9)),MAX(MIN('Council Entry'!AX133,'Council Entry'!AX$9),'Council Entry'!AX$8),'Council Entry'!AX133)),IF('Council Entry'!AX$4="Exponential",EXP(IF(AND(ISNUMBER('Council Entry'!AX$8),ISNUMBER('Council Entry'!AX$9)),MAX(MIN('Council Entry'!AX133,'Council Entry'!AX$9),'Council Entry'!AX$8),'Council Entry'!AX133)),IF(AND(ISNUMBER('Council Entry'!AX$8),ISNUMBER('Council Entry'!AX$9)),MAX(MIN('Council Entry'!AX133,'Council Entry'!AX$9),'Council Entry'!AX$8),'Council Entry'!AX133))))-'Council Entry'!AX$5)/('Council Entry'!AX$6-'Council Entry'!AX$5)),1))),"No data"))</f>
        <v/>
      </c>
      <c r="AY133" s="13">
        <f>IF('Council Entry'!AY133="","",IFERROR(MAX(0,MIN(10,ROUND(IF('Council Entry'!AY$7="Decrease Risk",10-10*((IF('Council Entry'!AY$4="Logarithm",LN(0.001+IF(AND(ISNUMBER('Council Entry'!AY$8),ISNUMBER('Council Entry'!AY$9)),MAX(MIN('Council Entry'!AY133,'Council Entry'!AY$9),'Council Entry'!AY$8),'Council Entry'!AY133)),IF('Council Entry'!AY$4="Exponential",EXP(IF(AND(ISNUMBER('Council Entry'!AY$8),ISNUMBER('Council Entry'!AY$9)),MAX(MIN('Council Entry'!AY133,'Council Entry'!AY$9),'Council Entry'!AY$8),'Council Entry'!AY133)),IF(AND(ISNUMBER('Council Entry'!AY$8),ISNUMBER('Council Entry'!AY$9)),MAX(MIN('Council Entry'!AY133,'Council Entry'!AY$9),'Council Entry'!AY$8),'Council Entry'!AY133))))-'Council Entry'!AY$5)/('Council Entry'!AY$6-'Council Entry'!AY$5),10*((IF('Council Entry'!AY$4="Logarithm",LN(0.001+IF(AND(ISNUMBER('Council Entry'!AY$8),ISNUMBER('Council Entry'!AY$9)),MAX(MIN('Council Entry'!AY133,'Council Entry'!AY$9),'Council Entry'!AY$8),'Council Entry'!AY133)),IF('Council Entry'!AY$4="Exponential",EXP(IF(AND(ISNUMBER('Council Entry'!AY$8),ISNUMBER('Council Entry'!AY$9)),MAX(MIN('Council Entry'!AY133,'Council Entry'!AY$9),'Council Entry'!AY$8),'Council Entry'!AY133)),IF(AND(ISNUMBER('Council Entry'!AY$8),ISNUMBER('Council Entry'!AY$9)),MAX(MIN('Council Entry'!AY133,'Council Entry'!AY$9),'Council Entry'!AY$8),'Council Entry'!AY133))))-'Council Entry'!AY$5)/('Council Entry'!AY$6-'Council Entry'!AY$5)),1))),"No data"))</f>
        <v/>
      </c>
      <c r="AZ133" s="13">
        <f>IF('Council Entry'!AZ133="","",IFERROR(MAX(0,MIN(10,ROUND(IF('Council Entry'!AZ$7="Decrease Risk",10-10*((IF('Council Entry'!AZ$4="Logarithm",LN(0.001+IF(AND(ISNUMBER('Council Entry'!AZ$8),ISNUMBER('Council Entry'!AZ$9)),MAX(MIN('Council Entry'!AZ133,'Council Entry'!AZ$9),'Council Entry'!AZ$8),'Council Entry'!AZ133)),IF('Council Entry'!AZ$4="Exponential",EXP(IF(AND(ISNUMBER('Council Entry'!AZ$8),ISNUMBER('Council Entry'!AZ$9)),MAX(MIN('Council Entry'!AZ133,'Council Entry'!AZ$9),'Council Entry'!AZ$8),'Council Entry'!AZ133)),IF(AND(ISNUMBER('Council Entry'!AZ$8),ISNUMBER('Council Entry'!AZ$9)),MAX(MIN('Council Entry'!AZ133,'Council Entry'!AZ$9),'Council Entry'!AZ$8),'Council Entry'!AZ133))))-'Council Entry'!AZ$5)/('Council Entry'!AZ$6-'Council Entry'!AZ$5),10*((IF('Council Entry'!AZ$4="Logarithm",LN(0.001+IF(AND(ISNUMBER('Council Entry'!AZ$8),ISNUMBER('Council Entry'!AZ$9)),MAX(MIN('Council Entry'!AZ133,'Council Entry'!AZ$9),'Council Entry'!AZ$8),'Council Entry'!AZ133)),IF('Council Entry'!AZ$4="Exponential",EXP(IF(AND(ISNUMBER('Council Entry'!AZ$8),ISNUMBER('Council Entry'!AZ$9)),MAX(MIN('Council Entry'!AZ133,'Council Entry'!AZ$9),'Council Entry'!AZ$8),'Council Entry'!AZ133)),IF(AND(ISNUMBER('Council Entry'!AZ$8),ISNUMBER('Council Entry'!AZ$9)),MAX(MIN('Council Entry'!AZ133,'Council Entry'!AZ$9),'Council Entry'!AZ$8),'Council Entry'!AZ133))))-'Council Entry'!AZ$5)/('Council Entry'!AZ$6-'Council Entry'!AZ$5)),1))),"No data"))</f>
        <v/>
      </c>
      <c r="BA133" s="13">
        <f>IF('Council Entry'!BA133="","",IFERROR(MAX(0,MIN(10,ROUND(IF('Council Entry'!BA$7="Decrease Risk",10-10*((IF('Council Entry'!BA$4="Logarithm",LN(0.001+IF(AND(ISNUMBER('Council Entry'!BA$8),ISNUMBER('Council Entry'!BA$9)),MAX(MIN('Council Entry'!BA133,'Council Entry'!BA$9),'Council Entry'!BA$8),'Council Entry'!BA133)),IF('Council Entry'!BA$4="Exponential",EXP(IF(AND(ISNUMBER('Council Entry'!BA$8),ISNUMBER('Council Entry'!BA$9)),MAX(MIN('Council Entry'!BA133,'Council Entry'!BA$9),'Council Entry'!BA$8),'Council Entry'!BA133)),IF(AND(ISNUMBER('Council Entry'!BA$8),ISNUMBER('Council Entry'!BA$9)),MAX(MIN('Council Entry'!BA133,'Council Entry'!BA$9),'Council Entry'!BA$8),'Council Entry'!BA133))))-'Council Entry'!BA$5)/('Council Entry'!BA$6-'Council Entry'!BA$5),10*((IF('Council Entry'!BA$4="Logarithm",LN(0.001+IF(AND(ISNUMBER('Council Entry'!BA$8),ISNUMBER('Council Entry'!BA$9)),MAX(MIN('Council Entry'!BA133,'Council Entry'!BA$9),'Council Entry'!BA$8),'Council Entry'!BA133)),IF('Council Entry'!BA$4="Exponential",EXP(IF(AND(ISNUMBER('Council Entry'!BA$8),ISNUMBER('Council Entry'!BA$9)),MAX(MIN('Council Entry'!BA133,'Council Entry'!BA$9),'Council Entry'!BA$8),'Council Entry'!BA133)),IF(AND(ISNUMBER('Council Entry'!BA$8),ISNUMBER('Council Entry'!BA$9)),MAX(MIN('Council Entry'!BA133,'Council Entry'!BA$9),'Council Entry'!BA$8),'Council Entry'!BA133))))-'Council Entry'!BA$5)/('Council Entry'!BA$6-'Council Entry'!BA$5)),1))),"No data"))</f>
        <v/>
      </c>
      <c r="BB133" s="13">
        <f>IF('Council Entry'!BB133="","",IFERROR(MAX(0,MIN(10,ROUND(IF('Council Entry'!BB$7="Decrease Risk",10-10*((IF('Council Entry'!BB$4="Logarithm",LN(0.001+IF(AND(ISNUMBER('Council Entry'!BB$8),ISNUMBER('Council Entry'!BB$9)),MAX(MIN('Council Entry'!BB133,'Council Entry'!BB$9),'Council Entry'!BB$8),'Council Entry'!BB133)),IF('Council Entry'!BB$4="Exponential",EXP(IF(AND(ISNUMBER('Council Entry'!BB$8),ISNUMBER('Council Entry'!BB$9)),MAX(MIN('Council Entry'!BB133,'Council Entry'!BB$9),'Council Entry'!BB$8),'Council Entry'!BB133)),IF(AND(ISNUMBER('Council Entry'!BB$8),ISNUMBER('Council Entry'!BB$9)),MAX(MIN('Council Entry'!BB133,'Council Entry'!BB$9),'Council Entry'!BB$8),'Council Entry'!BB133))))-'Council Entry'!BB$5)/('Council Entry'!BB$6-'Council Entry'!BB$5),10*((IF('Council Entry'!BB$4="Logarithm",LN(0.001+IF(AND(ISNUMBER('Council Entry'!BB$8),ISNUMBER('Council Entry'!BB$9)),MAX(MIN('Council Entry'!BB133,'Council Entry'!BB$9),'Council Entry'!BB$8),'Council Entry'!BB133)),IF('Council Entry'!BB$4="Exponential",EXP(IF(AND(ISNUMBER('Council Entry'!BB$8),ISNUMBER('Council Entry'!BB$9)),MAX(MIN('Council Entry'!BB133,'Council Entry'!BB$9),'Council Entry'!BB$8),'Council Entry'!BB133)),IF(AND(ISNUMBER('Council Entry'!BB$8),ISNUMBER('Council Entry'!BB$9)),MAX(MIN('Council Entry'!BB133,'Council Entry'!BB$9),'Council Entry'!BB$8),'Council Entry'!BB133))))-'Council Entry'!BB$5)/('Council Entry'!BB$6-'Council Entry'!BB$5)),1))),"No data"))</f>
        <v/>
      </c>
      <c r="BC133" s="13">
        <f>IF('Council Entry'!BC133="","",IFERROR(MAX(0,MIN(10,ROUND(IF('Council Entry'!BC$7="Decrease Risk",10-10*((IF('Council Entry'!BC$4="Logarithm",LN(0.001+IF(AND(ISNUMBER('Council Entry'!BC$8),ISNUMBER('Council Entry'!BC$9)),MAX(MIN('Council Entry'!BC133,'Council Entry'!BC$9),'Council Entry'!BC$8),'Council Entry'!BC133)),IF('Council Entry'!BC$4="Exponential",EXP(IF(AND(ISNUMBER('Council Entry'!BC$8),ISNUMBER('Council Entry'!BC$9)),MAX(MIN('Council Entry'!BC133,'Council Entry'!BC$9),'Council Entry'!BC$8),'Council Entry'!BC133)),IF(AND(ISNUMBER('Council Entry'!BC$8),ISNUMBER('Council Entry'!BC$9)),MAX(MIN('Council Entry'!BC133,'Council Entry'!BC$9),'Council Entry'!BC$8),'Council Entry'!BC133))))-'Council Entry'!BC$5)/('Council Entry'!BC$6-'Council Entry'!BC$5),10*((IF('Council Entry'!BC$4="Logarithm",LN(0.001+IF(AND(ISNUMBER('Council Entry'!BC$8),ISNUMBER('Council Entry'!BC$9)),MAX(MIN('Council Entry'!BC133,'Council Entry'!BC$9),'Council Entry'!BC$8),'Council Entry'!BC133)),IF('Council Entry'!BC$4="Exponential",EXP(IF(AND(ISNUMBER('Council Entry'!BC$8),ISNUMBER('Council Entry'!BC$9)),MAX(MIN('Council Entry'!BC133,'Council Entry'!BC$9),'Council Entry'!BC$8),'Council Entry'!BC133)),IF(AND(ISNUMBER('Council Entry'!BC$8),ISNUMBER('Council Entry'!BC$9)),MAX(MIN('Council Entry'!BC133,'Council Entry'!BC$9),'Council Entry'!BC$8),'Council Entry'!BC133))))-'Council Entry'!BC$5)/('Council Entry'!BC$6-'Council Entry'!BC$5)),1))),"No data"))</f>
        <v/>
      </c>
      <c r="BD133" s="13">
        <f>IF('Council Entry'!BD133="","",IFERROR(MAX(0,MIN(10,ROUND(IF('Council Entry'!BD$7="Decrease Risk",10-10*((IF('Council Entry'!BD$4="Logarithm",LN(0.001+IF(AND(ISNUMBER('Council Entry'!BD$8),ISNUMBER('Council Entry'!BD$9)),MAX(MIN('Council Entry'!BD133,'Council Entry'!BD$9),'Council Entry'!BD$8),'Council Entry'!BD133)),IF('Council Entry'!BD$4="Exponential",EXP(IF(AND(ISNUMBER('Council Entry'!BD$8),ISNUMBER('Council Entry'!BD$9)),MAX(MIN('Council Entry'!BD133,'Council Entry'!BD$9),'Council Entry'!BD$8),'Council Entry'!BD133)),IF(AND(ISNUMBER('Council Entry'!BD$8),ISNUMBER('Council Entry'!BD$9)),MAX(MIN('Council Entry'!BD133,'Council Entry'!BD$9),'Council Entry'!BD$8),'Council Entry'!BD133))))-'Council Entry'!BD$5)/('Council Entry'!BD$6-'Council Entry'!BD$5),10*((IF('Council Entry'!BD$4="Logarithm",LN(0.001+IF(AND(ISNUMBER('Council Entry'!BD$8),ISNUMBER('Council Entry'!BD$9)),MAX(MIN('Council Entry'!BD133,'Council Entry'!BD$9),'Council Entry'!BD$8),'Council Entry'!BD133)),IF('Council Entry'!BD$4="Exponential",EXP(IF(AND(ISNUMBER('Council Entry'!BD$8),ISNUMBER('Council Entry'!BD$9)),MAX(MIN('Council Entry'!BD133,'Council Entry'!BD$9),'Council Entry'!BD$8),'Council Entry'!BD133)),IF(AND(ISNUMBER('Council Entry'!BD$8),ISNUMBER('Council Entry'!BD$9)),MAX(MIN('Council Entry'!BD133,'Council Entry'!BD$9),'Council Entry'!BD$8),'Council Entry'!BD133))))-'Council Entry'!BD$5)/('Council Entry'!BD$6-'Council Entry'!BD$5)),1))),"No data"))</f>
        <v/>
      </c>
    </row>
    <row r="134">
      <c r="A134" t="inlineStr">
        <is>
          <t>Mwanza</t>
        </is>
      </c>
      <c r="B134" t="inlineStr">
        <is>
          <t>Sengerema District</t>
        </is>
      </c>
      <c r="C134" t="inlineStr">
        <is>
          <t>C137</t>
        </is>
      </c>
      <c r="D134" s="13">
        <f>IF('Council Entry'!D134="","",IFERROR(MAX(0,MIN(10,ROUND(IF('Council Entry'!D$7="Decrease Risk",10-10*((IF('Council Entry'!D$4="Logarithm",LN(0.001+IF(AND(ISNUMBER('Council Entry'!D$8),ISNUMBER('Council Entry'!D$9)),MAX(MIN('Council Entry'!D134,'Council Entry'!D$9),'Council Entry'!D$8),'Council Entry'!D134)),IF('Council Entry'!D$4="Exponential",EXP(IF(AND(ISNUMBER('Council Entry'!D$8),ISNUMBER('Council Entry'!D$9)),MAX(MIN('Council Entry'!D134,'Council Entry'!D$9),'Council Entry'!D$8),'Council Entry'!D134)),IF(AND(ISNUMBER('Council Entry'!D$8),ISNUMBER('Council Entry'!D$9)),MAX(MIN('Council Entry'!D134,'Council Entry'!D$9),'Council Entry'!D$8),'Council Entry'!D134))))-'Council Entry'!D$5)/('Council Entry'!D$6-'Council Entry'!D$5),10*((IF('Council Entry'!D$4="Logarithm",LN(0.001+IF(AND(ISNUMBER('Council Entry'!D$8),ISNUMBER('Council Entry'!D$9)),MAX(MIN('Council Entry'!D134,'Council Entry'!D$9),'Council Entry'!D$8),'Council Entry'!D134)),IF('Council Entry'!D$4="Exponential",EXP(IF(AND(ISNUMBER('Council Entry'!D$8),ISNUMBER('Council Entry'!D$9)),MAX(MIN('Council Entry'!D134,'Council Entry'!D$9),'Council Entry'!D$8),'Council Entry'!D134)),IF(AND(ISNUMBER('Council Entry'!D$8),ISNUMBER('Council Entry'!D$9)),MAX(MIN('Council Entry'!D134,'Council Entry'!D$9),'Council Entry'!D$8),'Council Entry'!D134))))-'Council Entry'!D$5)/('Council Entry'!D$6-'Council Entry'!D$5)),1))),"No data"))</f>
        <v/>
      </c>
      <c r="E134" s="13">
        <f>IF('Council Entry'!E134="","",IFERROR(MAX(0,MIN(10,ROUND(IF('Council Entry'!E$7="Decrease Risk",10-10*((IF('Council Entry'!E$4="Logarithm",LN(0.001+IF(AND(ISNUMBER('Council Entry'!E$8),ISNUMBER('Council Entry'!E$9)),MAX(MIN('Council Entry'!E134,'Council Entry'!E$9),'Council Entry'!E$8),'Council Entry'!E134)),IF('Council Entry'!E$4="Exponential",EXP(IF(AND(ISNUMBER('Council Entry'!E$8),ISNUMBER('Council Entry'!E$9)),MAX(MIN('Council Entry'!E134,'Council Entry'!E$9),'Council Entry'!E$8),'Council Entry'!E134)),IF(AND(ISNUMBER('Council Entry'!E$8),ISNUMBER('Council Entry'!E$9)),MAX(MIN('Council Entry'!E134,'Council Entry'!E$9),'Council Entry'!E$8),'Council Entry'!E134))))-'Council Entry'!E$5)/('Council Entry'!E$6-'Council Entry'!E$5),10*((IF('Council Entry'!E$4="Logarithm",LN(0.001+IF(AND(ISNUMBER('Council Entry'!E$8),ISNUMBER('Council Entry'!E$9)),MAX(MIN('Council Entry'!E134,'Council Entry'!E$9),'Council Entry'!E$8),'Council Entry'!E134)),IF('Council Entry'!E$4="Exponential",EXP(IF(AND(ISNUMBER('Council Entry'!E$8),ISNUMBER('Council Entry'!E$9)),MAX(MIN('Council Entry'!E134,'Council Entry'!E$9),'Council Entry'!E$8),'Council Entry'!E134)),IF(AND(ISNUMBER('Council Entry'!E$8),ISNUMBER('Council Entry'!E$9)),MAX(MIN('Council Entry'!E134,'Council Entry'!E$9),'Council Entry'!E$8),'Council Entry'!E134))))-'Council Entry'!E$5)/('Council Entry'!E$6-'Council Entry'!E$5)),1))),"No data"))</f>
        <v/>
      </c>
      <c r="F134" s="13">
        <f>IF('Council Entry'!F134="","",IFERROR(MAX(0,MIN(10,ROUND(IF('Council Entry'!F$7="Decrease Risk",10-10*((IF('Council Entry'!F$4="Logarithm",LN(0.001+IF(AND(ISNUMBER('Council Entry'!F$8),ISNUMBER('Council Entry'!F$9)),MAX(MIN('Council Entry'!F134,'Council Entry'!F$9),'Council Entry'!F$8),'Council Entry'!F134)),IF('Council Entry'!F$4="Exponential",EXP(IF(AND(ISNUMBER('Council Entry'!F$8),ISNUMBER('Council Entry'!F$9)),MAX(MIN('Council Entry'!F134,'Council Entry'!F$9),'Council Entry'!F$8),'Council Entry'!F134)),IF(AND(ISNUMBER('Council Entry'!F$8),ISNUMBER('Council Entry'!F$9)),MAX(MIN('Council Entry'!F134,'Council Entry'!F$9),'Council Entry'!F$8),'Council Entry'!F134))))-'Council Entry'!F$5)/('Council Entry'!F$6-'Council Entry'!F$5),10*((IF('Council Entry'!F$4="Logarithm",LN(0.001+IF(AND(ISNUMBER('Council Entry'!F$8),ISNUMBER('Council Entry'!F$9)),MAX(MIN('Council Entry'!F134,'Council Entry'!F$9),'Council Entry'!F$8),'Council Entry'!F134)),IF('Council Entry'!F$4="Exponential",EXP(IF(AND(ISNUMBER('Council Entry'!F$8),ISNUMBER('Council Entry'!F$9)),MAX(MIN('Council Entry'!F134,'Council Entry'!F$9),'Council Entry'!F$8),'Council Entry'!F134)),IF(AND(ISNUMBER('Council Entry'!F$8),ISNUMBER('Council Entry'!F$9)),MAX(MIN('Council Entry'!F134,'Council Entry'!F$9),'Council Entry'!F$8),'Council Entry'!F134))))-'Council Entry'!F$5)/('Council Entry'!F$6-'Council Entry'!F$5)),1))),"No data"))</f>
        <v/>
      </c>
      <c r="G134" s="13">
        <f>IF('Council Entry'!G134="","",IFERROR(MAX(0,MIN(10,ROUND(IF('Council Entry'!G$7="Decrease Risk",10-10*((IF('Council Entry'!G$4="Logarithm",LN(0.001+IF(AND(ISNUMBER('Council Entry'!G$8),ISNUMBER('Council Entry'!G$9)),MAX(MIN('Council Entry'!G134,'Council Entry'!G$9),'Council Entry'!G$8),'Council Entry'!G134)),IF('Council Entry'!G$4="Exponential",EXP(IF(AND(ISNUMBER('Council Entry'!G$8),ISNUMBER('Council Entry'!G$9)),MAX(MIN('Council Entry'!G134,'Council Entry'!G$9),'Council Entry'!G$8),'Council Entry'!G134)),IF(AND(ISNUMBER('Council Entry'!G$8),ISNUMBER('Council Entry'!G$9)),MAX(MIN('Council Entry'!G134,'Council Entry'!G$9),'Council Entry'!G$8),'Council Entry'!G134))))-'Council Entry'!G$5)/('Council Entry'!G$6-'Council Entry'!G$5),10*((IF('Council Entry'!G$4="Logarithm",LN(0.001+IF(AND(ISNUMBER('Council Entry'!G$8),ISNUMBER('Council Entry'!G$9)),MAX(MIN('Council Entry'!G134,'Council Entry'!G$9),'Council Entry'!G$8),'Council Entry'!G134)),IF('Council Entry'!G$4="Exponential",EXP(IF(AND(ISNUMBER('Council Entry'!G$8),ISNUMBER('Council Entry'!G$9)),MAX(MIN('Council Entry'!G134,'Council Entry'!G$9),'Council Entry'!G$8),'Council Entry'!G134)),IF(AND(ISNUMBER('Council Entry'!G$8),ISNUMBER('Council Entry'!G$9)),MAX(MIN('Council Entry'!G134,'Council Entry'!G$9),'Council Entry'!G$8),'Council Entry'!G134))))-'Council Entry'!G$5)/('Council Entry'!G$6-'Council Entry'!G$5)),1))),"No data"))</f>
        <v/>
      </c>
      <c r="H134" s="13">
        <f>IF('Council Entry'!H134="","",IFERROR(MAX(0,MIN(10,ROUND(IF('Council Entry'!H$7="Decrease Risk",10-10*((IF('Council Entry'!H$4="Logarithm",LN(0.001+IF(AND(ISNUMBER('Council Entry'!H$8),ISNUMBER('Council Entry'!H$9)),MAX(MIN('Council Entry'!H134,'Council Entry'!H$9),'Council Entry'!H$8),'Council Entry'!H134)),IF('Council Entry'!H$4="Exponential",EXP(IF(AND(ISNUMBER('Council Entry'!H$8),ISNUMBER('Council Entry'!H$9)),MAX(MIN('Council Entry'!H134,'Council Entry'!H$9),'Council Entry'!H$8),'Council Entry'!H134)),IF(AND(ISNUMBER('Council Entry'!H$8),ISNUMBER('Council Entry'!H$9)),MAX(MIN('Council Entry'!H134,'Council Entry'!H$9),'Council Entry'!H$8),'Council Entry'!H134))))-'Council Entry'!H$5)/('Council Entry'!H$6-'Council Entry'!H$5),10*((IF('Council Entry'!H$4="Logarithm",LN(0.001+IF(AND(ISNUMBER('Council Entry'!H$8),ISNUMBER('Council Entry'!H$9)),MAX(MIN('Council Entry'!H134,'Council Entry'!H$9),'Council Entry'!H$8),'Council Entry'!H134)),IF('Council Entry'!H$4="Exponential",EXP(IF(AND(ISNUMBER('Council Entry'!H$8),ISNUMBER('Council Entry'!H$9)),MAX(MIN('Council Entry'!H134,'Council Entry'!H$9),'Council Entry'!H$8),'Council Entry'!H134)),IF(AND(ISNUMBER('Council Entry'!H$8),ISNUMBER('Council Entry'!H$9)),MAX(MIN('Council Entry'!H134,'Council Entry'!H$9),'Council Entry'!H$8),'Council Entry'!H134))))-'Council Entry'!H$5)/('Council Entry'!H$6-'Council Entry'!H$5)),1))),"No data"))</f>
        <v/>
      </c>
      <c r="I134" s="13">
        <f>IF('Council Entry'!I134="","",IFERROR(MAX(0,MIN(10,ROUND(IF('Council Entry'!I$7="Decrease Risk",10-10*((IF('Council Entry'!I$4="Logarithm",LN(0.001+IF(AND(ISNUMBER('Council Entry'!I$8),ISNUMBER('Council Entry'!I$9)),MAX(MIN('Council Entry'!I134,'Council Entry'!I$9),'Council Entry'!I$8),'Council Entry'!I134)),IF('Council Entry'!I$4="Exponential",EXP(IF(AND(ISNUMBER('Council Entry'!I$8),ISNUMBER('Council Entry'!I$9)),MAX(MIN('Council Entry'!I134,'Council Entry'!I$9),'Council Entry'!I$8),'Council Entry'!I134)),IF(AND(ISNUMBER('Council Entry'!I$8),ISNUMBER('Council Entry'!I$9)),MAX(MIN('Council Entry'!I134,'Council Entry'!I$9),'Council Entry'!I$8),'Council Entry'!I134))))-'Council Entry'!I$5)/('Council Entry'!I$6-'Council Entry'!I$5),10*((IF('Council Entry'!I$4="Logarithm",LN(0.001+IF(AND(ISNUMBER('Council Entry'!I$8),ISNUMBER('Council Entry'!I$9)),MAX(MIN('Council Entry'!I134,'Council Entry'!I$9),'Council Entry'!I$8),'Council Entry'!I134)),IF('Council Entry'!I$4="Exponential",EXP(IF(AND(ISNUMBER('Council Entry'!I$8),ISNUMBER('Council Entry'!I$9)),MAX(MIN('Council Entry'!I134,'Council Entry'!I$9),'Council Entry'!I$8),'Council Entry'!I134)),IF(AND(ISNUMBER('Council Entry'!I$8),ISNUMBER('Council Entry'!I$9)),MAX(MIN('Council Entry'!I134,'Council Entry'!I$9),'Council Entry'!I$8),'Council Entry'!I134))))-'Council Entry'!I$5)/('Council Entry'!I$6-'Council Entry'!I$5)),1))),"No data"))</f>
        <v/>
      </c>
      <c r="J134" s="13">
        <f>IF('Council Entry'!J134="","",IFERROR(MAX(0,MIN(10,ROUND(IF('Council Entry'!J$7="Decrease Risk",10-10*((IF('Council Entry'!J$4="Logarithm",LN(0.001+IF(AND(ISNUMBER('Council Entry'!J$8),ISNUMBER('Council Entry'!J$9)),MAX(MIN('Council Entry'!J134,'Council Entry'!J$9),'Council Entry'!J$8),'Council Entry'!J134)),IF('Council Entry'!J$4="Exponential",EXP(IF(AND(ISNUMBER('Council Entry'!J$8),ISNUMBER('Council Entry'!J$9)),MAX(MIN('Council Entry'!J134,'Council Entry'!J$9),'Council Entry'!J$8),'Council Entry'!J134)),IF(AND(ISNUMBER('Council Entry'!J$8),ISNUMBER('Council Entry'!J$9)),MAX(MIN('Council Entry'!J134,'Council Entry'!J$9),'Council Entry'!J$8),'Council Entry'!J134))))-'Council Entry'!J$5)/('Council Entry'!J$6-'Council Entry'!J$5),10*((IF('Council Entry'!J$4="Logarithm",LN(0.001+IF(AND(ISNUMBER('Council Entry'!J$8),ISNUMBER('Council Entry'!J$9)),MAX(MIN('Council Entry'!J134,'Council Entry'!J$9),'Council Entry'!J$8),'Council Entry'!J134)),IF('Council Entry'!J$4="Exponential",EXP(IF(AND(ISNUMBER('Council Entry'!J$8),ISNUMBER('Council Entry'!J$9)),MAX(MIN('Council Entry'!J134,'Council Entry'!J$9),'Council Entry'!J$8),'Council Entry'!J134)),IF(AND(ISNUMBER('Council Entry'!J$8),ISNUMBER('Council Entry'!J$9)),MAX(MIN('Council Entry'!J134,'Council Entry'!J$9),'Council Entry'!J$8),'Council Entry'!J134))))-'Council Entry'!J$5)/('Council Entry'!J$6-'Council Entry'!J$5)),1))),"No data"))</f>
        <v/>
      </c>
      <c r="K134" s="13">
        <f>IF('Council Entry'!K134="","",IFERROR(MAX(0,MIN(10,ROUND(IF('Council Entry'!K$7="Decrease Risk",10-10*((IF('Council Entry'!K$4="Logarithm",LN(0.001+IF(AND(ISNUMBER('Council Entry'!K$8),ISNUMBER('Council Entry'!K$9)),MAX(MIN('Council Entry'!K134,'Council Entry'!K$9),'Council Entry'!K$8),'Council Entry'!K134)),IF('Council Entry'!K$4="Exponential",EXP(IF(AND(ISNUMBER('Council Entry'!K$8),ISNUMBER('Council Entry'!K$9)),MAX(MIN('Council Entry'!K134,'Council Entry'!K$9),'Council Entry'!K$8),'Council Entry'!K134)),IF(AND(ISNUMBER('Council Entry'!K$8),ISNUMBER('Council Entry'!K$9)),MAX(MIN('Council Entry'!K134,'Council Entry'!K$9),'Council Entry'!K$8),'Council Entry'!K134))))-'Council Entry'!K$5)/('Council Entry'!K$6-'Council Entry'!K$5),10*((IF('Council Entry'!K$4="Logarithm",LN(0.001+IF(AND(ISNUMBER('Council Entry'!K$8),ISNUMBER('Council Entry'!K$9)),MAX(MIN('Council Entry'!K134,'Council Entry'!K$9),'Council Entry'!K$8),'Council Entry'!K134)),IF('Council Entry'!K$4="Exponential",EXP(IF(AND(ISNUMBER('Council Entry'!K$8),ISNUMBER('Council Entry'!K$9)),MAX(MIN('Council Entry'!K134,'Council Entry'!K$9),'Council Entry'!K$8),'Council Entry'!K134)),IF(AND(ISNUMBER('Council Entry'!K$8),ISNUMBER('Council Entry'!K$9)),MAX(MIN('Council Entry'!K134,'Council Entry'!K$9),'Council Entry'!K$8),'Council Entry'!K134))))-'Council Entry'!K$5)/('Council Entry'!K$6-'Council Entry'!K$5)),1))),"No data"))</f>
        <v/>
      </c>
      <c r="L134" s="13">
        <f>IF('Council Entry'!L134="","",IFERROR(MAX(0,MIN(10,ROUND(IF('Council Entry'!L$7="Decrease Risk",10-10*((IF('Council Entry'!L$4="Logarithm",LN(0.001+IF(AND(ISNUMBER('Council Entry'!L$8),ISNUMBER('Council Entry'!L$9)),MAX(MIN('Council Entry'!L134,'Council Entry'!L$9),'Council Entry'!L$8),'Council Entry'!L134)),IF('Council Entry'!L$4="Exponential",EXP(IF(AND(ISNUMBER('Council Entry'!L$8),ISNUMBER('Council Entry'!L$9)),MAX(MIN('Council Entry'!L134,'Council Entry'!L$9),'Council Entry'!L$8),'Council Entry'!L134)),IF(AND(ISNUMBER('Council Entry'!L$8),ISNUMBER('Council Entry'!L$9)),MAX(MIN('Council Entry'!L134,'Council Entry'!L$9),'Council Entry'!L$8),'Council Entry'!L134))))-'Council Entry'!L$5)/('Council Entry'!L$6-'Council Entry'!L$5),10*((IF('Council Entry'!L$4="Logarithm",LN(0.001+IF(AND(ISNUMBER('Council Entry'!L$8),ISNUMBER('Council Entry'!L$9)),MAX(MIN('Council Entry'!L134,'Council Entry'!L$9),'Council Entry'!L$8),'Council Entry'!L134)),IF('Council Entry'!L$4="Exponential",EXP(IF(AND(ISNUMBER('Council Entry'!L$8),ISNUMBER('Council Entry'!L$9)),MAX(MIN('Council Entry'!L134,'Council Entry'!L$9),'Council Entry'!L$8),'Council Entry'!L134)),IF(AND(ISNUMBER('Council Entry'!L$8),ISNUMBER('Council Entry'!L$9)),MAX(MIN('Council Entry'!L134,'Council Entry'!L$9),'Council Entry'!L$8),'Council Entry'!L134))))-'Council Entry'!L$5)/('Council Entry'!L$6-'Council Entry'!L$5)),1))),"No data"))</f>
        <v/>
      </c>
      <c r="M134" s="13">
        <f>IF('Council Entry'!M134="","",IFERROR(MAX(0,MIN(10,ROUND(IF('Council Entry'!M$7="Decrease Risk",10-10*((IF('Council Entry'!M$4="Logarithm",LN(0.001+IF(AND(ISNUMBER('Council Entry'!M$8),ISNUMBER('Council Entry'!M$9)),MAX(MIN('Council Entry'!M134,'Council Entry'!M$9),'Council Entry'!M$8),'Council Entry'!M134)),IF('Council Entry'!M$4="Exponential",EXP(IF(AND(ISNUMBER('Council Entry'!M$8),ISNUMBER('Council Entry'!M$9)),MAX(MIN('Council Entry'!M134,'Council Entry'!M$9),'Council Entry'!M$8),'Council Entry'!M134)),IF(AND(ISNUMBER('Council Entry'!M$8),ISNUMBER('Council Entry'!M$9)),MAX(MIN('Council Entry'!M134,'Council Entry'!M$9),'Council Entry'!M$8),'Council Entry'!M134))))-'Council Entry'!M$5)/('Council Entry'!M$6-'Council Entry'!M$5),10*((IF('Council Entry'!M$4="Logarithm",LN(0.001+IF(AND(ISNUMBER('Council Entry'!M$8),ISNUMBER('Council Entry'!M$9)),MAX(MIN('Council Entry'!M134,'Council Entry'!M$9),'Council Entry'!M$8),'Council Entry'!M134)),IF('Council Entry'!M$4="Exponential",EXP(IF(AND(ISNUMBER('Council Entry'!M$8),ISNUMBER('Council Entry'!M$9)),MAX(MIN('Council Entry'!M134,'Council Entry'!M$9),'Council Entry'!M$8),'Council Entry'!M134)),IF(AND(ISNUMBER('Council Entry'!M$8),ISNUMBER('Council Entry'!M$9)),MAX(MIN('Council Entry'!M134,'Council Entry'!M$9),'Council Entry'!M$8),'Council Entry'!M134))))-'Council Entry'!M$5)/('Council Entry'!M$6-'Council Entry'!M$5)),1))),"No data"))</f>
        <v/>
      </c>
      <c r="N134" s="13">
        <f>IF('Council Entry'!N134="","",IFERROR(MAX(0,MIN(10,ROUND(IF('Council Entry'!N$7="Decrease Risk",10-10*((IF('Council Entry'!N$4="Logarithm",LN(0.001+IF(AND(ISNUMBER('Council Entry'!N$8),ISNUMBER('Council Entry'!N$9)),MAX(MIN('Council Entry'!N134,'Council Entry'!N$9),'Council Entry'!N$8),'Council Entry'!N134)),IF('Council Entry'!N$4="Exponential",EXP(IF(AND(ISNUMBER('Council Entry'!N$8),ISNUMBER('Council Entry'!N$9)),MAX(MIN('Council Entry'!N134,'Council Entry'!N$9),'Council Entry'!N$8),'Council Entry'!N134)),IF(AND(ISNUMBER('Council Entry'!N$8),ISNUMBER('Council Entry'!N$9)),MAX(MIN('Council Entry'!N134,'Council Entry'!N$9),'Council Entry'!N$8),'Council Entry'!N134))))-'Council Entry'!N$5)/('Council Entry'!N$6-'Council Entry'!N$5),10*((IF('Council Entry'!N$4="Logarithm",LN(0.001+IF(AND(ISNUMBER('Council Entry'!N$8),ISNUMBER('Council Entry'!N$9)),MAX(MIN('Council Entry'!N134,'Council Entry'!N$9),'Council Entry'!N$8),'Council Entry'!N134)),IF('Council Entry'!N$4="Exponential",EXP(IF(AND(ISNUMBER('Council Entry'!N$8),ISNUMBER('Council Entry'!N$9)),MAX(MIN('Council Entry'!N134,'Council Entry'!N$9),'Council Entry'!N$8),'Council Entry'!N134)),IF(AND(ISNUMBER('Council Entry'!N$8),ISNUMBER('Council Entry'!N$9)),MAX(MIN('Council Entry'!N134,'Council Entry'!N$9),'Council Entry'!N$8),'Council Entry'!N134))))-'Council Entry'!N$5)/('Council Entry'!N$6-'Council Entry'!N$5)),1))),"No data"))</f>
        <v/>
      </c>
      <c r="O134" s="13">
        <f>IF('Council Entry'!O134="","",IFERROR(MAX(0,MIN(10,ROUND(IF('Council Entry'!O$7="Decrease Risk",10-10*((IF('Council Entry'!O$4="Logarithm",LN(0.001+IF(AND(ISNUMBER('Council Entry'!O$8),ISNUMBER('Council Entry'!O$9)),MAX(MIN('Council Entry'!O134,'Council Entry'!O$9),'Council Entry'!O$8),'Council Entry'!O134)),IF('Council Entry'!O$4="Exponential",EXP(IF(AND(ISNUMBER('Council Entry'!O$8),ISNUMBER('Council Entry'!O$9)),MAX(MIN('Council Entry'!O134,'Council Entry'!O$9),'Council Entry'!O$8),'Council Entry'!O134)),IF(AND(ISNUMBER('Council Entry'!O$8),ISNUMBER('Council Entry'!O$9)),MAX(MIN('Council Entry'!O134,'Council Entry'!O$9),'Council Entry'!O$8),'Council Entry'!O134))))-'Council Entry'!O$5)/('Council Entry'!O$6-'Council Entry'!O$5),10*((IF('Council Entry'!O$4="Logarithm",LN(0.001+IF(AND(ISNUMBER('Council Entry'!O$8),ISNUMBER('Council Entry'!O$9)),MAX(MIN('Council Entry'!O134,'Council Entry'!O$9),'Council Entry'!O$8),'Council Entry'!O134)),IF('Council Entry'!O$4="Exponential",EXP(IF(AND(ISNUMBER('Council Entry'!O$8),ISNUMBER('Council Entry'!O$9)),MAX(MIN('Council Entry'!O134,'Council Entry'!O$9),'Council Entry'!O$8),'Council Entry'!O134)),IF(AND(ISNUMBER('Council Entry'!O$8),ISNUMBER('Council Entry'!O$9)),MAX(MIN('Council Entry'!O134,'Council Entry'!O$9),'Council Entry'!O$8),'Council Entry'!O134))))-'Council Entry'!O$5)/('Council Entry'!O$6-'Council Entry'!O$5)),1))),"No data"))</f>
        <v/>
      </c>
      <c r="P134" s="13">
        <f>IF('Council Entry'!P134="","",IFERROR(MAX(0,MIN(10,ROUND(IF('Council Entry'!P$7="Decrease Risk",10-10*((IF('Council Entry'!P$4="Logarithm",LN(0.001+IF(AND(ISNUMBER('Council Entry'!P$8),ISNUMBER('Council Entry'!P$9)),MAX(MIN('Council Entry'!P134,'Council Entry'!P$9),'Council Entry'!P$8),'Council Entry'!P134)),IF('Council Entry'!P$4="Exponential",EXP(IF(AND(ISNUMBER('Council Entry'!P$8),ISNUMBER('Council Entry'!P$9)),MAX(MIN('Council Entry'!P134,'Council Entry'!P$9),'Council Entry'!P$8),'Council Entry'!P134)),IF(AND(ISNUMBER('Council Entry'!P$8),ISNUMBER('Council Entry'!P$9)),MAX(MIN('Council Entry'!P134,'Council Entry'!P$9),'Council Entry'!P$8),'Council Entry'!P134))))-'Council Entry'!P$5)/('Council Entry'!P$6-'Council Entry'!P$5),10*((IF('Council Entry'!P$4="Logarithm",LN(0.001+IF(AND(ISNUMBER('Council Entry'!P$8),ISNUMBER('Council Entry'!P$9)),MAX(MIN('Council Entry'!P134,'Council Entry'!P$9),'Council Entry'!P$8),'Council Entry'!P134)),IF('Council Entry'!P$4="Exponential",EXP(IF(AND(ISNUMBER('Council Entry'!P$8),ISNUMBER('Council Entry'!P$9)),MAX(MIN('Council Entry'!P134,'Council Entry'!P$9),'Council Entry'!P$8),'Council Entry'!P134)),IF(AND(ISNUMBER('Council Entry'!P$8),ISNUMBER('Council Entry'!P$9)),MAX(MIN('Council Entry'!P134,'Council Entry'!P$9),'Council Entry'!P$8),'Council Entry'!P134))))-'Council Entry'!P$5)/('Council Entry'!P$6-'Council Entry'!P$5)),1))),"No data"))</f>
        <v/>
      </c>
      <c r="Q134" s="13">
        <f>IF('Council Entry'!Q134="","",IFERROR(MAX(0,MIN(10,ROUND(IF('Council Entry'!Q$7="Decrease Risk",10-10*((IF('Council Entry'!Q$4="Logarithm",LN(0.001+IF(AND(ISNUMBER('Council Entry'!Q$8),ISNUMBER('Council Entry'!Q$9)),MAX(MIN('Council Entry'!Q134,'Council Entry'!Q$9),'Council Entry'!Q$8),'Council Entry'!Q134)),IF('Council Entry'!Q$4="Exponential",EXP(IF(AND(ISNUMBER('Council Entry'!Q$8),ISNUMBER('Council Entry'!Q$9)),MAX(MIN('Council Entry'!Q134,'Council Entry'!Q$9),'Council Entry'!Q$8),'Council Entry'!Q134)),IF(AND(ISNUMBER('Council Entry'!Q$8),ISNUMBER('Council Entry'!Q$9)),MAX(MIN('Council Entry'!Q134,'Council Entry'!Q$9),'Council Entry'!Q$8),'Council Entry'!Q134))))-'Council Entry'!Q$5)/('Council Entry'!Q$6-'Council Entry'!Q$5),10*((IF('Council Entry'!Q$4="Logarithm",LN(0.001+IF(AND(ISNUMBER('Council Entry'!Q$8),ISNUMBER('Council Entry'!Q$9)),MAX(MIN('Council Entry'!Q134,'Council Entry'!Q$9),'Council Entry'!Q$8),'Council Entry'!Q134)),IF('Council Entry'!Q$4="Exponential",EXP(IF(AND(ISNUMBER('Council Entry'!Q$8),ISNUMBER('Council Entry'!Q$9)),MAX(MIN('Council Entry'!Q134,'Council Entry'!Q$9),'Council Entry'!Q$8),'Council Entry'!Q134)),IF(AND(ISNUMBER('Council Entry'!Q$8),ISNUMBER('Council Entry'!Q$9)),MAX(MIN('Council Entry'!Q134,'Council Entry'!Q$9),'Council Entry'!Q$8),'Council Entry'!Q134))))-'Council Entry'!Q$5)/('Council Entry'!Q$6-'Council Entry'!Q$5)),1))),"No data"))</f>
        <v/>
      </c>
      <c r="R134" s="13">
        <f>IF('Council Entry'!R134="","",IFERROR(MAX(0,MIN(10,ROUND(IF('Council Entry'!R$7="Decrease Risk",10-10*((IF('Council Entry'!R$4="Logarithm",LN(0.001+IF(AND(ISNUMBER('Council Entry'!R$8),ISNUMBER('Council Entry'!R$9)),MAX(MIN('Council Entry'!R134,'Council Entry'!R$9),'Council Entry'!R$8),'Council Entry'!R134)),IF('Council Entry'!R$4="Exponential",EXP(IF(AND(ISNUMBER('Council Entry'!R$8),ISNUMBER('Council Entry'!R$9)),MAX(MIN('Council Entry'!R134,'Council Entry'!R$9),'Council Entry'!R$8),'Council Entry'!R134)),IF(AND(ISNUMBER('Council Entry'!R$8),ISNUMBER('Council Entry'!R$9)),MAX(MIN('Council Entry'!R134,'Council Entry'!R$9),'Council Entry'!R$8),'Council Entry'!R134))))-'Council Entry'!R$5)/('Council Entry'!R$6-'Council Entry'!R$5),10*((IF('Council Entry'!R$4="Logarithm",LN(0.001+IF(AND(ISNUMBER('Council Entry'!R$8),ISNUMBER('Council Entry'!R$9)),MAX(MIN('Council Entry'!R134,'Council Entry'!R$9),'Council Entry'!R$8),'Council Entry'!R134)),IF('Council Entry'!R$4="Exponential",EXP(IF(AND(ISNUMBER('Council Entry'!R$8),ISNUMBER('Council Entry'!R$9)),MAX(MIN('Council Entry'!R134,'Council Entry'!R$9),'Council Entry'!R$8),'Council Entry'!R134)),IF(AND(ISNUMBER('Council Entry'!R$8),ISNUMBER('Council Entry'!R$9)),MAX(MIN('Council Entry'!R134,'Council Entry'!R$9),'Council Entry'!R$8),'Council Entry'!R134))))-'Council Entry'!R$5)/('Council Entry'!R$6-'Council Entry'!R$5)),1))),"No data"))</f>
        <v/>
      </c>
      <c r="S134" s="13">
        <f>IF('Council Entry'!S134="","",IFERROR(MAX(0,MIN(10,ROUND(IF('Council Entry'!S$7="Decrease Risk",10-10*((IF('Council Entry'!S$4="Logarithm",LN(0.001+IF(AND(ISNUMBER('Council Entry'!S$8),ISNUMBER('Council Entry'!S$9)),MAX(MIN('Council Entry'!S134,'Council Entry'!S$9),'Council Entry'!S$8),'Council Entry'!S134)),IF('Council Entry'!S$4="Exponential",EXP(IF(AND(ISNUMBER('Council Entry'!S$8),ISNUMBER('Council Entry'!S$9)),MAX(MIN('Council Entry'!S134,'Council Entry'!S$9),'Council Entry'!S$8),'Council Entry'!S134)),IF(AND(ISNUMBER('Council Entry'!S$8),ISNUMBER('Council Entry'!S$9)),MAX(MIN('Council Entry'!S134,'Council Entry'!S$9),'Council Entry'!S$8),'Council Entry'!S134))))-'Council Entry'!S$5)/('Council Entry'!S$6-'Council Entry'!S$5),10*((IF('Council Entry'!S$4="Logarithm",LN(0.001+IF(AND(ISNUMBER('Council Entry'!S$8),ISNUMBER('Council Entry'!S$9)),MAX(MIN('Council Entry'!S134,'Council Entry'!S$9),'Council Entry'!S$8),'Council Entry'!S134)),IF('Council Entry'!S$4="Exponential",EXP(IF(AND(ISNUMBER('Council Entry'!S$8),ISNUMBER('Council Entry'!S$9)),MAX(MIN('Council Entry'!S134,'Council Entry'!S$9),'Council Entry'!S$8),'Council Entry'!S134)),IF(AND(ISNUMBER('Council Entry'!S$8),ISNUMBER('Council Entry'!S$9)),MAX(MIN('Council Entry'!S134,'Council Entry'!S$9),'Council Entry'!S$8),'Council Entry'!S134))))-'Council Entry'!S$5)/('Council Entry'!S$6-'Council Entry'!S$5)),1))),"No data"))</f>
        <v/>
      </c>
      <c r="T134" s="13">
        <f>IF('Council Entry'!T134="","",IFERROR(MAX(0,MIN(10,ROUND(IF('Council Entry'!T$7="Decrease Risk",10-10*((IF('Council Entry'!T$4="Logarithm",LN(0.001+IF(AND(ISNUMBER('Council Entry'!T$8),ISNUMBER('Council Entry'!T$9)),MAX(MIN('Council Entry'!T134,'Council Entry'!T$9),'Council Entry'!T$8),'Council Entry'!T134)),IF('Council Entry'!T$4="Exponential",EXP(IF(AND(ISNUMBER('Council Entry'!T$8),ISNUMBER('Council Entry'!T$9)),MAX(MIN('Council Entry'!T134,'Council Entry'!T$9),'Council Entry'!T$8),'Council Entry'!T134)),IF(AND(ISNUMBER('Council Entry'!T$8),ISNUMBER('Council Entry'!T$9)),MAX(MIN('Council Entry'!T134,'Council Entry'!T$9),'Council Entry'!T$8),'Council Entry'!T134))))-'Council Entry'!T$5)/('Council Entry'!T$6-'Council Entry'!T$5),10*((IF('Council Entry'!T$4="Logarithm",LN(0.001+IF(AND(ISNUMBER('Council Entry'!T$8),ISNUMBER('Council Entry'!T$9)),MAX(MIN('Council Entry'!T134,'Council Entry'!T$9),'Council Entry'!T$8),'Council Entry'!T134)),IF('Council Entry'!T$4="Exponential",EXP(IF(AND(ISNUMBER('Council Entry'!T$8),ISNUMBER('Council Entry'!T$9)),MAX(MIN('Council Entry'!T134,'Council Entry'!T$9),'Council Entry'!T$8),'Council Entry'!T134)),IF(AND(ISNUMBER('Council Entry'!T$8),ISNUMBER('Council Entry'!T$9)),MAX(MIN('Council Entry'!T134,'Council Entry'!T$9),'Council Entry'!T$8),'Council Entry'!T134))))-'Council Entry'!T$5)/('Council Entry'!T$6-'Council Entry'!T$5)),1))),"No data"))</f>
        <v/>
      </c>
      <c r="U134" s="13">
        <f>IF('Council Entry'!U134="","",IFERROR(MAX(0,MIN(10,ROUND(IF('Council Entry'!U$7="Decrease Risk",10-10*((IF('Council Entry'!U$4="Logarithm",LN(0.001+IF(AND(ISNUMBER('Council Entry'!U$8),ISNUMBER('Council Entry'!U$9)),MAX(MIN('Council Entry'!U134,'Council Entry'!U$9),'Council Entry'!U$8),'Council Entry'!U134)),IF('Council Entry'!U$4="Exponential",EXP(IF(AND(ISNUMBER('Council Entry'!U$8),ISNUMBER('Council Entry'!U$9)),MAX(MIN('Council Entry'!U134,'Council Entry'!U$9),'Council Entry'!U$8),'Council Entry'!U134)),IF(AND(ISNUMBER('Council Entry'!U$8),ISNUMBER('Council Entry'!U$9)),MAX(MIN('Council Entry'!U134,'Council Entry'!U$9),'Council Entry'!U$8),'Council Entry'!U134))))-'Council Entry'!U$5)/('Council Entry'!U$6-'Council Entry'!U$5),10*((IF('Council Entry'!U$4="Logarithm",LN(0.001+IF(AND(ISNUMBER('Council Entry'!U$8),ISNUMBER('Council Entry'!U$9)),MAX(MIN('Council Entry'!U134,'Council Entry'!U$9),'Council Entry'!U$8),'Council Entry'!U134)),IF('Council Entry'!U$4="Exponential",EXP(IF(AND(ISNUMBER('Council Entry'!U$8),ISNUMBER('Council Entry'!U$9)),MAX(MIN('Council Entry'!U134,'Council Entry'!U$9),'Council Entry'!U$8),'Council Entry'!U134)),IF(AND(ISNUMBER('Council Entry'!U$8),ISNUMBER('Council Entry'!U$9)),MAX(MIN('Council Entry'!U134,'Council Entry'!U$9),'Council Entry'!U$8),'Council Entry'!U134))))-'Council Entry'!U$5)/('Council Entry'!U$6-'Council Entry'!U$5)),1))),"No data"))</f>
        <v/>
      </c>
      <c r="V134" s="13">
        <f>IF('Council Entry'!V134="","",IFERROR(MAX(0,MIN(10,ROUND(IF('Council Entry'!V$7="Decrease Risk",10-10*((IF('Council Entry'!V$4="Logarithm",LN(0.001+IF(AND(ISNUMBER('Council Entry'!V$8),ISNUMBER('Council Entry'!V$9)),MAX(MIN('Council Entry'!V134,'Council Entry'!V$9),'Council Entry'!V$8),'Council Entry'!V134)),IF('Council Entry'!V$4="Exponential",EXP(IF(AND(ISNUMBER('Council Entry'!V$8),ISNUMBER('Council Entry'!V$9)),MAX(MIN('Council Entry'!V134,'Council Entry'!V$9),'Council Entry'!V$8),'Council Entry'!V134)),IF(AND(ISNUMBER('Council Entry'!V$8),ISNUMBER('Council Entry'!V$9)),MAX(MIN('Council Entry'!V134,'Council Entry'!V$9),'Council Entry'!V$8),'Council Entry'!V134))))-'Council Entry'!V$5)/('Council Entry'!V$6-'Council Entry'!V$5),10*((IF('Council Entry'!V$4="Logarithm",LN(0.001+IF(AND(ISNUMBER('Council Entry'!V$8),ISNUMBER('Council Entry'!V$9)),MAX(MIN('Council Entry'!V134,'Council Entry'!V$9),'Council Entry'!V$8),'Council Entry'!V134)),IF('Council Entry'!V$4="Exponential",EXP(IF(AND(ISNUMBER('Council Entry'!V$8),ISNUMBER('Council Entry'!V$9)),MAX(MIN('Council Entry'!V134,'Council Entry'!V$9),'Council Entry'!V$8),'Council Entry'!V134)),IF(AND(ISNUMBER('Council Entry'!V$8),ISNUMBER('Council Entry'!V$9)),MAX(MIN('Council Entry'!V134,'Council Entry'!V$9),'Council Entry'!V$8),'Council Entry'!V134))))-'Council Entry'!V$5)/('Council Entry'!V$6-'Council Entry'!V$5)),1))),"No data"))</f>
        <v/>
      </c>
      <c r="W134" s="13">
        <f>IF('Council Entry'!W134="","",IFERROR(MAX(0,MIN(10,ROUND(IF('Council Entry'!W$7="Decrease Risk",10-10*((IF('Council Entry'!W$4="Logarithm",LN(0.001+IF(AND(ISNUMBER('Council Entry'!W$8),ISNUMBER('Council Entry'!W$9)),MAX(MIN('Council Entry'!W134,'Council Entry'!W$9),'Council Entry'!W$8),'Council Entry'!W134)),IF('Council Entry'!W$4="Exponential",EXP(IF(AND(ISNUMBER('Council Entry'!W$8),ISNUMBER('Council Entry'!W$9)),MAX(MIN('Council Entry'!W134,'Council Entry'!W$9),'Council Entry'!W$8),'Council Entry'!W134)),IF(AND(ISNUMBER('Council Entry'!W$8),ISNUMBER('Council Entry'!W$9)),MAX(MIN('Council Entry'!W134,'Council Entry'!W$9),'Council Entry'!W$8),'Council Entry'!W134))))-'Council Entry'!W$5)/('Council Entry'!W$6-'Council Entry'!W$5),10*((IF('Council Entry'!W$4="Logarithm",LN(0.001+IF(AND(ISNUMBER('Council Entry'!W$8),ISNUMBER('Council Entry'!W$9)),MAX(MIN('Council Entry'!W134,'Council Entry'!W$9),'Council Entry'!W$8),'Council Entry'!W134)),IF('Council Entry'!W$4="Exponential",EXP(IF(AND(ISNUMBER('Council Entry'!W$8),ISNUMBER('Council Entry'!W$9)),MAX(MIN('Council Entry'!W134,'Council Entry'!W$9),'Council Entry'!W$8),'Council Entry'!W134)),IF(AND(ISNUMBER('Council Entry'!W$8),ISNUMBER('Council Entry'!W$9)),MAX(MIN('Council Entry'!W134,'Council Entry'!W$9),'Council Entry'!W$8),'Council Entry'!W134))))-'Council Entry'!W$5)/('Council Entry'!W$6-'Council Entry'!W$5)),1))),"No data"))</f>
        <v/>
      </c>
      <c r="X134" s="13">
        <f>IF('Council Entry'!X134="","",IFERROR(MAX(0,MIN(10,ROUND(IF('Council Entry'!X$7="Decrease Risk",10-10*((IF('Council Entry'!X$4="Logarithm",LN(0.001+IF(AND(ISNUMBER('Council Entry'!X$8),ISNUMBER('Council Entry'!X$9)),MAX(MIN('Council Entry'!X134,'Council Entry'!X$9),'Council Entry'!X$8),'Council Entry'!X134)),IF('Council Entry'!X$4="Exponential",EXP(IF(AND(ISNUMBER('Council Entry'!X$8),ISNUMBER('Council Entry'!X$9)),MAX(MIN('Council Entry'!X134,'Council Entry'!X$9),'Council Entry'!X$8),'Council Entry'!X134)),IF(AND(ISNUMBER('Council Entry'!X$8),ISNUMBER('Council Entry'!X$9)),MAX(MIN('Council Entry'!X134,'Council Entry'!X$9),'Council Entry'!X$8),'Council Entry'!X134))))-'Council Entry'!X$5)/('Council Entry'!X$6-'Council Entry'!X$5),10*((IF('Council Entry'!X$4="Logarithm",LN(0.001+IF(AND(ISNUMBER('Council Entry'!X$8),ISNUMBER('Council Entry'!X$9)),MAX(MIN('Council Entry'!X134,'Council Entry'!X$9),'Council Entry'!X$8),'Council Entry'!X134)),IF('Council Entry'!X$4="Exponential",EXP(IF(AND(ISNUMBER('Council Entry'!X$8),ISNUMBER('Council Entry'!X$9)),MAX(MIN('Council Entry'!X134,'Council Entry'!X$9),'Council Entry'!X$8),'Council Entry'!X134)),IF(AND(ISNUMBER('Council Entry'!X$8),ISNUMBER('Council Entry'!X$9)),MAX(MIN('Council Entry'!X134,'Council Entry'!X$9),'Council Entry'!X$8),'Council Entry'!X134))))-'Council Entry'!X$5)/('Council Entry'!X$6-'Council Entry'!X$5)),1))),"No data"))</f>
        <v/>
      </c>
      <c r="Y134" s="13">
        <f>IF('Council Entry'!Y134="","",IFERROR(MAX(0,MIN(10,ROUND(IF('Council Entry'!Y$7="Decrease Risk",10-10*((IF('Council Entry'!Y$4="Logarithm",LN(0.001+IF(AND(ISNUMBER('Council Entry'!Y$8),ISNUMBER('Council Entry'!Y$9)),MAX(MIN('Council Entry'!Y134,'Council Entry'!Y$9),'Council Entry'!Y$8),'Council Entry'!Y134)),IF('Council Entry'!Y$4="Exponential",EXP(IF(AND(ISNUMBER('Council Entry'!Y$8),ISNUMBER('Council Entry'!Y$9)),MAX(MIN('Council Entry'!Y134,'Council Entry'!Y$9),'Council Entry'!Y$8),'Council Entry'!Y134)),IF(AND(ISNUMBER('Council Entry'!Y$8),ISNUMBER('Council Entry'!Y$9)),MAX(MIN('Council Entry'!Y134,'Council Entry'!Y$9),'Council Entry'!Y$8),'Council Entry'!Y134))))-'Council Entry'!Y$5)/('Council Entry'!Y$6-'Council Entry'!Y$5),10*((IF('Council Entry'!Y$4="Logarithm",LN(0.001+IF(AND(ISNUMBER('Council Entry'!Y$8),ISNUMBER('Council Entry'!Y$9)),MAX(MIN('Council Entry'!Y134,'Council Entry'!Y$9),'Council Entry'!Y$8),'Council Entry'!Y134)),IF('Council Entry'!Y$4="Exponential",EXP(IF(AND(ISNUMBER('Council Entry'!Y$8),ISNUMBER('Council Entry'!Y$9)),MAX(MIN('Council Entry'!Y134,'Council Entry'!Y$9),'Council Entry'!Y$8),'Council Entry'!Y134)),IF(AND(ISNUMBER('Council Entry'!Y$8),ISNUMBER('Council Entry'!Y$9)),MAX(MIN('Council Entry'!Y134,'Council Entry'!Y$9),'Council Entry'!Y$8),'Council Entry'!Y134))))-'Council Entry'!Y$5)/('Council Entry'!Y$6-'Council Entry'!Y$5)),1))),"No data"))</f>
        <v/>
      </c>
      <c r="Z134" s="13">
        <f>IF('Council Entry'!Z134="","",IFERROR(MAX(0,MIN(10,ROUND(IF('Council Entry'!Z$7="Decrease Risk",10-10*((IF('Council Entry'!Z$4="Logarithm",LN(0.001+IF(AND(ISNUMBER('Council Entry'!Z$8),ISNUMBER('Council Entry'!Z$9)),MAX(MIN('Council Entry'!Z134,'Council Entry'!Z$9),'Council Entry'!Z$8),'Council Entry'!Z134)),IF('Council Entry'!Z$4="Exponential",EXP(IF(AND(ISNUMBER('Council Entry'!Z$8),ISNUMBER('Council Entry'!Z$9)),MAX(MIN('Council Entry'!Z134,'Council Entry'!Z$9),'Council Entry'!Z$8),'Council Entry'!Z134)),IF(AND(ISNUMBER('Council Entry'!Z$8),ISNUMBER('Council Entry'!Z$9)),MAX(MIN('Council Entry'!Z134,'Council Entry'!Z$9),'Council Entry'!Z$8),'Council Entry'!Z134))))-'Council Entry'!Z$5)/('Council Entry'!Z$6-'Council Entry'!Z$5),10*((IF('Council Entry'!Z$4="Logarithm",LN(0.001+IF(AND(ISNUMBER('Council Entry'!Z$8),ISNUMBER('Council Entry'!Z$9)),MAX(MIN('Council Entry'!Z134,'Council Entry'!Z$9),'Council Entry'!Z$8),'Council Entry'!Z134)),IF('Council Entry'!Z$4="Exponential",EXP(IF(AND(ISNUMBER('Council Entry'!Z$8),ISNUMBER('Council Entry'!Z$9)),MAX(MIN('Council Entry'!Z134,'Council Entry'!Z$9),'Council Entry'!Z$8),'Council Entry'!Z134)),IF(AND(ISNUMBER('Council Entry'!Z$8),ISNUMBER('Council Entry'!Z$9)),MAX(MIN('Council Entry'!Z134,'Council Entry'!Z$9),'Council Entry'!Z$8),'Council Entry'!Z134))))-'Council Entry'!Z$5)/('Council Entry'!Z$6-'Council Entry'!Z$5)),1))),"No data"))</f>
        <v/>
      </c>
      <c r="AA134" s="13">
        <f>IF('Council Entry'!AA134="","",IFERROR(MAX(0,MIN(10,ROUND(IF('Council Entry'!AA$7="Decrease Risk",10-10*((IF('Council Entry'!AA$4="Logarithm",LN(0.001+IF(AND(ISNUMBER('Council Entry'!AA$8),ISNUMBER('Council Entry'!AA$9)),MAX(MIN('Council Entry'!AA134,'Council Entry'!AA$9),'Council Entry'!AA$8),'Council Entry'!AA134)),IF('Council Entry'!AA$4="Exponential",EXP(IF(AND(ISNUMBER('Council Entry'!AA$8),ISNUMBER('Council Entry'!AA$9)),MAX(MIN('Council Entry'!AA134,'Council Entry'!AA$9),'Council Entry'!AA$8),'Council Entry'!AA134)),IF(AND(ISNUMBER('Council Entry'!AA$8),ISNUMBER('Council Entry'!AA$9)),MAX(MIN('Council Entry'!AA134,'Council Entry'!AA$9),'Council Entry'!AA$8),'Council Entry'!AA134))))-'Council Entry'!AA$5)/('Council Entry'!AA$6-'Council Entry'!AA$5),10*((IF('Council Entry'!AA$4="Logarithm",LN(0.001+IF(AND(ISNUMBER('Council Entry'!AA$8),ISNUMBER('Council Entry'!AA$9)),MAX(MIN('Council Entry'!AA134,'Council Entry'!AA$9),'Council Entry'!AA$8),'Council Entry'!AA134)),IF('Council Entry'!AA$4="Exponential",EXP(IF(AND(ISNUMBER('Council Entry'!AA$8),ISNUMBER('Council Entry'!AA$9)),MAX(MIN('Council Entry'!AA134,'Council Entry'!AA$9),'Council Entry'!AA$8),'Council Entry'!AA134)),IF(AND(ISNUMBER('Council Entry'!AA$8),ISNUMBER('Council Entry'!AA$9)),MAX(MIN('Council Entry'!AA134,'Council Entry'!AA$9),'Council Entry'!AA$8),'Council Entry'!AA134))))-'Council Entry'!AA$5)/('Council Entry'!AA$6-'Council Entry'!AA$5)),1))),"No data"))</f>
        <v/>
      </c>
      <c r="AB134" s="13">
        <f>IF('Council Entry'!AB134="","",IFERROR(MAX(0,MIN(10,ROUND(IF('Council Entry'!AB$7="Decrease Risk",10-10*((IF('Council Entry'!AB$4="Logarithm",LN(0.001+IF(AND(ISNUMBER('Council Entry'!AB$8),ISNUMBER('Council Entry'!AB$9)),MAX(MIN('Council Entry'!AB134,'Council Entry'!AB$9),'Council Entry'!AB$8),'Council Entry'!AB134)),IF('Council Entry'!AB$4="Exponential",EXP(IF(AND(ISNUMBER('Council Entry'!AB$8),ISNUMBER('Council Entry'!AB$9)),MAX(MIN('Council Entry'!AB134,'Council Entry'!AB$9),'Council Entry'!AB$8),'Council Entry'!AB134)),IF(AND(ISNUMBER('Council Entry'!AB$8),ISNUMBER('Council Entry'!AB$9)),MAX(MIN('Council Entry'!AB134,'Council Entry'!AB$9),'Council Entry'!AB$8),'Council Entry'!AB134))))-'Council Entry'!AB$5)/('Council Entry'!AB$6-'Council Entry'!AB$5),10*((IF('Council Entry'!AB$4="Logarithm",LN(0.001+IF(AND(ISNUMBER('Council Entry'!AB$8),ISNUMBER('Council Entry'!AB$9)),MAX(MIN('Council Entry'!AB134,'Council Entry'!AB$9),'Council Entry'!AB$8),'Council Entry'!AB134)),IF('Council Entry'!AB$4="Exponential",EXP(IF(AND(ISNUMBER('Council Entry'!AB$8),ISNUMBER('Council Entry'!AB$9)),MAX(MIN('Council Entry'!AB134,'Council Entry'!AB$9),'Council Entry'!AB$8),'Council Entry'!AB134)),IF(AND(ISNUMBER('Council Entry'!AB$8),ISNUMBER('Council Entry'!AB$9)),MAX(MIN('Council Entry'!AB134,'Council Entry'!AB$9),'Council Entry'!AB$8),'Council Entry'!AB134))))-'Council Entry'!AB$5)/('Council Entry'!AB$6-'Council Entry'!AB$5)),1))),"No data"))</f>
        <v/>
      </c>
      <c r="AC134" s="13">
        <f>IF('Council Entry'!AC134="","",IFERROR(MAX(0,MIN(10,ROUND(IF('Council Entry'!AC$7="Decrease Risk",10-10*((IF('Council Entry'!AC$4="Logarithm",LN(0.001+IF(AND(ISNUMBER('Council Entry'!AC$8),ISNUMBER('Council Entry'!AC$9)),MAX(MIN('Council Entry'!AC134,'Council Entry'!AC$9),'Council Entry'!AC$8),'Council Entry'!AC134)),IF('Council Entry'!AC$4="Exponential",EXP(IF(AND(ISNUMBER('Council Entry'!AC$8),ISNUMBER('Council Entry'!AC$9)),MAX(MIN('Council Entry'!AC134,'Council Entry'!AC$9),'Council Entry'!AC$8),'Council Entry'!AC134)),IF(AND(ISNUMBER('Council Entry'!AC$8),ISNUMBER('Council Entry'!AC$9)),MAX(MIN('Council Entry'!AC134,'Council Entry'!AC$9),'Council Entry'!AC$8),'Council Entry'!AC134))))-'Council Entry'!AC$5)/('Council Entry'!AC$6-'Council Entry'!AC$5),10*((IF('Council Entry'!AC$4="Logarithm",LN(0.001+IF(AND(ISNUMBER('Council Entry'!AC$8),ISNUMBER('Council Entry'!AC$9)),MAX(MIN('Council Entry'!AC134,'Council Entry'!AC$9),'Council Entry'!AC$8),'Council Entry'!AC134)),IF('Council Entry'!AC$4="Exponential",EXP(IF(AND(ISNUMBER('Council Entry'!AC$8),ISNUMBER('Council Entry'!AC$9)),MAX(MIN('Council Entry'!AC134,'Council Entry'!AC$9),'Council Entry'!AC$8),'Council Entry'!AC134)),IF(AND(ISNUMBER('Council Entry'!AC$8),ISNUMBER('Council Entry'!AC$9)),MAX(MIN('Council Entry'!AC134,'Council Entry'!AC$9),'Council Entry'!AC$8),'Council Entry'!AC134))))-'Council Entry'!AC$5)/('Council Entry'!AC$6-'Council Entry'!AC$5)),1))),"No data"))</f>
        <v/>
      </c>
      <c r="AD134" s="13">
        <f>IF('Council Entry'!AD134="","",IFERROR(MAX(0,MIN(10,ROUND(IF('Council Entry'!AD$7="Decrease Risk",10-10*((IF('Council Entry'!AD$4="Logarithm",LN(0.001+IF(AND(ISNUMBER('Council Entry'!AD$8),ISNUMBER('Council Entry'!AD$9)),MAX(MIN('Council Entry'!AD134,'Council Entry'!AD$9),'Council Entry'!AD$8),'Council Entry'!AD134)),IF('Council Entry'!AD$4="Exponential",EXP(IF(AND(ISNUMBER('Council Entry'!AD$8),ISNUMBER('Council Entry'!AD$9)),MAX(MIN('Council Entry'!AD134,'Council Entry'!AD$9),'Council Entry'!AD$8),'Council Entry'!AD134)),IF(AND(ISNUMBER('Council Entry'!AD$8),ISNUMBER('Council Entry'!AD$9)),MAX(MIN('Council Entry'!AD134,'Council Entry'!AD$9),'Council Entry'!AD$8),'Council Entry'!AD134))))-'Council Entry'!AD$5)/('Council Entry'!AD$6-'Council Entry'!AD$5),10*((IF('Council Entry'!AD$4="Logarithm",LN(0.001+IF(AND(ISNUMBER('Council Entry'!AD$8),ISNUMBER('Council Entry'!AD$9)),MAX(MIN('Council Entry'!AD134,'Council Entry'!AD$9),'Council Entry'!AD$8),'Council Entry'!AD134)),IF('Council Entry'!AD$4="Exponential",EXP(IF(AND(ISNUMBER('Council Entry'!AD$8),ISNUMBER('Council Entry'!AD$9)),MAX(MIN('Council Entry'!AD134,'Council Entry'!AD$9),'Council Entry'!AD$8),'Council Entry'!AD134)),IF(AND(ISNUMBER('Council Entry'!AD$8),ISNUMBER('Council Entry'!AD$9)),MAX(MIN('Council Entry'!AD134,'Council Entry'!AD$9),'Council Entry'!AD$8),'Council Entry'!AD134))))-'Council Entry'!AD$5)/('Council Entry'!AD$6-'Council Entry'!AD$5)),1))),"No data"))</f>
        <v/>
      </c>
      <c r="AE134" s="13">
        <f>IF('Council Entry'!AE134="","",IFERROR(MAX(0,MIN(10,ROUND(IF('Council Entry'!AE$7="Decrease Risk",10-10*((IF('Council Entry'!AE$4="Logarithm",LN(0.001+IF(AND(ISNUMBER('Council Entry'!AE$8),ISNUMBER('Council Entry'!AE$9)),MAX(MIN('Council Entry'!AE134,'Council Entry'!AE$9),'Council Entry'!AE$8),'Council Entry'!AE134)),IF('Council Entry'!AE$4="Exponential",EXP(IF(AND(ISNUMBER('Council Entry'!AE$8),ISNUMBER('Council Entry'!AE$9)),MAX(MIN('Council Entry'!AE134,'Council Entry'!AE$9),'Council Entry'!AE$8),'Council Entry'!AE134)),IF(AND(ISNUMBER('Council Entry'!AE$8),ISNUMBER('Council Entry'!AE$9)),MAX(MIN('Council Entry'!AE134,'Council Entry'!AE$9),'Council Entry'!AE$8),'Council Entry'!AE134))))-'Council Entry'!AE$5)/('Council Entry'!AE$6-'Council Entry'!AE$5),10*((IF('Council Entry'!AE$4="Logarithm",LN(0.001+IF(AND(ISNUMBER('Council Entry'!AE$8),ISNUMBER('Council Entry'!AE$9)),MAX(MIN('Council Entry'!AE134,'Council Entry'!AE$9),'Council Entry'!AE$8),'Council Entry'!AE134)),IF('Council Entry'!AE$4="Exponential",EXP(IF(AND(ISNUMBER('Council Entry'!AE$8),ISNUMBER('Council Entry'!AE$9)),MAX(MIN('Council Entry'!AE134,'Council Entry'!AE$9),'Council Entry'!AE$8),'Council Entry'!AE134)),IF(AND(ISNUMBER('Council Entry'!AE$8),ISNUMBER('Council Entry'!AE$9)),MAX(MIN('Council Entry'!AE134,'Council Entry'!AE$9),'Council Entry'!AE$8),'Council Entry'!AE134))))-'Council Entry'!AE$5)/('Council Entry'!AE$6-'Council Entry'!AE$5)),1))),"No data"))</f>
        <v/>
      </c>
      <c r="AF134" s="13">
        <f>IF('Council Entry'!AF134="","",IFERROR(MAX(0,MIN(10,ROUND(IF('Council Entry'!AF$7="Decrease Risk",10-10*((IF('Council Entry'!AF$4="Logarithm",LN(0.001+IF(AND(ISNUMBER('Council Entry'!AF$8),ISNUMBER('Council Entry'!AF$9)),MAX(MIN('Council Entry'!AF134,'Council Entry'!AF$9),'Council Entry'!AF$8),'Council Entry'!AF134)),IF('Council Entry'!AF$4="Exponential",EXP(IF(AND(ISNUMBER('Council Entry'!AF$8),ISNUMBER('Council Entry'!AF$9)),MAX(MIN('Council Entry'!AF134,'Council Entry'!AF$9),'Council Entry'!AF$8),'Council Entry'!AF134)),IF(AND(ISNUMBER('Council Entry'!AF$8),ISNUMBER('Council Entry'!AF$9)),MAX(MIN('Council Entry'!AF134,'Council Entry'!AF$9),'Council Entry'!AF$8),'Council Entry'!AF134))))-'Council Entry'!AF$5)/('Council Entry'!AF$6-'Council Entry'!AF$5),10*((IF('Council Entry'!AF$4="Logarithm",LN(0.001+IF(AND(ISNUMBER('Council Entry'!AF$8),ISNUMBER('Council Entry'!AF$9)),MAX(MIN('Council Entry'!AF134,'Council Entry'!AF$9),'Council Entry'!AF$8),'Council Entry'!AF134)),IF('Council Entry'!AF$4="Exponential",EXP(IF(AND(ISNUMBER('Council Entry'!AF$8),ISNUMBER('Council Entry'!AF$9)),MAX(MIN('Council Entry'!AF134,'Council Entry'!AF$9),'Council Entry'!AF$8),'Council Entry'!AF134)),IF(AND(ISNUMBER('Council Entry'!AF$8),ISNUMBER('Council Entry'!AF$9)),MAX(MIN('Council Entry'!AF134,'Council Entry'!AF$9),'Council Entry'!AF$8),'Council Entry'!AF134))))-'Council Entry'!AF$5)/('Council Entry'!AF$6-'Council Entry'!AF$5)),1))),"No data"))</f>
        <v/>
      </c>
      <c r="AG134" s="13">
        <f>IF('Council Entry'!AG134="","",IFERROR(MAX(0,MIN(10,ROUND(IF('Council Entry'!AG$7="Decrease Risk",10-10*((IF('Council Entry'!AG$4="Logarithm",LN(0.001+IF(AND(ISNUMBER('Council Entry'!AG$8),ISNUMBER('Council Entry'!AG$9)),MAX(MIN('Council Entry'!AG134,'Council Entry'!AG$9),'Council Entry'!AG$8),'Council Entry'!AG134)),IF('Council Entry'!AG$4="Exponential",EXP(IF(AND(ISNUMBER('Council Entry'!AG$8),ISNUMBER('Council Entry'!AG$9)),MAX(MIN('Council Entry'!AG134,'Council Entry'!AG$9),'Council Entry'!AG$8),'Council Entry'!AG134)),IF(AND(ISNUMBER('Council Entry'!AG$8),ISNUMBER('Council Entry'!AG$9)),MAX(MIN('Council Entry'!AG134,'Council Entry'!AG$9),'Council Entry'!AG$8),'Council Entry'!AG134))))-'Council Entry'!AG$5)/('Council Entry'!AG$6-'Council Entry'!AG$5),10*((IF('Council Entry'!AG$4="Logarithm",LN(0.001+IF(AND(ISNUMBER('Council Entry'!AG$8),ISNUMBER('Council Entry'!AG$9)),MAX(MIN('Council Entry'!AG134,'Council Entry'!AG$9),'Council Entry'!AG$8),'Council Entry'!AG134)),IF('Council Entry'!AG$4="Exponential",EXP(IF(AND(ISNUMBER('Council Entry'!AG$8),ISNUMBER('Council Entry'!AG$9)),MAX(MIN('Council Entry'!AG134,'Council Entry'!AG$9),'Council Entry'!AG$8),'Council Entry'!AG134)),IF(AND(ISNUMBER('Council Entry'!AG$8),ISNUMBER('Council Entry'!AG$9)),MAX(MIN('Council Entry'!AG134,'Council Entry'!AG$9),'Council Entry'!AG$8),'Council Entry'!AG134))))-'Council Entry'!AG$5)/('Council Entry'!AG$6-'Council Entry'!AG$5)),1))),"No data"))</f>
        <v/>
      </c>
      <c r="AH134" s="13">
        <f>IF('Council Entry'!AH134="","",IFERROR(MAX(0,MIN(10,ROUND(IF('Council Entry'!AH$7="Decrease Risk",10-10*((IF('Council Entry'!AH$4="Logarithm",LN(0.001+IF(AND(ISNUMBER('Council Entry'!AH$8),ISNUMBER('Council Entry'!AH$9)),MAX(MIN('Council Entry'!AH134,'Council Entry'!AH$9),'Council Entry'!AH$8),'Council Entry'!AH134)),IF('Council Entry'!AH$4="Exponential",EXP(IF(AND(ISNUMBER('Council Entry'!AH$8),ISNUMBER('Council Entry'!AH$9)),MAX(MIN('Council Entry'!AH134,'Council Entry'!AH$9),'Council Entry'!AH$8),'Council Entry'!AH134)),IF(AND(ISNUMBER('Council Entry'!AH$8),ISNUMBER('Council Entry'!AH$9)),MAX(MIN('Council Entry'!AH134,'Council Entry'!AH$9),'Council Entry'!AH$8),'Council Entry'!AH134))))-'Council Entry'!AH$5)/('Council Entry'!AH$6-'Council Entry'!AH$5),10*((IF('Council Entry'!AH$4="Logarithm",LN(0.001+IF(AND(ISNUMBER('Council Entry'!AH$8),ISNUMBER('Council Entry'!AH$9)),MAX(MIN('Council Entry'!AH134,'Council Entry'!AH$9),'Council Entry'!AH$8),'Council Entry'!AH134)),IF('Council Entry'!AH$4="Exponential",EXP(IF(AND(ISNUMBER('Council Entry'!AH$8),ISNUMBER('Council Entry'!AH$9)),MAX(MIN('Council Entry'!AH134,'Council Entry'!AH$9),'Council Entry'!AH$8),'Council Entry'!AH134)),IF(AND(ISNUMBER('Council Entry'!AH$8),ISNUMBER('Council Entry'!AH$9)),MAX(MIN('Council Entry'!AH134,'Council Entry'!AH$9),'Council Entry'!AH$8),'Council Entry'!AH134))))-'Council Entry'!AH$5)/('Council Entry'!AH$6-'Council Entry'!AH$5)),1))),"No data"))</f>
        <v/>
      </c>
      <c r="AI134" s="13">
        <f>IF('Council Entry'!AI134="","",IFERROR(MAX(0,MIN(10,ROUND(IF('Council Entry'!AI$7="Decrease Risk",10-10*((IF('Council Entry'!AI$4="Logarithm",LN(0.001+IF(AND(ISNUMBER('Council Entry'!AI$8),ISNUMBER('Council Entry'!AI$9)),MAX(MIN('Council Entry'!AI134,'Council Entry'!AI$9),'Council Entry'!AI$8),'Council Entry'!AI134)),IF('Council Entry'!AI$4="Exponential",EXP(IF(AND(ISNUMBER('Council Entry'!AI$8),ISNUMBER('Council Entry'!AI$9)),MAX(MIN('Council Entry'!AI134,'Council Entry'!AI$9),'Council Entry'!AI$8),'Council Entry'!AI134)),IF(AND(ISNUMBER('Council Entry'!AI$8),ISNUMBER('Council Entry'!AI$9)),MAX(MIN('Council Entry'!AI134,'Council Entry'!AI$9),'Council Entry'!AI$8),'Council Entry'!AI134))))-'Council Entry'!AI$5)/('Council Entry'!AI$6-'Council Entry'!AI$5),10*((IF('Council Entry'!AI$4="Logarithm",LN(0.001+IF(AND(ISNUMBER('Council Entry'!AI$8),ISNUMBER('Council Entry'!AI$9)),MAX(MIN('Council Entry'!AI134,'Council Entry'!AI$9),'Council Entry'!AI$8),'Council Entry'!AI134)),IF('Council Entry'!AI$4="Exponential",EXP(IF(AND(ISNUMBER('Council Entry'!AI$8),ISNUMBER('Council Entry'!AI$9)),MAX(MIN('Council Entry'!AI134,'Council Entry'!AI$9),'Council Entry'!AI$8),'Council Entry'!AI134)),IF(AND(ISNUMBER('Council Entry'!AI$8),ISNUMBER('Council Entry'!AI$9)),MAX(MIN('Council Entry'!AI134,'Council Entry'!AI$9),'Council Entry'!AI$8),'Council Entry'!AI134))))-'Council Entry'!AI$5)/('Council Entry'!AI$6-'Council Entry'!AI$5)),1))),"No data"))</f>
        <v/>
      </c>
      <c r="AJ134" s="13">
        <f>IF('Council Entry'!AJ134="","",IFERROR(MAX(0,MIN(10,ROUND(IF('Council Entry'!AJ$7="Decrease Risk",10-10*((IF('Council Entry'!AJ$4="Logarithm",LN(0.001+IF(AND(ISNUMBER('Council Entry'!AJ$8),ISNUMBER('Council Entry'!AJ$9)),MAX(MIN('Council Entry'!AJ134,'Council Entry'!AJ$9),'Council Entry'!AJ$8),'Council Entry'!AJ134)),IF('Council Entry'!AJ$4="Exponential",EXP(IF(AND(ISNUMBER('Council Entry'!AJ$8),ISNUMBER('Council Entry'!AJ$9)),MAX(MIN('Council Entry'!AJ134,'Council Entry'!AJ$9),'Council Entry'!AJ$8),'Council Entry'!AJ134)),IF(AND(ISNUMBER('Council Entry'!AJ$8),ISNUMBER('Council Entry'!AJ$9)),MAX(MIN('Council Entry'!AJ134,'Council Entry'!AJ$9),'Council Entry'!AJ$8),'Council Entry'!AJ134))))-'Council Entry'!AJ$5)/('Council Entry'!AJ$6-'Council Entry'!AJ$5),10*((IF('Council Entry'!AJ$4="Logarithm",LN(0.001+IF(AND(ISNUMBER('Council Entry'!AJ$8),ISNUMBER('Council Entry'!AJ$9)),MAX(MIN('Council Entry'!AJ134,'Council Entry'!AJ$9),'Council Entry'!AJ$8),'Council Entry'!AJ134)),IF('Council Entry'!AJ$4="Exponential",EXP(IF(AND(ISNUMBER('Council Entry'!AJ$8),ISNUMBER('Council Entry'!AJ$9)),MAX(MIN('Council Entry'!AJ134,'Council Entry'!AJ$9),'Council Entry'!AJ$8),'Council Entry'!AJ134)),IF(AND(ISNUMBER('Council Entry'!AJ$8),ISNUMBER('Council Entry'!AJ$9)),MAX(MIN('Council Entry'!AJ134,'Council Entry'!AJ$9),'Council Entry'!AJ$8),'Council Entry'!AJ134))))-'Council Entry'!AJ$5)/('Council Entry'!AJ$6-'Council Entry'!AJ$5)),1))),"No data"))</f>
        <v/>
      </c>
      <c r="AK134" s="13">
        <f>IF('Council Entry'!AK134="","",IFERROR(MAX(0,MIN(10,ROUND(IF('Council Entry'!AK$7="Decrease Risk",10-10*((IF('Council Entry'!AK$4="Logarithm",LN(0.001+IF(AND(ISNUMBER('Council Entry'!AK$8),ISNUMBER('Council Entry'!AK$9)),MAX(MIN('Council Entry'!AK134,'Council Entry'!AK$9),'Council Entry'!AK$8),'Council Entry'!AK134)),IF('Council Entry'!AK$4="Exponential",EXP(IF(AND(ISNUMBER('Council Entry'!AK$8),ISNUMBER('Council Entry'!AK$9)),MAX(MIN('Council Entry'!AK134,'Council Entry'!AK$9),'Council Entry'!AK$8),'Council Entry'!AK134)),IF(AND(ISNUMBER('Council Entry'!AK$8),ISNUMBER('Council Entry'!AK$9)),MAX(MIN('Council Entry'!AK134,'Council Entry'!AK$9),'Council Entry'!AK$8),'Council Entry'!AK134))))-'Council Entry'!AK$5)/('Council Entry'!AK$6-'Council Entry'!AK$5),10*((IF('Council Entry'!AK$4="Logarithm",LN(0.001+IF(AND(ISNUMBER('Council Entry'!AK$8),ISNUMBER('Council Entry'!AK$9)),MAX(MIN('Council Entry'!AK134,'Council Entry'!AK$9),'Council Entry'!AK$8),'Council Entry'!AK134)),IF('Council Entry'!AK$4="Exponential",EXP(IF(AND(ISNUMBER('Council Entry'!AK$8),ISNUMBER('Council Entry'!AK$9)),MAX(MIN('Council Entry'!AK134,'Council Entry'!AK$9),'Council Entry'!AK$8),'Council Entry'!AK134)),IF(AND(ISNUMBER('Council Entry'!AK$8),ISNUMBER('Council Entry'!AK$9)),MAX(MIN('Council Entry'!AK134,'Council Entry'!AK$9),'Council Entry'!AK$8),'Council Entry'!AK134))))-'Council Entry'!AK$5)/('Council Entry'!AK$6-'Council Entry'!AK$5)),1))),"No data"))</f>
        <v/>
      </c>
      <c r="AL134" s="13">
        <f>IF('Council Entry'!AL134="","",IFERROR(MAX(0,MIN(10,ROUND(IF('Council Entry'!AL$7="Decrease Risk",10-10*((IF('Council Entry'!AL$4="Logarithm",LN(0.001+IF(AND(ISNUMBER('Council Entry'!AL$8),ISNUMBER('Council Entry'!AL$9)),MAX(MIN('Council Entry'!AL134,'Council Entry'!AL$9),'Council Entry'!AL$8),'Council Entry'!AL134)),IF('Council Entry'!AL$4="Exponential",EXP(IF(AND(ISNUMBER('Council Entry'!AL$8),ISNUMBER('Council Entry'!AL$9)),MAX(MIN('Council Entry'!AL134,'Council Entry'!AL$9),'Council Entry'!AL$8),'Council Entry'!AL134)),IF(AND(ISNUMBER('Council Entry'!AL$8),ISNUMBER('Council Entry'!AL$9)),MAX(MIN('Council Entry'!AL134,'Council Entry'!AL$9),'Council Entry'!AL$8),'Council Entry'!AL134))))-'Council Entry'!AL$5)/('Council Entry'!AL$6-'Council Entry'!AL$5),10*((IF('Council Entry'!AL$4="Logarithm",LN(0.001+IF(AND(ISNUMBER('Council Entry'!AL$8),ISNUMBER('Council Entry'!AL$9)),MAX(MIN('Council Entry'!AL134,'Council Entry'!AL$9),'Council Entry'!AL$8),'Council Entry'!AL134)),IF('Council Entry'!AL$4="Exponential",EXP(IF(AND(ISNUMBER('Council Entry'!AL$8),ISNUMBER('Council Entry'!AL$9)),MAX(MIN('Council Entry'!AL134,'Council Entry'!AL$9),'Council Entry'!AL$8),'Council Entry'!AL134)),IF(AND(ISNUMBER('Council Entry'!AL$8),ISNUMBER('Council Entry'!AL$9)),MAX(MIN('Council Entry'!AL134,'Council Entry'!AL$9),'Council Entry'!AL$8),'Council Entry'!AL134))))-'Council Entry'!AL$5)/('Council Entry'!AL$6-'Council Entry'!AL$5)),1))),"No data"))</f>
        <v/>
      </c>
      <c r="AM134" s="13">
        <f>IF('Council Entry'!AM134="","",IFERROR(MAX(0,MIN(10,ROUND(IF('Council Entry'!AM$7="Decrease Risk",10-10*((IF('Council Entry'!AM$4="Logarithm",LN(0.001+IF(AND(ISNUMBER('Council Entry'!AM$8),ISNUMBER('Council Entry'!AM$9)),MAX(MIN('Council Entry'!AM134,'Council Entry'!AM$9),'Council Entry'!AM$8),'Council Entry'!AM134)),IF('Council Entry'!AM$4="Exponential",EXP(IF(AND(ISNUMBER('Council Entry'!AM$8),ISNUMBER('Council Entry'!AM$9)),MAX(MIN('Council Entry'!AM134,'Council Entry'!AM$9),'Council Entry'!AM$8),'Council Entry'!AM134)),IF(AND(ISNUMBER('Council Entry'!AM$8),ISNUMBER('Council Entry'!AM$9)),MAX(MIN('Council Entry'!AM134,'Council Entry'!AM$9),'Council Entry'!AM$8),'Council Entry'!AM134))))-'Council Entry'!AM$5)/('Council Entry'!AM$6-'Council Entry'!AM$5),10*((IF('Council Entry'!AM$4="Logarithm",LN(0.001+IF(AND(ISNUMBER('Council Entry'!AM$8),ISNUMBER('Council Entry'!AM$9)),MAX(MIN('Council Entry'!AM134,'Council Entry'!AM$9),'Council Entry'!AM$8),'Council Entry'!AM134)),IF('Council Entry'!AM$4="Exponential",EXP(IF(AND(ISNUMBER('Council Entry'!AM$8),ISNUMBER('Council Entry'!AM$9)),MAX(MIN('Council Entry'!AM134,'Council Entry'!AM$9),'Council Entry'!AM$8),'Council Entry'!AM134)),IF(AND(ISNUMBER('Council Entry'!AM$8),ISNUMBER('Council Entry'!AM$9)),MAX(MIN('Council Entry'!AM134,'Council Entry'!AM$9),'Council Entry'!AM$8),'Council Entry'!AM134))))-'Council Entry'!AM$5)/('Council Entry'!AM$6-'Council Entry'!AM$5)),1))),"No data"))</f>
        <v/>
      </c>
      <c r="AN134" s="13">
        <f>IF('Council Entry'!AN134="","",IFERROR(MAX(0,MIN(10,ROUND(IF('Council Entry'!AN$7="Decrease Risk",10-10*((IF('Council Entry'!AN$4="Logarithm",LN(0.001+IF(AND(ISNUMBER('Council Entry'!AN$8),ISNUMBER('Council Entry'!AN$9)),MAX(MIN('Council Entry'!AN134,'Council Entry'!AN$9),'Council Entry'!AN$8),'Council Entry'!AN134)),IF('Council Entry'!AN$4="Exponential",EXP(IF(AND(ISNUMBER('Council Entry'!AN$8),ISNUMBER('Council Entry'!AN$9)),MAX(MIN('Council Entry'!AN134,'Council Entry'!AN$9),'Council Entry'!AN$8),'Council Entry'!AN134)),IF(AND(ISNUMBER('Council Entry'!AN$8),ISNUMBER('Council Entry'!AN$9)),MAX(MIN('Council Entry'!AN134,'Council Entry'!AN$9),'Council Entry'!AN$8),'Council Entry'!AN134))))-'Council Entry'!AN$5)/('Council Entry'!AN$6-'Council Entry'!AN$5),10*((IF('Council Entry'!AN$4="Logarithm",LN(0.001+IF(AND(ISNUMBER('Council Entry'!AN$8),ISNUMBER('Council Entry'!AN$9)),MAX(MIN('Council Entry'!AN134,'Council Entry'!AN$9),'Council Entry'!AN$8),'Council Entry'!AN134)),IF('Council Entry'!AN$4="Exponential",EXP(IF(AND(ISNUMBER('Council Entry'!AN$8),ISNUMBER('Council Entry'!AN$9)),MAX(MIN('Council Entry'!AN134,'Council Entry'!AN$9),'Council Entry'!AN$8),'Council Entry'!AN134)),IF(AND(ISNUMBER('Council Entry'!AN$8),ISNUMBER('Council Entry'!AN$9)),MAX(MIN('Council Entry'!AN134,'Council Entry'!AN$9),'Council Entry'!AN$8),'Council Entry'!AN134))))-'Council Entry'!AN$5)/('Council Entry'!AN$6-'Council Entry'!AN$5)),1))),"No data"))</f>
        <v/>
      </c>
      <c r="AO134" s="13">
        <f>IF('Council Entry'!AO134="","",IFERROR(MAX(0,MIN(10,ROUND(IF('Council Entry'!AO$7="Decrease Risk",10-10*((IF('Council Entry'!AO$4="Logarithm",LN(0.001+IF(AND(ISNUMBER('Council Entry'!AO$8),ISNUMBER('Council Entry'!AO$9)),MAX(MIN('Council Entry'!AO134,'Council Entry'!AO$9),'Council Entry'!AO$8),'Council Entry'!AO134)),IF('Council Entry'!AO$4="Exponential",EXP(IF(AND(ISNUMBER('Council Entry'!AO$8),ISNUMBER('Council Entry'!AO$9)),MAX(MIN('Council Entry'!AO134,'Council Entry'!AO$9),'Council Entry'!AO$8),'Council Entry'!AO134)),IF(AND(ISNUMBER('Council Entry'!AO$8),ISNUMBER('Council Entry'!AO$9)),MAX(MIN('Council Entry'!AO134,'Council Entry'!AO$9),'Council Entry'!AO$8),'Council Entry'!AO134))))-'Council Entry'!AO$5)/('Council Entry'!AO$6-'Council Entry'!AO$5),10*((IF('Council Entry'!AO$4="Logarithm",LN(0.001+IF(AND(ISNUMBER('Council Entry'!AO$8),ISNUMBER('Council Entry'!AO$9)),MAX(MIN('Council Entry'!AO134,'Council Entry'!AO$9),'Council Entry'!AO$8),'Council Entry'!AO134)),IF('Council Entry'!AO$4="Exponential",EXP(IF(AND(ISNUMBER('Council Entry'!AO$8),ISNUMBER('Council Entry'!AO$9)),MAX(MIN('Council Entry'!AO134,'Council Entry'!AO$9),'Council Entry'!AO$8),'Council Entry'!AO134)),IF(AND(ISNUMBER('Council Entry'!AO$8),ISNUMBER('Council Entry'!AO$9)),MAX(MIN('Council Entry'!AO134,'Council Entry'!AO$9),'Council Entry'!AO$8),'Council Entry'!AO134))))-'Council Entry'!AO$5)/('Council Entry'!AO$6-'Council Entry'!AO$5)),1))),"No data"))</f>
        <v/>
      </c>
      <c r="AP134" s="13">
        <f>IF('Council Entry'!AP134="","",IFERROR(MAX(0,MIN(10,ROUND(IF('Council Entry'!AP$7="Decrease Risk",10-10*((IF('Council Entry'!AP$4="Logarithm",LN(0.001+IF(AND(ISNUMBER('Council Entry'!AP$8),ISNUMBER('Council Entry'!AP$9)),MAX(MIN('Council Entry'!AP134,'Council Entry'!AP$9),'Council Entry'!AP$8),'Council Entry'!AP134)),IF('Council Entry'!AP$4="Exponential",EXP(IF(AND(ISNUMBER('Council Entry'!AP$8),ISNUMBER('Council Entry'!AP$9)),MAX(MIN('Council Entry'!AP134,'Council Entry'!AP$9),'Council Entry'!AP$8),'Council Entry'!AP134)),IF(AND(ISNUMBER('Council Entry'!AP$8),ISNUMBER('Council Entry'!AP$9)),MAX(MIN('Council Entry'!AP134,'Council Entry'!AP$9),'Council Entry'!AP$8),'Council Entry'!AP134))))-'Council Entry'!AP$5)/('Council Entry'!AP$6-'Council Entry'!AP$5),10*((IF('Council Entry'!AP$4="Logarithm",LN(0.001+IF(AND(ISNUMBER('Council Entry'!AP$8),ISNUMBER('Council Entry'!AP$9)),MAX(MIN('Council Entry'!AP134,'Council Entry'!AP$9),'Council Entry'!AP$8),'Council Entry'!AP134)),IF('Council Entry'!AP$4="Exponential",EXP(IF(AND(ISNUMBER('Council Entry'!AP$8),ISNUMBER('Council Entry'!AP$9)),MAX(MIN('Council Entry'!AP134,'Council Entry'!AP$9),'Council Entry'!AP$8),'Council Entry'!AP134)),IF(AND(ISNUMBER('Council Entry'!AP$8),ISNUMBER('Council Entry'!AP$9)),MAX(MIN('Council Entry'!AP134,'Council Entry'!AP$9),'Council Entry'!AP$8),'Council Entry'!AP134))))-'Council Entry'!AP$5)/('Council Entry'!AP$6-'Council Entry'!AP$5)),1))),"No data"))</f>
        <v/>
      </c>
      <c r="AQ134" s="13">
        <f>IF('Council Entry'!AQ134="","",IFERROR(MAX(0,MIN(10,ROUND(IF('Council Entry'!AQ$7="Decrease Risk",10-10*((IF('Council Entry'!AQ$4="Logarithm",LN(0.001+IF(AND(ISNUMBER('Council Entry'!AQ$8),ISNUMBER('Council Entry'!AQ$9)),MAX(MIN('Council Entry'!AQ134,'Council Entry'!AQ$9),'Council Entry'!AQ$8),'Council Entry'!AQ134)),IF('Council Entry'!AQ$4="Exponential",EXP(IF(AND(ISNUMBER('Council Entry'!AQ$8),ISNUMBER('Council Entry'!AQ$9)),MAX(MIN('Council Entry'!AQ134,'Council Entry'!AQ$9),'Council Entry'!AQ$8),'Council Entry'!AQ134)),IF(AND(ISNUMBER('Council Entry'!AQ$8),ISNUMBER('Council Entry'!AQ$9)),MAX(MIN('Council Entry'!AQ134,'Council Entry'!AQ$9),'Council Entry'!AQ$8),'Council Entry'!AQ134))))-'Council Entry'!AQ$5)/('Council Entry'!AQ$6-'Council Entry'!AQ$5),10*((IF('Council Entry'!AQ$4="Logarithm",LN(0.001+IF(AND(ISNUMBER('Council Entry'!AQ$8),ISNUMBER('Council Entry'!AQ$9)),MAX(MIN('Council Entry'!AQ134,'Council Entry'!AQ$9),'Council Entry'!AQ$8),'Council Entry'!AQ134)),IF('Council Entry'!AQ$4="Exponential",EXP(IF(AND(ISNUMBER('Council Entry'!AQ$8),ISNUMBER('Council Entry'!AQ$9)),MAX(MIN('Council Entry'!AQ134,'Council Entry'!AQ$9),'Council Entry'!AQ$8),'Council Entry'!AQ134)),IF(AND(ISNUMBER('Council Entry'!AQ$8),ISNUMBER('Council Entry'!AQ$9)),MAX(MIN('Council Entry'!AQ134,'Council Entry'!AQ$9),'Council Entry'!AQ$8),'Council Entry'!AQ134))))-'Council Entry'!AQ$5)/('Council Entry'!AQ$6-'Council Entry'!AQ$5)),1))),"No data"))</f>
        <v/>
      </c>
      <c r="AR134" s="13">
        <f>IF('Council Entry'!AR134="","",IFERROR(MAX(0,MIN(10,ROUND(IF('Council Entry'!AR$7="Decrease Risk",10-10*((IF('Council Entry'!AR$4="Logarithm",LN(0.001+IF(AND(ISNUMBER('Council Entry'!AR$8),ISNUMBER('Council Entry'!AR$9)),MAX(MIN('Council Entry'!AR134,'Council Entry'!AR$9),'Council Entry'!AR$8),'Council Entry'!AR134)),IF('Council Entry'!AR$4="Exponential",EXP(IF(AND(ISNUMBER('Council Entry'!AR$8),ISNUMBER('Council Entry'!AR$9)),MAX(MIN('Council Entry'!AR134,'Council Entry'!AR$9),'Council Entry'!AR$8),'Council Entry'!AR134)),IF(AND(ISNUMBER('Council Entry'!AR$8),ISNUMBER('Council Entry'!AR$9)),MAX(MIN('Council Entry'!AR134,'Council Entry'!AR$9),'Council Entry'!AR$8),'Council Entry'!AR134))))-'Council Entry'!AR$5)/('Council Entry'!AR$6-'Council Entry'!AR$5),10*((IF('Council Entry'!AR$4="Logarithm",LN(0.001+IF(AND(ISNUMBER('Council Entry'!AR$8),ISNUMBER('Council Entry'!AR$9)),MAX(MIN('Council Entry'!AR134,'Council Entry'!AR$9),'Council Entry'!AR$8),'Council Entry'!AR134)),IF('Council Entry'!AR$4="Exponential",EXP(IF(AND(ISNUMBER('Council Entry'!AR$8),ISNUMBER('Council Entry'!AR$9)),MAX(MIN('Council Entry'!AR134,'Council Entry'!AR$9),'Council Entry'!AR$8),'Council Entry'!AR134)),IF(AND(ISNUMBER('Council Entry'!AR$8),ISNUMBER('Council Entry'!AR$9)),MAX(MIN('Council Entry'!AR134,'Council Entry'!AR$9),'Council Entry'!AR$8),'Council Entry'!AR134))))-'Council Entry'!AR$5)/('Council Entry'!AR$6-'Council Entry'!AR$5)),1))),"No data"))</f>
        <v/>
      </c>
      <c r="AS134" s="13">
        <f>IF('Council Entry'!AS134="","",IFERROR(MAX(0,MIN(10,ROUND(IF('Council Entry'!AS$7="Decrease Risk",10-10*((IF('Council Entry'!AS$4="Logarithm",LN(0.001+IF(AND(ISNUMBER('Council Entry'!AS$8),ISNUMBER('Council Entry'!AS$9)),MAX(MIN('Council Entry'!AS134,'Council Entry'!AS$9),'Council Entry'!AS$8),'Council Entry'!AS134)),IF('Council Entry'!AS$4="Exponential",EXP(IF(AND(ISNUMBER('Council Entry'!AS$8),ISNUMBER('Council Entry'!AS$9)),MAX(MIN('Council Entry'!AS134,'Council Entry'!AS$9),'Council Entry'!AS$8),'Council Entry'!AS134)),IF(AND(ISNUMBER('Council Entry'!AS$8),ISNUMBER('Council Entry'!AS$9)),MAX(MIN('Council Entry'!AS134,'Council Entry'!AS$9),'Council Entry'!AS$8),'Council Entry'!AS134))))-'Council Entry'!AS$5)/('Council Entry'!AS$6-'Council Entry'!AS$5),10*((IF('Council Entry'!AS$4="Logarithm",LN(0.001+IF(AND(ISNUMBER('Council Entry'!AS$8),ISNUMBER('Council Entry'!AS$9)),MAX(MIN('Council Entry'!AS134,'Council Entry'!AS$9),'Council Entry'!AS$8),'Council Entry'!AS134)),IF('Council Entry'!AS$4="Exponential",EXP(IF(AND(ISNUMBER('Council Entry'!AS$8),ISNUMBER('Council Entry'!AS$9)),MAX(MIN('Council Entry'!AS134,'Council Entry'!AS$9),'Council Entry'!AS$8),'Council Entry'!AS134)),IF(AND(ISNUMBER('Council Entry'!AS$8),ISNUMBER('Council Entry'!AS$9)),MAX(MIN('Council Entry'!AS134,'Council Entry'!AS$9),'Council Entry'!AS$8),'Council Entry'!AS134))))-'Council Entry'!AS$5)/('Council Entry'!AS$6-'Council Entry'!AS$5)),1))),"No data"))</f>
        <v/>
      </c>
      <c r="AT134" s="13">
        <f>IF('Council Entry'!AT134="","",IFERROR(MAX(0,MIN(10,ROUND(IF('Council Entry'!AT$7="Decrease Risk",10-10*((IF('Council Entry'!AT$4="Logarithm",LN(0.001+IF(AND(ISNUMBER('Council Entry'!AT$8),ISNUMBER('Council Entry'!AT$9)),MAX(MIN('Council Entry'!AT134,'Council Entry'!AT$9),'Council Entry'!AT$8),'Council Entry'!AT134)),IF('Council Entry'!AT$4="Exponential",EXP(IF(AND(ISNUMBER('Council Entry'!AT$8),ISNUMBER('Council Entry'!AT$9)),MAX(MIN('Council Entry'!AT134,'Council Entry'!AT$9),'Council Entry'!AT$8),'Council Entry'!AT134)),IF(AND(ISNUMBER('Council Entry'!AT$8),ISNUMBER('Council Entry'!AT$9)),MAX(MIN('Council Entry'!AT134,'Council Entry'!AT$9),'Council Entry'!AT$8),'Council Entry'!AT134))))-'Council Entry'!AT$5)/('Council Entry'!AT$6-'Council Entry'!AT$5),10*((IF('Council Entry'!AT$4="Logarithm",LN(0.001+IF(AND(ISNUMBER('Council Entry'!AT$8),ISNUMBER('Council Entry'!AT$9)),MAX(MIN('Council Entry'!AT134,'Council Entry'!AT$9),'Council Entry'!AT$8),'Council Entry'!AT134)),IF('Council Entry'!AT$4="Exponential",EXP(IF(AND(ISNUMBER('Council Entry'!AT$8),ISNUMBER('Council Entry'!AT$9)),MAX(MIN('Council Entry'!AT134,'Council Entry'!AT$9),'Council Entry'!AT$8),'Council Entry'!AT134)),IF(AND(ISNUMBER('Council Entry'!AT$8),ISNUMBER('Council Entry'!AT$9)),MAX(MIN('Council Entry'!AT134,'Council Entry'!AT$9),'Council Entry'!AT$8),'Council Entry'!AT134))))-'Council Entry'!AT$5)/('Council Entry'!AT$6-'Council Entry'!AT$5)),1))),"No data"))</f>
        <v/>
      </c>
      <c r="AU134" s="13">
        <f>IF('Council Entry'!AU134="","",IFERROR(MAX(0,MIN(10,ROUND(IF('Council Entry'!AU$7="Decrease Risk",10-10*((IF('Council Entry'!AU$4="Logarithm",LN(0.001+IF(AND(ISNUMBER('Council Entry'!AU$8),ISNUMBER('Council Entry'!AU$9)),MAX(MIN('Council Entry'!AU134,'Council Entry'!AU$9),'Council Entry'!AU$8),'Council Entry'!AU134)),IF('Council Entry'!AU$4="Exponential",EXP(IF(AND(ISNUMBER('Council Entry'!AU$8),ISNUMBER('Council Entry'!AU$9)),MAX(MIN('Council Entry'!AU134,'Council Entry'!AU$9),'Council Entry'!AU$8),'Council Entry'!AU134)),IF(AND(ISNUMBER('Council Entry'!AU$8),ISNUMBER('Council Entry'!AU$9)),MAX(MIN('Council Entry'!AU134,'Council Entry'!AU$9),'Council Entry'!AU$8),'Council Entry'!AU134))))-'Council Entry'!AU$5)/('Council Entry'!AU$6-'Council Entry'!AU$5),10*((IF('Council Entry'!AU$4="Logarithm",LN(0.001+IF(AND(ISNUMBER('Council Entry'!AU$8),ISNUMBER('Council Entry'!AU$9)),MAX(MIN('Council Entry'!AU134,'Council Entry'!AU$9),'Council Entry'!AU$8),'Council Entry'!AU134)),IF('Council Entry'!AU$4="Exponential",EXP(IF(AND(ISNUMBER('Council Entry'!AU$8),ISNUMBER('Council Entry'!AU$9)),MAX(MIN('Council Entry'!AU134,'Council Entry'!AU$9),'Council Entry'!AU$8),'Council Entry'!AU134)),IF(AND(ISNUMBER('Council Entry'!AU$8),ISNUMBER('Council Entry'!AU$9)),MAX(MIN('Council Entry'!AU134,'Council Entry'!AU$9),'Council Entry'!AU$8),'Council Entry'!AU134))))-'Council Entry'!AU$5)/('Council Entry'!AU$6-'Council Entry'!AU$5)),1))),"No data"))</f>
        <v/>
      </c>
      <c r="AV134" s="13">
        <f>IF('Council Entry'!AV134="","",IFERROR(MAX(0,MIN(10,ROUND(IF('Council Entry'!AV$7="Decrease Risk",10-10*((IF('Council Entry'!AV$4="Logarithm",LN(0.001+IF(AND(ISNUMBER('Council Entry'!AV$8),ISNUMBER('Council Entry'!AV$9)),MAX(MIN('Council Entry'!AV134,'Council Entry'!AV$9),'Council Entry'!AV$8),'Council Entry'!AV134)),IF('Council Entry'!AV$4="Exponential",EXP(IF(AND(ISNUMBER('Council Entry'!AV$8),ISNUMBER('Council Entry'!AV$9)),MAX(MIN('Council Entry'!AV134,'Council Entry'!AV$9),'Council Entry'!AV$8),'Council Entry'!AV134)),IF(AND(ISNUMBER('Council Entry'!AV$8),ISNUMBER('Council Entry'!AV$9)),MAX(MIN('Council Entry'!AV134,'Council Entry'!AV$9),'Council Entry'!AV$8),'Council Entry'!AV134))))-'Council Entry'!AV$5)/('Council Entry'!AV$6-'Council Entry'!AV$5),10*((IF('Council Entry'!AV$4="Logarithm",LN(0.001+IF(AND(ISNUMBER('Council Entry'!AV$8),ISNUMBER('Council Entry'!AV$9)),MAX(MIN('Council Entry'!AV134,'Council Entry'!AV$9),'Council Entry'!AV$8),'Council Entry'!AV134)),IF('Council Entry'!AV$4="Exponential",EXP(IF(AND(ISNUMBER('Council Entry'!AV$8),ISNUMBER('Council Entry'!AV$9)),MAX(MIN('Council Entry'!AV134,'Council Entry'!AV$9),'Council Entry'!AV$8),'Council Entry'!AV134)),IF(AND(ISNUMBER('Council Entry'!AV$8),ISNUMBER('Council Entry'!AV$9)),MAX(MIN('Council Entry'!AV134,'Council Entry'!AV$9),'Council Entry'!AV$8),'Council Entry'!AV134))))-'Council Entry'!AV$5)/('Council Entry'!AV$6-'Council Entry'!AV$5)),1))),"No data"))</f>
        <v/>
      </c>
      <c r="AW134" s="13">
        <f>IF('Council Entry'!AW134="","",IFERROR(MAX(0,MIN(10,ROUND(IF('Council Entry'!AW$7="Decrease Risk",10-10*((IF('Council Entry'!AW$4="Logarithm",LN(0.001+IF(AND(ISNUMBER('Council Entry'!AW$8),ISNUMBER('Council Entry'!AW$9)),MAX(MIN('Council Entry'!AW134,'Council Entry'!AW$9),'Council Entry'!AW$8),'Council Entry'!AW134)),IF('Council Entry'!AW$4="Exponential",EXP(IF(AND(ISNUMBER('Council Entry'!AW$8),ISNUMBER('Council Entry'!AW$9)),MAX(MIN('Council Entry'!AW134,'Council Entry'!AW$9),'Council Entry'!AW$8),'Council Entry'!AW134)),IF(AND(ISNUMBER('Council Entry'!AW$8),ISNUMBER('Council Entry'!AW$9)),MAX(MIN('Council Entry'!AW134,'Council Entry'!AW$9),'Council Entry'!AW$8),'Council Entry'!AW134))))-'Council Entry'!AW$5)/('Council Entry'!AW$6-'Council Entry'!AW$5),10*((IF('Council Entry'!AW$4="Logarithm",LN(0.001+IF(AND(ISNUMBER('Council Entry'!AW$8),ISNUMBER('Council Entry'!AW$9)),MAX(MIN('Council Entry'!AW134,'Council Entry'!AW$9),'Council Entry'!AW$8),'Council Entry'!AW134)),IF('Council Entry'!AW$4="Exponential",EXP(IF(AND(ISNUMBER('Council Entry'!AW$8),ISNUMBER('Council Entry'!AW$9)),MAX(MIN('Council Entry'!AW134,'Council Entry'!AW$9),'Council Entry'!AW$8),'Council Entry'!AW134)),IF(AND(ISNUMBER('Council Entry'!AW$8),ISNUMBER('Council Entry'!AW$9)),MAX(MIN('Council Entry'!AW134,'Council Entry'!AW$9),'Council Entry'!AW$8),'Council Entry'!AW134))))-'Council Entry'!AW$5)/('Council Entry'!AW$6-'Council Entry'!AW$5)),1))),"No data"))</f>
        <v/>
      </c>
      <c r="AX134" s="13">
        <f>IF('Council Entry'!AX134="","",IFERROR(MAX(0,MIN(10,ROUND(IF('Council Entry'!AX$7="Decrease Risk",10-10*((IF('Council Entry'!AX$4="Logarithm",LN(0.001+IF(AND(ISNUMBER('Council Entry'!AX$8),ISNUMBER('Council Entry'!AX$9)),MAX(MIN('Council Entry'!AX134,'Council Entry'!AX$9),'Council Entry'!AX$8),'Council Entry'!AX134)),IF('Council Entry'!AX$4="Exponential",EXP(IF(AND(ISNUMBER('Council Entry'!AX$8),ISNUMBER('Council Entry'!AX$9)),MAX(MIN('Council Entry'!AX134,'Council Entry'!AX$9),'Council Entry'!AX$8),'Council Entry'!AX134)),IF(AND(ISNUMBER('Council Entry'!AX$8),ISNUMBER('Council Entry'!AX$9)),MAX(MIN('Council Entry'!AX134,'Council Entry'!AX$9),'Council Entry'!AX$8),'Council Entry'!AX134))))-'Council Entry'!AX$5)/('Council Entry'!AX$6-'Council Entry'!AX$5),10*((IF('Council Entry'!AX$4="Logarithm",LN(0.001+IF(AND(ISNUMBER('Council Entry'!AX$8),ISNUMBER('Council Entry'!AX$9)),MAX(MIN('Council Entry'!AX134,'Council Entry'!AX$9),'Council Entry'!AX$8),'Council Entry'!AX134)),IF('Council Entry'!AX$4="Exponential",EXP(IF(AND(ISNUMBER('Council Entry'!AX$8),ISNUMBER('Council Entry'!AX$9)),MAX(MIN('Council Entry'!AX134,'Council Entry'!AX$9),'Council Entry'!AX$8),'Council Entry'!AX134)),IF(AND(ISNUMBER('Council Entry'!AX$8),ISNUMBER('Council Entry'!AX$9)),MAX(MIN('Council Entry'!AX134,'Council Entry'!AX$9),'Council Entry'!AX$8),'Council Entry'!AX134))))-'Council Entry'!AX$5)/('Council Entry'!AX$6-'Council Entry'!AX$5)),1))),"No data"))</f>
        <v/>
      </c>
      <c r="AY134" s="13">
        <f>IF('Council Entry'!AY134="","",IFERROR(MAX(0,MIN(10,ROUND(IF('Council Entry'!AY$7="Decrease Risk",10-10*((IF('Council Entry'!AY$4="Logarithm",LN(0.001+IF(AND(ISNUMBER('Council Entry'!AY$8),ISNUMBER('Council Entry'!AY$9)),MAX(MIN('Council Entry'!AY134,'Council Entry'!AY$9),'Council Entry'!AY$8),'Council Entry'!AY134)),IF('Council Entry'!AY$4="Exponential",EXP(IF(AND(ISNUMBER('Council Entry'!AY$8),ISNUMBER('Council Entry'!AY$9)),MAX(MIN('Council Entry'!AY134,'Council Entry'!AY$9),'Council Entry'!AY$8),'Council Entry'!AY134)),IF(AND(ISNUMBER('Council Entry'!AY$8),ISNUMBER('Council Entry'!AY$9)),MAX(MIN('Council Entry'!AY134,'Council Entry'!AY$9),'Council Entry'!AY$8),'Council Entry'!AY134))))-'Council Entry'!AY$5)/('Council Entry'!AY$6-'Council Entry'!AY$5),10*((IF('Council Entry'!AY$4="Logarithm",LN(0.001+IF(AND(ISNUMBER('Council Entry'!AY$8),ISNUMBER('Council Entry'!AY$9)),MAX(MIN('Council Entry'!AY134,'Council Entry'!AY$9),'Council Entry'!AY$8),'Council Entry'!AY134)),IF('Council Entry'!AY$4="Exponential",EXP(IF(AND(ISNUMBER('Council Entry'!AY$8),ISNUMBER('Council Entry'!AY$9)),MAX(MIN('Council Entry'!AY134,'Council Entry'!AY$9),'Council Entry'!AY$8),'Council Entry'!AY134)),IF(AND(ISNUMBER('Council Entry'!AY$8),ISNUMBER('Council Entry'!AY$9)),MAX(MIN('Council Entry'!AY134,'Council Entry'!AY$9),'Council Entry'!AY$8),'Council Entry'!AY134))))-'Council Entry'!AY$5)/('Council Entry'!AY$6-'Council Entry'!AY$5)),1))),"No data"))</f>
        <v/>
      </c>
      <c r="AZ134" s="13">
        <f>IF('Council Entry'!AZ134="","",IFERROR(MAX(0,MIN(10,ROUND(IF('Council Entry'!AZ$7="Decrease Risk",10-10*((IF('Council Entry'!AZ$4="Logarithm",LN(0.001+IF(AND(ISNUMBER('Council Entry'!AZ$8),ISNUMBER('Council Entry'!AZ$9)),MAX(MIN('Council Entry'!AZ134,'Council Entry'!AZ$9),'Council Entry'!AZ$8),'Council Entry'!AZ134)),IF('Council Entry'!AZ$4="Exponential",EXP(IF(AND(ISNUMBER('Council Entry'!AZ$8),ISNUMBER('Council Entry'!AZ$9)),MAX(MIN('Council Entry'!AZ134,'Council Entry'!AZ$9),'Council Entry'!AZ$8),'Council Entry'!AZ134)),IF(AND(ISNUMBER('Council Entry'!AZ$8),ISNUMBER('Council Entry'!AZ$9)),MAX(MIN('Council Entry'!AZ134,'Council Entry'!AZ$9),'Council Entry'!AZ$8),'Council Entry'!AZ134))))-'Council Entry'!AZ$5)/('Council Entry'!AZ$6-'Council Entry'!AZ$5),10*((IF('Council Entry'!AZ$4="Logarithm",LN(0.001+IF(AND(ISNUMBER('Council Entry'!AZ$8),ISNUMBER('Council Entry'!AZ$9)),MAX(MIN('Council Entry'!AZ134,'Council Entry'!AZ$9),'Council Entry'!AZ$8),'Council Entry'!AZ134)),IF('Council Entry'!AZ$4="Exponential",EXP(IF(AND(ISNUMBER('Council Entry'!AZ$8),ISNUMBER('Council Entry'!AZ$9)),MAX(MIN('Council Entry'!AZ134,'Council Entry'!AZ$9),'Council Entry'!AZ$8),'Council Entry'!AZ134)),IF(AND(ISNUMBER('Council Entry'!AZ$8),ISNUMBER('Council Entry'!AZ$9)),MAX(MIN('Council Entry'!AZ134,'Council Entry'!AZ$9),'Council Entry'!AZ$8),'Council Entry'!AZ134))))-'Council Entry'!AZ$5)/('Council Entry'!AZ$6-'Council Entry'!AZ$5)),1))),"No data"))</f>
        <v/>
      </c>
      <c r="BA134" s="13">
        <f>IF('Council Entry'!BA134="","",IFERROR(MAX(0,MIN(10,ROUND(IF('Council Entry'!BA$7="Decrease Risk",10-10*((IF('Council Entry'!BA$4="Logarithm",LN(0.001+IF(AND(ISNUMBER('Council Entry'!BA$8),ISNUMBER('Council Entry'!BA$9)),MAX(MIN('Council Entry'!BA134,'Council Entry'!BA$9),'Council Entry'!BA$8),'Council Entry'!BA134)),IF('Council Entry'!BA$4="Exponential",EXP(IF(AND(ISNUMBER('Council Entry'!BA$8),ISNUMBER('Council Entry'!BA$9)),MAX(MIN('Council Entry'!BA134,'Council Entry'!BA$9),'Council Entry'!BA$8),'Council Entry'!BA134)),IF(AND(ISNUMBER('Council Entry'!BA$8),ISNUMBER('Council Entry'!BA$9)),MAX(MIN('Council Entry'!BA134,'Council Entry'!BA$9),'Council Entry'!BA$8),'Council Entry'!BA134))))-'Council Entry'!BA$5)/('Council Entry'!BA$6-'Council Entry'!BA$5),10*((IF('Council Entry'!BA$4="Logarithm",LN(0.001+IF(AND(ISNUMBER('Council Entry'!BA$8),ISNUMBER('Council Entry'!BA$9)),MAX(MIN('Council Entry'!BA134,'Council Entry'!BA$9),'Council Entry'!BA$8),'Council Entry'!BA134)),IF('Council Entry'!BA$4="Exponential",EXP(IF(AND(ISNUMBER('Council Entry'!BA$8),ISNUMBER('Council Entry'!BA$9)),MAX(MIN('Council Entry'!BA134,'Council Entry'!BA$9),'Council Entry'!BA$8),'Council Entry'!BA134)),IF(AND(ISNUMBER('Council Entry'!BA$8),ISNUMBER('Council Entry'!BA$9)),MAX(MIN('Council Entry'!BA134,'Council Entry'!BA$9),'Council Entry'!BA$8),'Council Entry'!BA134))))-'Council Entry'!BA$5)/('Council Entry'!BA$6-'Council Entry'!BA$5)),1))),"No data"))</f>
        <v/>
      </c>
      <c r="BB134" s="13">
        <f>IF('Council Entry'!BB134="","",IFERROR(MAX(0,MIN(10,ROUND(IF('Council Entry'!BB$7="Decrease Risk",10-10*((IF('Council Entry'!BB$4="Logarithm",LN(0.001+IF(AND(ISNUMBER('Council Entry'!BB$8),ISNUMBER('Council Entry'!BB$9)),MAX(MIN('Council Entry'!BB134,'Council Entry'!BB$9),'Council Entry'!BB$8),'Council Entry'!BB134)),IF('Council Entry'!BB$4="Exponential",EXP(IF(AND(ISNUMBER('Council Entry'!BB$8),ISNUMBER('Council Entry'!BB$9)),MAX(MIN('Council Entry'!BB134,'Council Entry'!BB$9),'Council Entry'!BB$8),'Council Entry'!BB134)),IF(AND(ISNUMBER('Council Entry'!BB$8),ISNUMBER('Council Entry'!BB$9)),MAX(MIN('Council Entry'!BB134,'Council Entry'!BB$9),'Council Entry'!BB$8),'Council Entry'!BB134))))-'Council Entry'!BB$5)/('Council Entry'!BB$6-'Council Entry'!BB$5),10*((IF('Council Entry'!BB$4="Logarithm",LN(0.001+IF(AND(ISNUMBER('Council Entry'!BB$8),ISNUMBER('Council Entry'!BB$9)),MAX(MIN('Council Entry'!BB134,'Council Entry'!BB$9),'Council Entry'!BB$8),'Council Entry'!BB134)),IF('Council Entry'!BB$4="Exponential",EXP(IF(AND(ISNUMBER('Council Entry'!BB$8),ISNUMBER('Council Entry'!BB$9)),MAX(MIN('Council Entry'!BB134,'Council Entry'!BB$9),'Council Entry'!BB$8),'Council Entry'!BB134)),IF(AND(ISNUMBER('Council Entry'!BB$8),ISNUMBER('Council Entry'!BB$9)),MAX(MIN('Council Entry'!BB134,'Council Entry'!BB$9),'Council Entry'!BB$8),'Council Entry'!BB134))))-'Council Entry'!BB$5)/('Council Entry'!BB$6-'Council Entry'!BB$5)),1))),"No data"))</f>
        <v/>
      </c>
      <c r="BC134" s="13">
        <f>IF('Council Entry'!BC134="","",IFERROR(MAX(0,MIN(10,ROUND(IF('Council Entry'!BC$7="Decrease Risk",10-10*((IF('Council Entry'!BC$4="Logarithm",LN(0.001+IF(AND(ISNUMBER('Council Entry'!BC$8),ISNUMBER('Council Entry'!BC$9)),MAX(MIN('Council Entry'!BC134,'Council Entry'!BC$9),'Council Entry'!BC$8),'Council Entry'!BC134)),IF('Council Entry'!BC$4="Exponential",EXP(IF(AND(ISNUMBER('Council Entry'!BC$8),ISNUMBER('Council Entry'!BC$9)),MAX(MIN('Council Entry'!BC134,'Council Entry'!BC$9),'Council Entry'!BC$8),'Council Entry'!BC134)),IF(AND(ISNUMBER('Council Entry'!BC$8),ISNUMBER('Council Entry'!BC$9)),MAX(MIN('Council Entry'!BC134,'Council Entry'!BC$9),'Council Entry'!BC$8),'Council Entry'!BC134))))-'Council Entry'!BC$5)/('Council Entry'!BC$6-'Council Entry'!BC$5),10*((IF('Council Entry'!BC$4="Logarithm",LN(0.001+IF(AND(ISNUMBER('Council Entry'!BC$8),ISNUMBER('Council Entry'!BC$9)),MAX(MIN('Council Entry'!BC134,'Council Entry'!BC$9),'Council Entry'!BC$8),'Council Entry'!BC134)),IF('Council Entry'!BC$4="Exponential",EXP(IF(AND(ISNUMBER('Council Entry'!BC$8),ISNUMBER('Council Entry'!BC$9)),MAX(MIN('Council Entry'!BC134,'Council Entry'!BC$9),'Council Entry'!BC$8),'Council Entry'!BC134)),IF(AND(ISNUMBER('Council Entry'!BC$8),ISNUMBER('Council Entry'!BC$9)),MAX(MIN('Council Entry'!BC134,'Council Entry'!BC$9),'Council Entry'!BC$8),'Council Entry'!BC134))))-'Council Entry'!BC$5)/('Council Entry'!BC$6-'Council Entry'!BC$5)),1))),"No data"))</f>
        <v/>
      </c>
      <c r="BD134" s="13">
        <f>IF('Council Entry'!BD134="","",IFERROR(MAX(0,MIN(10,ROUND(IF('Council Entry'!BD$7="Decrease Risk",10-10*((IF('Council Entry'!BD$4="Logarithm",LN(0.001+IF(AND(ISNUMBER('Council Entry'!BD$8),ISNUMBER('Council Entry'!BD$9)),MAX(MIN('Council Entry'!BD134,'Council Entry'!BD$9),'Council Entry'!BD$8),'Council Entry'!BD134)),IF('Council Entry'!BD$4="Exponential",EXP(IF(AND(ISNUMBER('Council Entry'!BD$8),ISNUMBER('Council Entry'!BD$9)),MAX(MIN('Council Entry'!BD134,'Council Entry'!BD$9),'Council Entry'!BD$8),'Council Entry'!BD134)),IF(AND(ISNUMBER('Council Entry'!BD$8),ISNUMBER('Council Entry'!BD$9)),MAX(MIN('Council Entry'!BD134,'Council Entry'!BD$9),'Council Entry'!BD$8),'Council Entry'!BD134))))-'Council Entry'!BD$5)/('Council Entry'!BD$6-'Council Entry'!BD$5),10*((IF('Council Entry'!BD$4="Logarithm",LN(0.001+IF(AND(ISNUMBER('Council Entry'!BD$8),ISNUMBER('Council Entry'!BD$9)),MAX(MIN('Council Entry'!BD134,'Council Entry'!BD$9),'Council Entry'!BD$8),'Council Entry'!BD134)),IF('Council Entry'!BD$4="Exponential",EXP(IF(AND(ISNUMBER('Council Entry'!BD$8),ISNUMBER('Council Entry'!BD$9)),MAX(MIN('Council Entry'!BD134,'Council Entry'!BD$9),'Council Entry'!BD$8),'Council Entry'!BD134)),IF(AND(ISNUMBER('Council Entry'!BD$8),ISNUMBER('Council Entry'!BD$9)),MAX(MIN('Council Entry'!BD134,'Council Entry'!BD$9),'Council Entry'!BD$8),'Council Entry'!BD134))))-'Council Entry'!BD$5)/('Council Entry'!BD$6-'Council Entry'!BD$5)),1))),"No data"))</f>
        <v/>
      </c>
    </row>
    <row r="135">
      <c r="A135" t="inlineStr">
        <is>
          <t>Mwanza</t>
        </is>
      </c>
      <c r="B135" t="inlineStr">
        <is>
          <t>Ukerewe District</t>
        </is>
      </c>
      <c r="C135" t="inlineStr">
        <is>
          <t>C133</t>
        </is>
      </c>
      <c r="D135" s="13">
        <f>IF('Council Entry'!D135="","",IFERROR(MAX(0,MIN(10,ROUND(IF('Council Entry'!D$7="Decrease Risk",10-10*((IF('Council Entry'!D$4="Logarithm",LN(0.001+IF(AND(ISNUMBER('Council Entry'!D$8),ISNUMBER('Council Entry'!D$9)),MAX(MIN('Council Entry'!D135,'Council Entry'!D$9),'Council Entry'!D$8),'Council Entry'!D135)),IF('Council Entry'!D$4="Exponential",EXP(IF(AND(ISNUMBER('Council Entry'!D$8),ISNUMBER('Council Entry'!D$9)),MAX(MIN('Council Entry'!D135,'Council Entry'!D$9),'Council Entry'!D$8),'Council Entry'!D135)),IF(AND(ISNUMBER('Council Entry'!D$8),ISNUMBER('Council Entry'!D$9)),MAX(MIN('Council Entry'!D135,'Council Entry'!D$9),'Council Entry'!D$8),'Council Entry'!D135))))-'Council Entry'!D$5)/('Council Entry'!D$6-'Council Entry'!D$5),10*((IF('Council Entry'!D$4="Logarithm",LN(0.001+IF(AND(ISNUMBER('Council Entry'!D$8),ISNUMBER('Council Entry'!D$9)),MAX(MIN('Council Entry'!D135,'Council Entry'!D$9),'Council Entry'!D$8),'Council Entry'!D135)),IF('Council Entry'!D$4="Exponential",EXP(IF(AND(ISNUMBER('Council Entry'!D$8),ISNUMBER('Council Entry'!D$9)),MAX(MIN('Council Entry'!D135,'Council Entry'!D$9),'Council Entry'!D$8),'Council Entry'!D135)),IF(AND(ISNUMBER('Council Entry'!D$8),ISNUMBER('Council Entry'!D$9)),MAX(MIN('Council Entry'!D135,'Council Entry'!D$9),'Council Entry'!D$8),'Council Entry'!D135))))-'Council Entry'!D$5)/('Council Entry'!D$6-'Council Entry'!D$5)),1))),"No data"))</f>
        <v/>
      </c>
      <c r="E135" s="13">
        <f>IF('Council Entry'!E135="","",IFERROR(MAX(0,MIN(10,ROUND(IF('Council Entry'!E$7="Decrease Risk",10-10*((IF('Council Entry'!E$4="Logarithm",LN(0.001+IF(AND(ISNUMBER('Council Entry'!E$8),ISNUMBER('Council Entry'!E$9)),MAX(MIN('Council Entry'!E135,'Council Entry'!E$9),'Council Entry'!E$8),'Council Entry'!E135)),IF('Council Entry'!E$4="Exponential",EXP(IF(AND(ISNUMBER('Council Entry'!E$8),ISNUMBER('Council Entry'!E$9)),MAX(MIN('Council Entry'!E135,'Council Entry'!E$9),'Council Entry'!E$8),'Council Entry'!E135)),IF(AND(ISNUMBER('Council Entry'!E$8),ISNUMBER('Council Entry'!E$9)),MAX(MIN('Council Entry'!E135,'Council Entry'!E$9),'Council Entry'!E$8),'Council Entry'!E135))))-'Council Entry'!E$5)/('Council Entry'!E$6-'Council Entry'!E$5),10*((IF('Council Entry'!E$4="Logarithm",LN(0.001+IF(AND(ISNUMBER('Council Entry'!E$8),ISNUMBER('Council Entry'!E$9)),MAX(MIN('Council Entry'!E135,'Council Entry'!E$9),'Council Entry'!E$8),'Council Entry'!E135)),IF('Council Entry'!E$4="Exponential",EXP(IF(AND(ISNUMBER('Council Entry'!E$8),ISNUMBER('Council Entry'!E$9)),MAX(MIN('Council Entry'!E135,'Council Entry'!E$9),'Council Entry'!E$8),'Council Entry'!E135)),IF(AND(ISNUMBER('Council Entry'!E$8),ISNUMBER('Council Entry'!E$9)),MAX(MIN('Council Entry'!E135,'Council Entry'!E$9),'Council Entry'!E$8),'Council Entry'!E135))))-'Council Entry'!E$5)/('Council Entry'!E$6-'Council Entry'!E$5)),1))),"No data"))</f>
        <v/>
      </c>
      <c r="F135" s="13">
        <f>IF('Council Entry'!F135="","",IFERROR(MAX(0,MIN(10,ROUND(IF('Council Entry'!F$7="Decrease Risk",10-10*((IF('Council Entry'!F$4="Logarithm",LN(0.001+IF(AND(ISNUMBER('Council Entry'!F$8),ISNUMBER('Council Entry'!F$9)),MAX(MIN('Council Entry'!F135,'Council Entry'!F$9),'Council Entry'!F$8),'Council Entry'!F135)),IF('Council Entry'!F$4="Exponential",EXP(IF(AND(ISNUMBER('Council Entry'!F$8),ISNUMBER('Council Entry'!F$9)),MAX(MIN('Council Entry'!F135,'Council Entry'!F$9),'Council Entry'!F$8),'Council Entry'!F135)),IF(AND(ISNUMBER('Council Entry'!F$8),ISNUMBER('Council Entry'!F$9)),MAX(MIN('Council Entry'!F135,'Council Entry'!F$9),'Council Entry'!F$8),'Council Entry'!F135))))-'Council Entry'!F$5)/('Council Entry'!F$6-'Council Entry'!F$5),10*((IF('Council Entry'!F$4="Logarithm",LN(0.001+IF(AND(ISNUMBER('Council Entry'!F$8),ISNUMBER('Council Entry'!F$9)),MAX(MIN('Council Entry'!F135,'Council Entry'!F$9),'Council Entry'!F$8),'Council Entry'!F135)),IF('Council Entry'!F$4="Exponential",EXP(IF(AND(ISNUMBER('Council Entry'!F$8),ISNUMBER('Council Entry'!F$9)),MAX(MIN('Council Entry'!F135,'Council Entry'!F$9),'Council Entry'!F$8),'Council Entry'!F135)),IF(AND(ISNUMBER('Council Entry'!F$8),ISNUMBER('Council Entry'!F$9)),MAX(MIN('Council Entry'!F135,'Council Entry'!F$9),'Council Entry'!F$8),'Council Entry'!F135))))-'Council Entry'!F$5)/('Council Entry'!F$6-'Council Entry'!F$5)),1))),"No data"))</f>
        <v/>
      </c>
      <c r="G135" s="13">
        <f>IF('Council Entry'!G135="","",IFERROR(MAX(0,MIN(10,ROUND(IF('Council Entry'!G$7="Decrease Risk",10-10*((IF('Council Entry'!G$4="Logarithm",LN(0.001+IF(AND(ISNUMBER('Council Entry'!G$8),ISNUMBER('Council Entry'!G$9)),MAX(MIN('Council Entry'!G135,'Council Entry'!G$9),'Council Entry'!G$8),'Council Entry'!G135)),IF('Council Entry'!G$4="Exponential",EXP(IF(AND(ISNUMBER('Council Entry'!G$8),ISNUMBER('Council Entry'!G$9)),MAX(MIN('Council Entry'!G135,'Council Entry'!G$9),'Council Entry'!G$8),'Council Entry'!G135)),IF(AND(ISNUMBER('Council Entry'!G$8),ISNUMBER('Council Entry'!G$9)),MAX(MIN('Council Entry'!G135,'Council Entry'!G$9),'Council Entry'!G$8),'Council Entry'!G135))))-'Council Entry'!G$5)/('Council Entry'!G$6-'Council Entry'!G$5),10*((IF('Council Entry'!G$4="Logarithm",LN(0.001+IF(AND(ISNUMBER('Council Entry'!G$8),ISNUMBER('Council Entry'!G$9)),MAX(MIN('Council Entry'!G135,'Council Entry'!G$9),'Council Entry'!G$8),'Council Entry'!G135)),IF('Council Entry'!G$4="Exponential",EXP(IF(AND(ISNUMBER('Council Entry'!G$8),ISNUMBER('Council Entry'!G$9)),MAX(MIN('Council Entry'!G135,'Council Entry'!G$9),'Council Entry'!G$8),'Council Entry'!G135)),IF(AND(ISNUMBER('Council Entry'!G$8),ISNUMBER('Council Entry'!G$9)),MAX(MIN('Council Entry'!G135,'Council Entry'!G$9),'Council Entry'!G$8),'Council Entry'!G135))))-'Council Entry'!G$5)/('Council Entry'!G$6-'Council Entry'!G$5)),1))),"No data"))</f>
        <v/>
      </c>
      <c r="H135" s="13">
        <f>IF('Council Entry'!H135="","",IFERROR(MAX(0,MIN(10,ROUND(IF('Council Entry'!H$7="Decrease Risk",10-10*((IF('Council Entry'!H$4="Logarithm",LN(0.001+IF(AND(ISNUMBER('Council Entry'!H$8),ISNUMBER('Council Entry'!H$9)),MAX(MIN('Council Entry'!H135,'Council Entry'!H$9),'Council Entry'!H$8),'Council Entry'!H135)),IF('Council Entry'!H$4="Exponential",EXP(IF(AND(ISNUMBER('Council Entry'!H$8),ISNUMBER('Council Entry'!H$9)),MAX(MIN('Council Entry'!H135,'Council Entry'!H$9),'Council Entry'!H$8),'Council Entry'!H135)),IF(AND(ISNUMBER('Council Entry'!H$8),ISNUMBER('Council Entry'!H$9)),MAX(MIN('Council Entry'!H135,'Council Entry'!H$9),'Council Entry'!H$8),'Council Entry'!H135))))-'Council Entry'!H$5)/('Council Entry'!H$6-'Council Entry'!H$5),10*((IF('Council Entry'!H$4="Logarithm",LN(0.001+IF(AND(ISNUMBER('Council Entry'!H$8),ISNUMBER('Council Entry'!H$9)),MAX(MIN('Council Entry'!H135,'Council Entry'!H$9),'Council Entry'!H$8),'Council Entry'!H135)),IF('Council Entry'!H$4="Exponential",EXP(IF(AND(ISNUMBER('Council Entry'!H$8),ISNUMBER('Council Entry'!H$9)),MAX(MIN('Council Entry'!H135,'Council Entry'!H$9),'Council Entry'!H$8),'Council Entry'!H135)),IF(AND(ISNUMBER('Council Entry'!H$8),ISNUMBER('Council Entry'!H$9)),MAX(MIN('Council Entry'!H135,'Council Entry'!H$9),'Council Entry'!H$8),'Council Entry'!H135))))-'Council Entry'!H$5)/('Council Entry'!H$6-'Council Entry'!H$5)),1))),"No data"))</f>
        <v/>
      </c>
      <c r="I135" s="13">
        <f>IF('Council Entry'!I135="","",IFERROR(MAX(0,MIN(10,ROUND(IF('Council Entry'!I$7="Decrease Risk",10-10*((IF('Council Entry'!I$4="Logarithm",LN(0.001+IF(AND(ISNUMBER('Council Entry'!I$8),ISNUMBER('Council Entry'!I$9)),MAX(MIN('Council Entry'!I135,'Council Entry'!I$9),'Council Entry'!I$8),'Council Entry'!I135)),IF('Council Entry'!I$4="Exponential",EXP(IF(AND(ISNUMBER('Council Entry'!I$8),ISNUMBER('Council Entry'!I$9)),MAX(MIN('Council Entry'!I135,'Council Entry'!I$9),'Council Entry'!I$8),'Council Entry'!I135)),IF(AND(ISNUMBER('Council Entry'!I$8),ISNUMBER('Council Entry'!I$9)),MAX(MIN('Council Entry'!I135,'Council Entry'!I$9),'Council Entry'!I$8),'Council Entry'!I135))))-'Council Entry'!I$5)/('Council Entry'!I$6-'Council Entry'!I$5),10*((IF('Council Entry'!I$4="Logarithm",LN(0.001+IF(AND(ISNUMBER('Council Entry'!I$8),ISNUMBER('Council Entry'!I$9)),MAX(MIN('Council Entry'!I135,'Council Entry'!I$9),'Council Entry'!I$8),'Council Entry'!I135)),IF('Council Entry'!I$4="Exponential",EXP(IF(AND(ISNUMBER('Council Entry'!I$8),ISNUMBER('Council Entry'!I$9)),MAX(MIN('Council Entry'!I135,'Council Entry'!I$9),'Council Entry'!I$8),'Council Entry'!I135)),IF(AND(ISNUMBER('Council Entry'!I$8),ISNUMBER('Council Entry'!I$9)),MAX(MIN('Council Entry'!I135,'Council Entry'!I$9),'Council Entry'!I$8),'Council Entry'!I135))))-'Council Entry'!I$5)/('Council Entry'!I$6-'Council Entry'!I$5)),1))),"No data"))</f>
        <v/>
      </c>
      <c r="J135" s="13">
        <f>IF('Council Entry'!J135="","",IFERROR(MAX(0,MIN(10,ROUND(IF('Council Entry'!J$7="Decrease Risk",10-10*((IF('Council Entry'!J$4="Logarithm",LN(0.001+IF(AND(ISNUMBER('Council Entry'!J$8),ISNUMBER('Council Entry'!J$9)),MAX(MIN('Council Entry'!J135,'Council Entry'!J$9),'Council Entry'!J$8),'Council Entry'!J135)),IF('Council Entry'!J$4="Exponential",EXP(IF(AND(ISNUMBER('Council Entry'!J$8),ISNUMBER('Council Entry'!J$9)),MAX(MIN('Council Entry'!J135,'Council Entry'!J$9),'Council Entry'!J$8),'Council Entry'!J135)),IF(AND(ISNUMBER('Council Entry'!J$8),ISNUMBER('Council Entry'!J$9)),MAX(MIN('Council Entry'!J135,'Council Entry'!J$9),'Council Entry'!J$8),'Council Entry'!J135))))-'Council Entry'!J$5)/('Council Entry'!J$6-'Council Entry'!J$5),10*((IF('Council Entry'!J$4="Logarithm",LN(0.001+IF(AND(ISNUMBER('Council Entry'!J$8),ISNUMBER('Council Entry'!J$9)),MAX(MIN('Council Entry'!J135,'Council Entry'!J$9),'Council Entry'!J$8),'Council Entry'!J135)),IF('Council Entry'!J$4="Exponential",EXP(IF(AND(ISNUMBER('Council Entry'!J$8),ISNUMBER('Council Entry'!J$9)),MAX(MIN('Council Entry'!J135,'Council Entry'!J$9),'Council Entry'!J$8),'Council Entry'!J135)),IF(AND(ISNUMBER('Council Entry'!J$8),ISNUMBER('Council Entry'!J$9)),MAX(MIN('Council Entry'!J135,'Council Entry'!J$9),'Council Entry'!J$8),'Council Entry'!J135))))-'Council Entry'!J$5)/('Council Entry'!J$6-'Council Entry'!J$5)),1))),"No data"))</f>
        <v/>
      </c>
      <c r="K135" s="13">
        <f>IF('Council Entry'!K135="","",IFERROR(MAX(0,MIN(10,ROUND(IF('Council Entry'!K$7="Decrease Risk",10-10*((IF('Council Entry'!K$4="Logarithm",LN(0.001+IF(AND(ISNUMBER('Council Entry'!K$8),ISNUMBER('Council Entry'!K$9)),MAX(MIN('Council Entry'!K135,'Council Entry'!K$9),'Council Entry'!K$8),'Council Entry'!K135)),IF('Council Entry'!K$4="Exponential",EXP(IF(AND(ISNUMBER('Council Entry'!K$8),ISNUMBER('Council Entry'!K$9)),MAX(MIN('Council Entry'!K135,'Council Entry'!K$9),'Council Entry'!K$8),'Council Entry'!K135)),IF(AND(ISNUMBER('Council Entry'!K$8),ISNUMBER('Council Entry'!K$9)),MAX(MIN('Council Entry'!K135,'Council Entry'!K$9),'Council Entry'!K$8),'Council Entry'!K135))))-'Council Entry'!K$5)/('Council Entry'!K$6-'Council Entry'!K$5),10*((IF('Council Entry'!K$4="Logarithm",LN(0.001+IF(AND(ISNUMBER('Council Entry'!K$8),ISNUMBER('Council Entry'!K$9)),MAX(MIN('Council Entry'!K135,'Council Entry'!K$9),'Council Entry'!K$8),'Council Entry'!K135)),IF('Council Entry'!K$4="Exponential",EXP(IF(AND(ISNUMBER('Council Entry'!K$8),ISNUMBER('Council Entry'!K$9)),MAX(MIN('Council Entry'!K135,'Council Entry'!K$9),'Council Entry'!K$8),'Council Entry'!K135)),IF(AND(ISNUMBER('Council Entry'!K$8),ISNUMBER('Council Entry'!K$9)),MAX(MIN('Council Entry'!K135,'Council Entry'!K$9),'Council Entry'!K$8),'Council Entry'!K135))))-'Council Entry'!K$5)/('Council Entry'!K$6-'Council Entry'!K$5)),1))),"No data"))</f>
        <v/>
      </c>
      <c r="L135" s="13">
        <f>IF('Council Entry'!L135="","",IFERROR(MAX(0,MIN(10,ROUND(IF('Council Entry'!L$7="Decrease Risk",10-10*((IF('Council Entry'!L$4="Logarithm",LN(0.001+IF(AND(ISNUMBER('Council Entry'!L$8),ISNUMBER('Council Entry'!L$9)),MAX(MIN('Council Entry'!L135,'Council Entry'!L$9),'Council Entry'!L$8),'Council Entry'!L135)),IF('Council Entry'!L$4="Exponential",EXP(IF(AND(ISNUMBER('Council Entry'!L$8),ISNUMBER('Council Entry'!L$9)),MAX(MIN('Council Entry'!L135,'Council Entry'!L$9),'Council Entry'!L$8),'Council Entry'!L135)),IF(AND(ISNUMBER('Council Entry'!L$8),ISNUMBER('Council Entry'!L$9)),MAX(MIN('Council Entry'!L135,'Council Entry'!L$9),'Council Entry'!L$8),'Council Entry'!L135))))-'Council Entry'!L$5)/('Council Entry'!L$6-'Council Entry'!L$5),10*((IF('Council Entry'!L$4="Logarithm",LN(0.001+IF(AND(ISNUMBER('Council Entry'!L$8),ISNUMBER('Council Entry'!L$9)),MAX(MIN('Council Entry'!L135,'Council Entry'!L$9),'Council Entry'!L$8),'Council Entry'!L135)),IF('Council Entry'!L$4="Exponential",EXP(IF(AND(ISNUMBER('Council Entry'!L$8),ISNUMBER('Council Entry'!L$9)),MAX(MIN('Council Entry'!L135,'Council Entry'!L$9),'Council Entry'!L$8),'Council Entry'!L135)),IF(AND(ISNUMBER('Council Entry'!L$8),ISNUMBER('Council Entry'!L$9)),MAX(MIN('Council Entry'!L135,'Council Entry'!L$9),'Council Entry'!L$8),'Council Entry'!L135))))-'Council Entry'!L$5)/('Council Entry'!L$6-'Council Entry'!L$5)),1))),"No data"))</f>
        <v/>
      </c>
      <c r="M135" s="13">
        <f>IF('Council Entry'!M135="","",IFERROR(MAX(0,MIN(10,ROUND(IF('Council Entry'!M$7="Decrease Risk",10-10*((IF('Council Entry'!M$4="Logarithm",LN(0.001+IF(AND(ISNUMBER('Council Entry'!M$8),ISNUMBER('Council Entry'!M$9)),MAX(MIN('Council Entry'!M135,'Council Entry'!M$9),'Council Entry'!M$8),'Council Entry'!M135)),IF('Council Entry'!M$4="Exponential",EXP(IF(AND(ISNUMBER('Council Entry'!M$8),ISNUMBER('Council Entry'!M$9)),MAX(MIN('Council Entry'!M135,'Council Entry'!M$9),'Council Entry'!M$8),'Council Entry'!M135)),IF(AND(ISNUMBER('Council Entry'!M$8),ISNUMBER('Council Entry'!M$9)),MAX(MIN('Council Entry'!M135,'Council Entry'!M$9),'Council Entry'!M$8),'Council Entry'!M135))))-'Council Entry'!M$5)/('Council Entry'!M$6-'Council Entry'!M$5),10*((IF('Council Entry'!M$4="Logarithm",LN(0.001+IF(AND(ISNUMBER('Council Entry'!M$8),ISNUMBER('Council Entry'!M$9)),MAX(MIN('Council Entry'!M135,'Council Entry'!M$9),'Council Entry'!M$8),'Council Entry'!M135)),IF('Council Entry'!M$4="Exponential",EXP(IF(AND(ISNUMBER('Council Entry'!M$8),ISNUMBER('Council Entry'!M$9)),MAX(MIN('Council Entry'!M135,'Council Entry'!M$9),'Council Entry'!M$8),'Council Entry'!M135)),IF(AND(ISNUMBER('Council Entry'!M$8),ISNUMBER('Council Entry'!M$9)),MAX(MIN('Council Entry'!M135,'Council Entry'!M$9),'Council Entry'!M$8),'Council Entry'!M135))))-'Council Entry'!M$5)/('Council Entry'!M$6-'Council Entry'!M$5)),1))),"No data"))</f>
        <v/>
      </c>
      <c r="N135" s="13">
        <f>IF('Council Entry'!N135="","",IFERROR(MAX(0,MIN(10,ROUND(IF('Council Entry'!N$7="Decrease Risk",10-10*((IF('Council Entry'!N$4="Logarithm",LN(0.001+IF(AND(ISNUMBER('Council Entry'!N$8),ISNUMBER('Council Entry'!N$9)),MAX(MIN('Council Entry'!N135,'Council Entry'!N$9),'Council Entry'!N$8),'Council Entry'!N135)),IF('Council Entry'!N$4="Exponential",EXP(IF(AND(ISNUMBER('Council Entry'!N$8),ISNUMBER('Council Entry'!N$9)),MAX(MIN('Council Entry'!N135,'Council Entry'!N$9),'Council Entry'!N$8),'Council Entry'!N135)),IF(AND(ISNUMBER('Council Entry'!N$8),ISNUMBER('Council Entry'!N$9)),MAX(MIN('Council Entry'!N135,'Council Entry'!N$9),'Council Entry'!N$8),'Council Entry'!N135))))-'Council Entry'!N$5)/('Council Entry'!N$6-'Council Entry'!N$5),10*((IF('Council Entry'!N$4="Logarithm",LN(0.001+IF(AND(ISNUMBER('Council Entry'!N$8),ISNUMBER('Council Entry'!N$9)),MAX(MIN('Council Entry'!N135,'Council Entry'!N$9),'Council Entry'!N$8),'Council Entry'!N135)),IF('Council Entry'!N$4="Exponential",EXP(IF(AND(ISNUMBER('Council Entry'!N$8),ISNUMBER('Council Entry'!N$9)),MAX(MIN('Council Entry'!N135,'Council Entry'!N$9),'Council Entry'!N$8),'Council Entry'!N135)),IF(AND(ISNUMBER('Council Entry'!N$8),ISNUMBER('Council Entry'!N$9)),MAX(MIN('Council Entry'!N135,'Council Entry'!N$9),'Council Entry'!N$8),'Council Entry'!N135))))-'Council Entry'!N$5)/('Council Entry'!N$6-'Council Entry'!N$5)),1))),"No data"))</f>
        <v/>
      </c>
      <c r="O135" s="13">
        <f>IF('Council Entry'!O135="","",IFERROR(MAX(0,MIN(10,ROUND(IF('Council Entry'!O$7="Decrease Risk",10-10*((IF('Council Entry'!O$4="Logarithm",LN(0.001+IF(AND(ISNUMBER('Council Entry'!O$8),ISNUMBER('Council Entry'!O$9)),MAX(MIN('Council Entry'!O135,'Council Entry'!O$9),'Council Entry'!O$8),'Council Entry'!O135)),IF('Council Entry'!O$4="Exponential",EXP(IF(AND(ISNUMBER('Council Entry'!O$8),ISNUMBER('Council Entry'!O$9)),MAX(MIN('Council Entry'!O135,'Council Entry'!O$9),'Council Entry'!O$8),'Council Entry'!O135)),IF(AND(ISNUMBER('Council Entry'!O$8),ISNUMBER('Council Entry'!O$9)),MAX(MIN('Council Entry'!O135,'Council Entry'!O$9),'Council Entry'!O$8),'Council Entry'!O135))))-'Council Entry'!O$5)/('Council Entry'!O$6-'Council Entry'!O$5),10*((IF('Council Entry'!O$4="Logarithm",LN(0.001+IF(AND(ISNUMBER('Council Entry'!O$8),ISNUMBER('Council Entry'!O$9)),MAX(MIN('Council Entry'!O135,'Council Entry'!O$9),'Council Entry'!O$8),'Council Entry'!O135)),IF('Council Entry'!O$4="Exponential",EXP(IF(AND(ISNUMBER('Council Entry'!O$8),ISNUMBER('Council Entry'!O$9)),MAX(MIN('Council Entry'!O135,'Council Entry'!O$9),'Council Entry'!O$8),'Council Entry'!O135)),IF(AND(ISNUMBER('Council Entry'!O$8),ISNUMBER('Council Entry'!O$9)),MAX(MIN('Council Entry'!O135,'Council Entry'!O$9),'Council Entry'!O$8),'Council Entry'!O135))))-'Council Entry'!O$5)/('Council Entry'!O$6-'Council Entry'!O$5)),1))),"No data"))</f>
        <v/>
      </c>
      <c r="P135" s="13">
        <f>IF('Council Entry'!P135="","",IFERROR(MAX(0,MIN(10,ROUND(IF('Council Entry'!P$7="Decrease Risk",10-10*((IF('Council Entry'!P$4="Logarithm",LN(0.001+IF(AND(ISNUMBER('Council Entry'!P$8),ISNUMBER('Council Entry'!P$9)),MAX(MIN('Council Entry'!P135,'Council Entry'!P$9),'Council Entry'!P$8),'Council Entry'!P135)),IF('Council Entry'!P$4="Exponential",EXP(IF(AND(ISNUMBER('Council Entry'!P$8),ISNUMBER('Council Entry'!P$9)),MAX(MIN('Council Entry'!P135,'Council Entry'!P$9),'Council Entry'!P$8),'Council Entry'!P135)),IF(AND(ISNUMBER('Council Entry'!P$8),ISNUMBER('Council Entry'!P$9)),MAX(MIN('Council Entry'!P135,'Council Entry'!P$9),'Council Entry'!P$8),'Council Entry'!P135))))-'Council Entry'!P$5)/('Council Entry'!P$6-'Council Entry'!P$5),10*((IF('Council Entry'!P$4="Logarithm",LN(0.001+IF(AND(ISNUMBER('Council Entry'!P$8),ISNUMBER('Council Entry'!P$9)),MAX(MIN('Council Entry'!P135,'Council Entry'!P$9),'Council Entry'!P$8),'Council Entry'!P135)),IF('Council Entry'!P$4="Exponential",EXP(IF(AND(ISNUMBER('Council Entry'!P$8),ISNUMBER('Council Entry'!P$9)),MAX(MIN('Council Entry'!P135,'Council Entry'!P$9),'Council Entry'!P$8),'Council Entry'!P135)),IF(AND(ISNUMBER('Council Entry'!P$8),ISNUMBER('Council Entry'!P$9)),MAX(MIN('Council Entry'!P135,'Council Entry'!P$9),'Council Entry'!P$8),'Council Entry'!P135))))-'Council Entry'!P$5)/('Council Entry'!P$6-'Council Entry'!P$5)),1))),"No data"))</f>
        <v/>
      </c>
      <c r="Q135" s="13">
        <f>IF('Council Entry'!Q135="","",IFERROR(MAX(0,MIN(10,ROUND(IF('Council Entry'!Q$7="Decrease Risk",10-10*((IF('Council Entry'!Q$4="Logarithm",LN(0.001+IF(AND(ISNUMBER('Council Entry'!Q$8),ISNUMBER('Council Entry'!Q$9)),MAX(MIN('Council Entry'!Q135,'Council Entry'!Q$9),'Council Entry'!Q$8),'Council Entry'!Q135)),IF('Council Entry'!Q$4="Exponential",EXP(IF(AND(ISNUMBER('Council Entry'!Q$8),ISNUMBER('Council Entry'!Q$9)),MAX(MIN('Council Entry'!Q135,'Council Entry'!Q$9),'Council Entry'!Q$8),'Council Entry'!Q135)),IF(AND(ISNUMBER('Council Entry'!Q$8),ISNUMBER('Council Entry'!Q$9)),MAX(MIN('Council Entry'!Q135,'Council Entry'!Q$9),'Council Entry'!Q$8),'Council Entry'!Q135))))-'Council Entry'!Q$5)/('Council Entry'!Q$6-'Council Entry'!Q$5),10*((IF('Council Entry'!Q$4="Logarithm",LN(0.001+IF(AND(ISNUMBER('Council Entry'!Q$8),ISNUMBER('Council Entry'!Q$9)),MAX(MIN('Council Entry'!Q135,'Council Entry'!Q$9),'Council Entry'!Q$8),'Council Entry'!Q135)),IF('Council Entry'!Q$4="Exponential",EXP(IF(AND(ISNUMBER('Council Entry'!Q$8),ISNUMBER('Council Entry'!Q$9)),MAX(MIN('Council Entry'!Q135,'Council Entry'!Q$9),'Council Entry'!Q$8),'Council Entry'!Q135)),IF(AND(ISNUMBER('Council Entry'!Q$8),ISNUMBER('Council Entry'!Q$9)),MAX(MIN('Council Entry'!Q135,'Council Entry'!Q$9),'Council Entry'!Q$8),'Council Entry'!Q135))))-'Council Entry'!Q$5)/('Council Entry'!Q$6-'Council Entry'!Q$5)),1))),"No data"))</f>
        <v/>
      </c>
      <c r="R135" s="13">
        <f>IF('Council Entry'!R135="","",IFERROR(MAX(0,MIN(10,ROUND(IF('Council Entry'!R$7="Decrease Risk",10-10*((IF('Council Entry'!R$4="Logarithm",LN(0.001+IF(AND(ISNUMBER('Council Entry'!R$8),ISNUMBER('Council Entry'!R$9)),MAX(MIN('Council Entry'!R135,'Council Entry'!R$9),'Council Entry'!R$8),'Council Entry'!R135)),IF('Council Entry'!R$4="Exponential",EXP(IF(AND(ISNUMBER('Council Entry'!R$8),ISNUMBER('Council Entry'!R$9)),MAX(MIN('Council Entry'!R135,'Council Entry'!R$9),'Council Entry'!R$8),'Council Entry'!R135)),IF(AND(ISNUMBER('Council Entry'!R$8),ISNUMBER('Council Entry'!R$9)),MAX(MIN('Council Entry'!R135,'Council Entry'!R$9),'Council Entry'!R$8),'Council Entry'!R135))))-'Council Entry'!R$5)/('Council Entry'!R$6-'Council Entry'!R$5),10*((IF('Council Entry'!R$4="Logarithm",LN(0.001+IF(AND(ISNUMBER('Council Entry'!R$8),ISNUMBER('Council Entry'!R$9)),MAX(MIN('Council Entry'!R135,'Council Entry'!R$9),'Council Entry'!R$8),'Council Entry'!R135)),IF('Council Entry'!R$4="Exponential",EXP(IF(AND(ISNUMBER('Council Entry'!R$8),ISNUMBER('Council Entry'!R$9)),MAX(MIN('Council Entry'!R135,'Council Entry'!R$9),'Council Entry'!R$8),'Council Entry'!R135)),IF(AND(ISNUMBER('Council Entry'!R$8),ISNUMBER('Council Entry'!R$9)),MAX(MIN('Council Entry'!R135,'Council Entry'!R$9),'Council Entry'!R$8),'Council Entry'!R135))))-'Council Entry'!R$5)/('Council Entry'!R$6-'Council Entry'!R$5)),1))),"No data"))</f>
        <v/>
      </c>
      <c r="S135" s="13">
        <f>IF('Council Entry'!S135="","",IFERROR(MAX(0,MIN(10,ROUND(IF('Council Entry'!S$7="Decrease Risk",10-10*((IF('Council Entry'!S$4="Logarithm",LN(0.001+IF(AND(ISNUMBER('Council Entry'!S$8),ISNUMBER('Council Entry'!S$9)),MAX(MIN('Council Entry'!S135,'Council Entry'!S$9),'Council Entry'!S$8),'Council Entry'!S135)),IF('Council Entry'!S$4="Exponential",EXP(IF(AND(ISNUMBER('Council Entry'!S$8),ISNUMBER('Council Entry'!S$9)),MAX(MIN('Council Entry'!S135,'Council Entry'!S$9),'Council Entry'!S$8),'Council Entry'!S135)),IF(AND(ISNUMBER('Council Entry'!S$8),ISNUMBER('Council Entry'!S$9)),MAX(MIN('Council Entry'!S135,'Council Entry'!S$9),'Council Entry'!S$8),'Council Entry'!S135))))-'Council Entry'!S$5)/('Council Entry'!S$6-'Council Entry'!S$5),10*((IF('Council Entry'!S$4="Logarithm",LN(0.001+IF(AND(ISNUMBER('Council Entry'!S$8),ISNUMBER('Council Entry'!S$9)),MAX(MIN('Council Entry'!S135,'Council Entry'!S$9),'Council Entry'!S$8),'Council Entry'!S135)),IF('Council Entry'!S$4="Exponential",EXP(IF(AND(ISNUMBER('Council Entry'!S$8),ISNUMBER('Council Entry'!S$9)),MAX(MIN('Council Entry'!S135,'Council Entry'!S$9),'Council Entry'!S$8),'Council Entry'!S135)),IF(AND(ISNUMBER('Council Entry'!S$8),ISNUMBER('Council Entry'!S$9)),MAX(MIN('Council Entry'!S135,'Council Entry'!S$9),'Council Entry'!S$8),'Council Entry'!S135))))-'Council Entry'!S$5)/('Council Entry'!S$6-'Council Entry'!S$5)),1))),"No data"))</f>
        <v/>
      </c>
      <c r="T135" s="13">
        <f>IF('Council Entry'!T135="","",IFERROR(MAX(0,MIN(10,ROUND(IF('Council Entry'!T$7="Decrease Risk",10-10*((IF('Council Entry'!T$4="Logarithm",LN(0.001+IF(AND(ISNUMBER('Council Entry'!T$8),ISNUMBER('Council Entry'!T$9)),MAX(MIN('Council Entry'!T135,'Council Entry'!T$9),'Council Entry'!T$8),'Council Entry'!T135)),IF('Council Entry'!T$4="Exponential",EXP(IF(AND(ISNUMBER('Council Entry'!T$8),ISNUMBER('Council Entry'!T$9)),MAX(MIN('Council Entry'!T135,'Council Entry'!T$9),'Council Entry'!T$8),'Council Entry'!T135)),IF(AND(ISNUMBER('Council Entry'!T$8),ISNUMBER('Council Entry'!T$9)),MAX(MIN('Council Entry'!T135,'Council Entry'!T$9),'Council Entry'!T$8),'Council Entry'!T135))))-'Council Entry'!T$5)/('Council Entry'!T$6-'Council Entry'!T$5),10*((IF('Council Entry'!T$4="Logarithm",LN(0.001+IF(AND(ISNUMBER('Council Entry'!T$8),ISNUMBER('Council Entry'!T$9)),MAX(MIN('Council Entry'!T135,'Council Entry'!T$9),'Council Entry'!T$8),'Council Entry'!T135)),IF('Council Entry'!T$4="Exponential",EXP(IF(AND(ISNUMBER('Council Entry'!T$8),ISNUMBER('Council Entry'!T$9)),MAX(MIN('Council Entry'!T135,'Council Entry'!T$9),'Council Entry'!T$8),'Council Entry'!T135)),IF(AND(ISNUMBER('Council Entry'!T$8),ISNUMBER('Council Entry'!T$9)),MAX(MIN('Council Entry'!T135,'Council Entry'!T$9),'Council Entry'!T$8),'Council Entry'!T135))))-'Council Entry'!T$5)/('Council Entry'!T$6-'Council Entry'!T$5)),1))),"No data"))</f>
        <v/>
      </c>
      <c r="U135" s="13">
        <f>IF('Council Entry'!U135="","",IFERROR(MAX(0,MIN(10,ROUND(IF('Council Entry'!U$7="Decrease Risk",10-10*((IF('Council Entry'!U$4="Logarithm",LN(0.001+IF(AND(ISNUMBER('Council Entry'!U$8),ISNUMBER('Council Entry'!U$9)),MAX(MIN('Council Entry'!U135,'Council Entry'!U$9),'Council Entry'!U$8),'Council Entry'!U135)),IF('Council Entry'!U$4="Exponential",EXP(IF(AND(ISNUMBER('Council Entry'!U$8),ISNUMBER('Council Entry'!U$9)),MAX(MIN('Council Entry'!U135,'Council Entry'!U$9),'Council Entry'!U$8),'Council Entry'!U135)),IF(AND(ISNUMBER('Council Entry'!U$8),ISNUMBER('Council Entry'!U$9)),MAX(MIN('Council Entry'!U135,'Council Entry'!U$9),'Council Entry'!U$8),'Council Entry'!U135))))-'Council Entry'!U$5)/('Council Entry'!U$6-'Council Entry'!U$5),10*((IF('Council Entry'!U$4="Logarithm",LN(0.001+IF(AND(ISNUMBER('Council Entry'!U$8),ISNUMBER('Council Entry'!U$9)),MAX(MIN('Council Entry'!U135,'Council Entry'!U$9),'Council Entry'!U$8),'Council Entry'!U135)),IF('Council Entry'!U$4="Exponential",EXP(IF(AND(ISNUMBER('Council Entry'!U$8),ISNUMBER('Council Entry'!U$9)),MAX(MIN('Council Entry'!U135,'Council Entry'!U$9),'Council Entry'!U$8),'Council Entry'!U135)),IF(AND(ISNUMBER('Council Entry'!U$8),ISNUMBER('Council Entry'!U$9)),MAX(MIN('Council Entry'!U135,'Council Entry'!U$9),'Council Entry'!U$8),'Council Entry'!U135))))-'Council Entry'!U$5)/('Council Entry'!U$6-'Council Entry'!U$5)),1))),"No data"))</f>
        <v/>
      </c>
      <c r="V135" s="13">
        <f>IF('Council Entry'!V135="","",IFERROR(MAX(0,MIN(10,ROUND(IF('Council Entry'!V$7="Decrease Risk",10-10*((IF('Council Entry'!V$4="Logarithm",LN(0.001+IF(AND(ISNUMBER('Council Entry'!V$8),ISNUMBER('Council Entry'!V$9)),MAX(MIN('Council Entry'!V135,'Council Entry'!V$9),'Council Entry'!V$8),'Council Entry'!V135)),IF('Council Entry'!V$4="Exponential",EXP(IF(AND(ISNUMBER('Council Entry'!V$8),ISNUMBER('Council Entry'!V$9)),MAX(MIN('Council Entry'!V135,'Council Entry'!V$9),'Council Entry'!V$8),'Council Entry'!V135)),IF(AND(ISNUMBER('Council Entry'!V$8),ISNUMBER('Council Entry'!V$9)),MAX(MIN('Council Entry'!V135,'Council Entry'!V$9),'Council Entry'!V$8),'Council Entry'!V135))))-'Council Entry'!V$5)/('Council Entry'!V$6-'Council Entry'!V$5),10*((IF('Council Entry'!V$4="Logarithm",LN(0.001+IF(AND(ISNUMBER('Council Entry'!V$8),ISNUMBER('Council Entry'!V$9)),MAX(MIN('Council Entry'!V135,'Council Entry'!V$9),'Council Entry'!V$8),'Council Entry'!V135)),IF('Council Entry'!V$4="Exponential",EXP(IF(AND(ISNUMBER('Council Entry'!V$8),ISNUMBER('Council Entry'!V$9)),MAX(MIN('Council Entry'!V135,'Council Entry'!V$9),'Council Entry'!V$8),'Council Entry'!V135)),IF(AND(ISNUMBER('Council Entry'!V$8),ISNUMBER('Council Entry'!V$9)),MAX(MIN('Council Entry'!V135,'Council Entry'!V$9),'Council Entry'!V$8),'Council Entry'!V135))))-'Council Entry'!V$5)/('Council Entry'!V$6-'Council Entry'!V$5)),1))),"No data"))</f>
        <v/>
      </c>
      <c r="W135" s="13">
        <f>IF('Council Entry'!W135="","",IFERROR(MAX(0,MIN(10,ROUND(IF('Council Entry'!W$7="Decrease Risk",10-10*((IF('Council Entry'!W$4="Logarithm",LN(0.001+IF(AND(ISNUMBER('Council Entry'!W$8),ISNUMBER('Council Entry'!W$9)),MAX(MIN('Council Entry'!W135,'Council Entry'!W$9),'Council Entry'!W$8),'Council Entry'!W135)),IF('Council Entry'!W$4="Exponential",EXP(IF(AND(ISNUMBER('Council Entry'!W$8),ISNUMBER('Council Entry'!W$9)),MAX(MIN('Council Entry'!W135,'Council Entry'!W$9),'Council Entry'!W$8),'Council Entry'!W135)),IF(AND(ISNUMBER('Council Entry'!W$8),ISNUMBER('Council Entry'!W$9)),MAX(MIN('Council Entry'!W135,'Council Entry'!W$9),'Council Entry'!W$8),'Council Entry'!W135))))-'Council Entry'!W$5)/('Council Entry'!W$6-'Council Entry'!W$5),10*((IF('Council Entry'!W$4="Logarithm",LN(0.001+IF(AND(ISNUMBER('Council Entry'!W$8),ISNUMBER('Council Entry'!W$9)),MAX(MIN('Council Entry'!W135,'Council Entry'!W$9),'Council Entry'!W$8),'Council Entry'!W135)),IF('Council Entry'!W$4="Exponential",EXP(IF(AND(ISNUMBER('Council Entry'!W$8),ISNUMBER('Council Entry'!W$9)),MAX(MIN('Council Entry'!W135,'Council Entry'!W$9),'Council Entry'!W$8),'Council Entry'!W135)),IF(AND(ISNUMBER('Council Entry'!W$8),ISNUMBER('Council Entry'!W$9)),MAX(MIN('Council Entry'!W135,'Council Entry'!W$9),'Council Entry'!W$8),'Council Entry'!W135))))-'Council Entry'!W$5)/('Council Entry'!W$6-'Council Entry'!W$5)),1))),"No data"))</f>
        <v/>
      </c>
      <c r="X135" s="13">
        <f>IF('Council Entry'!X135="","",IFERROR(MAX(0,MIN(10,ROUND(IF('Council Entry'!X$7="Decrease Risk",10-10*((IF('Council Entry'!X$4="Logarithm",LN(0.001+IF(AND(ISNUMBER('Council Entry'!X$8),ISNUMBER('Council Entry'!X$9)),MAX(MIN('Council Entry'!X135,'Council Entry'!X$9),'Council Entry'!X$8),'Council Entry'!X135)),IF('Council Entry'!X$4="Exponential",EXP(IF(AND(ISNUMBER('Council Entry'!X$8),ISNUMBER('Council Entry'!X$9)),MAX(MIN('Council Entry'!X135,'Council Entry'!X$9),'Council Entry'!X$8),'Council Entry'!X135)),IF(AND(ISNUMBER('Council Entry'!X$8),ISNUMBER('Council Entry'!X$9)),MAX(MIN('Council Entry'!X135,'Council Entry'!X$9),'Council Entry'!X$8),'Council Entry'!X135))))-'Council Entry'!X$5)/('Council Entry'!X$6-'Council Entry'!X$5),10*((IF('Council Entry'!X$4="Logarithm",LN(0.001+IF(AND(ISNUMBER('Council Entry'!X$8),ISNUMBER('Council Entry'!X$9)),MAX(MIN('Council Entry'!X135,'Council Entry'!X$9),'Council Entry'!X$8),'Council Entry'!X135)),IF('Council Entry'!X$4="Exponential",EXP(IF(AND(ISNUMBER('Council Entry'!X$8),ISNUMBER('Council Entry'!X$9)),MAX(MIN('Council Entry'!X135,'Council Entry'!X$9),'Council Entry'!X$8),'Council Entry'!X135)),IF(AND(ISNUMBER('Council Entry'!X$8),ISNUMBER('Council Entry'!X$9)),MAX(MIN('Council Entry'!X135,'Council Entry'!X$9),'Council Entry'!X$8),'Council Entry'!X135))))-'Council Entry'!X$5)/('Council Entry'!X$6-'Council Entry'!X$5)),1))),"No data"))</f>
        <v/>
      </c>
      <c r="Y135" s="13">
        <f>IF('Council Entry'!Y135="","",IFERROR(MAX(0,MIN(10,ROUND(IF('Council Entry'!Y$7="Decrease Risk",10-10*((IF('Council Entry'!Y$4="Logarithm",LN(0.001+IF(AND(ISNUMBER('Council Entry'!Y$8),ISNUMBER('Council Entry'!Y$9)),MAX(MIN('Council Entry'!Y135,'Council Entry'!Y$9),'Council Entry'!Y$8),'Council Entry'!Y135)),IF('Council Entry'!Y$4="Exponential",EXP(IF(AND(ISNUMBER('Council Entry'!Y$8),ISNUMBER('Council Entry'!Y$9)),MAX(MIN('Council Entry'!Y135,'Council Entry'!Y$9),'Council Entry'!Y$8),'Council Entry'!Y135)),IF(AND(ISNUMBER('Council Entry'!Y$8),ISNUMBER('Council Entry'!Y$9)),MAX(MIN('Council Entry'!Y135,'Council Entry'!Y$9),'Council Entry'!Y$8),'Council Entry'!Y135))))-'Council Entry'!Y$5)/('Council Entry'!Y$6-'Council Entry'!Y$5),10*((IF('Council Entry'!Y$4="Logarithm",LN(0.001+IF(AND(ISNUMBER('Council Entry'!Y$8),ISNUMBER('Council Entry'!Y$9)),MAX(MIN('Council Entry'!Y135,'Council Entry'!Y$9),'Council Entry'!Y$8),'Council Entry'!Y135)),IF('Council Entry'!Y$4="Exponential",EXP(IF(AND(ISNUMBER('Council Entry'!Y$8),ISNUMBER('Council Entry'!Y$9)),MAX(MIN('Council Entry'!Y135,'Council Entry'!Y$9),'Council Entry'!Y$8),'Council Entry'!Y135)),IF(AND(ISNUMBER('Council Entry'!Y$8),ISNUMBER('Council Entry'!Y$9)),MAX(MIN('Council Entry'!Y135,'Council Entry'!Y$9),'Council Entry'!Y$8),'Council Entry'!Y135))))-'Council Entry'!Y$5)/('Council Entry'!Y$6-'Council Entry'!Y$5)),1))),"No data"))</f>
        <v/>
      </c>
      <c r="Z135" s="13">
        <f>IF('Council Entry'!Z135="","",IFERROR(MAX(0,MIN(10,ROUND(IF('Council Entry'!Z$7="Decrease Risk",10-10*((IF('Council Entry'!Z$4="Logarithm",LN(0.001+IF(AND(ISNUMBER('Council Entry'!Z$8),ISNUMBER('Council Entry'!Z$9)),MAX(MIN('Council Entry'!Z135,'Council Entry'!Z$9),'Council Entry'!Z$8),'Council Entry'!Z135)),IF('Council Entry'!Z$4="Exponential",EXP(IF(AND(ISNUMBER('Council Entry'!Z$8),ISNUMBER('Council Entry'!Z$9)),MAX(MIN('Council Entry'!Z135,'Council Entry'!Z$9),'Council Entry'!Z$8),'Council Entry'!Z135)),IF(AND(ISNUMBER('Council Entry'!Z$8),ISNUMBER('Council Entry'!Z$9)),MAX(MIN('Council Entry'!Z135,'Council Entry'!Z$9),'Council Entry'!Z$8),'Council Entry'!Z135))))-'Council Entry'!Z$5)/('Council Entry'!Z$6-'Council Entry'!Z$5),10*((IF('Council Entry'!Z$4="Logarithm",LN(0.001+IF(AND(ISNUMBER('Council Entry'!Z$8),ISNUMBER('Council Entry'!Z$9)),MAX(MIN('Council Entry'!Z135,'Council Entry'!Z$9),'Council Entry'!Z$8),'Council Entry'!Z135)),IF('Council Entry'!Z$4="Exponential",EXP(IF(AND(ISNUMBER('Council Entry'!Z$8),ISNUMBER('Council Entry'!Z$9)),MAX(MIN('Council Entry'!Z135,'Council Entry'!Z$9),'Council Entry'!Z$8),'Council Entry'!Z135)),IF(AND(ISNUMBER('Council Entry'!Z$8),ISNUMBER('Council Entry'!Z$9)),MAX(MIN('Council Entry'!Z135,'Council Entry'!Z$9),'Council Entry'!Z$8),'Council Entry'!Z135))))-'Council Entry'!Z$5)/('Council Entry'!Z$6-'Council Entry'!Z$5)),1))),"No data"))</f>
        <v/>
      </c>
      <c r="AA135" s="13">
        <f>IF('Council Entry'!AA135="","",IFERROR(MAX(0,MIN(10,ROUND(IF('Council Entry'!AA$7="Decrease Risk",10-10*((IF('Council Entry'!AA$4="Logarithm",LN(0.001+IF(AND(ISNUMBER('Council Entry'!AA$8),ISNUMBER('Council Entry'!AA$9)),MAX(MIN('Council Entry'!AA135,'Council Entry'!AA$9),'Council Entry'!AA$8),'Council Entry'!AA135)),IF('Council Entry'!AA$4="Exponential",EXP(IF(AND(ISNUMBER('Council Entry'!AA$8),ISNUMBER('Council Entry'!AA$9)),MAX(MIN('Council Entry'!AA135,'Council Entry'!AA$9),'Council Entry'!AA$8),'Council Entry'!AA135)),IF(AND(ISNUMBER('Council Entry'!AA$8),ISNUMBER('Council Entry'!AA$9)),MAX(MIN('Council Entry'!AA135,'Council Entry'!AA$9),'Council Entry'!AA$8),'Council Entry'!AA135))))-'Council Entry'!AA$5)/('Council Entry'!AA$6-'Council Entry'!AA$5),10*((IF('Council Entry'!AA$4="Logarithm",LN(0.001+IF(AND(ISNUMBER('Council Entry'!AA$8),ISNUMBER('Council Entry'!AA$9)),MAX(MIN('Council Entry'!AA135,'Council Entry'!AA$9),'Council Entry'!AA$8),'Council Entry'!AA135)),IF('Council Entry'!AA$4="Exponential",EXP(IF(AND(ISNUMBER('Council Entry'!AA$8),ISNUMBER('Council Entry'!AA$9)),MAX(MIN('Council Entry'!AA135,'Council Entry'!AA$9),'Council Entry'!AA$8),'Council Entry'!AA135)),IF(AND(ISNUMBER('Council Entry'!AA$8),ISNUMBER('Council Entry'!AA$9)),MAX(MIN('Council Entry'!AA135,'Council Entry'!AA$9),'Council Entry'!AA$8),'Council Entry'!AA135))))-'Council Entry'!AA$5)/('Council Entry'!AA$6-'Council Entry'!AA$5)),1))),"No data"))</f>
        <v/>
      </c>
      <c r="AB135" s="13">
        <f>IF('Council Entry'!AB135="","",IFERROR(MAX(0,MIN(10,ROUND(IF('Council Entry'!AB$7="Decrease Risk",10-10*((IF('Council Entry'!AB$4="Logarithm",LN(0.001+IF(AND(ISNUMBER('Council Entry'!AB$8),ISNUMBER('Council Entry'!AB$9)),MAX(MIN('Council Entry'!AB135,'Council Entry'!AB$9),'Council Entry'!AB$8),'Council Entry'!AB135)),IF('Council Entry'!AB$4="Exponential",EXP(IF(AND(ISNUMBER('Council Entry'!AB$8),ISNUMBER('Council Entry'!AB$9)),MAX(MIN('Council Entry'!AB135,'Council Entry'!AB$9),'Council Entry'!AB$8),'Council Entry'!AB135)),IF(AND(ISNUMBER('Council Entry'!AB$8),ISNUMBER('Council Entry'!AB$9)),MAX(MIN('Council Entry'!AB135,'Council Entry'!AB$9),'Council Entry'!AB$8),'Council Entry'!AB135))))-'Council Entry'!AB$5)/('Council Entry'!AB$6-'Council Entry'!AB$5),10*((IF('Council Entry'!AB$4="Logarithm",LN(0.001+IF(AND(ISNUMBER('Council Entry'!AB$8),ISNUMBER('Council Entry'!AB$9)),MAX(MIN('Council Entry'!AB135,'Council Entry'!AB$9),'Council Entry'!AB$8),'Council Entry'!AB135)),IF('Council Entry'!AB$4="Exponential",EXP(IF(AND(ISNUMBER('Council Entry'!AB$8),ISNUMBER('Council Entry'!AB$9)),MAX(MIN('Council Entry'!AB135,'Council Entry'!AB$9),'Council Entry'!AB$8),'Council Entry'!AB135)),IF(AND(ISNUMBER('Council Entry'!AB$8),ISNUMBER('Council Entry'!AB$9)),MAX(MIN('Council Entry'!AB135,'Council Entry'!AB$9),'Council Entry'!AB$8),'Council Entry'!AB135))))-'Council Entry'!AB$5)/('Council Entry'!AB$6-'Council Entry'!AB$5)),1))),"No data"))</f>
        <v/>
      </c>
      <c r="AC135" s="13">
        <f>IF('Council Entry'!AC135="","",IFERROR(MAX(0,MIN(10,ROUND(IF('Council Entry'!AC$7="Decrease Risk",10-10*((IF('Council Entry'!AC$4="Logarithm",LN(0.001+IF(AND(ISNUMBER('Council Entry'!AC$8),ISNUMBER('Council Entry'!AC$9)),MAX(MIN('Council Entry'!AC135,'Council Entry'!AC$9),'Council Entry'!AC$8),'Council Entry'!AC135)),IF('Council Entry'!AC$4="Exponential",EXP(IF(AND(ISNUMBER('Council Entry'!AC$8),ISNUMBER('Council Entry'!AC$9)),MAX(MIN('Council Entry'!AC135,'Council Entry'!AC$9),'Council Entry'!AC$8),'Council Entry'!AC135)),IF(AND(ISNUMBER('Council Entry'!AC$8),ISNUMBER('Council Entry'!AC$9)),MAX(MIN('Council Entry'!AC135,'Council Entry'!AC$9),'Council Entry'!AC$8),'Council Entry'!AC135))))-'Council Entry'!AC$5)/('Council Entry'!AC$6-'Council Entry'!AC$5),10*((IF('Council Entry'!AC$4="Logarithm",LN(0.001+IF(AND(ISNUMBER('Council Entry'!AC$8),ISNUMBER('Council Entry'!AC$9)),MAX(MIN('Council Entry'!AC135,'Council Entry'!AC$9),'Council Entry'!AC$8),'Council Entry'!AC135)),IF('Council Entry'!AC$4="Exponential",EXP(IF(AND(ISNUMBER('Council Entry'!AC$8),ISNUMBER('Council Entry'!AC$9)),MAX(MIN('Council Entry'!AC135,'Council Entry'!AC$9),'Council Entry'!AC$8),'Council Entry'!AC135)),IF(AND(ISNUMBER('Council Entry'!AC$8),ISNUMBER('Council Entry'!AC$9)),MAX(MIN('Council Entry'!AC135,'Council Entry'!AC$9),'Council Entry'!AC$8),'Council Entry'!AC135))))-'Council Entry'!AC$5)/('Council Entry'!AC$6-'Council Entry'!AC$5)),1))),"No data"))</f>
        <v/>
      </c>
      <c r="AD135" s="13">
        <f>IF('Council Entry'!AD135="","",IFERROR(MAX(0,MIN(10,ROUND(IF('Council Entry'!AD$7="Decrease Risk",10-10*((IF('Council Entry'!AD$4="Logarithm",LN(0.001+IF(AND(ISNUMBER('Council Entry'!AD$8),ISNUMBER('Council Entry'!AD$9)),MAX(MIN('Council Entry'!AD135,'Council Entry'!AD$9),'Council Entry'!AD$8),'Council Entry'!AD135)),IF('Council Entry'!AD$4="Exponential",EXP(IF(AND(ISNUMBER('Council Entry'!AD$8),ISNUMBER('Council Entry'!AD$9)),MAX(MIN('Council Entry'!AD135,'Council Entry'!AD$9),'Council Entry'!AD$8),'Council Entry'!AD135)),IF(AND(ISNUMBER('Council Entry'!AD$8),ISNUMBER('Council Entry'!AD$9)),MAX(MIN('Council Entry'!AD135,'Council Entry'!AD$9),'Council Entry'!AD$8),'Council Entry'!AD135))))-'Council Entry'!AD$5)/('Council Entry'!AD$6-'Council Entry'!AD$5),10*((IF('Council Entry'!AD$4="Logarithm",LN(0.001+IF(AND(ISNUMBER('Council Entry'!AD$8),ISNUMBER('Council Entry'!AD$9)),MAX(MIN('Council Entry'!AD135,'Council Entry'!AD$9),'Council Entry'!AD$8),'Council Entry'!AD135)),IF('Council Entry'!AD$4="Exponential",EXP(IF(AND(ISNUMBER('Council Entry'!AD$8),ISNUMBER('Council Entry'!AD$9)),MAX(MIN('Council Entry'!AD135,'Council Entry'!AD$9),'Council Entry'!AD$8),'Council Entry'!AD135)),IF(AND(ISNUMBER('Council Entry'!AD$8),ISNUMBER('Council Entry'!AD$9)),MAX(MIN('Council Entry'!AD135,'Council Entry'!AD$9),'Council Entry'!AD$8),'Council Entry'!AD135))))-'Council Entry'!AD$5)/('Council Entry'!AD$6-'Council Entry'!AD$5)),1))),"No data"))</f>
        <v/>
      </c>
      <c r="AE135" s="13">
        <f>IF('Council Entry'!AE135="","",IFERROR(MAX(0,MIN(10,ROUND(IF('Council Entry'!AE$7="Decrease Risk",10-10*((IF('Council Entry'!AE$4="Logarithm",LN(0.001+IF(AND(ISNUMBER('Council Entry'!AE$8),ISNUMBER('Council Entry'!AE$9)),MAX(MIN('Council Entry'!AE135,'Council Entry'!AE$9),'Council Entry'!AE$8),'Council Entry'!AE135)),IF('Council Entry'!AE$4="Exponential",EXP(IF(AND(ISNUMBER('Council Entry'!AE$8),ISNUMBER('Council Entry'!AE$9)),MAX(MIN('Council Entry'!AE135,'Council Entry'!AE$9),'Council Entry'!AE$8),'Council Entry'!AE135)),IF(AND(ISNUMBER('Council Entry'!AE$8),ISNUMBER('Council Entry'!AE$9)),MAX(MIN('Council Entry'!AE135,'Council Entry'!AE$9),'Council Entry'!AE$8),'Council Entry'!AE135))))-'Council Entry'!AE$5)/('Council Entry'!AE$6-'Council Entry'!AE$5),10*((IF('Council Entry'!AE$4="Logarithm",LN(0.001+IF(AND(ISNUMBER('Council Entry'!AE$8),ISNUMBER('Council Entry'!AE$9)),MAX(MIN('Council Entry'!AE135,'Council Entry'!AE$9),'Council Entry'!AE$8),'Council Entry'!AE135)),IF('Council Entry'!AE$4="Exponential",EXP(IF(AND(ISNUMBER('Council Entry'!AE$8),ISNUMBER('Council Entry'!AE$9)),MAX(MIN('Council Entry'!AE135,'Council Entry'!AE$9),'Council Entry'!AE$8),'Council Entry'!AE135)),IF(AND(ISNUMBER('Council Entry'!AE$8),ISNUMBER('Council Entry'!AE$9)),MAX(MIN('Council Entry'!AE135,'Council Entry'!AE$9),'Council Entry'!AE$8),'Council Entry'!AE135))))-'Council Entry'!AE$5)/('Council Entry'!AE$6-'Council Entry'!AE$5)),1))),"No data"))</f>
        <v/>
      </c>
      <c r="AF135" s="13">
        <f>IF('Council Entry'!AF135="","",IFERROR(MAX(0,MIN(10,ROUND(IF('Council Entry'!AF$7="Decrease Risk",10-10*((IF('Council Entry'!AF$4="Logarithm",LN(0.001+IF(AND(ISNUMBER('Council Entry'!AF$8),ISNUMBER('Council Entry'!AF$9)),MAX(MIN('Council Entry'!AF135,'Council Entry'!AF$9),'Council Entry'!AF$8),'Council Entry'!AF135)),IF('Council Entry'!AF$4="Exponential",EXP(IF(AND(ISNUMBER('Council Entry'!AF$8),ISNUMBER('Council Entry'!AF$9)),MAX(MIN('Council Entry'!AF135,'Council Entry'!AF$9),'Council Entry'!AF$8),'Council Entry'!AF135)),IF(AND(ISNUMBER('Council Entry'!AF$8),ISNUMBER('Council Entry'!AF$9)),MAX(MIN('Council Entry'!AF135,'Council Entry'!AF$9),'Council Entry'!AF$8),'Council Entry'!AF135))))-'Council Entry'!AF$5)/('Council Entry'!AF$6-'Council Entry'!AF$5),10*((IF('Council Entry'!AF$4="Logarithm",LN(0.001+IF(AND(ISNUMBER('Council Entry'!AF$8),ISNUMBER('Council Entry'!AF$9)),MAX(MIN('Council Entry'!AF135,'Council Entry'!AF$9),'Council Entry'!AF$8),'Council Entry'!AF135)),IF('Council Entry'!AF$4="Exponential",EXP(IF(AND(ISNUMBER('Council Entry'!AF$8),ISNUMBER('Council Entry'!AF$9)),MAX(MIN('Council Entry'!AF135,'Council Entry'!AF$9),'Council Entry'!AF$8),'Council Entry'!AF135)),IF(AND(ISNUMBER('Council Entry'!AF$8),ISNUMBER('Council Entry'!AF$9)),MAX(MIN('Council Entry'!AF135,'Council Entry'!AF$9),'Council Entry'!AF$8),'Council Entry'!AF135))))-'Council Entry'!AF$5)/('Council Entry'!AF$6-'Council Entry'!AF$5)),1))),"No data"))</f>
        <v/>
      </c>
      <c r="AG135" s="13">
        <f>IF('Council Entry'!AG135="","",IFERROR(MAX(0,MIN(10,ROUND(IF('Council Entry'!AG$7="Decrease Risk",10-10*((IF('Council Entry'!AG$4="Logarithm",LN(0.001+IF(AND(ISNUMBER('Council Entry'!AG$8),ISNUMBER('Council Entry'!AG$9)),MAX(MIN('Council Entry'!AG135,'Council Entry'!AG$9),'Council Entry'!AG$8),'Council Entry'!AG135)),IF('Council Entry'!AG$4="Exponential",EXP(IF(AND(ISNUMBER('Council Entry'!AG$8),ISNUMBER('Council Entry'!AG$9)),MAX(MIN('Council Entry'!AG135,'Council Entry'!AG$9),'Council Entry'!AG$8),'Council Entry'!AG135)),IF(AND(ISNUMBER('Council Entry'!AG$8),ISNUMBER('Council Entry'!AG$9)),MAX(MIN('Council Entry'!AG135,'Council Entry'!AG$9),'Council Entry'!AG$8),'Council Entry'!AG135))))-'Council Entry'!AG$5)/('Council Entry'!AG$6-'Council Entry'!AG$5),10*((IF('Council Entry'!AG$4="Logarithm",LN(0.001+IF(AND(ISNUMBER('Council Entry'!AG$8),ISNUMBER('Council Entry'!AG$9)),MAX(MIN('Council Entry'!AG135,'Council Entry'!AG$9),'Council Entry'!AG$8),'Council Entry'!AG135)),IF('Council Entry'!AG$4="Exponential",EXP(IF(AND(ISNUMBER('Council Entry'!AG$8),ISNUMBER('Council Entry'!AG$9)),MAX(MIN('Council Entry'!AG135,'Council Entry'!AG$9),'Council Entry'!AG$8),'Council Entry'!AG135)),IF(AND(ISNUMBER('Council Entry'!AG$8),ISNUMBER('Council Entry'!AG$9)),MAX(MIN('Council Entry'!AG135,'Council Entry'!AG$9),'Council Entry'!AG$8),'Council Entry'!AG135))))-'Council Entry'!AG$5)/('Council Entry'!AG$6-'Council Entry'!AG$5)),1))),"No data"))</f>
        <v/>
      </c>
      <c r="AH135" s="13">
        <f>IF('Council Entry'!AH135="","",IFERROR(MAX(0,MIN(10,ROUND(IF('Council Entry'!AH$7="Decrease Risk",10-10*((IF('Council Entry'!AH$4="Logarithm",LN(0.001+IF(AND(ISNUMBER('Council Entry'!AH$8),ISNUMBER('Council Entry'!AH$9)),MAX(MIN('Council Entry'!AH135,'Council Entry'!AH$9),'Council Entry'!AH$8),'Council Entry'!AH135)),IF('Council Entry'!AH$4="Exponential",EXP(IF(AND(ISNUMBER('Council Entry'!AH$8),ISNUMBER('Council Entry'!AH$9)),MAX(MIN('Council Entry'!AH135,'Council Entry'!AH$9),'Council Entry'!AH$8),'Council Entry'!AH135)),IF(AND(ISNUMBER('Council Entry'!AH$8),ISNUMBER('Council Entry'!AH$9)),MAX(MIN('Council Entry'!AH135,'Council Entry'!AH$9),'Council Entry'!AH$8),'Council Entry'!AH135))))-'Council Entry'!AH$5)/('Council Entry'!AH$6-'Council Entry'!AH$5),10*((IF('Council Entry'!AH$4="Logarithm",LN(0.001+IF(AND(ISNUMBER('Council Entry'!AH$8),ISNUMBER('Council Entry'!AH$9)),MAX(MIN('Council Entry'!AH135,'Council Entry'!AH$9),'Council Entry'!AH$8),'Council Entry'!AH135)),IF('Council Entry'!AH$4="Exponential",EXP(IF(AND(ISNUMBER('Council Entry'!AH$8),ISNUMBER('Council Entry'!AH$9)),MAX(MIN('Council Entry'!AH135,'Council Entry'!AH$9),'Council Entry'!AH$8),'Council Entry'!AH135)),IF(AND(ISNUMBER('Council Entry'!AH$8),ISNUMBER('Council Entry'!AH$9)),MAX(MIN('Council Entry'!AH135,'Council Entry'!AH$9),'Council Entry'!AH$8),'Council Entry'!AH135))))-'Council Entry'!AH$5)/('Council Entry'!AH$6-'Council Entry'!AH$5)),1))),"No data"))</f>
        <v/>
      </c>
      <c r="AI135" s="13">
        <f>IF('Council Entry'!AI135="","",IFERROR(MAX(0,MIN(10,ROUND(IF('Council Entry'!AI$7="Decrease Risk",10-10*((IF('Council Entry'!AI$4="Logarithm",LN(0.001+IF(AND(ISNUMBER('Council Entry'!AI$8),ISNUMBER('Council Entry'!AI$9)),MAX(MIN('Council Entry'!AI135,'Council Entry'!AI$9),'Council Entry'!AI$8),'Council Entry'!AI135)),IF('Council Entry'!AI$4="Exponential",EXP(IF(AND(ISNUMBER('Council Entry'!AI$8),ISNUMBER('Council Entry'!AI$9)),MAX(MIN('Council Entry'!AI135,'Council Entry'!AI$9),'Council Entry'!AI$8),'Council Entry'!AI135)),IF(AND(ISNUMBER('Council Entry'!AI$8),ISNUMBER('Council Entry'!AI$9)),MAX(MIN('Council Entry'!AI135,'Council Entry'!AI$9),'Council Entry'!AI$8),'Council Entry'!AI135))))-'Council Entry'!AI$5)/('Council Entry'!AI$6-'Council Entry'!AI$5),10*((IF('Council Entry'!AI$4="Logarithm",LN(0.001+IF(AND(ISNUMBER('Council Entry'!AI$8),ISNUMBER('Council Entry'!AI$9)),MAX(MIN('Council Entry'!AI135,'Council Entry'!AI$9),'Council Entry'!AI$8),'Council Entry'!AI135)),IF('Council Entry'!AI$4="Exponential",EXP(IF(AND(ISNUMBER('Council Entry'!AI$8),ISNUMBER('Council Entry'!AI$9)),MAX(MIN('Council Entry'!AI135,'Council Entry'!AI$9),'Council Entry'!AI$8),'Council Entry'!AI135)),IF(AND(ISNUMBER('Council Entry'!AI$8),ISNUMBER('Council Entry'!AI$9)),MAX(MIN('Council Entry'!AI135,'Council Entry'!AI$9),'Council Entry'!AI$8),'Council Entry'!AI135))))-'Council Entry'!AI$5)/('Council Entry'!AI$6-'Council Entry'!AI$5)),1))),"No data"))</f>
        <v/>
      </c>
      <c r="AJ135" s="13">
        <f>IF('Council Entry'!AJ135="","",IFERROR(MAX(0,MIN(10,ROUND(IF('Council Entry'!AJ$7="Decrease Risk",10-10*((IF('Council Entry'!AJ$4="Logarithm",LN(0.001+IF(AND(ISNUMBER('Council Entry'!AJ$8),ISNUMBER('Council Entry'!AJ$9)),MAX(MIN('Council Entry'!AJ135,'Council Entry'!AJ$9),'Council Entry'!AJ$8),'Council Entry'!AJ135)),IF('Council Entry'!AJ$4="Exponential",EXP(IF(AND(ISNUMBER('Council Entry'!AJ$8),ISNUMBER('Council Entry'!AJ$9)),MAX(MIN('Council Entry'!AJ135,'Council Entry'!AJ$9),'Council Entry'!AJ$8),'Council Entry'!AJ135)),IF(AND(ISNUMBER('Council Entry'!AJ$8),ISNUMBER('Council Entry'!AJ$9)),MAX(MIN('Council Entry'!AJ135,'Council Entry'!AJ$9),'Council Entry'!AJ$8),'Council Entry'!AJ135))))-'Council Entry'!AJ$5)/('Council Entry'!AJ$6-'Council Entry'!AJ$5),10*((IF('Council Entry'!AJ$4="Logarithm",LN(0.001+IF(AND(ISNUMBER('Council Entry'!AJ$8),ISNUMBER('Council Entry'!AJ$9)),MAX(MIN('Council Entry'!AJ135,'Council Entry'!AJ$9),'Council Entry'!AJ$8),'Council Entry'!AJ135)),IF('Council Entry'!AJ$4="Exponential",EXP(IF(AND(ISNUMBER('Council Entry'!AJ$8),ISNUMBER('Council Entry'!AJ$9)),MAX(MIN('Council Entry'!AJ135,'Council Entry'!AJ$9),'Council Entry'!AJ$8),'Council Entry'!AJ135)),IF(AND(ISNUMBER('Council Entry'!AJ$8),ISNUMBER('Council Entry'!AJ$9)),MAX(MIN('Council Entry'!AJ135,'Council Entry'!AJ$9),'Council Entry'!AJ$8),'Council Entry'!AJ135))))-'Council Entry'!AJ$5)/('Council Entry'!AJ$6-'Council Entry'!AJ$5)),1))),"No data"))</f>
        <v/>
      </c>
      <c r="AK135" s="13">
        <f>IF('Council Entry'!AK135="","",IFERROR(MAX(0,MIN(10,ROUND(IF('Council Entry'!AK$7="Decrease Risk",10-10*((IF('Council Entry'!AK$4="Logarithm",LN(0.001+IF(AND(ISNUMBER('Council Entry'!AK$8),ISNUMBER('Council Entry'!AK$9)),MAX(MIN('Council Entry'!AK135,'Council Entry'!AK$9),'Council Entry'!AK$8),'Council Entry'!AK135)),IF('Council Entry'!AK$4="Exponential",EXP(IF(AND(ISNUMBER('Council Entry'!AK$8),ISNUMBER('Council Entry'!AK$9)),MAX(MIN('Council Entry'!AK135,'Council Entry'!AK$9),'Council Entry'!AK$8),'Council Entry'!AK135)),IF(AND(ISNUMBER('Council Entry'!AK$8),ISNUMBER('Council Entry'!AK$9)),MAX(MIN('Council Entry'!AK135,'Council Entry'!AK$9),'Council Entry'!AK$8),'Council Entry'!AK135))))-'Council Entry'!AK$5)/('Council Entry'!AK$6-'Council Entry'!AK$5),10*((IF('Council Entry'!AK$4="Logarithm",LN(0.001+IF(AND(ISNUMBER('Council Entry'!AK$8),ISNUMBER('Council Entry'!AK$9)),MAX(MIN('Council Entry'!AK135,'Council Entry'!AK$9),'Council Entry'!AK$8),'Council Entry'!AK135)),IF('Council Entry'!AK$4="Exponential",EXP(IF(AND(ISNUMBER('Council Entry'!AK$8),ISNUMBER('Council Entry'!AK$9)),MAX(MIN('Council Entry'!AK135,'Council Entry'!AK$9),'Council Entry'!AK$8),'Council Entry'!AK135)),IF(AND(ISNUMBER('Council Entry'!AK$8),ISNUMBER('Council Entry'!AK$9)),MAX(MIN('Council Entry'!AK135,'Council Entry'!AK$9),'Council Entry'!AK$8),'Council Entry'!AK135))))-'Council Entry'!AK$5)/('Council Entry'!AK$6-'Council Entry'!AK$5)),1))),"No data"))</f>
        <v/>
      </c>
      <c r="AL135" s="13">
        <f>IF('Council Entry'!AL135="","",IFERROR(MAX(0,MIN(10,ROUND(IF('Council Entry'!AL$7="Decrease Risk",10-10*((IF('Council Entry'!AL$4="Logarithm",LN(0.001+IF(AND(ISNUMBER('Council Entry'!AL$8),ISNUMBER('Council Entry'!AL$9)),MAX(MIN('Council Entry'!AL135,'Council Entry'!AL$9),'Council Entry'!AL$8),'Council Entry'!AL135)),IF('Council Entry'!AL$4="Exponential",EXP(IF(AND(ISNUMBER('Council Entry'!AL$8),ISNUMBER('Council Entry'!AL$9)),MAX(MIN('Council Entry'!AL135,'Council Entry'!AL$9),'Council Entry'!AL$8),'Council Entry'!AL135)),IF(AND(ISNUMBER('Council Entry'!AL$8),ISNUMBER('Council Entry'!AL$9)),MAX(MIN('Council Entry'!AL135,'Council Entry'!AL$9),'Council Entry'!AL$8),'Council Entry'!AL135))))-'Council Entry'!AL$5)/('Council Entry'!AL$6-'Council Entry'!AL$5),10*((IF('Council Entry'!AL$4="Logarithm",LN(0.001+IF(AND(ISNUMBER('Council Entry'!AL$8),ISNUMBER('Council Entry'!AL$9)),MAX(MIN('Council Entry'!AL135,'Council Entry'!AL$9),'Council Entry'!AL$8),'Council Entry'!AL135)),IF('Council Entry'!AL$4="Exponential",EXP(IF(AND(ISNUMBER('Council Entry'!AL$8),ISNUMBER('Council Entry'!AL$9)),MAX(MIN('Council Entry'!AL135,'Council Entry'!AL$9),'Council Entry'!AL$8),'Council Entry'!AL135)),IF(AND(ISNUMBER('Council Entry'!AL$8),ISNUMBER('Council Entry'!AL$9)),MAX(MIN('Council Entry'!AL135,'Council Entry'!AL$9),'Council Entry'!AL$8),'Council Entry'!AL135))))-'Council Entry'!AL$5)/('Council Entry'!AL$6-'Council Entry'!AL$5)),1))),"No data"))</f>
        <v/>
      </c>
      <c r="AM135" s="13">
        <f>IF('Council Entry'!AM135="","",IFERROR(MAX(0,MIN(10,ROUND(IF('Council Entry'!AM$7="Decrease Risk",10-10*((IF('Council Entry'!AM$4="Logarithm",LN(0.001+IF(AND(ISNUMBER('Council Entry'!AM$8),ISNUMBER('Council Entry'!AM$9)),MAX(MIN('Council Entry'!AM135,'Council Entry'!AM$9),'Council Entry'!AM$8),'Council Entry'!AM135)),IF('Council Entry'!AM$4="Exponential",EXP(IF(AND(ISNUMBER('Council Entry'!AM$8),ISNUMBER('Council Entry'!AM$9)),MAX(MIN('Council Entry'!AM135,'Council Entry'!AM$9),'Council Entry'!AM$8),'Council Entry'!AM135)),IF(AND(ISNUMBER('Council Entry'!AM$8),ISNUMBER('Council Entry'!AM$9)),MAX(MIN('Council Entry'!AM135,'Council Entry'!AM$9),'Council Entry'!AM$8),'Council Entry'!AM135))))-'Council Entry'!AM$5)/('Council Entry'!AM$6-'Council Entry'!AM$5),10*((IF('Council Entry'!AM$4="Logarithm",LN(0.001+IF(AND(ISNUMBER('Council Entry'!AM$8),ISNUMBER('Council Entry'!AM$9)),MAX(MIN('Council Entry'!AM135,'Council Entry'!AM$9),'Council Entry'!AM$8),'Council Entry'!AM135)),IF('Council Entry'!AM$4="Exponential",EXP(IF(AND(ISNUMBER('Council Entry'!AM$8),ISNUMBER('Council Entry'!AM$9)),MAX(MIN('Council Entry'!AM135,'Council Entry'!AM$9),'Council Entry'!AM$8),'Council Entry'!AM135)),IF(AND(ISNUMBER('Council Entry'!AM$8),ISNUMBER('Council Entry'!AM$9)),MAX(MIN('Council Entry'!AM135,'Council Entry'!AM$9),'Council Entry'!AM$8),'Council Entry'!AM135))))-'Council Entry'!AM$5)/('Council Entry'!AM$6-'Council Entry'!AM$5)),1))),"No data"))</f>
        <v/>
      </c>
      <c r="AN135" s="13">
        <f>IF('Council Entry'!AN135="","",IFERROR(MAX(0,MIN(10,ROUND(IF('Council Entry'!AN$7="Decrease Risk",10-10*((IF('Council Entry'!AN$4="Logarithm",LN(0.001+IF(AND(ISNUMBER('Council Entry'!AN$8),ISNUMBER('Council Entry'!AN$9)),MAX(MIN('Council Entry'!AN135,'Council Entry'!AN$9),'Council Entry'!AN$8),'Council Entry'!AN135)),IF('Council Entry'!AN$4="Exponential",EXP(IF(AND(ISNUMBER('Council Entry'!AN$8),ISNUMBER('Council Entry'!AN$9)),MAX(MIN('Council Entry'!AN135,'Council Entry'!AN$9),'Council Entry'!AN$8),'Council Entry'!AN135)),IF(AND(ISNUMBER('Council Entry'!AN$8),ISNUMBER('Council Entry'!AN$9)),MAX(MIN('Council Entry'!AN135,'Council Entry'!AN$9),'Council Entry'!AN$8),'Council Entry'!AN135))))-'Council Entry'!AN$5)/('Council Entry'!AN$6-'Council Entry'!AN$5),10*((IF('Council Entry'!AN$4="Logarithm",LN(0.001+IF(AND(ISNUMBER('Council Entry'!AN$8),ISNUMBER('Council Entry'!AN$9)),MAX(MIN('Council Entry'!AN135,'Council Entry'!AN$9),'Council Entry'!AN$8),'Council Entry'!AN135)),IF('Council Entry'!AN$4="Exponential",EXP(IF(AND(ISNUMBER('Council Entry'!AN$8),ISNUMBER('Council Entry'!AN$9)),MAX(MIN('Council Entry'!AN135,'Council Entry'!AN$9),'Council Entry'!AN$8),'Council Entry'!AN135)),IF(AND(ISNUMBER('Council Entry'!AN$8),ISNUMBER('Council Entry'!AN$9)),MAX(MIN('Council Entry'!AN135,'Council Entry'!AN$9),'Council Entry'!AN$8),'Council Entry'!AN135))))-'Council Entry'!AN$5)/('Council Entry'!AN$6-'Council Entry'!AN$5)),1))),"No data"))</f>
        <v/>
      </c>
      <c r="AO135" s="13">
        <f>IF('Council Entry'!AO135="","",IFERROR(MAX(0,MIN(10,ROUND(IF('Council Entry'!AO$7="Decrease Risk",10-10*((IF('Council Entry'!AO$4="Logarithm",LN(0.001+IF(AND(ISNUMBER('Council Entry'!AO$8),ISNUMBER('Council Entry'!AO$9)),MAX(MIN('Council Entry'!AO135,'Council Entry'!AO$9),'Council Entry'!AO$8),'Council Entry'!AO135)),IF('Council Entry'!AO$4="Exponential",EXP(IF(AND(ISNUMBER('Council Entry'!AO$8),ISNUMBER('Council Entry'!AO$9)),MAX(MIN('Council Entry'!AO135,'Council Entry'!AO$9),'Council Entry'!AO$8),'Council Entry'!AO135)),IF(AND(ISNUMBER('Council Entry'!AO$8),ISNUMBER('Council Entry'!AO$9)),MAX(MIN('Council Entry'!AO135,'Council Entry'!AO$9),'Council Entry'!AO$8),'Council Entry'!AO135))))-'Council Entry'!AO$5)/('Council Entry'!AO$6-'Council Entry'!AO$5),10*((IF('Council Entry'!AO$4="Logarithm",LN(0.001+IF(AND(ISNUMBER('Council Entry'!AO$8),ISNUMBER('Council Entry'!AO$9)),MAX(MIN('Council Entry'!AO135,'Council Entry'!AO$9),'Council Entry'!AO$8),'Council Entry'!AO135)),IF('Council Entry'!AO$4="Exponential",EXP(IF(AND(ISNUMBER('Council Entry'!AO$8),ISNUMBER('Council Entry'!AO$9)),MAX(MIN('Council Entry'!AO135,'Council Entry'!AO$9),'Council Entry'!AO$8),'Council Entry'!AO135)),IF(AND(ISNUMBER('Council Entry'!AO$8),ISNUMBER('Council Entry'!AO$9)),MAX(MIN('Council Entry'!AO135,'Council Entry'!AO$9),'Council Entry'!AO$8),'Council Entry'!AO135))))-'Council Entry'!AO$5)/('Council Entry'!AO$6-'Council Entry'!AO$5)),1))),"No data"))</f>
        <v/>
      </c>
      <c r="AP135" s="13">
        <f>IF('Council Entry'!AP135="","",IFERROR(MAX(0,MIN(10,ROUND(IF('Council Entry'!AP$7="Decrease Risk",10-10*((IF('Council Entry'!AP$4="Logarithm",LN(0.001+IF(AND(ISNUMBER('Council Entry'!AP$8),ISNUMBER('Council Entry'!AP$9)),MAX(MIN('Council Entry'!AP135,'Council Entry'!AP$9),'Council Entry'!AP$8),'Council Entry'!AP135)),IF('Council Entry'!AP$4="Exponential",EXP(IF(AND(ISNUMBER('Council Entry'!AP$8),ISNUMBER('Council Entry'!AP$9)),MAX(MIN('Council Entry'!AP135,'Council Entry'!AP$9),'Council Entry'!AP$8),'Council Entry'!AP135)),IF(AND(ISNUMBER('Council Entry'!AP$8),ISNUMBER('Council Entry'!AP$9)),MAX(MIN('Council Entry'!AP135,'Council Entry'!AP$9),'Council Entry'!AP$8),'Council Entry'!AP135))))-'Council Entry'!AP$5)/('Council Entry'!AP$6-'Council Entry'!AP$5),10*((IF('Council Entry'!AP$4="Logarithm",LN(0.001+IF(AND(ISNUMBER('Council Entry'!AP$8),ISNUMBER('Council Entry'!AP$9)),MAX(MIN('Council Entry'!AP135,'Council Entry'!AP$9),'Council Entry'!AP$8),'Council Entry'!AP135)),IF('Council Entry'!AP$4="Exponential",EXP(IF(AND(ISNUMBER('Council Entry'!AP$8),ISNUMBER('Council Entry'!AP$9)),MAX(MIN('Council Entry'!AP135,'Council Entry'!AP$9),'Council Entry'!AP$8),'Council Entry'!AP135)),IF(AND(ISNUMBER('Council Entry'!AP$8),ISNUMBER('Council Entry'!AP$9)),MAX(MIN('Council Entry'!AP135,'Council Entry'!AP$9),'Council Entry'!AP$8),'Council Entry'!AP135))))-'Council Entry'!AP$5)/('Council Entry'!AP$6-'Council Entry'!AP$5)),1))),"No data"))</f>
        <v/>
      </c>
      <c r="AQ135" s="13">
        <f>IF('Council Entry'!AQ135="","",IFERROR(MAX(0,MIN(10,ROUND(IF('Council Entry'!AQ$7="Decrease Risk",10-10*((IF('Council Entry'!AQ$4="Logarithm",LN(0.001+IF(AND(ISNUMBER('Council Entry'!AQ$8),ISNUMBER('Council Entry'!AQ$9)),MAX(MIN('Council Entry'!AQ135,'Council Entry'!AQ$9),'Council Entry'!AQ$8),'Council Entry'!AQ135)),IF('Council Entry'!AQ$4="Exponential",EXP(IF(AND(ISNUMBER('Council Entry'!AQ$8),ISNUMBER('Council Entry'!AQ$9)),MAX(MIN('Council Entry'!AQ135,'Council Entry'!AQ$9),'Council Entry'!AQ$8),'Council Entry'!AQ135)),IF(AND(ISNUMBER('Council Entry'!AQ$8),ISNUMBER('Council Entry'!AQ$9)),MAX(MIN('Council Entry'!AQ135,'Council Entry'!AQ$9),'Council Entry'!AQ$8),'Council Entry'!AQ135))))-'Council Entry'!AQ$5)/('Council Entry'!AQ$6-'Council Entry'!AQ$5),10*((IF('Council Entry'!AQ$4="Logarithm",LN(0.001+IF(AND(ISNUMBER('Council Entry'!AQ$8),ISNUMBER('Council Entry'!AQ$9)),MAX(MIN('Council Entry'!AQ135,'Council Entry'!AQ$9),'Council Entry'!AQ$8),'Council Entry'!AQ135)),IF('Council Entry'!AQ$4="Exponential",EXP(IF(AND(ISNUMBER('Council Entry'!AQ$8),ISNUMBER('Council Entry'!AQ$9)),MAX(MIN('Council Entry'!AQ135,'Council Entry'!AQ$9),'Council Entry'!AQ$8),'Council Entry'!AQ135)),IF(AND(ISNUMBER('Council Entry'!AQ$8),ISNUMBER('Council Entry'!AQ$9)),MAX(MIN('Council Entry'!AQ135,'Council Entry'!AQ$9),'Council Entry'!AQ$8),'Council Entry'!AQ135))))-'Council Entry'!AQ$5)/('Council Entry'!AQ$6-'Council Entry'!AQ$5)),1))),"No data"))</f>
        <v/>
      </c>
      <c r="AR135" s="13">
        <f>IF('Council Entry'!AR135="","",IFERROR(MAX(0,MIN(10,ROUND(IF('Council Entry'!AR$7="Decrease Risk",10-10*((IF('Council Entry'!AR$4="Logarithm",LN(0.001+IF(AND(ISNUMBER('Council Entry'!AR$8),ISNUMBER('Council Entry'!AR$9)),MAX(MIN('Council Entry'!AR135,'Council Entry'!AR$9),'Council Entry'!AR$8),'Council Entry'!AR135)),IF('Council Entry'!AR$4="Exponential",EXP(IF(AND(ISNUMBER('Council Entry'!AR$8),ISNUMBER('Council Entry'!AR$9)),MAX(MIN('Council Entry'!AR135,'Council Entry'!AR$9),'Council Entry'!AR$8),'Council Entry'!AR135)),IF(AND(ISNUMBER('Council Entry'!AR$8),ISNUMBER('Council Entry'!AR$9)),MAX(MIN('Council Entry'!AR135,'Council Entry'!AR$9),'Council Entry'!AR$8),'Council Entry'!AR135))))-'Council Entry'!AR$5)/('Council Entry'!AR$6-'Council Entry'!AR$5),10*((IF('Council Entry'!AR$4="Logarithm",LN(0.001+IF(AND(ISNUMBER('Council Entry'!AR$8),ISNUMBER('Council Entry'!AR$9)),MAX(MIN('Council Entry'!AR135,'Council Entry'!AR$9),'Council Entry'!AR$8),'Council Entry'!AR135)),IF('Council Entry'!AR$4="Exponential",EXP(IF(AND(ISNUMBER('Council Entry'!AR$8),ISNUMBER('Council Entry'!AR$9)),MAX(MIN('Council Entry'!AR135,'Council Entry'!AR$9),'Council Entry'!AR$8),'Council Entry'!AR135)),IF(AND(ISNUMBER('Council Entry'!AR$8),ISNUMBER('Council Entry'!AR$9)),MAX(MIN('Council Entry'!AR135,'Council Entry'!AR$9),'Council Entry'!AR$8),'Council Entry'!AR135))))-'Council Entry'!AR$5)/('Council Entry'!AR$6-'Council Entry'!AR$5)),1))),"No data"))</f>
        <v/>
      </c>
      <c r="AS135" s="13">
        <f>IF('Council Entry'!AS135="","",IFERROR(MAX(0,MIN(10,ROUND(IF('Council Entry'!AS$7="Decrease Risk",10-10*((IF('Council Entry'!AS$4="Logarithm",LN(0.001+IF(AND(ISNUMBER('Council Entry'!AS$8),ISNUMBER('Council Entry'!AS$9)),MAX(MIN('Council Entry'!AS135,'Council Entry'!AS$9),'Council Entry'!AS$8),'Council Entry'!AS135)),IF('Council Entry'!AS$4="Exponential",EXP(IF(AND(ISNUMBER('Council Entry'!AS$8),ISNUMBER('Council Entry'!AS$9)),MAX(MIN('Council Entry'!AS135,'Council Entry'!AS$9),'Council Entry'!AS$8),'Council Entry'!AS135)),IF(AND(ISNUMBER('Council Entry'!AS$8),ISNUMBER('Council Entry'!AS$9)),MAX(MIN('Council Entry'!AS135,'Council Entry'!AS$9),'Council Entry'!AS$8),'Council Entry'!AS135))))-'Council Entry'!AS$5)/('Council Entry'!AS$6-'Council Entry'!AS$5),10*((IF('Council Entry'!AS$4="Logarithm",LN(0.001+IF(AND(ISNUMBER('Council Entry'!AS$8),ISNUMBER('Council Entry'!AS$9)),MAX(MIN('Council Entry'!AS135,'Council Entry'!AS$9),'Council Entry'!AS$8),'Council Entry'!AS135)),IF('Council Entry'!AS$4="Exponential",EXP(IF(AND(ISNUMBER('Council Entry'!AS$8),ISNUMBER('Council Entry'!AS$9)),MAX(MIN('Council Entry'!AS135,'Council Entry'!AS$9),'Council Entry'!AS$8),'Council Entry'!AS135)),IF(AND(ISNUMBER('Council Entry'!AS$8),ISNUMBER('Council Entry'!AS$9)),MAX(MIN('Council Entry'!AS135,'Council Entry'!AS$9),'Council Entry'!AS$8),'Council Entry'!AS135))))-'Council Entry'!AS$5)/('Council Entry'!AS$6-'Council Entry'!AS$5)),1))),"No data"))</f>
        <v/>
      </c>
      <c r="AT135" s="13">
        <f>IF('Council Entry'!AT135="","",IFERROR(MAX(0,MIN(10,ROUND(IF('Council Entry'!AT$7="Decrease Risk",10-10*((IF('Council Entry'!AT$4="Logarithm",LN(0.001+IF(AND(ISNUMBER('Council Entry'!AT$8),ISNUMBER('Council Entry'!AT$9)),MAX(MIN('Council Entry'!AT135,'Council Entry'!AT$9),'Council Entry'!AT$8),'Council Entry'!AT135)),IF('Council Entry'!AT$4="Exponential",EXP(IF(AND(ISNUMBER('Council Entry'!AT$8),ISNUMBER('Council Entry'!AT$9)),MAX(MIN('Council Entry'!AT135,'Council Entry'!AT$9),'Council Entry'!AT$8),'Council Entry'!AT135)),IF(AND(ISNUMBER('Council Entry'!AT$8),ISNUMBER('Council Entry'!AT$9)),MAX(MIN('Council Entry'!AT135,'Council Entry'!AT$9),'Council Entry'!AT$8),'Council Entry'!AT135))))-'Council Entry'!AT$5)/('Council Entry'!AT$6-'Council Entry'!AT$5),10*((IF('Council Entry'!AT$4="Logarithm",LN(0.001+IF(AND(ISNUMBER('Council Entry'!AT$8),ISNUMBER('Council Entry'!AT$9)),MAX(MIN('Council Entry'!AT135,'Council Entry'!AT$9),'Council Entry'!AT$8),'Council Entry'!AT135)),IF('Council Entry'!AT$4="Exponential",EXP(IF(AND(ISNUMBER('Council Entry'!AT$8),ISNUMBER('Council Entry'!AT$9)),MAX(MIN('Council Entry'!AT135,'Council Entry'!AT$9),'Council Entry'!AT$8),'Council Entry'!AT135)),IF(AND(ISNUMBER('Council Entry'!AT$8),ISNUMBER('Council Entry'!AT$9)),MAX(MIN('Council Entry'!AT135,'Council Entry'!AT$9),'Council Entry'!AT$8),'Council Entry'!AT135))))-'Council Entry'!AT$5)/('Council Entry'!AT$6-'Council Entry'!AT$5)),1))),"No data"))</f>
        <v/>
      </c>
      <c r="AU135" s="13">
        <f>IF('Council Entry'!AU135="","",IFERROR(MAX(0,MIN(10,ROUND(IF('Council Entry'!AU$7="Decrease Risk",10-10*((IF('Council Entry'!AU$4="Logarithm",LN(0.001+IF(AND(ISNUMBER('Council Entry'!AU$8),ISNUMBER('Council Entry'!AU$9)),MAX(MIN('Council Entry'!AU135,'Council Entry'!AU$9),'Council Entry'!AU$8),'Council Entry'!AU135)),IF('Council Entry'!AU$4="Exponential",EXP(IF(AND(ISNUMBER('Council Entry'!AU$8),ISNUMBER('Council Entry'!AU$9)),MAX(MIN('Council Entry'!AU135,'Council Entry'!AU$9),'Council Entry'!AU$8),'Council Entry'!AU135)),IF(AND(ISNUMBER('Council Entry'!AU$8),ISNUMBER('Council Entry'!AU$9)),MAX(MIN('Council Entry'!AU135,'Council Entry'!AU$9),'Council Entry'!AU$8),'Council Entry'!AU135))))-'Council Entry'!AU$5)/('Council Entry'!AU$6-'Council Entry'!AU$5),10*((IF('Council Entry'!AU$4="Logarithm",LN(0.001+IF(AND(ISNUMBER('Council Entry'!AU$8),ISNUMBER('Council Entry'!AU$9)),MAX(MIN('Council Entry'!AU135,'Council Entry'!AU$9),'Council Entry'!AU$8),'Council Entry'!AU135)),IF('Council Entry'!AU$4="Exponential",EXP(IF(AND(ISNUMBER('Council Entry'!AU$8),ISNUMBER('Council Entry'!AU$9)),MAX(MIN('Council Entry'!AU135,'Council Entry'!AU$9),'Council Entry'!AU$8),'Council Entry'!AU135)),IF(AND(ISNUMBER('Council Entry'!AU$8),ISNUMBER('Council Entry'!AU$9)),MAX(MIN('Council Entry'!AU135,'Council Entry'!AU$9),'Council Entry'!AU$8),'Council Entry'!AU135))))-'Council Entry'!AU$5)/('Council Entry'!AU$6-'Council Entry'!AU$5)),1))),"No data"))</f>
        <v/>
      </c>
      <c r="AV135" s="13">
        <f>IF('Council Entry'!AV135="","",IFERROR(MAX(0,MIN(10,ROUND(IF('Council Entry'!AV$7="Decrease Risk",10-10*((IF('Council Entry'!AV$4="Logarithm",LN(0.001+IF(AND(ISNUMBER('Council Entry'!AV$8),ISNUMBER('Council Entry'!AV$9)),MAX(MIN('Council Entry'!AV135,'Council Entry'!AV$9),'Council Entry'!AV$8),'Council Entry'!AV135)),IF('Council Entry'!AV$4="Exponential",EXP(IF(AND(ISNUMBER('Council Entry'!AV$8),ISNUMBER('Council Entry'!AV$9)),MAX(MIN('Council Entry'!AV135,'Council Entry'!AV$9),'Council Entry'!AV$8),'Council Entry'!AV135)),IF(AND(ISNUMBER('Council Entry'!AV$8),ISNUMBER('Council Entry'!AV$9)),MAX(MIN('Council Entry'!AV135,'Council Entry'!AV$9),'Council Entry'!AV$8),'Council Entry'!AV135))))-'Council Entry'!AV$5)/('Council Entry'!AV$6-'Council Entry'!AV$5),10*((IF('Council Entry'!AV$4="Logarithm",LN(0.001+IF(AND(ISNUMBER('Council Entry'!AV$8),ISNUMBER('Council Entry'!AV$9)),MAX(MIN('Council Entry'!AV135,'Council Entry'!AV$9),'Council Entry'!AV$8),'Council Entry'!AV135)),IF('Council Entry'!AV$4="Exponential",EXP(IF(AND(ISNUMBER('Council Entry'!AV$8),ISNUMBER('Council Entry'!AV$9)),MAX(MIN('Council Entry'!AV135,'Council Entry'!AV$9),'Council Entry'!AV$8),'Council Entry'!AV135)),IF(AND(ISNUMBER('Council Entry'!AV$8),ISNUMBER('Council Entry'!AV$9)),MAX(MIN('Council Entry'!AV135,'Council Entry'!AV$9),'Council Entry'!AV$8),'Council Entry'!AV135))))-'Council Entry'!AV$5)/('Council Entry'!AV$6-'Council Entry'!AV$5)),1))),"No data"))</f>
        <v/>
      </c>
      <c r="AW135" s="13">
        <f>IF('Council Entry'!AW135="","",IFERROR(MAX(0,MIN(10,ROUND(IF('Council Entry'!AW$7="Decrease Risk",10-10*((IF('Council Entry'!AW$4="Logarithm",LN(0.001+IF(AND(ISNUMBER('Council Entry'!AW$8),ISNUMBER('Council Entry'!AW$9)),MAX(MIN('Council Entry'!AW135,'Council Entry'!AW$9),'Council Entry'!AW$8),'Council Entry'!AW135)),IF('Council Entry'!AW$4="Exponential",EXP(IF(AND(ISNUMBER('Council Entry'!AW$8),ISNUMBER('Council Entry'!AW$9)),MAX(MIN('Council Entry'!AW135,'Council Entry'!AW$9),'Council Entry'!AW$8),'Council Entry'!AW135)),IF(AND(ISNUMBER('Council Entry'!AW$8),ISNUMBER('Council Entry'!AW$9)),MAX(MIN('Council Entry'!AW135,'Council Entry'!AW$9),'Council Entry'!AW$8),'Council Entry'!AW135))))-'Council Entry'!AW$5)/('Council Entry'!AW$6-'Council Entry'!AW$5),10*((IF('Council Entry'!AW$4="Logarithm",LN(0.001+IF(AND(ISNUMBER('Council Entry'!AW$8),ISNUMBER('Council Entry'!AW$9)),MAX(MIN('Council Entry'!AW135,'Council Entry'!AW$9),'Council Entry'!AW$8),'Council Entry'!AW135)),IF('Council Entry'!AW$4="Exponential",EXP(IF(AND(ISNUMBER('Council Entry'!AW$8),ISNUMBER('Council Entry'!AW$9)),MAX(MIN('Council Entry'!AW135,'Council Entry'!AW$9),'Council Entry'!AW$8),'Council Entry'!AW135)),IF(AND(ISNUMBER('Council Entry'!AW$8),ISNUMBER('Council Entry'!AW$9)),MAX(MIN('Council Entry'!AW135,'Council Entry'!AW$9),'Council Entry'!AW$8),'Council Entry'!AW135))))-'Council Entry'!AW$5)/('Council Entry'!AW$6-'Council Entry'!AW$5)),1))),"No data"))</f>
        <v/>
      </c>
      <c r="AX135" s="13">
        <f>IF('Council Entry'!AX135="","",IFERROR(MAX(0,MIN(10,ROUND(IF('Council Entry'!AX$7="Decrease Risk",10-10*((IF('Council Entry'!AX$4="Logarithm",LN(0.001+IF(AND(ISNUMBER('Council Entry'!AX$8),ISNUMBER('Council Entry'!AX$9)),MAX(MIN('Council Entry'!AX135,'Council Entry'!AX$9),'Council Entry'!AX$8),'Council Entry'!AX135)),IF('Council Entry'!AX$4="Exponential",EXP(IF(AND(ISNUMBER('Council Entry'!AX$8),ISNUMBER('Council Entry'!AX$9)),MAX(MIN('Council Entry'!AX135,'Council Entry'!AX$9),'Council Entry'!AX$8),'Council Entry'!AX135)),IF(AND(ISNUMBER('Council Entry'!AX$8),ISNUMBER('Council Entry'!AX$9)),MAX(MIN('Council Entry'!AX135,'Council Entry'!AX$9),'Council Entry'!AX$8),'Council Entry'!AX135))))-'Council Entry'!AX$5)/('Council Entry'!AX$6-'Council Entry'!AX$5),10*((IF('Council Entry'!AX$4="Logarithm",LN(0.001+IF(AND(ISNUMBER('Council Entry'!AX$8),ISNUMBER('Council Entry'!AX$9)),MAX(MIN('Council Entry'!AX135,'Council Entry'!AX$9),'Council Entry'!AX$8),'Council Entry'!AX135)),IF('Council Entry'!AX$4="Exponential",EXP(IF(AND(ISNUMBER('Council Entry'!AX$8),ISNUMBER('Council Entry'!AX$9)),MAX(MIN('Council Entry'!AX135,'Council Entry'!AX$9),'Council Entry'!AX$8),'Council Entry'!AX135)),IF(AND(ISNUMBER('Council Entry'!AX$8),ISNUMBER('Council Entry'!AX$9)),MAX(MIN('Council Entry'!AX135,'Council Entry'!AX$9),'Council Entry'!AX$8),'Council Entry'!AX135))))-'Council Entry'!AX$5)/('Council Entry'!AX$6-'Council Entry'!AX$5)),1))),"No data"))</f>
        <v/>
      </c>
      <c r="AY135" s="13">
        <f>IF('Council Entry'!AY135="","",IFERROR(MAX(0,MIN(10,ROUND(IF('Council Entry'!AY$7="Decrease Risk",10-10*((IF('Council Entry'!AY$4="Logarithm",LN(0.001+IF(AND(ISNUMBER('Council Entry'!AY$8),ISNUMBER('Council Entry'!AY$9)),MAX(MIN('Council Entry'!AY135,'Council Entry'!AY$9),'Council Entry'!AY$8),'Council Entry'!AY135)),IF('Council Entry'!AY$4="Exponential",EXP(IF(AND(ISNUMBER('Council Entry'!AY$8),ISNUMBER('Council Entry'!AY$9)),MAX(MIN('Council Entry'!AY135,'Council Entry'!AY$9),'Council Entry'!AY$8),'Council Entry'!AY135)),IF(AND(ISNUMBER('Council Entry'!AY$8),ISNUMBER('Council Entry'!AY$9)),MAX(MIN('Council Entry'!AY135,'Council Entry'!AY$9),'Council Entry'!AY$8),'Council Entry'!AY135))))-'Council Entry'!AY$5)/('Council Entry'!AY$6-'Council Entry'!AY$5),10*((IF('Council Entry'!AY$4="Logarithm",LN(0.001+IF(AND(ISNUMBER('Council Entry'!AY$8),ISNUMBER('Council Entry'!AY$9)),MAX(MIN('Council Entry'!AY135,'Council Entry'!AY$9),'Council Entry'!AY$8),'Council Entry'!AY135)),IF('Council Entry'!AY$4="Exponential",EXP(IF(AND(ISNUMBER('Council Entry'!AY$8),ISNUMBER('Council Entry'!AY$9)),MAX(MIN('Council Entry'!AY135,'Council Entry'!AY$9),'Council Entry'!AY$8),'Council Entry'!AY135)),IF(AND(ISNUMBER('Council Entry'!AY$8),ISNUMBER('Council Entry'!AY$9)),MAX(MIN('Council Entry'!AY135,'Council Entry'!AY$9),'Council Entry'!AY$8),'Council Entry'!AY135))))-'Council Entry'!AY$5)/('Council Entry'!AY$6-'Council Entry'!AY$5)),1))),"No data"))</f>
        <v/>
      </c>
      <c r="AZ135" s="13">
        <f>IF('Council Entry'!AZ135="","",IFERROR(MAX(0,MIN(10,ROUND(IF('Council Entry'!AZ$7="Decrease Risk",10-10*((IF('Council Entry'!AZ$4="Logarithm",LN(0.001+IF(AND(ISNUMBER('Council Entry'!AZ$8),ISNUMBER('Council Entry'!AZ$9)),MAX(MIN('Council Entry'!AZ135,'Council Entry'!AZ$9),'Council Entry'!AZ$8),'Council Entry'!AZ135)),IF('Council Entry'!AZ$4="Exponential",EXP(IF(AND(ISNUMBER('Council Entry'!AZ$8),ISNUMBER('Council Entry'!AZ$9)),MAX(MIN('Council Entry'!AZ135,'Council Entry'!AZ$9),'Council Entry'!AZ$8),'Council Entry'!AZ135)),IF(AND(ISNUMBER('Council Entry'!AZ$8),ISNUMBER('Council Entry'!AZ$9)),MAX(MIN('Council Entry'!AZ135,'Council Entry'!AZ$9),'Council Entry'!AZ$8),'Council Entry'!AZ135))))-'Council Entry'!AZ$5)/('Council Entry'!AZ$6-'Council Entry'!AZ$5),10*((IF('Council Entry'!AZ$4="Logarithm",LN(0.001+IF(AND(ISNUMBER('Council Entry'!AZ$8),ISNUMBER('Council Entry'!AZ$9)),MAX(MIN('Council Entry'!AZ135,'Council Entry'!AZ$9),'Council Entry'!AZ$8),'Council Entry'!AZ135)),IF('Council Entry'!AZ$4="Exponential",EXP(IF(AND(ISNUMBER('Council Entry'!AZ$8),ISNUMBER('Council Entry'!AZ$9)),MAX(MIN('Council Entry'!AZ135,'Council Entry'!AZ$9),'Council Entry'!AZ$8),'Council Entry'!AZ135)),IF(AND(ISNUMBER('Council Entry'!AZ$8),ISNUMBER('Council Entry'!AZ$9)),MAX(MIN('Council Entry'!AZ135,'Council Entry'!AZ$9),'Council Entry'!AZ$8),'Council Entry'!AZ135))))-'Council Entry'!AZ$5)/('Council Entry'!AZ$6-'Council Entry'!AZ$5)),1))),"No data"))</f>
        <v/>
      </c>
      <c r="BA135" s="13">
        <f>IF('Council Entry'!BA135="","",IFERROR(MAX(0,MIN(10,ROUND(IF('Council Entry'!BA$7="Decrease Risk",10-10*((IF('Council Entry'!BA$4="Logarithm",LN(0.001+IF(AND(ISNUMBER('Council Entry'!BA$8),ISNUMBER('Council Entry'!BA$9)),MAX(MIN('Council Entry'!BA135,'Council Entry'!BA$9),'Council Entry'!BA$8),'Council Entry'!BA135)),IF('Council Entry'!BA$4="Exponential",EXP(IF(AND(ISNUMBER('Council Entry'!BA$8),ISNUMBER('Council Entry'!BA$9)),MAX(MIN('Council Entry'!BA135,'Council Entry'!BA$9),'Council Entry'!BA$8),'Council Entry'!BA135)),IF(AND(ISNUMBER('Council Entry'!BA$8),ISNUMBER('Council Entry'!BA$9)),MAX(MIN('Council Entry'!BA135,'Council Entry'!BA$9),'Council Entry'!BA$8),'Council Entry'!BA135))))-'Council Entry'!BA$5)/('Council Entry'!BA$6-'Council Entry'!BA$5),10*((IF('Council Entry'!BA$4="Logarithm",LN(0.001+IF(AND(ISNUMBER('Council Entry'!BA$8),ISNUMBER('Council Entry'!BA$9)),MAX(MIN('Council Entry'!BA135,'Council Entry'!BA$9),'Council Entry'!BA$8),'Council Entry'!BA135)),IF('Council Entry'!BA$4="Exponential",EXP(IF(AND(ISNUMBER('Council Entry'!BA$8),ISNUMBER('Council Entry'!BA$9)),MAX(MIN('Council Entry'!BA135,'Council Entry'!BA$9),'Council Entry'!BA$8),'Council Entry'!BA135)),IF(AND(ISNUMBER('Council Entry'!BA$8),ISNUMBER('Council Entry'!BA$9)),MAX(MIN('Council Entry'!BA135,'Council Entry'!BA$9),'Council Entry'!BA$8),'Council Entry'!BA135))))-'Council Entry'!BA$5)/('Council Entry'!BA$6-'Council Entry'!BA$5)),1))),"No data"))</f>
        <v/>
      </c>
      <c r="BB135" s="13">
        <f>IF('Council Entry'!BB135="","",IFERROR(MAX(0,MIN(10,ROUND(IF('Council Entry'!BB$7="Decrease Risk",10-10*((IF('Council Entry'!BB$4="Logarithm",LN(0.001+IF(AND(ISNUMBER('Council Entry'!BB$8),ISNUMBER('Council Entry'!BB$9)),MAX(MIN('Council Entry'!BB135,'Council Entry'!BB$9),'Council Entry'!BB$8),'Council Entry'!BB135)),IF('Council Entry'!BB$4="Exponential",EXP(IF(AND(ISNUMBER('Council Entry'!BB$8),ISNUMBER('Council Entry'!BB$9)),MAX(MIN('Council Entry'!BB135,'Council Entry'!BB$9),'Council Entry'!BB$8),'Council Entry'!BB135)),IF(AND(ISNUMBER('Council Entry'!BB$8),ISNUMBER('Council Entry'!BB$9)),MAX(MIN('Council Entry'!BB135,'Council Entry'!BB$9),'Council Entry'!BB$8),'Council Entry'!BB135))))-'Council Entry'!BB$5)/('Council Entry'!BB$6-'Council Entry'!BB$5),10*((IF('Council Entry'!BB$4="Logarithm",LN(0.001+IF(AND(ISNUMBER('Council Entry'!BB$8),ISNUMBER('Council Entry'!BB$9)),MAX(MIN('Council Entry'!BB135,'Council Entry'!BB$9),'Council Entry'!BB$8),'Council Entry'!BB135)),IF('Council Entry'!BB$4="Exponential",EXP(IF(AND(ISNUMBER('Council Entry'!BB$8),ISNUMBER('Council Entry'!BB$9)),MAX(MIN('Council Entry'!BB135,'Council Entry'!BB$9),'Council Entry'!BB$8),'Council Entry'!BB135)),IF(AND(ISNUMBER('Council Entry'!BB$8),ISNUMBER('Council Entry'!BB$9)),MAX(MIN('Council Entry'!BB135,'Council Entry'!BB$9),'Council Entry'!BB$8),'Council Entry'!BB135))))-'Council Entry'!BB$5)/('Council Entry'!BB$6-'Council Entry'!BB$5)),1))),"No data"))</f>
        <v/>
      </c>
      <c r="BC135" s="13">
        <f>IF('Council Entry'!BC135="","",IFERROR(MAX(0,MIN(10,ROUND(IF('Council Entry'!BC$7="Decrease Risk",10-10*((IF('Council Entry'!BC$4="Logarithm",LN(0.001+IF(AND(ISNUMBER('Council Entry'!BC$8),ISNUMBER('Council Entry'!BC$9)),MAX(MIN('Council Entry'!BC135,'Council Entry'!BC$9),'Council Entry'!BC$8),'Council Entry'!BC135)),IF('Council Entry'!BC$4="Exponential",EXP(IF(AND(ISNUMBER('Council Entry'!BC$8),ISNUMBER('Council Entry'!BC$9)),MAX(MIN('Council Entry'!BC135,'Council Entry'!BC$9),'Council Entry'!BC$8),'Council Entry'!BC135)),IF(AND(ISNUMBER('Council Entry'!BC$8),ISNUMBER('Council Entry'!BC$9)),MAX(MIN('Council Entry'!BC135,'Council Entry'!BC$9),'Council Entry'!BC$8),'Council Entry'!BC135))))-'Council Entry'!BC$5)/('Council Entry'!BC$6-'Council Entry'!BC$5),10*((IF('Council Entry'!BC$4="Logarithm",LN(0.001+IF(AND(ISNUMBER('Council Entry'!BC$8),ISNUMBER('Council Entry'!BC$9)),MAX(MIN('Council Entry'!BC135,'Council Entry'!BC$9),'Council Entry'!BC$8),'Council Entry'!BC135)),IF('Council Entry'!BC$4="Exponential",EXP(IF(AND(ISNUMBER('Council Entry'!BC$8),ISNUMBER('Council Entry'!BC$9)),MAX(MIN('Council Entry'!BC135,'Council Entry'!BC$9),'Council Entry'!BC$8),'Council Entry'!BC135)),IF(AND(ISNUMBER('Council Entry'!BC$8),ISNUMBER('Council Entry'!BC$9)),MAX(MIN('Council Entry'!BC135,'Council Entry'!BC$9),'Council Entry'!BC$8),'Council Entry'!BC135))))-'Council Entry'!BC$5)/('Council Entry'!BC$6-'Council Entry'!BC$5)),1))),"No data"))</f>
        <v/>
      </c>
      <c r="BD135" s="13">
        <f>IF('Council Entry'!BD135="","",IFERROR(MAX(0,MIN(10,ROUND(IF('Council Entry'!BD$7="Decrease Risk",10-10*((IF('Council Entry'!BD$4="Logarithm",LN(0.001+IF(AND(ISNUMBER('Council Entry'!BD$8),ISNUMBER('Council Entry'!BD$9)),MAX(MIN('Council Entry'!BD135,'Council Entry'!BD$9),'Council Entry'!BD$8),'Council Entry'!BD135)),IF('Council Entry'!BD$4="Exponential",EXP(IF(AND(ISNUMBER('Council Entry'!BD$8),ISNUMBER('Council Entry'!BD$9)),MAX(MIN('Council Entry'!BD135,'Council Entry'!BD$9),'Council Entry'!BD$8),'Council Entry'!BD135)),IF(AND(ISNUMBER('Council Entry'!BD$8),ISNUMBER('Council Entry'!BD$9)),MAX(MIN('Council Entry'!BD135,'Council Entry'!BD$9),'Council Entry'!BD$8),'Council Entry'!BD135))))-'Council Entry'!BD$5)/('Council Entry'!BD$6-'Council Entry'!BD$5),10*((IF('Council Entry'!BD$4="Logarithm",LN(0.001+IF(AND(ISNUMBER('Council Entry'!BD$8),ISNUMBER('Council Entry'!BD$9)),MAX(MIN('Council Entry'!BD135,'Council Entry'!BD$9),'Council Entry'!BD$8),'Council Entry'!BD135)),IF('Council Entry'!BD$4="Exponential",EXP(IF(AND(ISNUMBER('Council Entry'!BD$8),ISNUMBER('Council Entry'!BD$9)),MAX(MIN('Council Entry'!BD135,'Council Entry'!BD$9),'Council Entry'!BD$8),'Council Entry'!BD135)),IF(AND(ISNUMBER('Council Entry'!BD$8),ISNUMBER('Council Entry'!BD$9)),MAX(MIN('Council Entry'!BD135,'Council Entry'!BD$9),'Council Entry'!BD$8),'Council Entry'!BD135))))-'Council Entry'!BD$5)/('Council Entry'!BD$6-'Council Entry'!BD$5)),1))),"No data"))</f>
        <v/>
      </c>
    </row>
    <row r="136">
      <c r="A136" t="inlineStr">
        <is>
          <t>Njombe</t>
        </is>
      </c>
      <c r="B136" t="inlineStr">
        <is>
          <t>Ludewa District</t>
        </is>
      </c>
      <c r="C136" t="inlineStr">
        <is>
          <t>C160</t>
        </is>
      </c>
      <c r="D136" s="13">
        <f>IF('Council Entry'!D136="","",IFERROR(MAX(0,MIN(10,ROUND(IF('Council Entry'!D$7="Decrease Risk",10-10*((IF('Council Entry'!D$4="Logarithm",LN(0.001+IF(AND(ISNUMBER('Council Entry'!D$8),ISNUMBER('Council Entry'!D$9)),MAX(MIN('Council Entry'!D136,'Council Entry'!D$9),'Council Entry'!D$8),'Council Entry'!D136)),IF('Council Entry'!D$4="Exponential",EXP(IF(AND(ISNUMBER('Council Entry'!D$8),ISNUMBER('Council Entry'!D$9)),MAX(MIN('Council Entry'!D136,'Council Entry'!D$9),'Council Entry'!D$8),'Council Entry'!D136)),IF(AND(ISNUMBER('Council Entry'!D$8),ISNUMBER('Council Entry'!D$9)),MAX(MIN('Council Entry'!D136,'Council Entry'!D$9),'Council Entry'!D$8),'Council Entry'!D136))))-'Council Entry'!D$5)/('Council Entry'!D$6-'Council Entry'!D$5),10*((IF('Council Entry'!D$4="Logarithm",LN(0.001+IF(AND(ISNUMBER('Council Entry'!D$8),ISNUMBER('Council Entry'!D$9)),MAX(MIN('Council Entry'!D136,'Council Entry'!D$9),'Council Entry'!D$8),'Council Entry'!D136)),IF('Council Entry'!D$4="Exponential",EXP(IF(AND(ISNUMBER('Council Entry'!D$8),ISNUMBER('Council Entry'!D$9)),MAX(MIN('Council Entry'!D136,'Council Entry'!D$9),'Council Entry'!D$8),'Council Entry'!D136)),IF(AND(ISNUMBER('Council Entry'!D$8),ISNUMBER('Council Entry'!D$9)),MAX(MIN('Council Entry'!D136,'Council Entry'!D$9),'Council Entry'!D$8),'Council Entry'!D136))))-'Council Entry'!D$5)/('Council Entry'!D$6-'Council Entry'!D$5)),1))),"No data"))</f>
        <v/>
      </c>
      <c r="E136" s="13">
        <f>IF('Council Entry'!E136="","",IFERROR(MAX(0,MIN(10,ROUND(IF('Council Entry'!E$7="Decrease Risk",10-10*((IF('Council Entry'!E$4="Logarithm",LN(0.001+IF(AND(ISNUMBER('Council Entry'!E$8),ISNUMBER('Council Entry'!E$9)),MAX(MIN('Council Entry'!E136,'Council Entry'!E$9),'Council Entry'!E$8),'Council Entry'!E136)),IF('Council Entry'!E$4="Exponential",EXP(IF(AND(ISNUMBER('Council Entry'!E$8),ISNUMBER('Council Entry'!E$9)),MAX(MIN('Council Entry'!E136,'Council Entry'!E$9),'Council Entry'!E$8),'Council Entry'!E136)),IF(AND(ISNUMBER('Council Entry'!E$8),ISNUMBER('Council Entry'!E$9)),MAX(MIN('Council Entry'!E136,'Council Entry'!E$9),'Council Entry'!E$8),'Council Entry'!E136))))-'Council Entry'!E$5)/('Council Entry'!E$6-'Council Entry'!E$5),10*((IF('Council Entry'!E$4="Logarithm",LN(0.001+IF(AND(ISNUMBER('Council Entry'!E$8),ISNUMBER('Council Entry'!E$9)),MAX(MIN('Council Entry'!E136,'Council Entry'!E$9),'Council Entry'!E$8),'Council Entry'!E136)),IF('Council Entry'!E$4="Exponential",EXP(IF(AND(ISNUMBER('Council Entry'!E$8),ISNUMBER('Council Entry'!E$9)),MAX(MIN('Council Entry'!E136,'Council Entry'!E$9),'Council Entry'!E$8),'Council Entry'!E136)),IF(AND(ISNUMBER('Council Entry'!E$8),ISNUMBER('Council Entry'!E$9)),MAX(MIN('Council Entry'!E136,'Council Entry'!E$9),'Council Entry'!E$8),'Council Entry'!E136))))-'Council Entry'!E$5)/('Council Entry'!E$6-'Council Entry'!E$5)),1))),"No data"))</f>
        <v/>
      </c>
      <c r="F136" s="13">
        <f>IF('Council Entry'!F136="","",IFERROR(MAX(0,MIN(10,ROUND(IF('Council Entry'!F$7="Decrease Risk",10-10*((IF('Council Entry'!F$4="Logarithm",LN(0.001+IF(AND(ISNUMBER('Council Entry'!F$8),ISNUMBER('Council Entry'!F$9)),MAX(MIN('Council Entry'!F136,'Council Entry'!F$9),'Council Entry'!F$8),'Council Entry'!F136)),IF('Council Entry'!F$4="Exponential",EXP(IF(AND(ISNUMBER('Council Entry'!F$8),ISNUMBER('Council Entry'!F$9)),MAX(MIN('Council Entry'!F136,'Council Entry'!F$9),'Council Entry'!F$8),'Council Entry'!F136)),IF(AND(ISNUMBER('Council Entry'!F$8),ISNUMBER('Council Entry'!F$9)),MAX(MIN('Council Entry'!F136,'Council Entry'!F$9),'Council Entry'!F$8),'Council Entry'!F136))))-'Council Entry'!F$5)/('Council Entry'!F$6-'Council Entry'!F$5),10*((IF('Council Entry'!F$4="Logarithm",LN(0.001+IF(AND(ISNUMBER('Council Entry'!F$8),ISNUMBER('Council Entry'!F$9)),MAX(MIN('Council Entry'!F136,'Council Entry'!F$9),'Council Entry'!F$8),'Council Entry'!F136)),IF('Council Entry'!F$4="Exponential",EXP(IF(AND(ISNUMBER('Council Entry'!F$8),ISNUMBER('Council Entry'!F$9)),MAX(MIN('Council Entry'!F136,'Council Entry'!F$9),'Council Entry'!F$8),'Council Entry'!F136)),IF(AND(ISNUMBER('Council Entry'!F$8),ISNUMBER('Council Entry'!F$9)),MAX(MIN('Council Entry'!F136,'Council Entry'!F$9),'Council Entry'!F$8),'Council Entry'!F136))))-'Council Entry'!F$5)/('Council Entry'!F$6-'Council Entry'!F$5)),1))),"No data"))</f>
        <v/>
      </c>
      <c r="G136" s="13">
        <f>IF('Council Entry'!G136="","",IFERROR(MAX(0,MIN(10,ROUND(IF('Council Entry'!G$7="Decrease Risk",10-10*((IF('Council Entry'!G$4="Logarithm",LN(0.001+IF(AND(ISNUMBER('Council Entry'!G$8),ISNUMBER('Council Entry'!G$9)),MAX(MIN('Council Entry'!G136,'Council Entry'!G$9),'Council Entry'!G$8),'Council Entry'!G136)),IF('Council Entry'!G$4="Exponential",EXP(IF(AND(ISNUMBER('Council Entry'!G$8),ISNUMBER('Council Entry'!G$9)),MAX(MIN('Council Entry'!G136,'Council Entry'!G$9),'Council Entry'!G$8),'Council Entry'!G136)),IF(AND(ISNUMBER('Council Entry'!G$8),ISNUMBER('Council Entry'!G$9)),MAX(MIN('Council Entry'!G136,'Council Entry'!G$9),'Council Entry'!G$8),'Council Entry'!G136))))-'Council Entry'!G$5)/('Council Entry'!G$6-'Council Entry'!G$5),10*((IF('Council Entry'!G$4="Logarithm",LN(0.001+IF(AND(ISNUMBER('Council Entry'!G$8),ISNUMBER('Council Entry'!G$9)),MAX(MIN('Council Entry'!G136,'Council Entry'!G$9),'Council Entry'!G$8),'Council Entry'!G136)),IF('Council Entry'!G$4="Exponential",EXP(IF(AND(ISNUMBER('Council Entry'!G$8),ISNUMBER('Council Entry'!G$9)),MAX(MIN('Council Entry'!G136,'Council Entry'!G$9),'Council Entry'!G$8),'Council Entry'!G136)),IF(AND(ISNUMBER('Council Entry'!G$8),ISNUMBER('Council Entry'!G$9)),MAX(MIN('Council Entry'!G136,'Council Entry'!G$9),'Council Entry'!G$8),'Council Entry'!G136))))-'Council Entry'!G$5)/('Council Entry'!G$6-'Council Entry'!G$5)),1))),"No data"))</f>
        <v/>
      </c>
      <c r="H136" s="13">
        <f>IF('Council Entry'!H136="","",IFERROR(MAX(0,MIN(10,ROUND(IF('Council Entry'!H$7="Decrease Risk",10-10*((IF('Council Entry'!H$4="Logarithm",LN(0.001+IF(AND(ISNUMBER('Council Entry'!H$8),ISNUMBER('Council Entry'!H$9)),MAX(MIN('Council Entry'!H136,'Council Entry'!H$9),'Council Entry'!H$8),'Council Entry'!H136)),IF('Council Entry'!H$4="Exponential",EXP(IF(AND(ISNUMBER('Council Entry'!H$8),ISNUMBER('Council Entry'!H$9)),MAX(MIN('Council Entry'!H136,'Council Entry'!H$9),'Council Entry'!H$8),'Council Entry'!H136)),IF(AND(ISNUMBER('Council Entry'!H$8),ISNUMBER('Council Entry'!H$9)),MAX(MIN('Council Entry'!H136,'Council Entry'!H$9),'Council Entry'!H$8),'Council Entry'!H136))))-'Council Entry'!H$5)/('Council Entry'!H$6-'Council Entry'!H$5),10*((IF('Council Entry'!H$4="Logarithm",LN(0.001+IF(AND(ISNUMBER('Council Entry'!H$8),ISNUMBER('Council Entry'!H$9)),MAX(MIN('Council Entry'!H136,'Council Entry'!H$9),'Council Entry'!H$8),'Council Entry'!H136)),IF('Council Entry'!H$4="Exponential",EXP(IF(AND(ISNUMBER('Council Entry'!H$8),ISNUMBER('Council Entry'!H$9)),MAX(MIN('Council Entry'!H136,'Council Entry'!H$9),'Council Entry'!H$8),'Council Entry'!H136)),IF(AND(ISNUMBER('Council Entry'!H$8),ISNUMBER('Council Entry'!H$9)),MAX(MIN('Council Entry'!H136,'Council Entry'!H$9),'Council Entry'!H$8),'Council Entry'!H136))))-'Council Entry'!H$5)/('Council Entry'!H$6-'Council Entry'!H$5)),1))),"No data"))</f>
        <v/>
      </c>
      <c r="I136" s="13">
        <f>IF('Council Entry'!I136="","",IFERROR(MAX(0,MIN(10,ROUND(IF('Council Entry'!I$7="Decrease Risk",10-10*((IF('Council Entry'!I$4="Logarithm",LN(0.001+IF(AND(ISNUMBER('Council Entry'!I$8),ISNUMBER('Council Entry'!I$9)),MAX(MIN('Council Entry'!I136,'Council Entry'!I$9),'Council Entry'!I$8),'Council Entry'!I136)),IF('Council Entry'!I$4="Exponential",EXP(IF(AND(ISNUMBER('Council Entry'!I$8),ISNUMBER('Council Entry'!I$9)),MAX(MIN('Council Entry'!I136,'Council Entry'!I$9),'Council Entry'!I$8),'Council Entry'!I136)),IF(AND(ISNUMBER('Council Entry'!I$8),ISNUMBER('Council Entry'!I$9)),MAX(MIN('Council Entry'!I136,'Council Entry'!I$9),'Council Entry'!I$8),'Council Entry'!I136))))-'Council Entry'!I$5)/('Council Entry'!I$6-'Council Entry'!I$5),10*((IF('Council Entry'!I$4="Logarithm",LN(0.001+IF(AND(ISNUMBER('Council Entry'!I$8),ISNUMBER('Council Entry'!I$9)),MAX(MIN('Council Entry'!I136,'Council Entry'!I$9),'Council Entry'!I$8),'Council Entry'!I136)),IF('Council Entry'!I$4="Exponential",EXP(IF(AND(ISNUMBER('Council Entry'!I$8),ISNUMBER('Council Entry'!I$9)),MAX(MIN('Council Entry'!I136,'Council Entry'!I$9),'Council Entry'!I$8),'Council Entry'!I136)),IF(AND(ISNUMBER('Council Entry'!I$8),ISNUMBER('Council Entry'!I$9)),MAX(MIN('Council Entry'!I136,'Council Entry'!I$9),'Council Entry'!I$8),'Council Entry'!I136))))-'Council Entry'!I$5)/('Council Entry'!I$6-'Council Entry'!I$5)),1))),"No data"))</f>
        <v/>
      </c>
      <c r="J136" s="13">
        <f>IF('Council Entry'!J136="","",IFERROR(MAX(0,MIN(10,ROUND(IF('Council Entry'!J$7="Decrease Risk",10-10*((IF('Council Entry'!J$4="Logarithm",LN(0.001+IF(AND(ISNUMBER('Council Entry'!J$8),ISNUMBER('Council Entry'!J$9)),MAX(MIN('Council Entry'!J136,'Council Entry'!J$9),'Council Entry'!J$8),'Council Entry'!J136)),IF('Council Entry'!J$4="Exponential",EXP(IF(AND(ISNUMBER('Council Entry'!J$8),ISNUMBER('Council Entry'!J$9)),MAX(MIN('Council Entry'!J136,'Council Entry'!J$9),'Council Entry'!J$8),'Council Entry'!J136)),IF(AND(ISNUMBER('Council Entry'!J$8),ISNUMBER('Council Entry'!J$9)),MAX(MIN('Council Entry'!J136,'Council Entry'!J$9),'Council Entry'!J$8),'Council Entry'!J136))))-'Council Entry'!J$5)/('Council Entry'!J$6-'Council Entry'!J$5),10*((IF('Council Entry'!J$4="Logarithm",LN(0.001+IF(AND(ISNUMBER('Council Entry'!J$8),ISNUMBER('Council Entry'!J$9)),MAX(MIN('Council Entry'!J136,'Council Entry'!J$9),'Council Entry'!J$8),'Council Entry'!J136)),IF('Council Entry'!J$4="Exponential",EXP(IF(AND(ISNUMBER('Council Entry'!J$8),ISNUMBER('Council Entry'!J$9)),MAX(MIN('Council Entry'!J136,'Council Entry'!J$9),'Council Entry'!J$8),'Council Entry'!J136)),IF(AND(ISNUMBER('Council Entry'!J$8),ISNUMBER('Council Entry'!J$9)),MAX(MIN('Council Entry'!J136,'Council Entry'!J$9),'Council Entry'!J$8),'Council Entry'!J136))))-'Council Entry'!J$5)/('Council Entry'!J$6-'Council Entry'!J$5)),1))),"No data"))</f>
        <v/>
      </c>
      <c r="K136" s="13">
        <f>IF('Council Entry'!K136="","",IFERROR(MAX(0,MIN(10,ROUND(IF('Council Entry'!K$7="Decrease Risk",10-10*((IF('Council Entry'!K$4="Logarithm",LN(0.001+IF(AND(ISNUMBER('Council Entry'!K$8),ISNUMBER('Council Entry'!K$9)),MAX(MIN('Council Entry'!K136,'Council Entry'!K$9),'Council Entry'!K$8),'Council Entry'!K136)),IF('Council Entry'!K$4="Exponential",EXP(IF(AND(ISNUMBER('Council Entry'!K$8),ISNUMBER('Council Entry'!K$9)),MAX(MIN('Council Entry'!K136,'Council Entry'!K$9),'Council Entry'!K$8),'Council Entry'!K136)),IF(AND(ISNUMBER('Council Entry'!K$8),ISNUMBER('Council Entry'!K$9)),MAX(MIN('Council Entry'!K136,'Council Entry'!K$9),'Council Entry'!K$8),'Council Entry'!K136))))-'Council Entry'!K$5)/('Council Entry'!K$6-'Council Entry'!K$5),10*((IF('Council Entry'!K$4="Logarithm",LN(0.001+IF(AND(ISNUMBER('Council Entry'!K$8),ISNUMBER('Council Entry'!K$9)),MAX(MIN('Council Entry'!K136,'Council Entry'!K$9),'Council Entry'!K$8),'Council Entry'!K136)),IF('Council Entry'!K$4="Exponential",EXP(IF(AND(ISNUMBER('Council Entry'!K$8),ISNUMBER('Council Entry'!K$9)),MAX(MIN('Council Entry'!K136,'Council Entry'!K$9),'Council Entry'!K$8),'Council Entry'!K136)),IF(AND(ISNUMBER('Council Entry'!K$8),ISNUMBER('Council Entry'!K$9)),MAX(MIN('Council Entry'!K136,'Council Entry'!K$9),'Council Entry'!K$8),'Council Entry'!K136))))-'Council Entry'!K$5)/('Council Entry'!K$6-'Council Entry'!K$5)),1))),"No data"))</f>
        <v/>
      </c>
      <c r="L136" s="13">
        <f>IF('Council Entry'!L136="","",IFERROR(MAX(0,MIN(10,ROUND(IF('Council Entry'!L$7="Decrease Risk",10-10*((IF('Council Entry'!L$4="Logarithm",LN(0.001+IF(AND(ISNUMBER('Council Entry'!L$8),ISNUMBER('Council Entry'!L$9)),MAX(MIN('Council Entry'!L136,'Council Entry'!L$9),'Council Entry'!L$8),'Council Entry'!L136)),IF('Council Entry'!L$4="Exponential",EXP(IF(AND(ISNUMBER('Council Entry'!L$8),ISNUMBER('Council Entry'!L$9)),MAX(MIN('Council Entry'!L136,'Council Entry'!L$9),'Council Entry'!L$8),'Council Entry'!L136)),IF(AND(ISNUMBER('Council Entry'!L$8),ISNUMBER('Council Entry'!L$9)),MAX(MIN('Council Entry'!L136,'Council Entry'!L$9),'Council Entry'!L$8),'Council Entry'!L136))))-'Council Entry'!L$5)/('Council Entry'!L$6-'Council Entry'!L$5),10*((IF('Council Entry'!L$4="Logarithm",LN(0.001+IF(AND(ISNUMBER('Council Entry'!L$8),ISNUMBER('Council Entry'!L$9)),MAX(MIN('Council Entry'!L136,'Council Entry'!L$9),'Council Entry'!L$8),'Council Entry'!L136)),IF('Council Entry'!L$4="Exponential",EXP(IF(AND(ISNUMBER('Council Entry'!L$8),ISNUMBER('Council Entry'!L$9)),MAX(MIN('Council Entry'!L136,'Council Entry'!L$9),'Council Entry'!L$8),'Council Entry'!L136)),IF(AND(ISNUMBER('Council Entry'!L$8),ISNUMBER('Council Entry'!L$9)),MAX(MIN('Council Entry'!L136,'Council Entry'!L$9),'Council Entry'!L$8),'Council Entry'!L136))))-'Council Entry'!L$5)/('Council Entry'!L$6-'Council Entry'!L$5)),1))),"No data"))</f>
        <v/>
      </c>
      <c r="M136" s="13">
        <f>IF('Council Entry'!M136="","",IFERROR(MAX(0,MIN(10,ROUND(IF('Council Entry'!M$7="Decrease Risk",10-10*((IF('Council Entry'!M$4="Logarithm",LN(0.001+IF(AND(ISNUMBER('Council Entry'!M$8),ISNUMBER('Council Entry'!M$9)),MAX(MIN('Council Entry'!M136,'Council Entry'!M$9),'Council Entry'!M$8),'Council Entry'!M136)),IF('Council Entry'!M$4="Exponential",EXP(IF(AND(ISNUMBER('Council Entry'!M$8),ISNUMBER('Council Entry'!M$9)),MAX(MIN('Council Entry'!M136,'Council Entry'!M$9),'Council Entry'!M$8),'Council Entry'!M136)),IF(AND(ISNUMBER('Council Entry'!M$8),ISNUMBER('Council Entry'!M$9)),MAX(MIN('Council Entry'!M136,'Council Entry'!M$9),'Council Entry'!M$8),'Council Entry'!M136))))-'Council Entry'!M$5)/('Council Entry'!M$6-'Council Entry'!M$5),10*((IF('Council Entry'!M$4="Logarithm",LN(0.001+IF(AND(ISNUMBER('Council Entry'!M$8),ISNUMBER('Council Entry'!M$9)),MAX(MIN('Council Entry'!M136,'Council Entry'!M$9),'Council Entry'!M$8),'Council Entry'!M136)),IF('Council Entry'!M$4="Exponential",EXP(IF(AND(ISNUMBER('Council Entry'!M$8),ISNUMBER('Council Entry'!M$9)),MAX(MIN('Council Entry'!M136,'Council Entry'!M$9),'Council Entry'!M$8),'Council Entry'!M136)),IF(AND(ISNUMBER('Council Entry'!M$8),ISNUMBER('Council Entry'!M$9)),MAX(MIN('Council Entry'!M136,'Council Entry'!M$9),'Council Entry'!M$8),'Council Entry'!M136))))-'Council Entry'!M$5)/('Council Entry'!M$6-'Council Entry'!M$5)),1))),"No data"))</f>
        <v/>
      </c>
      <c r="N136" s="13">
        <f>IF('Council Entry'!N136="","",IFERROR(MAX(0,MIN(10,ROUND(IF('Council Entry'!N$7="Decrease Risk",10-10*((IF('Council Entry'!N$4="Logarithm",LN(0.001+IF(AND(ISNUMBER('Council Entry'!N$8),ISNUMBER('Council Entry'!N$9)),MAX(MIN('Council Entry'!N136,'Council Entry'!N$9),'Council Entry'!N$8),'Council Entry'!N136)),IF('Council Entry'!N$4="Exponential",EXP(IF(AND(ISNUMBER('Council Entry'!N$8),ISNUMBER('Council Entry'!N$9)),MAX(MIN('Council Entry'!N136,'Council Entry'!N$9),'Council Entry'!N$8),'Council Entry'!N136)),IF(AND(ISNUMBER('Council Entry'!N$8),ISNUMBER('Council Entry'!N$9)),MAX(MIN('Council Entry'!N136,'Council Entry'!N$9),'Council Entry'!N$8),'Council Entry'!N136))))-'Council Entry'!N$5)/('Council Entry'!N$6-'Council Entry'!N$5),10*((IF('Council Entry'!N$4="Logarithm",LN(0.001+IF(AND(ISNUMBER('Council Entry'!N$8),ISNUMBER('Council Entry'!N$9)),MAX(MIN('Council Entry'!N136,'Council Entry'!N$9),'Council Entry'!N$8),'Council Entry'!N136)),IF('Council Entry'!N$4="Exponential",EXP(IF(AND(ISNUMBER('Council Entry'!N$8),ISNUMBER('Council Entry'!N$9)),MAX(MIN('Council Entry'!N136,'Council Entry'!N$9),'Council Entry'!N$8),'Council Entry'!N136)),IF(AND(ISNUMBER('Council Entry'!N$8),ISNUMBER('Council Entry'!N$9)),MAX(MIN('Council Entry'!N136,'Council Entry'!N$9),'Council Entry'!N$8),'Council Entry'!N136))))-'Council Entry'!N$5)/('Council Entry'!N$6-'Council Entry'!N$5)),1))),"No data"))</f>
        <v/>
      </c>
      <c r="O136" s="13">
        <f>IF('Council Entry'!O136="","",IFERROR(MAX(0,MIN(10,ROUND(IF('Council Entry'!O$7="Decrease Risk",10-10*((IF('Council Entry'!O$4="Logarithm",LN(0.001+IF(AND(ISNUMBER('Council Entry'!O$8),ISNUMBER('Council Entry'!O$9)),MAX(MIN('Council Entry'!O136,'Council Entry'!O$9),'Council Entry'!O$8),'Council Entry'!O136)),IF('Council Entry'!O$4="Exponential",EXP(IF(AND(ISNUMBER('Council Entry'!O$8),ISNUMBER('Council Entry'!O$9)),MAX(MIN('Council Entry'!O136,'Council Entry'!O$9),'Council Entry'!O$8),'Council Entry'!O136)),IF(AND(ISNUMBER('Council Entry'!O$8),ISNUMBER('Council Entry'!O$9)),MAX(MIN('Council Entry'!O136,'Council Entry'!O$9),'Council Entry'!O$8),'Council Entry'!O136))))-'Council Entry'!O$5)/('Council Entry'!O$6-'Council Entry'!O$5),10*((IF('Council Entry'!O$4="Logarithm",LN(0.001+IF(AND(ISNUMBER('Council Entry'!O$8),ISNUMBER('Council Entry'!O$9)),MAX(MIN('Council Entry'!O136,'Council Entry'!O$9),'Council Entry'!O$8),'Council Entry'!O136)),IF('Council Entry'!O$4="Exponential",EXP(IF(AND(ISNUMBER('Council Entry'!O$8),ISNUMBER('Council Entry'!O$9)),MAX(MIN('Council Entry'!O136,'Council Entry'!O$9),'Council Entry'!O$8),'Council Entry'!O136)),IF(AND(ISNUMBER('Council Entry'!O$8),ISNUMBER('Council Entry'!O$9)),MAX(MIN('Council Entry'!O136,'Council Entry'!O$9),'Council Entry'!O$8),'Council Entry'!O136))))-'Council Entry'!O$5)/('Council Entry'!O$6-'Council Entry'!O$5)),1))),"No data"))</f>
        <v/>
      </c>
      <c r="P136" s="13">
        <f>IF('Council Entry'!P136="","",IFERROR(MAX(0,MIN(10,ROUND(IF('Council Entry'!P$7="Decrease Risk",10-10*((IF('Council Entry'!P$4="Logarithm",LN(0.001+IF(AND(ISNUMBER('Council Entry'!P$8),ISNUMBER('Council Entry'!P$9)),MAX(MIN('Council Entry'!P136,'Council Entry'!P$9),'Council Entry'!P$8),'Council Entry'!P136)),IF('Council Entry'!P$4="Exponential",EXP(IF(AND(ISNUMBER('Council Entry'!P$8),ISNUMBER('Council Entry'!P$9)),MAX(MIN('Council Entry'!P136,'Council Entry'!P$9),'Council Entry'!P$8),'Council Entry'!P136)),IF(AND(ISNUMBER('Council Entry'!P$8),ISNUMBER('Council Entry'!P$9)),MAX(MIN('Council Entry'!P136,'Council Entry'!P$9),'Council Entry'!P$8),'Council Entry'!P136))))-'Council Entry'!P$5)/('Council Entry'!P$6-'Council Entry'!P$5),10*((IF('Council Entry'!P$4="Logarithm",LN(0.001+IF(AND(ISNUMBER('Council Entry'!P$8),ISNUMBER('Council Entry'!P$9)),MAX(MIN('Council Entry'!P136,'Council Entry'!P$9),'Council Entry'!P$8),'Council Entry'!P136)),IF('Council Entry'!P$4="Exponential",EXP(IF(AND(ISNUMBER('Council Entry'!P$8),ISNUMBER('Council Entry'!P$9)),MAX(MIN('Council Entry'!P136,'Council Entry'!P$9),'Council Entry'!P$8),'Council Entry'!P136)),IF(AND(ISNUMBER('Council Entry'!P$8),ISNUMBER('Council Entry'!P$9)),MAX(MIN('Council Entry'!P136,'Council Entry'!P$9),'Council Entry'!P$8),'Council Entry'!P136))))-'Council Entry'!P$5)/('Council Entry'!P$6-'Council Entry'!P$5)),1))),"No data"))</f>
        <v/>
      </c>
      <c r="Q136" s="13">
        <f>IF('Council Entry'!Q136="","",IFERROR(MAX(0,MIN(10,ROUND(IF('Council Entry'!Q$7="Decrease Risk",10-10*((IF('Council Entry'!Q$4="Logarithm",LN(0.001+IF(AND(ISNUMBER('Council Entry'!Q$8),ISNUMBER('Council Entry'!Q$9)),MAX(MIN('Council Entry'!Q136,'Council Entry'!Q$9),'Council Entry'!Q$8),'Council Entry'!Q136)),IF('Council Entry'!Q$4="Exponential",EXP(IF(AND(ISNUMBER('Council Entry'!Q$8),ISNUMBER('Council Entry'!Q$9)),MAX(MIN('Council Entry'!Q136,'Council Entry'!Q$9),'Council Entry'!Q$8),'Council Entry'!Q136)),IF(AND(ISNUMBER('Council Entry'!Q$8),ISNUMBER('Council Entry'!Q$9)),MAX(MIN('Council Entry'!Q136,'Council Entry'!Q$9),'Council Entry'!Q$8),'Council Entry'!Q136))))-'Council Entry'!Q$5)/('Council Entry'!Q$6-'Council Entry'!Q$5),10*((IF('Council Entry'!Q$4="Logarithm",LN(0.001+IF(AND(ISNUMBER('Council Entry'!Q$8),ISNUMBER('Council Entry'!Q$9)),MAX(MIN('Council Entry'!Q136,'Council Entry'!Q$9),'Council Entry'!Q$8),'Council Entry'!Q136)),IF('Council Entry'!Q$4="Exponential",EXP(IF(AND(ISNUMBER('Council Entry'!Q$8),ISNUMBER('Council Entry'!Q$9)),MAX(MIN('Council Entry'!Q136,'Council Entry'!Q$9),'Council Entry'!Q$8),'Council Entry'!Q136)),IF(AND(ISNUMBER('Council Entry'!Q$8),ISNUMBER('Council Entry'!Q$9)),MAX(MIN('Council Entry'!Q136,'Council Entry'!Q$9),'Council Entry'!Q$8),'Council Entry'!Q136))))-'Council Entry'!Q$5)/('Council Entry'!Q$6-'Council Entry'!Q$5)),1))),"No data"))</f>
        <v/>
      </c>
      <c r="R136" s="13">
        <f>IF('Council Entry'!R136="","",IFERROR(MAX(0,MIN(10,ROUND(IF('Council Entry'!R$7="Decrease Risk",10-10*((IF('Council Entry'!R$4="Logarithm",LN(0.001+IF(AND(ISNUMBER('Council Entry'!R$8),ISNUMBER('Council Entry'!R$9)),MAX(MIN('Council Entry'!R136,'Council Entry'!R$9),'Council Entry'!R$8),'Council Entry'!R136)),IF('Council Entry'!R$4="Exponential",EXP(IF(AND(ISNUMBER('Council Entry'!R$8),ISNUMBER('Council Entry'!R$9)),MAX(MIN('Council Entry'!R136,'Council Entry'!R$9),'Council Entry'!R$8),'Council Entry'!R136)),IF(AND(ISNUMBER('Council Entry'!R$8),ISNUMBER('Council Entry'!R$9)),MAX(MIN('Council Entry'!R136,'Council Entry'!R$9),'Council Entry'!R$8),'Council Entry'!R136))))-'Council Entry'!R$5)/('Council Entry'!R$6-'Council Entry'!R$5),10*((IF('Council Entry'!R$4="Logarithm",LN(0.001+IF(AND(ISNUMBER('Council Entry'!R$8),ISNUMBER('Council Entry'!R$9)),MAX(MIN('Council Entry'!R136,'Council Entry'!R$9),'Council Entry'!R$8),'Council Entry'!R136)),IF('Council Entry'!R$4="Exponential",EXP(IF(AND(ISNUMBER('Council Entry'!R$8),ISNUMBER('Council Entry'!R$9)),MAX(MIN('Council Entry'!R136,'Council Entry'!R$9),'Council Entry'!R$8),'Council Entry'!R136)),IF(AND(ISNUMBER('Council Entry'!R$8),ISNUMBER('Council Entry'!R$9)),MAX(MIN('Council Entry'!R136,'Council Entry'!R$9),'Council Entry'!R$8),'Council Entry'!R136))))-'Council Entry'!R$5)/('Council Entry'!R$6-'Council Entry'!R$5)),1))),"No data"))</f>
        <v/>
      </c>
      <c r="S136" s="13">
        <f>IF('Council Entry'!S136="","",IFERROR(MAX(0,MIN(10,ROUND(IF('Council Entry'!S$7="Decrease Risk",10-10*((IF('Council Entry'!S$4="Logarithm",LN(0.001+IF(AND(ISNUMBER('Council Entry'!S$8),ISNUMBER('Council Entry'!S$9)),MAX(MIN('Council Entry'!S136,'Council Entry'!S$9),'Council Entry'!S$8),'Council Entry'!S136)),IF('Council Entry'!S$4="Exponential",EXP(IF(AND(ISNUMBER('Council Entry'!S$8),ISNUMBER('Council Entry'!S$9)),MAX(MIN('Council Entry'!S136,'Council Entry'!S$9),'Council Entry'!S$8),'Council Entry'!S136)),IF(AND(ISNUMBER('Council Entry'!S$8),ISNUMBER('Council Entry'!S$9)),MAX(MIN('Council Entry'!S136,'Council Entry'!S$9),'Council Entry'!S$8),'Council Entry'!S136))))-'Council Entry'!S$5)/('Council Entry'!S$6-'Council Entry'!S$5),10*((IF('Council Entry'!S$4="Logarithm",LN(0.001+IF(AND(ISNUMBER('Council Entry'!S$8),ISNUMBER('Council Entry'!S$9)),MAX(MIN('Council Entry'!S136,'Council Entry'!S$9),'Council Entry'!S$8),'Council Entry'!S136)),IF('Council Entry'!S$4="Exponential",EXP(IF(AND(ISNUMBER('Council Entry'!S$8),ISNUMBER('Council Entry'!S$9)),MAX(MIN('Council Entry'!S136,'Council Entry'!S$9),'Council Entry'!S$8),'Council Entry'!S136)),IF(AND(ISNUMBER('Council Entry'!S$8),ISNUMBER('Council Entry'!S$9)),MAX(MIN('Council Entry'!S136,'Council Entry'!S$9),'Council Entry'!S$8),'Council Entry'!S136))))-'Council Entry'!S$5)/('Council Entry'!S$6-'Council Entry'!S$5)),1))),"No data"))</f>
        <v/>
      </c>
      <c r="T136" s="13">
        <f>IF('Council Entry'!T136="","",IFERROR(MAX(0,MIN(10,ROUND(IF('Council Entry'!T$7="Decrease Risk",10-10*((IF('Council Entry'!T$4="Logarithm",LN(0.001+IF(AND(ISNUMBER('Council Entry'!T$8),ISNUMBER('Council Entry'!T$9)),MAX(MIN('Council Entry'!T136,'Council Entry'!T$9),'Council Entry'!T$8),'Council Entry'!T136)),IF('Council Entry'!T$4="Exponential",EXP(IF(AND(ISNUMBER('Council Entry'!T$8),ISNUMBER('Council Entry'!T$9)),MAX(MIN('Council Entry'!T136,'Council Entry'!T$9),'Council Entry'!T$8),'Council Entry'!T136)),IF(AND(ISNUMBER('Council Entry'!T$8),ISNUMBER('Council Entry'!T$9)),MAX(MIN('Council Entry'!T136,'Council Entry'!T$9),'Council Entry'!T$8),'Council Entry'!T136))))-'Council Entry'!T$5)/('Council Entry'!T$6-'Council Entry'!T$5),10*((IF('Council Entry'!T$4="Logarithm",LN(0.001+IF(AND(ISNUMBER('Council Entry'!T$8),ISNUMBER('Council Entry'!T$9)),MAX(MIN('Council Entry'!T136,'Council Entry'!T$9),'Council Entry'!T$8),'Council Entry'!T136)),IF('Council Entry'!T$4="Exponential",EXP(IF(AND(ISNUMBER('Council Entry'!T$8),ISNUMBER('Council Entry'!T$9)),MAX(MIN('Council Entry'!T136,'Council Entry'!T$9),'Council Entry'!T$8),'Council Entry'!T136)),IF(AND(ISNUMBER('Council Entry'!T$8),ISNUMBER('Council Entry'!T$9)),MAX(MIN('Council Entry'!T136,'Council Entry'!T$9),'Council Entry'!T$8),'Council Entry'!T136))))-'Council Entry'!T$5)/('Council Entry'!T$6-'Council Entry'!T$5)),1))),"No data"))</f>
        <v/>
      </c>
      <c r="U136" s="13">
        <f>IF('Council Entry'!U136="","",IFERROR(MAX(0,MIN(10,ROUND(IF('Council Entry'!U$7="Decrease Risk",10-10*((IF('Council Entry'!U$4="Logarithm",LN(0.001+IF(AND(ISNUMBER('Council Entry'!U$8),ISNUMBER('Council Entry'!U$9)),MAX(MIN('Council Entry'!U136,'Council Entry'!U$9),'Council Entry'!U$8),'Council Entry'!U136)),IF('Council Entry'!U$4="Exponential",EXP(IF(AND(ISNUMBER('Council Entry'!U$8),ISNUMBER('Council Entry'!U$9)),MAX(MIN('Council Entry'!U136,'Council Entry'!U$9),'Council Entry'!U$8),'Council Entry'!U136)),IF(AND(ISNUMBER('Council Entry'!U$8),ISNUMBER('Council Entry'!U$9)),MAX(MIN('Council Entry'!U136,'Council Entry'!U$9),'Council Entry'!U$8),'Council Entry'!U136))))-'Council Entry'!U$5)/('Council Entry'!U$6-'Council Entry'!U$5),10*((IF('Council Entry'!U$4="Logarithm",LN(0.001+IF(AND(ISNUMBER('Council Entry'!U$8),ISNUMBER('Council Entry'!U$9)),MAX(MIN('Council Entry'!U136,'Council Entry'!U$9),'Council Entry'!U$8),'Council Entry'!U136)),IF('Council Entry'!U$4="Exponential",EXP(IF(AND(ISNUMBER('Council Entry'!U$8),ISNUMBER('Council Entry'!U$9)),MAX(MIN('Council Entry'!U136,'Council Entry'!U$9),'Council Entry'!U$8),'Council Entry'!U136)),IF(AND(ISNUMBER('Council Entry'!U$8),ISNUMBER('Council Entry'!U$9)),MAX(MIN('Council Entry'!U136,'Council Entry'!U$9),'Council Entry'!U$8),'Council Entry'!U136))))-'Council Entry'!U$5)/('Council Entry'!U$6-'Council Entry'!U$5)),1))),"No data"))</f>
        <v/>
      </c>
      <c r="V136" s="13">
        <f>IF('Council Entry'!V136="","",IFERROR(MAX(0,MIN(10,ROUND(IF('Council Entry'!V$7="Decrease Risk",10-10*((IF('Council Entry'!V$4="Logarithm",LN(0.001+IF(AND(ISNUMBER('Council Entry'!V$8),ISNUMBER('Council Entry'!V$9)),MAX(MIN('Council Entry'!V136,'Council Entry'!V$9),'Council Entry'!V$8),'Council Entry'!V136)),IF('Council Entry'!V$4="Exponential",EXP(IF(AND(ISNUMBER('Council Entry'!V$8),ISNUMBER('Council Entry'!V$9)),MAX(MIN('Council Entry'!V136,'Council Entry'!V$9),'Council Entry'!V$8),'Council Entry'!V136)),IF(AND(ISNUMBER('Council Entry'!V$8),ISNUMBER('Council Entry'!V$9)),MAX(MIN('Council Entry'!V136,'Council Entry'!V$9),'Council Entry'!V$8),'Council Entry'!V136))))-'Council Entry'!V$5)/('Council Entry'!V$6-'Council Entry'!V$5),10*((IF('Council Entry'!V$4="Logarithm",LN(0.001+IF(AND(ISNUMBER('Council Entry'!V$8),ISNUMBER('Council Entry'!V$9)),MAX(MIN('Council Entry'!V136,'Council Entry'!V$9),'Council Entry'!V$8),'Council Entry'!V136)),IF('Council Entry'!V$4="Exponential",EXP(IF(AND(ISNUMBER('Council Entry'!V$8),ISNUMBER('Council Entry'!V$9)),MAX(MIN('Council Entry'!V136,'Council Entry'!V$9),'Council Entry'!V$8),'Council Entry'!V136)),IF(AND(ISNUMBER('Council Entry'!V$8),ISNUMBER('Council Entry'!V$9)),MAX(MIN('Council Entry'!V136,'Council Entry'!V$9),'Council Entry'!V$8),'Council Entry'!V136))))-'Council Entry'!V$5)/('Council Entry'!V$6-'Council Entry'!V$5)),1))),"No data"))</f>
        <v/>
      </c>
      <c r="W136" s="13">
        <f>IF('Council Entry'!W136="","",IFERROR(MAX(0,MIN(10,ROUND(IF('Council Entry'!W$7="Decrease Risk",10-10*((IF('Council Entry'!W$4="Logarithm",LN(0.001+IF(AND(ISNUMBER('Council Entry'!W$8),ISNUMBER('Council Entry'!W$9)),MAX(MIN('Council Entry'!W136,'Council Entry'!W$9),'Council Entry'!W$8),'Council Entry'!W136)),IF('Council Entry'!W$4="Exponential",EXP(IF(AND(ISNUMBER('Council Entry'!W$8),ISNUMBER('Council Entry'!W$9)),MAX(MIN('Council Entry'!W136,'Council Entry'!W$9),'Council Entry'!W$8),'Council Entry'!W136)),IF(AND(ISNUMBER('Council Entry'!W$8),ISNUMBER('Council Entry'!W$9)),MAX(MIN('Council Entry'!W136,'Council Entry'!W$9),'Council Entry'!W$8),'Council Entry'!W136))))-'Council Entry'!W$5)/('Council Entry'!W$6-'Council Entry'!W$5),10*((IF('Council Entry'!W$4="Logarithm",LN(0.001+IF(AND(ISNUMBER('Council Entry'!W$8),ISNUMBER('Council Entry'!W$9)),MAX(MIN('Council Entry'!W136,'Council Entry'!W$9),'Council Entry'!W$8),'Council Entry'!W136)),IF('Council Entry'!W$4="Exponential",EXP(IF(AND(ISNUMBER('Council Entry'!W$8),ISNUMBER('Council Entry'!W$9)),MAX(MIN('Council Entry'!W136,'Council Entry'!W$9),'Council Entry'!W$8),'Council Entry'!W136)),IF(AND(ISNUMBER('Council Entry'!W$8),ISNUMBER('Council Entry'!W$9)),MAX(MIN('Council Entry'!W136,'Council Entry'!W$9),'Council Entry'!W$8),'Council Entry'!W136))))-'Council Entry'!W$5)/('Council Entry'!W$6-'Council Entry'!W$5)),1))),"No data"))</f>
        <v/>
      </c>
      <c r="X136" s="13">
        <f>IF('Council Entry'!X136="","",IFERROR(MAX(0,MIN(10,ROUND(IF('Council Entry'!X$7="Decrease Risk",10-10*((IF('Council Entry'!X$4="Logarithm",LN(0.001+IF(AND(ISNUMBER('Council Entry'!X$8),ISNUMBER('Council Entry'!X$9)),MAX(MIN('Council Entry'!X136,'Council Entry'!X$9),'Council Entry'!X$8),'Council Entry'!X136)),IF('Council Entry'!X$4="Exponential",EXP(IF(AND(ISNUMBER('Council Entry'!X$8),ISNUMBER('Council Entry'!X$9)),MAX(MIN('Council Entry'!X136,'Council Entry'!X$9),'Council Entry'!X$8),'Council Entry'!X136)),IF(AND(ISNUMBER('Council Entry'!X$8),ISNUMBER('Council Entry'!X$9)),MAX(MIN('Council Entry'!X136,'Council Entry'!X$9),'Council Entry'!X$8),'Council Entry'!X136))))-'Council Entry'!X$5)/('Council Entry'!X$6-'Council Entry'!X$5),10*((IF('Council Entry'!X$4="Logarithm",LN(0.001+IF(AND(ISNUMBER('Council Entry'!X$8),ISNUMBER('Council Entry'!X$9)),MAX(MIN('Council Entry'!X136,'Council Entry'!X$9),'Council Entry'!X$8),'Council Entry'!X136)),IF('Council Entry'!X$4="Exponential",EXP(IF(AND(ISNUMBER('Council Entry'!X$8),ISNUMBER('Council Entry'!X$9)),MAX(MIN('Council Entry'!X136,'Council Entry'!X$9),'Council Entry'!X$8),'Council Entry'!X136)),IF(AND(ISNUMBER('Council Entry'!X$8),ISNUMBER('Council Entry'!X$9)),MAX(MIN('Council Entry'!X136,'Council Entry'!X$9),'Council Entry'!X$8),'Council Entry'!X136))))-'Council Entry'!X$5)/('Council Entry'!X$6-'Council Entry'!X$5)),1))),"No data"))</f>
        <v/>
      </c>
      <c r="Y136" s="13">
        <f>IF('Council Entry'!Y136="","",IFERROR(MAX(0,MIN(10,ROUND(IF('Council Entry'!Y$7="Decrease Risk",10-10*((IF('Council Entry'!Y$4="Logarithm",LN(0.001+IF(AND(ISNUMBER('Council Entry'!Y$8),ISNUMBER('Council Entry'!Y$9)),MAX(MIN('Council Entry'!Y136,'Council Entry'!Y$9),'Council Entry'!Y$8),'Council Entry'!Y136)),IF('Council Entry'!Y$4="Exponential",EXP(IF(AND(ISNUMBER('Council Entry'!Y$8),ISNUMBER('Council Entry'!Y$9)),MAX(MIN('Council Entry'!Y136,'Council Entry'!Y$9),'Council Entry'!Y$8),'Council Entry'!Y136)),IF(AND(ISNUMBER('Council Entry'!Y$8),ISNUMBER('Council Entry'!Y$9)),MAX(MIN('Council Entry'!Y136,'Council Entry'!Y$9),'Council Entry'!Y$8),'Council Entry'!Y136))))-'Council Entry'!Y$5)/('Council Entry'!Y$6-'Council Entry'!Y$5),10*((IF('Council Entry'!Y$4="Logarithm",LN(0.001+IF(AND(ISNUMBER('Council Entry'!Y$8),ISNUMBER('Council Entry'!Y$9)),MAX(MIN('Council Entry'!Y136,'Council Entry'!Y$9),'Council Entry'!Y$8),'Council Entry'!Y136)),IF('Council Entry'!Y$4="Exponential",EXP(IF(AND(ISNUMBER('Council Entry'!Y$8),ISNUMBER('Council Entry'!Y$9)),MAX(MIN('Council Entry'!Y136,'Council Entry'!Y$9),'Council Entry'!Y$8),'Council Entry'!Y136)),IF(AND(ISNUMBER('Council Entry'!Y$8),ISNUMBER('Council Entry'!Y$9)),MAX(MIN('Council Entry'!Y136,'Council Entry'!Y$9),'Council Entry'!Y$8),'Council Entry'!Y136))))-'Council Entry'!Y$5)/('Council Entry'!Y$6-'Council Entry'!Y$5)),1))),"No data"))</f>
        <v/>
      </c>
      <c r="Z136" s="13">
        <f>IF('Council Entry'!Z136="","",IFERROR(MAX(0,MIN(10,ROUND(IF('Council Entry'!Z$7="Decrease Risk",10-10*((IF('Council Entry'!Z$4="Logarithm",LN(0.001+IF(AND(ISNUMBER('Council Entry'!Z$8),ISNUMBER('Council Entry'!Z$9)),MAX(MIN('Council Entry'!Z136,'Council Entry'!Z$9),'Council Entry'!Z$8),'Council Entry'!Z136)),IF('Council Entry'!Z$4="Exponential",EXP(IF(AND(ISNUMBER('Council Entry'!Z$8),ISNUMBER('Council Entry'!Z$9)),MAX(MIN('Council Entry'!Z136,'Council Entry'!Z$9),'Council Entry'!Z$8),'Council Entry'!Z136)),IF(AND(ISNUMBER('Council Entry'!Z$8),ISNUMBER('Council Entry'!Z$9)),MAX(MIN('Council Entry'!Z136,'Council Entry'!Z$9),'Council Entry'!Z$8),'Council Entry'!Z136))))-'Council Entry'!Z$5)/('Council Entry'!Z$6-'Council Entry'!Z$5),10*((IF('Council Entry'!Z$4="Logarithm",LN(0.001+IF(AND(ISNUMBER('Council Entry'!Z$8),ISNUMBER('Council Entry'!Z$9)),MAX(MIN('Council Entry'!Z136,'Council Entry'!Z$9),'Council Entry'!Z$8),'Council Entry'!Z136)),IF('Council Entry'!Z$4="Exponential",EXP(IF(AND(ISNUMBER('Council Entry'!Z$8),ISNUMBER('Council Entry'!Z$9)),MAX(MIN('Council Entry'!Z136,'Council Entry'!Z$9),'Council Entry'!Z$8),'Council Entry'!Z136)),IF(AND(ISNUMBER('Council Entry'!Z$8),ISNUMBER('Council Entry'!Z$9)),MAX(MIN('Council Entry'!Z136,'Council Entry'!Z$9),'Council Entry'!Z$8),'Council Entry'!Z136))))-'Council Entry'!Z$5)/('Council Entry'!Z$6-'Council Entry'!Z$5)),1))),"No data"))</f>
        <v/>
      </c>
      <c r="AA136" s="13">
        <f>IF('Council Entry'!AA136="","",IFERROR(MAX(0,MIN(10,ROUND(IF('Council Entry'!AA$7="Decrease Risk",10-10*((IF('Council Entry'!AA$4="Logarithm",LN(0.001+IF(AND(ISNUMBER('Council Entry'!AA$8),ISNUMBER('Council Entry'!AA$9)),MAX(MIN('Council Entry'!AA136,'Council Entry'!AA$9),'Council Entry'!AA$8),'Council Entry'!AA136)),IF('Council Entry'!AA$4="Exponential",EXP(IF(AND(ISNUMBER('Council Entry'!AA$8),ISNUMBER('Council Entry'!AA$9)),MAX(MIN('Council Entry'!AA136,'Council Entry'!AA$9),'Council Entry'!AA$8),'Council Entry'!AA136)),IF(AND(ISNUMBER('Council Entry'!AA$8),ISNUMBER('Council Entry'!AA$9)),MAX(MIN('Council Entry'!AA136,'Council Entry'!AA$9),'Council Entry'!AA$8),'Council Entry'!AA136))))-'Council Entry'!AA$5)/('Council Entry'!AA$6-'Council Entry'!AA$5),10*((IF('Council Entry'!AA$4="Logarithm",LN(0.001+IF(AND(ISNUMBER('Council Entry'!AA$8),ISNUMBER('Council Entry'!AA$9)),MAX(MIN('Council Entry'!AA136,'Council Entry'!AA$9),'Council Entry'!AA$8),'Council Entry'!AA136)),IF('Council Entry'!AA$4="Exponential",EXP(IF(AND(ISNUMBER('Council Entry'!AA$8),ISNUMBER('Council Entry'!AA$9)),MAX(MIN('Council Entry'!AA136,'Council Entry'!AA$9),'Council Entry'!AA$8),'Council Entry'!AA136)),IF(AND(ISNUMBER('Council Entry'!AA$8),ISNUMBER('Council Entry'!AA$9)),MAX(MIN('Council Entry'!AA136,'Council Entry'!AA$9),'Council Entry'!AA$8),'Council Entry'!AA136))))-'Council Entry'!AA$5)/('Council Entry'!AA$6-'Council Entry'!AA$5)),1))),"No data"))</f>
        <v/>
      </c>
      <c r="AB136" s="13">
        <f>IF('Council Entry'!AB136="","",IFERROR(MAX(0,MIN(10,ROUND(IF('Council Entry'!AB$7="Decrease Risk",10-10*((IF('Council Entry'!AB$4="Logarithm",LN(0.001+IF(AND(ISNUMBER('Council Entry'!AB$8),ISNUMBER('Council Entry'!AB$9)),MAX(MIN('Council Entry'!AB136,'Council Entry'!AB$9),'Council Entry'!AB$8),'Council Entry'!AB136)),IF('Council Entry'!AB$4="Exponential",EXP(IF(AND(ISNUMBER('Council Entry'!AB$8),ISNUMBER('Council Entry'!AB$9)),MAX(MIN('Council Entry'!AB136,'Council Entry'!AB$9),'Council Entry'!AB$8),'Council Entry'!AB136)),IF(AND(ISNUMBER('Council Entry'!AB$8),ISNUMBER('Council Entry'!AB$9)),MAX(MIN('Council Entry'!AB136,'Council Entry'!AB$9),'Council Entry'!AB$8),'Council Entry'!AB136))))-'Council Entry'!AB$5)/('Council Entry'!AB$6-'Council Entry'!AB$5),10*((IF('Council Entry'!AB$4="Logarithm",LN(0.001+IF(AND(ISNUMBER('Council Entry'!AB$8),ISNUMBER('Council Entry'!AB$9)),MAX(MIN('Council Entry'!AB136,'Council Entry'!AB$9),'Council Entry'!AB$8),'Council Entry'!AB136)),IF('Council Entry'!AB$4="Exponential",EXP(IF(AND(ISNUMBER('Council Entry'!AB$8),ISNUMBER('Council Entry'!AB$9)),MAX(MIN('Council Entry'!AB136,'Council Entry'!AB$9),'Council Entry'!AB$8),'Council Entry'!AB136)),IF(AND(ISNUMBER('Council Entry'!AB$8),ISNUMBER('Council Entry'!AB$9)),MAX(MIN('Council Entry'!AB136,'Council Entry'!AB$9),'Council Entry'!AB$8),'Council Entry'!AB136))))-'Council Entry'!AB$5)/('Council Entry'!AB$6-'Council Entry'!AB$5)),1))),"No data"))</f>
        <v/>
      </c>
      <c r="AC136" s="13">
        <f>IF('Council Entry'!AC136="","",IFERROR(MAX(0,MIN(10,ROUND(IF('Council Entry'!AC$7="Decrease Risk",10-10*((IF('Council Entry'!AC$4="Logarithm",LN(0.001+IF(AND(ISNUMBER('Council Entry'!AC$8),ISNUMBER('Council Entry'!AC$9)),MAX(MIN('Council Entry'!AC136,'Council Entry'!AC$9),'Council Entry'!AC$8),'Council Entry'!AC136)),IF('Council Entry'!AC$4="Exponential",EXP(IF(AND(ISNUMBER('Council Entry'!AC$8),ISNUMBER('Council Entry'!AC$9)),MAX(MIN('Council Entry'!AC136,'Council Entry'!AC$9),'Council Entry'!AC$8),'Council Entry'!AC136)),IF(AND(ISNUMBER('Council Entry'!AC$8),ISNUMBER('Council Entry'!AC$9)),MAX(MIN('Council Entry'!AC136,'Council Entry'!AC$9),'Council Entry'!AC$8),'Council Entry'!AC136))))-'Council Entry'!AC$5)/('Council Entry'!AC$6-'Council Entry'!AC$5),10*((IF('Council Entry'!AC$4="Logarithm",LN(0.001+IF(AND(ISNUMBER('Council Entry'!AC$8),ISNUMBER('Council Entry'!AC$9)),MAX(MIN('Council Entry'!AC136,'Council Entry'!AC$9),'Council Entry'!AC$8),'Council Entry'!AC136)),IF('Council Entry'!AC$4="Exponential",EXP(IF(AND(ISNUMBER('Council Entry'!AC$8),ISNUMBER('Council Entry'!AC$9)),MAX(MIN('Council Entry'!AC136,'Council Entry'!AC$9),'Council Entry'!AC$8),'Council Entry'!AC136)),IF(AND(ISNUMBER('Council Entry'!AC$8),ISNUMBER('Council Entry'!AC$9)),MAX(MIN('Council Entry'!AC136,'Council Entry'!AC$9),'Council Entry'!AC$8),'Council Entry'!AC136))))-'Council Entry'!AC$5)/('Council Entry'!AC$6-'Council Entry'!AC$5)),1))),"No data"))</f>
        <v/>
      </c>
      <c r="AD136" s="13">
        <f>IF('Council Entry'!AD136="","",IFERROR(MAX(0,MIN(10,ROUND(IF('Council Entry'!AD$7="Decrease Risk",10-10*((IF('Council Entry'!AD$4="Logarithm",LN(0.001+IF(AND(ISNUMBER('Council Entry'!AD$8),ISNUMBER('Council Entry'!AD$9)),MAX(MIN('Council Entry'!AD136,'Council Entry'!AD$9),'Council Entry'!AD$8),'Council Entry'!AD136)),IF('Council Entry'!AD$4="Exponential",EXP(IF(AND(ISNUMBER('Council Entry'!AD$8),ISNUMBER('Council Entry'!AD$9)),MAX(MIN('Council Entry'!AD136,'Council Entry'!AD$9),'Council Entry'!AD$8),'Council Entry'!AD136)),IF(AND(ISNUMBER('Council Entry'!AD$8),ISNUMBER('Council Entry'!AD$9)),MAX(MIN('Council Entry'!AD136,'Council Entry'!AD$9),'Council Entry'!AD$8),'Council Entry'!AD136))))-'Council Entry'!AD$5)/('Council Entry'!AD$6-'Council Entry'!AD$5),10*((IF('Council Entry'!AD$4="Logarithm",LN(0.001+IF(AND(ISNUMBER('Council Entry'!AD$8),ISNUMBER('Council Entry'!AD$9)),MAX(MIN('Council Entry'!AD136,'Council Entry'!AD$9),'Council Entry'!AD$8),'Council Entry'!AD136)),IF('Council Entry'!AD$4="Exponential",EXP(IF(AND(ISNUMBER('Council Entry'!AD$8),ISNUMBER('Council Entry'!AD$9)),MAX(MIN('Council Entry'!AD136,'Council Entry'!AD$9),'Council Entry'!AD$8),'Council Entry'!AD136)),IF(AND(ISNUMBER('Council Entry'!AD$8),ISNUMBER('Council Entry'!AD$9)),MAX(MIN('Council Entry'!AD136,'Council Entry'!AD$9),'Council Entry'!AD$8),'Council Entry'!AD136))))-'Council Entry'!AD$5)/('Council Entry'!AD$6-'Council Entry'!AD$5)),1))),"No data"))</f>
        <v/>
      </c>
      <c r="AE136" s="13">
        <f>IF('Council Entry'!AE136="","",IFERROR(MAX(0,MIN(10,ROUND(IF('Council Entry'!AE$7="Decrease Risk",10-10*((IF('Council Entry'!AE$4="Logarithm",LN(0.001+IF(AND(ISNUMBER('Council Entry'!AE$8),ISNUMBER('Council Entry'!AE$9)),MAX(MIN('Council Entry'!AE136,'Council Entry'!AE$9),'Council Entry'!AE$8),'Council Entry'!AE136)),IF('Council Entry'!AE$4="Exponential",EXP(IF(AND(ISNUMBER('Council Entry'!AE$8),ISNUMBER('Council Entry'!AE$9)),MAX(MIN('Council Entry'!AE136,'Council Entry'!AE$9),'Council Entry'!AE$8),'Council Entry'!AE136)),IF(AND(ISNUMBER('Council Entry'!AE$8),ISNUMBER('Council Entry'!AE$9)),MAX(MIN('Council Entry'!AE136,'Council Entry'!AE$9),'Council Entry'!AE$8),'Council Entry'!AE136))))-'Council Entry'!AE$5)/('Council Entry'!AE$6-'Council Entry'!AE$5),10*((IF('Council Entry'!AE$4="Logarithm",LN(0.001+IF(AND(ISNUMBER('Council Entry'!AE$8),ISNUMBER('Council Entry'!AE$9)),MAX(MIN('Council Entry'!AE136,'Council Entry'!AE$9),'Council Entry'!AE$8),'Council Entry'!AE136)),IF('Council Entry'!AE$4="Exponential",EXP(IF(AND(ISNUMBER('Council Entry'!AE$8),ISNUMBER('Council Entry'!AE$9)),MAX(MIN('Council Entry'!AE136,'Council Entry'!AE$9),'Council Entry'!AE$8),'Council Entry'!AE136)),IF(AND(ISNUMBER('Council Entry'!AE$8),ISNUMBER('Council Entry'!AE$9)),MAX(MIN('Council Entry'!AE136,'Council Entry'!AE$9),'Council Entry'!AE$8),'Council Entry'!AE136))))-'Council Entry'!AE$5)/('Council Entry'!AE$6-'Council Entry'!AE$5)),1))),"No data"))</f>
        <v/>
      </c>
      <c r="AF136" s="13">
        <f>IF('Council Entry'!AF136="","",IFERROR(MAX(0,MIN(10,ROUND(IF('Council Entry'!AF$7="Decrease Risk",10-10*((IF('Council Entry'!AF$4="Logarithm",LN(0.001+IF(AND(ISNUMBER('Council Entry'!AF$8),ISNUMBER('Council Entry'!AF$9)),MAX(MIN('Council Entry'!AF136,'Council Entry'!AF$9),'Council Entry'!AF$8),'Council Entry'!AF136)),IF('Council Entry'!AF$4="Exponential",EXP(IF(AND(ISNUMBER('Council Entry'!AF$8),ISNUMBER('Council Entry'!AF$9)),MAX(MIN('Council Entry'!AF136,'Council Entry'!AF$9),'Council Entry'!AF$8),'Council Entry'!AF136)),IF(AND(ISNUMBER('Council Entry'!AF$8),ISNUMBER('Council Entry'!AF$9)),MAX(MIN('Council Entry'!AF136,'Council Entry'!AF$9),'Council Entry'!AF$8),'Council Entry'!AF136))))-'Council Entry'!AF$5)/('Council Entry'!AF$6-'Council Entry'!AF$5),10*((IF('Council Entry'!AF$4="Logarithm",LN(0.001+IF(AND(ISNUMBER('Council Entry'!AF$8),ISNUMBER('Council Entry'!AF$9)),MAX(MIN('Council Entry'!AF136,'Council Entry'!AF$9),'Council Entry'!AF$8),'Council Entry'!AF136)),IF('Council Entry'!AF$4="Exponential",EXP(IF(AND(ISNUMBER('Council Entry'!AF$8),ISNUMBER('Council Entry'!AF$9)),MAX(MIN('Council Entry'!AF136,'Council Entry'!AF$9),'Council Entry'!AF$8),'Council Entry'!AF136)),IF(AND(ISNUMBER('Council Entry'!AF$8),ISNUMBER('Council Entry'!AF$9)),MAX(MIN('Council Entry'!AF136,'Council Entry'!AF$9),'Council Entry'!AF$8),'Council Entry'!AF136))))-'Council Entry'!AF$5)/('Council Entry'!AF$6-'Council Entry'!AF$5)),1))),"No data"))</f>
        <v/>
      </c>
      <c r="AG136" s="13">
        <f>IF('Council Entry'!AG136="","",IFERROR(MAX(0,MIN(10,ROUND(IF('Council Entry'!AG$7="Decrease Risk",10-10*((IF('Council Entry'!AG$4="Logarithm",LN(0.001+IF(AND(ISNUMBER('Council Entry'!AG$8),ISNUMBER('Council Entry'!AG$9)),MAX(MIN('Council Entry'!AG136,'Council Entry'!AG$9),'Council Entry'!AG$8),'Council Entry'!AG136)),IF('Council Entry'!AG$4="Exponential",EXP(IF(AND(ISNUMBER('Council Entry'!AG$8),ISNUMBER('Council Entry'!AG$9)),MAX(MIN('Council Entry'!AG136,'Council Entry'!AG$9),'Council Entry'!AG$8),'Council Entry'!AG136)),IF(AND(ISNUMBER('Council Entry'!AG$8),ISNUMBER('Council Entry'!AG$9)),MAX(MIN('Council Entry'!AG136,'Council Entry'!AG$9),'Council Entry'!AG$8),'Council Entry'!AG136))))-'Council Entry'!AG$5)/('Council Entry'!AG$6-'Council Entry'!AG$5),10*((IF('Council Entry'!AG$4="Logarithm",LN(0.001+IF(AND(ISNUMBER('Council Entry'!AG$8),ISNUMBER('Council Entry'!AG$9)),MAX(MIN('Council Entry'!AG136,'Council Entry'!AG$9),'Council Entry'!AG$8),'Council Entry'!AG136)),IF('Council Entry'!AG$4="Exponential",EXP(IF(AND(ISNUMBER('Council Entry'!AG$8),ISNUMBER('Council Entry'!AG$9)),MAX(MIN('Council Entry'!AG136,'Council Entry'!AG$9),'Council Entry'!AG$8),'Council Entry'!AG136)),IF(AND(ISNUMBER('Council Entry'!AG$8),ISNUMBER('Council Entry'!AG$9)),MAX(MIN('Council Entry'!AG136,'Council Entry'!AG$9),'Council Entry'!AG$8),'Council Entry'!AG136))))-'Council Entry'!AG$5)/('Council Entry'!AG$6-'Council Entry'!AG$5)),1))),"No data"))</f>
        <v/>
      </c>
      <c r="AH136" s="13">
        <f>IF('Council Entry'!AH136="","",IFERROR(MAX(0,MIN(10,ROUND(IF('Council Entry'!AH$7="Decrease Risk",10-10*((IF('Council Entry'!AH$4="Logarithm",LN(0.001+IF(AND(ISNUMBER('Council Entry'!AH$8),ISNUMBER('Council Entry'!AH$9)),MAX(MIN('Council Entry'!AH136,'Council Entry'!AH$9),'Council Entry'!AH$8),'Council Entry'!AH136)),IF('Council Entry'!AH$4="Exponential",EXP(IF(AND(ISNUMBER('Council Entry'!AH$8),ISNUMBER('Council Entry'!AH$9)),MAX(MIN('Council Entry'!AH136,'Council Entry'!AH$9),'Council Entry'!AH$8),'Council Entry'!AH136)),IF(AND(ISNUMBER('Council Entry'!AH$8),ISNUMBER('Council Entry'!AH$9)),MAX(MIN('Council Entry'!AH136,'Council Entry'!AH$9),'Council Entry'!AH$8),'Council Entry'!AH136))))-'Council Entry'!AH$5)/('Council Entry'!AH$6-'Council Entry'!AH$5),10*((IF('Council Entry'!AH$4="Logarithm",LN(0.001+IF(AND(ISNUMBER('Council Entry'!AH$8),ISNUMBER('Council Entry'!AH$9)),MAX(MIN('Council Entry'!AH136,'Council Entry'!AH$9),'Council Entry'!AH$8),'Council Entry'!AH136)),IF('Council Entry'!AH$4="Exponential",EXP(IF(AND(ISNUMBER('Council Entry'!AH$8),ISNUMBER('Council Entry'!AH$9)),MAX(MIN('Council Entry'!AH136,'Council Entry'!AH$9),'Council Entry'!AH$8),'Council Entry'!AH136)),IF(AND(ISNUMBER('Council Entry'!AH$8),ISNUMBER('Council Entry'!AH$9)),MAX(MIN('Council Entry'!AH136,'Council Entry'!AH$9),'Council Entry'!AH$8),'Council Entry'!AH136))))-'Council Entry'!AH$5)/('Council Entry'!AH$6-'Council Entry'!AH$5)),1))),"No data"))</f>
        <v/>
      </c>
      <c r="AI136" s="13">
        <f>IF('Council Entry'!AI136="","",IFERROR(MAX(0,MIN(10,ROUND(IF('Council Entry'!AI$7="Decrease Risk",10-10*((IF('Council Entry'!AI$4="Logarithm",LN(0.001+IF(AND(ISNUMBER('Council Entry'!AI$8),ISNUMBER('Council Entry'!AI$9)),MAX(MIN('Council Entry'!AI136,'Council Entry'!AI$9),'Council Entry'!AI$8),'Council Entry'!AI136)),IF('Council Entry'!AI$4="Exponential",EXP(IF(AND(ISNUMBER('Council Entry'!AI$8),ISNUMBER('Council Entry'!AI$9)),MAX(MIN('Council Entry'!AI136,'Council Entry'!AI$9),'Council Entry'!AI$8),'Council Entry'!AI136)),IF(AND(ISNUMBER('Council Entry'!AI$8),ISNUMBER('Council Entry'!AI$9)),MAX(MIN('Council Entry'!AI136,'Council Entry'!AI$9),'Council Entry'!AI$8),'Council Entry'!AI136))))-'Council Entry'!AI$5)/('Council Entry'!AI$6-'Council Entry'!AI$5),10*((IF('Council Entry'!AI$4="Logarithm",LN(0.001+IF(AND(ISNUMBER('Council Entry'!AI$8),ISNUMBER('Council Entry'!AI$9)),MAX(MIN('Council Entry'!AI136,'Council Entry'!AI$9),'Council Entry'!AI$8),'Council Entry'!AI136)),IF('Council Entry'!AI$4="Exponential",EXP(IF(AND(ISNUMBER('Council Entry'!AI$8),ISNUMBER('Council Entry'!AI$9)),MAX(MIN('Council Entry'!AI136,'Council Entry'!AI$9),'Council Entry'!AI$8),'Council Entry'!AI136)),IF(AND(ISNUMBER('Council Entry'!AI$8),ISNUMBER('Council Entry'!AI$9)),MAX(MIN('Council Entry'!AI136,'Council Entry'!AI$9),'Council Entry'!AI$8),'Council Entry'!AI136))))-'Council Entry'!AI$5)/('Council Entry'!AI$6-'Council Entry'!AI$5)),1))),"No data"))</f>
        <v/>
      </c>
      <c r="AJ136" s="13">
        <f>IF('Council Entry'!AJ136="","",IFERROR(MAX(0,MIN(10,ROUND(IF('Council Entry'!AJ$7="Decrease Risk",10-10*((IF('Council Entry'!AJ$4="Logarithm",LN(0.001+IF(AND(ISNUMBER('Council Entry'!AJ$8),ISNUMBER('Council Entry'!AJ$9)),MAX(MIN('Council Entry'!AJ136,'Council Entry'!AJ$9),'Council Entry'!AJ$8),'Council Entry'!AJ136)),IF('Council Entry'!AJ$4="Exponential",EXP(IF(AND(ISNUMBER('Council Entry'!AJ$8),ISNUMBER('Council Entry'!AJ$9)),MAX(MIN('Council Entry'!AJ136,'Council Entry'!AJ$9),'Council Entry'!AJ$8),'Council Entry'!AJ136)),IF(AND(ISNUMBER('Council Entry'!AJ$8),ISNUMBER('Council Entry'!AJ$9)),MAX(MIN('Council Entry'!AJ136,'Council Entry'!AJ$9),'Council Entry'!AJ$8),'Council Entry'!AJ136))))-'Council Entry'!AJ$5)/('Council Entry'!AJ$6-'Council Entry'!AJ$5),10*((IF('Council Entry'!AJ$4="Logarithm",LN(0.001+IF(AND(ISNUMBER('Council Entry'!AJ$8),ISNUMBER('Council Entry'!AJ$9)),MAX(MIN('Council Entry'!AJ136,'Council Entry'!AJ$9),'Council Entry'!AJ$8),'Council Entry'!AJ136)),IF('Council Entry'!AJ$4="Exponential",EXP(IF(AND(ISNUMBER('Council Entry'!AJ$8),ISNUMBER('Council Entry'!AJ$9)),MAX(MIN('Council Entry'!AJ136,'Council Entry'!AJ$9),'Council Entry'!AJ$8),'Council Entry'!AJ136)),IF(AND(ISNUMBER('Council Entry'!AJ$8),ISNUMBER('Council Entry'!AJ$9)),MAX(MIN('Council Entry'!AJ136,'Council Entry'!AJ$9),'Council Entry'!AJ$8),'Council Entry'!AJ136))))-'Council Entry'!AJ$5)/('Council Entry'!AJ$6-'Council Entry'!AJ$5)),1))),"No data"))</f>
        <v/>
      </c>
      <c r="AK136" s="13">
        <f>IF('Council Entry'!AK136="","",IFERROR(MAX(0,MIN(10,ROUND(IF('Council Entry'!AK$7="Decrease Risk",10-10*((IF('Council Entry'!AK$4="Logarithm",LN(0.001+IF(AND(ISNUMBER('Council Entry'!AK$8),ISNUMBER('Council Entry'!AK$9)),MAX(MIN('Council Entry'!AK136,'Council Entry'!AK$9),'Council Entry'!AK$8),'Council Entry'!AK136)),IF('Council Entry'!AK$4="Exponential",EXP(IF(AND(ISNUMBER('Council Entry'!AK$8),ISNUMBER('Council Entry'!AK$9)),MAX(MIN('Council Entry'!AK136,'Council Entry'!AK$9),'Council Entry'!AK$8),'Council Entry'!AK136)),IF(AND(ISNUMBER('Council Entry'!AK$8),ISNUMBER('Council Entry'!AK$9)),MAX(MIN('Council Entry'!AK136,'Council Entry'!AK$9),'Council Entry'!AK$8),'Council Entry'!AK136))))-'Council Entry'!AK$5)/('Council Entry'!AK$6-'Council Entry'!AK$5),10*((IF('Council Entry'!AK$4="Logarithm",LN(0.001+IF(AND(ISNUMBER('Council Entry'!AK$8),ISNUMBER('Council Entry'!AK$9)),MAX(MIN('Council Entry'!AK136,'Council Entry'!AK$9),'Council Entry'!AK$8),'Council Entry'!AK136)),IF('Council Entry'!AK$4="Exponential",EXP(IF(AND(ISNUMBER('Council Entry'!AK$8),ISNUMBER('Council Entry'!AK$9)),MAX(MIN('Council Entry'!AK136,'Council Entry'!AK$9),'Council Entry'!AK$8),'Council Entry'!AK136)),IF(AND(ISNUMBER('Council Entry'!AK$8),ISNUMBER('Council Entry'!AK$9)),MAX(MIN('Council Entry'!AK136,'Council Entry'!AK$9),'Council Entry'!AK$8),'Council Entry'!AK136))))-'Council Entry'!AK$5)/('Council Entry'!AK$6-'Council Entry'!AK$5)),1))),"No data"))</f>
        <v/>
      </c>
      <c r="AL136" s="13">
        <f>IF('Council Entry'!AL136="","",IFERROR(MAX(0,MIN(10,ROUND(IF('Council Entry'!AL$7="Decrease Risk",10-10*((IF('Council Entry'!AL$4="Logarithm",LN(0.001+IF(AND(ISNUMBER('Council Entry'!AL$8),ISNUMBER('Council Entry'!AL$9)),MAX(MIN('Council Entry'!AL136,'Council Entry'!AL$9),'Council Entry'!AL$8),'Council Entry'!AL136)),IF('Council Entry'!AL$4="Exponential",EXP(IF(AND(ISNUMBER('Council Entry'!AL$8),ISNUMBER('Council Entry'!AL$9)),MAX(MIN('Council Entry'!AL136,'Council Entry'!AL$9),'Council Entry'!AL$8),'Council Entry'!AL136)),IF(AND(ISNUMBER('Council Entry'!AL$8),ISNUMBER('Council Entry'!AL$9)),MAX(MIN('Council Entry'!AL136,'Council Entry'!AL$9),'Council Entry'!AL$8),'Council Entry'!AL136))))-'Council Entry'!AL$5)/('Council Entry'!AL$6-'Council Entry'!AL$5),10*((IF('Council Entry'!AL$4="Logarithm",LN(0.001+IF(AND(ISNUMBER('Council Entry'!AL$8),ISNUMBER('Council Entry'!AL$9)),MAX(MIN('Council Entry'!AL136,'Council Entry'!AL$9),'Council Entry'!AL$8),'Council Entry'!AL136)),IF('Council Entry'!AL$4="Exponential",EXP(IF(AND(ISNUMBER('Council Entry'!AL$8),ISNUMBER('Council Entry'!AL$9)),MAX(MIN('Council Entry'!AL136,'Council Entry'!AL$9),'Council Entry'!AL$8),'Council Entry'!AL136)),IF(AND(ISNUMBER('Council Entry'!AL$8),ISNUMBER('Council Entry'!AL$9)),MAX(MIN('Council Entry'!AL136,'Council Entry'!AL$9),'Council Entry'!AL$8),'Council Entry'!AL136))))-'Council Entry'!AL$5)/('Council Entry'!AL$6-'Council Entry'!AL$5)),1))),"No data"))</f>
        <v/>
      </c>
      <c r="AM136" s="13">
        <f>IF('Council Entry'!AM136="","",IFERROR(MAX(0,MIN(10,ROUND(IF('Council Entry'!AM$7="Decrease Risk",10-10*((IF('Council Entry'!AM$4="Logarithm",LN(0.001+IF(AND(ISNUMBER('Council Entry'!AM$8),ISNUMBER('Council Entry'!AM$9)),MAX(MIN('Council Entry'!AM136,'Council Entry'!AM$9),'Council Entry'!AM$8),'Council Entry'!AM136)),IF('Council Entry'!AM$4="Exponential",EXP(IF(AND(ISNUMBER('Council Entry'!AM$8),ISNUMBER('Council Entry'!AM$9)),MAX(MIN('Council Entry'!AM136,'Council Entry'!AM$9),'Council Entry'!AM$8),'Council Entry'!AM136)),IF(AND(ISNUMBER('Council Entry'!AM$8),ISNUMBER('Council Entry'!AM$9)),MAX(MIN('Council Entry'!AM136,'Council Entry'!AM$9),'Council Entry'!AM$8),'Council Entry'!AM136))))-'Council Entry'!AM$5)/('Council Entry'!AM$6-'Council Entry'!AM$5),10*((IF('Council Entry'!AM$4="Logarithm",LN(0.001+IF(AND(ISNUMBER('Council Entry'!AM$8),ISNUMBER('Council Entry'!AM$9)),MAX(MIN('Council Entry'!AM136,'Council Entry'!AM$9),'Council Entry'!AM$8),'Council Entry'!AM136)),IF('Council Entry'!AM$4="Exponential",EXP(IF(AND(ISNUMBER('Council Entry'!AM$8),ISNUMBER('Council Entry'!AM$9)),MAX(MIN('Council Entry'!AM136,'Council Entry'!AM$9),'Council Entry'!AM$8),'Council Entry'!AM136)),IF(AND(ISNUMBER('Council Entry'!AM$8),ISNUMBER('Council Entry'!AM$9)),MAX(MIN('Council Entry'!AM136,'Council Entry'!AM$9),'Council Entry'!AM$8),'Council Entry'!AM136))))-'Council Entry'!AM$5)/('Council Entry'!AM$6-'Council Entry'!AM$5)),1))),"No data"))</f>
        <v/>
      </c>
      <c r="AN136" s="13">
        <f>IF('Council Entry'!AN136="","",IFERROR(MAX(0,MIN(10,ROUND(IF('Council Entry'!AN$7="Decrease Risk",10-10*((IF('Council Entry'!AN$4="Logarithm",LN(0.001+IF(AND(ISNUMBER('Council Entry'!AN$8),ISNUMBER('Council Entry'!AN$9)),MAX(MIN('Council Entry'!AN136,'Council Entry'!AN$9),'Council Entry'!AN$8),'Council Entry'!AN136)),IF('Council Entry'!AN$4="Exponential",EXP(IF(AND(ISNUMBER('Council Entry'!AN$8),ISNUMBER('Council Entry'!AN$9)),MAX(MIN('Council Entry'!AN136,'Council Entry'!AN$9),'Council Entry'!AN$8),'Council Entry'!AN136)),IF(AND(ISNUMBER('Council Entry'!AN$8),ISNUMBER('Council Entry'!AN$9)),MAX(MIN('Council Entry'!AN136,'Council Entry'!AN$9),'Council Entry'!AN$8),'Council Entry'!AN136))))-'Council Entry'!AN$5)/('Council Entry'!AN$6-'Council Entry'!AN$5),10*((IF('Council Entry'!AN$4="Logarithm",LN(0.001+IF(AND(ISNUMBER('Council Entry'!AN$8),ISNUMBER('Council Entry'!AN$9)),MAX(MIN('Council Entry'!AN136,'Council Entry'!AN$9),'Council Entry'!AN$8),'Council Entry'!AN136)),IF('Council Entry'!AN$4="Exponential",EXP(IF(AND(ISNUMBER('Council Entry'!AN$8),ISNUMBER('Council Entry'!AN$9)),MAX(MIN('Council Entry'!AN136,'Council Entry'!AN$9),'Council Entry'!AN$8),'Council Entry'!AN136)),IF(AND(ISNUMBER('Council Entry'!AN$8),ISNUMBER('Council Entry'!AN$9)),MAX(MIN('Council Entry'!AN136,'Council Entry'!AN$9),'Council Entry'!AN$8),'Council Entry'!AN136))))-'Council Entry'!AN$5)/('Council Entry'!AN$6-'Council Entry'!AN$5)),1))),"No data"))</f>
        <v/>
      </c>
      <c r="AO136" s="13">
        <f>IF('Council Entry'!AO136="","",IFERROR(MAX(0,MIN(10,ROUND(IF('Council Entry'!AO$7="Decrease Risk",10-10*((IF('Council Entry'!AO$4="Logarithm",LN(0.001+IF(AND(ISNUMBER('Council Entry'!AO$8),ISNUMBER('Council Entry'!AO$9)),MAX(MIN('Council Entry'!AO136,'Council Entry'!AO$9),'Council Entry'!AO$8),'Council Entry'!AO136)),IF('Council Entry'!AO$4="Exponential",EXP(IF(AND(ISNUMBER('Council Entry'!AO$8),ISNUMBER('Council Entry'!AO$9)),MAX(MIN('Council Entry'!AO136,'Council Entry'!AO$9),'Council Entry'!AO$8),'Council Entry'!AO136)),IF(AND(ISNUMBER('Council Entry'!AO$8),ISNUMBER('Council Entry'!AO$9)),MAX(MIN('Council Entry'!AO136,'Council Entry'!AO$9),'Council Entry'!AO$8),'Council Entry'!AO136))))-'Council Entry'!AO$5)/('Council Entry'!AO$6-'Council Entry'!AO$5),10*((IF('Council Entry'!AO$4="Logarithm",LN(0.001+IF(AND(ISNUMBER('Council Entry'!AO$8),ISNUMBER('Council Entry'!AO$9)),MAX(MIN('Council Entry'!AO136,'Council Entry'!AO$9),'Council Entry'!AO$8),'Council Entry'!AO136)),IF('Council Entry'!AO$4="Exponential",EXP(IF(AND(ISNUMBER('Council Entry'!AO$8),ISNUMBER('Council Entry'!AO$9)),MAX(MIN('Council Entry'!AO136,'Council Entry'!AO$9),'Council Entry'!AO$8),'Council Entry'!AO136)),IF(AND(ISNUMBER('Council Entry'!AO$8),ISNUMBER('Council Entry'!AO$9)),MAX(MIN('Council Entry'!AO136,'Council Entry'!AO$9),'Council Entry'!AO$8),'Council Entry'!AO136))))-'Council Entry'!AO$5)/('Council Entry'!AO$6-'Council Entry'!AO$5)),1))),"No data"))</f>
        <v/>
      </c>
      <c r="AP136" s="13">
        <f>IF('Council Entry'!AP136="","",IFERROR(MAX(0,MIN(10,ROUND(IF('Council Entry'!AP$7="Decrease Risk",10-10*((IF('Council Entry'!AP$4="Logarithm",LN(0.001+IF(AND(ISNUMBER('Council Entry'!AP$8),ISNUMBER('Council Entry'!AP$9)),MAX(MIN('Council Entry'!AP136,'Council Entry'!AP$9),'Council Entry'!AP$8),'Council Entry'!AP136)),IF('Council Entry'!AP$4="Exponential",EXP(IF(AND(ISNUMBER('Council Entry'!AP$8),ISNUMBER('Council Entry'!AP$9)),MAX(MIN('Council Entry'!AP136,'Council Entry'!AP$9),'Council Entry'!AP$8),'Council Entry'!AP136)),IF(AND(ISNUMBER('Council Entry'!AP$8),ISNUMBER('Council Entry'!AP$9)),MAX(MIN('Council Entry'!AP136,'Council Entry'!AP$9),'Council Entry'!AP$8),'Council Entry'!AP136))))-'Council Entry'!AP$5)/('Council Entry'!AP$6-'Council Entry'!AP$5),10*((IF('Council Entry'!AP$4="Logarithm",LN(0.001+IF(AND(ISNUMBER('Council Entry'!AP$8),ISNUMBER('Council Entry'!AP$9)),MAX(MIN('Council Entry'!AP136,'Council Entry'!AP$9),'Council Entry'!AP$8),'Council Entry'!AP136)),IF('Council Entry'!AP$4="Exponential",EXP(IF(AND(ISNUMBER('Council Entry'!AP$8),ISNUMBER('Council Entry'!AP$9)),MAX(MIN('Council Entry'!AP136,'Council Entry'!AP$9),'Council Entry'!AP$8),'Council Entry'!AP136)),IF(AND(ISNUMBER('Council Entry'!AP$8),ISNUMBER('Council Entry'!AP$9)),MAX(MIN('Council Entry'!AP136,'Council Entry'!AP$9),'Council Entry'!AP$8),'Council Entry'!AP136))))-'Council Entry'!AP$5)/('Council Entry'!AP$6-'Council Entry'!AP$5)),1))),"No data"))</f>
        <v/>
      </c>
      <c r="AQ136" s="13">
        <f>IF('Council Entry'!AQ136="","",IFERROR(MAX(0,MIN(10,ROUND(IF('Council Entry'!AQ$7="Decrease Risk",10-10*((IF('Council Entry'!AQ$4="Logarithm",LN(0.001+IF(AND(ISNUMBER('Council Entry'!AQ$8),ISNUMBER('Council Entry'!AQ$9)),MAX(MIN('Council Entry'!AQ136,'Council Entry'!AQ$9),'Council Entry'!AQ$8),'Council Entry'!AQ136)),IF('Council Entry'!AQ$4="Exponential",EXP(IF(AND(ISNUMBER('Council Entry'!AQ$8),ISNUMBER('Council Entry'!AQ$9)),MAX(MIN('Council Entry'!AQ136,'Council Entry'!AQ$9),'Council Entry'!AQ$8),'Council Entry'!AQ136)),IF(AND(ISNUMBER('Council Entry'!AQ$8),ISNUMBER('Council Entry'!AQ$9)),MAX(MIN('Council Entry'!AQ136,'Council Entry'!AQ$9),'Council Entry'!AQ$8),'Council Entry'!AQ136))))-'Council Entry'!AQ$5)/('Council Entry'!AQ$6-'Council Entry'!AQ$5),10*((IF('Council Entry'!AQ$4="Logarithm",LN(0.001+IF(AND(ISNUMBER('Council Entry'!AQ$8),ISNUMBER('Council Entry'!AQ$9)),MAX(MIN('Council Entry'!AQ136,'Council Entry'!AQ$9),'Council Entry'!AQ$8),'Council Entry'!AQ136)),IF('Council Entry'!AQ$4="Exponential",EXP(IF(AND(ISNUMBER('Council Entry'!AQ$8),ISNUMBER('Council Entry'!AQ$9)),MAX(MIN('Council Entry'!AQ136,'Council Entry'!AQ$9),'Council Entry'!AQ$8),'Council Entry'!AQ136)),IF(AND(ISNUMBER('Council Entry'!AQ$8),ISNUMBER('Council Entry'!AQ$9)),MAX(MIN('Council Entry'!AQ136,'Council Entry'!AQ$9),'Council Entry'!AQ$8),'Council Entry'!AQ136))))-'Council Entry'!AQ$5)/('Council Entry'!AQ$6-'Council Entry'!AQ$5)),1))),"No data"))</f>
        <v/>
      </c>
      <c r="AR136" s="13">
        <f>IF('Council Entry'!AR136="","",IFERROR(MAX(0,MIN(10,ROUND(IF('Council Entry'!AR$7="Decrease Risk",10-10*((IF('Council Entry'!AR$4="Logarithm",LN(0.001+IF(AND(ISNUMBER('Council Entry'!AR$8),ISNUMBER('Council Entry'!AR$9)),MAX(MIN('Council Entry'!AR136,'Council Entry'!AR$9),'Council Entry'!AR$8),'Council Entry'!AR136)),IF('Council Entry'!AR$4="Exponential",EXP(IF(AND(ISNUMBER('Council Entry'!AR$8),ISNUMBER('Council Entry'!AR$9)),MAX(MIN('Council Entry'!AR136,'Council Entry'!AR$9),'Council Entry'!AR$8),'Council Entry'!AR136)),IF(AND(ISNUMBER('Council Entry'!AR$8),ISNUMBER('Council Entry'!AR$9)),MAX(MIN('Council Entry'!AR136,'Council Entry'!AR$9),'Council Entry'!AR$8),'Council Entry'!AR136))))-'Council Entry'!AR$5)/('Council Entry'!AR$6-'Council Entry'!AR$5),10*((IF('Council Entry'!AR$4="Logarithm",LN(0.001+IF(AND(ISNUMBER('Council Entry'!AR$8),ISNUMBER('Council Entry'!AR$9)),MAX(MIN('Council Entry'!AR136,'Council Entry'!AR$9),'Council Entry'!AR$8),'Council Entry'!AR136)),IF('Council Entry'!AR$4="Exponential",EXP(IF(AND(ISNUMBER('Council Entry'!AR$8),ISNUMBER('Council Entry'!AR$9)),MAX(MIN('Council Entry'!AR136,'Council Entry'!AR$9),'Council Entry'!AR$8),'Council Entry'!AR136)),IF(AND(ISNUMBER('Council Entry'!AR$8),ISNUMBER('Council Entry'!AR$9)),MAX(MIN('Council Entry'!AR136,'Council Entry'!AR$9),'Council Entry'!AR$8),'Council Entry'!AR136))))-'Council Entry'!AR$5)/('Council Entry'!AR$6-'Council Entry'!AR$5)),1))),"No data"))</f>
        <v/>
      </c>
      <c r="AS136" s="13">
        <f>IF('Council Entry'!AS136="","",IFERROR(MAX(0,MIN(10,ROUND(IF('Council Entry'!AS$7="Decrease Risk",10-10*((IF('Council Entry'!AS$4="Logarithm",LN(0.001+IF(AND(ISNUMBER('Council Entry'!AS$8),ISNUMBER('Council Entry'!AS$9)),MAX(MIN('Council Entry'!AS136,'Council Entry'!AS$9),'Council Entry'!AS$8),'Council Entry'!AS136)),IF('Council Entry'!AS$4="Exponential",EXP(IF(AND(ISNUMBER('Council Entry'!AS$8),ISNUMBER('Council Entry'!AS$9)),MAX(MIN('Council Entry'!AS136,'Council Entry'!AS$9),'Council Entry'!AS$8),'Council Entry'!AS136)),IF(AND(ISNUMBER('Council Entry'!AS$8),ISNUMBER('Council Entry'!AS$9)),MAX(MIN('Council Entry'!AS136,'Council Entry'!AS$9),'Council Entry'!AS$8),'Council Entry'!AS136))))-'Council Entry'!AS$5)/('Council Entry'!AS$6-'Council Entry'!AS$5),10*((IF('Council Entry'!AS$4="Logarithm",LN(0.001+IF(AND(ISNUMBER('Council Entry'!AS$8),ISNUMBER('Council Entry'!AS$9)),MAX(MIN('Council Entry'!AS136,'Council Entry'!AS$9),'Council Entry'!AS$8),'Council Entry'!AS136)),IF('Council Entry'!AS$4="Exponential",EXP(IF(AND(ISNUMBER('Council Entry'!AS$8),ISNUMBER('Council Entry'!AS$9)),MAX(MIN('Council Entry'!AS136,'Council Entry'!AS$9),'Council Entry'!AS$8),'Council Entry'!AS136)),IF(AND(ISNUMBER('Council Entry'!AS$8),ISNUMBER('Council Entry'!AS$9)),MAX(MIN('Council Entry'!AS136,'Council Entry'!AS$9),'Council Entry'!AS$8),'Council Entry'!AS136))))-'Council Entry'!AS$5)/('Council Entry'!AS$6-'Council Entry'!AS$5)),1))),"No data"))</f>
        <v/>
      </c>
      <c r="AT136" s="13">
        <f>IF('Council Entry'!AT136="","",IFERROR(MAX(0,MIN(10,ROUND(IF('Council Entry'!AT$7="Decrease Risk",10-10*((IF('Council Entry'!AT$4="Logarithm",LN(0.001+IF(AND(ISNUMBER('Council Entry'!AT$8),ISNUMBER('Council Entry'!AT$9)),MAX(MIN('Council Entry'!AT136,'Council Entry'!AT$9),'Council Entry'!AT$8),'Council Entry'!AT136)),IF('Council Entry'!AT$4="Exponential",EXP(IF(AND(ISNUMBER('Council Entry'!AT$8),ISNUMBER('Council Entry'!AT$9)),MAX(MIN('Council Entry'!AT136,'Council Entry'!AT$9),'Council Entry'!AT$8),'Council Entry'!AT136)),IF(AND(ISNUMBER('Council Entry'!AT$8),ISNUMBER('Council Entry'!AT$9)),MAX(MIN('Council Entry'!AT136,'Council Entry'!AT$9),'Council Entry'!AT$8),'Council Entry'!AT136))))-'Council Entry'!AT$5)/('Council Entry'!AT$6-'Council Entry'!AT$5),10*((IF('Council Entry'!AT$4="Logarithm",LN(0.001+IF(AND(ISNUMBER('Council Entry'!AT$8),ISNUMBER('Council Entry'!AT$9)),MAX(MIN('Council Entry'!AT136,'Council Entry'!AT$9),'Council Entry'!AT$8),'Council Entry'!AT136)),IF('Council Entry'!AT$4="Exponential",EXP(IF(AND(ISNUMBER('Council Entry'!AT$8),ISNUMBER('Council Entry'!AT$9)),MAX(MIN('Council Entry'!AT136,'Council Entry'!AT$9),'Council Entry'!AT$8),'Council Entry'!AT136)),IF(AND(ISNUMBER('Council Entry'!AT$8),ISNUMBER('Council Entry'!AT$9)),MAX(MIN('Council Entry'!AT136,'Council Entry'!AT$9),'Council Entry'!AT$8),'Council Entry'!AT136))))-'Council Entry'!AT$5)/('Council Entry'!AT$6-'Council Entry'!AT$5)),1))),"No data"))</f>
        <v/>
      </c>
      <c r="AU136" s="13">
        <f>IF('Council Entry'!AU136="","",IFERROR(MAX(0,MIN(10,ROUND(IF('Council Entry'!AU$7="Decrease Risk",10-10*((IF('Council Entry'!AU$4="Logarithm",LN(0.001+IF(AND(ISNUMBER('Council Entry'!AU$8),ISNUMBER('Council Entry'!AU$9)),MAX(MIN('Council Entry'!AU136,'Council Entry'!AU$9),'Council Entry'!AU$8),'Council Entry'!AU136)),IF('Council Entry'!AU$4="Exponential",EXP(IF(AND(ISNUMBER('Council Entry'!AU$8),ISNUMBER('Council Entry'!AU$9)),MAX(MIN('Council Entry'!AU136,'Council Entry'!AU$9),'Council Entry'!AU$8),'Council Entry'!AU136)),IF(AND(ISNUMBER('Council Entry'!AU$8),ISNUMBER('Council Entry'!AU$9)),MAX(MIN('Council Entry'!AU136,'Council Entry'!AU$9),'Council Entry'!AU$8),'Council Entry'!AU136))))-'Council Entry'!AU$5)/('Council Entry'!AU$6-'Council Entry'!AU$5),10*((IF('Council Entry'!AU$4="Logarithm",LN(0.001+IF(AND(ISNUMBER('Council Entry'!AU$8),ISNUMBER('Council Entry'!AU$9)),MAX(MIN('Council Entry'!AU136,'Council Entry'!AU$9),'Council Entry'!AU$8),'Council Entry'!AU136)),IF('Council Entry'!AU$4="Exponential",EXP(IF(AND(ISNUMBER('Council Entry'!AU$8),ISNUMBER('Council Entry'!AU$9)),MAX(MIN('Council Entry'!AU136,'Council Entry'!AU$9),'Council Entry'!AU$8),'Council Entry'!AU136)),IF(AND(ISNUMBER('Council Entry'!AU$8),ISNUMBER('Council Entry'!AU$9)),MAX(MIN('Council Entry'!AU136,'Council Entry'!AU$9),'Council Entry'!AU$8),'Council Entry'!AU136))))-'Council Entry'!AU$5)/('Council Entry'!AU$6-'Council Entry'!AU$5)),1))),"No data"))</f>
        <v/>
      </c>
      <c r="AV136" s="13">
        <f>IF('Council Entry'!AV136="","",IFERROR(MAX(0,MIN(10,ROUND(IF('Council Entry'!AV$7="Decrease Risk",10-10*((IF('Council Entry'!AV$4="Logarithm",LN(0.001+IF(AND(ISNUMBER('Council Entry'!AV$8),ISNUMBER('Council Entry'!AV$9)),MAX(MIN('Council Entry'!AV136,'Council Entry'!AV$9),'Council Entry'!AV$8),'Council Entry'!AV136)),IF('Council Entry'!AV$4="Exponential",EXP(IF(AND(ISNUMBER('Council Entry'!AV$8),ISNUMBER('Council Entry'!AV$9)),MAX(MIN('Council Entry'!AV136,'Council Entry'!AV$9),'Council Entry'!AV$8),'Council Entry'!AV136)),IF(AND(ISNUMBER('Council Entry'!AV$8),ISNUMBER('Council Entry'!AV$9)),MAX(MIN('Council Entry'!AV136,'Council Entry'!AV$9),'Council Entry'!AV$8),'Council Entry'!AV136))))-'Council Entry'!AV$5)/('Council Entry'!AV$6-'Council Entry'!AV$5),10*((IF('Council Entry'!AV$4="Logarithm",LN(0.001+IF(AND(ISNUMBER('Council Entry'!AV$8),ISNUMBER('Council Entry'!AV$9)),MAX(MIN('Council Entry'!AV136,'Council Entry'!AV$9),'Council Entry'!AV$8),'Council Entry'!AV136)),IF('Council Entry'!AV$4="Exponential",EXP(IF(AND(ISNUMBER('Council Entry'!AV$8),ISNUMBER('Council Entry'!AV$9)),MAX(MIN('Council Entry'!AV136,'Council Entry'!AV$9),'Council Entry'!AV$8),'Council Entry'!AV136)),IF(AND(ISNUMBER('Council Entry'!AV$8),ISNUMBER('Council Entry'!AV$9)),MAX(MIN('Council Entry'!AV136,'Council Entry'!AV$9),'Council Entry'!AV$8),'Council Entry'!AV136))))-'Council Entry'!AV$5)/('Council Entry'!AV$6-'Council Entry'!AV$5)),1))),"No data"))</f>
        <v/>
      </c>
      <c r="AW136" s="13">
        <f>IF('Council Entry'!AW136="","",IFERROR(MAX(0,MIN(10,ROUND(IF('Council Entry'!AW$7="Decrease Risk",10-10*((IF('Council Entry'!AW$4="Logarithm",LN(0.001+IF(AND(ISNUMBER('Council Entry'!AW$8),ISNUMBER('Council Entry'!AW$9)),MAX(MIN('Council Entry'!AW136,'Council Entry'!AW$9),'Council Entry'!AW$8),'Council Entry'!AW136)),IF('Council Entry'!AW$4="Exponential",EXP(IF(AND(ISNUMBER('Council Entry'!AW$8),ISNUMBER('Council Entry'!AW$9)),MAX(MIN('Council Entry'!AW136,'Council Entry'!AW$9),'Council Entry'!AW$8),'Council Entry'!AW136)),IF(AND(ISNUMBER('Council Entry'!AW$8),ISNUMBER('Council Entry'!AW$9)),MAX(MIN('Council Entry'!AW136,'Council Entry'!AW$9),'Council Entry'!AW$8),'Council Entry'!AW136))))-'Council Entry'!AW$5)/('Council Entry'!AW$6-'Council Entry'!AW$5),10*((IF('Council Entry'!AW$4="Logarithm",LN(0.001+IF(AND(ISNUMBER('Council Entry'!AW$8),ISNUMBER('Council Entry'!AW$9)),MAX(MIN('Council Entry'!AW136,'Council Entry'!AW$9),'Council Entry'!AW$8),'Council Entry'!AW136)),IF('Council Entry'!AW$4="Exponential",EXP(IF(AND(ISNUMBER('Council Entry'!AW$8),ISNUMBER('Council Entry'!AW$9)),MAX(MIN('Council Entry'!AW136,'Council Entry'!AW$9),'Council Entry'!AW$8),'Council Entry'!AW136)),IF(AND(ISNUMBER('Council Entry'!AW$8),ISNUMBER('Council Entry'!AW$9)),MAX(MIN('Council Entry'!AW136,'Council Entry'!AW$9),'Council Entry'!AW$8),'Council Entry'!AW136))))-'Council Entry'!AW$5)/('Council Entry'!AW$6-'Council Entry'!AW$5)),1))),"No data"))</f>
        <v/>
      </c>
      <c r="AX136" s="13">
        <f>IF('Council Entry'!AX136="","",IFERROR(MAX(0,MIN(10,ROUND(IF('Council Entry'!AX$7="Decrease Risk",10-10*((IF('Council Entry'!AX$4="Logarithm",LN(0.001+IF(AND(ISNUMBER('Council Entry'!AX$8),ISNUMBER('Council Entry'!AX$9)),MAX(MIN('Council Entry'!AX136,'Council Entry'!AX$9),'Council Entry'!AX$8),'Council Entry'!AX136)),IF('Council Entry'!AX$4="Exponential",EXP(IF(AND(ISNUMBER('Council Entry'!AX$8),ISNUMBER('Council Entry'!AX$9)),MAX(MIN('Council Entry'!AX136,'Council Entry'!AX$9),'Council Entry'!AX$8),'Council Entry'!AX136)),IF(AND(ISNUMBER('Council Entry'!AX$8),ISNUMBER('Council Entry'!AX$9)),MAX(MIN('Council Entry'!AX136,'Council Entry'!AX$9),'Council Entry'!AX$8),'Council Entry'!AX136))))-'Council Entry'!AX$5)/('Council Entry'!AX$6-'Council Entry'!AX$5),10*((IF('Council Entry'!AX$4="Logarithm",LN(0.001+IF(AND(ISNUMBER('Council Entry'!AX$8),ISNUMBER('Council Entry'!AX$9)),MAX(MIN('Council Entry'!AX136,'Council Entry'!AX$9),'Council Entry'!AX$8),'Council Entry'!AX136)),IF('Council Entry'!AX$4="Exponential",EXP(IF(AND(ISNUMBER('Council Entry'!AX$8),ISNUMBER('Council Entry'!AX$9)),MAX(MIN('Council Entry'!AX136,'Council Entry'!AX$9),'Council Entry'!AX$8),'Council Entry'!AX136)),IF(AND(ISNUMBER('Council Entry'!AX$8),ISNUMBER('Council Entry'!AX$9)),MAX(MIN('Council Entry'!AX136,'Council Entry'!AX$9),'Council Entry'!AX$8),'Council Entry'!AX136))))-'Council Entry'!AX$5)/('Council Entry'!AX$6-'Council Entry'!AX$5)),1))),"No data"))</f>
        <v/>
      </c>
      <c r="AY136" s="13">
        <f>IF('Council Entry'!AY136="","",IFERROR(MAX(0,MIN(10,ROUND(IF('Council Entry'!AY$7="Decrease Risk",10-10*((IF('Council Entry'!AY$4="Logarithm",LN(0.001+IF(AND(ISNUMBER('Council Entry'!AY$8),ISNUMBER('Council Entry'!AY$9)),MAX(MIN('Council Entry'!AY136,'Council Entry'!AY$9),'Council Entry'!AY$8),'Council Entry'!AY136)),IF('Council Entry'!AY$4="Exponential",EXP(IF(AND(ISNUMBER('Council Entry'!AY$8),ISNUMBER('Council Entry'!AY$9)),MAX(MIN('Council Entry'!AY136,'Council Entry'!AY$9),'Council Entry'!AY$8),'Council Entry'!AY136)),IF(AND(ISNUMBER('Council Entry'!AY$8),ISNUMBER('Council Entry'!AY$9)),MAX(MIN('Council Entry'!AY136,'Council Entry'!AY$9),'Council Entry'!AY$8),'Council Entry'!AY136))))-'Council Entry'!AY$5)/('Council Entry'!AY$6-'Council Entry'!AY$5),10*((IF('Council Entry'!AY$4="Logarithm",LN(0.001+IF(AND(ISNUMBER('Council Entry'!AY$8),ISNUMBER('Council Entry'!AY$9)),MAX(MIN('Council Entry'!AY136,'Council Entry'!AY$9),'Council Entry'!AY$8),'Council Entry'!AY136)),IF('Council Entry'!AY$4="Exponential",EXP(IF(AND(ISNUMBER('Council Entry'!AY$8),ISNUMBER('Council Entry'!AY$9)),MAX(MIN('Council Entry'!AY136,'Council Entry'!AY$9),'Council Entry'!AY$8),'Council Entry'!AY136)),IF(AND(ISNUMBER('Council Entry'!AY$8),ISNUMBER('Council Entry'!AY$9)),MAX(MIN('Council Entry'!AY136,'Council Entry'!AY$9),'Council Entry'!AY$8),'Council Entry'!AY136))))-'Council Entry'!AY$5)/('Council Entry'!AY$6-'Council Entry'!AY$5)),1))),"No data"))</f>
        <v/>
      </c>
      <c r="AZ136" s="13">
        <f>IF('Council Entry'!AZ136="","",IFERROR(MAX(0,MIN(10,ROUND(IF('Council Entry'!AZ$7="Decrease Risk",10-10*((IF('Council Entry'!AZ$4="Logarithm",LN(0.001+IF(AND(ISNUMBER('Council Entry'!AZ$8),ISNUMBER('Council Entry'!AZ$9)),MAX(MIN('Council Entry'!AZ136,'Council Entry'!AZ$9),'Council Entry'!AZ$8),'Council Entry'!AZ136)),IF('Council Entry'!AZ$4="Exponential",EXP(IF(AND(ISNUMBER('Council Entry'!AZ$8),ISNUMBER('Council Entry'!AZ$9)),MAX(MIN('Council Entry'!AZ136,'Council Entry'!AZ$9),'Council Entry'!AZ$8),'Council Entry'!AZ136)),IF(AND(ISNUMBER('Council Entry'!AZ$8),ISNUMBER('Council Entry'!AZ$9)),MAX(MIN('Council Entry'!AZ136,'Council Entry'!AZ$9),'Council Entry'!AZ$8),'Council Entry'!AZ136))))-'Council Entry'!AZ$5)/('Council Entry'!AZ$6-'Council Entry'!AZ$5),10*((IF('Council Entry'!AZ$4="Logarithm",LN(0.001+IF(AND(ISNUMBER('Council Entry'!AZ$8),ISNUMBER('Council Entry'!AZ$9)),MAX(MIN('Council Entry'!AZ136,'Council Entry'!AZ$9),'Council Entry'!AZ$8),'Council Entry'!AZ136)),IF('Council Entry'!AZ$4="Exponential",EXP(IF(AND(ISNUMBER('Council Entry'!AZ$8),ISNUMBER('Council Entry'!AZ$9)),MAX(MIN('Council Entry'!AZ136,'Council Entry'!AZ$9),'Council Entry'!AZ$8),'Council Entry'!AZ136)),IF(AND(ISNUMBER('Council Entry'!AZ$8),ISNUMBER('Council Entry'!AZ$9)),MAX(MIN('Council Entry'!AZ136,'Council Entry'!AZ$9),'Council Entry'!AZ$8),'Council Entry'!AZ136))))-'Council Entry'!AZ$5)/('Council Entry'!AZ$6-'Council Entry'!AZ$5)),1))),"No data"))</f>
        <v/>
      </c>
      <c r="BA136" s="13">
        <f>IF('Council Entry'!BA136="","",IFERROR(MAX(0,MIN(10,ROUND(IF('Council Entry'!BA$7="Decrease Risk",10-10*((IF('Council Entry'!BA$4="Logarithm",LN(0.001+IF(AND(ISNUMBER('Council Entry'!BA$8),ISNUMBER('Council Entry'!BA$9)),MAX(MIN('Council Entry'!BA136,'Council Entry'!BA$9),'Council Entry'!BA$8),'Council Entry'!BA136)),IF('Council Entry'!BA$4="Exponential",EXP(IF(AND(ISNUMBER('Council Entry'!BA$8),ISNUMBER('Council Entry'!BA$9)),MAX(MIN('Council Entry'!BA136,'Council Entry'!BA$9),'Council Entry'!BA$8),'Council Entry'!BA136)),IF(AND(ISNUMBER('Council Entry'!BA$8),ISNUMBER('Council Entry'!BA$9)),MAX(MIN('Council Entry'!BA136,'Council Entry'!BA$9),'Council Entry'!BA$8),'Council Entry'!BA136))))-'Council Entry'!BA$5)/('Council Entry'!BA$6-'Council Entry'!BA$5),10*((IF('Council Entry'!BA$4="Logarithm",LN(0.001+IF(AND(ISNUMBER('Council Entry'!BA$8),ISNUMBER('Council Entry'!BA$9)),MAX(MIN('Council Entry'!BA136,'Council Entry'!BA$9),'Council Entry'!BA$8),'Council Entry'!BA136)),IF('Council Entry'!BA$4="Exponential",EXP(IF(AND(ISNUMBER('Council Entry'!BA$8),ISNUMBER('Council Entry'!BA$9)),MAX(MIN('Council Entry'!BA136,'Council Entry'!BA$9),'Council Entry'!BA$8),'Council Entry'!BA136)),IF(AND(ISNUMBER('Council Entry'!BA$8),ISNUMBER('Council Entry'!BA$9)),MAX(MIN('Council Entry'!BA136,'Council Entry'!BA$9),'Council Entry'!BA$8),'Council Entry'!BA136))))-'Council Entry'!BA$5)/('Council Entry'!BA$6-'Council Entry'!BA$5)),1))),"No data"))</f>
        <v/>
      </c>
      <c r="BB136" s="13">
        <f>IF('Council Entry'!BB136="","",IFERROR(MAX(0,MIN(10,ROUND(IF('Council Entry'!BB$7="Decrease Risk",10-10*((IF('Council Entry'!BB$4="Logarithm",LN(0.001+IF(AND(ISNUMBER('Council Entry'!BB$8),ISNUMBER('Council Entry'!BB$9)),MAX(MIN('Council Entry'!BB136,'Council Entry'!BB$9),'Council Entry'!BB$8),'Council Entry'!BB136)),IF('Council Entry'!BB$4="Exponential",EXP(IF(AND(ISNUMBER('Council Entry'!BB$8),ISNUMBER('Council Entry'!BB$9)),MAX(MIN('Council Entry'!BB136,'Council Entry'!BB$9),'Council Entry'!BB$8),'Council Entry'!BB136)),IF(AND(ISNUMBER('Council Entry'!BB$8),ISNUMBER('Council Entry'!BB$9)),MAX(MIN('Council Entry'!BB136,'Council Entry'!BB$9),'Council Entry'!BB$8),'Council Entry'!BB136))))-'Council Entry'!BB$5)/('Council Entry'!BB$6-'Council Entry'!BB$5),10*((IF('Council Entry'!BB$4="Logarithm",LN(0.001+IF(AND(ISNUMBER('Council Entry'!BB$8),ISNUMBER('Council Entry'!BB$9)),MAX(MIN('Council Entry'!BB136,'Council Entry'!BB$9),'Council Entry'!BB$8),'Council Entry'!BB136)),IF('Council Entry'!BB$4="Exponential",EXP(IF(AND(ISNUMBER('Council Entry'!BB$8),ISNUMBER('Council Entry'!BB$9)),MAX(MIN('Council Entry'!BB136,'Council Entry'!BB$9),'Council Entry'!BB$8),'Council Entry'!BB136)),IF(AND(ISNUMBER('Council Entry'!BB$8),ISNUMBER('Council Entry'!BB$9)),MAX(MIN('Council Entry'!BB136,'Council Entry'!BB$9),'Council Entry'!BB$8),'Council Entry'!BB136))))-'Council Entry'!BB$5)/('Council Entry'!BB$6-'Council Entry'!BB$5)),1))),"No data"))</f>
        <v/>
      </c>
      <c r="BC136" s="13">
        <f>IF('Council Entry'!BC136="","",IFERROR(MAX(0,MIN(10,ROUND(IF('Council Entry'!BC$7="Decrease Risk",10-10*((IF('Council Entry'!BC$4="Logarithm",LN(0.001+IF(AND(ISNUMBER('Council Entry'!BC$8),ISNUMBER('Council Entry'!BC$9)),MAX(MIN('Council Entry'!BC136,'Council Entry'!BC$9),'Council Entry'!BC$8),'Council Entry'!BC136)),IF('Council Entry'!BC$4="Exponential",EXP(IF(AND(ISNUMBER('Council Entry'!BC$8),ISNUMBER('Council Entry'!BC$9)),MAX(MIN('Council Entry'!BC136,'Council Entry'!BC$9),'Council Entry'!BC$8),'Council Entry'!BC136)),IF(AND(ISNUMBER('Council Entry'!BC$8),ISNUMBER('Council Entry'!BC$9)),MAX(MIN('Council Entry'!BC136,'Council Entry'!BC$9),'Council Entry'!BC$8),'Council Entry'!BC136))))-'Council Entry'!BC$5)/('Council Entry'!BC$6-'Council Entry'!BC$5),10*((IF('Council Entry'!BC$4="Logarithm",LN(0.001+IF(AND(ISNUMBER('Council Entry'!BC$8),ISNUMBER('Council Entry'!BC$9)),MAX(MIN('Council Entry'!BC136,'Council Entry'!BC$9),'Council Entry'!BC$8),'Council Entry'!BC136)),IF('Council Entry'!BC$4="Exponential",EXP(IF(AND(ISNUMBER('Council Entry'!BC$8),ISNUMBER('Council Entry'!BC$9)),MAX(MIN('Council Entry'!BC136,'Council Entry'!BC$9),'Council Entry'!BC$8),'Council Entry'!BC136)),IF(AND(ISNUMBER('Council Entry'!BC$8),ISNUMBER('Council Entry'!BC$9)),MAX(MIN('Council Entry'!BC136,'Council Entry'!BC$9),'Council Entry'!BC$8),'Council Entry'!BC136))))-'Council Entry'!BC$5)/('Council Entry'!BC$6-'Council Entry'!BC$5)),1))),"No data"))</f>
        <v/>
      </c>
      <c r="BD136" s="13">
        <f>IF('Council Entry'!BD136="","",IFERROR(MAX(0,MIN(10,ROUND(IF('Council Entry'!BD$7="Decrease Risk",10-10*((IF('Council Entry'!BD$4="Logarithm",LN(0.001+IF(AND(ISNUMBER('Council Entry'!BD$8),ISNUMBER('Council Entry'!BD$9)),MAX(MIN('Council Entry'!BD136,'Council Entry'!BD$9),'Council Entry'!BD$8),'Council Entry'!BD136)),IF('Council Entry'!BD$4="Exponential",EXP(IF(AND(ISNUMBER('Council Entry'!BD$8),ISNUMBER('Council Entry'!BD$9)),MAX(MIN('Council Entry'!BD136,'Council Entry'!BD$9),'Council Entry'!BD$8),'Council Entry'!BD136)),IF(AND(ISNUMBER('Council Entry'!BD$8),ISNUMBER('Council Entry'!BD$9)),MAX(MIN('Council Entry'!BD136,'Council Entry'!BD$9),'Council Entry'!BD$8),'Council Entry'!BD136))))-'Council Entry'!BD$5)/('Council Entry'!BD$6-'Council Entry'!BD$5),10*((IF('Council Entry'!BD$4="Logarithm",LN(0.001+IF(AND(ISNUMBER('Council Entry'!BD$8),ISNUMBER('Council Entry'!BD$9)),MAX(MIN('Council Entry'!BD136,'Council Entry'!BD$9),'Council Entry'!BD$8),'Council Entry'!BD136)),IF('Council Entry'!BD$4="Exponential",EXP(IF(AND(ISNUMBER('Council Entry'!BD$8),ISNUMBER('Council Entry'!BD$9)),MAX(MIN('Council Entry'!BD136,'Council Entry'!BD$9),'Council Entry'!BD$8),'Council Entry'!BD136)),IF(AND(ISNUMBER('Council Entry'!BD$8),ISNUMBER('Council Entry'!BD$9)),MAX(MIN('Council Entry'!BD136,'Council Entry'!BD$9),'Council Entry'!BD$8),'Council Entry'!BD136))))-'Council Entry'!BD$5)/('Council Entry'!BD$6-'Council Entry'!BD$5)),1))),"No data"))</f>
        <v/>
      </c>
    </row>
    <row r="137">
      <c r="A137" t="inlineStr">
        <is>
          <t>Njombe</t>
        </is>
      </c>
      <c r="B137" t="inlineStr">
        <is>
          <t>Makambako Town</t>
        </is>
      </c>
      <c r="C137" t="inlineStr">
        <is>
          <t>C159</t>
        </is>
      </c>
      <c r="D137" s="13">
        <f>IF('Council Entry'!D137="","",IFERROR(MAX(0,MIN(10,ROUND(IF('Council Entry'!D$7="Decrease Risk",10-10*((IF('Council Entry'!D$4="Logarithm",LN(0.001+IF(AND(ISNUMBER('Council Entry'!D$8),ISNUMBER('Council Entry'!D$9)),MAX(MIN('Council Entry'!D137,'Council Entry'!D$9),'Council Entry'!D$8),'Council Entry'!D137)),IF('Council Entry'!D$4="Exponential",EXP(IF(AND(ISNUMBER('Council Entry'!D$8),ISNUMBER('Council Entry'!D$9)),MAX(MIN('Council Entry'!D137,'Council Entry'!D$9),'Council Entry'!D$8),'Council Entry'!D137)),IF(AND(ISNUMBER('Council Entry'!D$8),ISNUMBER('Council Entry'!D$9)),MAX(MIN('Council Entry'!D137,'Council Entry'!D$9),'Council Entry'!D$8),'Council Entry'!D137))))-'Council Entry'!D$5)/('Council Entry'!D$6-'Council Entry'!D$5),10*((IF('Council Entry'!D$4="Logarithm",LN(0.001+IF(AND(ISNUMBER('Council Entry'!D$8),ISNUMBER('Council Entry'!D$9)),MAX(MIN('Council Entry'!D137,'Council Entry'!D$9),'Council Entry'!D$8),'Council Entry'!D137)),IF('Council Entry'!D$4="Exponential",EXP(IF(AND(ISNUMBER('Council Entry'!D$8),ISNUMBER('Council Entry'!D$9)),MAX(MIN('Council Entry'!D137,'Council Entry'!D$9),'Council Entry'!D$8),'Council Entry'!D137)),IF(AND(ISNUMBER('Council Entry'!D$8),ISNUMBER('Council Entry'!D$9)),MAX(MIN('Council Entry'!D137,'Council Entry'!D$9),'Council Entry'!D$8),'Council Entry'!D137))))-'Council Entry'!D$5)/('Council Entry'!D$6-'Council Entry'!D$5)),1))),"No data"))</f>
        <v/>
      </c>
      <c r="E137" s="13">
        <f>IF('Council Entry'!E137="","",IFERROR(MAX(0,MIN(10,ROUND(IF('Council Entry'!E$7="Decrease Risk",10-10*((IF('Council Entry'!E$4="Logarithm",LN(0.001+IF(AND(ISNUMBER('Council Entry'!E$8),ISNUMBER('Council Entry'!E$9)),MAX(MIN('Council Entry'!E137,'Council Entry'!E$9),'Council Entry'!E$8),'Council Entry'!E137)),IF('Council Entry'!E$4="Exponential",EXP(IF(AND(ISNUMBER('Council Entry'!E$8),ISNUMBER('Council Entry'!E$9)),MAX(MIN('Council Entry'!E137,'Council Entry'!E$9),'Council Entry'!E$8),'Council Entry'!E137)),IF(AND(ISNUMBER('Council Entry'!E$8),ISNUMBER('Council Entry'!E$9)),MAX(MIN('Council Entry'!E137,'Council Entry'!E$9),'Council Entry'!E$8),'Council Entry'!E137))))-'Council Entry'!E$5)/('Council Entry'!E$6-'Council Entry'!E$5),10*((IF('Council Entry'!E$4="Logarithm",LN(0.001+IF(AND(ISNUMBER('Council Entry'!E$8),ISNUMBER('Council Entry'!E$9)),MAX(MIN('Council Entry'!E137,'Council Entry'!E$9),'Council Entry'!E$8),'Council Entry'!E137)),IF('Council Entry'!E$4="Exponential",EXP(IF(AND(ISNUMBER('Council Entry'!E$8),ISNUMBER('Council Entry'!E$9)),MAX(MIN('Council Entry'!E137,'Council Entry'!E$9),'Council Entry'!E$8),'Council Entry'!E137)),IF(AND(ISNUMBER('Council Entry'!E$8),ISNUMBER('Council Entry'!E$9)),MAX(MIN('Council Entry'!E137,'Council Entry'!E$9),'Council Entry'!E$8),'Council Entry'!E137))))-'Council Entry'!E$5)/('Council Entry'!E$6-'Council Entry'!E$5)),1))),"No data"))</f>
        <v/>
      </c>
      <c r="F137" s="13">
        <f>IF('Council Entry'!F137="","",IFERROR(MAX(0,MIN(10,ROUND(IF('Council Entry'!F$7="Decrease Risk",10-10*((IF('Council Entry'!F$4="Logarithm",LN(0.001+IF(AND(ISNUMBER('Council Entry'!F$8),ISNUMBER('Council Entry'!F$9)),MAX(MIN('Council Entry'!F137,'Council Entry'!F$9),'Council Entry'!F$8),'Council Entry'!F137)),IF('Council Entry'!F$4="Exponential",EXP(IF(AND(ISNUMBER('Council Entry'!F$8),ISNUMBER('Council Entry'!F$9)),MAX(MIN('Council Entry'!F137,'Council Entry'!F$9),'Council Entry'!F$8),'Council Entry'!F137)),IF(AND(ISNUMBER('Council Entry'!F$8),ISNUMBER('Council Entry'!F$9)),MAX(MIN('Council Entry'!F137,'Council Entry'!F$9),'Council Entry'!F$8),'Council Entry'!F137))))-'Council Entry'!F$5)/('Council Entry'!F$6-'Council Entry'!F$5),10*((IF('Council Entry'!F$4="Logarithm",LN(0.001+IF(AND(ISNUMBER('Council Entry'!F$8),ISNUMBER('Council Entry'!F$9)),MAX(MIN('Council Entry'!F137,'Council Entry'!F$9),'Council Entry'!F$8),'Council Entry'!F137)),IF('Council Entry'!F$4="Exponential",EXP(IF(AND(ISNUMBER('Council Entry'!F$8),ISNUMBER('Council Entry'!F$9)),MAX(MIN('Council Entry'!F137,'Council Entry'!F$9),'Council Entry'!F$8),'Council Entry'!F137)),IF(AND(ISNUMBER('Council Entry'!F$8),ISNUMBER('Council Entry'!F$9)),MAX(MIN('Council Entry'!F137,'Council Entry'!F$9),'Council Entry'!F$8),'Council Entry'!F137))))-'Council Entry'!F$5)/('Council Entry'!F$6-'Council Entry'!F$5)),1))),"No data"))</f>
        <v/>
      </c>
      <c r="G137" s="13">
        <f>IF('Council Entry'!G137="","",IFERROR(MAX(0,MIN(10,ROUND(IF('Council Entry'!G$7="Decrease Risk",10-10*((IF('Council Entry'!G$4="Logarithm",LN(0.001+IF(AND(ISNUMBER('Council Entry'!G$8),ISNUMBER('Council Entry'!G$9)),MAX(MIN('Council Entry'!G137,'Council Entry'!G$9),'Council Entry'!G$8),'Council Entry'!G137)),IF('Council Entry'!G$4="Exponential",EXP(IF(AND(ISNUMBER('Council Entry'!G$8),ISNUMBER('Council Entry'!G$9)),MAX(MIN('Council Entry'!G137,'Council Entry'!G$9),'Council Entry'!G$8),'Council Entry'!G137)),IF(AND(ISNUMBER('Council Entry'!G$8),ISNUMBER('Council Entry'!G$9)),MAX(MIN('Council Entry'!G137,'Council Entry'!G$9),'Council Entry'!G$8),'Council Entry'!G137))))-'Council Entry'!G$5)/('Council Entry'!G$6-'Council Entry'!G$5),10*((IF('Council Entry'!G$4="Logarithm",LN(0.001+IF(AND(ISNUMBER('Council Entry'!G$8),ISNUMBER('Council Entry'!G$9)),MAX(MIN('Council Entry'!G137,'Council Entry'!G$9),'Council Entry'!G$8),'Council Entry'!G137)),IF('Council Entry'!G$4="Exponential",EXP(IF(AND(ISNUMBER('Council Entry'!G$8),ISNUMBER('Council Entry'!G$9)),MAX(MIN('Council Entry'!G137,'Council Entry'!G$9),'Council Entry'!G$8),'Council Entry'!G137)),IF(AND(ISNUMBER('Council Entry'!G$8),ISNUMBER('Council Entry'!G$9)),MAX(MIN('Council Entry'!G137,'Council Entry'!G$9),'Council Entry'!G$8),'Council Entry'!G137))))-'Council Entry'!G$5)/('Council Entry'!G$6-'Council Entry'!G$5)),1))),"No data"))</f>
        <v/>
      </c>
      <c r="H137" s="13">
        <f>IF('Council Entry'!H137="","",IFERROR(MAX(0,MIN(10,ROUND(IF('Council Entry'!H$7="Decrease Risk",10-10*((IF('Council Entry'!H$4="Logarithm",LN(0.001+IF(AND(ISNUMBER('Council Entry'!H$8),ISNUMBER('Council Entry'!H$9)),MAX(MIN('Council Entry'!H137,'Council Entry'!H$9),'Council Entry'!H$8),'Council Entry'!H137)),IF('Council Entry'!H$4="Exponential",EXP(IF(AND(ISNUMBER('Council Entry'!H$8),ISNUMBER('Council Entry'!H$9)),MAX(MIN('Council Entry'!H137,'Council Entry'!H$9),'Council Entry'!H$8),'Council Entry'!H137)),IF(AND(ISNUMBER('Council Entry'!H$8),ISNUMBER('Council Entry'!H$9)),MAX(MIN('Council Entry'!H137,'Council Entry'!H$9),'Council Entry'!H$8),'Council Entry'!H137))))-'Council Entry'!H$5)/('Council Entry'!H$6-'Council Entry'!H$5),10*((IF('Council Entry'!H$4="Logarithm",LN(0.001+IF(AND(ISNUMBER('Council Entry'!H$8),ISNUMBER('Council Entry'!H$9)),MAX(MIN('Council Entry'!H137,'Council Entry'!H$9),'Council Entry'!H$8),'Council Entry'!H137)),IF('Council Entry'!H$4="Exponential",EXP(IF(AND(ISNUMBER('Council Entry'!H$8),ISNUMBER('Council Entry'!H$9)),MAX(MIN('Council Entry'!H137,'Council Entry'!H$9),'Council Entry'!H$8),'Council Entry'!H137)),IF(AND(ISNUMBER('Council Entry'!H$8),ISNUMBER('Council Entry'!H$9)),MAX(MIN('Council Entry'!H137,'Council Entry'!H$9),'Council Entry'!H$8),'Council Entry'!H137))))-'Council Entry'!H$5)/('Council Entry'!H$6-'Council Entry'!H$5)),1))),"No data"))</f>
        <v/>
      </c>
      <c r="I137" s="13">
        <f>IF('Council Entry'!I137="","",IFERROR(MAX(0,MIN(10,ROUND(IF('Council Entry'!I$7="Decrease Risk",10-10*((IF('Council Entry'!I$4="Logarithm",LN(0.001+IF(AND(ISNUMBER('Council Entry'!I$8),ISNUMBER('Council Entry'!I$9)),MAX(MIN('Council Entry'!I137,'Council Entry'!I$9),'Council Entry'!I$8),'Council Entry'!I137)),IF('Council Entry'!I$4="Exponential",EXP(IF(AND(ISNUMBER('Council Entry'!I$8),ISNUMBER('Council Entry'!I$9)),MAX(MIN('Council Entry'!I137,'Council Entry'!I$9),'Council Entry'!I$8),'Council Entry'!I137)),IF(AND(ISNUMBER('Council Entry'!I$8),ISNUMBER('Council Entry'!I$9)),MAX(MIN('Council Entry'!I137,'Council Entry'!I$9),'Council Entry'!I$8),'Council Entry'!I137))))-'Council Entry'!I$5)/('Council Entry'!I$6-'Council Entry'!I$5),10*((IF('Council Entry'!I$4="Logarithm",LN(0.001+IF(AND(ISNUMBER('Council Entry'!I$8),ISNUMBER('Council Entry'!I$9)),MAX(MIN('Council Entry'!I137,'Council Entry'!I$9),'Council Entry'!I$8),'Council Entry'!I137)),IF('Council Entry'!I$4="Exponential",EXP(IF(AND(ISNUMBER('Council Entry'!I$8),ISNUMBER('Council Entry'!I$9)),MAX(MIN('Council Entry'!I137,'Council Entry'!I$9),'Council Entry'!I$8),'Council Entry'!I137)),IF(AND(ISNUMBER('Council Entry'!I$8),ISNUMBER('Council Entry'!I$9)),MAX(MIN('Council Entry'!I137,'Council Entry'!I$9),'Council Entry'!I$8),'Council Entry'!I137))))-'Council Entry'!I$5)/('Council Entry'!I$6-'Council Entry'!I$5)),1))),"No data"))</f>
        <v/>
      </c>
      <c r="J137" s="13">
        <f>IF('Council Entry'!J137="","",IFERROR(MAX(0,MIN(10,ROUND(IF('Council Entry'!J$7="Decrease Risk",10-10*((IF('Council Entry'!J$4="Logarithm",LN(0.001+IF(AND(ISNUMBER('Council Entry'!J$8),ISNUMBER('Council Entry'!J$9)),MAX(MIN('Council Entry'!J137,'Council Entry'!J$9),'Council Entry'!J$8),'Council Entry'!J137)),IF('Council Entry'!J$4="Exponential",EXP(IF(AND(ISNUMBER('Council Entry'!J$8),ISNUMBER('Council Entry'!J$9)),MAX(MIN('Council Entry'!J137,'Council Entry'!J$9),'Council Entry'!J$8),'Council Entry'!J137)),IF(AND(ISNUMBER('Council Entry'!J$8),ISNUMBER('Council Entry'!J$9)),MAX(MIN('Council Entry'!J137,'Council Entry'!J$9),'Council Entry'!J$8),'Council Entry'!J137))))-'Council Entry'!J$5)/('Council Entry'!J$6-'Council Entry'!J$5),10*((IF('Council Entry'!J$4="Logarithm",LN(0.001+IF(AND(ISNUMBER('Council Entry'!J$8),ISNUMBER('Council Entry'!J$9)),MAX(MIN('Council Entry'!J137,'Council Entry'!J$9),'Council Entry'!J$8),'Council Entry'!J137)),IF('Council Entry'!J$4="Exponential",EXP(IF(AND(ISNUMBER('Council Entry'!J$8),ISNUMBER('Council Entry'!J$9)),MAX(MIN('Council Entry'!J137,'Council Entry'!J$9),'Council Entry'!J$8),'Council Entry'!J137)),IF(AND(ISNUMBER('Council Entry'!J$8),ISNUMBER('Council Entry'!J$9)),MAX(MIN('Council Entry'!J137,'Council Entry'!J$9),'Council Entry'!J$8),'Council Entry'!J137))))-'Council Entry'!J$5)/('Council Entry'!J$6-'Council Entry'!J$5)),1))),"No data"))</f>
        <v/>
      </c>
      <c r="K137" s="13">
        <f>IF('Council Entry'!K137="","",IFERROR(MAX(0,MIN(10,ROUND(IF('Council Entry'!K$7="Decrease Risk",10-10*((IF('Council Entry'!K$4="Logarithm",LN(0.001+IF(AND(ISNUMBER('Council Entry'!K$8),ISNUMBER('Council Entry'!K$9)),MAX(MIN('Council Entry'!K137,'Council Entry'!K$9),'Council Entry'!K$8),'Council Entry'!K137)),IF('Council Entry'!K$4="Exponential",EXP(IF(AND(ISNUMBER('Council Entry'!K$8),ISNUMBER('Council Entry'!K$9)),MAX(MIN('Council Entry'!K137,'Council Entry'!K$9),'Council Entry'!K$8),'Council Entry'!K137)),IF(AND(ISNUMBER('Council Entry'!K$8),ISNUMBER('Council Entry'!K$9)),MAX(MIN('Council Entry'!K137,'Council Entry'!K$9),'Council Entry'!K$8),'Council Entry'!K137))))-'Council Entry'!K$5)/('Council Entry'!K$6-'Council Entry'!K$5),10*((IF('Council Entry'!K$4="Logarithm",LN(0.001+IF(AND(ISNUMBER('Council Entry'!K$8),ISNUMBER('Council Entry'!K$9)),MAX(MIN('Council Entry'!K137,'Council Entry'!K$9),'Council Entry'!K$8),'Council Entry'!K137)),IF('Council Entry'!K$4="Exponential",EXP(IF(AND(ISNUMBER('Council Entry'!K$8),ISNUMBER('Council Entry'!K$9)),MAX(MIN('Council Entry'!K137,'Council Entry'!K$9),'Council Entry'!K$8),'Council Entry'!K137)),IF(AND(ISNUMBER('Council Entry'!K$8),ISNUMBER('Council Entry'!K$9)),MAX(MIN('Council Entry'!K137,'Council Entry'!K$9),'Council Entry'!K$8),'Council Entry'!K137))))-'Council Entry'!K$5)/('Council Entry'!K$6-'Council Entry'!K$5)),1))),"No data"))</f>
        <v/>
      </c>
      <c r="L137" s="13">
        <f>IF('Council Entry'!L137="","",IFERROR(MAX(0,MIN(10,ROUND(IF('Council Entry'!L$7="Decrease Risk",10-10*((IF('Council Entry'!L$4="Logarithm",LN(0.001+IF(AND(ISNUMBER('Council Entry'!L$8),ISNUMBER('Council Entry'!L$9)),MAX(MIN('Council Entry'!L137,'Council Entry'!L$9),'Council Entry'!L$8),'Council Entry'!L137)),IF('Council Entry'!L$4="Exponential",EXP(IF(AND(ISNUMBER('Council Entry'!L$8),ISNUMBER('Council Entry'!L$9)),MAX(MIN('Council Entry'!L137,'Council Entry'!L$9),'Council Entry'!L$8),'Council Entry'!L137)),IF(AND(ISNUMBER('Council Entry'!L$8),ISNUMBER('Council Entry'!L$9)),MAX(MIN('Council Entry'!L137,'Council Entry'!L$9),'Council Entry'!L$8),'Council Entry'!L137))))-'Council Entry'!L$5)/('Council Entry'!L$6-'Council Entry'!L$5),10*((IF('Council Entry'!L$4="Logarithm",LN(0.001+IF(AND(ISNUMBER('Council Entry'!L$8),ISNUMBER('Council Entry'!L$9)),MAX(MIN('Council Entry'!L137,'Council Entry'!L$9),'Council Entry'!L$8),'Council Entry'!L137)),IF('Council Entry'!L$4="Exponential",EXP(IF(AND(ISNUMBER('Council Entry'!L$8),ISNUMBER('Council Entry'!L$9)),MAX(MIN('Council Entry'!L137,'Council Entry'!L$9),'Council Entry'!L$8),'Council Entry'!L137)),IF(AND(ISNUMBER('Council Entry'!L$8),ISNUMBER('Council Entry'!L$9)),MAX(MIN('Council Entry'!L137,'Council Entry'!L$9),'Council Entry'!L$8),'Council Entry'!L137))))-'Council Entry'!L$5)/('Council Entry'!L$6-'Council Entry'!L$5)),1))),"No data"))</f>
        <v/>
      </c>
      <c r="M137" s="13">
        <f>IF('Council Entry'!M137="","",IFERROR(MAX(0,MIN(10,ROUND(IF('Council Entry'!M$7="Decrease Risk",10-10*((IF('Council Entry'!M$4="Logarithm",LN(0.001+IF(AND(ISNUMBER('Council Entry'!M$8),ISNUMBER('Council Entry'!M$9)),MAX(MIN('Council Entry'!M137,'Council Entry'!M$9),'Council Entry'!M$8),'Council Entry'!M137)),IF('Council Entry'!M$4="Exponential",EXP(IF(AND(ISNUMBER('Council Entry'!M$8),ISNUMBER('Council Entry'!M$9)),MAX(MIN('Council Entry'!M137,'Council Entry'!M$9),'Council Entry'!M$8),'Council Entry'!M137)),IF(AND(ISNUMBER('Council Entry'!M$8),ISNUMBER('Council Entry'!M$9)),MAX(MIN('Council Entry'!M137,'Council Entry'!M$9),'Council Entry'!M$8),'Council Entry'!M137))))-'Council Entry'!M$5)/('Council Entry'!M$6-'Council Entry'!M$5),10*((IF('Council Entry'!M$4="Logarithm",LN(0.001+IF(AND(ISNUMBER('Council Entry'!M$8),ISNUMBER('Council Entry'!M$9)),MAX(MIN('Council Entry'!M137,'Council Entry'!M$9),'Council Entry'!M$8),'Council Entry'!M137)),IF('Council Entry'!M$4="Exponential",EXP(IF(AND(ISNUMBER('Council Entry'!M$8),ISNUMBER('Council Entry'!M$9)),MAX(MIN('Council Entry'!M137,'Council Entry'!M$9),'Council Entry'!M$8),'Council Entry'!M137)),IF(AND(ISNUMBER('Council Entry'!M$8),ISNUMBER('Council Entry'!M$9)),MAX(MIN('Council Entry'!M137,'Council Entry'!M$9),'Council Entry'!M$8),'Council Entry'!M137))))-'Council Entry'!M$5)/('Council Entry'!M$6-'Council Entry'!M$5)),1))),"No data"))</f>
        <v/>
      </c>
      <c r="N137" s="13">
        <f>IF('Council Entry'!N137="","",IFERROR(MAX(0,MIN(10,ROUND(IF('Council Entry'!N$7="Decrease Risk",10-10*((IF('Council Entry'!N$4="Logarithm",LN(0.001+IF(AND(ISNUMBER('Council Entry'!N$8),ISNUMBER('Council Entry'!N$9)),MAX(MIN('Council Entry'!N137,'Council Entry'!N$9),'Council Entry'!N$8),'Council Entry'!N137)),IF('Council Entry'!N$4="Exponential",EXP(IF(AND(ISNUMBER('Council Entry'!N$8),ISNUMBER('Council Entry'!N$9)),MAX(MIN('Council Entry'!N137,'Council Entry'!N$9),'Council Entry'!N$8),'Council Entry'!N137)),IF(AND(ISNUMBER('Council Entry'!N$8),ISNUMBER('Council Entry'!N$9)),MAX(MIN('Council Entry'!N137,'Council Entry'!N$9),'Council Entry'!N$8),'Council Entry'!N137))))-'Council Entry'!N$5)/('Council Entry'!N$6-'Council Entry'!N$5),10*((IF('Council Entry'!N$4="Logarithm",LN(0.001+IF(AND(ISNUMBER('Council Entry'!N$8),ISNUMBER('Council Entry'!N$9)),MAX(MIN('Council Entry'!N137,'Council Entry'!N$9),'Council Entry'!N$8),'Council Entry'!N137)),IF('Council Entry'!N$4="Exponential",EXP(IF(AND(ISNUMBER('Council Entry'!N$8),ISNUMBER('Council Entry'!N$9)),MAX(MIN('Council Entry'!N137,'Council Entry'!N$9),'Council Entry'!N$8),'Council Entry'!N137)),IF(AND(ISNUMBER('Council Entry'!N$8),ISNUMBER('Council Entry'!N$9)),MAX(MIN('Council Entry'!N137,'Council Entry'!N$9),'Council Entry'!N$8),'Council Entry'!N137))))-'Council Entry'!N$5)/('Council Entry'!N$6-'Council Entry'!N$5)),1))),"No data"))</f>
        <v/>
      </c>
      <c r="O137" s="13">
        <f>IF('Council Entry'!O137="","",IFERROR(MAX(0,MIN(10,ROUND(IF('Council Entry'!O$7="Decrease Risk",10-10*((IF('Council Entry'!O$4="Logarithm",LN(0.001+IF(AND(ISNUMBER('Council Entry'!O$8),ISNUMBER('Council Entry'!O$9)),MAX(MIN('Council Entry'!O137,'Council Entry'!O$9),'Council Entry'!O$8),'Council Entry'!O137)),IF('Council Entry'!O$4="Exponential",EXP(IF(AND(ISNUMBER('Council Entry'!O$8),ISNUMBER('Council Entry'!O$9)),MAX(MIN('Council Entry'!O137,'Council Entry'!O$9),'Council Entry'!O$8),'Council Entry'!O137)),IF(AND(ISNUMBER('Council Entry'!O$8),ISNUMBER('Council Entry'!O$9)),MAX(MIN('Council Entry'!O137,'Council Entry'!O$9),'Council Entry'!O$8),'Council Entry'!O137))))-'Council Entry'!O$5)/('Council Entry'!O$6-'Council Entry'!O$5),10*((IF('Council Entry'!O$4="Logarithm",LN(0.001+IF(AND(ISNUMBER('Council Entry'!O$8),ISNUMBER('Council Entry'!O$9)),MAX(MIN('Council Entry'!O137,'Council Entry'!O$9),'Council Entry'!O$8),'Council Entry'!O137)),IF('Council Entry'!O$4="Exponential",EXP(IF(AND(ISNUMBER('Council Entry'!O$8),ISNUMBER('Council Entry'!O$9)),MAX(MIN('Council Entry'!O137,'Council Entry'!O$9),'Council Entry'!O$8),'Council Entry'!O137)),IF(AND(ISNUMBER('Council Entry'!O$8),ISNUMBER('Council Entry'!O$9)),MAX(MIN('Council Entry'!O137,'Council Entry'!O$9),'Council Entry'!O$8),'Council Entry'!O137))))-'Council Entry'!O$5)/('Council Entry'!O$6-'Council Entry'!O$5)),1))),"No data"))</f>
        <v/>
      </c>
      <c r="P137" s="13">
        <f>IF('Council Entry'!P137="","",IFERROR(MAX(0,MIN(10,ROUND(IF('Council Entry'!P$7="Decrease Risk",10-10*((IF('Council Entry'!P$4="Logarithm",LN(0.001+IF(AND(ISNUMBER('Council Entry'!P$8),ISNUMBER('Council Entry'!P$9)),MAX(MIN('Council Entry'!P137,'Council Entry'!P$9),'Council Entry'!P$8),'Council Entry'!P137)),IF('Council Entry'!P$4="Exponential",EXP(IF(AND(ISNUMBER('Council Entry'!P$8),ISNUMBER('Council Entry'!P$9)),MAX(MIN('Council Entry'!P137,'Council Entry'!P$9),'Council Entry'!P$8),'Council Entry'!P137)),IF(AND(ISNUMBER('Council Entry'!P$8),ISNUMBER('Council Entry'!P$9)),MAX(MIN('Council Entry'!P137,'Council Entry'!P$9),'Council Entry'!P$8),'Council Entry'!P137))))-'Council Entry'!P$5)/('Council Entry'!P$6-'Council Entry'!P$5),10*((IF('Council Entry'!P$4="Logarithm",LN(0.001+IF(AND(ISNUMBER('Council Entry'!P$8),ISNUMBER('Council Entry'!P$9)),MAX(MIN('Council Entry'!P137,'Council Entry'!P$9),'Council Entry'!P$8),'Council Entry'!P137)),IF('Council Entry'!P$4="Exponential",EXP(IF(AND(ISNUMBER('Council Entry'!P$8),ISNUMBER('Council Entry'!P$9)),MAX(MIN('Council Entry'!P137,'Council Entry'!P$9),'Council Entry'!P$8),'Council Entry'!P137)),IF(AND(ISNUMBER('Council Entry'!P$8),ISNUMBER('Council Entry'!P$9)),MAX(MIN('Council Entry'!P137,'Council Entry'!P$9),'Council Entry'!P$8),'Council Entry'!P137))))-'Council Entry'!P$5)/('Council Entry'!P$6-'Council Entry'!P$5)),1))),"No data"))</f>
        <v/>
      </c>
      <c r="Q137" s="13">
        <f>IF('Council Entry'!Q137="","",IFERROR(MAX(0,MIN(10,ROUND(IF('Council Entry'!Q$7="Decrease Risk",10-10*((IF('Council Entry'!Q$4="Logarithm",LN(0.001+IF(AND(ISNUMBER('Council Entry'!Q$8),ISNUMBER('Council Entry'!Q$9)),MAX(MIN('Council Entry'!Q137,'Council Entry'!Q$9),'Council Entry'!Q$8),'Council Entry'!Q137)),IF('Council Entry'!Q$4="Exponential",EXP(IF(AND(ISNUMBER('Council Entry'!Q$8),ISNUMBER('Council Entry'!Q$9)),MAX(MIN('Council Entry'!Q137,'Council Entry'!Q$9),'Council Entry'!Q$8),'Council Entry'!Q137)),IF(AND(ISNUMBER('Council Entry'!Q$8),ISNUMBER('Council Entry'!Q$9)),MAX(MIN('Council Entry'!Q137,'Council Entry'!Q$9),'Council Entry'!Q$8),'Council Entry'!Q137))))-'Council Entry'!Q$5)/('Council Entry'!Q$6-'Council Entry'!Q$5),10*((IF('Council Entry'!Q$4="Logarithm",LN(0.001+IF(AND(ISNUMBER('Council Entry'!Q$8),ISNUMBER('Council Entry'!Q$9)),MAX(MIN('Council Entry'!Q137,'Council Entry'!Q$9),'Council Entry'!Q$8),'Council Entry'!Q137)),IF('Council Entry'!Q$4="Exponential",EXP(IF(AND(ISNUMBER('Council Entry'!Q$8),ISNUMBER('Council Entry'!Q$9)),MAX(MIN('Council Entry'!Q137,'Council Entry'!Q$9),'Council Entry'!Q$8),'Council Entry'!Q137)),IF(AND(ISNUMBER('Council Entry'!Q$8),ISNUMBER('Council Entry'!Q$9)),MAX(MIN('Council Entry'!Q137,'Council Entry'!Q$9),'Council Entry'!Q$8),'Council Entry'!Q137))))-'Council Entry'!Q$5)/('Council Entry'!Q$6-'Council Entry'!Q$5)),1))),"No data"))</f>
        <v/>
      </c>
      <c r="R137" s="13">
        <f>IF('Council Entry'!R137="","",IFERROR(MAX(0,MIN(10,ROUND(IF('Council Entry'!R$7="Decrease Risk",10-10*((IF('Council Entry'!R$4="Logarithm",LN(0.001+IF(AND(ISNUMBER('Council Entry'!R$8),ISNUMBER('Council Entry'!R$9)),MAX(MIN('Council Entry'!R137,'Council Entry'!R$9),'Council Entry'!R$8),'Council Entry'!R137)),IF('Council Entry'!R$4="Exponential",EXP(IF(AND(ISNUMBER('Council Entry'!R$8),ISNUMBER('Council Entry'!R$9)),MAX(MIN('Council Entry'!R137,'Council Entry'!R$9),'Council Entry'!R$8),'Council Entry'!R137)),IF(AND(ISNUMBER('Council Entry'!R$8),ISNUMBER('Council Entry'!R$9)),MAX(MIN('Council Entry'!R137,'Council Entry'!R$9),'Council Entry'!R$8),'Council Entry'!R137))))-'Council Entry'!R$5)/('Council Entry'!R$6-'Council Entry'!R$5),10*((IF('Council Entry'!R$4="Logarithm",LN(0.001+IF(AND(ISNUMBER('Council Entry'!R$8),ISNUMBER('Council Entry'!R$9)),MAX(MIN('Council Entry'!R137,'Council Entry'!R$9),'Council Entry'!R$8),'Council Entry'!R137)),IF('Council Entry'!R$4="Exponential",EXP(IF(AND(ISNUMBER('Council Entry'!R$8),ISNUMBER('Council Entry'!R$9)),MAX(MIN('Council Entry'!R137,'Council Entry'!R$9),'Council Entry'!R$8),'Council Entry'!R137)),IF(AND(ISNUMBER('Council Entry'!R$8),ISNUMBER('Council Entry'!R$9)),MAX(MIN('Council Entry'!R137,'Council Entry'!R$9),'Council Entry'!R$8),'Council Entry'!R137))))-'Council Entry'!R$5)/('Council Entry'!R$6-'Council Entry'!R$5)),1))),"No data"))</f>
        <v/>
      </c>
      <c r="S137" s="13">
        <f>IF('Council Entry'!S137="","",IFERROR(MAX(0,MIN(10,ROUND(IF('Council Entry'!S$7="Decrease Risk",10-10*((IF('Council Entry'!S$4="Logarithm",LN(0.001+IF(AND(ISNUMBER('Council Entry'!S$8),ISNUMBER('Council Entry'!S$9)),MAX(MIN('Council Entry'!S137,'Council Entry'!S$9),'Council Entry'!S$8),'Council Entry'!S137)),IF('Council Entry'!S$4="Exponential",EXP(IF(AND(ISNUMBER('Council Entry'!S$8),ISNUMBER('Council Entry'!S$9)),MAX(MIN('Council Entry'!S137,'Council Entry'!S$9),'Council Entry'!S$8),'Council Entry'!S137)),IF(AND(ISNUMBER('Council Entry'!S$8),ISNUMBER('Council Entry'!S$9)),MAX(MIN('Council Entry'!S137,'Council Entry'!S$9),'Council Entry'!S$8),'Council Entry'!S137))))-'Council Entry'!S$5)/('Council Entry'!S$6-'Council Entry'!S$5),10*((IF('Council Entry'!S$4="Logarithm",LN(0.001+IF(AND(ISNUMBER('Council Entry'!S$8),ISNUMBER('Council Entry'!S$9)),MAX(MIN('Council Entry'!S137,'Council Entry'!S$9),'Council Entry'!S$8),'Council Entry'!S137)),IF('Council Entry'!S$4="Exponential",EXP(IF(AND(ISNUMBER('Council Entry'!S$8),ISNUMBER('Council Entry'!S$9)),MAX(MIN('Council Entry'!S137,'Council Entry'!S$9),'Council Entry'!S$8),'Council Entry'!S137)),IF(AND(ISNUMBER('Council Entry'!S$8),ISNUMBER('Council Entry'!S$9)),MAX(MIN('Council Entry'!S137,'Council Entry'!S$9),'Council Entry'!S$8),'Council Entry'!S137))))-'Council Entry'!S$5)/('Council Entry'!S$6-'Council Entry'!S$5)),1))),"No data"))</f>
        <v/>
      </c>
      <c r="T137" s="13">
        <f>IF('Council Entry'!T137="","",IFERROR(MAX(0,MIN(10,ROUND(IF('Council Entry'!T$7="Decrease Risk",10-10*((IF('Council Entry'!T$4="Logarithm",LN(0.001+IF(AND(ISNUMBER('Council Entry'!T$8),ISNUMBER('Council Entry'!T$9)),MAX(MIN('Council Entry'!T137,'Council Entry'!T$9),'Council Entry'!T$8),'Council Entry'!T137)),IF('Council Entry'!T$4="Exponential",EXP(IF(AND(ISNUMBER('Council Entry'!T$8),ISNUMBER('Council Entry'!T$9)),MAX(MIN('Council Entry'!T137,'Council Entry'!T$9),'Council Entry'!T$8),'Council Entry'!T137)),IF(AND(ISNUMBER('Council Entry'!T$8),ISNUMBER('Council Entry'!T$9)),MAX(MIN('Council Entry'!T137,'Council Entry'!T$9),'Council Entry'!T$8),'Council Entry'!T137))))-'Council Entry'!T$5)/('Council Entry'!T$6-'Council Entry'!T$5),10*((IF('Council Entry'!T$4="Logarithm",LN(0.001+IF(AND(ISNUMBER('Council Entry'!T$8),ISNUMBER('Council Entry'!T$9)),MAX(MIN('Council Entry'!T137,'Council Entry'!T$9),'Council Entry'!T$8),'Council Entry'!T137)),IF('Council Entry'!T$4="Exponential",EXP(IF(AND(ISNUMBER('Council Entry'!T$8),ISNUMBER('Council Entry'!T$9)),MAX(MIN('Council Entry'!T137,'Council Entry'!T$9),'Council Entry'!T$8),'Council Entry'!T137)),IF(AND(ISNUMBER('Council Entry'!T$8),ISNUMBER('Council Entry'!T$9)),MAX(MIN('Council Entry'!T137,'Council Entry'!T$9),'Council Entry'!T$8),'Council Entry'!T137))))-'Council Entry'!T$5)/('Council Entry'!T$6-'Council Entry'!T$5)),1))),"No data"))</f>
        <v/>
      </c>
      <c r="U137" s="13">
        <f>IF('Council Entry'!U137="","",IFERROR(MAX(0,MIN(10,ROUND(IF('Council Entry'!U$7="Decrease Risk",10-10*((IF('Council Entry'!U$4="Logarithm",LN(0.001+IF(AND(ISNUMBER('Council Entry'!U$8),ISNUMBER('Council Entry'!U$9)),MAX(MIN('Council Entry'!U137,'Council Entry'!U$9),'Council Entry'!U$8),'Council Entry'!U137)),IF('Council Entry'!U$4="Exponential",EXP(IF(AND(ISNUMBER('Council Entry'!U$8),ISNUMBER('Council Entry'!U$9)),MAX(MIN('Council Entry'!U137,'Council Entry'!U$9),'Council Entry'!U$8),'Council Entry'!U137)),IF(AND(ISNUMBER('Council Entry'!U$8),ISNUMBER('Council Entry'!U$9)),MAX(MIN('Council Entry'!U137,'Council Entry'!U$9),'Council Entry'!U$8),'Council Entry'!U137))))-'Council Entry'!U$5)/('Council Entry'!U$6-'Council Entry'!U$5),10*((IF('Council Entry'!U$4="Logarithm",LN(0.001+IF(AND(ISNUMBER('Council Entry'!U$8),ISNUMBER('Council Entry'!U$9)),MAX(MIN('Council Entry'!U137,'Council Entry'!U$9),'Council Entry'!U$8),'Council Entry'!U137)),IF('Council Entry'!U$4="Exponential",EXP(IF(AND(ISNUMBER('Council Entry'!U$8),ISNUMBER('Council Entry'!U$9)),MAX(MIN('Council Entry'!U137,'Council Entry'!U$9),'Council Entry'!U$8),'Council Entry'!U137)),IF(AND(ISNUMBER('Council Entry'!U$8),ISNUMBER('Council Entry'!U$9)),MAX(MIN('Council Entry'!U137,'Council Entry'!U$9),'Council Entry'!U$8),'Council Entry'!U137))))-'Council Entry'!U$5)/('Council Entry'!U$6-'Council Entry'!U$5)),1))),"No data"))</f>
        <v/>
      </c>
      <c r="V137" s="13">
        <f>IF('Council Entry'!V137="","",IFERROR(MAX(0,MIN(10,ROUND(IF('Council Entry'!V$7="Decrease Risk",10-10*((IF('Council Entry'!V$4="Logarithm",LN(0.001+IF(AND(ISNUMBER('Council Entry'!V$8),ISNUMBER('Council Entry'!V$9)),MAX(MIN('Council Entry'!V137,'Council Entry'!V$9),'Council Entry'!V$8),'Council Entry'!V137)),IF('Council Entry'!V$4="Exponential",EXP(IF(AND(ISNUMBER('Council Entry'!V$8),ISNUMBER('Council Entry'!V$9)),MAX(MIN('Council Entry'!V137,'Council Entry'!V$9),'Council Entry'!V$8),'Council Entry'!V137)),IF(AND(ISNUMBER('Council Entry'!V$8),ISNUMBER('Council Entry'!V$9)),MAX(MIN('Council Entry'!V137,'Council Entry'!V$9),'Council Entry'!V$8),'Council Entry'!V137))))-'Council Entry'!V$5)/('Council Entry'!V$6-'Council Entry'!V$5),10*((IF('Council Entry'!V$4="Logarithm",LN(0.001+IF(AND(ISNUMBER('Council Entry'!V$8),ISNUMBER('Council Entry'!V$9)),MAX(MIN('Council Entry'!V137,'Council Entry'!V$9),'Council Entry'!V$8),'Council Entry'!V137)),IF('Council Entry'!V$4="Exponential",EXP(IF(AND(ISNUMBER('Council Entry'!V$8),ISNUMBER('Council Entry'!V$9)),MAX(MIN('Council Entry'!V137,'Council Entry'!V$9),'Council Entry'!V$8),'Council Entry'!V137)),IF(AND(ISNUMBER('Council Entry'!V$8),ISNUMBER('Council Entry'!V$9)),MAX(MIN('Council Entry'!V137,'Council Entry'!V$9),'Council Entry'!V$8),'Council Entry'!V137))))-'Council Entry'!V$5)/('Council Entry'!V$6-'Council Entry'!V$5)),1))),"No data"))</f>
        <v/>
      </c>
      <c r="W137" s="13">
        <f>IF('Council Entry'!W137="","",IFERROR(MAX(0,MIN(10,ROUND(IF('Council Entry'!W$7="Decrease Risk",10-10*((IF('Council Entry'!W$4="Logarithm",LN(0.001+IF(AND(ISNUMBER('Council Entry'!W$8),ISNUMBER('Council Entry'!W$9)),MAX(MIN('Council Entry'!W137,'Council Entry'!W$9),'Council Entry'!W$8),'Council Entry'!W137)),IF('Council Entry'!W$4="Exponential",EXP(IF(AND(ISNUMBER('Council Entry'!W$8),ISNUMBER('Council Entry'!W$9)),MAX(MIN('Council Entry'!W137,'Council Entry'!W$9),'Council Entry'!W$8),'Council Entry'!W137)),IF(AND(ISNUMBER('Council Entry'!W$8),ISNUMBER('Council Entry'!W$9)),MAX(MIN('Council Entry'!W137,'Council Entry'!W$9),'Council Entry'!W$8),'Council Entry'!W137))))-'Council Entry'!W$5)/('Council Entry'!W$6-'Council Entry'!W$5),10*((IF('Council Entry'!W$4="Logarithm",LN(0.001+IF(AND(ISNUMBER('Council Entry'!W$8),ISNUMBER('Council Entry'!W$9)),MAX(MIN('Council Entry'!W137,'Council Entry'!W$9),'Council Entry'!W$8),'Council Entry'!W137)),IF('Council Entry'!W$4="Exponential",EXP(IF(AND(ISNUMBER('Council Entry'!W$8),ISNUMBER('Council Entry'!W$9)),MAX(MIN('Council Entry'!W137,'Council Entry'!W$9),'Council Entry'!W$8),'Council Entry'!W137)),IF(AND(ISNUMBER('Council Entry'!W$8),ISNUMBER('Council Entry'!W$9)),MAX(MIN('Council Entry'!W137,'Council Entry'!W$9),'Council Entry'!W$8),'Council Entry'!W137))))-'Council Entry'!W$5)/('Council Entry'!W$6-'Council Entry'!W$5)),1))),"No data"))</f>
        <v/>
      </c>
      <c r="X137" s="13">
        <f>IF('Council Entry'!X137="","",IFERROR(MAX(0,MIN(10,ROUND(IF('Council Entry'!X$7="Decrease Risk",10-10*((IF('Council Entry'!X$4="Logarithm",LN(0.001+IF(AND(ISNUMBER('Council Entry'!X$8),ISNUMBER('Council Entry'!X$9)),MAX(MIN('Council Entry'!X137,'Council Entry'!X$9),'Council Entry'!X$8),'Council Entry'!X137)),IF('Council Entry'!X$4="Exponential",EXP(IF(AND(ISNUMBER('Council Entry'!X$8),ISNUMBER('Council Entry'!X$9)),MAX(MIN('Council Entry'!X137,'Council Entry'!X$9),'Council Entry'!X$8),'Council Entry'!X137)),IF(AND(ISNUMBER('Council Entry'!X$8),ISNUMBER('Council Entry'!X$9)),MAX(MIN('Council Entry'!X137,'Council Entry'!X$9),'Council Entry'!X$8),'Council Entry'!X137))))-'Council Entry'!X$5)/('Council Entry'!X$6-'Council Entry'!X$5),10*((IF('Council Entry'!X$4="Logarithm",LN(0.001+IF(AND(ISNUMBER('Council Entry'!X$8),ISNUMBER('Council Entry'!X$9)),MAX(MIN('Council Entry'!X137,'Council Entry'!X$9),'Council Entry'!X$8),'Council Entry'!X137)),IF('Council Entry'!X$4="Exponential",EXP(IF(AND(ISNUMBER('Council Entry'!X$8),ISNUMBER('Council Entry'!X$9)),MAX(MIN('Council Entry'!X137,'Council Entry'!X$9),'Council Entry'!X$8),'Council Entry'!X137)),IF(AND(ISNUMBER('Council Entry'!X$8),ISNUMBER('Council Entry'!X$9)),MAX(MIN('Council Entry'!X137,'Council Entry'!X$9),'Council Entry'!X$8),'Council Entry'!X137))))-'Council Entry'!X$5)/('Council Entry'!X$6-'Council Entry'!X$5)),1))),"No data"))</f>
        <v/>
      </c>
      <c r="Y137" s="13">
        <f>IF('Council Entry'!Y137="","",IFERROR(MAX(0,MIN(10,ROUND(IF('Council Entry'!Y$7="Decrease Risk",10-10*((IF('Council Entry'!Y$4="Logarithm",LN(0.001+IF(AND(ISNUMBER('Council Entry'!Y$8),ISNUMBER('Council Entry'!Y$9)),MAX(MIN('Council Entry'!Y137,'Council Entry'!Y$9),'Council Entry'!Y$8),'Council Entry'!Y137)),IF('Council Entry'!Y$4="Exponential",EXP(IF(AND(ISNUMBER('Council Entry'!Y$8),ISNUMBER('Council Entry'!Y$9)),MAX(MIN('Council Entry'!Y137,'Council Entry'!Y$9),'Council Entry'!Y$8),'Council Entry'!Y137)),IF(AND(ISNUMBER('Council Entry'!Y$8),ISNUMBER('Council Entry'!Y$9)),MAX(MIN('Council Entry'!Y137,'Council Entry'!Y$9),'Council Entry'!Y$8),'Council Entry'!Y137))))-'Council Entry'!Y$5)/('Council Entry'!Y$6-'Council Entry'!Y$5),10*((IF('Council Entry'!Y$4="Logarithm",LN(0.001+IF(AND(ISNUMBER('Council Entry'!Y$8),ISNUMBER('Council Entry'!Y$9)),MAX(MIN('Council Entry'!Y137,'Council Entry'!Y$9),'Council Entry'!Y$8),'Council Entry'!Y137)),IF('Council Entry'!Y$4="Exponential",EXP(IF(AND(ISNUMBER('Council Entry'!Y$8),ISNUMBER('Council Entry'!Y$9)),MAX(MIN('Council Entry'!Y137,'Council Entry'!Y$9),'Council Entry'!Y$8),'Council Entry'!Y137)),IF(AND(ISNUMBER('Council Entry'!Y$8),ISNUMBER('Council Entry'!Y$9)),MAX(MIN('Council Entry'!Y137,'Council Entry'!Y$9),'Council Entry'!Y$8),'Council Entry'!Y137))))-'Council Entry'!Y$5)/('Council Entry'!Y$6-'Council Entry'!Y$5)),1))),"No data"))</f>
        <v/>
      </c>
      <c r="Z137" s="13">
        <f>IF('Council Entry'!Z137="","",IFERROR(MAX(0,MIN(10,ROUND(IF('Council Entry'!Z$7="Decrease Risk",10-10*((IF('Council Entry'!Z$4="Logarithm",LN(0.001+IF(AND(ISNUMBER('Council Entry'!Z$8),ISNUMBER('Council Entry'!Z$9)),MAX(MIN('Council Entry'!Z137,'Council Entry'!Z$9),'Council Entry'!Z$8),'Council Entry'!Z137)),IF('Council Entry'!Z$4="Exponential",EXP(IF(AND(ISNUMBER('Council Entry'!Z$8),ISNUMBER('Council Entry'!Z$9)),MAX(MIN('Council Entry'!Z137,'Council Entry'!Z$9),'Council Entry'!Z$8),'Council Entry'!Z137)),IF(AND(ISNUMBER('Council Entry'!Z$8),ISNUMBER('Council Entry'!Z$9)),MAX(MIN('Council Entry'!Z137,'Council Entry'!Z$9),'Council Entry'!Z$8),'Council Entry'!Z137))))-'Council Entry'!Z$5)/('Council Entry'!Z$6-'Council Entry'!Z$5),10*((IF('Council Entry'!Z$4="Logarithm",LN(0.001+IF(AND(ISNUMBER('Council Entry'!Z$8),ISNUMBER('Council Entry'!Z$9)),MAX(MIN('Council Entry'!Z137,'Council Entry'!Z$9),'Council Entry'!Z$8),'Council Entry'!Z137)),IF('Council Entry'!Z$4="Exponential",EXP(IF(AND(ISNUMBER('Council Entry'!Z$8),ISNUMBER('Council Entry'!Z$9)),MAX(MIN('Council Entry'!Z137,'Council Entry'!Z$9),'Council Entry'!Z$8),'Council Entry'!Z137)),IF(AND(ISNUMBER('Council Entry'!Z$8),ISNUMBER('Council Entry'!Z$9)),MAX(MIN('Council Entry'!Z137,'Council Entry'!Z$9),'Council Entry'!Z$8),'Council Entry'!Z137))))-'Council Entry'!Z$5)/('Council Entry'!Z$6-'Council Entry'!Z$5)),1))),"No data"))</f>
        <v/>
      </c>
      <c r="AA137" s="13">
        <f>IF('Council Entry'!AA137="","",IFERROR(MAX(0,MIN(10,ROUND(IF('Council Entry'!AA$7="Decrease Risk",10-10*((IF('Council Entry'!AA$4="Logarithm",LN(0.001+IF(AND(ISNUMBER('Council Entry'!AA$8),ISNUMBER('Council Entry'!AA$9)),MAX(MIN('Council Entry'!AA137,'Council Entry'!AA$9),'Council Entry'!AA$8),'Council Entry'!AA137)),IF('Council Entry'!AA$4="Exponential",EXP(IF(AND(ISNUMBER('Council Entry'!AA$8),ISNUMBER('Council Entry'!AA$9)),MAX(MIN('Council Entry'!AA137,'Council Entry'!AA$9),'Council Entry'!AA$8),'Council Entry'!AA137)),IF(AND(ISNUMBER('Council Entry'!AA$8),ISNUMBER('Council Entry'!AA$9)),MAX(MIN('Council Entry'!AA137,'Council Entry'!AA$9),'Council Entry'!AA$8),'Council Entry'!AA137))))-'Council Entry'!AA$5)/('Council Entry'!AA$6-'Council Entry'!AA$5),10*((IF('Council Entry'!AA$4="Logarithm",LN(0.001+IF(AND(ISNUMBER('Council Entry'!AA$8),ISNUMBER('Council Entry'!AA$9)),MAX(MIN('Council Entry'!AA137,'Council Entry'!AA$9),'Council Entry'!AA$8),'Council Entry'!AA137)),IF('Council Entry'!AA$4="Exponential",EXP(IF(AND(ISNUMBER('Council Entry'!AA$8),ISNUMBER('Council Entry'!AA$9)),MAX(MIN('Council Entry'!AA137,'Council Entry'!AA$9),'Council Entry'!AA$8),'Council Entry'!AA137)),IF(AND(ISNUMBER('Council Entry'!AA$8),ISNUMBER('Council Entry'!AA$9)),MAX(MIN('Council Entry'!AA137,'Council Entry'!AA$9),'Council Entry'!AA$8),'Council Entry'!AA137))))-'Council Entry'!AA$5)/('Council Entry'!AA$6-'Council Entry'!AA$5)),1))),"No data"))</f>
        <v/>
      </c>
      <c r="AB137" s="13">
        <f>IF('Council Entry'!AB137="","",IFERROR(MAX(0,MIN(10,ROUND(IF('Council Entry'!AB$7="Decrease Risk",10-10*((IF('Council Entry'!AB$4="Logarithm",LN(0.001+IF(AND(ISNUMBER('Council Entry'!AB$8),ISNUMBER('Council Entry'!AB$9)),MAX(MIN('Council Entry'!AB137,'Council Entry'!AB$9),'Council Entry'!AB$8),'Council Entry'!AB137)),IF('Council Entry'!AB$4="Exponential",EXP(IF(AND(ISNUMBER('Council Entry'!AB$8),ISNUMBER('Council Entry'!AB$9)),MAX(MIN('Council Entry'!AB137,'Council Entry'!AB$9),'Council Entry'!AB$8),'Council Entry'!AB137)),IF(AND(ISNUMBER('Council Entry'!AB$8),ISNUMBER('Council Entry'!AB$9)),MAX(MIN('Council Entry'!AB137,'Council Entry'!AB$9),'Council Entry'!AB$8),'Council Entry'!AB137))))-'Council Entry'!AB$5)/('Council Entry'!AB$6-'Council Entry'!AB$5),10*((IF('Council Entry'!AB$4="Logarithm",LN(0.001+IF(AND(ISNUMBER('Council Entry'!AB$8),ISNUMBER('Council Entry'!AB$9)),MAX(MIN('Council Entry'!AB137,'Council Entry'!AB$9),'Council Entry'!AB$8),'Council Entry'!AB137)),IF('Council Entry'!AB$4="Exponential",EXP(IF(AND(ISNUMBER('Council Entry'!AB$8),ISNUMBER('Council Entry'!AB$9)),MAX(MIN('Council Entry'!AB137,'Council Entry'!AB$9),'Council Entry'!AB$8),'Council Entry'!AB137)),IF(AND(ISNUMBER('Council Entry'!AB$8),ISNUMBER('Council Entry'!AB$9)),MAX(MIN('Council Entry'!AB137,'Council Entry'!AB$9),'Council Entry'!AB$8),'Council Entry'!AB137))))-'Council Entry'!AB$5)/('Council Entry'!AB$6-'Council Entry'!AB$5)),1))),"No data"))</f>
        <v/>
      </c>
      <c r="AC137" s="13">
        <f>IF('Council Entry'!AC137="","",IFERROR(MAX(0,MIN(10,ROUND(IF('Council Entry'!AC$7="Decrease Risk",10-10*((IF('Council Entry'!AC$4="Logarithm",LN(0.001+IF(AND(ISNUMBER('Council Entry'!AC$8),ISNUMBER('Council Entry'!AC$9)),MAX(MIN('Council Entry'!AC137,'Council Entry'!AC$9),'Council Entry'!AC$8),'Council Entry'!AC137)),IF('Council Entry'!AC$4="Exponential",EXP(IF(AND(ISNUMBER('Council Entry'!AC$8),ISNUMBER('Council Entry'!AC$9)),MAX(MIN('Council Entry'!AC137,'Council Entry'!AC$9),'Council Entry'!AC$8),'Council Entry'!AC137)),IF(AND(ISNUMBER('Council Entry'!AC$8),ISNUMBER('Council Entry'!AC$9)),MAX(MIN('Council Entry'!AC137,'Council Entry'!AC$9),'Council Entry'!AC$8),'Council Entry'!AC137))))-'Council Entry'!AC$5)/('Council Entry'!AC$6-'Council Entry'!AC$5),10*((IF('Council Entry'!AC$4="Logarithm",LN(0.001+IF(AND(ISNUMBER('Council Entry'!AC$8),ISNUMBER('Council Entry'!AC$9)),MAX(MIN('Council Entry'!AC137,'Council Entry'!AC$9),'Council Entry'!AC$8),'Council Entry'!AC137)),IF('Council Entry'!AC$4="Exponential",EXP(IF(AND(ISNUMBER('Council Entry'!AC$8),ISNUMBER('Council Entry'!AC$9)),MAX(MIN('Council Entry'!AC137,'Council Entry'!AC$9),'Council Entry'!AC$8),'Council Entry'!AC137)),IF(AND(ISNUMBER('Council Entry'!AC$8),ISNUMBER('Council Entry'!AC$9)),MAX(MIN('Council Entry'!AC137,'Council Entry'!AC$9),'Council Entry'!AC$8),'Council Entry'!AC137))))-'Council Entry'!AC$5)/('Council Entry'!AC$6-'Council Entry'!AC$5)),1))),"No data"))</f>
        <v/>
      </c>
      <c r="AD137" s="13">
        <f>IF('Council Entry'!AD137="","",IFERROR(MAX(0,MIN(10,ROUND(IF('Council Entry'!AD$7="Decrease Risk",10-10*((IF('Council Entry'!AD$4="Logarithm",LN(0.001+IF(AND(ISNUMBER('Council Entry'!AD$8),ISNUMBER('Council Entry'!AD$9)),MAX(MIN('Council Entry'!AD137,'Council Entry'!AD$9),'Council Entry'!AD$8),'Council Entry'!AD137)),IF('Council Entry'!AD$4="Exponential",EXP(IF(AND(ISNUMBER('Council Entry'!AD$8),ISNUMBER('Council Entry'!AD$9)),MAX(MIN('Council Entry'!AD137,'Council Entry'!AD$9),'Council Entry'!AD$8),'Council Entry'!AD137)),IF(AND(ISNUMBER('Council Entry'!AD$8),ISNUMBER('Council Entry'!AD$9)),MAX(MIN('Council Entry'!AD137,'Council Entry'!AD$9),'Council Entry'!AD$8),'Council Entry'!AD137))))-'Council Entry'!AD$5)/('Council Entry'!AD$6-'Council Entry'!AD$5),10*((IF('Council Entry'!AD$4="Logarithm",LN(0.001+IF(AND(ISNUMBER('Council Entry'!AD$8),ISNUMBER('Council Entry'!AD$9)),MAX(MIN('Council Entry'!AD137,'Council Entry'!AD$9),'Council Entry'!AD$8),'Council Entry'!AD137)),IF('Council Entry'!AD$4="Exponential",EXP(IF(AND(ISNUMBER('Council Entry'!AD$8),ISNUMBER('Council Entry'!AD$9)),MAX(MIN('Council Entry'!AD137,'Council Entry'!AD$9),'Council Entry'!AD$8),'Council Entry'!AD137)),IF(AND(ISNUMBER('Council Entry'!AD$8),ISNUMBER('Council Entry'!AD$9)),MAX(MIN('Council Entry'!AD137,'Council Entry'!AD$9),'Council Entry'!AD$8),'Council Entry'!AD137))))-'Council Entry'!AD$5)/('Council Entry'!AD$6-'Council Entry'!AD$5)),1))),"No data"))</f>
        <v/>
      </c>
      <c r="AE137" s="13">
        <f>IF('Council Entry'!AE137="","",IFERROR(MAX(0,MIN(10,ROUND(IF('Council Entry'!AE$7="Decrease Risk",10-10*((IF('Council Entry'!AE$4="Logarithm",LN(0.001+IF(AND(ISNUMBER('Council Entry'!AE$8),ISNUMBER('Council Entry'!AE$9)),MAX(MIN('Council Entry'!AE137,'Council Entry'!AE$9),'Council Entry'!AE$8),'Council Entry'!AE137)),IF('Council Entry'!AE$4="Exponential",EXP(IF(AND(ISNUMBER('Council Entry'!AE$8),ISNUMBER('Council Entry'!AE$9)),MAX(MIN('Council Entry'!AE137,'Council Entry'!AE$9),'Council Entry'!AE$8),'Council Entry'!AE137)),IF(AND(ISNUMBER('Council Entry'!AE$8),ISNUMBER('Council Entry'!AE$9)),MAX(MIN('Council Entry'!AE137,'Council Entry'!AE$9),'Council Entry'!AE$8),'Council Entry'!AE137))))-'Council Entry'!AE$5)/('Council Entry'!AE$6-'Council Entry'!AE$5),10*((IF('Council Entry'!AE$4="Logarithm",LN(0.001+IF(AND(ISNUMBER('Council Entry'!AE$8),ISNUMBER('Council Entry'!AE$9)),MAX(MIN('Council Entry'!AE137,'Council Entry'!AE$9),'Council Entry'!AE$8),'Council Entry'!AE137)),IF('Council Entry'!AE$4="Exponential",EXP(IF(AND(ISNUMBER('Council Entry'!AE$8),ISNUMBER('Council Entry'!AE$9)),MAX(MIN('Council Entry'!AE137,'Council Entry'!AE$9),'Council Entry'!AE$8),'Council Entry'!AE137)),IF(AND(ISNUMBER('Council Entry'!AE$8),ISNUMBER('Council Entry'!AE$9)),MAX(MIN('Council Entry'!AE137,'Council Entry'!AE$9),'Council Entry'!AE$8),'Council Entry'!AE137))))-'Council Entry'!AE$5)/('Council Entry'!AE$6-'Council Entry'!AE$5)),1))),"No data"))</f>
        <v/>
      </c>
      <c r="AF137" s="13">
        <f>IF('Council Entry'!AF137="","",IFERROR(MAX(0,MIN(10,ROUND(IF('Council Entry'!AF$7="Decrease Risk",10-10*((IF('Council Entry'!AF$4="Logarithm",LN(0.001+IF(AND(ISNUMBER('Council Entry'!AF$8),ISNUMBER('Council Entry'!AF$9)),MAX(MIN('Council Entry'!AF137,'Council Entry'!AF$9),'Council Entry'!AF$8),'Council Entry'!AF137)),IF('Council Entry'!AF$4="Exponential",EXP(IF(AND(ISNUMBER('Council Entry'!AF$8),ISNUMBER('Council Entry'!AF$9)),MAX(MIN('Council Entry'!AF137,'Council Entry'!AF$9),'Council Entry'!AF$8),'Council Entry'!AF137)),IF(AND(ISNUMBER('Council Entry'!AF$8),ISNUMBER('Council Entry'!AF$9)),MAX(MIN('Council Entry'!AF137,'Council Entry'!AF$9),'Council Entry'!AF$8),'Council Entry'!AF137))))-'Council Entry'!AF$5)/('Council Entry'!AF$6-'Council Entry'!AF$5),10*((IF('Council Entry'!AF$4="Logarithm",LN(0.001+IF(AND(ISNUMBER('Council Entry'!AF$8),ISNUMBER('Council Entry'!AF$9)),MAX(MIN('Council Entry'!AF137,'Council Entry'!AF$9),'Council Entry'!AF$8),'Council Entry'!AF137)),IF('Council Entry'!AF$4="Exponential",EXP(IF(AND(ISNUMBER('Council Entry'!AF$8),ISNUMBER('Council Entry'!AF$9)),MAX(MIN('Council Entry'!AF137,'Council Entry'!AF$9),'Council Entry'!AF$8),'Council Entry'!AF137)),IF(AND(ISNUMBER('Council Entry'!AF$8),ISNUMBER('Council Entry'!AF$9)),MAX(MIN('Council Entry'!AF137,'Council Entry'!AF$9),'Council Entry'!AF$8),'Council Entry'!AF137))))-'Council Entry'!AF$5)/('Council Entry'!AF$6-'Council Entry'!AF$5)),1))),"No data"))</f>
        <v/>
      </c>
      <c r="AG137" s="13">
        <f>IF('Council Entry'!AG137="","",IFERROR(MAX(0,MIN(10,ROUND(IF('Council Entry'!AG$7="Decrease Risk",10-10*((IF('Council Entry'!AG$4="Logarithm",LN(0.001+IF(AND(ISNUMBER('Council Entry'!AG$8),ISNUMBER('Council Entry'!AG$9)),MAX(MIN('Council Entry'!AG137,'Council Entry'!AG$9),'Council Entry'!AG$8),'Council Entry'!AG137)),IF('Council Entry'!AG$4="Exponential",EXP(IF(AND(ISNUMBER('Council Entry'!AG$8),ISNUMBER('Council Entry'!AG$9)),MAX(MIN('Council Entry'!AG137,'Council Entry'!AG$9),'Council Entry'!AG$8),'Council Entry'!AG137)),IF(AND(ISNUMBER('Council Entry'!AG$8),ISNUMBER('Council Entry'!AG$9)),MAX(MIN('Council Entry'!AG137,'Council Entry'!AG$9),'Council Entry'!AG$8),'Council Entry'!AG137))))-'Council Entry'!AG$5)/('Council Entry'!AG$6-'Council Entry'!AG$5),10*((IF('Council Entry'!AG$4="Logarithm",LN(0.001+IF(AND(ISNUMBER('Council Entry'!AG$8),ISNUMBER('Council Entry'!AG$9)),MAX(MIN('Council Entry'!AG137,'Council Entry'!AG$9),'Council Entry'!AG$8),'Council Entry'!AG137)),IF('Council Entry'!AG$4="Exponential",EXP(IF(AND(ISNUMBER('Council Entry'!AG$8),ISNUMBER('Council Entry'!AG$9)),MAX(MIN('Council Entry'!AG137,'Council Entry'!AG$9),'Council Entry'!AG$8),'Council Entry'!AG137)),IF(AND(ISNUMBER('Council Entry'!AG$8),ISNUMBER('Council Entry'!AG$9)),MAX(MIN('Council Entry'!AG137,'Council Entry'!AG$9),'Council Entry'!AG$8),'Council Entry'!AG137))))-'Council Entry'!AG$5)/('Council Entry'!AG$6-'Council Entry'!AG$5)),1))),"No data"))</f>
        <v/>
      </c>
      <c r="AH137" s="13">
        <f>IF('Council Entry'!AH137="","",IFERROR(MAX(0,MIN(10,ROUND(IF('Council Entry'!AH$7="Decrease Risk",10-10*((IF('Council Entry'!AH$4="Logarithm",LN(0.001+IF(AND(ISNUMBER('Council Entry'!AH$8),ISNUMBER('Council Entry'!AH$9)),MAX(MIN('Council Entry'!AH137,'Council Entry'!AH$9),'Council Entry'!AH$8),'Council Entry'!AH137)),IF('Council Entry'!AH$4="Exponential",EXP(IF(AND(ISNUMBER('Council Entry'!AH$8),ISNUMBER('Council Entry'!AH$9)),MAX(MIN('Council Entry'!AH137,'Council Entry'!AH$9),'Council Entry'!AH$8),'Council Entry'!AH137)),IF(AND(ISNUMBER('Council Entry'!AH$8),ISNUMBER('Council Entry'!AH$9)),MAX(MIN('Council Entry'!AH137,'Council Entry'!AH$9),'Council Entry'!AH$8),'Council Entry'!AH137))))-'Council Entry'!AH$5)/('Council Entry'!AH$6-'Council Entry'!AH$5),10*((IF('Council Entry'!AH$4="Logarithm",LN(0.001+IF(AND(ISNUMBER('Council Entry'!AH$8),ISNUMBER('Council Entry'!AH$9)),MAX(MIN('Council Entry'!AH137,'Council Entry'!AH$9),'Council Entry'!AH$8),'Council Entry'!AH137)),IF('Council Entry'!AH$4="Exponential",EXP(IF(AND(ISNUMBER('Council Entry'!AH$8),ISNUMBER('Council Entry'!AH$9)),MAX(MIN('Council Entry'!AH137,'Council Entry'!AH$9),'Council Entry'!AH$8),'Council Entry'!AH137)),IF(AND(ISNUMBER('Council Entry'!AH$8),ISNUMBER('Council Entry'!AH$9)),MAX(MIN('Council Entry'!AH137,'Council Entry'!AH$9),'Council Entry'!AH$8),'Council Entry'!AH137))))-'Council Entry'!AH$5)/('Council Entry'!AH$6-'Council Entry'!AH$5)),1))),"No data"))</f>
        <v/>
      </c>
      <c r="AI137" s="13">
        <f>IF('Council Entry'!AI137="","",IFERROR(MAX(0,MIN(10,ROUND(IF('Council Entry'!AI$7="Decrease Risk",10-10*((IF('Council Entry'!AI$4="Logarithm",LN(0.001+IF(AND(ISNUMBER('Council Entry'!AI$8),ISNUMBER('Council Entry'!AI$9)),MAX(MIN('Council Entry'!AI137,'Council Entry'!AI$9),'Council Entry'!AI$8),'Council Entry'!AI137)),IF('Council Entry'!AI$4="Exponential",EXP(IF(AND(ISNUMBER('Council Entry'!AI$8),ISNUMBER('Council Entry'!AI$9)),MAX(MIN('Council Entry'!AI137,'Council Entry'!AI$9),'Council Entry'!AI$8),'Council Entry'!AI137)),IF(AND(ISNUMBER('Council Entry'!AI$8),ISNUMBER('Council Entry'!AI$9)),MAX(MIN('Council Entry'!AI137,'Council Entry'!AI$9),'Council Entry'!AI$8),'Council Entry'!AI137))))-'Council Entry'!AI$5)/('Council Entry'!AI$6-'Council Entry'!AI$5),10*((IF('Council Entry'!AI$4="Logarithm",LN(0.001+IF(AND(ISNUMBER('Council Entry'!AI$8),ISNUMBER('Council Entry'!AI$9)),MAX(MIN('Council Entry'!AI137,'Council Entry'!AI$9),'Council Entry'!AI$8),'Council Entry'!AI137)),IF('Council Entry'!AI$4="Exponential",EXP(IF(AND(ISNUMBER('Council Entry'!AI$8),ISNUMBER('Council Entry'!AI$9)),MAX(MIN('Council Entry'!AI137,'Council Entry'!AI$9),'Council Entry'!AI$8),'Council Entry'!AI137)),IF(AND(ISNUMBER('Council Entry'!AI$8),ISNUMBER('Council Entry'!AI$9)),MAX(MIN('Council Entry'!AI137,'Council Entry'!AI$9),'Council Entry'!AI$8),'Council Entry'!AI137))))-'Council Entry'!AI$5)/('Council Entry'!AI$6-'Council Entry'!AI$5)),1))),"No data"))</f>
        <v/>
      </c>
      <c r="AJ137" s="13">
        <f>IF('Council Entry'!AJ137="","",IFERROR(MAX(0,MIN(10,ROUND(IF('Council Entry'!AJ$7="Decrease Risk",10-10*((IF('Council Entry'!AJ$4="Logarithm",LN(0.001+IF(AND(ISNUMBER('Council Entry'!AJ$8),ISNUMBER('Council Entry'!AJ$9)),MAX(MIN('Council Entry'!AJ137,'Council Entry'!AJ$9),'Council Entry'!AJ$8),'Council Entry'!AJ137)),IF('Council Entry'!AJ$4="Exponential",EXP(IF(AND(ISNUMBER('Council Entry'!AJ$8),ISNUMBER('Council Entry'!AJ$9)),MAX(MIN('Council Entry'!AJ137,'Council Entry'!AJ$9),'Council Entry'!AJ$8),'Council Entry'!AJ137)),IF(AND(ISNUMBER('Council Entry'!AJ$8),ISNUMBER('Council Entry'!AJ$9)),MAX(MIN('Council Entry'!AJ137,'Council Entry'!AJ$9),'Council Entry'!AJ$8),'Council Entry'!AJ137))))-'Council Entry'!AJ$5)/('Council Entry'!AJ$6-'Council Entry'!AJ$5),10*((IF('Council Entry'!AJ$4="Logarithm",LN(0.001+IF(AND(ISNUMBER('Council Entry'!AJ$8),ISNUMBER('Council Entry'!AJ$9)),MAX(MIN('Council Entry'!AJ137,'Council Entry'!AJ$9),'Council Entry'!AJ$8),'Council Entry'!AJ137)),IF('Council Entry'!AJ$4="Exponential",EXP(IF(AND(ISNUMBER('Council Entry'!AJ$8),ISNUMBER('Council Entry'!AJ$9)),MAX(MIN('Council Entry'!AJ137,'Council Entry'!AJ$9),'Council Entry'!AJ$8),'Council Entry'!AJ137)),IF(AND(ISNUMBER('Council Entry'!AJ$8),ISNUMBER('Council Entry'!AJ$9)),MAX(MIN('Council Entry'!AJ137,'Council Entry'!AJ$9),'Council Entry'!AJ$8),'Council Entry'!AJ137))))-'Council Entry'!AJ$5)/('Council Entry'!AJ$6-'Council Entry'!AJ$5)),1))),"No data"))</f>
        <v/>
      </c>
      <c r="AK137" s="13">
        <f>IF('Council Entry'!AK137="","",IFERROR(MAX(0,MIN(10,ROUND(IF('Council Entry'!AK$7="Decrease Risk",10-10*((IF('Council Entry'!AK$4="Logarithm",LN(0.001+IF(AND(ISNUMBER('Council Entry'!AK$8),ISNUMBER('Council Entry'!AK$9)),MAX(MIN('Council Entry'!AK137,'Council Entry'!AK$9),'Council Entry'!AK$8),'Council Entry'!AK137)),IF('Council Entry'!AK$4="Exponential",EXP(IF(AND(ISNUMBER('Council Entry'!AK$8),ISNUMBER('Council Entry'!AK$9)),MAX(MIN('Council Entry'!AK137,'Council Entry'!AK$9),'Council Entry'!AK$8),'Council Entry'!AK137)),IF(AND(ISNUMBER('Council Entry'!AK$8),ISNUMBER('Council Entry'!AK$9)),MAX(MIN('Council Entry'!AK137,'Council Entry'!AK$9),'Council Entry'!AK$8),'Council Entry'!AK137))))-'Council Entry'!AK$5)/('Council Entry'!AK$6-'Council Entry'!AK$5),10*((IF('Council Entry'!AK$4="Logarithm",LN(0.001+IF(AND(ISNUMBER('Council Entry'!AK$8),ISNUMBER('Council Entry'!AK$9)),MAX(MIN('Council Entry'!AK137,'Council Entry'!AK$9),'Council Entry'!AK$8),'Council Entry'!AK137)),IF('Council Entry'!AK$4="Exponential",EXP(IF(AND(ISNUMBER('Council Entry'!AK$8),ISNUMBER('Council Entry'!AK$9)),MAX(MIN('Council Entry'!AK137,'Council Entry'!AK$9),'Council Entry'!AK$8),'Council Entry'!AK137)),IF(AND(ISNUMBER('Council Entry'!AK$8),ISNUMBER('Council Entry'!AK$9)),MAX(MIN('Council Entry'!AK137,'Council Entry'!AK$9),'Council Entry'!AK$8),'Council Entry'!AK137))))-'Council Entry'!AK$5)/('Council Entry'!AK$6-'Council Entry'!AK$5)),1))),"No data"))</f>
        <v/>
      </c>
      <c r="AL137" s="13">
        <f>IF('Council Entry'!AL137="","",IFERROR(MAX(0,MIN(10,ROUND(IF('Council Entry'!AL$7="Decrease Risk",10-10*((IF('Council Entry'!AL$4="Logarithm",LN(0.001+IF(AND(ISNUMBER('Council Entry'!AL$8),ISNUMBER('Council Entry'!AL$9)),MAX(MIN('Council Entry'!AL137,'Council Entry'!AL$9),'Council Entry'!AL$8),'Council Entry'!AL137)),IF('Council Entry'!AL$4="Exponential",EXP(IF(AND(ISNUMBER('Council Entry'!AL$8),ISNUMBER('Council Entry'!AL$9)),MAX(MIN('Council Entry'!AL137,'Council Entry'!AL$9),'Council Entry'!AL$8),'Council Entry'!AL137)),IF(AND(ISNUMBER('Council Entry'!AL$8),ISNUMBER('Council Entry'!AL$9)),MAX(MIN('Council Entry'!AL137,'Council Entry'!AL$9),'Council Entry'!AL$8),'Council Entry'!AL137))))-'Council Entry'!AL$5)/('Council Entry'!AL$6-'Council Entry'!AL$5),10*((IF('Council Entry'!AL$4="Logarithm",LN(0.001+IF(AND(ISNUMBER('Council Entry'!AL$8),ISNUMBER('Council Entry'!AL$9)),MAX(MIN('Council Entry'!AL137,'Council Entry'!AL$9),'Council Entry'!AL$8),'Council Entry'!AL137)),IF('Council Entry'!AL$4="Exponential",EXP(IF(AND(ISNUMBER('Council Entry'!AL$8),ISNUMBER('Council Entry'!AL$9)),MAX(MIN('Council Entry'!AL137,'Council Entry'!AL$9),'Council Entry'!AL$8),'Council Entry'!AL137)),IF(AND(ISNUMBER('Council Entry'!AL$8),ISNUMBER('Council Entry'!AL$9)),MAX(MIN('Council Entry'!AL137,'Council Entry'!AL$9),'Council Entry'!AL$8),'Council Entry'!AL137))))-'Council Entry'!AL$5)/('Council Entry'!AL$6-'Council Entry'!AL$5)),1))),"No data"))</f>
        <v/>
      </c>
      <c r="AM137" s="13">
        <f>IF('Council Entry'!AM137="","",IFERROR(MAX(0,MIN(10,ROUND(IF('Council Entry'!AM$7="Decrease Risk",10-10*((IF('Council Entry'!AM$4="Logarithm",LN(0.001+IF(AND(ISNUMBER('Council Entry'!AM$8),ISNUMBER('Council Entry'!AM$9)),MAX(MIN('Council Entry'!AM137,'Council Entry'!AM$9),'Council Entry'!AM$8),'Council Entry'!AM137)),IF('Council Entry'!AM$4="Exponential",EXP(IF(AND(ISNUMBER('Council Entry'!AM$8),ISNUMBER('Council Entry'!AM$9)),MAX(MIN('Council Entry'!AM137,'Council Entry'!AM$9),'Council Entry'!AM$8),'Council Entry'!AM137)),IF(AND(ISNUMBER('Council Entry'!AM$8),ISNUMBER('Council Entry'!AM$9)),MAX(MIN('Council Entry'!AM137,'Council Entry'!AM$9),'Council Entry'!AM$8),'Council Entry'!AM137))))-'Council Entry'!AM$5)/('Council Entry'!AM$6-'Council Entry'!AM$5),10*((IF('Council Entry'!AM$4="Logarithm",LN(0.001+IF(AND(ISNUMBER('Council Entry'!AM$8),ISNUMBER('Council Entry'!AM$9)),MAX(MIN('Council Entry'!AM137,'Council Entry'!AM$9),'Council Entry'!AM$8),'Council Entry'!AM137)),IF('Council Entry'!AM$4="Exponential",EXP(IF(AND(ISNUMBER('Council Entry'!AM$8),ISNUMBER('Council Entry'!AM$9)),MAX(MIN('Council Entry'!AM137,'Council Entry'!AM$9),'Council Entry'!AM$8),'Council Entry'!AM137)),IF(AND(ISNUMBER('Council Entry'!AM$8),ISNUMBER('Council Entry'!AM$9)),MAX(MIN('Council Entry'!AM137,'Council Entry'!AM$9),'Council Entry'!AM$8),'Council Entry'!AM137))))-'Council Entry'!AM$5)/('Council Entry'!AM$6-'Council Entry'!AM$5)),1))),"No data"))</f>
        <v/>
      </c>
      <c r="AN137" s="13">
        <f>IF('Council Entry'!AN137="","",IFERROR(MAX(0,MIN(10,ROUND(IF('Council Entry'!AN$7="Decrease Risk",10-10*((IF('Council Entry'!AN$4="Logarithm",LN(0.001+IF(AND(ISNUMBER('Council Entry'!AN$8),ISNUMBER('Council Entry'!AN$9)),MAX(MIN('Council Entry'!AN137,'Council Entry'!AN$9),'Council Entry'!AN$8),'Council Entry'!AN137)),IF('Council Entry'!AN$4="Exponential",EXP(IF(AND(ISNUMBER('Council Entry'!AN$8),ISNUMBER('Council Entry'!AN$9)),MAX(MIN('Council Entry'!AN137,'Council Entry'!AN$9),'Council Entry'!AN$8),'Council Entry'!AN137)),IF(AND(ISNUMBER('Council Entry'!AN$8),ISNUMBER('Council Entry'!AN$9)),MAX(MIN('Council Entry'!AN137,'Council Entry'!AN$9),'Council Entry'!AN$8),'Council Entry'!AN137))))-'Council Entry'!AN$5)/('Council Entry'!AN$6-'Council Entry'!AN$5),10*((IF('Council Entry'!AN$4="Logarithm",LN(0.001+IF(AND(ISNUMBER('Council Entry'!AN$8),ISNUMBER('Council Entry'!AN$9)),MAX(MIN('Council Entry'!AN137,'Council Entry'!AN$9),'Council Entry'!AN$8),'Council Entry'!AN137)),IF('Council Entry'!AN$4="Exponential",EXP(IF(AND(ISNUMBER('Council Entry'!AN$8),ISNUMBER('Council Entry'!AN$9)),MAX(MIN('Council Entry'!AN137,'Council Entry'!AN$9),'Council Entry'!AN$8),'Council Entry'!AN137)),IF(AND(ISNUMBER('Council Entry'!AN$8),ISNUMBER('Council Entry'!AN$9)),MAX(MIN('Council Entry'!AN137,'Council Entry'!AN$9),'Council Entry'!AN$8),'Council Entry'!AN137))))-'Council Entry'!AN$5)/('Council Entry'!AN$6-'Council Entry'!AN$5)),1))),"No data"))</f>
        <v/>
      </c>
      <c r="AO137" s="13">
        <f>IF('Council Entry'!AO137="","",IFERROR(MAX(0,MIN(10,ROUND(IF('Council Entry'!AO$7="Decrease Risk",10-10*((IF('Council Entry'!AO$4="Logarithm",LN(0.001+IF(AND(ISNUMBER('Council Entry'!AO$8),ISNUMBER('Council Entry'!AO$9)),MAX(MIN('Council Entry'!AO137,'Council Entry'!AO$9),'Council Entry'!AO$8),'Council Entry'!AO137)),IF('Council Entry'!AO$4="Exponential",EXP(IF(AND(ISNUMBER('Council Entry'!AO$8),ISNUMBER('Council Entry'!AO$9)),MAX(MIN('Council Entry'!AO137,'Council Entry'!AO$9),'Council Entry'!AO$8),'Council Entry'!AO137)),IF(AND(ISNUMBER('Council Entry'!AO$8),ISNUMBER('Council Entry'!AO$9)),MAX(MIN('Council Entry'!AO137,'Council Entry'!AO$9),'Council Entry'!AO$8),'Council Entry'!AO137))))-'Council Entry'!AO$5)/('Council Entry'!AO$6-'Council Entry'!AO$5),10*((IF('Council Entry'!AO$4="Logarithm",LN(0.001+IF(AND(ISNUMBER('Council Entry'!AO$8),ISNUMBER('Council Entry'!AO$9)),MAX(MIN('Council Entry'!AO137,'Council Entry'!AO$9),'Council Entry'!AO$8),'Council Entry'!AO137)),IF('Council Entry'!AO$4="Exponential",EXP(IF(AND(ISNUMBER('Council Entry'!AO$8),ISNUMBER('Council Entry'!AO$9)),MAX(MIN('Council Entry'!AO137,'Council Entry'!AO$9),'Council Entry'!AO$8),'Council Entry'!AO137)),IF(AND(ISNUMBER('Council Entry'!AO$8),ISNUMBER('Council Entry'!AO$9)),MAX(MIN('Council Entry'!AO137,'Council Entry'!AO$9),'Council Entry'!AO$8),'Council Entry'!AO137))))-'Council Entry'!AO$5)/('Council Entry'!AO$6-'Council Entry'!AO$5)),1))),"No data"))</f>
        <v/>
      </c>
      <c r="AP137" s="13">
        <f>IF('Council Entry'!AP137="","",IFERROR(MAX(0,MIN(10,ROUND(IF('Council Entry'!AP$7="Decrease Risk",10-10*((IF('Council Entry'!AP$4="Logarithm",LN(0.001+IF(AND(ISNUMBER('Council Entry'!AP$8),ISNUMBER('Council Entry'!AP$9)),MAX(MIN('Council Entry'!AP137,'Council Entry'!AP$9),'Council Entry'!AP$8),'Council Entry'!AP137)),IF('Council Entry'!AP$4="Exponential",EXP(IF(AND(ISNUMBER('Council Entry'!AP$8),ISNUMBER('Council Entry'!AP$9)),MAX(MIN('Council Entry'!AP137,'Council Entry'!AP$9),'Council Entry'!AP$8),'Council Entry'!AP137)),IF(AND(ISNUMBER('Council Entry'!AP$8),ISNUMBER('Council Entry'!AP$9)),MAX(MIN('Council Entry'!AP137,'Council Entry'!AP$9),'Council Entry'!AP$8),'Council Entry'!AP137))))-'Council Entry'!AP$5)/('Council Entry'!AP$6-'Council Entry'!AP$5),10*((IF('Council Entry'!AP$4="Logarithm",LN(0.001+IF(AND(ISNUMBER('Council Entry'!AP$8),ISNUMBER('Council Entry'!AP$9)),MAX(MIN('Council Entry'!AP137,'Council Entry'!AP$9),'Council Entry'!AP$8),'Council Entry'!AP137)),IF('Council Entry'!AP$4="Exponential",EXP(IF(AND(ISNUMBER('Council Entry'!AP$8),ISNUMBER('Council Entry'!AP$9)),MAX(MIN('Council Entry'!AP137,'Council Entry'!AP$9),'Council Entry'!AP$8),'Council Entry'!AP137)),IF(AND(ISNUMBER('Council Entry'!AP$8),ISNUMBER('Council Entry'!AP$9)),MAX(MIN('Council Entry'!AP137,'Council Entry'!AP$9),'Council Entry'!AP$8),'Council Entry'!AP137))))-'Council Entry'!AP$5)/('Council Entry'!AP$6-'Council Entry'!AP$5)),1))),"No data"))</f>
        <v/>
      </c>
      <c r="AQ137" s="13">
        <f>IF('Council Entry'!AQ137="","",IFERROR(MAX(0,MIN(10,ROUND(IF('Council Entry'!AQ$7="Decrease Risk",10-10*((IF('Council Entry'!AQ$4="Logarithm",LN(0.001+IF(AND(ISNUMBER('Council Entry'!AQ$8),ISNUMBER('Council Entry'!AQ$9)),MAX(MIN('Council Entry'!AQ137,'Council Entry'!AQ$9),'Council Entry'!AQ$8),'Council Entry'!AQ137)),IF('Council Entry'!AQ$4="Exponential",EXP(IF(AND(ISNUMBER('Council Entry'!AQ$8),ISNUMBER('Council Entry'!AQ$9)),MAX(MIN('Council Entry'!AQ137,'Council Entry'!AQ$9),'Council Entry'!AQ$8),'Council Entry'!AQ137)),IF(AND(ISNUMBER('Council Entry'!AQ$8),ISNUMBER('Council Entry'!AQ$9)),MAX(MIN('Council Entry'!AQ137,'Council Entry'!AQ$9),'Council Entry'!AQ$8),'Council Entry'!AQ137))))-'Council Entry'!AQ$5)/('Council Entry'!AQ$6-'Council Entry'!AQ$5),10*((IF('Council Entry'!AQ$4="Logarithm",LN(0.001+IF(AND(ISNUMBER('Council Entry'!AQ$8),ISNUMBER('Council Entry'!AQ$9)),MAX(MIN('Council Entry'!AQ137,'Council Entry'!AQ$9),'Council Entry'!AQ$8),'Council Entry'!AQ137)),IF('Council Entry'!AQ$4="Exponential",EXP(IF(AND(ISNUMBER('Council Entry'!AQ$8),ISNUMBER('Council Entry'!AQ$9)),MAX(MIN('Council Entry'!AQ137,'Council Entry'!AQ$9),'Council Entry'!AQ$8),'Council Entry'!AQ137)),IF(AND(ISNUMBER('Council Entry'!AQ$8),ISNUMBER('Council Entry'!AQ$9)),MAX(MIN('Council Entry'!AQ137,'Council Entry'!AQ$9),'Council Entry'!AQ$8),'Council Entry'!AQ137))))-'Council Entry'!AQ$5)/('Council Entry'!AQ$6-'Council Entry'!AQ$5)),1))),"No data"))</f>
        <v/>
      </c>
      <c r="AR137" s="13">
        <f>IF('Council Entry'!AR137="","",IFERROR(MAX(0,MIN(10,ROUND(IF('Council Entry'!AR$7="Decrease Risk",10-10*((IF('Council Entry'!AR$4="Logarithm",LN(0.001+IF(AND(ISNUMBER('Council Entry'!AR$8),ISNUMBER('Council Entry'!AR$9)),MAX(MIN('Council Entry'!AR137,'Council Entry'!AR$9),'Council Entry'!AR$8),'Council Entry'!AR137)),IF('Council Entry'!AR$4="Exponential",EXP(IF(AND(ISNUMBER('Council Entry'!AR$8),ISNUMBER('Council Entry'!AR$9)),MAX(MIN('Council Entry'!AR137,'Council Entry'!AR$9),'Council Entry'!AR$8),'Council Entry'!AR137)),IF(AND(ISNUMBER('Council Entry'!AR$8),ISNUMBER('Council Entry'!AR$9)),MAX(MIN('Council Entry'!AR137,'Council Entry'!AR$9),'Council Entry'!AR$8),'Council Entry'!AR137))))-'Council Entry'!AR$5)/('Council Entry'!AR$6-'Council Entry'!AR$5),10*((IF('Council Entry'!AR$4="Logarithm",LN(0.001+IF(AND(ISNUMBER('Council Entry'!AR$8),ISNUMBER('Council Entry'!AR$9)),MAX(MIN('Council Entry'!AR137,'Council Entry'!AR$9),'Council Entry'!AR$8),'Council Entry'!AR137)),IF('Council Entry'!AR$4="Exponential",EXP(IF(AND(ISNUMBER('Council Entry'!AR$8),ISNUMBER('Council Entry'!AR$9)),MAX(MIN('Council Entry'!AR137,'Council Entry'!AR$9),'Council Entry'!AR$8),'Council Entry'!AR137)),IF(AND(ISNUMBER('Council Entry'!AR$8),ISNUMBER('Council Entry'!AR$9)),MAX(MIN('Council Entry'!AR137,'Council Entry'!AR$9),'Council Entry'!AR$8),'Council Entry'!AR137))))-'Council Entry'!AR$5)/('Council Entry'!AR$6-'Council Entry'!AR$5)),1))),"No data"))</f>
        <v/>
      </c>
      <c r="AS137" s="13">
        <f>IF('Council Entry'!AS137="","",IFERROR(MAX(0,MIN(10,ROUND(IF('Council Entry'!AS$7="Decrease Risk",10-10*((IF('Council Entry'!AS$4="Logarithm",LN(0.001+IF(AND(ISNUMBER('Council Entry'!AS$8),ISNUMBER('Council Entry'!AS$9)),MAX(MIN('Council Entry'!AS137,'Council Entry'!AS$9),'Council Entry'!AS$8),'Council Entry'!AS137)),IF('Council Entry'!AS$4="Exponential",EXP(IF(AND(ISNUMBER('Council Entry'!AS$8),ISNUMBER('Council Entry'!AS$9)),MAX(MIN('Council Entry'!AS137,'Council Entry'!AS$9),'Council Entry'!AS$8),'Council Entry'!AS137)),IF(AND(ISNUMBER('Council Entry'!AS$8),ISNUMBER('Council Entry'!AS$9)),MAX(MIN('Council Entry'!AS137,'Council Entry'!AS$9),'Council Entry'!AS$8),'Council Entry'!AS137))))-'Council Entry'!AS$5)/('Council Entry'!AS$6-'Council Entry'!AS$5),10*((IF('Council Entry'!AS$4="Logarithm",LN(0.001+IF(AND(ISNUMBER('Council Entry'!AS$8),ISNUMBER('Council Entry'!AS$9)),MAX(MIN('Council Entry'!AS137,'Council Entry'!AS$9),'Council Entry'!AS$8),'Council Entry'!AS137)),IF('Council Entry'!AS$4="Exponential",EXP(IF(AND(ISNUMBER('Council Entry'!AS$8),ISNUMBER('Council Entry'!AS$9)),MAX(MIN('Council Entry'!AS137,'Council Entry'!AS$9),'Council Entry'!AS$8),'Council Entry'!AS137)),IF(AND(ISNUMBER('Council Entry'!AS$8),ISNUMBER('Council Entry'!AS$9)),MAX(MIN('Council Entry'!AS137,'Council Entry'!AS$9),'Council Entry'!AS$8),'Council Entry'!AS137))))-'Council Entry'!AS$5)/('Council Entry'!AS$6-'Council Entry'!AS$5)),1))),"No data"))</f>
        <v/>
      </c>
      <c r="AT137" s="13">
        <f>IF('Council Entry'!AT137="","",IFERROR(MAX(0,MIN(10,ROUND(IF('Council Entry'!AT$7="Decrease Risk",10-10*((IF('Council Entry'!AT$4="Logarithm",LN(0.001+IF(AND(ISNUMBER('Council Entry'!AT$8),ISNUMBER('Council Entry'!AT$9)),MAX(MIN('Council Entry'!AT137,'Council Entry'!AT$9),'Council Entry'!AT$8),'Council Entry'!AT137)),IF('Council Entry'!AT$4="Exponential",EXP(IF(AND(ISNUMBER('Council Entry'!AT$8),ISNUMBER('Council Entry'!AT$9)),MAX(MIN('Council Entry'!AT137,'Council Entry'!AT$9),'Council Entry'!AT$8),'Council Entry'!AT137)),IF(AND(ISNUMBER('Council Entry'!AT$8),ISNUMBER('Council Entry'!AT$9)),MAX(MIN('Council Entry'!AT137,'Council Entry'!AT$9),'Council Entry'!AT$8),'Council Entry'!AT137))))-'Council Entry'!AT$5)/('Council Entry'!AT$6-'Council Entry'!AT$5),10*((IF('Council Entry'!AT$4="Logarithm",LN(0.001+IF(AND(ISNUMBER('Council Entry'!AT$8),ISNUMBER('Council Entry'!AT$9)),MAX(MIN('Council Entry'!AT137,'Council Entry'!AT$9),'Council Entry'!AT$8),'Council Entry'!AT137)),IF('Council Entry'!AT$4="Exponential",EXP(IF(AND(ISNUMBER('Council Entry'!AT$8),ISNUMBER('Council Entry'!AT$9)),MAX(MIN('Council Entry'!AT137,'Council Entry'!AT$9),'Council Entry'!AT$8),'Council Entry'!AT137)),IF(AND(ISNUMBER('Council Entry'!AT$8),ISNUMBER('Council Entry'!AT$9)),MAX(MIN('Council Entry'!AT137,'Council Entry'!AT$9),'Council Entry'!AT$8),'Council Entry'!AT137))))-'Council Entry'!AT$5)/('Council Entry'!AT$6-'Council Entry'!AT$5)),1))),"No data"))</f>
        <v/>
      </c>
      <c r="AU137" s="13">
        <f>IF('Council Entry'!AU137="","",IFERROR(MAX(0,MIN(10,ROUND(IF('Council Entry'!AU$7="Decrease Risk",10-10*((IF('Council Entry'!AU$4="Logarithm",LN(0.001+IF(AND(ISNUMBER('Council Entry'!AU$8),ISNUMBER('Council Entry'!AU$9)),MAX(MIN('Council Entry'!AU137,'Council Entry'!AU$9),'Council Entry'!AU$8),'Council Entry'!AU137)),IF('Council Entry'!AU$4="Exponential",EXP(IF(AND(ISNUMBER('Council Entry'!AU$8),ISNUMBER('Council Entry'!AU$9)),MAX(MIN('Council Entry'!AU137,'Council Entry'!AU$9),'Council Entry'!AU$8),'Council Entry'!AU137)),IF(AND(ISNUMBER('Council Entry'!AU$8),ISNUMBER('Council Entry'!AU$9)),MAX(MIN('Council Entry'!AU137,'Council Entry'!AU$9),'Council Entry'!AU$8),'Council Entry'!AU137))))-'Council Entry'!AU$5)/('Council Entry'!AU$6-'Council Entry'!AU$5),10*((IF('Council Entry'!AU$4="Logarithm",LN(0.001+IF(AND(ISNUMBER('Council Entry'!AU$8),ISNUMBER('Council Entry'!AU$9)),MAX(MIN('Council Entry'!AU137,'Council Entry'!AU$9),'Council Entry'!AU$8),'Council Entry'!AU137)),IF('Council Entry'!AU$4="Exponential",EXP(IF(AND(ISNUMBER('Council Entry'!AU$8),ISNUMBER('Council Entry'!AU$9)),MAX(MIN('Council Entry'!AU137,'Council Entry'!AU$9),'Council Entry'!AU$8),'Council Entry'!AU137)),IF(AND(ISNUMBER('Council Entry'!AU$8),ISNUMBER('Council Entry'!AU$9)),MAX(MIN('Council Entry'!AU137,'Council Entry'!AU$9),'Council Entry'!AU$8),'Council Entry'!AU137))))-'Council Entry'!AU$5)/('Council Entry'!AU$6-'Council Entry'!AU$5)),1))),"No data"))</f>
        <v/>
      </c>
      <c r="AV137" s="13">
        <f>IF('Council Entry'!AV137="","",IFERROR(MAX(0,MIN(10,ROUND(IF('Council Entry'!AV$7="Decrease Risk",10-10*((IF('Council Entry'!AV$4="Logarithm",LN(0.001+IF(AND(ISNUMBER('Council Entry'!AV$8),ISNUMBER('Council Entry'!AV$9)),MAX(MIN('Council Entry'!AV137,'Council Entry'!AV$9),'Council Entry'!AV$8),'Council Entry'!AV137)),IF('Council Entry'!AV$4="Exponential",EXP(IF(AND(ISNUMBER('Council Entry'!AV$8),ISNUMBER('Council Entry'!AV$9)),MAX(MIN('Council Entry'!AV137,'Council Entry'!AV$9),'Council Entry'!AV$8),'Council Entry'!AV137)),IF(AND(ISNUMBER('Council Entry'!AV$8),ISNUMBER('Council Entry'!AV$9)),MAX(MIN('Council Entry'!AV137,'Council Entry'!AV$9),'Council Entry'!AV$8),'Council Entry'!AV137))))-'Council Entry'!AV$5)/('Council Entry'!AV$6-'Council Entry'!AV$5),10*((IF('Council Entry'!AV$4="Logarithm",LN(0.001+IF(AND(ISNUMBER('Council Entry'!AV$8),ISNUMBER('Council Entry'!AV$9)),MAX(MIN('Council Entry'!AV137,'Council Entry'!AV$9),'Council Entry'!AV$8),'Council Entry'!AV137)),IF('Council Entry'!AV$4="Exponential",EXP(IF(AND(ISNUMBER('Council Entry'!AV$8),ISNUMBER('Council Entry'!AV$9)),MAX(MIN('Council Entry'!AV137,'Council Entry'!AV$9),'Council Entry'!AV$8),'Council Entry'!AV137)),IF(AND(ISNUMBER('Council Entry'!AV$8),ISNUMBER('Council Entry'!AV$9)),MAX(MIN('Council Entry'!AV137,'Council Entry'!AV$9),'Council Entry'!AV$8),'Council Entry'!AV137))))-'Council Entry'!AV$5)/('Council Entry'!AV$6-'Council Entry'!AV$5)),1))),"No data"))</f>
        <v/>
      </c>
      <c r="AW137" s="13">
        <f>IF('Council Entry'!AW137="","",IFERROR(MAX(0,MIN(10,ROUND(IF('Council Entry'!AW$7="Decrease Risk",10-10*((IF('Council Entry'!AW$4="Logarithm",LN(0.001+IF(AND(ISNUMBER('Council Entry'!AW$8),ISNUMBER('Council Entry'!AW$9)),MAX(MIN('Council Entry'!AW137,'Council Entry'!AW$9),'Council Entry'!AW$8),'Council Entry'!AW137)),IF('Council Entry'!AW$4="Exponential",EXP(IF(AND(ISNUMBER('Council Entry'!AW$8),ISNUMBER('Council Entry'!AW$9)),MAX(MIN('Council Entry'!AW137,'Council Entry'!AW$9),'Council Entry'!AW$8),'Council Entry'!AW137)),IF(AND(ISNUMBER('Council Entry'!AW$8),ISNUMBER('Council Entry'!AW$9)),MAX(MIN('Council Entry'!AW137,'Council Entry'!AW$9),'Council Entry'!AW$8),'Council Entry'!AW137))))-'Council Entry'!AW$5)/('Council Entry'!AW$6-'Council Entry'!AW$5),10*((IF('Council Entry'!AW$4="Logarithm",LN(0.001+IF(AND(ISNUMBER('Council Entry'!AW$8),ISNUMBER('Council Entry'!AW$9)),MAX(MIN('Council Entry'!AW137,'Council Entry'!AW$9),'Council Entry'!AW$8),'Council Entry'!AW137)),IF('Council Entry'!AW$4="Exponential",EXP(IF(AND(ISNUMBER('Council Entry'!AW$8),ISNUMBER('Council Entry'!AW$9)),MAX(MIN('Council Entry'!AW137,'Council Entry'!AW$9),'Council Entry'!AW$8),'Council Entry'!AW137)),IF(AND(ISNUMBER('Council Entry'!AW$8),ISNUMBER('Council Entry'!AW$9)),MAX(MIN('Council Entry'!AW137,'Council Entry'!AW$9),'Council Entry'!AW$8),'Council Entry'!AW137))))-'Council Entry'!AW$5)/('Council Entry'!AW$6-'Council Entry'!AW$5)),1))),"No data"))</f>
        <v/>
      </c>
      <c r="AX137" s="13">
        <f>IF('Council Entry'!AX137="","",IFERROR(MAX(0,MIN(10,ROUND(IF('Council Entry'!AX$7="Decrease Risk",10-10*((IF('Council Entry'!AX$4="Logarithm",LN(0.001+IF(AND(ISNUMBER('Council Entry'!AX$8),ISNUMBER('Council Entry'!AX$9)),MAX(MIN('Council Entry'!AX137,'Council Entry'!AX$9),'Council Entry'!AX$8),'Council Entry'!AX137)),IF('Council Entry'!AX$4="Exponential",EXP(IF(AND(ISNUMBER('Council Entry'!AX$8),ISNUMBER('Council Entry'!AX$9)),MAX(MIN('Council Entry'!AX137,'Council Entry'!AX$9),'Council Entry'!AX$8),'Council Entry'!AX137)),IF(AND(ISNUMBER('Council Entry'!AX$8),ISNUMBER('Council Entry'!AX$9)),MAX(MIN('Council Entry'!AX137,'Council Entry'!AX$9),'Council Entry'!AX$8),'Council Entry'!AX137))))-'Council Entry'!AX$5)/('Council Entry'!AX$6-'Council Entry'!AX$5),10*((IF('Council Entry'!AX$4="Logarithm",LN(0.001+IF(AND(ISNUMBER('Council Entry'!AX$8),ISNUMBER('Council Entry'!AX$9)),MAX(MIN('Council Entry'!AX137,'Council Entry'!AX$9),'Council Entry'!AX$8),'Council Entry'!AX137)),IF('Council Entry'!AX$4="Exponential",EXP(IF(AND(ISNUMBER('Council Entry'!AX$8),ISNUMBER('Council Entry'!AX$9)),MAX(MIN('Council Entry'!AX137,'Council Entry'!AX$9),'Council Entry'!AX$8),'Council Entry'!AX137)),IF(AND(ISNUMBER('Council Entry'!AX$8),ISNUMBER('Council Entry'!AX$9)),MAX(MIN('Council Entry'!AX137,'Council Entry'!AX$9),'Council Entry'!AX$8),'Council Entry'!AX137))))-'Council Entry'!AX$5)/('Council Entry'!AX$6-'Council Entry'!AX$5)),1))),"No data"))</f>
        <v/>
      </c>
      <c r="AY137" s="13">
        <f>IF('Council Entry'!AY137="","",IFERROR(MAX(0,MIN(10,ROUND(IF('Council Entry'!AY$7="Decrease Risk",10-10*((IF('Council Entry'!AY$4="Logarithm",LN(0.001+IF(AND(ISNUMBER('Council Entry'!AY$8),ISNUMBER('Council Entry'!AY$9)),MAX(MIN('Council Entry'!AY137,'Council Entry'!AY$9),'Council Entry'!AY$8),'Council Entry'!AY137)),IF('Council Entry'!AY$4="Exponential",EXP(IF(AND(ISNUMBER('Council Entry'!AY$8),ISNUMBER('Council Entry'!AY$9)),MAX(MIN('Council Entry'!AY137,'Council Entry'!AY$9),'Council Entry'!AY$8),'Council Entry'!AY137)),IF(AND(ISNUMBER('Council Entry'!AY$8),ISNUMBER('Council Entry'!AY$9)),MAX(MIN('Council Entry'!AY137,'Council Entry'!AY$9),'Council Entry'!AY$8),'Council Entry'!AY137))))-'Council Entry'!AY$5)/('Council Entry'!AY$6-'Council Entry'!AY$5),10*((IF('Council Entry'!AY$4="Logarithm",LN(0.001+IF(AND(ISNUMBER('Council Entry'!AY$8),ISNUMBER('Council Entry'!AY$9)),MAX(MIN('Council Entry'!AY137,'Council Entry'!AY$9),'Council Entry'!AY$8),'Council Entry'!AY137)),IF('Council Entry'!AY$4="Exponential",EXP(IF(AND(ISNUMBER('Council Entry'!AY$8),ISNUMBER('Council Entry'!AY$9)),MAX(MIN('Council Entry'!AY137,'Council Entry'!AY$9),'Council Entry'!AY$8),'Council Entry'!AY137)),IF(AND(ISNUMBER('Council Entry'!AY$8),ISNUMBER('Council Entry'!AY$9)),MAX(MIN('Council Entry'!AY137,'Council Entry'!AY$9),'Council Entry'!AY$8),'Council Entry'!AY137))))-'Council Entry'!AY$5)/('Council Entry'!AY$6-'Council Entry'!AY$5)),1))),"No data"))</f>
        <v/>
      </c>
      <c r="AZ137" s="13">
        <f>IF('Council Entry'!AZ137="","",IFERROR(MAX(0,MIN(10,ROUND(IF('Council Entry'!AZ$7="Decrease Risk",10-10*((IF('Council Entry'!AZ$4="Logarithm",LN(0.001+IF(AND(ISNUMBER('Council Entry'!AZ$8),ISNUMBER('Council Entry'!AZ$9)),MAX(MIN('Council Entry'!AZ137,'Council Entry'!AZ$9),'Council Entry'!AZ$8),'Council Entry'!AZ137)),IF('Council Entry'!AZ$4="Exponential",EXP(IF(AND(ISNUMBER('Council Entry'!AZ$8),ISNUMBER('Council Entry'!AZ$9)),MAX(MIN('Council Entry'!AZ137,'Council Entry'!AZ$9),'Council Entry'!AZ$8),'Council Entry'!AZ137)),IF(AND(ISNUMBER('Council Entry'!AZ$8),ISNUMBER('Council Entry'!AZ$9)),MAX(MIN('Council Entry'!AZ137,'Council Entry'!AZ$9),'Council Entry'!AZ$8),'Council Entry'!AZ137))))-'Council Entry'!AZ$5)/('Council Entry'!AZ$6-'Council Entry'!AZ$5),10*((IF('Council Entry'!AZ$4="Logarithm",LN(0.001+IF(AND(ISNUMBER('Council Entry'!AZ$8),ISNUMBER('Council Entry'!AZ$9)),MAX(MIN('Council Entry'!AZ137,'Council Entry'!AZ$9),'Council Entry'!AZ$8),'Council Entry'!AZ137)),IF('Council Entry'!AZ$4="Exponential",EXP(IF(AND(ISNUMBER('Council Entry'!AZ$8),ISNUMBER('Council Entry'!AZ$9)),MAX(MIN('Council Entry'!AZ137,'Council Entry'!AZ$9),'Council Entry'!AZ$8),'Council Entry'!AZ137)),IF(AND(ISNUMBER('Council Entry'!AZ$8),ISNUMBER('Council Entry'!AZ$9)),MAX(MIN('Council Entry'!AZ137,'Council Entry'!AZ$9),'Council Entry'!AZ$8),'Council Entry'!AZ137))))-'Council Entry'!AZ$5)/('Council Entry'!AZ$6-'Council Entry'!AZ$5)),1))),"No data"))</f>
        <v/>
      </c>
      <c r="BA137" s="13">
        <f>IF('Council Entry'!BA137="","",IFERROR(MAX(0,MIN(10,ROUND(IF('Council Entry'!BA$7="Decrease Risk",10-10*((IF('Council Entry'!BA$4="Logarithm",LN(0.001+IF(AND(ISNUMBER('Council Entry'!BA$8),ISNUMBER('Council Entry'!BA$9)),MAX(MIN('Council Entry'!BA137,'Council Entry'!BA$9),'Council Entry'!BA$8),'Council Entry'!BA137)),IF('Council Entry'!BA$4="Exponential",EXP(IF(AND(ISNUMBER('Council Entry'!BA$8),ISNUMBER('Council Entry'!BA$9)),MAX(MIN('Council Entry'!BA137,'Council Entry'!BA$9),'Council Entry'!BA$8),'Council Entry'!BA137)),IF(AND(ISNUMBER('Council Entry'!BA$8),ISNUMBER('Council Entry'!BA$9)),MAX(MIN('Council Entry'!BA137,'Council Entry'!BA$9),'Council Entry'!BA$8),'Council Entry'!BA137))))-'Council Entry'!BA$5)/('Council Entry'!BA$6-'Council Entry'!BA$5),10*((IF('Council Entry'!BA$4="Logarithm",LN(0.001+IF(AND(ISNUMBER('Council Entry'!BA$8),ISNUMBER('Council Entry'!BA$9)),MAX(MIN('Council Entry'!BA137,'Council Entry'!BA$9),'Council Entry'!BA$8),'Council Entry'!BA137)),IF('Council Entry'!BA$4="Exponential",EXP(IF(AND(ISNUMBER('Council Entry'!BA$8),ISNUMBER('Council Entry'!BA$9)),MAX(MIN('Council Entry'!BA137,'Council Entry'!BA$9),'Council Entry'!BA$8),'Council Entry'!BA137)),IF(AND(ISNUMBER('Council Entry'!BA$8),ISNUMBER('Council Entry'!BA$9)),MAX(MIN('Council Entry'!BA137,'Council Entry'!BA$9),'Council Entry'!BA$8),'Council Entry'!BA137))))-'Council Entry'!BA$5)/('Council Entry'!BA$6-'Council Entry'!BA$5)),1))),"No data"))</f>
        <v/>
      </c>
      <c r="BB137" s="13">
        <f>IF('Council Entry'!BB137="","",IFERROR(MAX(0,MIN(10,ROUND(IF('Council Entry'!BB$7="Decrease Risk",10-10*((IF('Council Entry'!BB$4="Logarithm",LN(0.001+IF(AND(ISNUMBER('Council Entry'!BB$8),ISNUMBER('Council Entry'!BB$9)),MAX(MIN('Council Entry'!BB137,'Council Entry'!BB$9),'Council Entry'!BB$8),'Council Entry'!BB137)),IF('Council Entry'!BB$4="Exponential",EXP(IF(AND(ISNUMBER('Council Entry'!BB$8),ISNUMBER('Council Entry'!BB$9)),MAX(MIN('Council Entry'!BB137,'Council Entry'!BB$9),'Council Entry'!BB$8),'Council Entry'!BB137)),IF(AND(ISNUMBER('Council Entry'!BB$8),ISNUMBER('Council Entry'!BB$9)),MAX(MIN('Council Entry'!BB137,'Council Entry'!BB$9),'Council Entry'!BB$8),'Council Entry'!BB137))))-'Council Entry'!BB$5)/('Council Entry'!BB$6-'Council Entry'!BB$5),10*((IF('Council Entry'!BB$4="Logarithm",LN(0.001+IF(AND(ISNUMBER('Council Entry'!BB$8),ISNUMBER('Council Entry'!BB$9)),MAX(MIN('Council Entry'!BB137,'Council Entry'!BB$9),'Council Entry'!BB$8),'Council Entry'!BB137)),IF('Council Entry'!BB$4="Exponential",EXP(IF(AND(ISNUMBER('Council Entry'!BB$8),ISNUMBER('Council Entry'!BB$9)),MAX(MIN('Council Entry'!BB137,'Council Entry'!BB$9),'Council Entry'!BB$8),'Council Entry'!BB137)),IF(AND(ISNUMBER('Council Entry'!BB$8),ISNUMBER('Council Entry'!BB$9)),MAX(MIN('Council Entry'!BB137,'Council Entry'!BB$9),'Council Entry'!BB$8),'Council Entry'!BB137))))-'Council Entry'!BB$5)/('Council Entry'!BB$6-'Council Entry'!BB$5)),1))),"No data"))</f>
        <v/>
      </c>
      <c r="BC137" s="13">
        <f>IF('Council Entry'!BC137="","",IFERROR(MAX(0,MIN(10,ROUND(IF('Council Entry'!BC$7="Decrease Risk",10-10*((IF('Council Entry'!BC$4="Logarithm",LN(0.001+IF(AND(ISNUMBER('Council Entry'!BC$8),ISNUMBER('Council Entry'!BC$9)),MAX(MIN('Council Entry'!BC137,'Council Entry'!BC$9),'Council Entry'!BC$8),'Council Entry'!BC137)),IF('Council Entry'!BC$4="Exponential",EXP(IF(AND(ISNUMBER('Council Entry'!BC$8),ISNUMBER('Council Entry'!BC$9)),MAX(MIN('Council Entry'!BC137,'Council Entry'!BC$9),'Council Entry'!BC$8),'Council Entry'!BC137)),IF(AND(ISNUMBER('Council Entry'!BC$8),ISNUMBER('Council Entry'!BC$9)),MAX(MIN('Council Entry'!BC137,'Council Entry'!BC$9),'Council Entry'!BC$8),'Council Entry'!BC137))))-'Council Entry'!BC$5)/('Council Entry'!BC$6-'Council Entry'!BC$5),10*((IF('Council Entry'!BC$4="Logarithm",LN(0.001+IF(AND(ISNUMBER('Council Entry'!BC$8),ISNUMBER('Council Entry'!BC$9)),MAX(MIN('Council Entry'!BC137,'Council Entry'!BC$9),'Council Entry'!BC$8),'Council Entry'!BC137)),IF('Council Entry'!BC$4="Exponential",EXP(IF(AND(ISNUMBER('Council Entry'!BC$8),ISNUMBER('Council Entry'!BC$9)),MAX(MIN('Council Entry'!BC137,'Council Entry'!BC$9),'Council Entry'!BC$8),'Council Entry'!BC137)),IF(AND(ISNUMBER('Council Entry'!BC$8),ISNUMBER('Council Entry'!BC$9)),MAX(MIN('Council Entry'!BC137,'Council Entry'!BC$9),'Council Entry'!BC$8),'Council Entry'!BC137))))-'Council Entry'!BC$5)/('Council Entry'!BC$6-'Council Entry'!BC$5)),1))),"No data"))</f>
        <v/>
      </c>
      <c r="BD137" s="13">
        <f>IF('Council Entry'!BD137="","",IFERROR(MAX(0,MIN(10,ROUND(IF('Council Entry'!BD$7="Decrease Risk",10-10*((IF('Council Entry'!BD$4="Logarithm",LN(0.001+IF(AND(ISNUMBER('Council Entry'!BD$8),ISNUMBER('Council Entry'!BD$9)),MAX(MIN('Council Entry'!BD137,'Council Entry'!BD$9),'Council Entry'!BD$8),'Council Entry'!BD137)),IF('Council Entry'!BD$4="Exponential",EXP(IF(AND(ISNUMBER('Council Entry'!BD$8),ISNUMBER('Council Entry'!BD$9)),MAX(MIN('Council Entry'!BD137,'Council Entry'!BD$9),'Council Entry'!BD$8),'Council Entry'!BD137)),IF(AND(ISNUMBER('Council Entry'!BD$8),ISNUMBER('Council Entry'!BD$9)),MAX(MIN('Council Entry'!BD137,'Council Entry'!BD$9),'Council Entry'!BD$8),'Council Entry'!BD137))))-'Council Entry'!BD$5)/('Council Entry'!BD$6-'Council Entry'!BD$5),10*((IF('Council Entry'!BD$4="Logarithm",LN(0.001+IF(AND(ISNUMBER('Council Entry'!BD$8),ISNUMBER('Council Entry'!BD$9)),MAX(MIN('Council Entry'!BD137,'Council Entry'!BD$9),'Council Entry'!BD$8),'Council Entry'!BD137)),IF('Council Entry'!BD$4="Exponential",EXP(IF(AND(ISNUMBER('Council Entry'!BD$8),ISNUMBER('Council Entry'!BD$9)),MAX(MIN('Council Entry'!BD137,'Council Entry'!BD$9),'Council Entry'!BD$8),'Council Entry'!BD137)),IF(AND(ISNUMBER('Council Entry'!BD$8),ISNUMBER('Council Entry'!BD$9)),MAX(MIN('Council Entry'!BD137,'Council Entry'!BD$9),'Council Entry'!BD$8),'Council Entry'!BD137))))-'Council Entry'!BD$5)/('Council Entry'!BD$6-'Council Entry'!BD$5)),1))),"No data"))</f>
        <v/>
      </c>
    </row>
    <row r="138">
      <c r="A138" t="inlineStr">
        <is>
          <t>Njombe</t>
        </is>
      </c>
      <c r="B138" t="inlineStr">
        <is>
          <t>Makete District</t>
        </is>
      </c>
      <c r="C138" t="inlineStr">
        <is>
          <t>C161</t>
        </is>
      </c>
      <c r="D138" s="13">
        <f>IF('Council Entry'!D138="","",IFERROR(MAX(0,MIN(10,ROUND(IF('Council Entry'!D$7="Decrease Risk",10-10*((IF('Council Entry'!D$4="Logarithm",LN(0.001+IF(AND(ISNUMBER('Council Entry'!D$8),ISNUMBER('Council Entry'!D$9)),MAX(MIN('Council Entry'!D138,'Council Entry'!D$9),'Council Entry'!D$8),'Council Entry'!D138)),IF('Council Entry'!D$4="Exponential",EXP(IF(AND(ISNUMBER('Council Entry'!D$8),ISNUMBER('Council Entry'!D$9)),MAX(MIN('Council Entry'!D138,'Council Entry'!D$9),'Council Entry'!D$8),'Council Entry'!D138)),IF(AND(ISNUMBER('Council Entry'!D$8),ISNUMBER('Council Entry'!D$9)),MAX(MIN('Council Entry'!D138,'Council Entry'!D$9),'Council Entry'!D$8),'Council Entry'!D138))))-'Council Entry'!D$5)/('Council Entry'!D$6-'Council Entry'!D$5),10*((IF('Council Entry'!D$4="Logarithm",LN(0.001+IF(AND(ISNUMBER('Council Entry'!D$8),ISNUMBER('Council Entry'!D$9)),MAX(MIN('Council Entry'!D138,'Council Entry'!D$9),'Council Entry'!D$8),'Council Entry'!D138)),IF('Council Entry'!D$4="Exponential",EXP(IF(AND(ISNUMBER('Council Entry'!D$8),ISNUMBER('Council Entry'!D$9)),MAX(MIN('Council Entry'!D138,'Council Entry'!D$9),'Council Entry'!D$8),'Council Entry'!D138)),IF(AND(ISNUMBER('Council Entry'!D$8),ISNUMBER('Council Entry'!D$9)),MAX(MIN('Council Entry'!D138,'Council Entry'!D$9),'Council Entry'!D$8),'Council Entry'!D138))))-'Council Entry'!D$5)/('Council Entry'!D$6-'Council Entry'!D$5)),1))),"No data"))</f>
        <v/>
      </c>
      <c r="E138" s="13">
        <f>IF('Council Entry'!E138="","",IFERROR(MAX(0,MIN(10,ROUND(IF('Council Entry'!E$7="Decrease Risk",10-10*((IF('Council Entry'!E$4="Logarithm",LN(0.001+IF(AND(ISNUMBER('Council Entry'!E$8),ISNUMBER('Council Entry'!E$9)),MAX(MIN('Council Entry'!E138,'Council Entry'!E$9),'Council Entry'!E$8),'Council Entry'!E138)),IF('Council Entry'!E$4="Exponential",EXP(IF(AND(ISNUMBER('Council Entry'!E$8),ISNUMBER('Council Entry'!E$9)),MAX(MIN('Council Entry'!E138,'Council Entry'!E$9),'Council Entry'!E$8),'Council Entry'!E138)),IF(AND(ISNUMBER('Council Entry'!E$8),ISNUMBER('Council Entry'!E$9)),MAX(MIN('Council Entry'!E138,'Council Entry'!E$9),'Council Entry'!E$8),'Council Entry'!E138))))-'Council Entry'!E$5)/('Council Entry'!E$6-'Council Entry'!E$5),10*((IF('Council Entry'!E$4="Logarithm",LN(0.001+IF(AND(ISNUMBER('Council Entry'!E$8),ISNUMBER('Council Entry'!E$9)),MAX(MIN('Council Entry'!E138,'Council Entry'!E$9),'Council Entry'!E$8),'Council Entry'!E138)),IF('Council Entry'!E$4="Exponential",EXP(IF(AND(ISNUMBER('Council Entry'!E$8),ISNUMBER('Council Entry'!E$9)),MAX(MIN('Council Entry'!E138,'Council Entry'!E$9),'Council Entry'!E$8),'Council Entry'!E138)),IF(AND(ISNUMBER('Council Entry'!E$8),ISNUMBER('Council Entry'!E$9)),MAX(MIN('Council Entry'!E138,'Council Entry'!E$9),'Council Entry'!E$8),'Council Entry'!E138))))-'Council Entry'!E$5)/('Council Entry'!E$6-'Council Entry'!E$5)),1))),"No data"))</f>
        <v/>
      </c>
      <c r="F138" s="13">
        <f>IF('Council Entry'!F138="","",IFERROR(MAX(0,MIN(10,ROUND(IF('Council Entry'!F$7="Decrease Risk",10-10*((IF('Council Entry'!F$4="Logarithm",LN(0.001+IF(AND(ISNUMBER('Council Entry'!F$8),ISNUMBER('Council Entry'!F$9)),MAX(MIN('Council Entry'!F138,'Council Entry'!F$9),'Council Entry'!F$8),'Council Entry'!F138)),IF('Council Entry'!F$4="Exponential",EXP(IF(AND(ISNUMBER('Council Entry'!F$8),ISNUMBER('Council Entry'!F$9)),MAX(MIN('Council Entry'!F138,'Council Entry'!F$9),'Council Entry'!F$8),'Council Entry'!F138)),IF(AND(ISNUMBER('Council Entry'!F$8),ISNUMBER('Council Entry'!F$9)),MAX(MIN('Council Entry'!F138,'Council Entry'!F$9),'Council Entry'!F$8),'Council Entry'!F138))))-'Council Entry'!F$5)/('Council Entry'!F$6-'Council Entry'!F$5),10*((IF('Council Entry'!F$4="Logarithm",LN(0.001+IF(AND(ISNUMBER('Council Entry'!F$8),ISNUMBER('Council Entry'!F$9)),MAX(MIN('Council Entry'!F138,'Council Entry'!F$9),'Council Entry'!F$8),'Council Entry'!F138)),IF('Council Entry'!F$4="Exponential",EXP(IF(AND(ISNUMBER('Council Entry'!F$8),ISNUMBER('Council Entry'!F$9)),MAX(MIN('Council Entry'!F138,'Council Entry'!F$9),'Council Entry'!F$8),'Council Entry'!F138)),IF(AND(ISNUMBER('Council Entry'!F$8),ISNUMBER('Council Entry'!F$9)),MAX(MIN('Council Entry'!F138,'Council Entry'!F$9),'Council Entry'!F$8),'Council Entry'!F138))))-'Council Entry'!F$5)/('Council Entry'!F$6-'Council Entry'!F$5)),1))),"No data"))</f>
        <v/>
      </c>
      <c r="G138" s="13">
        <f>IF('Council Entry'!G138="","",IFERROR(MAX(0,MIN(10,ROUND(IF('Council Entry'!G$7="Decrease Risk",10-10*((IF('Council Entry'!G$4="Logarithm",LN(0.001+IF(AND(ISNUMBER('Council Entry'!G$8),ISNUMBER('Council Entry'!G$9)),MAX(MIN('Council Entry'!G138,'Council Entry'!G$9),'Council Entry'!G$8),'Council Entry'!G138)),IF('Council Entry'!G$4="Exponential",EXP(IF(AND(ISNUMBER('Council Entry'!G$8),ISNUMBER('Council Entry'!G$9)),MAX(MIN('Council Entry'!G138,'Council Entry'!G$9),'Council Entry'!G$8),'Council Entry'!G138)),IF(AND(ISNUMBER('Council Entry'!G$8),ISNUMBER('Council Entry'!G$9)),MAX(MIN('Council Entry'!G138,'Council Entry'!G$9),'Council Entry'!G$8),'Council Entry'!G138))))-'Council Entry'!G$5)/('Council Entry'!G$6-'Council Entry'!G$5),10*((IF('Council Entry'!G$4="Logarithm",LN(0.001+IF(AND(ISNUMBER('Council Entry'!G$8),ISNUMBER('Council Entry'!G$9)),MAX(MIN('Council Entry'!G138,'Council Entry'!G$9),'Council Entry'!G$8),'Council Entry'!G138)),IF('Council Entry'!G$4="Exponential",EXP(IF(AND(ISNUMBER('Council Entry'!G$8),ISNUMBER('Council Entry'!G$9)),MAX(MIN('Council Entry'!G138,'Council Entry'!G$9),'Council Entry'!G$8),'Council Entry'!G138)),IF(AND(ISNUMBER('Council Entry'!G$8),ISNUMBER('Council Entry'!G$9)),MAX(MIN('Council Entry'!G138,'Council Entry'!G$9),'Council Entry'!G$8),'Council Entry'!G138))))-'Council Entry'!G$5)/('Council Entry'!G$6-'Council Entry'!G$5)),1))),"No data"))</f>
        <v/>
      </c>
      <c r="H138" s="13">
        <f>IF('Council Entry'!H138="","",IFERROR(MAX(0,MIN(10,ROUND(IF('Council Entry'!H$7="Decrease Risk",10-10*((IF('Council Entry'!H$4="Logarithm",LN(0.001+IF(AND(ISNUMBER('Council Entry'!H$8),ISNUMBER('Council Entry'!H$9)),MAX(MIN('Council Entry'!H138,'Council Entry'!H$9),'Council Entry'!H$8),'Council Entry'!H138)),IF('Council Entry'!H$4="Exponential",EXP(IF(AND(ISNUMBER('Council Entry'!H$8),ISNUMBER('Council Entry'!H$9)),MAX(MIN('Council Entry'!H138,'Council Entry'!H$9),'Council Entry'!H$8),'Council Entry'!H138)),IF(AND(ISNUMBER('Council Entry'!H$8),ISNUMBER('Council Entry'!H$9)),MAX(MIN('Council Entry'!H138,'Council Entry'!H$9),'Council Entry'!H$8),'Council Entry'!H138))))-'Council Entry'!H$5)/('Council Entry'!H$6-'Council Entry'!H$5),10*((IF('Council Entry'!H$4="Logarithm",LN(0.001+IF(AND(ISNUMBER('Council Entry'!H$8),ISNUMBER('Council Entry'!H$9)),MAX(MIN('Council Entry'!H138,'Council Entry'!H$9),'Council Entry'!H$8),'Council Entry'!H138)),IF('Council Entry'!H$4="Exponential",EXP(IF(AND(ISNUMBER('Council Entry'!H$8),ISNUMBER('Council Entry'!H$9)),MAX(MIN('Council Entry'!H138,'Council Entry'!H$9),'Council Entry'!H$8),'Council Entry'!H138)),IF(AND(ISNUMBER('Council Entry'!H$8),ISNUMBER('Council Entry'!H$9)),MAX(MIN('Council Entry'!H138,'Council Entry'!H$9),'Council Entry'!H$8),'Council Entry'!H138))))-'Council Entry'!H$5)/('Council Entry'!H$6-'Council Entry'!H$5)),1))),"No data"))</f>
        <v/>
      </c>
      <c r="I138" s="13">
        <f>IF('Council Entry'!I138="","",IFERROR(MAX(0,MIN(10,ROUND(IF('Council Entry'!I$7="Decrease Risk",10-10*((IF('Council Entry'!I$4="Logarithm",LN(0.001+IF(AND(ISNUMBER('Council Entry'!I$8),ISNUMBER('Council Entry'!I$9)),MAX(MIN('Council Entry'!I138,'Council Entry'!I$9),'Council Entry'!I$8),'Council Entry'!I138)),IF('Council Entry'!I$4="Exponential",EXP(IF(AND(ISNUMBER('Council Entry'!I$8),ISNUMBER('Council Entry'!I$9)),MAX(MIN('Council Entry'!I138,'Council Entry'!I$9),'Council Entry'!I$8),'Council Entry'!I138)),IF(AND(ISNUMBER('Council Entry'!I$8),ISNUMBER('Council Entry'!I$9)),MAX(MIN('Council Entry'!I138,'Council Entry'!I$9),'Council Entry'!I$8),'Council Entry'!I138))))-'Council Entry'!I$5)/('Council Entry'!I$6-'Council Entry'!I$5),10*((IF('Council Entry'!I$4="Logarithm",LN(0.001+IF(AND(ISNUMBER('Council Entry'!I$8),ISNUMBER('Council Entry'!I$9)),MAX(MIN('Council Entry'!I138,'Council Entry'!I$9),'Council Entry'!I$8),'Council Entry'!I138)),IF('Council Entry'!I$4="Exponential",EXP(IF(AND(ISNUMBER('Council Entry'!I$8),ISNUMBER('Council Entry'!I$9)),MAX(MIN('Council Entry'!I138,'Council Entry'!I$9),'Council Entry'!I$8),'Council Entry'!I138)),IF(AND(ISNUMBER('Council Entry'!I$8),ISNUMBER('Council Entry'!I$9)),MAX(MIN('Council Entry'!I138,'Council Entry'!I$9),'Council Entry'!I$8),'Council Entry'!I138))))-'Council Entry'!I$5)/('Council Entry'!I$6-'Council Entry'!I$5)),1))),"No data"))</f>
        <v/>
      </c>
      <c r="J138" s="13">
        <f>IF('Council Entry'!J138="","",IFERROR(MAX(0,MIN(10,ROUND(IF('Council Entry'!J$7="Decrease Risk",10-10*((IF('Council Entry'!J$4="Logarithm",LN(0.001+IF(AND(ISNUMBER('Council Entry'!J$8),ISNUMBER('Council Entry'!J$9)),MAX(MIN('Council Entry'!J138,'Council Entry'!J$9),'Council Entry'!J$8),'Council Entry'!J138)),IF('Council Entry'!J$4="Exponential",EXP(IF(AND(ISNUMBER('Council Entry'!J$8),ISNUMBER('Council Entry'!J$9)),MAX(MIN('Council Entry'!J138,'Council Entry'!J$9),'Council Entry'!J$8),'Council Entry'!J138)),IF(AND(ISNUMBER('Council Entry'!J$8),ISNUMBER('Council Entry'!J$9)),MAX(MIN('Council Entry'!J138,'Council Entry'!J$9),'Council Entry'!J$8),'Council Entry'!J138))))-'Council Entry'!J$5)/('Council Entry'!J$6-'Council Entry'!J$5),10*((IF('Council Entry'!J$4="Logarithm",LN(0.001+IF(AND(ISNUMBER('Council Entry'!J$8),ISNUMBER('Council Entry'!J$9)),MAX(MIN('Council Entry'!J138,'Council Entry'!J$9),'Council Entry'!J$8),'Council Entry'!J138)),IF('Council Entry'!J$4="Exponential",EXP(IF(AND(ISNUMBER('Council Entry'!J$8),ISNUMBER('Council Entry'!J$9)),MAX(MIN('Council Entry'!J138,'Council Entry'!J$9),'Council Entry'!J$8),'Council Entry'!J138)),IF(AND(ISNUMBER('Council Entry'!J$8),ISNUMBER('Council Entry'!J$9)),MAX(MIN('Council Entry'!J138,'Council Entry'!J$9),'Council Entry'!J$8),'Council Entry'!J138))))-'Council Entry'!J$5)/('Council Entry'!J$6-'Council Entry'!J$5)),1))),"No data"))</f>
        <v/>
      </c>
      <c r="K138" s="13">
        <f>IF('Council Entry'!K138="","",IFERROR(MAX(0,MIN(10,ROUND(IF('Council Entry'!K$7="Decrease Risk",10-10*((IF('Council Entry'!K$4="Logarithm",LN(0.001+IF(AND(ISNUMBER('Council Entry'!K$8),ISNUMBER('Council Entry'!K$9)),MAX(MIN('Council Entry'!K138,'Council Entry'!K$9),'Council Entry'!K$8),'Council Entry'!K138)),IF('Council Entry'!K$4="Exponential",EXP(IF(AND(ISNUMBER('Council Entry'!K$8),ISNUMBER('Council Entry'!K$9)),MAX(MIN('Council Entry'!K138,'Council Entry'!K$9),'Council Entry'!K$8),'Council Entry'!K138)),IF(AND(ISNUMBER('Council Entry'!K$8),ISNUMBER('Council Entry'!K$9)),MAX(MIN('Council Entry'!K138,'Council Entry'!K$9),'Council Entry'!K$8),'Council Entry'!K138))))-'Council Entry'!K$5)/('Council Entry'!K$6-'Council Entry'!K$5),10*((IF('Council Entry'!K$4="Logarithm",LN(0.001+IF(AND(ISNUMBER('Council Entry'!K$8),ISNUMBER('Council Entry'!K$9)),MAX(MIN('Council Entry'!K138,'Council Entry'!K$9),'Council Entry'!K$8),'Council Entry'!K138)),IF('Council Entry'!K$4="Exponential",EXP(IF(AND(ISNUMBER('Council Entry'!K$8),ISNUMBER('Council Entry'!K$9)),MAX(MIN('Council Entry'!K138,'Council Entry'!K$9),'Council Entry'!K$8),'Council Entry'!K138)),IF(AND(ISNUMBER('Council Entry'!K$8),ISNUMBER('Council Entry'!K$9)),MAX(MIN('Council Entry'!K138,'Council Entry'!K$9),'Council Entry'!K$8),'Council Entry'!K138))))-'Council Entry'!K$5)/('Council Entry'!K$6-'Council Entry'!K$5)),1))),"No data"))</f>
        <v/>
      </c>
      <c r="L138" s="13">
        <f>IF('Council Entry'!L138="","",IFERROR(MAX(0,MIN(10,ROUND(IF('Council Entry'!L$7="Decrease Risk",10-10*((IF('Council Entry'!L$4="Logarithm",LN(0.001+IF(AND(ISNUMBER('Council Entry'!L$8),ISNUMBER('Council Entry'!L$9)),MAX(MIN('Council Entry'!L138,'Council Entry'!L$9),'Council Entry'!L$8),'Council Entry'!L138)),IF('Council Entry'!L$4="Exponential",EXP(IF(AND(ISNUMBER('Council Entry'!L$8),ISNUMBER('Council Entry'!L$9)),MAX(MIN('Council Entry'!L138,'Council Entry'!L$9),'Council Entry'!L$8),'Council Entry'!L138)),IF(AND(ISNUMBER('Council Entry'!L$8),ISNUMBER('Council Entry'!L$9)),MAX(MIN('Council Entry'!L138,'Council Entry'!L$9),'Council Entry'!L$8),'Council Entry'!L138))))-'Council Entry'!L$5)/('Council Entry'!L$6-'Council Entry'!L$5),10*((IF('Council Entry'!L$4="Logarithm",LN(0.001+IF(AND(ISNUMBER('Council Entry'!L$8),ISNUMBER('Council Entry'!L$9)),MAX(MIN('Council Entry'!L138,'Council Entry'!L$9),'Council Entry'!L$8),'Council Entry'!L138)),IF('Council Entry'!L$4="Exponential",EXP(IF(AND(ISNUMBER('Council Entry'!L$8),ISNUMBER('Council Entry'!L$9)),MAX(MIN('Council Entry'!L138,'Council Entry'!L$9),'Council Entry'!L$8),'Council Entry'!L138)),IF(AND(ISNUMBER('Council Entry'!L$8),ISNUMBER('Council Entry'!L$9)),MAX(MIN('Council Entry'!L138,'Council Entry'!L$9),'Council Entry'!L$8),'Council Entry'!L138))))-'Council Entry'!L$5)/('Council Entry'!L$6-'Council Entry'!L$5)),1))),"No data"))</f>
        <v/>
      </c>
      <c r="M138" s="13">
        <f>IF('Council Entry'!M138="","",IFERROR(MAX(0,MIN(10,ROUND(IF('Council Entry'!M$7="Decrease Risk",10-10*((IF('Council Entry'!M$4="Logarithm",LN(0.001+IF(AND(ISNUMBER('Council Entry'!M$8),ISNUMBER('Council Entry'!M$9)),MAX(MIN('Council Entry'!M138,'Council Entry'!M$9),'Council Entry'!M$8),'Council Entry'!M138)),IF('Council Entry'!M$4="Exponential",EXP(IF(AND(ISNUMBER('Council Entry'!M$8),ISNUMBER('Council Entry'!M$9)),MAX(MIN('Council Entry'!M138,'Council Entry'!M$9),'Council Entry'!M$8),'Council Entry'!M138)),IF(AND(ISNUMBER('Council Entry'!M$8),ISNUMBER('Council Entry'!M$9)),MAX(MIN('Council Entry'!M138,'Council Entry'!M$9),'Council Entry'!M$8),'Council Entry'!M138))))-'Council Entry'!M$5)/('Council Entry'!M$6-'Council Entry'!M$5),10*((IF('Council Entry'!M$4="Logarithm",LN(0.001+IF(AND(ISNUMBER('Council Entry'!M$8),ISNUMBER('Council Entry'!M$9)),MAX(MIN('Council Entry'!M138,'Council Entry'!M$9),'Council Entry'!M$8),'Council Entry'!M138)),IF('Council Entry'!M$4="Exponential",EXP(IF(AND(ISNUMBER('Council Entry'!M$8),ISNUMBER('Council Entry'!M$9)),MAX(MIN('Council Entry'!M138,'Council Entry'!M$9),'Council Entry'!M$8),'Council Entry'!M138)),IF(AND(ISNUMBER('Council Entry'!M$8),ISNUMBER('Council Entry'!M$9)),MAX(MIN('Council Entry'!M138,'Council Entry'!M$9),'Council Entry'!M$8),'Council Entry'!M138))))-'Council Entry'!M$5)/('Council Entry'!M$6-'Council Entry'!M$5)),1))),"No data"))</f>
        <v/>
      </c>
      <c r="N138" s="13">
        <f>IF('Council Entry'!N138="","",IFERROR(MAX(0,MIN(10,ROUND(IF('Council Entry'!N$7="Decrease Risk",10-10*((IF('Council Entry'!N$4="Logarithm",LN(0.001+IF(AND(ISNUMBER('Council Entry'!N$8),ISNUMBER('Council Entry'!N$9)),MAX(MIN('Council Entry'!N138,'Council Entry'!N$9),'Council Entry'!N$8),'Council Entry'!N138)),IF('Council Entry'!N$4="Exponential",EXP(IF(AND(ISNUMBER('Council Entry'!N$8),ISNUMBER('Council Entry'!N$9)),MAX(MIN('Council Entry'!N138,'Council Entry'!N$9),'Council Entry'!N$8),'Council Entry'!N138)),IF(AND(ISNUMBER('Council Entry'!N$8),ISNUMBER('Council Entry'!N$9)),MAX(MIN('Council Entry'!N138,'Council Entry'!N$9),'Council Entry'!N$8),'Council Entry'!N138))))-'Council Entry'!N$5)/('Council Entry'!N$6-'Council Entry'!N$5),10*((IF('Council Entry'!N$4="Logarithm",LN(0.001+IF(AND(ISNUMBER('Council Entry'!N$8),ISNUMBER('Council Entry'!N$9)),MAX(MIN('Council Entry'!N138,'Council Entry'!N$9),'Council Entry'!N$8),'Council Entry'!N138)),IF('Council Entry'!N$4="Exponential",EXP(IF(AND(ISNUMBER('Council Entry'!N$8),ISNUMBER('Council Entry'!N$9)),MAX(MIN('Council Entry'!N138,'Council Entry'!N$9),'Council Entry'!N$8),'Council Entry'!N138)),IF(AND(ISNUMBER('Council Entry'!N$8),ISNUMBER('Council Entry'!N$9)),MAX(MIN('Council Entry'!N138,'Council Entry'!N$9),'Council Entry'!N$8),'Council Entry'!N138))))-'Council Entry'!N$5)/('Council Entry'!N$6-'Council Entry'!N$5)),1))),"No data"))</f>
        <v/>
      </c>
      <c r="O138" s="13">
        <f>IF('Council Entry'!O138="","",IFERROR(MAX(0,MIN(10,ROUND(IF('Council Entry'!O$7="Decrease Risk",10-10*((IF('Council Entry'!O$4="Logarithm",LN(0.001+IF(AND(ISNUMBER('Council Entry'!O$8),ISNUMBER('Council Entry'!O$9)),MAX(MIN('Council Entry'!O138,'Council Entry'!O$9),'Council Entry'!O$8),'Council Entry'!O138)),IF('Council Entry'!O$4="Exponential",EXP(IF(AND(ISNUMBER('Council Entry'!O$8),ISNUMBER('Council Entry'!O$9)),MAX(MIN('Council Entry'!O138,'Council Entry'!O$9),'Council Entry'!O$8),'Council Entry'!O138)),IF(AND(ISNUMBER('Council Entry'!O$8),ISNUMBER('Council Entry'!O$9)),MAX(MIN('Council Entry'!O138,'Council Entry'!O$9),'Council Entry'!O$8),'Council Entry'!O138))))-'Council Entry'!O$5)/('Council Entry'!O$6-'Council Entry'!O$5),10*((IF('Council Entry'!O$4="Logarithm",LN(0.001+IF(AND(ISNUMBER('Council Entry'!O$8),ISNUMBER('Council Entry'!O$9)),MAX(MIN('Council Entry'!O138,'Council Entry'!O$9),'Council Entry'!O$8),'Council Entry'!O138)),IF('Council Entry'!O$4="Exponential",EXP(IF(AND(ISNUMBER('Council Entry'!O$8),ISNUMBER('Council Entry'!O$9)),MAX(MIN('Council Entry'!O138,'Council Entry'!O$9),'Council Entry'!O$8),'Council Entry'!O138)),IF(AND(ISNUMBER('Council Entry'!O$8),ISNUMBER('Council Entry'!O$9)),MAX(MIN('Council Entry'!O138,'Council Entry'!O$9),'Council Entry'!O$8),'Council Entry'!O138))))-'Council Entry'!O$5)/('Council Entry'!O$6-'Council Entry'!O$5)),1))),"No data"))</f>
        <v/>
      </c>
      <c r="P138" s="13">
        <f>IF('Council Entry'!P138="","",IFERROR(MAX(0,MIN(10,ROUND(IF('Council Entry'!P$7="Decrease Risk",10-10*((IF('Council Entry'!P$4="Logarithm",LN(0.001+IF(AND(ISNUMBER('Council Entry'!P$8),ISNUMBER('Council Entry'!P$9)),MAX(MIN('Council Entry'!P138,'Council Entry'!P$9),'Council Entry'!P$8),'Council Entry'!P138)),IF('Council Entry'!P$4="Exponential",EXP(IF(AND(ISNUMBER('Council Entry'!P$8),ISNUMBER('Council Entry'!P$9)),MAX(MIN('Council Entry'!P138,'Council Entry'!P$9),'Council Entry'!P$8),'Council Entry'!P138)),IF(AND(ISNUMBER('Council Entry'!P$8),ISNUMBER('Council Entry'!P$9)),MAX(MIN('Council Entry'!P138,'Council Entry'!P$9),'Council Entry'!P$8),'Council Entry'!P138))))-'Council Entry'!P$5)/('Council Entry'!P$6-'Council Entry'!P$5),10*((IF('Council Entry'!P$4="Logarithm",LN(0.001+IF(AND(ISNUMBER('Council Entry'!P$8),ISNUMBER('Council Entry'!P$9)),MAX(MIN('Council Entry'!P138,'Council Entry'!P$9),'Council Entry'!P$8),'Council Entry'!P138)),IF('Council Entry'!P$4="Exponential",EXP(IF(AND(ISNUMBER('Council Entry'!P$8),ISNUMBER('Council Entry'!P$9)),MAX(MIN('Council Entry'!P138,'Council Entry'!P$9),'Council Entry'!P$8),'Council Entry'!P138)),IF(AND(ISNUMBER('Council Entry'!P$8),ISNUMBER('Council Entry'!P$9)),MAX(MIN('Council Entry'!P138,'Council Entry'!P$9),'Council Entry'!P$8),'Council Entry'!P138))))-'Council Entry'!P$5)/('Council Entry'!P$6-'Council Entry'!P$5)),1))),"No data"))</f>
        <v/>
      </c>
      <c r="Q138" s="13">
        <f>IF('Council Entry'!Q138="","",IFERROR(MAX(0,MIN(10,ROUND(IF('Council Entry'!Q$7="Decrease Risk",10-10*((IF('Council Entry'!Q$4="Logarithm",LN(0.001+IF(AND(ISNUMBER('Council Entry'!Q$8),ISNUMBER('Council Entry'!Q$9)),MAX(MIN('Council Entry'!Q138,'Council Entry'!Q$9),'Council Entry'!Q$8),'Council Entry'!Q138)),IF('Council Entry'!Q$4="Exponential",EXP(IF(AND(ISNUMBER('Council Entry'!Q$8),ISNUMBER('Council Entry'!Q$9)),MAX(MIN('Council Entry'!Q138,'Council Entry'!Q$9),'Council Entry'!Q$8),'Council Entry'!Q138)),IF(AND(ISNUMBER('Council Entry'!Q$8),ISNUMBER('Council Entry'!Q$9)),MAX(MIN('Council Entry'!Q138,'Council Entry'!Q$9),'Council Entry'!Q$8),'Council Entry'!Q138))))-'Council Entry'!Q$5)/('Council Entry'!Q$6-'Council Entry'!Q$5),10*((IF('Council Entry'!Q$4="Logarithm",LN(0.001+IF(AND(ISNUMBER('Council Entry'!Q$8),ISNUMBER('Council Entry'!Q$9)),MAX(MIN('Council Entry'!Q138,'Council Entry'!Q$9),'Council Entry'!Q$8),'Council Entry'!Q138)),IF('Council Entry'!Q$4="Exponential",EXP(IF(AND(ISNUMBER('Council Entry'!Q$8),ISNUMBER('Council Entry'!Q$9)),MAX(MIN('Council Entry'!Q138,'Council Entry'!Q$9),'Council Entry'!Q$8),'Council Entry'!Q138)),IF(AND(ISNUMBER('Council Entry'!Q$8),ISNUMBER('Council Entry'!Q$9)),MAX(MIN('Council Entry'!Q138,'Council Entry'!Q$9),'Council Entry'!Q$8),'Council Entry'!Q138))))-'Council Entry'!Q$5)/('Council Entry'!Q$6-'Council Entry'!Q$5)),1))),"No data"))</f>
        <v/>
      </c>
      <c r="R138" s="13">
        <f>IF('Council Entry'!R138="","",IFERROR(MAX(0,MIN(10,ROUND(IF('Council Entry'!R$7="Decrease Risk",10-10*((IF('Council Entry'!R$4="Logarithm",LN(0.001+IF(AND(ISNUMBER('Council Entry'!R$8),ISNUMBER('Council Entry'!R$9)),MAX(MIN('Council Entry'!R138,'Council Entry'!R$9),'Council Entry'!R$8),'Council Entry'!R138)),IF('Council Entry'!R$4="Exponential",EXP(IF(AND(ISNUMBER('Council Entry'!R$8),ISNUMBER('Council Entry'!R$9)),MAX(MIN('Council Entry'!R138,'Council Entry'!R$9),'Council Entry'!R$8),'Council Entry'!R138)),IF(AND(ISNUMBER('Council Entry'!R$8),ISNUMBER('Council Entry'!R$9)),MAX(MIN('Council Entry'!R138,'Council Entry'!R$9),'Council Entry'!R$8),'Council Entry'!R138))))-'Council Entry'!R$5)/('Council Entry'!R$6-'Council Entry'!R$5),10*((IF('Council Entry'!R$4="Logarithm",LN(0.001+IF(AND(ISNUMBER('Council Entry'!R$8),ISNUMBER('Council Entry'!R$9)),MAX(MIN('Council Entry'!R138,'Council Entry'!R$9),'Council Entry'!R$8),'Council Entry'!R138)),IF('Council Entry'!R$4="Exponential",EXP(IF(AND(ISNUMBER('Council Entry'!R$8),ISNUMBER('Council Entry'!R$9)),MAX(MIN('Council Entry'!R138,'Council Entry'!R$9),'Council Entry'!R$8),'Council Entry'!R138)),IF(AND(ISNUMBER('Council Entry'!R$8),ISNUMBER('Council Entry'!R$9)),MAX(MIN('Council Entry'!R138,'Council Entry'!R$9),'Council Entry'!R$8),'Council Entry'!R138))))-'Council Entry'!R$5)/('Council Entry'!R$6-'Council Entry'!R$5)),1))),"No data"))</f>
        <v/>
      </c>
      <c r="S138" s="13">
        <f>IF('Council Entry'!S138="","",IFERROR(MAX(0,MIN(10,ROUND(IF('Council Entry'!S$7="Decrease Risk",10-10*((IF('Council Entry'!S$4="Logarithm",LN(0.001+IF(AND(ISNUMBER('Council Entry'!S$8),ISNUMBER('Council Entry'!S$9)),MAX(MIN('Council Entry'!S138,'Council Entry'!S$9),'Council Entry'!S$8),'Council Entry'!S138)),IF('Council Entry'!S$4="Exponential",EXP(IF(AND(ISNUMBER('Council Entry'!S$8),ISNUMBER('Council Entry'!S$9)),MAX(MIN('Council Entry'!S138,'Council Entry'!S$9),'Council Entry'!S$8),'Council Entry'!S138)),IF(AND(ISNUMBER('Council Entry'!S$8),ISNUMBER('Council Entry'!S$9)),MAX(MIN('Council Entry'!S138,'Council Entry'!S$9),'Council Entry'!S$8),'Council Entry'!S138))))-'Council Entry'!S$5)/('Council Entry'!S$6-'Council Entry'!S$5),10*((IF('Council Entry'!S$4="Logarithm",LN(0.001+IF(AND(ISNUMBER('Council Entry'!S$8),ISNUMBER('Council Entry'!S$9)),MAX(MIN('Council Entry'!S138,'Council Entry'!S$9),'Council Entry'!S$8),'Council Entry'!S138)),IF('Council Entry'!S$4="Exponential",EXP(IF(AND(ISNUMBER('Council Entry'!S$8),ISNUMBER('Council Entry'!S$9)),MAX(MIN('Council Entry'!S138,'Council Entry'!S$9),'Council Entry'!S$8),'Council Entry'!S138)),IF(AND(ISNUMBER('Council Entry'!S$8),ISNUMBER('Council Entry'!S$9)),MAX(MIN('Council Entry'!S138,'Council Entry'!S$9),'Council Entry'!S$8),'Council Entry'!S138))))-'Council Entry'!S$5)/('Council Entry'!S$6-'Council Entry'!S$5)),1))),"No data"))</f>
        <v/>
      </c>
      <c r="T138" s="13">
        <f>IF('Council Entry'!T138="","",IFERROR(MAX(0,MIN(10,ROUND(IF('Council Entry'!T$7="Decrease Risk",10-10*((IF('Council Entry'!T$4="Logarithm",LN(0.001+IF(AND(ISNUMBER('Council Entry'!T$8),ISNUMBER('Council Entry'!T$9)),MAX(MIN('Council Entry'!T138,'Council Entry'!T$9),'Council Entry'!T$8),'Council Entry'!T138)),IF('Council Entry'!T$4="Exponential",EXP(IF(AND(ISNUMBER('Council Entry'!T$8),ISNUMBER('Council Entry'!T$9)),MAX(MIN('Council Entry'!T138,'Council Entry'!T$9),'Council Entry'!T$8),'Council Entry'!T138)),IF(AND(ISNUMBER('Council Entry'!T$8),ISNUMBER('Council Entry'!T$9)),MAX(MIN('Council Entry'!T138,'Council Entry'!T$9),'Council Entry'!T$8),'Council Entry'!T138))))-'Council Entry'!T$5)/('Council Entry'!T$6-'Council Entry'!T$5),10*((IF('Council Entry'!T$4="Logarithm",LN(0.001+IF(AND(ISNUMBER('Council Entry'!T$8),ISNUMBER('Council Entry'!T$9)),MAX(MIN('Council Entry'!T138,'Council Entry'!T$9),'Council Entry'!T$8),'Council Entry'!T138)),IF('Council Entry'!T$4="Exponential",EXP(IF(AND(ISNUMBER('Council Entry'!T$8),ISNUMBER('Council Entry'!T$9)),MAX(MIN('Council Entry'!T138,'Council Entry'!T$9),'Council Entry'!T$8),'Council Entry'!T138)),IF(AND(ISNUMBER('Council Entry'!T$8),ISNUMBER('Council Entry'!T$9)),MAX(MIN('Council Entry'!T138,'Council Entry'!T$9),'Council Entry'!T$8),'Council Entry'!T138))))-'Council Entry'!T$5)/('Council Entry'!T$6-'Council Entry'!T$5)),1))),"No data"))</f>
        <v/>
      </c>
      <c r="U138" s="13">
        <f>IF('Council Entry'!U138="","",IFERROR(MAX(0,MIN(10,ROUND(IF('Council Entry'!U$7="Decrease Risk",10-10*((IF('Council Entry'!U$4="Logarithm",LN(0.001+IF(AND(ISNUMBER('Council Entry'!U$8),ISNUMBER('Council Entry'!U$9)),MAX(MIN('Council Entry'!U138,'Council Entry'!U$9),'Council Entry'!U$8),'Council Entry'!U138)),IF('Council Entry'!U$4="Exponential",EXP(IF(AND(ISNUMBER('Council Entry'!U$8),ISNUMBER('Council Entry'!U$9)),MAX(MIN('Council Entry'!U138,'Council Entry'!U$9),'Council Entry'!U$8),'Council Entry'!U138)),IF(AND(ISNUMBER('Council Entry'!U$8),ISNUMBER('Council Entry'!U$9)),MAX(MIN('Council Entry'!U138,'Council Entry'!U$9),'Council Entry'!U$8),'Council Entry'!U138))))-'Council Entry'!U$5)/('Council Entry'!U$6-'Council Entry'!U$5),10*((IF('Council Entry'!U$4="Logarithm",LN(0.001+IF(AND(ISNUMBER('Council Entry'!U$8),ISNUMBER('Council Entry'!U$9)),MAX(MIN('Council Entry'!U138,'Council Entry'!U$9),'Council Entry'!U$8),'Council Entry'!U138)),IF('Council Entry'!U$4="Exponential",EXP(IF(AND(ISNUMBER('Council Entry'!U$8),ISNUMBER('Council Entry'!U$9)),MAX(MIN('Council Entry'!U138,'Council Entry'!U$9),'Council Entry'!U$8),'Council Entry'!U138)),IF(AND(ISNUMBER('Council Entry'!U$8),ISNUMBER('Council Entry'!U$9)),MAX(MIN('Council Entry'!U138,'Council Entry'!U$9),'Council Entry'!U$8),'Council Entry'!U138))))-'Council Entry'!U$5)/('Council Entry'!U$6-'Council Entry'!U$5)),1))),"No data"))</f>
        <v/>
      </c>
      <c r="V138" s="13">
        <f>IF('Council Entry'!V138="","",IFERROR(MAX(0,MIN(10,ROUND(IF('Council Entry'!V$7="Decrease Risk",10-10*((IF('Council Entry'!V$4="Logarithm",LN(0.001+IF(AND(ISNUMBER('Council Entry'!V$8),ISNUMBER('Council Entry'!V$9)),MAX(MIN('Council Entry'!V138,'Council Entry'!V$9),'Council Entry'!V$8),'Council Entry'!V138)),IF('Council Entry'!V$4="Exponential",EXP(IF(AND(ISNUMBER('Council Entry'!V$8),ISNUMBER('Council Entry'!V$9)),MAX(MIN('Council Entry'!V138,'Council Entry'!V$9),'Council Entry'!V$8),'Council Entry'!V138)),IF(AND(ISNUMBER('Council Entry'!V$8),ISNUMBER('Council Entry'!V$9)),MAX(MIN('Council Entry'!V138,'Council Entry'!V$9),'Council Entry'!V$8),'Council Entry'!V138))))-'Council Entry'!V$5)/('Council Entry'!V$6-'Council Entry'!V$5),10*((IF('Council Entry'!V$4="Logarithm",LN(0.001+IF(AND(ISNUMBER('Council Entry'!V$8),ISNUMBER('Council Entry'!V$9)),MAX(MIN('Council Entry'!V138,'Council Entry'!V$9),'Council Entry'!V$8),'Council Entry'!V138)),IF('Council Entry'!V$4="Exponential",EXP(IF(AND(ISNUMBER('Council Entry'!V$8),ISNUMBER('Council Entry'!V$9)),MAX(MIN('Council Entry'!V138,'Council Entry'!V$9),'Council Entry'!V$8),'Council Entry'!V138)),IF(AND(ISNUMBER('Council Entry'!V$8),ISNUMBER('Council Entry'!V$9)),MAX(MIN('Council Entry'!V138,'Council Entry'!V$9),'Council Entry'!V$8),'Council Entry'!V138))))-'Council Entry'!V$5)/('Council Entry'!V$6-'Council Entry'!V$5)),1))),"No data"))</f>
        <v/>
      </c>
      <c r="W138" s="13">
        <f>IF('Council Entry'!W138="","",IFERROR(MAX(0,MIN(10,ROUND(IF('Council Entry'!W$7="Decrease Risk",10-10*((IF('Council Entry'!W$4="Logarithm",LN(0.001+IF(AND(ISNUMBER('Council Entry'!W$8),ISNUMBER('Council Entry'!W$9)),MAX(MIN('Council Entry'!W138,'Council Entry'!W$9),'Council Entry'!W$8),'Council Entry'!W138)),IF('Council Entry'!W$4="Exponential",EXP(IF(AND(ISNUMBER('Council Entry'!W$8),ISNUMBER('Council Entry'!W$9)),MAX(MIN('Council Entry'!W138,'Council Entry'!W$9),'Council Entry'!W$8),'Council Entry'!W138)),IF(AND(ISNUMBER('Council Entry'!W$8),ISNUMBER('Council Entry'!W$9)),MAX(MIN('Council Entry'!W138,'Council Entry'!W$9),'Council Entry'!W$8),'Council Entry'!W138))))-'Council Entry'!W$5)/('Council Entry'!W$6-'Council Entry'!W$5),10*((IF('Council Entry'!W$4="Logarithm",LN(0.001+IF(AND(ISNUMBER('Council Entry'!W$8),ISNUMBER('Council Entry'!W$9)),MAX(MIN('Council Entry'!W138,'Council Entry'!W$9),'Council Entry'!W$8),'Council Entry'!W138)),IF('Council Entry'!W$4="Exponential",EXP(IF(AND(ISNUMBER('Council Entry'!W$8),ISNUMBER('Council Entry'!W$9)),MAX(MIN('Council Entry'!W138,'Council Entry'!W$9),'Council Entry'!W$8),'Council Entry'!W138)),IF(AND(ISNUMBER('Council Entry'!W$8),ISNUMBER('Council Entry'!W$9)),MAX(MIN('Council Entry'!W138,'Council Entry'!W$9),'Council Entry'!W$8),'Council Entry'!W138))))-'Council Entry'!W$5)/('Council Entry'!W$6-'Council Entry'!W$5)),1))),"No data"))</f>
        <v/>
      </c>
      <c r="X138" s="13">
        <f>IF('Council Entry'!X138="","",IFERROR(MAX(0,MIN(10,ROUND(IF('Council Entry'!X$7="Decrease Risk",10-10*((IF('Council Entry'!X$4="Logarithm",LN(0.001+IF(AND(ISNUMBER('Council Entry'!X$8),ISNUMBER('Council Entry'!X$9)),MAX(MIN('Council Entry'!X138,'Council Entry'!X$9),'Council Entry'!X$8),'Council Entry'!X138)),IF('Council Entry'!X$4="Exponential",EXP(IF(AND(ISNUMBER('Council Entry'!X$8),ISNUMBER('Council Entry'!X$9)),MAX(MIN('Council Entry'!X138,'Council Entry'!X$9),'Council Entry'!X$8),'Council Entry'!X138)),IF(AND(ISNUMBER('Council Entry'!X$8),ISNUMBER('Council Entry'!X$9)),MAX(MIN('Council Entry'!X138,'Council Entry'!X$9),'Council Entry'!X$8),'Council Entry'!X138))))-'Council Entry'!X$5)/('Council Entry'!X$6-'Council Entry'!X$5),10*((IF('Council Entry'!X$4="Logarithm",LN(0.001+IF(AND(ISNUMBER('Council Entry'!X$8),ISNUMBER('Council Entry'!X$9)),MAX(MIN('Council Entry'!X138,'Council Entry'!X$9),'Council Entry'!X$8),'Council Entry'!X138)),IF('Council Entry'!X$4="Exponential",EXP(IF(AND(ISNUMBER('Council Entry'!X$8),ISNUMBER('Council Entry'!X$9)),MAX(MIN('Council Entry'!X138,'Council Entry'!X$9),'Council Entry'!X$8),'Council Entry'!X138)),IF(AND(ISNUMBER('Council Entry'!X$8),ISNUMBER('Council Entry'!X$9)),MAX(MIN('Council Entry'!X138,'Council Entry'!X$9),'Council Entry'!X$8),'Council Entry'!X138))))-'Council Entry'!X$5)/('Council Entry'!X$6-'Council Entry'!X$5)),1))),"No data"))</f>
        <v/>
      </c>
      <c r="Y138" s="13">
        <f>IF('Council Entry'!Y138="","",IFERROR(MAX(0,MIN(10,ROUND(IF('Council Entry'!Y$7="Decrease Risk",10-10*((IF('Council Entry'!Y$4="Logarithm",LN(0.001+IF(AND(ISNUMBER('Council Entry'!Y$8),ISNUMBER('Council Entry'!Y$9)),MAX(MIN('Council Entry'!Y138,'Council Entry'!Y$9),'Council Entry'!Y$8),'Council Entry'!Y138)),IF('Council Entry'!Y$4="Exponential",EXP(IF(AND(ISNUMBER('Council Entry'!Y$8),ISNUMBER('Council Entry'!Y$9)),MAX(MIN('Council Entry'!Y138,'Council Entry'!Y$9),'Council Entry'!Y$8),'Council Entry'!Y138)),IF(AND(ISNUMBER('Council Entry'!Y$8),ISNUMBER('Council Entry'!Y$9)),MAX(MIN('Council Entry'!Y138,'Council Entry'!Y$9),'Council Entry'!Y$8),'Council Entry'!Y138))))-'Council Entry'!Y$5)/('Council Entry'!Y$6-'Council Entry'!Y$5),10*((IF('Council Entry'!Y$4="Logarithm",LN(0.001+IF(AND(ISNUMBER('Council Entry'!Y$8),ISNUMBER('Council Entry'!Y$9)),MAX(MIN('Council Entry'!Y138,'Council Entry'!Y$9),'Council Entry'!Y$8),'Council Entry'!Y138)),IF('Council Entry'!Y$4="Exponential",EXP(IF(AND(ISNUMBER('Council Entry'!Y$8),ISNUMBER('Council Entry'!Y$9)),MAX(MIN('Council Entry'!Y138,'Council Entry'!Y$9),'Council Entry'!Y$8),'Council Entry'!Y138)),IF(AND(ISNUMBER('Council Entry'!Y$8),ISNUMBER('Council Entry'!Y$9)),MAX(MIN('Council Entry'!Y138,'Council Entry'!Y$9),'Council Entry'!Y$8),'Council Entry'!Y138))))-'Council Entry'!Y$5)/('Council Entry'!Y$6-'Council Entry'!Y$5)),1))),"No data"))</f>
        <v/>
      </c>
      <c r="Z138" s="13">
        <f>IF('Council Entry'!Z138="","",IFERROR(MAX(0,MIN(10,ROUND(IF('Council Entry'!Z$7="Decrease Risk",10-10*((IF('Council Entry'!Z$4="Logarithm",LN(0.001+IF(AND(ISNUMBER('Council Entry'!Z$8),ISNUMBER('Council Entry'!Z$9)),MAX(MIN('Council Entry'!Z138,'Council Entry'!Z$9),'Council Entry'!Z$8),'Council Entry'!Z138)),IF('Council Entry'!Z$4="Exponential",EXP(IF(AND(ISNUMBER('Council Entry'!Z$8),ISNUMBER('Council Entry'!Z$9)),MAX(MIN('Council Entry'!Z138,'Council Entry'!Z$9),'Council Entry'!Z$8),'Council Entry'!Z138)),IF(AND(ISNUMBER('Council Entry'!Z$8),ISNUMBER('Council Entry'!Z$9)),MAX(MIN('Council Entry'!Z138,'Council Entry'!Z$9),'Council Entry'!Z$8),'Council Entry'!Z138))))-'Council Entry'!Z$5)/('Council Entry'!Z$6-'Council Entry'!Z$5),10*((IF('Council Entry'!Z$4="Logarithm",LN(0.001+IF(AND(ISNUMBER('Council Entry'!Z$8),ISNUMBER('Council Entry'!Z$9)),MAX(MIN('Council Entry'!Z138,'Council Entry'!Z$9),'Council Entry'!Z$8),'Council Entry'!Z138)),IF('Council Entry'!Z$4="Exponential",EXP(IF(AND(ISNUMBER('Council Entry'!Z$8),ISNUMBER('Council Entry'!Z$9)),MAX(MIN('Council Entry'!Z138,'Council Entry'!Z$9),'Council Entry'!Z$8),'Council Entry'!Z138)),IF(AND(ISNUMBER('Council Entry'!Z$8),ISNUMBER('Council Entry'!Z$9)),MAX(MIN('Council Entry'!Z138,'Council Entry'!Z$9),'Council Entry'!Z$8),'Council Entry'!Z138))))-'Council Entry'!Z$5)/('Council Entry'!Z$6-'Council Entry'!Z$5)),1))),"No data"))</f>
        <v/>
      </c>
      <c r="AA138" s="13">
        <f>IF('Council Entry'!AA138="","",IFERROR(MAX(0,MIN(10,ROUND(IF('Council Entry'!AA$7="Decrease Risk",10-10*((IF('Council Entry'!AA$4="Logarithm",LN(0.001+IF(AND(ISNUMBER('Council Entry'!AA$8),ISNUMBER('Council Entry'!AA$9)),MAX(MIN('Council Entry'!AA138,'Council Entry'!AA$9),'Council Entry'!AA$8),'Council Entry'!AA138)),IF('Council Entry'!AA$4="Exponential",EXP(IF(AND(ISNUMBER('Council Entry'!AA$8),ISNUMBER('Council Entry'!AA$9)),MAX(MIN('Council Entry'!AA138,'Council Entry'!AA$9),'Council Entry'!AA$8),'Council Entry'!AA138)),IF(AND(ISNUMBER('Council Entry'!AA$8),ISNUMBER('Council Entry'!AA$9)),MAX(MIN('Council Entry'!AA138,'Council Entry'!AA$9),'Council Entry'!AA$8),'Council Entry'!AA138))))-'Council Entry'!AA$5)/('Council Entry'!AA$6-'Council Entry'!AA$5),10*((IF('Council Entry'!AA$4="Logarithm",LN(0.001+IF(AND(ISNUMBER('Council Entry'!AA$8),ISNUMBER('Council Entry'!AA$9)),MAX(MIN('Council Entry'!AA138,'Council Entry'!AA$9),'Council Entry'!AA$8),'Council Entry'!AA138)),IF('Council Entry'!AA$4="Exponential",EXP(IF(AND(ISNUMBER('Council Entry'!AA$8),ISNUMBER('Council Entry'!AA$9)),MAX(MIN('Council Entry'!AA138,'Council Entry'!AA$9),'Council Entry'!AA$8),'Council Entry'!AA138)),IF(AND(ISNUMBER('Council Entry'!AA$8),ISNUMBER('Council Entry'!AA$9)),MAX(MIN('Council Entry'!AA138,'Council Entry'!AA$9),'Council Entry'!AA$8),'Council Entry'!AA138))))-'Council Entry'!AA$5)/('Council Entry'!AA$6-'Council Entry'!AA$5)),1))),"No data"))</f>
        <v/>
      </c>
      <c r="AB138" s="13">
        <f>IF('Council Entry'!AB138="","",IFERROR(MAX(0,MIN(10,ROUND(IF('Council Entry'!AB$7="Decrease Risk",10-10*((IF('Council Entry'!AB$4="Logarithm",LN(0.001+IF(AND(ISNUMBER('Council Entry'!AB$8),ISNUMBER('Council Entry'!AB$9)),MAX(MIN('Council Entry'!AB138,'Council Entry'!AB$9),'Council Entry'!AB$8),'Council Entry'!AB138)),IF('Council Entry'!AB$4="Exponential",EXP(IF(AND(ISNUMBER('Council Entry'!AB$8),ISNUMBER('Council Entry'!AB$9)),MAX(MIN('Council Entry'!AB138,'Council Entry'!AB$9),'Council Entry'!AB$8),'Council Entry'!AB138)),IF(AND(ISNUMBER('Council Entry'!AB$8),ISNUMBER('Council Entry'!AB$9)),MAX(MIN('Council Entry'!AB138,'Council Entry'!AB$9),'Council Entry'!AB$8),'Council Entry'!AB138))))-'Council Entry'!AB$5)/('Council Entry'!AB$6-'Council Entry'!AB$5),10*((IF('Council Entry'!AB$4="Logarithm",LN(0.001+IF(AND(ISNUMBER('Council Entry'!AB$8),ISNUMBER('Council Entry'!AB$9)),MAX(MIN('Council Entry'!AB138,'Council Entry'!AB$9),'Council Entry'!AB$8),'Council Entry'!AB138)),IF('Council Entry'!AB$4="Exponential",EXP(IF(AND(ISNUMBER('Council Entry'!AB$8),ISNUMBER('Council Entry'!AB$9)),MAX(MIN('Council Entry'!AB138,'Council Entry'!AB$9),'Council Entry'!AB$8),'Council Entry'!AB138)),IF(AND(ISNUMBER('Council Entry'!AB$8),ISNUMBER('Council Entry'!AB$9)),MAX(MIN('Council Entry'!AB138,'Council Entry'!AB$9),'Council Entry'!AB$8),'Council Entry'!AB138))))-'Council Entry'!AB$5)/('Council Entry'!AB$6-'Council Entry'!AB$5)),1))),"No data"))</f>
        <v/>
      </c>
      <c r="AC138" s="13">
        <f>IF('Council Entry'!AC138="","",IFERROR(MAX(0,MIN(10,ROUND(IF('Council Entry'!AC$7="Decrease Risk",10-10*((IF('Council Entry'!AC$4="Logarithm",LN(0.001+IF(AND(ISNUMBER('Council Entry'!AC$8),ISNUMBER('Council Entry'!AC$9)),MAX(MIN('Council Entry'!AC138,'Council Entry'!AC$9),'Council Entry'!AC$8),'Council Entry'!AC138)),IF('Council Entry'!AC$4="Exponential",EXP(IF(AND(ISNUMBER('Council Entry'!AC$8),ISNUMBER('Council Entry'!AC$9)),MAX(MIN('Council Entry'!AC138,'Council Entry'!AC$9),'Council Entry'!AC$8),'Council Entry'!AC138)),IF(AND(ISNUMBER('Council Entry'!AC$8),ISNUMBER('Council Entry'!AC$9)),MAX(MIN('Council Entry'!AC138,'Council Entry'!AC$9),'Council Entry'!AC$8),'Council Entry'!AC138))))-'Council Entry'!AC$5)/('Council Entry'!AC$6-'Council Entry'!AC$5),10*((IF('Council Entry'!AC$4="Logarithm",LN(0.001+IF(AND(ISNUMBER('Council Entry'!AC$8),ISNUMBER('Council Entry'!AC$9)),MAX(MIN('Council Entry'!AC138,'Council Entry'!AC$9),'Council Entry'!AC$8),'Council Entry'!AC138)),IF('Council Entry'!AC$4="Exponential",EXP(IF(AND(ISNUMBER('Council Entry'!AC$8),ISNUMBER('Council Entry'!AC$9)),MAX(MIN('Council Entry'!AC138,'Council Entry'!AC$9),'Council Entry'!AC$8),'Council Entry'!AC138)),IF(AND(ISNUMBER('Council Entry'!AC$8),ISNUMBER('Council Entry'!AC$9)),MAX(MIN('Council Entry'!AC138,'Council Entry'!AC$9),'Council Entry'!AC$8),'Council Entry'!AC138))))-'Council Entry'!AC$5)/('Council Entry'!AC$6-'Council Entry'!AC$5)),1))),"No data"))</f>
        <v/>
      </c>
      <c r="AD138" s="13">
        <f>IF('Council Entry'!AD138="","",IFERROR(MAX(0,MIN(10,ROUND(IF('Council Entry'!AD$7="Decrease Risk",10-10*((IF('Council Entry'!AD$4="Logarithm",LN(0.001+IF(AND(ISNUMBER('Council Entry'!AD$8),ISNUMBER('Council Entry'!AD$9)),MAX(MIN('Council Entry'!AD138,'Council Entry'!AD$9),'Council Entry'!AD$8),'Council Entry'!AD138)),IF('Council Entry'!AD$4="Exponential",EXP(IF(AND(ISNUMBER('Council Entry'!AD$8),ISNUMBER('Council Entry'!AD$9)),MAX(MIN('Council Entry'!AD138,'Council Entry'!AD$9),'Council Entry'!AD$8),'Council Entry'!AD138)),IF(AND(ISNUMBER('Council Entry'!AD$8),ISNUMBER('Council Entry'!AD$9)),MAX(MIN('Council Entry'!AD138,'Council Entry'!AD$9),'Council Entry'!AD$8),'Council Entry'!AD138))))-'Council Entry'!AD$5)/('Council Entry'!AD$6-'Council Entry'!AD$5),10*((IF('Council Entry'!AD$4="Logarithm",LN(0.001+IF(AND(ISNUMBER('Council Entry'!AD$8),ISNUMBER('Council Entry'!AD$9)),MAX(MIN('Council Entry'!AD138,'Council Entry'!AD$9),'Council Entry'!AD$8),'Council Entry'!AD138)),IF('Council Entry'!AD$4="Exponential",EXP(IF(AND(ISNUMBER('Council Entry'!AD$8),ISNUMBER('Council Entry'!AD$9)),MAX(MIN('Council Entry'!AD138,'Council Entry'!AD$9),'Council Entry'!AD$8),'Council Entry'!AD138)),IF(AND(ISNUMBER('Council Entry'!AD$8),ISNUMBER('Council Entry'!AD$9)),MAX(MIN('Council Entry'!AD138,'Council Entry'!AD$9),'Council Entry'!AD$8),'Council Entry'!AD138))))-'Council Entry'!AD$5)/('Council Entry'!AD$6-'Council Entry'!AD$5)),1))),"No data"))</f>
        <v/>
      </c>
      <c r="AE138" s="13">
        <f>IF('Council Entry'!AE138="","",IFERROR(MAX(0,MIN(10,ROUND(IF('Council Entry'!AE$7="Decrease Risk",10-10*((IF('Council Entry'!AE$4="Logarithm",LN(0.001+IF(AND(ISNUMBER('Council Entry'!AE$8),ISNUMBER('Council Entry'!AE$9)),MAX(MIN('Council Entry'!AE138,'Council Entry'!AE$9),'Council Entry'!AE$8),'Council Entry'!AE138)),IF('Council Entry'!AE$4="Exponential",EXP(IF(AND(ISNUMBER('Council Entry'!AE$8),ISNUMBER('Council Entry'!AE$9)),MAX(MIN('Council Entry'!AE138,'Council Entry'!AE$9),'Council Entry'!AE$8),'Council Entry'!AE138)),IF(AND(ISNUMBER('Council Entry'!AE$8),ISNUMBER('Council Entry'!AE$9)),MAX(MIN('Council Entry'!AE138,'Council Entry'!AE$9),'Council Entry'!AE$8),'Council Entry'!AE138))))-'Council Entry'!AE$5)/('Council Entry'!AE$6-'Council Entry'!AE$5),10*((IF('Council Entry'!AE$4="Logarithm",LN(0.001+IF(AND(ISNUMBER('Council Entry'!AE$8),ISNUMBER('Council Entry'!AE$9)),MAX(MIN('Council Entry'!AE138,'Council Entry'!AE$9),'Council Entry'!AE$8),'Council Entry'!AE138)),IF('Council Entry'!AE$4="Exponential",EXP(IF(AND(ISNUMBER('Council Entry'!AE$8),ISNUMBER('Council Entry'!AE$9)),MAX(MIN('Council Entry'!AE138,'Council Entry'!AE$9),'Council Entry'!AE$8),'Council Entry'!AE138)),IF(AND(ISNUMBER('Council Entry'!AE$8),ISNUMBER('Council Entry'!AE$9)),MAX(MIN('Council Entry'!AE138,'Council Entry'!AE$9),'Council Entry'!AE$8),'Council Entry'!AE138))))-'Council Entry'!AE$5)/('Council Entry'!AE$6-'Council Entry'!AE$5)),1))),"No data"))</f>
        <v/>
      </c>
      <c r="AF138" s="13">
        <f>IF('Council Entry'!AF138="","",IFERROR(MAX(0,MIN(10,ROUND(IF('Council Entry'!AF$7="Decrease Risk",10-10*((IF('Council Entry'!AF$4="Logarithm",LN(0.001+IF(AND(ISNUMBER('Council Entry'!AF$8),ISNUMBER('Council Entry'!AF$9)),MAX(MIN('Council Entry'!AF138,'Council Entry'!AF$9),'Council Entry'!AF$8),'Council Entry'!AF138)),IF('Council Entry'!AF$4="Exponential",EXP(IF(AND(ISNUMBER('Council Entry'!AF$8),ISNUMBER('Council Entry'!AF$9)),MAX(MIN('Council Entry'!AF138,'Council Entry'!AF$9),'Council Entry'!AF$8),'Council Entry'!AF138)),IF(AND(ISNUMBER('Council Entry'!AF$8),ISNUMBER('Council Entry'!AF$9)),MAX(MIN('Council Entry'!AF138,'Council Entry'!AF$9),'Council Entry'!AF$8),'Council Entry'!AF138))))-'Council Entry'!AF$5)/('Council Entry'!AF$6-'Council Entry'!AF$5),10*((IF('Council Entry'!AF$4="Logarithm",LN(0.001+IF(AND(ISNUMBER('Council Entry'!AF$8),ISNUMBER('Council Entry'!AF$9)),MAX(MIN('Council Entry'!AF138,'Council Entry'!AF$9),'Council Entry'!AF$8),'Council Entry'!AF138)),IF('Council Entry'!AF$4="Exponential",EXP(IF(AND(ISNUMBER('Council Entry'!AF$8),ISNUMBER('Council Entry'!AF$9)),MAX(MIN('Council Entry'!AF138,'Council Entry'!AF$9),'Council Entry'!AF$8),'Council Entry'!AF138)),IF(AND(ISNUMBER('Council Entry'!AF$8),ISNUMBER('Council Entry'!AF$9)),MAX(MIN('Council Entry'!AF138,'Council Entry'!AF$9),'Council Entry'!AF$8),'Council Entry'!AF138))))-'Council Entry'!AF$5)/('Council Entry'!AF$6-'Council Entry'!AF$5)),1))),"No data"))</f>
        <v/>
      </c>
      <c r="AG138" s="13">
        <f>IF('Council Entry'!AG138="","",IFERROR(MAX(0,MIN(10,ROUND(IF('Council Entry'!AG$7="Decrease Risk",10-10*((IF('Council Entry'!AG$4="Logarithm",LN(0.001+IF(AND(ISNUMBER('Council Entry'!AG$8),ISNUMBER('Council Entry'!AG$9)),MAX(MIN('Council Entry'!AG138,'Council Entry'!AG$9),'Council Entry'!AG$8),'Council Entry'!AG138)),IF('Council Entry'!AG$4="Exponential",EXP(IF(AND(ISNUMBER('Council Entry'!AG$8),ISNUMBER('Council Entry'!AG$9)),MAX(MIN('Council Entry'!AG138,'Council Entry'!AG$9),'Council Entry'!AG$8),'Council Entry'!AG138)),IF(AND(ISNUMBER('Council Entry'!AG$8),ISNUMBER('Council Entry'!AG$9)),MAX(MIN('Council Entry'!AG138,'Council Entry'!AG$9),'Council Entry'!AG$8),'Council Entry'!AG138))))-'Council Entry'!AG$5)/('Council Entry'!AG$6-'Council Entry'!AG$5),10*((IF('Council Entry'!AG$4="Logarithm",LN(0.001+IF(AND(ISNUMBER('Council Entry'!AG$8),ISNUMBER('Council Entry'!AG$9)),MAX(MIN('Council Entry'!AG138,'Council Entry'!AG$9),'Council Entry'!AG$8),'Council Entry'!AG138)),IF('Council Entry'!AG$4="Exponential",EXP(IF(AND(ISNUMBER('Council Entry'!AG$8),ISNUMBER('Council Entry'!AG$9)),MAX(MIN('Council Entry'!AG138,'Council Entry'!AG$9),'Council Entry'!AG$8),'Council Entry'!AG138)),IF(AND(ISNUMBER('Council Entry'!AG$8),ISNUMBER('Council Entry'!AG$9)),MAX(MIN('Council Entry'!AG138,'Council Entry'!AG$9),'Council Entry'!AG$8),'Council Entry'!AG138))))-'Council Entry'!AG$5)/('Council Entry'!AG$6-'Council Entry'!AG$5)),1))),"No data"))</f>
        <v/>
      </c>
      <c r="AH138" s="13">
        <f>IF('Council Entry'!AH138="","",IFERROR(MAX(0,MIN(10,ROUND(IF('Council Entry'!AH$7="Decrease Risk",10-10*((IF('Council Entry'!AH$4="Logarithm",LN(0.001+IF(AND(ISNUMBER('Council Entry'!AH$8),ISNUMBER('Council Entry'!AH$9)),MAX(MIN('Council Entry'!AH138,'Council Entry'!AH$9),'Council Entry'!AH$8),'Council Entry'!AH138)),IF('Council Entry'!AH$4="Exponential",EXP(IF(AND(ISNUMBER('Council Entry'!AH$8),ISNUMBER('Council Entry'!AH$9)),MAX(MIN('Council Entry'!AH138,'Council Entry'!AH$9),'Council Entry'!AH$8),'Council Entry'!AH138)),IF(AND(ISNUMBER('Council Entry'!AH$8),ISNUMBER('Council Entry'!AH$9)),MAX(MIN('Council Entry'!AH138,'Council Entry'!AH$9),'Council Entry'!AH$8),'Council Entry'!AH138))))-'Council Entry'!AH$5)/('Council Entry'!AH$6-'Council Entry'!AH$5),10*((IF('Council Entry'!AH$4="Logarithm",LN(0.001+IF(AND(ISNUMBER('Council Entry'!AH$8),ISNUMBER('Council Entry'!AH$9)),MAX(MIN('Council Entry'!AH138,'Council Entry'!AH$9),'Council Entry'!AH$8),'Council Entry'!AH138)),IF('Council Entry'!AH$4="Exponential",EXP(IF(AND(ISNUMBER('Council Entry'!AH$8),ISNUMBER('Council Entry'!AH$9)),MAX(MIN('Council Entry'!AH138,'Council Entry'!AH$9),'Council Entry'!AH$8),'Council Entry'!AH138)),IF(AND(ISNUMBER('Council Entry'!AH$8),ISNUMBER('Council Entry'!AH$9)),MAX(MIN('Council Entry'!AH138,'Council Entry'!AH$9),'Council Entry'!AH$8),'Council Entry'!AH138))))-'Council Entry'!AH$5)/('Council Entry'!AH$6-'Council Entry'!AH$5)),1))),"No data"))</f>
        <v/>
      </c>
      <c r="AI138" s="13">
        <f>IF('Council Entry'!AI138="","",IFERROR(MAX(0,MIN(10,ROUND(IF('Council Entry'!AI$7="Decrease Risk",10-10*((IF('Council Entry'!AI$4="Logarithm",LN(0.001+IF(AND(ISNUMBER('Council Entry'!AI$8),ISNUMBER('Council Entry'!AI$9)),MAX(MIN('Council Entry'!AI138,'Council Entry'!AI$9),'Council Entry'!AI$8),'Council Entry'!AI138)),IF('Council Entry'!AI$4="Exponential",EXP(IF(AND(ISNUMBER('Council Entry'!AI$8),ISNUMBER('Council Entry'!AI$9)),MAX(MIN('Council Entry'!AI138,'Council Entry'!AI$9),'Council Entry'!AI$8),'Council Entry'!AI138)),IF(AND(ISNUMBER('Council Entry'!AI$8),ISNUMBER('Council Entry'!AI$9)),MAX(MIN('Council Entry'!AI138,'Council Entry'!AI$9),'Council Entry'!AI$8),'Council Entry'!AI138))))-'Council Entry'!AI$5)/('Council Entry'!AI$6-'Council Entry'!AI$5),10*((IF('Council Entry'!AI$4="Logarithm",LN(0.001+IF(AND(ISNUMBER('Council Entry'!AI$8),ISNUMBER('Council Entry'!AI$9)),MAX(MIN('Council Entry'!AI138,'Council Entry'!AI$9),'Council Entry'!AI$8),'Council Entry'!AI138)),IF('Council Entry'!AI$4="Exponential",EXP(IF(AND(ISNUMBER('Council Entry'!AI$8),ISNUMBER('Council Entry'!AI$9)),MAX(MIN('Council Entry'!AI138,'Council Entry'!AI$9),'Council Entry'!AI$8),'Council Entry'!AI138)),IF(AND(ISNUMBER('Council Entry'!AI$8),ISNUMBER('Council Entry'!AI$9)),MAX(MIN('Council Entry'!AI138,'Council Entry'!AI$9),'Council Entry'!AI$8),'Council Entry'!AI138))))-'Council Entry'!AI$5)/('Council Entry'!AI$6-'Council Entry'!AI$5)),1))),"No data"))</f>
        <v/>
      </c>
      <c r="AJ138" s="13">
        <f>IF('Council Entry'!AJ138="","",IFERROR(MAX(0,MIN(10,ROUND(IF('Council Entry'!AJ$7="Decrease Risk",10-10*((IF('Council Entry'!AJ$4="Logarithm",LN(0.001+IF(AND(ISNUMBER('Council Entry'!AJ$8),ISNUMBER('Council Entry'!AJ$9)),MAX(MIN('Council Entry'!AJ138,'Council Entry'!AJ$9),'Council Entry'!AJ$8),'Council Entry'!AJ138)),IF('Council Entry'!AJ$4="Exponential",EXP(IF(AND(ISNUMBER('Council Entry'!AJ$8),ISNUMBER('Council Entry'!AJ$9)),MAX(MIN('Council Entry'!AJ138,'Council Entry'!AJ$9),'Council Entry'!AJ$8),'Council Entry'!AJ138)),IF(AND(ISNUMBER('Council Entry'!AJ$8),ISNUMBER('Council Entry'!AJ$9)),MAX(MIN('Council Entry'!AJ138,'Council Entry'!AJ$9),'Council Entry'!AJ$8),'Council Entry'!AJ138))))-'Council Entry'!AJ$5)/('Council Entry'!AJ$6-'Council Entry'!AJ$5),10*((IF('Council Entry'!AJ$4="Logarithm",LN(0.001+IF(AND(ISNUMBER('Council Entry'!AJ$8),ISNUMBER('Council Entry'!AJ$9)),MAX(MIN('Council Entry'!AJ138,'Council Entry'!AJ$9),'Council Entry'!AJ$8),'Council Entry'!AJ138)),IF('Council Entry'!AJ$4="Exponential",EXP(IF(AND(ISNUMBER('Council Entry'!AJ$8),ISNUMBER('Council Entry'!AJ$9)),MAX(MIN('Council Entry'!AJ138,'Council Entry'!AJ$9),'Council Entry'!AJ$8),'Council Entry'!AJ138)),IF(AND(ISNUMBER('Council Entry'!AJ$8),ISNUMBER('Council Entry'!AJ$9)),MAX(MIN('Council Entry'!AJ138,'Council Entry'!AJ$9),'Council Entry'!AJ$8),'Council Entry'!AJ138))))-'Council Entry'!AJ$5)/('Council Entry'!AJ$6-'Council Entry'!AJ$5)),1))),"No data"))</f>
        <v/>
      </c>
      <c r="AK138" s="13">
        <f>IF('Council Entry'!AK138="","",IFERROR(MAX(0,MIN(10,ROUND(IF('Council Entry'!AK$7="Decrease Risk",10-10*((IF('Council Entry'!AK$4="Logarithm",LN(0.001+IF(AND(ISNUMBER('Council Entry'!AK$8),ISNUMBER('Council Entry'!AK$9)),MAX(MIN('Council Entry'!AK138,'Council Entry'!AK$9),'Council Entry'!AK$8),'Council Entry'!AK138)),IF('Council Entry'!AK$4="Exponential",EXP(IF(AND(ISNUMBER('Council Entry'!AK$8),ISNUMBER('Council Entry'!AK$9)),MAX(MIN('Council Entry'!AK138,'Council Entry'!AK$9),'Council Entry'!AK$8),'Council Entry'!AK138)),IF(AND(ISNUMBER('Council Entry'!AK$8),ISNUMBER('Council Entry'!AK$9)),MAX(MIN('Council Entry'!AK138,'Council Entry'!AK$9),'Council Entry'!AK$8),'Council Entry'!AK138))))-'Council Entry'!AK$5)/('Council Entry'!AK$6-'Council Entry'!AK$5),10*((IF('Council Entry'!AK$4="Logarithm",LN(0.001+IF(AND(ISNUMBER('Council Entry'!AK$8),ISNUMBER('Council Entry'!AK$9)),MAX(MIN('Council Entry'!AK138,'Council Entry'!AK$9),'Council Entry'!AK$8),'Council Entry'!AK138)),IF('Council Entry'!AK$4="Exponential",EXP(IF(AND(ISNUMBER('Council Entry'!AK$8),ISNUMBER('Council Entry'!AK$9)),MAX(MIN('Council Entry'!AK138,'Council Entry'!AK$9),'Council Entry'!AK$8),'Council Entry'!AK138)),IF(AND(ISNUMBER('Council Entry'!AK$8),ISNUMBER('Council Entry'!AK$9)),MAX(MIN('Council Entry'!AK138,'Council Entry'!AK$9),'Council Entry'!AK$8),'Council Entry'!AK138))))-'Council Entry'!AK$5)/('Council Entry'!AK$6-'Council Entry'!AK$5)),1))),"No data"))</f>
        <v/>
      </c>
      <c r="AL138" s="13">
        <f>IF('Council Entry'!AL138="","",IFERROR(MAX(0,MIN(10,ROUND(IF('Council Entry'!AL$7="Decrease Risk",10-10*((IF('Council Entry'!AL$4="Logarithm",LN(0.001+IF(AND(ISNUMBER('Council Entry'!AL$8),ISNUMBER('Council Entry'!AL$9)),MAX(MIN('Council Entry'!AL138,'Council Entry'!AL$9),'Council Entry'!AL$8),'Council Entry'!AL138)),IF('Council Entry'!AL$4="Exponential",EXP(IF(AND(ISNUMBER('Council Entry'!AL$8),ISNUMBER('Council Entry'!AL$9)),MAX(MIN('Council Entry'!AL138,'Council Entry'!AL$9),'Council Entry'!AL$8),'Council Entry'!AL138)),IF(AND(ISNUMBER('Council Entry'!AL$8),ISNUMBER('Council Entry'!AL$9)),MAX(MIN('Council Entry'!AL138,'Council Entry'!AL$9),'Council Entry'!AL$8),'Council Entry'!AL138))))-'Council Entry'!AL$5)/('Council Entry'!AL$6-'Council Entry'!AL$5),10*((IF('Council Entry'!AL$4="Logarithm",LN(0.001+IF(AND(ISNUMBER('Council Entry'!AL$8),ISNUMBER('Council Entry'!AL$9)),MAX(MIN('Council Entry'!AL138,'Council Entry'!AL$9),'Council Entry'!AL$8),'Council Entry'!AL138)),IF('Council Entry'!AL$4="Exponential",EXP(IF(AND(ISNUMBER('Council Entry'!AL$8),ISNUMBER('Council Entry'!AL$9)),MAX(MIN('Council Entry'!AL138,'Council Entry'!AL$9),'Council Entry'!AL$8),'Council Entry'!AL138)),IF(AND(ISNUMBER('Council Entry'!AL$8),ISNUMBER('Council Entry'!AL$9)),MAX(MIN('Council Entry'!AL138,'Council Entry'!AL$9),'Council Entry'!AL$8),'Council Entry'!AL138))))-'Council Entry'!AL$5)/('Council Entry'!AL$6-'Council Entry'!AL$5)),1))),"No data"))</f>
        <v/>
      </c>
      <c r="AM138" s="13">
        <f>IF('Council Entry'!AM138="","",IFERROR(MAX(0,MIN(10,ROUND(IF('Council Entry'!AM$7="Decrease Risk",10-10*((IF('Council Entry'!AM$4="Logarithm",LN(0.001+IF(AND(ISNUMBER('Council Entry'!AM$8),ISNUMBER('Council Entry'!AM$9)),MAX(MIN('Council Entry'!AM138,'Council Entry'!AM$9),'Council Entry'!AM$8),'Council Entry'!AM138)),IF('Council Entry'!AM$4="Exponential",EXP(IF(AND(ISNUMBER('Council Entry'!AM$8),ISNUMBER('Council Entry'!AM$9)),MAX(MIN('Council Entry'!AM138,'Council Entry'!AM$9),'Council Entry'!AM$8),'Council Entry'!AM138)),IF(AND(ISNUMBER('Council Entry'!AM$8),ISNUMBER('Council Entry'!AM$9)),MAX(MIN('Council Entry'!AM138,'Council Entry'!AM$9),'Council Entry'!AM$8),'Council Entry'!AM138))))-'Council Entry'!AM$5)/('Council Entry'!AM$6-'Council Entry'!AM$5),10*((IF('Council Entry'!AM$4="Logarithm",LN(0.001+IF(AND(ISNUMBER('Council Entry'!AM$8),ISNUMBER('Council Entry'!AM$9)),MAX(MIN('Council Entry'!AM138,'Council Entry'!AM$9),'Council Entry'!AM$8),'Council Entry'!AM138)),IF('Council Entry'!AM$4="Exponential",EXP(IF(AND(ISNUMBER('Council Entry'!AM$8),ISNUMBER('Council Entry'!AM$9)),MAX(MIN('Council Entry'!AM138,'Council Entry'!AM$9),'Council Entry'!AM$8),'Council Entry'!AM138)),IF(AND(ISNUMBER('Council Entry'!AM$8),ISNUMBER('Council Entry'!AM$9)),MAX(MIN('Council Entry'!AM138,'Council Entry'!AM$9),'Council Entry'!AM$8),'Council Entry'!AM138))))-'Council Entry'!AM$5)/('Council Entry'!AM$6-'Council Entry'!AM$5)),1))),"No data"))</f>
        <v/>
      </c>
      <c r="AN138" s="13">
        <f>IF('Council Entry'!AN138="","",IFERROR(MAX(0,MIN(10,ROUND(IF('Council Entry'!AN$7="Decrease Risk",10-10*((IF('Council Entry'!AN$4="Logarithm",LN(0.001+IF(AND(ISNUMBER('Council Entry'!AN$8),ISNUMBER('Council Entry'!AN$9)),MAX(MIN('Council Entry'!AN138,'Council Entry'!AN$9),'Council Entry'!AN$8),'Council Entry'!AN138)),IF('Council Entry'!AN$4="Exponential",EXP(IF(AND(ISNUMBER('Council Entry'!AN$8),ISNUMBER('Council Entry'!AN$9)),MAX(MIN('Council Entry'!AN138,'Council Entry'!AN$9),'Council Entry'!AN$8),'Council Entry'!AN138)),IF(AND(ISNUMBER('Council Entry'!AN$8),ISNUMBER('Council Entry'!AN$9)),MAX(MIN('Council Entry'!AN138,'Council Entry'!AN$9),'Council Entry'!AN$8),'Council Entry'!AN138))))-'Council Entry'!AN$5)/('Council Entry'!AN$6-'Council Entry'!AN$5),10*((IF('Council Entry'!AN$4="Logarithm",LN(0.001+IF(AND(ISNUMBER('Council Entry'!AN$8),ISNUMBER('Council Entry'!AN$9)),MAX(MIN('Council Entry'!AN138,'Council Entry'!AN$9),'Council Entry'!AN$8),'Council Entry'!AN138)),IF('Council Entry'!AN$4="Exponential",EXP(IF(AND(ISNUMBER('Council Entry'!AN$8),ISNUMBER('Council Entry'!AN$9)),MAX(MIN('Council Entry'!AN138,'Council Entry'!AN$9),'Council Entry'!AN$8),'Council Entry'!AN138)),IF(AND(ISNUMBER('Council Entry'!AN$8),ISNUMBER('Council Entry'!AN$9)),MAX(MIN('Council Entry'!AN138,'Council Entry'!AN$9),'Council Entry'!AN$8),'Council Entry'!AN138))))-'Council Entry'!AN$5)/('Council Entry'!AN$6-'Council Entry'!AN$5)),1))),"No data"))</f>
        <v/>
      </c>
      <c r="AO138" s="13">
        <f>IF('Council Entry'!AO138="","",IFERROR(MAX(0,MIN(10,ROUND(IF('Council Entry'!AO$7="Decrease Risk",10-10*((IF('Council Entry'!AO$4="Logarithm",LN(0.001+IF(AND(ISNUMBER('Council Entry'!AO$8),ISNUMBER('Council Entry'!AO$9)),MAX(MIN('Council Entry'!AO138,'Council Entry'!AO$9),'Council Entry'!AO$8),'Council Entry'!AO138)),IF('Council Entry'!AO$4="Exponential",EXP(IF(AND(ISNUMBER('Council Entry'!AO$8),ISNUMBER('Council Entry'!AO$9)),MAX(MIN('Council Entry'!AO138,'Council Entry'!AO$9),'Council Entry'!AO$8),'Council Entry'!AO138)),IF(AND(ISNUMBER('Council Entry'!AO$8),ISNUMBER('Council Entry'!AO$9)),MAX(MIN('Council Entry'!AO138,'Council Entry'!AO$9),'Council Entry'!AO$8),'Council Entry'!AO138))))-'Council Entry'!AO$5)/('Council Entry'!AO$6-'Council Entry'!AO$5),10*((IF('Council Entry'!AO$4="Logarithm",LN(0.001+IF(AND(ISNUMBER('Council Entry'!AO$8),ISNUMBER('Council Entry'!AO$9)),MAX(MIN('Council Entry'!AO138,'Council Entry'!AO$9),'Council Entry'!AO$8),'Council Entry'!AO138)),IF('Council Entry'!AO$4="Exponential",EXP(IF(AND(ISNUMBER('Council Entry'!AO$8),ISNUMBER('Council Entry'!AO$9)),MAX(MIN('Council Entry'!AO138,'Council Entry'!AO$9),'Council Entry'!AO$8),'Council Entry'!AO138)),IF(AND(ISNUMBER('Council Entry'!AO$8),ISNUMBER('Council Entry'!AO$9)),MAX(MIN('Council Entry'!AO138,'Council Entry'!AO$9),'Council Entry'!AO$8),'Council Entry'!AO138))))-'Council Entry'!AO$5)/('Council Entry'!AO$6-'Council Entry'!AO$5)),1))),"No data"))</f>
        <v/>
      </c>
      <c r="AP138" s="13">
        <f>IF('Council Entry'!AP138="","",IFERROR(MAX(0,MIN(10,ROUND(IF('Council Entry'!AP$7="Decrease Risk",10-10*((IF('Council Entry'!AP$4="Logarithm",LN(0.001+IF(AND(ISNUMBER('Council Entry'!AP$8),ISNUMBER('Council Entry'!AP$9)),MAX(MIN('Council Entry'!AP138,'Council Entry'!AP$9),'Council Entry'!AP$8),'Council Entry'!AP138)),IF('Council Entry'!AP$4="Exponential",EXP(IF(AND(ISNUMBER('Council Entry'!AP$8),ISNUMBER('Council Entry'!AP$9)),MAX(MIN('Council Entry'!AP138,'Council Entry'!AP$9),'Council Entry'!AP$8),'Council Entry'!AP138)),IF(AND(ISNUMBER('Council Entry'!AP$8),ISNUMBER('Council Entry'!AP$9)),MAX(MIN('Council Entry'!AP138,'Council Entry'!AP$9),'Council Entry'!AP$8),'Council Entry'!AP138))))-'Council Entry'!AP$5)/('Council Entry'!AP$6-'Council Entry'!AP$5),10*((IF('Council Entry'!AP$4="Logarithm",LN(0.001+IF(AND(ISNUMBER('Council Entry'!AP$8),ISNUMBER('Council Entry'!AP$9)),MAX(MIN('Council Entry'!AP138,'Council Entry'!AP$9),'Council Entry'!AP$8),'Council Entry'!AP138)),IF('Council Entry'!AP$4="Exponential",EXP(IF(AND(ISNUMBER('Council Entry'!AP$8),ISNUMBER('Council Entry'!AP$9)),MAX(MIN('Council Entry'!AP138,'Council Entry'!AP$9),'Council Entry'!AP$8),'Council Entry'!AP138)),IF(AND(ISNUMBER('Council Entry'!AP$8),ISNUMBER('Council Entry'!AP$9)),MAX(MIN('Council Entry'!AP138,'Council Entry'!AP$9),'Council Entry'!AP$8),'Council Entry'!AP138))))-'Council Entry'!AP$5)/('Council Entry'!AP$6-'Council Entry'!AP$5)),1))),"No data"))</f>
        <v/>
      </c>
      <c r="AQ138" s="13">
        <f>IF('Council Entry'!AQ138="","",IFERROR(MAX(0,MIN(10,ROUND(IF('Council Entry'!AQ$7="Decrease Risk",10-10*((IF('Council Entry'!AQ$4="Logarithm",LN(0.001+IF(AND(ISNUMBER('Council Entry'!AQ$8),ISNUMBER('Council Entry'!AQ$9)),MAX(MIN('Council Entry'!AQ138,'Council Entry'!AQ$9),'Council Entry'!AQ$8),'Council Entry'!AQ138)),IF('Council Entry'!AQ$4="Exponential",EXP(IF(AND(ISNUMBER('Council Entry'!AQ$8),ISNUMBER('Council Entry'!AQ$9)),MAX(MIN('Council Entry'!AQ138,'Council Entry'!AQ$9),'Council Entry'!AQ$8),'Council Entry'!AQ138)),IF(AND(ISNUMBER('Council Entry'!AQ$8),ISNUMBER('Council Entry'!AQ$9)),MAX(MIN('Council Entry'!AQ138,'Council Entry'!AQ$9),'Council Entry'!AQ$8),'Council Entry'!AQ138))))-'Council Entry'!AQ$5)/('Council Entry'!AQ$6-'Council Entry'!AQ$5),10*((IF('Council Entry'!AQ$4="Logarithm",LN(0.001+IF(AND(ISNUMBER('Council Entry'!AQ$8),ISNUMBER('Council Entry'!AQ$9)),MAX(MIN('Council Entry'!AQ138,'Council Entry'!AQ$9),'Council Entry'!AQ$8),'Council Entry'!AQ138)),IF('Council Entry'!AQ$4="Exponential",EXP(IF(AND(ISNUMBER('Council Entry'!AQ$8),ISNUMBER('Council Entry'!AQ$9)),MAX(MIN('Council Entry'!AQ138,'Council Entry'!AQ$9),'Council Entry'!AQ$8),'Council Entry'!AQ138)),IF(AND(ISNUMBER('Council Entry'!AQ$8),ISNUMBER('Council Entry'!AQ$9)),MAX(MIN('Council Entry'!AQ138,'Council Entry'!AQ$9),'Council Entry'!AQ$8),'Council Entry'!AQ138))))-'Council Entry'!AQ$5)/('Council Entry'!AQ$6-'Council Entry'!AQ$5)),1))),"No data"))</f>
        <v/>
      </c>
      <c r="AR138" s="13">
        <f>IF('Council Entry'!AR138="","",IFERROR(MAX(0,MIN(10,ROUND(IF('Council Entry'!AR$7="Decrease Risk",10-10*((IF('Council Entry'!AR$4="Logarithm",LN(0.001+IF(AND(ISNUMBER('Council Entry'!AR$8),ISNUMBER('Council Entry'!AR$9)),MAX(MIN('Council Entry'!AR138,'Council Entry'!AR$9),'Council Entry'!AR$8),'Council Entry'!AR138)),IF('Council Entry'!AR$4="Exponential",EXP(IF(AND(ISNUMBER('Council Entry'!AR$8),ISNUMBER('Council Entry'!AR$9)),MAX(MIN('Council Entry'!AR138,'Council Entry'!AR$9),'Council Entry'!AR$8),'Council Entry'!AR138)),IF(AND(ISNUMBER('Council Entry'!AR$8),ISNUMBER('Council Entry'!AR$9)),MAX(MIN('Council Entry'!AR138,'Council Entry'!AR$9),'Council Entry'!AR$8),'Council Entry'!AR138))))-'Council Entry'!AR$5)/('Council Entry'!AR$6-'Council Entry'!AR$5),10*((IF('Council Entry'!AR$4="Logarithm",LN(0.001+IF(AND(ISNUMBER('Council Entry'!AR$8),ISNUMBER('Council Entry'!AR$9)),MAX(MIN('Council Entry'!AR138,'Council Entry'!AR$9),'Council Entry'!AR$8),'Council Entry'!AR138)),IF('Council Entry'!AR$4="Exponential",EXP(IF(AND(ISNUMBER('Council Entry'!AR$8),ISNUMBER('Council Entry'!AR$9)),MAX(MIN('Council Entry'!AR138,'Council Entry'!AR$9),'Council Entry'!AR$8),'Council Entry'!AR138)),IF(AND(ISNUMBER('Council Entry'!AR$8),ISNUMBER('Council Entry'!AR$9)),MAX(MIN('Council Entry'!AR138,'Council Entry'!AR$9),'Council Entry'!AR$8),'Council Entry'!AR138))))-'Council Entry'!AR$5)/('Council Entry'!AR$6-'Council Entry'!AR$5)),1))),"No data"))</f>
        <v/>
      </c>
      <c r="AS138" s="13">
        <f>IF('Council Entry'!AS138="","",IFERROR(MAX(0,MIN(10,ROUND(IF('Council Entry'!AS$7="Decrease Risk",10-10*((IF('Council Entry'!AS$4="Logarithm",LN(0.001+IF(AND(ISNUMBER('Council Entry'!AS$8),ISNUMBER('Council Entry'!AS$9)),MAX(MIN('Council Entry'!AS138,'Council Entry'!AS$9),'Council Entry'!AS$8),'Council Entry'!AS138)),IF('Council Entry'!AS$4="Exponential",EXP(IF(AND(ISNUMBER('Council Entry'!AS$8),ISNUMBER('Council Entry'!AS$9)),MAX(MIN('Council Entry'!AS138,'Council Entry'!AS$9),'Council Entry'!AS$8),'Council Entry'!AS138)),IF(AND(ISNUMBER('Council Entry'!AS$8),ISNUMBER('Council Entry'!AS$9)),MAX(MIN('Council Entry'!AS138,'Council Entry'!AS$9),'Council Entry'!AS$8),'Council Entry'!AS138))))-'Council Entry'!AS$5)/('Council Entry'!AS$6-'Council Entry'!AS$5),10*((IF('Council Entry'!AS$4="Logarithm",LN(0.001+IF(AND(ISNUMBER('Council Entry'!AS$8),ISNUMBER('Council Entry'!AS$9)),MAX(MIN('Council Entry'!AS138,'Council Entry'!AS$9),'Council Entry'!AS$8),'Council Entry'!AS138)),IF('Council Entry'!AS$4="Exponential",EXP(IF(AND(ISNUMBER('Council Entry'!AS$8),ISNUMBER('Council Entry'!AS$9)),MAX(MIN('Council Entry'!AS138,'Council Entry'!AS$9),'Council Entry'!AS$8),'Council Entry'!AS138)),IF(AND(ISNUMBER('Council Entry'!AS$8),ISNUMBER('Council Entry'!AS$9)),MAX(MIN('Council Entry'!AS138,'Council Entry'!AS$9),'Council Entry'!AS$8),'Council Entry'!AS138))))-'Council Entry'!AS$5)/('Council Entry'!AS$6-'Council Entry'!AS$5)),1))),"No data"))</f>
        <v/>
      </c>
      <c r="AT138" s="13">
        <f>IF('Council Entry'!AT138="","",IFERROR(MAX(0,MIN(10,ROUND(IF('Council Entry'!AT$7="Decrease Risk",10-10*((IF('Council Entry'!AT$4="Logarithm",LN(0.001+IF(AND(ISNUMBER('Council Entry'!AT$8),ISNUMBER('Council Entry'!AT$9)),MAX(MIN('Council Entry'!AT138,'Council Entry'!AT$9),'Council Entry'!AT$8),'Council Entry'!AT138)),IF('Council Entry'!AT$4="Exponential",EXP(IF(AND(ISNUMBER('Council Entry'!AT$8),ISNUMBER('Council Entry'!AT$9)),MAX(MIN('Council Entry'!AT138,'Council Entry'!AT$9),'Council Entry'!AT$8),'Council Entry'!AT138)),IF(AND(ISNUMBER('Council Entry'!AT$8),ISNUMBER('Council Entry'!AT$9)),MAX(MIN('Council Entry'!AT138,'Council Entry'!AT$9),'Council Entry'!AT$8),'Council Entry'!AT138))))-'Council Entry'!AT$5)/('Council Entry'!AT$6-'Council Entry'!AT$5),10*((IF('Council Entry'!AT$4="Logarithm",LN(0.001+IF(AND(ISNUMBER('Council Entry'!AT$8),ISNUMBER('Council Entry'!AT$9)),MAX(MIN('Council Entry'!AT138,'Council Entry'!AT$9),'Council Entry'!AT$8),'Council Entry'!AT138)),IF('Council Entry'!AT$4="Exponential",EXP(IF(AND(ISNUMBER('Council Entry'!AT$8),ISNUMBER('Council Entry'!AT$9)),MAX(MIN('Council Entry'!AT138,'Council Entry'!AT$9),'Council Entry'!AT$8),'Council Entry'!AT138)),IF(AND(ISNUMBER('Council Entry'!AT$8),ISNUMBER('Council Entry'!AT$9)),MAX(MIN('Council Entry'!AT138,'Council Entry'!AT$9),'Council Entry'!AT$8),'Council Entry'!AT138))))-'Council Entry'!AT$5)/('Council Entry'!AT$6-'Council Entry'!AT$5)),1))),"No data"))</f>
        <v/>
      </c>
      <c r="AU138" s="13">
        <f>IF('Council Entry'!AU138="","",IFERROR(MAX(0,MIN(10,ROUND(IF('Council Entry'!AU$7="Decrease Risk",10-10*((IF('Council Entry'!AU$4="Logarithm",LN(0.001+IF(AND(ISNUMBER('Council Entry'!AU$8),ISNUMBER('Council Entry'!AU$9)),MAX(MIN('Council Entry'!AU138,'Council Entry'!AU$9),'Council Entry'!AU$8),'Council Entry'!AU138)),IF('Council Entry'!AU$4="Exponential",EXP(IF(AND(ISNUMBER('Council Entry'!AU$8),ISNUMBER('Council Entry'!AU$9)),MAX(MIN('Council Entry'!AU138,'Council Entry'!AU$9),'Council Entry'!AU$8),'Council Entry'!AU138)),IF(AND(ISNUMBER('Council Entry'!AU$8),ISNUMBER('Council Entry'!AU$9)),MAX(MIN('Council Entry'!AU138,'Council Entry'!AU$9),'Council Entry'!AU$8),'Council Entry'!AU138))))-'Council Entry'!AU$5)/('Council Entry'!AU$6-'Council Entry'!AU$5),10*((IF('Council Entry'!AU$4="Logarithm",LN(0.001+IF(AND(ISNUMBER('Council Entry'!AU$8),ISNUMBER('Council Entry'!AU$9)),MAX(MIN('Council Entry'!AU138,'Council Entry'!AU$9),'Council Entry'!AU$8),'Council Entry'!AU138)),IF('Council Entry'!AU$4="Exponential",EXP(IF(AND(ISNUMBER('Council Entry'!AU$8),ISNUMBER('Council Entry'!AU$9)),MAX(MIN('Council Entry'!AU138,'Council Entry'!AU$9),'Council Entry'!AU$8),'Council Entry'!AU138)),IF(AND(ISNUMBER('Council Entry'!AU$8),ISNUMBER('Council Entry'!AU$9)),MAX(MIN('Council Entry'!AU138,'Council Entry'!AU$9),'Council Entry'!AU$8),'Council Entry'!AU138))))-'Council Entry'!AU$5)/('Council Entry'!AU$6-'Council Entry'!AU$5)),1))),"No data"))</f>
        <v/>
      </c>
      <c r="AV138" s="13">
        <f>IF('Council Entry'!AV138="","",IFERROR(MAX(0,MIN(10,ROUND(IF('Council Entry'!AV$7="Decrease Risk",10-10*((IF('Council Entry'!AV$4="Logarithm",LN(0.001+IF(AND(ISNUMBER('Council Entry'!AV$8),ISNUMBER('Council Entry'!AV$9)),MAX(MIN('Council Entry'!AV138,'Council Entry'!AV$9),'Council Entry'!AV$8),'Council Entry'!AV138)),IF('Council Entry'!AV$4="Exponential",EXP(IF(AND(ISNUMBER('Council Entry'!AV$8),ISNUMBER('Council Entry'!AV$9)),MAX(MIN('Council Entry'!AV138,'Council Entry'!AV$9),'Council Entry'!AV$8),'Council Entry'!AV138)),IF(AND(ISNUMBER('Council Entry'!AV$8),ISNUMBER('Council Entry'!AV$9)),MAX(MIN('Council Entry'!AV138,'Council Entry'!AV$9),'Council Entry'!AV$8),'Council Entry'!AV138))))-'Council Entry'!AV$5)/('Council Entry'!AV$6-'Council Entry'!AV$5),10*((IF('Council Entry'!AV$4="Logarithm",LN(0.001+IF(AND(ISNUMBER('Council Entry'!AV$8),ISNUMBER('Council Entry'!AV$9)),MAX(MIN('Council Entry'!AV138,'Council Entry'!AV$9),'Council Entry'!AV$8),'Council Entry'!AV138)),IF('Council Entry'!AV$4="Exponential",EXP(IF(AND(ISNUMBER('Council Entry'!AV$8),ISNUMBER('Council Entry'!AV$9)),MAX(MIN('Council Entry'!AV138,'Council Entry'!AV$9),'Council Entry'!AV$8),'Council Entry'!AV138)),IF(AND(ISNUMBER('Council Entry'!AV$8),ISNUMBER('Council Entry'!AV$9)),MAX(MIN('Council Entry'!AV138,'Council Entry'!AV$9),'Council Entry'!AV$8),'Council Entry'!AV138))))-'Council Entry'!AV$5)/('Council Entry'!AV$6-'Council Entry'!AV$5)),1))),"No data"))</f>
        <v/>
      </c>
      <c r="AW138" s="13">
        <f>IF('Council Entry'!AW138="","",IFERROR(MAX(0,MIN(10,ROUND(IF('Council Entry'!AW$7="Decrease Risk",10-10*((IF('Council Entry'!AW$4="Logarithm",LN(0.001+IF(AND(ISNUMBER('Council Entry'!AW$8),ISNUMBER('Council Entry'!AW$9)),MAX(MIN('Council Entry'!AW138,'Council Entry'!AW$9),'Council Entry'!AW$8),'Council Entry'!AW138)),IF('Council Entry'!AW$4="Exponential",EXP(IF(AND(ISNUMBER('Council Entry'!AW$8),ISNUMBER('Council Entry'!AW$9)),MAX(MIN('Council Entry'!AW138,'Council Entry'!AW$9),'Council Entry'!AW$8),'Council Entry'!AW138)),IF(AND(ISNUMBER('Council Entry'!AW$8),ISNUMBER('Council Entry'!AW$9)),MAX(MIN('Council Entry'!AW138,'Council Entry'!AW$9),'Council Entry'!AW$8),'Council Entry'!AW138))))-'Council Entry'!AW$5)/('Council Entry'!AW$6-'Council Entry'!AW$5),10*((IF('Council Entry'!AW$4="Logarithm",LN(0.001+IF(AND(ISNUMBER('Council Entry'!AW$8),ISNUMBER('Council Entry'!AW$9)),MAX(MIN('Council Entry'!AW138,'Council Entry'!AW$9),'Council Entry'!AW$8),'Council Entry'!AW138)),IF('Council Entry'!AW$4="Exponential",EXP(IF(AND(ISNUMBER('Council Entry'!AW$8),ISNUMBER('Council Entry'!AW$9)),MAX(MIN('Council Entry'!AW138,'Council Entry'!AW$9),'Council Entry'!AW$8),'Council Entry'!AW138)),IF(AND(ISNUMBER('Council Entry'!AW$8),ISNUMBER('Council Entry'!AW$9)),MAX(MIN('Council Entry'!AW138,'Council Entry'!AW$9),'Council Entry'!AW$8),'Council Entry'!AW138))))-'Council Entry'!AW$5)/('Council Entry'!AW$6-'Council Entry'!AW$5)),1))),"No data"))</f>
        <v/>
      </c>
      <c r="AX138" s="13">
        <f>IF('Council Entry'!AX138="","",IFERROR(MAX(0,MIN(10,ROUND(IF('Council Entry'!AX$7="Decrease Risk",10-10*((IF('Council Entry'!AX$4="Logarithm",LN(0.001+IF(AND(ISNUMBER('Council Entry'!AX$8),ISNUMBER('Council Entry'!AX$9)),MAX(MIN('Council Entry'!AX138,'Council Entry'!AX$9),'Council Entry'!AX$8),'Council Entry'!AX138)),IF('Council Entry'!AX$4="Exponential",EXP(IF(AND(ISNUMBER('Council Entry'!AX$8),ISNUMBER('Council Entry'!AX$9)),MAX(MIN('Council Entry'!AX138,'Council Entry'!AX$9),'Council Entry'!AX$8),'Council Entry'!AX138)),IF(AND(ISNUMBER('Council Entry'!AX$8),ISNUMBER('Council Entry'!AX$9)),MAX(MIN('Council Entry'!AX138,'Council Entry'!AX$9),'Council Entry'!AX$8),'Council Entry'!AX138))))-'Council Entry'!AX$5)/('Council Entry'!AX$6-'Council Entry'!AX$5),10*((IF('Council Entry'!AX$4="Logarithm",LN(0.001+IF(AND(ISNUMBER('Council Entry'!AX$8),ISNUMBER('Council Entry'!AX$9)),MAX(MIN('Council Entry'!AX138,'Council Entry'!AX$9),'Council Entry'!AX$8),'Council Entry'!AX138)),IF('Council Entry'!AX$4="Exponential",EXP(IF(AND(ISNUMBER('Council Entry'!AX$8),ISNUMBER('Council Entry'!AX$9)),MAX(MIN('Council Entry'!AX138,'Council Entry'!AX$9),'Council Entry'!AX$8),'Council Entry'!AX138)),IF(AND(ISNUMBER('Council Entry'!AX$8),ISNUMBER('Council Entry'!AX$9)),MAX(MIN('Council Entry'!AX138,'Council Entry'!AX$9),'Council Entry'!AX$8),'Council Entry'!AX138))))-'Council Entry'!AX$5)/('Council Entry'!AX$6-'Council Entry'!AX$5)),1))),"No data"))</f>
        <v/>
      </c>
      <c r="AY138" s="13">
        <f>IF('Council Entry'!AY138="","",IFERROR(MAX(0,MIN(10,ROUND(IF('Council Entry'!AY$7="Decrease Risk",10-10*((IF('Council Entry'!AY$4="Logarithm",LN(0.001+IF(AND(ISNUMBER('Council Entry'!AY$8),ISNUMBER('Council Entry'!AY$9)),MAX(MIN('Council Entry'!AY138,'Council Entry'!AY$9),'Council Entry'!AY$8),'Council Entry'!AY138)),IF('Council Entry'!AY$4="Exponential",EXP(IF(AND(ISNUMBER('Council Entry'!AY$8),ISNUMBER('Council Entry'!AY$9)),MAX(MIN('Council Entry'!AY138,'Council Entry'!AY$9),'Council Entry'!AY$8),'Council Entry'!AY138)),IF(AND(ISNUMBER('Council Entry'!AY$8),ISNUMBER('Council Entry'!AY$9)),MAX(MIN('Council Entry'!AY138,'Council Entry'!AY$9),'Council Entry'!AY$8),'Council Entry'!AY138))))-'Council Entry'!AY$5)/('Council Entry'!AY$6-'Council Entry'!AY$5),10*((IF('Council Entry'!AY$4="Logarithm",LN(0.001+IF(AND(ISNUMBER('Council Entry'!AY$8),ISNUMBER('Council Entry'!AY$9)),MAX(MIN('Council Entry'!AY138,'Council Entry'!AY$9),'Council Entry'!AY$8),'Council Entry'!AY138)),IF('Council Entry'!AY$4="Exponential",EXP(IF(AND(ISNUMBER('Council Entry'!AY$8),ISNUMBER('Council Entry'!AY$9)),MAX(MIN('Council Entry'!AY138,'Council Entry'!AY$9),'Council Entry'!AY$8),'Council Entry'!AY138)),IF(AND(ISNUMBER('Council Entry'!AY$8),ISNUMBER('Council Entry'!AY$9)),MAX(MIN('Council Entry'!AY138,'Council Entry'!AY$9),'Council Entry'!AY$8),'Council Entry'!AY138))))-'Council Entry'!AY$5)/('Council Entry'!AY$6-'Council Entry'!AY$5)),1))),"No data"))</f>
        <v/>
      </c>
      <c r="AZ138" s="13">
        <f>IF('Council Entry'!AZ138="","",IFERROR(MAX(0,MIN(10,ROUND(IF('Council Entry'!AZ$7="Decrease Risk",10-10*((IF('Council Entry'!AZ$4="Logarithm",LN(0.001+IF(AND(ISNUMBER('Council Entry'!AZ$8),ISNUMBER('Council Entry'!AZ$9)),MAX(MIN('Council Entry'!AZ138,'Council Entry'!AZ$9),'Council Entry'!AZ$8),'Council Entry'!AZ138)),IF('Council Entry'!AZ$4="Exponential",EXP(IF(AND(ISNUMBER('Council Entry'!AZ$8),ISNUMBER('Council Entry'!AZ$9)),MAX(MIN('Council Entry'!AZ138,'Council Entry'!AZ$9),'Council Entry'!AZ$8),'Council Entry'!AZ138)),IF(AND(ISNUMBER('Council Entry'!AZ$8),ISNUMBER('Council Entry'!AZ$9)),MAX(MIN('Council Entry'!AZ138,'Council Entry'!AZ$9),'Council Entry'!AZ$8),'Council Entry'!AZ138))))-'Council Entry'!AZ$5)/('Council Entry'!AZ$6-'Council Entry'!AZ$5),10*((IF('Council Entry'!AZ$4="Logarithm",LN(0.001+IF(AND(ISNUMBER('Council Entry'!AZ$8),ISNUMBER('Council Entry'!AZ$9)),MAX(MIN('Council Entry'!AZ138,'Council Entry'!AZ$9),'Council Entry'!AZ$8),'Council Entry'!AZ138)),IF('Council Entry'!AZ$4="Exponential",EXP(IF(AND(ISNUMBER('Council Entry'!AZ$8),ISNUMBER('Council Entry'!AZ$9)),MAX(MIN('Council Entry'!AZ138,'Council Entry'!AZ$9),'Council Entry'!AZ$8),'Council Entry'!AZ138)),IF(AND(ISNUMBER('Council Entry'!AZ$8),ISNUMBER('Council Entry'!AZ$9)),MAX(MIN('Council Entry'!AZ138,'Council Entry'!AZ$9),'Council Entry'!AZ$8),'Council Entry'!AZ138))))-'Council Entry'!AZ$5)/('Council Entry'!AZ$6-'Council Entry'!AZ$5)),1))),"No data"))</f>
        <v/>
      </c>
      <c r="BA138" s="13">
        <f>IF('Council Entry'!BA138="","",IFERROR(MAX(0,MIN(10,ROUND(IF('Council Entry'!BA$7="Decrease Risk",10-10*((IF('Council Entry'!BA$4="Logarithm",LN(0.001+IF(AND(ISNUMBER('Council Entry'!BA$8),ISNUMBER('Council Entry'!BA$9)),MAX(MIN('Council Entry'!BA138,'Council Entry'!BA$9),'Council Entry'!BA$8),'Council Entry'!BA138)),IF('Council Entry'!BA$4="Exponential",EXP(IF(AND(ISNUMBER('Council Entry'!BA$8),ISNUMBER('Council Entry'!BA$9)),MAX(MIN('Council Entry'!BA138,'Council Entry'!BA$9),'Council Entry'!BA$8),'Council Entry'!BA138)),IF(AND(ISNUMBER('Council Entry'!BA$8),ISNUMBER('Council Entry'!BA$9)),MAX(MIN('Council Entry'!BA138,'Council Entry'!BA$9),'Council Entry'!BA$8),'Council Entry'!BA138))))-'Council Entry'!BA$5)/('Council Entry'!BA$6-'Council Entry'!BA$5),10*((IF('Council Entry'!BA$4="Logarithm",LN(0.001+IF(AND(ISNUMBER('Council Entry'!BA$8),ISNUMBER('Council Entry'!BA$9)),MAX(MIN('Council Entry'!BA138,'Council Entry'!BA$9),'Council Entry'!BA$8),'Council Entry'!BA138)),IF('Council Entry'!BA$4="Exponential",EXP(IF(AND(ISNUMBER('Council Entry'!BA$8),ISNUMBER('Council Entry'!BA$9)),MAX(MIN('Council Entry'!BA138,'Council Entry'!BA$9),'Council Entry'!BA$8),'Council Entry'!BA138)),IF(AND(ISNUMBER('Council Entry'!BA$8),ISNUMBER('Council Entry'!BA$9)),MAX(MIN('Council Entry'!BA138,'Council Entry'!BA$9),'Council Entry'!BA$8),'Council Entry'!BA138))))-'Council Entry'!BA$5)/('Council Entry'!BA$6-'Council Entry'!BA$5)),1))),"No data"))</f>
        <v/>
      </c>
      <c r="BB138" s="13">
        <f>IF('Council Entry'!BB138="","",IFERROR(MAX(0,MIN(10,ROUND(IF('Council Entry'!BB$7="Decrease Risk",10-10*((IF('Council Entry'!BB$4="Logarithm",LN(0.001+IF(AND(ISNUMBER('Council Entry'!BB$8),ISNUMBER('Council Entry'!BB$9)),MAX(MIN('Council Entry'!BB138,'Council Entry'!BB$9),'Council Entry'!BB$8),'Council Entry'!BB138)),IF('Council Entry'!BB$4="Exponential",EXP(IF(AND(ISNUMBER('Council Entry'!BB$8),ISNUMBER('Council Entry'!BB$9)),MAX(MIN('Council Entry'!BB138,'Council Entry'!BB$9),'Council Entry'!BB$8),'Council Entry'!BB138)),IF(AND(ISNUMBER('Council Entry'!BB$8),ISNUMBER('Council Entry'!BB$9)),MAX(MIN('Council Entry'!BB138,'Council Entry'!BB$9),'Council Entry'!BB$8),'Council Entry'!BB138))))-'Council Entry'!BB$5)/('Council Entry'!BB$6-'Council Entry'!BB$5),10*((IF('Council Entry'!BB$4="Logarithm",LN(0.001+IF(AND(ISNUMBER('Council Entry'!BB$8),ISNUMBER('Council Entry'!BB$9)),MAX(MIN('Council Entry'!BB138,'Council Entry'!BB$9),'Council Entry'!BB$8),'Council Entry'!BB138)),IF('Council Entry'!BB$4="Exponential",EXP(IF(AND(ISNUMBER('Council Entry'!BB$8),ISNUMBER('Council Entry'!BB$9)),MAX(MIN('Council Entry'!BB138,'Council Entry'!BB$9),'Council Entry'!BB$8),'Council Entry'!BB138)),IF(AND(ISNUMBER('Council Entry'!BB$8),ISNUMBER('Council Entry'!BB$9)),MAX(MIN('Council Entry'!BB138,'Council Entry'!BB$9),'Council Entry'!BB$8),'Council Entry'!BB138))))-'Council Entry'!BB$5)/('Council Entry'!BB$6-'Council Entry'!BB$5)),1))),"No data"))</f>
        <v/>
      </c>
      <c r="BC138" s="13">
        <f>IF('Council Entry'!BC138="","",IFERROR(MAX(0,MIN(10,ROUND(IF('Council Entry'!BC$7="Decrease Risk",10-10*((IF('Council Entry'!BC$4="Logarithm",LN(0.001+IF(AND(ISNUMBER('Council Entry'!BC$8),ISNUMBER('Council Entry'!BC$9)),MAX(MIN('Council Entry'!BC138,'Council Entry'!BC$9),'Council Entry'!BC$8),'Council Entry'!BC138)),IF('Council Entry'!BC$4="Exponential",EXP(IF(AND(ISNUMBER('Council Entry'!BC$8),ISNUMBER('Council Entry'!BC$9)),MAX(MIN('Council Entry'!BC138,'Council Entry'!BC$9),'Council Entry'!BC$8),'Council Entry'!BC138)),IF(AND(ISNUMBER('Council Entry'!BC$8),ISNUMBER('Council Entry'!BC$9)),MAX(MIN('Council Entry'!BC138,'Council Entry'!BC$9),'Council Entry'!BC$8),'Council Entry'!BC138))))-'Council Entry'!BC$5)/('Council Entry'!BC$6-'Council Entry'!BC$5),10*((IF('Council Entry'!BC$4="Logarithm",LN(0.001+IF(AND(ISNUMBER('Council Entry'!BC$8),ISNUMBER('Council Entry'!BC$9)),MAX(MIN('Council Entry'!BC138,'Council Entry'!BC$9),'Council Entry'!BC$8),'Council Entry'!BC138)),IF('Council Entry'!BC$4="Exponential",EXP(IF(AND(ISNUMBER('Council Entry'!BC$8),ISNUMBER('Council Entry'!BC$9)),MAX(MIN('Council Entry'!BC138,'Council Entry'!BC$9),'Council Entry'!BC$8),'Council Entry'!BC138)),IF(AND(ISNUMBER('Council Entry'!BC$8),ISNUMBER('Council Entry'!BC$9)),MAX(MIN('Council Entry'!BC138,'Council Entry'!BC$9),'Council Entry'!BC$8),'Council Entry'!BC138))))-'Council Entry'!BC$5)/('Council Entry'!BC$6-'Council Entry'!BC$5)),1))),"No data"))</f>
        <v/>
      </c>
      <c r="BD138" s="13">
        <f>IF('Council Entry'!BD138="","",IFERROR(MAX(0,MIN(10,ROUND(IF('Council Entry'!BD$7="Decrease Risk",10-10*((IF('Council Entry'!BD$4="Logarithm",LN(0.001+IF(AND(ISNUMBER('Council Entry'!BD$8),ISNUMBER('Council Entry'!BD$9)),MAX(MIN('Council Entry'!BD138,'Council Entry'!BD$9),'Council Entry'!BD$8),'Council Entry'!BD138)),IF('Council Entry'!BD$4="Exponential",EXP(IF(AND(ISNUMBER('Council Entry'!BD$8),ISNUMBER('Council Entry'!BD$9)),MAX(MIN('Council Entry'!BD138,'Council Entry'!BD$9),'Council Entry'!BD$8),'Council Entry'!BD138)),IF(AND(ISNUMBER('Council Entry'!BD$8),ISNUMBER('Council Entry'!BD$9)),MAX(MIN('Council Entry'!BD138,'Council Entry'!BD$9),'Council Entry'!BD$8),'Council Entry'!BD138))))-'Council Entry'!BD$5)/('Council Entry'!BD$6-'Council Entry'!BD$5),10*((IF('Council Entry'!BD$4="Logarithm",LN(0.001+IF(AND(ISNUMBER('Council Entry'!BD$8),ISNUMBER('Council Entry'!BD$9)),MAX(MIN('Council Entry'!BD138,'Council Entry'!BD$9),'Council Entry'!BD$8),'Council Entry'!BD138)),IF('Council Entry'!BD$4="Exponential",EXP(IF(AND(ISNUMBER('Council Entry'!BD$8),ISNUMBER('Council Entry'!BD$9)),MAX(MIN('Council Entry'!BD138,'Council Entry'!BD$9),'Council Entry'!BD$8),'Council Entry'!BD138)),IF(AND(ISNUMBER('Council Entry'!BD$8),ISNUMBER('Council Entry'!BD$9)),MAX(MIN('Council Entry'!BD138,'Council Entry'!BD$9),'Council Entry'!BD$8),'Council Entry'!BD138))))-'Council Entry'!BD$5)/('Council Entry'!BD$6-'Council Entry'!BD$5)),1))),"No data"))</f>
        <v/>
      </c>
    </row>
    <row r="139">
      <c r="A139" t="inlineStr">
        <is>
          <t>Njombe</t>
        </is>
      </c>
      <c r="B139" t="inlineStr">
        <is>
          <t>Njombe District</t>
        </is>
      </c>
      <c r="C139" t="inlineStr">
        <is>
          <t>C157</t>
        </is>
      </c>
      <c r="D139" s="13">
        <f>IF('Council Entry'!D139="","",IFERROR(MAX(0,MIN(10,ROUND(IF('Council Entry'!D$7="Decrease Risk",10-10*((IF('Council Entry'!D$4="Logarithm",LN(0.001+IF(AND(ISNUMBER('Council Entry'!D$8),ISNUMBER('Council Entry'!D$9)),MAX(MIN('Council Entry'!D139,'Council Entry'!D$9),'Council Entry'!D$8),'Council Entry'!D139)),IF('Council Entry'!D$4="Exponential",EXP(IF(AND(ISNUMBER('Council Entry'!D$8),ISNUMBER('Council Entry'!D$9)),MAX(MIN('Council Entry'!D139,'Council Entry'!D$9),'Council Entry'!D$8),'Council Entry'!D139)),IF(AND(ISNUMBER('Council Entry'!D$8),ISNUMBER('Council Entry'!D$9)),MAX(MIN('Council Entry'!D139,'Council Entry'!D$9),'Council Entry'!D$8),'Council Entry'!D139))))-'Council Entry'!D$5)/('Council Entry'!D$6-'Council Entry'!D$5),10*((IF('Council Entry'!D$4="Logarithm",LN(0.001+IF(AND(ISNUMBER('Council Entry'!D$8),ISNUMBER('Council Entry'!D$9)),MAX(MIN('Council Entry'!D139,'Council Entry'!D$9),'Council Entry'!D$8),'Council Entry'!D139)),IF('Council Entry'!D$4="Exponential",EXP(IF(AND(ISNUMBER('Council Entry'!D$8),ISNUMBER('Council Entry'!D$9)),MAX(MIN('Council Entry'!D139,'Council Entry'!D$9),'Council Entry'!D$8),'Council Entry'!D139)),IF(AND(ISNUMBER('Council Entry'!D$8),ISNUMBER('Council Entry'!D$9)),MAX(MIN('Council Entry'!D139,'Council Entry'!D$9),'Council Entry'!D$8),'Council Entry'!D139))))-'Council Entry'!D$5)/('Council Entry'!D$6-'Council Entry'!D$5)),1))),"No data"))</f>
        <v/>
      </c>
      <c r="E139" s="13">
        <f>IF('Council Entry'!E139="","",IFERROR(MAX(0,MIN(10,ROUND(IF('Council Entry'!E$7="Decrease Risk",10-10*((IF('Council Entry'!E$4="Logarithm",LN(0.001+IF(AND(ISNUMBER('Council Entry'!E$8),ISNUMBER('Council Entry'!E$9)),MAX(MIN('Council Entry'!E139,'Council Entry'!E$9),'Council Entry'!E$8),'Council Entry'!E139)),IF('Council Entry'!E$4="Exponential",EXP(IF(AND(ISNUMBER('Council Entry'!E$8),ISNUMBER('Council Entry'!E$9)),MAX(MIN('Council Entry'!E139,'Council Entry'!E$9),'Council Entry'!E$8),'Council Entry'!E139)),IF(AND(ISNUMBER('Council Entry'!E$8),ISNUMBER('Council Entry'!E$9)),MAX(MIN('Council Entry'!E139,'Council Entry'!E$9),'Council Entry'!E$8),'Council Entry'!E139))))-'Council Entry'!E$5)/('Council Entry'!E$6-'Council Entry'!E$5),10*((IF('Council Entry'!E$4="Logarithm",LN(0.001+IF(AND(ISNUMBER('Council Entry'!E$8),ISNUMBER('Council Entry'!E$9)),MAX(MIN('Council Entry'!E139,'Council Entry'!E$9),'Council Entry'!E$8),'Council Entry'!E139)),IF('Council Entry'!E$4="Exponential",EXP(IF(AND(ISNUMBER('Council Entry'!E$8),ISNUMBER('Council Entry'!E$9)),MAX(MIN('Council Entry'!E139,'Council Entry'!E$9),'Council Entry'!E$8),'Council Entry'!E139)),IF(AND(ISNUMBER('Council Entry'!E$8),ISNUMBER('Council Entry'!E$9)),MAX(MIN('Council Entry'!E139,'Council Entry'!E$9),'Council Entry'!E$8),'Council Entry'!E139))))-'Council Entry'!E$5)/('Council Entry'!E$6-'Council Entry'!E$5)),1))),"No data"))</f>
        <v/>
      </c>
      <c r="F139" s="13">
        <f>IF('Council Entry'!F139="","",IFERROR(MAX(0,MIN(10,ROUND(IF('Council Entry'!F$7="Decrease Risk",10-10*((IF('Council Entry'!F$4="Logarithm",LN(0.001+IF(AND(ISNUMBER('Council Entry'!F$8),ISNUMBER('Council Entry'!F$9)),MAX(MIN('Council Entry'!F139,'Council Entry'!F$9),'Council Entry'!F$8),'Council Entry'!F139)),IF('Council Entry'!F$4="Exponential",EXP(IF(AND(ISNUMBER('Council Entry'!F$8),ISNUMBER('Council Entry'!F$9)),MAX(MIN('Council Entry'!F139,'Council Entry'!F$9),'Council Entry'!F$8),'Council Entry'!F139)),IF(AND(ISNUMBER('Council Entry'!F$8),ISNUMBER('Council Entry'!F$9)),MAX(MIN('Council Entry'!F139,'Council Entry'!F$9),'Council Entry'!F$8),'Council Entry'!F139))))-'Council Entry'!F$5)/('Council Entry'!F$6-'Council Entry'!F$5),10*((IF('Council Entry'!F$4="Logarithm",LN(0.001+IF(AND(ISNUMBER('Council Entry'!F$8),ISNUMBER('Council Entry'!F$9)),MAX(MIN('Council Entry'!F139,'Council Entry'!F$9),'Council Entry'!F$8),'Council Entry'!F139)),IF('Council Entry'!F$4="Exponential",EXP(IF(AND(ISNUMBER('Council Entry'!F$8),ISNUMBER('Council Entry'!F$9)),MAX(MIN('Council Entry'!F139,'Council Entry'!F$9),'Council Entry'!F$8),'Council Entry'!F139)),IF(AND(ISNUMBER('Council Entry'!F$8),ISNUMBER('Council Entry'!F$9)),MAX(MIN('Council Entry'!F139,'Council Entry'!F$9),'Council Entry'!F$8),'Council Entry'!F139))))-'Council Entry'!F$5)/('Council Entry'!F$6-'Council Entry'!F$5)),1))),"No data"))</f>
        <v/>
      </c>
      <c r="G139" s="13">
        <f>IF('Council Entry'!G139="","",IFERROR(MAX(0,MIN(10,ROUND(IF('Council Entry'!G$7="Decrease Risk",10-10*((IF('Council Entry'!G$4="Logarithm",LN(0.001+IF(AND(ISNUMBER('Council Entry'!G$8),ISNUMBER('Council Entry'!G$9)),MAX(MIN('Council Entry'!G139,'Council Entry'!G$9),'Council Entry'!G$8),'Council Entry'!G139)),IF('Council Entry'!G$4="Exponential",EXP(IF(AND(ISNUMBER('Council Entry'!G$8),ISNUMBER('Council Entry'!G$9)),MAX(MIN('Council Entry'!G139,'Council Entry'!G$9),'Council Entry'!G$8),'Council Entry'!G139)),IF(AND(ISNUMBER('Council Entry'!G$8),ISNUMBER('Council Entry'!G$9)),MAX(MIN('Council Entry'!G139,'Council Entry'!G$9),'Council Entry'!G$8),'Council Entry'!G139))))-'Council Entry'!G$5)/('Council Entry'!G$6-'Council Entry'!G$5),10*((IF('Council Entry'!G$4="Logarithm",LN(0.001+IF(AND(ISNUMBER('Council Entry'!G$8),ISNUMBER('Council Entry'!G$9)),MAX(MIN('Council Entry'!G139,'Council Entry'!G$9),'Council Entry'!G$8),'Council Entry'!G139)),IF('Council Entry'!G$4="Exponential",EXP(IF(AND(ISNUMBER('Council Entry'!G$8),ISNUMBER('Council Entry'!G$9)),MAX(MIN('Council Entry'!G139,'Council Entry'!G$9),'Council Entry'!G$8),'Council Entry'!G139)),IF(AND(ISNUMBER('Council Entry'!G$8),ISNUMBER('Council Entry'!G$9)),MAX(MIN('Council Entry'!G139,'Council Entry'!G$9),'Council Entry'!G$8),'Council Entry'!G139))))-'Council Entry'!G$5)/('Council Entry'!G$6-'Council Entry'!G$5)),1))),"No data"))</f>
        <v/>
      </c>
      <c r="H139" s="13">
        <f>IF('Council Entry'!H139="","",IFERROR(MAX(0,MIN(10,ROUND(IF('Council Entry'!H$7="Decrease Risk",10-10*((IF('Council Entry'!H$4="Logarithm",LN(0.001+IF(AND(ISNUMBER('Council Entry'!H$8),ISNUMBER('Council Entry'!H$9)),MAX(MIN('Council Entry'!H139,'Council Entry'!H$9),'Council Entry'!H$8),'Council Entry'!H139)),IF('Council Entry'!H$4="Exponential",EXP(IF(AND(ISNUMBER('Council Entry'!H$8),ISNUMBER('Council Entry'!H$9)),MAX(MIN('Council Entry'!H139,'Council Entry'!H$9),'Council Entry'!H$8),'Council Entry'!H139)),IF(AND(ISNUMBER('Council Entry'!H$8),ISNUMBER('Council Entry'!H$9)),MAX(MIN('Council Entry'!H139,'Council Entry'!H$9),'Council Entry'!H$8),'Council Entry'!H139))))-'Council Entry'!H$5)/('Council Entry'!H$6-'Council Entry'!H$5),10*((IF('Council Entry'!H$4="Logarithm",LN(0.001+IF(AND(ISNUMBER('Council Entry'!H$8),ISNUMBER('Council Entry'!H$9)),MAX(MIN('Council Entry'!H139,'Council Entry'!H$9),'Council Entry'!H$8),'Council Entry'!H139)),IF('Council Entry'!H$4="Exponential",EXP(IF(AND(ISNUMBER('Council Entry'!H$8),ISNUMBER('Council Entry'!H$9)),MAX(MIN('Council Entry'!H139,'Council Entry'!H$9),'Council Entry'!H$8),'Council Entry'!H139)),IF(AND(ISNUMBER('Council Entry'!H$8),ISNUMBER('Council Entry'!H$9)),MAX(MIN('Council Entry'!H139,'Council Entry'!H$9),'Council Entry'!H$8),'Council Entry'!H139))))-'Council Entry'!H$5)/('Council Entry'!H$6-'Council Entry'!H$5)),1))),"No data"))</f>
        <v/>
      </c>
      <c r="I139" s="13">
        <f>IF('Council Entry'!I139="","",IFERROR(MAX(0,MIN(10,ROUND(IF('Council Entry'!I$7="Decrease Risk",10-10*((IF('Council Entry'!I$4="Logarithm",LN(0.001+IF(AND(ISNUMBER('Council Entry'!I$8),ISNUMBER('Council Entry'!I$9)),MAX(MIN('Council Entry'!I139,'Council Entry'!I$9),'Council Entry'!I$8),'Council Entry'!I139)),IF('Council Entry'!I$4="Exponential",EXP(IF(AND(ISNUMBER('Council Entry'!I$8),ISNUMBER('Council Entry'!I$9)),MAX(MIN('Council Entry'!I139,'Council Entry'!I$9),'Council Entry'!I$8),'Council Entry'!I139)),IF(AND(ISNUMBER('Council Entry'!I$8),ISNUMBER('Council Entry'!I$9)),MAX(MIN('Council Entry'!I139,'Council Entry'!I$9),'Council Entry'!I$8),'Council Entry'!I139))))-'Council Entry'!I$5)/('Council Entry'!I$6-'Council Entry'!I$5),10*((IF('Council Entry'!I$4="Logarithm",LN(0.001+IF(AND(ISNUMBER('Council Entry'!I$8),ISNUMBER('Council Entry'!I$9)),MAX(MIN('Council Entry'!I139,'Council Entry'!I$9),'Council Entry'!I$8),'Council Entry'!I139)),IF('Council Entry'!I$4="Exponential",EXP(IF(AND(ISNUMBER('Council Entry'!I$8),ISNUMBER('Council Entry'!I$9)),MAX(MIN('Council Entry'!I139,'Council Entry'!I$9),'Council Entry'!I$8),'Council Entry'!I139)),IF(AND(ISNUMBER('Council Entry'!I$8),ISNUMBER('Council Entry'!I$9)),MAX(MIN('Council Entry'!I139,'Council Entry'!I$9),'Council Entry'!I$8),'Council Entry'!I139))))-'Council Entry'!I$5)/('Council Entry'!I$6-'Council Entry'!I$5)),1))),"No data"))</f>
        <v/>
      </c>
      <c r="J139" s="13">
        <f>IF('Council Entry'!J139="","",IFERROR(MAX(0,MIN(10,ROUND(IF('Council Entry'!J$7="Decrease Risk",10-10*((IF('Council Entry'!J$4="Logarithm",LN(0.001+IF(AND(ISNUMBER('Council Entry'!J$8),ISNUMBER('Council Entry'!J$9)),MAX(MIN('Council Entry'!J139,'Council Entry'!J$9),'Council Entry'!J$8),'Council Entry'!J139)),IF('Council Entry'!J$4="Exponential",EXP(IF(AND(ISNUMBER('Council Entry'!J$8),ISNUMBER('Council Entry'!J$9)),MAX(MIN('Council Entry'!J139,'Council Entry'!J$9),'Council Entry'!J$8),'Council Entry'!J139)),IF(AND(ISNUMBER('Council Entry'!J$8),ISNUMBER('Council Entry'!J$9)),MAX(MIN('Council Entry'!J139,'Council Entry'!J$9),'Council Entry'!J$8),'Council Entry'!J139))))-'Council Entry'!J$5)/('Council Entry'!J$6-'Council Entry'!J$5),10*((IF('Council Entry'!J$4="Logarithm",LN(0.001+IF(AND(ISNUMBER('Council Entry'!J$8),ISNUMBER('Council Entry'!J$9)),MAX(MIN('Council Entry'!J139,'Council Entry'!J$9),'Council Entry'!J$8),'Council Entry'!J139)),IF('Council Entry'!J$4="Exponential",EXP(IF(AND(ISNUMBER('Council Entry'!J$8),ISNUMBER('Council Entry'!J$9)),MAX(MIN('Council Entry'!J139,'Council Entry'!J$9),'Council Entry'!J$8),'Council Entry'!J139)),IF(AND(ISNUMBER('Council Entry'!J$8),ISNUMBER('Council Entry'!J$9)),MAX(MIN('Council Entry'!J139,'Council Entry'!J$9),'Council Entry'!J$8),'Council Entry'!J139))))-'Council Entry'!J$5)/('Council Entry'!J$6-'Council Entry'!J$5)),1))),"No data"))</f>
        <v/>
      </c>
      <c r="K139" s="13">
        <f>IF('Council Entry'!K139="","",IFERROR(MAX(0,MIN(10,ROUND(IF('Council Entry'!K$7="Decrease Risk",10-10*((IF('Council Entry'!K$4="Logarithm",LN(0.001+IF(AND(ISNUMBER('Council Entry'!K$8),ISNUMBER('Council Entry'!K$9)),MAX(MIN('Council Entry'!K139,'Council Entry'!K$9),'Council Entry'!K$8),'Council Entry'!K139)),IF('Council Entry'!K$4="Exponential",EXP(IF(AND(ISNUMBER('Council Entry'!K$8),ISNUMBER('Council Entry'!K$9)),MAX(MIN('Council Entry'!K139,'Council Entry'!K$9),'Council Entry'!K$8),'Council Entry'!K139)),IF(AND(ISNUMBER('Council Entry'!K$8),ISNUMBER('Council Entry'!K$9)),MAX(MIN('Council Entry'!K139,'Council Entry'!K$9),'Council Entry'!K$8),'Council Entry'!K139))))-'Council Entry'!K$5)/('Council Entry'!K$6-'Council Entry'!K$5),10*((IF('Council Entry'!K$4="Logarithm",LN(0.001+IF(AND(ISNUMBER('Council Entry'!K$8),ISNUMBER('Council Entry'!K$9)),MAX(MIN('Council Entry'!K139,'Council Entry'!K$9),'Council Entry'!K$8),'Council Entry'!K139)),IF('Council Entry'!K$4="Exponential",EXP(IF(AND(ISNUMBER('Council Entry'!K$8),ISNUMBER('Council Entry'!K$9)),MAX(MIN('Council Entry'!K139,'Council Entry'!K$9),'Council Entry'!K$8),'Council Entry'!K139)),IF(AND(ISNUMBER('Council Entry'!K$8),ISNUMBER('Council Entry'!K$9)),MAX(MIN('Council Entry'!K139,'Council Entry'!K$9),'Council Entry'!K$8),'Council Entry'!K139))))-'Council Entry'!K$5)/('Council Entry'!K$6-'Council Entry'!K$5)),1))),"No data"))</f>
        <v/>
      </c>
      <c r="L139" s="13">
        <f>IF('Council Entry'!L139="","",IFERROR(MAX(0,MIN(10,ROUND(IF('Council Entry'!L$7="Decrease Risk",10-10*((IF('Council Entry'!L$4="Logarithm",LN(0.001+IF(AND(ISNUMBER('Council Entry'!L$8),ISNUMBER('Council Entry'!L$9)),MAX(MIN('Council Entry'!L139,'Council Entry'!L$9),'Council Entry'!L$8),'Council Entry'!L139)),IF('Council Entry'!L$4="Exponential",EXP(IF(AND(ISNUMBER('Council Entry'!L$8),ISNUMBER('Council Entry'!L$9)),MAX(MIN('Council Entry'!L139,'Council Entry'!L$9),'Council Entry'!L$8),'Council Entry'!L139)),IF(AND(ISNUMBER('Council Entry'!L$8),ISNUMBER('Council Entry'!L$9)),MAX(MIN('Council Entry'!L139,'Council Entry'!L$9),'Council Entry'!L$8),'Council Entry'!L139))))-'Council Entry'!L$5)/('Council Entry'!L$6-'Council Entry'!L$5),10*((IF('Council Entry'!L$4="Logarithm",LN(0.001+IF(AND(ISNUMBER('Council Entry'!L$8),ISNUMBER('Council Entry'!L$9)),MAX(MIN('Council Entry'!L139,'Council Entry'!L$9),'Council Entry'!L$8),'Council Entry'!L139)),IF('Council Entry'!L$4="Exponential",EXP(IF(AND(ISNUMBER('Council Entry'!L$8),ISNUMBER('Council Entry'!L$9)),MAX(MIN('Council Entry'!L139,'Council Entry'!L$9),'Council Entry'!L$8),'Council Entry'!L139)),IF(AND(ISNUMBER('Council Entry'!L$8),ISNUMBER('Council Entry'!L$9)),MAX(MIN('Council Entry'!L139,'Council Entry'!L$9),'Council Entry'!L$8),'Council Entry'!L139))))-'Council Entry'!L$5)/('Council Entry'!L$6-'Council Entry'!L$5)),1))),"No data"))</f>
        <v/>
      </c>
      <c r="M139" s="13">
        <f>IF('Council Entry'!M139="","",IFERROR(MAX(0,MIN(10,ROUND(IF('Council Entry'!M$7="Decrease Risk",10-10*((IF('Council Entry'!M$4="Logarithm",LN(0.001+IF(AND(ISNUMBER('Council Entry'!M$8),ISNUMBER('Council Entry'!M$9)),MAX(MIN('Council Entry'!M139,'Council Entry'!M$9),'Council Entry'!M$8),'Council Entry'!M139)),IF('Council Entry'!M$4="Exponential",EXP(IF(AND(ISNUMBER('Council Entry'!M$8),ISNUMBER('Council Entry'!M$9)),MAX(MIN('Council Entry'!M139,'Council Entry'!M$9),'Council Entry'!M$8),'Council Entry'!M139)),IF(AND(ISNUMBER('Council Entry'!M$8),ISNUMBER('Council Entry'!M$9)),MAX(MIN('Council Entry'!M139,'Council Entry'!M$9),'Council Entry'!M$8),'Council Entry'!M139))))-'Council Entry'!M$5)/('Council Entry'!M$6-'Council Entry'!M$5),10*((IF('Council Entry'!M$4="Logarithm",LN(0.001+IF(AND(ISNUMBER('Council Entry'!M$8),ISNUMBER('Council Entry'!M$9)),MAX(MIN('Council Entry'!M139,'Council Entry'!M$9),'Council Entry'!M$8),'Council Entry'!M139)),IF('Council Entry'!M$4="Exponential",EXP(IF(AND(ISNUMBER('Council Entry'!M$8),ISNUMBER('Council Entry'!M$9)),MAX(MIN('Council Entry'!M139,'Council Entry'!M$9),'Council Entry'!M$8),'Council Entry'!M139)),IF(AND(ISNUMBER('Council Entry'!M$8),ISNUMBER('Council Entry'!M$9)),MAX(MIN('Council Entry'!M139,'Council Entry'!M$9),'Council Entry'!M$8),'Council Entry'!M139))))-'Council Entry'!M$5)/('Council Entry'!M$6-'Council Entry'!M$5)),1))),"No data"))</f>
        <v/>
      </c>
      <c r="N139" s="13">
        <f>IF('Council Entry'!N139="","",IFERROR(MAX(0,MIN(10,ROUND(IF('Council Entry'!N$7="Decrease Risk",10-10*((IF('Council Entry'!N$4="Logarithm",LN(0.001+IF(AND(ISNUMBER('Council Entry'!N$8),ISNUMBER('Council Entry'!N$9)),MAX(MIN('Council Entry'!N139,'Council Entry'!N$9),'Council Entry'!N$8),'Council Entry'!N139)),IF('Council Entry'!N$4="Exponential",EXP(IF(AND(ISNUMBER('Council Entry'!N$8),ISNUMBER('Council Entry'!N$9)),MAX(MIN('Council Entry'!N139,'Council Entry'!N$9),'Council Entry'!N$8),'Council Entry'!N139)),IF(AND(ISNUMBER('Council Entry'!N$8),ISNUMBER('Council Entry'!N$9)),MAX(MIN('Council Entry'!N139,'Council Entry'!N$9),'Council Entry'!N$8),'Council Entry'!N139))))-'Council Entry'!N$5)/('Council Entry'!N$6-'Council Entry'!N$5),10*((IF('Council Entry'!N$4="Logarithm",LN(0.001+IF(AND(ISNUMBER('Council Entry'!N$8),ISNUMBER('Council Entry'!N$9)),MAX(MIN('Council Entry'!N139,'Council Entry'!N$9),'Council Entry'!N$8),'Council Entry'!N139)),IF('Council Entry'!N$4="Exponential",EXP(IF(AND(ISNUMBER('Council Entry'!N$8),ISNUMBER('Council Entry'!N$9)),MAX(MIN('Council Entry'!N139,'Council Entry'!N$9),'Council Entry'!N$8),'Council Entry'!N139)),IF(AND(ISNUMBER('Council Entry'!N$8),ISNUMBER('Council Entry'!N$9)),MAX(MIN('Council Entry'!N139,'Council Entry'!N$9),'Council Entry'!N$8),'Council Entry'!N139))))-'Council Entry'!N$5)/('Council Entry'!N$6-'Council Entry'!N$5)),1))),"No data"))</f>
        <v/>
      </c>
      <c r="O139" s="13">
        <f>IF('Council Entry'!O139="","",IFERROR(MAX(0,MIN(10,ROUND(IF('Council Entry'!O$7="Decrease Risk",10-10*((IF('Council Entry'!O$4="Logarithm",LN(0.001+IF(AND(ISNUMBER('Council Entry'!O$8),ISNUMBER('Council Entry'!O$9)),MAX(MIN('Council Entry'!O139,'Council Entry'!O$9),'Council Entry'!O$8),'Council Entry'!O139)),IF('Council Entry'!O$4="Exponential",EXP(IF(AND(ISNUMBER('Council Entry'!O$8),ISNUMBER('Council Entry'!O$9)),MAX(MIN('Council Entry'!O139,'Council Entry'!O$9),'Council Entry'!O$8),'Council Entry'!O139)),IF(AND(ISNUMBER('Council Entry'!O$8),ISNUMBER('Council Entry'!O$9)),MAX(MIN('Council Entry'!O139,'Council Entry'!O$9),'Council Entry'!O$8),'Council Entry'!O139))))-'Council Entry'!O$5)/('Council Entry'!O$6-'Council Entry'!O$5),10*((IF('Council Entry'!O$4="Logarithm",LN(0.001+IF(AND(ISNUMBER('Council Entry'!O$8),ISNUMBER('Council Entry'!O$9)),MAX(MIN('Council Entry'!O139,'Council Entry'!O$9),'Council Entry'!O$8),'Council Entry'!O139)),IF('Council Entry'!O$4="Exponential",EXP(IF(AND(ISNUMBER('Council Entry'!O$8),ISNUMBER('Council Entry'!O$9)),MAX(MIN('Council Entry'!O139,'Council Entry'!O$9),'Council Entry'!O$8),'Council Entry'!O139)),IF(AND(ISNUMBER('Council Entry'!O$8),ISNUMBER('Council Entry'!O$9)),MAX(MIN('Council Entry'!O139,'Council Entry'!O$9),'Council Entry'!O$8),'Council Entry'!O139))))-'Council Entry'!O$5)/('Council Entry'!O$6-'Council Entry'!O$5)),1))),"No data"))</f>
        <v/>
      </c>
      <c r="P139" s="13">
        <f>IF('Council Entry'!P139="","",IFERROR(MAX(0,MIN(10,ROUND(IF('Council Entry'!P$7="Decrease Risk",10-10*((IF('Council Entry'!P$4="Logarithm",LN(0.001+IF(AND(ISNUMBER('Council Entry'!P$8),ISNUMBER('Council Entry'!P$9)),MAX(MIN('Council Entry'!P139,'Council Entry'!P$9),'Council Entry'!P$8),'Council Entry'!P139)),IF('Council Entry'!P$4="Exponential",EXP(IF(AND(ISNUMBER('Council Entry'!P$8),ISNUMBER('Council Entry'!P$9)),MAX(MIN('Council Entry'!P139,'Council Entry'!P$9),'Council Entry'!P$8),'Council Entry'!P139)),IF(AND(ISNUMBER('Council Entry'!P$8),ISNUMBER('Council Entry'!P$9)),MAX(MIN('Council Entry'!P139,'Council Entry'!P$9),'Council Entry'!P$8),'Council Entry'!P139))))-'Council Entry'!P$5)/('Council Entry'!P$6-'Council Entry'!P$5),10*((IF('Council Entry'!P$4="Logarithm",LN(0.001+IF(AND(ISNUMBER('Council Entry'!P$8),ISNUMBER('Council Entry'!P$9)),MAX(MIN('Council Entry'!P139,'Council Entry'!P$9),'Council Entry'!P$8),'Council Entry'!P139)),IF('Council Entry'!P$4="Exponential",EXP(IF(AND(ISNUMBER('Council Entry'!P$8),ISNUMBER('Council Entry'!P$9)),MAX(MIN('Council Entry'!P139,'Council Entry'!P$9),'Council Entry'!P$8),'Council Entry'!P139)),IF(AND(ISNUMBER('Council Entry'!P$8),ISNUMBER('Council Entry'!P$9)),MAX(MIN('Council Entry'!P139,'Council Entry'!P$9),'Council Entry'!P$8),'Council Entry'!P139))))-'Council Entry'!P$5)/('Council Entry'!P$6-'Council Entry'!P$5)),1))),"No data"))</f>
        <v/>
      </c>
      <c r="Q139" s="13">
        <f>IF('Council Entry'!Q139="","",IFERROR(MAX(0,MIN(10,ROUND(IF('Council Entry'!Q$7="Decrease Risk",10-10*((IF('Council Entry'!Q$4="Logarithm",LN(0.001+IF(AND(ISNUMBER('Council Entry'!Q$8),ISNUMBER('Council Entry'!Q$9)),MAX(MIN('Council Entry'!Q139,'Council Entry'!Q$9),'Council Entry'!Q$8),'Council Entry'!Q139)),IF('Council Entry'!Q$4="Exponential",EXP(IF(AND(ISNUMBER('Council Entry'!Q$8),ISNUMBER('Council Entry'!Q$9)),MAX(MIN('Council Entry'!Q139,'Council Entry'!Q$9),'Council Entry'!Q$8),'Council Entry'!Q139)),IF(AND(ISNUMBER('Council Entry'!Q$8),ISNUMBER('Council Entry'!Q$9)),MAX(MIN('Council Entry'!Q139,'Council Entry'!Q$9),'Council Entry'!Q$8),'Council Entry'!Q139))))-'Council Entry'!Q$5)/('Council Entry'!Q$6-'Council Entry'!Q$5),10*((IF('Council Entry'!Q$4="Logarithm",LN(0.001+IF(AND(ISNUMBER('Council Entry'!Q$8),ISNUMBER('Council Entry'!Q$9)),MAX(MIN('Council Entry'!Q139,'Council Entry'!Q$9),'Council Entry'!Q$8),'Council Entry'!Q139)),IF('Council Entry'!Q$4="Exponential",EXP(IF(AND(ISNUMBER('Council Entry'!Q$8),ISNUMBER('Council Entry'!Q$9)),MAX(MIN('Council Entry'!Q139,'Council Entry'!Q$9),'Council Entry'!Q$8),'Council Entry'!Q139)),IF(AND(ISNUMBER('Council Entry'!Q$8),ISNUMBER('Council Entry'!Q$9)),MAX(MIN('Council Entry'!Q139,'Council Entry'!Q$9),'Council Entry'!Q$8),'Council Entry'!Q139))))-'Council Entry'!Q$5)/('Council Entry'!Q$6-'Council Entry'!Q$5)),1))),"No data"))</f>
        <v/>
      </c>
      <c r="R139" s="13">
        <f>IF('Council Entry'!R139="","",IFERROR(MAX(0,MIN(10,ROUND(IF('Council Entry'!R$7="Decrease Risk",10-10*((IF('Council Entry'!R$4="Logarithm",LN(0.001+IF(AND(ISNUMBER('Council Entry'!R$8),ISNUMBER('Council Entry'!R$9)),MAX(MIN('Council Entry'!R139,'Council Entry'!R$9),'Council Entry'!R$8),'Council Entry'!R139)),IF('Council Entry'!R$4="Exponential",EXP(IF(AND(ISNUMBER('Council Entry'!R$8),ISNUMBER('Council Entry'!R$9)),MAX(MIN('Council Entry'!R139,'Council Entry'!R$9),'Council Entry'!R$8),'Council Entry'!R139)),IF(AND(ISNUMBER('Council Entry'!R$8),ISNUMBER('Council Entry'!R$9)),MAX(MIN('Council Entry'!R139,'Council Entry'!R$9),'Council Entry'!R$8),'Council Entry'!R139))))-'Council Entry'!R$5)/('Council Entry'!R$6-'Council Entry'!R$5),10*((IF('Council Entry'!R$4="Logarithm",LN(0.001+IF(AND(ISNUMBER('Council Entry'!R$8),ISNUMBER('Council Entry'!R$9)),MAX(MIN('Council Entry'!R139,'Council Entry'!R$9),'Council Entry'!R$8),'Council Entry'!R139)),IF('Council Entry'!R$4="Exponential",EXP(IF(AND(ISNUMBER('Council Entry'!R$8),ISNUMBER('Council Entry'!R$9)),MAX(MIN('Council Entry'!R139,'Council Entry'!R$9),'Council Entry'!R$8),'Council Entry'!R139)),IF(AND(ISNUMBER('Council Entry'!R$8),ISNUMBER('Council Entry'!R$9)),MAX(MIN('Council Entry'!R139,'Council Entry'!R$9),'Council Entry'!R$8),'Council Entry'!R139))))-'Council Entry'!R$5)/('Council Entry'!R$6-'Council Entry'!R$5)),1))),"No data"))</f>
        <v/>
      </c>
      <c r="S139" s="13">
        <f>IF('Council Entry'!S139="","",IFERROR(MAX(0,MIN(10,ROUND(IF('Council Entry'!S$7="Decrease Risk",10-10*((IF('Council Entry'!S$4="Logarithm",LN(0.001+IF(AND(ISNUMBER('Council Entry'!S$8),ISNUMBER('Council Entry'!S$9)),MAX(MIN('Council Entry'!S139,'Council Entry'!S$9),'Council Entry'!S$8),'Council Entry'!S139)),IF('Council Entry'!S$4="Exponential",EXP(IF(AND(ISNUMBER('Council Entry'!S$8),ISNUMBER('Council Entry'!S$9)),MAX(MIN('Council Entry'!S139,'Council Entry'!S$9),'Council Entry'!S$8),'Council Entry'!S139)),IF(AND(ISNUMBER('Council Entry'!S$8),ISNUMBER('Council Entry'!S$9)),MAX(MIN('Council Entry'!S139,'Council Entry'!S$9),'Council Entry'!S$8),'Council Entry'!S139))))-'Council Entry'!S$5)/('Council Entry'!S$6-'Council Entry'!S$5),10*((IF('Council Entry'!S$4="Logarithm",LN(0.001+IF(AND(ISNUMBER('Council Entry'!S$8),ISNUMBER('Council Entry'!S$9)),MAX(MIN('Council Entry'!S139,'Council Entry'!S$9),'Council Entry'!S$8),'Council Entry'!S139)),IF('Council Entry'!S$4="Exponential",EXP(IF(AND(ISNUMBER('Council Entry'!S$8),ISNUMBER('Council Entry'!S$9)),MAX(MIN('Council Entry'!S139,'Council Entry'!S$9),'Council Entry'!S$8),'Council Entry'!S139)),IF(AND(ISNUMBER('Council Entry'!S$8),ISNUMBER('Council Entry'!S$9)),MAX(MIN('Council Entry'!S139,'Council Entry'!S$9),'Council Entry'!S$8),'Council Entry'!S139))))-'Council Entry'!S$5)/('Council Entry'!S$6-'Council Entry'!S$5)),1))),"No data"))</f>
        <v/>
      </c>
      <c r="T139" s="13">
        <f>IF('Council Entry'!T139="","",IFERROR(MAX(0,MIN(10,ROUND(IF('Council Entry'!T$7="Decrease Risk",10-10*((IF('Council Entry'!T$4="Logarithm",LN(0.001+IF(AND(ISNUMBER('Council Entry'!T$8),ISNUMBER('Council Entry'!T$9)),MAX(MIN('Council Entry'!T139,'Council Entry'!T$9),'Council Entry'!T$8),'Council Entry'!T139)),IF('Council Entry'!T$4="Exponential",EXP(IF(AND(ISNUMBER('Council Entry'!T$8),ISNUMBER('Council Entry'!T$9)),MAX(MIN('Council Entry'!T139,'Council Entry'!T$9),'Council Entry'!T$8),'Council Entry'!T139)),IF(AND(ISNUMBER('Council Entry'!T$8),ISNUMBER('Council Entry'!T$9)),MAX(MIN('Council Entry'!T139,'Council Entry'!T$9),'Council Entry'!T$8),'Council Entry'!T139))))-'Council Entry'!T$5)/('Council Entry'!T$6-'Council Entry'!T$5),10*((IF('Council Entry'!T$4="Logarithm",LN(0.001+IF(AND(ISNUMBER('Council Entry'!T$8),ISNUMBER('Council Entry'!T$9)),MAX(MIN('Council Entry'!T139,'Council Entry'!T$9),'Council Entry'!T$8),'Council Entry'!T139)),IF('Council Entry'!T$4="Exponential",EXP(IF(AND(ISNUMBER('Council Entry'!T$8),ISNUMBER('Council Entry'!T$9)),MAX(MIN('Council Entry'!T139,'Council Entry'!T$9),'Council Entry'!T$8),'Council Entry'!T139)),IF(AND(ISNUMBER('Council Entry'!T$8),ISNUMBER('Council Entry'!T$9)),MAX(MIN('Council Entry'!T139,'Council Entry'!T$9),'Council Entry'!T$8),'Council Entry'!T139))))-'Council Entry'!T$5)/('Council Entry'!T$6-'Council Entry'!T$5)),1))),"No data"))</f>
        <v/>
      </c>
      <c r="U139" s="13">
        <f>IF('Council Entry'!U139="","",IFERROR(MAX(0,MIN(10,ROUND(IF('Council Entry'!U$7="Decrease Risk",10-10*((IF('Council Entry'!U$4="Logarithm",LN(0.001+IF(AND(ISNUMBER('Council Entry'!U$8),ISNUMBER('Council Entry'!U$9)),MAX(MIN('Council Entry'!U139,'Council Entry'!U$9),'Council Entry'!U$8),'Council Entry'!U139)),IF('Council Entry'!U$4="Exponential",EXP(IF(AND(ISNUMBER('Council Entry'!U$8),ISNUMBER('Council Entry'!U$9)),MAX(MIN('Council Entry'!U139,'Council Entry'!U$9),'Council Entry'!U$8),'Council Entry'!U139)),IF(AND(ISNUMBER('Council Entry'!U$8),ISNUMBER('Council Entry'!U$9)),MAX(MIN('Council Entry'!U139,'Council Entry'!U$9),'Council Entry'!U$8),'Council Entry'!U139))))-'Council Entry'!U$5)/('Council Entry'!U$6-'Council Entry'!U$5),10*((IF('Council Entry'!U$4="Logarithm",LN(0.001+IF(AND(ISNUMBER('Council Entry'!U$8),ISNUMBER('Council Entry'!U$9)),MAX(MIN('Council Entry'!U139,'Council Entry'!U$9),'Council Entry'!U$8),'Council Entry'!U139)),IF('Council Entry'!U$4="Exponential",EXP(IF(AND(ISNUMBER('Council Entry'!U$8),ISNUMBER('Council Entry'!U$9)),MAX(MIN('Council Entry'!U139,'Council Entry'!U$9),'Council Entry'!U$8),'Council Entry'!U139)),IF(AND(ISNUMBER('Council Entry'!U$8),ISNUMBER('Council Entry'!U$9)),MAX(MIN('Council Entry'!U139,'Council Entry'!U$9),'Council Entry'!U$8),'Council Entry'!U139))))-'Council Entry'!U$5)/('Council Entry'!U$6-'Council Entry'!U$5)),1))),"No data"))</f>
        <v/>
      </c>
      <c r="V139" s="13">
        <f>IF('Council Entry'!V139="","",IFERROR(MAX(0,MIN(10,ROUND(IF('Council Entry'!V$7="Decrease Risk",10-10*((IF('Council Entry'!V$4="Logarithm",LN(0.001+IF(AND(ISNUMBER('Council Entry'!V$8),ISNUMBER('Council Entry'!V$9)),MAX(MIN('Council Entry'!V139,'Council Entry'!V$9),'Council Entry'!V$8),'Council Entry'!V139)),IF('Council Entry'!V$4="Exponential",EXP(IF(AND(ISNUMBER('Council Entry'!V$8),ISNUMBER('Council Entry'!V$9)),MAX(MIN('Council Entry'!V139,'Council Entry'!V$9),'Council Entry'!V$8),'Council Entry'!V139)),IF(AND(ISNUMBER('Council Entry'!V$8),ISNUMBER('Council Entry'!V$9)),MAX(MIN('Council Entry'!V139,'Council Entry'!V$9),'Council Entry'!V$8),'Council Entry'!V139))))-'Council Entry'!V$5)/('Council Entry'!V$6-'Council Entry'!V$5),10*((IF('Council Entry'!V$4="Logarithm",LN(0.001+IF(AND(ISNUMBER('Council Entry'!V$8),ISNUMBER('Council Entry'!V$9)),MAX(MIN('Council Entry'!V139,'Council Entry'!V$9),'Council Entry'!V$8),'Council Entry'!V139)),IF('Council Entry'!V$4="Exponential",EXP(IF(AND(ISNUMBER('Council Entry'!V$8),ISNUMBER('Council Entry'!V$9)),MAX(MIN('Council Entry'!V139,'Council Entry'!V$9),'Council Entry'!V$8),'Council Entry'!V139)),IF(AND(ISNUMBER('Council Entry'!V$8),ISNUMBER('Council Entry'!V$9)),MAX(MIN('Council Entry'!V139,'Council Entry'!V$9),'Council Entry'!V$8),'Council Entry'!V139))))-'Council Entry'!V$5)/('Council Entry'!V$6-'Council Entry'!V$5)),1))),"No data"))</f>
        <v/>
      </c>
      <c r="W139" s="13">
        <f>IF('Council Entry'!W139="","",IFERROR(MAX(0,MIN(10,ROUND(IF('Council Entry'!W$7="Decrease Risk",10-10*((IF('Council Entry'!W$4="Logarithm",LN(0.001+IF(AND(ISNUMBER('Council Entry'!W$8),ISNUMBER('Council Entry'!W$9)),MAX(MIN('Council Entry'!W139,'Council Entry'!W$9),'Council Entry'!W$8),'Council Entry'!W139)),IF('Council Entry'!W$4="Exponential",EXP(IF(AND(ISNUMBER('Council Entry'!W$8),ISNUMBER('Council Entry'!W$9)),MAX(MIN('Council Entry'!W139,'Council Entry'!W$9),'Council Entry'!W$8),'Council Entry'!W139)),IF(AND(ISNUMBER('Council Entry'!W$8),ISNUMBER('Council Entry'!W$9)),MAX(MIN('Council Entry'!W139,'Council Entry'!W$9),'Council Entry'!W$8),'Council Entry'!W139))))-'Council Entry'!W$5)/('Council Entry'!W$6-'Council Entry'!W$5),10*((IF('Council Entry'!W$4="Logarithm",LN(0.001+IF(AND(ISNUMBER('Council Entry'!W$8),ISNUMBER('Council Entry'!W$9)),MAX(MIN('Council Entry'!W139,'Council Entry'!W$9),'Council Entry'!W$8),'Council Entry'!W139)),IF('Council Entry'!W$4="Exponential",EXP(IF(AND(ISNUMBER('Council Entry'!W$8),ISNUMBER('Council Entry'!W$9)),MAX(MIN('Council Entry'!W139,'Council Entry'!W$9),'Council Entry'!W$8),'Council Entry'!W139)),IF(AND(ISNUMBER('Council Entry'!W$8),ISNUMBER('Council Entry'!W$9)),MAX(MIN('Council Entry'!W139,'Council Entry'!W$9),'Council Entry'!W$8),'Council Entry'!W139))))-'Council Entry'!W$5)/('Council Entry'!W$6-'Council Entry'!W$5)),1))),"No data"))</f>
        <v/>
      </c>
      <c r="X139" s="13">
        <f>IF('Council Entry'!X139="","",IFERROR(MAX(0,MIN(10,ROUND(IF('Council Entry'!X$7="Decrease Risk",10-10*((IF('Council Entry'!X$4="Logarithm",LN(0.001+IF(AND(ISNUMBER('Council Entry'!X$8),ISNUMBER('Council Entry'!X$9)),MAX(MIN('Council Entry'!X139,'Council Entry'!X$9),'Council Entry'!X$8),'Council Entry'!X139)),IF('Council Entry'!X$4="Exponential",EXP(IF(AND(ISNUMBER('Council Entry'!X$8),ISNUMBER('Council Entry'!X$9)),MAX(MIN('Council Entry'!X139,'Council Entry'!X$9),'Council Entry'!X$8),'Council Entry'!X139)),IF(AND(ISNUMBER('Council Entry'!X$8),ISNUMBER('Council Entry'!X$9)),MAX(MIN('Council Entry'!X139,'Council Entry'!X$9),'Council Entry'!X$8),'Council Entry'!X139))))-'Council Entry'!X$5)/('Council Entry'!X$6-'Council Entry'!X$5),10*((IF('Council Entry'!X$4="Logarithm",LN(0.001+IF(AND(ISNUMBER('Council Entry'!X$8),ISNUMBER('Council Entry'!X$9)),MAX(MIN('Council Entry'!X139,'Council Entry'!X$9),'Council Entry'!X$8),'Council Entry'!X139)),IF('Council Entry'!X$4="Exponential",EXP(IF(AND(ISNUMBER('Council Entry'!X$8),ISNUMBER('Council Entry'!X$9)),MAX(MIN('Council Entry'!X139,'Council Entry'!X$9),'Council Entry'!X$8),'Council Entry'!X139)),IF(AND(ISNUMBER('Council Entry'!X$8),ISNUMBER('Council Entry'!X$9)),MAX(MIN('Council Entry'!X139,'Council Entry'!X$9),'Council Entry'!X$8),'Council Entry'!X139))))-'Council Entry'!X$5)/('Council Entry'!X$6-'Council Entry'!X$5)),1))),"No data"))</f>
        <v/>
      </c>
      <c r="Y139" s="13">
        <f>IF('Council Entry'!Y139="","",IFERROR(MAX(0,MIN(10,ROUND(IF('Council Entry'!Y$7="Decrease Risk",10-10*((IF('Council Entry'!Y$4="Logarithm",LN(0.001+IF(AND(ISNUMBER('Council Entry'!Y$8),ISNUMBER('Council Entry'!Y$9)),MAX(MIN('Council Entry'!Y139,'Council Entry'!Y$9),'Council Entry'!Y$8),'Council Entry'!Y139)),IF('Council Entry'!Y$4="Exponential",EXP(IF(AND(ISNUMBER('Council Entry'!Y$8),ISNUMBER('Council Entry'!Y$9)),MAX(MIN('Council Entry'!Y139,'Council Entry'!Y$9),'Council Entry'!Y$8),'Council Entry'!Y139)),IF(AND(ISNUMBER('Council Entry'!Y$8),ISNUMBER('Council Entry'!Y$9)),MAX(MIN('Council Entry'!Y139,'Council Entry'!Y$9),'Council Entry'!Y$8),'Council Entry'!Y139))))-'Council Entry'!Y$5)/('Council Entry'!Y$6-'Council Entry'!Y$5),10*((IF('Council Entry'!Y$4="Logarithm",LN(0.001+IF(AND(ISNUMBER('Council Entry'!Y$8),ISNUMBER('Council Entry'!Y$9)),MAX(MIN('Council Entry'!Y139,'Council Entry'!Y$9),'Council Entry'!Y$8),'Council Entry'!Y139)),IF('Council Entry'!Y$4="Exponential",EXP(IF(AND(ISNUMBER('Council Entry'!Y$8),ISNUMBER('Council Entry'!Y$9)),MAX(MIN('Council Entry'!Y139,'Council Entry'!Y$9),'Council Entry'!Y$8),'Council Entry'!Y139)),IF(AND(ISNUMBER('Council Entry'!Y$8),ISNUMBER('Council Entry'!Y$9)),MAX(MIN('Council Entry'!Y139,'Council Entry'!Y$9),'Council Entry'!Y$8),'Council Entry'!Y139))))-'Council Entry'!Y$5)/('Council Entry'!Y$6-'Council Entry'!Y$5)),1))),"No data"))</f>
        <v/>
      </c>
      <c r="Z139" s="13">
        <f>IF('Council Entry'!Z139="","",IFERROR(MAX(0,MIN(10,ROUND(IF('Council Entry'!Z$7="Decrease Risk",10-10*((IF('Council Entry'!Z$4="Logarithm",LN(0.001+IF(AND(ISNUMBER('Council Entry'!Z$8),ISNUMBER('Council Entry'!Z$9)),MAX(MIN('Council Entry'!Z139,'Council Entry'!Z$9),'Council Entry'!Z$8),'Council Entry'!Z139)),IF('Council Entry'!Z$4="Exponential",EXP(IF(AND(ISNUMBER('Council Entry'!Z$8),ISNUMBER('Council Entry'!Z$9)),MAX(MIN('Council Entry'!Z139,'Council Entry'!Z$9),'Council Entry'!Z$8),'Council Entry'!Z139)),IF(AND(ISNUMBER('Council Entry'!Z$8),ISNUMBER('Council Entry'!Z$9)),MAX(MIN('Council Entry'!Z139,'Council Entry'!Z$9),'Council Entry'!Z$8),'Council Entry'!Z139))))-'Council Entry'!Z$5)/('Council Entry'!Z$6-'Council Entry'!Z$5),10*((IF('Council Entry'!Z$4="Logarithm",LN(0.001+IF(AND(ISNUMBER('Council Entry'!Z$8),ISNUMBER('Council Entry'!Z$9)),MAX(MIN('Council Entry'!Z139,'Council Entry'!Z$9),'Council Entry'!Z$8),'Council Entry'!Z139)),IF('Council Entry'!Z$4="Exponential",EXP(IF(AND(ISNUMBER('Council Entry'!Z$8),ISNUMBER('Council Entry'!Z$9)),MAX(MIN('Council Entry'!Z139,'Council Entry'!Z$9),'Council Entry'!Z$8),'Council Entry'!Z139)),IF(AND(ISNUMBER('Council Entry'!Z$8),ISNUMBER('Council Entry'!Z$9)),MAX(MIN('Council Entry'!Z139,'Council Entry'!Z$9),'Council Entry'!Z$8),'Council Entry'!Z139))))-'Council Entry'!Z$5)/('Council Entry'!Z$6-'Council Entry'!Z$5)),1))),"No data"))</f>
        <v/>
      </c>
      <c r="AA139" s="13">
        <f>IF('Council Entry'!AA139="","",IFERROR(MAX(0,MIN(10,ROUND(IF('Council Entry'!AA$7="Decrease Risk",10-10*((IF('Council Entry'!AA$4="Logarithm",LN(0.001+IF(AND(ISNUMBER('Council Entry'!AA$8),ISNUMBER('Council Entry'!AA$9)),MAX(MIN('Council Entry'!AA139,'Council Entry'!AA$9),'Council Entry'!AA$8),'Council Entry'!AA139)),IF('Council Entry'!AA$4="Exponential",EXP(IF(AND(ISNUMBER('Council Entry'!AA$8),ISNUMBER('Council Entry'!AA$9)),MAX(MIN('Council Entry'!AA139,'Council Entry'!AA$9),'Council Entry'!AA$8),'Council Entry'!AA139)),IF(AND(ISNUMBER('Council Entry'!AA$8),ISNUMBER('Council Entry'!AA$9)),MAX(MIN('Council Entry'!AA139,'Council Entry'!AA$9),'Council Entry'!AA$8),'Council Entry'!AA139))))-'Council Entry'!AA$5)/('Council Entry'!AA$6-'Council Entry'!AA$5),10*((IF('Council Entry'!AA$4="Logarithm",LN(0.001+IF(AND(ISNUMBER('Council Entry'!AA$8),ISNUMBER('Council Entry'!AA$9)),MAX(MIN('Council Entry'!AA139,'Council Entry'!AA$9),'Council Entry'!AA$8),'Council Entry'!AA139)),IF('Council Entry'!AA$4="Exponential",EXP(IF(AND(ISNUMBER('Council Entry'!AA$8),ISNUMBER('Council Entry'!AA$9)),MAX(MIN('Council Entry'!AA139,'Council Entry'!AA$9),'Council Entry'!AA$8),'Council Entry'!AA139)),IF(AND(ISNUMBER('Council Entry'!AA$8),ISNUMBER('Council Entry'!AA$9)),MAX(MIN('Council Entry'!AA139,'Council Entry'!AA$9),'Council Entry'!AA$8),'Council Entry'!AA139))))-'Council Entry'!AA$5)/('Council Entry'!AA$6-'Council Entry'!AA$5)),1))),"No data"))</f>
        <v/>
      </c>
      <c r="AB139" s="13">
        <f>IF('Council Entry'!AB139="","",IFERROR(MAX(0,MIN(10,ROUND(IF('Council Entry'!AB$7="Decrease Risk",10-10*((IF('Council Entry'!AB$4="Logarithm",LN(0.001+IF(AND(ISNUMBER('Council Entry'!AB$8),ISNUMBER('Council Entry'!AB$9)),MAX(MIN('Council Entry'!AB139,'Council Entry'!AB$9),'Council Entry'!AB$8),'Council Entry'!AB139)),IF('Council Entry'!AB$4="Exponential",EXP(IF(AND(ISNUMBER('Council Entry'!AB$8),ISNUMBER('Council Entry'!AB$9)),MAX(MIN('Council Entry'!AB139,'Council Entry'!AB$9),'Council Entry'!AB$8),'Council Entry'!AB139)),IF(AND(ISNUMBER('Council Entry'!AB$8),ISNUMBER('Council Entry'!AB$9)),MAX(MIN('Council Entry'!AB139,'Council Entry'!AB$9),'Council Entry'!AB$8),'Council Entry'!AB139))))-'Council Entry'!AB$5)/('Council Entry'!AB$6-'Council Entry'!AB$5),10*((IF('Council Entry'!AB$4="Logarithm",LN(0.001+IF(AND(ISNUMBER('Council Entry'!AB$8),ISNUMBER('Council Entry'!AB$9)),MAX(MIN('Council Entry'!AB139,'Council Entry'!AB$9),'Council Entry'!AB$8),'Council Entry'!AB139)),IF('Council Entry'!AB$4="Exponential",EXP(IF(AND(ISNUMBER('Council Entry'!AB$8),ISNUMBER('Council Entry'!AB$9)),MAX(MIN('Council Entry'!AB139,'Council Entry'!AB$9),'Council Entry'!AB$8),'Council Entry'!AB139)),IF(AND(ISNUMBER('Council Entry'!AB$8),ISNUMBER('Council Entry'!AB$9)),MAX(MIN('Council Entry'!AB139,'Council Entry'!AB$9),'Council Entry'!AB$8),'Council Entry'!AB139))))-'Council Entry'!AB$5)/('Council Entry'!AB$6-'Council Entry'!AB$5)),1))),"No data"))</f>
        <v/>
      </c>
      <c r="AC139" s="13">
        <f>IF('Council Entry'!AC139="","",IFERROR(MAX(0,MIN(10,ROUND(IF('Council Entry'!AC$7="Decrease Risk",10-10*((IF('Council Entry'!AC$4="Logarithm",LN(0.001+IF(AND(ISNUMBER('Council Entry'!AC$8),ISNUMBER('Council Entry'!AC$9)),MAX(MIN('Council Entry'!AC139,'Council Entry'!AC$9),'Council Entry'!AC$8),'Council Entry'!AC139)),IF('Council Entry'!AC$4="Exponential",EXP(IF(AND(ISNUMBER('Council Entry'!AC$8),ISNUMBER('Council Entry'!AC$9)),MAX(MIN('Council Entry'!AC139,'Council Entry'!AC$9),'Council Entry'!AC$8),'Council Entry'!AC139)),IF(AND(ISNUMBER('Council Entry'!AC$8),ISNUMBER('Council Entry'!AC$9)),MAX(MIN('Council Entry'!AC139,'Council Entry'!AC$9),'Council Entry'!AC$8),'Council Entry'!AC139))))-'Council Entry'!AC$5)/('Council Entry'!AC$6-'Council Entry'!AC$5),10*((IF('Council Entry'!AC$4="Logarithm",LN(0.001+IF(AND(ISNUMBER('Council Entry'!AC$8),ISNUMBER('Council Entry'!AC$9)),MAX(MIN('Council Entry'!AC139,'Council Entry'!AC$9),'Council Entry'!AC$8),'Council Entry'!AC139)),IF('Council Entry'!AC$4="Exponential",EXP(IF(AND(ISNUMBER('Council Entry'!AC$8),ISNUMBER('Council Entry'!AC$9)),MAX(MIN('Council Entry'!AC139,'Council Entry'!AC$9),'Council Entry'!AC$8),'Council Entry'!AC139)),IF(AND(ISNUMBER('Council Entry'!AC$8),ISNUMBER('Council Entry'!AC$9)),MAX(MIN('Council Entry'!AC139,'Council Entry'!AC$9),'Council Entry'!AC$8),'Council Entry'!AC139))))-'Council Entry'!AC$5)/('Council Entry'!AC$6-'Council Entry'!AC$5)),1))),"No data"))</f>
        <v/>
      </c>
      <c r="AD139" s="13">
        <f>IF('Council Entry'!AD139="","",IFERROR(MAX(0,MIN(10,ROUND(IF('Council Entry'!AD$7="Decrease Risk",10-10*((IF('Council Entry'!AD$4="Logarithm",LN(0.001+IF(AND(ISNUMBER('Council Entry'!AD$8),ISNUMBER('Council Entry'!AD$9)),MAX(MIN('Council Entry'!AD139,'Council Entry'!AD$9),'Council Entry'!AD$8),'Council Entry'!AD139)),IF('Council Entry'!AD$4="Exponential",EXP(IF(AND(ISNUMBER('Council Entry'!AD$8),ISNUMBER('Council Entry'!AD$9)),MAX(MIN('Council Entry'!AD139,'Council Entry'!AD$9),'Council Entry'!AD$8),'Council Entry'!AD139)),IF(AND(ISNUMBER('Council Entry'!AD$8),ISNUMBER('Council Entry'!AD$9)),MAX(MIN('Council Entry'!AD139,'Council Entry'!AD$9),'Council Entry'!AD$8),'Council Entry'!AD139))))-'Council Entry'!AD$5)/('Council Entry'!AD$6-'Council Entry'!AD$5),10*((IF('Council Entry'!AD$4="Logarithm",LN(0.001+IF(AND(ISNUMBER('Council Entry'!AD$8),ISNUMBER('Council Entry'!AD$9)),MAX(MIN('Council Entry'!AD139,'Council Entry'!AD$9),'Council Entry'!AD$8),'Council Entry'!AD139)),IF('Council Entry'!AD$4="Exponential",EXP(IF(AND(ISNUMBER('Council Entry'!AD$8),ISNUMBER('Council Entry'!AD$9)),MAX(MIN('Council Entry'!AD139,'Council Entry'!AD$9),'Council Entry'!AD$8),'Council Entry'!AD139)),IF(AND(ISNUMBER('Council Entry'!AD$8),ISNUMBER('Council Entry'!AD$9)),MAX(MIN('Council Entry'!AD139,'Council Entry'!AD$9),'Council Entry'!AD$8),'Council Entry'!AD139))))-'Council Entry'!AD$5)/('Council Entry'!AD$6-'Council Entry'!AD$5)),1))),"No data"))</f>
        <v/>
      </c>
      <c r="AE139" s="13">
        <f>IF('Council Entry'!AE139="","",IFERROR(MAX(0,MIN(10,ROUND(IF('Council Entry'!AE$7="Decrease Risk",10-10*((IF('Council Entry'!AE$4="Logarithm",LN(0.001+IF(AND(ISNUMBER('Council Entry'!AE$8),ISNUMBER('Council Entry'!AE$9)),MAX(MIN('Council Entry'!AE139,'Council Entry'!AE$9),'Council Entry'!AE$8),'Council Entry'!AE139)),IF('Council Entry'!AE$4="Exponential",EXP(IF(AND(ISNUMBER('Council Entry'!AE$8),ISNUMBER('Council Entry'!AE$9)),MAX(MIN('Council Entry'!AE139,'Council Entry'!AE$9),'Council Entry'!AE$8),'Council Entry'!AE139)),IF(AND(ISNUMBER('Council Entry'!AE$8),ISNUMBER('Council Entry'!AE$9)),MAX(MIN('Council Entry'!AE139,'Council Entry'!AE$9),'Council Entry'!AE$8),'Council Entry'!AE139))))-'Council Entry'!AE$5)/('Council Entry'!AE$6-'Council Entry'!AE$5),10*((IF('Council Entry'!AE$4="Logarithm",LN(0.001+IF(AND(ISNUMBER('Council Entry'!AE$8),ISNUMBER('Council Entry'!AE$9)),MAX(MIN('Council Entry'!AE139,'Council Entry'!AE$9),'Council Entry'!AE$8),'Council Entry'!AE139)),IF('Council Entry'!AE$4="Exponential",EXP(IF(AND(ISNUMBER('Council Entry'!AE$8),ISNUMBER('Council Entry'!AE$9)),MAX(MIN('Council Entry'!AE139,'Council Entry'!AE$9),'Council Entry'!AE$8),'Council Entry'!AE139)),IF(AND(ISNUMBER('Council Entry'!AE$8),ISNUMBER('Council Entry'!AE$9)),MAX(MIN('Council Entry'!AE139,'Council Entry'!AE$9),'Council Entry'!AE$8),'Council Entry'!AE139))))-'Council Entry'!AE$5)/('Council Entry'!AE$6-'Council Entry'!AE$5)),1))),"No data"))</f>
        <v/>
      </c>
      <c r="AF139" s="13">
        <f>IF('Council Entry'!AF139="","",IFERROR(MAX(0,MIN(10,ROUND(IF('Council Entry'!AF$7="Decrease Risk",10-10*((IF('Council Entry'!AF$4="Logarithm",LN(0.001+IF(AND(ISNUMBER('Council Entry'!AF$8),ISNUMBER('Council Entry'!AF$9)),MAX(MIN('Council Entry'!AF139,'Council Entry'!AF$9),'Council Entry'!AF$8),'Council Entry'!AF139)),IF('Council Entry'!AF$4="Exponential",EXP(IF(AND(ISNUMBER('Council Entry'!AF$8),ISNUMBER('Council Entry'!AF$9)),MAX(MIN('Council Entry'!AF139,'Council Entry'!AF$9),'Council Entry'!AF$8),'Council Entry'!AF139)),IF(AND(ISNUMBER('Council Entry'!AF$8),ISNUMBER('Council Entry'!AF$9)),MAX(MIN('Council Entry'!AF139,'Council Entry'!AF$9),'Council Entry'!AF$8),'Council Entry'!AF139))))-'Council Entry'!AF$5)/('Council Entry'!AF$6-'Council Entry'!AF$5),10*((IF('Council Entry'!AF$4="Logarithm",LN(0.001+IF(AND(ISNUMBER('Council Entry'!AF$8),ISNUMBER('Council Entry'!AF$9)),MAX(MIN('Council Entry'!AF139,'Council Entry'!AF$9),'Council Entry'!AF$8),'Council Entry'!AF139)),IF('Council Entry'!AF$4="Exponential",EXP(IF(AND(ISNUMBER('Council Entry'!AF$8),ISNUMBER('Council Entry'!AF$9)),MAX(MIN('Council Entry'!AF139,'Council Entry'!AF$9),'Council Entry'!AF$8),'Council Entry'!AF139)),IF(AND(ISNUMBER('Council Entry'!AF$8),ISNUMBER('Council Entry'!AF$9)),MAX(MIN('Council Entry'!AF139,'Council Entry'!AF$9),'Council Entry'!AF$8),'Council Entry'!AF139))))-'Council Entry'!AF$5)/('Council Entry'!AF$6-'Council Entry'!AF$5)),1))),"No data"))</f>
        <v/>
      </c>
      <c r="AG139" s="13">
        <f>IF('Council Entry'!AG139="","",IFERROR(MAX(0,MIN(10,ROUND(IF('Council Entry'!AG$7="Decrease Risk",10-10*((IF('Council Entry'!AG$4="Logarithm",LN(0.001+IF(AND(ISNUMBER('Council Entry'!AG$8),ISNUMBER('Council Entry'!AG$9)),MAX(MIN('Council Entry'!AG139,'Council Entry'!AG$9),'Council Entry'!AG$8),'Council Entry'!AG139)),IF('Council Entry'!AG$4="Exponential",EXP(IF(AND(ISNUMBER('Council Entry'!AG$8),ISNUMBER('Council Entry'!AG$9)),MAX(MIN('Council Entry'!AG139,'Council Entry'!AG$9),'Council Entry'!AG$8),'Council Entry'!AG139)),IF(AND(ISNUMBER('Council Entry'!AG$8),ISNUMBER('Council Entry'!AG$9)),MAX(MIN('Council Entry'!AG139,'Council Entry'!AG$9),'Council Entry'!AG$8),'Council Entry'!AG139))))-'Council Entry'!AG$5)/('Council Entry'!AG$6-'Council Entry'!AG$5),10*((IF('Council Entry'!AG$4="Logarithm",LN(0.001+IF(AND(ISNUMBER('Council Entry'!AG$8),ISNUMBER('Council Entry'!AG$9)),MAX(MIN('Council Entry'!AG139,'Council Entry'!AG$9),'Council Entry'!AG$8),'Council Entry'!AG139)),IF('Council Entry'!AG$4="Exponential",EXP(IF(AND(ISNUMBER('Council Entry'!AG$8),ISNUMBER('Council Entry'!AG$9)),MAX(MIN('Council Entry'!AG139,'Council Entry'!AG$9),'Council Entry'!AG$8),'Council Entry'!AG139)),IF(AND(ISNUMBER('Council Entry'!AG$8),ISNUMBER('Council Entry'!AG$9)),MAX(MIN('Council Entry'!AG139,'Council Entry'!AG$9),'Council Entry'!AG$8),'Council Entry'!AG139))))-'Council Entry'!AG$5)/('Council Entry'!AG$6-'Council Entry'!AG$5)),1))),"No data"))</f>
        <v/>
      </c>
      <c r="AH139" s="13">
        <f>IF('Council Entry'!AH139="","",IFERROR(MAX(0,MIN(10,ROUND(IF('Council Entry'!AH$7="Decrease Risk",10-10*((IF('Council Entry'!AH$4="Logarithm",LN(0.001+IF(AND(ISNUMBER('Council Entry'!AH$8),ISNUMBER('Council Entry'!AH$9)),MAX(MIN('Council Entry'!AH139,'Council Entry'!AH$9),'Council Entry'!AH$8),'Council Entry'!AH139)),IF('Council Entry'!AH$4="Exponential",EXP(IF(AND(ISNUMBER('Council Entry'!AH$8),ISNUMBER('Council Entry'!AH$9)),MAX(MIN('Council Entry'!AH139,'Council Entry'!AH$9),'Council Entry'!AH$8),'Council Entry'!AH139)),IF(AND(ISNUMBER('Council Entry'!AH$8),ISNUMBER('Council Entry'!AH$9)),MAX(MIN('Council Entry'!AH139,'Council Entry'!AH$9),'Council Entry'!AH$8),'Council Entry'!AH139))))-'Council Entry'!AH$5)/('Council Entry'!AH$6-'Council Entry'!AH$5),10*((IF('Council Entry'!AH$4="Logarithm",LN(0.001+IF(AND(ISNUMBER('Council Entry'!AH$8),ISNUMBER('Council Entry'!AH$9)),MAX(MIN('Council Entry'!AH139,'Council Entry'!AH$9),'Council Entry'!AH$8),'Council Entry'!AH139)),IF('Council Entry'!AH$4="Exponential",EXP(IF(AND(ISNUMBER('Council Entry'!AH$8),ISNUMBER('Council Entry'!AH$9)),MAX(MIN('Council Entry'!AH139,'Council Entry'!AH$9),'Council Entry'!AH$8),'Council Entry'!AH139)),IF(AND(ISNUMBER('Council Entry'!AH$8),ISNUMBER('Council Entry'!AH$9)),MAX(MIN('Council Entry'!AH139,'Council Entry'!AH$9),'Council Entry'!AH$8),'Council Entry'!AH139))))-'Council Entry'!AH$5)/('Council Entry'!AH$6-'Council Entry'!AH$5)),1))),"No data"))</f>
        <v/>
      </c>
      <c r="AI139" s="13">
        <f>IF('Council Entry'!AI139="","",IFERROR(MAX(0,MIN(10,ROUND(IF('Council Entry'!AI$7="Decrease Risk",10-10*((IF('Council Entry'!AI$4="Logarithm",LN(0.001+IF(AND(ISNUMBER('Council Entry'!AI$8),ISNUMBER('Council Entry'!AI$9)),MAX(MIN('Council Entry'!AI139,'Council Entry'!AI$9),'Council Entry'!AI$8),'Council Entry'!AI139)),IF('Council Entry'!AI$4="Exponential",EXP(IF(AND(ISNUMBER('Council Entry'!AI$8),ISNUMBER('Council Entry'!AI$9)),MAX(MIN('Council Entry'!AI139,'Council Entry'!AI$9),'Council Entry'!AI$8),'Council Entry'!AI139)),IF(AND(ISNUMBER('Council Entry'!AI$8),ISNUMBER('Council Entry'!AI$9)),MAX(MIN('Council Entry'!AI139,'Council Entry'!AI$9),'Council Entry'!AI$8),'Council Entry'!AI139))))-'Council Entry'!AI$5)/('Council Entry'!AI$6-'Council Entry'!AI$5),10*((IF('Council Entry'!AI$4="Logarithm",LN(0.001+IF(AND(ISNUMBER('Council Entry'!AI$8),ISNUMBER('Council Entry'!AI$9)),MAX(MIN('Council Entry'!AI139,'Council Entry'!AI$9),'Council Entry'!AI$8),'Council Entry'!AI139)),IF('Council Entry'!AI$4="Exponential",EXP(IF(AND(ISNUMBER('Council Entry'!AI$8),ISNUMBER('Council Entry'!AI$9)),MAX(MIN('Council Entry'!AI139,'Council Entry'!AI$9),'Council Entry'!AI$8),'Council Entry'!AI139)),IF(AND(ISNUMBER('Council Entry'!AI$8),ISNUMBER('Council Entry'!AI$9)),MAX(MIN('Council Entry'!AI139,'Council Entry'!AI$9),'Council Entry'!AI$8),'Council Entry'!AI139))))-'Council Entry'!AI$5)/('Council Entry'!AI$6-'Council Entry'!AI$5)),1))),"No data"))</f>
        <v/>
      </c>
      <c r="AJ139" s="13">
        <f>IF('Council Entry'!AJ139="","",IFERROR(MAX(0,MIN(10,ROUND(IF('Council Entry'!AJ$7="Decrease Risk",10-10*((IF('Council Entry'!AJ$4="Logarithm",LN(0.001+IF(AND(ISNUMBER('Council Entry'!AJ$8),ISNUMBER('Council Entry'!AJ$9)),MAX(MIN('Council Entry'!AJ139,'Council Entry'!AJ$9),'Council Entry'!AJ$8),'Council Entry'!AJ139)),IF('Council Entry'!AJ$4="Exponential",EXP(IF(AND(ISNUMBER('Council Entry'!AJ$8),ISNUMBER('Council Entry'!AJ$9)),MAX(MIN('Council Entry'!AJ139,'Council Entry'!AJ$9),'Council Entry'!AJ$8),'Council Entry'!AJ139)),IF(AND(ISNUMBER('Council Entry'!AJ$8),ISNUMBER('Council Entry'!AJ$9)),MAX(MIN('Council Entry'!AJ139,'Council Entry'!AJ$9),'Council Entry'!AJ$8),'Council Entry'!AJ139))))-'Council Entry'!AJ$5)/('Council Entry'!AJ$6-'Council Entry'!AJ$5),10*((IF('Council Entry'!AJ$4="Logarithm",LN(0.001+IF(AND(ISNUMBER('Council Entry'!AJ$8),ISNUMBER('Council Entry'!AJ$9)),MAX(MIN('Council Entry'!AJ139,'Council Entry'!AJ$9),'Council Entry'!AJ$8),'Council Entry'!AJ139)),IF('Council Entry'!AJ$4="Exponential",EXP(IF(AND(ISNUMBER('Council Entry'!AJ$8),ISNUMBER('Council Entry'!AJ$9)),MAX(MIN('Council Entry'!AJ139,'Council Entry'!AJ$9),'Council Entry'!AJ$8),'Council Entry'!AJ139)),IF(AND(ISNUMBER('Council Entry'!AJ$8),ISNUMBER('Council Entry'!AJ$9)),MAX(MIN('Council Entry'!AJ139,'Council Entry'!AJ$9),'Council Entry'!AJ$8),'Council Entry'!AJ139))))-'Council Entry'!AJ$5)/('Council Entry'!AJ$6-'Council Entry'!AJ$5)),1))),"No data"))</f>
        <v/>
      </c>
      <c r="AK139" s="13">
        <f>IF('Council Entry'!AK139="","",IFERROR(MAX(0,MIN(10,ROUND(IF('Council Entry'!AK$7="Decrease Risk",10-10*((IF('Council Entry'!AK$4="Logarithm",LN(0.001+IF(AND(ISNUMBER('Council Entry'!AK$8),ISNUMBER('Council Entry'!AK$9)),MAX(MIN('Council Entry'!AK139,'Council Entry'!AK$9),'Council Entry'!AK$8),'Council Entry'!AK139)),IF('Council Entry'!AK$4="Exponential",EXP(IF(AND(ISNUMBER('Council Entry'!AK$8),ISNUMBER('Council Entry'!AK$9)),MAX(MIN('Council Entry'!AK139,'Council Entry'!AK$9),'Council Entry'!AK$8),'Council Entry'!AK139)),IF(AND(ISNUMBER('Council Entry'!AK$8),ISNUMBER('Council Entry'!AK$9)),MAX(MIN('Council Entry'!AK139,'Council Entry'!AK$9),'Council Entry'!AK$8),'Council Entry'!AK139))))-'Council Entry'!AK$5)/('Council Entry'!AK$6-'Council Entry'!AK$5),10*((IF('Council Entry'!AK$4="Logarithm",LN(0.001+IF(AND(ISNUMBER('Council Entry'!AK$8),ISNUMBER('Council Entry'!AK$9)),MAX(MIN('Council Entry'!AK139,'Council Entry'!AK$9),'Council Entry'!AK$8),'Council Entry'!AK139)),IF('Council Entry'!AK$4="Exponential",EXP(IF(AND(ISNUMBER('Council Entry'!AK$8),ISNUMBER('Council Entry'!AK$9)),MAX(MIN('Council Entry'!AK139,'Council Entry'!AK$9),'Council Entry'!AK$8),'Council Entry'!AK139)),IF(AND(ISNUMBER('Council Entry'!AK$8),ISNUMBER('Council Entry'!AK$9)),MAX(MIN('Council Entry'!AK139,'Council Entry'!AK$9),'Council Entry'!AK$8),'Council Entry'!AK139))))-'Council Entry'!AK$5)/('Council Entry'!AK$6-'Council Entry'!AK$5)),1))),"No data"))</f>
        <v/>
      </c>
      <c r="AL139" s="13">
        <f>IF('Council Entry'!AL139="","",IFERROR(MAX(0,MIN(10,ROUND(IF('Council Entry'!AL$7="Decrease Risk",10-10*((IF('Council Entry'!AL$4="Logarithm",LN(0.001+IF(AND(ISNUMBER('Council Entry'!AL$8),ISNUMBER('Council Entry'!AL$9)),MAX(MIN('Council Entry'!AL139,'Council Entry'!AL$9),'Council Entry'!AL$8),'Council Entry'!AL139)),IF('Council Entry'!AL$4="Exponential",EXP(IF(AND(ISNUMBER('Council Entry'!AL$8),ISNUMBER('Council Entry'!AL$9)),MAX(MIN('Council Entry'!AL139,'Council Entry'!AL$9),'Council Entry'!AL$8),'Council Entry'!AL139)),IF(AND(ISNUMBER('Council Entry'!AL$8),ISNUMBER('Council Entry'!AL$9)),MAX(MIN('Council Entry'!AL139,'Council Entry'!AL$9),'Council Entry'!AL$8),'Council Entry'!AL139))))-'Council Entry'!AL$5)/('Council Entry'!AL$6-'Council Entry'!AL$5),10*((IF('Council Entry'!AL$4="Logarithm",LN(0.001+IF(AND(ISNUMBER('Council Entry'!AL$8),ISNUMBER('Council Entry'!AL$9)),MAX(MIN('Council Entry'!AL139,'Council Entry'!AL$9),'Council Entry'!AL$8),'Council Entry'!AL139)),IF('Council Entry'!AL$4="Exponential",EXP(IF(AND(ISNUMBER('Council Entry'!AL$8),ISNUMBER('Council Entry'!AL$9)),MAX(MIN('Council Entry'!AL139,'Council Entry'!AL$9),'Council Entry'!AL$8),'Council Entry'!AL139)),IF(AND(ISNUMBER('Council Entry'!AL$8),ISNUMBER('Council Entry'!AL$9)),MAX(MIN('Council Entry'!AL139,'Council Entry'!AL$9),'Council Entry'!AL$8),'Council Entry'!AL139))))-'Council Entry'!AL$5)/('Council Entry'!AL$6-'Council Entry'!AL$5)),1))),"No data"))</f>
        <v/>
      </c>
      <c r="AM139" s="13">
        <f>IF('Council Entry'!AM139="","",IFERROR(MAX(0,MIN(10,ROUND(IF('Council Entry'!AM$7="Decrease Risk",10-10*((IF('Council Entry'!AM$4="Logarithm",LN(0.001+IF(AND(ISNUMBER('Council Entry'!AM$8),ISNUMBER('Council Entry'!AM$9)),MAX(MIN('Council Entry'!AM139,'Council Entry'!AM$9),'Council Entry'!AM$8),'Council Entry'!AM139)),IF('Council Entry'!AM$4="Exponential",EXP(IF(AND(ISNUMBER('Council Entry'!AM$8),ISNUMBER('Council Entry'!AM$9)),MAX(MIN('Council Entry'!AM139,'Council Entry'!AM$9),'Council Entry'!AM$8),'Council Entry'!AM139)),IF(AND(ISNUMBER('Council Entry'!AM$8),ISNUMBER('Council Entry'!AM$9)),MAX(MIN('Council Entry'!AM139,'Council Entry'!AM$9),'Council Entry'!AM$8),'Council Entry'!AM139))))-'Council Entry'!AM$5)/('Council Entry'!AM$6-'Council Entry'!AM$5),10*((IF('Council Entry'!AM$4="Logarithm",LN(0.001+IF(AND(ISNUMBER('Council Entry'!AM$8),ISNUMBER('Council Entry'!AM$9)),MAX(MIN('Council Entry'!AM139,'Council Entry'!AM$9),'Council Entry'!AM$8),'Council Entry'!AM139)),IF('Council Entry'!AM$4="Exponential",EXP(IF(AND(ISNUMBER('Council Entry'!AM$8),ISNUMBER('Council Entry'!AM$9)),MAX(MIN('Council Entry'!AM139,'Council Entry'!AM$9),'Council Entry'!AM$8),'Council Entry'!AM139)),IF(AND(ISNUMBER('Council Entry'!AM$8),ISNUMBER('Council Entry'!AM$9)),MAX(MIN('Council Entry'!AM139,'Council Entry'!AM$9),'Council Entry'!AM$8),'Council Entry'!AM139))))-'Council Entry'!AM$5)/('Council Entry'!AM$6-'Council Entry'!AM$5)),1))),"No data"))</f>
        <v/>
      </c>
      <c r="AN139" s="13">
        <f>IF('Council Entry'!AN139="","",IFERROR(MAX(0,MIN(10,ROUND(IF('Council Entry'!AN$7="Decrease Risk",10-10*((IF('Council Entry'!AN$4="Logarithm",LN(0.001+IF(AND(ISNUMBER('Council Entry'!AN$8),ISNUMBER('Council Entry'!AN$9)),MAX(MIN('Council Entry'!AN139,'Council Entry'!AN$9),'Council Entry'!AN$8),'Council Entry'!AN139)),IF('Council Entry'!AN$4="Exponential",EXP(IF(AND(ISNUMBER('Council Entry'!AN$8),ISNUMBER('Council Entry'!AN$9)),MAX(MIN('Council Entry'!AN139,'Council Entry'!AN$9),'Council Entry'!AN$8),'Council Entry'!AN139)),IF(AND(ISNUMBER('Council Entry'!AN$8),ISNUMBER('Council Entry'!AN$9)),MAX(MIN('Council Entry'!AN139,'Council Entry'!AN$9),'Council Entry'!AN$8),'Council Entry'!AN139))))-'Council Entry'!AN$5)/('Council Entry'!AN$6-'Council Entry'!AN$5),10*((IF('Council Entry'!AN$4="Logarithm",LN(0.001+IF(AND(ISNUMBER('Council Entry'!AN$8),ISNUMBER('Council Entry'!AN$9)),MAX(MIN('Council Entry'!AN139,'Council Entry'!AN$9),'Council Entry'!AN$8),'Council Entry'!AN139)),IF('Council Entry'!AN$4="Exponential",EXP(IF(AND(ISNUMBER('Council Entry'!AN$8),ISNUMBER('Council Entry'!AN$9)),MAX(MIN('Council Entry'!AN139,'Council Entry'!AN$9),'Council Entry'!AN$8),'Council Entry'!AN139)),IF(AND(ISNUMBER('Council Entry'!AN$8),ISNUMBER('Council Entry'!AN$9)),MAX(MIN('Council Entry'!AN139,'Council Entry'!AN$9),'Council Entry'!AN$8),'Council Entry'!AN139))))-'Council Entry'!AN$5)/('Council Entry'!AN$6-'Council Entry'!AN$5)),1))),"No data"))</f>
        <v/>
      </c>
      <c r="AO139" s="13">
        <f>IF('Council Entry'!AO139="","",IFERROR(MAX(0,MIN(10,ROUND(IF('Council Entry'!AO$7="Decrease Risk",10-10*((IF('Council Entry'!AO$4="Logarithm",LN(0.001+IF(AND(ISNUMBER('Council Entry'!AO$8),ISNUMBER('Council Entry'!AO$9)),MAX(MIN('Council Entry'!AO139,'Council Entry'!AO$9),'Council Entry'!AO$8),'Council Entry'!AO139)),IF('Council Entry'!AO$4="Exponential",EXP(IF(AND(ISNUMBER('Council Entry'!AO$8),ISNUMBER('Council Entry'!AO$9)),MAX(MIN('Council Entry'!AO139,'Council Entry'!AO$9),'Council Entry'!AO$8),'Council Entry'!AO139)),IF(AND(ISNUMBER('Council Entry'!AO$8),ISNUMBER('Council Entry'!AO$9)),MAX(MIN('Council Entry'!AO139,'Council Entry'!AO$9),'Council Entry'!AO$8),'Council Entry'!AO139))))-'Council Entry'!AO$5)/('Council Entry'!AO$6-'Council Entry'!AO$5),10*((IF('Council Entry'!AO$4="Logarithm",LN(0.001+IF(AND(ISNUMBER('Council Entry'!AO$8),ISNUMBER('Council Entry'!AO$9)),MAX(MIN('Council Entry'!AO139,'Council Entry'!AO$9),'Council Entry'!AO$8),'Council Entry'!AO139)),IF('Council Entry'!AO$4="Exponential",EXP(IF(AND(ISNUMBER('Council Entry'!AO$8),ISNUMBER('Council Entry'!AO$9)),MAX(MIN('Council Entry'!AO139,'Council Entry'!AO$9),'Council Entry'!AO$8),'Council Entry'!AO139)),IF(AND(ISNUMBER('Council Entry'!AO$8),ISNUMBER('Council Entry'!AO$9)),MAX(MIN('Council Entry'!AO139,'Council Entry'!AO$9),'Council Entry'!AO$8),'Council Entry'!AO139))))-'Council Entry'!AO$5)/('Council Entry'!AO$6-'Council Entry'!AO$5)),1))),"No data"))</f>
        <v/>
      </c>
      <c r="AP139" s="13">
        <f>IF('Council Entry'!AP139="","",IFERROR(MAX(0,MIN(10,ROUND(IF('Council Entry'!AP$7="Decrease Risk",10-10*((IF('Council Entry'!AP$4="Logarithm",LN(0.001+IF(AND(ISNUMBER('Council Entry'!AP$8),ISNUMBER('Council Entry'!AP$9)),MAX(MIN('Council Entry'!AP139,'Council Entry'!AP$9),'Council Entry'!AP$8),'Council Entry'!AP139)),IF('Council Entry'!AP$4="Exponential",EXP(IF(AND(ISNUMBER('Council Entry'!AP$8),ISNUMBER('Council Entry'!AP$9)),MAX(MIN('Council Entry'!AP139,'Council Entry'!AP$9),'Council Entry'!AP$8),'Council Entry'!AP139)),IF(AND(ISNUMBER('Council Entry'!AP$8),ISNUMBER('Council Entry'!AP$9)),MAX(MIN('Council Entry'!AP139,'Council Entry'!AP$9),'Council Entry'!AP$8),'Council Entry'!AP139))))-'Council Entry'!AP$5)/('Council Entry'!AP$6-'Council Entry'!AP$5),10*((IF('Council Entry'!AP$4="Logarithm",LN(0.001+IF(AND(ISNUMBER('Council Entry'!AP$8),ISNUMBER('Council Entry'!AP$9)),MAX(MIN('Council Entry'!AP139,'Council Entry'!AP$9),'Council Entry'!AP$8),'Council Entry'!AP139)),IF('Council Entry'!AP$4="Exponential",EXP(IF(AND(ISNUMBER('Council Entry'!AP$8),ISNUMBER('Council Entry'!AP$9)),MAX(MIN('Council Entry'!AP139,'Council Entry'!AP$9),'Council Entry'!AP$8),'Council Entry'!AP139)),IF(AND(ISNUMBER('Council Entry'!AP$8),ISNUMBER('Council Entry'!AP$9)),MAX(MIN('Council Entry'!AP139,'Council Entry'!AP$9),'Council Entry'!AP$8),'Council Entry'!AP139))))-'Council Entry'!AP$5)/('Council Entry'!AP$6-'Council Entry'!AP$5)),1))),"No data"))</f>
        <v/>
      </c>
      <c r="AQ139" s="13">
        <f>IF('Council Entry'!AQ139="","",IFERROR(MAX(0,MIN(10,ROUND(IF('Council Entry'!AQ$7="Decrease Risk",10-10*((IF('Council Entry'!AQ$4="Logarithm",LN(0.001+IF(AND(ISNUMBER('Council Entry'!AQ$8),ISNUMBER('Council Entry'!AQ$9)),MAX(MIN('Council Entry'!AQ139,'Council Entry'!AQ$9),'Council Entry'!AQ$8),'Council Entry'!AQ139)),IF('Council Entry'!AQ$4="Exponential",EXP(IF(AND(ISNUMBER('Council Entry'!AQ$8),ISNUMBER('Council Entry'!AQ$9)),MAX(MIN('Council Entry'!AQ139,'Council Entry'!AQ$9),'Council Entry'!AQ$8),'Council Entry'!AQ139)),IF(AND(ISNUMBER('Council Entry'!AQ$8),ISNUMBER('Council Entry'!AQ$9)),MAX(MIN('Council Entry'!AQ139,'Council Entry'!AQ$9),'Council Entry'!AQ$8),'Council Entry'!AQ139))))-'Council Entry'!AQ$5)/('Council Entry'!AQ$6-'Council Entry'!AQ$5),10*((IF('Council Entry'!AQ$4="Logarithm",LN(0.001+IF(AND(ISNUMBER('Council Entry'!AQ$8),ISNUMBER('Council Entry'!AQ$9)),MAX(MIN('Council Entry'!AQ139,'Council Entry'!AQ$9),'Council Entry'!AQ$8),'Council Entry'!AQ139)),IF('Council Entry'!AQ$4="Exponential",EXP(IF(AND(ISNUMBER('Council Entry'!AQ$8),ISNUMBER('Council Entry'!AQ$9)),MAX(MIN('Council Entry'!AQ139,'Council Entry'!AQ$9),'Council Entry'!AQ$8),'Council Entry'!AQ139)),IF(AND(ISNUMBER('Council Entry'!AQ$8),ISNUMBER('Council Entry'!AQ$9)),MAX(MIN('Council Entry'!AQ139,'Council Entry'!AQ$9),'Council Entry'!AQ$8),'Council Entry'!AQ139))))-'Council Entry'!AQ$5)/('Council Entry'!AQ$6-'Council Entry'!AQ$5)),1))),"No data"))</f>
        <v/>
      </c>
      <c r="AR139" s="13">
        <f>IF('Council Entry'!AR139="","",IFERROR(MAX(0,MIN(10,ROUND(IF('Council Entry'!AR$7="Decrease Risk",10-10*((IF('Council Entry'!AR$4="Logarithm",LN(0.001+IF(AND(ISNUMBER('Council Entry'!AR$8),ISNUMBER('Council Entry'!AR$9)),MAX(MIN('Council Entry'!AR139,'Council Entry'!AR$9),'Council Entry'!AR$8),'Council Entry'!AR139)),IF('Council Entry'!AR$4="Exponential",EXP(IF(AND(ISNUMBER('Council Entry'!AR$8),ISNUMBER('Council Entry'!AR$9)),MAX(MIN('Council Entry'!AR139,'Council Entry'!AR$9),'Council Entry'!AR$8),'Council Entry'!AR139)),IF(AND(ISNUMBER('Council Entry'!AR$8),ISNUMBER('Council Entry'!AR$9)),MAX(MIN('Council Entry'!AR139,'Council Entry'!AR$9),'Council Entry'!AR$8),'Council Entry'!AR139))))-'Council Entry'!AR$5)/('Council Entry'!AR$6-'Council Entry'!AR$5),10*((IF('Council Entry'!AR$4="Logarithm",LN(0.001+IF(AND(ISNUMBER('Council Entry'!AR$8),ISNUMBER('Council Entry'!AR$9)),MAX(MIN('Council Entry'!AR139,'Council Entry'!AR$9),'Council Entry'!AR$8),'Council Entry'!AR139)),IF('Council Entry'!AR$4="Exponential",EXP(IF(AND(ISNUMBER('Council Entry'!AR$8),ISNUMBER('Council Entry'!AR$9)),MAX(MIN('Council Entry'!AR139,'Council Entry'!AR$9),'Council Entry'!AR$8),'Council Entry'!AR139)),IF(AND(ISNUMBER('Council Entry'!AR$8),ISNUMBER('Council Entry'!AR$9)),MAX(MIN('Council Entry'!AR139,'Council Entry'!AR$9),'Council Entry'!AR$8),'Council Entry'!AR139))))-'Council Entry'!AR$5)/('Council Entry'!AR$6-'Council Entry'!AR$5)),1))),"No data"))</f>
        <v/>
      </c>
      <c r="AS139" s="13">
        <f>IF('Council Entry'!AS139="","",IFERROR(MAX(0,MIN(10,ROUND(IF('Council Entry'!AS$7="Decrease Risk",10-10*((IF('Council Entry'!AS$4="Logarithm",LN(0.001+IF(AND(ISNUMBER('Council Entry'!AS$8),ISNUMBER('Council Entry'!AS$9)),MAX(MIN('Council Entry'!AS139,'Council Entry'!AS$9),'Council Entry'!AS$8),'Council Entry'!AS139)),IF('Council Entry'!AS$4="Exponential",EXP(IF(AND(ISNUMBER('Council Entry'!AS$8),ISNUMBER('Council Entry'!AS$9)),MAX(MIN('Council Entry'!AS139,'Council Entry'!AS$9),'Council Entry'!AS$8),'Council Entry'!AS139)),IF(AND(ISNUMBER('Council Entry'!AS$8),ISNUMBER('Council Entry'!AS$9)),MAX(MIN('Council Entry'!AS139,'Council Entry'!AS$9),'Council Entry'!AS$8),'Council Entry'!AS139))))-'Council Entry'!AS$5)/('Council Entry'!AS$6-'Council Entry'!AS$5),10*((IF('Council Entry'!AS$4="Logarithm",LN(0.001+IF(AND(ISNUMBER('Council Entry'!AS$8),ISNUMBER('Council Entry'!AS$9)),MAX(MIN('Council Entry'!AS139,'Council Entry'!AS$9),'Council Entry'!AS$8),'Council Entry'!AS139)),IF('Council Entry'!AS$4="Exponential",EXP(IF(AND(ISNUMBER('Council Entry'!AS$8),ISNUMBER('Council Entry'!AS$9)),MAX(MIN('Council Entry'!AS139,'Council Entry'!AS$9),'Council Entry'!AS$8),'Council Entry'!AS139)),IF(AND(ISNUMBER('Council Entry'!AS$8),ISNUMBER('Council Entry'!AS$9)),MAX(MIN('Council Entry'!AS139,'Council Entry'!AS$9),'Council Entry'!AS$8),'Council Entry'!AS139))))-'Council Entry'!AS$5)/('Council Entry'!AS$6-'Council Entry'!AS$5)),1))),"No data"))</f>
        <v/>
      </c>
      <c r="AT139" s="13">
        <f>IF('Council Entry'!AT139="","",IFERROR(MAX(0,MIN(10,ROUND(IF('Council Entry'!AT$7="Decrease Risk",10-10*((IF('Council Entry'!AT$4="Logarithm",LN(0.001+IF(AND(ISNUMBER('Council Entry'!AT$8),ISNUMBER('Council Entry'!AT$9)),MAX(MIN('Council Entry'!AT139,'Council Entry'!AT$9),'Council Entry'!AT$8),'Council Entry'!AT139)),IF('Council Entry'!AT$4="Exponential",EXP(IF(AND(ISNUMBER('Council Entry'!AT$8),ISNUMBER('Council Entry'!AT$9)),MAX(MIN('Council Entry'!AT139,'Council Entry'!AT$9),'Council Entry'!AT$8),'Council Entry'!AT139)),IF(AND(ISNUMBER('Council Entry'!AT$8),ISNUMBER('Council Entry'!AT$9)),MAX(MIN('Council Entry'!AT139,'Council Entry'!AT$9),'Council Entry'!AT$8),'Council Entry'!AT139))))-'Council Entry'!AT$5)/('Council Entry'!AT$6-'Council Entry'!AT$5),10*((IF('Council Entry'!AT$4="Logarithm",LN(0.001+IF(AND(ISNUMBER('Council Entry'!AT$8),ISNUMBER('Council Entry'!AT$9)),MAX(MIN('Council Entry'!AT139,'Council Entry'!AT$9),'Council Entry'!AT$8),'Council Entry'!AT139)),IF('Council Entry'!AT$4="Exponential",EXP(IF(AND(ISNUMBER('Council Entry'!AT$8),ISNUMBER('Council Entry'!AT$9)),MAX(MIN('Council Entry'!AT139,'Council Entry'!AT$9),'Council Entry'!AT$8),'Council Entry'!AT139)),IF(AND(ISNUMBER('Council Entry'!AT$8),ISNUMBER('Council Entry'!AT$9)),MAX(MIN('Council Entry'!AT139,'Council Entry'!AT$9),'Council Entry'!AT$8),'Council Entry'!AT139))))-'Council Entry'!AT$5)/('Council Entry'!AT$6-'Council Entry'!AT$5)),1))),"No data"))</f>
        <v/>
      </c>
      <c r="AU139" s="13">
        <f>IF('Council Entry'!AU139="","",IFERROR(MAX(0,MIN(10,ROUND(IF('Council Entry'!AU$7="Decrease Risk",10-10*((IF('Council Entry'!AU$4="Logarithm",LN(0.001+IF(AND(ISNUMBER('Council Entry'!AU$8),ISNUMBER('Council Entry'!AU$9)),MAX(MIN('Council Entry'!AU139,'Council Entry'!AU$9),'Council Entry'!AU$8),'Council Entry'!AU139)),IF('Council Entry'!AU$4="Exponential",EXP(IF(AND(ISNUMBER('Council Entry'!AU$8),ISNUMBER('Council Entry'!AU$9)),MAX(MIN('Council Entry'!AU139,'Council Entry'!AU$9),'Council Entry'!AU$8),'Council Entry'!AU139)),IF(AND(ISNUMBER('Council Entry'!AU$8),ISNUMBER('Council Entry'!AU$9)),MAX(MIN('Council Entry'!AU139,'Council Entry'!AU$9),'Council Entry'!AU$8),'Council Entry'!AU139))))-'Council Entry'!AU$5)/('Council Entry'!AU$6-'Council Entry'!AU$5),10*((IF('Council Entry'!AU$4="Logarithm",LN(0.001+IF(AND(ISNUMBER('Council Entry'!AU$8),ISNUMBER('Council Entry'!AU$9)),MAX(MIN('Council Entry'!AU139,'Council Entry'!AU$9),'Council Entry'!AU$8),'Council Entry'!AU139)),IF('Council Entry'!AU$4="Exponential",EXP(IF(AND(ISNUMBER('Council Entry'!AU$8),ISNUMBER('Council Entry'!AU$9)),MAX(MIN('Council Entry'!AU139,'Council Entry'!AU$9),'Council Entry'!AU$8),'Council Entry'!AU139)),IF(AND(ISNUMBER('Council Entry'!AU$8),ISNUMBER('Council Entry'!AU$9)),MAX(MIN('Council Entry'!AU139,'Council Entry'!AU$9),'Council Entry'!AU$8),'Council Entry'!AU139))))-'Council Entry'!AU$5)/('Council Entry'!AU$6-'Council Entry'!AU$5)),1))),"No data"))</f>
        <v/>
      </c>
      <c r="AV139" s="13">
        <f>IF('Council Entry'!AV139="","",IFERROR(MAX(0,MIN(10,ROUND(IF('Council Entry'!AV$7="Decrease Risk",10-10*((IF('Council Entry'!AV$4="Logarithm",LN(0.001+IF(AND(ISNUMBER('Council Entry'!AV$8),ISNUMBER('Council Entry'!AV$9)),MAX(MIN('Council Entry'!AV139,'Council Entry'!AV$9),'Council Entry'!AV$8),'Council Entry'!AV139)),IF('Council Entry'!AV$4="Exponential",EXP(IF(AND(ISNUMBER('Council Entry'!AV$8),ISNUMBER('Council Entry'!AV$9)),MAX(MIN('Council Entry'!AV139,'Council Entry'!AV$9),'Council Entry'!AV$8),'Council Entry'!AV139)),IF(AND(ISNUMBER('Council Entry'!AV$8),ISNUMBER('Council Entry'!AV$9)),MAX(MIN('Council Entry'!AV139,'Council Entry'!AV$9),'Council Entry'!AV$8),'Council Entry'!AV139))))-'Council Entry'!AV$5)/('Council Entry'!AV$6-'Council Entry'!AV$5),10*((IF('Council Entry'!AV$4="Logarithm",LN(0.001+IF(AND(ISNUMBER('Council Entry'!AV$8),ISNUMBER('Council Entry'!AV$9)),MAX(MIN('Council Entry'!AV139,'Council Entry'!AV$9),'Council Entry'!AV$8),'Council Entry'!AV139)),IF('Council Entry'!AV$4="Exponential",EXP(IF(AND(ISNUMBER('Council Entry'!AV$8),ISNUMBER('Council Entry'!AV$9)),MAX(MIN('Council Entry'!AV139,'Council Entry'!AV$9),'Council Entry'!AV$8),'Council Entry'!AV139)),IF(AND(ISNUMBER('Council Entry'!AV$8),ISNUMBER('Council Entry'!AV$9)),MAX(MIN('Council Entry'!AV139,'Council Entry'!AV$9),'Council Entry'!AV$8),'Council Entry'!AV139))))-'Council Entry'!AV$5)/('Council Entry'!AV$6-'Council Entry'!AV$5)),1))),"No data"))</f>
        <v/>
      </c>
      <c r="AW139" s="13">
        <f>IF('Council Entry'!AW139="","",IFERROR(MAX(0,MIN(10,ROUND(IF('Council Entry'!AW$7="Decrease Risk",10-10*((IF('Council Entry'!AW$4="Logarithm",LN(0.001+IF(AND(ISNUMBER('Council Entry'!AW$8),ISNUMBER('Council Entry'!AW$9)),MAX(MIN('Council Entry'!AW139,'Council Entry'!AW$9),'Council Entry'!AW$8),'Council Entry'!AW139)),IF('Council Entry'!AW$4="Exponential",EXP(IF(AND(ISNUMBER('Council Entry'!AW$8),ISNUMBER('Council Entry'!AW$9)),MAX(MIN('Council Entry'!AW139,'Council Entry'!AW$9),'Council Entry'!AW$8),'Council Entry'!AW139)),IF(AND(ISNUMBER('Council Entry'!AW$8),ISNUMBER('Council Entry'!AW$9)),MAX(MIN('Council Entry'!AW139,'Council Entry'!AW$9),'Council Entry'!AW$8),'Council Entry'!AW139))))-'Council Entry'!AW$5)/('Council Entry'!AW$6-'Council Entry'!AW$5),10*((IF('Council Entry'!AW$4="Logarithm",LN(0.001+IF(AND(ISNUMBER('Council Entry'!AW$8),ISNUMBER('Council Entry'!AW$9)),MAX(MIN('Council Entry'!AW139,'Council Entry'!AW$9),'Council Entry'!AW$8),'Council Entry'!AW139)),IF('Council Entry'!AW$4="Exponential",EXP(IF(AND(ISNUMBER('Council Entry'!AW$8),ISNUMBER('Council Entry'!AW$9)),MAX(MIN('Council Entry'!AW139,'Council Entry'!AW$9),'Council Entry'!AW$8),'Council Entry'!AW139)),IF(AND(ISNUMBER('Council Entry'!AW$8),ISNUMBER('Council Entry'!AW$9)),MAX(MIN('Council Entry'!AW139,'Council Entry'!AW$9),'Council Entry'!AW$8),'Council Entry'!AW139))))-'Council Entry'!AW$5)/('Council Entry'!AW$6-'Council Entry'!AW$5)),1))),"No data"))</f>
        <v/>
      </c>
      <c r="AX139" s="13">
        <f>IF('Council Entry'!AX139="","",IFERROR(MAX(0,MIN(10,ROUND(IF('Council Entry'!AX$7="Decrease Risk",10-10*((IF('Council Entry'!AX$4="Logarithm",LN(0.001+IF(AND(ISNUMBER('Council Entry'!AX$8),ISNUMBER('Council Entry'!AX$9)),MAX(MIN('Council Entry'!AX139,'Council Entry'!AX$9),'Council Entry'!AX$8),'Council Entry'!AX139)),IF('Council Entry'!AX$4="Exponential",EXP(IF(AND(ISNUMBER('Council Entry'!AX$8),ISNUMBER('Council Entry'!AX$9)),MAX(MIN('Council Entry'!AX139,'Council Entry'!AX$9),'Council Entry'!AX$8),'Council Entry'!AX139)),IF(AND(ISNUMBER('Council Entry'!AX$8),ISNUMBER('Council Entry'!AX$9)),MAX(MIN('Council Entry'!AX139,'Council Entry'!AX$9),'Council Entry'!AX$8),'Council Entry'!AX139))))-'Council Entry'!AX$5)/('Council Entry'!AX$6-'Council Entry'!AX$5),10*((IF('Council Entry'!AX$4="Logarithm",LN(0.001+IF(AND(ISNUMBER('Council Entry'!AX$8),ISNUMBER('Council Entry'!AX$9)),MAX(MIN('Council Entry'!AX139,'Council Entry'!AX$9),'Council Entry'!AX$8),'Council Entry'!AX139)),IF('Council Entry'!AX$4="Exponential",EXP(IF(AND(ISNUMBER('Council Entry'!AX$8),ISNUMBER('Council Entry'!AX$9)),MAX(MIN('Council Entry'!AX139,'Council Entry'!AX$9),'Council Entry'!AX$8),'Council Entry'!AX139)),IF(AND(ISNUMBER('Council Entry'!AX$8),ISNUMBER('Council Entry'!AX$9)),MAX(MIN('Council Entry'!AX139,'Council Entry'!AX$9),'Council Entry'!AX$8),'Council Entry'!AX139))))-'Council Entry'!AX$5)/('Council Entry'!AX$6-'Council Entry'!AX$5)),1))),"No data"))</f>
        <v/>
      </c>
      <c r="AY139" s="13">
        <f>IF('Council Entry'!AY139="","",IFERROR(MAX(0,MIN(10,ROUND(IF('Council Entry'!AY$7="Decrease Risk",10-10*((IF('Council Entry'!AY$4="Logarithm",LN(0.001+IF(AND(ISNUMBER('Council Entry'!AY$8),ISNUMBER('Council Entry'!AY$9)),MAX(MIN('Council Entry'!AY139,'Council Entry'!AY$9),'Council Entry'!AY$8),'Council Entry'!AY139)),IF('Council Entry'!AY$4="Exponential",EXP(IF(AND(ISNUMBER('Council Entry'!AY$8),ISNUMBER('Council Entry'!AY$9)),MAX(MIN('Council Entry'!AY139,'Council Entry'!AY$9),'Council Entry'!AY$8),'Council Entry'!AY139)),IF(AND(ISNUMBER('Council Entry'!AY$8),ISNUMBER('Council Entry'!AY$9)),MAX(MIN('Council Entry'!AY139,'Council Entry'!AY$9),'Council Entry'!AY$8),'Council Entry'!AY139))))-'Council Entry'!AY$5)/('Council Entry'!AY$6-'Council Entry'!AY$5),10*((IF('Council Entry'!AY$4="Logarithm",LN(0.001+IF(AND(ISNUMBER('Council Entry'!AY$8),ISNUMBER('Council Entry'!AY$9)),MAX(MIN('Council Entry'!AY139,'Council Entry'!AY$9),'Council Entry'!AY$8),'Council Entry'!AY139)),IF('Council Entry'!AY$4="Exponential",EXP(IF(AND(ISNUMBER('Council Entry'!AY$8),ISNUMBER('Council Entry'!AY$9)),MAX(MIN('Council Entry'!AY139,'Council Entry'!AY$9),'Council Entry'!AY$8),'Council Entry'!AY139)),IF(AND(ISNUMBER('Council Entry'!AY$8),ISNUMBER('Council Entry'!AY$9)),MAX(MIN('Council Entry'!AY139,'Council Entry'!AY$9),'Council Entry'!AY$8),'Council Entry'!AY139))))-'Council Entry'!AY$5)/('Council Entry'!AY$6-'Council Entry'!AY$5)),1))),"No data"))</f>
        <v/>
      </c>
      <c r="AZ139" s="13">
        <f>IF('Council Entry'!AZ139="","",IFERROR(MAX(0,MIN(10,ROUND(IF('Council Entry'!AZ$7="Decrease Risk",10-10*((IF('Council Entry'!AZ$4="Logarithm",LN(0.001+IF(AND(ISNUMBER('Council Entry'!AZ$8),ISNUMBER('Council Entry'!AZ$9)),MAX(MIN('Council Entry'!AZ139,'Council Entry'!AZ$9),'Council Entry'!AZ$8),'Council Entry'!AZ139)),IF('Council Entry'!AZ$4="Exponential",EXP(IF(AND(ISNUMBER('Council Entry'!AZ$8),ISNUMBER('Council Entry'!AZ$9)),MAX(MIN('Council Entry'!AZ139,'Council Entry'!AZ$9),'Council Entry'!AZ$8),'Council Entry'!AZ139)),IF(AND(ISNUMBER('Council Entry'!AZ$8),ISNUMBER('Council Entry'!AZ$9)),MAX(MIN('Council Entry'!AZ139,'Council Entry'!AZ$9),'Council Entry'!AZ$8),'Council Entry'!AZ139))))-'Council Entry'!AZ$5)/('Council Entry'!AZ$6-'Council Entry'!AZ$5),10*((IF('Council Entry'!AZ$4="Logarithm",LN(0.001+IF(AND(ISNUMBER('Council Entry'!AZ$8),ISNUMBER('Council Entry'!AZ$9)),MAX(MIN('Council Entry'!AZ139,'Council Entry'!AZ$9),'Council Entry'!AZ$8),'Council Entry'!AZ139)),IF('Council Entry'!AZ$4="Exponential",EXP(IF(AND(ISNUMBER('Council Entry'!AZ$8),ISNUMBER('Council Entry'!AZ$9)),MAX(MIN('Council Entry'!AZ139,'Council Entry'!AZ$9),'Council Entry'!AZ$8),'Council Entry'!AZ139)),IF(AND(ISNUMBER('Council Entry'!AZ$8),ISNUMBER('Council Entry'!AZ$9)),MAX(MIN('Council Entry'!AZ139,'Council Entry'!AZ$9),'Council Entry'!AZ$8),'Council Entry'!AZ139))))-'Council Entry'!AZ$5)/('Council Entry'!AZ$6-'Council Entry'!AZ$5)),1))),"No data"))</f>
        <v/>
      </c>
      <c r="BA139" s="13">
        <f>IF('Council Entry'!BA139="","",IFERROR(MAX(0,MIN(10,ROUND(IF('Council Entry'!BA$7="Decrease Risk",10-10*((IF('Council Entry'!BA$4="Logarithm",LN(0.001+IF(AND(ISNUMBER('Council Entry'!BA$8),ISNUMBER('Council Entry'!BA$9)),MAX(MIN('Council Entry'!BA139,'Council Entry'!BA$9),'Council Entry'!BA$8),'Council Entry'!BA139)),IF('Council Entry'!BA$4="Exponential",EXP(IF(AND(ISNUMBER('Council Entry'!BA$8),ISNUMBER('Council Entry'!BA$9)),MAX(MIN('Council Entry'!BA139,'Council Entry'!BA$9),'Council Entry'!BA$8),'Council Entry'!BA139)),IF(AND(ISNUMBER('Council Entry'!BA$8),ISNUMBER('Council Entry'!BA$9)),MAX(MIN('Council Entry'!BA139,'Council Entry'!BA$9),'Council Entry'!BA$8),'Council Entry'!BA139))))-'Council Entry'!BA$5)/('Council Entry'!BA$6-'Council Entry'!BA$5),10*((IF('Council Entry'!BA$4="Logarithm",LN(0.001+IF(AND(ISNUMBER('Council Entry'!BA$8),ISNUMBER('Council Entry'!BA$9)),MAX(MIN('Council Entry'!BA139,'Council Entry'!BA$9),'Council Entry'!BA$8),'Council Entry'!BA139)),IF('Council Entry'!BA$4="Exponential",EXP(IF(AND(ISNUMBER('Council Entry'!BA$8),ISNUMBER('Council Entry'!BA$9)),MAX(MIN('Council Entry'!BA139,'Council Entry'!BA$9),'Council Entry'!BA$8),'Council Entry'!BA139)),IF(AND(ISNUMBER('Council Entry'!BA$8),ISNUMBER('Council Entry'!BA$9)),MAX(MIN('Council Entry'!BA139,'Council Entry'!BA$9),'Council Entry'!BA$8),'Council Entry'!BA139))))-'Council Entry'!BA$5)/('Council Entry'!BA$6-'Council Entry'!BA$5)),1))),"No data"))</f>
        <v/>
      </c>
      <c r="BB139" s="13">
        <f>IF('Council Entry'!BB139="","",IFERROR(MAX(0,MIN(10,ROUND(IF('Council Entry'!BB$7="Decrease Risk",10-10*((IF('Council Entry'!BB$4="Logarithm",LN(0.001+IF(AND(ISNUMBER('Council Entry'!BB$8),ISNUMBER('Council Entry'!BB$9)),MAX(MIN('Council Entry'!BB139,'Council Entry'!BB$9),'Council Entry'!BB$8),'Council Entry'!BB139)),IF('Council Entry'!BB$4="Exponential",EXP(IF(AND(ISNUMBER('Council Entry'!BB$8),ISNUMBER('Council Entry'!BB$9)),MAX(MIN('Council Entry'!BB139,'Council Entry'!BB$9),'Council Entry'!BB$8),'Council Entry'!BB139)),IF(AND(ISNUMBER('Council Entry'!BB$8),ISNUMBER('Council Entry'!BB$9)),MAX(MIN('Council Entry'!BB139,'Council Entry'!BB$9),'Council Entry'!BB$8),'Council Entry'!BB139))))-'Council Entry'!BB$5)/('Council Entry'!BB$6-'Council Entry'!BB$5),10*((IF('Council Entry'!BB$4="Logarithm",LN(0.001+IF(AND(ISNUMBER('Council Entry'!BB$8),ISNUMBER('Council Entry'!BB$9)),MAX(MIN('Council Entry'!BB139,'Council Entry'!BB$9),'Council Entry'!BB$8),'Council Entry'!BB139)),IF('Council Entry'!BB$4="Exponential",EXP(IF(AND(ISNUMBER('Council Entry'!BB$8),ISNUMBER('Council Entry'!BB$9)),MAX(MIN('Council Entry'!BB139,'Council Entry'!BB$9),'Council Entry'!BB$8),'Council Entry'!BB139)),IF(AND(ISNUMBER('Council Entry'!BB$8),ISNUMBER('Council Entry'!BB$9)),MAX(MIN('Council Entry'!BB139,'Council Entry'!BB$9),'Council Entry'!BB$8),'Council Entry'!BB139))))-'Council Entry'!BB$5)/('Council Entry'!BB$6-'Council Entry'!BB$5)),1))),"No data"))</f>
        <v/>
      </c>
      <c r="BC139" s="13">
        <f>IF('Council Entry'!BC139="","",IFERROR(MAX(0,MIN(10,ROUND(IF('Council Entry'!BC$7="Decrease Risk",10-10*((IF('Council Entry'!BC$4="Logarithm",LN(0.001+IF(AND(ISNUMBER('Council Entry'!BC$8),ISNUMBER('Council Entry'!BC$9)),MAX(MIN('Council Entry'!BC139,'Council Entry'!BC$9),'Council Entry'!BC$8),'Council Entry'!BC139)),IF('Council Entry'!BC$4="Exponential",EXP(IF(AND(ISNUMBER('Council Entry'!BC$8),ISNUMBER('Council Entry'!BC$9)),MAX(MIN('Council Entry'!BC139,'Council Entry'!BC$9),'Council Entry'!BC$8),'Council Entry'!BC139)),IF(AND(ISNUMBER('Council Entry'!BC$8),ISNUMBER('Council Entry'!BC$9)),MAX(MIN('Council Entry'!BC139,'Council Entry'!BC$9),'Council Entry'!BC$8),'Council Entry'!BC139))))-'Council Entry'!BC$5)/('Council Entry'!BC$6-'Council Entry'!BC$5),10*((IF('Council Entry'!BC$4="Logarithm",LN(0.001+IF(AND(ISNUMBER('Council Entry'!BC$8),ISNUMBER('Council Entry'!BC$9)),MAX(MIN('Council Entry'!BC139,'Council Entry'!BC$9),'Council Entry'!BC$8),'Council Entry'!BC139)),IF('Council Entry'!BC$4="Exponential",EXP(IF(AND(ISNUMBER('Council Entry'!BC$8),ISNUMBER('Council Entry'!BC$9)),MAX(MIN('Council Entry'!BC139,'Council Entry'!BC$9),'Council Entry'!BC$8),'Council Entry'!BC139)),IF(AND(ISNUMBER('Council Entry'!BC$8),ISNUMBER('Council Entry'!BC$9)),MAX(MIN('Council Entry'!BC139,'Council Entry'!BC$9),'Council Entry'!BC$8),'Council Entry'!BC139))))-'Council Entry'!BC$5)/('Council Entry'!BC$6-'Council Entry'!BC$5)),1))),"No data"))</f>
        <v/>
      </c>
      <c r="BD139" s="13">
        <f>IF('Council Entry'!BD139="","",IFERROR(MAX(0,MIN(10,ROUND(IF('Council Entry'!BD$7="Decrease Risk",10-10*((IF('Council Entry'!BD$4="Logarithm",LN(0.001+IF(AND(ISNUMBER('Council Entry'!BD$8),ISNUMBER('Council Entry'!BD$9)),MAX(MIN('Council Entry'!BD139,'Council Entry'!BD$9),'Council Entry'!BD$8),'Council Entry'!BD139)),IF('Council Entry'!BD$4="Exponential",EXP(IF(AND(ISNUMBER('Council Entry'!BD$8),ISNUMBER('Council Entry'!BD$9)),MAX(MIN('Council Entry'!BD139,'Council Entry'!BD$9),'Council Entry'!BD$8),'Council Entry'!BD139)),IF(AND(ISNUMBER('Council Entry'!BD$8),ISNUMBER('Council Entry'!BD$9)),MAX(MIN('Council Entry'!BD139,'Council Entry'!BD$9),'Council Entry'!BD$8),'Council Entry'!BD139))))-'Council Entry'!BD$5)/('Council Entry'!BD$6-'Council Entry'!BD$5),10*((IF('Council Entry'!BD$4="Logarithm",LN(0.001+IF(AND(ISNUMBER('Council Entry'!BD$8),ISNUMBER('Council Entry'!BD$9)),MAX(MIN('Council Entry'!BD139,'Council Entry'!BD$9),'Council Entry'!BD$8),'Council Entry'!BD139)),IF('Council Entry'!BD$4="Exponential",EXP(IF(AND(ISNUMBER('Council Entry'!BD$8),ISNUMBER('Council Entry'!BD$9)),MAX(MIN('Council Entry'!BD139,'Council Entry'!BD$9),'Council Entry'!BD$8),'Council Entry'!BD139)),IF(AND(ISNUMBER('Council Entry'!BD$8),ISNUMBER('Council Entry'!BD$9)),MAX(MIN('Council Entry'!BD139,'Council Entry'!BD$9),'Council Entry'!BD$8),'Council Entry'!BD139))))-'Council Entry'!BD$5)/('Council Entry'!BD$6-'Council Entry'!BD$5)),1))),"No data"))</f>
        <v/>
      </c>
    </row>
    <row r="140">
      <c r="A140" t="inlineStr">
        <is>
          <t>Njombe</t>
        </is>
      </c>
      <c r="B140" t="inlineStr">
        <is>
          <t>Njombe Town</t>
        </is>
      </c>
      <c r="C140" t="inlineStr">
        <is>
          <t>C158</t>
        </is>
      </c>
      <c r="D140" s="13">
        <f>IF('Council Entry'!D140="","",IFERROR(MAX(0,MIN(10,ROUND(IF('Council Entry'!D$7="Decrease Risk",10-10*((IF('Council Entry'!D$4="Logarithm",LN(0.001+IF(AND(ISNUMBER('Council Entry'!D$8),ISNUMBER('Council Entry'!D$9)),MAX(MIN('Council Entry'!D140,'Council Entry'!D$9),'Council Entry'!D$8),'Council Entry'!D140)),IF('Council Entry'!D$4="Exponential",EXP(IF(AND(ISNUMBER('Council Entry'!D$8),ISNUMBER('Council Entry'!D$9)),MAX(MIN('Council Entry'!D140,'Council Entry'!D$9),'Council Entry'!D$8),'Council Entry'!D140)),IF(AND(ISNUMBER('Council Entry'!D$8),ISNUMBER('Council Entry'!D$9)),MAX(MIN('Council Entry'!D140,'Council Entry'!D$9),'Council Entry'!D$8),'Council Entry'!D140))))-'Council Entry'!D$5)/('Council Entry'!D$6-'Council Entry'!D$5),10*((IF('Council Entry'!D$4="Logarithm",LN(0.001+IF(AND(ISNUMBER('Council Entry'!D$8),ISNUMBER('Council Entry'!D$9)),MAX(MIN('Council Entry'!D140,'Council Entry'!D$9),'Council Entry'!D$8),'Council Entry'!D140)),IF('Council Entry'!D$4="Exponential",EXP(IF(AND(ISNUMBER('Council Entry'!D$8),ISNUMBER('Council Entry'!D$9)),MAX(MIN('Council Entry'!D140,'Council Entry'!D$9),'Council Entry'!D$8),'Council Entry'!D140)),IF(AND(ISNUMBER('Council Entry'!D$8),ISNUMBER('Council Entry'!D$9)),MAX(MIN('Council Entry'!D140,'Council Entry'!D$9),'Council Entry'!D$8),'Council Entry'!D140))))-'Council Entry'!D$5)/('Council Entry'!D$6-'Council Entry'!D$5)),1))),"No data"))</f>
        <v/>
      </c>
      <c r="E140" s="13">
        <f>IF('Council Entry'!E140="","",IFERROR(MAX(0,MIN(10,ROUND(IF('Council Entry'!E$7="Decrease Risk",10-10*((IF('Council Entry'!E$4="Logarithm",LN(0.001+IF(AND(ISNUMBER('Council Entry'!E$8),ISNUMBER('Council Entry'!E$9)),MAX(MIN('Council Entry'!E140,'Council Entry'!E$9),'Council Entry'!E$8),'Council Entry'!E140)),IF('Council Entry'!E$4="Exponential",EXP(IF(AND(ISNUMBER('Council Entry'!E$8),ISNUMBER('Council Entry'!E$9)),MAX(MIN('Council Entry'!E140,'Council Entry'!E$9),'Council Entry'!E$8),'Council Entry'!E140)),IF(AND(ISNUMBER('Council Entry'!E$8),ISNUMBER('Council Entry'!E$9)),MAX(MIN('Council Entry'!E140,'Council Entry'!E$9),'Council Entry'!E$8),'Council Entry'!E140))))-'Council Entry'!E$5)/('Council Entry'!E$6-'Council Entry'!E$5),10*((IF('Council Entry'!E$4="Logarithm",LN(0.001+IF(AND(ISNUMBER('Council Entry'!E$8),ISNUMBER('Council Entry'!E$9)),MAX(MIN('Council Entry'!E140,'Council Entry'!E$9),'Council Entry'!E$8),'Council Entry'!E140)),IF('Council Entry'!E$4="Exponential",EXP(IF(AND(ISNUMBER('Council Entry'!E$8),ISNUMBER('Council Entry'!E$9)),MAX(MIN('Council Entry'!E140,'Council Entry'!E$9),'Council Entry'!E$8),'Council Entry'!E140)),IF(AND(ISNUMBER('Council Entry'!E$8),ISNUMBER('Council Entry'!E$9)),MAX(MIN('Council Entry'!E140,'Council Entry'!E$9),'Council Entry'!E$8),'Council Entry'!E140))))-'Council Entry'!E$5)/('Council Entry'!E$6-'Council Entry'!E$5)),1))),"No data"))</f>
        <v/>
      </c>
      <c r="F140" s="13">
        <f>IF('Council Entry'!F140="","",IFERROR(MAX(0,MIN(10,ROUND(IF('Council Entry'!F$7="Decrease Risk",10-10*((IF('Council Entry'!F$4="Logarithm",LN(0.001+IF(AND(ISNUMBER('Council Entry'!F$8),ISNUMBER('Council Entry'!F$9)),MAX(MIN('Council Entry'!F140,'Council Entry'!F$9),'Council Entry'!F$8),'Council Entry'!F140)),IF('Council Entry'!F$4="Exponential",EXP(IF(AND(ISNUMBER('Council Entry'!F$8),ISNUMBER('Council Entry'!F$9)),MAX(MIN('Council Entry'!F140,'Council Entry'!F$9),'Council Entry'!F$8),'Council Entry'!F140)),IF(AND(ISNUMBER('Council Entry'!F$8),ISNUMBER('Council Entry'!F$9)),MAX(MIN('Council Entry'!F140,'Council Entry'!F$9),'Council Entry'!F$8),'Council Entry'!F140))))-'Council Entry'!F$5)/('Council Entry'!F$6-'Council Entry'!F$5),10*((IF('Council Entry'!F$4="Logarithm",LN(0.001+IF(AND(ISNUMBER('Council Entry'!F$8),ISNUMBER('Council Entry'!F$9)),MAX(MIN('Council Entry'!F140,'Council Entry'!F$9),'Council Entry'!F$8),'Council Entry'!F140)),IF('Council Entry'!F$4="Exponential",EXP(IF(AND(ISNUMBER('Council Entry'!F$8),ISNUMBER('Council Entry'!F$9)),MAX(MIN('Council Entry'!F140,'Council Entry'!F$9),'Council Entry'!F$8),'Council Entry'!F140)),IF(AND(ISNUMBER('Council Entry'!F$8),ISNUMBER('Council Entry'!F$9)),MAX(MIN('Council Entry'!F140,'Council Entry'!F$9),'Council Entry'!F$8),'Council Entry'!F140))))-'Council Entry'!F$5)/('Council Entry'!F$6-'Council Entry'!F$5)),1))),"No data"))</f>
        <v/>
      </c>
      <c r="G140" s="13">
        <f>IF('Council Entry'!G140="","",IFERROR(MAX(0,MIN(10,ROUND(IF('Council Entry'!G$7="Decrease Risk",10-10*((IF('Council Entry'!G$4="Logarithm",LN(0.001+IF(AND(ISNUMBER('Council Entry'!G$8),ISNUMBER('Council Entry'!G$9)),MAX(MIN('Council Entry'!G140,'Council Entry'!G$9),'Council Entry'!G$8),'Council Entry'!G140)),IF('Council Entry'!G$4="Exponential",EXP(IF(AND(ISNUMBER('Council Entry'!G$8),ISNUMBER('Council Entry'!G$9)),MAX(MIN('Council Entry'!G140,'Council Entry'!G$9),'Council Entry'!G$8),'Council Entry'!G140)),IF(AND(ISNUMBER('Council Entry'!G$8),ISNUMBER('Council Entry'!G$9)),MAX(MIN('Council Entry'!G140,'Council Entry'!G$9),'Council Entry'!G$8),'Council Entry'!G140))))-'Council Entry'!G$5)/('Council Entry'!G$6-'Council Entry'!G$5),10*((IF('Council Entry'!G$4="Logarithm",LN(0.001+IF(AND(ISNUMBER('Council Entry'!G$8),ISNUMBER('Council Entry'!G$9)),MAX(MIN('Council Entry'!G140,'Council Entry'!G$9),'Council Entry'!G$8),'Council Entry'!G140)),IF('Council Entry'!G$4="Exponential",EXP(IF(AND(ISNUMBER('Council Entry'!G$8),ISNUMBER('Council Entry'!G$9)),MAX(MIN('Council Entry'!G140,'Council Entry'!G$9),'Council Entry'!G$8),'Council Entry'!G140)),IF(AND(ISNUMBER('Council Entry'!G$8),ISNUMBER('Council Entry'!G$9)),MAX(MIN('Council Entry'!G140,'Council Entry'!G$9),'Council Entry'!G$8),'Council Entry'!G140))))-'Council Entry'!G$5)/('Council Entry'!G$6-'Council Entry'!G$5)),1))),"No data"))</f>
        <v/>
      </c>
      <c r="H140" s="13">
        <f>IF('Council Entry'!H140="","",IFERROR(MAX(0,MIN(10,ROUND(IF('Council Entry'!H$7="Decrease Risk",10-10*((IF('Council Entry'!H$4="Logarithm",LN(0.001+IF(AND(ISNUMBER('Council Entry'!H$8),ISNUMBER('Council Entry'!H$9)),MAX(MIN('Council Entry'!H140,'Council Entry'!H$9),'Council Entry'!H$8),'Council Entry'!H140)),IF('Council Entry'!H$4="Exponential",EXP(IF(AND(ISNUMBER('Council Entry'!H$8),ISNUMBER('Council Entry'!H$9)),MAX(MIN('Council Entry'!H140,'Council Entry'!H$9),'Council Entry'!H$8),'Council Entry'!H140)),IF(AND(ISNUMBER('Council Entry'!H$8),ISNUMBER('Council Entry'!H$9)),MAX(MIN('Council Entry'!H140,'Council Entry'!H$9),'Council Entry'!H$8),'Council Entry'!H140))))-'Council Entry'!H$5)/('Council Entry'!H$6-'Council Entry'!H$5),10*((IF('Council Entry'!H$4="Logarithm",LN(0.001+IF(AND(ISNUMBER('Council Entry'!H$8),ISNUMBER('Council Entry'!H$9)),MAX(MIN('Council Entry'!H140,'Council Entry'!H$9),'Council Entry'!H$8),'Council Entry'!H140)),IF('Council Entry'!H$4="Exponential",EXP(IF(AND(ISNUMBER('Council Entry'!H$8),ISNUMBER('Council Entry'!H$9)),MAX(MIN('Council Entry'!H140,'Council Entry'!H$9),'Council Entry'!H$8),'Council Entry'!H140)),IF(AND(ISNUMBER('Council Entry'!H$8),ISNUMBER('Council Entry'!H$9)),MAX(MIN('Council Entry'!H140,'Council Entry'!H$9),'Council Entry'!H$8),'Council Entry'!H140))))-'Council Entry'!H$5)/('Council Entry'!H$6-'Council Entry'!H$5)),1))),"No data"))</f>
        <v/>
      </c>
      <c r="I140" s="13">
        <f>IF('Council Entry'!I140="","",IFERROR(MAX(0,MIN(10,ROUND(IF('Council Entry'!I$7="Decrease Risk",10-10*((IF('Council Entry'!I$4="Logarithm",LN(0.001+IF(AND(ISNUMBER('Council Entry'!I$8),ISNUMBER('Council Entry'!I$9)),MAX(MIN('Council Entry'!I140,'Council Entry'!I$9),'Council Entry'!I$8),'Council Entry'!I140)),IF('Council Entry'!I$4="Exponential",EXP(IF(AND(ISNUMBER('Council Entry'!I$8),ISNUMBER('Council Entry'!I$9)),MAX(MIN('Council Entry'!I140,'Council Entry'!I$9),'Council Entry'!I$8),'Council Entry'!I140)),IF(AND(ISNUMBER('Council Entry'!I$8),ISNUMBER('Council Entry'!I$9)),MAX(MIN('Council Entry'!I140,'Council Entry'!I$9),'Council Entry'!I$8),'Council Entry'!I140))))-'Council Entry'!I$5)/('Council Entry'!I$6-'Council Entry'!I$5),10*((IF('Council Entry'!I$4="Logarithm",LN(0.001+IF(AND(ISNUMBER('Council Entry'!I$8),ISNUMBER('Council Entry'!I$9)),MAX(MIN('Council Entry'!I140,'Council Entry'!I$9),'Council Entry'!I$8),'Council Entry'!I140)),IF('Council Entry'!I$4="Exponential",EXP(IF(AND(ISNUMBER('Council Entry'!I$8),ISNUMBER('Council Entry'!I$9)),MAX(MIN('Council Entry'!I140,'Council Entry'!I$9),'Council Entry'!I$8),'Council Entry'!I140)),IF(AND(ISNUMBER('Council Entry'!I$8),ISNUMBER('Council Entry'!I$9)),MAX(MIN('Council Entry'!I140,'Council Entry'!I$9),'Council Entry'!I$8),'Council Entry'!I140))))-'Council Entry'!I$5)/('Council Entry'!I$6-'Council Entry'!I$5)),1))),"No data"))</f>
        <v/>
      </c>
      <c r="J140" s="13">
        <f>IF('Council Entry'!J140="","",IFERROR(MAX(0,MIN(10,ROUND(IF('Council Entry'!J$7="Decrease Risk",10-10*((IF('Council Entry'!J$4="Logarithm",LN(0.001+IF(AND(ISNUMBER('Council Entry'!J$8),ISNUMBER('Council Entry'!J$9)),MAX(MIN('Council Entry'!J140,'Council Entry'!J$9),'Council Entry'!J$8),'Council Entry'!J140)),IF('Council Entry'!J$4="Exponential",EXP(IF(AND(ISNUMBER('Council Entry'!J$8),ISNUMBER('Council Entry'!J$9)),MAX(MIN('Council Entry'!J140,'Council Entry'!J$9),'Council Entry'!J$8),'Council Entry'!J140)),IF(AND(ISNUMBER('Council Entry'!J$8),ISNUMBER('Council Entry'!J$9)),MAX(MIN('Council Entry'!J140,'Council Entry'!J$9),'Council Entry'!J$8),'Council Entry'!J140))))-'Council Entry'!J$5)/('Council Entry'!J$6-'Council Entry'!J$5),10*((IF('Council Entry'!J$4="Logarithm",LN(0.001+IF(AND(ISNUMBER('Council Entry'!J$8),ISNUMBER('Council Entry'!J$9)),MAX(MIN('Council Entry'!J140,'Council Entry'!J$9),'Council Entry'!J$8),'Council Entry'!J140)),IF('Council Entry'!J$4="Exponential",EXP(IF(AND(ISNUMBER('Council Entry'!J$8),ISNUMBER('Council Entry'!J$9)),MAX(MIN('Council Entry'!J140,'Council Entry'!J$9),'Council Entry'!J$8),'Council Entry'!J140)),IF(AND(ISNUMBER('Council Entry'!J$8),ISNUMBER('Council Entry'!J$9)),MAX(MIN('Council Entry'!J140,'Council Entry'!J$9),'Council Entry'!J$8),'Council Entry'!J140))))-'Council Entry'!J$5)/('Council Entry'!J$6-'Council Entry'!J$5)),1))),"No data"))</f>
        <v/>
      </c>
      <c r="K140" s="13">
        <f>IF('Council Entry'!K140="","",IFERROR(MAX(0,MIN(10,ROUND(IF('Council Entry'!K$7="Decrease Risk",10-10*((IF('Council Entry'!K$4="Logarithm",LN(0.001+IF(AND(ISNUMBER('Council Entry'!K$8),ISNUMBER('Council Entry'!K$9)),MAX(MIN('Council Entry'!K140,'Council Entry'!K$9),'Council Entry'!K$8),'Council Entry'!K140)),IF('Council Entry'!K$4="Exponential",EXP(IF(AND(ISNUMBER('Council Entry'!K$8),ISNUMBER('Council Entry'!K$9)),MAX(MIN('Council Entry'!K140,'Council Entry'!K$9),'Council Entry'!K$8),'Council Entry'!K140)),IF(AND(ISNUMBER('Council Entry'!K$8),ISNUMBER('Council Entry'!K$9)),MAX(MIN('Council Entry'!K140,'Council Entry'!K$9),'Council Entry'!K$8),'Council Entry'!K140))))-'Council Entry'!K$5)/('Council Entry'!K$6-'Council Entry'!K$5),10*((IF('Council Entry'!K$4="Logarithm",LN(0.001+IF(AND(ISNUMBER('Council Entry'!K$8),ISNUMBER('Council Entry'!K$9)),MAX(MIN('Council Entry'!K140,'Council Entry'!K$9),'Council Entry'!K$8),'Council Entry'!K140)),IF('Council Entry'!K$4="Exponential",EXP(IF(AND(ISNUMBER('Council Entry'!K$8),ISNUMBER('Council Entry'!K$9)),MAX(MIN('Council Entry'!K140,'Council Entry'!K$9),'Council Entry'!K$8),'Council Entry'!K140)),IF(AND(ISNUMBER('Council Entry'!K$8),ISNUMBER('Council Entry'!K$9)),MAX(MIN('Council Entry'!K140,'Council Entry'!K$9),'Council Entry'!K$8),'Council Entry'!K140))))-'Council Entry'!K$5)/('Council Entry'!K$6-'Council Entry'!K$5)),1))),"No data"))</f>
        <v/>
      </c>
      <c r="L140" s="13">
        <f>IF('Council Entry'!L140="","",IFERROR(MAX(0,MIN(10,ROUND(IF('Council Entry'!L$7="Decrease Risk",10-10*((IF('Council Entry'!L$4="Logarithm",LN(0.001+IF(AND(ISNUMBER('Council Entry'!L$8),ISNUMBER('Council Entry'!L$9)),MAX(MIN('Council Entry'!L140,'Council Entry'!L$9),'Council Entry'!L$8),'Council Entry'!L140)),IF('Council Entry'!L$4="Exponential",EXP(IF(AND(ISNUMBER('Council Entry'!L$8),ISNUMBER('Council Entry'!L$9)),MAX(MIN('Council Entry'!L140,'Council Entry'!L$9),'Council Entry'!L$8),'Council Entry'!L140)),IF(AND(ISNUMBER('Council Entry'!L$8),ISNUMBER('Council Entry'!L$9)),MAX(MIN('Council Entry'!L140,'Council Entry'!L$9),'Council Entry'!L$8),'Council Entry'!L140))))-'Council Entry'!L$5)/('Council Entry'!L$6-'Council Entry'!L$5),10*((IF('Council Entry'!L$4="Logarithm",LN(0.001+IF(AND(ISNUMBER('Council Entry'!L$8),ISNUMBER('Council Entry'!L$9)),MAX(MIN('Council Entry'!L140,'Council Entry'!L$9),'Council Entry'!L$8),'Council Entry'!L140)),IF('Council Entry'!L$4="Exponential",EXP(IF(AND(ISNUMBER('Council Entry'!L$8),ISNUMBER('Council Entry'!L$9)),MAX(MIN('Council Entry'!L140,'Council Entry'!L$9),'Council Entry'!L$8),'Council Entry'!L140)),IF(AND(ISNUMBER('Council Entry'!L$8),ISNUMBER('Council Entry'!L$9)),MAX(MIN('Council Entry'!L140,'Council Entry'!L$9),'Council Entry'!L$8),'Council Entry'!L140))))-'Council Entry'!L$5)/('Council Entry'!L$6-'Council Entry'!L$5)),1))),"No data"))</f>
        <v/>
      </c>
      <c r="M140" s="13">
        <f>IF('Council Entry'!M140="","",IFERROR(MAX(0,MIN(10,ROUND(IF('Council Entry'!M$7="Decrease Risk",10-10*((IF('Council Entry'!M$4="Logarithm",LN(0.001+IF(AND(ISNUMBER('Council Entry'!M$8),ISNUMBER('Council Entry'!M$9)),MAX(MIN('Council Entry'!M140,'Council Entry'!M$9),'Council Entry'!M$8),'Council Entry'!M140)),IF('Council Entry'!M$4="Exponential",EXP(IF(AND(ISNUMBER('Council Entry'!M$8),ISNUMBER('Council Entry'!M$9)),MAX(MIN('Council Entry'!M140,'Council Entry'!M$9),'Council Entry'!M$8),'Council Entry'!M140)),IF(AND(ISNUMBER('Council Entry'!M$8),ISNUMBER('Council Entry'!M$9)),MAX(MIN('Council Entry'!M140,'Council Entry'!M$9),'Council Entry'!M$8),'Council Entry'!M140))))-'Council Entry'!M$5)/('Council Entry'!M$6-'Council Entry'!M$5),10*((IF('Council Entry'!M$4="Logarithm",LN(0.001+IF(AND(ISNUMBER('Council Entry'!M$8),ISNUMBER('Council Entry'!M$9)),MAX(MIN('Council Entry'!M140,'Council Entry'!M$9),'Council Entry'!M$8),'Council Entry'!M140)),IF('Council Entry'!M$4="Exponential",EXP(IF(AND(ISNUMBER('Council Entry'!M$8),ISNUMBER('Council Entry'!M$9)),MAX(MIN('Council Entry'!M140,'Council Entry'!M$9),'Council Entry'!M$8),'Council Entry'!M140)),IF(AND(ISNUMBER('Council Entry'!M$8),ISNUMBER('Council Entry'!M$9)),MAX(MIN('Council Entry'!M140,'Council Entry'!M$9),'Council Entry'!M$8),'Council Entry'!M140))))-'Council Entry'!M$5)/('Council Entry'!M$6-'Council Entry'!M$5)),1))),"No data"))</f>
        <v/>
      </c>
      <c r="N140" s="13">
        <f>IF('Council Entry'!N140="","",IFERROR(MAX(0,MIN(10,ROUND(IF('Council Entry'!N$7="Decrease Risk",10-10*((IF('Council Entry'!N$4="Logarithm",LN(0.001+IF(AND(ISNUMBER('Council Entry'!N$8),ISNUMBER('Council Entry'!N$9)),MAX(MIN('Council Entry'!N140,'Council Entry'!N$9),'Council Entry'!N$8),'Council Entry'!N140)),IF('Council Entry'!N$4="Exponential",EXP(IF(AND(ISNUMBER('Council Entry'!N$8),ISNUMBER('Council Entry'!N$9)),MAX(MIN('Council Entry'!N140,'Council Entry'!N$9),'Council Entry'!N$8),'Council Entry'!N140)),IF(AND(ISNUMBER('Council Entry'!N$8),ISNUMBER('Council Entry'!N$9)),MAX(MIN('Council Entry'!N140,'Council Entry'!N$9),'Council Entry'!N$8),'Council Entry'!N140))))-'Council Entry'!N$5)/('Council Entry'!N$6-'Council Entry'!N$5),10*((IF('Council Entry'!N$4="Logarithm",LN(0.001+IF(AND(ISNUMBER('Council Entry'!N$8),ISNUMBER('Council Entry'!N$9)),MAX(MIN('Council Entry'!N140,'Council Entry'!N$9),'Council Entry'!N$8),'Council Entry'!N140)),IF('Council Entry'!N$4="Exponential",EXP(IF(AND(ISNUMBER('Council Entry'!N$8),ISNUMBER('Council Entry'!N$9)),MAX(MIN('Council Entry'!N140,'Council Entry'!N$9),'Council Entry'!N$8),'Council Entry'!N140)),IF(AND(ISNUMBER('Council Entry'!N$8),ISNUMBER('Council Entry'!N$9)),MAX(MIN('Council Entry'!N140,'Council Entry'!N$9),'Council Entry'!N$8),'Council Entry'!N140))))-'Council Entry'!N$5)/('Council Entry'!N$6-'Council Entry'!N$5)),1))),"No data"))</f>
        <v/>
      </c>
      <c r="O140" s="13">
        <f>IF('Council Entry'!O140="","",IFERROR(MAX(0,MIN(10,ROUND(IF('Council Entry'!O$7="Decrease Risk",10-10*((IF('Council Entry'!O$4="Logarithm",LN(0.001+IF(AND(ISNUMBER('Council Entry'!O$8),ISNUMBER('Council Entry'!O$9)),MAX(MIN('Council Entry'!O140,'Council Entry'!O$9),'Council Entry'!O$8),'Council Entry'!O140)),IF('Council Entry'!O$4="Exponential",EXP(IF(AND(ISNUMBER('Council Entry'!O$8),ISNUMBER('Council Entry'!O$9)),MAX(MIN('Council Entry'!O140,'Council Entry'!O$9),'Council Entry'!O$8),'Council Entry'!O140)),IF(AND(ISNUMBER('Council Entry'!O$8),ISNUMBER('Council Entry'!O$9)),MAX(MIN('Council Entry'!O140,'Council Entry'!O$9),'Council Entry'!O$8),'Council Entry'!O140))))-'Council Entry'!O$5)/('Council Entry'!O$6-'Council Entry'!O$5),10*((IF('Council Entry'!O$4="Logarithm",LN(0.001+IF(AND(ISNUMBER('Council Entry'!O$8),ISNUMBER('Council Entry'!O$9)),MAX(MIN('Council Entry'!O140,'Council Entry'!O$9),'Council Entry'!O$8),'Council Entry'!O140)),IF('Council Entry'!O$4="Exponential",EXP(IF(AND(ISNUMBER('Council Entry'!O$8),ISNUMBER('Council Entry'!O$9)),MAX(MIN('Council Entry'!O140,'Council Entry'!O$9),'Council Entry'!O$8),'Council Entry'!O140)),IF(AND(ISNUMBER('Council Entry'!O$8),ISNUMBER('Council Entry'!O$9)),MAX(MIN('Council Entry'!O140,'Council Entry'!O$9),'Council Entry'!O$8),'Council Entry'!O140))))-'Council Entry'!O$5)/('Council Entry'!O$6-'Council Entry'!O$5)),1))),"No data"))</f>
        <v/>
      </c>
      <c r="P140" s="13">
        <f>IF('Council Entry'!P140="","",IFERROR(MAX(0,MIN(10,ROUND(IF('Council Entry'!P$7="Decrease Risk",10-10*((IF('Council Entry'!P$4="Logarithm",LN(0.001+IF(AND(ISNUMBER('Council Entry'!P$8),ISNUMBER('Council Entry'!P$9)),MAX(MIN('Council Entry'!P140,'Council Entry'!P$9),'Council Entry'!P$8),'Council Entry'!P140)),IF('Council Entry'!P$4="Exponential",EXP(IF(AND(ISNUMBER('Council Entry'!P$8),ISNUMBER('Council Entry'!P$9)),MAX(MIN('Council Entry'!P140,'Council Entry'!P$9),'Council Entry'!P$8),'Council Entry'!P140)),IF(AND(ISNUMBER('Council Entry'!P$8),ISNUMBER('Council Entry'!P$9)),MAX(MIN('Council Entry'!P140,'Council Entry'!P$9),'Council Entry'!P$8),'Council Entry'!P140))))-'Council Entry'!P$5)/('Council Entry'!P$6-'Council Entry'!P$5),10*((IF('Council Entry'!P$4="Logarithm",LN(0.001+IF(AND(ISNUMBER('Council Entry'!P$8),ISNUMBER('Council Entry'!P$9)),MAX(MIN('Council Entry'!P140,'Council Entry'!P$9),'Council Entry'!P$8),'Council Entry'!P140)),IF('Council Entry'!P$4="Exponential",EXP(IF(AND(ISNUMBER('Council Entry'!P$8),ISNUMBER('Council Entry'!P$9)),MAX(MIN('Council Entry'!P140,'Council Entry'!P$9),'Council Entry'!P$8),'Council Entry'!P140)),IF(AND(ISNUMBER('Council Entry'!P$8),ISNUMBER('Council Entry'!P$9)),MAX(MIN('Council Entry'!P140,'Council Entry'!P$9),'Council Entry'!P$8),'Council Entry'!P140))))-'Council Entry'!P$5)/('Council Entry'!P$6-'Council Entry'!P$5)),1))),"No data"))</f>
        <v/>
      </c>
      <c r="Q140" s="13">
        <f>IF('Council Entry'!Q140="","",IFERROR(MAX(0,MIN(10,ROUND(IF('Council Entry'!Q$7="Decrease Risk",10-10*((IF('Council Entry'!Q$4="Logarithm",LN(0.001+IF(AND(ISNUMBER('Council Entry'!Q$8),ISNUMBER('Council Entry'!Q$9)),MAX(MIN('Council Entry'!Q140,'Council Entry'!Q$9),'Council Entry'!Q$8),'Council Entry'!Q140)),IF('Council Entry'!Q$4="Exponential",EXP(IF(AND(ISNUMBER('Council Entry'!Q$8),ISNUMBER('Council Entry'!Q$9)),MAX(MIN('Council Entry'!Q140,'Council Entry'!Q$9),'Council Entry'!Q$8),'Council Entry'!Q140)),IF(AND(ISNUMBER('Council Entry'!Q$8),ISNUMBER('Council Entry'!Q$9)),MAX(MIN('Council Entry'!Q140,'Council Entry'!Q$9),'Council Entry'!Q$8),'Council Entry'!Q140))))-'Council Entry'!Q$5)/('Council Entry'!Q$6-'Council Entry'!Q$5),10*((IF('Council Entry'!Q$4="Logarithm",LN(0.001+IF(AND(ISNUMBER('Council Entry'!Q$8),ISNUMBER('Council Entry'!Q$9)),MAX(MIN('Council Entry'!Q140,'Council Entry'!Q$9),'Council Entry'!Q$8),'Council Entry'!Q140)),IF('Council Entry'!Q$4="Exponential",EXP(IF(AND(ISNUMBER('Council Entry'!Q$8),ISNUMBER('Council Entry'!Q$9)),MAX(MIN('Council Entry'!Q140,'Council Entry'!Q$9),'Council Entry'!Q$8),'Council Entry'!Q140)),IF(AND(ISNUMBER('Council Entry'!Q$8),ISNUMBER('Council Entry'!Q$9)),MAX(MIN('Council Entry'!Q140,'Council Entry'!Q$9),'Council Entry'!Q$8),'Council Entry'!Q140))))-'Council Entry'!Q$5)/('Council Entry'!Q$6-'Council Entry'!Q$5)),1))),"No data"))</f>
        <v/>
      </c>
      <c r="R140" s="13">
        <f>IF('Council Entry'!R140="","",IFERROR(MAX(0,MIN(10,ROUND(IF('Council Entry'!R$7="Decrease Risk",10-10*((IF('Council Entry'!R$4="Logarithm",LN(0.001+IF(AND(ISNUMBER('Council Entry'!R$8),ISNUMBER('Council Entry'!R$9)),MAX(MIN('Council Entry'!R140,'Council Entry'!R$9),'Council Entry'!R$8),'Council Entry'!R140)),IF('Council Entry'!R$4="Exponential",EXP(IF(AND(ISNUMBER('Council Entry'!R$8),ISNUMBER('Council Entry'!R$9)),MAX(MIN('Council Entry'!R140,'Council Entry'!R$9),'Council Entry'!R$8),'Council Entry'!R140)),IF(AND(ISNUMBER('Council Entry'!R$8),ISNUMBER('Council Entry'!R$9)),MAX(MIN('Council Entry'!R140,'Council Entry'!R$9),'Council Entry'!R$8),'Council Entry'!R140))))-'Council Entry'!R$5)/('Council Entry'!R$6-'Council Entry'!R$5),10*((IF('Council Entry'!R$4="Logarithm",LN(0.001+IF(AND(ISNUMBER('Council Entry'!R$8),ISNUMBER('Council Entry'!R$9)),MAX(MIN('Council Entry'!R140,'Council Entry'!R$9),'Council Entry'!R$8),'Council Entry'!R140)),IF('Council Entry'!R$4="Exponential",EXP(IF(AND(ISNUMBER('Council Entry'!R$8),ISNUMBER('Council Entry'!R$9)),MAX(MIN('Council Entry'!R140,'Council Entry'!R$9),'Council Entry'!R$8),'Council Entry'!R140)),IF(AND(ISNUMBER('Council Entry'!R$8),ISNUMBER('Council Entry'!R$9)),MAX(MIN('Council Entry'!R140,'Council Entry'!R$9),'Council Entry'!R$8),'Council Entry'!R140))))-'Council Entry'!R$5)/('Council Entry'!R$6-'Council Entry'!R$5)),1))),"No data"))</f>
        <v/>
      </c>
      <c r="S140" s="13">
        <f>IF('Council Entry'!S140="","",IFERROR(MAX(0,MIN(10,ROUND(IF('Council Entry'!S$7="Decrease Risk",10-10*((IF('Council Entry'!S$4="Logarithm",LN(0.001+IF(AND(ISNUMBER('Council Entry'!S$8),ISNUMBER('Council Entry'!S$9)),MAX(MIN('Council Entry'!S140,'Council Entry'!S$9),'Council Entry'!S$8),'Council Entry'!S140)),IF('Council Entry'!S$4="Exponential",EXP(IF(AND(ISNUMBER('Council Entry'!S$8),ISNUMBER('Council Entry'!S$9)),MAX(MIN('Council Entry'!S140,'Council Entry'!S$9),'Council Entry'!S$8),'Council Entry'!S140)),IF(AND(ISNUMBER('Council Entry'!S$8),ISNUMBER('Council Entry'!S$9)),MAX(MIN('Council Entry'!S140,'Council Entry'!S$9),'Council Entry'!S$8),'Council Entry'!S140))))-'Council Entry'!S$5)/('Council Entry'!S$6-'Council Entry'!S$5),10*((IF('Council Entry'!S$4="Logarithm",LN(0.001+IF(AND(ISNUMBER('Council Entry'!S$8),ISNUMBER('Council Entry'!S$9)),MAX(MIN('Council Entry'!S140,'Council Entry'!S$9),'Council Entry'!S$8),'Council Entry'!S140)),IF('Council Entry'!S$4="Exponential",EXP(IF(AND(ISNUMBER('Council Entry'!S$8),ISNUMBER('Council Entry'!S$9)),MAX(MIN('Council Entry'!S140,'Council Entry'!S$9),'Council Entry'!S$8),'Council Entry'!S140)),IF(AND(ISNUMBER('Council Entry'!S$8),ISNUMBER('Council Entry'!S$9)),MAX(MIN('Council Entry'!S140,'Council Entry'!S$9),'Council Entry'!S$8),'Council Entry'!S140))))-'Council Entry'!S$5)/('Council Entry'!S$6-'Council Entry'!S$5)),1))),"No data"))</f>
        <v/>
      </c>
      <c r="T140" s="13">
        <f>IF('Council Entry'!T140="","",IFERROR(MAX(0,MIN(10,ROUND(IF('Council Entry'!T$7="Decrease Risk",10-10*((IF('Council Entry'!T$4="Logarithm",LN(0.001+IF(AND(ISNUMBER('Council Entry'!T$8),ISNUMBER('Council Entry'!T$9)),MAX(MIN('Council Entry'!T140,'Council Entry'!T$9),'Council Entry'!T$8),'Council Entry'!T140)),IF('Council Entry'!T$4="Exponential",EXP(IF(AND(ISNUMBER('Council Entry'!T$8),ISNUMBER('Council Entry'!T$9)),MAX(MIN('Council Entry'!T140,'Council Entry'!T$9),'Council Entry'!T$8),'Council Entry'!T140)),IF(AND(ISNUMBER('Council Entry'!T$8),ISNUMBER('Council Entry'!T$9)),MAX(MIN('Council Entry'!T140,'Council Entry'!T$9),'Council Entry'!T$8),'Council Entry'!T140))))-'Council Entry'!T$5)/('Council Entry'!T$6-'Council Entry'!T$5),10*((IF('Council Entry'!T$4="Logarithm",LN(0.001+IF(AND(ISNUMBER('Council Entry'!T$8),ISNUMBER('Council Entry'!T$9)),MAX(MIN('Council Entry'!T140,'Council Entry'!T$9),'Council Entry'!T$8),'Council Entry'!T140)),IF('Council Entry'!T$4="Exponential",EXP(IF(AND(ISNUMBER('Council Entry'!T$8),ISNUMBER('Council Entry'!T$9)),MAX(MIN('Council Entry'!T140,'Council Entry'!T$9),'Council Entry'!T$8),'Council Entry'!T140)),IF(AND(ISNUMBER('Council Entry'!T$8),ISNUMBER('Council Entry'!T$9)),MAX(MIN('Council Entry'!T140,'Council Entry'!T$9),'Council Entry'!T$8),'Council Entry'!T140))))-'Council Entry'!T$5)/('Council Entry'!T$6-'Council Entry'!T$5)),1))),"No data"))</f>
        <v/>
      </c>
      <c r="U140" s="13">
        <f>IF('Council Entry'!U140="","",IFERROR(MAX(0,MIN(10,ROUND(IF('Council Entry'!U$7="Decrease Risk",10-10*((IF('Council Entry'!U$4="Logarithm",LN(0.001+IF(AND(ISNUMBER('Council Entry'!U$8),ISNUMBER('Council Entry'!U$9)),MAX(MIN('Council Entry'!U140,'Council Entry'!U$9),'Council Entry'!U$8),'Council Entry'!U140)),IF('Council Entry'!U$4="Exponential",EXP(IF(AND(ISNUMBER('Council Entry'!U$8),ISNUMBER('Council Entry'!U$9)),MAX(MIN('Council Entry'!U140,'Council Entry'!U$9),'Council Entry'!U$8),'Council Entry'!U140)),IF(AND(ISNUMBER('Council Entry'!U$8),ISNUMBER('Council Entry'!U$9)),MAX(MIN('Council Entry'!U140,'Council Entry'!U$9),'Council Entry'!U$8),'Council Entry'!U140))))-'Council Entry'!U$5)/('Council Entry'!U$6-'Council Entry'!U$5),10*((IF('Council Entry'!U$4="Logarithm",LN(0.001+IF(AND(ISNUMBER('Council Entry'!U$8),ISNUMBER('Council Entry'!U$9)),MAX(MIN('Council Entry'!U140,'Council Entry'!U$9),'Council Entry'!U$8),'Council Entry'!U140)),IF('Council Entry'!U$4="Exponential",EXP(IF(AND(ISNUMBER('Council Entry'!U$8),ISNUMBER('Council Entry'!U$9)),MAX(MIN('Council Entry'!U140,'Council Entry'!U$9),'Council Entry'!U$8),'Council Entry'!U140)),IF(AND(ISNUMBER('Council Entry'!U$8),ISNUMBER('Council Entry'!U$9)),MAX(MIN('Council Entry'!U140,'Council Entry'!U$9),'Council Entry'!U$8),'Council Entry'!U140))))-'Council Entry'!U$5)/('Council Entry'!U$6-'Council Entry'!U$5)),1))),"No data"))</f>
        <v/>
      </c>
      <c r="V140" s="13">
        <f>IF('Council Entry'!V140="","",IFERROR(MAX(0,MIN(10,ROUND(IF('Council Entry'!V$7="Decrease Risk",10-10*((IF('Council Entry'!V$4="Logarithm",LN(0.001+IF(AND(ISNUMBER('Council Entry'!V$8),ISNUMBER('Council Entry'!V$9)),MAX(MIN('Council Entry'!V140,'Council Entry'!V$9),'Council Entry'!V$8),'Council Entry'!V140)),IF('Council Entry'!V$4="Exponential",EXP(IF(AND(ISNUMBER('Council Entry'!V$8),ISNUMBER('Council Entry'!V$9)),MAX(MIN('Council Entry'!V140,'Council Entry'!V$9),'Council Entry'!V$8),'Council Entry'!V140)),IF(AND(ISNUMBER('Council Entry'!V$8),ISNUMBER('Council Entry'!V$9)),MAX(MIN('Council Entry'!V140,'Council Entry'!V$9),'Council Entry'!V$8),'Council Entry'!V140))))-'Council Entry'!V$5)/('Council Entry'!V$6-'Council Entry'!V$5),10*((IF('Council Entry'!V$4="Logarithm",LN(0.001+IF(AND(ISNUMBER('Council Entry'!V$8),ISNUMBER('Council Entry'!V$9)),MAX(MIN('Council Entry'!V140,'Council Entry'!V$9),'Council Entry'!V$8),'Council Entry'!V140)),IF('Council Entry'!V$4="Exponential",EXP(IF(AND(ISNUMBER('Council Entry'!V$8),ISNUMBER('Council Entry'!V$9)),MAX(MIN('Council Entry'!V140,'Council Entry'!V$9),'Council Entry'!V$8),'Council Entry'!V140)),IF(AND(ISNUMBER('Council Entry'!V$8),ISNUMBER('Council Entry'!V$9)),MAX(MIN('Council Entry'!V140,'Council Entry'!V$9),'Council Entry'!V$8),'Council Entry'!V140))))-'Council Entry'!V$5)/('Council Entry'!V$6-'Council Entry'!V$5)),1))),"No data"))</f>
        <v/>
      </c>
      <c r="W140" s="13">
        <f>IF('Council Entry'!W140="","",IFERROR(MAX(0,MIN(10,ROUND(IF('Council Entry'!W$7="Decrease Risk",10-10*((IF('Council Entry'!W$4="Logarithm",LN(0.001+IF(AND(ISNUMBER('Council Entry'!W$8),ISNUMBER('Council Entry'!W$9)),MAX(MIN('Council Entry'!W140,'Council Entry'!W$9),'Council Entry'!W$8),'Council Entry'!W140)),IF('Council Entry'!W$4="Exponential",EXP(IF(AND(ISNUMBER('Council Entry'!W$8),ISNUMBER('Council Entry'!W$9)),MAX(MIN('Council Entry'!W140,'Council Entry'!W$9),'Council Entry'!W$8),'Council Entry'!W140)),IF(AND(ISNUMBER('Council Entry'!W$8),ISNUMBER('Council Entry'!W$9)),MAX(MIN('Council Entry'!W140,'Council Entry'!W$9),'Council Entry'!W$8),'Council Entry'!W140))))-'Council Entry'!W$5)/('Council Entry'!W$6-'Council Entry'!W$5),10*((IF('Council Entry'!W$4="Logarithm",LN(0.001+IF(AND(ISNUMBER('Council Entry'!W$8),ISNUMBER('Council Entry'!W$9)),MAX(MIN('Council Entry'!W140,'Council Entry'!W$9),'Council Entry'!W$8),'Council Entry'!W140)),IF('Council Entry'!W$4="Exponential",EXP(IF(AND(ISNUMBER('Council Entry'!W$8),ISNUMBER('Council Entry'!W$9)),MAX(MIN('Council Entry'!W140,'Council Entry'!W$9),'Council Entry'!W$8),'Council Entry'!W140)),IF(AND(ISNUMBER('Council Entry'!W$8),ISNUMBER('Council Entry'!W$9)),MAX(MIN('Council Entry'!W140,'Council Entry'!W$9),'Council Entry'!W$8),'Council Entry'!W140))))-'Council Entry'!W$5)/('Council Entry'!W$6-'Council Entry'!W$5)),1))),"No data"))</f>
        <v/>
      </c>
      <c r="X140" s="13">
        <f>IF('Council Entry'!X140="","",IFERROR(MAX(0,MIN(10,ROUND(IF('Council Entry'!X$7="Decrease Risk",10-10*((IF('Council Entry'!X$4="Logarithm",LN(0.001+IF(AND(ISNUMBER('Council Entry'!X$8),ISNUMBER('Council Entry'!X$9)),MAX(MIN('Council Entry'!X140,'Council Entry'!X$9),'Council Entry'!X$8),'Council Entry'!X140)),IF('Council Entry'!X$4="Exponential",EXP(IF(AND(ISNUMBER('Council Entry'!X$8),ISNUMBER('Council Entry'!X$9)),MAX(MIN('Council Entry'!X140,'Council Entry'!X$9),'Council Entry'!X$8),'Council Entry'!X140)),IF(AND(ISNUMBER('Council Entry'!X$8),ISNUMBER('Council Entry'!X$9)),MAX(MIN('Council Entry'!X140,'Council Entry'!X$9),'Council Entry'!X$8),'Council Entry'!X140))))-'Council Entry'!X$5)/('Council Entry'!X$6-'Council Entry'!X$5),10*((IF('Council Entry'!X$4="Logarithm",LN(0.001+IF(AND(ISNUMBER('Council Entry'!X$8),ISNUMBER('Council Entry'!X$9)),MAX(MIN('Council Entry'!X140,'Council Entry'!X$9),'Council Entry'!X$8),'Council Entry'!X140)),IF('Council Entry'!X$4="Exponential",EXP(IF(AND(ISNUMBER('Council Entry'!X$8),ISNUMBER('Council Entry'!X$9)),MAX(MIN('Council Entry'!X140,'Council Entry'!X$9),'Council Entry'!X$8),'Council Entry'!X140)),IF(AND(ISNUMBER('Council Entry'!X$8),ISNUMBER('Council Entry'!X$9)),MAX(MIN('Council Entry'!X140,'Council Entry'!X$9),'Council Entry'!X$8),'Council Entry'!X140))))-'Council Entry'!X$5)/('Council Entry'!X$6-'Council Entry'!X$5)),1))),"No data"))</f>
        <v/>
      </c>
      <c r="Y140" s="13">
        <f>IF('Council Entry'!Y140="","",IFERROR(MAX(0,MIN(10,ROUND(IF('Council Entry'!Y$7="Decrease Risk",10-10*((IF('Council Entry'!Y$4="Logarithm",LN(0.001+IF(AND(ISNUMBER('Council Entry'!Y$8),ISNUMBER('Council Entry'!Y$9)),MAX(MIN('Council Entry'!Y140,'Council Entry'!Y$9),'Council Entry'!Y$8),'Council Entry'!Y140)),IF('Council Entry'!Y$4="Exponential",EXP(IF(AND(ISNUMBER('Council Entry'!Y$8),ISNUMBER('Council Entry'!Y$9)),MAX(MIN('Council Entry'!Y140,'Council Entry'!Y$9),'Council Entry'!Y$8),'Council Entry'!Y140)),IF(AND(ISNUMBER('Council Entry'!Y$8),ISNUMBER('Council Entry'!Y$9)),MAX(MIN('Council Entry'!Y140,'Council Entry'!Y$9),'Council Entry'!Y$8),'Council Entry'!Y140))))-'Council Entry'!Y$5)/('Council Entry'!Y$6-'Council Entry'!Y$5),10*((IF('Council Entry'!Y$4="Logarithm",LN(0.001+IF(AND(ISNUMBER('Council Entry'!Y$8),ISNUMBER('Council Entry'!Y$9)),MAX(MIN('Council Entry'!Y140,'Council Entry'!Y$9),'Council Entry'!Y$8),'Council Entry'!Y140)),IF('Council Entry'!Y$4="Exponential",EXP(IF(AND(ISNUMBER('Council Entry'!Y$8),ISNUMBER('Council Entry'!Y$9)),MAX(MIN('Council Entry'!Y140,'Council Entry'!Y$9),'Council Entry'!Y$8),'Council Entry'!Y140)),IF(AND(ISNUMBER('Council Entry'!Y$8),ISNUMBER('Council Entry'!Y$9)),MAX(MIN('Council Entry'!Y140,'Council Entry'!Y$9),'Council Entry'!Y$8),'Council Entry'!Y140))))-'Council Entry'!Y$5)/('Council Entry'!Y$6-'Council Entry'!Y$5)),1))),"No data"))</f>
        <v/>
      </c>
      <c r="Z140" s="13">
        <f>IF('Council Entry'!Z140="","",IFERROR(MAX(0,MIN(10,ROUND(IF('Council Entry'!Z$7="Decrease Risk",10-10*((IF('Council Entry'!Z$4="Logarithm",LN(0.001+IF(AND(ISNUMBER('Council Entry'!Z$8),ISNUMBER('Council Entry'!Z$9)),MAX(MIN('Council Entry'!Z140,'Council Entry'!Z$9),'Council Entry'!Z$8),'Council Entry'!Z140)),IF('Council Entry'!Z$4="Exponential",EXP(IF(AND(ISNUMBER('Council Entry'!Z$8),ISNUMBER('Council Entry'!Z$9)),MAX(MIN('Council Entry'!Z140,'Council Entry'!Z$9),'Council Entry'!Z$8),'Council Entry'!Z140)),IF(AND(ISNUMBER('Council Entry'!Z$8),ISNUMBER('Council Entry'!Z$9)),MAX(MIN('Council Entry'!Z140,'Council Entry'!Z$9),'Council Entry'!Z$8),'Council Entry'!Z140))))-'Council Entry'!Z$5)/('Council Entry'!Z$6-'Council Entry'!Z$5),10*((IF('Council Entry'!Z$4="Logarithm",LN(0.001+IF(AND(ISNUMBER('Council Entry'!Z$8),ISNUMBER('Council Entry'!Z$9)),MAX(MIN('Council Entry'!Z140,'Council Entry'!Z$9),'Council Entry'!Z$8),'Council Entry'!Z140)),IF('Council Entry'!Z$4="Exponential",EXP(IF(AND(ISNUMBER('Council Entry'!Z$8),ISNUMBER('Council Entry'!Z$9)),MAX(MIN('Council Entry'!Z140,'Council Entry'!Z$9),'Council Entry'!Z$8),'Council Entry'!Z140)),IF(AND(ISNUMBER('Council Entry'!Z$8),ISNUMBER('Council Entry'!Z$9)),MAX(MIN('Council Entry'!Z140,'Council Entry'!Z$9),'Council Entry'!Z$8),'Council Entry'!Z140))))-'Council Entry'!Z$5)/('Council Entry'!Z$6-'Council Entry'!Z$5)),1))),"No data"))</f>
        <v/>
      </c>
      <c r="AA140" s="13">
        <f>IF('Council Entry'!AA140="","",IFERROR(MAX(0,MIN(10,ROUND(IF('Council Entry'!AA$7="Decrease Risk",10-10*((IF('Council Entry'!AA$4="Logarithm",LN(0.001+IF(AND(ISNUMBER('Council Entry'!AA$8),ISNUMBER('Council Entry'!AA$9)),MAX(MIN('Council Entry'!AA140,'Council Entry'!AA$9),'Council Entry'!AA$8),'Council Entry'!AA140)),IF('Council Entry'!AA$4="Exponential",EXP(IF(AND(ISNUMBER('Council Entry'!AA$8),ISNUMBER('Council Entry'!AA$9)),MAX(MIN('Council Entry'!AA140,'Council Entry'!AA$9),'Council Entry'!AA$8),'Council Entry'!AA140)),IF(AND(ISNUMBER('Council Entry'!AA$8),ISNUMBER('Council Entry'!AA$9)),MAX(MIN('Council Entry'!AA140,'Council Entry'!AA$9),'Council Entry'!AA$8),'Council Entry'!AA140))))-'Council Entry'!AA$5)/('Council Entry'!AA$6-'Council Entry'!AA$5),10*((IF('Council Entry'!AA$4="Logarithm",LN(0.001+IF(AND(ISNUMBER('Council Entry'!AA$8),ISNUMBER('Council Entry'!AA$9)),MAX(MIN('Council Entry'!AA140,'Council Entry'!AA$9),'Council Entry'!AA$8),'Council Entry'!AA140)),IF('Council Entry'!AA$4="Exponential",EXP(IF(AND(ISNUMBER('Council Entry'!AA$8),ISNUMBER('Council Entry'!AA$9)),MAX(MIN('Council Entry'!AA140,'Council Entry'!AA$9),'Council Entry'!AA$8),'Council Entry'!AA140)),IF(AND(ISNUMBER('Council Entry'!AA$8),ISNUMBER('Council Entry'!AA$9)),MAX(MIN('Council Entry'!AA140,'Council Entry'!AA$9),'Council Entry'!AA$8),'Council Entry'!AA140))))-'Council Entry'!AA$5)/('Council Entry'!AA$6-'Council Entry'!AA$5)),1))),"No data"))</f>
        <v/>
      </c>
      <c r="AB140" s="13">
        <f>IF('Council Entry'!AB140="","",IFERROR(MAX(0,MIN(10,ROUND(IF('Council Entry'!AB$7="Decrease Risk",10-10*((IF('Council Entry'!AB$4="Logarithm",LN(0.001+IF(AND(ISNUMBER('Council Entry'!AB$8),ISNUMBER('Council Entry'!AB$9)),MAX(MIN('Council Entry'!AB140,'Council Entry'!AB$9),'Council Entry'!AB$8),'Council Entry'!AB140)),IF('Council Entry'!AB$4="Exponential",EXP(IF(AND(ISNUMBER('Council Entry'!AB$8),ISNUMBER('Council Entry'!AB$9)),MAX(MIN('Council Entry'!AB140,'Council Entry'!AB$9),'Council Entry'!AB$8),'Council Entry'!AB140)),IF(AND(ISNUMBER('Council Entry'!AB$8),ISNUMBER('Council Entry'!AB$9)),MAX(MIN('Council Entry'!AB140,'Council Entry'!AB$9),'Council Entry'!AB$8),'Council Entry'!AB140))))-'Council Entry'!AB$5)/('Council Entry'!AB$6-'Council Entry'!AB$5),10*((IF('Council Entry'!AB$4="Logarithm",LN(0.001+IF(AND(ISNUMBER('Council Entry'!AB$8),ISNUMBER('Council Entry'!AB$9)),MAX(MIN('Council Entry'!AB140,'Council Entry'!AB$9),'Council Entry'!AB$8),'Council Entry'!AB140)),IF('Council Entry'!AB$4="Exponential",EXP(IF(AND(ISNUMBER('Council Entry'!AB$8),ISNUMBER('Council Entry'!AB$9)),MAX(MIN('Council Entry'!AB140,'Council Entry'!AB$9),'Council Entry'!AB$8),'Council Entry'!AB140)),IF(AND(ISNUMBER('Council Entry'!AB$8),ISNUMBER('Council Entry'!AB$9)),MAX(MIN('Council Entry'!AB140,'Council Entry'!AB$9),'Council Entry'!AB$8),'Council Entry'!AB140))))-'Council Entry'!AB$5)/('Council Entry'!AB$6-'Council Entry'!AB$5)),1))),"No data"))</f>
        <v/>
      </c>
      <c r="AC140" s="13">
        <f>IF('Council Entry'!AC140="","",IFERROR(MAX(0,MIN(10,ROUND(IF('Council Entry'!AC$7="Decrease Risk",10-10*((IF('Council Entry'!AC$4="Logarithm",LN(0.001+IF(AND(ISNUMBER('Council Entry'!AC$8),ISNUMBER('Council Entry'!AC$9)),MAX(MIN('Council Entry'!AC140,'Council Entry'!AC$9),'Council Entry'!AC$8),'Council Entry'!AC140)),IF('Council Entry'!AC$4="Exponential",EXP(IF(AND(ISNUMBER('Council Entry'!AC$8),ISNUMBER('Council Entry'!AC$9)),MAX(MIN('Council Entry'!AC140,'Council Entry'!AC$9),'Council Entry'!AC$8),'Council Entry'!AC140)),IF(AND(ISNUMBER('Council Entry'!AC$8),ISNUMBER('Council Entry'!AC$9)),MAX(MIN('Council Entry'!AC140,'Council Entry'!AC$9),'Council Entry'!AC$8),'Council Entry'!AC140))))-'Council Entry'!AC$5)/('Council Entry'!AC$6-'Council Entry'!AC$5),10*((IF('Council Entry'!AC$4="Logarithm",LN(0.001+IF(AND(ISNUMBER('Council Entry'!AC$8),ISNUMBER('Council Entry'!AC$9)),MAX(MIN('Council Entry'!AC140,'Council Entry'!AC$9),'Council Entry'!AC$8),'Council Entry'!AC140)),IF('Council Entry'!AC$4="Exponential",EXP(IF(AND(ISNUMBER('Council Entry'!AC$8),ISNUMBER('Council Entry'!AC$9)),MAX(MIN('Council Entry'!AC140,'Council Entry'!AC$9),'Council Entry'!AC$8),'Council Entry'!AC140)),IF(AND(ISNUMBER('Council Entry'!AC$8),ISNUMBER('Council Entry'!AC$9)),MAX(MIN('Council Entry'!AC140,'Council Entry'!AC$9),'Council Entry'!AC$8),'Council Entry'!AC140))))-'Council Entry'!AC$5)/('Council Entry'!AC$6-'Council Entry'!AC$5)),1))),"No data"))</f>
        <v/>
      </c>
      <c r="AD140" s="13">
        <f>IF('Council Entry'!AD140="","",IFERROR(MAX(0,MIN(10,ROUND(IF('Council Entry'!AD$7="Decrease Risk",10-10*((IF('Council Entry'!AD$4="Logarithm",LN(0.001+IF(AND(ISNUMBER('Council Entry'!AD$8),ISNUMBER('Council Entry'!AD$9)),MAX(MIN('Council Entry'!AD140,'Council Entry'!AD$9),'Council Entry'!AD$8),'Council Entry'!AD140)),IF('Council Entry'!AD$4="Exponential",EXP(IF(AND(ISNUMBER('Council Entry'!AD$8),ISNUMBER('Council Entry'!AD$9)),MAX(MIN('Council Entry'!AD140,'Council Entry'!AD$9),'Council Entry'!AD$8),'Council Entry'!AD140)),IF(AND(ISNUMBER('Council Entry'!AD$8),ISNUMBER('Council Entry'!AD$9)),MAX(MIN('Council Entry'!AD140,'Council Entry'!AD$9),'Council Entry'!AD$8),'Council Entry'!AD140))))-'Council Entry'!AD$5)/('Council Entry'!AD$6-'Council Entry'!AD$5),10*((IF('Council Entry'!AD$4="Logarithm",LN(0.001+IF(AND(ISNUMBER('Council Entry'!AD$8),ISNUMBER('Council Entry'!AD$9)),MAX(MIN('Council Entry'!AD140,'Council Entry'!AD$9),'Council Entry'!AD$8),'Council Entry'!AD140)),IF('Council Entry'!AD$4="Exponential",EXP(IF(AND(ISNUMBER('Council Entry'!AD$8),ISNUMBER('Council Entry'!AD$9)),MAX(MIN('Council Entry'!AD140,'Council Entry'!AD$9),'Council Entry'!AD$8),'Council Entry'!AD140)),IF(AND(ISNUMBER('Council Entry'!AD$8),ISNUMBER('Council Entry'!AD$9)),MAX(MIN('Council Entry'!AD140,'Council Entry'!AD$9),'Council Entry'!AD$8),'Council Entry'!AD140))))-'Council Entry'!AD$5)/('Council Entry'!AD$6-'Council Entry'!AD$5)),1))),"No data"))</f>
        <v/>
      </c>
      <c r="AE140" s="13">
        <f>IF('Council Entry'!AE140="","",IFERROR(MAX(0,MIN(10,ROUND(IF('Council Entry'!AE$7="Decrease Risk",10-10*((IF('Council Entry'!AE$4="Logarithm",LN(0.001+IF(AND(ISNUMBER('Council Entry'!AE$8),ISNUMBER('Council Entry'!AE$9)),MAX(MIN('Council Entry'!AE140,'Council Entry'!AE$9),'Council Entry'!AE$8),'Council Entry'!AE140)),IF('Council Entry'!AE$4="Exponential",EXP(IF(AND(ISNUMBER('Council Entry'!AE$8),ISNUMBER('Council Entry'!AE$9)),MAX(MIN('Council Entry'!AE140,'Council Entry'!AE$9),'Council Entry'!AE$8),'Council Entry'!AE140)),IF(AND(ISNUMBER('Council Entry'!AE$8),ISNUMBER('Council Entry'!AE$9)),MAX(MIN('Council Entry'!AE140,'Council Entry'!AE$9),'Council Entry'!AE$8),'Council Entry'!AE140))))-'Council Entry'!AE$5)/('Council Entry'!AE$6-'Council Entry'!AE$5),10*((IF('Council Entry'!AE$4="Logarithm",LN(0.001+IF(AND(ISNUMBER('Council Entry'!AE$8),ISNUMBER('Council Entry'!AE$9)),MAX(MIN('Council Entry'!AE140,'Council Entry'!AE$9),'Council Entry'!AE$8),'Council Entry'!AE140)),IF('Council Entry'!AE$4="Exponential",EXP(IF(AND(ISNUMBER('Council Entry'!AE$8),ISNUMBER('Council Entry'!AE$9)),MAX(MIN('Council Entry'!AE140,'Council Entry'!AE$9),'Council Entry'!AE$8),'Council Entry'!AE140)),IF(AND(ISNUMBER('Council Entry'!AE$8),ISNUMBER('Council Entry'!AE$9)),MAX(MIN('Council Entry'!AE140,'Council Entry'!AE$9),'Council Entry'!AE$8),'Council Entry'!AE140))))-'Council Entry'!AE$5)/('Council Entry'!AE$6-'Council Entry'!AE$5)),1))),"No data"))</f>
        <v/>
      </c>
      <c r="AF140" s="13">
        <f>IF('Council Entry'!AF140="","",IFERROR(MAX(0,MIN(10,ROUND(IF('Council Entry'!AF$7="Decrease Risk",10-10*((IF('Council Entry'!AF$4="Logarithm",LN(0.001+IF(AND(ISNUMBER('Council Entry'!AF$8),ISNUMBER('Council Entry'!AF$9)),MAX(MIN('Council Entry'!AF140,'Council Entry'!AF$9),'Council Entry'!AF$8),'Council Entry'!AF140)),IF('Council Entry'!AF$4="Exponential",EXP(IF(AND(ISNUMBER('Council Entry'!AF$8),ISNUMBER('Council Entry'!AF$9)),MAX(MIN('Council Entry'!AF140,'Council Entry'!AF$9),'Council Entry'!AF$8),'Council Entry'!AF140)),IF(AND(ISNUMBER('Council Entry'!AF$8),ISNUMBER('Council Entry'!AF$9)),MAX(MIN('Council Entry'!AF140,'Council Entry'!AF$9),'Council Entry'!AF$8),'Council Entry'!AF140))))-'Council Entry'!AF$5)/('Council Entry'!AF$6-'Council Entry'!AF$5),10*((IF('Council Entry'!AF$4="Logarithm",LN(0.001+IF(AND(ISNUMBER('Council Entry'!AF$8),ISNUMBER('Council Entry'!AF$9)),MAX(MIN('Council Entry'!AF140,'Council Entry'!AF$9),'Council Entry'!AF$8),'Council Entry'!AF140)),IF('Council Entry'!AF$4="Exponential",EXP(IF(AND(ISNUMBER('Council Entry'!AF$8),ISNUMBER('Council Entry'!AF$9)),MAX(MIN('Council Entry'!AF140,'Council Entry'!AF$9),'Council Entry'!AF$8),'Council Entry'!AF140)),IF(AND(ISNUMBER('Council Entry'!AF$8),ISNUMBER('Council Entry'!AF$9)),MAX(MIN('Council Entry'!AF140,'Council Entry'!AF$9),'Council Entry'!AF$8),'Council Entry'!AF140))))-'Council Entry'!AF$5)/('Council Entry'!AF$6-'Council Entry'!AF$5)),1))),"No data"))</f>
        <v/>
      </c>
      <c r="AG140" s="13">
        <f>IF('Council Entry'!AG140="","",IFERROR(MAX(0,MIN(10,ROUND(IF('Council Entry'!AG$7="Decrease Risk",10-10*((IF('Council Entry'!AG$4="Logarithm",LN(0.001+IF(AND(ISNUMBER('Council Entry'!AG$8),ISNUMBER('Council Entry'!AG$9)),MAX(MIN('Council Entry'!AG140,'Council Entry'!AG$9),'Council Entry'!AG$8),'Council Entry'!AG140)),IF('Council Entry'!AG$4="Exponential",EXP(IF(AND(ISNUMBER('Council Entry'!AG$8),ISNUMBER('Council Entry'!AG$9)),MAX(MIN('Council Entry'!AG140,'Council Entry'!AG$9),'Council Entry'!AG$8),'Council Entry'!AG140)),IF(AND(ISNUMBER('Council Entry'!AG$8),ISNUMBER('Council Entry'!AG$9)),MAX(MIN('Council Entry'!AG140,'Council Entry'!AG$9),'Council Entry'!AG$8),'Council Entry'!AG140))))-'Council Entry'!AG$5)/('Council Entry'!AG$6-'Council Entry'!AG$5),10*((IF('Council Entry'!AG$4="Logarithm",LN(0.001+IF(AND(ISNUMBER('Council Entry'!AG$8),ISNUMBER('Council Entry'!AG$9)),MAX(MIN('Council Entry'!AG140,'Council Entry'!AG$9),'Council Entry'!AG$8),'Council Entry'!AG140)),IF('Council Entry'!AG$4="Exponential",EXP(IF(AND(ISNUMBER('Council Entry'!AG$8),ISNUMBER('Council Entry'!AG$9)),MAX(MIN('Council Entry'!AG140,'Council Entry'!AG$9),'Council Entry'!AG$8),'Council Entry'!AG140)),IF(AND(ISNUMBER('Council Entry'!AG$8),ISNUMBER('Council Entry'!AG$9)),MAX(MIN('Council Entry'!AG140,'Council Entry'!AG$9),'Council Entry'!AG$8),'Council Entry'!AG140))))-'Council Entry'!AG$5)/('Council Entry'!AG$6-'Council Entry'!AG$5)),1))),"No data"))</f>
        <v/>
      </c>
      <c r="AH140" s="13">
        <f>IF('Council Entry'!AH140="","",IFERROR(MAX(0,MIN(10,ROUND(IF('Council Entry'!AH$7="Decrease Risk",10-10*((IF('Council Entry'!AH$4="Logarithm",LN(0.001+IF(AND(ISNUMBER('Council Entry'!AH$8),ISNUMBER('Council Entry'!AH$9)),MAX(MIN('Council Entry'!AH140,'Council Entry'!AH$9),'Council Entry'!AH$8),'Council Entry'!AH140)),IF('Council Entry'!AH$4="Exponential",EXP(IF(AND(ISNUMBER('Council Entry'!AH$8),ISNUMBER('Council Entry'!AH$9)),MAX(MIN('Council Entry'!AH140,'Council Entry'!AH$9),'Council Entry'!AH$8),'Council Entry'!AH140)),IF(AND(ISNUMBER('Council Entry'!AH$8),ISNUMBER('Council Entry'!AH$9)),MAX(MIN('Council Entry'!AH140,'Council Entry'!AH$9),'Council Entry'!AH$8),'Council Entry'!AH140))))-'Council Entry'!AH$5)/('Council Entry'!AH$6-'Council Entry'!AH$5),10*((IF('Council Entry'!AH$4="Logarithm",LN(0.001+IF(AND(ISNUMBER('Council Entry'!AH$8),ISNUMBER('Council Entry'!AH$9)),MAX(MIN('Council Entry'!AH140,'Council Entry'!AH$9),'Council Entry'!AH$8),'Council Entry'!AH140)),IF('Council Entry'!AH$4="Exponential",EXP(IF(AND(ISNUMBER('Council Entry'!AH$8),ISNUMBER('Council Entry'!AH$9)),MAX(MIN('Council Entry'!AH140,'Council Entry'!AH$9),'Council Entry'!AH$8),'Council Entry'!AH140)),IF(AND(ISNUMBER('Council Entry'!AH$8),ISNUMBER('Council Entry'!AH$9)),MAX(MIN('Council Entry'!AH140,'Council Entry'!AH$9),'Council Entry'!AH$8),'Council Entry'!AH140))))-'Council Entry'!AH$5)/('Council Entry'!AH$6-'Council Entry'!AH$5)),1))),"No data"))</f>
        <v/>
      </c>
      <c r="AI140" s="13">
        <f>IF('Council Entry'!AI140="","",IFERROR(MAX(0,MIN(10,ROUND(IF('Council Entry'!AI$7="Decrease Risk",10-10*((IF('Council Entry'!AI$4="Logarithm",LN(0.001+IF(AND(ISNUMBER('Council Entry'!AI$8),ISNUMBER('Council Entry'!AI$9)),MAX(MIN('Council Entry'!AI140,'Council Entry'!AI$9),'Council Entry'!AI$8),'Council Entry'!AI140)),IF('Council Entry'!AI$4="Exponential",EXP(IF(AND(ISNUMBER('Council Entry'!AI$8),ISNUMBER('Council Entry'!AI$9)),MAX(MIN('Council Entry'!AI140,'Council Entry'!AI$9),'Council Entry'!AI$8),'Council Entry'!AI140)),IF(AND(ISNUMBER('Council Entry'!AI$8),ISNUMBER('Council Entry'!AI$9)),MAX(MIN('Council Entry'!AI140,'Council Entry'!AI$9),'Council Entry'!AI$8),'Council Entry'!AI140))))-'Council Entry'!AI$5)/('Council Entry'!AI$6-'Council Entry'!AI$5),10*((IF('Council Entry'!AI$4="Logarithm",LN(0.001+IF(AND(ISNUMBER('Council Entry'!AI$8),ISNUMBER('Council Entry'!AI$9)),MAX(MIN('Council Entry'!AI140,'Council Entry'!AI$9),'Council Entry'!AI$8),'Council Entry'!AI140)),IF('Council Entry'!AI$4="Exponential",EXP(IF(AND(ISNUMBER('Council Entry'!AI$8),ISNUMBER('Council Entry'!AI$9)),MAX(MIN('Council Entry'!AI140,'Council Entry'!AI$9),'Council Entry'!AI$8),'Council Entry'!AI140)),IF(AND(ISNUMBER('Council Entry'!AI$8),ISNUMBER('Council Entry'!AI$9)),MAX(MIN('Council Entry'!AI140,'Council Entry'!AI$9),'Council Entry'!AI$8),'Council Entry'!AI140))))-'Council Entry'!AI$5)/('Council Entry'!AI$6-'Council Entry'!AI$5)),1))),"No data"))</f>
        <v/>
      </c>
      <c r="AJ140" s="13">
        <f>IF('Council Entry'!AJ140="","",IFERROR(MAX(0,MIN(10,ROUND(IF('Council Entry'!AJ$7="Decrease Risk",10-10*((IF('Council Entry'!AJ$4="Logarithm",LN(0.001+IF(AND(ISNUMBER('Council Entry'!AJ$8),ISNUMBER('Council Entry'!AJ$9)),MAX(MIN('Council Entry'!AJ140,'Council Entry'!AJ$9),'Council Entry'!AJ$8),'Council Entry'!AJ140)),IF('Council Entry'!AJ$4="Exponential",EXP(IF(AND(ISNUMBER('Council Entry'!AJ$8),ISNUMBER('Council Entry'!AJ$9)),MAX(MIN('Council Entry'!AJ140,'Council Entry'!AJ$9),'Council Entry'!AJ$8),'Council Entry'!AJ140)),IF(AND(ISNUMBER('Council Entry'!AJ$8),ISNUMBER('Council Entry'!AJ$9)),MAX(MIN('Council Entry'!AJ140,'Council Entry'!AJ$9),'Council Entry'!AJ$8),'Council Entry'!AJ140))))-'Council Entry'!AJ$5)/('Council Entry'!AJ$6-'Council Entry'!AJ$5),10*((IF('Council Entry'!AJ$4="Logarithm",LN(0.001+IF(AND(ISNUMBER('Council Entry'!AJ$8),ISNUMBER('Council Entry'!AJ$9)),MAX(MIN('Council Entry'!AJ140,'Council Entry'!AJ$9),'Council Entry'!AJ$8),'Council Entry'!AJ140)),IF('Council Entry'!AJ$4="Exponential",EXP(IF(AND(ISNUMBER('Council Entry'!AJ$8),ISNUMBER('Council Entry'!AJ$9)),MAX(MIN('Council Entry'!AJ140,'Council Entry'!AJ$9),'Council Entry'!AJ$8),'Council Entry'!AJ140)),IF(AND(ISNUMBER('Council Entry'!AJ$8),ISNUMBER('Council Entry'!AJ$9)),MAX(MIN('Council Entry'!AJ140,'Council Entry'!AJ$9),'Council Entry'!AJ$8),'Council Entry'!AJ140))))-'Council Entry'!AJ$5)/('Council Entry'!AJ$6-'Council Entry'!AJ$5)),1))),"No data"))</f>
        <v/>
      </c>
      <c r="AK140" s="13">
        <f>IF('Council Entry'!AK140="","",IFERROR(MAX(0,MIN(10,ROUND(IF('Council Entry'!AK$7="Decrease Risk",10-10*((IF('Council Entry'!AK$4="Logarithm",LN(0.001+IF(AND(ISNUMBER('Council Entry'!AK$8),ISNUMBER('Council Entry'!AK$9)),MAX(MIN('Council Entry'!AK140,'Council Entry'!AK$9),'Council Entry'!AK$8),'Council Entry'!AK140)),IF('Council Entry'!AK$4="Exponential",EXP(IF(AND(ISNUMBER('Council Entry'!AK$8),ISNUMBER('Council Entry'!AK$9)),MAX(MIN('Council Entry'!AK140,'Council Entry'!AK$9),'Council Entry'!AK$8),'Council Entry'!AK140)),IF(AND(ISNUMBER('Council Entry'!AK$8),ISNUMBER('Council Entry'!AK$9)),MAX(MIN('Council Entry'!AK140,'Council Entry'!AK$9),'Council Entry'!AK$8),'Council Entry'!AK140))))-'Council Entry'!AK$5)/('Council Entry'!AK$6-'Council Entry'!AK$5),10*((IF('Council Entry'!AK$4="Logarithm",LN(0.001+IF(AND(ISNUMBER('Council Entry'!AK$8),ISNUMBER('Council Entry'!AK$9)),MAX(MIN('Council Entry'!AK140,'Council Entry'!AK$9),'Council Entry'!AK$8),'Council Entry'!AK140)),IF('Council Entry'!AK$4="Exponential",EXP(IF(AND(ISNUMBER('Council Entry'!AK$8),ISNUMBER('Council Entry'!AK$9)),MAX(MIN('Council Entry'!AK140,'Council Entry'!AK$9),'Council Entry'!AK$8),'Council Entry'!AK140)),IF(AND(ISNUMBER('Council Entry'!AK$8),ISNUMBER('Council Entry'!AK$9)),MAX(MIN('Council Entry'!AK140,'Council Entry'!AK$9),'Council Entry'!AK$8),'Council Entry'!AK140))))-'Council Entry'!AK$5)/('Council Entry'!AK$6-'Council Entry'!AK$5)),1))),"No data"))</f>
        <v/>
      </c>
      <c r="AL140" s="13">
        <f>IF('Council Entry'!AL140="","",IFERROR(MAX(0,MIN(10,ROUND(IF('Council Entry'!AL$7="Decrease Risk",10-10*((IF('Council Entry'!AL$4="Logarithm",LN(0.001+IF(AND(ISNUMBER('Council Entry'!AL$8),ISNUMBER('Council Entry'!AL$9)),MAX(MIN('Council Entry'!AL140,'Council Entry'!AL$9),'Council Entry'!AL$8),'Council Entry'!AL140)),IF('Council Entry'!AL$4="Exponential",EXP(IF(AND(ISNUMBER('Council Entry'!AL$8),ISNUMBER('Council Entry'!AL$9)),MAX(MIN('Council Entry'!AL140,'Council Entry'!AL$9),'Council Entry'!AL$8),'Council Entry'!AL140)),IF(AND(ISNUMBER('Council Entry'!AL$8),ISNUMBER('Council Entry'!AL$9)),MAX(MIN('Council Entry'!AL140,'Council Entry'!AL$9),'Council Entry'!AL$8),'Council Entry'!AL140))))-'Council Entry'!AL$5)/('Council Entry'!AL$6-'Council Entry'!AL$5),10*((IF('Council Entry'!AL$4="Logarithm",LN(0.001+IF(AND(ISNUMBER('Council Entry'!AL$8),ISNUMBER('Council Entry'!AL$9)),MAX(MIN('Council Entry'!AL140,'Council Entry'!AL$9),'Council Entry'!AL$8),'Council Entry'!AL140)),IF('Council Entry'!AL$4="Exponential",EXP(IF(AND(ISNUMBER('Council Entry'!AL$8),ISNUMBER('Council Entry'!AL$9)),MAX(MIN('Council Entry'!AL140,'Council Entry'!AL$9),'Council Entry'!AL$8),'Council Entry'!AL140)),IF(AND(ISNUMBER('Council Entry'!AL$8),ISNUMBER('Council Entry'!AL$9)),MAX(MIN('Council Entry'!AL140,'Council Entry'!AL$9),'Council Entry'!AL$8),'Council Entry'!AL140))))-'Council Entry'!AL$5)/('Council Entry'!AL$6-'Council Entry'!AL$5)),1))),"No data"))</f>
        <v/>
      </c>
      <c r="AM140" s="13">
        <f>IF('Council Entry'!AM140="","",IFERROR(MAX(0,MIN(10,ROUND(IF('Council Entry'!AM$7="Decrease Risk",10-10*((IF('Council Entry'!AM$4="Logarithm",LN(0.001+IF(AND(ISNUMBER('Council Entry'!AM$8),ISNUMBER('Council Entry'!AM$9)),MAX(MIN('Council Entry'!AM140,'Council Entry'!AM$9),'Council Entry'!AM$8),'Council Entry'!AM140)),IF('Council Entry'!AM$4="Exponential",EXP(IF(AND(ISNUMBER('Council Entry'!AM$8),ISNUMBER('Council Entry'!AM$9)),MAX(MIN('Council Entry'!AM140,'Council Entry'!AM$9),'Council Entry'!AM$8),'Council Entry'!AM140)),IF(AND(ISNUMBER('Council Entry'!AM$8),ISNUMBER('Council Entry'!AM$9)),MAX(MIN('Council Entry'!AM140,'Council Entry'!AM$9),'Council Entry'!AM$8),'Council Entry'!AM140))))-'Council Entry'!AM$5)/('Council Entry'!AM$6-'Council Entry'!AM$5),10*((IF('Council Entry'!AM$4="Logarithm",LN(0.001+IF(AND(ISNUMBER('Council Entry'!AM$8),ISNUMBER('Council Entry'!AM$9)),MAX(MIN('Council Entry'!AM140,'Council Entry'!AM$9),'Council Entry'!AM$8),'Council Entry'!AM140)),IF('Council Entry'!AM$4="Exponential",EXP(IF(AND(ISNUMBER('Council Entry'!AM$8),ISNUMBER('Council Entry'!AM$9)),MAX(MIN('Council Entry'!AM140,'Council Entry'!AM$9),'Council Entry'!AM$8),'Council Entry'!AM140)),IF(AND(ISNUMBER('Council Entry'!AM$8),ISNUMBER('Council Entry'!AM$9)),MAX(MIN('Council Entry'!AM140,'Council Entry'!AM$9),'Council Entry'!AM$8),'Council Entry'!AM140))))-'Council Entry'!AM$5)/('Council Entry'!AM$6-'Council Entry'!AM$5)),1))),"No data"))</f>
        <v/>
      </c>
      <c r="AN140" s="13">
        <f>IF('Council Entry'!AN140="","",IFERROR(MAX(0,MIN(10,ROUND(IF('Council Entry'!AN$7="Decrease Risk",10-10*((IF('Council Entry'!AN$4="Logarithm",LN(0.001+IF(AND(ISNUMBER('Council Entry'!AN$8),ISNUMBER('Council Entry'!AN$9)),MAX(MIN('Council Entry'!AN140,'Council Entry'!AN$9),'Council Entry'!AN$8),'Council Entry'!AN140)),IF('Council Entry'!AN$4="Exponential",EXP(IF(AND(ISNUMBER('Council Entry'!AN$8),ISNUMBER('Council Entry'!AN$9)),MAX(MIN('Council Entry'!AN140,'Council Entry'!AN$9),'Council Entry'!AN$8),'Council Entry'!AN140)),IF(AND(ISNUMBER('Council Entry'!AN$8),ISNUMBER('Council Entry'!AN$9)),MAX(MIN('Council Entry'!AN140,'Council Entry'!AN$9),'Council Entry'!AN$8),'Council Entry'!AN140))))-'Council Entry'!AN$5)/('Council Entry'!AN$6-'Council Entry'!AN$5),10*((IF('Council Entry'!AN$4="Logarithm",LN(0.001+IF(AND(ISNUMBER('Council Entry'!AN$8),ISNUMBER('Council Entry'!AN$9)),MAX(MIN('Council Entry'!AN140,'Council Entry'!AN$9),'Council Entry'!AN$8),'Council Entry'!AN140)),IF('Council Entry'!AN$4="Exponential",EXP(IF(AND(ISNUMBER('Council Entry'!AN$8),ISNUMBER('Council Entry'!AN$9)),MAX(MIN('Council Entry'!AN140,'Council Entry'!AN$9),'Council Entry'!AN$8),'Council Entry'!AN140)),IF(AND(ISNUMBER('Council Entry'!AN$8),ISNUMBER('Council Entry'!AN$9)),MAX(MIN('Council Entry'!AN140,'Council Entry'!AN$9),'Council Entry'!AN$8),'Council Entry'!AN140))))-'Council Entry'!AN$5)/('Council Entry'!AN$6-'Council Entry'!AN$5)),1))),"No data"))</f>
        <v/>
      </c>
      <c r="AO140" s="13">
        <f>IF('Council Entry'!AO140="","",IFERROR(MAX(0,MIN(10,ROUND(IF('Council Entry'!AO$7="Decrease Risk",10-10*((IF('Council Entry'!AO$4="Logarithm",LN(0.001+IF(AND(ISNUMBER('Council Entry'!AO$8),ISNUMBER('Council Entry'!AO$9)),MAX(MIN('Council Entry'!AO140,'Council Entry'!AO$9),'Council Entry'!AO$8),'Council Entry'!AO140)),IF('Council Entry'!AO$4="Exponential",EXP(IF(AND(ISNUMBER('Council Entry'!AO$8),ISNUMBER('Council Entry'!AO$9)),MAX(MIN('Council Entry'!AO140,'Council Entry'!AO$9),'Council Entry'!AO$8),'Council Entry'!AO140)),IF(AND(ISNUMBER('Council Entry'!AO$8),ISNUMBER('Council Entry'!AO$9)),MAX(MIN('Council Entry'!AO140,'Council Entry'!AO$9),'Council Entry'!AO$8),'Council Entry'!AO140))))-'Council Entry'!AO$5)/('Council Entry'!AO$6-'Council Entry'!AO$5),10*((IF('Council Entry'!AO$4="Logarithm",LN(0.001+IF(AND(ISNUMBER('Council Entry'!AO$8),ISNUMBER('Council Entry'!AO$9)),MAX(MIN('Council Entry'!AO140,'Council Entry'!AO$9),'Council Entry'!AO$8),'Council Entry'!AO140)),IF('Council Entry'!AO$4="Exponential",EXP(IF(AND(ISNUMBER('Council Entry'!AO$8),ISNUMBER('Council Entry'!AO$9)),MAX(MIN('Council Entry'!AO140,'Council Entry'!AO$9),'Council Entry'!AO$8),'Council Entry'!AO140)),IF(AND(ISNUMBER('Council Entry'!AO$8),ISNUMBER('Council Entry'!AO$9)),MAX(MIN('Council Entry'!AO140,'Council Entry'!AO$9),'Council Entry'!AO$8),'Council Entry'!AO140))))-'Council Entry'!AO$5)/('Council Entry'!AO$6-'Council Entry'!AO$5)),1))),"No data"))</f>
        <v/>
      </c>
      <c r="AP140" s="13">
        <f>IF('Council Entry'!AP140="","",IFERROR(MAX(0,MIN(10,ROUND(IF('Council Entry'!AP$7="Decrease Risk",10-10*((IF('Council Entry'!AP$4="Logarithm",LN(0.001+IF(AND(ISNUMBER('Council Entry'!AP$8),ISNUMBER('Council Entry'!AP$9)),MAX(MIN('Council Entry'!AP140,'Council Entry'!AP$9),'Council Entry'!AP$8),'Council Entry'!AP140)),IF('Council Entry'!AP$4="Exponential",EXP(IF(AND(ISNUMBER('Council Entry'!AP$8),ISNUMBER('Council Entry'!AP$9)),MAX(MIN('Council Entry'!AP140,'Council Entry'!AP$9),'Council Entry'!AP$8),'Council Entry'!AP140)),IF(AND(ISNUMBER('Council Entry'!AP$8),ISNUMBER('Council Entry'!AP$9)),MAX(MIN('Council Entry'!AP140,'Council Entry'!AP$9),'Council Entry'!AP$8),'Council Entry'!AP140))))-'Council Entry'!AP$5)/('Council Entry'!AP$6-'Council Entry'!AP$5),10*((IF('Council Entry'!AP$4="Logarithm",LN(0.001+IF(AND(ISNUMBER('Council Entry'!AP$8),ISNUMBER('Council Entry'!AP$9)),MAX(MIN('Council Entry'!AP140,'Council Entry'!AP$9),'Council Entry'!AP$8),'Council Entry'!AP140)),IF('Council Entry'!AP$4="Exponential",EXP(IF(AND(ISNUMBER('Council Entry'!AP$8),ISNUMBER('Council Entry'!AP$9)),MAX(MIN('Council Entry'!AP140,'Council Entry'!AP$9),'Council Entry'!AP$8),'Council Entry'!AP140)),IF(AND(ISNUMBER('Council Entry'!AP$8),ISNUMBER('Council Entry'!AP$9)),MAX(MIN('Council Entry'!AP140,'Council Entry'!AP$9),'Council Entry'!AP$8),'Council Entry'!AP140))))-'Council Entry'!AP$5)/('Council Entry'!AP$6-'Council Entry'!AP$5)),1))),"No data"))</f>
        <v/>
      </c>
      <c r="AQ140" s="13">
        <f>IF('Council Entry'!AQ140="","",IFERROR(MAX(0,MIN(10,ROUND(IF('Council Entry'!AQ$7="Decrease Risk",10-10*((IF('Council Entry'!AQ$4="Logarithm",LN(0.001+IF(AND(ISNUMBER('Council Entry'!AQ$8),ISNUMBER('Council Entry'!AQ$9)),MAX(MIN('Council Entry'!AQ140,'Council Entry'!AQ$9),'Council Entry'!AQ$8),'Council Entry'!AQ140)),IF('Council Entry'!AQ$4="Exponential",EXP(IF(AND(ISNUMBER('Council Entry'!AQ$8),ISNUMBER('Council Entry'!AQ$9)),MAX(MIN('Council Entry'!AQ140,'Council Entry'!AQ$9),'Council Entry'!AQ$8),'Council Entry'!AQ140)),IF(AND(ISNUMBER('Council Entry'!AQ$8),ISNUMBER('Council Entry'!AQ$9)),MAX(MIN('Council Entry'!AQ140,'Council Entry'!AQ$9),'Council Entry'!AQ$8),'Council Entry'!AQ140))))-'Council Entry'!AQ$5)/('Council Entry'!AQ$6-'Council Entry'!AQ$5),10*((IF('Council Entry'!AQ$4="Logarithm",LN(0.001+IF(AND(ISNUMBER('Council Entry'!AQ$8),ISNUMBER('Council Entry'!AQ$9)),MAX(MIN('Council Entry'!AQ140,'Council Entry'!AQ$9),'Council Entry'!AQ$8),'Council Entry'!AQ140)),IF('Council Entry'!AQ$4="Exponential",EXP(IF(AND(ISNUMBER('Council Entry'!AQ$8),ISNUMBER('Council Entry'!AQ$9)),MAX(MIN('Council Entry'!AQ140,'Council Entry'!AQ$9),'Council Entry'!AQ$8),'Council Entry'!AQ140)),IF(AND(ISNUMBER('Council Entry'!AQ$8),ISNUMBER('Council Entry'!AQ$9)),MAX(MIN('Council Entry'!AQ140,'Council Entry'!AQ$9),'Council Entry'!AQ$8),'Council Entry'!AQ140))))-'Council Entry'!AQ$5)/('Council Entry'!AQ$6-'Council Entry'!AQ$5)),1))),"No data"))</f>
        <v/>
      </c>
      <c r="AR140" s="13">
        <f>IF('Council Entry'!AR140="","",IFERROR(MAX(0,MIN(10,ROUND(IF('Council Entry'!AR$7="Decrease Risk",10-10*((IF('Council Entry'!AR$4="Logarithm",LN(0.001+IF(AND(ISNUMBER('Council Entry'!AR$8),ISNUMBER('Council Entry'!AR$9)),MAX(MIN('Council Entry'!AR140,'Council Entry'!AR$9),'Council Entry'!AR$8),'Council Entry'!AR140)),IF('Council Entry'!AR$4="Exponential",EXP(IF(AND(ISNUMBER('Council Entry'!AR$8),ISNUMBER('Council Entry'!AR$9)),MAX(MIN('Council Entry'!AR140,'Council Entry'!AR$9),'Council Entry'!AR$8),'Council Entry'!AR140)),IF(AND(ISNUMBER('Council Entry'!AR$8),ISNUMBER('Council Entry'!AR$9)),MAX(MIN('Council Entry'!AR140,'Council Entry'!AR$9),'Council Entry'!AR$8),'Council Entry'!AR140))))-'Council Entry'!AR$5)/('Council Entry'!AR$6-'Council Entry'!AR$5),10*((IF('Council Entry'!AR$4="Logarithm",LN(0.001+IF(AND(ISNUMBER('Council Entry'!AR$8),ISNUMBER('Council Entry'!AR$9)),MAX(MIN('Council Entry'!AR140,'Council Entry'!AR$9),'Council Entry'!AR$8),'Council Entry'!AR140)),IF('Council Entry'!AR$4="Exponential",EXP(IF(AND(ISNUMBER('Council Entry'!AR$8),ISNUMBER('Council Entry'!AR$9)),MAX(MIN('Council Entry'!AR140,'Council Entry'!AR$9),'Council Entry'!AR$8),'Council Entry'!AR140)),IF(AND(ISNUMBER('Council Entry'!AR$8),ISNUMBER('Council Entry'!AR$9)),MAX(MIN('Council Entry'!AR140,'Council Entry'!AR$9),'Council Entry'!AR$8),'Council Entry'!AR140))))-'Council Entry'!AR$5)/('Council Entry'!AR$6-'Council Entry'!AR$5)),1))),"No data"))</f>
        <v/>
      </c>
      <c r="AS140" s="13">
        <f>IF('Council Entry'!AS140="","",IFERROR(MAX(0,MIN(10,ROUND(IF('Council Entry'!AS$7="Decrease Risk",10-10*((IF('Council Entry'!AS$4="Logarithm",LN(0.001+IF(AND(ISNUMBER('Council Entry'!AS$8),ISNUMBER('Council Entry'!AS$9)),MAX(MIN('Council Entry'!AS140,'Council Entry'!AS$9),'Council Entry'!AS$8),'Council Entry'!AS140)),IF('Council Entry'!AS$4="Exponential",EXP(IF(AND(ISNUMBER('Council Entry'!AS$8),ISNUMBER('Council Entry'!AS$9)),MAX(MIN('Council Entry'!AS140,'Council Entry'!AS$9),'Council Entry'!AS$8),'Council Entry'!AS140)),IF(AND(ISNUMBER('Council Entry'!AS$8),ISNUMBER('Council Entry'!AS$9)),MAX(MIN('Council Entry'!AS140,'Council Entry'!AS$9),'Council Entry'!AS$8),'Council Entry'!AS140))))-'Council Entry'!AS$5)/('Council Entry'!AS$6-'Council Entry'!AS$5),10*((IF('Council Entry'!AS$4="Logarithm",LN(0.001+IF(AND(ISNUMBER('Council Entry'!AS$8),ISNUMBER('Council Entry'!AS$9)),MAX(MIN('Council Entry'!AS140,'Council Entry'!AS$9),'Council Entry'!AS$8),'Council Entry'!AS140)),IF('Council Entry'!AS$4="Exponential",EXP(IF(AND(ISNUMBER('Council Entry'!AS$8),ISNUMBER('Council Entry'!AS$9)),MAX(MIN('Council Entry'!AS140,'Council Entry'!AS$9),'Council Entry'!AS$8),'Council Entry'!AS140)),IF(AND(ISNUMBER('Council Entry'!AS$8),ISNUMBER('Council Entry'!AS$9)),MAX(MIN('Council Entry'!AS140,'Council Entry'!AS$9),'Council Entry'!AS$8),'Council Entry'!AS140))))-'Council Entry'!AS$5)/('Council Entry'!AS$6-'Council Entry'!AS$5)),1))),"No data"))</f>
        <v/>
      </c>
      <c r="AT140" s="13">
        <f>IF('Council Entry'!AT140="","",IFERROR(MAX(0,MIN(10,ROUND(IF('Council Entry'!AT$7="Decrease Risk",10-10*((IF('Council Entry'!AT$4="Logarithm",LN(0.001+IF(AND(ISNUMBER('Council Entry'!AT$8),ISNUMBER('Council Entry'!AT$9)),MAX(MIN('Council Entry'!AT140,'Council Entry'!AT$9),'Council Entry'!AT$8),'Council Entry'!AT140)),IF('Council Entry'!AT$4="Exponential",EXP(IF(AND(ISNUMBER('Council Entry'!AT$8),ISNUMBER('Council Entry'!AT$9)),MAX(MIN('Council Entry'!AT140,'Council Entry'!AT$9),'Council Entry'!AT$8),'Council Entry'!AT140)),IF(AND(ISNUMBER('Council Entry'!AT$8),ISNUMBER('Council Entry'!AT$9)),MAX(MIN('Council Entry'!AT140,'Council Entry'!AT$9),'Council Entry'!AT$8),'Council Entry'!AT140))))-'Council Entry'!AT$5)/('Council Entry'!AT$6-'Council Entry'!AT$5),10*((IF('Council Entry'!AT$4="Logarithm",LN(0.001+IF(AND(ISNUMBER('Council Entry'!AT$8),ISNUMBER('Council Entry'!AT$9)),MAX(MIN('Council Entry'!AT140,'Council Entry'!AT$9),'Council Entry'!AT$8),'Council Entry'!AT140)),IF('Council Entry'!AT$4="Exponential",EXP(IF(AND(ISNUMBER('Council Entry'!AT$8),ISNUMBER('Council Entry'!AT$9)),MAX(MIN('Council Entry'!AT140,'Council Entry'!AT$9),'Council Entry'!AT$8),'Council Entry'!AT140)),IF(AND(ISNUMBER('Council Entry'!AT$8),ISNUMBER('Council Entry'!AT$9)),MAX(MIN('Council Entry'!AT140,'Council Entry'!AT$9),'Council Entry'!AT$8),'Council Entry'!AT140))))-'Council Entry'!AT$5)/('Council Entry'!AT$6-'Council Entry'!AT$5)),1))),"No data"))</f>
        <v/>
      </c>
      <c r="AU140" s="13">
        <f>IF('Council Entry'!AU140="","",IFERROR(MAX(0,MIN(10,ROUND(IF('Council Entry'!AU$7="Decrease Risk",10-10*((IF('Council Entry'!AU$4="Logarithm",LN(0.001+IF(AND(ISNUMBER('Council Entry'!AU$8),ISNUMBER('Council Entry'!AU$9)),MAX(MIN('Council Entry'!AU140,'Council Entry'!AU$9),'Council Entry'!AU$8),'Council Entry'!AU140)),IF('Council Entry'!AU$4="Exponential",EXP(IF(AND(ISNUMBER('Council Entry'!AU$8),ISNUMBER('Council Entry'!AU$9)),MAX(MIN('Council Entry'!AU140,'Council Entry'!AU$9),'Council Entry'!AU$8),'Council Entry'!AU140)),IF(AND(ISNUMBER('Council Entry'!AU$8),ISNUMBER('Council Entry'!AU$9)),MAX(MIN('Council Entry'!AU140,'Council Entry'!AU$9),'Council Entry'!AU$8),'Council Entry'!AU140))))-'Council Entry'!AU$5)/('Council Entry'!AU$6-'Council Entry'!AU$5),10*((IF('Council Entry'!AU$4="Logarithm",LN(0.001+IF(AND(ISNUMBER('Council Entry'!AU$8),ISNUMBER('Council Entry'!AU$9)),MAX(MIN('Council Entry'!AU140,'Council Entry'!AU$9),'Council Entry'!AU$8),'Council Entry'!AU140)),IF('Council Entry'!AU$4="Exponential",EXP(IF(AND(ISNUMBER('Council Entry'!AU$8),ISNUMBER('Council Entry'!AU$9)),MAX(MIN('Council Entry'!AU140,'Council Entry'!AU$9),'Council Entry'!AU$8),'Council Entry'!AU140)),IF(AND(ISNUMBER('Council Entry'!AU$8),ISNUMBER('Council Entry'!AU$9)),MAX(MIN('Council Entry'!AU140,'Council Entry'!AU$9),'Council Entry'!AU$8),'Council Entry'!AU140))))-'Council Entry'!AU$5)/('Council Entry'!AU$6-'Council Entry'!AU$5)),1))),"No data"))</f>
        <v/>
      </c>
      <c r="AV140" s="13">
        <f>IF('Council Entry'!AV140="","",IFERROR(MAX(0,MIN(10,ROUND(IF('Council Entry'!AV$7="Decrease Risk",10-10*((IF('Council Entry'!AV$4="Logarithm",LN(0.001+IF(AND(ISNUMBER('Council Entry'!AV$8),ISNUMBER('Council Entry'!AV$9)),MAX(MIN('Council Entry'!AV140,'Council Entry'!AV$9),'Council Entry'!AV$8),'Council Entry'!AV140)),IF('Council Entry'!AV$4="Exponential",EXP(IF(AND(ISNUMBER('Council Entry'!AV$8),ISNUMBER('Council Entry'!AV$9)),MAX(MIN('Council Entry'!AV140,'Council Entry'!AV$9),'Council Entry'!AV$8),'Council Entry'!AV140)),IF(AND(ISNUMBER('Council Entry'!AV$8),ISNUMBER('Council Entry'!AV$9)),MAX(MIN('Council Entry'!AV140,'Council Entry'!AV$9),'Council Entry'!AV$8),'Council Entry'!AV140))))-'Council Entry'!AV$5)/('Council Entry'!AV$6-'Council Entry'!AV$5),10*((IF('Council Entry'!AV$4="Logarithm",LN(0.001+IF(AND(ISNUMBER('Council Entry'!AV$8),ISNUMBER('Council Entry'!AV$9)),MAX(MIN('Council Entry'!AV140,'Council Entry'!AV$9),'Council Entry'!AV$8),'Council Entry'!AV140)),IF('Council Entry'!AV$4="Exponential",EXP(IF(AND(ISNUMBER('Council Entry'!AV$8),ISNUMBER('Council Entry'!AV$9)),MAX(MIN('Council Entry'!AV140,'Council Entry'!AV$9),'Council Entry'!AV$8),'Council Entry'!AV140)),IF(AND(ISNUMBER('Council Entry'!AV$8),ISNUMBER('Council Entry'!AV$9)),MAX(MIN('Council Entry'!AV140,'Council Entry'!AV$9),'Council Entry'!AV$8),'Council Entry'!AV140))))-'Council Entry'!AV$5)/('Council Entry'!AV$6-'Council Entry'!AV$5)),1))),"No data"))</f>
        <v/>
      </c>
      <c r="AW140" s="13">
        <f>IF('Council Entry'!AW140="","",IFERROR(MAX(0,MIN(10,ROUND(IF('Council Entry'!AW$7="Decrease Risk",10-10*((IF('Council Entry'!AW$4="Logarithm",LN(0.001+IF(AND(ISNUMBER('Council Entry'!AW$8),ISNUMBER('Council Entry'!AW$9)),MAX(MIN('Council Entry'!AW140,'Council Entry'!AW$9),'Council Entry'!AW$8),'Council Entry'!AW140)),IF('Council Entry'!AW$4="Exponential",EXP(IF(AND(ISNUMBER('Council Entry'!AW$8),ISNUMBER('Council Entry'!AW$9)),MAX(MIN('Council Entry'!AW140,'Council Entry'!AW$9),'Council Entry'!AW$8),'Council Entry'!AW140)),IF(AND(ISNUMBER('Council Entry'!AW$8),ISNUMBER('Council Entry'!AW$9)),MAX(MIN('Council Entry'!AW140,'Council Entry'!AW$9),'Council Entry'!AW$8),'Council Entry'!AW140))))-'Council Entry'!AW$5)/('Council Entry'!AW$6-'Council Entry'!AW$5),10*((IF('Council Entry'!AW$4="Logarithm",LN(0.001+IF(AND(ISNUMBER('Council Entry'!AW$8),ISNUMBER('Council Entry'!AW$9)),MAX(MIN('Council Entry'!AW140,'Council Entry'!AW$9),'Council Entry'!AW$8),'Council Entry'!AW140)),IF('Council Entry'!AW$4="Exponential",EXP(IF(AND(ISNUMBER('Council Entry'!AW$8),ISNUMBER('Council Entry'!AW$9)),MAX(MIN('Council Entry'!AW140,'Council Entry'!AW$9),'Council Entry'!AW$8),'Council Entry'!AW140)),IF(AND(ISNUMBER('Council Entry'!AW$8),ISNUMBER('Council Entry'!AW$9)),MAX(MIN('Council Entry'!AW140,'Council Entry'!AW$9),'Council Entry'!AW$8),'Council Entry'!AW140))))-'Council Entry'!AW$5)/('Council Entry'!AW$6-'Council Entry'!AW$5)),1))),"No data"))</f>
        <v/>
      </c>
      <c r="AX140" s="13">
        <f>IF('Council Entry'!AX140="","",IFERROR(MAX(0,MIN(10,ROUND(IF('Council Entry'!AX$7="Decrease Risk",10-10*((IF('Council Entry'!AX$4="Logarithm",LN(0.001+IF(AND(ISNUMBER('Council Entry'!AX$8),ISNUMBER('Council Entry'!AX$9)),MAX(MIN('Council Entry'!AX140,'Council Entry'!AX$9),'Council Entry'!AX$8),'Council Entry'!AX140)),IF('Council Entry'!AX$4="Exponential",EXP(IF(AND(ISNUMBER('Council Entry'!AX$8),ISNUMBER('Council Entry'!AX$9)),MAX(MIN('Council Entry'!AX140,'Council Entry'!AX$9),'Council Entry'!AX$8),'Council Entry'!AX140)),IF(AND(ISNUMBER('Council Entry'!AX$8),ISNUMBER('Council Entry'!AX$9)),MAX(MIN('Council Entry'!AX140,'Council Entry'!AX$9),'Council Entry'!AX$8),'Council Entry'!AX140))))-'Council Entry'!AX$5)/('Council Entry'!AX$6-'Council Entry'!AX$5),10*((IF('Council Entry'!AX$4="Logarithm",LN(0.001+IF(AND(ISNUMBER('Council Entry'!AX$8),ISNUMBER('Council Entry'!AX$9)),MAX(MIN('Council Entry'!AX140,'Council Entry'!AX$9),'Council Entry'!AX$8),'Council Entry'!AX140)),IF('Council Entry'!AX$4="Exponential",EXP(IF(AND(ISNUMBER('Council Entry'!AX$8),ISNUMBER('Council Entry'!AX$9)),MAX(MIN('Council Entry'!AX140,'Council Entry'!AX$9),'Council Entry'!AX$8),'Council Entry'!AX140)),IF(AND(ISNUMBER('Council Entry'!AX$8),ISNUMBER('Council Entry'!AX$9)),MAX(MIN('Council Entry'!AX140,'Council Entry'!AX$9),'Council Entry'!AX$8),'Council Entry'!AX140))))-'Council Entry'!AX$5)/('Council Entry'!AX$6-'Council Entry'!AX$5)),1))),"No data"))</f>
        <v/>
      </c>
      <c r="AY140" s="13">
        <f>IF('Council Entry'!AY140="","",IFERROR(MAX(0,MIN(10,ROUND(IF('Council Entry'!AY$7="Decrease Risk",10-10*((IF('Council Entry'!AY$4="Logarithm",LN(0.001+IF(AND(ISNUMBER('Council Entry'!AY$8),ISNUMBER('Council Entry'!AY$9)),MAX(MIN('Council Entry'!AY140,'Council Entry'!AY$9),'Council Entry'!AY$8),'Council Entry'!AY140)),IF('Council Entry'!AY$4="Exponential",EXP(IF(AND(ISNUMBER('Council Entry'!AY$8),ISNUMBER('Council Entry'!AY$9)),MAX(MIN('Council Entry'!AY140,'Council Entry'!AY$9),'Council Entry'!AY$8),'Council Entry'!AY140)),IF(AND(ISNUMBER('Council Entry'!AY$8),ISNUMBER('Council Entry'!AY$9)),MAX(MIN('Council Entry'!AY140,'Council Entry'!AY$9),'Council Entry'!AY$8),'Council Entry'!AY140))))-'Council Entry'!AY$5)/('Council Entry'!AY$6-'Council Entry'!AY$5),10*((IF('Council Entry'!AY$4="Logarithm",LN(0.001+IF(AND(ISNUMBER('Council Entry'!AY$8),ISNUMBER('Council Entry'!AY$9)),MAX(MIN('Council Entry'!AY140,'Council Entry'!AY$9),'Council Entry'!AY$8),'Council Entry'!AY140)),IF('Council Entry'!AY$4="Exponential",EXP(IF(AND(ISNUMBER('Council Entry'!AY$8),ISNUMBER('Council Entry'!AY$9)),MAX(MIN('Council Entry'!AY140,'Council Entry'!AY$9),'Council Entry'!AY$8),'Council Entry'!AY140)),IF(AND(ISNUMBER('Council Entry'!AY$8),ISNUMBER('Council Entry'!AY$9)),MAX(MIN('Council Entry'!AY140,'Council Entry'!AY$9),'Council Entry'!AY$8),'Council Entry'!AY140))))-'Council Entry'!AY$5)/('Council Entry'!AY$6-'Council Entry'!AY$5)),1))),"No data"))</f>
        <v/>
      </c>
      <c r="AZ140" s="13">
        <f>IF('Council Entry'!AZ140="","",IFERROR(MAX(0,MIN(10,ROUND(IF('Council Entry'!AZ$7="Decrease Risk",10-10*((IF('Council Entry'!AZ$4="Logarithm",LN(0.001+IF(AND(ISNUMBER('Council Entry'!AZ$8),ISNUMBER('Council Entry'!AZ$9)),MAX(MIN('Council Entry'!AZ140,'Council Entry'!AZ$9),'Council Entry'!AZ$8),'Council Entry'!AZ140)),IF('Council Entry'!AZ$4="Exponential",EXP(IF(AND(ISNUMBER('Council Entry'!AZ$8),ISNUMBER('Council Entry'!AZ$9)),MAX(MIN('Council Entry'!AZ140,'Council Entry'!AZ$9),'Council Entry'!AZ$8),'Council Entry'!AZ140)),IF(AND(ISNUMBER('Council Entry'!AZ$8),ISNUMBER('Council Entry'!AZ$9)),MAX(MIN('Council Entry'!AZ140,'Council Entry'!AZ$9),'Council Entry'!AZ$8),'Council Entry'!AZ140))))-'Council Entry'!AZ$5)/('Council Entry'!AZ$6-'Council Entry'!AZ$5),10*((IF('Council Entry'!AZ$4="Logarithm",LN(0.001+IF(AND(ISNUMBER('Council Entry'!AZ$8),ISNUMBER('Council Entry'!AZ$9)),MAX(MIN('Council Entry'!AZ140,'Council Entry'!AZ$9),'Council Entry'!AZ$8),'Council Entry'!AZ140)),IF('Council Entry'!AZ$4="Exponential",EXP(IF(AND(ISNUMBER('Council Entry'!AZ$8),ISNUMBER('Council Entry'!AZ$9)),MAX(MIN('Council Entry'!AZ140,'Council Entry'!AZ$9),'Council Entry'!AZ$8),'Council Entry'!AZ140)),IF(AND(ISNUMBER('Council Entry'!AZ$8),ISNUMBER('Council Entry'!AZ$9)),MAX(MIN('Council Entry'!AZ140,'Council Entry'!AZ$9),'Council Entry'!AZ$8),'Council Entry'!AZ140))))-'Council Entry'!AZ$5)/('Council Entry'!AZ$6-'Council Entry'!AZ$5)),1))),"No data"))</f>
        <v/>
      </c>
      <c r="BA140" s="13">
        <f>IF('Council Entry'!BA140="","",IFERROR(MAX(0,MIN(10,ROUND(IF('Council Entry'!BA$7="Decrease Risk",10-10*((IF('Council Entry'!BA$4="Logarithm",LN(0.001+IF(AND(ISNUMBER('Council Entry'!BA$8),ISNUMBER('Council Entry'!BA$9)),MAX(MIN('Council Entry'!BA140,'Council Entry'!BA$9),'Council Entry'!BA$8),'Council Entry'!BA140)),IF('Council Entry'!BA$4="Exponential",EXP(IF(AND(ISNUMBER('Council Entry'!BA$8),ISNUMBER('Council Entry'!BA$9)),MAX(MIN('Council Entry'!BA140,'Council Entry'!BA$9),'Council Entry'!BA$8),'Council Entry'!BA140)),IF(AND(ISNUMBER('Council Entry'!BA$8),ISNUMBER('Council Entry'!BA$9)),MAX(MIN('Council Entry'!BA140,'Council Entry'!BA$9),'Council Entry'!BA$8),'Council Entry'!BA140))))-'Council Entry'!BA$5)/('Council Entry'!BA$6-'Council Entry'!BA$5),10*((IF('Council Entry'!BA$4="Logarithm",LN(0.001+IF(AND(ISNUMBER('Council Entry'!BA$8),ISNUMBER('Council Entry'!BA$9)),MAX(MIN('Council Entry'!BA140,'Council Entry'!BA$9),'Council Entry'!BA$8),'Council Entry'!BA140)),IF('Council Entry'!BA$4="Exponential",EXP(IF(AND(ISNUMBER('Council Entry'!BA$8),ISNUMBER('Council Entry'!BA$9)),MAX(MIN('Council Entry'!BA140,'Council Entry'!BA$9),'Council Entry'!BA$8),'Council Entry'!BA140)),IF(AND(ISNUMBER('Council Entry'!BA$8),ISNUMBER('Council Entry'!BA$9)),MAX(MIN('Council Entry'!BA140,'Council Entry'!BA$9),'Council Entry'!BA$8),'Council Entry'!BA140))))-'Council Entry'!BA$5)/('Council Entry'!BA$6-'Council Entry'!BA$5)),1))),"No data"))</f>
        <v/>
      </c>
      <c r="BB140" s="13">
        <f>IF('Council Entry'!BB140="","",IFERROR(MAX(0,MIN(10,ROUND(IF('Council Entry'!BB$7="Decrease Risk",10-10*((IF('Council Entry'!BB$4="Logarithm",LN(0.001+IF(AND(ISNUMBER('Council Entry'!BB$8),ISNUMBER('Council Entry'!BB$9)),MAX(MIN('Council Entry'!BB140,'Council Entry'!BB$9),'Council Entry'!BB$8),'Council Entry'!BB140)),IF('Council Entry'!BB$4="Exponential",EXP(IF(AND(ISNUMBER('Council Entry'!BB$8),ISNUMBER('Council Entry'!BB$9)),MAX(MIN('Council Entry'!BB140,'Council Entry'!BB$9),'Council Entry'!BB$8),'Council Entry'!BB140)),IF(AND(ISNUMBER('Council Entry'!BB$8),ISNUMBER('Council Entry'!BB$9)),MAX(MIN('Council Entry'!BB140,'Council Entry'!BB$9),'Council Entry'!BB$8),'Council Entry'!BB140))))-'Council Entry'!BB$5)/('Council Entry'!BB$6-'Council Entry'!BB$5),10*((IF('Council Entry'!BB$4="Logarithm",LN(0.001+IF(AND(ISNUMBER('Council Entry'!BB$8),ISNUMBER('Council Entry'!BB$9)),MAX(MIN('Council Entry'!BB140,'Council Entry'!BB$9),'Council Entry'!BB$8),'Council Entry'!BB140)),IF('Council Entry'!BB$4="Exponential",EXP(IF(AND(ISNUMBER('Council Entry'!BB$8),ISNUMBER('Council Entry'!BB$9)),MAX(MIN('Council Entry'!BB140,'Council Entry'!BB$9),'Council Entry'!BB$8),'Council Entry'!BB140)),IF(AND(ISNUMBER('Council Entry'!BB$8),ISNUMBER('Council Entry'!BB$9)),MAX(MIN('Council Entry'!BB140,'Council Entry'!BB$9),'Council Entry'!BB$8),'Council Entry'!BB140))))-'Council Entry'!BB$5)/('Council Entry'!BB$6-'Council Entry'!BB$5)),1))),"No data"))</f>
        <v/>
      </c>
      <c r="BC140" s="13">
        <f>IF('Council Entry'!BC140="","",IFERROR(MAX(0,MIN(10,ROUND(IF('Council Entry'!BC$7="Decrease Risk",10-10*((IF('Council Entry'!BC$4="Logarithm",LN(0.001+IF(AND(ISNUMBER('Council Entry'!BC$8),ISNUMBER('Council Entry'!BC$9)),MAX(MIN('Council Entry'!BC140,'Council Entry'!BC$9),'Council Entry'!BC$8),'Council Entry'!BC140)),IF('Council Entry'!BC$4="Exponential",EXP(IF(AND(ISNUMBER('Council Entry'!BC$8),ISNUMBER('Council Entry'!BC$9)),MAX(MIN('Council Entry'!BC140,'Council Entry'!BC$9),'Council Entry'!BC$8),'Council Entry'!BC140)),IF(AND(ISNUMBER('Council Entry'!BC$8),ISNUMBER('Council Entry'!BC$9)),MAX(MIN('Council Entry'!BC140,'Council Entry'!BC$9),'Council Entry'!BC$8),'Council Entry'!BC140))))-'Council Entry'!BC$5)/('Council Entry'!BC$6-'Council Entry'!BC$5),10*((IF('Council Entry'!BC$4="Logarithm",LN(0.001+IF(AND(ISNUMBER('Council Entry'!BC$8),ISNUMBER('Council Entry'!BC$9)),MAX(MIN('Council Entry'!BC140,'Council Entry'!BC$9),'Council Entry'!BC$8),'Council Entry'!BC140)),IF('Council Entry'!BC$4="Exponential",EXP(IF(AND(ISNUMBER('Council Entry'!BC$8),ISNUMBER('Council Entry'!BC$9)),MAX(MIN('Council Entry'!BC140,'Council Entry'!BC$9),'Council Entry'!BC$8),'Council Entry'!BC140)),IF(AND(ISNUMBER('Council Entry'!BC$8),ISNUMBER('Council Entry'!BC$9)),MAX(MIN('Council Entry'!BC140,'Council Entry'!BC$9),'Council Entry'!BC$8),'Council Entry'!BC140))))-'Council Entry'!BC$5)/('Council Entry'!BC$6-'Council Entry'!BC$5)),1))),"No data"))</f>
        <v/>
      </c>
      <c r="BD140" s="13">
        <f>IF('Council Entry'!BD140="","",IFERROR(MAX(0,MIN(10,ROUND(IF('Council Entry'!BD$7="Decrease Risk",10-10*((IF('Council Entry'!BD$4="Logarithm",LN(0.001+IF(AND(ISNUMBER('Council Entry'!BD$8),ISNUMBER('Council Entry'!BD$9)),MAX(MIN('Council Entry'!BD140,'Council Entry'!BD$9),'Council Entry'!BD$8),'Council Entry'!BD140)),IF('Council Entry'!BD$4="Exponential",EXP(IF(AND(ISNUMBER('Council Entry'!BD$8),ISNUMBER('Council Entry'!BD$9)),MAX(MIN('Council Entry'!BD140,'Council Entry'!BD$9),'Council Entry'!BD$8),'Council Entry'!BD140)),IF(AND(ISNUMBER('Council Entry'!BD$8),ISNUMBER('Council Entry'!BD$9)),MAX(MIN('Council Entry'!BD140,'Council Entry'!BD$9),'Council Entry'!BD$8),'Council Entry'!BD140))))-'Council Entry'!BD$5)/('Council Entry'!BD$6-'Council Entry'!BD$5),10*((IF('Council Entry'!BD$4="Logarithm",LN(0.001+IF(AND(ISNUMBER('Council Entry'!BD$8),ISNUMBER('Council Entry'!BD$9)),MAX(MIN('Council Entry'!BD140,'Council Entry'!BD$9),'Council Entry'!BD$8),'Council Entry'!BD140)),IF('Council Entry'!BD$4="Exponential",EXP(IF(AND(ISNUMBER('Council Entry'!BD$8),ISNUMBER('Council Entry'!BD$9)),MAX(MIN('Council Entry'!BD140,'Council Entry'!BD$9),'Council Entry'!BD$8),'Council Entry'!BD140)),IF(AND(ISNUMBER('Council Entry'!BD$8),ISNUMBER('Council Entry'!BD$9)),MAX(MIN('Council Entry'!BD140,'Council Entry'!BD$9),'Council Entry'!BD$8),'Council Entry'!BD140))))-'Council Entry'!BD$5)/('Council Entry'!BD$6-'Council Entry'!BD$5)),1))),"No data"))</f>
        <v/>
      </c>
    </row>
    <row r="141">
      <c r="A141" t="inlineStr">
        <is>
          <t>Njombe</t>
        </is>
      </c>
      <c r="B141" t="inlineStr">
        <is>
          <t>Wanging'Ombe District</t>
        </is>
      </c>
      <c r="C141" t="inlineStr">
        <is>
          <t>C162</t>
        </is>
      </c>
      <c r="D141" s="13">
        <f>IF('Council Entry'!D141="","",IFERROR(MAX(0,MIN(10,ROUND(IF('Council Entry'!D$7="Decrease Risk",10-10*((IF('Council Entry'!D$4="Logarithm",LN(0.001+IF(AND(ISNUMBER('Council Entry'!D$8),ISNUMBER('Council Entry'!D$9)),MAX(MIN('Council Entry'!D141,'Council Entry'!D$9),'Council Entry'!D$8),'Council Entry'!D141)),IF('Council Entry'!D$4="Exponential",EXP(IF(AND(ISNUMBER('Council Entry'!D$8),ISNUMBER('Council Entry'!D$9)),MAX(MIN('Council Entry'!D141,'Council Entry'!D$9),'Council Entry'!D$8),'Council Entry'!D141)),IF(AND(ISNUMBER('Council Entry'!D$8),ISNUMBER('Council Entry'!D$9)),MAX(MIN('Council Entry'!D141,'Council Entry'!D$9),'Council Entry'!D$8),'Council Entry'!D141))))-'Council Entry'!D$5)/('Council Entry'!D$6-'Council Entry'!D$5),10*((IF('Council Entry'!D$4="Logarithm",LN(0.001+IF(AND(ISNUMBER('Council Entry'!D$8),ISNUMBER('Council Entry'!D$9)),MAX(MIN('Council Entry'!D141,'Council Entry'!D$9),'Council Entry'!D$8),'Council Entry'!D141)),IF('Council Entry'!D$4="Exponential",EXP(IF(AND(ISNUMBER('Council Entry'!D$8),ISNUMBER('Council Entry'!D$9)),MAX(MIN('Council Entry'!D141,'Council Entry'!D$9),'Council Entry'!D$8),'Council Entry'!D141)),IF(AND(ISNUMBER('Council Entry'!D$8),ISNUMBER('Council Entry'!D$9)),MAX(MIN('Council Entry'!D141,'Council Entry'!D$9),'Council Entry'!D$8),'Council Entry'!D141))))-'Council Entry'!D$5)/('Council Entry'!D$6-'Council Entry'!D$5)),1))),"No data"))</f>
        <v/>
      </c>
      <c r="E141" s="13">
        <f>IF('Council Entry'!E141="","",IFERROR(MAX(0,MIN(10,ROUND(IF('Council Entry'!E$7="Decrease Risk",10-10*((IF('Council Entry'!E$4="Logarithm",LN(0.001+IF(AND(ISNUMBER('Council Entry'!E$8),ISNUMBER('Council Entry'!E$9)),MAX(MIN('Council Entry'!E141,'Council Entry'!E$9),'Council Entry'!E$8),'Council Entry'!E141)),IF('Council Entry'!E$4="Exponential",EXP(IF(AND(ISNUMBER('Council Entry'!E$8),ISNUMBER('Council Entry'!E$9)),MAX(MIN('Council Entry'!E141,'Council Entry'!E$9),'Council Entry'!E$8),'Council Entry'!E141)),IF(AND(ISNUMBER('Council Entry'!E$8),ISNUMBER('Council Entry'!E$9)),MAX(MIN('Council Entry'!E141,'Council Entry'!E$9),'Council Entry'!E$8),'Council Entry'!E141))))-'Council Entry'!E$5)/('Council Entry'!E$6-'Council Entry'!E$5),10*((IF('Council Entry'!E$4="Logarithm",LN(0.001+IF(AND(ISNUMBER('Council Entry'!E$8),ISNUMBER('Council Entry'!E$9)),MAX(MIN('Council Entry'!E141,'Council Entry'!E$9),'Council Entry'!E$8),'Council Entry'!E141)),IF('Council Entry'!E$4="Exponential",EXP(IF(AND(ISNUMBER('Council Entry'!E$8),ISNUMBER('Council Entry'!E$9)),MAX(MIN('Council Entry'!E141,'Council Entry'!E$9),'Council Entry'!E$8),'Council Entry'!E141)),IF(AND(ISNUMBER('Council Entry'!E$8),ISNUMBER('Council Entry'!E$9)),MAX(MIN('Council Entry'!E141,'Council Entry'!E$9),'Council Entry'!E$8),'Council Entry'!E141))))-'Council Entry'!E$5)/('Council Entry'!E$6-'Council Entry'!E$5)),1))),"No data"))</f>
        <v/>
      </c>
      <c r="F141" s="13">
        <f>IF('Council Entry'!F141="","",IFERROR(MAX(0,MIN(10,ROUND(IF('Council Entry'!F$7="Decrease Risk",10-10*((IF('Council Entry'!F$4="Logarithm",LN(0.001+IF(AND(ISNUMBER('Council Entry'!F$8),ISNUMBER('Council Entry'!F$9)),MAX(MIN('Council Entry'!F141,'Council Entry'!F$9),'Council Entry'!F$8),'Council Entry'!F141)),IF('Council Entry'!F$4="Exponential",EXP(IF(AND(ISNUMBER('Council Entry'!F$8),ISNUMBER('Council Entry'!F$9)),MAX(MIN('Council Entry'!F141,'Council Entry'!F$9),'Council Entry'!F$8),'Council Entry'!F141)),IF(AND(ISNUMBER('Council Entry'!F$8),ISNUMBER('Council Entry'!F$9)),MAX(MIN('Council Entry'!F141,'Council Entry'!F$9),'Council Entry'!F$8),'Council Entry'!F141))))-'Council Entry'!F$5)/('Council Entry'!F$6-'Council Entry'!F$5),10*((IF('Council Entry'!F$4="Logarithm",LN(0.001+IF(AND(ISNUMBER('Council Entry'!F$8),ISNUMBER('Council Entry'!F$9)),MAX(MIN('Council Entry'!F141,'Council Entry'!F$9),'Council Entry'!F$8),'Council Entry'!F141)),IF('Council Entry'!F$4="Exponential",EXP(IF(AND(ISNUMBER('Council Entry'!F$8),ISNUMBER('Council Entry'!F$9)),MAX(MIN('Council Entry'!F141,'Council Entry'!F$9),'Council Entry'!F$8),'Council Entry'!F141)),IF(AND(ISNUMBER('Council Entry'!F$8),ISNUMBER('Council Entry'!F$9)),MAX(MIN('Council Entry'!F141,'Council Entry'!F$9),'Council Entry'!F$8),'Council Entry'!F141))))-'Council Entry'!F$5)/('Council Entry'!F$6-'Council Entry'!F$5)),1))),"No data"))</f>
        <v/>
      </c>
      <c r="G141" s="13">
        <f>IF('Council Entry'!G141="","",IFERROR(MAX(0,MIN(10,ROUND(IF('Council Entry'!G$7="Decrease Risk",10-10*((IF('Council Entry'!G$4="Logarithm",LN(0.001+IF(AND(ISNUMBER('Council Entry'!G$8),ISNUMBER('Council Entry'!G$9)),MAX(MIN('Council Entry'!G141,'Council Entry'!G$9),'Council Entry'!G$8),'Council Entry'!G141)),IF('Council Entry'!G$4="Exponential",EXP(IF(AND(ISNUMBER('Council Entry'!G$8),ISNUMBER('Council Entry'!G$9)),MAX(MIN('Council Entry'!G141,'Council Entry'!G$9),'Council Entry'!G$8),'Council Entry'!G141)),IF(AND(ISNUMBER('Council Entry'!G$8),ISNUMBER('Council Entry'!G$9)),MAX(MIN('Council Entry'!G141,'Council Entry'!G$9),'Council Entry'!G$8),'Council Entry'!G141))))-'Council Entry'!G$5)/('Council Entry'!G$6-'Council Entry'!G$5),10*((IF('Council Entry'!G$4="Logarithm",LN(0.001+IF(AND(ISNUMBER('Council Entry'!G$8),ISNUMBER('Council Entry'!G$9)),MAX(MIN('Council Entry'!G141,'Council Entry'!G$9),'Council Entry'!G$8),'Council Entry'!G141)),IF('Council Entry'!G$4="Exponential",EXP(IF(AND(ISNUMBER('Council Entry'!G$8),ISNUMBER('Council Entry'!G$9)),MAX(MIN('Council Entry'!G141,'Council Entry'!G$9),'Council Entry'!G$8),'Council Entry'!G141)),IF(AND(ISNUMBER('Council Entry'!G$8),ISNUMBER('Council Entry'!G$9)),MAX(MIN('Council Entry'!G141,'Council Entry'!G$9),'Council Entry'!G$8),'Council Entry'!G141))))-'Council Entry'!G$5)/('Council Entry'!G$6-'Council Entry'!G$5)),1))),"No data"))</f>
        <v/>
      </c>
      <c r="H141" s="13">
        <f>IF('Council Entry'!H141="","",IFERROR(MAX(0,MIN(10,ROUND(IF('Council Entry'!H$7="Decrease Risk",10-10*((IF('Council Entry'!H$4="Logarithm",LN(0.001+IF(AND(ISNUMBER('Council Entry'!H$8),ISNUMBER('Council Entry'!H$9)),MAX(MIN('Council Entry'!H141,'Council Entry'!H$9),'Council Entry'!H$8),'Council Entry'!H141)),IF('Council Entry'!H$4="Exponential",EXP(IF(AND(ISNUMBER('Council Entry'!H$8),ISNUMBER('Council Entry'!H$9)),MAX(MIN('Council Entry'!H141,'Council Entry'!H$9),'Council Entry'!H$8),'Council Entry'!H141)),IF(AND(ISNUMBER('Council Entry'!H$8),ISNUMBER('Council Entry'!H$9)),MAX(MIN('Council Entry'!H141,'Council Entry'!H$9),'Council Entry'!H$8),'Council Entry'!H141))))-'Council Entry'!H$5)/('Council Entry'!H$6-'Council Entry'!H$5),10*((IF('Council Entry'!H$4="Logarithm",LN(0.001+IF(AND(ISNUMBER('Council Entry'!H$8),ISNUMBER('Council Entry'!H$9)),MAX(MIN('Council Entry'!H141,'Council Entry'!H$9),'Council Entry'!H$8),'Council Entry'!H141)),IF('Council Entry'!H$4="Exponential",EXP(IF(AND(ISNUMBER('Council Entry'!H$8),ISNUMBER('Council Entry'!H$9)),MAX(MIN('Council Entry'!H141,'Council Entry'!H$9),'Council Entry'!H$8),'Council Entry'!H141)),IF(AND(ISNUMBER('Council Entry'!H$8),ISNUMBER('Council Entry'!H$9)),MAX(MIN('Council Entry'!H141,'Council Entry'!H$9),'Council Entry'!H$8),'Council Entry'!H141))))-'Council Entry'!H$5)/('Council Entry'!H$6-'Council Entry'!H$5)),1))),"No data"))</f>
        <v/>
      </c>
      <c r="I141" s="13">
        <f>IF('Council Entry'!I141="","",IFERROR(MAX(0,MIN(10,ROUND(IF('Council Entry'!I$7="Decrease Risk",10-10*((IF('Council Entry'!I$4="Logarithm",LN(0.001+IF(AND(ISNUMBER('Council Entry'!I$8),ISNUMBER('Council Entry'!I$9)),MAX(MIN('Council Entry'!I141,'Council Entry'!I$9),'Council Entry'!I$8),'Council Entry'!I141)),IF('Council Entry'!I$4="Exponential",EXP(IF(AND(ISNUMBER('Council Entry'!I$8),ISNUMBER('Council Entry'!I$9)),MAX(MIN('Council Entry'!I141,'Council Entry'!I$9),'Council Entry'!I$8),'Council Entry'!I141)),IF(AND(ISNUMBER('Council Entry'!I$8),ISNUMBER('Council Entry'!I$9)),MAX(MIN('Council Entry'!I141,'Council Entry'!I$9),'Council Entry'!I$8),'Council Entry'!I141))))-'Council Entry'!I$5)/('Council Entry'!I$6-'Council Entry'!I$5),10*((IF('Council Entry'!I$4="Logarithm",LN(0.001+IF(AND(ISNUMBER('Council Entry'!I$8),ISNUMBER('Council Entry'!I$9)),MAX(MIN('Council Entry'!I141,'Council Entry'!I$9),'Council Entry'!I$8),'Council Entry'!I141)),IF('Council Entry'!I$4="Exponential",EXP(IF(AND(ISNUMBER('Council Entry'!I$8),ISNUMBER('Council Entry'!I$9)),MAX(MIN('Council Entry'!I141,'Council Entry'!I$9),'Council Entry'!I$8),'Council Entry'!I141)),IF(AND(ISNUMBER('Council Entry'!I$8),ISNUMBER('Council Entry'!I$9)),MAX(MIN('Council Entry'!I141,'Council Entry'!I$9),'Council Entry'!I$8),'Council Entry'!I141))))-'Council Entry'!I$5)/('Council Entry'!I$6-'Council Entry'!I$5)),1))),"No data"))</f>
        <v/>
      </c>
      <c r="J141" s="13">
        <f>IF('Council Entry'!J141="","",IFERROR(MAX(0,MIN(10,ROUND(IF('Council Entry'!J$7="Decrease Risk",10-10*((IF('Council Entry'!J$4="Logarithm",LN(0.001+IF(AND(ISNUMBER('Council Entry'!J$8),ISNUMBER('Council Entry'!J$9)),MAX(MIN('Council Entry'!J141,'Council Entry'!J$9),'Council Entry'!J$8),'Council Entry'!J141)),IF('Council Entry'!J$4="Exponential",EXP(IF(AND(ISNUMBER('Council Entry'!J$8),ISNUMBER('Council Entry'!J$9)),MAX(MIN('Council Entry'!J141,'Council Entry'!J$9),'Council Entry'!J$8),'Council Entry'!J141)),IF(AND(ISNUMBER('Council Entry'!J$8),ISNUMBER('Council Entry'!J$9)),MAX(MIN('Council Entry'!J141,'Council Entry'!J$9),'Council Entry'!J$8),'Council Entry'!J141))))-'Council Entry'!J$5)/('Council Entry'!J$6-'Council Entry'!J$5),10*((IF('Council Entry'!J$4="Logarithm",LN(0.001+IF(AND(ISNUMBER('Council Entry'!J$8),ISNUMBER('Council Entry'!J$9)),MAX(MIN('Council Entry'!J141,'Council Entry'!J$9),'Council Entry'!J$8),'Council Entry'!J141)),IF('Council Entry'!J$4="Exponential",EXP(IF(AND(ISNUMBER('Council Entry'!J$8),ISNUMBER('Council Entry'!J$9)),MAX(MIN('Council Entry'!J141,'Council Entry'!J$9),'Council Entry'!J$8),'Council Entry'!J141)),IF(AND(ISNUMBER('Council Entry'!J$8),ISNUMBER('Council Entry'!J$9)),MAX(MIN('Council Entry'!J141,'Council Entry'!J$9),'Council Entry'!J$8),'Council Entry'!J141))))-'Council Entry'!J$5)/('Council Entry'!J$6-'Council Entry'!J$5)),1))),"No data"))</f>
        <v/>
      </c>
      <c r="K141" s="13">
        <f>IF('Council Entry'!K141="","",IFERROR(MAX(0,MIN(10,ROUND(IF('Council Entry'!K$7="Decrease Risk",10-10*((IF('Council Entry'!K$4="Logarithm",LN(0.001+IF(AND(ISNUMBER('Council Entry'!K$8),ISNUMBER('Council Entry'!K$9)),MAX(MIN('Council Entry'!K141,'Council Entry'!K$9),'Council Entry'!K$8),'Council Entry'!K141)),IF('Council Entry'!K$4="Exponential",EXP(IF(AND(ISNUMBER('Council Entry'!K$8),ISNUMBER('Council Entry'!K$9)),MAX(MIN('Council Entry'!K141,'Council Entry'!K$9),'Council Entry'!K$8),'Council Entry'!K141)),IF(AND(ISNUMBER('Council Entry'!K$8),ISNUMBER('Council Entry'!K$9)),MAX(MIN('Council Entry'!K141,'Council Entry'!K$9),'Council Entry'!K$8),'Council Entry'!K141))))-'Council Entry'!K$5)/('Council Entry'!K$6-'Council Entry'!K$5),10*((IF('Council Entry'!K$4="Logarithm",LN(0.001+IF(AND(ISNUMBER('Council Entry'!K$8),ISNUMBER('Council Entry'!K$9)),MAX(MIN('Council Entry'!K141,'Council Entry'!K$9),'Council Entry'!K$8),'Council Entry'!K141)),IF('Council Entry'!K$4="Exponential",EXP(IF(AND(ISNUMBER('Council Entry'!K$8),ISNUMBER('Council Entry'!K$9)),MAX(MIN('Council Entry'!K141,'Council Entry'!K$9),'Council Entry'!K$8),'Council Entry'!K141)),IF(AND(ISNUMBER('Council Entry'!K$8),ISNUMBER('Council Entry'!K$9)),MAX(MIN('Council Entry'!K141,'Council Entry'!K$9),'Council Entry'!K$8),'Council Entry'!K141))))-'Council Entry'!K$5)/('Council Entry'!K$6-'Council Entry'!K$5)),1))),"No data"))</f>
        <v/>
      </c>
      <c r="L141" s="13">
        <f>IF('Council Entry'!L141="","",IFERROR(MAX(0,MIN(10,ROUND(IF('Council Entry'!L$7="Decrease Risk",10-10*((IF('Council Entry'!L$4="Logarithm",LN(0.001+IF(AND(ISNUMBER('Council Entry'!L$8),ISNUMBER('Council Entry'!L$9)),MAX(MIN('Council Entry'!L141,'Council Entry'!L$9),'Council Entry'!L$8),'Council Entry'!L141)),IF('Council Entry'!L$4="Exponential",EXP(IF(AND(ISNUMBER('Council Entry'!L$8),ISNUMBER('Council Entry'!L$9)),MAX(MIN('Council Entry'!L141,'Council Entry'!L$9),'Council Entry'!L$8),'Council Entry'!L141)),IF(AND(ISNUMBER('Council Entry'!L$8),ISNUMBER('Council Entry'!L$9)),MAX(MIN('Council Entry'!L141,'Council Entry'!L$9),'Council Entry'!L$8),'Council Entry'!L141))))-'Council Entry'!L$5)/('Council Entry'!L$6-'Council Entry'!L$5),10*((IF('Council Entry'!L$4="Logarithm",LN(0.001+IF(AND(ISNUMBER('Council Entry'!L$8),ISNUMBER('Council Entry'!L$9)),MAX(MIN('Council Entry'!L141,'Council Entry'!L$9),'Council Entry'!L$8),'Council Entry'!L141)),IF('Council Entry'!L$4="Exponential",EXP(IF(AND(ISNUMBER('Council Entry'!L$8),ISNUMBER('Council Entry'!L$9)),MAX(MIN('Council Entry'!L141,'Council Entry'!L$9),'Council Entry'!L$8),'Council Entry'!L141)),IF(AND(ISNUMBER('Council Entry'!L$8),ISNUMBER('Council Entry'!L$9)),MAX(MIN('Council Entry'!L141,'Council Entry'!L$9),'Council Entry'!L$8),'Council Entry'!L141))))-'Council Entry'!L$5)/('Council Entry'!L$6-'Council Entry'!L$5)),1))),"No data"))</f>
        <v/>
      </c>
      <c r="M141" s="13">
        <f>IF('Council Entry'!M141="","",IFERROR(MAX(0,MIN(10,ROUND(IF('Council Entry'!M$7="Decrease Risk",10-10*((IF('Council Entry'!M$4="Logarithm",LN(0.001+IF(AND(ISNUMBER('Council Entry'!M$8),ISNUMBER('Council Entry'!M$9)),MAX(MIN('Council Entry'!M141,'Council Entry'!M$9),'Council Entry'!M$8),'Council Entry'!M141)),IF('Council Entry'!M$4="Exponential",EXP(IF(AND(ISNUMBER('Council Entry'!M$8),ISNUMBER('Council Entry'!M$9)),MAX(MIN('Council Entry'!M141,'Council Entry'!M$9),'Council Entry'!M$8),'Council Entry'!M141)),IF(AND(ISNUMBER('Council Entry'!M$8),ISNUMBER('Council Entry'!M$9)),MAX(MIN('Council Entry'!M141,'Council Entry'!M$9),'Council Entry'!M$8),'Council Entry'!M141))))-'Council Entry'!M$5)/('Council Entry'!M$6-'Council Entry'!M$5),10*((IF('Council Entry'!M$4="Logarithm",LN(0.001+IF(AND(ISNUMBER('Council Entry'!M$8),ISNUMBER('Council Entry'!M$9)),MAX(MIN('Council Entry'!M141,'Council Entry'!M$9),'Council Entry'!M$8),'Council Entry'!M141)),IF('Council Entry'!M$4="Exponential",EXP(IF(AND(ISNUMBER('Council Entry'!M$8),ISNUMBER('Council Entry'!M$9)),MAX(MIN('Council Entry'!M141,'Council Entry'!M$9),'Council Entry'!M$8),'Council Entry'!M141)),IF(AND(ISNUMBER('Council Entry'!M$8),ISNUMBER('Council Entry'!M$9)),MAX(MIN('Council Entry'!M141,'Council Entry'!M$9),'Council Entry'!M$8),'Council Entry'!M141))))-'Council Entry'!M$5)/('Council Entry'!M$6-'Council Entry'!M$5)),1))),"No data"))</f>
        <v/>
      </c>
      <c r="N141" s="13">
        <f>IF('Council Entry'!N141="","",IFERROR(MAX(0,MIN(10,ROUND(IF('Council Entry'!N$7="Decrease Risk",10-10*((IF('Council Entry'!N$4="Logarithm",LN(0.001+IF(AND(ISNUMBER('Council Entry'!N$8),ISNUMBER('Council Entry'!N$9)),MAX(MIN('Council Entry'!N141,'Council Entry'!N$9),'Council Entry'!N$8),'Council Entry'!N141)),IF('Council Entry'!N$4="Exponential",EXP(IF(AND(ISNUMBER('Council Entry'!N$8),ISNUMBER('Council Entry'!N$9)),MAX(MIN('Council Entry'!N141,'Council Entry'!N$9),'Council Entry'!N$8),'Council Entry'!N141)),IF(AND(ISNUMBER('Council Entry'!N$8),ISNUMBER('Council Entry'!N$9)),MAX(MIN('Council Entry'!N141,'Council Entry'!N$9),'Council Entry'!N$8),'Council Entry'!N141))))-'Council Entry'!N$5)/('Council Entry'!N$6-'Council Entry'!N$5),10*((IF('Council Entry'!N$4="Logarithm",LN(0.001+IF(AND(ISNUMBER('Council Entry'!N$8),ISNUMBER('Council Entry'!N$9)),MAX(MIN('Council Entry'!N141,'Council Entry'!N$9),'Council Entry'!N$8),'Council Entry'!N141)),IF('Council Entry'!N$4="Exponential",EXP(IF(AND(ISNUMBER('Council Entry'!N$8),ISNUMBER('Council Entry'!N$9)),MAX(MIN('Council Entry'!N141,'Council Entry'!N$9),'Council Entry'!N$8),'Council Entry'!N141)),IF(AND(ISNUMBER('Council Entry'!N$8),ISNUMBER('Council Entry'!N$9)),MAX(MIN('Council Entry'!N141,'Council Entry'!N$9),'Council Entry'!N$8),'Council Entry'!N141))))-'Council Entry'!N$5)/('Council Entry'!N$6-'Council Entry'!N$5)),1))),"No data"))</f>
        <v/>
      </c>
      <c r="O141" s="13">
        <f>IF('Council Entry'!O141="","",IFERROR(MAX(0,MIN(10,ROUND(IF('Council Entry'!O$7="Decrease Risk",10-10*((IF('Council Entry'!O$4="Logarithm",LN(0.001+IF(AND(ISNUMBER('Council Entry'!O$8),ISNUMBER('Council Entry'!O$9)),MAX(MIN('Council Entry'!O141,'Council Entry'!O$9),'Council Entry'!O$8),'Council Entry'!O141)),IF('Council Entry'!O$4="Exponential",EXP(IF(AND(ISNUMBER('Council Entry'!O$8),ISNUMBER('Council Entry'!O$9)),MAX(MIN('Council Entry'!O141,'Council Entry'!O$9),'Council Entry'!O$8),'Council Entry'!O141)),IF(AND(ISNUMBER('Council Entry'!O$8),ISNUMBER('Council Entry'!O$9)),MAX(MIN('Council Entry'!O141,'Council Entry'!O$9),'Council Entry'!O$8),'Council Entry'!O141))))-'Council Entry'!O$5)/('Council Entry'!O$6-'Council Entry'!O$5),10*((IF('Council Entry'!O$4="Logarithm",LN(0.001+IF(AND(ISNUMBER('Council Entry'!O$8),ISNUMBER('Council Entry'!O$9)),MAX(MIN('Council Entry'!O141,'Council Entry'!O$9),'Council Entry'!O$8),'Council Entry'!O141)),IF('Council Entry'!O$4="Exponential",EXP(IF(AND(ISNUMBER('Council Entry'!O$8),ISNUMBER('Council Entry'!O$9)),MAX(MIN('Council Entry'!O141,'Council Entry'!O$9),'Council Entry'!O$8),'Council Entry'!O141)),IF(AND(ISNUMBER('Council Entry'!O$8),ISNUMBER('Council Entry'!O$9)),MAX(MIN('Council Entry'!O141,'Council Entry'!O$9),'Council Entry'!O$8),'Council Entry'!O141))))-'Council Entry'!O$5)/('Council Entry'!O$6-'Council Entry'!O$5)),1))),"No data"))</f>
        <v/>
      </c>
      <c r="P141" s="13">
        <f>IF('Council Entry'!P141="","",IFERROR(MAX(0,MIN(10,ROUND(IF('Council Entry'!P$7="Decrease Risk",10-10*((IF('Council Entry'!P$4="Logarithm",LN(0.001+IF(AND(ISNUMBER('Council Entry'!P$8),ISNUMBER('Council Entry'!P$9)),MAX(MIN('Council Entry'!P141,'Council Entry'!P$9),'Council Entry'!P$8),'Council Entry'!P141)),IF('Council Entry'!P$4="Exponential",EXP(IF(AND(ISNUMBER('Council Entry'!P$8),ISNUMBER('Council Entry'!P$9)),MAX(MIN('Council Entry'!P141,'Council Entry'!P$9),'Council Entry'!P$8),'Council Entry'!P141)),IF(AND(ISNUMBER('Council Entry'!P$8),ISNUMBER('Council Entry'!P$9)),MAX(MIN('Council Entry'!P141,'Council Entry'!P$9),'Council Entry'!P$8),'Council Entry'!P141))))-'Council Entry'!P$5)/('Council Entry'!P$6-'Council Entry'!P$5),10*((IF('Council Entry'!P$4="Logarithm",LN(0.001+IF(AND(ISNUMBER('Council Entry'!P$8),ISNUMBER('Council Entry'!P$9)),MAX(MIN('Council Entry'!P141,'Council Entry'!P$9),'Council Entry'!P$8),'Council Entry'!P141)),IF('Council Entry'!P$4="Exponential",EXP(IF(AND(ISNUMBER('Council Entry'!P$8),ISNUMBER('Council Entry'!P$9)),MAX(MIN('Council Entry'!P141,'Council Entry'!P$9),'Council Entry'!P$8),'Council Entry'!P141)),IF(AND(ISNUMBER('Council Entry'!P$8),ISNUMBER('Council Entry'!P$9)),MAX(MIN('Council Entry'!P141,'Council Entry'!P$9),'Council Entry'!P$8),'Council Entry'!P141))))-'Council Entry'!P$5)/('Council Entry'!P$6-'Council Entry'!P$5)),1))),"No data"))</f>
        <v/>
      </c>
      <c r="Q141" s="13">
        <f>IF('Council Entry'!Q141="","",IFERROR(MAX(0,MIN(10,ROUND(IF('Council Entry'!Q$7="Decrease Risk",10-10*((IF('Council Entry'!Q$4="Logarithm",LN(0.001+IF(AND(ISNUMBER('Council Entry'!Q$8),ISNUMBER('Council Entry'!Q$9)),MAX(MIN('Council Entry'!Q141,'Council Entry'!Q$9),'Council Entry'!Q$8),'Council Entry'!Q141)),IF('Council Entry'!Q$4="Exponential",EXP(IF(AND(ISNUMBER('Council Entry'!Q$8),ISNUMBER('Council Entry'!Q$9)),MAX(MIN('Council Entry'!Q141,'Council Entry'!Q$9),'Council Entry'!Q$8),'Council Entry'!Q141)),IF(AND(ISNUMBER('Council Entry'!Q$8),ISNUMBER('Council Entry'!Q$9)),MAX(MIN('Council Entry'!Q141,'Council Entry'!Q$9),'Council Entry'!Q$8),'Council Entry'!Q141))))-'Council Entry'!Q$5)/('Council Entry'!Q$6-'Council Entry'!Q$5),10*((IF('Council Entry'!Q$4="Logarithm",LN(0.001+IF(AND(ISNUMBER('Council Entry'!Q$8),ISNUMBER('Council Entry'!Q$9)),MAX(MIN('Council Entry'!Q141,'Council Entry'!Q$9),'Council Entry'!Q$8),'Council Entry'!Q141)),IF('Council Entry'!Q$4="Exponential",EXP(IF(AND(ISNUMBER('Council Entry'!Q$8),ISNUMBER('Council Entry'!Q$9)),MAX(MIN('Council Entry'!Q141,'Council Entry'!Q$9),'Council Entry'!Q$8),'Council Entry'!Q141)),IF(AND(ISNUMBER('Council Entry'!Q$8),ISNUMBER('Council Entry'!Q$9)),MAX(MIN('Council Entry'!Q141,'Council Entry'!Q$9),'Council Entry'!Q$8),'Council Entry'!Q141))))-'Council Entry'!Q$5)/('Council Entry'!Q$6-'Council Entry'!Q$5)),1))),"No data"))</f>
        <v/>
      </c>
      <c r="R141" s="13">
        <f>IF('Council Entry'!R141="","",IFERROR(MAX(0,MIN(10,ROUND(IF('Council Entry'!R$7="Decrease Risk",10-10*((IF('Council Entry'!R$4="Logarithm",LN(0.001+IF(AND(ISNUMBER('Council Entry'!R$8),ISNUMBER('Council Entry'!R$9)),MAX(MIN('Council Entry'!R141,'Council Entry'!R$9),'Council Entry'!R$8),'Council Entry'!R141)),IF('Council Entry'!R$4="Exponential",EXP(IF(AND(ISNUMBER('Council Entry'!R$8),ISNUMBER('Council Entry'!R$9)),MAX(MIN('Council Entry'!R141,'Council Entry'!R$9),'Council Entry'!R$8),'Council Entry'!R141)),IF(AND(ISNUMBER('Council Entry'!R$8),ISNUMBER('Council Entry'!R$9)),MAX(MIN('Council Entry'!R141,'Council Entry'!R$9),'Council Entry'!R$8),'Council Entry'!R141))))-'Council Entry'!R$5)/('Council Entry'!R$6-'Council Entry'!R$5),10*((IF('Council Entry'!R$4="Logarithm",LN(0.001+IF(AND(ISNUMBER('Council Entry'!R$8),ISNUMBER('Council Entry'!R$9)),MAX(MIN('Council Entry'!R141,'Council Entry'!R$9),'Council Entry'!R$8),'Council Entry'!R141)),IF('Council Entry'!R$4="Exponential",EXP(IF(AND(ISNUMBER('Council Entry'!R$8),ISNUMBER('Council Entry'!R$9)),MAX(MIN('Council Entry'!R141,'Council Entry'!R$9),'Council Entry'!R$8),'Council Entry'!R141)),IF(AND(ISNUMBER('Council Entry'!R$8),ISNUMBER('Council Entry'!R$9)),MAX(MIN('Council Entry'!R141,'Council Entry'!R$9),'Council Entry'!R$8),'Council Entry'!R141))))-'Council Entry'!R$5)/('Council Entry'!R$6-'Council Entry'!R$5)),1))),"No data"))</f>
        <v/>
      </c>
      <c r="S141" s="13">
        <f>IF('Council Entry'!S141="","",IFERROR(MAX(0,MIN(10,ROUND(IF('Council Entry'!S$7="Decrease Risk",10-10*((IF('Council Entry'!S$4="Logarithm",LN(0.001+IF(AND(ISNUMBER('Council Entry'!S$8),ISNUMBER('Council Entry'!S$9)),MAX(MIN('Council Entry'!S141,'Council Entry'!S$9),'Council Entry'!S$8),'Council Entry'!S141)),IF('Council Entry'!S$4="Exponential",EXP(IF(AND(ISNUMBER('Council Entry'!S$8),ISNUMBER('Council Entry'!S$9)),MAX(MIN('Council Entry'!S141,'Council Entry'!S$9),'Council Entry'!S$8),'Council Entry'!S141)),IF(AND(ISNUMBER('Council Entry'!S$8),ISNUMBER('Council Entry'!S$9)),MAX(MIN('Council Entry'!S141,'Council Entry'!S$9),'Council Entry'!S$8),'Council Entry'!S141))))-'Council Entry'!S$5)/('Council Entry'!S$6-'Council Entry'!S$5),10*((IF('Council Entry'!S$4="Logarithm",LN(0.001+IF(AND(ISNUMBER('Council Entry'!S$8),ISNUMBER('Council Entry'!S$9)),MAX(MIN('Council Entry'!S141,'Council Entry'!S$9),'Council Entry'!S$8),'Council Entry'!S141)),IF('Council Entry'!S$4="Exponential",EXP(IF(AND(ISNUMBER('Council Entry'!S$8),ISNUMBER('Council Entry'!S$9)),MAX(MIN('Council Entry'!S141,'Council Entry'!S$9),'Council Entry'!S$8),'Council Entry'!S141)),IF(AND(ISNUMBER('Council Entry'!S$8),ISNUMBER('Council Entry'!S$9)),MAX(MIN('Council Entry'!S141,'Council Entry'!S$9),'Council Entry'!S$8),'Council Entry'!S141))))-'Council Entry'!S$5)/('Council Entry'!S$6-'Council Entry'!S$5)),1))),"No data"))</f>
        <v/>
      </c>
      <c r="T141" s="13">
        <f>IF('Council Entry'!T141="","",IFERROR(MAX(0,MIN(10,ROUND(IF('Council Entry'!T$7="Decrease Risk",10-10*((IF('Council Entry'!T$4="Logarithm",LN(0.001+IF(AND(ISNUMBER('Council Entry'!T$8),ISNUMBER('Council Entry'!T$9)),MAX(MIN('Council Entry'!T141,'Council Entry'!T$9),'Council Entry'!T$8),'Council Entry'!T141)),IF('Council Entry'!T$4="Exponential",EXP(IF(AND(ISNUMBER('Council Entry'!T$8),ISNUMBER('Council Entry'!T$9)),MAX(MIN('Council Entry'!T141,'Council Entry'!T$9),'Council Entry'!T$8),'Council Entry'!T141)),IF(AND(ISNUMBER('Council Entry'!T$8),ISNUMBER('Council Entry'!T$9)),MAX(MIN('Council Entry'!T141,'Council Entry'!T$9),'Council Entry'!T$8),'Council Entry'!T141))))-'Council Entry'!T$5)/('Council Entry'!T$6-'Council Entry'!T$5),10*((IF('Council Entry'!T$4="Logarithm",LN(0.001+IF(AND(ISNUMBER('Council Entry'!T$8),ISNUMBER('Council Entry'!T$9)),MAX(MIN('Council Entry'!T141,'Council Entry'!T$9),'Council Entry'!T$8),'Council Entry'!T141)),IF('Council Entry'!T$4="Exponential",EXP(IF(AND(ISNUMBER('Council Entry'!T$8),ISNUMBER('Council Entry'!T$9)),MAX(MIN('Council Entry'!T141,'Council Entry'!T$9),'Council Entry'!T$8),'Council Entry'!T141)),IF(AND(ISNUMBER('Council Entry'!T$8),ISNUMBER('Council Entry'!T$9)),MAX(MIN('Council Entry'!T141,'Council Entry'!T$9),'Council Entry'!T$8),'Council Entry'!T141))))-'Council Entry'!T$5)/('Council Entry'!T$6-'Council Entry'!T$5)),1))),"No data"))</f>
        <v/>
      </c>
      <c r="U141" s="13">
        <f>IF('Council Entry'!U141="","",IFERROR(MAX(0,MIN(10,ROUND(IF('Council Entry'!U$7="Decrease Risk",10-10*((IF('Council Entry'!U$4="Logarithm",LN(0.001+IF(AND(ISNUMBER('Council Entry'!U$8),ISNUMBER('Council Entry'!U$9)),MAX(MIN('Council Entry'!U141,'Council Entry'!U$9),'Council Entry'!U$8),'Council Entry'!U141)),IF('Council Entry'!U$4="Exponential",EXP(IF(AND(ISNUMBER('Council Entry'!U$8),ISNUMBER('Council Entry'!U$9)),MAX(MIN('Council Entry'!U141,'Council Entry'!U$9),'Council Entry'!U$8),'Council Entry'!U141)),IF(AND(ISNUMBER('Council Entry'!U$8),ISNUMBER('Council Entry'!U$9)),MAX(MIN('Council Entry'!U141,'Council Entry'!U$9),'Council Entry'!U$8),'Council Entry'!U141))))-'Council Entry'!U$5)/('Council Entry'!U$6-'Council Entry'!U$5),10*((IF('Council Entry'!U$4="Logarithm",LN(0.001+IF(AND(ISNUMBER('Council Entry'!U$8),ISNUMBER('Council Entry'!U$9)),MAX(MIN('Council Entry'!U141,'Council Entry'!U$9),'Council Entry'!U$8),'Council Entry'!U141)),IF('Council Entry'!U$4="Exponential",EXP(IF(AND(ISNUMBER('Council Entry'!U$8),ISNUMBER('Council Entry'!U$9)),MAX(MIN('Council Entry'!U141,'Council Entry'!U$9),'Council Entry'!U$8),'Council Entry'!U141)),IF(AND(ISNUMBER('Council Entry'!U$8),ISNUMBER('Council Entry'!U$9)),MAX(MIN('Council Entry'!U141,'Council Entry'!U$9),'Council Entry'!U$8),'Council Entry'!U141))))-'Council Entry'!U$5)/('Council Entry'!U$6-'Council Entry'!U$5)),1))),"No data"))</f>
        <v/>
      </c>
      <c r="V141" s="13">
        <f>IF('Council Entry'!V141="","",IFERROR(MAX(0,MIN(10,ROUND(IF('Council Entry'!V$7="Decrease Risk",10-10*((IF('Council Entry'!V$4="Logarithm",LN(0.001+IF(AND(ISNUMBER('Council Entry'!V$8),ISNUMBER('Council Entry'!V$9)),MAX(MIN('Council Entry'!V141,'Council Entry'!V$9),'Council Entry'!V$8),'Council Entry'!V141)),IF('Council Entry'!V$4="Exponential",EXP(IF(AND(ISNUMBER('Council Entry'!V$8),ISNUMBER('Council Entry'!V$9)),MAX(MIN('Council Entry'!V141,'Council Entry'!V$9),'Council Entry'!V$8),'Council Entry'!V141)),IF(AND(ISNUMBER('Council Entry'!V$8),ISNUMBER('Council Entry'!V$9)),MAX(MIN('Council Entry'!V141,'Council Entry'!V$9),'Council Entry'!V$8),'Council Entry'!V141))))-'Council Entry'!V$5)/('Council Entry'!V$6-'Council Entry'!V$5),10*((IF('Council Entry'!V$4="Logarithm",LN(0.001+IF(AND(ISNUMBER('Council Entry'!V$8),ISNUMBER('Council Entry'!V$9)),MAX(MIN('Council Entry'!V141,'Council Entry'!V$9),'Council Entry'!V$8),'Council Entry'!V141)),IF('Council Entry'!V$4="Exponential",EXP(IF(AND(ISNUMBER('Council Entry'!V$8),ISNUMBER('Council Entry'!V$9)),MAX(MIN('Council Entry'!V141,'Council Entry'!V$9),'Council Entry'!V$8),'Council Entry'!V141)),IF(AND(ISNUMBER('Council Entry'!V$8),ISNUMBER('Council Entry'!V$9)),MAX(MIN('Council Entry'!V141,'Council Entry'!V$9),'Council Entry'!V$8),'Council Entry'!V141))))-'Council Entry'!V$5)/('Council Entry'!V$6-'Council Entry'!V$5)),1))),"No data"))</f>
        <v/>
      </c>
      <c r="W141" s="13">
        <f>IF('Council Entry'!W141="","",IFERROR(MAX(0,MIN(10,ROUND(IF('Council Entry'!W$7="Decrease Risk",10-10*((IF('Council Entry'!W$4="Logarithm",LN(0.001+IF(AND(ISNUMBER('Council Entry'!W$8),ISNUMBER('Council Entry'!W$9)),MAX(MIN('Council Entry'!W141,'Council Entry'!W$9),'Council Entry'!W$8),'Council Entry'!W141)),IF('Council Entry'!W$4="Exponential",EXP(IF(AND(ISNUMBER('Council Entry'!W$8),ISNUMBER('Council Entry'!W$9)),MAX(MIN('Council Entry'!W141,'Council Entry'!W$9),'Council Entry'!W$8),'Council Entry'!W141)),IF(AND(ISNUMBER('Council Entry'!W$8),ISNUMBER('Council Entry'!W$9)),MAX(MIN('Council Entry'!W141,'Council Entry'!W$9),'Council Entry'!W$8),'Council Entry'!W141))))-'Council Entry'!W$5)/('Council Entry'!W$6-'Council Entry'!W$5),10*((IF('Council Entry'!W$4="Logarithm",LN(0.001+IF(AND(ISNUMBER('Council Entry'!W$8),ISNUMBER('Council Entry'!W$9)),MAX(MIN('Council Entry'!W141,'Council Entry'!W$9),'Council Entry'!W$8),'Council Entry'!W141)),IF('Council Entry'!W$4="Exponential",EXP(IF(AND(ISNUMBER('Council Entry'!W$8),ISNUMBER('Council Entry'!W$9)),MAX(MIN('Council Entry'!W141,'Council Entry'!W$9),'Council Entry'!W$8),'Council Entry'!W141)),IF(AND(ISNUMBER('Council Entry'!W$8),ISNUMBER('Council Entry'!W$9)),MAX(MIN('Council Entry'!W141,'Council Entry'!W$9),'Council Entry'!W$8),'Council Entry'!W141))))-'Council Entry'!W$5)/('Council Entry'!W$6-'Council Entry'!W$5)),1))),"No data"))</f>
        <v/>
      </c>
      <c r="X141" s="13">
        <f>IF('Council Entry'!X141="","",IFERROR(MAX(0,MIN(10,ROUND(IF('Council Entry'!X$7="Decrease Risk",10-10*((IF('Council Entry'!X$4="Logarithm",LN(0.001+IF(AND(ISNUMBER('Council Entry'!X$8),ISNUMBER('Council Entry'!X$9)),MAX(MIN('Council Entry'!X141,'Council Entry'!X$9),'Council Entry'!X$8),'Council Entry'!X141)),IF('Council Entry'!X$4="Exponential",EXP(IF(AND(ISNUMBER('Council Entry'!X$8),ISNUMBER('Council Entry'!X$9)),MAX(MIN('Council Entry'!X141,'Council Entry'!X$9),'Council Entry'!X$8),'Council Entry'!X141)),IF(AND(ISNUMBER('Council Entry'!X$8),ISNUMBER('Council Entry'!X$9)),MAX(MIN('Council Entry'!X141,'Council Entry'!X$9),'Council Entry'!X$8),'Council Entry'!X141))))-'Council Entry'!X$5)/('Council Entry'!X$6-'Council Entry'!X$5),10*((IF('Council Entry'!X$4="Logarithm",LN(0.001+IF(AND(ISNUMBER('Council Entry'!X$8),ISNUMBER('Council Entry'!X$9)),MAX(MIN('Council Entry'!X141,'Council Entry'!X$9),'Council Entry'!X$8),'Council Entry'!X141)),IF('Council Entry'!X$4="Exponential",EXP(IF(AND(ISNUMBER('Council Entry'!X$8),ISNUMBER('Council Entry'!X$9)),MAX(MIN('Council Entry'!X141,'Council Entry'!X$9),'Council Entry'!X$8),'Council Entry'!X141)),IF(AND(ISNUMBER('Council Entry'!X$8),ISNUMBER('Council Entry'!X$9)),MAX(MIN('Council Entry'!X141,'Council Entry'!X$9),'Council Entry'!X$8),'Council Entry'!X141))))-'Council Entry'!X$5)/('Council Entry'!X$6-'Council Entry'!X$5)),1))),"No data"))</f>
        <v/>
      </c>
      <c r="Y141" s="13">
        <f>IF('Council Entry'!Y141="","",IFERROR(MAX(0,MIN(10,ROUND(IF('Council Entry'!Y$7="Decrease Risk",10-10*((IF('Council Entry'!Y$4="Logarithm",LN(0.001+IF(AND(ISNUMBER('Council Entry'!Y$8),ISNUMBER('Council Entry'!Y$9)),MAX(MIN('Council Entry'!Y141,'Council Entry'!Y$9),'Council Entry'!Y$8),'Council Entry'!Y141)),IF('Council Entry'!Y$4="Exponential",EXP(IF(AND(ISNUMBER('Council Entry'!Y$8),ISNUMBER('Council Entry'!Y$9)),MAX(MIN('Council Entry'!Y141,'Council Entry'!Y$9),'Council Entry'!Y$8),'Council Entry'!Y141)),IF(AND(ISNUMBER('Council Entry'!Y$8),ISNUMBER('Council Entry'!Y$9)),MAX(MIN('Council Entry'!Y141,'Council Entry'!Y$9),'Council Entry'!Y$8),'Council Entry'!Y141))))-'Council Entry'!Y$5)/('Council Entry'!Y$6-'Council Entry'!Y$5),10*((IF('Council Entry'!Y$4="Logarithm",LN(0.001+IF(AND(ISNUMBER('Council Entry'!Y$8),ISNUMBER('Council Entry'!Y$9)),MAX(MIN('Council Entry'!Y141,'Council Entry'!Y$9),'Council Entry'!Y$8),'Council Entry'!Y141)),IF('Council Entry'!Y$4="Exponential",EXP(IF(AND(ISNUMBER('Council Entry'!Y$8),ISNUMBER('Council Entry'!Y$9)),MAX(MIN('Council Entry'!Y141,'Council Entry'!Y$9),'Council Entry'!Y$8),'Council Entry'!Y141)),IF(AND(ISNUMBER('Council Entry'!Y$8),ISNUMBER('Council Entry'!Y$9)),MAX(MIN('Council Entry'!Y141,'Council Entry'!Y$9),'Council Entry'!Y$8),'Council Entry'!Y141))))-'Council Entry'!Y$5)/('Council Entry'!Y$6-'Council Entry'!Y$5)),1))),"No data"))</f>
        <v/>
      </c>
      <c r="Z141" s="13">
        <f>IF('Council Entry'!Z141="","",IFERROR(MAX(0,MIN(10,ROUND(IF('Council Entry'!Z$7="Decrease Risk",10-10*((IF('Council Entry'!Z$4="Logarithm",LN(0.001+IF(AND(ISNUMBER('Council Entry'!Z$8),ISNUMBER('Council Entry'!Z$9)),MAX(MIN('Council Entry'!Z141,'Council Entry'!Z$9),'Council Entry'!Z$8),'Council Entry'!Z141)),IF('Council Entry'!Z$4="Exponential",EXP(IF(AND(ISNUMBER('Council Entry'!Z$8),ISNUMBER('Council Entry'!Z$9)),MAX(MIN('Council Entry'!Z141,'Council Entry'!Z$9),'Council Entry'!Z$8),'Council Entry'!Z141)),IF(AND(ISNUMBER('Council Entry'!Z$8),ISNUMBER('Council Entry'!Z$9)),MAX(MIN('Council Entry'!Z141,'Council Entry'!Z$9),'Council Entry'!Z$8),'Council Entry'!Z141))))-'Council Entry'!Z$5)/('Council Entry'!Z$6-'Council Entry'!Z$5),10*((IF('Council Entry'!Z$4="Logarithm",LN(0.001+IF(AND(ISNUMBER('Council Entry'!Z$8),ISNUMBER('Council Entry'!Z$9)),MAX(MIN('Council Entry'!Z141,'Council Entry'!Z$9),'Council Entry'!Z$8),'Council Entry'!Z141)),IF('Council Entry'!Z$4="Exponential",EXP(IF(AND(ISNUMBER('Council Entry'!Z$8),ISNUMBER('Council Entry'!Z$9)),MAX(MIN('Council Entry'!Z141,'Council Entry'!Z$9),'Council Entry'!Z$8),'Council Entry'!Z141)),IF(AND(ISNUMBER('Council Entry'!Z$8),ISNUMBER('Council Entry'!Z$9)),MAX(MIN('Council Entry'!Z141,'Council Entry'!Z$9),'Council Entry'!Z$8),'Council Entry'!Z141))))-'Council Entry'!Z$5)/('Council Entry'!Z$6-'Council Entry'!Z$5)),1))),"No data"))</f>
        <v/>
      </c>
      <c r="AA141" s="13">
        <f>IF('Council Entry'!AA141="","",IFERROR(MAX(0,MIN(10,ROUND(IF('Council Entry'!AA$7="Decrease Risk",10-10*((IF('Council Entry'!AA$4="Logarithm",LN(0.001+IF(AND(ISNUMBER('Council Entry'!AA$8),ISNUMBER('Council Entry'!AA$9)),MAX(MIN('Council Entry'!AA141,'Council Entry'!AA$9),'Council Entry'!AA$8),'Council Entry'!AA141)),IF('Council Entry'!AA$4="Exponential",EXP(IF(AND(ISNUMBER('Council Entry'!AA$8),ISNUMBER('Council Entry'!AA$9)),MAX(MIN('Council Entry'!AA141,'Council Entry'!AA$9),'Council Entry'!AA$8),'Council Entry'!AA141)),IF(AND(ISNUMBER('Council Entry'!AA$8),ISNUMBER('Council Entry'!AA$9)),MAX(MIN('Council Entry'!AA141,'Council Entry'!AA$9),'Council Entry'!AA$8),'Council Entry'!AA141))))-'Council Entry'!AA$5)/('Council Entry'!AA$6-'Council Entry'!AA$5),10*((IF('Council Entry'!AA$4="Logarithm",LN(0.001+IF(AND(ISNUMBER('Council Entry'!AA$8),ISNUMBER('Council Entry'!AA$9)),MAX(MIN('Council Entry'!AA141,'Council Entry'!AA$9),'Council Entry'!AA$8),'Council Entry'!AA141)),IF('Council Entry'!AA$4="Exponential",EXP(IF(AND(ISNUMBER('Council Entry'!AA$8),ISNUMBER('Council Entry'!AA$9)),MAX(MIN('Council Entry'!AA141,'Council Entry'!AA$9),'Council Entry'!AA$8),'Council Entry'!AA141)),IF(AND(ISNUMBER('Council Entry'!AA$8),ISNUMBER('Council Entry'!AA$9)),MAX(MIN('Council Entry'!AA141,'Council Entry'!AA$9),'Council Entry'!AA$8),'Council Entry'!AA141))))-'Council Entry'!AA$5)/('Council Entry'!AA$6-'Council Entry'!AA$5)),1))),"No data"))</f>
        <v/>
      </c>
      <c r="AB141" s="13">
        <f>IF('Council Entry'!AB141="","",IFERROR(MAX(0,MIN(10,ROUND(IF('Council Entry'!AB$7="Decrease Risk",10-10*((IF('Council Entry'!AB$4="Logarithm",LN(0.001+IF(AND(ISNUMBER('Council Entry'!AB$8),ISNUMBER('Council Entry'!AB$9)),MAX(MIN('Council Entry'!AB141,'Council Entry'!AB$9),'Council Entry'!AB$8),'Council Entry'!AB141)),IF('Council Entry'!AB$4="Exponential",EXP(IF(AND(ISNUMBER('Council Entry'!AB$8),ISNUMBER('Council Entry'!AB$9)),MAX(MIN('Council Entry'!AB141,'Council Entry'!AB$9),'Council Entry'!AB$8),'Council Entry'!AB141)),IF(AND(ISNUMBER('Council Entry'!AB$8),ISNUMBER('Council Entry'!AB$9)),MAX(MIN('Council Entry'!AB141,'Council Entry'!AB$9),'Council Entry'!AB$8),'Council Entry'!AB141))))-'Council Entry'!AB$5)/('Council Entry'!AB$6-'Council Entry'!AB$5),10*((IF('Council Entry'!AB$4="Logarithm",LN(0.001+IF(AND(ISNUMBER('Council Entry'!AB$8),ISNUMBER('Council Entry'!AB$9)),MAX(MIN('Council Entry'!AB141,'Council Entry'!AB$9),'Council Entry'!AB$8),'Council Entry'!AB141)),IF('Council Entry'!AB$4="Exponential",EXP(IF(AND(ISNUMBER('Council Entry'!AB$8),ISNUMBER('Council Entry'!AB$9)),MAX(MIN('Council Entry'!AB141,'Council Entry'!AB$9),'Council Entry'!AB$8),'Council Entry'!AB141)),IF(AND(ISNUMBER('Council Entry'!AB$8),ISNUMBER('Council Entry'!AB$9)),MAX(MIN('Council Entry'!AB141,'Council Entry'!AB$9),'Council Entry'!AB$8),'Council Entry'!AB141))))-'Council Entry'!AB$5)/('Council Entry'!AB$6-'Council Entry'!AB$5)),1))),"No data"))</f>
        <v/>
      </c>
      <c r="AC141" s="13">
        <f>IF('Council Entry'!AC141="","",IFERROR(MAX(0,MIN(10,ROUND(IF('Council Entry'!AC$7="Decrease Risk",10-10*((IF('Council Entry'!AC$4="Logarithm",LN(0.001+IF(AND(ISNUMBER('Council Entry'!AC$8),ISNUMBER('Council Entry'!AC$9)),MAX(MIN('Council Entry'!AC141,'Council Entry'!AC$9),'Council Entry'!AC$8),'Council Entry'!AC141)),IF('Council Entry'!AC$4="Exponential",EXP(IF(AND(ISNUMBER('Council Entry'!AC$8),ISNUMBER('Council Entry'!AC$9)),MAX(MIN('Council Entry'!AC141,'Council Entry'!AC$9),'Council Entry'!AC$8),'Council Entry'!AC141)),IF(AND(ISNUMBER('Council Entry'!AC$8),ISNUMBER('Council Entry'!AC$9)),MAX(MIN('Council Entry'!AC141,'Council Entry'!AC$9),'Council Entry'!AC$8),'Council Entry'!AC141))))-'Council Entry'!AC$5)/('Council Entry'!AC$6-'Council Entry'!AC$5),10*((IF('Council Entry'!AC$4="Logarithm",LN(0.001+IF(AND(ISNUMBER('Council Entry'!AC$8),ISNUMBER('Council Entry'!AC$9)),MAX(MIN('Council Entry'!AC141,'Council Entry'!AC$9),'Council Entry'!AC$8),'Council Entry'!AC141)),IF('Council Entry'!AC$4="Exponential",EXP(IF(AND(ISNUMBER('Council Entry'!AC$8),ISNUMBER('Council Entry'!AC$9)),MAX(MIN('Council Entry'!AC141,'Council Entry'!AC$9),'Council Entry'!AC$8),'Council Entry'!AC141)),IF(AND(ISNUMBER('Council Entry'!AC$8),ISNUMBER('Council Entry'!AC$9)),MAX(MIN('Council Entry'!AC141,'Council Entry'!AC$9),'Council Entry'!AC$8),'Council Entry'!AC141))))-'Council Entry'!AC$5)/('Council Entry'!AC$6-'Council Entry'!AC$5)),1))),"No data"))</f>
        <v/>
      </c>
      <c r="AD141" s="13">
        <f>IF('Council Entry'!AD141="","",IFERROR(MAX(0,MIN(10,ROUND(IF('Council Entry'!AD$7="Decrease Risk",10-10*((IF('Council Entry'!AD$4="Logarithm",LN(0.001+IF(AND(ISNUMBER('Council Entry'!AD$8),ISNUMBER('Council Entry'!AD$9)),MAX(MIN('Council Entry'!AD141,'Council Entry'!AD$9),'Council Entry'!AD$8),'Council Entry'!AD141)),IF('Council Entry'!AD$4="Exponential",EXP(IF(AND(ISNUMBER('Council Entry'!AD$8),ISNUMBER('Council Entry'!AD$9)),MAX(MIN('Council Entry'!AD141,'Council Entry'!AD$9),'Council Entry'!AD$8),'Council Entry'!AD141)),IF(AND(ISNUMBER('Council Entry'!AD$8),ISNUMBER('Council Entry'!AD$9)),MAX(MIN('Council Entry'!AD141,'Council Entry'!AD$9),'Council Entry'!AD$8),'Council Entry'!AD141))))-'Council Entry'!AD$5)/('Council Entry'!AD$6-'Council Entry'!AD$5),10*((IF('Council Entry'!AD$4="Logarithm",LN(0.001+IF(AND(ISNUMBER('Council Entry'!AD$8),ISNUMBER('Council Entry'!AD$9)),MAX(MIN('Council Entry'!AD141,'Council Entry'!AD$9),'Council Entry'!AD$8),'Council Entry'!AD141)),IF('Council Entry'!AD$4="Exponential",EXP(IF(AND(ISNUMBER('Council Entry'!AD$8),ISNUMBER('Council Entry'!AD$9)),MAX(MIN('Council Entry'!AD141,'Council Entry'!AD$9),'Council Entry'!AD$8),'Council Entry'!AD141)),IF(AND(ISNUMBER('Council Entry'!AD$8),ISNUMBER('Council Entry'!AD$9)),MAX(MIN('Council Entry'!AD141,'Council Entry'!AD$9),'Council Entry'!AD$8),'Council Entry'!AD141))))-'Council Entry'!AD$5)/('Council Entry'!AD$6-'Council Entry'!AD$5)),1))),"No data"))</f>
        <v/>
      </c>
      <c r="AE141" s="13">
        <f>IF('Council Entry'!AE141="","",IFERROR(MAX(0,MIN(10,ROUND(IF('Council Entry'!AE$7="Decrease Risk",10-10*((IF('Council Entry'!AE$4="Logarithm",LN(0.001+IF(AND(ISNUMBER('Council Entry'!AE$8),ISNUMBER('Council Entry'!AE$9)),MAX(MIN('Council Entry'!AE141,'Council Entry'!AE$9),'Council Entry'!AE$8),'Council Entry'!AE141)),IF('Council Entry'!AE$4="Exponential",EXP(IF(AND(ISNUMBER('Council Entry'!AE$8),ISNUMBER('Council Entry'!AE$9)),MAX(MIN('Council Entry'!AE141,'Council Entry'!AE$9),'Council Entry'!AE$8),'Council Entry'!AE141)),IF(AND(ISNUMBER('Council Entry'!AE$8),ISNUMBER('Council Entry'!AE$9)),MAX(MIN('Council Entry'!AE141,'Council Entry'!AE$9),'Council Entry'!AE$8),'Council Entry'!AE141))))-'Council Entry'!AE$5)/('Council Entry'!AE$6-'Council Entry'!AE$5),10*((IF('Council Entry'!AE$4="Logarithm",LN(0.001+IF(AND(ISNUMBER('Council Entry'!AE$8),ISNUMBER('Council Entry'!AE$9)),MAX(MIN('Council Entry'!AE141,'Council Entry'!AE$9),'Council Entry'!AE$8),'Council Entry'!AE141)),IF('Council Entry'!AE$4="Exponential",EXP(IF(AND(ISNUMBER('Council Entry'!AE$8),ISNUMBER('Council Entry'!AE$9)),MAX(MIN('Council Entry'!AE141,'Council Entry'!AE$9),'Council Entry'!AE$8),'Council Entry'!AE141)),IF(AND(ISNUMBER('Council Entry'!AE$8),ISNUMBER('Council Entry'!AE$9)),MAX(MIN('Council Entry'!AE141,'Council Entry'!AE$9),'Council Entry'!AE$8),'Council Entry'!AE141))))-'Council Entry'!AE$5)/('Council Entry'!AE$6-'Council Entry'!AE$5)),1))),"No data"))</f>
        <v/>
      </c>
      <c r="AF141" s="13">
        <f>IF('Council Entry'!AF141="","",IFERROR(MAX(0,MIN(10,ROUND(IF('Council Entry'!AF$7="Decrease Risk",10-10*((IF('Council Entry'!AF$4="Logarithm",LN(0.001+IF(AND(ISNUMBER('Council Entry'!AF$8),ISNUMBER('Council Entry'!AF$9)),MAX(MIN('Council Entry'!AF141,'Council Entry'!AF$9),'Council Entry'!AF$8),'Council Entry'!AF141)),IF('Council Entry'!AF$4="Exponential",EXP(IF(AND(ISNUMBER('Council Entry'!AF$8),ISNUMBER('Council Entry'!AF$9)),MAX(MIN('Council Entry'!AF141,'Council Entry'!AF$9),'Council Entry'!AF$8),'Council Entry'!AF141)),IF(AND(ISNUMBER('Council Entry'!AF$8),ISNUMBER('Council Entry'!AF$9)),MAX(MIN('Council Entry'!AF141,'Council Entry'!AF$9),'Council Entry'!AF$8),'Council Entry'!AF141))))-'Council Entry'!AF$5)/('Council Entry'!AF$6-'Council Entry'!AF$5),10*((IF('Council Entry'!AF$4="Logarithm",LN(0.001+IF(AND(ISNUMBER('Council Entry'!AF$8),ISNUMBER('Council Entry'!AF$9)),MAX(MIN('Council Entry'!AF141,'Council Entry'!AF$9),'Council Entry'!AF$8),'Council Entry'!AF141)),IF('Council Entry'!AF$4="Exponential",EXP(IF(AND(ISNUMBER('Council Entry'!AF$8),ISNUMBER('Council Entry'!AF$9)),MAX(MIN('Council Entry'!AF141,'Council Entry'!AF$9),'Council Entry'!AF$8),'Council Entry'!AF141)),IF(AND(ISNUMBER('Council Entry'!AF$8),ISNUMBER('Council Entry'!AF$9)),MAX(MIN('Council Entry'!AF141,'Council Entry'!AF$9),'Council Entry'!AF$8),'Council Entry'!AF141))))-'Council Entry'!AF$5)/('Council Entry'!AF$6-'Council Entry'!AF$5)),1))),"No data"))</f>
        <v/>
      </c>
      <c r="AG141" s="13">
        <f>IF('Council Entry'!AG141="","",IFERROR(MAX(0,MIN(10,ROUND(IF('Council Entry'!AG$7="Decrease Risk",10-10*((IF('Council Entry'!AG$4="Logarithm",LN(0.001+IF(AND(ISNUMBER('Council Entry'!AG$8),ISNUMBER('Council Entry'!AG$9)),MAX(MIN('Council Entry'!AG141,'Council Entry'!AG$9),'Council Entry'!AG$8),'Council Entry'!AG141)),IF('Council Entry'!AG$4="Exponential",EXP(IF(AND(ISNUMBER('Council Entry'!AG$8),ISNUMBER('Council Entry'!AG$9)),MAX(MIN('Council Entry'!AG141,'Council Entry'!AG$9),'Council Entry'!AG$8),'Council Entry'!AG141)),IF(AND(ISNUMBER('Council Entry'!AG$8),ISNUMBER('Council Entry'!AG$9)),MAX(MIN('Council Entry'!AG141,'Council Entry'!AG$9),'Council Entry'!AG$8),'Council Entry'!AG141))))-'Council Entry'!AG$5)/('Council Entry'!AG$6-'Council Entry'!AG$5),10*((IF('Council Entry'!AG$4="Logarithm",LN(0.001+IF(AND(ISNUMBER('Council Entry'!AG$8),ISNUMBER('Council Entry'!AG$9)),MAX(MIN('Council Entry'!AG141,'Council Entry'!AG$9),'Council Entry'!AG$8),'Council Entry'!AG141)),IF('Council Entry'!AG$4="Exponential",EXP(IF(AND(ISNUMBER('Council Entry'!AG$8),ISNUMBER('Council Entry'!AG$9)),MAX(MIN('Council Entry'!AG141,'Council Entry'!AG$9),'Council Entry'!AG$8),'Council Entry'!AG141)),IF(AND(ISNUMBER('Council Entry'!AG$8),ISNUMBER('Council Entry'!AG$9)),MAX(MIN('Council Entry'!AG141,'Council Entry'!AG$9),'Council Entry'!AG$8),'Council Entry'!AG141))))-'Council Entry'!AG$5)/('Council Entry'!AG$6-'Council Entry'!AG$5)),1))),"No data"))</f>
        <v/>
      </c>
      <c r="AH141" s="13">
        <f>IF('Council Entry'!AH141="","",IFERROR(MAX(0,MIN(10,ROUND(IF('Council Entry'!AH$7="Decrease Risk",10-10*((IF('Council Entry'!AH$4="Logarithm",LN(0.001+IF(AND(ISNUMBER('Council Entry'!AH$8),ISNUMBER('Council Entry'!AH$9)),MAX(MIN('Council Entry'!AH141,'Council Entry'!AH$9),'Council Entry'!AH$8),'Council Entry'!AH141)),IF('Council Entry'!AH$4="Exponential",EXP(IF(AND(ISNUMBER('Council Entry'!AH$8),ISNUMBER('Council Entry'!AH$9)),MAX(MIN('Council Entry'!AH141,'Council Entry'!AH$9),'Council Entry'!AH$8),'Council Entry'!AH141)),IF(AND(ISNUMBER('Council Entry'!AH$8),ISNUMBER('Council Entry'!AH$9)),MAX(MIN('Council Entry'!AH141,'Council Entry'!AH$9),'Council Entry'!AH$8),'Council Entry'!AH141))))-'Council Entry'!AH$5)/('Council Entry'!AH$6-'Council Entry'!AH$5),10*((IF('Council Entry'!AH$4="Logarithm",LN(0.001+IF(AND(ISNUMBER('Council Entry'!AH$8),ISNUMBER('Council Entry'!AH$9)),MAX(MIN('Council Entry'!AH141,'Council Entry'!AH$9),'Council Entry'!AH$8),'Council Entry'!AH141)),IF('Council Entry'!AH$4="Exponential",EXP(IF(AND(ISNUMBER('Council Entry'!AH$8),ISNUMBER('Council Entry'!AH$9)),MAX(MIN('Council Entry'!AH141,'Council Entry'!AH$9),'Council Entry'!AH$8),'Council Entry'!AH141)),IF(AND(ISNUMBER('Council Entry'!AH$8),ISNUMBER('Council Entry'!AH$9)),MAX(MIN('Council Entry'!AH141,'Council Entry'!AH$9),'Council Entry'!AH$8),'Council Entry'!AH141))))-'Council Entry'!AH$5)/('Council Entry'!AH$6-'Council Entry'!AH$5)),1))),"No data"))</f>
        <v/>
      </c>
      <c r="AI141" s="13">
        <f>IF('Council Entry'!AI141="","",IFERROR(MAX(0,MIN(10,ROUND(IF('Council Entry'!AI$7="Decrease Risk",10-10*((IF('Council Entry'!AI$4="Logarithm",LN(0.001+IF(AND(ISNUMBER('Council Entry'!AI$8),ISNUMBER('Council Entry'!AI$9)),MAX(MIN('Council Entry'!AI141,'Council Entry'!AI$9),'Council Entry'!AI$8),'Council Entry'!AI141)),IF('Council Entry'!AI$4="Exponential",EXP(IF(AND(ISNUMBER('Council Entry'!AI$8),ISNUMBER('Council Entry'!AI$9)),MAX(MIN('Council Entry'!AI141,'Council Entry'!AI$9),'Council Entry'!AI$8),'Council Entry'!AI141)),IF(AND(ISNUMBER('Council Entry'!AI$8),ISNUMBER('Council Entry'!AI$9)),MAX(MIN('Council Entry'!AI141,'Council Entry'!AI$9),'Council Entry'!AI$8),'Council Entry'!AI141))))-'Council Entry'!AI$5)/('Council Entry'!AI$6-'Council Entry'!AI$5),10*((IF('Council Entry'!AI$4="Logarithm",LN(0.001+IF(AND(ISNUMBER('Council Entry'!AI$8),ISNUMBER('Council Entry'!AI$9)),MAX(MIN('Council Entry'!AI141,'Council Entry'!AI$9),'Council Entry'!AI$8),'Council Entry'!AI141)),IF('Council Entry'!AI$4="Exponential",EXP(IF(AND(ISNUMBER('Council Entry'!AI$8),ISNUMBER('Council Entry'!AI$9)),MAX(MIN('Council Entry'!AI141,'Council Entry'!AI$9),'Council Entry'!AI$8),'Council Entry'!AI141)),IF(AND(ISNUMBER('Council Entry'!AI$8),ISNUMBER('Council Entry'!AI$9)),MAX(MIN('Council Entry'!AI141,'Council Entry'!AI$9),'Council Entry'!AI$8),'Council Entry'!AI141))))-'Council Entry'!AI$5)/('Council Entry'!AI$6-'Council Entry'!AI$5)),1))),"No data"))</f>
        <v/>
      </c>
      <c r="AJ141" s="13">
        <f>IF('Council Entry'!AJ141="","",IFERROR(MAX(0,MIN(10,ROUND(IF('Council Entry'!AJ$7="Decrease Risk",10-10*((IF('Council Entry'!AJ$4="Logarithm",LN(0.001+IF(AND(ISNUMBER('Council Entry'!AJ$8),ISNUMBER('Council Entry'!AJ$9)),MAX(MIN('Council Entry'!AJ141,'Council Entry'!AJ$9),'Council Entry'!AJ$8),'Council Entry'!AJ141)),IF('Council Entry'!AJ$4="Exponential",EXP(IF(AND(ISNUMBER('Council Entry'!AJ$8),ISNUMBER('Council Entry'!AJ$9)),MAX(MIN('Council Entry'!AJ141,'Council Entry'!AJ$9),'Council Entry'!AJ$8),'Council Entry'!AJ141)),IF(AND(ISNUMBER('Council Entry'!AJ$8),ISNUMBER('Council Entry'!AJ$9)),MAX(MIN('Council Entry'!AJ141,'Council Entry'!AJ$9),'Council Entry'!AJ$8),'Council Entry'!AJ141))))-'Council Entry'!AJ$5)/('Council Entry'!AJ$6-'Council Entry'!AJ$5),10*((IF('Council Entry'!AJ$4="Logarithm",LN(0.001+IF(AND(ISNUMBER('Council Entry'!AJ$8),ISNUMBER('Council Entry'!AJ$9)),MAX(MIN('Council Entry'!AJ141,'Council Entry'!AJ$9),'Council Entry'!AJ$8),'Council Entry'!AJ141)),IF('Council Entry'!AJ$4="Exponential",EXP(IF(AND(ISNUMBER('Council Entry'!AJ$8),ISNUMBER('Council Entry'!AJ$9)),MAX(MIN('Council Entry'!AJ141,'Council Entry'!AJ$9),'Council Entry'!AJ$8),'Council Entry'!AJ141)),IF(AND(ISNUMBER('Council Entry'!AJ$8),ISNUMBER('Council Entry'!AJ$9)),MAX(MIN('Council Entry'!AJ141,'Council Entry'!AJ$9),'Council Entry'!AJ$8),'Council Entry'!AJ141))))-'Council Entry'!AJ$5)/('Council Entry'!AJ$6-'Council Entry'!AJ$5)),1))),"No data"))</f>
        <v/>
      </c>
      <c r="AK141" s="13">
        <f>IF('Council Entry'!AK141="","",IFERROR(MAX(0,MIN(10,ROUND(IF('Council Entry'!AK$7="Decrease Risk",10-10*((IF('Council Entry'!AK$4="Logarithm",LN(0.001+IF(AND(ISNUMBER('Council Entry'!AK$8),ISNUMBER('Council Entry'!AK$9)),MAX(MIN('Council Entry'!AK141,'Council Entry'!AK$9),'Council Entry'!AK$8),'Council Entry'!AK141)),IF('Council Entry'!AK$4="Exponential",EXP(IF(AND(ISNUMBER('Council Entry'!AK$8),ISNUMBER('Council Entry'!AK$9)),MAX(MIN('Council Entry'!AK141,'Council Entry'!AK$9),'Council Entry'!AK$8),'Council Entry'!AK141)),IF(AND(ISNUMBER('Council Entry'!AK$8),ISNUMBER('Council Entry'!AK$9)),MAX(MIN('Council Entry'!AK141,'Council Entry'!AK$9),'Council Entry'!AK$8),'Council Entry'!AK141))))-'Council Entry'!AK$5)/('Council Entry'!AK$6-'Council Entry'!AK$5),10*((IF('Council Entry'!AK$4="Logarithm",LN(0.001+IF(AND(ISNUMBER('Council Entry'!AK$8),ISNUMBER('Council Entry'!AK$9)),MAX(MIN('Council Entry'!AK141,'Council Entry'!AK$9),'Council Entry'!AK$8),'Council Entry'!AK141)),IF('Council Entry'!AK$4="Exponential",EXP(IF(AND(ISNUMBER('Council Entry'!AK$8),ISNUMBER('Council Entry'!AK$9)),MAX(MIN('Council Entry'!AK141,'Council Entry'!AK$9),'Council Entry'!AK$8),'Council Entry'!AK141)),IF(AND(ISNUMBER('Council Entry'!AK$8),ISNUMBER('Council Entry'!AK$9)),MAX(MIN('Council Entry'!AK141,'Council Entry'!AK$9),'Council Entry'!AK$8),'Council Entry'!AK141))))-'Council Entry'!AK$5)/('Council Entry'!AK$6-'Council Entry'!AK$5)),1))),"No data"))</f>
        <v/>
      </c>
      <c r="AL141" s="13">
        <f>IF('Council Entry'!AL141="","",IFERROR(MAX(0,MIN(10,ROUND(IF('Council Entry'!AL$7="Decrease Risk",10-10*((IF('Council Entry'!AL$4="Logarithm",LN(0.001+IF(AND(ISNUMBER('Council Entry'!AL$8),ISNUMBER('Council Entry'!AL$9)),MAX(MIN('Council Entry'!AL141,'Council Entry'!AL$9),'Council Entry'!AL$8),'Council Entry'!AL141)),IF('Council Entry'!AL$4="Exponential",EXP(IF(AND(ISNUMBER('Council Entry'!AL$8),ISNUMBER('Council Entry'!AL$9)),MAX(MIN('Council Entry'!AL141,'Council Entry'!AL$9),'Council Entry'!AL$8),'Council Entry'!AL141)),IF(AND(ISNUMBER('Council Entry'!AL$8),ISNUMBER('Council Entry'!AL$9)),MAX(MIN('Council Entry'!AL141,'Council Entry'!AL$9),'Council Entry'!AL$8),'Council Entry'!AL141))))-'Council Entry'!AL$5)/('Council Entry'!AL$6-'Council Entry'!AL$5),10*((IF('Council Entry'!AL$4="Logarithm",LN(0.001+IF(AND(ISNUMBER('Council Entry'!AL$8),ISNUMBER('Council Entry'!AL$9)),MAX(MIN('Council Entry'!AL141,'Council Entry'!AL$9),'Council Entry'!AL$8),'Council Entry'!AL141)),IF('Council Entry'!AL$4="Exponential",EXP(IF(AND(ISNUMBER('Council Entry'!AL$8),ISNUMBER('Council Entry'!AL$9)),MAX(MIN('Council Entry'!AL141,'Council Entry'!AL$9),'Council Entry'!AL$8),'Council Entry'!AL141)),IF(AND(ISNUMBER('Council Entry'!AL$8),ISNUMBER('Council Entry'!AL$9)),MAX(MIN('Council Entry'!AL141,'Council Entry'!AL$9),'Council Entry'!AL$8),'Council Entry'!AL141))))-'Council Entry'!AL$5)/('Council Entry'!AL$6-'Council Entry'!AL$5)),1))),"No data"))</f>
        <v/>
      </c>
      <c r="AM141" s="13">
        <f>IF('Council Entry'!AM141="","",IFERROR(MAX(0,MIN(10,ROUND(IF('Council Entry'!AM$7="Decrease Risk",10-10*((IF('Council Entry'!AM$4="Logarithm",LN(0.001+IF(AND(ISNUMBER('Council Entry'!AM$8),ISNUMBER('Council Entry'!AM$9)),MAX(MIN('Council Entry'!AM141,'Council Entry'!AM$9),'Council Entry'!AM$8),'Council Entry'!AM141)),IF('Council Entry'!AM$4="Exponential",EXP(IF(AND(ISNUMBER('Council Entry'!AM$8),ISNUMBER('Council Entry'!AM$9)),MAX(MIN('Council Entry'!AM141,'Council Entry'!AM$9),'Council Entry'!AM$8),'Council Entry'!AM141)),IF(AND(ISNUMBER('Council Entry'!AM$8),ISNUMBER('Council Entry'!AM$9)),MAX(MIN('Council Entry'!AM141,'Council Entry'!AM$9),'Council Entry'!AM$8),'Council Entry'!AM141))))-'Council Entry'!AM$5)/('Council Entry'!AM$6-'Council Entry'!AM$5),10*((IF('Council Entry'!AM$4="Logarithm",LN(0.001+IF(AND(ISNUMBER('Council Entry'!AM$8),ISNUMBER('Council Entry'!AM$9)),MAX(MIN('Council Entry'!AM141,'Council Entry'!AM$9),'Council Entry'!AM$8),'Council Entry'!AM141)),IF('Council Entry'!AM$4="Exponential",EXP(IF(AND(ISNUMBER('Council Entry'!AM$8),ISNUMBER('Council Entry'!AM$9)),MAX(MIN('Council Entry'!AM141,'Council Entry'!AM$9),'Council Entry'!AM$8),'Council Entry'!AM141)),IF(AND(ISNUMBER('Council Entry'!AM$8),ISNUMBER('Council Entry'!AM$9)),MAX(MIN('Council Entry'!AM141,'Council Entry'!AM$9),'Council Entry'!AM$8),'Council Entry'!AM141))))-'Council Entry'!AM$5)/('Council Entry'!AM$6-'Council Entry'!AM$5)),1))),"No data"))</f>
        <v/>
      </c>
      <c r="AN141" s="13">
        <f>IF('Council Entry'!AN141="","",IFERROR(MAX(0,MIN(10,ROUND(IF('Council Entry'!AN$7="Decrease Risk",10-10*((IF('Council Entry'!AN$4="Logarithm",LN(0.001+IF(AND(ISNUMBER('Council Entry'!AN$8),ISNUMBER('Council Entry'!AN$9)),MAX(MIN('Council Entry'!AN141,'Council Entry'!AN$9),'Council Entry'!AN$8),'Council Entry'!AN141)),IF('Council Entry'!AN$4="Exponential",EXP(IF(AND(ISNUMBER('Council Entry'!AN$8),ISNUMBER('Council Entry'!AN$9)),MAX(MIN('Council Entry'!AN141,'Council Entry'!AN$9),'Council Entry'!AN$8),'Council Entry'!AN141)),IF(AND(ISNUMBER('Council Entry'!AN$8),ISNUMBER('Council Entry'!AN$9)),MAX(MIN('Council Entry'!AN141,'Council Entry'!AN$9),'Council Entry'!AN$8),'Council Entry'!AN141))))-'Council Entry'!AN$5)/('Council Entry'!AN$6-'Council Entry'!AN$5),10*((IF('Council Entry'!AN$4="Logarithm",LN(0.001+IF(AND(ISNUMBER('Council Entry'!AN$8),ISNUMBER('Council Entry'!AN$9)),MAX(MIN('Council Entry'!AN141,'Council Entry'!AN$9),'Council Entry'!AN$8),'Council Entry'!AN141)),IF('Council Entry'!AN$4="Exponential",EXP(IF(AND(ISNUMBER('Council Entry'!AN$8),ISNUMBER('Council Entry'!AN$9)),MAX(MIN('Council Entry'!AN141,'Council Entry'!AN$9),'Council Entry'!AN$8),'Council Entry'!AN141)),IF(AND(ISNUMBER('Council Entry'!AN$8),ISNUMBER('Council Entry'!AN$9)),MAX(MIN('Council Entry'!AN141,'Council Entry'!AN$9),'Council Entry'!AN$8),'Council Entry'!AN141))))-'Council Entry'!AN$5)/('Council Entry'!AN$6-'Council Entry'!AN$5)),1))),"No data"))</f>
        <v/>
      </c>
      <c r="AO141" s="13">
        <f>IF('Council Entry'!AO141="","",IFERROR(MAX(0,MIN(10,ROUND(IF('Council Entry'!AO$7="Decrease Risk",10-10*((IF('Council Entry'!AO$4="Logarithm",LN(0.001+IF(AND(ISNUMBER('Council Entry'!AO$8),ISNUMBER('Council Entry'!AO$9)),MAX(MIN('Council Entry'!AO141,'Council Entry'!AO$9),'Council Entry'!AO$8),'Council Entry'!AO141)),IF('Council Entry'!AO$4="Exponential",EXP(IF(AND(ISNUMBER('Council Entry'!AO$8),ISNUMBER('Council Entry'!AO$9)),MAX(MIN('Council Entry'!AO141,'Council Entry'!AO$9),'Council Entry'!AO$8),'Council Entry'!AO141)),IF(AND(ISNUMBER('Council Entry'!AO$8),ISNUMBER('Council Entry'!AO$9)),MAX(MIN('Council Entry'!AO141,'Council Entry'!AO$9),'Council Entry'!AO$8),'Council Entry'!AO141))))-'Council Entry'!AO$5)/('Council Entry'!AO$6-'Council Entry'!AO$5),10*((IF('Council Entry'!AO$4="Logarithm",LN(0.001+IF(AND(ISNUMBER('Council Entry'!AO$8),ISNUMBER('Council Entry'!AO$9)),MAX(MIN('Council Entry'!AO141,'Council Entry'!AO$9),'Council Entry'!AO$8),'Council Entry'!AO141)),IF('Council Entry'!AO$4="Exponential",EXP(IF(AND(ISNUMBER('Council Entry'!AO$8),ISNUMBER('Council Entry'!AO$9)),MAX(MIN('Council Entry'!AO141,'Council Entry'!AO$9),'Council Entry'!AO$8),'Council Entry'!AO141)),IF(AND(ISNUMBER('Council Entry'!AO$8),ISNUMBER('Council Entry'!AO$9)),MAX(MIN('Council Entry'!AO141,'Council Entry'!AO$9),'Council Entry'!AO$8),'Council Entry'!AO141))))-'Council Entry'!AO$5)/('Council Entry'!AO$6-'Council Entry'!AO$5)),1))),"No data"))</f>
        <v/>
      </c>
      <c r="AP141" s="13">
        <f>IF('Council Entry'!AP141="","",IFERROR(MAX(0,MIN(10,ROUND(IF('Council Entry'!AP$7="Decrease Risk",10-10*((IF('Council Entry'!AP$4="Logarithm",LN(0.001+IF(AND(ISNUMBER('Council Entry'!AP$8),ISNUMBER('Council Entry'!AP$9)),MAX(MIN('Council Entry'!AP141,'Council Entry'!AP$9),'Council Entry'!AP$8),'Council Entry'!AP141)),IF('Council Entry'!AP$4="Exponential",EXP(IF(AND(ISNUMBER('Council Entry'!AP$8),ISNUMBER('Council Entry'!AP$9)),MAX(MIN('Council Entry'!AP141,'Council Entry'!AP$9),'Council Entry'!AP$8),'Council Entry'!AP141)),IF(AND(ISNUMBER('Council Entry'!AP$8),ISNUMBER('Council Entry'!AP$9)),MAX(MIN('Council Entry'!AP141,'Council Entry'!AP$9),'Council Entry'!AP$8),'Council Entry'!AP141))))-'Council Entry'!AP$5)/('Council Entry'!AP$6-'Council Entry'!AP$5),10*((IF('Council Entry'!AP$4="Logarithm",LN(0.001+IF(AND(ISNUMBER('Council Entry'!AP$8),ISNUMBER('Council Entry'!AP$9)),MAX(MIN('Council Entry'!AP141,'Council Entry'!AP$9),'Council Entry'!AP$8),'Council Entry'!AP141)),IF('Council Entry'!AP$4="Exponential",EXP(IF(AND(ISNUMBER('Council Entry'!AP$8),ISNUMBER('Council Entry'!AP$9)),MAX(MIN('Council Entry'!AP141,'Council Entry'!AP$9),'Council Entry'!AP$8),'Council Entry'!AP141)),IF(AND(ISNUMBER('Council Entry'!AP$8),ISNUMBER('Council Entry'!AP$9)),MAX(MIN('Council Entry'!AP141,'Council Entry'!AP$9),'Council Entry'!AP$8),'Council Entry'!AP141))))-'Council Entry'!AP$5)/('Council Entry'!AP$6-'Council Entry'!AP$5)),1))),"No data"))</f>
        <v/>
      </c>
      <c r="AQ141" s="13">
        <f>IF('Council Entry'!AQ141="","",IFERROR(MAX(0,MIN(10,ROUND(IF('Council Entry'!AQ$7="Decrease Risk",10-10*((IF('Council Entry'!AQ$4="Logarithm",LN(0.001+IF(AND(ISNUMBER('Council Entry'!AQ$8),ISNUMBER('Council Entry'!AQ$9)),MAX(MIN('Council Entry'!AQ141,'Council Entry'!AQ$9),'Council Entry'!AQ$8),'Council Entry'!AQ141)),IF('Council Entry'!AQ$4="Exponential",EXP(IF(AND(ISNUMBER('Council Entry'!AQ$8),ISNUMBER('Council Entry'!AQ$9)),MAX(MIN('Council Entry'!AQ141,'Council Entry'!AQ$9),'Council Entry'!AQ$8),'Council Entry'!AQ141)),IF(AND(ISNUMBER('Council Entry'!AQ$8),ISNUMBER('Council Entry'!AQ$9)),MAX(MIN('Council Entry'!AQ141,'Council Entry'!AQ$9),'Council Entry'!AQ$8),'Council Entry'!AQ141))))-'Council Entry'!AQ$5)/('Council Entry'!AQ$6-'Council Entry'!AQ$5),10*((IF('Council Entry'!AQ$4="Logarithm",LN(0.001+IF(AND(ISNUMBER('Council Entry'!AQ$8),ISNUMBER('Council Entry'!AQ$9)),MAX(MIN('Council Entry'!AQ141,'Council Entry'!AQ$9),'Council Entry'!AQ$8),'Council Entry'!AQ141)),IF('Council Entry'!AQ$4="Exponential",EXP(IF(AND(ISNUMBER('Council Entry'!AQ$8),ISNUMBER('Council Entry'!AQ$9)),MAX(MIN('Council Entry'!AQ141,'Council Entry'!AQ$9),'Council Entry'!AQ$8),'Council Entry'!AQ141)),IF(AND(ISNUMBER('Council Entry'!AQ$8),ISNUMBER('Council Entry'!AQ$9)),MAX(MIN('Council Entry'!AQ141,'Council Entry'!AQ$9),'Council Entry'!AQ$8),'Council Entry'!AQ141))))-'Council Entry'!AQ$5)/('Council Entry'!AQ$6-'Council Entry'!AQ$5)),1))),"No data"))</f>
        <v/>
      </c>
      <c r="AR141" s="13">
        <f>IF('Council Entry'!AR141="","",IFERROR(MAX(0,MIN(10,ROUND(IF('Council Entry'!AR$7="Decrease Risk",10-10*((IF('Council Entry'!AR$4="Logarithm",LN(0.001+IF(AND(ISNUMBER('Council Entry'!AR$8),ISNUMBER('Council Entry'!AR$9)),MAX(MIN('Council Entry'!AR141,'Council Entry'!AR$9),'Council Entry'!AR$8),'Council Entry'!AR141)),IF('Council Entry'!AR$4="Exponential",EXP(IF(AND(ISNUMBER('Council Entry'!AR$8),ISNUMBER('Council Entry'!AR$9)),MAX(MIN('Council Entry'!AR141,'Council Entry'!AR$9),'Council Entry'!AR$8),'Council Entry'!AR141)),IF(AND(ISNUMBER('Council Entry'!AR$8),ISNUMBER('Council Entry'!AR$9)),MAX(MIN('Council Entry'!AR141,'Council Entry'!AR$9),'Council Entry'!AR$8),'Council Entry'!AR141))))-'Council Entry'!AR$5)/('Council Entry'!AR$6-'Council Entry'!AR$5),10*((IF('Council Entry'!AR$4="Logarithm",LN(0.001+IF(AND(ISNUMBER('Council Entry'!AR$8),ISNUMBER('Council Entry'!AR$9)),MAX(MIN('Council Entry'!AR141,'Council Entry'!AR$9),'Council Entry'!AR$8),'Council Entry'!AR141)),IF('Council Entry'!AR$4="Exponential",EXP(IF(AND(ISNUMBER('Council Entry'!AR$8),ISNUMBER('Council Entry'!AR$9)),MAX(MIN('Council Entry'!AR141,'Council Entry'!AR$9),'Council Entry'!AR$8),'Council Entry'!AR141)),IF(AND(ISNUMBER('Council Entry'!AR$8),ISNUMBER('Council Entry'!AR$9)),MAX(MIN('Council Entry'!AR141,'Council Entry'!AR$9),'Council Entry'!AR$8),'Council Entry'!AR141))))-'Council Entry'!AR$5)/('Council Entry'!AR$6-'Council Entry'!AR$5)),1))),"No data"))</f>
        <v/>
      </c>
      <c r="AS141" s="13">
        <f>IF('Council Entry'!AS141="","",IFERROR(MAX(0,MIN(10,ROUND(IF('Council Entry'!AS$7="Decrease Risk",10-10*((IF('Council Entry'!AS$4="Logarithm",LN(0.001+IF(AND(ISNUMBER('Council Entry'!AS$8),ISNUMBER('Council Entry'!AS$9)),MAX(MIN('Council Entry'!AS141,'Council Entry'!AS$9),'Council Entry'!AS$8),'Council Entry'!AS141)),IF('Council Entry'!AS$4="Exponential",EXP(IF(AND(ISNUMBER('Council Entry'!AS$8),ISNUMBER('Council Entry'!AS$9)),MAX(MIN('Council Entry'!AS141,'Council Entry'!AS$9),'Council Entry'!AS$8),'Council Entry'!AS141)),IF(AND(ISNUMBER('Council Entry'!AS$8),ISNUMBER('Council Entry'!AS$9)),MAX(MIN('Council Entry'!AS141,'Council Entry'!AS$9),'Council Entry'!AS$8),'Council Entry'!AS141))))-'Council Entry'!AS$5)/('Council Entry'!AS$6-'Council Entry'!AS$5),10*((IF('Council Entry'!AS$4="Logarithm",LN(0.001+IF(AND(ISNUMBER('Council Entry'!AS$8),ISNUMBER('Council Entry'!AS$9)),MAX(MIN('Council Entry'!AS141,'Council Entry'!AS$9),'Council Entry'!AS$8),'Council Entry'!AS141)),IF('Council Entry'!AS$4="Exponential",EXP(IF(AND(ISNUMBER('Council Entry'!AS$8),ISNUMBER('Council Entry'!AS$9)),MAX(MIN('Council Entry'!AS141,'Council Entry'!AS$9),'Council Entry'!AS$8),'Council Entry'!AS141)),IF(AND(ISNUMBER('Council Entry'!AS$8),ISNUMBER('Council Entry'!AS$9)),MAX(MIN('Council Entry'!AS141,'Council Entry'!AS$9),'Council Entry'!AS$8),'Council Entry'!AS141))))-'Council Entry'!AS$5)/('Council Entry'!AS$6-'Council Entry'!AS$5)),1))),"No data"))</f>
        <v/>
      </c>
      <c r="AT141" s="13">
        <f>IF('Council Entry'!AT141="","",IFERROR(MAX(0,MIN(10,ROUND(IF('Council Entry'!AT$7="Decrease Risk",10-10*((IF('Council Entry'!AT$4="Logarithm",LN(0.001+IF(AND(ISNUMBER('Council Entry'!AT$8),ISNUMBER('Council Entry'!AT$9)),MAX(MIN('Council Entry'!AT141,'Council Entry'!AT$9),'Council Entry'!AT$8),'Council Entry'!AT141)),IF('Council Entry'!AT$4="Exponential",EXP(IF(AND(ISNUMBER('Council Entry'!AT$8),ISNUMBER('Council Entry'!AT$9)),MAX(MIN('Council Entry'!AT141,'Council Entry'!AT$9),'Council Entry'!AT$8),'Council Entry'!AT141)),IF(AND(ISNUMBER('Council Entry'!AT$8),ISNUMBER('Council Entry'!AT$9)),MAX(MIN('Council Entry'!AT141,'Council Entry'!AT$9),'Council Entry'!AT$8),'Council Entry'!AT141))))-'Council Entry'!AT$5)/('Council Entry'!AT$6-'Council Entry'!AT$5),10*((IF('Council Entry'!AT$4="Logarithm",LN(0.001+IF(AND(ISNUMBER('Council Entry'!AT$8),ISNUMBER('Council Entry'!AT$9)),MAX(MIN('Council Entry'!AT141,'Council Entry'!AT$9),'Council Entry'!AT$8),'Council Entry'!AT141)),IF('Council Entry'!AT$4="Exponential",EXP(IF(AND(ISNUMBER('Council Entry'!AT$8),ISNUMBER('Council Entry'!AT$9)),MAX(MIN('Council Entry'!AT141,'Council Entry'!AT$9),'Council Entry'!AT$8),'Council Entry'!AT141)),IF(AND(ISNUMBER('Council Entry'!AT$8),ISNUMBER('Council Entry'!AT$9)),MAX(MIN('Council Entry'!AT141,'Council Entry'!AT$9),'Council Entry'!AT$8),'Council Entry'!AT141))))-'Council Entry'!AT$5)/('Council Entry'!AT$6-'Council Entry'!AT$5)),1))),"No data"))</f>
        <v/>
      </c>
      <c r="AU141" s="13">
        <f>IF('Council Entry'!AU141="","",IFERROR(MAX(0,MIN(10,ROUND(IF('Council Entry'!AU$7="Decrease Risk",10-10*((IF('Council Entry'!AU$4="Logarithm",LN(0.001+IF(AND(ISNUMBER('Council Entry'!AU$8),ISNUMBER('Council Entry'!AU$9)),MAX(MIN('Council Entry'!AU141,'Council Entry'!AU$9),'Council Entry'!AU$8),'Council Entry'!AU141)),IF('Council Entry'!AU$4="Exponential",EXP(IF(AND(ISNUMBER('Council Entry'!AU$8),ISNUMBER('Council Entry'!AU$9)),MAX(MIN('Council Entry'!AU141,'Council Entry'!AU$9),'Council Entry'!AU$8),'Council Entry'!AU141)),IF(AND(ISNUMBER('Council Entry'!AU$8),ISNUMBER('Council Entry'!AU$9)),MAX(MIN('Council Entry'!AU141,'Council Entry'!AU$9),'Council Entry'!AU$8),'Council Entry'!AU141))))-'Council Entry'!AU$5)/('Council Entry'!AU$6-'Council Entry'!AU$5),10*((IF('Council Entry'!AU$4="Logarithm",LN(0.001+IF(AND(ISNUMBER('Council Entry'!AU$8),ISNUMBER('Council Entry'!AU$9)),MAX(MIN('Council Entry'!AU141,'Council Entry'!AU$9),'Council Entry'!AU$8),'Council Entry'!AU141)),IF('Council Entry'!AU$4="Exponential",EXP(IF(AND(ISNUMBER('Council Entry'!AU$8),ISNUMBER('Council Entry'!AU$9)),MAX(MIN('Council Entry'!AU141,'Council Entry'!AU$9),'Council Entry'!AU$8),'Council Entry'!AU141)),IF(AND(ISNUMBER('Council Entry'!AU$8),ISNUMBER('Council Entry'!AU$9)),MAX(MIN('Council Entry'!AU141,'Council Entry'!AU$9),'Council Entry'!AU$8),'Council Entry'!AU141))))-'Council Entry'!AU$5)/('Council Entry'!AU$6-'Council Entry'!AU$5)),1))),"No data"))</f>
        <v/>
      </c>
      <c r="AV141" s="13">
        <f>IF('Council Entry'!AV141="","",IFERROR(MAX(0,MIN(10,ROUND(IF('Council Entry'!AV$7="Decrease Risk",10-10*((IF('Council Entry'!AV$4="Logarithm",LN(0.001+IF(AND(ISNUMBER('Council Entry'!AV$8),ISNUMBER('Council Entry'!AV$9)),MAX(MIN('Council Entry'!AV141,'Council Entry'!AV$9),'Council Entry'!AV$8),'Council Entry'!AV141)),IF('Council Entry'!AV$4="Exponential",EXP(IF(AND(ISNUMBER('Council Entry'!AV$8),ISNUMBER('Council Entry'!AV$9)),MAX(MIN('Council Entry'!AV141,'Council Entry'!AV$9),'Council Entry'!AV$8),'Council Entry'!AV141)),IF(AND(ISNUMBER('Council Entry'!AV$8),ISNUMBER('Council Entry'!AV$9)),MAX(MIN('Council Entry'!AV141,'Council Entry'!AV$9),'Council Entry'!AV$8),'Council Entry'!AV141))))-'Council Entry'!AV$5)/('Council Entry'!AV$6-'Council Entry'!AV$5),10*((IF('Council Entry'!AV$4="Logarithm",LN(0.001+IF(AND(ISNUMBER('Council Entry'!AV$8),ISNUMBER('Council Entry'!AV$9)),MAX(MIN('Council Entry'!AV141,'Council Entry'!AV$9),'Council Entry'!AV$8),'Council Entry'!AV141)),IF('Council Entry'!AV$4="Exponential",EXP(IF(AND(ISNUMBER('Council Entry'!AV$8),ISNUMBER('Council Entry'!AV$9)),MAX(MIN('Council Entry'!AV141,'Council Entry'!AV$9),'Council Entry'!AV$8),'Council Entry'!AV141)),IF(AND(ISNUMBER('Council Entry'!AV$8),ISNUMBER('Council Entry'!AV$9)),MAX(MIN('Council Entry'!AV141,'Council Entry'!AV$9),'Council Entry'!AV$8),'Council Entry'!AV141))))-'Council Entry'!AV$5)/('Council Entry'!AV$6-'Council Entry'!AV$5)),1))),"No data"))</f>
        <v/>
      </c>
      <c r="AW141" s="13">
        <f>IF('Council Entry'!AW141="","",IFERROR(MAX(0,MIN(10,ROUND(IF('Council Entry'!AW$7="Decrease Risk",10-10*((IF('Council Entry'!AW$4="Logarithm",LN(0.001+IF(AND(ISNUMBER('Council Entry'!AW$8),ISNUMBER('Council Entry'!AW$9)),MAX(MIN('Council Entry'!AW141,'Council Entry'!AW$9),'Council Entry'!AW$8),'Council Entry'!AW141)),IF('Council Entry'!AW$4="Exponential",EXP(IF(AND(ISNUMBER('Council Entry'!AW$8),ISNUMBER('Council Entry'!AW$9)),MAX(MIN('Council Entry'!AW141,'Council Entry'!AW$9),'Council Entry'!AW$8),'Council Entry'!AW141)),IF(AND(ISNUMBER('Council Entry'!AW$8),ISNUMBER('Council Entry'!AW$9)),MAX(MIN('Council Entry'!AW141,'Council Entry'!AW$9),'Council Entry'!AW$8),'Council Entry'!AW141))))-'Council Entry'!AW$5)/('Council Entry'!AW$6-'Council Entry'!AW$5),10*((IF('Council Entry'!AW$4="Logarithm",LN(0.001+IF(AND(ISNUMBER('Council Entry'!AW$8),ISNUMBER('Council Entry'!AW$9)),MAX(MIN('Council Entry'!AW141,'Council Entry'!AW$9),'Council Entry'!AW$8),'Council Entry'!AW141)),IF('Council Entry'!AW$4="Exponential",EXP(IF(AND(ISNUMBER('Council Entry'!AW$8),ISNUMBER('Council Entry'!AW$9)),MAX(MIN('Council Entry'!AW141,'Council Entry'!AW$9),'Council Entry'!AW$8),'Council Entry'!AW141)),IF(AND(ISNUMBER('Council Entry'!AW$8),ISNUMBER('Council Entry'!AW$9)),MAX(MIN('Council Entry'!AW141,'Council Entry'!AW$9),'Council Entry'!AW$8),'Council Entry'!AW141))))-'Council Entry'!AW$5)/('Council Entry'!AW$6-'Council Entry'!AW$5)),1))),"No data"))</f>
        <v/>
      </c>
      <c r="AX141" s="13">
        <f>IF('Council Entry'!AX141="","",IFERROR(MAX(0,MIN(10,ROUND(IF('Council Entry'!AX$7="Decrease Risk",10-10*((IF('Council Entry'!AX$4="Logarithm",LN(0.001+IF(AND(ISNUMBER('Council Entry'!AX$8),ISNUMBER('Council Entry'!AX$9)),MAX(MIN('Council Entry'!AX141,'Council Entry'!AX$9),'Council Entry'!AX$8),'Council Entry'!AX141)),IF('Council Entry'!AX$4="Exponential",EXP(IF(AND(ISNUMBER('Council Entry'!AX$8),ISNUMBER('Council Entry'!AX$9)),MAX(MIN('Council Entry'!AX141,'Council Entry'!AX$9),'Council Entry'!AX$8),'Council Entry'!AX141)),IF(AND(ISNUMBER('Council Entry'!AX$8),ISNUMBER('Council Entry'!AX$9)),MAX(MIN('Council Entry'!AX141,'Council Entry'!AX$9),'Council Entry'!AX$8),'Council Entry'!AX141))))-'Council Entry'!AX$5)/('Council Entry'!AX$6-'Council Entry'!AX$5),10*((IF('Council Entry'!AX$4="Logarithm",LN(0.001+IF(AND(ISNUMBER('Council Entry'!AX$8),ISNUMBER('Council Entry'!AX$9)),MAX(MIN('Council Entry'!AX141,'Council Entry'!AX$9),'Council Entry'!AX$8),'Council Entry'!AX141)),IF('Council Entry'!AX$4="Exponential",EXP(IF(AND(ISNUMBER('Council Entry'!AX$8),ISNUMBER('Council Entry'!AX$9)),MAX(MIN('Council Entry'!AX141,'Council Entry'!AX$9),'Council Entry'!AX$8),'Council Entry'!AX141)),IF(AND(ISNUMBER('Council Entry'!AX$8),ISNUMBER('Council Entry'!AX$9)),MAX(MIN('Council Entry'!AX141,'Council Entry'!AX$9),'Council Entry'!AX$8),'Council Entry'!AX141))))-'Council Entry'!AX$5)/('Council Entry'!AX$6-'Council Entry'!AX$5)),1))),"No data"))</f>
        <v/>
      </c>
      <c r="AY141" s="13">
        <f>IF('Council Entry'!AY141="","",IFERROR(MAX(0,MIN(10,ROUND(IF('Council Entry'!AY$7="Decrease Risk",10-10*((IF('Council Entry'!AY$4="Logarithm",LN(0.001+IF(AND(ISNUMBER('Council Entry'!AY$8),ISNUMBER('Council Entry'!AY$9)),MAX(MIN('Council Entry'!AY141,'Council Entry'!AY$9),'Council Entry'!AY$8),'Council Entry'!AY141)),IF('Council Entry'!AY$4="Exponential",EXP(IF(AND(ISNUMBER('Council Entry'!AY$8),ISNUMBER('Council Entry'!AY$9)),MAX(MIN('Council Entry'!AY141,'Council Entry'!AY$9),'Council Entry'!AY$8),'Council Entry'!AY141)),IF(AND(ISNUMBER('Council Entry'!AY$8),ISNUMBER('Council Entry'!AY$9)),MAX(MIN('Council Entry'!AY141,'Council Entry'!AY$9),'Council Entry'!AY$8),'Council Entry'!AY141))))-'Council Entry'!AY$5)/('Council Entry'!AY$6-'Council Entry'!AY$5),10*((IF('Council Entry'!AY$4="Logarithm",LN(0.001+IF(AND(ISNUMBER('Council Entry'!AY$8),ISNUMBER('Council Entry'!AY$9)),MAX(MIN('Council Entry'!AY141,'Council Entry'!AY$9),'Council Entry'!AY$8),'Council Entry'!AY141)),IF('Council Entry'!AY$4="Exponential",EXP(IF(AND(ISNUMBER('Council Entry'!AY$8),ISNUMBER('Council Entry'!AY$9)),MAX(MIN('Council Entry'!AY141,'Council Entry'!AY$9),'Council Entry'!AY$8),'Council Entry'!AY141)),IF(AND(ISNUMBER('Council Entry'!AY$8),ISNUMBER('Council Entry'!AY$9)),MAX(MIN('Council Entry'!AY141,'Council Entry'!AY$9),'Council Entry'!AY$8),'Council Entry'!AY141))))-'Council Entry'!AY$5)/('Council Entry'!AY$6-'Council Entry'!AY$5)),1))),"No data"))</f>
        <v/>
      </c>
      <c r="AZ141" s="13">
        <f>IF('Council Entry'!AZ141="","",IFERROR(MAX(0,MIN(10,ROUND(IF('Council Entry'!AZ$7="Decrease Risk",10-10*((IF('Council Entry'!AZ$4="Logarithm",LN(0.001+IF(AND(ISNUMBER('Council Entry'!AZ$8),ISNUMBER('Council Entry'!AZ$9)),MAX(MIN('Council Entry'!AZ141,'Council Entry'!AZ$9),'Council Entry'!AZ$8),'Council Entry'!AZ141)),IF('Council Entry'!AZ$4="Exponential",EXP(IF(AND(ISNUMBER('Council Entry'!AZ$8),ISNUMBER('Council Entry'!AZ$9)),MAX(MIN('Council Entry'!AZ141,'Council Entry'!AZ$9),'Council Entry'!AZ$8),'Council Entry'!AZ141)),IF(AND(ISNUMBER('Council Entry'!AZ$8),ISNUMBER('Council Entry'!AZ$9)),MAX(MIN('Council Entry'!AZ141,'Council Entry'!AZ$9),'Council Entry'!AZ$8),'Council Entry'!AZ141))))-'Council Entry'!AZ$5)/('Council Entry'!AZ$6-'Council Entry'!AZ$5),10*((IF('Council Entry'!AZ$4="Logarithm",LN(0.001+IF(AND(ISNUMBER('Council Entry'!AZ$8),ISNUMBER('Council Entry'!AZ$9)),MAX(MIN('Council Entry'!AZ141,'Council Entry'!AZ$9),'Council Entry'!AZ$8),'Council Entry'!AZ141)),IF('Council Entry'!AZ$4="Exponential",EXP(IF(AND(ISNUMBER('Council Entry'!AZ$8),ISNUMBER('Council Entry'!AZ$9)),MAX(MIN('Council Entry'!AZ141,'Council Entry'!AZ$9),'Council Entry'!AZ$8),'Council Entry'!AZ141)),IF(AND(ISNUMBER('Council Entry'!AZ$8),ISNUMBER('Council Entry'!AZ$9)),MAX(MIN('Council Entry'!AZ141,'Council Entry'!AZ$9),'Council Entry'!AZ$8),'Council Entry'!AZ141))))-'Council Entry'!AZ$5)/('Council Entry'!AZ$6-'Council Entry'!AZ$5)),1))),"No data"))</f>
        <v/>
      </c>
      <c r="BA141" s="13">
        <f>IF('Council Entry'!BA141="","",IFERROR(MAX(0,MIN(10,ROUND(IF('Council Entry'!BA$7="Decrease Risk",10-10*((IF('Council Entry'!BA$4="Logarithm",LN(0.001+IF(AND(ISNUMBER('Council Entry'!BA$8),ISNUMBER('Council Entry'!BA$9)),MAX(MIN('Council Entry'!BA141,'Council Entry'!BA$9),'Council Entry'!BA$8),'Council Entry'!BA141)),IF('Council Entry'!BA$4="Exponential",EXP(IF(AND(ISNUMBER('Council Entry'!BA$8),ISNUMBER('Council Entry'!BA$9)),MAX(MIN('Council Entry'!BA141,'Council Entry'!BA$9),'Council Entry'!BA$8),'Council Entry'!BA141)),IF(AND(ISNUMBER('Council Entry'!BA$8),ISNUMBER('Council Entry'!BA$9)),MAX(MIN('Council Entry'!BA141,'Council Entry'!BA$9),'Council Entry'!BA$8),'Council Entry'!BA141))))-'Council Entry'!BA$5)/('Council Entry'!BA$6-'Council Entry'!BA$5),10*((IF('Council Entry'!BA$4="Logarithm",LN(0.001+IF(AND(ISNUMBER('Council Entry'!BA$8),ISNUMBER('Council Entry'!BA$9)),MAX(MIN('Council Entry'!BA141,'Council Entry'!BA$9),'Council Entry'!BA$8),'Council Entry'!BA141)),IF('Council Entry'!BA$4="Exponential",EXP(IF(AND(ISNUMBER('Council Entry'!BA$8),ISNUMBER('Council Entry'!BA$9)),MAX(MIN('Council Entry'!BA141,'Council Entry'!BA$9),'Council Entry'!BA$8),'Council Entry'!BA141)),IF(AND(ISNUMBER('Council Entry'!BA$8),ISNUMBER('Council Entry'!BA$9)),MAX(MIN('Council Entry'!BA141,'Council Entry'!BA$9),'Council Entry'!BA$8),'Council Entry'!BA141))))-'Council Entry'!BA$5)/('Council Entry'!BA$6-'Council Entry'!BA$5)),1))),"No data"))</f>
        <v/>
      </c>
      <c r="BB141" s="13">
        <f>IF('Council Entry'!BB141="","",IFERROR(MAX(0,MIN(10,ROUND(IF('Council Entry'!BB$7="Decrease Risk",10-10*((IF('Council Entry'!BB$4="Logarithm",LN(0.001+IF(AND(ISNUMBER('Council Entry'!BB$8),ISNUMBER('Council Entry'!BB$9)),MAX(MIN('Council Entry'!BB141,'Council Entry'!BB$9),'Council Entry'!BB$8),'Council Entry'!BB141)),IF('Council Entry'!BB$4="Exponential",EXP(IF(AND(ISNUMBER('Council Entry'!BB$8),ISNUMBER('Council Entry'!BB$9)),MAX(MIN('Council Entry'!BB141,'Council Entry'!BB$9),'Council Entry'!BB$8),'Council Entry'!BB141)),IF(AND(ISNUMBER('Council Entry'!BB$8),ISNUMBER('Council Entry'!BB$9)),MAX(MIN('Council Entry'!BB141,'Council Entry'!BB$9),'Council Entry'!BB$8),'Council Entry'!BB141))))-'Council Entry'!BB$5)/('Council Entry'!BB$6-'Council Entry'!BB$5),10*((IF('Council Entry'!BB$4="Logarithm",LN(0.001+IF(AND(ISNUMBER('Council Entry'!BB$8),ISNUMBER('Council Entry'!BB$9)),MAX(MIN('Council Entry'!BB141,'Council Entry'!BB$9),'Council Entry'!BB$8),'Council Entry'!BB141)),IF('Council Entry'!BB$4="Exponential",EXP(IF(AND(ISNUMBER('Council Entry'!BB$8),ISNUMBER('Council Entry'!BB$9)),MAX(MIN('Council Entry'!BB141,'Council Entry'!BB$9),'Council Entry'!BB$8),'Council Entry'!BB141)),IF(AND(ISNUMBER('Council Entry'!BB$8),ISNUMBER('Council Entry'!BB$9)),MAX(MIN('Council Entry'!BB141,'Council Entry'!BB$9),'Council Entry'!BB$8),'Council Entry'!BB141))))-'Council Entry'!BB$5)/('Council Entry'!BB$6-'Council Entry'!BB$5)),1))),"No data"))</f>
        <v/>
      </c>
      <c r="BC141" s="13">
        <f>IF('Council Entry'!BC141="","",IFERROR(MAX(0,MIN(10,ROUND(IF('Council Entry'!BC$7="Decrease Risk",10-10*((IF('Council Entry'!BC$4="Logarithm",LN(0.001+IF(AND(ISNUMBER('Council Entry'!BC$8),ISNUMBER('Council Entry'!BC$9)),MAX(MIN('Council Entry'!BC141,'Council Entry'!BC$9),'Council Entry'!BC$8),'Council Entry'!BC141)),IF('Council Entry'!BC$4="Exponential",EXP(IF(AND(ISNUMBER('Council Entry'!BC$8),ISNUMBER('Council Entry'!BC$9)),MAX(MIN('Council Entry'!BC141,'Council Entry'!BC$9),'Council Entry'!BC$8),'Council Entry'!BC141)),IF(AND(ISNUMBER('Council Entry'!BC$8),ISNUMBER('Council Entry'!BC$9)),MAX(MIN('Council Entry'!BC141,'Council Entry'!BC$9),'Council Entry'!BC$8),'Council Entry'!BC141))))-'Council Entry'!BC$5)/('Council Entry'!BC$6-'Council Entry'!BC$5),10*((IF('Council Entry'!BC$4="Logarithm",LN(0.001+IF(AND(ISNUMBER('Council Entry'!BC$8),ISNUMBER('Council Entry'!BC$9)),MAX(MIN('Council Entry'!BC141,'Council Entry'!BC$9),'Council Entry'!BC$8),'Council Entry'!BC141)),IF('Council Entry'!BC$4="Exponential",EXP(IF(AND(ISNUMBER('Council Entry'!BC$8),ISNUMBER('Council Entry'!BC$9)),MAX(MIN('Council Entry'!BC141,'Council Entry'!BC$9),'Council Entry'!BC$8),'Council Entry'!BC141)),IF(AND(ISNUMBER('Council Entry'!BC$8),ISNUMBER('Council Entry'!BC$9)),MAX(MIN('Council Entry'!BC141,'Council Entry'!BC$9),'Council Entry'!BC$8),'Council Entry'!BC141))))-'Council Entry'!BC$5)/('Council Entry'!BC$6-'Council Entry'!BC$5)),1))),"No data"))</f>
        <v/>
      </c>
      <c r="BD141" s="13">
        <f>IF('Council Entry'!BD141="","",IFERROR(MAX(0,MIN(10,ROUND(IF('Council Entry'!BD$7="Decrease Risk",10-10*((IF('Council Entry'!BD$4="Logarithm",LN(0.001+IF(AND(ISNUMBER('Council Entry'!BD$8),ISNUMBER('Council Entry'!BD$9)),MAX(MIN('Council Entry'!BD141,'Council Entry'!BD$9),'Council Entry'!BD$8),'Council Entry'!BD141)),IF('Council Entry'!BD$4="Exponential",EXP(IF(AND(ISNUMBER('Council Entry'!BD$8),ISNUMBER('Council Entry'!BD$9)),MAX(MIN('Council Entry'!BD141,'Council Entry'!BD$9),'Council Entry'!BD$8),'Council Entry'!BD141)),IF(AND(ISNUMBER('Council Entry'!BD$8),ISNUMBER('Council Entry'!BD$9)),MAX(MIN('Council Entry'!BD141,'Council Entry'!BD$9),'Council Entry'!BD$8),'Council Entry'!BD141))))-'Council Entry'!BD$5)/('Council Entry'!BD$6-'Council Entry'!BD$5),10*((IF('Council Entry'!BD$4="Logarithm",LN(0.001+IF(AND(ISNUMBER('Council Entry'!BD$8),ISNUMBER('Council Entry'!BD$9)),MAX(MIN('Council Entry'!BD141,'Council Entry'!BD$9),'Council Entry'!BD$8),'Council Entry'!BD141)),IF('Council Entry'!BD$4="Exponential",EXP(IF(AND(ISNUMBER('Council Entry'!BD$8),ISNUMBER('Council Entry'!BD$9)),MAX(MIN('Council Entry'!BD141,'Council Entry'!BD$9),'Council Entry'!BD$8),'Council Entry'!BD141)),IF(AND(ISNUMBER('Council Entry'!BD$8),ISNUMBER('Council Entry'!BD$9)),MAX(MIN('Council Entry'!BD141,'Council Entry'!BD$9),'Council Entry'!BD$8),'Council Entry'!BD141))))-'Council Entry'!BD$5)/('Council Entry'!BD$6-'Council Entry'!BD$5)),1))),"No data"))</f>
        <v/>
      </c>
    </row>
    <row r="142">
      <c r="A142" t="inlineStr">
        <is>
          <t>Pwani</t>
        </is>
      </c>
      <c r="B142" t="inlineStr">
        <is>
          <t>Bagamoyo District</t>
        </is>
      </c>
      <c r="C142" t="inlineStr">
        <is>
          <t>C043</t>
        </is>
      </c>
      <c r="D142" s="13">
        <f>IF('Council Entry'!D142="","",IFERROR(MAX(0,MIN(10,ROUND(IF('Council Entry'!D$7="Decrease Risk",10-10*((IF('Council Entry'!D$4="Logarithm",LN(0.001+IF(AND(ISNUMBER('Council Entry'!D$8),ISNUMBER('Council Entry'!D$9)),MAX(MIN('Council Entry'!D142,'Council Entry'!D$9),'Council Entry'!D$8),'Council Entry'!D142)),IF('Council Entry'!D$4="Exponential",EXP(IF(AND(ISNUMBER('Council Entry'!D$8),ISNUMBER('Council Entry'!D$9)),MAX(MIN('Council Entry'!D142,'Council Entry'!D$9),'Council Entry'!D$8),'Council Entry'!D142)),IF(AND(ISNUMBER('Council Entry'!D$8),ISNUMBER('Council Entry'!D$9)),MAX(MIN('Council Entry'!D142,'Council Entry'!D$9),'Council Entry'!D$8),'Council Entry'!D142))))-'Council Entry'!D$5)/('Council Entry'!D$6-'Council Entry'!D$5),10*((IF('Council Entry'!D$4="Logarithm",LN(0.001+IF(AND(ISNUMBER('Council Entry'!D$8),ISNUMBER('Council Entry'!D$9)),MAX(MIN('Council Entry'!D142,'Council Entry'!D$9),'Council Entry'!D$8),'Council Entry'!D142)),IF('Council Entry'!D$4="Exponential",EXP(IF(AND(ISNUMBER('Council Entry'!D$8),ISNUMBER('Council Entry'!D$9)),MAX(MIN('Council Entry'!D142,'Council Entry'!D$9),'Council Entry'!D$8),'Council Entry'!D142)),IF(AND(ISNUMBER('Council Entry'!D$8),ISNUMBER('Council Entry'!D$9)),MAX(MIN('Council Entry'!D142,'Council Entry'!D$9),'Council Entry'!D$8),'Council Entry'!D142))))-'Council Entry'!D$5)/('Council Entry'!D$6-'Council Entry'!D$5)),1))),"No data"))</f>
        <v/>
      </c>
      <c r="E142" s="13">
        <f>IF('Council Entry'!E142="","",IFERROR(MAX(0,MIN(10,ROUND(IF('Council Entry'!E$7="Decrease Risk",10-10*((IF('Council Entry'!E$4="Logarithm",LN(0.001+IF(AND(ISNUMBER('Council Entry'!E$8),ISNUMBER('Council Entry'!E$9)),MAX(MIN('Council Entry'!E142,'Council Entry'!E$9),'Council Entry'!E$8),'Council Entry'!E142)),IF('Council Entry'!E$4="Exponential",EXP(IF(AND(ISNUMBER('Council Entry'!E$8),ISNUMBER('Council Entry'!E$9)),MAX(MIN('Council Entry'!E142,'Council Entry'!E$9),'Council Entry'!E$8),'Council Entry'!E142)),IF(AND(ISNUMBER('Council Entry'!E$8),ISNUMBER('Council Entry'!E$9)),MAX(MIN('Council Entry'!E142,'Council Entry'!E$9),'Council Entry'!E$8),'Council Entry'!E142))))-'Council Entry'!E$5)/('Council Entry'!E$6-'Council Entry'!E$5),10*((IF('Council Entry'!E$4="Logarithm",LN(0.001+IF(AND(ISNUMBER('Council Entry'!E$8),ISNUMBER('Council Entry'!E$9)),MAX(MIN('Council Entry'!E142,'Council Entry'!E$9),'Council Entry'!E$8),'Council Entry'!E142)),IF('Council Entry'!E$4="Exponential",EXP(IF(AND(ISNUMBER('Council Entry'!E$8),ISNUMBER('Council Entry'!E$9)),MAX(MIN('Council Entry'!E142,'Council Entry'!E$9),'Council Entry'!E$8),'Council Entry'!E142)),IF(AND(ISNUMBER('Council Entry'!E$8),ISNUMBER('Council Entry'!E$9)),MAX(MIN('Council Entry'!E142,'Council Entry'!E$9),'Council Entry'!E$8),'Council Entry'!E142))))-'Council Entry'!E$5)/('Council Entry'!E$6-'Council Entry'!E$5)),1))),"No data"))</f>
        <v/>
      </c>
      <c r="F142" s="13">
        <f>IF('Council Entry'!F142="","",IFERROR(MAX(0,MIN(10,ROUND(IF('Council Entry'!F$7="Decrease Risk",10-10*((IF('Council Entry'!F$4="Logarithm",LN(0.001+IF(AND(ISNUMBER('Council Entry'!F$8),ISNUMBER('Council Entry'!F$9)),MAX(MIN('Council Entry'!F142,'Council Entry'!F$9),'Council Entry'!F$8),'Council Entry'!F142)),IF('Council Entry'!F$4="Exponential",EXP(IF(AND(ISNUMBER('Council Entry'!F$8),ISNUMBER('Council Entry'!F$9)),MAX(MIN('Council Entry'!F142,'Council Entry'!F$9),'Council Entry'!F$8),'Council Entry'!F142)),IF(AND(ISNUMBER('Council Entry'!F$8),ISNUMBER('Council Entry'!F$9)),MAX(MIN('Council Entry'!F142,'Council Entry'!F$9),'Council Entry'!F$8),'Council Entry'!F142))))-'Council Entry'!F$5)/('Council Entry'!F$6-'Council Entry'!F$5),10*((IF('Council Entry'!F$4="Logarithm",LN(0.001+IF(AND(ISNUMBER('Council Entry'!F$8),ISNUMBER('Council Entry'!F$9)),MAX(MIN('Council Entry'!F142,'Council Entry'!F$9),'Council Entry'!F$8),'Council Entry'!F142)),IF('Council Entry'!F$4="Exponential",EXP(IF(AND(ISNUMBER('Council Entry'!F$8),ISNUMBER('Council Entry'!F$9)),MAX(MIN('Council Entry'!F142,'Council Entry'!F$9),'Council Entry'!F$8),'Council Entry'!F142)),IF(AND(ISNUMBER('Council Entry'!F$8),ISNUMBER('Council Entry'!F$9)),MAX(MIN('Council Entry'!F142,'Council Entry'!F$9),'Council Entry'!F$8),'Council Entry'!F142))))-'Council Entry'!F$5)/('Council Entry'!F$6-'Council Entry'!F$5)),1))),"No data"))</f>
        <v/>
      </c>
      <c r="G142" s="13">
        <f>IF('Council Entry'!G142="","",IFERROR(MAX(0,MIN(10,ROUND(IF('Council Entry'!G$7="Decrease Risk",10-10*((IF('Council Entry'!G$4="Logarithm",LN(0.001+IF(AND(ISNUMBER('Council Entry'!G$8),ISNUMBER('Council Entry'!G$9)),MAX(MIN('Council Entry'!G142,'Council Entry'!G$9),'Council Entry'!G$8),'Council Entry'!G142)),IF('Council Entry'!G$4="Exponential",EXP(IF(AND(ISNUMBER('Council Entry'!G$8),ISNUMBER('Council Entry'!G$9)),MAX(MIN('Council Entry'!G142,'Council Entry'!G$9),'Council Entry'!G$8),'Council Entry'!G142)),IF(AND(ISNUMBER('Council Entry'!G$8),ISNUMBER('Council Entry'!G$9)),MAX(MIN('Council Entry'!G142,'Council Entry'!G$9),'Council Entry'!G$8),'Council Entry'!G142))))-'Council Entry'!G$5)/('Council Entry'!G$6-'Council Entry'!G$5),10*((IF('Council Entry'!G$4="Logarithm",LN(0.001+IF(AND(ISNUMBER('Council Entry'!G$8),ISNUMBER('Council Entry'!G$9)),MAX(MIN('Council Entry'!G142,'Council Entry'!G$9),'Council Entry'!G$8),'Council Entry'!G142)),IF('Council Entry'!G$4="Exponential",EXP(IF(AND(ISNUMBER('Council Entry'!G$8),ISNUMBER('Council Entry'!G$9)),MAX(MIN('Council Entry'!G142,'Council Entry'!G$9),'Council Entry'!G$8),'Council Entry'!G142)),IF(AND(ISNUMBER('Council Entry'!G$8),ISNUMBER('Council Entry'!G$9)),MAX(MIN('Council Entry'!G142,'Council Entry'!G$9),'Council Entry'!G$8),'Council Entry'!G142))))-'Council Entry'!G$5)/('Council Entry'!G$6-'Council Entry'!G$5)),1))),"No data"))</f>
        <v/>
      </c>
      <c r="H142" s="13">
        <f>IF('Council Entry'!H142="","",IFERROR(MAX(0,MIN(10,ROUND(IF('Council Entry'!H$7="Decrease Risk",10-10*((IF('Council Entry'!H$4="Logarithm",LN(0.001+IF(AND(ISNUMBER('Council Entry'!H$8),ISNUMBER('Council Entry'!H$9)),MAX(MIN('Council Entry'!H142,'Council Entry'!H$9),'Council Entry'!H$8),'Council Entry'!H142)),IF('Council Entry'!H$4="Exponential",EXP(IF(AND(ISNUMBER('Council Entry'!H$8),ISNUMBER('Council Entry'!H$9)),MAX(MIN('Council Entry'!H142,'Council Entry'!H$9),'Council Entry'!H$8),'Council Entry'!H142)),IF(AND(ISNUMBER('Council Entry'!H$8),ISNUMBER('Council Entry'!H$9)),MAX(MIN('Council Entry'!H142,'Council Entry'!H$9),'Council Entry'!H$8),'Council Entry'!H142))))-'Council Entry'!H$5)/('Council Entry'!H$6-'Council Entry'!H$5),10*((IF('Council Entry'!H$4="Logarithm",LN(0.001+IF(AND(ISNUMBER('Council Entry'!H$8),ISNUMBER('Council Entry'!H$9)),MAX(MIN('Council Entry'!H142,'Council Entry'!H$9),'Council Entry'!H$8),'Council Entry'!H142)),IF('Council Entry'!H$4="Exponential",EXP(IF(AND(ISNUMBER('Council Entry'!H$8),ISNUMBER('Council Entry'!H$9)),MAX(MIN('Council Entry'!H142,'Council Entry'!H$9),'Council Entry'!H$8),'Council Entry'!H142)),IF(AND(ISNUMBER('Council Entry'!H$8),ISNUMBER('Council Entry'!H$9)),MAX(MIN('Council Entry'!H142,'Council Entry'!H$9),'Council Entry'!H$8),'Council Entry'!H142))))-'Council Entry'!H$5)/('Council Entry'!H$6-'Council Entry'!H$5)),1))),"No data"))</f>
        <v/>
      </c>
      <c r="I142" s="13">
        <f>IF('Council Entry'!I142="","",IFERROR(MAX(0,MIN(10,ROUND(IF('Council Entry'!I$7="Decrease Risk",10-10*((IF('Council Entry'!I$4="Logarithm",LN(0.001+IF(AND(ISNUMBER('Council Entry'!I$8),ISNUMBER('Council Entry'!I$9)),MAX(MIN('Council Entry'!I142,'Council Entry'!I$9),'Council Entry'!I$8),'Council Entry'!I142)),IF('Council Entry'!I$4="Exponential",EXP(IF(AND(ISNUMBER('Council Entry'!I$8),ISNUMBER('Council Entry'!I$9)),MAX(MIN('Council Entry'!I142,'Council Entry'!I$9),'Council Entry'!I$8),'Council Entry'!I142)),IF(AND(ISNUMBER('Council Entry'!I$8),ISNUMBER('Council Entry'!I$9)),MAX(MIN('Council Entry'!I142,'Council Entry'!I$9),'Council Entry'!I$8),'Council Entry'!I142))))-'Council Entry'!I$5)/('Council Entry'!I$6-'Council Entry'!I$5),10*((IF('Council Entry'!I$4="Logarithm",LN(0.001+IF(AND(ISNUMBER('Council Entry'!I$8),ISNUMBER('Council Entry'!I$9)),MAX(MIN('Council Entry'!I142,'Council Entry'!I$9),'Council Entry'!I$8),'Council Entry'!I142)),IF('Council Entry'!I$4="Exponential",EXP(IF(AND(ISNUMBER('Council Entry'!I$8),ISNUMBER('Council Entry'!I$9)),MAX(MIN('Council Entry'!I142,'Council Entry'!I$9),'Council Entry'!I$8),'Council Entry'!I142)),IF(AND(ISNUMBER('Council Entry'!I$8),ISNUMBER('Council Entry'!I$9)),MAX(MIN('Council Entry'!I142,'Council Entry'!I$9),'Council Entry'!I$8),'Council Entry'!I142))))-'Council Entry'!I$5)/('Council Entry'!I$6-'Council Entry'!I$5)),1))),"No data"))</f>
        <v/>
      </c>
      <c r="J142" s="13">
        <f>IF('Council Entry'!J142="","",IFERROR(MAX(0,MIN(10,ROUND(IF('Council Entry'!J$7="Decrease Risk",10-10*((IF('Council Entry'!J$4="Logarithm",LN(0.001+IF(AND(ISNUMBER('Council Entry'!J$8),ISNUMBER('Council Entry'!J$9)),MAX(MIN('Council Entry'!J142,'Council Entry'!J$9),'Council Entry'!J$8),'Council Entry'!J142)),IF('Council Entry'!J$4="Exponential",EXP(IF(AND(ISNUMBER('Council Entry'!J$8),ISNUMBER('Council Entry'!J$9)),MAX(MIN('Council Entry'!J142,'Council Entry'!J$9),'Council Entry'!J$8),'Council Entry'!J142)),IF(AND(ISNUMBER('Council Entry'!J$8),ISNUMBER('Council Entry'!J$9)),MAX(MIN('Council Entry'!J142,'Council Entry'!J$9),'Council Entry'!J$8),'Council Entry'!J142))))-'Council Entry'!J$5)/('Council Entry'!J$6-'Council Entry'!J$5),10*((IF('Council Entry'!J$4="Logarithm",LN(0.001+IF(AND(ISNUMBER('Council Entry'!J$8),ISNUMBER('Council Entry'!J$9)),MAX(MIN('Council Entry'!J142,'Council Entry'!J$9),'Council Entry'!J$8),'Council Entry'!J142)),IF('Council Entry'!J$4="Exponential",EXP(IF(AND(ISNUMBER('Council Entry'!J$8),ISNUMBER('Council Entry'!J$9)),MAX(MIN('Council Entry'!J142,'Council Entry'!J$9),'Council Entry'!J$8),'Council Entry'!J142)),IF(AND(ISNUMBER('Council Entry'!J$8),ISNUMBER('Council Entry'!J$9)),MAX(MIN('Council Entry'!J142,'Council Entry'!J$9),'Council Entry'!J$8),'Council Entry'!J142))))-'Council Entry'!J$5)/('Council Entry'!J$6-'Council Entry'!J$5)),1))),"No data"))</f>
        <v/>
      </c>
      <c r="K142" s="13">
        <f>IF('Council Entry'!K142="","",IFERROR(MAX(0,MIN(10,ROUND(IF('Council Entry'!K$7="Decrease Risk",10-10*((IF('Council Entry'!K$4="Logarithm",LN(0.001+IF(AND(ISNUMBER('Council Entry'!K$8),ISNUMBER('Council Entry'!K$9)),MAX(MIN('Council Entry'!K142,'Council Entry'!K$9),'Council Entry'!K$8),'Council Entry'!K142)),IF('Council Entry'!K$4="Exponential",EXP(IF(AND(ISNUMBER('Council Entry'!K$8),ISNUMBER('Council Entry'!K$9)),MAX(MIN('Council Entry'!K142,'Council Entry'!K$9),'Council Entry'!K$8),'Council Entry'!K142)),IF(AND(ISNUMBER('Council Entry'!K$8),ISNUMBER('Council Entry'!K$9)),MAX(MIN('Council Entry'!K142,'Council Entry'!K$9),'Council Entry'!K$8),'Council Entry'!K142))))-'Council Entry'!K$5)/('Council Entry'!K$6-'Council Entry'!K$5),10*((IF('Council Entry'!K$4="Logarithm",LN(0.001+IF(AND(ISNUMBER('Council Entry'!K$8),ISNUMBER('Council Entry'!K$9)),MAX(MIN('Council Entry'!K142,'Council Entry'!K$9),'Council Entry'!K$8),'Council Entry'!K142)),IF('Council Entry'!K$4="Exponential",EXP(IF(AND(ISNUMBER('Council Entry'!K$8),ISNUMBER('Council Entry'!K$9)),MAX(MIN('Council Entry'!K142,'Council Entry'!K$9),'Council Entry'!K$8),'Council Entry'!K142)),IF(AND(ISNUMBER('Council Entry'!K$8),ISNUMBER('Council Entry'!K$9)),MAX(MIN('Council Entry'!K142,'Council Entry'!K$9),'Council Entry'!K$8),'Council Entry'!K142))))-'Council Entry'!K$5)/('Council Entry'!K$6-'Council Entry'!K$5)),1))),"No data"))</f>
        <v/>
      </c>
      <c r="L142" s="13">
        <f>IF('Council Entry'!L142="","",IFERROR(MAX(0,MIN(10,ROUND(IF('Council Entry'!L$7="Decrease Risk",10-10*((IF('Council Entry'!L$4="Logarithm",LN(0.001+IF(AND(ISNUMBER('Council Entry'!L$8),ISNUMBER('Council Entry'!L$9)),MAX(MIN('Council Entry'!L142,'Council Entry'!L$9),'Council Entry'!L$8),'Council Entry'!L142)),IF('Council Entry'!L$4="Exponential",EXP(IF(AND(ISNUMBER('Council Entry'!L$8),ISNUMBER('Council Entry'!L$9)),MAX(MIN('Council Entry'!L142,'Council Entry'!L$9),'Council Entry'!L$8),'Council Entry'!L142)),IF(AND(ISNUMBER('Council Entry'!L$8),ISNUMBER('Council Entry'!L$9)),MAX(MIN('Council Entry'!L142,'Council Entry'!L$9),'Council Entry'!L$8),'Council Entry'!L142))))-'Council Entry'!L$5)/('Council Entry'!L$6-'Council Entry'!L$5),10*((IF('Council Entry'!L$4="Logarithm",LN(0.001+IF(AND(ISNUMBER('Council Entry'!L$8),ISNUMBER('Council Entry'!L$9)),MAX(MIN('Council Entry'!L142,'Council Entry'!L$9),'Council Entry'!L$8),'Council Entry'!L142)),IF('Council Entry'!L$4="Exponential",EXP(IF(AND(ISNUMBER('Council Entry'!L$8),ISNUMBER('Council Entry'!L$9)),MAX(MIN('Council Entry'!L142,'Council Entry'!L$9),'Council Entry'!L$8),'Council Entry'!L142)),IF(AND(ISNUMBER('Council Entry'!L$8),ISNUMBER('Council Entry'!L$9)),MAX(MIN('Council Entry'!L142,'Council Entry'!L$9),'Council Entry'!L$8),'Council Entry'!L142))))-'Council Entry'!L$5)/('Council Entry'!L$6-'Council Entry'!L$5)),1))),"No data"))</f>
        <v/>
      </c>
      <c r="M142" s="13">
        <f>IF('Council Entry'!M142="","",IFERROR(MAX(0,MIN(10,ROUND(IF('Council Entry'!M$7="Decrease Risk",10-10*((IF('Council Entry'!M$4="Logarithm",LN(0.001+IF(AND(ISNUMBER('Council Entry'!M$8),ISNUMBER('Council Entry'!M$9)),MAX(MIN('Council Entry'!M142,'Council Entry'!M$9),'Council Entry'!M$8),'Council Entry'!M142)),IF('Council Entry'!M$4="Exponential",EXP(IF(AND(ISNUMBER('Council Entry'!M$8),ISNUMBER('Council Entry'!M$9)),MAX(MIN('Council Entry'!M142,'Council Entry'!M$9),'Council Entry'!M$8),'Council Entry'!M142)),IF(AND(ISNUMBER('Council Entry'!M$8),ISNUMBER('Council Entry'!M$9)),MAX(MIN('Council Entry'!M142,'Council Entry'!M$9),'Council Entry'!M$8),'Council Entry'!M142))))-'Council Entry'!M$5)/('Council Entry'!M$6-'Council Entry'!M$5),10*((IF('Council Entry'!M$4="Logarithm",LN(0.001+IF(AND(ISNUMBER('Council Entry'!M$8),ISNUMBER('Council Entry'!M$9)),MAX(MIN('Council Entry'!M142,'Council Entry'!M$9),'Council Entry'!M$8),'Council Entry'!M142)),IF('Council Entry'!M$4="Exponential",EXP(IF(AND(ISNUMBER('Council Entry'!M$8),ISNUMBER('Council Entry'!M$9)),MAX(MIN('Council Entry'!M142,'Council Entry'!M$9),'Council Entry'!M$8),'Council Entry'!M142)),IF(AND(ISNUMBER('Council Entry'!M$8),ISNUMBER('Council Entry'!M$9)),MAX(MIN('Council Entry'!M142,'Council Entry'!M$9),'Council Entry'!M$8),'Council Entry'!M142))))-'Council Entry'!M$5)/('Council Entry'!M$6-'Council Entry'!M$5)),1))),"No data"))</f>
        <v/>
      </c>
      <c r="N142" s="13">
        <f>IF('Council Entry'!N142="","",IFERROR(MAX(0,MIN(10,ROUND(IF('Council Entry'!N$7="Decrease Risk",10-10*((IF('Council Entry'!N$4="Logarithm",LN(0.001+IF(AND(ISNUMBER('Council Entry'!N$8),ISNUMBER('Council Entry'!N$9)),MAX(MIN('Council Entry'!N142,'Council Entry'!N$9),'Council Entry'!N$8),'Council Entry'!N142)),IF('Council Entry'!N$4="Exponential",EXP(IF(AND(ISNUMBER('Council Entry'!N$8),ISNUMBER('Council Entry'!N$9)),MAX(MIN('Council Entry'!N142,'Council Entry'!N$9),'Council Entry'!N$8),'Council Entry'!N142)),IF(AND(ISNUMBER('Council Entry'!N$8),ISNUMBER('Council Entry'!N$9)),MAX(MIN('Council Entry'!N142,'Council Entry'!N$9),'Council Entry'!N$8),'Council Entry'!N142))))-'Council Entry'!N$5)/('Council Entry'!N$6-'Council Entry'!N$5),10*((IF('Council Entry'!N$4="Logarithm",LN(0.001+IF(AND(ISNUMBER('Council Entry'!N$8),ISNUMBER('Council Entry'!N$9)),MAX(MIN('Council Entry'!N142,'Council Entry'!N$9),'Council Entry'!N$8),'Council Entry'!N142)),IF('Council Entry'!N$4="Exponential",EXP(IF(AND(ISNUMBER('Council Entry'!N$8),ISNUMBER('Council Entry'!N$9)),MAX(MIN('Council Entry'!N142,'Council Entry'!N$9),'Council Entry'!N$8),'Council Entry'!N142)),IF(AND(ISNUMBER('Council Entry'!N$8),ISNUMBER('Council Entry'!N$9)),MAX(MIN('Council Entry'!N142,'Council Entry'!N$9),'Council Entry'!N$8),'Council Entry'!N142))))-'Council Entry'!N$5)/('Council Entry'!N$6-'Council Entry'!N$5)),1))),"No data"))</f>
        <v/>
      </c>
      <c r="O142" s="13">
        <f>IF('Council Entry'!O142="","",IFERROR(MAX(0,MIN(10,ROUND(IF('Council Entry'!O$7="Decrease Risk",10-10*((IF('Council Entry'!O$4="Logarithm",LN(0.001+IF(AND(ISNUMBER('Council Entry'!O$8),ISNUMBER('Council Entry'!O$9)),MAX(MIN('Council Entry'!O142,'Council Entry'!O$9),'Council Entry'!O$8),'Council Entry'!O142)),IF('Council Entry'!O$4="Exponential",EXP(IF(AND(ISNUMBER('Council Entry'!O$8),ISNUMBER('Council Entry'!O$9)),MAX(MIN('Council Entry'!O142,'Council Entry'!O$9),'Council Entry'!O$8),'Council Entry'!O142)),IF(AND(ISNUMBER('Council Entry'!O$8),ISNUMBER('Council Entry'!O$9)),MAX(MIN('Council Entry'!O142,'Council Entry'!O$9),'Council Entry'!O$8),'Council Entry'!O142))))-'Council Entry'!O$5)/('Council Entry'!O$6-'Council Entry'!O$5),10*((IF('Council Entry'!O$4="Logarithm",LN(0.001+IF(AND(ISNUMBER('Council Entry'!O$8),ISNUMBER('Council Entry'!O$9)),MAX(MIN('Council Entry'!O142,'Council Entry'!O$9),'Council Entry'!O$8),'Council Entry'!O142)),IF('Council Entry'!O$4="Exponential",EXP(IF(AND(ISNUMBER('Council Entry'!O$8),ISNUMBER('Council Entry'!O$9)),MAX(MIN('Council Entry'!O142,'Council Entry'!O$9),'Council Entry'!O$8),'Council Entry'!O142)),IF(AND(ISNUMBER('Council Entry'!O$8),ISNUMBER('Council Entry'!O$9)),MAX(MIN('Council Entry'!O142,'Council Entry'!O$9),'Council Entry'!O$8),'Council Entry'!O142))))-'Council Entry'!O$5)/('Council Entry'!O$6-'Council Entry'!O$5)),1))),"No data"))</f>
        <v/>
      </c>
      <c r="P142" s="13">
        <f>IF('Council Entry'!P142="","",IFERROR(MAX(0,MIN(10,ROUND(IF('Council Entry'!P$7="Decrease Risk",10-10*((IF('Council Entry'!P$4="Logarithm",LN(0.001+IF(AND(ISNUMBER('Council Entry'!P$8),ISNUMBER('Council Entry'!P$9)),MAX(MIN('Council Entry'!P142,'Council Entry'!P$9),'Council Entry'!P$8),'Council Entry'!P142)),IF('Council Entry'!P$4="Exponential",EXP(IF(AND(ISNUMBER('Council Entry'!P$8),ISNUMBER('Council Entry'!P$9)),MAX(MIN('Council Entry'!P142,'Council Entry'!P$9),'Council Entry'!P$8),'Council Entry'!P142)),IF(AND(ISNUMBER('Council Entry'!P$8),ISNUMBER('Council Entry'!P$9)),MAX(MIN('Council Entry'!P142,'Council Entry'!P$9),'Council Entry'!P$8),'Council Entry'!P142))))-'Council Entry'!P$5)/('Council Entry'!P$6-'Council Entry'!P$5),10*((IF('Council Entry'!P$4="Logarithm",LN(0.001+IF(AND(ISNUMBER('Council Entry'!P$8),ISNUMBER('Council Entry'!P$9)),MAX(MIN('Council Entry'!P142,'Council Entry'!P$9),'Council Entry'!P$8),'Council Entry'!P142)),IF('Council Entry'!P$4="Exponential",EXP(IF(AND(ISNUMBER('Council Entry'!P$8),ISNUMBER('Council Entry'!P$9)),MAX(MIN('Council Entry'!P142,'Council Entry'!P$9),'Council Entry'!P$8),'Council Entry'!P142)),IF(AND(ISNUMBER('Council Entry'!P$8),ISNUMBER('Council Entry'!P$9)),MAX(MIN('Council Entry'!P142,'Council Entry'!P$9),'Council Entry'!P$8),'Council Entry'!P142))))-'Council Entry'!P$5)/('Council Entry'!P$6-'Council Entry'!P$5)),1))),"No data"))</f>
        <v/>
      </c>
      <c r="Q142" s="13">
        <f>IF('Council Entry'!Q142="","",IFERROR(MAX(0,MIN(10,ROUND(IF('Council Entry'!Q$7="Decrease Risk",10-10*((IF('Council Entry'!Q$4="Logarithm",LN(0.001+IF(AND(ISNUMBER('Council Entry'!Q$8),ISNUMBER('Council Entry'!Q$9)),MAX(MIN('Council Entry'!Q142,'Council Entry'!Q$9),'Council Entry'!Q$8),'Council Entry'!Q142)),IF('Council Entry'!Q$4="Exponential",EXP(IF(AND(ISNUMBER('Council Entry'!Q$8),ISNUMBER('Council Entry'!Q$9)),MAX(MIN('Council Entry'!Q142,'Council Entry'!Q$9),'Council Entry'!Q$8),'Council Entry'!Q142)),IF(AND(ISNUMBER('Council Entry'!Q$8),ISNUMBER('Council Entry'!Q$9)),MAX(MIN('Council Entry'!Q142,'Council Entry'!Q$9),'Council Entry'!Q$8),'Council Entry'!Q142))))-'Council Entry'!Q$5)/('Council Entry'!Q$6-'Council Entry'!Q$5),10*((IF('Council Entry'!Q$4="Logarithm",LN(0.001+IF(AND(ISNUMBER('Council Entry'!Q$8),ISNUMBER('Council Entry'!Q$9)),MAX(MIN('Council Entry'!Q142,'Council Entry'!Q$9),'Council Entry'!Q$8),'Council Entry'!Q142)),IF('Council Entry'!Q$4="Exponential",EXP(IF(AND(ISNUMBER('Council Entry'!Q$8),ISNUMBER('Council Entry'!Q$9)),MAX(MIN('Council Entry'!Q142,'Council Entry'!Q$9),'Council Entry'!Q$8),'Council Entry'!Q142)),IF(AND(ISNUMBER('Council Entry'!Q$8),ISNUMBER('Council Entry'!Q$9)),MAX(MIN('Council Entry'!Q142,'Council Entry'!Q$9),'Council Entry'!Q$8),'Council Entry'!Q142))))-'Council Entry'!Q$5)/('Council Entry'!Q$6-'Council Entry'!Q$5)),1))),"No data"))</f>
        <v/>
      </c>
      <c r="R142" s="13">
        <f>IF('Council Entry'!R142="","",IFERROR(MAX(0,MIN(10,ROUND(IF('Council Entry'!R$7="Decrease Risk",10-10*((IF('Council Entry'!R$4="Logarithm",LN(0.001+IF(AND(ISNUMBER('Council Entry'!R$8),ISNUMBER('Council Entry'!R$9)),MAX(MIN('Council Entry'!R142,'Council Entry'!R$9),'Council Entry'!R$8),'Council Entry'!R142)),IF('Council Entry'!R$4="Exponential",EXP(IF(AND(ISNUMBER('Council Entry'!R$8),ISNUMBER('Council Entry'!R$9)),MAX(MIN('Council Entry'!R142,'Council Entry'!R$9),'Council Entry'!R$8),'Council Entry'!R142)),IF(AND(ISNUMBER('Council Entry'!R$8),ISNUMBER('Council Entry'!R$9)),MAX(MIN('Council Entry'!R142,'Council Entry'!R$9),'Council Entry'!R$8),'Council Entry'!R142))))-'Council Entry'!R$5)/('Council Entry'!R$6-'Council Entry'!R$5),10*((IF('Council Entry'!R$4="Logarithm",LN(0.001+IF(AND(ISNUMBER('Council Entry'!R$8),ISNUMBER('Council Entry'!R$9)),MAX(MIN('Council Entry'!R142,'Council Entry'!R$9),'Council Entry'!R$8),'Council Entry'!R142)),IF('Council Entry'!R$4="Exponential",EXP(IF(AND(ISNUMBER('Council Entry'!R$8),ISNUMBER('Council Entry'!R$9)),MAX(MIN('Council Entry'!R142,'Council Entry'!R$9),'Council Entry'!R$8),'Council Entry'!R142)),IF(AND(ISNUMBER('Council Entry'!R$8),ISNUMBER('Council Entry'!R$9)),MAX(MIN('Council Entry'!R142,'Council Entry'!R$9),'Council Entry'!R$8),'Council Entry'!R142))))-'Council Entry'!R$5)/('Council Entry'!R$6-'Council Entry'!R$5)),1))),"No data"))</f>
        <v/>
      </c>
      <c r="S142" s="13">
        <f>IF('Council Entry'!S142="","",IFERROR(MAX(0,MIN(10,ROUND(IF('Council Entry'!S$7="Decrease Risk",10-10*((IF('Council Entry'!S$4="Logarithm",LN(0.001+IF(AND(ISNUMBER('Council Entry'!S$8),ISNUMBER('Council Entry'!S$9)),MAX(MIN('Council Entry'!S142,'Council Entry'!S$9),'Council Entry'!S$8),'Council Entry'!S142)),IF('Council Entry'!S$4="Exponential",EXP(IF(AND(ISNUMBER('Council Entry'!S$8),ISNUMBER('Council Entry'!S$9)),MAX(MIN('Council Entry'!S142,'Council Entry'!S$9),'Council Entry'!S$8),'Council Entry'!S142)),IF(AND(ISNUMBER('Council Entry'!S$8),ISNUMBER('Council Entry'!S$9)),MAX(MIN('Council Entry'!S142,'Council Entry'!S$9),'Council Entry'!S$8),'Council Entry'!S142))))-'Council Entry'!S$5)/('Council Entry'!S$6-'Council Entry'!S$5),10*((IF('Council Entry'!S$4="Logarithm",LN(0.001+IF(AND(ISNUMBER('Council Entry'!S$8),ISNUMBER('Council Entry'!S$9)),MAX(MIN('Council Entry'!S142,'Council Entry'!S$9),'Council Entry'!S$8),'Council Entry'!S142)),IF('Council Entry'!S$4="Exponential",EXP(IF(AND(ISNUMBER('Council Entry'!S$8),ISNUMBER('Council Entry'!S$9)),MAX(MIN('Council Entry'!S142,'Council Entry'!S$9),'Council Entry'!S$8),'Council Entry'!S142)),IF(AND(ISNUMBER('Council Entry'!S$8),ISNUMBER('Council Entry'!S$9)),MAX(MIN('Council Entry'!S142,'Council Entry'!S$9),'Council Entry'!S$8),'Council Entry'!S142))))-'Council Entry'!S$5)/('Council Entry'!S$6-'Council Entry'!S$5)),1))),"No data"))</f>
        <v/>
      </c>
      <c r="T142" s="13">
        <f>IF('Council Entry'!T142="","",IFERROR(MAX(0,MIN(10,ROUND(IF('Council Entry'!T$7="Decrease Risk",10-10*((IF('Council Entry'!T$4="Logarithm",LN(0.001+IF(AND(ISNUMBER('Council Entry'!T$8),ISNUMBER('Council Entry'!T$9)),MAX(MIN('Council Entry'!T142,'Council Entry'!T$9),'Council Entry'!T$8),'Council Entry'!T142)),IF('Council Entry'!T$4="Exponential",EXP(IF(AND(ISNUMBER('Council Entry'!T$8),ISNUMBER('Council Entry'!T$9)),MAX(MIN('Council Entry'!T142,'Council Entry'!T$9),'Council Entry'!T$8),'Council Entry'!T142)),IF(AND(ISNUMBER('Council Entry'!T$8),ISNUMBER('Council Entry'!T$9)),MAX(MIN('Council Entry'!T142,'Council Entry'!T$9),'Council Entry'!T$8),'Council Entry'!T142))))-'Council Entry'!T$5)/('Council Entry'!T$6-'Council Entry'!T$5),10*((IF('Council Entry'!T$4="Logarithm",LN(0.001+IF(AND(ISNUMBER('Council Entry'!T$8),ISNUMBER('Council Entry'!T$9)),MAX(MIN('Council Entry'!T142,'Council Entry'!T$9),'Council Entry'!T$8),'Council Entry'!T142)),IF('Council Entry'!T$4="Exponential",EXP(IF(AND(ISNUMBER('Council Entry'!T$8),ISNUMBER('Council Entry'!T$9)),MAX(MIN('Council Entry'!T142,'Council Entry'!T$9),'Council Entry'!T$8),'Council Entry'!T142)),IF(AND(ISNUMBER('Council Entry'!T$8),ISNUMBER('Council Entry'!T$9)),MAX(MIN('Council Entry'!T142,'Council Entry'!T$9),'Council Entry'!T$8),'Council Entry'!T142))))-'Council Entry'!T$5)/('Council Entry'!T$6-'Council Entry'!T$5)),1))),"No data"))</f>
        <v/>
      </c>
      <c r="U142" s="13">
        <f>IF('Council Entry'!U142="","",IFERROR(MAX(0,MIN(10,ROUND(IF('Council Entry'!U$7="Decrease Risk",10-10*((IF('Council Entry'!U$4="Logarithm",LN(0.001+IF(AND(ISNUMBER('Council Entry'!U$8),ISNUMBER('Council Entry'!U$9)),MAX(MIN('Council Entry'!U142,'Council Entry'!U$9),'Council Entry'!U$8),'Council Entry'!U142)),IF('Council Entry'!U$4="Exponential",EXP(IF(AND(ISNUMBER('Council Entry'!U$8),ISNUMBER('Council Entry'!U$9)),MAX(MIN('Council Entry'!U142,'Council Entry'!U$9),'Council Entry'!U$8),'Council Entry'!U142)),IF(AND(ISNUMBER('Council Entry'!U$8),ISNUMBER('Council Entry'!U$9)),MAX(MIN('Council Entry'!U142,'Council Entry'!U$9),'Council Entry'!U$8),'Council Entry'!U142))))-'Council Entry'!U$5)/('Council Entry'!U$6-'Council Entry'!U$5),10*((IF('Council Entry'!U$4="Logarithm",LN(0.001+IF(AND(ISNUMBER('Council Entry'!U$8),ISNUMBER('Council Entry'!U$9)),MAX(MIN('Council Entry'!U142,'Council Entry'!U$9),'Council Entry'!U$8),'Council Entry'!U142)),IF('Council Entry'!U$4="Exponential",EXP(IF(AND(ISNUMBER('Council Entry'!U$8),ISNUMBER('Council Entry'!U$9)),MAX(MIN('Council Entry'!U142,'Council Entry'!U$9),'Council Entry'!U$8),'Council Entry'!U142)),IF(AND(ISNUMBER('Council Entry'!U$8),ISNUMBER('Council Entry'!U$9)),MAX(MIN('Council Entry'!U142,'Council Entry'!U$9),'Council Entry'!U$8),'Council Entry'!U142))))-'Council Entry'!U$5)/('Council Entry'!U$6-'Council Entry'!U$5)),1))),"No data"))</f>
        <v/>
      </c>
      <c r="V142" s="13">
        <f>IF('Council Entry'!V142="","",IFERROR(MAX(0,MIN(10,ROUND(IF('Council Entry'!V$7="Decrease Risk",10-10*((IF('Council Entry'!V$4="Logarithm",LN(0.001+IF(AND(ISNUMBER('Council Entry'!V$8),ISNUMBER('Council Entry'!V$9)),MAX(MIN('Council Entry'!V142,'Council Entry'!V$9),'Council Entry'!V$8),'Council Entry'!V142)),IF('Council Entry'!V$4="Exponential",EXP(IF(AND(ISNUMBER('Council Entry'!V$8),ISNUMBER('Council Entry'!V$9)),MAX(MIN('Council Entry'!V142,'Council Entry'!V$9),'Council Entry'!V$8),'Council Entry'!V142)),IF(AND(ISNUMBER('Council Entry'!V$8),ISNUMBER('Council Entry'!V$9)),MAX(MIN('Council Entry'!V142,'Council Entry'!V$9),'Council Entry'!V$8),'Council Entry'!V142))))-'Council Entry'!V$5)/('Council Entry'!V$6-'Council Entry'!V$5),10*((IF('Council Entry'!V$4="Logarithm",LN(0.001+IF(AND(ISNUMBER('Council Entry'!V$8),ISNUMBER('Council Entry'!V$9)),MAX(MIN('Council Entry'!V142,'Council Entry'!V$9),'Council Entry'!V$8),'Council Entry'!V142)),IF('Council Entry'!V$4="Exponential",EXP(IF(AND(ISNUMBER('Council Entry'!V$8),ISNUMBER('Council Entry'!V$9)),MAX(MIN('Council Entry'!V142,'Council Entry'!V$9),'Council Entry'!V$8),'Council Entry'!V142)),IF(AND(ISNUMBER('Council Entry'!V$8),ISNUMBER('Council Entry'!V$9)),MAX(MIN('Council Entry'!V142,'Council Entry'!V$9),'Council Entry'!V$8),'Council Entry'!V142))))-'Council Entry'!V$5)/('Council Entry'!V$6-'Council Entry'!V$5)),1))),"No data"))</f>
        <v/>
      </c>
      <c r="W142" s="13">
        <f>IF('Council Entry'!W142="","",IFERROR(MAX(0,MIN(10,ROUND(IF('Council Entry'!W$7="Decrease Risk",10-10*((IF('Council Entry'!W$4="Logarithm",LN(0.001+IF(AND(ISNUMBER('Council Entry'!W$8),ISNUMBER('Council Entry'!W$9)),MAX(MIN('Council Entry'!W142,'Council Entry'!W$9),'Council Entry'!W$8),'Council Entry'!W142)),IF('Council Entry'!W$4="Exponential",EXP(IF(AND(ISNUMBER('Council Entry'!W$8),ISNUMBER('Council Entry'!W$9)),MAX(MIN('Council Entry'!W142,'Council Entry'!W$9),'Council Entry'!W$8),'Council Entry'!W142)),IF(AND(ISNUMBER('Council Entry'!W$8),ISNUMBER('Council Entry'!W$9)),MAX(MIN('Council Entry'!W142,'Council Entry'!W$9),'Council Entry'!W$8),'Council Entry'!W142))))-'Council Entry'!W$5)/('Council Entry'!W$6-'Council Entry'!W$5),10*((IF('Council Entry'!W$4="Logarithm",LN(0.001+IF(AND(ISNUMBER('Council Entry'!W$8),ISNUMBER('Council Entry'!W$9)),MAX(MIN('Council Entry'!W142,'Council Entry'!W$9),'Council Entry'!W$8),'Council Entry'!W142)),IF('Council Entry'!W$4="Exponential",EXP(IF(AND(ISNUMBER('Council Entry'!W$8),ISNUMBER('Council Entry'!W$9)),MAX(MIN('Council Entry'!W142,'Council Entry'!W$9),'Council Entry'!W$8),'Council Entry'!W142)),IF(AND(ISNUMBER('Council Entry'!W$8),ISNUMBER('Council Entry'!W$9)),MAX(MIN('Council Entry'!W142,'Council Entry'!W$9),'Council Entry'!W$8),'Council Entry'!W142))))-'Council Entry'!W$5)/('Council Entry'!W$6-'Council Entry'!W$5)),1))),"No data"))</f>
        <v/>
      </c>
      <c r="X142" s="13">
        <f>IF('Council Entry'!X142="","",IFERROR(MAX(0,MIN(10,ROUND(IF('Council Entry'!X$7="Decrease Risk",10-10*((IF('Council Entry'!X$4="Logarithm",LN(0.001+IF(AND(ISNUMBER('Council Entry'!X$8),ISNUMBER('Council Entry'!X$9)),MAX(MIN('Council Entry'!X142,'Council Entry'!X$9),'Council Entry'!X$8),'Council Entry'!X142)),IF('Council Entry'!X$4="Exponential",EXP(IF(AND(ISNUMBER('Council Entry'!X$8),ISNUMBER('Council Entry'!X$9)),MAX(MIN('Council Entry'!X142,'Council Entry'!X$9),'Council Entry'!X$8),'Council Entry'!X142)),IF(AND(ISNUMBER('Council Entry'!X$8),ISNUMBER('Council Entry'!X$9)),MAX(MIN('Council Entry'!X142,'Council Entry'!X$9),'Council Entry'!X$8),'Council Entry'!X142))))-'Council Entry'!X$5)/('Council Entry'!X$6-'Council Entry'!X$5),10*((IF('Council Entry'!X$4="Logarithm",LN(0.001+IF(AND(ISNUMBER('Council Entry'!X$8),ISNUMBER('Council Entry'!X$9)),MAX(MIN('Council Entry'!X142,'Council Entry'!X$9),'Council Entry'!X$8),'Council Entry'!X142)),IF('Council Entry'!X$4="Exponential",EXP(IF(AND(ISNUMBER('Council Entry'!X$8),ISNUMBER('Council Entry'!X$9)),MAX(MIN('Council Entry'!X142,'Council Entry'!X$9),'Council Entry'!X$8),'Council Entry'!X142)),IF(AND(ISNUMBER('Council Entry'!X$8),ISNUMBER('Council Entry'!X$9)),MAX(MIN('Council Entry'!X142,'Council Entry'!X$9),'Council Entry'!X$8),'Council Entry'!X142))))-'Council Entry'!X$5)/('Council Entry'!X$6-'Council Entry'!X$5)),1))),"No data"))</f>
        <v/>
      </c>
      <c r="Y142" s="13">
        <f>IF('Council Entry'!Y142="","",IFERROR(MAX(0,MIN(10,ROUND(IF('Council Entry'!Y$7="Decrease Risk",10-10*((IF('Council Entry'!Y$4="Logarithm",LN(0.001+IF(AND(ISNUMBER('Council Entry'!Y$8),ISNUMBER('Council Entry'!Y$9)),MAX(MIN('Council Entry'!Y142,'Council Entry'!Y$9),'Council Entry'!Y$8),'Council Entry'!Y142)),IF('Council Entry'!Y$4="Exponential",EXP(IF(AND(ISNUMBER('Council Entry'!Y$8),ISNUMBER('Council Entry'!Y$9)),MAX(MIN('Council Entry'!Y142,'Council Entry'!Y$9),'Council Entry'!Y$8),'Council Entry'!Y142)),IF(AND(ISNUMBER('Council Entry'!Y$8),ISNUMBER('Council Entry'!Y$9)),MAX(MIN('Council Entry'!Y142,'Council Entry'!Y$9),'Council Entry'!Y$8),'Council Entry'!Y142))))-'Council Entry'!Y$5)/('Council Entry'!Y$6-'Council Entry'!Y$5),10*((IF('Council Entry'!Y$4="Logarithm",LN(0.001+IF(AND(ISNUMBER('Council Entry'!Y$8),ISNUMBER('Council Entry'!Y$9)),MAX(MIN('Council Entry'!Y142,'Council Entry'!Y$9),'Council Entry'!Y$8),'Council Entry'!Y142)),IF('Council Entry'!Y$4="Exponential",EXP(IF(AND(ISNUMBER('Council Entry'!Y$8),ISNUMBER('Council Entry'!Y$9)),MAX(MIN('Council Entry'!Y142,'Council Entry'!Y$9),'Council Entry'!Y$8),'Council Entry'!Y142)),IF(AND(ISNUMBER('Council Entry'!Y$8),ISNUMBER('Council Entry'!Y$9)),MAX(MIN('Council Entry'!Y142,'Council Entry'!Y$9),'Council Entry'!Y$8),'Council Entry'!Y142))))-'Council Entry'!Y$5)/('Council Entry'!Y$6-'Council Entry'!Y$5)),1))),"No data"))</f>
        <v/>
      </c>
      <c r="Z142" s="13">
        <f>IF('Council Entry'!Z142="","",IFERROR(MAX(0,MIN(10,ROUND(IF('Council Entry'!Z$7="Decrease Risk",10-10*((IF('Council Entry'!Z$4="Logarithm",LN(0.001+IF(AND(ISNUMBER('Council Entry'!Z$8),ISNUMBER('Council Entry'!Z$9)),MAX(MIN('Council Entry'!Z142,'Council Entry'!Z$9),'Council Entry'!Z$8),'Council Entry'!Z142)),IF('Council Entry'!Z$4="Exponential",EXP(IF(AND(ISNUMBER('Council Entry'!Z$8),ISNUMBER('Council Entry'!Z$9)),MAX(MIN('Council Entry'!Z142,'Council Entry'!Z$9),'Council Entry'!Z$8),'Council Entry'!Z142)),IF(AND(ISNUMBER('Council Entry'!Z$8),ISNUMBER('Council Entry'!Z$9)),MAX(MIN('Council Entry'!Z142,'Council Entry'!Z$9),'Council Entry'!Z$8),'Council Entry'!Z142))))-'Council Entry'!Z$5)/('Council Entry'!Z$6-'Council Entry'!Z$5),10*((IF('Council Entry'!Z$4="Logarithm",LN(0.001+IF(AND(ISNUMBER('Council Entry'!Z$8),ISNUMBER('Council Entry'!Z$9)),MAX(MIN('Council Entry'!Z142,'Council Entry'!Z$9),'Council Entry'!Z$8),'Council Entry'!Z142)),IF('Council Entry'!Z$4="Exponential",EXP(IF(AND(ISNUMBER('Council Entry'!Z$8),ISNUMBER('Council Entry'!Z$9)),MAX(MIN('Council Entry'!Z142,'Council Entry'!Z$9),'Council Entry'!Z$8),'Council Entry'!Z142)),IF(AND(ISNUMBER('Council Entry'!Z$8),ISNUMBER('Council Entry'!Z$9)),MAX(MIN('Council Entry'!Z142,'Council Entry'!Z$9),'Council Entry'!Z$8),'Council Entry'!Z142))))-'Council Entry'!Z$5)/('Council Entry'!Z$6-'Council Entry'!Z$5)),1))),"No data"))</f>
        <v/>
      </c>
      <c r="AA142" s="13">
        <f>IF('Council Entry'!AA142="","",IFERROR(MAX(0,MIN(10,ROUND(IF('Council Entry'!AA$7="Decrease Risk",10-10*((IF('Council Entry'!AA$4="Logarithm",LN(0.001+IF(AND(ISNUMBER('Council Entry'!AA$8),ISNUMBER('Council Entry'!AA$9)),MAX(MIN('Council Entry'!AA142,'Council Entry'!AA$9),'Council Entry'!AA$8),'Council Entry'!AA142)),IF('Council Entry'!AA$4="Exponential",EXP(IF(AND(ISNUMBER('Council Entry'!AA$8),ISNUMBER('Council Entry'!AA$9)),MAX(MIN('Council Entry'!AA142,'Council Entry'!AA$9),'Council Entry'!AA$8),'Council Entry'!AA142)),IF(AND(ISNUMBER('Council Entry'!AA$8),ISNUMBER('Council Entry'!AA$9)),MAX(MIN('Council Entry'!AA142,'Council Entry'!AA$9),'Council Entry'!AA$8),'Council Entry'!AA142))))-'Council Entry'!AA$5)/('Council Entry'!AA$6-'Council Entry'!AA$5),10*((IF('Council Entry'!AA$4="Logarithm",LN(0.001+IF(AND(ISNUMBER('Council Entry'!AA$8),ISNUMBER('Council Entry'!AA$9)),MAX(MIN('Council Entry'!AA142,'Council Entry'!AA$9),'Council Entry'!AA$8),'Council Entry'!AA142)),IF('Council Entry'!AA$4="Exponential",EXP(IF(AND(ISNUMBER('Council Entry'!AA$8),ISNUMBER('Council Entry'!AA$9)),MAX(MIN('Council Entry'!AA142,'Council Entry'!AA$9),'Council Entry'!AA$8),'Council Entry'!AA142)),IF(AND(ISNUMBER('Council Entry'!AA$8),ISNUMBER('Council Entry'!AA$9)),MAX(MIN('Council Entry'!AA142,'Council Entry'!AA$9),'Council Entry'!AA$8),'Council Entry'!AA142))))-'Council Entry'!AA$5)/('Council Entry'!AA$6-'Council Entry'!AA$5)),1))),"No data"))</f>
        <v/>
      </c>
      <c r="AB142" s="13">
        <f>IF('Council Entry'!AB142="","",IFERROR(MAX(0,MIN(10,ROUND(IF('Council Entry'!AB$7="Decrease Risk",10-10*((IF('Council Entry'!AB$4="Logarithm",LN(0.001+IF(AND(ISNUMBER('Council Entry'!AB$8),ISNUMBER('Council Entry'!AB$9)),MAX(MIN('Council Entry'!AB142,'Council Entry'!AB$9),'Council Entry'!AB$8),'Council Entry'!AB142)),IF('Council Entry'!AB$4="Exponential",EXP(IF(AND(ISNUMBER('Council Entry'!AB$8),ISNUMBER('Council Entry'!AB$9)),MAX(MIN('Council Entry'!AB142,'Council Entry'!AB$9),'Council Entry'!AB$8),'Council Entry'!AB142)),IF(AND(ISNUMBER('Council Entry'!AB$8),ISNUMBER('Council Entry'!AB$9)),MAX(MIN('Council Entry'!AB142,'Council Entry'!AB$9),'Council Entry'!AB$8),'Council Entry'!AB142))))-'Council Entry'!AB$5)/('Council Entry'!AB$6-'Council Entry'!AB$5),10*((IF('Council Entry'!AB$4="Logarithm",LN(0.001+IF(AND(ISNUMBER('Council Entry'!AB$8),ISNUMBER('Council Entry'!AB$9)),MAX(MIN('Council Entry'!AB142,'Council Entry'!AB$9),'Council Entry'!AB$8),'Council Entry'!AB142)),IF('Council Entry'!AB$4="Exponential",EXP(IF(AND(ISNUMBER('Council Entry'!AB$8),ISNUMBER('Council Entry'!AB$9)),MAX(MIN('Council Entry'!AB142,'Council Entry'!AB$9),'Council Entry'!AB$8),'Council Entry'!AB142)),IF(AND(ISNUMBER('Council Entry'!AB$8),ISNUMBER('Council Entry'!AB$9)),MAX(MIN('Council Entry'!AB142,'Council Entry'!AB$9),'Council Entry'!AB$8),'Council Entry'!AB142))))-'Council Entry'!AB$5)/('Council Entry'!AB$6-'Council Entry'!AB$5)),1))),"No data"))</f>
        <v/>
      </c>
      <c r="AC142" s="13">
        <f>IF('Council Entry'!AC142="","",IFERROR(MAX(0,MIN(10,ROUND(IF('Council Entry'!AC$7="Decrease Risk",10-10*((IF('Council Entry'!AC$4="Logarithm",LN(0.001+IF(AND(ISNUMBER('Council Entry'!AC$8),ISNUMBER('Council Entry'!AC$9)),MAX(MIN('Council Entry'!AC142,'Council Entry'!AC$9),'Council Entry'!AC$8),'Council Entry'!AC142)),IF('Council Entry'!AC$4="Exponential",EXP(IF(AND(ISNUMBER('Council Entry'!AC$8),ISNUMBER('Council Entry'!AC$9)),MAX(MIN('Council Entry'!AC142,'Council Entry'!AC$9),'Council Entry'!AC$8),'Council Entry'!AC142)),IF(AND(ISNUMBER('Council Entry'!AC$8),ISNUMBER('Council Entry'!AC$9)),MAX(MIN('Council Entry'!AC142,'Council Entry'!AC$9),'Council Entry'!AC$8),'Council Entry'!AC142))))-'Council Entry'!AC$5)/('Council Entry'!AC$6-'Council Entry'!AC$5),10*((IF('Council Entry'!AC$4="Logarithm",LN(0.001+IF(AND(ISNUMBER('Council Entry'!AC$8),ISNUMBER('Council Entry'!AC$9)),MAX(MIN('Council Entry'!AC142,'Council Entry'!AC$9),'Council Entry'!AC$8),'Council Entry'!AC142)),IF('Council Entry'!AC$4="Exponential",EXP(IF(AND(ISNUMBER('Council Entry'!AC$8),ISNUMBER('Council Entry'!AC$9)),MAX(MIN('Council Entry'!AC142,'Council Entry'!AC$9),'Council Entry'!AC$8),'Council Entry'!AC142)),IF(AND(ISNUMBER('Council Entry'!AC$8),ISNUMBER('Council Entry'!AC$9)),MAX(MIN('Council Entry'!AC142,'Council Entry'!AC$9),'Council Entry'!AC$8),'Council Entry'!AC142))))-'Council Entry'!AC$5)/('Council Entry'!AC$6-'Council Entry'!AC$5)),1))),"No data"))</f>
        <v/>
      </c>
      <c r="AD142" s="13">
        <f>IF('Council Entry'!AD142="","",IFERROR(MAX(0,MIN(10,ROUND(IF('Council Entry'!AD$7="Decrease Risk",10-10*((IF('Council Entry'!AD$4="Logarithm",LN(0.001+IF(AND(ISNUMBER('Council Entry'!AD$8),ISNUMBER('Council Entry'!AD$9)),MAX(MIN('Council Entry'!AD142,'Council Entry'!AD$9),'Council Entry'!AD$8),'Council Entry'!AD142)),IF('Council Entry'!AD$4="Exponential",EXP(IF(AND(ISNUMBER('Council Entry'!AD$8),ISNUMBER('Council Entry'!AD$9)),MAX(MIN('Council Entry'!AD142,'Council Entry'!AD$9),'Council Entry'!AD$8),'Council Entry'!AD142)),IF(AND(ISNUMBER('Council Entry'!AD$8),ISNUMBER('Council Entry'!AD$9)),MAX(MIN('Council Entry'!AD142,'Council Entry'!AD$9),'Council Entry'!AD$8),'Council Entry'!AD142))))-'Council Entry'!AD$5)/('Council Entry'!AD$6-'Council Entry'!AD$5),10*((IF('Council Entry'!AD$4="Logarithm",LN(0.001+IF(AND(ISNUMBER('Council Entry'!AD$8),ISNUMBER('Council Entry'!AD$9)),MAX(MIN('Council Entry'!AD142,'Council Entry'!AD$9),'Council Entry'!AD$8),'Council Entry'!AD142)),IF('Council Entry'!AD$4="Exponential",EXP(IF(AND(ISNUMBER('Council Entry'!AD$8),ISNUMBER('Council Entry'!AD$9)),MAX(MIN('Council Entry'!AD142,'Council Entry'!AD$9),'Council Entry'!AD$8),'Council Entry'!AD142)),IF(AND(ISNUMBER('Council Entry'!AD$8),ISNUMBER('Council Entry'!AD$9)),MAX(MIN('Council Entry'!AD142,'Council Entry'!AD$9),'Council Entry'!AD$8),'Council Entry'!AD142))))-'Council Entry'!AD$5)/('Council Entry'!AD$6-'Council Entry'!AD$5)),1))),"No data"))</f>
        <v/>
      </c>
      <c r="AE142" s="13">
        <f>IF('Council Entry'!AE142="","",IFERROR(MAX(0,MIN(10,ROUND(IF('Council Entry'!AE$7="Decrease Risk",10-10*((IF('Council Entry'!AE$4="Logarithm",LN(0.001+IF(AND(ISNUMBER('Council Entry'!AE$8),ISNUMBER('Council Entry'!AE$9)),MAX(MIN('Council Entry'!AE142,'Council Entry'!AE$9),'Council Entry'!AE$8),'Council Entry'!AE142)),IF('Council Entry'!AE$4="Exponential",EXP(IF(AND(ISNUMBER('Council Entry'!AE$8),ISNUMBER('Council Entry'!AE$9)),MAX(MIN('Council Entry'!AE142,'Council Entry'!AE$9),'Council Entry'!AE$8),'Council Entry'!AE142)),IF(AND(ISNUMBER('Council Entry'!AE$8),ISNUMBER('Council Entry'!AE$9)),MAX(MIN('Council Entry'!AE142,'Council Entry'!AE$9),'Council Entry'!AE$8),'Council Entry'!AE142))))-'Council Entry'!AE$5)/('Council Entry'!AE$6-'Council Entry'!AE$5),10*((IF('Council Entry'!AE$4="Logarithm",LN(0.001+IF(AND(ISNUMBER('Council Entry'!AE$8),ISNUMBER('Council Entry'!AE$9)),MAX(MIN('Council Entry'!AE142,'Council Entry'!AE$9),'Council Entry'!AE$8),'Council Entry'!AE142)),IF('Council Entry'!AE$4="Exponential",EXP(IF(AND(ISNUMBER('Council Entry'!AE$8),ISNUMBER('Council Entry'!AE$9)),MAX(MIN('Council Entry'!AE142,'Council Entry'!AE$9),'Council Entry'!AE$8),'Council Entry'!AE142)),IF(AND(ISNUMBER('Council Entry'!AE$8),ISNUMBER('Council Entry'!AE$9)),MAX(MIN('Council Entry'!AE142,'Council Entry'!AE$9),'Council Entry'!AE$8),'Council Entry'!AE142))))-'Council Entry'!AE$5)/('Council Entry'!AE$6-'Council Entry'!AE$5)),1))),"No data"))</f>
        <v/>
      </c>
      <c r="AF142" s="13">
        <f>IF('Council Entry'!AF142="","",IFERROR(MAX(0,MIN(10,ROUND(IF('Council Entry'!AF$7="Decrease Risk",10-10*((IF('Council Entry'!AF$4="Logarithm",LN(0.001+IF(AND(ISNUMBER('Council Entry'!AF$8),ISNUMBER('Council Entry'!AF$9)),MAX(MIN('Council Entry'!AF142,'Council Entry'!AF$9),'Council Entry'!AF$8),'Council Entry'!AF142)),IF('Council Entry'!AF$4="Exponential",EXP(IF(AND(ISNUMBER('Council Entry'!AF$8),ISNUMBER('Council Entry'!AF$9)),MAX(MIN('Council Entry'!AF142,'Council Entry'!AF$9),'Council Entry'!AF$8),'Council Entry'!AF142)),IF(AND(ISNUMBER('Council Entry'!AF$8),ISNUMBER('Council Entry'!AF$9)),MAX(MIN('Council Entry'!AF142,'Council Entry'!AF$9),'Council Entry'!AF$8),'Council Entry'!AF142))))-'Council Entry'!AF$5)/('Council Entry'!AF$6-'Council Entry'!AF$5),10*((IF('Council Entry'!AF$4="Logarithm",LN(0.001+IF(AND(ISNUMBER('Council Entry'!AF$8),ISNUMBER('Council Entry'!AF$9)),MAX(MIN('Council Entry'!AF142,'Council Entry'!AF$9),'Council Entry'!AF$8),'Council Entry'!AF142)),IF('Council Entry'!AF$4="Exponential",EXP(IF(AND(ISNUMBER('Council Entry'!AF$8),ISNUMBER('Council Entry'!AF$9)),MAX(MIN('Council Entry'!AF142,'Council Entry'!AF$9),'Council Entry'!AF$8),'Council Entry'!AF142)),IF(AND(ISNUMBER('Council Entry'!AF$8),ISNUMBER('Council Entry'!AF$9)),MAX(MIN('Council Entry'!AF142,'Council Entry'!AF$9),'Council Entry'!AF$8),'Council Entry'!AF142))))-'Council Entry'!AF$5)/('Council Entry'!AF$6-'Council Entry'!AF$5)),1))),"No data"))</f>
        <v/>
      </c>
      <c r="AG142" s="13">
        <f>IF('Council Entry'!AG142="","",IFERROR(MAX(0,MIN(10,ROUND(IF('Council Entry'!AG$7="Decrease Risk",10-10*((IF('Council Entry'!AG$4="Logarithm",LN(0.001+IF(AND(ISNUMBER('Council Entry'!AG$8),ISNUMBER('Council Entry'!AG$9)),MAX(MIN('Council Entry'!AG142,'Council Entry'!AG$9),'Council Entry'!AG$8),'Council Entry'!AG142)),IF('Council Entry'!AG$4="Exponential",EXP(IF(AND(ISNUMBER('Council Entry'!AG$8),ISNUMBER('Council Entry'!AG$9)),MAX(MIN('Council Entry'!AG142,'Council Entry'!AG$9),'Council Entry'!AG$8),'Council Entry'!AG142)),IF(AND(ISNUMBER('Council Entry'!AG$8),ISNUMBER('Council Entry'!AG$9)),MAX(MIN('Council Entry'!AG142,'Council Entry'!AG$9),'Council Entry'!AG$8),'Council Entry'!AG142))))-'Council Entry'!AG$5)/('Council Entry'!AG$6-'Council Entry'!AG$5),10*((IF('Council Entry'!AG$4="Logarithm",LN(0.001+IF(AND(ISNUMBER('Council Entry'!AG$8),ISNUMBER('Council Entry'!AG$9)),MAX(MIN('Council Entry'!AG142,'Council Entry'!AG$9),'Council Entry'!AG$8),'Council Entry'!AG142)),IF('Council Entry'!AG$4="Exponential",EXP(IF(AND(ISNUMBER('Council Entry'!AG$8),ISNUMBER('Council Entry'!AG$9)),MAX(MIN('Council Entry'!AG142,'Council Entry'!AG$9),'Council Entry'!AG$8),'Council Entry'!AG142)),IF(AND(ISNUMBER('Council Entry'!AG$8),ISNUMBER('Council Entry'!AG$9)),MAX(MIN('Council Entry'!AG142,'Council Entry'!AG$9),'Council Entry'!AG$8),'Council Entry'!AG142))))-'Council Entry'!AG$5)/('Council Entry'!AG$6-'Council Entry'!AG$5)),1))),"No data"))</f>
        <v/>
      </c>
      <c r="AH142" s="13">
        <f>IF('Council Entry'!AH142="","",IFERROR(MAX(0,MIN(10,ROUND(IF('Council Entry'!AH$7="Decrease Risk",10-10*((IF('Council Entry'!AH$4="Logarithm",LN(0.001+IF(AND(ISNUMBER('Council Entry'!AH$8),ISNUMBER('Council Entry'!AH$9)),MAX(MIN('Council Entry'!AH142,'Council Entry'!AH$9),'Council Entry'!AH$8),'Council Entry'!AH142)),IF('Council Entry'!AH$4="Exponential",EXP(IF(AND(ISNUMBER('Council Entry'!AH$8),ISNUMBER('Council Entry'!AH$9)),MAX(MIN('Council Entry'!AH142,'Council Entry'!AH$9),'Council Entry'!AH$8),'Council Entry'!AH142)),IF(AND(ISNUMBER('Council Entry'!AH$8),ISNUMBER('Council Entry'!AH$9)),MAX(MIN('Council Entry'!AH142,'Council Entry'!AH$9),'Council Entry'!AH$8),'Council Entry'!AH142))))-'Council Entry'!AH$5)/('Council Entry'!AH$6-'Council Entry'!AH$5),10*((IF('Council Entry'!AH$4="Logarithm",LN(0.001+IF(AND(ISNUMBER('Council Entry'!AH$8),ISNUMBER('Council Entry'!AH$9)),MAX(MIN('Council Entry'!AH142,'Council Entry'!AH$9),'Council Entry'!AH$8),'Council Entry'!AH142)),IF('Council Entry'!AH$4="Exponential",EXP(IF(AND(ISNUMBER('Council Entry'!AH$8),ISNUMBER('Council Entry'!AH$9)),MAX(MIN('Council Entry'!AH142,'Council Entry'!AH$9),'Council Entry'!AH$8),'Council Entry'!AH142)),IF(AND(ISNUMBER('Council Entry'!AH$8),ISNUMBER('Council Entry'!AH$9)),MAX(MIN('Council Entry'!AH142,'Council Entry'!AH$9),'Council Entry'!AH$8),'Council Entry'!AH142))))-'Council Entry'!AH$5)/('Council Entry'!AH$6-'Council Entry'!AH$5)),1))),"No data"))</f>
        <v/>
      </c>
      <c r="AI142" s="13">
        <f>IF('Council Entry'!AI142="","",IFERROR(MAX(0,MIN(10,ROUND(IF('Council Entry'!AI$7="Decrease Risk",10-10*((IF('Council Entry'!AI$4="Logarithm",LN(0.001+IF(AND(ISNUMBER('Council Entry'!AI$8),ISNUMBER('Council Entry'!AI$9)),MAX(MIN('Council Entry'!AI142,'Council Entry'!AI$9),'Council Entry'!AI$8),'Council Entry'!AI142)),IF('Council Entry'!AI$4="Exponential",EXP(IF(AND(ISNUMBER('Council Entry'!AI$8),ISNUMBER('Council Entry'!AI$9)),MAX(MIN('Council Entry'!AI142,'Council Entry'!AI$9),'Council Entry'!AI$8),'Council Entry'!AI142)),IF(AND(ISNUMBER('Council Entry'!AI$8),ISNUMBER('Council Entry'!AI$9)),MAX(MIN('Council Entry'!AI142,'Council Entry'!AI$9),'Council Entry'!AI$8),'Council Entry'!AI142))))-'Council Entry'!AI$5)/('Council Entry'!AI$6-'Council Entry'!AI$5),10*((IF('Council Entry'!AI$4="Logarithm",LN(0.001+IF(AND(ISNUMBER('Council Entry'!AI$8),ISNUMBER('Council Entry'!AI$9)),MAX(MIN('Council Entry'!AI142,'Council Entry'!AI$9),'Council Entry'!AI$8),'Council Entry'!AI142)),IF('Council Entry'!AI$4="Exponential",EXP(IF(AND(ISNUMBER('Council Entry'!AI$8),ISNUMBER('Council Entry'!AI$9)),MAX(MIN('Council Entry'!AI142,'Council Entry'!AI$9),'Council Entry'!AI$8),'Council Entry'!AI142)),IF(AND(ISNUMBER('Council Entry'!AI$8),ISNUMBER('Council Entry'!AI$9)),MAX(MIN('Council Entry'!AI142,'Council Entry'!AI$9),'Council Entry'!AI$8),'Council Entry'!AI142))))-'Council Entry'!AI$5)/('Council Entry'!AI$6-'Council Entry'!AI$5)),1))),"No data"))</f>
        <v/>
      </c>
      <c r="AJ142" s="13">
        <f>IF('Council Entry'!AJ142="","",IFERROR(MAX(0,MIN(10,ROUND(IF('Council Entry'!AJ$7="Decrease Risk",10-10*((IF('Council Entry'!AJ$4="Logarithm",LN(0.001+IF(AND(ISNUMBER('Council Entry'!AJ$8),ISNUMBER('Council Entry'!AJ$9)),MAX(MIN('Council Entry'!AJ142,'Council Entry'!AJ$9),'Council Entry'!AJ$8),'Council Entry'!AJ142)),IF('Council Entry'!AJ$4="Exponential",EXP(IF(AND(ISNUMBER('Council Entry'!AJ$8),ISNUMBER('Council Entry'!AJ$9)),MAX(MIN('Council Entry'!AJ142,'Council Entry'!AJ$9),'Council Entry'!AJ$8),'Council Entry'!AJ142)),IF(AND(ISNUMBER('Council Entry'!AJ$8),ISNUMBER('Council Entry'!AJ$9)),MAX(MIN('Council Entry'!AJ142,'Council Entry'!AJ$9),'Council Entry'!AJ$8),'Council Entry'!AJ142))))-'Council Entry'!AJ$5)/('Council Entry'!AJ$6-'Council Entry'!AJ$5),10*((IF('Council Entry'!AJ$4="Logarithm",LN(0.001+IF(AND(ISNUMBER('Council Entry'!AJ$8),ISNUMBER('Council Entry'!AJ$9)),MAX(MIN('Council Entry'!AJ142,'Council Entry'!AJ$9),'Council Entry'!AJ$8),'Council Entry'!AJ142)),IF('Council Entry'!AJ$4="Exponential",EXP(IF(AND(ISNUMBER('Council Entry'!AJ$8),ISNUMBER('Council Entry'!AJ$9)),MAX(MIN('Council Entry'!AJ142,'Council Entry'!AJ$9),'Council Entry'!AJ$8),'Council Entry'!AJ142)),IF(AND(ISNUMBER('Council Entry'!AJ$8),ISNUMBER('Council Entry'!AJ$9)),MAX(MIN('Council Entry'!AJ142,'Council Entry'!AJ$9),'Council Entry'!AJ$8),'Council Entry'!AJ142))))-'Council Entry'!AJ$5)/('Council Entry'!AJ$6-'Council Entry'!AJ$5)),1))),"No data"))</f>
        <v/>
      </c>
      <c r="AK142" s="13">
        <f>IF('Council Entry'!AK142="","",IFERROR(MAX(0,MIN(10,ROUND(IF('Council Entry'!AK$7="Decrease Risk",10-10*((IF('Council Entry'!AK$4="Logarithm",LN(0.001+IF(AND(ISNUMBER('Council Entry'!AK$8),ISNUMBER('Council Entry'!AK$9)),MAX(MIN('Council Entry'!AK142,'Council Entry'!AK$9),'Council Entry'!AK$8),'Council Entry'!AK142)),IF('Council Entry'!AK$4="Exponential",EXP(IF(AND(ISNUMBER('Council Entry'!AK$8),ISNUMBER('Council Entry'!AK$9)),MAX(MIN('Council Entry'!AK142,'Council Entry'!AK$9),'Council Entry'!AK$8),'Council Entry'!AK142)),IF(AND(ISNUMBER('Council Entry'!AK$8),ISNUMBER('Council Entry'!AK$9)),MAX(MIN('Council Entry'!AK142,'Council Entry'!AK$9),'Council Entry'!AK$8),'Council Entry'!AK142))))-'Council Entry'!AK$5)/('Council Entry'!AK$6-'Council Entry'!AK$5),10*((IF('Council Entry'!AK$4="Logarithm",LN(0.001+IF(AND(ISNUMBER('Council Entry'!AK$8),ISNUMBER('Council Entry'!AK$9)),MAX(MIN('Council Entry'!AK142,'Council Entry'!AK$9),'Council Entry'!AK$8),'Council Entry'!AK142)),IF('Council Entry'!AK$4="Exponential",EXP(IF(AND(ISNUMBER('Council Entry'!AK$8),ISNUMBER('Council Entry'!AK$9)),MAX(MIN('Council Entry'!AK142,'Council Entry'!AK$9),'Council Entry'!AK$8),'Council Entry'!AK142)),IF(AND(ISNUMBER('Council Entry'!AK$8),ISNUMBER('Council Entry'!AK$9)),MAX(MIN('Council Entry'!AK142,'Council Entry'!AK$9),'Council Entry'!AK$8),'Council Entry'!AK142))))-'Council Entry'!AK$5)/('Council Entry'!AK$6-'Council Entry'!AK$5)),1))),"No data"))</f>
        <v/>
      </c>
      <c r="AL142" s="13">
        <f>IF('Council Entry'!AL142="","",IFERROR(MAX(0,MIN(10,ROUND(IF('Council Entry'!AL$7="Decrease Risk",10-10*((IF('Council Entry'!AL$4="Logarithm",LN(0.001+IF(AND(ISNUMBER('Council Entry'!AL$8),ISNUMBER('Council Entry'!AL$9)),MAX(MIN('Council Entry'!AL142,'Council Entry'!AL$9),'Council Entry'!AL$8),'Council Entry'!AL142)),IF('Council Entry'!AL$4="Exponential",EXP(IF(AND(ISNUMBER('Council Entry'!AL$8),ISNUMBER('Council Entry'!AL$9)),MAX(MIN('Council Entry'!AL142,'Council Entry'!AL$9),'Council Entry'!AL$8),'Council Entry'!AL142)),IF(AND(ISNUMBER('Council Entry'!AL$8),ISNUMBER('Council Entry'!AL$9)),MAX(MIN('Council Entry'!AL142,'Council Entry'!AL$9),'Council Entry'!AL$8),'Council Entry'!AL142))))-'Council Entry'!AL$5)/('Council Entry'!AL$6-'Council Entry'!AL$5),10*((IF('Council Entry'!AL$4="Logarithm",LN(0.001+IF(AND(ISNUMBER('Council Entry'!AL$8),ISNUMBER('Council Entry'!AL$9)),MAX(MIN('Council Entry'!AL142,'Council Entry'!AL$9),'Council Entry'!AL$8),'Council Entry'!AL142)),IF('Council Entry'!AL$4="Exponential",EXP(IF(AND(ISNUMBER('Council Entry'!AL$8),ISNUMBER('Council Entry'!AL$9)),MAX(MIN('Council Entry'!AL142,'Council Entry'!AL$9),'Council Entry'!AL$8),'Council Entry'!AL142)),IF(AND(ISNUMBER('Council Entry'!AL$8),ISNUMBER('Council Entry'!AL$9)),MAX(MIN('Council Entry'!AL142,'Council Entry'!AL$9),'Council Entry'!AL$8),'Council Entry'!AL142))))-'Council Entry'!AL$5)/('Council Entry'!AL$6-'Council Entry'!AL$5)),1))),"No data"))</f>
        <v/>
      </c>
      <c r="AM142" s="13">
        <f>IF('Council Entry'!AM142="","",IFERROR(MAX(0,MIN(10,ROUND(IF('Council Entry'!AM$7="Decrease Risk",10-10*((IF('Council Entry'!AM$4="Logarithm",LN(0.001+IF(AND(ISNUMBER('Council Entry'!AM$8),ISNUMBER('Council Entry'!AM$9)),MAX(MIN('Council Entry'!AM142,'Council Entry'!AM$9),'Council Entry'!AM$8),'Council Entry'!AM142)),IF('Council Entry'!AM$4="Exponential",EXP(IF(AND(ISNUMBER('Council Entry'!AM$8),ISNUMBER('Council Entry'!AM$9)),MAX(MIN('Council Entry'!AM142,'Council Entry'!AM$9),'Council Entry'!AM$8),'Council Entry'!AM142)),IF(AND(ISNUMBER('Council Entry'!AM$8),ISNUMBER('Council Entry'!AM$9)),MAX(MIN('Council Entry'!AM142,'Council Entry'!AM$9),'Council Entry'!AM$8),'Council Entry'!AM142))))-'Council Entry'!AM$5)/('Council Entry'!AM$6-'Council Entry'!AM$5),10*((IF('Council Entry'!AM$4="Logarithm",LN(0.001+IF(AND(ISNUMBER('Council Entry'!AM$8),ISNUMBER('Council Entry'!AM$9)),MAX(MIN('Council Entry'!AM142,'Council Entry'!AM$9),'Council Entry'!AM$8),'Council Entry'!AM142)),IF('Council Entry'!AM$4="Exponential",EXP(IF(AND(ISNUMBER('Council Entry'!AM$8),ISNUMBER('Council Entry'!AM$9)),MAX(MIN('Council Entry'!AM142,'Council Entry'!AM$9),'Council Entry'!AM$8),'Council Entry'!AM142)),IF(AND(ISNUMBER('Council Entry'!AM$8),ISNUMBER('Council Entry'!AM$9)),MAX(MIN('Council Entry'!AM142,'Council Entry'!AM$9),'Council Entry'!AM$8),'Council Entry'!AM142))))-'Council Entry'!AM$5)/('Council Entry'!AM$6-'Council Entry'!AM$5)),1))),"No data"))</f>
        <v/>
      </c>
      <c r="AN142" s="13">
        <f>IF('Council Entry'!AN142="","",IFERROR(MAX(0,MIN(10,ROUND(IF('Council Entry'!AN$7="Decrease Risk",10-10*((IF('Council Entry'!AN$4="Logarithm",LN(0.001+IF(AND(ISNUMBER('Council Entry'!AN$8),ISNUMBER('Council Entry'!AN$9)),MAX(MIN('Council Entry'!AN142,'Council Entry'!AN$9),'Council Entry'!AN$8),'Council Entry'!AN142)),IF('Council Entry'!AN$4="Exponential",EXP(IF(AND(ISNUMBER('Council Entry'!AN$8),ISNUMBER('Council Entry'!AN$9)),MAX(MIN('Council Entry'!AN142,'Council Entry'!AN$9),'Council Entry'!AN$8),'Council Entry'!AN142)),IF(AND(ISNUMBER('Council Entry'!AN$8),ISNUMBER('Council Entry'!AN$9)),MAX(MIN('Council Entry'!AN142,'Council Entry'!AN$9),'Council Entry'!AN$8),'Council Entry'!AN142))))-'Council Entry'!AN$5)/('Council Entry'!AN$6-'Council Entry'!AN$5),10*((IF('Council Entry'!AN$4="Logarithm",LN(0.001+IF(AND(ISNUMBER('Council Entry'!AN$8),ISNUMBER('Council Entry'!AN$9)),MAX(MIN('Council Entry'!AN142,'Council Entry'!AN$9),'Council Entry'!AN$8),'Council Entry'!AN142)),IF('Council Entry'!AN$4="Exponential",EXP(IF(AND(ISNUMBER('Council Entry'!AN$8),ISNUMBER('Council Entry'!AN$9)),MAX(MIN('Council Entry'!AN142,'Council Entry'!AN$9),'Council Entry'!AN$8),'Council Entry'!AN142)),IF(AND(ISNUMBER('Council Entry'!AN$8),ISNUMBER('Council Entry'!AN$9)),MAX(MIN('Council Entry'!AN142,'Council Entry'!AN$9),'Council Entry'!AN$8),'Council Entry'!AN142))))-'Council Entry'!AN$5)/('Council Entry'!AN$6-'Council Entry'!AN$5)),1))),"No data"))</f>
        <v/>
      </c>
      <c r="AO142" s="13">
        <f>IF('Council Entry'!AO142="","",IFERROR(MAX(0,MIN(10,ROUND(IF('Council Entry'!AO$7="Decrease Risk",10-10*((IF('Council Entry'!AO$4="Logarithm",LN(0.001+IF(AND(ISNUMBER('Council Entry'!AO$8),ISNUMBER('Council Entry'!AO$9)),MAX(MIN('Council Entry'!AO142,'Council Entry'!AO$9),'Council Entry'!AO$8),'Council Entry'!AO142)),IF('Council Entry'!AO$4="Exponential",EXP(IF(AND(ISNUMBER('Council Entry'!AO$8),ISNUMBER('Council Entry'!AO$9)),MAX(MIN('Council Entry'!AO142,'Council Entry'!AO$9),'Council Entry'!AO$8),'Council Entry'!AO142)),IF(AND(ISNUMBER('Council Entry'!AO$8),ISNUMBER('Council Entry'!AO$9)),MAX(MIN('Council Entry'!AO142,'Council Entry'!AO$9),'Council Entry'!AO$8),'Council Entry'!AO142))))-'Council Entry'!AO$5)/('Council Entry'!AO$6-'Council Entry'!AO$5),10*((IF('Council Entry'!AO$4="Logarithm",LN(0.001+IF(AND(ISNUMBER('Council Entry'!AO$8),ISNUMBER('Council Entry'!AO$9)),MAX(MIN('Council Entry'!AO142,'Council Entry'!AO$9),'Council Entry'!AO$8),'Council Entry'!AO142)),IF('Council Entry'!AO$4="Exponential",EXP(IF(AND(ISNUMBER('Council Entry'!AO$8),ISNUMBER('Council Entry'!AO$9)),MAX(MIN('Council Entry'!AO142,'Council Entry'!AO$9),'Council Entry'!AO$8),'Council Entry'!AO142)),IF(AND(ISNUMBER('Council Entry'!AO$8),ISNUMBER('Council Entry'!AO$9)),MAX(MIN('Council Entry'!AO142,'Council Entry'!AO$9),'Council Entry'!AO$8),'Council Entry'!AO142))))-'Council Entry'!AO$5)/('Council Entry'!AO$6-'Council Entry'!AO$5)),1))),"No data"))</f>
        <v/>
      </c>
      <c r="AP142" s="13">
        <f>IF('Council Entry'!AP142="","",IFERROR(MAX(0,MIN(10,ROUND(IF('Council Entry'!AP$7="Decrease Risk",10-10*((IF('Council Entry'!AP$4="Logarithm",LN(0.001+IF(AND(ISNUMBER('Council Entry'!AP$8),ISNUMBER('Council Entry'!AP$9)),MAX(MIN('Council Entry'!AP142,'Council Entry'!AP$9),'Council Entry'!AP$8),'Council Entry'!AP142)),IF('Council Entry'!AP$4="Exponential",EXP(IF(AND(ISNUMBER('Council Entry'!AP$8),ISNUMBER('Council Entry'!AP$9)),MAX(MIN('Council Entry'!AP142,'Council Entry'!AP$9),'Council Entry'!AP$8),'Council Entry'!AP142)),IF(AND(ISNUMBER('Council Entry'!AP$8),ISNUMBER('Council Entry'!AP$9)),MAX(MIN('Council Entry'!AP142,'Council Entry'!AP$9),'Council Entry'!AP$8),'Council Entry'!AP142))))-'Council Entry'!AP$5)/('Council Entry'!AP$6-'Council Entry'!AP$5),10*((IF('Council Entry'!AP$4="Logarithm",LN(0.001+IF(AND(ISNUMBER('Council Entry'!AP$8),ISNUMBER('Council Entry'!AP$9)),MAX(MIN('Council Entry'!AP142,'Council Entry'!AP$9),'Council Entry'!AP$8),'Council Entry'!AP142)),IF('Council Entry'!AP$4="Exponential",EXP(IF(AND(ISNUMBER('Council Entry'!AP$8),ISNUMBER('Council Entry'!AP$9)),MAX(MIN('Council Entry'!AP142,'Council Entry'!AP$9),'Council Entry'!AP$8),'Council Entry'!AP142)),IF(AND(ISNUMBER('Council Entry'!AP$8),ISNUMBER('Council Entry'!AP$9)),MAX(MIN('Council Entry'!AP142,'Council Entry'!AP$9),'Council Entry'!AP$8),'Council Entry'!AP142))))-'Council Entry'!AP$5)/('Council Entry'!AP$6-'Council Entry'!AP$5)),1))),"No data"))</f>
        <v/>
      </c>
      <c r="AQ142" s="13">
        <f>IF('Council Entry'!AQ142="","",IFERROR(MAX(0,MIN(10,ROUND(IF('Council Entry'!AQ$7="Decrease Risk",10-10*((IF('Council Entry'!AQ$4="Logarithm",LN(0.001+IF(AND(ISNUMBER('Council Entry'!AQ$8),ISNUMBER('Council Entry'!AQ$9)),MAX(MIN('Council Entry'!AQ142,'Council Entry'!AQ$9),'Council Entry'!AQ$8),'Council Entry'!AQ142)),IF('Council Entry'!AQ$4="Exponential",EXP(IF(AND(ISNUMBER('Council Entry'!AQ$8),ISNUMBER('Council Entry'!AQ$9)),MAX(MIN('Council Entry'!AQ142,'Council Entry'!AQ$9),'Council Entry'!AQ$8),'Council Entry'!AQ142)),IF(AND(ISNUMBER('Council Entry'!AQ$8),ISNUMBER('Council Entry'!AQ$9)),MAX(MIN('Council Entry'!AQ142,'Council Entry'!AQ$9),'Council Entry'!AQ$8),'Council Entry'!AQ142))))-'Council Entry'!AQ$5)/('Council Entry'!AQ$6-'Council Entry'!AQ$5),10*((IF('Council Entry'!AQ$4="Logarithm",LN(0.001+IF(AND(ISNUMBER('Council Entry'!AQ$8),ISNUMBER('Council Entry'!AQ$9)),MAX(MIN('Council Entry'!AQ142,'Council Entry'!AQ$9),'Council Entry'!AQ$8),'Council Entry'!AQ142)),IF('Council Entry'!AQ$4="Exponential",EXP(IF(AND(ISNUMBER('Council Entry'!AQ$8),ISNUMBER('Council Entry'!AQ$9)),MAX(MIN('Council Entry'!AQ142,'Council Entry'!AQ$9),'Council Entry'!AQ$8),'Council Entry'!AQ142)),IF(AND(ISNUMBER('Council Entry'!AQ$8),ISNUMBER('Council Entry'!AQ$9)),MAX(MIN('Council Entry'!AQ142,'Council Entry'!AQ$9),'Council Entry'!AQ$8),'Council Entry'!AQ142))))-'Council Entry'!AQ$5)/('Council Entry'!AQ$6-'Council Entry'!AQ$5)),1))),"No data"))</f>
        <v/>
      </c>
      <c r="AR142" s="13">
        <f>IF('Council Entry'!AR142="","",IFERROR(MAX(0,MIN(10,ROUND(IF('Council Entry'!AR$7="Decrease Risk",10-10*((IF('Council Entry'!AR$4="Logarithm",LN(0.001+IF(AND(ISNUMBER('Council Entry'!AR$8),ISNUMBER('Council Entry'!AR$9)),MAX(MIN('Council Entry'!AR142,'Council Entry'!AR$9),'Council Entry'!AR$8),'Council Entry'!AR142)),IF('Council Entry'!AR$4="Exponential",EXP(IF(AND(ISNUMBER('Council Entry'!AR$8),ISNUMBER('Council Entry'!AR$9)),MAX(MIN('Council Entry'!AR142,'Council Entry'!AR$9),'Council Entry'!AR$8),'Council Entry'!AR142)),IF(AND(ISNUMBER('Council Entry'!AR$8),ISNUMBER('Council Entry'!AR$9)),MAX(MIN('Council Entry'!AR142,'Council Entry'!AR$9),'Council Entry'!AR$8),'Council Entry'!AR142))))-'Council Entry'!AR$5)/('Council Entry'!AR$6-'Council Entry'!AR$5),10*((IF('Council Entry'!AR$4="Logarithm",LN(0.001+IF(AND(ISNUMBER('Council Entry'!AR$8),ISNUMBER('Council Entry'!AR$9)),MAX(MIN('Council Entry'!AR142,'Council Entry'!AR$9),'Council Entry'!AR$8),'Council Entry'!AR142)),IF('Council Entry'!AR$4="Exponential",EXP(IF(AND(ISNUMBER('Council Entry'!AR$8),ISNUMBER('Council Entry'!AR$9)),MAX(MIN('Council Entry'!AR142,'Council Entry'!AR$9),'Council Entry'!AR$8),'Council Entry'!AR142)),IF(AND(ISNUMBER('Council Entry'!AR$8),ISNUMBER('Council Entry'!AR$9)),MAX(MIN('Council Entry'!AR142,'Council Entry'!AR$9),'Council Entry'!AR$8),'Council Entry'!AR142))))-'Council Entry'!AR$5)/('Council Entry'!AR$6-'Council Entry'!AR$5)),1))),"No data"))</f>
        <v/>
      </c>
      <c r="AS142" s="13">
        <f>IF('Council Entry'!AS142="","",IFERROR(MAX(0,MIN(10,ROUND(IF('Council Entry'!AS$7="Decrease Risk",10-10*((IF('Council Entry'!AS$4="Logarithm",LN(0.001+IF(AND(ISNUMBER('Council Entry'!AS$8),ISNUMBER('Council Entry'!AS$9)),MAX(MIN('Council Entry'!AS142,'Council Entry'!AS$9),'Council Entry'!AS$8),'Council Entry'!AS142)),IF('Council Entry'!AS$4="Exponential",EXP(IF(AND(ISNUMBER('Council Entry'!AS$8),ISNUMBER('Council Entry'!AS$9)),MAX(MIN('Council Entry'!AS142,'Council Entry'!AS$9),'Council Entry'!AS$8),'Council Entry'!AS142)),IF(AND(ISNUMBER('Council Entry'!AS$8),ISNUMBER('Council Entry'!AS$9)),MAX(MIN('Council Entry'!AS142,'Council Entry'!AS$9),'Council Entry'!AS$8),'Council Entry'!AS142))))-'Council Entry'!AS$5)/('Council Entry'!AS$6-'Council Entry'!AS$5),10*((IF('Council Entry'!AS$4="Logarithm",LN(0.001+IF(AND(ISNUMBER('Council Entry'!AS$8),ISNUMBER('Council Entry'!AS$9)),MAX(MIN('Council Entry'!AS142,'Council Entry'!AS$9),'Council Entry'!AS$8),'Council Entry'!AS142)),IF('Council Entry'!AS$4="Exponential",EXP(IF(AND(ISNUMBER('Council Entry'!AS$8),ISNUMBER('Council Entry'!AS$9)),MAX(MIN('Council Entry'!AS142,'Council Entry'!AS$9),'Council Entry'!AS$8),'Council Entry'!AS142)),IF(AND(ISNUMBER('Council Entry'!AS$8),ISNUMBER('Council Entry'!AS$9)),MAX(MIN('Council Entry'!AS142,'Council Entry'!AS$9),'Council Entry'!AS$8),'Council Entry'!AS142))))-'Council Entry'!AS$5)/('Council Entry'!AS$6-'Council Entry'!AS$5)),1))),"No data"))</f>
        <v/>
      </c>
      <c r="AT142" s="13">
        <f>IF('Council Entry'!AT142="","",IFERROR(MAX(0,MIN(10,ROUND(IF('Council Entry'!AT$7="Decrease Risk",10-10*((IF('Council Entry'!AT$4="Logarithm",LN(0.001+IF(AND(ISNUMBER('Council Entry'!AT$8),ISNUMBER('Council Entry'!AT$9)),MAX(MIN('Council Entry'!AT142,'Council Entry'!AT$9),'Council Entry'!AT$8),'Council Entry'!AT142)),IF('Council Entry'!AT$4="Exponential",EXP(IF(AND(ISNUMBER('Council Entry'!AT$8),ISNUMBER('Council Entry'!AT$9)),MAX(MIN('Council Entry'!AT142,'Council Entry'!AT$9),'Council Entry'!AT$8),'Council Entry'!AT142)),IF(AND(ISNUMBER('Council Entry'!AT$8),ISNUMBER('Council Entry'!AT$9)),MAX(MIN('Council Entry'!AT142,'Council Entry'!AT$9),'Council Entry'!AT$8),'Council Entry'!AT142))))-'Council Entry'!AT$5)/('Council Entry'!AT$6-'Council Entry'!AT$5),10*((IF('Council Entry'!AT$4="Logarithm",LN(0.001+IF(AND(ISNUMBER('Council Entry'!AT$8),ISNUMBER('Council Entry'!AT$9)),MAX(MIN('Council Entry'!AT142,'Council Entry'!AT$9),'Council Entry'!AT$8),'Council Entry'!AT142)),IF('Council Entry'!AT$4="Exponential",EXP(IF(AND(ISNUMBER('Council Entry'!AT$8),ISNUMBER('Council Entry'!AT$9)),MAX(MIN('Council Entry'!AT142,'Council Entry'!AT$9),'Council Entry'!AT$8),'Council Entry'!AT142)),IF(AND(ISNUMBER('Council Entry'!AT$8),ISNUMBER('Council Entry'!AT$9)),MAX(MIN('Council Entry'!AT142,'Council Entry'!AT$9),'Council Entry'!AT$8),'Council Entry'!AT142))))-'Council Entry'!AT$5)/('Council Entry'!AT$6-'Council Entry'!AT$5)),1))),"No data"))</f>
        <v/>
      </c>
      <c r="AU142" s="13">
        <f>IF('Council Entry'!AU142="","",IFERROR(MAX(0,MIN(10,ROUND(IF('Council Entry'!AU$7="Decrease Risk",10-10*((IF('Council Entry'!AU$4="Logarithm",LN(0.001+IF(AND(ISNUMBER('Council Entry'!AU$8),ISNUMBER('Council Entry'!AU$9)),MAX(MIN('Council Entry'!AU142,'Council Entry'!AU$9),'Council Entry'!AU$8),'Council Entry'!AU142)),IF('Council Entry'!AU$4="Exponential",EXP(IF(AND(ISNUMBER('Council Entry'!AU$8),ISNUMBER('Council Entry'!AU$9)),MAX(MIN('Council Entry'!AU142,'Council Entry'!AU$9),'Council Entry'!AU$8),'Council Entry'!AU142)),IF(AND(ISNUMBER('Council Entry'!AU$8),ISNUMBER('Council Entry'!AU$9)),MAX(MIN('Council Entry'!AU142,'Council Entry'!AU$9),'Council Entry'!AU$8),'Council Entry'!AU142))))-'Council Entry'!AU$5)/('Council Entry'!AU$6-'Council Entry'!AU$5),10*((IF('Council Entry'!AU$4="Logarithm",LN(0.001+IF(AND(ISNUMBER('Council Entry'!AU$8),ISNUMBER('Council Entry'!AU$9)),MAX(MIN('Council Entry'!AU142,'Council Entry'!AU$9),'Council Entry'!AU$8),'Council Entry'!AU142)),IF('Council Entry'!AU$4="Exponential",EXP(IF(AND(ISNUMBER('Council Entry'!AU$8),ISNUMBER('Council Entry'!AU$9)),MAX(MIN('Council Entry'!AU142,'Council Entry'!AU$9),'Council Entry'!AU$8),'Council Entry'!AU142)),IF(AND(ISNUMBER('Council Entry'!AU$8),ISNUMBER('Council Entry'!AU$9)),MAX(MIN('Council Entry'!AU142,'Council Entry'!AU$9),'Council Entry'!AU$8),'Council Entry'!AU142))))-'Council Entry'!AU$5)/('Council Entry'!AU$6-'Council Entry'!AU$5)),1))),"No data"))</f>
        <v/>
      </c>
      <c r="AV142" s="13">
        <f>IF('Council Entry'!AV142="","",IFERROR(MAX(0,MIN(10,ROUND(IF('Council Entry'!AV$7="Decrease Risk",10-10*((IF('Council Entry'!AV$4="Logarithm",LN(0.001+IF(AND(ISNUMBER('Council Entry'!AV$8),ISNUMBER('Council Entry'!AV$9)),MAX(MIN('Council Entry'!AV142,'Council Entry'!AV$9),'Council Entry'!AV$8),'Council Entry'!AV142)),IF('Council Entry'!AV$4="Exponential",EXP(IF(AND(ISNUMBER('Council Entry'!AV$8),ISNUMBER('Council Entry'!AV$9)),MAX(MIN('Council Entry'!AV142,'Council Entry'!AV$9),'Council Entry'!AV$8),'Council Entry'!AV142)),IF(AND(ISNUMBER('Council Entry'!AV$8),ISNUMBER('Council Entry'!AV$9)),MAX(MIN('Council Entry'!AV142,'Council Entry'!AV$9),'Council Entry'!AV$8),'Council Entry'!AV142))))-'Council Entry'!AV$5)/('Council Entry'!AV$6-'Council Entry'!AV$5),10*((IF('Council Entry'!AV$4="Logarithm",LN(0.001+IF(AND(ISNUMBER('Council Entry'!AV$8),ISNUMBER('Council Entry'!AV$9)),MAX(MIN('Council Entry'!AV142,'Council Entry'!AV$9),'Council Entry'!AV$8),'Council Entry'!AV142)),IF('Council Entry'!AV$4="Exponential",EXP(IF(AND(ISNUMBER('Council Entry'!AV$8),ISNUMBER('Council Entry'!AV$9)),MAX(MIN('Council Entry'!AV142,'Council Entry'!AV$9),'Council Entry'!AV$8),'Council Entry'!AV142)),IF(AND(ISNUMBER('Council Entry'!AV$8),ISNUMBER('Council Entry'!AV$9)),MAX(MIN('Council Entry'!AV142,'Council Entry'!AV$9),'Council Entry'!AV$8),'Council Entry'!AV142))))-'Council Entry'!AV$5)/('Council Entry'!AV$6-'Council Entry'!AV$5)),1))),"No data"))</f>
        <v/>
      </c>
      <c r="AW142" s="13">
        <f>IF('Council Entry'!AW142="","",IFERROR(MAX(0,MIN(10,ROUND(IF('Council Entry'!AW$7="Decrease Risk",10-10*((IF('Council Entry'!AW$4="Logarithm",LN(0.001+IF(AND(ISNUMBER('Council Entry'!AW$8),ISNUMBER('Council Entry'!AW$9)),MAX(MIN('Council Entry'!AW142,'Council Entry'!AW$9),'Council Entry'!AW$8),'Council Entry'!AW142)),IF('Council Entry'!AW$4="Exponential",EXP(IF(AND(ISNUMBER('Council Entry'!AW$8),ISNUMBER('Council Entry'!AW$9)),MAX(MIN('Council Entry'!AW142,'Council Entry'!AW$9),'Council Entry'!AW$8),'Council Entry'!AW142)),IF(AND(ISNUMBER('Council Entry'!AW$8),ISNUMBER('Council Entry'!AW$9)),MAX(MIN('Council Entry'!AW142,'Council Entry'!AW$9),'Council Entry'!AW$8),'Council Entry'!AW142))))-'Council Entry'!AW$5)/('Council Entry'!AW$6-'Council Entry'!AW$5),10*((IF('Council Entry'!AW$4="Logarithm",LN(0.001+IF(AND(ISNUMBER('Council Entry'!AW$8),ISNUMBER('Council Entry'!AW$9)),MAX(MIN('Council Entry'!AW142,'Council Entry'!AW$9),'Council Entry'!AW$8),'Council Entry'!AW142)),IF('Council Entry'!AW$4="Exponential",EXP(IF(AND(ISNUMBER('Council Entry'!AW$8),ISNUMBER('Council Entry'!AW$9)),MAX(MIN('Council Entry'!AW142,'Council Entry'!AW$9),'Council Entry'!AW$8),'Council Entry'!AW142)),IF(AND(ISNUMBER('Council Entry'!AW$8),ISNUMBER('Council Entry'!AW$9)),MAX(MIN('Council Entry'!AW142,'Council Entry'!AW$9),'Council Entry'!AW$8),'Council Entry'!AW142))))-'Council Entry'!AW$5)/('Council Entry'!AW$6-'Council Entry'!AW$5)),1))),"No data"))</f>
        <v/>
      </c>
      <c r="AX142" s="13">
        <f>IF('Council Entry'!AX142="","",IFERROR(MAX(0,MIN(10,ROUND(IF('Council Entry'!AX$7="Decrease Risk",10-10*((IF('Council Entry'!AX$4="Logarithm",LN(0.001+IF(AND(ISNUMBER('Council Entry'!AX$8),ISNUMBER('Council Entry'!AX$9)),MAX(MIN('Council Entry'!AX142,'Council Entry'!AX$9),'Council Entry'!AX$8),'Council Entry'!AX142)),IF('Council Entry'!AX$4="Exponential",EXP(IF(AND(ISNUMBER('Council Entry'!AX$8),ISNUMBER('Council Entry'!AX$9)),MAX(MIN('Council Entry'!AX142,'Council Entry'!AX$9),'Council Entry'!AX$8),'Council Entry'!AX142)),IF(AND(ISNUMBER('Council Entry'!AX$8),ISNUMBER('Council Entry'!AX$9)),MAX(MIN('Council Entry'!AX142,'Council Entry'!AX$9),'Council Entry'!AX$8),'Council Entry'!AX142))))-'Council Entry'!AX$5)/('Council Entry'!AX$6-'Council Entry'!AX$5),10*((IF('Council Entry'!AX$4="Logarithm",LN(0.001+IF(AND(ISNUMBER('Council Entry'!AX$8),ISNUMBER('Council Entry'!AX$9)),MAX(MIN('Council Entry'!AX142,'Council Entry'!AX$9),'Council Entry'!AX$8),'Council Entry'!AX142)),IF('Council Entry'!AX$4="Exponential",EXP(IF(AND(ISNUMBER('Council Entry'!AX$8),ISNUMBER('Council Entry'!AX$9)),MAX(MIN('Council Entry'!AX142,'Council Entry'!AX$9),'Council Entry'!AX$8),'Council Entry'!AX142)),IF(AND(ISNUMBER('Council Entry'!AX$8),ISNUMBER('Council Entry'!AX$9)),MAX(MIN('Council Entry'!AX142,'Council Entry'!AX$9),'Council Entry'!AX$8),'Council Entry'!AX142))))-'Council Entry'!AX$5)/('Council Entry'!AX$6-'Council Entry'!AX$5)),1))),"No data"))</f>
        <v/>
      </c>
      <c r="AY142" s="13">
        <f>IF('Council Entry'!AY142="","",IFERROR(MAX(0,MIN(10,ROUND(IF('Council Entry'!AY$7="Decrease Risk",10-10*((IF('Council Entry'!AY$4="Logarithm",LN(0.001+IF(AND(ISNUMBER('Council Entry'!AY$8),ISNUMBER('Council Entry'!AY$9)),MAX(MIN('Council Entry'!AY142,'Council Entry'!AY$9),'Council Entry'!AY$8),'Council Entry'!AY142)),IF('Council Entry'!AY$4="Exponential",EXP(IF(AND(ISNUMBER('Council Entry'!AY$8),ISNUMBER('Council Entry'!AY$9)),MAX(MIN('Council Entry'!AY142,'Council Entry'!AY$9),'Council Entry'!AY$8),'Council Entry'!AY142)),IF(AND(ISNUMBER('Council Entry'!AY$8),ISNUMBER('Council Entry'!AY$9)),MAX(MIN('Council Entry'!AY142,'Council Entry'!AY$9),'Council Entry'!AY$8),'Council Entry'!AY142))))-'Council Entry'!AY$5)/('Council Entry'!AY$6-'Council Entry'!AY$5),10*((IF('Council Entry'!AY$4="Logarithm",LN(0.001+IF(AND(ISNUMBER('Council Entry'!AY$8),ISNUMBER('Council Entry'!AY$9)),MAX(MIN('Council Entry'!AY142,'Council Entry'!AY$9),'Council Entry'!AY$8),'Council Entry'!AY142)),IF('Council Entry'!AY$4="Exponential",EXP(IF(AND(ISNUMBER('Council Entry'!AY$8),ISNUMBER('Council Entry'!AY$9)),MAX(MIN('Council Entry'!AY142,'Council Entry'!AY$9),'Council Entry'!AY$8),'Council Entry'!AY142)),IF(AND(ISNUMBER('Council Entry'!AY$8),ISNUMBER('Council Entry'!AY$9)),MAX(MIN('Council Entry'!AY142,'Council Entry'!AY$9),'Council Entry'!AY$8),'Council Entry'!AY142))))-'Council Entry'!AY$5)/('Council Entry'!AY$6-'Council Entry'!AY$5)),1))),"No data"))</f>
        <v/>
      </c>
      <c r="AZ142" s="13">
        <f>IF('Council Entry'!AZ142="","",IFERROR(MAX(0,MIN(10,ROUND(IF('Council Entry'!AZ$7="Decrease Risk",10-10*((IF('Council Entry'!AZ$4="Logarithm",LN(0.001+IF(AND(ISNUMBER('Council Entry'!AZ$8),ISNUMBER('Council Entry'!AZ$9)),MAX(MIN('Council Entry'!AZ142,'Council Entry'!AZ$9),'Council Entry'!AZ$8),'Council Entry'!AZ142)),IF('Council Entry'!AZ$4="Exponential",EXP(IF(AND(ISNUMBER('Council Entry'!AZ$8),ISNUMBER('Council Entry'!AZ$9)),MAX(MIN('Council Entry'!AZ142,'Council Entry'!AZ$9),'Council Entry'!AZ$8),'Council Entry'!AZ142)),IF(AND(ISNUMBER('Council Entry'!AZ$8),ISNUMBER('Council Entry'!AZ$9)),MAX(MIN('Council Entry'!AZ142,'Council Entry'!AZ$9),'Council Entry'!AZ$8),'Council Entry'!AZ142))))-'Council Entry'!AZ$5)/('Council Entry'!AZ$6-'Council Entry'!AZ$5),10*((IF('Council Entry'!AZ$4="Logarithm",LN(0.001+IF(AND(ISNUMBER('Council Entry'!AZ$8),ISNUMBER('Council Entry'!AZ$9)),MAX(MIN('Council Entry'!AZ142,'Council Entry'!AZ$9),'Council Entry'!AZ$8),'Council Entry'!AZ142)),IF('Council Entry'!AZ$4="Exponential",EXP(IF(AND(ISNUMBER('Council Entry'!AZ$8),ISNUMBER('Council Entry'!AZ$9)),MAX(MIN('Council Entry'!AZ142,'Council Entry'!AZ$9),'Council Entry'!AZ$8),'Council Entry'!AZ142)),IF(AND(ISNUMBER('Council Entry'!AZ$8),ISNUMBER('Council Entry'!AZ$9)),MAX(MIN('Council Entry'!AZ142,'Council Entry'!AZ$9),'Council Entry'!AZ$8),'Council Entry'!AZ142))))-'Council Entry'!AZ$5)/('Council Entry'!AZ$6-'Council Entry'!AZ$5)),1))),"No data"))</f>
        <v/>
      </c>
      <c r="BA142" s="13">
        <f>IF('Council Entry'!BA142="","",IFERROR(MAX(0,MIN(10,ROUND(IF('Council Entry'!BA$7="Decrease Risk",10-10*((IF('Council Entry'!BA$4="Logarithm",LN(0.001+IF(AND(ISNUMBER('Council Entry'!BA$8),ISNUMBER('Council Entry'!BA$9)),MAX(MIN('Council Entry'!BA142,'Council Entry'!BA$9),'Council Entry'!BA$8),'Council Entry'!BA142)),IF('Council Entry'!BA$4="Exponential",EXP(IF(AND(ISNUMBER('Council Entry'!BA$8),ISNUMBER('Council Entry'!BA$9)),MAX(MIN('Council Entry'!BA142,'Council Entry'!BA$9),'Council Entry'!BA$8),'Council Entry'!BA142)),IF(AND(ISNUMBER('Council Entry'!BA$8),ISNUMBER('Council Entry'!BA$9)),MAX(MIN('Council Entry'!BA142,'Council Entry'!BA$9),'Council Entry'!BA$8),'Council Entry'!BA142))))-'Council Entry'!BA$5)/('Council Entry'!BA$6-'Council Entry'!BA$5),10*((IF('Council Entry'!BA$4="Logarithm",LN(0.001+IF(AND(ISNUMBER('Council Entry'!BA$8),ISNUMBER('Council Entry'!BA$9)),MAX(MIN('Council Entry'!BA142,'Council Entry'!BA$9),'Council Entry'!BA$8),'Council Entry'!BA142)),IF('Council Entry'!BA$4="Exponential",EXP(IF(AND(ISNUMBER('Council Entry'!BA$8),ISNUMBER('Council Entry'!BA$9)),MAX(MIN('Council Entry'!BA142,'Council Entry'!BA$9),'Council Entry'!BA$8),'Council Entry'!BA142)),IF(AND(ISNUMBER('Council Entry'!BA$8),ISNUMBER('Council Entry'!BA$9)),MAX(MIN('Council Entry'!BA142,'Council Entry'!BA$9),'Council Entry'!BA$8),'Council Entry'!BA142))))-'Council Entry'!BA$5)/('Council Entry'!BA$6-'Council Entry'!BA$5)),1))),"No data"))</f>
        <v/>
      </c>
      <c r="BB142" s="13">
        <f>IF('Council Entry'!BB142="","",IFERROR(MAX(0,MIN(10,ROUND(IF('Council Entry'!BB$7="Decrease Risk",10-10*((IF('Council Entry'!BB$4="Logarithm",LN(0.001+IF(AND(ISNUMBER('Council Entry'!BB$8),ISNUMBER('Council Entry'!BB$9)),MAX(MIN('Council Entry'!BB142,'Council Entry'!BB$9),'Council Entry'!BB$8),'Council Entry'!BB142)),IF('Council Entry'!BB$4="Exponential",EXP(IF(AND(ISNUMBER('Council Entry'!BB$8),ISNUMBER('Council Entry'!BB$9)),MAX(MIN('Council Entry'!BB142,'Council Entry'!BB$9),'Council Entry'!BB$8),'Council Entry'!BB142)),IF(AND(ISNUMBER('Council Entry'!BB$8),ISNUMBER('Council Entry'!BB$9)),MAX(MIN('Council Entry'!BB142,'Council Entry'!BB$9),'Council Entry'!BB$8),'Council Entry'!BB142))))-'Council Entry'!BB$5)/('Council Entry'!BB$6-'Council Entry'!BB$5),10*((IF('Council Entry'!BB$4="Logarithm",LN(0.001+IF(AND(ISNUMBER('Council Entry'!BB$8),ISNUMBER('Council Entry'!BB$9)),MAX(MIN('Council Entry'!BB142,'Council Entry'!BB$9),'Council Entry'!BB$8),'Council Entry'!BB142)),IF('Council Entry'!BB$4="Exponential",EXP(IF(AND(ISNUMBER('Council Entry'!BB$8),ISNUMBER('Council Entry'!BB$9)),MAX(MIN('Council Entry'!BB142,'Council Entry'!BB$9),'Council Entry'!BB$8),'Council Entry'!BB142)),IF(AND(ISNUMBER('Council Entry'!BB$8),ISNUMBER('Council Entry'!BB$9)),MAX(MIN('Council Entry'!BB142,'Council Entry'!BB$9),'Council Entry'!BB$8),'Council Entry'!BB142))))-'Council Entry'!BB$5)/('Council Entry'!BB$6-'Council Entry'!BB$5)),1))),"No data"))</f>
        <v/>
      </c>
      <c r="BC142" s="13">
        <f>IF('Council Entry'!BC142="","",IFERROR(MAX(0,MIN(10,ROUND(IF('Council Entry'!BC$7="Decrease Risk",10-10*((IF('Council Entry'!BC$4="Logarithm",LN(0.001+IF(AND(ISNUMBER('Council Entry'!BC$8),ISNUMBER('Council Entry'!BC$9)),MAX(MIN('Council Entry'!BC142,'Council Entry'!BC$9),'Council Entry'!BC$8),'Council Entry'!BC142)),IF('Council Entry'!BC$4="Exponential",EXP(IF(AND(ISNUMBER('Council Entry'!BC$8),ISNUMBER('Council Entry'!BC$9)),MAX(MIN('Council Entry'!BC142,'Council Entry'!BC$9),'Council Entry'!BC$8),'Council Entry'!BC142)),IF(AND(ISNUMBER('Council Entry'!BC$8),ISNUMBER('Council Entry'!BC$9)),MAX(MIN('Council Entry'!BC142,'Council Entry'!BC$9),'Council Entry'!BC$8),'Council Entry'!BC142))))-'Council Entry'!BC$5)/('Council Entry'!BC$6-'Council Entry'!BC$5),10*((IF('Council Entry'!BC$4="Logarithm",LN(0.001+IF(AND(ISNUMBER('Council Entry'!BC$8),ISNUMBER('Council Entry'!BC$9)),MAX(MIN('Council Entry'!BC142,'Council Entry'!BC$9),'Council Entry'!BC$8),'Council Entry'!BC142)),IF('Council Entry'!BC$4="Exponential",EXP(IF(AND(ISNUMBER('Council Entry'!BC$8),ISNUMBER('Council Entry'!BC$9)),MAX(MIN('Council Entry'!BC142,'Council Entry'!BC$9),'Council Entry'!BC$8),'Council Entry'!BC142)),IF(AND(ISNUMBER('Council Entry'!BC$8),ISNUMBER('Council Entry'!BC$9)),MAX(MIN('Council Entry'!BC142,'Council Entry'!BC$9),'Council Entry'!BC$8),'Council Entry'!BC142))))-'Council Entry'!BC$5)/('Council Entry'!BC$6-'Council Entry'!BC$5)),1))),"No data"))</f>
        <v/>
      </c>
      <c r="BD142" s="13">
        <f>IF('Council Entry'!BD142="","",IFERROR(MAX(0,MIN(10,ROUND(IF('Council Entry'!BD$7="Decrease Risk",10-10*((IF('Council Entry'!BD$4="Logarithm",LN(0.001+IF(AND(ISNUMBER('Council Entry'!BD$8),ISNUMBER('Council Entry'!BD$9)),MAX(MIN('Council Entry'!BD142,'Council Entry'!BD$9),'Council Entry'!BD$8),'Council Entry'!BD142)),IF('Council Entry'!BD$4="Exponential",EXP(IF(AND(ISNUMBER('Council Entry'!BD$8),ISNUMBER('Council Entry'!BD$9)),MAX(MIN('Council Entry'!BD142,'Council Entry'!BD$9),'Council Entry'!BD$8),'Council Entry'!BD142)),IF(AND(ISNUMBER('Council Entry'!BD$8),ISNUMBER('Council Entry'!BD$9)),MAX(MIN('Council Entry'!BD142,'Council Entry'!BD$9),'Council Entry'!BD$8),'Council Entry'!BD142))))-'Council Entry'!BD$5)/('Council Entry'!BD$6-'Council Entry'!BD$5),10*((IF('Council Entry'!BD$4="Logarithm",LN(0.001+IF(AND(ISNUMBER('Council Entry'!BD$8),ISNUMBER('Council Entry'!BD$9)),MAX(MIN('Council Entry'!BD142,'Council Entry'!BD$9),'Council Entry'!BD$8),'Council Entry'!BD142)),IF('Council Entry'!BD$4="Exponential",EXP(IF(AND(ISNUMBER('Council Entry'!BD$8),ISNUMBER('Council Entry'!BD$9)),MAX(MIN('Council Entry'!BD142,'Council Entry'!BD$9),'Council Entry'!BD$8),'Council Entry'!BD142)),IF(AND(ISNUMBER('Council Entry'!BD$8),ISNUMBER('Council Entry'!BD$9)),MAX(MIN('Council Entry'!BD142,'Council Entry'!BD$9),'Council Entry'!BD$8),'Council Entry'!BD142))))-'Council Entry'!BD$5)/('Council Entry'!BD$6-'Council Entry'!BD$5)),1))),"No data"))</f>
        <v/>
      </c>
    </row>
    <row r="143">
      <c r="A143" t="inlineStr">
        <is>
          <t>Pwani</t>
        </is>
      </c>
      <c r="B143" t="inlineStr">
        <is>
          <t>Chalinze District</t>
        </is>
      </c>
      <c r="C143" t="inlineStr">
        <is>
          <t>C044</t>
        </is>
      </c>
      <c r="D143" s="13">
        <f>IF('Council Entry'!D143="","",IFERROR(MAX(0,MIN(10,ROUND(IF('Council Entry'!D$7="Decrease Risk",10-10*((IF('Council Entry'!D$4="Logarithm",LN(0.001+IF(AND(ISNUMBER('Council Entry'!D$8),ISNUMBER('Council Entry'!D$9)),MAX(MIN('Council Entry'!D143,'Council Entry'!D$9),'Council Entry'!D$8),'Council Entry'!D143)),IF('Council Entry'!D$4="Exponential",EXP(IF(AND(ISNUMBER('Council Entry'!D$8),ISNUMBER('Council Entry'!D$9)),MAX(MIN('Council Entry'!D143,'Council Entry'!D$9),'Council Entry'!D$8),'Council Entry'!D143)),IF(AND(ISNUMBER('Council Entry'!D$8),ISNUMBER('Council Entry'!D$9)),MAX(MIN('Council Entry'!D143,'Council Entry'!D$9),'Council Entry'!D$8),'Council Entry'!D143))))-'Council Entry'!D$5)/('Council Entry'!D$6-'Council Entry'!D$5),10*((IF('Council Entry'!D$4="Logarithm",LN(0.001+IF(AND(ISNUMBER('Council Entry'!D$8),ISNUMBER('Council Entry'!D$9)),MAX(MIN('Council Entry'!D143,'Council Entry'!D$9),'Council Entry'!D$8),'Council Entry'!D143)),IF('Council Entry'!D$4="Exponential",EXP(IF(AND(ISNUMBER('Council Entry'!D$8),ISNUMBER('Council Entry'!D$9)),MAX(MIN('Council Entry'!D143,'Council Entry'!D$9),'Council Entry'!D$8),'Council Entry'!D143)),IF(AND(ISNUMBER('Council Entry'!D$8),ISNUMBER('Council Entry'!D$9)),MAX(MIN('Council Entry'!D143,'Council Entry'!D$9),'Council Entry'!D$8),'Council Entry'!D143))))-'Council Entry'!D$5)/('Council Entry'!D$6-'Council Entry'!D$5)),1))),"No data"))</f>
        <v/>
      </c>
      <c r="E143" s="13">
        <f>IF('Council Entry'!E143="","",IFERROR(MAX(0,MIN(10,ROUND(IF('Council Entry'!E$7="Decrease Risk",10-10*((IF('Council Entry'!E$4="Logarithm",LN(0.001+IF(AND(ISNUMBER('Council Entry'!E$8),ISNUMBER('Council Entry'!E$9)),MAX(MIN('Council Entry'!E143,'Council Entry'!E$9),'Council Entry'!E$8),'Council Entry'!E143)),IF('Council Entry'!E$4="Exponential",EXP(IF(AND(ISNUMBER('Council Entry'!E$8),ISNUMBER('Council Entry'!E$9)),MAX(MIN('Council Entry'!E143,'Council Entry'!E$9),'Council Entry'!E$8),'Council Entry'!E143)),IF(AND(ISNUMBER('Council Entry'!E$8),ISNUMBER('Council Entry'!E$9)),MAX(MIN('Council Entry'!E143,'Council Entry'!E$9),'Council Entry'!E$8),'Council Entry'!E143))))-'Council Entry'!E$5)/('Council Entry'!E$6-'Council Entry'!E$5),10*((IF('Council Entry'!E$4="Logarithm",LN(0.001+IF(AND(ISNUMBER('Council Entry'!E$8),ISNUMBER('Council Entry'!E$9)),MAX(MIN('Council Entry'!E143,'Council Entry'!E$9),'Council Entry'!E$8),'Council Entry'!E143)),IF('Council Entry'!E$4="Exponential",EXP(IF(AND(ISNUMBER('Council Entry'!E$8),ISNUMBER('Council Entry'!E$9)),MAX(MIN('Council Entry'!E143,'Council Entry'!E$9),'Council Entry'!E$8),'Council Entry'!E143)),IF(AND(ISNUMBER('Council Entry'!E$8),ISNUMBER('Council Entry'!E$9)),MAX(MIN('Council Entry'!E143,'Council Entry'!E$9),'Council Entry'!E$8),'Council Entry'!E143))))-'Council Entry'!E$5)/('Council Entry'!E$6-'Council Entry'!E$5)),1))),"No data"))</f>
        <v/>
      </c>
      <c r="F143" s="13">
        <f>IF('Council Entry'!F143="","",IFERROR(MAX(0,MIN(10,ROUND(IF('Council Entry'!F$7="Decrease Risk",10-10*((IF('Council Entry'!F$4="Logarithm",LN(0.001+IF(AND(ISNUMBER('Council Entry'!F$8),ISNUMBER('Council Entry'!F$9)),MAX(MIN('Council Entry'!F143,'Council Entry'!F$9),'Council Entry'!F$8),'Council Entry'!F143)),IF('Council Entry'!F$4="Exponential",EXP(IF(AND(ISNUMBER('Council Entry'!F$8),ISNUMBER('Council Entry'!F$9)),MAX(MIN('Council Entry'!F143,'Council Entry'!F$9),'Council Entry'!F$8),'Council Entry'!F143)),IF(AND(ISNUMBER('Council Entry'!F$8),ISNUMBER('Council Entry'!F$9)),MAX(MIN('Council Entry'!F143,'Council Entry'!F$9),'Council Entry'!F$8),'Council Entry'!F143))))-'Council Entry'!F$5)/('Council Entry'!F$6-'Council Entry'!F$5),10*((IF('Council Entry'!F$4="Logarithm",LN(0.001+IF(AND(ISNUMBER('Council Entry'!F$8),ISNUMBER('Council Entry'!F$9)),MAX(MIN('Council Entry'!F143,'Council Entry'!F$9),'Council Entry'!F$8),'Council Entry'!F143)),IF('Council Entry'!F$4="Exponential",EXP(IF(AND(ISNUMBER('Council Entry'!F$8),ISNUMBER('Council Entry'!F$9)),MAX(MIN('Council Entry'!F143,'Council Entry'!F$9),'Council Entry'!F$8),'Council Entry'!F143)),IF(AND(ISNUMBER('Council Entry'!F$8),ISNUMBER('Council Entry'!F$9)),MAX(MIN('Council Entry'!F143,'Council Entry'!F$9),'Council Entry'!F$8),'Council Entry'!F143))))-'Council Entry'!F$5)/('Council Entry'!F$6-'Council Entry'!F$5)),1))),"No data"))</f>
        <v/>
      </c>
      <c r="G143" s="13">
        <f>IF('Council Entry'!G143="","",IFERROR(MAX(0,MIN(10,ROUND(IF('Council Entry'!G$7="Decrease Risk",10-10*((IF('Council Entry'!G$4="Logarithm",LN(0.001+IF(AND(ISNUMBER('Council Entry'!G$8),ISNUMBER('Council Entry'!G$9)),MAX(MIN('Council Entry'!G143,'Council Entry'!G$9),'Council Entry'!G$8),'Council Entry'!G143)),IF('Council Entry'!G$4="Exponential",EXP(IF(AND(ISNUMBER('Council Entry'!G$8),ISNUMBER('Council Entry'!G$9)),MAX(MIN('Council Entry'!G143,'Council Entry'!G$9),'Council Entry'!G$8),'Council Entry'!G143)),IF(AND(ISNUMBER('Council Entry'!G$8),ISNUMBER('Council Entry'!G$9)),MAX(MIN('Council Entry'!G143,'Council Entry'!G$9),'Council Entry'!G$8),'Council Entry'!G143))))-'Council Entry'!G$5)/('Council Entry'!G$6-'Council Entry'!G$5),10*((IF('Council Entry'!G$4="Logarithm",LN(0.001+IF(AND(ISNUMBER('Council Entry'!G$8),ISNUMBER('Council Entry'!G$9)),MAX(MIN('Council Entry'!G143,'Council Entry'!G$9),'Council Entry'!G$8),'Council Entry'!G143)),IF('Council Entry'!G$4="Exponential",EXP(IF(AND(ISNUMBER('Council Entry'!G$8),ISNUMBER('Council Entry'!G$9)),MAX(MIN('Council Entry'!G143,'Council Entry'!G$9),'Council Entry'!G$8),'Council Entry'!G143)),IF(AND(ISNUMBER('Council Entry'!G$8),ISNUMBER('Council Entry'!G$9)),MAX(MIN('Council Entry'!G143,'Council Entry'!G$9),'Council Entry'!G$8),'Council Entry'!G143))))-'Council Entry'!G$5)/('Council Entry'!G$6-'Council Entry'!G$5)),1))),"No data"))</f>
        <v/>
      </c>
      <c r="H143" s="13">
        <f>IF('Council Entry'!H143="","",IFERROR(MAX(0,MIN(10,ROUND(IF('Council Entry'!H$7="Decrease Risk",10-10*((IF('Council Entry'!H$4="Logarithm",LN(0.001+IF(AND(ISNUMBER('Council Entry'!H$8),ISNUMBER('Council Entry'!H$9)),MAX(MIN('Council Entry'!H143,'Council Entry'!H$9),'Council Entry'!H$8),'Council Entry'!H143)),IF('Council Entry'!H$4="Exponential",EXP(IF(AND(ISNUMBER('Council Entry'!H$8),ISNUMBER('Council Entry'!H$9)),MAX(MIN('Council Entry'!H143,'Council Entry'!H$9),'Council Entry'!H$8),'Council Entry'!H143)),IF(AND(ISNUMBER('Council Entry'!H$8),ISNUMBER('Council Entry'!H$9)),MAX(MIN('Council Entry'!H143,'Council Entry'!H$9),'Council Entry'!H$8),'Council Entry'!H143))))-'Council Entry'!H$5)/('Council Entry'!H$6-'Council Entry'!H$5),10*((IF('Council Entry'!H$4="Logarithm",LN(0.001+IF(AND(ISNUMBER('Council Entry'!H$8),ISNUMBER('Council Entry'!H$9)),MAX(MIN('Council Entry'!H143,'Council Entry'!H$9),'Council Entry'!H$8),'Council Entry'!H143)),IF('Council Entry'!H$4="Exponential",EXP(IF(AND(ISNUMBER('Council Entry'!H$8),ISNUMBER('Council Entry'!H$9)),MAX(MIN('Council Entry'!H143,'Council Entry'!H$9),'Council Entry'!H$8),'Council Entry'!H143)),IF(AND(ISNUMBER('Council Entry'!H$8),ISNUMBER('Council Entry'!H$9)),MAX(MIN('Council Entry'!H143,'Council Entry'!H$9),'Council Entry'!H$8),'Council Entry'!H143))))-'Council Entry'!H$5)/('Council Entry'!H$6-'Council Entry'!H$5)),1))),"No data"))</f>
        <v/>
      </c>
      <c r="I143" s="13">
        <f>IF('Council Entry'!I143="","",IFERROR(MAX(0,MIN(10,ROUND(IF('Council Entry'!I$7="Decrease Risk",10-10*((IF('Council Entry'!I$4="Logarithm",LN(0.001+IF(AND(ISNUMBER('Council Entry'!I$8),ISNUMBER('Council Entry'!I$9)),MAX(MIN('Council Entry'!I143,'Council Entry'!I$9),'Council Entry'!I$8),'Council Entry'!I143)),IF('Council Entry'!I$4="Exponential",EXP(IF(AND(ISNUMBER('Council Entry'!I$8),ISNUMBER('Council Entry'!I$9)),MAX(MIN('Council Entry'!I143,'Council Entry'!I$9),'Council Entry'!I$8),'Council Entry'!I143)),IF(AND(ISNUMBER('Council Entry'!I$8),ISNUMBER('Council Entry'!I$9)),MAX(MIN('Council Entry'!I143,'Council Entry'!I$9),'Council Entry'!I$8),'Council Entry'!I143))))-'Council Entry'!I$5)/('Council Entry'!I$6-'Council Entry'!I$5),10*((IF('Council Entry'!I$4="Logarithm",LN(0.001+IF(AND(ISNUMBER('Council Entry'!I$8),ISNUMBER('Council Entry'!I$9)),MAX(MIN('Council Entry'!I143,'Council Entry'!I$9),'Council Entry'!I$8),'Council Entry'!I143)),IF('Council Entry'!I$4="Exponential",EXP(IF(AND(ISNUMBER('Council Entry'!I$8),ISNUMBER('Council Entry'!I$9)),MAX(MIN('Council Entry'!I143,'Council Entry'!I$9),'Council Entry'!I$8),'Council Entry'!I143)),IF(AND(ISNUMBER('Council Entry'!I$8),ISNUMBER('Council Entry'!I$9)),MAX(MIN('Council Entry'!I143,'Council Entry'!I$9),'Council Entry'!I$8),'Council Entry'!I143))))-'Council Entry'!I$5)/('Council Entry'!I$6-'Council Entry'!I$5)),1))),"No data"))</f>
        <v/>
      </c>
      <c r="J143" s="13">
        <f>IF('Council Entry'!J143="","",IFERROR(MAX(0,MIN(10,ROUND(IF('Council Entry'!J$7="Decrease Risk",10-10*((IF('Council Entry'!J$4="Logarithm",LN(0.001+IF(AND(ISNUMBER('Council Entry'!J$8),ISNUMBER('Council Entry'!J$9)),MAX(MIN('Council Entry'!J143,'Council Entry'!J$9),'Council Entry'!J$8),'Council Entry'!J143)),IF('Council Entry'!J$4="Exponential",EXP(IF(AND(ISNUMBER('Council Entry'!J$8),ISNUMBER('Council Entry'!J$9)),MAX(MIN('Council Entry'!J143,'Council Entry'!J$9),'Council Entry'!J$8),'Council Entry'!J143)),IF(AND(ISNUMBER('Council Entry'!J$8),ISNUMBER('Council Entry'!J$9)),MAX(MIN('Council Entry'!J143,'Council Entry'!J$9),'Council Entry'!J$8),'Council Entry'!J143))))-'Council Entry'!J$5)/('Council Entry'!J$6-'Council Entry'!J$5),10*((IF('Council Entry'!J$4="Logarithm",LN(0.001+IF(AND(ISNUMBER('Council Entry'!J$8),ISNUMBER('Council Entry'!J$9)),MAX(MIN('Council Entry'!J143,'Council Entry'!J$9),'Council Entry'!J$8),'Council Entry'!J143)),IF('Council Entry'!J$4="Exponential",EXP(IF(AND(ISNUMBER('Council Entry'!J$8),ISNUMBER('Council Entry'!J$9)),MAX(MIN('Council Entry'!J143,'Council Entry'!J$9),'Council Entry'!J$8),'Council Entry'!J143)),IF(AND(ISNUMBER('Council Entry'!J$8),ISNUMBER('Council Entry'!J$9)),MAX(MIN('Council Entry'!J143,'Council Entry'!J$9),'Council Entry'!J$8),'Council Entry'!J143))))-'Council Entry'!J$5)/('Council Entry'!J$6-'Council Entry'!J$5)),1))),"No data"))</f>
        <v/>
      </c>
      <c r="K143" s="13">
        <f>IF('Council Entry'!K143="","",IFERROR(MAX(0,MIN(10,ROUND(IF('Council Entry'!K$7="Decrease Risk",10-10*((IF('Council Entry'!K$4="Logarithm",LN(0.001+IF(AND(ISNUMBER('Council Entry'!K$8),ISNUMBER('Council Entry'!K$9)),MAX(MIN('Council Entry'!K143,'Council Entry'!K$9),'Council Entry'!K$8),'Council Entry'!K143)),IF('Council Entry'!K$4="Exponential",EXP(IF(AND(ISNUMBER('Council Entry'!K$8),ISNUMBER('Council Entry'!K$9)),MAX(MIN('Council Entry'!K143,'Council Entry'!K$9),'Council Entry'!K$8),'Council Entry'!K143)),IF(AND(ISNUMBER('Council Entry'!K$8),ISNUMBER('Council Entry'!K$9)),MAX(MIN('Council Entry'!K143,'Council Entry'!K$9),'Council Entry'!K$8),'Council Entry'!K143))))-'Council Entry'!K$5)/('Council Entry'!K$6-'Council Entry'!K$5),10*((IF('Council Entry'!K$4="Logarithm",LN(0.001+IF(AND(ISNUMBER('Council Entry'!K$8),ISNUMBER('Council Entry'!K$9)),MAX(MIN('Council Entry'!K143,'Council Entry'!K$9),'Council Entry'!K$8),'Council Entry'!K143)),IF('Council Entry'!K$4="Exponential",EXP(IF(AND(ISNUMBER('Council Entry'!K$8),ISNUMBER('Council Entry'!K$9)),MAX(MIN('Council Entry'!K143,'Council Entry'!K$9),'Council Entry'!K$8),'Council Entry'!K143)),IF(AND(ISNUMBER('Council Entry'!K$8),ISNUMBER('Council Entry'!K$9)),MAX(MIN('Council Entry'!K143,'Council Entry'!K$9),'Council Entry'!K$8),'Council Entry'!K143))))-'Council Entry'!K$5)/('Council Entry'!K$6-'Council Entry'!K$5)),1))),"No data"))</f>
        <v/>
      </c>
      <c r="L143" s="13">
        <f>IF('Council Entry'!L143="","",IFERROR(MAX(0,MIN(10,ROUND(IF('Council Entry'!L$7="Decrease Risk",10-10*((IF('Council Entry'!L$4="Logarithm",LN(0.001+IF(AND(ISNUMBER('Council Entry'!L$8),ISNUMBER('Council Entry'!L$9)),MAX(MIN('Council Entry'!L143,'Council Entry'!L$9),'Council Entry'!L$8),'Council Entry'!L143)),IF('Council Entry'!L$4="Exponential",EXP(IF(AND(ISNUMBER('Council Entry'!L$8),ISNUMBER('Council Entry'!L$9)),MAX(MIN('Council Entry'!L143,'Council Entry'!L$9),'Council Entry'!L$8),'Council Entry'!L143)),IF(AND(ISNUMBER('Council Entry'!L$8),ISNUMBER('Council Entry'!L$9)),MAX(MIN('Council Entry'!L143,'Council Entry'!L$9),'Council Entry'!L$8),'Council Entry'!L143))))-'Council Entry'!L$5)/('Council Entry'!L$6-'Council Entry'!L$5),10*((IF('Council Entry'!L$4="Logarithm",LN(0.001+IF(AND(ISNUMBER('Council Entry'!L$8),ISNUMBER('Council Entry'!L$9)),MAX(MIN('Council Entry'!L143,'Council Entry'!L$9),'Council Entry'!L$8),'Council Entry'!L143)),IF('Council Entry'!L$4="Exponential",EXP(IF(AND(ISNUMBER('Council Entry'!L$8),ISNUMBER('Council Entry'!L$9)),MAX(MIN('Council Entry'!L143,'Council Entry'!L$9),'Council Entry'!L$8),'Council Entry'!L143)),IF(AND(ISNUMBER('Council Entry'!L$8),ISNUMBER('Council Entry'!L$9)),MAX(MIN('Council Entry'!L143,'Council Entry'!L$9),'Council Entry'!L$8),'Council Entry'!L143))))-'Council Entry'!L$5)/('Council Entry'!L$6-'Council Entry'!L$5)),1))),"No data"))</f>
        <v/>
      </c>
      <c r="M143" s="13">
        <f>IF('Council Entry'!M143="","",IFERROR(MAX(0,MIN(10,ROUND(IF('Council Entry'!M$7="Decrease Risk",10-10*((IF('Council Entry'!M$4="Logarithm",LN(0.001+IF(AND(ISNUMBER('Council Entry'!M$8),ISNUMBER('Council Entry'!M$9)),MAX(MIN('Council Entry'!M143,'Council Entry'!M$9),'Council Entry'!M$8),'Council Entry'!M143)),IF('Council Entry'!M$4="Exponential",EXP(IF(AND(ISNUMBER('Council Entry'!M$8),ISNUMBER('Council Entry'!M$9)),MAX(MIN('Council Entry'!M143,'Council Entry'!M$9),'Council Entry'!M$8),'Council Entry'!M143)),IF(AND(ISNUMBER('Council Entry'!M$8),ISNUMBER('Council Entry'!M$9)),MAX(MIN('Council Entry'!M143,'Council Entry'!M$9),'Council Entry'!M$8),'Council Entry'!M143))))-'Council Entry'!M$5)/('Council Entry'!M$6-'Council Entry'!M$5),10*((IF('Council Entry'!M$4="Logarithm",LN(0.001+IF(AND(ISNUMBER('Council Entry'!M$8),ISNUMBER('Council Entry'!M$9)),MAX(MIN('Council Entry'!M143,'Council Entry'!M$9),'Council Entry'!M$8),'Council Entry'!M143)),IF('Council Entry'!M$4="Exponential",EXP(IF(AND(ISNUMBER('Council Entry'!M$8),ISNUMBER('Council Entry'!M$9)),MAX(MIN('Council Entry'!M143,'Council Entry'!M$9),'Council Entry'!M$8),'Council Entry'!M143)),IF(AND(ISNUMBER('Council Entry'!M$8),ISNUMBER('Council Entry'!M$9)),MAX(MIN('Council Entry'!M143,'Council Entry'!M$9),'Council Entry'!M$8),'Council Entry'!M143))))-'Council Entry'!M$5)/('Council Entry'!M$6-'Council Entry'!M$5)),1))),"No data"))</f>
        <v/>
      </c>
      <c r="N143" s="13">
        <f>IF('Council Entry'!N143="","",IFERROR(MAX(0,MIN(10,ROUND(IF('Council Entry'!N$7="Decrease Risk",10-10*((IF('Council Entry'!N$4="Logarithm",LN(0.001+IF(AND(ISNUMBER('Council Entry'!N$8),ISNUMBER('Council Entry'!N$9)),MAX(MIN('Council Entry'!N143,'Council Entry'!N$9),'Council Entry'!N$8),'Council Entry'!N143)),IF('Council Entry'!N$4="Exponential",EXP(IF(AND(ISNUMBER('Council Entry'!N$8),ISNUMBER('Council Entry'!N$9)),MAX(MIN('Council Entry'!N143,'Council Entry'!N$9),'Council Entry'!N$8),'Council Entry'!N143)),IF(AND(ISNUMBER('Council Entry'!N$8),ISNUMBER('Council Entry'!N$9)),MAX(MIN('Council Entry'!N143,'Council Entry'!N$9),'Council Entry'!N$8),'Council Entry'!N143))))-'Council Entry'!N$5)/('Council Entry'!N$6-'Council Entry'!N$5),10*((IF('Council Entry'!N$4="Logarithm",LN(0.001+IF(AND(ISNUMBER('Council Entry'!N$8),ISNUMBER('Council Entry'!N$9)),MAX(MIN('Council Entry'!N143,'Council Entry'!N$9),'Council Entry'!N$8),'Council Entry'!N143)),IF('Council Entry'!N$4="Exponential",EXP(IF(AND(ISNUMBER('Council Entry'!N$8),ISNUMBER('Council Entry'!N$9)),MAX(MIN('Council Entry'!N143,'Council Entry'!N$9),'Council Entry'!N$8),'Council Entry'!N143)),IF(AND(ISNUMBER('Council Entry'!N$8),ISNUMBER('Council Entry'!N$9)),MAX(MIN('Council Entry'!N143,'Council Entry'!N$9),'Council Entry'!N$8),'Council Entry'!N143))))-'Council Entry'!N$5)/('Council Entry'!N$6-'Council Entry'!N$5)),1))),"No data"))</f>
        <v/>
      </c>
      <c r="O143" s="13">
        <f>IF('Council Entry'!O143="","",IFERROR(MAX(0,MIN(10,ROUND(IF('Council Entry'!O$7="Decrease Risk",10-10*((IF('Council Entry'!O$4="Logarithm",LN(0.001+IF(AND(ISNUMBER('Council Entry'!O$8),ISNUMBER('Council Entry'!O$9)),MAX(MIN('Council Entry'!O143,'Council Entry'!O$9),'Council Entry'!O$8),'Council Entry'!O143)),IF('Council Entry'!O$4="Exponential",EXP(IF(AND(ISNUMBER('Council Entry'!O$8),ISNUMBER('Council Entry'!O$9)),MAX(MIN('Council Entry'!O143,'Council Entry'!O$9),'Council Entry'!O$8),'Council Entry'!O143)),IF(AND(ISNUMBER('Council Entry'!O$8),ISNUMBER('Council Entry'!O$9)),MAX(MIN('Council Entry'!O143,'Council Entry'!O$9),'Council Entry'!O$8),'Council Entry'!O143))))-'Council Entry'!O$5)/('Council Entry'!O$6-'Council Entry'!O$5),10*((IF('Council Entry'!O$4="Logarithm",LN(0.001+IF(AND(ISNUMBER('Council Entry'!O$8),ISNUMBER('Council Entry'!O$9)),MAX(MIN('Council Entry'!O143,'Council Entry'!O$9),'Council Entry'!O$8),'Council Entry'!O143)),IF('Council Entry'!O$4="Exponential",EXP(IF(AND(ISNUMBER('Council Entry'!O$8),ISNUMBER('Council Entry'!O$9)),MAX(MIN('Council Entry'!O143,'Council Entry'!O$9),'Council Entry'!O$8),'Council Entry'!O143)),IF(AND(ISNUMBER('Council Entry'!O$8),ISNUMBER('Council Entry'!O$9)),MAX(MIN('Council Entry'!O143,'Council Entry'!O$9),'Council Entry'!O$8),'Council Entry'!O143))))-'Council Entry'!O$5)/('Council Entry'!O$6-'Council Entry'!O$5)),1))),"No data"))</f>
        <v/>
      </c>
      <c r="P143" s="13">
        <f>IF('Council Entry'!P143="","",IFERROR(MAX(0,MIN(10,ROUND(IF('Council Entry'!P$7="Decrease Risk",10-10*((IF('Council Entry'!P$4="Logarithm",LN(0.001+IF(AND(ISNUMBER('Council Entry'!P$8),ISNUMBER('Council Entry'!P$9)),MAX(MIN('Council Entry'!P143,'Council Entry'!P$9),'Council Entry'!P$8),'Council Entry'!P143)),IF('Council Entry'!P$4="Exponential",EXP(IF(AND(ISNUMBER('Council Entry'!P$8),ISNUMBER('Council Entry'!P$9)),MAX(MIN('Council Entry'!P143,'Council Entry'!P$9),'Council Entry'!P$8),'Council Entry'!P143)),IF(AND(ISNUMBER('Council Entry'!P$8),ISNUMBER('Council Entry'!P$9)),MAX(MIN('Council Entry'!P143,'Council Entry'!P$9),'Council Entry'!P$8),'Council Entry'!P143))))-'Council Entry'!P$5)/('Council Entry'!P$6-'Council Entry'!P$5),10*((IF('Council Entry'!P$4="Logarithm",LN(0.001+IF(AND(ISNUMBER('Council Entry'!P$8),ISNUMBER('Council Entry'!P$9)),MAX(MIN('Council Entry'!P143,'Council Entry'!P$9),'Council Entry'!P$8),'Council Entry'!P143)),IF('Council Entry'!P$4="Exponential",EXP(IF(AND(ISNUMBER('Council Entry'!P$8),ISNUMBER('Council Entry'!P$9)),MAX(MIN('Council Entry'!P143,'Council Entry'!P$9),'Council Entry'!P$8),'Council Entry'!P143)),IF(AND(ISNUMBER('Council Entry'!P$8),ISNUMBER('Council Entry'!P$9)),MAX(MIN('Council Entry'!P143,'Council Entry'!P$9),'Council Entry'!P$8),'Council Entry'!P143))))-'Council Entry'!P$5)/('Council Entry'!P$6-'Council Entry'!P$5)),1))),"No data"))</f>
        <v/>
      </c>
      <c r="Q143" s="13">
        <f>IF('Council Entry'!Q143="","",IFERROR(MAX(0,MIN(10,ROUND(IF('Council Entry'!Q$7="Decrease Risk",10-10*((IF('Council Entry'!Q$4="Logarithm",LN(0.001+IF(AND(ISNUMBER('Council Entry'!Q$8),ISNUMBER('Council Entry'!Q$9)),MAX(MIN('Council Entry'!Q143,'Council Entry'!Q$9),'Council Entry'!Q$8),'Council Entry'!Q143)),IF('Council Entry'!Q$4="Exponential",EXP(IF(AND(ISNUMBER('Council Entry'!Q$8),ISNUMBER('Council Entry'!Q$9)),MAX(MIN('Council Entry'!Q143,'Council Entry'!Q$9),'Council Entry'!Q$8),'Council Entry'!Q143)),IF(AND(ISNUMBER('Council Entry'!Q$8),ISNUMBER('Council Entry'!Q$9)),MAX(MIN('Council Entry'!Q143,'Council Entry'!Q$9),'Council Entry'!Q$8),'Council Entry'!Q143))))-'Council Entry'!Q$5)/('Council Entry'!Q$6-'Council Entry'!Q$5),10*((IF('Council Entry'!Q$4="Logarithm",LN(0.001+IF(AND(ISNUMBER('Council Entry'!Q$8),ISNUMBER('Council Entry'!Q$9)),MAX(MIN('Council Entry'!Q143,'Council Entry'!Q$9),'Council Entry'!Q$8),'Council Entry'!Q143)),IF('Council Entry'!Q$4="Exponential",EXP(IF(AND(ISNUMBER('Council Entry'!Q$8),ISNUMBER('Council Entry'!Q$9)),MAX(MIN('Council Entry'!Q143,'Council Entry'!Q$9),'Council Entry'!Q$8),'Council Entry'!Q143)),IF(AND(ISNUMBER('Council Entry'!Q$8),ISNUMBER('Council Entry'!Q$9)),MAX(MIN('Council Entry'!Q143,'Council Entry'!Q$9),'Council Entry'!Q$8),'Council Entry'!Q143))))-'Council Entry'!Q$5)/('Council Entry'!Q$6-'Council Entry'!Q$5)),1))),"No data"))</f>
        <v/>
      </c>
      <c r="R143" s="13">
        <f>IF('Council Entry'!R143="","",IFERROR(MAX(0,MIN(10,ROUND(IF('Council Entry'!R$7="Decrease Risk",10-10*((IF('Council Entry'!R$4="Logarithm",LN(0.001+IF(AND(ISNUMBER('Council Entry'!R$8),ISNUMBER('Council Entry'!R$9)),MAX(MIN('Council Entry'!R143,'Council Entry'!R$9),'Council Entry'!R$8),'Council Entry'!R143)),IF('Council Entry'!R$4="Exponential",EXP(IF(AND(ISNUMBER('Council Entry'!R$8),ISNUMBER('Council Entry'!R$9)),MAX(MIN('Council Entry'!R143,'Council Entry'!R$9),'Council Entry'!R$8),'Council Entry'!R143)),IF(AND(ISNUMBER('Council Entry'!R$8),ISNUMBER('Council Entry'!R$9)),MAX(MIN('Council Entry'!R143,'Council Entry'!R$9),'Council Entry'!R$8),'Council Entry'!R143))))-'Council Entry'!R$5)/('Council Entry'!R$6-'Council Entry'!R$5),10*((IF('Council Entry'!R$4="Logarithm",LN(0.001+IF(AND(ISNUMBER('Council Entry'!R$8),ISNUMBER('Council Entry'!R$9)),MAX(MIN('Council Entry'!R143,'Council Entry'!R$9),'Council Entry'!R$8),'Council Entry'!R143)),IF('Council Entry'!R$4="Exponential",EXP(IF(AND(ISNUMBER('Council Entry'!R$8),ISNUMBER('Council Entry'!R$9)),MAX(MIN('Council Entry'!R143,'Council Entry'!R$9),'Council Entry'!R$8),'Council Entry'!R143)),IF(AND(ISNUMBER('Council Entry'!R$8),ISNUMBER('Council Entry'!R$9)),MAX(MIN('Council Entry'!R143,'Council Entry'!R$9),'Council Entry'!R$8),'Council Entry'!R143))))-'Council Entry'!R$5)/('Council Entry'!R$6-'Council Entry'!R$5)),1))),"No data"))</f>
        <v/>
      </c>
      <c r="S143" s="13">
        <f>IF('Council Entry'!S143="","",IFERROR(MAX(0,MIN(10,ROUND(IF('Council Entry'!S$7="Decrease Risk",10-10*((IF('Council Entry'!S$4="Logarithm",LN(0.001+IF(AND(ISNUMBER('Council Entry'!S$8),ISNUMBER('Council Entry'!S$9)),MAX(MIN('Council Entry'!S143,'Council Entry'!S$9),'Council Entry'!S$8),'Council Entry'!S143)),IF('Council Entry'!S$4="Exponential",EXP(IF(AND(ISNUMBER('Council Entry'!S$8),ISNUMBER('Council Entry'!S$9)),MAX(MIN('Council Entry'!S143,'Council Entry'!S$9),'Council Entry'!S$8),'Council Entry'!S143)),IF(AND(ISNUMBER('Council Entry'!S$8),ISNUMBER('Council Entry'!S$9)),MAX(MIN('Council Entry'!S143,'Council Entry'!S$9),'Council Entry'!S$8),'Council Entry'!S143))))-'Council Entry'!S$5)/('Council Entry'!S$6-'Council Entry'!S$5),10*((IF('Council Entry'!S$4="Logarithm",LN(0.001+IF(AND(ISNUMBER('Council Entry'!S$8),ISNUMBER('Council Entry'!S$9)),MAX(MIN('Council Entry'!S143,'Council Entry'!S$9),'Council Entry'!S$8),'Council Entry'!S143)),IF('Council Entry'!S$4="Exponential",EXP(IF(AND(ISNUMBER('Council Entry'!S$8),ISNUMBER('Council Entry'!S$9)),MAX(MIN('Council Entry'!S143,'Council Entry'!S$9),'Council Entry'!S$8),'Council Entry'!S143)),IF(AND(ISNUMBER('Council Entry'!S$8),ISNUMBER('Council Entry'!S$9)),MAX(MIN('Council Entry'!S143,'Council Entry'!S$9),'Council Entry'!S$8),'Council Entry'!S143))))-'Council Entry'!S$5)/('Council Entry'!S$6-'Council Entry'!S$5)),1))),"No data"))</f>
        <v/>
      </c>
      <c r="T143" s="13">
        <f>IF('Council Entry'!T143="","",IFERROR(MAX(0,MIN(10,ROUND(IF('Council Entry'!T$7="Decrease Risk",10-10*((IF('Council Entry'!T$4="Logarithm",LN(0.001+IF(AND(ISNUMBER('Council Entry'!T$8),ISNUMBER('Council Entry'!T$9)),MAX(MIN('Council Entry'!T143,'Council Entry'!T$9),'Council Entry'!T$8),'Council Entry'!T143)),IF('Council Entry'!T$4="Exponential",EXP(IF(AND(ISNUMBER('Council Entry'!T$8),ISNUMBER('Council Entry'!T$9)),MAX(MIN('Council Entry'!T143,'Council Entry'!T$9),'Council Entry'!T$8),'Council Entry'!T143)),IF(AND(ISNUMBER('Council Entry'!T$8),ISNUMBER('Council Entry'!T$9)),MAX(MIN('Council Entry'!T143,'Council Entry'!T$9),'Council Entry'!T$8),'Council Entry'!T143))))-'Council Entry'!T$5)/('Council Entry'!T$6-'Council Entry'!T$5),10*((IF('Council Entry'!T$4="Logarithm",LN(0.001+IF(AND(ISNUMBER('Council Entry'!T$8),ISNUMBER('Council Entry'!T$9)),MAX(MIN('Council Entry'!T143,'Council Entry'!T$9),'Council Entry'!T$8),'Council Entry'!T143)),IF('Council Entry'!T$4="Exponential",EXP(IF(AND(ISNUMBER('Council Entry'!T$8),ISNUMBER('Council Entry'!T$9)),MAX(MIN('Council Entry'!T143,'Council Entry'!T$9),'Council Entry'!T$8),'Council Entry'!T143)),IF(AND(ISNUMBER('Council Entry'!T$8),ISNUMBER('Council Entry'!T$9)),MAX(MIN('Council Entry'!T143,'Council Entry'!T$9),'Council Entry'!T$8),'Council Entry'!T143))))-'Council Entry'!T$5)/('Council Entry'!T$6-'Council Entry'!T$5)),1))),"No data"))</f>
        <v/>
      </c>
      <c r="U143" s="13">
        <f>IF('Council Entry'!U143="","",IFERROR(MAX(0,MIN(10,ROUND(IF('Council Entry'!U$7="Decrease Risk",10-10*((IF('Council Entry'!U$4="Logarithm",LN(0.001+IF(AND(ISNUMBER('Council Entry'!U$8),ISNUMBER('Council Entry'!U$9)),MAX(MIN('Council Entry'!U143,'Council Entry'!U$9),'Council Entry'!U$8),'Council Entry'!U143)),IF('Council Entry'!U$4="Exponential",EXP(IF(AND(ISNUMBER('Council Entry'!U$8),ISNUMBER('Council Entry'!U$9)),MAX(MIN('Council Entry'!U143,'Council Entry'!U$9),'Council Entry'!U$8),'Council Entry'!U143)),IF(AND(ISNUMBER('Council Entry'!U$8),ISNUMBER('Council Entry'!U$9)),MAX(MIN('Council Entry'!U143,'Council Entry'!U$9),'Council Entry'!U$8),'Council Entry'!U143))))-'Council Entry'!U$5)/('Council Entry'!U$6-'Council Entry'!U$5),10*((IF('Council Entry'!U$4="Logarithm",LN(0.001+IF(AND(ISNUMBER('Council Entry'!U$8),ISNUMBER('Council Entry'!U$9)),MAX(MIN('Council Entry'!U143,'Council Entry'!U$9),'Council Entry'!U$8),'Council Entry'!U143)),IF('Council Entry'!U$4="Exponential",EXP(IF(AND(ISNUMBER('Council Entry'!U$8),ISNUMBER('Council Entry'!U$9)),MAX(MIN('Council Entry'!U143,'Council Entry'!U$9),'Council Entry'!U$8),'Council Entry'!U143)),IF(AND(ISNUMBER('Council Entry'!U$8),ISNUMBER('Council Entry'!U$9)),MAX(MIN('Council Entry'!U143,'Council Entry'!U$9),'Council Entry'!U$8),'Council Entry'!U143))))-'Council Entry'!U$5)/('Council Entry'!U$6-'Council Entry'!U$5)),1))),"No data"))</f>
        <v/>
      </c>
      <c r="V143" s="13">
        <f>IF('Council Entry'!V143="","",IFERROR(MAX(0,MIN(10,ROUND(IF('Council Entry'!V$7="Decrease Risk",10-10*((IF('Council Entry'!V$4="Logarithm",LN(0.001+IF(AND(ISNUMBER('Council Entry'!V$8),ISNUMBER('Council Entry'!V$9)),MAX(MIN('Council Entry'!V143,'Council Entry'!V$9),'Council Entry'!V$8),'Council Entry'!V143)),IF('Council Entry'!V$4="Exponential",EXP(IF(AND(ISNUMBER('Council Entry'!V$8),ISNUMBER('Council Entry'!V$9)),MAX(MIN('Council Entry'!V143,'Council Entry'!V$9),'Council Entry'!V$8),'Council Entry'!V143)),IF(AND(ISNUMBER('Council Entry'!V$8),ISNUMBER('Council Entry'!V$9)),MAX(MIN('Council Entry'!V143,'Council Entry'!V$9),'Council Entry'!V$8),'Council Entry'!V143))))-'Council Entry'!V$5)/('Council Entry'!V$6-'Council Entry'!V$5),10*((IF('Council Entry'!V$4="Logarithm",LN(0.001+IF(AND(ISNUMBER('Council Entry'!V$8),ISNUMBER('Council Entry'!V$9)),MAX(MIN('Council Entry'!V143,'Council Entry'!V$9),'Council Entry'!V$8),'Council Entry'!V143)),IF('Council Entry'!V$4="Exponential",EXP(IF(AND(ISNUMBER('Council Entry'!V$8),ISNUMBER('Council Entry'!V$9)),MAX(MIN('Council Entry'!V143,'Council Entry'!V$9),'Council Entry'!V$8),'Council Entry'!V143)),IF(AND(ISNUMBER('Council Entry'!V$8),ISNUMBER('Council Entry'!V$9)),MAX(MIN('Council Entry'!V143,'Council Entry'!V$9),'Council Entry'!V$8),'Council Entry'!V143))))-'Council Entry'!V$5)/('Council Entry'!V$6-'Council Entry'!V$5)),1))),"No data"))</f>
        <v/>
      </c>
      <c r="W143" s="13">
        <f>IF('Council Entry'!W143="","",IFERROR(MAX(0,MIN(10,ROUND(IF('Council Entry'!W$7="Decrease Risk",10-10*((IF('Council Entry'!W$4="Logarithm",LN(0.001+IF(AND(ISNUMBER('Council Entry'!W$8),ISNUMBER('Council Entry'!W$9)),MAX(MIN('Council Entry'!W143,'Council Entry'!W$9),'Council Entry'!W$8),'Council Entry'!W143)),IF('Council Entry'!W$4="Exponential",EXP(IF(AND(ISNUMBER('Council Entry'!W$8),ISNUMBER('Council Entry'!W$9)),MAX(MIN('Council Entry'!W143,'Council Entry'!W$9),'Council Entry'!W$8),'Council Entry'!W143)),IF(AND(ISNUMBER('Council Entry'!W$8),ISNUMBER('Council Entry'!W$9)),MAX(MIN('Council Entry'!W143,'Council Entry'!W$9),'Council Entry'!W$8),'Council Entry'!W143))))-'Council Entry'!W$5)/('Council Entry'!W$6-'Council Entry'!W$5),10*((IF('Council Entry'!W$4="Logarithm",LN(0.001+IF(AND(ISNUMBER('Council Entry'!W$8),ISNUMBER('Council Entry'!W$9)),MAX(MIN('Council Entry'!W143,'Council Entry'!W$9),'Council Entry'!W$8),'Council Entry'!W143)),IF('Council Entry'!W$4="Exponential",EXP(IF(AND(ISNUMBER('Council Entry'!W$8),ISNUMBER('Council Entry'!W$9)),MAX(MIN('Council Entry'!W143,'Council Entry'!W$9),'Council Entry'!W$8),'Council Entry'!W143)),IF(AND(ISNUMBER('Council Entry'!W$8),ISNUMBER('Council Entry'!W$9)),MAX(MIN('Council Entry'!W143,'Council Entry'!W$9),'Council Entry'!W$8),'Council Entry'!W143))))-'Council Entry'!W$5)/('Council Entry'!W$6-'Council Entry'!W$5)),1))),"No data"))</f>
        <v/>
      </c>
      <c r="X143" s="13">
        <f>IF('Council Entry'!X143="","",IFERROR(MAX(0,MIN(10,ROUND(IF('Council Entry'!X$7="Decrease Risk",10-10*((IF('Council Entry'!X$4="Logarithm",LN(0.001+IF(AND(ISNUMBER('Council Entry'!X$8),ISNUMBER('Council Entry'!X$9)),MAX(MIN('Council Entry'!X143,'Council Entry'!X$9),'Council Entry'!X$8),'Council Entry'!X143)),IF('Council Entry'!X$4="Exponential",EXP(IF(AND(ISNUMBER('Council Entry'!X$8),ISNUMBER('Council Entry'!X$9)),MAX(MIN('Council Entry'!X143,'Council Entry'!X$9),'Council Entry'!X$8),'Council Entry'!X143)),IF(AND(ISNUMBER('Council Entry'!X$8),ISNUMBER('Council Entry'!X$9)),MAX(MIN('Council Entry'!X143,'Council Entry'!X$9),'Council Entry'!X$8),'Council Entry'!X143))))-'Council Entry'!X$5)/('Council Entry'!X$6-'Council Entry'!X$5),10*((IF('Council Entry'!X$4="Logarithm",LN(0.001+IF(AND(ISNUMBER('Council Entry'!X$8),ISNUMBER('Council Entry'!X$9)),MAX(MIN('Council Entry'!X143,'Council Entry'!X$9),'Council Entry'!X$8),'Council Entry'!X143)),IF('Council Entry'!X$4="Exponential",EXP(IF(AND(ISNUMBER('Council Entry'!X$8),ISNUMBER('Council Entry'!X$9)),MAX(MIN('Council Entry'!X143,'Council Entry'!X$9),'Council Entry'!X$8),'Council Entry'!X143)),IF(AND(ISNUMBER('Council Entry'!X$8),ISNUMBER('Council Entry'!X$9)),MAX(MIN('Council Entry'!X143,'Council Entry'!X$9),'Council Entry'!X$8),'Council Entry'!X143))))-'Council Entry'!X$5)/('Council Entry'!X$6-'Council Entry'!X$5)),1))),"No data"))</f>
        <v/>
      </c>
      <c r="Y143" s="13">
        <f>IF('Council Entry'!Y143="","",IFERROR(MAX(0,MIN(10,ROUND(IF('Council Entry'!Y$7="Decrease Risk",10-10*((IF('Council Entry'!Y$4="Logarithm",LN(0.001+IF(AND(ISNUMBER('Council Entry'!Y$8),ISNUMBER('Council Entry'!Y$9)),MAX(MIN('Council Entry'!Y143,'Council Entry'!Y$9),'Council Entry'!Y$8),'Council Entry'!Y143)),IF('Council Entry'!Y$4="Exponential",EXP(IF(AND(ISNUMBER('Council Entry'!Y$8),ISNUMBER('Council Entry'!Y$9)),MAX(MIN('Council Entry'!Y143,'Council Entry'!Y$9),'Council Entry'!Y$8),'Council Entry'!Y143)),IF(AND(ISNUMBER('Council Entry'!Y$8),ISNUMBER('Council Entry'!Y$9)),MAX(MIN('Council Entry'!Y143,'Council Entry'!Y$9),'Council Entry'!Y$8),'Council Entry'!Y143))))-'Council Entry'!Y$5)/('Council Entry'!Y$6-'Council Entry'!Y$5),10*((IF('Council Entry'!Y$4="Logarithm",LN(0.001+IF(AND(ISNUMBER('Council Entry'!Y$8),ISNUMBER('Council Entry'!Y$9)),MAX(MIN('Council Entry'!Y143,'Council Entry'!Y$9),'Council Entry'!Y$8),'Council Entry'!Y143)),IF('Council Entry'!Y$4="Exponential",EXP(IF(AND(ISNUMBER('Council Entry'!Y$8),ISNUMBER('Council Entry'!Y$9)),MAX(MIN('Council Entry'!Y143,'Council Entry'!Y$9),'Council Entry'!Y$8),'Council Entry'!Y143)),IF(AND(ISNUMBER('Council Entry'!Y$8),ISNUMBER('Council Entry'!Y$9)),MAX(MIN('Council Entry'!Y143,'Council Entry'!Y$9),'Council Entry'!Y$8),'Council Entry'!Y143))))-'Council Entry'!Y$5)/('Council Entry'!Y$6-'Council Entry'!Y$5)),1))),"No data"))</f>
        <v/>
      </c>
      <c r="Z143" s="13">
        <f>IF('Council Entry'!Z143="","",IFERROR(MAX(0,MIN(10,ROUND(IF('Council Entry'!Z$7="Decrease Risk",10-10*((IF('Council Entry'!Z$4="Logarithm",LN(0.001+IF(AND(ISNUMBER('Council Entry'!Z$8),ISNUMBER('Council Entry'!Z$9)),MAX(MIN('Council Entry'!Z143,'Council Entry'!Z$9),'Council Entry'!Z$8),'Council Entry'!Z143)),IF('Council Entry'!Z$4="Exponential",EXP(IF(AND(ISNUMBER('Council Entry'!Z$8),ISNUMBER('Council Entry'!Z$9)),MAX(MIN('Council Entry'!Z143,'Council Entry'!Z$9),'Council Entry'!Z$8),'Council Entry'!Z143)),IF(AND(ISNUMBER('Council Entry'!Z$8),ISNUMBER('Council Entry'!Z$9)),MAX(MIN('Council Entry'!Z143,'Council Entry'!Z$9),'Council Entry'!Z$8),'Council Entry'!Z143))))-'Council Entry'!Z$5)/('Council Entry'!Z$6-'Council Entry'!Z$5),10*((IF('Council Entry'!Z$4="Logarithm",LN(0.001+IF(AND(ISNUMBER('Council Entry'!Z$8),ISNUMBER('Council Entry'!Z$9)),MAX(MIN('Council Entry'!Z143,'Council Entry'!Z$9),'Council Entry'!Z$8),'Council Entry'!Z143)),IF('Council Entry'!Z$4="Exponential",EXP(IF(AND(ISNUMBER('Council Entry'!Z$8),ISNUMBER('Council Entry'!Z$9)),MAX(MIN('Council Entry'!Z143,'Council Entry'!Z$9),'Council Entry'!Z$8),'Council Entry'!Z143)),IF(AND(ISNUMBER('Council Entry'!Z$8),ISNUMBER('Council Entry'!Z$9)),MAX(MIN('Council Entry'!Z143,'Council Entry'!Z$9),'Council Entry'!Z$8),'Council Entry'!Z143))))-'Council Entry'!Z$5)/('Council Entry'!Z$6-'Council Entry'!Z$5)),1))),"No data"))</f>
        <v/>
      </c>
      <c r="AA143" s="13">
        <f>IF('Council Entry'!AA143="","",IFERROR(MAX(0,MIN(10,ROUND(IF('Council Entry'!AA$7="Decrease Risk",10-10*((IF('Council Entry'!AA$4="Logarithm",LN(0.001+IF(AND(ISNUMBER('Council Entry'!AA$8),ISNUMBER('Council Entry'!AA$9)),MAX(MIN('Council Entry'!AA143,'Council Entry'!AA$9),'Council Entry'!AA$8),'Council Entry'!AA143)),IF('Council Entry'!AA$4="Exponential",EXP(IF(AND(ISNUMBER('Council Entry'!AA$8),ISNUMBER('Council Entry'!AA$9)),MAX(MIN('Council Entry'!AA143,'Council Entry'!AA$9),'Council Entry'!AA$8),'Council Entry'!AA143)),IF(AND(ISNUMBER('Council Entry'!AA$8),ISNUMBER('Council Entry'!AA$9)),MAX(MIN('Council Entry'!AA143,'Council Entry'!AA$9),'Council Entry'!AA$8),'Council Entry'!AA143))))-'Council Entry'!AA$5)/('Council Entry'!AA$6-'Council Entry'!AA$5),10*((IF('Council Entry'!AA$4="Logarithm",LN(0.001+IF(AND(ISNUMBER('Council Entry'!AA$8),ISNUMBER('Council Entry'!AA$9)),MAX(MIN('Council Entry'!AA143,'Council Entry'!AA$9),'Council Entry'!AA$8),'Council Entry'!AA143)),IF('Council Entry'!AA$4="Exponential",EXP(IF(AND(ISNUMBER('Council Entry'!AA$8),ISNUMBER('Council Entry'!AA$9)),MAX(MIN('Council Entry'!AA143,'Council Entry'!AA$9),'Council Entry'!AA$8),'Council Entry'!AA143)),IF(AND(ISNUMBER('Council Entry'!AA$8),ISNUMBER('Council Entry'!AA$9)),MAX(MIN('Council Entry'!AA143,'Council Entry'!AA$9),'Council Entry'!AA$8),'Council Entry'!AA143))))-'Council Entry'!AA$5)/('Council Entry'!AA$6-'Council Entry'!AA$5)),1))),"No data"))</f>
        <v/>
      </c>
      <c r="AB143" s="13">
        <f>IF('Council Entry'!AB143="","",IFERROR(MAX(0,MIN(10,ROUND(IF('Council Entry'!AB$7="Decrease Risk",10-10*((IF('Council Entry'!AB$4="Logarithm",LN(0.001+IF(AND(ISNUMBER('Council Entry'!AB$8),ISNUMBER('Council Entry'!AB$9)),MAX(MIN('Council Entry'!AB143,'Council Entry'!AB$9),'Council Entry'!AB$8),'Council Entry'!AB143)),IF('Council Entry'!AB$4="Exponential",EXP(IF(AND(ISNUMBER('Council Entry'!AB$8),ISNUMBER('Council Entry'!AB$9)),MAX(MIN('Council Entry'!AB143,'Council Entry'!AB$9),'Council Entry'!AB$8),'Council Entry'!AB143)),IF(AND(ISNUMBER('Council Entry'!AB$8),ISNUMBER('Council Entry'!AB$9)),MAX(MIN('Council Entry'!AB143,'Council Entry'!AB$9),'Council Entry'!AB$8),'Council Entry'!AB143))))-'Council Entry'!AB$5)/('Council Entry'!AB$6-'Council Entry'!AB$5),10*((IF('Council Entry'!AB$4="Logarithm",LN(0.001+IF(AND(ISNUMBER('Council Entry'!AB$8),ISNUMBER('Council Entry'!AB$9)),MAX(MIN('Council Entry'!AB143,'Council Entry'!AB$9),'Council Entry'!AB$8),'Council Entry'!AB143)),IF('Council Entry'!AB$4="Exponential",EXP(IF(AND(ISNUMBER('Council Entry'!AB$8),ISNUMBER('Council Entry'!AB$9)),MAX(MIN('Council Entry'!AB143,'Council Entry'!AB$9),'Council Entry'!AB$8),'Council Entry'!AB143)),IF(AND(ISNUMBER('Council Entry'!AB$8),ISNUMBER('Council Entry'!AB$9)),MAX(MIN('Council Entry'!AB143,'Council Entry'!AB$9),'Council Entry'!AB$8),'Council Entry'!AB143))))-'Council Entry'!AB$5)/('Council Entry'!AB$6-'Council Entry'!AB$5)),1))),"No data"))</f>
        <v/>
      </c>
      <c r="AC143" s="13">
        <f>IF('Council Entry'!AC143="","",IFERROR(MAX(0,MIN(10,ROUND(IF('Council Entry'!AC$7="Decrease Risk",10-10*((IF('Council Entry'!AC$4="Logarithm",LN(0.001+IF(AND(ISNUMBER('Council Entry'!AC$8),ISNUMBER('Council Entry'!AC$9)),MAX(MIN('Council Entry'!AC143,'Council Entry'!AC$9),'Council Entry'!AC$8),'Council Entry'!AC143)),IF('Council Entry'!AC$4="Exponential",EXP(IF(AND(ISNUMBER('Council Entry'!AC$8),ISNUMBER('Council Entry'!AC$9)),MAX(MIN('Council Entry'!AC143,'Council Entry'!AC$9),'Council Entry'!AC$8),'Council Entry'!AC143)),IF(AND(ISNUMBER('Council Entry'!AC$8),ISNUMBER('Council Entry'!AC$9)),MAX(MIN('Council Entry'!AC143,'Council Entry'!AC$9),'Council Entry'!AC$8),'Council Entry'!AC143))))-'Council Entry'!AC$5)/('Council Entry'!AC$6-'Council Entry'!AC$5),10*((IF('Council Entry'!AC$4="Logarithm",LN(0.001+IF(AND(ISNUMBER('Council Entry'!AC$8),ISNUMBER('Council Entry'!AC$9)),MAX(MIN('Council Entry'!AC143,'Council Entry'!AC$9),'Council Entry'!AC$8),'Council Entry'!AC143)),IF('Council Entry'!AC$4="Exponential",EXP(IF(AND(ISNUMBER('Council Entry'!AC$8),ISNUMBER('Council Entry'!AC$9)),MAX(MIN('Council Entry'!AC143,'Council Entry'!AC$9),'Council Entry'!AC$8),'Council Entry'!AC143)),IF(AND(ISNUMBER('Council Entry'!AC$8),ISNUMBER('Council Entry'!AC$9)),MAX(MIN('Council Entry'!AC143,'Council Entry'!AC$9),'Council Entry'!AC$8),'Council Entry'!AC143))))-'Council Entry'!AC$5)/('Council Entry'!AC$6-'Council Entry'!AC$5)),1))),"No data"))</f>
        <v/>
      </c>
      <c r="AD143" s="13">
        <f>IF('Council Entry'!AD143="","",IFERROR(MAX(0,MIN(10,ROUND(IF('Council Entry'!AD$7="Decrease Risk",10-10*((IF('Council Entry'!AD$4="Logarithm",LN(0.001+IF(AND(ISNUMBER('Council Entry'!AD$8),ISNUMBER('Council Entry'!AD$9)),MAX(MIN('Council Entry'!AD143,'Council Entry'!AD$9),'Council Entry'!AD$8),'Council Entry'!AD143)),IF('Council Entry'!AD$4="Exponential",EXP(IF(AND(ISNUMBER('Council Entry'!AD$8),ISNUMBER('Council Entry'!AD$9)),MAX(MIN('Council Entry'!AD143,'Council Entry'!AD$9),'Council Entry'!AD$8),'Council Entry'!AD143)),IF(AND(ISNUMBER('Council Entry'!AD$8),ISNUMBER('Council Entry'!AD$9)),MAX(MIN('Council Entry'!AD143,'Council Entry'!AD$9),'Council Entry'!AD$8),'Council Entry'!AD143))))-'Council Entry'!AD$5)/('Council Entry'!AD$6-'Council Entry'!AD$5),10*((IF('Council Entry'!AD$4="Logarithm",LN(0.001+IF(AND(ISNUMBER('Council Entry'!AD$8),ISNUMBER('Council Entry'!AD$9)),MAX(MIN('Council Entry'!AD143,'Council Entry'!AD$9),'Council Entry'!AD$8),'Council Entry'!AD143)),IF('Council Entry'!AD$4="Exponential",EXP(IF(AND(ISNUMBER('Council Entry'!AD$8),ISNUMBER('Council Entry'!AD$9)),MAX(MIN('Council Entry'!AD143,'Council Entry'!AD$9),'Council Entry'!AD$8),'Council Entry'!AD143)),IF(AND(ISNUMBER('Council Entry'!AD$8),ISNUMBER('Council Entry'!AD$9)),MAX(MIN('Council Entry'!AD143,'Council Entry'!AD$9),'Council Entry'!AD$8),'Council Entry'!AD143))))-'Council Entry'!AD$5)/('Council Entry'!AD$6-'Council Entry'!AD$5)),1))),"No data"))</f>
        <v/>
      </c>
      <c r="AE143" s="13">
        <f>IF('Council Entry'!AE143="","",IFERROR(MAX(0,MIN(10,ROUND(IF('Council Entry'!AE$7="Decrease Risk",10-10*((IF('Council Entry'!AE$4="Logarithm",LN(0.001+IF(AND(ISNUMBER('Council Entry'!AE$8),ISNUMBER('Council Entry'!AE$9)),MAX(MIN('Council Entry'!AE143,'Council Entry'!AE$9),'Council Entry'!AE$8),'Council Entry'!AE143)),IF('Council Entry'!AE$4="Exponential",EXP(IF(AND(ISNUMBER('Council Entry'!AE$8),ISNUMBER('Council Entry'!AE$9)),MAX(MIN('Council Entry'!AE143,'Council Entry'!AE$9),'Council Entry'!AE$8),'Council Entry'!AE143)),IF(AND(ISNUMBER('Council Entry'!AE$8),ISNUMBER('Council Entry'!AE$9)),MAX(MIN('Council Entry'!AE143,'Council Entry'!AE$9),'Council Entry'!AE$8),'Council Entry'!AE143))))-'Council Entry'!AE$5)/('Council Entry'!AE$6-'Council Entry'!AE$5),10*((IF('Council Entry'!AE$4="Logarithm",LN(0.001+IF(AND(ISNUMBER('Council Entry'!AE$8),ISNUMBER('Council Entry'!AE$9)),MAX(MIN('Council Entry'!AE143,'Council Entry'!AE$9),'Council Entry'!AE$8),'Council Entry'!AE143)),IF('Council Entry'!AE$4="Exponential",EXP(IF(AND(ISNUMBER('Council Entry'!AE$8),ISNUMBER('Council Entry'!AE$9)),MAX(MIN('Council Entry'!AE143,'Council Entry'!AE$9),'Council Entry'!AE$8),'Council Entry'!AE143)),IF(AND(ISNUMBER('Council Entry'!AE$8),ISNUMBER('Council Entry'!AE$9)),MAX(MIN('Council Entry'!AE143,'Council Entry'!AE$9),'Council Entry'!AE$8),'Council Entry'!AE143))))-'Council Entry'!AE$5)/('Council Entry'!AE$6-'Council Entry'!AE$5)),1))),"No data"))</f>
        <v/>
      </c>
      <c r="AF143" s="13">
        <f>IF('Council Entry'!AF143="","",IFERROR(MAX(0,MIN(10,ROUND(IF('Council Entry'!AF$7="Decrease Risk",10-10*((IF('Council Entry'!AF$4="Logarithm",LN(0.001+IF(AND(ISNUMBER('Council Entry'!AF$8),ISNUMBER('Council Entry'!AF$9)),MAX(MIN('Council Entry'!AF143,'Council Entry'!AF$9),'Council Entry'!AF$8),'Council Entry'!AF143)),IF('Council Entry'!AF$4="Exponential",EXP(IF(AND(ISNUMBER('Council Entry'!AF$8),ISNUMBER('Council Entry'!AF$9)),MAX(MIN('Council Entry'!AF143,'Council Entry'!AF$9),'Council Entry'!AF$8),'Council Entry'!AF143)),IF(AND(ISNUMBER('Council Entry'!AF$8),ISNUMBER('Council Entry'!AF$9)),MAX(MIN('Council Entry'!AF143,'Council Entry'!AF$9),'Council Entry'!AF$8),'Council Entry'!AF143))))-'Council Entry'!AF$5)/('Council Entry'!AF$6-'Council Entry'!AF$5),10*((IF('Council Entry'!AF$4="Logarithm",LN(0.001+IF(AND(ISNUMBER('Council Entry'!AF$8),ISNUMBER('Council Entry'!AF$9)),MAX(MIN('Council Entry'!AF143,'Council Entry'!AF$9),'Council Entry'!AF$8),'Council Entry'!AF143)),IF('Council Entry'!AF$4="Exponential",EXP(IF(AND(ISNUMBER('Council Entry'!AF$8),ISNUMBER('Council Entry'!AF$9)),MAX(MIN('Council Entry'!AF143,'Council Entry'!AF$9),'Council Entry'!AF$8),'Council Entry'!AF143)),IF(AND(ISNUMBER('Council Entry'!AF$8),ISNUMBER('Council Entry'!AF$9)),MAX(MIN('Council Entry'!AF143,'Council Entry'!AF$9),'Council Entry'!AF$8),'Council Entry'!AF143))))-'Council Entry'!AF$5)/('Council Entry'!AF$6-'Council Entry'!AF$5)),1))),"No data"))</f>
        <v/>
      </c>
      <c r="AG143" s="13">
        <f>IF('Council Entry'!AG143="","",IFERROR(MAX(0,MIN(10,ROUND(IF('Council Entry'!AG$7="Decrease Risk",10-10*((IF('Council Entry'!AG$4="Logarithm",LN(0.001+IF(AND(ISNUMBER('Council Entry'!AG$8),ISNUMBER('Council Entry'!AG$9)),MAX(MIN('Council Entry'!AG143,'Council Entry'!AG$9),'Council Entry'!AG$8),'Council Entry'!AG143)),IF('Council Entry'!AG$4="Exponential",EXP(IF(AND(ISNUMBER('Council Entry'!AG$8),ISNUMBER('Council Entry'!AG$9)),MAX(MIN('Council Entry'!AG143,'Council Entry'!AG$9),'Council Entry'!AG$8),'Council Entry'!AG143)),IF(AND(ISNUMBER('Council Entry'!AG$8),ISNUMBER('Council Entry'!AG$9)),MAX(MIN('Council Entry'!AG143,'Council Entry'!AG$9),'Council Entry'!AG$8),'Council Entry'!AG143))))-'Council Entry'!AG$5)/('Council Entry'!AG$6-'Council Entry'!AG$5),10*((IF('Council Entry'!AG$4="Logarithm",LN(0.001+IF(AND(ISNUMBER('Council Entry'!AG$8),ISNUMBER('Council Entry'!AG$9)),MAX(MIN('Council Entry'!AG143,'Council Entry'!AG$9),'Council Entry'!AG$8),'Council Entry'!AG143)),IF('Council Entry'!AG$4="Exponential",EXP(IF(AND(ISNUMBER('Council Entry'!AG$8),ISNUMBER('Council Entry'!AG$9)),MAX(MIN('Council Entry'!AG143,'Council Entry'!AG$9),'Council Entry'!AG$8),'Council Entry'!AG143)),IF(AND(ISNUMBER('Council Entry'!AG$8),ISNUMBER('Council Entry'!AG$9)),MAX(MIN('Council Entry'!AG143,'Council Entry'!AG$9),'Council Entry'!AG$8),'Council Entry'!AG143))))-'Council Entry'!AG$5)/('Council Entry'!AG$6-'Council Entry'!AG$5)),1))),"No data"))</f>
        <v/>
      </c>
      <c r="AH143" s="13">
        <f>IF('Council Entry'!AH143="","",IFERROR(MAX(0,MIN(10,ROUND(IF('Council Entry'!AH$7="Decrease Risk",10-10*((IF('Council Entry'!AH$4="Logarithm",LN(0.001+IF(AND(ISNUMBER('Council Entry'!AH$8),ISNUMBER('Council Entry'!AH$9)),MAX(MIN('Council Entry'!AH143,'Council Entry'!AH$9),'Council Entry'!AH$8),'Council Entry'!AH143)),IF('Council Entry'!AH$4="Exponential",EXP(IF(AND(ISNUMBER('Council Entry'!AH$8),ISNUMBER('Council Entry'!AH$9)),MAX(MIN('Council Entry'!AH143,'Council Entry'!AH$9),'Council Entry'!AH$8),'Council Entry'!AH143)),IF(AND(ISNUMBER('Council Entry'!AH$8),ISNUMBER('Council Entry'!AH$9)),MAX(MIN('Council Entry'!AH143,'Council Entry'!AH$9),'Council Entry'!AH$8),'Council Entry'!AH143))))-'Council Entry'!AH$5)/('Council Entry'!AH$6-'Council Entry'!AH$5),10*((IF('Council Entry'!AH$4="Logarithm",LN(0.001+IF(AND(ISNUMBER('Council Entry'!AH$8),ISNUMBER('Council Entry'!AH$9)),MAX(MIN('Council Entry'!AH143,'Council Entry'!AH$9),'Council Entry'!AH$8),'Council Entry'!AH143)),IF('Council Entry'!AH$4="Exponential",EXP(IF(AND(ISNUMBER('Council Entry'!AH$8),ISNUMBER('Council Entry'!AH$9)),MAX(MIN('Council Entry'!AH143,'Council Entry'!AH$9),'Council Entry'!AH$8),'Council Entry'!AH143)),IF(AND(ISNUMBER('Council Entry'!AH$8),ISNUMBER('Council Entry'!AH$9)),MAX(MIN('Council Entry'!AH143,'Council Entry'!AH$9),'Council Entry'!AH$8),'Council Entry'!AH143))))-'Council Entry'!AH$5)/('Council Entry'!AH$6-'Council Entry'!AH$5)),1))),"No data"))</f>
        <v/>
      </c>
      <c r="AI143" s="13">
        <f>IF('Council Entry'!AI143="","",IFERROR(MAX(0,MIN(10,ROUND(IF('Council Entry'!AI$7="Decrease Risk",10-10*((IF('Council Entry'!AI$4="Logarithm",LN(0.001+IF(AND(ISNUMBER('Council Entry'!AI$8),ISNUMBER('Council Entry'!AI$9)),MAX(MIN('Council Entry'!AI143,'Council Entry'!AI$9),'Council Entry'!AI$8),'Council Entry'!AI143)),IF('Council Entry'!AI$4="Exponential",EXP(IF(AND(ISNUMBER('Council Entry'!AI$8),ISNUMBER('Council Entry'!AI$9)),MAX(MIN('Council Entry'!AI143,'Council Entry'!AI$9),'Council Entry'!AI$8),'Council Entry'!AI143)),IF(AND(ISNUMBER('Council Entry'!AI$8),ISNUMBER('Council Entry'!AI$9)),MAX(MIN('Council Entry'!AI143,'Council Entry'!AI$9),'Council Entry'!AI$8),'Council Entry'!AI143))))-'Council Entry'!AI$5)/('Council Entry'!AI$6-'Council Entry'!AI$5),10*((IF('Council Entry'!AI$4="Logarithm",LN(0.001+IF(AND(ISNUMBER('Council Entry'!AI$8),ISNUMBER('Council Entry'!AI$9)),MAX(MIN('Council Entry'!AI143,'Council Entry'!AI$9),'Council Entry'!AI$8),'Council Entry'!AI143)),IF('Council Entry'!AI$4="Exponential",EXP(IF(AND(ISNUMBER('Council Entry'!AI$8),ISNUMBER('Council Entry'!AI$9)),MAX(MIN('Council Entry'!AI143,'Council Entry'!AI$9),'Council Entry'!AI$8),'Council Entry'!AI143)),IF(AND(ISNUMBER('Council Entry'!AI$8),ISNUMBER('Council Entry'!AI$9)),MAX(MIN('Council Entry'!AI143,'Council Entry'!AI$9),'Council Entry'!AI$8),'Council Entry'!AI143))))-'Council Entry'!AI$5)/('Council Entry'!AI$6-'Council Entry'!AI$5)),1))),"No data"))</f>
        <v/>
      </c>
      <c r="AJ143" s="13">
        <f>IF('Council Entry'!AJ143="","",IFERROR(MAX(0,MIN(10,ROUND(IF('Council Entry'!AJ$7="Decrease Risk",10-10*((IF('Council Entry'!AJ$4="Logarithm",LN(0.001+IF(AND(ISNUMBER('Council Entry'!AJ$8),ISNUMBER('Council Entry'!AJ$9)),MAX(MIN('Council Entry'!AJ143,'Council Entry'!AJ$9),'Council Entry'!AJ$8),'Council Entry'!AJ143)),IF('Council Entry'!AJ$4="Exponential",EXP(IF(AND(ISNUMBER('Council Entry'!AJ$8),ISNUMBER('Council Entry'!AJ$9)),MAX(MIN('Council Entry'!AJ143,'Council Entry'!AJ$9),'Council Entry'!AJ$8),'Council Entry'!AJ143)),IF(AND(ISNUMBER('Council Entry'!AJ$8),ISNUMBER('Council Entry'!AJ$9)),MAX(MIN('Council Entry'!AJ143,'Council Entry'!AJ$9),'Council Entry'!AJ$8),'Council Entry'!AJ143))))-'Council Entry'!AJ$5)/('Council Entry'!AJ$6-'Council Entry'!AJ$5),10*((IF('Council Entry'!AJ$4="Logarithm",LN(0.001+IF(AND(ISNUMBER('Council Entry'!AJ$8),ISNUMBER('Council Entry'!AJ$9)),MAX(MIN('Council Entry'!AJ143,'Council Entry'!AJ$9),'Council Entry'!AJ$8),'Council Entry'!AJ143)),IF('Council Entry'!AJ$4="Exponential",EXP(IF(AND(ISNUMBER('Council Entry'!AJ$8),ISNUMBER('Council Entry'!AJ$9)),MAX(MIN('Council Entry'!AJ143,'Council Entry'!AJ$9),'Council Entry'!AJ$8),'Council Entry'!AJ143)),IF(AND(ISNUMBER('Council Entry'!AJ$8),ISNUMBER('Council Entry'!AJ$9)),MAX(MIN('Council Entry'!AJ143,'Council Entry'!AJ$9),'Council Entry'!AJ$8),'Council Entry'!AJ143))))-'Council Entry'!AJ$5)/('Council Entry'!AJ$6-'Council Entry'!AJ$5)),1))),"No data"))</f>
        <v/>
      </c>
      <c r="AK143" s="13">
        <f>IF('Council Entry'!AK143="","",IFERROR(MAX(0,MIN(10,ROUND(IF('Council Entry'!AK$7="Decrease Risk",10-10*((IF('Council Entry'!AK$4="Logarithm",LN(0.001+IF(AND(ISNUMBER('Council Entry'!AK$8),ISNUMBER('Council Entry'!AK$9)),MAX(MIN('Council Entry'!AK143,'Council Entry'!AK$9),'Council Entry'!AK$8),'Council Entry'!AK143)),IF('Council Entry'!AK$4="Exponential",EXP(IF(AND(ISNUMBER('Council Entry'!AK$8),ISNUMBER('Council Entry'!AK$9)),MAX(MIN('Council Entry'!AK143,'Council Entry'!AK$9),'Council Entry'!AK$8),'Council Entry'!AK143)),IF(AND(ISNUMBER('Council Entry'!AK$8),ISNUMBER('Council Entry'!AK$9)),MAX(MIN('Council Entry'!AK143,'Council Entry'!AK$9),'Council Entry'!AK$8),'Council Entry'!AK143))))-'Council Entry'!AK$5)/('Council Entry'!AK$6-'Council Entry'!AK$5),10*((IF('Council Entry'!AK$4="Logarithm",LN(0.001+IF(AND(ISNUMBER('Council Entry'!AK$8),ISNUMBER('Council Entry'!AK$9)),MAX(MIN('Council Entry'!AK143,'Council Entry'!AK$9),'Council Entry'!AK$8),'Council Entry'!AK143)),IF('Council Entry'!AK$4="Exponential",EXP(IF(AND(ISNUMBER('Council Entry'!AK$8),ISNUMBER('Council Entry'!AK$9)),MAX(MIN('Council Entry'!AK143,'Council Entry'!AK$9),'Council Entry'!AK$8),'Council Entry'!AK143)),IF(AND(ISNUMBER('Council Entry'!AK$8),ISNUMBER('Council Entry'!AK$9)),MAX(MIN('Council Entry'!AK143,'Council Entry'!AK$9),'Council Entry'!AK$8),'Council Entry'!AK143))))-'Council Entry'!AK$5)/('Council Entry'!AK$6-'Council Entry'!AK$5)),1))),"No data"))</f>
        <v/>
      </c>
      <c r="AL143" s="13">
        <f>IF('Council Entry'!AL143="","",IFERROR(MAX(0,MIN(10,ROUND(IF('Council Entry'!AL$7="Decrease Risk",10-10*((IF('Council Entry'!AL$4="Logarithm",LN(0.001+IF(AND(ISNUMBER('Council Entry'!AL$8),ISNUMBER('Council Entry'!AL$9)),MAX(MIN('Council Entry'!AL143,'Council Entry'!AL$9),'Council Entry'!AL$8),'Council Entry'!AL143)),IF('Council Entry'!AL$4="Exponential",EXP(IF(AND(ISNUMBER('Council Entry'!AL$8),ISNUMBER('Council Entry'!AL$9)),MAX(MIN('Council Entry'!AL143,'Council Entry'!AL$9),'Council Entry'!AL$8),'Council Entry'!AL143)),IF(AND(ISNUMBER('Council Entry'!AL$8),ISNUMBER('Council Entry'!AL$9)),MAX(MIN('Council Entry'!AL143,'Council Entry'!AL$9),'Council Entry'!AL$8),'Council Entry'!AL143))))-'Council Entry'!AL$5)/('Council Entry'!AL$6-'Council Entry'!AL$5),10*((IF('Council Entry'!AL$4="Logarithm",LN(0.001+IF(AND(ISNUMBER('Council Entry'!AL$8),ISNUMBER('Council Entry'!AL$9)),MAX(MIN('Council Entry'!AL143,'Council Entry'!AL$9),'Council Entry'!AL$8),'Council Entry'!AL143)),IF('Council Entry'!AL$4="Exponential",EXP(IF(AND(ISNUMBER('Council Entry'!AL$8),ISNUMBER('Council Entry'!AL$9)),MAX(MIN('Council Entry'!AL143,'Council Entry'!AL$9),'Council Entry'!AL$8),'Council Entry'!AL143)),IF(AND(ISNUMBER('Council Entry'!AL$8),ISNUMBER('Council Entry'!AL$9)),MAX(MIN('Council Entry'!AL143,'Council Entry'!AL$9),'Council Entry'!AL$8),'Council Entry'!AL143))))-'Council Entry'!AL$5)/('Council Entry'!AL$6-'Council Entry'!AL$5)),1))),"No data"))</f>
        <v/>
      </c>
      <c r="AM143" s="13">
        <f>IF('Council Entry'!AM143="","",IFERROR(MAX(0,MIN(10,ROUND(IF('Council Entry'!AM$7="Decrease Risk",10-10*((IF('Council Entry'!AM$4="Logarithm",LN(0.001+IF(AND(ISNUMBER('Council Entry'!AM$8),ISNUMBER('Council Entry'!AM$9)),MAX(MIN('Council Entry'!AM143,'Council Entry'!AM$9),'Council Entry'!AM$8),'Council Entry'!AM143)),IF('Council Entry'!AM$4="Exponential",EXP(IF(AND(ISNUMBER('Council Entry'!AM$8),ISNUMBER('Council Entry'!AM$9)),MAX(MIN('Council Entry'!AM143,'Council Entry'!AM$9),'Council Entry'!AM$8),'Council Entry'!AM143)),IF(AND(ISNUMBER('Council Entry'!AM$8),ISNUMBER('Council Entry'!AM$9)),MAX(MIN('Council Entry'!AM143,'Council Entry'!AM$9),'Council Entry'!AM$8),'Council Entry'!AM143))))-'Council Entry'!AM$5)/('Council Entry'!AM$6-'Council Entry'!AM$5),10*((IF('Council Entry'!AM$4="Logarithm",LN(0.001+IF(AND(ISNUMBER('Council Entry'!AM$8),ISNUMBER('Council Entry'!AM$9)),MAX(MIN('Council Entry'!AM143,'Council Entry'!AM$9),'Council Entry'!AM$8),'Council Entry'!AM143)),IF('Council Entry'!AM$4="Exponential",EXP(IF(AND(ISNUMBER('Council Entry'!AM$8),ISNUMBER('Council Entry'!AM$9)),MAX(MIN('Council Entry'!AM143,'Council Entry'!AM$9),'Council Entry'!AM$8),'Council Entry'!AM143)),IF(AND(ISNUMBER('Council Entry'!AM$8),ISNUMBER('Council Entry'!AM$9)),MAX(MIN('Council Entry'!AM143,'Council Entry'!AM$9),'Council Entry'!AM$8),'Council Entry'!AM143))))-'Council Entry'!AM$5)/('Council Entry'!AM$6-'Council Entry'!AM$5)),1))),"No data"))</f>
        <v/>
      </c>
      <c r="AN143" s="13">
        <f>IF('Council Entry'!AN143="","",IFERROR(MAX(0,MIN(10,ROUND(IF('Council Entry'!AN$7="Decrease Risk",10-10*((IF('Council Entry'!AN$4="Logarithm",LN(0.001+IF(AND(ISNUMBER('Council Entry'!AN$8),ISNUMBER('Council Entry'!AN$9)),MAX(MIN('Council Entry'!AN143,'Council Entry'!AN$9),'Council Entry'!AN$8),'Council Entry'!AN143)),IF('Council Entry'!AN$4="Exponential",EXP(IF(AND(ISNUMBER('Council Entry'!AN$8),ISNUMBER('Council Entry'!AN$9)),MAX(MIN('Council Entry'!AN143,'Council Entry'!AN$9),'Council Entry'!AN$8),'Council Entry'!AN143)),IF(AND(ISNUMBER('Council Entry'!AN$8),ISNUMBER('Council Entry'!AN$9)),MAX(MIN('Council Entry'!AN143,'Council Entry'!AN$9),'Council Entry'!AN$8),'Council Entry'!AN143))))-'Council Entry'!AN$5)/('Council Entry'!AN$6-'Council Entry'!AN$5),10*((IF('Council Entry'!AN$4="Logarithm",LN(0.001+IF(AND(ISNUMBER('Council Entry'!AN$8),ISNUMBER('Council Entry'!AN$9)),MAX(MIN('Council Entry'!AN143,'Council Entry'!AN$9),'Council Entry'!AN$8),'Council Entry'!AN143)),IF('Council Entry'!AN$4="Exponential",EXP(IF(AND(ISNUMBER('Council Entry'!AN$8),ISNUMBER('Council Entry'!AN$9)),MAX(MIN('Council Entry'!AN143,'Council Entry'!AN$9),'Council Entry'!AN$8),'Council Entry'!AN143)),IF(AND(ISNUMBER('Council Entry'!AN$8),ISNUMBER('Council Entry'!AN$9)),MAX(MIN('Council Entry'!AN143,'Council Entry'!AN$9),'Council Entry'!AN$8),'Council Entry'!AN143))))-'Council Entry'!AN$5)/('Council Entry'!AN$6-'Council Entry'!AN$5)),1))),"No data"))</f>
        <v/>
      </c>
      <c r="AO143" s="13">
        <f>IF('Council Entry'!AO143="","",IFERROR(MAX(0,MIN(10,ROUND(IF('Council Entry'!AO$7="Decrease Risk",10-10*((IF('Council Entry'!AO$4="Logarithm",LN(0.001+IF(AND(ISNUMBER('Council Entry'!AO$8),ISNUMBER('Council Entry'!AO$9)),MAX(MIN('Council Entry'!AO143,'Council Entry'!AO$9),'Council Entry'!AO$8),'Council Entry'!AO143)),IF('Council Entry'!AO$4="Exponential",EXP(IF(AND(ISNUMBER('Council Entry'!AO$8),ISNUMBER('Council Entry'!AO$9)),MAX(MIN('Council Entry'!AO143,'Council Entry'!AO$9),'Council Entry'!AO$8),'Council Entry'!AO143)),IF(AND(ISNUMBER('Council Entry'!AO$8),ISNUMBER('Council Entry'!AO$9)),MAX(MIN('Council Entry'!AO143,'Council Entry'!AO$9),'Council Entry'!AO$8),'Council Entry'!AO143))))-'Council Entry'!AO$5)/('Council Entry'!AO$6-'Council Entry'!AO$5),10*((IF('Council Entry'!AO$4="Logarithm",LN(0.001+IF(AND(ISNUMBER('Council Entry'!AO$8),ISNUMBER('Council Entry'!AO$9)),MAX(MIN('Council Entry'!AO143,'Council Entry'!AO$9),'Council Entry'!AO$8),'Council Entry'!AO143)),IF('Council Entry'!AO$4="Exponential",EXP(IF(AND(ISNUMBER('Council Entry'!AO$8),ISNUMBER('Council Entry'!AO$9)),MAX(MIN('Council Entry'!AO143,'Council Entry'!AO$9),'Council Entry'!AO$8),'Council Entry'!AO143)),IF(AND(ISNUMBER('Council Entry'!AO$8),ISNUMBER('Council Entry'!AO$9)),MAX(MIN('Council Entry'!AO143,'Council Entry'!AO$9),'Council Entry'!AO$8),'Council Entry'!AO143))))-'Council Entry'!AO$5)/('Council Entry'!AO$6-'Council Entry'!AO$5)),1))),"No data"))</f>
        <v/>
      </c>
      <c r="AP143" s="13">
        <f>IF('Council Entry'!AP143="","",IFERROR(MAX(0,MIN(10,ROUND(IF('Council Entry'!AP$7="Decrease Risk",10-10*((IF('Council Entry'!AP$4="Logarithm",LN(0.001+IF(AND(ISNUMBER('Council Entry'!AP$8),ISNUMBER('Council Entry'!AP$9)),MAX(MIN('Council Entry'!AP143,'Council Entry'!AP$9),'Council Entry'!AP$8),'Council Entry'!AP143)),IF('Council Entry'!AP$4="Exponential",EXP(IF(AND(ISNUMBER('Council Entry'!AP$8),ISNUMBER('Council Entry'!AP$9)),MAX(MIN('Council Entry'!AP143,'Council Entry'!AP$9),'Council Entry'!AP$8),'Council Entry'!AP143)),IF(AND(ISNUMBER('Council Entry'!AP$8),ISNUMBER('Council Entry'!AP$9)),MAX(MIN('Council Entry'!AP143,'Council Entry'!AP$9),'Council Entry'!AP$8),'Council Entry'!AP143))))-'Council Entry'!AP$5)/('Council Entry'!AP$6-'Council Entry'!AP$5),10*((IF('Council Entry'!AP$4="Logarithm",LN(0.001+IF(AND(ISNUMBER('Council Entry'!AP$8),ISNUMBER('Council Entry'!AP$9)),MAX(MIN('Council Entry'!AP143,'Council Entry'!AP$9),'Council Entry'!AP$8),'Council Entry'!AP143)),IF('Council Entry'!AP$4="Exponential",EXP(IF(AND(ISNUMBER('Council Entry'!AP$8),ISNUMBER('Council Entry'!AP$9)),MAX(MIN('Council Entry'!AP143,'Council Entry'!AP$9),'Council Entry'!AP$8),'Council Entry'!AP143)),IF(AND(ISNUMBER('Council Entry'!AP$8),ISNUMBER('Council Entry'!AP$9)),MAX(MIN('Council Entry'!AP143,'Council Entry'!AP$9),'Council Entry'!AP$8),'Council Entry'!AP143))))-'Council Entry'!AP$5)/('Council Entry'!AP$6-'Council Entry'!AP$5)),1))),"No data"))</f>
        <v/>
      </c>
      <c r="AQ143" s="13">
        <f>IF('Council Entry'!AQ143="","",IFERROR(MAX(0,MIN(10,ROUND(IF('Council Entry'!AQ$7="Decrease Risk",10-10*((IF('Council Entry'!AQ$4="Logarithm",LN(0.001+IF(AND(ISNUMBER('Council Entry'!AQ$8),ISNUMBER('Council Entry'!AQ$9)),MAX(MIN('Council Entry'!AQ143,'Council Entry'!AQ$9),'Council Entry'!AQ$8),'Council Entry'!AQ143)),IF('Council Entry'!AQ$4="Exponential",EXP(IF(AND(ISNUMBER('Council Entry'!AQ$8),ISNUMBER('Council Entry'!AQ$9)),MAX(MIN('Council Entry'!AQ143,'Council Entry'!AQ$9),'Council Entry'!AQ$8),'Council Entry'!AQ143)),IF(AND(ISNUMBER('Council Entry'!AQ$8),ISNUMBER('Council Entry'!AQ$9)),MAX(MIN('Council Entry'!AQ143,'Council Entry'!AQ$9),'Council Entry'!AQ$8),'Council Entry'!AQ143))))-'Council Entry'!AQ$5)/('Council Entry'!AQ$6-'Council Entry'!AQ$5),10*((IF('Council Entry'!AQ$4="Logarithm",LN(0.001+IF(AND(ISNUMBER('Council Entry'!AQ$8),ISNUMBER('Council Entry'!AQ$9)),MAX(MIN('Council Entry'!AQ143,'Council Entry'!AQ$9),'Council Entry'!AQ$8),'Council Entry'!AQ143)),IF('Council Entry'!AQ$4="Exponential",EXP(IF(AND(ISNUMBER('Council Entry'!AQ$8),ISNUMBER('Council Entry'!AQ$9)),MAX(MIN('Council Entry'!AQ143,'Council Entry'!AQ$9),'Council Entry'!AQ$8),'Council Entry'!AQ143)),IF(AND(ISNUMBER('Council Entry'!AQ$8),ISNUMBER('Council Entry'!AQ$9)),MAX(MIN('Council Entry'!AQ143,'Council Entry'!AQ$9),'Council Entry'!AQ$8),'Council Entry'!AQ143))))-'Council Entry'!AQ$5)/('Council Entry'!AQ$6-'Council Entry'!AQ$5)),1))),"No data"))</f>
        <v/>
      </c>
      <c r="AR143" s="13">
        <f>IF('Council Entry'!AR143="","",IFERROR(MAX(0,MIN(10,ROUND(IF('Council Entry'!AR$7="Decrease Risk",10-10*((IF('Council Entry'!AR$4="Logarithm",LN(0.001+IF(AND(ISNUMBER('Council Entry'!AR$8),ISNUMBER('Council Entry'!AR$9)),MAX(MIN('Council Entry'!AR143,'Council Entry'!AR$9),'Council Entry'!AR$8),'Council Entry'!AR143)),IF('Council Entry'!AR$4="Exponential",EXP(IF(AND(ISNUMBER('Council Entry'!AR$8),ISNUMBER('Council Entry'!AR$9)),MAX(MIN('Council Entry'!AR143,'Council Entry'!AR$9),'Council Entry'!AR$8),'Council Entry'!AR143)),IF(AND(ISNUMBER('Council Entry'!AR$8),ISNUMBER('Council Entry'!AR$9)),MAX(MIN('Council Entry'!AR143,'Council Entry'!AR$9),'Council Entry'!AR$8),'Council Entry'!AR143))))-'Council Entry'!AR$5)/('Council Entry'!AR$6-'Council Entry'!AR$5),10*((IF('Council Entry'!AR$4="Logarithm",LN(0.001+IF(AND(ISNUMBER('Council Entry'!AR$8),ISNUMBER('Council Entry'!AR$9)),MAX(MIN('Council Entry'!AR143,'Council Entry'!AR$9),'Council Entry'!AR$8),'Council Entry'!AR143)),IF('Council Entry'!AR$4="Exponential",EXP(IF(AND(ISNUMBER('Council Entry'!AR$8),ISNUMBER('Council Entry'!AR$9)),MAX(MIN('Council Entry'!AR143,'Council Entry'!AR$9),'Council Entry'!AR$8),'Council Entry'!AR143)),IF(AND(ISNUMBER('Council Entry'!AR$8),ISNUMBER('Council Entry'!AR$9)),MAX(MIN('Council Entry'!AR143,'Council Entry'!AR$9),'Council Entry'!AR$8),'Council Entry'!AR143))))-'Council Entry'!AR$5)/('Council Entry'!AR$6-'Council Entry'!AR$5)),1))),"No data"))</f>
        <v/>
      </c>
      <c r="AS143" s="13">
        <f>IF('Council Entry'!AS143="","",IFERROR(MAX(0,MIN(10,ROUND(IF('Council Entry'!AS$7="Decrease Risk",10-10*((IF('Council Entry'!AS$4="Logarithm",LN(0.001+IF(AND(ISNUMBER('Council Entry'!AS$8),ISNUMBER('Council Entry'!AS$9)),MAX(MIN('Council Entry'!AS143,'Council Entry'!AS$9),'Council Entry'!AS$8),'Council Entry'!AS143)),IF('Council Entry'!AS$4="Exponential",EXP(IF(AND(ISNUMBER('Council Entry'!AS$8),ISNUMBER('Council Entry'!AS$9)),MAX(MIN('Council Entry'!AS143,'Council Entry'!AS$9),'Council Entry'!AS$8),'Council Entry'!AS143)),IF(AND(ISNUMBER('Council Entry'!AS$8),ISNUMBER('Council Entry'!AS$9)),MAX(MIN('Council Entry'!AS143,'Council Entry'!AS$9),'Council Entry'!AS$8),'Council Entry'!AS143))))-'Council Entry'!AS$5)/('Council Entry'!AS$6-'Council Entry'!AS$5),10*((IF('Council Entry'!AS$4="Logarithm",LN(0.001+IF(AND(ISNUMBER('Council Entry'!AS$8),ISNUMBER('Council Entry'!AS$9)),MAX(MIN('Council Entry'!AS143,'Council Entry'!AS$9),'Council Entry'!AS$8),'Council Entry'!AS143)),IF('Council Entry'!AS$4="Exponential",EXP(IF(AND(ISNUMBER('Council Entry'!AS$8),ISNUMBER('Council Entry'!AS$9)),MAX(MIN('Council Entry'!AS143,'Council Entry'!AS$9),'Council Entry'!AS$8),'Council Entry'!AS143)),IF(AND(ISNUMBER('Council Entry'!AS$8),ISNUMBER('Council Entry'!AS$9)),MAX(MIN('Council Entry'!AS143,'Council Entry'!AS$9),'Council Entry'!AS$8),'Council Entry'!AS143))))-'Council Entry'!AS$5)/('Council Entry'!AS$6-'Council Entry'!AS$5)),1))),"No data"))</f>
        <v/>
      </c>
      <c r="AT143" s="13">
        <f>IF('Council Entry'!AT143="","",IFERROR(MAX(0,MIN(10,ROUND(IF('Council Entry'!AT$7="Decrease Risk",10-10*((IF('Council Entry'!AT$4="Logarithm",LN(0.001+IF(AND(ISNUMBER('Council Entry'!AT$8),ISNUMBER('Council Entry'!AT$9)),MAX(MIN('Council Entry'!AT143,'Council Entry'!AT$9),'Council Entry'!AT$8),'Council Entry'!AT143)),IF('Council Entry'!AT$4="Exponential",EXP(IF(AND(ISNUMBER('Council Entry'!AT$8),ISNUMBER('Council Entry'!AT$9)),MAX(MIN('Council Entry'!AT143,'Council Entry'!AT$9),'Council Entry'!AT$8),'Council Entry'!AT143)),IF(AND(ISNUMBER('Council Entry'!AT$8),ISNUMBER('Council Entry'!AT$9)),MAX(MIN('Council Entry'!AT143,'Council Entry'!AT$9),'Council Entry'!AT$8),'Council Entry'!AT143))))-'Council Entry'!AT$5)/('Council Entry'!AT$6-'Council Entry'!AT$5),10*((IF('Council Entry'!AT$4="Logarithm",LN(0.001+IF(AND(ISNUMBER('Council Entry'!AT$8),ISNUMBER('Council Entry'!AT$9)),MAX(MIN('Council Entry'!AT143,'Council Entry'!AT$9),'Council Entry'!AT$8),'Council Entry'!AT143)),IF('Council Entry'!AT$4="Exponential",EXP(IF(AND(ISNUMBER('Council Entry'!AT$8),ISNUMBER('Council Entry'!AT$9)),MAX(MIN('Council Entry'!AT143,'Council Entry'!AT$9),'Council Entry'!AT$8),'Council Entry'!AT143)),IF(AND(ISNUMBER('Council Entry'!AT$8),ISNUMBER('Council Entry'!AT$9)),MAX(MIN('Council Entry'!AT143,'Council Entry'!AT$9),'Council Entry'!AT$8),'Council Entry'!AT143))))-'Council Entry'!AT$5)/('Council Entry'!AT$6-'Council Entry'!AT$5)),1))),"No data"))</f>
        <v/>
      </c>
      <c r="AU143" s="13">
        <f>IF('Council Entry'!AU143="","",IFERROR(MAX(0,MIN(10,ROUND(IF('Council Entry'!AU$7="Decrease Risk",10-10*((IF('Council Entry'!AU$4="Logarithm",LN(0.001+IF(AND(ISNUMBER('Council Entry'!AU$8),ISNUMBER('Council Entry'!AU$9)),MAX(MIN('Council Entry'!AU143,'Council Entry'!AU$9),'Council Entry'!AU$8),'Council Entry'!AU143)),IF('Council Entry'!AU$4="Exponential",EXP(IF(AND(ISNUMBER('Council Entry'!AU$8),ISNUMBER('Council Entry'!AU$9)),MAX(MIN('Council Entry'!AU143,'Council Entry'!AU$9),'Council Entry'!AU$8),'Council Entry'!AU143)),IF(AND(ISNUMBER('Council Entry'!AU$8),ISNUMBER('Council Entry'!AU$9)),MAX(MIN('Council Entry'!AU143,'Council Entry'!AU$9),'Council Entry'!AU$8),'Council Entry'!AU143))))-'Council Entry'!AU$5)/('Council Entry'!AU$6-'Council Entry'!AU$5),10*((IF('Council Entry'!AU$4="Logarithm",LN(0.001+IF(AND(ISNUMBER('Council Entry'!AU$8),ISNUMBER('Council Entry'!AU$9)),MAX(MIN('Council Entry'!AU143,'Council Entry'!AU$9),'Council Entry'!AU$8),'Council Entry'!AU143)),IF('Council Entry'!AU$4="Exponential",EXP(IF(AND(ISNUMBER('Council Entry'!AU$8),ISNUMBER('Council Entry'!AU$9)),MAX(MIN('Council Entry'!AU143,'Council Entry'!AU$9),'Council Entry'!AU$8),'Council Entry'!AU143)),IF(AND(ISNUMBER('Council Entry'!AU$8),ISNUMBER('Council Entry'!AU$9)),MAX(MIN('Council Entry'!AU143,'Council Entry'!AU$9),'Council Entry'!AU$8),'Council Entry'!AU143))))-'Council Entry'!AU$5)/('Council Entry'!AU$6-'Council Entry'!AU$5)),1))),"No data"))</f>
        <v/>
      </c>
      <c r="AV143" s="13">
        <f>IF('Council Entry'!AV143="","",IFERROR(MAX(0,MIN(10,ROUND(IF('Council Entry'!AV$7="Decrease Risk",10-10*((IF('Council Entry'!AV$4="Logarithm",LN(0.001+IF(AND(ISNUMBER('Council Entry'!AV$8),ISNUMBER('Council Entry'!AV$9)),MAX(MIN('Council Entry'!AV143,'Council Entry'!AV$9),'Council Entry'!AV$8),'Council Entry'!AV143)),IF('Council Entry'!AV$4="Exponential",EXP(IF(AND(ISNUMBER('Council Entry'!AV$8),ISNUMBER('Council Entry'!AV$9)),MAX(MIN('Council Entry'!AV143,'Council Entry'!AV$9),'Council Entry'!AV$8),'Council Entry'!AV143)),IF(AND(ISNUMBER('Council Entry'!AV$8),ISNUMBER('Council Entry'!AV$9)),MAX(MIN('Council Entry'!AV143,'Council Entry'!AV$9),'Council Entry'!AV$8),'Council Entry'!AV143))))-'Council Entry'!AV$5)/('Council Entry'!AV$6-'Council Entry'!AV$5),10*((IF('Council Entry'!AV$4="Logarithm",LN(0.001+IF(AND(ISNUMBER('Council Entry'!AV$8),ISNUMBER('Council Entry'!AV$9)),MAX(MIN('Council Entry'!AV143,'Council Entry'!AV$9),'Council Entry'!AV$8),'Council Entry'!AV143)),IF('Council Entry'!AV$4="Exponential",EXP(IF(AND(ISNUMBER('Council Entry'!AV$8),ISNUMBER('Council Entry'!AV$9)),MAX(MIN('Council Entry'!AV143,'Council Entry'!AV$9),'Council Entry'!AV$8),'Council Entry'!AV143)),IF(AND(ISNUMBER('Council Entry'!AV$8),ISNUMBER('Council Entry'!AV$9)),MAX(MIN('Council Entry'!AV143,'Council Entry'!AV$9),'Council Entry'!AV$8),'Council Entry'!AV143))))-'Council Entry'!AV$5)/('Council Entry'!AV$6-'Council Entry'!AV$5)),1))),"No data"))</f>
        <v/>
      </c>
      <c r="AW143" s="13">
        <f>IF('Council Entry'!AW143="","",IFERROR(MAX(0,MIN(10,ROUND(IF('Council Entry'!AW$7="Decrease Risk",10-10*((IF('Council Entry'!AW$4="Logarithm",LN(0.001+IF(AND(ISNUMBER('Council Entry'!AW$8),ISNUMBER('Council Entry'!AW$9)),MAX(MIN('Council Entry'!AW143,'Council Entry'!AW$9),'Council Entry'!AW$8),'Council Entry'!AW143)),IF('Council Entry'!AW$4="Exponential",EXP(IF(AND(ISNUMBER('Council Entry'!AW$8),ISNUMBER('Council Entry'!AW$9)),MAX(MIN('Council Entry'!AW143,'Council Entry'!AW$9),'Council Entry'!AW$8),'Council Entry'!AW143)),IF(AND(ISNUMBER('Council Entry'!AW$8),ISNUMBER('Council Entry'!AW$9)),MAX(MIN('Council Entry'!AW143,'Council Entry'!AW$9),'Council Entry'!AW$8),'Council Entry'!AW143))))-'Council Entry'!AW$5)/('Council Entry'!AW$6-'Council Entry'!AW$5),10*((IF('Council Entry'!AW$4="Logarithm",LN(0.001+IF(AND(ISNUMBER('Council Entry'!AW$8),ISNUMBER('Council Entry'!AW$9)),MAX(MIN('Council Entry'!AW143,'Council Entry'!AW$9),'Council Entry'!AW$8),'Council Entry'!AW143)),IF('Council Entry'!AW$4="Exponential",EXP(IF(AND(ISNUMBER('Council Entry'!AW$8),ISNUMBER('Council Entry'!AW$9)),MAX(MIN('Council Entry'!AW143,'Council Entry'!AW$9),'Council Entry'!AW$8),'Council Entry'!AW143)),IF(AND(ISNUMBER('Council Entry'!AW$8),ISNUMBER('Council Entry'!AW$9)),MAX(MIN('Council Entry'!AW143,'Council Entry'!AW$9),'Council Entry'!AW$8),'Council Entry'!AW143))))-'Council Entry'!AW$5)/('Council Entry'!AW$6-'Council Entry'!AW$5)),1))),"No data"))</f>
        <v/>
      </c>
      <c r="AX143" s="13">
        <f>IF('Council Entry'!AX143="","",IFERROR(MAX(0,MIN(10,ROUND(IF('Council Entry'!AX$7="Decrease Risk",10-10*((IF('Council Entry'!AX$4="Logarithm",LN(0.001+IF(AND(ISNUMBER('Council Entry'!AX$8),ISNUMBER('Council Entry'!AX$9)),MAX(MIN('Council Entry'!AX143,'Council Entry'!AX$9),'Council Entry'!AX$8),'Council Entry'!AX143)),IF('Council Entry'!AX$4="Exponential",EXP(IF(AND(ISNUMBER('Council Entry'!AX$8),ISNUMBER('Council Entry'!AX$9)),MAX(MIN('Council Entry'!AX143,'Council Entry'!AX$9),'Council Entry'!AX$8),'Council Entry'!AX143)),IF(AND(ISNUMBER('Council Entry'!AX$8),ISNUMBER('Council Entry'!AX$9)),MAX(MIN('Council Entry'!AX143,'Council Entry'!AX$9),'Council Entry'!AX$8),'Council Entry'!AX143))))-'Council Entry'!AX$5)/('Council Entry'!AX$6-'Council Entry'!AX$5),10*((IF('Council Entry'!AX$4="Logarithm",LN(0.001+IF(AND(ISNUMBER('Council Entry'!AX$8),ISNUMBER('Council Entry'!AX$9)),MAX(MIN('Council Entry'!AX143,'Council Entry'!AX$9),'Council Entry'!AX$8),'Council Entry'!AX143)),IF('Council Entry'!AX$4="Exponential",EXP(IF(AND(ISNUMBER('Council Entry'!AX$8),ISNUMBER('Council Entry'!AX$9)),MAX(MIN('Council Entry'!AX143,'Council Entry'!AX$9),'Council Entry'!AX$8),'Council Entry'!AX143)),IF(AND(ISNUMBER('Council Entry'!AX$8),ISNUMBER('Council Entry'!AX$9)),MAX(MIN('Council Entry'!AX143,'Council Entry'!AX$9),'Council Entry'!AX$8),'Council Entry'!AX143))))-'Council Entry'!AX$5)/('Council Entry'!AX$6-'Council Entry'!AX$5)),1))),"No data"))</f>
        <v/>
      </c>
      <c r="AY143" s="13">
        <f>IF('Council Entry'!AY143="","",IFERROR(MAX(0,MIN(10,ROUND(IF('Council Entry'!AY$7="Decrease Risk",10-10*((IF('Council Entry'!AY$4="Logarithm",LN(0.001+IF(AND(ISNUMBER('Council Entry'!AY$8),ISNUMBER('Council Entry'!AY$9)),MAX(MIN('Council Entry'!AY143,'Council Entry'!AY$9),'Council Entry'!AY$8),'Council Entry'!AY143)),IF('Council Entry'!AY$4="Exponential",EXP(IF(AND(ISNUMBER('Council Entry'!AY$8),ISNUMBER('Council Entry'!AY$9)),MAX(MIN('Council Entry'!AY143,'Council Entry'!AY$9),'Council Entry'!AY$8),'Council Entry'!AY143)),IF(AND(ISNUMBER('Council Entry'!AY$8),ISNUMBER('Council Entry'!AY$9)),MAX(MIN('Council Entry'!AY143,'Council Entry'!AY$9),'Council Entry'!AY$8),'Council Entry'!AY143))))-'Council Entry'!AY$5)/('Council Entry'!AY$6-'Council Entry'!AY$5),10*((IF('Council Entry'!AY$4="Logarithm",LN(0.001+IF(AND(ISNUMBER('Council Entry'!AY$8),ISNUMBER('Council Entry'!AY$9)),MAX(MIN('Council Entry'!AY143,'Council Entry'!AY$9),'Council Entry'!AY$8),'Council Entry'!AY143)),IF('Council Entry'!AY$4="Exponential",EXP(IF(AND(ISNUMBER('Council Entry'!AY$8),ISNUMBER('Council Entry'!AY$9)),MAX(MIN('Council Entry'!AY143,'Council Entry'!AY$9),'Council Entry'!AY$8),'Council Entry'!AY143)),IF(AND(ISNUMBER('Council Entry'!AY$8),ISNUMBER('Council Entry'!AY$9)),MAX(MIN('Council Entry'!AY143,'Council Entry'!AY$9),'Council Entry'!AY$8),'Council Entry'!AY143))))-'Council Entry'!AY$5)/('Council Entry'!AY$6-'Council Entry'!AY$5)),1))),"No data"))</f>
        <v/>
      </c>
      <c r="AZ143" s="13">
        <f>IF('Council Entry'!AZ143="","",IFERROR(MAX(0,MIN(10,ROUND(IF('Council Entry'!AZ$7="Decrease Risk",10-10*((IF('Council Entry'!AZ$4="Logarithm",LN(0.001+IF(AND(ISNUMBER('Council Entry'!AZ$8),ISNUMBER('Council Entry'!AZ$9)),MAX(MIN('Council Entry'!AZ143,'Council Entry'!AZ$9),'Council Entry'!AZ$8),'Council Entry'!AZ143)),IF('Council Entry'!AZ$4="Exponential",EXP(IF(AND(ISNUMBER('Council Entry'!AZ$8),ISNUMBER('Council Entry'!AZ$9)),MAX(MIN('Council Entry'!AZ143,'Council Entry'!AZ$9),'Council Entry'!AZ$8),'Council Entry'!AZ143)),IF(AND(ISNUMBER('Council Entry'!AZ$8),ISNUMBER('Council Entry'!AZ$9)),MAX(MIN('Council Entry'!AZ143,'Council Entry'!AZ$9),'Council Entry'!AZ$8),'Council Entry'!AZ143))))-'Council Entry'!AZ$5)/('Council Entry'!AZ$6-'Council Entry'!AZ$5),10*((IF('Council Entry'!AZ$4="Logarithm",LN(0.001+IF(AND(ISNUMBER('Council Entry'!AZ$8),ISNUMBER('Council Entry'!AZ$9)),MAX(MIN('Council Entry'!AZ143,'Council Entry'!AZ$9),'Council Entry'!AZ$8),'Council Entry'!AZ143)),IF('Council Entry'!AZ$4="Exponential",EXP(IF(AND(ISNUMBER('Council Entry'!AZ$8),ISNUMBER('Council Entry'!AZ$9)),MAX(MIN('Council Entry'!AZ143,'Council Entry'!AZ$9),'Council Entry'!AZ$8),'Council Entry'!AZ143)),IF(AND(ISNUMBER('Council Entry'!AZ$8),ISNUMBER('Council Entry'!AZ$9)),MAX(MIN('Council Entry'!AZ143,'Council Entry'!AZ$9),'Council Entry'!AZ$8),'Council Entry'!AZ143))))-'Council Entry'!AZ$5)/('Council Entry'!AZ$6-'Council Entry'!AZ$5)),1))),"No data"))</f>
        <v/>
      </c>
      <c r="BA143" s="13">
        <f>IF('Council Entry'!BA143="","",IFERROR(MAX(0,MIN(10,ROUND(IF('Council Entry'!BA$7="Decrease Risk",10-10*((IF('Council Entry'!BA$4="Logarithm",LN(0.001+IF(AND(ISNUMBER('Council Entry'!BA$8),ISNUMBER('Council Entry'!BA$9)),MAX(MIN('Council Entry'!BA143,'Council Entry'!BA$9),'Council Entry'!BA$8),'Council Entry'!BA143)),IF('Council Entry'!BA$4="Exponential",EXP(IF(AND(ISNUMBER('Council Entry'!BA$8),ISNUMBER('Council Entry'!BA$9)),MAX(MIN('Council Entry'!BA143,'Council Entry'!BA$9),'Council Entry'!BA$8),'Council Entry'!BA143)),IF(AND(ISNUMBER('Council Entry'!BA$8),ISNUMBER('Council Entry'!BA$9)),MAX(MIN('Council Entry'!BA143,'Council Entry'!BA$9),'Council Entry'!BA$8),'Council Entry'!BA143))))-'Council Entry'!BA$5)/('Council Entry'!BA$6-'Council Entry'!BA$5),10*((IF('Council Entry'!BA$4="Logarithm",LN(0.001+IF(AND(ISNUMBER('Council Entry'!BA$8),ISNUMBER('Council Entry'!BA$9)),MAX(MIN('Council Entry'!BA143,'Council Entry'!BA$9),'Council Entry'!BA$8),'Council Entry'!BA143)),IF('Council Entry'!BA$4="Exponential",EXP(IF(AND(ISNUMBER('Council Entry'!BA$8),ISNUMBER('Council Entry'!BA$9)),MAX(MIN('Council Entry'!BA143,'Council Entry'!BA$9),'Council Entry'!BA$8),'Council Entry'!BA143)),IF(AND(ISNUMBER('Council Entry'!BA$8),ISNUMBER('Council Entry'!BA$9)),MAX(MIN('Council Entry'!BA143,'Council Entry'!BA$9),'Council Entry'!BA$8),'Council Entry'!BA143))))-'Council Entry'!BA$5)/('Council Entry'!BA$6-'Council Entry'!BA$5)),1))),"No data"))</f>
        <v/>
      </c>
      <c r="BB143" s="13">
        <f>IF('Council Entry'!BB143="","",IFERROR(MAX(0,MIN(10,ROUND(IF('Council Entry'!BB$7="Decrease Risk",10-10*((IF('Council Entry'!BB$4="Logarithm",LN(0.001+IF(AND(ISNUMBER('Council Entry'!BB$8),ISNUMBER('Council Entry'!BB$9)),MAX(MIN('Council Entry'!BB143,'Council Entry'!BB$9),'Council Entry'!BB$8),'Council Entry'!BB143)),IF('Council Entry'!BB$4="Exponential",EXP(IF(AND(ISNUMBER('Council Entry'!BB$8),ISNUMBER('Council Entry'!BB$9)),MAX(MIN('Council Entry'!BB143,'Council Entry'!BB$9),'Council Entry'!BB$8),'Council Entry'!BB143)),IF(AND(ISNUMBER('Council Entry'!BB$8),ISNUMBER('Council Entry'!BB$9)),MAX(MIN('Council Entry'!BB143,'Council Entry'!BB$9),'Council Entry'!BB$8),'Council Entry'!BB143))))-'Council Entry'!BB$5)/('Council Entry'!BB$6-'Council Entry'!BB$5),10*((IF('Council Entry'!BB$4="Logarithm",LN(0.001+IF(AND(ISNUMBER('Council Entry'!BB$8),ISNUMBER('Council Entry'!BB$9)),MAX(MIN('Council Entry'!BB143,'Council Entry'!BB$9),'Council Entry'!BB$8),'Council Entry'!BB143)),IF('Council Entry'!BB$4="Exponential",EXP(IF(AND(ISNUMBER('Council Entry'!BB$8),ISNUMBER('Council Entry'!BB$9)),MAX(MIN('Council Entry'!BB143,'Council Entry'!BB$9),'Council Entry'!BB$8),'Council Entry'!BB143)),IF(AND(ISNUMBER('Council Entry'!BB$8),ISNUMBER('Council Entry'!BB$9)),MAX(MIN('Council Entry'!BB143,'Council Entry'!BB$9),'Council Entry'!BB$8),'Council Entry'!BB143))))-'Council Entry'!BB$5)/('Council Entry'!BB$6-'Council Entry'!BB$5)),1))),"No data"))</f>
        <v/>
      </c>
      <c r="BC143" s="13">
        <f>IF('Council Entry'!BC143="","",IFERROR(MAX(0,MIN(10,ROUND(IF('Council Entry'!BC$7="Decrease Risk",10-10*((IF('Council Entry'!BC$4="Logarithm",LN(0.001+IF(AND(ISNUMBER('Council Entry'!BC$8),ISNUMBER('Council Entry'!BC$9)),MAX(MIN('Council Entry'!BC143,'Council Entry'!BC$9),'Council Entry'!BC$8),'Council Entry'!BC143)),IF('Council Entry'!BC$4="Exponential",EXP(IF(AND(ISNUMBER('Council Entry'!BC$8),ISNUMBER('Council Entry'!BC$9)),MAX(MIN('Council Entry'!BC143,'Council Entry'!BC$9),'Council Entry'!BC$8),'Council Entry'!BC143)),IF(AND(ISNUMBER('Council Entry'!BC$8),ISNUMBER('Council Entry'!BC$9)),MAX(MIN('Council Entry'!BC143,'Council Entry'!BC$9),'Council Entry'!BC$8),'Council Entry'!BC143))))-'Council Entry'!BC$5)/('Council Entry'!BC$6-'Council Entry'!BC$5),10*((IF('Council Entry'!BC$4="Logarithm",LN(0.001+IF(AND(ISNUMBER('Council Entry'!BC$8),ISNUMBER('Council Entry'!BC$9)),MAX(MIN('Council Entry'!BC143,'Council Entry'!BC$9),'Council Entry'!BC$8),'Council Entry'!BC143)),IF('Council Entry'!BC$4="Exponential",EXP(IF(AND(ISNUMBER('Council Entry'!BC$8),ISNUMBER('Council Entry'!BC$9)),MAX(MIN('Council Entry'!BC143,'Council Entry'!BC$9),'Council Entry'!BC$8),'Council Entry'!BC143)),IF(AND(ISNUMBER('Council Entry'!BC$8),ISNUMBER('Council Entry'!BC$9)),MAX(MIN('Council Entry'!BC143,'Council Entry'!BC$9),'Council Entry'!BC$8),'Council Entry'!BC143))))-'Council Entry'!BC$5)/('Council Entry'!BC$6-'Council Entry'!BC$5)),1))),"No data"))</f>
        <v/>
      </c>
      <c r="BD143" s="13">
        <f>IF('Council Entry'!BD143="","",IFERROR(MAX(0,MIN(10,ROUND(IF('Council Entry'!BD$7="Decrease Risk",10-10*((IF('Council Entry'!BD$4="Logarithm",LN(0.001+IF(AND(ISNUMBER('Council Entry'!BD$8),ISNUMBER('Council Entry'!BD$9)),MAX(MIN('Council Entry'!BD143,'Council Entry'!BD$9),'Council Entry'!BD$8),'Council Entry'!BD143)),IF('Council Entry'!BD$4="Exponential",EXP(IF(AND(ISNUMBER('Council Entry'!BD$8),ISNUMBER('Council Entry'!BD$9)),MAX(MIN('Council Entry'!BD143,'Council Entry'!BD$9),'Council Entry'!BD$8),'Council Entry'!BD143)),IF(AND(ISNUMBER('Council Entry'!BD$8),ISNUMBER('Council Entry'!BD$9)),MAX(MIN('Council Entry'!BD143,'Council Entry'!BD$9),'Council Entry'!BD$8),'Council Entry'!BD143))))-'Council Entry'!BD$5)/('Council Entry'!BD$6-'Council Entry'!BD$5),10*((IF('Council Entry'!BD$4="Logarithm",LN(0.001+IF(AND(ISNUMBER('Council Entry'!BD$8),ISNUMBER('Council Entry'!BD$9)),MAX(MIN('Council Entry'!BD143,'Council Entry'!BD$9),'Council Entry'!BD$8),'Council Entry'!BD143)),IF('Council Entry'!BD$4="Exponential",EXP(IF(AND(ISNUMBER('Council Entry'!BD$8),ISNUMBER('Council Entry'!BD$9)),MAX(MIN('Council Entry'!BD143,'Council Entry'!BD$9),'Council Entry'!BD$8),'Council Entry'!BD143)),IF(AND(ISNUMBER('Council Entry'!BD$8),ISNUMBER('Council Entry'!BD$9)),MAX(MIN('Council Entry'!BD143,'Council Entry'!BD$9),'Council Entry'!BD$8),'Council Entry'!BD143))))-'Council Entry'!BD$5)/('Council Entry'!BD$6-'Council Entry'!BD$5)),1))),"No data"))</f>
        <v/>
      </c>
    </row>
    <row r="144">
      <c r="A144" t="inlineStr">
        <is>
          <t>Pwani</t>
        </is>
      </c>
      <c r="B144" t="inlineStr">
        <is>
          <t>Kibaha District</t>
        </is>
      </c>
      <c r="C144" t="inlineStr">
        <is>
          <t>C045</t>
        </is>
      </c>
      <c r="D144" s="13">
        <f>IF('Council Entry'!D144="","",IFERROR(MAX(0,MIN(10,ROUND(IF('Council Entry'!D$7="Decrease Risk",10-10*((IF('Council Entry'!D$4="Logarithm",LN(0.001+IF(AND(ISNUMBER('Council Entry'!D$8),ISNUMBER('Council Entry'!D$9)),MAX(MIN('Council Entry'!D144,'Council Entry'!D$9),'Council Entry'!D$8),'Council Entry'!D144)),IF('Council Entry'!D$4="Exponential",EXP(IF(AND(ISNUMBER('Council Entry'!D$8),ISNUMBER('Council Entry'!D$9)),MAX(MIN('Council Entry'!D144,'Council Entry'!D$9),'Council Entry'!D$8),'Council Entry'!D144)),IF(AND(ISNUMBER('Council Entry'!D$8),ISNUMBER('Council Entry'!D$9)),MAX(MIN('Council Entry'!D144,'Council Entry'!D$9),'Council Entry'!D$8),'Council Entry'!D144))))-'Council Entry'!D$5)/('Council Entry'!D$6-'Council Entry'!D$5),10*((IF('Council Entry'!D$4="Logarithm",LN(0.001+IF(AND(ISNUMBER('Council Entry'!D$8),ISNUMBER('Council Entry'!D$9)),MAX(MIN('Council Entry'!D144,'Council Entry'!D$9),'Council Entry'!D$8),'Council Entry'!D144)),IF('Council Entry'!D$4="Exponential",EXP(IF(AND(ISNUMBER('Council Entry'!D$8),ISNUMBER('Council Entry'!D$9)),MAX(MIN('Council Entry'!D144,'Council Entry'!D$9),'Council Entry'!D$8),'Council Entry'!D144)),IF(AND(ISNUMBER('Council Entry'!D$8),ISNUMBER('Council Entry'!D$9)),MAX(MIN('Council Entry'!D144,'Council Entry'!D$9),'Council Entry'!D$8),'Council Entry'!D144))))-'Council Entry'!D$5)/('Council Entry'!D$6-'Council Entry'!D$5)),1))),"No data"))</f>
        <v/>
      </c>
      <c r="E144" s="13">
        <f>IF('Council Entry'!E144="","",IFERROR(MAX(0,MIN(10,ROUND(IF('Council Entry'!E$7="Decrease Risk",10-10*((IF('Council Entry'!E$4="Logarithm",LN(0.001+IF(AND(ISNUMBER('Council Entry'!E$8),ISNUMBER('Council Entry'!E$9)),MAX(MIN('Council Entry'!E144,'Council Entry'!E$9),'Council Entry'!E$8),'Council Entry'!E144)),IF('Council Entry'!E$4="Exponential",EXP(IF(AND(ISNUMBER('Council Entry'!E$8),ISNUMBER('Council Entry'!E$9)),MAX(MIN('Council Entry'!E144,'Council Entry'!E$9),'Council Entry'!E$8),'Council Entry'!E144)),IF(AND(ISNUMBER('Council Entry'!E$8),ISNUMBER('Council Entry'!E$9)),MAX(MIN('Council Entry'!E144,'Council Entry'!E$9),'Council Entry'!E$8),'Council Entry'!E144))))-'Council Entry'!E$5)/('Council Entry'!E$6-'Council Entry'!E$5),10*((IF('Council Entry'!E$4="Logarithm",LN(0.001+IF(AND(ISNUMBER('Council Entry'!E$8),ISNUMBER('Council Entry'!E$9)),MAX(MIN('Council Entry'!E144,'Council Entry'!E$9),'Council Entry'!E$8),'Council Entry'!E144)),IF('Council Entry'!E$4="Exponential",EXP(IF(AND(ISNUMBER('Council Entry'!E$8),ISNUMBER('Council Entry'!E$9)),MAX(MIN('Council Entry'!E144,'Council Entry'!E$9),'Council Entry'!E$8),'Council Entry'!E144)),IF(AND(ISNUMBER('Council Entry'!E$8),ISNUMBER('Council Entry'!E$9)),MAX(MIN('Council Entry'!E144,'Council Entry'!E$9),'Council Entry'!E$8),'Council Entry'!E144))))-'Council Entry'!E$5)/('Council Entry'!E$6-'Council Entry'!E$5)),1))),"No data"))</f>
        <v/>
      </c>
      <c r="F144" s="13">
        <f>IF('Council Entry'!F144="","",IFERROR(MAX(0,MIN(10,ROUND(IF('Council Entry'!F$7="Decrease Risk",10-10*((IF('Council Entry'!F$4="Logarithm",LN(0.001+IF(AND(ISNUMBER('Council Entry'!F$8),ISNUMBER('Council Entry'!F$9)),MAX(MIN('Council Entry'!F144,'Council Entry'!F$9),'Council Entry'!F$8),'Council Entry'!F144)),IF('Council Entry'!F$4="Exponential",EXP(IF(AND(ISNUMBER('Council Entry'!F$8),ISNUMBER('Council Entry'!F$9)),MAX(MIN('Council Entry'!F144,'Council Entry'!F$9),'Council Entry'!F$8),'Council Entry'!F144)),IF(AND(ISNUMBER('Council Entry'!F$8),ISNUMBER('Council Entry'!F$9)),MAX(MIN('Council Entry'!F144,'Council Entry'!F$9),'Council Entry'!F$8),'Council Entry'!F144))))-'Council Entry'!F$5)/('Council Entry'!F$6-'Council Entry'!F$5),10*((IF('Council Entry'!F$4="Logarithm",LN(0.001+IF(AND(ISNUMBER('Council Entry'!F$8),ISNUMBER('Council Entry'!F$9)),MAX(MIN('Council Entry'!F144,'Council Entry'!F$9),'Council Entry'!F$8),'Council Entry'!F144)),IF('Council Entry'!F$4="Exponential",EXP(IF(AND(ISNUMBER('Council Entry'!F$8),ISNUMBER('Council Entry'!F$9)),MAX(MIN('Council Entry'!F144,'Council Entry'!F$9),'Council Entry'!F$8),'Council Entry'!F144)),IF(AND(ISNUMBER('Council Entry'!F$8),ISNUMBER('Council Entry'!F$9)),MAX(MIN('Council Entry'!F144,'Council Entry'!F$9),'Council Entry'!F$8),'Council Entry'!F144))))-'Council Entry'!F$5)/('Council Entry'!F$6-'Council Entry'!F$5)),1))),"No data"))</f>
        <v/>
      </c>
      <c r="G144" s="13">
        <f>IF('Council Entry'!G144="","",IFERROR(MAX(0,MIN(10,ROUND(IF('Council Entry'!G$7="Decrease Risk",10-10*((IF('Council Entry'!G$4="Logarithm",LN(0.001+IF(AND(ISNUMBER('Council Entry'!G$8),ISNUMBER('Council Entry'!G$9)),MAX(MIN('Council Entry'!G144,'Council Entry'!G$9),'Council Entry'!G$8),'Council Entry'!G144)),IF('Council Entry'!G$4="Exponential",EXP(IF(AND(ISNUMBER('Council Entry'!G$8),ISNUMBER('Council Entry'!G$9)),MAX(MIN('Council Entry'!G144,'Council Entry'!G$9),'Council Entry'!G$8),'Council Entry'!G144)),IF(AND(ISNUMBER('Council Entry'!G$8),ISNUMBER('Council Entry'!G$9)),MAX(MIN('Council Entry'!G144,'Council Entry'!G$9),'Council Entry'!G$8),'Council Entry'!G144))))-'Council Entry'!G$5)/('Council Entry'!G$6-'Council Entry'!G$5),10*((IF('Council Entry'!G$4="Logarithm",LN(0.001+IF(AND(ISNUMBER('Council Entry'!G$8),ISNUMBER('Council Entry'!G$9)),MAX(MIN('Council Entry'!G144,'Council Entry'!G$9),'Council Entry'!G$8),'Council Entry'!G144)),IF('Council Entry'!G$4="Exponential",EXP(IF(AND(ISNUMBER('Council Entry'!G$8),ISNUMBER('Council Entry'!G$9)),MAX(MIN('Council Entry'!G144,'Council Entry'!G$9),'Council Entry'!G$8),'Council Entry'!G144)),IF(AND(ISNUMBER('Council Entry'!G$8),ISNUMBER('Council Entry'!G$9)),MAX(MIN('Council Entry'!G144,'Council Entry'!G$9),'Council Entry'!G$8),'Council Entry'!G144))))-'Council Entry'!G$5)/('Council Entry'!G$6-'Council Entry'!G$5)),1))),"No data"))</f>
        <v/>
      </c>
      <c r="H144" s="13">
        <f>IF('Council Entry'!H144="","",IFERROR(MAX(0,MIN(10,ROUND(IF('Council Entry'!H$7="Decrease Risk",10-10*((IF('Council Entry'!H$4="Logarithm",LN(0.001+IF(AND(ISNUMBER('Council Entry'!H$8),ISNUMBER('Council Entry'!H$9)),MAX(MIN('Council Entry'!H144,'Council Entry'!H$9),'Council Entry'!H$8),'Council Entry'!H144)),IF('Council Entry'!H$4="Exponential",EXP(IF(AND(ISNUMBER('Council Entry'!H$8),ISNUMBER('Council Entry'!H$9)),MAX(MIN('Council Entry'!H144,'Council Entry'!H$9),'Council Entry'!H$8),'Council Entry'!H144)),IF(AND(ISNUMBER('Council Entry'!H$8),ISNUMBER('Council Entry'!H$9)),MAX(MIN('Council Entry'!H144,'Council Entry'!H$9),'Council Entry'!H$8),'Council Entry'!H144))))-'Council Entry'!H$5)/('Council Entry'!H$6-'Council Entry'!H$5),10*((IF('Council Entry'!H$4="Logarithm",LN(0.001+IF(AND(ISNUMBER('Council Entry'!H$8),ISNUMBER('Council Entry'!H$9)),MAX(MIN('Council Entry'!H144,'Council Entry'!H$9),'Council Entry'!H$8),'Council Entry'!H144)),IF('Council Entry'!H$4="Exponential",EXP(IF(AND(ISNUMBER('Council Entry'!H$8),ISNUMBER('Council Entry'!H$9)),MAX(MIN('Council Entry'!H144,'Council Entry'!H$9),'Council Entry'!H$8),'Council Entry'!H144)),IF(AND(ISNUMBER('Council Entry'!H$8),ISNUMBER('Council Entry'!H$9)),MAX(MIN('Council Entry'!H144,'Council Entry'!H$9),'Council Entry'!H$8),'Council Entry'!H144))))-'Council Entry'!H$5)/('Council Entry'!H$6-'Council Entry'!H$5)),1))),"No data"))</f>
        <v/>
      </c>
      <c r="I144" s="13">
        <f>IF('Council Entry'!I144="","",IFERROR(MAX(0,MIN(10,ROUND(IF('Council Entry'!I$7="Decrease Risk",10-10*((IF('Council Entry'!I$4="Logarithm",LN(0.001+IF(AND(ISNUMBER('Council Entry'!I$8),ISNUMBER('Council Entry'!I$9)),MAX(MIN('Council Entry'!I144,'Council Entry'!I$9),'Council Entry'!I$8),'Council Entry'!I144)),IF('Council Entry'!I$4="Exponential",EXP(IF(AND(ISNUMBER('Council Entry'!I$8),ISNUMBER('Council Entry'!I$9)),MAX(MIN('Council Entry'!I144,'Council Entry'!I$9),'Council Entry'!I$8),'Council Entry'!I144)),IF(AND(ISNUMBER('Council Entry'!I$8),ISNUMBER('Council Entry'!I$9)),MAX(MIN('Council Entry'!I144,'Council Entry'!I$9),'Council Entry'!I$8),'Council Entry'!I144))))-'Council Entry'!I$5)/('Council Entry'!I$6-'Council Entry'!I$5),10*((IF('Council Entry'!I$4="Logarithm",LN(0.001+IF(AND(ISNUMBER('Council Entry'!I$8),ISNUMBER('Council Entry'!I$9)),MAX(MIN('Council Entry'!I144,'Council Entry'!I$9),'Council Entry'!I$8),'Council Entry'!I144)),IF('Council Entry'!I$4="Exponential",EXP(IF(AND(ISNUMBER('Council Entry'!I$8),ISNUMBER('Council Entry'!I$9)),MAX(MIN('Council Entry'!I144,'Council Entry'!I$9),'Council Entry'!I$8),'Council Entry'!I144)),IF(AND(ISNUMBER('Council Entry'!I$8),ISNUMBER('Council Entry'!I$9)),MAX(MIN('Council Entry'!I144,'Council Entry'!I$9),'Council Entry'!I$8),'Council Entry'!I144))))-'Council Entry'!I$5)/('Council Entry'!I$6-'Council Entry'!I$5)),1))),"No data"))</f>
        <v/>
      </c>
      <c r="J144" s="13">
        <f>IF('Council Entry'!J144="","",IFERROR(MAX(0,MIN(10,ROUND(IF('Council Entry'!J$7="Decrease Risk",10-10*((IF('Council Entry'!J$4="Logarithm",LN(0.001+IF(AND(ISNUMBER('Council Entry'!J$8),ISNUMBER('Council Entry'!J$9)),MAX(MIN('Council Entry'!J144,'Council Entry'!J$9),'Council Entry'!J$8),'Council Entry'!J144)),IF('Council Entry'!J$4="Exponential",EXP(IF(AND(ISNUMBER('Council Entry'!J$8),ISNUMBER('Council Entry'!J$9)),MAX(MIN('Council Entry'!J144,'Council Entry'!J$9),'Council Entry'!J$8),'Council Entry'!J144)),IF(AND(ISNUMBER('Council Entry'!J$8),ISNUMBER('Council Entry'!J$9)),MAX(MIN('Council Entry'!J144,'Council Entry'!J$9),'Council Entry'!J$8),'Council Entry'!J144))))-'Council Entry'!J$5)/('Council Entry'!J$6-'Council Entry'!J$5),10*((IF('Council Entry'!J$4="Logarithm",LN(0.001+IF(AND(ISNUMBER('Council Entry'!J$8),ISNUMBER('Council Entry'!J$9)),MAX(MIN('Council Entry'!J144,'Council Entry'!J$9),'Council Entry'!J$8),'Council Entry'!J144)),IF('Council Entry'!J$4="Exponential",EXP(IF(AND(ISNUMBER('Council Entry'!J$8),ISNUMBER('Council Entry'!J$9)),MAX(MIN('Council Entry'!J144,'Council Entry'!J$9),'Council Entry'!J$8),'Council Entry'!J144)),IF(AND(ISNUMBER('Council Entry'!J$8),ISNUMBER('Council Entry'!J$9)),MAX(MIN('Council Entry'!J144,'Council Entry'!J$9),'Council Entry'!J$8),'Council Entry'!J144))))-'Council Entry'!J$5)/('Council Entry'!J$6-'Council Entry'!J$5)),1))),"No data"))</f>
        <v/>
      </c>
      <c r="K144" s="13">
        <f>IF('Council Entry'!K144="","",IFERROR(MAX(0,MIN(10,ROUND(IF('Council Entry'!K$7="Decrease Risk",10-10*((IF('Council Entry'!K$4="Logarithm",LN(0.001+IF(AND(ISNUMBER('Council Entry'!K$8),ISNUMBER('Council Entry'!K$9)),MAX(MIN('Council Entry'!K144,'Council Entry'!K$9),'Council Entry'!K$8),'Council Entry'!K144)),IF('Council Entry'!K$4="Exponential",EXP(IF(AND(ISNUMBER('Council Entry'!K$8),ISNUMBER('Council Entry'!K$9)),MAX(MIN('Council Entry'!K144,'Council Entry'!K$9),'Council Entry'!K$8),'Council Entry'!K144)),IF(AND(ISNUMBER('Council Entry'!K$8),ISNUMBER('Council Entry'!K$9)),MAX(MIN('Council Entry'!K144,'Council Entry'!K$9),'Council Entry'!K$8),'Council Entry'!K144))))-'Council Entry'!K$5)/('Council Entry'!K$6-'Council Entry'!K$5),10*((IF('Council Entry'!K$4="Logarithm",LN(0.001+IF(AND(ISNUMBER('Council Entry'!K$8),ISNUMBER('Council Entry'!K$9)),MAX(MIN('Council Entry'!K144,'Council Entry'!K$9),'Council Entry'!K$8),'Council Entry'!K144)),IF('Council Entry'!K$4="Exponential",EXP(IF(AND(ISNUMBER('Council Entry'!K$8),ISNUMBER('Council Entry'!K$9)),MAX(MIN('Council Entry'!K144,'Council Entry'!K$9),'Council Entry'!K$8),'Council Entry'!K144)),IF(AND(ISNUMBER('Council Entry'!K$8),ISNUMBER('Council Entry'!K$9)),MAX(MIN('Council Entry'!K144,'Council Entry'!K$9),'Council Entry'!K$8),'Council Entry'!K144))))-'Council Entry'!K$5)/('Council Entry'!K$6-'Council Entry'!K$5)),1))),"No data"))</f>
        <v/>
      </c>
      <c r="L144" s="13">
        <f>IF('Council Entry'!L144="","",IFERROR(MAX(0,MIN(10,ROUND(IF('Council Entry'!L$7="Decrease Risk",10-10*((IF('Council Entry'!L$4="Logarithm",LN(0.001+IF(AND(ISNUMBER('Council Entry'!L$8),ISNUMBER('Council Entry'!L$9)),MAX(MIN('Council Entry'!L144,'Council Entry'!L$9),'Council Entry'!L$8),'Council Entry'!L144)),IF('Council Entry'!L$4="Exponential",EXP(IF(AND(ISNUMBER('Council Entry'!L$8),ISNUMBER('Council Entry'!L$9)),MAX(MIN('Council Entry'!L144,'Council Entry'!L$9),'Council Entry'!L$8),'Council Entry'!L144)),IF(AND(ISNUMBER('Council Entry'!L$8),ISNUMBER('Council Entry'!L$9)),MAX(MIN('Council Entry'!L144,'Council Entry'!L$9),'Council Entry'!L$8),'Council Entry'!L144))))-'Council Entry'!L$5)/('Council Entry'!L$6-'Council Entry'!L$5),10*((IF('Council Entry'!L$4="Logarithm",LN(0.001+IF(AND(ISNUMBER('Council Entry'!L$8),ISNUMBER('Council Entry'!L$9)),MAX(MIN('Council Entry'!L144,'Council Entry'!L$9),'Council Entry'!L$8),'Council Entry'!L144)),IF('Council Entry'!L$4="Exponential",EXP(IF(AND(ISNUMBER('Council Entry'!L$8),ISNUMBER('Council Entry'!L$9)),MAX(MIN('Council Entry'!L144,'Council Entry'!L$9),'Council Entry'!L$8),'Council Entry'!L144)),IF(AND(ISNUMBER('Council Entry'!L$8),ISNUMBER('Council Entry'!L$9)),MAX(MIN('Council Entry'!L144,'Council Entry'!L$9),'Council Entry'!L$8),'Council Entry'!L144))))-'Council Entry'!L$5)/('Council Entry'!L$6-'Council Entry'!L$5)),1))),"No data"))</f>
        <v/>
      </c>
      <c r="M144" s="13">
        <f>IF('Council Entry'!M144="","",IFERROR(MAX(0,MIN(10,ROUND(IF('Council Entry'!M$7="Decrease Risk",10-10*((IF('Council Entry'!M$4="Logarithm",LN(0.001+IF(AND(ISNUMBER('Council Entry'!M$8),ISNUMBER('Council Entry'!M$9)),MAX(MIN('Council Entry'!M144,'Council Entry'!M$9),'Council Entry'!M$8),'Council Entry'!M144)),IF('Council Entry'!M$4="Exponential",EXP(IF(AND(ISNUMBER('Council Entry'!M$8),ISNUMBER('Council Entry'!M$9)),MAX(MIN('Council Entry'!M144,'Council Entry'!M$9),'Council Entry'!M$8),'Council Entry'!M144)),IF(AND(ISNUMBER('Council Entry'!M$8),ISNUMBER('Council Entry'!M$9)),MAX(MIN('Council Entry'!M144,'Council Entry'!M$9),'Council Entry'!M$8),'Council Entry'!M144))))-'Council Entry'!M$5)/('Council Entry'!M$6-'Council Entry'!M$5),10*((IF('Council Entry'!M$4="Logarithm",LN(0.001+IF(AND(ISNUMBER('Council Entry'!M$8),ISNUMBER('Council Entry'!M$9)),MAX(MIN('Council Entry'!M144,'Council Entry'!M$9),'Council Entry'!M$8),'Council Entry'!M144)),IF('Council Entry'!M$4="Exponential",EXP(IF(AND(ISNUMBER('Council Entry'!M$8),ISNUMBER('Council Entry'!M$9)),MAX(MIN('Council Entry'!M144,'Council Entry'!M$9),'Council Entry'!M$8),'Council Entry'!M144)),IF(AND(ISNUMBER('Council Entry'!M$8),ISNUMBER('Council Entry'!M$9)),MAX(MIN('Council Entry'!M144,'Council Entry'!M$9),'Council Entry'!M$8),'Council Entry'!M144))))-'Council Entry'!M$5)/('Council Entry'!M$6-'Council Entry'!M$5)),1))),"No data"))</f>
        <v/>
      </c>
      <c r="N144" s="13">
        <f>IF('Council Entry'!N144="","",IFERROR(MAX(0,MIN(10,ROUND(IF('Council Entry'!N$7="Decrease Risk",10-10*((IF('Council Entry'!N$4="Logarithm",LN(0.001+IF(AND(ISNUMBER('Council Entry'!N$8),ISNUMBER('Council Entry'!N$9)),MAX(MIN('Council Entry'!N144,'Council Entry'!N$9),'Council Entry'!N$8),'Council Entry'!N144)),IF('Council Entry'!N$4="Exponential",EXP(IF(AND(ISNUMBER('Council Entry'!N$8),ISNUMBER('Council Entry'!N$9)),MAX(MIN('Council Entry'!N144,'Council Entry'!N$9),'Council Entry'!N$8),'Council Entry'!N144)),IF(AND(ISNUMBER('Council Entry'!N$8),ISNUMBER('Council Entry'!N$9)),MAX(MIN('Council Entry'!N144,'Council Entry'!N$9),'Council Entry'!N$8),'Council Entry'!N144))))-'Council Entry'!N$5)/('Council Entry'!N$6-'Council Entry'!N$5),10*((IF('Council Entry'!N$4="Logarithm",LN(0.001+IF(AND(ISNUMBER('Council Entry'!N$8),ISNUMBER('Council Entry'!N$9)),MAX(MIN('Council Entry'!N144,'Council Entry'!N$9),'Council Entry'!N$8),'Council Entry'!N144)),IF('Council Entry'!N$4="Exponential",EXP(IF(AND(ISNUMBER('Council Entry'!N$8),ISNUMBER('Council Entry'!N$9)),MAX(MIN('Council Entry'!N144,'Council Entry'!N$9),'Council Entry'!N$8),'Council Entry'!N144)),IF(AND(ISNUMBER('Council Entry'!N$8),ISNUMBER('Council Entry'!N$9)),MAX(MIN('Council Entry'!N144,'Council Entry'!N$9),'Council Entry'!N$8),'Council Entry'!N144))))-'Council Entry'!N$5)/('Council Entry'!N$6-'Council Entry'!N$5)),1))),"No data"))</f>
        <v/>
      </c>
      <c r="O144" s="13">
        <f>IF('Council Entry'!O144="","",IFERROR(MAX(0,MIN(10,ROUND(IF('Council Entry'!O$7="Decrease Risk",10-10*((IF('Council Entry'!O$4="Logarithm",LN(0.001+IF(AND(ISNUMBER('Council Entry'!O$8),ISNUMBER('Council Entry'!O$9)),MAX(MIN('Council Entry'!O144,'Council Entry'!O$9),'Council Entry'!O$8),'Council Entry'!O144)),IF('Council Entry'!O$4="Exponential",EXP(IF(AND(ISNUMBER('Council Entry'!O$8),ISNUMBER('Council Entry'!O$9)),MAX(MIN('Council Entry'!O144,'Council Entry'!O$9),'Council Entry'!O$8),'Council Entry'!O144)),IF(AND(ISNUMBER('Council Entry'!O$8),ISNUMBER('Council Entry'!O$9)),MAX(MIN('Council Entry'!O144,'Council Entry'!O$9),'Council Entry'!O$8),'Council Entry'!O144))))-'Council Entry'!O$5)/('Council Entry'!O$6-'Council Entry'!O$5),10*((IF('Council Entry'!O$4="Logarithm",LN(0.001+IF(AND(ISNUMBER('Council Entry'!O$8),ISNUMBER('Council Entry'!O$9)),MAX(MIN('Council Entry'!O144,'Council Entry'!O$9),'Council Entry'!O$8),'Council Entry'!O144)),IF('Council Entry'!O$4="Exponential",EXP(IF(AND(ISNUMBER('Council Entry'!O$8),ISNUMBER('Council Entry'!O$9)),MAX(MIN('Council Entry'!O144,'Council Entry'!O$9),'Council Entry'!O$8),'Council Entry'!O144)),IF(AND(ISNUMBER('Council Entry'!O$8),ISNUMBER('Council Entry'!O$9)),MAX(MIN('Council Entry'!O144,'Council Entry'!O$9),'Council Entry'!O$8),'Council Entry'!O144))))-'Council Entry'!O$5)/('Council Entry'!O$6-'Council Entry'!O$5)),1))),"No data"))</f>
        <v/>
      </c>
      <c r="P144" s="13">
        <f>IF('Council Entry'!P144="","",IFERROR(MAX(0,MIN(10,ROUND(IF('Council Entry'!P$7="Decrease Risk",10-10*((IF('Council Entry'!P$4="Logarithm",LN(0.001+IF(AND(ISNUMBER('Council Entry'!P$8),ISNUMBER('Council Entry'!P$9)),MAX(MIN('Council Entry'!P144,'Council Entry'!P$9),'Council Entry'!P$8),'Council Entry'!P144)),IF('Council Entry'!P$4="Exponential",EXP(IF(AND(ISNUMBER('Council Entry'!P$8),ISNUMBER('Council Entry'!P$9)),MAX(MIN('Council Entry'!P144,'Council Entry'!P$9),'Council Entry'!P$8),'Council Entry'!P144)),IF(AND(ISNUMBER('Council Entry'!P$8),ISNUMBER('Council Entry'!P$9)),MAX(MIN('Council Entry'!P144,'Council Entry'!P$9),'Council Entry'!P$8),'Council Entry'!P144))))-'Council Entry'!P$5)/('Council Entry'!P$6-'Council Entry'!P$5),10*((IF('Council Entry'!P$4="Logarithm",LN(0.001+IF(AND(ISNUMBER('Council Entry'!P$8),ISNUMBER('Council Entry'!P$9)),MAX(MIN('Council Entry'!P144,'Council Entry'!P$9),'Council Entry'!P$8),'Council Entry'!P144)),IF('Council Entry'!P$4="Exponential",EXP(IF(AND(ISNUMBER('Council Entry'!P$8),ISNUMBER('Council Entry'!P$9)),MAX(MIN('Council Entry'!P144,'Council Entry'!P$9),'Council Entry'!P$8),'Council Entry'!P144)),IF(AND(ISNUMBER('Council Entry'!P$8),ISNUMBER('Council Entry'!P$9)),MAX(MIN('Council Entry'!P144,'Council Entry'!P$9),'Council Entry'!P$8),'Council Entry'!P144))))-'Council Entry'!P$5)/('Council Entry'!P$6-'Council Entry'!P$5)),1))),"No data"))</f>
        <v/>
      </c>
      <c r="Q144" s="13">
        <f>IF('Council Entry'!Q144="","",IFERROR(MAX(0,MIN(10,ROUND(IF('Council Entry'!Q$7="Decrease Risk",10-10*((IF('Council Entry'!Q$4="Logarithm",LN(0.001+IF(AND(ISNUMBER('Council Entry'!Q$8),ISNUMBER('Council Entry'!Q$9)),MAX(MIN('Council Entry'!Q144,'Council Entry'!Q$9),'Council Entry'!Q$8),'Council Entry'!Q144)),IF('Council Entry'!Q$4="Exponential",EXP(IF(AND(ISNUMBER('Council Entry'!Q$8),ISNUMBER('Council Entry'!Q$9)),MAX(MIN('Council Entry'!Q144,'Council Entry'!Q$9),'Council Entry'!Q$8),'Council Entry'!Q144)),IF(AND(ISNUMBER('Council Entry'!Q$8),ISNUMBER('Council Entry'!Q$9)),MAX(MIN('Council Entry'!Q144,'Council Entry'!Q$9),'Council Entry'!Q$8),'Council Entry'!Q144))))-'Council Entry'!Q$5)/('Council Entry'!Q$6-'Council Entry'!Q$5),10*((IF('Council Entry'!Q$4="Logarithm",LN(0.001+IF(AND(ISNUMBER('Council Entry'!Q$8),ISNUMBER('Council Entry'!Q$9)),MAX(MIN('Council Entry'!Q144,'Council Entry'!Q$9),'Council Entry'!Q$8),'Council Entry'!Q144)),IF('Council Entry'!Q$4="Exponential",EXP(IF(AND(ISNUMBER('Council Entry'!Q$8),ISNUMBER('Council Entry'!Q$9)),MAX(MIN('Council Entry'!Q144,'Council Entry'!Q$9),'Council Entry'!Q$8),'Council Entry'!Q144)),IF(AND(ISNUMBER('Council Entry'!Q$8),ISNUMBER('Council Entry'!Q$9)),MAX(MIN('Council Entry'!Q144,'Council Entry'!Q$9),'Council Entry'!Q$8),'Council Entry'!Q144))))-'Council Entry'!Q$5)/('Council Entry'!Q$6-'Council Entry'!Q$5)),1))),"No data"))</f>
        <v/>
      </c>
      <c r="R144" s="13">
        <f>IF('Council Entry'!R144="","",IFERROR(MAX(0,MIN(10,ROUND(IF('Council Entry'!R$7="Decrease Risk",10-10*((IF('Council Entry'!R$4="Logarithm",LN(0.001+IF(AND(ISNUMBER('Council Entry'!R$8),ISNUMBER('Council Entry'!R$9)),MAX(MIN('Council Entry'!R144,'Council Entry'!R$9),'Council Entry'!R$8),'Council Entry'!R144)),IF('Council Entry'!R$4="Exponential",EXP(IF(AND(ISNUMBER('Council Entry'!R$8),ISNUMBER('Council Entry'!R$9)),MAX(MIN('Council Entry'!R144,'Council Entry'!R$9),'Council Entry'!R$8),'Council Entry'!R144)),IF(AND(ISNUMBER('Council Entry'!R$8),ISNUMBER('Council Entry'!R$9)),MAX(MIN('Council Entry'!R144,'Council Entry'!R$9),'Council Entry'!R$8),'Council Entry'!R144))))-'Council Entry'!R$5)/('Council Entry'!R$6-'Council Entry'!R$5),10*((IF('Council Entry'!R$4="Logarithm",LN(0.001+IF(AND(ISNUMBER('Council Entry'!R$8),ISNUMBER('Council Entry'!R$9)),MAX(MIN('Council Entry'!R144,'Council Entry'!R$9),'Council Entry'!R$8),'Council Entry'!R144)),IF('Council Entry'!R$4="Exponential",EXP(IF(AND(ISNUMBER('Council Entry'!R$8),ISNUMBER('Council Entry'!R$9)),MAX(MIN('Council Entry'!R144,'Council Entry'!R$9),'Council Entry'!R$8),'Council Entry'!R144)),IF(AND(ISNUMBER('Council Entry'!R$8),ISNUMBER('Council Entry'!R$9)),MAX(MIN('Council Entry'!R144,'Council Entry'!R$9),'Council Entry'!R$8),'Council Entry'!R144))))-'Council Entry'!R$5)/('Council Entry'!R$6-'Council Entry'!R$5)),1))),"No data"))</f>
        <v/>
      </c>
      <c r="S144" s="13">
        <f>IF('Council Entry'!S144="","",IFERROR(MAX(0,MIN(10,ROUND(IF('Council Entry'!S$7="Decrease Risk",10-10*((IF('Council Entry'!S$4="Logarithm",LN(0.001+IF(AND(ISNUMBER('Council Entry'!S$8),ISNUMBER('Council Entry'!S$9)),MAX(MIN('Council Entry'!S144,'Council Entry'!S$9),'Council Entry'!S$8),'Council Entry'!S144)),IF('Council Entry'!S$4="Exponential",EXP(IF(AND(ISNUMBER('Council Entry'!S$8),ISNUMBER('Council Entry'!S$9)),MAX(MIN('Council Entry'!S144,'Council Entry'!S$9),'Council Entry'!S$8),'Council Entry'!S144)),IF(AND(ISNUMBER('Council Entry'!S$8),ISNUMBER('Council Entry'!S$9)),MAX(MIN('Council Entry'!S144,'Council Entry'!S$9),'Council Entry'!S$8),'Council Entry'!S144))))-'Council Entry'!S$5)/('Council Entry'!S$6-'Council Entry'!S$5),10*((IF('Council Entry'!S$4="Logarithm",LN(0.001+IF(AND(ISNUMBER('Council Entry'!S$8),ISNUMBER('Council Entry'!S$9)),MAX(MIN('Council Entry'!S144,'Council Entry'!S$9),'Council Entry'!S$8),'Council Entry'!S144)),IF('Council Entry'!S$4="Exponential",EXP(IF(AND(ISNUMBER('Council Entry'!S$8),ISNUMBER('Council Entry'!S$9)),MAX(MIN('Council Entry'!S144,'Council Entry'!S$9),'Council Entry'!S$8),'Council Entry'!S144)),IF(AND(ISNUMBER('Council Entry'!S$8),ISNUMBER('Council Entry'!S$9)),MAX(MIN('Council Entry'!S144,'Council Entry'!S$9),'Council Entry'!S$8),'Council Entry'!S144))))-'Council Entry'!S$5)/('Council Entry'!S$6-'Council Entry'!S$5)),1))),"No data"))</f>
        <v/>
      </c>
      <c r="T144" s="13">
        <f>IF('Council Entry'!T144="","",IFERROR(MAX(0,MIN(10,ROUND(IF('Council Entry'!T$7="Decrease Risk",10-10*((IF('Council Entry'!T$4="Logarithm",LN(0.001+IF(AND(ISNUMBER('Council Entry'!T$8),ISNUMBER('Council Entry'!T$9)),MAX(MIN('Council Entry'!T144,'Council Entry'!T$9),'Council Entry'!T$8),'Council Entry'!T144)),IF('Council Entry'!T$4="Exponential",EXP(IF(AND(ISNUMBER('Council Entry'!T$8),ISNUMBER('Council Entry'!T$9)),MAX(MIN('Council Entry'!T144,'Council Entry'!T$9),'Council Entry'!T$8),'Council Entry'!T144)),IF(AND(ISNUMBER('Council Entry'!T$8),ISNUMBER('Council Entry'!T$9)),MAX(MIN('Council Entry'!T144,'Council Entry'!T$9),'Council Entry'!T$8),'Council Entry'!T144))))-'Council Entry'!T$5)/('Council Entry'!T$6-'Council Entry'!T$5),10*((IF('Council Entry'!T$4="Logarithm",LN(0.001+IF(AND(ISNUMBER('Council Entry'!T$8),ISNUMBER('Council Entry'!T$9)),MAX(MIN('Council Entry'!T144,'Council Entry'!T$9),'Council Entry'!T$8),'Council Entry'!T144)),IF('Council Entry'!T$4="Exponential",EXP(IF(AND(ISNUMBER('Council Entry'!T$8),ISNUMBER('Council Entry'!T$9)),MAX(MIN('Council Entry'!T144,'Council Entry'!T$9),'Council Entry'!T$8),'Council Entry'!T144)),IF(AND(ISNUMBER('Council Entry'!T$8),ISNUMBER('Council Entry'!T$9)),MAX(MIN('Council Entry'!T144,'Council Entry'!T$9),'Council Entry'!T$8),'Council Entry'!T144))))-'Council Entry'!T$5)/('Council Entry'!T$6-'Council Entry'!T$5)),1))),"No data"))</f>
        <v/>
      </c>
      <c r="U144" s="13">
        <f>IF('Council Entry'!U144="","",IFERROR(MAX(0,MIN(10,ROUND(IF('Council Entry'!U$7="Decrease Risk",10-10*((IF('Council Entry'!U$4="Logarithm",LN(0.001+IF(AND(ISNUMBER('Council Entry'!U$8),ISNUMBER('Council Entry'!U$9)),MAX(MIN('Council Entry'!U144,'Council Entry'!U$9),'Council Entry'!U$8),'Council Entry'!U144)),IF('Council Entry'!U$4="Exponential",EXP(IF(AND(ISNUMBER('Council Entry'!U$8),ISNUMBER('Council Entry'!U$9)),MAX(MIN('Council Entry'!U144,'Council Entry'!U$9),'Council Entry'!U$8),'Council Entry'!U144)),IF(AND(ISNUMBER('Council Entry'!U$8),ISNUMBER('Council Entry'!U$9)),MAX(MIN('Council Entry'!U144,'Council Entry'!U$9),'Council Entry'!U$8),'Council Entry'!U144))))-'Council Entry'!U$5)/('Council Entry'!U$6-'Council Entry'!U$5),10*((IF('Council Entry'!U$4="Logarithm",LN(0.001+IF(AND(ISNUMBER('Council Entry'!U$8),ISNUMBER('Council Entry'!U$9)),MAX(MIN('Council Entry'!U144,'Council Entry'!U$9),'Council Entry'!U$8),'Council Entry'!U144)),IF('Council Entry'!U$4="Exponential",EXP(IF(AND(ISNUMBER('Council Entry'!U$8),ISNUMBER('Council Entry'!U$9)),MAX(MIN('Council Entry'!U144,'Council Entry'!U$9),'Council Entry'!U$8),'Council Entry'!U144)),IF(AND(ISNUMBER('Council Entry'!U$8),ISNUMBER('Council Entry'!U$9)),MAX(MIN('Council Entry'!U144,'Council Entry'!U$9),'Council Entry'!U$8),'Council Entry'!U144))))-'Council Entry'!U$5)/('Council Entry'!U$6-'Council Entry'!U$5)),1))),"No data"))</f>
        <v/>
      </c>
      <c r="V144" s="13">
        <f>IF('Council Entry'!V144="","",IFERROR(MAX(0,MIN(10,ROUND(IF('Council Entry'!V$7="Decrease Risk",10-10*((IF('Council Entry'!V$4="Logarithm",LN(0.001+IF(AND(ISNUMBER('Council Entry'!V$8),ISNUMBER('Council Entry'!V$9)),MAX(MIN('Council Entry'!V144,'Council Entry'!V$9),'Council Entry'!V$8),'Council Entry'!V144)),IF('Council Entry'!V$4="Exponential",EXP(IF(AND(ISNUMBER('Council Entry'!V$8),ISNUMBER('Council Entry'!V$9)),MAX(MIN('Council Entry'!V144,'Council Entry'!V$9),'Council Entry'!V$8),'Council Entry'!V144)),IF(AND(ISNUMBER('Council Entry'!V$8),ISNUMBER('Council Entry'!V$9)),MAX(MIN('Council Entry'!V144,'Council Entry'!V$9),'Council Entry'!V$8),'Council Entry'!V144))))-'Council Entry'!V$5)/('Council Entry'!V$6-'Council Entry'!V$5),10*((IF('Council Entry'!V$4="Logarithm",LN(0.001+IF(AND(ISNUMBER('Council Entry'!V$8),ISNUMBER('Council Entry'!V$9)),MAX(MIN('Council Entry'!V144,'Council Entry'!V$9),'Council Entry'!V$8),'Council Entry'!V144)),IF('Council Entry'!V$4="Exponential",EXP(IF(AND(ISNUMBER('Council Entry'!V$8),ISNUMBER('Council Entry'!V$9)),MAX(MIN('Council Entry'!V144,'Council Entry'!V$9),'Council Entry'!V$8),'Council Entry'!V144)),IF(AND(ISNUMBER('Council Entry'!V$8),ISNUMBER('Council Entry'!V$9)),MAX(MIN('Council Entry'!V144,'Council Entry'!V$9),'Council Entry'!V$8),'Council Entry'!V144))))-'Council Entry'!V$5)/('Council Entry'!V$6-'Council Entry'!V$5)),1))),"No data"))</f>
        <v/>
      </c>
      <c r="W144" s="13">
        <f>IF('Council Entry'!W144="","",IFERROR(MAX(0,MIN(10,ROUND(IF('Council Entry'!W$7="Decrease Risk",10-10*((IF('Council Entry'!W$4="Logarithm",LN(0.001+IF(AND(ISNUMBER('Council Entry'!W$8),ISNUMBER('Council Entry'!W$9)),MAX(MIN('Council Entry'!W144,'Council Entry'!W$9),'Council Entry'!W$8),'Council Entry'!W144)),IF('Council Entry'!W$4="Exponential",EXP(IF(AND(ISNUMBER('Council Entry'!W$8),ISNUMBER('Council Entry'!W$9)),MAX(MIN('Council Entry'!W144,'Council Entry'!W$9),'Council Entry'!W$8),'Council Entry'!W144)),IF(AND(ISNUMBER('Council Entry'!W$8),ISNUMBER('Council Entry'!W$9)),MAX(MIN('Council Entry'!W144,'Council Entry'!W$9),'Council Entry'!W$8),'Council Entry'!W144))))-'Council Entry'!W$5)/('Council Entry'!W$6-'Council Entry'!W$5),10*((IF('Council Entry'!W$4="Logarithm",LN(0.001+IF(AND(ISNUMBER('Council Entry'!W$8),ISNUMBER('Council Entry'!W$9)),MAX(MIN('Council Entry'!W144,'Council Entry'!W$9),'Council Entry'!W$8),'Council Entry'!W144)),IF('Council Entry'!W$4="Exponential",EXP(IF(AND(ISNUMBER('Council Entry'!W$8),ISNUMBER('Council Entry'!W$9)),MAX(MIN('Council Entry'!W144,'Council Entry'!W$9),'Council Entry'!W$8),'Council Entry'!W144)),IF(AND(ISNUMBER('Council Entry'!W$8),ISNUMBER('Council Entry'!W$9)),MAX(MIN('Council Entry'!W144,'Council Entry'!W$9),'Council Entry'!W$8),'Council Entry'!W144))))-'Council Entry'!W$5)/('Council Entry'!W$6-'Council Entry'!W$5)),1))),"No data"))</f>
        <v/>
      </c>
      <c r="X144" s="13">
        <f>IF('Council Entry'!X144="","",IFERROR(MAX(0,MIN(10,ROUND(IF('Council Entry'!X$7="Decrease Risk",10-10*((IF('Council Entry'!X$4="Logarithm",LN(0.001+IF(AND(ISNUMBER('Council Entry'!X$8),ISNUMBER('Council Entry'!X$9)),MAX(MIN('Council Entry'!X144,'Council Entry'!X$9),'Council Entry'!X$8),'Council Entry'!X144)),IF('Council Entry'!X$4="Exponential",EXP(IF(AND(ISNUMBER('Council Entry'!X$8),ISNUMBER('Council Entry'!X$9)),MAX(MIN('Council Entry'!X144,'Council Entry'!X$9),'Council Entry'!X$8),'Council Entry'!X144)),IF(AND(ISNUMBER('Council Entry'!X$8),ISNUMBER('Council Entry'!X$9)),MAX(MIN('Council Entry'!X144,'Council Entry'!X$9),'Council Entry'!X$8),'Council Entry'!X144))))-'Council Entry'!X$5)/('Council Entry'!X$6-'Council Entry'!X$5),10*((IF('Council Entry'!X$4="Logarithm",LN(0.001+IF(AND(ISNUMBER('Council Entry'!X$8),ISNUMBER('Council Entry'!X$9)),MAX(MIN('Council Entry'!X144,'Council Entry'!X$9),'Council Entry'!X$8),'Council Entry'!X144)),IF('Council Entry'!X$4="Exponential",EXP(IF(AND(ISNUMBER('Council Entry'!X$8),ISNUMBER('Council Entry'!X$9)),MAX(MIN('Council Entry'!X144,'Council Entry'!X$9),'Council Entry'!X$8),'Council Entry'!X144)),IF(AND(ISNUMBER('Council Entry'!X$8),ISNUMBER('Council Entry'!X$9)),MAX(MIN('Council Entry'!X144,'Council Entry'!X$9),'Council Entry'!X$8),'Council Entry'!X144))))-'Council Entry'!X$5)/('Council Entry'!X$6-'Council Entry'!X$5)),1))),"No data"))</f>
        <v/>
      </c>
      <c r="Y144" s="13">
        <f>IF('Council Entry'!Y144="","",IFERROR(MAX(0,MIN(10,ROUND(IF('Council Entry'!Y$7="Decrease Risk",10-10*((IF('Council Entry'!Y$4="Logarithm",LN(0.001+IF(AND(ISNUMBER('Council Entry'!Y$8),ISNUMBER('Council Entry'!Y$9)),MAX(MIN('Council Entry'!Y144,'Council Entry'!Y$9),'Council Entry'!Y$8),'Council Entry'!Y144)),IF('Council Entry'!Y$4="Exponential",EXP(IF(AND(ISNUMBER('Council Entry'!Y$8),ISNUMBER('Council Entry'!Y$9)),MAX(MIN('Council Entry'!Y144,'Council Entry'!Y$9),'Council Entry'!Y$8),'Council Entry'!Y144)),IF(AND(ISNUMBER('Council Entry'!Y$8),ISNUMBER('Council Entry'!Y$9)),MAX(MIN('Council Entry'!Y144,'Council Entry'!Y$9),'Council Entry'!Y$8),'Council Entry'!Y144))))-'Council Entry'!Y$5)/('Council Entry'!Y$6-'Council Entry'!Y$5),10*((IF('Council Entry'!Y$4="Logarithm",LN(0.001+IF(AND(ISNUMBER('Council Entry'!Y$8),ISNUMBER('Council Entry'!Y$9)),MAX(MIN('Council Entry'!Y144,'Council Entry'!Y$9),'Council Entry'!Y$8),'Council Entry'!Y144)),IF('Council Entry'!Y$4="Exponential",EXP(IF(AND(ISNUMBER('Council Entry'!Y$8),ISNUMBER('Council Entry'!Y$9)),MAX(MIN('Council Entry'!Y144,'Council Entry'!Y$9),'Council Entry'!Y$8),'Council Entry'!Y144)),IF(AND(ISNUMBER('Council Entry'!Y$8),ISNUMBER('Council Entry'!Y$9)),MAX(MIN('Council Entry'!Y144,'Council Entry'!Y$9),'Council Entry'!Y$8),'Council Entry'!Y144))))-'Council Entry'!Y$5)/('Council Entry'!Y$6-'Council Entry'!Y$5)),1))),"No data"))</f>
        <v/>
      </c>
      <c r="Z144" s="13">
        <f>IF('Council Entry'!Z144="","",IFERROR(MAX(0,MIN(10,ROUND(IF('Council Entry'!Z$7="Decrease Risk",10-10*((IF('Council Entry'!Z$4="Logarithm",LN(0.001+IF(AND(ISNUMBER('Council Entry'!Z$8),ISNUMBER('Council Entry'!Z$9)),MAX(MIN('Council Entry'!Z144,'Council Entry'!Z$9),'Council Entry'!Z$8),'Council Entry'!Z144)),IF('Council Entry'!Z$4="Exponential",EXP(IF(AND(ISNUMBER('Council Entry'!Z$8),ISNUMBER('Council Entry'!Z$9)),MAX(MIN('Council Entry'!Z144,'Council Entry'!Z$9),'Council Entry'!Z$8),'Council Entry'!Z144)),IF(AND(ISNUMBER('Council Entry'!Z$8),ISNUMBER('Council Entry'!Z$9)),MAX(MIN('Council Entry'!Z144,'Council Entry'!Z$9),'Council Entry'!Z$8),'Council Entry'!Z144))))-'Council Entry'!Z$5)/('Council Entry'!Z$6-'Council Entry'!Z$5),10*((IF('Council Entry'!Z$4="Logarithm",LN(0.001+IF(AND(ISNUMBER('Council Entry'!Z$8),ISNUMBER('Council Entry'!Z$9)),MAX(MIN('Council Entry'!Z144,'Council Entry'!Z$9),'Council Entry'!Z$8),'Council Entry'!Z144)),IF('Council Entry'!Z$4="Exponential",EXP(IF(AND(ISNUMBER('Council Entry'!Z$8),ISNUMBER('Council Entry'!Z$9)),MAX(MIN('Council Entry'!Z144,'Council Entry'!Z$9),'Council Entry'!Z$8),'Council Entry'!Z144)),IF(AND(ISNUMBER('Council Entry'!Z$8),ISNUMBER('Council Entry'!Z$9)),MAX(MIN('Council Entry'!Z144,'Council Entry'!Z$9),'Council Entry'!Z$8),'Council Entry'!Z144))))-'Council Entry'!Z$5)/('Council Entry'!Z$6-'Council Entry'!Z$5)),1))),"No data"))</f>
        <v/>
      </c>
      <c r="AA144" s="13">
        <f>IF('Council Entry'!AA144="","",IFERROR(MAX(0,MIN(10,ROUND(IF('Council Entry'!AA$7="Decrease Risk",10-10*((IF('Council Entry'!AA$4="Logarithm",LN(0.001+IF(AND(ISNUMBER('Council Entry'!AA$8),ISNUMBER('Council Entry'!AA$9)),MAX(MIN('Council Entry'!AA144,'Council Entry'!AA$9),'Council Entry'!AA$8),'Council Entry'!AA144)),IF('Council Entry'!AA$4="Exponential",EXP(IF(AND(ISNUMBER('Council Entry'!AA$8),ISNUMBER('Council Entry'!AA$9)),MAX(MIN('Council Entry'!AA144,'Council Entry'!AA$9),'Council Entry'!AA$8),'Council Entry'!AA144)),IF(AND(ISNUMBER('Council Entry'!AA$8),ISNUMBER('Council Entry'!AA$9)),MAX(MIN('Council Entry'!AA144,'Council Entry'!AA$9),'Council Entry'!AA$8),'Council Entry'!AA144))))-'Council Entry'!AA$5)/('Council Entry'!AA$6-'Council Entry'!AA$5),10*((IF('Council Entry'!AA$4="Logarithm",LN(0.001+IF(AND(ISNUMBER('Council Entry'!AA$8),ISNUMBER('Council Entry'!AA$9)),MAX(MIN('Council Entry'!AA144,'Council Entry'!AA$9),'Council Entry'!AA$8),'Council Entry'!AA144)),IF('Council Entry'!AA$4="Exponential",EXP(IF(AND(ISNUMBER('Council Entry'!AA$8),ISNUMBER('Council Entry'!AA$9)),MAX(MIN('Council Entry'!AA144,'Council Entry'!AA$9),'Council Entry'!AA$8),'Council Entry'!AA144)),IF(AND(ISNUMBER('Council Entry'!AA$8),ISNUMBER('Council Entry'!AA$9)),MAX(MIN('Council Entry'!AA144,'Council Entry'!AA$9),'Council Entry'!AA$8),'Council Entry'!AA144))))-'Council Entry'!AA$5)/('Council Entry'!AA$6-'Council Entry'!AA$5)),1))),"No data"))</f>
        <v/>
      </c>
      <c r="AB144" s="13">
        <f>IF('Council Entry'!AB144="","",IFERROR(MAX(0,MIN(10,ROUND(IF('Council Entry'!AB$7="Decrease Risk",10-10*((IF('Council Entry'!AB$4="Logarithm",LN(0.001+IF(AND(ISNUMBER('Council Entry'!AB$8),ISNUMBER('Council Entry'!AB$9)),MAX(MIN('Council Entry'!AB144,'Council Entry'!AB$9),'Council Entry'!AB$8),'Council Entry'!AB144)),IF('Council Entry'!AB$4="Exponential",EXP(IF(AND(ISNUMBER('Council Entry'!AB$8),ISNUMBER('Council Entry'!AB$9)),MAX(MIN('Council Entry'!AB144,'Council Entry'!AB$9),'Council Entry'!AB$8),'Council Entry'!AB144)),IF(AND(ISNUMBER('Council Entry'!AB$8),ISNUMBER('Council Entry'!AB$9)),MAX(MIN('Council Entry'!AB144,'Council Entry'!AB$9),'Council Entry'!AB$8),'Council Entry'!AB144))))-'Council Entry'!AB$5)/('Council Entry'!AB$6-'Council Entry'!AB$5),10*((IF('Council Entry'!AB$4="Logarithm",LN(0.001+IF(AND(ISNUMBER('Council Entry'!AB$8),ISNUMBER('Council Entry'!AB$9)),MAX(MIN('Council Entry'!AB144,'Council Entry'!AB$9),'Council Entry'!AB$8),'Council Entry'!AB144)),IF('Council Entry'!AB$4="Exponential",EXP(IF(AND(ISNUMBER('Council Entry'!AB$8),ISNUMBER('Council Entry'!AB$9)),MAX(MIN('Council Entry'!AB144,'Council Entry'!AB$9),'Council Entry'!AB$8),'Council Entry'!AB144)),IF(AND(ISNUMBER('Council Entry'!AB$8),ISNUMBER('Council Entry'!AB$9)),MAX(MIN('Council Entry'!AB144,'Council Entry'!AB$9),'Council Entry'!AB$8),'Council Entry'!AB144))))-'Council Entry'!AB$5)/('Council Entry'!AB$6-'Council Entry'!AB$5)),1))),"No data"))</f>
        <v/>
      </c>
      <c r="AC144" s="13">
        <f>IF('Council Entry'!AC144="","",IFERROR(MAX(0,MIN(10,ROUND(IF('Council Entry'!AC$7="Decrease Risk",10-10*((IF('Council Entry'!AC$4="Logarithm",LN(0.001+IF(AND(ISNUMBER('Council Entry'!AC$8),ISNUMBER('Council Entry'!AC$9)),MAX(MIN('Council Entry'!AC144,'Council Entry'!AC$9),'Council Entry'!AC$8),'Council Entry'!AC144)),IF('Council Entry'!AC$4="Exponential",EXP(IF(AND(ISNUMBER('Council Entry'!AC$8),ISNUMBER('Council Entry'!AC$9)),MAX(MIN('Council Entry'!AC144,'Council Entry'!AC$9),'Council Entry'!AC$8),'Council Entry'!AC144)),IF(AND(ISNUMBER('Council Entry'!AC$8),ISNUMBER('Council Entry'!AC$9)),MAX(MIN('Council Entry'!AC144,'Council Entry'!AC$9),'Council Entry'!AC$8),'Council Entry'!AC144))))-'Council Entry'!AC$5)/('Council Entry'!AC$6-'Council Entry'!AC$5),10*((IF('Council Entry'!AC$4="Logarithm",LN(0.001+IF(AND(ISNUMBER('Council Entry'!AC$8),ISNUMBER('Council Entry'!AC$9)),MAX(MIN('Council Entry'!AC144,'Council Entry'!AC$9),'Council Entry'!AC$8),'Council Entry'!AC144)),IF('Council Entry'!AC$4="Exponential",EXP(IF(AND(ISNUMBER('Council Entry'!AC$8),ISNUMBER('Council Entry'!AC$9)),MAX(MIN('Council Entry'!AC144,'Council Entry'!AC$9),'Council Entry'!AC$8),'Council Entry'!AC144)),IF(AND(ISNUMBER('Council Entry'!AC$8),ISNUMBER('Council Entry'!AC$9)),MAX(MIN('Council Entry'!AC144,'Council Entry'!AC$9),'Council Entry'!AC$8),'Council Entry'!AC144))))-'Council Entry'!AC$5)/('Council Entry'!AC$6-'Council Entry'!AC$5)),1))),"No data"))</f>
        <v/>
      </c>
      <c r="AD144" s="13">
        <f>IF('Council Entry'!AD144="","",IFERROR(MAX(0,MIN(10,ROUND(IF('Council Entry'!AD$7="Decrease Risk",10-10*((IF('Council Entry'!AD$4="Logarithm",LN(0.001+IF(AND(ISNUMBER('Council Entry'!AD$8),ISNUMBER('Council Entry'!AD$9)),MAX(MIN('Council Entry'!AD144,'Council Entry'!AD$9),'Council Entry'!AD$8),'Council Entry'!AD144)),IF('Council Entry'!AD$4="Exponential",EXP(IF(AND(ISNUMBER('Council Entry'!AD$8),ISNUMBER('Council Entry'!AD$9)),MAX(MIN('Council Entry'!AD144,'Council Entry'!AD$9),'Council Entry'!AD$8),'Council Entry'!AD144)),IF(AND(ISNUMBER('Council Entry'!AD$8),ISNUMBER('Council Entry'!AD$9)),MAX(MIN('Council Entry'!AD144,'Council Entry'!AD$9),'Council Entry'!AD$8),'Council Entry'!AD144))))-'Council Entry'!AD$5)/('Council Entry'!AD$6-'Council Entry'!AD$5),10*((IF('Council Entry'!AD$4="Logarithm",LN(0.001+IF(AND(ISNUMBER('Council Entry'!AD$8),ISNUMBER('Council Entry'!AD$9)),MAX(MIN('Council Entry'!AD144,'Council Entry'!AD$9),'Council Entry'!AD$8),'Council Entry'!AD144)),IF('Council Entry'!AD$4="Exponential",EXP(IF(AND(ISNUMBER('Council Entry'!AD$8),ISNUMBER('Council Entry'!AD$9)),MAX(MIN('Council Entry'!AD144,'Council Entry'!AD$9),'Council Entry'!AD$8),'Council Entry'!AD144)),IF(AND(ISNUMBER('Council Entry'!AD$8),ISNUMBER('Council Entry'!AD$9)),MAX(MIN('Council Entry'!AD144,'Council Entry'!AD$9),'Council Entry'!AD$8),'Council Entry'!AD144))))-'Council Entry'!AD$5)/('Council Entry'!AD$6-'Council Entry'!AD$5)),1))),"No data"))</f>
        <v/>
      </c>
      <c r="AE144" s="13">
        <f>IF('Council Entry'!AE144="","",IFERROR(MAX(0,MIN(10,ROUND(IF('Council Entry'!AE$7="Decrease Risk",10-10*((IF('Council Entry'!AE$4="Logarithm",LN(0.001+IF(AND(ISNUMBER('Council Entry'!AE$8),ISNUMBER('Council Entry'!AE$9)),MAX(MIN('Council Entry'!AE144,'Council Entry'!AE$9),'Council Entry'!AE$8),'Council Entry'!AE144)),IF('Council Entry'!AE$4="Exponential",EXP(IF(AND(ISNUMBER('Council Entry'!AE$8),ISNUMBER('Council Entry'!AE$9)),MAX(MIN('Council Entry'!AE144,'Council Entry'!AE$9),'Council Entry'!AE$8),'Council Entry'!AE144)),IF(AND(ISNUMBER('Council Entry'!AE$8),ISNUMBER('Council Entry'!AE$9)),MAX(MIN('Council Entry'!AE144,'Council Entry'!AE$9),'Council Entry'!AE$8),'Council Entry'!AE144))))-'Council Entry'!AE$5)/('Council Entry'!AE$6-'Council Entry'!AE$5),10*((IF('Council Entry'!AE$4="Logarithm",LN(0.001+IF(AND(ISNUMBER('Council Entry'!AE$8),ISNUMBER('Council Entry'!AE$9)),MAX(MIN('Council Entry'!AE144,'Council Entry'!AE$9),'Council Entry'!AE$8),'Council Entry'!AE144)),IF('Council Entry'!AE$4="Exponential",EXP(IF(AND(ISNUMBER('Council Entry'!AE$8),ISNUMBER('Council Entry'!AE$9)),MAX(MIN('Council Entry'!AE144,'Council Entry'!AE$9),'Council Entry'!AE$8),'Council Entry'!AE144)),IF(AND(ISNUMBER('Council Entry'!AE$8),ISNUMBER('Council Entry'!AE$9)),MAX(MIN('Council Entry'!AE144,'Council Entry'!AE$9),'Council Entry'!AE$8),'Council Entry'!AE144))))-'Council Entry'!AE$5)/('Council Entry'!AE$6-'Council Entry'!AE$5)),1))),"No data"))</f>
        <v/>
      </c>
      <c r="AF144" s="13">
        <f>IF('Council Entry'!AF144="","",IFERROR(MAX(0,MIN(10,ROUND(IF('Council Entry'!AF$7="Decrease Risk",10-10*((IF('Council Entry'!AF$4="Logarithm",LN(0.001+IF(AND(ISNUMBER('Council Entry'!AF$8),ISNUMBER('Council Entry'!AF$9)),MAX(MIN('Council Entry'!AF144,'Council Entry'!AF$9),'Council Entry'!AF$8),'Council Entry'!AF144)),IF('Council Entry'!AF$4="Exponential",EXP(IF(AND(ISNUMBER('Council Entry'!AF$8),ISNUMBER('Council Entry'!AF$9)),MAX(MIN('Council Entry'!AF144,'Council Entry'!AF$9),'Council Entry'!AF$8),'Council Entry'!AF144)),IF(AND(ISNUMBER('Council Entry'!AF$8),ISNUMBER('Council Entry'!AF$9)),MAX(MIN('Council Entry'!AF144,'Council Entry'!AF$9),'Council Entry'!AF$8),'Council Entry'!AF144))))-'Council Entry'!AF$5)/('Council Entry'!AF$6-'Council Entry'!AF$5),10*((IF('Council Entry'!AF$4="Logarithm",LN(0.001+IF(AND(ISNUMBER('Council Entry'!AF$8),ISNUMBER('Council Entry'!AF$9)),MAX(MIN('Council Entry'!AF144,'Council Entry'!AF$9),'Council Entry'!AF$8),'Council Entry'!AF144)),IF('Council Entry'!AF$4="Exponential",EXP(IF(AND(ISNUMBER('Council Entry'!AF$8),ISNUMBER('Council Entry'!AF$9)),MAX(MIN('Council Entry'!AF144,'Council Entry'!AF$9),'Council Entry'!AF$8),'Council Entry'!AF144)),IF(AND(ISNUMBER('Council Entry'!AF$8),ISNUMBER('Council Entry'!AF$9)),MAX(MIN('Council Entry'!AF144,'Council Entry'!AF$9),'Council Entry'!AF$8),'Council Entry'!AF144))))-'Council Entry'!AF$5)/('Council Entry'!AF$6-'Council Entry'!AF$5)),1))),"No data"))</f>
        <v/>
      </c>
      <c r="AG144" s="13">
        <f>IF('Council Entry'!AG144="","",IFERROR(MAX(0,MIN(10,ROUND(IF('Council Entry'!AG$7="Decrease Risk",10-10*((IF('Council Entry'!AG$4="Logarithm",LN(0.001+IF(AND(ISNUMBER('Council Entry'!AG$8),ISNUMBER('Council Entry'!AG$9)),MAX(MIN('Council Entry'!AG144,'Council Entry'!AG$9),'Council Entry'!AG$8),'Council Entry'!AG144)),IF('Council Entry'!AG$4="Exponential",EXP(IF(AND(ISNUMBER('Council Entry'!AG$8),ISNUMBER('Council Entry'!AG$9)),MAX(MIN('Council Entry'!AG144,'Council Entry'!AG$9),'Council Entry'!AG$8),'Council Entry'!AG144)),IF(AND(ISNUMBER('Council Entry'!AG$8),ISNUMBER('Council Entry'!AG$9)),MAX(MIN('Council Entry'!AG144,'Council Entry'!AG$9),'Council Entry'!AG$8),'Council Entry'!AG144))))-'Council Entry'!AG$5)/('Council Entry'!AG$6-'Council Entry'!AG$5),10*((IF('Council Entry'!AG$4="Logarithm",LN(0.001+IF(AND(ISNUMBER('Council Entry'!AG$8),ISNUMBER('Council Entry'!AG$9)),MAX(MIN('Council Entry'!AG144,'Council Entry'!AG$9),'Council Entry'!AG$8),'Council Entry'!AG144)),IF('Council Entry'!AG$4="Exponential",EXP(IF(AND(ISNUMBER('Council Entry'!AG$8),ISNUMBER('Council Entry'!AG$9)),MAX(MIN('Council Entry'!AG144,'Council Entry'!AG$9),'Council Entry'!AG$8),'Council Entry'!AG144)),IF(AND(ISNUMBER('Council Entry'!AG$8),ISNUMBER('Council Entry'!AG$9)),MAX(MIN('Council Entry'!AG144,'Council Entry'!AG$9),'Council Entry'!AG$8),'Council Entry'!AG144))))-'Council Entry'!AG$5)/('Council Entry'!AG$6-'Council Entry'!AG$5)),1))),"No data"))</f>
        <v/>
      </c>
      <c r="AH144" s="13">
        <f>IF('Council Entry'!AH144="","",IFERROR(MAX(0,MIN(10,ROUND(IF('Council Entry'!AH$7="Decrease Risk",10-10*((IF('Council Entry'!AH$4="Logarithm",LN(0.001+IF(AND(ISNUMBER('Council Entry'!AH$8),ISNUMBER('Council Entry'!AH$9)),MAX(MIN('Council Entry'!AH144,'Council Entry'!AH$9),'Council Entry'!AH$8),'Council Entry'!AH144)),IF('Council Entry'!AH$4="Exponential",EXP(IF(AND(ISNUMBER('Council Entry'!AH$8),ISNUMBER('Council Entry'!AH$9)),MAX(MIN('Council Entry'!AH144,'Council Entry'!AH$9),'Council Entry'!AH$8),'Council Entry'!AH144)),IF(AND(ISNUMBER('Council Entry'!AH$8),ISNUMBER('Council Entry'!AH$9)),MAX(MIN('Council Entry'!AH144,'Council Entry'!AH$9),'Council Entry'!AH$8),'Council Entry'!AH144))))-'Council Entry'!AH$5)/('Council Entry'!AH$6-'Council Entry'!AH$5),10*((IF('Council Entry'!AH$4="Logarithm",LN(0.001+IF(AND(ISNUMBER('Council Entry'!AH$8),ISNUMBER('Council Entry'!AH$9)),MAX(MIN('Council Entry'!AH144,'Council Entry'!AH$9),'Council Entry'!AH$8),'Council Entry'!AH144)),IF('Council Entry'!AH$4="Exponential",EXP(IF(AND(ISNUMBER('Council Entry'!AH$8),ISNUMBER('Council Entry'!AH$9)),MAX(MIN('Council Entry'!AH144,'Council Entry'!AH$9),'Council Entry'!AH$8),'Council Entry'!AH144)),IF(AND(ISNUMBER('Council Entry'!AH$8),ISNUMBER('Council Entry'!AH$9)),MAX(MIN('Council Entry'!AH144,'Council Entry'!AH$9),'Council Entry'!AH$8),'Council Entry'!AH144))))-'Council Entry'!AH$5)/('Council Entry'!AH$6-'Council Entry'!AH$5)),1))),"No data"))</f>
        <v/>
      </c>
      <c r="AI144" s="13">
        <f>IF('Council Entry'!AI144="","",IFERROR(MAX(0,MIN(10,ROUND(IF('Council Entry'!AI$7="Decrease Risk",10-10*((IF('Council Entry'!AI$4="Logarithm",LN(0.001+IF(AND(ISNUMBER('Council Entry'!AI$8),ISNUMBER('Council Entry'!AI$9)),MAX(MIN('Council Entry'!AI144,'Council Entry'!AI$9),'Council Entry'!AI$8),'Council Entry'!AI144)),IF('Council Entry'!AI$4="Exponential",EXP(IF(AND(ISNUMBER('Council Entry'!AI$8),ISNUMBER('Council Entry'!AI$9)),MAX(MIN('Council Entry'!AI144,'Council Entry'!AI$9),'Council Entry'!AI$8),'Council Entry'!AI144)),IF(AND(ISNUMBER('Council Entry'!AI$8),ISNUMBER('Council Entry'!AI$9)),MAX(MIN('Council Entry'!AI144,'Council Entry'!AI$9),'Council Entry'!AI$8),'Council Entry'!AI144))))-'Council Entry'!AI$5)/('Council Entry'!AI$6-'Council Entry'!AI$5),10*((IF('Council Entry'!AI$4="Logarithm",LN(0.001+IF(AND(ISNUMBER('Council Entry'!AI$8),ISNUMBER('Council Entry'!AI$9)),MAX(MIN('Council Entry'!AI144,'Council Entry'!AI$9),'Council Entry'!AI$8),'Council Entry'!AI144)),IF('Council Entry'!AI$4="Exponential",EXP(IF(AND(ISNUMBER('Council Entry'!AI$8),ISNUMBER('Council Entry'!AI$9)),MAX(MIN('Council Entry'!AI144,'Council Entry'!AI$9),'Council Entry'!AI$8),'Council Entry'!AI144)),IF(AND(ISNUMBER('Council Entry'!AI$8),ISNUMBER('Council Entry'!AI$9)),MAX(MIN('Council Entry'!AI144,'Council Entry'!AI$9),'Council Entry'!AI$8),'Council Entry'!AI144))))-'Council Entry'!AI$5)/('Council Entry'!AI$6-'Council Entry'!AI$5)),1))),"No data"))</f>
        <v/>
      </c>
      <c r="AJ144" s="13">
        <f>IF('Council Entry'!AJ144="","",IFERROR(MAX(0,MIN(10,ROUND(IF('Council Entry'!AJ$7="Decrease Risk",10-10*((IF('Council Entry'!AJ$4="Logarithm",LN(0.001+IF(AND(ISNUMBER('Council Entry'!AJ$8),ISNUMBER('Council Entry'!AJ$9)),MAX(MIN('Council Entry'!AJ144,'Council Entry'!AJ$9),'Council Entry'!AJ$8),'Council Entry'!AJ144)),IF('Council Entry'!AJ$4="Exponential",EXP(IF(AND(ISNUMBER('Council Entry'!AJ$8),ISNUMBER('Council Entry'!AJ$9)),MAX(MIN('Council Entry'!AJ144,'Council Entry'!AJ$9),'Council Entry'!AJ$8),'Council Entry'!AJ144)),IF(AND(ISNUMBER('Council Entry'!AJ$8),ISNUMBER('Council Entry'!AJ$9)),MAX(MIN('Council Entry'!AJ144,'Council Entry'!AJ$9),'Council Entry'!AJ$8),'Council Entry'!AJ144))))-'Council Entry'!AJ$5)/('Council Entry'!AJ$6-'Council Entry'!AJ$5),10*((IF('Council Entry'!AJ$4="Logarithm",LN(0.001+IF(AND(ISNUMBER('Council Entry'!AJ$8),ISNUMBER('Council Entry'!AJ$9)),MAX(MIN('Council Entry'!AJ144,'Council Entry'!AJ$9),'Council Entry'!AJ$8),'Council Entry'!AJ144)),IF('Council Entry'!AJ$4="Exponential",EXP(IF(AND(ISNUMBER('Council Entry'!AJ$8),ISNUMBER('Council Entry'!AJ$9)),MAX(MIN('Council Entry'!AJ144,'Council Entry'!AJ$9),'Council Entry'!AJ$8),'Council Entry'!AJ144)),IF(AND(ISNUMBER('Council Entry'!AJ$8),ISNUMBER('Council Entry'!AJ$9)),MAX(MIN('Council Entry'!AJ144,'Council Entry'!AJ$9),'Council Entry'!AJ$8),'Council Entry'!AJ144))))-'Council Entry'!AJ$5)/('Council Entry'!AJ$6-'Council Entry'!AJ$5)),1))),"No data"))</f>
        <v/>
      </c>
      <c r="AK144" s="13">
        <f>IF('Council Entry'!AK144="","",IFERROR(MAX(0,MIN(10,ROUND(IF('Council Entry'!AK$7="Decrease Risk",10-10*((IF('Council Entry'!AK$4="Logarithm",LN(0.001+IF(AND(ISNUMBER('Council Entry'!AK$8),ISNUMBER('Council Entry'!AK$9)),MAX(MIN('Council Entry'!AK144,'Council Entry'!AK$9),'Council Entry'!AK$8),'Council Entry'!AK144)),IF('Council Entry'!AK$4="Exponential",EXP(IF(AND(ISNUMBER('Council Entry'!AK$8),ISNUMBER('Council Entry'!AK$9)),MAX(MIN('Council Entry'!AK144,'Council Entry'!AK$9),'Council Entry'!AK$8),'Council Entry'!AK144)),IF(AND(ISNUMBER('Council Entry'!AK$8),ISNUMBER('Council Entry'!AK$9)),MAX(MIN('Council Entry'!AK144,'Council Entry'!AK$9),'Council Entry'!AK$8),'Council Entry'!AK144))))-'Council Entry'!AK$5)/('Council Entry'!AK$6-'Council Entry'!AK$5),10*((IF('Council Entry'!AK$4="Logarithm",LN(0.001+IF(AND(ISNUMBER('Council Entry'!AK$8),ISNUMBER('Council Entry'!AK$9)),MAX(MIN('Council Entry'!AK144,'Council Entry'!AK$9),'Council Entry'!AK$8),'Council Entry'!AK144)),IF('Council Entry'!AK$4="Exponential",EXP(IF(AND(ISNUMBER('Council Entry'!AK$8),ISNUMBER('Council Entry'!AK$9)),MAX(MIN('Council Entry'!AK144,'Council Entry'!AK$9),'Council Entry'!AK$8),'Council Entry'!AK144)),IF(AND(ISNUMBER('Council Entry'!AK$8),ISNUMBER('Council Entry'!AK$9)),MAX(MIN('Council Entry'!AK144,'Council Entry'!AK$9),'Council Entry'!AK$8),'Council Entry'!AK144))))-'Council Entry'!AK$5)/('Council Entry'!AK$6-'Council Entry'!AK$5)),1))),"No data"))</f>
        <v/>
      </c>
      <c r="AL144" s="13">
        <f>IF('Council Entry'!AL144="","",IFERROR(MAX(0,MIN(10,ROUND(IF('Council Entry'!AL$7="Decrease Risk",10-10*((IF('Council Entry'!AL$4="Logarithm",LN(0.001+IF(AND(ISNUMBER('Council Entry'!AL$8),ISNUMBER('Council Entry'!AL$9)),MAX(MIN('Council Entry'!AL144,'Council Entry'!AL$9),'Council Entry'!AL$8),'Council Entry'!AL144)),IF('Council Entry'!AL$4="Exponential",EXP(IF(AND(ISNUMBER('Council Entry'!AL$8),ISNUMBER('Council Entry'!AL$9)),MAX(MIN('Council Entry'!AL144,'Council Entry'!AL$9),'Council Entry'!AL$8),'Council Entry'!AL144)),IF(AND(ISNUMBER('Council Entry'!AL$8),ISNUMBER('Council Entry'!AL$9)),MAX(MIN('Council Entry'!AL144,'Council Entry'!AL$9),'Council Entry'!AL$8),'Council Entry'!AL144))))-'Council Entry'!AL$5)/('Council Entry'!AL$6-'Council Entry'!AL$5),10*((IF('Council Entry'!AL$4="Logarithm",LN(0.001+IF(AND(ISNUMBER('Council Entry'!AL$8),ISNUMBER('Council Entry'!AL$9)),MAX(MIN('Council Entry'!AL144,'Council Entry'!AL$9),'Council Entry'!AL$8),'Council Entry'!AL144)),IF('Council Entry'!AL$4="Exponential",EXP(IF(AND(ISNUMBER('Council Entry'!AL$8),ISNUMBER('Council Entry'!AL$9)),MAX(MIN('Council Entry'!AL144,'Council Entry'!AL$9),'Council Entry'!AL$8),'Council Entry'!AL144)),IF(AND(ISNUMBER('Council Entry'!AL$8),ISNUMBER('Council Entry'!AL$9)),MAX(MIN('Council Entry'!AL144,'Council Entry'!AL$9),'Council Entry'!AL$8),'Council Entry'!AL144))))-'Council Entry'!AL$5)/('Council Entry'!AL$6-'Council Entry'!AL$5)),1))),"No data"))</f>
        <v/>
      </c>
      <c r="AM144" s="13">
        <f>IF('Council Entry'!AM144="","",IFERROR(MAX(0,MIN(10,ROUND(IF('Council Entry'!AM$7="Decrease Risk",10-10*((IF('Council Entry'!AM$4="Logarithm",LN(0.001+IF(AND(ISNUMBER('Council Entry'!AM$8),ISNUMBER('Council Entry'!AM$9)),MAX(MIN('Council Entry'!AM144,'Council Entry'!AM$9),'Council Entry'!AM$8),'Council Entry'!AM144)),IF('Council Entry'!AM$4="Exponential",EXP(IF(AND(ISNUMBER('Council Entry'!AM$8),ISNUMBER('Council Entry'!AM$9)),MAX(MIN('Council Entry'!AM144,'Council Entry'!AM$9),'Council Entry'!AM$8),'Council Entry'!AM144)),IF(AND(ISNUMBER('Council Entry'!AM$8),ISNUMBER('Council Entry'!AM$9)),MAX(MIN('Council Entry'!AM144,'Council Entry'!AM$9),'Council Entry'!AM$8),'Council Entry'!AM144))))-'Council Entry'!AM$5)/('Council Entry'!AM$6-'Council Entry'!AM$5),10*((IF('Council Entry'!AM$4="Logarithm",LN(0.001+IF(AND(ISNUMBER('Council Entry'!AM$8),ISNUMBER('Council Entry'!AM$9)),MAX(MIN('Council Entry'!AM144,'Council Entry'!AM$9),'Council Entry'!AM$8),'Council Entry'!AM144)),IF('Council Entry'!AM$4="Exponential",EXP(IF(AND(ISNUMBER('Council Entry'!AM$8),ISNUMBER('Council Entry'!AM$9)),MAX(MIN('Council Entry'!AM144,'Council Entry'!AM$9),'Council Entry'!AM$8),'Council Entry'!AM144)),IF(AND(ISNUMBER('Council Entry'!AM$8),ISNUMBER('Council Entry'!AM$9)),MAX(MIN('Council Entry'!AM144,'Council Entry'!AM$9),'Council Entry'!AM$8),'Council Entry'!AM144))))-'Council Entry'!AM$5)/('Council Entry'!AM$6-'Council Entry'!AM$5)),1))),"No data"))</f>
        <v/>
      </c>
      <c r="AN144" s="13">
        <f>IF('Council Entry'!AN144="","",IFERROR(MAX(0,MIN(10,ROUND(IF('Council Entry'!AN$7="Decrease Risk",10-10*((IF('Council Entry'!AN$4="Logarithm",LN(0.001+IF(AND(ISNUMBER('Council Entry'!AN$8),ISNUMBER('Council Entry'!AN$9)),MAX(MIN('Council Entry'!AN144,'Council Entry'!AN$9),'Council Entry'!AN$8),'Council Entry'!AN144)),IF('Council Entry'!AN$4="Exponential",EXP(IF(AND(ISNUMBER('Council Entry'!AN$8),ISNUMBER('Council Entry'!AN$9)),MAX(MIN('Council Entry'!AN144,'Council Entry'!AN$9),'Council Entry'!AN$8),'Council Entry'!AN144)),IF(AND(ISNUMBER('Council Entry'!AN$8),ISNUMBER('Council Entry'!AN$9)),MAX(MIN('Council Entry'!AN144,'Council Entry'!AN$9),'Council Entry'!AN$8),'Council Entry'!AN144))))-'Council Entry'!AN$5)/('Council Entry'!AN$6-'Council Entry'!AN$5),10*((IF('Council Entry'!AN$4="Logarithm",LN(0.001+IF(AND(ISNUMBER('Council Entry'!AN$8),ISNUMBER('Council Entry'!AN$9)),MAX(MIN('Council Entry'!AN144,'Council Entry'!AN$9),'Council Entry'!AN$8),'Council Entry'!AN144)),IF('Council Entry'!AN$4="Exponential",EXP(IF(AND(ISNUMBER('Council Entry'!AN$8),ISNUMBER('Council Entry'!AN$9)),MAX(MIN('Council Entry'!AN144,'Council Entry'!AN$9),'Council Entry'!AN$8),'Council Entry'!AN144)),IF(AND(ISNUMBER('Council Entry'!AN$8),ISNUMBER('Council Entry'!AN$9)),MAX(MIN('Council Entry'!AN144,'Council Entry'!AN$9),'Council Entry'!AN$8),'Council Entry'!AN144))))-'Council Entry'!AN$5)/('Council Entry'!AN$6-'Council Entry'!AN$5)),1))),"No data"))</f>
        <v/>
      </c>
      <c r="AO144" s="13">
        <f>IF('Council Entry'!AO144="","",IFERROR(MAX(0,MIN(10,ROUND(IF('Council Entry'!AO$7="Decrease Risk",10-10*((IF('Council Entry'!AO$4="Logarithm",LN(0.001+IF(AND(ISNUMBER('Council Entry'!AO$8),ISNUMBER('Council Entry'!AO$9)),MAX(MIN('Council Entry'!AO144,'Council Entry'!AO$9),'Council Entry'!AO$8),'Council Entry'!AO144)),IF('Council Entry'!AO$4="Exponential",EXP(IF(AND(ISNUMBER('Council Entry'!AO$8),ISNUMBER('Council Entry'!AO$9)),MAX(MIN('Council Entry'!AO144,'Council Entry'!AO$9),'Council Entry'!AO$8),'Council Entry'!AO144)),IF(AND(ISNUMBER('Council Entry'!AO$8),ISNUMBER('Council Entry'!AO$9)),MAX(MIN('Council Entry'!AO144,'Council Entry'!AO$9),'Council Entry'!AO$8),'Council Entry'!AO144))))-'Council Entry'!AO$5)/('Council Entry'!AO$6-'Council Entry'!AO$5),10*((IF('Council Entry'!AO$4="Logarithm",LN(0.001+IF(AND(ISNUMBER('Council Entry'!AO$8),ISNUMBER('Council Entry'!AO$9)),MAX(MIN('Council Entry'!AO144,'Council Entry'!AO$9),'Council Entry'!AO$8),'Council Entry'!AO144)),IF('Council Entry'!AO$4="Exponential",EXP(IF(AND(ISNUMBER('Council Entry'!AO$8),ISNUMBER('Council Entry'!AO$9)),MAX(MIN('Council Entry'!AO144,'Council Entry'!AO$9),'Council Entry'!AO$8),'Council Entry'!AO144)),IF(AND(ISNUMBER('Council Entry'!AO$8),ISNUMBER('Council Entry'!AO$9)),MAX(MIN('Council Entry'!AO144,'Council Entry'!AO$9),'Council Entry'!AO$8),'Council Entry'!AO144))))-'Council Entry'!AO$5)/('Council Entry'!AO$6-'Council Entry'!AO$5)),1))),"No data"))</f>
        <v/>
      </c>
      <c r="AP144" s="13">
        <f>IF('Council Entry'!AP144="","",IFERROR(MAX(0,MIN(10,ROUND(IF('Council Entry'!AP$7="Decrease Risk",10-10*((IF('Council Entry'!AP$4="Logarithm",LN(0.001+IF(AND(ISNUMBER('Council Entry'!AP$8),ISNUMBER('Council Entry'!AP$9)),MAX(MIN('Council Entry'!AP144,'Council Entry'!AP$9),'Council Entry'!AP$8),'Council Entry'!AP144)),IF('Council Entry'!AP$4="Exponential",EXP(IF(AND(ISNUMBER('Council Entry'!AP$8),ISNUMBER('Council Entry'!AP$9)),MAX(MIN('Council Entry'!AP144,'Council Entry'!AP$9),'Council Entry'!AP$8),'Council Entry'!AP144)),IF(AND(ISNUMBER('Council Entry'!AP$8),ISNUMBER('Council Entry'!AP$9)),MAX(MIN('Council Entry'!AP144,'Council Entry'!AP$9),'Council Entry'!AP$8),'Council Entry'!AP144))))-'Council Entry'!AP$5)/('Council Entry'!AP$6-'Council Entry'!AP$5),10*((IF('Council Entry'!AP$4="Logarithm",LN(0.001+IF(AND(ISNUMBER('Council Entry'!AP$8),ISNUMBER('Council Entry'!AP$9)),MAX(MIN('Council Entry'!AP144,'Council Entry'!AP$9),'Council Entry'!AP$8),'Council Entry'!AP144)),IF('Council Entry'!AP$4="Exponential",EXP(IF(AND(ISNUMBER('Council Entry'!AP$8),ISNUMBER('Council Entry'!AP$9)),MAX(MIN('Council Entry'!AP144,'Council Entry'!AP$9),'Council Entry'!AP$8),'Council Entry'!AP144)),IF(AND(ISNUMBER('Council Entry'!AP$8),ISNUMBER('Council Entry'!AP$9)),MAX(MIN('Council Entry'!AP144,'Council Entry'!AP$9),'Council Entry'!AP$8),'Council Entry'!AP144))))-'Council Entry'!AP$5)/('Council Entry'!AP$6-'Council Entry'!AP$5)),1))),"No data"))</f>
        <v/>
      </c>
      <c r="AQ144" s="13">
        <f>IF('Council Entry'!AQ144="","",IFERROR(MAX(0,MIN(10,ROUND(IF('Council Entry'!AQ$7="Decrease Risk",10-10*((IF('Council Entry'!AQ$4="Logarithm",LN(0.001+IF(AND(ISNUMBER('Council Entry'!AQ$8),ISNUMBER('Council Entry'!AQ$9)),MAX(MIN('Council Entry'!AQ144,'Council Entry'!AQ$9),'Council Entry'!AQ$8),'Council Entry'!AQ144)),IF('Council Entry'!AQ$4="Exponential",EXP(IF(AND(ISNUMBER('Council Entry'!AQ$8),ISNUMBER('Council Entry'!AQ$9)),MAX(MIN('Council Entry'!AQ144,'Council Entry'!AQ$9),'Council Entry'!AQ$8),'Council Entry'!AQ144)),IF(AND(ISNUMBER('Council Entry'!AQ$8),ISNUMBER('Council Entry'!AQ$9)),MAX(MIN('Council Entry'!AQ144,'Council Entry'!AQ$9),'Council Entry'!AQ$8),'Council Entry'!AQ144))))-'Council Entry'!AQ$5)/('Council Entry'!AQ$6-'Council Entry'!AQ$5),10*((IF('Council Entry'!AQ$4="Logarithm",LN(0.001+IF(AND(ISNUMBER('Council Entry'!AQ$8),ISNUMBER('Council Entry'!AQ$9)),MAX(MIN('Council Entry'!AQ144,'Council Entry'!AQ$9),'Council Entry'!AQ$8),'Council Entry'!AQ144)),IF('Council Entry'!AQ$4="Exponential",EXP(IF(AND(ISNUMBER('Council Entry'!AQ$8),ISNUMBER('Council Entry'!AQ$9)),MAX(MIN('Council Entry'!AQ144,'Council Entry'!AQ$9),'Council Entry'!AQ$8),'Council Entry'!AQ144)),IF(AND(ISNUMBER('Council Entry'!AQ$8),ISNUMBER('Council Entry'!AQ$9)),MAX(MIN('Council Entry'!AQ144,'Council Entry'!AQ$9),'Council Entry'!AQ$8),'Council Entry'!AQ144))))-'Council Entry'!AQ$5)/('Council Entry'!AQ$6-'Council Entry'!AQ$5)),1))),"No data"))</f>
        <v/>
      </c>
      <c r="AR144" s="13">
        <f>IF('Council Entry'!AR144="","",IFERROR(MAX(0,MIN(10,ROUND(IF('Council Entry'!AR$7="Decrease Risk",10-10*((IF('Council Entry'!AR$4="Logarithm",LN(0.001+IF(AND(ISNUMBER('Council Entry'!AR$8),ISNUMBER('Council Entry'!AR$9)),MAX(MIN('Council Entry'!AR144,'Council Entry'!AR$9),'Council Entry'!AR$8),'Council Entry'!AR144)),IF('Council Entry'!AR$4="Exponential",EXP(IF(AND(ISNUMBER('Council Entry'!AR$8),ISNUMBER('Council Entry'!AR$9)),MAX(MIN('Council Entry'!AR144,'Council Entry'!AR$9),'Council Entry'!AR$8),'Council Entry'!AR144)),IF(AND(ISNUMBER('Council Entry'!AR$8),ISNUMBER('Council Entry'!AR$9)),MAX(MIN('Council Entry'!AR144,'Council Entry'!AR$9),'Council Entry'!AR$8),'Council Entry'!AR144))))-'Council Entry'!AR$5)/('Council Entry'!AR$6-'Council Entry'!AR$5),10*((IF('Council Entry'!AR$4="Logarithm",LN(0.001+IF(AND(ISNUMBER('Council Entry'!AR$8),ISNUMBER('Council Entry'!AR$9)),MAX(MIN('Council Entry'!AR144,'Council Entry'!AR$9),'Council Entry'!AR$8),'Council Entry'!AR144)),IF('Council Entry'!AR$4="Exponential",EXP(IF(AND(ISNUMBER('Council Entry'!AR$8),ISNUMBER('Council Entry'!AR$9)),MAX(MIN('Council Entry'!AR144,'Council Entry'!AR$9),'Council Entry'!AR$8),'Council Entry'!AR144)),IF(AND(ISNUMBER('Council Entry'!AR$8),ISNUMBER('Council Entry'!AR$9)),MAX(MIN('Council Entry'!AR144,'Council Entry'!AR$9),'Council Entry'!AR$8),'Council Entry'!AR144))))-'Council Entry'!AR$5)/('Council Entry'!AR$6-'Council Entry'!AR$5)),1))),"No data"))</f>
        <v/>
      </c>
      <c r="AS144" s="13">
        <f>IF('Council Entry'!AS144="","",IFERROR(MAX(0,MIN(10,ROUND(IF('Council Entry'!AS$7="Decrease Risk",10-10*((IF('Council Entry'!AS$4="Logarithm",LN(0.001+IF(AND(ISNUMBER('Council Entry'!AS$8),ISNUMBER('Council Entry'!AS$9)),MAX(MIN('Council Entry'!AS144,'Council Entry'!AS$9),'Council Entry'!AS$8),'Council Entry'!AS144)),IF('Council Entry'!AS$4="Exponential",EXP(IF(AND(ISNUMBER('Council Entry'!AS$8),ISNUMBER('Council Entry'!AS$9)),MAX(MIN('Council Entry'!AS144,'Council Entry'!AS$9),'Council Entry'!AS$8),'Council Entry'!AS144)),IF(AND(ISNUMBER('Council Entry'!AS$8),ISNUMBER('Council Entry'!AS$9)),MAX(MIN('Council Entry'!AS144,'Council Entry'!AS$9),'Council Entry'!AS$8),'Council Entry'!AS144))))-'Council Entry'!AS$5)/('Council Entry'!AS$6-'Council Entry'!AS$5),10*((IF('Council Entry'!AS$4="Logarithm",LN(0.001+IF(AND(ISNUMBER('Council Entry'!AS$8),ISNUMBER('Council Entry'!AS$9)),MAX(MIN('Council Entry'!AS144,'Council Entry'!AS$9),'Council Entry'!AS$8),'Council Entry'!AS144)),IF('Council Entry'!AS$4="Exponential",EXP(IF(AND(ISNUMBER('Council Entry'!AS$8),ISNUMBER('Council Entry'!AS$9)),MAX(MIN('Council Entry'!AS144,'Council Entry'!AS$9),'Council Entry'!AS$8),'Council Entry'!AS144)),IF(AND(ISNUMBER('Council Entry'!AS$8),ISNUMBER('Council Entry'!AS$9)),MAX(MIN('Council Entry'!AS144,'Council Entry'!AS$9),'Council Entry'!AS$8),'Council Entry'!AS144))))-'Council Entry'!AS$5)/('Council Entry'!AS$6-'Council Entry'!AS$5)),1))),"No data"))</f>
        <v/>
      </c>
      <c r="AT144" s="13">
        <f>IF('Council Entry'!AT144="","",IFERROR(MAX(0,MIN(10,ROUND(IF('Council Entry'!AT$7="Decrease Risk",10-10*((IF('Council Entry'!AT$4="Logarithm",LN(0.001+IF(AND(ISNUMBER('Council Entry'!AT$8),ISNUMBER('Council Entry'!AT$9)),MAX(MIN('Council Entry'!AT144,'Council Entry'!AT$9),'Council Entry'!AT$8),'Council Entry'!AT144)),IF('Council Entry'!AT$4="Exponential",EXP(IF(AND(ISNUMBER('Council Entry'!AT$8),ISNUMBER('Council Entry'!AT$9)),MAX(MIN('Council Entry'!AT144,'Council Entry'!AT$9),'Council Entry'!AT$8),'Council Entry'!AT144)),IF(AND(ISNUMBER('Council Entry'!AT$8),ISNUMBER('Council Entry'!AT$9)),MAX(MIN('Council Entry'!AT144,'Council Entry'!AT$9),'Council Entry'!AT$8),'Council Entry'!AT144))))-'Council Entry'!AT$5)/('Council Entry'!AT$6-'Council Entry'!AT$5),10*((IF('Council Entry'!AT$4="Logarithm",LN(0.001+IF(AND(ISNUMBER('Council Entry'!AT$8),ISNUMBER('Council Entry'!AT$9)),MAX(MIN('Council Entry'!AT144,'Council Entry'!AT$9),'Council Entry'!AT$8),'Council Entry'!AT144)),IF('Council Entry'!AT$4="Exponential",EXP(IF(AND(ISNUMBER('Council Entry'!AT$8),ISNUMBER('Council Entry'!AT$9)),MAX(MIN('Council Entry'!AT144,'Council Entry'!AT$9),'Council Entry'!AT$8),'Council Entry'!AT144)),IF(AND(ISNUMBER('Council Entry'!AT$8),ISNUMBER('Council Entry'!AT$9)),MAX(MIN('Council Entry'!AT144,'Council Entry'!AT$9),'Council Entry'!AT$8),'Council Entry'!AT144))))-'Council Entry'!AT$5)/('Council Entry'!AT$6-'Council Entry'!AT$5)),1))),"No data"))</f>
        <v/>
      </c>
      <c r="AU144" s="13">
        <f>IF('Council Entry'!AU144="","",IFERROR(MAX(0,MIN(10,ROUND(IF('Council Entry'!AU$7="Decrease Risk",10-10*((IF('Council Entry'!AU$4="Logarithm",LN(0.001+IF(AND(ISNUMBER('Council Entry'!AU$8),ISNUMBER('Council Entry'!AU$9)),MAX(MIN('Council Entry'!AU144,'Council Entry'!AU$9),'Council Entry'!AU$8),'Council Entry'!AU144)),IF('Council Entry'!AU$4="Exponential",EXP(IF(AND(ISNUMBER('Council Entry'!AU$8),ISNUMBER('Council Entry'!AU$9)),MAX(MIN('Council Entry'!AU144,'Council Entry'!AU$9),'Council Entry'!AU$8),'Council Entry'!AU144)),IF(AND(ISNUMBER('Council Entry'!AU$8),ISNUMBER('Council Entry'!AU$9)),MAX(MIN('Council Entry'!AU144,'Council Entry'!AU$9),'Council Entry'!AU$8),'Council Entry'!AU144))))-'Council Entry'!AU$5)/('Council Entry'!AU$6-'Council Entry'!AU$5),10*((IF('Council Entry'!AU$4="Logarithm",LN(0.001+IF(AND(ISNUMBER('Council Entry'!AU$8),ISNUMBER('Council Entry'!AU$9)),MAX(MIN('Council Entry'!AU144,'Council Entry'!AU$9),'Council Entry'!AU$8),'Council Entry'!AU144)),IF('Council Entry'!AU$4="Exponential",EXP(IF(AND(ISNUMBER('Council Entry'!AU$8),ISNUMBER('Council Entry'!AU$9)),MAX(MIN('Council Entry'!AU144,'Council Entry'!AU$9),'Council Entry'!AU$8),'Council Entry'!AU144)),IF(AND(ISNUMBER('Council Entry'!AU$8),ISNUMBER('Council Entry'!AU$9)),MAX(MIN('Council Entry'!AU144,'Council Entry'!AU$9),'Council Entry'!AU$8),'Council Entry'!AU144))))-'Council Entry'!AU$5)/('Council Entry'!AU$6-'Council Entry'!AU$5)),1))),"No data"))</f>
        <v/>
      </c>
      <c r="AV144" s="13">
        <f>IF('Council Entry'!AV144="","",IFERROR(MAX(0,MIN(10,ROUND(IF('Council Entry'!AV$7="Decrease Risk",10-10*((IF('Council Entry'!AV$4="Logarithm",LN(0.001+IF(AND(ISNUMBER('Council Entry'!AV$8),ISNUMBER('Council Entry'!AV$9)),MAX(MIN('Council Entry'!AV144,'Council Entry'!AV$9),'Council Entry'!AV$8),'Council Entry'!AV144)),IF('Council Entry'!AV$4="Exponential",EXP(IF(AND(ISNUMBER('Council Entry'!AV$8),ISNUMBER('Council Entry'!AV$9)),MAX(MIN('Council Entry'!AV144,'Council Entry'!AV$9),'Council Entry'!AV$8),'Council Entry'!AV144)),IF(AND(ISNUMBER('Council Entry'!AV$8),ISNUMBER('Council Entry'!AV$9)),MAX(MIN('Council Entry'!AV144,'Council Entry'!AV$9),'Council Entry'!AV$8),'Council Entry'!AV144))))-'Council Entry'!AV$5)/('Council Entry'!AV$6-'Council Entry'!AV$5),10*((IF('Council Entry'!AV$4="Logarithm",LN(0.001+IF(AND(ISNUMBER('Council Entry'!AV$8),ISNUMBER('Council Entry'!AV$9)),MAX(MIN('Council Entry'!AV144,'Council Entry'!AV$9),'Council Entry'!AV$8),'Council Entry'!AV144)),IF('Council Entry'!AV$4="Exponential",EXP(IF(AND(ISNUMBER('Council Entry'!AV$8),ISNUMBER('Council Entry'!AV$9)),MAX(MIN('Council Entry'!AV144,'Council Entry'!AV$9),'Council Entry'!AV$8),'Council Entry'!AV144)),IF(AND(ISNUMBER('Council Entry'!AV$8),ISNUMBER('Council Entry'!AV$9)),MAX(MIN('Council Entry'!AV144,'Council Entry'!AV$9),'Council Entry'!AV$8),'Council Entry'!AV144))))-'Council Entry'!AV$5)/('Council Entry'!AV$6-'Council Entry'!AV$5)),1))),"No data"))</f>
        <v/>
      </c>
      <c r="AW144" s="13">
        <f>IF('Council Entry'!AW144="","",IFERROR(MAX(0,MIN(10,ROUND(IF('Council Entry'!AW$7="Decrease Risk",10-10*((IF('Council Entry'!AW$4="Logarithm",LN(0.001+IF(AND(ISNUMBER('Council Entry'!AW$8),ISNUMBER('Council Entry'!AW$9)),MAX(MIN('Council Entry'!AW144,'Council Entry'!AW$9),'Council Entry'!AW$8),'Council Entry'!AW144)),IF('Council Entry'!AW$4="Exponential",EXP(IF(AND(ISNUMBER('Council Entry'!AW$8),ISNUMBER('Council Entry'!AW$9)),MAX(MIN('Council Entry'!AW144,'Council Entry'!AW$9),'Council Entry'!AW$8),'Council Entry'!AW144)),IF(AND(ISNUMBER('Council Entry'!AW$8),ISNUMBER('Council Entry'!AW$9)),MAX(MIN('Council Entry'!AW144,'Council Entry'!AW$9),'Council Entry'!AW$8),'Council Entry'!AW144))))-'Council Entry'!AW$5)/('Council Entry'!AW$6-'Council Entry'!AW$5),10*((IF('Council Entry'!AW$4="Logarithm",LN(0.001+IF(AND(ISNUMBER('Council Entry'!AW$8),ISNUMBER('Council Entry'!AW$9)),MAX(MIN('Council Entry'!AW144,'Council Entry'!AW$9),'Council Entry'!AW$8),'Council Entry'!AW144)),IF('Council Entry'!AW$4="Exponential",EXP(IF(AND(ISNUMBER('Council Entry'!AW$8),ISNUMBER('Council Entry'!AW$9)),MAX(MIN('Council Entry'!AW144,'Council Entry'!AW$9),'Council Entry'!AW$8),'Council Entry'!AW144)),IF(AND(ISNUMBER('Council Entry'!AW$8),ISNUMBER('Council Entry'!AW$9)),MAX(MIN('Council Entry'!AW144,'Council Entry'!AW$9),'Council Entry'!AW$8),'Council Entry'!AW144))))-'Council Entry'!AW$5)/('Council Entry'!AW$6-'Council Entry'!AW$5)),1))),"No data"))</f>
        <v/>
      </c>
      <c r="AX144" s="13">
        <f>IF('Council Entry'!AX144="","",IFERROR(MAX(0,MIN(10,ROUND(IF('Council Entry'!AX$7="Decrease Risk",10-10*((IF('Council Entry'!AX$4="Logarithm",LN(0.001+IF(AND(ISNUMBER('Council Entry'!AX$8),ISNUMBER('Council Entry'!AX$9)),MAX(MIN('Council Entry'!AX144,'Council Entry'!AX$9),'Council Entry'!AX$8),'Council Entry'!AX144)),IF('Council Entry'!AX$4="Exponential",EXP(IF(AND(ISNUMBER('Council Entry'!AX$8),ISNUMBER('Council Entry'!AX$9)),MAX(MIN('Council Entry'!AX144,'Council Entry'!AX$9),'Council Entry'!AX$8),'Council Entry'!AX144)),IF(AND(ISNUMBER('Council Entry'!AX$8),ISNUMBER('Council Entry'!AX$9)),MAX(MIN('Council Entry'!AX144,'Council Entry'!AX$9),'Council Entry'!AX$8),'Council Entry'!AX144))))-'Council Entry'!AX$5)/('Council Entry'!AX$6-'Council Entry'!AX$5),10*((IF('Council Entry'!AX$4="Logarithm",LN(0.001+IF(AND(ISNUMBER('Council Entry'!AX$8),ISNUMBER('Council Entry'!AX$9)),MAX(MIN('Council Entry'!AX144,'Council Entry'!AX$9),'Council Entry'!AX$8),'Council Entry'!AX144)),IF('Council Entry'!AX$4="Exponential",EXP(IF(AND(ISNUMBER('Council Entry'!AX$8),ISNUMBER('Council Entry'!AX$9)),MAX(MIN('Council Entry'!AX144,'Council Entry'!AX$9),'Council Entry'!AX$8),'Council Entry'!AX144)),IF(AND(ISNUMBER('Council Entry'!AX$8),ISNUMBER('Council Entry'!AX$9)),MAX(MIN('Council Entry'!AX144,'Council Entry'!AX$9),'Council Entry'!AX$8),'Council Entry'!AX144))))-'Council Entry'!AX$5)/('Council Entry'!AX$6-'Council Entry'!AX$5)),1))),"No data"))</f>
        <v/>
      </c>
      <c r="AY144" s="13">
        <f>IF('Council Entry'!AY144="","",IFERROR(MAX(0,MIN(10,ROUND(IF('Council Entry'!AY$7="Decrease Risk",10-10*((IF('Council Entry'!AY$4="Logarithm",LN(0.001+IF(AND(ISNUMBER('Council Entry'!AY$8),ISNUMBER('Council Entry'!AY$9)),MAX(MIN('Council Entry'!AY144,'Council Entry'!AY$9),'Council Entry'!AY$8),'Council Entry'!AY144)),IF('Council Entry'!AY$4="Exponential",EXP(IF(AND(ISNUMBER('Council Entry'!AY$8),ISNUMBER('Council Entry'!AY$9)),MAX(MIN('Council Entry'!AY144,'Council Entry'!AY$9),'Council Entry'!AY$8),'Council Entry'!AY144)),IF(AND(ISNUMBER('Council Entry'!AY$8),ISNUMBER('Council Entry'!AY$9)),MAX(MIN('Council Entry'!AY144,'Council Entry'!AY$9),'Council Entry'!AY$8),'Council Entry'!AY144))))-'Council Entry'!AY$5)/('Council Entry'!AY$6-'Council Entry'!AY$5),10*((IF('Council Entry'!AY$4="Logarithm",LN(0.001+IF(AND(ISNUMBER('Council Entry'!AY$8),ISNUMBER('Council Entry'!AY$9)),MAX(MIN('Council Entry'!AY144,'Council Entry'!AY$9),'Council Entry'!AY$8),'Council Entry'!AY144)),IF('Council Entry'!AY$4="Exponential",EXP(IF(AND(ISNUMBER('Council Entry'!AY$8),ISNUMBER('Council Entry'!AY$9)),MAX(MIN('Council Entry'!AY144,'Council Entry'!AY$9),'Council Entry'!AY$8),'Council Entry'!AY144)),IF(AND(ISNUMBER('Council Entry'!AY$8),ISNUMBER('Council Entry'!AY$9)),MAX(MIN('Council Entry'!AY144,'Council Entry'!AY$9),'Council Entry'!AY$8),'Council Entry'!AY144))))-'Council Entry'!AY$5)/('Council Entry'!AY$6-'Council Entry'!AY$5)),1))),"No data"))</f>
        <v/>
      </c>
      <c r="AZ144" s="13">
        <f>IF('Council Entry'!AZ144="","",IFERROR(MAX(0,MIN(10,ROUND(IF('Council Entry'!AZ$7="Decrease Risk",10-10*((IF('Council Entry'!AZ$4="Logarithm",LN(0.001+IF(AND(ISNUMBER('Council Entry'!AZ$8),ISNUMBER('Council Entry'!AZ$9)),MAX(MIN('Council Entry'!AZ144,'Council Entry'!AZ$9),'Council Entry'!AZ$8),'Council Entry'!AZ144)),IF('Council Entry'!AZ$4="Exponential",EXP(IF(AND(ISNUMBER('Council Entry'!AZ$8),ISNUMBER('Council Entry'!AZ$9)),MAX(MIN('Council Entry'!AZ144,'Council Entry'!AZ$9),'Council Entry'!AZ$8),'Council Entry'!AZ144)),IF(AND(ISNUMBER('Council Entry'!AZ$8),ISNUMBER('Council Entry'!AZ$9)),MAX(MIN('Council Entry'!AZ144,'Council Entry'!AZ$9),'Council Entry'!AZ$8),'Council Entry'!AZ144))))-'Council Entry'!AZ$5)/('Council Entry'!AZ$6-'Council Entry'!AZ$5),10*((IF('Council Entry'!AZ$4="Logarithm",LN(0.001+IF(AND(ISNUMBER('Council Entry'!AZ$8),ISNUMBER('Council Entry'!AZ$9)),MAX(MIN('Council Entry'!AZ144,'Council Entry'!AZ$9),'Council Entry'!AZ$8),'Council Entry'!AZ144)),IF('Council Entry'!AZ$4="Exponential",EXP(IF(AND(ISNUMBER('Council Entry'!AZ$8),ISNUMBER('Council Entry'!AZ$9)),MAX(MIN('Council Entry'!AZ144,'Council Entry'!AZ$9),'Council Entry'!AZ$8),'Council Entry'!AZ144)),IF(AND(ISNUMBER('Council Entry'!AZ$8),ISNUMBER('Council Entry'!AZ$9)),MAX(MIN('Council Entry'!AZ144,'Council Entry'!AZ$9),'Council Entry'!AZ$8),'Council Entry'!AZ144))))-'Council Entry'!AZ$5)/('Council Entry'!AZ$6-'Council Entry'!AZ$5)),1))),"No data"))</f>
        <v/>
      </c>
      <c r="BA144" s="13">
        <f>IF('Council Entry'!BA144="","",IFERROR(MAX(0,MIN(10,ROUND(IF('Council Entry'!BA$7="Decrease Risk",10-10*((IF('Council Entry'!BA$4="Logarithm",LN(0.001+IF(AND(ISNUMBER('Council Entry'!BA$8),ISNUMBER('Council Entry'!BA$9)),MAX(MIN('Council Entry'!BA144,'Council Entry'!BA$9),'Council Entry'!BA$8),'Council Entry'!BA144)),IF('Council Entry'!BA$4="Exponential",EXP(IF(AND(ISNUMBER('Council Entry'!BA$8),ISNUMBER('Council Entry'!BA$9)),MAX(MIN('Council Entry'!BA144,'Council Entry'!BA$9),'Council Entry'!BA$8),'Council Entry'!BA144)),IF(AND(ISNUMBER('Council Entry'!BA$8),ISNUMBER('Council Entry'!BA$9)),MAX(MIN('Council Entry'!BA144,'Council Entry'!BA$9),'Council Entry'!BA$8),'Council Entry'!BA144))))-'Council Entry'!BA$5)/('Council Entry'!BA$6-'Council Entry'!BA$5),10*((IF('Council Entry'!BA$4="Logarithm",LN(0.001+IF(AND(ISNUMBER('Council Entry'!BA$8),ISNUMBER('Council Entry'!BA$9)),MAX(MIN('Council Entry'!BA144,'Council Entry'!BA$9),'Council Entry'!BA$8),'Council Entry'!BA144)),IF('Council Entry'!BA$4="Exponential",EXP(IF(AND(ISNUMBER('Council Entry'!BA$8),ISNUMBER('Council Entry'!BA$9)),MAX(MIN('Council Entry'!BA144,'Council Entry'!BA$9),'Council Entry'!BA$8),'Council Entry'!BA144)),IF(AND(ISNUMBER('Council Entry'!BA$8),ISNUMBER('Council Entry'!BA$9)),MAX(MIN('Council Entry'!BA144,'Council Entry'!BA$9),'Council Entry'!BA$8),'Council Entry'!BA144))))-'Council Entry'!BA$5)/('Council Entry'!BA$6-'Council Entry'!BA$5)),1))),"No data"))</f>
        <v/>
      </c>
      <c r="BB144" s="13">
        <f>IF('Council Entry'!BB144="","",IFERROR(MAX(0,MIN(10,ROUND(IF('Council Entry'!BB$7="Decrease Risk",10-10*((IF('Council Entry'!BB$4="Logarithm",LN(0.001+IF(AND(ISNUMBER('Council Entry'!BB$8),ISNUMBER('Council Entry'!BB$9)),MAX(MIN('Council Entry'!BB144,'Council Entry'!BB$9),'Council Entry'!BB$8),'Council Entry'!BB144)),IF('Council Entry'!BB$4="Exponential",EXP(IF(AND(ISNUMBER('Council Entry'!BB$8),ISNUMBER('Council Entry'!BB$9)),MAX(MIN('Council Entry'!BB144,'Council Entry'!BB$9),'Council Entry'!BB$8),'Council Entry'!BB144)),IF(AND(ISNUMBER('Council Entry'!BB$8),ISNUMBER('Council Entry'!BB$9)),MAX(MIN('Council Entry'!BB144,'Council Entry'!BB$9),'Council Entry'!BB$8),'Council Entry'!BB144))))-'Council Entry'!BB$5)/('Council Entry'!BB$6-'Council Entry'!BB$5),10*((IF('Council Entry'!BB$4="Logarithm",LN(0.001+IF(AND(ISNUMBER('Council Entry'!BB$8),ISNUMBER('Council Entry'!BB$9)),MAX(MIN('Council Entry'!BB144,'Council Entry'!BB$9),'Council Entry'!BB$8),'Council Entry'!BB144)),IF('Council Entry'!BB$4="Exponential",EXP(IF(AND(ISNUMBER('Council Entry'!BB$8),ISNUMBER('Council Entry'!BB$9)),MAX(MIN('Council Entry'!BB144,'Council Entry'!BB$9),'Council Entry'!BB$8),'Council Entry'!BB144)),IF(AND(ISNUMBER('Council Entry'!BB$8),ISNUMBER('Council Entry'!BB$9)),MAX(MIN('Council Entry'!BB144,'Council Entry'!BB$9),'Council Entry'!BB$8),'Council Entry'!BB144))))-'Council Entry'!BB$5)/('Council Entry'!BB$6-'Council Entry'!BB$5)),1))),"No data"))</f>
        <v/>
      </c>
      <c r="BC144" s="13">
        <f>IF('Council Entry'!BC144="","",IFERROR(MAX(0,MIN(10,ROUND(IF('Council Entry'!BC$7="Decrease Risk",10-10*((IF('Council Entry'!BC$4="Logarithm",LN(0.001+IF(AND(ISNUMBER('Council Entry'!BC$8),ISNUMBER('Council Entry'!BC$9)),MAX(MIN('Council Entry'!BC144,'Council Entry'!BC$9),'Council Entry'!BC$8),'Council Entry'!BC144)),IF('Council Entry'!BC$4="Exponential",EXP(IF(AND(ISNUMBER('Council Entry'!BC$8),ISNUMBER('Council Entry'!BC$9)),MAX(MIN('Council Entry'!BC144,'Council Entry'!BC$9),'Council Entry'!BC$8),'Council Entry'!BC144)),IF(AND(ISNUMBER('Council Entry'!BC$8),ISNUMBER('Council Entry'!BC$9)),MAX(MIN('Council Entry'!BC144,'Council Entry'!BC$9),'Council Entry'!BC$8),'Council Entry'!BC144))))-'Council Entry'!BC$5)/('Council Entry'!BC$6-'Council Entry'!BC$5),10*((IF('Council Entry'!BC$4="Logarithm",LN(0.001+IF(AND(ISNUMBER('Council Entry'!BC$8),ISNUMBER('Council Entry'!BC$9)),MAX(MIN('Council Entry'!BC144,'Council Entry'!BC$9),'Council Entry'!BC$8),'Council Entry'!BC144)),IF('Council Entry'!BC$4="Exponential",EXP(IF(AND(ISNUMBER('Council Entry'!BC$8),ISNUMBER('Council Entry'!BC$9)),MAX(MIN('Council Entry'!BC144,'Council Entry'!BC$9),'Council Entry'!BC$8),'Council Entry'!BC144)),IF(AND(ISNUMBER('Council Entry'!BC$8),ISNUMBER('Council Entry'!BC$9)),MAX(MIN('Council Entry'!BC144,'Council Entry'!BC$9),'Council Entry'!BC$8),'Council Entry'!BC144))))-'Council Entry'!BC$5)/('Council Entry'!BC$6-'Council Entry'!BC$5)),1))),"No data"))</f>
        <v/>
      </c>
      <c r="BD144" s="13">
        <f>IF('Council Entry'!BD144="","",IFERROR(MAX(0,MIN(10,ROUND(IF('Council Entry'!BD$7="Decrease Risk",10-10*((IF('Council Entry'!BD$4="Logarithm",LN(0.001+IF(AND(ISNUMBER('Council Entry'!BD$8),ISNUMBER('Council Entry'!BD$9)),MAX(MIN('Council Entry'!BD144,'Council Entry'!BD$9),'Council Entry'!BD$8),'Council Entry'!BD144)),IF('Council Entry'!BD$4="Exponential",EXP(IF(AND(ISNUMBER('Council Entry'!BD$8),ISNUMBER('Council Entry'!BD$9)),MAX(MIN('Council Entry'!BD144,'Council Entry'!BD$9),'Council Entry'!BD$8),'Council Entry'!BD144)),IF(AND(ISNUMBER('Council Entry'!BD$8),ISNUMBER('Council Entry'!BD$9)),MAX(MIN('Council Entry'!BD144,'Council Entry'!BD$9),'Council Entry'!BD$8),'Council Entry'!BD144))))-'Council Entry'!BD$5)/('Council Entry'!BD$6-'Council Entry'!BD$5),10*((IF('Council Entry'!BD$4="Logarithm",LN(0.001+IF(AND(ISNUMBER('Council Entry'!BD$8),ISNUMBER('Council Entry'!BD$9)),MAX(MIN('Council Entry'!BD144,'Council Entry'!BD$9),'Council Entry'!BD$8),'Council Entry'!BD144)),IF('Council Entry'!BD$4="Exponential",EXP(IF(AND(ISNUMBER('Council Entry'!BD$8),ISNUMBER('Council Entry'!BD$9)),MAX(MIN('Council Entry'!BD144,'Council Entry'!BD$9),'Council Entry'!BD$8),'Council Entry'!BD144)),IF(AND(ISNUMBER('Council Entry'!BD$8),ISNUMBER('Council Entry'!BD$9)),MAX(MIN('Council Entry'!BD144,'Council Entry'!BD$9),'Council Entry'!BD$8),'Council Entry'!BD144))))-'Council Entry'!BD$5)/('Council Entry'!BD$6-'Council Entry'!BD$5)),1))),"No data"))</f>
        <v/>
      </c>
    </row>
    <row r="145">
      <c r="A145" t="inlineStr">
        <is>
          <t>Pwani</t>
        </is>
      </c>
      <c r="B145" t="inlineStr">
        <is>
          <t>Kibaha Town</t>
        </is>
      </c>
      <c r="C145" t="inlineStr">
        <is>
          <t>C046</t>
        </is>
      </c>
      <c r="D145" s="13">
        <f>IF('Council Entry'!D145="","",IFERROR(MAX(0,MIN(10,ROUND(IF('Council Entry'!D$7="Decrease Risk",10-10*((IF('Council Entry'!D$4="Logarithm",LN(0.001+IF(AND(ISNUMBER('Council Entry'!D$8),ISNUMBER('Council Entry'!D$9)),MAX(MIN('Council Entry'!D145,'Council Entry'!D$9),'Council Entry'!D$8),'Council Entry'!D145)),IF('Council Entry'!D$4="Exponential",EXP(IF(AND(ISNUMBER('Council Entry'!D$8),ISNUMBER('Council Entry'!D$9)),MAX(MIN('Council Entry'!D145,'Council Entry'!D$9),'Council Entry'!D$8),'Council Entry'!D145)),IF(AND(ISNUMBER('Council Entry'!D$8),ISNUMBER('Council Entry'!D$9)),MAX(MIN('Council Entry'!D145,'Council Entry'!D$9),'Council Entry'!D$8),'Council Entry'!D145))))-'Council Entry'!D$5)/('Council Entry'!D$6-'Council Entry'!D$5),10*((IF('Council Entry'!D$4="Logarithm",LN(0.001+IF(AND(ISNUMBER('Council Entry'!D$8),ISNUMBER('Council Entry'!D$9)),MAX(MIN('Council Entry'!D145,'Council Entry'!D$9),'Council Entry'!D$8),'Council Entry'!D145)),IF('Council Entry'!D$4="Exponential",EXP(IF(AND(ISNUMBER('Council Entry'!D$8),ISNUMBER('Council Entry'!D$9)),MAX(MIN('Council Entry'!D145,'Council Entry'!D$9),'Council Entry'!D$8),'Council Entry'!D145)),IF(AND(ISNUMBER('Council Entry'!D$8),ISNUMBER('Council Entry'!D$9)),MAX(MIN('Council Entry'!D145,'Council Entry'!D$9),'Council Entry'!D$8),'Council Entry'!D145))))-'Council Entry'!D$5)/('Council Entry'!D$6-'Council Entry'!D$5)),1))),"No data"))</f>
        <v/>
      </c>
      <c r="E145" s="13">
        <f>IF('Council Entry'!E145="","",IFERROR(MAX(0,MIN(10,ROUND(IF('Council Entry'!E$7="Decrease Risk",10-10*((IF('Council Entry'!E$4="Logarithm",LN(0.001+IF(AND(ISNUMBER('Council Entry'!E$8),ISNUMBER('Council Entry'!E$9)),MAX(MIN('Council Entry'!E145,'Council Entry'!E$9),'Council Entry'!E$8),'Council Entry'!E145)),IF('Council Entry'!E$4="Exponential",EXP(IF(AND(ISNUMBER('Council Entry'!E$8),ISNUMBER('Council Entry'!E$9)),MAX(MIN('Council Entry'!E145,'Council Entry'!E$9),'Council Entry'!E$8),'Council Entry'!E145)),IF(AND(ISNUMBER('Council Entry'!E$8),ISNUMBER('Council Entry'!E$9)),MAX(MIN('Council Entry'!E145,'Council Entry'!E$9),'Council Entry'!E$8),'Council Entry'!E145))))-'Council Entry'!E$5)/('Council Entry'!E$6-'Council Entry'!E$5),10*((IF('Council Entry'!E$4="Logarithm",LN(0.001+IF(AND(ISNUMBER('Council Entry'!E$8),ISNUMBER('Council Entry'!E$9)),MAX(MIN('Council Entry'!E145,'Council Entry'!E$9),'Council Entry'!E$8),'Council Entry'!E145)),IF('Council Entry'!E$4="Exponential",EXP(IF(AND(ISNUMBER('Council Entry'!E$8),ISNUMBER('Council Entry'!E$9)),MAX(MIN('Council Entry'!E145,'Council Entry'!E$9),'Council Entry'!E$8),'Council Entry'!E145)),IF(AND(ISNUMBER('Council Entry'!E$8),ISNUMBER('Council Entry'!E$9)),MAX(MIN('Council Entry'!E145,'Council Entry'!E$9),'Council Entry'!E$8),'Council Entry'!E145))))-'Council Entry'!E$5)/('Council Entry'!E$6-'Council Entry'!E$5)),1))),"No data"))</f>
        <v/>
      </c>
      <c r="F145" s="13">
        <f>IF('Council Entry'!F145="","",IFERROR(MAX(0,MIN(10,ROUND(IF('Council Entry'!F$7="Decrease Risk",10-10*((IF('Council Entry'!F$4="Logarithm",LN(0.001+IF(AND(ISNUMBER('Council Entry'!F$8),ISNUMBER('Council Entry'!F$9)),MAX(MIN('Council Entry'!F145,'Council Entry'!F$9),'Council Entry'!F$8),'Council Entry'!F145)),IF('Council Entry'!F$4="Exponential",EXP(IF(AND(ISNUMBER('Council Entry'!F$8),ISNUMBER('Council Entry'!F$9)),MAX(MIN('Council Entry'!F145,'Council Entry'!F$9),'Council Entry'!F$8),'Council Entry'!F145)),IF(AND(ISNUMBER('Council Entry'!F$8),ISNUMBER('Council Entry'!F$9)),MAX(MIN('Council Entry'!F145,'Council Entry'!F$9),'Council Entry'!F$8),'Council Entry'!F145))))-'Council Entry'!F$5)/('Council Entry'!F$6-'Council Entry'!F$5),10*((IF('Council Entry'!F$4="Logarithm",LN(0.001+IF(AND(ISNUMBER('Council Entry'!F$8),ISNUMBER('Council Entry'!F$9)),MAX(MIN('Council Entry'!F145,'Council Entry'!F$9),'Council Entry'!F$8),'Council Entry'!F145)),IF('Council Entry'!F$4="Exponential",EXP(IF(AND(ISNUMBER('Council Entry'!F$8),ISNUMBER('Council Entry'!F$9)),MAX(MIN('Council Entry'!F145,'Council Entry'!F$9),'Council Entry'!F$8),'Council Entry'!F145)),IF(AND(ISNUMBER('Council Entry'!F$8),ISNUMBER('Council Entry'!F$9)),MAX(MIN('Council Entry'!F145,'Council Entry'!F$9),'Council Entry'!F$8),'Council Entry'!F145))))-'Council Entry'!F$5)/('Council Entry'!F$6-'Council Entry'!F$5)),1))),"No data"))</f>
        <v/>
      </c>
      <c r="G145" s="13">
        <f>IF('Council Entry'!G145="","",IFERROR(MAX(0,MIN(10,ROUND(IF('Council Entry'!G$7="Decrease Risk",10-10*((IF('Council Entry'!G$4="Logarithm",LN(0.001+IF(AND(ISNUMBER('Council Entry'!G$8),ISNUMBER('Council Entry'!G$9)),MAX(MIN('Council Entry'!G145,'Council Entry'!G$9),'Council Entry'!G$8),'Council Entry'!G145)),IF('Council Entry'!G$4="Exponential",EXP(IF(AND(ISNUMBER('Council Entry'!G$8),ISNUMBER('Council Entry'!G$9)),MAX(MIN('Council Entry'!G145,'Council Entry'!G$9),'Council Entry'!G$8),'Council Entry'!G145)),IF(AND(ISNUMBER('Council Entry'!G$8),ISNUMBER('Council Entry'!G$9)),MAX(MIN('Council Entry'!G145,'Council Entry'!G$9),'Council Entry'!G$8),'Council Entry'!G145))))-'Council Entry'!G$5)/('Council Entry'!G$6-'Council Entry'!G$5),10*((IF('Council Entry'!G$4="Logarithm",LN(0.001+IF(AND(ISNUMBER('Council Entry'!G$8),ISNUMBER('Council Entry'!G$9)),MAX(MIN('Council Entry'!G145,'Council Entry'!G$9),'Council Entry'!G$8),'Council Entry'!G145)),IF('Council Entry'!G$4="Exponential",EXP(IF(AND(ISNUMBER('Council Entry'!G$8),ISNUMBER('Council Entry'!G$9)),MAX(MIN('Council Entry'!G145,'Council Entry'!G$9),'Council Entry'!G$8),'Council Entry'!G145)),IF(AND(ISNUMBER('Council Entry'!G$8),ISNUMBER('Council Entry'!G$9)),MAX(MIN('Council Entry'!G145,'Council Entry'!G$9),'Council Entry'!G$8),'Council Entry'!G145))))-'Council Entry'!G$5)/('Council Entry'!G$6-'Council Entry'!G$5)),1))),"No data"))</f>
        <v/>
      </c>
      <c r="H145" s="13">
        <f>IF('Council Entry'!H145="","",IFERROR(MAX(0,MIN(10,ROUND(IF('Council Entry'!H$7="Decrease Risk",10-10*((IF('Council Entry'!H$4="Logarithm",LN(0.001+IF(AND(ISNUMBER('Council Entry'!H$8),ISNUMBER('Council Entry'!H$9)),MAX(MIN('Council Entry'!H145,'Council Entry'!H$9),'Council Entry'!H$8),'Council Entry'!H145)),IF('Council Entry'!H$4="Exponential",EXP(IF(AND(ISNUMBER('Council Entry'!H$8),ISNUMBER('Council Entry'!H$9)),MAX(MIN('Council Entry'!H145,'Council Entry'!H$9),'Council Entry'!H$8),'Council Entry'!H145)),IF(AND(ISNUMBER('Council Entry'!H$8),ISNUMBER('Council Entry'!H$9)),MAX(MIN('Council Entry'!H145,'Council Entry'!H$9),'Council Entry'!H$8),'Council Entry'!H145))))-'Council Entry'!H$5)/('Council Entry'!H$6-'Council Entry'!H$5),10*((IF('Council Entry'!H$4="Logarithm",LN(0.001+IF(AND(ISNUMBER('Council Entry'!H$8),ISNUMBER('Council Entry'!H$9)),MAX(MIN('Council Entry'!H145,'Council Entry'!H$9),'Council Entry'!H$8),'Council Entry'!H145)),IF('Council Entry'!H$4="Exponential",EXP(IF(AND(ISNUMBER('Council Entry'!H$8),ISNUMBER('Council Entry'!H$9)),MAX(MIN('Council Entry'!H145,'Council Entry'!H$9),'Council Entry'!H$8),'Council Entry'!H145)),IF(AND(ISNUMBER('Council Entry'!H$8),ISNUMBER('Council Entry'!H$9)),MAX(MIN('Council Entry'!H145,'Council Entry'!H$9),'Council Entry'!H$8),'Council Entry'!H145))))-'Council Entry'!H$5)/('Council Entry'!H$6-'Council Entry'!H$5)),1))),"No data"))</f>
        <v/>
      </c>
      <c r="I145" s="13">
        <f>IF('Council Entry'!I145="","",IFERROR(MAX(0,MIN(10,ROUND(IF('Council Entry'!I$7="Decrease Risk",10-10*((IF('Council Entry'!I$4="Logarithm",LN(0.001+IF(AND(ISNUMBER('Council Entry'!I$8),ISNUMBER('Council Entry'!I$9)),MAX(MIN('Council Entry'!I145,'Council Entry'!I$9),'Council Entry'!I$8),'Council Entry'!I145)),IF('Council Entry'!I$4="Exponential",EXP(IF(AND(ISNUMBER('Council Entry'!I$8),ISNUMBER('Council Entry'!I$9)),MAX(MIN('Council Entry'!I145,'Council Entry'!I$9),'Council Entry'!I$8),'Council Entry'!I145)),IF(AND(ISNUMBER('Council Entry'!I$8),ISNUMBER('Council Entry'!I$9)),MAX(MIN('Council Entry'!I145,'Council Entry'!I$9),'Council Entry'!I$8),'Council Entry'!I145))))-'Council Entry'!I$5)/('Council Entry'!I$6-'Council Entry'!I$5),10*((IF('Council Entry'!I$4="Logarithm",LN(0.001+IF(AND(ISNUMBER('Council Entry'!I$8),ISNUMBER('Council Entry'!I$9)),MAX(MIN('Council Entry'!I145,'Council Entry'!I$9),'Council Entry'!I$8),'Council Entry'!I145)),IF('Council Entry'!I$4="Exponential",EXP(IF(AND(ISNUMBER('Council Entry'!I$8),ISNUMBER('Council Entry'!I$9)),MAX(MIN('Council Entry'!I145,'Council Entry'!I$9),'Council Entry'!I$8),'Council Entry'!I145)),IF(AND(ISNUMBER('Council Entry'!I$8),ISNUMBER('Council Entry'!I$9)),MAX(MIN('Council Entry'!I145,'Council Entry'!I$9),'Council Entry'!I$8),'Council Entry'!I145))))-'Council Entry'!I$5)/('Council Entry'!I$6-'Council Entry'!I$5)),1))),"No data"))</f>
        <v/>
      </c>
      <c r="J145" s="13">
        <f>IF('Council Entry'!J145="","",IFERROR(MAX(0,MIN(10,ROUND(IF('Council Entry'!J$7="Decrease Risk",10-10*((IF('Council Entry'!J$4="Logarithm",LN(0.001+IF(AND(ISNUMBER('Council Entry'!J$8),ISNUMBER('Council Entry'!J$9)),MAX(MIN('Council Entry'!J145,'Council Entry'!J$9),'Council Entry'!J$8),'Council Entry'!J145)),IF('Council Entry'!J$4="Exponential",EXP(IF(AND(ISNUMBER('Council Entry'!J$8),ISNUMBER('Council Entry'!J$9)),MAX(MIN('Council Entry'!J145,'Council Entry'!J$9),'Council Entry'!J$8),'Council Entry'!J145)),IF(AND(ISNUMBER('Council Entry'!J$8),ISNUMBER('Council Entry'!J$9)),MAX(MIN('Council Entry'!J145,'Council Entry'!J$9),'Council Entry'!J$8),'Council Entry'!J145))))-'Council Entry'!J$5)/('Council Entry'!J$6-'Council Entry'!J$5),10*((IF('Council Entry'!J$4="Logarithm",LN(0.001+IF(AND(ISNUMBER('Council Entry'!J$8),ISNUMBER('Council Entry'!J$9)),MAX(MIN('Council Entry'!J145,'Council Entry'!J$9),'Council Entry'!J$8),'Council Entry'!J145)),IF('Council Entry'!J$4="Exponential",EXP(IF(AND(ISNUMBER('Council Entry'!J$8),ISNUMBER('Council Entry'!J$9)),MAX(MIN('Council Entry'!J145,'Council Entry'!J$9),'Council Entry'!J$8),'Council Entry'!J145)),IF(AND(ISNUMBER('Council Entry'!J$8),ISNUMBER('Council Entry'!J$9)),MAX(MIN('Council Entry'!J145,'Council Entry'!J$9),'Council Entry'!J$8),'Council Entry'!J145))))-'Council Entry'!J$5)/('Council Entry'!J$6-'Council Entry'!J$5)),1))),"No data"))</f>
        <v/>
      </c>
      <c r="K145" s="13">
        <f>IF('Council Entry'!K145="","",IFERROR(MAX(0,MIN(10,ROUND(IF('Council Entry'!K$7="Decrease Risk",10-10*((IF('Council Entry'!K$4="Logarithm",LN(0.001+IF(AND(ISNUMBER('Council Entry'!K$8),ISNUMBER('Council Entry'!K$9)),MAX(MIN('Council Entry'!K145,'Council Entry'!K$9),'Council Entry'!K$8),'Council Entry'!K145)),IF('Council Entry'!K$4="Exponential",EXP(IF(AND(ISNUMBER('Council Entry'!K$8),ISNUMBER('Council Entry'!K$9)),MAX(MIN('Council Entry'!K145,'Council Entry'!K$9),'Council Entry'!K$8),'Council Entry'!K145)),IF(AND(ISNUMBER('Council Entry'!K$8),ISNUMBER('Council Entry'!K$9)),MAX(MIN('Council Entry'!K145,'Council Entry'!K$9),'Council Entry'!K$8),'Council Entry'!K145))))-'Council Entry'!K$5)/('Council Entry'!K$6-'Council Entry'!K$5),10*((IF('Council Entry'!K$4="Logarithm",LN(0.001+IF(AND(ISNUMBER('Council Entry'!K$8),ISNUMBER('Council Entry'!K$9)),MAX(MIN('Council Entry'!K145,'Council Entry'!K$9),'Council Entry'!K$8),'Council Entry'!K145)),IF('Council Entry'!K$4="Exponential",EXP(IF(AND(ISNUMBER('Council Entry'!K$8),ISNUMBER('Council Entry'!K$9)),MAX(MIN('Council Entry'!K145,'Council Entry'!K$9),'Council Entry'!K$8),'Council Entry'!K145)),IF(AND(ISNUMBER('Council Entry'!K$8),ISNUMBER('Council Entry'!K$9)),MAX(MIN('Council Entry'!K145,'Council Entry'!K$9),'Council Entry'!K$8),'Council Entry'!K145))))-'Council Entry'!K$5)/('Council Entry'!K$6-'Council Entry'!K$5)),1))),"No data"))</f>
        <v/>
      </c>
      <c r="L145" s="13">
        <f>IF('Council Entry'!L145="","",IFERROR(MAX(0,MIN(10,ROUND(IF('Council Entry'!L$7="Decrease Risk",10-10*((IF('Council Entry'!L$4="Logarithm",LN(0.001+IF(AND(ISNUMBER('Council Entry'!L$8),ISNUMBER('Council Entry'!L$9)),MAX(MIN('Council Entry'!L145,'Council Entry'!L$9),'Council Entry'!L$8),'Council Entry'!L145)),IF('Council Entry'!L$4="Exponential",EXP(IF(AND(ISNUMBER('Council Entry'!L$8),ISNUMBER('Council Entry'!L$9)),MAX(MIN('Council Entry'!L145,'Council Entry'!L$9),'Council Entry'!L$8),'Council Entry'!L145)),IF(AND(ISNUMBER('Council Entry'!L$8),ISNUMBER('Council Entry'!L$9)),MAX(MIN('Council Entry'!L145,'Council Entry'!L$9),'Council Entry'!L$8),'Council Entry'!L145))))-'Council Entry'!L$5)/('Council Entry'!L$6-'Council Entry'!L$5),10*((IF('Council Entry'!L$4="Logarithm",LN(0.001+IF(AND(ISNUMBER('Council Entry'!L$8),ISNUMBER('Council Entry'!L$9)),MAX(MIN('Council Entry'!L145,'Council Entry'!L$9),'Council Entry'!L$8),'Council Entry'!L145)),IF('Council Entry'!L$4="Exponential",EXP(IF(AND(ISNUMBER('Council Entry'!L$8),ISNUMBER('Council Entry'!L$9)),MAX(MIN('Council Entry'!L145,'Council Entry'!L$9),'Council Entry'!L$8),'Council Entry'!L145)),IF(AND(ISNUMBER('Council Entry'!L$8),ISNUMBER('Council Entry'!L$9)),MAX(MIN('Council Entry'!L145,'Council Entry'!L$9),'Council Entry'!L$8),'Council Entry'!L145))))-'Council Entry'!L$5)/('Council Entry'!L$6-'Council Entry'!L$5)),1))),"No data"))</f>
        <v/>
      </c>
      <c r="M145" s="13">
        <f>IF('Council Entry'!M145="","",IFERROR(MAX(0,MIN(10,ROUND(IF('Council Entry'!M$7="Decrease Risk",10-10*((IF('Council Entry'!M$4="Logarithm",LN(0.001+IF(AND(ISNUMBER('Council Entry'!M$8),ISNUMBER('Council Entry'!M$9)),MAX(MIN('Council Entry'!M145,'Council Entry'!M$9),'Council Entry'!M$8),'Council Entry'!M145)),IF('Council Entry'!M$4="Exponential",EXP(IF(AND(ISNUMBER('Council Entry'!M$8),ISNUMBER('Council Entry'!M$9)),MAX(MIN('Council Entry'!M145,'Council Entry'!M$9),'Council Entry'!M$8),'Council Entry'!M145)),IF(AND(ISNUMBER('Council Entry'!M$8),ISNUMBER('Council Entry'!M$9)),MAX(MIN('Council Entry'!M145,'Council Entry'!M$9),'Council Entry'!M$8),'Council Entry'!M145))))-'Council Entry'!M$5)/('Council Entry'!M$6-'Council Entry'!M$5),10*((IF('Council Entry'!M$4="Logarithm",LN(0.001+IF(AND(ISNUMBER('Council Entry'!M$8),ISNUMBER('Council Entry'!M$9)),MAX(MIN('Council Entry'!M145,'Council Entry'!M$9),'Council Entry'!M$8),'Council Entry'!M145)),IF('Council Entry'!M$4="Exponential",EXP(IF(AND(ISNUMBER('Council Entry'!M$8),ISNUMBER('Council Entry'!M$9)),MAX(MIN('Council Entry'!M145,'Council Entry'!M$9),'Council Entry'!M$8),'Council Entry'!M145)),IF(AND(ISNUMBER('Council Entry'!M$8),ISNUMBER('Council Entry'!M$9)),MAX(MIN('Council Entry'!M145,'Council Entry'!M$9),'Council Entry'!M$8),'Council Entry'!M145))))-'Council Entry'!M$5)/('Council Entry'!M$6-'Council Entry'!M$5)),1))),"No data"))</f>
        <v/>
      </c>
      <c r="N145" s="13">
        <f>IF('Council Entry'!N145="","",IFERROR(MAX(0,MIN(10,ROUND(IF('Council Entry'!N$7="Decrease Risk",10-10*((IF('Council Entry'!N$4="Logarithm",LN(0.001+IF(AND(ISNUMBER('Council Entry'!N$8),ISNUMBER('Council Entry'!N$9)),MAX(MIN('Council Entry'!N145,'Council Entry'!N$9),'Council Entry'!N$8),'Council Entry'!N145)),IF('Council Entry'!N$4="Exponential",EXP(IF(AND(ISNUMBER('Council Entry'!N$8),ISNUMBER('Council Entry'!N$9)),MAX(MIN('Council Entry'!N145,'Council Entry'!N$9),'Council Entry'!N$8),'Council Entry'!N145)),IF(AND(ISNUMBER('Council Entry'!N$8),ISNUMBER('Council Entry'!N$9)),MAX(MIN('Council Entry'!N145,'Council Entry'!N$9),'Council Entry'!N$8),'Council Entry'!N145))))-'Council Entry'!N$5)/('Council Entry'!N$6-'Council Entry'!N$5),10*((IF('Council Entry'!N$4="Logarithm",LN(0.001+IF(AND(ISNUMBER('Council Entry'!N$8),ISNUMBER('Council Entry'!N$9)),MAX(MIN('Council Entry'!N145,'Council Entry'!N$9),'Council Entry'!N$8),'Council Entry'!N145)),IF('Council Entry'!N$4="Exponential",EXP(IF(AND(ISNUMBER('Council Entry'!N$8),ISNUMBER('Council Entry'!N$9)),MAX(MIN('Council Entry'!N145,'Council Entry'!N$9),'Council Entry'!N$8),'Council Entry'!N145)),IF(AND(ISNUMBER('Council Entry'!N$8),ISNUMBER('Council Entry'!N$9)),MAX(MIN('Council Entry'!N145,'Council Entry'!N$9),'Council Entry'!N$8),'Council Entry'!N145))))-'Council Entry'!N$5)/('Council Entry'!N$6-'Council Entry'!N$5)),1))),"No data"))</f>
        <v/>
      </c>
      <c r="O145" s="13">
        <f>IF('Council Entry'!O145="","",IFERROR(MAX(0,MIN(10,ROUND(IF('Council Entry'!O$7="Decrease Risk",10-10*((IF('Council Entry'!O$4="Logarithm",LN(0.001+IF(AND(ISNUMBER('Council Entry'!O$8),ISNUMBER('Council Entry'!O$9)),MAX(MIN('Council Entry'!O145,'Council Entry'!O$9),'Council Entry'!O$8),'Council Entry'!O145)),IF('Council Entry'!O$4="Exponential",EXP(IF(AND(ISNUMBER('Council Entry'!O$8),ISNUMBER('Council Entry'!O$9)),MAX(MIN('Council Entry'!O145,'Council Entry'!O$9),'Council Entry'!O$8),'Council Entry'!O145)),IF(AND(ISNUMBER('Council Entry'!O$8),ISNUMBER('Council Entry'!O$9)),MAX(MIN('Council Entry'!O145,'Council Entry'!O$9),'Council Entry'!O$8),'Council Entry'!O145))))-'Council Entry'!O$5)/('Council Entry'!O$6-'Council Entry'!O$5),10*((IF('Council Entry'!O$4="Logarithm",LN(0.001+IF(AND(ISNUMBER('Council Entry'!O$8),ISNUMBER('Council Entry'!O$9)),MAX(MIN('Council Entry'!O145,'Council Entry'!O$9),'Council Entry'!O$8),'Council Entry'!O145)),IF('Council Entry'!O$4="Exponential",EXP(IF(AND(ISNUMBER('Council Entry'!O$8),ISNUMBER('Council Entry'!O$9)),MAX(MIN('Council Entry'!O145,'Council Entry'!O$9),'Council Entry'!O$8),'Council Entry'!O145)),IF(AND(ISNUMBER('Council Entry'!O$8),ISNUMBER('Council Entry'!O$9)),MAX(MIN('Council Entry'!O145,'Council Entry'!O$9),'Council Entry'!O$8),'Council Entry'!O145))))-'Council Entry'!O$5)/('Council Entry'!O$6-'Council Entry'!O$5)),1))),"No data"))</f>
        <v/>
      </c>
      <c r="P145" s="13">
        <f>IF('Council Entry'!P145="","",IFERROR(MAX(0,MIN(10,ROUND(IF('Council Entry'!P$7="Decrease Risk",10-10*((IF('Council Entry'!P$4="Logarithm",LN(0.001+IF(AND(ISNUMBER('Council Entry'!P$8),ISNUMBER('Council Entry'!P$9)),MAX(MIN('Council Entry'!P145,'Council Entry'!P$9),'Council Entry'!P$8),'Council Entry'!P145)),IF('Council Entry'!P$4="Exponential",EXP(IF(AND(ISNUMBER('Council Entry'!P$8),ISNUMBER('Council Entry'!P$9)),MAX(MIN('Council Entry'!P145,'Council Entry'!P$9),'Council Entry'!P$8),'Council Entry'!P145)),IF(AND(ISNUMBER('Council Entry'!P$8),ISNUMBER('Council Entry'!P$9)),MAX(MIN('Council Entry'!P145,'Council Entry'!P$9),'Council Entry'!P$8),'Council Entry'!P145))))-'Council Entry'!P$5)/('Council Entry'!P$6-'Council Entry'!P$5),10*((IF('Council Entry'!P$4="Logarithm",LN(0.001+IF(AND(ISNUMBER('Council Entry'!P$8),ISNUMBER('Council Entry'!P$9)),MAX(MIN('Council Entry'!P145,'Council Entry'!P$9),'Council Entry'!P$8),'Council Entry'!P145)),IF('Council Entry'!P$4="Exponential",EXP(IF(AND(ISNUMBER('Council Entry'!P$8),ISNUMBER('Council Entry'!P$9)),MAX(MIN('Council Entry'!P145,'Council Entry'!P$9),'Council Entry'!P$8),'Council Entry'!P145)),IF(AND(ISNUMBER('Council Entry'!P$8),ISNUMBER('Council Entry'!P$9)),MAX(MIN('Council Entry'!P145,'Council Entry'!P$9),'Council Entry'!P$8),'Council Entry'!P145))))-'Council Entry'!P$5)/('Council Entry'!P$6-'Council Entry'!P$5)),1))),"No data"))</f>
        <v/>
      </c>
      <c r="Q145" s="13">
        <f>IF('Council Entry'!Q145="","",IFERROR(MAX(0,MIN(10,ROUND(IF('Council Entry'!Q$7="Decrease Risk",10-10*((IF('Council Entry'!Q$4="Logarithm",LN(0.001+IF(AND(ISNUMBER('Council Entry'!Q$8),ISNUMBER('Council Entry'!Q$9)),MAX(MIN('Council Entry'!Q145,'Council Entry'!Q$9),'Council Entry'!Q$8),'Council Entry'!Q145)),IF('Council Entry'!Q$4="Exponential",EXP(IF(AND(ISNUMBER('Council Entry'!Q$8),ISNUMBER('Council Entry'!Q$9)),MAX(MIN('Council Entry'!Q145,'Council Entry'!Q$9),'Council Entry'!Q$8),'Council Entry'!Q145)),IF(AND(ISNUMBER('Council Entry'!Q$8),ISNUMBER('Council Entry'!Q$9)),MAX(MIN('Council Entry'!Q145,'Council Entry'!Q$9),'Council Entry'!Q$8),'Council Entry'!Q145))))-'Council Entry'!Q$5)/('Council Entry'!Q$6-'Council Entry'!Q$5),10*((IF('Council Entry'!Q$4="Logarithm",LN(0.001+IF(AND(ISNUMBER('Council Entry'!Q$8),ISNUMBER('Council Entry'!Q$9)),MAX(MIN('Council Entry'!Q145,'Council Entry'!Q$9),'Council Entry'!Q$8),'Council Entry'!Q145)),IF('Council Entry'!Q$4="Exponential",EXP(IF(AND(ISNUMBER('Council Entry'!Q$8),ISNUMBER('Council Entry'!Q$9)),MAX(MIN('Council Entry'!Q145,'Council Entry'!Q$9),'Council Entry'!Q$8),'Council Entry'!Q145)),IF(AND(ISNUMBER('Council Entry'!Q$8),ISNUMBER('Council Entry'!Q$9)),MAX(MIN('Council Entry'!Q145,'Council Entry'!Q$9),'Council Entry'!Q$8),'Council Entry'!Q145))))-'Council Entry'!Q$5)/('Council Entry'!Q$6-'Council Entry'!Q$5)),1))),"No data"))</f>
        <v/>
      </c>
      <c r="R145" s="13">
        <f>IF('Council Entry'!R145="","",IFERROR(MAX(0,MIN(10,ROUND(IF('Council Entry'!R$7="Decrease Risk",10-10*((IF('Council Entry'!R$4="Logarithm",LN(0.001+IF(AND(ISNUMBER('Council Entry'!R$8),ISNUMBER('Council Entry'!R$9)),MAX(MIN('Council Entry'!R145,'Council Entry'!R$9),'Council Entry'!R$8),'Council Entry'!R145)),IF('Council Entry'!R$4="Exponential",EXP(IF(AND(ISNUMBER('Council Entry'!R$8),ISNUMBER('Council Entry'!R$9)),MAX(MIN('Council Entry'!R145,'Council Entry'!R$9),'Council Entry'!R$8),'Council Entry'!R145)),IF(AND(ISNUMBER('Council Entry'!R$8),ISNUMBER('Council Entry'!R$9)),MAX(MIN('Council Entry'!R145,'Council Entry'!R$9),'Council Entry'!R$8),'Council Entry'!R145))))-'Council Entry'!R$5)/('Council Entry'!R$6-'Council Entry'!R$5),10*((IF('Council Entry'!R$4="Logarithm",LN(0.001+IF(AND(ISNUMBER('Council Entry'!R$8),ISNUMBER('Council Entry'!R$9)),MAX(MIN('Council Entry'!R145,'Council Entry'!R$9),'Council Entry'!R$8),'Council Entry'!R145)),IF('Council Entry'!R$4="Exponential",EXP(IF(AND(ISNUMBER('Council Entry'!R$8),ISNUMBER('Council Entry'!R$9)),MAX(MIN('Council Entry'!R145,'Council Entry'!R$9),'Council Entry'!R$8),'Council Entry'!R145)),IF(AND(ISNUMBER('Council Entry'!R$8),ISNUMBER('Council Entry'!R$9)),MAX(MIN('Council Entry'!R145,'Council Entry'!R$9),'Council Entry'!R$8),'Council Entry'!R145))))-'Council Entry'!R$5)/('Council Entry'!R$6-'Council Entry'!R$5)),1))),"No data"))</f>
        <v/>
      </c>
      <c r="S145" s="13">
        <f>IF('Council Entry'!S145="","",IFERROR(MAX(0,MIN(10,ROUND(IF('Council Entry'!S$7="Decrease Risk",10-10*((IF('Council Entry'!S$4="Logarithm",LN(0.001+IF(AND(ISNUMBER('Council Entry'!S$8),ISNUMBER('Council Entry'!S$9)),MAX(MIN('Council Entry'!S145,'Council Entry'!S$9),'Council Entry'!S$8),'Council Entry'!S145)),IF('Council Entry'!S$4="Exponential",EXP(IF(AND(ISNUMBER('Council Entry'!S$8),ISNUMBER('Council Entry'!S$9)),MAX(MIN('Council Entry'!S145,'Council Entry'!S$9),'Council Entry'!S$8),'Council Entry'!S145)),IF(AND(ISNUMBER('Council Entry'!S$8),ISNUMBER('Council Entry'!S$9)),MAX(MIN('Council Entry'!S145,'Council Entry'!S$9),'Council Entry'!S$8),'Council Entry'!S145))))-'Council Entry'!S$5)/('Council Entry'!S$6-'Council Entry'!S$5),10*((IF('Council Entry'!S$4="Logarithm",LN(0.001+IF(AND(ISNUMBER('Council Entry'!S$8),ISNUMBER('Council Entry'!S$9)),MAX(MIN('Council Entry'!S145,'Council Entry'!S$9),'Council Entry'!S$8),'Council Entry'!S145)),IF('Council Entry'!S$4="Exponential",EXP(IF(AND(ISNUMBER('Council Entry'!S$8),ISNUMBER('Council Entry'!S$9)),MAX(MIN('Council Entry'!S145,'Council Entry'!S$9),'Council Entry'!S$8),'Council Entry'!S145)),IF(AND(ISNUMBER('Council Entry'!S$8),ISNUMBER('Council Entry'!S$9)),MAX(MIN('Council Entry'!S145,'Council Entry'!S$9),'Council Entry'!S$8),'Council Entry'!S145))))-'Council Entry'!S$5)/('Council Entry'!S$6-'Council Entry'!S$5)),1))),"No data"))</f>
        <v/>
      </c>
      <c r="T145" s="13">
        <f>IF('Council Entry'!T145="","",IFERROR(MAX(0,MIN(10,ROUND(IF('Council Entry'!T$7="Decrease Risk",10-10*((IF('Council Entry'!T$4="Logarithm",LN(0.001+IF(AND(ISNUMBER('Council Entry'!T$8),ISNUMBER('Council Entry'!T$9)),MAX(MIN('Council Entry'!T145,'Council Entry'!T$9),'Council Entry'!T$8),'Council Entry'!T145)),IF('Council Entry'!T$4="Exponential",EXP(IF(AND(ISNUMBER('Council Entry'!T$8),ISNUMBER('Council Entry'!T$9)),MAX(MIN('Council Entry'!T145,'Council Entry'!T$9),'Council Entry'!T$8),'Council Entry'!T145)),IF(AND(ISNUMBER('Council Entry'!T$8),ISNUMBER('Council Entry'!T$9)),MAX(MIN('Council Entry'!T145,'Council Entry'!T$9),'Council Entry'!T$8),'Council Entry'!T145))))-'Council Entry'!T$5)/('Council Entry'!T$6-'Council Entry'!T$5),10*((IF('Council Entry'!T$4="Logarithm",LN(0.001+IF(AND(ISNUMBER('Council Entry'!T$8),ISNUMBER('Council Entry'!T$9)),MAX(MIN('Council Entry'!T145,'Council Entry'!T$9),'Council Entry'!T$8),'Council Entry'!T145)),IF('Council Entry'!T$4="Exponential",EXP(IF(AND(ISNUMBER('Council Entry'!T$8),ISNUMBER('Council Entry'!T$9)),MAX(MIN('Council Entry'!T145,'Council Entry'!T$9),'Council Entry'!T$8),'Council Entry'!T145)),IF(AND(ISNUMBER('Council Entry'!T$8),ISNUMBER('Council Entry'!T$9)),MAX(MIN('Council Entry'!T145,'Council Entry'!T$9),'Council Entry'!T$8),'Council Entry'!T145))))-'Council Entry'!T$5)/('Council Entry'!T$6-'Council Entry'!T$5)),1))),"No data"))</f>
        <v/>
      </c>
      <c r="U145" s="13">
        <f>IF('Council Entry'!U145="","",IFERROR(MAX(0,MIN(10,ROUND(IF('Council Entry'!U$7="Decrease Risk",10-10*((IF('Council Entry'!U$4="Logarithm",LN(0.001+IF(AND(ISNUMBER('Council Entry'!U$8),ISNUMBER('Council Entry'!U$9)),MAX(MIN('Council Entry'!U145,'Council Entry'!U$9),'Council Entry'!U$8),'Council Entry'!U145)),IF('Council Entry'!U$4="Exponential",EXP(IF(AND(ISNUMBER('Council Entry'!U$8),ISNUMBER('Council Entry'!U$9)),MAX(MIN('Council Entry'!U145,'Council Entry'!U$9),'Council Entry'!U$8),'Council Entry'!U145)),IF(AND(ISNUMBER('Council Entry'!U$8),ISNUMBER('Council Entry'!U$9)),MAX(MIN('Council Entry'!U145,'Council Entry'!U$9),'Council Entry'!U$8),'Council Entry'!U145))))-'Council Entry'!U$5)/('Council Entry'!U$6-'Council Entry'!U$5),10*((IF('Council Entry'!U$4="Logarithm",LN(0.001+IF(AND(ISNUMBER('Council Entry'!U$8),ISNUMBER('Council Entry'!U$9)),MAX(MIN('Council Entry'!U145,'Council Entry'!U$9),'Council Entry'!U$8),'Council Entry'!U145)),IF('Council Entry'!U$4="Exponential",EXP(IF(AND(ISNUMBER('Council Entry'!U$8),ISNUMBER('Council Entry'!U$9)),MAX(MIN('Council Entry'!U145,'Council Entry'!U$9),'Council Entry'!U$8),'Council Entry'!U145)),IF(AND(ISNUMBER('Council Entry'!U$8),ISNUMBER('Council Entry'!U$9)),MAX(MIN('Council Entry'!U145,'Council Entry'!U$9),'Council Entry'!U$8),'Council Entry'!U145))))-'Council Entry'!U$5)/('Council Entry'!U$6-'Council Entry'!U$5)),1))),"No data"))</f>
        <v/>
      </c>
      <c r="V145" s="13">
        <f>IF('Council Entry'!V145="","",IFERROR(MAX(0,MIN(10,ROUND(IF('Council Entry'!V$7="Decrease Risk",10-10*((IF('Council Entry'!V$4="Logarithm",LN(0.001+IF(AND(ISNUMBER('Council Entry'!V$8),ISNUMBER('Council Entry'!V$9)),MAX(MIN('Council Entry'!V145,'Council Entry'!V$9),'Council Entry'!V$8),'Council Entry'!V145)),IF('Council Entry'!V$4="Exponential",EXP(IF(AND(ISNUMBER('Council Entry'!V$8),ISNUMBER('Council Entry'!V$9)),MAX(MIN('Council Entry'!V145,'Council Entry'!V$9),'Council Entry'!V$8),'Council Entry'!V145)),IF(AND(ISNUMBER('Council Entry'!V$8),ISNUMBER('Council Entry'!V$9)),MAX(MIN('Council Entry'!V145,'Council Entry'!V$9),'Council Entry'!V$8),'Council Entry'!V145))))-'Council Entry'!V$5)/('Council Entry'!V$6-'Council Entry'!V$5),10*((IF('Council Entry'!V$4="Logarithm",LN(0.001+IF(AND(ISNUMBER('Council Entry'!V$8),ISNUMBER('Council Entry'!V$9)),MAX(MIN('Council Entry'!V145,'Council Entry'!V$9),'Council Entry'!V$8),'Council Entry'!V145)),IF('Council Entry'!V$4="Exponential",EXP(IF(AND(ISNUMBER('Council Entry'!V$8),ISNUMBER('Council Entry'!V$9)),MAX(MIN('Council Entry'!V145,'Council Entry'!V$9),'Council Entry'!V$8),'Council Entry'!V145)),IF(AND(ISNUMBER('Council Entry'!V$8),ISNUMBER('Council Entry'!V$9)),MAX(MIN('Council Entry'!V145,'Council Entry'!V$9),'Council Entry'!V$8),'Council Entry'!V145))))-'Council Entry'!V$5)/('Council Entry'!V$6-'Council Entry'!V$5)),1))),"No data"))</f>
        <v/>
      </c>
      <c r="W145" s="13">
        <f>IF('Council Entry'!W145="","",IFERROR(MAX(0,MIN(10,ROUND(IF('Council Entry'!W$7="Decrease Risk",10-10*((IF('Council Entry'!W$4="Logarithm",LN(0.001+IF(AND(ISNUMBER('Council Entry'!W$8),ISNUMBER('Council Entry'!W$9)),MAX(MIN('Council Entry'!W145,'Council Entry'!W$9),'Council Entry'!W$8),'Council Entry'!W145)),IF('Council Entry'!W$4="Exponential",EXP(IF(AND(ISNUMBER('Council Entry'!W$8),ISNUMBER('Council Entry'!W$9)),MAX(MIN('Council Entry'!W145,'Council Entry'!W$9),'Council Entry'!W$8),'Council Entry'!W145)),IF(AND(ISNUMBER('Council Entry'!W$8),ISNUMBER('Council Entry'!W$9)),MAX(MIN('Council Entry'!W145,'Council Entry'!W$9),'Council Entry'!W$8),'Council Entry'!W145))))-'Council Entry'!W$5)/('Council Entry'!W$6-'Council Entry'!W$5),10*((IF('Council Entry'!W$4="Logarithm",LN(0.001+IF(AND(ISNUMBER('Council Entry'!W$8),ISNUMBER('Council Entry'!W$9)),MAX(MIN('Council Entry'!W145,'Council Entry'!W$9),'Council Entry'!W$8),'Council Entry'!W145)),IF('Council Entry'!W$4="Exponential",EXP(IF(AND(ISNUMBER('Council Entry'!W$8),ISNUMBER('Council Entry'!W$9)),MAX(MIN('Council Entry'!W145,'Council Entry'!W$9),'Council Entry'!W$8),'Council Entry'!W145)),IF(AND(ISNUMBER('Council Entry'!W$8),ISNUMBER('Council Entry'!W$9)),MAX(MIN('Council Entry'!W145,'Council Entry'!W$9),'Council Entry'!W$8),'Council Entry'!W145))))-'Council Entry'!W$5)/('Council Entry'!W$6-'Council Entry'!W$5)),1))),"No data"))</f>
        <v/>
      </c>
      <c r="X145" s="13">
        <f>IF('Council Entry'!X145="","",IFERROR(MAX(0,MIN(10,ROUND(IF('Council Entry'!X$7="Decrease Risk",10-10*((IF('Council Entry'!X$4="Logarithm",LN(0.001+IF(AND(ISNUMBER('Council Entry'!X$8),ISNUMBER('Council Entry'!X$9)),MAX(MIN('Council Entry'!X145,'Council Entry'!X$9),'Council Entry'!X$8),'Council Entry'!X145)),IF('Council Entry'!X$4="Exponential",EXP(IF(AND(ISNUMBER('Council Entry'!X$8),ISNUMBER('Council Entry'!X$9)),MAX(MIN('Council Entry'!X145,'Council Entry'!X$9),'Council Entry'!X$8),'Council Entry'!X145)),IF(AND(ISNUMBER('Council Entry'!X$8),ISNUMBER('Council Entry'!X$9)),MAX(MIN('Council Entry'!X145,'Council Entry'!X$9),'Council Entry'!X$8),'Council Entry'!X145))))-'Council Entry'!X$5)/('Council Entry'!X$6-'Council Entry'!X$5),10*((IF('Council Entry'!X$4="Logarithm",LN(0.001+IF(AND(ISNUMBER('Council Entry'!X$8),ISNUMBER('Council Entry'!X$9)),MAX(MIN('Council Entry'!X145,'Council Entry'!X$9),'Council Entry'!X$8),'Council Entry'!X145)),IF('Council Entry'!X$4="Exponential",EXP(IF(AND(ISNUMBER('Council Entry'!X$8),ISNUMBER('Council Entry'!X$9)),MAX(MIN('Council Entry'!X145,'Council Entry'!X$9),'Council Entry'!X$8),'Council Entry'!X145)),IF(AND(ISNUMBER('Council Entry'!X$8),ISNUMBER('Council Entry'!X$9)),MAX(MIN('Council Entry'!X145,'Council Entry'!X$9),'Council Entry'!X$8),'Council Entry'!X145))))-'Council Entry'!X$5)/('Council Entry'!X$6-'Council Entry'!X$5)),1))),"No data"))</f>
        <v/>
      </c>
      <c r="Y145" s="13">
        <f>IF('Council Entry'!Y145="","",IFERROR(MAX(0,MIN(10,ROUND(IF('Council Entry'!Y$7="Decrease Risk",10-10*((IF('Council Entry'!Y$4="Logarithm",LN(0.001+IF(AND(ISNUMBER('Council Entry'!Y$8),ISNUMBER('Council Entry'!Y$9)),MAX(MIN('Council Entry'!Y145,'Council Entry'!Y$9),'Council Entry'!Y$8),'Council Entry'!Y145)),IF('Council Entry'!Y$4="Exponential",EXP(IF(AND(ISNUMBER('Council Entry'!Y$8),ISNUMBER('Council Entry'!Y$9)),MAX(MIN('Council Entry'!Y145,'Council Entry'!Y$9),'Council Entry'!Y$8),'Council Entry'!Y145)),IF(AND(ISNUMBER('Council Entry'!Y$8),ISNUMBER('Council Entry'!Y$9)),MAX(MIN('Council Entry'!Y145,'Council Entry'!Y$9),'Council Entry'!Y$8),'Council Entry'!Y145))))-'Council Entry'!Y$5)/('Council Entry'!Y$6-'Council Entry'!Y$5),10*((IF('Council Entry'!Y$4="Logarithm",LN(0.001+IF(AND(ISNUMBER('Council Entry'!Y$8),ISNUMBER('Council Entry'!Y$9)),MAX(MIN('Council Entry'!Y145,'Council Entry'!Y$9),'Council Entry'!Y$8),'Council Entry'!Y145)),IF('Council Entry'!Y$4="Exponential",EXP(IF(AND(ISNUMBER('Council Entry'!Y$8),ISNUMBER('Council Entry'!Y$9)),MAX(MIN('Council Entry'!Y145,'Council Entry'!Y$9),'Council Entry'!Y$8),'Council Entry'!Y145)),IF(AND(ISNUMBER('Council Entry'!Y$8),ISNUMBER('Council Entry'!Y$9)),MAX(MIN('Council Entry'!Y145,'Council Entry'!Y$9),'Council Entry'!Y$8),'Council Entry'!Y145))))-'Council Entry'!Y$5)/('Council Entry'!Y$6-'Council Entry'!Y$5)),1))),"No data"))</f>
        <v/>
      </c>
      <c r="Z145" s="13">
        <f>IF('Council Entry'!Z145="","",IFERROR(MAX(0,MIN(10,ROUND(IF('Council Entry'!Z$7="Decrease Risk",10-10*((IF('Council Entry'!Z$4="Logarithm",LN(0.001+IF(AND(ISNUMBER('Council Entry'!Z$8),ISNUMBER('Council Entry'!Z$9)),MAX(MIN('Council Entry'!Z145,'Council Entry'!Z$9),'Council Entry'!Z$8),'Council Entry'!Z145)),IF('Council Entry'!Z$4="Exponential",EXP(IF(AND(ISNUMBER('Council Entry'!Z$8),ISNUMBER('Council Entry'!Z$9)),MAX(MIN('Council Entry'!Z145,'Council Entry'!Z$9),'Council Entry'!Z$8),'Council Entry'!Z145)),IF(AND(ISNUMBER('Council Entry'!Z$8),ISNUMBER('Council Entry'!Z$9)),MAX(MIN('Council Entry'!Z145,'Council Entry'!Z$9),'Council Entry'!Z$8),'Council Entry'!Z145))))-'Council Entry'!Z$5)/('Council Entry'!Z$6-'Council Entry'!Z$5),10*((IF('Council Entry'!Z$4="Logarithm",LN(0.001+IF(AND(ISNUMBER('Council Entry'!Z$8),ISNUMBER('Council Entry'!Z$9)),MAX(MIN('Council Entry'!Z145,'Council Entry'!Z$9),'Council Entry'!Z$8),'Council Entry'!Z145)),IF('Council Entry'!Z$4="Exponential",EXP(IF(AND(ISNUMBER('Council Entry'!Z$8),ISNUMBER('Council Entry'!Z$9)),MAX(MIN('Council Entry'!Z145,'Council Entry'!Z$9),'Council Entry'!Z$8),'Council Entry'!Z145)),IF(AND(ISNUMBER('Council Entry'!Z$8),ISNUMBER('Council Entry'!Z$9)),MAX(MIN('Council Entry'!Z145,'Council Entry'!Z$9),'Council Entry'!Z$8),'Council Entry'!Z145))))-'Council Entry'!Z$5)/('Council Entry'!Z$6-'Council Entry'!Z$5)),1))),"No data"))</f>
        <v/>
      </c>
      <c r="AA145" s="13">
        <f>IF('Council Entry'!AA145="","",IFERROR(MAX(0,MIN(10,ROUND(IF('Council Entry'!AA$7="Decrease Risk",10-10*((IF('Council Entry'!AA$4="Logarithm",LN(0.001+IF(AND(ISNUMBER('Council Entry'!AA$8),ISNUMBER('Council Entry'!AA$9)),MAX(MIN('Council Entry'!AA145,'Council Entry'!AA$9),'Council Entry'!AA$8),'Council Entry'!AA145)),IF('Council Entry'!AA$4="Exponential",EXP(IF(AND(ISNUMBER('Council Entry'!AA$8),ISNUMBER('Council Entry'!AA$9)),MAX(MIN('Council Entry'!AA145,'Council Entry'!AA$9),'Council Entry'!AA$8),'Council Entry'!AA145)),IF(AND(ISNUMBER('Council Entry'!AA$8),ISNUMBER('Council Entry'!AA$9)),MAX(MIN('Council Entry'!AA145,'Council Entry'!AA$9),'Council Entry'!AA$8),'Council Entry'!AA145))))-'Council Entry'!AA$5)/('Council Entry'!AA$6-'Council Entry'!AA$5),10*((IF('Council Entry'!AA$4="Logarithm",LN(0.001+IF(AND(ISNUMBER('Council Entry'!AA$8),ISNUMBER('Council Entry'!AA$9)),MAX(MIN('Council Entry'!AA145,'Council Entry'!AA$9),'Council Entry'!AA$8),'Council Entry'!AA145)),IF('Council Entry'!AA$4="Exponential",EXP(IF(AND(ISNUMBER('Council Entry'!AA$8),ISNUMBER('Council Entry'!AA$9)),MAX(MIN('Council Entry'!AA145,'Council Entry'!AA$9),'Council Entry'!AA$8),'Council Entry'!AA145)),IF(AND(ISNUMBER('Council Entry'!AA$8),ISNUMBER('Council Entry'!AA$9)),MAX(MIN('Council Entry'!AA145,'Council Entry'!AA$9),'Council Entry'!AA$8),'Council Entry'!AA145))))-'Council Entry'!AA$5)/('Council Entry'!AA$6-'Council Entry'!AA$5)),1))),"No data"))</f>
        <v/>
      </c>
      <c r="AB145" s="13">
        <f>IF('Council Entry'!AB145="","",IFERROR(MAX(0,MIN(10,ROUND(IF('Council Entry'!AB$7="Decrease Risk",10-10*((IF('Council Entry'!AB$4="Logarithm",LN(0.001+IF(AND(ISNUMBER('Council Entry'!AB$8),ISNUMBER('Council Entry'!AB$9)),MAX(MIN('Council Entry'!AB145,'Council Entry'!AB$9),'Council Entry'!AB$8),'Council Entry'!AB145)),IF('Council Entry'!AB$4="Exponential",EXP(IF(AND(ISNUMBER('Council Entry'!AB$8),ISNUMBER('Council Entry'!AB$9)),MAX(MIN('Council Entry'!AB145,'Council Entry'!AB$9),'Council Entry'!AB$8),'Council Entry'!AB145)),IF(AND(ISNUMBER('Council Entry'!AB$8),ISNUMBER('Council Entry'!AB$9)),MAX(MIN('Council Entry'!AB145,'Council Entry'!AB$9),'Council Entry'!AB$8),'Council Entry'!AB145))))-'Council Entry'!AB$5)/('Council Entry'!AB$6-'Council Entry'!AB$5),10*((IF('Council Entry'!AB$4="Logarithm",LN(0.001+IF(AND(ISNUMBER('Council Entry'!AB$8),ISNUMBER('Council Entry'!AB$9)),MAX(MIN('Council Entry'!AB145,'Council Entry'!AB$9),'Council Entry'!AB$8),'Council Entry'!AB145)),IF('Council Entry'!AB$4="Exponential",EXP(IF(AND(ISNUMBER('Council Entry'!AB$8),ISNUMBER('Council Entry'!AB$9)),MAX(MIN('Council Entry'!AB145,'Council Entry'!AB$9),'Council Entry'!AB$8),'Council Entry'!AB145)),IF(AND(ISNUMBER('Council Entry'!AB$8),ISNUMBER('Council Entry'!AB$9)),MAX(MIN('Council Entry'!AB145,'Council Entry'!AB$9),'Council Entry'!AB$8),'Council Entry'!AB145))))-'Council Entry'!AB$5)/('Council Entry'!AB$6-'Council Entry'!AB$5)),1))),"No data"))</f>
        <v/>
      </c>
      <c r="AC145" s="13">
        <f>IF('Council Entry'!AC145="","",IFERROR(MAX(0,MIN(10,ROUND(IF('Council Entry'!AC$7="Decrease Risk",10-10*((IF('Council Entry'!AC$4="Logarithm",LN(0.001+IF(AND(ISNUMBER('Council Entry'!AC$8),ISNUMBER('Council Entry'!AC$9)),MAX(MIN('Council Entry'!AC145,'Council Entry'!AC$9),'Council Entry'!AC$8),'Council Entry'!AC145)),IF('Council Entry'!AC$4="Exponential",EXP(IF(AND(ISNUMBER('Council Entry'!AC$8),ISNUMBER('Council Entry'!AC$9)),MAX(MIN('Council Entry'!AC145,'Council Entry'!AC$9),'Council Entry'!AC$8),'Council Entry'!AC145)),IF(AND(ISNUMBER('Council Entry'!AC$8),ISNUMBER('Council Entry'!AC$9)),MAX(MIN('Council Entry'!AC145,'Council Entry'!AC$9),'Council Entry'!AC$8),'Council Entry'!AC145))))-'Council Entry'!AC$5)/('Council Entry'!AC$6-'Council Entry'!AC$5),10*((IF('Council Entry'!AC$4="Logarithm",LN(0.001+IF(AND(ISNUMBER('Council Entry'!AC$8),ISNUMBER('Council Entry'!AC$9)),MAX(MIN('Council Entry'!AC145,'Council Entry'!AC$9),'Council Entry'!AC$8),'Council Entry'!AC145)),IF('Council Entry'!AC$4="Exponential",EXP(IF(AND(ISNUMBER('Council Entry'!AC$8),ISNUMBER('Council Entry'!AC$9)),MAX(MIN('Council Entry'!AC145,'Council Entry'!AC$9),'Council Entry'!AC$8),'Council Entry'!AC145)),IF(AND(ISNUMBER('Council Entry'!AC$8),ISNUMBER('Council Entry'!AC$9)),MAX(MIN('Council Entry'!AC145,'Council Entry'!AC$9),'Council Entry'!AC$8),'Council Entry'!AC145))))-'Council Entry'!AC$5)/('Council Entry'!AC$6-'Council Entry'!AC$5)),1))),"No data"))</f>
        <v/>
      </c>
      <c r="AD145" s="13">
        <f>IF('Council Entry'!AD145="","",IFERROR(MAX(0,MIN(10,ROUND(IF('Council Entry'!AD$7="Decrease Risk",10-10*((IF('Council Entry'!AD$4="Logarithm",LN(0.001+IF(AND(ISNUMBER('Council Entry'!AD$8),ISNUMBER('Council Entry'!AD$9)),MAX(MIN('Council Entry'!AD145,'Council Entry'!AD$9),'Council Entry'!AD$8),'Council Entry'!AD145)),IF('Council Entry'!AD$4="Exponential",EXP(IF(AND(ISNUMBER('Council Entry'!AD$8),ISNUMBER('Council Entry'!AD$9)),MAX(MIN('Council Entry'!AD145,'Council Entry'!AD$9),'Council Entry'!AD$8),'Council Entry'!AD145)),IF(AND(ISNUMBER('Council Entry'!AD$8),ISNUMBER('Council Entry'!AD$9)),MAX(MIN('Council Entry'!AD145,'Council Entry'!AD$9),'Council Entry'!AD$8),'Council Entry'!AD145))))-'Council Entry'!AD$5)/('Council Entry'!AD$6-'Council Entry'!AD$5),10*((IF('Council Entry'!AD$4="Logarithm",LN(0.001+IF(AND(ISNUMBER('Council Entry'!AD$8),ISNUMBER('Council Entry'!AD$9)),MAX(MIN('Council Entry'!AD145,'Council Entry'!AD$9),'Council Entry'!AD$8),'Council Entry'!AD145)),IF('Council Entry'!AD$4="Exponential",EXP(IF(AND(ISNUMBER('Council Entry'!AD$8),ISNUMBER('Council Entry'!AD$9)),MAX(MIN('Council Entry'!AD145,'Council Entry'!AD$9),'Council Entry'!AD$8),'Council Entry'!AD145)),IF(AND(ISNUMBER('Council Entry'!AD$8),ISNUMBER('Council Entry'!AD$9)),MAX(MIN('Council Entry'!AD145,'Council Entry'!AD$9),'Council Entry'!AD$8),'Council Entry'!AD145))))-'Council Entry'!AD$5)/('Council Entry'!AD$6-'Council Entry'!AD$5)),1))),"No data"))</f>
        <v/>
      </c>
      <c r="AE145" s="13">
        <f>IF('Council Entry'!AE145="","",IFERROR(MAX(0,MIN(10,ROUND(IF('Council Entry'!AE$7="Decrease Risk",10-10*((IF('Council Entry'!AE$4="Logarithm",LN(0.001+IF(AND(ISNUMBER('Council Entry'!AE$8),ISNUMBER('Council Entry'!AE$9)),MAX(MIN('Council Entry'!AE145,'Council Entry'!AE$9),'Council Entry'!AE$8),'Council Entry'!AE145)),IF('Council Entry'!AE$4="Exponential",EXP(IF(AND(ISNUMBER('Council Entry'!AE$8),ISNUMBER('Council Entry'!AE$9)),MAX(MIN('Council Entry'!AE145,'Council Entry'!AE$9),'Council Entry'!AE$8),'Council Entry'!AE145)),IF(AND(ISNUMBER('Council Entry'!AE$8),ISNUMBER('Council Entry'!AE$9)),MAX(MIN('Council Entry'!AE145,'Council Entry'!AE$9),'Council Entry'!AE$8),'Council Entry'!AE145))))-'Council Entry'!AE$5)/('Council Entry'!AE$6-'Council Entry'!AE$5),10*((IF('Council Entry'!AE$4="Logarithm",LN(0.001+IF(AND(ISNUMBER('Council Entry'!AE$8),ISNUMBER('Council Entry'!AE$9)),MAX(MIN('Council Entry'!AE145,'Council Entry'!AE$9),'Council Entry'!AE$8),'Council Entry'!AE145)),IF('Council Entry'!AE$4="Exponential",EXP(IF(AND(ISNUMBER('Council Entry'!AE$8),ISNUMBER('Council Entry'!AE$9)),MAX(MIN('Council Entry'!AE145,'Council Entry'!AE$9),'Council Entry'!AE$8),'Council Entry'!AE145)),IF(AND(ISNUMBER('Council Entry'!AE$8),ISNUMBER('Council Entry'!AE$9)),MAX(MIN('Council Entry'!AE145,'Council Entry'!AE$9),'Council Entry'!AE$8),'Council Entry'!AE145))))-'Council Entry'!AE$5)/('Council Entry'!AE$6-'Council Entry'!AE$5)),1))),"No data"))</f>
        <v/>
      </c>
      <c r="AF145" s="13">
        <f>IF('Council Entry'!AF145="","",IFERROR(MAX(0,MIN(10,ROUND(IF('Council Entry'!AF$7="Decrease Risk",10-10*((IF('Council Entry'!AF$4="Logarithm",LN(0.001+IF(AND(ISNUMBER('Council Entry'!AF$8),ISNUMBER('Council Entry'!AF$9)),MAX(MIN('Council Entry'!AF145,'Council Entry'!AF$9),'Council Entry'!AF$8),'Council Entry'!AF145)),IF('Council Entry'!AF$4="Exponential",EXP(IF(AND(ISNUMBER('Council Entry'!AF$8),ISNUMBER('Council Entry'!AF$9)),MAX(MIN('Council Entry'!AF145,'Council Entry'!AF$9),'Council Entry'!AF$8),'Council Entry'!AF145)),IF(AND(ISNUMBER('Council Entry'!AF$8),ISNUMBER('Council Entry'!AF$9)),MAX(MIN('Council Entry'!AF145,'Council Entry'!AF$9),'Council Entry'!AF$8),'Council Entry'!AF145))))-'Council Entry'!AF$5)/('Council Entry'!AF$6-'Council Entry'!AF$5),10*((IF('Council Entry'!AF$4="Logarithm",LN(0.001+IF(AND(ISNUMBER('Council Entry'!AF$8),ISNUMBER('Council Entry'!AF$9)),MAX(MIN('Council Entry'!AF145,'Council Entry'!AF$9),'Council Entry'!AF$8),'Council Entry'!AF145)),IF('Council Entry'!AF$4="Exponential",EXP(IF(AND(ISNUMBER('Council Entry'!AF$8),ISNUMBER('Council Entry'!AF$9)),MAX(MIN('Council Entry'!AF145,'Council Entry'!AF$9),'Council Entry'!AF$8),'Council Entry'!AF145)),IF(AND(ISNUMBER('Council Entry'!AF$8),ISNUMBER('Council Entry'!AF$9)),MAX(MIN('Council Entry'!AF145,'Council Entry'!AF$9),'Council Entry'!AF$8),'Council Entry'!AF145))))-'Council Entry'!AF$5)/('Council Entry'!AF$6-'Council Entry'!AF$5)),1))),"No data"))</f>
        <v/>
      </c>
      <c r="AG145" s="13">
        <f>IF('Council Entry'!AG145="","",IFERROR(MAX(0,MIN(10,ROUND(IF('Council Entry'!AG$7="Decrease Risk",10-10*((IF('Council Entry'!AG$4="Logarithm",LN(0.001+IF(AND(ISNUMBER('Council Entry'!AG$8),ISNUMBER('Council Entry'!AG$9)),MAX(MIN('Council Entry'!AG145,'Council Entry'!AG$9),'Council Entry'!AG$8),'Council Entry'!AG145)),IF('Council Entry'!AG$4="Exponential",EXP(IF(AND(ISNUMBER('Council Entry'!AG$8),ISNUMBER('Council Entry'!AG$9)),MAX(MIN('Council Entry'!AG145,'Council Entry'!AG$9),'Council Entry'!AG$8),'Council Entry'!AG145)),IF(AND(ISNUMBER('Council Entry'!AG$8),ISNUMBER('Council Entry'!AG$9)),MAX(MIN('Council Entry'!AG145,'Council Entry'!AG$9),'Council Entry'!AG$8),'Council Entry'!AG145))))-'Council Entry'!AG$5)/('Council Entry'!AG$6-'Council Entry'!AG$5),10*((IF('Council Entry'!AG$4="Logarithm",LN(0.001+IF(AND(ISNUMBER('Council Entry'!AG$8),ISNUMBER('Council Entry'!AG$9)),MAX(MIN('Council Entry'!AG145,'Council Entry'!AG$9),'Council Entry'!AG$8),'Council Entry'!AG145)),IF('Council Entry'!AG$4="Exponential",EXP(IF(AND(ISNUMBER('Council Entry'!AG$8),ISNUMBER('Council Entry'!AG$9)),MAX(MIN('Council Entry'!AG145,'Council Entry'!AG$9),'Council Entry'!AG$8),'Council Entry'!AG145)),IF(AND(ISNUMBER('Council Entry'!AG$8),ISNUMBER('Council Entry'!AG$9)),MAX(MIN('Council Entry'!AG145,'Council Entry'!AG$9),'Council Entry'!AG$8),'Council Entry'!AG145))))-'Council Entry'!AG$5)/('Council Entry'!AG$6-'Council Entry'!AG$5)),1))),"No data"))</f>
        <v/>
      </c>
      <c r="AH145" s="13">
        <f>IF('Council Entry'!AH145="","",IFERROR(MAX(0,MIN(10,ROUND(IF('Council Entry'!AH$7="Decrease Risk",10-10*((IF('Council Entry'!AH$4="Logarithm",LN(0.001+IF(AND(ISNUMBER('Council Entry'!AH$8),ISNUMBER('Council Entry'!AH$9)),MAX(MIN('Council Entry'!AH145,'Council Entry'!AH$9),'Council Entry'!AH$8),'Council Entry'!AH145)),IF('Council Entry'!AH$4="Exponential",EXP(IF(AND(ISNUMBER('Council Entry'!AH$8),ISNUMBER('Council Entry'!AH$9)),MAX(MIN('Council Entry'!AH145,'Council Entry'!AH$9),'Council Entry'!AH$8),'Council Entry'!AH145)),IF(AND(ISNUMBER('Council Entry'!AH$8),ISNUMBER('Council Entry'!AH$9)),MAX(MIN('Council Entry'!AH145,'Council Entry'!AH$9),'Council Entry'!AH$8),'Council Entry'!AH145))))-'Council Entry'!AH$5)/('Council Entry'!AH$6-'Council Entry'!AH$5),10*((IF('Council Entry'!AH$4="Logarithm",LN(0.001+IF(AND(ISNUMBER('Council Entry'!AH$8),ISNUMBER('Council Entry'!AH$9)),MAX(MIN('Council Entry'!AH145,'Council Entry'!AH$9),'Council Entry'!AH$8),'Council Entry'!AH145)),IF('Council Entry'!AH$4="Exponential",EXP(IF(AND(ISNUMBER('Council Entry'!AH$8),ISNUMBER('Council Entry'!AH$9)),MAX(MIN('Council Entry'!AH145,'Council Entry'!AH$9),'Council Entry'!AH$8),'Council Entry'!AH145)),IF(AND(ISNUMBER('Council Entry'!AH$8),ISNUMBER('Council Entry'!AH$9)),MAX(MIN('Council Entry'!AH145,'Council Entry'!AH$9),'Council Entry'!AH$8),'Council Entry'!AH145))))-'Council Entry'!AH$5)/('Council Entry'!AH$6-'Council Entry'!AH$5)),1))),"No data"))</f>
        <v/>
      </c>
      <c r="AI145" s="13">
        <f>IF('Council Entry'!AI145="","",IFERROR(MAX(0,MIN(10,ROUND(IF('Council Entry'!AI$7="Decrease Risk",10-10*((IF('Council Entry'!AI$4="Logarithm",LN(0.001+IF(AND(ISNUMBER('Council Entry'!AI$8),ISNUMBER('Council Entry'!AI$9)),MAX(MIN('Council Entry'!AI145,'Council Entry'!AI$9),'Council Entry'!AI$8),'Council Entry'!AI145)),IF('Council Entry'!AI$4="Exponential",EXP(IF(AND(ISNUMBER('Council Entry'!AI$8),ISNUMBER('Council Entry'!AI$9)),MAX(MIN('Council Entry'!AI145,'Council Entry'!AI$9),'Council Entry'!AI$8),'Council Entry'!AI145)),IF(AND(ISNUMBER('Council Entry'!AI$8),ISNUMBER('Council Entry'!AI$9)),MAX(MIN('Council Entry'!AI145,'Council Entry'!AI$9),'Council Entry'!AI$8),'Council Entry'!AI145))))-'Council Entry'!AI$5)/('Council Entry'!AI$6-'Council Entry'!AI$5),10*((IF('Council Entry'!AI$4="Logarithm",LN(0.001+IF(AND(ISNUMBER('Council Entry'!AI$8),ISNUMBER('Council Entry'!AI$9)),MAX(MIN('Council Entry'!AI145,'Council Entry'!AI$9),'Council Entry'!AI$8),'Council Entry'!AI145)),IF('Council Entry'!AI$4="Exponential",EXP(IF(AND(ISNUMBER('Council Entry'!AI$8),ISNUMBER('Council Entry'!AI$9)),MAX(MIN('Council Entry'!AI145,'Council Entry'!AI$9),'Council Entry'!AI$8),'Council Entry'!AI145)),IF(AND(ISNUMBER('Council Entry'!AI$8),ISNUMBER('Council Entry'!AI$9)),MAX(MIN('Council Entry'!AI145,'Council Entry'!AI$9),'Council Entry'!AI$8),'Council Entry'!AI145))))-'Council Entry'!AI$5)/('Council Entry'!AI$6-'Council Entry'!AI$5)),1))),"No data"))</f>
        <v/>
      </c>
      <c r="AJ145" s="13">
        <f>IF('Council Entry'!AJ145="","",IFERROR(MAX(0,MIN(10,ROUND(IF('Council Entry'!AJ$7="Decrease Risk",10-10*((IF('Council Entry'!AJ$4="Logarithm",LN(0.001+IF(AND(ISNUMBER('Council Entry'!AJ$8),ISNUMBER('Council Entry'!AJ$9)),MAX(MIN('Council Entry'!AJ145,'Council Entry'!AJ$9),'Council Entry'!AJ$8),'Council Entry'!AJ145)),IF('Council Entry'!AJ$4="Exponential",EXP(IF(AND(ISNUMBER('Council Entry'!AJ$8),ISNUMBER('Council Entry'!AJ$9)),MAX(MIN('Council Entry'!AJ145,'Council Entry'!AJ$9),'Council Entry'!AJ$8),'Council Entry'!AJ145)),IF(AND(ISNUMBER('Council Entry'!AJ$8),ISNUMBER('Council Entry'!AJ$9)),MAX(MIN('Council Entry'!AJ145,'Council Entry'!AJ$9),'Council Entry'!AJ$8),'Council Entry'!AJ145))))-'Council Entry'!AJ$5)/('Council Entry'!AJ$6-'Council Entry'!AJ$5),10*((IF('Council Entry'!AJ$4="Logarithm",LN(0.001+IF(AND(ISNUMBER('Council Entry'!AJ$8),ISNUMBER('Council Entry'!AJ$9)),MAX(MIN('Council Entry'!AJ145,'Council Entry'!AJ$9),'Council Entry'!AJ$8),'Council Entry'!AJ145)),IF('Council Entry'!AJ$4="Exponential",EXP(IF(AND(ISNUMBER('Council Entry'!AJ$8),ISNUMBER('Council Entry'!AJ$9)),MAX(MIN('Council Entry'!AJ145,'Council Entry'!AJ$9),'Council Entry'!AJ$8),'Council Entry'!AJ145)),IF(AND(ISNUMBER('Council Entry'!AJ$8),ISNUMBER('Council Entry'!AJ$9)),MAX(MIN('Council Entry'!AJ145,'Council Entry'!AJ$9),'Council Entry'!AJ$8),'Council Entry'!AJ145))))-'Council Entry'!AJ$5)/('Council Entry'!AJ$6-'Council Entry'!AJ$5)),1))),"No data"))</f>
        <v/>
      </c>
      <c r="AK145" s="13">
        <f>IF('Council Entry'!AK145="","",IFERROR(MAX(0,MIN(10,ROUND(IF('Council Entry'!AK$7="Decrease Risk",10-10*((IF('Council Entry'!AK$4="Logarithm",LN(0.001+IF(AND(ISNUMBER('Council Entry'!AK$8),ISNUMBER('Council Entry'!AK$9)),MAX(MIN('Council Entry'!AK145,'Council Entry'!AK$9),'Council Entry'!AK$8),'Council Entry'!AK145)),IF('Council Entry'!AK$4="Exponential",EXP(IF(AND(ISNUMBER('Council Entry'!AK$8),ISNUMBER('Council Entry'!AK$9)),MAX(MIN('Council Entry'!AK145,'Council Entry'!AK$9),'Council Entry'!AK$8),'Council Entry'!AK145)),IF(AND(ISNUMBER('Council Entry'!AK$8),ISNUMBER('Council Entry'!AK$9)),MAX(MIN('Council Entry'!AK145,'Council Entry'!AK$9),'Council Entry'!AK$8),'Council Entry'!AK145))))-'Council Entry'!AK$5)/('Council Entry'!AK$6-'Council Entry'!AK$5),10*((IF('Council Entry'!AK$4="Logarithm",LN(0.001+IF(AND(ISNUMBER('Council Entry'!AK$8),ISNUMBER('Council Entry'!AK$9)),MAX(MIN('Council Entry'!AK145,'Council Entry'!AK$9),'Council Entry'!AK$8),'Council Entry'!AK145)),IF('Council Entry'!AK$4="Exponential",EXP(IF(AND(ISNUMBER('Council Entry'!AK$8),ISNUMBER('Council Entry'!AK$9)),MAX(MIN('Council Entry'!AK145,'Council Entry'!AK$9),'Council Entry'!AK$8),'Council Entry'!AK145)),IF(AND(ISNUMBER('Council Entry'!AK$8),ISNUMBER('Council Entry'!AK$9)),MAX(MIN('Council Entry'!AK145,'Council Entry'!AK$9),'Council Entry'!AK$8),'Council Entry'!AK145))))-'Council Entry'!AK$5)/('Council Entry'!AK$6-'Council Entry'!AK$5)),1))),"No data"))</f>
        <v/>
      </c>
      <c r="AL145" s="13">
        <f>IF('Council Entry'!AL145="","",IFERROR(MAX(0,MIN(10,ROUND(IF('Council Entry'!AL$7="Decrease Risk",10-10*((IF('Council Entry'!AL$4="Logarithm",LN(0.001+IF(AND(ISNUMBER('Council Entry'!AL$8),ISNUMBER('Council Entry'!AL$9)),MAX(MIN('Council Entry'!AL145,'Council Entry'!AL$9),'Council Entry'!AL$8),'Council Entry'!AL145)),IF('Council Entry'!AL$4="Exponential",EXP(IF(AND(ISNUMBER('Council Entry'!AL$8),ISNUMBER('Council Entry'!AL$9)),MAX(MIN('Council Entry'!AL145,'Council Entry'!AL$9),'Council Entry'!AL$8),'Council Entry'!AL145)),IF(AND(ISNUMBER('Council Entry'!AL$8),ISNUMBER('Council Entry'!AL$9)),MAX(MIN('Council Entry'!AL145,'Council Entry'!AL$9),'Council Entry'!AL$8),'Council Entry'!AL145))))-'Council Entry'!AL$5)/('Council Entry'!AL$6-'Council Entry'!AL$5),10*((IF('Council Entry'!AL$4="Logarithm",LN(0.001+IF(AND(ISNUMBER('Council Entry'!AL$8),ISNUMBER('Council Entry'!AL$9)),MAX(MIN('Council Entry'!AL145,'Council Entry'!AL$9),'Council Entry'!AL$8),'Council Entry'!AL145)),IF('Council Entry'!AL$4="Exponential",EXP(IF(AND(ISNUMBER('Council Entry'!AL$8),ISNUMBER('Council Entry'!AL$9)),MAX(MIN('Council Entry'!AL145,'Council Entry'!AL$9),'Council Entry'!AL$8),'Council Entry'!AL145)),IF(AND(ISNUMBER('Council Entry'!AL$8),ISNUMBER('Council Entry'!AL$9)),MAX(MIN('Council Entry'!AL145,'Council Entry'!AL$9),'Council Entry'!AL$8),'Council Entry'!AL145))))-'Council Entry'!AL$5)/('Council Entry'!AL$6-'Council Entry'!AL$5)),1))),"No data"))</f>
        <v/>
      </c>
      <c r="AM145" s="13">
        <f>IF('Council Entry'!AM145="","",IFERROR(MAX(0,MIN(10,ROUND(IF('Council Entry'!AM$7="Decrease Risk",10-10*((IF('Council Entry'!AM$4="Logarithm",LN(0.001+IF(AND(ISNUMBER('Council Entry'!AM$8),ISNUMBER('Council Entry'!AM$9)),MAX(MIN('Council Entry'!AM145,'Council Entry'!AM$9),'Council Entry'!AM$8),'Council Entry'!AM145)),IF('Council Entry'!AM$4="Exponential",EXP(IF(AND(ISNUMBER('Council Entry'!AM$8),ISNUMBER('Council Entry'!AM$9)),MAX(MIN('Council Entry'!AM145,'Council Entry'!AM$9),'Council Entry'!AM$8),'Council Entry'!AM145)),IF(AND(ISNUMBER('Council Entry'!AM$8),ISNUMBER('Council Entry'!AM$9)),MAX(MIN('Council Entry'!AM145,'Council Entry'!AM$9),'Council Entry'!AM$8),'Council Entry'!AM145))))-'Council Entry'!AM$5)/('Council Entry'!AM$6-'Council Entry'!AM$5),10*((IF('Council Entry'!AM$4="Logarithm",LN(0.001+IF(AND(ISNUMBER('Council Entry'!AM$8),ISNUMBER('Council Entry'!AM$9)),MAX(MIN('Council Entry'!AM145,'Council Entry'!AM$9),'Council Entry'!AM$8),'Council Entry'!AM145)),IF('Council Entry'!AM$4="Exponential",EXP(IF(AND(ISNUMBER('Council Entry'!AM$8),ISNUMBER('Council Entry'!AM$9)),MAX(MIN('Council Entry'!AM145,'Council Entry'!AM$9),'Council Entry'!AM$8),'Council Entry'!AM145)),IF(AND(ISNUMBER('Council Entry'!AM$8),ISNUMBER('Council Entry'!AM$9)),MAX(MIN('Council Entry'!AM145,'Council Entry'!AM$9),'Council Entry'!AM$8),'Council Entry'!AM145))))-'Council Entry'!AM$5)/('Council Entry'!AM$6-'Council Entry'!AM$5)),1))),"No data"))</f>
        <v/>
      </c>
      <c r="AN145" s="13">
        <f>IF('Council Entry'!AN145="","",IFERROR(MAX(0,MIN(10,ROUND(IF('Council Entry'!AN$7="Decrease Risk",10-10*((IF('Council Entry'!AN$4="Logarithm",LN(0.001+IF(AND(ISNUMBER('Council Entry'!AN$8),ISNUMBER('Council Entry'!AN$9)),MAX(MIN('Council Entry'!AN145,'Council Entry'!AN$9),'Council Entry'!AN$8),'Council Entry'!AN145)),IF('Council Entry'!AN$4="Exponential",EXP(IF(AND(ISNUMBER('Council Entry'!AN$8),ISNUMBER('Council Entry'!AN$9)),MAX(MIN('Council Entry'!AN145,'Council Entry'!AN$9),'Council Entry'!AN$8),'Council Entry'!AN145)),IF(AND(ISNUMBER('Council Entry'!AN$8),ISNUMBER('Council Entry'!AN$9)),MAX(MIN('Council Entry'!AN145,'Council Entry'!AN$9),'Council Entry'!AN$8),'Council Entry'!AN145))))-'Council Entry'!AN$5)/('Council Entry'!AN$6-'Council Entry'!AN$5),10*((IF('Council Entry'!AN$4="Logarithm",LN(0.001+IF(AND(ISNUMBER('Council Entry'!AN$8),ISNUMBER('Council Entry'!AN$9)),MAX(MIN('Council Entry'!AN145,'Council Entry'!AN$9),'Council Entry'!AN$8),'Council Entry'!AN145)),IF('Council Entry'!AN$4="Exponential",EXP(IF(AND(ISNUMBER('Council Entry'!AN$8),ISNUMBER('Council Entry'!AN$9)),MAX(MIN('Council Entry'!AN145,'Council Entry'!AN$9),'Council Entry'!AN$8),'Council Entry'!AN145)),IF(AND(ISNUMBER('Council Entry'!AN$8),ISNUMBER('Council Entry'!AN$9)),MAX(MIN('Council Entry'!AN145,'Council Entry'!AN$9),'Council Entry'!AN$8),'Council Entry'!AN145))))-'Council Entry'!AN$5)/('Council Entry'!AN$6-'Council Entry'!AN$5)),1))),"No data"))</f>
        <v/>
      </c>
      <c r="AO145" s="13">
        <f>IF('Council Entry'!AO145="","",IFERROR(MAX(0,MIN(10,ROUND(IF('Council Entry'!AO$7="Decrease Risk",10-10*((IF('Council Entry'!AO$4="Logarithm",LN(0.001+IF(AND(ISNUMBER('Council Entry'!AO$8),ISNUMBER('Council Entry'!AO$9)),MAX(MIN('Council Entry'!AO145,'Council Entry'!AO$9),'Council Entry'!AO$8),'Council Entry'!AO145)),IF('Council Entry'!AO$4="Exponential",EXP(IF(AND(ISNUMBER('Council Entry'!AO$8),ISNUMBER('Council Entry'!AO$9)),MAX(MIN('Council Entry'!AO145,'Council Entry'!AO$9),'Council Entry'!AO$8),'Council Entry'!AO145)),IF(AND(ISNUMBER('Council Entry'!AO$8),ISNUMBER('Council Entry'!AO$9)),MAX(MIN('Council Entry'!AO145,'Council Entry'!AO$9),'Council Entry'!AO$8),'Council Entry'!AO145))))-'Council Entry'!AO$5)/('Council Entry'!AO$6-'Council Entry'!AO$5),10*((IF('Council Entry'!AO$4="Logarithm",LN(0.001+IF(AND(ISNUMBER('Council Entry'!AO$8),ISNUMBER('Council Entry'!AO$9)),MAX(MIN('Council Entry'!AO145,'Council Entry'!AO$9),'Council Entry'!AO$8),'Council Entry'!AO145)),IF('Council Entry'!AO$4="Exponential",EXP(IF(AND(ISNUMBER('Council Entry'!AO$8),ISNUMBER('Council Entry'!AO$9)),MAX(MIN('Council Entry'!AO145,'Council Entry'!AO$9),'Council Entry'!AO$8),'Council Entry'!AO145)),IF(AND(ISNUMBER('Council Entry'!AO$8),ISNUMBER('Council Entry'!AO$9)),MAX(MIN('Council Entry'!AO145,'Council Entry'!AO$9),'Council Entry'!AO$8),'Council Entry'!AO145))))-'Council Entry'!AO$5)/('Council Entry'!AO$6-'Council Entry'!AO$5)),1))),"No data"))</f>
        <v/>
      </c>
      <c r="AP145" s="13">
        <f>IF('Council Entry'!AP145="","",IFERROR(MAX(0,MIN(10,ROUND(IF('Council Entry'!AP$7="Decrease Risk",10-10*((IF('Council Entry'!AP$4="Logarithm",LN(0.001+IF(AND(ISNUMBER('Council Entry'!AP$8),ISNUMBER('Council Entry'!AP$9)),MAX(MIN('Council Entry'!AP145,'Council Entry'!AP$9),'Council Entry'!AP$8),'Council Entry'!AP145)),IF('Council Entry'!AP$4="Exponential",EXP(IF(AND(ISNUMBER('Council Entry'!AP$8),ISNUMBER('Council Entry'!AP$9)),MAX(MIN('Council Entry'!AP145,'Council Entry'!AP$9),'Council Entry'!AP$8),'Council Entry'!AP145)),IF(AND(ISNUMBER('Council Entry'!AP$8),ISNUMBER('Council Entry'!AP$9)),MAX(MIN('Council Entry'!AP145,'Council Entry'!AP$9),'Council Entry'!AP$8),'Council Entry'!AP145))))-'Council Entry'!AP$5)/('Council Entry'!AP$6-'Council Entry'!AP$5),10*((IF('Council Entry'!AP$4="Logarithm",LN(0.001+IF(AND(ISNUMBER('Council Entry'!AP$8),ISNUMBER('Council Entry'!AP$9)),MAX(MIN('Council Entry'!AP145,'Council Entry'!AP$9),'Council Entry'!AP$8),'Council Entry'!AP145)),IF('Council Entry'!AP$4="Exponential",EXP(IF(AND(ISNUMBER('Council Entry'!AP$8),ISNUMBER('Council Entry'!AP$9)),MAX(MIN('Council Entry'!AP145,'Council Entry'!AP$9),'Council Entry'!AP$8),'Council Entry'!AP145)),IF(AND(ISNUMBER('Council Entry'!AP$8),ISNUMBER('Council Entry'!AP$9)),MAX(MIN('Council Entry'!AP145,'Council Entry'!AP$9),'Council Entry'!AP$8),'Council Entry'!AP145))))-'Council Entry'!AP$5)/('Council Entry'!AP$6-'Council Entry'!AP$5)),1))),"No data"))</f>
        <v/>
      </c>
      <c r="AQ145" s="13">
        <f>IF('Council Entry'!AQ145="","",IFERROR(MAX(0,MIN(10,ROUND(IF('Council Entry'!AQ$7="Decrease Risk",10-10*((IF('Council Entry'!AQ$4="Logarithm",LN(0.001+IF(AND(ISNUMBER('Council Entry'!AQ$8),ISNUMBER('Council Entry'!AQ$9)),MAX(MIN('Council Entry'!AQ145,'Council Entry'!AQ$9),'Council Entry'!AQ$8),'Council Entry'!AQ145)),IF('Council Entry'!AQ$4="Exponential",EXP(IF(AND(ISNUMBER('Council Entry'!AQ$8),ISNUMBER('Council Entry'!AQ$9)),MAX(MIN('Council Entry'!AQ145,'Council Entry'!AQ$9),'Council Entry'!AQ$8),'Council Entry'!AQ145)),IF(AND(ISNUMBER('Council Entry'!AQ$8),ISNUMBER('Council Entry'!AQ$9)),MAX(MIN('Council Entry'!AQ145,'Council Entry'!AQ$9),'Council Entry'!AQ$8),'Council Entry'!AQ145))))-'Council Entry'!AQ$5)/('Council Entry'!AQ$6-'Council Entry'!AQ$5),10*((IF('Council Entry'!AQ$4="Logarithm",LN(0.001+IF(AND(ISNUMBER('Council Entry'!AQ$8),ISNUMBER('Council Entry'!AQ$9)),MAX(MIN('Council Entry'!AQ145,'Council Entry'!AQ$9),'Council Entry'!AQ$8),'Council Entry'!AQ145)),IF('Council Entry'!AQ$4="Exponential",EXP(IF(AND(ISNUMBER('Council Entry'!AQ$8),ISNUMBER('Council Entry'!AQ$9)),MAX(MIN('Council Entry'!AQ145,'Council Entry'!AQ$9),'Council Entry'!AQ$8),'Council Entry'!AQ145)),IF(AND(ISNUMBER('Council Entry'!AQ$8),ISNUMBER('Council Entry'!AQ$9)),MAX(MIN('Council Entry'!AQ145,'Council Entry'!AQ$9),'Council Entry'!AQ$8),'Council Entry'!AQ145))))-'Council Entry'!AQ$5)/('Council Entry'!AQ$6-'Council Entry'!AQ$5)),1))),"No data"))</f>
        <v/>
      </c>
      <c r="AR145" s="13">
        <f>IF('Council Entry'!AR145="","",IFERROR(MAX(0,MIN(10,ROUND(IF('Council Entry'!AR$7="Decrease Risk",10-10*((IF('Council Entry'!AR$4="Logarithm",LN(0.001+IF(AND(ISNUMBER('Council Entry'!AR$8),ISNUMBER('Council Entry'!AR$9)),MAX(MIN('Council Entry'!AR145,'Council Entry'!AR$9),'Council Entry'!AR$8),'Council Entry'!AR145)),IF('Council Entry'!AR$4="Exponential",EXP(IF(AND(ISNUMBER('Council Entry'!AR$8),ISNUMBER('Council Entry'!AR$9)),MAX(MIN('Council Entry'!AR145,'Council Entry'!AR$9),'Council Entry'!AR$8),'Council Entry'!AR145)),IF(AND(ISNUMBER('Council Entry'!AR$8),ISNUMBER('Council Entry'!AR$9)),MAX(MIN('Council Entry'!AR145,'Council Entry'!AR$9),'Council Entry'!AR$8),'Council Entry'!AR145))))-'Council Entry'!AR$5)/('Council Entry'!AR$6-'Council Entry'!AR$5),10*((IF('Council Entry'!AR$4="Logarithm",LN(0.001+IF(AND(ISNUMBER('Council Entry'!AR$8),ISNUMBER('Council Entry'!AR$9)),MAX(MIN('Council Entry'!AR145,'Council Entry'!AR$9),'Council Entry'!AR$8),'Council Entry'!AR145)),IF('Council Entry'!AR$4="Exponential",EXP(IF(AND(ISNUMBER('Council Entry'!AR$8),ISNUMBER('Council Entry'!AR$9)),MAX(MIN('Council Entry'!AR145,'Council Entry'!AR$9),'Council Entry'!AR$8),'Council Entry'!AR145)),IF(AND(ISNUMBER('Council Entry'!AR$8),ISNUMBER('Council Entry'!AR$9)),MAX(MIN('Council Entry'!AR145,'Council Entry'!AR$9),'Council Entry'!AR$8),'Council Entry'!AR145))))-'Council Entry'!AR$5)/('Council Entry'!AR$6-'Council Entry'!AR$5)),1))),"No data"))</f>
        <v/>
      </c>
      <c r="AS145" s="13">
        <f>IF('Council Entry'!AS145="","",IFERROR(MAX(0,MIN(10,ROUND(IF('Council Entry'!AS$7="Decrease Risk",10-10*((IF('Council Entry'!AS$4="Logarithm",LN(0.001+IF(AND(ISNUMBER('Council Entry'!AS$8),ISNUMBER('Council Entry'!AS$9)),MAX(MIN('Council Entry'!AS145,'Council Entry'!AS$9),'Council Entry'!AS$8),'Council Entry'!AS145)),IF('Council Entry'!AS$4="Exponential",EXP(IF(AND(ISNUMBER('Council Entry'!AS$8),ISNUMBER('Council Entry'!AS$9)),MAX(MIN('Council Entry'!AS145,'Council Entry'!AS$9),'Council Entry'!AS$8),'Council Entry'!AS145)),IF(AND(ISNUMBER('Council Entry'!AS$8),ISNUMBER('Council Entry'!AS$9)),MAX(MIN('Council Entry'!AS145,'Council Entry'!AS$9),'Council Entry'!AS$8),'Council Entry'!AS145))))-'Council Entry'!AS$5)/('Council Entry'!AS$6-'Council Entry'!AS$5),10*((IF('Council Entry'!AS$4="Logarithm",LN(0.001+IF(AND(ISNUMBER('Council Entry'!AS$8),ISNUMBER('Council Entry'!AS$9)),MAX(MIN('Council Entry'!AS145,'Council Entry'!AS$9),'Council Entry'!AS$8),'Council Entry'!AS145)),IF('Council Entry'!AS$4="Exponential",EXP(IF(AND(ISNUMBER('Council Entry'!AS$8),ISNUMBER('Council Entry'!AS$9)),MAX(MIN('Council Entry'!AS145,'Council Entry'!AS$9),'Council Entry'!AS$8),'Council Entry'!AS145)),IF(AND(ISNUMBER('Council Entry'!AS$8),ISNUMBER('Council Entry'!AS$9)),MAX(MIN('Council Entry'!AS145,'Council Entry'!AS$9),'Council Entry'!AS$8),'Council Entry'!AS145))))-'Council Entry'!AS$5)/('Council Entry'!AS$6-'Council Entry'!AS$5)),1))),"No data"))</f>
        <v/>
      </c>
      <c r="AT145" s="13">
        <f>IF('Council Entry'!AT145="","",IFERROR(MAX(0,MIN(10,ROUND(IF('Council Entry'!AT$7="Decrease Risk",10-10*((IF('Council Entry'!AT$4="Logarithm",LN(0.001+IF(AND(ISNUMBER('Council Entry'!AT$8),ISNUMBER('Council Entry'!AT$9)),MAX(MIN('Council Entry'!AT145,'Council Entry'!AT$9),'Council Entry'!AT$8),'Council Entry'!AT145)),IF('Council Entry'!AT$4="Exponential",EXP(IF(AND(ISNUMBER('Council Entry'!AT$8),ISNUMBER('Council Entry'!AT$9)),MAX(MIN('Council Entry'!AT145,'Council Entry'!AT$9),'Council Entry'!AT$8),'Council Entry'!AT145)),IF(AND(ISNUMBER('Council Entry'!AT$8),ISNUMBER('Council Entry'!AT$9)),MAX(MIN('Council Entry'!AT145,'Council Entry'!AT$9),'Council Entry'!AT$8),'Council Entry'!AT145))))-'Council Entry'!AT$5)/('Council Entry'!AT$6-'Council Entry'!AT$5),10*((IF('Council Entry'!AT$4="Logarithm",LN(0.001+IF(AND(ISNUMBER('Council Entry'!AT$8),ISNUMBER('Council Entry'!AT$9)),MAX(MIN('Council Entry'!AT145,'Council Entry'!AT$9),'Council Entry'!AT$8),'Council Entry'!AT145)),IF('Council Entry'!AT$4="Exponential",EXP(IF(AND(ISNUMBER('Council Entry'!AT$8),ISNUMBER('Council Entry'!AT$9)),MAX(MIN('Council Entry'!AT145,'Council Entry'!AT$9),'Council Entry'!AT$8),'Council Entry'!AT145)),IF(AND(ISNUMBER('Council Entry'!AT$8),ISNUMBER('Council Entry'!AT$9)),MAX(MIN('Council Entry'!AT145,'Council Entry'!AT$9),'Council Entry'!AT$8),'Council Entry'!AT145))))-'Council Entry'!AT$5)/('Council Entry'!AT$6-'Council Entry'!AT$5)),1))),"No data"))</f>
        <v/>
      </c>
      <c r="AU145" s="13">
        <f>IF('Council Entry'!AU145="","",IFERROR(MAX(0,MIN(10,ROUND(IF('Council Entry'!AU$7="Decrease Risk",10-10*((IF('Council Entry'!AU$4="Logarithm",LN(0.001+IF(AND(ISNUMBER('Council Entry'!AU$8),ISNUMBER('Council Entry'!AU$9)),MAX(MIN('Council Entry'!AU145,'Council Entry'!AU$9),'Council Entry'!AU$8),'Council Entry'!AU145)),IF('Council Entry'!AU$4="Exponential",EXP(IF(AND(ISNUMBER('Council Entry'!AU$8),ISNUMBER('Council Entry'!AU$9)),MAX(MIN('Council Entry'!AU145,'Council Entry'!AU$9),'Council Entry'!AU$8),'Council Entry'!AU145)),IF(AND(ISNUMBER('Council Entry'!AU$8),ISNUMBER('Council Entry'!AU$9)),MAX(MIN('Council Entry'!AU145,'Council Entry'!AU$9),'Council Entry'!AU$8),'Council Entry'!AU145))))-'Council Entry'!AU$5)/('Council Entry'!AU$6-'Council Entry'!AU$5),10*((IF('Council Entry'!AU$4="Logarithm",LN(0.001+IF(AND(ISNUMBER('Council Entry'!AU$8),ISNUMBER('Council Entry'!AU$9)),MAX(MIN('Council Entry'!AU145,'Council Entry'!AU$9),'Council Entry'!AU$8),'Council Entry'!AU145)),IF('Council Entry'!AU$4="Exponential",EXP(IF(AND(ISNUMBER('Council Entry'!AU$8),ISNUMBER('Council Entry'!AU$9)),MAX(MIN('Council Entry'!AU145,'Council Entry'!AU$9),'Council Entry'!AU$8),'Council Entry'!AU145)),IF(AND(ISNUMBER('Council Entry'!AU$8),ISNUMBER('Council Entry'!AU$9)),MAX(MIN('Council Entry'!AU145,'Council Entry'!AU$9),'Council Entry'!AU$8),'Council Entry'!AU145))))-'Council Entry'!AU$5)/('Council Entry'!AU$6-'Council Entry'!AU$5)),1))),"No data"))</f>
        <v/>
      </c>
      <c r="AV145" s="13">
        <f>IF('Council Entry'!AV145="","",IFERROR(MAX(0,MIN(10,ROUND(IF('Council Entry'!AV$7="Decrease Risk",10-10*((IF('Council Entry'!AV$4="Logarithm",LN(0.001+IF(AND(ISNUMBER('Council Entry'!AV$8),ISNUMBER('Council Entry'!AV$9)),MAX(MIN('Council Entry'!AV145,'Council Entry'!AV$9),'Council Entry'!AV$8),'Council Entry'!AV145)),IF('Council Entry'!AV$4="Exponential",EXP(IF(AND(ISNUMBER('Council Entry'!AV$8),ISNUMBER('Council Entry'!AV$9)),MAX(MIN('Council Entry'!AV145,'Council Entry'!AV$9),'Council Entry'!AV$8),'Council Entry'!AV145)),IF(AND(ISNUMBER('Council Entry'!AV$8),ISNUMBER('Council Entry'!AV$9)),MAX(MIN('Council Entry'!AV145,'Council Entry'!AV$9),'Council Entry'!AV$8),'Council Entry'!AV145))))-'Council Entry'!AV$5)/('Council Entry'!AV$6-'Council Entry'!AV$5),10*((IF('Council Entry'!AV$4="Logarithm",LN(0.001+IF(AND(ISNUMBER('Council Entry'!AV$8),ISNUMBER('Council Entry'!AV$9)),MAX(MIN('Council Entry'!AV145,'Council Entry'!AV$9),'Council Entry'!AV$8),'Council Entry'!AV145)),IF('Council Entry'!AV$4="Exponential",EXP(IF(AND(ISNUMBER('Council Entry'!AV$8),ISNUMBER('Council Entry'!AV$9)),MAX(MIN('Council Entry'!AV145,'Council Entry'!AV$9),'Council Entry'!AV$8),'Council Entry'!AV145)),IF(AND(ISNUMBER('Council Entry'!AV$8),ISNUMBER('Council Entry'!AV$9)),MAX(MIN('Council Entry'!AV145,'Council Entry'!AV$9),'Council Entry'!AV$8),'Council Entry'!AV145))))-'Council Entry'!AV$5)/('Council Entry'!AV$6-'Council Entry'!AV$5)),1))),"No data"))</f>
        <v/>
      </c>
      <c r="AW145" s="13">
        <f>IF('Council Entry'!AW145="","",IFERROR(MAX(0,MIN(10,ROUND(IF('Council Entry'!AW$7="Decrease Risk",10-10*((IF('Council Entry'!AW$4="Logarithm",LN(0.001+IF(AND(ISNUMBER('Council Entry'!AW$8),ISNUMBER('Council Entry'!AW$9)),MAX(MIN('Council Entry'!AW145,'Council Entry'!AW$9),'Council Entry'!AW$8),'Council Entry'!AW145)),IF('Council Entry'!AW$4="Exponential",EXP(IF(AND(ISNUMBER('Council Entry'!AW$8),ISNUMBER('Council Entry'!AW$9)),MAX(MIN('Council Entry'!AW145,'Council Entry'!AW$9),'Council Entry'!AW$8),'Council Entry'!AW145)),IF(AND(ISNUMBER('Council Entry'!AW$8),ISNUMBER('Council Entry'!AW$9)),MAX(MIN('Council Entry'!AW145,'Council Entry'!AW$9),'Council Entry'!AW$8),'Council Entry'!AW145))))-'Council Entry'!AW$5)/('Council Entry'!AW$6-'Council Entry'!AW$5),10*((IF('Council Entry'!AW$4="Logarithm",LN(0.001+IF(AND(ISNUMBER('Council Entry'!AW$8),ISNUMBER('Council Entry'!AW$9)),MAX(MIN('Council Entry'!AW145,'Council Entry'!AW$9),'Council Entry'!AW$8),'Council Entry'!AW145)),IF('Council Entry'!AW$4="Exponential",EXP(IF(AND(ISNUMBER('Council Entry'!AW$8),ISNUMBER('Council Entry'!AW$9)),MAX(MIN('Council Entry'!AW145,'Council Entry'!AW$9),'Council Entry'!AW$8),'Council Entry'!AW145)),IF(AND(ISNUMBER('Council Entry'!AW$8),ISNUMBER('Council Entry'!AW$9)),MAX(MIN('Council Entry'!AW145,'Council Entry'!AW$9),'Council Entry'!AW$8),'Council Entry'!AW145))))-'Council Entry'!AW$5)/('Council Entry'!AW$6-'Council Entry'!AW$5)),1))),"No data"))</f>
        <v/>
      </c>
      <c r="AX145" s="13">
        <f>IF('Council Entry'!AX145="","",IFERROR(MAX(0,MIN(10,ROUND(IF('Council Entry'!AX$7="Decrease Risk",10-10*((IF('Council Entry'!AX$4="Logarithm",LN(0.001+IF(AND(ISNUMBER('Council Entry'!AX$8),ISNUMBER('Council Entry'!AX$9)),MAX(MIN('Council Entry'!AX145,'Council Entry'!AX$9),'Council Entry'!AX$8),'Council Entry'!AX145)),IF('Council Entry'!AX$4="Exponential",EXP(IF(AND(ISNUMBER('Council Entry'!AX$8),ISNUMBER('Council Entry'!AX$9)),MAX(MIN('Council Entry'!AX145,'Council Entry'!AX$9),'Council Entry'!AX$8),'Council Entry'!AX145)),IF(AND(ISNUMBER('Council Entry'!AX$8),ISNUMBER('Council Entry'!AX$9)),MAX(MIN('Council Entry'!AX145,'Council Entry'!AX$9),'Council Entry'!AX$8),'Council Entry'!AX145))))-'Council Entry'!AX$5)/('Council Entry'!AX$6-'Council Entry'!AX$5),10*((IF('Council Entry'!AX$4="Logarithm",LN(0.001+IF(AND(ISNUMBER('Council Entry'!AX$8),ISNUMBER('Council Entry'!AX$9)),MAX(MIN('Council Entry'!AX145,'Council Entry'!AX$9),'Council Entry'!AX$8),'Council Entry'!AX145)),IF('Council Entry'!AX$4="Exponential",EXP(IF(AND(ISNUMBER('Council Entry'!AX$8),ISNUMBER('Council Entry'!AX$9)),MAX(MIN('Council Entry'!AX145,'Council Entry'!AX$9),'Council Entry'!AX$8),'Council Entry'!AX145)),IF(AND(ISNUMBER('Council Entry'!AX$8),ISNUMBER('Council Entry'!AX$9)),MAX(MIN('Council Entry'!AX145,'Council Entry'!AX$9),'Council Entry'!AX$8),'Council Entry'!AX145))))-'Council Entry'!AX$5)/('Council Entry'!AX$6-'Council Entry'!AX$5)),1))),"No data"))</f>
        <v/>
      </c>
      <c r="AY145" s="13">
        <f>IF('Council Entry'!AY145="","",IFERROR(MAX(0,MIN(10,ROUND(IF('Council Entry'!AY$7="Decrease Risk",10-10*((IF('Council Entry'!AY$4="Logarithm",LN(0.001+IF(AND(ISNUMBER('Council Entry'!AY$8),ISNUMBER('Council Entry'!AY$9)),MAX(MIN('Council Entry'!AY145,'Council Entry'!AY$9),'Council Entry'!AY$8),'Council Entry'!AY145)),IF('Council Entry'!AY$4="Exponential",EXP(IF(AND(ISNUMBER('Council Entry'!AY$8),ISNUMBER('Council Entry'!AY$9)),MAX(MIN('Council Entry'!AY145,'Council Entry'!AY$9),'Council Entry'!AY$8),'Council Entry'!AY145)),IF(AND(ISNUMBER('Council Entry'!AY$8),ISNUMBER('Council Entry'!AY$9)),MAX(MIN('Council Entry'!AY145,'Council Entry'!AY$9),'Council Entry'!AY$8),'Council Entry'!AY145))))-'Council Entry'!AY$5)/('Council Entry'!AY$6-'Council Entry'!AY$5),10*((IF('Council Entry'!AY$4="Logarithm",LN(0.001+IF(AND(ISNUMBER('Council Entry'!AY$8),ISNUMBER('Council Entry'!AY$9)),MAX(MIN('Council Entry'!AY145,'Council Entry'!AY$9),'Council Entry'!AY$8),'Council Entry'!AY145)),IF('Council Entry'!AY$4="Exponential",EXP(IF(AND(ISNUMBER('Council Entry'!AY$8),ISNUMBER('Council Entry'!AY$9)),MAX(MIN('Council Entry'!AY145,'Council Entry'!AY$9),'Council Entry'!AY$8),'Council Entry'!AY145)),IF(AND(ISNUMBER('Council Entry'!AY$8),ISNUMBER('Council Entry'!AY$9)),MAX(MIN('Council Entry'!AY145,'Council Entry'!AY$9),'Council Entry'!AY$8),'Council Entry'!AY145))))-'Council Entry'!AY$5)/('Council Entry'!AY$6-'Council Entry'!AY$5)),1))),"No data"))</f>
        <v/>
      </c>
      <c r="AZ145" s="13">
        <f>IF('Council Entry'!AZ145="","",IFERROR(MAX(0,MIN(10,ROUND(IF('Council Entry'!AZ$7="Decrease Risk",10-10*((IF('Council Entry'!AZ$4="Logarithm",LN(0.001+IF(AND(ISNUMBER('Council Entry'!AZ$8),ISNUMBER('Council Entry'!AZ$9)),MAX(MIN('Council Entry'!AZ145,'Council Entry'!AZ$9),'Council Entry'!AZ$8),'Council Entry'!AZ145)),IF('Council Entry'!AZ$4="Exponential",EXP(IF(AND(ISNUMBER('Council Entry'!AZ$8),ISNUMBER('Council Entry'!AZ$9)),MAX(MIN('Council Entry'!AZ145,'Council Entry'!AZ$9),'Council Entry'!AZ$8),'Council Entry'!AZ145)),IF(AND(ISNUMBER('Council Entry'!AZ$8),ISNUMBER('Council Entry'!AZ$9)),MAX(MIN('Council Entry'!AZ145,'Council Entry'!AZ$9),'Council Entry'!AZ$8),'Council Entry'!AZ145))))-'Council Entry'!AZ$5)/('Council Entry'!AZ$6-'Council Entry'!AZ$5),10*((IF('Council Entry'!AZ$4="Logarithm",LN(0.001+IF(AND(ISNUMBER('Council Entry'!AZ$8),ISNUMBER('Council Entry'!AZ$9)),MAX(MIN('Council Entry'!AZ145,'Council Entry'!AZ$9),'Council Entry'!AZ$8),'Council Entry'!AZ145)),IF('Council Entry'!AZ$4="Exponential",EXP(IF(AND(ISNUMBER('Council Entry'!AZ$8),ISNUMBER('Council Entry'!AZ$9)),MAX(MIN('Council Entry'!AZ145,'Council Entry'!AZ$9),'Council Entry'!AZ$8),'Council Entry'!AZ145)),IF(AND(ISNUMBER('Council Entry'!AZ$8),ISNUMBER('Council Entry'!AZ$9)),MAX(MIN('Council Entry'!AZ145,'Council Entry'!AZ$9),'Council Entry'!AZ$8),'Council Entry'!AZ145))))-'Council Entry'!AZ$5)/('Council Entry'!AZ$6-'Council Entry'!AZ$5)),1))),"No data"))</f>
        <v/>
      </c>
      <c r="BA145" s="13">
        <f>IF('Council Entry'!BA145="","",IFERROR(MAX(0,MIN(10,ROUND(IF('Council Entry'!BA$7="Decrease Risk",10-10*((IF('Council Entry'!BA$4="Logarithm",LN(0.001+IF(AND(ISNUMBER('Council Entry'!BA$8),ISNUMBER('Council Entry'!BA$9)),MAX(MIN('Council Entry'!BA145,'Council Entry'!BA$9),'Council Entry'!BA$8),'Council Entry'!BA145)),IF('Council Entry'!BA$4="Exponential",EXP(IF(AND(ISNUMBER('Council Entry'!BA$8),ISNUMBER('Council Entry'!BA$9)),MAX(MIN('Council Entry'!BA145,'Council Entry'!BA$9),'Council Entry'!BA$8),'Council Entry'!BA145)),IF(AND(ISNUMBER('Council Entry'!BA$8),ISNUMBER('Council Entry'!BA$9)),MAX(MIN('Council Entry'!BA145,'Council Entry'!BA$9),'Council Entry'!BA$8),'Council Entry'!BA145))))-'Council Entry'!BA$5)/('Council Entry'!BA$6-'Council Entry'!BA$5),10*((IF('Council Entry'!BA$4="Logarithm",LN(0.001+IF(AND(ISNUMBER('Council Entry'!BA$8),ISNUMBER('Council Entry'!BA$9)),MAX(MIN('Council Entry'!BA145,'Council Entry'!BA$9),'Council Entry'!BA$8),'Council Entry'!BA145)),IF('Council Entry'!BA$4="Exponential",EXP(IF(AND(ISNUMBER('Council Entry'!BA$8),ISNUMBER('Council Entry'!BA$9)),MAX(MIN('Council Entry'!BA145,'Council Entry'!BA$9),'Council Entry'!BA$8),'Council Entry'!BA145)),IF(AND(ISNUMBER('Council Entry'!BA$8),ISNUMBER('Council Entry'!BA$9)),MAX(MIN('Council Entry'!BA145,'Council Entry'!BA$9),'Council Entry'!BA$8),'Council Entry'!BA145))))-'Council Entry'!BA$5)/('Council Entry'!BA$6-'Council Entry'!BA$5)),1))),"No data"))</f>
        <v/>
      </c>
      <c r="BB145" s="13">
        <f>IF('Council Entry'!BB145="","",IFERROR(MAX(0,MIN(10,ROUND(IF('Council Entry'!BB$7="Decrease Risk",10-10*((IF('Council Entry'!BB$4="Logarithm",LN(0.001+IF(AND(ISNUMBER('Council Entry'!BB$8),ISNUMBER('Council Entry'!BB$9)),MAX(MIN('Council Entry'!BB145,'Council Entry'!BB$9),'Council Entry'!BB$8),'Council Entry'!BB145)),IF('Council Entry'!BB$4="Exponential",EXP(IF(AND(ISNUMBER('Council Entry'!BB$8),ISNUMBER('Council Entry'!BB$9)),MAX(MIN('Council Entry'!BB145,'Council Entry'!BB$9),'Council Entry'!BB$8),'Council Entry'!BB145)),IF(AND(ISNUMBER('Council Entry'!BB$8),ISNUMBER('Council Entry'!BB$9)),MAX(MIN('Council Entry'!BB145,'Council Entry'!BB$9),'Council Entry'!BB$8),'Council Entry'!BB145))))-'Council Entry'!BB$5)/('Council Entry'!BB$6-'Council Entry'!BB$5),10*((IF('Council Entry'!BB$4="Logarithm",LN(0.001+IF(AND(ISNUMBER('Council Entry'!BB$8),ISNUMBER('Council Entry'!BB$9)),MAX(MIN('Council Entry'!BB145,'Council Entry'!BB$9),'Council Entry'!BB$8),'Council Entry'!BB145)),IF('Council Entry'!BB$4="Exponential",EXP(IF(AND(ISNUMBER('Council Entry'!BB$8),ISNUMBER('Council Entry'!BB$9)),MAX(MIN('Council Entry'!BB145,'Council Entry'!BB$9),'Council Entry'!BB$8),'Council Entry'!BB145)),IF(AND(ISNUMBER('Council Entry'!BB$8),ISNUMBER('Council Entry'!BB$9)),MAX(MIN('Council Entry'!BB145,'Council Entry'!BB$9),'Council Entry'!BB$8),'Council Entry'!BB145))))-'Council Entry'!BB$5)/('Council Entry'!BB$6-'Council Entry'!BB$5)),1))),"No data"))</f>
        <v/>
      </c>
      <c r="BC145" s="13">
        <f>IF('Council Entry'!BC145="","",IFERROR(MAX(0,MIN(10,ROUND(IF('Council Entry'!BC$7="Decrease Risk",10-10*((IF('Council Entry'!BC$4="Logarithm",LN(0.001+IF(AND(ISNUMBER('Council Entry'!BC$8),ISNUMBER('Council Entry'!BC$9)),MAX(MIN('Council Entry'!BC145,'Council Entry'!BC$9),'Council Entry'!BC$8),'Council Entry'!BC145)),IF('Council Entry'!BC$4="Exponential",EXP(IF(AND(ISNUMBER('Council Entry'!BC$8),ISNUMBER('Council Entry'!BC$9)),MAX(MIN('Council Entry'!BC145,'Council Entry'!BC$9),'Council Entry'!BC$8),'Council Entry'!BC145)),IF(AND(ISNUMBER('Council Entry'!BC$8),ISNUMBER('Council Entry'!BC$9)),MAX(MIN('Council Entry'!BC145,'Council Entry'!BC$9),'Council Entry'!BC$8),'Council Entry'!BC145))))-'Council Entry'!BC$5)/('Council Entry'!BC$6-'Council Entry'!BC$5),10*((IF('Council Entry'!BC$4="Logarithm",LN(0.001+IF(AND(ISNUMBER('Council Entry'!BC$8),ISNUMBER('Council Entry'!BC$9)),MAX(MIN('Council Entry'!BC145,'Council Entry'!BC$9),'Council Entry'!BC$8),'Council Entry'!BC145)),IF('Council Entry'!BC$4="Exponential",EXP(IF(AND(ISNUMBER('Council Entry'!BC$8),ISNUMBER('Council Entry'!BC$9)),MAX(MIN('Council Entry'!BC145,'Council Entry'!BC$9),'Council Entry'!BC$8),'Council Entry'!BC145)),IF(AND(ISNUMBER('Council Entry'!BC$8),ISNUMBER('Council Entry'!BC$9)),MAX(MIN('Council Entry'!BC145,'Council Entry'!BC$9),'Council Entry'!BC$8),'Council Entry'!BC145))))-'Council Entry'!BC$5)/('Council Entry'!BC$6-'Council Entry'!BC$5)),1))),"No data"))</f>
        <v/>
      </c>
      <c r="BD145" s="13">
        <f>IF('Council Entry'!BD145="","",IFERROR(MAX(0,MIN(10,ROUND(IF('Council Entry'!BD$7="Decrease Risk",10-10*((IF('Council Entry'!BD$4="Logarithm",LN(0.001+IF(AND(ISNUMBER('Council Entry'!BD$8),ISNUMBER('Council Entry'!BD$9)),MAX(MIN('Council Entry'!BD145,'Council Entry'!BD$9),'Council Entry'!BD$8),'Council Entry'!BD145)),IF('Council Entry'!BD$4="Exponential",EXP(IF(AND(ISNUMBER('Council Entry'!BD$8),ISNUMBER('Council Entry'!BD$9)),MAX(MIN('Council Entry'!BD145,'Council Entry'!BD$9),'Council Entry'!BD$8),'Council Entry'!BD145)),IF(AND(ISNUMBER('Council Entry'!BD$8),ISNUMBER('Council Entry'!BD$9)),MAX(MIN('Council Entry'!BD145,'Council Entry'!BD$9),'Council Entry'!BD$8),'Council Entry'!BD145))))-'Council Entry'!BD$5)/('Council Entry'!BD$6-'Council Entry'!BD$5),10*((IF('Council Entry'!BD$4="Logarithm",LN(0.001+IF(AND(ISNUMBER('Council Entry'!BD$8),ISNUMBER('Council Entry'!BD$9)),MAX(MIN('Council Entry'!BD145,'Council Entry'!BD$9),'Council Entry'!BD$8),'Council Entry'!BD145)),IF('Council Entry'!BD$4="Exponential",EXP(IF(AND(ISNUMBER('Council Entry'!BD$8),ISNUMBER('Council Entry'!BD$9)),MAX(MIN('Council Entry'!BD145,'Council Entry'!BD$9),'Council Entry'!BD$8),'Council Entry'!BD145)),IF(AND(ISNUMBER('Council Entry'!BD$8),ISNUMBER('Council Entry'!BD$9)),MAX(MIN('Council Entry'!BD145,'Council Entry'!BD$9),'Council Entry'!BD$8),'Council Entry'!BD145))))-'Council Entry'!BD$5)/('Council Entry'!BD$6-'Council Entry'!BD$5)),1))),"No data"))</f>
        <v/>
      </c>
    </row>
    <row r="146">
      <c r="A146" t="inlineStr">
        <is>
          <t>Pwani</t>
        </is>
      </c>
      <c r="B146" t="inlineStr">
        <is>
          <t>Kibiti District</t>
        </is>
      </c>
      <c r="C146" t="inlineStr">
        <is>
          <t>C051</t>
        </is>
      </c>
      <c r="D146" s="13">
        <f>IF('Council Entry'!D146="","",IFERROR(MAX(0,MIN(10,ROUND(IF('Council Entry'!D$7="Decrease Risk",10-10*((IF('Council Entry'!D$4="Logarithm",LN(0.001+IF(AND(ISNUMBER('Council Entry'!D$8),ISNUMBER('Council Entry'!D$9)),MAX(MIN('Council Entry'!D146,'Council Entry'!D$9),'Council Entry'!D$8),'Council Entry'!D146)),IF('Council Entry'!D$4="Exponential",EXP(IF(AND(ISNUMBER('Council Entry'!D$8),ISNUMBER('Council Entry'!D$9)),MAX(MIN('Council Entry'!D146,'Council Entry'!D$9),'Council Entry'!D$8),'Council Entry'!D146)),IF(AND(ISNUMBER('Council Entry'!D$8),ISNUMBER('Council Entry'!D$9)),MAX(MIN('Council Entry'!D146,'Council Entry'!D$9),'Council Entry'!D$8),'Council Entry'!D146))))-'Council Entry'!D$5)/('Council Entry'!D$6-'Council Entry'!D$5),10*((IF('Council Entry'!D$4="Logarithm",LN(0.001+IF(AND(ISNUMBER('Council Entry'!D$8),ISNUMBER('Council Entry'!D$9)),MAX(MIN('Council Entry'!D146,'Council Entry'!D$9),'Council Entry'!D$8),'Council Entry'!D146)),IF('Council Entry'!D$4="Exponential",EXP(IF(AND(ISNUMBER('Council Entry'!D$8),ISNUMBER('Council Entry'!D$9)),MAX(MIN('Council Entry'!D146,'Council Entry'!D$9),'Council Entry'!D$8),'Council Entry'!D146)),IF(AND(ISNUMBER('Council Entry'!D$8),ISNUMBER('Council Entry'!D$9)),MAX(MIN('Council Entry'!D146,'Council Entry'!D$9),'Council Entry'!D$8),'Council Entry'!D146))))-'Council Entry'!D$5)/('Council Entry'!D$6-'Council Entry'!D$5)),1))),"No data"))</f>
        <v/>
      </c>
      <c r="E146" s="13">
        <f>IF('Council Entry'!E146="","",IFERROR(MAX(0,MIN(10,ROUND(IF('Council Entry'!E$7="Decrease Risk",10-10*((IF('Council Entry'!E$4="Logarithm",LN(0.001+IF(AND(ISNUMBER('Council Entry'!E$8),ISNUMBER('Council Entry'!E$9)),MAX(MIN('Council Entry'!E146,'Council Entry'!E$9),'Council Entry'!E$8),'Council Entry'!E146)),IF('Council Entry'!E$4="Exponential",EXP(IF(AND(ISNUMBER('Council Entry'!E$8),ISNUMBER('Council Entry'!E$9)),MAX(MIN('Council Entry'!E146,'Council Entry'!E$9),'Council Entry'!E$8),'Council Entry'!E146)),IF(AND(ISNUMBER('Council Entry'!E$8),ISNUMBER('Council Entry'!E$9)),MAX(MIN('Council Entry'!E146,'Council Entry'!E$9),'Council Entry'!E$8),'Council Entry'!E146))))-'Council Entry'!E$5)/('Council Entry'!E$6-'Council Entry'!E$5),10*((IF('Council Entry'!E$4="Logarithm",LN(0.001+IF(AND(ISNUMBER('Council Entry'!E$8),ISNUMBER('Council Entry'!E$9)),MAX(MIN('Council Entry'!E146,'Council Entry'!E$9),'Council Entry'!E$8),'Council Entry'!E146)),IF('Council Entry'!E$4="Exponential",EXP(IF(AND(ISNUMBER('Council Entry'!E$8),ISNUMBER('Council Entry'!E$9)),MAX(MIN('Council Entry'!E146,'Council Entry'!E$9),'Council Entry'!E$8),'Council Entry'!E146)),IF(AND(ISNUMBER('Council Entry'!E$8),ISNUMBER('Council Entry'!E$9)),MAX(MIN('Council Entry'!E146,'Council Entry'!E$9),'Council Entry'!E$8),'Council Entry'!E146))))-'Council Entry'!E$5)/('Council Entry'!E$6-'Council Entry'!E$5)),1))),"No data"))</f>
        <v/>
      </c>
      <c r="F146" s="13">
        <f>IF('Council Entry'!F146="","",IFERROR(MAX(0,MIN(10,ROUND(IF('Council Entry'!F$7="Decrease Risk",10-10*((IF('Council Entry'!F$4="Logarithm",LN(0.001+IF(AND(ISNUMBER('Council Entry'!F$8),ISNUMBER('Council Entry'!F$9)),MAX(MIN('Council Entry'!F146,'Council Entry'!F$9),'Council Entry'!F$8),'Council Entry'!F146)),IF('Council Entry'!F$4="Exponential",EXP(IF(AND(ISNUMBER('Council Entry'!F$8),ISNUMBER('Council Entry'!F$9)),MAX(MIN('Council Entry'!F146,'Council Entry'!F$9),'Council Entry'!F$8),'Council Entry'!F146)),IF(AND(ISNUMBER('Council Entry'!F$8),ISNUMBER('Council Entry'!F$9)),MAX(MIN('Council Entry'!F146,'Council Entry'!F$9),'Council Entry'!F$8),'Council Entry'!F146))))-'Council Entry'!F$5)/('Council Entry'!F$6-'Council Entry'!F$5),10*((IF('Council Entry'!F$4="Logarithm",LN(0.001+IF(AND(ISNUMBER('Council Entry'!F$8),ISNUMBER('Council Entry'!F$9)),MAX(MIN('Council Entry'!F146,'Council Entry'!F$9),'Council Entry'!F$8),'Council Entry'!F146)),IF('Council Entry'!F$4="Exponential",EXP(IF(AND(ISNUMBER('Council Entry'!F$8),ISNUMBER('Council Entry'!F$9)),MAX(MIN('Council Entry'!F146,'Council Entry'!F$9),'Council Entry'!F$8),'Council Entry'!F146)),IF(AND(ISNUMBER('Council Entry'!F$8),ISNUMBER('Council Entry'!F$9)),MAX(MIN('Council Entry'!F146,'Council Entry'!F$9),'Council Entry'!F$8),'Council Entry'!F146))))-'Council Entry'!F$5)/('Council Entry'!F$6-'Council Entry'!F$5)),1))),"No data"))</f>
        <v/>
      </c>
      <c r="G146" s="13">
        <f>IF('Council Entry'!G146="","",IFERROR(MAX(0,MIN(10,ROUND(IF('Council Entry'!G$7="Decrease Risk",10-10*((IF('Council Entry'!G$4="Logarithm",LN(0.001+IF(AND(ISNUMBER('Council Entry'!G$8),ISNUMBER('Council Entry'!G$9)),MAX(MIN('Council Entry'!G146,'Council Entry'!G$9),'Council Entry'!G$8),'Council Entry'!G146)),IF('Council Entry'!G$4="Exponential",EXP(IF(AND(ISNUMBER('Council Entry'!G$8),ISNUMBER('Council Entry'!G$9)),MAX(MIN('Council Entry'!G146,'Council Entry'!G$9),'Council Entry'!G$8),'Council Entry'!G146)),IF(AND(ISNUMBER('Council Entry'!G$8),ISNUMBER('Council Entry'!G$9)),MAX(MIN('Council Entry'!G146,'Council Entry'!G$9),'Council Entry'!G$8),'Council Entry'!G146))))-'Council Entry'!G$5)/('Council Entry'!G$6-'Council Entry'!G$5),10*((IF('Council Entry'!G$4="Logarithm",LN(0.001+IF(AND(ISNUMBER('Council Entry'!G$8),ISNUMBER('Council Entry'!G$9)),MAX(MIN('Council Entry'!G146,'Council Entry'!G$9),'Council Entry'!G$8),'Council Entry'!G146)),IF('Council Entry'!G$4="Exponential",EXP(IF(AND(ISNUMBER('Council Entry'!G$8),ISNUMBER('Council Entry'!G$9)),MAX(MIN('Council Entry'!G146,'Council Entry'!G$9),'Council Entry'!G$8),'Council Entry'!G146)),IF(AND(ISNUMBER('Council Entry'!G$8),ISNUMBER('Council Entry'!G$9)),MAX(MIN('Council Entry'!G146,'Council Entry'!G$9),'Council Entry'!G$8),'Council Entry'!G146))))-'Council Entry'!G$5)/('Council Entry'!G$6-'Council Entry'!G$5)),1))),"No data"))</f>
        <v/>
      </c>
      <c r="H146" s="13">
        <f>IF('Council Entry'!H146="","",IFERROR(MAX(0,MIN(10,ROUND(IF('Council Entry'!H$7="Decrease Risk",10-10*((IF('Council Entry'!H$4="Logarithm",LN(0.001+IF(AND(ISNUMBER('Council Entry'!H$8),ISNUMBER('Council Entry'!H$9)),MAX(MIN('Council Entry'!H146,'Council Entry'!H$9),'Council Entry'!H$8),'Council Entry'!H146)),IF('Council Entry'!H$4="Exponential",EXP(IF(AND(ISNUMBER('Council Entry'!H$8),ISNUMBER('Council Entry'!H$9)),MAX(MIN('Council Entry'!H146,'Council Entry'!H$9),'Council Entry'!H$8),'Council Entry'!H146)),IF(AND(ISNUMBER('Council Entry'!H$8),ISNUMBER('Council Entry'!H$9)),MAX(MIN('Council Entry'!H146,'Council Entry'!H$9),'Council Entry'!H$8),'Council Entry'!H146))))-'Council Entry'!H$5)/('Council Entry'!H$6-'Council Entry'!H$5),10*((IF('Council Entry'!H$4="Logarithm",LN(0.001+IF(AND(ISNUMBER('Council Entry'!H$8),ISNUMBER('Council Entry'!H$9)),MAX(MIN('Council Entry'!H146,'Council Entry'!H$9),'Council Entry'!H$8),'Council Entry'!H146)),IF('Council Entry'!H$4="Exponential",EXP(IF(AND(ISNUMBER('Council Entry'!H$8),ISNUMBER('Council Entry'!H$9)),MAX(MIN('Council Entry'!H146,'Council Entry'!H$9),'Council Entry'!H$8),'Council Entry'!H146)),IF(AND(ISNUMBER('Council Entry'!H$8),ISNUMBER('Council Entry'!H$9)),MAX(MIN('Council Entry'!H146,'Council Entry'!H$9),'Council Entry'!H$8),'Council Entry'!H146))))-'Council Entry'!H$5)/('Council Entry'!H$6-'Council Entry'!H$5)),1))),"No data"))</f>
        <v/>
      </c>
      <c r="I146" s="13">
        <f>IF('Council Entry'!I146="","",IFERROR(MAX(0,MIN(10,ROUND(IF('Council Entry'!I$7="Decrease Risk",10-10*((IF('Council Entry'!I$4="Logarithm",LN(0.001+IF(AND(ISNUMBER('Council Entry'!I$8),ISNUMBER('Council Entry'!I$9)),MAX(MIN('Council Entry'!I146,'Council Entry'!I$9),'Council Entry'!I$8),'Council Entry'!I146)),IF('Council Entry'!I$4="Exponential",EXP(IF(AND(ISNUMBER('Council Entry'!I$8),ISNUMBER('Council Entry'!I$9)),MAX(MIN('Council Entry'!I146,'Council Entry'!I$9),'Council Entry'!I$8),'Council Entry'!I146)),IF(AND(ISNUMBER('Council Entry'!I$8),ISNUMBER('Council Entry'!I$9)),MAX(MIN('Council Entry'!I146,'Council Entry'!I$9),'Council Entry'!I$8),'Council Entry'!I146))))-'Council Entry'!I$5)/('Council Entry'!I$6-'Council Entry'!I$5),10*((IF('Council Entry'!I$4="Logarithm",LN(0.001+IF(AND(ISNUMBER('Council Entry'!I$8),ISNUMBER('Council Entry'!I$9)),MAX(MIN('Council Entry'!I146,'Council Entry'!I$9),'Council Entry'!I$8),'Council Entry'!I146)),IF('Council Entry'!I$4="Exponential",EXP(IF(AND(ISNUMBER('Council Entry'!I$8),ISNUMBER('Council Entry'!I$9)),MAX(MIN('Council Entry'!I146,'Council Entry'!I$9),'Council Entry'!I$8),'Council Entry'!I146)),IF(AND(ISNUMBER('Council Entry'!I$8),ISNUMBER('Council Entry'!I$9)),MAX(MIN('Council Entry'!I146,'Council Entry'!I$9),'Council Entry'!I$8),'Council Entry'!I146))))-'Council Entry'!I$5)/('Council Entry'!I$6-'Council Entry'!I$5)),1))),"No data"))</f>
        <v/>
      </c>
      <c r="J146" s="13">
        <f>IF('Council Entry'!J146="","",IFERROR(MAX(0,MIN(10,ROUND(IF('Council Entry'!J$7="Decrease Risk",10-10*((IF('Council Entry'!J$4="Logarithm",LN(0.001+IF(AND(ISNUMBER('Council Entry'!J$8),ISNUMBER('Council Entry'!J$9)),MAX(MIN('Council Entry'!J146,'Council Entry'!J$9),'Council Entry'!J$8),'Council Entry'!J146)),IF('Council Entry'!J$4="Exponential",EXP(IF(AND(ISNUMBER('Council Entry'!J$8),ISNUMBER('Council Entry'!J$9)),MAX(MIN('Council Entry'!J146,'Council Entry'!J$9),'Council Entry'!J$8),'Council Entry'!J146)),IF(AND(ISNUMBER('Council Entry'!J$8),ISNUMBER('Council Entry'!J$9)),MAX(MIN('Council Entry'!J146,'Council Entry'!J$9),'Council Entry'!J$8),'Council Entry'!J146))))-'Council Entry'!J$5)/('Council Entry'!J$6-'Council Entry'!J$5),10*((IF('Council Entry'!J$4="Logarithm",LN(0.001+IF(AND(ISNUMBER('Council Entry'!J$8),ISNUMBER('Council Entry'!J$9)),MAX(MIN('Council Entry'!J146,'Council Entry'!J$9),'Council Entry'!J$8),'Council Entry'!J146)),IF('Council Entry'!J$4="Exponential",EXP(IF(AND(ISNUMBER('Council Entry'!J$8),ISNUMBER('Council Entry'!J$9)),MAX(MIN('Council Entry'!J146,'Council Entry'!J$9),'Council Entry'!J$8),'Council Entry'!J146)),IF(AND(ISNUMBER('Council Entry'!J$8),ISNUMBER('Council Entry'!J$9)),MAX(MIN('Council Entry'!J146,'Council Entry'!J$9),'Council Entry'!J$8),'Council Entry'!J146))))-'Council Entry'!J$5)/('Council Entry'!J$6-'Council Entry'!J$5)),1))),"No data"))</f>
        <v/>
      </c>
      <c r="K146" s="13">
        <f>IF('Council Entry'!K146="","",IFERROR(MAX(0,MIN(10,ROUND(IF('Council Entry'!K$7="Decrease Risk",10-10*((IF('Council Entry'!K$4="Logarithm",LN(0.001+IF(AND(ISNUMBER('Council Entry'!K$8),ISNUMBER('Council Entry'!K$9)),MAX(MIN('Council Entry'!K146,'Council Entry'!K$9),'Council Entry'!K$8),'Council Entry'!K146)),IF('Council Entry'!K$4="Exponential",EXP(IF(AND(ISNUMBER('Council Entry'!K$8),ISNUMBER('Council Entry'!K$9)),MAX(MIN('Council Entry'!K146,'Council Entry'!K$9),'Council Entry'!K$8),'Council Entry'!K146)),IF(AND(ISNUMBER('Council Entry'!K$8),ISNUMBER('Council Entry'!K$9)),MAX(MIN('Council Entry'!K146,'Council Entry'!K$9),'Council Entry'!K$8),'Council Entry'!K146))))-'Council Entry'!K$5)/('Council Entry'!K$6-'Council Entry'!K$5),10*((IF('Council Entry'!K$4="Logarithm",LN(0.001+IF(AND(ISNUMBER('Council Entry'!K$8),ISNUMBER('Council Entry'!K$9)),MAX(MIN('Council Entry'!K146,'Council Entry'!K$9),'Council Entry'!K$8),'Council Entry'!K146)),IF('Council Entry'!K$4="Exponential",EXP(IF(AND(ISNUMBER('Council Entry'!K$8),ISNUMBER('Council Entry'!K$9)),MAX(MIN('Council Entry'!K146,'Council Entry'!K$9),'Council Entry'!K$8),'Council Entry'!K146)),IF(AND(ISNUMBER('Council Entry'!K$8),ISNUMBER('Council Entry'!K$9)),MAX(MIN('Council Entry'!K146,'Council Entry'!K$9),'Council Entry'!K$8),'Council Entry'!K146))))-'Council Entry'!K$5)/('Council Entry'!K$6-'Council Entry'!K$5)),1))),"No data"))</f>
        <v/>
      </c>
      <c r="L146" s="13">
        <f>IF('Council Entry'!L146="","",IFERROR(MAX(0,MIN(10,ROUND(IF('Council Entry'!L$7="Decrease Risk",10-10*((IF('Council Entry'!L$4="Logarithm",LN(0.001+IF(AND(ISNUMBER('Council Entry'!L$8),ISNUMBER('Council Entry'!L$9)),MAX(MIN('Council Entry'!L146,'Council Entry'!L$9),'Council Entry'!L$8),'Council Entry'!L146)),IF('Council Entry'!L$4="Exponential",EXP(IF(AND(ISNUMBER('Council Entry'!L$8),ISNUMBER('Council Entry'!L$9)),MAX(MIN('Council Entry'!L146,'Council Entry'!L$9),'Council Entry'!L$8),'Council Entry'!L146)),IF(AND(ISNUMBER('Council Entry'!L$8),ISNUMBER('Council Entry'!L$9)),MAX(MIN('Council Entry'!L146,'Council Entry'!L$9),'Council Entry'!L$8),'Council Entry'!L146))))-'Council Entry'!L$5)/('Council Entry'!L$6-'Council Entry'!L$5),10*((IF('Council Entry'!L$4="Logarithm",LN(0.001+IF(AND(ISNUMBER('Council Entry'!L$8),ISNUMBER('Council Entry'!L$9)),MAX(MIN('Council Entry'!L146,'Council Entry'!L$9),'Council Entry'!L$8),'Council Entry'!L146)),IF('Council Entry'!L$4="Exponential",EXP(IF(AND(ISNUMBER('Council Entry'!L$8),ISNUMBER('Council Entry'!L$9)),MAX(MIN('Council Entry'!L146,'Council Entry'!L$9),'Council Entry'!L$8),'Council Entry'!L146)),IF(AND(ISNUMBER('Council Entry'!L$8),ISNUMBER('Council Entry'!L$9)),MAX(MIN('Council Entry'!L146,'Council Entry'!L$9),'Council Entry'!L$8),'Council Entry'!L146))))-'Council Entry'!L$5)/('Council Entry'!L$6-'Council Entry'!L$5)),1))),"No data"))</f>
        <v/>
      </c>
      <c r="M146" s="13">
        <f>IF('Council Entry'!M146="","",IFERROR(MAX(0,MIN(10,ROUND(IF('Council Entry'!M$7="Decrease Risk",10-10*((IF('Council Entry'!M$4="Logarithm",LN(0.001+IF(AND(ISNUMBER('Council Entry'!M$8),ISNUMBER('Council Entry'!M$9)),MAX(MIN('Council Entry'!M146,'Council Entry'!M$9),'Council Entry'!M$8),'Council Entry'!M146)),IF('Council Entry'!M$4="Exponential",EXP(IF(AND(ISNUMBER('Council Entry'!M$8),ISNUMBER('Council Entry'!M$9)),MAX(MIN('Council Entry'!M146,'Council Entry'!M$9),'Council Entry'!M$8),'Council Entry'!M146)),IF(AND(ISNUMBER('Council Entry'!M$8),ISNUMBER('Council Entry'!M$9)),MAX(MIN('Council Entry'!M146,'Council Entry'!M$9),'Council Entry'!M$8),'Council Entry'!M146))))-'Council Entry'!M$5)/('Council Entry'!M$6-'Council Entry'!M$5),10*((IF('Council Entry'!M$4="Logarithm",LN(0.001+IF(AND(ISNUMBER('Council Entry'!M$8),ISNUMBER('Council Entry'!M$9)),MAX(MIN('Council Entry'!M146,'Council Entry'!M$9),'Council Entry'!M$8),'Council Entry'!M146)),IF('Council Entry'!M$4="Exponential",EXP(IF(AND(ISNUMBER('Council Entry'!M$8),ISNUMBER('Council Entry'!M$9)),MAX(MIN('Council Entry'!M146,'Council Entry'!M$9),'Council Entry'!M$8),'Council Entry'!M146)),IF(AND(ISNUMBER('Council Entry'!M$8),ISNUMBER('Council Entry'!M$9)),MAX(MIN('Council Entry'!M146,'Council Entry'!M$9),'Council Entry'!M$8),'Council Entry'!M146))))-'Council Entry'!M$5)/('Council Entry'!M$6-'Council Entry'!M$5)),1))),"No data"))</f>
        <v/>
      </c>
      <c r="N146" s="13">
        <f>IF('Council Entry'!N146="","",IFERROR(MAX(0,MIN(10,ROUND(IF('Council Entry'!N$7="Decrease Risk",10-10*((IF('Council Entry'!N$4="Logarithm",LN(0.001+IF(AND(ISNUMBER('Council Entry'!N$8),ISNUMBER('Council Entry'!N$9)),MAX(MIN('Council Entry'!N146,'Council Entry'!N$9),'Council Entry'!N$8),'Council Entry'!N146)),IF('Council Entry'!N$4="Exponential",EXP(IF(AND(ISNUMBER('Council Entry'!N$8),ISNUMBER('Council Entry'!N$9)),MAX(MIN('Council Entry'!N146,'Council Entry'!N$9),'Council Entry'!N$8),'Council Entry'!N146)),IF(AND(ISNUMBER('Council Entry'!N$8),ISNUMBER('Council Entry'!N$9)),MAX(MIN('Council Entry'!N146,'Council Entry'!N$9),'Council Entry'!N$8),'Council Entry'!N146))))-'Council Entry'!N$5)/('Council Entry'!N$6-'Council Entry'!N$5),10*((IF('Council Entry'!N$4="Logarithm",LN(0.001+IF(AND(ISNUMBER('Council Entry'!N$8),ISNUMBER('Council Entry'!N$9)),MAX(MIN('Council Entry'!N146,'Council Entry'!N$9),'Council Entry'!N$8),'Council Entry'!N146)),IF('Council Entry'!N$4="Exponential",EXP(IF(AND(ISNUMBER('Council Entry'!N$8),ISNUMBER('Council Entry'!N$9)),MAX(MIN('Council Entry'!N146,'Council Entry'!N$9),'Council Entry'!N$8),'Council Entry'!N146)),IF(AND(ISNUMBER('Council Entry'!N$8),ISNUMBER('Council Entry'!N$9)),MAX(MIN('Council Entry'!N146,'Council Entry'!N$9),'Council Entry'!N$8),'Council Entry'!N146))))-'Council Entry'!N$5)/('Council Entry'!N$6-'Council Entry'!N$5)),1))),"No data"))</f>
        <v/>
      </c>
      <c r="O146" s="13">
        <f>IF('Council Entry'!O146="","",IFERROR(MAX(0,MIN(10,ROUND(IF('Council Entry'!O$7="Decrease Risk",10-10*((IF('Council Entry'!O$4="Logarithm",LN(0.001+IF(AND(ISNUMBER('Council Entry'!O$8),ISNUMBER('Council Entry'!O$9)),MAX(MIN('Council Entry'!O146,'Council Entry'!O$9),'Council Entry'!O$8),'Council Entry'!O146)),IF('Council Entry'!O$4="Exponential",EXP(IF(AND(ISNUMBER('Council Entry'!O$8),ISNUMBER('Council Entry'!O$9)),MAX(MIN('Council Entry'!O146,'Council Entry'!O$9),'Council Entry'!O$8),'Council Entry'!O146)),IF(AND(ISNUMBER('Council Entry'!O$8),ISNUMBER('Council Entry'!O$9)),MAX(MIN('Council Entry'!O146,'Council Entry'!O$9),'Council Entry'!O$8),'Council Entry'!O146))))-'Council Entry'!O$5)/('Council Entry'!O$6-'Council Entry'!O$5),10*((IF('Council Entry'!O$4="Logarithm",LN(0.001+IF(AND(ISNUMBER('Council Entry'!O$8),ISNUMBER('Council Entry'!O$9)),MAX(MIN('Council Entry'!O146,'Council Entry'!O$9),'Council Entry'!O$8),'Council Entry'!O146)),IF('Council Entry'!O$4="Exponential",EXP(IF(AND(ISNUMBER('Council Entry'!O$8),ISNUMBER('Council Entry'!O$9)),MAX(MIN('Council Entry'!O146,'Council Entry'!O$9),'Council Entry'!O$8),'Council Entry'!O146)),IF(AND(ISNUMBER('Council Entry'!O$8),ISNUMBER('Council Entry'!O$9)),MAX(MIN('Council Entry'!O146,'Council Entry'!O$9),'Council Entry'!O$8),'Council Entry'!O146))))-'Council Entry'!O$5)/('Council Entry'!O$6-'Council Entry'!O$5)),1))),"No data"))</f>
        <v/>
      </c>
      <c r="P146" s="13">
        <f>IF('Council Entry'!P146="","",IFERROR(MAX(0,MIN(10,ROUND(IF('Council Entry'!P$7="Decrease Risk",10-10*((IF('Council Entry'!P$4="Logarithm",LN(0.001+IF(AND(ISNUMBER('Council Entry'!P$8),ISNUMBER('Council Entry'!P$9)),MAX(MIN('Council Entry'!P146,'Council Entry'!P$9),'Council Entry'!P$8),'Council Entry'!P146)),IF('Council Entry'!P$4="Exponential",EXP(IF(AND(ISNUMBER('Council Entry'!P$8),ISNUMBER('Council Entry'!P$9)),MAX(MIN('Council Entry'!P146,'Council Entry'!P$9),'Council Entry'!P$8),'Council Entry'!P146)),IF(AND(ISNUMBER('Council Entry'!P$8),ISNUMBER('Council Entry'!P$9)),MAX(MIN('Council Entry'!P146,'Council Entry'!P$9),'Council Entry'!P$8),'Council Entry'!P146))))-'Council Entry'!P$5)/('Council Entry'!P$6-'Council Entry'!P$5),10*((IF('Council Entry'!P$4="Logarithm",LN(0.001+IF(AND(ISNUMBER('Council Entry'!P$8),ISNUMBER('Council Entry'!P$9)),MAX(MIN('Council Entry'!P146,'Council Entry'!P$9),'Council Entry'!P$8),'Council Entry'!P146)),IF('Council Entry'!P$4="Exponential",EXP(IF(AND(ISNUMBER('Council Entry'!P$8),ISNUMBER('Council Entry'!P$9)),MAX(MIN('Council Entry'!P146,'Council Entry'!P$9),'Council Entry'!P$8),'Council Entry'!P146)),IF(AND(ISNUMBER('Council Entry'!P$8),ISNUMBER('Council Entry'!P$9)),MAX(MIN('Council Entry'!P146,'Council Entry'!P$9),'Council Entry'!P$8),'Council Entry'!P146))))-'Council Entry'!P$5)/('Council Entry'!P$6-'Council Entry'!P$5)),1))),"No data"))</f>
        <v/>
      </c>
      <c r="Q146" s="13">
        <f>IF('Council Entry'!Q146="","",IFERROR(MAX(0,MIN(10,ROUND(IF('Council Entry'!Q$7="Decrease Risk",10-10*((IF('Council Entry'!Q$4="Logarithm",LN(0.001+IF(AND(ISNUMBER('Council Entry'!Q$8),ISNUMBER('Council Entry'!Q$9)),MAX(MIN('Council Entry'!Q146,'Council Entry'!Q$9),'Council Entry'!Q$8),'Council Entry'!Q146)),IF('Council Entry'!Q$4="Exponential",EXP(IF(AND(ISNUMBER('Council Entry'!Q$8),ISNUMBER('Council Entry'!Q$9)),MAX(MIN('Council Entry'!Q146,'Council Entry'!Q$9),'Council Entry'!Q$8),'Council Entry'!Q146)),IF(AND(ISNUMBER('Council Entry'!Q$8),ISNUMBER('Council Entry'!Q$9)),MAX(MIN('Council Entry'!Q146,'Council Entry'!Q$9),'Council Entry'!Q$8),'Council Entry'!Q146))))-'Council Entry'!Q$5)/('Council Entry'!Q$6-'Council Entry'!Q$5),10*((IF('Council Entry'!Q$4="Logarithm",LN(0.001+IF(AND(ISNUMBER('Council Entry'!Q$8),ISNUMBER('Council Entry'!Q$9)),MAX(MIN('Council Entry'!Q146,'Council Entry'!Q$9),'Council Entry'!Q$8),'Council Entry'!Q146)),IF('Council Entry'!Q$4="Exponential",EXP(IF(AND(ISNUMBER('Council Entry'!Q$8),ISNUMBER('Council Entry'!Q$9)),MAX(MIN('Council Entry'!Q146,'Council Entry'!Q$9),'Council Entry'!Q$8),'Council Entry'!Q146)),IF(AND(ISNUMBER('Council Entry'!Q$8),ISNUMBER('Council Entry'!Q$9)),MAX(MIN('Council Entry'!Q146,'Council Entry'!Q$9),'Council Entry'!Q$8),'Council Entry'!Q146))))-'Council Entry'!Q$5)/('Council Entry'!Q$6-'Council Entry'!Q$5)),1))),"No data"))</f>
        <v/>
      </c>
      <c r="R146" s="13">
        <f>IF('Council Entry'!R146="","",IFERROR(MAX(0,MIN(10,ROUND(IF('Council Entry'!R$7="Decrease Risk",10-10*((IF('Council Entry'!R$4="Logarithm",LN(0.001+IF(AND(ISNUMBER('Council Entry'!R$8),ISNUMBER('Council Entry'!R$9)),MAX(MIN('Council Entry'!R146,'Council Entry'!R$9),'Council Entry'!R$8),'Council Entry'!R146)),IF('Council Entry'!R$4="Exponential",EXP(IF(AND(ISNUMBER('Council Entry'!R$8),ISNUMBER('Council Entry'!R$9)),MAX(MIN('Council Entry'!R146,'Council Entry'!R$9),'Council Entry'!R$8),'Council Entry'!R146)),IF(AND(ISNUMBER('Council Entry'!R$8),ISNUMBER('Council Entry'!R$9)),MAX(MIN('Council Entry'!R146,'Council Entry'!R$9),'Council Entry'!R$8),'Council Entry'!R146))))-'Council Entry'!R$5)/('Council Entry'!R$6-'Council Entry'!R$5),10*((IF('Council Entry'!R$4="Logarithm",LN(0.001+IF(AND(ISNUMBER('Council Entry'!R$8),ISNUMBER('Council Entry'!R$9)),MAX(MIN('Council Entry'!R146,'Council Entry'!R$9),'Council Entry'!R$8),'Council Entry'!R146)),IF('Council Entry'!R$4="Exponential",EXP(IF(AND(ISNUMBER('Council Entry'!R$8),ISNUMBER('Council Entry'!R$9)),MAX(MIN('Council Entry'!R146,'Council Entry'!R$9),'Council Entry'!R$8),'Council Entry'!R146)),IF(AND(ISNUMBER('Council Entry'!R$8),ISNUMBER('Council Entry'!R$9)),MAX(MIN('Council Entry'!R146,'Council Entry'!R$9),'Council Entry'!R$8),'Council Entry'!R146))))-'Council Entry'!R$5)/('Council Entry'!R$6-'Council Entry'!R$5)),1))),"No data"))</f>
        <v/>
      </c>
      <c r="S146" s="13">
        <f>IF('Council Entry'!S146="","",IFERROR(MAX(0,MIN(10,ROUND(IF('Council Entry'!S$7="Decrease Risk",10-10*((IF('Council Entry'!S$4="Logarithm",LN(0.001+IF(AND(ISNUMBER('Council Entry'!S$8),ISNUMBER('Council Entry'!S$9)),MAX(MIN('Council Entry'!S146,'Council Entry'!S$9),'Council Entry'!S$8),'Council Entry'!S146)),IF('Council Entry'!S$4="Exponential",EXP(IF(AND(ISNUMBER('Council Entry'!S$8),ISNUMBER('Council Entry'!S$9)),MAX(MIN('Council Entry'!S146,'Council Entry'!S$9),'Council Entry'!S$8),'Council Entry'!S146)),IF(AND(ISNUMBER('Council Entry'!S$8),ISNUMBER('Council Entry'!S$9)),MAX(MIN('Council Entry'!S146,'Council Entry'!S$9),'Council Entry'!S$8),'Council Entry'!S146))))-'Council Entry'!S$5)/('Council Entry'!S$6-'Council Entry'!S$5),10*((IF('Council Entry'!S$4="Logarithm",LN(0.001+IF(AND(ISNUMBER('Council Entry'!S$8),ISNUMBER('Council Entry'!S$9)),MAX(MIN('Council Entry'!S146,'Council Entry'!S$9),'Council Entry'!S$8),'Council Entry'!S146)),IF('Council Entry'!S$4="Exponential",EXP(IF(AND(ISNUMBER('Council Entry'!S$8),ISNUMBER('Council Entry'!S$9)),MAX(MIN('Council Entry'!S146,'Council Entry'!S$9),'Council Entry'!S$8),'Council Entry'!S146)),IF(AND(ISNUMBER('Council Entry'!S$8),ISNUMBER('Council Entry'!S$9)),MAX(MIN('Council Entry'!S146,'Council Entry'!S$9),'Council Entry'!S$8),'Council Entry'!S146))))-'Council Entry'!S$5)/('Council Entry'!S$6-'Council Entry'!S$5)),1))),"No data"))</f>
        <v/>
      </c>
      <c r="T146" s="13">
        <f>IF('Council Entry'!T146="","",IFERROR(MAX(0,MIN(10,ROUND(IF('Council Entry'!T$7="Decrease Risk",10-10*((IF('Council Entry'!T$4="Logarithm",LN(0.001+IF(AND(ISNUMBER('Council Entry'!T$8),ISNUMBER('Council Entry'!T$9)),MAX(MIN('Council Entry'!T146,'Council Entry'!T$9),'Council Entry'!T$8),'Council Entry'!T146)),IF('Council Entry'!T$4="Exponential",EXP(IF(AND(ISNUMBER('Council Entry'!T$8),ISNUMBER('Council Entry'!T$9)),MAX(MIN('Council Entry'!T146,'Council Entry'!T$9),'Council Entry'!T$8),'Council Entry'!T146)),IF(AND(ISNUMBER('Council Entry'!T$8),ISNUMBER('Council Entry'!T$9)),MAX(MIN('Council Entry'!T146,'Council Entry'!T$9),'Council Entry'!T$8),'Council Entry'!T146))))-'Council Entry'!T$5)/('Council Entry'!T$6-'Council Entry'!T$5),10*((IF('Council Entry'!T$4="Logarithm",LN(0.001+IF(AND(ISNUMBER('Council Entry'!T$8),ISNUMBER('Council Entry'!T$9)),MAX(MIN('Council Entry'!T146,'Council Entry'!T$9),'Council Entry'!T$8),'Council Entry'!T146)),IF('Council Entry'!T$4="Exponential",EXP(IF(AND(ISNUMBER('Council Entry'!T$8),ISNUMBER('Council Entry'!T$9)),MAX(MIN('Council Entry'!T146,'Council Entry'!T$9),'Council Entry'!T$8),'Council Entry'!T146)),IF(AND(ISNUMBER('Council Entry'!T$8),ISNUMBER('Council Entry'!T$9)),MAX(MIN('Council Entry'!T146,'Council Entry'!T$9),'Council Entry'!T$8),'Council Entry'!T146))))-'Council Entry'!T$5)/('Council Entry'!T$6-'Council Entry'!T$5)),1))),"No data"))</f>
        <v/>
      </c>
      <c r="U146" s="13">
        <f>IF('Council Entry'!U146="","",IFERROR(MAX(0,MIN(10,ROUND(IF('Council Entry'!U$7="Decrease Risk",10-10*((IF('Council Entry'!U$4="Logarithm",LN(0.001+IF(AND(ISNUMBER('Council Entry'!U$8),ISNUMBER('Council Entry'!U$9)),MAX(MIN('Council Entry'!U146,'Council Entry'!U$9),'Council Entry'!U$8),'Council Entry'!U146)),IF('Council Entry'!U$4="Exponential",EXP(IF(AND(ISNUMBER('Council Entry'!U$8),ISNUMBER('Council Entry'!U$9)),MAX(MIN('Council Entry'!U146,'Council Entry'!U$9),'Council Entry'!U$8),'Council Entry'!U146)),IF(AND(ISNUMBER('Council Entry'!U$8),ISNUMBER('Council Entry'!U$9)),MAX(MIN('Council Entry'!U146,'Council Entry'!U$9),'Council Entry'!U$8),'Council Entry'!U146))))-'Council Entry'!U$5)/('Council Entry'!U$6-'Council Entry'!U$5),10*((IF('Council Entry'!U$4="Logarithm",LN(0.001+IF(AND(ISNUMBER('Council Entry'!U$8),ISNUMBER('Council Entry'!U$9)),MAX(MIN('Council Entry'!U146,'Council Entry'!U$9),'Council Entry'!U$8),'Council Entry'!U146)),IF('Council Entry'!U$4="Exponential",EXP(IF(AND(ISNUMBER('Council Entry'!U$8),ISNUMBER('Council Entry'!U$9)),MAX(MIN('Council Entry'!U146,'Council Entry'!U$9),'Council Entry'!U$8),'Council Entry'!U146)),IF(AND(ISNUMBER('Council Entry'!U$8),ISNUMBER('Council Entry'!U$9)),MAX(MIN('Council Entry'!U146,'Council Entry'!U$9),'Council Entry'!U$8),'Council Entry'!U146))))-'Council Entry'!U$5)/('Council Entry'!U$6-'Council Entry'!U$5)),1))),"No data"))</f>
        <v/>
      </c>
      <c r="V146" s="13">
        <f>IF('Council Entry'!V146="","",IFERROR(MAX(0,MIN(10,ROUND(IF('Council Entry'!V$7="Decrease Risk",10-10*((IF('Council Entry'!V$4="Logarithm",LN(0.001+IF(AND(ISNUMBER('Council Entry'!V$8),ISNUMBER('Council Entry'!V$9)),MAX(MIN('Council Entry'!V146,'Council Entry'!V$9),'Council Entry'!V$8),'Council Entry'!V146)),IF('Council Entry'!V$4="Exponential",EXP(IF(AND(ISNUMBER('Council Entry'!V$8),ISNUMBER('Council Entry'!V$9)),MAX(MIN('Council Entry'!V146,'Council Entry'!V$9),'Council Entry'!V$8),'Council Entry'!V146)),IF(AND(ISNUMBER('Council Entry'!V$8),ISNUMBER('Council Entry'!V$9)),MAX(MIN('Council Entry'!V146,'Council Entry'!V$9),'Council Entry'!V$8),'Council Entry'!V146))))-'Council Entry'!V$5)/('Council Entry'!V$6-'Council Entry'!V$5),10*((IF('Council Entry'!V$4="Logarithm",LN(0.001+IF(AND(ISNUMBER('Council Entry'!V$8),ISNUMBER('Council Entry'!V$9)),MAX(MIN('Council Entry'!V146,'Council Entry'!V$9),'Council Entry'!V$8),'Council Entry'!V146)),IF('Council Entry'!V$4="Exponential",EXP(IF(AND(ISNUMBER('Council Entry'!V$8),ISNUMBER('Council Entry'!V$9)),MAX(MIN('Council Entry'!V146,'Council Entry'!V$9),'Council Entry'!V$8),'Council Entry'!V146)),IF(AND(ISNUMBER('Council Entry'!V$8),ISNUMBER('Council Entry'!V$9)),MAX(MIN('Council Entry'!V146,'Council Entry'!V$9),'Council Entry'!V$8),'Council Entry'!V146))))-'Council Entry'!V$5)/('Council Entry'!V$6-'Council Entry'!V$5)),1))),"No data"))</f>
        <v/>
      </c>
      <c r="W146" s="13">
        <f>IF('Council Entry'!W146="","",IFERROR(MAX(0,MIN(10,ROUND(IF('Council Entry'!W$7="Decrease Risk",10-10*((IF('Council Entry'!W$4="Logarithm",LN(0.001+IF(AND(ISNUMBER('Council Entry'!W$8),ISNUMBER('Council Entry'!W$9)),MAX(MIN('Council Entry'!W146,'Council Entry'!W$9),'Council Entry'!W$8),'Council Entry'!W146)),IF('Council Entry'!W$4="Exponential",EXP(IF(AND(ISNUMBER('Council Entry'!W$8),ISNUMBER('Council Entry'!W$9)),MAX(MIN('Council Entry'!W146,'Council Entry'!W$9),'Council Entry'!W$8),'Council Entry'!W146)),IF(AND(ISNUMBER('Council Entry'!W$8),ISNUMBER('Council Entry'!W$9)),MAX(MIN('Council Entry'!W146,'Council Entry'!W$9),'Council Entry'!W$8),'Council Entry'!W146))))-'Council Entry'!W$5)/('Council Entry'!W$6-'Council Entry'!W$5),10*((IF('Council Entry'!W$4="Logarithm",LN(0.001+IF(AND(ISNUMBER('Council Entry'!W$8),ISNUMBER('Council Entry'!W$9)),MAX(MIN('Council Entry'!W146,'Council Entry'!W$9),'Council Entry'!W$8),'Council Entry'!W146)),IF('Council Entry'!W$4="Exponential",EXP(IF(AND(ISNUMBER('Council Entry'!W$8),ISNUMBER('Council Entry'!W$9)),MAX(MIN('Council Entry'!W146,'Council Entry'!W$9),'Council Entry'!W$8),'Council Entry'!W146)),IF(AND(ISNUMBER('Council Entry'!W$8),ISNUMBER('Council Entry'!W$9)),MAX(MIN('Council Entry'!W146,'Council Entry'!W$9),'Council Entry'!W$8),'Council Entry'!W146))))-'Council Entry'!W$5)/('Council Entry'!W$6-'Council Entry'!W$5)),1))),"No data"))</f>
        <v/>
      </c>
      <c r="X146" s="13">
        <f>IF('Council Entry'!X146="","",IFERROR(MAX(0,MIN(10,ROUND(IF('Council Entry'!X$7="Decrease Risk",10-10*((IF('Council Entry'!X$4="Logarithm",LN(0.001+IF(AND(ISNUMBER('Council Entry'!X$8),ISNUMBER('Council Entry'!X$9)),MAX(MIN('Council Entry'!X146,'Council Entry'!X$9),'Council Entry'!X$8),'Council Entry'!X146)),IF('Council Entry'!X$4="Exponential",EXP(IF(AND(ISNUMBER('Council Entry'!X$8),ISNUMBER('Council Entry'!X$9)),MAX(MIN('Council Entry'!X146,'Council Entry'!X$9),'Council Entry'!X$8),'Council Entry'!X146)),IF(AND(ISNUMBER('Council Entry'!X$8),ISNUMBER('Council Entry'!X$9)),MAX(MIN('Council Entry'!X146,'Council Entry'!X$9),'Council Entry'!X$8),'Council Entry'!X146))))-'Council Entry'!X$5)/('Council Entry'!X$6-'Council Entry'!X$5),10*((IF('Council Entry'!X$4="Logarithm",LN(0.001+IF(AND(ISNUMBER('Council Entry'!X$8),ISNUMBER('Council Entry'!X$9)),MAX(MIN('Council Entry'!X146,'Council Entry'!X$9),'Council Entry'!X$8),'Council Entry'!X146)),IF('Council Entry'!X$4="Exponential",EXP(IF(AND(ISNUMBER('Council Entry'!X$8),ISNUMBER('Council Entry'!X$9)),MAX(MIN('Council Entry'!X146,'Council Entry'!X$9),'Council Entry'!X$8),'Council Entry'!X146)),IF(AND(ISNUMBER('Council Entry'!X$8),ISNUMBER('Council Entry'!X$9)),MAX(MIN('Council Entry'!X146,'Council Entry'!X$9),'Council Entry'!X$8),'Council Entry'!X146))))-'Council Entry'!X$5)/('Council Entry'!X$6-'Council Entry'!X$5)),1))),"No data"))</f>
        <v/>
      </c>
      <c r="Y146" s="13">
        <f>IF('Council Entry'!Y146="","",IFERROR(MAX(0,MIN(10,ROUND(IF('Council Entry'!Y$7="Decrease Risk",10-10*((IF('Council Entry'!Y$4="Logarithm",LN(0.001+IF(AND(ISNUMBER('Council Entry'!Y$8),ISNUMBER('Council Entry'!Y$9)),MAX(MIN('Council Entry'!Y146,'Council Entry'!Y$9),'Council Entry'!Y$8),'Council Entry'!Y146)),IF('Council Entry'!Y$4="Exponential",EXP(IF(AND(ISNUMBER('Council Entry'!Y$8),ISNUMBER('Council Entry'!Y$9)),MAX(MIN('Council Entry'!Y146,'Council Entry'!Y$9),'Council Entry'!Y$8),'Council Entry'!Y146)),IF(AND(ISNUMBER('Council Entry'!Y$8),ISNUMBER('Council Entry'!Y$9)),MAX(MIN('Council Entry'!Y146,'Council Entry'!Y$9),'Council Entry'!Y$8),'Council Entry'!Y146))))-'Council Entry'!Y$5)/('Council Entry'!Y$6-'Council Entry'!Y$5),10*((IF('Council Entry'!Y$4="Logarithm",LN(0.001+IF(AND(ISNUMBER('Council Entry'!Y$8),ISNUMBER('Council Entry'!Y$9)),MAX(MIN('Council Entry'!Y146,'Council Entry'!Y$9),'Council Entry'!Y$8),'Council Entry'!Y146)),IF('Council Entry'!Y$4="Exponential",EXP(IF(AND(ISNUMBER('Council Entry'!Y$8),ISNUMBER('Council Entry'!Y$9)),MAX(MIN('Council Entry'!Y146,'Council Entry'!Y$9),'Council Entry'!Y$8),'Council Entry'!Y146)),IF(AND(ISNUMBER('Council Entry'!Y$8),ISNUMBER('Council Entry'!Y$9)),MAX(MIN('Council Entry'!Y146,'Council Entry'!Y$9),'Council Entry'!Y$8),'Council Entry'!Y146))))-'Council Entry'!Y$5)/('Council Entry'!Y$6-'Council Entry'!Y$5)),1))),"No data"))</f>
        <v/>
      </c>
      <c r="Z146" s="13">
        <f>IF('Council Entry'!Z146="","",IFERROR(MAX(0,MIN(10,ROUND(IF('Council Entry'!Z$7="Decrease Risk",10-10*((IF('Council Entry'!Z$4="Logarithm",LN(0.001+IF(AND(ISNUMBER('Council Entry'!Z$8),ISNUMBER('Council Entry'!Z$9)),MAX(MIN('Council Entry'!Z146,'Council Entry'!Z$9),'Council Entry'!Z$8),'Council Entry'!Z146)),IF('Council Entry'!Z$4="Exponential",EXP(IF(AND(ISNUMBER('Council Entry'!Z$8),ISNUMBER('Council Entry'!Z$9)),MAX(MIN('Council Entry'!Z146,'Council Entry'!Z$9),'Council Entry'!Z$8),'Council Entry'!Z146)),IF(AND(ISNUMBER('Council Entry'!Z$8),ISNUMBER('Council Entry'!Z$9)),MAX(MIN('Council Entry'!Z146,'Council Entry'!Z$9),'Council Entry'!Z$8),'Council Entry'!Z146))))-'Council Entry'!Z$5)/('Council Entry'!Z$6-'Council Entry'!Z$5),10*((IF('Council Entry'!Z$4="Logarithm",LN(0.001+IF(AND(ISNUMBER('Council Entry'!Z$8),ISNUMBER('Council Entry'!Z$9)),MAX(MIN('Council Entry'!Z146,'Council Entry'!Z$9),'Council Entry'!Z$8),'Council Entry'!Z146)),IF('Council Entry'!Z$4="Exponential",EXP(IF(AND(ISNUMBER('Council Entry'!Z$8),ISNUMBER('Council Entry'!Z$9)),MAX(MIN('Council Entry'!Z146,'Council Entry'!Z$9),'Council Entry'!Z$8),'Council Entry'!Z146)),IF(AND(ISNUMBER('Council Entry'!Z$8),ISNUMBER('Council Entry'!Z$9)),MAX(MIN('Council Entry'!Z146,'Council Entry'!Z$9),'Council Entry'!Z$8),'Council Entry'!Z146))))-'Council Entry'!Z$5)/('Council Entry'!Z$6-'Council Entry'!Z$5)),1))),"No data"))</f>
        <v/>
      </c>
      <c r="AA146" s="13">
        <f>IF('Council Entry'!AA146="","",IFERROR(MAX(0,MIN(10,ROUND(IF('Council Entry'!AA$7="Decrease Risk",10-10*((IF('Council Entry'!AA$4="Logarithm",LN(0.001+IF(AND(ISNUMBER('Council Entry'!AA$8),ISNUMBER('Council Entry'!AA$9)),MAX(MIN('Council Entry'!AA146,'Council Entry'!AA$9),'Council Entry'!AA$8),'Council Entry'!AA146)),IF('Council Entry'!AA$4="Exponential",EXP(IF(AND(ISNUMBER('Council Entry'!AA$8),ISNUMBER('Council Entry'!AA$9)),MAX(MIN('Council Entry'!AA146,'Council Entry'!AA$9),'Council Entry'!AA$8),'Council Entry'!AA146)),IF(AND(ISNUMBER('Council Entry'!AA$8),ISNUMBER('Council Entry'!AA$9)),MAX(MIN('Council Entry'!AA146,'Council Entry'!AA$9),'Council Entry'!AA$8),'Council Entry'!AA146))))-'Council Entry'!AA$5)/('Council Entry'!AA$6-'Council Entry'!AA$5),10*((IF('Council Entry'!AA$4="Logarithm",LN(0.001+IF(AND(ISNUMBER('Council Entry'!AA$8),ISNUMBER('Council Entry'!AA$9)),MAX(MIN('Council Entry'!AA146,'Council Entry'!AA$9),'Council Entry'!AA$8),'Council Entry'!AA146)),IF('Council Entry'!AA$4="Exponential",EXP(IF(AND(ISNUMBER('Council Entry'!AA$8),ISNUMBER('Council Entry'!AA$9)),MAX(MIN('Council Entry'!AA146,'Council Entry'!AA$9),'Council Entry'!AA$8),'Council Entry'!AA146)),IF(AND(ISNUMBER('Council Entry'!AA$8),ISNUMBER('Council Entry'!AA$9)),MAX(MIN('Council Entry'!AA146,'Council Entry'!AA$9),'Council Entry'!AA$8),'Council Entry'!AA146))))-'Council Entry'!AA$5)/('Council Entry'!AA$6-'Council Entry'!AA$5)),1))),"No data"))</f>
        <v/>
      </c>
      <c r="AB146" s="13">
        <f>IF('Council Entry'!AB146="","",IFERROR(MAX(0,MIN(10,ROUND(IF('Council Entry'!AB$7="Decrease Risk",10-10*((IF('Council Entry'!AB$4="Logarithm",LN(0.001+IF(AND(ISNUMBER('Council Entry'!AB$8),ISNUMBER('Council Entry'!AB$9)),MAX(MIN('Council Entry'!AB146,'Council Entry'!AB$9),'Council Entry'!AB$8),'Council Entry'!AB146)),IF('Council Entry'!AB$4="Exponential",EXP(IF(AND(ISNUMBER('Council Entry'!AB$8),ISNUMBER('Council Entry'!AB$9)),MAX(MIN('Council Entry'!AB146,'Council Entry'!AB$9),'Council Entry'!AB$8),'Council Entry'!AB146)),IF(AND(ISNUMBER('Council Entry'!AB$8),ISNUMBER('Council Entry'!AB$9)),MAX(MIN('Council Entry'!AB146,'Council Entry'!AB$9),'Council Entry'!AB$8),'Council Entry'!AB146))))-'Council Entry'!AB$5)/('Council Entry'!AB$6-'Council Entry'!AB$5),10*((IF('Council Entry'!AB$4="Logarithm",LN(0.001+IF(AND(ISNUMBER('Council Entry'!AB$8),ISNUMBER('Council Entry'!AB$9)),MAX(MIN('Council Entry'!AB146,'Council Entry'!AB$9),'Council Entry'!AB$8),'Council Entry'!AB146)),IF('Council Entry'!AB$4="Exponential",EXP(IF(AND(ISNUMBER('Council Entry'!AB$8),ISNUMBER('Council Entry'!AB$9)),MAX(MIN('Council Entry'!AB146,'Council Entry'!AB$9),'Council Entry'!AB$8),'Council Entry'!AB146)),IF(AND(ISNUMBER('Council Entry'!AB$8),ISNUMBER('Council Entry'!AB$9)),MAX(MIN('Council Entry'!AB146,'Council Entry'!AB$9),'Council Entry'!AB$8),'Council Entry'!AB146))))-'Council Entry'!AB$5)/('Council Entry'!AB$6-'Council Entry'!AB$5)),1))),"No data"))</f>
        <v/>
      </c>
      <c r="AC146" s="13">
        <f>IF('Council Entry'!AC146="","",IFERROR(MAX(0,MIN(10,ROUND(IF('Council Entry'!AC$7="Decrease Risk",10-10*((IF('Council Entry'!AC$4="Logarithm",LN(0.001+IF(AND(ISNUMBER('Council Entry'!AC$8),ISNUMBER('Council Entry'!AC$9)),MAX(MIN('Council Entry'!AC146,'Council Entry'!AC$9),'Council Entry'!AC$8),'Council Entry'!AC146)),IF('Council Entry'!AC$4="Exponential",EXP(IF(AND(ISNUMBER('Council Entry'!AC$8),ISNUMBER('Council Entry'!AC$9)),MAX(MIN('Council Entry'!AC146,'Council Entry'!AC$9),'Council Entry'!AC$8),'Council Entry'!AC146)),IF(AND(ISNUMBER('Council Entry'!AC$8),ISNUMBER('Council Entry'!AC$9)),MAX(MIN('Council Entry'!AC146,'Council Entry'!AC$9),'Council Entry'!AC$8),'Council Entry'!AC146))))-'Council Entry'!AC$5)/('Council Entry'!AC$6-'Council Entry'!AC$5),10*((IF('Council Entry'!AC$4="Logarithm",LN(0.001+IF(AND(ISNUMBER('Council Entry'!AC$8),ISNUMBER('Council Entry'!AC$9)),MAX(MIN('Council Entry'!AC146,'Council Entry'!AC$9),'Council Entry'!AC$8),'Council Entry'!AC146)),IF('Council Entry'!AC$4="Exponential",EXP(IF(AND(ISNUMBER('Council Entry'!AC$8),ISNUMBER('Council Entry'!AC$9)),MAX(MIN('Council Entry'!AC146,'Council Entry'!AC$9),'Council Entry'!AC$8),'Council Entry'!AC146)),IF(AND(ISNUMBER('Council Entry'!AC$8),ISNUMBER('Council Entry'!AC$9)),MAX(MIN('Council Entry'!AC146,'Council Entry'!AC$9),'Council Entry'!AC$8),'Council Entry'!AC146))))-'Council Entry'!AC$5)/('Council Entry'!AC$6-'Council Entry'!AC$5)),1))),"No data"))</f>
        <v/>
      </c>
      <c r="AD146" s="13">
        <f>IF('Council Entry'!AD146="","",IFERROR(MAX(0,MIN(10,ROUND(IF('Council Entry'!AD$7="Decrease Risk",10-10*((IF('Council Entry'!AD$4="Logarithm",LN(0.001+IF(AND(ISNUMBER('Council Entry'!AD$8),ISNUMBER('Council Entry'!AD$9)),MAX(MIN('Council Entry'!AD146,'Council Entry'!AD$9),'Council Entry'!AD$8),'Council Entry'!AD146)),IF('Council Entry'!AD$4="Exponential",EXP(IF(AND(ISNUMBER('Council Entry'!AD$8),ISNUMBER('Council Entry'!AD$9)),MAX(MIN('Council Entry'!AD146,'Council Entry'!AD$9),'Council Entry'!AD$8),'Council Entry'!AD146)),IF(AND(ISNUMBER('Council Entry'!AD$8),ISNUMBER('Council Entry'!AD$9)),MAX(MIN('Council Entry'!AD146,'Council Entry'!AD$9),'Council Entry'!AD$8),'Council Entry'!AD146))))-'Council Entry'!AD$5)/('Council Entry'!AD$6-'Council Entry'!AD$5),10*((IF('Council Entry'!AD$4="Logarithm",LN(0.001+IF(AND(ISNUMBER('Council Entry'!AD$8),ISNUMBER('Council Entry'!AD$9)),MAX(MIN('Council Entry'!AD146,'Council Entry'!AD$9),'Council Entry'!AD$8),'Council Entry'!AD146)),IF('Council Entry'!AD$4="Exponential",EXP(IF(AND(ISNUMBER('Council Entry'!AD$8),ISNUMBER('Council Entry'!AD$9)),MAX(MIN('Council Entry'!AD146,'Council Entry'!AD$9),'Council Entry'!AD$8),'Council Entry'!AD146)),IF(AND(ISNUMBER('Council Entry'!AD$8),ISNUMBER('Council Entry'!AD$9)),MAX(MIN('Council Entry'!AD146,'Council Entry'!AD$9),'Council Entry'!AD$8),'Council Entry'!AD146))))-'Council Entry'!AD$5)/('Council Entry'!AD$6-'Council Entry'!AD$5)),1))),"No data"))</f>
        <v/>
      </c>
      <c r="AE146" s="13">
        <f>IF('Council Entry'!AE146="","",IFERROR(MAX(0,MIN(10,ROUND(IF('Council Entry'!AE$7="Decrease Risk",10-10*((IF('Council Entry'!AE$4="Logarithm",LN(0.001+IF(AND(ISNUMBER('Council Entry'!AE$8),ISNUMBER('Council Entry'!AE$9)),MAX(MIN('Council Entry'!AE146,'Council Entry'!AE$9),'Council Entry'!AE$8),'Council Entry'!AE146)),IF('Council Entry'!AE$4="Exponential",EXP(IF(AND(ISNUMBER('Council Entry'!AE$8),ISNUMBER('Council Entry'!AE$9)),MAX(MIN('Council Entry'!AE146,'Council Entry'!AE$9),'Council Entry'!AE$8),'Council Entry'!AE146)),IF(AND(ISNUMBER('Council Entry'!AE$8),ISNUMBER('Council Entry'!AE$9)),MAX(MIN('Council Entry'!AE146,'Council Entry'!AE$9),'Council Entry'!AE$8),'Council Entry'!AE146))))-'Council Entry'!AE$5)/('Council Entry'!AE$6-'Council Entry'!AE$5),10*((IF('Council Entry'!AE$4="Logarithm",LN(0.001+IF(AND(ISNUMBER('Council Entry'!AE$8),ISNUMBER('Council Entry'!AE$9)),MAX(MIN('Council Entry'!AE146,'Council Entry'!AE$9),'Council Entry'!AE$8),'Council Entry'!AE146)),IF('Council Entry'!AE$4="Exponential",EXP(IF(AND(ISNUMBER('Council Entry'!AE$8),ISNUMBER('Council Entry'!AE$9)),MAX(MIN('Council Entry'!AE146,'Council Entry'!AE$9),'Council Entry'!AE$8),'Council Entry'!AE146)),IF(AND(ISNUMBER('Council Entry'!AE$8),ISNUMBER('Council Entry'!AE$9)),MAX(MIN('Council Entry'!AE146,'Council Entry'!AE$9),'Council Entry'!AE$8),'Council Entry'!AE146))))-'Council Entry'!AE$5)/('Council Entry'!AE$6-'Council Entry'!AE$5)),1))),"No data"))</f>
        <v/>
      </c>
      <c r="AF146" s="13">
        <f>IF('Council Entry'!AF146="","",IFERROR(MAX(0,MIN(10,ROUND(IF('Council Entry'!AF$7="Decrease Risk",10-10*((IF('Council Entry'!AF$4="Logarithm",LN(0.001+IF(AND(ISNUMBER('Council Entry'!AF$8),ISNUMBER('Council Entry'!AF$9)),MAX(MIN('Council Entry'!AF146,'Council Entry'!AF$9),'Council Entry'!AF$8),'Council Entry'!AF146)),IF('Council Entry'!AF$4="Exponential",EXP(IF(AND(ISNUMBER('Council Entry'!AF$8),ISNUMBER('Council Entry'!AF$9)),MAX(MIN('Council Entry'!AF146,'Council Entry'!AF$9),'Council Entry'!AF$8),'Council Entry'!AF146)),IF(AND(ISNUMBER('Council Entry'!AF$8),ISNUMBER('Council Entry'!AF$9)),MAX(MIN('Council Entry'!AF146,'Council Entry'!AF$9),'Council Entry'!AF$8),'Council Entry'!AF146))))-'Council Entry'!AF$5)/('Council Entry'!AF$6-'Council Entry'!AF$5),10*((IF('Council Entry'!AF$4="Logarithm",LN(0.001+IF(AND(ISNUMBER('Council Entry'!AF$8),ISNUMBER('Council Entry'!AF$9)),MAX(MIN('Council Entry'!AF146,'Council Entry'!AF$9),'Council Entry'!AF$8),'Council Entry'!AF146)),IF('Council Entry'!AF$4="Exponential",EXP(IF(AND(ISNUMBER('Council Entry'!AF$8),ISNUMBER('Council Entry'!AF$9)),MAX(MIN('Council Entry'!AF146,'Council Entry'!AF$9),'Council Entry'!AF$8),'Council Entry'!AF146)),IF(AND(ISNUMBER('Council Entry'!AF$8),ISNUMBER('Council Entry'!AF$9)),MAX(MIN('Council Entry'!AF146,'Council Entry'!AF$9),'Council Entry'!AF$8),'Council Entry'!AF146))))-'Council Entry'!AF$5)/('Council Entry'!AF$6-'Council Entry'!AF$5)),1))),"No data"))</f>
        <v/>
      </c>
      <c r="AG146" s="13">
        <f>IF('Council Entry'!AG146="","",IFERROR(MAX(0,MIN(10,ROUND(IF('Council Entry'!AG$7="Decrease Risk",10-10*((IF('Council Entry'!AG$4="Logarithm",LN(0.001+IF(AND(ISNUMBER('Council Entry'!AG$8),ISNUMBER('Council Entry'!AG$9)),MAX(MIN('Council Entry'!AG146,'Council Entry'!AG$9),'Council Entry'!AG$8),'Council Entry'!AG146)),IF('Council Entry'!AG$4="Exponential",EXP(IF(AND(ISNUMBER('Council Entry'!AG$8),ISNUMBER('Council Entry'!AG$9)),MAX(MIN('Council Entry'!AG146,'Council Entry'!AG$9),'Council Entry'!AG$8),'Council Entry'!AG146)),IF(AND(ISNUMBER('Council Entry'!AG$8),ISNUMBER('Council Entry'!AG$9)),MAX(MIN('Council Entry'!AG146,'Council Entry'!AG$9),'Council Entry'!AG$8),'Council Entry'!AG146))))-'Council Entry'!AG$5)/('Council Entry'!AG$6-'Council Entry'!AG$5),10*((IF('Council Entry'!AG$4="Logarithm",LN(0.001+IF(AND(ISNUMBER('Council Entry'!AG$8),ISNUMBER('Council Entry'!AG$9)),MAX(MIN('Council Entry'!AG146,'Council Entry'!AG$9),'Council Entry'!AG$8),'Council Entry'!AG146)),IF('Council Entry'!AG$4="Exponential",EXP(IF(AND(ISNUMBER('Council Entry'!AG$8),ISNUMBER('Council Entry'!AG$9)),MAX(MIN('Council Entry'!AG146,'Council Entry'!AG$9),'Council Entry'!AG$8),'Council Entry'!AG146)),IF(AND(ISNUMBER('Council Entry'!AG$8),ISNUMBER('Council Entry'!AG$9)),MAX(MIN('Council Entry'!AG146,'Council Entry'!AG$9),'Council Entry'!AG$8),'Council Entry'!AG146))))-'Council Entry'!AG$5)/('Council Entry'!AG$6-'Council Entry'!AG$5)),1))),"No data"))</f>
        <v/>
      </c>
      <c r="AH146" s="13">
        <f>IF('Council Entry'!AH146="","",IFERROR(MAX(0,MIN(10,ROUND(IF('Council Entry'!AH$7="Decrease Risk",10-10*((IF('Council Entry'!AH$4="Logarithm",LN(0.001+IF(AND(ISNUMBER('Council Entry'!AH$8),ISNUMBER('Council Entry'!AH$9)),MAX(MIN('Council Entry'!AH146,'Council Entry'!AH$9),'Council Entry'!AH$8),'Council Entry'!AH146)),IF('Council Entry'!AH$4="Exponential",EXP(IF(AND(ISNUMBER('Council Entry'!AH$8),ISNUMBER('Council Entry'!AH$9)),MAX(MIN('Council Entry'!AH146,'Council Entry'!AH$9),'Council Entry'!AH$8),'Council Entry'!AH146)),IF(AND(ISNUMBER('Council Entry'!AH$8),ISNUMBER('Council Entry'!AH$9)),MAX(MIN('Council Entry'!AH146,'Council Entry'!AH$9),'Council Entry'!AH$8),'Council Entry'!AH146))))-'Council Entry'!AH$5)/('Council Entry'!AH$6-'Council Entry'!AH$5),10*((IF('Council Entry'!AH$4="Logarithm",LN(0.001+IF(AND(ISNUMBER('Council Entry'!AH$8),ISNUMBER('Council Entry'!AH$9)),MAX(MIN('Council Entry'!AH146,'Council Entry'!AH$9),'Council Entry'!AH$8),'Council Entry'!AH146)),IF('Council Entry'!AH$4="Exponential",EXP(IF(AND(ISNUMBER('Council Entry'!AH$8),ISNUMBER('Council Entry'!AH$9)),MAX(MIN('Council Entry'!AH146,'Council Entry'!AH$9),'Council Entry'!AH$8),'Council Entry'!AH146)),IF(AND(ISNUMBER('Council Entry'!AH$8),ISNUMBER('Council Entry'!AH$9)),MAX(MIN('Council Entry'!AH146,'Council Entry'!AH$9),'Council Entry'!AH$8),'Council Entry'!AH146))))-'Council Entry'!AH$5)/('Council Entry'!AH$6-'Council Entry'!AH$5)),1))),"No data"))</f>
        <v/>
      </c>
      <c r="AI146" s="13">
        <f>IF('Council Entry'!AI146="","",IFERROR(MAX(0,MIN(10,ROUND(IF('Council Entry'!AI$7="Decrease Risk",10-10*((IF('Council Entry'!AI$4="Logarithm",LN(0.001+IF(AND(ISNUMBER('Council Entry'!AI$8),ISNUMBER('Council Entry'!AI$9)),MAX(MIN('Council Entry'!AI146,'Council Entry'!AI$9),'Council Entry'!AI$8),'Council Entry'!AI146)),IF('Council Entry'!AI$4="Exponential",EXP(IF(AND(ISNUMBER('Council Entry'!AI$8),ISNUMBER('Council Entry'!AI$9)),MAX(MIN('Council Entry'!AI146,'Council Entry'!AI$9),'Council Entry'!AI$8),'Council Entry'!AI146)),IF(AND(ISNUMBER('Council Entry'!AI$8),ISNUMBER('Council Entry'!AI$9)),MAX(MIN('Council Entry'!AI146,'Council Entry'!AI$9),'Council Entry'!AI$8),'Council Entry'!AI146))))-'Council Entry'!AI$5)/('Council Entry'!AI$6-'Council Entry'!AI$5),10*((IF('Council Entry'!AI$4="Logarithm",LN(0.001+IF(AND(ISNUMBER('Council Entry'!AI$8),ISNUMBER('Council Entry'!AI$9)),MAX(MIN('Council Entry'!AI146,'Council Entry'!AI$9),'Council Entry'!AI$8),'Council Entry'!AI146)),IF('Council Entry'!AI$4="Exponential",EXP(IF(AND(ISNUMBER('Council Entry'!AI$8),ISNUMBER('Council Entry'!AI$9)),MAX(MIN('Council Entry'!AI146,'Council Entry'!AI$9),'Council Entry'!AI$8),'Council Entry'!AI146)),IF(AND(ISNUMBER('Council Entry'!AI$8),ISNUMBER('Council Entry'!AI$9)),MAX(MIN('Council Entry'!AI146,'Council Entry'!AI$9),'Council Entry'!AI$8),'Council Entry'!AI146))))-'Council Entry'!AI$5)/('Council Entry'!AI$6-'Council Entry'!AI$5)),1))),"No data"))</f>
        <v/>
      </c>
      <c r="AJ146" s="13">
        <f>IF('Council Entry'!AJ146="","",IFERROR(MAX(0,MIN(10,ROUND(IF('Council Entry'!AJ$7="Decrease Risk",10-10*((IF('Council Entry'!AJ$4="Logarithm",LN(0.001+IF(AND(ISNUMBER('Council Entry'!AJ$8),ISNUMBER('Council Entry'!AJ$9)),MAX(MIN('Council Entry'!AJ146,'Council Entry'!AJ$9),'Council Entry'!AJ$8),'Council Entry'!AJ146)),IF('Council Entry'!AJ$4="Exponential",EXP(IF(AND(ISNUMBER('Council Entry'!AJ$8),ISNUMBER('Council Entry'!AJ$9)),MAX(MIN('Council Entry'!AJ146,'Council Entry'!AJ$9),'Council Entry'!AJ$8),'Council Entry'!AJ146)),IF(AND(ISNUMBER('Council Entry'!AJ$8),ISNUMBER('Council Entry'!AJ$9)),MAX(MIN('Council Entry'!AJ146,'Council Entry'!AJ$9),'Council Entry'!AJ$8),'Council Entry'!AJ146))))-'Council Entry'!AJ$5)/('Council Entry'!AJ$6-'Council Entry'!AJ$5),10*((IF('Council Entry'!AJ$4="Logarithm",LN(0.001+IF(AND(ISNUMBER('Council Entry'!AJ$8),ISNUMBER('Council Entry'!AJ$9)),MAX(MIN('Council Entry'!AJ146,'Council Entry'!AJ$9),'Council Entry'!AJ$8),'Council Entry'!AJ146)),IF('Council Entry'!AJ$4="Exponential",EXP(IF(AND(ISNUMBER('Council Entry'!AJ$8),ISNUMBER('Council Entry'!AJ$9)),MAX(MIN('Council Entry'!AJ146,'Council Entry'!AJ$9),'Council Entry'!AJ$8),'Council Entry'!AJ146)),IF(AND(ISNUMBER('Council Entry'!AJ$8),ISNUMBER('Council Entry'!AJ$9)),MAX(MIN('Council Entry'!AJ146,'Council Entry'!AJ$9),'Council Entry'!AJ$8),'Council Entry'!AJ146))))-'Council Entry'!AJ$5)/('Council Entry'!AJ$6-'Council Entry'!AJ$5)),1))),"No data"))</f>
        <v/>
      </c>
      <c r="AK146" s="13">
        <f>IF('Council Entry'!AK146="","",IFERROR(MAX(0,MIN(10,ROUND(IF('Council Entry'!AK$7="Decrease Risk",10-10*((IF('Council Entry'!AK$4="Logarithm",LN(0.001+IF(AND(ISNUMBER('Council Entry'!AK$8),ISNUMBER('Council Entry'!AK$9)),MAX(MIN('Council Entry'!AK146,'Council Entry'!AK$9),'Council Entry'!AK$8),'Council Entry'!AK146)),IF('Council Entry'!AK$4="Exponential",EXP(IF(AND(ISNUMBER('Council Entry'!AK$8),ISNUMBER('Council Entry'!AK$9)),MAX(MIN('Council Entry'!AK146,'Council Entry'!AK$9),'Council Entry'!AK$8),'Council Entry'!AK146)),IF(AND(ISNUMBER('Council Entry'!AK$8),ISNUMBER('Council Entry'!AK$9)),MAX(MIN('Council Entry'!AK146,'Council Entry'!AK$9),'Council Entry'!AK$8),'Council Entry'!AK146))))-'Council Entry'!AK$5)/('Council Entry'!AK$6-'Council Entry'!AK$5),10*((IF('Council Entry'!AK$4="Logarithm",LN(0.001+IF(AND(ISNUMBER('Council Entry'!AK$8),ISNUMBER('Council Entry'!AK$9)),MAX(MIN('Council Entry'!AK146,'Council Entry'!AK$9),'Council Entry'!AK$8),'Council Entry'!AK146)),IF('Council Entry'!AK$4="Exponential",EXP(IF(AND(ISNUMBER('Council Entry'!AK$8),ISNUMBER('Council Entry'!AK$9)),MAX(MIN('Council Entry'!AK146,'Council Entry'!AK$9),'Council Entry'!AK$8),'Council Entry'!AK146)),IF(AND(ISNUMBER('Council Entry'!AK$8),ISNUMBER('Council Entry'!AK$9)),MAX(MIN('Council Entry'!AK146,'Council Entry'!AK$9),'Council Entry'!AK$8),'Council Entry'!AK146))))-'Council Entry'!AK$5)/('Council Entry'!AK$6-'Council Entry'!AK$5)),1))),"No data"))</f>
        <v/>
      </c>
      <c r="AL146" s="13">
        <f>IF('Council Entry'!AL146="","",IFERROR(MAX(0,MIN(10,ROUND(IF('Council Entry'!AL$7="Decrease Risk",10-10*((IF('Council Entry'!AL$4="Logarithm",LN(0.001+IF(AND(ISNUMBER('Council Entry'!AL$8),ISNUMBER('Council Entry'!AL$9)),MAX(MIN('Council Entry'!AL146,'Council Entry'!AL$9),'Council Entry'!AL$8),'Council Entry'!AL146)),IF('Council Entry'!AL$4="Exponential",EXP(IF(AND(ISNUMBER('Council Entry'!AL$8),ISNUMBER('Council Entry'!AL$9)),MAX(MIN('Council Entry'!AL146,'Council Entry'!AL$9),'Council Entry'!AL$8),'Council Entry'!AL146)),IF(AND(ISNUMBER('Council Entry'!AL$8),ISNUMBER('Council Entry'!AL$9)),MAX(MIN('Council Entry'!AL146,'Council Entry'!AL$9),'Council Entry'!AL$8),'Council Entry'!AL146))))-'Council Entry'!AL$5)/('Council Entry'!AL$6-'Council Entry'!AL$5),10*((IF('Council Entry'!AL$4="Logarithm",LN(0.001+IF(AND(ISNUMBER('Council Entry'!AL$8),ISNUMBER('Council Entry'!AL$9)),MAX(MIN('Council Entry'!AL146,'Council Entry'!AL$9),'Council Entry'!AL$8),'Council Entry'!AL146)),IF('Council Entry'!AL$4="Exponential",EXP(IF(AND(ISNUMBER('Council Entry'!AL$8),ISNUMBER('Council Entry'!AL$9)),MAX(MIN('Council Entry'!AL146,'Council Entry'!AL$9),'Council Entry'!AL$8),'Council Entry'!AL146)),IF(AND(ISNUMBER('Council Entry'!AL$8),ISNUMBER('Council Entry'!AL$9)),MAX(MIN('Council Entry'!AL146,'Council Entry'!AL$9),'Council Entry'!AL$8),'Council Entry'!AL146))))-'Council Entry'!AL$5)/('Council Entry'!AL$6-'Council Entry'!AL$5)),1))),"No data"))</f>
        <v/>
      </c>
      <c r="AM146" s="13">
        <f>IF('Council Entry'!AM146="","",IFERROR(MAX(0,MIN(10,ROUND(IF('Council Entry'!AM$7="Decrease Risk",10-10*((IF('Council Entry'!AM$4="Logarithm",LN(0.001+IF(AND(ISNUMBER('Council Entry'!AM$8),ISNUMBER('Council Entry'!AM$9)),MAX(MIN('Council Entry'!AM146,'Council Entry'!AM$9),'Council Entry'!AM$8),'Council Entry'!AM146)),IF('Council Entry'!AM$4="Exponential",EXP(IF(AND(ISNUMBER('Council Entry'!AM$8),ISNUMBER('Council Entry'!AM$9)),MAX(MIN('Council Entry'!AM146,'Council Entry'!AM$9),'Council Entry'!AM$8),'Council Entry'!AM146)),IF(AND(ISNUMBER('Council Entry'!AM$8),ISNUMBER('Council Entry'!AM$9)),MAX(MIN('Council Entry'!AM146,'Council Entry'!AM$9),'Council Entry'!AM$8),'Council Entry'!AM146))))-'Council Entry'!AM$5)/('Council Entry'!AM$6-'Council Entry'!AM$5),10*((IF('Council Entry'!AM$4="Logarithm",LN(0.001+IF(AND(ISNUMBER('Council Entry'!AM$8),ISNUMBER('Council Entry'!AM$9)),MAX(MIN('Council Entry'!AM146,'Council Entry'!AM$9),'Council Entry'!AM$8),'Council Entry'!AM146)),IF('Council Entry'!AM$4="Exponential",EXP(IF(AND(ISNUMBER('Council Entry'!AM$8),ISNUMBER('Council Entry'!AM$9)),MAX(MIN('Council Entry'!AM146,'Council Entry'!AM$9),'Council Entry'!AM$8),'Council Entry'!AM146)),IF(AND(ISNUMBER('Council Entry'!AM$8),ISNUMBER('Council Entry'!AM$9)),MAX(MIN('Council Entry'!AM146,'Council Entry'!AM$9),'Council Entry'!AM$8),'Council Entry'!AM146))))-'Council Entry'!AM$5)/('Council Entry'!AM$6-'Council Entry'!AM$5)),1))),"No data"))</f>
        <v/>
      </c>
      <c r="AN146" s="13">
        <f>IF('Council Entry'!AN146="","",IFERROR(MAX(0,MIN(10,ROUND(IF('Council Entry'!AN$7="Decrease Risk",10-10*((IF('Council Entry'!AN$4="Logarithm",LN(0.001+IF(AND(ISNUMBER('Council Entry'!AN$8),ISNUMBER('Council Entry'!AN$9)),MAX(MIN('Council Entry'!AN146,'Council Entry'!AN$9),'Council Entry'!AN$8),'Council Entry'!AN146)),IF('Council Entry'!AN$4="Exponential",EXP(IF(AND(ISNUMBER('Council Entry'!AN$8),ISNUMBER('Council Entry'!AN$9)),MAX(MIN('Council Entry'!AN146,'Council Entry'!AN$9),'Council Entry'!AN$8),'Council Entry'!AN146)),IF(AND(ISNUMBER('Council Entry'!AN$8),ISNUMBER('Council Entry'!AN$9)),MAX(MIN('Council Entry'!AN146,'Council Entry'!AN$9),'Council Entry'!AN$8),'Council Entry'!AN146))))-'Council Entry'!AN$5)/('Council Entry'!AN$6-'Council Entry'!AN$5),10*((IF('Council Entry'!AN$4="Logarithm",LN(0.001+IF(AND(ISNUMBER('Council Entry'!AN$8),ISNUMBER('Council Entry'!AN$9)),MAX(MIN('Council Entry'!AN146,'Council Entry'!AN$9),'Council Entry'!AN$8),'Council Entry'!AN146)),IF('Council Entry'!AN$4="Exponential",EXP(IF(AND(ISNUMBER('Council Entry'!AN$8),ISNUMBER('Council Entry'!AN$9)),MAX(MIN('Council Entry'!AN146,'Council Entry'!AN$9),'Council Entry'!AN$8),'Council Entry'!AN146)),IF(AND(ISNUMBER('Council Entry'!AN$8),ISNUMBER('Council Entry'!AN$9)),MAX(MIN('Council Entry'!AN146,'Council Entry'!AN$9),'Council Entry'!AN$8),'Council Entry'!AN146))))-'Council Entry'!AN$5)/('Council Entry'!AN$6-'Council Entry'!AN$5)),1))),"No data"))</f>
        <v/>
      </c>
      <c r="AO146" s="13">
        <f>IF('Council Entry'!AO146="","",IFERROR(MAX(0,MIN(10,ROUND(IF('Council Entry'!AO$7="Decrease Risk",10-10*((IF('Council Entry'!AO$4="Logarithm",LN(0.001+IF(AND(ISNUMBER('Council Entry'!AO$8),ISNUMBER('Council Entry'!AO$9)),MAX(MIN('Council Entry'!AO146,'Council Entry'!AO$9),'Council Entry'!AO$8),'Council Entry'!AO146)),IF('Council Entry'!AO$4="Exponential",EXP(IF(AND(ISNUMBER('Council Entry'!AO$8),ISNUMBER('Council Entry'!AO$9)),MAX(MIN('Council Entry'!AO146,'Council Entry'!AO$9),'Council Entry'!AO$8),'Council Entry'!AO146)),IF(AND(ISNUMBER('Council Entry'!AO$8),ISNUMBER('Council Entry'!AO$9)),MAX(MIN('Council Entry'!AO146,'Council Entry'!AO$9),'Council Entry'!AO$8),'Council Entry'!AO146))))-'Council Entry'!AO$5)/('Council Entry'!AO$6-'Council Entry'!AO$5),10*((IF('Council Entry'!AO$4="Logarithm",LN(0.001+IF(AND(ISNUMBER('Council Entry'!AO$8),ISNUMBER('Council Entry'!AO$9)),MAX(MIN('Council Entry'!AO146,'Council Entry'!AO$9),'Council Entry'!AO$8),'Council Entry'!AO146)),IF('Council Entry'!AO$4="Exponential",EXP(IF(AND(ISNUMBER('Council Entry'!AO$8),ISNUMBER('Council Entry'!AO$9)),MAX(MIN('Council Entry'!AO146,'Council Entry'!AO$9),'Council Entry'!AO$8),'Council Entry'!AO146)),IF(AND(ISNUMBER('Council Entry'!AO$8),ISNUMBER('Council Entry'!AO$9)),MAX(MIN('Council Entry'!AO146,'Council Entry'!AO$9),'Council Entry'!AO$8),'Council Entry'!AO146))))-'Council Entry'!AO$5)/('Council Entry'!AO$6-'Council Entry'!AO$5)),1))),"No data"))</f>
        <v/>
      </c>
      <c r="AP146" s="13">
        <f>IF('Council Entry'!AP146="","",IFERROR(MAX(0,MIN(10,ROUND(IF('Council Entry'!AP$7="Decrease Risk",10-10*((IF('Council Entry'!AP$4="Logarithm",LN(0.001+IF(AND(ISNUMBER('Council Entry'!AP$8),ISNUMBER('Council Entry'!AP$9)),MAX(MIN('Council Entry'!AP146,'Council Entry'!AP$9),'Council Entry'!AP$8),'Council Entry'!AP146)),IF('Council Entry'!AP$4="Exponential",EXP(IF(AND(ISNUMBER('Council Entry'!AP$8),ISNUMBER('Council Entry'!AP$9)),MAX(MIN('Council Entry'!AP146,'Council Entry'!AP$9),'Council Entry'!AP$8),'Council Entry'!AP146)),IF(AND(ISNUMBER('Council Entry'!AP$8),ISNUMBER('Council Entry'!AP$9)),MAX(MIN('Council Entry'!AP146,'Council Entry'!AP$9),'Council Entry'!AP$8),'Council Entry'!AP146))))-'Council Entry'!AP$5)/('Council Entry'!AP$6-'Council Entry'!AP$5),10*((IF('Council Entry'!AP$4="Logarithm",LN(0.001+IF(AND(ISNUMBER('Council Entry'!AP$8),ISNUMBER('Council Entry'!AP$9)),MAX(MIN('Council Entry'!AP146,'Council Entry'!AP$9),'Council Entry'!AP$8),'Council Entry'!AP146)),IF('Council Entry'!AP$4="Exponential",EXP(IF(AND(ISNUMBER('Council Entry'!AP$8),ISNUMBER('Council Entry'!AP$9)),MAX(MIN('Council Entry'!AP146,'Council Entry'!AP$9),'Council Entry'!AP$8),'Council Entry'!AP146)),IF(AND(ISNUMBER('Council Entry'!AP$8),ISNUMBER('Council Entry'!AP$9)),MAX(MIN('Council Entry'!AP146,'Council Entry'!AP$9),'Council Entry'!AP$8),'Council Entry'!AP146))))-'Council Entry'!AP$5)/('Council Entry'!AP$6-'Council Entry'!AP$5)),1))),"No data"))</f>
        <v/>
      </c>
      <c r="AQ146" s="13">
        <f>IF('Council Entry'!AQ146="","",IFERROR(MAX(0,MIN(10,ROUND(IF('Council Entry'!AQ$7="Decrease Risk",10-10*((IF('Council Entry'!AQ$4="Logarithm",LN(0.001+IF(AND(ISNUMBER('Council Entry'!AQ$8),ISNUMBER('Council Entry'!AQ$9)),MAX(MIN('Council Entry'!AQ146,'Council Entry'!AQ$9),'Council Entry'!AQ$8),'Council Entry'!AQ146)),IF('Council Entry'!AQ$4="Exponential",EXP(IF(AND(ISNUMBER('Council Entry'!AQ$8),ISNUMBER('Council Entry'!AQ$9)),MAX(MIN('Council Entry'!AQ146,'Council Entry'!AQ$9),'Council Entry'!AQ$8),'Council Entry'!AQ146)),IF(AND(ISNUMBER('Council Entry'!AQ$8),ISNUMBER('Council Entry'!AQ$9)),MAX(MIN('Council Entry'!AQ146,'Council Entry'!AQ$9),'Council Entry'!AQ$8),'Council Entry'!AQ146))))-'Council Entry'!AQ$5)/('Council Entry'!AQ$6-'Council Entry'!AQ$5),10*((IF('Council Entry'!AQ$4="Logarithm",LN(0.001+IF(AND(ISNUMBER('Council Entry'!AQ$8),ISNUMBER('Council Entry'!AQ$9)),MAX(MIN('Council Entry'!AQ146,'Council Entry'!AQ$9),'Council Entry'!AQ$8),'Council Entry'!AQ146)),IF('Council Entry'!AQ$4="Exponential",EXP(IF(AND(ISNUMBER('Council Entry'!AQ$8),ISNUMBER('Council Entry'!AQ$9)),MAX(MIN('Council Entry'!AQ146,'Council Entry'!AQ$9),'Council Entry'!AQ$8),'Council Entry'!AQ146)),IF(AND(ISNUMBER('Council Entry'!AQ$8),ISNUMBER('Council Entry'!AQ$9)),MAX(MIN('Council Entry'!AQ146,'Council Entry'!AQ$9),'Council Entry'!AQ$8),'Council Entry'!AQ146))))-'Council Entry'!AQ$5)/('Council Entry'!AQ$6-'Council Entry'!AQ$5)),1))),"No data"))</f>
        <v/>
      </c>
      <c r="AR146" s="13">
        <f>IF('Council Entry'!AR146="","",IFERROR(MAX(0,MIN(10,ROUND(IF('Council Entry'!AR$7="Decrease Risk",10-10*((IF('Council Entry'!AR$4="Logarithm",LN(0.001+IF(AND(ISNUMBER('Council Entry'!AR$8),ISNUMBER('Council Entry'!AR$9)),MAX(MIN('Council Entry'!AR146,'Council Entry'!AR$9),'Council Entry'!AR$8),'Council Entry'!AR146)),IF('Council Entry'!AR$4="Exponential",EXP(IF(AND(ISNUMBER('Council Entry'!AR$8),ISNUMBER('Council Entry'!AR$9)),MAX(MIN('Council Entry'!AR146,'Council Entry'!AR$9),'Council Entry'!AR$8),'Council Entry'!AR146)),IF(AND(ISNUMBER('Council Entry'!AR$8),ISNUMBER('Council Entry'!AR$9)),MAX(MIN('Council Entry'!AR146,'Council Entry'!AR$9),'Council Entry'!AR$8),'Council Entry'!AR146))))-'Council Entry'!AR$5)/('Council Entry'!AR$6-'Council Entry'!AR$5),10*((IF('Council Entry'!AR$4="Logarithm",LN(0.001+IF(AND(ISNUMBER('Council Entry'!AR$8),ISNUMBER('Council Entry'!AR$9)),MAX(MIN('Council Entry'!AR146,'Council Entry'!AR$9),'Council Entry'!AR$8),'Council Entry'!AR146)),IF('Council Entry'!AR$4="Exponential",EXP(IF(AND(ISNUMBER('Council Entry'!AR$8),ISNUMBER('Council Entry'!AR$9)),MAX(MIN('Council Entry'!AR146,'Council Entry'!AR$9),'Council Entry'!AR$8),'Council Entry'!AR146)),IF(AND(ISNUMBER('Council Entry'!AR$8),ISNUMBER('Council Entry'!AR$9)),MAX(MIN('Council Entry'!AR146,'Council Entry'!AR$9),'Council Entry'!AR$8),'Council Entry'!AR146))))-'Council Entry'!AR$5)/('Council Entry'!AR$6-'Council Entry'!AR$5)),1))),"No data"))</f>
        <v/>
      </c>
      <c r="AS146" s="13">
        <f>IF('Council Entry'!AS146="","",IFERROR(MAX(0,MIN(10,ROUND(IF('Council Entry'!AS$7="Decrease Risk",10-10*((IF('Council Entry'!AS$4="Logarithm",LN(0.001+IF(AND(ISNUMBER('Council Entry'!AS$8),ISNUMBER('Council Entry'!AS$9)),MAX(MIN('Council Entry'!AS146,'Council Entry'!AS$9),'Council Entry'!AS$8),'Council Entry'!AS146)),IF('Council Entry'!AS$4="Exponential",EXP(IF(AND(ISNUMBER('Council Entry'!AS$8),ISNUMBER('Council Entry'!AS$9)),MAX(MIN('Council Entry'!AS146,'Council Entry'!AS$9),'Council Entry'!AS$8),'Council Entry'!AS146)),IF(AND(ISNUMBER('Council Entry'!AS$8),ISNUMBER('Council Entry'!AS$9)),MAX(MIN('Council Entry'!AS146,'Council Entry'!AS$9),'Council Entry'!AS$8),'Council Entry'!AS146))))-'Council Entry'!AS$5)/('Council Entry'!AS$6-'Council Entry'!AS$5),10*((IF('Council Entry'!AS$4="Logarithm",LN(0.001+IF(AND(ISNUMBER('Council Entry'!AS$8),ISNUMBER('Council Entry'!AS$9)),MAX(MIN('Council Entry'!AS146,'Council Entry'!AS$9),'Council Entry'!AS$8),'Council Entry'!AS146)),IF('Council Entry'!AS$4="Exponential",EXP(IF(AND(ISNUMBER('Council Entry'!AS$8),ISNUMBER('Council Entry'!AS$9)),MAX(MIN('Council Entry'!AS146,'Council Entry'!AS$9),'Council Entry'!AS$8),'Council Entry'!AS146)),IF(AND(ISNUMBER('Council Entry'!AS$8),ISNUMBER('Council Entry'!AS$9)),MAX(MIN('Council Entry'!AS146,'Council Entry'!AS$9),'Council Entry'!AS$8),'Council Entry'!AS146))))-'Council Entry'!AS$5)/('Council Entry'!AS$6-'Council Entry'!AS$5)),1))),"No data"))</f>
        <v/>
      </c>
      <c r="AT146" s="13">
        <f>IF('Council Entry'!AT146="","",IFERROR(MAX(0,MIN(10,ROUND(IF('Council Entry'!AT$7="Decrease Risk",10-10*((IF('Council Entry'!AT$4="Logarithm",LN(0.001+IF(AND(ISNUMBER('Council Entry'!AT$8),ISNUMBER('Council Entry'!AT$9)),MAX(MIN('Council Entry'!AT146,'Council Entry'!AT$9),'Council Entry'!AT$8),'Council Entry'!AT146)),IF('Council Entry'!AT$4="Exponential",EXP(IF(AND(ISNUMBER('Council Entry'!AT$8),ISNUMBER('Council Entry'!AT$9)),MAX(MIN('Council Entry'!AT146,'Council Entry'!AT$9),'Council Entry'!AT$8),'Council Entry'!AT146)),IF(AND(ISNUMBER('Council Entry'!AT$8),ISNUMBER('Council Entry'!AT$9)),MAX(MIN('Council Entry'!AT146,'Council Entry'!AT$9),'Council Entry'!AT$8),'Council Entry'!AT146))))-'Council Entry'!AT$5)/('Council Entry'!AT$6-'Council Entry'!AT$5),10*((IF('Council Entry'!AT$4="Logarithm",LN(0.001+IF(AND(ISNUMBER('Council Entry'!AT$8),ISNUMBER('Council Entry'!AT$9)),MAX(MIN('Council Entry'!AT146,'Council Entry'!AT$9),'Council Entry'!AT$8),'Council Entry'!AT146)),IF('Council Entry'!AT$4="Exponential",EXP(IF(AND(ISNUMBER('Council Entry'!AT$8),ISNUMBER('Council Entry'!AT$9)),MAX(MIN('Council Entry'!AT146,'Council Entry'!AT$9),'Council Entry'!AT$8),'Council Entry'!AT146)),IF(AND(ISNUMBER('Council Entry'!AT$8),ISNUMBER('Council Entry'!AT$9)),MAX(MIN('Council Entry'!AT146,'Council Entry'!AT$9),'Council Entry'!AT$8),'Council Entry'!AT146))))-'Council Entry'!AT$5)/('Council Entry'!AT$6-'Council Entry'!AT$5)),1))),"No data"))</f>
        <v/>
      </c>
      <c r="AU146" s="13">
        <f>IF('Council Entry'!AU146="","",IFERROR(MAX(0,MIN(10,ROUND(IF('Council Entry'!AU$7="Decrease Risk",10-10*((IF('Council Entry'!AU$4="Logarithm",LN(0.001+IF(AND(ISNUMBER('Council Entry'!AU$8),ISNUMBER('Council Entry'!AU$9)),MAX(MIN('Council Entry'!AU146,'Council Entry'!AU$9),'Council Entry'!AU$8),'Council Entry'!AU146)),IF('Council Entry'!AU$4="Exponential",EXP(IF(AND(ISNUMBER('Council Entry'!AU$8),ISNUMBER('Council Entry'!AU$9)),MAX(MIN('Council Entry'!AU146,'Council Entry'!AU$9),'Council Entry'!AU$8),'Council Entry'!AU146)),IF(AND(ISNUMBER('Council Entry'!AU$8),ISNUMBER('Council Entry'!AU$9)),MAX(MIN('Council Entry'!AU146,'Council Entry'!AU$9),'Council Entry'!AU$8),'Council Entry'!AU146))))-'Council Entry'!AU$5)/('Council Entry'!AU$6-'Council Entry'!AU$5),10*((IF('Council Entry'!AU$4="Logarithm",LN(0.001+IF(AND(ISNUMBER('Council Entry'!AU$8),ISNUMBER('Council Entry'!AU$9)),MAX(MIN('Council Entry'!AU146,'Council Entry'!AU$9),'Council Entry'!AU$8),'Council Entry'!AU146)),IF('Council Entry'!AU$4="Exponential",EXP(IF(AND(ISNUMBER('Council Entry'!AU$8),ISNUMBER('Council Entry'!AU$9)),MAX(MIN('Council Entry'!AU146,'Council Entry'!AU$9),'Council Entry'!AU$8),'Council Entry'!AU146)),IF(AND(ISNUMBER('Council Entry'!AU$8),ISNUMBER('Council Entry'!AU$9)),MAX(MIN('Council Entry'!AU146,'Council Entry'!AU$9),'Council Entry'!AU$8),'Council Entry'!AU146))))-'Council Entry'!AU$5)/('Council Entry'!AU$6-'Council Entry'!AU$5)),1))),"No data"))</f>
        <v/>
      </c>
      <c r="AV146" s="13">
        <f>IF('Council Entry'!AV146="","",IFERROR(MAX(0,MIN(10,ROUND(IF('Council Entry'!AV$7="Decrease Risk",10-10*((IF('Council Entry'!AV$4="Logarithm",LN(0.001+IF(AND(ISNUMBER('Council Entry'!AV$8),ISNUMBER('Council Entry'!AV$9)),MAX(MIN('Council Entry'!AV146,'Council Entry'!AV$9),'Council Entry'!AV$8),'Council Entry'!AV146)),IF('Council Entry'!AV$4="Exponential",EXP(IF(AND(ISNUMBER('Council Entry'!AV$8),ISNUMBER('Council Entry'!AV$9)),MAX(MIN('Council Entry'!AV146,'Council Entry'!AV$9),'Council Entry'!AV$8),'Council Entry'!AV146)),IF(AND(ISNUMBER('Council Entry'!AV$8),ISNUMBER('Council Entry'!AV$9)),MAX(MIN('Council Entry'!AV146,'Council Entry'!AV$9),'Council Entry'!AV$8),'Council Entry'!AV146))))-'Council Entry'!AV$5)/('Council Entry'!AV$6-'Council Entry'!AV$5),10*((IF('Council Entry'!AV$4="Logarithm",LN(0.001+IF(AND(ISNUMBER('Council Entry'!AV$8),ISNUMBER('Council Entry'!AV$9)),MAX(MIN('Council Entry'!AV146,'Council Entry'!AV$9),'Council Entry'!AV$8),'Council Entry'!AV146)),IF('Council Entry'!AV$4="Exponential",EXP(IF(AND(ISNUMBER('Council Entry'!AV$8),ISNUMBER('Council Entry'!AV$9)),MAX(MIN('Council Entry'!AV146,'Council Entry'!AV$9),'Council Entry'!AV$8),'Council Entry'!AV146)),IF(AND(ISNUMBER('Council Entry'!AV$8),ISNUMBER('Council Entry'!AV$9)),MAX(MIN('Council Entry'!AV146,'Council Entry'!AV$9),'Council Entry'!AV$8),'Council Entry'!AV146))))-'Council Entry'!AV$5)/('Council Entry'!AV$6-'Council Entry'!AV$5)),1))),"No data"))</f>
        <v/>
      </c>
      <c r="AW146" s="13">
        <f>IF('Council Entry'!AW146="","",IFERROR(MAX(0,MIN(10,ROUND(IF('Council Entry'!AW$7="Decrease Risk",10-10*((IF('Council Entry'!AW$4="Logarithm",LN(0.001+IF(AND(ISNUMBER('Council Entry'!AW$8),ISNUMBER('Council Entry'!AW$9)),MAX(MIN('Council Entry'!AW146,'Council Entry'!AW$9),'Council Entry'!AW$8),'Council Entry'!AW146)),IF('Council Entry'!AW$4="Exponential",EXP(IF(AND(ISNUMBER('Council Entry'!AW$8),ISNUMBER('Council Entry'!AW$9)),MAX(MIN('Council Entry'!AW146,'Council Entry'!AW$9),'Council Entry'!AW$8),'Council Entry'!AW146)),IF(AND(ISNUMBER('Council Entry'!AW$8),ISNUMBER('Council Entry'!AW$9)),MAX(MIN('Council Entry'!AW146,'Council Entry'!AW$9),'Council Entry'!AW$8),'Council Entry'!AW146))))-'Council Entry'!AW$5)/('Council Entry'!AW$6-'Council Entry'!AW$5),10*((IF('Council Entry'!AW$4="Logarithm",LN(0.001+IF(AND(ISNUMBER('Council Entry'!AW$8),ISNUMBER('Council Entry'!AW$9)),MAX(MIN('Council Entry'!AW146,'Council Entry'!AW$9),'Council Entry'!AW$8),'Council Entry'!AW146)),IF('Council Entry'!AW$4="Exponential",EXP(IF(AND(ISNUMBER('Council Entry'!AW$8),ISNUMBER('Council Entry'!AW$9)),MAX(MIN('Council Entry'!AW146,'Council Entry'!AW$9),'Council Entry'!AW$8),'Council Entry'!AW146)),IF(AND(ISNUMBER('Council Entry'!AW$8),ISNUMBER('Council Entry'!AW$9)),MAX(MIN('Council Entry'!AW146,'Council Entry'!AW$9),'Council Entry'!AW$8),'Council Entry'!AW146))))-'Council Entry'!AW$5)/('Council Entry'!AW$6-'Council Entry'!AW$5)),1))),"No data"))</f>
        <v/>
      </c>
      <c r="AX146" s="13">
        <f>IF('Council Entry'!AX146="","",IFERROR(MAX(0,MIN(10,ROUND(IF('Council Entry'!AX$7="Decrease Risk",10-10*((IF('Council Entry'!AX$4="Logarithm",LN(0.001+IF(AND(ISNUMBER('Council Entry'!AX$8),ISNUMBER('Council Entry'!AX$9)),MAX(MIN('Council Entry'!AX146,'Council Entry'!AX$9),'Council Entry'!AX$8),'Council Entry'!AX146)),IF('Council Entry'!AX$4="Exponential",EXP(IF(AND(ISNUMBER('Council Entry'!AX$8),ISNUMBER('Council Entry'!AX$9)),MAX(MIN('Council Entry'!AX146,'Council Entry'!AX$9),'Council Entry'!AX$8),'Council Entry'!AX146)),IF(AND(ISNUMBER('Council Entry'!AX$8),ISNUMBER('Council Entry'!AX$9)),MAX(MIN('Council Entry'!AX146,'Council Entry'!AX$9),'Council Entry'!AX$8),'Council Entry'!AX146))))-'Council Entry'!AX$5)/('Council Entry'!AX$6-'Council Entry'!AX$5),10*((IF('Council Entry'!AX$4="Logarithm",LN(0.001+IF(AND(ISNUMBER('Council Entry'!AX$8),ISNUMBER('Council Entry'!AX$9)),MAX(MIN('Council Entry'!AX146,'Council Entry'!AX$9),'Council Entry'!AX$8),'Council Entry'!AX146)),IF('Council Entry'!AX$4="Exponential",EXP(IF(AND(ISNUMBER('Council Entry'!AX$8),ISNUMBER('Council Entry'!AX$9)),MAX(MIN('Council Entry'!AX146,'Council Entry'!AX$9),'Council Entry'!AX$8),'Council Entry'!AX146)),IF(AND(ISNUMBER('Council Entry'!AX$8),ISNUMBER('Council Entry'!AX$9)),MAX(MIN('Council Entry'!AX146,'Council Entry'!AX$9),'Council Entry'!AX$8),'Council Entry'!AX146))))-'Council Entry'!AX$5)/('Council Entry'!AX$6-'Council Entry'!AX$5)),1))),"No data"))</f>
        <v/>
      </c>
      <c r="AY146" s="13">
        <f>IF('Council Entry'!AY146="","",IFERROR(MAX(0,MIN(10,ROUND(IF('Council Entry'!AY$7="Decrease Risk",10-10*((IF('Council Entry'!AY$4="Logarithm",LN(0.001+IF(AND(ISNUMBER('Council Entry'!AY$8),ISNUMBER('Council Entry'!AY$9)),MAX(MIN('Council Entry'!AY146,'Council Entry'!AY$9),'Council Entry'!AY$8),'Council Entry'!AY146)),IF('Council Entry'!AY$4="Exponential",EXP(IF(AND(ISNUMBER('Council Entry'!AY$8),ISNUMBER('Council Entry'!AY$9)),MAX(MIN('Council Entry'!AY146,'Council Entry'!AY$9),'Council Entry'!AY$8),'Council Entry'!AY146)),IF(AND(ISNUMBER('Council Entry'!AY$8),ISNUMBER('Council Entry'!AY$9)),MAX(MIN('Council Entry'!AY146,'Council Entry'!AY$9),'Council Entry'!AY$8),'Council Entry'!AY146))))-'Council Entry'!AY$5)/('Council Entry'!AY$6-'Council Entry'!AY$5),10*((IF('Council Entry'!AY$4="Logarithm",LN(0.001+IF(AND(ISNUMBER('Council Entry'!AY$8),ISNUMBER('Council Entry'!AY$9)),MAX(MIN('Council Entry'!AY146,'Council Entry'!AY$9),'Council Entry'!AY$8),'Council Entry'!AY146)),IF('Council Entry'!AY$4="Exponential",EXP(IF(AND(ISNUMBER('Council Entry'!AY$8),ISNUMBER('Council Entry'!AY$9)),MAX(MIN('Council Entry'!AY146,'Council Entry'!AY$9),'Council Entry'!AY$8),'Council Entry'!AY146)),IF(AND(ISNUMBER('Council Entry'!AY$8),ISNUMBER('Council Entry'!AY$9)),MAX(MIN('Council Entry'!AY146,'Council Entry'!AY$9),'Council Entry'!AY$8),'Council Entry'!AY146))))-'Council Entry'!AY$5)/('Council Entry'!AY$6-'Council Entry'!AY$5)),1))),"No data"))</f>
        <v/>
      </c>
      <c r="AZ146" s="13">
        <f>IF('Council Entry'!AZ146="","",IFERROR(MAX(0,MIN(10,ROUND(IF('Council Entry'!AZ$7="Decrease Risk",10-10*((IF('Council Entry'!AZ$4="Logarithm",LN(0.001+IF(AND(ISNUMBER('Council Entry'!AZ$8),ISNUMBER('Council Entry'!AZ$9)),MAX(MIN('Council Entry'!AZ146,'Council Entry'!AZ$9),'Council Entry'!AZ$8),'Council Entry'!AZ146)),IF('Council Entry'!AZ$4="Exponential",EXP(IF(AND(ISNUMBER('Council Entry'!AZ$8),ISNUMBER('Council Entry'!AZ$9)),MAX(MIN('Council Entry'!AZ146,'Council Entry'!AZ$9),'Council Entry'!AZ$8),'Council Entry'!AZ146)),IF(AND(ISNUMBER('Council Entry'!AZ$8),ISNUMBER('Council Entry'!AZ$9)),MAX(MIN('Council Entry'!AZ146,'Council Entry'!AZ$9),'Council Entry'!AZ$8),'Council Entry'!AZ146))))-'Council Entry'!AZ$5)/('Council Entry'!AZ$6-'Council Entry'!AZ$5),10*((IF('Council Entry'!AZ$4="Logarithm",LN(0.001+IF(AND(ISNUMBER('Council Entry'!AZ$8),ISNUMBER('Council Entry'!AZ$9)),MAX(MIN('Council Entry'!AZ146,'Council Entry'!AZ$9),'Council Entry'!AZ$8),'Council Entry'!AZ146)),IF('Council Entry'!AZ$4="Exponential",EXP(IF(AND(ISNUMBER('Council Entry'!AZ$8),ISNUMBER('Council Entry'!AZ$9)),MAX(MIN('Council Entry'!AZ146,'Council Entry'!AZ$9),'Council Entry'!AZ$8),'Council Entry'!AZ146)),IF(AND(ISNUMBER('Council Entry'!AZ$8),ISNUMBER('Council Entry'!AZ$9)),MAX(MIN('Council Entry'!AZ146,'Council Entry'!AZ$9),'Council Entry'!AZ$8),'Council Entry'!AZ146))))-'Council Entry'!AZ$5)/('Council Entry'!AZ$6-'Council Entry'!AZ$5)),1))),"No data"))</f>
        <v/>
      </c>
      <c r="BA146" s="13">
        <f>IF('Council Entry'!BA146="","",IFERROR(MAX(0,MIN(10,ROUND(IF('Council Entry'!BA$7="Decrease Risk",10-10*((IF('Council Entry'!BA$4="Logarithm",LN(0.001+IF(AND(ISNUMBER('Council Entry'!BA$8),ISNUMBER('Council Entry'!BA$9)),MAX(MIN('Council Entry'!BA146,'Council Entry'!BA$9),'Council Entry'!BA$8),'Council Entry'!BA146)),IF('Council Entry'!BA$4="Exponential",EXP(IF(AND(ISNUMBER('Council Entry'!BA$8),ISNUMBER('Council Entry'!BA$9)),MAX(MIN('Council Entry'!BA146,'Council Entry'!BA$9),'Council Entry'!BA$8),'Council Entry'!BA146)),IF(AND(ISNUMBER('Council Entry'!BA$8),ISNUMBER('Council Entry'!BA$9)),MAX(MIN('Council Entry'!BA146,'Council Entry'!BA$9),'Council Entry'!BA$8),'Council Entry'!BA146))))-'Council Entry'!BA$5)/('Council Entry'!BA$6-'Council Entry'!BA$5),10*((IF('Council Entry'!BA$4="Logarithm",LN(0.001+IF(AND(ISNUMBER('Council Entry'!BA$8),ISNUMBER('Council Entry'!BA$9)),MAX(MIN('Council Entry'!BA146,'Council Entry'!BA$9),'Council Entry'!BA$8),'Council Entry'!BA146)),IF('Council Entry'!BA$4="Exponential",EXP(IF(AND(ISNUMBER('Council Entry'!BA$8),ISNUMBER('Council Entry'!BA$9)),MAX(MIN('Council Entry'!BA146,'Council Entry'!BA$9),'Council Entry'!BA$8),'Council Entry'!BA146)),IF(AND(ISNUMBER('Council Entry'!BA$8),ISNUMBER('Council Entry'!BA$9)),MAX(MIN('Council Entry'!BA146,'Council Entry'!BA$9),'Council Entry'!BA$8),'Council Entry'!BA146))))-'Council Entry'!BA$5)/('Council Entry'!BA$6-'Council Entry'!BA$5)),1))),"No data"))</f>
        <v/>
      </c>
      <c r="BB146" s="13">
        <f>IF('Council Entry'!BB146="","",IFERROR(MAX(0,MIN(10,ROUND(IF('Council Entry'!BB$7="Decrease Risk",10-10*((IF('Council Entry'!BB$4="Logarithm",LN(0.001+IF(AND(ISNUMBER('Council Entry'!BB$8),ISNUMBER('Council Entry'!BB$9)),MAX(MIN('Council Entry'!BB146,'Council Entry'!BB$9),'Council Entry'!BB$8),'Council Entry'!BB146)),IF('Council Entry'!BB$4="Exponential",EXP(IF(AND(ISNUMBER('Council Entry'!BB$8),ISNUMBER('Council Entry'!BB$9)),MAX(MIN('Council Entry'!BB146,'Council Entry'!BB$9),'Council Entry'!BB$8),'Council Entry'!BB146)),IF(AND(ISNUMBER('Council Entry'!BB$8),ISNUMBER('Council Entry'!BB$9)),MAX(MIN('Council Entry'!BB146,'Council Entry'!BB$9),'Council Entry'!BB$8),'Council Entry'!BB146))))-'Council Entry'!BB$5)/('Council Entry'!BB$6-'Council Entry'!BB$5),10*((IF('Council Entry'!BB$4="Logarithm",LN(0.001+IF(AND(ISNUMBER('Council Entry'!BB$8),ISNUMBER('Council Entry'!BB$9)),MAX(MIN('Council Entry'!BB146,'Council Entry'!BB$9),'Council Entry'!BB$8),'Council Entry'!BB146)),IF('Council Entry'!BB$4="Exponential",EXP(IF(AND(ISNUMBER('Council Entry'!BB$8),ISNUMBER('Council Entry'!BB$9)),MAX(MIN('Council Entry'!BB146,'Council Entry'!BB$9),'Council Entry'!BB$8),'Council Entry'!BB146)),IF(AND(ISNUMBER('Council Entry'!BB$8),ISNUMBER('Council Entry'!BB$9)),MAX(MIN('Council Entry'!BB146,'Council Entry'!BB$9),'Council Entry'!BB$8),'Council Entry'!BB146))))-'Council Entry'!BB$5)/('Council Entry'!BB$6-'Council Entry'!BB$5)),1))),"No data"))</f>
        <v/>
      </c>
      <c r="BC146" s="13">
        <f>IF('Council Entry'!BC146="","",IFERROR(MAX(0,MIN(10,ROUND(IF('Council Entry'!BC$7="Decrease Risk",10-10*((IF('Council Entry'!BC$4="Logarithm",LN(0.001+IF(AND(ISNUMBER('Council Entry'!BC$8),ISNUMBER('Council Entry'!BC$9)),MAX(MIN('Council Entry'!BC146,'Council Entry'!BC$9),'Council Entry'!BC$8),'Council Entry'!BC146)),IF('Council Entry'!BC$4="Exponential",EXP(IF(AND(ISNUMBER('Council Entry'!BC$8),ISNUMBER('Council Entry'!BC$9)),MAX(MIN('Council Entry'!BC146,'Council Entry'!BC$9),'Council Entry'!BC$8),'Council Entry'!BC146)),IF(AND(ISNUMBER('Council Entry'!BC$8),ISNUMBER('Council Entry'!BC$9)),MAX(MIN('Council Entry'!BC146,'Council Entry'!BC$9),'Council Entry'!BC$8),'Council Entry'!BC146))))-'Council Entry'!BC$5)/('Council Entry'!BC$6-'Council Entry'!BC$5),10*((IF('Council Entry'!BC$4="Logarithm",LN(0.001+IF(AND(ISNUMBER('Council Entry'!BC$8),ISNUMBER('Council Entry'!BC$9)),MAX(MIN('Council Entry'!BC146,'Council Entry'!BC$9),'Council Entry'!BC$8),'Council Entry'!BC146)),IF('Council Entry'!BC$4="Exponential",EXP(IF(AND(ISNUMBER('Council Entry'!BC$8),ISNUMBER('Council Entry'!BC$9)),MAX(MIN('Council Entry'!BC146,'Council Entry'!BC$9),'Council Entry'!BC$8),'Council Entry'!BC146)),IF(AND(ISNUMBER('Council Entry'!BC$8),ISNUMBER('Council Entry'!BC$9)),MAX(MIN('Council Entry'!BC146,'Council Entry'!BC$9),'Council Entry'!BC$8),'Council Entry'!BC146))))-'Council Entry'!BC$5)/('Council Entry'!BC$6-'Council Entry'!BC$5)),1))),"No data"))</f>
        <v/>
      </c>
      <c r="BD146" s="13">
        <f>IF('Council Entry'!BD146="","",IFERROR(MAX(0,MIN(10,ROUND(IF('Council Entry'!BD$7="Decrease Risk",10-10*((IF('Council Entry'!BD$4="Logarithm",LN(0.001+IF(AND(ISNUMBER('Council Entry'!BD$8),ISNUMBER('Council Entry'!BD$9)),MAX(MIN('Council Entry'!BD146,'Council Entry'!BD$9),'Council Entry'!BD$8),'Council Entry'!BD146)),IF('Council Entry'!BD$4="Exponential",EXP(IF(AND(ISNUMBER('Council Entry'!BD$8),ISNUMBER('Council Entry'!BD$9)),MAX(MIN('Council Entry'!BD146,'Council Entry'!BD$9),'Council Entry'!BD$8),'Council Entry'!BD146)),IF(AND(ISNUMBER('Council Entry'!BD$8),ISNUMBER('Council Entry'!BD$9)),MAX(MIN('Council Entry'!BD146,'Council Entry'!BD$9),'Council Entry'!BD$8),'Council Entry'!BD146))))-'Council Entry'!BD$5)/('Council Entry'!BD$6-'Council Entry'!BD$5),10*((IF('Council Entry'!BD$4="Logarithm",LN(0.001+IF(AND(ISNUMBER('Council Entry'!BD$8),ISNUMBER('Council Entry'!BD$9)),MAX(MIN('Council Entry'!BD146,'Council Entry'!BD$9),'Council Entry'!BD$8),'Council Entry'!BD146)),IF('Council Entry'!BD$4="Exponential",EXP(IF(AND(ISNUMBER('Council Entry'!BD$8),ISNUMBER('Council Entry'!BD$9)),MAX(MIN('Council Entry'!BD146,'Council Entry'!BD$9),'Council Entry'!BD$8),'Council Entry'!BD146)),IF(AND(ISNUMBER('Council Entry'!BD$8),ISNUMBER('Council Entry'!BD$9)),MAX(MIN('Council Entry'!BD146,'Council Entry'!BD$9),'Council Entry'!BD$8),'Council Entry'!BD146))))-'Council Entry'!BD$5)/('Council Entry'!BD$6-'Council Entry'!BD$5)),1))),"No data"))</f>
        <v/>
      </c>
    </row>
    <row r="147">
      <c r="A147" t="inlineStr">
        <is>
          <t>Pwani</t>
        </is>
      </c>
      <c r="B147" t="inlineStr">
        <is>
          <t>Kisarawe District</t>
        </is>
      </c>
      <c r="C147" t="inlineStr">
        <is>
          <t>C047</t>
        </is>
      </c>
      <c r="D147" s="13">
        <f>IF('Council Entry'!D147="","",IFERROR(MAX(0,MIN(10,ROUND(IF('Council Entry'!D$7="Decrease Risk",10-10*((IF('Council Entry'!D$4="Logarithm",LN(0.001+IF(AND(ISNUMBER('Council Entry'!D$8),ISNUMBER('Council Entry'!D$9)),MAX(MIN('Council Entry'!D147,'Council Entry'!D$9),'Council Entry'!D$8),'Council Entry'!D147)),IF('Council Entry'!D$4="Exponential",EXP(IF(AND(ISNUMBER('Council Entry'!D$8),ISNUMBER('Council Entry'!D$9)),MAX(MIN('Council Entry'!D147,'Council Entry'!D$9),'Council Entry'!D$8),'Council Entry'!D147)),IF(AND(ISNUMBER('Council Entry'!D$8),ISNUMBER('Council Entry'!D$9)),MAX(MIN('Council Entry'!D147,'Council Entry'!D$9),'Council Entry'!D$8),'Council Entry'!D147))))-'Council Entry'!D$5)/('Council Entry'!D$6-'Council Entry'!D$5),10*((IF('Council Entry'!D$4="Logarithm",LN(0.001+IF(AND(ISNUMBER('Council Entry'!D$8),ISNUMBER('Council Entry'!D$9)),MAX(MIN('Council Entry'!D147,'Council Entry'!D$9),'Council Entry'!D$8),'Council Entry'!D147)),IF('Council Entry'!D$4="Exponential",EXP(IF(AND(ISNUMBER('Council Entry'!D$8),ISNUMBER('Council Entry'!D$9)),MAX(MIN('Council Entry'!D147,'Council Entry'!D$9),'Council Entry'!D$8),'Council Entry'!D147)),IF(AND(ISNUMBER('Council Entry'!D$8),ISNUMBER('Council Entry'!D$9)),MAX(MIN('Council Entry'!D147,'Council Entry'!D$9),'Council Entry'!D$8),'Council Entry'!D147))))-'Council Entry'!D$5)/('Council Entry'!D$6-'Council Entry'!D$5)),1))),"No data"))</f>
        <v/>
      </c>
      <c r="E147" s="13">
        <f>IF('Council Entry'!E147="","",IFERROR(MAX(0,MIN(10,ROUND(IF('Council Entry'!E$7="Decrease Risk",10-10*((IF('Council Entry'!E$4="Logarithm",LN(0.001+IF(AND(ISNUMBER('Council Entry'!E$8),ISNUMBER('Council Entry'!E$9)),MAX(MIN('Council Entry'!E147,'Council Entry'!E$9),'Council Entry'!E$8),'Council Entry'!E147)),IF('Council Entry'!E$4="Exponential",EXP(IF(AND(ISNUMBER('Council Entry'!E$8),ISNUMBER('Council Entry'!E$9)),MAX(MIN('Council Entry'!E147,'Council Entry'!E$9),'Council Entry'!E$8),'Council Entry'!E147)),IF(AND(ISNUMBER('Council Entry'!E$8),ISNUMBER('Council Entry'!E$9)),MAX(MIN('Council Entry'!E147,'Council Entry'!E$9),'Council Entry'!E$8),'Council Entry'!E147))))-'Council Entry'!E$5)/('Council Entry'!E$6-'Council Entry'!E$5),10*((IF('Council Entry'!E$4="Logarithm",LN(0.001+IF(AND(ISNUMBER('Council Entry'!E$8),ISNUMBER('Council Entry'!E$9)),MAX(MIN('Council Entry'!E147,'Council Entry'!E$9),'Council Entry'!E$8),'Council Entry'!E147)),IF('Council Entry'!E$4="Exponential",EXP(IF(AND(ISNUMBER('Council Entry'!E$8),ISNUMBER('Council Entry'!E$9)),MAX(MIN('Council Entry'!E147,'Council Entry'!E$9),'Council Entry'!E$8),'Council Entry'!E147)),IF(AND(ISNUMBER('Council Entry'!E$8),ISNUMBER('Council Entry'!E$9)),MAX(MIN('Council Entry'!E147,'Council Entry'!E$9),'Council Entry'!E$8),'Council Entry'!E147))))-'Council Entry'!E$5)/('Council Entry'!E$6-'Council Entry'!E$5)),1))),"No data"))</f>
        <v/>
      </c>
      <c r="F147" s="13">
        <f>IF('Council Entry'!F147="","",IFERROR(MAX(0,MIN(10,ROUND(IF('Council Entry'!F$7="Decrease Risk",10-10*((IF('Council Entry'!F$4="Logarithm",LN(0.001+IF(AND(ISNUMBER('Council Entry'!F$8),ISNUMBER('Council Entry'!F$9)),MAX(MIN('Council Entry'!F147,'Council Entry'!F$9),'Council Entry'!F$8),'Council Entry'!F147)),IF('Council Entry'!F$4="Exponential",EXP(IF(AND(ISNUMBER('Council Entry'!F$8),ISNUMBER('Council Entry'!F$9)),MAX(MIN('Council Entry'!F147,'Council Entry'!F$9),'Council Entry'!F$8),'Council Entry'!F147)),IF(AND(ISNUMBER('Council Entry'!F$8),ISNUMBER('Council Entry'!F$9)),MAX(MIN('Council Entry'!F147,'Council Entry'!F$9),'Council Entry'!F$8),'Council Entry'!F147))))-'Council Entry'!F$5)/('Council Entry'!F$6-'Council Entry'!F$5),10*((IF('Council Entry'!F$4="Logarithm",LN(0.001+IF(AND(ISNUMBER('Council Entry'!F$8),ISNUMBER('Council Entry'!F$9)),MAX(MIN('Council Entry'!F147,'Council Entry'!F$9),'Council Entry'!F$8),'Council Entry'!F147)),IF('Council Entry'!F$4="Exponential",EXP(IF(AND(ISNUMBER('Council Entry'!F$8),ISNUMBER('Council Entry'!F$9)),MAX(MIN('Council Entry'!F147,'Council Entry'!F$9),'Council Entry'!F$8),'Council Entry'!F147)),IF(AND(ISNUMBER('Council Entry'!F$8),ISNUMBER('Council Entry'!F$9)),MAX(MIN('Council Entry'!F147,'Council Entry'!F$9),'Council Entry'!F$8),'Council Entry'!F147))))-'Council Entry'!F$5)/('Council Entry'!F$6-'Council Entry'!F$5)),1))),"No data"))</f>
        <v/>
      </c>
      <c r="G147" s="13">
        <f>IF('Council Entry'!G147="","",IFERROR(MAX(0,MIN(10,ROUND(IF('Council Entry'!G$7="Decrease Risk",10-10*((IF('Council Entry'!G$4="Logarithm",LN(0.001+IF(AND(ISNUMBER('Council Entry'!G$8),ISNUMBER('Council Entry'!G$9)),MAX(MIN('Council Entry'!G147,'Council Entry'!G$9),'Council Entry'!G$8),'Council Entry'!G147)),IF('Council Entry'!G$4="Exponential",EXP(IF(AND(ISNUMBER('Council Entry'!G$8),ISNUMBER('Council Entry'!G$9)),MAX(MIN('Council Entry'!G147,'Council Entry'!G$9),'Council Entry'!G$8),'Council Entry'!G147)),IF(AND(ISNUMBER('Council Entry'!G$8),ISNUMBER('Council Entry'!G$9)),MAX(MIN('Council Entry'!G147,'Council Entry'!G$9),'Council Entry'!G$8),'Council Entry'!G147))))-'Council Entry'!G$5)/('Council Entry'!G$6-'Council Entry'!G$5),10*((IF('Council Entry'!G$4="Logarithm",LN(0.001+IF(AND(ISNUMBER('Council Entry'!G$8),ISNUMBER('Council Entry'!G$9)),MAX(MIN('Council Entry'!G147,'Council Entry'!G$9),'Council Entry'!G$8),'Council Entry'!G147)),IF('Council Entry'!G$4="Exponential",EXP(IF(AND(ISNUMBER('Council Entry'!G$8),ISNUMBER('Council Entry'!G$9)),MAX(MIN('Council Entry'!G147,'Council Entry'!G$9),'Council Entry'!G$8),'Council Entry'!G147)),IF(AND(ISNUMBER('Council Entry'!G$8),ISNUMBER('Council Entry'!G$9)),MAX(MIN('Council Entry'!G147,'Council Entry'!G$9),'Council Entry'!G$8),'Council Entry'!G147))))-'Council Entry'!G$5)/('Council Entry'!G$6-'Council Entry'!G$5)),1))),"No data"))</f>
        <v/>
      </c>
      <c r="H147" s="13">
        <f>IF('Council Entry'!H147="","",IFERROR(MAX(0,MIN(10,ROUND(IF('Council Entry'!H$7="Decrease Risk",10-10*((IF('Council Entry'!H$4="Logarithm",LN(0.001+IF(AND(ISNUMBER('Council Entry'!H$8),ISNUMBER('Council Entry'!H$9)),MAX(MIN('Council Entry'!H147,'Council Entry'!H$9),'Council Entry'!H$8),'Council Entry'!H147)),IF('Council Entry'!H$4="Exponential",EXP(IF(AND(ISNUMBER('Council Entry'!H$8),ISNUMBER('Council Entry'!H$9)),MAX(MIN('Council Entry'!H147,'Council Entry'!H$9),'Council Entry'!H$8),'Council Entry'!H147)),IF(AND(ISNUMBER('Council Entry'!H$8),ISNUMBER('Council Entry'!H$9)),MAX(MIN('Council Entry'!H147,'Council Entry'!H$9),'Council Entry'!H$8),'Council Entry'!H147))))-'Council Entry'!H$5)/('Council Entry'!H$6-'Council Entry'!H$5),10*((IF('Council Entry'!H$4="Logarithm",LN(0.001+IF(AND(ISNUMBER('Council Entry'!H$8),ISNUMBER('Council Entry'!H$9)),MAX(MIN('Council Entry'!H147,'Council Entry'!H$9),'Council Entry'!H$8),'Council Entry'!H147)),IF('Council Entry'!H$4="Exponential",EXP(IF(AND(ISNUMBER('Council Entry'!H$8),ISNUMBER('Council Entry'!H$9)),MAX(MIN('Council Entry'!H147,'Council Entry'!H$9),'Council Entry'!H$8),'Council Entry'!H147)),IF(AND(ISNUMBER('Council Entry'!H$8),ISNUMBER('Council Entry'!H$9)),MAX(MIN('Council Entry'!H147,'Council Entry'!H$9),'Council Entry'!H$8),'Council Entry'!H147))))-'Council Entry'!H$5)/('Council Entry'!H$6-'Council Entry'!H$5)),1))),"No data"))</f>
        <v/>
      </c>
      <c r="I147" s="13">
        <f>IF('Council Entry'!I147="","",IFERROR(MAX(0,MIN(10,ROUND(IF('Council Entry'!I$7="Decrease Risk",10-10*((IF('Council Entry'!I$4="Logarithm",LN(0.001+IF(AND(ISNUMBER('Council Entry'!I$8),ISNUMBER('Council Entry'!I$9)),MAX(MIN('Council Entry'!I147,'Council Entry'!I$9),'Council Entry'!I$8),'Council Entry'!I147)),IF('Council Entry'!I$4="Exponential",EXP(IF(AND(ISNUMBER('Council Entry'!I$8),ISNUMBER('Council Entry'!I$9)),MAX(MIN('Council Entry'!I147,'Council Entry'!I$9),'Council Entry'!I$8),'Council Entry'!I147)),IF(AND(ISNUMBER('Council Entry'!I$8),ISNUMBER('Council Entry'!I$9)),MAX(MIN('Council Entry'!I147,'Council Entry'!I$9),'Council Entry'!I$8),'Council Entry'!I147))))-'Council Entry'!I$5)/('Council Entry'!I$6-'Council Entry'!I$5),10*((IF('Council Entry'!I$4="Logarithm",LN(0.001+IF(AND(ISNUMBER('Council Entry'!I$8),ISNUMBER('Council Entry'!I$9)),MAX(MIN('Council Entry'!I147,'Council Entry'!I$9),'Council Entry'!I$8),'Council Entry'!I147)),IF('Council Entry'!I$4="Exponential",EXP(IF(AND(ISNUMBER('Council Entry'!I$8),ISNUMBER('Council Entry'!I$9)),MAX(MIN('Council Entry'!I147,'Council Entry'!I$9),'Council Entry'!I$8),'Council Entry'!I147)),IF(AND(ISNUMBER('Council Entry'!I$8),ISNUMBER('Council Entry'!I$9)),MAX(MIN('Council Entry'!I147,'Council Entry'!I$9),'Council Entry'!I$8),'Council Entry'!I147))))-'Council Entry'!I$5)/('Council Entry'!I$6-'Council Entry'!I$5)),1))),"No data"))</f>
        <v/>
      </c>
      <c r="J147" s="13">
        <f>IF('Council Entry'!J147="","",IFERROR(MAX(0,MIN(10,ROUND(IF('Council Entry'!J$7="Decrease Risk",10-10*((IF('Council Entry'!J$4="Logarithm",LN(0.001+IF(AND(ISNUMBER('Council Entry'!J$8),ISNUMBER('Council Entry'!J$9)),MAX(MIN('Council Entry'!J147,'Council Entry'!J$9),'Council Entry'!J$8),'Council Entry'!J147)),IF('Council Entry'!J$4="Exponential",EXP(IF(AND(ISNUMBER('Council Entry'!J$8),ISNUMBER('Council Entry'!J$9)),MAX(MIN('Council Entry'!J147,'Council Entry'!J$9),'Council Entry'!J$8),'Council Entry'!J147)),IF(AND(ISNUMBER('Council Entry'!J$8),ISNUMBER('Council Entry'!J$9)),MAX(MIN('Council Entry'!J147,'Council Entry'!J$9),'Council Entry'!J$8),'Council Entry'!J147))))-'Council Entry'!J$5)/('Council Entry'!J$6-'Council Entry'!J$5),10*((IF('Council Entry'!J$4="Logarithm",LN(0.001+IF(AND(ISNUMBER('Council Entry'!J$8),ISNUMBER('Council Entry'!J$9)),MAX(MIN('Council Entry'!J147,'Council Entry'!J$9),'Council Entry'!J$8),'Council Entry'!J147)),IF('Council Entry'!J$4="Exponential",EXP(IF(AND(ISNUMBER('Council Entry'!J$8),ISNUMBER('Council Entry'!J$9)),MAX(MIN('Council Entry'!J147,'Council Entry'!J$9),'Council Entry'!J$8),'Council Entry'!J147)),IF(AND(ISNUMBER('Council Entry'!J$8),ISNUMBER('Council Entry'!J$9)),MAX(MIN('Council Entry'!J147,'Council Entry'!J$9),'Council Entry'!J$8),'Council Entry'!J147))))-'Council Entry'!J$5)/('Council Entry'!J$6-'Council Entry'!J$5)),1))),"No data"))</f>
        <v/>
      </c>
      <c r="K147" s="13">
        <f>IF('Council Entry'!K147="","",IFERROR(MAX(0,MIN(10,ROUND(IF('Council Entry'!K$7="Decrease Risk",10-10*((IF('Council Entry'!K$4="Logarithm",LN(0.001+IF(AND(ISNUMBER('Council Entry'!K$8),ISNUMBER('Council Entry'!K$9)),MAX(MIN('Council Entry'!K147,'Council Entry'!K$9),'Council Entry'!K$8),'Council Entry'!K147)),IF('Council Entry'!K$4="Exponential",EXP(IF(AND(ISNUMBER('Council Entry'!K$8),ISNUMBER('Council Entry'!K$9)),MAX(MIN('Council Entry'!K147,'Council Entry'!K$9),'Council Entry'!K$8),'Council Entry'!K147)),IF(AND(ISNUMBER('Council Entry'!K$8),ISNUMBER('Council Entry'!K$9)),MAX(MIN('Council Entry'!K147,'Council Entry'!K$9),'Council Entry'!K$8),'Council Entry'!K147))))-'Council Entry'!K$5)/('Council Entry'!K$6-'Council Entry'!K$5),10*((IF('Council Entry'!K$4="Logarithm",LN(0.001+IF(AND(ISNUMBER('Council Entry'!K$8),ISNUMBER('Council Entry'!K$9)),MAX(MIN('Council Entry'!K147,'Council Entry'!K$9),'Council Entry'!K$8),'Council Entry'!K147)),IF('Council Entry'!K$4="Exponential",EXP(IF(AND(ISNUMBER('Council Entry'!K$8),ISNUMBER('Council Entry'!K$9)),MAX(MIN('Council Entry'!K147,'Council Entry'!K$9),'Council Entry'!K$8),'Council Entry'!K147)),IF(AND(ISNUMBER('Council Entry'!K$8),ISNUMBER('Council Entry'!K$9)),MAX(MIN('Council Entry'!K147,'Council Entry'!K$9),'Council Entry'!K$8),'Council Entry'!K147))))-'Council Entry'!K$5)/('Council Entry'!K$6-'Council Entry'!K$5)),1))),"No data"))</f>
        <v/>
      </c>
      <c r="L147" s="13">
        <f>IF('Council Entry'!L147="","",IFERROR(MAX(0,MIN(10,ROUND(IF('Council Entry'!L$7="Decrease Risk",10-10*((IF('Council Entry'!L$4="Logarithm",LN(0.001+IF(AND(ISNUMBER('Council Entry'!L$8),ISNUMBER('Council Entry'!L$9)),MAX(MIN('Council Entry'!L147,'Council Entry'!L$9),'Council Entry'!L$8),'Council Entry'!L147)),IF('Council Entry'!L$4="Exponential",EXP(IF(AND(ISNUMBER('Council Entry'!L$8),ISNUMBER('Council Entry'!L$9)),MAX(MIN('Council Entry'!L147,'Council Entry'!L$9),'Council Entry'!L$8),'Council Entry'!L147)),IF(AND(ISNUMBER('Council Entry'!L$8),ISNUMBER('Council Entry'!L$9)),MAX(MIN('Council Entry'!L147,'Council Entry'!L$9),'Council Entry'!L$8),'Council Entry'!L147))))-'Council Entry'!L$5)/('Council Entry'!L$6-'Council Entry'!L$5),10*((IF('Council Entry'!L$4="Logarithm",LN(0.001+IF(AND(ISNUMBER('Council Entry'!L$8),ISNUMBER('Council Entry'!L$9)),MAX(MIN('Council Entry'!L147,'Council Entry'!L$9),'Council Entry'!L$8),'Council Entry'!L147)),IF('Council Entry'!L$4="Exponential",EXP(IF(AND(ISNUMBER('Council Entry'!L$8),ISNUMBER('Council Entry'!L$9)),MAX(MIN('Council Entry'!L147,'Council Entry'!L$9),'Council Entry'!L$8),'Council Entry'!L147)),IF(AND(ISNUMBER('Council Entry'!L$8),ISNUMBER('Council Entry'!L$9)),MAX(MIN('Council Entry'!L147,'Council Entry'!L$9),'Council Entry'!L$8),'Council Entry'!L147))))-'Council Entry'!L$5)/('Council Entry'!L$6-'Council Entry'!L$5)),1))),"No data"))</f>
        <v/>
      </c>
      <c r="M147" s="13">
        <f>IF('Council Entry'!M147="","",IFERROR(MAX(0,MIN(10,ROUND(IF('Council Entry'!M$7="Decrease Risk",10-10*((IF('Council Entry'!M$4="Logarithm",LN(0.001+IF(AND(ISNUMBER('Council Entry'!M$8),ISNUMBER('Council Entry'!M$9)),MAX(MIN('Council Entry'!M147,'Council Entry'!M$9),'Council Entry'!M$8),'Council Entry'!M147)),IF('Council Entry'!M$4="Exponential",EXP(IF(AND(ISNUMBER('Council Entry'!M$8),ISNUMBER('Council Entry'!M$9)),MAX(MIN('Council Entry'!M147,'Council Entry'!M$9),'Council Entry'!M$8),'Council Entry'!M147)),IF(AND(ISNUMBER('Council Entry'!M$8),ISNUMBER('Council Entry'!M$9)),MAX(MIN('Council Entry'!M147,'Council Entry'!M$9),'Council Entry'!M$8),'Council Entry'!M147))))-'Council Entry'!M$5)/('Council Entry'!M$6-'Council Entry'!M$5),10*((IF('Council Entry'!M$4="Logarithm",LN(0.001+IF(AND(ISNUMBER('Council Entry'!M$8),ISNUMBER('Council Entry'!M$9)),MAX(MIN('Council Entry'!M147,'Council Entry'!M$9),'Council Entry'!M$8),'Council Entry'!M147)),IF('Council Entry'!M$4="Exponential",EXP(IF(AND(ISNUMBER('Council Entry'!M$8),ISNUMBER('Council Entry'!M$9)),MAX(MIN('Council Entry'!M147,'Council Entry'!M$9),'Council Entry'!M$8),'Council Entry'!M147)),IF(AND(ISNUMBER('Council Entry'!M$8),ISNUMBER('Council Entry'!M$9)),MAX(MIN('Council Entry'!M147,'Council Entry'!M$9),'Council Entry'!M$8),'Council Entry'!M147))))-'Council Entry'!M$5)/('Council Entry'!M$6-'Council Entry'!M$5)),1))),"No data"))</f>
        <v/>
      </c>
      <c r="N147" s="13">
        <f>IF('Council Entry'!N147="","",IFERROR(MAX(0,MIN(10,ROUND(IF('Council Entry'!N$7="Decrease Risk",10-10*((IF('Council Entry'!N$4="Logarithm",LN(0.001+IF(AND(ISNUMBER('Council Entry'!N$8),ISNUMBER('Council Entry'!N$9)),MAX(MIN('Council Entry'!N147,'Council Entry'!N$9),'Council Entry'!N$8),'Council Entry'!N147)),IF('Council Entry'!N$4="Exponential",EXP(IF(AND(ISNUMBER('Council Entry'!N$8),ISNUMBER('Council Entry'!N$9)),MAX(MIN('Council Entry'!N147,'Council Entry'!N$9),'Council Entry'!N$8),'Council Entry'!N147)),IF(AND(ISNUMBER('Council Entry'!N$8),ISNUMBER('Council Entry'!N$9)),MAX(MIN('Council Entry'!N147,'Council Entry'!N$9),'Council Entry'!N$8),'Council Entry'!N147))))-'Council Entry'!N$5)/('Council Entry'!N$6-'Council Entry'!N$5),10*((IF('Council Entry'!N$4="Logarithm",LN(0.001+IF(AND(ISNUMBER('Council Entry'!N$8),ISNUMBER('Council Entry'!N$9)),MAX(MIN('Council Entry'!N147,'Council Entry'!N$9),'Council Entry'!N$8),'Council Entry'!N147)),IF('Council Entry'!N$4="Exponential",EXP(IF(AND(ISNUMBER('Council Entry'!N$8),ISNUMBER('Council Entry'!N$9)),MAX(MIN('Council Entry'!N147,'Council Entry'!N$9),'Council Entry'!N$8),'Council Entry'!N147)),IF(AND(ISNUMBER('Council Entry'!N$8),ISNUMBER('Council Entry'!N$9)),MAX(MIN('Council Entry'!N147,'Council Entry'!N$9),'Council Entry'!N$8),'Council Entry'!N147))))-'Council Entry'!N$5)/('Council Entry'!N$6-'Council Entry'!N$5)),1))),"No data"))</f>
        <v/>
      </c>
      <c r="O147" s="13">
        <f>IF('Council Entry'!O147="","",IFERROR(MAX(0,MIN(10,ROUND(IF('Council Entry'!O$7="Decrease Risk",10-10*((IF('Council Entry'!O$4="Logarithm",LN(0.001+IF(AND(ISNUMBER('Council Entry'!O$8),ISNUMBER('Council Entry'!O$9)),MAX(MIN('Council Entry'!O147,'Council Entry'!O$9),'Council Entry'!O$8),'Council Entry'!O147)),IF('Council Entry'!O$4="Exponential",EXP(IF(AND(ISNUMBER('Council Entry'!O$8),ISNUMBER('Council Entry'!O$9)),MAX(MIN('Council Entry'!O147,'Council Entry'!O$9),'Council Entry'!O$8),'Council Entry'!O147)),IF(AND(ISNUMBER('Council Entry'!O$8),ISNUMBER('Council Entry'!O$9)),MAX(MIN('Council Entry'!O147,'Council Entry'!O$9),'Council Entry'!O$8),'Council Entry'!O147))))-'Council Entry'!O$5)/('Council Entry'!O$6-'Council Entry'!O$5),10*((IF('Council Entry'!O$4="Logarithm",LN(0.001+IF(AND(ISNUMBER('Council Entry'!O$8),ISNUMBER('Council Entry'!O$9)),MAX(MIN('Council Entry'!O147,'Council Entry'!O$9),'Council Entry'!O$8),'Council Entry'!O147)),IF('Council Entry'!O$4="Exponential",EXP(IF(AND(ISNUMBER('Council Entry'!O$8),ISNUMBER('Council Entry'!O$9)),MAX(MIN('Council Entry'!O147,'Council Entry'!O$9),'Council Entry'!O$8),'Council Entry'!O147)),IF(AND(ISNUMBER('Council Entry'!O$8),ISNUMBER('Council Entry'!O$9)),MAX(MIN('Council Entry'!O147,'Council Entry'!O$9),'Council Entry'!O$8),'Council Entry'!O147))))-'Council Entry'!O$5)/('Council Entry'!O$6-'Council Entry'!O$5)),1))),"No data"))</f>
        <v/>
      </c>
      <c r="P147" s="13">
        <f>IF('Council Entry'!P147="","",IFERROR(MAX(0,MIN(10,ROUND(IF('Council Entry'!P$7="Decrease Risk",10-10*((IF('Council Entry'!P$4="Logarithm",LN(0.001+IF(AND(ISNUMBER('Council Entry'!P$8),ISNUMBER('Council Entry'!P$9)),MAX(MIN('Council Entry'!P147,'Council Entry'!P$9),'Council Entry'!P$8),'Council Entry'!P147)),IF('Council Entry'!P$4="Exponential",EXP(IF(AND(ISNUMBER('Council Entry'!P$8),ISNUMBER('Council Entry'!P$9)),MAX(MIN('Council Entry'!P147,'Council Entry'!P$9),'Council Entry'!P$8),'Council Entry'!P147)),IF(AND(ISNUMBER('Council Entry'!P$8),ISNUMBER('Council Entry'!P$9)),MAX(MIN('Council Entry'!P147,'Council Entry'!P$9),'Council Entry'!P$8),'Council Entry'!P147))))-'Council Entry'!P$5)/('Council Entry'!P$6-'Council Entry'!P$5),10*((IF('Council Entry'!P$4="Logarithm",LN(0.001+IF(AND(ISNUMBER('Council Entry'!P$8),ISNUMBER('Council Entry'!P$9)),MAX(MIN('Council Entry'!P147,'Council Entry'!P$9),'Council Entry'!P$8),'Council Entry'!P147)),IF('Council Entry'!P$4="Exponential",EXP(IF(AND(ISNUMBER('Council Entry'!P$8),ISNUMBER('Council Entry'!P$9)),MAX(MIN('Council Entry'!P147,'Council Entry'!P$9),'Council Entry'!P$8),'Council Entry'!P147)),IF(AND(ISNUMBER('Council Entry'!P$8),ISNUMBER('Council Entry'!P$9)),MAX(MIN('Council Entry'!P147,'Council Entry'!P$9),'Council Entry'!P$8),'Council Entry'!P147))))-'Council Entry'!P$5)/('Council Entry'!P$6-'Council Entry'!P$5)),1))),"No data"))</f>
        <v/>
      </c>
      <c r="Q147" s="13">
        <f>IF('Council Entry'!Q147="","",IFERROR(MAX(0,MIN(10,ROUND(IF('Council Entry'!Q$7="Decrease Risk",10-10*((IF('Council Entry'!Q$4="Logarithm",LN(0.001+IF(AND(ISNUMBER('Council Entry'!Q$8),ISNUMBER('Council Entry'!Q$9)),MAX(MIN('Council Entry'!Q147,'Council Entry'!Q$9),'Council Entry'!Q$8),'Council Entry'!Q147)),IF('Council Entry'!Q$4="Exponential",EXP(IF(AND(ISNUMBER('Council Entry'!Q$8),ISNUMBER('Council Entry'!Q$9)),MAX(MIN('Council Entry'!Q147,'Council Entry'!Q$9),'Council Entry'!Q$8),'Council Entry'!Q147)),IF(AND(ISNUMBER('Council Entry'!Q$8),ISNUMBER('Council Entry'!Q$9)),MAX(MIN('Council Entry'!Q147,'Council Entry'!Q$9),'Council Entry'!Q$8),'Council Entry'!Q147))))-'Council Entry'!Q$5)/('Council Entry'!Q$6-'Council Entry'!Q$5),10*((IF('Council Entry'!Q$4="Logarithm",LN(0.001+IF(AND(ISNUMBER('Council Entry'!Q$8),ISNUMBER('Council Entry'!Q$9)),MAX(MIN('Council Entry'!Q147,'Council Entry'!Q$9),'Council Entry'!Q$8),'Council Entry'!Q147)),IF('Council Entry'!Q$4="Exponential",EXP(IF(AND(ISNUMBER('Council Entry'!Q$8),ISNUMBER('Council Entry'!Q$9)),MAX(MIN('Council Entry'!Q147,'Council Entry'!Q$9),'Council Entry'!Q$8),'Council Entry'!Q147)),IF(AND(ISNUMBER('Council Entry'!Q$8),ISNUMBER('Council Entry'!Q$9)),MAX(MIN('Council Entry'!Q147,'Council Entry'!Q$9),'Council Entry'!Q$8),'Council Entry'!Q147))))-'Council Entry'!Q$5)/('Council Entry'!Q$6-'Council Entry'!Q$5)),1))),"No data"))</f>
        <v/>
      </c>
      <c r="R147" s="13">
        <f>IF('Council Entry'!R147="","",IFERROR(MAX(0,MIN(10,ROUND(IF('Council Entry'!R$7="Decrease Risk",10-10*((IF('Council Entry'!R$4="Logarithm",LN(0.001+IF(AND(ISNUMBER('Council Entry'!R$8),ISNUMBER('Council Entry'!R$9)),MAX(MIN('Council Entry'!R147,'Council Entry'!R$9),'Council Entry'!R$8),'Council Entry'!R147)),IF('Council Entry'!R$4="Exponential",EXP(IF(AND(ISNUMBER('Council Entry'!R$8),ISNUMBER('Council Entry'!R$9)),MAX(MIN('Council Entry'!R147,'Council Entry'!R$9),'Council Entry'!R$8),'Council Entry'!R147)),IF(AND(ISNUMBER('Council Entry'!R$8),ISNUMBER('Council Entry'!R$9)),MAX(MIN('Council Entry'!R147,'Council Entry'!R$9),'Council Entry'!R$8),'Council Entry'!R147))))-'Council Entry'!R$5)/('Council Entry'!R$6-'Council Entry'!R$5),10*((IF('Council Entry'!R$4="Logarithm",LN(0.001+IF(AND(ISNUMBER('Council Entry'!R$8),ISNUMBER('Council Entry'!R$9)),MAX(MIN('Council Entry'!R147,'Council Entry'!R$9),'Council Entry'!R$8),'Council Entry'!R147)),IF('Council Entry'!R$4="Exponential",EXP(IF(AND(ISNUMBER('Council Entry'!R$8),ISNUMBER('Council Entry'!R$9)),MAX(MIN('Council Entry'!R147,'Council Entry'!R$9),'Council Entry'!R$8),'Council Entry'!R147)),IF(AND(ISNUMBER('Council Entry'!R$8),ISNUMBER('Council Entry'!R$9)),MAX(MIN('Council Entry'!R147,'Council Entry'!R$9),'Council Entry'!R$8),'Council Entry'!R147))))-'Council Entry'!R$5)/('Council Entry'!R$6-'Council Entry'!R$5)),1))),"No data"))</f>
        <v/>
      </c>
      <c r="S147" s="13">
        <f>IF('Council Entry'!S147="","",IFERROR(MAX(0,MIN(10,ROUND(IF('Council Entry'!S$7="Decrease Risk",10-10*((IF('Council Entry'!S$4="Logarithm",LN(0.001+IF(AND(ISNUMBER('Council Entry'!S$8),ISNUMBER('Council Entry'!S$9)),MAX(MIN('Council Entry'!S147,'Council Entry'!S$9),'Council Entry'!S$8),'Council Entry'!S147)),IF('Council Entry'!S$4="Exponential",EXP(IF(AND(ISNUMBER('Council Entry'!S$8),ISNUMBER('Council Entry'!S$9)),MAX(MIN('Council Entry'!S147,'Council Entry'!S$9),'Council Entry'!S$8),'Council Entry'!S147)),IF(AND(ISNUMBER('Council Entry'!S$8),ISNUMBER('Council Entry'!S$9)),MAX(MIN('Council Entry'!S147,'Council Entry'!S$9),'Council Entry'!S$8),'Council Entry'!S147))))-'Council Entry'!S$5)/('Council Entry'!S$6-'Council Entry'!S$5),10*((IF('Council Entry'!S$4="Logarithm",LN(0.001+IF(AND(ISNUMBER('Council Entry'!S$8),ISNUMBER('Council Entry'!S$9)),MAX(MIN('Council Entry'!S147,'Council Entry'!S$9),'Council Entry'!S$8),'Council Entry'!S147)),IF('Council Entry'!S$4="Exponential",EXP(IF(AND(ISNUMBER('Council Entry'!S$8),ISNUMBER('Council Entry'!S$9)),MAX(MIN('Council Entry'!S147,'Council Entry'!S$9),'Council Entry'!S$8),'Council Entry'!S147)),IF(AND(ISNUMBER('Council Entry'!S$8),ISNUMBER('Council Entry'!S$9)),MAX(MIN('Council Entry'!S147,'Council Entry'!S$9),'Council Entry'!S$8),'Council Entry'!S147))))-'Council Entry'!S$5)/('Council Entry'!S$6-'Council Entry'!S$5)),1))),"No data"))</f>
        <v/>
      </c>
      <c r="T147" s="13">
        <f>IF('Council Entry'!T147="","",IFERROR(MAX(0,MIN(10,ROUND(IF('Council Entry'!T$7="Decrease Risk",10-10*((IF('Council Entry'!T$4="Logarithm",LN(0.001+IF(AND(ISNUMBER('Council Entry'!T$8),ISNUMBER('Council Entry'!T$9)),MAX(MIN('Council Entry'!T147,'Council Entry'!T$9),'Council Entry'!T$8),'Council Entry'!T147)),IF('Council Entry'!T$4="Exponential",EXP(IF(AND(ISNUMBER('Council Entry'!T$8),ISNUMBER('Council Entry'!T$9)),MAX(MIN('Council Entry'!T147,'Council Entry'!T$9),'Council Entry'!T$8),'Council Entry'!T147)),IF(AND(ISNUMBER('Council Entry'!T$8),ISNUMBER('Council Entry'!T$9)),MAX(MIN('Council Entry'!T147,'Council Entry'!T$9),'Council Entry'!T$8),'Council Entry'!T147))))-'Council Entry'!T$5)/('Council Entry'!T$6-'Council Entry'!T$5),10*((IF('Council Entry'!T$4="Logarithm",LN(0.001+IF(AND(ISNUMBER('Council Entry'!T$8),ISNUMBER('Council Entry'!T$9)),MAX(MIN('Council Entry'!T147,'Council Entry'!T$9),'Council Entry'!T$8),'Council Entry'!T147)),IF('Council Entry'!T$4="Exponential",EXP(IF(AND(ISNUMBER('Council Entry'!T$8),ISNUMBER('Council Entry'!T$9)),MAX(MIN('Council Entry'!T147,'Council Entry'!T$9),'Council Entry'!T$8),'Council Entry'!T147)),IF(AND(ISNUMBER('Council Entry'!T$8),ISNUMBER('Council Entry'!T$9)),MAX(MIN('Council Entry'!T147,'Council Entry'!T$9),'Council Entry'!T$8),'Council Entry'!T147))))-'Council Entry'!T$5)/('Council Entry'!T$6-'Council Entry'!T$5)),1))),"No data"))</f>
        <v/>
      </c>
      <c r="U147" s="13">
        <f>IF('Council Entry'!U147="","",IFERROR(MAX(0,MIN(10,ROUND(IF('Council Entry'!U$7="Decrease Risk",10-10*((IF('Council Entry'!U$4="Logarithm",LN(0.001+IF(AND(ISNUMBER('Council Entry'!U$8),ISNUMBER('Council Entry'!U$9)),MAX(MIN('Council Entry'!U147,'Council Entry'!U$9),'Council Entry'!U$8),'Council Entry'!U147)),IF('Council Entry'!U$4="Exponential",EXP(IF(AND(ISNUMBER('Council Entry'!U$8),ISNUMBER('Council Entry'!U$9)),MAX(MIN('Council Entry'!U147,'Council Entry'!U$9),'Council Entry'!U$8),'Council Entry'!U147)),IF(AND(ISNUMBER('Council Entry'!U$8),ISNUMBER('Council Entry'!U$9)),MAX(MIN('Council Entry'!U147,'Council Entry'!U$9),'Council Entry'!U$8),'Council Entry'!U147))))-'Council Entry'!U$5)/('Council Entry'!U$6-'Council Entry'!U$5),10*((IF('Council Entry'!U$4="Logarithm",LN(0.001+IF(AND(ISNUMBER('Council Entry'!U$8),ISNUMBER('Council Entry'!U$9)),MAX(MIN('Council Entry'!U147,'Council Entry'!U$9),'Council Entry'!U$8),'Council Entry'!U147)),IF('Council Entry'!U$4="Exponential",EXP(IF(AND(ISNUMBER('Council Entry'!U$8),ISNUMBER('Council Entry'!U$9)),MAX(MIN('Council Entry'!U147,'Council Entry'!U$9),'Council Entry'!U$8),'Council Entry'!U147)),IF(AND(ISNUMBER('Council Entry'!U$8),ISNUMBER('Council Entry'!U$9)),MAX(MIN('Council Entry'!U147,'Council Entry'!U$9),'Council Entry'!U$8),'Council Entry'!U147))))-'Council Entry'!U$5)/('Council Entry'!U$6-'Council Entry'!U$5)),1))),"No data"))</f>
        <v/>
      </c>
      <c r="V147" s="13">
        <f>IF('Council Entry'!V147="","",IFERROR(MAX(0,MIN(10,ROUND(IF('Council Entry'!V$7="Decrease Risk",10-10*((IF('Council Entry'!V$4="Logarithm",LN(0.001+IF(AND(ISNUMBER('Council Entry'!V$8),ISNUMBER('Council Entry'!V$9)),MAX(MIN('Council Entry'!V147,'Council Entry'!V$9),'Council Entry'!V$8),'Council Entry'!V147)),IF('Council Entry'!V$4="Exponential",EXP(IF(AND(ISNUMBER('Council Entry'!V$8),ISNUMBER('Council Entry'!V$9)),MAX(MIN('Council Entry'!V147,'Council Entry'!V$9),'Council Entry'!V$8),'Council Entry'!V147)),IF(AND(ISNUMBER('Council Entry'!V$8),ISNUMBER('Council Entry'!V$9)),MAX(MIN('Council Entry'!V147,'Council Entry'!V$9),'Council Entry'!V$8),'Council Entry'!V147))))-'Council Entry'!V$5)/('Council Entry'!V$6-'Council Entry'!V$5),10*((IF('Council Entry'!V$4="Logarithm",LN(0.001+IF(AND(ISNUMBER('Council Entry'!V$8),ISNUMBER('Council Entry'!V$9)),MAX(MIN('Council Entry'!V147,'Council Entry'!V$9),'Council Entry'!V$8),'Council Entry'!V147)),IF('Council Entry'!V$4="Exponential",EXP(IF(AND(ISNUMBER('Council Entry'!V$8),ISNUMBER('Council Entry'!V$9)),MAX(MIN('Council Entry'!V147,'Council Entry'!V$9),'Council Entry'!V$8),'Council Entry'!V147)),IF(AND(ISNUMBER('Council Entry'!V$8),ISNUMBER('Council Entry'!V$9)),MAX(MIN('Council Entry'!V147,'Council Entry'!V$9),'Council Entry'!V$8),'Council Entry'!V147))))-'Council Entry'!V$5)/('Council Entry'!V$6-'Council Entry'!V$5)),1))),"No data"))</f>
        <v/>
      </c>
      <c r="W147" s="13">
        <f>IF('Council Entry'!W147="","",IFERROR(MAX(0,MIN(10,ROUND(IF('Council Entry'!W$7="Decrease Risk",10-10*((IF('Council Entry'!W$4="Logarithm",LN(0.001+IF(AND(ISNUMBER('Council Entry'!W$8),ISNUMBER('Council Entry'!W$9)),MAX(MIN('Council Entry'!W147,'Council Entry'!W$9),'Council Entry'!W$8),'Council Entry'!W147)),IF('Council Entry'!W$4="Exponential",EXP(IF(AND(ISNUMBER('Council Entry'!W$8),ISNUMBER('Council Entry'!W$9)),MAX(MIN('Council Entry'!W147,'Council Entry'!W$9),'Council Entry'!W$8),'Council Entry'!W147)),IF(AND(ISNUMBER('Council Entry'!W$8),ISNUMBER('Council Entry'!W$9)),MAX(MIN('Council Entry'!W147,'Council Entry'!W$9),'Council Entry'!W$8),'Council Entry'!W147))))-'Council Entry'!W$5)/('Council Entry'!W$6-'Council Entry'!W$5),10*((IF('Council Entry'!W$4="Logarithm",LN(0.001+IF(AND(ISNUMBER('Council Entry'!W$8),ISNUMBER('Council Entry'!W$9)),MAX(MIN('Council Entry'!W147,'Council Entry'!W$9),'Council Entry'!W$8),'Council Entry'!W147)),IF('Council Entry'!W$4="Exponential",EXP(IF(AND(ISNUMBER('Council Entry'!W$8),ISNUMBER('Council Entry'!W$9)),MAX(MIN('Council Entry'!W147,'Council Entry'!W$9),'Council Entry'!W$8),'Council Entry'!W147)),IF(AND(ISNUMBER('Council Entry'!W$8),ISNUMBER('Council Entry'!W$9)),MAX(MIN('Council Entry'!W147,'Council Entry'!W$9),'Council Entry'!W$8),'Council Entry'!W147))))-'Council Entry'!W$5)/('Council Entry'!W$6-'Council Entry'!W$5)),1))),"No data"))</f>
        <v/>
      </c>
      <c r="X147" s="13">
        <f>IF('Council Entry'!X147="","",IFERROR(MAX(0,MIN(10,ROUND(IF('Council Entry'!X$7="Decrease Risk",10-10*((IF('Council Entry'!X$4="Logarithm",LN(0.001+IF(AND(ISNUMBER('Council Entry'!X$8),ISNUMBER('Council Entry'!X$9)),MAX(MIN('Council Entry'!X147,'Council Entry'!X$9),'Council Entry'!X$8),'Council Entry'!X147)),IF('Council Entry'!X$4="Exponential",EXP(IF(AND(ISNUMBER('Council Entry'!X$8),ISNUMBER('Council Entry'!X$9)),MAX(MIN('Council Entry'!X147,'Council Entry'!X$9),'Council Entry'!X$8),'Council Entry'!X147)),IF(AND(ISNUMBER('Council Entry'!X$8),ISNUMBER('Council Entry'!X$9)),MAX(MIN('Council Entry'!X147,'Council Entry'!X$9),'Council Entry'!X$8),'Council Entry'!X147))))-'Council Entry'!X$5)/('Council Entry'!X$6-'Council Entry'!X$5),10*((IF('Council Entry'!X$4="Logarithm",LN(0.001+IF(AND(ISNUMBER('Council Entry'!X$8),ISNUMBER('Council Entry'!X$9)),MAX(MIN('Council Entry'!X147,'Council Entry'!X$9),'Council Entry'!X$8),'Council Entry'!X147)),IF('Council Entry'!X$4="Exponential",EXP(IF(AND(ISNUMBER('Council Entry'!X$8),ISNUMBER('Council Entry'!X$9)),MAX(MIN('Council Entry'!X147,'Council Entry'!X$9),'Council Entry'!X$8),'Council Entry'!X147)),IF(AND(ISNUMBER('Council Entry'!X$8),ISNUMBER('Council Entry'!X$9)),MAX(MIN('Council Entry'!X147,'Council Entry'!X$9),'Council Entry'!X$8),'Council Entry'!X147))))-'Council Entry'!X$5)/('Council Entry'!X$6-'Council Entry'!X$5)),1))),"No data"))</f>
        <v/>
      </c>
      <c r="Y147" s="13">
        <f>IF('Council Entry'!Y147="","",IFERROR(MAX(0,MIN(10,ROUND(IF('Council Entry'!Y$7="Decrease Risk",10-10*((IF('Council Entry'!Y$4="Logarithm",LN(0.001+IF(AND(ISNUMBER('Council Entry'!Y$8),ISNUMBER('Council Entry'!Y$9)),MAX(MIN('Council Entry'!Y147,'Council Entry'!Y$9),'Council Entry'!Y$8),'Council Entry'!Y147)),IF('Council Entry'!Y$4="Exponential",EXP(IF(AND(ISNUMBER('Council Entry'!Y$8),ISNUMBER('Council Entry'!Y$9)),MAX(MIN('Council Entry'!Y147,'Council Entry'!Y$9),'Council Entry'!Y$8),'Council Entry'!Y147)),IF(AND(ISNUMBER('Council Entry'!Y$8),ISNUMBER('Council Entry'!Y$9)),MAX(MIN('Council Entry'!Y147,'Council Entry'!Y$9),'Council Entry'!Y$8),'Council Entry'!Y147))))-'Council Entry'!Y$5)/('Council Entry'!Y$6-'Council Entry'!Y$5),10*((IF('Council Entry'!Y$4="Logarithm",LN(0.001+IF(AND(ISNUMBER('Council Entry'!Y$8),ISNUMBER('Council Entry'!Y$9)),MAX(MIN('Council Entry'!Y147,'Council Entry'!Y$9),'Council Entry'!Y$8),'Council Entry'!Y147)),IF('Council Entry'!Y$4="Exponential",EXP(IF(AND(ISNUMBER('Council Entry'!Y$8),ISNUMBER('Council Entry'!Y$9)),MAX(MIN('Council Entry'!Y147,'Council Entry'!Y$9),'Council Entry'!Y$8),'Council Entry'!Y147)),IF(AND(ISNUMBER('Council Entry'!Y$8),ISNUMBER('Council Entry'!Y$9)),MAX(MIN('Council Entry'!Y147,'Council Entry'!Y$9),'Council Entry'!Y$8),'Council Entry'!Y147))))-'Council Entry'!Y$5)/('Council Entry'!Y$6-'Council Entry'!Y$5)),1))),"No data"))</f>
        <v/>
      </c>
      <c r="Z147" s="13">
        <f>IF('Council Entry'!Z147="","",IFERROR(MAX(0,MIN(10,ROUND(IF('Council Entry'!Z$7="Decrease Risk",10-10*((IF('Council Entry'!Z$4="Logarithm",LN(0.001+IF(AND(ISNUMBER('Council Entry'!Z$8),ISNUMBER('Council Entry'!Z$9)),MAX(MIN('Council Entry'!Z147,'Council Entry'!Z$9),'Council Entry'!Z$8),'Council Entry'!Z147)),IF('Council Entry'!Z$4="Exponential",EXP(IF(AND(ISNUMBER('Council Entry'!Z$8),ISNUMBER('Council Entry'!Z$9)),MAX(MIN('Council Entry'!Z147,'Council Entry'!Z$9),'Council Entry'!Z$8),'Council Entry'!Z147)),IF(AND(ISNUMBER('Council Entry'!Z$8),ISNUMBER('Council Entry'!Z$9)),MAX(MIN('Council Entry'!Z147,'Council Entry'!Z$9),'Council Entry'!Z$8),'Council Entry'!Z147))))-'Council Entry'!Z$5)/('Council Entry'!Z$6-'Council Entry'!Z$5),10*((IF('Council Entry'!Z$4="Logarithm",LN(0.001+IF(AND(ISNUMBER('Council Entry'!Z$8),ISNUMBER('Council Entry'!Z$9)),MAX(MIN('Council Entry'!Z147,'Council Entry'!Z$9),'Council Entry'!Z$8),'Council Entry'!Z147)),IF('Council Entry'!Z$4="Exponential",EXP(IF(AND(ISNUMBER('Council Entry'!Z$8),ISNUMBER('Council Entry'!Z$9)),MAX(MIN('Council Entry'!Z147,'Council Entry'!Z$9),'Council Entry'!Z$8),'Council Entry'!Z147)),IF(AND(ISNUMBER('Council Entry'!Z$8),ISNUMBER('Council Entry'!Z$9)),MAX(MIN('Council Entry'!Z147,'Council Entry'!Z$9),'Council Entry'!Z$8),'Council Entry'!Z147))))-'Council Entry'!Z$5)/('Council Entry'!Z$6-'Council Entry'!Z$5)),1))),"No data"))</f>
        <v/>
      </c>
      <c r="AA147" s="13">
        <f>IF('Council Entry'!AA147="","",IFERROR(MAX(0,MIN(10,ROUND(IF('Council Entry'!AA$7="Decrease Risk",10-10*((IF('Council Entry'!AA$4="Logarithm",LN(0.001+IF(AND(ISNUMBER('Council Entry'!AA$8),ISNUMBER('Council Entry'!AA$9)),MAX(MIN('Council Entry'!AA147,'Council Entry'!AA$9),'Council Entry'!AA$8),'Council Entry'!AA147)),IF('Council Entry'!AA$4="Exponential",EXP(IF(AND(ISNUMBER('Council Entry'!AA$8),ISNUMBER('Council Entry'!AA$9)),MAX(MIN('Council Entry'!AA147,'Council Entry'!AA$9),'Council Entry'!AA$8),'Council Entry'!AA147)),IF(AND(ISNUMBER('Council Entry'!AA$8),ISNUMBER('Council Entry'!AA$9)),MAX(MIN('Council Entry'!AA147,'Council Entry'!AA$9),'Council Entry'!AA$8),'Council Entry'!AA147))))-'Council Entry'!AA$5)/('Council Entry'!AA$6-'Council Entry'!AA$5),10*((IF('Council Entry'!AA$4="Logarithm",LN(0.001+IF(AND(ISNUMBER('Council Entry'!AA$8),ISNUMBER('Council Entry'!AA$9)),MAX(MIN('Council Entry'!AA147,'Council Entry'!AA$9),'Council Entry'!AA$8),'Council Entry'!AA147)),IF('Council Entry'!AA$4="Exponential",EXP(IF(AND(ISNUMBER('Council Entry'!AA$8),ISNUMBER('Council Entry'!AA$9)),MAX(MIN('Council Entry'!AA147,'Council Entry'!AA$9),'Council Entry'!AA$8),'Council Entry'!AA147)),IF(AND(ISNUMBER('Council Entry'!AA$8),ISNUMBER('Council Entry'!AA$9)),MAX(MIN('Council Entry'!AA147,'Council Entry'!AA$9),'Council Entry'!AA$8),'Council Entry'!AA147))))-'Council Entry'!AA$5)/('Council Entry'!AA$6-'Council Entry'!AA$5)),1))),"No data"))</f>
        <v/>
      </c>
      <c r="AB147" s="13">
        <f>IF('Council Entry'!AB147="","",IFERROR(MAX(0,MIN(10,ROUND(IF('Council Entry'!AB$7="Decrease Risk",10-10*((IF('Council Entry'!AB$4="Logarithm",LN(0.001+IF(AND(ISNUMBER('Council Entry'!AB$8),ISNUMBER('Council Entry'!AB$9)),MAX(MIN('Council Entry'!AB147,'Council Entry'!AB$9),'Council Entry'!AB$8),'Council Entry'!AB147)),IF('Council Entry'!AB$4="Exponential",EXP(IF(AND(ISNUMBER('Council Entry'!AB$8),ISNUMBER('Council Entry'!AB$9)),MAX(MIN('Council Entry'!AB147,'Council Entry'!AB$9),'Council Entry'!AB$8),'Council Entry'!AB147)),IF(AND(ISNUMBER('Council Entry'!AB$8),ISNUMBER('Council Entry'!AB$9)),MAX(MIN('Council Entry'!AB147,'Council Entry'!AB$9),'Council Entry'!AB$8),'Council Entry'!AB147))))-'Council Entry'!AB$5)/('Council Entry'!AB$6-'Council Entry'!AB$5),10*((IF('Council Entry'!AB$4="Logarithm",LN(0.001+IF(AND(ISNUMBER('Council Entry'!AB$8),ISNUMBER('Council Entry'!AB$9)),MAX(MIN('Council Entry'!AB147,'Council Entry'!AB$9),'Council Entry'!AB$8),'Council Entry'!AB147)),IF('Council Entry'!AB$4="Exponential",EXP(IF(AND(ISNUMBER('Council Entry'!AB$8),ISNUMBER('Council Entry'!AB$9)),MAX(MIN('Council Entry'!AB147,'Council Entry'!AB$9),'Council Entry'!AB$8),'Council Entry'!AB147)),IF(AND(ISNUMBER('Council Entry'!AB$8),ISNUMBER('Council Entry'!AB$9)),MAX(MIN('Council Entry'!AB147,'Council Entry'!AB$9),'Council Entry'!AB$8),'Council Entry'!AB147))))-'Council Entry'!AB$5)/('Council Entry'!AB$6-'Council Entry'!AB$5)),1))),"No data"))</f>
        <v/>
      </c>
      <c r="AC147" s="13">
        <f>IF('Council Entry'!AC147="","",IFERROR(MAX(0,MIN(10,ROUND(IF('Council Entry'!AC$7="Decrease Risk",10-10*((IF('Council Entry'!AC$4="Logarithm",LN(0.001+IF(AND(ISNUMBER('Council Entry'!AC$8),ISNUMBER('Council Entry'!AC$9)),MAX(MIN('Council Entry'!AC147,'Council Entry'!AC$9),'Council Entry'!AC$8),'Council Entry'!AC147)),IF('Council Entry'!AC$4="Exponential",EXP(IF(AND(ISNUMBER('Council Entry'!AC$8),ISNUMBER('Council Entry'!AC$9)),MAX(MIN('Council Entry'!AC147,'Council Entry'!AC$9),'Council Entry'!AC$8),'Council Entry'!AC147)),IF(AND(ISNUMBER('Council Entry'!AC$8),ISNUMBER('Council Entry'!AC$9)),MAX(MIN('Council Entry'!AC147,'Council Entry'!AC$9),'Council Entry'!AC$8),'Council Entry'!AC147))))-'Council Entry'!AC$5)/('Council Entry'!AC$6-'Council Entry'!AC$5),10*((IF('Council Entry'!AC$4="Logarithm",LN(0.001+IF(AND(ISNUMBER('Council Entry'!AC$8),ISNUMBER('Council Entry'!AC$9)),MAX(MIN('Council Entry'!AC147,'Council Entry'!AC$9),'Council Entry'!AC$8),'Council Entry'!AC147)),IF('Council Entry'!AC$4="Exponential",EXP(IF(AND(ISNUMBER('Council Entry'!AC$8),ISNUMBER('Council Entry'!AC$9)),MAX(MIN('Council Entry'!AC147,'Council Entry'!AC$9),'Council Entry'!AC$8),'Council Entry'!AC147)),IF(AND(ISNUMBER('Council Entry'!AC$8),ISNUMBER('Council Entry'!AC$9)),MAX(MIN('Council Entry'!AC147,'Council Entry'!AC$9),'Council Entry'!AC$8),'Council Entry'!AC147))))-'Council Entry'!AC$5)/('Council Entry'!AC$6-'Council Entry'!AC$5)),1))),"No data"))</f>
        <v/>
      </c>
      <c r="AD147" s="13">
        <f>IF('Council Entry'!AD147="","",IFERROR(MAX(0,MIN(10,ROUND(IF('Council Entry'!AD$7="Decrease Risk",10-10*((IF('Council Entry'!AD$4="Logarithm",LN(0.001+IF(AND(ISNUMBER('Council Entry'!AD$8),ISNUMBER('Council Entry'!AD$9)),MAX(MIN('Council Entry'!AD147,'Council Entry'!AD$9),'Council Entry'!AD$8),'Council Entry'!AD147)),IF('Council Entry'!AD$4="Exponential",EXP(IF(AND(ISNUMBER('Council Entry'!AD$8),ISNUMBER('Council Entry'!AD$9)),MAX(MIN('Council Entry'!AD147,'Council Entry'!AD$9),'Council Entry'!AD$8),'Council Entry'!AD147)),IF(AND(ISNUMBER('Council Entry'!AD$8),ISNUMBER('Council Entry'!AD$9)),MAX(MIN('Council Entry'!AD147,'Council Entry'!AD$9),'Council Entry'!AD$8),'Council Entry'!AD147))))-'Council Entry'!AD$5)/('Council Entry'!AD$6-'Council Entry'!AD$5),10*((IF('Council Entry'!AD$4="Logarithm",LN(0.001+IF(AND(ISNUMBER('Council Entry'!AD$8),ISNUMBER('Council Entry'!AD$9)),MAX(MIN('Council Entry'!AD147,'Council Entry'!AD$9),'Council Entry'!AD$8),'Council Entry'!AD147)),IF('Council Entry'!AD$4="Exponential",EXP(IF(AND(ISNUMBER('Council Entry'!AD$8),ISNUMBER('Council Entry'!AD$9)),MAX(MIN('Council Entry'!AD147,'Council Entry'!AD$9),'Council Entry'!AD$8),'Council Entry'!AD147)),IF(AND(ISNUMBER('Council Entry'!AD$8),ISNUMBER('Council Entry'!AD$9)),MAX(MIN('Council Entry'!AD147,'Council Entry'!AD$9),'Council Entry'!AD$8),'Council Entry'!AD147))))-'Council Entry'!AD$5)/('Council Entry'!AD$6-'Council Entry'!AD$5)),1))),"No data"))</f>
        <v/>
      </c>
      <c r="AE147" s="13">
        <f>IF('Council Entry'!AE147="","",IFERROR(MAX(0,MIN(10,ROUND(IF('Council Entry'!AE$7="Decrease Risk",10-10*((IF('Council Entry'!AE$4="Logarithm",LN(0.001+IF(AND(ISNUMBER('Council Entry'!AE$8),ISNUMBER('Council Entry'!AE$9)),MAX(MIN('Council Entry'!AE147,'Council Entry'!AE$9),'Council Entry'!AE$8),'Council Entry'!AE147)),IF('Council Entry'!AE$4="Exponential",EXP(IF(AND(ISNUMBER('Council Entry'!AE$8),ISNUMBER('Council Entry'!AE$9)),MAX(MIN('Council Entry'!AE147,'Council Entry'!AE$9),'Council Entry'!AE$8),'Council Entry'!AE147)),IF(AND(ISNUMBER('Council Entry'!AE$8),ISNUMBER('Council Entry'!AE$9)),MAX(MIN('Council Entry'!AE147,'Council Entry'!AE$9),'Council Entry'!AE$8),'Council Entry'!AE147))))-'Council Entry'!AE$5)/('Council Entry'!AE$6-'Council Entry'!AE$5),10*((IF('Council Entry'!AE$4="Logarithm",LN(0.001+IF(AND(ISNUMBER('Council Entry'!AE$8),ISNUMBER('Council Entry'!AE$9)),MAX(MIN('Council Entry'!AE147,'Council Entry'!AE$9),'Council Entry'!AE$8),'Council Entry'!AE147)),IF('Council Entry'!AE$4="Exponential",EXP(IF(AND(ISNUMBER('Council Entry'!AE$8),ISNUMBER('Council Entry'!AE$9)),MAX(MIN('Council Entry'!AE147,'Council Entry'!AE$9),'Council Entry'!AE$8),'Council Entry'!AE147)),IF(AND(ISNUMBER('Council Entry'!AE$8),ISNUMBER('Council Entry'!AE$9)),MAX(MIN('Council Entry'!AE147,'Council Entry'!AE$9),'Council Entry'!AE$8),'Council Entry'!AE147))))-'Council Entry'!AE$5)/('Council Entry'!AE$6-'Council Entry'!AE$5)),1))),"No data"))</f>
        <v/>
      </c>
      <c r="AF147" s="13">
        <f>IF('Council Entry'!AF147="","",IFERROR(MAX(0,MIN(10,ROUND(IF('Council Entry'!AF$7="Decrease Risk",10-10*((IF('Council Entry'!AF$4="Logarithm",LN(0.001+IF(AND(ISNUMBER('Council Entry'!AF$8),ISNUMBER('Council Entry'!AF$9)),MAX(MIN('Council Entry'!AF147,'Council Entry'!AF$9),'Council Entry'!AF$8),'Council Entry'!AF147)),IF('Council Entry'!AF$4="Exponential",EXP(IF(AND(ISNUMBER('Council Entry'!AF$8),ISNUMBER('Council Entry'!AF$9)),MAX(MIN('Council Entry'!AF147,'Council Entry'!AF$9),'Council Entry'!AF$8),'Council Entry'!AF147)),IF(AND(ISNUMBER('Council Entry'!AF$8),ISNUMBER('Council Entry'!AF$9)),MAX(MIN('Council Entry'!AF147,'Council Entry'!AF$9),'Council Entry'!AF$8),'Council Entry'!AF147))))-'Council Entry'!AF$5)/('Council Entry'!AF$6-'Council Entry'!AF$5),10*((IF('Council Entry'!AF$4="Logarithm",LN(0.001+IF(AND(ISNUMBER('Council Entry'!AF$8),ISNUMBER('Council Entry'!AF$9)),MAX(MIN('Council Entry'!AF147,'Council Entry'!AF$9),'Council Entry'!AF$8),'Council Entry'!AF147)),IF('Council Entry'!AF$4="Exponential",EXP(IF(AND(ISNUMBER('Council Entry'!AF$8),ISNUMBER('Council Entry'!AF$9)),MAX(MIN('Council Entry'!AF147,'Council Entry'!AF$9),'Council Entry'!AF$8),'Council Entry'!AF147)),IF(AND(ISNUMBER('Council Entry'!AF$8),ISNUMBER('Council Entry'!AF$9)),MAX(MIN('Council Entry'!AF147,'Council Entry'!AF$9),'Council Entry'!AF$8),'Council Entry'!AF147))))-'Council Entry'!AF$5)/('Council Entry'!AF$6-'Council Entry'!AF$5)),1))),"No data"))</f>
        <v/>
      </c>
      <c r="AG147" s="13">
        <f>IF('Council Entry'!AG147="","",IFERROR(MAX(0,MIN(10,ROUND(IF('Council Entry'!AG$7="Decrease Risk",10-10*((IF('Council Entry'!AG$4="Logarithm",LN(0.001+IF(AND(ISNUMBER('Council Entry'!AG$8),ISNUMBER('Council Entry'!AG$9)),MAX(MIN('Council Entry'!AG147,'Council Entry'!AG$9),'Council Entry'!AG$8),'Council Entry'!AG147)),IF('Council Entry'!AG$4="Exponential",EXP(IF(AND(ISNUMBER('Council Entry'!AG$8),ISNUMBER('Council Entry'!AG$9)),MAX(MIN('Council Entry'!AG147,'Council Entry'!AG$9),'Council Entry'!AG$8),'Council Entry'!AG147)),IF(AND(ISNUMBER('Council Entry'!AG$8),ISNUMBER('Council Entry'!AG$9)),MAX(MIN('Council Entry'!AG147,'Council Entry'!AG$9),'Council Entry'!AG$8),'Council Entry'!AG147))))-'Council Entry'!AG$5)/('Council Entry'!AG$6-'Council Entry'!AG$5),10*((IF('Council Entry'!AG$4="Logarithm",LN(0.001+IF(AND(ISNUMBER('Council Entry'!AG$8),ISNUMBER('Council Entry'!AG$9)),MAX(MIN('Council Entry'!AG147,'Council Entry'!AG$9),'Council Entry'!AG$8),'Council Entry'!AG147)),IF('Council Entry'!AG$4="Exponential",EXP(IF(AND(ISNUMBER('Council Entry'!AG$8),ISNUMBER('Council Entry'!AG$9)),MAX(MIN('Council Entry'!AG147,'Council Entry'!AG$9),'Council Entry'!AG$8),'Council Entry'!AG147)),IF(AND(ISNUMBER('Council Entry'!AG$8),ISNUMBER('Council Entry'!AG$9)),MAX(MIN('Council Entry'!AG147,'Council Entry'!AG$9),'Council Entry'!AG$8),'Council Entry'!AG147))))-'Council Entry'!AG$5)/('Council Entry'!AG$6-'Council Entry'!AG$5)),1))),"No data"))</f>
        <v/>
      </c>
      <c r="AH147" s="13">
        <f>IF('Council Entry'!AH147="","",IFERROR(MAX(0,MIN(10,ROUND(IF('Council Entry'!AH$7="Decrease Risk",10-10*((IF('Council Entry'!AH$4="Logarithm",LN(0.001+IF(AND(ISNUMBER('Council Entry'!AH$8),ISNUMBER('Council Entry'!AH$9)),MAX(MIN('Council Entry'!AH147,'Council Entry'!AH$9),'Council Entry'!AH$8),'Council Entry'!AH147)),IF('Council Entry'!AH$4="Exponential",EXP(IF(AND(ISNUMBER('Council Entry'!AH$8),ISNUMBER('Council Entry'!AH$9)),MAX(MIN('Council Entry'!AH147,'Council Entry'!AH$9),'Council Entry'!AH$8),'Council Entry'!AH147)),IF(AND(ISNUMBER('Council Entry'!AH$8),ISNUMBER('Council Entry'!AH$9)),MAX(MIN('Council Entry'!AH147,'Council Entry'!AH$9),'Council Entry'!AH$8),'Council Entry'!AH147))))-'Council Entry'!AH$5)/('Council Entry'!AH$6-'Council Entry'!AH$5),10*((IF('Council Entry'!AH$4="Logarithm",LN(0.001+IF(AND(ISNUMBER('Council Entry'!AH$8),ISNUMBER('Council Entry'!AH$9)),MAX(MIN('Council Entry'!AH147,'Council Entry'!AH$9),'Council Entry'!AH$8),'Council Entry'!AH147)),IF('Council Entry'!AH$4="Exponential",EXP(IF(AND(ISNUMBER('Council Entry'!AH$8),ISNUMBER('Council Entry'!AH$9)),MAX(MIN('Council Entry'!AH147,'Council Entry'!AH$9),'Council Entry'!AH$8),'Council Entry'!AH147)),IF(AND(ISNUMBER('Council Entry'!AH$8),ISNUMBER('Council Entry'!AH$9)),MAX(MIN('Council Entry'!AH147,'Council Entry'!AH$9),'Council Entry'!AH$8),'Council Entry'!AH147))))-'Council Entry'!AH$5)/('Council Entry'!AH$6-'Council Entry'!AH$5)),1))),"No data"))</f>
        <v/>
      </c>
      <c r="AI147" s="13">
        <f>IF('Council Entry'!AI147="","",IFERROR(MAX(0,MIN(10,ROUND(IF('Council Entry'!AI$7="Decrease Risk",10-10*((IF('Council Entry'!AI$4="Logarithm",LN(0.001+IF(AND(ISNUMBER('Council Entry'!AI$8),ISNUMBER('Council Entry'!AI$9)),MAX(MIN('Council Entry'!AI147,'Council Entry'!AI$9),'Council Entry'!AI$8),'Council Entry'!AI147)),IF('Council Entry'!AI$4="Exponential",EXP(IF(AND(ISNUMBER('Council Entry'!AI$8),ISNUMBER('Council Entry'!AI$9)),MAX(MIN('Council Entry'!AI147,'Council Entry'!AI$9),'Council Entry'!AI$8),'Council Entry'!AI147)),IF(AND(ISNUMBER('Council Entry'!AI$8),ISNUMBER('Council Entry'!AI$9)),MAX(MIN('Council Entry'!AI147,'Council Entry'!AI$9),'Council Entry'!AI$8),'Council Entry'!AI147))))-'Council Entry'!AI$5)/('Council Entry'!AI$6-'Council Entry'!AI$5),10*((IF('Council Entry'!AI$4="Logarithm",LN(0.001+IF(AND(ISNUMBER('Council Entry'!AI$8),ISNUMBER('Council Entry'!AI$9)),MAX(MIN('Council Entry'!AI147,'Council Entry'!AI$9),'Council Entry'!AI$8),'Council Entry'!AI147)),IF('Council Entry'!AI$4="Exponential",EXP(IF(AND(ISNUMBER('Council Entry'!AI$8),ISNUMBER('Council Entry'!AI$9)),MAX(MIN('Council Entry'!AI147,'Council Entry'!AI$9),'Council Entry'!AI$8),'Council Entry'!AI147)),IF(AND(ISNUMBER('Council Entry'!AI$8),ISNUMBER('Council Entry'!AI$9)),MAX(MIN('Council Entry'!AI147,'Council Entry'!AI$9),'Council Entry'!AI$8),'Council Entry'!AI147))))-'Council Entry'!AI$5)/('Council Entry'!AI$6-'Council Entry'!AI$5)),1))),"No data"))</f>
        <v/>
      </c>
      <c r="AJ147" s="13">
        <f>IF('Council Entry'!AJ147="","",IFERROR(MAX(0,MIN(10,ROUND(IF('Council Entry'!AJ$7="Decrease Risk",10-10*((IF('Council Entry'!AJ$4="Logarithm",LN(0.001+IF(AND(ISNUMBER('Council Entry'!AJ$8),ISNUMBER('Council Entry'!AJ$9)),MAX(MIN('Council Entry'!AJ147,'Council Entry'!AJ$9),'Council Entry'!AJ$8),'Council Entry'!AJ147)),IF('Council Entry'!AJ$4="Exponential",EXP(IF(AND(ISNUMBER('Council Entry'!AJ$8),ISNUMBER('Council Entry'!AJ$9)),MAX(MIN('Council Entry'!AJ147,'Council Entry'!AJ$9),'Council Entry'!AJ$8),'Council Entry'!AJ147)),IF(AND(ISNUMBER('Council Entry'!AJ$8),ISNUMBER('Council Entry'!AJ$9)),MAX(MIN('Council Entry'!AJ147,'Council Entry'!AJ$9),'Council Entry'!AJ$8),'Council Entry'!AJ147))))-'Council Entry'!AJ$5)/('Council Entry'!AJ$6-'Council Entry'!AJ$5),10*((IF('Council Entry'!AJ$4="Logarithm",LN(0.001+IF(AND(ISNUMBER('Council Entry'!AJ$8),ISNUMBER('Council Entry'!AJ$9)),MAX(MIN('Council Entry'!AJ147,'Council Entry'!AJ$9),'Council Entry'!AJ$8),'Council Entry'!AJ147)),IF('Council Entry'!AJ$4="Exponential",EXP(IF(AND(ISNUMBER('Council Entry'!AJ$8),ISNUMBER('Council Entry'!AJ$9)),MAX(MIN('Council Entry'!AJ147,'Council Entry'!AJ$9),'Council Entry'!AJ$8),'Council Entry'!AJ147)),IF(AND(ISNUMBER('Council Entry'!AJ$8),ISNUMBER('Council Entry'!AJ$9)),MAX(MIN('Council Entry'!AJ147,'Council Entry'!AJ$9),'Council Entry'!AJ$8),'Council Entry'!AJ147))))-'Council Entry'!AJ$5)/('Council Entry'!AJ$6-'Council Entry'!AJ$5)),1))),"No data"))</f>
        <v/>
      </c>
      <c r="AK147" s="13">
        <f>IF('Council Entry'!AK147="","",IFERROR(MAX(0,MIN(10,ROUND(IF('Council Entry'!AK$7="Decrease Risk",10-10*((IF('Council Entry'!AK$4="Logarithm",LN(0.001+IF(AND(ISNUMBER('Council Entry'!AK$8),ISNUMBER('Council Entry'!AK$9)),MAX(MIN('Council Entry'!AK147,'Council Entry'!AK$9),'Council Entry'!AK$8),'Council Entry'!AK147)),IF('Council Entry'!AK$4="Exponential",EXP(IF(AND(ISNUMBER('Council Entry'!AK$8),ISNUMBER('Council Entry'!AK$9)),MAX(MIN('Council Entry'!AK147,'Council Entry'!AK$9),'Council Entry'!AK$8),'Council Entry'!AK147)),IF(AND(ISNUMBER('Council Entry'!AK$8),ISNUMBER('Council Entry'!AK$9)),MAX(MIN('Council Entry'!AK147,'Council Entry'!AK$9),'Council Entry'!AK$8),'Council Entry'!AK147))))-'Council Entry'!AK$5)/('Council Entry'!AK$6-'Council Entry'!AK$5),10*((IF('Council Entry'!AK$4="Logarithm",LN(0.001+IF(AND(ISNUMBER('Council Entry'!AK$8),ISNUMBER('Council Entry'!AK$9)),MAX(MIN('Council Entry'!AK147,'Council Entry'!AK$9),'Council Entry'!AK$8),'Council Entry'!AK147)),IF('Council Entry'!AK$4="Exponential",EXP(IF(AND(ISNUMBER('Council Entry'!AK$8),ISNUMBER('Council Entry'!AK$9)),MAX(MIN('Council Entry'!AK147,'Council Entry'!AK$9),'Council Entry'!AK$8),'Council Entry'!AK147)),IF(AND(ISNUMBER('Council Entry'!AK$8),ISNUMBER('Council Entry'!AK$9)),MAX(MIN('Council Entry'!AK147,'Council Entry'!AK$9),'Council Entry'!AK$8),'Council Entry'!AK147))))-'Council Entry'!AK$5)/('Council Entry'!AK$6-'Council Entry'!AK$5)),1))),"No data"))</f>
        <v/>
      </c>
      <c r="AL147" s="13">
        <f>IF('Council Entry'!AL147="","",IFERROR(MAX(0,MIN(10,ROUND(IF('Council Entry'!AL$7="Decrease Risk",10-10*((IF('Council Entry'!AL$4="Logarithm",LN(0.001+IF(AND(ISNUMBER('Council Entry'!AL$8),ISNUMBER('Council Entry'!AL$9)),MAX(MIN('Council Entry'!AL147,'Council Entry'!AL$9),'Council Entry'!AL$8),'Council Entry'!AL147)),IF('Council Entry'!AL$4="Exponential",EXP(IF(AND(ISNUMBER('Council Entry'!AL$8),ISNUMBER('Council Entry'!AL$9)),MAX(MIN('Council Entry'!AL147,'Council Entry'!AL$9),'Council Entry'!AL$8),'Council Entry'!AL147)),IF(AND(ISNUMBER('Council Entry'!AL$8),ISNUMBER('Council Entry'!AL$9)),MAX(MIN('Council Entry'!AL147,'Council Entry'!AL$9),'Council Entry'!AL$8),'Council Entry'!AL147))))-'Council Entry'!AL$5)/('Council Entry'!AL$6-'Council Entry'!AL$5),10*((IF('Council Entry'!AL$4="Logarithm",LN(0.001+IF(AND(ISNUMBER('Council Entry'!AL$8),ISNUMBER('Council Entry'!AL$9)),MAX(MIN('Council Entry'!AL147,'Council Entry'!AL$9),'Council Entry'!AL$8),'Council Entry'!AL147)),IF('Council Entry'!AL$4="Exponential",EXP(IF(AND(ISNUMBER('Council Entry'!AL$8),ISNUMBER('Council Entry'!AL$9)),MAX(MIN('Council Entry'!AL147,'Council Entry'!AL$9),'Council Entry'!AL$8),'Council Entry'!AL147)),IF(AND(ISNUMBER('Council Entry'!AL$8),ISNUMBER('Council Entry'!AL$9)),MAX(MIN('Council Entry'!AL147,'Council Entry'!AL$9),'Council Entry'!AL$8),'Council Entry'!AL147))))-'Council Entry'!AL$5)/('Council Entry'!AL$6-'Council Entry'!AL$5)),1))),"No data"))</f>
        <v/>
      </c>
      <c r="AM147" s="13">
        <f>IF('Council Entry'!AM147="","",IFERROR(MAX(0,MIN(10,ROUND(IF('Council Entry'!AM$7="Decrease Risk",10-10*((IF('Council Entry'!AM$4="Logarithm",LN(0.001+IF(AND(ISNUMBER('Council Entry'!AM$8),ISNUMBER('Council Entry'!AM$9)),MAX(MIN('Council Entry'!AM147,'Council Entry'!AM$9),'Council Entry'!AM$8),'Council Entry'!AM147)),IF('Council Entry'!AM$4="Exponential",EXP(IF(AND(ISNUMBER('Council Entry'!AM$8),ISNUMBER('Council Entry'!AM$9)),MAX(MIN('Council Entry'!AM147,'Council Entry'!AM$9),'Council Entry'!AM$8),'Council Entry'!AM147)),IF(AND(ISNUMBER('Council Entry'!AM$8),ISNUMBER('Council Entry'!AM$9)),MAX(MIN('Council Entry'!AM147,'Council Entry'!AM$9),'Council Entry'!AM$8),'Council Entry'!AM147))))-'Council Entry'!AM$5)/('Council Entry'!AM$6-'Council Entry'!AM$5),10*((IF('Council Entry'!AM$4="Logarithm",LN(0.001+IF(AND(ISNUMBER('Council Entry'!AM$8),ISNUMBER('Council Entry'!AM$9)),MAX(MIN('Council Entry'!AM147,'Council Entry'!AM$9),'Council Entry'!AM$8),'Council Entry'!AM147)),IF('Council Entry'!AM$4="Exponential",EXP(IF(AND(ISNUMBER('Council Entry'!AM$8),ISNUMBER('Council Entry'!AM$9)),MAX(MIN('Council Entry'!AM147,'Council Entry'!AM$9),'Council Entry'!AM$8),'Council Entry'!AM147)),IF(AND(ISNUMBER('Council Entry'!AM$8),ISNUMBER('Council Entry'!AM$9)),MAX(MIN('Council Entry'!AM147,'Council Entry'!AM$9),'Council Entry'!AM$8),'Council Entry'!AM147))))-'Council Entry'!AM$5)/('Council Entry'!AM$6-'Council Entry'!AM$5)),1))),"No data"))</f>
        <v/>
      </c>
      <c r="AN147" s="13">
        <f>IF('Council Entry'!AN147="","",IFERROR(MAX(0,MIN(10,ROUND(IF('Council Entry'!AN$7="Decrease Risk",10-10*((IF('Council Entry'!AN$4="Logarithm",LN(0.001+IF(AND(ISNUMBER('Council Entry'!AN$8),ISNUMBER('Council Entry'!AN$9)),MAX(MIN('Council Entry'!AN147,'Council Entry'!AN$9),'Council Entry'!AN$8),'Council Entry'!AN147)),IF('Council Entry'!AN$4="Exponential",EXP(IF(AND(ISNUMBER('Council Entry'!AN$8),ISNUMBER('Council Entry'!AN$9)),MAX(MIN('Council Entry'!AN147,'Council Entry'!AN$9),'Council Entry'!AN$8),'Council Entry'!AN147)),IF(AND(ISNUMBER('Council Entry'!AN$8),ISNUMBER('Council Entry'!AN$9)),MAX(MIN('Council Entry'!AN147,'Council Entry'!AN$9),'Council Entry'!AN$8),'Council Entry'!AN147))))-'Council Entry'!AN$5)/('Council Entry'!AN$6-'Council Entry'!AN$5),10*((IF('Council Entry'!AN$4="Logarithm",LN(0.001+IF(AND(ISNUMBER('Council Entry'!AN$8),ISNUMBER('Council Entry'!AN$9)),MAX(MIN('Council Entry'!AN147,'Council Entry'!AN$9),'Council Entry'!AN$8),'Council Entry'!AN147)),IF('Council Entry'!AN$4="Exponential",EXP(IF(AND(ISNUMBER('Council Entry'!AN$8),ISNUMBER('Council Entry'!AN$9)),MAX(MIN('Council Entry'!AN147,'Council Entry'!AN$9),'Council Entry'!AN$8),'Council Entry'!AN147)),IF(AND(ISNUMBER('Council Entry'!AN$8),ISNUMBER('Council Entry'!AN$9)),MAX(MIN('Council Entry'!AN147,'Council Entry'!AN$9),'Council Entry'!AN$8),'Council Entry'!AN147))))-'Council Entry'!AN$5)/('Council Entry'!AN$6-'Council Entry'!AN$5)),1))),"No data"))</f>
        <v/>
      </c>
      <c r="AO147" s="13">
        <f>IF('Council Entry'!AO147="","",IFERROR(MAX(0,MIN(10,ROUND(IF('Council Entry'!AO$7="Decrease Risk",10-10*((IF('Council Entry'!AO$4="Logarithm",LN(0.001+IF(AND(ISNUMBER('Council Entry'!AO$8),ISNUMBER('Council Entry'!AO$9)),MAX(MIN('Council Entry'!AO147,'Council Entry'!AO$9),'Council Entry'!AO$8),'Council Entry'!AO147)),IF('Council Entry'!AO$4="Exponential",EXP(IF(AND(ISNUMBER('Council Entry'!AO$8),ISNUMBER('Council Entry'!AO$9)),MAX(MIN('Council Entry'!AO147,'Council Entry'!AO$9),'Council Entry'!AO$8),'Council Entry'!AO147)),IF(AND(ISNUMBER('Council Entry'!AO$8),ISNUMBER('Council Entry'!AO$9)),MAX(MIN('Council Entry'!AO147,'Council Entry'!AO$9),'Council Entry'!AO$8),'Council Entry'!AO147))))-'Council Entry'!AO$5)/('Council Entry'!AO$6-'Council Entry'!AO$5),10*((IF('Council Entry'!AO$4="Logarithm",LN(0.001+IF(AND(ISNUMBER('Council Entry'!AO$8),ISNUMBER('Council Entry'!AO$9)),MAX(MIN('Council Entry'!AO147,'Council Entry'!AO$9),'Council Entry'!AO$8),'Council Entry'!AO147)),IF('Council Entry'!AO$4="Exponential",EXP(IF(AND(ISNUMBER('Council Entry'!AO$8),ISNUMBER('Council Entry'!AO$9)),MAX(MIN('Council Entry'!AO147,'Council Entry'!AO$9),'Council Entry'!AO$8),'Council Entry'!AO147)),IF(AND(ISNUMBER('Council Entry'!AO$8),ISNUMBER('Council Entry'!AO$9)),MAX(MIN('Council Entry'!AO147,'Council Entry'!AO$9),'Council Entry'!AO$8),'Council Entry'!AO147))))-'Council Entry'!AO$5)/('Council Entry'!AO$6-'Council Entry'!AO$5)),1))),"No data"))</f>
        <v/>
      </c>
      <c r="AP147" s="13">
        <f>IF('Council Entry'!AP147="","",IFERROR(MAX(0,MIN(10,ROUND(IF('Council Entry'!AP$7="Decrease Risk",10-10*((IF('Council Entry'!AP$4="Logarithm",LN(0.001+IF(AND(ISNUMBER('Council Entry'!AP$8),ISNUMBER('Council Entry'!AP$9)),MAX(MIN('Council Entry'!AP147,'Council Entry'!AP$9),'Council Entry'!AP$8),'Council Entry'!AP147)),IF('Council Entry'!AP$4="Exponential",EXP(IF(AND(ISNUMBER('Council Entry'!AP$8),ISNUMBER('Council Entry'!AP$9)),MAX(MIN('Council Entry'!AP147,'Council Entry'!AP$9),'Council Entry'!AP$8),'Council Entry'!AP147)),IF(AND(ISNUMBER('Council Entry'!AP$8),ISNUMBER('Council Entry'!AP$9)),MAX(MIN('Council Entry'!AP147,'Council Entry'!AP$9),'Council Entry'!AP$8),'Council Entry'!AP147))))-'Council Entry'!AP$5)/('Council Entry'!AP$6-'Council Entry'!AP$5),10*((IF('Council Entry'!AP$4="Logarithm",LN(0.001+IF(AND(ISNUMBER('Council Entry'!AP$8),ISNUMBER('Council Entry'!AP$9)),MAX(MIN('Council Entry'!AP147,'Council Entry'!AP$9),'Council Entry'!AP$8),'Council Entry'!AP147)),IF('Council Entry'!AP$4="Exponential",EXP(IF(AND(ISNUMBER('Council Entry'!AP$8),ISNUMBER('Council Entry'!AP$9)),MAX(MIN('Council Entry'!AP147,'Council Entry'!AP$9),'Council Entry'!AP$8),'Council Entry'!AP147)),IF(AND(ISNUMBER('Council Entry'!AP$8),ISNUMBER('Council Entry'!AP$9)),MAX(MIN('Council Entry'!AP147,'Council Entry'!AP$9),'Council Entry'!AP$8),'Council Entry'!AP147))))-'Council Entry'!AP$5)/('Council Entry'!AP$6-'Council Entry'!AP$5)),1))),"No data"))</f>
        <v/>
      </c>
      <c r="AQ147" s="13">
        <f>IF('Council Entry'!AQ147="","",IFERROR(MAX(0,MIN(10,ROUND(IF('Council Entry'!AQ$7="Decrease Risk",10-10*((IF('Council Entry'!AQ$4="Logarithm",LN(0.001+IF(AND(ISNUMBER('Council Entry'!AQ$8),ISNUMBER('Council Entry'!AQ$9)),MAX(MIN('Council Entry'!AQ147,'Council Entry'!AQ$9),'Council Entry'!AQ$8),'Council Entry'!AQ147)),IF('Council Entry'!AQ$4="Exponential",EXP(IF(AND(ISNUMBER('Council Entry'!AQ$8),ISNUMBER('Council Entry'!AQ$9)),MAX(MIN('Council Entry'!AQ147,'Council Entry'!AQ$9),'Council Entry'!AQ$8),'Council Entry'!AQ147)),IF(AND(ISNUMBER('Council Entry'!AQ$8),ISNUMBER('Council Entry'!AQ$9)),MAX(MIN('Council Entry'!AQ147,'Council Entry'!AQ$9),'Council Entry'!AQ$8),'Council Entry'!AQ147))))-'Council Entry'!AQ$5)/('Council Entry'!AQ$6-'Council Entry'!AQ$5),10*((IF('Council Entry'!AQ$4="Logarithm",LN(0.001+IF(AND(ISNUMBER('Council Entry'!AQ$8),ISNUMBER('Council Entry'!AQ$9)),MAX(MIN('Council Entry'!AQ147,'Council Entry'!AQ$9),'Council Entry'!AQ$8),'Council Entry'!AQ147)),IF('Council Entry'!AQ$4="Exponential",EXP(IF(AND(ISNUMBER('Council Entry'!AQ$8),ISNUMBER('Council Entry'!AQ$9)),MAX(MIN('Council Entry'!AQ147,'Council Entry'!AQ$9),'Council Entry'!AQ$8),'Council Entry'!AQ147)),IF(AND(ISNUMBER('Council Entry'!AQ$8),ISNUMBER('Council Entry'!AQ$9)),MAX(MIN('Council Entry'!AQ147,'Council Entry'!AQ$9),'Council Entry'!AQ$8),'Council Entry'!AQ147))))-'Council Entry'!AQ$5)/('Council Entry'!AQ$6-'Council Entry'!AQ$5)),1))),"No data"))</f>
        <v/>
      </c>
      <c r="AR147" s="13">
        <f>IF('Council Entry'!AR147="","",IFERROR(MAX(0,MIN(10,ROUND(IF('Council Entry'!AR$7="Decrease Risk",10-10*((IF('Council Entry'!AR$4="Logarithm",LN(0.001+IF(AND(ISNUMBER('Council Entry'!AR$8),ISNUMBER('Council Entry'!AR$9)),MAX(MIN('Council Entry'!AR147,'Council Entry'!AR$9),'Council Entry'!AR$8),'Council Entry'!AR147)),IF('Council Entry'!AR$4="Exponential",EXP(IF(AND(ISNUMBER('Council Entry'!AR$8),ISNUMBER('Council Entry'!AR$9)),MAX(MIN('Council Entry'!AR147,'Council Entry'!AR$9),'Council Entry'!AR$8),'Council Entry'!AR147)),IF(AND(ISNUMBER('Council Entry'!AR$8),ISNUMBER('Council Entry'!AR$9)),MAX(MIN('Council Entry'!AR147,'Council Entry'!AR$9),'Council Entry'!AR$8),'Council Entry'!AR147))))-'Council Entry'!AR$5)/('Council Entry'!AR$6-'Council Entry'!AR$5),10*((IF('Council Entry'!AR$4="Logarithm",LN(0.001+IF(AND(ISNUMBER('Council Entry'!AR$8),ISNUMBER('Council Entry'!AR$9)),MAX(MIN('Council Entry'!AR147,'Council Entry'!AR$9),'Council Entry'!AR$8),'Council Entry'!AR147)),IF('Council Entry'!AR$4="Exponential",EXP(IF(AND(ISNUMBER('Council Entry'!AR$8),ISNUMBER('Council Entry'!AR$9)),MAX(MIN('Council Entry'!AR147,'Council Entry'!AR$9),'Council Entry'!AR$8),'Council Entry'!AR147)),IF(AND(ISNUMBER('Council Entry'!AR$8),ISNUMBER('Council Entry'!AR$9)),MAX(MIN('Council Entry'!AR147,'Council Entry'!AR$9),'Council Entry'!AR$8),'Council Entry'!AR147))))-'Council Entry'!AR$5)/('Council Entry'!AR$6-'Council Entry'!AR$5)),1))),"No data"))</f>
        <v/>
      </c>
      <c r="AS147" s="13">
        <f>IF('Council Entry'!AS147="","",IFERROR(MAX(0,MIN(10,ROUND(IF('Council Entry'!AS$7="Decrease Risk",10-10*((IF('Council Entry'!AS$4="Logarithm",LN(0.001+IF(AND(ISNUMBER('Council Entry'!AS$8),ISNUMBER('Council Entry'!AS$9)),MAX(MIN('Council Entry'!AS147,'Council Entry'!AS$9),'Council Entry'!AS$8),'Council Entry'!AS147)),IF('Council Entry'!AS$4="Exponential",EXP(IF(AND(ISNUMBER('Council Entry'!AS$8),ISNUMBER('Council Entry'!AS$9)),MAX(MIN('Council Entry'!AS147,'Council Entry'!AS$9),'Council Entry'!AS$8),'Council Entry'!AS147)),IF(AND(ISNUMBER('Council Entry'!AS$8),ISNUMBER('Council Entry'!AS$9)),MAX(MIN('Council Entry'!AS147,'Council Entry'!AS$9),'Council Entry'!AS$8),'Council Entry'!AS147))))-'Council Entry'!AS$5)/('Council Entry'!AS$6-'Council Entry'!AS$5),10*((IF('Council Entry'!AS$4="Logarithm",LN(0.001+IF(AND(ISNUMBER('Council Entry'!AS$8),ISNUMBER('Council Entry'!AS$9)),MAX(MIN('Council Entry'!AS147,'Council Entry'!AS$9),'Council Entry'!AS$8),'Council Entry'!AS147)),IF('Council Entry'!AS$4="Exponential",EXP(IF(AND(ISNUMBER('Council Entry'!AS$8),ISNUMBER('Council Entry'!AS$9)),MAX(MIN('Council Entry'!AS147,'Council Entry'!AS$9),'Council Entry'!AS$8),'Council Entry'!AS147)),IF(AND(ISNUMBER('Council Entry'!AS$8),ISNUMBER('Council Entry'!AS$9)),MAX(MIN('Council Entry'!AS147,'Council Entry'!AS$9),'Council Entry'!AS$8),'Council Entry'!AS147))))-'Council Entry'!AS$5)/('Council Entry'!AS$6-'Council Entry'!AS$5)),1))),"No data"))</f>
        <v/>
      </c>
      <c r="AT147" s="13">
        <f>IF('Council Entry'!AT147="","",IFERROR(MAX(0,MIN(10,ROUND(IF('Council Entry'!AT$7="Decrease Risk",10-10*((IF('Council Entry'!AT$4="Logarithm",LN(0.001+IF(AND(ISNUMBER('Council Entry'!AT$8),ISNUMBER('Council Entry'!AT$9)),MAX(MIN('Council Entry'!AT147,'Council Entry'!AT$9),'Council Entry'!AT$8),'Council Entry'!AT147)),IF('Council Entry'!AT$4="Exponential",EXP(IF(AND(ISNUMBER('Council Entry'!AT$8),ISNUMBER('Council Entry'!AT$9)),MAX(MIN('Council Entry'!AT147,'Council Entry'!AT$9),'Council Entry'!AT$8),'Council Entry'!AT147)),IF(AND(ISNUMBER('Council Entry'!AT$8),ISNUMBER('Council Entry'!AT$9)),MAX(MIN('Council Entry'!AT147,'Council Entry'!AT$9),'Council Entry'!AT$8),'Council Entry'!AT147))))-'Council Entry'!AT$5)/('Council Entry'!AT$6-'Council Entry'!AT$5),10*((IF('Council Entry'!AT$4="Logarithm",LN(0.001+IF(AND(ISNUMBER('Council Entry'!AT$8),ISNUMBER('Council Entry'!AT$9)),MAX(MIN('Council Entry'!AT147,'Council Entry'!AT$9),'Council Entry'!AT$8),'Council Entry'!AT147)),IF('Council Entry'!AT$4="Exponential",EXP(IF(AND(ISNUMBER('Council Entry'!AT$8),ISNUMBER('Council Entry'!AT$9)),MAX(MIN('Council Entry'!AT147,'Council Entry'!AT$9),'Council Entry'!AT$8),'Council Entry'!AT147)),IF(AND(ISNUMBER('Council Entry'!AT$8),ISNUMBER('Council Entry'!AT$9)),MAX(MIN('Council Entry'!AT147,'Council Entry'!AT$9),'Council Entry'!AT$8),'Council Entry'!AT147))))-'Council Entry'!AT$5)/('Council Entry'!AT$6-'Council Entry'!AT$5)),1))),"No data"))</f>
        <v/>
      </c>
      <c r="AU147" s="13">
        <f>IF('Council Entry'!AU147="","",IFERROR(MAX(0,MIN(10,ROUND(IF('Council Entry'!AU$7="Decrease Risk",10-10*((IF('Council Entry'!AU$4="Logarithm",LN(0.001+IF(AND(ISNUMBER('Council Entry'!AU$8),ISNUMBER('Council Entry'!AU$9)),MAX(MIN('Council Entry'!AU147,'Council Entry'!AU$9),'Council Entry'!AU$8),'Council Entry'!AU147)),IF('Council Entry'!AU$4="Exponential",EXP(IF(AND(ISNUMBER('Council Entry'!AU$8),ISNUMBER('Council Entry'!AU$9)),MAX(MIN('Council Entry'!AU147,'Council Entry'!AU$9),'Council Entry'!AU$8),'Council Entry'!AU147)),IF(AND(ISNUMBER('Council Entry'!AU$8),ISNUMBER('Council Entry'!AU$9)),MAX(MIN('Council Entry'!AU147,'Council Entry'!AU$9),'Council Entry'!AU$8),'Council Entry'!AU147))))-'Council Entry'!AU$5)/('Council Entry'!AU$6-'Council Entry'!AU$5),10*((IF('Council Entry'!AU$4="Logarithm",LN(0.001+IF(AND(ISNUMBER('Council Entry'!AU$8),ISNUMBER('Council Entry'!AU$9)),MAX(MIN('Council Entry'!AU147,'Council Entry'!AU$9),'Council Entry'!AU$8),'Council Entry'!AU147)),IF('Council Entry'!AU$4="Exponential",EXP(IF(AND(ISNUMBER('Council Entry'!AU$8),ISNUMBER('Council Entry'!AU$9)),MAX(MIN('Council Entry'!AU147,'Council Entry'!AU$9),'Council Entry'!AU$8),'Council Entry'!AU147)),IF(AND(ISNUMBER('Council Entry'!AU$8),ISNUMBER('Council Entry'!AU$9)),MAX(MIN('Council Entry'!AU147,'Council Entry'!AU$9),'Council Entry'!AU$8),'Council Entry'!AU147))))-'Council Entry'!AU$5)/('Council Entry'!AU$6-'Council Entry'!AU$5)),1))),"No data"))</f>
        <v/>
      </c>
      <c r="AV147" s="13">
        <f>IF('Council Entry'!AV147="","",IFERROR(MAX(0,MIN(10,ROUND(IF('Council Entry'!AV$7="Decrease Risk",10-10*((IF('Council Entry'!AV$4="Logarithm",LN(0.001+IF(AND(ISNUMBER('Council Entry'!AV$8),ISNUMBER('Council Entry'!AV$9)),MAX(MIN('Council Entry'!AV147,'Council Entry'!AV$9),'Council Entry'!AV$8),'Council Entry'!AV147)),IF('Council Entry'!AV$4="Exponential",EXP(IF(AND(ISNUMBER('Council Entry'!AV$8),ISNUMBER('Council Entry'!AV$9)),MAX(MIN('Council Entry'!AV147,'Council Entry'!AV$9),'Council Entry'!AV$8),'Council Entry'!AV147)),IF(AND(ISNUMBER('Council Entry'!AV$8),ISNUMBER('Council Entry'!AV$9)),MAX(MIN('Council Entry'!AV147,'Council Entry'!AV$9),'Council Entry'!AV$8),'Council Entry'!AV147))))-'Council Entry'!AV$5)/('Council Entry'!AV$6-'Council Entry'!AV$5),10*((IF('Council Entry'!AV$4="Logarithm",LN(0.001+IF(AND(ISNUMBER('Council Entry'!AV$8),ISNUMBER('Council Entry'!AV$9)),MAX(MIN('Council Entry'!AV147,'Council Entry'!AV$9),'Council Entry'!AV$8),'Council Entry'!AV147)),IF('Council Entry'!AV$4="Exponential",EXP(IF(AND(ISNUMBER('Council Entry'!AV$8),ISNUMBER('Council Entry'!AV$9)),MAX(MIN('Council Entry'!AV147,'Council Entry'!AV$9),'Council Entry'!AV$8),'Council Entry'!AV147)),IF(AND(ISNUMBER('Council Entry'!AV$8),ISNUMBER('Council Entry'!AV$9)),MAX(MIN('Council Entry'!AV147,'Council Entry'!AV$9),'Council Entry'!AV$8),'Council Entry'!AV147))))-'Council Entry'!AV$5)/('Council Entry'!AV$6-'Council Entry'!AV$5)),1))),"No data"))</f>
        <v/>
      </c>
      <c r="AW147" s="13">
        <f>IF('Council Entry'!AW147="","",IFERROR(MAX(0,MIN(10,ROUND(IF('Council Entry'!AW$7="Decrease Risk",10-10*((IF('Council Entry'!AW$4="Logarithm",LN(0.001+IF(AND(ISNUMBER('Council Entry'!AW$8),ISNUMBER('Council Entry'!AW$9)),MAX(MIN('Council Entry'!AW147,'Council Entry'!AW$9),'Council Entry'!AW$8),'Council Entry'!AW147)),IF('Council Entry'!AW$4="Exponential",EXP(IF(AND(ISNUMBER('Council Entry'!AW$8),ISNUMBER('Council Entry'!AW$9)),MAX(MIN('Council Entry'!AW147,'Council Entry'!AW$9),'Council Entry'!AW$8),'Council Entry'!AW147)),IF(AND(ISNUMBER('Council Entry'!AW$8),ISNUMBER('Council Entry'!AW$9)),MAX(MIN('Council Entry'!AW147,'Council Entry'!AW$9),'Council Entry'!AW$8),'Council Entry'!AW147))))-'Council Entry'!AW$5)/('Council Entry'!AW$6-'Council Entry'!AW$5),10*((IF('Council Entry'!AW$4="Logarithm",LN(0.001+IF(AND(ISNUMBER('Council Entry'!AW$8),ISNUMBER('Council Entry'!AW$9)),MAX(MIN('Council Entry'!AW147,'Council Entry'!AW$9),'Council Entry'!AW$8),'Council Entry'!AW147)),IF('Council Entry'!AW$4="Exponential",EXP(IF(AND(ISNUMBER('Council Entry'!AW$8),ISNUMBER('Council Entry'!AW$9)),MAX(MIN('Council Entry'!AW147,'Council Entry'!AW$9),'Council Entry'!AW$8),'Council Entry'!AW147)),IF(AND(ISNUMBER('Council Entry'!AW$8),ISNUMBER('Council Entry'!AW$9)),MAX(MIN('Council Entry'!AW147,'Council Entry'!AW$9),'Council Entry'!AW$8),'Council Entry'!AW147))))-'Council Entry'!AW$5)/('Council Entry'!AW$6-'Council Entry'!AW$5)),1))),"No data"))</f>
        <v/>
      </c>
      <c r="AX147" s="13">
        <f>IF('Council Entry'!AX147="","",IFERROR(MAX(0,MIN(10,ROUND(IF('Council Entry'!AX$7="Decrease Risk",10-10*((IF('Council Entry'!AX$4="Logarithm",LN(0.001+IF(AND(ISNUMBER('Council Entry'!AX$8),ISNUMBER('Council Entry'!AX$9)),MAX(MIN('Council Entry'!AX147,'Council Entry'!AX$9),'Council Entry'!AX$8),'Council Entry'!AX147)),IF('Council Entry'!AX$4="Exponential",EXP(IF(AND(ISNUMBER('Council Entry'!AX$8),ISNUMBER('Council Entry'!AX$9)),MAX(MIN('Council Entry'!AX147,'Council Entry'!AX$9),'Council Entry'!AX$8),'Council Entry'!AX147)),IF(AND(ISNUMBER('Council Entry'!AX$8),ISNUMBER('Council Entry'!AX$9)),MAX(MIN('Council Entry'!AX147,'Council Entry'!AX$9),'Council Entry'!AX$8),'Council Entry'!AX147))))-'Council Entry'!AX$5)/('Council Entry'!AX$6-'Council Entry'!AX$5),10*((IF('Council Entry'!AX$4="Logarithm",LN(0.001+IF(AND(ISNUMBER('Council Entry'!AX$8),ISNUMBER('Council Entry'!AX$9)),MAX(MIN('Council Entry'!AX147,'Council Entry'!AX$9),'Council Entry'!AX$8),'Council Entry'!AX147)),IF('Council Entry'!AX$4="Exponential",EXP(IF(AND(ISNUMBER('Council Entry'!AX$8),ISNUMBER('Council Entry'!AX$9)),MAX(MIN('Council Entry'!AX147,'Council Entry'!AX$9),'Council Entry'!AX$8),'Council Entry'!AX147)),IF(AND(ISNUMBER('Council Entry'!AX$8),ISNUMBER('Council Entry'!AX$9)),MAX(MIN('Council Entry'!AX147,'Council Entry'!AX$9),'Council Entry'!AX$8),'Council Entry'!AX147))))-'Council Entry'!AX$5)/('Council Entry'!AX$6-'Council Entry'!AX$5)),1))),"No data"))</f>
        <v/>
      </c>
      <c r="AY147" s="13">
        <f>IF('Council Entry'!AY147="","",IFERROR(MAX(0,MIN(10,ROUND(IF('Council Entry'!AY$7="Decrease Risk",10-10*((IF('Council Entry'!AY$4="Logarithm",LN(0.001+IF(AND(ISNUMBER('Council Entry'!AY$8),ISNUMBER('Council Entry'!AY$9)),MAX(MIN('Council Entry'!AY147,'Council Entry'!AY$9),'Council Entry'!AY$8),'Council Entry'!AY147)),IF('Council Entry'!AY$4="Exponential",EXP(IF(AND(ISNUMBER('Council Entry'!AY$8),ISNUMBER('Council Entry'!AY$9)),MAX(MIN('Council Entry'!AY147,'Council Entry'!AY$9),'Council Entry'!AY$8),'Council Entry'!AY147)),IF(AND(ISNUMBER('Council Entry'!AY$8),ISNUMBER('Council Entry'!AY$9)),MAX(MIN('Council Entry'!AY147,'Council Entry'!AY$9),'Council Entry'!AY$8),'Council Entry'!AY147))))-'Council Entry'!AY$5)/('Council Entry'!AY$6-'Council Entry'!AY$5),10*((IF('Council Entry'!AY$4="Logarithm",LN(0.001+IF(AND(ISNUMBER('Council Entry'!AY$8),ISNUMBER('Council Entry'!AY$9)),MAX(MIN('Council Entry'!AY147,'Council Entry'!AY$9),'Council Entry'!AY$8),'Council Entry'!AY147)),IF('Council Entry'!AY$4="Exponential",EXP(IF(AND(ISNUMBER('Council Entry'!AY$8),ISNUMBER('Council Entry'!AY$9)),MAX(MIN('Council Entry'!AY147,'Council Entry'!AY$9),'Council Entry'!AY$8),'Council Entry'!AY147)),IF(AND(ISNUMBER('Council Entry'!AY$8),ISNUMBER('Council Entry'!AY$9)),MAX(MIN('Council Entry'!AY147,'Council Entry'!AY$9),'Council Entry'!AY$8),'Council Entry'!AY147))))-'Council Entry'!AY$5)/('Council Entry'!AY$6-'Council Entry'!AY$5)),1))),"No data"))</f>
        <v/>
      </c>
      <c r="AZ147" s="13">
        <f>IF('Council Entry'!AZ147="","",IFERROR(MAX(0,MIN(10,ROUND(IF('Council Entry'!AZ$7="Decrease Risk",10-10*((IF('Council Entry'!AZ$4="Logarithm",LN(0.001+IF(AND(ISNUMBER('Council Entry'!AZ$8),ISNUMBER('Council Entry'!AZ$9)),MAX(MIN('Council Entry'!AZ147,'Council Entry'!AZ$9),'Council Entry'!AZ$8),'Council Entry'!AZ147)),IF('Council Entry'!AZ$4="Exponential",EXP(IF(AND(ISNUMBER('Council Entry'!AZ$8),ISNUMBER('Council Entry'!AZ$9)),MAX(MIN('Council Entry'!AZ147,'Council Entry'!AZ$9),'Council Entry'!AZ$8),'Council Entry'!AZ147)),IF(AND(ISNUMBER('Council Entry'!AZ$8),ISNUMBER('Council Entry'!AZ$9)),MAX(MIN('Council Entry'!AZ147,'Council Entry'!AZ$9),'Council Entry'!AZ$8),'Council Entry'!AZ147))))-'Council Entry'!AZ$5)/('Council Entry'!AZ$6-'Council Entry'!AZ$5),10*((IF('Council Entry'!AZ$4="Logarithm",LN(0.001+IF(AND(ISNUMBER('Council Entry'!AZ$8),ISNUMBER('Council Entry'!AZ$9)),MAX(MIN('Council Entry'!AZ147,'Council Entry'!AZ$9),'Council Entry'!AZ$8),'Council Entry'!AZ147)),IF('Council Entry'!AZ$4="Exponential",EXP(IF(AND(ISNUMBER('Council Entry'!AZ$8),ISNUMBER('Council Entry'!AZ$9)),MAX(MIN('Council Entry'!AZ147,'Council Entry'!AZ$9),'Council Entry'!AZ$8),'Council Entry'!AZ147)),IF(AND(ISNUMBER('Council Entry'!AZ$8),ISNUMBER('Council Entry'!AZ$9)),MAX(MIN('Council Entry'!AZ147,'Council Entry'!AZ$9),'Council Entry'!AZ$8),'Council Entry'!AZ147))))-'Council Entry'!AZ$5)/('Council Entry'!AZ$6-'Council Entry'!AZ$5)),1))),"No data"))</f>
        <v/>
      </c>
      <c r="BA147" s="13">
        <f>IF('Council Entry'!BA147="","",IFERROR(MAX(0,MIN(10,ROUND(IF('Council Entry'!BA$7="Decrease Risk",10-10*((IF('Council Entry'!BA$4="Logarithm",LN(0.001+IF(AND(ISNUMBER('Council Entry'!BA$8),ISNUMBER('Council Entry'!BA$9)),MAX(MIN('Council Entry'!BA147,'Council Entry'!BA$9),'Council Entry'!BA$8),'Council Entry'!BA147)),IF('Council Entry'!BA$4="Exponential",EXP(IF(AND(ISNUMBER('Council Entry'!BA$8),ISNUMBER('Council Entry'!BA$9)),MAX(MIN('Council Entry'!BA147,'Council Entry'!BA$9),'Council Entry'!BA$8),'Council Entry'!BA147)),IF(AND(ISNUMBER('Council Entry'!BA$8),ISNUMBER('Council Entry'!BA$9)),MAX(MIN('Council Entry'!BA147,'Council Entry'!BA$9),'Council Entry'!BA$8),'Council Entry'!BA147))))-'Council Entry'!BA$5)/('Council Entry'!BA$6-'Council Entry'!BA$5),10*((IF('Council Entry'!BA$4="Logarithm",LN(0.001+IF(AND(ISNUMBER('Council Entry'!BA$8),ISNUMBER('Council Entry'!BA$9)),MAX(MIN('Council Entry'!BA147,'Council Entry'!BA$9),'Council Entry'!BA$8),'Council Entry'!BA147)),IF('Council Entry'!BA$4="Exponential",EXP(IF(AND(ISNUMBER('Council Entry'!BA$8),ISNUMBER('Council Entry'!BA$9)),MAX(MIN('Council Entry'!BA147,'Council Entry'!BA$9),'Council Entry'!BA$8),'Council Entry'!BA147)),IF(AND(ISNUMBER('Council Entry'!BA$8),ISNUMBER('Council Entry'!BA$9)),MAX(MIN('Council Entry'!BA147,'Council Entry'!BA$9),'Council Entry'!BA$8),'Council Entry'!BA147))))-'Council Entry'!BA$5)/('Council Entry'!BA$6-'Council Entry'!BA$5)),1))),"No data"))</f>
        <v/>
      </c>
      <c r="BB147" s="13">
        <f>IF('Council Entry'!BB147="","",IFERROR(MAX(0,MIN(10,ROUND(IF('Council Entry'!BB$7="Decrease Risk",10-10*((IF('Council Entry'!BB$4="Logarithm",LN(0.001+IF(AND(ISNUMBER('Council Entry'!BB$8),ISNUMBER('Council Entry'!BB$9)),MAX(MIN('Council Entry'!BB147,'Council Entry'!BB$9),'Council Entry'!BB$8),'Council Entry'!BB147)),IF('Council Entry'!BB$4="Exponential",EXP(IF(AND(ISNUMBER('Council Entry'!BB$8),ISNUMBER('Council Entry'!BB$9)),MAX(MIN('Council Entry'!BB147,'Council Entry'!BB$9),'Council Entry'!BB$8),'Council Entry'!BB147)),IF(AND(ISNUMBER('Council Entry'!BB$8),ISNUMBER('Council Entry'!BB$9)),MAX(MIN('Council Entry'!BB147,'Council Entry'!BB$9),'Council Entry'!BB$8),'Council Entry'!BB147))))-'Council Entry'!BB$5)/('Council Entry'!BB$6-'Council Entry'!BB$5),10*((IF('Council Entry'!BB$4="Logarithm",LN(0.001+IF(AND(ISNUMBER('Council Entry'!BB$8),ISNUMBER('Council Entry'!BB$9)),MAX(MIN('Council Entry'!BB147,'Council Entry'!BB$9),'Council Entry'!BB$8),'Council Entry'!BB147)),IF('Council Entry'!BB$4="Exponential",EXP(IF(AND(ISNUMBER('Council Entry'!BB$8),ISNUMBER('Council Entry'!BB$9)),MAX(MIN('Council Entry'!BB147,'Council Entry'!BB$9),'Council Entry'!BB$8),'Council Entry'!BB147)),IF(AND(ISNUMBER('Council Entry'!BB$8),ISNUMBER('Council Entry'!BB$9)),MAX(MIN('Council Entry'!BB147,'Council Entry'!BB$9),'Council Entry'!BB$8),'Council Entry'!BB147))))-'Council Entry'!BB$5)/('Council Entry'!BB$6-'Council Entry'!BB$5)),1))),"No data"))</f>
        <v/>
      </c>
      <c r="BC147" s="13">
        <f>IF('Council Entry'!BC147="","",IFERROR(MAX(0,MIN(10,ROUND(IF('Council Entry'!BC$7="Decrease Risk",10-10*((IF('Council Entry'!BC$4="Logarithm",LN(0.001+IF(AND(ISNUMBER('Council Entry'!BC$8),ISNUMBER('Council Entry'!BC$9)),MAX(MIN('Council Entry'!BC147,'Council Entry'!BC$9),'Council Entry'!BC$8),'Council Entry'!BC147)),IF('Council Entry'!BC$4="Exponential",EXP(IF(AND(ISNUMBER('Council Entry'!BC$8),ISNUMBER('Council Entry'!BC$9)),MAX(MIN('Council Entry'!BC147,'Council Entry'!BC$9),'Council Entry'!BC$8),'Council Entry'!BC147)),IF(AND(ISNUMBER('Council Entry'!BC$8),ISNUMBER('Council Entry'!BC$9)),MAX(MIN('Council Entry'!BC147,'Council Entry'!BC$9),'Council Entry'!BC$8),'Council Entry'!BC147))))-'Council Entry'!BC$5)/('Council Entry'!BC$6-'Council Entry'!BC$5),10*((IF('Council Entry'!BC$4="Logarithm",LN(0.001+IF(AND(ISNUMBER('Council Entry'!BC$8),ISNUMBER('Council Entry'!BC$9)),MAX(MIN('Council Entry'!BC147,'Council Entry'!BC$9),'Council Entry'!BC$8),'Council Entry'!BC147)),IF('Council Entry'!BC$4="Exponential",EXP(IF(AND(ISNUMBER('Council Entry'!BC$8),ISNUMBER('Council Entry'!BC$9)),MAX(MIN('Council Entry'!BC147,'Council Entry'!BC$9),'Council Entry'!BC$8),'Council Entry'!BC147)),IF(AND(ISNUMBER('Council Entry'!BC$8),ISNUMBER('Council Entry'!BC$9)),MAX(MIN('Council Entry'!BC147,'Council Entry'!BC$9),'Council Entry'!BC$8),'Council Entry'!BC147))))-'Council Entry'!BC$5)/('Council Entry'!BC$6-'Council Entry'!BC$5)),1))),"No data"))</f>
        <v/>
      </c>
      <c r="BD147" s="13">
        <f>IF('Council Entry'!BD147="","",IFERROR(MAX(0,MIN(10,ROUND(IF('Council Entry'!BD$7="Decrease Risk",10-10*((IF('Council Entry'!BD$4="Logarithm",LN(0.001+IF(AND(ISNUMBER('Council Entry'!BD$8),ISNUMBER('Council Entry'!BD$9)),MAX(MIN('Council Entry'!BD147,'Council Entry'!BD$9),'Council Entry'!BD$8),'Council Entry'!BD147)),IF('Council Entry'!BD$4="Exponential",EXP(IF(AND(ISNUMBER('Council Entry'!BD$8),ISNUMBER('Council Entry'!BD$9)),MAX(MIN('Council Entry'!BD147,'Council Entry'!BD$9),'Council Entry'!BD$8),'Council Entry'!BD147)),IF(AND(ISNUMBER('Council Entry'!BD$8),ISNUMBER('Council Entry'!BD$9)),MAX(MIN('Council Entry'!BD147,'Council Entry'!BD$9),'Council Entry'!BD$8),'Council Entry'!BD147))))-'Council Entry'!BD$5)/('Council Entry'!BD$6-'Council Entry'!BD$5),10*((IF('Council Entry'!BD$4="Logarithm",LN(0.001+IF(AND(ISNUMBER('Council Entry'!BD$8),ISNUMBER('Council Entry'!BD$9)),MAX(MIN('Council Entry'!BD147,'Council Entry'!BD$9),'Council Entry'!BD$8),'Council Entry'!BD147)),IF('Council Entry'!BD$4="Exponential",EXP(IF(AND(ISNUMBER('Council Entry'!BD$8),ISNUMBER('Council Entry'!BD$9)),MAX(MIN('Council Entry'!BD147,'Council Entry'!BD$9),'Council Entry'!BD$8),'Council Entry'!BD147)),IF(AND(ISNUMBER('Council Entry'!BD$8),ISNUMBER('Council Entry'!BD$9)),MAX(MIN('Council Entry'!BD147,'Council Entry'!BD$9),'Council Entry'!BD$8),'Council Entry'!BD147))))-'Council Entry'!BD$5)/('Council Entry'!BD$6-'Council Entry'!BD$5)),1))),"No data"))</f>
        <v/>
      </c>
    </row>
    <row r="148">
      <c r="A148" t="inlineStr">
        <is>
          <t>Pwani</t>
        </is>
      </c>
      <c r="B148" t="inlineStr">
        <is>
          <t>Mafia District</t>
        </is>
      </c>
      <c r="C148" t="inlineStr">
        <is>
          <t>C050</t>
        </is>
      </c>
      <c r="D148" s="13">
        <f>IF('Council Entry'!D148="","",IFERROR(MAX(0,MIN(10,ROUND(IF('Council Entry'!D$7="Decrease Risk",10-10*((IF('Council Entry'!D$4="Logarithm",LN(0.001+IF(AND(ISNUMBER('Council Entry'!D$8),ISNUMBER('Council Entry'!D$9)),MAX(MIN('Council Entry'!D148,'Council Entry'!D$9),'Council Entry'!D$8),'Council Entry'!D148)),IF('Council Entry'!D$4="Exponential",EXP(IF(AND(ISNUMBER('Council Entry'!D$8),ISNUMBER('Council Entry'!D$9)),MAX(MIN('Council Entry'!D148,'Council Entry'!D$9),'Council Entry'!D$8),'Council Entry'!D148)),IF(AND(ISNUMBER('Council Entry'!D$8),ISNUMBER('Council Entry'!D$9)),MAX(MIN('Council Entry'!D148,'Council Entry'!D$9),'Council Entry'!D$8),'Council Entry'!D148))))-'Council Entry'!D$5)/('Council Entry'!D$6-'Council Entry'!D$5),10*((IF('Council Entry'!D$4="Logarithm",LN(0.001+IF(AND(ISNUMBER('Council Entry'!D$8),ISNUMBER('Council Entry'!D$9)),MAX(MIN('Council Entry'!D148,'Council Entry'!D$9),'Council Entry'!D$8),'Council Entry'!D148)),IF('Council Entry'!D$4="Exponential",EXP(IF(AND(ISNUMBER('Council Entry'!D$8),ISNUMBER('Council Entry'!D$9)),MAX(MIN('Council Entry'!D148,'Council Entry'!D$9),'Council Entry'!D$8),'Council Entry'!D148)),IF(AND(ISNUMBER('Council Entry'!D$8),ISNUMBER('Council Entry'!D$9)),MAX(MIN('Council Entry'!D148,'Council Entry'!D$9),'Council Entry'!D$8),'Council Entry'!D148))))-'Council Entry'!D$5)/('Council Entry'!D$6-'Council Entry'!D$5)),1))),"No data"))</f>
        <v/>
      </c>
      <c r="E148" s="13">
        <f>IF('Council Entry'!E148="","",IFERROR(MAX(0,MIN(10,ROUND(IF('Council Entry'!E$7="Decrease Risk",10-10*((IF('Council Entry'!E$4="Logarithm",LN(0.001+IF(AND(ISNUMBER('Council Entry'!E$8),ISNUMBER('Council Entry'!E$9)),MAX(MIN('Council Entry'!E148,'Council Entry'!E$9),'Council Entry'!E$8),'Council Entry'!E148)),IF('Council Entry'!E$4="Exponential",EXP(IF(AND(ISNUMBER('Council Entry'!E$8),ISNUMBER('Council Entry'!E$9)),MAX(MIN('Council Entry'!E148,'Council Entry'!E$9),'Council Entry'!E$8),'Council Entry'!E148)),IF(AND(ISNUMBER('Council Entry'!E$8),ISNUMBER('Council Entry'!E$9)),MAX(MIN('Council Entry'!E148,'Council Entry'!E$9),'Council Entry'!E$8),'Council Entry'!E148))))-'Council Entry'!E$5)/('Council Entry'!E$6-'Council Entry'!E$5),10*((IF('Council Entry'!E$4="Logarithm",LN(0.001+IF(AND(ISNUMBER('Council Entry'!E$8),ISNUMBER('Council Entry'!E$9)),MAX(MIN('Council Entry'!E148,'Council Entry'!E$9),'Council Entry'!E$8),'Council Entry'!E148)),IF('Council Entry'!E$4="Exponential",EXP(IF(AND(ISNUMBER('Council Entry'!E$8),ISNUMBER('Council Entry'!E$9)),MAX(MIN('Council Entry'!E148,'Council Entry'!E$9),'Council Entry'!E$8),'Council Entry'!E148)),IF(AND(ISNUMBER('Council Entry'!E$8),ISNUMBER('Council Entry'!E$9)),MAX(MIN('Council Entry'!E148,'Council Entry'!E$9),'Council Entry'!E$8),'Council Entry'!E148))))-'Council Entry'!E$5)/('Council Entry'!E$6-'Council Entry'!E$5)),1))),"No data"))</f>
        <v/>
      </c>
      <c r="F148" s="13">
        <f>IF('Council Entry'!F148="","",IFERROR(MAX(0,MIN(10,ROUND(IF('Council Entry'!F$7="Decrease Risk",10-10*((IF('Council Entry'!F$4="Logarithm",LN(0.001+IF(AND(ISNUMBER('Council Entry'!F$8),ISNUMBER('Council Entry'!F$9)),MAX(MIN('Council Entry'!F148,'Council Entry'!F$9),'Council Entry'!F$8),'Council Entry'!F148)),IF('Council Entry'!F$4="Exponential",EXP(IF(AND(ISNUMBER('Council Entry'!F$8),ISNUMBER('Council Entry'!F$9)),MAX(MIN('Council Entry'!F148,'Council Entry'!F$9),'Council Entry'!F$8),'Council Entry'!F148)),IF(AND(ISNUMBER('Council Entry'!F$8),ISNUMBER('Council Entry'!F$9)),MAX(MIN('Council Entry'!F148,'Council Entry'!F$9),'Council Entry'!F$8),'Council Entry'!F148))))-'Council Entry'!F$5)/('Council Entry'!F$6-'Council Entry'!F$5),10*((IF('Council Entry'!F$4="Logarithm",LN(0.001+IF(AND(ISNUMBER('Council Entry'!F$8),ISNUMBER('Council Entry'!F$9)),MAX(MIN('Council Entry'!F148,'Council Entry'!F$9),'Council Entry'!F$8),'Council Entry'!F148)),IF('Council Entry'!F$4="Exponential",EXP(IF(AND(ISNUMBER('Council Entry'!F$8),ISNUMBER('Council Entry'!F$9)),MAX(MIN('Council Entry'!F148,'Council Entry'!F$9),'Council Entry'!F$8),'Council Entry'!F148)),IF(AND(ISNUMBER('Council Entry'!F$8),ISNUMBER('Council Entry'!F$9)),MAX(MIN('Council Entry'!F148,'Council Entry'!F$9),'Council Entry'!F$8),'Council Entry'!F148))))-'Council Entry'!F$5)/('Council Entry'!F$6-'Council Entry'!F$5)),1))),"No data"))</f>
        <v/>
      </c>
      <c r="G148" s="13">
        <f>IF('Council Entry'!G148="","",IFERROR(MAX(0,MIN(10,ROUND(IF('Council Entry'!G$7="Decrease Risk",10-10*((IF('Council Entry'!G$4="Logarithm",LN(0.001+IF(AND(ISNUMBER('Council Entry'!G$8),ISNUMBER('Council Entry'!G$9)),MAX(MIN('Council Entry'!G148,'Council Entry'!G$9),'Council Entry'!G$8),'Council Entry'!G148)),IF('Council Entry'!G$4="Exponential",EXP(IF(AND(ISNUMBER('Council Entry'!G$8),ISNUMBER('Council Entry'!G$9)),MAX(MIN('Council Entry'!G148,'Council Entry'!G$9),'Council Entry'!G$8),'Council Entry'!G148)),IF(AND(ISNUMBER('Council Entry'!G$8),ISNUMBER('Council Entry'!G$9)),MAX(MIN('Council Entry'!G148,'Council Entry'!G$9),'Council Entry'!G$8),'Council Entry'!G148))))-'Council Entry'!G$5)/('Council Entry'!G$6-'Council Entry'!G$5),10*((IF('Council Entry'!G$4="Logarithm",LN(0.001+IF(AND(ISNUMBER('Council Entry'!G$8),ISNUMBER('Council Entry'!G$9)),MAX(MIN('Council Entry'!G148,'Council Entry'!G$9),'Council Entry'!G$8),'Council Entry'!G148)),IF('Council Entry'!G$4="Exponential",EXP(IF(AND(ISNUMBER('Council Entry'!G$8),ISNUMBER('Council Entry'!G$9)),MAX(MIN('Council Entry'!G148,'Council Entry'!G$9),'Council Entry'!G$8),'Council Entry'!G148)),IF(AND(ISNUMBER('Council Entry'!G$8),ISNUMBER('Council Entry'!G$9)),MAX(MIN('Council Entry'!G148,'Council Entry'!G$9),'Council Entry'!G$8),'Council Entry'!G148))))-'Council Entry'!G$5)/('Council Entry'!G$6-'Council Entry'!G$5)),1))),"No data"))</f>
        <v/>
      </c>
      <c r="H148" s="13">
        <f>IF('Council Entry'!H148="","",IFERROR(MAX(0,MIN(10,ROUND(IF('Council Entry'!H$7="Decrease Risk",10-10*((IF('Council Entry'!H$4="Logarithm",LN(0.001+IF(AND(ISNUMBER('Council Entry'!H$8),ISNUMBER('Council Entry'!H$9)),MAX(MIN('Council Entry'!H148,'Council Entry'!H$9),'Council Entry'!H$8),'Council Entry'!H148)),IF('Council Entry'!H$4="Exponential",EXP(IF(AND(ISNUMBER('Council Entry'!H$8),ISNUMBER('Council Entry'!H$9)),MAX(MIN('Council Entry'!H148,'Council Entry'!H$9),'Council Entry'!H$8),'Council Entry'!H148)),IF(AND(ISNUMBER('Council Entry'!H$8),ISNUMBER('Council Entry'!H$9)),MAX(MIN('Council Entry'!H148,'Council Entry'!H$9),'Council Entry'!H$8),'Council Entry'!H148))))-'Council Entry'!H$5)/('Council Entry'!H$6-'Council Entry'!H$5),10*((IF('Council Entry'!H$4="Logarithm",LN(0.001+IF(AND(ISNUMBER('Council Entry'!H$8),ISNUMBER('Council Entry'!H$9)),MAX(MIN('Council Entry'!H148,'Council Entry'!H$9),'Council Entry'!H$8),'Council Entry'!H148)),IF('Council Entry'!H$4="Exponential",EXP(IF(AND(ISNUMBER('Council Entry'!H$8),ISNUMBER('Council Entry'!H$9)),MAX(MIN('Council Entry'!H148,'Council Entry'!H$9),'Council Entry'!H$8),'Council Entry'!H148)),IF(AND(ISNUMBER('Council Entry'!H$8),ISNUMBER('Council Entry'!H$9)),MAX(MIN('Council Entry'!H148,'Council Entry'!H$9),'Council Entry'!H$8),'Council Entry'!H148))))-'Council Entry'!H$5)/('Council Entry'!H$6-'Council Entry'!H$5)),1))),"No data"))</f>
        <v/>
      </c>
      <c r="I148" s="13">
        <f>IF('Council Entry'!I148="","",IFERROR(MAX(0,MIN(10,ROUND(IF('Council Entry'!I$7="Decrease Risk",10-10*((IF('Council Entry'!I$4="Logarithm",LN(0.001+IF(AND(ISNUMBER('Council Entry'!I$8),ISNUMBER('Council Entry'!I$9)),MAX(MIN('Council Entry'!I148,'Council Entry'!I$9),'Council Entry'!I$8),'Council Entry'!I148)),IF('Council Entry'!I$4="Exponential",EXP(IF(AND(ISNUMBER('Council Entry'!I$8),ISNUMBER('Council Entry'!I$9)),MAX(MIN('Council Entry'!I148,'Council Entry'!I$9),'Council Entry'!I$8),'Council Entry'!I148)),IF(AND(ISNUMBER('Council Entry'!I$8),ISNUMBER('Council Entry'!I$9)),MAX(MIN('Council Entry'!I148,'Council Entry'!I$9),'Council Entry'!I$8),'Council Entry'!I148))))-'Council Entry'!I$5)/('Council Entry'!I$6-'Council Entry'!I$5),10*((IF('Council Entry'!I$4="Logarithm",LN(0.001+IF(AND(ISNUMBER('Council Entry'!I$8),ISNUMBER('Council Entry'!I$9)),MAX(MIN('Council Entry'!I148,'Council Entry'!I$9),'Council Entry'!I$8),'Council Entry'!I148)),IF('Council Entry'!I$4="Exponential",EXP(IF(AND(ISNUMBER('Council Entry'!I$8),ISNUMBER('Council Entry'!I$9)),MAX(MIN('Council Entry'!I148,'Council Entry'!I$9),'Council Entry'!I$8),'Council Entry'!I148)),IF(AND(ISNUMBER('Council Entry'!I$8),ISNUMBER('Council Entry'!I$9)),MAX(MIN('Council Entry'!I148,'Council Entry'!I$9),'Council Entry'!I$8),'Council Entry'!I148))))-'Council Entry'!I$5)/('Council Entry'!I$6-'Council Entry'!I$5)),1))),"No data"))</f>
        <v/>
      </c>
      <c r="J148" s="13">
        <f>IF('Council Entry'!J148="","",IFERROR(MAX(0,MIN(10,ROUND(IF('Council Entry'!J$7="Decrease Risk",10-10*((IF('Council Entry'!J$4="Logarithm",LN(0.001+IF(AND(ISNUMBER('Council Entry'!J$8),ISNUMBER('Council Entry'!J$9)),MAX(MIN('Council Entry'!J148,'Council Entry'!J$9),'Council Entry'!J$8),'Council Entry'!J148)),IF('Council Entry'!J$4="Exponential",EXP(IF(AND(ISNUMBER('Council Entry'!J$8),ISNUMBER('Council Entry'!J$9)),MAX(MIN('Council Entry'!J148,'Council Entry'!J$9),'Council Entry'!J$8),'Council Entry'!J148)),IF(AND(ISNUMBER('Council Entry'!J$8),ISNUMBER('Council Entry'!J$9)),MAX(MIN('Council Entry'!J148,'Council Entry'!J$9),'Council Entry'!J$8),'Council Entry'!J148))))-'Council Entry'!J$5)/('Council Entry'!J$6-'Council Entry'!J$5),10*((IF('Council Entry'!J$4="Logarithm",LN(0.001+IF(AND(ISNUMBER('Council Entry'!J$8),ISNUMBER('Council Entry'!J$9)),MAX(MIN('Council Entry'!J148,'Council Entry'!J$9),'Council Entry'!J$8),'Council Entry'!J148)),IF('Council Entry'!J$4="Exponential",EXP(IF(AND(ISNUMBER('Council Entry'!J$8),ISNUMBER('Council Entry'!J$9)),MAX(MIN('Council Entry'!J148,'Council Entry'!J$9),'Council Entry'!J$8),'Council Entry'!J148)),IF(AND(ISNUMBER('Council Entry'!J$8),ISNUMBER('Council Entry'!J$9)),MAX(MIN('Council Entry'!J148,'Council Entry'!J$9),'Council Entry'!J$8),'Council Entry'!J148))))-'Council Entry'!J$5)/('Council Entry'!J$6-'Council Entry'!J$5)),1))),"No data"))</f>
        <v/>
      </c>
      <c r="K148" s="13">
        <f>IF('Council Entry'!K148="","",IFERROR(MAX(0,MIN(10,ROUND(IF('Council Entry'!K$7="Decrease Risk",10-10*((IF('Council Entry'!K$4="Logarithm",LN(0.001+IF(AND(ISNUMBER('Council Entry'!K$8),ISNUMBER('Council Entry'!K$9)),MAX(MIN('Council Entry'!K148,'Council Entry'!K$9),'Council Entry'!K$8),'Council Entry'!K148)),IF('Council Entry'!K$4="Exponential",EXP(IF(AND(ISNUMBER('Council Entry'!K$8),ISNUMBER('Council Entry'!K$9)),MAX(MIN('Council Entry'!K148,'Council Entry'!K$9),'Council Entry'!K$8),'Council Entry'!K148)),IF(AND(ISNUMBER('Council Entry'!K$8),ISNUMBER('Council Entry'!K$9)),MAX(MIN('Council Entry'!K148,'Council Entry'!K$9),'Council Entry'!K$8),'Council Entry'!K148))))-'Council Entry'!K$5)/('Council Entry'!K$6-'Council Entry'!K$5),10*((IF('Council Entry'!K$4="Logarithm",LN(0.001+IF(AND(ISNUMBER('Council Entry'!K$8),ISNUMBER('Council Entry'!K$9)),MAX(MIN('Council Entry'!K148,'Council Entry'!K$9),'Council Entry'!K$8),'Council Entry'!K148)),IF('Council Entry'!K$4="Exponential",EXP(IF(AND(ISNUMBER('Council Entry'!K$8),ISNUMBER('Council Entry'!K$9)),MAX(MIN('Council Entry'!K148,'Council Entry'!K$9),'Council Entry'!K$8),'Council Entry'!K148)),IF(AND(ISNUMBER('Council Entry'!K$8),ISNUMBER('Council Entry'!K$9)),MAX(MIN('Council Entry'!K148,'Council Entry'!K$9),'Council Entry'!K$8),'Council Entry'!K148))))-'Council Entry'!K$5)/('Council Entry'!K$6-'Council Entry'!K$5)),1))),"No data"))</f>
        <v/>
      </c>
      <c r="L148" s="13">
        <f>IF('Council Entry'!L148="","",IFERROR(MAX(0,MIN(10,ROUND(IF('Council Entry'!L$7="Decrease Risk",10-10*((IF('Council Entry'!L$4="Logarithm",LN(0.001+IF(AND(ISNUMBER('Council Entry'!L$8),ISNUMBER('Council Entry'!L$9)),MAX(MIN('Council Entry'!L148,'Council Entry'!L$9),'Council Entry'!L$8),'Council Entry'!L148)),IF('Council Entry'!L$4="Exponential",EXP(IF(AND(ISNUMBER('Council Entry'!L$8),ISNUMBER('Council Entry'!L$9)),MAX(MIN('Council Entry'!L148,'Council Entry'!L$9),'Council Entry'!L$8),'Council Entry'!L148)),IF(AND(ISNUMBER('Council Entry'!L$8),ISNUMBER('Council Entry'!L$9)),MAX(MIN('Council Entry'!L148,'Council Entry'!L$9),'Council Entry'!L$8),'Council Entry'!L148))))-'Council Entry'!L$5)/('Council Entry'!L$6-'Council Entry'!L$5),10*((IF('Council Entry'!L$4="Logarithm",LN(0.001+IF(AND(ISNUMBER('Council Entry'!L$8),ISNUMBER('Council Entry'!L$9)),MAX(MIN('Council Entry'!L148,'Council Entry'!L$9),'Council Entry'!L$8),'Council Entry'!L148)),IF('Council Entry'!L$4="Exponential",EXP(IF(AND(ISNUMBER('Council Entry'!L$8),ISNUMBER('Council Entry'!L$9)),MAX(MIN('Council Entry'!L148,'Council Entry'!L$9),'Council Entry'!L$8),'Council Entry'!L148)),IF(AND(ISNUMBER('Council Entry'!L$8),ISNUMBER('Council Entry'!L$9)),MAX(MIN('Council Entry'!L148,'Council Entry'!L$9),'Council Entry'!L$8),'Council Entry'!L148))))-'Council Entry'!L$5)/('Council Entry'!L$6-'Council Entry'!L$5)),1))),"No data"))</f>
        <v/>
      </c>
      <c r="M148" s="13">
        <f>IF('Council Entry'!M148="","",IFERROR(MAX(0,MIN(10,ROUND(IF('Council Entry'!M$7="Decrease Risk",10-10*((IF('Council Entry'!M$4="Logarithm",LN(0.001+IF(AND(ISNUMBER('Council Entry'!M$8),ISNUMBER('Council Entry'!M$9)),MAX(MIN('Council Entry'!M148,'Council Entry'!M$9),'Council Entry'!M$8),'Council Entry'!M148)),IF('Council Entry'!M$4="Exponential",EXP(IF(AND(ISNUMBER('Council Entry'!M$8),ISNUMBER('Council Entry'!M$9)),MAX(MIN('Council Entry'!M148,'Council Entry'!M$9),'Council Entry'!M$8),'Council Entry'!M148)),IF(AND(ISNUMBER('Council Entry'!M$8),ISNUMBER('Council Entry'!M$9)),MAX(MIN('Council Entry'!M148,'Council Entry'!M$9),'Council Entry'!M$8),'Council Entry'!M148))))-'Council Entry'!M$5)/('Council Entry'!M$6-'Council Entry'!M$5),10*((IF('Council Entry'!M$4="Logarithm",LN(0.001+IF(AND(ISNUMBER('Council Entry'!M$8),ISNUMBER('Council Entry'!M$9)),MAX(MIN('Council Entry'!M148,'Council Entry'!M$9),'Council Entry'!M$8),'Council Entry'!M148)),IF('Council Entry'!M$4="Exponential",EXP(IF(AND(ISNUMBER('Council Entry'!M$8),ISNUMBER('Council Entry'!M$9)),MAX(MIN('Council Entry'!M148,'Council Entry'!M$9),'Council Entry'!M$8),'Council Entry'!M148)),IF(AND(ISNUMBER('Council Entry'!M$8),ISNUMBER('Council Entry'!M$9)),MAX(MIN('Council Entry'!M148,'Council Entry'!M$9),'Council Entry'!M$8),'Council Entry'!M148))))-'Council Entry'!M$5)/('Council Entry'!M$6-'Council Entry'!M$5)),1))),"No data"))</f>
        <v/>
      </c>
      <c r="N148" s="13">
        <f>IF('Council Entry'!N148="","",IFERROR(MAX(0,MIN(10,ROUND(IF('Council Entry'!N$7="Decrease Risk",10-10*((IF('Council Entry'!N$4="Logarithm",LN(0.001+IF(AND(ISNUMBER('Council Entry'!N$8),ISNUMBER('Council Entry'!N$9)),MAX(MIN('Council Entry'!N148,'Council Entry'!N$9),'Council Entry'!N$8),'Council Entry'!N148)),IF('Council Entry'!N$4="Exponential",EXP(IF(AND(ISNUMBER('Council Entry'!N$8),ISNUMBER('Council Entry'!N$9)),MAX(MIN('Council Entry'!N148,'Council Entry'!N$9),'Council Entry'!N$8),'Council Entry'!N148)),IF(AND(ISNUMBER('Council Entry'!N$8),ISNUMBER('Council Entry'!N$9)),MAX(MIN('Council Entry'!N148,'Council Entry'!N$9),'Council Entry'!N$8),'Council Entry'!N148))))-'Council Entry'!N$5)/('Council Entry'!N$6-'Council Entry'!N$5),10*((IF('Council Entry'!N$4="Logarithm",LN(0.001+IF(AND(ISNUMBER('Council Entry'!N$8),ISNUMBER('Council Entry'!N$9)),MAX(MIN('Council Entry'!N148,'Council Entry'!N$9),'Council Entry'!N$8),'Council Entry'!N148)),IF('Council Entry'!N$4="Exponential",EXP(IF(AND(ISNUMBER('Council Entry'!N$8),ISNUMBER('Council Entry'!N$9)),MAX(MIN('Council Entry'!N148,'Council Entry'!N$9),'Council Entry'!N$8),'Council Entry'!N148)),IF(AND(ISNUMBER('Council Entry'!N$8),ISNUMBER('Council Entry'!N$9)),MAX(MIN('Council Entry'!N148,'Council Entry'!N$9),'Council Entry'!N$8),'Council Entry'!N148))))-'Council Entry'!N$5)/('Council Entry'!N$6-'Council Entry'!N$5)),1))),"No data"))</f>
        <v/>
      </c>
      <c r="O148" s="13">
        <f>IF('Council Entry'!O148="","",IFERROR(MAX(0,MIN(10,ROUND(IF('Council Entry'!O$7="Decrease Risk",10-10*((IF('Council Entry'!O$4="Logarithm",LN(0.001+IF(AND(ISNUMBER('Council Entry'!O$8),ISNUMBER('Council Entry'!O$9)),MAX(MIN('Council Entry'!O148,'Council Entry'!O$9),'Council Entry'!O$8),'Council Entry'!O148)),IF('Council Entry'!O$4="Exponential",EXP(IF(AND(ISNUMBER('Council Entry'!O$8),ISNUMBER('Council Entry'!O$9)),MAX(MIN('Council Entry'!O148,'Council Entry'!O$9),'Council Entry'!O$8),'Council Entry'!O148)),IF(AND(ISNUMBER('Council Entry'!O$8),ISNUMBER('Council Entry'!O$9)),MAX(MIN('Council Entry'!O148,'Council Entry'!O$9),'Council Entry'!O$8),'Council Entry'!O148))))-'Council Entry'!O$5)/('Council Entry'!O$6-'Council Entry'!O$5),10*((IF('Council Entry'!O$4="Logarithm",LN(0.001+IF(AND(ISNUMBER('Council Entry'!O$8),ISNUMBER('Council Entry'!O$9)),MAX(MIN('Council Entry'!O148,'Council Entry'!O$9),'Council Entry'!O$8),'Council Entry'!O148)),IF('Council Entry'!O$4="Exponential",EXP(IF(AND(ISNUMBER('Council Entry'!O$8),ISNUMBER('Council Entry'!O$9)),MAX(MIN('Council Entry'!O148,'Council Entry'!O$9),'Council Entry'!O$8),'Council Entry'!O148)),IF(AND(ISNUMBER('Council Entry'!O$8),ISNUMBER('Council Entry'!O$9)),MAX(MIN('Council Entry'!O148,'Council Entry'!O$9),'Council Entry'!O$8),'Council Entry'!O148))))-'Council Entry'!O$5)/('Council Entry'!O$6-'Council Entry'!O$5)),1))),"No data"))</f>
        <v/>
      </c>
      <c r="P148" s="13">
        <f>IF('Council Entry'!P148="","",IFERROR(MAX(0,MIN(10,ROUND(IF('Council Entry'!P$7="Decrease Risk",10-10*((IF('Council Entry'!P$4="Logarithm",LN(0.001+IF(AND(ISNUMBER('Council Entry'!P$8),ISNUMBER('Council Entry'!P$9)),MAX(MIN('Council Entry'!P148,'Council Entry'!P$9),'Council Entry'!P$8),'Council Entry'!P148)),IF('Council Entry'!P$4="Exponential",EXP(IF(AND(ISNUMBER('Council Entry'!P$8),ISNUMBER('Council Entry'!P$9)),MAX(MIN('Council Entry'!P148,'Council Entry'!P$9),'Council Entry'!P$8),'Council Entry'!P148)),IF(AND(ISNUMBER('Council Entry'!P$8),ISNUMBER('Council Entry'!P$9)),MAX(MIN('Council Entry'!P148,'Council Entry'!P$9),'Council Entry'!P$8),'Council Entry'!P148))))-'Council Entry'!P$5)/('Council Entry'!P$6-'Council Entry'!P$5),10*((IF('Council Entry'!P$4="Logarithm",LN(0.001+IF(AND(ISNUMBER('Council Entry'!P$8),ISNUMBER('Council Entry'!P$9)),MAX(MIN('Council Entry'!P148,'Council Entry'!P$9),'Council Entry'!P$8),'Council Entry'!P148)),IF('Council Entry'!P$4="Exponential",EXP(IF(AND(ISNUMBER('Council Entry'!P$8),ISNUMBER('Council Entry'!P$9)),MAX(MIN('Council Entry'!P148,'Council Entry'!P$9),'Council Entry'!P$8),'Council Entry'!P148)),IF(AND(ISNUMBER('Council Entry'!P$8),ISNUMBER('Council Entry'!P$9)),MAX(MIN('Council Entry'!P148,'Council Entry'!P$9),'Council Entry'!P$8),'Council Entry'!P148))))-'Council Entry'!P$5)/('Council Entry'!P$6-'Council Entry'!P$5)),1))),"No data"))</f>
        <v/>
      </c>
      <c r="Q148" s="13">
        <f>IF('Council Entry'!Q148="","",IFERROR(MAX(0,MIN(10,ROUND(IF('Council Entry'!Q$7="Decrease Risk",10-10*((IF('Council Entry'!Q$4="Logarithm",LN(0.001+IF(AND(ISNUMBER('Council Entry'!Q$8),ISNUMBER('Council Entry'!Q$9)),MAX(MIN('Council Entry'!Q148,'Council Entry'!Q$9),'Council Entry'!Q$8),'Council Entry'!Q148)),IF('Council Entry'!Q$4="Exponential",EXP(IF(AND(ISNUMBER('Council Entry'!Q$8),ISNUMBER('Council Entry'!Q$9)),MAX(MIN('Council Entry'!Q148,'Council Entry'!Q$9),'Council Entry'!Q$8),'Council Entry'!Q148)),IF(AND(ISNUMBER('Council Entry'!Q$8),ISNUMBER('Council Entry'!Q$9)),MAX(MIN('Council Entry'!Q148,'Council Entry'!Q$9),'Council Entry'!Q$8),'Council Entry'!Q148))))-'Council Entry'!Q$5)/('Council Entry'!Q$6-'Council Entry'!Q$5),10*((IF('Council Entry'!Q$4="Logarithm",LN(0.001+IF(AND(ISNUMBER('Council Entry'!Q$8),ISNUMBER('Council Entry'!Q$9)),MAX(MIN('Council Entry'!Q148,'Council Entry'!Q$9),'Council Entry'!Q$8),'Council Entry'!Q148)),IF('Council Entry'!Q$4="Exponential",EXP(IF(AND(ISNUMBER('Council Entry'!Q$8),ISNUMBER('Council Entry'!Q$9)),MAX(MIN('Council Entry'!Q148,'Council Entry'!Q$9),'Council Entry'!Q$8),'Council Entry'!Q148)),IF(AND(ISNUMBER('Council Entry'!Q$8),ISNUMBER('Council Entry'!Q$9)),MAX(MIN('Council Entry'!Q148,'Council Entry'!Q$9),'Council Entry'!Q$8),'Council Entry'!Q148))))-'Council Entry'!Q$5)/('Council Entry'!Q$6-'Council Entry'!Q$5)),1))),"No data"))</f>
        <v/>
      </c>
      <c r="R148" s="13">
        <f>IF('Council Entry'!R148="","",IFERROR(MAX(0,MIN(10,ROUND(IF('Council Entry'!R$7="Decrease Risk",10-10*((IF('Council Entry'!R$4="Logarithm",LN(0.001+IF(AND(ISNUMBER('Council Entry'!R$8),ISNUMBER('Council Entry'!R$9)),MAX(MIN('Council Entry'!R148,'Council Entry'!R$9),'Council Entry'!R$8),'Council Entry'!R148)),IF('Council Entry'!R$4="Exponential",EXP(IF(AND(ISNUMBER('Council Entry'!R$8),ISNUMBER('Council Entry'!R$9)),MAX(MIN('Council Entry'!R148,'Council Entry'!R$9),'Council Entry'!R$8),'Council Entry'!R148)),IF(AND(ISNUMBER('Council Entry'!R$8),ISNUMBER('Council Entry'!R$9)),MAX(MIN('Council Entry'!R148,'Council Entry'!R$9),'Council Entry'!R$8),'Council Entry'!R148))))-'Council Entry'!R$5)/('Council Entry'!R$6-'Council Entry'!R$5),10*((IF('Council Entry'!R$4="Logarithm",LN(0.001+IF(AND(ISNUMBER('Council Entry'!R$8),ISNUMBER('Council Entry'!R$9)),MAX(MIN('Council Entry'!R148,'Council Entry'!R$9),'Council Entry'!R$8),'Council Entry'!R148)),IF('Council Entry'!R$4="Exponential",EXP(IF(AND(ISNUMBER('Council Entry'!R$8),ISNUMBER('Council Entry'!R$9)),MAX(MIN('Council Entry'!R148,'Council Entry'!R$9),'Council Entry'!R$8),'Council Entry'!R148)),IF(AND(ISNUMBER('Council Entry'!R$8),ISNUMBER('Council Entry'!R$9)),MAX(MIN('Council Entry'!R148,'Council Entry'!R$9),'Council Entry'!R$8),'Council Entry'!R148))))-'Council Entry'!R$5)/('Council Entry'!R$6-'Council Entry'!R$5)),1))),"No data"))</f>
        <v/>
      </c>
      <c r="S148" s="13">
        <f>IF('Council Entry'!S148="","",IFERROR(MAX(0,MIN(10,ROUND(IF('Council Entry'!S$7="Decrease Risk",10-10*((IF('Council Entry'!S$4="Logarithm",LN(0.001+IF(AND(ISNUMBER('Council Entry'!S$8),ISNUMBER('Council Entry'!S$9)),MAX(MIN('Council Entry'!S148,'Council Entry'!S$9),'Council Entry'!S$8),'Council Entry'!S148)),IF('Council Entry'!S$4="Exponential",EXP(IF(AND(ISNUMBER('Council Entry'!S$8),ISNUMBER('Council Entry'!S$9)),MAX(MIN('Council Entry'!S148,'Council Entry'!S$9),'Council Entry'!S$8),'Council Entry'!S148)),IF(AND(ISNUMBER('Council Entry'!S$8),ISNUMBER('Council Entry'!S$9)),MAX(MIN('Council Entry'!S148,'Council Entry'!S$9),'Council Entry'!S$8),'Council Entry'!S148))))-'Council Entry'!S$5)/('Council Entry'!S$6-'Council Entry'!S$5),10*((IF('Council Entry'!S$4="Logarithm",LN(0.001+IF(AND(ISNUMBER('Council Entry'!S$8),ISNUMBER('Council Entry'!S$9)),MAX(MIN('Council Entry'!S148,'Council Entry'!S$9),'Council Entry'!S$8),'Council Entry'!S148)),IF('Council Entry'!S$4="Exponential",EXP(IF(AND(ISNUMBER('Council Entry'!S$8),ISNUMBER('Council Entry'!S$9)),MAX(MIN('Council Entry'!S148,'Council Entry'!S$9),'Council Entry'!S$8),'Council Entry'!S148)),IF(AND(ISNUMBER('Council Entry'!S$8),ISNUMBER('Council Entry'!S$9)),MAX(MIN('Council Entry'!S148,'Council Entry'!S$9),'Council Entry'!S$8),'Council Entry'!S148))))-'Council Entry'!S$5)/('Council Entry'!S$6-'Council Entry'!S$5)),1))),"No data"))</f>
        <v/>
      </c>
      <c r="T148" s="13">
        <f>IF('Council Entry'!T148="","",IFERROR(MAX(0,MIN(10,ROUND(IF('Council Entry'!T$7="Decrease Risk",10-10*((IF('Council Entry'!T$4="Logarithm",LN(0.001+IF(AND(ISNUMBER('Council Entry'!T$8),ISNUMBER('Council Entry'!T$9)),MAX(MIN('Council Entry'!T148,'Council Entry'!T$9),'Council Entry'!T$8),'Council Entry'!T148)),IF('Council Entry'!T$4="Exponential",EXP(IF(AND(ISNUMBER('Council Entry'!T$8),ISNUMBER('Council Entry'!T$9)),MAX(MIN('Council Entry'!T148,'Council Entry'!T$9),'Council Entry'!T$8),'Council Entry'!T148)),IF(AND(ISNUMBER('Council Entry'!T$8),ISNUMBER('Council Entry'!T$9)),MAX(MIN('Council Entry'!T148,'Council Entry'!T$9),'Council Entry'!T$8),'Council Entry'!T148))))-'Council Entry'!T$5)/('Council Entry'!T$6-'Council Entry'!T$5),10*((IF('Council Entry'!T$4="Logarithm",LN(0.001+IF(AND(ISNUMBER('Council Entry'!T$8),ISNUMBER('Council Entry'!T$9)),MAX(MIN('Council Entry'!T148,'Council Entry'!T$9),'Council Entry'!T$8),'Council Entry'!T148)),IF('Council Entry'!T$4="Exponential",EXP(IF(AND(ISNUMBER('Council Entry'!T$8),ISNUMBER('Council Entry'!T$9)),MAX(MIN('Council Entry'!T148,'Council Entry'!T$9),'Council Entry'!T$8),'Council Entry'!T148)),IF(AND(ISNUMBER('Council Entry'!T$8),ISNUMBER('Council Entry'!T$9)),MAX(MIN('Council Entry'!T148,'Council Entry'!T$9),'Council Entry'!T$8),'Council Entry'!T148))))-'Council Entry'!T$5)/('Council Entry'!T$6-'Council Entry'!T$5)),1))),"No data"))</f>
        <v/>
      </c>
      <c r="U148" s="13">
        <f>IF('Council Entry'!U148="","",IFERROR(MAX(0,MIN(10,ROUND(IF('Council Entry'!U$7="Decrease Risk",10-10*((IF('Council Entry'!U$4="Logarithm",LN(0.001+IF(AND(ISNUMBER('Council Entry'!U$8),ISNUMBER('Council Entry'!U$9)),MAX(MIN('Council Entry'!U148,'Council Entry'!U$9),'Council Entry'!U$8),'Council Entry'!U148)),IF('Council Entry'!U$4="Exponential",EXP(IF(AND(ISNUMBER('Council Entry'!U$8),ISNUMBER('Council Entry'!U$9)),MAX(MIN('Council Entry'!U148,'Council Entry'!U$9),'Council Entry'!U$8),'Council Entry'!U148)),IF(AND(ISNUMBER('Council Entry'!U$8),ISNUMBER('Council Entry'!U$9)),MAX(MIN('Council Entry'!U148,'Council Entry'!U$9),'Council Entry'!U$8),'Council Entry'!U148))))-'Council Entry'!U$5)/('Council Entry'!U$6-'Council Entry'!U$5),10*((IF('Council Entry'!U$4="Logarithm",LN(0.001+IF(AND(ISNUMBER('Council Entry'!U$8),ISNUMBER('Council Entry'!U$9)),MAX(MIN('Council Entry'!U148,'Council Entry'!U$9),'Council Entry'!U$8),'Council Entry'!U148)),IF('Council Entry'!U$4="Exponential",EXP(IF(AND(ISNUMBER('Council Entry'!U$8),ISNUMBER('Council Entry'!U$9)),MAX(MIN('Council Entry'!U148,'Council Entry'!U$9),'Council Entry'!U$8),'Council Entry'!U148)),IF(AND(ISNUMBER('Council Entry'!U$8),ISNUMBER('Council Entry'!U$9)),MAX(MIN('Council Entry'!U148,'Council Entry'!U$9),'Council Entry'!U$8),'Council Entry'!U148))))-'Council Entry'!U$5)/('Council Entry'!U$6-'Council Entry'!U$5)),1))),"No data"))</f>
        <v/>
      </c>
      <c r="V148" s="13">
        <f>IF('Council Entry'!V148="","",IFERROR(MAX(0,MIN(10,ROUND(IF('Council Entry'!V$7="Decrease Risk",10-10*((IF('Council Entry'!V$4="Logarithm",LN(0.001+IF(AND(ISNUMBER('Council Entry'!V$8),ISNUMBER('Council Entry'!V$9)),MAX(MIN('Council Entry'!V148,'Council Entry'!V$9),'Council Entry'!V$8),'Council Entry'!V148)),IF('Council Entry'!V$4="Exponential",EXP(IF(AND(ISNUMBER('Council Entry'!V$8),ISNUMBER('Council Entry'!V$9)),MAX(MIN('Council Entry'!V148,'Council Entry'!V$9),'Council Entry'!V$8),'Council Entry'!V148)),IF(AND(ISNUMBER('Council Entry'!V$8),ISNUMBER('Council Entry'!V$9)),MAX(MIN('Council Entry'!V148,'Council Entry'!V$9),'Council Entry'!V$8),'Council Entry'!V148))))-'Council Entry'!V$5)/('Council Entry'!V$6-'Council Entry'!V$5),10*((IF('Council Entry'!V$4="Logarithm",LN(0.001+IF(AND(ISNUMBER('Council Entry'!V$8),ISNUMBER('Council Entry'!V$9)),MAX(MIN('Council Entry'!V148,'Council Entry'!V$9),'Council Entry'!V$8),'Council Entry'!V148)),IF('Council Entry'!V$4="Exponential",EXP(IF(AND(ISNUMBER('Council Entry'!V$8),ISNUMBER('Council Entry'!V$9)),MAX(MIN('Council Entry'!V148,'Council Entry'!V$9),'Council Entry'!V$8),'Council Entry'!V148)),IF(AND(ISNUMBER('Council Entry'!V$8),ISNUMBER('Council Entry'!V$9)),MAX(MIN('Council Entry'!V148,'Council Entry'!V$9),'Council Entry'!V$8),'Council Entry'!V148))))-'Council Entry'!V$5)/('Council Entry'!V$6-'Council Entry'!V$5)),1))),"No data"))</f>
        <v/>
      </c>
      <c r="W148" s="13">
        <f>IF('Council Entry'!W148="","",IFERROR(MAX(0,MIN(10,ROUND(IF('Council Entry'!W$7="Decrease Risk",10-10*((IF('Council Entry'!W$4="Logarithm",LN(0.001+IF(AND(ISNUMBER('Council Entry'!W$8),ISNUMBER('Council Entry'!W$9)),MAX(MIN('Council Entry'!W148,'Council Entry'!W$9),'Council Entry'!W$8),'Council Entry'!W148)),IF('Council Entry'!W$4="Exponential",EXP(IF(AND(ISNUMBER('Council Entry'!W$8),ISNUMBER('Council Entry'!W$9)),MAX(MIN('Council Entry'!W148,'Council Entry'!W$9),'Council Entry'!W$8),'Council Entry'!W148)),IF(AND(ISNUMBER('Council Entry'!W$8),ISNUMBER('Council Entry'!W$9)),MAX(MIN('Council Entry'!W148,'Council Entry'!W$9),'Council Entry'!W$8),'Council Entry'!W148))))-'Council Entry'!W$5)/('Council Entry'!W$6-'Council Entry'!W$5),10*((IF('Council Entry'!W$4="Logarithm",LN(0.001+IF(AND(ISNUMBER('Council Entry'!W$8),ISNUMBER('Council Entry'!W$9)),MAX(MIN('Council Entry'!W148,'Council Entry'!W$9),'Council Entry'!W$8),'Council Entry'!W148)),IF('Council Entry'!W$4="Exponential",EXP(IF(AND(ISNUMBER('Council Entry'!W$8),ISNUMBER('Council Entry'!W$9)),MAX(MIN('Council Entry'!W148,'Council Entry'!W$9),'Council Entry'!W$8),'Council Entry'!W148)),IF(AND(ISNUMBER('Council Entry'!W$8),ISNUMBER('Council Entry'!W$9)),MAX(MIN('Council Entry'!W148,'Council Entry'!W$9),'Council Entry'!W$8),'Council Entry'!W148))))-'Council Entry'!W$5)/('Council Entry'!W$6-'Council Entry'!W$5)),1))),"No data"))</f>
        <v/>
      </c>
      <c r="X148" s="13">
        <f>IF('Council Entry'!X148="","",IFERROR(MAX(0,MIN(10,ROUND(IF('Council Entry'!X$7="Decrease Risk",10-10*((IF('Council Entry'!X$4="Logarithm",LN(0.001+IF(AND(ISNUMBER('Council Entry'!X$8),ISNUMBER('Council Entry'!X$9)),MAX(MIN('Council Entry'!X148,'Council Entry'!X$9),'Council Entry'!X$8),'Council Entry'!X148)),IF('Council Entry'!X$4="Exponential",EXP(IF(AND(ISNUMBER('Council Entry'!X$8),ISNUMBER('Council Entry'!X$9)),MAX(MIN('Council Entry'!X148,'Council Entry'!X$9),'Council Entry'!X$8),'Council Entry'!X148)),IF(AND(ISNUMBER('Council Entry'!X$8),ISNUMBER('Council Entry'!X$9)),MAX(MIN('Council Entry'!X148,'Council Entry'!X$9),'Council Entry'!X$8),'Council Entry'!X148))))-'Council Entry'!X$5)/('Council Entry'!X$6-'Council Entry'!X$5),10*((IF('Council Entry'!X$4="Logarithm",LN(0.001+IF(AND(ISNUMBER('Council Entry'!X$8),ISNUMBER('Council Entry'!X$9)),MAX(MIN('Council Entry'!X148,'Council Entry'!X$9),'Council Entry'!X$8),'Council Entry'!X148)),IF('Council Entry'!X$4="Exponential",EXP(IF(AND(ISNUMBER('Council Entry'!X$8),ISNUMBER('Council Entry'!X$9)),MAX(MIN('Council Entry'!X148,'Council Entry'!X$9),'Council Entry'!X$8),'Council Entry'!X148)),IF(AND(ISNUMBER('Council Entry'!X$8),ISNUMBER('Council Entry'!X$9)),MAX(MIN('Council Entry'!X148,'Council Entry'!X$9),'Council Entry'!X$8),'Council Entry'!X148))))-'Council Entry'!X$5)/('Council Entry'!X$6-'Council Entry'!X$5)),1))),"No data"))</f>
        <v/>
      </c>
      <c r="Y148" s="13">
        <f>IF('Council Entry'!Y148="","",IFERROR(MAX(0,MIN(10,ROUND(IF('Council Entry'!Y$7="Decrease Risk",10-10*((IF('Council Entry'!Y$4="Logarithm",LN(0.001+IF(AND(ISNUMBER('Council Entry'!Y$8),ISNUMBER('Council Entry'!Y$9)),MAX(MIN('Council Entry'!Y148,'Council Entry'!Y$9),'Council Entry'!Y$8),'Council Entry'!Y148)),IF('Council Entry'!Y$4="Exponential",EXP(IF(AND(ISNUMBER('Council Entry'!Y$8),ISNUMBER('Council Entry'!Y$9)),MAX(MIN('Council Entry'!Y148,'Council Entry'!Y$9),'Council Entry'!Y$8),'Council Entry'!Y148)),IF(AND(ISNUMBER('Council Entry'!Y$8),ISNUMBER('Council Entry'!Y$9)),MAX(MIN('Council Entry'!Y148,'Council Entry'!Y$9),'Council Entry'!Y$8),'Council Entry'!Y148))))-'Council Entry'!Y$5)/('Council Entry'!Y$6-'Council Entry'!Y$5),10*((IF('Council Entry'!Y$4="Logarithm",LN(0.001+IF(AND(ISNUMBER('Council Entry'!Y$8),ISNUMBER('Council Entry'!Y$9)),MAX(MIN('Council Entry'!Y148,'Council Entry'!Y$9),'Council Entry'!Y$8),'Council Entry'!Y148)),IF('Council Entry'!Y$4="Exponential",EXP(IF(AND(ISNUMBER('Council Entry'!Y$8),ISNUMBER('Council Entry'!Y$9)),MAX(MIN('Council Entry'!Y148,'Council Entry'!Y$9),'Council Entry'!Y$8),'Council Entry'!Y148)),IF(AND(ISNUMBER('Council Entry'!Y$8),ISNUMBER('Council Entry'!Y$9)),MAX(MIN('Council Entry'!Y148,'Council Entry'!Y$9),'Council Entry'!Y$8),'Council Entry'!Y148))))-'Council Entry'!Y$5)/('Council Entry'!Y$6-'Council Entry'!Y$5)),1))),"No data"))</f>
        <v/>
      </c>
      <c r="Z148" s="13">
        <f>IF('Council Entry'!Z148="","",IFERROR(MAX(0,MIN(10,ROUND(IF('Council Entry'!Z$7="Decrease Risk",10-10*((IF('Council Entry'!Z$4="Logarithm",LN(0.001+IF(AND(ISNUMBER('Council Entry'!Z$8),ISNUMBER('Council Entry'!Z$9)),MAX(MIN('Council Entry'!Z148,'Council Entry'!Z$9),'Council Entry'!Z$8),'Council Entry'!Z148)),IF('Council Entry'!Z$4="Exponential",EXP(IF(AND(ISNUMBER('Council Entry'!Z$8),ISNUMBER('Council Entry'!Z$9)),MAX(MIN('Council Entry'!Z148,'Council Entry'!Z$9),'Council Entry'!Z$8),'Council Entry'!Z148)),IF(AND(ISNUMBER('Council Entry'!Z$8),ISNUMBER('Council Entry'!Z$9)),MAX(MIN('Council Entry'!Z148,'Council Entry'!Z$9),'Council Entry'!Z$8),'Council Entry'!Z148))))-'Council Entry'!Z$5)/('Council Entry'!Z$6-'Council Entry'!Z$5),10*((IF('Council Entry'!Z$4="Logarithm",LN(0.001+IF(AND(ISNUMBER('Council Entry'!Z$8),ISNUMBER('Council Entry'!Z$9)),MAX(MIN('Council Entry'!Z148,'Council Entry'!Z$9),'Council Entry'!Z$8),'Council Entry'!Z148)),IF('Council Entry'!Z$4="Exponential",EXP(IF(AND(ISNUMBER('Council Entry'!Z$8),ISNUMBER('Council Entry'!Z$9)),MAX(MIN('Council Entry'!Z148,'Council Entry'!Z$9),'Council Entry'!Z$8),'Council Entry'!Z148)),IF(AND(ISNUMBER('Council Entry'!Z$8),ISNUMBER('Council Entry'!Z$9)),MAX(MIN('Council Entry'!Z148,'Council Entry'!Z$9),'Council Entry'!Z$8),'Council Entry'!Z148))))-'Council Entry'!Z$5)/('Council Entry'!Z$6-'Council Entry'!Z$5)),1))),"No data"))</f>
        <v/>
      </c>
      <c r="AA148" s="13">
        <f>IF('Council Entry'!AA148="","",IFERROR(MAX(0,MIN(10,ROUND(IF('Council Entry'!AA$7="Decrease Risk",10-10*((IF('Council Entry'!AA$4="Logarithm",LN(0.001+IF(AND(ISNUMBER('Council Entry'!AA$8),ISNUMBER('Council Entry'!AA$9)),MAX(MIN('Council Entry'!AA148,'Council Entry'!AA$9),'Council Entry'!AA$8),'Council Entry'!AA148)),IF('Council Entry'!AA$4="Exponential",EXP(IF(AND(ISNUMBER('Council Entry'!AA$8),ISNUMBER('Council Entry'!AA$9)),MAX(MIN('Council Entry'!AA148,'Council Entry'!AA$9),'Council Entry'!AA$8),'Council Entry'!AA148)),IF(AND(ISNUMBER('Council Entry'!AA$8),ISNUMBER('Council Entry'!AA$9)),MAX(MIN('Council Entry'!AA148,'Council Entry'!AA$9),'Council Entry'!AA$8),'Council Entry'!AA148))))-'Council Entry'!AA$5)/('Council Entry'!AA$6-'Council Entry'!AA$5),10*((IF('Council Entry'!AA$4="Logarithm",LN(0.001+IF(AND(ISNUMBER('Council Entry'!AA$8),ISNUMBER('Council Entry'!AA$9)),MAX(MIN('Council Entry'!AA148,'Council Entry'!AA$9),'Council Entry'!AA$8),'Council Entry'!AA148)),IF('Council Entry'!AA$4="Exponential",EXP(IF(AND(ISNUMBER('Council Entry'!AA$8),ISNUMBER('Council Entry'!AA$9)),MAX(MIN('Council Entry'!AA148,'Council Entry'!AA$9),'Council Entry'!AA$8),'Council Entry'!AA148)),IF(AND(ISNUMBER('Council Entry'!AA$8),ISNUMBER('Council Entry'!AA$9)),MAX(MIN('Council Entry'!AA148,'Council Entry'!AA$9),'Council Entry'!AA$8),'Council Entry'!AA148))))-'Council Entry'!AA$5)/('Council Entry'!AA$6-'Council Entry'!AA$5)),1))),"No data"))</f>
        <v/>
      </c>
      <c r="AB148" s="13">
        <f>IF('Council Entry'!AB148="","",IFERROR(MAX(0,MIN(10,ROUND(IF('Council Entry'!AB$7="Decrease Risk",10-10*((IF('Council Entry'!AB$4="Logarithm",LN(0.001+IF(AND(ISNUMBER('Council Entry'!AB$8),ISNUMBER('Council Entry'!AB$9)),MAX(MIN('Council Entry'!AB148,'Council Entry'!AB$9),'Council Entry'!AB$8),'Council Entry'!AB148)),IF('Council Entry'!AB$4="Exponential",EXP(IF(AND(ISNUMBER('Council Entry'!AB$8),ISNUMBER('Council Entry'!AB$9)),MAX(MIN('Council Entry'!AB148,'Council Entry'!AB$9),'Council Entry'!AB$8),'Council Entry'!AB148)),IF(AND(ISNUMBER('Council Entry'!AB$8),ISNUMBER('Council Entry'!AB$9)),MAX(MIN('Council Entry'!AB148,'Council Entry'!AB$9),'Council Entry'!AB$8),'Council Entry'!AB148))))-'Council Entry'!AB$5)/('Council Entry'!AB$6-'Council Entry'!AB$5),10*((IF('Council Entry'!AB$4="Logarithm",LN(0.001+IF(AND(ISNUMBER('Council Entry'!AB$8),ISNUMBER('Council Entry'!AB$9)),MAX(MIN('Council Entry'!AB148,'Council Entry'!AB$9),'Council Entry'!AB$8),'Council Entry'!AB148)),IF('Council Entry'!AB$4="Exponential",EXP(IF(AND(ISNUMBER('Council Entry'!AB$8),ISNUMBER('Council Entry'!AB$9)),MAX(MIN('Council Entry'!AB148,'Council Entry'!AB$9),'Council Entry'!AB$8),'Council Entry'!AB148)),IF(AND(ISNUMBER('Council Entry'!AB$8),ISNUMBER('Council Entry'!AB$9)),MAX(MIN('Council Entry'!AB148,'Council Entry'!AB$9),'Council Entry'!AB$8),'Council Entry'!AB148))))-'Council Entry'!AB$5)/('Council Entry'!AB$6-'Council Entry'!AB$5)),1))),"No data"))</f>
        <v/>
      </c>
      <c r="AC148" s="13">
        <f>IF('Council Entry'!AC148="","",IFERROR(MAX(0,MIN(10,ROUND(IF('Council Entry'!AC$7="Decrease Risk",10-10*((IF('Council Entry'!AC$4="Logarithm",LN(0.001+IF(AND(ISNUMBER('Council Entry'!AC$8),ISNUMBER('Council Entry'!AC$9)),MAX(MIN('Council Entry'!AC148,'Council Entry'!AC$9),'Council Entry'!AC$8),'Council Entry'!AC148)),IF('Council Entry'!AC$4="Exponential",EXP(IF(AND(ISNUMBER('Council Entry'!AC$8),ISNUMBER('Council Entry'!AC$9)),MAX(MIN('Council Entry'!AC148,'Council Entry'!AC$9),'Council Entry'!AC$8),'Council Entry'!AC148)),IF(AND(ISNUMBER('Council Entry'!AC$8),ISNUMBER('Council Entry'!AC$9)),MAX(MIN('Council Entry'!AC148,'Council Entry'!AC$9),'Council Entry'!AC$8),'Council Entry'!AC148))))-'Council Entry'!AC$5)/('Council Entry'!AC$6-'Council Entry'!AC$5),10*((IF('Council Entry'!AC$4="Logarithm",LN(0.001+IF(AND(ISNUMBER('Council Entry'!AC$8),ISNUMBER('Council Entry'!AC$9)),MAX(MIN('Council Entry'!AC148,'Council Entry'!AC$9),'Council Entry'!AC$8),'Council Entry'!AC148)),IF('Council Entry'!AC$4="Exponential",EXP(IF(AND(ISNUMBER('Council Entry'!AC$8),ISNUMBER('Council Entry'!AC$9)),MAX(MIN('Council Entry'!AC148,'Council Entry'!AC$9),'Council Entry'!AC$8),'Council Entry'!AC148)),IF(AND(ISNUMBER('Council Entry'!AC$8),ISNUMBER('Council Entry'!AC$9)),MAX(MIN('Council Entry'!AC148,'Council Entry'!AC$9),'Council Entry'!AC$8),'Council Entry'!AC148))))-'Council Entry'!AC$5)/('Council Entry'!AC$6-'Council Entry'!AC$5)),1))),"No data"))</f>
        <v/>
      </c>
      <c r="AD148" s="13">
        <f>IF('Council Entry'!AD148="","",IFERROR(MAX(0,MIN(10,ROUND(IF('Council Entry'!AD$7="Decrease Risk",10-10*((IF('Council Entry'!AD$4="Logarithm",LN(0.001+IF(AND(ISNUMBER('Council Entry'!AD$8),ISNUMBER('Council Entry'!AD$9)),MAX(MIN('Council Entry'!AD148,'Council Entry'!AD$9),'Council Entry'!AD$8),'Council Entry'!AD148)),IF('Council Entry'!AD$4="Exponential",EXP(IF(AND(ISNUMBER('Council Entry'!AD$8),ISNUMBER('Council Entry'!AD$9)),MAX(MIN('Council Entry'!AD148,'Council Entry'!AD$9),'Council Entry'!AD$8),'Council Entry'!AD148)),IF(AND(ISNUMBER('Council Entry'!AD$8),ISNUMBER('Council Entry'!AD$9)),MAX(MIN('Council Entry'!AD148,'Council Entry'!AD$9),'Council Entry'!AD$8),'Council Entry'!AD148))))-'Council Entry'!AD$5)/('Council Entry'!AD$6-'Council Entry'!AD$5),10*((IF('Council Entry'!AD$4="Logarithm",LN(0.001+IF(AND(ISNUMBER('Council Entry'!AD$8),ISNUMBER('Council Entry'!AD$9)),MAX(MIN('Council Entry'!AD148,'Council Entry'!AD$9),'Council Entry'!AD$8),'Council Entry'!AD148)),IF('Council Entry'!AD$4="Exponential",EXP(IF(AND(ISNUMBER('Council Entry'!AD$8),ISNUMBER('Council Entry'!AD$9)),MAX(MIN('Council Entry'!AD148,'Council Entry'!AD$9),'Council Entry'!AD$8),'Council Entry'!AD148)),IF(AND(ISNUMBER('Council Entry'!AD$8),ISNUMBER('Council Entry'!AD$9)),MAX(MIN('Council Entry'!AD148,'Council Entry'!AD$9),'Council Entry'!AD$8),'Council Entry'!AD148))))-'Council Entry'!AD$5)/('Council Entry'!AD$6-'Council Entry'!AD$5)),1))),"No data"))</f>
        <v/>
      </c>
      <c r="AE148" s="13">
        <f>IF('Council Entry'!AE148="","",IFERROR(MAX(0,MIN(10,ROUND(IF('Council Entry'!AE$7="Decrease Risk",10-10*((IF('Council Entry'!AE$4="Logarithm",LN(0.001+IF(AND(ISNUMBER('Council Entry'!AE$8),ISNUMBER('Council Entry'!AE$9)),MAX(MIN('Council Entry'!AE148,'Council Entry'!AE$9),'Council Entry'!AE$8),'Council Entry'!AE148)),IF('Council Entry'!AE$4="Exponential",EXP(IF(AND(ISNUMBER('Council Entry'!AE$8),ISNUMBER('Council Entry'!AE$9)),MAX(MIN('Council Entry'!AE148,'Council Entry'!AE$9),'Council Entry'!AE$8),'Council Entry'!AE148)),IF(AND(ISNUMBER('Council Entry'!AE$8),ISNUMBER('Council Entry'!AE$9)),MAX(MIN('Council Entry'!AE148,'Council Entry'!AE$9),'Council Entry'!AE$8),'Council Entry'!AE148))))-'Council Entry'!AE$5)/('Council Entry'!AE$6-'Council Entry'!AE$5),10*((IF('Council Entry'!AE$4="Logarithm",LN(0.001+IF(AND(ISNUMBER('Council Entry'!AE$8),ISNUMBER('Council Entry'!AE$9)),MAX(MIN('Council Entry'!AE148,'Council Entry'!AE$9),'Council Entry'!AE$8),'Council Entry'!AE148)),IF('Council Entry'!AE$4="Exponential",EXP(IF(AND(ISNUMBER('Council Entry'!AE$8),ISNUMBER('Council Entry'!AE$9)),MAX(MIN('Council Entry'!AE148,'Council Entry'!AE$9),'Council Entry'!AE$8),'Council Entry'!AE148)),IF(AND(ISNUMBER('Council Entry'!AE$8),ISNUMBER('Council Entry'!AE$9)),MAX(MIN('Council Entry'!AE148,'Council Entry'!AE$9),'Council Entry'!AE$8),'Council Entry'!AE148))))-'Council Entry'!AE$5)/('Council Entry'!AE$6-'Council Entry'!AE$5)),1))),"No data"))</f>
        <v/>
      </c>
      <c r="AF148" s="13">
        <f>IF('Council Entry'!AF148="","",IFERROR(MAX(0,MIN(10,ROUND(IF('Council Entry'!AF$7="Decrease Risk",10-10*((IF('Council Entry'!AF$4="Logarithm",LN(0.001+IF(AND(ISNUMBER('Council Entry'!AF$8),ISNUMBER('Council Entry'!AF$9)),MAX(MIN('Council Entry'!AF148,'Council Entry'!AF$9),'Council Entry'!AF$8),'Council Entry'!AF148)),IF('Council Entry'!AF$4="Exponential",EXP(IF(AND(ISNUMBER('Council Entry'!AF$8),ISNUMBER('Council Entry'!AF$9)),MAX(MIN('Council Entry'!AF148,'Council Entry'!AF$9),'Council Entry'!AF$8),'Council Entry'!AF148)),IF(AND(ISNUMBER('Council Entry'!AF$8),ISNUMBER('Council Entry'!AF$9)),MAX(MIN('Council Entry'!AF148,'Council Entry'!AF$9),'Council Entry'!AF$8),'Council Entry'!AF148))))-'Council Entry'!AF$5)/('Council Entry'!AF$6-'Council Entry'!AF$5),10*((IF('Council Entry'!AF$4="Logarithm",LN(0.001+IF(AND(ISNUMBER('Council Entry'!AF$8),ISNUMBER('Council Entry'!AF$9)),MAX(MIN('Council Entry'!AF148,'Council Entry'!AF$9),'Council Entry'!AF$8),'Council Entry'!AF148)),IF('Council Entry'!AF$4="Exponential",EXP(IF(AND(ISNUMBER('Council Entry'!AF$8),ISNUMBER('Council Entry'!AF$9)),MAX(MIN('Council Entry'!AF148,'Council Entry'!AF$9),'Council Entry'!AF$8),'Council Entry'!AF148)),IF(AND(ISNUMBER('Council Entry'!AF$8),ISNUMBER('Council Entry'!AF$9)),MAX(MIN('Council Entry'!AF148,'Council Entry'!AF$9),'Council Entry'!AF$8),'Council Entry'!AF148))))-'Council Entry'!AF$5)/('Council Entry'!AF$6-'Council Entry'!AF$5)),1))),"No data"))</f>
        <v/>
      </c>
      <c r="AG148" s="13">
        <f>IF('Council Entry'!AG148="","",IFERROR(MAX(0,MIN(10,ROUND(IF('Council Entry'!AG$7="Decrease Risk",10-10*((IF('Council Entry'!AG$4="Logarithm",LN(0.001+IF(AND(ISNUMBER('Council Entry'!AG$8),ISNUMBER('Council Entry'!AG$9)),MAX(MIN('Council Entry'!AG148,'Council Entry'!AG$9),'Council Entry'!AG$8),'Council Entry'!AG148)),IF('Council Entry'!AG$4="Exponential",EXP(IF(AND(ISNUMBER('Council Entry'!AG$8),ISNUMBER('Council Entry'!AG$9)),MAX(MIN('Council Entry'!AG148,'Council Entry'!AG$9),'Council Entry'!AG$8),'Council Entry'!AG148)),IF(AND(ISNUMBER('Council Entry'!AG$8),ISNUMBER('Council Entry'!AG$9)),MAX(MIN('Council Entry'!AG148,'Council Entry'!AG$9),'Council Entry'!AG$8),'Council Entry'!AG148))))-'Council Entry'!AG$5)/('Council Entry'!AG$6-'Council Entry'!AG$5),10*((IF('Council Entry'!AG$4="Logarithm",LN(0.001+IF(AND(ISNUMBER('Council Entry'!AG$8),ISNUMBER('Council Entry'!AG$9)),MAX(MIN('Council Entry'!AG148,'Council Entry'!AG$9),'Council Entry'!AG$8),'Council Entry'!AG148)),IF('Council Entry'!AG$4="Exponential",EXP(IF(AND(ISNUMBER('Council Entry'!AG$8),ISNUMBER('Council Entry'!AG$9)),MAX(MIN('Council Entry'!AG148,'Council Entry'!AG$9),'Council Entry'!AG$8),'Council Entry'!AG148)),IF(AND(ISNUMBER('Council Entry'!AG$8),ISNUMBER('Council Entry'!AG$9)),MAX(MIN('Council Entry'!AG148,'Council Entry'!AG$9),'Council Entry'!AG$8),'Council Entry'!AG148))))-'Council Entry'!AG$5)/('Council Entry'!AG$6-'Council Entry'!AG$5)),1))),"No data"))</f>
        <v/>
      </c>
      <c r="AH148" s="13">
        <f>IF('Council Entry'!AH148="","",IFERROR(MAX(0,MIN(10,ROUND(IF('Council Entry'!AH$7="Decrease Risk",10-10*((IF('Council Entry'!AH$4="Logarithm",LN(0.001+IF(AND(ISNUMBER('Council Entry'!AH$8),ISNUMBER('Council Entry'!AH$9)),MAX(MIN('Council Entry'!AH148,'Council Entry'!AH$9),'Council Entry'!AH$8),'Council Entry'!AH148)),IF('Council Entry'!AH$4="Exponential",EXP(IF(AND(ISNUMBER('Council Entry'!AH$8),ISNUMBER('Council Entry'!AH$9)),MAX(MIN('Council Entry'!AH148,'Council Entry'!AH$9),'Council Entry'!AH$8),'Council Entry'!AH148)),IF(AND(ISNUMBER('Council Entry'!AH$8),ISNUMBER('Council Entry'!AH$9)),MAX(MIN('Council Entry'!AH148,'Council Entry'!AH$9),'Council Entry'!AH$8),'Council Entry'!AH148))))-'Council Entry'!AH$5)/('Council Entry'!AH$6-'Council Entry'!AH$5),10*((IF('Council Entry'!AH$4="Logarithm",LN(0.001+IF(AND(ISNUMBER('Council Entry'!AH$8),ISNUMBER('Council Entry'!AH$9)),MAX(MIN('Council Entry'!AH148,'Council Entry'!AH$9),'Council Entry'!AH$8),'Council Entry'!AH148)),IF('Council Entry'!AH$4="Exponential",EXP(IF(AND(ISNUMBER('Council Entry'!AH$8),ISNUMBER('Council Entry'!AH$9)),MAX(MIN('Council Entry'!AH148,'Council Entry'!AH$9),'Council Entry'!AH$8),'Council Entry'!AH148)),IF(AND(ISNUMBER('Council Entry'!AH$8),ISNUMBER('Council Entry'!AH$9)),MAX(MIN('Council Entry'!AH148,'Council Entry'!AH$9),'Council Entry'!AH$8),'Council Entry'!AH148))))-'Council Entry'!AH$5)/('Council Entry'!AH$6-'Council Entry'!AH$5)),1))),"No data"))</f>
        <v/>
      </c>
      <c r="AI148" s="13">
        <f>IF('Council Entry'!AI148="","",IFERROR(MAX(0,MIN(10,ROUND(IF('Council Entry'!AI$7="Decrease Risk",10-10*((IF('Council Entry'!AI$4="Logarithm",LN(0.001+IF(AND(ISNUMBER('Council Entry'!AI$8),ISNUMBER('Council Entry'!AI$9)),MAX(MIN('Council Entry'!AI148,'Council Entry'!AI$9),'Council Entry'!AI$8),'Council Entry'!AI148)),IF('Council Entry'!AI$4="Exponential",EXP(IF(AND(ISNUMBER('Council Entry'!AI$8),ISNUMBER('Council Entry'!AI$9)),MAX(MIN('Council Entry'!AI148,'Council Entry'!AI$9),'Council Entry'!AI$8),'Council Entry'!AI148)),IF(AND(ISNUMBER('Council Entry'!AI$8),ISNUMBER('Council Entry'!AI$9)),MAX(MIN('Council Entry'!AI148,'Council Entry'!AI$9),'Council Entry'!AI$8),'Council Entry'!AI148))))-'Council Entry'!AI$5)/('Council Entry'!AI$6-'Council Entry'!AI$5),10*((IF('Council Entry'!AI$4="Logarithm",LN(0.001+IF(AND(ISNUMBER('Council Entry'!AI$8),ISNUMBER('Council Entry'!AI$9)),MAX(MIN('Council Entry'!AI148,'Council Entry'!AI$9),'Council Entry'!AI$8),'Council Entry'!AI148)),IF('Council Entry'!AI$4="Exponential",EXP(IF(AND(ISNUMBER('Council Entry'!AI$8),ISNUMBER('Council Entry'!AI$9)),MAX(MIN('Council Entry'!AI148,'Council Entry'!AI$9),'Council Entry'!AI$8),'Council Entry'!AI148)),IF(AND(ISNUMBER('Council Entry'!AI$8),ISNUMBER('Council Entry'!AI$9)),MAX(MIN('Council Entry'!AI148,'Council Entry'!AI$9),'Council Entry'!AI$8),'Council Entry'!AI148))))-'Council Entry'!AI$5)/('Council Entry'!AI$6-'Council Entry'!AI$5)),1))),"No data"))</f>
        <v/>
      </c>
      <c r="AJ148" s="13">
        <f>IF('Council Entry'!AJ148="","",IFERROR(MAX(0,MIN(10,ROUND(IF('Council Entry'!AJ$7="Decrease Risk",10-10*((IF('Council Entry'!AJ$4="Logarithm",LN(0.001+IF(AND(ISNUMBER('Council Entry'!AJ$8),ISNUMBER('Council Entry'!AJ$9)),MAX(MIN('Council Entry'!AJ148,'Council Entry'!AJ$9),'Council Entry'!AJ$8),'Council Entry'!AJ148)),IF('Council Entry'!AJ$4="Exponential",EXP(IF(AND(ISNUMBER('Council Entry'!AJ$8),ISNUMBER('Council Entry'!AJ$9)),MAX(MIN('Council Entry'!AJ148,'Council Entry'!AJ$9),'Council Entry'!AJ$8),'Council Entry'!AJ148)),IF(AND(ISNUMBER('Council Entry'!AJ$8),ISNUMBER('Council Entry'!AJ$9)),MAX(MIN('Council Entry'!AJ148,'Council Entry'!AJ$9),'Council Entry'!AJ$8),'Council Entry'!AJ148))))-'Council Entry'!AJ$5)/('Council Entry'!AJ$6-'Council Entry'!AJ$5),10*((IF('Council Entry'!AJ$4="Logarithm",LN(0.001+IF(AND(ISNUMBER('Council Entry'!AJ$8),ISNUMBER('Council Entry'!AJ$9)),MAX(MIN('Council Entry'!AJ148,'Council Entry'!AJ$9),'Council Entry'!AJ$8),'Council Entry'!AJ148)),IF('Council Entry'!AJ$4="Exponential",EXP(IF(AND(ISNUMBER('Council Entry'!AJ$8),ISNUMBER('Council Entry'!AJ$9)),MAX(MIN('Council Entry'!AJ148,'Council Entry'!AJ$9),'Council Entry'!AJ$8),'Council Entry'!AJ148)),IF(AND(ISNUMBER('Council Entry'!AJ$8),ISNUMBER('Council Entry'!AJ$9)),MAX(MIN('Council Entry'!AJ148,'Council Entry'!AJ$9),'Council Entry'!AJ$8),'Council Entry'!AJ148))))-'Council Entry'!AJ$5)/('Council Entry'!AJ$6-'Council Entry'!AJ$5)),1))),"No data"))</f>
        <v/>
      </c>
      <c r="AK148" s="13">
        <f>IF('Council Entry'!AK148="","",IFERROR(MAX(0,MIN(10,ROUND(IF('Council Entry'!AK$7="Decrease Risk",10-10*((IF('Council Entry'!AK$4="Logarithm",LN(0.001+IF(AND(ISNUMBER('Council Entry'!AK$8),ISNUMBER('Council Entry'!AK$9)),MAX(MIN('Council Entry'!AK148,'Council Entry'!AK$9),'Council Entry'!AK$8),'Council Entry'!AK148)),IF('Council Entry'!AK$4="Exponential",EXP(IF(AND(ISNUMBER('Council Entry'!AK$8),ISNUMBER('Council Entry'!AK$9)),MAX(MIN('Council Entry'!AK148,'Council Entry'!AK$9),'Council Entry'!AK$8),'Council Entry'!AK148)),IF(AND(ISNUMBER('Council Entry'!AK$8),ISNUMBER('Council Entry'!AK$9)),MAX(MIN('Council Entry'!AK148,'Council Entry'!AK$9),'Council Entry'!AK$8),'Council Entry'!AK148))))-'Council Entry'!AK$5)/('Council Entry'!AK$6-'Council Entry'!AK$5),10*((IF('Council Entry'!AK$4="Logarithm",LN(0.001+IF(AND(ISNUMBER('Council Entry'!AK$8),ISNUMBER('Council Entry'!AK$9)),MAX(MIN('Council Entry'!AK148,'Council Entry'!AK$9),'Council Entry'!AK$8),'Council Entry'!AK148)),IF('Council Entry'!AK$4="Exponential",EXP(IF(AND(ISNUMBER('Council Entry'!AK$8),ISNUMBER('Council Entry'!AK$9)),MAX(MIN('Council Entry'!AK148,'Council Entry'!AK$9),'Council Entry'!AK$8),'Council Entry'!AK148)),IF(AND(ISNUMBER('Council Entry'!AK$8),ISNUMBER('Council Entry'!AK$9)),MAX(MIN('Council Entry'!AK148,'Council Entry'!AK$9),'Council Entry'!AK$8),'Council Entry'!AK148))))-'Council Entry'!AK$5)/('Council Entry'!AK$6-'Council Entry'!AK$5)),1))),"No data"))</f>
        <v/>
      </c>
      <c r="AL148" s="13">
        <f>IF('Council Entry'!AL148="","",IFERROR(MAX(0,MIN(10,ROUND(IF('Council Entry'!AL$7="Decrease Risk",10-10*((IF('Council Entry'!AL$4="Logarithm",LN(0.001+IF(AND(ISNUMBER('Council Entry'!AL$8),ISNUMBER('Council Entry'!AL$9)),MAX(MIN('Council Entry'!AL148,'Council Entry'!AL$9),'Council Entry'!AL$8),'Council Entry'!AL148)),IF('Council Entry'!AL$4="Exponential",EXP(IF(AND(ISNUMBER('Council Entry'!AL$8),ISNUMBER('Council Entry'!AL$9)),MAX(MIN('Council Entry'!AL148,'Council Entry'!AL$9),'Council Entry'!AL$8),'Council Entry'!AL148)),IF(AND(ISNUMBER('Council Entry'!AL$8),ISNUMBER('Council Entry'!AL$9)),MAX(MIN('Council Entry'!AL148,'Council Entry'!AL$9),'Council Entry'!AL$8),'Council Entry'!AL148))))-'Council Entry'!AL$5)/('Council Entry'!AL$6-'Council Entry'!AL$5),10*((IF('Council Entry'!AL$4="Logarithm",LN(0.001+IF(AND(ISNUMBER('Council Entry'!AL$8),ISNUMBER('Council Entry'!AL$9)),MAX(MIN('Council Entry'!AL148,'Council Entry'!AL$9),'Council Entry'!AL$8),'Council Entry'!AL148)),IF('Council Entry'!AL$4="Exponential",EXP(IF(AND(ISNUMBER('Council Entry'!AL$8),ISNUMBER('Council Entry'!AL$9)),MAX(MIN('Council Entry'!AL148,'Council Entry'!AL$9),'Council Entry'!AL$8),'Council Entry'!AL148)),IF(AND(ISNUMBER('Council Entry'!AL$8),ISNUMBER('Council Entry'!AL$9)),MAX(MIN('Council Entry'!AL148,'Council Entry'!AL$9),'Council Entry'!AL$8),'Council Entry'!AL148))))-'Council Entry'!AL$5)/('Council Entry'!AL$6-'Council Entry'!AL$5)),1))),"No data"))</f>
        <v/>
      </c>
      <c r="AM148" s="13">
        <f>IF('Council Entry'!AM148="","",IFERROR(MAX(0,MIN(10,ROUND(IF('Council Entry'!AM$7="Decrease Risk",10-10*((IF('Council Entry'!AM$4="Logarithm",LN(0.001+IF(AND(ISNUMBER('Council Entry'!AM$8),ISNUMBER('Council Entry'!AM$9)),MAX(MIN('Council Entry'!AM148,'Council Entry'!AM$9),'Council Entry'!AM$8),'Council Entry'!AM148)),IF('Council Entry'!AM$4="Exponential",EXP(IF(AND(ISNUMBER('Council Entry'!AM$8),ISNUMBER('Council Entry'!AM$9)),MAX(MIN('Council Entry'!AM148,'Council Entry'!AM$9),'Council Entry'!AM$8),'Council Entry'!AM148)),IF(AND(ISNUMBER('Council Entry'!AM$8),ISNUMBER('Council Entry'!AM$9)),MAX(MIN('Council Entry'!AM148,'Council Entry'!AM$9),'Council Entry'!AM$8),'Council Entry'!AM148))))-'Council Entry'!AM$5)/('Council Entry'!AM$6-'Council Entry'!AM$5),10*((IF('Council Entry'!AM$4="Logarithm",LN(0.001+IF(AND(ISNUMBER('Council Entry'!AM$8),ISNUMBER('Council Entry'!AM$9)),MAX(MIN('Council Entry'!AM148,'Council Entry'!AM$9),'Council Entry'!AM$8),'Council Entry'!AM148)),IF('Council Entry'!AM$4="Exponential",EXP(IF(AND(ISNUMBER('Council Entry'!AM$8),ISNUMBER('Council Entry'!AM$9)),MAX(MIN('Council Entry'!AM148,'Council Entry'!AM$9),'Council Entry'!AM$8),'Council Entry'!AM148)),IF(AND(ISNUMBER('Council Entry'!AM$8),ISNUMBER('Council Entry'!AM$9)),MAX(MIN('Council Entry'!AM148,'Council Entry'!AM$9),'Council Entry'!AM$8),'Council Entry'!AM148))))-'Council Entry'!AM$5)/('Council Entry'!AM$6-'Council Entry'!AM$5)),1))),"No data"))</f>
        <v/>
      </c>
      <c r="AN148" s="13">
        <f>IF('Council Entry'!AN148="","",IFERROR(MAX(0,MIN(10,ROUND(IF('Council Entry'!AN$7="Decrease Risk",10-10*((IF('Council Entry'!AN$4="Logarithm",LN(0.001+IF(AND(ISNUMBER('Council Entry'!AN$8),ISNUMBER('Council Entry'!AN$9)),MAX(MIN('Council Entry'!AN148,'Council Entry'!AN$9),'Council Entry'!AN$8),'Council Entry'!AN148)),IF('Council Entry'!AN$4="Exponential",EXP(IF(AND(ISNUMBER('Council Entry'!AN$8),ISNUMBER('Council Entry'!AN$9)),MAX(MIN('Council Entry'!AN148,'Council Entry'!AN$9),'Council Entry'!AN$8),'Council Entry'!AN148)),IF(AND(ISNUMBER('Council Entry'!AN$8),ISNUMBER('Council Entry'!AN$9)),MAX(MIN('Council Entry'!AN148,'Council Entry'!AN$9),'Council Entry'!AN$8),'Council Entry'!AN148))))-'Council Entry'!AN$5)/('Council Entry'!AN$6-'Council Entry'!AN$5),10*((IF('Council Entry'!AN$4="Logarithm",LN(0.001+IF(AND(ISNUMBER('Council Entry'!AN$8),ISNUMBER('Council Entry'!AN$9)),MAX(MIN('Council Entry'!AN148,'Council Entry'!AN$9),'Council Entry'!AN$8),'Council Entry'!AN148)),IF('Council Entry'!AN$4="Exponential",EXP(IF(AND(ISNUMBER('Council Entry'!AN$8),ISNUMBER('Council Entry'!AN$9)),MAX(MIN('Council Entry'!AN148,'Council Entry'!AN$9),'Council Entry'!AN$8),'Council Entry'!AN148)),IF(AND(ISNUMBER('Council Entry'!AN$8),ISNUMBER('Council Entry'!AN$9)),MAX(MIN('Council Entry'!AN148,'Council Entry'!AN$9),'Council Entry'!AN$8),'Council Entry'!AN148))))-'Council Entry'!AN$5)/('Council Entry'!AN$6-'Council Entry'!AN$5)),1))),"No data"))</f>
        <v/>
      </c>
      <c r="AO148" s="13">
        <f>IF('Council Entry'!AO148="","",IFERROR(MAX(0,MIN(10,ROUND(IF('Council Entry'!AO$7="Decrease Risk",10-10*((IF('Council Entry'!AO$4="Logarithm",LN(0.001+IF(AND(ISNUMBER('Council Entry'!AO$8),ISNUMBER('Council Entry'!AO$9)),MAX(MIN('Council Entry'!AO148,'Council Entry'!AO$9),'Council Entry'!AO$8),'Council Entry'!AO148)),IF('Council Entry'!AO$4="Exponential",EXP(IF(AND(ISNUMBER('Council Entry'!AO$8),ISNUMBER('Council Entry'!AO$9)),MAX(MIN('Council Entry'!AO148,'Council Entry'!AO$9),'Council Entry'!AO$8),'Council Entry'!AO148)),IF(AND(ISNUMBER('Council Entry'!AO$8),ISNUMBER('Council Entry'!AO$9)),MAX(MIN('Council Entry'!AO148,'Council Entry'!AO$9),'Council Entry'!AO$8),'Council Entry'!AO148))))-'Council Entry'!AO$5)/('Council Entry'!AO$6-'Council Entry'!AO$5),10*((IF('Council Entry'!AO$4="Logarithm",LN(0.001+IF(AND(ISNUMBER('Council Entry'!AO$8),ISNUMBER('Council Entry'!AO$9)),MAX(MIN('Council Entry'!AO148,'Council Entry'!AO$9),'Council Entry'!AO$8),'Council Entry'!AO148)),IF('Council Entry'!AO$4="Exponential",EXP(IF(AND(ISNUMBER('Council Entry'!AO$8),ISNUMBER('Council Entry'!AO$9)),MAX(MIN('Council Entry'!AO148,'Council Entry'!AO$9),'Council Entry'!AO$8),'Council Entry'!AO148)),IF(AND(ISNUMBER('Council Entry'!AO$8),ISNUMBER('Council Entry'!AO$9)),MAX(MIN('Council Entry'!AO148,'Council Entry'!AO$9),'Council Entry'!AO$8),'Council Entry'!AO148))))-'Council Entry'!AO$5)/('Council Entry'!AO$6-'Council Entry'!AO$5)),1))),"No data"))</f>
        <v/>
      </c>
      <c r="AP148" s="13">
        <f>IF('Council Entry'!AP148="","",IFERROR(MAX(0,MIN(10,ROUND(IF('Council Entry'!AP$7="Decrease Risk",10-10*((IF('Council Entry'!AP$4="Logarithm",LN(0.001+IF(AND(ISNUMBER('Council Entry'!AP$8),ISNUMBER('Council Entry'!AP$9)),MAX(MIN('Council Entry'!AP148,'Council Entry'!AP$9),'Council Entry'!AP$8),'Council Entry'!AP148)),IF('Council Entry'!AP$4="Exponential",EXP(IF(AND(ISNUMBER('Council Entry'!AP$8),ISNUMBER('Council Entry'!AP$9)),MAX(MIN('Council Entry'!AP148,'Council Entry'!AP$9),'Council Entry'!AP$8),'Council Entry'!AP148)),IF(AND(ISNUMBER('Council Entry'!AP$8),ISNUMBER('Council Entry'!AP$9)),MAX(MIN('Council Entry'!AP148,'Council Entry'!AP$9),'Council Entry'!AP$8),'Council Entry'!AP148))))-'Council Entry'!AP$5)/('Council Entry'!AP$6-'Council Entry'!AP$5),10*((IF('Council Entry'!AP$4="Logarithm",LN(0.001+IF(AND(ISNUMBER('Council Entry'!AP$8),ISNUMBER('Council Entry'!AP$9)),MAX(MIN('Council Entry'!AP148,'Council Entry'!AP$9),'Council Entry'!AP$8),'Council Entry'!AP148)),IF('Council Entry'!AP$4="Exponential",EXP(IF(AND(ISNUMBER('Council Entry'!AP$8),ISNUMBER('Council Entry'!AP$9)),MAX(MIN('Council Entry'!AP148,'Council Entry'!AP$9),'Council Entry'!AP$8),'Council Entry'!AP148)),IF(AND(ISNUMBER('Council Entry'!AP$8),ISNUMBER('Council Entry'!AP$9)),MAX(MIN('Council Entry'!AP148,'Council Entry'!AP$9),'Council Entry'!AP$8),'Council Entry'!AP148))))-'Council Entry'!AP$5)/('Council Entry'!AP$6-'Council Entry'!AP$5)),1))),"No data"))</f>
        <v/>
      </c>
      <c r="AQ148" s="13">
        <f>IF('Council Entry'!AQ148="","",IFERROR(MAX(0,MIN(10,ROUND(IF('Council Entry'!AQ$7="Decrease Risk",10-10*((IF('Council Entry'!AQ$4="Logarithm",LN(0.001+IF(AND(ISNUMBER('Council Entry'!AQ$8),ISNUMBER('Council Entry'!AQ$9)),MAX(MIN('Council Entry'!AQ148,'Council Entry'!AQ$9),'Council Entry'!AQ$8),'Council Entry'!AQ148)),IF('Council Entry'!AQ$4="Exponential",EXP(IF(AND(ISNUMBER('Council Entry'!AQ$8),ISNUMBER('Council Entry'!AQ$9)),MAX(MIN('Council Entry'!AQ148,'Council Entry'!AQ$9),'Council Entry'!AQ$8),'Council Entry'!AQ148)),IF(AND(ISNUMBER('Council Entry'!AQ$8),ISNUMBER('Council Entry'!AQ$9)),MAX(MIN('Council Entry'!AQ148,'Council Entry'!AQ$9),'Council Entry'!AQ$8),'Council Entry'!AQ148))))-'Council Entry'!AQ$5)/('Council Entry'!AQ$6-'Council Entry'!AQ$5),10*((IF('Council Entry'!AQ$4="Logarithm",LN(0.001+IF(AND(ISNUMBER('Council Entry'!AQ$8),ISNUMBER('Council Entry'!AQ$9)),MAX(MIN('Council Entry'!AQ148,'Council Entry'!AQ$9),'Council Entry'!AQ$8),'Council Entry'!AQ148)),IF('Council Entry'!AQ$4="Exponential",EXP(IF(AND(ISNUMBER('Council Entry'!AQ$8),ISNUMBER('Council Entry'!AQ$9)),MAX(MIN('Council Entry'!AQ148,'Council Entry'!AQ$9),'Council Entry'!AQ$8),'Council Entry'!AQ148)),IF(AND(ISNUMBER('Council Entry'!AQ$8),ISNUMBER('Council Entry'!AQ$9)),MAX(MIN('Council Entry'!AQ148,'Council Entry'!AQ$9),'Council Entry'!AQ$8),'Council Entry'!AQ148))))-'Council Entry'!AQ$5)/('Council Entry'!AQ$6-'Council Entry'!AQ$5)),1))),"No data"))</f>
        <v/>
      </c>
      <c r="AR148" s="13">
        <f>IF('Council Entry'!AR148="","",IFERROR(MAX(0,MIN(10,ROUND(IF('Council Entry'!AR$7="Decrease Risk",10-10*((IF('Council Entry'!AR$4="Logarithm",LN(0.001+IF(AND(ISNUMBER('Council Entry'!AR$8),ISNUMBER('Council Entry'!AR$9)),MAX(MIN('Council Entry'!AR148,'Council Entry'!AR$9),'Council Entry'!AR$8),'Council Entry'!AR148)),IF('Council Entry'!AR$4="Exponential",EXP(IF(AND(ISNUMBER('Council Entry'!AR$8),ISNUMBER('Council Entry'!AR$9)),MAX(MIN('Council Entry'!AR148,'Council Entry'!AR$9),'Council Entry'!AR$8),'Council Entry'!AR148)),IF(AND(ISNUMBER('Council Entry'!AR$8),ISNUMBER('Council Entry'!AR$9)),MAX(MIN('Council Entry'!AR148,'Council Entry'!AR$9),'Council Entry'!AR$8),'Council Entry'!AR148))))-'Council Entry'!AR$5)/('Council Entry'!AR$6-'Council Entry'!AR$5),10*((IF('Council Entry'!AR$4="Logarithm",LN(0.001+IF(AND(ISNUMBER('Council Entry'!AR$8),ISNUMBER('Council Entry'!AR$9)),MAX(MIN('Council Entry'!AR148,'Council Entry'!AR$9),'Council Entry'!AR$8),'Council Entry'!AR148)),IF('Council Entry'!AR$4="Exponential",EXP(IF(AND(ISNUMBER('Council Entry'!AR$8),ISNUMBER('Council Entry'!AR$9)),MAX(MIN('Council Entry'!AR148,'Council Entry'!AR$9),'Council Entry'!AR$8),'Council Entry'!AR148)),IF(AND(ISNUMBER('Council Entry'!AR$8),ISNUMBER('Council Entry'!AR$9)),MAX(MIN('Council Entry'!AR148,'Council Entry'!AR$9),'Council Entry'!AR$8),'Council Entry'!AR148))))-'Council Entry'!AR$5)/('Council Entry'!AR$6-'Council Entry'!AR$5)),1))),"No data"))</f>
        <v/>
      </c>
      <c r="AS148" s="13">
        <f>IF('Council Entry'!AS148="","",IFERROR(MAX(0,MIN(10,ROUND(IF('Council Entry'!AS$7="Decrease Risk",10-10*((IF('Council Entry'!AS$4="Logarithm",LN(0.001+IF(AND(ISNUMBER('Council Entry'!AS$8),ISNUMBER('Council Entry'!AS$9)),MAX(MIN('Council Entry'!AS148,'Council Entry'!AS$9),'Council Entry'!AS$8),'Council Entry'!AS148)),IF('Council Entry'!AS$4="Exponential",EXP(IF(AND(ISNUMBER('Council Entry'!AS$8),ISNUMBER('Council Entry'!AS$9)),MAX(MIN('Council Entry'!AS148,'Council Entry'!AS$9),'Council Entry'!AS$8),'Council Entry'!AS148)),IF(AND(ISNUMBER('Council Entry'!AS$8),ISNUMBER('Council Entry'!AS$9)),MAX(MIN('Council Entry'!AS148,'Council Entry'!AS$9),'Council Entry'!AS$8),'Council Entry'!AS148))))-'Council Entry'!AS$5)/('Council Entry'!AS$6-'Council Entry'!AS$5),10*((IF('Council Entry'!AS$4="Logarithm",LN(0.001+IF(AND(ISNUMBER('Council Entry'!AS$8),ISNUMBER('Council Entry'!AS$9)),MAX(MIN('Council Entry'!AS148,'Council Entry'!AS$9),'Council Entry'!AS$8),'Council Entry'!AS148)),IF('Council Entry'!AS$4="Exponential",EXP(IF(AND(ISNUMBER('Council Entry'!AS$8),ISNUMBER('Council Entry'!AS$9)),MAX(MIN('Council Entry'!AS148,'Council Entry'!AS$9),'Council Entry'!AS$8),'Council Entry'!AS148)),IF(AND(ISNUMBER('Council Entry'!AS$8),ISNUMBER('Council Entry'!AS$9)),MAX(MIN('Council Entry'!AS148,'Council Entry'!AS$9),'Council Entry'!AS$8),'Council Entry'!AS148))))-'Council Entry'!AS$5)/('Council Entry'!AS$6-'Council Entry'!AS$5)),1))),"No data"))</f>
        <v/>
      </c>
      <c r="AT148" s="13">
        <f>IF('Council Entry'!AT148="","",IFERROR(MAX(0,MIN(10,ROUND(IF('Council Entry'!AT$7="Decrease Risk",10-10*((IF('Council Entry'!AT$4="Logarithm",LN(0.001+IF(AND(ISNUMBER('Council Entry'!AT$8),ISNUMBER('Council Entry'!AT$9)),MAX(MIN('Council Entry'!AT148,'Council Entry'!AT$9),'Council Entry'!AT$8),'Council Entry'!AT148)),IF('Council Entry'!AT$4="Exponential",EXP(IF(AND(ISNUMBER('Council Entry'!AT$8),ISNUMBER('Council Entry'!AT$9)),MAX(MIN('Council Entry'!AT148,'Council Entry'!AT$9),'Council Entry'!AT$8),'Council Entry'!AT148)),IF(AND(ISNUMBER('Council Entry'!AT$8),ISNUMBER('Council Entry'!AT$9)),MAX(MIN('Council Entry'!AT148,'Council Entry'!AT$9),'Council Entry'!AT$8),'Council Entry'!AT148))))-'Council Entry'!AT$5)/('Council Entry'!AT$6-'Council Entry'!AT$5),10*((IF('Council Entry'!AT$4="Logarithm",LN(0.001+IF(AND(ISNUMBER('Council Entry'!AT$8),ISNUMBER('Council Entry'!AT$9)),MAX(MIN('Council Entry'!AT148,'Council Entry'!AT$9),'Council Entry'!AT$8),'Council Entry'!AT148)),IF('Council Entry'!AT$4="Exponential",EXP(IF(AND(ISNUMBER('Council Entry'!AT$8),ISNUMBER('Council Entry'!AT$9)),MAX(MIN('Council Entry'!AT148,'Council Entry'!AT$9),'Council Entry'!AT$8),'Council Entry'!AT148)),IF(AND(ISNUMBER('Council Entry'!AT$8),ISNUMBER('Council Entry'!AT$9)),MAX(MIN('Council Entry'!AT148,'Council Entry'!AT$9),'Council Entry'!AT$8),'Council Entry'!AT148))))-'Council Entry'!AT$5)/('Council Entry'!AT$6-'Council Entry'!AT$5)),1))),"No data"))</f>
        <v/>
      </c>
      <c r="AU148" s="13">
        <f>IF('Council Entry'!AU148="","",IFERROR(MAX(0,MIN(10,ROUND(IF('Council Entry'!AU$7="Decrease Risk",10-10*((IF('Council Entry'!AU$4="Logarithm",LN(0.001+IF(AND(ISNUMBER('Council Entry'!AU$8),ISNUMBER('Council Entry'!AU$9)),MAX(MIN('Council Entry'!AU148,'Council Entry'!AU$9),'Council Entry'!AU$8),'Council Entry'!AU148)),IF('Council Entry'!AU$4="Exponential",EXP(IF(AND(ISNUMBER('Council Entry'!AU$8),ISNUMBER('Council Entry'!AU$9)),MAX(MIN('Council Entry'!AU148,'Council Entry'!AU$9),'Council Entry'!AU$8),'Council Entry'!AU148)),IF(AND(ISNUMBER('Council Entry'!AU$8),ISNUMBER('Council Entry'!AU$9)),MAX(MIN('Council Entry'!AU148,'Council Entry'!AU$9),'Council Entry'!AU$8),'Council Entry'!AU148))))-'Council Entry'!AU$5)/('Council Entry'!AU$6-'Council Entry'!AU$5),10*((IF('Council Entry'!AU$4="Logarithm",LN(0.001+IF(AND(ISNUMBER('Council Entry'!AU$8),ISNUMBER('Council Entry'!AU$9)),MAX(MIN('Council Entry'!AU148,'Council Entry'!AU$9),'Council Entry'!AU$8),'Council Entry'!AU148)),IF('Council Entry'!AU$4="Exponential",EXP(IF(AND(ISNUMBER('Council Entry'!AU$8),ISNUMBER('Council Entry'!AU$9)),MAX(MIN('Council Entry'!AU148,'Council Entry'!AU$9),'Council Entry'!AU$8),'Council Entry'!AU148)),IF(AND(ISNUMBER('Council Entry'!AU$8),ISNUMBER('Council Entry'!AU$9)),MAX(MIN('Council Entry'!AU148,'Council Entry'!AU$9),'Council Entry'!AU$8),'Council Entry'!AU148))))-'Council Entry'!AU$5)/('Council Entry'!AU$6-'Council Entry'!AU$5)),1))),"No data"))</f>
        <v/>
      </c>
      <c r="AV148" s="13">
        <f>IF('Council Entry'!AV148="","",IFERROR(MAX(0,MIN(10,ROUND(IF('Council Entry'!AV$7="Decrease Risk",10-10*((IF('Council Entry'!AV$4="Logarithm",LN(0.001+IF(AND(ISNUMBER('Council Entry'!AV$8),ISNUMBER('Council Entry'!AV$9)),MAX(MIN('Council Entry'!AV148,'Council Entry'!AV$9),'Council Entry'!AV$8),'Council Entry'!AV148)),IF('Council Entry'!AV$4="Exponential",EXP(IF(AND(ISNUMBER('Council Entry'!AV$8),ISNUMBER('Council Entry'!AV$9)),MAX(MIN('Council Entry'!AV148,'Council Entry'!AV$9),'Council Entry'!AV$8),'Council Entry'!AV148)),IF(AND(ISNUMBER('Council Entry'!AV$8),ISNUMBER('Council Entry'!AV$9)),MAX(MIN('Council Entry'!AV148,'Council Entry'!AV$9),'Council Entry'!AV$8),'Council Entry'!AV148))))-'Council Entry'!AV$5)/('Council Entry'!AV$6-'Council Entry'!AV$5),10*((IF('Council Entry'!AV$4="Logarithm",LN(0.001+IF(AND(ISNUMBER('Council Entry'!AV$8),ISNUMBER('Council Entry'!AV$9)),MAX(MIN('Council Entry'!AV148,'Council Entry'!AV$9),'Council Entry'!AV$8),'Council Entry'!AV148)),IF('Council Entry'!AV$4="Exponential",EXP(IF(AND(ISNUMBER('Council Entry'!AV$8),ISNUMBER('Council Entry'!AV$9)),MAX(MIN('Council Entry'!AV148,'Council Entry'!AV$9),'Council Entry'!AV$8),'Council Entry'!AV148)),IF(AND(ISNUMBER('Council Entry'!AV$8),ISNUMBER('Council Entry'!AV$9)),MAX(MIN('Council Entry'!AV148,'Council Entry'!AV$9),'Council Entry'!AV$8),'Council Entry'!AV148))))-'Council Entry'!AV$5)/('Council Entry'!AV$6-'Council Entry'!AV$5)),1))),"No data"))</f>
        <v/>
      </c>
      <c r="AW148" s="13">
        <f>IF('Council Entry'!AW148="","",IFERROR(MAX(0,MIN(10,ROUND(IF('Council Entry'!AW$7="Decrease Risk",10-10*((IF('Council Entry'!AW$4="Logarithm",LN(0.001+IF(AND(ISNUMBER('Council Entry'!AW$8),ISNUMBER('Council Entry'!AW$9)),MAX(MIN('Council Entry'!AW148,'Council Entry'!AW$9),'Council Entry'!AW$8),'Council Entry'!AW148)),IF('Council Entry'!AW$4="Exponential",EXP(IF(AND(ISNUMBER('Council Entry'!AW$8),ISNUMBER('Council Entry'!AW$9)),MAX(MIN('Council Entry'!AW148,'Council Entry'!AW$9),'Council Entry'!AW$8),'Council Entry'!AW148)),IF(AND(ISNUMBER('Council Entry'!AW$8),ISNUMBER('Council Entry'!AW$9)),MAX(MIN('Council Entry'!AW148,'Council Entry'!AW$9),'Council Entry'!AW$8),'Council Entry'!AW148))))-'Council Entry'!AW$5)/('Council Entry'!AW$6-'Council Entry'!AW$5),10*((IF('Council Entry'!AW$4="Logarithm",LN(0.001+IF(AND(ISNUMBER('Council Entry'!AW$8),ISNUMBER('Council Entry'!AW$9)),MAX(MIN('Council Entry'!AW148,'Council Entry'!AW$9),'Council Entry'!AW$8),'Council Entry'!AW148)),IF('Council Entry'!AW$4="Exponential",EXP(IF(AND(ISNUMBER('Council Entry'!AW$8),ISNUMBER('Council Entry'!AW$9)),MAX(MIN('Council Entry'!AW148,'Council Entry'!AW$9),'Council Entry'!AW$8),'Council Entry'!AW148)),IF(AND(ISNUMBER('Council Entry'!AW$8),ISNUMBER('Council Entry'!AW$9)),MAX(MIN('Council Entry'!AW148,'Council Entry'!AW$9),'Council Entry'!AW$8),'Council Entry'!AW148))))-'Council Entry'!AW$5)/('Council Entry'!AW$6-'Council Entry'!AW$5)),1))),"No data"))</f>
        <v/>
      </c>
      <c r="AX148" s="13">
        <f>IF('Council Entry'!AX148="","",IFERROR(MAX(0,MIN(10,ROUND(IF('Council Entry'!AX$7="Decrease Risk",10-10*((IF('Council Entry'!AX$4="Logarithm",LN(0.001+IF(AND(ISNUMBER('Council Entry'!AX$8),ISNUMBER('Council Entry'!AX$9)),MAX(MIN('Council Entry'!AX148,'Council Entry'!AX$9),'Council Entry'!AX$8),'Council Entry'!AX148)),IF('Council Entry'!AX$4="Exponential",EXP(IF(AND(ISNUMBER('Council Entry'!AX$8),ISNUMBER('Council Entry'!AX$9)),MAX(MIN('Council Entry'!AX148,'Council Entry'!AX$9),'Council Entry'!AX$8),'Council Entry'!AX148)),IF(AND(ISNUMBER('Council Entry'!AX$8),ISNUMBER('Council Entry'!AX$9)),MAX(MIN('Council Entry'!AX148,'Council Entry'!AX$9),'Council Entry'!AX$8),'Council Entry'!AX148))))-'Council Entry'!AX$5)/('Council Entry'!AX$6-'Council Entry'!AX$5),10*((IF('Council Entry'!AX$4="Logarithm",LN(0.001+IF(AND(ISNUMBER('Council Entry'!AX$8),ISNUMBER('Council Entry'!AX$9)),MAX(MIN('Council Entry'!AX148,'Council Entry'!AX$9),'Council Entry'!AX$8),'Council Entry'!AX148)),IF('Council Entry'!AX$4="Exponential",EXP(IF(AND(ISNUMBER('Council Entry'!AX$8),ISNUMBER('Council Entry'!AX$9)),MAX(MIN('Council Entry'!AX148,'Council Entry'!AX$9),'Council Entry'!AX$8),'Council Entry'!AX148)),IF(AND(ISNUMBER('Council Entry'!AX$8),ISNUMBER('Council Entry'!AX$9)),MAX(MIN('Council Entry'!AX148,'Council Entry'!AX$9),'Council Entry'!AX$8),'Council Entry'!AX148))))-'Council Entry'!AX$5)/('Council Entry'!AX$6-'Council Entry'!AX$5)),1))),"No data"))</f>
        <v/>
      </c>
      <c r="AY148" s="13">
        <f>IF('Council Entry'!AY148="","",IFERROR(MAX(0,MIN(10,ROUND(IF('Council Entry'!AY$7="Decrease Risk",10-10*((IF('Council Entry'!AY$4="Logarithm",LN(0.001+IF(AND(ISNUMBER('Council Entry'!AY$8),ISNUMBER('Council Entry'!AY$9)),MAX(MIN('Council Entry'!AY148,'Council Entry'!AY$9),'Council Entry'!AY$8),'Council Entry'!AY148)),IF('Council Entry'!AY$4="Exponential",EXP(IF(AND(ISNUMBER('Council Entry'!AY$8),ISNUMBER('Council Entry'!AY$9)),MAX(MIN('Council Entry'!AY148,'Council Entry'!AY$9),'Council Entry'!AY$8),'Council Entry'!AY148)),IF(AND(ISNUMBER('Council Entry'!AY$8),ISNUMBER('Council Entry'!AY$9)),MAX(MIN('Council Entry'!AY148,'Council Entry'!AY$9),'Council Entry'!AY$8),'Council Entry'!AY148))))-'Council Entry'!AY$5)/('Council Entry'!AY$6-'Council Entry'!AY$5),10*((IF('Council Entry'!AY$4="Logarithm",LN(0.001+IF(AND(ISNUMBER('Council Entry'!AY$8),ISNUMBER('Council Entry'!AY$9)),MAX(MIN('Council Entry'!AY148,'Council Entry'!AY$9),'Council Entry'!AY$8),'Council Entry'!AY148)),IF('Council Entry'!AY$4="Exponential",EXP(IF(AND(ISNUMBER('Council Entry'!AY$8),ISNUMBER('Council Entry'!AY$9)),MAX(MIN('Council Entry'!AY148,'Council Entry'!AY$9),'Council Entry'!AY$8),'Council Entry'!AY148)),IF(AND(ISNUMBER('Council Entry'!AY$8),ISNUMBER('Council Entry'!AY$9)),MAX(MIN('Council Entry'!AY148,'Council Entry'!AY$9),'Council Entry'!AY$8),'Council Entry'!AY148))))-'Council Entry'!AY$5)/('Council Entry'!AY$6-'Council Entry'!AY$5)),1))),"No data"))</f>
        <v/>
      </c>
      <c r="AZ148" s="13">
        <f>IF('Council Entry'!AZ148="","",IFERROR(MAX(0,MIN(10,ROUND(IF('Council Entry'!AZ$7="Decrease Risk",10-10*((IF('Council Entry'!AZ$4="Logarithm",LN(0.001+IF(AND(ISNUMBER('Council Entry'!AZ$8),ISNUMBER('Council Entry'!AZ$9)),MAX(MIN('Council Entry'!AZ148,'Council Entry'!AZ$9),'Council Entry'!AZ$8),'Council Entry'!AZ148)),IF('Council Entry'!AZ$4="Exponential",EXP(IF(AND(ISNUMBER('Council Entry'!AZ$8),ISNUMBER('Council Entry'!AZ$9)),MAX(MIN('Council Entry'!AZ148,'Council Entry'!AZ$9),'Council Entry'!AZ$8),'Council Entry'!AZ148)),IF(AND(ISNUMBER('Council Entry'!AZ$8),ISNUMBER('Council Entry'!AZ$9)),MAX(MIN('Council Entry'!AZ148,'Council Entry'!AZ$9),'Council Entry'!AZ$8),'Council Entry'!AZ148))))-'Council Entry'!AZ$5)/('Council Entry'!AZ$6-'Council Entry'!AZ$5),10*((IF('Council Entry'!AZ$4="Logarithm",LN(0.001+IF(AND(ISNUMBER('Council Entry'!AZ$8),ISNUMBER('Council Entry'!AZ$9)),MAX(MIN('Council Entry'!AZ148,'Council Entry'!AZ$9),'Council Entry'!AZ$8),'Council Entry'!AZ148)),IF('Council Entry'!AZ$4="Exponential",EXP(IF(AND(ISNUMBER('Council Entry'!AZ$8),ISNUMBER('Council Entry'!AZ$9)),MAX(MIN('Council Entry'!AZ148,'Council Entry'!AZ$9),'Council Entry'!AZ$8),'Council Entry'!AZ148)),IF(AND(ISNUMBER('Council Entry'!AZ$8),ISNUMBER('Council Entry'!AZ$9)),MAX(MIN('Council Entry'!AZ148,'Council Entry'!AZ$9),'Council Entry'!AZ$8),'Council Entry'!AZ148))))-'Council Entry'!AZ$5)/('Council Entry'!AZ$6-'Council Entry'!AZ$5)),1))),"No data"))</f>
        <v/>
      </c>
      <c r="BA148" s="13">
        <f>IF('Council Entry'!BA148="","",IFERROR(MAX(0,MIN(10,ROUND(IF('Council Entry'!BA$7="Decrease Risk",10-10*((IF('Council Entry'!BA$4="Logarithm",LN(0.001+IF(AND(ISNUMBER('Council Entry'!BA$8),ISNUMBER('Council Entry'!BA$9)),MAX(MIN('Council Entry'!BA148,'Council Entry'!BA$9),'Council Entry'!BA$8),'Council Entry'!BA148)),IF('Council Entry'!BA$4="Exponential",EXP(IF(AND(ISNUMBER('Council Entry'!BA$8),ISNUMBER('Council Entry'!BA$9)),MAX(MIN('Council Entry'!BA148,'Council Entry'!BA$9),'Council Entry'!BA$8),'Council Entry'!BA148)),IF(AND(ISNUMBER('Council Entry'!BA$8),ISNUMBER('Council Entry'!BA$9)),MAX(MIN('Council Entry'!BA148,'Council Entry'!BA$9),'Council Entry'!BA$8),'Council Entry'!BA148))))-'Council Entry'!BA$5)/('Council Entry'!BA$6-'Council Entry'!BA$5),10*((IF('Council Entry'!BA$4="Logarithm",LN(0.001+IF(AND(ISNUMBER('Council Entry'!BA$8),ISNUMBER('Council Entry'!BA$9)),MAX(MIN('Council Entry'!BA148,'Council Entry'!BA$9),'Council Entry'!BA$8),'Council Entry'!BA148)),IF('Council Entry'!BA$4="Exponential",EXP(IF(AND(ISNUMBER('Council Entry'!BA$8),ISNUMBER('Council Entry'!BA$9)),MAX(MIN('Council Entry'!BA148,'Council Entry'!BA$9),'Council Entry'!BA$8),'Council Entry'!BA148)),IF(AND(ISNUMBER('Council Entry'!BA$8),ISNUMBER('Council Entry'!BA$9)),MAX(MIN('Council Entry'!BA148,'Council Entry'!BA$9),'Council Entry'!BA$8),'Council Entry'!BA148))))-'Council Entry'!BA$5)/('Council Entry'!BA$6-'Council Entry'!BA$5)),1))),"No data"))</f>
        <v/>
      </c>
      <c r="BB148" s="13">
        <f>IF('Council Entry'!BB148="","",IFERROR(MAX(0,MIN(10,ROUND(IF('Council Entry'!BB$7="Decrease Risk",10-10*((IF('Council Entry'!BB$4="Logarithm",LN(0.001+IF(AND(ISNUMBER('Council Entry'!BB$8),ISNUMBER('Council Entry'!BB$9)),MAX(MIN('Council Entry'!BB148,'Council Entry'!BB$9),'Council Entry'!BB$8),'Council Entry'!BB148)),IF('Council Entry'!BB$4="Exponential",EXP(IF(AND(ISNUMBER('Council Entry'!BB$8),ISNUMBER('Council Entry'!BB$9)),MAX(MIN('Council Entry'!BB148,'Council Entry'!BB$9),'Council Entry'!BB$8),'Council Entry'!BB148)),IF(AND(ISNUMBER('Council Entry'!BB$8),ISNUMBER('Council Entry'!BB$9)),MAX(MIN('Council Entry'!BB148,'Council Entry'!BB$9),'Council Entry'!BB$8),'Council Entry'!BB148))))-'Council Entry'!BB$5)/('Council Entry'!BB$6-'Council Entry'!BB$5),10*((IF('Council Entry'!BB$4="Logarithm",LN(0.001+IF(AND(ISNUMBER('Council Entry'!BB$8),ISNUMBER('Council Entry'!BB$9)),MAX(MIN('Council Entry'!BB148,'Council Entry'!BB$9),'Council Entry'!BB$8),'Council Entry'!BB148)),IF('Council Entry'!BB$4="Exponential",EXP(IF(AND(ISNUMBER('Council Entry'!BB$8),ISNUMBER('Council Entry'!BB$9)),MAX(MIN('Council Entry'!BB148,'Council Entry'!BB$9),'Council Entry'!BB$8),'Council Entry'!BB148)),IF(AND(ISNUMBER('Council Entry'!BB$8),ISNUMBER('Council Entry'!BB$9)),MAX(MIN('Council Entry'!BB148,'Council Entry'!BB$9),'Council Entry'!BB$8),'Council Entry'!BB148))))-'Council Entry'!BB$5)/('Council Entry'!BB$6-'Council Entry'!BB$5)),1))),"No data"))</f>
        <v/>
      </c>
      <c r="BC148" s="13">
        <f>IF('Council Entry'!BC148="","",IFERROR(MAX(0,MIN(10,ROUND(IF('Council Entry'!BC$7="Decrease Risk",10-10*((IF('Council Entry'!BC$4="Logarithm",LN(0.001+IF(AND(ISNUMBER('Council Entry'!BC$8),ISNUMBER('Council Entry'!BC$9)),MAX(MIN('Council Entry'!BC148,'Council Entry'!BC$9),'Council Entry'!BC$8),'Council Entry'!BC148)),IF('Council Entry'!BC$4="Exponential",EXP(IF(AND(ISNUMBER('Council Entry'!BC$8),ISNUMBER('Council Entry'!BC$9)),MAX(MIN('Council Entry'!BC148,'Council Entry'!BC$9),'Council Entry'!BC$8),'Council Entry'!BC148)),IF(AND(ISNUMBER('Council Entry'!BC$8),ISNUMBER('Council Entry'!BC$9)),MAX(MIN('Council Entry'!BC148,'Council Entry'!BC$9),'Council Entry'!BC$8),'Council Entry'!BC148))))-'Council Entry'!BC$5)/('Council Entry'!BC$6-'Council Entry'!BC$5),10*((IF('Council Entry'!BC$4="Logarithm",LN(0.001+IF(AND(ISNUMBER('Council Entry'!BC$8),ISNUMBER('Council Entry'!BC$9)),MAX(MIN('Council Entry'!BC148,'Council Entry'!BC$9),'Council Entry'!BC$8),'Council Entry'!BC148)),IF('Council Entry'!BC$4="Exponential",EXP(IF(AND(ISNUMBER('Council Entry'!BC$8),ISNUMBER('Council Entry'!BC$9)),MAX(MIN('Council Entry'!BC148,'Council Entry'!BC$9),'Council Entry'!BC$8),'Council Entry'!BC148)),IF(AND(ISNUMBER('Council Entry'!BC$8),ISNUMBER('Council Entry'!BC$9)),MAX(MIN('Council Entry'!BC148,'Council Entry'!BC$9),'Council Entry'!BC$8),'Council Entry'!BC148))))-'Council Entry'!BC$5)/('Council Entry'!BC$6-'Council Entry'!BC$5)),1))),"No data"))</f>
        <v/>
      </c>
      <c r="BD148" s="13">
        <f>IF('Council Entry'!BD148="","",IFERROR(MAX(0,MIN(10,ROUND(IF('Council Entry'!BD$7="Decrease Risk",10-10*((IF('Council Entry'!BD$4="Logarithm",LN(0.001+IF(AND(ISNUMBER('Council Entry'!BD$8),ISNUMBER('Council Entry'!BD$9)),MAX(MIN('Council Entry'!BD148,'Council Entry'!BD$9),'Council Entry'!BD$8),'Council Entry'!BD148)),IF('Council Entry'!BD$4="Exponential",EXP(IF(AND(ISNUMBER('Council Entry'!BD$8),ISNUMBER('Council Entry'!BD$9)),MAX(MIN('Council Entry'!BD148,'Council Entry'!BD$9),'Council Entry'!BD$8),'Council Entry'!BD148)),IF(AND(ISNUMBER('Council Entry'!BD$8),ISNUMBER('Council Entry'!BD$9)),MAX(MIN('Council Entry'!BD148,'Council Entry'!BD$9),'Council Entry'!BD$8),'Council Entry'!BD148))))-'Council Entry'!BD$5)/('Council Entry'!BD$6-'Council Entry'!BD$5),10*((IF('Council Entry'!BD$4="Logarithm",LN(0.001+IF(AND(ISNUMBER('Council Entry'!BD$8),ISNUMBER('Council Entry'!BD$9)),MAX(MIN('Council Entry'!BD148,'Council Entry'!BD$9),'Council Entry'!BD$8),'Council Entry'!BD148)),IF('Council Entry'!BD$4="Exponential",EXP(IF(AND(ISNUMBER('Council Entry'!BD$8),ISNUMBER('Council Entry'!BD$9)),MAX(MIN('Council Entry'!BD148,'Council Entry'!BD$9),'Council Entry'!BD$8),'Council Entry'!BD148)),IF(AND(ISNUMBER('Council Entry'!BD$8),ISNUMBER('Council Entry'!BD$9)),MAX(MIN('Council Entry'!BD148,'Council Entry'!BD$9),'Council Entry'!BD$8),'Council Entry'!BD148))))-'Council Entry'!BD$5)/('Council Entry'!BD$6-'Council Entry'!BD$5)),1))),"No data"))</f>
        <v/>
      </c>
    </row>
    <row r="149">
      <c r="A149" t="inlineStr">
        <is>
          <t>Pwani</t>
        </is>
      </c>
      <c r="B149" t="inlineStr">
        <is>
          <t>Mkuranga District</t>
        </is>
      </c>
      <c r="C149" t="inlineStr">
        <is>
          <t>C048</t>
        </is>
      </c>
      <c r="D149" s="13">
        <f>IF('Council Entry'!D149="","",IFERROR(MAX(0,MIN(10,ROUND(IF('Council Entry'!D$7="Decrease Risk",10-10*((IF('Council Entry'!D$4="Logarithm",LN(0.001+IF(AND(ISNUMBER('Council Entry'!D$8),ISNUMBER('Council Entry'!D$9)),MAX(MIN('Council Entry'!D149,'Council Entry'!D$9),'Council Entry'!D$8),'Council Entry'!D149)),IF('Council Entry'!D$4="Exponential",EXP(IF(AND(ISNUMBER('Council Entry'!D$8),ISNUMBER('Council Entry'!D$9)),MAX(MIN('Council Entry'!D149,'Council Entry'!D$9),'Council Entry'!D$8),'Council Entry'!D149)),IF(AND(ISNUMBER('Council Entry'!D$8),ISNUMBER('Council Entry'!D$9)),MAX(MIN('Council Entry'!D149,'Council Entry'!D$9),'Council Entry'!D$8),'Council Entry'!D149))))-'Council Entry'!D$5)/('Council Entry'!D$6-'Council Entry'!D$5),10*((IF('Council Entry'!D$4="Logarithm",LN(0.001+IF(AND(ISNUMBER('Council Entry'!D$8),ISNUMBER('Council Entry'!D$9)),MAX(MIN('Council Entry'!D149,'Council Entry'!D$9),'Council Entry'!D$8),'Council Entry'!D149)),IF('Council Entry'!D$4="Exponential",EXP(IF(AND(ISNUMBER('Council Entry'!D$8),ISNUMBER('Council Entry'!D$9)),MAX(MIN('Council Entry'!D149,'Council Entry'!D$9),'Council Entry'!D$8),'Council Entry'!D149)),IF(AND(ISNUMBER('Council Entry'!D$8),ISNUMBER('Council Entry'!D$9)),MAX(MIN('Council Entry'!D149,'Council Entry'!D$9),'Council Entry'!D$8),'Council Entry'!D149))))-'Council Entry'!D$5)/('Council Entry'!D$6-'Council Entry'!D$5)),1))),"No data"))</f>
        <v/>
      </c>
      <c r="E149" s="13">
        <f>IF('Council Entry'!E149="","",IFERROR(MAX(0,MIN(10,ROUND(IF('Council Entry'!E$7="Decrease Risk",10-10*((IF('Council Entry'!E$4="Logarithm",LN(0.001+IF(AND(ISNUMBER('Council Entry'!E$8),ISNUMBER('Council Entry'!E$9)),MAX(MIN('Council Entry'!E149,'Council Entry'!E$9),'Council Entry'!E$8),'Council Entry'!E149)),IF('Council Entry'!E$4="Exponential",EXP(IF(AND(ISNUMBER('Council Entry'!E$8),ISNUMBER('Council Entry'!E$9)),MAX(MIN('Council Entry'!E149,'Council Entry'!E$9),'Council Entry'!E$8),'Council Entry'!E149)),IF(AND(ISNUMBER('Council Entry'!E$8),ISNUMBER('Council Entry'!E$9)),MAX(MIN('Council Entry'!E149,'Council Entry'!E$9),'Council Entry'!E$8),'Council Entry'!E149))))-'Council Entry'!E$5)/('Council Entry'!E$6-'Council Entry'!E$5),10*((IF('Council Entry'!E$4="Logarithm",LN(0.001+IF(AND(ISNUMBER('Council Entry'!E$8),ISNUMBER('Council Entry'!E$9)),MAX(MIN('Council Entry'!E149,'Council Entry'!E$9),'Council Entry'!E$8),'Council Entry'!E149)),IF('Council Entry'!E$4="Exponential",EXP(IF(AND(ISNUMBER('Council Entry'!E$8),ISNUMBER('Council Entry'!E$9)),MAX(MIN('Council Entry'!E149,'Council Entry'!E$9),'Council Entry'!E$8),'Council Entry'!E149)),IF(AND(ISNUMBER('Council Entry'!E$8),ISNUMBER('Council Entry'!E$9)),MAX(MIN('Council Entry'!E149,'Council Entry'!E$9),'Council Entry'!E$8),'Council Entry'!E149))))-'Council Entry'!E$5)/('Council Entry'!E$6-'Council Entry'!E$5)),1))),"No data"))</f>
        <v/>
      </c>
      <c r="F149" s="13">
        <f>IF('Council Entry'!F149="","",IFERROR(MAX(0,MIN(10,ROUND(IF('Council Entry'!F$7="Decrease Risk",10-10*((IF('Council Entry'!F$4="Logarithm",LN(0.001+IF(AND(ISNUMBER('Council Entry'!F$8),ISNUMBER('Council Entry'!F$9)),MAX(MIN('Council Entry'!F149,'Council Entry'!F$9),'Council Entry'!F$8),'Council Entry'!F149)),IF('Council Entry'!F$4="Exponential",EXP(IF(AND(ISNUMBER('Council Entry'!F$8),ISNUMBER('Council Entry'!F$9)),MAX(MIN('Council Entry'!F149,'Council Entry'!F$9),'Council Entry'!F$8),'Council Entry'!F149)),IF(AND(ISNUMBER('Council Entry'!F$8),ISNUMBER('Council Entry'!F$9)),MAX(MIN('Council Entry'!F149,'Council Entry'!F$9),'Council Entry'!F$8),'Council Entry'!F149))))-'Council Entry'!F$5)/('Council Entry'!F$6-'Council Entry'!F$5),10*((IF('Council Entry'!F$4="Logarithm",LN(0.001+IF(AND(ISNUMBER('Council Entry'!F$8),ISNUMBER('Council Entry'!F$9)),MAX(MIN('Council Entry'!F149,'Council Entry'!F$9),'Council Entry'!F$8),'Council Entry'!F149)),IF('Council Entry'!F$4="Exponential",EXP(IF(AND(ISNUMBER('Council Entry'!F$8),ISNUMBER('Council Entry'!F$9)),MAX(MIN('Council Entry'!F149,'Council Entry'!F$9),'Council Entry'!F$8),'Council Entry'!F149)),IF(AND(ISNUMBER('Council Entry'!F$8),ISNUMBER('Council Entry'!F$9)),MAX(MIN('Council Entry'!F149,'Council Entry'!F$9),'Council Entry'!F$8),'Council Entry'!F149))))-'Council Entry'!F$5)/('Council Entry'!F$6-'Council Entry'!F$5)),1))),"No data"))</f>
        <v/>
      </c>
      <c r="G149" s="13">
        <f>IF('Council Entry'!G149="","",IFERROR(MAX(0,MIN(10,ROUND(IF('Council Entry'!G$7="Decrease Risk",10-10*((IF('Council Entry'!G$4="Logarithm",LN(0.001+IF(AND(ISNUMBER('Council Entry'!G$8),ISNUMBER('Council Entry'!G$9)),MAX(MIN('Council Entry'!G149,'Council Entry'!G$9),'Council Entry'!G$8),'Council Entry'!G149)),IF('Council Entry'!G$4="Exponential",EXP(IF(AND(ISNUMBER('Council Entry'!G$8),ISNUMBER('Council Entry'!G$9)),MAX(MIN('Council Entry'!G149,'Council Entry'!G$9),'Council Entry'!G$8),'Council Entry'!G149)),IF(AND(ISNUMBER('Council Entry'!G$8),ISNUMBER('Council Entry'!G$9)),MAX(MIN('Council Entry'!G149,'Council Entry'!G$9),'Council Entry'!G$8),'Council Entry'!G149))))-'Council Entry'!G$5)/('Council Entry'!G$6-'Council Entry'!G$5),10*((IF('Council Entry'!G$4="Logarithm",LN(0.001+IF(AND(ISNUMBER('Council Entry'!G$8),ISNUMBER('Council Entry'!G$9)),MAX(MIN('Council Entry'!G149,'Council Entry'!G$9),'Council Entry'!G$8),'Council Entry'!G149)),IF('Council Entry'!G$4="Exponential",EXP(IF(AND(ISNUMBER('Council Entry'!G$8),ISNUMBER('Council Entry'!G$9)),MAX(MIN('Council Entry'!G149,'Council Entry'!G$9),'Council Entry'!G$8),'Council Entry'!G149)),IF(AND(ISNUMBER('Council Entry'!G$8),ISNUMBER('Council Entry'!G$9)),MAX(MIN('Council Entry'!G149,'Council Entry'!G$9),'Council Entry'!G$8),'Council Entry'!G149))))-'Council Entry'!G$5)/('Council Entry'!G$6-'Council Entry'!G$5)),1))),"No data"))</f>
        <v/>
      </c>
      <c r="H149" s="13">
        <f>IF('Council Entry'!H149="","",IFERROR(MAX(0,MIN(10,ROUND(IF('Council Entry'!H$7="Decrease Risk",10-10*((IF('Council Entry'!H$4="Logarithm",LN(0.001+IF(AND(ISNUMBER('Council Entry'!H$8),ISNUMBER('Council Entry'!H$9)),MAX(MIN('Council Entry'!H149,'Council Entry'!H$9),'Council Entry'!H$8),'Council Entry'!H149)),IF('Council Entry'!H$4="Exponential",EXP(IF(AND(ISNUMBER('Council Entry'!H$8),ISNUMBER('Council Entry'!H$9)),MAX(MIN('Council Entry'!H149,'Council Entry'!H$9),'Council Entry'!H$8),'Council Entry'!H149)),IF(AND(ISNUMBER('Council Entry'!H$8),ISNUMBER('Council Entry'!H$9)),MAX(MIN('Council Entry'!H149,'Council Entry'!H$9),'Council Entry'!H$8),'Council Entry'!H149))))-'Council Entry'!H$5)/('Council Entry'!H$6-'Council Entry'!H$5),10*((IF('Council Entry'!H$4="Logarithm",LN(0.001+IF(AND(ISNUMBER('Council Entry'!H$8),ISNUMBER('Council Entry'!H$9)),MAX(MIN('Council Entry'!H149,'Council Entry'!H$9),'Council Entry'!H$8),'Council Entry'!H149)),IF('Council Entry'!H$4="Exponential",EXP(IF(AND(ISNUMBER('Council Entry'!H$8),ISNUMBER('Council Entry'!H$9)),MAX(MIN('Council Entry'!H149,'Council Entry'!H$9),'Council Entry'!H$8),'Council Entry'!H149)),IF(AND(ISNUMBER('Council Entry'!H$8),ISNUMBER('Council Entry'!H$9)),MAX(MIN('Council Entry'!H149,'Council Entry'!H$9),'Council Entry'!H$8),'Council Entry'!H149))))-'Council Entry'!H$5)/('Council Entry'!H$6-'Council Entry'!H$5)),1))),"No data"))</f>
        <v/>
      </c>
      <c r="I149" s="13">
        <f>IF('Council Entry'!I149="","",IFERROR(MAX(0,MIN(10,ROUND(IF('Council Entry'!I$7="Decrease Risk",10-10*((IF('Council Entry'!I$4="Logarithm",LN(0.001+IF(AND(ISNUMBER('Council Entry'!I$8),ISNUMBER('Council Entry'!I$9)),MAX(MIN('Council Entry'!I149,'Council Entry'!I$9),'Council Entry'!I$8),'Council Entry'!I149)),IF('Council Entry'!I$4="Exponential",EXP(IF(AND(ISNUMBER('Council Entry'!I$8),ISNUMBER('Council Entry'!I$9)),MAX(MIN('Council Entry'!I149,'Council Entry'!I$9),'Council Entry'!I$8),'Council Entry'!I149)),IF(AND(ISNUMBER('Council Entry'!I$8),ISNUMBER('Council Entry'!I$9)),MAX(MIN('Council Entry'!I149,'Council Entry'!I$9),'Council Entry'!I$8),'Council Entry'!I149))))-'Council Entry'!I$5)/('Council Entry'!I$6-'Council Entry'!I$5),10*((IF('Council Entry'!I$4="Logarithm",LN(0.001+IF(AND(ISNUMBER('Council Entry'!I$8),ISNUMBER('Council Entry'!I$9)),MAX(MIN('Council Entry'!I149,'Council Entry'!I$9),'Council Entry'!I$8),'Council Entry'!I149)),IF('Council Entry'!I$4="Exponential",EXP(IF(AND(ISNUMBER('Council Entry'!I$8),ISNUMBER('Council Entry'!I$9)),MAX(MIN('Council Entry'!I149,'Council Entry'!I$9),'Council Entry'!I$8),'Council Entry'!I149)),IF(AND(ISNUMBER('Council Entry'!I$8),ISNUMBER('Council Entry'!I$9)),MAX(MIN('Council Entry'!I149,'Council Entry'!I$9),'Council Entry'!I$8),'Council Entry'!I149))))-'Council Entry'!I$5)/('Council Entry'!I$6-'Council Entry'!I$5)),1))),"No data"))</f>
        <v/>
      </c>
      <c r="J149" s="13">
        <f>IF('Council Entry'!J149="","",IFERROR(MAX(0,MIN(10,ROUND(IF('Council Entry'!J$7="Decrease Risk",10-10*((IF('Council Entry'!J$4="Logarithm",LN(0.001+IF(AND(ISNUMBER('Council Entry'!J$8),ISNUMBER('Council Entry'!J$9)),MAX(MIN('Council Entry'!J149,'Council Entry'!J$9),'Council Entry'!J$8),'Council Entry'!J149)),IF('Council Entry'!J$4="Exponential",EXP(IF(AND(ISNUMBER('Council Entry'!J$8),ISNUMBER('Council Entry'!J$9)),MAX(MIN('Council Entry'!J149,'Council Entry'!J$9),'Council Entry'!J$8),'Council Entry'!J149)),IF(AND(ISNUMBER('Council Entry'!J$8),ISNUMBER('Council Entry'!J$9)),MAX(MIN('Council Entry'!J149,'Council Entry'!J$9),'Council Entry'!J$8),'Council Entry'!J149))))-'Council Entry'!J$5)/('Council Entry'!J$6-'Council Entry'!J$5),10*((IF('Council Entry'!J$4="Logarithm",LN(0.001+IF(AND(ISNUMBER('Council Entry'!J$8),ISNUMBER('Council Entry'!J$9)),MAX(MIN('Council Entry'!J149,'Council Entry'!J$9),'Council Entry'!J$8),'Council Entry'!J149)),IF('Council Entry'!J$4="Exponential",EXP(IF(AND(ISNUMBER('Council Entry'!J$8),ISNUMBER('Council Entry'!J$9)),MAX(MIN('Council Entry'!J149,'Council Entry'!J$9),'Council Entry'!J$8),'Council Entry'!J149)),IF(AND(ISNUMBER('Council Entry'!J$8),ISNUMBER('Council Entry'!J$9)),MAX(MIN('Council Entry'!J149,'Council Entry'!J$9),'Council Entry'!J$8),'Council Entry'!J149))))-'Council Entry'!J$5)/('Council Entry'!J$6-'Council Entry'!J$5)),1))),"No data"))</f>
        <v/>
      </c>
      <c r="K149" s="13">
        <f>IF('Council Entry'!K149="","",IFERROR(MAX(0,MIN(10,ROUND(IF('Council Entry'!K$7="Decrease Risk",10-10*((IF('Council Entry'!K$4="Logarithm",LN(0.001+IF(AND(ISNUMBER('Council Entry'!K$8),ISNUMBER('Council Entry'!K$9)),MAX(MIN('Council Entry'!K149,'Council Entry'!K$9),'Council Entry'!K$8),'Council Entry'!K149)),IF('Council Entry'!K$4="Exponential",EXP(IF(AND(ISNUMBER('Council Entry'!K$8),ISNUMBER('Council Entry'!K$9)),MAX(MIN('Council Entry'!K149,'Council Entry'!K$9),'Council Entry'!K$8),'Council Entry'!K149)),IF(AND(ISNUMBER('Council Entry'!K$8),ISNUMBER('Council Entry'!K$9)),MAX(MIN('Council Entry'!K149,'Council Entry'!K$9),'Council Entry'!K$8),'Council Entry'!K149))))-'Council Entry'!K$5)/('Council Entry'!K$6-'Council Entry'!K$5),10*((IF('Council Entry'!K$4="Logarithm",LN(0.001+IF(AND(ISNUMBER('Council Entry'!K$8),ISNUMBER('Council Entry'!K$9)),MAX(MIN('Council Entry'!K149,'Council Entry'!K$9),'Council Entry'!K$8),'Council Entry'!K149)),IF('Council Entry'!K$4="Exponential",EXP(IF(AND(ISNUMBER('Council Entry'!K$8),ISNUMBER('Council Entry'!K$9)),MAX(MIN('Council Entry'!K149,'Council Entry'!K$9),'Council Entry'!K$8),'Council Entry'!K149)),IF(AND(ISNUMBER('Council Entry'!K$8),ISNUMBER('Council Entry'!K$9)),MAX(MIN('Council Entry'!K149,'Council Entry'!K$9),'Council Entry'!K$8),'Council Entry'!K149))))-'Council Entry'!K$5)/('Council Entry'!K$6-'Council Entry'!K$5)),1))),"No data"))</f>
        <v/>
      </c>
      <c r="L149" s="13">
        <f>IF('Council Entry'!L149="","",IFERROR(MAX(0,MIN(10,ROUND(IF('Council Entry'!L$7="Decrease Risk",10-10*((IF('Council Entry'!L$4="Logarithm",LN(0.001+IF(AND(ISNUMBER('Council Entry'!L$8),ISNUMBER('Council Entry'!L$9)),MAX(MIN('Council Entry'!L149,'Council Entry'!L$9),'Council Entry'!L$8),'Council Entry'!L149)),IF('Council Entry'!L$4="Exponential",EXP(IF(AND(ISNUMBER('Council Entry'!L$8),ISNUMBER('Council Entry'!L$9)),MAX(MIN('Council Entry'!L149,'Council Entry'!L$9),'Council Entry'!L$8),'Council Entry'!L149)),IF(AND(ISNUMBER('Council Entry'!L$8),ISNUMBER('Council Entry'!L$9)),MAX(MIN('Council Entry'!L149,'Council Entry'!L$9),'Council Entry'!L$8),'Council Entry'!L149))))-'Council Entry'!L$5)/('Council Entry'!L$6-'Council Entry'!L$5),10*((IF('Council Entry'!L$4="Logarithm",LN(0.001+IF(AND(ISNUMBER('Council Entry'!L$8),ISNUMBER('Council Entry'!L$9)),MAX(MIN('Council Entry'!L149,'Council Entry'!L$9),'Council Entry'!L$8),'Council Entry'!L149)),IF('Council Entry'!L$4="Exponential",EXP(IF(AND(ISNUMBER('Council Entry'!L$8),ISNUMBER('Council Entry'!L$9)),MAX(MIN('Council Entry'!L149,'Council Entry'!L$9),'Council Entry'!L$8),'Council Entry'!L149)),IF(AND(ISNUMBER('Council Entry'!L$8),ISNUMBER('Council Entry'!L$9)),MAX(MIN('Council Entry'!L149,'Council Entry'!L$9),'Council Entry'!L$8),'Council Entry'!L149))))-'Council Entry'!L$5)/('Council Entry'!L$6-'Council Entry'!L$5)),1))),"No data"))</f>
        <v/>
      </c>
      <c r="M149" s="13">
        <f>IF('Council Entry'!M149="","",IFERROR(MAX(0,MIN(10,ROUND(IF('Council Entry'!M$7="Decrease Risk",10-10*((IF('Council Entry'!M$4="Logarithm",LN(0.001+IF(AND(ISNUMBER('Council Entry'!M$8),ISNUMBER('Council Entry'!M$9)),MAX(MIN('Council Entry'!M149,'Council Entry'!M$9),'Council Entry'!M$8),'Council Entry'!M149)),IF('Council Entry'!M$4="Exponential",EXP(IF(AND(ISNUMBER('Council Entry'!M$8),ISNUMBER('Council Entry'!M$9)),MAX(MIN('Council Entry'!M149,'Council Entry'!M$9),'Council Entry'!M$8),'Council Entry'!M149)),IF(AND(ISNUMBER('Council Entry'!M$8),ISNUMBER('Council Entry'!M$9)),MAX(MIN('Council Entry'!M149,'Council Entry'!M$9),'Council Entry'!M$8),'Council Entry'!M149))))-'Council Entry'!M$5)/('Council Entry'!M$6-'Council Entry'!M$5),10*((IF('Council Entry'!M$4="Logarithm",LN(0.001+IF(AND(ISNUMBER('Council Entry'!M$8),ISNUMBER('Council Entry'!M$9)),MAX(MIN('Council Entry'!M149,'Council Entry'!M$9),'Council Entry'!M$8),'Council Entry'!M149)),IF('Council Entry'!M$4="Exponential",EXP(IF(AND(ISNUMBER('Council Entry'!M$8),ISNUMBER('Council Entry'!M$9)),MAX(MIN('Council Entry'!M149,'Council Entry'!M$9),'Council Entry'!M$8),'Council Entry'!M149)),IF(AND(ISNUMBER('Council Entry'!M$8),ISNUMBER('Council Entry'!M$9)),MAX(MIN('Council Entry'!M149,'Council Entry'!M$9),'Council Entry'!M$8),'Council Entry'!M149))))-'Council Entry'!M$5)/('Council Entry'!M$6-'Council Entry'!M$5)),1))),"No data"))</f>
        <v/>
      </c>
      <c r="N149" s="13">
        <f>IF('Council Entry'!N149="","",IFERROR(MAX(0,MIN(10,ROUND(IF('Council Entry'!N$7="Decrease Risk",10-10*((IF('Council Entry'!N$4="Logarithm",LN(0.001+IF(AND(ISNUMBER('Council Entry'!N$8),ISNUMBER('Council Entry'!N$9)),MAX(MIN('Council Entry'!N149,'Council Entry'!N$9),'Council Entry'!N$8),'Council Entry'!N149)),IF('Council Entry'!N$4="Exponential",EXP(IF(AND(ISNUMBER('Council Entry'!N$8),ISNUMBER('Council Entry'!N$9)),MAX(MIN('Council Entry'!N149,'Council Entry'!N$9),'Council Entry'!N$8),'Council Entry'!N149)),IF(AND(ISNUMBER('Council Entry'!N$8),ISNUMBER('Council Entry'!N$9)),MAX(MIN('Council Entry'!N149,'Council Entry'!N$9),'Council Entry'!N$8),'Council Entry'!N149))))-'Council Entry'!N$5)/('Council Entry'!N$6-'Council Entry'!N$5),10*((IF('Council Entry'!N$4="Logarithm",LN(0.001+IF(AND(ISNUMBER('Council Entry'!N$8),ISNUMBER('Council Entry'!N$9)),MAX(MIN('Council Entry'!N149,'Council Entry'!N$9),'Council Entry'!N$8),'Council Entry'!N149)),IF('Council Entry'!N$4="Exponential",EXP(IF(AND(ISNUMBER('Council Entry'!N$8),ISNUMBER('Council Entry'!N$9)),MAX(MIN('Council Entry'!N149,'Council Entry'!N$9),'Council Entry'!N$8),'Council Entry'!N149)),IF(AND(ISNUMBER('Council Entry'!N$8),ISNUMBER('Council Entry'!N$9)),MAX(MIN('Council Entry'!N149,'Council Entry'!N$9),'Council Entry'!N$8),'Council Entry'!N149))))-'Council Entry'!N$5)/('Council Entry'!N$6-'Council Entry'!N$5)),1))),"No data"))</f>
        <v/>
      </c>
      <c r="O149" s="13">
        <f>IF('Council Entry'!O149="","",IFERROR(MAX(0,MIN(10,ROUND(IF('Council Entry'!O$7="Decrease Risk",10-10*((IF('Council Entry'!O$4="Logarithm",LN(0.001+IF(AND(ISNUMBER('Council Entry'!O$8),ISNUMBER('Council Entry'!O$9)),MAX(MIN('Council Entry'!O149,'Council Entry'!O$9),'Council Entry'!O$8),'Council Entry'!O149)),IF('Council Entry'!O$4="Exponential",EXP(IF(AND(ISNUMBER('Council Entry'!O$8),ISNUMBER('Council Entry'!O$9)),MAX(MIN('Council Entry'!O149,'Council Entry'!O$9),'Council Entry'!O$8),'Council Entry'!O149)),IF(AND(ISNUMBER('Council Entry'!O$8),ISNUMBER('Council Entry'!O$9)),MAX(MIN('Council Entry'!O149,'Council Entry'!O$9),'Council Entry'!O$8),'Council Entry'!O149))))-'Council Entry'!O$5)/('Council Entry'!O$6-'Council Entry'!O$5),10*((IF('Council Entry'!O$4="Logarithm",LN(0.001+IF(AND(ISNUMBER('Council Entry'!O$8),ISNUMBER('Council Entry'!O$9)),MAX(MIN('Council Entry'!O149,'Council Entry'!O$9),'Council Entry'!O$8),'Council Entry'!O149)),IF('Council Entry'!O$4="Exponential",EXP(IF(AND(ISNUMBER('Council Entry'!O$8),ISNUMBER('Council Entry'!O$9)),MAX(MIN('Council Entry'!O149,'Council Entry'!O$9),'Council Entry'!O$8),'Council Entry'!O149)),IF(AND(ISNUMBER('Council Entry'!O$8),ISNUMBER('Council Entry'!O$9)),MAX(MIN('Council Entry'!O149,'Council Entry'!O$9),'Council Entry'!O$8),'Council Entry'!O149))))-'Council Entry'!O$5)/('Council Entry'!O$6-'Council Entry'!O$5)),1))),"No data"))</f>
        <v/>
      </c>
      <c r="P149" s="13">
        <f>IF('Council Entry'!P149="","",IFERROR(MAX(0,MIN(10,ROUND(IF('Council Entry'!P$7="Decrease Risk",10-10*((IF('Council Entry'!P$4="Logarithm",LN(0.001+IF(AND(ISNUMBER('Council Entry'!P$8),ISNUMBER('Council Entry'!P$9)),MAX(MIN('Council Entry'!P149,'Council Entry'!P$9),'Council Entry'!P$8),'Council Entry'!P149)),IF('Council Entry'!P$4="Exponential",EXP(IF(AND(ISNUMBER('Council Entry'!P$8),ISNUMBER('Council Entry'!P$9)),MAX(MIN('Council Entry'!P149,'Council Entry'!P$9),'Council Entry'!P$8),'Council Entry'!P149)),IF(AND(ISNUMBER('Council Entry'!P$8),ISNUMBER('Council Entry'!P$9)),MAX(MIN('Council Entry'!P149,'Council Entry'!P$9),'Council Entry'!P$8),'Council Entry'!P149))))-'Council Entry'!P$5)/('Council Entry'!P$6-'Council Entry'!P$5),10*((IF('Council Entry'!P$4="Logarithm",LN(0.001+IF(AND(ISNUMBER('Council Entry'!P$8),ISNUMBER('Council Entry'!P$9)),MAX(MIN('Council Entry'!P149,'Council Entry'!P$9),'Council Entry'!P$8),'Council Entry'!P149)),IF('Council Entry'!P$4="Exponential",EXP(IF(AND(ISNUMBER('Council Entry'!P$8),ISNUMBER('Council Entry'!P$9)),MAX(MIN('Council Entry'!P149,'Council Entry'!P$9),'Council Entry'!P$8),'Council Entry'!P149)),IF(AND(ISNUMBER('Council Entry'!P$8),ISNUMBER('Council Entry'!P$9)),MAX(MIN('Council Entry'!P149,'Council Entry'!P$9),'Council Entry'!P$8),'Council Entry'!P149))))-'Council Entry'!P$5)/('Council Entry'!P$6-'Council Entry'!P$5)),1))),"No data"))</f>
        <v/>
      </c>
      <c r="Q149" s="13">
        <f>IF('Council Entry'!Q149="","",IFERROR(MAX(0,MIN(10,ROUND(IF('Council Entry'!Q$7="Decrease Risk",10-10*((IF('Council Entry'!Q$4="Logarithm",LN(0.001+IF(AND(ISNUMBER('Council Entry'!Q$8),ISNUMBER('Council Entry'!Q$9)),MAX(MIN('Council Entry'!Q149,'Council Entry'!Q$9),'Council Entry'!Q$8),'Council Entry'!Q149)),IF('Council Entry'!Q$4="Exponential",EXP(IF(AND(ISNUMBER('Council Entry'!Q$8),ISNUMBER('Council Entry'!Q$9)),MAX(MIN('Council Entry'!Q149,'Council Entry'!Q$9),'Council Entry'!Q$8),'Council Entry'!Q149)),IF(AND(ISNUMBER('Council Entry'!Q$8),ISNUMBER('Council Entry'!Q$9)),MAX(MIN('Council Entry'!Q149,'Council Entry'!Q$9),'Council Entry'!Q$8),'Council Entry'!Q149))))-'Council Entry'!Q$5)/('Council Entry'!Q$6-'Council Entry'!Q$5),10*((IF('Council Entry'!Q$4="Logarithm",LN(0.001+IF(AND(ISNUMBER('Council Entry'!Q$8),ISNUMBER('Council Entry'!Q$9)),MAX(MIN('Council Entry'!Q149,'Council Entry'!Q$9),'Council Entry'!Q$8),'Council Entry'!Q149)),IF('Council Entry'!Q$4="Exponential",EXP(IF(AND(ISNUMBER('Council Entry'!Q$8),ISNUMBER('Council Entry'!Q$9)),MAX(MIN('Council Entry'!Q149,'Council Entry'!Q$9),'Council Entry'!Q$8),'Council Entry'!Q149)),IF(AND(ISNUMBER('Council Entry'!Q$8),ISNUMBER('Council Entry'!Q$9)),MAX(MIN('Council Entry'!Q149,'Council Entry'!Q$9),'Council Entry'!Q$8),'Council Entry'!Q149))))-'Council Entry'!Q$5)/('Council Entry'!Q$6-'Council Entry'!Q$5)),1))),"No data"))</f>
        <v/>
      </c>
      <c r="R149" s="13">
        <f>IF('Council Entry'!R149="","",IFERROR(MAX(0,MIN(10,ROUND(IF('Council Entry'!R$7="Decrease Risk",10-10*((IF('Council Entry'!R$4="Logarithm",LN(0.001+IF(AND(ISNUMBER('Council Entry'!R$8),ISNUMBER('Council Entry'!R$9)),MAX(MIN('Council Entry'!R149,'Council Entry'!R$9),'Council Entry'!R$8),'Council Entry'!R149)),IF('Council Entry'!R$4="Exponential",EXP(IF(AND(ISNUMBER('Council Entry'!R$8),ISNUMBER('Council Entry'!R$9)),MAX(MIN('Council Entry'!R149,'Council Entry'!R$9),'Council Entry'!R$8),'Council Entry'!R149)),IF(AND(ISNUMBER('Council Entry'!R$8),ISNUMBER('Council Entry'!R$9)),MAX(MIN('Council Entry'!R149,'Council Entry'!R$9),'Council Entry'!R$8),'Council Entry'!R149))))-'Council Entry'!R$5)/('Council Entry'!R$6-'Council Entry'!R$5),10*((IF('Council Entry'!R$4="Logarithm",LN(0.001+IF(AND(ISNUMBER('Council Entry'!R$8),ISNUMBER('Council Entry'!R$9)),MAX(MIN('Council Entry'!R149,'Council Entry'!R$9),'Council Entry'!R$8),'Council Entry'!R149)),IF('Council Entry'!R$4="Exponential",EXP(IF(AND(ISNUMBER('Council Entry'!R$8),ISNUMBER('Council Entry'!R$9)),MAX(MIN('Council Entry'!R149,'Council Entry'!R$9),'Council Entry'!R$8),'Council Entry'!R149)),IF(AND(ISNUMBER('Council Entry'!R$8),ISNUMBER('Council Entry'!R$9)),MAX(MIN('Council Entry'!R149,'Council Entry'!R$9),'Council Entry'!R$8),'Council Entry'!R149))))-'Council Entry'!R$5)/('Council Entry'!R$6-'Council Entry'!R$5)),1))),"No data"))</f>
        <v/>
      </c>
      <c r="S149" s="13">
        <f>IF('Council Entry'!S149="","",IFERROR(MAX(0,MIN(10,ROUND(IF('Council Entry'!S$7="Decrease Risk",10-10*((IF('Council Entry'!S$4="Logarithm",LN(0.001+IF(AND(ISNUMBER('Council Entry'!S$8),ISNUMBER('Council Entry'!S$9)),MAX(MIN('Council Entry'!S149,'Council Entry'!S$9),'Council Entry'!S$8),'Council Entry'!S149)),IF('Council Entry'!S$4="Exponential",EXP(IF(AND(ISNUMBER('Council Entry'!S$8),ISNUMBER('Council Entry'!S$9)),MAX(MIN('Council Entry'!S149,'Council Entry'!S$9),'Council Entry'!S$8),'Council Entry'!S149)),IF(AND(ISNUMBER('Council Entry'!S$8),ISNUMBER('Council Entry'!S$9)),MAX(MIN('Council Entry'!S149,'Council Entry'!S$9),'Council Entry'!S$8),'Council Entry'!S149))))-'Council Entry'!S$5)/('Council Entry'!S$6-'Council Entry'!S$5),10*((IF('Council Entry'!S$4="Logarithm",LN(0.001+IF(AND(ISNUMBER('Council Entry'!S$8),ISNUMBER('Council Entry'!S$9)),MAX(MIN('Council Entry'!S149,'Council Entry'!S$9),'Council Entry'!S$8),'Council Entry'!S149)),IF('Council Entry'!S$4="Exponential",EXP(IF(AND(ISNUMBER('Council Entry'!S$8),ISNUMBER('Council Entry'!S$9)),MAX(MIN('Council Entry'!S149,'Council Entry'!S$9),'Council Entry'!S$8),'Council Entry'!S149)),IF(AND(ISNUMBER('Council Entry'!S$8),ISNUMBER('Council Entry'!S$9)),MAX(MIN('Council Entry'!S149,'Council Entry'!S$9),'Council Entry'!S$8),'Council Entry'!S149))))-'Council Entry'!S$5)/('Council Entry'!S$6-'Council Entry'!S$5)),1))),"No data"))</f>
        <v/>
      </c>
      <c r="T149" s="13">
        <f>IF('Council Entry'!T149="","",IFERROR(MAX(0,MIN(10,ROUND(IF('Council Entry'!T$7="Decrease Risk",10-10*((IF('Council Entry'!T$4="Logarithm",LN(0.001+IF(AND(ISNUMBER('Council Entry'!T$8),ISNUMBER('Council Entry'!T$9)),MAX(MIN('Council Entry'!T149,'Council Entry'!T$9),'Council Entry'!T$8),'Council Entry'!T149)),IF('Council Entry'!T$4="Exponential",EXP(IF(AND(ISNUMBER('Council Entry'!T$8),ISNUMBER('Council Entry'!T$9)),MAX(MIN('Council Entry'!T149,'Council Entry'!T$9),'Council Entry'!T$8),'Council Entry'!T149)),IF(AND(ISNUMBER('Council Entry'!T$8),ISNUMBER('Council Entry'!T$9)),MAX(MIN('Council Entry'!T149,'Council Entry'!T$9),'Council Entry'!T$8),'Council Entry'!T149))))-'Council Entry'!T$5)/('Council Entry'!T$6-'Council Entry'!T$5),10*((IF('Council Entry'!T$4="Logarithm",LN(0.001+IF(AND(ISNUMBER('Council Entry'!T$8),ISNUMBER('Council Entry'!T$9)),MAX(MIN('Council Entry'!T149,'Council Entry'!T$9),'Council Entry'!T$8),'Council Entry'!T149)),IF('Council Entry'!T$4="Exponential",EXP(IF(AND(ISNUMBER('Council Entry'!T$8),ISNUMBER('Council Entry'!T$9)),MAX(MIN('Council Entry'!T149,'Council Entry'!T$9),'Council Entry'!T$8),'Council Entry'!T149)),IF(AND(ISNUMBER('Council Entry'!T$8),ISNUMBER('Council Entry'!T$9)),MAX(MIN('Council Entry'!T149,'Council Entry'!T$9),'Council Entry'!T$8),'Council Entry'!T149))))-'Council Entry'!T$5)/('Council Entry'!T$6-'Council Entry'!T$5)),1))),"No data"))</f>
        <v/>
      </c>
      <c r="U149" s="13">
        <f>IF('Council Entry'!U149="","",IFERROR(MAX(0,MIN(10,ROUND(IF('Council Entry'!U$7="Decrease Risk",10-10*((IF('Council Entry'!U$4="Logarithm",LN(0.001+IF(AND(ISNUMBER('Council Entry'!U$8),ISNUMBER('Council Entry'!U$9)),MAX(MIN('Council Entry'!U149,'Council Entry'!U$9),'Council Entry'!U$8),'Council Entry'!U149)),IF('Council Entry'!U$4="Exponential",EXP(IF(AND(ISNUMBER('Council Entry'!U$8),ISNUMBER('Council Entry'!U$9)),MAX(MIN('Council Entry'!U149,'Council Entry'!U$9),'Council Entry'!U$8),'Council Entry'!U149)),IF(AND(ISNUMBER('Council Entry'!U$8),ISNUMBER('Council Entry'!U$9)),MAX(MIN('Council Entry'!U149,'Council Entry'!U$9),'Council Entry'!U$8),'Council Entry'!U149))))-'Council Entry'!U$5)/('Council Entry'!U$6-'Council Entry'!U$5),10*((IF('Council Entry'!U$4="Logarithm",LN(0.001+IF(AND(ISNUMBER('Council Entry'!U$8),ISNUMBER('Council Entry'!U$9)),MAX(MIN('Council Entry'!U149,'Council Entry'!U$9),'Council Entry'!U$8),'Council Entry'!U149)),IF('Council Entry'!U$4="Exponential",EXP(IF(AND(ISNUMBER('Council Entry'!U$8),ISNUMBER('Council Entry'!U$9)),MAX(MIN('Council Entry'!U149,'Council Entry'!U$9),'Council Entry'!U$8),'Council Entry'!U149)),IF(AND(ISNUMBER('Council Entry'!U$8),ISNUMBER('Council Entry'!U$9)),MAX(MIN('Council Entry'!U149,'Council Entry'!U$9),'Council Entry'!U$8),'Council Entry'!U149))))-'Council Entry'!U$5)/('Council Entry'!U$6-'Council Entry'!U$5)),1))),"No data"))</f>
        <v/>
      </c>
      <c r="V149" s="13">
        <f>IF('Council Entry'!V149="","",IFERROR(MAX(0,MIN(10,ROUND(IF('Council Entry'!V$7="Decrease Risk",10-10*((IF('Council Entry'!V$4="Logarithm",LN(0.001+IF(AND(ISNUMBER('Council Entry'!V$8),ISNUMBER('Council Entry'!V$9)),MAX(MIN('Council Entry'!V149,'Council Entry'!V$9),'Council Entry'!V$8),'Council Entry'!V149)),IF('Council Entry'!V$4="Exponential",EXP(IF(AND(ISNUMBER('Council Entry'!V$8),ISNUMBER('Council Entry'!V$9)),MAX(MIN('Council Entry'!V149,'Council Entry'!V$9),'Council Entry'!V$8),'Council Entry'!V149)),IF(AND(ISNUMBER('Council Entry'!V$8),ISNUMBER('Council Entry'!V$9)),MAX(MIN('Council Entry'!V149,'Council Entry'!V$9),'Council Entry'!V$8),'Council Entry'!V149))))-'Council Entry'!V$5)/('Council Entry'!V$6-'Council Entry'!V$5),10*((IF('Council Entry'!V$4="Logarithm",LN(0.001+IF(AND(ISNUMBER('Council Entry'!V$8),ISNUMBER('Council Entry'!V$9)),MAX(MIN('Council Entry'!V149,'Council Entry'!V$9),'Council Entry'!V$8),'Council Entry'!V149)),IF('Council Entry'!V$4="Exponential",EXP(IF(AND(ISNUMBER('Council Entry'!V$8),ISNUMBER('Council Entry'!V$9)),MAX(MIN('Council Entry'!V149,'Council Entry'!V$9),'Council Entry'!V$8),'Council Entry'!V149)),IF(AND(ISNUMBER('Council Entry'!V$8),ISNUMBER('Council Entry'!V$9)),MAX(MIN('Council Entry'!V149,'Council Entry'!V$9),'Council Entry'!V$8),'Council Entry'!V149))))-'Council Entry'!V$5)/('Council Entry'!V$6-'Council Entry'!V$5)),1))),"No data"))</f>
        <v/>
      </c>
      <c r="W149" s="13">
        <f>IF('Council Entry'!W149="","",IFERROR(MAX(0,MIN(10,ROUND(IF('Council Entry'!W$7="Decrease Risk",10-10*((IF('Council Entry'!W$4="Logarithm",LN(0.001+IF(AND(ISNUMBER('Council Entry'!W$8),ISNUMBER('Council Entry'!W$9)),MAX(MIN('Council Entry'!W149,'Council Entry'!W$9),'Council Entry'!W$8),'Council Entry'!W149)),IF('Council Entry'!W$4="Exponential",EXP(IF(AND(ISNUMBER('Council Entry'!W$8),ISNUMBER('Council Entry'!W$9)),MAX(MIN('Council Entry'!W149,'Council Entry'!W$9),'Council Entry'!W$8),'Council Entry'!W149)),IF(AND(ISNUMBER('Council Entry'!W$8),ISNUMBER('Council Entry'!W$9)),MAX(MIN('Council Entry'!W149,'Council Entry'!W$9),'Council Entry'!W$8),'Council Entry'!W149))))-'Council Entry'!W$5)/('Council Entry'!W$6-'Council Entry'!W$5),10*((IF('Council Entry'!W$4="Logarithm",LN(0.001+IF(AND(ISNUMBER('Council Entry'!W$8),ISNUMBER('Council Entry'!W$9)),MAX(MIN('Council Entry'!W149,'Council Entry'!W$9),'Council Entry'!W$8),'Council Entry'!W149)),IF('Council Entry'!W$4="Exponential",EXP(IF(AND(ISNUMBER('Council Entry'!W$8),ISNUMBER('Council Entry'!W$9)),MAX(MIN('Council Entry'!W149,'Council Entry'!W$9),'Council Entry'!W$8),'Council Entry'!W149)),IF(AND(ISNUMBER('Council Entry'!W$8),ISNUMBER('Council Entry'!W$9)),MAX(MIN('Council Entry'!W149,'Council Entry'!W$9),'Council Entry'!W$8),'Council Entry'!W149))))-'Council Entry'!W$5)/('Council Entry'!W$6-'Council Entry'!W$5)),1))),"No data"))</f>
        <v/>
      </c>
      <c r="X149" s="13">
        <f>IF('Council Entry'!X149="","",IFERROR(MAX(0,MIN(10,ROUND(IF('Council Entry'!X$7="Decrease Risk",10-10*((IF('Council Entry'!X$4="Logarithm",LN(0.001+IF(AND(ISNUMBER('Council Entry'!X$8),ISNUMBER('Council Entry'!X$9)),MAX(MIN('Council Entry'!X149,'Council Entry'!X$9),'Council Entry'!X$8),'Council Entry'!X149)),IF('Council Entry'!X$4="Exponential",EXP(IF(AND(ISNUMBER('Council Entry'!X$8),ISNUMBER('Council Entry'!X$9)),MAX(MIN('Council Entry'!X149,'Council Entry'!X$9),'Council Entry'!X$8),'Council Entry'!X149)),IF(AND(ISNUMBER('Council Entry'!X$8),ISNUMBER('Council Entry'!X$9)),MAX(MIN('Council Entry'!X149,'Council Entry'!X$9),'Council Entry'!X$8),'Council Entry'!X149))))-'Council Entry'!X$5)/('Council Entry'!X$6-'Council Entry'!X$5),10*((IF('Council Entry'!X$4="Logarithm",LN(0.001+IF(AND(ISNUMBER('Council Entry'!X$8),ISNUMBER('Council Entry'!X$9)),MAX(MIN('Council Entry'!X149,'Council Entry'!X$9),'Council Entry'!X$8),'Council Entry'!X149)),IF('Council Entry'!X$4="Exponential",EXP(IF(AND(ISNUMBER('Council Entry'!X$8),ISNUMBER('Council Entry'!X$9)),MAX(MIN('Council Entry'!X149,'Council Entry'!X$9),'Council Entry'!X$8),'Council Entry'!X149)),IF(AND(ISNUMBER('Council Entry'!X$8),ISNUMBER('Council Entry'!X$9)),MAX(MIN('Council Entry'!X149,'Council Entry'!X$9),'Council Entry'!X$8),'Council Entry'!X149))))-'Council Entry'!X$5)/('Council Entry'!X$6-'Council Entry'!X$5)),1))),"No data"))</f>
        <v/>
      </c>
      <c r="Y149" s="13">
        <f>IF('Council Entry'!Y149="","",IFERROR(MAX(0,MIN(10,ROUND(IF('Council Entry'!Y$7="Decrease Risk",10-10*((IF('Council Entry'!Y$4="Logarithm",LN(0.001+IF(AND(ISNUMBER('Council Entry'!Y$8),ISNUMBER('Council Entry'!Y$9)),MAX(MIN('Council Entry'!Y149,'Council Entry'!Y$9),'Council Entry'!Y$8),'Council Entry'!Y149)),IF('Council Entry'!Y$4="Exponential",EXP(IF(AND(ISNUMBER('Council Entry'!Y$8),ISNUMBER('Council Entry'!Y$9)),MAX(MIN('Council Entry'!Y149,'Council Entry'!Y$9),'Council Entry'!Y$8),'Council Entry'!Y149)),IF(AND(ISNUMBER('Council Entry'!Y$8),ISNUMBER('Council Entry'!Y$9)),MAX(MIN('Council Entry'!Y149,'Council Entry'!Y$9),'Council Entry'!Y$8),'Council Entry'!Y149))))-'Council Entry'!Y$5)/('Council Entry'!Y$6-'Council Entry'!Y$5),10*((IF('Council Entry'!Y$4="Logarithm",LN(0.001+IF(AND(ISNUMBER('Council Entry'!Y$8),ISNUMBER('Council Entry'!Y$9)),MAX(MIN('Council Entry'!Y149,'Council Entry'!Y$9),'Council Entry'!Y$8),'Council Entry'!Y149)),IF('Council Entry'!Y$4="Exponential",EXP(IF(AND(ISNUMBER('Council Entry'!Y$8),ISNUMBER('Council Entry'!Y$9)),MAX(MIN('Council Entry'!Y149,'Council Entry'!Y$9),'Council Entry'!Y$8),'Council Entry'!Y149)),IF(AND(ISNUMBER('Council Entry'!Y$8),ISNUMBER('Council Entry'!Y$9)),MAX(MIN('Council Entry'!Y149,'Council Entry'!Y$9),'Council Entry'!Y$8),'Council Entry'!Y149))))-'Council Entry'!Y$5)/('Council Entry'!Y$6-'Council Entry'!Y$5)),1))),"No data"))</f>
        <v/>
      </c>
      <c r="Z149" s="13">
        <f>IF('Council Entry'!Z149="","",IFERROR(MAX(0,MIN(10,ROUND(IF('Council Entry'!Z$7="Decrease Risk",10-10*((IF('Council Entry'!Z$4="Logarithm",LN(0.001+IF(AND(ISNUMBER('Council Entry'!Z$8),ISNUMBER('Council Entry'!Z$9)),MAX(MIN('Council Entry'!Z149,'Council Entry'!Z$9),'Council Entry'!Z$8),'Council Entry'!Z149)),IF('Council Entry'!Z$4="Exponential",EXP(IF(AND(ISNUMBER('Council Entry'!Z$8),ISNUMBER('Council Entry'!Z$9)),MAX(MIN('Council Entry'!Z149,'Council Entry'!Z$9),'Council Entry'!Z$8),'Council Entry'!Z149)),IF(AND(ISNUMBER('Council Entry'!Z$8),ISNUMBER('Council Entry'!Z$9)),MAX(MIN('Council Entry'!Z149,'Council Entry'!Z$9),'Council Entry'!Z$8),'Council Entry'!Z149))))-'Council Entry'!Z$5)/('Council Entry'!Z$6-'Council Entry'!Z$5),10*((IF('Council Entry'!Z$4="Logarithm",LN(0.001+IF(AND(ISNUMBER('Council Entry'!Z$8),ISNUMBER('Council Entry'!Z$9)),MAX(MIN('Council Entry'!Z149,'Council Entry'!Z$9),'Council Entry'!Z$8),'Council Entry'!Z149)),IF('Council Entry'!Z$4="Exponential",EXP(IF(AND(ISNUMBER('Council Entry'!Z$8),ISNUMBER('Council Entry'!Z$9)),MAX(MIN('Council Entry'!Z149,'Council Entry'!Z$9),'Council Entry'!Z$8),'Council Entry'!Z149)),IF(AND(ISNUMBER('Council Entry'!Z$8),ISNUMBER('Council Entry'!Z$9)),MAX(MIN('Council Entry'!Z149,'Council Entry'!Z$9),'Council Entry'!Z$8),'Council Entry'!Z149))))-'Council Entry'!Z$5)/('Council Entry'!Z$6-'Council Entry'!Z$5)),1))),"No data"))</f>
        <v/>
      </c>
      <c r="AA149" s="13">
        <f>IF('Council Entry'!AA149="","",IFERROR(MAX(0,MIN(10,ROUND(IF('Council Entry'!AA$7="Decrease Risk",10-10*((IF('Council Entry'!AA$4="Logarithm",LN(0.001+IF(AND(ISNUMBER('Council Entry'!AA$8),ISNUMBER('Council Entry'!AA$9)),MAX(MIN('Council Entry'!AA149,'Council Entry'!AA$9),'Council Entry'!AA$8),'Council Entry'!AA149)),IF('Council Entry'!AA$4="Exponential",EXP(IF(AND(ISNUMBER('Council Entry'!AA$8),ISNUMBER('Council Entry'!AA$9)),MAX(MIN('Council Entry'!AA149,'Council Entry'!AA$9),'Council Entry'!AA$8),'Council Entry'!AA149)),IF(AND(ISNUMBER('Council Entry'!AA$8),ISNUMBER('Council Entry'!AA$9)),MAX(MIN('Council Entry'!AA149,'Council Entry'!AA$9),'Council Entry'!AA$8),'Council Entry'!AA149))))-'Council Entry'!AA$5)/('Council Entry'!AA$6-'Council Entry'!AA$5),10*((IF('Council Entry'!AA$4="Logarithm",LN(0.001+IF(AND(ISNUMBER('Council Entry'!AA$8),ISNUMBER('Council Entry'!AA$9)),MAX(MIN('Council Entry'!AA149,'Council Entry'!AA$9),'Council Entry'!AA$8),'Council Entry'!AA149)),IF('Council Entry'!AA$4="Exponential",EXP(IF(AND(ISNUMBER('Council Entry'!AA$8),ISNUMBER('Council Entry'!AA$9)),MAX(MIN('Council Entry'!AA149,'Council Entry'!AA$9),'Council Entry'!AA$8),'Council Entry'!AA149)),IF(AND(ISNUMBER('Council Entry'!AA$8),ISNUMBER('Council Entry'!AA$9)),MAX(MIN('Council Entry'!AA149,'Council Entry'!AA$9),'Council Entry'!AA$8),'Council Entry'!AA149))))-'Council Entry'!AA$5)/('Council Entry'!AA$6-'Council Entry'!AA$5)),1))),"No data"))</f>
        <v/>
      </c>
      <c r="AB149" s="13">
        <f>IF('Council Entry'!AB149="","",IFERROR(MAX(0,MIN(10,ROUND(IF('Council Entry'!AB$7="Decrease Risk",10-10*((IF('Council Entry'!AB$4="Logarithm",LN(0.001+IF(AND(ISNUMBER('Council Entry'!AB$8),ISNUMBER('Council Entry'!AB$9)),MAX(MIN('Council Entry'!AB149,'Council Entry'!AB$9),'Council Entry'!AB$8),'Council Entry'!AB149)),IF('Council Entry'!AB$4="Exponential",EXP(IF(AND(ISNUMBER('Council Entry'!AB$8),ISNUMBER('Council Entry'!AB$9)),MAX(MIN('Council Entry'!AB149,'Council Entry'!AB$9),'Council Entry'!AB$8),'Council Entry'!AB149)),IF(AND(ISNUMBER('Council Entry'!AB$8),ISNUMBER('Council Entry'!AB$9)),MAX(MIN('Council Entry'!AB149,'Council Entry'!AB$9),'Council Entry'!AB$8),'Council Entry'!AB149))))-'Council Entry'!AB$5)/('Council Entry'!AB$6-'Council Entry'!AB$5),10*((IF('Council Entry'!AB$4="Logarithm",LN(0.001+IF(AND(ISNUMBER('Council Entry'!AB$8),ISNUMBER('Council Entry'!AB$9)),MAX(MIN('Council Entry'!AB149,'Council Entry'!AB$9),'Council Entry'!AB$8),'Council Entry'!AB149)),IF('Council Entry'!AB$4="Exponential",EXP(IF(AND(ISNUMBER('Council Entry'!AB$8),ISNUMBER('Council Entry'!AB$9)),MAX(MIN('Council Entry'!AB149,'Council Entry'!AB$9),'Council Entry'!AB$8),'Council Entry'!AB149)),IF(AND(ISNUMBER('Council Entry'!AB$8),ISNUMBER('Council Entry'!AB$9)),MAX(MIN('Council Entry'!AB149,'Council Entry'!AB$9),'Council Entry'!AB$8),'Council Entry'!AB149))))-'Council Entry'!AB$5)/('Council Entry'!AB$6-'Council Entry'!AB$5)),1))),"No data"))</f>
        <v/>
      </c>
      <c r="AC149" s="13">
        <f>IF('Council Entry'!AC149="","",IFERROR(MAX(0,MIN(10,ROUND(IF('Council Entry'!AC$7="Decrease Risk",10-10*((IF('Council Entry'!AC$4="Logarithm",LN(0.001+IF(AND(ISNUMBER('Council Entry'!AC$8),ISNUMBER('Council Entry'!AC$9)),MAX(MIN('Council Entry'!AC149,'Council Entry'!AC$9),'Council Entry'!AC$8),'Council Entry'!AC149)),IF('Council Entry'!AC$4="Exponential",EXP(IF(AND(ISNUMBER('Council Entry'!AC$8),ISNUMBER('Council Entry'!AC$9)),MAX(MIN('Council Entry'!AC149,'Council Entry'!AC$9),'Council Entry'!AC$8),'Council Entry'!AC149)),IF(AND(ISNUMBER('Council Entry'!AC$8),ISNUMBER('Council Entry'!AC$9)),MAX(MIN('Council Entry'!AC149,'Council Entry'!AC$9),'Council Entry'!AC$8),'Council Entry'!AC149))))-'Council Entry'!AC$5)/('Council Entry'!AC$6-'Council Entry'!AC$5),10*((IF('Council Entry'!AC$4="Logarithm",LN(0.001+IF(AND(ISNUMBER('Council Entry'!AC$8),ISNUMBER('Council Entry'!AC$9)),MAX(MIN('Council Entry'!AC149,'Council Entry'!AC$9),'Council Entry'!AC$8),'Council Entry'!AC149)),IF('Council Entry'!AC$4="Exponential",EXP(IF(AND(ISNUMBER('Council Entry'!AC$8),ISNUMBER('Council Entry'!AC$9)),MAX(MIN('Council Entry'!AC149,'Council Entry'!AC$9),'Council Entry'!AC$8),'Council Entry'!AC149)),IF(AND(ISNUMBER('Council Entry'!AC$8),ISNUMBER('Council Entry'!AC$9)),MAX(MIN('Council Entry'!AC149,'Council Entry'!AC$9),'Council Entry'!AC$8),'Council Entry'!AC149))))-'Council Entry'!AC$5)/('Council Entry'!AC$6-'Council Entry'!AC$5)),1))),"No data"))</f>
        <v/>
      </c>
      <c r="AD149" s="13">
        <f>IF('Council Entry'!AD149="","",IFERROR(MAX(0,MIN(10,ROUND(IF('Council Entry'!AD$7="Decrease Risk",10-10*((IF('Council Entry'!AD$4="Logarithm",LN(0.001+IF(AND(ISNUMBER('Council Entry'!AD$8),ISNUMBER('Council Entry'!AD$9)),MAX(MIN('Council Entry'!AD149,'Council Entry'!AD$9),'Council Entry'!AD$8),'Council Entry'!AD149)),IF('Council Entry'!AD$4="Exponential",EXP(IF(AND(ISNUMBER('Council Entry'!AD$8),ISNUMBER('Council Entry'!AD$9)),MAX(MIN('Council Entry'!AD149,'Council Entry'!AD$9),'Council Entry'!AD$8),'Council Entry'!AD149)),IF(AND(ISNUMBER('Council Entry'!AD$8),ISNUMBER('Council Entry'!AD$9)),MAX(MIN('Council Entry'!AD149,'Council Entry'!AD$9),'Council Entry'!AD$8),'Council Entry'!AD149))))-'Council Entry'!AD$5)/('Council Entry'!AD$6-'Council Entry'!AD$5),10*((IF('Council Entry'!AD$4="Logarithm",LN(0.001+IF(AND(ISNUMBER('Council Entry'!AD$8),ISNUMBER('Council Entry'!AD$9)),MAX(MIN('Council Entry'!AD149,'Council Entry'!AD$9),'Council Entry'!AD$8),'Council Entry'!AD149)),IF('Council Entry'!AD$4="Exponential",EXP(IF(AND(ISNUMBER('Council Entry'!AD$8),ISNUMBER('Council Entry'!AD$9)),MAX(MIN('Council Entry'!AD149,'Council Entry'!AD$9),'Council Entry'!AD$8),'Council Entry'!AD149)),IF(AND(ISNUMBER('Council Entry'!AD$8),ISNUMBER('Council Entry'!AD$9)),MAX(MIN('Council Entry'!AD149,'Council Entry'!AD$9),'Council Entry'!AD$8),'Council Entry'!AD149))))-'Council Entry'!AD$5)/('Council Entry'!AD$6-'Council Entry'!AD$5)),1))),"No data"))</f>
        <v/>
      </c>
      <c r="AE149" s="13">
        <f>IF('Council Entry'!AE149="","",IFERROR(MAX(0,MIN(10,ROUND(IF('Council Entry'!AE$7="Decrease Risk",10-10*((IF('Council Entry'!AE$4="Logarithm",LN(0.001+IF(AND(ISNUMBER('Council Entry'!AE$8),ISNUMBER('Council Entry'!AE$9)),MAX(MIN('Council Entry'!AE149,'Council Entry'!AE$9),'Council Entry'!AE$8),'Council Entry'!AE149)),IF('Council Entry'!AE$4="Exponential",EXP(IF(AND(ISNUMBER('Council Entry'!AE$8),ISNUMBER('Council Entry'!AE$9)),MAX(MIN('Council Entry'!AE149,'Council Entry'!AE$9),'Council Entry'!AE$8),'Council Entry'!AE149)),IF(AND(ISNUMBER('Council Entry'!AE$8),ISNUMBER('Council Entry'!AE$9)),MAX(MIN('Council Entry'!AE149,'Council Entry'!AE$9),'Council Entry'!AE$8),'Council Entry'!AE149))))-'Council Entry'!AE$5)/('Council Entry'!AE$6-'Council Entry'!AE$5),10*((IF('Council Entry'!AE$4="Logarithm",LN(0.001+IF(AND(ISNUMBER('Council Entry'!AE$8),ISNUMBER('Council Entry'!AE$9)),MAX(MIN('Council Entry'!AE149,'Council Entry'!AE$9),'Council Entry'!AE$8),'Council Entry'!AE149)),IF('Council Entry'!AE$4="Exponential",EXP(IF(AND(ISNUMBER('Council Entry'!AE$8),ISNUMBER('Council Entry'!AE$9)),MAX(MIN('Council Entry'!AE149,'Council Entry'!AE$9),'Council Entry'!AE$8),'Council Entry'!AE149)),IF(AND(ISNUMBER('Council Entry'!AE$8),ISNUMBER('Council Entry'!AE$9)),MAX(MIN('Council Entry'!AE149,'Council Entry'!AE$9),'Council Entry'!AE$8),'Council Entry'!AE149))))-'Council Entry'!AE$5)/('Council Entry'!AE$6-'Council Entry'!AE$5)),1))),"No data"))</f>
        <v/>
      </c>
      <c r="AF149" s="13">
        <f>IF('Council Entry'!AF149="","",IFERROR(MAX(0,MIN(10,ROUND(IF('Council Entry'!AF$7="Decrease Risk",10-10*((IF('Council Entry'!AF$4="Logarithm",LN(0.001+IF(AND(ISNUMBER('Council Entry'!AF$8),ISNUMBER('Council Entry'!AF$9)),MAX(MIN('Council Entry'!AF149,'Council Entry'!AF$9),'Council Entry'!AF$8),'Council Entry'!AF149)),IF('Council Entry'!AF$4="Exponential",EXP(IF(AND(ISNUMBER('Council Entry'!AF$8),ISNUMBER('Council Entry'!AF$9)),MAX(MIN('Council Entry'!AF149,'Council Entry'!AF$9),'Council Entry'!AF$8),'Council Entry'!AF149)),IF(AND(ISNUMBER('Council Entry'!AF$8),ISNUMBER('Council Entry'!AF$9)),MAX(MIN('Council Entry'!AF149,'Council Entry'!AF$9),'Council Entry'!AF$8),'Council Entry'!AF149))))-'Council Entry'!AF$5)/('Council Entry'!AF$6-'Council Entry'!AF$5),10*((IF('Council Entry'!AF$4="Logarithm",LN(0.001+IF(AND(ISNUMBER('Council Entry'!AF$8),ISNUMBER('Council Entry'!AF$9)),MAX(MIN('Council Entry'!AF149,'Council Entry'!AF$9),'Council Entry'!AF$8),'Council Entry'!AF149)),IF('Council Entry'!AF$4="Exponential",EXP(IF(AND(ISNUMBER('Council Entry'!AF$8),ISNUMBER('Council Entry'!AF$9)),MAX(MIN('Council Entry'!AF149,'Council Entry'!AF$9),'Council Entry'!AF$8),'Council Entry'!AF149)),IF(AND(ISNUMBER('Council Entry'!AF$8),ISNUMBER('Council Entry'!AF$9)),MAX(MIN('Council Entry'!AF149,'Council Entry'!AF$9),'Council Entry'!AF$8),'Council Entry'!AF149))))-'Council Entry'!AF$5)/('Council Entry'!AF$6-'Council Entry'!AF$5)),1))),"No data"))</f>
        <v/>
      </c>
      <c r="AG149" s="13">
        <f>IF('Council Entry'!AG149="","",IFERROR(MAX(0,MIN(10,ROUND(IF('Council Entry'!AG$7="Decrease Risk",10-10*((IF('Council Entry'!AG$4="Logarithm",LN(0.001+IF(AND(ISNUMBER('Council Entry'!AG$8),ISNUMBER('Council Entry'!AG$9)),MAX(MIN('Council Entry'!AG149,'Council Entry'!AG$9),'Council Entry'!AG$8),'Council Entry'!AG149)),IF('Council Entry'!AG$4="Exponential",EXP(IF(AND(ISNUMBER('Council Entry'!AG$8),ISNUMBER('Council Entry'!AG$9)),MAX(MIN('Council Entry'!AG149,'Council Entry'!AG$9),'Council Entry'!AG$8),'Council Entry'!AG149)),IF(AND(ISNUMBER('Council Entry'!AG$8),ISNUMBER('Council Entry'!AG$9)),MAX(MIN('Council Entry'!AG149,'Council Entry'!AG$9),'Council Entry'!AG$8),'Council Entry'!AG149))))-'Council Entry'!AG$5)/('Council Entry'!AG$6-'Council Entry'!AG$5),10*((IF('Council Entry'!AG$4="Logarithm",LN(0.001+IF(AND(ISNUMBER('Council Entry'!AG$8),ISNUMBER('Council Entry'!AG$9)),MAX(MIN('Council Entry'!AG149,'Council Entry'!AG$9),'Council Entry'!AG$8),'Council Entry'!AG149)),IF('Council Entry'!AG$4="Exponential",EXP(IF(AND(ISNUMBER('Council Entry'!AG$8),ISNUMBER('Council Entry'!AG$9)),MAX(MIN('Council Entry'!AG149,'Council Entry'!AG$9),'Council Entry'!AG$8),'Council Entry'!AG149)),IF(AND(ISNUMBER('Council Entry'!AG$8),ISNUMBER('Council Entry'!AG$9)),MAX(MIN('Council Entry'!AG149,'Council Entry'!AG$9),'Council Entry'!AG$8),'Council Entry'!AG149))))-'Council Entry'!AG$5)/('Council Entry'!AG$6-'Council Entry'!AG$5)),1))),"No data"))</f>
        <v/>
      </c>
      <c r="AH149" s="13">
        <f>IF('Council Entry'!AH149="","",IFERROR(MAX(0,MIN(10,ROUND(IF('Council Entry'!AH$7="Decrease Risk",10-10*((IF('Council Entry'!AH$4="Logarithm",LN(0.001+IF(AND(ISNUMBER('Council Entry'!AH$8),ISNUMBER('Council Entry'!AH$9)),MAX(MIN('Council Entry'!AH149,'Council Entry'!AH$9),'Council Entry'!AH$8),'Council Entry'!AH149)),IF('Council Entry'!AH$4="Exponential",EXP(IF(AND(ISNUMBER('Council Entry'!AH$8),ISNUMBER('Council Entry'!AH$9)),MAX(MIN('Council Entry'!AH149,'Council Entry'!AH$9),'Council Entry'!AH$8),'Council Entry'!AH149)),IF(AND(ISNUMBER('Council Entry'!AH$8),ISNUMBER('Council Entry'!AH$9)),MAX(MIN('Council Entry'!AH149,'Council Entry'!AH$9),'Council Entry'!AH$8),'Council Entry'!AH149))))-'Council Entry'!AH$5)/('Council Entry'!AH$6-'Council Entry'!AH$5),10*((IF('Council Entry'!AH$4="Logarithm",LN(0.001+IF(AND(ISNUMBER('Council Entry'!AH$8),ISNUMBER('Council Entry'!AH$9)),MAX(MIN('Council Entry'!AH149,'Council Entry'!AH$9),'Council Entry'!AH$8),'Council Entry'!AH149)),IF('Council Entry'!AH$4="Exponential",EXP(IF(AND(ISNUMBER('Council Entry'!AH$8),ISNUMBER('Council Entry'!AH$9)),MAX(MIN('Council Entry'!AH149,'Council Entry'!AH$9),'Council Entry'!AH$8),'Council Entry'!AH149)),IF(AND(ISNUMBER('Council Entry'!AH$8),ISNUMBER('Council Entry'!AH$9)),MAX(MIN('Council Entry'!AH149,'Council Entry'!AH$9),'Council Entry'!AH$8),'Council Entry'!AH149))))-'Council Entry'!AH$5)/('Council Entry'!AH$6-'Council Entry'!AH$5)),1))),"No data"))</f>
        <v/>
      </c>
      <c r="AI149" s="13">
        <f>IF('Council Entry'!AI149="","",IFERROR(MAX(0,MIN(10,ROUND(IF('Council Entry'!AI$7="Decrease Risk",10-10*((IF('Council Entry'!AI$4="Logarithm",LN(0.001+IF(AND(ISNUMBER('Council Entry'!AI$8),ISNUMBER('Council Entry'!AI$9)),MAX(MIN('Council Entry'!AI149,'Council Entry'!AI$9),'Council Entry'!AI$8),'Council Entry'!AI149)),IF('Council Entry'!AI$4="Exponential",EXP(IF(AND(ISNUMBER('Council Entry'!AI$8),ISNUMBER('Council Entry'!AI$9)),MAX(MIN('Council Entry'!AI149,'Council Entry'!AI$9),'Council Entry'!AI$8),'Council Entry'!AI149)),IF(AND(ISNUMBER('Council Entry'!AI$8),ISNUMBER('Council Entry'!AI$9)),MAX(MIN('Council Entry'!AI149,'Council Entry'!AI$9),'Council Entry'!AI$8),'Council Entry'!AI149))))-'Council Entry'!AI$5)/('Council Entry'!AI$6-'Council Entry'!AI$5),10*((IF('Council Entry'!AI$4="Logarithm",LN(0.001+IF(AND(ISNUMBER('Council Entry'!AI$8),ISNUMBER('Council Entry'!AI$9)),MAX(MIN('Council Entry'!AI149,'Council Entry'!AI$9),'Council Entry'!AI$8),'Council Entry'!AI149)),IF('Council Entry'!AI$4="Exponential",EXP(IF(AND(ISNUMBER('Council Entry'!AI$8),ISNUMBER('Council Entry'!AI$9)),MAX(MIN('Council Entry'!AI149,'Council Entry'!AI$9),'Council Entry'!AI$8),'Council Entry'!AI149)),IF(AND(ISNUMBER('Council Entry'!AI$8),ISNUMBER('Council Entry'!AI$9)),MAX(MIN('Council Entry'!AI149,'Council Entry'!AI$9),'Council Entry'!AI$8),'Council Entry'!AI149))))-'Council Entry'!AI$5)/('Council Entry'!AI$6-'Council Entry'!AI$5)),1))),"No data"))</f>
        <v/>
      </c>
      <c r="AJ149" s="13">
        <f>IF('Council Entry'!AJ149="","",IFERROR(MAX(0,MIN(10,ROUND(IF('Council Entry'!AJ$7="Decrease Risk",10-10*((IF('Council Entry'!AJ$4="Logarithm",LN(0.001+IF(AND(ISNUMBER('Council Entry'!AJ$8),ISNUMBER('Council Entry'!AJ$9)),MAX(MIN('Council Entry'!AJ149,'Council Entry'!AJ$9),'Council Entry'!AJ$8),'Council Entry'!AJ149)),IF('Council Entry'!AJ$4="Exponential",EXP(IF(AND(ISNUMBER('Council Entry'!AJ$8),ISNUMBER('Council Entry'!AJ$9)),MAX(MIN('Council Entry'!AJ149,'Council Entry'!AJ$9),'Council Entry'!AJ$8),'Council Entry'!AJ149)),IF(AND(ISNUMBER('Council Entry'!AJ$8),ISNUMBER('Council Entry'!AJ$9)),MAX(MIN('Council Entry'!AJ149,'Council Entry'!AJ$9),'Council Entry'!AJ$8),'Council Entry'!AJ149))))-'Council Entry'!AJ$5)/('Council Entry'!AJ$6-'Council Entry'!AJ$5),10*((IF('Council Entry'!AJ$4="Logarithm",LN(0.001+IF(AND(ISNUMBER('Council Entry'!AJ$8),ISNUMBER('Council Entry'!AJ$9)),MAX(MIN('Council Entry'!AJ149,'Council Entry'!AJ$9),'Council Entry'!AJ$8),'Council Entry'!AJ149)),IF('Council Entry'!AJ$4="Exponential",EXP(IF(AND(ISNUMBER('Council Entry'!AJ$8),ISNUMBER('Council Entry'!AJ$9)),MAX(MIN('Council Entry'!AJ149,'Council Entry'!AJ$9),'Council Entry'!AJ$8),'Council Entry'!AJ149)),IF(AND(ISNUMBER('Council Entry'!AJ$8),ISNUMBER('Council Entry'!AJ$9)),MAX(MIN('Council Entry'!AJ149,'Council Entry'!AJ$9),'Council Entry'!AJ$8),'Council Entry'!AJ149))))-'Council Entry'!AJ$5)/('Council Entry'!AJ$6-'Council Entry'!AJ$5)),1))),"No data"))</f>
        <v/>
      </c>
      <c r="AK149" s="13">
        <f>IF('Council Entry'!AK149="","",IFERROR(MAX(0,MIN(10,ROUND(IF('Council Entry'!AK$7="Decrease Risk",10-10*((IF('Council Entry'!AK$4="Logarithm",LN(0.001+IF(AND(ISNUMBER('Council Entry'!AK$8),ISNUMBER('Council Entry'!AK$9)),MAX(MIN('Council Entry'!AK149,'Council Entry'!AK$9),'Council Entry'!AK$8),'Council Entry'!AK149)),IF('Council Entry'!AK$4="Exponential",EXP(IF(AND(ISNUMBER('Council Entry'!AK$8),ISNUMBER('Council Entry'!AK$9)),MAX(MIN('Council Entry'!AK149,'Council Entry'!AK$9),'Council Entry'!AK$8),'Council Entry'!AK149)),IF(AND(ISNUMBER('Council Entry'!AK$8),ISNUMBER('Council Entry'!AK$9)),MAX(MIN('Council Entry'!AK149,'Council Entry'!AK$9),'Council Entry'!AK$8),'Council Entry'!AK149))))-'Council Entry'!AK$5)/('Council Entry'!AK$6-'Council Entry'!AK$5),10*((IF('Council Entry'!AK$4="Logarithm",LN(0.001+IF(AND(ISNUMBER('Council Entry'!AK$8),ISNUMBER('Council Entry'!AK$9)),MAX(MIN('Council Entry'!AK149,'Council Entry'!AK$9),'Council Entry'!AK$8),'Council Entry'!AK149)),IF('Council Entry'!AK$4="Exponential",EXP(IF(AND(ISNUMBER('Council Entry'!AK$8),ISNUMBER('Council Entry'!AK$9)),MAX(MIN('Council Entry'!AK149,'Council Entry'!AK$9),'Council Entry'!AK$8),'Council Entry'!AK149)),IF(AND(ISNUMBER('Council Entry'!AK$8),ISNUMBER('Council Entry'!AK$9)),MAX(MIN('Council Entry'!AK149,'Council Entry'!AK$9),'Council Entry'!AK$8),'Council Entry'!AK149))))-'Council Entry'!AK$5)/('Council Entry'!AK$6-'Council Entry'!AK$5)),1))),"No data"))</f>
        <v/>
      </c>
      <c r="AL149" s="13">
        <f>IF('Council Entry'!AL149="","",IFERROR(MAX(0,MIN(10,ROUND(IF('Council Entry'!AL$7="Decrease Risk",10-10*((IF('Council Entry'!AL$4="Logarithm",LN(0.001+IF(AND(ISNUMBER('Council Entry'!AL$8),ISNUMBER('Council Entry'!AL$9)),MAX(MIN('Council Entry'!AL149,'Council Entry'!AL$9),'Council Entry'!AL$8),'Council Entry'!AL149)),IF('Council Entry'!AL$4="Exponential",EXP(IF(AND(ISNUMBER('Council Entry'!AL$8),ISNUMBER('Council Entry'!AL$9)),MAX(MIN('Council Entry'!AL149,'Council Entry'!AL$9),'Council Entry'!AL$8),'Council Entry'!AL149)),IF(AND(ISNUMBER('Council Entry'!AL$8),ISNUMBER('Council Entry'!AL$9)),MAX(MIN('Council Entry'!AL149,'Council Entry'!AL$9),'Council Entry'!AL$8),'Council Entry'!AL149))))-'Council Entry'!AL$5)/('Council Entry'!AL$6-'Council Entry'!AL$5),10*((IF('Council Entry'!AL$4="Logarithm",LN(0.001+IF(AND(ISNUMBER('Council Entry'!AL$8),ISNUMBER('Council Entry'!AL$9)),MAX(MIN('Council Entry'!AL149,'Council Entry'!AL$9),'Council Entry'!AL$8),'Council Entry'!AL149)),IF('Council Entry'!AL$4="Exponential",EXP(IF(AND(ISNUMBER('Council Entry'!AL$8),ISNUMBER('Council Entry'!AL$9)),MAX(MIN('Council Entry'!AL149,'Council Entry'!AL$9),'Council Entry'!AL$8),'Council Entry'!AL149)),IF(AND(ISNUMBER('Council Entry'!AL$8),ISNUMBER('Council Entry'!AL$9)),MAX(MIN('Council Entry'!AL149,'Council Entry'!AL$9),'Council Entry'!AL$8),'Council Entry'!AL149))))-'Council Entry'!AL$5)/('Council Entry'!AL$6-'Council Entry'!AL$5)),1))),"No data"))</f>
        <v/>
      </c>
      <c r="AM149" s="13">
        <f>IF('Council Entry'!AM149="","",IFERROR(MAX(0,MIN(10,ROUND(IF('Council Entry'!AM$7="Decrease Risk",10-10*((IF('Council Entry'!AM$4="Logarithm",LN(0.001+IF(AND(ISNUMBER('Council Entry'!AM$8),ISNUMBER('Council Entry'!AM$9)),MAX(MIN('Council Entry'!AM149,'Council Entry'!AM$9),'Council Entry'!AM$8),'Council Entry'!AM149)),IF('Council Entry'!AM$4="Exponential",EXP(IF(AND(ISNUMBER('Council Entry'!AM$8),ISNUMBER('Council Entry'!AM$9)),MAX(MIN('Council Entry'!AM149,'Council Entry'!AM$9),'Council Entry'!AM$8),'Council Entry'!AM149)),IF(AND(ISNUMBER('Council Entry'!AM$8),ISNUMBER('Council Entry'!AM$9)),MAX(MIN('Council Entry'!AM149,'Council Entry'!AM$9),'Council Entry'!AM$8),'Council Entry'!AM149))))-'Council Entry'!AM$5)/('Council Entry'!AM$6-'Council Entry'!AM$5),10*((IF('Council Entry'!AM$4="Logarithm",LN(0.001+IF(AND(ISNUMBER('Council Entry'!AM$8),ISNUMBER('Council Entry'!AM$9)),MAX(MIN('Council Entry'!AM149,'Council Entry'!AM$9),'Council Entry'!AM$8),'Council Entry'!AM149)),IF('Council Entry'!AM$4="Exponential",EXP(IF(AND(ISNUMBER('Council Entry'!AM$8),ISNUMBER('Council Entry'!AM$9)),MAX(MIN('Council Entry'!AM149,'Council Entry'!AM$9),'Council Entry'!AM$8),'Council Entry'!AM149)),IF(AND(ISNUMBER('Council Entry'!AM$8),ISNUMBER('Council Entry'!AM$9)),MAX(MIN('Council Entry'!AM149,'Council Entry'!AM$9),'Council Entry'!AM$8),'Council Entry'!AM149))))-'Council Entry'!AM$5)/('Council Entry'!AM$6-'Council Entry'!AM$5)),1))),"No data"))</f>
        <v/>
      </c>
      <c r="AN149" s="13">
        <f>IF('Council Entry'!AN149="","",IFERROR(MAX(0,MIN(10,ROUND(IF('Council Entry'!AN$7="Decrease Risk",10-10*((IF('Council Entry'!AN$4="Logarithm",LN(0.001+IF(AND(ISNUMBER('Council Entry'!AN$8),ISNUMBER('Council Entry'!AN$9)),MAX(MIN('Council Entry'!AN149,'Council Entry'!AN$9),'Council Entry'!AN$8),'Council Entry'!AN149)),IF('Council Entry'!AN$4="Exponential",EXP(IF(AND(ISNUMBER('Council Entry'!AN$8),ISNUMBER('Council Entry'!AN$9)),MAX(MIN('Council Entry'!AN149,'Council Entry'!AN$9),'Council Entry'!AN$8),'Council Entry'!AN149)),IF(AND(ISNUMBER('Council Entry'!AN$8),ISNUMBER('Council Entry'!AN$9)),MAX(MIN('Council Entry'!AN149,'Council Entry'!AN$9),'Council Entry'!AN$8),'Council Entry'!AN149))))-'Council Entry'!AN$5)/('Council Entry'!AN$6-'Council Entry'!AN$5),10*((IF('Council Entry'!AN$4="Logarithm",LN(0.001+IF(AND(ISNUMBER('Council Entry'!AN$8),ISNUMBER('Council Entry'!AN$9)),MAX(MIN('Council Entry'!AN149,'Council Entry'!AN$9),'Council Entry'!AN$8),'Council Entry'!AN149)),IF('Council Entry'!AN$4="Exponential",EXP(IF(AND(ISNUMBER('Council Entry'!AN$8),ISNUMBER('Council Entry'!AN$9)),MAX(MIN('Council Entry'!AN149,'Council Entry'!AN$9),'Council Entry'!AN$8),'Council Entry'!AN149)),IF(AND(ISNUMBER('Council Entry'!AN$8),ISNUMBER('Council Entry'!AN$9)),MAX(MIN('Council Entry'!AN149,'Council Entry'!AN$9),'Council Entry'!AN$8),'Council Entry'!AN149))))-'Council Entry'!AN$5)/('Council Entry'!AN$6-'Council Entry'!AN$5)),1))),"No data"))</f>
        <v/>
      </c>
      <c r="AO149" s="13">
        <f>IF('Council Entry'!AO149="","",IFERROR(MAX(0,MIN(10,ROUND(IF('Council Entry'!AO$7="Decrease Risk",10-10*((IF('Council Entry'!AO$4="Logarithm",LN(0.001+IF(AND(ISNUMBER('Council Entry'!AO$8),ISNUMBER('Council Entry'!AO$9)),MAX(MIN('Council Entry'!AO149,'Council Entry'!AO$9),'Council Entry'!AO$8),'Council Entry'!AO149)),IF('Council Entry'!AO$4="Exponential",EXP(IF(AND(ISNUMBER('Council Entry'!AO$8),ISNUMBER('Council Entry'!AO$9)),MAX(MIN('Council Entry'!AO149,'Council Entry'!AO$9),'Council Entry'!AO$8),'Council Entry'!AO149)),IF(AND(ISNUMBER('Council Entry'!AO$8),ISNUMBER('Council Entry'!AO$9)),MAX(MIN('Council Entry'!AO149,'Council Entry'!AO$9),'Council Entry'!AO$8),'Council Entry'!AO149))))-'Council Entry'!AO$5)/('Council Entry'!AO$6-'Council Entry'!AO$5),10*((IF('Council Entry'!AO$4="Logarithm",LN(0.001+IF(AND(ISNUMBER('Council Entry'!AO$8),ISNUMBER('Council Entry'!AO$9)),MAX(MIN('Council Entry'!AO149,'Council Entry'!AO$9),'Council Entry'!AO$8),'Council Entry'!AO149)),IF('Council Entry'!AO$4="Exponential",EXP(IF(AND(ISNUMBER('Council Entry'!AO$8),ISNUMBER('Council Entry'!AO$9)),MAX(MIN('Council Entry'!AO149,'Council Entry'!AO$9),'Council Entry'!AO$8),'Council Entry'!AO149)),IF(AND(ISNUMBER('Council Entry'!AO$8),ISNUMBER('Council Entry'!AO$9)),MAX(MIN('Council Entry'!AO149,'Council Entry'!AO$9),'Council Entry'!AO$8),'Council Entry'!AO149))))-'Council Entry'!AO$5)/('Council Entry'!AO$6-'Council Entry'!AO$5)),1))),"No data"))</f>
        <v/>
      </c>
      <c r="AP149" s="13">
        <f>IF('Council Entry'!AP149="","",IFERROR(MAX(0,MIN(10,ROUND(IF('Council Entry'!AP$7="Decrease Risk",10-10*((IF('Council Entry'!AP$4="Logarithm",LN(0.001+IF(AND(ISNUMBER('Council Entry'!AP$8),ISNUMBER('Council Entry'!AP$9)),MAX(MIN('Council Entry'!AP149,'Council Entry'!AP$9),'Council Entry'!AP$8),'Council Entry'!AP149)),IF('Council Entry'!AP$4="Exponential",EXP(IF(AND(ISNUMBER('Council Entry'!AP$8),ISNUMBER('Council Entry'!AP$9)),MAX(MIN('Council Entry'!AP149,'Council Entry'!AP$9),'Council Entry'!AP$8),'Council Entry'!AP149)),IF(AND(ISNUMBER('Council Entry'!AP$8),ISNUMBER('Council Entry'!AP$9)),MAX(MIN('Council Entry'!AP149,'Council Entry'!AP$9),'Council Entry'!AP$8),'Council Entry'!AP149))))-'Council Entry'!AP$5)/('Council Entry'!AP$6-'Council Entry'!AP$5),10*((IF('Council Entry'!AP$4="Logarithm",LN(0.001+IF(AND(ISNUMBER('Council Entry'!AP$8),ISNUMBER('Council Entry'!AP$9)),MAX(MIN('Council Entry'!AP149,'Council Entry'!AP$9),'Council Entry'!AP$8),'Council Entry'!AP149)),IF('Council Entry'!AP$4="Exponential",EXP(IF(AND(ISNUMBER('Council Entry'!AP$8),ISNUMBER('Council Entry'!AP$9)),MAX(MIN('Council Entry'!AP149,'Council Entry'!AP$9),'Council Entry'!AP$8),'Council Entry'!AP149)),IF(AND(ISNUMBER('Council Entry'!AP$8),ISNUMBER('Council Entry'!AP$9)),MAX(MIN('Council Entry'!AP149,'Council Entry'!AP$9),'Council Entry'!AP$8),'Council Entry'!AP149))))-'Council Entry'!AP$5)/('Council Entry'!AP$6-'Council Entry'!AP$5)),1))),"No data"))</f>
        <v/>
      </c>
      <c r="AQ149" s="13">
        <f>IF('Council Entry'!AQ149="","",IFERROR(MAX(0,MIN(10,ROUND(IF('Council Entry'!AQ$7="Decrease Risk",10-10*((IF('Council Entry'!AQ$4="Logarithm",LN(0.001+IF(AND(ISNUMBER('Council Entry'!AQ$8),ISNUMBER('Council Entry'!AQ$9)),MAX(MIN('Council Entry'!AQ149,'Council Entry'!AQ$9),'Council Entry'!AQ$8),'Council Entry'!AQ149)),IF('Council Entry'!AQ$4="Exponential",EXP(IF(AND(ISNUMBER('Council Entry'!AQ$8),ISNUMBER('Council Entry'!AQ$9)),MAX(MIN('Council Entry'!AQ149,'Council Entry'!AQ$9),'Council Entry'!AQ$8),'Council Entry'!AQ149)),IF(AND(ISNUMBER('Council Entry'!AQ$8),ISNUMBER('Council Entry'!AQ$9)),MAX(MIN('Council Entry'!AQ149,'Council Entry'!AQ$9),'Council Entry'!AQ$8),'Council Entry'!AQ149))))-'Council Entry'!AQ$5)/('Council Entry'!AQ$6-'Council Entry'!AQ$5),10*((IF('Council Entry'!AQ$4="Logarithm",LN(0.001+IF(AND(ISNUMBER('Council Entry'!AQ$8),ISNUMBER('Council Entry'!AQ$9)),MAX(MIN('Council Entry'!AQ149,'Council Entry'!AQ$9),'Council Entry'!AQ$8),'Council Entry'!AQ149)),IF('Council Entry'!AQ$4="Exponential",EXP(IF(AND(ISNUMBER('Council Entry'!AQ$8),ISNUMBER('Council Entry'!AQ$9)),MAX(MIN('Council Entry'!AQ149,'Council Entry'!AQ$9),'Council Entry'!AQ$8),'Council Entry'!AQ149)),IF(AND(ISNUMBER('Council Entry'!AQ$8),ISNUMBER('Council Entry'!AQ$9)),MAX(MIN('Council Entry'!AQ149,'Council Entry'!AQ$9),'Council Entry'!AQ$8),'Council Entry'!AQ149))))-'Council Entry'!AQ$5)/('Council Entry'!AQ$6-'Council Entry'!AQ$5)),1))),"No data"))</f>
        <v/>
      </c>
      <c r="AR149" s="13">
        <f>IF('Council Entry'!AR149="","",IFERROR(MAX(0,MIN(10,ROUND(IF('Council Entry'!AR$7="Decrease Risk",10-10*((IF('Council Entry'!AR$4="Logarithm",LN(0.001+IF(AND(ISNUMBER('Council Entry'!AR$8),ISNUMBER('Council Entry'!AR$9)),MAX(MIN('Council Entry'!AR149,'Council Entry'!AR$9),'Council Entry'!AR$8),'Council Entry'!AR149)),IF('Council Entry'!AR$4="Exponential",EXP(IF(AND(ISNUMBER('Council Entry'!AR$8),ISNUMBER('Council Entry'!AR$9)),MAX(MIN('Council Entry'!AR149,'Council Entry'!AR$9),'Council Entry'!AR$8),'Council Entry'!AR149)),IF(AND(ISNUMBER('Council Entry'!AR$8),ISNUMBER('Council Entry'!AR$9)),MAX(MIN('Council Entry'!AR149,'Council Entry'!AR$9),'Council Entry'!AR$8),'Council Entry'!AR149))))-'Council Entry'!AR$5)/('Council Entry'!AR$6-'Council Entry'!AR$5),10*((IF('Council Entry'!AR$4="Logarithm",LN(0.001+IF(AND(ISNUMBER('Council Entry'!AR$8),ISNUMBER('Council Entry'!AR$9)),MAX(MIN('Council Entry'!AR149,'Council Entry'!AR$9),'Council Entry'!AR$8),'Council Entry'!AR149)),IF('Council Entry'!AR$4="Exponential",EXP(IF(AND(ISNUMBER('Council Entry'!AR$8),ISNUMBER('Council Entry'!AR$9)),MAX(MIN('Council Entry'!AR149,'Council Entry'!AR$9),'Council Entry'!AR$8),'Council Entry'!AR149)),IF(AND(ISNUMBER('Council Entry'!AR$8),ISNUMBER('Council Entry'!AR$9)),MAX(MIN('Council Entry'!AR149,'Council Entry'!AR$9),'Council Entry'!AR$8),'Council Entry'!AR149))))-'Council Entry'!AR$5)/('Council Entry'!AR$6-'Council Entry'!AR$5)),1))),"No data"))</f>
        <v/>
      </c>
      <c r="AS149" s="13">
        <f>IF('Council Entry'!AS149="","",IFERROR(MAX(0,MIN(10,ROUND(IF('Council Entry'!AS$7="Decrease Risk",10-10*((IF('Council Entry'!AS$4="Logarithm",LN(0.001+IF(AND(ISNUMBER('Council Entry'!AS$8),ISNUMBER('Council Entry'!AS$9)),MAX(MIN('Council Entry'!AS149,'Council Entry'!AS$9),'Council Entry'!AS$8),'Council Entry'!AS149)),IF('Council Entry'!AS$4="Exponential",EXP(IF(AND(ISNUMBER('Council Entry'!AS$8),ISNUMBER('Council Entry'!AS$9)),MAX(MIN('Council Entry'!AS149,'Council Entry'!AS$9),'Council Entry'!AS$8),'Council Entry'!AS149)),IF(AND(ISNUMBER('Council Entry'!AS$8),ISNUMBER('Council Entry'!AS$9)),MAX(MIN('Council Entry'!AS149,'Council Entry'!AS$9),'Council Entry'!AS$8),'Council Entry'!AS149))))-'Council Entry'!AS$5)/('Council Entry'!AS$6-'Council Entry'!AS$5),10*((IF('Council Entry'!AS$4="Logarithm",LN(0.001+IF(AND(ISNUMBER('Council Entry'!AS$8),ISNUMBER('Council Entry'!AS$9)),MAX(MIN('Council Entry'!AS149,'Council Entry'!AS$9),'Council Entry'!AS$8),'Council Entry'!AS149)),IF('Council Entry'!AS$4="Exponential",EXP(IF(AND(ISNUMBER('Council Entry'!AS$8),ISNUMBER('Council Entry'!AS$9)),MAX(MIN('Council Entry'!AS149,'Council Entry'!AS$9),'Council Entry'!AS$8),'Council Entry'!AS149)),IF(AND(ISNUMBER('Council Entry'!AS$8),ISNUMBER('Council Entry'!AS$9)),MAX(MIN('Council Entry'!AS149,'Council Entry'!AS$9),'Council Entry'!AS$8),'Council Entry'!AS149))))-'Council Entry'!AS$5)/('Council Entry'!AS$6-'Council Entry'!AS$5)),1))),"No data"))</f>
        <v/>
      </c>
      <c r="AT149" s="13">
        <f>IF('Council Entry'!AT149="","",IFERROR(MAX(0,MIN(10,ROUND(IF('Council Entry'!AT$7="Decrease Risk",10-10*((IF('Council Entry'!AT$4="Logarithm",LN(0.001+IF(AND(ISNUMBER('Council Entry'!AT$8),ISNUMBER('Council Entry'!AT$9)),MAX(MIN('Council Entry'!AT149,'Council Entry'!AT$9),'Council Entry'!AT$8),'Council Entry'!AT149)),IF('Council Entry'!AT$4="Exponential",EXP(IF(AND(ISNUMBER('Council Entry'!AT$8),ISNUMBER('Council Entry'!AT$9)),MAX(MIN('Council Entry'!AT149,'Council Entry'!AT$9),'Council Entry'!AT$8),'Council Entry'!AT149)),IF(AND(ISNUMBER('Council Entry'!AT$8),ISNUMBER('Council Entry'!AT$9)),MAX(MIN('Council Entry'!AT149,'Council Entry'!AT$9),'Council Entry'!AT$8),'Council Entry'!AT149))))-'Council Entry'!AT$5)/('Council Entry'!AT$6-'Council Entry'!AT$5),10*((IF('Council Entry'!AT$4="Logarithm",LN(0.001+IF(AND(ISNUMBER('Council Entry'!AT$8),ISNUMBER('Council Entry'!AT$9)),MAX(MIN('Council Entry'!AT149,'Council Entry'!AT$9),'Council Entry'!AT$8),'Council Entry'!AT149)),IF('Council Entry'!AT$4="Exponential",EXP(IF(AND(ISNUMBER('Council Entry'!AT$8),ISNUMBER('Council Entry'!AT$9)),MAX(MIN('Council Entry'!AT149,'Council Entry'!AT$9),'Council Entry'!AT$8),'Council Entry'!AT149)),IF(AND(ISNUMBER('Council Entry'!AT$8),ISNUMBER('Council Entry'!AT$9)),MAX(MIN('Council Entry'!AT149,'Council Entry'!AT$9),'Council Entry'!AT$8),'Council Entry'!AT149))))-'Council Entry'!AT$5)/('Council Entry'!AT$6-'Council Entry'!AT$5)),1))),"No data"))</f>
        <v/>
      </c>
      <c r="AU149" s="13">
        <f>IF('Council Entry'!AU149="","",IFERROR(MAX(0,MIN(10,ROUND(IF('Council Entry'!AU$7="Decrease Risk",10-10*((IF('Council Entry'!AU$4="Logarithm",LN(0.001+IF(AND(ISNUMBER('Council Entry'!AU$8),ISNUMBER('Council Entry'!AU$9)),MAX(MIN('Council Entry'!AU149,'Council Entry'!AU$9),'Council Entry'!AU$8),'Council Entry'!AU149)),IF('Council Entry'!AU$4="Exponential",EXP(IF(AND(ISNUMBER('Council Entry'!AU$8),ISNUMBER('Council Entry'!AU$9)),MAX(MIN('Council Entry'!AU149,'Council Entry'!AU$9),'Council Entry'!AU$8),'Council Entry'!AU149)),IF(AND(ISNUMBER('Council Entry'!AU$8),ISNUMBER('Council Entry'!AU$9)),MAX(MIN('Council Entry'!AU149,'Council Entry'!AU$9),'Council Entry'!AU$8),'Council Entry'!AU149))))-'Council Entry'!AU$5)/('Council Entry'!AU$6-'Council Entry'!AU$5),10*((IF('Council Entry'!AU$4="Logarithm",LN(0.001+IF(AND(ISNUMBER('Council Entry'!AU$8),ISNUMBER('Council Entry'!AU$9)),MAX(MIN('Council Entry'!AU149,'Council Entry'!AU$9),'Council Entry'!AU$8),'Council Entry'!AU149)),IF('Council Entry'!AU$4="Exponential",EXP(IF(AND(ISNUMBER('Council Entry'!AU$8),ISNUMBER('Council Entry'!AU$9)),MAX(MIN('Council Entry'!AU149,'Council Entry'!AU$9),'Council Entry'!AU$8),'Council Entry'!AU149)),IF(AND(ISNUMBER('Council Entry'!AU$8),ISNUMBER('Council Entry'!AU$9)),MAX(MIN('Council Entry'!AU149,'Council Entry'!AU$9),'Council Entry'!AU$8),'Council Entry'!AU149))))-'Council Entry'!AU$5)/('Council Entry'!AU$6-'Council Entry'!AU$5)),1))),"No data"))</f>
        <v/>
      </c>
      <c r="AV149" s="13">
        <f>IF('Council Entry'!AV149="","",IFERROR(MAX(0,MIN(10,ROUND(IF('Council Entry'!AV$7="Decrease Risk",10-10*((IF('Council Entry'!AV$4="Logarithm",LN(0.001+IF(AND(ISNUMBER('Council Entry'!AV$8),ISNUMBER('Council Entry'!AV$9)),MAX(MIN('Council Entry'!AV149,'Council Entry'!AV$9),'Council Entry'!AV$8),'Council Entry'!AV149)),IF('Council Entry'!AV$4="Exponential",EXP(IF(AND(ISNUMBER('Council Entry'!AV$8),ISNUMBER('Council Entry'!AV$9)),MAX(MIN('Council Entry'!AV149,'Council Entry'!AV$9),'Council Entry'!AV$8),'Council Entry'!AV149)),IF(AND(ISNUMBER('Council Entry'!AV$8),ISNUMBER('Council Entry'!AV$9)),MAX(MIN('Council Entry'!AV149,'Council Entry'!AV$9),'Council Entry'!AV$8),'Council Entry'!AV149))))-'Council Entry'!AV$5)/('Council Entry'!AV$6-'Council Entry'!AV$5),10*((IF('Council Entry'!AV$4="Logarithm",LN(0.001+IF(AND(ISNUMBER('Council Entry'!AV$8),ISNUMBER('Council Entry'!AV$9)),MAX(MIN('Council Entry'!AV149,'Council Entry'!AV$9),'Council Entry'!AV$8),'Council Entry'!AV149)),IF('Council Entry'!AV$4="Exponential",EXP(IF(AND(ISNUMBER('Council Entry'!AV$8),ISNUMBER('Council Entry'!AV$9)),MAX(MIN('Council Entry'!AV149,'Council Entry'!AV$9),'Council Entry'!AV$8),'Council Entry'!AV149)),IF(AND(ISNUMBER('Council Entry'!AV$8),ISNUMBER('Council Entry'!AV$9)),MAX(MIN('Council Entry'!AV149,'Council Entry'!AV$9),'Council Entry'!AV$8),'Council Entry'!AV149))))-'Council Entry'!AV$5)/('Council Entry'!AV$6-'Council Entry'!AV$5)),1))),"No data"))</f>
        <v/>
      </c>
      <c r="AW149" s="13">
        <f>IF('Council Entry'!AW149="","",IFERROR(MAX(0,MIN(10,ROUND(IF('Council Entry'!AW$7="Decrease Risk",10-10*((IF('Council Entry'!AW$4="Logarithm",LN(0.001+IF(AND(ISNUMBER('Council Entry'!AW$8),ISNUMBER('Council Entry'!AW$9)),MAX(MIN('Council Entry'!AW149,'Council Entry'!AW$9),'Council Entry'!AW$8),'Council Entry'!AW149)),IF('Council Entry'!AW$4="Exponential",EXP(IF(AND(ISNUMBER('Council Entry'!AW$8),ISNUMBER('Council Entry'!AW$9)),MAX(MIN('Council Entry'!AW149,'Council Entry'!AW$9),'Council Entry'!AW$8),'Council Entry'!AW149)),IF(AND(ISNUMBER('Council Entry'!AW$8),ISNUMBER('Council Entry'!AW$9)),MAX(MIN('Council Entry'!AW149,'Council Entry'!AW$9),'Council Entry'!AW$8),'Council Entry'!AW149))))-'Council Entry'!AW$5)/('Council Entry'!AW$6-'Council Entry'!AW$5),10*((IF('Council Entry'!AW$4="Logarithm",LN(0.001+IF(AND(ISNUMBER('Council Entry'!AW$8),ISNUMBER('Council Entry'!AW$9)),MAX(MIN('Council Entry'!AW149,'Council Entry'!AW$9),'Council Entry'!AW$8),'Council Entry'!AW149)),IF('Council Entry'!AW$4="Exponential",EXP(IF(AND(ISNUMBER('Council Entry'!AW$8),ISNUMBER('Council Entry'!AW$9)),MAX(MIN('Council Entry'!AW149,'Council Entry'!AW$9),'Council Entry'!AW$8),'Council Entry'!AW149)),IF(AND(ISNUMBER('Council Entry'!AW$8),ISNUMBER('Council Entry'!AW$9)),MAX(MIN('Council Entry'!AW149,'Council Entry'!AW$9),'Council Entry'!AW$8),'Council Entry'!AW149))))-'Council Entry'!AW$5)/('Council Entry'!AW$6-'Council Entry'!AW$5)),1))),"No data"))</f>
        <v/>
      </c>
      <c r="AX149" s="13">
        <f>IF('Council Entry'!AX149="","",IFERROR(MAX(0,MIN(10,ROUND(IF('Council Entry'!AX$7="Decrease Risk",10-10*((IF('Council Entry'!AX$4="Logarithm",LN(0.001+IF(AND(ISNUMBER('Council Entry'!AX$8),ISNUMBER('Council Entry'!AX$9)),MAX(MIN('Council Entry'!AX149,'Council Entry'!AX$9),'Council Entry'!AX$8),'Council Entry'!AX149)),IF('Council Entry'!AX$4="Exponential",EXP(IF(AND(ISNUMBER('Council Entry'!AX$8),ISNUMBER('Council Entry'!AX$9)),MAX(MIN('Council Entry'!AX149,'Council Entry'!AX$9),'Council Entry'!AX$8),'Council Entry'!AX149)),IF(AND(ISNUMBER('Council Entry'!AX$8),ISNUMBER('Council Entry'!AX$9)),MAX(MIN('Council Entry'!AX149,'Council Entry'!AX$9),'Council Entry'!AX$8),'Council Entry'!AX149))))-'Council Entry'!AX$5)/('Council Entry'!AX$6-'Council Entry'!AX$5),10*((IF('Council Entry'!AX$4="Logarithm",LN(0.001+IF(AND(ISNUMBER('Council Entry'!AX$8),ISNUMBER('Council Entry'!AX$9)),MAX(MIN('Council Entry'!AX149,'Council Entry'!AX$9),'Council Entry'!AX$8),'Council Entry'!AX149)),IF('Council Entry'!AX$4="Exponential",EXP(IF(AND(ISNUMBER('Council Entry'!AX$8),ISNUMBER('Council Entry'!AX$9)),MAX(MIN('Council Entry'!AX149,'Council Entry'!AX$9),'Council Entry'!AX$8),'Council Entry'!AX149)),IF(AND(ISNUMBER('Council Entry'!AX$8),ISNUMBER('Council Entry'!AX$9)),MAX(MIN('Council Entry'!AX149,'Council Entry'!AX$9),'Council Entry'!AX$8),'Council Entry'!AX149))))-'Council Entry'!AX$5)/('Council Entry'!AX$6-'Council Entry'!AX$5)),1))),"No data"))</f>
        <v/>
      </c>
      <c r="AY149" s="13">
        <f>IF('Council Entry'!AY149="","",IFERROR(MAX(0,MIN(10,ROUND(IF('Council Entry'!AY$7="Decrease Risk",10-10*((IF('Council Entry'!AY$4="Logarithm",LN(0.001+IF(AND(ISNUMBER('Council Entry'!AY$8),ISNUMBER('Council Entry'!AY$9)),MAX(MIN('Council Entry'!AY149,'Council Entry'!AY$9),'Council Entry'!AY$8),'Council Entry'!AY149)),IF('Council Entry'!AY$4="Exponential",EXP(IF(AND(ISNUMBER('Council Entry'!AY$8),ISNUMBER('Council Entry'!AY$9)),MAX(MIN('Council Entry'!AY149,'Council Entry'!AY$9),'Council Entry'!AY$8),'Council Entry'!AY149)),IF(AND(ISNUMBER('Council Entry'!AY$8),ISNUMBER('Council Entry'!AY$9)),MAX(MIN('Council Entry'!AY149,'Council Entry'!AY$9),'Council Entry'!AY$8),'Council Entry'!AY149))))-'Council Entry'!AY$5)/('Council Entry'!AY$6-'Council Entry'!AY$5),10*((IF('Council Entry'!AY$4="Logarithm",LN(0.001+IF(AND(ISNUMBER('Council Entry'!AY$8),ISNUMBER('Council Entry'!AY$9)),MAX(MIN('Council Entry'!AY149,'Council Entry'!AY$9),'Council Entry'!AY$8),'Council Entry'!AY149)),IF('Council Entry'!AY$4="Exponential",EXP(IF(AND(ISNUMBER('Council Entry'!AY$8),ISNUMBER('Council Entry'!AY$9)),MAX(MIN('Council Entry'!AY149,'Council Entry'!AY$9),'Council Entry'!AY$8),'Council Entry'!AY149)),IF(AND(ISNUMBER('Council Entry'!AY$8),ISNUMBER('Council Entry'!AY$9)),MAX(MIN('Council Entry'!AY149,'Council Entry'!AY$9),'Council Entry'!AY$8),'Council Entry'!AY149))))-'Council Entry'!AY$5)/('Council Entry'!AY$6-'Council Entry'!AY$5)),1))),"No data"))</f>
        <v/>
      </c>
      <c r="AZ149" s="13">
        <f>IF('Council Entry'!AZ149="","",IFERROR(MAX(0,MIN(10,ROUND(IF('Council Entry'!AZ$7="Decrease Risk",10-10*((IF('Council Entry'!AZ$4="Logarithm",LN(0.001+IF(AND(ISNUMBER('Council Entry'!AZ$8),ISNUMBER('Council Entry'!AZ$9)),MAX(MIN('Council Entry'!AZ149,'Council Entry'!AZ$9),'Council Entry'!AZ$8),'Council Entry'!AZ149)),IF('Council Entry'!AZ$4="Exponential",EXP(IF(AND(ISNUMBER('Council Entry'!AZ$8),ISNUMBER('Council Entry'!AZ$9)),MAX(MIN('Council Entry'!AZ149,'Council Entry'!AZ$9),'Council Entry'!AZ$8),'Council Entry'!AZ149)),IF(AND(ISNUMBER('Council Entry'!AZ$8),ISNUMBER('Council Entry'!AZ$9)),MAX(MIN('Council Entry'!AZ149,'Council Entry'!AZ$9),'Council Entry'!AZ$8),'Council Entry'!AZ149))))-'Council Entry'!AZ$5)/('Council Entry'!AZ$6-'Council Entry'!AZ$5),10*((IF('Council Entry'!AZ$4="Logarithm",LN(0.001+IF(AND(ISNUMBER('Council Entry'!AZ$8),ISNUMBER('Council Entry'!AZ$9)),MAX(MIN('Council Entry'!AZ149,'Council Entry'!AZ$9),'Council Entry'!AZ$8),'Council Entry'!AZ149)),IF('Council Entry'!AZ$4="Exponential",EXP(IF(AND(ISNUMBER('Council Entry'!AZ$8),ISNUMBER('Council Entry'!AZ$9)),MAX(MIN('Council Entry'!AZ149,'Council Entry'!AZ$9),'Council Entry'!AZ$8),'Council Entry'!AZ149)),IF(AND(ISNUMBER('Council Entry'!AZ$8),ISNUMBER('Council Entry'!AZ$9)),MAX(MIN('Council Entry'!AZ149,'Council Entry'!AZ$9),'Council Entry'!AZ$8),'Council Entry'!AZ149))))-'Council Entry'!AZ$5)/('Council Entry'!AZ$6-'Council Entry'!AZ$5)),1))),"No data"))</f>
        <v/>
      </c>
      <c r="BA149" s="13">
        <f>IF('Council Entry'!BA149="","",IFERROR(MAX(0,MIN(10,ROUND(IF('Council Entry'!BA$7="Decrease Risk",10-10*((IF('Council Entry'!BA$4="Logarithm",LN(0.001+IF(AND(ISNUMBER('Council Entry'!BA$8),ISNUMBER('Council Entry'!BA$9)),MAX(MIN('Council Entry'!BA149,'Council Entry'!BA$9),'Council Entry'!BA$8),'Council Entry'!BA149)),IF('Council Entry'!BA$4="Exponential",EXP(IF(AND(ISNUMBER('Council Entry'!BA$8),ISNUMBER('Council Entry'!BA$9)),MAX(MIN('Council Entry'!BA149,'Council Entry'!BA$9),'Council Entry'!BA$8),'Council Entry'!BA149)),IF(AND(ISNUMBER('Council Entry'!BA$8),ISNUMBER('Council Entry'!BA$9)),MAX(MIN('Council Entry'!BA149,'Council Entry'!BA$9),'Council Entry'!BA$8),'Council Entry'!BA149))))-'Council Entry'!BA$5)/('Council Entry'!BA$6-'Council Entry'!BA$5),10*((IF('Council Entry'!BA$4="Logarithm",LN(0.001+IF(AND(ISNUMBER('Council Entry'!BA$8),ISNUMBER('Council Entry'!BA$9)),MAX(MIN('Council Entry'!BA149,'Council Entry'!BA$9),'Council Entry'!BA$8),'Council Entry'!BA149)),IF('Council Entry'!BA$4="Exponential",EXP(IF(AND(ISNUMBER('Council Entry'!BA$8),ISNUMBER('Council Entry'!BA$9)),MAX(MIN('Council Entry'!BA149,'Council Entry'!BA$9),'Council Entry'!BA$8),'Council Entry'!BA149)),IF(AND(ISNUMBER('Council Entry'!BA$8),ISNUMBER('Council Entry'!BA$9)),MAX(MIN('Council Entry'!BA149,'Council Entry'!BA$9),'Council Entry'!BA$8),'Council Entry'!BA149))))-'Council Entry'!BA$5)/('Council Entry'!BA$6-'Council Entry'!BA$5)),1))),"No data"))</f>
        <v/>
      </c>
      <c r="BB149" s="13">
        <f>IF('Council Entry'!BB149="","",IFERROR(MAX(0,MIN(10,ROUND(IF('Council Entry'!BB$7="Decrease Risk",10-10*((IF('Council Entry'!BB$4="Logarithm",LN(0.001+IF(AND(ISNUMBER('Council Entry'!BB$8),ISNUMBER('Council Entry'!BB$9)),MAX(MIN('Council Entry'!BB149,'Council Entry'!BB$9),'Council Entry'!BB$8),'Council Entry'!BB149)),IF('Council Entry'!BB$4="Exponential",EXP(IF(AND(ISNUMBER('Council Entry'!BB$8),ISNUMBER('Council Entry'!BB$9)),MAX(MIN('Council Entry'!BB149,'Council Entry'!BB$9),'Council Entry'!BB$8),'Council Entry'!BB149)),IF(AND(ISNUMBER('Council Entry'!BB$8),ISNUMBER('Council Entry'!BB$9)),MAX(MIN('Council Entry'!BB149,'Council Entry'!BB$9),'Council Entry'!BB$8),'Council Entry'!BB149))))-'Council Entry'!BB$5)/('Council Entry'!BB$6-'Council Entry'!BB$5),10*((IF('Council Entry'!BB$4="Logarithm",LN(0.001+IF(AND(ISNUMBER('Council Entry'!BB$8),ISNUMBER('Council Entry'!BB$9)),MAX(MIN('Council Entry'!BB149,'Council Entry'!BB$9),'Council Entry'!BB$8),'Council Entry'!BB149)),IF('Council Entry'!BB$4="Exponential",EXP(IF(AND(ISNUMBER('Council Entry'!BB$8),ISNUMBER('Council Entry'!BB$9)),MAX(MIN('Council Entry'!BB149,'Council Entry'!BB$9),'Council Entry'!BB$8),'Council Entry'!BB149)),IF(AND(ISNUMBER('Council Entry'!BB$8),ISNUMBER('Council Entry'!BB$9)),MAX(MIN('Council Entry'!BB149,'Council Entry'!BB$9),'Council Entry'!BB$8),'Council Entry'!BB149))))-'Council Entry'!BB$5)/('Council Entry'!BB$6-'Council Entry'!BB$5)),1))),"No data"))</f>
        <v/>
      </c>
      <c r="BC149" s="13">
        <f>IF('Council Entry'!BC149="","",IFERROR(MAX(0,MIN(10,ROUND(IF('Council Entry'!BC$7="Decrease Risk",10-10*((IF('Council Entry'!BC$4="Logarithm",LN(0.001+IF(AND(ISNUMBER('Council Entry'!BC$8),ISNUMBER('Council Entry'!BC$9)),MAX(MIN('Council Entry'!BC149,'Council Entry'!BC$9),'Council Entry'!BC$8),'Council Entry'!BC149)),IF('Council Entry'!BC$4="Exponential",EXP(IF(AND(ISNUMBER('Council Entry'!BC$8),ISNUMBER('Council Entry'!BC$9)),MAX(MIN('Council Entry'!BC149,'Council Entry'!BC$9),'Council Entry'!BC$8),'Council Entry'!BC149)),IF(AND(ISNUMBER('Council Entry'!BC$8),ISNUMBER('Council Entry'!BC$9)),MAX(MIN('Council Entry'!BC149,'Council Entry'!BC$9),'Council Entry'!BC$8),'Council Entry'!BC149))))-'Council Entry'!BC$5)/('Council Entry'!BC$6-'Council Entry'!BC$5),10*((IF('Council Entry'!BC$4="Logarithm",LN(0.001+IF(AND(ISNUMBER('Council Entry'!BC$8),ISNUMBER('Council Entry'!BC$9)),MAX(MIN('Council Entry'!BC149,'Council Entry'!BC$9),'Council Entry'!BC$8),'Council Entry'!BC149)),IF('Council Entry'!BC$4="Exponential",EXP(IF(AND(ISNUMBER('Council Entry'!BC$8),ISNUMBER('Council Entry'!BC$9)),MAX(MIN('Council Entry'!BC149,'Council Entry'!BC$9),'Council Entry'!BC$8),'Council Entry'!BC149)),IF(AND(ISNUMBER('Council Entry'!BC$8),ISNUMBER('Council Entry'!BC$9)),MAX(MIN('Council Entry'!BC149,'Council Entry'!BC$9),'Council Entry'!BC$8),'Council Entry'!BC149))))-'Council Entry'!BC$5)/('Council Entry'!BC$6-'Council Entry'!BC$5)),1))),"No data"))</f>
        <v/>
      </c>
      <c r="BD149" s="13">
        <f>IF('Council Entry'!BD149="","",IFERROR(MAX(0,MIN(10,ROUND(IF('Council Entry'!BD$7="Decrease Risk",10-10*((IF('Council Entry'!BD$4="Logarithm",LN(0.001+IF(AND(ISNUMBER('Council Entry'!BD$8),ISNUMBER('Council Entry'!BD$9)),MAX(MIN('Council Entry'!BD149,'Council Entry'!BD$9),'Council Entry'!BD$8),'Council Entry'!BD149)),IF('Council Entry'!BD$4="Exponential",EXP(IF(AND(ISNUMBER('Council Entry'!BD$8),ISNUMBER('Council Entry'!BD$9)),MAX(MIN('Council Entry'!BD149,'Council Entry'!BD$9),'Council Entry'!BD$8),'Council Entry'!BD149)),IF(AND(ISNUMBER('Council Entry'!BD$8),ISNUMBER('Council Entry'!BD$9)),MAX(MIN('Council Entry'!BD149,'Council Entry'!BD$9),'Council Entry'!BD$8),'Council Entry'!BD149))))-'Council Entry'!BD$5)/('Council Entry'!BD$6-'Council Entry'!BD$5),10*((IF('Council Entry'!BD$4="Logarithm",LN(0.001+IF(AND(ISNUMBER('Council Entry'!BD$8),ISNUMBER('Council Entry'!BD$9)),MAX(MIN('Council Entry'!BD149,'Council Entry'!BD$9),'Council Entry'!BD$8),'Council Entry'!BD149)),IF('Council Entry'!BD$4="Exponential",EXP(IF(AND(ISNUMBER('Council Entry'!BD$8),ISNUMBER('Council Entry'!BD$9)),MAX(MIN('Council Entry'!BD149,'Council Entry'!BD$9),'Council Entry'!BD$8),'Council Entry'!BD149)),IF(AND(ISNUMBER('Council Entry'!BD$8),ISNUMBER('Council Entry'!BD$9)),MAX(MIN('Council Entry'!BD149,'Council Entry'!BD$9),'Council Entry'!BD$8),'Council Entry'!BD149))))-'Council Entry'!BD$5)/('Council Entry'!BD$6-'Council Entry'!BD$5)),1))),"No data"))</f>
        <v/>
      </c>
    </row>
    <row r="150">
      <c r="A150" t="inlineStr">
        <is>
          <t>Pwani</t>
        </is>
      </c>
      <c r="B150" t="inlineStr">
        <is>
          <t>Rufiji District</t>
        </is>
      </c>
      <c r="C150" t="inlineStr">
        <is>
          <t>C049</t>
        </is>
      </c>
      <c r="D150" s="13">
        <f>IF('Council Entry'!D150="","",IFERROR(MAX(0,MIN(10,ROUND(IF('Council Entry'!D$7="Decrease Risk",10-10*((IF('Council Entry'!D$4="Logarithm",LN(0.001+IF(AND(ISNUMBER('Council Entry'!D$8),ISNUMBER('Council Entry'!D$9)),MAX(MIN('Council Entry'!D150,'Council Entry'!D$9),'Council Entry'!D$8),'Council Entry'!D150)),IF('Council Entry'!D$4="Exponential",EXP(IF(AND(ISNUMBER('Council Entry'!D$8),ISNUMBER('Council Entry'!D$9)),MAX(MIN('Council Entry'!D150,'Council Entry'!D$9),'Council Entry'!D$8),'Council Entry'!D150)),IF(AND(ISNUMBER('Council Entry'!D$8),ISNUMBER('Council Entry'!D$9)),MAX(MIN('Council Entry'!D150,'Council Entry'!D$9),'Council Entry'!D$8),'Council Entry'!D150))))-'Council Entry'!D$5)/('Council Entry'!D$6-'Council Entry'!D$5),10*((IF('Council Entry'!D$4="Logarithm",LN(0.001+IF(AND(ISNUMBER('Council Entry'!D$8),ISNUMBER('Council Entry'!D$9)),MAX(MIN('Council Entry'!D150,'Council Entry'!D$9),'Council Entry'!D$8),'Council Entry'!D150)),IF('Council Entry'!D$4="Exponential",EXP(IF(AND(ISNUMBER('Council Entry'!D$8),ISNUMBER('Council Entry'!D$9)),MAX(MIN('Council Entry'!D150,'Council Entry'!D$9),'Council Entry'!D$8),'Council Entry'!D150)),IF(AND(ISNUMBER('Council Entry'!D$8),ISNUMBER('Council Entry'!D$9)),MAX(MIN('Council Entry'!D150,'Council Entry'!D$9),'Council Entry'!D$8),'Council Entry'!D150))))-'Council Entry'!D$5)/('Council Entry'!D$6-'Council Entry'!D$5)),1))),"No data"))</f>
        <v/>
      </c>
      <c r="E150" s="13">
        <f>IF('Council Entry'!E150="","",IFERROR(MAX(0,MIN(10,ROUND(IF('Council Entry'!E$7="Decrease Risk",10-10*((IF('Council Entry'!E$4="Logarithm",LN(0.001+IF(AND(ISNUMBER('Council Entry'!E$8),ISNUMBER('Council Entry'!E$9)),MAX(MIN('Council Entry'!E150,'Council Entry'!E$9),'Council Entry'!E$8),'Council Entry'!E150)),IF('Council Entry'!E$4="Exponential",EXP(IF(AND(ISNUMBER('Council Entry'!E$8),ISNUMBER('Council Entry'!E$9)),MAX(MIN('Council Entry'!E150,'Council Entry'!E$9),'Council Entry'!E$8),'Council Entry'!E150)),IF(AND(ISNUMBER('Council Entry'!E$8),ISNUMBER('Council Entry'!E$9)),MAX(MIN('Council Entry'!E150,'Council Entry'!E$9),'Council Entry'!E$8),'Council Entry'!E150))))-'Council Entry'!E$5)/('Council Entry'!E$6-'Council Entry'!E$5),10*((IF('Council Entry'!E$4="Logarithm",LN(0.001+IF(AND(ISNUMBER('Council Entry'!E$8),ISNUMBER('Council Entry'!E$9)),MAX(MIN('Council Entry'!E150,'Council Entry'!E$9),'Council Entry'!E$8),'Council Entry'!E150)),IF('Council Entry'!E$4="Exponential",EXP(IF(AND(ISNUMBER('Council Entry'!E$8),ISNUMBER('Council Entry'!E$9)),MAX(MIN('Council Entry'!E150,'Council Entry'!E$9),'Council Entry'!E$8),'Council Entry'!E150)),IF(AND(ISNUMBER('Council Entry'!E$8),ISNUMBER('Council Entry'!E$9)),MAX(MIN('Council Entry'!E150,'Council Entry'!E$9),'Council Entry'!E$8),'Council Entry'!E150))))-'Council Entry'!E$5)/('Council Entry'!E$6-'Council Entry'!E$5)),1))),"No data"))</f>
        <v/>
      </c>
      <c r="F150" s="13">
        <f>IF('Council Entry'!F150="","",IFERROR(MAX(0,MIN(10,ROUND(IF('Council Entry'!F$7="Decrease Risk",10-10*((IF('Council Entry'!F$4="Logarithm",LN(0.001+IF(AND(ISNUMBER('Council Entry'!F$8),ISNUMBER('Council Entry'!F$9)),MAX(MIN('Council Entry'!F150,'Council Entry'!F$9),'Council Entry'!F$8),'Council Entry'!F150)),IF('Council Entry'!F$4="Exponential",EXP(IF(AND(ISNUMBER('Council Entry'!F$8),ISNUMBER('Council Entry'!F$9)),MAX(MIN('Council Entry'!F150,'Council Entry'!F$9),'Council Entry'!F$8),'Council Entry'!F150)),IF(AND(ISNUMBER('Council Entry'!F$8),ISNUMBER('Council Entry'!F$9)),MAX(MIN('Council Entry'!F150,'Council Entry'!F$9),'Council Entry'!F$8),'Council Entry'!F150))))-'Council Entry'!F$5)/('Council Entry'!F$6-'Council Entry'!F$5),10*((IF('Council Entry'!F$4="Logarithm",LN(0.001+IF(AND(ISNUMBER('Council Entry'!F$8),ISNUMBER('Council Entry'!F$9)),MAX(MIN('Council Entry'!F150,'Council Entry'!F$9),'Council Entry'!F$8),'Council Entry'!F150)),IF('Council Entry'!F$4="Exponential",EXP(IF(AND(ISNUMBER('Council Entry'!F$8),ISNUMBER('Council Entry'!F$9)),MAX(MIN('Council Entry'!F150,'Council Entry'!F$9),'Council Entry'!F$8),'Council Entry'!F150)),IF(AND(ISNUMBER('Council Entry'!F$8),ISNUMBER('Council Entry'!F$9)),MAX(MIN('Council Entry'!F150,'Council Entry'!F$9),'Council Entry'!F$8),'Council Entry'!F150))))-'Council Entry'!F$5)/('Council Entry'!F$6-'Council Entry'!F$5)),1))),"No data"))</f>
        <v/>
      </c>
      <c r="G150" s="13">
        <f>IF('Council Entry'!G150="","",IFERROR(MAX(0,MIN(10,ROUND(IF('Council Entry'!G$7="Decrease Risk",10-10*((IF('Council Entry'!G$4="Logarithm",LN(0.001+IF(AND(ISNUMBER('Council Entry'!G$8),ISNUMBER('Council Entry'!G$9)),MAX(MIN('Council Entry'!G150,'Council Entry'!G$9),'Council Entry'!G$8),'Council Entry'!G150)),IF('Council Entry'!G$4="Exponential",EXP(IF(AND(ISNUMBER('Council Entry'!G$8),ISNUMBER('Council Entry'!G$9)),MAX(MIN('Council Entry'!G150,'Council Entry'!G$9),'Council Entry'!G$8),'Council Entry'!G150)),IF(AND(ISNUMBER('Council Entry'!G$8),ISNUMBER('Council Entry'!G$9)),MAX(MIN('Council Entry'!G150,'Council Entry'!G$9),'Council Entry'!G$8),'Council Entry'!G150))))-'Council Entry'!G$5)/('Council Entry'!G$6-'Council Entry'!G$5),10*((IF('Council Entry'!G$4="Logarithm",LN(0.001+IF(AND(ISNUMBER('Council Entry'!G$8),ISNUMBER('Council Entry'!G$9)),MAX(MIN('Council Entry'!G150,'Council Entry'!G$9),'Council Entry'!G$8),'Council Entry'!G150)),IF('Council Entry'!G$4="Exponential",EXP(IF(AND(ISNUMBER('Council Entry'!G$8),ISNUMBER('Council Entry'!G$9)),MAX(MIN('Council Entry'!G150,'Council Entry'!G$9),'Council Entry'!G$8),'Council Entry'!G150)),IF(AND(ISNUMBER('Council Entry'!G$8),ISNUMBER('Council Entry'!G$9)),MAX(MIN('Council Entry'!G150,'Council Entry'!G$9),'Council Entry'!G$8),'Council Entry'!G150))))-'Council Entry'!G$5)/('Council Entry'!G$6-'Council Entry'!G$5)),1))),"No data"))</f>
        <v/>
      </c>
      <c r="H150" s="13">
        <f>IF('Council Entry'!H150="","",IFERROR(MAX(0,MIN(10,ROUND(IF('Council Entry'!H$7="Decrease Risk",10-10*((IF('Council Entry'!H$4="Logarithm",LN(0.001+IF(AND(ISNUMBER('Council Entry'!H$8),ISNUMBER('Council Entry'!H$9)),MAX(MIN('Council Entry'!H150,'Council Entry'!H$9),'Council Entry'!H$8),'Council Entry'!H150)),IF('Council Entry'!H$4="Exponential",EXP(IF(AND(ISNUMBER('Council Entry'!H$8),ISNUMBER('Council Entry'!H$9)),MAX(MIN('Council Entry'!H150,'Council Entry'!H$9),'Council Entry'!H$8),'Council Entry'!H150)),IF(AND(ISNUMBER('Council Entry'!H$8),ISNUMBER('Council Entry'!H$9)),MAX(MIN('Council Entry'!H150,'Council Entry'!H$9),'Council Entry'!H$8),'Council Entry'!H150))))-'Council Entry'!H$5)/('Council Entry'!H$6-'Council Entry'!H$5),10*((IF('Council Entry'!H$4="Logarithm",LN(0.001+IF(AND(ISNUMBER('Council Entry'!H$8),ISNUMBER('Council Entry'!H$9)),MAX(MIN('Council Entry'!H150,'Council Entry'!H$9),'Council Entry'!H$8),'Council Entry'!H150)),IF('Council Entry'!H$4="Exponential",EXP(IF(AND(ISNUMBER('Council Entry'!H$8),ISNUMBER('Council Entry'!H$9)),MAX(MIN('Council Entry'!H150,'Council Entry'!H$9),'Council Entry'!H$8),'Council Entry'!H150)),IF(AND(ISNUMBER('Council Entry'!H$8),ISNUMBER('Council Entry'!H$9)),MAX(MIN('Council Entry'!H150,'Council Entry'!H$9),'Council Entry'!H$8),'Council Entry'!H150))))-'Council Entry'!H$5)/('Council Entry'!H$6-'Council Entry'!H$5)),1))),"No data"))</f>
        <v/>
      </c>
      <c r="I150" s="13">
        <f>IF('Council Entry'!I150="","",IFERROR(MAX(0,MIN(10,ROUND(IF('Council Entry'!I$7="Decrease Risk",10-10*((IF('Council Entry'!I$4="Logarithm",LN(0.001+IF(AND(ISNUMBER('Council Entry'!I$8),ISNUMBER('Council Entry'!I$9)),MAX(MIN('Council Entry'!I150,'Council Entry'!I$9),'Council Entry'!I$8),'Council Entry'!I150)),IF('Council Entry'!I$4="Exponential",EXP(IF(AND(ISNUMBER('Council Entry'!I$8),ISNUMBER('Council Entry'!I$9)),MAX(MIN('Council Entry'!I150,'Council Entry'!I$9),'Council Entry'!I$8),'Council Entry'!I150)),IF(AND(ISNUMBER('Council Entry'!I$8),ISNUMBER('Council Entry'!I$9)),MAX(MIN('Council Entry'!I150,'Council Entry'!I$9),'Council Entry'!I$8),'Council Entry'!I150))))-'Council Entry'!I$5)/('Council Entry'!I$6-'Council Entry'!I$5),10*((IF('Council Entry'!I$4="Logarithm",LN(0.001+IF(AND(ISNUMBER('Council Entry'!I$8),ISNUMBER('Council Entry'!I$9)),MAX(MIN('Council Entry'!I150,'Council Entry'!I$9),'Council Entry'!I$8),'Council Entry'!I150)),IF('Council Entry'!I$4="Exponential",EXP(IF(AND(ISNUMBER('Council Entry'!I$8),ISNUMBER('Council Entry'!I$9)),MAX(MIN('Council Entry'!I150,'Council Entry'!I$9),'Council Entry'!I$8),'Council Entry'!I150)),IF(AND(ISNUMBER('Council Entry'!I$8),ISNUMBER('Council Entry'!I$9)),MAX(MIN('Council Entry'!I150,'Council Entry'!I$9),'Council Entry'!I$8),'Council Entry'!I150))))-'Council Entry'!I$5)/('Council Entry'!I$6-'Council Entry'!I$5)),1))),"No data"))</f>
        <v/>
      </c>
      <c r="J150" s="13">
        <f>IF('Council Entry'!J150="","",IFERROR(MAX(0,MIN(10,ROUND(IF('Council Entry'!J$7="Decrease Risk",10-10*((IF('Council Entry'!J$4="Logarithm",LN(0.001+IF(AND(ISNUMBER('Council Entry'!J$8),ISNUMBER('Council Entry'!J$9)),MAX(MIN('Council Entry'!J150,'Council Entry'!J$9),'Council Entry'!J$8),'Council Entry'!J150)),IF('Council Entry'!J$4="Exponential",EXP(IF(AND(ISNUMBER('Council Entry'!J$8),ISNUMBER('Council Entry'!J$9)),MAX(MIN('Council Entry'!J150,'Council Entry'!J$9),'Council Entry'!J$8),'Council Entry'!J150)),IF(AND(ISNUMBER('Council Entry'!J$8),ISNUMBER('Council Entry'!J$9)),MAX(MIN('Council Entry'!J150,'Council Entry'!J$9),'Council Entry'!J$8),'Council Entry'!J150))))-'Council Entry'!J$5)/('Council Entry'!J$6-'Council Entry'!J$5),10*((IF('Council Entry'!J$4="Logarithm",LN(0.001+IF(AND(ISNUMBER('Council Entry'!J$8),ISNUMBER('Council Entry'!J$9)),MAX(MIN('Council Entry'!J150,'Council Entry'!J$9),'Council Entry'!J$8),'Council Entry'!J150)),IF('Council Entry'!J$4="Exponential",EXP(IF(AND(ISNUMBER('Council Entry'!J$8),ISNUMBER('Council Entry'!J$9)),MAX(MIN('Council Entry'!J150,'Council Entry'!J$9),'Council Entry'!J$8),'Council Entry'!J150)),IF(AND(ISNUMBER('Council Entry'!J$8),ISNUMBER('Council Entry'!J$9)),MAX(MIN('Council Entry'!J150,'Council Entry'!J$9),'Council Entry'!J$8),'Council Entry'!J150))))-'Council Entry'!J$5)/('Council Entry'!J$6-'Council Entry'!J$5)),1))),"No data"))</f>
        <v/>
      </c>
      <c r="K150" s="13">
        <f>IF('Council Entry'!K150="","",IFERROR(MAX(0,MIN(10,ROUND(IF('Council Entry'!K$7="Decrease Risk",10-10*((IF('Council Entry'!K$4="Logarithm",LN(0.001+IF(AND(ISNUMBER('Council Entry'!K$8),ISNUMBER('Council Entry'!K$9)),MAX(MIN('Council Entry'!K150,'Council Entry'!K$9),'Council Entry'!K$8),'Council Entry'!K150)),IF('Council Entry'!K$4="Exponential",EXP(IF(AND(ISNUMBER('Council Entry'!K$8),ISNUMBER('Council Entry'!K$9)),MAX(MIN('Council Entry'!K150,'Council Entry'!K$9),'Council Entry'!K$8),'Council Entry'!K150)),IF(AND(ISNUMBER('Council Entry'!K$8),ISNUMBER('Council Entry'!K$9)),MAX(MIN('Council Entry'!K150,'Council Entry'!K$9),'Council Entry'!K$8),'Council Entry'!K150))))-'Council Entry'!K$5)/('Council Entry'!K$6-'Council Entry'!K$5),10*((IF('Council Entry'!K$4="Logarithm",LN(0.001+IF(AND(ISNUMBER('Council Entry'!K$8),ISNUMBER('Council Entry'!K$9)),MAX(MIN('Council Entry'!K150,'Council Entry'!K$9),'Council Entry'!K$8),'Council Entry'!K150)),IF('Council Entry'!K$4="Exponential",EXP(IF(AND(ISNUMBER('Council Entry'!K$8),ISNUMBER('Council Entry'!K$9)),MAX(MIN('Council Entry'!K150,'Council Entry'!K$9),'Council Entry'!K$8),'Council Entry'!K150)),IF(AND(ISNUMBER('Council Entry'!K$8),ISNUMBER('Council Entry'!K$9)),MAX(MIN('Council Entry'!K150,'Council Entry'!K$9),'Council Entry'!K$8),'Council Entry'!K150))))-'Council Entry'!K$5)/('Council Entry'!K$6-'Council Entry'!K$5)),1))),"No data"))</f>
        <v/>
      </c>
      <c r="L150" s="13">
        <f>IF('Council Entry'!L150="","",IFERROR(MAX(0,MIN(10,ROUND(IF('Council Entry'!L$7="Decrease Risk",10-10*((IF('Council Entry'!L$4="Logarithm",LN(0.001+IF(AND(ISNUMBER('Council Entry'!L$8),ISNUMBER('Council Entry'!L$9)),MAX(MIN('Council Entry'!L150,'Council Entry'!L$9),'Council Entry'!L$8),'Council Entry'!L150)),IF('Council Entry'!L$4="Exponential",EXP(IF(AND(ISNUMBER('Council Entry'!L$8),ISNUMBER('Council Entry'!L$9)),MAX(MIN('Council Entry'!L150,'Council Entry'!L$9),'Council Entry'!L$8),'Council Entry'!L150)),IF(AND(ISNUMBER('Council Entry'!L$8),ISNUMBER('Council Entry'!L$9)),MAX(MIN('Council Entry'!L150,'Council Entry'!L$9),'Council Entry'!L$8),'Council Entry'!L150))))-'Council Entry'!L$5)/('Council Entry'!L$6-'Council Entry'!L$5),10*((IF('Council Entry'!L$4="Logarithm",LN(0.001+IF(AND(ISNUMBER('Council Entry'!L$8),ISNUMBER('Council Entry'!L$9)),MAX(MIN('Council Entry'!L150,'Council Entry'!L$9),'Council Entry'!L$8),'Council Entry'!L150)),IF('Council Entry'!L$4="Exponential",EXP(IF(AND(ISNUMBER('Council Entry'!L$8),ISNUMBER('Council Entry'!L$9)),MAX(MIN('Council Entry'!L150,'Council Entry'!L$9),'Council Entry'!L$8),'Council Entry'!L150)),IF(AND(ISNUMBER('Council Entry'!L$8),ISNUMBER('Council Entry'!L$9)),MAX(MIN('Council Entry'!L150,'Council Entry'!L$9),'Council Entry'!L$8),'Council Entry'!L150))))-'Council Entry'!L$5)/('Council Entry'!L$6-'Council Entry'!L$5)),1))),"No data"))</f>
        <v/>
      </c>
      <c r="M150" s="13">
        <f>IF('Council Entry'!M150="","",IFERROR(MAX(0,MIN(10,ROUND(IF('Council Entry'!M$7="Decrease Risk",10-10*((IF('Council Entry'!M$4="Logarithm",LN(0.001+IF(AND(ISNUMBER('Council Entry'!M$8),ISNUMBER('Council Entry'!M$9)),MAX(MIN('Council Entry'!M150,'Council Entry'!M$9),'Council Entry'!M$8),'Council Entry'!M150)),IF('Council Entry'!M$4="Exponential",EXP(IF(AND(ISNUMBER('Council Entry'!M$8),ISNUMBER('Council Entry'!M$9)),MAX(MIN('Council Entry'!M150,'Council Entry'!M$9),'Council Entry'!M$8),'Council Entry'!M150)),IF(AND(ISNUMBER('Council Entry'!M$8),ISNUMBER('Council Entry'!M$9)),MAX(MIN('Council Entry'!M150,'Council Entry'!M$9),'Council Entry'!M$8),'Council Entry'!M150))))-'Council Entry'!M$5)/('Council Entry'!M$6-'Council Entry'!M$5),10*((IF('Council Entry'!M$4="Logarithm",LN(0.001+IF(AND(ISNUMBER('Council Entry'!M$8),ISNUMBER('Council Entry'!M$9)),MAX(MIN('Council Entry'!M150,'Council Entry'!M$9),'Council Entry'!M$8),'Council Entry'!M150)),IF('Council Entry'!M$4="Exponential",EXP(IF(AND(ISNUMBER('Council Entry'!M$8),ISNUMBER('Council Entry'!M$9)),MAX(MIN('Council Entry'!M150,'Council Entry'!M$9),'Council Entry'!M$8),'Council Entry'!M150)),IF(AND(ISNUMBER('Council Entry'!M$8),ISNUMBER('Council Entry'!M$9)),MAX(MIN('Council Entry'!M150,'Council Entry'!M$9),'Council Entry'!M$8),'Council Entry'!M150))))-'Council Entry'!M$5)/('Council Entry'!M$6-'Council Entry'!M$5)),1))),"No data"))</f>
        <v/>
      </c>
      <c r="N150" s="13">
        <f>IF('Council Entry'!N150="","",IFERROR(MAX(0,MIN(10,ROUND(IF('Council Entry'!N$7="Decrease Risk",10-10*((IF('Council Entry'!N$4="Logarithm",LN(0.001+IF(AND(ISNUMBER('Council Entry'!N$8),ISNUMBER('Council Entry'!N$9)),MAX(MIN('Council Entry'!N150,'Council Entry'!N$9),'Council Entry'!N$8),'Council Entry'!N150)),IF('Council Entry'!N$4="Exponential",EXP(IF(AND(ISNUMBER('Council Entry'!N$8),ISNUMBER('Council Entry'!N$9)),MAX(MIN('Council Entry'!N150,'Council Entry'!N$9),'Council Entry'!N$8),'Council Entry'!N150)),IF(AND(ISNUMBER('Council Entry'!N$8),ISNUMBER('Council Entry'!N$9)),MAX(MIN('Council Entry'!N150,'Council Entry'!N$9),'Council Entry'!N$8),'Council Entry'!N150))))-'Council Entry'!N$5)/('Council Entry'!N$6-'Council Entry'!N$5),10*((IF('Council Entry'!N$4="Logarithm",LN(0.001+IF(AND(ISNUMBER('Council Entry'!N$8),ISNUMBER('Council Entry'!N$9)),MAX(MIN('Council Entry'!N150,'Council Entry'!N$9),'Council Entry'!N$8),'Council Entry'!N150)),IF('Council Entry'!N$4="Exponential",EXP(IF(AND(ISNUMBER('Council Entry'!N$8),ISNUMBER('Council Entry'!N$9)),MAX(MIN('Council Entry'!N150,'Council Entry'!N$9),'Council Entry'!N$8),'Council Entry'!N150)),IF(AND(ISNUMBER('Council Entry'!N$8),ISNUMBER('Council Entry'!N$9)),MAX(MIN('Council Entry'!N150,'Council Entry'!N$9),'Council Entry'!N$8),'Council Entry'!N150))))-'Council Entry'!N$5)/('Council Entry'!N$6-'Council Entry'!N$5)),1))),"No data"))</f>
        <v/>
      </c>
      <c r="O150" s="13">
        <f>IF('Council Entry'!O150="","",IFERROR(MAX(0,MIN(10,ROUND(IF('Council Entry'!O$7="Decrease Risk",10-10*((IF('Council Entry'!O$4="Logarithm",LN(0.001+IF(AND(ISNUMBER('Council Entry'!O$8),ISNUMBER('Council Entry'!O$9)),MAX(MIN('Council Entry'!O150,'Council Entry'!O$9),'Council Entry'!O$8),'Council Entry'!O150)),IF('Council Entry'!O$4="Exponential",EXP(IF(AND(ISNUMBER('Council Entry'!O$8),ISNUMBER('Council Entry'!O$9)),MAX(MIN('Council Entry'!O150,'Council Entry'!O$9),'Council Entry'!O$8),'Council Entry'!O150)),IF(AND(ISNUMBER('Council Entry'!O$8),ISNUMBER('Council Entry'!O$9)),MAX(MIN('Council Entry'!O150,'Council Entry'!O$9),'Council Entry'!O$8),'Council Entry'!O150))))-'Council Entry'!O$5)/('Council Entry'!O$6-'Council Entry'!O$5),10*((IF('Council Entry'!O$4="Logarithm",LN(0.001+IF(AND(ISNUMBER('Council Entry'!O$8),ISNUMBER('Council Entry'!O$9)),MAX(MIN('Council Entry'!O150,'Council Entry'!O$9),'Council Entry'!O$8),'Council Entry'!O150)),IF('Council Entry'!O$4="Exponential",EXP(IF(AND(ISNUMBER('Council Entry'!O$8),ISNUMBER('Council Entry'!O$9)),MAX(MIN('Council Entry'!O150,'Council Entry'!O$9),'Council Entry'!O$8),'Council Entry'!O150)),IF(AND(ISNUMBER('Council Entry'!O$8),ISNUMBER('Council Entry'!O$9)),MAX(MIN('Council Entry'!O150,'Council Entry'!O$9),'Council Entry'!O$8),'Council Entry'!O150))))-'Council Entry'!O$5)/('Council Entry'!O$6-'Council Entry'!O$5)),1))),"No data"))</f>
        <v/>
      </c>
      <c r="P150" s="13">
        <f>IF('Council Entry'!P150="","",IFERROR(MAX(0,MIN(10,ROUND(IF('Council Entry'!P$7="Decrease Risk",10-10*((IF('Council Entry'!P$4="Logarithm",LN(0.001+IF(AND(ISNUMBER('Council Entry'!P$8),ISNUMBER('Council Entry'!P$9)),MAX(MIN('Council Entry'!P150,'Council Entry'!P$9),'Council Entry'!P$8),'Council Entry'!P150)),IF('Council Entry'!P$4="Exponential",EXP(IF(AND(ISNUMBER('Council Entry'!P$8),ISNUMBER('Council Entry'!P$9)),MAX(MIN('Council Entry'!P150,'Council Entry'!P$9),'Council Entry'!P$8),'Council Entry'!P150)),IF(AND(ISNUMBER('Council Entry'!P$8),ISNUMBER('Council Entry'!P$9)),MAX(MIN('Council Entry'!P150,'Council Entry'!P$9),'Council Entry'!P$8),'Council Entry'!P150))))-'Council Entry'!P$5)/('Council Entry'!P$6-'Council Entry'!P$5),10*((IF('Council Entry'!P$4="Logarithm",LN(0.001+IF(AND(ISNUMBER('Council Entry'!P$8),ISNUMBER('Council Entry'!P$9)),MAX(MIN('Council Entry'!P150,'Council Entry'!P$9),'Council Entry'!P$8),'Council Entry'!P150)),IF('Council Entry'!P$4="Exponential",EXP(IF(AND(ISNUMBER('Council Entry'!P$8),ISNUMBER('Council Entry'!P$9)),MAX(MIN('Council Entry'!P150,'Council Entry'!P$9),'Council Entry'!P$8),'Council Entry'!P150)),IF(AND(ISNUMBER('Council Entry'!P$8),ISNUMBER('Council Entry'!P$9)),MAX(MIN('Council Entry'!P150,'Council Entry'!P$9),'Council Entry'!P$8),'Council Entry'!P150))))-'Council Entry'!P$5)/('Council Entry'!P$6-'Council Entry'!P$5)),1))),"No data"))</f>
        <v/>
      </c>
      <c r="Q150" s="13">
        <f>IF('Council Entry'!Q150="","",IFERROR(MAX(0,MIN(10,ROUND(IF('Council Entry'!Q$7="Decrease Risk",10-10*((IF('Council Entry'!Q$4="Logarithm",LN(0.001+IF(AND(ISNUMBER('Council Entry'!Q$8),ISNUMBER('Council Entry'!Q$9)),MAX(MIN('Council Entry'!Q150,'Council Entry'!Q$9),'Council Entry'!Q$8),'Council Entry'!Q150)),IF('Council Entry'!Q$4="Exponential",EXP(IF(AND(ISNUMBER('Council Entry'!Q$8),ISNUMBER('Council Entry'!Q$9)),MAX(MIN('Council Entry'!Q150,'Council Entry'!Q$9),'Council Entry'!Q$8),'Council Entry'!Q150)),IF(AND(ISNUMBER('Council Entry'!Q$8),ISNUMBER('Council Entry'!Q$9)),MAX(MIN('Council Entry'!Q150,'Council Entry'!Q$9),'Council Entry'!Q$8),'Council Entry'!Q150))))-'Council Entry'!Q$5)/('Council Entry'!Q$6-'Council Entry'!Q$5),10*((IF('Council Entry'!Q$4="Logarithm",LN(0.001+IF(AND(ISNUMBER('Council Entry'!Q$8),ISNUMBER('Council Entry'!Q$9)),MAX(MIN('Council Entry'!Q150,'Council Entry'!Q$9),'Council Entry'!Q$8),'Council Entry'!Q150)),IF('Council Entry'!Q$4="Exponential",EXP(IF(AND(ISNUMBER('Council Entry'!Q$8),ISNUMBER('Council Entry'!Q$9)),MAX(MIN('Council Entry'!Q150,'Council Entry'!Q$9),'Council Entry'!Q$8),'Council Entry'!Q150)),IF(AND(ISNUMBER('Council Entry'!Q$8),ISNUMBER('Council Entry'!Q$9)),MAX(MIN('Council Entry'!Q150,'Council Entry'!Q$9),'Council Entry'!Q$8),'Council Entry'!Q150))))-'Council Entry'!Q$5)/('Council Entry'!Q$6-'Council Entry'!Q$5)),1))),"No data"))</f>
        <v/>
      </c>
      <c r="R150" s="13">
        <f>IF('Council Entry'!R150="","",IFERROR(MAX(0,MIN(10,ROUND(IF('Council Entry'!R$7="Decrease Risk",10-10*((IF('Council Entry'!R$4="Logarithm",LN(0.001+IF(AND(ISNUMBER('Council Entry'!R$8),ISNUMBER('Council Entry'!R$9)),MAX(MIN('Council Entry'!R150,'Council Entry'!R$9),'Council Entry'!R$8),'Council Entry'!R150)),IF('Council Entry'!R$4="Exponential",EXP(IF(AND(ISNUMBER('Council Entry'!R$8),ISNUMBER('Council Entry'!R$9)),MAX(MIN('Council Entry'!R150,'Council Entry'!R$9),'Council Entry'!R$8),'Council Entry'!R150)),IF(AND(ISNUMBER('Council Entry'!R$8),ISNUMBER('Council Entry'!R$9)),MAX(MIN('Council Entry'!R150,'Council Entry'!R$9),'Council Entry'!R$8),'Council Entry'!R150))))-'Council Entry'!R$5)/('Council Entry'!R$6-'Council Entry'!R$5),10*((IF('Council Entry'!R$4="Logarithm",LN(0.001+IF(AND(ISNUMBER('Council Entry'!R$8),ISNUMBER('Council Entry'!R$9)),MAX(MIN('Council Entry'!R150,'Council Entry'!R$9),'Council Entry'!R$8),'Council Entry'!R150)),IF('Council Entry'!R$4="Exponential",EXP(IF(AND(ISNUMBER('Council Entry'!R$8),ISNUMBER('Council Entry'!R$9)),MAX(MIN('Council Entry'!R150,'Council Entry'!R$9),'Council Entry'!R$8),'Council Entry'!R150)),IF(AND(ISNUMBER('Council Entry'!R$8),ISNUMBER('Council Entry'!R$9)),MAX(MIN('Council Entry'!R150,'Council Entry'!R$9),'Council Entry'!R$8),'Council Entry'!R150))))-'Council Entry'!R$5)/('Council Entry'!R$6-'Council Entry'!R$5)),1))),"No data"))</f>
        <v/>
      </c>
      <c r="S150" s="13">
        <f>IF('Council Entry'!S150="","",IFERROR(MAX(0,MIN(10,ROUND(IF('Council Entry'!S$7="Decrease Risk",10-10*((IF('Council Entry'!S$4="Logarithm",LN(0.001+IF(AND(ISNUMBER('Council Entry'!S$8),ISNUMBER('Council Entry'!S$9)),MAX(MIN('Council Entry'!S150,'Council Entry'!S$9),'Council Entry'!S$8),'Council Entry'!S150)),IF('Council Entry'!S$4="Exponential",EXP(IF(AND(ISNUMBER('Council Entry'!S$8),ISNUMBER('Council Entry'!S$9)),MAX(MIN('Council Entry'!S150,'Council Entry'!S$9),'Council Entry'!S$8),'Council Entry'!S150)),IF(AND(ISNUMBER('Council Entry'!S$8),ISNUMBER('Council Entry'!S$9)),MAX(MIN('Council Entry'!S150,'Council Entry'!S$9),'Council Entry'!S$8),'Council Entry'!S150))))-'Council Entry'!S$5)/('Council Entry'!S$6-'Council Entry'!S$5),10*((IF('Council Entry'!S$4="Logarithm",LN(0.001+IF(AND(ISNUMBER('Council Entry'!S$8),ISNUMBER('Council Entry'!S$9)),MAX(MIN('Council Entry'!S150,'Council Entry'!S$9),'Council Entry'!S$8),'Council Entry'!S150)),IF('Council Entry'!S$4="Exponential",EXP(IF(AND(ISNUMBER('Council Entry'!S$8),ISNUMBER('Council Entry'!S$9)),MAX(MIN('Council Entry'!S150,'Council Entry'!S$9),'Council Entry'!S$8),'Council Entry'!S150)),IF(AND(ISNUMBER('Council Entry'!S$8),ISNUMBER('Council Entry'!S$9)),MAX(MIN('Council Entry'!S150,'Council Entry'!S$9),'Council Entry'!S$8),'Council Entry'!S150))))-'Council Entry'!S$5)/('Council Entry'!S$6-'Council Entry'!S$5)),1))),"No data"))</f>
        <v/>
      </c>
      <c r="T150" s="13">
        <f>IF('Council Entry'!T150="","",IFERROR(MAX(0,MIN(10,ROUND(IF('Council Entry'!T$7="Decrease Risk",10-10*((IF('Council Entry'!T$4="Logarithm",LN(0.001+IF(AND(ISNUMBER('Council Entry'!T$8),ISNUMBER('Council Entry'!T$9)),MAX(MIN('Council Entry'!T150,'Council Entry'!T$9),'Council Entry'!T$8),'Council Entry'!T150)),IF('Council Entry'!T$4="Exponential",EXP(IF(AND(ISNUMBER('Council Entry'!T$8),ISNUMBER('Council Entry'!T$9)),MAX(MIN('Council Entry'!T150,'Council Entry'!T$9),'Council Entry'!T$8),'Council Entry'!T150)),IF(AND(ISNUMBER('Council Entry'!T$8),ISNUMBER('Council Entry'!T$9)),MAX(MIN('Council Entry'!T150,'Council Entry'!T$9),'Council Entry'!T$8),'Council Entry'!T150))))-'Council Entry'!T$5)/('Council Entry'!T$6-'Council Entry'!T$5),10*((IF('Council Entry'!T$4="Logarithm",LN(0.001+IF(AND(ISNUMBER('Council Entry'!T$8),ISNUMBER('Council Entry'!T$9)),MAX(MIN('Council Entry'!T150,'Council Entry'!T$9),'Council Entry'!T$8),'Council Entry'!T150)),IF('Council Entry'!T$4="Exponential",EXP(IF(AND(ISNUMBER('Council Entry'!T$8),ISNUMBER('Council Entry'!T$9)),MAX(MIN('Council Entry'!T150,'Council Entry'!T$9),'Council Entry'!T$8),'Council Entry'!T150)),IF(AND(ISNUMBER('Council Entry'!T$8),ISNUMBER('Council Entry'!T$9)),MAX(MIN('Council Entry'!T150,'Council Entry'!T$9),'Council Entry'!T$8),'Council Entry'!T150))))-'Council Entry'!T$5)/('Council Entry'!T$6-'Council Entry'!T$5)),1))),"No data"))</f>
        <v/>
      </c>
      <c r="U150" s="13">
        <f>IF('Council Entry'!U150="","",IFERROR(MAX(0,MIN(10,ROUND(IF('Council Entry'!U$7="Decrease Risk",10-10*((IF('Council Entry'!U$4="Logarithm",LN(0.001+IF(AND(ISNUMBER('Council Entry'!U$8),ISNUMBER('Council Entry'!U$9)),MAX(MIN('Council Entry'!U150,'Council Entry'!U$9),'Council Entry'!U$8),'Council Entry'!U150)),IF('Council Entry'!U$4="Exponential",EXP(IF(AND(ISNUMBER('Council Entry'!U$8),ISNUMBER('Council Entry'!U$9)),MAX(MIN('Council Entry'!U150,'Council Entry'!U$9),'Council Entry'!U$8),'Council Entry'!U150)),IF(AND(ISNUMBER('Council Entry'!U$8),ISNUMBER('Council Entry'!U$9)),MAX(MIN('Council Entry'!U150,'Council Entry'!U$9),'Council Entry'!U$8),'Council Entry'!U150))))-'Council Entry'!U$5)/('Council Entry'!U$6-'Council Entry'!U$5),10*((IF('Council Entry'!U$4="Logarithm",LN(0.001+IF(AND(ISNUMBER('Council Entry'!U$8),ISNUMBER('Council Entry'!U$9)),MAX(MIN('Council Entry'!U150,'Council Entry'!U$9),'Council Entry'!U$8),'Council Entry'!U150)),IF('Council Entry'!U$4="Exponential",EXP(IF(AND(ISNUMBER('Council Entry'!U$8),ISNUMBER('Council Entry'!U$9)),MAX(MIN('Council Entry'!U150,'Council Entry'!U$9),'Council Entry'!U$8),'Council Entry'!U150)),IF(AND(ISNUMBER('Council Entry'!U$8),ISNUMBER('Council Entry'!U$9)),MAX(MIN('Council Entry'!U150,'Council Entry'!U$9),'Council Entry'!U$8),'Council Entry'!U150))))-'Council Entry'!U$5)/('Council Entry'!U$6-'Council Entry'!U$5)),1))),"No data"))</f>
        <v/>
      </c>
      <c r="V150" s="13">
        <f>IF('Council Entry'!V150="","",IFERROR(MAX(0,MIN(10,ROUND(IF('Council Entry'!V$7="Decrease Risk",10-10*((IF('Council Entry'!V$4="Logarithm",LN(0.001+IF(AND(ISNUMBER('Council Entry'!V$8),ISNUMBER('Council Entry'!V$9)),MAX(MIN('Council Entry'!V150,'Council Entry'!V$9),'Council Entry'!V$8),'Council Entry'!V150)),IF('Council Entry'!V$4="Exponential",EXP(IF(AND(ISNUMBER('Council Entry'!V$8),ISNUMBER('Council Entry'!V$9)),MAX(MIN('Council Entry'!V150,'Council Entry'!V$9),'Council Entry'!V$8),'Council Entry'!V150)),IF(AND(ISNUMBER('Council Entry'!V$8),ISNUMBER('Council Entry'!V$9)),MAX(MIN('Council Entry'!V150,'Council Entry'!V$9),'Council Entry'!V$8),'Council Entry'!V150))))-'Council Entry'!V$5)/('Council Entry'!V$6-'Council Entry'!V$5),10*((IF('Council Entry'!V$4="Logarithm",LN(0.001+IF(AND(ISNUMBER('Council Entry'!V$8),ISNUMBER('Council Entry'!V$9)),MAX(MIN('Council Entry'!V150,'Council Entry'!V$9),'Council Entry'!V$8),'Council Entry'!V150)),IF('Council Entry'!V$4="Exponential",EXP(IF(AND(ISNUMBER('Council Entry'!V$8),ISNUMBER('Council Entry'!V$9)),MAX(MIN('Council Entry'!V150,'Council Entry'!V$9),'Council Entry'!V$8),'Council Entry'!V150)),IF(AND(ISNUMBER('Council Entry'!V$8),ISNUMBER('Council Entry'!V$9)),MAX(MIN('Council Entry'!V150,'Council Entry'!V$9),'Council Entry'!V$8),'Council Entry'!V150))))-'Council Entry'!V$5)/('Council Entry'!V$6-'Council Entry'!V$5)),1))),"No data"))</f>
        <v/>
      </c>
      <c r="W150" s="13">
        <f>IF('Council Entry'!W150="","",IFERROR(MAX(0,MIN(10,ROUND(IF('Council Entry'!W$7="Decrease Risk",10-10*((IF('Council Entry'!W$4="Logarithm",LN(0.001+IF(AND(ISNUMBER('Council Entry'!W$8),ISNUMBER('Council Entry'!W$9)),MAX(MIN('Council Entry'!W150,'Council Entry'!W$9),'Council Entry'!W$8),'Council Entry'!W150)),IF('Council Entry'!W$4="Exponential",EXP(IF(AND(ISNUMBER('Council Entry'!W$8),ISNUMBER('Council Entry'!W$9)),MAX(MIN('Council Entry'!W150,'Council Entry'!W$9),'Council Entry'!W$8),'Council Entry'!W150)),IF(AND(ISNUMBER('Council Entry'!W$8),ISNUMBER('Council Entry'!W$9)),MAX(MIN('Council Entry'!W150,'Council Entry'!W$9),'Council Entry'!W$8),'Council Entry'!W150))))-'Council Entry'!W$5)/('Council Entry'!W$6-'Council Entry'!W$5),10*((IF('Council Entry'!W$4="Logarithm",LN(0.001+IF(AND(ISNUMBER('Council Entry'!W$8),ISNUMBER('Council Entry'!W$9)),MAX(MIN('Council Entry'!W150,'Council Entry'!W$9),'Council Entry'!W$8),'Council Entry'!W150)),IF('Council Entry'!W$4="Exponential",EXP(IF(AND(ISNUMBER('Council Entry'!W$8),ISNUMBER('Council Entry'!W$9)),MAX(MIN('Council Entry'!W150,'Council Entry'!W$9),'Council Entry'!W$8),'Council Entry'!W150)),IF(AND(ISNUMBER('Council Entry'!W$8),ISNUMBER('Council Entry'!W$9)),MAX(MIN('Council Entry'!W150,'Council Entry'!W$9),'Council Entry'!W$8),'Council Entry'!W150))))-'Council Entry'!W$5)/('Council Entry'!W$6-'Council Entry'!W$5)),1))),"No data"))</f>
        <v/>
      </c>
      <c r="X150" s="13">
        <f>IF('Council Entry'!X150="","",IFERROR(MAX(0,MIN(10,ROUND(IF('Council Entry'!X$7="Decrease Risk",10-10*((IF('Council Entry'!X$4="Logarithm",LN(0.001+IF(AND(ISNUMBER('Council Entry'!X$8),ISNUMBER('Council Entry'!X$9)),MAX(MIN('Council Entry'!X150,'Council Entry'!X$9),'Council Entry'!X$8),'Council Entry'!X150)),IF('Council Entry'!X$4="Exponential",EXP(IF(AND(ISNUMBER('Council Entry'!X$8),ISNUMBER('Council Entry'!X$9)),MAX(MIN('Council Entry'!X150,'Council Entry'!X$9),'Council Entry'!X$8),'Council Entry'!X150)),IF(AND(ISNUMBER('Council Entry'!X$8),ISNUMBER('Council Entry'!X$9)),MAX(MIN('Council Entry'!X150,'Council Entry'!X$9),'Council Entry'!X$8),'Council Entry'!X150))))-'Council Entry'!X$5)/('Council Entry'!X$6-'Council Entry'!X$5),10*((IF('Council Entry'!X$4="Logarithm",LN(0.001+IF(AND(ISNUMBER('Council Entry'!X$8),ISNUMBER('Council Entry'!X$9)),MAX(MIN('Council Entry'!X150,'Council Entry'!X$9),'Council Entry'!X$8),'Council Entry'!X150)),IF('Council Entry'!X$4="Exponential",EXP(IF(AND(ISNUMBER('Council Entry'!X$8),ISNUMBER('Council Entry'!X$9)),MAX(MIN('Council Entry'!X150,'Council Entry'!X$9),'Council Entry'!X$8),'Council Entry'!X150)),IF(AND(ISNUMBER('Council Entry'!X$8),ISNUMBER('Council Entry'!X$9)),MAX(MIN('Council Entry'!X150,'Council Entry'!X$9),'Council Entry'!X$8),'Council Entry'!X150))))-'Council Entry'!X$5)/('Council Entry'!X$6-'Council Entry'!X$5)),1))),"No data"))</f>
        <v/>
      </c>
      <c r="Y150" s="13">
        <f>IF('Council Entry'!Y150="","",IFERROR(MAX(0,MIN(10,ROUND(IF('Council Entry'!Y$7="Decrease Risk",10-10*((IF('Council Entry'!Y$4="Logarithm",LN(0.001+IF(AND(ISNUMBER('Council Entry'!Y$8),ISNUMBER('Council Entry'!Y$9)),MAX(MIN('Council Entry'!Y150,'Council Entry'!Y$9),'Council Entry'!Y$8),'Council Entry'!Y150)),IF('Council Entry'!Y$4="Exponential",EXP(IF(AND(ISNUMBER('Council Entry'!Y$8),ISNUMBER('Council Entry'!Y$9)),MAX(MIN('Council Entry'!Y150,'Council Entry'!Y$9),'Council Entry'!Y$8),'Council Entry'!Y150)),IF(AND(ISNUMBER('Council Entry'!Y$8),ISNUMBER('Council Entry'!Y$9)),MAX(MIN('Council Entry'!Y150,'Council Entry'!Y$9),'Council Entry'!Y$8),'Council Entry'!Y150))))-'Council Entry'!Y$5)/('Council Entry'!Y$6-'Council Entry'!Y$5),10*((IF('Council Entry'!Y$4="Logarithm",LN(0.001+IF(AND(ISNUMBER('Council Entry'!Y$8),ISNUMBER('Council Entry'!Y$9)),MAX(MIN('Council Entry'!Y150,'Council Entry'!Y$9),'Council Entry'!Y$8),'Council Entry'!Y150)),IF('Council Entry'!Y$4="Exponential",EXP(IF(AND(ISNUMBER('Council Entry'!Y$8),ISNUMBER('Council Entry'!Y$9)),MAX(MIN('Council Entry'!Y150,'Council Entry'!Y$9),'Council Entry'!Y$8),'Council Entry'!Y150)),IF(AND(ISNUMBER('Council Entry'!Y$8),ISNUMBER('Council Entry'!Y$9)),MAX(MIN('Council Entry'!Y150,'Council Entry'!Y$9),'Council Entry'!Y$8),'Council Entry'!Y150))))-'Council Entry'!Y$5)/('Council Entry'!Y$6-'Council Entry'!Y$5)),1))),"No data"))</f>
        <v/>
      </c>
      <c r="Z150" s="13">
        <f>IF('Council Entry'!Z150="","",IFERROR(MAX(0,MIN(10,ROUND(IF('Council Entry'!Z$7="Decrease Risk",10-10*((IF('Council Entry'!Z$4="Logarithm",LN(0.001+IF(AND(ISNUMBER('Council Entry'!Z$8),ISNUMBER('Council Entry'!Z$9)),MAX(MIN('Council Entry'!Z150,'Council Entry'!Z$9),'Council Entry'!Z$8),'Council Entry'!Z150)),IF('Council Entry'!Z$4="Exponential",EXP(IF(AND(ISNUMBER('Council Entry'!Z$8),ISNUMBER('Council Entry'!Z$9)),MAX(MIN('Council Entry'!Z150,'Council Entry'!Z$9),'Council Entry'!Z$8),'Council Entry'!Z150)),IF(AND(ISNUMBER('Council Entry'!Z$8),ISNUMBER('Council Entry'!Z$9)),MAX(MIN('Council Entry'!Z150,'Council Entry'!Z$9),'Council Entry'!Z$8),'Council Entry'!Z150))))-'Council Entry'!Z$5)/('Council Entry'!Z$6-'Council Entry'!Z$5),10*((IF('Council Entry'!Z$4="Logarithm",LN(0.001+IF(AND(ISNUMBER('Council Entry'!Z$8),ISNUMBER('Council Entry'!Z$9)),MAX(MIN('Council Entry'!Z150,'Council Entry'!Z$9),'Council Entry'!Z$8),'Council Entry'!Z150)),IF('Council Entry'!Z$4="Exponential",EXP(IF(AND(ISNUMBER('Council Entry'!Z$8),ISNUMBER('Council Entry'!Z$9)),MAX(MIN('Council Entry'!Z150,'Council Entry'!Z$9),'Council Entry'!Z$8),'Council Entry'!Z150)),IF(AND(ISNUMBER('Council Entry'!Z$8),ISNUMBER('Council Entry'!Z$9)),MAX(MIN('Council Entry'!Z150,'Council Entry'!Z$9),'Council Entry'!Z$8),'Council Entry'!Z150))))-'Council Entry'!Z$5)/('Council Entry'!Z$6-'Council Entry'!Z$5)),1))),"No data"))</f>
        <v/>
      </c>
      <c r="AA150" s="13">
        <f>IF('Council Entry'!AA150="","",IFERROR(MAX(0,MIN(10,ROUND(IF('Council Entry'!AA$7="Decrease Risk",10-10*((IF('Council Entry'!AA$4="Logarithm",LN(0.001+IF(AND(ISNUMBER('Council Entry'!AA$8),ISNUMBER('Council Entry'!AA$9)),MAX(MIN('Council Entry'!AA150,'Council Entry'!AA$9),'Council Entry'!AA$8),'Council Entry'!AA150)),IF('Council Entry'!AA$4="Exponential",EXP(IF(AND(ISNUMBER('Council Entry'!AA$8),ISNUMBER('Council Entry'!AA$9)),MAX(MIN('Council Entry'!AA150,'Council Entry'!AA$9),'Council Entry'!AA$8),'Council Entry'!AA150)),IF(AND(ISNUMBER('Council Entry'!AA$8),ISNUMBER('Council Entry'!AA$9)),MAX(MIN('Council Entry'!AA150,'Council Entry'!AA$9),'Council Entry'!AA$8),'Council Entry'!AA150))))-'Council Entry'!AA$5)/('Council Entry'!AA$6-'Council Entry'!AA$5),10*((IF('Council Entry'!AA$4="Logarithm",LN(0.001+IF(AND(ISNUMBER('Council Entry'!AA$8),ISNUMBER('Council Entry'!AA$9)),MAX(MIN('Council Entry'!AA150,'Council Entry'!AA$9),'Council Entry'!AA$8),'Council Entry'!AA150)),IF('Council Entry'!AA$4="Exponential",EXP(IF(AND(ISNUMBER('Council Entry'!AA$8),ISNUMBER('Council Entry'!AA$9)),MAX(MIN('Council Entry'!AA150,'Council Entry'!AA$9),'Council Entry'!AA$8),'Council Entry'!AA150)),IF(AND(ISNUMBER('Council Entry'!AA$8),ISNUMBER('Council Entry'!AA$9)),MAX(MIN('Council Entry'!AA150,'Council Entry'!AA$9),'Council Entry'!AA$8),'Council Entry'!AA150))))-'Council Entry'!AA$5)/('Council Entry'!AA$6-'Council Entry'!AA$5)),1))),"No data"))</f>
        <v/>
      </c>
      <c r="AB150" s="13">
        <f>IF('Council Entry'!AB150="","",IFERROR(MAX(0,MIN(10,ROUND(IF('Council Entry'!AB$7="Decrease Risk",10-10*((IF('Council Entry'!AB$4="Logarithm",LN(0.001+IF(AND(ISNUMBER('Council Entry'!AB$8),ISNUMBER('Council Entry'!AB$9)),MAX(MIN('Council Entry'!AB150,'Council Entry'!AB$9),'Council Entry'!AB$8),'Council Entry'!AB150)),IF('Council Entry'!AB$4="Exponential",EXP(IF(AND(ISNUMBER('Council Entry'!AB$8),ISNUMBER('Council Entry'!AB$9)),MAX(MIN('Council Entry'!AB150,'Council Entry'!AB$9),'Council Entry'!AB$8),'Council Entry'!AB150)),IF(AND(ISNUMBER('Council Entry'!AB$8),ISNUMBER('Council Entry'!AB$9)),MAX(MIN('Council Entry'!AB150,'Council Entry'!AB$9),'Council Entry'!AB$8),'Council Entry'!AB150))))-'Council Entry'!AB$5)/('Council Entry'!AB$6-'Council Entry'!AB$5),10*((IF('Council Entry'!AB$4="Logarithm",LN(0.001+IF(AND(ISNUMBER('Council Entry'!AB$8),ISNUMBER('Council Entry'!AB$9)),MAX(MIN('Council Entry'!AB150,'Council Entry'!AB$9),'Council Entry'!AB$8),'Council Entry'!AB150)),IF('Council Entry'!AB$4="Exponential",EXP(IF(AND(ISNUMBER('Council Entry'!AB$8),ISNUMBER('Council Entry'!AB$9)),MAX(MIN('Council Entry'!AB150,'Council Entry'!AB$9),'Council Entry'!AB$8),'Council Entry'!AB150)),IF(AND(ISNUMBER('Council Entry'!AB$8),ISNUMBER('Council Entry'!AB$9)),MAX(MIN('Council Entry'!AB150,'Council Entry'!AB$9),'Council Entry'!AB$8),'Council Entry'!AB150))))-'Council Entry'!AB$5)/('Council Entry'!AB$6-'Council Entry'!AB$5)),1))),"No data"))</f>
        <v/>
      </c>
      <c r="AC150" s="13">
        <f>IF('Council Entry'!AC150="","",IFERROR(MAX(0,MIN(10,ROUND(IF('Council Entry'!AC$7="Decrease Risk",10-10*((IF('Council Entry'!AC$4="Logarithm",LN(0.001+IF(AND(ISNUMBER('Council Entry'!AC$8),ISNUMBER('Council Entry'!AC$9)),MAX(MIN('Council Entry'!AC150,'Council Entry'!AC$9),'Council Entry'!AC$8),'Council Entry'!AC150)),IF('Council Entry'!AC$4="Exponential",EXP(IF(AND(ISNUMBER('Council Entry'!AC$8),ISNUMBER('Council Entry'!AC$9)),MAX(MIN('Council Entry'!AC150,'Council Entry'!AC$9),'Council Entry'!AC$8),'Council Entry'!AC150)),IF(AND(ISNUMBER('Council Entry'!AC$8),ISNUMBER('Council Entry'!AC$9)),MAX(MIN('Council Entry'!AC150,'Council Entry'!AC$9),'Council Entry'!AC$8),'Council Entry'!AC150))))-'Council Entry'!AC$5)/('Council Entry'!AC$6-'Council Entry'!AC$5),10*((IF('Council Entry'!AC$4="Logarithm",LN(0.001+IF(AND(ISNUMBER('Council Entry'!AC$8),ISNUMBER('Council Entry'!AC$9)),MAX(MIN('Council Entry'!AC150,'Council Entry'!AC$9),'Council Entry'!AC$8),'Council Entry'!AC150)),IF('Council Entry'!AC$4="Exponential",EXP(IF(AND(ISNUMBER('Council Entry'!AC$8),ISNUMBER('Council Entry'!AC$9)),MAX(MIN('Council Entry'!AC150,'Council Entry'!AC$9),'Council Entry'!AC$8),'Council Entry'!AC150)),IF(AND(ISNUMBER('Council Entry'!AC$8),ISNUMBER('Council Entry'!AC$9)),MAX(MIN('Council Entry'!AC150,'Council Entry'!AC$9),'Council Entry'!AC$8),'Council Entry'!AC150))))-'Council Entry'!AC$5)/('Council Entry'!AC$6-'Council Entry'!AC$5)),1))),"No data"))</f>
        <v/>
      </c>
      <c r="AD150" s="13">
        <f>IF('Council Entry'!AD150="","",IFERROR(MAX(0,MIN(10,ROUND(IF('Council Entry'!AD$7="Decrease Risk",10-10*((IF('Council Entry'!AD$4="Logarithm",LN(0.001+IF(AND(ISNUMBER('Council Entry'!AD$8),ISNUMBER('Council Entry'!AD$9)),MAX(MIN('Council Entry'!AD150,'Council Entry'!AD$9),'Council Entry'!AD$8),'Council Entry'!AD150)),IF('Council Entry'!AD$4="Exponential",EXP(IF(AND(ISNUMBER('Council Entry'!AD$8),ISNUMBER('Council Entry'!AD$9)),MAX(MIN('Council Entry'!AD150,'Council Entry'!AD$9),'Council Entry'!AD$8),'Council Entry'!AD150)),IF(AND(ISNUMBER('Council Entry'!AD$8),ISNUMBER('Council Entry'!AD$9)),MAX(MIN('Council Entry'!AD150,'Council Entry'!AD$9),'Council Entry'!AD$8),'Council Entry'!AD150))))-'Council Entry'!AD$5)/('Council Entry'!AD$6-'Council Entry'!AD$5),10*((IF('Council Entry'!AD$4="Logarithm",LN(0.001+IF(AND(ISNUMBER('Council Entry'!AD$8),ISNUMBER('Council Entry'!AD$9)),MAX(MIN('Council Entry'!AD150,'Council Entry'!AD$9),'Council Entry'!AD$8),'Council Entry'!AD150)),IF('Council Entry'!AD$4="Exponential",EXP(IF(AND(ISNUMBER('Council Entry'!AD$8),ISNUMBER('Council Entry'!AD$9)),MAX(MIN('Council Entry'!AD150,'Council Entry'!AD$9),'Council Entry'!AD$8),'Council Entry'!AD150)),IF(AND(ISNUMBER('Council Entry'!AD$8),ISNUMBER('Council Entry'!AD$9)),MAX(MIN('Council Entry'!AD150,'Council Entry'!AD$9),'Council Entry'!AD$8),'Council Entry'!AD150))))-'Council Entry'!AD$5)/('Council Entry'!AD$6-'Council Entry'!AD$5)),1))),"No data"))</f>
        <v/>
      </c>
      <c r="AE150" s="13">
        <f>IF('Council Entry'!AE150="","",IFERROR(MAX(0,MIN(10,ROUND(IF('Council Entry'!AE$7="Decrease Risk",10-10*((IF('Council Entry'!AE$4="Logarithm",LN(0.001+IF(AND(ISNUMBER('Council Entry'!AE$8),ISNUMBER('Council Entry'!AE$9)),MAX(MIN('Council Entry'!AE150,'Council Entry'!AE$9),'Council Entry'!AE$8),'Council Entry'!AE150)),IF('Council Entry'!AE$4="Exponential",EXP(IF(AND(ISNUMBER('Council Entry'!AE$8),ISNUMBER('Council Entry'!AE$9)),MAX(MIN('Council Entry'!AE150,'Council Entry'!AE$9),'Council Entry'!AE$8),'Council Entry'!AE150)),IF(AND(ISNUMBER('Council Entry'!AE$8),ISNUMBER('Council Entry'!AE$9)),MAX(MIN('Council Entry'!AE150,'Council Entry'!AE$9),'Council Entry'!AE$8),'Council Entry'!AE150))))-'Council Entry'!AE$5)/('Council Entry'!AE$6-'Council Entry'!AE$5),10*((IF('Council Entry'!AE$4="Logarithm",LN(0.001+IF(AND(ISNUMBER('Council Entry'!AE$8),ISNUMBER('Council Entry'!AE$9)),MAX(MIN('Council Entry'!AE150,'Council Entry'!AE$9),'Council Entry'!AE$8),'Council Entry'!AE150)),IF('Council Entry'!AE$4="Exponential",EXP(IF(AND(ISNUMBER('Council Entry'!AE$8),ISNUMBER('Council Entry'!AE$9)),MAX(MIN('Council Entry'!AE150,'Council Entry'!AE$9),'Council Entry'!AE$8),'Council Entry'!AE150)),IF(AND(ISNUMBER('Council Entry'!AE$8),ISNUMBER('Council Entry'!AE$9)),MAX(MIN('Council Entry'!AE150,'Council Entry'!AE$9),'Council Entry'!AE$8),'Council Entry'!AE150))))-'Council Entry'!AE$5)/('Council Entry'!AE$6-'Council Entry'!AE$5)),1))),"No data"))</f>
        <v/>
      </c>
      <c r="AF150" s="13">
        <f>IF('Council Entry'!AF150="","",IFERROR(MAX(0,MIN(10,ROUND(IF('Council Entry'!AF$7="Decrease Risk",10-10*((IF('Council Entry'!AF$4="Logarithm",LN(0.001+IF(AND(ISNUMBER('Council Entry'!AF$8),ISNUMBER('Council Entry'!AF$9)),MAX(MIN('Council Entry'!AF150,'Council Entry'!AF$9),'Council Entry'!AF$8),'Council Entry'!AF150)),IF('Council Entry'!AF$4="Exponential",EXP(IF(AND(ISNUMBER('Council Entry'!AF$8),ISNUMBER('Council Entry'!AF$9)),MAX(MIN('Council Entry'!AF150,'Council Entry'!AF$9),'Council Entry'!AF$8),'Council Entry'!AF150)),IF(AND(ISNUMBER('Council Entry'!AF$8),ISNUMBER('Council Entry'!AF$9)),MAX(MIN('Council Entry'!AF150,'Council Entry'!AF$9),'Council Entry'!AF$8),'Council Entry'!AF150))))-'Council Entry'!AF$5)/('Council Entry'!AF$6-'Council Entry'!AF$5),10*((IF('Council Entry'!AF$4="Logarithm",LN(0.001+IF(AND(ISNUMBER('Council Entry'!AF$8),ISNUMBER('Council Entry'!AF$9)),MAX(MIN('Council Entry'!AF150,'Council Entry'!AF$9),'Council Entry'!AF$8),'Council Entry'!AF150)),IF('Council Entry'!AF$4="Exponential",EXP(IF(AND(ISNUMBER('Council Entry'!AF$8),ISNUMBER('Council Entry'!AF$9)),MAX(MIN('Council Entry'!AF150,'Council Entry'!AF$9),'Council Entry'!AF$8),'Council Entry'!AF150)),IF(AND(ISNUMBER('Council Entry'!AF$8),ISNUMBER('Council Entry'!AF$9)),MAX(MIN('Council Entry'!AF150,'Council Entry'!AF$9),'Council Entry'!AF$8),'Council Entry'!AF150))))-'Council Entry'!AF$5)/('Council Entry'!AF$6-'Council Entry'!AF$5)),1))),"No data"))</f>
        <v/>
      </c>
      <c r="AG150" s="13">
        <f>IF('Council Entry'!AG150="","",IFERROR(MAX(0,MIN(10,ROUND(IF('Council Entry'!AG$7="Decrease Risk",10-10*((IF('Council Entry'!AG$4="Logarithm",LN(0.001+IF(AND(ISNUMBER('Council Entry'!AG$8),ISNUMBER('Council Entry'!AG$9)),MAX(MIN('Council Entry'!AG150,'Council Entry'!AG$9),'Council Entry'!AG$8),'Council Entry'!AG150)),IF('Council Entry'!AG$4="Exponential",EXP(IF(AND(ISNUMBER('Council Entry'!AG$8),ISNUMBER('Council Entry'!AG$9)),MAX(MIN('Council Entry'!AG150,'Council Entry'!AG$9),'Council Entry'!AG$8),'Council Entry'!AG150)),IF(AND(ISNUMBER('Council Entry'!AG$8),ISNUMBER('Council Entry'!AG$9)),MAX(MIN('Council Entry'!AG150,'Council Entry'!AG$9),'Council Entry'!AG$8),'Council Entry'!AG150))))-'Council Entry'!AG$5)/('Council Entry'!AG$6-'Council Entry'!AG$5),10*((IF('Council Entry'!AG$4="Logarithm",LN(0.001+IF(AND(ISNUMBER('Council Entry'!AG$8),ISNUMBER('Council Entry'!AG$9)),MAX(MIN('Council Entry'!AG150,'Council Entry'!AG$9),'Council Entry'!AG$8),'Council Entry'!AG150)),IF('Council Entry'!AG$4="Exponential",EXP(IF(AND(ISNUMBER('Council Entry'!AG$8),ISNUMBER('Council Entry'!AG$9)),MAX(MIN('Council Entry'!AG150,'Council Entry'!AG$9),'Council Entry'!AG$8),'Council Entry'!AG150)),IF(AND(ISNUMBER('Council Entry'!AG$8),ISNUMBER('Council Entry'!AG$9)),MAX(MIN('Council Entry'!AG150,'Council Entry'!AG$9),'Council Entry'!AG$8),'Council Entry'!AG150))))-'Council Entry'!AG$5)/('Council Entry'!AG$6-'Council Entry'!AG$5)),1))),"No data"))</f>
        <v/>
      </c>
      <c r="AH150" s="13">
        <f>IF('Council Entry'!AH150="","",IFERROR(MAX(0,MIN(10,ROUND(IF('Council Entry'!AH$7="Decrease Risk",10-10*((IF('Council Entry'!AH$4="Logarithm",LN(0.001+IF(AND(ISNUMBER('Council Entry'!AH$8),ISNUMBER('Council Entry'!AH$9)),MAX(MIN('Council Entry'!AH150,'Council Entry'!AH$9),'Council Entry'!AH$8),'Council Entry'!AH150)),IF('Council Entry'!AH$4="Exponential",EXP(IF(AND(ISNUMBER('Council Entry'!AH$8),ISNUMBER('Council Entry'!AH$9)),MAX(MIN('Council Entry'!AH150,'Council Entry'!AH$9),'Council Entry'!AH$8),'Council Entry'!AH150)),IF(AND(ISNUMBER('Council Entry'!AH$8),ISNUMBER('Council Entry'!AH$9)),MAX(MIN('Council Entry'!AH150,'Council Entry'!AH$9),'Council Entry'!AH$8),'Council Entry'!AH150))))-'Council Entry'!AH$5)/('Council Entry'!AH$6-'Council Entry'!AH$5),10*((IF('Council Entry'!AH$4="Logarithm",LN(0.001+IF(AND(ISNUMBER('Council Entry'!AH$8),ISNUMBER('Council Entry'!AH$9)),MAX(MIN('Council Entry'!AH150,'Council Entry'!AH$9),'Council Entry'!AH$8),'Council Entry'!AH150)),IF('Council Entry'!AH$4="Exponential",EXP(IF(AND(ISNUMBER('Council Entry'!AH$8),ISNUMBER('Council Entry'!AH$9)),MAX(MIN('Council Entry'!AH150,'Council Entry'!AH$9),'Council Entry'!AH$8),'Council Entry'!AH150)),IF(AND(ISNUMBER('Council Entry'!AH$8),ISNUMBER('Council Entry'!AH$9)),MAX(MIN('Council Entry'!AH150,'Council Entry'!AH$9),'Council Entry'!AH$8),'Council Entry'!AH150))))-'Council Entry'!AH$5)/('Council Entry'!AH$6-'Council Entry'!AH$5)),1))),"No data"))</f>
        <v/>
      </c>
      <c r="AI150" s="13">
        <f>IF('Council Entry'!AI150="","",IFERROR(MAX(0,MIN(10,ROUND(IF('Council Entry'!AI$7="Decrease Risk",10-10*((IF('Council Entry'!AI$4="Logarithm",LN(0.001+IF(AND(ISNUMBER('Council Entry'!AI$8),ISNUMBER('Council Entry'!AI$9)),MAX(MIN('Council Entry'!AI150,'Council Entry'!AI$9),'Council Entry'!AI$8),'Council Entry'!AI150)),IF('Council Entry'!AI$4="Exponential",EXP(IF(AND(ISNUMBER('Council Entry'!AI$8),ISNUMBER('Council Entry'!AI$9)),MAX(MIN('Council Entry'!AI150,'Council Entry'!AI$9),'Council Entry'!AI$8),'Council Entry'!AI150)),IF(AND(ISNUMBER('Council Entry'!AI$8),ISNUMBER('Council Entry'!AI$9)),MAX(MIN('Council Entry'!AI150,'Council Entry'!AI$9),'Council Entry'!AI$8),'Council Entry'!AI150))))-'Council Entry'!AI$5)/('Council Entry'!AI$6-'Council Entry'!AI$5),10*((IF('Council Entry'!AI$4="Logarithm",LN(0.001+IF(AND(ISNUMBER('Council Entry'!AI$8),ISNUMBER('Council Entry'!AI$9)),MAX(MIN('Council Entry'!AI150,'Council Entry'!AI$9),'Council Entry'!AI$8),'Council Entry'!AI150)),IF('Council Entry'!AI$4="Exponential",EXP(IF(AND(ISNUMBER('Council Entry'!AI$8),ISNUMBER('Council Entry'!AI$9)),MAX(MIN('Council Entry'!AI150,'Council Entry'!AI$9),'Council Entry'!AI$8),'Council Entry'!AI150)),IF(AND(ISNUMBER('Council Entry'!AI$8),ISNUMBER('Council Entry'!AI$9)),MAX(MIN('Council Entry'!AI150,'Council Entry'!AI$9),'Council Entry'!AI$8),'Council Entry'!AI150))))-'Council Entry'!AI$5)/('Council Entry'!AI$6-'Council Entry'!AI$5)),1))),"No data"))</f>
        <v/>
      </c>
      <c r="AJ150" s="13">
        <f>IF('Council Entry'!AJ150="","",IFERROR(MAX(0,MIN(10,ROUND(IF('Council Entry'!AJ$7="Decrease Risk",10-10*((IF('Council Entry'!AJ$4="Logarithm",LN(0.001+IF(AND(ISNUMBER('Council Entry'!AJ$8),ISNUMBER('Council Entry'!AJ$9)),MAX(MIN('Council Entry'!AJ150,'Council Entry'!AJ$9),'Council Entry'!AJ$8),'Council Entry'!AJ150)),IF('Council Entry'!AJ$4="Exponential",EXP(IF(AND(ISNUMBER('Council Entry'!AJ$8),ISNUMBER('Council Entry'!AJ$9)),MAX(MIN('Council Entry'!AJ150,'Council Entry'!AJ$9),'Council Entry'!AJ$8),'Council Entry'!AJ150)),IF(AND(ISNUMBER('Council Entry'!AJ$8),ISNUMBER('Council Entry'!AJ$9)),MAX(MIN('Council Entry'!AJ150,'Council Entry'!AJ$9),'Council Entry'!AJ$8),'Council Entry'!AJ150))))-'Council Entry'!AJ$5)/('Council Entry'!AJ$6-'Council Entry'!AJ$5),10*((IF('Council Entry'!AJ$4="Logarithm",LN(0.001+IF(AND(ISNUMBER('Council Entry'!AJ$8),ISNUMBER('Council Entry'!AJ$9)),MAX(MIN('Council Entry'!AJ150,'Council Entry'!AJ$9),'Council Entry'!AJ$8),'Council Entry'!AJ150)),IF('Council Entry'!AJ$4="Exponential",EXP(IF(AND(ISNUMBER('Council Entry'!AJ$8),ISNUMBER('Council Entry'!AJ$9)),MAX(MIN('Council Entry'!AJ150,'Council Entry'!AJ$9),'Council Entry'!AJ$8),'Council Entry'!AJ150)),IF(AND(ISNUMBER('Council Entry'!AJ$8),ISNUMBER('Council Entry'!AJ$9)),MAX(MIN('Council Entry'!AJ150,'Council Entry'!AJ$9),'Council Entry'!AJ$8),'Council Entry'!AJ150))))-'Council Entry'!AJ$5)/('Council Entry'!AJ$6-'Council Entry'!AJ$5)),1))),"No data"))</f>
        <v/>
      </c>
      <c r="AK150" s="13">
        <f>IF('Council Entry'!AK150="","",IFERROR(MAX(0,MIN(10,ROUND(IF('Council Entry'!AK$7="Decrease Risk",10-10*((IF('Council Entry'!AK$4="Logarithm",LN(0.001+IF(AND(ISNUMBER('Council Entry'!AK$8),ISNUMBER('Council Entry'!AK$9)),MAX(MIN('Council Entry'!AK150,'Council Entry'!AK$9),'Council Entry'!AK$8),'Council Entry'!AK150)),IF('Council Entry'!AK$4="Exponential",EXP(IF(AND(ISNUMBER('Council Entry'!AK$8),ISNUMBER('Council Entry'!AK$9)),MAX(MIN('Council Entry'!AK150,'Council Entry'!AK$9),'Council Entry'!AK$8),'Council Entry'!AK150)),IF(AND(ISNUMBER('Council Entry'!AK$8),ISNUMBER('Council Entry'!AK$9)),MAX(MIN('Council Entry'!AK150,'Council Entry'!AK$9),'Council Entry'!AK$8),'Council Entry'!AK150))))-'Council Entry'!AK$5)/('Council Entry'!AK$6-'Council Entry'!AK$5),10*((IF('Council Entry'!AK$4="Logarithm",LN(0.001+IF(AND(ISNUMBER('Council Entry'!AK$8),ISNUMBER('Council Entry'!AK$9)),MAX(MIN('Council Entry'!AK150,'Council Entry'!AK$9),'Council Entry'!AK$8),'Council Entry'!AK150)),IF('Council Entry'!AK$4="Exponential",EXP(IF(AND(ISNUMBER('Council Entry'!AK$8),ISNUMBER('Council Entry'!AK$9)),MAX(MIN('Council Entry'!AK150,'Council Entry'!AK$9),'Council Entry'!AK$8),'Council Entry'!AK150)),IF(AND(ISNUMBER('Council Entry'!AK$8),ISNUMBER('Council Entry'!AK$9)),MAX(MIN('Council Entry'!AK150,'Council Entry'!AK$9),'Council Entry'!AK$8),'Council Entry'!AK150))))-'Council Entry'!AK$5)/('Council Entry'!AK$6-'Council Entry'!AK$5)),1))),"No data"))</f>
        <v/>
      </c>
      <c r="AL150" s="13">
        <f>IF('Council Entry'!AL150="","",IFERROR(MAX(0,MIN(10,ROUND(IF('Council Entry'!AL$7="Decrease Risk",10-10*((IF('Council Entry'!AL$4="Logarithm",LN(0.001+IF(AND(ISNUMBER('Council Entry'!AL$8),ISNUMBER('Council Entry'!AL$9)),MAX(MIN('Council Entry'!AL150,'Council Entry'!AL$9),'Council Entry'!AL$8),'Council Entry'!AL150)),IF('Council Entry'!AL$4="Exponential",EXP(IF(AND(ISNUMBER('Council Entry'!AL$8),ISNUMBER('Council Entry'!AL$9)),MAX(MIN('Council Entry'!AL150,'Council Entry'!AL$9),'Council Entry'!AL$8),'Council Entry'!AL150)),IF(AND(ISNUMBER('Council Entry'!AL$8),ISNUMBER('Council Entry'!AL$9)),MAX(MIN('Council Entry'!AL150,'Council Entry'!AL$9),'Council Entry'!AL$8),'Council Entry'!AL150))))-'Council Entry'!AL$5)/('Council Entry'!AL$6-'Council Entry'!AL$5),10*((IF('Council Entry'!AL$4="Logarithm",LN(0.001+IF(AND(ISNUMBER('Council Entry'!AL$8),ISNUMBER('Council Entry'!AL$9)),MAX(MIN('Council Entry'!AL150,'Council Entry'!AL$9),'Council Entry'!AL$8),'Council Entry'!AL150)),IF('Council Entry'!AL$4="Exponential",EXP(IF(AND(ISNUMBER('Council Entry'!AL$8),ISNUMBER('Council Entry'!AL$9)),MAX(MIN('Council Entry'!AL150,'Council Entry'!AL$9),'Council Entry'!AL$8),'Council Entry'!AL150)),IF(AND(ISNUMBER('Council Entry'!AL$8),ISNUMBER('Council Entry'!AL$9)),MAX(MIN('Council Entry'!AL150,'Council Entry'!AL$9),'Council Entry'!AL$8),'Council Entry'!AL150))))-'Council Entry'!AL$5)/('Council Entry'!AL$6-'Council Entry'!AL$5)),1))),"No data"))</f>
        <v/>
      </c>
      <c r="AM150" s="13">
        <f>IF('Council Entry'!AM150="","",IFERROR(MAX(0,MIN(10,ROUND(IF('Council Entry'!AM$7="Decrease Risk",10-10*((IF('Council Entry'!AM$4="Logarithm",LN(0.001+IF(AND(ISNUMBER('Council Entry'!AM$8),ISNUMBER('Council Entry'!AM$9)),MAX(MIN('Council Entry'!AM150,'Council Entry'!AM$9),'Council Entry'!AM$8),'Council Entry'!AM150)),IF('Council Entry'!AM$4="Exponential",EXP(IF(AND(ISNUMBER('Council Entry'!AM$8),ISNUMBER('Council Entry'!AM$9)),MAX(MIN('Council Entry'!AM150,'Council Entry'!AM$9),'Council Entry'!AM$8),'Council Entry'!AM150)),IF(AND(ISNUMBER('Council Entry'!AM$8),ISNUMBER('Council Entry'!AM$9)),MAX(MIN('Council Entry'!AM150,'Council Entry'!AM$9),'Council Entry'!AM$8),'Council Entry'!AM150))))-'Council Entry'!AM$5)/('Council Entry'!AM$6-'Council Entry'!AM$5),10*((IF('Council Entry'!AM$4="Logarithm",LN(0.001+IF(AND(ISNUMBER('Council Entry'!AM$8),ISNUMBER('Council Entry'!AM$9)),MAX(MIN('Council Entry'!AM150,'Council Entry'!AM$9),'Council Entry'!AM$8),'Council Entry'!AM150)),IF('Council Entry'!AM$4="Exponential",EXP(IF(AND(ISNUMBER('Council Entry'!AM$8),ISNUMBER('Council Entry'!AM$9)),MAX(MIN('Council Entry'!AM150,'Council Entry'!AM$9),'Council Entry'!AM$8),'Council Entry'!AM150)),IF(AND(ISNUMBER('Council Entry'!AM$8),ISNUMBER('Council Entry'!AM$9)),MAX(MIN('Council Entry'!AM150,'Council Entry'!AM$9),'Council Entry'!AM$8),'Council Entry'!AM150))))-'Council Entry'!AM$5)/('Council Entry'!AM$6-'Council Entry'!AM$5)),1))),"No data"))</f>
        <v/>
      </c>
      <c r="AN150" s="13">
        <f>IF('Council Entry'!AN150="","",IFERROR(MAX(0,MIN(10,ROUND(IF('Council Entry'!AN$7="Decrease Risk",10-10*((IF('Council Entry'!AN$4="Logarithm",LN(0.001+IF(AND(ISNUMBER('Council Entry'!AN$8),ISNUMBER('Council Entry'!AN$9)),MAX(MIN('Council Entry'!AN150,'Council Entry'!AN$9),'Council Entry'!AN$8),'Council Entry'!AN150)),IF('Council Entry'!AN$4="Exponential",EXP(IF(AND(ISNUMBER('Council Entry'!AN$8),ISNUMBER('Council Entry'!AN$9)),MAX(MIN('Council Entry'!AN150,'Council Entry'!AN$9),'Council Entry'!AN$8),'Council Entry'!AN150)),IF(AND(ISNUMBER('Council Entry'!AN$8),ISNUMBER('Council Entry'!AN$9)),MAX(MIN('Council Entry'!AN150,'Council Entry'!AN$9),'Council Entry'!AN$8),'Council Entry'!AN150))))-'Council Entry'!AN$5)/('Council Entry'!AN$6-'Council Entry'!AN$5),10*((IF('Council Entry'!AN$4="Logarithm",LN(0.001+IF(AND(ISNUMBER('Council Entry'!AN$8),ISNUMBER('Council Entry'!AN$9)),MAX(MIN('Council Entry'!AN150,'Council Entry'!AN$9),'Council Entry'!AN$8),'Council Entry'!AN150)),IF('Council Entry'!AN$4="Exponential",EXP(IF(AND(ISNUMBER('Council Entry'!AN$8),ISNUMBER('Council Entry'!AN$9)),MAX(MIN('Council Entry'!AN150,'Council Entry'!AN$9),'Council Entry'!AN$8),'Council Entry'!AN150)),IF(AND(ISNUMBER('Council Entry'!AN$8),ISNUMBER('Council Entry'!AN$9)),MAX(MIN('Council Entry'!AN150,'Council Entry'!AN$9),'Council Entry'!AN$8),'Council Entry'!AN150))))-'Council Entry'!AN$5)/('Council Entry'!AN$6-'Council Entry'!AN$5)),1))),"No data"))</f>
        <v/>
      </c>
      <c r="AO150" s="13">
        <f>IF('Council Entry'!AO150="","",IFERROR(MAX(0,MIN(10,ROUND(IF('Council Entry'!AO$7="Decrease Risk",10-10*((IF('Council Entry'!AO$4="Logarithm",LN(0.001+IF(AND(ISNUMBER('Council Entry'!AO$8),ISNUMBER('Council Entry'!AO$9)),MAX(MIN('Council Entry'!AO150,'Council Entry'!AO$9),'Council Entry'!AO$8),'Council Entry'!AO150)),IF('Council Entry'!AO$4="Exponential",EXP(IF(AND(ISNUMBER('Council Entry'!AO$8),ISNUMBER('Council Entry'!AO$9)),MAX(MIN('Council Entry'!AO150,'Council Entry'!AO$9),'Council Entry'!AO$8),'Council Entry'!AO150)),IF(AND(ISNUMBER('Council Entry'!AO$8),ISNUMBER('Council Entry'!AO$9)),MAX(MIN('Council Entry'!AO150,'Council Entry'!AO$9),'Council Entry'!AO$8),'Council Entry'!AO150))))-'Council Entry'!AO$5)/('Council Entry'!AO$6-'Council Entry'!AO$5),10*((IF('Council Entry'!AO$4="Logarithm",LN(0.001+IF(AND(ISNUMBER('Council Entry'!AO$8),ISNUMBER('Council Entry'!AO$9)),MAX(MIN('Council Entry'!AO150,'Council Entry'!AO$9),'Council Entry'!AO$8),'Council Entry'!AO150)),IF('Council Entry'!AO$4="Exponential",EXP(IF(AND(ISNUMBER('Council Entry'!AO$8),ISNUMBER('Council Entry'!AO$9)),MAX(MIN('Council Entry'!AO150,'Council Entry'!AO$9),'Council Entry'!AO$8),'Council Entry'!AO150)),IF(AND(ISNUMBER('Council Entry'!AO$8),ISNUMBER('Council Entry'!AO$9)),MAX(MIN('Council Entry'!AO150,'Council Entry'!AO$9),'Council Entry'!AO$8),'Council Entry'!AO150))))-'Council Entry'!AO$5)/('Council Entry'!AO$6-'Council Entry'!AO$5)),1))),"No data"))</f>
        <v/>
      </c>
      <c r="AP150" s="13">
        <f>IF('Council Entry'!AP150="","",IFERROR(MAX(0,MIN(10,ROUND(IF('Council Entry'!AP$7="Decrease Risk",10-10*((IF('Council Entry'!AP$4="Logarithm",LN(0.001+IF(AND(ISNUMBER('Council Entry'!AP$8),ISNUMBER('Council Entry'!AP$9)),MAX(MIN('Council Entry'!AP150,'Council Entry'!AP$9),'Council Entry'!AP$8),'Council Entry'!AP150)),IF('Council Entry'!AP$4="Exponential",EXP(IF(AND(ISNUMBER('Council Entry'!AP$8),ISNUMBER('Council Entry'!AP$9)),MAX(MIN('Council Entry'!AP150,'Council Entry'!AP$9),'Council Entry'!AP$8),'Council Entry'!AP150)),IF(AND(ISNUMBER('Council Entry'!AP$8),ISNUMBER('Council Entry'!AP$9)),MAX(MIN('Council Entry'!AP150,'Council Entry'!AP$9),'Council Entry'!AP$8),'Council Entry'!AP150))))-'Council Entry'!AP$5)/('Council Entry'!AP$6-'Council Entry'!AP$5),10*((IF('Council Entry'!AP$4="Logarithm",LN(0.001+IF(AND(ISNUMBER('Council Entry'!AP$8),ISNUMBER('Council Entry'!AP$9)),MAX(MIN('Council Entry'!AP150,'Council Entry'!AP$9),'Council Entry'!AP$8),'Council Entry'!AP150)),IF('Council Entry'!AP$4="Exponential",EXP(IF(AND(ISNUMBER('Council Entry'!AP$8),ISNUMBER('Council Entry'!AP$9)),MAX(MIN('Council Entry'!AP150,'Council Entry'!AP$9),'Council Entry'!AP$8),'Council Entry'!AP150)),IF(AND(ISNUMBER('Council Entry'!AP$8),ISNUMBER('Council Entry'!AP$9)),MAX(MIN('Council Entry'!AP150,'Council Entry'!AP$9),'Council Entry'!AP$8),'Council Entry'!AP150))))-'Council Entry'!AP$5)/('Council Entry'!AP$6-'Council Entry'!AP$5)),1))),"No data"))</f>
        <v/>
      </c>
      <c r="AQ150" s="13">
        <f>IF('Council Entry'!AQ150="","",IFERROR(MAX(0,MIN(10,ROUND(IF('Council Entry'!AQ$7="Decrease Risk",10-10*((IF('Council Entry'!AQ$4="Logarithm",LN(0.001+IF(AND(ISNUMBER('Council Entry'!AQ$8),ISNUMBER('Council Entry'!AQ$9)),MAX(MIN('Council Entry'!AQ150,'Council Entry'!AQ$9),'Council Entry'!AQ$8),'Council Entry'!AQ150)),IF('Council Entry'!AQ$4="Exponential",EXP(IF(AND(ISNUMBER('Council Entry'!AQ$8),ISNUMBER('Council Entry'!AQ$9)),MAX(MIN('Council Entry'!AQ150,'Council Entry'!AQ$9),'Council Entry'!AQ$8),'Council Entry'!AQ150)),IF(AND(ISNUMBER('Council Entry'!AQ$8),ISNUMBER('Council Entry'!AQ$9)),MAX(MIN('Council Entry'!AQ150,'Council Entry'!AQ$9),'Council Entry'!AQ$8),'Council Entry'!AQ150))))-'Council Entry'!AQ$5)/('Council Entry'!AQ$6-'Council Entry'!AQ$5),10*((IF('Council Entry'!AQ$4="Logarithm",LN(0.001+IF(AND(ISNUMBER('Council Entry'!AQ$8),ISNUMBER('Council Entry'!AQ$9)),MAX(MIN('Council Entry'!AQ150,'Council Entry'!AQ$9),'Council Entry'!AQ$8),'Council Entry'!AQ150)),IF('Council Entry'!AQ$4="Exponential",EXP(IF(AND(ISNUMBER('Council Entry'!AQ$8),ISNUMBER('Council Entry'!AQ$9)),MAX(MIN('Council Entry'!AQ150,'Council Entry'!AQ$9),'Council Entry'!AQ$8),'Council Entry'!AQ150)),IF(AND(ISNUMBER('Council Entry'!AQ$8),ISNUMBER('Council Entry'!AQ$9)),MAX(MIN('Council Entry'!AQ150,'Council Entry'!AQ$9),'Council Entry'!AQ$8),'Council Entry'!AQ150))))-'Council Entry'!AQ$5)/('Council Entry'!AQ$6-'Council Entry'!AQ$5)),1))),"No data"))</f>
        <v/>
      </c>
      <c r="AR150" s="13">
        <f>IF('Council Entry'!AR150="","",IFERROR(MAX(0,MIN(10,ROUND(IF('Council Entry'!AR$7="Decrease Risk",10-10*((IF('Council Entry'!AR$4="Logarithm",LN(0.001+IF(AND(ISNUMBER('Council Entry'!AR$8),ISNUMBER('Council Entry'!AR$9)),MAX(MIN('Council Entry'!AR150,'Council Entry'!AR$9),'Council Entry'!AR$8),'Council Entry'!AR150)),IF('Council Entry'!AR$4="Exponential",EXP(IF(AND(ISNUMBER('Council Entry'!AR$8),ISNUMBER('Council Entry'!AR$9)),MAX(MIN('Council Entry'!AR150,'Council Entry'!AR$9),'Council Entry'!AR$8),'Council Entry'!AR150)),IF(AND(ISNUMBER('Council Entry'!AR$8),ISNUMBER('Council Entry'!AR$9)),MAX(MIN('Council Entry'!AR150,'Council Entry'!AR$9),'Council Entry'!AR$8),'Council Entry'!AR150))))-'Council Entry'!AR$5)/('Council Entry'!AR$6-'Council Entry'!AR$5),10*((IF('Council Entry'!AR$4="Logarithm",LN(0.001+IF(AND(ISNUMBER('Council Entry'!AR$8),ISNUMBER('Council Entry'!AR$9)),MAX(MIN('Council Entry'!AR150,'Council Entry'!AR$9),'Council Entry'!AR$8),'Council Entry'!AR150)),IF('Council Entry'!AR$4="Exponential",EXP(IF(AND(ISNUMBER('Council Entry'!AR$8),ISNUMBER('Council Entry'!AR$9)),MAX(MIN('Council Entry'!AR150,'Council Entry'!AR$9),'Council Entry'!AR$8),'Council Entry'!AR150)),IF(AND(ISNUMBER('Council Entry'!AR$8),ISNUMBER('Council Entry'!AR$9)),MAX(MIN('Council Entry'!AR150,'Council Entry'!AR$9),'Council Entry'!AR$8),'Council Entry'!AR150))))-'Council Entry'!AR$5)/('Council Entry'!AR$6-'Council Entry'!AR$5)),1))),"No data"))</f>
        <v/>
      </c>
      <c r="AS150" s="13">
        <f>IF('Council Entry'!AS150="","",IFERROR(MAX(0,MIN(10,ROUND(IF('Council Entry'!AS$7="Decrease Risk",10-10*((IF('Council Entry'!AS$4="Logarithm",LN(0.001+IF(AND(ISNUMBER('Council Entry'!AS$8),ISNUMBER('Council Entry'!AS$9)),MAX(MIN('Council Entry'!AS150,'Council Entry'!AS$9),'Council Entry'!AS$8),'Council Entry'!AS150)),IF('Council Entry'!AS$4="Exponential",EXP(IF(AND(ISNUMBER('Council Entry'!AS$8),ISNUMBER('Council Entry'!AS$9)),MAX(MIN('Council Entry'!AS150,'Council Entry'!AS$9),'Council Entry'!AS$8),'Council Entry'!AS150)),IF(AND(ISNUMBER('Council Entry'!AS$8),ISNUMBER('Council Entry'!AS$9)),MAX(MIN('Council Entry'!AS150,'Council Entry'!AS$9),'Council Entry'!AS$8),'Council Entry'!AS150))))-'Council Entry'!AS$5)/('Council Entry'!AS$6-'Council Entry'!AS$5),10*((IF('Council Entry'!AS$4="Logarithm",LN(0.001+IF(AND(ISNUMBER('Council Entry'!AS$8),ISNUMBER('Council Entry'!AS$9)),MAX(MIN('Council Entry'!AS150,'Council Entry'!AS$9),'Council Entry'!AS$8),'Council Entry'!AS150)),IF('Council Entry'!AS$4="Exponential",EXP(IF(AND(ISNUMBER('Council Entry'!AS$8),ISNUMBER('Council Entry'!AS$9)),MAX(MIN('Council Entry'!AS150,'Council Entry'!AS$9),'Council Entry'!AS$8),'Council Entry'!AS150)),IF(AND(ISNUMBER('Council Entry'!AS$8),ISNUMBER('Council Entry'!AS$9)),MAX(MIN('Council Entry'!AS150,'Council Entry'!AS$9),'Council Entry'!AS$8),'Council Entry'!AS150))))-'Council Entry'!AS$5)/('Council Entry'!AS$6-'Council Entry'!AS$5)),1))),"No data"))</f>
        <v/>
      </c>
      <c r="AT150" s="13">
        <f>IF('Council Entry'!AT150="","",IFERROR(MAX(0,MIN(10,ROUND(IF('Council Entry'!AT$7="Decrease Risk",10-10*((IF('Council Entry'!AT$4="Logarithm",LN(0.001+IF(AND(ISNUMBER('Council Entry'!AT$8),ISNUMBER('Council Entry'!AT$9)),MAX(MIN('Council Entry'!AT150,'Council Entry'!AT$9),'Council Entry'!AT$8),'Council Entry'!AT150)),IF('Council Entry'!AT$4="Exponential",EXP(IF(AND(ISNUMBER('Council Entry'!AT$8),ISNUMBER('Council Entry'!AT$9)),MAX(MIN('Council Entry'!AT150,'Council Entry'!AT$9),'Council Entry'!AT$8),'Council Entry'!AT150)),IF(AND(ISNUMBER('Council Entry'!AT$8),ISNUMBER('Council Entry'!AT$9)),MAX(MIN('Council Entry'!AT150,'Council Entry'!AT$9),'Council Entry'!AT$8),'Council Entry'!AT150))))-'Council Entry'!AT$5)/('Council Entry'!AT$6-'Council Entry'!AT$5),10*((IF('Council Entry'!AT$4="Logarithm",LN(0.001+IF(AND(ISNUMBER('Council Entry'!AT$8),ISNUMBER('Council Entry'!AT$9)),MAX(MIN('Council Entry'!AT150,'Council Entry'!AT$9),'Council Entry'!AT$8),'Council Entry'!AT150)),IF('Council Entry'!AT$4="Exponential",EXP(IF(AND(ISNUMBER('Council Entry'!AT$8),ISNUMBER('Council Entry'!AT$9)),MAX(MIN('Council Entry'!AT150,'Council Entry'!AT$9),'Council Entry'!AT$8),'Council Entry'!AT150)),IF(AND(ISNUMBER('Council Entry'!AT$8),ISNUMBER('Council Entry'!AT$9)),MAX(MIN('Council Entry'!AT150,'Council Entry'!AT$9),'Council Entry'!AT$8),'Council Entry'!AT150))))-'Council Entry'!AT$5)/('Council Entry'!AT$6-'Council Entry'!AT$5)),1))),"No data"))</f>
        <v/>
      </c>
      <c r="AU150" s="13">
        <f>IF('Council Entry'!AU150="","",IFERROR(MAX(0,MIN(10,ROUND(IF('Council Entry'!AU$7="Decrease Risk",10-10*((IF('Council Entry'!AU$4="Logarithm",LN(0.001+IF(AND(ISNUMBER('Council Entry'!AU$8),ISNUMBER('Council Entry'!AU$9)),MAX(MIN('Council Entry'!AU150,'Council Entry'!AU$9),'Council Entry'!AU$8),'Council Entry'!AU150)),IF('Council Entry'!AU$4="Exponential",EXP(IF(AND(ISNUMBER('Council Entry'!AU$8),ISNUMBER('Council Entry'!AU$9)),MAX(MIN('Council Entry'!AU150,'Council Entry'!AU$9),'Council Entry'!AU$8),'Council Entry'!AU150)),IF(AND(ISNUMBER('Council Entry'!AU$8),ISNUMBER('Council Entry'!AU$9)),MAX(MIN('Council Entry'!AU150,'Council Entry'!AU$9),'Council Entry'!AU$8),'Council Entry'!AU150))))-'Council Entry'!AU$5)/('Council Entry'!AU$6-'Council Entry'!AU$5),10*((IF('Council Entry'!AU$4="Logarithm",LN(0.001+IF(AND(ISNUMBER('Council Entry'!AU$8),ISNUMBER('Council Entry'!AU$9)),MAX(MIN('Council Entry'!AU150,'Council Entry'!AU$9),'Council Entry'!AU$8),'Council Entry'!AU150)),IF('Council Entry'!AU$4="Exponential",EXP(IF(AND(ISNUMBER('Council Entry'!AU$8),ISNUMBER('Council Entry'!AU$9)),MAX(MIN('Council Entry'!AU150,'Council Entry'!AU$9),'Council Entry'!AU$8),'Council Entry'!AU150)),IF(AND(ISNUMBER('Council Entry'!AU$8),ISNUMBER('Council Entry'!AU$9)),MAX(MIN('Council Entry'!AU150,'Council Entry'!AU$9),'Council Entry'!AU$8),'Council Entry'!AU150))))-'Council Entry'!AU$5)/('Council Entry'!AU$6-'Council Entry'!AU$5)),1))),"No data"))</f>
        <v/>
      </c>
      <c r="AV150" s="13">
        <f>IF('Council Entry'!AV150="","",IFERROR(MAX(0,MIN(10,ROUND(IF('Council Entry'!AV$7="Decrease Risk",10-10*((IF('Council Entry'!AV$4="Logarithm",LN(0.001+IF(AND(ISNUMBER('Council Entry'!AV$8),ISNUMBER('Council Entry'!AV$9)),MAX(MIN('Council Entry'!AV150,'Council Entry'!AV$9),'Council Entry'!AV$8),'Council Entry'!AV150)),IF('Council Entry'!AV$4="Exponential",EXP(IF(AND(ISNUMBER('Council Entry'!AV$8),ISNUMBER('Council Entry'!AV$9)),MAX(MIN('Council Entry'!AV150,'Council Entry'!AV$9),'Council Entry'!AV$8),'Council Entry'!AV150)),IF(AND(ISNUMBER('Council Entry'!AV$8),ISNUMBER('Council Entry'!AV$9)),MAX(MIN('Council Entry'!AV150,'Council Entry'!AV$9),'Council Entry'!AV$8),'Council Entry'!AV150))))-'Council Entry'!AV$5)/('Council Entry'!AV$6-'Council Entry'!AV$5),10*((IF('Council Entry'!AV$4="Logarithm",LN(0.001+IF(AND(ISNUMBER('Council Entry'!AV$8),ISNUMBER('Council Entry'!AV$9)),MAX(MIN('Council Entry'!AV150,'Council Entry'!AV$9),'Council Entry'!AV$8),'Council Entry'!AV150)),IF('Council Entry'!AV$4="Exponential",EXP(IF(AND(ISNUMBER('Council Entry'!AV$8),ISNUMBER('Council Entry'!AV$9)),MAX(MIN('Council Entry'!AV150,'Council Entry'!AV$9),'Council Entry'!AV$8),'Council Entry'!AV150)),IF(AND(ISNUMBER('Council Entry'!AV$8),ISNUMBER('Council Entry'!AV$9)),MAX(MIN('Council Entry'!AV150,'Council Entry'!AV$9),'Council Entry'!AV$8),'Council Entry'!AV150))))-'Council Entry'!AV$5)/('Council Entry'!AV$6-'Council Entry'!AV$5)),1))),"No data"))</f>
        <v/>
      </c>
      <c r="AW150" s="13">
        <f>IF('Council Entry'!AW150="","",IFERROR(MAX(0,MIN(10,ROUND(IF('Council Entry'!AW$7="Decrease Risk",10-10*((IF('Council Entry'!AW$4="Logarithm",LN(0.001+IF(AND(ISNUMBER('Council Entry'!AW$8),ISNUMBER('Council Entry'!AW$9)),MAX(MIN('Council Entry'!AW150,'Council Entry'!AW$9),'Council Entry'!AW$8),'Council Entry'!AW150)),IF('Council Entry'!AW$4="Exponential",EXP(IF(AND(ISNUMBER('Council Entry'!AW$8),ISNUMBER('Council Entry'!AW$9)),MAX(MIN('Council Entry'!AW150,'Council Entry'!AW$9),'Council Entry'!AW$8),'Council Entry'!AW150)),IF(AND(ISNUMBER('Council Entry'!AW$8),ISNUMBER('Council Entry'!AW$9)),MAX(MIN('Council Entry'!AW150,'Council Entry'!AW$9),'Council Entry'!AW$8),'Council Entry'!AW150))))-'Council Entry'!AW$5)/('Council Entry'!AW$6-'Council Entry'!AW$5),10*((IF('Council Entry'!AW$4="Logarithm",LN(0.001+IF(AND(ISNUMBER('Council Entry'!AW$8),ISNUMBER('Council Entry'!AW$9)),MAX(MIN('Council Entry'!AW150,'Council Entry'!AW$9),'Council Entry'!AW$8),'Council Entry'!AW150)),IF('Council Entry'!AW$4="Exponential",EXP(IF(AND(ISNUMBER('Council Entry'!AW$8),ISNUMBER('Council Entry'!AW$9)),MAX(MIN('Council Entry'!AW150,'Council Entry'!AW$9),'Council Entry'!AW$8),'Council Entry'!AW150)),IF(AND(ISNUMBER('Council Entry'!AW$8),ISNUMBER('Council Entry'!AW$9)),MAX(MIN('Council Entry'!AW150,'Council Entry'!AW$9),'Council Entry'!AW$8),'Council Entry'!AW150))))-'Council Entry'!AW$5)/('Council Entry'!AW$6-'Council Entry'!AW$5)),1))),"No data"))</f>
        <v/>
      </c>
      <c r="AX150" s="13">
        <f>IF('Council Entry'!AX150="","",IFERROR(MAX(0,MIN(10,ROUND(IF('Council Entry'!AX$7="Decrease Risk",10-10*((IF('Council Entry'!AX$4="Logarithm",LN(0.001+IF(AND(ISNUMBER('Council Entry'!AX$8),ISNUMBER('Council Entry'!AX$9)),MAX(MIN('Council Entry'!AX150,'Council Entry'!AX$9),'Council Entry'!AX$8),'Council Entry'!AX150)),IF('Council Entry'!AX$4="Exponential",EXP(IF(AND(ISNUMBER('Council Entry'!AX$8),ISNUMBER('Council Entry'!AX$9)),MAX(MIN('Council Entry'!AX150,'Council Entry'!AX$9),'Council Entry'!AX$8),'Council Entry'!AX150)),IF(AND(ISNUMBER('Council Entry'!AX$8),ISNUMBER('Council Entry'!AX$9)),MAX(MIN('Council Entry'!AX150,'Council Entry'!AX$9),'Council Entry'!AX$8),'Council Entry'!AX150))))-'Council Entry'!AX$5)/('Council Entry'!AX$6-'Council Entry'!AX$5),10*((IF('Council Entry'!AX$4="Logarithm",LN(0.001+IF(AND(ISNUMBER('Council Entry'!AX$8),ISNUMBER('Council Entry'!AX$9)),MAX(MIN('Council Entry'!AX150,'Council Entry'!AX$9),'Council Entry'!AX$8),'Council Entry'!AX150)),IF('Council Entry'!AX$4="Exponential",EXP(IF(AND(ISNUMBER('Council Entry'!AX$8),ISNUMBER('Council Entry'!AX$9)),MAX(MIN('Council Entry'!AX150,'Council Entry'!AX$9),'Council Entry'!AX$8),'Council Entry'!AX150)),IF(AND(ISNUMBER('Council Entry'!AX$8),ISNUMBER('Council Entry'!AX$9)),MAX(MIN('Council Entry'!AX150,'Council Entry'!AX$9),'Council Entry'!AX$8),'Council Entry'!AX150))))-'Council Entry'!AX$5)/('Council Entry'!AX$6-'Council Entry'!AX$5)),1))),"No data"))</f>
        <v/>
      </c>
      <c r="AY150" s="13">
        <f>IF('Council Entry'!AY150="","",IFERROR(MAX(0,MIN(10,ROUND(IF('Council Entry'!AY$7="Decrease Risk",10-10*((IF('Council Entry'!AY$4="Logarithm",LN(0.001+IF(AND(ISNUMBER('Council Entry'!AY$8),ISNUMBER('Council Entry'!AY$9)),MAX(MIN('Council Entry'!AY150,'Council Entry'!AY$9),'Council Entry'!AY$8),'Council Entry'!AY150)),IF('Council Entry'!AY$4="Exponential",EXP(IF(AND(ISNUMBER('Council Entry'!AY$8),ISNUMBER('Council Entry'!AY$9)),MAX(MIN('Council Entry'!AY150,'Council Entry'!AY$9),'Council Entry'!AY$8),'Council Entry'!AY150)),IF(AND(ISNUMBER('Council Entry'!AY$8),ISNUMBER('Council Entry'!AY$9)),MAX(MIN('Council Entry'!AY150,'Council Entry'!AY$9),'Council Entry'!AY$8),'Council Entry'!AY150))))-'Council Entry'!AY$5)/('Council Entry'!AY$6-'Council Entry'!AY$5),10*((IF('Council Entry'!AY$4="Logarithm",LN(0.001+IF(AND(ISNUMBER('Council Entry'!AY$8),ISNUMBER('Council Entry'!AY$9)),MAX(MIN('Council Entry'!AY150,'Council Entry'!AY$9),'Council Entry'!AY$8),'Council Entry'!AY150)),IF('Council Entry'!AY$4="Exponential",EXP(IF(AND(ISNUMBER('Council Entry'!AY$8),ISNUMBER('Council Entry'!AY$9)),MAX(MIN('Council Entry'!AY150,'Council Entry'!AY$9),'Council Entry'!AY$8),'Council Entry'!AY150)),IF(AND(ISNUMBER('Council Entry'!AY$8),ISNUMBER('Council Entry'!AY$9)),MAX(MIN('Council Entry'!AY150,'Council Entry'!AY$9),'Council Entry'!AY$8),'Council Entry'!AY150))))-'Council Entry'!AY$5)/('Council Entry'!AY$6-'Council Entry'!AY$5)),1))),"No data"))</f>
        <v/>
      </c>
      <c r="AZ150" s="13">
        <f>IF('Council Entry'!AZ150="","",IFERROR(MAX(0,MIN(10,ROUND(IF('Council Entry'!AZ$7="Decrease Risk",10-10*((IF('Council Entry'!AZ$4="Logarithm",LN(0.001+IF(AND(ISNUMBER('Council Entry'!AZ$8),ISNUMBER('Council Entry'!AZ$9)),MAX(MIN('Council Entry'!AZ150,'Council Entry'!AZ$9),'Council Entry'!AZ$8),'Council Entry'!AZ150)),IF('Council Entry'!AZ$4="Exponential",EXP(IF(AND(ISNUMBER('Council Entry'!AZ$8),ISNUMBER('Council Entry'!AZ$9)),MAX(MIN('Council Entry'!AZ150,'Council Entry'!AZ$9),'Council Entry'!AZ$8),'Council Entry'!AZ150)),IF(AND(ISNUMBER('Council Entry'!AZ$8),ISNUMBER('Council Entry'!AZ$9)),MAX(MIN('Council Entry'!AZ150,'Council Entry'!AZ$9),'Council Entry'!AZ$8),'Council Entry'!AZ150))))-'Council Entry'!AZ$5)/('Council Entry'!AZ$6-'Council Entry'!AZ$5),10*((IF('Council Entry'!AZ$4="Logarithm",LN(0.001+IF(AND(ISNUMBER('Council Entry'!AZ$8),ISNUMBER('Council Entry'!AZ$9)),MAX(MIN('Council Entry'!AZ150,'Council Entry'!AZ$9),'Council Entry'!AZ$8),'Council Entry'!AZ150)),IF('Council Entry'!AZ$4="Exponential",EXP(IF(AND(ISNUMBER('Council Entry'!AZ$8),ISNUMBER('Council Entry'!AZ$9)),MAX(MIN('Council Entry'!AZ150,'Council Entry'!AZ$9),'Council Entry'!AZ$8),'Council Entry'!AZ150)),IF(AND(ISNUMBER('Council Entry'!AZ$8),ISNUMBER('Council Entry'!AZ$9)),MAX(MIN('Council Entry'!AZ150,'Council Entry'!AZ$9),'Council Entry'!AZ$8),'Council Entry'!AZ150))))-'Council Entry'!AZ$5)/('Council Entry'!AZ$6-'Council Entry'!AZ$5)),1))),"No data"))</f>
        <v/>
      </c>
      <c r="BA150" s="13">
        <f>IF('Council Entry'!BA150="","",IFERROR(MAX(0,MIN(10,ROUND(IF('Council Entry'!BA$7="Decrease Risk",10-10*((IF('Council Entry'!BA$4="Logarithm",LN(0.001+IF(AND(ISNUMBER('Council Entry'!BA$8),ISNUMBER('Council Entry'!BA$9)),MAX(MIN('Council Entry'!BA150,'Council Entry'!BA$9),'Council Entry'!BA$8),'Council Entry'!BA150)),IF('Council Entry'!BA$4="Exponential",EXP(IF(AND(ISNUMBER('Council Entry'!BA$8),ISNUMBER('Council Entry'!BA$9)),MAX(MIN('Council Entry'!BA150,'Council Entry'!BA$9),'Council Entry'!BA$8),'Council Entry'!BA150)),IF(AND(ISNUMBER('Council Entry'!BA$8),ISNUMBER('Council Entry'!BA$9)),MAX(MIN('Council Entry'!BA150,'Council Entry'!BA$9),'Council Entry'!BA$8),'Council Entry'!BA150))))-'Council Entry'!BA$5)/('Council Entry'!BA$6-'Council Entry'!BA$5),10*((IF('Council Entry'!BA$4="Logarithm",LN(0.001+IF(AND(ISNUMBER('Council Entry'!BA$8),ISNUMBER('Council Entry'!BA$9)),MAX(MIN('Council Entry'!BA150,'Council Entry'!BA$9),'Council Entry'!BA$8),'Council Entry'!BA150)),IF('Council Entry'!BA$4="Exponential",EXP(IF(AND(ISNUMBER('Council Entry'!BA$8),ISNUMBER('Council Entry'!BA$9)),MAX(MIN('Council Entry'!BA150,'Council Entry'!BA$9),'Council Entry'!BA$8),'Council Entry'!BA150)),IF(AND(ISNUMBER('Council Entry'!BA$8),ISNUMBER('Council Entry'!BA$9)),MAX(MIN('Council Entry'!BA150,'Council Entry'!BA$9),'Council Entry'!BA$8),'Council Entry'!BA150))))-'Council Entry'!BA$5)/('Council Entry'!BA$6-'Council Entry'!BA$5)),1))),"No data"))</f>
        <v/>
      </c>
      <c r="BB150" s="13">
        <f>IF('Council Entry'!BB150="","",IFERROR(MAX(0,MIN(10,ROUND(IF('Council Entry'!BB$7="Decrease Risk",10-10*((IF('Council Entry'!BB$4="Logarithm",LN(0.001+IF(AND(ISNUMBER('Council Entry'!BB$8),ISNUMBER('Council Entry'!BB$9)),MAX(MIN('Council Entry'!BB150,'Council Entry'!BB$9),'Council Entry'!BB$8),'Council Entry'!BB150)),IF('Council Entry'!BB$4="Exponential",EXP(IF(AND(ISNUMBER('Council Entry'!BB$8),ISNUMBER('Council Entry'!BB$9)),MAX(MIN('Council Entry'!BB150,'Council Entry'!BB$9),'Council Entry'!BB$8),'Council Entry'!BB150)),IF(AND(ISNUMBER('Council Entry'!BB$8),ISNUMBER('Council Entry'!BB$9)),MAX(MIN('Council Entry'!BB150,'Council Entry'!BB$9),'Council Entry'!BB$8),'Council Entry'!BB150))))-'Council Entry'!BB$5)/('Council Entry'!BB$6-'Council Entry'!BB$5),10*((IF('Council Entry'!BB$4="Logarithm",LN(0.001+IF(AND(ISNUMBER('Council Entry'!BB$8),ISNUMBER('Council Entry'!BB$9)),MAX(MIN('Council Entry'!BB150,'Council Entry'!BB$9),'Council Entry'!BB$8),'Council Entry'!BB150)),IF('Council Entry'!BB$4="Exponential",EXP(IF(AND(ISNUMBER('Council Entry'!BB$8),ISNUMBER('Council Entry'!BB$9)),MAX(MIN('Council Entry'!BB150,'Council Entry'!BB$9),'Council Entry'!BB$8),'Council Entry'!BB150)),IF(AND(ISNUMBER('Council Entry'!BB$8),ISNUMBER('Council Entry'!BB$9)),MAX(MIN('Council Entry'!BB150,'Council Entry'!BB$9),'Council Entry'!BB$8),'Council Entry'!BB150))))-'Council Entry'!BB$5)/('Council Entry'!BB$6-'Council Entry'!BB$5)),1))),"No data"))</f>
        <v/>
      </c>
      <c r="BC150" s="13">
        <f>IF('Council Entry'!BC150="","",IFERROR(MAX(0,MIN(10,ROUND(IF('Council Entry'!BC$7="Decrease Risk",10-10*((IF('Council Entry'!BC$4="Logarithm",LN(0.001+IF(AND(ISNUMBER('Council Entry'!BC$8),ISNUMBER('Council Entry'!BC$9)),MAX(MIN('Council Entry'!BC150,'Council Entry'!BC$9),'Council Entry'!BC$8),'Council Entry'!BC150)),IF('Council Entry'!BC$4="Exponential",EXP(IF(AND(ISNUMBER('Council Entry'!BC$8),ISNUMBER('Council Entry'!BC$9)),MAX(MIN('Council Entry'!BC150,'Council Entry'!BC$9),'Council Entry'!BC$8),'Council Entry'!BC150)),IF(AND(ISNUMBER('Council Entry'!BC$8),ISNUMBER('Council Entry'!BC$9)),MAX(MIN('Council Entry'!BC150,'Council Entry'!BC$9),'Council Entry'!BC$8),'Council Entry'!BC150))))-'Council Entry'!BC$5)/('Council Entry'!BC$6-'Council Entry'!BC$5),10*((IF('Council Entry'!BC$4="Logarithm",LN(0.001+IF(AND(ISNUMBER('Council Entry'!BC$8),ISNUMBER('Council Entry'!BC$9)),MAX(MIN('Council Entry'!BC150,'Council Entry'!BC$9),'Council Entry'!BC$8),'Council Entry'!BC150)),IF('Council Entry'!BC$4="Exponential",EXP(IF(AND(ISNUMBER('Council Entry'!BC$8),ISNUMBER('Council Entry'!BC$9)),MAX(MIN('Council Entry'!BC150,'Council Entry'!BC$9),'Council Entry'!BC$8),'Council Entry'!BC150)),IF(AND(ISNUMBER('Council Entry'!BC$8),ISNUMBER('Council Entry'!BC$9)),MAX(MIN('Council Entry'!BC150,'Council Entry'!BC$9),'Council Entry'!BC$8),'Council Entry'!BC150))))-'Council Entry'!BC$5)/('Council Entry'!BC$6-'Council Entry'!BC$5)),1))),"No data"))</f>
        <v/>
      </c>
      <c r="BD150" s="13">
        <f>IF('Council Entry'!BD150="","",IFERROR(MAX(0,MIN(10,ROUND(IF('Council Entry'!BD$7="Decrease Risk",10-10*((IF('Council Entry'!BD$4="Logarithm",LN(0.001+IF(AND(ISNUMBER('Council Entry'!BD$8),ISNUMBER('Council Entry'!BD$9)),MAX(MIN('Council Entry'!BD150,'Council Entry'!BD$9),'Council Entry'!BD$8),'Council Entry'!BD150)),IF('Council Entry'!BD$4="Exponential",EXP(IF(AND(ISNUMBER('Council Entry'!BD$8),ISNUMBER('Council Entry'!BD$9)),MAX(MIN('Council Entry'!BD150,'Council Entry'!BD$9),'Council Entry'!BD$8),'Council Entry'!BD150)),IF(AND(ISNUMBER('Council Entry'!BD$8),ISNUMBER('Council Entry'!BD$9)),MAX(MIN('Council Entry'!BD150,'Council Entry'!BD$9),'Council Entry'!BD$8),'Council Entry'!BD150))))-'Council Entry'!BD$5)/('Council Entry'!BD$6-'Council Entry'!BD$5),10*((IF('Council Entry'!BD$4="Logarithm",LN(0.001+IF(AND(ISNUMBER('Council Entry'!BD$8),ISNUMBER('Council Entry'!BD$9)),MAX(MIN('Council Entry'!BD150,'Council Entry'!BD$9),'Council Entry'!BD$8),'Council Entry'!BD150)),IF('Council Entry'!BD$4="Exponential",EXP(IF(AND(ISNUMBER('Council Entry'!BD$8),ISNUMBER('Council Entry'!BD$9)),MAX(MIN('Council Entry'!BD150,'Council Entry'!BD$9),'Council Entry'!BD$8),'Council Entry'!BD150)),IF(AND(ISNUMBER('Council Entry'!BD$8),ISNUMBER('Council Entry'!BD$9)),MAX(MIN('Council Entry'!BD150,'Council Entry'!BD$9),'Council Entry'!BD$8),'Council Entry'!BD150))))-'Council Entry'!BD$5)/('Council Entry'!BD$6-'Council Entry'!BD$5)),1))),"No data"))</f>
        <v/>
      </c>
    </row>
    <row r="151">
      <c r="A151" t="inlineStr">
        <is>
          <t>Rukwa</t>
        </is>
      </c>
      <c r="B151" t="inlineStr">
        <is>
          <t>Kalambo District</t>
        </is>
      </c>
      <c r="C151" t="inlineStr">
        <is>
          <t>C107</t>
        </is>
      </c>
      <c r="D151" s="13">
        <f>IF('Council Entry'!D151="","",IFERROR(MAX(0,MIN(10,ROUND(IF('Council Entry'!D$7="Decrease Risk",10-10*((IF('Council Entry'!D$4="Logarithm",LN(0.001+IF(AND(ISNUMBER('Council Entry'!D$8),ISNUMBER('Council Entry'!D$9)),MAX(MIN('Council Entry'!D151,'Council Entry'!D$9),'Council Entry'!D$8),'Council Entry'!D151)),IF('Council Entry'!D$4="Exponential",EXP(IF(AND(ISNUMBER('Council Entry'!D$8),ISNUMBER('Council Entry'!D$9)),MAX(MIN('Council Entry'!D151,'Council Entry'!D$9),'Council Entry'!D$8),'Council Entry'!D151)),IF(AND(ISNUMBER('Council Entry'!D$8),ISNUMBER('Council Entry'!D$9)),MAX(MIN('Council Entry'!D151,'Council Entry'!D$9),'Council Entry'!D$8),'Council Entry'!D151))))-'Council Entry'!D$5)/('Council Entry'!D$6-'Council Entry'!D$5),10*((IF('Council Entry'!D$4="Logarithm",LN(0.001+IF(AND(ISNUMBER('Council Entry'!D$8),ISNUMBER('Council Entry'!D$9)),MAX(MIN('Council Entry'!D151,'Council Entry'!D$9),'Council Entry'!D$8),'Council Entry'!D151)),IF('Council Entry'!D$4="Exponential",EXP(IF(AND(ISNUMBER('Council Entry'!D$8),ISNUMBER('Council Entry'!D$9)),MAX(MIN('Council Entry'!D151,'Council Entry'!D$9),'Council Entry'!D$8),'Council Entry'!D151)),IF(AND(ISNUMBER('Council Entry'!D$8),ISNUMBER('Council Entry'!D$9)),MAX(MIN('Council Entry'!D151,'Council Entry'!D$9),'Council Entry'!D$8),'Council Entry'!D151))))-'Council Entry'!D$5)/('Council Entry'!D$6-'Council Entry'!D$5)),1))),"No data"))</f>
        <v/>
      </c>
      <c r="E151" s="13">
        <f>IF('Council Entry'!E151="","",IFERROR(MAX(0,MIN(10,ROUND(IF('Council Entry'!E$7="Decrease Risk",10-10*((IF('Council Entry'!E$4="Logarithm",LN(0.001+IF(AND(ISNUMBER('Council Entry'!E$8),ISNUMBER('Council Entry'!E$9)),MAX(MIN('Council Entry'!E151,'Council Entry'!E$9),'Council Entry'!E$8),'Council Entry'!E151)),IF('Council Entry'!E$4="Exponential",EXP(IF(AND(ISNUMBER('Council Entry'!E$8),ISNUMBER('Council Entry'!E$9)),MAX(MIN('Council Entry'!E151,'Council Entry'!E$9),'Council Entry'!E$8),'Council Entry'!E151)),IF(AND(ISNUMBER('Council Entry'!E$8),ISNUMBER('Council Entry'!E$9)),MAX(MIN('Council Entry'!E151,'Council Entry'!E$9),'Council Entry'!E$8),'Council Entry'!E151))))-'Council Entry'!E$5)/('Council Entry'!E$6-'Council Entry'!E$5),10*((IF('Council Entry'!E$4="Logarithm",LN(0.001+IF(AND(ISNUMBER('Council Entry'!E$8),ISNUMBER('Council Entry'!E$9)),MAX(MIN('Council Entry'!E151,'Council Entry'!E$9),'Council Entry'!E$8),'Council Entry'!E151)),IF('Council Entry'!E$4="Exponential",EXP(IF(AND(ISNUMBER('Council Entry'!E$8),ISNUMBER('Council Entry'!E$9)),MAX(MIN('Council Entry'!E151,'Council Entry'!E$9),'Council Entry'!E$8),'Council Entry'!E151)),IF(AND(ISNUMBER('Council Entry'!E$8),ISNUMBER('Council Entry'!E$9)),MAX(MIN('Council Entry'!E151,'Council Entry'!E$9),'Council Entry'!E$8),'Council Entry'!E151))))-'Council Entry'!E$5)/('Council Entry'!E$6-'Council Entry'!E$5)),1))),"No data"))</f>
        <v/>
      </c>
      <c r="F151" s="13">
        <f>IF('Council Entry'!F151="","",IFERROR(MAX(0,MIN(10,ROUND(IF('Council Entry'!F$7="Decrease Risk",10-10*((IF('Council Entry'!F$4="Logarithm",LN(0.001+IF(AND(ISNUMBER('Council Entry'!F$8),ISNUMBER('Council Entry'!F$9)),MAX(MIN('Council Entry'!F151,'Council Entry'!F$9),'Council Entry'!F$8),'Council Entry'!F151)),IF('Council Entry'!F$4="Exponential",EXP(IF(AND(ISNUMBER('Council Entry'!F$8),ISNUMBER('Council Entry'!F$9)),MAX(MIN('Council Entry'!F151,'Council Entry'!F$9),'Council Entry'!F$8),'Council Entry'!F151)),IF(AND(ISNUMBER('Council Entry'!F$8),ISNUMBER('Council Entry'!F$9)),MAX(MIN('Council Entry'!F151,'Council Entry'!F$9),'Council Entry'!F$8),'Council Entry'!F151))))-'Council Entry'!F$5)/('Council Entry'!F$6-'Council Entry'!F$5),10*((IF('Council Entry'!F$4="Logarithm",LN(0.001+IF(AND(ISNUMBER('Council Entry'!F$8),ISNUMBER('Council Entry'!F$9)),MAX(MIN('Council Entry'!F151,'Council Entry'!F$9),'Council Entry'!F$8),'Council Entry'!F151)),IF('Council Entry'!F$4="Exponential",EXP(IF(AND(ISNUMBER('Council Entry'!F$8),ISNUMBER('Council Entry'!F$9)),MAX(MIN('Council Entry'!F151,'Council Entry'!F$9),'Council Entry'!F$8),'Council Entry'!F151)),IF(AND(ISNUMBER('Council Entry'!F$8),ISNUMBER('Council Entry'!F$9)),MAX(MIN('Council Entry'!F151,'Council Entry'!F$9),'Council Entry'!F$8),'Council Entry'!F151))))-'Council Entry'!F$5)/('Council Entry'!F$6-'Council Entry'!F$5)),1))),"No data"))</f>
        <v/>
      </c>
      <c r="G151" s="13">
        <f>IF('Council Entry'!G151="","",IFERROR(MAX(0,MIN(10,ROUND(IF('Council Entry'!G$7="Decrease Risk",10-10*((IF('Council Entry'!G$4="Logarithm",LN(0.001+IF(AND(ISNUMBER('Council Entry'!G$8),ISNUMBER('Council Entry'!G$9)),MAX(MIN('Council Entry'!G151,'Council Entry'!G$9),'Council Entry'!G$8),'Council Entry'!G151)),IF('Council Entry'!G$4="Exponential",EXP(IF(AND(ISNUMBER('Council Entry'!G$8),ISNUMBER('Council Entry'!G$9)),MAX(MIN('Council Entry'!G151,'Council Entry'!G$9),'Council Entry'!G$8),'Council Entry'!G151)),IF(AND(ISNUMBER('Council Entry'!G$8),ISNUMBER('Council Entry'!G$9)),MAX(MIN('Council Entry'!G151,'Council Entry'!G$9),'Council Entry'!G$8),'Council Entry'!G151))))-'Council Entry'!G$5)/('Council Entry'!G$6-'Council Entry'!G$5),10*((IF('Council Entry'!G$4="Logarithm",LN(0.001+IF(AND(ISNUMBER('Council Entry'!G$8),ISNUMBER('Council Entry'!G$9)),MAX(MIN('Council Entry'!G151,'Council Entry'!G$9),'Council Entry'!G$8),'Council Entry'!G151)),IF('Council Entry'!G$4="Exponential",EXP(IF(AND(ISNUMBER('Council Entry'!G$8),ISNUMBER('Council Entry'!G$9)),MAX(MIN('Council Entry'!G151,'Council Entry'!G$9),'Council Entry'!G$8),'Council Entry'!G151)),IF(AND(ISNUMBER('Council Entry'!G$8),ISNUMBER('Council Entry'!G$9)),MAX(MIN('Council Entry'!G151,'Council Entry'!G$9),'Council Entry'!G$8),'Council Entry'!G151))))-'Council Entry'!G$5)/('Council Entry'!G$6-'Council Entry'!G$5)),1))),"No data"))</f>
        <v/>
      </c>
      <c r="H151" s="13">
        <f>IF('Council Entry'!H151="","",IFERROR(MAX(0,MIN(10,ROUND(IF('Council Entry'!H$7="Decrease Risk",10-10*((IF('Council Entry'!H$4="Logarithm",LN(0.001+IF(AND(ISNUMBER('Council Entry'!H$8),ISNUMBER('Council Entry'!H$9)),MAX(MIN('Council Entry'!H151,'Council Entry'!H$9),'Council Entry'!H$8),'Council Entry'!H151)),IF('Council Entry'!H$4="Exponential",EXP(IF(AND(ISNUMBER('Council Entry'!H$8),ISNUMBER('Council Entry'!H$9)),MAX(MIN('Council Entry'!H151,'Council Entry'!H$9),'Council Entry'!H$8),'Council Entry'!H151)),IF(AND(ISNUMBER('Council Entry'!H$8),ISNUMBER('Council Entry'!H$9)),MAX(MIN('Council Entry'!H151,'Council Entry'!H$9),'Council Entry'!H$8),'Council Entry'!H151))))-'Council Entry'!H$5)/('Council Entry'!H$6-'Council Entry'!H$5),10*((IF('Council Entry'!H$4="Logarithm",LN(0.001+IF(AND(ISNUMBER('Council Entry'!H$8),ISNUMBER('Council Entry'!H$9)),MAX(MIN('Council Entry'!H151,'Council Entry'!H$9),'Council Entry'!H$8),'Council Entry'!H151)),IF('Council Entry'!H$4="Exponential",EXP(IF(AND(ISNUMBER('Council Entry'!H$8),ISNUMBER('Council Entry'!H$9)),MAX(MIN('Council Entry'!H151,'Council Entry'!H$9),'Council Entry'!H$8),'Council Entry'!H151)),IF(AND(ISNUMBER('Council Entry'!H$8),ISNUMBER('Council Entry'!H$9)),MAX(MIN('Council Entry'!H151,'Council Entry'!H$9),'Council Entry'!H$8),'Council Entry'!H151))))-'Council Entry'!H$5)/('Council Entry'!H$6-'Council Entry'!H$5)),1))),"No data"))</f>
        <v/>
      </c>
      <c r="I151" s="13">
        <f>IF('Council Entry'!I151="","",IFERROR(MAX(0,MIN(10,ROUND(IF('Council Entry'!I$7="Decrease Risk",10-10*((IF('Council Entry'!I$4="Logarithm",LN(0.001+IF(AND(ISNUMBER('Council Entry'!I$8),ISNUMBER('Council Entry'!I$9)),MAX(MIN('Council Entry'!I151,'Council Entry'!I$9),'Council Entry'!I$8),'Council Entry'!I151)),IF('Council Entry'!I$4="Exponential",EXP(IF(AND(ISNUMBER('Council Entry'!I$8),ISNUMBER('Council Entry'!I$9)),MAX(MIN('Council Entry'!I151,'Council Entry'!I$9),'Council Entry'!I$8),'Council Entry'!I151)),IF(AND(ISNUMBER('Council Entry'!I$8),ISNUMBER('Council Entry'!I$9)),MAX(MIN('Council Entry'!I151,'Council Entry'!I$9),'Council Entry'!I$8),'Council Entry'!I151))))-'Council Entry'!I$5)/('Council Entry'!I$6-'Council Entry'!I$5),10*((IF('Council Entry'!I$4="Logarithm",LN(0.001+IF(AND(ISNUMBER('Council Entry'!I$8),ISNUMBER('Council Entry'!I$9)),MAX(MIN('Council Entry'!I151,'Council Entry'!I$9),'Council Entry'!I$8),'Council Entry'!I151)),IF('Council Entry'!I$4="Exponential",EXP(IF(AND(ISNUMBER('Council Entry'!I$8),ISNUMBER('Council Entry'!I$9)),MAX(MIN('Council Entry'!I151,'Council Entry'!I$9),'Council Entry'!I$8),'Council Entry'!I151)),IF(AND(ISNUMBER('Council Entry'!I$8),ISNUMBER('Council Entry'!I$9)),MAX(MIN('Council Entry'!I151,'Council Entry'!I$9),'Council Entry'!I$8),'Council Entry'!I151))))-'Council Entry'!I$5)/('Council Entry'!I$6-'Council Entry'!I$5)),1))),"No data"))</f>
        <v/>
      </c>
      <c r="J151" s="13">
        <f>IF('Council Entry'!J151="","",IFERROR(MAX(0,MIN(10,ROUND(IF('Council Entry'!J$7="Decrease Risk",10-10*((IF('Council Entry'!J$4="Logarithm",LN(0.001+IF(AND(ISNUMBER('Council Entry'!J$8),ISNUMBER('Council Entry'!J$9)),MAX(MIN('Council Entry'!J151,'Council Entry'!J$9),'Council Entry'!J$8),'Council Entry'!J151)),IF('Council Entry'!J$4="Exponential",EXP(IF(AND(ISNUMBER('Council Entry'!J$8),ISNUMBER('Council Entry'!J$9)),MAX(MIN('Council Entry'!J151,'Council Entry'!J$9),'Council Entry'!J$8),'Council Entry'!J151)),IF(AND(ISNUMBER('Council Entry'!J$8),ISNUMBER('Council Entry'!J$9)),MAX(MIN('Council Entry'!J151,'Council Entry'!J$9),'Council Entry'!J$8),'Council Entry'!J151))))-'Council Entry'!J$5)/('Council Entry'!J$6-'Council Entry'!J$5),10*((IF('Council Entry'!J$4="Logarithm",LN(0.001+IF(AND(ISNUMBER('Council Entry'!J$8),ISNUMBER('Council Entry'!J$9)),MAX(MIN('Council Entry'!J151,'Council Entry'!J$9),'Council Entry'!J$8),'Council Entry'!J151)),IF('Council Entry'!J$4="Exponential",EXP(IF(AND(ISNUMBER('Council Entry'!J$8),ISNUMBER('Council Entry'!J$9)),MAX(MIN('Council Entry'!J151,'Council Entry'!J$9),'Council Entry'!J$8),'Council Entry'!J151)),IF(AND(ISNUMBER('Council Entry'!J$8),ISNUMBER('Council Entry'!J$9)),MAX(MIN('Council Entry'!J151,'Council Entry'!J$9),'Council Entry'!J$8),'Council Entry'!J151))))-'Council Entry'!J$5)/('Council Entry'!J$6-'Council Entry'!J$5)),1))),"No data"))</f>
        <v/>
      </c>
      <c r="K151" s="13">
        <f>IF('Council Entry'!K151="","",IFERROR(MAX(0,MIN(10,ROUND(IF('Council Entry'!K$7="Decrease Risk",10-10*((IF('Council Entry'!K$4="Logarithm",LN(0.001+IF(AND(ISNUMBER('Council Entry'!K$8),ISNUMBER('Council Entry'!K$9)),MAX(MIN('Council Entry'!K151,'Council Entry'!K$9),'Council Entry'!K$8),'Council Entry'!K151)),IF('Council Entry'!K$4="Exponential",EXP(IF(AND(ISNUMBER('Council Entry'!K$8),ISNUMBER('Council Entry'!K$9)),MAX(MIN('Council Entry'!K151,'Council Entry'!K$9),'Council Entry'!K$8),'Council Entry'!K151)),IF(AND(ISNUMBER('Council Entry'!K$8),ISNUMBER('Council Entry'!K$9)),MAX(MIN('Council Entry'!K151,'Council Entry'!K$9),'Council Entry'!K$8),'Council Entry'!K151))))-'Council Entry'!K$5)/('Council Entry'!K$6-'Council Entry'!K$5),10*((IF('Council Entry'!K$4="Logarithm",LN(0.001+IF(AND(ISNUMBER('Council Entry'!K$8),ISNUMBER('Council Entry'!K$9)),MAX(MIN('Council Entry'!K151,'Council Entry'!K$9),'Council Entry'!K$8),'Council Entry'!K151)),IF('Council Entry'!K$4="Exponential",EXP(IF(AND(ISNUMBER('Council Entry'!K$8),ISNUMBER('Council Entry'!K$9)),MAX(MIN('Council Entry'!K151,'Council Entry'!K$9),'Council Entry'!K$8),'Council Entry'!K151)),IF(AND(ISNUMBER('Council Entry'!K$8),ISNUMBER('Council Entry'!K$9)),MAX(MIN('Council Entry'!K151,'Council Entry'!K$9),'Council Entry'!K$8),'Council Entry'!K151))))-'Council Entry'!K$5)/('Council Entry'!K$6-'Council Entry'!K$5)),1))),"No data"))</f>
        <v/>
      </c>
      <c r="L151" s="13">
        <f>IF('Council Entry'!L151="","",IFERROR(MAX(0,MIN(10,ROUND(IF('Council Entry'!L$7="Decrease Risk",10-10*((IF('Council Entry'!L$4="Logarithm",LN(0.001+IF(AND(ISNUMBER('Council Entry'!L$8),ISNUMBER('Council Entry'!L$9)),MAX(MIN('Council Entry'!L151,'Council Entry'!L$9),'Council Entry'!L$8),'Council Entry'!L151)),IF('Council Entry'!L$4="Exponential",EXP(IF(AND(ISNUMBER('Council Entry'!L$8),ISNUMBER('Council Entry'!L$9)),MAX(MIN('Council Entry'!L151,'Council Entry'!L$9),'Council Entry'!L$8),'Council Entry'!L151)),IF(AND(ISNUMBER('Council Entry'!L$8),ISNUMBER('Council Entry'!L$9)),MAX(MIN('Council Entry'!L151,'Council Entry'!L$9),'Council Entry'!L$8),'Council Entry'!L151))))-'Council Entry'!L$5)/('Council Entry'!L$6-'Council Entry'!L$5),10*((IF('Council Entry'!L$4="Logarithm",LN(0.001+IF(AND(ISNUMBER('Council Entry'!L$8),ISNUMBER('Council Entry'!L$9)),MAX(MIN('Council Entry'!L151,'Council Entry'!L$9),'Council Entry'!L$8),'Council Entry'!L151)),IF('Council Entry'!L$4="Exponential",EXP(IF(AND(ISNUMBER('Council Entry'!L$8),ISNUMBER('Council Entry'!L$9)),MAX(MIN('Council Entry'!L151,'Council Entry'!L$9),'Council Entry'!L$8),'Council Entry'!L151)),IF(AND(ISNUMBER('Council Entry'!L$8),ISNUMBER('Council Entry'!L$9)),MAX(MIN('Council Entry'!L151,'Council Entry'!L$9),'Council Entry'!L$8),'Council Entry'!L151))))-'Council Entry'!L$5)/('Council Entry'!L$6-'Council Entry'!L$5)),1))),"No data"))</f>
        <v/>
      </c>
      <c r="M151" s="13">
        <f>IF('Council Entry'!M151="","",IFERROR(MAX(0,MIN(10,ROUND(IF('Council Entry'!M$7="Decrease Risk",10-10*((IF('Council Entry'!M$4="Logarithm",LN(0.001+IF(AND(ISNUMBER('Council Entry'!M$8),ISNUMBER('Council Entry'!M$9)),MAX(MIN('Council Entry'!M151,'Council Entry'!M$9),'Council Entry'!M$8),'Council Entry'!M151)),IF('Council Entry'!M$4="Exponential",EXP(IF(AND(ISNUMBER('Council Entry'!M$8),ISNUMBER('Council Entry'!M$9)),MAX(MIN('Council Entry'!M151,'Council Entry'!M$9),'Council Entry'!M$8),'Council Entry'!M151)),IF(AND(ISNUMBER('Council Entry'!M$8),ISNUMBER('Council Entry'!M$9)),MAX(MIN('Council Entry'!M151,'Council Entry'!M$9),'Council Entry'!M$8),'Council Entry'!M151))))-'Council Entry'!M$5)/('Council Entry'!M$6-'Council Entry'!M$5),10*((IF('Council Entry'!M$4="Logarithm",LN(0.001+IF(AND(ISNUMBER('Council Entry'!M$8),ISNUMBER('Council Entry'!M$9)),MAX(MIN('Council Entry'!M151,'Council Entry'!M$9),'Council Entry'!M$8),'Council Entry'!M151)),IF('Council Entry'!M$4="Exponential",EXP(IF(AND(ISNUMBER('Council Entry'!M$8),ISNUMBER('Council Entry'!M$9)),MAX(MIN('Council Entry'!M151,'Council Entry'!M$9),'Council Entry'!M$8),'Council Entry'!M151)),IF(AND(ISNUMBER('Council Entry'!M$8),ISNUMBER('Council Entry'!M$9)),MAX(MIN('Council Entry'!M151,'Council Entry'!M$9),'Council Entry'!M$8),'Council Entry'!M151))))-'Council Entry'!M$5)/('Council Entry'!M$6-'Council Entry'!M$5)),1))),"No data"))</f>
        <v/>
      </c>
      <c r="N151" s="13">
        <f>IF('Council Entry'!N151="","",IFERROR(MAX(0,MIN(10,ROUND(IF('Council Entry'!N$7="Decrease Risk",10-10*((IF('Council Entry'!N$4="Logarithm",LN(0.001+IF(AND(ISNUMBER('Council Entry'!N$8),ISNUMBER('Council Entry'!N$9)),MAX(MIN('Council Entry'!N151,'Council Entry'!N$9),'Council Entry'!N$8),'Council Entry'!N151)),IF('Council Entry'!N$4="Exponential",EXP(IF(AND(ISNUMBER('Council Entry'!N$8),ISNUMBER('Council Entry'!N$9)),MAX(MIN('Council Entry'!N151,'Council Entry'!N$9),'Council Entry'!N$8),'Council Entry'!N151)),IF(AND(ISNUMBER('Council Entry'!N$8),ISNUMBER('Council Entry'!N$9)),MAX(MIN('Council Entry'!N151,'Council Entry'!N$9),'Council Entry'!N$8),'Council Entry'!N151))))-'Council Entry'!N$5)/('Council Entry'!N$6-'Council Entry'!N$5),10*((IF('Council Entry'!N$4="Logarithm",LN(0.001+IF(AND(ISNUMBER('Council Entry'!N$8),ISNUMBER('Council Entry'!N$9)),MAX(MIN('Council Entry'!N151,'Council Entry'!N$9),'Council Entry'!N$8),'Council Entry'!N151)),IF('Council Entry'!N$4="Exponential",EXP(IF(AND(ISNUMBER('Council Entry'!N$8),ISNUMBER('Council Entry'!N$9)),MAX(MIN('Council Entry'!N151,'Council Entry'!N$9),'Council Entry'!N$8),'Council Entry'!N151)),IF(AND(ISNUMBER('Council Entry'!N$8),ISNUMBER('Council Entry'!N$9)),MAX(MIN('Council Entry'!N151,'Council Entry'!N$9),'Council Entry'!N$8),'Council Entry'!N151))))-'Council Entry'!N$5)/('Council Entry'!N$6-'Council Entry'!N$5)),1))),"No data"))</f>
        <v/>
      </c>
      <c r="O151" s="13">
        <f>IF('Council Entry'!O151="","",IFERROR(MAX(0,MIN(10,ROUND(IF('Council Entry'!O$7="Decrease Risk",10-10*((IF('Council Entry'!O$4="Logarithm",LN(0.001+IF(AND(ISNUMBER('Council Entry'!O$8),ISNUMBER('Council Entry'!O$9)),MAX(MIN('Council Entry'!O151,'Council Entry'!O$9),'Council Entry'!O$8),'Council Entry'!O151)),IF('Council Entry'!O$4="Exponential",EXP(IF(AND(ISNUMBER('Council Entry'!O$8),ISNUMBER('Council Entry'!O$9)),MAX(MIN('Council Entry'!O151,'Council Entry'!O$9),'Council Entry'!O$8),'Council Entry'!O151)),IF(AND(ISNUMBER('Council Entry'!O$8),ISNUMBER('Council Entry'!O$9)),MAX(MIN('Council Entry'!O151,'Council Entry'!O$9),'Council Entry'!O$8),'Council Entry'!O151))))-'Council Entry'!O$5)/('Council Entry'!O$6-'Council Entry'!O$5),10*((IF('Council Entry'!O$4="Logarithm",LN(0.001+IF(AND(ISNUMBER('Council Entry'!O$8),ISNUMBER('Council Entry'!O$9)),MAX(MIN('Council Entry'!O151,'Council Entry'!O$9),'Council Entry'!O$8),'Council Entry'!O151)),IF('Council Entry'!O$4="Exponential",EXP(IF(AND(ISNUMBER('Council Entry'!O$8),ISNUMBER('Council Entry'!O$9)),MAX(MIN('Council Entry'!O151,'Council Entry'!O$9),'Council Entry'!O$8),'Council Entry'!O151)),IF(AND(ISNUMBER('Council Entry'!O$8),ISNUMBER('Council Entry'!O$9)),MAX(MIN('Council Entry'!O151,'Council Entry'!O$9),'Council Entry'!O$8),'Council Entry'!O151))))-'Council Entry'!O$5)/('Council Entry'!O$6-'Council Entry'!O$5)),1))),"No data"))</f>
        <v/>
      </c>
      <c r="P151" s="13">
        <f>IF('Council Entry'!P151="","",IFERROR(MAX(0,MIN(10,ROUND(IF('Council Entry'!P$7="Decrease Risk",10-10*((IF('Council Entry'!P$4="Logarithm",LN(0.001+IF(AND(ISNUMBER('Council Entry'!P$8),ISNUMBER('Council Entry'!P$9)),MAX(MIN('Council Entry'!P151,'Council Entry'!P$9),'Council Entry'!P$8),'Council Entry'!P151)),IF('Council Entry'!P$4="Exponential",EXP(IF(AND(ISNUMBER('Council Entry'!P$8),ISNUMBER('Council Entry'!P$9)),MAX(MIN('Council Entry'!P151,'Council Entry'!P$9),'Council Entry'!P$8),'Council Entry'!P151)),IF(AND(ISNUMBER('Council Entry'!P$8),ISNUMBER('Council Entry'!P$9)),MAX(MIN('Council Entry'!P151,'Council Entry'!P$9),'Council Entry'!P$8),'Council Entry'!P151))))-'Council Entry'!P$5)/('Council Entry'!P$6-'Council Entry'!P$5),10*((IF('Council Entry'!P$4="Logarithm",LN(0.001+IF(AND(ISNUMBER('Council Entry'!P$8),ISNUMBER('Council Entry'!P$9)),MAX(MIN('Council Entry'!P151,'Council Entry'!P$9),'Council Entry'!P$8),'Council Entry'!P151)),IF('Council Entry'!P$4="Exponential",EXP(IF(AND(ISNUMBER('Council Entry'!P$8),ISNUMBER('Council Entry'!P$9)),MAX(MIN('Council Entry'!P151,'Council Entry'!P$9),'Council Entry'!P$8),'Council Entry'!P151)),IF(AND(ISNUMBER('Council Entry'!P$8),ISNUMBER('Council Entry'!P$9)),MAX(MIN('Council Entry'!P151,'Council Entry'!P$9),'Council Entry'!P$8),'Council Entry'!P151))))-'Council Entry'!P$5)/('Council Entry'!P$6-'Council Entry'!P$5)),1))),"No data"))</f>
        <v/>
      </c>
      <c r="Q151" s="13">
        <f>IF('Council Entry'!Q151="","",IFERROR(MAX(0,MIN(10,ROUND(IF('Council Entry'!Q$7="Decrease Risk",10-10*((IF('Council Entry'!Q$4="Logarithm",LN(0.001+IF(AND(ISNUMBER('Council Entry'!Q$8),ISNUMBER('Council Entry'!Q$9)),MAX(MIN('Council Entry'!Q151,'Council Entry'!Q$9),'Council Entry'!Q$8),'Council Entry'!Q151)),IF('Council Entry'!Q$4="Exponential",EXP(IF(AND(ISNUMBER('Council Entry'!Q$8),ISNUMBER('Council Entry'!Q$9)),MAX(MIN('Council Entry'!Q151,'Council Entry'!Q$9),'Council Entry'!Q$8),'Council Entry'!Q151)),IF(AND(ISNUMBER('Council Entry'!Q$8),ISNUMBER('Council Entry'!Q$9)),MAX(MIN('Council Entry'!Q151,'Council Entry'!Q$9),'Council Entry'!Q$8),'Council Entry'!Q151))))-'Council Entry'!Q$5)/('Council Entry'!Q$6-'Council Entry'!Q$5),10*((IF('Council Entry'!Q$4="Logarithm",LN(0.001+IF(AND(ISNUMBER('Council Entry'!Q$8),ISNUMBER('Council Entry'!Q$9)),MAX(MIN('Council Entry'!Q151,'Council Entry'!Q$9),'Council Entry'!Q$8),'Council Entry'!Q151)),IF('Council Entry'!Q$4="Exponential",EXP(IF(AND(ISNUMBER('Council Entry'!Q$8),ISNUMBER('Council Entry'!Q$9)),MAX(MIN('Council Entry'!Q151,'Council Entry'!Q$9),'Council Entry'!Q$8),'Council Entry'!Q151)),IF(AND(ISNUMBER('Council Entry'!Q$8),ISNUMBER('Council Entry'!Q$9)),MAX(MIN('Council Entry'!Q151,'Council Entry'!Q$9),'Council Entry'!Q$8),'Council Entry'!Q151))))-'Council Entry'!Q$5)/('Council Entry'!Q$6-'Council Entry'!Q$5)),1))),"No data"))</f>
        <v/>
      </c>
      <c r="R151" s="13">
        <f>IF('Council Entry'!R151="","",IFERROR(MAX(0,MIN(10,ROUND(IF('Council Entry'!R$7="Decrease Risk",10-10*((IF('Council Entry'!R$4="Logarithm",LN(0.001+IF(AND(ISNUMBER('Council Entry'!R$8),ISNUMBER('Council Entry'!R$9)),MAX(MIN('Council Entry'!R151,'Council Entry'!R$9),'Council Entry'!R$8),'Council Entry'!R151)),IF('Council Entry'!R$4="Exponential",EXP(IF(AND(ISNUMBER('Council Entry'!R$8),ISNUMBER('Council Entry'!R$9)),MAX(MIN('Council Entry'!R151,'Council Entry'!R$9),'Council Entry'!R$8),'Council Entry'!R151)),IF(AND(ISNUMBER('Council Entry'!R$8),ISNUMBER('Council Entry'!R$9)),MAX(MIN('Council Entry'!R151,'Council Entry'!R$9),'Council Entry'!R$8),'Council Entry'!R151))))-'Council Entry'!R$5)/('Council Entry'!R$6-'Council Entry'!R$5),10*((IF('Council Entry'!R$4="Logarithm",LN(0.001+IF(AND(ISNUMBER('Council Entry'!R$8),ISNUMBER('Council Entry'!R$9)),MAX(MIN('Council Entry'!R151,'Council Entry'!R$9),'Council Entry'!R$8),'Council Entry'!R151)),IF('Council Entry'!R$4="Exponential",EXP(IF(AND(ISNUMBER('Council Entry'!R$8),ISNUMBER('Council Entry'!R$9)),MAX(MIN('Council Entry'!R151,'Council Entry'!R$9),'Council Entry'!R$8),'Council Entry'!R151)),IF(AND(ISNUMBER('Council Entry'!R$8),ISNUMBER('Council Entry'!R$9)),MAX(MIN('Council Entry'!R151,'Council Entry'!R$9),'Council Entry'!R$8),'Council Entry'!R151))))-'Council Entry'!R$5)/('Council Entry'!R$6-'Council Entry'!R$5)),1))),"No data"))</f>
        <v/>
      </c>
      <c r="S151" s="13">
        <f>IF('Council Entry'!S151="","",IFERROR(MAX(0,MIN(10,ROUND(IF('Council Entry'!S$7="Decrease Risk",10-10*((IF('Council Entry'!S$4="Logarithm",LN(0.001+IF(AND(ISNUMBER('Council Entry'!S$8),ISNUMBER('Council Entry'!S$9)),MAX(MIN('Council Entry'!S151,'Council Entry'!S$9),'Council Entry'!S$8),'Council Entry'!S151)),IF('Council Entry'!S$4="Exponential",EXP(IF(AND(ISNUMBER('Council Entry'!S$8),ISNUMBER('Council Entry'!S$9)),MAX(MIN('Council Entry'!S151,'Council Entry'!S$9),'Council Entry'!S$8),'Council Entry'!S151)),IF(AND(ISNUMBER('Council Entry'!S$8),ISNUMBER('Council Entry'!S$9)),MAX(MIN('Council Entry'!S151,'Council Entry'!S$9),'Council Entry'!S$8),'Council Entry'!S151))))-'Council Entry'!S$5)/('Council Entry'!S$6-'Council Entry'!S$5),10*((IF('Council Entry'!S$4="Logarithm",LN(0.001+IF(AND(ISNUMBER('Council Entry'!S$8),ISNUMBER('Council Entry'!S$9)),MAX(MIN('Council Entry'!S151,'Council Entry'!S$9),'Council Entry'!S$8),'Council Entry'!S151)),IF('Council Entry'!S$4="Exponential",EXP(IF(AND(ISNUMBER('Council Entry'!S$8),ISNUMBER('Council Entry'!S$9)),MAX(MIN('Council Entry'!S151,'Council Entry'!S$9),'Council Entry'!S$8),'Council Entry'!S151)),IF(AND(ISNUMBER('Council Entry'!S$8),ISNUMBER('Council Entry'!S$9)),MAX(MIN('Council Entry'!S151,'Council Entry'!S$9),'Council Entry'!S$8),'Council Entry'!S151))))-'Council Entry'!S$5)/('Council Entry'!S$6-'Council Entry'!S$5)),1))),"No data"))</f>
        <v/>
      </c>
      <c r="T151" s="13">
        <f>IF('Council Entry'!T151="","",IFERROR(MAX(0,MIN(10,ROUND(IF('Council Entry'!T$7="Decrease Risk",10-10*((IF('Council Entry'!T$4="Logarithm",LN(0.001+IF(AND(ISNUMBER('Council Entry'!T$8),ISNUMBER('Council Entry'!T$9)),MAX(MIN('Council Entry'!T151,'Council Entry'!T$9),'Council Entry'!T$8),'Council Entry'!T151)),IF('Council Entry'!T$4="Exponential",EXP(IF(AND(ISNUMBER('Council Entry'!T$8),ISNUMBER('Council Entry'!T$9)),MAX(MIN('Council Entry'!T151,'Council Entry'!T$9),'Council Entry'!T$8),'Council Entry'!T151)),IF(AND(ISNUMBER('Council Entry'!T$8),ISNUMBER('Council Entry'!T$9)),MAX(MIN('Council Entry'!T151,'Council Entry'!T$9),'Council Entry'!T$8),'Council Entry'!T151))))-'Council Entry'!T$5)/('Council Entry'!T$6-'Council Entry'!T$5),10*((IF('Council Entry'!T$4="Logarithm",LN(0.001+IF(AND(ISNUMBER('Council Entry'!T$8),ISNUMBER('Council Entry'!T$9)),MAX(MIN('Council Entry'!T151,'Council Entry'!T$9),'Council Entry'!T$8),'Council Entry'!T151)),IF('Council Entry'!T$4="Exponential",EXP(IF(AND(ISNUMBER('Council Entry'!T$8),ISNUMBER('Council Entry'!T$9)),MAX(MIN('Council Entry'!T151,'Council Entry'!T$9),'Council Entry'!T$8),'Council Entry'!T151)),IF(AND(ISNUMBER('Council Entry'!T$8),ISNUMBER('Council Entry'!T$9)),MAX(MIN('Council Entry'!T151,'Council Entry'!T$9),'Council Entry'!T$8),'Council Entry'!T151))))-'Council Entry'!T$5)/('Council Entry'!T$6-'Council Entry'!T$5)),1))),"No data"))</f>
        <v/>
      </c>
      <c r="U151" s="13">
        <f>IF('Council Entry'!U151="","",IFERROR(MAX(0,MIN(10,ROUND(IF('Council Entry'!U$7="Decrease Risk",10-10*((IF('Council Entry'!U$4="Logarithm",LN(0.001+IF(AND(ISNUMBER('Council Entry'!U$8),ISNUMBER('Council Entry'!U$9)),MAX(MIN('Council Entry'!U151,'Council Entry'!U$9),'Council Entry'!U$8),'Council Entry'!U151)),IF('Council Entry'!U$4="Exponential",EXP(IF(AND(ISNUMBER('Council Entry'!U$8),ISNUMBER('Council Entry'!U$9)),MAX(MIN('Council Entry'!U151,'Council Entry'!U$9),'Council Entry'!U$8),'Council Entry'!U151)),IF(AND(ISNUMBER('Council Entry'!U$8),ISNUMBER('Council Entry'!U$9)),MAX(MIN('Council Entry'!U151,'Council Entry'!U$9),'Council Entry'!U$8),'Council Entry'!U151))))-'Council Entry'!U$5)/('Council Entry'!U$6-'Council Entry'!U$5),10*((IF('Council Entry'!U$4="Logarithm",LN(0.001+IF(AND(ISNUMBER('Council Entry'!U$8),ISNUMBER('Council Entry'!U$9)),MAX(MIN('Council Entry'!U151,'Council Entry'!U$9),'Council Entry'!U$8),'Council Entry'!U151)),IF('Council Entry'!U$4="Exponential",EXP(IF(AND(ISNUMBER('Council Entry'!U$8),ISNUMBER('Council Entry'!U$9)),MAX(MIN('Council Entry'!U151,'Council Entry'!U$9),'Council Entry'!U$8),'Council Entry'!U151)),IF(AND(ISNUMBER('Council Entry'!U$8),ISNUMBER('Council Entry'!U$9)),MAX(MIN('Council Entry'!U151,'Council Entry'!U$9),'Council Entry'!U$8),'Council Entry'!U151))))-'Council Entry'!U$5)/('Council Entry'!U$6-'Council Entry'!U$5)),1))),"No data"))</f>
        <v/>
      </c>
      <c r="V151" s="13">
        <f>IF('Council Entry'!V151="","",IFERROR(MAX(0,MIN(10,ROUND(IF('Council Entry'!V$7="Decrease Risk",10-10*((IF('Council Entry'!V$4="Logarithm",LN(0.001+IF(AND(ISNUMBER('Council Entry'!V$8),ISNUMBER('Council Entry'!V$9)),MAX(MIN('Council Entry'!V151,'Council Entry'!V$9),'Council Entry'!V$8),'Council Entry'!V151)),IF('Council Entry'!V$4="Exponential",EXP(IF(AND(ISNUMBER('Council Entry'!V$8),ISNUMBER('Council Entry'!V$9)),MAX(MIN('Council Entry'!V151,'Council Entry'!V$9),'Council Entry'!V$8),'Council Entry'!V151)),IF(AND(ISNUMBER('Council Entry'!V$8),ISNUMBER('Council Entry'!V$9)),MAX(MIN('Council Entry'!V151,'Council Entry'!V$9),'Council Entry'!V$8),'Council Entry'!V151))))-'Council Entry'!V$5)/('Council Entry'!V$6-'Council Entry'!V$5),10*((IF('Council Entry'!V$4="Logarithm",LN(0.001+IF(AND(ISNUMBER('Council Entry'!V$8),ISNUMBER('Council Entry'!V$9)),MAX(MIN('Council Entry'!V151,'Council Entry'!V$9),'Council Entry'!V$8),'Council Entry'!V151)),IF('Council Entry'!V$4="Exponential",EXP(IF(AND(ISNUMBER('Council Entry'!V$8),ISNUMBER('Council Entry'!V$9)),MAX(MIN('Council Entry'!V151,'Council Entry'!V$9),'Council Entry'!V$8),'Council Entry'!V151)),IF(AND(ISNUMBER('Council Entry'!V$8),ISNUMBER('Council Entry'!V$9)),MAX(MIN('Council Entry'!V151,'Council Entry'!V$9),'Council Entry'!V$8),'Council Entry'!V151))))-'Council Entry'!V$5)/('Council Entry'!V$6-'Council Entry'!V$5)),1))),"No data"))</f>
        <v/>
      </c>
      <c r="W151" s="13">
        <f>IF('Council Entry'!W151="","",IFERROR(MAX(0,MIN(10,ROUND(IF('Council Entry'!W$7="Decrease Risk",10-10*((IF('Council Entry'!W$4="Logarithm",LN(0.001+IF(AND(ISNUMBER('Council Entry'!W$8),ISNUMBER('Council Entry'!W$9)),MAX(MIN('Council Entry'!W151,'Council Entry'!W$9),'Council Entry'!W$8),'Council Entry'!W151)),IF('Council Entry'!W$4="Exponential",EXP(IF(AND(ISNUMBER('Council Entry'!W$8),ISNUMBER('Council Entry'!W$9)),MAX(MIN('Council Entry'!W151,'Council Entry'!W$9),'Council Entry'!W$8),'Council Entry'!W151)),IF(AND(ISNUMBER('Council Entry'!W$8),ISNUMBER('Council Entry'!W$9)),MAX(MIN('Council Entry'!W151,'Council Entry'!W$9),'Council Entry'!W$8),'Council Entry'!W151))))-'Council Entry'!W$5)/('Council Entry'!W$6-'Council Entry'!W$5),10*((IF('Council Entry'!W$4="Logarithm",LN(0.001+IF(AND(ISNUMBER('Council Entry'!W$8),ISNUMBER('Council Entry'!W$9)),MAX(MIN('Council Entry'!W151,'Council Entry'!W$9),'Council Entry'!W$8),'Council Entry'!W151)),IF('Council Entry'!W$4="Exponential",EXP(IF(AND(ISNUMBER('Council Entry'!W$8),ISNUMBER('Council Entry'!W$9)),MAX(MIN('Council Entry'!W151,'Council Entry'!W$9),'Council Entry'!W$8),'Council Entry'!W151)),IF(AND(ISNUMBER('Council Entry'!W$8),ISNUMBER('Council Entry'!W$9)),MAX(MIN('Council Entry'!W151,'Council Entry'!W$9),'Council Entry'!W$8),'Council Entry'!W151))))-'Council Entry'!W$5)/('Council Entry'!W$6-'Council Entry'!W$5)),1))),"No data"))</f>
        <v/>
      </c>
      <c r="X151" s="13">
        <f>IF('Council Entry'!X151="","",IFERROR(MAX(0,MIN(10,ROUND(IF('Council Entry'!X$7="Decrease Risk",10-10*((IF('Council Entry'!X$4="Logarithm",LN(0.001+IF(AND(ISNUMBER('Council Entry'!X$8),ISNUMBER('Council Entry'!X$9)),MAX(MIN('Council Entry'!X151,'Council Entry'!X$9),'Council Entry'!X$8),'Council Entry'!X151)),IF('Council Entry'!X$4="Exponential",EXP(IF(AND(ISNUMBER('Council Entry'!X$8),ISNUMBER('Council Entry'!X$9)),MAX(MIN('Council Entry'!X151,'Council Entry'!X$9),'Council Entry'!X$8),'Council Entry'!X151)),IF(AND(ISNUMBER('Council Entry'!X$8),ISNUMBER('Council Entry'!X$9)),MAX(MIN('Council Entry'!X151,'Council Entry'!X$9),'Council Entry'!X$8),'Council Entry'!X151))))-'Council Entry'!X$5)/('Council Entry'!X$6-'Council Entry'!X$5),10*((IF('Council Entry'!X$4="Logarithm",LN(0.001+IF(AND(ISNUMBER('Council Entry'!X$8),ISNUMBER('Council Entry'!X$9)),MAX(MIN('Council Entry'!X151,'Council Entry'!X$9),'Council Entry'!X$8),'Council Entry'!X151)),IF('Council Entry'!X$4="Exponential",EXP(IF(AND(ISNUMBER('Council Entry'!X$8),ISNUMBER('Council Entry'!X$9)),MAX(MIN('Council Entry'!X151,'Council Entry'!X$9),'Council Entry'!X$8),'Council Entry'!X151)),IF(AND(ISNUMBER('Council Entry'!X$8),ISNUMBER('Council Entry'!X$9)),MAX(MIN('Council Entry'!X151,'Council Entry'!X$9),'Council Entry'!X$8),'Council Entry'!X151))))-'Council Entry'!X$5)/('Council Entry'!X$6-'Council Entry'!X$5)),1))),"No data"))</f>
        <v/>
      </c>
      <c r="Y151" s="13">
        <f>IF('Council Entry'!Y151="","",IFERROR(MAX(0,MIN(10,ROUND(IF('Council Entry'!Y$7="Decrease Risk",10-10*((IF('Council Entry'!Y$4="Logarithm",LN(0.001+IF(AND(ISNUMBER('Council Entry'!Y$8),ISNUMBER('Council Entry'!Y$9)),MAX(MIN('Council Entry'!Y151,'Council Entry'!Y$9),'Council Entry'!Y$8),'Council Entry'!Y151)),IF('Council Entry'!Y$4="Exponential",EXP(IF(AND(ISNUMBER('Council Entry'!Y$8),ISNUMBER('Council Entry'!Y$9)),MAX(MIN('Council Entry'!Y151,'Council Entry'!Y$9),'Council Entry'!Y$8),'Council Entry'!Y151)),IF(AND(ISNUMBER('Council Entry'!Y$8),ISNUMBER('Council Entry'!Y$9)),MAX(MIN('Council Entry'!Y151,'Council Entry'!Y$9),'Council Entry'!Y$8),'Council Entry'!Y151))))-'Council Entry'!Y$5)/('Council Entry'!Y$6-'Council Entry'!Y$5),10*((IF('Council Entry'!Y$4="Logarithm",LN(0.001+IF(AND(ISNUMBER('Council Entry'!Y$8),ISNUMBER('Council Entry'!Y$9)),MAX(MIN('Council Entry'!Y151,'Council Entry'!Y$9),'Council Entry'!Y$8),'Council Entry'!Y151)),IF('Council Entry'!Y$4="Exponential",EXP(IF(AND(ISNUMBER('Council Entry'!Y$8),ISNUMBER('Council Entry'!Y$9)),MAX(MIN('Council Entry'!Y151,'Council Entry'!Y$9),'Council Entry'!Y$8),'Council Entry'!Y151)),IF(AND(ISNUMBER('Council Entry'!Y$8),ISNUMBER('Council Entry'!Y$9)),MAX(MIN('Council Entry'!Y151,'Council Entry'!Y$9),'Council Entry'!Y$8),'Council Entry'!Y151))))-'Council Entry'!Y$5)/('Council Entry'!Y$6-'Council Entry'!Y$5)),1))),"No data"))</f>
        <v/>
      </c>
      <c r="Z151" s="13">
        <f>IF('Council Entry'!Z151="","",IFERROR(MAX(0,MIN(10,ROUND(IF('Council Entry'!Z$7="Decrease Risk",10-10*((IF('Council Entry'!Z$4="Logarithm",LN(0.001+IF(AND(ISNUMBER('Council Entry'!Z$8),ISNUMBER('Council Entry'!Z$9)),MAX(MIN('Council Entry'!Z151,'Council Entry'!Z$9),'Council Entry'!Z$8),'Council Entry'!Z151)),IF('Council Entry'!Z$4="Exponential",EXP(IF(AND(ISNUMBER('Council Entry'!Z$8),ISNUMBER('Council Entry'!Z$9)),MAX(MIN('Council Entry'!Z151,'Council Entry'!Z$9),'Council Entry'!Z$8),'Council Entry'!Z151)),IF(AND(ISNUMBER('Council Entry'!Z$8),ISNUMBER('Council Entry'!Z$9)),MAX(MIN('Council Entry'!Z151,'Council Entry'!Z$9),'Council Entry'!Z$8),'Council Entry'!Z151))))-'Council Entry'!Z$5)/('Council Entry'!Z$6-'Council Entry'!Z$5),10*((IF('Council Entry'!Z$4="Logarithm",LN(0.001+IF(AND(ISNUMBER('Council Entry'!Z$8),ISNUMBER('Council Entry'!Z$9)),MAX(MIN('Council Entry'!Z151,'Council Entry'!Z$9),'Council Entry'!Z$8),'Council Entry'!Z151)),IF('Council Entry'!Z$4="Exponential",EXP(IF(AND(ISNUMBER('Council Entry'!Z$8),ISNUMBER('Council Entry'!Z$9)),MAX(MIN('Council Entry'!Z151,'Council Entry'!Z$9),'Council Entry'!Z$8),'Council Entry'!Z151)),IF(AND(ISNUMBER('Council Entry'!Z$8),ISNUMBER('Council Entry'!Z$9)),MAX(MIN('Council Entry'!Z151,'Council Entry'!Z$9),'Council Entry'!Z$8),'Council Entry'!Z151))))-'Council Entry'!Z$5)/('Council Entry'!Z$6-'Council Entry'!Z$5)),1))),"No data"))</f>
        <v/>
      </c>
      <c r="AA151" s="13">
        <f>IF('Council Entry'!AA151="","",IFERROR(MAX(0,MIN(10,ROUND(IF('Council Entry'!AA$7="Decrease Risk",10-10*((IF('Council Entry'!AA$4="Logarithm",LN(0.001+IF(AND(ISNUMBER('Council Entry'!AA$8),ISNUMBER('Council Entry'!AA$9)),MAX(MIN('Council Entry'!AA151,'Council Entry'!AA$9),'Council Entry'!AA$8),'Council Entry'!AA151)),IF('Council Entry'!AA$4="Exponential",EXP(IF(AND(ISNUMBER('Council Entry'!AA$8),ISNUMBER('Council Entry'!AA$9)),MAX(MIN('Council Entry'!AA151,'Council Entry'!AA$9),'Council Entry'!AA$8),'Council Entry'!AA151)),IF(AND(ISNUMBER('Council Entry'!AA$8),ISNUMBER('Council Entry'!AA$9)),MAX(MIN('Council Entry'!AA151,'Council Entry'!AA$9),'Council Entry'!AA$8),'Council Entry'!AA151))))-'Council Entry'!AA$5)/('Council Entry'!AA$6-'Council Entry'!AA$5),10*((IF('Council Entry'!AA$4="Logarithm",LN(0.001+IF(AND(ISNUMBER('Council Entry'!AA$8),ISNUMBER('Council Entry'!AA$9)),MAX(MIN('Council Entry'!AA151,'Council Entry'!AA$9),'Council Entry'!AA$8),'Council Entry'!AA151)),IF('Council Entry'!AA$4="Exponential",EXP(IF(AND(ISNUMBER('Council Entry'!AA$8),ISNUMBER('Council Entry'!AA$9)),MAX(MIN('Council Entry'!AA151,'Council Entry'!AA$9),'Council Entry'!AA$8),'Council Entry'!AA151)),IF(AND(ISNUMBER('Council Entry'!AA$8),ISNUMBER('Council Entry'!AA$9)),MAX(MIN('Council Entry'!AA151,'Council Entry'!AA$9),'Council Entry'!AA$8),'Council Entry'!AA151))))-'Council Entry'!AA$5)/('Council Entry'!AA$6-'Council Entry'!AA$5)),1))),"No data"))</f>
        <v/>
      </c>
      <c r="AB151" s="13">
        <f>IF('Council Entry'!AB151="","",IFERROR(MAX(0,MIN(10,ROUND(IF('Council Entry'!AB$7="Decrease Risk",10-10*((IF('Council Entry'!AB$4="Logarithm",LN(0.001+IF(AND(ISNUMBER('Council Entry'!AB$8),ISNUMBER('Council Entry'!AB$9)),MAX(MIN('Council Entry'!AB151,'Council Entry'!AB$9),'Council Entry'!AB$8),'Council Entry'!AB151)),IF('Council Entry'!AB$4="Exponential",EXP(IF(AND(ISNUMBER('Council Entry'!AB$8),ISNUMBER('Council Entry'!AB$9)),MAX(MIN('Council Entry'!AB151,'Council Entry'!AB$9),'Council Entry'!AB$8),'Council Entry'!AB151)),IF(AND(ISNUMBER('Council Entry'!AB$8),ISNUMBER('Council Entry'!AB$9)),MAX(MIN('Council Entry'!AB151,'Council Entry'!AB$9),'Council Entry'!AB$8),'Council Entry'!AB151))))-'Council Entry'!AB$5)/('Council Entry'!AB$6-'Council Entry'!AB$5),10*((IF('Council Entry'!AB$4="Logarithm",LN(0.001+IF(AND(ISNUMBER('Council Entry'!AB$8),ISNUMBER('Council Entry'!AB$9)),MAX(MIN('Council Entry'!AB151,'Council Entry'!AB$9),'Council Entry'!AB$8),'Council Entry'!AB151)),IF('Council Entry'!AB$4="Exponential",EXP(IF(AND(ISNUMBER('Council Entry'!AB$8),ISNUMBER('Council Entry'!AB$9)),MAX(MIN('Council Entry'!AB151,'Council Entry'!AB$9),'Council Entry'!AB$8),'Council Entry'!AB151)),IF(AND(ISNUMBER('Council Entry'!AB$8),ISNUMBER('Council Entry'!AB$9)),MAX(MIN('Council Entry'!AB151,'Council Entry'!AB$9),'Council Entry'!AB$8),'Council Entry'!AB151))))-'Council Entry'!AB$5)/('Council Entry'!AB$6-'Council Entry'!AB$5)),1))),"No data"))</f>
        <v/>
      </c>
      <c r="AC151" s="13">
        <f>IF('Council Entry'!AC151="","",IFERROR(MAX(0,MIN(10,ROUND(IF('Council Entry'!AC$7="Decrease Risk",10-10*((IF('Council Entry'!AC$4="Logarithm",LN(0.001+IF(AND(ISNUMBER('Council Entry'!AC$8),ISNUMBER('Council Entry'!AC$9)),MAX(MIN('Council Entry'!AC151,'Council Entry'!AC$9),'Council Entry'!AC$8),'Council Entry'!AC151)),IF('Council Entry'!AC$4="Exponential",EXP(IF(AND(ISNUMBER('Council Entry'!AC$8),ISNUMBER('Council Entry'!AC$9)),MAX(MIN('Council Entry'!AC151,'Council Entry'!AC$9),'Council Entry'!AC$8),'Council Entry'!AC151)),IF(AND(ISNUMBER('Council Entry'!AC$8),ISNUMBER('Council Entry'!AC$9)),MAX(MIN('Council Entry'!AC151,'Council Entry'!AC$9),'Council Entry'!AC$8),'Council Entry'!AC151))))-'Council Entry'!AC$5)/('Council Entry'!AC$6-'Council Entry'!AC$5),10*((IF('Council Entry'!AC$4="Logarithm",LN(0.001+IF(AND(ISNUMBER('Council Entry'!AC$8),ISNUMBER('Council Entry'!AC$9)),MAX(MIN('Council Entry'!AC151,'Council Entry'!AC$9),'Council Entry'!AC$8),'Council Entry'!AC151)),IF('Council Entry'!AC$4="Exponential",EXP(IF(AND(ISNUMBER('Council Entry'!AC$8),ISNUMBER('Council Entry'!AC$9)),MAX(MIN('Council Entry'!AC151,'Council Entry'!AC$9),'Council Entry'!AC$8),'Council Entry'!AC151)),IF(AND(ISNUMBER('Council Entry'!AC$8),ISNUMBER('Council Entry'!AC$9)),MAX(MIN('Council Entry'!AC151,'Council Entry'!AC$9),'Council Entry'!AC$8),'Council Entry'!AC151))))-'Council Entry'!AC$5)/('Council Entry'!AC$6-'Council Entry'!AC$5)),1))),"No data"))</f>
        <v/>
      </c>
      <c r="AD151" s="13">
        <f>IF('Council Entry'!AD151="","",IFERROR(MAX(0,MIN(10,ROUND(IF('Council Entry'!AD$7="Decrease Risk",10-10*((IF('Council Entry'!AD$4="Logarithm",LN(0.001+IF(AND(ISNUMBER('Council Entry'!AD$8),ISNUMBER('Council Entry'!AD$9)),MAX(MIN('Council Entry'!AD151,'Council Entry'!AD$9),'Council Entry'!AD$8),'Council Entry'!AD151)),IF('Council Entry'!AD$4="Exponential",EXP(IF(AND(ISNUMBER('Council Entry'!AD$8),ISNUMBER('Council Entry'!AD$9)),MAX(MIN('Council Entry'!AD151,'Council Entry'!AD$9),'Council Entry'!AD$8),'Council Entry'!AD151)),IF(AND(ISNUMBER('Council Entry'!AD$8),ISNUMBER('Council Entry'!AD$9)),MAX(MIN('Council Entry'!AD151,'Council Entry'!AD$9),'Council Entry'!AD$8),'Council Entry'!AD151))))-'Council Entry'!AD$5)/('Council Entry'!AD$6-'Council Entry'!AD$5),10*((IF('Council Entry'!AD$4="Logarithm",LN(0.001+IF(AND(ISNUMBER('Council Entry'!AD$8),ISNUMBER('Council Entry'!AD$9)),MAX(MIN('Council Entry'!AD151,'Council Entry'!AD$9),'Council Entry'!AD$8),'Council Entry'!AD151)),IF('Council Entry'!AD$4="Exponential",EXP(IF(AND(ISNUMBER('Council Entry'!AD$8),ISNUMBER('Council Entry'!AD$9)),MAX(MIN('Council Entry'!AD151,'Council Entry'!AD$9),'Council Entry'!AD$8),'Council Entry'!AD151)),IF(AND(ISNUMBER('Council Entry'!AD$8),ISNUMBER('Council Entry'!AD$9)),MAX(MIN('Council Entry'!AD151,'Council Entry'!AD$9),'Council Entry'!AD$8),'Council Entry'!AD151))))-'Council Entry'!AD$5)/('Council Entry'!AD$6-'Council Entry'!AD$5)),1))),"No data"))</f>
        <v/>
      </c>
      <c r="AE151" s="13">
        <f>IF('Council Entry'!AE151="","",IFERROR(MAX(0,MIN(10,ROUND(IF('Council Entry'!AE$7="Decrease Risk",10-10*((IF('Council Entry'!AE$4="Logarithm",LN(0.001+IF(AND(ISNUMBER('Council Entry'!AE$8),ISNUMBER('Council Entry'!AE$9)),MAX(MIN('Council Entry'!AE151,'Council Entry'!AE$9),'Council Entry'!AE$8),'Council Entry'!AE151)),IF('Council Entry'!AE$4="Exponential",EXP(IF(AND(ISNUMBER('Council Entry'!AE$8),ISNUMBER('Council Entry'!AE$9)),MAX(MIN('Council Entry'!AE151,'Council Entry'!AE$9),'Council Entry'!AE$8),'Council Entry'!AE151)),IF(AND(ISNUMBER('Council Entry'!AE$8),ISNUMBER('Council Entry'!AE$9)),MAX(MIN('Council Entry'!AE151,'Council Entry'!AE$9),'Council Entry'!AE$8),'Council Entry'!AE151))))-'Council Entry'!AE$5)/('Council Entry'!AE$6-'Council Entry'!AE$5),10*((IF('Council Entry'!AE$4="Logarithm",LN(0.001+IF(AND(ISNUMBER('Council Entry'!AE$8),ISNUMBER('Council Entry'!AE$9)),MAX(MIN('Council Entry'!AE151,'Council Entry'!AE$9),'Council Entry'!AE$8),'Council Entry'!AE151)),IF('Council Entry'!AE$4="Exponential",EXP(IF(AND(ISNUMBER('Council Entry'!AE$8),ISNUMBER('Council Entry'!AE$9)),MAX(MIN('Council Entry'!AE151,'Council Entry'!AE$9),'Council Entry'!AE$8),'Council Entry'!AE151)),IF(AND(ISNUMBER('Council Entry'!AE$8),ISNUMBER('Council Entry'!AE$9)),MAX(MIN('Council Entry'!AE151,'Council Entry'!AE$9),'Council Entry'!AE$8),'Council Entry'!AE151))))-'Council Entry'!AE$5)/('Council Entry'!AE$6-'Council Entry'!AE$5)),1))),"No data"))</f>
        <v/>
      </c>
      <c r="AF151" s="13">
        <f>IF('Council Entry'!AF151="","",IFERROR(MAX(0,MIN(10,ROUND(IF('Council Entry'!AF$7="Decrease Risk",10-10*((IF('Council Entry'!AF$4="Logarithm",LN(0.001+IF(AND(ISNUMBER('Council Entry'!AF$8),ISNUMBER('Council Entry'!AF$9)),MAX(MIN('Council Entry'!AF151,'Council Entry'!AF$9),'Council Entry'!AF$8),'Council Entry'!AF151)),IF('Council Entry'!AF$4="Exponential",EXP(IF(AND(ISNUMBER('Council Entry'!AF$8),ISNUMBER('Council Entry'!AF$9)),MAX(MIN('Council Entry'!AF151,'Council Entry'!AF$9),'Council Entry'!AF$8),'Council Entry'!AF151)),IF(AND(ISNUMBER('Council Entry'!AF$8),ISNUMBER('Council Entry'!AF$9)),MAX(MIN('Council Entry'!AF151,'Council Entry'!AF$9),'Council Entry'!AF$8),'Council Entry'!AF151))))-'Council Entry'!AF$5)/('Council Entry'!AF$6-'Council Entry'!AF$5),10*((IF('Council Entry'!AF$4="Logarithm",LN(0.001+IF(AND(ISNUMBER('Council Entry'!AF$8),ISNUMBER('Council Entry'!AF$9)),MAX(MIN('Council Entry'!AF151,'Council Entry'!AF$9),'Council Entry'!AF$8),'Council Entry'!AF151)),IF('Council Entry'!AF$4="Exponential",EXP(IF(AND(ISNUMBER('Council Entry'!AF$8),ISNUMBER('Council Entry'!AF$9)),MAX(MIN('Council Entry'!AF151,'Council Entry'!AF$9),'Council Entry'!AF$8),'Council Entry'!AF151)),IF(AND(ISNUMBER('Council Entry'!AF$8),ISNUMBER('Council Entry'!AF$9)),MAX(MIN('Council Entry'!AF151,'Council Entry'!AF$9),'Council Entry'!AF$8),'Council Entry'!AF151))))-'Council Entry'!AF$5)/('Council Entry'!AF$6-'Council Entry'!AF$5)),1))),"No data"))</f>
        <v/>
      </c>
      <c r="AG151" s="13">
        <f>IF('Council Entry'!AG151="","",IFERROR(MAX(0,MIN(10,ROUND(IF('Council Entry'!AG$7="Decrease Risk",10-10*((IF('Council Entry'!AG$4="Logarithm",LN(0.001+IF(AND(ISNUMBER('Council Entry'!AG$8),ISNUMBER('Council Entry'!AG$9)),MAX(MIN('Council Entry'!AG151,'Council Entry'!AG$9),'Council Entry'!AG$8),'Council Entry'!AG151)),IF('Council Entry'!AG$4="Exponential",EXP(IF(AND(ISNUMBER('Council Entry'!AG$8),ISNUMBER('Council Entry'!AG$9)),MAX(MIN('Council Entry'!AG151,'Council Entry'!AG$9),'Council Entry'!AG$8),'Council Entry'!AG151)),IF(AND(ISNUMBER('Council Entry'!AG$8),ISNUMBER('Council Entry'!AG$9)),MAX(MIN('Council Entry'!AG151,'Council Entry'!AG$9),'Council Entry'!AG$8),'Council Entry'!AG151))))-'Council Entry'!AG$5)/('Council Entry'!AG$6-'Council Entry'!AG$5),10*((IF('Council Entry'!AG$4="Logarithm",LN(0.001+IF(AND(ISNUMBER('Council Entry'!AG$8),ISNUMBER('Council Entry'!AG$9)),MAX(MIN('Council Entry'!AG151,'Council Entry'!AG$9),'Council Entry'!AG$8),'Council Entry'!AG151)),IF('Council Entry'!AG$4="Exponential",EXP(IF(AND(ISNUMBER('Council Entry'!AG$8),ISNUMBER('Council Entry'!AG$9)),MAX(MIN('Council Entry'!AG151,'Council Entry'!AG$9),'Council Entry'!AG$8),'Council Entry'!AG151)),IF(AND(ISNUMBER('Council Entry'!AG$8),ISNUMBER('Council Entry'!AG$9)),MAX(MIN('Council Entry'!AG151,'Council Entry'!AG$9),'Council Entry'!AG$8),'Council Entry'!AG151))))-'Council Entry'!AG$5)/('Council Entry'!AG$6-'Council Entry'!AG$5)),1))),"No data"))</f>
        <v/>
      </c>
      <c r="AH151" s="13">
        <f>IF('Council Entry'!AH151="","",IFERROR(MAX(0,MIN(10,ROUND(IF('Council Entry'!AH$7="Decrease Risk",10-10*((IF('Council Entry'!AH$4="Logarithm",LN(0.001+IF(AND(ISNUMBER('Council Entry'!AH$8),ISNUMBER('Council Entry'!AH$9)),MAX(MIN('Council Entry'!AH151,'Council Entry'!AH$9),'Council Entry'!AH$8),'Council Entry'!AH151)),IF('Council Entry'!AH$4="Exponential",EXP(IF(AND(ISNUMBER('Council Entry'!AH$8),ISNUMBER('Council Entry'!AH$9)),MAX(MIN('Council Entry'!AH151,'Council Entry'!AH$9),'Council Entry'!AH$8),'Council Entry'!AH151)),IF(AND(ISNUMBER('Council Entry'!AH$8),ISNUMBER('Council Entry'!AH$9)),MAX(MIN('Council Entry'!AH151,'Council Entry'!AH$9),'Council Entry'!AH$8),'Council Entry'!AH151))))-'Council Entry'!AH$5)/('Council Entry'!AH$6-'Council Entry'!AH$5),10*((IF('Council Entry'!AH$4="Logarithm",LN(0.001+IF(AND(ISNUMBER('Council Entry'!AH$8),ISNUMBER('Council Entry'!AH$9)),MAX(MIN('Council Entry'!AH151,'Council Entry'!AH$9),'Council Entry'!AH$8),'Council Entry'!AH151)),IF('Council Entry'!AH$4="Exponential",EXP(IF(AND(ISNUMBER('Council Entry'!AH$8),ISNUMBER('Council Entry'!AH$9)),MAX(MIN('Council Entry'!AH151,'Council Entry'!AH$9),'Council Entry'!AH$8),'Council Entry'!AH151)),IF(AND(ISNUMBER('Council Entry'!AH$8),ISNUMBER('Council Entry'!AH$9)),MAX(MIN('Council Entry'!AH151,'Council Entry'!AH$9),'Council Entry'!AH$8),'Council Entry'!AH151))))-'Council Entry'!AH$5)/('Council Entry'!AH$6-'Council Entry'!AH$5)),1))),"No data"))</f>
        <v/>
      </c>
      <c r="AI151" s="13">
        <f>IF('Council Entry'!AI151="","",IFERROR(MAX(0,MIN(10,ROUND(IF('Council Entry'!AI$7="Decrease Risk",10-10*((IF('Council Entry'!AI$4="Logarithm",LN(0.001+IF(AND(ISNUMBER('Council Entry'!AI$8),ISNUMBER('Council Entry'!AI$9)),MAX(MIN('Council Entry'!AI151,'Council Entry'!AI$9),'Council Entry'!AI$8),'Council Entry'!AI151)),IF('Council Entry'!AI$4="Exponential",EXP(IF(AND(ISNUMBER('Council Entry'!AI$8),ISNUMBER('Council Entry'!AI$9)),MAX(MIN('Council Entry'!AI151,'Council Entry'!AI$9),'Council Entry'!AI$8),'Council Entry'!AI151)),IF(AND(ISNUMBER('Council Entry'!AI$8),ISNUMBER('Council Entry'!AI$9)),MAX(MIN('Council Entry'!AI151,'Council Entry'!AI$9),'Council Entry'!AI$8),'Council Entry'!AI151))))-'Council Entry'!AI$5)/('Council Entry'!AI$6-'Council Entry'!AI$5),10*((IF('Council Entry'!AI$4="Logarithm",LN(0.001+IF(AND(ISNUMBER('Council Entry'!AI$8),ISNUMBER('Council Entry'!AI$9)),MAX(MIN('Council Entry'!AI151,'Council Entry'!AI$9),'Council Entry'!AI$8),'Council Entry'!AI151)),IF('Council Entry'!AI$4="Exponential",EXP(IF(AND(ISNUMBER('Council Entry'!AI$8),ISNUMBER('Council Entry'!AI$9)),MAX(MIN('Council Entry'!AI151,'Council Entry'!AI$9),'Council Entry'!AI$8),'Council Entry'!AI151)),IF(AND(ISNUMBER('Council Entry'!AI$8),ISNUMBER('Council Entry'!AI$9)),MAX(MIN('Council Entry'!AI151,'Council Entry'!AI$9),'Council Entry'!AI$8),'Council Entry'!AI151))))-'Council Entry'!AI$5)/('Council Entry'!AI$6-'Council Entry'!AI$5)),1))),"No data"))</f>
        <v/>
      </c>
      <c r="AJ151" s="13">
        <f>IF('Council Entry'!AJ151="","",IFERROR(MAX(0,MIN(10,ROUND(IF('Council Entry'!AJ$7="Decrease Risk",10-10*((IF('Council Entry'!AJ$4="Logarithm",LN(0.001+IF(AND(ISNUMBER('Council Entry'!AJ$8),ISNUMBER('Council Entry'!AJ$9)),MAX(MIN('Council Entry'!AJ151,'Council Entry'!AJ$9),'Council Entry'!AJ$8),'Council Entry'!AJ151)),IF('Council Entry'!AJ$4="Exponential",EXP(IF(AND(ISNUMBER('Council Entry'!AJ$8),ISNUMBER('Council Entry'!AJ$9)),MAX(MIN('Council Entry'!AJ151,'Council Entry'!AJ$9),'Council Entry'!AJ$8),'Council Entry'!AJ151)),IF(AND(ISNUMBER('Council Entry'!AJ$8),ISNUMBER('Council Entry'!AJ$9)),MAX(MIN('Council Entry'!AJ151,'Council Entry'!AJ$9),'Council Entry'!AJ$8),'Council Entry'!AJ151))))-'Council Entry'!AJ$5)/('Council Entry'!AJ$6-'Council Entry'!AJ$5),10*((IF('Council Entry'!AJ$4="Logarithm",LN(0.001+IF(AND(ISNUMBER('Council Entry'!AJ$8),ISNUMBER('Council Entry'!AJ$9)),MAX(MIN('Council Entry'!AJ151,'Council Entry'!AJ$9),'Council Entry'!AJ$8),'Council Entry'!AJ151)),IF('Council Entry'!AJ$4="Exponential",EXP(IF(AND(ISNUMBER('Council Entry'!AJ$8),ISNUMBER('Council Entry'!AJ$9)),MAX(MIN('Council Entry'!AJ151,'Council Entry'!AJ$9),'Council Entry'!AJ$8),'Council Entry'!AJ151)),IF(AND(ISNUMBER('Council Entry'!AJ$8),ISNUMBER('Council Entry'!AJ$9)),MAX(MIN('Council Entry'!AJ151,'Council Entry'!AJ$9),'Council Entry'!AJ$8),'Council Entry'!AJ151))))-'Council Entry'!AJ$5)/('Council Entry'!AJ$6-'Council Entry'!AJ$5)),1))),"No data"))</f>
        <v/>
      </c>
      <c r="AK151" s="13">
        <f>IF('Council Entry'!AK151="","",IFERROR(MAX(0,MIN(10,ROUND(IF('Council Entry'!AK$7="Decrease Risk",10-10*((IF('Council Entry'!AK$4="Logarithm",LN(0.001+IF(AND(ISNUMBER('Council Entry'!AK$8),ISNUMBER('Council Entry'!AK$9)),MAX(MIN('Council Entry'!AK151,'Council Entry'!AK$9),'Council Entry'!AK$8),'Council Entry'!AK151)),IF('Council Entry'!AK$4="Exponential",EXP(IF(AND(ISNUMBER('Council Entry'!AK$8),ISNUMBER('Council Entry'!AK$9)),MAX(MIN('Council Entry'!AK151,'Council Entry'!AK$9),'Council Entry'!AK$8),'Council Entry'!AK151)),IF(AND(ISNUMBER('Council Entry'!AK$8),ISNUMBER('Council Entry'!AK$9)),MAX(MIN('Council Entry'!AK151,'Council Entry'!AK$9),'Council Entry'!AK$8),'Council Entry'!AK151))))-'Council Entry'!AK$5)/('Council Entry'!AK$6-'Council Entry'!AK$5),10*((IF('Council Entry'!AK$4="Logarithm",LN(0.001+IF(AND(ISNUMBER('Council Entry'!AK$8),ISNUMBER('Council Entry'!AK$9)),MAX(MIN('Council Entry'!AK151,'Council Entry'!AK$9),'Council Entry'!AK$8),'Council Entry'!AK151)),IF('Council Entry'!AK$4="Exponential",EXP(IF(AND(ISNUMBER('Council Entry'!AK$8),ISNUMBER('Council Entry'!AK$9)),MAX(MIN('Council Entry'!AK151,'Council Entry'!AK$9),'Council Entry'!AK$8),'Council Entry'!AK151)),IF(AND(ISNUMBER('Council Entry'!AK$8),ISNUMBER('Council Entry'!AK$9)),MAX(MIN('Council Entry'!AK151,'Council Entry'!AK$9),'Council Entry'!AK$8),'Council Entry'!AK151))))-'Council Entry'!AK$5)/('Council Entry'!AK$6-'Council Entry'!AK$5)),1))),"No data"))</f>
        <v/>
      </c>
      <c r="AL151" s="13">
        <f>IF('Council Entry'!AL151="","",IFERROR(MAX(0,MIN(10,ROUND(IF('Council Entry'!AL$7="Decrease Risk",10-10*((IF('Council Entry'!AL$4="Logarithm",LN(0.001+IF(AND(ISNUMBER('Council Entry'!AL$8),ISNUMBER('Council Entry'!AL$9)),MAX(MIN('Council Entry'!AL151,'Council Entry'!AL$9),'Council Entry'!AL$8),'Council Entry'!AL151)),IF('Council Entry'!AL$4="Exponential",EXP(IF(AND(ISNUMBER('Council Entry'!AL$8),ISNUMBER('Council Entry'!AL$9)),MAX(MIN('Council Entry'!AL151,'Council Entry'!AL$9),'Council Entry'!AL$8),'Council Entry'!AL151)),IF(AND(ISNUMBER('Council Entry'!AL$8),ISNUMBER('Council Entry'!AL$9)),MAX(MIN('Council Entry'!AL151,'Council Entry'!AL$9),'Council Entry'!AL$8),'Council Entry'!AL151))))-'Council Entry'!AL$5)/('Council Entry'!AL$6-'Council Entry'!AL$5),10*((IF('Council Entry'!AL$4="Logarithm",LN(0.001+IF(AND(ISNUMBER('Council Entry'!AL$8),ISNUMBER('Council Entry'!AL$9)),MAX(MIN('Council Entry'!AL151,'Council Entry'!AL$9),'Council Entry'!AL$8),'Council Entry'!AL151)),IF('Council Entry'!AL$4="Exponential",EXP(IF(AND(ISNUMBER('Council Entry'!AL$8),ISNUMBER('Council Entry'!AL$9)),MAX(MIN('Council Entry'!AL151,'Council Entry'!AL$9),'Council Entry'!AL$8),'Council Entry'!AL151)),IF(AND(ISNUMBER('Council Entry'!AL$8),ISNUMBER('Council Entry'!AL$9)),MAX(MIN('Council Entry'!AL151,'Council Entry'!AL$9),'Council Entry'!AL$8),'Council Entry'!AL151))))-'Council Entry'!AL$5)/('Council Entry'!AL$6-'Council Entry'!AL$5)),1))),"No data"))</f>
        <v/>
      </c>
      <c r="AM151" s="13">
        <f>IF('Council Entry'!AM151="","",IFERROR(MAX(0,MIN(10,ROUND(IF('Council Entry'!AM$7="Decrease Risk",10-10*((IF('Council Entry'!AM$4="Logarithm",LN(0.001+IF(AND(ISNUMBER('Council Entry'!AM$8),ISNUMBER('Council Entry'!AM$9)),MAX(MIN('Council Entry'!AM151,'Council Entry'!AM$9),'Council Entry'!AM$8),'Council Entry'!AM151)),IF('Council Entry'!AM$4="Exponential",EXP(IF(AND(ISNUMBER('Council Entry'!AM$8),ISNUMBER('Council Entry'!AM$9)),MAX(MIN('Council Entry'!AM151,'Council Entry'!AM$9),'Council Entry'!AM$8),'Council Entry'!AM151)),IF(AND(ISNUMBER('Council Entry'!AM$8),ISNUMBER('Council Entry'!AM$9)),MAX(MIN('Council Entry'!AM151,'Council Entry'!AM$9),'Council Entry'!AM$8),'Council Entry'!AM151))))-'Council Entry'!AM$5)/('Council Entry'!AM$6-'Council Entry'!AM$5),10*((IF('Council Entry'!AM$4="Logarithm",LN(0.001+IF(AND(ISNUMBER('Council Entry'!AM$8),ISNUMBER('Council Entry'!AM$9)),MAX(MIN('Council Entry'!AM151,'Council Entry'!AM$9),'Council Entry'!AM$8),'Council Entry'!AM151)),IF('Council Entry'!AM$4="Exponential",EXP(IF(AND(ISNUMBER('Council Entry'!AM$8),ISNUMBER('Council Entry'!AM$9)),MAX(MIN('Council Entry'!AM151,'Council Entry'!AM$9),'Council Entry'!AM$8),'Council Entry'!AM151)),IF(AND(ISNUMBER('Council Entry'!AM$8),ISNUMBER('Council Entry'!AM$9)),MAX(MIN('Council Entry'!AM151,'Council Entry'!AM$9),'Council Entry'!AM$8),'Council Entry'!AM151))))-'Council Entry'!AM$5)/('Council Entry'!AM$6-'Council Entry'!AM$5)),1))),"No data"))</f>
        <v/>
      </c>
      <c r="AN151" s="13">
        <f>IF('Council Entry'!AN151="","",IFERROR(MAX(0,MIN(10,ROUND(IF('Council Entry'!AN$7="Decrease Risk",10-10*((IF('Council Entry'!AN$4="Logarithm",LN(0.001+IF(AND(ISNUMBER('Council Entry'!AN$8),ISNUMBER('Council Entry'!AN$9)),MAX(MIN('Council Entry'!AN151,'Council Entry'!AN$9),'Council Entry'!AN$8),'Council Entry'!AN151)),IF('Council Entry'!AN$4="Exponential",EXP(IF(AND(ISNUMBER('Council Entry'!AN$8),ISNUMBER('Council Entry'!AN$9)),MAX(MIN('Council Entry'!AN151,'Council Entry'!AN$9),'Council Entry'!AN$8),'Council Entry'!AN151)),IF(AND(ISNUMBER('Council Entry'!AN$8),ISNUMBER('Council Entry'!AN$9)),MAX(MIN('Council Entry'!AN151,'Council Entry'!AN$9),'Council Entry'!AN$8),'Council Entry'!AN151))))-'Council Entry'!AN$5)/('Council Entry'!AN$6-'Council Entry'!AN$5),10*((IF('Council Entry'!AN$4="Logarithm",LN(0.001+IF(AND(ISNUMBER('Council Entry'!AN$8),ISNUMBER('Council Entry'!AN$9)),MAX(MIN('Council Entry'!AN151,'Council Entry'!AN$9),'Council Entry'!AN$8),'Council Entry'!AN151)),IF('Council Entry'!AN$4="Exponential",EXP(IF(AND(ISNUMBER('Council Entry'!AN$8),ISNUMBER('Council Entry'!AN$9)),MAX(MIN('Council Entry'!AN151,'Council Entry'!AN$9),'Council Entry'!AN$8),'Council Entry'!AN151)),IF(AND(ISNUMBER('Council Entry'!AN$8),ISNUMBER('Council Entry'!AN$9)),MAX(MIN('Council Entry'!AN151,'Council Entry'!AN$9),'Council Entry'!AN$8),'Council Entry'!AN151))))-'Council Entry'!AN$5)/('Council Entry'!AN$6-'Council Entry'!AN$5)),1))),"No data"))</f>
        <v/>
      </c>
      <c r="AO151" s="13">
        <f>IF('Council Entry'!AO151="","",IFERROR(MAX(0,MIN(10,ROUND(IF('Council Entry'!AO$7="Decrease Risk",10-10*((IF('Council Entry'!AO$4="Logarithm",LN(0.001+IF(AND(ISNUMBER('Council Entry'!AO$8),ISNUMBER('Council Entry'!AO$9)),MAX(MIN('Council Entry'!AO151,'Council Entry'!AO$9),'Council Entry'!AO$8),'Council Entry'!AO151)),IF('Council Entry'!AO$4="Exponential",EXP(IF(AND(ISNUMBER('Council Entry'!AO$8),ISNUMBER('Council Entry'!AO$9)),MAX(MIN('Council Entry'!AO151,'Council Entry'!AO$9),'Council Entry'!AO$8),'Council Entry'!AO151)),IF(AND(ISNUMBER('Council Entry'!AO$8),ISNUMBER('Council Entry'!AO$9)),MAX(MIN('Council Entry'!AO151,'Council Entry'!AO$9),'Council Entry'!AO$8),'Council Entry'!AO151))))-'Council Entry'!AO$5)/('Council Entry'!AO$6-'Council Entry'!AO$5),10*((IF('Council Entry'!AO$4="Logarithm",LN(0.001+IF(AND(ISNUMBER('Council Entry'!AO$8),ISNUMBER('Council Entry'!AO$9)),MAX(MIN('Council Entry'!AO151,'Council Entry'!AO$9),'Council Entry'!AO$8),'Council Entry'!AO151)),IF('Council Entry'!AO$4="Exponential",EXP(IF(AND(ISNUMBER('Council Entry'!AO$8),ISNUMBER('Council Entry'!AO$9)),MAX(MIN('Council Entry'!AO151,'Council Entry'!AO$9),'Council Entry'!AO$8),'Council Entry'!AO151)),IF(AND(ISNUMBER('Council Entry'!AO$8),ISNUMBER('Council Entry'!AO$9)),MAX(MIN('Council Entry'!AO151,'Council Entry'!AO$9),'Council Entry'!AO$8),'Council Entry'!AO151))))-'Council Entry'!AO$5)/('Council Entry'!AO$6-'Council Entry'!AO$5)),1))),"No data"))</f>
        <v/>
      </c>
      <c r="AP151" s="13">
        <f>IF('Council Entry'!AP151="","",IFERROR(MAX(0,MIN(10,ROUND(IF('Council Entry'!AP$7="Decrease Risk",10-10*((IF('Council Entry'!AP$4="Logarithm",LN(0.001+IF(AND(ISNUMBER('Council Entry'!AP$8),ISNUMBER('Council Entry'!AP$9)),MAX(MIN('Council Entry'!AP151,'Council Entry'!AP$9),'Council Entry'!AP$8),'Council Entry'!AP151)),IF('Council Entry'!AP$4="Exponential",EXP(IF(AND(ISNUMBER('Council Entry'!AP$8),ISNUMBER('Council Entry'!AP$9)),MAX(MIN('Council Entry'!AP151,'Council Entry'!AP$9),'Council Entry'!AP$8),'Council Entry'!AP151)),IF(AND(ISNUMBER('Council Entry'!AP$8),ISNUMBER('Council Entry'!AP$9)),MAX(MIN('Council Entry'!AP151,'Council Entry'!AP$9),'Council Entry'!AP$8),'Council Entry'!AP151))))-'Council Entry'!AP$5)/('Council Entry'!AP$6-'Council Entry'!AP$5),10*((IF('Council Entry'!AP$4="Logarithm",LN(0.001+IF(AND(ISNUMBER('Council Entry'!AP$8),ISNUMBER('Council Entry'!AP$9)),MAX(MIN('Council Entry'!AP151,'Council Entry'!AP$9),'Council Entry'!AP$8),'Council Entry'!AP151)),IF('Council Entry'!AP$4="Exponential",EXP(IF(AND(ISNUMBER('Council Entry'!AP$8),ISNUMBER('Council Entry'!AP$9)),MAX(MIN('Council Entry'!AP151,'Council Entry'!AP$9),'Council Entry'!AP$8),'Council Entry'!AP151)),IF(AND(ISNUMBER('Council Entry'!AP$8),ISNUMBER('Council Entry'!AP$9)),MAX(MIN('Council Entry'!AP151,'Council Entry'!AP$9),'Council Entry'!AP$8),'Council Entry'!AP151))))-'Council Entry'!AP$5)/('Council Entry'!AP$6-'Council Entry'!AP$5)),1))),"No data"))</f>
        <v/>
      </c>
      <c r="AQ151" s="13">
        <f>IF('Council Entry'!AQ151="","",IFERROR(MAX(0,MIN(10,ROUND(IF('Council Entry'!AQ$7="Decrease Risk",10-10*((IF('Council Entry'!AQ$4="Logarithm",LN(0.001+IF(AND(ISNUMBER('Council Entry'!AQ$8),ISNUMBER('Council Entry'!AQ$9)),MAX(MIN('Council Entry'!AQ151,'Council Entry'!AQ$9),'Council Entry'!AQ$8),'Council Entry'!AQ151)),IF('Council Entry'!AQ$4="Exponential",EXP(IF(AND(ISNUMBER('Council Entry'!AQ$8),ISNUMBER('Council Entry'!AQ$9)),MAX(MIN('Council Entry'!AQ151,'Council Entry'!AQ$9),'Council Entry'!AQ$8),'Council Entry'!AQ151)),IF(AND(ISNUMBER('Council Entry'!AQ$8),ISNUMBER('Council Entry'!AQ$9)),MAX(MIN('Council Entry'!AQ151,'Council Entry'!AQ$9),'Council Entry'!AQ$8),'Council Entry'!AQ151))))-'Council Entry'!AQ$5)/('Council Entry'!AQ$6-'Council Entry'!AQ$5),10*((IF('Council Entry'!AQ$4="Logarithm",LN(0.001+IF(AND(ISNUMBER('Council Entry'!AQ$8),ISNUMBER('Council Entry'!AQ$9)),MAX(MIN('Council Entry'!AQ151,'Council Entry'!AQ$9),'Council Entry'!AQ$8),'Council Entry'!AQ151)),IF('Council Entry'!AQ$4="Exponential",EXP(IF(AND(ISNUMBER('Council Entry'!AQ$8),ISNUMBER('Council Entry'!AQ$9)),MAX(MIN('Council Entry'!AQ151,'Council Entry'!AQ$9),'Council Entry'!AQ$8),'Council Entry'!AQ151)),IF(AND(ISNUMBER('Council Entry'!AQ$8),ISNUMBER('Council Entry'!AQ$9)),MAX(MIN('Council Entry'!AQ151,'Council Entry'!AQ$9),'Council Entry'!AQ$8),'Council Entry'!AQ151))))-'Council Entry'!AQ$5)/('Council Entry'!AQ$6-'Council Entry'!AQ$5)),1))),"No data"))</f>
        <v/>
      </c>
      <c r="AR151" s="13">
        <f>IF('Council Entry'!AR151="","",IFERROR(MAX(0,MIN(10,ROUND(IF('Council Entry'!AR$7="Decrease Risk",10-10*((IF('Council Entry'!AR$4="Logarithm",LN(0.001+IF(AND(ISNUMBER('Council Entry'!AR$8),ISNUMBER('Council Entry'!AR$9)),MAX(MIN('Council Entry'!AR151,'Council Entry'!AR$9),'Council Entry'!AR$8),'Council Entry'!AR151)),IF('Council Entry'!AR$4="Exponential",EXP(IF(AND(ISNUMBER('Council Entry'!AR$8),ISNUMBER('Council Entry'!AR$9)),MAX(MIN('Council Entry'!AR151,'Council Entry'!AR$9),'Council Entry'!AR$8),'Council Entry'!AR151)),IF(AND(ISNUMBER('Council Entry'!AR$8),ISNUMBER('Council Entry'!AR$9)),MAX(MIN('Council Entry'!AR151,'Council Entry'!AR$9),'Council Entry'!AR$8),'Council Entry'!AR151))))-'Council Entry'!AR$5)/('Council Entry'!AR$6-'Council Entry'!AR$5),10*((IF('Council Entry'!AR$4="Logarithm",LN(0.001+IF(AND(ISNUMBER('Council Entry'!AR$8),ISNUMBER('Council Entry'!AR$9)),MAX(MIN('Council Entry'!AR151,'Council Entry'!AR$9),'Council Entry'!AR$8),'Council Entry'!AR151)),IF('Council Entry'!AR$4="Exponential",EXP(IF(AND(ISNUMBER('Council Entry'!AR$8),ISNUMBER('Council Entry'!AR$9)),MAX(MIN('Council Entry'!AR151,'Council Entry'!AR$9),'Council Entry'!AR$8),'Council Entry'!AR151)),IF(AND(ISNUMBER('Council Entry'!AR$8),ISNUMBER('Council Entry'!AR$9)),MAX(MIN('Council Entry'!AR151,'Council Entry'!AR$9),'Council Entry'!AR$8),'Council Entry'!AR151))))-'Council Entry'!AR$5)/('Council Entry'!AR$6-'Council Entry'!AR$5)),1))),"No data"))</f>
        <v/>
      </c>
      <c r="AS151" s="13">
        <f>IF('Council Entry'!AS151="","",IFERROR(MAX(0,MIN(10,ROUND(IF('Council Entry'!AS$7="Decrease Risk",10-10*((IF('Council Entry'!AS$4="Logarithm",LN(0.001+IF(AND(ISNUMBER('Council Entry'!AS$8),ISNUMBER('Council Entry'!AS$9)),MAX(MIN('Council Entry'!AS151,'Council Entry'!AS$9),'Council Entry'!AS$8),'Council Entry'!AS151)),IF('Council Entry'!AS$4="Exponential",EXP(IF(AND(ISNUMBER('Council Entry'!AS$8),ISNUMBER('Council Entry'!AS$9)),MAX(MIN('Council Entry'!AS151,'Council Entry'!AS$9),'Council Entry'!AS$8),'Council Entry'!AS151)),IF(AND(ISNUMBER('Council Entry'!AS$8),ISNUMBER('Council Entry'!AS$9)),MAX(MIN('Council Entry'!AS151,'Council Entry'!AS$9),'Council Entry'!AS$8),'Council Entry'!AS151))))-'Council Entry'!AS$5)/('Council Entry'!AS$6-'Council Entry'!AS$5),10*((IF('Council Entry'!AS$4="Logarithm",LN(0.001+IF(AND(ISNUMBER('Council Entry'!AS$8),ISNUMBER('Council Entry'!AS$9)),MAX(MIN('Council Entry'!AS151,'Council Entry'!AS$9),'Council Entry'!AS$8),'Council Entry'!AS151)),IF('Council Entry'!AS$4="Exponential",EXP(IF(AND(ISNUMBER('Council Entry'!AS$8),ISNUMBER('Council Entry'!AS$9)),MAX(MIN('Council Entry'!AS151,'Council Entry'!AS$9),'Council Entry'!AS$8),'Council Entry'!AS151)),IF(AND(ISNUMBER('Council Entry'!AS$8),ISNUMBER('Council Entry'!AS$9)),MAX(MIN('Council Entry'!AS151,'Council Entry'!AS$9),'Council Entry'!AS$8),'Council Entry'!AS151))))-'Council Entry'!AS$5)/('Council Entry'!AS$6-'Council Entry'!AS$5)),1))),"No data"))</f>
        <v/>
      </c>
      <c r="AT151" s="13">
        <f>IF('Council Entry'!AT151="","",IFERROR(MAX(0,MIN(10,ROUND(IF('Council Entry'!AT$7="Decrease Risk",10-10*((IF('Council Entry'!AT$4="Logarithm",LN(0.001+IF(AND(ISNUMBER('Council Entry'!AT$8),ISNUMBER('Council Entry'!AT$9)),MAX(MIN('Council Entry'!AT151,'Council Entry'!AT$9),'Council Entry'!AT$8),'Council Entry'!AT151)),IF('Council Entry'!AT$4="Exponential",EXP(IF(AND(ISNUMBER('Council Entry'!AT$8),ISNUMBER('Council Entry'!AT$9)),MAX(MIN('Council Entry'!AT151,'Council Entry'!AT$9),'Council Entry'!AT$8),'Council Entry'!AT151)),IF(AND(ISNUMBER('Council Entry'!AT$8),ISNUMBER('Council Entry'!AT$9)),MAX(MIN('Council Entry'!AT151,'Council Entry'!AT$9),'Council Entry'!AT$8),'Council Entry'!AT151))))-'Council Entry'!AT$5)/('Council Entry'!AT$6-'Council Entry'!AT$5),10*((IF('Council Entry'!AT$4="Logarithm",LN(0.001+IF(AND(ISNUMBER('Council Entry'!AT$8),ISNUMBER('Council Entry'!AT$9)),MAX(MIN('Council Entry'!AT151,'Council Entry'!AT$9),'Council Entry'!AT$8),'Council Entry'!AT151)),IF('Council Entry'!AT$4="Exponential",EXP(IF(AND(ISNUMBER('Council Entry'!AT$8),ISNUMBER('Council Entry'!AT$9)),MAX(MIN('Council Entry'!AT151,'Council Entry'!AT$9),'Council Entry'!AT$8),'Council Entry'!AT151)),IF(AND(ISNUMBER('Council Entry'!AT$8),ISNUMBER('Council Entry'!AT$9)),MAX(MIN('Council Entry'!AT151,'Council Entry'!AT$9),'Council Entry'!AT$8),'Council Entry'!AT151))))-'Council Entry'!AT$5)/('Council Entry'!AT$6-'Council Entry'!AT$5)),1))),"No data"))</f>
        <v/>
      </c>
      <c r="AU151" s="13">
        <f>IF('Council Entry'!AU151="","",IFERROR(MAX(0,MIN(10,ROUND(IF('Council Entry'!AU$7="Decrease Risk",10-10*((IF('Council Entry'!AU$4="Logarithm",LN(0.001+IF(AND(ISNUMBER('Council Entry'!AU$8),ISNUMBER('Council Entry'!AU$9)),MAX(MIN('Council Entry'!AU151,'Council Entry'!AU$9),'Council Entry'!AU$8),'Council Entry'!AU151)),IF('Council Entry'!AU$4="Exponential",EXP(IF(AND(ISNUMBER('Council Entry'!AU$8),ISNUMBER('Council Entry'!AU$9)),MAX(MIN('Council Entry'!AU151,'Council Entry'!AU$9),'Council Entry'!AU$8),'Council Entry'!AU151)),IF(AND(ISNUMBER('Council Entry'!AU$8),ISNUMBER('Council Entry'!AU$9)),MAX(MIN('Council Entry'!AU151,'Council Entry'!AU$9),'Council Entry'!AU$8),'Council Entry'!AU151))))-'Council Entry'!AU$5)/('Council Entry'!AU$6-'Council Entry'!AU$5),10*((IF('Council Entry'!AU$4="Logarithm",LN(0.001+IF(AND(ISNUMBER('Council Entry'!AU$8),ISNUMBER('Council Entry'!AU$9)),MAX(MIN('Council Entry'!AU151,'Council Entry'!AU$9),'Council Entry'!AU$8),'Council Entry'!AU151)),IF('Council Entry'!AU$4="Exponential",EXP(IF(AND(ISNUMBER('Council Entry'!AU$8),ISNUMBER('Council Entry'!AU$9)),MAX(MIN('Council Entry'!AU151,'Council Entry'!AU$9),'Council Entry'!AU$8),'Council Entry'!AU151)),IF(AND(ISNUMBER('Council Entry'!AU$8),ISNUMBER('Council Entry'!AU$9)),MAX(MIN('Council Entry'!AU151,'Council Entry'!AU$9),'Council Entry'!AU$8),'Council Entry'!AU151))))-'Council Entry'!AU$5)/('Council Entry'!AU$6-'Council Entry'!AU$5)),1))),"No data"))</f>
        <v/>
      </c>
      <c r="AV151" s="13">
        <f>IF('Council Entry'!AV151="","",IFERROR(MAX(0,MIN(10,ROUND(IF('Council Entry'!AV$7="Decrease Risk",10-10*((IF('Council Entry'!AV$4="Logarithm",LN(0.001+IF(AND(ISNUMBER('Council Entry'!AV$8),ISNUMBER('Council Entry'!AV$9)),MAX(MIN('Council Entry'!AV151,'Council Entry'!AV$9),'Council Entry'!AV$8),'Council Entry'!AV151)),IF('Council Entry'!AV$4="Exponential",EXP(IF(AND(ISNUMBER('Council Entry'!AV$8),ISNUMBER('Council Entry'!AV$9)),MAX(MIN('Council Entry'!AV151,'Council Entry'!AV$9),'Council Entry'!AV$8),'Council Entry'!AV151)),IF(AND(ISNUMBER('Council Entry'!AV$8),ISNUMBER('Council Entry'!AV$9)),MAX(MIN('Council Entry'!AV151,'Council Entry'!AV$9),'Council Entry'!AV$8),'Council Entry'!AV151))))-'Council Entry'!AV$5)/('Council Entry'!AV$6-'Council Entry'!AV$5),10*((IF('Council Entry'!AV$4="Logarithm",LN(0.001+IF(AND(ISNUMBER('Council Entry'!AV$8),ISNUMBER('Council Entry'!AV$9)),MAX(MIN('Council Entry'!AV151,'Council Entry'!AV$9),'Council Entry'!AV$8),'Council Entry'!AV151)),IF('Council Entry'!AV$4="Exponential",EXP(IF(AND(ISNUMBER('Council Entry'!AV$8),ISNUMBER('Council Entry'!AV$9)),MAX(MIN('Council Entry'!AV151,'Council Entry'!AV$9),'Council Entry'!AV$8),'Council Entry'!AV151)),IF(AND(ISNUMBER('Council Entry'!AV$8),ISNUMBER('Council Entry'!AV$9)),MAX(MIN('Council Entry'!AV151,'Council Entry'!AV$9),'Council Entry'!AV$8),'Council Entry'!AV151))))-'Council Entry'!AV$5)/('Council Entry'!AV$6-'Council Entry'!AV$5)),1))),"No data"))</f>
        <v/>
      </c>
      <c r="AW151" s="13">
        <f>IF('Council Entry'!AW151="","",IFERROR(MAX(0,MIN(10,ROUND(IF('Council Entry'!AW$7="Decrease Risk",10-10*((IF('Council Entry'!AW$4="Logarithm",LN(0.001+IF(AND(ISNUMBER('Council Entry'!AW$8),ISNUMBER('Council Entry'!AW$9)),MAX(MIN('Council Entry'!AW151,'Council Entry'!AW$9),'Council Entry'!AW$8),'Council Entry'!AW151)),IF('Council Entry'!AW$4="Exponential",EXP(IF(AND(ISNUMBER('Council Entry'!AW$8),ISNUMBER('Council Entry'!AW$9)),MAX(MIN('Council Entry'!AW151,'Council Entry'!AW$9),'Council Entry'!AW$8),'Council Entry'!AW151)),IF(AND(ISNUMBER('Council Entry'!AW$8),ISNUMBER('Council Entry'!AW$9)),MAX(MIN('Council Entry'!AW151,'Council Entry'!AW$9),'Council Entry'!AW$8),'Council Entry'!AW151))))-'Council Entry'!AW$5)/('Council Entry'!AW$6-'Council Entry'!AW$5),10*((IF('Council Entry'!AW$4="Logarithm",LN(0.001+IF(AND(ISNUMBER('Council Entry'!AW$8),ISNUMBER('Council Entry'!AW$9)),MAX(MIN('Council Entry'!AW151,'Council Entry'!AW$9),'Council Entry'!AW$8),'Council Entry'!AW151)),IF('Council Entry'!AW$4="Exponential",EXP(IF(AND(ISNUMBER('Council Entry'!AW$8),ISNUMBER('Council Entry'!AW$9)),MAX(MIN('Council Entry'!AW151,'Council Entry'!AW$9),'Council Entry'!AW$8),'Council Entry'!AW151)),IF(AND(ISNUMBER('Council Entry'!AW$8),ISNUMBER('Council Entry'!AW$9)),MAX(MIN('Council Entry'!AW151,'Council Entry'!AW$9),'Council Entry'!AW$8),'Council Entry'!AW151))))-'Council Entry'!AW$5)/('Council Entry'!AW$6-'Council Entry'!AW$5)),1))),"No data"))</f>
        <v/>
      </c>
      <c r="AX151" s="13">
        <f>IF('Council Entry'!AX151="","",IFERROR(MAX(0,MIN(10,ROUND(IF('Council Entry'!AX$7="Decrease Risk",10-10*((IF('Council Entry'!AX$4="Logarithm",LN(0.001+IF(AND(ISNUMBER('Council Entry'!AX$8),ISNUMBER('Council Entry'!AX$9)),MAX(MIN('Council Entry'!AX151,'Council Entry'!AX$9),'Council Entry'!AX$8),'Council Entry'!AX151)),IF('Council Entry'!AX$4="Exponential",EXP(IF(AND(ISNUMBER('Council Entry'!AX$8),ISNUMBER('Council Entry'!AX$9)),MAX(MIN('Council Entry'!AX151,'Council Entry'!AX$9),'Council Entry'!AX$8),'Council Entry'!AX151)),IF(AND(ISNUMBER('Council Entry'!AX$8),ISNUMBER('Council Entry'!AX$9)),MAX(MIN('Council Entry'!AX151,'Council Entry'!AX$9),'Council Entry'!AX$8),'Council Entry'!AX151))))-'Council Entry'!AX$5)/('Council Entry'!AX$6-'Council Entry'!AX$5),10*((IF('Council Entry'!AX$4="Logarithm",LN(0.001+IF(AND(ISNUMBER('Council Entry'!AX$8),ISNUMBER('Council Entry'!AX$9)),MAX(MIN('Council Entry'!AX151,'Council Entry'!AX$9),'Council Entry'!AX$8),'Council Entry'!AX151)),IF('Council Entry'!AX$4="Exponential",EXP(IF(AND(ISNUMBER('Council Entry'!AX$8),ISNUMBER('Council Entry'!AX$9)),MAX(MIN('Council Entry'!AX151,'Council Entry'!AX$9),'Council Entry'!AX$8),'Council Entry'!AX151)),IF(AND(ISNUMBER('Council Entry'!AX$8),ISNUMBER('Council Entry'!AX$9)),MAX(MIN('Council Entry'!AX151,'Council Entry'!AX$9),'Council Entry'!AX$8),'Council Entry'!AX151))))-'Council Entry'!AX$5)/('Council Entry'!AX$6-'Council Entry'!AX$5)),1))),"No data"))</f>
        <v/>
      </c>
      <c r="AY151" s="13">
        <f>IF('Council Entry'!AY151="","",IFERROR(MAX(0,MIN(10,ROUND(IF('Council Entry'!AY$7="Decrease Risk",10-10*((IF('Council Entry'!AY$4="Logarithm",LN(0.001+IF(AND(ISNUMBER('Council Entry'!AY$8),ISNUMBER('Council Entry'!AY$9)),MAX(MIN('Council Entry'!AY151,'Council Entry'!AY$9),'Council Entry'!AY$8),'Council Entry'!AY151)),IF('Council Entry'!AY$4="Exponential",EXP(IF(AND(ISNUMBER('Council Entry'!AY$8),ISNUMBER('Council Entry'!AY$9)),MAX(MIN('Council Entry'!AY151,'Council Entry'!AY$9),'Council Entry'!AY$8),'Council Entry'!AY151)),IF(AND(ISNUMBER('Council Entry'!AY$8),ISNUMBER('Council Entry'!AY$9)),MAX(MIN('Council Entry'!AY151,'Council Entry'!AY$9),'Council Entry'!AY$8),'Council Entry'!AY151))))-'Council Entry'!AY$5)/('Council Entry'!AY$6-'Council Entry'!AY$5),10*((IF('Council Entry'!AY$4="Logarithm",LN(0.001+IF(AND(ISNUMBER('Council Entry'!AY$8),ISNUMBER('Council Entry'!AY$9)),MAX(MIN('Council Entry'!AY151,'Council Entry'!AY$9),'Council Entry'!AY$8),'Council Entry'!AY151)),IF('Council Entry'!AY$4="Exponential",EXP(IF(AND(ISNUMBER('Council Entry'!AY$8),ISNUMBER('Council Entry'!AY$9)),MAX(MIN('Council Entry'!AY151,'Council Entry'!AY$9),'Council Entry'!AY$8),'Council Entry'!AY151)),IF(AND(ISNUMBER('Council Entry'!AY$8),ISNUMBER('Council Entry'!AY$9)),MAX(MIN('Council Entry'!AY151,'Council Entry'!AY$9),'Council Entry'!AY$8),'Council Entry'!AY151))))-'Council Entry'!AY$5)/('Council Entry'!AY$6-'Council Entry'!AY$5)),1))),"No data"))</f>
        <v/>
      </c>
      <c r="AZ151" s="13">
        <f>IF('Council Entry'!AZ151="","",IFERROR(MAX(0,MIN(10,ROUND(IF('Council Entry'!AZ$7="Decrease Risk",10-10*((IF('Council Entry'!AZ$4="Logarithm",LN(0.001+IF(AND(ISNUMBER('Council Entry'!AZ$8),ISNUMBER('Council Entry'!AZ$9)),MAX(MIN('Council Entry'!AZ151,'Council Entry'!AZ$9),'Council Entry'!AZ$8),'Council Entry'!AZ151)),IF('Council Entry'!AZ$4="Exponential",EXP(IF(AND(ISNUMBER('Council Entry'!AZ$8),ISNUMBER('Council Entry'!AZ$9)),MAX(MIN('Council Entry'!AZ151,'Council Entry'!AZ$9),'Council Entry'!AZ$8),'Council Entry'!AZ151)),IF(AND(ISNUMBER('Council Entry'!AZ$8),ISNUMBER('Council Entry'!AZ$9)),MAX(MIN('Council Entry'!AZ151,'Council Entry'!AZ$9),'Council Entry'!AZ$8),'Council Entry'!AZ151))))-'Council Entry'!AZ$5)/('Council Entry'!AZ$6-'Council Entry'!AZ$5),10*((IF('Council Entry'!AZ$4="Logarithm",LN(0.001+IF(AND(ISNUMBER('Council Entry'!AZ$8),ISNUMBER('Council Entry'!AZ$9)),MAX(MIN('Council Entry'!AZ151,'Council Entry'!AZ$9),'Council Entry'!AZ$8),'Council Entry'!AZ151)),IF('Council Entry'!AZ$4="Exponential",EXP(IF(AND(ISNUMBER('Council Entry'!AZ$8),ISNUMBER('Council Entry'!AZ$9)),MAX(MIN('Council Entry'!AZ151,'Council Entry'!AZ$9),'Council Entry'!AZ$8),'Council Entry'!AZ151)),IF(AND(ISNUMBER('Council Entry'!AZ$8),ISNUMBER('Council Entry'!AZ$9)),MAX(MIN('Council Entry'!AZ151,'Council Entry'!AZ$9),'Council Entry'!AZ$8),'Council Entry'!AZ151))))-'Council Entry'!AZ$5)/('Council Entry'!AZ$6-'Council Entry'!AZ$5)),1))),"No data"))</f>
        <v/>
      </c>
      <c r="BA151" s="13">
        <f>IF('Council Entry'!BA151="","",IFERROR(MAX(0,MIN(10,ROUND(IF('Council Entry'!BA$7="Decrease Risk",10-10*((IF('Council Entry'!BA$4="Logarithm",LN(0.001+IF(AND(ISNUMBER('Council Entry'!BA$8),ISNUMBER('Council Entry'!BA$9)),MAX(MIN('Council Entry'!BA151,'Council Entry'!BA$9),'Council Entry'!BA$8),'Council Entry'!BA151)),IF('Council Entry'!BA$4="Exponential",EXP(IF(AND(ISNUMBER('Council Entry'!BA$8),ISNUMBER('Council Entry'!BA$9)),MAX(MIN('Council Entry'!BA151,'Council Entry'!BA$9),'Council Entry'!BA$8),'Council Entry'!BA151)),IF(AND(ISNUMBER('Council Entry'!BA$8),ISNUMBER('Council Entry'!BA$9)),MAX(MIN('Council Entry'!BA151,'Council Entry'!BA$9),'Council Entry'!BA$8),'Council Entry'!BA151))))-'Council Entry'!BA$5)/('Council Entry'!BA$6-'Council Entry'!BA$5),10*((IF('Council Entry'!BA$4="Logarithm",LN(0.001+IF(AND(ISNUMBER('Council Entry'!BA$8),ISNUMBER('Council Entry'!BA$9)),MAX(MIN('Council Entry'!BA151,'Council Entry'!BA$9),'Council Entry'!BA$8),'Council Entry'!BA151)),IF('Council Entry'!BA$4="Exponential",EXP(IF(AND(ISNUMBER('Council Entry'!BA$8),ISNUMBER('Council Entry'!BA$9)),MAX(MIN('Council Entry'!BA151,'Council Entry'!BA$9),'Council Entry'!BA$8),'Council Entry'!BA151)),IF(AND(ISNUMBER('Council Entry'!BA$8),ISNUMBER('Council Entry'!BA$9)),MAX(MIN('Council Entry'!BA151,'Council Entry'!BA$9),'Council Entry'!BA$8),'Council Entry'!BA151))))-'Council Entry'!BA$5)/('Council Entry'!BA$6-'Council Entry'!BA$5)),1))),"No data"))</f>
        <v/>
      </c>
      <c r="BB151" s="13">
        <f>IF('Council Entry'!BB151="","",IFERROR(MAX(0,MIN(10,ROUND(IF('Council Entry'!BB$7="Decrease Risk",10-10*((IF('Council Entry'!BB$4="Logarithm",LN(0.001+IF(AND(ISNUMBER('Council Entry'!BB$8),ISNUMBER('Council Entry'!BB$9)),MAX(MIN('Council Entry'!BB151,'Council Entry'!BB$9),'Council Entry'!BB$8),'Council Entry'!BB151)),IF('Council Entry'!BB$4="Exponential",EXP(IF(AND(ISNUMBER('Council Entry'!BB$8),ISNUMBER('Council Entry'!BB$9)),MAX(MIN('Council Entry'!BB151,'Council Entry'!BB$9),'Council Entry'!BB$8),'Council Entry'!BB151)),IF(AND(ISNUMBER('Council Entry'!BB$8),ISNUMBER('Council Entry'!BB$9)),MAX(MIN('Council Entry'!BB151,'Council Entry'!BB$9),'Council Entry'!BB$8),'Council Entry'!BB151))))-'Council Entry'!BB$5)/('Council Entry'!BB$6-'Council Entry'!BB$5),10*((IF('Council Entry'!BB$4="Logarithm",LN(0.001+IF(AND(ISNUMBER('Council Entry'!BB$8),ISNUMBER('Council Entry'!BB$9)),MAX(MIN('Council Entry'!BB151,'Council Entry'!BB$9),'Council Entry'!BB$8),'Council Entry'!BB151)),IF('Council Entry'!BB$4="Exponential",EXP(IF(AND(ISNUMBER('Council Entry'!BB$8),ISNUMBER('Council Entry'!BB$9)),MAX(MIN('Council Entry'!BB151,'Council Entry'!BB$9),'Council Entry'!BB$8),'Council Entry'!BB151)),IF(AND(ISNUMBER('Council Entry'!BB$8),ISNUMBER('Council Entry'!BB$9)),MAX(MIN('Council Entry'!BB151,'Council Entry'!BB$9),'Council Entry'!BB$8),'Council Entry'!BB151))))-'Council Entry'!BB$5)/('Council Entry'!BB$6-'Council Entry'!BB$5)),1))),"No data"))</f>
        <v/>
      </c>
      <c r="BC151" s="13">
        <f>IF('Council Entry'!BC151="","",IFERROR(MAX(0,MIN(10,ROUND(IF('Council Entry'!BC$7="Decrease Risk",10-10*((IF('Council Entry'!BC$4="Logarithm",LN(0.001+IF(AND(ISNUMBER('Council Entry'!BC$8),ISNUMBER('Council Entry'!BC$9)),MAX(MIN('Council Entry'!BC151,'Council Entry'!BC$9),'Council Entry'!BC$8),'Council Entry'!BC151)),IF('Council Entry'!BC$4="Exponential",EXP(IF(AND(ISNUMBER('Council Entry'!BC$8),ISNUMBER('Council Entry'!BC$9)),MAX(MIN('Council Entry'!BC151,'Council Entry'!BC$9),'Council Entry'!BC$8),'Council Entry'!BC151)),IF(AND(ISNUMBER('Council Entry'!BC$8),ISNUMBER('Council Entry'!BC$9)),MAX(MIN('Council Entry'!BC151,'Council Entry'!BC$9),'Council Entry'!BC$8),'Council Entry'!BC151))))-'Council Entry'!BC$5)/('Council Entry'!BC$6-'Council Entry'!BC$5),10*((IF('Council Entry'!BC$4="Logarithm",LN(0.001+IF(AND(ISNUMBER('Council Entry'!BC$8),ISNUMBER('Council Entry'!BC$9)),MAX(MIN('Council Entry'!BC151,'Council Entry'!BC$9),'Council Entry'!BC$8),'Council Entry'!BC151)),IF('Council Entry'!BC$4="Exponential",EXP(IF(AND(ISNUMBER('Council Entry'!BC$8),ISNUMBER('Council Entry'!BC$9)),MAX(MIN('Council Entry'!BC151,'Council Entry'!BC$9),'Council Entry'!BC$8),'Council Entry'!BC151)),IF(AND(ISNUMBER('Council Entry'!BC$8),ISNUMBER('Council Entry'!BC$9)),MAX(MIN('Council Entry'!BC151,'Council Entry'!BC$9),'Council Entry'!BC$8),'Council Entry'!BC151))))-'Council Entry'!BC$5)/('Council Entry'!BC$6-'Council Entry'!BC$5)),1))),"No data"))</f>
        <v/>
      </c>
      <c r="BD151" s="13">
        <f>IF('Council Entry'!BD151="","",IFERROR(MAX(0,MIN(10,ROUND(IF('Council Entry'!BD$7="Decrease Risk",10-10*((IF('Council Entry'!BD$4="Logarithm",LN(0.001+IF(AND(ISNUMBER('Council Entry'!BD$8),ISNUMBER('Council Entry'!BD$9)),MAX(MIN('Council Entry'!BD151,'Council Entry'!BD$9),'Council Entry'!BD$8),'Council Entry'!BD151)),IF('Council Entry'!BD$4="Exponential",EXP(IF(AND(ISNUMBER('Council Entry'!BD$8),ISNUMBER('Council Entry'!BD$9)),MAX(MIN('Council Entry'!BD151,'Council Entry'!BD$9),'Council Entry'!BD$8),'Council Entry'!BD151)),IF(AND(ISNUMBER('Council Entry'!BD$8),ISNUMBER('Council Entry'!BD$9)),MAX(MIN('Council Entry'!BD151,'Council Entry'!BD$9),'Council Entry'!BD$8),'Council Entry'!BD151))))-'Council Entry'!BD$5)/('Council Entry'!BD$6-'Council Entry'!BD$5),10*((IF('Council Entry'!BD$4="Logarithm",LN(0.001+IF(AND(ISNUMBER('Council Entry'!BD$8),ISNUMBER('Council Entry'!BD$9)),MAX(MIN('Council Entry'!BD151,'Council Entry'!BD$9),'Council Entry'!BD$8),'Council Entry'!BD151)),IF('Council Entry'!BD$4="Exponential",EXP(IF(AND(ISNUMBER('Council Entry'!BD$8),ISNUMBER('Council Entry'!BD$9)),MAX(MIN('Council Entry'!BD151,'Council Entry'!BD$9),'Council Entry'!BD$8),'Council Entry'!BD151)),IF(AND(ISNUMBER('Council Entry'!BD$8),ISNUMBER('Council Entry'!BD$9)),MAX(MIN('Council Entry'!BD151,'Council Entry'!BD$9),'Council Entry'!BD$8),'Council Entry'!BD151))))-'Council Entry'!BD$5)/('Council Entry'!BD$6-'Council Entry'!BD$5)),1))),"No data"))</f>
        <v/>
      </c>
    </row>
    <row r="152">
      <c r="A152" t="inlineStr">
        <is>
          <t>Rukwa</t>
        </is>
      </c>
      <c r="B152" t="inlineStr">
        <is>
          <t>Nkasi District</t>
        </is>
      </c>
      <c r="C152" t="inlineStr">
        <is>
          <t>C110</t>
        </is>
      </c>
      <c r="D152" s="13">
        <f>IF('Council Entry'!D152="","",IFERROR(MAX(0,MIN(10,ROUND(IF('Council Entry'!D$7="Decrease Risk",10-10*((IF('Council Entry'!D$4="Logarithm",LN(0.001+IF(AND(ISNUMBER('Council Entry'!D$8),ISNUMBER('Council Entry'!D$9)),MAX(MIN('Council Entry'!D152,'Council Entry'!D$9),'Council Entry'!D$8),'Council Entry'!D152)),IF('Council Entry'!D$4="Exponential",EXP(IF(AND(ISNUMBER('Council Entry'!D$8),ISNUMBER('Council Entry'!D$9)),MAX(MIN('Council Entry'!D152,'Council Entry'!D$9),'Council Entry'!D$8),'Council Entry'!D152)),IF(AND(ISNUMBER('Council Entry'!D$8),ISNUMBER('Council Entry'!D$9)),MAX(MIN('Council Entry'!D152,'Council Entry'!D$9),'Council Entry'!D$8),'Council Entry'!D152))))-'Council Entry'!D$5)/('Council Entry'!D$6-'Council Entry'!D$5),10*((IF('Council Entry'!D$4="Logarithm",LN(0.001+IF(AND(ISNUMBER('Council Entry'!D$8),ISNUMBER('Council Entry'!D$9)),MAX(MIN('Council Entry'!D152,'Council Entry'!D$9),'Council Entry'!D$8),'Council Entry'!D152)),IF('Council Entry'!D$4="Exponential",EXP(IF(AND(ISNUMBER('Council Entry'!D$8),ISNUMBER('Council Entry'!D$9)),MAX(MIN('Council Entry'!D152,'Council Entry'!D$9),'Council Entry'!D$8),'Council Entry'!D152)),IF(AND(ISNUMBER('Council Entry'!D$8),ISNUMBER('Council Entry'!D$9)),MAX(MIN('Council Entry'!D152,'Council Entry'!D$9),'Council Entry'!D$8),'Council Entry'!D152))))-'Council Entry'!D$5)/('Council Entry'!D$6-'Council Entry'!D$5)),1))),"No data"))</f>
        <v/>
      </c>
      <c r="E152" s="13">
        <f>IF('Council Entry'!E152="","",IFERROR(MAX(0,MIN(10,ROUND(IF('Council Entry'!E$7="Decrease Risk",10-10*((IF('Council Entry'!E$4="Logarithm",LN(0.001+IF(AND(ISNUMBER('Council Entry'!E$8),ISNUMBER('Council Entry'!E$9)),MAX(MIN('Council Entry'!E152,'Council Entry'!E$9),'Council Entry'!E$8),'Council Entry'!E152)),IF('Council Entry'!E$4="Exponential",EXP(IF(AND(ISNUMBER('Council Entry'!E$8),ISNUMBER('Council Entry'!E$9)),MAX(MIN('Council Entry'!E152,'Council Entry'!E$9),'Council Entry'!E$8),'Council Entry'!E152)),IF(AND(ISNUMBER('Council Entry'!E$8),ISNUMBER('Council Entry'!E$9)),MAX(MIN('Council Entry'!E152,'Council Entry'!E$9),'Council Entry'!E$8),'Council Entry'!E152))))-'Council Entry'!E$5)/('Council Entry'!E$6-'Council Entry'!E$5),10*((IF('Council Entry'!E$4="Logarithm",LN(0.001+IF(AND(ISNUMBER('Council Entry'!E$8),ISNUMBER('Council Entry'!E$9)),MAX(MIN('Council Entry'!E152,'Council Entry'!E$9),'Council Entry'!E$8),'Council Entry'!E152)),IF('Council Entry'!E$4="Exponential",EXP(IF(AND(ISNUMBER('Council Entry'!E$8),ISNUMBER('Council Entry'!E$9)),MAX(MIN('Council Entry'!E152,'Council Entry'!E$9),'Council Entry'!E$8),'Council Entry'!E152)),IF(AND(ISNUMBER('Council Entry'!E$8),ISNUMBER('Council Entry'!E$9)),MAX(MIN('Council Entry'!E152,'Council Entry'!E$9),'Council Entry'!E$8),'Council Entry'!E152))))-'Council Entry'!E$5)/('Council Entry'!E$6-'Council Entry'!E$5)),1))),"No data"))</f>
        <v/>
      </c>
      <c r="F152" s="13">
        <f>IF('Council Entry'!F152="","",IFERROR(MAX(0,MIN(10,ROUND(IF('Council Entry'!F$7="Decrease Risk",10-10*((IF('Council Entry'!F$4="Logarithm",LN(0.001+IF(AND(ISNUMBER('Council Entry'!F$8),ISNUMBER('Council Entry'!F$9)),MAX(MIN('Council Entry'!F152,'Council Entry'!F$9),'Council Entry'!F$8),'Council Entry'!F152)),IF('Council Entry'!F$4="Exponential",EXP(IF(AND(ISNUMBER('Council Entry'!F$8),ISNUMBER('Council Entry'!F$9)),MAX(MIN('Council Entry'!F152,'Council Entry'!F$9),'Council Entry'!F$8),'Council Entry'!F152)),IF(AND(ISNUMBER('Council Entry'!F$8),ISNUMBER('Council Entry'!F$9)),MAX(MIN('Council Entry'!F152,'Council Entry'!F$9),'Council Entry'!F$8),'Council Entry'!F152))))-'Council Entry'!F$5)/('Council Entry'!F$6-'Council Entry'!F$5),10*((IF('Council Entry'!F$4="Logarithm",LN(0.001+IF(AND(ISNUMBER('Council Entry'!F$8),ISNUMBER('Council Entry'!F$9)),MAX(MIN('Council Entry'!F152,'Council Entry'!F$9),'Council Entry'!F$8),'Council Entry'!F152)),IF('Council Entry'!F$4="Exponential",EXP(IF(AND(ISNUMBER('Council Entry'!F$8),ISNUMBER('Council Entry'!F$9)),MAX(MIN('Council Entry'!F152,'Council Entry'!F$9),'Council Entry'!F$8),'Council Entry'!F152)),IF(AND(ISNUMBER('Council Entry'!F$8),ISNUMBER('Council Entry'!F$9)),MAX(MIN('Council Entry'!F152,'Council Entry'!F$9),'Council Entry'!F$8),'Council Entry'!F152))))-'Council Entry'!F$5)/('Council Entry'!F$6-'Council Entry'!F$5)),1))),"No data"))</f>
        <v/>
      </c>
      <c r="G152" s="13">
        <f>IF('Council Entry'!G152="","",IFERROR(MAX(0,MIN(10,ROUND(IF('Council Entry'!G$7="Decrease Risk",10-10*((IF('Council Entry'!G$4="Logarithm",LN(0.001+IF(AND(ISNUMBER('Council Entry'!G$8),ISNUMBER('Council Entry'!G$9)),MAX(MIN('Council Entry'!G152,'Council Entry'!G$9),'Council Entry'!G$8),'Council Entry'!G152)),IF('Council Entry'!G$4="Exponential",EXP(IF(AND(ISNUMBER('Council Entry'!G$8),ISNUMBER('Council Entry'!G$9)),MAX(MIN('Council Entry'!G152,'Council Entry'!G$9),'Council Entry'!G$8),'Council Entry'!G152)),IF(AND(ISNUMBER('Council Entry'!G$8),ISNUMBER('Council Entry'!G$9)),MAX(MIN('Council Entry'!G152,'Council Entry'!G$9),'Council Entry'!G$8),'Council Entry'!G152))))-'Council Entry'!G$5)/('Council Entry'!G$6-'Council Entry'!G$5),10*((IF('Council Entry'!G$4="Logarithm",LN(0.001+IF(AND(ISNUMBER('Council Entry'!G$8),ISNUMBER('Council Entry'!G$9)),MAX(MIN('Council Entry'!G152,'Council Entry'!G$9),'Council Entry'!G$8),'Council Entry'!G152)),IF('Council Entry'!G$4="Exponential",EXP(IF(AND(ISNUMBER('Council Entry'!G$8),ISNUMBER('Council Entry'!G$9)),MAX(MIN('Council Entry'!G152,'Council Entry'!G$9),'Council Entry'!G$8),'Council Entry'!G152)),IF(AND(ISNUMBER('Council Entry'!G$8),ISNUMBER('Council Entry'!G$9)),MAX(MIN('Council Entry'!G152,'Council Entry'!G$9),'Council Entry'!G$8),'Council Entry'!G152))))-'Council Entry'!G$5)/('Council Entry'!G$6-'Council Entry'!G$5)),1))),"No data"))</f>
        <v/>
      </c>
      <c r="H152" s="13">
        <f>IF('Council Entry'!H152="","",IFERROR(MAX(0,MIN(10,ROUND(IF('Council Entry'!H$7="Decrease Risk",10-10*((IF('Council Entry'!H$4="Logarithm",LN(0.001+IF(AND(ISNUMBER('Council Entry'!H$8),ISNUMBER('Council Entry'!H$9)),MAX(MIN('Council Entry'!H152,'Council Entry'!H$9),'Council Entry'!H$8),'Council Entry'!H152)),IF('Council Entry'!H$4="Exponential",EXP(IF(AND(ISNUMBER('Council Entry'!H$8),ISNUMBER('Council Entry'!H$9)),MAX(MIN('Council Entry'!H152,'Council Entry'!H$9),'Council Entry'!H$8),'Council Entry'!H152)),IF(AND(ISNUMBER('Council Entry'!H$8),ISNUMBER('Council Entry'!H$9)),MAX(MIN('Council Entry'!H152,'Council Entry'!H$9),'Council Entry'!H$8),'Council Entry'!H152))))-'Council Entry'!H$5)/('Council Entry'!H$6-'Council Entry'!H$5),10*((IF('Council Entry'!H$4="Logarithm",LN(0.001+IF(AND(ISNUMBER('Council Entry'!H$8),ISNUMBER('Council Entry'!H$9)),MAX(MIN('Council Entry'!H152,'Council Entry'!H$9),'Council Entry'!H$8),'Council Entry'!H152)),IF('Council Entry'!H$4="Exponential",EXP(IF(AND(ISNUMBER('Council Entry'!H$8),ISNUMBER('Council Entry'!H$9)),MAX(MIN('Council Entry'!H152,'Council Entry'!H$9),'Council Entry'!H$8),'Council Entry'!H152)),IF(AND(ISNUMBER('Council Entry'!H$8),ISNUMBER('Council Entry'!H$9)),MAX(MIN('Council Entry'!H152,'Council Entry'!H$9),'Council Entry'!H$8),'Council Entry'!H152))))-'Council Entry'!H$5)/('Council Entry'!H$6-'Council Entry'!H$5)),1))),"No data"))</f>
        <v/>
      </c>
      <c r="I152" s="13">
        <f>IF('Council Entry'!I152="","",IFERROR(MAX(0,MIN(10,ROUND(IF('Council Entry'!I$7="Decrease Risk",10-10*((IF('Council Entry'!I$4="Logarithm",LN(0.001+IF(AND(ISNUMBER('Council Entry'!I$8),ISNUMBER('Council Entry'!I$9)),MAX(MIN('Council Entry'!I152,'Council Entry'!I$9),'Council Entry'!I$8),'Council Entry'!I152)),IF('Council Entry'!I$4="Exponential",EXP(IF(AND(ISNUMBER('Council Entry'!I$8),ISNUMBER('Council Entry'!I$9)),MAX(MIN('Council Entry'!I152,'Council Entry'!I$9),'Council Entry'!I$8),'Council Entry'!I152)),IF(AND(ISNUMBER('Council Entry'!I$8),ISNUMBER('Council Entry'!I$9)),MAX(MIN('Council Entry'!I152,'Council Entry'!I$9),'Council Entry'!I$8),'Council Entry'!I152))))-'Council Entry'!I$5)/('Council Entry'!I$6-'Council Entry'!I$5),10*((IF('Council Entry'!I$4="Logarithm",LN(0.001+IF(AND(ISNUMBER('Council Entry'!I$8),ISNUMBER('Council Entry'!I$9)),MAX(MIN('Council Entry'!I152,'Council Entry'!I$9),'Council Entry'!I$8),'Council Entry'!I152)),IF('Council Entry'!I$4="Exponential",EXP(IF(AND(ISNUMBER('Council Entry'!I$8),ISNUMBER('Council Entry'!I$9)),MAX(MIN('Council Entry'!I152,'Council Entry'!I$9),'Council Entry'!I$8),'Council Entry'!I152)),IF(AND(ISNUMBER('Council Entry'!I$8),ISNUMBER('Council Entry'!I$9)),MAX(MIN('Council Entry'!I152,'Council Entry'!I$9),'Council Entry'!I$8),'Council Entry'!I152))))-'Council Entry'!I$5)/('Council Entry'!I$6-'Council Entry'!I$5)),1))),"No data"))</f>
        <v/>
      </c>
      <c r="J152" s="13">
        <f>IF('Council Entry'!J152="","",IFERROR(MAX(0,MIN(10,ROUND(IF('Council Entry'!J$7="Decrease Risk",10-10*((IF('Council Entry'!J$4="Logarithm",LN(0.001+IF(AND(ISNUMBER('Council Entry'!J$8),ISNUMBER('Council Entry'!J$9)),MAX(MIN('Council Entry'!J152,'Council Entry'!J$9),'Council Entry'!J$8),'Council Entry'!J152)),IF('Council Entry'!J$4="Exponential",EXP(IF(AND(ISNUMBER('Council Entry'!J$8),ISNUMBER('Council Entry'!J$9)),MAX(MIN('Council Entry'!J152,'Council Entry'!J$9),'Council Entry'!J$8),'Council Entry'!J152)),IF(AND(ISNUMBER('Council Entry'!J$8),ISNUMBER('Council Entry'!J$9)),MAX(MIN('Council Entry'!J152,'Council Entry'!J$9),'Council Entry'!J$8),'Council Entry'!J152))))-'Council Entry'!J$5)/('Council Entry'!J$6-'Council Entry'!J$5),10*((IF('Council Entry'!J$4="Logarithm",LN(0.001+IF(AND(ISNUMBER('Council Entry'!J$8),ISNUMBER('Council Entry'!J$9)),MAX(MIN('Council Entry'!J152,'Council Entry'!J$9),'Council Entry'!J$8),'Council Entry'!J152)),IF('Council Entry'!J$4="Exponential",EXP(IF(AND(ISNUMBER('Council Entry'!J$8),ISNUMBER('Council Entry'!J$9)),MAX(MIN('Council Entry'!J152,'Council Entry'!J$9),'Council Entry'!J$8),'Council Entry'!J152)),IF(AND(ISNUMBER('Council Entry'!J$8),ISNUMBER('Council Entry'!J$9)),MAX(MIN('Council Entry'!J152,'Council Entry'!J$9),'Council Entry'!J$8),'Council Entry'!J152))))-'Council Entry'!J$5)/('Council Entry'!J$6-'Council Entry'!J$5)),1))),"No data"))</f>
        <v/>
      </c>
      <c r="K152" s="13">
        <f>IF('Council Entry'!K152="","",IFERROR(MAX(0,MIN(10,ROUND(IF('Council Entry'!K$7="Decrease Risk",10-10*((IF('Council Entry'!K$4="Logarithm",LN(0.001+IF(AND(ISNUMBER('Council Entry'!K$8),ISNUMBER('Council Entry'!K$9)),MAX(MIN('Council Entry'!K152,'Council Entry'!K$9),'Council Entry'!K$8),'Council Entry'!K152)),IF('Council Entry'!K$4="Exponential",EXP(IF(AND(ISNUMBER('Council Entry'!K$8),ISNUMBER('Council Entry'!K$9)),MAX(MIN('Council Entry'!K152,'Council Entry'!K$9),'Council Entry'!K$8),'Council Entry'!K152)),IF(AND(ISNUMBER('Council Entry'!K$8),ISNUMBER('Council Entry'!K$9)),MAX(MIN('Council Entry'!K152,'Council Entry'!K$9),'Council Entry'!K$8),'Council Entry'!K152))))-'Council Entry'!K$5)/('Council Entry'!K$6-'Council Entry'!K$5),10*((IF('Council Entry'!K$4="Logarithm",LN(0.001+IF(AND(ISNUMBER('Council Entry'!K$8),ISNUMBER('Council Entry'!K$9)),MAX(MIN('Council Entry'!K152,'Council Entry'!K$9),'Council Entry'!K$8),'Council Entry'!K152)),IF('Council Entry'!K$4="Exponential",EXP(IF(AND(ISNUMBER('Council Entry'!K$8),ISNUMBER('Council Entry'!K$9)),MAX(MIN('Council Entry'!K152,'Council Entry'!K$9),'Council Entry'!K$8),'Council Entry'!K152)),IF(AND(ISNUMBER('Council Entry'!K$8),ISNUMBER('Council Entry'!K$9)),MAX(MIN('Council Entry'!K152,'Council Entry'!K$9),'Council Entry'!K$8),'Council Entry'!K152))))-'Council Entry'!K$5)/('Council Entry'!K$6-'Council Entry'!K$5)),1))),"No data"))</f>
        <v/>
      </c>
      <c r="L152" s="13">
        <f>IF('Council Entry'!L152="","",IFERROR(MAX(0,MIN(10,ROUND(IF('Council Entry'!L$7="Decrease Risk",10-10*((IF('Council Entry'!L$4="Logarithm",LN(0.001+IF(AND(ISNUMBER('Council Entry'!L$8),ISNUMBER('Council Entry'!L$9)),MAX(MIN('Council Entry'!L152,'Council Entry'!L$9),'Council Entry'!L$8),'Council Entry'!L152)),IF('Council Entry'!L$4="Exponential",EXP(IF(AND(ISNUMBER('Council Entry'!L$8),ISNUMBER('Council Entry'!L$9)),MAX(MIN('Council Entry'!L152,'Council Entry'!L$9),'Council Entry'!L$8),'Council Entry'!L152)),IF(AND(ISNUMBER('Council Entry'!L$8),ISNUMBER('Council Entry'!L$9)),MAX(MIN('Council Entry'!L152,'Council Entry'!L$9),'Council Entry'!L$8),'Council Entry'!L152))))-'Council Entry'!L$5)/('Council Entry'!L$6-'Council Entry'!L$5),10*((IF('Council Entry'!L$4="Logarithm",LN(0.001+IF(AND(ISNUMBER('Council Entry'!L$8),ISNUMBER('Council Entry'!L$9)),MAX(MIN('Council Entry'!L152,'Council Entry'!L$9),'Council Entry'!L$8),'Council Entry'!L152)),IF('Council Entry'!L$4="Exponential",EXP(IF(AND(ISNUMBER('Council Entry'!L$8),ISNUMBER('Council Entry'!L$9)),MAX(MIN('Council Entry'!L152,'Council Entry'!L$9),'Council Entry'!L$8),'Council Entry'!L152)),IF(AND(ISNUMBER('Council Entry'!L$8),ISNUMBER('Council Entry'!L$9)),MAX(MIN('Council Entry'!L152,'Council Entry'!L$9),'Council Entry'!L$8),'Council Entry'!L152))))-'Council Entry'!L$5)/('Council Entry'!L$6-'Council Entry'!L$5)),1))),"No data"))</f>
        <v/>
      </c>
      <c r="M152" s="13">
        <f>IF('Council Entry'!M152="","",IFERROR(MAX(0,MIN(10,ROUND(IF('Council Entry'!M$7="Decrease Risk",10-10*((IF('Council Entry'!M$4="Logarithm",LN(0.001+IF(AND(ISNUMBER('Council Entry'!M$8),ISNUMBER('Council Entry'!M$9)),MAX(MIN('Council Entry'!M152,'Council Entry'!M$9),'Council Entry'!M$8),'Council Entry'!M152)),IF('Council Entry'!M$4="Exponential",EXP(IF(AND(ISNUMBER('Council Entry'!M$8),ISNUMBER('Council Entry'!M$9)),MAX(MIN('Council Entry'!M152,'Council Entry'!M$9),'Council Entry'!M$8),'Council Entry'!M152)),IF(AND(ISNUMBER('Council Entry'!M$8),ISNUMBER('Council Entry'!M$9)),MAX(MIN('Council Entry'!M152,'Council Entry'!M$9),'Council Entry'!M$8),'Council Entry'!M152))))-'Council Entry'!M$5)/('Council Entry'!M$6-'Council Entry'!M$5),10*((IF('Council Entry'!M$4="Logarithm",LN(0.001+IF(AND(ISNUMBER('Council Entry'!M$8),ISNUMBER('Council Entry'!M$9)),MAX(MIN('Council Entry'!M152,'Council Entry'!M$9),'Council Entry'!M$8),'Council Entry'!M152)),IF('Council Entry'!M$4="Exponential",EXP(IF(AND(ISNUMBER('Council Entry'!M$8),ISNUMBER('Council Entry'!M$9)),MAX(MIN('Council Entry'!M152,'Council Entry'!M$9),'Council Entry'!M$8),'Council Entry'!M152)),IF(AND(ISNUMBER('Council Entry'!M$8),ISNUMBER('Council Entry'!M$9)),MAX(MIN('Council Entry'!M152,'Council Entry'!M$9),'Council Entry'!M$8),'Council Entry'!M152))))-'Council Entry'!M$5)/('Council Entry'!M$6-'Council Entry'!M$5)),1))),"No data"))</f>
        <v/>
      </c>
      <c r="N152" s="13">
        <f>IF('Council Entry'!N152="","",IFERROR(MAX(0,MIN(10,ROUND(IF('Council Entry'!N$7="Decrease Risk",10-10*((IF('Council Entry'!N$4="Logarithm",LN(0.001+IF(AND(ISNUMBER('Council Entry'!N$8),ISNUMBER('Council Entry'!N$9)),MAX(MIN('Council Entry'!N152,'Council Entry'!N$9),'Council Entry'!N$8),'Council Entry'!N152)),IF('Council Entry'!N$4="Exponential",EXP(IF(AND(ISNUMBER('Council Entry'!N$8),ISNUMBER('Council Entry'!N$9)),MAX(MIN('Council Entry'!N152,'Council Entry'!N$9),'Council Entry'!N$8),'Council Entry'!N152)),IF(AND(ISNUMBER('Council Entry'!N$8),ISNUMBER('Council Entry'!N$9)),MAX(MIN('Council Entry'!N152,'Council Entry'!N$9),'Council Entry'!N$8),'Council Entry'!N152))))-'Council Entry'!N$5)/('Council Entry'!N$6-'Council Entry'!N$5),10*((IF('Council Entry'!N$4="Logarithm",LN(0.001+IF(AND(ISNUMBER('Council Entry'!N$8),ISNUMBER('Council Entry'!N$9)),MAX(MIN('Council Entry'!N152,'Council Entry'!N$9),'Council Entry'!N$8),'Council Entry'!N152)),IF('Council Entry'!N$4="Exponential",EXP(IF(AND(ISNUMBER('Council Entry'!N$8),ISNUMBER('Council Entry'!N$9)),MAX(MIN('Council Entry'!N152,'Council Entry'!N$9),'Council Entry'!N$8),'Council Entry'!N152)),IF(AND(ISNUMBER('Council Entry'!N$8),ISNUMBER('Council Entry'!N$9)),MAX(MIN('Council Entry'!N152,'Council Entry'!N$9),'Council Entry'!N$8),'Council Entry'!N152))))-'Council Entry'!N$5)/('Council Entry'!N$6-'Council Entry'!N$5)),1))),"No data"))</f>
        <v/>
      </c>
      <c r="O152" s="13">
        <f>IF('Council Entry'!O152="","",IFERROR(MAX(0,MIN(10,ROUND(IF('Council Entry'!O$7="Decrease Risk",10-10*((IF('Council Entry'!O$4="Logarithm",LN(0.001+IF(AND(ISNUMBER('Council Entry'!O$8),ISNUMBER('Council Entry'!O$9)),MAX(MIN('Council Entry'!O152,'Council Entry'!O$9),'Council Entry'!O$8),'Council Entry'!O152)),IF('Council Entry'!O$4="Exponential",EXP(IF(AND(ISNUMBER('Council Entry'!O$8),ISNUMBER('Council Entry'!O$9)),MAX(MIN('Council Entry'!O152,'Council Entry'!O$9),'Council Entry'!O$8),'Council Entry'!O152)),IF(AND(ISNUMBER('Council Entry'!O$8),ISNUMBER('Council Entry'!O$9)),MAX(MIN('Council Entry'!O152,'Council Entry'!O$9),'Council Entry'!O$8),'Council Entry'!O152))))-'Council Entry'!O$5)/('Council Entry'!O$6-'Council Entry'!O$5),10*((IF('Council Entry'!O$4="Logarithm",LN(0.001+IF(AND(ISNUMBER('Council Entry'!O$8),ISNUMBER('Council Entry'!O$9)),MAX(MIN('Council Entry'!O152,'Council Entry'!O$9),'Council Entry'!O$8),'Council Entry'!O152)),IF('Council Entry'!O$4="Exponential",EXP(IF(AND(ISNUMBER('Council Entry'!O$8),ISNUMBER('Council Entry'!O$9)),MAX(MIN('Council Entry'!O152,'Council Entry'!O$9),'Council Entry'!O$8),'Council Entry'!O152)),IF(AND(ISNUMBER('Council Entry'!O$8),ISNUMBER('Council Entry'!O$9)),MAX(MIN('Council Entry'!O152,'Council Entry'!O$9),'Council Entry'!O$8),'Council Entry'!O152))))-'Council Entry'!O$5)/('Council Entry'!O$6-'Council Entry'!O$5)),1))),"No data"))</f>
        <v/>
      </c>
      <c r="P152" s="13">
        <f>IF('Council Entry'!P152="","",IFERROR(MAX(0,MIN(10,ROUND(IF('Council Entry'!P$7="Decrease Risk",10-10*((IF('Council Entry'!P$4="Logarithm",LN(0.001+IF(AND(ISNUMBER('Council Entry'!P$8),ISNUMBER('Council Entry'!P$9)),MAX(MIN('Council Entry'!P152,'Council Entry'!P$9),'Council Entry'!P$8),'Council Entry'!P152)),IF('Council Entry'!P$4="Exponential",EXP(IF(AND(ISNUMBER('Council Entry'!P$8),ISNUMBER('Council Entry'!P$9)),MAX(MIN('Council Entry'!P152,'Council Entry'!P$9),'Council Entry'!P$8),'Council Entry'!P152)),IF(AND(ISNUMBER('Council Entry'!P$8),ISNUMBER('Council Entry'!P$9)),MAX(MIN('Council Entry'!P152,'Council Entry'!P$9),'Council Entry'!P$8),'Council Entry'!P152))))-'Council Entry'!P$5)/('Council Entry'!P$6-'Council Entry'!P$5),10*((IF('Council Entry'!P$4="Logarithm",LN(0.001+IF(AND(ISNUMBER('Council Entry'!P$8),ISNUMBER('Council Entry'!P$9)),MAX(MIN('Council Entry'!P152,'Council Entry'!P$9),'Council Entry'!P$8),'Council Entry'!P152)),IF('Council Entry'!P$4="Exponential",EXP(IF(AND(ISNUMBER('Council Entry'!P$8),ISNUMBER('Council Entry'!P$9)),MAX(MIN('Council Entry'!P152,'Council Entry'!P$9),'Council Entry'!P$8),'Council Entry'!P152)),IF(AND(ISNUMBER('Council Entry'!P$8),ISNUMBER('Council Entry'!P$9)),MAX(MIN('Council Entry'!P152,'Council Entry'!P$9),'Council Entry'!P$8),'Council Entry'!P152))))-'Council Entry'!P$5)/('Council Entry'!P$6-'Council Entry'!P$5)),1))),"No data"))</f>
        <v/>
      </c>
      <c r="Q152" s="13">
        <f>IF('Council Entry'!Q152="","",IFERROR(MAX(0,MIN(10,ROUND(IF('Council Entry'!Q$7="Decrease Risk",10-10*((IF('Council Entry'!Q$4="Logarithm",LN(0.001+IF(AND(ISNUMBER('Council Entry'!Q$8),ISNUMBER('Council Entry'!Q$9)),MAX(MIN('Council Entry'!Q152,'Council Entry'!Q$9),'Council Entry'!Q$8),'Council Entry'!Q152)),IF('Council Entry'!Q$4="Exponential",EXP(IF(AND(ISNUMBER('Council Entry'!Q$8),ISNUMBER('Council Entry'!Q$9)),MAX(MIN('Council Entry'!Q152,'Council Entry'!Q$9),'Council Entry'!Q$8),'Council Entry'!Q152)),IF(AND(ISNUMBER('Council Entry'!Q$8),ISNUMBER('Council Entry'!Q$9)),MAX(MIN('Council Entry'!Q152,'Council Entry'!Q$9),'Council Entry'!Q$8),'Council Entry'!Q152))))-'Council Entry'!Q$5)/('Council Entry'!Q$6-'Council Entry'!Q$5),10*((IF('Council Entry'!Q$4="Logarithm",LN(0.001+IF(AND(ISNUMBER('Council Entry'!Q$8),ISNUMBER('Council Entry'!Q$9)),MAX(MIN('Council Entry'!Q152,'Council Entry'!Q$9),'Council Entry'!Q$8),'Council Entry'!Q152)),IF('Council Entry'!Q$4="Exponential",EXP(IF(AND(ISNUMBER('Council Entry'!Q$8),ISNUMBER('Council Entry'!Q$9)),MAX(MIN('Council Entry'!Q152,'Council Entry'!Q$9),'Council Entry'!Q$8),'Council Entry'!Q152)),IF(AND(ISNUMBER('Council Entry'!Q$8),ISNUMBER('Council Entry'!Q$9)),MAX(MIN('Council Entry'!Q152,'Council Entry'!Q$9),'Council Entry'!Q$8),'Council Entry'!Q152))))-'Council Entry'!Q$5)/('Council Entry'!Q$6-'Council Entry'!Q$5)),1))),"No data"))</f>
        <v/>
      </c>
      <c r="R152" s="13">
        <f>IF('Council Entry'!R152="","",IFERROR(MAX(0,MIN(10,ROUND(IF('Council Entry'!R$7="Decrease Risk",10-10*((IF('Council Entry'!R$4="Logarithm",LN(0.001+IF(AND(ISNUMBER('Council Entry'!R$8),ISNUMBER('Council Entry'!R$9)),MAX(MIN('Council Entry'!R152,'Council Entry'!R$9),'Council Entry'!R$8),'Council Entry'!R152)),IF('Council Entry'!R$4="Exponential",EXP(IF(AND(ISNUMBER('Council Entry'!R$8),ISNUMBER('Council Entry'!R$9)),MAX(MIN('Council Entry'!R152,'Council Entry'!R$9),'Council Entry'!R$8),'Council Entry'!R152)),IF(AND(ISNUMBER('Council Entry'!R$8),ISNUMBER('Council Entry'!R$9)),MAX(MIN('Council Entry'!R152,'Council Entry'!R$9),'Council Entry'!R$8),'Council Entry'!R152))))-'Council Entry'!R$5)/('Council Entry'!R$6-'Council Entry'!R$5),10*((IF('Council Entry'!R$4="Logarithm",LN(0.001+IF(AND(ISNUMBER('Council Entry'!R$8),ISNUMBER('Council Entry'!R$9)),MAX(MIN('Council Entry'!R152,'Council Entry'!R$9),'Council Entry'!R$8),'Council Entry'!R152)),IF('Council Entry'!R$4="Exponential",EXP(IF(AND(ISNUMBER('Council Entry'!R$8),ISNUMBER('Council Entry'!R$9)),MAX(MIN('Council Entry'!R152,'Council Entry'!R$9),'Council Entry'!R$8),'Council Entry'!R152)),IF(AND(ISNUMBER('Council Entry'!R$8),ISNUMBER('Council Entry'!R$9)),MAX(MIN('Council Entry'!R152,'Council Entry'!R$9),'Council Entry'!R$8),'Council Entry'!R152))))-'Council Entry'!R$5)/('Council Entry'!R$6-'Council Entry'!R$5)),1))),"No data"))</f>
        <v/>
      </c>
      <c r="S152" s="13">
        <f>IF('Council Entry'!S152="","",IFERROR(MAX(0,MIN(10,ROUND(IF('Council Entry'!S$7="Decrease Risk",10-10*((IF('Council Entry'!S$4="Logarithm",LN(0.001+IF(AND(ISNUMBER('Council Entry'!S$8),ISNUMBER('Council Entry'!S$9)),MAX(MIN('Council Entry'!S152,'Council Entry'!S$9),'Council Entry'!S$8),'Council Entry'!S152)),IF('Council Entry'!S$4="Exponential",EXP(IF(AND(ISNUMBER('Council Entry'!S$8),ISNUMBER('Council Entry'!S$9)),MAX(MIN('Council Entry'!S152,'Council Entry'!S$9),'Council Entry'!S$8),'Council Entry'!S152)),IF(AND(ISNUMBER('Council Entry'!S$8),ISNUMBER('Council Entry'!S$9)),MAX(MIN('Council Entry'!S152,'Council Entry'!S$9),'Council Entry'!S$8),'Council Entry'!S152))))-'Council Entry'!S$5)/('Council Entry'!S$6-'Council Entry'!S$5),10*((IF('Council Entry'!S$4="Logarithm",LN(0.001+IF(AND(ISNUMBER('Council Entry'!S$8),ISNUMBER('Council Entry'!S$9)),MAX(MIN('Council Entry'!S152,'Council Entry'!S$9),'Council Entry'!S$8),'Council Entry'!S152)),IF('Council Entry'!S$4="Exponential",EXP(IF(AND(ISNUMBER('Council Entry'!S$8),ISNUMBER('Council Entry'!S$9)),MAX(MIN('Council Entry'!S152,'Council Entry'!S$9),'Council Entry'!S$8),'Council Entry'!S152)),IF(AND(ISNUMBER('Council Entry'!S$8),ISNUMBER('Council Entry'!S$9)),MAX(MIN('Council Entry'!S152,'Council Entry'!S$9),'Council Entry'!S$8),'Council Entry'!S152))))-'Council Entry'!S$5)/('Council Entry'!S$6-'Council Entry'!S$5)),1))),"No data"))</f>
        <v/>
      </c>
      <c r="T152" s="13">
        <f>IF('Council Entry'!T152="","",IFERROR(MAX(0,MIN(10,ROUND(IF('Council Entry'!T$7="Decrease Risk",10-10*((IF('Council Entry'!T$4="Logarithm",LN(0.001+IF(AND(ISNUMBER('Council Entry'!T$8),ISNUMBER('Council Entry'!T$9)),MAX(MIN('Council Entry'!T152,'Council Entry'!T$9),'Council Entry'!T$8),'Council Entry'!T152)),IF('Council Entry'!T$4="Exponential",EXP(IF(AND(ISNUMBER('Council Entry'!T$8),ISNUMBER('Council Entry'!T$9)),MAX(MIN('Council Entry'!T152,'Council Entry'!T$9),'Council Entry'!T$8),'Council Entry'!T152)),IF(AND(ISNUMBER('Council Entry'!T$8),ISNUMBER('Council Entry'!T$9)),MAX(MIN('Council Entry'!T152,'Council Entry'!T$9),'Council Entry'!T$8),'Council Entry'!T152))))-'Council Entry'!T$5)/('Council Entry'!T$6-'Council Entry'!T$5),10*((IF('Council Entry'!T$4="Logarithm",LN(0.001+IF(AND(ISNUMBER('Council Entry'!T$8),ISNUMBER('Council Entry'!T$9)),MAX(MIN('Council Entry'!T152,'Council Entry'!T$9),'Council Entry'!T$8),'Council Entry'!T152)),IF('Council Entry'!T$4="Exponential",EXP(IF(AND(ISNUMBER('Council Entry'!T$8),ISNUMBER('Council Entry'!T$9)),MAX(MIN('Council Entry'!T152,'Council Entry'!T$9),'Council Entry'!T$8),'Council Entry'!T152)),IF(AND(ISNUMBER('Council Entry'!T$8),ISNUMBER('Council Entry'!T$9)),MAX(MIN('Council Entry'!T152,'Council Entry'!T$9),'Council Entry'!T$8),'Council Entry'!T152))))-'Council Entry'!T$5)/('Council Entry'!T$6-'Council Entry'!T$5)),1))),"No data"))</f>
        <v/>
      </c>
      <c r="U152" s="13">
        <f>IF('Council Entry'!U152="","",IFERROR(MAX(0,MIN(10,ROUND(IF('Council Entry'!U$7="Decrease Risk",10-10*((IF('Council Entry'!U$4="Logarithm",LN(0.001+IF(AND(ISNUMBER('Council Entry'!U$8),ISNUMBER('Council Entry'!U$9)),MAX(MIN('Council Entry'!U152,'Council Entry'!U$9),'Council Entry'!U$8),'Council Entry'!U152)),IF('Council Entry'!U$4="Exponential",EXP(IF(AND(ISNUMBER('Council Entry'!U$8),ISNUMBER('Council Entry'!U$9)),MAX(MIN('Council Entry'!U152,'Council Entry'!U$9),'Council Entry'!U$8),'Council Entry'!U152)),IF(AND(ISNUMBER('Council Entry'!U$8),ISNUMBER('Council Entry'!U$9)),MAX(MIN('Council Entry'!U152,'Council Entry'!U$9),'Council Entry'!U$8),'Council Entry'!U152))))-'Council Entry'!U$5)/('Council Entry'!U$6-'Council Entry'!U$5),10*((IF('Council Entry'!U$4="Logarithm",LN(0.001+IF(AND(ISNUMBER('Council Entry'!U$8),ISNUMBER('Council Entry'!U$9)),MAX(MIN('Council Entry'!U152,'Council Entry'!U$9),'Council Entry'!U$8),'Council Entry'!U152)),IF('Council Entry'!U$4="Exponential",EXP(IF(AND(ISNUMBER('Council Entry'!U$8),ISNUMBER('Council Entry'!U$9)),MAX(MIN('Council Entry'!U152,'Council Entry'!U$9),'Council Entry'!U$8),'Council Entry'!U152)),IF(AND(ISNUMBER('Council Entry'!U$8),ISNUMBER('Council Entry'!U$9)),MAX(MIN('Council Entry'!U152,'Council Entry'!U$9),'Council Entry'!U$8),'Council Entry'!U152))))-'Council Entry'!U$5)/('Council Entry'!U$6-'Council Entry'!U$5)),1))),"No data"))</f>
        <v/>
      </c>
      <c r="V152" s="13">
        <f>IF('Council Entry'!V152="","",IFERROR(MAX(0,MIN(10,ROUND(IF('Council Entry'!V$7="Decrease Risk",10-10*((IF('Council Entry'!V$4="Logarithm",LN(0.001+IF(AND(ISNUMBER('Council Entry'!V$8),ISNUMBER('Council Entry'!V$9)),MAX(MIN('Council Entry'!V152,'Council Entry'!V$9),'Council Entry'!V$8),'Council Entry'!V152)),IF('Council Entry'!V$4="Exponential",EXP(IF(AND(ISNUMBER('Council Entry'!V$8),ISNUMBER('Council Entry'!V$9)),MAX(MIN('Council Entry'!V152,'Council Entry'!V$9),'Council Entry'!V$8),'Council Entry'!V152)),IF(AND(ISNUMBER('Council Entry'!V$8),ISNUMBER('Council Entry'!V$9)),MAX(MIN('Council Entry'!V152,'Council Entry'!V$9),'Council Entry'!V$8),'Council Entry'!V152))))-'Council Entry'!V$5)/('Council Entry'!V$6-'Council Entry'!V$5),10*((IF('Council Entry'!V$4="Logarithm",LN(0.001+IF(AND(ISNUMBER('Council Entry'!V$8),ISNUMBER('Council Entry'!V$9)),MAX(MIN('Council Entry'!V152,'Council Entry'!V$9),'Council Entry'!V$8),'Council Entry'!V152)),IF('Council Entry'!V$4="Exponential",EXP(IF(AND(ISNUMBER('Council Entry'!V$8),ISNUMBER('Council Entry'!V$9)),MAX(MIN('Council Entry'!V152,'Council Entry'!V$9),'Council Entry'!V$8),'Council Entry'!V152)),IF(AND(ISNUMBER('Council Entry'!V$8),ISNUMBER('Council Entry'!V$9)),MAX(MIN('Council Entry'!V152,'Council Entry'!V$9),'Council Entry'!V$8),'Council Entry'!V152))))-'Council Entry'!V$5)/('Council Entry'!V$6-'Council Entry'!V$5)),1))),"No data"))</f>
        <v/>
      </c>
      <c r="W152" s="13">
        <f>IF('Council Entry'!W152="","",IFERROR(MAX(0,MIN(10,ROUND(IF('Council Entry'!W$7="Decrease Risk",10-10*((IF('Council Entry'!W$4="Logarithm",LN(0.001+IF(AND(ISNUMBER('Council Entry'!W$8),ISNUMBER('Council Entry'!W$9)),MAX(MIN('Council Entry'!W152,'Council Entry'!W$9),'Council Entry'!W$8),'Council Entry'!W152)),IF('Council Entry'!W$4="Exponential",EXP(IF(AND(ISNUMBER('Council Entry'!W$8),ISNUMBER('Council Entry'!W$9)),MAX(MIN('Council Entry'!W152,'Council Entry'!W$9),'Council Entry'!W$8),'Council Entry'!W152)),IF(AND(ISNUMBER('Council Entry'!W$8),ISNUMBER('Council Entry'!W$9)),MAX(MIN('Council Entry'!W152,'Council Entry'!W$9),'Council Entry'!W$8),'Council Entry'!W152))))-'Council Entry'!W$5)/('Council Entry'!W$6-'Council Entry'!W$5),10*((IF('Council Entry'!W$4="Logarithm",LN(0.001+IF(AND(ISNUMBER('Council Entry'!W$8),ISNUMBER('Council Entry'!W$9)),MAX(MIN('Council Entry'!W152,'Council Entry'!W$9),'Council Entry'!W$8),'Council Entry'!W152)),IF('Council Entry'!W$4="Exponential",EXP(IF(AND(ISNUMBER('Council Entry'!W$8),ISNUMBER('Council Entry'!W$9)),MAX(MIN('Council Entry'!W152,'Council Entry'!W$9),'Council Entry'!W$8),'Council Entry'!W152)),IF(AND(ISNUMBER('Council Entry'!W$8),ISNUMBER('Council Entry'!W$9)),MAX(MIN('Council Entry'!W152,'Council Entry'!W$9),'Council Entry'!W$8),'Council Entry'!W152))))-'Council Entry'!W$5)/('Council Entry'!W$6-'Council Entry'!W$5)),1))),"No data"))</f>
        <v/>
      </c>
      <c r="X152" s="13">
        <f>IF('Council Entry'!X152="","",IFERROR(MAX(0,MIN(10,ROUND(IF('Council Entry'!X$7="Decrease Risk",10-10*((IF('Council Entry'!X$4="Logarithm",LN(0.001+IF(AND(ISNUMBER('Council Entry'!X$8),ISNUMBER('Council Entry'!X$9)),MAX(MIN('Council Entry'!X152,'Council Entry'!X$9),'Council Entry'!X$8),'Council Entry'!X152)),IF('Council Entry'!X$4="Exponential",EXP(IF(AND(ISNUMBER('Council Entry'!X$8),ISNUMBER('Council Entry'!X$9)),MAX(MIN('Council Entry'!X152,'Council Entry'!X$9),'Council Entry'!X$8),'Council Entry'!X152)),IF(AND(ISNUMBER('Council Entry'!X$8),ISNUMBER('Council Entry'!X$9)),MAX(MIN('Council Entry'!X152,'Council Entry'!X$9),'Council Entry'!X$8),'Council Entry'!X152))))-'Council Entry'!X$5)/('Council Entry'!X$6-'Council Entry'!X$5),10*((IF('Council Entry'!X$4="Logarithm",LN(0.001+IF(AND(ISNUMBER('Council Entry'!X$8),ISNUMBER('Council Entry'!X$9)),MAX(MIN('Council Entry'!X152,'Council Entry'!X$9),'Council Entry'!X$8),'Council Entry'!X152)),IF('Council Entry'!X$4="Exponential",EXP(IF(AND(ISNUMBER('Council Entry'!X$8),ISNUMBER('Council Entry'!X$9)),MAX(MIN('Council Entry'!X152,'Council Entry'!X$9),'Council Entry'!X$8),'Council Entry'!X152)),IF(AND(ISNUMBER('Council Entry'!X$8),ISNUMBER('Council Entry'!X$9)),MAX(MIN('Council Entry'!X152,'Council Entry'!X$9),'Council Entry'!X$8),'Council Entry'!X152))))-'Council Entry'!X$5)/('Council Entry'!X$6-'Council Entry'!X$5)),1))),"No data"))</f>
        <v/>
      </c>
      <c r="Y152" s="13">
        <f>IF('Council Entry'!Y152="","",IFERROR(MAX(0,MIN(10,ROUND(IF('Council Entry'!Y$7="Decrease Risk",10-10*((IF('Council Entry'!Y$4="Logarithm",LN(0.001+IF(AND(ISNUMBER('Council Entry'!Y$8),ISNUMBER('Council Entry'!Y$9)),MAX(MIN('Council Entry'!Y152,'Council Entry'!Y$9),'Council Entry'!Y$8),'Council Entry'!Y152)),IF('Council Entry'!Y$4="Exponential",EXP(IF(AND(ISNUMBER('Council Entry'!Y$8),ISNUMBER('Council Entry'!Y$9)),MAX(MIN('Council Entry'!Y152,'Council Entry'!Y$9),'Council Entry'!Y$8),'Council Entry'!Y152)),IF(AND(ISNUMBER('Council Entry'!Y$8),ISNUMBER('Council Entry'!Y$9)),MAX(MIN('Council Entry'!Y152,'Council Entry'!Y$9),'Council Entry'!Y$8),'Council Entry'!Y152))))-'Council Entry'!Y$5)/('Council Entry'!Y$6-'Council Entry'!Y$5),10*((IF('Council Entry'!Y$4="Logarithm",LN(0.001+IF(AND(ISNUMBER('Council Entry'!Y$8),ISNUMBER('Council Entry'!Y$9)),MAX(MIN('Council Entry'!Y152,'Council Entry'!Y$9),'Council Entry'!Y$8),'Council Entry'!Y152)),IF('Council Entry'!Y$4="Exponential",EXP(IF(AND(ISNUMBER('Council Entry'!Y$8),ISNUMBER('Council Entry'!Y$9)),MAX(MIN('Council Entry'!Y152,'Council Entry'!Y$9),'Council Entry'!Y$8),'Council Entry'!Y152)),IF(AND(ISNUMBER('Council Entry'!Y$8),ISNUMBER('Council Entry'!Y$9)),MAX(MIN('Council Entry'!Y152,'Council Entry'!Y$9),'Council Entry'!Y$8),'Council Entry'!Y152))))-'Council Entry'!Y$5)/('Council Entry'!Y$6-'Council Entry'!Y$5)),1))),"No data"))</f>
        <v/>
      </c>
      <c r="Z152" s="13">
        <f>IF('Council Entry'!Z152="","",IFERROR(MAX(0,MIN(10,ROUND(IF('Council Entry'!Z$7="Decrease Risk",10-10*((IF('Council Entry'!Z$4="Logarithm",LN(0.001+IF(AND(ISNUMBER('Council Entry'!Z$8),ISNUMBER('Council Entry'!Z$9)),MAX(MIN('Council Entry'!Z152,'Council Entry'!Z$9),'Council Entry'!Z$8),'Council Entry'!Z152)),IF('Council Entry'!Z$4="Exponential",EXP(IF(AND(ISNUMBER('Council Entry'!Z$8),ISNUMBER('Council Entry'!Z$9)),MAX(MIN('Council Entry'!Z152,'Council Entry'!Z$9),'Council Entry'!Z$8),'Council Entry'!Z152)),IF(AND(ISNUMBER('Council Entry'!Z$8),ISNUMBER('Council Entry'!Z$9)),MAX(MIN('Council Entry'!Z152,'Council Entry'!Z$9),'Council Entry'!Z$8),'Council Entry'!Z152))))-'Council Entry'!Z$5)/('Council Entry'!Z$6-'Council Entry'!Z$5),10*((IF('Council Entry'!Z$4="Logarithm",LN(0.001+IF(AND(ISNUMBER('Council Entry'!Z$8),ISNUMBER('Council Entry'!Z$9)),MAX(MIN('Council Entry'!Z152,'Council Entry'!Z$9),'Council Entry'!Z$8),'Council Entry'!Z152)),IF('Council Entry'!Z$4="Exponential",EXP(IF(AND(ISNUMBER('Council Entry'!Z$8),ISNUMBER('Council Entry'!Z$9)),MAX(MIN('Council Entry'!Z152,'Council Entry'!Z$9),'Council Entry'!Z$8),'Council Entry'!Z152)),IF(AND(ISNUMBER('Council Entry'!Z$8),ISNUMBER('Council Entry'!Z$9)),MAX(MIN('Council Entry'!Z152,'Council Entry'!Z$9),'Council Entry'!Z$8),'Council Entry'!Z152))))-'Council Entry'!Z$5)/('Council Entry'!Z$6-'Council Entry'!Z$5)),1))),"No data"))</f>
        <v/>
      </c>
      <c r="AA152" s="13">
        <f>IF('Council Entry'!AA152="","",IFERROR(MAX(0,MIN(10,ROUND(IF('Council Entry'!AA$7="Decrease Risk",10-10*((IF('Council Entry'!AA$4="Logarithm",LN(0.001+IF(AND(ISNUMBER('Council Entry'!AA$8),ISNUMBER('Council Entry'!AA$9)),MAX(MIN('Council Entry'!AA152,'Council Entry'!AA$9),'Council Entry'!AA$8),'Council Entry'!AA152)),IF('Council Entry'!AA$4="Exponential",EXP(IF(AND(ISNUMBER('Council Entry'!AA$8),ISNUMBER('Council Entry'!AA$9)),MAX(MIN('Council Entry'!AA152,'Council Entry'!AA$9),'Council Entry'!AA$8),'Council Entry'!AA152)),IF(AND(ISNUMBER('Council Entry'!AA$8),ISNUMBER('Council Entry'!AA$9)),MAX(MIN('Council Entry'!AA152,'Council Entry'!AA$9),'Council Entry'!AA$8),'Council Entry'!AA152))))-'Council Entry'!AA$5)/('Council Entry'!AA$6-'Council Entry'!AA$5),10*((IF('Council Entry'!AA$4="Logarithm",LN(0.001+IF(AND(ISNUMBER('Council Entry'!AA$8),ISNUMBER('Council Entry'!AA$9)),MAX(MIN('Council Entry'!AA152,'Council Entry'!AA$9),'Council Entry'!AA$8),'Council Entry'!AA152)),IF('Council Entry'!AA$4="Exponential",EXP(IF(AND(ISNUMBER('Council Entry'!AA$8),ISNUMBER('Council Entry'!AA$9)),MAX(MIN('Council Entry'!AA152,'Council Entry'!AA$9),'Council Entry'!AA$8),'Council Entry'!AA152)),IF(AND(ISNUMBER('Council Entry'!AA$8),ISNUMBER('Council Entry'!AA$9)),MAX(MIN('Council Entry'!AA152,'Council Entry'!AA$9),'Council Entry'!AA$8),'Council Entry'!AA152))))-'Council Entry'!AA$5)/('Council Entry'!AA$6-'Council Entry'!AA$5)),1))),"No data"))</f>
        <v/>
      </c>
      <c r="AB152" s="13">
        <f>IF('Council Entry'!AB152="","",IFERROR(MAX(0,MIN(10,ROUND(IF('Council Entry'!AB$7="Decrease Risk",10-10*((IF('Council Entry'!AB$4="Logarithm",LN(0.001+IF(AND(ISNUMBER('Council Entry'!AB$8),ISNUMBER('Council Entry'!AB$9)),MAX(MIN('Council Entry'!AB152,'Council Entry'!AB$9),'Council Entry'!AB$8),'Council Entry'!AB152)),IF('Council Entry'!AB$4="Exponential",EXP(IF(AND(ISNUMBER('Council Entry'!AB$8),ISNUMBER('Council Entry'!AB$9)),MAX(MIN('Council Entry'!AB152,'Council Entry'!AB$9),'Council Entry'!AB$8),'Council Entry'!AB152)),IF(AND(ISNUMBER('Council Entry'!AB$8),ISNUMBER('Council Entry'!AB$9)),MAX(MIN('Council Entry'!AB152,'Council Entry'!AB$9),'Council Entry'!AB$8),'Council Entry'!AB152))))-'Council Entry'!AB$5)/('Council Entry'!AB$6-'Council Entry'!AB$5),10*((IF('Council Entry'!AB$4="Logarithm",LN(0.001+IF(AND(ISNUMBER('Council Entry'!AB$8),ISNUMBER('Council Entry'!AB$9)),MAX(MIN('Council Entry'!AB152,'Council Entry'!AB$9),'Council Entry'!AB$8),'Council Entry'!AB152)),IF('Council Entry'!AB$4="Exponential",EXP(IF(AND(ISNUMBER('Council Entry'!AB$8),ISNUMBER('Council Entry'!AB$9)),MAX(MIN('Council Entry'!AB152,'Council Entry'!AB$9),'Council Entry'!AB$8),'Council Entry'!AB152)),IF(AND(ISNUMBER('Council Entry'!AB$8),ISNUMBER('Council Entry'!AB$9)),MAX(MIN('Council Entry'!AB152,'Council Entry'!AB$9),'Council Entry'!AB$8),'Council Entry'!AB152))))-'Council Entry'!AB$5)/('Council Entry'!AB$6-'Council Entry'!AB$5)),1))),"No data"))</f>
        <v/>
      </c>
      <c r="AC152" s="13">
        <f>IF('Council Entry'!AC152="","",IFERROR(MAX(0,MIN(10,ROUND(IF('Council Entry'!AC$7="Decrease Risk",10-10*((IF('Council Entry'!AC$4="Logarithm",LN(0.001+IF(AND(ISNUMBER('Council Entry'!AC$8),ISNUMBER('Council Entry'!AC$9)),MAX(MIN('Council Entry'!AC152,'Council Entry'!AC$9),'Council Entry'!AC$8),'Council Entry'!AC152)),IF('Council Entry'!AC$4="Exponential",EXP(IF(AND(ISNUMBER('Council Entry'!AC$8),ISNUMBER('Council Entry'!AC$9)),MAX(MIN('Council Entry'!AC152,'Council Entry'!AC$9),'Council Entry'!AC$8),'Council Entry'!AC152)),IF(AND(ISNUMBER('Council Entry'!AC$8),ISNUMBER('Council Entry'!AC$9)),MAX(MIN('Council Entry'!AC152,'Council Entry'!AC$9),'Council Entry'!AC$8),'Council Entry'!AC152))))-'Council Entry'!AC$5)/('Council Entry'!AC$6-'Council Entry'!AC$5),10*((IF('Council Entry'!AC$4="Logarithm",LN(0.001+IF(AND(ISNUMBER('Council Entry'!AC$8),ISNUMBER('Council Entry'!AC$9)),MAX(MIN('Council Entry'!AC152,'Council Entry'!AC$9),'Council Entry'!AC$8),'Council Entry'!AC152)),IF('Council Entry'!AC$4="Exponential",EXP(IF(AND(ISNUMBER('Council Entry'!AC$8),ISNUMBER('Council Entry'!AC$9)),MAX(MIN('Council Entry'!AC152,'Council Entry'!AC$9),'Council Entry'!AC$8),'Council Entry'!AC152)),IF(AND(ISNUMBER('Council Entry'!AC$8),ISNUMBER('Council Entry'!AC$9)),MAX(MIN('Council Entry'!AC152,'Council Entry'!AC$9),'Council Entry'!AC$8),'Council Entry'!AC152))))-'Council Entry'!AC$5)/('Council Entry'!AC$6-'Council Entry'!AC$5)),1))),"No data"))</f>
        <v/>
      </c>
      <c r="AD152" s="13">
        <f>IF('Council Entry'!AD152="","",IFERROR(MAX(0,MIN(10,ROUND(IF('Council Entry'!AD$7="Decrease Risk",10-10*((IF('Council Entry'!AD$4="Logarithm",LN(0.001+IF(AND(ISNUMBER('Council Entry'!AD$8),ISNUMBER('Council Entry'!AD$9)),MAX(MIN('Council Entry'!AD152,'Council Entry'!AD$9),'Council Entry'!AD$8),'Council Entry'!AD152)),IF('Council Entry'!AD$4="Exponential",EXP(IF(AND(ISNUMBER('Council Entry'!AD$8),ISNUMBER('Council Entry'!AD$9)),MAX(MIN('Council Entry'!AD152,'Council Entry'!AD$9),'Council Entry'!AD$8),'Council Entry'!AD152)),IF(AND(ISNUMBER('Council Entry'!AD$8),ISNUMBER('Council Entry'!AD$9)),MAX(MIN('Council Entry'!AD152,'Council Entry'!AD$9),'Council Entry'!AD$8),'Council Entry'!AD152))))-'Council Entry'!AD$5)/('Council Entry'!AD$6-'Council Entry'!AD$5),10*((IF('Council Entry'!AD$4="Logarithm",LN(0.001+IF(AND(ISNUMBER('Council Entry'!AD$8),ISNUMBER('Council Entry'!AD$9)),MAX(MIN('Council Entry'!AD152,'Council Entry'!AD$9),'Council Entry'!AD$8),'Council Entry'!AD152)),IF('Council Entry'!AD$4="Exponential",EXP(IF(AND(ISNUMBER('Council Entry'!AD$8),ISNUMBER('Council Entry'!AD$9)),MAX(MIN('Council Entry'!AD152,'Council Entry'!AD$9),'Council Entry'!AD$8),'Council Entry'!AD152)),IF(AND(ISNUMBER('Council Entry'!AD$8),ISNUMBER('Council Entry'!AD$9)),MAX(MIN('Council Entry'!AD152,'Council Entry'!AD$9),'Council Entry'!AD$8),'Council Entry'!AD152))))-'Council Entry'!AD$5)/('Council Entry'!AD$6-'Council Entry'!AD$5)),1))),"No data"))</f>
        <v/>
      </c>
      <c r="AE152" s="13">
        <f>IF('Council Entry'!AE152="","",IFERROR(MAX(0,MIN(10,ROUND(IF('Council Entry'!AE$7="Decrease Risk",10-10*((IF('Council Entry'!AE$4="Logarithm",LN(0.001+IF(AND(ISNUMBER('Council Entry'!AE$8),ISNUMBER('Council Entry'!AE$9)),MAX(MIN('Council Entry'!AE152,'Council Entry'!AE$9),'Council Entry'!AE$8),'Council Entry'!AE152)),IF('Council Entry'!AE$4="Exponential",EXP(IF(AND(ISNUMBER('Council Entry'!AE$8),ISNUMBER('Council Entry'!AE$9)),MAX(MIN('Council Entry'!AE152,'Council Entry'!AE$9),'Council Entry'!AE$8),'Council Entry'!AE152)),IF(AND(ISNUMBER('Council Entry'!AE$8),ISNUMBER('Council Entry'!AE$9)),MAX(MIN('Council Entry'!AE152,'Council Entry'!AE$9),'Council Entry'!AE$8),'Council Entry'!AE152))))-'Council Entry'!AE$5)/('Council Entry'!AE$6-'Council Entry'!AE$5),10*((IF('Council Entry'!AE$4="Logarithm",LN(0.001+IF(AND(ISNUMBER('Council Entry'!AE$8),ISNUMBER('Council Entry'!AE$9)),MAX(MIN('Council Entry'!AE152,'Council Entry'!AE$9),'Council Entry'!AE$8),'Council Entry'!AE152)),IF('Council Entry'!AE$4="Exponential",EXP(IF(AND(ISNUMBER('Council Entry'!AE$8),ISNUMBER('Council Entry'!AE$9)),MAX(MIN('Council Entry'!AE152,'Council Entry'!AE$9),'Council Entry'!AE$8),'Council Entry'!AE152)),IF(AND(ISNUMBER('Council Entry'!AE$8),ISNUMBER('Council Entry'!AE$9)),MAX(MIN('Council Entry'!AE152,'Council Entry'!AE$9),'Council Entry'!AE$8),'Council Entry'!AE152))))-'Council Entry'!AE$5)/('Council Entry'!AE$6-'Council Entry'!AE$5)),1))),"No data"))</f>
        <v/>
      </c>
      <c r="AF152" s="13">
        <f>IF('Council Entry'!AF152="","",IFERROR(MAX(0,MIN(10,ROUND(IF('Council Entry'!AF$7="Decrease Risk",10-10*((IF('Council Entry'!AF$4="Logarithm",LN(0.001+IF(AND(ISNUMBER('Council Entry'!AF$8),ISNUMBER('Council Entry'!AF$9)),MAX(MIN('Council Entry'!AF152,'Council Entry'!AF$9),'Council Entry'!AF$8),'Council Entry'!AF152)),IF('Council Entry'!AF$4="Exponential",EXP(IF(AND(ISNUMBER('Council Entry'!AF$8),ISNUMBER('Council Entry'!AF$9)),MAX(MIN('Council Entry'!AF152,'Council Entry'!AF$9),'Council Entry'!AF$8),'Council Entry'!AF152)),IF(AND(ISNUMBER('Council Entry'!AF$8),ISNUMBER('Council Entry'!AF$9)),MAX(MIN('Council Entry'!AF152,'Council Entry'!AF$9),'Council Entry'!AF$8),'Council Entry'!AF152))))-'Council Entry'!AF$5)/('Council Entry'!AF$6-'Council Entry'!AF$5),10*((IF('Council Entry'!AF$4="Logarithm",LN(0.001+IF(AND(ISNUMBER('Council Entry'!AF$8),ISNUMBER('Council Entry'!AF$9)),MAX(MIN('Council Entry'!AF152,'Council Entry'!AF$9),'Council Entry'!AF$8),'Council Entry'!AF152)),IF('Council Entry'!AF$4="Exponential",EXP(IF(AND(ISNUMBER('Council Entry'!AF$8),ISNUMBER('Council Entry'!AF$9)),MAX(MIN('Council Entry'!AF152,'Council Entry'!AF$9),'Council Entry'!AF$8),'Council Entry'!AF152)),IF(AND(ISNUMBER('Council Entry'!AF$8),ISNUMBER('Council Entry'!AF$9)),MAX(MIN('Council Entry'!AF152,'Council Entry'!AF$9),'Council Entry'!AF$8),'Council Entry'!AF152))))-'Council Entry'!AF$5)/('Council Entry'!AF$6-'Council Entry'!AF$5)),1))),"No data"))</f>
        <v/>
      </c>
      <c r="AG152" s="13">
        <f>IF('Council Entry'!AG152="","",IFERROR(MAX(0,MIN(10,ROUND(IF('Council Entry'!AG$7="Decrease Risk",10-10*((IF('Council Entry'!AG$4="Logarithm",LN(0.001+IF(AND(ISNUMBER('Council Entry'!AG$8),ISNUMBER('Council Entry'!AG$9)),MAX(MIN('Council Entry'!AG152,'Council Entry'!AG$9),'Council Entry'!AG$8),'Council Entry'!AG152)),IF('Council Entry'!AG$4="Exponential",EXP(IF(AND(ISNUMBER('Council Entry'!AG$8),ISNUMBER('Council Entry'!AG$9)),MAX(MIN('Council Entry'!AG152,'Council Entry'!AG$9),'Council Entry'!AG$8),'Council Entry'!AG152)),IF(AND(ISNUMBER('Council Entry'!AG$8),ISNUMBER('Council Entry'!AG$9)),MAX(MIN('Council Entry'!AG152,'Council Entry'!AG$9),'Council Entry'!AG$8),'Council Entry'!AG152))))-'Council Entry'!AG$5)/('Council Entry'!AG$6-'Council Entry'!AG$5),10*((IF('Council Entry'!AG$4="Logarithm",LN(0.001+IF(AND(ISNUMBER('Council Entry'!AG$8),ISNUMBER('Council Entry'!AG$9)),MAX(MIN('Council Entry'!AG152,'Council Entry'!AG$9),'Council Entry'!AG$8),'Council Entry'!AG152)),IF('Council Entry'!AG$4="Exponential",EXP(IF(AND(ISNUMBER('Council Entry'!AG$8),ISNUMBER('Council Entry'!AG$9)),MAX(MIN('Council Entry'!AG152,'Council Entry'!AG$9),'Council Entry'!AG$8),'Council Entry'!AG152)),IF(AND(ISNUMBER('Council Entry'!AG$8),ISNUMBER('Council Entry'!AG$9)),MAX(MIN('Council Entry'!AG152,'Council Entry'!AG$9),'Council Entry'!AG$8),'Council Entry'!AG152))))-'Council Entry'!AG$5)/('Council Entry'!AG$6-'Council Entry'!AG$5)),1))),"No data"))</f>
        <v/>
      </c>
      <c r="AH152" s="13">
        <f>IF('Council Entry'!AH152="","",IFERROR(MAX(0,MIN(10,ROUND(IF('Council Entry'!AH$7="Decrease Risk",10-10*((IF('Council Entry'!AH$4="Logarithm",LN(0.001+IF(AND(ISNUMBER('Council Entry'!AH$8),ISNUMBER('Council Entry'!AH$9)),MAX(MIN('Council Entry'!AH152,'Council Entry'!AH$9),'Council Entry'!AH$8),'Council Entry'!AH152)),IF('Council Entry'!AH$4="Exponential",EXP(IF(AND(ISNUMBER('Council Entry'!AH$8),ISNUMBER('Council Entry'!AH$9)),MAX(MIN('Council Entry'!AH152,'Council Entry'!AH$9),'Council Entry'!AH$8),'Council Entry'!AH152)),IF(AND(ISNUMBER('Council Entry'!AH$8),ISNUMBER('Council Entry'!AH$9)),MAX(MIN('Council Entry'!AH152,'Council Entry'!AH$9),'Council Entry'!AH$8),'Council Entry'!AH152))))-'Council Entry'!AH$5)/('Council Entry'!AH$6-'Council Entry'!AH$5),10*((IF('Council Entry'!AH$4="Logarithm",LN(0.001+IF(AND(ISNUMBER('Council Entry'!AH$8),ISNUMBER('Council Entry'!AH$9)),MAX(MIN('Council Entry'!AH152,'Council Entry'!AH$9),'Council Entry'!AH$8),'Council Entry'!AH152)),IF('Council Entry'!AH$4="Exponential",EXP(IF(AND(ISNUMBER('Council Entry'!AH$8),ISNUMBER('Council Entry'!AH$9)),MAX(MIN('Council Entry'!AH152,'Council Entry'!AH$9),'Council Entry'!AH$8),'Council Entry'!AH152)),IF(AND(ISNUMBER('Council Entry'!AH$8),ISNUMBER('Council Entry'!AH$9)),MAX(MIN('Council Entry'!AH152,'Council Entry'!AH$9),'Council Entry'!AH$8),'Council Entry'!AH152))))-'Council Entry'!AH$5)/('Council Entry'!AH$6-'Council Entry'!AH$5)),1))),"No data"))</f>
        <v/>
      </c>
      <c r="AI152" s="13">
        <f>IF('Council Entry'!AI152="","",IFERROR(MAX(0,MIN(10,ROUND(IF('Council Entry'!AI$7="Decrease Risk",10-10*((IF('Council Entry'!AI$4="Logarithm",LN(0.001+IF(AND(ISNUMBER('Council Entry'!AI$8),ISNUMBER('Council Entry'!AI$9)),MAX(MIN('Council Entry'!AI152,'Council Entry'!AI$9),'Council Entry'!AI$8),'Council Entry'!AI152)),IF('Council Entry'!AI$4="Exponential",EXP(IF(AND(ISNUMBER('Council Entry'!AI$8),ISNUMBER('Council Entry'!AI$9)),MAX(MIN('Council Entry'!AI152,'Council Entry'!AI$9),'Council Entry'!AI$8),'Council Entry'!AI152)),IF(AND(ISNUMBER('Council Entry'!AI$8),ISNUMBER('Council Entry'!AI$9)),MAX(MIN('Council Entry'!AI152,'Council Entry'!AI$9),'Council Entry'!AI$8),'Council Entry'!AI152))))-'Council Entry'!AI$5)/('Council Entry'!AI$6-'Council Entry'!AI$5),10*((IF('Council Entry'!AI$4="Logarithm",LN(0.001+IF(AND(ISNUMBER('Council Entry'!AI$8),ISNUMBER('Council Entry'!AI$9)),MAX(MIN('Council Entry'!AI152,'Council Entry'!AI$9),'Council Entry'!AI$8),'Council Entry'!AI152)),IF('Council Entry'!AI$4="Exponential",EXP(IF(AND(ISNUMBER('Council Entry'!AI$8),ISNUMBER('Council Entry'!AI$9)),MAX(MIN('Council Entry'!AI152,'Council Entry'!AI$9),'Council Entry'!AI$8),'Council Entry'!AI152)),IF(AND(ISNUMBER('Council Entry'!AI$8),ISNUMBER('Council Entry'!AI$9)),MAX(MIN('Council Entry'!AI152,'Council Entry'!AI$9),'Council Entry'!AI$8),'Council Entry'!AI152))))-'Council Entry'!AI$5)/('Council Entry'!AI$6-'Council Entry'!AI$5)),1))),"No data"))</f>
        <v/>
      </c>
      <c r="AJ152" s="13">
        <f>IF('Council Entry'!AJ152="","",IFERROR(MAX(0,MIN(10,ROUND(IF('Council Entry'!AJ$7="Decrease Risk",10-10*((IF('Council Entry'!AJ$4="Logarithm",LN(0.001+IF(AND(ISNUMBER('Council Entry'!AJ$8),ISNUMBER('Council Entry'!AJ$9)),MAX(MIN('Council Entry'!AJ152,'Council Entry'!AJ$9),'Council Entry'!AJ$8),'Council Entry'!AJ152)),IF('Council Entry'!AJ$4="Exponential",EXP(IF(AND(ISNUMBER('Council Entry'!AJ$8),ISNUMBER('Council Entry'!AJ$9)),MAX(MIN('Council Entry'!AJ152,'Council Entry'!AJ$9),'Council Entry'!AJ$8),'Council Entry'!AJ152)),IF(AND(ISNUMBER('Council Entry'!AJ$8),ISNUMBER('Council Entry'!AJ$9)),MAX(MIN('Council Entry'!AJ152,'Council Entry'!AJ$9),'Council Entry'!AJ$8),'Council Entry'!AJ152))))-'Council Entry'!AJ$5)/('Council Entry'!AJ$6-'Council Entry'!AJ$5),10*((IF('Council Entry'!AJ$4="Logarithm",LN(0.001+IF(AND(ISNUMBER('Council Entry'!AJ$8),ISNUMBER('Council Entry'!AJ$9)),MAX(MIN('Council Entry'!AJ152,'Council Entry'!AJ$9),'Council Entry'!AJ$8),'Council Entry'!AJ152)),IF('Council Entry'!AJ$4="Exponential",EXP(IF(AND(ISNUMBER('Council Entry'!AJ$8),ISNUMBER('Council Entry'!AJ$9)),MAX(MIN('Council Entry'!AJ152,'Council Entry'!AJ$9),'Council Entry'!AJ$8),'Council Entry'!AJ152)),IF(AND(ISNUMBER('Council Entry'!AJ$8),ISNUMBER('Council Entry'!AJ$9)),MAX(MIN('Council Entry'!AJ152,'Council Entry'!AJ$9),'Council Entry'!AJ$8),'Council Entry'!AJ152))))-'Council Entry'!AJ$5)/('Council Entry'!AJ$6-'Council Entry'!AJ$5)),1))),"No data"))</f>
        <v/>
      </c>
      <c r="AK152" s="13">
        <f>IF('Council Entry'!AK152="","",IFERROR(MAX(0,MIN(10,ROUND(IF('Council Entry'!AK$7="Decrease Risk",10-10*((IF('Council Entry'!AK$4="Logarithm",LN(0.001+IF(AND(ISNUMBER('Council Entry'!AK$8),ISNUMBER('Council Entry'!AK$9)),MAX(MIN('Council Entry'!AK152,'Council Entry'!AK$9),'Council Entry'!AK$8),'Council Entry'!AK152)),IF('Council Entry'!AK$4="Exponential",EXP(IF(AND(ISNUMBER('Council Entry'!AK$8),ISNUMBER('Council Entry'!AK$9)),MAX(MIN('Council Entry'!AK152,'Council Entry'!AK$9),'Council Entry'!AK$8),'Council Entry'!AK152)),IF(AND(ISNUMBER('Council Entry'!AK$8),ISNUMBER('Council Entry'!AK$9)),MAX(MIN('Council Entry'!AK152,'Council Entry'!AK$9),'Council Entry'!AK$8),'Council Entry'!AK152))))-'Council Entry'!AK$5)/('Council Entry'!AK$6-'Council Entry'!AK$5),10*((IF('Council Entry'!AK$4="Logarithm",LN(0.001+IF(AND(ISNUMBER('Council Entry'!AK$8),ISNUMBER('Council Entry'!AK$9)),MAX(MIN('Council Entry'!AK152,'Council Entry'!AK$9),'Council Entry'!AK$8),'Council Entry'!AK152)),IF('Council Entry'!AK$4="Exponential",EXP(IF(AND(ISNUMBER('Council Entry'!AK$8),ISNUMBER('Council Entry'!AK$9)),MAX(MIN('Council Entry'!AK152,'Council Entry'!AK$9),'Council Entry'!AK$8),'Council Entry'!AK152)),IF(AND(ISNUMBER('Council Entry'!AK$8),ISNUMBER('Council Entry'!AK$9)),MAX(MIN('Council Entry'!AK152,'Council Entry'!AK$9),'Council Entry'!AK$8),'Council Entry'!AK152))))-'Council Entry'!AK$5)/('Council Entry'!AK$6-'Council Entry'!AK$5)),1))),"No data"))</f>
        <v/>
      </c>
      <c r="AL152" s="13">
        <f>IF('Council Entry'!AL152="","",IFERROR(MAX(0,MIN(10,ROUND(IF('Council Entry'!AL$7="Decrease Risk",10-10*((IF('Council Entry'!AL$4="Logarithm",LN(0.001+IF(AND(ISNUMBER('Council Entry'!AL$8),ISNUMBER('Council Entry'!AL$9)),MAX(MIN('Council Entry'!AL152,'Council Entry'!AL$9),'Council Entry'!AL$8),'Council Entry'!AL152)),IF('Council Entry'!AL$4="Exponential",EXP(IF(AND(ISNUMBER('Council Entry'!AL$8),ISNUMBER('Council Entry'!AL$9)),MAX(MIN('Council Entry'!AL152,'Council Entry'!AL$9),'Council Entry'!AL$8),'Council Entry'!AL152)),IF(AND(ISNUMBER('Council Entry'!AL$8),ISNUMBER('Council Entry'!AL$9)),MAX(MIN('Council Entry'!AL152,'Council Entry'!AL$9),'Council Entry'!AL$8),'Council Entry'!AL152))))-'Council Entry'!AL$5)/('Council Entry'!AL$6-'Council Entry'!AL$5),10*((IF('Council Entry'!AL$4="Logarithm",LN(0.001+IF(AND(ISNUMBER('Council Entry'!AL$8),ISNUMBER('Council Entry'!AL$9)),MAX(MIN('Council Entry'!AL152,'Council Entry'!AL$9),'Council Entry'!AL$8),'Council Entry'!AL152)),IF('Council Entry'!AL$4="Exponential",EXP(IF(AND(ISNUMBER('Council Entry'!AL$8),ISNUMBER('Council Entry'!AL$9)),MAX(MIN('Council Entry'!AL152,'Council Entry'!AL$9),'Council Entry'!AL$8),'Council Entry'!AL152)),IF(AND(ISNUMBER('Council Entry'!AL$8),ISNUMBER('Council Entry'!AL$9)),MAX(MIN('Council Entry'!AL152,'Council Entry'!AL$9),'Council Entry'!AL$8),'Council Entry'!AL152))))-'Council Entry'!AL$5)/('Council Entry'!AL$6-'Council Entry'!AL$5)),1))),"No data"))</f>
        <v/>
      </c>
      <c r="AM152" s="13">
        <f>IF('Council Entry'!AM152="","",IFERROR(MAX(0,MIN(10,ROUND(IF('Council Entry'!AM$7="Decrease Risk",10-10*((IF('Council Entry'!AM$4="Logarithm",LN(0.001+IF(AND(ISNUMBER('Council Entry'!AM$8),ISNUMBER('Council Entry'!AM$9)),MAX(MIN('Council Entry'!AM152,'Council Entry'!AM$9),'Council Entry'!AM$8),'Council Entry'!AM152)),IF('Council Entry'!AM$4="Exponential",EXP(IF(AND(ISNUMBER('Council Entry'!AM$8),ISNUMBER('Council Entry'!AM$9)),MAX(MIN('Council Entry'!AM152,'Council Entry'!AM$9),'Council Entry'!AM$8),'Council Entry'!AM152)),IF(AND(ISNUMBER('Council Entry'!AM$8),ISNUMBER('Council Entry'!AM$9)),MAX(MIN('Council Entry'!AM152,'Council Entry'!AM$9),'Council Entry'!AM$8),'Council Entry'!AM152))))-'Council Entry'!AM$5)/('Council Entry'!AM$6-'Council Entry'!AM$5),10*((IF('Council Entry'!AM$4="Logarithm",LN(0.001+IF(AND(ISNUMBER('Council Entry'!AM$8),ISNUMBER('Council Entry'!AM$9)),MAX(MIN('Council Entry'!AM152,'Council Entry'!AM$9),'Council Entry'!AM$8),'Council Entry'!AM152)),IF('Council Entry'!AM$4="Exponential",EXP(IF(AND(ISNUMBER('Council Entry'!AM$8),ISNUMBER('Council Entry'!AM$9)),MAX(MIN('Council Entry'!AM152,'Council Entry'!AM$9),'Council Entry'!AM$8),'Council Entry'!AM152)),IF(AND(ISNUMBER('Council Entry'!AM$8),ISNUMBER('Council Entry'!AM$9)),MAX(MIN('Council Entry'!AM152,'Council Entry'!AM$9),'Council Entry'!AM$8),'Council Entry'!AM152))))-'Council Entry'!AM$5)/('Council Entry'!AM$6-'Council Entry'!AM$5)),1))),"No data"))</f>
        <v/>
      </c>
      <c r="AN152" s="13">
        <f>IF('Council Entry'!AN152="","",IFERROR(MAX(0,MIN(10,ROUND(IF('Council Entry'!AN$7="Decrease Risk",10-10*((IF('Council Entry'!AN$4="Logarithm",LN(0.001+IF(AND(ISNUMBER('Council Entry'!AN$8),ISNUMBER('Council Entry'!AN$9)),MAX(MIN('Council Entry'!AN152,'Council Entry'!AN$9),'Council Entry'!AN$8),'Council Entry'!AN152)),IF('Council Entry'!AN$4="Exponential",EXP(IF(AND(ISNUMBER('Council Entry'!AN$8),ISNUMBER('Council Entry'!AN$9)),MAX(MIN('Council Entry'!AN152,'Council Entry'!AN$9),'Council Entry'!AN$8),'Council Entry'!AN152)),IF(AND(ISNUMBER('Council Entry'!AN$8),ISNUMBER('Council Entry'!AN$9)),MAX(MIN('Council Entry'!AN152,'Council Entry'!AN$9),'Council Entry'!AN$8),'Council Entry'!AN152))))-'Council Entry'!AN$5)/('Council Entry'!AN$6-'Council Entry'!AN$5),10*((IF('Council Entry'!AN$4="Logarithm",LN(0.001+IF(AND(ISNUMBER('Council Entry'!AN$8),ISNUMBER('Council Entry'!AN$9)),MAX(MIN('Council Entry'!AN152,'Council Entry'!AN$9),'Council Entry'!AN$8),'Council Entry'!AN152)),IF('Council Entry'!AN$4="Exponential",EXP(IF(AND(ISNUMBER('Council Entry'!AN$8),ISNUMBER('Council Entry'!AN$9)),MAX(MIN('Council Entry'!AN152,'Council Entry'!AN$9),'Council Entry'!AN$8),'Council Entry'!AN152)),IF(AND(ISNUMBER('Council Entry'!AN$8),ISNUMBER('Council Entry'!AN$9)),MAX(MIN('Council Entry'!AN152,'Council Entry'!AN$9),'Council Entry'!AN$8),'Council Entry'!AN152))))-'Council Entry'!AN$5)/('Council Entry'!AN$6-'Council Entry'!AN$5)),1))),"No data"))</f>
        <v/>
      </c>
      <c r="AO152" s="13">
        <f>IF('Council Entry'!AO152="","",IFERROR(MAX(0,MIN(10,ROUND(IF('Council Entry'!AO$7="Decrease Risk",10-10*((IF('Council Entry'!AO$4="Logarithm",LN(0.001+IF(AND(ISNUMBER('Council Entry'!AO$8),ISNUMBER('Council Entry'!AO$9)),MAX(MIN('Council Entry'!AO152,'Council Entry'!AO$9),'Council Entry'!AO$8),'Council Entry'!AO152)),IF('Council Entry'!AO$4="Exponential",EXP(IF(AND(ISNUMBER('Council Entry'!AO$8),ISNUMBER('Council Entry'!AO$9)),MAX(MIN('Council Entry'!AO152,'Council Entry'!AO$9),'Council Entry'!AO$8),'Council Entry'!AO152)),IF(AND(ISNUMBER('Council Entry'!AO$8),ISNUMBER('Council Entry'!AO$9)),MAX(MIN('Council Entry'!AO152,'Council Entry'!AO$9),'Council Entry'!AO$8),'Council Entry'!AO152))))-'Council Entry'!AO$5)/('Council Entry'!AO$6-'Council Entry'!AO$5),10*((IF('Council Entry'!AO$4="Logarithm",LN(0.001+IF(AND(ISNUMBER('Council Entry'!AO$8),ISNUMBER('Council Entry'!AO$9)),MAX(MIN('Council Entry'!AO152,'Council Entry'!AO$9),'Council Entry'!AO$8),'Council Entry'!AO152)),IF('Council Entry'!AO$4="Exponential",EXP(IF(AND(ISNUMBER('Council Entry'!AO$8),ISNUMBER('Council Entry'!AO$9)),MAX(MIN('Council Entry'!AO152,'Council Entry'!AO$9),'Council Entry'!AO$8),'Council Entry'!AO152)),IF(AND(ISNUMBER('Council Entry'!AO$8),ISNUMBER('Council Entry'!AO$9)),MAX(MIN('Council Entry'!AO152,'Council Entry'!AO$9),'Council Entry'!AO$8),'Council Entry'!AO152))))-'Council Entry'!AO$5)/('Council Entry'!AO$6-'Council Entry'!AO$5)),1))),"No data"))</f>
        <v/>
      </c>
      <c r="AP152" s="13">
        <f>IF('Council Entry'!AP152="","",IFERROR(MAX(0,MIN(10,ROUND(IF('Council Entry'!AP$7="Decrease Risk",10-10*((IF('Council Entry'!AP$4="Logarithm",LN(0.001+IF(AND(ISNUMBER('Council Entry'!AP$8),ISNUMBER('Council Entry'!AP$9)),MAX(MIN('Council Entry'!AP152,'Council Entry'!AP$9),'Council Entry'!AP$8),'Council Entry'!AP152)),IF('Council Entry'!AP$4="Exponential",EXP(IF(AND(ISNUMBER('Council Entry'!AP$8),ISNUMBER('Council Entry'!AP$9)),MAX(MIN('Council Entry'!AP152,'Council Entry'!AP$9),'Council Entry'!AP$8),'Council Entry'!AP152)),IF(AND(ISNUMBER('Council Entry'!AP$8),ISNUMBER('Council Entry'!AP$9)),MAX(MIN('Council Entry'!AP152,'Council Entry'!AP$9),'Council Entry'!AP$8),'Council Entry'!AP152))))-'Council Entry'!AP$5)/('Council Entry'!AP$6-'Council Entry'!AP$5),10*((IF('Council Entry'!AP$4="Logarithm",LN(0.001+IF(AND(ISNUMBER('Council Entry'!AP$8),ISNUMBER('Council Entry'!AP$9)),MAX(MIN('Council Entry'!AP152,'Council Entry'!AP$9),'Council Entry'!AP$8),'Council Entry'!AP152)),IF('Council Entry'!AP$4="Exponential",EXP(IF(AND(ISNUMBER('Council Entry'!AP$8),ISNUMBER('Council Entry'!AP$9)),MAX(MIN('Council Entry'!AP152,'Council Entry'!AP$9),'Council Entry'!AP$8),'Council Entry'!AP152)),IF(AND(ISNUMBER('Council Entry'!AP$8),ISNUMBER('Council Entry'!AP$9)),MAX(MIN('Council Entry'!AP152,'Council Entry'!AP$9),'Council Entry'!AP$8),'Council Entry'!AP152))))-'Council Entry'!AP$5)/('Council Entry'!AP$6-'Council Entry'!AP$5)),1))),"No data"))</f>
        <v/>
      </c>
      <c r="AQ152" s="13">
        <f>IF('Council Entry'!AQ152="","",IFERROR(MAX(0,MIN(10,ROUND(IF('Council Entry'!AQ$7="Decrease Risk",10-10*((IF('Council Entry'!AQ$4="Logarithm",LN(0.001+IF(AND(ISNUMBER('Council Entry'!AQ$8),ISNUMBER('Council Entry'!AQ$9)),MAX(MIN('Council Entry'!AQ152,'Council Entry'!AQ$9),'Council Entry'!AQ$8),'Council Entry'!AQ152)),IF('Council Entry'!AQ$4="Exponential",EXP(IF(AND(ISNUMBER('Council Entry'!AQ$8),ISNUMBER('Council Entry'!AQ$9)),MAX(MIN('Council Entry'!AQ152,'Council Entry'!AQ$9),'Council Entry'!AQ$8),'Council Entry'!AQ152)),IF(AND(ISNUMBER('Council Entry'!AQ$8),ISNUMBER('Council Entry'!AQ$9)),MAX(MIN('Council Entry'!AQ152,'Council Entry'!AQ$9),'Council Entry'!AQ$8),'Council Entry'!AQ152))))-'Council Entry'!AQ$5)/('Council Entry'!AQ$6-'Council Entry'!AQ$5),10*((IF('Council Entry'!AQ$4="Logarithm",LN(0.001+IF(AND(ISNUMBER('Council Entry'!AQ$8),ISNUMBER('Council Entry'!AQ$9)),MAX(MIN('Council Entry'!AQ152,'Council Entry'!AQ$9),'Council Entry'!AQ$8),'Council Entry'!AQ152)),IF('Council Entry'!AQ$4="Exponential",EXP(IF(AND(ISNUMBER('Council Entry'!AQ$8),ISNUMBER('Council Entry'!AQ$9)),MAX(MIN('Council Entry'!AQ152,'Council Entry'!AQ$9),'Council Entry'!AQ$8),'Council Entry'!AQ152)),IF(AND(ISNUMBER('Council Entry'!AQ$8),ISNUMBER('Council Entry'!AQ$9)),MAX(MIN('Council Entry'!AQ152,'Council Entry'!AQ$9),'Council Entry'!AQ$8),'Council Entry'!AQ152))))-'Council Entry'!AQ$5)/('Council Entry'!AQ$6-'Council Entry'!AQ$5)),1))),"No data"))</f>
        <v/>
      </c>
      <c r="AR152" s="13">
        <f>IF('Council Entry'!AR152="","",IFERROR(MAX(0,MIN(10,ROUND(IF('Council Entry'!AR$7="Decrease Risk",10-10*((IF('Council Entry'!AR$4="Logarithm",LN(0.001+IF(AND(ISNUMBER('Council Entry'!AR$8),ISNUMBER('Council Entry'!AR$9)),MAX(MIN('Council Entry'!AR152,'Council Entry'!AR$9),'Council Entry'!AR$8),'Council Entry'!AR152)),IF('Council Entry'!AR$4="Exponential",EXP(IF(AND(ISNUMBER('Council Entry'!AR$8),ISNUMBER('Council Entry'!AR$9)),MAX(MIN('Council Entry'!AR152,'Council Entry'!AR$9),'Council Entry'!AR$8),'Council Entry'!AR152)),IF(AND(ISNUMBER('Council Entry'!AR$8),ISNUMBER('Council Entry'!AR$9)),MAX(MIN('Council Entry'!AR152,'Council Entry'!AR$9),'Council Entry'!AR$8),'Council Entry'!AR152))))-'Council Entry'!AR$5)/('Council Entry'!AR$6-'Council Entry'!AR$5),10*((IF('Council Entry'!AR$4="Logarithm",LN(0.001+IF(AND(ISNUMBER('Council Entry'!AR$8),ISNUMBER('Council Entry'!AR$9)),MAX(MIN('Council Entry'!AR152,'Council Entry'!AR$9),'Council Entry'!AR$8),'Council Entry'!AR152)),IF('Council Entry'!AR$4="Exponential",EXP(IF(AND(ISNUMBER('Council Entry'!AR$8),ISNUMBER('Council Entry'!AR$9)),MAX(MIN('Council Entry'!AR152,'Council Entry'!AR$9),'Council Entry'!AR$8),'Council Entry'!AR152)),IF(AND(ISNUMBER('Council Entry'!AR$8),ISNUMBER('Council Entry'!AR$9)),MAX(MIN('Council Entry'!AR152,'Council Entry'!AR$9),'Council Entry'!AR$8),'Council Entry'!AR152))))-'Council Entry'!AR$5)/('Council Entry'!AR$6-'Council Entry'!AR$5)),1))),"No data"))</f>
        <v/>
      </c>
      <c r="AS152" s="13">
        <f>IF('Council Entry'!AS152="","",IFERROR(MAX(0,MIN(10,ROUND(IF('Council Entry'!AS$7="Decrease Risk",10-10*((IF('Council Entry'!AS$4="Logarithm",LN(0.001+IF(AND(ISNUMBER('Council Entry'!AS$8),ISNUMBER('Council Entry'!AS$9)),MAX(MIN('Council Entry'!AS152,'Council Entry'!AS$9),'Council Entry'!AS$8),'Council Entry'!AS152)),IF('Council Entry'!AS$4="Exponential",EXP(IF(AND(ISNUMBER('Council Entry'!AS$8),ISNUMBER('Council Entry'!AS$9)),MAX(MIN('Council Entry'!AS152,'Council Entry'!AS$9),'Council Entry'!AS$8),'Council Entry'!AS152)),IF(AND(ISNUMBER('Council Entry'!AS$8),ISNUMBER('Council Entry'!AS$9)),MAX(MIN('Council Entry'!AS152,'Council Entry'!AS$9),'Council Entry'!AS$8),'Council Entry'!AS152))))-'Council Entry'!AS$5)/('Council Entry'!AS$6-'Council Entry'!AS$5),10*((IF('Council Entry'!AS$4="Logarithm",LN(0.001+IF(AND(ISNUMBER('Council Entry'!AS$8),ISNUMBER('Council Entry'!AS$9)),MAX(MIN('Council Entry'!AS152,'Council Entry'!AS$9),'Council Entry'!AS$8),'Council Entry'!AS152)),IF('Council Entry'!AS$4="Exponential",EXP(IF(AND(ISNUMBER('Council Entry'!AS$8),ISNUMBER('Council Entry'!AS$9)),MAX(MIN('Council Entry'!AS152,'Council Entry'!AS$9),'Council Entry'!AS$8),'Council Entry'!AS152)),IF(AND(ISNUMBER('Council Entry'!AS$8),ISNUMBER('Council Entry'!AS$9)),MAX(MIN('Council Entry'!AS152,'Council Entry'!AS$9),'Council Entry'!AS$8),'Council Entry'!AS152))))-'Council Entry'!AS$5)/('Council Entry'!AS$6-'Council Entry'!AS$5)),1))),"No data"))</f>
        <v/>
      </c>
      <c r="AT152" s="13">
        <f>IF('Council Entry'!AT152="","",IFERROR(MAX(0,MIN(10,ROUND(IF('Council Entry'!AT$7="Decrease Risk",10-10*((IF('Council Entry'!AT$4="Logarithm",LN(0.001+IF(AND(ISNUMBER('Council Entry'!AT$8),ISNUMBER('Council Entry'!AT$9)),MAX(MIN('Council Entry'!AT152,'Council Entry'!AT$9),'Council Entry'!AT$8),'Council Entry'!AT152)),IF('Council Entry'!AT$4="Exponential",EXP(IF(AND(ISNUMBER('Council Entry'!AT$8),ISNUMBER('Council Entry'!AT$9)),MAX(MIN('Council Entry'!AT152,'Council Entry'!AT$9),'Council Entry'!AT$8),'Council Entry'!AT152)),IF(AND(ISNUMBER('Council Entry'!AT$8),ISNUMBER('Council Entry'!AT$9)),MAX(MIN('Council Entry'!AT152,'Council Entry'!AT$9),'Council Entry'!AT$8),'Council Entry'!AT152))))-'Council Entry'!AT$5)/('Council Entry'!AT$6-'Council Entry'!AT$5),10*((IF('Council Entry'!AT$4="Logarithm",LN(0.001+IF(AND(ISNUMBER('Council Entry'!AT$8),ISNUMBER('Council Entry'!AT$9)),MAX(MIN('Council Entry'!AT152,'Council Entry'!AT$9),'Council Entry'!AT$8),'Council Entry'!AT152)),IF('Council Entry'!AT$4="Exponential",EXP(IF(AND(ISNUMBER('Council Entry'!AT$8),ISNUMBER('Council Entry'!AT$9)),MAX(MIN('Council Entry'!AT152,'Council Entry'!AT$9),'Council Entry'!AT$8),'Council Entry'!AT152)),IF(AND(ISNUMBER('Council Entry'!AT$8),ISNUMBER('Council Entry'!AT$9)),MAX(MIN('Council Entry'!AT152,'Council Entry'!AT$9),'Council Entry'!AT$8),'Council Entry'!AT152))))-'Council Entry'!AT$5)/('Council Entry'!AT$6-'Council Entry'!AT$5)),1))),"No data"))</f>
        <v/>
      </c>
      <c r="AU152" s="13">
        <f>IF('Council Entry'!AU152="","",IFERROR(MAX(0,MIN(10,ROUND(IF('Council Entry'!AU$7="Decrease Risk",10-10*((IF('Council Entry'!AU$4="Logarithm",LN(0.001+IF(AND(ISNUMBER('Council Entry'!AU$8),ISNUMBER('Council Entry'!AU$9)),MAX(MIN('Council Entry'!AU152,'Council Entry'!AU$9),'Council Entry'!AU$8),'Council Entry'!AU152)),IF('Council Entry'!AU$4="Exponential",EXP(IF(AND(ISNUMBER('Council Entry'!AU$8),ISNUMBER('Council Entry'!AU$9)),MAX(MIN('Council Entry'!AU152,'Council Entry'!AU$9),'Council Entry'!AU$8),'Council Entry'!AU152)),IF(AND(ISNUMBER('Council Entry'!AU$8),ISNUMBER('Council Entry'!AU$9)),MAX(MIN('Council Entry'!AU152,'Council Entry'!AU$9),'Council Entry'!AU$8),'Council Entry'!AU152))))-'Council Entry'!AU$5)/('Council Entry'!AU$6-'Council Entry'!AU$5),10*((IF('Council Entry'!AU$4="Logarithm",LN(0.001+IF(AND(ISNUMBER('Council Entry'!AU$8),ISNUMBER('Council Entry'!AU$9)),MAX(MIN('Council Entry'!AU152,'Council Entry'!AU$9),'Council Entry'!AU$8),'Council Entry'!AU152)),IF('Council Entry'!AU$4="Exponential",EXP(IF(AND(ISNUMBER('Council Entry'!AU$8),ISNUMBER('Council Entry'!AU$9)),MAX(MIN('Council Entry'!AU152,'Council Entry'!AU$9),'Council Entry'!AU$8),'Council Entry'!AU152)),IF(AND(ISNUMBER('Council Entry'!AU$8),ISNUMBER('Council Entry'!AU$9)),MAX(MIN('Council Entry'!AU152,'Council Entry'!AU$9),'Council Entry'!AU$8),'Council Entry'!AU152))))-'Council Entry'!AU$5)/('Council Entry'!AU$6-'Council Entry'!AU$5)),1))),"No data"))</f>
        <v/>
      </c>
      <c r="AV152" s="13">
        <f>IF('Council Entry'!AV152="","",IFERROR(MAX(0,MIN(10,ROUND(IF('Council Entry'!AV$7="Decrease Risk",10-10*((IF('Council Entry'!AV$4="Logarithm",LN(0.001+IF(AND(ISNUMBER('Council Entry'!AV$8),ISNUMBER('Council Entry'!AV$9)),MAX(MIN('Council Entry'!AV152,'Council Entry'!AV$9),'Council Entry'!AV$8),'Council Entry'!AV152)),IF('Council Entry'!AV$4="Exponential",EXP(IF(AND(ISNUMBER('Council Entry'!AV$8),ISNUMBER('Council Entry'!AV$9)),MAX(MIN('Council Entry'!AV152,'Council Entry'!AV$9),'Council Entry'!AV$8),'Council Entry'!AV152)),IF(AND(ISNUMBER('Council Entry'!AV$8),ISNUMBER('Council Entry'!AV$9)),MAX(MIN('Council Entry'!AV152,'Council Entry'!AV$9),'Council Entry'!AV$8),'Council Entry'!AV152))))-'Council Entry'!AV$5)/('Council Entry'!AV$6-'Council Entry'!AV$5),10*((IF('Council Entry'!AV$4="Logarithm",LN(0.001+IF(AND(ISNUMBER('Council Entry'!AV$8),ISNUMBER('Council Entry'!AV$9)),MAX(MIN('Council Entry'!AV152,'Council Entry'!AV$9),'Council Entry'!AV$8),'Council Entry'!AV152)),IF('Council Entry'!AV$4="Exponential",EXP(IF(AND(ISNUMBER('Council Entry'!AV$8),ISNUMBER('Council Entry'!AV$9)),MAX(MIN('Council Entry'!AV152,'Council Entry'!AV$9),'Council Entry'!AV$8),'Council Entry'!AV152)),IF(AND(ISNUMBER('Council Entry'!AV$8),ISNUMBER('Council Entry'!AV$9)),MAX(MIN('Council Entry'!AV152,'Council Entry'!AV$9),'Council Entry'!AV$8),'Council Entry'!AV152))))-'Council Entry'!AV$5)/('Council Entry'!AV$6-'Council Entry'!AV$5)),1))),"No data"))</f>
        <v/>
      </c>
      <c r="AW152" s="13">
        <f>IF('Council Entry'!AW152="","",IFERROR(MAX(0,MIN(10,ROUND(IF('Council Entry'!AW$7="Decrease Risk",10-10*((IF('Council Entry'!AW$4="Logarithm",LN(0.001+IF(AND(ISNUMBER('Council Entry'!AW$8),ISNUMBER('Council Entry'!AW$9)),MAX(MIN('Council Entry'!AW152,'Council Entry'!AW$9),'Council Entry'!AW$8),'Council Entry'!AW152)),IF('Council Entry'!AW$4="Exponential",EXP(IF(AND(ISNUMBER('Council Entry'!AW$8),ISNUMBER('Council Entry'!AW$9)),MAX(MIN('Council Entry'!AW152,'Council Entry'!AW$9),'Council Entry'!AW$8),'Council Entry'!AW152)),IF(AND(ISNUMBER('Council Entry'!AW$8),ISNUMBER('Council Entry'!AW$9)),MAX(MIN('Council Entry'!AW152,'Council Entry'!AW$9),'Council Entry'!AW$8),'Council Entry'!AW152))))-'Council Entry'!AW$5)/('Council Entry'!AW$6-'Council Entry'!AW$5),10*((IF('Council Entry'!AW$4="Logarithm",LN(0.001+IF(AND(ISNUMBER('Council Entry'!AW$8),ISNUMBER('Council Entry'!AW$9)),MAX(MIN('Council Entry'!AW152,'Council Entry'!AW$9),'Council Entry'!AW$8),'Council Entry'!AW152)),IF('Council Entry'!AW$4="Exponential",EXP(IF(AND(ISNUMBER('Council Entry'!AW$8),ISNUMBER('Council Entry'!AW$9)),MAX(MIN('Council Entry'!AW152,'Council Entry'!AW$9),'Council Entry'!AW$8),'Council Entry'!AW152)),IF(AND(ISNUMBER('Council Entry'!AW$8),ISNUMBER('Council Entry'!AW$9)),MAX(MIN('Council Entry'!AW152,'Council Entry'!AW$9),'Council Entry'!AW$8),'Council Entry'!AW152))))-'Council Entry'!AW$5)/('Council Entry'!AW$6-'Council Entry'!AW$5)),1))),"No data"))</f>
        <v/>
      </c>
      <c r="AX152" s="13">
        <f>IF('Council Entry'!AX152="","",IFERROR(MAX(0,MIN(10,ROUND(IF('Council Entry'!AX$7="Decrease Risk",10-10*((IF('Council Entry'!AX$4="Logarithm",LN(0.001+IF(AND(ISNUMBER('Council Entry'!AX$8),ISNUMBER('Council Entry'!AX$9)),MAX(MIN('Council Entry'!AX152,'Council Entry'!AX$9),'Council Entry'!AX$8),'Council Entry'!AX152)),IF('Council Entry'!AX$4="Exponential",EXP(IF(AND(ISNUMBER('Council Entry'!AX$8),ISNUMBER('Council Entry'!AX$9)),MAX(MIN('Council Entry'!AX152,'Council Entry'!AX$9),'Council Entry'!AX$8),'Council Entry'!AX152)),IF(AND(ISNUMBER('Council Entry'!AX$8),ISNUMBER('Council Entry'!AX$9)),MAX(MIN('Council Entry'!AX152,'Council Entry'!AX$9),'Council Entry'!AX$8),'Council Entry'!AX152))))-'Council Entry'!AX$5)/('Council Entry'!AX$6-'Council Entry'!AX$5),10*((IF('Council Entry'!AX$4="Logarithm",LN(0.001+IF(AND(ISNUMBER('Council Entry'!AX$8),ISNUMBER('Council Entry'!AX$9)),MAX(MIN('Council Entry'!AX152,'Council Entry'!AX$9),'Council Entry'!AX$8),'Council Entry'!AX152)),IF('Council Entry'!AX$4="Exponential",EXP(IF(AND(ISNUMBER('Council Entry'!AX$8),ISNUMBER('Council Entry'!AX$9)),MAX(MIN('Council Entry'!AX152,'Council Entry'!AX$9),'Council Entry'!AX$8),'Council Entry'!AX152)),IF(AND(ISNUMBER('Council Entry'!AX$8),ISNUMBER('Council Entry'!AX$9)),MAX(MIN('Council Entry'!AX152,'Council Entry'!AX$9),'Council Entry'!AX$8),'Council Entry'!AX152))))-'Council Entry'!AX$5)/('Council Entry'!AX$6-'Council Entry'!AX$5)),1))),"No data"))</f>
        <v/>
      </c>
      <c r="AY152" s="13">
        <f>IF('Council Entry'!AY152="","",IFERROR(MAX(0,MIN(10,ROUND(IF('Council Entry'!AY$7="Decrease Risk",10-10*((IF('Council Entry'!AY$4="Logarithm",LN(0.001+IF(AND(ISNUMBER('Council Entry'!AY$8),ISNUMBER('Council Entry'!AY$9)),MAX(MIN('Council Entry'!AY152,'Council Entry'!AY$9),'Council Entry'!AY$8),'Council Entry'!AY152)),IF('Council Entry'!AY$4="Exponential",EXP(IF(AND(ISNUMBER('Council Entry'!AY$8),ISNUMBER('Council Entry'!AY$9)),MAX(MIN('Council Entry'!AY152,'Council Entry'!AY$9),'Council Entry'!AY$8),'Council Entry'!AY152)),IF(AND(ISNUMBER('Council Entry'!AY$8),ISNUMBER('Council Entry'!AY$9)),MAX(MIN('Council Entry'!AY152,'Council Entry'!AY$9),'Council Entry'!AY$8),'Council Entry'!AY152))))-'Council Entry'!AY$5)/('Council Entry'!AY$6-'Council Entry'!AY$5),10*((IF('Council Entry'!AY$4="Logarithm",LN(0.001+IF(AND(ISNUMBER('Council Entry'!AY$8),ISNUMBER('Council Entry'!AY$9)),MAX(MIN('Council Entry'!AY152,'Council Entry'!AY$9),'Council Entry'!AY$8),'Council Entry'!AY152)),IF('Council Entry'!AY$4="Exponential",EXP(IF(AND(ISNUMBER('Council Entry'!AY$8),ISNUMBER('Council Entry'!AY$9)),MAX(MIN('Council Entry'!AY152,'Council Entry'!AY$9),'Council Entry'!AY$8),'Council Entry'!AY152)),IF(AND(ISNUMBER('Council Entry'!AY$8),ISNUMBER('Council Entry'!AY$9)),MAX(MIN('Council Entry'!AY152,'Council Entry'!AY$9),'Council Entry'!AY$8),'Council Entry'!AY152))))-'Council Entry'!AY$5)/('Council Entry'!AY$6-'Council Entry'!AY$5)),1))),"No data"))</f>
        <v/>
      </c>
      <c r="AZ152" s="13">
        <f>IF('Council Entry'!AZ152="","",IFERROR(MAX(0,MIN(10,ROUND(IF('Council Entry'!AZ$7="Decrease Risk",10-10*((IF('Council Entry'!AZ$4="Logarithm",LN(0.001+IF(AND(ISNUMBER('Council Entry'!AZ$8),ISNUMBER('Council Entry'!AZ$9)),MAX(MIN('Council Entry'!AZ152,'Council Entry'!AZ$9),'Council Entry'!AZ$8),'Council Entry'!AZ152)),IF('Council Entry'!AZ$4="Exponential",EXP(IF(AND(ISNUMBER('Council Entry'!AZ$8),ISNUMBER('Council Entry'!AZ$9)),MAX(MIN('Council Entry'!AZ152,'Council Entry'!AZ$9),'Council Entry'!AZ$8),'Council Entry'!AZ152)),IF(AND(ISNUMBER('Council Entry'!AZ$8),ISNUMBER('Council Entry'!AZ$9)),MAX(MIN('Council Entry'!AZ152,'Council Entry'!AZ$9),'Council Entry'!AZ$8),'Council Entry'!AZ152))))-'Council Entry'!AZ$5)/('Council Entry'!AZ$6-'Council Entry'!AZ$5),10*((IF('Council Entry'!AZ$4="Logarithm",LN(0.001+IF(AND(ISNUMBER('Council Entry'!AZ$8),ISNUMBER('Council Entry'!AZ$9)),MAX(MIN('Council Entry'!AZ152,'Council Entry'!AZ$9),'Council Entry'!AZ$8),'Council Entry'!AZ152)),IF('Council Entry'!AZ$4="Exponential",EXP(IF(AND(ISNUMBER('Council Entry'!AZ$8),ISNUMBER('Council Entry'!AZ$9)),MAX(MIN('Council Entry'!AZ152,'Council Entry'!AZ$9),'Council Entry'!AZ$8),'Council Entry'!AZ152)),IF(AND(ISNUMBER('Council Entry'!AZ$8),ISNUMBER('Council Entry'!AZ$9)),MAX(MIN('Council Entry'!AZ152,'Council Entry'!AZ$9),'Council Entry'!AZ$8),'Council Entry'!AZ152))))-'Council Entry'!AZ$5)/('Council Entry'!AZ$6-'Council Entry'!AZ$5)),1))),"No data"))</f>
        <v/>
      </c>
      <c r="BA152" s="13">
        <f>IF('Council Entry'!BA152="","",IFERROR(MAX(0,MIN(10,ROUND(IF('Council Entry'!BA$7="Decrease Risk",10-10*((IF('Council Entry'!BA$4="Logarithm",LN(0.001+IF(AND(ISNUMBER('Council Entry'!BA$8),ISNUMBER('Council Entry'!BA$9)),MAX(MIN('Council Entry'!BA152,'Council Entry'!BA$9),'Council Entry'!BA$8),'Council Entry'!BA152)),IF('Council Entry'!BA$4="Exponential",EXP(IF(AND(ISNUMBER('Council Entry'!BA$8),ISNUMBER('Council Entry'!BA$9)),MAX(MIN('Council Entry'!BA152,'Council Entry'!BA$9),'Council Entry'!BA$8),'Council Entry'!BA152)),IF(AND(ISNUMBER('Council Entry'!BA$8),ISNUMBER('Council Entry'!BA$9)),MAX(MIN('Council Entry'!BA152,'Council Entry'!BA$9),'Council Entry'!BA$8),'Council Entry'!BA152))))-'Council Entry'!BA$5)/('Council Entry'!BA$6-'Council Entry'!BA$5),10*((IF('Council Entry'!BA$4="Logarithm",LN(0.001+IF(AND(ISNUMBER('Council Entry'!BA$8),ISNUMBER('Council Entry'!BA$9)),MAX(MIN('Council Entry'!BA152,'Council Entry'!BA$9),'Council Entry'!BA$8),'Council Entry'!BA152)),IF('Council Entry'!BA$4="Exponential",EXP(IF(AND(ISNUMBER('Council Entry'!BA$8),ISNUMBER('Council Entry'!BA$9)),MAX(MIN('Council Entry'!BA152,'Council Entry'!BA$9),'Council Entry'!BA$8),'Council Entry'!BA152)),IF(AND(ISNUMBER('Council Entry'!BA$8),ISNUMBER('Council Entry'!BA$9)),MAX(MIN('Council Entry'!BA152,'Council Entry'!BA$9),'Council Entry'!BA$8),'Council Entry'!BA152))))-'Council Entry'!BA$5)/('Council Entry'!BA$6-'Council Entry'!BA$5)),1))),"No data"))</f>
        <v/>
      </c>
      <c r="BB152" s="13">
        <f>IF('Council Entry'!BB152="","",IFERROR(MAX(0,MIN(10,ROUND(IF('Council Entry'!BB$7="Decrease Risk",10-10*((IF('Council Entry'!BB$4="Logarithm",LN(0.001+IF(AND(ISNUMBER('Council Entry'!BB$8),ISNUMBER('Council Entry'!BB$9)),MAX(MIN('Council Entry'!BB152,'Council Entry'!BB$9),'Council Entry'!BB$8),'Council Entry'!BB152)),IF('Council Entry'!BB$4="Exponential",EXP(IF(AND(ISNUMBER('Council Entry'!BB$8),ISNUMBER('Council Entry'!BB$9)),MAX(MIN('Council Entry'!BB152,'Council Entry'!BB$9),'Council Entry'!BB$8),'Council Entry'!BB152)),IF(AND(ISNUMBER('Council Entry'!BB$8),ISNUMBER('Council Entry'!BB$9)),MAX(MIN('Council Entry'!BB152,'Council Entry'!BB$9),'Council Entry'!BB$8),'Council Entry'!BB152))))-'Council Entry'!BB$5)/('Council Entry'!BB$6-'Council Entry'!BB$5),10*((IF('Council Entry'!BB$4="Logarithm",LN(0.001+IF(AND(ISNUMBER('Council Entry'!BB$8),ISNUMBER('Council Entry'!BB$9)),MAX(MIN('Council Entry'!BB152,'Council Entry'!BB$9),'Council Entry'!BB$8),'Council Entry'!BB152)),IF('Council Entry'!BB$4="Exponential",EXP(IF(AND(ISNUMBER('Council Entry'!BB$8),ISNUMBER('Council Entry'!BB$9)),MAX(MIN('Council Entry'!BB152,'Council Entry'!BB$9),'Council Entry'!BB$8),'Council Entry'!BB152)),IF(AND(ISNUMBER('Council Entry'!BB$8),ISNUMBER('Council Entry'!BB$9)),MAX(MIN('Council Entry'!BB152,'Council Entry'!BB$9),'Council Entry'!BB$8),'Council Entry'!BB152))))-'Council Entry'!BB$5)/('Council Entry'!BB$6-'Council Entry'!BB$5)),1))),"No data"))</f>
        <v/>
      </c>
      <c r="BC152" s="13">
        <f>IF('Council Entry'!BC152="","",IFERROR(MAX(0,MIN(10,ROUND(IF('Council Entry'!BC$7="Decrease Risk",10-10*((IF('Council Entry'!BC$4="Logarithm",LN(0.001+IF(AND(ISNUMBER('Council Entry'!BC$8),ISNUMBER('Council Entry'!BC$9)),MAX(MIN('Council Entry'!BC152,'Council Entry'!BC$9),'Council Entry'!BC$8),'Council Entry'!BC152)),IF('Council Entry'!BC$4="Exponential",EXP(IF(AND(ISNUMBER('Council Entry'!BC$8),ISNUMBER('Council Entry'!BC$9)),MAX(MIN('Council Entry'!BC152,'Council Entry'!BC$9),'Council Entry'!BC$8),'Council Entry'!BC152)),IF(AND(ISNUMBER('Council Entry'!BC$8),ISNUMBER('Council Entry'!BC$9)),MAX(MIN('Council Entry'!BC152,'Council Entry'!BC$9),'Council Entry'!BC$8),'Council Entry'!BC152))))-'Council Entry'!BC$5)/('Council Entry'!BC$6-'Council Entry'!BC$5),10*((IF('Council Entry'!BC$4="Logarithm",LN(0.001+IF(AND(ISNUMBER('Council Entry'!BC$8),ISNUMBER('Council Entry'!BC$9)),MAX(MIN('Council Entry'!BC152,'Council Entry'!BC$9),'Council Entry'!BC$8),'Council Entry'!BC152)),IF('Council Entry'!BC$4="Exponential",EXP(IF(AND(ISNUMBER('Council Entry'!BC$8),ISNUMBER('Council Entry'!BC$9)),MAX(MIN('Council Entry'!BC152,'Council Entry'!BC$9),'Council Entry'!BC$8),'Council Entry'!BC152)),IF(AND(ISNUMBER('Council Entry'!BC$8),ISNUMBER('Council Entry'!BC$9)),MAX(MIN('Council Entry'!BC152,'Council Entry'!BC$9),'Council Entry'!BC$8),'Council Entry'!BC152))))-'Council Entry'!BC$5)/('Council Entry'!BC$6-'Council Entry'!BC$5)),1))),"No data"))</f>
        <v/>
      </c>
      <c r="BD152" s="13">
        <f>IF('Council Entry'!BD152="","",IFERROR(MAX(0,MIN(10,ROUND(IF('Council Entry'!BD$7="Decrease Risk",10-10*((IF('Council Entry'!BD$4="Logarithm",LN(0.001+IF(AND(ISNUMBER('Council Entry'!BD$8),ISNUMBER('Council Entry'!BD$9)),MAX(MIN('Council Entry'!BD152,'Council Entry'!BD$9),'Council Entry'!BD$8),'Council Entry'!BD152)),IF('Council Entry'!BD$4="Exponential",EXP(IF(AND(ISNUMBER('Council Entry'!BD$8),ISNUMBER('Council Entry'!BD$9)),MAX(MIN('Council Entry'!BD152,'Council Entry'!BD$9),'Council Entry'!BD$8),'Council Entry'!BD152)),IF(AND(ISNUMBER('Council Entry'!BD$8),ISNUMBER('Council Entry'!BD$9)),MAX(MIN('Council Entry'!BD152,'Council Entry'!BD$9),'Council Entry'!BD$8),'Council Entry'!BD152))))-'Council Entry'!BD$5)/('Council Entry'!BD$6-'Council Entry'!BD$5),10*((IF('Council Entry'!BD$4="Logarithm",LN(0.001+IF(AND(ISNUMBER('Council Entry'!BD$8),ISNUMBER('Council Entry'!BD$9)),MAX(MIN('Council Entry'!BD152,'Council Entry'!BD$9),'Council Entry'!BD$8),'Council Entry'!BD152)),IF('Council Entry'!BD$4="Exponential",EXP(IF(AND(ISNUMBER('Council Entry'!BD$8),ISNUMBER('Council Entry'!BD$9)),MAX(MIN('Council Entry'!BD152,'Council Entry'!BD$9),'Council Entry'!BD$8),'Council Entry'!BD152)),IF(AND(ISNUMBER('Council Entry'!BD$8),ISNUMBER('Council Entry'!BD$9)),MAX(MIN('Council Entry'!BD152,'Council Entry'!BD$9),'Council Entry'!BD$8),'Council Entry'!BD152))))-'Council Entry'!BD$5)/('Council Entry'!BD$6-'Council Entry'!BD$5)),1))),"No data"))</f>
        <v/>
      </c>
    </row>
    <row r="153">
      <c r="A153" t="inlineStr">
        <is>
          <t>Rukwa</t>
        </is>
      </c>
      <c r="B153" t="inlineStr">
        <is>
          <t>Sumbawanga District</t>
        </is>
      </c>
      <c r="C153" t="inlineStr">
        <is>
          <t>C108</t>
        </is>
      </c>
      <c r="D153" s="13">
        <f>IF('Council Entry'!D153="","",IFERROR(MAX(0,MIN(10,ROUND(IF('Council Entry'!D$7="Decrease Risk",10-10*((IF('Council Entry'!D$4="Logarithm",LN(0.001+IF(AND(ISNUMBER('Council Entry'!D$8),ISNUMBER('Council Entry'!D$9)),MAX(MIN('Council Entry'!D153,'Council Entry'!D$9),'Council Entry'!D$8),'Council Entry'!D153)),IF('Council Entry'!D$4="Exponential",EXP(IF(AND(ISNUMBER('Council Entry'!D$8),ISNUMBER('Council Entry'!D$9)),MAX(MIN('Council Entry'!D153,'Council Entry'!D$9),'Council Entry'!D$8),'Council Entry'!D153)),IF(AND(ISNUMBER('Council Entry'!D$8),ISNUMBER('Council Entry'!D$9)),MAX(MIN('Council Entry'!D153,'Council Entry'!D$9),'Council Entry'!D$8),'Council Entry'!D153))))-'Council Entry'!D$5)/('Council Entry'!D$6-'Council Entry'!D$5),10*((IF('Council Entry'!D$4="Logarithm",LN(0.001+IF(AND(ISNUMBER('Council Entry'!D$8),ISNUMBER('Council Entry'!D$9)),MAX(MIN('Council Entry'!D153,'Council Entry'!D$9),'Council Entry'!D$8),'Council Entry'!D153)),IF('Council Entry'!D$4="Exponential",EXP(IF(AND(ISNUMBER('Council Entry'!D$8),ISNUMBER('Council Entry'!D$9)),MAX(MIN('Council Entry'!D153,'Council Entry'!D$9),'Council Entry'!D$8),'Council Entry'!D153)),IF(AND(ISNUMBER('Council Entry'!D$8),ISNUMBER('Council Entry'!D$9)),MAX(MIN('Council Entry'!D153,'Council Entry'!D$9),'Council Entry'!D$8),'Council Entry'!D153))))-'Council Entry'!D$5)/('Council Entry'!D$6-'Council Entry'!D$5)),1))),"No data"))</f>
        <v/>
      </c>
      <c r="E153" s="13">
        <f>IF('Council Entry'!E153="","",IFERROR(MAX(0,MIN(10,ROUND(IF('Council Entry'!E$7="Decrease Risk",10-10*((IF('Council Entry'!E$4="Logarithm",LN(0.001+IF(AND(ISNUMBER('Council Entry'!E$8),ISNUMBER('Council Entry'!E$9)),MAX(MIN('Council Entry'!E153,'Council Entry'!E$9),'Council Entry'!E$8),'Council Entry'!E153)),IF('Council Entry'!E$4="Exponential",EXP(IF(AND(ISNUMBER('Council Entry'!E$8),ISNUMBER('Council Entry'!E$9)),MAX(MIN('Council Entry'!E153,'Council Entry'!E$9),'Council Entry'!E$8),'Council Entry'!E153)),IF(AND(ISNUMBER('Council Entry'!E$8),ISNUMBER('Council Entry'!E$9)),MAX(MIN('Council Entry'!E153,'Council Entry'!E$9),'Council Entry'!E$8),'Council Entry'!E153))))-'Council Entry'!E$5)/('Council Entry'!E$6-'Council Entry'!E$5),10*((IF('Council Entry'!E$4="Logarithm",LN(0.001+IF(AND(ISNUMBER('Council Entry'!E$8),ISNUMBER('Council Entry'!E$9)),MAX(MIN('Council Entry'!E153,'Council Entry'!E$9),'Council Entry'!E$8),'Council Entry'!E153)),IF('Council Entry'!E$4="Exponential",EXP(IF(AND(ISNUMBER('Council Entry'!E$8),ISNUMBER('Council Entry'!E$9)),MAX(MIN('Council Entry'!E153,'Council Entry'!E$9),'Council Entry'!E$8),'Council Entry'!E153)),IF(AND(ISNUMBER('Council Entry'!E$8),ISNUMBER('Council Entry'!E$9)),MAX(MIN('Council Entry'!E153,'Council Entry'!E$9),'Council Entry'!E$8),'Council Entry'!E153))))-'Council Entry'!E$5)/('Council Entry'!E$6-'Council Entry'!E$5)),1))),"No data"))</f>
        <v/>
      </c>
      <c r="F153" s="13">
        <f>IF('Council Entry'!F153="","",IFERROR(MAX(0,MIN(10,ROUND(IF('Council Entry'!F$7="Decrease Risk",10-10*((IF('Council Entry'!F$4="Logarithm",LN(0.001+IF(AND(ISNUMBER('Council Entry'!F$8),ISNUMBER('Council Entry'!F$9)),MAX(MIN('Council Entry'!F153,'Council Entry'!F$9),'Council Entry'!F$8),'Council Entry'!F153)),IF('Council Entry'!F$4="Exponential",EXP(IF(AND(ISNUMBER('Council Entry'!F$8),ISNUMBER('Council Entry'!F$9)),MAX(MIN('Council Entry'!F153,'Council Entry'!F$9),'Council Entry'!F$8),'Council Entry'!F153)),IF(AND(ISNUMBER('Council Entry'!F$8),ISNUMBER('Council Entry'!F$9)),MAX(MIN('Council Entry'!F153,'Council Entry'!F$9),'Council Entry'!F$8),'Council Entry'!F153))))-'Council Entry'!F$5)/('Council Entry'!F$6-'Council Entry'!F$5),10*((IF('Council Entry'!F$4="Logarithm",LN(0.001+IF(AND(ISNUMBER('Council Entry'!F$8),ISNUMBER('Council Entry'!F$9)),MAX(MIN('Council Entry'!F153,'Council Entry'!F$9),'Council Entry'!F$8),'Council Entry'!F153)),IF('Council Entry'!F$4="Exponential",EXP(IF(AND(ISNUMBER('Council Entry'!F$8),ISNUMBER('Council Entry'!F$9)),MAX(MIN('Council Entry'!F153,'Council Entry'!F$9),'Council Entry'!F$8),'Council Entry'!F153)),IF(AND(ISNUMBER('Council Entry'!F$8),ISNUMBER('Council Entry'!F$9)),MAX(MIN('Council Entry'!F153,'Council Entry'!F$9),'Council Entry'!F$8),'Council Entry'!F153))))-'Council Entry'!F$5)/('Council Entry'!F$6-'Council Entry'!F$5)),1))),"No data"))</f>
        <v/>
      </c>
      <c r="G153" s="13">
        <f>IF('Council Entry'!G153="","",IFERROR(MAX(0,MIN(10,ROUND(IF('Council Entry'!G$7="Decrease Risk",10-10*((IF('Council Entry'!G$4="Logarithm",LN(0.001+IF(AND(ISNUMBER('Council Entry'!G$8),ISNUMBER('Council Entry'!G$9)),MAX(MIN('Council Entry'!G153,'Council Entry'!G$9),'Council Entry'!G$8),'Council Entry'!G153)),IF('Council Entry'!G$4="Exponential",EXP(IF(AND(ISNUMBER('Council Entry'!G$8),ISNUMBER('Council Entry'!G$9)),MAX(MIN('Council Entry'!G153,'Council Entry'!G$9),'Council Entry'!G$8),'Council Entry'!G153)),IF(AND(ISNUMBER('Council Entry'!G$8),ISNUMBER('Council Entry'!G$9)),MAX(MIN('Council Entry'!G153,'Council Entry'!G$9),'Council Entry'!G$8),'Council Entry'!G153))))-'Council Entry'!G$5)/('Council Entry'!G$6-'Council Entry'!G$5),10*((IF('Council Entry'!G$4="Logarithm",LN(0.001+IF(AND(ISNUMBER('Council Entry'!G$8),ISNUMBER('Council Entry'!G$9)),MAX(MIN('Council Entry'!G153,'Council Entry'!G$9),'Council Entry'!G$8),'Council Entry'!G153)),IF('Council Entry'!G$4="Exponential",EXP(IF(AND(ISNUMBER('Council Entry'!G$8),ISNUMBER('Council Entry'!G$9)),MAX(MIN('Council Entry'!G153,'Council Entry'!G$9),'Council Entry'!G$8),'Council Entry'!G153)),IF(AND(ISNUMBER('Council Entry'!G$8),ISNUMBER('Council Entry'!G$9)),MAX(MIN('Council Entry'!G153,'Council Entry'!G$9),'Council Entry'!G$8),'Council Entry'!G153))))-'Council Entry'!G$5)/('Council Entry'!G$6-'Council Entry'!G$5)),1))),"No data"))</f>
        <v/>
      </c>
      <c r="H153" s="13">
        <f>IF('Council Entry'!H153="","",IFERROR(MAX(0,MIN(10,ROUND(IF('Council Entry'!H$7="Decrease Risk",10-10*((IF('Council Entry'!H$4="Logarithm",LN(0.001+IF(AND(ISNUMBER('Council Entry'!H$8),ISNUMBER('Council Entry'!H$9)),MAX(MIN('Council Entry'!H153,'Council Entry'!H$9),'Council Entry'!H$8),'Council Entry'!H153)),IF('Council Entry'!H$4="Exponential",EXP(IF(AND(ISNUMBER('Council Entry'!H$8),ISNUMBER('Council Entry'!H$9)),MAX(MIN('Council Entry'!H153,'Council Entry'!H$9),'Council Entry'!H$8),'Council Entry'!H153)),IF(AND(ISNUMBER('Council Entry'!H$8),ISNUMBER('Council Entry'!H$9)),MAX(MIN('Council Entry'!H153,'Council Entry'!H$9),'Council Entry'!H$8),'Council Entry'!H153))))-'Council Entry'!H$5)/('Council Entry'!H$6-'Council Entry'!H$5),10*((IF('Council Entry'!H$4="Logarithm",LN(0.001+IF(AND(ISNUMBER('Council Entry'!H$8),ISNUMBER('Council Entry'!H$9)),MAX(MIN('Council Entry'!H153,'Council Entry'!H$9),'Council Entry'!H$8),'Council Entry'!H153)),IF('Council Entry'!H$4="Exponential",EXP(IF(AND(ISNUMBER('Council Entry'!H$8),ISNUMBER('Council Entry'!H$9)),MAX(MIN('Council Entry'!H153,'Council Entry'!H$9),'Council Entry'!H$8),'Council Entry'!H153)),IF(AND(ISNUMBER('Council Entry'!H$8),ISNUMBER('Council Entry'!H$9)),MAX(MIN('Council Entry'!H153,'Council Entry'!H$9),'Council Entry'!H$8),'Council Entry'!H153))))-'Council Entry'!H$5)/('Council Entry'!H$6-'Council Entry'!H$5)),1))),"No data"))</f>
        <v/>
      </c>
      <c r="I153" s="13">
        <f>IF('Council Entry'!I153="","",IFERROR(MAX(0,MIN(10,ROUND(IF('Council Entry'!I$7="Decrease Risk",10-10*((IF('Council Entry'!I$4="Logarithm",LN(0.001+IF(AND(ISNUMBER('Council Entry'!I$8),ISNUMBER('Council Entry'!I$9)),MAX(MIN('Council Entry'!I153,'Council Entry'!I$9),'Council Entry'!I$8),'Council Entry'!I153)),IF('Council Entry'!I$4="Exponential",EXP(IF(AND(ISNUMBER('Council Entry'!I$8),ISNUMBER('Council Entry'!I$9)),MAX(MIN('Council Entry'!I153,'Council Entry'!I$9),'Council Entry'!I$8),'Council Entry'!I153)),IF(AND(ISNUMBER('Council Entry'!I$8),ISNUMBER('Council Entry'!I$9)),MAX(MIN('Council Entry'!I153,'Council Entry'!I$9),'Council Entry'!I$8),'Council Entry'!I153))))-'Council Entry'!I$5)/('Council Entry'!I$6-'Council Entry'!I$5),10*((IF('Council Entry'!I$4="Logarithm",LN(0.001+IF(AND(ISNUMBER('Council Entry'!I$8),ISNUMBER('Council Entry'!I$9)),MAX(MIN('Council Entry'!I153,'Council Entry'!I$9),'Council Entry'!I$8),'Council Entry'!I153)),IF('Council Entry'!I$4="Exponential",EXP(IF(AND(ISNUMBER('Council Entry'!I$8),ISNUMBER('Council Entry'!I$9)),MAX(MIN('Council Entry'!I153,'Council Entry'!I$9),'Council Entry'!I$8),'Council Entry'!I153)),IF(AND(ISNUMBER('Council Entry'!I$8),ISNUMBER('Council Entry'!I$9)),MAX(MIN('Council Entry'!I153,'Council Entry'!I$9),'Council Entry'!I$8),'Council Entry'!I153))))-'Council Entry'!I$5)/('Council Entry'!I$6-'Council Entry'!I$5)),1))),"No data"))</f>
        <v/>
      </c>
      <c r="J153" s="13">
        <f>IF('Council Entry'!J153="","",IFERROR(MAX(0,MIN(10,ROUND(IF('Council Entry'!J$7="Decrease Risk",10-10*((IF('Council Entry'!J$4="Logarithm",LN(0.001+IF(AND(ISNUMBER('Council Entry'!J$8),ISNUMBER('Council Entry'!J$9)),MAX(MIN('Council Entry'!J153,'Council Entry'!J$9),'Council Entry'!J$8),'Council Entry'!J153)),IF('Council Entry'!J$4="Exponential",EXP(IF(AND(ISNUMBER('Council Entry'!J$8),ISNUMBER('Council Entry'!J$9)),MAX(MIN('Council Entry'!J153,'Council Entry'!J$9),'Council Entry'!J$8),'Council Entry'!J153)),IF(AND(ISNUMBER('Council Entry'!J$8),ISNUMBER('Council Entry'!J$9)),MAX(MIN('Council Entry'!J153,'Council Entry'!J$9),'Council Entry'!J$8),'Council Entry'!J153))))-'Council Entry'!J$5)/('Council Entry'!J$6-'Council Entry'!J$5),10*((IF('Council Entry'!J$4="Logarithm",LN(0.001+IF(AND(ISNUMBER('Council Entry'!J$8),ISNUMBER('Council Entry'!J$9)),MAX(MIN('Council Entry'!J153,'Council Entry'!J$9),'Council Entry'!J$8),'Council Entry'!J153)),IF('Council Entry'!J$4="Exponential",EXP(IF(AND(ISNUMBER('Council Entry'!J$8),ISNUMBER('Council Entry'!J$9)),MAX(MIN('Council Entry'!J153,'Council Entry'!J$9),'Council Entry'!J$8),'Council Entry'!J153)),IF(AND(ISNUMBER('Council Entry'!J$8),ISNUMBER('Council Entry'!J$9)),MAX(MIN('Council Entry'!J153,'Council Entry'!J$9),'Council Entry'!J$8),'Council Entry'!J153))))-'Council Entry'!J$5)/('Council Entry'!J$6-'Council Entry'!J$5)),1))),"No data"))</f>
        <v/>
      </c>
      <c r="K153" s="13">
        <f>IF('Council Entry'!K153="","",IFERROR(MAX(0,MIN(10,ROUND(IF('Council Entry'!K$7="Decrease Risk",10-10*((IF('Council Entry'!K$4="Logarithm",LN(0.001+IF(AND(ISNUMBER('Council Entry'!K$8),ISNUMBER('Council Entry'!K$9)),MAX(MIN('Council Entry'!K153,'Council Entry'!K$9),'Council Entry'!K$8),'Council Entry'!K153)),IF('Council Entry'!K$4="Exponential",EXP(IF(AND(ISNUMBER('Council Entry'!K$8),ISNUMBER('Council Entry'!K$9)),MAX(MIN('Council Entry'!K153,'Council Entry'!K$9),'Council Entry'!K$8),'Council Entry'!K153)),IF(AND(ISNUMBER('Council Entry'!K$8),ISNUMBER('Council Entry'!K$9)),MAX(MIN('Council Entry'!K153,'Council Entry'!K$9),'Council Entry'!K$8),'Council Entry'!K153))))-'Council Entry'!K$5)/('Council Entry'!K$6-'Council Entry'!K$5),10*((IF('Council Entry'!K$4="Logarithm",LN(0.001+IF(AND(ISNUMBER('Council Entry'!K$8),ISNUMBER('Council Entry'!K$9)),MAX(MIN('Council Entry'!K153,'Council Entry'!K$9),'Council Entry'!K$8),'Council Entry'!K153)),IF('Council Entry'!K$4="Exponential",EXP(IF(AND(ISNUMBER('Council Entry'!K$8),ISNUMBER('Council Entry'!K$9)),MAX(MIN('Council Entry'!K153,'Council Entry'!K$9),'Council Entry'!K$8),'Council Entry'!K153)),IF(AND(ISNUMBER('Council Entry'!K$8),ISNUMBER('Council Entry'!K$9)),MAX(MIN('Council Entry'!K153,'Council Entry'!K$9),'Council Entry'!K$8),'Council Entry'!K153))))-'Council Entry'!K$5)/('Council Entry'!K$6-'Council Entry'!K$5)),1))),"No data"))</f>
        <v/>
      </c>
      <c r="L153" s="13">
        <f>IF('Council Entry'!L153="","",IFERROR(MAX(0,MIN(10,ROUND(IF('Council Entry'!L$7="Decrease Risk",10-10*((IF('Council Entry'!L$4="Logarithm",LN(0.001+IF(AND(ISNUMBER('Council Entry'!L$8),ISNUMBER('Council Entry'!L$9)),MAX(MIN('Council Entry'!L153,'Council Entry'!L$9),'Council Entry'!L$8),'Council Entry'!L153)),IF('Council Entry'!L$4="Exponential",EXP(IF(AND(ISNUMBER('Council Entry'!L$8),ISNUMBER('Council Entry'!L$9)),MAX(MIN('Council Entry'!L153,'Council Entry'!L$9),'Council Entry'!L$8),'Council Entry'!L153)),IF(AND(ISNUMBER('Council Entry'!L$8),ISNUMBER('Council Entry'!L$9)),MAX(MIN('Council Entry'!L153,'Council Entry'!L$9),'Council Entry'!L$8),'Council Entry'!L153))))-'Council Entry'!L$5)/('Council Entry'!L$6-'Council Entry'!L$5),10*((IF('Council Entry'!L$4="Logarithm",LN(0.001+IF(AND(ISNUMBER('Council Entry'!L$8),ISNUMBER('Council Entry'!L$9)),MAX(MIN('Council Entry'!L153,'Council Entry'!L$9),'Council Entry'!L$8),'Council Entry'!L153)),IF('Council Entry'!L$4="Exponential",EXP(IF(AND(ISNUMBER('Council Entry'!L$8),ISNUMBER('Council Entry'!L$9)),MAX(MIN('Council Entry'!L153,'Council Entry'!L$9),'Council Entry'!L$8),'Council Entry'!L153)),IF(AND(ISNUMBER('Council Entry'!L$8),ISNUMBER('Council Entry'!L$9)),MAX(MIN('Council Entry'!L153,'Council Entry'!L$9),'Council Entry'!L$8),'Council Entry'!L153))))-'Council Entry'!L$5)/('Council Entry'!L$6-'Council Entry'!L$5)),1))),"No data"))</f>
        <v/>
      </c>
      <c r="M153" s="13">
        <f>IF('Council Entry'!M153="","",IFERROR(MAX(0,MIN(10,ROUND(IF('Council Entry'!M$7="Decrease Risk",10-10*((IF('Council Entry'!M$4="Logarithm",LN(0.001+IF(AND(ISNUMBER('Council Entry'!M$8),ISNUMBER('Council Entry'!M$9)),MAX(MIN('Council Entry'!M153,'Council Entry'!M$9),'Council Entry'!M$8),'Council Entry'!M153)),IF('Council Entry'!M$4="Exponential",EXP(IF(AND(ISNUMBER('Council Entry'!M$8),ISNUMBER('Council Entry'!M$9)),MAX(MIN('Council Entry'!M153,'Council Entry'!M$9),'Council Entry'!M$8),'Council Entry'!M153)),IF(AND(ISNUMBER('Council Entry'!M$8),ISNUMBER('Council Entry'!M$9)),MAX(MIN('Council Entry'!M153,'Council Entry'!M$9),'Council Entry'!M$8),'Council Entry'!M153))))-'Council Entry'!M$5)/('Council Entry'!M$6-'Council Entry'!M$5),10*((IF('Council Entry'!M$4="Logarithm",LN(0.001+IF(AND(ISNUMBER('Council Entry'!M$8),ISNUMBER('Council Entry'!M$9)),MAX(MIN('Council Entry'!M153,'Council Entry'!M$9),'Council Entry'!M$8),'Council Entry'!M153)),IF('Council Entry'!M$4="Exponential",EXP(IF(AND(ISNUMBER('Council Entry'!M$8),ISNUMBER('Council Entry'!M$9)),MAX(MIN('Council Entry'!M153,'Council Entry'!M$9),'Council Entry'!M$8),'Council Entry'!M153)),IF(AND(ISNUMBER('Council Entry'!M$8),ISNUMBER('Council Entry'!M$9)),MAX(MIN('Council Entry'!M153,'Council Entry'!M$9),'Council Entry'!M$8),'Council Entry'!M153))))-'Council Entry'!M$5)/('Council Entry'!M$6-'Council Entry'!M$5)),1))),"No data"))</f>
        <v/>
      </c>
      <c r="N153" s="13">
        <f>IF('Council Entry'!N153="","",IFERROR(MAX(0,MIN(10,ROUND(IF('Council Entry'!N$7="Decrease Risk",10-10*((IF('Council Entry'!N$4="Logarithm",LN(0.001+IF(AND(ISNUMBER('Council Entry'!N$8),ISNUMBER('Council Entry'!N$9)),MAX(MIN('Council Entry'!N153,'Council Entry'!N$9),'Council Entry'!N$8),'Council Entry'!N153)),IF('Council Entry'!N$4="Exponential",EXP(IF(AND(ISNUMBER('Council Entry'!N$8),ISNUMBER('Council Entry'!N$9)),MAX(MIN('Council Entry'!N153,'Council Entry'!N$9),'Council Entry'!N$8),'Council Entry'!N153)),IF(AND(ISNUMBER('Council Entry'!N$8),ISNUMBER('Council Entry'!N$9)),MAX(MIN('Council Entry'!N153,'Council Entry'!N$9),'Council Entry'!N$8),'Council Entry'!N153))))-'Council Entry'!N$5)/('Council Entry'!N$6-'Council Entry'!N$5),10*((IF('Council Entry'!N$4="Logarithm",LN(0.001+IF(AND(ISNUMBER('Council Entry'!N$8),ISNUMBER('Council Entry'!N$9)),MAX(MIN('Council Entry'!N153,'Council Entry'!N$9),'Council Entry'!N$8),'Council Entry'!N153)),IF('Council Entry'!N$4="Exponential",EXP(IF(AND(ISNUMBER('Council Entry'!N$8),ISNUMBER('Council Entry'!N$9)),MAX(MIN('Council Entry'!N153,'Council Entry'!N$9),'Council Entry'!N$8),'Council Entry'!N153)),IF(AND(ISNUMBER('Council Entry'!N$8),ISNUMBER('Council Entry'!N$9)),MAX(MIN('Council Entry'!N153,'Council Entry'!N$9),'Council Entry'!N$8),'Council Entry'!N153))))-'Council Entry'!N$5)/('Council Entry'!N$6-'Council Entry'!N$5)),1))),"No data"))</f>
        <v/>
      </c>
      <c r="O153" s="13">
        <f>IF('Council Entry'!O153="","",IFERROR(MAX(0,MIN(10,ROUND(IF('Council Entry'!O$7="Decrease Risk",10-10*((IF('Council Entry'!O$4="Logarithm",LN(0.001+IF(AND(ISNUMBER('Council Entry'!O$8),ISNUMBER('Council Entry'!O$9)),MAX(MIN('Council Entry'!O153,'Council Entry'!O$9),'Council Entry'!O$8),'Council Entry'!O153)),IF('Council Entry'!O$4="Exponential",EXP(IF(AND(ISNUMBER('Council Entry'!O$8),ISNUMBER('Council Entry'!O$9)),MAX(MIN('Council Entry'!O153,'Council Entry'!O$9),'Council Entry'!O$8),'Council Entry'!O153)),IF(AND(ISNUMBER('Council Entry'!O$8),ISNUMBER('Council Entry'!O$9)),MAX(MIN('Council Entry'!O153,'Council Entry'!O$9),'Council Entry'!O$8),'Council Entry'!O153))))-'Council Entry'!O$5)/('Council Entry'!O$6-'Council Entry'!O$5),10*((IF('Council Entry'!O$4="Logarithm",LN(0.001+IF(AND(ISNUMBER('Council Entry'!O$8),ISNUMBER('Council Entry'!O$9)),MAX(MIN('Council Entry'!O153,'Council Entry'!O$9),'Council Entry'!O$8),'Council Entry'!O153)),IF('Council Entry'!O$4="Exponential",EXP(IF(AND(ISNUMBER('Council Entry'!O$8),ISNUMBER('Council Entry'!O$9)),MAX(MIN('Council Entry'!O153,'Council Entry'!O$9),'Council Entry'!O$8),'Council Entry'!O153)),IF(AND(ISNUMBER('Council Entry'!O$8),ISNUMBER('Council Entry'!O$9)),MAX(MIN('Council Entry'!O153,'Council Entry'!O$9),'Council Entry'!O$8),'Council Entry'!O153))))-'Council Entry'!O$5)/('Council Entry'!O$6-'Council Entry'!O$5)),1))),"No data"))</f>
        <v/>
      </c>
      <c r="P153" s="13">
        <f>IF('Council Entry'!P153="","",IFERROR(MAX(0,MIN(10,ROUND(IF('Council Entry'!P$7="Decrease Risk",10-10*((IF('Council Entry'!P$4="Logarithm",LN(0.001+IF(AND(ISNUMBER('Council Entry'!P$8),ISNUMBER('Council Entry'!P$9)),MAX(MIN('Council Entry'!P153,'Council Entry'!P$9),'Council Entry'!P$8),'Council Entry'!P153)),IF('Council Entry'!P$4="Exponential",EXP(IF(AND(ISNUMBER('Council Entry'!P$8),ISNUMBER('Council Entry'!P$9)),MAX(MIN('Council Entry'!P153,'Council Entry'!P$9),'Council Entry'!P$8),'Council Entry'!P153)),IF(AND(ISNUMBER('Council Entry'!P$8),ISNUMBER('Council Entry'!P$9)),MAX(MIN('Council Entry'!P153,'Council Entry'!P$9),'Council Entry'!P$8),'Council Entry'!P153))))-'Council Entry'!P$5)/('Council Entry'!P$6-'Council Entry'!P$5),10*((IF('Council Entry'!P$4="Logarithm",LN(0.001+IF(AND(ISNUMBER('Council Entry'!P$8),ISNUMBER('Council Entry'!P$9)),MAX(MIN('Council Entry'!P153,'Council Entry'!P$9),'Council Entry'!P$8),'Council Entry'!P153)),IF('Council Entry'!P$4="Exponential",EXP(IF(AND(ISNUMBER('Council Entry'!P$8),ISNUMBER('Council Entry'!P$9)),MAX(MIN('Council Entry'!P153,'Council Entry'!P$9),'Council Entry'!P$8),'Council Entry'!P153)),IF(AND(ISNUMBER('Council Entry'!P$8),ISNUMBER('Council Entry'!P$9)),MAX(MIN('Council Entry'!P153,'Council Entry'!P$9),'Council Entry'!P$8),'Council Entry'!P153))))-'Council Entry'!P$5)/('Council Entry'!P$6-'Council Entry'!P$5)),1))),"No data"))</f>
        <v/>
      </c>
      <c r="Q153" s="13">
        <f>IF('Council Entry'!Q153="","",IFERROR(MAX(0,MIN(10,ROUND(IF('Council Entry'!Q$7="Decrease Risk",10-10*((IF('Council Entry'!Q$4="Logarithm",LN(0.001+IF(AND(ISNUMBER('Council Entry'!Q$8),ISNUMBER('Council Entry'!Q$9)),MAX(MIN('Council Entry'!Q153,'Council Entry'!Q$9),'Council Entry'!Q$8),'Council Entry'!Q153)),IF('Council Entry'!Q$4="Exponential",EXP(IF(AND(ISNUMBER('Council Entry'!Q$8),ISNUMBER('Council Entry'!Q$9)),MAX(MIN('Council Entry'!Q153,'Council Entry'!Q$9),'Council Entry'!Q$8),'Council Entry'!Q153)),IF(AND(ISNUMBER('Council Entry'!Q$8),ISNUMBER('Council Entry'!Q$9)),MAX(MIN('Council Entry'!Q153,'Council Entry'!Q$9),'Council Entry'!Q$8),'Council Entry'!Q153))))-'Council Entry'!Q$5)/('Council Entry'!Q$6-'Council Entry'!Q$5),10*((IF('Council Entry'!Q$4="Logarithm",LN(0.001+IF(AND(ISNUMBER('Council Entry'!Q$8),ISNUMBER('Council Entry'!Q$9)),MAX(MIN('Council Entry'!Q153,'Council Entry'!Q$9),'Council Entry'!Q$8),'Council Entry'!Q153)),IF('Council Entry'!Q$4="Exponential",EXP(IF(AND(ISNUMBER('Council Entry'!Q$8),ISNUMBER('Council Entry'!Q$9)),MAX(MIN('Council Entry'!Q153,'Council Entry'!Q$9),'Council Entry'!Q$8),'Council Entry'!Q153)),IF(AND(ISNUMBER('Council Entry'!Q$8),ISNUMBER('Council Entry'!Q$9)),MAX(MIN('Council Entry'!Q153,'Council Entry'!Q$9),'Council Entry'!Q$8),'Council Entry'!Q153))))-'Council Entry'!Q$5)/('Council Entry'!Q$6-'Council Entry'!Q$5)),1))),"No data"))</f>
        <v/>
      </c>
      <c r="R153" s="13">
        <f>IF('Council Entry'!R153="","",IFERROR(MAX(0,MIN(10,ROUND(IF('Council Entry'!R$7="Decrease Risk",10-10*((IF('Council Entry'!R$4="Logarithm",LN(0.001+IF(AND(ISNUMBER('Council Entry'!R$8),ISNUMBER('Council Entry'!R$9)),MAX(MIN('Council Entry'!R153,'Council Entry'!R$9),'Council Entry'!R$8),'Council Entry'!R153)),IF('Council Entry'!R$4="Exponential",EXP(IF(AND(ISNUMBER('Council Entry'!R$8),ISNUMBER('Council Entry'!R$9)),MAX(MIN('Council Entry'!R153,'Council Entry'!R$9),'Council Entry'!R$8),'Council Entry'!R153)),IF(AND(ISNUMBER('Council Entry'!R$8),ISNUMBER('Council Entry'!R$9)),MAX(MIN('Council Entry'!R153,'Council Entry'!R$9),'Council Entry'!R$8),'Council Entry'!R153))))-'Council Entry'!R$5)/('Council Entry'!R$6-'Council Entry'!R$5),10*((IF('Council Entry'!R$4="Logarithm",LN(0.001+IF(AND(ISNUMBER('Council Entry'!R$8),ISNUMBER('Council Entry'!R$9)),MAX(MIN('Council Entry'!R153,'Council Entry'!R$9),'Council Entry'!R$8),'Council Entry'!R153)),IF('Council Entry'!R$4="Exponential",EXP(IF(AND(ISNUMBER('Council Entry'!R$8),ISNUMBER('Council Entry'!R$9)),MAX(MIN('Council Entry'!R153,'Council Entry'!R$9),'Council Entry'!R$8),'Council Entry'!R153)),IF(AND(ISNUMBER('Council Entry'!R$8),ISNUMBER('Council Entry'!R$9)),MAX(MIN('Council Entry'!R153,'Council Entry'!R$9),'Council Entry'!R$8),'Council Entry'!R153))))-'Council Entry'!R$5)/('Council Entry'!R$6-'Council Entry'!R$5)),1))),"No data"))</f>
        <v/>
      </c>
      <c r="S153" s="13">
        <f>IF('Council Entry'!S153="","",IFERROR(MAX(0,MIN(10,ROUND(IF('Council Entry'!S$7="Decrease Risk",10-10*((IF('Council Entry'!S$4="Logarithm",LN(0.001+IF(AND(ISNUMBER('Council Entry'!S$8),ISNUMBER('Council Entry'!S$9)),MAX(MIN('Council Entry'!S153,'Council Entry'!S$9),'Council Entry'!S$8),'Council Entry'!S153)),IF('Council Entry'!S$4="Exponential",EXP(IF(AND(ISNUMBER('Council Entry'!S$8),ISNUMBER('Council Entry'!S$9)),MAX(MIN('Council Entry'!S153,'Council Entry'!S$9),'Council Entry'!S$8),'Council Entry'!S153)),IF(AND(ISNUMBER('Council Entry'!S$8),ISNUMBER('Council Entry'!S$9)),MAX(MIN('Council Entry'!S153,'Council Entry'!S$9),'Council Entry'!S$8),'Council Entry'!S153))))-'Council Entry'!S$5)/('Council Entry'!S$6-'Council Entry'!S$5),10*((IF('Council Entry'!S$4="Logarithm",LN(0.001+IF(AND(ISNUMBER('Council Entry'!S$8),ISNUMBER('Council Entry'!S$9)),MAX(MIN('Council Entry'!S153,'Council Entry'!S$9),'Council Entry'!S$8),'Council Entry'!S153)),IF('Council Entry'!S$4="Exponential",EXP(IF(AND(ISNUMBER('Council Entry'!S$8),ISNUMBER('Council Entry'!S$9)),MAX(MIN('Council Entry'!S153,'Council Entry'!S$9),'Council Entry'!S$8),'Council Entry'!S153)),IF(AND(ISNUMBER('Council Entry'!S$8),ISNUMBER('Council Entry'!S$9)),MAX(MIN('Council Entry'!S153,'Council Entry'!S$9),'Council Entry'!S$8),'Council Entry'!S153))))-'Council Entry'!S$5)/('Council Entry'!S$6-'Council Entry'!S$5)),1))),"No data"))</f>
        <v/>
      </c>
      <c r="T153" s="13">
        <f>IF('Council Entry'!T153="","",IFERROR(MAX(0,MIN(10,ROUND(IF('Council Entry'!T$7="Decrease Risk",10-10*((IF('Council Entry'!T$4="Logarithm",LN(0.001+IF(AND(ISNUMBER('Council Entry'!T$8),ISNUMBER('Council Entry'!T$9)),MAX(MIN('Council Entry'!T153,'Council Entry'!T$9),'Council Entry'!T$8),'Council Entry'!T153)),IF('Council Entry'!T$4="Exponential",EXP(IF(AND(ISNUMBER('Council Entry'!T$8),ISNUMBER('Council Entry'!T$9)),MAX(MIN('Council Entry'!T153,'Council Entry'!T$9),'Council Entry'!T$8),'Council Entry'!T153)),IF(AND(ISNUMBER('Council Entry'!T$8),ISNUMBER('Council Entry'!T$9)),MAX(MIN('Council Entry'!T153,'Council Entry'!T$9),'Council Entry'!T$8),'Council Entry'!T153))))-'Council Entry'!T$5)/('Council Entry'!T$6-'Council Entry'!T$5),10*((IF('Council Entry'!T$4="Logarithm",LN(0.001+IF(AND(ISNUMBER('Council Entry'!T$8),ISNUMBER('Council Entry'!T$9)),MAX(MIN('Council Entry'!T153,'Council Entry'!T$9),'Council Entry'!T$8),'Council Entry'!T153)),IF('Council Entry'!T$4="Exponential",EXP(IF(AND(ISNUMBER('Council Entry'!T$8),ISNUMBER('Council Entry'!T$9)),MAX(MIN('Council Entry'!T153,'Council Entry'!T$9),'Council Entry'!T$8),'Council Entry'!T153)),IF(AND(ISNUMBER('Council Entry'!T$8),ISNUMBER('Council Entry'!T$9)),MAX(MIN('Council Entry'!T153,'Council Entry'!T$9),'Council Entry'!T$8),'Council Entry'!T153))))-'Council Entry'!T$5)/('Council Entry'!T$6-'Council Entry'!T$5)),1))),"No data"))</f>
        <v/>
      </c>
      <c r="U153" s="13">
        <f>IF('Council Entry'!U153="","",IFERROR(MAX(0,MIN(10,ROUND(IF('Council Entry'!U$7="Decrease Risk",10-10*((IF('Council Entry'!U$4="Logarithm",LN(0.001+IF(AND(ISNUMBER('Council Entry'!U$8),ISNUMBER('Council Entry'!U$9)),MAX(MIN('Council Entry'!U153,'Council Entry'!U$9),'Council Entry'!U$8),'Council Entry'!U153)),IF('Council Entry'!U$4="Exponential",EXP(IF(AND(ISNUMBER('Council Entry'!U$8),ISNUMBER('Council Entry'!U$9)),MAX(MIN('Council Entry'!U153,'Council Entry'!U$9),'Council Entry'!U$8),'Council Entry'!U153)),IF(AND(ISNUMBER('Council Entry'!U$8),ISNUMBER('Council Entry'!U$9)),MAX(MIN('Council Entry'!U153,'Council Entry'!U$9),'Council Entry'!U$8),'Council Entry'!U153))))-'Council Entry'!U$5)/('Council Entry'!U$6-'Council Entry'!U$5),10*((IF('Council Entry'!U$4="Logarithm",LN(0.001+IF(AND(ISNUMBER('Council Entry'!U$8),ISNUMBER('Council Entry'!U$9)),MAX(MIN('Council Entry'!U153,'Council Entry'!U$9),'Council Entry'!U$8),'Council Entry'!U153)),IF('Council Entry'!U$4="Exponential",EXP(IF(AND(ISNUMBER('Council Entry'!U$8),ISNUMBER('Council Entry'!U$9)),MAX(MIN('Council Entry'!U153,'Council Entry'!U$9),'Council Entry'!U$8),'Council Entry'!U153)),IF(AND(ISNUMBER('Council Entry'!U$8),ISNUMBER('Council Entry'!U$9)),MAX(MIN('Council Entry'!U153,'Council Entry'!U$9),'Council Entry'!U$8),'Council Entry'!U153))))-'Council Entry'!U$5)/('Council Entry'!U$6-'Council Entry'!U$5)),1))),"No data"))</f>
        <v/>
      </c>
      <c r="V153" s="13">
        <f>IF('Council Entry'!V153="","",IFERROR(MAX(0,MIN(10,ROUND(IF('Council Entry'!V$7="Decrease Risk",10-10*((IF('Council Entry'!V$4="Logarithm",LN(0.001+IF(AND(ISNUMBER('Council Entry'!V$8),ISNUMBER('Council Entry'!V$9)),MAX(MIN('Council Entry'!V153,'Council Entry'!V$9),'Council Entry'!V$8),'Council Entry'!V153)),IF('Council Entry'!V$4="Exponential",EXP(IF(AND(ISNUMBER('Council Entry'!V$8),ISNUMBER('Council Entry'!V$9)),MAX(MIN('Council Entry'!V153,'Council Entry'!V$9),'Council Entry'!V$8),'Council Entry'!V153)),IF(AND(ISNUMBER('Council Entry'!V$8),ISNUMBER('Council Entry'!V$9)),MAX(MIN('Council Entry'!V153,'Council Entry'!V$9),'Council Entry'!V$8),'Council Entry'!V153))))-'Council Entry'!V$5)/('Council Entry'!V$6-'Council Entry'!V$5),10*((IF('Council Entry'!V$4="Logarithm",LN(0.001+IF(AND(ISNUMBER('Council Entry'!V$8),ISNUMBER('Council Entry'!V$9)),MAX(MIN('Council Entry'!V153,'Council Entry'!V$9),'Council Entry'!V$8),'Council Entry'!V153)),IF('Council Entry'!V$4="Exponential",EXP(IF(AND(ISNUMBER('Council Entry'!V$8),ISNUMBER('Council Entry'!V$9)),MAX(MIN('Council Entry'!V153,'Council Entry'!V$9),'Council Entry'!V$8),'Council Entry'!V153)),IF(AND(ISNUMBER('Council Entry'!V$8),ISNUMBER('Council Entry'!V$9)),MAX(MIN('Council Entry'!V153,'Council Entry'!V$9),'Council Entry'!V$8),'Council Entry'!V153))))-'Council Entry'!V$5)/('Council Entry'!V$6-'Council Entry'!V$5)),1))),"No data"))</f>
        <v/>
      </c>
      <c r="W153" s="13">
        <f>IF('Council Entry'!W153="","",IFERROR(MAX(0,MIN(10,ROUND(IF('Council Entry'!W$7="Decrease Risk",10-10*((IF('Council Entry'!W$4="Logarithm",LN(0.001+IF(AND(ISNUMBER('Council Entry'!W$8),ISNUMBER('Council Entry'!W$9)),MAX(MIN('Council Entry'!W153,'Council Entry'!W$9),'Council Entry'!W$8),'Council Entry'!W153)),IF('Council Entry'!W$4="Exponential",EXP(IF(AND(ISNUMBER('Council Entry'!W$8),ISNUMBER('Council Entry'!W$9)),MAX(MIN('Council Entry'!W153,'Council Entry'!W$9),'Council Entry'!W$8),'Council Entry'!W153)),IF(AND(ISNUMBER('Council Entry'!W$8),ISNUMBER('Council Entry'!W$9)),MAX(MIN('Council Entry'!W153,'Council Entry'!W$9),'Council Entry'!W$8),'Council Entry'!W153))))-'Council Entry'!W$5)/('Council Entry'!W$6-'Council Entry'!W$5),10*((IF('Council Entry'!W$4="Logarithm",LN(0.001+IF(AND(ISNUMBER('Council Entry'!W$8),ISNUMBER('Council Entry'!W$9)),MAX(MIN('Council Entry'!W153,'Council Entry'!W$9),'Council Entry'!W$8),'Council Entry'!W153)),IF('Council Entry'!W$4="Exponential",EXP(IF(AND(ISNUMBER('Council Entry'!W$8),ISNUMBER('Council Entry'!W$9)),MAX(MIN('Council Entry'!W153,'Council Entry'!W$9),'Council Entry'!W$8),'Council Entry'!W153)),IF(AND(ISNUMBER('Council Entry'!W$8),ISNUMBER('Council Entry'!W$9)),MAX(MIN('Council Entry'!W153,'Council Entry'!W$9),'Council Entry'!W$8),'Council Entry'!W153))))-'Council Entry'!W$5)/('Council Entry'!W$6-'Council Entry'!W$5)),1))),"No data"))</f>
        <v/>
      </c>
      <c r="X153" s="13">
        <f>IF('Council Entry'!X153="","",IFERROR(MAX(0,MIN(10,ROUND(IF('Council Entry'!X$7="Decrease Risk",10-10*((IF('Council Entry'!X$4="Logarithm",LN(0.001+IF(AND(ISNUMBER('Council Entry'!X$8),ISNUMBER('Council Entry'!X$9)),MAX(MIN('Council Entry'!X153,'Council Entry'!X$9),'Council Entry'!X$8),'Council Entry'!X153)),IF('Council Entry'!X$4="Exponential",EXP(IF(AND(ISNUMBER('Council Entry'!X$8),ISNUMBER('Council Entry'!X$9)),MAX(MIN('Council Entry'!X153,'Council Entry'!X$9),'Council Entry'!X$8),'Council Entry'!X153)),IF(AND(ISNUMBER('Council Entry'!X$8),ISNUMBER('Council Entry'!X$9)),MAX(MIN('Council Entry'!X153,'Council Entry'!X$9),'Council Entry'!X$8),'Council Entry'!X153))))-'Council Entry'!X$5)/('Council Entry'!X$6-'Council Entry'!X$5),10*((IF('Council Entry'!X$4="Logarithm",LN(0.001+IF(AND(ISNUMBER('Council Entry'!X$8),ISNUMBER('Council Entry'!X$9)),MAX(MIN('Council Entry'!X153,'Council Entry'!X$9),'Council Entry'!X$8),'Council Entry'!X153)),IF('Council Entry'!X$4="Exponential",EXP(IF(AND(ISNUMBER('Council Entry'!X$8),ISNUMBER('Council Entry'!X$9)),MAX(MIN('Council Entry'!X153,'Council Entry'!X$9),'Council Entry'!X$8),'Council Entry'!X153)),IF(AND(ISNUMBER('Council Entry'!X$8),ISNUMBER('Council Entry'!X$9)),MAX(MIN('Council Entry'!X153,'Council Entry'!X$9),'Council Entry'!X$8),'Council Entry'!X153))))-'Council Entry'!X$5)/('Council Entry'!X$6-'Council Entry'!X$5)),1))),"No data"))</f>
        <v/>
      </c>
      <c r="Y153" s="13">
        <f>IF('Council Entry'!Y153="","",IFERROR(MAX(0,MIN(10,ROUND(IF('Council Entry'!Y$7="Decrease Risk",10-10*((IF('Council Entry'!Y$4="Logarithm",LN(0.001+IF(AND(ISNUMBER('Council Entry'!Y$8),ISNUMBER('Council Entry'!Y$9)),MAX(MIN('Council Entry'!Y153,'Council Entry'!Y$9),'Council Entry'!Y$8),'Council Entry'!Y153)),IF('Council Entry'!Y$4="Exponential",EXP(IF(AND(ISNUMBER('Council Entry'!Y$8),ISNUMBER('Council Entry'!Y$9)),MAX(MIN('Council Entry'!Y153,'Council Entry'!Y$9),'Council Entry'!Y$8),'Council Entry'!Y153)),IF(AND(ISNUMBER('Council Entry'!Y$8),ISNUMBER('Council Entry'!Y$9)),MAX(MIN('Council Entry'!Y153,'Council Entry'!Y$9),'Council Entry'!Y$8),'Council Entry'!Y153))))-'Council Entry'!Y$5)/('Council Entry'!Y$6-'Council Entry'!Y$5),10*((IF('Council Entry'!Y$4="Logarithm",LN(0.001+IF(AND(ISNUMBER('Council Entry'!Y$8),ISNUMBER('Council Entry'!Y$9)),MAX(MIN('Council Entry'!Y153,'Council Entry'!Y$9),'Council Entry'!Y$8),'Council Entry'!Y153)),IF('Council Entry'!Y$4="Exponential",EXP(IF(AND(ISNUMBER('Council Entry'!Y$8),ISNUMBER('Council Entry'!Y$9)),MAX(MIN('Council Entry'!Y153,'Council Entry'!Y$9),'Council Entry'!Y$8),'Council Entry'!Y153)),IF(AND(ISNUMBER('Council Entry'!Y$8),ISNUMBER('Council Entry'!Y$9)),MAX(MIN('Council Entry'!Y153,'Council Entry'!Y$9),'Council Entry'!Y$8),'Council Entry'!Y153))))-'Council Entry'!Y$5)/('Council Entry'!Y$6-'Council Entry'!Y$5)),1))),"No data"))</f>
        <v/>
      </c>
      <c r="Z153" s="13">
        <f>IF('Council Entry'!Z153="","",IFERROR(MAX(0,MIN(10,ROUND(IF('Council Entry'!Z$7="Decrease Risk",10-10*((IF('Council Entry'!Z$4="Logarithm",LN(0.001+IF(AND(ISNUMBER('Council Entry'!Z$8),ISNUMBER('Council Entry'!Z$9)),MAX(MIN('Council Entry'!Z153,'Council Entry'!Z$9),'Council Entry'!Z$8),'Council Entry'!Z153)),IF('Council Entry'!Z$4="Exponential",EXP(IF(AND(ISNUMBER('Council Entry'!Z$8),ISNUMBER('Council Entry'!Z$9)),MAX(MIN('Council Entry'!Z153,'Council Entry'!Z$9),'Council Entry'!Z$8),'Council Entry'!Z153)),IF(AND(ISNUMBER('Council Entry'!Z$8),ISNUMBER('Council Entry'!Z$9)),MAX(MIN('Council Entry'!Z153,'Council Entry'!Z$9),'Council Entry'!Z$8),'Council Entry'!Z153))))-'Council Entry'!Z$5)/('Council Entry'!Z$6-'Council Entry'!Z$5),10*((IF('Council Entry'!Z$4="Logarithm",LN(0.001+IF(AND(ISNUMBER('Council Entry'!Z$8),ISNUMBER('Council Entry'!Z$9)),MAX(MIN('Council Entry'!Z153,'Council Entry'!Z$9),'Council Entry'!Z$8),'Council Entry'!Z153)),IF('Council Entry'!Z$4="Exponential",EXP(IF(AND(ISNUMBER('Council Entry'!Z$8),ISNUMBER('Council Entry'!Z$9)),MAX(MIN('Council Entry'!Z153,'Council Entry'!Z$9),'Council Entry'!Z$8),'Council Entry'!Z153)),IF(AND(ISNUMBER('Council Entry'!Z$8),ISNUMBER('Council Entry'!Z$9)),MAX(MIN('Council Entry'!Z153,'Council Entry'!Z$9),'Council Entry'!Z$8),'Council Entry'!Z153))))-'Council Entry'!Z$5)/('Council Entry'!Z$6-'Council Entry'!Z$5)),1))),"No data"))</f>
        <v/>
      </c>
      <c r="AA153" s="13">
        <f>IF('Council Entry'!AA153="","",IFERROR(MAX(0,MIN(10,ROUND(IF('Council Entry'!AA$7="Decrease Risk",10-10*((IF('Council Entry'!AA$4="Logarithm",LN(0.001+IF(AND(ISNUMBER('Council Entry'!AA$8),ISNUMBER('Council Entry'!AA$9)),MAX(MIN('Council Entry'!AA153,'Council Entry'!AA$9),'Council Entry'!AA$8),'Council Entry'!AA153)),IF('Council Entry'!AA$4="Exponential",EXP(IF(AND(ISNUMBER('Council Entry'!AA$8),ISNUMBER('Council Entry'!AA$9)),MAX(MIN('Council Entry'!AA153,'Council Entry'!AA$9),'Council Entry'!AA$8),'Council Entry'!AA153)),IF(AND(ISNUMBER('Council Entry'!AA$8),ISNUMBER('Council Entry'!AA$9)),MAX(MIN('Council Entry'!AA153,'Council Entry'!AA$9),'Council Entry'!AA$8),'Council Entry'!AA153))))-'Council Entry'!AA$5)/('Council Entry'!AA$6-'Council Entry'!AA$5),10*((IF('Council Entry'!AA$4="Logarithm",LN(0.001+IF(AND(ISNUMBER('Council Entry'!AA$8),ISNUMBER('Council Entry'!AA$9)),MAX(MIN('Council Entry'!AA153,'Council Entry'!AA$9),'Council Entry'!AA$8),'Council Entry'!AA153)),IF('Council Entry'!AA$4="Exponential",EXP(IF(AND(ISNUMBER('Council Entry'!AA$8),ISNUMBER('Council Entry'!AA$9)),MAX(MIN('Council Entry'!AA153,'Council Entry'!AA$9),'Council Entry'!AA$8),'Council Entry'!AA153)),IF(AND(ISNUMBER('Council Entry'!AA$8),ISNUMBER('Council Entry'!AA$9)),MAX(MIN('Council Entry'!AA153,'Council Entry'!AA$9),'Council Entry'!AA$8),'Council Entry'!AA153))))-'Council Entry'!AA$5)/('Council Entry'!AA$6-'Council Entry'!AA$5)),1))),"No data"))</f>
        <v/>
      </c>
      <c r="AB153" s="13">
        <f>IF('Council Entry'!AB153="","",IFERROR(MAX(0,MIN(10,ROUND(IF('Council Entry'!AB$7="Decrease Risk",10-10*((IF('Council Entry'!AB$4="Logarithm",LN(0.001+IF(AND(ISNUMBER('Council Entry'!AB$8),ISNUMBER('Council Entry'!AB$9)),MAX(MIN('Council Entry'!AB153,'Council Entry'!AB$9),'Council Entry'!AB$8),'Council Entry'!AB153)),IF('Council Entry'!AB$4="Exponential",EXP(IF(AND(ISNUMBER('Council Entry'!AB$8),ISNUMBER('Council Entry'!AB$9)),MAX(MIN('Council Entry'!AB153,'Council Entry'!AB$9),'Council Entry'!AB$8),'Council Entry'!AB153)),IF(AND(ISNUMBER('Council Entry'!AB$8),ISNUMBER('Council Entry'!AB$9)),MAX(MIN('Council Entry'!AB153,'Council Entry'!AB$9),'Council Entry'!AB$8),'Council Entry'!AB153))))-'Council Entry'!AB$5)/('Council Entry'!AB$6-'Council Entry'!AB$5),10*((IF('Council Entry'!AB$4="Logarithm",LN(0.001+IF(AND(ISNUMBER('Council Entry'!AB$8),ISNUMBER('Council Entry'!AB$9)),MAX(MIN('Council Entry'!AB153,'Council Entry'!AB$9),'Council Entry'!AB$8),'Council Entry'!AB153)),IF('Council Entry'!AB$4="Exponential",EXP(IF(AND(ISNUMBER('Council Entry'!AB$8),ISNUMBER('Council Entry'!AB$9)),MAX(MIN('Council Entry'!AB153,'Council Entry'!AB$9),'Council Entry'!AB$8),'Council Entry'!AB153)),IF(AND(ISNUMBER('Council Entry'!AB$8),ISNUMBER('Council Entry'!AB$9)),MAX(MIN('Council Entry'!AB153,'Council Entry'!AB$9),'Council Entry'!AB$8),'Council Entry'!AB153))))-'Council Entry'!AB$5)/('Council Entry'!AB$6-'Council Entry'!AB$5)),1))),"No data"))</f>
        <v/>
      </c>
      <c r="AC153" s="13">
        <f>IF('Council Entry'!AC153="","",IFERROR(MAX(0,MIN(10,ROUND(IF('Council Entry'!AC$7="Decrease Risk",10-10*((IF('Council Entry'!AC$4="Logarithm",LN(0.001+IF(AND(ISNUMBER('Council Entry'!AC$8),ISNUMBER('Council Entry'!AC$9)),MAX(MIN('Council Entry'!AC153,'Council Entry'!AC$9),'Council Entry'!AC$8),'Council Entry'!AC153)),IF('Council Entry'!AC$4="Exponential",EXP(IF(AND(ISNUMBER('Council Entry'!AC$8),ISNUMBER('Council Entry'!AC$9)),MAX(MIN('Council Entry'!AC153,'Council Entry'!AC$9),'Council Entry'!AC$8),'Council Entry'!AC153)),IF(AND(ISNUMBER('Council Entry'!AC$8),ISNUMBER('Council Entry'!AC$9)),MAX(MIN('Council Entry'!AC153,'Council Entry'!AC$9),'Council Entry'!AC$8),'Council Entry'!AC153))))-'Council Entry'!AC$5)/('Council Entry'!AC$6-'Council Entry'!AC$5),10*((IF('Council Entry'!AC$4="Logarithm",LN(0.001+IF(AND(ISNUMBER('Council Entry'!AC$8),ISNUMBER('Council Entry'!AC$9)),MAX(MIN('Council Entry'!AC153,'Council Entry'!AC$9),'Council Entry'!AC$8),'Council Entry'!AC153)),IF('Council Entry'!AC$4="Exponential",EXP(IF(AND(ISNUMBER('Council Entry'!AC$8),ISNUMBER('Council Entry'!AC$9)),MAX(MIN('Council Entry'!AC153,'Council Entry'!AC$9),'Council Entry'!AC$8),'Council Entry'!AC153)),IF(AND(ISNUMBER('Council Entry'!AC$8),ISNUMBER('Council Entry'!AC$9)),MAX(MIN('Council Entry'!AC153,'Council Entry'!AC$9),'Council Entry'!AC$8),'Council Entry'!AC153))))-'Council Entry'!AC$5)/('Council Entry'!AC$6-'Council Entry'!AC$5)),1))),"No data"))</f>
        <v/>
      </c>
      <c r="AD153" s="13">
        <f>IF('Council Entry'!AD153="","",IFERROR(MAX(0,MIN(10,ROUND(IF('Council Entry'!AD$7="Decrease Risk",10-10*((IF('Council Entry'!AD$4="Logarithm",LN(0.001+IF(AND(ISNUMBER('Council Entry'!AD$8),ISNUMBER('Council Entry'!AD$9)),MAX(MIN('Council Entry'!AD153,'Council Entry'!AD$9),'Council Entry'!AD$8),'Council Entry'!AD153)),IF('Council Entry'!AD$4="Exponential",EXP(IF(AND(ISNUMBER('Council Entry'!AD$8),ISNUMBER('Council Entry'!AD$9)),MAX(MIN('Council Entry'!AD153,'Council Entry'!AD$9),'Council Entry'!AD$8),'Council Entry'!AD153)),IF(AND(ISNUMBER('Council Entry'!AD$8),ISNUMBER('Council Entry'!AD$9)),MAX(MIN('Council Entry'!AD153,'Council Entry'!AD$9),'Council Entry'!AD$8),'Council Entry'!AD153))))-'Council Entry'!AD$5)/('Council Entry'!AD$6-'Council Entry'!AD$5),10*((IF('Council Entry'!AD$4="Logarithm",LN(0.001+IF(AND(ISNUMBER('Council Entry'!AD$8),ISNUMBER('Council Entry'!AD$9)),MAX(MIN('Council Entry'!AD153,'Council Entry'!AD$9),'Council Entry'!AD$8),'Council Entry'!AD153)),IF('Council Entry'!AD$4="Exponential",EXP(IF(AND(ISNUMBER('Council Entry'!AD$8),ISNUMBER('Council Entry'!AD$9)),MAX(MIN('Council Entry'!AD153,'Council Entry'!AD$9),'Council Entry'!AD$8),'Council Entry'!AD153)),IF(AND(ISNUMBER('Council Entry'!AD$8),ISNUMBER('Council Entry'!AD$9)),MAX(MIN('Council Entry'!AD153,'Council Entry'!AD$9),'Council Entry'!AD$8),'Council Entry'!AD153))))-'Council Entry'!AD$5)/('Council Entry'!AD$6-'Council Entry'!AD$5)),1))),"No data"))</f>
        <v/>
      </c>
      <c r="AE153" s="13">
        <f>IF('Council Entry'!AE153="","",IFERROR(MAX(0,MIN(10,ROUND(IF('Council Entry'!AE$7="Decrease Risk",10-10*((IF('Council Entry'!AE$4="Logarithm",LN(0.001+IF(AND(ISNUMBER('Council Entry'!AE$8),ISNUMBER('Council Entry'!AE$9)),MAX(MIN('Council Entry'!AE153,'Council Entry'!AE$9),'Council Entry'!AE$8),'Council Entry'!AE153)),IF('Council Entry'!AE$4="Exponential",EXP(IF(AND(ISNUMBER('Council Entry'!AE$8),ISNUMBER('Council Entry'!AE$9)),MAX(MIN('Council Entry'!AE153,'Council Entry'!AE$9),'Council Entry'!AE$8),'Council Entry'!AE153)),IF(AND(ISNUMBER('Council Entry'!AE$8),ISNUMBER('Council Entry'!AE$9)),MAX(MIN('Council Entry'!AE153,'Council Entry'!AE$9),'Council Entry'!AE$8),'Council Entry'!AE153))))-'Council Entry'!AE$5)/('Council Entry'!AE$6-'Council Entry'!AE$5),10*((IF('Council Entry'!AE$4="Logarithm",LN(0.001+IF(AND(ISNUMBER('Council Entry'!AE$8),ISNUMBER('Council Entry'!AE$9)),MAX(MIN('Council Entry'!AE153,'Council Entry'!AE$9),'Council Entry'!AE$8),'Council Entry'!AE153)),IF('Council Entry'!AE$4="Exponential",EXP(IF(AND(ISNUMBER('Council Entry'!AE$8),ISNUMBER('Council Entry'!AE$9)),MAX(MIN('Council Entry'!AE153,'Council Entry'!AE$9),'Council Entry'!AE$8),'Council Entry'!AE153)),IF(AND(ISNUMBER('Council Entry'!AE$8),ISNUMBER('Council Entry'!AE$9)),MAX(MIN('Council Entry'!AE153,'Council Entry'!AE$9),'Council Entry'!AE$8),'Council Entry'!AE153))))-'Council Entry'!AE$5)/('Council Entry'!AE$6-'Council Entry'!AE$5)),1))),"No data"))</f>
        <v/>
      </c>
      <c r="AF153" s="13">
        <f>IF('Council Entry'!AF153="","",IFERROR(MAX(0,MIN(10,ROUND(IF('Council Entry'!AF$7="Decrease Risk",10-10*((IF('Council Entry'!AF$4="Logarithm",LN(0.001+IF(AND(ISNUMBER('Council Entry'!AF$8),ISNUMBER('Council Entry'!AF$9)),MAX(MIN('Council Entry'!AF153,'Council Entry'!AF$9),'Council Entry'!AF$8),'Council Entry'!AF153)),IF('Council Entry'!AF$4="Exponential",EXP(IF(AND(ISNUMBER('Council Entry'!AF$8),ISNUMBER('Council Entry'!AF$9)),MAX(MIN('Council Entry'!AF153,'Council Entry'!AF$9),'Council Entry'!AF$8),'Council Entry'!AF153)),IF(AND(ISNUMBER('Council Entry'!AF$8),ISNUMBER('Council Entry'!AF$9)),MAX(MIN('Council Entry'!AF153,'Council Entry'!AF$9),'Council Entry'!AF$8),'Council Entry'!AF153))))-'Council Entry'!AF$5)/('Council Entry'!AF$6-'Council Entry'!AF$5),10*((IF('Council Entry'!AF$4="Logarithm",LN(0.001+IF(AND(ISNUMBER('Council Entry'!AF$8),ISNUMBER('Council Entry'!AF$9)),MAX(MIN('Council Entry'!AF153,'Council Entry'!AF$9),'Council Entry'!AF$8),'Council Entry'!AF153)),IF('Council Entry'!AF$4="Exponential",EXP(IF(AND(ISNUMBER('Council Entry'!AF$8),ISNUMBER('Council Entry'!AF$9)),MAX(MIN('Council Entry'!AF153,'Council Entry'!AF$9),'Council Entry'!AF$8),'Council Entry'!AF153)),IF(AND(ISNUMBER('Council Entry'!AF$8),ISNUMBER('Council Entry'!AF$9)),MAX(MIN('Council Entry'!AF153,'Council Entry'!AF$9),'Council Entry'!AF$8),'Council Entry'!AF153))))-'Council Entry'!AF$5)/('Council Entry'!AF$6-'Council Entry'!AF$5)),1))),"No data"))</f>
        <v/>
      </c>
      <c r="AG153" s="13">
        <f>IF('Council Entry'!AG153="","",IFERROR(MAX(0,MIN(10,ROUND(IF('Council Entry'!AG$7="Decrease Risk",10-10*((IF('Council Entry'!AG$4="Logarithm",LN(0.001+IF(AND(ISNUMBER('Council Entry'!AG$8),ISNUMBER('Council Entry'!AG$9)),MAX(MIN('Council Entry'!AG153,'Council Entry'!AG$9),'Council Entry'!AG$8),'Council Entry'!AG153)),IF('Council Entry'!AG$4="Exponential",EXP(IF(AND(ISNUMBER('Council Entry'!AG$8),ISNUMBER('Council Entry'!AG$9)),MAX(MIN('Council Entry'!AG153,'Council Entry'!AG$9),'Council Entry'!AG$8),'Council Entry'!AG153)),IF(AND(ISNUMBER('Council Entry'!AG$8),ISNUMBER('Council Entry'!AG$9)),MAX(MIN('Council Entry'!AG153,'Council Entry'!AG$9),'Council Entry'!AG$8),'Council Entry'!AG153))))-'Council Entry'!AG$5)/('Council Entry'!AG$6-'Council Entry'!AG$5),10*((IF('Council Entry'!AG$4="Logarithm",LN(0.001+IF(AND(ISNUMBER('Council Entry'!AG$8),ISNUMBER('Council Entry'!AG$9)),MAX(MIN('Council Entry'!AG153,'Council Entry'!AG$9),'Council Entry'!AG$8),'Council Entry'!AG153)),IF('Council Entry'!AG$4="Exponential",EXP(IF(AND(ISNUMBER('Council Entry'!AG$8),ISNUMBER('Council Entry'!AG$9)),MAX(MIN('Council Entry'!AG153,'Council Entry'!AG$9),'Council Entry'!AG$8),'Council Entry'!AG153)),IF(AND(ISNUMBER('Council Entry'!AG$8),ISNUMBER('Council Entry'!AG$9)),MAX(MIN('Council Entry'!AG153,'Council Entry'!AG$9),'Council Entry'!AG$8),'Council Entry'!AG153))))-'Council Entry'!AG$5)/('Council Entry'!AG$6-'Council Entry'!AG$5)),1))),"No data"))</f>
        <v/>
      </c>
      <c r="AH153" s="13">
        <f>IF('Council Entry'!AH153="","",IFERROR(MAX(0,MIN(10,ROUND(IF('Council Entry'!AH$7="Decrease Risk",10-10*((IF('Council Entry'!AH$4="Logarithm",LN(0.001+IF(AND(ISNUMBER('Council Entry'!AH$8),ISNUMBER('Council Entry'!AH$9)),MAX(MIN('Council Entry'!AH153,'Council Entry'!AH$9),'Council Entry'!AH$8),'Council Entry'!AH153)),IF('Council Entry'!AH$4="Exponential",EXP(IF(AND(ISNUMBER('Council Entry'!AH$8),ISNUMBER('Council Entry'!AH$9)),MAX(MIN('Council Entry'!AH153,'Council Entry'!AH$9),'Council Entry'!AH$8),'Council Entry'!AH153)),IF(AND(ISNUMBER('Council Entry'!AH$8),ISNUMBER('Council Entry'!AH$9)),MAX(MIN('Council Entry'!AH153,'Council Entry'!AH$9),'Council Entry'!AH$8),'Council Entry'!AH153))))-'Council Entry'!AH$5)/('Council Entry'!AH$6-'Council Entry'!AH$5),10*((IF('Council Entry'!AH$4="Logarithm",LN(0.001+IF(AND(ISNUMBER('Council Entry'!AH$8),ISNUMBER('Council Entry'!AH$9)),MAX(MIN('Council Entry'!AH153,'Council Entry'!AH$9),'Council Entry'!AH$8),'Council Entry'!AH153)),IF('Council Entry'!AH$4="Exponential",EXP(IF(AND(ISNUMBER('Council Entry'!AH$8),ISNUMBER('Council Entry'!AH$9)),MAX(MIN('Council Entry'!AH153,'Council Entry'!AH$9),'Council Entry'!AH$8),'Council Entry'!AH153)),IF(AND(ISNUMBER('Council Entry'!AH$8),ISNUMBER('Council Entry'!AH$9)),MAX(MIN('Council Entry'!AH153,'Council Entry'!AH$9),'Council Entry'!AH$8),'Council Entry'!AH153))))-'Council Entry'!AH$5)/('Council Entry'!AH$6-'Council Entry'!AH$5)),1))),"No data"))</f>
        <v/>
      </c>
      <c r="AI153" s="13">
        <f>IF('Council Entry'!AI153="","",IFERROR(MAX(0,MIN(10,ROUND(IF('Council Entry'!AI$7="Decrease Risk",10-10*((IF('Council Entry'!AI$4="Logarithm",LN(0.001+IF(AND(ISNUMBER('Council Entry'!AI$8),ISNUMBER('Council Entry'!AI$9)),MAX(MIN('Council Entry'!AI153,'Council Entry'!AI$9),'Council Entry'!AI$8),'Council Entry'!AI153)),IF('Council Entry'!AI$4="Exponential",EXP(IF(AND(ISNUMBER('Council Entry'!AI$8),ISNUMBER('Council Entry'!AI$9)),MAX(MIN('Council Entry'!AI153,'Council Entry'!AI$9),'Council Entry'!AI$8),'Council Entry'!AI153)),IF(AND(ISNUMBER('Council Entry'!AI$8),ISNUMBER('Council Entry'!AI$9)),MAX(MIN('Council Entry'!AI153,'Council Entry'!AI$9),'Council Entry'!AI$8),'Council Entry'!AI153))))-'Council Entry'!AI$5)/('Council Entry'!AI$6-'Council Entry'!AI$5),10*((IF('Council Entry'!AI$4="Logarithm",LN(0.001+IF(AND(ISNUMBER('Council Entry'!AI$8),ISNUMBER('Council Entry'!AI$9)),MAX(MIN('Council Entry'!AI153,'Council Entry'!AI$9),'Council Entry'!AI$8),'Council Entry'!AI153)),IF('Council Entry'!AI$4="Exponential",EXP(IF(AND(ISNUMBER('Council Entry'!AI$8),ISNUMBER('Council Entry'!AI$9)),MAX(MIN('Council Entry'!AI153,'Council Entry'!AI$9),'Council Entry'!AI$8),'Council Entry'!AI153)),IF(AND(ISNUMBER('Council Entry'!AI$8),ISNUMBER('Council Entry'!AI$9)),MAX(MIN('Council Entry'!AI153,'Council Entry'!AI$9),'Council Entry'!AI$8),'Council Entry'!AI153))))-'Council Entry'!AI$5)/('Council Entry'!AI$6-'Council Entry'!AI$5)),1))),"No data"))</f>
        <v/>
      </c>
      <c r="AJ153" s="13">
        <f>IF('Council Entry'!AJ153="","",IFERROR(MAX(0,MIN(10,ROUND(IF('Council Entry'!AJ$7="Decrease Risk",10-10*((IF('Council Entry'!AJ$4="Logarithm",LN(0.001+IF(AND(ISNUMBER('Council Entry'!AJ$8),ISNUMBER('Council Entry'!AJ$9)),MAX(MIN('Council Entry'!AJ153,'Council Entry'!AJ$9),'Council Entry'!AJ$8),'Council Entry'!AJ153)),IF('Council Entry'!AJ$4="Exponential",EXP(IF(AND(ISNUMBER('Council Entry'!AJ$8),ISNUMBER('Council Entry'!AJ$9)),MAX(MIN('Council Entry'!AJ153,'Council Entry'!AJ$9),'Council Entry'!AJ$8),'Council Entry'!AJ153)),IF(AND(ISNUMBER('Council Entry'!AJ$8),ISNUMBER('Council Entry'!AJ$9)),MAX(MIN('Council Entry'!AJ153,'Council Entry'!AJ$9),'Council Entry'!AJ$8),'Council Entry'!AJ153))))-'Council Entry'!AJ$5)/('Council Entry'!AJ$6-'Council Entry'!AJ$5),10*((IF('Council Entry'!AJ$4="Logarithm",LN(0.001+IF(AND(ISNUMBER('Council Entry'!AJ$8),ISNUMBER('Council Entry'!AJ$9)),MAX(MIN('Council Entry'!AJ153,'Council Entry'!AJ$9),'Council Entry'!AJ$8),'Council Entry'!AJ153)),IF('Council Entry'!AJ$4="Exponential",EXP(IF(AND(ISNUMBER('Council Entry'!AJ$8),ISNUMBER('Council Entry'!AJ$9)),MAX(MIN('Council Entry'!AJ153,'Council Entry'!AJ$9),'Council Entry'!AJ$8),'Council Entry'!AJ153)),IF(AND(ISNUMBER('Council Entry'!AJ$8),ISNUMBER('Council Entry'!AJ$9)),MAX(MIN('Council Entry'!AJ153,'Council Entry'!AJ$9),'Council Entry'!AJ$8),'Council Entry'!AJ153))))-'Council Entry'!AJ$5)/('Council Entry'!AJ$6-'Council Entry'!AJ$5)),1))),"No data"))</f>
        <v/>
      </c>
      <c r="AK153" s="13">
        <f>IF('Council Entry'!AK153="","",IFERROR(MAX(0,MIN(10,ROUND(IF('Council Entry'!AK$7="Decrease Risk",10-10*((IF('Council Entry'!AK$4="Logarithm",LN(0.001+IF(AND(ISNUMBER('Council Entry'!AK$8),ISNUMBER('Council Entry'!AK$9)),MAX(MIN('Council Entry'!AK153,'Council Entry'!AK$9),'Council Entry'!AK$8),'Council Entry'!AK153)),IF('Council Entry'!AK$4="Exponential",EXP(IF(AND(ISNUMBER('Council Entry'!AK$8),ISNUMBER('Council Entry'!AK$9)),MAX(MIN('Council Entry'!AK153,'Council Entry'!AK$9),'Council Entry'!AK$8),'Council Entry'!AK153)),IF(AND(ISNUMBER('Council Entry'!AK$8),ISNUMBER('Council Entry'!AK$9)),MAX(MIN('Council Entry'!AK153,'Council Entry'!AK$9),'Council Entry'!AK$8),'Council Entry'!AK153))))-'Council Entry'!AK$5)/('Council Entry'!AK$6-'Council Entry'!AK$5),10*((IF('Council Entry'!AK$4="Logarithm",LN(0.001+IF(AND(ISNUMBER('Council Entry'!AK$8),ISNUMBER('Council Entry'!AK$9)),MAX(MIN('Council Entry'!AK153,'Council Entry'!AK$9),'Council Entry'!AK$8),'Council Entry'!AK153)),IF('Council Entry'!AK$4="Exponential",EXP(IF(AND(ISNUMBER('Council Entry'!AK$8),ISNUMBER('Council Entry'!AK$9)),MAX(MIN('Council Entry'!AK153,'Council Entry'!AK$9),'Council Entry'!AK$8),'Council Entry'!AK153)),IF(AND(ISNUMBER('Council Entry'!AK$8),ISNUMBER('Council Entry'!AK$9)),MAX(MIN('Council Entry'!AK153,'Council Entry'!AK$9),'Council Entry'!AK$8),'Council Entry'!AK153))))-'Council Entry'!AK$5)/('Council Entry'!AK$6-'Council Entry'!AK$5)),1))),"No data"))</f>
        <v/>
      </c>
      <c r="AL153" s="13">
        <f>IF('Council Entry'!AL153="","",IFERROR(MAX(0,MIN(10,ROUND(IF('Council Entry'!AL$7="Decrease Risk",10-10*((IF('Council Entry'!AL$4="Logarithm",LN(0.001+IF(AND(ISNUMBER('Council Entry'!AL$8),ISNUMBER('Council Entry'!AL$9)),MAX(MIN('Council Entry'!AL153,'Council Entry'!AL$9),'Council Entry'!AL$8),'Council Entry'!AL153)),IF('Council Entry'!AL$4="Exponential",EXP(IF(AND(ISNUMBER('Council Entry'!AL$8),ISNUMBER('Council Entry'!AL$9)),MAX(MIN('Council Entry'!AL153,'Council Entry'!AL$9),'Council Entry'!AL$8),'Council Entry'!AL153)),IF(AND(ISNUMBER('Council Entry'!AL$8),ISNUMBER('Council Entry'!AL$9)),MAX(MIN('Council Entry'!AL153,'Council Entry'!AL$9),'Council Entry'!AL$8),'Council Entry'!AL153))))-'Council Entry'!AL$5)/('Council Entry'!AL$6-'Council Entry'!AL$5),10*((IF('Council Entry'!AL$4="Logarithm",LN(0.001+IF(AND(ISNUMBER('Council Entry'!AL$8),ISNUMBER('Council Entry'!AL$9)),MAX(MIN('Council Entry'!AL153,'Council Entry'!AL$9),'Council Entry'!AL$8),'Council Entry'!AL153)),IF('Council Entry'!AL$4="Exponential",EXP(IF(AND(ISNUMBER('Council Entry'!AL$8),ISNUMBER('Council Entry'!AL$9)),MAX(MIN('Council Entry'!AL153,'Council Entry'!AL$9),'Council Entry'!AL$8),'Council Entry'!AL153)),IF(AND(ISNUMBER('Council Entry'!AL$8),ISNUMBER('Council Entry'!AL$9)),MAX(MIN('Council Entry'!AL153,'Council Entry'!AL$9),'Council Entry'!AL$8),'Council Entry'!AL153))))-'Council Entry'!AL$5)/('Council Entry'!AL$6-'Council Entry'!AL$5)),1))),"No data"))</f>
        <v/>
      </c>
      <c r="AM153" s="13">
        <f>IF('Council Entry'!AM153="","",IFERROR(MAX(0,MIN(10,ROUND(IF('Council Entry'!AM$7="Decrease Risk",10-10*((IF('Council Entry'!AM$4="Logarithm",LN(0.001+IF(AND(ISNUMBER('Council Entry'!AM$8),ISNUMBER('Council Entry'!AM$9)),MAX(MIN('Council Entry'!AM153,'Council Entry'!AM$9),'Council Entry'!AM$8),'Council Entry'!AM153)),IF('Council Entry'!AM$4="Exponential",EXP(IF(AND(ISNUMBER('Council Entry'!AM$8),ISNUMBER('Council Entry'!AM$9)),MAX(MIN('Council Entry'!AM153,'Council Entry'!AM$9),'Council Entry'!AM$8),'Council Entry'!AM153)),IF(AND(ISNUMBER('Council Entry'!AM$8),ISNUMBER('Council Entry'!AM$9)),MAX(MIN('Council Entry'!AM153,'Council Entry'!AM$9),'Council Entry'!AM$8),'Council Entry'!AM153))))-'Council Entry'!AM$5)/('Council Entry'!AM$6-'Council Entry'!AM$5),10*((IF('Council Entry'!AM$4="Logarithm",LN(0.001+IF(AND(ISNUMBER('Council Entry'!AM$8),ISNUMBER('Council Entry'!AM$9)),MAX(MIN('Council Entry'!AM153,'Council Entry'!AM$9),'Council Entry'!AM$8),'Council Entry'!AM153)),IF('Council Entry'!AM$4="Exponential",EXP(IF(AND(ISNUMBER('Council Entry'!AM$8),ISNUMBER('Council Entry'!AM$9)),MAX(MIN('Council Entry'!AM153,'Council Entry'!AM$9),'Council Entry'!AM$8),'Council Entry'!AM153)),IF(AND(ISNUMBER('Council Entry'!AM$8),ISNUMBER('Council Entry'!AM$9)),MAX(MIN('Council Entry'!AM153,'Council Entry'!AM$9),'Council Entry'!AM$8),'Council Entry'!AM153))))-'Council Entry'!AM$5)/('Council Entry'!AM$6-'Council Entry'!AM$5)),1))),"No data"))</f>
        <v/>
      </c>
      <c r="AN153" s="13">
        <f>IF('Council Entry'!AN153="","",IFERROR(MAX(0,MIN(10,ROUND(IF('Council Entry'!AN$7="Decrease Risk",10-10*((IF('Council Entry'!AN$4="Logarithm",LN(0.001+IF(AND(ISNUMBER('Council Entry'!AN$8),ISNUMBER('Council Entry'!AN$9)),MAX(MIN('Council Entry'!AN153,'Council Entry'!AN$9),'Council Entry'!AN$8),'Council Entry'!AN153)),IF('Council Entry'!AN$4="Exponential",EXP(IF(AND(ISNUMBER('Council Entry'!AN$8),ISNUMBER('Council Entry'!AN$9)),MAX(MIN('Council Entry'!AN153,'Council Entry'!AN$9),'Council Entry'!AN$8),'Council Entry'!AN153)),IF(AND(ISNUMBER('Council Entry'!AN$8),ISNUMBER('Council Entry'!AN$9)),MAX(MIN('Council Entry'!AN153,'Council Entry'!AN$9),'Council Entry'!AN$8),'Council Entry'!AN153))))-'Council Entry'!AN$5)/('Council Entry'!AN$6-'Council Entry'!AN$5),10*((IF('Council Entry'!AN$4="Logarithm",LN(0.001+IF(AND(ISNUMBER('Council Entry'!AN$8),ISNUMBER('Council Entry'!AN$9)),MAX(MIN('Council Entry'!AN153,'Council Entry'!AN$9),'Council Entry'!AN$8),'Council Entry'!AN153)),IF('Council Entry'!AN$4="Exponential",EXP(IF(AND(ISNUMBER('Council Entry'!AN$8),ISNUMBER('Council Entry'!AN$9)),MAX(MIN('Council Entry'!AN153,'Council Entry'!AN$9),'Council Entry'!AN$8),'Council Entry'!AN153)),IF(AND(ISNUMBER('Council Entry'!AN$8),ISNUMBER('Council Entry'!AN$9)),MAX(MIN('Council Entry'!AN153,'Council Entry'!AN$9),'Council Entry'!AN$8),'Council Entry'!AN153))))-'Council Entry'!AN$5)/('Council Entry'!AN$6-'Council Entry'!AN$5)),1))),"No data"))</f>
        <v/>
      </c>
      <c r="AO153" s="13">
        <f>IF('Council Entry'!AO153="","",IFERROR(MAX(0,MIN(10,ROUND(IF('Council Entry'!AO$7="Decrease Risk",10-10*((IF('Council Entry'!AO$4="Logarithm",LN(0.001+IF(AND(ISNUMBER('Council Entry'!AO$8),ISNUMBER('Council Entry'!AO$9)),MAX(MIN('Council Entry'!AO153,'Council Entry'!AO$9),'Council Entry'!AO$8),'Council Entry'!AO153)),IF('Council Entry'!AO$4="Exponential",EXP(IF(AND(ISNUMBER('Council Entry'!AO$8),ISNUMBER('Council Entry'!AO$9)),MAX(MIN('Council Entry'!AO153,'Council Entry'!AO$9),'Council Entry'!AO$8),'Council Entry'!AO153)),IF(AND(ISNUMBER('Council Entry'!AO$8),ISNUMBER('Council Entry'!AO$9)),MAX(MIN('Council Entry'!AO153,'Council Entry'!AO$9),'Council Entry'!AO$8),'Council Entry'!AO153))))-'Council Entry'!AO$5)/('Council Entry'!AO$6-'Council Entry'!AO$5),10*((IF('Council Entry'!AO$4="Logarithm",LN(0.001+IF(AND(ISNUMBER('Council Entry'!AO$8),ISNUMBER('Council Entry'!AO$9)),MAX(MIN('Council Entry'!AO153,'Council Entry'!AO$9),'Council Entry'!AO$8),'Council Entry'!AO153)),IF('Council Entry'!AO$4="Exponential",EXP(IF(AND(ISNUMBER('Council Entry'!AO$8),ISNUMBER('Council Entry'!AO$9)),MAX(MIN('Council Entry'!AO153,'Council Entry'!AO$9),'Council Entry'!AO$8),'Council Entry'!AO153)),IF(AND(ISNUMBER('Council Entry'!AO$8),ISNUMBER('Council Entry'!AO$9)),MAX(MIN('Council Entry'!AO153,'Council Entry'!AO$9),'Council Entry'!AO$8),'Council Entry'!AO153))))-'Council Entry'!AO$5)/('Council Entry'!AO$6-'Council Entry'!AO$5)),1))),"No data"))</f>
        <v/>
      </c>
      <c r="AP153" s="13">
        <f>IF('Council Entry'!AP153="","",IFERROR(MAX(0,MIN(10,ROUND(IF('Council Entry'!AP$7="Decrease Risk",10-10*((IF('Council Entry'!AP$4="Logarithm",LN(0.001+IF(AND(ISNUMBER('Council Entry'!AP$8),ISNUMBER('Council Entry'!AP$9)),MAX(MIN('Council Entry'!AP153,'Council Entry'!AP$9),'Council Entry'!AP$8),'Council Entry'!AP153)),IF('Council Entry'!AP$4="Exponential",EXP(IF(AND(ISNUMBER('Council Entry'!AP$8),ISNUMBER('Council Entry'!AP$9)),MAX(MIN('Council Entry'!AP153,'Council Entry'!AP$9),'Council Entry'!AP$8),'Council Entry'!AP153)),IF(AND(ISNUMBER('Council Entry'!AP$8),ISNUMBER('Council Entry'!AP$9)),MAX(MIN('Council Entry'!AP153,'Council Entry'!AP$9),'Council Entry'!AP$8),'Council Entry'!AP153))))-'Council Entry'!AP$5)/('Council Entry'!AP$6-'Council Entry'!AP$5),10*((IF('Council Entry'!AP$4="Logarithm",LN(0.001+IF(AND(ISNUMBER('Council Entry'!AP$8),ISNUMBER('Council Entry'!AP$9)),MAX(MIN('Council Entry'!AP153,'Council Entry'!AP$9),'Council Entry'!AP$8),'Council Entry'!AP153)),IF('Council Entry'!AP$4="Exponential",EXP(IF(AND(ISNUMBER('Council Entry'!AP$8),ISNUMBER('Council Entry'!AP$9)),MAX(MIN('Council Entry'!AP153,'Council Entry'!AP$9),'Council Entry'!AP$8),'Council Entry'!AP153)),IF(AND(ISNUMBER('Council Entry'!AP$8),ISNUMBER('Council Entry'!AP$9)),MAX(MIN('Council Entry'!AP153,'Council Entry'!AP$9),'Council Entry'!AP$8),'Council Entry'!AP153))))-'Council Entry'!AP$5)/('Council Entry'!AP$6-'Council Entry'!AP$5)),1))),"No data"))</f>
        <v/>
      </c>
      <c r="AQ153" s="13">
        <f>IF('Council Entry'!AQ153="","",IFERROR(MAX(0,MIN(10,ROUND(IF('Council Entry'!AQ$7="Decrease Risk",10-10*((IF('Council Entry'!AQ$4="Logarithm",LN(0.001+IF(AND(ISNUMBER('Council Entry'!AQ$8),ISNUMBER('Council Entry'!AQ$9)),MAX(MIN('Council Entry'!AQ153,'Council Entry'!AQ$9),'Council Entry'!AQ$8),'Council Entry'!AQ153)),IF('Council Entry'!AQ$4="Exponential",EXP(IF(AND(ISNUMBER('Council Entry'!AQ$8),ISNUMBER('Council Entry'!AQ$9)),MAX(MIN('Council Entry'!AQ153,'Council Entry'!AQ$9),'Council Entry'!AQ$8),'Council Entry'!AQ153)),IF(AND(ISNUMBER('Council Entry'!AQ$8),ISNUMBER('Council Entry'!AQ$9)),MAX(MIN('Council Entry'!AQ153,'Council Entry'!AQ$9),'Council Entry'!AQ$8),'Council Entry'!AQ153))))-'Council Entry'!AQ$5)/('Council Entry'!AQ$6-'Council Entry'!AQ$5),10*((IF('Council Entry'!AQ$4="Logarithm",LN(0.001+IF(AND(ISNUMBER('Council Entry'!AQ$8),ISNUMBER('Council Entry'!AQ$9)),MAX(MIN('Council Entry'!AQ153,'Council Entry'!AQ$9),'Council Entry'!AQ$8),'Council Entry'!AQ153)),IF('Council Entry'!AQ$4="Exponential",EXP(IF(AND(ISNUMBER('Council Entry'!AQ$8),ISNUMBER('Council Entry'!AQ$9)),MAX(MIN('Council Entry'!AQ153,'Council Entry'!AQ$9),'Council Entry'!AQ$8),'Council Entry'!AQ153)),IF(AND(ISNUMBER('Council Entry'!AQ$8),ISNUMBER('Council Entry'!AQ$9)),MAX(MIN('Council Entry'!AQ153,'Council Entry'!AQ$9),'Council Entry'!AQ$8),'Council Entry'!AQ153))))-'Council Entry'!AQ$5)/('Council Entry'!AQ$6-'Council Entry'!AQ$5)),1))),"No data"))</f>
        <v/>
      </c>
      <c r="AR153" s="13">
        <f>IF('Council Entry'!AR153="","",IFERROR(MAX(0,MIN(10,ROUND(IF('Council Entry'!AR$7="Decrease Risk",10-10*((IF('Council Entry'!AR$4="Logarithm",LN(0.001+IF(AND(ISNUMBER('Council Entry'!AR$8),ISNUMBER('Council Entry'!AR$9)),MAX(MIN('Council Entry'!AR153,'Council Entry'!AR$9),'Council Entry'!AR$8),'Council Entry'!AR153)),IF('Council Entry'!AR$4="Exponential",EXP(IF(AND(ISNUMBER('Council Entry'!AR$8),ISNUMBER('Council Entry'!AR$9)),MAX(MIN('Council Entry'!AR153,'Council Entry'!AR$9),'Council Entry'!AR$8),'Council Entry'!AR153)),IF(AND(ISNUMBER('Council Entry'!AR$8),ISNUMBER('Council Entry'!AR$9)),MAX(MIN('Council Entry'!AR153,'Council Entry'!AR$9),'Council Entry'!AR$8),'Council Entry'!AR153))))-'Council Entry'!AR$5)/('Council Entry'!AR$6-'Council Entry'!AR$5),10*((IF('Council Entry'!AR$4="Logarithm",LN(0.001+IF(AND(ISNUMBER('Council Entry'!AR$8),ISNUMBER('Council Entry'!AR$9)),MAX(MIN('Council Entry'!AR153,'Council Entry'!AR$9),'Council Entry'!AR$8),'Council Entry'!AR153)),IF('Council Entry'!AR$4="Exponential",EXP(IF(AND(ISNUMBER('Council Entry'!AR$8),ISNUMBER('Council Entry'!AR$9)),MAX(MIN('Council Entry'!AR153,'Council Entry'!AR$9),'Council Entry'!AR$8),'Council Entry'!AR153)),IF(AND(ISNUMBER('Council Entry'!AR$8),ISNUMBER('Council Entry'!AR$9)),MAX(MIN('Council Entry'!AR153,'Council Entry'!AR$9),'Council Entry'!AR$8),'Council Entry'!AR153))))-'Council Entry'!AR$5)/('Council Entry'!AR$6-'Council Entry'!AR$5)),1))),"No data"))</f>
        <v/>
      </c>
      <c r="AS153" s="13">
        <f>IF('Council Entry'!AS153="","",IFERROR(MAX(0,MIN(10,ROUND(IF('Council Entry'!AS$7="Decrease Risk",10-10*((IF('Council Entry'!AS$4="Logarithm",LN(0.001+IF(AND(ISNUMBER('Council Entry'!AS$8),ISNUMBER('Council Entry'!AS$9)),MAX(MIN('Council Entry'!AS153,'Council Entry'!AS$9),'Council Entry'!AS$8),'Council Entry'!AS153)),IF('Council Entry'!AS$4="Exponential",EXP(IF(AND(ISNUMBER('Council Entry'!AS$8),ISNUMBER('Council Entry'!AS$9)),MAX(MIN('Council Entry'!AS153,'Council Entry'!AS$9),'Council Entry'!AS$8),'Council Entry'!AS153)),IF(AND(ISNUMBER('Council Entry'!AS$8),ISNUMBER('Council Entry'!AS$9)),MAX(MIN('Council Entry'!AS153,'Council Entry'!AS$9),'Council Entry'!AS$8),'Council Entry'!AS153))))-'Council Entry'!AS$5)/('Council Entry'!AS$6-'Council Entry'!AS$5),10*((IF('Council Entry'!AS$4="Logarithm",LN(0.001+IF(AND(ISNUMBER('Council Entry'!AS$8),ISNUMBER('Council Entry'!AS$9)),MAX(MIN('Council Entry'!AS153,'Council Entry'!AS$9),'Council Entry'!AS$8),'Council Entry'!AS153)),IF('Council Entry'!AS$4="Exponential",EXP(IF(AND(ISNUMBER('Council Entry'!AS$8),ISNUMBER('Council Entry'!AS$9)),MAX(MIN('Council Entry'!AS153,'Council Entry'!AS$9),'Council Entry'!AS$8),'Council Entry'!AS153)),IF(AND(ISNUMBER('Council Entry'!AS$8),ISNUMBER('Council Entry'!AS$9)),MAX(MIN('Council Entry'!AS153,'Council Entry'!AS$9),'Council Entry'!AS$8),'Council Entry'!AS153))))-'Council Entry'!AS$5)/('Council Entry'!AS$6-'Council Entry'!AS$5)),1))),"No data"))</f>
        <v/>
      </c>
      <c r="AT153" s="13">
        <f>IF('Council Entry'!AT153="","",IFERROR(MAX(0,MIN(10,ROUND(IF('Council Entry'!AT$7="Decrease Risk",10-10*((IF('Council Entry'!AT$4="Logarithm",LN(0.001+IF(AND(ISNUMBER('Council Entry'!AT$8),ISNUMBER('Council Entry'!AT$9)),MAX(MIN('Council Entry'!AT153,'Council Entry'!AT$9),'Council Entry'!AT$8),'Council Entry'!AT153)),IF('Council Entry'!AT$4="Exponential",EXP(IF(AND(ISNUMBER('Council Entry'!AT$8),ISNUMBER('Council Entry'!AT$9)),MAX(MIN('Council Entry'!AT153,'Council Entry'!AT$9),'Council Entry'!AT$8),'Council Entry'!AT153)),IF(AND(ISNUMBER('Council Entry'!AT$8),ISNUMBER('Council Entry'!AT$9)),MAX(MIN('Council Entry'!AT153,'Council Entry'!AT$9),'Council Entry'!AT$8),'Council Entry'!AT153))))-'Council Entry'!AT$5)/('Council Entry'!AT$6-'Council Entry'!AT$5),10*((IF('Council Entry'!AT$4="Logarithm",LN(0.001+IF(AND(ISNUMBER('Council Entry'!AT$8),ISNUMBER('Council Entry'!AT$9)),MAX(MIN('Council Entry'!AT153,'Council Entry'!AT$9),'Council Entry'!AT$8),'Council Entry'!AT153)),IF('Council Entry'!AT$4="Exponential",EXP(IF(AND(ISNUMBER('Council Entry'!AT$8),ISNUMBER('Council Entry'!AT$9)),MAX(MIN('Council Entry'!AT153,'Council Entry'!AT$9),'Council Entry'!AT$8),'Council Entry'!AT153)),IF(AND(ISNUMBER('Council Entry'!AT$8),ISNUMBER('Council Entry'!AT$9)),MAX(MIN('Council Entry'!AT153,'Council Entry'!AT$9),'Council Entry'!AT$8),'Council Entry'!AT153))))-'Council Entry'!AT$5)/('Council Entry'!AT$6-'Council Entry'!AT$5)),1))),"No data"))</f>
        <v/>
      </c>
      <c r="AU153" s="13">
        <f>IF('Council Entry'!AU153="","",IFERROR(MAX(0,MIN(10,ROUND(IF('Council Entry'!AU$7="Decrease Risk",10-10*((IF('Council Entry'!AU$4="Logarithm",LN(0.001+IF(AND(ISNUMBER('Council Entry'!AU$8),ISNUMBER('Council Entry'!AU$9)),MAX(MIN('Council Entry'!AU153,'Council Entry'!AU$9),'Council Entry'!AU$8),'Council Entry'!AU153)),IF('Council Entry'!AU$4="Exponential",EXP(IF(AND(ISNUMBER('Council Entry'!AU$8),ISNUMBER('Council Entry'!AU$9)),MAX(MIN('Council Entry'!AU153,'Council Entry'!AU$9),'Council Entry'!AU$8),'Council Entry'!AU153)),IF(AND(ISNUMBER('Council Entry'!AU$8),ISNUMBER('Council Entry'!AU$9)),MAX(MIN('Council Entry'!AU153,'Council Entry'!AU$9),'Council Entry'!AU$8),'Council Entry'!AU153))))-'Council Entry'!AU$5)/('Council Entry'!AU$6-'Council Entry'!AU$5),10*((IF('Council Entry'!AU$4="Logarithm",LN(0.001+IF(AND(ISNUMBER('Council Entry'!AU$8),ISNUMBER('Council Entry'!AU$9)),MAX(MIN('Council Entry'!AU153,'Council Entry'!AU$9),'Council Entry'!AU$8),'Council Entry'!AU153)),IF('Council Entry'!AU$4="Exponential",EXP(IF(AND(ISNUMBER('Council Entry'!AU$8),ISNUMBER('Council Entry'!AU$9)),MAX(MIN('Council Entry'!AU153,'Council Entry'!AU$9),'Council Entry'!AU$8),'Council Entry'!AU153)),IF(AND(ISNUMBER('Council Entry'!AU$8),ISNUMBER('Council Entry'!AU$9)),MAX(MIN('Council Entry'!AU153,'Council Entry'!AU$9),'Council Entry'!AU$8),'Council Entry'!AU153))))-'Council Entry'!AU$5)/('Council Entry'!AU$6-'Council Entry'!AU$5)),1))),"No data"))</f>
        <v/>
      </c>
      <c r="AV153" s="13">
        <f>IF('Council Entry'!AV153="","",IFERROR(MAX(0,MIN(10,ROUND(IF('Council Entry'!AV$7="Decrease Risk",10-10*((IF('Council Entry'!AV$4="Logarithm",LN(0.001+IF(AND(ISNUMBER('Council Entry'!AV$8),ISNUMBER('Council Entry'!AV$9)),MAX(MIN('Council Entry'!AV153,'Council Entry'!AV$9),'Council Entry'!AV$8),'Council Entry'!AV153)),IF('Council Entry'!AV$4="Exponential",EXP(IF(AND(ISNUMBER('Council Entry'!AV$8),ISNUMBER('Council Entry'!AV$9)),MAX(MIN('Council Entry'!AV153,'Council Entry'!AV$9),'Council Entry'!AV$8),'Council Entry'!AV153)),IF(AND(ISNUMBER('Council Entry'!AV$8),ISNUMBER('Council Entry'!AV$9)),MAX(MIN('Council Entry'!AV153,'Council Entry'!AV$9),'Council Entry'!AV$8),'Council Entry'!AV153))))-'Council Entry'!AV$5)/('Council Entry'!AV$6-'Council Entry'!AV$5),10*((IF('Council Entry'!AV$4="Logarithm",LN(0.001+IF(AND(ISNUMBER('Council Entry'!AV$8),ISNUMBER('Council Entry'!AV$9)),MAX(MIN('Council Entry'!AV153,'Council Entry'!AV$9),'Council Entry'!AV$8),'Council Entry'!AV153)),IF('Council Entry'!AV$4="Exponential",EXP(IF(AND(ISNUMBER('Council Entry'!AV$8),ISNUMBER('Council Entry'!AV$9)),MAX(MIN('Council Entry'!AV153,'Council Entry'!AV$9),'Council Entry'!AV$8),'Council Entry'!AV153)),IF(AND(ISNUMBER('Council Entry'!AV$8),ISNUMBER('Council Entry'!AV$9)),MAX(MIN('Council Entry'!AV153,'Council Entry'!AV$9),'Council Entry'!AV$8),'Council Entry'!AV153))))-'Council Entry'!AV$5)/('Council Entry'!AV$6-'Council Entry'!AV$5)),1))),"No data"))</f>
        <v/>
      </c>
      <c r="AW153" s="13">
        <f>IF('Council Entry'!AW153="","",IFERROR(MAX(0,MIN(10,ROUND(IF('Council Entry'!AW$7="Decrease Risk",10-10*((IF('Council Entry'!AW$4="Logarithm",LN(0.001+IF(AND(ISNUMBER('Council Entry'!AW$8),ISNUMBER('Council Entry'!AW$9)),MAX(MIN('Council Entry'!AW153,'Council Entry'!AW$9),'Council Entry'!AW$8),'Council Entry'!AW153)),IF('Council Entry'!AW$4="Exponential",EXP(IF(AND(ISNUMBER('Council Entry'!AW$8),ISNUMBER('Council Entry'!AW$9)),MAX(MIN('Council Entry'!AW153,'Council Entry'!AW$9),'Council Entry'!AW$8),'Council Entry'!AW153)),IF(AND(ISNUMBER('Council Entry'!AW$8),ISNUMBER('Council Entry'!AW$9)),MAX(MIN('Council Entry'!AW153,'Council Entry'!AW$9),'Council Entry'!AW$8),'Council Entry'!AW153))))-'Council Entry'!AW$5)/('Council Entry'!AW$6-'Council Entry'!AW$5),10*((IF('Council Entry'!AW$4="Logarithm",LN(0.001+IF(AND(ISNUMBER('Council Entry'!AW$8),ISNUMBER('Council Entry'!AW$9)),MAX(MIN('Council Entry'!AW153,'Council Entry'!AW$9),'Council Entry'!AW$8),'Council Entry'!AW153)),IF('Council Entry'!AW$4="Exponential",EXP(IF(AND(ISNUMBER('Council Entry'!AW$8),ISNUMBER('Council Entry'!AW$9)),MAX(MIN('Council Entry'!AW153,'Council Entry'!AW$9),'Council Entry'!AW$8),'Council Entry'!AW153)),IF(AND(ISNUMBER('Council Entry'!AW$8),ISNUMBER('Council Entry'!AW$9)),MAX(MIN('Council Entry'!AW153,'Council Entry'!AW$9),'Council Entry'!AW$8),'Council Entry'!AW153))))-'Council Entry'!AW$5)/('Council Entry'!AW$6-'Council Entry'!AW$5)),1))),"No data"))</f>
        <v/>
      </c>
      <c r="AX153" s="13">
        <f>IF('Council Entry'!AX153="","",IFERROR(MAX(0,MIN(10,ROUND(IF('Council Entry'!AX$7="Decrease Risk",10-10*((IF('Council Entry'!AX$4="Logarithm",LN(0.001+IF(AND(ISNUMBER('Council Entry'!AX$8),ISNUMBER('Council Entry'!AX$9)),MAX(MIN('Council Entry'!AX153,'Council Entry'!AX$9),'Council Entry'!AX$8),'Council Entry'!AX153)),IF('Council Entry'!AX$4="Exponential",EXP(IF(AND(ISNUMBER('Council Entry'!AX$8),ISNUMBER('Council Entry'!AX$9)),MAX(MIN('Council Entry'!AX153,'Council Entry'!AX$9),'Council Entry'!AX$8),'Council Entry'!AX153)),IF(AND(ISNUMBER('Council Entry'!AX$8),ISNUMBER('Council Entry'!AX$9)),MAX(MIN('Council Entry'!AX153,'Council Entry'!AX$9),'Council Entry'!AX$8),'Council Entry'!AX153))))-'Council Entry'!AX$5)/('Council Entry'!AX$6-'Council Entry'!AX$5),10*((IF('Council Entry'!AX$4="Logarithm",LN(0.001+IF(AND(ISNUMBER('Council Entry'!AX$8),ISNUMBER('Council Entry'!AX$9)),MAX(MIN('Council Entry'!AX153,'Council Entry'!AX$9),'Council Entry'!AX$8),'Council Entry'!AX153)),IF('Council Entry'!AX$4="Exponential",EXP(IF(AND(ISNUMBER('Council Entry'!AX$8),ISNUMBER('Council Entry'!AX$9)),MAX(MIN('Council Entry'!AX153,'Council Entry'!AX$9),'Council Entry'!AX$8),'Council Entry'!AX153)),IF(AND(ISNUMBER('Council Entry'!AX$8),ISNUMBER('Council Entry'!AX$9)),MAX(MIN('Council Entry'!AX153,'Council Entry'!AX$9),'Council Entry'!AX$8),'Council Entry'!AX153))))-'Council Entry'!AX$5)/('Council Entry'!AX$6-'Council Entry'!AX$5)),1))),"No data"))</f>
        <v/>
      </c>
      <c r="AY153" s="13">
        <f>IF('Council Entry'!AY153="","",IFERROR(MAX(0,MIN(10,ROUND(IF('Council Entry'!AY$7="Decrease Risk",10-10*((IF('Council Entry'!AY$4="Logarithm",LN(0.001+IF(AND(ISNUMBER('Council Entry'!AY$8),ISNUMBER('Council Entry'!AY$9)),MAX(MIN('Council Entry'!AY153,'Council Entry'!AY$9),'Council Entry'!AY$8),'Council Entry'!AY153)),IF('Council Entry'!AY$4="Exponential",EXP(IF(AND(ISNUMBER('Council Entry'!AY$8),ISNUMBER('Council Entry'!AY$9)),MAX(MIN('Council Entry'!AY153,'Council Entry'!AY$9),'Council Entry'!AY$8),'Council Entry'!AY153)),IF(AND(ISNUMBER('Council Entry'!AY$8),ISNUMBER('Council Entry'!AY$9)),MAX(MIN('Council Entry'!AY153,'Council Entry'!AY$9),'Council Entry'!AY$8),'Council Entry'!AY153))))-'Council Entry'!AY$5)/('Council Entry'!AY$6-'Council Entry'!AY$5),10*((IF('Council Entry'!AY$4="Logarithm",LN(0.001+IF(AND(ISNUMBER('Council Entry'!AY$8),ISNUMBER('Council Entry'!AY$9)),MAX(MIN('Council Entry'!AY153,'Council Entry'!AY$9),'Council Entry'!AY$8),'Council Entry'!AY153)),IF('Council Entry'!AY$4="Exponential",EXP(IF(AND(ISNUMBER('Council Entry'!AY$8),ISNUMBER('Council Entry'!AY$9)),MAX(MIN('Council Entry'!AY153,'Council Entry'!AY$9),'Council Entry'!AY$8),'Council Entry'!AY153)),IF(AND(ISNUMBER('Council Entry'!AY$8),ISNUMBER('Council Entry'!AY$9)),MAX(MIN('Council Entry'!AY153,'Council Entry'!AY$9),'Council Entry'!AY$8),'Council Entry'!AY153))))-'Council Entry'!AY$5)/('Council Entry'!AY$6-'Council Entry'!AY$5)),1))),"No data"))</f>
        <v/>
      </c>
      <c r="AZ153" s="13">
        <f>IF('Council Entry'!AZ153="","",IFERROR(MAX(0,MIN(10,ROUND(IF('Council Entry'!AZ$7="Decrease Risk",10-10*((IF('Council Entry'!AZ$4="Logarithm",LN(0.001+IF(AND(ISNUMBER('Council Entry'!AZ$8),ISNUMBER('Council Entry'!AZ$9)),MAX(MIN('Council Entry'!AZ153,'Council Entry'!AZ$9),'Council Entry'!AZ$8),'Council Entry'!AZ153)),IF('Council Entry'!AZ$4="Exponential",EXP(IF(AND(ISNUMBER('Council Entry'!AZ$8),ISNUMBER('Council Entry'!AZ$9)),MAX(MIN('Council Entry'!AZ153,'Council Entry'!AZ$9),'Council Entry'!AZ$8),'Council Entry'!AZ153)),IF(AND(ISNUMBER('Council Entry'!AZ$8),ISNUMBER('Council Entry'!AZ$9)),MAX(MIN('Council Entry'!AZ153,'Council Entry'!AZ$9),'Council Entry'!AZ$8),'Council Entry'!AZ153))))-'Council Entry'!AZ$5)/('Council Entry'!AZ$6-'Council Entry'!AZ$5),10*((IF('Council Entry'!AZ$4="Logarithm",LN(0.001+IF(AND(ISNUMBER('Council Entry'!AZ$8),ISNUMBER('Council Entry'!AZ$9)),MAX(MIN('Council Entry'!AZ153,'Council Entry'!AZ$9),'Council Entry'!AZ$8),'Council Entry'!AZ153)),IF('Council Entry'!AZ$4="Exponential",EXP(IF(AND(ISNUMBER('Council Entry'!AZ$8),ISNUMBER('Council Entry'!AZ$9)),MAX(MIN('Council Entry'!AZ153,'Council Entry'!AZ$9),'Council Entry'!AZ$8),'Council Entry'!AZ153)),IF(AND(ISNUMBER('Council Entry'!AZ$8),ISNUMBER('Council Entry'!AZ$9)),MAX(MIN('Council Entry'!AZ153,'Council Entry'!AZ$9),'Council Entry'!AZ$8),'Council Entry'!AZ153))))-'Council Entry'!AZ$5)/('Council Entry'!AZ$6-'Council Entry'!AZ$5)),1))),"No data"))</f>
        <v/>
      </c>
      <c r="BA153" s="13">
        <f>IF('Council Entry'!BA153="","",IFERROR(MAX(0,MIN(10,ROUND(IF('Council Entry'!BA$7="Decrease Risk",10-10*((IF('Council Entry'!BA$4="Logarithm",LN(0.001+IF(AND(ISNUMBER('Council Entry'!BA$8),ISNUMBER('Council Entry'!BA$9)),MAX(MIN('Council Entry'!BA153,'Council Entry'!BA$9),'Council Entry'!BA$8),'Council Entry'!BA153)),IF('Council Entry'!BA$4="Exponential",EXP(IF(AND(ISNUMBER('Council Entry'!BA$8),ISNUMBER('Council Entry'!BA$9)),MAX(MIN('Council Entry'!BA153,'Council Entry'!BA$9),'Council Entry'!BA$8),'Council Entry'!BA153)),IF(AND(ISNUMBER('Council Entry'!BA$8),ISNUMBER('Council Entry'!BA$9)),MAX(MIN('Council Entry'!BA153,'Council Entry'!BA$9),'Council Entry'!BA$8),'Council Entry'!BA153))))-'Council Entry'!BA$5)/('Council Entry'!BA$6-'Council Entry'!BA$5),10*((IF('Council Entry'!BA$4="Logarithm",LN(0.001+IF(AND(ISNUMBER('Council Entry'!BA$8),ISNUMBER('Council Entry'!BA$9)),MAX(MIN('Council Entry'!BA153,'Council Entry'!BA$9),'Council Entry'!BA$8),'Council Entry'!BA153)),IF('Council Entry'!BA$4="Exponential",EXP(IF(AND(ISNUMBER('Council Entry'!BA$8),ISNUMBER('Council Entry'!BA$9)),MAX(MIN('Council Entry'!BA153,'Council Entry'!BA$9),'Council Entry'!BA$8),'Council Entry'!BA153)),IF(AND(ISNUMBER('Council Entry'!BA$8),ISNUMBER('Council Entry'!BA$9)),MAX(MIN('Council Entry'!BA153,'Council Entry'!BA$9),'Council Entry'!BA$8),'Council Entry'!BA153))))-'Council Entry'!BA$5)/('Council Entry'!BA$6-'Council Entry'!BA$5)),1))),"No data"))</f>
        <v/>
      </c>
      <c r="BB153" s="13">
        <f>IF('Council Entry'!BB153="","",IFERROR(MAX(0,MIN(10,ROUND(IF('Council Entry'!BB$7="Decrease Risk",10-10*((IF('Council Entry'!BB$4="Logarithm",LN(0.001+IF(AND(ISNUMBER('Council Entry'!BB$8),ISNUMBER('Council Entry'!BB$9)),MAX(MIN('Council Entry'!BB153,'Council Entry'!BB$9),'Council Entry'!BB$8),'Council Entry'!BB153)),IF('Council Entry'!BB$4="Exponential",EXP(IF(AND(ISNUMBER('Council Entry'!BB$8),ISNUMBER('Council Entry'!BB$9)),MAX(MIN('Council Entry'!BB153,'Council Entry'!BB$9),'Council Entry'!BB$8),'Council Entry'!BB153)),IF(AND(ISNUMBER('Council Entry'!BB$8),ISNUMBER('Council Entry'!BB$9)),MAX(MIN('Council Entry'!BB153,'Council Entry'!BB$9),'Council Entry'!BB$8),'Council Entry'!BB153))))-'Council Entry'!BB$5)/('Council Entry'!BB$6-'Council Entry'!BB$5),10*((IF('Council Entry'!BB$4="Logarithm",LN(0.001+IF(AND(ISNUMBER('Council Entry'!BB$8),ISNUMBER('Council Entry'!BB$9)),MAX(MIN('Council Entry'!BB153,'Council Entry'!BB$9),'Council Entry'!BB$8),'Council Entry'!BB153)),IF('Council Entry'!BB$4="Exponential",EXP(IF(AND(ISNUMBER('Council Entry'!BB$8),ISNUMBER('Council Entry'!BB$9)),MAX(MIN('Council Entry'!BB153,'Council Entry'!BB$9),'Council Entry'!BB$8),'Council Entry'!BB153)),IF(AND(ISNUMBER('Council Entry'!BB$8),ISNUMBER('Council Entry'!BB$9)),MAX(MIN('Council Entry'!BB153,'Council Entry'!BB$9),'Council Entry'!BB$8),'Council Entry'!BB153))))-'Council Entry'!BB$5)/('Council Entry'!BB$6-'Council Entry'!BB$5)),1))),"No data"))</f>
        <v/>
      </c>
      <c r="BC153" s="13">
        <f>IF('Council Entry'!BC153="","",IFERROR(MAX(0,MIN(10,ROUND(IF('Council Entry'!BC$7="Decrease Risk",10-10*((IF('Council Entry'!BC$4="Logarithm",LN(0.001+IF(AND(ISNUMBER('Council Entry'!BC$8),ISNUMBER('Council Entry'!BC$9)),MAX(MIN('Council Entry'!BC153,'Council Entry'!BC$9),'Council Entry'!BC$8),'Council Entry'!BC153)),IF('Council Entry'!BC$4="Exponential",EXP(IF(AND(ISNUMBER('Council Entry'!BC$8),ISNUMBER('Council Entry'!BC$9)),MAX(MIN('Council Entry'!BC153,'Council Entry'!BC$9),'Council Entry'!BC$8),'Council Entry'!BC153)),IF(AND(ISNUMBER('Council Entry'!BC$8),ISNUMBER('Council Entry'!BC$9)),MAX(MIN('Council Entry'!BC153,'Council Entry'!BC$9),'Council Entry'!BC$8),'Council Entry'!BC153))))-'Council Entry'!BC$5)/('Council Entry'!BC$6-'Council Entry'!BC$5),10*((IF('Council Entry'!BC$4="Logarithm",LN(0.001+IF(AND(ISNUMBER('Council Entry'!BC$8),ISNUMBER('Council Entry'!BC$9)),MAX(MIN('Council Entry'!BC153,'Council Entry'!BC$9),'Council Entry'!BC$8),'Council Entry'!BC153)),IF('Council Entry'!BC$4="Exponential",EXP(IF(AND(ISNUMBER('Council Entry'!BC$8),ISNUMBER('Council Entry'!BC$9)),MAX(MIN('Council Entry'!BC153,'Council Entry'!BC$9),'Council Entry'!BC$8),'Council Entry'!BC153)),IF(AND(ISNUMBER('Council Entry'!BC$8),ISNUMBER('Council Entry'!BC$9)),MAX(MIN('Council Entry'!BC153,'Council Entry'!BC$9),'Council Entry'!BC$8),'Council Entry'!BC153))))-'Council Entry'!BC$5)/('Council Entry'!BC$6-'Council Entry'!BC$5)),1))),"No data"))</f>
        <v/>
      </c>
      <c r="BD153" s="13">
        <f>IF('Council Entry'!BD153="","",IFERROR(MAX(0,MIN(10,ROUND(IF('Council Entry'!BD$7="Decrease Risk",10-10*((IF('Council Entry'!BD$4="Logarithm",LN(0.001+IF(AND(ISNUMBER('Council Entry'!BD$8),ISNUMBER('Council Entry'!BD$9)),MAX(MIN('Council Entry'!BD153,'Council Entry'!BD$9),'Council Entry'!BD$8),'Council Entry'!BD153)),IF('Council Entry'!BD$4="Exponential",EXP(IF(AND(ISNUMBER('Council Entry'!BD$8),ISNUMBER('Council Entry'!BD$9)),MAX(MIN('Council Entry'!BD153,'Council Entry'!BD$9),'Council Entry'!BD$8),'Council Entry'!BD153)),IF(AND(ISNUMBER('Council Entry'!BD$8),ISNUMBER('Council Entry'!BD$9)),MAX(MIN('Council Entry'!BD153,'Council Entry'!BD$9),'Council Entry'!BD$8),'Council Entry'!BD153))))-'Council Entry'!BD$5)/('Council Entry'!BD$6-'Council Entry'!BD$5),10*((IF('Council Entry'!BD$4="Logarithm",LN(0.001+IF(AND(ISNUMBER('Council Entry'!BD$8),ISNUMBER('Council Entry'!BD$9)),MAX(MIN('Council Entry'!BD153,'Council Entry'!BD$9),'Council Entry'!BD$8),'Council Entry'!BD153)),IF('Council Entry'!BD$4="Exponential",EXP(IF(AND(ISNUMBER('Council Entry'!BD$8),ISNUMBER('Council Entry'!BD$9)),MAX(MIN('Council Entry'!BD153,'Council Entry'!BD$9),'Council Entry'!BD$8),'Council Entry'!BD153)),IF(AND(ISNUMBER('Council Entry'!BD$8),ISNUMBER('Council Entry'!BD$9)),MAX(MIN('Council Entry'!BD153,'Council Entry'!BD$9),'Council Entry'!BD$8),'Council Entry'!BD153))))-'Council Entry'!BD$5)/('Council Entry'!BD$6-'Council Entry'!BD$5)),1))),"No data"))</f>
        <v/>
      </c>
    </row>
    <row r="154">
      <c r="A154" t="inlineStr">
        <is>
          <t>Rukwa</t>
        </is>
      </c>
      <c r="B154" t="inlineStr">
        <is>
          <t>Sumbawanga Municipal</t>
        </is>
      </c>
      <c r="C154" t="inlineStr">
        <is>
          <t>C109</t>
        </is>
      </c>
      <c r="D154" s="13">
        <f>IF('Council Entry'!D154="","",IFERROR(MAX(0,MIN(10,ROUND(IF('Council Entry'!D$7="Decrease Risk",10-10*((IF('Council Entry'!D$4="Logarithm",LN(0.001+IF(AND(ISNUMBER('Council Entry'!D$8),ISNUMBER('Council Entry'!D$9)),MAX(MIN('Council Entry'!D154,'Council Entry'!D$9),'Council Entry'!D$8),'Council Entry'!D154)),IF('Council Entry'!D$4="Exponential",EXP(IF(AND(ISNUMBER('Council Entry'!D$8),ISNUMBER('Council Entry'!D$9)),MAX(MIN('Council Entry'!D154,'Council Entry'!D$9),'Council Entry'!D$8),'Council Entry'!D154)),IF(AND(ISNUMBER('Council Entry'!D$8),ISNUMBER('Council Entry'!D$9)),MAX(MIN('Council Entry'!D154,'Council Entry'!D$9),'Council Entry'!D$8),'Council Entry'!D154))))-'Council Entry'!D$5)/('Council Entry'!D$6-'Council Entry'!D$5),10*((IF('Council Entry'!D$4="Logarithm",LN(0.001+IF(AND(ISNUMBER('Council Entry'!D$8),ISNUMBER('Council Entry'!D$9)),MAX(MIN('Council Entry'!D154,'Council Entry'!D$9),'Council Entry'!D$8),'Council Entry'!D154)),IF('Council Entry'!D$4="Exponential",EXP(IF(AND(ISNUMBER('Council Entry'!D$8),ISNUMBER('Council Entry'!D$9)),MAX(MIN('Council Entry'!D154,'Council Entry'!D$9),'Council Entry'!D$8),'Council Entry'!D154)),IF(AND(ISNUMBER('Council Entry'!D$8),ISNUMBER('Council Entry'!D$9)),MAX(MIN('Council Entry'!D154,'Council Entry'!D$9),'Council Entry'!D$8),'Council Entry'!D154))))-'Council Entry'!D$5)/('Council Entry'!D$6-'Council Entry'!D$5)),1))),"No data"))</f>
        <v/>
      </c>
      <c r="E154" s="13">
        <f>IF('Council Entry'!E154="","",IFERROR(MAX(0,MIN(10,ROUND(IF('Council Entry'!E$7="Decrease Risk",10-10*((IF('Council Entry'!E$4="Logarithm",LN(0.001+IF(AND(ISNUMBER('Council Entry'!E$8),ISNUMBER('Council Entry'!E$9)),MAX(MIN('Council Entry'!E154,'Council Entry'!E$9),'Council Entry'!E$8),'Council Entry'!E154)),IF('Council Entry'!E$4="Exponential",EXP(IF(AND(ISNUMBER('Council Entry'!E$8),ISNUMBER('Council Entry'!E$9)),MAX(MIN('Council Entry'!E154,'Council Entry'!E$9),'Council Entry'!E$8),'Council Entry'!E154)),IF(AND(ISNUMBER('Council Entry'!E$8),ISNUMBER('Council Entry'!E$9)),MAX(MIN('Council Entry'!E154,'Council Entry'!E$9),'Council Entry'!E$8),'Council Entry'!E154))))-'Council Entry'!E$5)/('Council Entry'!E$6-'Council Entry'!E$5),10*((IF('Council Entry'!E$4="Logarithm",LN(0.001+IF(AND(ISNUMBER('Council Entry'!E$8),ISNUMBER('Council Entry'!E$9)),MAX(MIN('Council Entry'!E154,'Council Entry'!E$9),'Council Entry'!E$8),'Council Entry'!E154)),IF('Council Entry'!E$4="Exponential",EXP(IF(AND(ISNUMBER('Council Entry'!E$8),ISNUMBER('Council Entry'!E$9)),MAX(MIN('Council Entry'!E154,'Council Entry'!E$9),'Council Entry'!E$8),'Council Entry'!E154)),IF(AND(ISNUMBER('Council Entry'!E$8),ISNUMBER('Council Entry'!E$9)),MAX(MIN('Council Entry'!E154,'Council Entry'!E$9),'Council Entry'!E$8),'Council Entry'!E154))))-'Council Entry'!E$5)/('Council Entry'!E$6-'Council Entry'!E$5)),1))),"No data"))</f>
        <v/>
      </c>
      <c r="F154" s="13">
        <f>IF('Council Entry'!F154="","",IFERROR(MAX(0,MIN(10,ROUND(IF('Council Entry'!F$7="Decrease Risk",10-10*((IF('Council Entry'!F$4="Logarithm",LN(0.001+IF(AND(ISNUMBER('Council Entry'!F$8),ISNUMBER('Council Entry'!F$9)),MAX(MIN('Council Entry'!F154,'Council Entry'!F$9),'Council Entry'!F$8),'Council Entry'!F154)),IF('Council Entry'!F$4="Exponential",EXP(IF(AND(ISNUMBER('Council Entry'!F$8),ISNUMBER('Council Entry'!F$9)),MAX(MIN('Council Entry'!F154,'Council Entry'!F$9),'Council Entry'!F$8),'Council Entry'!F154)),IF(AND(ISNUMBER('Council Entry'!F$8),ISNUMBER('Council Entry'!F$9)),MAX(MIN('Council Entry'!F154,'Council Entry'!F$9),'Council Entry'!F$8),'Council Entry'!F154))))-'Council Entry'!F$5)/('Council Entry'!F$6-'Council Entry'!F$5),10*((IF('Council Entry'!F$4="Logarithm",LN(0.001+IF(AND(ISNUMBER('Council Entry'!F$8),ISNUMBER('Council Entry'!F$9)),MAX(MIN('Council Entry'!F154,'Council Entry'!F$9),'Council Entry'!F$8),'Council Entry'!F154)),IF('Council Entry'!F$4="Exponential",EXP(IF(AND(ISNUMBER('Council Entry'!F$8),ISNUMBER('Council Entry'!F$9)),MAX(MIN('Council Entry'!F154,'Council Entry'!F$9),'Council Entry'!F$8),'Council Entry'!F154)),IF(AND(ISNUMBER('Council Entry'!F$8),ISNUMBER('Council Entry'!F$9)),MAX(MIN('Council Entry'!F154,'Council Entry'!F$9),'Council Entry'!F$8),'Council Entry'!F154))))-'Council Entry'!F$5)/('Council Entry'!F$6-'Council Entry'!F$5)),1))),"No data"))</f>
        <v/>
      </c>
      <c r="G154" s="13">
        <f>IF('Council Entry'!G154="","",IFERROR(MAX(0,MIN(10,ROUND(IF('Council Entry'!G$7="Decrease Risk",10-10*((IF('Council Entry'!G$4="Logarithm",LN(0.001+IF(AND(ISNUMBER('Council Entry'!G$8),ISNUMBER('Council Entry'!G$9)),MAX(MIN('Council Entry'!G154,'Council Entry'!G$9),'Council Entry'!G$8),'Council Entry'!G154)),IF('Council Entry'!G$4="Exponential",EXP(IF(AND(ISNUMBER('Council Entry'!G$8),ISNUMBER('Council Entry'!G$9)),MAX(MIN('Council Entry'!G154,'Council Entry'!G$9),'Council Entry'!G$8),'Council Entry'!G154)),IF(AND(ISNUMBER('Council Entry'!G$8),ISNUMBER('Council Entry'!G$9)),MAX(MIN('Council Entry'!G154,'Council Entry'!G$9),'Council Entry'!G$8),'Council Entry'!G154))))-'Council Entry'!G$5)/('Council Entry'!G$6-'Council Entry'!G$5),10*((IF('Council Entry'!G$4="Logarithm",LN(0.001+IF(AND(ISNUMBER('Council Entry'!G$8),ISNUMBER('Council Entry'!G$9)),MAX(MIN('Council Entry'!G154,'Council Entry'!G$9),'Council Entry'!G$8),'Council Entry'!G154)),IF('Council Entry'!G$4="Exponential",EXP(IF(AND(ISNUMBER('Council Entry'!G$8),ISNUMBER('Council Entry'!G$9)),MAX(MIN('Council Entry'!G154,'Council Entry'!G$9),'Council Entry'!G$8),'Council Entry'!G154)),IF(AND(ISNUMBER('Council Entry'!G$8),ISNUMBER('Council Entry'!G$9)),MAX(MIN('Council Entry'!G154,'Council Entry'!G$9),'Council Entry'!G$8),'Council Entry'!G154))))-'Council Entry'!G$5)/('Council Entry'!G$6-'Council Entry'!G$5)),1))),"No data"))</f>
        <v/>
      </c>
      <c r="H154" s="13">
        <f>IF('Council Entry'!H154="","",IFERROR(MAX(0,MIN(10,ROUND(IF('Council Entry'!H$7="Decrease Risk",10-10*((IF('Council Entry'!H$4="Logarithm",LN(0.001+IF(AND(ISNUMBER('Council Entry'!H$8),ISNUMBER('Council Entry'!H$9)),MAX(MIN('Council Entry'!H154,'Council Entry'!H$9),'Council Entry'!H$8),'Council Entry'!H154)),IF('Council Entry'!H$4="Exponential",EXP(IF(AND(ISNUMBER('Council Entry'!H$8),ISNUMBER('Council Entry'!H$9)),MAX(MIN('Council Entry'!H154,'Council Entry'!H$9),'Council Entry'!H$8),'Council Entry'!H154)),IF(AND(ISNUMBER('Council Entry'!H$8),ISNUMBER('Council Entry'!H$9)),MAX(MIN('Council Entry'!H154,'Council Entry'!H$9),'Council Entry'!H$8),'Council Entry'!H154))))-'Council Entry'!H$5)/('Council Entry'!H$6-'Council Entry'!H$5),10*((IF('Council Entry'!H$4="Logarithm",LN(0.001+IF(AND(ISNUMBER('Council Entry'!H$8),ISNUMBER('Council Entry'!H$9)),MAX(MIN('Council Entry'!H154,'Council Entry'!H$9),'Council Entry'!H$8),'Council Entry'!H154)),IF('Council Entry'!H$4="Exponential",EXP(IF(AND(ISNUMBER('Council Entry'!H$8),ISNUMBER('Council Entry'!H$9)),MAX(MIN('Council Entry'!H154,'Council Entry'!H$9),'Council Entry'!H$8),'Council Entry'!H154)),IF(AND(ISNUMBER('Council Entry'!H$8),ISNUMBER('Council Entry'!H$9)),MAX(MIN('Council Entry'!H154,'Council Entry'!H$9),'Council Entry'!H$8),'Council Entry'!H154))))-'Council Entry'!H$5)/('Council Entry'!H$6-'Council Entry'!H$5)),1))),"No data"))</f>
        <v/>
      </c>
      <c r="I154" s="13">
        <f>IF('Council Entry'!I154="","",IFERROR(MAX(0,MIN(10,ROUND(IF('Council Entry'!I$7="Decrease Risk",10-10*((IF('Council Entry'!I$4="Logarithm",LN(0.001+IF(AND(ISNUMBER('Council Entry'!I$8),ISNUMBER('Council Entry'!I$9)),MAX(MIN('Council Entry'!I154,'Council Entry'!I$9),'Council Entry'!I$8),'Council Entry'!I154)),IF('Council Entry'!I$4="Exponential",EXP(IF(AND(ISNUMBER('Council Entry'!I$8),ISNUMBER('Council Entry'!I$9)),MAX(MIN('Council Entry'!I154,'Council Entry'!I$9),'Council Entry'!I$8),'Council Entry'!I154)),IF(AND(ISNUMBER('Council Entry'!I$8),ISNUMBER('Council Entry'!I$9)),MAX(MIN('Council Entry'!I154,'Council Entry'!I$9),'Council Entry'!I$8),'Council Entry'!I154))))-'Council Entry'!I$5)/('Council Entry'!I$6-'Council Entry'!I$5),10*((IF('Council Entry'!I$4="Logarithm",LN(0.001+IF(AND(ISNUMBER('Council Entry'!I$8),ISNUMBER('Council Entry'!I$9)),MAX(MIN('Council Entry'!I154,'Council Entry'!I$9),'Council Entry'!I$8),'Council Entry'!I154)),IF('Council Entry'!I$4="Exponential",EXP(IF(AND(ISNUMBER('Council Entry'!I$8),ISNUMBER('Council Entry'!I$9)),MAX(MIN('Council Entry'!I154,'Council Entry'!I$9),'Council Entry'!I$8),'Council Entry'!I154)),IF(AND(ISNUMBER('Council Entry'!I$8),ISNUMBER('Council Entry'!I$9)),MAX(MIN('Council Entry'!I154,'Council Entry'!I$9),'Council Entry'!I$8),'Council Entry'!I154))))-'Council Entry'!I$5)/('Council Entry'!I$6-'Council Entry'!I$5)),1))),"No data"))</f>
        <v/>
      </c>
      <c r="J154" s="13">
        <f>IF('Council Entry'!J154="","",IFERROR(MAX(0,MIN(10,ROUND(IF('Council Entry'!J$7="Decrease Risk",10-10*((IF('Council Entry'!J$4="Logarithm",LN(0.001+IF(AND(ISNUMBER('Council Entry'!J$8),ISNUMBER('Council Entry'!J$9)),MAX(MIN('Council Entry'!J154,'Council Entry'!J$9),'Council Entry'!J$8),'Council Entry'!J154)),IF('Council Entry'!J$4="Exponential",EXP(IF(AND(ISNUMBER('Council Entry'!J$8),ISNUMBER('Council Entry'!J$9)),MAX(MIN('Council Entry'!J154,'Council Entry'!J$9),'Council Entry'!J$8),'Council Entry'!J154)),IF(AND(ISNUMBER('Council Entry'!J$8),ISNUMBER('Council Entry'!J$9)),MAX(MIN('Council Entry'!J154,'Council Entry'!J$9),'Council Entry'!J$8),'Council Entry'!J154))))-'Council Entry'!J$5)/('Council Entry'!J$6-'Council Entry'!J$5),10*((IF('Council Entry'!J$4="Logarithm",LN(0.001+IF(AND(ISNUMBER('Council Entry'!J$8),ISNUMBER('Council Entry'!J$9)),MAX(MIN('Council Entry'!J154,'Council Entry'!J$9),'Council Entry'!J$8),'Council Entry'!J154)),IF('Council Entry'!J$4="Exponential",EXP(IF(AND(ISNUMBER('Council Entry'!J$8),ISNUMBER('Council Entry'!J$9)),MAX(MIN('Council Entry'!J154,'Council Entry'!J$9),'Council Entry'!J$8),'Council Entry'!J154)),IF(AND(ISNUMBER('Council Entry'!J$8),ISNUMBER('Council Entry'!J$9)),MAX(MIN('Council Entry'!J154,'Council Entry'!J$9),'Council Entry'!J$8),'Council Entry'!J154))))-'Council Entry'!J$5)/('Council Entry'!J$6-'Council Entry'!J$5)),1))),"No data"))</f>
        <v/>
      </c>
      <c r="K154" s="13">
        <f>IF('Council Entry'!K154="","",IFERROR(MAX(0,MIN(10,ROUND(IF('Council Entry'!K$7="Decrease Risk",10-10*((IF('Council Entry'!K$4="Logarithm",LN(0.001+IF(AND(ISNUMBER('Council Entry'!K$8),ISNUMBER('Council Entry'!K$9)),MAX(MIN('Council Entry'!K154,'Council Entry'!K$9),'Council Entry'!K$8),'Council Entry'!K154)),IF('Council Entry'!K$4="Exponential",EXP(IF(AND(ISNUMBER('Council Entry'!K$8),ISNUMBER('Council Entry'!K$9)),MAX(MIN('Council Entry'!K154,'Council Entry'!K$9),'Council Entry'!K$8),'Council Entry'!K154)),IF(AND(ISNUMBER('Council Entry'!K$8),ISNUMBER('Council Entry'!K$9)),MAX(MIN('Council Entry'!K154,'Council Entry'!K$9),'Council Entry'!K$8),'Council Entry'!K154))))-'Council Entry'!K$5)/('Council Entry'!K$6-'Council Entry'!K$5),10*((IF('Council Entry'!K$4="Logarithm",LN(0.001+IF(AND(ISNUMBER('Council Entry'!K$8),ISNUMBER('Council Entry'!K$9)),MAX(MIN('Council Entry'!K154,'Council Entry'!K$9),'Council Entry'!K$8),'Council Entry'!K154)),IF('Council Entry'!K$4="Exponential",EXP(IF(AND(ISNUMBER('Council Entry'!K$8),ISNUMBER('Council Entry'!K$9)),MAX(MIN('Council Entry'!K154,'Council Entry'!K$9),'Council Entry'!K$8),'Council Entry'!K154)),IF(AND(ISNUMBER('Council Entry'!K$8),ISNUMBER('Council Entry'!K$9)),MAX(MIN('Council Entry'!K154,'Council Entry'!K$9),'Council Entry'!K$8),'Council Entry'!K154))))-'Council Entry'!K$5)/('Council Entry'!K$6-'Council Entry'!K$5)),1))),"No data"))</f>
        <v/>
      </c>
      <c r="L154" s="13">
        <f>IF('Council Entry'!L154="","",IFERROR(MAX(0,MIN(10,ROUND(IF('Council Entry'!L$7="Decrease Risk",10-10*((IF('Council Entry'!L$4="Logarithm",LN(0.001+IF(AND(ISNUMBER('Council Entry'!L$8),ISNUMBER('Council Entry'!L$9)),MAX(MIN('Council Entry'!L154,'Council Entry'!L$9),'Council Entry'!L$8),'Council Entry'!L154)),IF('Council Entry'!L$4="Exponential",EXP(IF(AND(ISNUMBER('Council Entry'!L$8),ISNUMBER('Council Entry'!L$9)),MAX(MIN('Council Entry'!L154,'Council Entry'!L$9),'Council Entry'!L$8),'Council Entry'!L154)),IF(AND(ISNUMBER('Council Entry'!L$8),ISNUMBER('Council Entry'!L$9)),MAX(MIN('Council Entry'!L154,'Council Entry'!L$9),'Council Entry'!L$8),'Council Entry'!L154))))-'Council Entry'!L$5)/('Council Entry'!L$6-'Council Entry'!L$5),10*((IF('Council Entry'!L$4="Logarithm",LN(0.001+IF(AND(ISNUMBER('Council Entry'!L$8),ISNUMBER('Council Entry'!L$9)),MAX(MIN('Council Entry'!L154,'Council Entry'!L$9),'Council Entry'!L$8),'Council Entry'!L154)),IF('Council Entry'!L$4="Exponential",EXP(IF(AND(ISNUMBER('Council Entry'!L$8),ISNUMBER('Council Entry'!L$9)),MAX(MIN('Council Entry'!L154,'Council Entry'!L$9),'Council Entry'!L$8),'Council Entry'!L154)),IF(AND(ISNUMBER('Council Entry'!L$8),ISNUMBER('Council Entry'!L$9)),MAX(MIN('Council Entry'!L154,'Council Entry'!L$9),'Council Entry'!L$8),'Council Entry'!L154))))-'Council Entry'!L$5)/('Council Entry'!L$6-'Council Entry'!L$5)),1))),"No data"))</f>
        <v/>
      </c>
      <c r="M154" s="13">
        <f>IF('Council Entry'!M154="","",IFERROR(MAX(0,MIN(10,ROUND(IF('Council Entry'!M$7="Decrease Risk",10-10*((IF('Council Entry'!M$4="Logarithm",LN(0.001+IF(AND(ISNUMBER('Council Entry'!M$8),ISNUMBER('Council Entry'!M$9)),MAX(MIN('Council Entry'!M154,'Council Entry'!M$9),'Council Entry'!M$8),'Council Entry'!M154)),IF('Council Entry'!M$4="Exponential",EXP(IF(AND(ISNUMBER('Council Entry'!M$8),ISNUMBER('Council Entry'!M$9)),MAX(MIN('Council Entry'!M154,'Council Entry'!M$9),'Council Entry'!M$8),'Council Entry'!M154)),IF(AND(ISNUMBER('Council Entry'!M$8),ISNUMBER('Council Entry'!M$9)),MAX(MIN('Council Entry'!M154,'Council Entry'!M$9),'Council Entry'!M$8),'Council Entry'!M154))))-'Council Entry'!M$5)/('Council Entry'!M$6-'Council Entry'!M$5),10*((IF('Council Entry'!M$4="Logarithm",LN(0.001+IF(AND(ISNUMBER('Council Entry'!M$8),ISNUMBER('Council Entry'!M$9)),MAX(MIN('Council Entry'!M154,'Council Entry'!M$9),'Council Entry'!M$8),'Council Entry'!M154)),IF('Council Entry'!M$4="Exponential",EXP(IF(AND(ISNUMBER('Council Entry'!M$8),ISNUMBER('Council Entry'!M$9)),MAX(MIN('Council Entry'!M154,'Council Entry'!M$9),'Council Entry'!M$8),'Council Entry'!M154)),IF(AND(ISNUMBER('Council Entry'!M$8),ISNUMBER('Council Entry'!M$9)),MAX(MIN('Council Entry'!M154,'Council Entry'!M$9),'Council Entry'!M$8),'Council Entry'!M154))))-'Council Entry'!M$5)/('Council Entry'!M$6-'Council Entry'!M$5)),1))),"No data"))</f>
        <v/>
      </c>
      <c r="N154" s="13">
        <f>IF('Council Entry'!N154="","",IFERROR(MAX(0,MIN(10,ROUND(IF('Council Entry'!N$7="Decrease Risk",10-10*((IF('Council Entry'!N$4="Logarithm",LN(0.001+IF(AND(ISNUMBER('Council Entry'!N$8),ISNUMBER('Council Entry'!N$9)),MAX(MIN('Council Entry'!N154,'Council Entry'!N$9),'Council Entry'!N$8),'Council Entry'!N154)),IF('Council Entry'!N$4="Exponential",EXP(IF(AND(ISNUMBER('Council Entry'!N$8),ISNUMBER('Council Entry'!N$9)),MAX(MIN('Council Entry'!N154,'Council Entry'!N$9),'Council Entry'!N$8),'Council Entry'!N154)),IF(AND(ISNUMBER('Council Entry'!N$8),ISNUMBER('Council Entry'!N$9)),MAX(MIN('Council Entry'!N154,'Council Entry'!N$9),'Council Entry'!N$8),'Council Entry'!N154))))-'Council Entry'!N$5)/('Council Entry'!N$6-'Council Entry'!N$5),10*((IF('Council Entry'!N$4="Logarithm",LN(0.001+IF(AND(ISNUMBER('Council Entry'!N$8),ISNUMBER('Council Entry'!N$9)),MAX(MIN('Council Entry'!N154,'Council Entry'!N$9),'Council Entry'!N$8),'Council Entry'!N154)),IF('Council Entry'!N$4="Exponential",EXP(IF(AND(ISNUMBER('Council Entry'!N$8),ISNUMBER('Council Entry'!N$9)),MAX(MIN('Council Entry'!N154,'Council Entry'!N$9),'Council Entry'!N$8),'Council Entry'!N154)),IF(AND(ISNUMBER('Council Entry'!N$8),ISNUMBER('Council Entry'!N$9)),MAX(MIN('Council Entry'!N154,'Council Entry'!N$9),'Council Entry'!N$8),'Council Entry'!N154))))-'Council Entry'!N$5)/('Council Entry'!N$6-'Council Entry'!N$5)),1))),"No data"))</f>
        <v/>
      </c>
      <c r="O154" s="13">
        <f>IF('Council Entry'!O154="","",IFERROR(MAX(0,MIN(10,ROUND(IF('Council Entry'!O$7="Decrease Risk",10-10*((IF('Council Entry'!O$4="Logarithm",LN(0.001+IF(AND(ISNUMBER('Council Entry'!O$8),ISNUMBER('Council Entry'!O$9)),MAX(MIN('Council Entry'!O154,'Council Entry'!O$9),'Council Entry'!O$8),'Council Entry'!O154)),IF('Council Entry'!O$4="Exponential",EXP(IF(AND(ISNUMBER('Council Entry'!O$8),ISNUMBER('Council Entry'!O$9)),MAX(MIN('Council Entry'!O154,'Council Entry'!O$9),'Council Entry'!O$8),'Council Entry'!O154)),IF(AND(ISNUMBER('Council Entry'!O$8),ISNUMBER('Council Entry'!O$9)),MAX(MIN('Council Entry'!O154,'Council Entry'!O$9),'Council Entry'!O$8),'Council Entry'!O154))))-'Council Entry'!O$5)/('Council Entry'!O$6-'Council Entry'!O$5),10*((IF('Council Entry'!O$4="Logarithm",LN(0.001+IF(AND(ISNUMBER('Council Entry'!O$8),ISNUMBER('Council Entry'!O$9)),MAX(MIN('Council Entry'!O154,'Council Entry'!O$9),'Council Entry'!O$8),'Council Entry'!O154)),IF('Council Entry'!O$4="Exponential",EXP(IF(AND(ISNUMBER('Council Entry'!O$8),ISNUMBER('Council Entry'!O$9)),MAX(MIN('Council Entry'!O154,'Council Entry'!O$9),'Council Entry'!O$8),'Council Entry'!O154)),IF(AND(ISNUMBER('Council Entry'!O$8),ISNUMBER('Council Entry'!O$9)),MAX(MIN('Council Entry'!O154,'Council Entry'!O$9),'Council Entry'!O$8),'Council Entry'!O154))))-'Council Entry'!O$5)/('Council Entry'!O$6-'Council Entry'!O$5)),1))),"No data"))</f>
        <v/>
      </c>
      <c r="P154" s="13">
        <f>IF('Council Entry'!P154="","",IFERROR(MAX(0,MIN(10,ROUND(IF('Council Entry'!P$7="Decrease Risk",10-10*((IF('Council Entry'!P$4="Logarithm",LN(0.001+IF(AND(ISNUMBER('Council Entry'!P$8),ISNUMBER('Council Entry'!P$9)),MAX(MIN('Council Entry'!P154,'Council Entry'!P$9),'Council Entry'!P$8),'Council Entry'!P154)),IF('Council Entry'!P$4="Exponential",EXP(IF(AND(ISNUMBER('Council Entry'!P$8),ISNUMBER('Council Entry'!P$9)),MAX(MIN('Council Entry'!P154,'Council Entry'!P$9),'Council Entry'!P$8),'Council Entry'!P154)),IF(AND(ISNUMBER('Council Entry'!P$8),ISNUMBER('Council Entry'!P$9)),MAX(MIN('Council Entry'!P154,'Council Entry'!P$9),'Council Entry'!P$8),'Council Entry'!P154))))-'Council Entry'!P$5)/('Council Entry'!P$6-'Council Entry'!P$5),10*((IF('Council Entry'!P$4="Logarithm",LN(0.001+IF(AND(ISNUMBER('Council Entry'!P$8),ISNUMBER('Council Entry'!P$9)),MAX(MIN('Council Entry'!P154,'Council Entry'!P$9),'Council Entry'!P$8),'Council Entry'!P154)),IF('Council Entry'!P$4="Exponential",EXP(IF(AND(ISNUMBER('Council Entry'!P$8),ISNUMBER('Council Entry'!P$9)),MAX(MIN('Council Entry'!P154,'Council Entry'!P$9),'Council Entry'!P$8),'Council Entry'!P154)),IF(AND(ISNUMBER('Council Entry'!P$8),ISNUMBER('Council Entry'!P$9)),MAX(MIN('Council Entry'!P154,'Council Entry'!P$9),'Council Entry'!P$8),'Council Entry'!P154))))-'Council Entry'!P$5)/('Council Entry'!P$6-'Council Entry'!P$5)),1))),"No data"))</f>
        <v/>
      </c>
      <c r="Q154" s="13">
        <f>IF('Council Entry'!Q154="","",IFERROR(MAX(0,MIN(10,ROUND(IF('Council Entry'!Q$7="Decrease Risk",10-10*((IF('Council Entry'!Q$4="Logarithm",LN(0.001+IF(AND(ISNUMBER('Council Entry'!Q$8),ISNUMBER('Council Entry'!Q$9)),MAX(MIN('Council Entry'!Q154,'Council Entry'!Q$9),'Council Entry'!Q$8),'Council Entry'!Q154)),IF('Council Entry'!Q$4="Exponential",EXP(IF(AND(ISNUMBER('Council Entry'!Q$8),ISNUMBER('Council Entry'!Q$9)),MAX(MIN('Council Entry'!Q154,'Council Entry'!Q$9),'Council Entry'!Q$8),'Council Entry'!Q154)),IF(AND(ISNUMBER('Council Entry'!Q$8),ISNUMBER('Council Entry'!Q$9)),MAX(MIN('Council Entry'!Q154,'Council Entry'!Q$9),'Council Entry'!Q$8),'Council Entry'!Q154))))-'Council Entry'!Q$5)/('Council Entry'!Q$6-'Council Entry'!Q$5),10*((IF('Council Entry'!Q$4="Logarithm",LN(0.001+IF(AND(ISNUMBER('Council Entry'!Q$8),ISNUMBER('Council Entry'!Q$9)),MAX(MIN('Council Entry'!Q154,'Council Entry'!Q$9),'Council Entry'!Q$8),'Council Entry'!Q154)),IF('Council Entry'!Q$4="Exponential",EXP(IF(AND(ISNUMBER('Council Entry'!Q$8),ISNUMBER('Council Entry'!Q$9)),MAX(MIN('Council Entry'!Q154,'Council Entry'!Q$9),'Council Entry'!Q$8),'Council Entry'!Q154)),IF(AND(ISNUMBER('Council Entry'!Q$8),ISNUMBER('Council Entry'!Q$9)),MAX(MIN('Council Entry'!Q154,'Council Entry'!Q$9),'Council Entry'!Q$8),'Council Entry'!Q154))))-'Council Entry'!Q$5)/('Council Entry'!Q$6-'Council Entry'!Q$5)),1))),"No data"))</f>
        <v/>
      </c>
      <c r="R154" s="13">
        <f>IF('Council Entry'!R154="","",IFERROR(MAX(0,MIN(10,ROUND(IF('Council Entry'!R$7="Decrease Risk",10-10*((IF('Council Entry'!R$4="Logarithm",LN(0.001+IF(AND(ISNUMBER('Council Entry'!R$8),ISNUMBER('Council Entry'!R$9)),MAX(MIN('Council Entry'!R154,'Council Entry'!R$9),'Council Entry'!R$8),'Council Entry'!R154)),IF('Council Entry'!R$4="Exponential",EXP(IF(AND(ISNUMBER('Council Entry'!R$8),ISNUMBER('Council Entry'!R$9)),MAX(MIN('Council Entry'!R154,'Council Entry'!R$9),'Council Entry'!R$8),'Council Entry'!R154)),IF(AND(ISNUMBER('Council Entry'!R$8),ISNUMBER('Council Entry'!R$9)),MAX(MIN('Council Entry'!R154,'Council Entry'!R$9),'Council Entry'!R$8),'Council Entry'!R154))))-'Council Entry'!R$5)/('Council Entry'!R$6-'Council Entry'!R$5),10*((IF('Council Entry'!R$4="Logarithm",LN(0.001+IF(AND(ISNUMBER('Council Entry'!R$8),ISNUMBER('Council Entry'!R$9)),MAX(MIN('Council Entry'!R154,'Council Entry'!R$9),'Council Entry'!R$8),'Council Entry'!R154)),IF('Council Entry'!R$4="Exponential",EXP(IF(AND(ISNUMBER('Council Entry'!R$8),ISNUMBER('Council Entry'!R$9)),MAX(MIN('Council Entry'!R154,'Council Entry'!R$9),'Council Entry'!R$8),'Council Entry'!R154)),IF(AND(ISNUMBER('Council Entry'!R$8),ISNUMBER('Council Entry'!R$9)),MAX(MIN('Council Entry'!R154,'Council Entry'!R$9),'Council Entry'!R$8),'Council Entry'!R154))))-'Council Entry'!R$5)/('Council Entry'!R$6-'Council Entry'!R$5)),1))),"No data"))</f>
        <v/>
      </c>
      <c r="S154" s="13">
        <f>IF('Council Entry'!S154="","",IFERROR(MAX(0,MIN(10,ROUND(IF('Council Entry'!S$7="Decrease Risk",10-10*((IF('Council Entry'!S$4="Logarithm",LN(0.001+IF(AND(ISNUMBER('Council Entry'!S$8),ISNUMBER('Council Entry'!S$9)),MAX(MIN('Council Entry'!S154,'Council Entry'!S$9),'Council Entry'!S$8),'Council Entry'!S154)),IF('Council Entry'!S$4="Exponential",EXP(IF(AND(ISNUMBER('Council Entry'!S$8),ISNUMBER('Council Entry'!S$9)),MAX(MIN('Council Entry'!S154,'Council Entry'!S$9),'Council Entry'!S$8),'Council Entry'!S154)),IF(AND(ISNUMBER('Council Entry'!S$8),ISNUMBER('Council Entry'!S$9)),MAX(MIN('Council Entry'!S154,'Council Entry'!S$9),'Council Entry'!S$8),'Council Entry'!S154))))-'Council Entry'!S$5)/('Council Entry'!S$6-'Council Entry'!S$5),10*((IF('Council Entry'!S$4="Logarithm",LN(0.001+IF(AND(ISNUMBER('Council Entry'!S$8),ISNUMBER('Council Entry'!S$9)),MAX(MIN('Council Entry'!S154,'Council Entry'!S$9),'Council Entry'!S$8),'Council Entry'!S154)),IF('Council Entry'!S$4="Exponential",EXP(IF(AND(ISNUMBER('Council Entry'!S$8),ISNUMBER('Council Entry'!S$9)),MAX(MIN('Council Entry'!S154,'Council Entry'!S$9),'Council Entry'!S$8),'Council Entry'!S154)),IF(AND(ISNUMBER('Council Entry'!S$8),ISNUMBER('Council Entry'!S$9)),MAX(MIN('Council Entry'!S154,'Council Entry'!S$9),'Council Entry'!S$8),'Council Entry'!S154))))-'Council Entry'!S$5)/('Council Entry'!S$6-'Council Entry'!S$5)),1))),"No data"))</f>
        <v/>
      </c>
      <c r="T154" s="13">
        <f>IF('Council Entry'!T154="","",IFERROR(MAX(0,MIN(10,ROUND(IF('Council Entry'!T$7="Decrease Risk",10-10*((IF('Council Entry'!T$4="Logarithm",LN(0.001+IF(AND(ISNUMBER('Council Entry'!T$8),ISNUMBER('Council Entry'!T$9)),MAX(MIN('Council Entry'!T154,'Council Entry'!T$9),'Council Entry'!T$8),'Council Entry'!T154)),IF('Council Entry'!T$4="Exponential",EXP(IF(AND(ISNUMBER('Council Entry'!T$8),ISNUMBER('Council Entry'!T$9)),MAX(MIN('Council Entry'!T154,'Council Entry'!T$9),'Council Entry'!T$8),'Council Entry'!T154)),IF(AND(ISNUMBER('Council Entry'!T$8),ISNUMBER('Council Entry'!T$9)),MAX(MIN('Council Entry'!T154,'Council Entry'!T$9),'Council Entry'!T$8),'Council Entry'!T154))))-'Council Entry'!T$5)/('Council Entry'!T$6-'Council Entry'!T$5),10*((IF('Council Entry'!T$4="Logarithm",LN(0.001+IF(AND(ISNUMBER('Council Entry'!T$8),ISNUMBER('Council Entry'!T$9)),MAX(MIN('Council Entry'!T154,'Council Entry'!T$9),'Council Entry'!T$8),'Council Entry'!T154)),IF('Council Entry'!T$4="Exponential",EXP(IF(AND(ISNUMBER('Council Entry'!T$8),ISNUMBER('Council Entry'!T$9)),MAX(MIN('Council Entry'!T154,'Council Entry'!T$9),'Council Entry'!T$8),'Council Entry'!T154)),IF(AND(ISNUMBER('Council Entry'!T$8),ISNUMBER('Council Entry'!T$9)),MAX(MIN('Council Entry'!T154,'Council Entry'!T$9),'Council Entry'!T$8),'Council Entry'!T154))))-'Council Entry'!T$5)/('Council Entry'!T$6-'Council Entry'!T$5)),1))),"No data"))</f>
        <v/>
      </c>
      <c r="U154" s="13">
        <f>IF('Council Entry'!U154="","",IFERROR(MAX(0,MIN(10,ROUND(IF('Council Entry'!U$7="Decrease Risk",10-10*((IF('Council Entry'!U$4="Logarithm",LN(0.001+IF(AND(ISNUMBER('Council Entry'!U$8),ISNUMBER('Council Entry'!U$9)),MAX(MIN('Council Entry'!U154,'Council Entry'!U$9),'Council Entry'!U$8),'Council Entry'!U154)),IF('Council Entry'!U$4="Exponential",EXP(IF(AND(ISNUMBER('Council Entry'!U$8),ISNUMBER('Council Entry'!U$9)),MAX(MIN('Council Entry'!U154,'Council Entry'!U$9),'Council Entry'!U$8),'Council Entry'!U154)),IF(AND(ISNUMBER('Council Entry'!U$8),ISNUMBER('Council Entry'!U$9)),MAX(MIN('Council Entry'!U154,'Council Entry'!U$9),'Council Entry'!U$8),'Council Entry'!U154))))-'Council Entry'!U$5)/('Council Entry'!U$6-'Council Entry'!U$5),10*((IF('Council Entry'!U$4="Logarithm",LN(0.001+IF(AND(ISNUMBER('Council Entry'!U$8),ISNUMBER('Council Entry'!U$9)),MAX(MIN('Council Entry'!U154,'Council Entry'!U$9),'Council Entry'!U$8),'Council Entry'!U154)),IF('Council Entry'!U$4="Exponential",EXP(IF(AND(ISNUMBER('Council Entry'!U$8),ISNUMBER('Council Entry'!U$9)),MAX(MIN('Council Entry'!U154,'Council Entry'!U$9),'Council Entry'!U$8),'Council Entry'!U154)),IF(AND(ISNUMBER('Council Entry'!U$8),ISNUMBER('Council Entry'!U$9)),MAX(MIN('Council Entry'!U154,'Council Entry'!U$9),'Council Entry'!U$8),'Council Entry'!U154))))-'Council Entry'!U$5)/('Council Entry'!U$6-'Council Entry'!U$5)),1))),"No data"))</f>
        <v/>
      </c>
      <c r="V154" s="13">
        <f>IF('Council Entry'!V154="","",IFERROR(MAX(0,MIN(10,ROUND(IF('Council Entry'!V$7="Decrease Risk",10-10*((IF('Council Entry'!V$4="Logarithm",LN(0.001+IF(AND(ISNUMBER('Council Entry'!V$8),ISNUMBER('Council Entry'!V$9)),MAX(MIN('Council Entry'!V154,'Council Entry'!V$9),'Council Entry'!V$8),'Council Entry'!V154)),IF('Council Entry'!V$4="Exponential",EXP(IF(AND(ISNUMBER('Council Entry'!V$8),ISNUMBER('Council Entry'!V$9)),MAX(MIN('Council Entry'!V154,'Council Entry'!V$9),'Council Entry'!V$8),'Council Entry'!V154)),IF(AND(ISNUMBER('Council Entry'!V$8),ISNUMBER('Council Entry'!V$9)),MAX(MIN('Council Entry'!V154,'Council Entry'!V$9),'Council Entry'!V$8),'Council Entry'!V154))))-'Council Entry'!V$5)/('Council Entry'!V$6-'Council Entry'!V$5),10*((IF('Council Entry'!V$4="Logarithm",LN(0.001+IF(AND(ISNUMBER('Council Entry'!V$8),ISNUMBER('Council Entry'!V$9)),MAX(MIN('Council Entry'!V154,'Council Entry'!V$9),'Council Entry'!V$8),'Council Entry'!V154)),IF('Council Entry'!V$4="Exponential",EXP(IF(AND(ISNUMBER('Council Entry'!V$8),ISNUMBER('Council Entry'!V$9)),MAX(MIN('Council Entry'!V154,'Council Entry'!V$9),'Council Entry'!V$8),'Council Entry'!V154)),IF(AND(ISNUMBER('Council Entry'!V$8),ISNUMBER('Council Entry'!V$9)),MAX(MIN('Council Entry'!V154,'Council Entry'!V$9),'Council Entry'!V$8),'Council Entry'!V154))))-'Council Entry'!V$5)/('Council Entry'!V$6-'Council Entry'!V$5)),1))),"No data"))</f>
        <v/>
      </c>
      <c r="W154" s="13">
        <f>IF('Council Entry'!W154="","",IFERROR(MAX(0,MIN(10,ROUND(IF('Council Entry'!W$7="Decrease Risk",10-10*((IF('Council Entry'!W$4="Logarithm",LN(0.001+IF(AND(ISNUMBER('Council Entry'!W$8),ISNUMBER('Council Entry'!W$9)),MAX(MIN('Council Entry'!W154,'Council Entry'!W$9),'Council Entry'!W$8),'Council Entry'!W154)),IF('Council Entry'!W$4="Exponential",EXP(IF(AND(ISNUMBER('Council Entry'!W$8),ISNUMBER('Council Entry'!W$9)),MAX(MIN('Council Entry'!W154,'Council Entry'!W$9),'Council Entry'!W$8),'Council Entry'!W154)),IF(AND(ISNUMBER('Council Entry'!W$8),ISNUMBER('Council Entry'!W$9)),MAX(MIN('Council Entry'!W154,'Council Entry'!W$9),'Council Entry'!W$8),'Council Entry'!W154))))-'Council Entry'!W$5)/('Council Entry'!W$6-'Council Entry'!W$5),10*((IF('Council Entry'!W$4="Logarithm",LN(0.001+IF(AND(ISNUMBER('Council Entry'!W$8),ISNUMBER('Council Entry'!W$9)),MAX(MIN('Council Entry'!W154,'Council Entry'!W$9),'Council Entry'!W$8),'Council Entry'!W154)),IF('Council Entry'!W$4="Exponential",EXP(IF(AND(ISNUMBER('Council Entry'!W$8),ISNUMBER('Council Entry'!W$9)),MAX(MIN('Council Entry'!W154,'Council Entry'!W$9),'Council Entry'!W$8),'Council Entry'!W154)),IF(AND(ISNUMBER('Council Entry'!W$8),ISNUMBER('Council Entry'!W$9)),MAX(MIN('Council Entry'!W154,'Council Entry'!W$9),'Council Entry'!W$8),'Council Entry'!W154))))-'Council Entry'!W$5)/('Council Entry'!W$6-'Council Entry'!W$5)),1))),"No data"))</f>
        <v/>
      </c>
      <c r="X154" s="13">
        <f>IF('Council Entry'!X154="","",IFERROR(MAX(0,MIN(10,ROUND(IF('Council Entry'!X$7="Decrease Risk",10-10*((IF('Council Entry'!X$4="Logarithm",LN(0.001+IF(AND(ISNUMBER('Council Entry'!X$8),ISNUMBER('Council Entry'!X$9)),MAX(MIN('Council Entry'!X154,'Council Entry'!X$9),'Council Entry'!X$8),'Council Entry'!X154)),IF('Council Entry'!X$4="Exponential",EXP(IF(AND(ISNUMBER('Council Entry'!X$8),ISNUMBER('Council Entry'!X$9)),MAX(MIN('Council Entry'!X154,'Council Entry'!X$9),'Council Entry'!X$8),'Council Entry'!X154)),IF(AND(ISNUMBER('Council Entry'!X$8),ISNUMBER('Council Entry'!X$9)),MAX(MIN('Council Entry'!X154,'Council Entry'!X$9),'Council Entry'!X$8),'Council Entry'!X154))))-'Council Entry'!X$5)/('Council Entry'!X$6-'Council Entry'!X$5),10*((IF('Council Entry'!X$4="Logarithm",LN(0.001+IF(AND(ISNUMBER('Council Entry'!X$8),ISNUMBER('Council Entry'!X$9)),MAX(MIN('Council Entry'!X154,'Council Entry'!X$9),'Council Entry'!X$8),'Council Entry'!X154)),IF('Council Entry'!X$4="Exponential",EXP(IF(AND(ISNUMBER('Council Entry'!X$8),ISNUMBER('Council Entry'!X$9)),MAX(MIN('Council Entry'!X154,'Council Entry'!X$9),'Council Entry'!X$8),'Council Entry'!X154)),IF(AND(ISNUMBER('Council Entry'!X$8),ISNUMBER('Council Entry'!X$9)),MAX(MIN('Council Entry'!X154,'Council Entry'!X$9),'Council Entry'!X$8),'Council Entry'!X154))))-'Council Entry'!X$5)/('Council Entry'!X$6-'Council Entry'!X$5)),1))),"No data"))</f>
        <v/>
      </c>
      <c r="Y154" s="13">
        <f>IF('Council Entry'!Y154="","",IFERROR(MAX(0,MIN(10,ROUND(IF('Council Entry'!Y$7="Decrease Risk",10-10*((IF('Council Entry'!Y$4="Logarithm",LN(0.001+IF(AND(ISNUMBER('Council Entry'!Y$8),ISNUMBER('Council Entry'!Y$9)),MAX(MIN('Council Entry'!Y154,'Council Entry'!Y$9),'Council Entry'!Y$8),'Council Entry'!Y154)),IF('Council Entry'!Y$4="Exponential",EXP(IF(AND(ISNUMBER('Council Entry'!Y$8),ISNUMBER('Council Entry'!Y$9)),MAX(MIN('Council Entry'!Y154,'Council Entry'!Y$9),'Council Entry'!Y$8),'Council Entry'!Y154)),IF(AND(ISNUMBER('Council Entry'!Y$8),ISNUMBER('Council Entry'!Y$9)),MAX(MIN('Council Entry'!Y154,'Council Entry'!Y$9),'Council Entry'!Y$8),'Council Entry'!Y154))))-'Council Entry'!Y$5)/('Council Entry'!Y$6-'Council Entry'!Y$5),10*((IF('Council Entry'!Y$4="Logarithm",LN(0.001+IF(AND(ISNUMBER('Council Entry'!Y$8),ISNUMBER('Council Entry'!Y$9)),MAX(MIN('Council Entry'!Y154,'Council Entry'!Y$9),'Council Entry'!Y$8),'Council Entry'!Y154)),IF('Council Entry'!Y$4="Exponential",EXP(IF(AND(ISNUMBER('Council Entry'!Y$8),ISNUMBER('Council Entry'!Y$9)),MAX(MIN('Council Entry'!Y154,'Council Entry'!Y$9),'Council Entry'!Y$8),'Council Entry'!Y154)),IF(AND(ISNUMBER('Council Entry'!Y$8),ISNUMBER('Council Entry'!Y$9)),MAX(MIN('Council Entry'!Y154,'Council Entry'!Y$9),'Council Entry'!Y$8),'Council Entry'!Y154))))-'Council Entry'!Y$5)/('Council Entry'!Y$6-'Council Entry'!Y$5)),1))),"No data"))</f>
        <v/>
      </c>
      <c r="Z154" s="13">
        <f>IF('Council Entry'!Z154="","",IFERROR(MAX(0,MIN(10,ROUND(IF('Council Entry'!Z$7="Decrease Risk",10-10*((IF('Council Entry'!Z$4="Logarithm",LN(0.001+IF(AND(ISNUMBER('Council Entry'!Z$8),ISNUMBER('Council Entry'!Z$9)),MAX(MIN('Council Entry'!Z154,'Council Entry'!Z$9),'Council Entry'!Z$8),'Council Entry'!Z154)),IF('Council Entry'!Z$4="Exponential",EXP(IF(AND(ISNUMBER('Council Entry'!Z$8),ISNUMBER('Council Entry'!Z$9)),MAX(MIN('Council Entry'!Z154,'Council Entry'!Z$9),'Council Entry'!Z$8),'Council Entry'!Z154)),IF(AND(ISNUMBER('Council Entry'!Z$8),ISNUMBER('Council Entry'!Z$9)),MAX(MIN('Council Entry'!Z154,'Council Entry'!Z$9),'Council Entry'!Z$8),'Council Entry'!Z154))))-'Council Entry'!Z$5)/('Council Entry'!Z$6-'Council Entry'!Z$5),10*((IF('Council Entry'!Z$4="Logarithm",LN(0.001+IF(AND(ISNUMBER('Council Entry'!Z$8),ISNUMBER('Council Entry'!Z$9)),MAX(MIN('Council Entry'!Z154,'Council Entry'!Z$9),'Council Entry'!Z$8),'Council Entry'!Z154)),IF('Council Entry'!Z$4="Exponential",EXP(IF(AND(ISNUMBER('Council Entry'!Z$8),ISNUMBER('Council Entry'!Z$9)),MAX(MIN('Council Entry'!Z154,'Council Entry'!Z$9),'Council Entry'!Z$8),'Council Entry'!Z154)),IF(AND(ISNUMBER('Council Entry'!Z$8),ISNUMBER('Council Entry'!Z$9)),MAX(MIN('Council Entry'!Z154,'Council Entry'!Z$9),'Council Entry'!Z$8),'Council Entry'!Z154))))-'Council Entry'!Z$5)/('Council Entry'!Z$6-'Council Entry'!Z$5)),1))),"No data"))</f>
        <v/>
      </c>
      <c r="AA154" s="13">
        <f>IF('Council Entry'!AA154="","",IFERROR(MAX(0,MIN(10,ROUND(IF('Council Entry'!AA$7="Decrease Risk",10-10*((IF('Council Entry'!AA$4="Logarithm",LN(0.001+IF(AND(ISNUMBER('Council Entry'!AA$8),ISNUMBER('Council Entry'!AA$9)),MAX(MIN('Council Entry'!AA154,'Council Entry'!AA$9),'Council Entry'!AA$8),'Council Entry'!AA154)),IF('Council Entry'!AA$4="Exponential",EXP(IF(AND(ISNUMBER('Council Entry'!AA$8),ISNUMBER('Council Entry'!AA$9)),MAX(MIN('Council Entry'!AA154,'Council Entry'!AA$9),'Council Entry'!AA$8),'Council Entry'!AA154)),IF(AND(ISNUMBER('Council Entry'!AA$8),ISNUMBER('Council Entry'!AA$9)),MAX(MIN('Council Entry'!AA154,'Council Entry'!AA$9),'Council Entry'!AA$8),'Council Entry'!AA154))))-'Council Entry'!AA$5)/('Council Entry'!AA$6-'Council Entry'!AA$5),10*((IF('Council Entry'!AA$4="Logarithm",LN(0.001+IF(AND(ISNUMBER('Council Entry'!AA$8),ISNUMBER('Council Entry'!AA$9)),MAX(MIN('Council Entry'!AA154,'Council Entry'!AA$9),'Council Entry'!AA$8),'Council Entry'!AA154)),IF('Council Entry'!AA$4="Exponential",EXP(IF(AND(ISNUMBER('Council Entry'!AA$8),ISNUMBER('Council Entry'!AA$9)),MAX(MIN('Council Entry'!AA154,'Council Entry'!AA$9),'Council Entry'!AA$8),'Council Entry'!AA154)),IF(AND(ISNUMBER('Council Entry'!AA$8),ISNUMBER('Council Entry'!AA$9)),MAX(MIN('Council Entry'!AA154,'Council Entry'!AA$9),'Council Entry'!AA$8),'Council Entry'!AA154))))-'Council Entry'!AA$5)/('Council Entry'!AA$6-'Council Entry'!AA$5)),1))),"No data"))</f>
        <v/>
      </c>
      <c r="AB154" s="13">
        <f>IF('Council Entry'!AB154="","",IFERROR(MAX(0,MIN(10,ROUND(IF('Council Entry'!AB$7="Decrease Risk",10-10*((IF('Council Entry'!AB$4="Logarithm",LN(0.001+IF(AND(ISNUMBER('Council Entry'!AB$8),ISNUMBER('Council Entry'!AB$9)),MAX(MIN('Council Entry'!AB154,'Council Entry'!AB$9),'Council Entry'!AB$8),'Council Entry'!AB154)),IF('Council Entry'!AB$4="Exponential",EXP(IF(AND(ISNUMBER('Council Entry'!AB$8),ISNUMBER('Council Entry'!AB$9)),MAX(MIN('Council Entry'!AB154,'Council Entry'!AB$9),'Council Entry'!AB$8),'Council Entry'!AB154)),IF(AND(ISNUMBER('Council Entry'!AB$8),ISNUMBER('Council Entry'!AB$9)),MAX(MIN('Council Entry'!AB154,'Council Entry'!AB$9),'Council Entry'!AB$8),'Council Entry'!AB154))))-'Council Entry'!AB$5)/('Council Entry'!AB$6-'Council Entry'!AB$5),10*((IF('Council Entry'!AB$4="Logarithm",LN(0.001+IF(AND(ISNUMBER('Council Entry'!AB$8),ISNUMBER('Council Entry'!AB$9)),MAX(MIN('Council Entry'!AB154,'Council Entry'!AB$9),'Council Entry'!AB$8),'Council Entry'!AB154)),IF('Council Entry'!AB$4="Exponential",EXP(IF(AND(ISNUMBER('Council Entry'!AB$8),ISNUMBER('Council Entry'!AB$9)),MAX(MIN('Council Entry'!AB154,'Council Entry'!AB$9),'Council Entry'!AB$8),'Council Entry'!AB154)),IF(AND(ISNUMBER('Council Entry'!AB$8),ISNUMBER('Council Entry'!AB$9)),MAX(MIN('Council Entry'!AB154,'Council Entry'!AB$9),'Council Entry'!AB$8),'Council Entry'!AB154))))-'Council Entry'!AB$5)/('Council Entry'!AB$6-'Council Entry'!AB$5)),1))),"No data"))</f>
        <v/>
      </c>
      <c r="AC154" s="13">
        <f>IF('Council Entry'!AC154="","",IFERROR(MAX(0,MIN(10,ROUND(IF('Council Entry'!AC$7="Decrease Risk",10-10*((IF('Council Entry'!AC$4="Logarithm",LN(0.001+IF(AND(ISNUMBER('Council Entry'!AC$8),ISNUMBER('Council Entry'!AC$9)),MAX(MIN('Council Entry'!AC154,'Council Entry'!AC$9),'Council Entry'!AC$8),'Council Entry'!AC154)),IF('Council Entry'!AC$4="Exponential",EXP(IF(AND(ISNUMBER('Council Entry'!AC$8),ISNUMBER('Council Entry'!AC$9)),MAX(MIN('Council Entry'!AC154,'Council Entry'!AC$9),'Council Entry'!AC$8),'Council Entry'!AC154)),IF(AND(ISNUMBER('Council Entry'!AC$8),ISNUMBER('Council Entry'!AC$9)),MAX(MIN('Council Entry'!AC154,'Council Entry'!AC$9),'Council Entry'!AC$8),'Council Entry'!AC154))))-'Council Entry'!AC$5)/('Council Entry'!AC$6-'Council Entry'!AC$5),10*((IF('Council Entry'!AC$4="Logarithm",LN(0.001+IF(AND(ISNUMBER('Council Entry'!AC$8),ISNUMBER('Council Entry'!AC$9)),MAX(MIN('Council Entry'!AC154,'Council Entry'!AC$9),'Council Entry'!AC$8),'Council Entry'!AC154)),IF('Council Entry'!AC$4="Exponential",EXP(IF(AND(ISNUMBER('Council Entry'!AC$8),ISNUMBER('Council Entry'!AC$9)),MAX(MIN('Council Entry'!AC154,'Council Entry'!AC$9),'Council Entry'!AC$8),'Council Entry'!AC154)),IF(AND(ISNUMBER('Council Entry'!AC$8),ISNUMBER('Council Entry'!AC$9)),MAX(MIN('Council Entry'!AC154,'Council Entry'!AC$9),'Council Entry'!AC$8),'Council Entry'!AC154))))-'Council Entry'!AC$5)/('Council Entry'!AC$6-'Council Entry'!AC$5)),1))),"No data"))</f>
        <v/>
      </c>
      <c r="AD154" s="13">
        <f>IF('Council Entry'!AD154="","",IFERROR(MAX(0,MIN(10,ROUND(IF('Council Entry'!AD$7="Decrease Risk",10-10*((IF('Council Entry'!AD$4="Logarithm",LN(0.001+IF(AND(ISNUMBER('Council Entry'!AD$8),ISNUMBER('Council Entry'!AD$9)),MAX(MIN('Council Entry'!AD154,'Council Entry'!AD$9),'Council Entry'!AD$8),'Council Entry'!AD154)),IF('Council Entry'!AD$4="Exponential",EXP(IF(AND(ISNUMBER('Council Entry'!AD$8),ISNUMBER('Council Entry'!AD$9)),MAX(MIN('Council Entry'!AD154,'Council Entry'!AD$9),'Council Entry'!AD$8),'Council Entry'!AD154)),IF(AND(ISNUMBER('Council Entry'!AD$8),ISNUMBER('Council Entry'!AD$9)),MAX(MIN('Council Entry'!AD154,'Council Entry'!AD$9),'Council Entry'!AD$8),'Council Entry'!AD154))))-'Council Entry'!AD$5)/('Council Entry'!AD$6-'Council Entry'!AD$5),10*((IF('Council Entry'!AD$4="Logarithm",LN(0.001+IF(AND(ISNUMBER('Council Entry'!AD$8),ISNUMBER('Council Entry'!AD$9)),MAX(MIN('Council Entry'!AD154,'Council Entry'!AD$9),'Council Entry'!AD$8),'Council Entry'!AD154)),IF('Council Entry'!AD$4="Exponential",EXP(IF(AND(ISNUMBER('Council Entry'!AD$8),ISNUMBER('Council Entry'!AD$9)),MAX(MIN('Council Entry'!AD154,'Council Entry'!AD$9),'Council Entry'!AD$8),'Council Entry'!AD154)),IF(AND(ISNUMBER('Council Entry'!AD$8),ISNUMBER('Council Entry'!AD$9)),MAX(MIN('Council Entry'!AD154,'Council Entry'!AD$9),'Council Entry'!AD$8),'Council Entry'!AD154))))-'Council Entry'!AD$5)/('Council Entry'!AD$6-'Council Entry'!AD$5)),1))),"No data"))</f>
        <v/>
      </c>
      <c r="AE154" s="13">
        <f>IF('Council Entry'!AE154="","",IFERROR(MAX(0,MIN(10,ROUND(IF('Council Entry'!AE$7="Decrease Risk",10-10*((IF('Council Entry'!AE$4="Logarithm",LN(0.001+IF(AND(ISNUMBER('Council Entry'!AE$8),ISNUMBER('Council Entry'!AE$9)),MAX(MIN('Council Entry'!AE154,'Council Entry'!AE$9),'Council Entry'!AE$8),'Council Entry'!AE154)),IF('Council Entry'!AE$4="Exponential",EXP(IF(AND(ISNUMBER('Council Entry'!AE$8),ISNUMBER('Council Entry'!AE$9)),MAX(MIN('Council Entry'!AE154,'Council Entry'!AE$9),'Council Entry'!AE$8),'Council Entry'!AE154)),IF(AND(ISNUMBER('Council Entry'!AE$8),ISNUMBER('Council Entry'!AE$9)),MAX(MIN('Council Entry'!AE154,'Council Entry'!AE$9),'Council Entry'!AE$8),'Council Entry'!AE154))))-'Council Entry'!AE$5)/('Council Entry'!AE$6-'Council Entry'!AE$5),10*((IF('Council Entry'!AE$4="Logarithm",LN(0.001+IF(AND(ISNUMBER('Council Entry'!AE$8),ISNUMBER('Council Entry'!AE$9)),MAX(MIN('Council Entry'!AE154,'Council Entry'!AE$9),'Council Entry'!AE$8),'Council Entry'!AE154)),IF('Council Entry'!AE$4="Exponential",EXP(IF(AND(ISNUMBER('Council Entry'!AE$8),ISNUMBER('Council Entry'!AE$9)),MAX(MIN('Council Entry'!AE154,'Council Entry'!AE$9),'Council Entry'!AE$8),'Council Entry'!AE154)),IF(AND(ISNUMBER('Council Entry'!AE$8),ISNUMBER('Council Entry'!AE$9)),MAX(MIN('Council Entry'!AE154,'Council Entry'!AE$9),'Council Entry'!AE$8),'Council Entry'!AE154))))-'Council Entry'!AE$5)/('Council Entry'!AE$6-'Council Entry'!AE$5)),1))),"No data"))</f>
        <v/>
      </c>
      <c r="AF154" s="13">
        <f>IF('Council Entry'!AF154="","",IFERROR(MAX(0,MIN(10,ROUND(IF('Council Entry'!AF$7="Decrease Risk",10-10*((IF('Council Entry'!AF$4="Logarithm",LN(0.001+IF(AND(ISNUMBER('Council Entry'!AF$8),ISNUMBER('Council Entry'!AF$9)),MAX(MIN('Council Entry'!AF154,'Council Entry'!AF$9),'Council Entry'!AF$8),'Council Entry'!AF154)),IF('Council Entry'!AF$4="Exponential",EXP(IF(AND(ISNUMBER('Council Entry'!AF$8),ISNUMBER('Council Entry'!AF$9)),MAX(MIN('Council Entry'!AF154,'Council Entry'!AF$9),'Council Entry'!AF$8),'Council Entry'!AF154)),IF(AND(ISNUMBER('Council Entry'!AF$8),ISNUMBER('Council Entry'!AF$9)),MAX(MIN('Council Entry'!AF154,'Council Entry'!AF$9),'Council Entry'!AF$8),'Council Entry'!AF154))))-'Council Entry'!AF$5)/('Council Entry'!AF$6-'Council Entry'!AF$5),10*((IF('Council Entry'!AF$4="Logarithm",LN(0.001+IF(AND(ISNUMBER('Council Entry'!AF$8),ISNUMBER('Council Entry'!AF$9)),MAX(MIN('Council Entry'!AF154,'Council Entry'!AF$9),'Council Entry'!AF$8),'Council Entry'!AF154)),IF('Council Entry'!AF$4="Exponential",EXP(IF(AND(ISNUMBER('Council Entry'!AF$8),ISNUMBER('Council Entry'!AF$9)),MAX(MIN('Council Entry'!AF154,'Council Entry'!AF$9),'Council Entry'!AF$8),'Council Entry'!AF154)),IF(AND(ISNUMBER('Council Entry'!AF$8),ISNUMBER('Council Entry'!AF$9)),MAX(MIN('Council Entry'!AF154,'Council Entry'!AF$9),'Council Entry'!AF$8),'Council Entry'!AF154))))-'Council Entry'!AF$5)/('Council Entry'!AF$6-'Council Entry'!AF$5)),1))),"No data"))</f>
        <v/>
      </c>
      <c r="AG154" s="13">
        <f>IF('Council Entry'!AG154="","",IFERROR(MAX(0,MIN(10,ROUND(IF('Council Entry'!AG$7="Decrease Risk",10-10*((IF('Council Entry'!AG$4="Logarithm",LN(0.001+IF(AND(ISNUMBER('Council Entry'!AG$8),ISNUMBER('Council Entry'!AG$9)),MAX(MIN('Council Entry'!AG154,'Council Entry'!AG$9),'Council Entry'!AG$8),'Council Entry'!AG154)),IF('Council Entry'!AG$4="Exponential",EXP(IF(AND(ISNUMBER('Council Entry'!AG$8),ISNUMBER('Council Entry'!AG$9)),MAX(MIN('Council Entry'!AG154,'Council Entry'!AG$9),'Council Entry'!AG$8),'Council Entry'!AG154)),IF(AND(ISNUMBER('Council Entry'!AG$8),ISNUMBER('Council Entry'!AG$9)),MAX(MIN('Council Entry'!AG154,'Council Entry'!AG$9),'Council Entry'!AG$8),'Council Entry'!AG154))))-'Council Entry'!AG$5)/('Council Entry'!AG$6-'Council Entry'!AG$5),10*((IF('Council Entry'!AG$4="Logarithm",LN(0.001+IF(AND(ISNUMBER('Council Entry'!AG$8),ISNUMBER('Council Entry'!AG$9)),MAX(MIN('Council Entry'!AG154,'Council Entry'!AG$9),'Council Entry'!AG$8),'Council Entry'!AG154)),IF('Council Entry'!AG$4="Exponential",EXP(IF(AND(ISNUMBER('Council Entry'!AG$8),ISNUMBER('Council Entry'!AG$9)),MAX(MIN('Council Entry'!AG154,'Council Entry'!AG$9),'Council Entry'!AG$8),'Council Entry'!AG154)),IF(AND(ISNUMBER('Council Entry'!AG$8),ISNUMBER('Council Entry'!AG$9)),MAX(MIN('Council Entry'!AG154,'Council Entry'!AG$9),'Council Entry'!AG$8),'Council Entry'!AG154))))-'Council Entry'!AG$5)/('Council Entry'!AG$6-'Council Entry'!AG$5)),1))),"No data"))</f>
        <v/>
      </c>
      <c r="AH154" s="13">
        <f>IF('Council Entry'!AH154="","",IFERROR(MAX(0,MIN(10,ROUND(IF('Council Entry'!AH$7="Decrease Risk",10-10*((IF('Council Entry'!AH$4="Logarithm",LN(0.001+IF(AND(ISNUMBER('Council Entry'!AH$8),ISNUMBER('Council Entry'!AH$9)),MAX(MIN('Council Entry'!AH154,'Council Entry'!AH$9),'Council Entry'!AH$8),'Council Entry'!AH154)),IF('Council Entry'!AH$4="Exponential",EXP(IF(AND(ISNUMBER('Council Entry'!AH$8),ISNUMBER('Council Entry'!AH$9)),MAX(MIN('Council Entry'!AH154,'Council Entry'!AH$9),'Council Entry'!AH$8),'Council Entry'!AH154)),IF(AND(ISNUMBER('Council Entry'!AH$8),ISNUMBER('Council Entry'!AH$9)),MAX(MIN('Council Entry'!AH154,'Council Entry'!AH$9),'Council Entry'!AH$8),'Council Entry'!AH154))))-'Council Entry'!AH$5)/('Council Entry'!AH$6-'Council Entry'!AH$5),10*((IF('Council Entry'!AH$4="Logarithm",LN(0.001+IF(AND(ISNUMBER('Council Entry'!AH$8),ISNUMBER('Council Entry'!AH$9)),MAX(MIN('Council Entry'!AH154,'Council Entry'!AH$9),'Council Entry'!AH$8),'Council Entry'!AH154)),IF('Council Entry'!AH$4="Exponential",EXP(IF(AND(ISNUMBER('Council Entry'!AH$8),ISNUMBER('Council Entry'!AH$9)),MAX(MIN('Council Entry'!AH154,'Council Entry'!AH$9),'Council Entry'!AH$8),'Council Entry'!AH154)),IF(AND(ISNUMBER('Council Entry'!AH$8),ISNUMBER('Council Entry'!AH$9)),MAX(MIN('Council Entry'!AH154,'Council Entry'!AH$9),'Council Entry'!AH$8),'Council Entry'!AH154))))-'Council Entry'!AH$5)/('Council Entry'!AH$6-'Council Entry'!AH$5)),1))),"No data"))</f>
        <v/>
      </c>
      <c r="AI154" s="13">
        <f>IF('Council Entry'!AI154="","",IFERROR(MAX(0,MIN(10,ROUND(IF('Council Entry'!AI$7="Decrease Risk",10-10*((IF('Council Entry'!AI$4="Logarithm",LN(0.001+IF(AND(ISNUMBER('Council Entry'!AI$8),ISNUMBER('Council Entry'!AI$9)),MAX(MIN('Council Entry'!AI154,'Council Entry'!AI$9),'Council Entry'!AI$8),'Council Entry'!AI154)),IF('Council Entry'!AI$4="Exponential",EXP(IF(AND(ISNUMBER('Council Entry'!AI$8),ISNUMBER('Council Entry'!AI$9)),MAX(MIN('Council Entry'!AI154,'Council Entry'!AI$9),'Council Entry'!AI$8),'Council Entry'!AI154)),IF(AND(ISNUMBER('Council Entry'!AI$8),ISNUMBER('Council Entry'!AI$9)),MAX(MIN('Council Entry'!AI154,'Council Entry'!AI$9),'Council Entry'!AI$8),'Council Entry'!AI154))))-'Council Entry'!AI$5)/('Council Entry'!AI$6-'Council Entry'!AI$5),10*((IF('Council Entry'!AI$4="Logarithm",LN(0.001+IF(AND(ISNUMBER('Council Entry'!AI$8),ISNUMBER('Council Entry'!AI$9)),MAX(MIN('Council Entry'!AI154,'Council Entry'!AI$9),'Council Entry'!AI$8),'Council Entry'!AI154)),IF('Council Entry'!AI$4="Exponential",EXP(IF(AND(ISNUMBER('Council Entry'!AI$8),ISNUMBER('Council Entry'!AI$9)),MAX(MIN('Council Entry'!AI154,'Council Entry'!AI$9),'Council Entry'!AI$8),'Council Entry'!AI154)),IF(AND(ISNUMBER('Council Entry'!AI$8),ISNUMBER('Council Entry'!AI$9)),MAX(MIN('Council Entry'!AI154,'Council Entry'!AI$9),'Council Entry'!AI$8),'Council Entry'!AI154))))-'Council Entry'!AI$5)/('Council Entry'!AI$6-'Council Entry'!AI$5)),1))),"No data"))</f>
        <v/>
      </c>
      <c r="AJ154" s="13">
        <f>IF('Council Entry'!AJ154="","",IFERROR(MAX(0,MIN(10,ROUND(IF('Council Entry'!AJ$7="Decrease Risk",10-10*((IF('Council Entry'!AJ$4="Logarithm",LN(0.001+IF(AND(ISNUMBER('Council Entry'!AJ$8),ISNUMBER('Council Entry'!AJ$9)),MAX(MIN('Council Entry'!AJ154,'Council Entry'!AJ$9),'Council Entry'!AJ$8),'Council Entry'!AJ154)),IF('Council Entry'!AJ$4="Exponential",EXP(IF(AND(ISNUMBER('Council Entry'!AJ$8),ISNUMBER('Council Entry'!AJ$9)),MAX(MIN('Council Entry'!AJ154,'Council Entry'!AJ$9),'Council Entry'!AJ$8),'Council Entry'!AJ154)),IF(AND(ISNUMBER('Council Entry'!AJ$8),ISNUMBER('Council Entry'!AJ$9)),MAX(MIN('Council Entry'!AJ154,'Council Entry'!AJ$9),'Council Entry'!AJ$8),'Council Entry'!AJ154))))-'Council Entry'!AJ$5)/('Council Entry'!AJ$6-'Council Entry'!AJ$5),10*((IF('Council Entry'!AJ$4="Logarithm",LN(0.001+IF(AND(ISNUMBER('Council Entry'!AJ$8),ISNUMBER('Council Entry'!AJ$9)),MAX(MIN('Council Entry'!AJ154,'Council Entry'!AJ$9),'Council Entry'!AJ$8),'Council Entry'!AJ154)),IF('Council Entry'!AJ$4="Exponential",EXP(IF(AND(ISNUMBER('Council Entry'!AJ$8),ISNUMBER('Council Entry'!AJ$9)),MAX(MIN('Council Entry'!AJ154,'Council Entry'!AJ$9),'Council Entry'!AJ$8),'Council Entry'!AJ154)),IF(AND(ISNUMBER('Council Entry'!AJ$8),ISNUMBER('Council Entry'!AJ$9)),MAX(MIN('Council Entry'!AJ154,'Council Entry'!AJ$9),'Council Entry'!AJ$8),'Council Entry'!AJ154))))-'Council Entry'!AJ$5)/('Council Entry'!AJ$6-'Council Entry'!AJ$5)),1))),"No data"))</f>
        <v/>
      </c>
      <c r="AK154" s="13">
        <f>IF('Council Entry'!AK154="","",IFERROR(MAX(0,MIN(10,ROUND(IF('Council Entry'!AK$7="Decrease Risk",10-10*((IF('Council Entry'!AK$4="Logarithm",LN(0.001+IF(AND(ISNUMBER('Council Entry'!AK$8),ISNUMBER('Council Entry'!AK$9)),MAX(MIN('Council Entry'!AK154,'Council Entry'!AK$9),'Council Entry'!AK$8),'Council Entry'!AK154)),IF('Council Entry'!AK$4="Exponential",EXP(IF(AND(ISNUMBER('Council Entry'!AK$8),ISNUMBER('Council Entry'!AK$9)),MAX(MIN('Council Entry'!AK154,'Council Entry'!AK$9),'Council Entry'!AK$8),'Council Entry'!AK154)),IF(AND(ISNUMBER('Council Entry'!AK$8),ISNUMBER('Council Entry'!AK$9)),MAX(MIN('Council Entry'!AK154,'Council Entry'!AK$9),'Council Entry'!AK$8),'Council Entry'!AK154))))-'Council Entry'!AK$5)/('Council Entry'!AK$6-'Council Entry'!AK$5),10*((IF('Council Entry'!AK$4="Logarithm",LN(0.001+IF(AND(ISNUMBER('Council Entry'!AK$8),ISNUMBER('Council Entry'!AK$9)),MAX(MIN('Council Entry'!AK154,'Council Entry'!AK$9),'Council Entry'!AK$8),'Council Entry'!AK154)),IF('Council Entry'!AK$4="Exponential",EXP(IF(AND(ISNUMBER('Council Entry'!AK$8),ISNUMBER('Council Entry'!AK$9)),MAX(MIN('Council Entry'!AK154,'Council Entry'!AK$9),'Council Entry'!AK$8),'Council Entry'!AK154)),IF(AND(ISNUMBER('Council Entry'!AK$8),ISNUMBER('Council Entry'!AK$9)),MAX(MIN('Council Entry'!AK154,'Council Entry'!AK$9),'Council Entry'!AK$8),'Council Entry'!AK154))))-'Council Entry'!AK$5)/('Council Entry'!AK$6-'Council Entry'!AK$5)),1))),"No data"))</f>
        <v/>
      </c>
      <c r="AL154" s="13">
        <f>IF('Council Entry'!AL154="","",IFERROR(MAX(0,MIN(10,ROUND(IF('Council Entry'!AL$7="Decrease Risk",10-10*((IF('Council Entry'!AL$4="Logarithm",LN(0.001+IF(AND(ISNUMBER('Council Entry'!AL$8),ISNUMBER('Council Entry'!AL$9)),MAX(MIN('Council Entry'!AL154,'Council Entry'!AL$9),'Council Entry'!AL$8),'Council Entry'!AL154)),IF('Council Entry'!AL$4="Exponential",EXP(IF(AND(ISNUMBER('Council Entry'!AL$8),ISNUMBER('Council Entry'!AL$9)),MAX(MIN('Council Entry'!AL154,'Council Entry'!AL$9),'Council Entry'!AL$8),'Council Entry'!AL154)),IF(AND(ISNUMBER('Council Entry'!AL$8),ISNUMBER('Council Entry'!AL$9)),MAX(MIN('Council Entry'!AL154,'Council Entry'!AL$9),'Council Entry'!AL$8),'Council Entry'!AL154))))-'Council Entry'!AL$5)/('Council Entry'!AL$6-'Council Entry'!AL$5),10*((IF('Council Entry'!AL$4="Logarithm",LN(0.001+IF(AND(ISNUMBER('Council Entry'!AL$8),ISNUMBER('Council Entry'!AL$9)),MAX(MIN('Council Entry'!AL154,'Council Entry'!AL$9),'Council Entry'!AL$8),'Council Entry'!AL154)),IF('Council Entry'!AL$4="Exponential",EXP(IF(AND(ISNUMBER('Council Entry'!AL$8),ISNUMBER('Council Entry'!AL$9)),MAX(MIN('Council Entry'!AL154,'Council Entry'!AL$9),'Council Entry'!AL$8),'Council Entry'!AL154)),IF(AND(ISNUMBER('Council Entry'!AL$8),ISNUMBER('Council Entry'!AL$9)),MAX(MIN('Council Entry'!AL154,'Council Entry'!AL$9),'Council Entry'!AL$8),'Council Entry'!AL154))))-'Council Entry'!AL$5)/('Council Entry'!AL$6-'Council Entry'!AL$5)),1))),"No data"))</f>
        <v/>
      </c>
      <c r="AM154" s="13">
        <f>IF('Council Entry'!AM154="","",IFERROR(MAX(0,MIN(10,ROUND(IF('Council Entry'!AM$7="Decrease Risk",10-10*((IF('Council Entry'!AM$4="Logarithm",LN(0.001+IF(AND(ISNUMBER('Council Entry'!AM$8),ISNUMBER('Council Entry'!AM$9)),MAX(MIN('Council Entry'!AM154,'Council Entry'!AM$9),'Council Entry'!AM$8),'Council Entry'!AM154)),IF('Council Entry'!AM$4="Exponential",EXP(IF(AND(ISNUMBER('Council Entry'!AM$8),ISNUMBER('Council Entry'!AM$9)),MAX(MIN('Council Entry'!AM154,'Council Entry'!AM$9),'Council Entry'!AM$8),'Council Entry'!AM154)),IF(AND(ISNUMBER('Council Entry'!AM$8),ISNUMBER('Council Entry'!AM$9)),MAX(MIN('Council Entry'!AM154,'Council Entry'!AM$9),'Council Entry'!AM$8),'Council Entry'!AM154))))-'Council Entry'!AM$5)/('Council Entry'!AM$6-'Council Entry'!AM$5),10*((IF('Council Entry'!AM$4="Logarithm",LN(0.001+IF(AND(ISNUMBER('Council Entry'!AM$8),ISNUMBER('Council Entry'!AM$9)),MAX(MIN('Council Entry'!AM154,'Council Entry'!AM$9),'Council Entry'!AM$8),'Council Entry'!AM154)),IF('Council Entry'!AM$4="Exponential",EXP(IF(AND(ISNUMBER('Council Entry'!AM$8),ISNUMBER('Council Entry'!AM$9)),MAX(MIN('Council Entry'!AM154,'Council Entry'!AM$9),'Council Entry'!AM$8),'Council Entry'!AM154)),IF(AND(ISNUMBER('Council Entry'!AM$8),ISNUMBER('Council Entry'!AM$9)),MAX(MIN('Council Entry'!AM154,'Council Entry'!AM$9),'Council Entry'!AM$8),'Council Entry'!AM154))))-'Council Entry'!AM$5)/('Council Entry'!AM$6-'Council Entry'!AM$5)),1))),"No data"))</f>
        <v/>
      </c>
      <c r="AN154" s="13">
        <f>IF('Council Entry'!AN154="","",IFERROR(MAX(0,MIN(10,ROUND(IF('Council Entry'!AN$7="Decrease Risk",10-10*((IF('Council Entry'!AN$4="Logarithm",LN(0.001+IF(AND(ISNUMBER('Council Entry'!AN$8),ISNUMBER('Council Entry'!AN$9)),MAX(MIN('Council Entry'!AN154,'Council Entry'!AN$9),'Council Entry'!AN$8),'Council Entry'!AN154)),IF('Council Entry'!AN$4="Exponential",EXP(IF(AND(ISNUMBER('Council Entry'!AN$8),ISNUMBER('Council Entry'!AN$9)),MAX(MIN('Council Entry'!AN154,'Council Entry'!AN$9),'Council Entry'!AN$8),'Council Entry'!AN154)),IF(AND(ISNUMBER('Council Entry'!AN$8),ISNUMBER('Council Entry'!AN$9)),MAX(MIN('Council Entry'!AN154,'Council Entry'!AN$9),'Council Entry'!AN$8),'Council Entry'!AN154))))-'Council Entry'!AN$5)/('Council Entry'!AN$6-'Council Entry'!AN$5),10*((IF('Council Entry'!AN$4="Logarithm",LN(0.001+IF(AND(ISNUMBER('Council Entry'!AN$8),ISNUMBER('Council Entry'!AN$9)),MAX(MIN('Council Entry'!AN154,'Council Entry'!AN$9),'Council Entry'!AN$8),'Council Entry'!AN154)),IF('Council Entry'!AN$4="Exponential",EXP(IF(AND(ISNUMBER('Council Entry'!AN$8),ISNUMBER('Council Entry'!AN$9)),MAX(MIN('Council Entry'!AN154,'Council Entry'!AN$9),'Council Entry'!AN$8),'Council Entry'!AN154)),IF(AND(ISNUMBER('Council Entry'!AN$8),ISNUMBER('Council Entry'!AN$9)),MAX(MIN('Council Entry'!AN154,'Council Entry'!AN$9),'Council Entry'!AN$8),'Council Entry'!AN154))))-'Council Entry'!AN$5)/('Council Entry'!AN$6-'Council Entry'!AN$5)),1))),"No data"))</f>
        <v/>
      </c>
      <c r="AO154" s="13">
        <f>IF('Council Entry'!AO154="","",IFERROR(MAX(0,MIN(10,ROUND(IF('Council Entry'!AO$7="Decrease Risk",10-10*((IF('Council Entry'!AO$4="Logarithm",LN(0.001+IF(AND(ISNUMBER('Council Entry'!AO$8),ISNUMBER('Council Entry'!AO$9)),MAX(MIN('Council Entry'!AO154,'Council Entry'!AO$9),'Council Entry'!AO$8),'Council Entry'!AO154)),IF('Council Entry'!AO$4="Exponential",EXP(IF(AND(ISNUMBER('Council Entry'!AO$8),ISNUMBER('Council Entry'!AO$9)),MAX(MIN('Council Entry'!AO154,'Council Entry'!AO$9),'Council Entry'!AO$8),'Council Entry'!AO154)),IF(AND(ISNUMBER('Council Entry'!AO$8),ISNUMBER('Council Entry'!AO$9)),MAX(MIN('Council Entry'!AO154,'Council Entry'!AO$9),'Council Entry'!AO$8),'Council Entry'!AO154))))-'Council Entry'!AO$5)/('Council Entry'!AO$6-'Council Entry'!AO$5),10*((IF('Council Entry'!AO$4="Logarithm",LN(0.001+IF(AND(ISNUMBER('Council Entry'!AO$8),ISNUMBER('Council Entry'!AO$9)),MAX(MIN('Council Entry'!AO154,'Council Entry'!AO$9),'Council Entry'!AO$8),'Council Entry'!AO154)),IF('Council Entry'!AO$4="Exponential",EXP(IF(AND(ISNUMBER('Council Entry'!AO$8),ISNUMBER('Council Entry'!AO$9)),MAX(MIN('Council Entry'!AO154,'Council Entry'!AO$9),'Council Entry'!AO$8),'Council Entry'!AO154)),IF(AND(ISNUMBER('Council Entry'!AO$8),ISNUMBER('Council Entry'!AO$9)),MAX(MIN('Council Entry'!AO154,'Council Entry'!AO$9),'Council Entry'!AO$8),'Council Entry'!AO154))))-'Council Entry'!AO$5)/('Council Entry'!AO$6-'Council Entry'!AO$5)),1))),"No data"))</f>
        <v/>
      </c>
      <c r="AP154" s="13">
        <f>IF('Council Entry'!AP154="","",IFERROR(MAX(0,MIN(10,ROUND(IF('Council Entry'!AP$7="Decrease Risk",10-10*((IF('Council Entry'!AP$4="Logarithm",LN(0.001+IF(AND(ISNUMBER('Council Entry'!AP$8),ISNUMBER('Council Entry'!AP$9)),MAX(MIN('Council Entry'!AP154,'Council Entry'!AP$9),'Council Entry'!AP$8),'Council Entry'!AP154)),IF('Council Entry'!AP$4="Exponential",EXP(IF(AND(ISNUMBER('Council Entry'!AP$8),ISNUMBER('Council Entry'!AP$9)),MAX(MIN('Council Entry'!AP154,'Council Entry'!AP$9),'Council Entry'!AP$8),'Council Entry'!AP154)),IF(AND(ISNUMBER('Council Entry'!AP$8),ISNUMBER('Council Entry'!AP$9)),MAX(MIN('Council Entry'!AP154,'Council Entry'!AP$9),'Council Entry'!AP$8),'Council Entry'!AP154))))-'Council Entry'!AP$5)/('Council Entry'!AP$6-'Council Entry'!AP$5),10*((IF('Council Entry'!AP$4="Logarithm",LN(0.001+IF(AND(ISNUMBER('Council Entry'!AP$8),ISNUMBER('Council Entry'!AP$9)),MAX(MIN('Council Entry'!AP154,'Council Entry'!AP$9),'Council Entry'!AP$8),'Council Entry'!AP154)),IF('Council Entry'!AP$4="Exponential",EXP(IF(AND(ISNUMBER('Council Entry'!AP$8),ISNUMBER('Council Entry'!AP$9)),MAX(MIN('Council Entry'!AP154,'Council Entry'!AP$9),'Council Entry'!AP$8),'Council Entry'!AP154)),IF(AND(ISNUMBER('Council Entry'!AP$8),ISNUMBER('Council Entry'!AP$9)),MAX(MIN('Council Entry'!AP154,'Council Entry'!AP$9),'Council Entry'!AP$8),'Council Entry'!AP154))))-'Council Entry'!AP$5)/('Council Entry'!AP$6-'Council Entry'!AP$5)),1))),"No data"))</f>
        <v/>
      </c>
      <c r="AQ154" s="13">
        <f>IF('Council Entry'!AQ154="","",IFERROR(MAX(0,MIN(10,ROUND(IF('Council Entry'!AQ$7="Decrease Risk",10-10*((IF('Council Entry'!AQ$4="Logarithm",LN(0.001+IF(AND(ISNUMBER('Council Entry'!AQ$8),ISNUMBER('Council Entry'!AQ$9)),MAX(MIN('Council Entry'!AQ154,'Council Entry'!AQ$9),'Council Entry'!AQ$8),'Council Entry'!AQ154)),IF('Council Entry'!AQ$4="Exponential",EXP(IF(AND(ISNUMBER('Council Entry'!AQ$8),ISNUMBER('Council Entry'!AQ$9)),MAX(MIN('Council Entry'!AQ154,'Council Entry'!AQ$9),'Council Entry'!AQ$8),'Council Entry'!AQ154)),IF(AND(ISNUMBER('Council Entry'!AQ$8),ISNUMBER('Council Entry'!AQ$9)),MAX(MIN('Council Entry'!AQ154,'Council Entry'!AQ$9),'Council Entry'!AQ$8),'Council Entry'!AQ154))))-'Council Entry'!AQ$5)/('Council Entry'!AQ$6-'Council Entry'!AQ$5),10*((IF('Council Entry'!AQ$4="Logarithm",LN(0.001+IF(AND(ISNUMBER('Council Entry'!AQ$8),ISNUMBER('Council Entry'!AQ$9)),MAX(MIN('Council Entry'!AQ154,'Council Entry'!AQ$9),'Council Entry'!AQ$8),'Council Entry'!AQ154)),IF('Council Entry'!AQ$4="Exponential",EXP(IF(AND(ISNUMBER('Council Entry'!AQ$8),ISNUMBER('Council Entry'!AQ$9)),MAX(MIN('Council Entry'!AQ154,'Council Entry'!AQ$9),'Council Entry'!AQ$8),'Council Entry'!AQ154)),IF(AND(ISNUMBER('Council Entry'!AQ$8),ISNUMBER('Council Entry'!AQ$9)),MAX(MIN('Council Entry'!AQ154,'Council Entry'!AQ$9),'Council Entry'!AQ$8),'Council Entry'!AQ154))))-'Council Entry'!AQ$5)/('Council Entry'!AQ$6-'Council Entry'!AQ$5)),1))),"No data"))</f>
        <v/>
      </c>
      <c r="AR154" s="13">
        <f>IF('Council Entry'!AR154="","",IFERROR(MAX(0,MIN(10,ROUND(IF('Council Entry'!AR$7="Decrease Risk",10-10*((IF('Council Entry'!AR$4="Logarithm",LN(0.001+IF(AND(ISNUMBER('Council Entry'!AR$8),ISNUMBER('Council Entry'!AR$9)),MAX(MIN('Council Entry'!AR154,'Council Entry'!AR$9),'Council Entry'!AR$8),'Council Entry'!AR154)),IF('Council Entry'!AR$4="Exponential",EXP(IF(AND(ISNUMBER('Council Entry'!AR$8),ISNUMBER('Council Entry'!AR$9)),MAX(MIN('Council Entry'!AR154,'Council Entry'!AR$9),'Council Entry'!AR$8),'Council Entry'!AR154)),IF(AND(ISNUMBER('Council Entry'!AR$8),ISNUMBER('Council Entry'!AR$9)),MAX(MIN('Council Entry'!AR154,'Council Entry'!AR$9),'Council Entry'!AR$8),'Council Entry'!AR154))))-'Council Entry'!AR$5)/('Council Entry'!AR$6-'Council Entry'!AR$5),10*((IF('Council Entry'!AR$4="Logarithm",LN(0.001+IF(AND(ISNUMBER('Council Entry'!AR$8),ISNUMBER('Council Entry'!AR$9)),MAX(MIN('Council Entry'!AR154,'Council Entry'!AR$9),'Council Entry'!AR$8),'Council Entry'!AR154)),IF('Council Entry'!AR$4="Exponential",EXP(IF(AND(ISNUMBER('Council Entry'!AR$8),ISNUMBER('Council Entry'!AR$9)),MAX(MIN('Council Entry'!AR154,'Council Entry'!AR$9),'Council Entry'!AR$8),'Council Entry'!AR154)),IF(AND(ISNUMBER('Council Entry'!AR$8),ISNUMBER('Council Entry'!AR$9)),MAX(MIN('Council Entry'!AR154,'Council Entry'!AR$9),'Council Entry'!AR$8),'Council Entry'!AR154))))-'Council Entry'!AR$5)/('Council Entry'!AR$6-'Council Entry'!AR$5)),1))),"No data"))</f>
        <v/>
      </c>
      <c r="AS154" s="13">
        <f>IF('Council Entry'!AS154="","",IFERROR(MAX(0,MIN(10,ROUND(IF('Council Entry'!AS$7="Decrease Risk",10-10*((IF('Council Entry'!AS$4="Logarithm",LN(0.001+IF(AND(ISNUMBER('Council Entry'!AS$8),ISNUMBER('Council Entry'!AS$9)),MAX(MIN('Council Entry'!AS154,'Council Entry'!AS$9),'Council Entry'!AS$8),'Council Entry'!AS154)),IF('Council Entry'!AS$4="Exponential",EXP(IF(AND(ISNUMBER('Council Entry'!AS$8),ISNUMBER('Council Entry'!AS$9)),MAX(MIN('Council Entry'!AS154,'Council Entry'!AS$9),'Council Entry'!AS$8),'Council Entry'!AS154)),IF(AND(ISNUMBER('Council Entry'!AS$8),ISNUMBER('Council Entry'!AS$9)),MAX(MIN('Council Entry'!AS154,'Council Entry'!AS$9),'Council Entry'!AS$8),'Council Entry'!AS154))))-'Council Entry'!AS$5)/('Council Entry'!AS$6-'Council Entry'!AS$5),10*((IF('Council Entry'!AS$4="Logarithm",LN(0.001+IF(AND(ISNUMBER('Council Entry'!AS$8),ISNUMBER('Council Entry'!AS$9)),MAX(MIN('Council Entry'!AS154,'Council Entry'!AS$9),'Council Entry'!AS$8),'Council Entry'!AS154)),IF('Council Entry'!AS$4="Exponential",EXP(IF(AND(ISNUMBER('Council Entry'!AS$8),ISNUMBER('Council Entry'!AS$9)),MAX(MIN('Council Entry'!AS154,'Council Entry'!AS$9),'Council Entry'!AS$8),'Council Entry'!AS154)),IF(AND(ISNUMBER('Council Entry'!AS$8),ISNUMBER('Council Entry'!AS$9)),MAX(MIN('Council Entry'!AS154,'Council Entry'!AS$9),'Council Entry'!AS$8),'Council Entry'!AS154))))-'Council Entry'!AS$5)/('Council Entry'!AS$6-'Council Entry'!AS$5)),1))),"No data"))</f>
        <v/>
      </c>
      <c r="AT154" s="13">
        <f>IF('Council Entry'!AT154="","",IFERROR(MAX(0,MIN(10,ROUND(IF('Council Entry'!AT$7="Decrease Risk",10-10*((IF('Council Entry'!AT$4="Logarithm",LN(0.001+IF(AND(ISNUMBER('Council Entry'!AT$8),ISNUMBER('Council Entry'!AT$9)),MAX(MIN('Council Entry'!AT154,'Council Entry'!AT$9),'Council Entry'!AT$8),'Council Entry'!AT154)),IF('Council Entry'!AT$4="Exponential",EXP(IF(AND(ISNUMBER('Council Entry'!AT$8),ISNUMBER('Council Entry'!AT$9)),MAX(MIN('Council Entry'!AT154,'Council Entry'!AT$9),'Council Entry'!AT$8),'Council Entry'!AT154)),IF(AND(ISNUMBER('Council Entry'!AT$8),ISNUMBER('Council Entry'!AT$9)),MAX(MIN('Council Entry'!AT154,'Council Entry'!AT$9),'Council Entry'!AT$8),'Council Entry'!AT154))))-'Council Entry'!AT$5)/('Council Entry'!AT$6-'Council Entry'!AT$5),10*((IF('Council Entry'!AT$4="Logarithm",LN(0.001+IF(AND(ISNUMBER('Council Entry'!AT$8),ISNUMBER('Council Entry'!AT$9)),MAX(MIN('Council Entry'!AT154,'Council Entry'!AT$9),'Council Entry'!AT$8),'Council Entry'!AT154)),IF('Council Entry'!AT$4="Exponential",EXP(IF(AND(ISNUMBER('Council Entry'!AT$8),ISNUMBER('Council Entry'!AT$9)),MAX(MIN('Council Entry'!AT154,'Council Entry'!AT$9),'Council Entry'!AT$8),'Council Entry'!AT154)),IF(AND(ISNUMBER('Council Entry'!AT$8),ISNUMBER('Council Entry'!AT$9)),MAX(MIN('Council Entry'!AT154,'Council Entry'!AT$9),'Council Entry'!AT$8),'Council Entry'!AT154))))-'Council Entry'!AT$5)/('Council Entry'!AT$6-'Council Entry'!AT$5)),1))),"No data"))</f>
        <v/>
      </c>
      <c r="AU154" s="13">
        <f>IF('Council Entry'!AU154="","",IFERROR(MAX(0,MIN(10,ROUND(IF('Council Entry'!AU$7="Decrease Risk",10-10*((IF('Council Entry'!AU$4="Logarithm",LN(0.001+IF(AND(ISNUMBER('Council Entry'!AU$8),ISNUMBER('Council Entry'!AU$9)),MAX(MIN('Council Entry'!AU154,'Council Entry'!AU$9),'Council Entry'!AU$8),'Council Entry'!AU154)),IF('Council Entry'!AU$4="Exponential",EXP(IF(AND(ISNUMBER('Council Entry'!AU$8),ISNUMBER('Council Entry'!AU$9)),MAX(MIN('Council Entry'!AU154,'Council Entry'!AU$9),'Council Entry'!AU$8),'Council Entry'!AU154)),IF(AND(ISNUMBER('Council Entry'!AU$8),ISNUMBER('Council Entry'!AU$9)),MAX(MIN('Council Entry'!AU154,'Council Entry'!AU$9),'Council Entry'!AU$8),'Council Entry'!AU154))))-'Council Entry'!AU$5)/('Council Entry'!AU$6-'Council Entry'!AU$5),10*((IF('Council Entry'!AU$4="Logarithm",LN(0.001+IF(AND(ISNUMBER('Council Entry'!AU$8),ISNUMBER('Council Entry'!AU$9)),MAX(MIN('Council Entry'!AU154,'Council Entry'!AU$9),'Council Entry'!AU$8),'Council Entry'!AU154)),IF('Council Entry'!AU$4="Exponential",EXP(IF(AND(ISNUMBER('Council Entry'!AU$8),ISNUMBER('Council Entry'!AU$9)),MAX(MIN('Council Entry'!AU154,'Council Entry'!AU$9),'Council Entry'!AU$8),'Council Entry'!AU154)),IF(AND(ISNUMBER('Council Entry'!AU$8),ISNUMBER('Council Entry'!AU$9)),MAX(MIN('Council Entry'!AU154,'Council Entry'!AU$9),'Council Entry'!AU$8),'Council Entry'!AU154))))-'Council Entry'!AU$5)/('Council Entry'!AU$6-'Council Entry'!AU$5)),1))),"No data"))</f>
        <v/>
      </c>
      <c r="AV154" s="13">
        <f>IF('Council Entry'!AV154="","",IFERROR(MAX(0,MIN(10,ROUND(IF('Council Entry'!AV$7="Decrease Risk",10-10*((IF('Council Entry'!AV$4="Logarithm",LN(0.001+IF(AND(ISNUMBER('Council Entry'!AV$8),ISNUMBER('Council Entry'!AV$9)),MAX(MIN('Council Entry'!AV154,'Council Entry'!AV$9),'Council Entry'!AV$8),'Council Entry'!AV154)),IF('Council Entry'!AV$4="Exponential",EXP(IF(AND(ISNUMBER('Council Entry'!AV$8),ISNUMBER('Council Entry'!AV$9)),MAX(MIN('Council Entry'!AV154,'Council Entry'!AV$9),'Council Entry'!AV$8),'Council Entry'!AV154)),IF(AND(ISNUMBER('Council Entry'!AV$8),ISNUMBER('Council Entry'!AV$9)),MAX(MIN('Council Entry'!AV154,'Council Entry'!AV$9),'Council Entry'!AV$8),'Council Entry'!AV154))))-'Council Entry'!AV$5)/('Council Entry'!AV$6-'Council Entry'!AV$5),10*((IF('Council Entry'!AV$4="Logarithm",LN(0.001+IF(AND(ISNUMBER('Council Entry'!AV$8),ISNUMBER('Council Entry'!AV$9)),MAX(MIN('Council Entry'!AV154,'Council Entry'!AV$9),'Council Entry'!AV$8),'Council Entry'!AV154)),IF('Council Entry'!AV$4="Exponential",EXP(IF(AND(ISNUMBER('Council Entry'!AV$8),ISNUMBER('Council Entry'!AV$9)),MAX(MIN('Council Entry'!AV154,'Council Entry'!AV$9),'Council Entry'!AV$8),'Council Entry'!AV154)),IF(AND(ISNUMBER('Council Entry'!AV$8),ISNUMBER('Council Entry'!AV$9)),MAX(MIN('Council Entry'!AV154,'Council Entry'!AV$9),'Council Entry'!AV$8),'Council Entry'!AV154))))-'Council Entry'!AV$5)/('Council Entry'!AV$6-'Council Entry'!AV$5)),1))),"No data"))</f>
        <v/>
      </c>
      <c r="AW154" s="13">
        <f>IF('Council Entry'!AW154="","",IFERROR(MAX(0,MIN(10,ROUND(IF('Council Entry'!AW$7="Decrease Risk",10-10*((IF('Council Entry'!AW$4="Logarithm",LN(0.001+IF(AND(ISNUMBER('Council Entry'!AW$8),ISNUMBER('Council Entry'!AW$9)),MAX(MIN('Council Entry'!AW154,'Council Entry'!AW$9),'Council Entry'!AW$8),'Council Entry'!AW154)),IF('Council Entry'!AW$4="Exponential",EXP(IF(AND(ISNUMBER('Council Entry'!AW$8),ISNUMBER('Council Entry'!AW$9)),MAX(MIN('Council Entry'!AW154,'Council Entry'!AW$9),'Council Entry'!AW$8),'Council Entry'!AW154)),IF(AND(ISNUMBER('Council Entry'!AW$8),ISNUMBER('Council Entry'!AW$9)),MAX(MIN('Council Entry'!AW154,'Council Entry'!AW$9),'Council Entry'!AW$8),'Council Entry'!AW154))))-'Council Entry'!AW$5)/('Council Entry'!AW$6-'Council Entry'!AW$5),10*((IF('Council Entry'!AW$4="Logarithm",LN(0.001+IF(AND(ISNUMBER('Council Entry'!AW$8),ISNUMBER('Council Entry'!AW$9)),MAX(MIN('Council Entry'!AW154,'Council Entry'!AW$9),'Council Entry'!AW$8),'Council Entry'!AW154)),IF('Council Entry'!AW$4="Exponential",EXP(IF(AND(ISNUMBER('Council Entry'!AW$8),ISNUMBER('Council Entry'!AW$9)),MAX(MIN('Council Entry'!AW154,'Council Entry'!AW$9),'Council Entry'!AW$8),'Council Entry'!AW154)),IF(AND(ISNUMBER('Council Entry'!AW$8),ISNUMBER('Council Entry'!AW$9)),MAX(MIN('Council Entry'!AW154,'Council Entry'!AW$9),'Council Entry'!AW$8),'Council Entry'!AW154))))-'Council Entry'!AW$5)/('Council Entry'!AW$6-'Council Entry'!AW$5)),1))),"No data"))</f>
        <v/>
      </c>
      <c r="AX154" s="13">
        <f>IF('Council Entry'!AX154="","",IFERROR(MAX(0,MIN(10,ROUND(IF('Council Entry'!AX$7="Decrease Risk",10-10*((IF('Council Entry'!AX$4="Logarithm",LN(0.001+IF(AND(ISNUMBER('Council Entry'!AX$8),ISNUMBER('Council Entry'!AX$9)),MAX(MIN('Council Entry'!AX154,'Council Entry'!AX$9),'Council Entry'!AX$8),'Council Entry'!AX154)),IF('Council Entry'!AX$4="Exponential",EXP(IF(AND(ISNUMBER('Council Entry'!AX$8),ISNUMBER('Council Entry'!AX$9)),MAX(MIN('Council Entry'!AX154,'Council Entry'!AX$9),'Council Entry'!AX$8),'Council Entry'!AX154)),IF(AND(ISNUMBER('Council Entry'!AX$8),ISNUMBER('Council Entry'!AX$9)),MAX(MIN('Council Entry'!AX154,'Council Entry'!AX$9),'Council Entry'!AX$8),'Council Entry'!AX154))))-'Council Entry'!AX$5)/('Council Entry'!AX$6-'Council Entry'!AX$5),10*((IF('Council Entry'!AX$4="Logarithm",LN(0.001+IF(AND(ISNUMBER('Council Entry'!AX$8),ISNUMBER('Council Entry'!AX$9)),MAX(MIN('Council Entry'!AX154,'Council Entry'!AX$9),'Council Entry'!AX$8),'Council Entry'!AX154)),IF('Council Entry'!AX$4="Exponential",EXP(IF(AND(ISNUMBER('Council Entry'!AX$8),ISNUMBER('Council Entry'!AX$9)),MAX(MIN('Council Entry'!AX154,'Council Entry'!AX$9),'Council Entry'!AX$8),'Council Entry'!AX154)),IF(AND(ISNUMBER('Council Entry'!AX$8),ISNUMBER('Council Entry'!AX$9)),MAX(MIN('Council Entry'!AX154,'Council Entry'!AX$9),'Council Entry'!AX$8),'Council Entry'!AX154))))-'Council Entry'!AX$5)/('Council Entry'!AX$6-'Council Entry'!AX$5)),1))),"No data"))</f>
        <v/>
      </c>
      <c r="AY154" s="13">
        <f>IF('Council Entry'!AY154="","",IFERROR(MAX(0,MIN(10,ROUND(IF('Council Entry'!AY$7="Decrease Risk",10-10*((IF('Council Entry'!AY$4="Logarithm",LN(0.001+IF(AND(ISNUMBER('Council Entry'!AY$8),ISNUMBER('Council Entry'!AY$9)),MAX(MIN('Council Entry'!AY154,'Council Entry'!AY$9),'Council Entry'!AY$8),'Council Entry'!AY154)),IF('Council Entry'!AY$4="Exponential",EXP(IF(AND(ISNUMBER('Council Entry'!AY$8),ISNUMBER('Council Entry'!AY$9)),MAX(MIN('Council Entry'!AY154,'Council Entry'!AY$9),'Council Entry'!AY$8),'Council Entry'!AY154)),IF(AND(ISNUMBER('Council Entry'!AY$8),ISNUMBER('Council Entry'!AY$9)),MAX(MIN('Council Entry'!AY154,'Council Entry'!AY$9),'Council Entry'!AY$8),'Council Entry'!AY154))))-'Council Entry'!AY$5)/('Council Entry'!AY$6-'Council Entry'!AY$5),10*((IF('Council Entry'!AY$4="Logarithm",LN(0.001+IF(AND(ISNUMBER('Council Entry'!AY$8),ISNUMBER('Council Entry'!AY$9)),MAX(MIN('Council Entry'!AY154,'Council Entry'!AY$9),'Council Entry'!AY$8),'Council Entry'!AY154)),IF('Council Entry'!AY$4="Exponential",EXP(IF(AND(ISNUMBER('Council Entry'!AY$8),ISNUMBER('Council Entry'!AY$9)),MAX(MIN('Council Entry'!AY154,'Council Entry'!AY$9),'Council Entry'!AY$8),'Council Entry'!AY154)),IF(AND(ISNUMBER('Council Entry'!AY$8),ISNUMBER('Council Entry'!AY$9)),MAX(MIN('Council Entry'!AY154,'Council Entry'!AY$9),'Council Entry'!AY$8),'Council Entry'!AY154))))-'Council Entry'!AY$5)/('Council Entry'!AY$6-'Council Entry'!AY$5)),1))),"No data"))</f>
        <v/>
      </c>
      <c r="AZ154" s="13">
        <f>IF('Council Entry'!AZ154="","",IFERROR(MAX(0,MIN(10,ROUND(IF('Council Entry'!AZ$7="Decrease Risk",10-10*((IF('Council Entry'!AZ$4="Logarithm",LN(0.001+IF(AND(ISNUMBER('Council Entry'!AZ$8),ISNUMBER('Council Entry'!AZ$9)),MAX(MIN('Council Entry'!AZ154,'Council Entry'!AZ$9),'Council Entry'!AZ$8),'Council Entry'!AZ154)),IF('Council Entry'!AZ$4="Exponential",EXP(IF(AND(ISNUMBER('Council Entry'!AZ$8),ISNUMBER('Council Entry'!AZ$9)),MAX(MIN('Council Entry'!AZ154,'Council Entry'!AZ$9),'Council Entry'!AZ$8),'Council Entry'!AZ154)),IF(AND(ISNUMBER('Council Entry'!AZ$8),ISNUMBER('Council Entry'!AZ$9)),MAX(MIN('Council Entry'!AZ154,'Council Entry'!AZ$9),'Council Entry'!AZ$8),'Council Entry'!AZ154))))-'Council Entry'!AZ$5)/('Council Entry'!AZ$6-'Council Entry'!AZ$5),10*((IF('Council Entry'!AZ$4="Logarithm",LN(0.001+IF(AND(ISNUMBER('Council Entry'!AZ$8),ISNUMBER('Council Entry'!AZ$9)),MAX(MIN('Council Entry'!AZ154,'Council Entry'!AZ$9),'Council Entry'!AZ$8),'Council Entry'!AZ154)),IF('Council Entry'!AZ$4="Exponential",EXP(IF(AND(ISNUMBER('Council Entry'!AZ$8),ISNUMBER('Council Entry'!AZ$9)),MAX(MIN('Council Entry'!AZ154,'Council Entry'!AZ$9),'Council Entry'!AZ$8),'Council Entry'!AZ154)),IF(AND(ISNUMBER('Council Entry'!AZ$8),ISNUMBER('Council Entry'!AZ$9)),MAX(MIN('Council Entry'!AZ154,'Council Entry'!AZ$9),'Council Entry'!AZ$8),'Council Entry'!AZ154))))-'Council Entry'!AZ$5)/('Council Entry'!AZ$6-'Council Entry'!AZ$5)),1))),"No data"))</f>
        <v/>
      </c>
      <c r="BA154" s="13">
        <f>IF('Council Entry'!BA154="","",IFERROR(MAX(0,MIN(10,ROUND(IF('Council Entry'!BA$7="Decrease Risk",10-10*((IF('Council Entry'!BA$4="Logarithm",LN(0.001+IF(AND(ISNUMBER('Council Entry'!BA$8),ISNUMBER('Council Entry'!BA$9)),MAX(MIN('Council Entry'!BA154,'Council Entry'!BA$9),'Council Entry'!BA$8),'Council Entry'!BA154)),IF('Council Entry'!BA$4="Exponential",EXP(IF(AND(ISNUMBER('Council Entry'!BA$8),ISNUMBER('Council Entry'!BA$9)),MAX(MIN('Council Entry'!BA154,'Council Entry'!BA$9),'Council Entry'!BA$8),'Council Entry'!BA154)),IF(AND(ISNUMBER('Council Entry'!BA$8),ISNUMBER('Council Entry'!BA$9)),MAX(MIN('Council Entry'!BA154,'Council Entry'!BA$9),'Council Entry'!BA$8),'Council Entry'!BA154))))-'Council Entry'!BA$5)/('Council Entry'!BA$6-'Council Entry'!BA$5),10*((IF('Council Entry'!BA$4="Logarithm",LN(0.001+IF(AND(ISNUMBER('Council Entry'!BA$8),ISNUMBER('Council Entry'!BA$9)),MAX(MIN('Council Entry'!BA154,'Council Entry'!BA$9),'Council Entry'!BA$8),'Council Entry'!BA154)),IF('Council Entry'!BA$4="Exponential",EXP(IF(AND(ISNUMBER('Council Entry'!BA$8),ISNUMBER('Council Entry'!BA$9)),MAX(MIN('Council Entry'!BA154,'Council Entry'!BA$9),'Council Entry'!BA$8),'Council Entry'!BA154)),IF(AND(ISNUMBER('Council Entry'!BA$8),ISNUMBER('Council Entry'!BA$9)),MAX(MIN('Council Entry'!BA154,'Council Entry'!BA$9),'Council Entry'!BA$8),'Council Entry'!BA154))))-'Council Entry'!BA$5)/('Council Entry'!BA$6-'Council Entry'!BA$5)),1))),"No data"))</f>
        <v/>
      </c>
      <c r="BB154" s="13">
        <f>IF('Council Entry'!BB154="","",IFERROR(MAX(0,MIN(10,ROUND(IF('Council Entry'!BB$7="Decrease Risk",10-10*((IF('Council Entry'!BB$4="Logarithm",LN(0.001+IF(AND(ISNUMBER('Council Entry'!BB$8),ISNUMBER('Council Entry'!BB$9)),MAX(MIN('Council Entry'!BB154,'Council Entry'!BB$9),'Council Entry'!BB$8),'Council Entry'!BB154)),IF('Council Entry'!BB$4="Exponential",EXP(IF(AND(ISNUMBER('Council Entry'!BB$8),ISNUMBER('Council Entry'!BB$9)),MAX(MIN('Council Entry'!BB154,'Council Entry'!BB$9),'Council Entry'!BB$8),'Council Entry'!BB154)),IF(AND(ISNUMBER('Council Entry'!BB$8),ISNUMBER('Council Entry'!BB$9)),MAX(MIN('Council Entry'!BB154,'Council Entry'!BB$9),'Council Entry'!BB$8),'Council Entry'!BB154))))-'Council Entry'!BB$5)/('Council Entry'!BB$6-'Council Entry'!BB$5),10*((IF('Council Entry'!BB$4="Logarithm",LN(0.001+IF(AND(ISNUMBER('Council Entry'!BB$8),ISNUMBER('Council Entry'!BB$9)),MAX(MIN('Council Entry'!BB154,'Council Entry'!BB$9),'Council Entry'!BB$8),'Council Entry'!BB154)),IF('Council Entry'!BB$4="Exponential",EXP(IF(AND(ISNUMBER('Council Entry'!BB$8),ISNUMBER('Council Entry'!BB$9)),MAX(MIN('Council Entry'!BB154,'Council Entry'!BB$9),'Council Entry'!BB$8),'Council Entry'!BB154)),IF(AND(ISNUMBER('Council Entry'!BB$8),ISNUMBER('Council Entry'!BB$9)),MAX(MIN('Council Entry'!BB154,'Council Entry'!BB$9),'Council Entry'!BB$8),'Council Entry'!BB154))))-'Council Entry'!BB$5)/('Council Entry'!BB$6-'Council Entry'!BB$5)),1))),"No data"))</f>
        <v/>
      </c>
      <c r="BC154" s="13">
        <f>IF('Council Entry'!BC154="","",IFERROR(MAX(0,MIN(10,ROUND(IF('Council Entry'!BC$7="Decrease Risk",10-10*((IF('Council Entry'!BC$4="Logarithm",LN(0.001+IF(AND(ISNUMBER('Council Entry'!BC$8),ISNUMBER('Council Entry'!BC$9)),MAX(MIN('Council Entry'!BC154,'Council Entry'!BC$9),'Council Entry'!BC$8),'Council Entry'!BC154)),IF('Council Entry'!BC$4="Exponential",EXP(IF(AND(ISNUMBER('Council Entry'!BC$8),ISNUMBER('Council Entry'!BC$9)),MAX(MIN('Council Entry'!BC154,'Council Entry'!BC$9),'Council Entry'!BC$8),'Council Entry'!BC154)),IF(AND(ISNUMBER('Council Entry'!BC$8),ISNUMBER('Council Entry'!BC$9)),MAX(MIN('Council Entry'!BC154,'Council Entry'!BC$9),'Council Entry'!BC$8),'Council Entry'!BC154))))-'Council Entry'!BC$5)/('Council Entry'!BC$6-'Council Entry'!BC$5),10*((IF('Council Entry'!BC$4="Logarithm",LN(0.001+IF(AND(ISNUMBER('Council Entry'!BC$8),ISNUMBER('Council Entry'!BC$9)),MAX(MIN('Council Entry'!BC154,'Council Entry'!BC$9),'Council Entry'!BC$8),'Council Entry'!BC154)),IF('Council Entry'!BC$4="Exponential",EXP(IF(AND(ISNUMBER('Council Entry'!BC$8),ISNUMBER('Council Entry'!BC$9)),MAX(MIN('Council Entry'!BC154,'Council Entry'!BC$9),'Council Entry'!BC$8),'Council Entry'!BC154)),IF(AND(ISNUMBER('Council Entry'!BC$8),ISNUMBER('Council Entry'!BC$9)),MAX(MIN('Council Entry'!BC154,'Council Entry'!BC$9),'Council Entry'!BC$8),'Council Entry'!BC154))))-'Council Entry'!BC$5)/('Council Entry'!BC$6-'Council Entry'!BC$5)),1))),"No data"))</f>
        <v/>
      </c>
      <c r="BD154" s="13">
        <f>IF('Council Entry'!BD154="","",IFERROR(MAX(0,MIN(10,ROUND(IF('Council Entry'!BD$7="Decrease Risk",10-10*((IF('Council Entry'!BD$4="Logarithm",LN(0.001+IF(AND(ISNUMBER('Council Entry'!BD$8),ISNUMBER('Council Entry'!BD$9)),MAX(MIN('Council Entry'!BD154,'Council Entry'!BD$9),'Council Entry'!BD$8),'Council Entry'!BD154)),IF('Council Entry'!BD$4="Exponential",EXP(IF(AND(ISNUMBER('Council Entry'!BD$8),ISNUMBER('Council Entry'!BD$9)),MAX(MIN('Council Entry'!BD154,'Council Entry'!BD$9),'Council Entry'!BD$8),'Council Entry'!BD154)),IF(AND(ISNUMBER('Council Entry'!BD$8),ISNUMBER('Council Entry'!BD$9)),MAX(MIN('Council Entry'!BD154,'Council Entry'!BD$9),'Council Entry'!BD$8),'Council Entry'!BD154))))-'Council Entry'!BD$5)/('Council Entry'!BD$6-'Council Entry'!BD$5),10*((IF('Council Entry'!BD$4="Logarithm",LN(0.001+IF(AND(ISNUMBER('Council Entry'!BD$8),ISNUMBER('Council Entry'!BD$9)),MAX(MIN('Council Entry'!BD154,'Council Entry'!BD$9),'Council Entry'!BD$8),'Council Entry'!BD154)),IF('Council Entry'!BD$4="Exponential",EXP(IF(AND(ISNUMBER('Council Entry'!BD$8),ISNUMBER('Council Entry'!BD$9)),MAX(MIN('Council Entry'!BD154,'Council Entry'!BD$9),'Council Entry'!BD$8),'Council Entry'!BD154)),IF(AND(ISNUMBER('Council Entry'!BD$8),ISNUMBER('Council Entry'!BD$9)),MAX(MIN('Council Entry'!BD154,'Council Entry'!BD$9),'Council Entry'!BD$8),'Council Entry'!BD154))))-'Council Entry'!BD$5)/('Council Entry'!BD$6-'Council Entry'!BD$5)),1))),"No data"))</f>
        <v/>
      </c>
    </row>
    <row r="155">
      <c r="A155" t="inlineStr">
        <is>
          <t>Ruvuma</t>
        </is>
      </c>
      <c r="B155" t="inlineStr">
        <is>
          <t>Madaba District</t>
        </is>
      </c>
      <c r="C155" t="inlineStr">
        <is>
          <t>C075</t>
        </is>
      </c>
      <c r="D155" s="13">
        <f>IF('Council Entry'!D155="","",IFERROR(MAX(0,MIN(10,ROUND(IF('Council Entry'!D$7="Decrease Risk",10-10*((IF('Council Entry'!D$4="Logarithm",LN(0.001+IF(AND(ISNUMBER('Council Entry'!D$8),ISNUMBER('Council Entry'!D$9)),MAX(MIN('Council Entry'!D155,'Council Entry'!D$9),'Council Entry'!D$8),'Council Entry'!D155)),IF('Council Entry'!D$4="Exponential",EXP(IF(AND(ISNUMBER('Council Entry'!D$8),ISNUMBER('Council Entry'!D$9)),MAX(MIN('Council Entry'!D155,'Council Entry'!D$9),'Council Entry'!D$8),'Council Entry'!D155)),IF(AND(ISNUMBER('Council Entry'!D$8),ISNUMBER('Council Entry'!D$9)),MAX(MIN('Council Entry'!D155,'Council Entry'!D$9),'Council Entry'!D$8),'Council Entry'!D155))))-'Council Entry'!D$5)/('Council Entry'!D$6-'Council Entry'!D$5),10*((IF('Council Entry'!D$4="Logarithm",LN(0.001+IF(AND(ISNUMBER('Council Entry'!D$8),ISNUMBER('Council Entry'!D$9)),MAX(MIN('Council Entry'!D155,'Council Entry'!D$9),'Council Entry'!D$8),'Council Entry'!D155)),IF('Council Entry'!D$4="Exponential",EXP(IF(AND(ISNUMBER('Council Entry'!D$8),ISNUMBER('Council Entry'!D$9)),MAX(MIN('Council Entry'!D155,'Council Entry'!D$9),'Council Entry'!D$8),'Council Entry'!D155)),IF(AND(ISNUMBER('Council Entry'!D$8),ISNUMBER('Council Entry'!D$9)),MAX(MIN('Council Entry'!D155,'Council Entry'!D$9),'Council Entry'!D$8),'Council Entry'!D155))))-'Council Entry'!D$5)/('Council Entry'!D$6-'Council Entry'!D$5)),1))),"No data"))</f>
        <v/>
      </c>
      <c r="E155" s="13">
        <f>IF('Council Entry'!E155="","",IFERROR(MAX(0,MIN(10,ROUND(IF('Council Entry'!E$7="Decrease Risk",10-10*((IF('Council Entry'!E$4="Logarithm",LN(0.001+IF(AND(ISNUMBER('Council Entry'!E$8),ISNUMBER('Council Entry'!E$9)),MAX(MIN('Council Entry'!E155,'Council Entry'!E$9),'Council Entry'!E$8),'Council Entry'!E155)),IF('Council Entry'!E$4="Exponential",EXP(IF(AND(ISNUMBER('Council Entry'!E$8),ISNUMBER('Council Entry'!E$9)),MAX(MIN('Council Entry'!E155,'Council Entry'!E$9),'Council Entry'!E$8),'Council Entry'!E155)),IF(AND(ISNUMBER('Council Entry'!E$8),ISNUMBER('Council Entry'!E$9)),MAX(MIN('Council Entry'!E155,'Council Entry'!E$9),'Council Entry'!E$8),'Council Entry'!E155))))-'Council Entry'!E$5)/('Council Entry'!E$6-'Council Entry'!E$5),10*((IF('Council Entry'!E$4="Logarithm",LN(0.001+IF(AND(ISNUMBER('Council Entry'!E$8),ISNUMBER('Council Entry'!E$9)),MAX(MIN('Council Entry'!E155,'Council Entry'!E$9),'Council Entry'!E$8),'Council Entry'!E155)),IF('Council Entry'!E$4="Exponential",EXP(IF(AND(ISNUMBER('Council Entry'!E$8),ISNUMBER('Council Entry'!E$9)),MAX(MIN('Council Entry'!E155,'Council Entry'!E$9),'Council Entry'!E$8),'Council Entry'!E155)),IF(AND(ISNUMBER('Council Entry'!E$8),ISNUMBER('Council Entry'!E$9)),MAX(MIN('Council Entry'!E155,'Council Entry'!E$9),'Council Entry'!E$8),'Council Entry'!E155))))-'Council Entry'!E$5)/('Council Entry'!E$6-'Council Entry'!E$5)),1))),"No data"))</f>
        <v/>
      </c>
      <c r="F155" s="13">
        <f>IF('Council Entry'!F155="","",IFERROR(MAX(0,MIN(10,ROUND(IF('Council Entry'!F$7="Decrease Risk",10-10*((IF('Council Entry'!F$4="Logarithm",LN(0.001+IF(AND(ISNUMBER('Council Entry'!F$8),ISNUMBER('Council Entry'!F$9)),MAX(MIN('Council Entry'!F155,'Council Entry'!F$9),'Council Entry'!F$8),'Council Entry'!F155)),IF('Council Entry'!F$4="Exponential",EXP(IF(AND(ISNUMBER('Council Entry'!F$8),ISNUMBER('Council Entry'!F$9)),MAX(MIN('Council Entry'!F155,'Council Entry'!F$9),'Council Entry'!F$8),'Council Entry'!F155)),IF(AND(ISNUMBER('Council Entry'!F$8),ISNUMBER('Council Entry'!F$9)),MAX(MIN('Council Entry'!F155,'Council Entry'!F$9),'Council Entry'!F$8),'Council Entry'!F155))))-'Council Entry'!F$5)/('Council Entry'!F$6-'Council Entry'!F$5),10*((IF('Council Entry'!F$4="Logarithm",LN(0.001+IF(AND(ISNUMBER('Council Entry'!F$8),ISNUMBER('Council Entry'!F$9)),MAX(MIN('Council Entry'!F155,'Council Entry'!F$9),'Council Entry'!F$8),'Council Entry'!F155)),IF('Council Entry'!F$4="Exponential",EXP(IF(AND(ISNUMBER('Council Entry'!F$8),ISNUMBER('Council Entry'!F$9)),MAX(MIN('Council Entry'!F155,'Council Entry'!F$9),'Council Entry'!F$8),'Council Entry'!F155)),IF(AND(ISNUMBER('Council Entry'!F$8),ISNUMBER('Council Entry'!F$9)),MAX(MIN('Council Entry'!F155,'Council Entry'!F$9),'Council Entry'!F$8),'Council Entry'!F155))))-'Council Entry'!F$5)/('Council Entry'!F$6-'Council Entry'!F$5)),1))),"No data"))</f>
        <v/>
      </c>
      <c r="G155" s="13">
        <f>IF('Council Entry'!G155="","",IFERROR(MAX(0,MIN(10,ROUND(IF('Council Entry'!G$7="Decrease Risk",10-10*((IF('Council Entry'!G$4="Logarithm",LN(0.001+IF(AND(ISNUMBER('Council Entry'!G$8),ISNUMBER('Council Entry'!G$9)),MAX(MIN('Council Entry'!G155,'Council Entry'!G$9),'Council Entry'!G$8),'Council Entry'!G155)),IF('Council Entry'!G$4="Exponential",EXP(IF(AND(ISNUMBER('Council Entry'!G$8),ISNUMBER('Council Entry'!G$9)),MAX(MIN('Council Entry'!G155,'Council Entry'!G$9),'Council Entry'!G$8),'Council Entry'!G155)),IF(AND(ISNUMBER('Council Entry'!G$8),ISNUMBER('Council Entry'!G$9)),MAX(MIN('Council Entry'!G155,'Council Entry'!G$9),'Council Entry'!G$8),'Council Entry'!G155))))-'Council Entry'!G$5)/('Council Entry'!G$6-'Council Entry'!G$5),10*((IF('Council Entry'!G$4="Logarithm",LN(0.001+IF(AND(ISNUMBER('Council Entry'!G$8),ISNUMBER('Council Entry'!G$9)),MAX(MIN('Council Entry'!G155,'Council Entry'!G$9),'Council Entry'!G$8),'Council Entry'!G155)),IF('Council Entry'!G$4="Exponential",EXP(IF(AND(ISNUMBER('Council Entry'!G$8),ISNUMBER('Council Entry'!G$9)),MAX(MIN('Council Entry'!G155,'Council Entry'!G$9),'Council Entry'!G$8),'Council Entry'!G155)),IF(AND(ISNUMBER('Council Entry'!G$8),ISNUMBER('Council Entry'!G$9)),MAX(MIN('Council Entry'!G155,'Council Entry'!G$9),'Council Entry'!G$8),'Council Entry'!G155))))-'Council Entry'!G$5)/('Council Entry'!G$6-'Council Entry'!G$5)),1))),"No data"))</f>
        <v/>
      </c>
      <c r="H155" s="13">
        <f>IF('Council Entry'!H155="","",IFERROR(MAX(0,MIN(10,ROUND(IF('Council Entry'!H$7="Decrease Risk",10-10*((IF('Council Entry'!H$4="Logarithm",LN(0.001+IF(AND(ISNUMBER('Council Entry'!H$8),ISNUMBER('Council Entry'!H$9)),MAX(MIN('Council Entry'!H155,'Council Entry'!H$9),'Council Entry'!H$8),'Council Entry'!H155)),IF('Council Entry'!H$4="Exponential",EXP(IF(AND(ISNUMBER('Council Entry'!H$8),ISNUMBER('Council Entry'!H$9)),MAX(MIN('Council Entry'!H155,'Council Entry'!H$9),'Council Entry'!H$8),'Council Entry'!H155)),IF(AND(ISNUMBER('Council Entry'!H$8),ISNUMBER('Council Entry'!H$9)),MAX(MIN('Council Entry'!H155,'Council Entry'!H$9),'Council Entry'!H$8),'Council Entry'!H155))))-'Council Entry'!H$5)/('Council Entry'!H$6-'Council Entry'!H$5),10*((IF('Council Entry'!H$4="Logarithm",LN(0.001+IF(AND(ISNUMBER('Council Entry'!H$8),ISNUMBER('Council Entry'!H$9)),MAX(MIN('Council Entry'!H155,'Council Entry'!H$9),'Council Entry'!H$8),'Council Entry'!H155)),IF('Council Entry'!H$4="Exponential",EXP(IF(AND(ISNUMBER('Council Entry'!H$8),ISNUMBER('Council Entry'!H$9)),MAX(MIN('Council Entry'!H155,'Council Entry'!H$9),'Council Entry'!H$8),'Council Entry'!H155)),IF(AND(ISNUMBER('Council Entry'!H$8),ISNUMBER('Council Entry'!H$9)),MAX(MIN('Council Entry'!H155,'Council Entry'!H$9),'Council Entry'!H$8),'Council Entry'!H155))))-'Council Entry'!H$5)/('Council Entry'!H$6-'Council Entry'!H$5)),1))),"No data"))</f>
        <v/>
      </c>
      <c r="I155" s="13">
        <f>IF('Council Entry'!I155="","",IFERROR(MAX(0,MIN(10,ROUND(IF('Council Entry'!I$7="Decrease Risk",10-10*((IF('Council Entry'!I$4="Logarithm",LN(0.001+IF(AND(ISNUMBER('Council Entry'!I$8),ISNUMBER('Council Entry'!I$9)),MAX(MIN('Council Entry'!I155,'Council Entry'!I$9),'Council Entry'!I$8),'Council Entry'!I155)),IF('Council Entry'!I$4="Exponential",EXP(IF(AND(ISNUMBER('Council Entry'!I$8),ISNUMBER('Council Entry'!I$9)),MAX(MIN('Council Entry'!I155,'Council Entry'!I$9),'Council Entry'!I$8),'Council Entry'!I155)),IF(AND(ISNUMBER('Council Entry'!I$8),ISNUMBER('Council Entry'!I$9)),MAX(MIN('Council Entry'!I155,'Council Entry'!I$9),'Council Entry'!I$8),'Council Entry'!I155))))-'Council Entry'!I$5)/('Council Entry'!I$6-'Council Entry'!I$5),10*((IF('Council Entry'!I$4="Logarithm",LN(0.001+IF(AND(ISNUMBER('Council Entry'!I$8),ISNUMBER('Council Entry'!I$9)),MAX(MIN('Council Entry'!I155,'Council Entry'!I$9),'Council Entry'!I$8),'Council Entry'!I155)),IF('Council Entry'!I$4="Exponential",EXP(IF(AND(ISNUMBER('Council Entry'!I$8),ISNUMBER('Council Entry'!I$9)),MAX(MIN('Council Entry'!I155,'Council Entry'!I$9),'Council Entry'!I$8),'Council Entry'!I155)),IF(AND(ISNUMBER('Council Entry'!I$8),ISNUMBER('Council Entry'!I$9)),MAX(MIN('Council Entry'!I155,'Council Entry'!I$9),'Council Entry'!I$8),'Council Entry'!I155))))-'Council Entry'!I$5)/('Council Entry'!I$6-'Council Entry'!I$5)),1))),"No data"))</f>
        <v/>
      </c>
      <c r="J155" s="13">
        <f>IF('Council Entry'!J155="","",IFERROR(MAX(0,MIN(10,ROUND(IF('Council Entry'!J$7="Decrease Risk",10-10*((IF('Council Entry'!J$4="Logarithm",LN(0.001+IF(AND(ISNUMBER('Council Entry'!J$8),ISNUMBER('Council Entry'!J$9)),MAX(MIN('Council Entry'!J155,'Council Entry'!J$9),'Council Entry'!J$8),'Council Entry'!J155)),IF('Council Entry'!J$4="Exponential",EXP(IF(AND(ISNUMBER('Council Entry'!J$8),ISNUMBER('Council Entry'!J$9)),MAX(MIN('Council Entry'!J155,'Council Entry'!J$9),'Council Entry'!J$8),'Council Entry'!J155)),IF(AND(ISNUMBER('Council Entry'!J$8),ISNUMBER('Council Entry'!J$9)),MAX(MIN('Council Entry'!J155,'Council Entry'!J$9),'Council Entry'!J$8),'Council Entry'!J155))))-'Council Entry'!J$5)/('Council Entry'!J$6-'Council Entry'!J$5),10*((IF('Council Entry'!J$4="Logarithm",LN(0.001+IF(AND(ISNUMBER('Council Entry'!J$8),ISNUMBER('Council Entry'!J$9)),MAX(MIN('Council Entry'!J155,'Council Entry'!J$9),'Council Entry'!J$8),'Council Entry'!J155)),IF('Council Entry'!J$4="Exponential",EXP(IF(AND(ISNUMBER('Council Entry'!J$8),ISNUMBER('Council Entry'!J$9)),MAX(MIN('Council Entry'!J155,'Council Entry'!J$9),'Council Entry'!J$8),'Council Entry'!J155)),IF(AND(ISNUMBER('Council Entry'!J$8),ISNUMBER('Council Entry'!J$9)),MAX(MIN('Council Entry'!J155,'Council Entry'!J$9),'Council Entry'!J$8),'Council Entry'!J155))))-'Council Entry'!J$5)/('Council Entry'!J$6-'Council Entry'!J$5)),1))),"No data"))</f>
        <v/>
      </c>
      <c r="K155" s="13">
        <f>IF('Council Entry'!K155="","",IFERROR(MAX(0,MIN(10,ROUND(IF('Council Entry'!K$7="Decrease Risk",10-10*((IF('Council Entry'!K$4="Logarithm",LN(0.001+IF(AND(ISNUMBER('Council Entry'!K$8),ISNUMBER('Council Entry'!K$9)),MAX(MIN('Council Entry'!K155,'Council Entry'!K$9),'Council Entry'!K$8),'Council Entry'!K155)),IF('Council Entry'!K$4="Exponential",EXP(IF(AND(ISNUMBER('Council Entry'!K$8),ISNUMBER('Council Entry'!K$9)),MAX(MIN('Council Entry'!K155,'Council Entry'!K$9),'Council Entry'!K$8),'Council Entry'!K155)),IF(AND(ISNUMBER('Council Entry'!K$8),ISNUMBER('Council Entry'!K$9)),MAX(MIN('Council Entry'!K155,'Council Entry'!K$9),'Council Entry'!K$8),'Council Entry'!K155))))-'Council Entry'!K$5)/('Council Entry'!K$6-'Council Entry'!K$5),10*((IF('Council Entry'!K$4="Logarithm",LN(0.001+IF(AND(ISNUMBER('Council Entry'!K$8),ISNUMBER('Council Entry'!K$9)),MAX(MIN('Council Entry'!K155,'Council Entry'!K$9),'Council Entry'!K$8),'Council Entry'!K155)),IF('Council Entry'!K$4="Exponential",EXP(IF(AND(ISNUMBER('Council Entry'!K$8),ISNUMBER('Council Entry'!K$9)),MAX(MIN('Council Entry'!K155,'Council Entry'!K$9),'Council Entry'!K$8),'Council Entry'!K155)),IF(AND(ISNUMBER('Council Entry'!K$8),ISNUMBER('Council Entry'!K$9)),MAX(MIN('Council Entry'!K155,'Council Entry'!K$9),'Council Entry'!K$8),'Council Entry'!K155))))-'Council Entry'!K$5)/('Council Entry'!K$6-'Council Entry'!K$5)),1))),"No data"))</f>
        <v/>
      </c>
      <c r="L155" s="13">
        <f>IF('Council Entry'!L155="","",IFERROR(MAX(0,MIN(10,ROUND(IF('Council Entry'!L$7="Decrease Risk",10-10*((IF('Council Entry'!L$4="Logarithm",LN(0.001+IF(AND(ISNUMBER('Council Entry'!L$8),ISNUMBER('Council Entry'!L$9)),MAX(MIN('Council Entry'!L155,'Council Entry'!L$9),'Council Entry'!L$8),'Council Entry'!L155)),IF('Council Entry'!L$4="Exponential",EXP(IF(AND(ISNUMBER('Council Entry'!L$8),ISNUMBER('Council Entry'!L$9)),MAX(MIN('Council Entry'!L155,'Council Entry'!L$9),'Council Entry'!L$8),'Council Entry'!L155)),IF(AND(ISNUMBER('Council Entry'!L$8),ISNUMBER('Council Entry'!L$9)),MAX(MIN('Council Entry'!L155,'Council Entry'!L$9),'Council Entry'!L$8),'Council Entry'!L155))))-'Council Entry'!L$5)/('Council Entry'!L$6-'Council Entry'!L$5),10*((IF('Council Entry'!L$4="Logarithm",LN(0.001+IF(AND(ISNUMBER('Council Entry'!L$8),ISNUMBER('Council Entry'!L$9)),MAX(MIN('Council Entry'!L155,'Council Entry'!L$9),'Council Entry'!L$8),'Council Entry'!L155)),IF('Council Entry'!L$4="Exponential",EXP(IF(AND(ISNUMBER('Council Entry'!L$8),ISNUMBER('Council Entry'!L$9)),MAX(MIN('Council Entry'!L155,'Council Entry'!L$9),'Council Entry'!L$8),'Council Entry'!L155)),IF(AND(ISNUMBER('Council Entry'!L$8),ISNUMBER('Council Entry'!L$9)),MAX(MIN('Council Entry'!L155,'Council Entry'!L$9),'Council Entry'!L$8),'Council Entry'!L155))))-'Council Entry'!L$5)/('Council Entry'!L$6-'Council Entry'!L$5)),1))),"No data"))</f>
        <v/>
      </c>
      <c r="M155" s="13">
        <f>IF('Council Entry'!M155="","",IFERROR(MAX(0,MIN(10,ROUND(IF('Council Entry'!M$7="Decrease Risk",10-10*((IF('Council Entry'!M$4="Logarithm",LN(0.001+IF(AND(ISNUMBER('Council Entry'!M$8),ISNUMBER('Council Entry'!M$9)),MAX(MIN('Council Entry'!M155,'Council Entry'!M$9),'Council Entry'!M$8),'Council Entry'!M155)),IF('Council Entry'!M$4="Exponential",EXP(IF(AND(ISNUMBER('Council Entry'!M$8),ISNUMBER('Council Entry'!M$9)),MAX(MIN('Council Entry'!M155,'Council Entry'!M$9),'Council Entry'!M$8),'Council Entry'!M155)),IF(AND(ISNUMBER('Council Entry'!M$8),ISNUMBER('Council Entry'!M$9)),MAX(MIN('Council Entry'!M155,'Council Entry'!M$9),'Council Entry'!M$8),'Council Entry'!M155))))-'Council Entry'!M$5)/('Council Entry'!M$6-'Council Entry'!M$5),10*((IF('Council Entry'!M$4="Logarithm",LN(0.001+IF(AND(ISNUMBER('Council Entry'!M$8),ISNUMBER('Council Entry'!M$9)),MAX(MIN('Council Entry'!M155,'Council Entry'!M$9),'Council Entry'!M$8),'Council Entry'!M155)),IF('Council Entry'!M$4="Exponential",EXP(IF(AND(ISNUMBER('Council Entry'!M$8),ISNUMBER('Council Entry'!M$9)),MAX(MIN('Council Entry'!M155,'Council Entry'!M$9),'Council Entry'!M$8),'Council Entry'!M155)),IF(AND(ISNUMBER('Council Entry'!M$8),ISNUMBER('Council Entry'!M$9)),MAX(MIN('Council Entry'!M155,'Council Entry'!M$9),'Council Entry'!M$8),'Council Entry'!M155))))-'Council Entry'!M$5)/('Council Entry'!M$6-'Council Entry'!M$5)),1))),"No data"))</f>
        <v/>
      </c>
      <c r="N155" s="13">
        <f>IF('Council Entry'!N155="","",IFERROR(MAX(0,MIN(10,ROUND(IF('Council Entry'!N$7="Decrease Risk",10-10*((IF('Council Entry'!N$4="Logarithm",LN(0.001+IF(AND(ISNUMBER('Council Entry'!N$8),ISNUMBER('Council Entry'!N$9)),MAX(MIN('Council Entry'!N155,'Council Entry'!N$9),'Council Entry'!N$8),'Council Entry'!N155)),IF('Council Entry'!N$4="Exponential",EXP(IF(AND(ISNUMBER('Council Entry'!N$8),ISNUMBER('Council Entry'!N$9)),MAX(MIN('Council Entry'!N155,'Council Entry'!N$9),'Council Entry'!N$8),'Council Entry'!N155)),IF(AND(ISNUMBER('Council Entry'!N$8),ISNUMBER('Council Entry'!N$9)),MAX(MIN('Council Entry'!N155,'Council Entry'!N$9),'Council Entry'!N$8),'Council Entry'!N155))))-'Council Entry'!N$5)/('Council Entry'!N$6-'Council Entry'!N$5),10*((IF('Council Entry'!N$4="Logarithm",LN(0.001+IF(AND(ISNUMBER('Council Entry'!N$8),ISNUMBER('Council Entry'!N$9)),MAX(MIN('Council Entry'!N155,'Council Entry'!N$9),'Council Entry'!N$8),'Council Entry'!N155)),IF('Council Entry'!N$4="Exponential",EXP(IF(AND(ISNUMBER('Council Entry'!N$8),ISNUMBER('Council Entry'!N$9)),MAX(MIN('Council Entry'!N155,'Council Entry'!N$9),'Council Entry'!N$8),'Council Entry'!N155)),IF(AND(ISNUMBER('Council Entry'!N$8),ISNUMBER('Council Entry'!N$9)),MAX(MIN('Council Entry'!N155,'Council Entry'!N$9),'Council Entry'!N$8),'Council Entry'!N155))))-'Council Entry'!N$5)/('Council Entry'!N$6-'Council Entry'!N$5)),1))),"No data"))</f>
        <v/>
      </c>
      <c r="O155" s="13">
        <f>IF('Council Entry'!O155="","",IFERROR(MAX(0,MIN(10,ROUND(IF('Council Entry'!O$7="Decrease Risk",10-10*((IF('Council Entry'!O$4="Logarithm",LN(0.001+IF(AND(ISNUMBER('Council Entry'!O$8),ISNUMBER('Council Entry'!O$9)),MAX(MIN('Council Entry'!O155,'Council Entry'!O$9),'Council Entry'!O$8),'Council Entry'!O155)),IF('Council Entry'!O$4="Exponential",EXP(IF(AND(ISNUMBER('Council Entry'!O$8),ISNUMBER('Council Entry'!O$9)),MAX(MIN('Council Entry'!O155,'Council Entry'!O$9),'Council Entry'!O$8),'Council Entry'!O155)),IF(AND(ISNUMBER('Council Entry'!O$8),ISNUMBER('Council Entry'!O$9)),MAX(MIN('Council Entry'!O155,'Council Entry'!O$9),'Council Entry'!O$8),'Council Entry'!O155))))-'Council Entry'!O$5)/('Council Entry'!O$6-'Council Entry'!O$5),10*((IF('Council Entry'!O$4="Logarithm",LN(0.001+IF(AND(ISNUMBER('Council Entry'!O$8),ISNUMBER('Council Entry'!O$9)),MAX(MIN('Council Entry'!O155,'Council Entry'!O$9),'Council Entry'!O$8),'Council Entry'!O155)),IF('Council Entry'!O$4="Exponential",EXP(IF(AND(ISNUMBER('Council Entry'!O$8),ISNUMBER('Council Entry'!O$9)),MAX(MIN('Council Entry'!O155,'Council Entry'!O$9),'Council Entry'!O$8),'Council Entry'!O155)),IF(AND(ISNUMBER('Council Entry'!O$8),ISNUMBER('Council Entry'!O$9)),MAX(MIN('Council Entry'!O155,'Council Entry'!O$9),'Council Entry'!O$8),'Council Entry'!O155))))-'Council Entry'!O$5)/('Council Entry'!O$6-'Council Entry'!O$5)),1))),"No data"))</f>
        <v/>
      </c>
      <c r="P155" s="13">
        <f>IF('Council Entry'!P155="","",IFERROR(MAX(0,MIN(10,ROUND(IF('Council Entry'!P$7="Decrease Risk",10-10*((IF('Council Entry'!P$4="Logarithm",LN(0.001+IF(AND(ISNUMBER('Council Entry'!P$8),ISNUMBER('Council Entry'!P$9)),MAX(MIN('Council Entry'!P155,'Council Entry'!P$9),'Council Entry'!P$8),'Council Entry'!P155)),IF('Council Entry'!P$4="Exponential",EXP(IF(AND(ISNUMBER('Council Entry'!P$8),ISNUMBER('Council Entry'!P$9)),MAX(MIN('Council Entry'!P155,'Council Entry'!P$9),'Council Entry'!P$8),'Council Entry'!P155)),IF(AND(ISNUMBER('Council Entry'!P$8),ISNUMBER('Council Entry'!P$9)),MAX(MIN('Council Entry'!P155,'Council Entry'!P$9),'Council Entry'!P$8),'Council Entry'!P155))))-'Council Entry'!P$5)/('Council Entry'!P$6-'Council Entry'!P$5),10*((IF('Council Entry'!P$4="Logarithm",LN(0.001+IF(AND(ISNUMBER('Council Entry'!P$8),ISNUMBER('Council Entry'!P$9)),MAX(MIN('Council Entry'!P155,'Council Entry'!P$9),'Council Entry'!P$8),'Council Entry'!P155)),IF('Council Entry'!P$4="Exponential",EXP(IF(AND(ISNUMBER('Council Entry'!P$8),ISNUMBER('Council Entry'!P$9)),MAX(MIN('Council Entry'!P155,'Council Entry'!P$9),'Council Entry'!P$8),'Council Entry'!P155)),IF(AND(ISNUMBER('Council Entry'!P$8),ISNUMBER('Council Entry'!P$9)),MAX(MIN('Council Entry'!P155,'Council Entry'!P$9),'Council Entry'!P$8),'Council Entry'!P155))))-'Council Entry'!P$5)/('Council Entry'!P$6-'Council Entry'!P$5)),1))),"No data"))</f>
        <v/>
      </c>
      <c r="Q155" s="13">
        <f>IF('Council Entry'!Q155="","",IFERROR(MAX(0,MIN(10,ROUND(IF('Council Entry'!Q$7="Decrease Risk",10-10*((IF('Council Entry'!Q$4="Logarithm",LN(0.001+IF(AND(ISNUMBER('Council Entry'!Q$8),ISNUMBER('Council Entry'!Q$9)),MAX(MIN('Council Entry'!Q155,'Council Entry'!Q$9),'Council Entry'!Q$8),'Council Entry'!Q155)),IF('Council Entry'!Q$4="Exponential",EXP(IF(AND(ISNUMBER('Council Entry'!Q$8),ISNUMBER('Council Entry'!Q$9)),MAX(MIN('Council Entry'!Q155,'Council Entry'!Q$9),'Council Entry'!Q$8),'Council Entry'!Q155)),IF(AND(ISNUMBER('Council Entry'!Q$8),ISNUMBER('Council Entry'!Q$9)),MAX(MIN('Council Entry'!Q155,'Council Entry'!Q$9),'Council Entry'!Q$8),'Council Entry'!Q155))))-'Council Entry'!Q$5)/('Council Entry'!Q$6-'Council Entry'!Q$5),10*((IF('Council Entry'!Q$4="Logarithm",LN(0.001+IF(AND(ISNUMBER('Council Entry'!Q$8),ISNUMBER('Council Entry'!Q$9)),MAX(MIN('Council Entry'!Q155,'Council Entry'!Q$9),'Council Entry'!Q$8),'Council Entry'!Q155)),IF('Council Entry'!Q$4="Exponential",EXP(IF(AND(ISNUMBER('Council Entry'!Q$8),ISNUMBER('Council Entry'!Q$9)),MAX(MIN('Council Entry'!Q155,'Council Entry'!Q$9),'Council Entry'!Q$8),'Council Entry'!Q155)),IF(AND(ISNUMBER('Council Entry'!Q$8),ISNUMBER('Council Entry'!Q$9)),MAX(MIN('Council Entry'!Q155,'Council Entry'!Q$9),'Council Entry'!Q$8),'Council Entry'!Q155))))-'Council Entry'!Q$5)/('Council Entry'!Q$6-'Council Entry'!Q$5)),1))),"No data"))</f>
        <v/>
      </c>
      <c r="R155" s="13">
        <f>IF('Council Entry'!R155="","",IFERROR(MAX(0,MIN(10,ROUND(IF('Council Entry'!R$7="Decrease Risk",10-10*((IF('Council Entry'!R$4="Logarithm",LN(0.001+IF(AND(ISNUMBER('Council Entry'!R$8),ISNUMBER('Council Entry'!R$9)),MAX(MIN('Council Entry'!R155,'Council Entry'!R$9),'Council Entry'!R$8),'Council Entry'!R155)),IF('Council Entry'!R$4="Exponential",EXP(IF(AND(ISNUMBER('Council Entry'!R$8),ISNUMBER('Council Entry'!R$9)),MAX(MIN('Council Entry'!R155,'Council Entry'!R$9),'Council Entry'!R$8),'Council Entry'!R155)),IF(AND(ISNUMBER('Council Entry'!R$8),ISNUMBER('Council Entry'!R$9)),MAX(MIN('Council Entry'!R155,'Council Entry'!R$9),'Council Entry'!R$8),'Council Entry'!R155))))-'Council Entry'!R$5)/('Council Entry'!R$6-'Council Entry'!R$5),10*((IF('Council Entry'!R$4="Logarithm",LN(0.001+IF(AND(ISNUMBER('Council Entry'!R$8),ISNUMBER('Council Entry'!R$9)),MAX(MIN('Council Entry'!R155,'Council Entry'!R$9),'Council Entry'!R$8),'Council Entry'!R155)),IF('Council Entry'!R$4="Exponential",EXP(IF(AND(ISNUMBER('Council Entry'!R$8),ISNUMBER('Council Entry'!R$9)),MAX(MIN('Council Entry'!R155,'Council Entry'!R$9),'Council Entry'!R$8),'Council Entry'!R155)),IF(AND(ISNUMBER('Council Entry'!R$8),ISNUMBER('Council Entry'!R$9)),MAX(MIN('Council Entry'!R155,'Council Entry'!R$9),'Council Entry'!R$8),'Council Entry'!R155))))-'Council Entry'!R$5)/('Council Entry'!R$6-'Council Entry'!R$5)),1))),"No data"))</f>
        <v/>
      </c>
      <c r="S155" s="13">
        <f>IF('Council Entry'!S155="","",IFERROR(MAX(0,MIN(10,ROUND(IF('Council Entry'!S$7="Decrease Risk",10-10*((IF('Council Entry'!S$4="Logarithm",LN(0.001+IF(AND(ISNUMBER('Council Entry'!S$8),ISNUMBER('Council Entry'!S$9)),MAX(MIN('Council Entry'!S155,'Council Entry'!S$9),'Council Entry'!S$8),'Council Entry'!S155)),IF('Council Entry'!S$4="Exponential",EXP(IF(AND(ISNUMBER('Council Entry'!S$8),ISNUMBER('Council Entry'!S$9)),MAX(MIN('Council Entry'!S155,'Council Entry'!S$9),'Council Entry'!S$8),'Council Entry'!S155)),IF(AND(ISNUMBER('Council Entry'!S$8),ISNUMBER('Council Entry'!S$9)),MAX(MIN('Council Entry'!S155,'Council Entry'!S$9),'Council Entry'!S$8),'Council Entry'!S155))))-'Council Entry'!S$5)/('Council Entry'!S$6-'Council Entry'!S$5),10*((IF('Council Entry'!S$4="Logarithm",LN(0.001+IF(AND(ISNUMBER('Council Entry'!S$8),ISNUMBER('Council Entry'!S$9)),MAX(MIN('Council Entry'!S155,'Council Entry'!S$9),'Council Entry'!S$8),'Council Entry'!S155)),IF('Council Entry'!S$4="Exponential",EXP(IF(AND(ISNUMBER('Council Entry'!S$8),ISNUMBER('Council Entry'!S$9)),MAX(MIN('Council Entry'!S155,'Council Entry'!S$9),'Council Entry'!S$8),'Council Entry'!S155)),IF(AND(ISNUMBER('Council Entry'!S$8),ISNUMBER('Council Entry'!S$9)),MAX(MIN('Council Entry'!S155,'Council Entry'!S$9),'Council Entry'!S$8),'Council Entry'!S155))))-'Council Entry'!S$5)/('Council Entry'!S$6-'Council Entry'!S$5)),1))),"No data"))</f>
        <v/>
      </c>
      <c r="T155" s="13">
        <f>IF('Council Entry'!T155="","",IFERROR(MAX(0,MIN(10,ROUND(IF('Council Entry'!T$7="Decrease Risk",10-10*((IF('Council Entry'!T$4="Logarithm",LN(0.001+IF(AND(ISNUMBER('Council Entry'!T$8),ISNUMBER('Council Entry'!T$9)),MAX(MIN('Council Entry'!T155,'Council Entry'!T$9),'Council Entry'!T$8),'Council Entry'!T155)),IF('Council Entry'!T$4="Exponential",EXP(IF(AND(ISNUMBER('Council Entry'!T$8),ISNUMBER('Council Entry'!T$9)),MAX(MIN('Council Entry'!T155,'Council Entry'!T$9),'Council Entry'!T$8),'Council Entry'!T155)),IF(AND(ISNUMBER('Council Entry'!T$8),ISNUMBER('Council Entry'!T$9)),MAX(MIN('Council Entry'!T155,'Council Entry'!T$9),'Council Entry'!T$8),'Council Entry'!T155))))-'Council Entry'!T$5)/('Council Entry'!T$6-'Council Entry'!T$5),10*((IF('Council Entry'!T$4="Logarithm",LN(0.001+IF(AND(ISNUMBER('Council Entry'!T$8),ISNUMBER('Council Entry'!T$9)),MAX(MIN('Council Entry'!T155,'Council Entry'!T$9),'Council Entry'!T$8),'Council Entry'!T155)),IF('Council Entry'!T$4="Exponential",EXP(IF(AND(ISNUMBER('Council Entry'!T$8),ISNUMBER('Council Entry'!T$9)),MAX(MIN('Council Entry'!T155,'Council Entry'!T$9),'Council Entry'!T$8),'Council Entry'!T155)),IF(AND(ISNUMBER('Council Entry'!T$8),ISNUMBER('Council Entry'!T$9)),MAX(MIN('Council Entry'!T155,'Council Entry'!T$9),'Council Entry'!T$8),'Council Entry'!T155))))-'Council Entry'!T$5)/('Council Entry'!T$6-'Council Entry'!T$5)),1))),"No data"))</f>
        <v/>
      </c>
      <c r="U155" s="13">
        <f>IF('Council Entry'!U155="","",IFERROR(MAX(0,MIN(10,ROUND(IF('Council Entry'!U$7="Decrease Risk",10-10*((IF('Council Entry'!U$4="Logarithm",LN(0.001+IF(AND(ISNUMBER('Council Entry'!U$8),ISNUMBER('Council Entry'!U$9)),MAX(MIN('Council Entry'!U155,'Council Entry'!U$9),'Council Entry'!U$8),'Council Entry'!U155)),IF('Council Entry'!U$4="Exponential",EXP(IF(AND(ISNUMBER('Council Entry'!U$8),ISNUMBER('Council Entry'!U$9)),MAX(MIN('Council Entry'!U155,'Council Entry'!U$9),'Council Entry'!U$8),'Council Entry'!U155)),IF(AND(ISNUMBER('Council Entry'!U$8),ISNUMBER('Council Entry'!U$9)),MAX(MIN('Council Entry'!U155,'Council Entry'!U$9),'Council Entry'!U$8),'Council Entry'!U155))))-'Council Entry'!U$5)/('Council Entry'!U$6-'Council Entry'!U$5),10*((IF('Council Entry'!U$4="Logarithm",LN(0.001+IF(AND(ISNUMBER('Council Entry'!U$8),ISNUMBER('Council Entry'!U$9)),MAX(MIN('Council Entry'!U155,'Council Entry'!U$9),'Council Entry'!U$8),'Council Entry'!U155)),IF('Council Entry'!U$4="Exponential",EXP(IF(AND(ISNUMBER('Council Entry'!U$8),ISNUMBER('Council Entry'!U$9)),MAX(MIN('Council Entry'!U155,'Council Entry'!U$9),'Council Entry'!U$8),'Council Entry'!U155)),IF(AND(ISNUMBER('Council Entry'!U$8),ISNUMBER('Council Entry'!U$9)),MAX(MIN('Council Entry'!U155,'Council Entry'!U$9),'Council Entry'!U$8),'Council Entry'!U155))))-'Council Entry'!U$5)/('Council Entry'!U$6-'Council Entry'!U$5)),1))),"No data"))</f>
        <v/>
      </c>
      <c r="V155" s="13">
        <f>IF('Council Entry'!V155="","",IFERROR(MAX(0,MIN(10,ROUND(IF('Council Entry'!V$7="Decrease Risk",10-10*((IF('Council Entry'!V$4="Logarithm",LN(0.001+IF(AND(ISNUMBER('Council Entry'!V$8),ISNUMBER('Council Entry'!V$9)),MAX(MIN('Council Entry'!V155,'Council Entry'!V$9),'Council Entry'!V$8),'Council Entry'!V155)),IF('Council Entry'!V$4="Exponential",EXP(IF(AND(ISNUMBER('Council Entry'!V$8),ISNUMBER('Council Entry'!V$9)),MAX(MIN('Council Entry'!V155,'Council Entry'!V$9),'Council Entry'!V$8),'Council Entry'!V155)),IF(AND(ISNUMBER('Council Entry'!V$8),ISNUMBER('Council Entry'!V$9)),MAX(MIN('Council Entry'!V155,'Council Entry'!V$9),'Council Entry'!V$8),'Council Entry'!V155))))-'Council Entry'!V$5)/('Council Entry'!V$6-'Council Entry'!V$5),10*((IF('Council Entry'!V$4="Logarithm",LN(0.001+IF(AND(ISNUMBER('Council Entry'!V$8),ISNUMBER('Council Entry'!V$9)),MAX(MIN('Council Entry'!V155,'Council Entry'!V$9),'Council Entry'!V$8),'Council Entry'!V155)),IF('Council Entry'!V$4="Exponential",EXP(IF(AND(ISNUMBER('Council Entry'!V$8),ISNUMBER('Council Entry'!V$9)),MAX(MIN('Council Entry'!V155,'Council Entry'!V$9),'Council Entry'!V$8),'Council Entry'!V155)),IF(AND(ISNUMBER('Council Entry'!V$8),ISNUMBER('Council Entry'!V$9)),MAX(MIN('Council Entry'!V155,'Council Entry'!V$9),'Council Entry'!V$8),'Council Entry'!V155))))-'Council Entry'!V$5)/('Council Entry'!V$6-'Council Entry'!V$5)),1))),"No data"))</f>
        <v/>
      </c>
      <c r="W155" s="13">
        <f>IF('Council Entry'!W155="","",IFERROR(MAX(0,MIN(10,ROUND(IF('Council Entry'!W$7="Decrease Risk",10-10*((IF('Council Entry'!W$4="Logarithm",LN(0.001+IF(AND(ISNUMBER('Council Entry'!W$8),ISNUMBER('Council Entry'!W$9)),MAX(MIN('Council Entry'!W155,'Council Entry'!W$9),'Council Entry'!W$8),'Council Entry'!W155)),IF('Council Entry'!W$4="Exponential",EXP(IF(AND(ISNUMBER('Council Entry'!W$8),ISNUMBER('Council Entry'!W$9)),MAX(MIN('Council Entry'!W155,'Council Entry'!W$9),'Council Entry'!W$8),'Council Entry'!W155)),IF(AND(ISNUMBER('Council Entry'!W$8),ISNUMBER('Council Entry'!W$9)),MAX(MIN('Council Entry'!W155,'Council Entry'!W$9),'Council Entry'!W$8),'Council Entry'!W155))))-'Council Entry'!W$5)/('Council Entry'!W$6-'Council Entry'!W$5),10*((IF('Council Entry'!W$4="Logarithm",LN(0.001+IF(AND(ISNUMBER('Council Entry'!W$8),ISNUMBER('Council Entry'!W$9)),MAX(MIN('Council Entry'!W155,'Council Entry'!W$9),'Council Entry'!W$8),'Council Entry'!W155)),IF('Council Entry'!W$4="Exponential",EXP(IF(AND(ISNUMBER('Council Entry'!W$8),ISNUMBER('Council Entry'!W$9)),MAX(MIN('Council Entry'!W155,'Council Entry'!W$9),'Council Entry'!W$8),'Council Entry'!W155)),IF(AND(ISNUMBER('Council Entry'!W$8),ISNUMBER('Council Entry'!W$9)),MAX(MIN('Council Entry'!W155,'Council Entry'!W$9),'Council Entry'!W$8),'Council Entry'!W155))))-'Council Entry'!W$5)/('Council Entry'!W$6-'Council Entry'!W$5)),1))),"No data"))</f>
        <v/>
      </c>
      <c r="X155" s="13">
        <f>IF('Council Entry'!X155="","",IFERROR(MAX(0,MIN(10,ROUND(IF('Council Entry'!X$7="Decrease Risk",10-10*((IF('Council Entry'!X$4="Logarithm",LN(0.001+IF(AND(ISNUMBER('Council Entry'!X$8),ISNUMBER('Council Entry'!X$9)),MAX(MIN('Council Entry'!X155,'Council Entry'!X$9),'Council Entry'!X$8),'Council Entry'!X155)),IF('Council Entry'!X$4="Exponential",EXP(IF(AND(ISNUMBER('Council Entry'!X$8),ISNUMBER('Council Entry'!X$9)),MAX(MIN('Council Entry'!X155,'Council Entry'!X$9),'Council Entry'!X$8),'Council Entry'!X155)),IF(AND(ISNUMBER('Council Entry'!X$8),ISNUMBER('Council Entry'!X$9)),MAX(MIN('Council Entry'!X155,'Council Entry'!X$9),'Council Entry'!X$8),'Council Entry'!X155))))-'Council Entry'!X$5)/('Council Entry'!X$6-'Council Entry'!X$5),10*((IF('Council Entry'!X$4="Logarithm",LN(0.001+IF(AND(ISNUMBER('Council Entry'!X$8),ISNUMBER('Council Entry'!X$9)),MAX(MIN('Council Entry'!X155,'Council Entry'!X$9),'Council Entry'!X$8),'Council Entry'!X155)),IF('Council Entry'!X$4="Exponential",EXP(IF(AND(ISNUMBER('Council Entry'!X$8),ISNUMBER('Council Entry'!X$9)),MAX(MIN('Council Entry'!X155,'Council Entry'!X$9),'Council Entry'!X$8),'Council Entry'!X155)),IF(AND(ISNUMBER('Council Entry'!X$8),ISNUMBER('Council Entry'!X$9)),MAX(MIN('Council Entry'!X155,'Council Entry'!X$9),'Council Entry'!X$8),'Council Entry'!X155))))-'Council Entry'!X$5)/('Council Entry'!X$6-'Council Entry'!X$5)),1))),"No data"))</f>
        <v/>
      </c>
      <c r="Y155" s="13">
        <f>IF('Council Entry'!Y155="","",IFERROR(MAX(0,MIN(10,ROUND(IF('Council Entry'!Y$7="Decrease Risk",10-10*((IF('Council Entry'!Y$4="Logarithm",LN(0.001+IF(AND(ISNUMBER('Council Entry'!Y$8),ISNUMBER('Council Entry'!Y$9)),MAX(MIN('Council Entry'!Y155,'Council Entry'!Y$9),'Council Entry'!Y$8),'Council Entry'!Y155)),IF('Council Entry'!Y$4="Exponential",EXP(IF(AND(ISNUMBER('Council Entry'!Y$8),ISNUMBER('Council Entry'!Y$9)),MAX(MIN('Council Entry'!Y155,'Council Entry'!Y$9),'Council Entry'!Y$8),'Council Entry'!Y155)),IF(AND(ISNUMBER('Council Entry'!Y$8),ISNUMBER('Council Entry'!Y$9)),MAX(MIN('Council Entry'!Y155,'Council Entry'!Y$9),'Council Entry'!Y$8),'Council Entry'!Y155))))-'Council Entry'!Y$5)/('Council Entry'!Y$6-'Council Entry'!Y$5),10*((IF('Council Entry'!Y$4="Logarithm",LN(0.001+IF(AND(ISNUMBER('Council Entry'!Y$8),ISNUMBER('Council Entry'!Y$9)),MAX(MIN('Council Entry'!Y155,'Council Entry'!Y$9),'Council Entry'!Y$8),'Council Entry'!Y155)),IF('Council Entry'!Y$4="Exponential",EXP(IF(AND(ISNUMBER('Council Entry'!Y$8),ISNUMBER('Council Entry'!Y$9)),MAX(MIN('Council Entry'!Y155,'Council Entry'!Y$9),'Council Entry'!Y$8),'Council Entry'!Y155)),IF(AND(ISNUMBER('Council Entry'!Y$8),ISNUMBER('Council Entry'!Y$9)),MAX(MIN('Council Entry'!Y155,'Council Entry'!Y$9),'Council Entry'!Y$8),'Council Entry'!Y155))))-'Council Entry'!Y$5)/('Council Entry'!Y$6-'Council Entry'!Y$5)),1))),"No data"))</f>
        <v/>
      </c>
      <c r="Z155" s="13">
        <f>IF('Council Entry'!Z155="","",IFERROR(MAX(0,MIN(10,ROUND(IF('Council Entry'!Z$7="Decrease Risk",10-10*((IF('Council Entry'!Z$4="Logarithm",LN(0.001+IF(AND(ISNUMBER('Council Entry'!Z$8),ISNUMBER('Council Entry'!Z$9)),MAX(MIN('Council Entry'!Z155,'Council Entry'!Z$9),'Council Entry'!Z$8),'Council Entry'!Z155)),IF('Council Entry'!Z$4="Exponential",EXP(IF(AND(ISNUMBER('Council Entry'!Z$8),ISNUMBER('Council Entry'!Z$9)),MAX(MIN('Council Entry'!Z155,'Council Entry'!Z$9),'Council Entry'!Z$8),'Council Entry'!Z155)),IF(AND(ISNUMBER('Council Entry'!Z$8),ISNUMBER('Council Entry'!Z$9)),MAX(MIN('Council Entry'!Z155,'Council Entry'!Z$9),'Council Entry'!Z$8),'Council Entry'!Z155))))-'Council Entry'!Z$5)/('Council Entry'!Z$6-'Council Entry'!Z$5),10*((IF('Council Entry'!Z$4="Logarithm",LN(0.001+IF(AND(ISNUMBER('Council Entry'!Z$8),ISNUMBER('Council Entry'!Z$9)),MAX(MIN('Council Entry'!Z155,'Council Entry'!Z$9),'Council Entry'!Z$8),'Council Entry'!Z155)),IF('Council Entry'!Z$4="Exponential",EXP(IF(AND(ISNUMBER('Council Entry'!Z$8),ISNUMBER('Council Entry'!Z$9)),MAX(MIN('Council Entry'!Z155,'Council Entry'!Z$9),'Council Entry'!Z$8),'Council Entry'!Z155)),IF(AND(ISNUMBER('Council Entry'!Z$8),ISNUMBER('Council Entry'!Z$9)),MAX(MIN('Council Entry'!Z155,'Council Entry'!Z$9),'Council Entry'!Z$8),'Council Entry'!Z155))))-'Council Entry'!Z$5)/('Council Entry'!Z$6-'Council Entry'!Z$5)),1))),"No data"))</f>
        <v/>
      </c>
      <c r="AA155" s="13">
        <f>IF('Council Entry'!AA155="","",IFERROR(MAX(0,MIN(10,ROUND(IF('Council Entry'!AA$7="Decrease Risk",10-10*((IF('Council Entry'!AA$4="Logarithm",LN(0.001+IF(AND(ISNUMBER('Council Entry'!AA$8),ISNUMBER('Council Entry'!AA$9)),MAX(MIN('Council Entry'!AA155,'Council Entry'!AA$9),'Council Entry'!AA$8),'Council Entry'!AA155)),IF('Council Entry'!AA$4="Exponential",EXP(IF(AND(ISNUMBER('Council Entry'!AA$8),ISNUMBER('Council Entry'!AA$9)),MAX(MIN('Council Entry'!AA155,'Council Entry'!AA$9),'Council Entry'!AA$8),'Council Entry'!AA155)),IF(AND(ISNUMBER('Council Entry'!AA$8),ISNUMBER('Council Entry'!AA$9)),MAX(MIN('Council Entry'!AA155,'Council Entry'!AA$9),'Council Entry'!AA$8),'Council Entry'!AA155))))-'Council Entry'!AA$5)/('Council Entry'!AA$6-'Council Entry'!AA$5),10*((IF('Council Entry'!AA$4="Logarithm",LN(0.001+IF(AND(ISNUMBER('Council Entry'!AA$8),ISNUMBER('Council Entry'!AA$9)),MAX(MIN('Council Entry'!AA155,'Council Entry'!AA$9),'Council Entry'!AA$8),'Council Entry'!AA155)),IF('Council Entry'!AA$4="Exponential",EXP(IF(AND(ISNUMBER('Council Entry'!AA$8),ISNUMBER('Council Entry'!AA$9)),MAX(MIN('Council Entry'!AA155,'Council Entry'!AA$9),'Council Entry'!AA$8),'Council Entry'!AA155)),IF(AND(ISNUMBER('Council Entry'!AA$8),ISNUMBER('Council Entry'!AA$9)),MAX(MIN('Council Entry'!AA155,'Council Entry'!AA$9),'Council Entry'!AA$8),'Council Entry'!AA155))))-'Council Entry'!AA$5)/('Council Entry'!AA$6-'Council Entry'!AA$5)),1))),"No data"))</f>
        <v/>
      </c>
      <c r="AB155" s="13">
        <f>IF('Council Entry'!AB155="","",IFERROR(MAX(0,MIN(10,ROUND(IF('Council Entry'!AB$7="Decrease Risk",10-10*((IF('Council Entry'!AB$4="Logarithm",LN(0.001+IF(AND(ISNUMBER('Council Entry'!AB$8),ISNUMBER('Council Entry'!AB$9)),MAX(MIN('Council Entry'!AB155,'Council Entry'!AB$9),'Council Entry'!AB$8),'Council Entry'!AB155)),IF('Council Entry'!AB$4="Exponential",EXP(IF(AND(ISNUMBER('Council Entry'!AB$8),ISNUMBER('Council Entry'!AB$9)),MAX(MIN('Council Entry'!AB155,'Council Entry'!AB$9),'Council Entry'!AB$8),'Council Entry'!AB155)),IF(AND(ISNUMBER('Council Entry'!AB$8),ISNUMBER('Council Entry'!AB$9)),MAX(MIN('Council Entry'!AB155,'Council Entry'!AB$9),'Council Entry'!AB$8),'Council Entry'!AB155))))-'Council Entry'!AB$5)/('Council Entry'!AB$6-'Council Entry'!AB$5),10*((IF('Council Entry'!AB$4="Logarithm",LN(0.001+IF(AND(ISNUMBER('Council Entry'!AB$8),ISNUMBER('Council Entry'!AB$9)),MAX(MIN('Council Entry'!AB155,'Council Entry'!AB$9),'Council Entry'!AB$8),'Council Entry'!AB155)),IF('Council Entry'!AB$4="Exponential",EXP(IF(AND(ISNUMBER('Council Entry'!AB$8),ISNUMBER('Council Entry'!AB$9)),MAX(MIN('Council Entry'!AB155,'Council Entry'!AB$9),'Council Entry'!AB$8),'Council Entry'!AB155)),IF(AND(ISNUMBER('Council Entry'!AB$8),ISNUMBER('Council Entry'!AB$9)),MAX(MIN('Council Entry'!AB155,'Council Entry'!AB$9),'Council Entry'!AB$8),'Council Entry'!AB155))))-'Council Entry'!AB$5)/('Council Entry'!AB$6-'Council Entry'!AB$5)),1))),"No data"))</f>
        <v/>
      </c>
      <c r="AC155" s="13">
        <f>IF('Council Entry'!AC155="","",IFERROR(MAX(0,MIN(10,ROUND(IF('Council Entry'!AC$7="Decrease Risk",10-10*((IF('Council Entry'!AC$4="Logarithm",LN(0.001+IF(AND(ISNUMBER('Council Entry'!AC$8),ISNUMBER('Council Entry'!AC$9)),MAX(MIN('Council Entry'!AC155,'Council Entry'!AC$9),'Council Entry'!AC$8),'Council Entry'!AC155)),IF('Council Entry'!AC$4="Exponential",EXP(IF(AND(ISNUMBER('Council Entry'!AC$8),ISNUMBER('Council Entry'!AC$9)),MAX(MIN('Council Entry'!AC155,'Council Entry'!AC$9),'Council Entry'!AC$8),'Council Entry'!AC155)),IF(AND(ISNUMBER('Council Entry'!AC$8),ISNUMBER('Council Entry'!AC$9)),MAX(MIN('Council Entry'!AC155,'Council Entry'!AC$9),'Council Entry'!AC$8),'Council Entry'!AC155))))-'Council Entry'!AC$5)/('Council Entry'!AC$6-'Council Entry'!AC$5),10*((IF('Council Entry'!AC$4="Logarithm",LN(0.001+IF(AND(ISNUMBER('Council Entry'!AC$8),ISNUMBER('Council Entry'!AC$9)),MAX(MIN('Council Entry'!AC155,'Council Entry'!AC$9),'Council Entry'!AC$8),'Council Entry'!AC155)),IF('Council Entry'!AC$4="Exponential",EXP(IF(AND(ISNUMBER('Council Entry'!AC$8),ISNUMBER('Council Entry'!AC$9)),MAX(MIN('Council Entry'!AC155,'Council Entry'!AC$9),'Council Entry'!AC$8),'Council Entry'!AC155)),IF(AND(ISNUMBER('Council Entry'!AC$8),ISNUMBER('Council Entry'!AC$9)),MAX(MIN('Council Entry'!AC155,'Council Entry'!AC$9),'Council Entry'!AC$8),'Council Entry'!AC155))))-'Council Entry'!AC$5)/('Council Entry'!AC$6-'Council Entry'!AC$5)),1))),"No data"))</f>
        <v/>
      </c>
      <c r="AD155" s="13">
        <f>IF('Council Entry'!AD155="","",IFERROR(MAX(0,MIN(10,ROUND(IF('Council Entry'!AD$7="Decrease Risk",10-10*((IF('Council Entry'!AD$4="Logarithm",LN(0.001+IF(AND(ISNUMBER('Council Entry'!AD$8),ISNUMBER('Council Entry'!AD$9)),MAX(MIN('Council Entry'!AD155,'Council Entry'!AD$9),'Council Entry'!AD$8),'Council Entry'!AD155)),IF('Council Entry'!AD$4="Exponential",EXP(IF(AND(ISNUMBER('Council Entry'!AD$8),ISNUMBER('Council Entry'!AD$9)),MAX(MIN('Council Entry'!AD155,'Council Entry'!AD$9),'Council Entry'!AD$8),'Council Entry'!AD155)),IF(AND(ISNUMBER('Council Entry'!AD$8),ISNUMBER('Council Entry'!AD$9)),MAX(MIN('Council Entry'!AD155,'Council Entry'!AD$9),'Council Entry'!AD$8),'Council Entry'!AD155))))-'Council Entry'!AD$5)/('Council Entry'!AD$6-'Council Entry'!AD$5),10*((IF('Council Entry'!AD$4="Logarithm",LN(0.001+IF(AND(ISNUMBER('Council Entry'!AD$8),ISNUMBER('Council Entry'!AD$9)),MAX(MIN('Council Entry'!AD155,'Council Entry'!AD$9),'Council Entry'!AD$8),'Council Entry'!AD155)),IF('Council Entry'!AD$4="Exponential",EXP(IF(AND(ISNUMBER('Council Entry'!AD$8),ISNUMBER('Council Entry'!AD$9)),MAX(MIN('Council Entry'!AD155,'Council Entry'!AD$9),'Council Entry'!AD$8),'Council Entry'!AD155)),IF(AND(ISNUMBER('Council Entry'!AD$8),ISNUMBER('Council Entry'!AD$9)),MAX(MIN('Council Entry'!AD155,'Council Entry'!AD$9),'Council Entry'!AD$8),'Council Entry'!AD155))))-'Council Entry'!AD$5)/('Council Entry'!AD$6-'Council Entry'!AD$5)),1))),"No data"))</f>
        <v/>
      </c>
      <c r="AE155" s="13">
        <f>IF('Council Entry'!AE155="","",IFERROR(MAX(0,MIN(10,ROUND(IF('Council Entry'!AE$7="Decrease Risk",10-10*((IF('Council Entry'!AE$4="Logarithm",LN(0.001+IF(AND(ISNUMBER('Council Entry'!AE$8),ISNUMBER('Council Entry'!AE$9)),MAX(MIN('Council Entry'!AE155,'Council Entry'!AE$9),'Council Entry'!AE$8),'Council Entry'!AE155)),IF('Council Entry'!AE$4="Exponential",EXP(IF(AND(ISNUMBER('Council Entry'!AE$8),ISNUMBER('Council Entry'!AE$9)),MAX(MIN('Council Entry'!AE155,'Council Entry'!AE$9),'Council Entry'!AE$8),'Council Entry'!AE155)),IF(AND(ISNUMBER('Council Entry'!AE$8),ISNUMBER('Council Entry'!AE$9)),MAX(MIN('Council Entry'!AE155,'Council Entry'!AE$9),'Council Entry'!AE$8),'Council Entry'!AE155))))-'Council Entry'!AE$5)/('Council Entry'!AE$6-'Council Entry'!AE$5),10*((IF('Council Entry'!AE$4="Logarithm",LN(0.001+IF(AND(ISNUMBER('Council Entry'!AE$8),ISNUMBER('Council Entry'!AE$9)),MAX(MIN('Council Entry'!AE155,'Council Entry'!AE$9),'Council Entry'!AE$8),'Council Entry'!AE155)),IF('Council Entry'!AE$4="Exponential",EXP(IF(AND(ISNUMBER('Council Entry'!AE$8),ISNUMBER('Council Entry'!AE$9)),MAX(MIN('Council Entry'!AE155,'Council Entry'!AE$9),'Council Entry'!AE$8),'Council Entry'!AE155)),IF(AND(ISNUMBER('Council Entry'!AE$8),ISNUMBER('Council Entry'!AE$9)),MAX(MIN('Council Entry'!AE155,'Council Entry'!AE$9),'Council Entry'!AE$8),'Council Entry'!AE155))))-'Council Entry'!AE$5)/('Council Entry'!AE$6-'Council Entry'!AE$5)),1))),"No data"))</f>
        <v/>
      </c>
      <c r="AF155" s="13">
        <f>IF('Council Entry'!AF155="","",IFERROR(MAX(0,MIN(10,ROUND(IF('Council Entry'!AF$7="Decrease Risk",10-10*((IF('Council Entry'!AF$4="Logarithm",LN(0.001+IF(AND(ISNUMBER('Council Entry'!AF$8),ISNUMBER('Council Entry'!AF$9)),MAX(MIN('Council Entry'!AF155,'Council Entry'!AF$9),'Council Entry'!AF$8),'Council Entry'!AF155)),IF('Council Entry'!AF$4="Exponential",EXP(IF(AND(ISNUMBER('Council Entry'!AF$8),ISNUMBER('Council Entry'!AF$9)),MAX(MIN('Council Entry'!AF155,'Council Entry'!AF$9),'Council Entry'!AF$8),'Council Entry'!AF155)),IF(AND(ISNUMBER('Council Entry'!AF$8),ISNUMBER('Council Entry'!AF$9)),MAX(MIN('Council Entry'!AF155,'Council Entry'!AF$9),'Council Entry'!AF$8),'Council Entry'!AF155))))-'Council Entry'!AF$5)/('Council Entry'!AF$6-'Council Entry'!AF$5),10*((IF('Council Entry'!AF$4="Logarithm",LN(0.001+IF(AND(ISNUMBER('Council Entry'!AF$8),ISNUMBER('Council Entry'!AF$9)),MAX(MIN('Council Entry'!AF155,'Council Entry'!AF$9),'Council Entry'!AF$8),'Council Entry'!AF155)),IF('Council Entry'!AF$4="Exponential",EXP(IF(AND(ISNUMBER('Council Entry'!AF$8),ISNUMBER('Council Entry'!AF$9)),MAX(MIN('Council Entry'!AF155,'Council Entry'!AF$9),'Council Entry'!AF$8),'Council Entry'!AF155)),IF(AND(ISNUMBER('Council Entry'!AF$8),ISNUMBER('Council Entry'!AF$9)),MAX(MIN('Council Entry'!AF155,'Council Entry'!AF$9),'Council Entry'!AF$8),'Council Entry'!AF155))))-'Council Entry'!AF$5)/('Council Entry'!AF$6-'Council Entry'!AF$5)),1))),"No data"))</f>
        <v/>
      </c>
      <c r="AG155" s="13">
        <f>IF('Council Entry'!AG155="","",IFERROR(MAX(0,MIN(10,ROUND(IF('Council Entry'!AG$7="Decrease Risk",10-10*((IF('Council Entry'!AG$4="Logarithm",LN(0.001+IF(AND(ISNUMBER('Council Entry'!AG$8),ISNUMBER('Council Entry'!AG$9)),MAX(MIN('Council Entry'!AG155,'Council Entry'!AG$9),'Council Entry'!AG$8),'Council Entry'!AG155)),IF('Council Entry'!AG$4="Exponential",EXP(IF(AND(ISNUMBER('Council Entry'!AG$8),ISNUMBER('Council Entry'!AG$9)),MAX(MIN('Council Entry'!AG155,'Council Entry'!AG$9),'Council Entry'!AG$8),'Council Entry'!AG155)),IF(AND(ISNUMBER('Council Entry'!AG$8),ISNUMBER('Council Entry'!AG$9)),MAX(MIN('Council Entry'!AG155,'Council Entry'!AG$9),'Council Entry'!AG$8),'Council Entry'!AG155))))-'Council Entry'!AG$5)/('Council Entry'!AG$6-'Council Entry'!AG$5),10*((IF('Council Entry'!AG$4="Logarithm",LN(0.001+IF(AND(ISNUMBER('Council Entry'!AG$8),ISNUMBER('Council Entry'!AG$9)),MAX(MIN('Council Entry'!AG155,'Council Entry'!AG$9),'Council Entry'!AG$8),'Council Entry'!AG155)),IF('Council Entry'!AG$4="Exponential",EXP(IF(AND(ISNUMBER('Council Entry'!AG$8),ISNUMBER('Council Entry'!AG$9)),MAX(MIN('Council Entry'!AG155,'Council Entry'!AG$9),'Council Entry'!AG$8),'Council Entry'!AG155)),IF(AND(ISNUMBER('Council Entry'!AG$8),ISNUMBER('Council Entry'!AG$9)),MAX(MIN('Council Entry'!AG155,'Council Entry'!AG$9),'Council Entry'!AG$8),'Council Entry'!AG155))))-'Council Entry'!AG$5)/('Council Entry'!AG$6-'Council Entry'!AG$5)),1))),"No data"))</f>
        <v/>
      </c>
      <c r="AH155" s="13">
        <f>IF('Council Entry'!AH155="","",IFERROR(MAX(0,MIN(10,ROUND(IF('Council Entry'!AH$7="Decrease Risk",10-10*((IF('Council Entry'!AH$4="Logarithm",LN(0.001+IF(AND(ISNUMBER('Council Entry'!AH$8),ISNUMBER('Council Entry'!AH$9)),MAX(MIN('Council Entry'!AH155,'Council Entry'!AH$9),'Council Entry'!AH$8),'Council Entry'!AH155)),IF('Council Entry'!AH$4="Exponential",EXP(IF(AND(ISNUMBER('Council Entry'!AH$8),ISNUMBER('Council Entry'!AH$9)),MAX(MIN('Council Entry'!AH155,'Council Entry'!AH$9),'Council Entry'!AH$8),'Council Entry'!AH155)),IF(AND(ISNUMBER('Council Entry'!AH$8),ISNUMBER('Council Entry'!AH$9)),MAX(MIN('Council Entry'!AH155,'Council Entry'!AH$9),'Council Entry'!AH$8),'Council Entry'!AH155))))-'Council Entry'!AH$5)/('Council Entry'!AH$6-'Council Entry'!AH$5),10*((IF('Council Entry'!AH$4="Logarithm",LN(0.001+IF(AND(ISNUMBER('Council Entry'!AH$8),ISNUMBER('Council Entry'!AH$9)),MAX(MIN('Council Entry'!AH155,'Council Entry'!AH$9),'Council Entry'!AH$8),'Council Entry'!AH155)),IF('Council Entry'!AH$4="Exponential",EXP(IF(AND(ISNUMBER('Council Entry'!AH$8),ISNUMBER('Council Entry'!AH$9)),MAX(MIN('Council Entry'!AH155,'Council Entry'!AH$9),'Council Entry'!AH$8),'Council Entry'!AH155)),IF(AND(ISNUMBER('Council Entry'!AH$8),ISNUMBER('Council Entry'!AH$9)),MAX(MIN('Council Entry'!AH155,'Council Entry'!AH$9),'Council Entry'!AH$8),'Council Entry'!AH155))))-'Council Entry'!AH$5)/('Council Entry'!AH$6-'Council Entry'!AH$5)),1))),"No data"))</f>
        <v/>
      </c>
      <c r="AI155" s="13">
        <f>IF('Council Entry'!AI155="","",IFERROR(MAX(0,MIN(10,ROUND(IF('Council Entry'!AI$7="Decrease Risk",10-10*((IF('Council Entry'!AI$4="Logarithm",LN(0.001+IF(AND(ISNUMBER('Council Entry'!AI$8),ISNUMBER('Council Entry'!AI$9)),MAX(MIN('Council Entry'!AI155,'Council Entry'!AI$9),'Council Entry'!AI$8),'Council Entry'!AI155)),IF('Council Entry'!AI$4="Exponential",EXP(IF(AND(ISNUMBER('Council Entry'!AI$8),ISNUMBER('Council Entry'!AI$9)),MAX(MIN('Council Entry'!AI155,'Council Entry'!AI$9),'Council Entry'!AI$8),'Council Entry'!AI155)),IF(AND(ISNUMBER('Council Entry'!AI$8),ISNUMBER('Council Entry'!AI$9)),MAX(MIN('Council Entry'!AI155,'Council Entry'!AI$9),'Council Entry'!AI$8),'Council Entry'!AI155))))-'Council Entry'!AI$5)/('Council Entry'!AI$6-'Council Entry'!AI$5),10*((IF('Council Entry'!AI$4="Logarithm",LN(0.001+IF(AND(ISNUMBER('Council Entry'!AI$8),ISNUMBER('Council Entry'!AI$9)),MAX(MIN('Council Entry'!AI155,'Council Entry'!AI$9),'Council Entry'!AI$8),'Council Entry'!AI155)),IF('Council Entry'!AI$4="Exponential",EXP(IF(AND(ISNUMBER('Council Entry'!AI$8),ISNUMBER('Council Entry'!AI$9)),MAX(MIN('Council Entry'!AI155,'Council Entry'!AI$9),'Council Entry'!AI$8),'Council Entry'!AI155)),IF(AND(ISNUMBER('Council Entry'!AI$8),ISNUMBER('Council Entry'!AI$9)),MAX(MIN('Council Entry'!AI155,'Council Entry'!AI$9),'Council Entry'!AI$8),'Council Entry'!AI155))))-'Council Entry'!AI$5)/('Council Entry'!AI$6-'Council Entry'!AI$5)),1))),"No data"))</f>
        <v/>
      </c>
      <c r="AJ155" s="13">
        <f>IF('Council Entry'!AJ155="","",IFERROR(MAX(0,MIN(10,ROUND(IF('Council Entry'!AJ$7="Decrease Risk",10-10*((IF('Council Entry'!AJ$4="Logarithm",LN(0.001+IF(AND(ISNUMBER('Council Entry'!AJ$8),ISNUMBER('Council Entry'!AJ$9)),MAX(MIN('Council Entry'!AJ155,'Council Entry'!AJ$9),'Council Entry'!AJ$8),'Council Entry'!AJ155)),IF('Council Entry'!AJ$4="Exponential",EXP(IF(AND(ISNUMBER('Council Entry'!AJ$8),ISNUMBER('Council Entry'!AJ$9)),MAX(MIN('Council Entry'!AJ155,'Council Entry'!AJ$9),'Council Entry'!AJ$8),'Council Entry'!AJ155)),IF(AND(ISNUMBER('Council Entry'!AJ$8),ISNUMBER('Council Entry'!AJ$9)),MAX(MIN('Council Entry'!AJ155,'Council Entry'!AJ$9),'Council Entry'!AJ$8),'Council Entry'!AJ155))))-'Council Entry'!AJ$5)/('Council Entry'!AJ$6-'Council Entry'!AJ$5),10*((IF('Council Entry'!AJ$4="Logarithm",LN(0.001+IF(AND(ISNUMBER('Council Entry'!AJ$8),ISNUMBER('Council Entry'!AJ$9)),MAX(MIN('Council Entry'!AJ155,'Council Entry'!AJ$9),'Council Entry'!AJ$8),'Council Entry'!AJ155)),IF('Council Entry'!AJ$4="Exponential",EXP(IF(AND(ISNUMBER('Council Entry'!AJ$8),ISNUMBER('Council Entry'!AJ$9)),MAX(MIN('Council Entry'!AJ155,'Council Entry'!AJ$9),'Council Entry'!AJ$8),'Council Entry'!AJ155)),IF(AND(ISNUMBER('Council Entry'!AJ$8),ISNUMBER('Council Entry'!AJ$9)),MAX(MIN('Council Entry'!AJ155,'Council Entry'!AJ$9),'Council Entry'!AJ$8),'Council Entry'!AJ155))))-'Council Entry'!AJ$5)/('Council Entry'!AJ$6-'Council Entry'!AJ$5)),1))),"No data"))</f>
        <v/>
      </c>
      <c r="AK155" s="13">
        <f>IF('Council Entry'!AK155="","",IFERROR(MAX(0,MIN(10,ROUND(IF('Council Entry'!AK$7="Decrease Risk",10-10*((IF('Council Entry'!AK$4="Logarithm",LN(0.001+IF(AND(ISNUMBER('Council Entry'!AK$8),ISNUMBER('Council Entry'!AK$9)),MAX(MIN('Council Entry'!AK155,'Council Entry'!AK$9),'Council Entry'!AK$8),'Council Entry'!AK155)),IF('Council Entry'!AK$4="Exponential",EXP(IF(AND(ISNUMBER('Council Entry'!AK$8),ISNUMBER('Council Entry'!AK$9)),MAX(MIN('Council Entry'!AK155,'Council Entry'!AK$9),'Council Entry'!AK$8),'Council Entry'!AK155)),IF(AND(ISNUMBER('Council Entry'!AK$8),ISNUMBER('Council Entry'!AK$9)),MAX(MIN('Council Entry'!AK155,'Council Entry'!AK$9),'Council Entry'!AK$8),'Council Entry'!AK155))))-'Council Entry'!AK$5)/('Council Entry'!AK$6-'Council Entry'!AK$5),10*((IF('Council Entry'!AK$4="Logarithm",LN(0.001+IF(AND(ISNUMBER('Council Entry'!AK$8),ISNUMBER('Council Entry'!AK$9)),MAX(MIN('Council Entry'!AK155,'Council Entry'!AK$9),'Council Entry'!AK$8),'Council Entry'!AK155)),IF('Council Entry'!AK$4="Exponential",EXP(IF(AND(ISNUMBER('Council Entry'!AK$8),ISNUMBER('Council Entry'!AK$9)),MAX(MIN('Council Entry'!AK155,'Council Entry'!AK$9),'Council Entry'!AK$8),'Council Entry'!AK155)),IF(AND(ISNUMBER('Council Entry'!AK$8),ISNUMBER('Council Entry'!AK$9)),MAX(MIN('Council Entry'!AK155,'Council Entry'!AK$9),'Council Entry'!AK$8),'Council Entry'!AK155))))-'Council Entry'!AK$5)/('Council Entry'!AK$6-'Council Entry'!AK$5)),1))),"No data"))</f>
        <v/>
      </c>
      <c r="AL155" s="13">
        <f>IF('Council Entry'!AL155="","",IFERROR(MAX(0,MIN(10,ROUND(IF('Council Entry'!AL$7="Decrease Risk",10-10*((IF('Council Entry'!AL$4="Logarithm",LN(0.001+IF(AND(ISNUMBER('Council Entry'!AL$8),ISNUMBER('Council Entry'!AL$9)),MAX(MIN('Council Entry'!AL155,'Council Entry'!AL$9),'Council Entry'!AL$8),'Council Entry'!AL155)),IF('Council Entry'!AL$4="Exponential",EXP(IF(AND(ISNUMBER('Council Entry'!AL$8),ISNUMBER('Council Entry'!AL$9)),MAX(MIN('Council Entry'!AL155,'Council Entry'!AL$9),'Council Entry'!AL$8),'Council Entry'!AL155)),IF(AND(ISNUMBER('Council Entry'!AL$8),ISNUMBER('Council Entry'!AL$9)),MAX(MIN('Council Entry'!AL155,'Council Entry'!AL$9),'Council Entry'!AL$8),'Council Entry'!AL155))))-'Council Entry'!AL$5)/('Council Entry'!AL$6-'Council Entry'!AL$5),10*((IF('Council Entry'!AL$4="Logarithm",LN(0.001+IF(AND(ISNUMBER('Council Entry'!AL$8),ISNUMBER('Council Entry'!AL$9)),MAX(MIN('Council Entry'!AL155,'Council Entry'!AL$9),'Council Entry'!AL$8),'Council Entry'!AL155)),IF('Council Entry'!AL$4="Exponential",EXP(IF(AND(ISNUMBER('Council Entry'!AL$8),ISNUMBER('Council Entry'!AL$9)),MAX(MIN('Council Entry'!AL155,'Council Entry'!AL$9),'Council Entry'!AL$8),'Council Entry'!AL155)),IF(AND(ISNUMBER('Council Entry'!AL$8),ISNUMBER('Council Entry'!AL$9)),MAX(MIN('Council Entry'!AL155,'Council Entry'!AL$9),'Council Entry'!AL$8),'Council Entry'!AL155))))-'Council Entry'!AL$5)/('Council Entry'!AL$6-'Council Entry'!AL$5)),1))),"No data"))</f>
        <v/>
      </c>
      <c r="AM155" s="13">
        <f>IF('Council Entry'!AM155="","",IFERROR(MAX(0,MIN(10,ROUND(IF('Council Entry'!AM$7="Decrease Risk",10-10*((IF('Council Entry'!AM$4="Logarithm",LN(0.001+IF(AND(ISNUMBER('Council Entry'!AM$8),ISNUMBER('Council Entry'!AM$9)),MAX(MIN('Council Entry'!AM155,'Council Entry'!AM$9),'Council Entry'!AM$8),'Council Entry'!AM155)),IF('Council Entry'!AM$4="Exponential",EXP(IF(AND(ISNUMBER('Council Entry'!AM$8),ISNUMBER('Council Entry'!AM$9)),MAX(MIN('Council Entry'!AM155,'Council Entry'!AM$9),'Council Entry'!AM$8),'Council Entry'!AM155)),IF(AND(ISNUMBER('Council Entry'!AM$8),ISNUMBER('Council Entry'!AM$9)),MAX(MIN('Council Entry'!AM155,'Council Entry'!AM$9),'Council Entry'!AM$8),'Council Entry'!AM155))))-'Council Entry'!AM$5)/('Council Entry'!AM$6-'Council Entry'!AM$5),10*((IF('Council Entry'!AM$4="Logarithm",LN(0.001+IF(AND(ISNUMBER('Council Entry'!AM$8),ISNUMBER('Council Entry'!AM$9)),MAX(MIN('Council Entry'!AM155,'Council Entry'!AM$9),'Council Entry'!AM$8),'Council Entry'!AM155)),IF('Council Entry'!AM$4="Exponential",EXP(IF(AND(ISNUMBER('Council Entry'!AM$8),ISNUMBER('Council Entry'!AM$9)),MAX(MIN('Council Entry'!AM155,'Council Entry'!AM$9),'Council Entry'!AM$8),'Council Entry'!AM155)),IF(AND(ISNUMBER('Council Entry'!AM$8),ISNUMBER('Council Entry'!AM$9)),MAX(MIN('Council Entry'!AM155,'Council Entry'!AM$9),'Council Entry'!AM$8),'Council Entry'!AM155))))-'Council Entry'!AM$5)/('Council Entry'!AM$6-'Council Entry'!AM$5)),1))),"No data"))</f>
        <v/>
      </c>
      <c r="AN155" s="13">
        <f>IF('Council Entry'!AN155="","",IFERROR(MAX(0,MIN(10,ROUND(IF('Council Entry'!AN$7="Decrease Risk",10-10*((IF('Council Entry'!AN$4="Logarithm",LN(0.001+IF(AND(ISNUMBER('Council Entry'!AN$8),ISNUMBER('Council Entry'!AN$9)),MAX(MIN('Council Entry'!AN155,'Council Entry'!AN$9),'Council Entry'!AN$8),'Council Entry'!AN155)),IF('Council Entry'!AN$4="Exponential",EXP(IF(AND(ISNUMBER('Council Entry'!AN$8),ISNUMBER('Council Entry'!AN$9)),MAX(MIN('Council Entry'!AN155,'Council Entry'!AN$9),'Council Entry'!AN$8),'Council Entry'!AN155)),IF(AND(ISNUMBER('Council Entry'!AN$8),ISNUMBER('Council Entry'!AN$9)),MAX(MIN('Council Entry'!AN155,'Council Entry'!AN$9),'Council Entry'!AN$8),'Council Entry'!AN155))))-'Council Entry'!AN$5)/('Council Entry'!AN$6-'Council Entry'!AN$5),10*((IF('Council Entry'!AN$4="Logarithm",LN(0.001+IF(AND(ISNUMBER('Council Entry'!AN$8),ISNUMBER('Council Entry'!AN$9)),MAX(MIN('Council Entry'!AN155,'Council Entry'!AN$9),'Council Entry'!AN$8),'Council Entry'!AN155)),IF('Council Entry'!AN$4="Exponential",EXP(IF(AND(ISNUMBER('Council Entry'!AN$8),ISNUMBER('Council Entry'!AN$9)),MAX(MIN('Council Entry'!AN155,'Council Entry'!AN$9),'Council Entry'!AN$8),'Council Entry'!AN155)),IF(AND(ISNUMBER('Council Entry'!AN$8),ISNUMBER('Council Entry'!AN$9)),MAX(MIN('Council Entry'!AN155,'Council Entry'!AN$9),'Council Entry'!AN$8),'Council Entry'!AN155))))-'Council Entry'!AN$5)/('Council Entry'!AN$6-'Council Entry'!AN$5)),1))),"No data"))</f>
        <v/>
      </c>
      <c r="AO155" s="13">
        <f>IF('Council Entry'!AO155="","",IFERROR(MAX(0,MIN(10,ROUND(IF('Council Entry'!AO$7="Decrease Risk",10-10*((IF('Council Entry'!AO$4="Logarithm",LN(0.001+IF(AND(ISNUMBER('Council Entry'!AO$8),ISNUMBER('Council Entry'!AO$9)),MAX(MIN('Council Entry'!AO155,'Council Entry'!AO$9),'Council Entry'!AO$8),'Council Entry'!AO155)),IF('Council Entry'!AO$4="Exponential",EXP(IF(AND(ISNUMBER('Council Entry'!AO$8),ISNUMBER('Council Entry'!AO$9)),MAX(MIN('Council Entry'!AO155,'Council Entry'!AO$9),'Council Entry'!AO$8),'Council Entry'!AO155)),IF(AND(ISNUMBER('Council Entry'!AO$8),ISNUMBER('Council Entry'!AO$9)),MAX(MIN('Council Entry'!AO155,'Council Entry'!AO$9),'Council Entry'!AO$8),'Council Entry'!AO155))))-'Council Entry'!AO$5)/('Council Entry'!AO$6-'Council Entry'!AO$5),10*((IF('Council Entry'!AO$4="Logarithm",LN(0.001+IF(AND(ISNUMBER('Council Entry'!AO$8),ISNUMBER('Council Entry'!AO$9)),MAX(MIN('Council Entry'!AO155,'Council Entry'!AO$9),'Council Entry'!AO$8),'Council Entry'!AO155)),IF('Council Entry'!AO$4="Exponential",EXP(IF(AND(ISNUMBER('Council Entry'!AO$8),ISNUMBER('Council Entry'!AO$9)),MAX(MIN('Council Entry'!AO155,'Council Entry'!AO$9),'Council Entry'!AO$8),'Council Entry'!AO155)),IF(AND(ISNUMBER('Council Entry'!AO$8),ISNUMBER('Council Entry'!AO$9)),MAX(MIN('Council Entry'!AO155,'Council Entry'!AO$9),'Council Entry'!AO$8),'Council Entry'!AO155))))-'Council Entry'!AO$5)/('Council Entry'!AO$6-'Council Entry'!AO$5)),1))),"No data"))</f>
        <v/>
      </c>
      <c r="AP155" s="13">
        <f>IF('Council Entry'!AP155="","",IFERROR(MAX(0,MIN(10,ROUND(IF('Council Entry'!AP$7="Decrease Risk",10-10*((IF('Council Entry'!AP$4="Logarithm",LN(0.001+IF(AND(ISNUMBER('Council Entry'!AP$8),ISNUMBER('Council Entry'!AP$9)),MAX(MIN('Council Entry'!AP155,'Council Entry'!AP$9),'Council Entry'!AP$8),'Council Entry'!AP155)),IF('Council Entry'!AP$4="Exponential",EXP(IF(AND(ISNUMBER('Council Entry'!AP$8),ISNUMBER('Council Entry'!AP$9)),MAX(MIN('Council Entry'!AP155,'Council Entry'!AP$9),'Council Entry'!AP$8),'Council Entry'!AP155)),IF(AND(ISNUMBER('Council Entry'!AP$8),ISNUMBER('Council Entry'!AP$9)),MAX(MIN('Council Entry'!AP155,'Council Entry'!AP$9),'Council Entry'!AP$8),'Council Entry'!AP155))))-'Council Entry'!AP$5)/('Council Entry'!AP$6-'Council Entry'!AP$5),10*((IF('Council Entry'!AP$4="Logarithm",LN(0.001+IF(AND(ISNUMBER('Council Entry'!AP$8),ISNUMBER('Council Entry'!AP$9)),MAX(MIN('Council Entry'!AP155,'Council Entry'!AP$9),'Council Entry'!AP$8),'Council Entry'!AP155)),IF('Council Entry'!AP$4="Exponential",EXP(IF(AND(ISNUMBER('Council Entry'!AP$8),ISNUMBER('Council Entry'!AP$9)),MAX(MIN('Council Entry'!AP155,'Council Entry'!AP$9),'Council Entry'!AP$8),'Council Entry'!AP155)),IF(AND(ISNUMBER('Council Entry'!AP$8),ISNUMBER('Council Entry'!AP$9)),MAX(MIN('Council Entry'!AP155,'Council Entry'!AP$9),'Council Entry'!AP$8),'Council Entry'!AP155))))-'Council Entry'!AP$5)/('Council Entry'!AP$6-'Council Entry'!AP$5)),1))),"No data"))</f>
        <v/>
      </c>
      <c r="AQ155" s="13">
        <f>IF('Council Entry'!AQ155="","",IFERROR(MAX(0,MIN(10,ROUND(IF('Council Entry'!AQ$7="Decrease Risk",10-10*((IF('Council Entry'!AQ$4="Logarithm",LN(0.001+IF(AND(ISNUMBER('Council Entry'!AQ$8),ISNUMBER('Council Entry'!AQ$9)),MAX(MIN('Council Entry'!AQ155,'Council Entry'!AQ$9),'Council Entry'!AQ$8),'Council Entry'!AQ155)),IF('Council Entry'!AQ$4="Exponential",EXP(IF(AND(ISNUMBER('Council Entry'!AQ$8),ISNUMBER('Council Entry'!AQ$9)),MAX(MIN('Council Entry'!AQ155,'Council Entry'!AQ$9),'Council Entry'!AQ$8),'Council Entry'!AQ155)),IF(AND(ISNUMBER('Council Entry'!AQ$8),ISNUMBER('Council Entry'!AQ$9)),MAX(MIN('Council Entry'!AQ155,'Council Entry'!AQ$9),'Council Entry'!AQ$8),'Council Entry'!AQ155))))-'Council Entry'!AQ$5)/('Council Entry'!AQ$6-'Council Entry'!AQ$5),10*((IF('Council Entry'!AQ$4="Logarithm",LN(0.001+IF(AND(ISNUMBER('Council Entry'!AQ$8),ISNUMBER('Council Entry'!AQ$9)),MAX(MIN('Council Entry'!AQ155,'Council Entry'!AQ$9),'Council Entry'!AQ$8),'Council Entry'!AQ155)),IF('Council Entry'!AQ$4="Exponential",EXP(IF(AND(ISNUMBER('Council Entry'!AQ$8),ISNUMBER('Council Entry'!AQ$9)),MAX(MIN('Council Entry'!AQ155,'Council Entry'!AQ$9),'Council Entry'!AQ$8),'Council Entry'!AQ155)),IF(AND(ISNUMBER('Council Entry'!AQ$8),ISNUMBER('Council Entry'!AQ$9)),MAX(MIN('Council Entry'!AQ155,'Council Entry'!AQ$9),'Council Entry'!AQ$8),'Council Entry'!AQ155))))-'Council Entry'!AQ$5)/('Council Entry'!AQ$6-'Council Entry'!AQ$5)),1))),"No data"))</f>
        <v/>
      </c>
      <c r="AR155" s="13">
        <f>IF('Council Entry'!AR155="","",IFERROR(MAX(0,MIN(10,ROUND(IF('Council Entry'!AR$7="Decrease Risk",10-10*((IF('Council Entry'!AR$4="Logarithm",LN(0.001+IF(AND(ISNUMBER('Council Entry'!AR$8),ISNUMBER('Council Entry'!AR$9)),MAX(MIN('Council Entry'!AR155,'Council Entry'!AR$9),'Council Entry'!AR$8),'Council Entry'!AR155)),IF('Council Entry'!AR$4="Exponential",EXP(IF(AND(ISNUMBER('Council Entry'!AR$8),ISNUMBER('Council Entry'!AR$9)),MAX(MIN('Council Entry'!AR155,'Council Entry'!AR$9),'Council Entry'!AR$8),'Council Entry'!AR155)),IF(AND(ISNUMBER('Council Entry'!AR$8),ISNUMBER('Council Entry'!AR$9)),MAX(MIN('Council Entry'!AR155,'Council Entry'!AR$9),'Council Entry'!AR$8),'Council Entry'!AR155))))-'Council Entry'!AR$5)/('Council Entry'!AR$6-'Council Entry'!AR$5),10*((IF('Council Entry'!AR$4="Logarithm",LN(0.001+IF(AND(ISNUMBER('Council Entry'!AR$8),ISNUMBER('Council Entry'!AR$9)),MAX(MIN('Council Entry'!AR155,'Council Entry'!AR$9),'Council Entry'!AR$8),'Council Entry'!AR155)),IF('Council Entry'!AR$4="Exponential",EXP(IF(AND(ISNUMBER('Council Entry'!AR$8),ISNUMBER('Council Entry'!AR$9)),MAX(MIN('Council Entry'!AR155,'Council Entry'!AR$9),'Council Entry'!AR$8),'Council Entry'!AR155)),IF(AND(ISNUMBER('Council Entry'!AR$8),ISNUMBER('Council Entry'!AR$9)),MAX(MIN('Council Entry'!AR155,'Council Entry'!AR$9),'Council Entry'!AR$8),'Council Entry'!AR155))))-'Council Entry'!AR$5)/('Council Entry'!AR$6-'Council Entry'!AR$5)),1))),"No data"))</f>
        <v/>
      </c>
      <c r="AS155" s="13">
        <f>IF('Council Entry'!AS155="","",IFERROR(MAX(0,MIN(10,ROUND(IF('Council Entry'!AS$7="Decrease Risk",10-10*((IF('Council Entry'!AS$4="Logarithm",LN(0.001+IF(AND(ISNUMBER('Council Entry'!AS$8),ISNUMBER('Council Entry'!AS$9)),MAX(MIN('Council Entry'!AS155,'Council Entry'!AS$9),'Council Entry'!AS$8),'Council Entry'!AS155)),IF('Council Entry'!AS$4="Exponential",EXP(IF(AND(ISNUMBER('Council Entry'!AS$8),ISNUMBER('Council Entry'!AS$9)),MAX(MIN('Council Entry'!AS155,'Council Entry'!AS$9),'Council Entry'!AS$8),'Council Entry'!AS155)),IF(AND(ISNUMBER('Council Entry'!AS$8),ISNUMBER('Council Entry'!AS$9)),MAX(MIN('Council Entry'!AS155,'Council Entry'!AS$9),'Council Entry'!AS$8),'Council Entry'!AS155))))-'Council Entry'!AS$5)/('Council Entry'!AS$6-'Council Entry'!AS$5),10*((IF('Council Entry'!AS$4="Logarithm",LN(0.001+IF(AND(ISNUMBER('Council Entry'!AS$8),ISNUMBER('Council Entry'!AS$9)),MAX(MIN('Council Entry'!AS155,'Council Entry'!AS$9),'Council Entry'!AS$8),'Council Entry'!AS155)),IF('Council Entry'!AS$4="Exponential",EXP(IF(AND(ISNUMBER('Council Entry'!AS$8),ISNUMBER('Council Entry'!AS$9)),MAX(MIN('Council Entry'!AS155,'Council Entry'!AS$9),'Council Entry'!AS$8),'Council Entry'!AS155)),IF(AND(ISNUMBER('Council Entry'!AS$8),ISNUMBER('Council Entry'!AS$9)),MAX(MIN('Council Entry'!AS155,'Council Entry'!AS$9),'Council Entry'!AS$8),'Council Entry'!AS155))))-'Council Entry'!AS$5)/('Council Entry'!AS$6-'Council Entry'!AS$5)),1))),"No data"))</f>
        <v/>
      </c>
      <c r="AT155" s="13">
        <f>IF('Council Entry'!AT155="","",IFERROR(MAX(0,MIN(10,ROUND(IF('Council Entry'!AT$7="Decrease Risk",10-10*((IF('Council Entry'!AT$4="Logarithm",LN(0.001+IF(AND(ISNUMBER('Council Entry'!AT$8),ISNUMBER('Council Entry'!AT$9)),MAX(MIN('Council Entry'!AT155,'Council Entry'!AT$9),'Council Entry'!AT$8),'Council Entry'!AT155)),IF('Council Entry'!AT$4="Exponential",EXP(IF(AND(ISNUMBER('Council Entry'!AT$8),ISNUMBER('Council Entry'!AT$9)),MAX(MIN('Council Entry'!AT155,'Council Entry'!AT$9),'Council Entry'!AT$8),'Council Entry'!AT155)),IF(AND(ISNUMBER('Council Entry'!AT$8),ISNUMBER('Council Entry'!AT$9)),MAX(MIN('Council Entry'!AT155,'Council Entry'!AT$9),'Council Entry'!AT$8),'Council Entry'!AT155))))-'Council Entry'!AT$5)/('Council Entry'!AT$6-'Council Entry'!AT$5),10*((IF('Council Entry'!AT$4="Logarithm",LN(0.001+IF(AND(ISNUMBER('Council Entry'!AT$8),ISNUMBER('Council Entry'!AT$9)),MAX(MIN('Council Entry'!AT155,'Council Entry'!AT$9),'Council Entry'!AT$8),'Council Entry'!AT155)),IF('Council Entry'!AT$4="Exponential",EXP(IF(AND(ISNUMBER('Council Entry'!AT$8),ISNUMBER('Council Entry'!AT$9)),MAX(MIN('Council Entry'!AT155,'Council Entry'!AT$9),'Council Entry'!AT$8),'Council Entry'!AT155)),IF(AND(ISNUMBER('Council Entry'!AT$8),ISNUMBER('Council Entry'!AT$9)),MAX(MIN('Council Entry'!AT155,'Council Entry'!AT$9),'Council Entry'!AT$8),'Council Entry'!AT155))))-'Council Entry'!AT$5)/('Council Entry'!AT$6-'Council Entry'!AT$5)),1))),"No data"))</f>
        <v/>
      </c>
      <c r="AU155" s="13">
        <f>IF('Council Entry'!AU155="","",IFERROR(MAX(0,MIN(10,ROUND(IF('Council Entry'!AU$7="Decrease Risk",10-10*((IF('Council Entry'!AU$4="Logarithm",LN(0.001+IF(AND(ISNUMBER('Council Entry'!AU$8),ISNUMBER('Council Entry'!AU$9)),MAX(MIN('Council Entry'!AU155,'Council Entry'!AU$9),'Council Entry'!AU$8),'Council Entry'!AU155)),IF('Council Entry'!AU$4="Exponential",EXP(IF(AND(ISNUMBER('Council Entry'!AU$8),ISNUMBER('Council Entry'!AU$9)),MAX(MIN('Council Entry'!AU155,'Council Entry'!AU$9),'Council Entry'!AU$8),'Council Entry'!AU155)),IF(AND(ISNUMBER('Council Entry'!AU$8),ISNUMBER('Council Entry'!AU$9)),MAX(MIN('Council Entry'!AU155,'Council Entry'!AU$9),'Council Entry'!AU$8),'Council Entry'!AU155))))-'Council Entry'!AU$5)/('Council Entry'!AU$6-'Council Entry'!AU$5),10*((IF('Council Entry'!AU$4="Logarithm",LN(0.001+IF(AND(ISNUMBER('Council Entry'!AU$8),ISNUMBER('Council Entry'!AU$9)),MAX(MIN('Council Entry'!AU155,'Council Entry'!AU$9),'Council Entry'!AU$8),'Council Entry'!AU155)),IF('Council Entry'!AU$4="Exponential",EXP(IF(AND(ISNUMBER('Council Entry'!AU$8),ISNUMBER('Council Entry'!AU$9)),MAX(MIN('Council Entry'!AU155,'Council Entry'!AU$9),'Council Entry'!AU$8),'Council Entry'!AU155)),IF(AND(ISNUMBER('Council Entry'!AU$8),ISNUMBER('Council Entry'!AU$9)),MAX(MIN('Council Entry'!AU155,'Council Entry'!AU$9),'Council Entry'!AU$8),'Council Entry'!AU155))))-'Council Entry'!AU$5)/('Council Entry'!AU$6-'Council Entry'!AU$5)),1))),"No data"))</f>
        <v/>
      </c>
      <c r="AV155" s="13">
        <f>IF('Council Entry'!AV155="","",IFERROR(MAX(0,MIN(10,ROUND(IF('Council Entry'!AV$7="Decrease Risk",10-10*((IF('Council Entry'!AV$4="Logarithm",LN(0.001+IF(AND(ISNUMBER('Council Entry'!AV$8),ISNUMBER('Council Entry'!AV$9)),MAX(MIN('Council Entry'!AV155,'Council Entry'!AV$9),'Council Entry'!AV$8),'Council Entry'!AV155)),IF('Council Entry'!AV$4="Exponential",EXP(IF(AND(ISNUMBER('Council Entry'!AV$8),ISNUMBER('Council Entry'!AV$9)),MAX(MIN('Council Entry'!AV155,'Council Entry'!AV$9),'Council Entry'!AV$8),'Council Entry'!AV155)),IF(AND(ISNUMBER('Council Entry'!AV$8),ISNUMBER('Council Entry'!AV$9)),MAX(MIN('Council Entry'!AV155,'Council Entry'!AV$9),'Council Entry'!AV$8),'Council Entry'!AV155))))-'Council Entry'!AV$5)/('Council Entry'!AV$6-'Council Entry'!AV$5),10*((IF('Council Entry'!AV$4="Logarithm",LN(0.001+IF(AND(ISNUMBER('Council Entry'!AV$8),ISNUMBER('Council Entry'!AV$9)),MAX(MIN('Council Entry'!AV155,'Council Entry'!AV$9),'Council Entry'!AV$8),'Council Entry'!AV155)),IF('Council Entry'!AV$4="Exponential",EXP(IF(AND(ISNUMBER('Council Entry'!AV$8),ISNUMBER('Council Entry'!AV$9)),MAX(MIN('Council Entry'!AV155,'Council Entry'!AV$9),'Council Entry'!AV$8),'Council Entry'!AV155)),IF(AND(ISNUMBER('Council Entry'!AV$8),ISNUMBER('Council Entry'!AV$9)),MAX(MIN('Council Entry'!AV155,'Council Entry'!AV$9),'Council Entry'!AV$8),'Council Entry'!AV155))))-'Council Entry'!AV$5)/('Council Entry'!AV$6-'Council Entry'!AV$5)),1))),"No data"))</f>
        <v/>
      </c>
      <c r="AW155" s="13">
        <f>IF('Council Entry'!AW155="","",IFERROR(MAX(0,MIN(10,ROUND(IF('Council Entry'!AW$7="Decrease Risk",10-10*((IF('Council Entry'!AW$4="Logarithm",LN(0.001+IF(AND(ISNUMBER('Council Entry'!AW$8),ISNUMBER('Council Entry'!AW$9)),MAX(MIN('Council Entry'!AW155,'Council Entry'!AW$9),'Council Entry'!AW$8),'Council Entry'!AW155)),IF('Council Entry'!AW$4="Exponential",EXP(IF(AND(ISNUMBER('Council Entry'!AW$8),ISNUMBER('Council Entry'!AW$9)),MAX(MIN('Council Entry'!AW155,'Council Entry'!AW$9),'Council Entry'!AW$8),'Council Entry'!AW155)),IF(AND(ISNUMBER('Council Entry'!AW$8),ISNUMBER('Council Entry'!AW$9)),MAX(MIN('Council Entry'!AW155,'Council Entry'!AW$9),'Council Entry'!AW$8),'Council Entry'!AW155))))-'Council Entry'!AW$5)/('Council Entry'!AW$6-'Council Entry'!AW$5),10*((IF('Council Entry'!AW$4="Logarithm",LN(0.001+IF(AND(ISNUMBER('Council Entry'!AW$8),ISNUMBER('Council Entry'!AW$9)),MAX(MIN('Council Entry'!AW155,'Council Entry'!AW$9),'Council Entry'!AW$8),'Council Entry'!AW155)),IF('Council Entry'!AW$4="Exponential",EXP(IF(AND(ISNUMBER('Council Entry'!AW$8),ISNUMBER('Council Entry'!AW$9)),MAX(MIN('Council Entry'!AW155,'Council Entry'!AW$9),'Council Entry'!AW$8),'Council Entry'!AW155)),IF(AND(ISNUMBER('Council Entry'!AW$8),ISNUMBER('Council Entry'!AW$9)),MAX(MIN('Council Entry'!AW155,'Council Entry'!AW$9),'Council Entry'!AW$8),'Council Entry'!AW155))))-'Council Entry'!AW$5)/('Council Entry'!AW$6-'Council Entry'!AW$5)),1))),"No data"))</f>
        <v/>
      </c>
      <c r="AX155" s="13">
        <f>IF('Council Entry'!AX155="","",IFERROR(MAX(0,MIN(10,ROUND(IF('Council Entry'!AX$7="Decrease Risk",10-10*((IF('Council Entry'!AX$4="Logarithm",LN(0.001+IF(AND(ISNUMBER('Council Entry'!AX$8),ISNUMBER('Council Entry'!AX$9)),MAX(MIN('Council Entry'!AX155,'Council Entry'!AX$9),'Council Entry'!AX$8),'Council Entry'!AX155)),IF('Council Entry'!AX$4="Exponential",EXP(IF(AND(ISNUMBER('Council Entry'!AX$8),ISNUMBER('Council Entry'!AX$9)),MAX(MIN('Council Entry'!AX155,'Council Entry'!AX$9),'Council Entry'!AX$8),'Council Entry'!AX155)),IF(AND(ISNUMBER('Council Entry'!AX$8),ISNUMBER('Council Entry'!AX$9)),MAX(MIN('Council Entry'!AX155,'Council Entry'!AX$9),'Council Entry'!AX$8),'Council Entry'!AX155))))-'Council Entry'!AX$5)/('Council Entry'!AX$6-'Council Entry'!AX$5),10*((IF('Council Entry'!AX$4="Logarithm",LN(0.001+IF(AND(ISNUMBER('Council Entry'!AX$8),ISNUMBER('Council Entry'!AX$9)),MAX(MIN('Council Entry'!AX155,'Council Entry'!AX$9),'Council Entry'!AX$8),'Council Entry'!AX155)),IF('Council Entry'!AX$4="Exponential",EXP(IF(AND(ISNUMBER('Council Entry'!AX$8),ISNUMBER('Council Entry'!AX$9)),MAX(MIN('Council Entry'!AX155,'Council Entry'!AX$9),'Council Entry'!AX$8),'Council Entry'!AX155)),IF(AND(ISNUMBER('Council Entry'!AX$8),ISNUMBER('Council Entry'!AX$9)),MAX(MIN('Council Entry'!AX155,'Council Entry'!AX$9),'Council Entry'!AX$8),'Council Entry'!AX155))))-'Council Entry'!AX$5)/('Council Entry'!AX$6-'Council Entry'!AX$5)),1))),"No data"))</f>
        <v/>
      </c>
      <c r="AY155" s="13">
        <f>IF('Council Entry'!AY155="","",IFERROR(MAX(0,MIN(10,ROUND(IF('Council Entry'!AY$7="Decrease Risk",10-10*((IF('Council Entry'!AY$4="Logarithm",LN(0.001+IF(AND(ISNUMBER('Council Entry'!AY$8),ISNUMBER('Council Entry'!AY$9)),MAX(MIN('Council Entry'!AY155,'Council Entry'!AY$9),'Council Entry'!AY$8),'Council Entry'!AY155)),IF('Council Entry'!AY$4="Exponential",EXP(IF(AND(ISNUMBER('Council Entry'!AY$8),ISNUMBER('Council Entry'!AY$9)),MAX(MIN('Council Entry'!AY155,'Council Entry'!AY$9),'Council Entry'!AY$8),'Council Entry'!AY155)),IF(AND(ISNUMBER('Council Entry'!AY$8),ISNUMBER('Council Entry'!AY$9)),MAX(MIN('Council Entry'!AY155,'Council Entry'!AY$9),'Council Entry'!AY$8),'Council Entry'!AY155))))-'Council Entry'!AY$5)/('Council Entry'!AY$6-'Council Entry'!AY$5),10*((IF('Council Entry'!AY$4="Logarithm",LN(0.001+IF(AND(ISNUMBER('Council Entry'!AY$8),ISNUMBER('Council Entry'!AY$9)),MAX(MIN('Council Entry'!AY155,'Council Entry'!AY$9),'Council Entry'!AY$8),'Council Entry'!AY155)),IF('Council Entry'!AY$4="Exponential",EXP(IF(AND(ISNUMBER('Council Entry'!AY$8),ISNUMBER('Council Entry'!AY$9)),MAX(MIN('Council Entry'!AY155,'Council Entry'!AY$9),'Council Entry'!AY$8),'Council Entry'!AY155)),IF(AND(ISNUMBER('Council Entry'!AY$8),ISNUMBER('Council Entry'!AY$9)),MAX(MIN('Council Entry'!AY155,'Council Entry'!AY$9),'Council Entry'!AY$8),'Council Entry'!AY155))))-'Council Entry'!AY$5)/('Council Entry'!AY$6-'Council Entry'!AY$5)),1))),"No data"))</f>
        <v/>
      </c>
      <c r="AZ155" s="13">
        <f>IF('Council Entry'!AZ155="","",IFERROR(MAX(0,MIN(10,ROUND(IF('Council Entry'!AZ$7="Decrease Risk",10-10*((IF('Council Entry'!AZ$4="Logarithm",LN(0.001+IF(AND(ISNUMBER('Council Entry'!AZ$8),ISNUMBER('Council Entry'!AZ$9)),MAX(MIN('Council Entry'!AZ155,'Council Entry'!AZ$9),'Council Entry'!AZ$8),'Council Entry'!AZ155)),IF('Council Entry'!AZ$4="Exponential",EXP(IF(AND(ISNUMBER('Council Entry'!AZ$8),ISNUMBER('Council Entry'!AZ$9)),MAX(MIN('Council Entry'!AZ155,'Council Entry'!AZ$9),'Council Entry'!AZ$8),'Council Entry'!AZ155)),IF(AND(ISNUMBER('Council Entry'!AZ$8),ISNUMBER('Council Entry'!AZ$9)),MAX(MIN('Council Entry'!AZ155,'Council Entry'!AZ$9),'Council Entry'!AZ$8),'Council Entry'!AZ155))))-'Council Entry'!AZ$5)/('Council Entry'!AZ$6-'Council Entry'!AZ$5),10*((IF('Council Entry'!AZ$4="Logarithm",LN(0.001+IF(AND(ISNUMBER('Council Entry'!AZ$8),ISNUMBER('Council Entry'!AZ$9)),MAX(MIN('Council Entry'!AZ155,'Council Entry'!AZ$9),'Council Entry'!AZ$8),'Council Entry'!AZ155)),IF('Council Entry'!AZ$4="Exponential",EXP(IF(AND(ISNUMBER('Council Entry'!AZ$8),ISNUMBER('Council Entry'!AZ$9)),MAX(MIN('Council Entry'!AZ155,'Council Entry'!AZ$9),'Council Entry'!AZ$8),'Council Entry'!AZ155)),IF(AND(ISNUMBER('Council Entry'!AZ$8),ISNUMBER('Council Entry'!AZ$9)),MAX(MIN('Council Entry'!AZ155,'Council Entry'!AZ$9),'Council Entry'!AZ$8),'Council Entry'!AZ155))))-'Council Entry'!AZ$5)/('Council Entry'!AZ$6-'Council Entry'!AZ$5)),1))),"No data"))</f>
        <v/>
      </c>
      <c r="BA155" s="13">
        <f>IF('Council Entry'!BA155="","",IFERROR(MAX(0,MIN(10,ROUND(IF('Council Entry'!BA$7="Decrease Risk",10-10*((IF('Council Entry'!BA$4="Logarithm",LN(0.001+IF(AND(ISNUMBER('Council Entry'!BA$8),ISNUMBER('Council Entry'!BA$9)),MAX(MIN('Council Entry'!BA155,'Council Entry'!BA$9),'Council Entry'!BA$8),'Council Entry'!BA155)),IF('Council Entry'!BA$4="Exponential",EXP(IF(AND(ISNUMBER('Council Entry'!BA$8),ISNUMBER('Council Entry'!BA$9)),MAX(MIN('Council Entry'!BA155,'Council Entry'!BA$9),'Council Entry'!BA$8),'Council Entry'!BA155)),IF(AND(ISNUMBER('Council Entry'!BA$8),ISNUMBER('Council Entry'!BA$9)),MAX(MIN('Council Entry'!BA155,'Council Entry'!BA$9),'Council Entry'!BA$8),'Council Entry'!BA155))))-'Council Entry'!BA$5)/('Council Entry'!BA$6-'Council Entry'!BA$5),10*((IF('Council Entry'!BA$4="Logarithm",LN(0.001+IF(AND(ISNUMBER('Council Entry'!BA$8),ISNUMBER('Council Entry'!BA$9)),MAX(MIN('Council Entry'!BA155,'Council Entry'!BA$9),'Council Entry'!BA$8),'Council Entry'!BA155)),IF('Council Entry'!BA$4="Exponential",EXP(IF(AND(ISNUMBER('Council Entry'!BA$8),ISNUMBER('Council Entry'!BA$9)),MAX(MIN('Council Entry'!BA155,'Council Entry'!BA$9),'Council Entry'!BA$8),'Council Entry'!BA155)),IF(AND(ISNUMBER('Council Entry'!BA$8),ISNUMBER('Council Entry'!BA$9)),MAX(MIN('Council Entry'!BA155,'Council Entry'!BA$9),'Council Entry'!BA$8),'Council Entry'!BA155))))-'Council Entry'!BA$5)/('Council Entry'!BA$6-'Council Entry'!BA$5)),1))),"No data"))</f>
        <v/>
      </c>
      <c r="BB155" s="13">
        <f>IF('Council Entry'!BB155="","",IFERROR(MAX(0,MIN(10,ROUND(IF('Council Entry'!BB$7="Decrease Risk",10-10*((IF('Council Entry'!BB$4="Logarithm",LN(0.001+IF(AND(ISNUMBER('Council Entry'!BB$8),ISNUMBER('Council Entry'!BB$9)),MAX(MIN('Council Entry'!BB155,'Council Entry'!BB$9),'Council Entry'!BB$8),'Council Entry'!BB155)),IF('Council Entry'!BB$4="Exponential",EXP(IF(AND(ISNUMBER('Council Entry'!BB$8),ISNUMBER('Council Entry'!BB$9)),MAX(MIN('Council Entry'!BB155,'Council Entry'!BB$9),'Council Entry'!BB$8),'Council Entry'!BB155)),IF(AND(ISNUMBER('Council Entry'!BB$8),ISNUMBER('Council Entry'!BB$9)),MAX(MIN('Council Entry'!BB155,'Council Entry'!BB$9),'Council Entry'!BB$8),'Council Entry'!BB155))))-'Council Entry'!BB$5)/('Council Entry'!BB$6-'Council Entry'!BB$5),10*((IF('Council Entry'!BB$4="Logarithm",LN(0.001+IF(AND(ISNUMBER('Council Entry'!BB$8),ISNUMBER('Council Entry'!BB$9)),MAX(MIN('Council Entry'!BB155,'Council Entry'!BB$9),'Council Entry'!BB$8),'Council Entry'!BB155)),IF('Council Entry'!BB$4="Exponential",EXP(IF(AND(ISNUMBER('Council Entry'!BB$8),ISNUMBER('Council Entry'!BB$9)),MAX(MIN('Council Entry'!BB155,'Council Entry'!BB$9),'Council Entry'!BB$8),'Council Entry'!BB155)),IF(AND(ISNUMBER('Council Entry'!BB$8),ISNUMBER('Council Entry'!BB$9)),MAX(MIN('Council Entry'!BB155,'Council Entry'!BB$9),'Council Entry'!BB$8),'Council Entry'!BB155))))-'Council Entry'!BB$5)/('Council Entry'!BB$6-'Council Entry'!BB$5)),1))),"No data"))</f>
        <v/>
      </c>
      <c r="BC155" s="13">
        <f>IF('Council Entry'!BC155="","",IFERROR(MAX(0,MIN(10,ROUND(IF('Council Entry'!BC$7="Decrease Risk",10-10*((IF('Council Entry'!BC$4="Logarithm",LN(0.001+IF(AND(ISNUMBER('Council Entry'!BC$8),ISNUMBER('Council Entry'!BC$9)),MAX(MIN('Council Entry'!BC155,'Council Entry'!BC$9),'Council Entry'!BC$8),'Council Entry'!BC155)),IF('Council Entry'!BC$4="Exponential",EXP(IF(AND(ISNUMBER('Council Entry'!BC$8),ISNUMBER('Council Entry'!BC$9)),MAX(MIN('Council Entry'!BC155,'Council Entry'!BC$9),'Council Entry'!BC$8),'Council Entry'!BC155)),IF(AND(ISNUMBER('Council Entry'!BC$8),ISNUMBER('Council Entry'!BC$9)),MAX(MIN('Council Entry'!BC155,'Council Entry'!BC$9),'Council Entry'!BC$8),'Council Entry'!BC155))))-'Council Entry'!BC$5)/('Council Entry'!BC$6-'Council Entry'!BC$5),10*((IF('Council Entry'!BC$4="Logarithm",LN(0.001+IF(AND(ISNUMBER('Council Entry'!BC$8),ISNUMBER('Council Entry'!BC$9)),MAX(MIN('Council Entry'!BC155,'Council Entry'!BC$9),'Council Entry'!BC$8),'Council Entry'!BC155)),IF('Council Entry'!BC$4="Exponential",EXP(IF(AND(ISNUMBER('Council Entry'!BC$8),ISNUMBER('Council Entry'!BC$9)),MAX(MIN('Council Entry'!BC155,'Council Entry'!BC$9),'Council Entry'!BC$8),'Council Entry'!BC155)),IF(AND(ISNUMBER('Council Entry'!BC$8),ISNUMBER('Council Entry'!BC$9)),MAX(MIN('Council Entry'!BC155,'Council Entry'!BC$9),'Council Entry'!BC$8),'Council Entry'!BC155))))-'Council Entry'!BC$5)/('Council Entry'!BC$6-'Council Entry'!BC$5)),1))),"No data"))</f>
        <v/>
      </c>
      <c r="BD155" s="13">
        <f>IF('Council Entry'!BD155="","",IFERROR(MAX(0,MIN(10,ROUND(IF('Council Entry'!BD$7="Decrease Risk",10-10*((IF('Council Entry'!BD$4="Logarithm",LN(0.001+IF(AND(ISNUMBER('Council Entry'!BD$8),ISNUMBER('Council Entry'!BD$9)),MAX(MIN('Council Entry'!BD155,'Council Entry'!BD$9),'Council Entry'!BD$8),'Council Entry'!BD155)),IF('Council Entry'!BD$4="Exponential",EXP(IF(AND(ISNUMBER('Council Entry'!BD$8),ISNUMBER('Council Entry'!BD$9)),MAX(MIN('Council Entry'!BD155,'Council Entry'!BD$9),'Council Entry'!BD$8),'Council Entry'!BD155)),IF(AND(ISNUMBER('Council Entry'!BD$8),ISNUMBER('Council Entry'!BD$9)),MAX(MIN('Council Entry'!BD155,'Council Entry'!BD$9),'Council Entry'!BD$8),'Council Entry'!BD155))))-'Council Entry'!BD$5)/('Council Entry'!BD$6-'Council Entry'!BD$5),10*((IF('Council Entry'!BD$4="Logarithm",LN(0.001+IF(AND(ISNUMBER('Council Entry'!BD$8),ISNUMBER('Council Entry'!BD$9)),MAX(MIN('Council Entry'!BD155,'Council Entry'!BD$9),'Council Entry'!BD$8),'Council Entry'!BD155)),IF('Council Entry'!BD$4="Exponential",EXP(IF(AND(ISNUMBER('Council Entry'!BD$8),ISNUMBER('Council Entry'!BD$9)),MAX(MIN('Council Entry'!BD155,'Council Entry'!BD$9),'Council Entry'!BD$8),'Council Entry'!BD155)),IF(AND(ISNUMBER('Council Entry'!BD$8),ISNUMBER('Council Entry'!BD$9)),MAX(MIN('Council Entry'!BD155,'Council Entry'!BD$9),'Council Entry'!BD$8),'Council Entry'!BD155))))-'Council Entry'!BD$5)/('Council Entry'!BD$6-'Council Entry'!BD$5)),1))),"No data"))</f>
        <v/>
      </c>
    </row>
    <row r="156">
      <c r="A156" t="inlineStr">
        <is>
          <t>Ruvuma</t>
        </is>
      </c>
      <c r="B156" t="inlineStr">
        <is>
          <t>Mbinga District</t>
        </is>
      </c>
      <c r="C156" t="inlineStr">
        <is>
          <t>C076</t>
        </is>
      </c>
      <c r="D156" s="13">
        <f>IF('Council Entry'!D156="","",IFERROR(MAX(0,MIN(10,ROUND(IF('Council Entry'!D$7="Decrease Risk",10-10*((IF('Council Entry'!D$4="Logarithm",LN(0.001+IF(AND(ISNUMBER('Council Entry'!D$8),ISNUMBER('Council Entry'!D$9)),MAX(MIN('Council Entry'!D156,'Council Entry'!D$9),'Council Entry'!D$8),'Council Entry'!D156)),IF('Council Entry'!D$4="Exponential",EXP(IF(AND(ISNUMBER('Council Entry'!D$8),ISNUMBER('Council Entry'!D$9)),MAX(MIN('Council Entry'!D156,'Council Entry'!D$9),'Council Entry'!D$8),'Council Entry'!D156)),IF(AND(ISNUMBER('Council Entry'!D$8),ISNUMBER('Council Entry'!D$9)),MAX(MIN('Council Entry'!D156,'Council Entry'!D$9),'Council Entry'!D$8),'Council Entry'!D156))))-'Council Entry'!D$5)/('Council Entry'!D$6-'Council Entry'!D$5),10*((IF('Council Entry'!D$4="Logarithm",LN(0.001+IF(AND(ISNUMBER('Council Entry'!D$8),ISNUMBER('Council Entry'!D$9)),MAX(MIN('Council Entry'!D156,'Council Entry'!D$9),'Council Entry'!D$8),'Council Entry'!D156)),IF('Council Entry'!D$4="Exponential",EXP(IF(AND(ISNUMBER('Council Entry'!D$8),ISNUMBER('Council Entry'!D$9)),MAX(MIN('Council Entry'!D156,'Council Entry'!D$9),'Council Entry'!D$8),'Council Entry'!D156)),IF(AND(ISNUMBER('Council Entry'!D$8),ISNUMBER('Council Entry'!D$9)),MAX(MIN('Council Entry'!D156,'Council Entry'!D$9),'Council Entry'!D$8),'Council Entry'!D156))))-'Council Entry'!D$5)/('Council Entry'!D$6-'Council Entry'!D$5)),1))),"No data"))</f>
        <v/>
      </c>
      <c r="E156" s="13">
        <f>IF('Council Entry'!E156="","",IFERROR(MAX(0,MIN(10,ROUND(IF('Council Entry'!E$7="Decrease Risk",10-10*((IF('Council Entry'!E$4="Logarithm",LN(0.001+IF(AND(ISNUMBER('Council Entry'!E$8),ISNUMBER('Council Entry'!E$9)),MAX(MIN('Council Entry'!E156,'Council Entry'!E$9),'Council Entry'!E$8),'Council Entry'!E156)),IF('Council Entry'!E$4="Exponential",EXP(IF(AND(ISNUMBER('Council Entry'!E$8),ISNUMBER('Council Entry'!E$9)),MAX(MIN('Council Entry'!E156,'Council Entry'!E$9),'Council Entry'!E$8),'Council Entry'!E156)),IF(AND(ISNUMBER('Council Entry'!E$8),ISNUMBER('Council Entry'!E$9)),MAX(MIN('Council Entry'!E156,'Council Entry'!E$9),'Council Entry'!E$8),'Council Entry'!E156))))-'Council Entry'!E$5)/('Council Entry'!E$6-'Council Entry'!E$5),10*((IF('Council Entry'!E$4="Logarithm",LN(0.001+IF(AND(ISNUMBER('Council Entry'!E$8),ISNUMBER('Council Entry'!E$9)),MAX(MIN('Council Entry'!E156,'Council Entry'!E$9),'Council Entry'!E$8),'Council Entry'!E156)),IF('Council Entry'!E$4="Exponential",EXP(IF(AND(ISNUMBER('Council Entry'!E$8),ISNUMBER('Council Entry'!E$9)),MAX(MIN('Council Entry'!E156,'Council Entry'!E$9),'Council Entry'!E$8),'Council Entry'!E156)),IF(AND(ISNUMBER('Council Entry'!E$8),ISNUMBER('Council Entry'!E$9)),MAX(MIN('Council Entry'!E156,'Council Entry'!E$9),'Council Entry'!E$8),'Council Entry'!E156))))-'Council Entry'!E$5)/('Council Entry'!E$6-'Council Entry'!E$5)),1))),"No data"))</f>
        <v/>
      </c>
      <c r="F156" s="13">
        <f>IF('Council Entry'!F156="","",IFERROR(MAX(0,MIN(10,ROUND(IF('Council Entry'!F$7="Decrease Risk",10-10*((IF('Council Entry'!F$4="Logarithm",LN(0.001+IF(AND(ISNUMBER('Council Entry'!F$8),ISNUMBER('Council Entry'!F$9)),MAX(MIN('Council Entry'!F156,'Council Entry'!F$9),'Council Entry'!F$8),'Council Entry'!F156)),IF('Council Entry'!F$4="Exponential",EXP(IF(AND(ISNUMBER('Council Entry'!F$8),ISNUMBER('Council Entry'!F$9)),MAX(MIN('Council Entry'!F156,'Council Entry'!F$9),'Council Entry'!F$8),'Council Entry'!F156)),IF(AND(ISNUMBER('Council Entry'!F$8),ISNUMBER('Council Entry'!F$9)),MAX(MIN('Council Entry'!F156,'Council Entry'!F$9),'Council Entry'!F$8),'Council Entry'!F156))))-'Council Entry'!F$5)/('Council Entry'!F$6-'Council Entry'!F$5),10*((IF('Council Entry'!F$4="Logarithm",LN(0.001+IF(AND(ISNUMBER('Council Entry'!F$8),ISNUMBER('Council Entry'!F$9)),MAX(MIN('Council Entry'!F156,'Council Entry'!F$9),'Council Entry'!F$8),'Council Entry'!F156)),IF('Council Entry'!F$4="Exponential",EXP(IF(AND(ISNUMBER('Council Entry'!F$8),ISNUMBER('Council Entry'!F$9)),MAX(MIN('Council Entry'!F156,'Council Entry'!F$9),'Council Entry'!F$8),'Council Entry'!F156)),IF(AND(ISNUMBER('Council Entry'!F$8),ISNUMBER('Council Entry'!F$9)),MAX(MIN('Council Entry'!F156,'Council Entry'!F$9),'Council Entry'!F$8),'Council Entry'!F156))))-'Council Entry'!F$5)/('Council Entry'!F$6-'Council Entry'!F$5)),1))),"No data"))</f>
        <v/>
      </c>
      <c r="G156" s="13">
        <f>IF('Council Entry'!G156="","",IFERROR(MAX(0,MIN(10,ROUND(IF('Council Entry'!G$7="Decrease Risk",10-10*((IF('Council Entry'!G$4="Logarithm",LN(0.001+IF(AND(ISNUMBER('Council Entry'!G$8),ISNUMBER('Council Entry'!G$9)),MAX(MIN('Council Entry'!G156,'Council Entry'!G$9),'Council Entry'!G$8),'Council Entry'!G156)),IF('Council Entry'!G$4="Exponential",EXP(IF(AND(ISNUMBER('Council Entry'!G$8),ISNUMBER('Council Entry'!G$9)),MAX(MIN('Council Entry'!G156,'Council Entry'!G$9),'Council Entry'!G$8),'Council Entry'!G156)),IF(AND(ISNUMBER('Council Entry'!G$8),ISNUMBER('Council Entry'!G$9)),MAX(MIN('Council Entry'!G156,'Council Entry'!G$9),'Council Entry'!G$8),'Council Entry'!G156))))-'Council Entry'!G$5)/('Council Entry'!G$6-'Council Entry'!G$5),10*((IF('Council Entry'!G$4="Logarithm",LN(0.001+IF(AND(ISNUMBER('Council Entry'!G$8),ISNUMBER('Council Entry'!G$9)),MAX(MIN('Council Entry'!G156,'Council Entry'!G$9),'Council Entry'!G$8),'Council Entry'!G156)),IF('Council Entry'!G$4="Exponential",EXP(IF(AND(ISNUMBER('Council Entry'!G$8),ISNUMBER('Council Entry'!G$9)),MAX(MIN('Council Entry'!G156,'Council Entry'!G$9),'Council Entry'!G$8),'Council Entry'!G156)),IF(AND(ISNUMBER('Council Entry'!G$8),ISNUMBER('Council Entry'!G$9)),MAX(MIN('Council Entry'!G156,'Council Entry'!G$9),'Council Entry'!G$8),'Council Entry'!G156))))-'Council Entry'!G$5)/('Council Entry'!G$6-'Council Entry'!G$5)),1))),"No data"))</f>
        <v/>
      </c>
      <c r="H156" s="13">
        <f>IF('Council Entry'!H156="","",IFERROR(MAX(0,MIN(10,ROUND(IF('Council Entry'!H$7="Decrease Risk",10-10*((IF('Council Entry'!H$4="Logarithm",LN(0.001+IF(AND(ISNUMBER('Council Entry'!H$8),ISNUMBER('Council Entry'!H$9)),MAX(MIN('Council Entry'!H156,'Council Entry'!H$9),'Council Entry'!H$8),'Council Entry'!H156)),IF('Council Entry'!H$4="Exponential",EXP(IF(AND(ISNUMBER('Council Entry'!H$8),ISNUMBER('Council Entry'!H$9)),MAX(MIN('Council Entry'!H156,'Council Entry'!H$9),'Council Entry'!H$8),'Council Entry'!H156)),IF(AND(ISNUMBER('Council Entry'!H$8),ISNUMBER('Council Entry'!H$9)),MAX(MIN('Council Entry'!H156,'Council Entry'!H$9),'Council Entry'!H$8),'Council Entry'!H156))))-'Council Entry'!H$5)/('Council Entry'!H$6-'Council Entry'!H$5),10*((IF('Council Entry'!H$4="Logarithm",LN(0.001+IF(AND(ISNUMBER('Council Entry'!H$8),ISNUMBER('Council Entry'!H$9)),MAX(MIN('Council Entry'!H156,'Council Entry'!H$9),'Council Entry'!H$8),'Council Entry'!H156)),IF('Council Entry'!H$4="Exponential",EXP(IF(AND(ISNUMBER('Council Entry'!H$8),ISNUMBER('Council Entry'!H$9)),MAX(MIN('Council Entry'!H156,'Council Entry'!H$9),'Council Entry'!H$8),'Council Entry'!H156)),IF(AND(ISNUMBER('Council Entry'!H$8),ISNUMBER('Council Entry'!H$9)),MAX(MIN('Council Entry'!H156,'Council Entry'!H$9),'Council Entry'!H$8),'Council Entry'!H156))))-'Council Entry'!H$5)/('Council Entry'!H$6-'Council Entry'!H$5)),1))),"No data"))</f>
        <v/>
      </c>
      <c r="I156" s="13">
        <f>IF('Council Entry'!I156="","",IFERROR(MAX(0,MIN(10,ROUND(IF('Council Entry'!I$7="Decrease Risk",10-10*((IF('Council Entry'!I$4="Logarithm",LN(0.001+IF(AND(ISNUMBER('Council Entry'!I$8),ISNUMBER('Council Entry'!I$9)),MAX(MIN('Council Entry'!I156,'Council Entry'!I$9),'Council Entry'!I$8),'Council Entry'!I156)),IF('Council Entry'!I$4="Exponential",EXP(IF(AND(ISNUMBER('Council Entry'!I$8),ISNUMBER('Council Entry'!I$9)),MAX(MIN('Council Entry'!I156,'Council Entry'!I$9),'Council Entry'!I$8),'Council Entry'!I156)),IF(AND(ISNUMBER('Council Entry'!I$8),ISNUMBER('Council Entry'!I$9)),MAX(MIN('Council Entry'!I156,'Council Entry'!I$9),'Council Entry'!I$8),'Council Entry'!I156))))-'Council Entry'!I$5)/('Council Entry'!I$6-'Council Entry'!I$5),10*((IF('Council Entry'!I$4="Logarithm",LN(0.001+IF(AND(ISNUMBER('Council Entry'!I$8),ISNUMBER('Council Entry'!I$9)),MAX(MIN('Council Entry'!I156,'Council Entry'!I$9),'Council Entry'!I$8),'Council Entry'!I156)),IF('Council Entry'!I$4="Exponential",EXP(IF(AND(ISNUMBER('Council Entry'!I$8),ISNUMBER('Council Entry'!I$9)),MAX(MIN('Council Entry'!I156,'Council Entry'!I$9),'Council Entry'!I$8),'Council Entry'!I156)),IF(AND(ISNUMBER('Council Entry'!I$8),ISNUMBER('Council Entry'!I$9)),MAX(MIN('Council Entry'!I156,'Council Entry'!I$9),'Council Entry'!I$8),'Council Entry'!I156))))-'Council Entry'!I$5)/('Council Entry'!I$6-'Council Entry'!I$5)),1))),"No data"))</f>
        <v/>
      </c>
      <c r="J156" s="13">
        <f>IF('Council Entry'!J156="","",IFERROR(MAX(0,MIN(10,ROUND(IF('Council Entry'!J$7="Decrease Risk",10-10*((IF('Council Entry'!J$4="Logarithm",LN(0.001+IF(AND(ISNUMBER('Council Entry'!J$8),ISNUMBER('Council Entry'!J$9)),MAX(MIN('Council Entry'!J156,'Council Entry'!J$9),'Council Entry'!J$8),'Council Entry'!J156)),IF('Council Entry'!J$4="Exponential",EXP(IF(AND(ISNUMBER('Council Entry'!J$8),ISNUMBER('Council Entry'!J$9)),MAX(MIN('Council Entry'!J156,'Council Entry'!J$9),'Council Entry'!J$8),'Council Entry'!J156)),IF(AND(ISNUMBER('Council Entry'!J$8),ISNUMBER('Council Entry'!J$9)),MAX(MIN('Council Entry'!J156,'Council Entry'!J$9),'Council Entry'!J$8),'Council Entry'!J156))))-'Council Entry'!J$5)/('Council Entry'!J$6-'Council Entry'!J$5),10*((IF('Council Entry'!J$4="Logarithm",LN(0.001+IF(AND(ISNUMBER('Council Entry'!J$8),ISNUMBER('Council Entry'!J$9)),MAX(MIN('Council Entry'!J156,'Council Entry'!J$9),'Council Entry'!J$8),'Council Entry'!J156)),IF('Council Entry'!J$4="Exponential",EXP(IF(AND(ISNUMBER('Council Entry'!J$8),ISNUMBER('Council Entry'!J$9)),MAX(MIN('Council Entry'!J156,'Council Entry'!J$9),'Council Entry'!J$8),'Council Entry'!J156)),IF(AND(ISNUMBER('Council Entry'!J$8),ISNUMBER('Council Entry'!J$9)),MAX(MIN('Council Entry'!J156,'Council Entry'!J$9),'Council Entry'!J$8),'Council Entry'!J156))))-'Council Entry'!J$5)/('Council Entry'!J$6-'Council Entry'!J$5)),1))),"No data"))</f>
        <v/>
      </c>
      <c r="K156" s="13">
        <f>IF('Council Entry'!K156="","",IFERROR(MAX(0,MIN(10,ROUND(IF('Council Entry'!K$7="Decrease Risk",10-10*((IF('Council Entry'!K$4="Logarithm",LN(0.001+IF(AND(ISNUMBER('Council Entry'!K$8),ISNUMBER('Council Entry'!K$9)),MAX(MIN('Council Entry'!K156,'Council Entry'!K$9),'Council Entry'!K$8),'Council Entry'!K156)),IF('Council Entry'!K$4="Exponential",EXP(IF(AND(ISNUMBER('Council Entry'!K$8),ISNUMBER('Council Entry'!K$9)),MAX(MIN('Council Entry'!K156,'Council Entry'!K$9),'Council Entry'!K$8),'Council Entry'!K156)),IF(AND(ISNUMBER('Council Entry'!K$8),ISNUMBER('Council Entry'!K$9)),MAX(MIN('Council Entry'!K156,'Council Entry'!K$9),'Council Entry'!K$8),'Council Entry'!K156))))-'Council Entry'!K$5)/('Council Entry'!K$6-'Council Entry'!K$5),10*((IF('Council Entry'!K$4="Logarithm",LN(0.001+IF(AND(ISNUMBER('Council Entry'!K$8),ISNUMBER('Council Entry'!K$9)),MAX(MIN('Council Entry'!K156,'Council Entry'!K$9),'Council Entry'!K$8),'Council Entry'!K156)),IF('Council Entry'!K$4="Exponential",EXP(IF(AND(ISNUMBER('Council Entry'!K$8),ISNUMBER('Council Entry'!K$9)),MAX(MIN('Council Entry'!K156,'Council Entry'!K$9),'Council Entry'!K$8),'Council Entry'!K156)),IF(AND(ISNUMBER('Council Entry'!K$8),ISNUMBER('Council Entry'!K$9)),MAX(MIN('Council Entry'!K156,'Council Entry'!K$9),'Council Entry'!K$8),'Council Entry'!K156))))-'Council Entry'!K$5)/('Council Entry'!K$6-'Council Entry'!K$5)),1))),"No data"))</f>
        <v/>
      </c>
      <c r="L156" s="13">
        <f>IF('Council Entry'!L156="","",IFERROR(MAX(0,MIN(10,ROUND(IF('Council Entry'!L$7="Decrease Risk",10-10*((IF('Council Entry'!L$4="Logarithm",LN(0.001+IF(AND(ISNUMBER('Council Entry'!L$8),ISNUMBER('Council Entry'!L$9)),MAX(MIN('Council Entry'!L156,'Council Entry'!L$9),'Council Entry'!L$8),'Council Entry'!L156)),IF('Council Entry'!L$4="Exponential",EXP(IF(AND(ISNUMBER('Council Entry'!L$8),ISNUMBER('Council Entry'!L$9)),MAX(MIN('Council Entry'!L156,'Council Entry'!L$9),'Council Entry'!L$8),'Council Entry'!L156)),IF(AND(ISNUMBER('Council Entry'!L$8),ISNUMBER('Council Entry'!L$9)),MAX(MIN('Council Entry'!L156,'Council Entry'!L$9),'Council Entry'!L$8),'Council Entry'!L156))))-'Council Entry'!L$5)/('Council Entry'!L$6-'Council Entry'!L$5),10*((IF('Council Entry'!L$4="Logarithm",LN(0.001+IF(AND(ISNUMBER('Council Entry'!L$8),ISNUMBER('Council Entry'!L$9)),MAX(MIN('Council Entry'!L156,'Council Entry'!L$9),'Council Entry'!L$8),'Council Entry'!L156)),IF('Council Entry'!L$4="Exponential",EXP(IF(AND(ISNUMBER('Council Entry'!L$8),ISNUMBER('Council Entry'!L$9)),MAX(MIN('Council Entry'!L156,'Council Entry'!L$9),'Council Entry'!L$8),'Council Entry'!L156)),IF(AND(ISNUMBER('Council Entry'!L$8),ISNUMBER('Council Entry'!L$9)),MAX(MIN('Council Entry'!L156,'Council Entry'!L$9),'Council Entry'!L$8),'Council Entry'!L156))))-'Council Entry'!L$5)/('Council Entry'!L$6-'Council Entry'!L$5)),1))),"No data"))</f>
        <v/>
      </c>
      <c r="M156" s="13">
        <f>IF('Council Entry'!M156="","",IFERROR(MAX(0,MIN(10,ROUND(IF('Council Entry'!M$7="Decrease Risk",10-10*((IF('Council Entry'!M$4="Logarithm",LN(0.001+IF(AND(ISNUMBER('Council Entry'!M$8),ISNUMBER('Council Entry'!M$9)),MAX(MIN('Council Entry'!M156,'Council Entry'!M$9),'Council Entry'!M$8),'Council Entry'!M156)),IF('Council Entry'!M$4="Exponential",EXP(IF(AND(ISNUMBER('Council Entry'!M$8),ISNUMBER('Council Entry'!M$9)),MAX(MIN('Council Entry'!M156,'Council Entry'!M$9),'Council Entry'!M$8),'Council Entry'!M156)),IF(AND(ISNUMBER('Council Entry'!M$8),ISNUMBER('Council Entry'!M$9)),MAX(MIN('Council Entry'!M156,'Council Entry'!M$9),'Council Entry'!M$8),'Council Entry'!M156))))-'Council Entry'!M$5)/('Council Entry'!M$6-'Council Entry'!M$5),10*((IF('Council Entry'!M$4="Logarithm",LN(0.001+IF(AND(ISNUMBER('Council Entry'!M$8),ISNUMBER('Council Entry'!M$9)),MAX(MIN('Council Entry'!M156,'Council Entry'!M$9),'Council Entry'!M$8),'Council Entry'!M156)),IF('Council Entry'!M$4="Exponential",EXP(IF(AND(ISNUMBER('Council Entry'!M$8),ISNUMBER('Council Entry'!M$9)),MAX(MIN('Council Entry'!M156,'Council Entry'!M$9),'Council Entry'!M$8),'Council Entry'!M156)),IF(AND(ISNUMBER('Council Entry'!M$8),ISNUMBER('Council Entry'!M$9)),MAX(MIN('Council Entry'!M156,'Council Entry'!M$9),'Council Entry'!M$8),'Council Entry'!M156))))-'Council Entry'!M$5)/('Council Entry'!M$6-'Council Entry'!M$5)),1))),"No data"))</f>
        <v/>
      </c>
      <c r="N156" s="13">
        <f>IF('Council Entry'!N156="","",IFERROR(MAX(0,MIN(10,ROUND(IF('Council Entry'!N$7="Decrease Risk",10-10*((IF('Council Entry'!N$4="Logarithm",LN(0.001+IF(AND(ISNUMBER('Council Entry'!N$8),ISNUMBER('Council Entry'!N$9)),MAX(MIN('Council Entry'!N156,'Council Entry'!N$9),'Council Entry'!N$8),'Council Entry'!N156)),IF('Council Entry'!N$4="Exponential",EXP(IF(AND(ISNUMBER('Council Entry'!N$8),ISNUMBER('Council Entry'!N$9)),MAX(MIN('Council Entry'!N156,'Council Entry'!N$9),'Council Entry'!N$8),'Council Entry'!N156)),IF(AND(ISNUMBER('Council Entry'!N$8),ISNUMBER('Council Entry'!N$9)),MAX(MIN('Council Entry'!N156,'Council Entry'!N$9),'Council Entry'!N$8),'Council Entry'!N156))))-'Council Entry'!N$5)/('Council Entry'!N$6-'Council Entry'!N$5),10*((IF('Council Entry'!N$4="Logarithm",LN(0.001+IF(AND(ISNUMBER('Council Entry'!N$8),ISNUMBER('Council Entry'!N$9)),MAX(MIN('Council Entry'!N156,'Council Entry'!N$9),'Council Entry'!N$8),'Council Entry'!N156)),IF('Council Entry'!N$4="Exponential",EXP(IF(AND(ISNUMBER('Council Entry'!N$8),ISNUMBER('Council Entry'!N$9)),MAX(MIN('Council Entry'!N156,'Council Entry'!N$9),'Council Entry'!N$8),'Council Entry'!N156)),IF(AND(ISNUMBER('Council Entry'!N$8),ISNUMBER('Council Entry'!N$9)),MAX(MIN('Council Entry'!N156,'Council Entry'!N$9),'Council Entry'!N$8),'Council Entry'!N156))))-'Council Entry'!N$5)/('Council Entry'!N$6-'Council Entry'!N$5)),1))),"No data"))</f>
        <v/>
      </c>
      <c r="O156" s="13">
        <f>IF('Council Entry'!O156="","",IFERROR(MAX(0,MIN(10,ROUND(IF('Council Entry'!O$7="Decrease Risk",10-10*((IF('Council Entry'!O$4="Logarithm",LN(0.001+IF(AND(ISNUMBER('Council Entry'!O$8),ISNUMBER('Council Entry'!O$9)),MAX(MIN('Council Entry'!O156,'Council Entry'!O$9),'Council Entry'!O$8),'Council Entry'!O156)),IF('Council Entry'!O$4="Exponential",EXP(IF(AND(ISNUMBER('Council Entry'!O$8),ISNUMBER('Council Entry'!O$9)),MAX(MIN('Council Entry'!O156,'Council Entry'!O$9),'Council Entry'!O$8),'Council Entry'!O156)),IF(AND(ISNUMBER('Council Entry'!O$8),ISNUMBER('Council Entry'!O$9)),MAX(MIN('Council Entry'!O156,'Council Entry'!O$9),'Council Entry'!O$8),'Council Entry'!O156))))-'Council Entry'!O$5)/('Council Entry'!O$6-'Council Entry'!O$5),10*((IF('Council Entry'!O$4="Logarithm",LN(0.001+IF(AND(ISNUMBER('Council Entry'!O$8),ISNUMBER('Council Entry'!O$9)),MAX(MIN('Council Entry'!O156,'Council Entry'!O$9),'Council Entry'!O$8),'Council Entry'!O156)),IF('Council Entry'!O$4="Exponential",EXP(IF(AND(ISNUMBER('Council Entry'!O$8),ISNUMBER('Council Entry'!O$9)),MAX(MIN('Council Entry'!O156,'Council Entry'!O$9),'Council Entry'!O$8),'Council Entry'!O156)),IF(AND(ISNUMBER('Council Entry'!O$8),ISNUMBER('Council Entry'!O$9)),MAX(MIN('Council Entry'!O156,'Council Entry'!O$9),'Council Entry'!O$8),'Council Entry'!O156))))-'Council Entry'!O$5)/('Council Entry'!O$6-'Council Entry'!O$5)),1))),"No data"))</f>
        <v/>
      </c>
      <c r="P156" s="13">
        <f>IF('Council Entry'!P156="","",IFERROR(MAX(0,MIN(10,ROUND(IF('Council Entry'!P$7="Decrease Risk",10-10*((IF('Council Entry'!P$4="Logarithm",LN(0.001+IF(AND(ISNUMBER('Council Entry'!P$8),ISNUMBER('Council Entry'!P$9)),MAX(MIN('Council Entry'!P156,'Council Entry'!P$9),'Council Entry'!P$8),'Council Entry'!P156)),IF('Council Entry'!P$4="Exponential",EXP(IF(AND(ISNUMBER('Council Entry'!P$8),ISNUMBER('Council Entry'!P$9)),MAX(MIN('Council Entry'!P156,'Council Entry'!P$9),'Council Entry'!P$8),'Council Entry'!P156)),IF(AND(ISNUMBER('Council Entry'!P$8),ISNUMBER('Council Entry'!P$9)),MAX(MIN('Council Entry'!P156,'Council Entry'!P$9),'Council Entry'!P$8),'Council Entry'!P156))))-'Council Entry'!P$5)/('Council Entry'!P$6-'Council Entry'!P$5),10*((IF('Council Entry'!P$4="Logarithm",LN(0.001+IF(AND(ISNUMBER('Council Entry'!P$8),ISNUMBER('Council Entry'!P$9)),MAX(MIN('Council Entry'!P156,'Council Entry'!P$9),'Council Entry'!P$8),'Council Entry'!P156)),IF('Council Entry'!P$4="Exponential",EXP(IF(AND(ISNUMBER('Council Entry'!P$8),ISNUMBER('Council Entry'!P$9)),MAX(MIN('Council Entry'!P156,'Council Entry'!P$9),'Council Entry'!P$8),'Council Entry'!P156)),IF(AND(ISNUMBER('Council Entry'!P$8),ISNUMBER('Council Entry'!P$9)),MAX(MIN('Council Entry'!P156,'Council Entry'!P$9),'Council Entry'!P$8),'Council Entry'!P156))))-'Council Entry'!P$5)/('Council Entry'!P$6-'Council Entry'!P$5)),1))),"No data"))</f>
        <v/>
      </c>
      <c r="Q156" s="13">
        <f>IF('Council Entry'!Q156="","",IFERROR(MAX(0,MIN(10,ROUND(IF('Council Entry'!Q$7="Decrease Risk",10-10*((IF('Council Entry'!Q$4="Logarithm",LN(0.001+IF(AND(ISNUMBER('Council Entry'!Q$8),ISNUMBER('Council Entry'!Q$9)),MAX(MIN('Council Entry'!Q156,'Council Entry'!Q$9),'Council Entry'!Q$8),'Council Entry'!Q156)),IF('Council Entry'!Q$4="Exponential",EXP(IF(AND(ISNUMBER('Council Entry'!Q$8),ISNUMBER('Council Entry'!Q$9)),MAX(MIN('Council Entry'!Q156,'Council Entry'!Q$9),'Council Entry'!Q$8),'Council Entry'!Q156)),IF(AND(ISNUMBER('Council Entry'!Q$8),ISNUMBER('Council Entry'!Q$9)),MAX(MIN('Council Entry'!Q156,'Council Entry'!Q$9),'Council Entry'!Q$8),'Council Entry'!Q156))))-'Council Entry'!Q$5)/('Council Entry'!Q$6-'Council Entry'!Q$5),10*((IF('Council Entry'!Q$4="Logarithm",LN(0.001+IF(AND(ISNUMBER('Council Entry'!Q$8),ISNUMBER('Council Entry'!Q$9)),MAX(MIN('Council Entry'!Q156,'Council Entry'!Q$9),'Council Entry'!Q$8),'Council Entry'!Q156)),IF('Council Entry'!Q$4="Exponential",EXP(IF(AND(ISNUMBER('Council Entry'!Q$8),ISNUMBER('Council Entry'!Q$9)),MAX(MIN('Council Entry'!Q156,'Council Entry'!Q$9),'Council Entry'!Q$8),'Council Entry'!Q156)),IF(AND(ISNUMBER('Council Entry'!Q$8),ISNUMBER('Council Entry'!Q$9)),MAX(MIN('Council Entry'!Q156,'Council Entry'!Q$9),'Council Entry'!Q$8),'Council Entry'!Q156))))-'Council Entry'!Q$5)/('Council Entry'!Q$6-'Council Entry'!Q$5)),1))),"No data"))</f>
        <v/>
      </c>
      <c r="R156" s="13">
        <f>IF('Council Entry'!R156="","",IFERROR(MAX(0,MIN(10,ROUND(IF('Council Entry'!R$7="Decrease Risk",10-10*((IF('Council Entry'!R$4="Logarithm",LN(0.001+IF(AND(ISNUMBER('Council Entry'!R$8),ISNUMBER('Council Entry'!R$9)),MAX(MIN('Council Entry'!R156,'Council Entry'!R$9),'Council Entry'!R$8),'Council Entry'!R156)),IF('Council Entry'!R$4="Exponential",EXP(IF(AND(ISNUMBER('Council Entry'!R$8),ISNUMBER('Council Entry'!R$9)),MAX(MIN('Council Entry'!R156,'Council Entry'!R$9),'Council Entry'!R$8),'Council Entry'!R156)),IF(AND(ISNUMBER('Council Entry'!R$8),ISNUMBER('Council Entry'!R$9)),MAX(MIN('Council Entry'!R156,'Council Entry'!R$9),'Council Entry'!R$8),'Council Entry'!R156))))-'Council Entry'!R$5)/('Council Entry'!R$6-'Council Entry'!R$5),10*((IF('Council Entry'!R$4="Logarithm",LN(0.001+IF(AND(ISNUMBER('Council Entry'!R$8),ISNUMBER('Council Entry'!R$9)),MAX(MIN('Council Entry'!R156,'Council Entry'!R$9),'Council Entry'!R$8),'Council Entry'!R156)),IF('Council Entry'!R$4="Exponential",EXP(IF(AND(ISNUMBER('Council Entry'!R$8),ISNUMBER('Council Entry'!R$9)),MAX(MIN('Council Entry'!R156,'Council Entry'!R$9),'Council Entry'!R$8),'Council Entry'!R156)),IF(AND(ISNUMBER('Council Entry'!R$8),ISNUMBER('Council Entry'!R$9)),MAX(MIN('Council Entry'!R156,'Council Entry'!R$9),'Council Entry'!R$8),'Council Entry'!R156))))-'Council Entry'!R$5)/('Council Entry'!R$6-'Council Entry'!R$5)),1))),"No data"))</f>
        <v/>
      </c>
      <c r="S156" s="13">
        <f>IF('Council Entry'!S156="","",IFERROR(MAX(0,MIN(10,ROUND(IF('Council Entry'!S$7="Decrease Risk",10-10*((IF('Council Entry'!S$4="Logarithm",LN(0.001+IF(AND(ISNUMBER('Council Entry'!S$8),ISNUMBER('Council Entry'!S$9)),MAX(MIN('Council Entry'!S156,'Council Entry'!S$9),'Council Entry'!S$8),'Council Entry'!S156)),IF('Council Entry'!S$4="Exponential",EXP(IF(AND(ISNUMBER('Council Entry'!S$8),ISNUMBER('Council Entry'!S$9)),MAX(MIN('Council Entry'!S156,'Council Entry'!S$9),'Council Entry'!S$8),'Council Entry'!S156)),IF(AND(ISNUMBER('Council Entry'!S$8),ISNUMBER('Council Entry'!S$9)),MAX(MIN('Council Entry'!S156,'Council Entry'!S$9),'Council Entry'!S$8),'Council Entry'!S156))))-'Council Entry'!S$5)/('Council Entry'!S$6-'Council Entry'!S$5),10*((IF('Council Entry'!S$4="Logarithm",LN(0.001+IF(AND(ISNUMBER('Council Entry'!S$8),ISNUMBER('Council Entry'!S$9)),MAX(MIN('Council Entry'!S156,'Council Entry'!S$9),'Council Entry'!S$8),'Council Entry'!S156)),IF('Council Entry'!S$4="Exponential",EXP(IF(AND(ISNUMBER('Council Entry'!S$8),ISNUMBER('Council Entry'!S$9)),MAX(MIN('Council Entry'!S156,'Council Entry'!S$9),'Council Entry'!S$8),'Council Entry'!S156)),IF(AND(ISNUMBER('Council Entry'!S$8),ISNUMBER('Council Entry'!S$9)),MAX(MIN('Council Entry'!S156,'Council Entry'!S$9),'Council Entry'!S$8),'Council Entry'!S156))))-'Council Entry'!S$5)/('Council Entry'!S$6-'Council Entry'!S$5)),1))),"No data"))</f>
        <v/>
      </c>
      <c r="T156" s="13">
        <f>IF('Council Entry'!T156="","",IFERROR(MAX(0,MIN(10,ROUND(IF('Council Entry'!T$7="Decrease Risk",10-10*((IF('Council Entry'!T$4="Logarithm",LN(0.001+IF(AND(ISNUMBER('Council Entry'!T$8),ISNUMBER('Council Entry'!T$9)),MAX(MIN('Council Entry'!T156,'Council Entry'!T$9),'Council Entry'!T$8),'Council Entry'!T156)),IF('Council Entry'!T$4="Exponential",EXP(IF(AND(ISNUMBER('Council Entry'!T$8),ISNUMBER('Council Entry'!T$9)),MAX(MIN('Council Entry'!T156,'Council Entry'!T$9),'Council Entry'!T$8),'Council Entry'!T156)),IF(AND(ISNUMBER('Council Entry'!T$8),ISNUMBER('Council Entry'!T$9)),MAX(MIN('Council Entry'!T156,'Council Entry'!T$9),'Council Entry'!T$8),'Council Entry'!T156))))-'Council Entry'!T$5)/('Council Entry'!T$6-'Council Entry'!T$5),10*((IF('Council Entry'!T$4="Logarithm",LN(0.001+IF(AND(ISNUMBER('Council Entry'!T$8),ISNUMBER('Council Entry'!T$9)),MAX(MIN('Council Entry'!T156,'Council Entry'!T$9),'Council Entry'!T$8),'Council Entry'!T156)),IF('Council Entry'!T$4="Exponential",EXP(IF(AND(ISNUMBER('Council Entry'!T$8),ISNUMBER('Council Entry'!T$9)),MAX(MIN('Council Entry'!T156,'Council Entry'!T$9),'Council Entry'!T$8),'Council Entry'!T156)),IF(AND(ISNUMBER('Council Entry'!T$8),ISNUMBER('Council Entry'!T$9)),MAX(MIN('Council Entry'!T156,'Council Entry'!T$9),'Council Entry'!T$8),'Council Entry'!T156))))-'Council Entry'!T$5)/('Council Entry'!T$6-'Council Entry'!T$5)),1))),"No data"))</f>
        <v/>
      </c>
      <c r="U156" s="13">
        <f>IF('Council Entry'!U156="","",IFERROR(MAX(0,MIN(10,ROUND(IF('Council Entry'!U$7="Decrease Risk",10-10*((IF('Council Entry'!U$4="Logarithm",LN(0.001+IF(AND(ISNUMBER('Council Entry'!U$8),ISNUMBER('Council Entry'!U$9)),MAX(MIN('Council Entry'!U156,'Council Entry'!U$9),'Council Entry'!U$8),'Council Entry'!U156)),IF('Council Entry'!U$4="Exponential",EXP(IF(AND(ISNUMBER('Council Entry'!U$8),ISNUMBER('Council Entry'!U$9)),MAX(MIN('Council Entry'!U156,'Council Entry'!U$9),'Council Entry'!U$8),'Council Entry'!U156)),IF(AND(ISNUMBER('Council Entry'!U$8),ISNUMBER('Council Entry'!U$9)),MAX(MIN('Council Entry'!U156,'Council Entry'!U$9),'Council Entry'!U$8),'Council Entry'!U156))))-'Council Entry'!U$5)/('Council Entry'!U$6-'Council Entry'!U$5),10*((IF('Council Entry'!U$4="Logarithm",LN(0.001+IF(AND(ISNUMBER('Council Entry'!U$8),ISNUMBER('Council Entry'!U$9)),MAX(MIN('Council Entry'!U156,'Council Entry'!U$9),'Council Entry'!U$8),'Council Entry'!U156)),IF('Council Entry'!U$4="Exponential",EXP(IF(AND(ISNUMBER('Council Entry'!U$8),ISNUMBER('Council Entry'!U$9)),MAX(MIN('Council Entry'!U156,'Council Entry'!U$9),'Council Entry'!U$8),'Council Entry'!U156)),IF(AND(ISNUMBER('Council Entry'!U$8),ISNUMBER('Council Entry'!U$9)),MAX(MIN('Council Entry'!U156,'Council Entry'!U$9),'Council Entry'!U$8),'Council Entry'!U156))))-'Council Entry'!U$5)/('Council Entry'!U$6-'Council Entry'!U$5)),1))),"No data"))</f>
        <v/>
      </c>
      <c r="V156" s="13">
        <f>IF('Council Entry'!V156="","",IFERROR(MAX(0,MIN(10,ROUND(IF('Council Entry'!V$7="Decrease Risk",10-10*((IF('Council Entry'!V$4="Logarithm",LN(0.001+IF(AND(ISNUMBER('Council Entry'!V$8),ISNUMBER('Council Entry'!V$9)),MAX(MIN('Council Entry'!V156,'Council Entry'!V$9),'Council Entry'!V$8),'Council Entry'!V156)),IF('Council Entry'!V$4="Exponential",EXP(IF(AND(ISNUMBER('Council Entry'!V$8),ISNUMBER('Council Entry'!V$9)),MAX(MIN('Council Entry'!V156,'Council Entry'!V$9),'Council Entry'!V$8),'Council Entry'!V156)),IF(AND(ISNUMBER('Council Entry'!V$8),ISNUMBER('Council Entry'!V$9)),MAX(MIN('Council Entry'!V156,'Council Entry'!V$9),'Council Entry'!V$8),'Council Entry'!V156))))-'Council Entry'!V$5)/('Council Entry'!V$6-'Council Entry'!V$5),10*((IF('Council Entry'!V$4="Logarithm",LN(0.001+IF(AND(ISNUMBER('Council Entry'!V$8),ISNUMBER('Council Entry'!V$9)),MAX(MIN('Council Entry'!V156,'Council Entry'!V$9),'Council Entry'!V$8),'Council Entry'!V156)),IF('Council Entry'!V$4="Exponential",EXP(IF(AND(ISNUMBER('Council Entry'!V$8),ISNUMBER('Council Entry'!V$9)),MAX(MIN('Council Entry'!V156,'Council Entry'!V$9),'Council Entry'!V$8),'Council Entry'!V156)),IF(AND(ISNUMBER('Council Entry'!V$8),ISNUMBER('Council Entry'!V$9)),MAX(MIN('Council Entry'!V156,'Council Entry'!V$9),'Council Entry'!V$8),'Council Entry'!V156))))-'Council Entry'!V$5)/('Council Entry'!V$6-'Council Entry'!V$5)),1))),"No data"))</f>
        <v/>
      </c>
      <c r="W156" s="13">
        <f>IF('Council Entry'!W156="","",IFERROR(MAX(0,MIN(10,ROUND(IF('Council Entry'!W$7="Decrease Risk",10-10*((IF('Council Entry'!W$4="Logarithm",LN(0.001+IF(AND(ISNUMBER('Council Entry'!W$8),ISNUMBER('Council Entry'!W$9)),MAX(MIN('Council Entry'!W156,'Council Entry'!W$9),'Council Entry'!W$8),'Council Entry'!W156)),IF('Council Entry'!W$4="Exponential",EXP(IF(AND(ISNUMBER('Council Entry'!W$8),ISNUMBER('Council Entry'!W$9)),MAX(MIN('Council Entry'!W156,'Council Entry'!W$9),'Council Entry'!W$8),'Council Entry'!W156)),IF(AND(ISNUMBER('Council Entry'!W$8),ISNUMBER('Council Entry'!W$9)),MAX(MIN('Council Entry'!W156,'Council Entry'!W$9),'Council Entry'!W$8),'Council Entry'!W156))))-'Council Entry'!W$5)/('Council Entry'!W$6-'Council Entry'!W$5),10*((IF('Council Entry'!W$4="Logarithm",LN(0.001+IF(AND(ISNUMBER('Council Entry'!W$8),ISNUMBER('Council Entry'!W$9)),MAX(MIN('Council Entry'!W156,'Council Entry'!W$9),'Council Entry'!W$8),'Council Entry'!W156)),IF('Council Entry'!W$4="Exponential",EXP(IF(AND(ISNUMBER('Council Entry'!W$8),ISNUMBER('Council Entry'!W$9)),MAX(MIN('Council Entry'!W156,'Council Entry'!W$9),'Council Entry'!W$8),'Council Entry'!W156)),IF(AND(ISNUMBER('Council Entry'!W$8),ISNUMBER('Council Entry'!W$9)),MAX(MIN('Council Entry'!W156,'Council Entry'!W$9),'Council Entry'!W$8),'Council Entry'!W156))))-'Council Entry'!W$5)/('Council Entry'!W$6-'Council Entry'!W$5)),1))),"No data"))</f>
        <v/>
      </c>
      <c r="X156" s="13">
        <f>IF('Council Entry'!X156="","",IFERROR(MAX(0,MIN(10,ROUND(IF('Council Entry'!X$7="Decrease Risk",10-10*((IF('Council Entry'!X$4="Logarithm",LN(0.001+IF(AND(ISNUMBER('Council Entry'!X$8),ISNUMBER('Council Entry'!X$9)),MAX(MIN('Council Entry'!X156,'Council Entry'!X$9),'Council Entry'!X$8),'Council Entry'!X156)),IF('Council Entry'!X$4="Exponential",EXP(IF(AND(ISNUMBER('Council Entry'!X$8),ISNUMBER('Council Entry'!X$9)),MAX(MIN('Council Entry'!X156,'Council Entry'!X$9),'Council Entry'!X$8),'Council Entry'!X156)),IF(AND(ISNUMBER('Council Entry'!X$8),ISNUMBER('Council Entry'!X$9)),MAX(MIN('Council Entry'!X156,'Council Entry'!X$9),'Council Entry'!X$8),'Council Entry'!X156))))-'Council Entry'!X$5)/('Council Entry'!X$6-'Council Entry'!X$5),10*((IF('Council Entry'!X$4="Logarithm",LN(0.001+IF(AND(ISNUMBER('Council Entry'!X$8),ISNUMBER('Council Entry'!X$9)),MAX(MIN('Council Entry'!X156,'Council Entry'!X$9),'Council Entry'!X$8),'Council Entry'!X156)),IF('Council Entry'!X$4="Exponential",EXP(IF(AND(ISNUMBER('Council Entry'!X$8),ISNUMBER('Council Entry'!X$9)),MAX(MIN('Council Entry'!X156,'Council Entry'!X$9),'Council Entry'!X$8),'Council Entry'!X156)),IF(AND(ISNUMBER('Council Entry'!X$8),ISNUMBER('Council Entry'!X$9)),MAX(MIN('Council Entry'!X156,'Council Entry'!X$9),'Council Entry'!X$8),'Council Entry'!X156))))-'Council Entry'!X$5)/('Council Entry'!X$6-'Council Entry'!X$5)),1))),"No data"))</f>
        <v/>
      </c>
      <c r="Y156" s="13">
        <f>IF('Council Entry'!Y156="","",IFERROR(MAX(0,MIN(10,ROUND(IF('Council Entry'!Y$7="Decrease Risk",10-10*((IF('Council Entry'!Y$4="Logarithm",LN(0.001+IF(AND(ISNUMBER('Council Entry'!Y$8),ISNUMBER('Council Entry'!Y$9)),MAX(MIN('Council Entry'!Y156,'Council Entry'!Y$9),'Council Entry'!Y$8),'Council Entry'!Y156)),IF('Council Entry'!Y$4="Exponential",EXP(IF(AND(ISNUMBER('Council Entry'!Y$8),ISNUMBER('Council Entry'!Y$9)),MAX(MIN('Council Entry'!Y156,'Council Entry'!Y$9),'Council Entry'!Y$8),'Council Entry'!Y156)),IF(AND(ISNUMBER('Council Entry'!Y$8),ISNUMBER('Council Entry'!Y$9)),MAX(MIN('Council Entry'!Y156,'Council Entry'!Y$9),'Council Entry'!Y$8),'Council Entry'!Y156))))-'Council Entry'!Y$5)/('Council Entry'!Y$6-'Council Entry'!Y$5),10*((IF('Council Entry'!Y$4="Logarithm",LN(0.001+IF(AND(ISNUMBER('Council Entry'!Y$8),ISNUMBER('Council Entry'!Y$9)),MAX(MIN('Council Entry'!Y156,'Council Entry'!Y$9),'Council Entry'!Y$8),'Council Entry'!Y156)),IF('Council Entry'!Y$4="Exponential",EXP(IF(AND(ISNUMBER('Council Entry'!Y$8),ISNUMBER('Council Entry'!Y$9)),MAX(MIN('Council Entry'!Y156,'Council Entry'!Y$9),'Council Entry'!Y$8),'Council Entry'!Y156)),IF(AND(ISNUMBER('Council Entry'!Y$8),ISNUMBER('Council Entry'!Y$9)),MAX(MIN('Council Entry'!Y156,'Council Entry'!Y$9),'Council Entry'!Y$8),'Council Entry'!Y156))))-'Council Entry'!Y$5)/('Council Entry'!Y$6-'Council Entry'!Y$5)),1))),"No data"))</f>
        <v/>
      </c>
      <c r="Z156" s="13">
        <f>IF('Council Entry'!Z156="","",IFERROR(MAX(0,MIN(10,ROUND(IF('Council Entry'!Z$7="Decrease Risk",10-10*((IF('Council Entry'!Z$4="Logarithm",LN(0.001+IF(AND(ISNUMBER('Council Entry'!Z$8),ISNUMBER('Council Entry'!Z$9)),MAX(MIN('Council Entry'!Z156,'Council Entry'!Z$9),'Council Entry'!Z$8),'Council Entry'!Z156)),IF('Council Entry'!Z$4="Exponential",EXP(IF(AND(ISNUMBER('Council Entry'!Z$8),ISNUMBER('Council Entry'!Z$9)),MAX(MIN('Council Entry'!Z156,'Council Entry'!Z$9),'Council Entry'!Z$8),'Council Entry'!Z156)),IF(AND(ISNUMBER('Council Entry'!Z$8),ISNUMBER('Council Entry'!Z$9)),MAX(MIN('Council Entry'!Z156,'Council Entry'!Z$9),'Council Entry'!Z$8),'Council Entry'!Z156))))-'Council Entry'!Z$5)/('Council Entry'!Z$6-'Council Entry'!Z$5),10*((IF('Council Entry'!Z$4="Logarithm",LN(0.001+IF(AND(ISNUMBER('Council Entry'!Z$8),ISNUMBER('Council Entry'!Z$9)),MAX(MIN('Council Entry'!Z156,'Council Entry'!Z$9),'Council Entry'!Z$8),'Council Entry'!Z156)),IF('Council Entry'!Z$4="Exponential",EXP(IF(AND(ISNUMBER('Council Entry'!Z$8),ISNUMBER('Council Entry'!Z$9)),MAX(MIN('Council Entry'!Z156,'Council Entry'!Z$9),'Council Entry'!Z$8),'Council Entry'!Z156)),IF(AND(ISNUMBER('Council Entry'!Z$8),ISNUMBER('Council Entry'!Z$9)),MAX(MIN('Council Entry'!Z156,'Council Entry'!Z$9),'Council Entry'!Z$8),'Council Entry'!Z156))))-'Council Entry'!Z$5)/('Council Entry'!Z$6-'Council Entry'!Z$5)),1))),"No data"))</f>
        <v/>
      </c>
      <c r="AA156" s="13">
        <f>IF('Council Entry'!AA156="","",IFERROR(MAX(0,MIN(10,ROUND(IF('Council Entry'!AA$7="Decrease Risk",10-10*((IF('Council Entry'!AA$4="Logarithm",LN(0.001+IF(AND(ISNUMBER('Council Entry'!AA$8),ISNUMBER('Council Entry'!AA$9)),MAX(MIN('Council Entry'!AA156,'Council Entry'!AA$9),'Council Entry'!AA$8),'Council Entry'!AA156)),IF('Council Entry'!AA$4="Exponential",EXP(IF(AND(ISNUMBER('Council Entry'!AA$8),ISNUMBER('Council Entry'!AA$9)),MAX(MIN('Council Entry'!AA156,'Council Entry'!AA$9),'Council Entry'!AA$8),'Council Entry'!AA156)),IF(AND(ISNUMBER('Council Entry'!AA$8),ISNUMBER('Council Entry'!AA$9)),MAX(MIN('Council Entry'!AA156,'Council Entry'!AA$9),'Council Entry'!AA$8),'Council Entry'!AA156))))-'Council Entry'!AA$5)/('Council Entry'!AA$6-'Council Entry'!AA$5),10*((IF('Council Entry'!AA$4="Logarithm",LN(0.001+IF(AND(ISNUMBER('Council Entry'!AA$8),ISNUMBER('Council Entry'!AA$9)),MAX(MIN('Council Entry'!AA156,'Council Entry'!AA$9),'Council Entry'!AA$8),'Council Entry'!AA156)),IF('Council Entry'!AA$4="Exponential",EXP(IF(AND(ISNUMBER('Council Entry'!AA$8),ISNUMBER('Council Entry'!AA$9)),MAX(MIN('Council Entry'!AA156,'Council Entry'!AA$9),'Council Entry'!AA$8),'Council Entry'!AA156)),IF(AND(ISNUMBER('Council Entry'!AA$8),ISNUMBER('Council Entry'!AA$9)),MAX(MIN('Council Entry'!AA156,'Council Entry'!AA$9),'Council Entry'!AA$8),'Council Entry'!AA156))))-'Council Entry'!AA$5)/('Council Entry'!AA$6-'Council Entry'!AA$5)),1))),"No data"))</f>
        <v/>
      </c>
      <c r="AB156" s="13">
        <f>IF('Council Entry'!AB156="","",IFERROR(MAX(0,MIN(10,ROUND(IF('Council Entry'!AB$7="Decrease Risk",10-10*((IF('Council Entry'!AB$4="Logarithm",LN(0.001+IF(AND(ISNUMBER('Council Entry'!AB$8),ISNUMBER('Council Entry'!AB$9)),MAX(MIN('Council Entry'!AB156,'Council Entry'!AB$9),'Council Entry'!AB$8),'Council Entry'!AB156)),IF('Council Entry'!AB$4="Exponential",EXP(IF(AND(ISNUMBER('Council Entry'!AB$8),ISNUMBER('Council Entry'!AB$9)),MAX(MIN('Council Entry'!AB156,'Council Entry'!AB$9),'Council Entry'!AB$8),'Council Entry'!AB156)),IF(AND(ISNUMBER('Council Entry'!AB$8),ISNUMBER('Council Entry'!AB$9)),MAX(MIN('Council Entry'!AB156,'Council Entry'!AB$9),'Council Entry'!AB$8),'Council Entry'!AB156))))-'Council Entry'!AB$5)/('Council Entry'!AB$6-'Council Entry'!AB$5),10*((IF('Council Entry'!AB$4="Logarithm",LN(0.001+IF(AND(ISNUMBER('Council Entry'!AB$8),ISNUMBER('Council Entry'!AB$9)),MAX(MIN('Council Entry'!AB156,'Council Entry'!AB$9),'Council Entry'!AB$8),'Council Entry'!AB156)),IF('Council Entry'!AB$4="Exponential",EXP(IF(AND(ISNUMBER('Council Entry'!AB$8),ISNUMBER('Council Entry'!AB$9)),MAX(MIN('Council Entry'!AB156,'Council Entry'!AB$9),'Council Entry'!AB$8),'Council Entry'!AB156)),IF(AND(ISNUMBER('Council Entry'!AB$8),ISNUMBER('Council Entry'!AB$9)),MAX(MIN('Council Entry'!AB156,'Council Entry'!AB$9),'Council Entry'!AB$8),'Council Entry'!AB156))))-'Council Entry'!AB$5)/('Council Entry'!AB$6-'Council Entry'!AB$5)),1))),"No data"))</f>
        <v/>
      </c>
      <c r="AC156" s="13">
        <f>IF('Council Entry'!AC156="","",IFERROR(MAX(0,MIN(10,ROUND(IF('Council Entry'!AC$7="Decrease Risk",10-10*((IF('Council Entry'!AC$4="Logarithm",LN(0.001+IF(AND(ISNUMBER('Council Entry'!AC$8),ISNUMBER('Council Entry'!AC$9)),MAX(MIN('Council Entry'!AC156,'Council Entry'!AC$9),'Council Entry'!AC$8),'Council Entry'!AC156)),IF('Council Entry'!AC$4="Exponential",EXP(IF(AND(ISNUMBER('Council Entry'!AC$8),ISNUMBER('Council Entry'!AC$9)),MAX(MIN('Council Entry'!AC156,'Council Entry'!AC$9),'Council Entry'!AC$8),'Council Entry'!AC156)),IF(AND(ISNUMBER('Council Entry'!AC$8),ISNUMBER('Council Entry'!AC$9)),MAX(MIN('Council Entry'!AC156,'Council Entry'!AC$9),'Council Entry'!AC$8),'Council Entry'!AC156))))-'Council Entry'!AC$5)/('Council Entry'!AC$6-'Council Entry'!AC$5),10*((IF('Council Entry'!AC$4="Logarithm",LN(0.001+IF(AND(ISNUMBER('Council Entry'!AC$8),ISNUMBER('Council Entry'!AC$9)),MAX(MIN('Council Entry'!AC156,'Council Entry'!AC$9),'Council Entry'!AC$8),'Council Entry'!AC156)),IF('Council Entry'!AC$4="Exponential",EXP(IF(AND(ISNUMBER('Council Entry'!AC$8),ISNUMBER('Council Entry'!AC$9)),MAX(MIN('Council Entry'!AC156,'Council Entry'!AC$9),'Council Entry'!AC$8),'Council Entry'!AC156)),IF(AND(ISNUMBER('Council Entry'!AC$8),ISNUMBER('Council Entry'!AC$9)),MAX(MIN('Council Entry'!AC156,'Council Entry'!AC$9),'Council Entry'!AC$8),'Council Entry'!AC156))))-'Council Entry'!AC$5)/('Council Entry'!AC$6-'Council Entry'!AC$5)),1))),"No data"))</f>
        <v/>
      </c>
      <c r="AD156" s="13">
        <f>IF('Council Entry'!AD156="","",IFERROR(MAX(0,MIN(10,ROUND(IF('Council Entry'!AD$7="Decrease Risk",10-10*((IF('Council Entry'!AD$4="Logarithm",LN(0.001+IF(AND(ISNUMBER('Council Entry'!AD$8),ISNUMBER('Council Entry'!AD$9)),MAX(MIN('Council Entry'!AD156,'Council Entry'!AD$9),'Council Entry'!AD$8),'Council Entry'!AD156)),IF('Council Entry'!AD$4="Exponential",EXP(IF(AND(ISNUMBER('Council Entry'!AD$8),ISNUMBER('Council Entry'!AD$9)),MAX(MIN('Council Entry'!AD156,'Council Entry'!AD$9),'Council Entry'!AD$8),'Council Entry'!AD156)),IF(AND(ISNUMBER('Council Entry'!AD$8),ISNUMBER('Council Entry'!AD$9)),MAX(MIN('Council Entry'!AD156,'Council Entry'!AD$9),'Council Entry'!AD$8),'Council Entry'!AD156))))-'Council Entry'!AD$5)/('Council Entry'!AD$6-'Council Entry'!AD$5),10*((IF('Council Entry'!AD$4="Logarithm",LN(0.001+IF(AND(ISNUMBER('Council Entry'!AD$8),ISNUMBER('Council Entry'!AD$9)),MAX(MIN('Council Entry'!AD156,'Council Entry'!AD$9),'Council Entry'!AD$8),'Council Entry'!AD156)),IF('Council Entry'!AD$4="Exponential",EXP(IF(AND(ISNUMBER('Council Entry'!AD$8),ISNUMBER('Council Entry'!AD$9)),MAX(MIN('Council Entry'!AD156,'Council Entry'!AD$9),'Council Entry'!AD$8),'Council Entry'!AD156)),IF(AND(ISNUMBER('Council Entry'!AD$8),ISNUMBER('Council Entry'!AD$9)),MAX(MIN('Council Entry'!AD156,'Council Entry'!AD$9),'Council Entry'!AD$8),'Council Entry'!AD156))))-'Council Entry'!AD$5)/('Council Entry'!AD$6-'Council Entry'!AD$5)),1))),"No data"))</f>
        <v/>
      </c>
      <c r="AE156" s="13">
        <f>IF('Council Entry'!AE156="","",IFERROR(MAX(0,MIN(10,ROUND(IF('Council Entry'!AE$7="Decrease Risk",10-10*((IF('Council Entry'!AE$4="Logarithm",LN(0.001+IF(AND(ISNUMBER('Council Entry'!AE$8),ISNUMBER('Council Entry'!AE$9)),MAX(MIN('Council Entry'!AE156,'Council Entry'!AE$9),'Council Entry'!AE$8),'Council Entry'!AE156)),IF('Council Entry'!AE$4="Exponential",EXP(IF(AND(ISNUMBER('Council Entry'!AE$8),ISNUMBER('Council Entry'!AE$9)),MAX(MIN('Council Entry'!AE156,'Council Entry'!AE$9),'Council Entry'!AE$8),'Council Entry'!AE156)),IF(AND(ISNUMBER('Council Entry'!AE$8),ISNUMBER('Council Entry'!AE$9)),MAX(MIN('Council Entry'!AE156,'Council Entry'!AE$9),'Council Entry'!AE$8),'Council Entry'!AE156))))-'Council Entry'!AE$5)/('Council Entry'!AE$6-'Council Entry'!AE$5),10*((IF('Council Entry'!AE$4="Logarithm",LN(0.001+IF(AND(ISNUMBER('Council Entry'!AE$8),ISNUMBER('Council Entry'!AE$9)),MAX(MIN('Council Entry'!AE156,'Council Entry'!AE$9),'Council Entry'!AE$8),'Council Entry'!AE156)),IF('Council Entry'!AE$4="Exponential",EXP(IF(AND(ISNUMBER('Council Entry'!AE$8),ISNUMBER('Council Entry'!AE$9)),MAX(MIN('Council Entry'!AE156,'Council Entry'!AE$9),'Council Entry'!AE$8),'Council Entry'!AE156)),IF(AND(ISNUMBER('Council Entry'!AE$8),ISNUMBER('Council Entry'!AE$9)),MAX(MIN('Council Entry'!AE156,'Council Entry'!AE$9),'Council Entry'!AE$8),'Council Entry'!AE156))))-'Council Entry'!AE$5)/('Council Entry'!AE$6-'Council Entry'!AE$5)),1))),"No data"))</f>
        <v/>
      </c>
      <c r="AF156" s="13">
        <f>IF('Council Entry'!AF156="","",IFERROR(MAX(0,MIN(10,ROUND(IF('Council Entry'!AF$7="Decrease Risk",10-10*((IF('Council Entry'!AF$4="Logarithm",LN(0.001+IF(AND(ISNUMBER('Council Entry'!AF$8),ISNUMBER('Council Entry'!AF$9)),MAX(MIN('Council Entry'!AF156,'Council Entry'!AF$9),'Council Entry'!AF$8),'Council Entry'!AF156)),IF('Council Entry'!AF$4="Exponential",EXP(IF(AND(ISNUMBER('Council Entry'!AF$8),ISNUMBER('Council Entry'!AF$9)),MAX(MIN('Council Entry'!AF156,'Council Entry'!AF$9),'Council Entry'!AF$8),'Council Entry'!AF156)),IF(AND(ISNUMBER('Council Entry'!AF$8),ISNUMBER('Council Entry'!AF$9)),MAX(MIN('Council Entry'!AF156,'Council Entry'!AF$9),'Council Entry'!AF$8),'Council Entry'!AF156))))-'Council Entry'!AF$5)/('Council Entry'!AF$6-'Council Entry'!AF$5),10*((IF('Council Entry'!AF$4="Logarithm",LN(0.001+IF(AND(ISNUMBER('Council Entry'!AF$8),ISNUMBER('Council Entry'!AF$9)),MAX(MIN('Council Entry'!AF156,'Council Entry'!AF$9),'Council Entry'!AF$8),'Council Entry'!AF156)),IF('Council Entry'!AF$4="Exponential",EXP(IF(AND(ISNUMBER('Council Entry'!AF$8),ISNUMBER('Council Entry'!AF$9)),MAX(MIN('Council Entry'!AF156,'Council Entry'!AF$9),'Council Entry'!AF$8),'Council Entry'!AF156)),IF(AND(ISNUMBER('Council Entry'!AF$8),ISNUMBER('Council Entry'!AF$9)),MAX(MIN('Council Entry'!AF156,'Council Entry'!AF$9),'Council Entry'!AF$8),'Council Entry'!AF156))))-'Council Entry'!AF$5)/('Council Entry'!AF$6-'Council Entry'!AF$5)),1))),"No data"))</f>
        <v/>
      </c>
      <c r="AG156" s="13">
        <f>IF('Council Entry'!AG156="","",IFERROR(MAX(0,MIN(10,ROUND(IF('Council Entry'!AG$7="Decrease Risk",10-10*((IF('Council Entry'!AG$4="Logarithm",LN(0.001+IF(AND(ISNUMBER('Council Entry'!AG$8),ISNUMBER('Council Entry'!AG$9)),MAX(MIN('Council Entry'!AG156,'Council Entry'!AG$9),'Council Entry'!AG$8),'Council Entry'!AG156)),IF('Council Entry'!AG$4="Exponential",EXP(IF(AND(ISNUMBER('Council Entry'!AG$8),ISNUMBER('Council Entry'!AG$9)),MAX(MIN('Council Entry'!AG156,'Council Entry'!AG$9),'Council Entry'!AG$8),'Council Entry'!AG156)),IF(AND(ISNUMBER('Council Entry'!AG$8),ISNUMBER('Council Entry'!AG$9)),MAX(MIN('Council Entry'!AG156,'Council Entry'!AG$9),'Council Entry'!AG$8),'Council Entry'!AG156))))-'Council Entry'!AG$5)/('Council Entry'!AG$6-'Council Entry'!AG$5),10*((IF('Council Entry'!AG$4="Logarithm",LN(0.001+IF(AND(ISNUMBER('Council Entry'!AG$8),ISNUMBER('Council Entry'!AG$9)),MAX(MIN('Council Entry'!AG156,'Council Entry'!AG$9),'Council Entry'!AG$8),'Council Entry'!AG156)),IF('Council Entry'!AG$4="Exponential",EXP(IF(AND(ISNUMBER('Council Entry'!AG$8),ISNUMBER('Council Entry'!AG$9)),MAX(MIN('Council Entry'!AG156,'Council Entry'!AG$9),'Council Entry'!AG$8),'Council Entry'!AG156)),IF(AND(ISNUMBER('Council Entry'!AG$8),ISNUMBER('Council Entry'!AG$9)),MAX(MIN('Council Entry'!AG156,'Council Entry'!AG$9),'Council Entry'!AG$8),'Council Entry'!AG156))))-'Council Entry'!AG$5)/('Council Entry'!AG$6-'Council Entry'!AG$5)),1))),"No data"))</f>
        <v/>
      </c>
      <c r="AH156" s="13">
        <f>IF('Council Entry'!AH156="","",IFERROR(MAX(0,MIN(10,ROUND(IF('Council Entry'!AH$7="Decrease Risk",10-10*((IF('Council Entry'!AH$4="Logarithm",LN(0.001+IF(AND(ISNUMBER('Council Entry'!AH$8),ISNUMBER('Council Entry'!AH$9)),MAX(MIN('Council Entry'!AH156,'Council Entry'!AH$9),'Council Entry'!AH$8),'Council Entry'!AH156)),IF('Council Entry'!AH$4="Exponential",EXP(IF(AND(ISNUMBER('Council Entry'!AH$8),ISNUMBER('Council Entry'!AH$9)),MAX(MIN('Council Entry'!AH156,'Council Entry'!AH$9),'Council Entry'!AH$8),'Council Entry'!AH156)),IF(AND(ISNUMBER('Council Entry'!AH$8),ISNUMBER('Council Entry'!AH$9)),MAX(MIN('Council Entry'!AH156,'Council Entry'!AH$9),'Council Entry'!AH$8),'Council Entry'!AH156))))-'Council Entry'!AH$5)/('Council Entry'!AH$6-'Council Entry'!AH$5),10*((IF('Council Entry'!AH$4="Logarithm",LN(0.001+IF(AND(ISNUMBER('Council Entry'!AH$8),ISNUMBER('Council Entry'!AH$9)),MAX(MIN('Council Entry'!AH156,'Council Entry'!AH$9),'Council Entry'!AH$8),'Council Entry'!AH156)),IF('Council Entry'!AH$4="Exponential",EXP(IF(AND(ISNUMBER('Council Entry'!AH$8),ISNUMBER('Council Entry'!AH$9)),MAX(MIN('Council Entry'!AH156,'Council Entry'!AH$9),'Council Entry'!AH$8),'Council Entry'!AH156)),IF(AND(ISNUMBER('Council Entry'!AH$8),ISNUMBER('Council Entry'!AH$9)),MAX(MIN('Council Entry'!AH156,'Council Entry'!AH$9),'Council Entry'!AH$8),'Council Entry'!AH156))))-'Council Entry'!AH$5)/('Council Entry'!AH$6-'Council Entry'!AH$5)),1))),"No data"))</f>
        <v/>
      </c>
      <c r="AI156" s="13">
        <f>IF('Council Entry'!AI156="","",IFERROR(MAX(0,MIN(10,ROUND(IF('Council Entry'!AI$7="Decrease Risk",10-10*((IF('Council Entry'!AI$4="Logarithm",LN(0.001+IF(AND(ISNUMBER('Council Entry'!AI$8),ISNUMBER('Council Entry'!AI$9)),MAX(MIN('Council Entry'!AI156,'Council Entry'!AI$9),'Council Entry'!AI$8),'Council Entry'!AI156)),IF('Council Entry'!AI$4="Exponential",EXP(IF(AND(ISNUMBER('Council Entry'!AI$8),ISNUMBER('Council Entry'!AI$9)),MAX(MIN('Council Entry'!AI156,'Council Entry'!AI$9),'Council Entry'!AI$8),'Council Entry'!AI156)),IF(AND(ISNUMBER('Council Entry'!AI$8),ISNUMBER('Council Entry'!AI$9)),MAX(MIN('Council Entry'!AI156,'Council Entry'!AI$9),'Council Entry'!AI$8),'Council Entry'!AI156))))-'Council Entry'!AI$5)/('Council Entry'!AI$6-'Council Entry'!AI$5),10*((IF('Council Entry'!AI$4="Logarithm",LN(0.001+IF(AND(ISNUMBER('Council Entry'!AI$8),ISNUMBER('Council Entry'!AI$9)),MAX(MIN('Council Entry'!AI156,'Council Entry'!AI$9),'Council Entry'!AI$8),'Council Entry'!AI156)),IF('Council Entry'!AI$4="Exponential",EXP(IF(AND(ISNUMBER('Council Entry'!AI$8),ISNUMBER('Council Entry'!AI$9)),MAX(MIN('Council Entry'!AI156,'Council Entry'!AI$9),'Council Entry'!AI$8),'Council Entry'!AI156)),IF(AND(ISNUMBER('Council Entry'!AI$8),ISNUMBER('Council Entry'!AI$9)),MAX(MIN('Council Entry'!AI156,'Council Entry'!AI$9),'Council Entry'!AI$8),'Council Entry'!AI156))))-'Council Entry'!AI$5)/('Council Entry'!AI$6-'Council Entry'!AI$5)),1))),"No data"))</f>
        <v/>
      </c>
      <c r="AJ156" s="13">
        <f>IF('Council Entry'!AJ156="","",IFERROR(MAX(0,MIN(10,ROUND(IF('Council Entry'!AJ$7="Decrease Risk",10-10*((IF('Council Entry'!AJ$4="Logarithm",LN(0.001+IF(AND(ISNUMBER('Council Entry'!AJ$8),ISNUMBER('Council Entry'!AJ$9)),MAX(MIN('Council Entry'!AJ156,'Council Entry'!AJ$9),'Council Entry'!AJ$8),'Council Entry'!AJ156)),IF('Council Entry'!AJ$4="Exponential",EXP(IF(AND(ISNUMBER('Council Entry'!AJ$8),ISNUMBER('Council Entry'!AJ$9)),MAX(MIN('Council Entry'!AJ156,'Council Entry'!AJ$9),'Council Entry'!AJ$8),'Council Entry'!AJ156)),IF(AND(ISNUMBER('Council Entry'!AJ$8),ISNUMBER('Council Entry'!AJ$9)),MAX(MIN('Council Entry'!AJ156,'Council Entry'!AJ$9),'Council Entry'!AJ$8),'Council Entry'!AJ156))))-'Council Entry'!AJ$5)/('Council Entry'!AJ$6-'Council Entry'!AJ$5),10*((IF('Council Entry'!AJ$4="Logarithm",LN(0.001+IF(AND(ISNUMBER('Council Entry'!AJ$8),ISNUMBER('Council Entry'!AJ$9)),MAX(MIN('Council Entry'!AJ156,'Council Entry'!AJ$9),'Council Entry'!AJ$8),'Council Entry'!AJ156)),IF('Council Entry'!AJ$4="Exponential",EXP(IF(AND(ISNUMBER('Council Entry'!AJ$8),ISNUMBER('Council Entry'!AJ$9)),MAX(MIN('Council Entry'!AJ156,'Council Entry'!AJ$9),'Council Entry'!AJ$8),'Council Entry'!AJ156)),IF(AND(ISNUMBER('Council Entry'!AJ$8),ISNUMBER('Council Entry'!AJ$9)),MAX(MIN('Council Entry'!AJ156,'Council Entry'!AJ$9),'Council Entry'!AJ$8),'Council Entry'!AJ156))))-'Council Entry'!AJ$5)/('Council Entry'!AJ$6-'Council Entry'!AJ$5)),1))),"No data"))</f>
        <v/>
      </c>
      <c r="AK156" s="13">
        <f>IF('Council Entry'!AK156="","",IFERROR(MAX(0,MIN(10,ROUND(IF('Council Entry'!AK$7="Decrease Risk",10-10*((IF('Council Entry'!AK$4="Logarithm",LN(0.001+IF(AND(ISNUMBER('Council Entry'!AK$8),ISNUMBER('Council Entry'!AK$9)),MAX(MIN('Council Entry'!AK156,'Council Entry'!AK$9),'Council Entry'!AK$8),'Council Entry'!AK156)),IF('Council Entry'!AK$4="Exponential",EXP(IF(AND(ISNUMBER('Council Entry'!AK$8),ISNUMBER('Council Entry'!AK$9)),MAX(MIN('Council Entry'!AK156,'Council Entry'!AK$9),'Council Entry'!AK$8),'Council Entry'!AK156)),IF(AND(ISNUMBER('Council Entry'!AK$8),ISNUMBER('Council Entry'!AK$9)),MAX(MIN('Council Entry'!AK156,'Council Entry'!AK$9),'Council Entry'!AK$8),'Council Entry'!AK156))))-'Council Entry'!AK$5)/('Council Entry'!AK$6-'Council Entry'!AK$5),10*((IF('Council Entry'!AK$4="Logarithm",LN(0.001+IF(AND(ISNUMBER('Council Entry'!AK$8),ISNUMBER('Council Entry'!AK$9)),MAX(MIN('Council Entry'!AK156,'Council Entry'!AK$9),'Council Entry'!AK$8),'Council Entry'!AK156)),IF('Council Entry'!AK$4="Exponential",EXP(IF(AND(ISNUMBER('Council Entry'!AK$8),ISNUMBER('Council Entry'!AK$9)),MAX(MIN('Council Entry'!AK156,'Council Entry'!AK$9),'Council Entry'!AK$8),'Council Entry'!AK156)),IF(AND(ISNUMBER('Council Entry'!AK$8),ISNUMBER('Council Entry'!AK$9)),MAX(MIN('Council Entry'!AK156,'Council Entry'!AK$9),'Council Entry'!AK$8),'Council Entry'!AK156))))-'Council Entry'!AK$5)/('Council Entry'!AK$6-'Council Entry'!AK$5)),1))),"No data"))</f>
        <v/>
      </c>
      <c r="AL156" s="13">
        <f>IF('Council Entry'!AL156="","",IFERROR(MAX(0,MIN(10,ROUND(IF('Council Entry'!AL$7="Decrease Risk",10-10*((IF('Council Entry'!AL$4="Logarithm",LN(0.001+IF(AND(ISNUMBER('Council Entry'!AL$8),ISNUMBER('Council Entry'!AL$9)),MAX(MIN('Council Entry'!AL156,'Council Entry'!AL$9),'Council Entry'!AL$8),'Council Entry'!AL156)),IF('Council Entry'!AL$4="Exponential",EXP(IF(AND(ISNUMBER('Council Entry'!AL$8),ISNUMBER('Council Entry'!AL$9)),MAX(MIN('Council Entry'!AL156,'Council Entry'!AL$9),'Council Entry'!AL$8),'Council Entry'!AL156)),IF(AND(ISNUMBER('Council Entry'!AL$8),ISNUMBER('Council Entry'!AL$9)),MAX(MIN('Council Entry'!AL156,'Council Entry'!AL$9),'Council Entry'!AL$8),'Council Entry'!AL156))))-'Council Entry'!AL$5)/('Council Entry'!AL$6-'Council Entry'!AL$5),10*((IF('Council Entry'!AL$4="Logarithm",LN(0.001+IF(AND(ISNUMBER('Council Entry'!AL$8),ISNUMBER('Council Entry'!AL$9)),MAX(MIN('Council Entry'!AL156,'Council Entry'!AL$9),'Council Entry'!AL$8),'Council Entry'!AL156)),IF('Council Entry'!AL$4="Exponential",EXP(IF(AND(ISNUMBER('Council Entry'!AL$8),ISNUMBER('Council Entry'!AL$9)),MAX(MIN('Council Entry'!AL156,'Council Entry'!AL$9),'Council Entry'!AL$8),'Council Entry'!AL156)),IF(AND(ISNUMBER('Council Entry'!AL$8),ISNUMBER('Council Entry'!AL$9)),MAX(MIN('Council Entry'!AL156,'Council Entry'!AL$9),'Council Entry'!AL$8),'Council Entry'!AL156))))-'Council Entry'!AL$5)/('Council Entry'!AL$6-'Council Entry'!AL$5)),1))),"No data"))</f>
        <v/>
      </c>
      <c r="AM156" s="13">
        <f>IF('Council Entry'!AM156="","",IFERROR(MAX(0,MIN(10,ROUND(IF('Council Entry'!AM$7="Decrease Risk",10-10*((IF('Council Entry'!AM$4="Logarithm",LN(0.001+IF(AND(ISNUMBER('Council Entry'!AM$8),ISNUMBER('Council Entry'!AM$9)),MAX(MIN('Council Entry'!AM156,'Council Entry'!AM$9),'Council Entry'!AM$8),'Council Entry'!AM156)),IF('Council Entry'!AM$4="Exponential",EXP(IF(AND(ISNUMBER('Council Entry'!AM$8),ISNUMBER('Council Entry'!AM$9)),MAX(MIN('Council Entry'!AM156,'Council Entry'!AM$9),'Council Entry'!AM$8),'Council Entry'!AM156)),IF(AND(ISNUMBER('Council Entry'!AM$8),ISNUMBER('Council Entry'!AM$9)),MAX(MIN('Council Entry'!AM156,'Council Entry'!AM$9),'Council Entry'!AM$8),'Council Entry'!AM156))))-'Council Entry'!AM$5)/('Council Entry'!AM$6-'Council Entry'!AM$5),10*((IF('Council Entry'!AM$4="Logarithm",LN(0.001+IF(AND(ISNUMBER('Council Entry'!AM$8),ISNUMBER('Council Entry'!AM$9)),MAX(MIN('Council Entry'!AM156,'Council Entry'!AM$9),'Council Entry'!AM$8),'Council Entry'!AM156)),IF('Council Entry'!AM$4="Exponential",EXP(IF(AND(ISNUMBER('Council Entry'!AM$8),ISNUMBER('Council Entry'!AM$9)),MAX(MIN('Council Entry'!AM156,'Council Entry'!AM$9),'Council Entry'!AM$8),'Council Entry'!AM156)),IF(AND(ISNUMBER('Council Entry'!AM$8),ISNUMBER('Council Entry'!AM$9)),MAX(MIN('Council Entry'!AM156,'Council Entry'!AM$9),'Council Entry'!AM$8),'Council Entry'!AM156))))-'Council Entry'!AM$5)/('Council Entry'!AM$6-'Council Entry'!AM$5)),1))),"No data"))</f>
        <v/>
      </c>
      <c r="AN156" s="13">
        <f>IF('Council Entry'!AN156="","",IFERROR(MAX(0,MIN(10,ROUND(IF('Council Entry'!AN$7="Decrease Risk",10-10*((IF('Council Entry'!AN$4="Logarithm",LN(0.001+IF(AND(ISNUMBER('Council Entry'!AN$8),ISNUMBER('Council Entry'!AN$9)),MAX(MIN('Council Entry'!AN156,'Council Entry'!AN$9),'Council Entry'!AN$8),'Council Entry'!AN156)),IF('Council Entry'!AN$4="Exponential",EXP(IF(AND(ISNUMBER('Council Entry'!AN$8),ISNUMBER('Council Entry'!AN$9)),MAX(MIN('Council Entry'!AN156,'Council Entry'!AN$9),'Council Entry'!AN$8),'Council Entry'!AN156)),IF(AND(ISNUMBER('Council Entry'!AN$8),ISNUMBER('Council Entry'!AN$9)),MAX(MIN('Council Entry'!AN156,'Council Entry'!AN$9),'Council Entry'!AN$8),'Council Entry'!AN156))))-'Council Entry'!AN$5)/('Council Entry'!AN$6-'Council Entry'!AN$5),10*((IF('Council Entry'!AN$4="Logarithm",LN(0.001+IF(AND(ISNUMBER('Council Entry'!AN$8),ISNUMBER('Council Entry'!AN$9)),MAX(MIN('Council Entry'!AN156,'Council Entry'!AN$9),'Council Entry'!AN$8),'Council Entry'!AN156)),IF('Council Entry'!AN$4="Exponential",EXP(IF(AND(ISNUMBER('Council Entry'!AN$8),ISNUMBER('Council Entry'!AN$9)),MAX(MIN('Council Entry'!AN156,'Council Entry'!AN$9),'Council Entry'!AN$8),'Council Entry'!AN156)),IF(AND(ISNUMBER('Council Entry'!AN$8),ISNUMBER('Council Entry'!AN$9)),MAX(MIN('Council Entry'!AN156,'Council Entry'!AN$9),'Council Entry'!AN$8),'Council Entry'!AN156))))-'Council Entry'!AN$5)/('Council Entry'!AN$6-'Council Entry'!AN$5)),1))),"No data"))</f>
        <v/>
      </c>
      <c r="AO156" s="13">
        <f>IF('Council Entry'!AO156="","",IFERROR(MAX(0,MIN(10,ROUND(IF('Council Entry'!AO$7="Decrease Risk",10-10*((IF('Council Entry'!AO$4="Logarithm",LN(0.001+IF(AND(ISNUMBER('Council Entry'!AO$8),ISNUMBER('Council Entry'!AO$9)),MAX(MIN('Council Entry'!AO156,'Council Entry'!AO$9),'Council Entry'!AO$8),'Council Entry'!AO156)),IF('Council Entry'!AO$4="Exponential",EXP(IF(AND(ISNUMBER('Council Entry'!AO$8),ISNUMBER('Council Entry'!AO$9)),MAX(MIN('Council Entry'!AO156,'Council Entry'!AO$9),'Council Entry'!AO$8),'Council Entry'!AO156)),IF(AND(ISNUMBER('Council Entry'!AO$8),ISNUMBER('Council Entry'!AO$9)),MAX(MIN('Council Entry'!AO156,'Council Entry'!AO$9),'Council Entry'!AO$8),'Council Entry'!AO156))))-'Council Entry'!AO$5)/('Council Entry'!AO$6-'Council Entry'!AO$5),10*((IF('Council Entry'!AO$4="Logarithm",LN(0.001+IF(AND(ISNUMBER('Council Entry'!AO$8),ISNUMBER('Council Entry'!AO$9)),MAX(MIN('Council Entry'!AO156,'Council Entry'!AO$9),'Council Entry'!AO$8),'Council Entry'!AO156)),IF('Council Entry'!AO$4="Exponential",EXP(IF(AND(ISNUMBER('Council Entry'!AO$8),ISNUMBER('Council Entry'!AO$9)),MAX(MIN('Council Entry'!AO156,'Council Entry'!AO$9),'Council Entry'!AO$8),'Council Entry'!AO156)),IF(AND(ISNUMBER('Council Entry'!AO$8),ISNUMBER('Council Entry'!AO$9)),MAX(MIN('Council Entry'!AO156,'Council Entry'!AO$9),'Council Entry'!AO$8),'Council Entry'!AO156))))-'Council Entry'!AO$5)/('Council Entry'!AO$6-'Council Entry'!AO$5)),1))),"No data"))</f>
        <v/>
      </c>
      <c r="AP156" s="13">
        <f>IF('Council Entry'!AP156="","",IFERROR(MAX(0,MIN(10,ROUND(IF('Council Entry'!AP$7="Decrease Risk",10-10*((IF('Council Entry'!AP$4="Logarithm",LN(0.001+IF(AND(ISNUMBER('Council Entry'!AP$8),ISNUMBER('Council Entry'!AP$9)),MAX(MIN('Council Entry'!AP156,'Council Entry'!AP$9),'Council Entry'!AP$8),'Council Entry'!AP156)),IF('Council Entry'!AP$4="Exponential",EXP(IF(AND(ISNUMBER('Council Entry'!AP$8),ISNUMBER('Council Entry'!AP$9)),MAX(MIN('Council Entry'!AP156,'Council Entry'!AP$9),'Council Entry'!AP$8),'Council Entry'!AP156)),IF(AND(ISNUMBER('Council Entry'!AP$8),ISNUMBER('Council Entry'!AP$9)),MAX(MIN('Council Entry'!AP156,'Council Entry'!AP$9),'Council Entry'!AP$8),'Council Entry'!AP156))))-'Council Entry'!AP$5)/('Council Entry'!AP$6-'Council Entry'!AP$5),10*((IF('Council Entry'!AP$4="Logarithm",LN(0.001+IF(AND(ISNUMBER('Council Entry'!AP$8),ISNUMBER('Council Entry'!AP$9)),MAX(MIN('Council Entry'!AP156,'Council Entry'!AP$9),'Council Entry'!AP$8),'Council Entry'!AP156)),IF('Council Entry'!AP$4="Exponential",EXP(IF(AND(ISNUMBER('Council Entry'!AP$8),ISNUMBER('Council Entry'!AP$9)),MAX(MIN('Council Entry'!AP156,'Council Entry'!AP$9),'Council Entry'!AP$8),'Council Entry'!AP156)),IF(AND(ISNUMBER('Council Entry'!AP$8),ISNUMBER('Council Entry'!AP$9)),MAX(MIN('Council Entry'!AP156,'Council Entry'!AP$9),'Council Entry'!AP$8),'Council Entry'!AP156))))-'Council Entry'!AP$5)/('Council Entry'!AP$6-'Council Entry'!AP$5)),1))),"No data"))</f>
        <v/>
      </c>
      <c r="AQ156" s="13">
        <f>IF('Council Entry'!AQ156="","",IFERROR(MAX(0,MIN(10,ROUND(IF('Council Entry'!AQ$7="Decrease Risk",10-10*((IF('Council Entry'!AQ$4="Logarithm",LN(0.001+IF(AND(ISNUMBER('Council Entry'!AQ$8),ISNUMBER('Council Entry'!AQ$9)),MAX(MIN('Council Entry'!AQ156,'Council Entry'!AQ$9),'Council Entry'!AQ$8),'Council Entry'!AQ156)),IF('Council Entry'!AQ$4="Exponential",EXP(IF(AND(ISNUMBER('Council Entry'!AQ$8),ISNUMBER('Council Entry'!AQ$9)),MAX(MIN('Council Entry'!AQ156,'Council Entry'!AQ$9),'Council Entry'!AQ$8),'Council Entry'!AQ156)),IF(AND(ISNUMBER('Council Entry'!AQ$8),ISNUMBER('Council Entry'!AQ$9)),MAX(MIN('Council Entry'!AQ156,'Council Entry'!AQ$9),'Council Entry'!AQ$8),'Council Entry'!AQ156))))-'Council Entry'!AQ$5)/('Council Entry'!AQ$6-'Council Entry'!AQ$5),10*((IF('Council Entry'!AQ$4="Logarithm",LN(0.001+IF(AND(ISNUMBER('Council Entry'!AQ$8),ISNUMBER('Council Entry'!AQ$9)),MAX(MIN('Council Entry'!AQ156,'Council Entry'!AQ$9),'Council Entry'!AQ$8),'Council Entry'!AQ156)),IF('Council Entry'!AQ$4="Exponential",EXP(IF(AND(ISNUMBER('Council Entry'!AQ$8),ISNUMBER('Council Entry'!AQ$9)),MAX(MIN('Council Entry'!AQ156,'Council Entry'!AQ$9),'Council Entry'!AQ$8),'Council Entry'!AQ156)),IF(AND(ISNUMBER('Council Entry'!AQ$8),ISNUMBER('Council Entry'!AQ$9)),MAX(MIN('Council Entry'!AQ156,'Council Entry'!AQ$9),'Council Entry'!AQ$8),'Council Entry'!AQ156))))-'Council Entry'!AQ$5)/('Council Entry'!AQ$6-'Council Entry'!AQ$5)),1))),"No data"))</f>
        <v/>
      </c>
      <c r="AR156" s="13">
        <f>IF('Council Entry'!AR156="","",IFERROR(MAX(0,MIN(10,ROUND(IF('Council Entry'!AR$7="Decrease Risk",10-10*((IF('Council Entry'!AR$4="Logarithm",LN(0.001+IF(AND(ISNUMBER('Council Entry'!AR$8),ISNUMBER('Council Entry'!AR$9)),MAX(MIN('Council Entry'!AR156,'Council Entry'!AR$9),'Council Entry'!AR$8),'Council Entry'!AR156)),IF('Council Entry'!AR$4="Exponential",EXP(IF(AND(ISNUMBER('Council Entry'!AR$8),ISNUMBER('Council Entry'!AR$9)),MAX(MIN('Council Entry'!AR156,'Council Entry'!AR$9),'Council Entry'!AR$8),'Council Entry'!AR156)),IF(AND(ISNUMBER('Council Entry'!AR$8),ISNUMBER('Council Entry'!AR$9)),MAX(MIN('Council Entry'!AR156,'Council Entry'!AR$9),'Council Entry'!AR$8),'Council Entry'!AR156))))-'Council Entry'!AR$5)/('Council Entry'!AR$6-'Council Entry'!AR$5),10*((IF('Council Entry'!AR$4="Logarithm",LN(0.001+IF(AND(ISNUMBER('Council Entry'!AR$8),ISNUMBER('Council Entry'!AR$9)),MAX(MIN('Council Entry'!AR156,'Council Entry'!AR$9),'Council Entry'!AR$8),'Council Entry'!AR156)),IF('Council Entry'!AR$4="Exponential",EXP(IF(AND(ISNUMBER('Council Entry'!AR$8),ISNUMBER('Council Entry'!AR$9)),MAX(MIN('Council Entry'!AR156,'Council Entry'!AR$9),'Council Entry'!AR$8),'Council Entry'!AR156)),IF(AND(ISNUMBER('Council Entry'!AR$8),ISNUMBER('Council Entry'!AR$9)),MAX(MIN('Council Entry'!AR156,'Council Entry'!AR$9),'Council Entry'!AR$8),'Council Entry'!AR156))))-'Council Entry'!AR$5)/('Council Entry'!AR$6-'Council Entry'!AR$5)),1))),"No data"))</f>
        <v/>
      </c>
      <c r="AS156" s="13">
        <f>IF('Council Entry'!AS156="","",IFERROR(MAX(0,MIN(10,ROUND(IF('Council Entry'!AS$7="Decrease Risk",10-10*((IF('Council Entry'!AS$4="Logarithm",LN(0.001+IF(AND(ISNUMBER('Council Entry'!AS$8),ISNUMBER('Council Entry'!AS$9)),MAX(MIN('Council Entry'!AS156,'Council Entry'!AS$9),'Council Entry'!AS$8),'Council Entry'!AS156)),IF('Council Entry'!AS$4="Exponential",EXP(IF(AND(ISNUMBER('Council Entry'!AS$8),ISNUMBER('Council Entry'!AS$9)),MAX(MIN('Council Entry'!AS156,'Council Entry'!AS$9),'Council Entry'!AS$8),'Council Entry'!AS156)),IF(AND(ISNUMBER('Council Entry'!AS$8),ISNUMBER('Council Entry'!AS$9)),MAX(MIN('Council Entry'!AS156,'Council Entry'!AS$9),'Council Entry'!AS$8),'Council Entry'!AS156))))-'Council Entry'!AS$5)/('Council Entry'!AS$6-'Council Entry'!AS$5),10*((IF('Council Entry'!AS$4="Logarithm",LN(0.001+IF(AND(ISNUMBER('Council Entry'!AS$8),ISNUMBER('Council Entry'!AS$9)),MAX(MIN('Council Entry'!AS156,'Council Entry'!AS$9),'Council Entry'!AS$8),'Council Entry'!AS156)),IF('Council Entry'!AS$4="Exponential",EXP(IF(AND(ISNUMBER('Council Entry'!AS$8),ISNUMBER('Council Entry'!AS$9)),MAX(MIN('Council Entry'!AS156,'Council Entry'!AS$9),'Council Entry'!AS$8),'Council Entry'!AS156)),IF(AND(ISNUMBER('Council Entry'!AS$8),ISNUMBER('Council Entry'!AS$9)),MAX(MIN('Council Entry'!AS156,'Council Entry'!AS$9),'Council Entry'!AS$8),'Council Entry'!AS156))))-'Council Entry'!AS$5)/('Council Entry'!AS$6-'Council Entry'!AS$5)),1))),"No data"))</f>
        <v/>
      </c>
      <c r="AT156" s="13">
        <f>IF('Council Entry'!AT156="","",IFERROR(MAX(0,MIN(10,ROUND(IF('Council Entry'!AT$7="Decrease Risk",10-10*((IF('Council Entry'!AT$4="Logarithm",LN(0.001+IF(AND(ISNUMBER('Council Entry'!AT$8),ISNUMBER('Council Entry'!AT$9)),MAX(MIN('Council Entry'!AT156,'Council Entry'!AT$9),'Council Entry'!AT$8),'Council Entry'!AT156)),IF('Council Entry'!AT$4="Exponential",EXP(IF(AND(ISNUMBER('Council Entry'!AT$8),ISNUMBER('Council Entry'!AT$9)),MAX(MIN('Council Entry'!AT156,'Council Entry'!AT$9),'Council Entry'!AT$8),'Council Entry'!AT156)),IF(AND(ISNUMBER('Council Entry'!AT$8),ISNUMBER('Council Entry'!AT$9)),MAX(MIN('Council Entry'!AT156,'Council Entry'!AT$9),'Council Entry'!AT$8),'Council Entry'!AT156))))-'Council Entry'!AT$5)/('Council Entry'!AT$6-'Council Entry'!AT$5),10*((IF('Council Entry'!AT$4="Logarithm",LN(0.001+IF(AND(ISNUMBER('Council Entry'!AT$8),ISNUMBER('Council Entry'!AT$9)),MAX(MIN('Council Entry'!AT156,'Council Entry'!AT$9),'Council Entry'!AT$8),'Council Entry'!AT156)),IF('Council Entry'!AT$4="Exponential",EXP(IF(AND(ISNUMBER('Council Entry'!AT$8),ISNUMBER('Council Entry'!AT$9)),MAX(MIN('Council Entry'!AT156,'Council Entry'!AT$9),'Council Entry'!AT$8),'Council Entry'!AT156)),IF(AND(ISNUMBER('Council Entry'!AT$8),ISNUMBER('Council Entry'!AT$9)),MAX(MIN('Council Entry'!AT156,'Council Entry'!AT$9),'Council Entry'!AT$8),'Council Entry'!AT156))))-'Council Entry'!AT$5)/('Council Entry'!AT$6-'Council Entry'!AT$5)),1))),"No data"))</f>
        <v/>
      </c>
      <c r="AU156" s="13">
        <f>IF('Council Entry'!AU156="","",IFERROR(MAX(0,MIN(10,ROUND(IF('Council Entry'!AU$7="Decrease Risk",10-10*((IF('Council Entry'!AU$4="Logarithm",LN(0.001+IF(AND(ISNUMBER('Council Entry'!AU$8),ISNUMBER('Council Entry'!AU$9)),MAX(MIN('Council Entry'!AU156,'Council Entry'!AU$9),'Council Entry'!AU$8),'Council Entry'!AU156)),IF('Council Entry'!AU$4="Exponential",EXP(IF(AND(ISNUMBER('Council Entry'!AU$8),ISNUMBER('Council Entry'!AU$9)),MAX(MIN('Council Entry'!AU156,'Council Entry'!AU$9),'Council Entry'!AU$8),'Council Entry'!AU156)),IF(AND(ISNUMBER('Council Entry'!AU$8),ISNUMBER('Council Entry'!AU$9)),MAX(MIN('Council Entry'!AU156,'Council Entry'!AU$9),'Council Entry'!AU$8),'Council Entry'!AU156))))-'Council Entry'!AU$5)/('Council Entry'!AU$6-'Council Entry'!AU$5),10*((IF('Council Entry'!AU$4="Logarithm",LN(0.001+IF(AND(ISNUMBER('Council Entry'!AU$8),ISNUMBER('Council Entry'!AU$9)),MAX(MIN('Council Entry'!AU156,'Council Entry'!AU$9),'Council Entry'!AU$8),'Council Entry'!AU156)),IF('Council Entry'!AU$4="Exponential",EXP(IF(AND(ISNUMBER('Council Entry'!AU$8),ISNUMBER('Council Entry'!AU$9)),MAX(MIN('Council Entry'!AU156,'Council Entry'!AU$9),'Council Entry'!AU$8),'Council Entry'!AU156)),IF(AND(ISNUMBER('Council Entry'!AU$8),ISNUMBER('Council Entry'!AU$9)),MAX(MIN('Council Entry'!AU156,'Council Entry'!AU$9),'Council Entry'!AU$8),'Council Entry'!AU156))))-'Council Entry'!AU$5)/('Council Entry'!AU$6-'Council Entry'!AU$5)),1))),"No data"))</f>
        <v/>
      </c>
      <c r="AV156" s="13">
        <f>IF('Council Entry'!AV156="","",IFERROR(MAX(0,MIN(10,ROUND(IF('Council Entry'!AV$7="Decrease Risk",10-10*((IF('Council Entry'!AV$4="Logarithm",LN(0.001+IF(AND(ISNUMBER('Council Entry'!AV$8),ISNUMBER('Council Entry'!AV$9)),MAX(MIN('Council Entry'!AV156,'Council Entry'!AV$9),'Council Entry'!AV$8),'Council Entry'!AV156)),IF('Council Entry'!AV$4="Exponential",EXP(IF(AND(ISNUMBER('Council Entry'!AV$8),ISNUMBER('Council Entry'!AV$9)),MAX(MIN('Council Entry'!AV156,'Council Entry'!AV$9),'Council Entry'!AV$8),'Council Entry'!AV156)),IF(AND(ISNUMBER('Council Entry'!AV$8),ISNUMBER('Council Entry'!AV$9)),MAX(MIN('Council Entry'!AV156,'Council Entry'!AV$9),'Council Entry'!AV$8),'Council Entry'!AV156))))-'Council Entry'!AV$5)/('Council Entry'!AV$6-'Council Entry'!AV$5),10*((IF('Council Entry'!AV$4="Logarithm",LN(0.001+IF(AND(ISNUMBER('Council Entry'!AV$8),ISNUMBER('Council Entry'!AV$9)),MAX(MIN('Council Entry'!AV156,'Council Entry'!AV$9),'Council Entry'!AV$8),'Council Entry'!AV156)),IF('Council Entry'!AV$4="Exponential",EXP(IF(AND(ISNUMBER('Council Entry'!AV$8),ISNUMBER('Council Entry'!AV$9)),MAX(MIN('Council Entry'!AV156,'Council Entry'!AV$9),'Council Entry'!AV$8),'Council Entry'!AV156)),IF(AND(ISNUMBER('Council Entry'!AV$8),ISNUMBER('Council Entry'!AV$9)),MAX(MIN('Council Entry'!AV156,'Council Entry'!AV$9),'Council Entry'!AV$8),'Council Entry'!AV156))))-'Council Entry'!AV$5)/('Council Entry'!AV$6-'Council Entry'!AV$5)),1))),"No data"))</f>
        <v/>
      </c>
      <c r="AW156" s="13">
        <f>IF('Council Entry'!AW156="","",IFERROR(MAX(0,MIN(10,ROUND(IF('Council Entry'!AW$7="Decrease Risk",10-10*((IF('Council Entry'!AW$4="Logarithm",LN(0.001+IF(AND(ISNUMBER('Council Entry'!AW$8),ISNUMBER('Council Entry'!AW$9)),MAX(MIN('Council Entry'!AW156,'Council Entry'!AW$9),'Council Entry'!AW$8),'Council Entry'!AW156)),IF('Council Entry'!AW$4="Exponential",EXP(IF(AND(ISNUMBER('Council Entry'!AW$8),ISNUMBER('Council Entry'!AW$9)),MAX(MIN('Council Entry'!AW156,'Council Entry'!AW$9),'Council Entry'!AW$8),'Council Entry'!AW156)),IF(AND(ISNUMBER('Council Entry'!AW$8),ISNUMBER('Council Entry'!AW$9)),MAX(MIN('Council Entry'!AW156,'Council Entry'!AW$9),'Council Entry'!AW$8),'Council Entry'!AW156))))-'Council Entry'!AW$5)/('Council Entry'!AW$6-'Council Entry'!AW$5),10*((IF('Council Entry'!AW$4="Logarithm",LN(0.001+IF(AND(ISNUMBER('Council Entry'!AW$8),ISNUMBER('Council Entry'!AW$9)),MAX(MIN('Council Entry'!AW156,'Council Entry'!AW$9),'Council Entry'!AW$8),'Council Entry'!AW156)),IF('Council Entry'!AW$4="Exponential",EXP(IF(AND(ISNUMBER('Council Entry'!AW$8),ISNUMBER('Council Entry'!AW$9)),MAX(MIN('Council Entry'!AW156,'Council Entry'!AW$9),'Council Entry'!AW$8),'Council Entry'!AW156)),IF(AND(ISNUMBER('Council Entry'!AW$8),ISNUMBER('Council Entry'!AW$9)),MAX(MIN('Council Entry'!AW156,'Council Entry'!AW$9),'Council Entry'!AW$8),'Council Entry'!AW156))))-'Council Entry'!AW$5)/('Council Entry'!AW$6-'Council Entry'!AW$5)),1))),"No data"))</f>
        <v/>
      </c>
      <c r="AX156" s="13">
        <f>IF('Council Entry'!AX156="","",IFERROR(MAX(0,MIN(10,ROUND(IF('Council Entry'!AX$7="Decrease Risk",10-10*((IF('Council Entry'!AX$4="Logarithm",LN(0.001+IF(AND(ISNUMBER('Council Entry'!AX$8),ISNUMBER('Council Entry'!AX$9)),MAX(MIN('Council Entry'!AX156,'Council Entry'!AX$9),'Council Entry'!AX$8),'Council Entry'!AX156)),IF('Council Entry'!AX$4="Exponential",EXP(IF(AND(ISNUMBER('Council Entry'!AX$8),ISNUMBER('Council Entry'!AX$9)),MAX(MIN('Council Entry'!AX156,'Council Entry'!AX$9),'Council Entry'!AX$8),'Council Entry'!AX156)),IF(AND(ISNUMBER('Council Entry'!AX$8),ISNUMBER('Council Entry'!AX$9)),MAX(MIN('Council Entry'!AX156,'Council Entry'!AX$9),'Council Entry'!AX$8),'Council Entry'!AX156))))-'Council Entry'!AX$5)/('Council Entry'!AX$6-'Council Entry'!AX$5),10*((IF('Council Entry'!AX$4="Logarithm",LN(0.001+IF(AND(ISNUMBER('Council Entry'!AX$8),ISNUMBER('Council Entry'!AX$9)),MAX(MIN('Council Entry'!AX156,'Council Entry'!AX$9),'Council Entry'!AX$8),'Council Entry'!AX156)),IF('Council Entry'!AX$4="Exponential",EXP(IF(AND(ISNUMBER('Council Entry'!AX$8),ISNUMBER('Council Entry'!AX$9)),MAX(MIN('Council Entry'!AX156,'Council Entry'!AX$9),'Council Entry'!AX$8),'Council Entry'!AX156)),IF(AND(ISNUMBER('Council Entry'!AX$8),ISNUMBER('Council Entry'!AX$9)),MAX(MIN('Council Entry'!AX156,'Council Entry'!AX$9),'Council Entry'!AX$8),'Council Entry'!AX156))))-'Council Entry'!AX$5)/('Council Entry'!AX$6-'Council Entry'!AX$5)),1))),"No data"))</f>
        <v/>
      </c>
      <c r="AY156" s="13">
        <f>IF('Council Entry'!AY156="","",IFERROR(MAX(0,MIN(10,ROUND(IF('Council Entry'!AY$7="Decrease Risk",10-10*((IF('Council Entry'!AY$4="Logarithm",LN(0.001+IF(AND(ISNUMBER('Council Entry'!AY$8),ISNUMBER('Council Entry'!AY$9)),MAX(MIN('Council Entry'!AY156,'Council Entry'!AY$9),'Council Entry'!AY$8),'Council Entry'!AY156)),IF('Council Entry'!AY$4="Exponential",EXP(IF(AND(ISNUMBER('Council Entry'!AY$8),ISNUMBER('Council Entry'!AY$9)),MAX(MIN('Council Entry'!AY156,'Council Entry'!AY$9),'Council Entry'!AY$8),'Council Entry'!AY156)),IF(AND(ISNUMBER('Council Entry'!AY$8),ISNUMBER('Council Entry'!AY$9)),MAX(MIN('Council Entry'!AY156,'Council Entry'!AY$9),'Council Entry'!AY$8),'Council Entry'!AY156))))-'Council Entry'!AY$5)/('Council Entry'!AY$6-'Council Entry'!AY$5),10*((IF('Council Entry'!AY$4="Logarithm",LN(0.001+IF(AND(ISNUMBER('Council Entry'!AY$8),ISNUMBER('Council Entry'!AY$9)),MAX(MIN('Council Entry'!AY156,'Council Entry'!AY$9),'Council Entry'!AY$8),'Council Entry'!AY156)),IF('Council Entry'!AY$4="Exponential",EXP(IF(AND(ISNUMBER('Council Entry'!AY$8),ISNUMBER('Council Entry'!AY$9)),MAX(MIN('Council Entry'!AY156,'Council Entry'!AY$9),'Council Entry'!AY$8),'Council Entry'!AY156)),IF(AND(ISNUMBER('Council Entry'!AY$8),ISNUMBER('Council Entry'!AY$9)),MAX(MIN('Council Entry'!AY156,'Council Entry'!AY$9),'Council Entry'!AY$8),'Council Entry'!AY156))))-'Council Entry'!AY$5)/('Council Entry'!AY$6-'Council Entry'!AY$5)),1))),"No data"))</f>
        <v/>
      </c>
      <c r="AZ156" s="13">
        <f>IF('Council Entry'!AZ156="","",IFERROR(MAX(0,MIN(10,ROUND(IF('Council Entry'!AZ$7="Decrease Risk",10-10*((IF('Council Entry'!AZ$4="Logarithm",LN(0.001+IF(AND(ISNUMBER('Council Entry'!AZ$8),ISNUMBER('Council Entry'!AZ$9)),MAX(MIN('Council Entry'!AZ156,'Council Entry'!AZ$9),'Council Entry'!AZ$8),'Council Entry'!AZ156)),IF('Council Entry'!AZ$4="Exponential",EXP(IF(AND(ISNUMBER('Council Entry'!AZ$8),ISNUMBER('Council Entry'!AZ$9)),MAX(MIN('Council Entry'!AZ156,'Council Entry'!AZ$9),'Council Entry'!AZ$8),'Council Entry'!AZ156)),IF(AND(ISNUMBER('Council Entry'!AZ$8),ISNUMBER('Council Entry'!AZ$9)),MAX(MIN('Council Entry'!AZ156,'Council Entry'!AZ$9),'Council Entry'!AZ$8),'Council Entry'!AZ156))))-'Council Entry'!AZ$5)/('Council Entry'!AZ$6-'Council Entry'!AZ$5),10*((IF('Council Entry'!AZ$4="Logarithm",LN(0.001+IF(AND(ISNUMBER('Council Entry'!AZ$8),ISNUMBER('Council Entry'!AZ$9)),MAX(MIN('Council Entry'!AZ156,'Council Entry'!AZ$9),'Council Entry'!AZ$8),'Council Entry'!AZ156)),IF('Council Entry'!AZ$4="Exponential",EXP(IF(AND(ISNUMBER('Council Entry'!AZ$8),ISNUMBER('Council Entry'!AZ$9)),MAX(MIN('Council Entry'!AZ156,'Council Entry'!AZ$9),'Council Entry'!AZ$8),'Council Entry'!AZ156)),IF(AND(ISNUMBER('Council Entry'!AZ$8),ISNUMBER('Council Entry'!AZ$9)),MAX(MIN('Council Entry'!AZ156,'Council Entry'!AZ$9),'Council Entry'!AZ$8),'Council Entry'!AZ156))))-'Council Entry'!AZ$5)/('Council Entry'!AZ$6-'Council Entry'!AZ$5)),1))),"No data"))</f>
        <v/>
      </c>
      <c r="BA156" s="13">
        <f>IF('Council Entry'!BA156="","",IFERROR(MAX(0,MIN(10,ROUND(IF('Council Entry'!BA$7="Decrease Risk",10-10*((IF('Council Entry'!BA$4="Logarithm",LN(0.001+IF(AND(ISNUMBER('Council Entry'!BA$8),ISNUMBER('Council Entry'!BA$9)),MAX(MIN('Council Entry'!BA156,'Council Entry'!BA$9),'Council Entry'!BA$8),'Council Entry'!BA156)),IF('Council Entry'!BA$4="Exponential",EXP(IF(AND(ISNUMBER('Council Entry'!BA$8),ISNUMBER('Council Entry'!BA$9)),MAX(MIN('Council Entry'!BA156,'Council Entry'!BA$9),'Council Entry'!BA$8),'Council Entry'!BA156)),IF(AND(ISNUMBER('Council Entry'!BA$8),ISNUMBER('Council Entry'!BA$9)),MAX(MIN('Council Entry'!BA156,'Council Entry'!BA$9),'Council Entry'!BA$8),'Council Entry'!BA156))))-'Council Entry'!BA$5)/('Council Entry'!BA$6-'Council Entry'!BA$5),10*((IF('Council Entry'!BA$4="Logarithm",LN(0.001+IF(AND(ISNUMBER('Council Entry'!BA$8),ISNUMBER('Council Entry'!BA$9)),MAX(MIN('Council Entry'!BA156,'Council Entry'!BA$9),'Council Entry'!BA$8),'Council Entry'!BA156)),IF('Council Entry'!BA$4="Exponential",EXP(IF(AND(ISNUMBER('Council Entry'!BA$8),ISNUMBER('Council Entry'!BA$9)),MAX(MIN('Council Entry'!BA156,'Council Entry'!BA$9),'Council Entry'!BA$8),'Council Entry'!BA156)),IF(AND(ISNUMBER('Council Entry'!BA$8),ISNUMBER('Council Entry'!BA$9)),MAX(MIN('Council Entry'!BA156,'Council Entry'!BA$9),'Council Entry'!BA$8),'Council Entry'!BA156))))-'Council Entry'!BA$5)/('Council Entry'!BA$6-'Council Entry'!BA$5)),1))),"No data"))</f>
        <v/>
      </c>
      <c r="BB156" s="13">
        <f>IF('Council Entry'!BB156="","",IFERROR(MAX(0,MIN(10,ROUND(IF('Council Entry'!BB$7="Decrease Risk",10-10*((IF('Council Entry'!BB$4="Logarithm",LN(0.001+IF(AND(ISNUMBER('Council Entry'!BB$8),ISNUMBER('Council Entry'!BB$9)),MAX(MIN('Council Entry'!BB156,'Council Entry'!BB$9),'Council Entry'!BB$8),'Council Entry'!BB156)),IF('Council Entry'!BB$4="Exponential",EXP(IF(AND(ISNUMBER('Council Entry'!BB$8),ISNUMBER('Council Entry'!BB$9)),MAX(MIN('Council Entry'!BB156,'Council Entry'!BB$9),'Council Entry'!BB$8),'Council Entry'!BB156)),IF(AND(ISNUMBER('Council Entry'!BB$8),ISNUMBER('Council Entry'!BB$9)),MAX(MIN('Council Entry'!BB156,'Council Entry'!BB$9),'Council Entry'!BB$8),'Council Entry'!BB156))))-'Council Entry'!BB$5)/('Council Entry'!BB$6-'Council Entry'!BB$5),10*((IF('Council Entry'!BB$4="Logarithm",LN(0.001+IF(AND(ISNUMBER('Council Entry'!BB$8),ISNUMBER('Council Entry'!BB$9)),MAX(MIN('Council Entry'!BB156,'Council Entry'!BB$9),'Council Entry'!BB$8),'Council Entry'!BB156)),IF('Council Entry'!BB$4="Exponential",EXP(IF(AND(ISNUMBER('Council Entry'!BB$8),ISNUMBER('Council Entry'!BB$9)),MAX(MIN('Council Entry'!BB156,'Council Entry'!BB$9),'Council Entry'!BB$8),'Council Entry'!BB156)),IF(AND(ISNUMBER('Council Entry'!BB$8),ISNUMBER('Council Entry'!BB$9)),MAX(MIN('Council Entry'!BB156,'Council Entry'!BB$9),'Council Entry'!BB$8),'Council Entry'!BB156))))-'Council Entry'!BB$5)/('Council Entry'!BB$6-'Council Entry'!BB$5)),1))),"No data"))</f>
        <v/>
      </c>
      <c r="BC156" s="13">
        <f>IF('Council Entry'!BC156="","",IFERROR(MAX(0,MIN(10,ROUND(IF('Council Entry'!BC$7="Decrease Risk",10-10*((IF('Council Entry'!BC$4="Logarithm",LN(0.001+IF(AND(ISNUMBER('Council Entry'!BC$8),ISNUMBER('Council Entry'!BC$9)),MAX(MIN('Council Entry'!BC156,'Council Entry'!BC$9),'Council Entry'!BC$8),'Council Entry'!BC156)),IF('Council Entry'!BC$4="Exponential",EXP(IF(AND(ISNUMBER('Council Entry'!BC$8),ISNUMBER('Council Entry'!BC$9)),MAX(MIN('Council Entry'!BC156,'Council Entry'!BC$9),'Council Entry'!BC$8),'Council Entry'!BC156)),IF(AND(ISNUMBER('Council Entry'!BC$8),ISNUMBER('Council Entry'!BC$9)),MAX(MIN('Council Entry'!BC156,'Council Entry'!BC$9),'Council Entry'!BC$8),'Council Entry'!BC156))))-'Council Entry'!BC$5)/('Council Entry'!BC$6-'Council Entry'!BC$5),10*((IF('Council Entry'!BC$4="Logarithm",LN(0.001+IF(AND(ISNUMBER('Council Entry'!BC$8),ISNUMBER('Council Entry'!BC$9)),MAX(MIN('Council Entry'!BC156,'Council Entry'!BC$9),'Council Entry'!BC$8),'Council Entry'!BC156)),IF('Council Entry'!BC$4="Exponential",EXP(IF(AND(ISNUMBER('Council Entry'!BC$8),ISNUMBER('Council Entry'!BC$9)),MAX(MIN('Council Entry'!BC156,'Council Entry'!BC$9),'Council Entry'!BC$8),'Council Entry'!BC156)),IF(AND(ISNUMBER('Council Entry'!BC$8),ISNUMBER('Council Entry'!BC$9)),MAX(MIN('Council Entry'!BC156,'Council Entry'!BC$9),'Council Entry'!BC$8),'Council Entry'!BC156))))-'Council Entry'!BC$5)/('Council Entry'!BC$6-'Council Entry'!BC$5)),1))),"No data"))</f>
        <v/>
      </c>
      <c r="BD156" s="13">
        <f>IF('Council Entry'!BD156="","",IFERROR(MAX(0,MIN(10,ROUND(IF('Council Entry'!BD$7="Decrease Risk",10-10*((IF('Council Entry'!BD$4="Logarithm",LN(0.001+IF(AND(ISNUMBER('Council Entry'!BD$8),ISNUMBER('Council Entry'!BD$9)),MAX(MIN('Council Entry'!BD156,'Council Entry'!BD$9),'Council Entry'!BD$8),'Council Entry'!BD156)),IF('Council Entry'!BD$4="Exponential",EXP(IF(AND(ISNUMBER('Council Entry'!BD$8),ISNUMBER('Council Entry'!BD$9)),MAX(MIN('Council Entry'!BD156,'Council Entry'!BD$9),'Council Entry'!BD$8),'Council Entry'!BD156)),IF(AND(ISNUMBER('Council Entry'!BD$8),ISNUMBER('Council Entry'!BD$9)),MAX(MIN('Council Entry'!BD156,'Council Entry'!BD$9),'Council Entry'!BD$8),'Council Entry'!BD156))))-'Council Entry'!BD$5)/('Council Entry'!BD$6-'Council Entry'!BD$5),10*((IF('Council Entry'!BD$4="Logarithm",LN(0.001+IF(AND(ISNUMBER('Council Entry'!BD$8),ISNUMBER('Council Entry'!BD$9)),MAX(MIN('Council Entry'!BD156,'Council Entry'!BD$9),'Council Entry'!BD$8),'Council Entry'!BD156)),IF('Council Entry'!BD$4="Exponential",EXP(IF(AND(ISNUMBER('Council Entry'!BD$8),ISNUMBER('Council Entry'!BD$9)),MAX(MIN('Council Entry'!BD156,'Council Entry'!BD$9),'Council Entry'!BD$8),'Council Entry'!BD156)),IF(AND(ISNUMBER('Council Entry'!BD$8),ISNUMBER('Council Entry'!BD$9)),MAX(MIN('Council Entry'!BD156,'Council Entry'!BD$9),'Council Entry'!BD$8),'Council Entry'!BD156))))-'Council Entry'!BD$5)/('Council Entry'!BD$6-'Council Entry'!BD$5)),1))),"No data"))</f>
        <v/>
      </c>
    </row>
    <row r="157">
      <c r="A157" t="inlineStr">
        <is>
          <t>Ruvuma</t>
        </is>
      </c>
      <c r="B157" t="inlineStr">
        <is>
          <t>Mbinga Town</t>
        </is>
      </c>
      <c r="C157" t="inlineStr">
        <is>
          <t>C077</t>
        </is>
      </c>
      <c r="D157" s="13">
        <f>IF('Council Entry'!D157="","",IFERROR(MAX(0,MIN(10,ROUND(IF('Council Entry'!D$7="Decrease Risk",10-10*((IF('Council Entry'!D$4="Logarithm",LN(0.001+IF(AND(ISNUMBER('Council Entry'!D$8),ISNUMBER('Council Entry'!D$9)),MAX(MIN('Council Entry'!D157,'Council Entry'!D$9),'Council Entry'!D$8),'Council Entry'!D157)),IF('Council Entry'!D$4="Exponential",EXP(IF(AND(ISNUMBER('Council Entry'!D$8),ISNUMBER('Council Entry'!D$9)),MAX(MIN('Council Entry'!D157,'Council Entry'!D$9),'Council Entry'!D$8),'Council Entry'!D157)),IF(AND(ISNUMBER('Council Entry'!D$8),ISNUMBER('Council Entry'!D$9)),MAX(MIN('Council Entry'!D157,'Council Entry'!D$9),'Council Entry'!D$8),'Council Entry'!D157))))-'Council Entry'!D$5)/('Council Entry'!D$6-'Council Entry'!D$5),10*((IF('Council Entry'!D$4="Logarithm",LN(0.001+IF(AND(ISNUMBER('Council Entry'!D$8),ISNUMBER('Council Entry'!D$9)),MAX(MIN('Council Entry'!D157,'Council Entry'!D$9),'Council Entry'!D$8),'Council Entry'!D157)),IF('Council Entry'!D$4="Exponential",EXP(IF(AND(ISNUMBER('Council Entry'!D$8),ISNUMBER('Council Entry'!D$9)),MAX(MIN('Council Entry'!D157,'Council Entry'!D$9),'Council Entry'!D$8),'Council Entry'!D157)),IF(AND(ISNUMBER('Council Entry'!D$8),ISNUMBER('Council Entry'!D$9)),MAX(MIN('Council Entry'!D157,'Council Entry'!D$9),'Council Entry'!D$8),'Council Entry'!D157))))-'Council Entry'!D$5)/('Council Entry'!D$6-'Council Entry'!D$5)),1))),"No data"))</f>
        <v/>
      </c>
      <c r="E157" s="13">
        <f>IF('Council Entry'!E157="","",IFERROR(MAX(0,MIN(10,ROUND(IF('Council Entry'!E$7="Decrease Risk",10-10*((IF('Council Entry'!E$4="Logarithm",LN(0.001+IF(AND(ISNUMBER('Council Entry'!E$8),ISNUMBER('Council Entry'!E$9)),MAX(MIN('Council Entry'!E157,'Council Entry'!E$9),'Council Entry'!E$8),'Council Entry'!E157)),IF('Council Entry'!E$4="Exponential",EXP(IF(AND(ISNUMBER('Council Entry'!E$8),ISNUMBER('Council Entry'!E$9)),MAX(MIN('Council Entry'!E157,'Council Entry'!E$9),'Council Entry'!E$8),'Council Entry'!E157)),IF(AND(ISNUMBER('Council Entry'!E$8),ISNUMBER('Council Entry'!E$9)),MAX(MIN('Council Entry'!E157,'Council Entry'!E$9),'Council Entry'!E$8),'Council Entry'!E157))))-'Council Entry'!E$5)/('Council Entry'!E$6-'Council Entry'!E$5),10*((IF('Council Entry'!E$4="Logarithm",LN(0.001+IF(AND(ISNUMBER('Council Entry'!E$8),ISNUMBER('Council Entry'!E$9)),MAX(MIN('Council Entry'!E157,'Council Entry'!E$9),'Council Entry'!E$8),'Council Entry'!E157)),IF('Council Entry'!E$4="Exponential",EXP(IF(AND(ISNUMBER('Council Entry'!E$8),ISNUMBER('Council Entry'!E$9)),MAX(MIN('Council Entry'!E157,'Council Entry'!E$9),'Council Entry'!E$8),'Council Entry'!E157)),IF(AND(ISNUMBER('Council Entry'!E$8),ISNUMBER('Council Entry'!E$9)),MAX(MIN('Council Entry'!E157,'Council Entry'!E$9),'Council Entry'!E$8),'Council Entry'!E157))))-'Council Entry'!E$5)/('Council Entry'!E$6-'Council Entry'!E$5)),1))),"No data"))</f>
        <v/>
      </c>
      <c r="F157" s="13">
        <f>IF('Council Entry'!F157="","",IFERROR(MAX(0,MIN(10,ROUND(IF('Council Entry'!F$7="Decrease Risk",10-10*((IF('Council Entry'!F$4="Logarithm",LN(0.001+IF(AND(ISNUMBER('Council Entry'!F$8),ISNUMBER('Council Entry'!F$9)),MAX(MIN('Council Entry'!F157,'Council Entry'!F$9),'Council Entry'!F$8),'Council Entry'!F157)),IF('Council Entry'!F$4="Exponential",EXP(IF(AND(ISNUMBER('Council Entry'!F$8),ISNUMBER('Council Entry'!F$9)),MAX(MIN('Council Entry'!F157,'Council Entry'!F$9),'Council Entry'!F$8),'Council Entry'!F157)),IF(AND(ISNUMBER('Council Entry'!F$8),ISNUMBER('Council Entry'!F$9)),MAX(MIN('Council Entry'!F157,'Council Entry'!F$9),'Council Entry'!F$8),'Council Entry'!F157))))-'Council Entry'!F$5)/('Council Entry'!F$6-'Council Entry'!F$5),10*((IF('Council Entry'!F$4="Logarithm",LN(0.001+IF(AND(ISNUMBER('Council Entry'!F$8),ISNUMBER('Council Entry'!F$9)),MAX(MIN('Council Entry'!F157,'Council Entry'!F$9),'Council Entry'!F$8),'Council Entry'!F157)),IF('Council Entry'!F$4="Exponential",EXP(IF(AND(ISNUMBER('Council Entry'!F$8),ISNUMBER('Council Entry'!F$9)),MAX(MIN('Council Entry'!F157,'Council Entry'!F$9),'Council Entry'!F$8),'Council Entry'!F157)),IF(AND(ISNUMBER('Council Entry'!F$8),ISNUMBER('Council Entry'!F$9)),MAX(MIN('Council Entry'!F157,'Council Entry'!F$9),'Council Entry'!F$8),'Council Entry'!F157))))-'Council Entry'!F$5)/('Council Entry'!F$6-'Council Entry'!F$5)),1))),"No data"))</f>
        <v/>
      </c>
      <c r="G157" s="13">
        <f>IF('Council Entry'!G157="","",IFERROR(MAX(0,MIN(10,ROUND(IF('Council Entry'!G$7="Decrease Risk",10-10*((IF('Council Entry'!G$4="Logarithm",LN(0.001+IF(AND(ISNUMBER('Council Entry'!G$8),ISNUMBER('Council Entry'!G$9)),MAX(MIN('Council Entry'!G157,'Council Entry'!G$9),'Council Entry'!G$8),'Council Entry'!G157)),IF('Council Entry'!G$4="Exponential",EXP(IF(AND(ISNUMBER('Council Entry'!G$8),ISNUMBER('Council Entry'!G$9)),MAX(MIN('Council Entry'!G157,'Council Entry'!G$9),'Council Entry'!G$8),'Council Entry'!G157)),IF(AND(ISNUMBER('Council Entry'!G$8),ISNUMBER('Council Entry'!G$9)),MAX(MIN('Council Entry'!G157,'Council Entry'!G$9),'Council Entry'!G$8),'Council Entry'!G157))))-'Council Entry'!G$5)/('Council Entry'!G$6-'Council Entry'!G$5),10*((IF('Council Entry'!G$4="Logarithm",LN(0.001+IF(AND(ISNUMBER('Council Entry'!G$8),ISNUMBER('Council Entry'!G$9)),MAX(MIN('Council Entry'!G157,'Council Entry'!G$9),'Council Entry'!G$8),'Council Entry'!G157)),IF('Council Entry'!G$4="Exponential",EXP(IF(AND(ISNUMBER('Council Entry'!G$8),ISNUMBER('Council Entry'!G$9)),MAX(MIN('Council Entry'!G157,'Council Entry'!G$9),'Council Entry'!G$8),'Council Entry'!G157)),IF(AND(ISNUMBER('Council Entry'!G$8),ISNUMBER('Council Entry'!G$9)),MAX(MIN('Council Entry'!G157,'Council Entry'!G$9),'Council Entry'!G$8),'Council Entry'!G157))))-'Council Entry'!G$5)/('Council Entry'!G$6-'Council Entry'!G$5)),1))),"No data"))</f>
        <v/>
      </c>
      <c r="H157" s="13">
        <f>IF('Council Entry'!H157="","",IFERROR(MAX(0,MIN(10,ROUND(IF('Council Entry'!H$7="Decrease Risk",10-10*((IF('Council Entry'!H$4="Logarithm",LN(0.001+IF(AND(ISNUMBER('Council Entry'!H$8),ISNUMBER('Council Entry'!H$9)),MAX(MIN('Council Entry'!H157,'Council Entry'!H$9),'Council Entry'!H$8),'Council Entry'!H157)),IF('Council Entry'!H$4="Exponential",EXP(IF(AND(ISNUMBER('Council Entry'!H$8),ISNUMBER('Council Entry'!H$9)),MAX(MIN('Council Entry'!H157,'Council Entry'!H$9),'Council Entry'!H$8),'Council Entry'!H157)),IF(AND(ISNUMBER('Council Entry'!H$8),ISNUMBER('Council Entry'!H$9)),MAX(MIN('Council Entry'!H157,'Council Entry'!H$9),'Council Entry'!H$8),'Council Entry'!H157))))-'Council Entry'!H$5)/('Council Entry'!H$6-'Council Entry'!H$5),10*((IF('Council Entry'!H$4="Logarithm",LN(0.001+IF(AND(ISNUMBER('Council Entry'!H$8),ISNUMBER('Council Entry'!H$9)),MAX(MIN('Council Entry'!H157,'Council Entry'!H$9),'Council Entry'!H$8),'Council Entry'!H157)),IF('Council Entry'!H$4="Exponential",EXP(IF(AND(ISNUMBER('Council Entry'!H$8),ISNUMBER('Council Entry'!H$9)),MAX(MIN('Council Entry'!H157,'Council Entry'!H$9),'Council Entry'!H$8),'Council Entry'!H157)),IF(AND(ISNUMBER('Council Entry'!H$8),ISNUMBER('Council Entry'!H$9)),MAX(MIN('Council Entry'!H157,'Council Entry'!H$9),'Council Entry'!H$8),'Council Entry'!H157))))-'Council Entry'!H$5)/('Council Entry'!H$6-'Council Entry'!H$5)),1))),"No data"))</f>
        <v/>
      </c>
      <c r="I157" s="13">
        <f>IF('Council Entry'!I157="","",IFERROR(MAX(0,MIN(10,ROUND(IF('Council Entry'!I$7="Decrease Risk",10-10*((IF('Council Entry'!I$4="Logarithm",LN(0.001+IF(AND(ISNUMBER('Council Entry'!I$8),ISNUMBER('Council Entry'!I$9)),MAX(MIN('Council Entry'!I157,'Council Entry'!I$9),'Council Entry'!I$8),'Council Entry'!I157)),IF('Council Entry'!I$4="Exponential",EXP(IF(AND(ISNUMBER('Council Entry'!I$8),ISNUMBER('Council Entry'!I$9)),MAX(MIN('Council Entry'!I157,'Council Entry'!I$9),'Council Entry'!I$8),'Council Entry'!I157)),IF(AND(ISNUMBER('Council Entry'!I$8),ISNUMBER('Council Entry'!I$9)),MAX(MIN('Council Entry'!I157,'Council Entry'!I$9),'Council Entry'!I$8),'Council Entry'!I157))))-'Council Entry'!I$5)/('Council Entry'!I$6-'Council Entry'!I$5),10*((IF('Council Entry'!I$4="Logarithm",LN(0.001+IF(AND(ISNUMBER('Council Entry'!I$8),ISNUMBER('Council Entry'!I$9)),MAX(MIN('Council Entry'!I157,'Council Entry'!I$9),'Council Entry'!I$8),'Council Entry'!I157)),IF('Council Entry'!I$4="Exponential",EXP(IF(AND(ISNUMBER('Council Entry'!I$8),ISNUMBER('Council Entry'!I$9)),MAX(MIN('Council Entry'!I157,'Council Entry'!I$9),'Council Entry'!I$8),'Council Entry'!I157)),IF(AND(ISNUMBER('Council Entry'!I$8),ISNUMBER('Council Entry'!I$9)),MAX(MIN('Council Entry'!I157,'Council Entry'!I$9),'Council Entry'!I$8),'Council Entry'!I157))))-'Council Entry'!I$5)/('Council Entry'!I$6-'Council Entry'!I$5)),1))),"No data"))</f>
        <v/>
      </c>
      <c r="J157" s="13">
        <f>IF('Council Entry'!J157="","",IFERROR(MAX(0,MIN(10,ROUND(IF('Council Entry'!J$7="Decrease Risk",10-10*((IF('Council Entry'!J$4="Logarithm",LN(0.001+IF(AND(ISNUMBER('Council Entry'!J$8),ISNUMBER('Council Entry'!J$9)),MAX(MIN('Council Entry'!J157,'Council Entry'!J$9),'Council Entry'!J$8),'Council Entry'!J157)),IF('Council Entry'!J$4="Exponential",EXP(IF(AND(ISNUMBER('Council Entry'!J$8),ISNUMBER('Council Entry'!J$9)),MAX(MIN('Council Entry'!J157,'Council Entry'!J$9),'Council Entry'!J$8),'Council Entry'!J157)),IF(AND(ISNUMBER('Council Entry'!J$8),ISNUMBER('Council Entry'!J$9)),MAX(MIN('Council Entry'!J157,'Council Entry'!J$9),'Council Entry'!J$8),'Council Entry'!J157))))-'Council Entry'!J$5)/('Council Entry'!J$6-'Council Entry'!J$5),10*((IF('Council Entry'!J$4="Logarithm",LN(0.001+IF(AND(ISNUMBER('Council Entry'!J$8),ISNUMBER('Council Entry'!J$9)),MAX(MIN('Council Entry'!J157,'Council Entry'!J$9),'Council Entry'!J$8),'Council Entry'!J157)),IF('Council Entry'!J$4="Exponential",EXP(IF(AND(ISNUMBER('Council Entry'!J$8),ISNUMBER('Council Entry'!J$9)),MAX(MIN('Council Entry'!J157,'Council Entry'!J$9),'Council Entry'!J$8),'Council Entry'!J157)),IF(AND(ISNUMBER('Council Entry'!J$8),ISNUMBER('Council Entry'!J$9)),MAX(MIN('Council Entry'!J157,'Council Entry'!J$9),'Council Entry'!J$8),'Council Entry'!J157))))-'Council Entry'!J$5)/('Council Entry'!J$6-'Council Entry'!J$5)),1))),"No data"))</f>
        <v/>
      </c>
      <c r="K157" s="13">
        <f>IF('Council Entry'!K157="","",IFERROR(MAX(0,MIN(10,ROUND(IF('Council Entry'!K$7="Decrease Risk",10-10*((IF('Council Entry'!K$4="Logarithm",LN(0.001+IF(AND(ISNUMBER('Council Entry'!K$8),ISNUMBER('Council Entry'!K$9)),MAX(MIN('Council Entry'!K157,'Council Entry'!K$9),'Council Entry'!K$8),'Council Entry'!K157)),IF('Council Entry'!K$4="Exponential",EXP(IF(AND(ISNUMBER('Council Entry'!K$8),ISNUMBER('Council Entry'!K$9)),MAX(MIN('Council Entry'!K157,'Council Entry'!K$9),'Council Entry'!K$8),'Council Entry'!K157)),IF(AND(ISNUMBER('Council Entry'!K$8),ISNUMBER('Council Entry'!K$9)),MAX(MIN('Council Entry'!K157,'Council Entry'!K$9),'Council Entry'!K$8),'Council Entry'!K157))))-'Council Entry'!K$5)/('Council Entry'!K$6-'Council Entry'!K$5),10*((IF('Council Entry'!K$4="Logarithm",LN(0.001+IF(AND(ISNUMBER('Council Entry'!K$8),ISNUMBER('Council Entry'!K$9)),MAX(MIN('Council Entry'!K157,'Council Entry'!K$9),'Council Entry'!K$8),'Council Entry'!K157)),IF('Council Entry'!K$4="Exponential",EXP(IF(AND(ISNUMBER('Council Entry'!K$8),ISNUMBER('Council Entry'!K$9)),MAX(MIN('Council Entry'!K157,'Council Entry'!K$9),'Council Entry'!K$8),'Council Entry'!K157)),IF(AND(ISNUMBER('Council Entry'!K$8),ISNUMBER('Council Entry'!K$9)),MAX(MIN('Council Entry'!K157,'Council Entry'!K$9),'Council Entry'!K$8),'Council Entry'!K157))))-'Council Entry'!K$5)/('Council Entry'!K$6-'Council Entry'!K$5)),1))),"No data"))</f>
        <v/>
      </c>
      <c r="L157" s="13">
        <f>IF('Council Entry'!L157="","",IFERROR(MAX(0,MIN(10,ROUND(IF('Council Entry'!L$7="Decrease Risk",10-10*((IF('Council Entry'!L$4="Logarithm",LN(0.001+IF(AND(ISNUMBER('Council Entry'!L$8),ISNUMBER('Council Entry'!L$9)),MAX(MIN('Council Entry'!L157,'Council Entry'!L$9),'Council Entry'!L$8),'Council Entry'!L157)),IF('Council Entry'!L$4="Exponential",EXP(IF(AND(ISNUMBER('Council Entry'!L$8),ISNUMBER('Council Entry'!L$9)),MAX(MIN('Council Entry'!L157,'Council Entry'!L$9),'Council Entry'!L$8),'Council Entry'!L157)),IF(AND(ISNUMBER('Council Entry'!L$8),ISNUMBER('Council Entry'!L$9)),MAX(MIN('Council Entry'!L157,'Council Entry'!L$9),'Council Entry'!L$8),'Council Entry'!L157))))-'Council Entry'!L$5)/('Council Entry'!L$6-'Council Entry'!L$5),10*((IF('Council Entry'!L$4="Logarithm",LN(0.001+IF(AND(ISNUMBER('Council Entry'!L$8),ISNUMBER('Council Entry'!L$9)),MAX(MIN('Council Entry'!L157,'Council Entry'!L$9),'Council Entry'!L$8),'Council Entry'!L157)),IF('Council Entry'!L$4="Exponential",EXP(IF(AND(ISNUMBER('Council Entry'!L$8),ISNUMBER('Council Entry'!L$9)),MAX(MIN('Council Entry'!L157,'Council Entry'!L$9),'Council Entry'!L$8),'Council Entry'!L157)),IF(AND(ISNUMBER('Council Entry'!L$8),ISNUMBER('Council Entry'!L$9)),MAX(MIN('Council Entry'!L157,'Council Entry'!L$9),'Council Entry'!L$8),'Council Entry'!L157))))-'Council Entry'!L$5)/('Council Entry'!L$6-'Council Entry'!L$5)),1))),"No data"))</f>
        <v/>
      </c>
      <c r="M157" s="13">
        <f>IF('Council Entry'!M157="","",IFERROR(MAX(0,MIN(10,ROUND(IF('Council Entry'!M$7="Decrease Risk",10-10*((IF('Council Entry'!M$4="Logarithm",LN(0.001+IF(AND(ISNUMBER('Council Entry'!M$8),ISNUMBER('Council Entry'!M$9)),MAX(MIN('Council Entry'!M157,'Council Entry'!M$9),'Council Entry'!M$8),'Council Entry'!M157)),IF('Council Entry'!M$4="Exponential",EXP(IF(AND(ISNUMBER('Council Entry'!M$8),ISNUMBER('Council Entry'!M$9)),MAX(MIN('Council Entry'!M157,'Council Entry'!M$9),'Council Entry'!M$8),'Council Entry'!M157)),IF(AND(ISNUMBER('Council Entry'!M$8),ISNUMBER('Council Entry'!M$9)),MAX(MIN('Council Entry'!M157,'Council Entry'!M$9),'Council Entry'!M$8),'Council Entry'!M157))))-'Council Entry'!M$5)/('Council Entry'!M$6-'Council Entry'!M$5),10*((IF('Council Entry'!M$4="Logarithm",LN(0.001+IF(AND(ISNUMBER('Council Entry'!M$8),ISNUMBER('Council Entry'!M$9)),MAX(MIN('Council Entry'!M157,'Council Entry'!M$9),'Council Entry'!M$8),'Council Entry'!M157)),IF('Council Entry'!M$4="Exponential",EXP(IF(AND(ISNUMBER('Council Entry'!M$8),ISNUMBER('Council Entry'!M$9)),MAX(MIN('Council Entry'!M157,'Council Entry'!M$9),'Council Entry'!M$8),'Council Entry'!M157)),IF(AND(ISNUMBER('Council Entry'!M$8),ISNUMBER('Council Entry'!M$9)),MAX(MIN('Council Entry'!M157,'Council Entry'!M$9),'Council Entry'!M$8),'Council Entry'!M157))))-'Council Entry'!M$5)/('Council Entry'!M$6-'Council Entry'!M$5)),1))),"No data"))</f>
        <v/>
      </c>
      <c r="N157" s="13">
        <f>IF('Council Entry'!N157="","",IFERROR(MAX(0,MIN(10,ROUND(IF('Council Entry'!N$7="Decrease Risk",10-10*((IF('Council Entry'!N$4="Logarithm",LN(0.001+IF(AND(ISNUMBER('Council Entry'!N$8),ISNUMBER('Council Entry'!N$9)),MAX(MIN('Council Entry'!N157,'Council Entry'!N$9),'Council Entry'!N$8),'Council Entry'!N157)),IF('Council Entry'!N$4="Exponential",EXP(IF(AND(ISNUMBER('Council Entry'!N$8),ISNUMBER('Council Entry'!N$9)),MAX(MIN('Council Entry'!N157,'Council Entry'!N$9),'Council Entry'!N$8),'Council Entry'!N157)),IF(AND(ISNUMBER('Council Entry'!N$8),ISNUMBER('Council Entry'!N$9)),MAX(MIN('Council Entry'!N157,'Council Entry'!N$9),'Council Entry'!N$8),'Council Entry'!N157))))-'Council Entry'!N$5)/('Council Entry'!N$6-'Council Entry'!N$5),10*((IF('Council Entry'!N$4="Logarithm",LN(0.001+IF(AND(ISNUMBER('Council Entry'!N$8),ISNUMBER('Council Entry'!N$9)),MAX(MIN('Council Entry'!N157,'Council Entry'!N$9),'Council Entry'!N$8),'Council Entry'!N157)),IF('Council Entry'!N$4="Exponential",EXP(IF(AND(ISNUMBER('Council Entry'!N$8),ISNUMBER('Council Entry'!N$9)),MAX(MIN('Council Entry'!N157,'Council Entry'!N$9),'Council Entry'!N$8),'Council Entry'!N157)),IF(AND(ISNUMBER('Council Entry'!N$8),ISNUMBER('Council Entry'!N$9)),MAX(MIN('Council Entry'!N157,'Council Entry'!N$9),'Council Entry'!N$8),'Council Entry'!N157))))-'Council Entry'!N$5)/('Council Entry'!N$6-'Council Entry'!N$5)),1))),"No data"))</f>
        <v/>
      </c>
      <c r="O157" s="13">
        <f>IF('Council Entry'!O157="","",IFERROR(MAX(0,MIN(10,ROUND(IF('Council Entry'!O$7="Decrease Risk",10-10*((IF('Council Entry'!O$4="Logarithm",LN(0.001+IF(AND(ISNUMBER('Council Entry'!O$8),ISNUMBER('Council Entry'!O$9)),MAX(MIN('Council Entry'!O157,'Council Entry'!O$9),'Council Entry'!O$8),'Council Entry'!O157)),IF('Council Entry'!O$4="Exponential",EXP(IF(AND(ISNUMBER('Council Entry'!O$8),ISNUMBER('Council Entry'!O$9)),MAX(MIN('Council Entry'!O157,'Council Entry'!O$9),'Council Entry'!O$8),'Council Entry'!O157)),IF(AND(ISNUMBER('Council Entry'!O$8),ISNUMBER('Council Entry'!O$9)),MAX(MIN('Council Entry'!O157,'Council Entry'!O$9),'Council Entry'!O$8),'Council Entry'!O157))))-'Council Entry'!O$5)/('Council Entry'!O$6-'Council Entry'!O$5),10*((IF('Council Entry'!O$4="Logarithm",LN(0.001+IF(AND(ISNUMBER('Council Entry'!O$8),ISNUMBER('Council Entry'!O$9)),MAX(MIN('Council Entry'!O157,'Council Entry'!O$9),'Council Entry'!O$8),'Council Entry'!O157)),IF('Council Entry'!O$4="Exponential",EXP(IF(AND(ISNUMBER('Council Entry'!O$8),ISNUMBER('Council Entry'!O$9)),MAX(MIN('Council Entry'!O157,'Council Entry'!O$9),'Council Entry'!O$8),'Council Entry'!O157)),IF(AND(ISNUMBER('Council Entry'!O$8),ISNUMBER('Council Entry'!O$9)),MAX(MIN('Council Entry'!O157,'Council Entry'!O$9),'Council Entry'!O$8),'Council Entry'!O157))))-'Council Entry'!O$5)/('Council Entry'!O$6-'Council Entry'!O$5)),1))),"No data"))</f>
        <v/>
      </c>
      <c r="P157" s="13">
        <f>IF('Council Entry'!P157="","",IFERROR(MAX(0,MIN(10,ROUND(IF('Council Entry'!P$7="Decrease Risk",10-10*((IF('Council Entry'!P$4="Logarithm",LN(0.001+IF(AND(ISNUMBER('Council Entry'!P$8),ISNUMBER('Council Entry'!P$9)),MAX(MIN('Council Entry'!P157,'Council Entry'!P$9),'Council Entry'!P$8),'Council Entry'!P157)),IF('Council Entry'!P$4="Exponential",EXP(IF(AND(ISNUMBER('Council Entry'!P$8),ISNUMBER('Council Entry'!P$9)),MAX(MIN('Council Entry'!P157,'Council Entry'!P$9),'Council Entry'!P$8),'Council Entry'!P157)),IF(AND(ISNUMBER('Council Entry'!P$8),ISNUMBER('Council Entry'!P$9)),MAX(MIN('Council Entry'!P157,'Council Entry'!P$9),'Council Entry'!P$8),'Council Entry'!P157))))-'Council Entry'!P$5)/('Council Entry'!P$6-'Council Entry'!P$5),10*((IF('Council Entry'!P$4="Logarithm",LN(0.001+IF(AND(ISNUMBER('Council Entry'!P$8),ISNUMBER('Council Entry'!P$9)),MAX(MIN('Council Entry'!P157,'Council Entry'!P$9),'Council Entry'!P$8),'Council Entry'!P157)),IF('Council Entry'!P$4="Exponential",EXP(IF(AND(ISNUMBER('Council Entry'!P$8),ISNUMBER('Council Entry'!P$9)),MAX(MIN('Council Entry'!P157,'Council Entry'!P$9),'Council Entry'!P$8),'Council Entry'!P157)),IF(AND(ISNUMBER('Council Entry'!P$8),ISNUMBER('Council Entry'!P$9)),MAX(MIN('Council Entry'!P157,'Council Entry'!P$9),'Council Entry'!P$8),'Council Entry'!P157))))-'Council Entry'!P$5)/('Council Entry'!P$6-'Council Entry'!P$5)),1))),"No data"))</f>
        <v/>
      </c>
      <c r="Q157" s="13">
        <f>IF('Council Entry'!Q157="","",IFERROR(MAX(0,MIN(10,ROUND(IF('Council Entry'!Q$7="Decrease Risk",10-10*((IF('Council Entry'!Q$4="Logarithm",LN(0.001+IF(AND(ISNUMBER('Council Entry'!Q$8),ISNUMBER('Council Entry'!Q$9)),MAX(MIN('Council Entry'!Q157,'Council Entry'!Q$9),'Council Entry'!Q$8),'Council Entry'!Q157)),IF('Council Entry'!Q$4="Exponential",EXP(IF(AND(ISNUMBER('Council Entry'!Q$8),ISNUMBER('Council Entry'!Q$9)),MAX(MIN('Council Entry'!Q157,'Council Entry'!Q$9),'Council Entry'!Q$8),'Council Entry'!Q157)),IF(AND(ISNUMBER('Council Entry'!Q$8),ISNUMBER('Council Entry'!Q$9)),MAX(MIN('Council Entry'!Q157,'Council Entry'!Q$9),'Council Entry'!Q$8),'Council Entry'!Q157))))-'Council Entry'!Q$5)/('Council Entry'!Q$6-'Council Entry'!Q$5),10*((IF('Council Entry'!Q$4="Logarithm",LN(0.001+IF(AND(ISNUMBER('Council Entry'!Q$8),ISNUMBER('Council Entry'!Q$9)),MAX(MIN('Council Entry'!Q157,'Council Entry'!Q$9),'Council Entry'!Q$8),'Council Entry'!Q157)),IF('Council Entry'!Q$4="Exponential",EXP(IF(AND(ISNUMBER('Council Entry'!Q$8),ISNUMBER('Council Entry'!Q$9)),MAX(MIN('Council Entry'!Q157,'Council Entry'!Q$9),'Council Entry'!Q$8),'Council Entry'!Q157)),IF(AND(ISNUMBER('Council Entry'!Q$8),ISNUMBER('Council Entry'!Q$9)),MAX(MIN('Council Entry'!Q157,'Council Entry'!Q$9),'Council Entry'!Q$8),'Council Entry'!Q157))))-'Council Entry'!Q$5)/('Council Entry'!Q$6-'Council Entry'!Q$5)),1))),"No data"))</f>
        <v/>
      </c>
      <c r="R157" s="13">
        <f>IF('Council Entry'!R157="","",IFERROR(MAX(0,MIN(10,ROUND(IF('Council Entry'!R$7="Decrease Risk",10-10*((IF('Council Entry'!R$4="Logarithm",LN(0.001+IF(AND(ISNUMBER('Council Entry'!R$8),ISNUMBER('Council Entry'!R$9)),MAX(MIN('Council Entry'!R157,'Council Entry'!R$9),'Council Entry'!R$8),'Council Entry'!R157)),IF('Council Entry'!R$4="Exponential",EXP(IF(AND(ISNUMBER('Council Entry'!R$8),ISNUMBER('Council Entry'!R$9)),MAX(MIN('Council Entry'!R157,'Council Entry'!R$9),'Council Entry'!R$8),'Council Entry'!R157)),IF(AND(ISNUMBER('Council Entry'!R$8),ISNUMBER('Council Entry'!R$9)),MAX(MIN('Council Entry'!R157,'Council Entry'!R$9),'Council Entry'!R$8),'Council Entry'!R157))))-'Council Entry'!R$5)/('Council Entry'!R$6-'Council Entry'!R$5),10*((IF('Council Entry'!R$4="Logarithm",LN(0.001+IF(AND(ISNUMBER('Council Entry'!R$8),ISNUMBER('Council Entry'!R$9)),MAX(MIN('Council Entry'!R157,'Council Entry'!R$9),'Council Entry'!R$8),'Council Entry'!R157)),IF('Council Entry'!R$4="Exponential",EXP(IF(AND(ISNUMBER('Council Entry'!R$8),ISNUMBER('Council Entry'!R$9)),MAX(MIN('Council Entry'!R157,'Council Entry'!R$9),'Council Entry'!R$8),'Council Entry'!R157)),IF(AND(ISNUMBER('Council Entry'!R$8),ISNUMBER('Council Entry'!R$9)),MAX(MIN('Council Entry'!R157,'Council Entry'!R$9),'Council Entry'!R$8),'Council Entry'!R157))))-'Council Entry'!R$5)/('Council Entry'!R$6-'Council Entry'!R$5)),1))),"No data"))</f>
        <v/>
      </c>
      <c r="S157" s="13">
        <f>IF('Council Entry'!S157="","",IFERROR(MAX(0,MIN(10,ROUND(IF('Council Entry'!S$7="Decrease Risk",10-10*((IF('Council Entry'!S$4="Logarithm",LN(0.001+IF(AND(ISNUMBER('Council Entry'!S$8),ISNUMBER('Council Entry'!S$9)),MAX(MIN('Council Entry'!S157,'Council Entry'!S$9),'Council Entry'!S$8),'Council Entry'!S157)),IF('Council Entry'!S$4="Exponential",EXP(IF(AND(ISNUMBER('Council Entry'!S$8),ISNUMBER('Council Entry'!S$9)),MAX(MIN('Council Entry'!S157,'Council Entry'!S$9),'Council Entry'!S$8),'Council Entry'!S157)),IF(AND(ISNUMBER('Council Entry'!S$8),ISNUMBER('Council Entry'!S$9)),MAX(MIN('Council Entry'!S157,'Council Entry'!S$9),'Council Entry'!S$8),'Council Entry'!S157))))-'Council Entry'!S$5)/('Council Entry'!S$6-'Council Entry'!S$5),10*((IF('Council Entry'!S$4="Logarithm",LN(0.001+IF(AND(ISNUMBER('Council Entry'!S$8),ISNUMBER('Council Entry'!S$9)),MAX(MIN('Council Entry'!S157,'Council Entry'!S$9),'Council Entry'!S$8),'Council Entry'!S157)),IF('Council Entry'!S$4="Exponential",EXP(IF(AND(ISNUMBER('Council Entry'!S$8),ISNUMBER('Council Entry'!S$9)),MAX(MIN('Council Entry'!S157,'Council Entry'!S$9),'Council Entry'!S$8),'Council Entry'!S157)),IF(AND(ISNUMBER('Council Entry'!S$8),ISNUMBER('Council Entry'!S$9)),MAX(MIN('Council Entry'!S157,'Council Entry'!S$9),'Council Entry'!S$8),'Council Entry'!S157))))-'Council Entry'!S$5)/('Council Entry'!S$6-'Council Entry'!S$5)),1))),"No data"))</f>
        <v/>
      </c>
      <c r="T157" s="13">
        <f>IF('Council Entry'!T157="","",IFERROR(MAX(0,MIN(10,ROUND(IF('Council Entry'!T$7="Decrease Risk",10-10*((IF('Council Entry'!T$4="Logarithm",LN(0.001+IF(AND(ISNUMBER('Council Entry'!T$8),ISNUMBER('Council Entry'!T$9)),MAX(MIN('Council Entry'!T157,'Council Entry'!T$9),'Council Entry'!T$8),'Council Entry'!T157)),IF('Council Entry'!T$4="Exponential",EXP(IF(AND(ISNUMBER('Council Entry'!T$8),ISNUMBER('Council Entry'!T$9)),MAX(MIN('Council Entry'!T157,'Council Entry'!T$9),'Council Entry'!T$8),'Council Entry'!T157)),IF(AND(ISNUMBER('Council Entry'!T$8),ISNUMBER('Council Entry'!T$9)),MAX(MIN('Council Entry'!T157,'Council Entry'!T$9),'Council Entry'!T$8),'Council Entry'!T157))))-'Council Entry'!T$5)/('Council Entry'!T$6-'Council Entry'!T$5),10*((IF('Council Entry'!T$4="Logarithm",LN(0.001+IF(AND(ISNUMBER('Council Entry'!T$8),ISNUMBER('Council Entry'!T$9)),MAX(MIN('Council Entry'!T157,'Council Entry'!T$9),'Council Entry'!T$8),'Council Entry'!T157)),IF('Council Entry'!T$4="Exponential",EXP(IF(AND(ISNUMBER('Council Entry'!T$8),ISNUMBER('Council Entry'!T$9)),MAX(MIN('Council Entry'!T157,'Council Entry'!T$9),'Council Entry'!T$8),'Council Entry'!T157)),IF(AND(ISNUMBER('Council Entry'!T$8),ISNUMBER('Council Entry'!T$9)),MAX(MIN('Council Entry'!T157,'Council Entry'!T$9),'Council Entry'!T$8),'Council Entry'!T157))))-'Council Entry'!T$5)/('Council Entry'!T$6-'Council Entry'!T$5)),1))),"No data"))</f>
        <v/>
      </c>
      <c r="U157" s="13">
        <f>IF('Council Entry'!U157="","",IFERROR(MAX(0,MIN(10,ROUND(IF('Council Entry'!U$7="Decrease Risk",10-10*((IF('Council Entry'!U$4="Logarithm",LN(0.001+IF(AND(ISNUMBER('Council Entry'!U$8),ISNUMBER('Council Entry'!U$9)),MAX(MIN('Council Entry'!U157,'Council Entry'!U$9),'Council Entry'!U$8),'Council Entry'!U157)),IF('Council Entry'!U$4="Exponential",EXP(IF(AND(ISNUMBER('Council Entry'!U$8),ISNUMBER('Council Entry'!U$9)),MAX(MIN('Council Entry'!U157,'Council Entry'!U$9),'Council Entry'!U$8),'Council Entry'!U157)),IF(AND(ISNUMBER('Council Entry'!U$8),ISNUMBER('Council Entry'!U$9)),MAX(MIN('Council Entry'!U157,'Council Entry'!U$9),'Council Entry'!U$8),'Council Entry'!U157))))-'Council Entry'!U$5)/('Council Entry'!U$6-'Council Entry'!U$5),10*((IF('Council Entry'!U$4="Logarithm",LN(0.001+IF(AND(ISNUMBER('Council Entry'!U$8),ISNUMBER('Council Entry'!U$9)),MAX(MIN('Council Entry'!U157,'Council Entry'!U$9),'Council Entry'!U$8),'Council Entry'!U157)),IF('Council Entry'!U$4="Exponential",EXP(IF(AND(ISNUMBER('Council Entry'!U$8),ISNUMBER('Council Entry'!U$9)),MAX(MIN('Council Entry'!U157,'Council Entry'!U$9),'Council Entry'!U$8),'Council Entry'!U157)),IF(AND(ISNUMBER('Council Entry'!U$8),ISNUMBER('Council Entry'!U$9)),MAX(MIN('Council Entry'!U157,'Council Entry'!U$9),'Council Entry'!U$8),'Council Entry'!U157))))-'Council Entry'!U$5)/('Council Entry'!U$6-'Council Entry'!U$5)),1))),"No data"))</f>
        <v/>
      </c>
      <c r="V157" s="13">
        <f>IF('Council Entry'!V157="","",IFERROR(MAX(0,MIN(10,ROUND(IF('Council Entry'!V$7="Decrease Risk",10-10*((IF('Council Entry'!V$4="Logarithm",LN(0.001+IF(AND(ISNUMBER('Council Entry'!V$8),ISNUMBER('Council Entry'!V$9)),MAX(MIN('Council Entry'!V157,'Council Entry'!V$9),'Council Entry'!V$8),'Council Entry'!V157)),IF('Council Entry'!V$4="Exponential",EXP(IF(AND(ISNUMBER('Council Entry'!V$8),ISNUMBER('Council Entry'!V$9)),MAX(MIN('Council Entry'!V157,'Council Entry'!V$9),'Council Entry'!V$8),'Council Entry'!V157)),IF(AND(ISNUMBER('Council Entry'!V$8),ISNUMBER('Council Entry'!V$9)),MAX(MIN('Council Entry'!V157,'Council Entry'!V$9),'Council Entry'!V$8),'Council Entry'!V157))))-'Council Entry'!V$5)/('Council Entry'!V$6-'Council Entry'!V$5),10*((IF('Council Entry'!V$4="Logarithm",LN(0.001+IF(AND(ISNUMBER('Council Entry'!V$8),ISNUMBER('Council Entry'!V$9)),MAX(MIN('Council Entry'!V157,'Council Entry'!V$9),'Council Entry'!V$8),'Council Entry'!V157)),IF('Council Entry'!V$4="Exponential",EXP(IF(AND(ISNUMBER('Council Entry'!V$8),ISNUMBER('Council Entry'!V$9)),MAX(MIN('Council Entry'!V157,'Council Entry'!V$9),'Council Entry'!V$8),'Council Entry'!V157)),IF(AND(ISNUMBER('Council Entry'!V$8),ISNUMBER('Council Entry'!V$9)),MAX(MIN('Council Entry'!V157,'Council Entry'!V$9),'Council Entry'!V$8),'Council Entry'!V157))))-'Council Entry'!V$5)/('Council Entry'!V$6-'Council Entry'!V$5)),1))),"No data"))</f>
        <v/>
      </c>
      <c r="W157" s="13">
        <f>IF('Council Entry'!W157="","",IFERROR(MAX(0,MIN(10,ROUND(IF('Council Entry'!W$7="Decrease Risk",10-10*((IF('Council Entry'!W$4="Logarithm",LN(0.001+IF(AND(ISNUMBER('Council Entry'!W$8),ISNUMBER('Council Entry'!W$9)),MAX(MIN('Council Entry'!W157,'Council Entry'!W$9),'Council Entry'!W$8),'Council Entry'!W157)),IF('Council Entry'!W$4="Exponential",EXP(IF(AND(ISNUMBER('Council Entry'!W$8),ISNUMBER('Council Entry'!W$9)),MAX(MIN('Council Entry'!W157,'Council Entry'!W$9),'Council Entry'!W$8),'Council Entry'!W157)),IF(AND(ISNUMBER('Council Entry'!W$8),ISNUMBER('Council Entry'!W$9)),MAX(MIN('Council Entry'!W157,'Council Entry'!W$9),'Council Entry'!W$8),'Council Entry'!W157))))-'Council Entry'!W$5)/('Council Entry'!W$6-'Council Entry'!W$5),10*((IF('Council Entry'!W$4="Logarithm",LN(0.001+IF(AND(ISNUMBER('Council Entry'!W$8),ISNUMBER('Council Entry'!W$9)),MAX(MIN('Council Entry'!W157,'Council Entry'!W$9),'Council Entry'!W$8),'Council Entry'!W157)),IF('Council Entry'!W$4="Exponential",EXP(IF(AND(ISNUMBER('Council Entry'!W$8),ISNUMBER('Council Entry'!W$9)),MAX(MIN('Council Entry'!W157,'Council Entry'!W$9),'Council Entry'!W$8),'Council Entry'!W157)),IF(AND(ISNUMBER('Council Entry'!W$8),ISNUMBER('Council Entry'!W$9)),MAX(MIN('Council Entry'!W157,'Council Entry'!W$9),'Council Entry'!W$8),'Council Entry'!W157))))-'Council Entry'!W$5)/('Council Entry'!W$6-'Council Entry'!W$5)),1))),"No data"))</f>
        <v/>
      </c>
      <c r="X157" s="13">
        <f>IF('Council Entry'!X157="","",IFERROR(MAX(0,MIN(10,ROUND(IF('Council Entry'!X$7="Decrease Risk",10-10*((IF('Council Entry'!X$4="Logarithm",LN(0.001+IF(AND(ISNUMBER('Council Entry'!X$8),ISNUMBER('Council Entry'!X$9)),MAX(MIN('Council Entry'!X157,'Council Entry'!X$9),'Council Entry'!X$8),'Council Entry'!X157)),IF('Council Entry'!X$4="Exponential",EXP(IF(AND(ISNUMBER('Council Entry'!X$8),ISNUMBER('Council Entry'!X$9)),MAX(MIN('Council Entry'!X157,'Council Entry'!X$9),'Council Entry'!X$8),'Council Entry'!X157)),IF(AND(ISNUMBER('Council Entry'!X$8),ISNUMBER('Council Entry'!X$9)),MAX(MIN('Council Entry'!X157,'Council Entry'!X$9),'Council Entry'!X$8),'Council Entry'!X157))))-'Council Entry'!X$5)/('Council Entry'!X$6-'Council Entry'!X$5),10*((IF('Council Entry'!X$4="Logarithm",LN(0.001+IF(AND(ISNUMBER('Council Entry'!X$8),ISNUMBER('Council Entry'!X$9)),MAX(MIN('Council Entry'!X157,'Council Entry'!X$9),'Council Entry'!X$8),'Council Entry'!X157)),IF('Council Entry'!X$4="Exponential",EXP(IF(AND(ISNUMBER('Council Entry'!X$8),ISNUMBER('Council Entry'!X$9)),MAX(MIN('Council Entry'!X157,'Council Entry'!X$9),'Council Entry'!X$8),'Council Entry'!X157)),IF(AND(ISNUMBER('Council Entry'!X$8),ISNUMBER('Council Entry'!X$9)),MAX(MIN('Council Entry'!X157,'Council Entry'!X$9),'Council Entry'!X$8),'Council Entry'!X157))))-'Council Entry'!X$5)/('Council Entry'!X$6-'Council Entry'!X$5)),1))),"No data"))</f>
        <v/>
      </c>
      <c r="Y157" s="13">
        <f>IF('Council Entry'!Y157="","",IFERROR(MAX(0,MIN(10,ROUND(IF('Council Entry'!Y$7="Decrease Risk",10-10*((IF('Council Entry'!Y$4="Logarithm",LN(0.001+IF(AND(ISNUMBER('Council Entry'!Y$8),ISNUMBER('Council Entry'!Y$9)),MAX(MIN('Council Entry'!Y157,'Council Entry'!Y$9),'Council Entry'!Y$8),'Council Entry'!Y157)),IF('Council Entry'!Y$4="Exponential",EXP(IF(AND(ISNUMBER('Council Entry'!Y$8),ISNUMBER('Council Entry'!Y$9)),MAX(MIN('Council Entry'!Y157,'Council Entry'!Y$9),'Council Entry'!Y$8),'Council Entry'!Y157)),IF(AND(ISNUMBER('Council Entry'!Y$8),ISNUMBER('Council Entry'!Y$9)),MAX(MIN('Council Entry'!Y157,'Council Entry'!Y$9),'Council Entry'!Y$8),'Council Entry'!Y157))))-'Council Entry'!Y$5)/('Council Entry'!Y$6-'Council Entry'!Y$5),10*((IF('Council Entry'!Y$4="Logarithm",LN(0.001+IF(AND(ISNUMBER('Council Entry'!Y$8),ISNUMBER('Council Entry'!Y$9)),MAX(MIN('Council Entry'!Y157,'Council Entry'!Y$9),'Council Entry'!Y$8),'Council Entry'!Y157)),IF('Council Entry'!Y$4="Exponential",EXP(IF(AND(ISNUMBER('Council Entry'!Y$8),ISNUMBER('Council Entry'!Y$9)),MAX(MIN('Council Entry'!Y157,'Council Entry'!Y$9),'Council Entry'!Y$8),'Council Entry'!Y157)),IF(AND(ISNUMBER('Council Entry'!Y$8),ISNUMBER('Council Entry'!Y$9)),MAX(MIN('Council Entry'!Y157,'Council Entry'!Y$9),'Council Entry'!Y$8),'Council Entry'!Y157))))-'Council Entry'!Y$5)/('Council Entry'!Y$6-'Council Entry'!Y$5)),1))),"No data"))</f>
        <v/>
      </c>
      <c r="Z157" s="13">
        <f>IF('Council Entry'!Z157="","",IFERROR(MAX(0,MIN(10,ROUND(IF('Council Entry'!Z$7="Decrease Risk",10-10*((IF('Council Entry'!Z$4="Logarithm",LN(0.001+IF(AND(ISNUMBER('Council Entry'!Z$8),ISNUMBER('Council Entry'!Z$9)),MAX(MIN('Council Entry'!Z157,'Council Entry'!Z$9),'Council Entry'!Z$8),'Council Entry'!Z157)),IF('Council Entry'!Z$4="Exponential",EXP(IF(AND(ISNUMBER('Council Entry'!Z$8),ISNUMBER('Council Entry'!Z$9)),MAX(MIN('Council Entry'!Z157,'Council Entry'!Z$9),'Council Entry'!Z$8),'Council Entry'!Z157)),IF(AND(ISNUMBER('Council Entry'!Z$8),ISNUMBER('Council Entry'!Z$9)),MAX(MIN('Council Entry'!Z157,'Council Entry'!Z$9),'Council Entry'!Z$8),'Council Entry'!Z157))))-'Council Entry'!Z$5)/('Council Entry'!Z$6-'Council Entry'!Z$5),10*((IF('Council Entry'!Z$4="Logarithm",LN(0.001+IF(AND(ISNUMBER('Council Entry'!Z$8),ISNUMBER('Council Entry'!Z$9)),MAX(MIN('Council Entry'!Z157,'Council Entry'!Z$9),'Council Entry'!Z$8),'Council Entry'!Z157)),IF('Council Entry'!Z$4="Exponential",EXP(IF(AND(ISNUMBER('Council Entry'!Z$8),ISNUMBER('Council Entry'!Z$9)),MAX(MIN('Council Entry'!Z157,'Council Entry'!Z$9),'Council Entry'!Z$8),'Council Entry'!Z157)),IF(AND(ISNUMBER('Council Entry'!Z$8),ISNUMBER('Council Entry'!Z$9)),MAX(MIN('Council Entry'!Z157,'Council Entry'!Z$9),'Council Entry'!Z$8),'Council Entry'!Z157))))-'Council Entry'!Z$5)/('Council Entry'!Z$6-'Council Entry'!Z$5)),1))),"No data"))</f>
        <v/>
      </c>
      <c r="AA157" s="13">
        <f>IF('Council Entry'!AA157="","",IFERROR(MAX(0,MIN(10,ROUND(IF('Council Entry'!AA$7="Decrease Risk",10-10*((IF('Council Entry'!AA$4="Logarithm",LN(0.001+IF(AND(ISNUMBER('Council Entry'!AA$8),ISNUMBER('Council Entry'!AA$9)),MAX(MIN('Council Entry'!AA157,'Council Entry'!AA$9),'Council Entry'!AA$8),'Council Entry'!AA157)),IF('Council Entry'!AA$4="Exponential",EXP(IF(AND(ISNUMBER('Council Entry'!AA$8),ISNUMBER('Council Entry'!AA$9)),MAX(MIN('Council Entry'!AA157,'Council Entry'!AA$9),'Council Entry'!AA$8),'Council Entry'!AA157)),IF(AND(ISNUMBER('Council Entry'!AA$8),ISNUMBER('Council Entry'!AA$9)),MAX(MIN('Council Entry'!AA157,'Council Entry'!AA$9),'Council Entry'!AA$8),'Council Entry'!AA157))))-'Council Entry'!AA$5)/('Council Entry'!AA$6-'Council Entry'!AA$5),10*((IF('Council Entry'!AA$4="Logarithm",LN(0.001+IF(AND(ISNUMBER('Council Entry'!AA$8),ISNUMBER('Council Entry'!AA$9)),MAX(MIN('Council Entry'!AA157,'Council Entry'!AA$9),'Council Entry'!AA$8),'Council Entry'!AA157)),IF('Council Entry'!AA$4="Exponential",EXP(IF(AND(ISNUMBER('Council Entry'!AA$8),ISNUMBER('Council Entry'!AA$9)),MAX(MIN('Council Entry'!AA157,'Council Entry'!AA$9),'Council Entry'!AA$8),'Council Entry'!AA157)),IF(AND(ISNUMBER('Council Entry'!AA$8),ISNUMBER('Council Entry'!AA$9)),MAX(MIN('Council Entry'!AA157,'Council Entry'!AA$9),'Council Entry'!AA$8),'Council Entry'!AA157))))-'Council Entry'!AA$5)/('Council Entry'!AA$6-'Council Entry'!AA$5)),1))),"No data"))</f>
        <v/>
      </c>
      <c r="AB157" s="13">
        <f>IF('Council Entry'!AB157="","",IFERROR(MAX(0,MIN(10,ROUND(IF('Council Entry'!AB$7="Decrease Risk",10-10*((IF('Council Entry'!AB$4="Logarithm",LN(0.001+IF(AND(ISNUMBER('Council Entry'!AB$8),ISNUMBER('Council Entry'!AB$9)),MAX(MIN('Council Entry'!AB157,'Council Entry'!AB$9),'Council Entry'!AB$8),'Council Entry'!AB157)),IF('Council Entry'!AB$4="Exponential",EXP(IF(AND(ISNUMBER('Council Entry'!AB$8),ISNUMBER('Council Entry'!AB$9)),MAX(MIN('Council Entry'!AB157,'Council Entry'!AB$9),'Council Entry'!AB$8),'Council Entry'!AB157)),IF(AND(ISNUMBER('Council Entry'!AB$8),ISNUMBER('Council Entry'!AB$9)),MAX(MIN('Council Entry'!AB157,'Council Entry'!AB$9),'Council Entry'!AB$8),'Council Entry'!AB157))))-'Council Entry'!AB$5)/('Council Entry'!AB$6-'Council Entry'!AB$5),10*((IF('Council Entry'!AB$4="Logarithm",LN(0.001+IF(AND(ISNUMBER('Council Entry'!AB$8),ISNUMBER('Council Entry'!AB$9)),MAX(MIN('Council Entry'!AB157,'Council Entry'!AB$9),'Council Entry'!AB$8),'Council Entry'!AB157)),IF('Council Entry'!AB$4="Exponential",EXP(IF(AND(ISNUMBER('Council Entry'!AB$8),ISNUMBER('Council Entry'!AB$9)),MAX(MIN('Council Entry'!AB157,'Council Entry'!AB$9),'Council Entry'!AB$8),'Council Entry'!AB157)),IF(AND(ISNUMBER('Council Entry'!AB$8),ISNUMBER('Council Entry'!AB$9)),MAX(MIN('Council Entry'!AB157,'Council Entry'!AB$9),'Council Entry'!AB$8),'Council Entry'!AB157))))-'Council Entry'!AB$5)/('Council Entry'!AB$6-'Council Entry'!AB$5)),1))),"No data"))</f>
        <v/>
      </c>
      <c r="AC157" s="13">
        <f>IF('Council Entry'!AC157="","",IFERROR(MAX(0,MIN(10,ROUND(IF('Council Entry'!AC$7="Decrease Risk",10-10*((IF('Council Entry'!AC$4="Logarithm",LN(0.001+IF(AND(ISNUMBER('Council Entry'!AC$8),ISNUMBER('Council Entry'!AC$9)),MAX(MIN('Council Entry'!AC157,'Council Entry'!AC$9),'Council Entry'!AC$8),'Council Entry'!AC157)),IF('Council Entry'!AC$4="Exponential",EXP(IF(AND(ISNUMBER('Council Entry'!AC$8),ISNUMBER('Council Entry'!AC$9)),MAX(MIN('Council Entry'!AC157,'Council Entry'!AC$9),'Council Entry'!AC$8),'Council Entry'!AC157)),IF(AND(ISNUMBER('Council Entry'!AC$8),ISNUMBER('Council Entry'!AC$9)),MAX(MIN('Council Entry'!AC157,'Council Entry'!AC$9),'Council Entry'!AC$8),'Council Entry'!AC157))))-'Council Entry'!AC$5)/('Council Entry'!AC$6-'Council Entry'!AC$5),10*((IF('Council Entry'!AC$4="Logarithm",LN(0.001+IF(AND(ISNUMBER('Council Entry'!AC$8),ISNUMBER('Council Entry'!AC$9)),MAX(MIN('Council Entry'!AC157,'Council Entry'!AC$9),'Council Entry'!AC$8),'Council Entry'!AC157)),IF('Council Entry'!AC$4="Exponential",EXP(IF(AND(ISNUMBER('Council Entry'!AC$8),ISNUMBER('Council Entry'!AC$9)),MAX(MIN('Council Entry'!AC157,'Council Entry'!AC$9),'Council Entry'!AC$8),'Council Entry'!AC157)),IF(AND(ISNUMBER('Council Entry'!AC$8),ISNUMBER('Council Entry'!AC$9)),MAX(MIN('Council Entry'!AC157,'Council Entry'!AC$9),'Council Entry'!AC$8),'Council Entry'!AC157))))-'Council Entry'!AC$5)/('Council Entry'!AC$6-'Council Entry'!AC$5)),1))),"No data"))</f>
        <v/>
      </c>
      <c r="AD157" s="13">
        <f>IF('Council Entry'!AD157="","",IFERROR(MAX(0,MIN(10,ROUND(IF('Council Entry'!AD$7="Decrease Risk",10-10*((IF('Council Entry'!AD$4="Logarithm",LN(0.001+IF(AND(ISNUMBER('Council Entry'!AD$8),ISNUMBER('Council Entry'!AD$9)),MAX(MIN('Council Entry'!AD157,'Council Entry'!AD$9),'Council Entry'!AD$8),'Council Entry'!AD157)),IF('Council Entry'!AD$4="Exponential",EXP(IF(AND(ISNUMBER('Council Entry'!AD$8),ISNUMBER('Council Entry'!AD$9)),MAX(MIN('Council Entry'!AD157,'Council Entry'!AD$9),'Council Entry'!AD$8),'Council Entry'!AD157)),IF(AND(ISNUMBER('Council Entry'!AD$8),ISNUMBER('Council Entry'!AD$9)),MAX(MIN('Council Entry'!AD157,'Council Entry'!AD$9),'Council Entry'!AD$8),'Council Entry'!AD157))))-'Council Entry'!AD$5)/('Council Entry'!AD$6-'Council Entry'!AD$5),10*((IF('Council Entry'!AD$4="Logarithm",LN(0.001+IF(AND(ISNUMBER('Council Entry'!AD$8),ISNUMBER('Council Entry'!AD$9)),MAX(MIN('Council Entry'!AD157,'Council Entry'!AD$9),'Council Entry'!AD$8),'Council Entry'!AD157)),IF('Council Entry'!AD$4="Exponential",EXP(IF(AND(ISNUMBER('Council Entry'!AD$8),ISNUMBER('Council Entry'!AD$9)),MAX(MIN('Council Entry'!AD157,'Council Entry'!AD$9),'Council Entry'!AD$8),'Council Entry'!AD157)),IF(AND(ISNUMBER('Council Entry'!AD$8),ISNUMBER('Council Entry'!AD$9)),MAX(MIN('Council Entry'!AD157,'Council Entry'!AD$9),'Council Entry'!AD$8),'Council Entry'!AD157))))-'Council Entry'!AD$5)/('Council Entry'!AD$6-'Council Entry'!AD$5)),1))),"No data"))</f>
        <v/>
      </c>
      <c r="AE157" s="13">
        <f>IF('Council Entry'!AE157="","",IFERROR(MAX(0,MIN(10,ROUND(IF('Council Entry'!AE$7="Decrease Risk",10-10*((IF('Council Entry'!AE$4="Logarithm",LN(0.001+IF(AND(ISNUMBER('Council Entry'!AE$8),ISNUMBER('Council Entry'!AE$9)),MAX(MIN('Council Entry'!AE157,'Council Entry'!AE$9),'Council Entry'!AE$8),'Council Entry'!AE157)),IF('Council Entry'!AE$4="Exponential",EXP(IF(AND(ISNUMBER('Council Entry'!AE$8),ISNUMBER('Council Entry'!AE$9)),MAX(MIN('Council Entry'!AE157,'Council Entry'!AE$9),'Council Entry'!AE$8),'Council Entry'!AE157)),IF(AND(ISNUMBER('Council Entry'!AE$8),ISNUMBER('Council Entry'!AE$9)),MAX(MIN('Council Entry'!AE157,'Council Entry'!AE$9),'Council Entry'!AE$8),'Council Entry'!AE157))))-'Council Entry'!AE$5)/('Council Entry'!AE$6-'Council Entry'!AE$5),10*((IF('Council Entry'!AE$4="Logarithm",LN(0.001+IF(AND(ISNUMBER('Council Entry'!AE$8),ISNUMBER('Council Entry'!AE$9)),MAX(MIN('Council Entry'!AE157,'Council Entry'!AE$9),'Council Entry'!AE$8),'Council Entry'!AE157)),IF('Council Entry'!AE$4="Exponential",EXP(IF(AND(ISNUMBER('Council Entry'!AE$8),ISNUMBER('Council Entry'!AE$9)),MAX(MIN('Council Entry'!AE157,'Council Entry'!AE$9),'Council Entry'!AE$8),'Council Entry'!AE157)),IF(AND(ISNUMBER('Council Entry'!AE$8),ISNUMBER('Council Entry'!AE$9)),MAX(MIN('Council Entry'!AE157,'Council Entry'!AE$9),'Council Entry'!AE$8),'Council Entry'!AE157))))-'Council Entry'!AE$5)/('Council Entry'!AE$6-'Council Entry'!AE$5)),1))),"No data"))</f>
        <v/>
      </c>
      <c r="AF157" s="13">
        <f>IF('Council Entry'!AF157="","",IFERROR(MAX(0,MIN(10,ROUND(IF('Council Entry'!AF$7="Decrease Risk",10-10*((IF('Council Entry'!AF$4="Logarithm",LN(0.001+IF(AND(ISNUMBER('Council Entry'!AF$8),ISNUMBER('Council Entry'!AF$9)),MAX(MIN('Council Entry'!AF157,'Council Entry'!AF$9),'Council Entry'!AF$8),'Council Entry'!AF157)),IF('Council Entry'!AF$4="Exponential",EXP(IF(AND(ISNUMBER('Council Entry'!AF$8),ISNUMBER('Council Entry'!AF$9)),MAX(MIN('Council Entry'!AF157,'Council Entry'!AF$9),'Council Entry'!AF$8),'Council Entry'!AF157)),IF(AND(ISNUMBER('Council Entry'!AF$8),ISNUMBER('Council Entry'!AF$9)),MAX(MIN('Council Entry'!AF157,'Council Entry'!AF$9),'Council Entry'!AF$8),'Council Entry'!AF157))))-'Council Entry'!AF$5)/('Council Entry'!AF$6-'Council Entry'!AF$5),10*((IF('Council Entry'!AF$4="Logarithm",LN(0.001+IF(AND(ISNUMBER('Council Entry'!AF$8),ISNUMBER('Council Entry'!AF$9)),MAX(MIN('Council Entry'!AF157,'Council Entry'!AF$9),'Council Entry'!AF$8),'Council Entry'!AF157)),IF('Council Entry'!AF$4="Exponential",EXP(IF(AND(ISNUMBER('Council Entry'!AF$8),ISNUMBER('Council Entry'!AF$9)),MAX(MIN('Council Entry'!AF157,'Council Entry'!AF$9),'Council Entry'!AF$8),'Council Entry'!AF157)),IF(AND(ISNUMBER('Council Entry'!AF$8),ISNUMBER('Council Entry'!AF$9)),MAX(MIN('Council Entry'!AF157,'Council Entry'!AF$9),'Council Entry'!AF$8),'Council Entry'!AF157))))-'Council Entry'!AF$5)/('Council Entry'!AF$6-'Council Entry'!AF$5)),1))),"No data"))</f>
        <v/>
      </c>
      <c r="AG157" s="13">
        <f>IF('Council Entry'!AG157="","",IFERROR(MAX(0,MIN(10,ROUND(IF('Council Entry'!AG$7="Decrease Risk",10-10*((IF('Council Entry'!AG$4="Logarithm",LN(0.001+IF(AND(ISNUMBER('Council Entry'!AG$8),ISNUMBER('Council Entry'!AG$9)),MAX(MIN('Council Entry'!AG157,'Council Entry'!AG$9),'Council Entry'!AG$8),'Council Entry'!AG157)),IF('Council Entry'!AG$4="Exponential",EXP(IF(AND(ISNUMBER('Council Entry'!AG$8),ISNUMBER('Council Entry'!AG$9)),MAX(MIN('Council Entry'!AG157,'Council Entry'!AG$9),'Council Entry'!AG$8),'Council Entry'!AG157)),IF(AND(ISNUMBER('Council Entry'!AG$8),ISNUMBER('Council Entry'!AG$9)),MAX(MIN('Council Entry'!AG157,'Council Entry'!AG$9),'Council Entry'!AG$8),'Council Entry'!AG157))))-'Council Entry'!AG$5)/('Council Entry'!AG$6-'Council Entry'!AG$5),10*((IF('Council Entry'!AG$4="Logarithm",LN(0.001+IF(AND(ISNUMBER('Council Entry'!AG$8),ISNUMBER('Council Entry'!AG$9)),MAX(MIN('Council Entry'!AG157,'Council Entry'!AG$9),'Council Entry'!AG$8),'Council Entry'!AG157)),IF('Council Entry'!AG$4="Exponential",EXP(IF(AND(ISNUMBER('Council Entry'!AG$8),ISNUMBER('Council Entry'!AG$9)),MAX(MIN('Council Entry'!AG157,'Council Entry'!AG$9),'Council Entry'!AG$8),'Council Entry'!AG157)),IF(AND(ISNUMBER('Council Entry'!AG$8),ISNUMBER('Council Entry'!AG$9)),MAX(MIN('Council Entry'!AG157,'Council Entry'!AG$9),'Council Entry'!AG$8),'Council Entry'!AG157))))-'Council Entry'!AG$5)/('Council Entry'!AG$6-'Council Entry'!AG$5)),1))),"No data"))</f>
        <v/>
      </c>
      <c r="AH157" s="13">
        <f>IF('Council Entry'!AH157="","",IFERROR(MAX(0,MIN(10,ROUND(IF('Council Entry'!AH$7="Decrease Risk",10-10*((IF('Council Entry'!AH$4="Logarithm",LN(0.001+IF(AND(ISNUMBER('Council Entry'!AH$8),ISNUMBER('Council Entry'!AH$9)),MAX(MIN('Council Entry'!AH157,'Council Entry'!AH$9),'Council Entry'!AH$8),'Council Entry'!AH157)),IF('Council Entry'!AH$4="Exponential",EXP(IF(AND(ISNUMBER('Council Entry'!AH$8),ISNUMBER('Council Entry'!AH$9)),MAX(MIN('Council Entry'!AH157,'Council Entry'!AH$9),'Council Entry'!AH$8),'Council Entry'!AH157)),IF(AND(ISNUMBER('Council Entry'!AH$8),ISNUMBER('Council Entry'!AH$9)),MAX(MIN('Council Entry'!AH157,'Council Entry'!AH$9),'Council Entry'!AH$8),'Council Entry'!AH157))))-'Council Entry'!AH$5)/('Council Entry'!AH$6-'Council Entry'!AH$5),10*((IF('Council Entry'!AH$4="Logarithm",LN(0.001+IF(AND(ISNUMBER('Council Entry'!AH$8),ISNUMBER('Council Entry'!AH$9)),MAX(MIN('Council Entry'!AH157,'Council Entry'!AH$9),'Council Entry'!AH$8),'Council Entry'!AH157)),IF('Council Entry'!AH$4="Exponential",EXP(IF(AND(ISNUMBER('Council Entry'!AH$8),ISNUMBER('Council Entry'!AH$9)),MAX(MIN('Council Entry'!AH157,'Council Entry'!AH$9),'Council Entry'!AH$8),'Council Entry'!AH157)),IF(AND(ISNUMBER('Council Entry'!AH$8),ISNUMBER('Council Entry'!AH$9)),MAX(MIN('Council Entry'!AH157,'Council Entry'!AH$9),'Council Entry'!AH$8),'Council Entry'!AH157))))-'Council Entry'!AH$5)/('Council Entry'!AH$6-'Council Entry'!AH$5)),1))),"No data"))</f>
        <v/>
      </c>
      <c r="AI157" s="13">
        <f>IF('Council Entry'!AI157="","",IFERROR(MAX(0,MIN(10,ROUND(IF('Council Entry'!AI$7="Decrease Risk",10-10*((IF('Council Entry'!AI$4="Logarithm",LN(0.001+IF(AND(ISNUMBER('Council Entry'!AI$8),ISNUMBER('Council Entry'!AI$9)),MAX(MIN('Council Entry'!AI157,'Council Entry'!AI$9),'Council Entry'!AI$8),'Council Entry'!AI157)),IF('Council Entry'!AI$4="Exponential",EXP(IF(AND(ISNUMBER('Council Entry'!AI$8),ISNUMBER('Council Entry'!AI$9)),MAX(MIN('Council Entry'!AI157,'Council Entry'!AI$9),'Council Entry'!AI$8),'Council Entry'!AI157)),IF(AND(ISNUMBER('Council Entry'!AI$8),ISNUMBER('Council Entry'!AI$9)),MAX(MIN('Council Entry'!AI157,'Council Entry'!AI$9),'Council Entry'!AI$8),'Council Entry'!AI157))))-'Council Entry'!AI$5)/('Council Entry'!AI$6-'Council Entry'!AI$5),10*((IF('Council Entry'!AI$4="Logarithm",LN(0.001+IF(AND(ISNUMBER('Council Entry'!AI$8),ISNUMBER('Council Entry'!AI$9)),MAX(MIN('Council Entry'!AI157,'Council Entry'!AI$9),'Council Entry'!AI$8),'Council Entry'!AI157)),IF('Council Entry'!AI$4="Exponential",EXP(IF(AND(ISNUMBER('Council Entry'!AI$8),ISNUMBER('Council Entry'!AI$9)),MAX(MIN('Council Entry'!AI157,'Council Entry'!AI$9),'Council Entry'!AI$8),'Council Entry'!AI157)),IF(AND(ISNUMBER('Council Entry'!AI$8),ISNUMBER('Council Entry'!AI$9)),MAX(MIN('Council Entry'!AI157,'Council Entry'!AI$9),'Council Entry'!AI$8),'Council Entry'!AI157))))-'Council Entry'!AI$5)/('Council Entry'!AI$6-'Council Entry'!AI$5)),1))),"No data"))</f>
        <v/>
      </c>
      <c r="AJ157" s="13">
        <f>IF('Council Entry'!AJ157="","",IFERROR(MAX(0,MIN(10,ROUND(IF('Council Entry'!AJ$7="Decrease Risk",10-10*((IF('Council Entry'!AJ$4="Logarithm",LN(0.001+IF(AND(ISNUMBER('Council Entry'!AJ$8),ISNUMBER('Council Entry'!AJ$9)),MAX(MIN('Council Entry'!AJ157,'Council Entry'!AJ$9),'Council Entry'!AJ$8),'Council Entry'!AJ157)),IF('Council Entry'!AJ$4="Exponential",EXP(IF(AND(ISNUMBER('Council Entry'!AJ$8),ISNUMBER('Council Entry'!AJ$9)),MAX(MIN('Council Entry'!AJ157,'Council Entry'!AJ$9),'Council Entry'!AJ$8),'Council Entry'!AJ157)),IF(AND(ISNUMBER('Council Entry'!AJ$8),ISNUMBER('Council Entry'!AJ$9)),MAX(MIN('Council Entry'!AJ157,'Council Entry'!AJ$9),'Council Entry'!AJ$8),'Council Entry'!AJ157))))-'Council Entry'!AJ$5)/('Council Entry'!AJ$6-'Council Entry'!AJ$5),10*((IF('Council Entry'!AJ$4="Logarithm",LN(0.001+IF(AND(ISNUMBER('Council Entry'!AJ$8),ISNUMBER('Council Entry'!AJ$9)),MAX(MIN('Council Entry'!AJ157,'Council Entry'!AJ$9),'Council Entry'!AJ$8),'Council Entry'!AJ157)),IF('Council Entry'!AJ$4="Exponential",EXP(IF(AND(ISNUMBER('Council Entry'!AJ$8),ISNUMBER('Council Entry'!AJ$9)),MAX(MIN('Council Entry'!AJ157,'Council Entry'!AJ$9),'Council Entry'!AJ$8),'Council Entry'!AJ157)),IF(AND(ISNUMBER('Council Entry'!AJ$8),ISNUMBER('Council Entry'!AJ$9)),MAX(MIN('Council Entry'!AJ157,'Council Entry'!AJ$9),'Council Entry'!AJ$8),'Council Entry'!AJ157))))-'Council Entry'!AJ$5)/('Council Entry'!AJ$6-'Council Entry'!AJ$5)),1))),"No data"))</f>
        <v/>
      </c>
      <c r="AK157" s="13">
        <f>IF('Council Entry'!AK157="","",IFERROR(MAX(0,MIN(10,ROUND(IF('Council Entry'!AK$7="Decrease Risk",10-10*((IF('Council Entry'!AK$4="Logarithm",LN(0.001+IF(AND(ISNUMBER('Council Entry'!AK$8),ISNUMBER('Council Entry'!AK$9)),MAX(MIN('Council Entry'!AK157,'Council Entry'!AK$9),'Council Entry'!AK$8),'Council Entry'!AK157)),IF('Council Entry'!AK$4="Exponential",EXP(IF(AND(ISNUMBER('Council Entry'!AK$8),ISNUMBER('Council Entry'!AK$9)),MAX(MIN('Council Entry'!AK157,'Council Entry'!AK$9),'Council Entry'!AK$8),'Council Entry'!AK157)),IF(AND(ISNUMBER('Council Entry'!AK$8),ISNUMBER('Council Entry'!AK$9)),MAX(MIN('Council Entry'!AK157,'Council Entry'!AK$9),'Council Entry'!AK$8),'Council Entry'!AK157))))-'Council Entry'!AK$5)/('Council Entry'!AK$6-'Council Entry'!AK$5),10*((IF('Council Entry'!AK$4="Logarithm",LN(0.001+IF(AND(ISNUMBER('Council Entry'!AK$8),ISNUMBER('Council Entry'!AK$9)),MAX(MIN('Council Entry'!AK157,'Council Entry'!AK$9),'Council Entry'!AK$8),'Council Entry'!AK157)),IF('Council Entry'!AK$4="Exponential",EXP(IF(AND(ISNUMBER('Council Entry'!AK$8),ISNUMBER('Council Entry'!AK$9)),MAX(MIN('Council Entry'!AK157,'Council Entry'!AK$9),'Council Entry'!AK$8),'Council Entry'!AK157)),IF(AND(ISNUMBER('Council Entry'!AK$8),ISNUMBER('Council Entry'!AK$9)),MAX(MIN('Council Entry'!AK157,'Council Entry'!AK$9),'Council Entry'!AK$8),'Council Entry'!AK157))))-'Council Entry'!AK$5)/('Council Entry'!AK$6-'Council Entry'!AK$5)),1))),"No data"))</f>
        <v/>
      </c>
      <c r="AL157" s="13">
        <f>IF('Council Entry'!AL157="","",IFERROR(MAX(0,MIN(10,ROUND(IF('Council Entry'!AL$7="Decrease Risk",10-10*((IF('Council Entry'!AL$4="Logarithm",LN(0.001+IF(AND(ISNUMBER('Council Entry'!AL$8),ISNUMBER('Council Entry'!AL$9)),MAX(MIN('Council Entry'!AL157,'Council Entry'!AL$9),'Council Entry'!AL$8),'Council Entry'!AL157)),IF('Council Entry'!AL$4="Exponential",EXP(IF(AND(ISNUMBER('Council Entry'!AL$8),ISNUMBER('Council Entry'!AL$9)),MAX(MIN('Council Entry'!AL157,'Council Entry'!AL$9),'Council Entry'!AL$8),'Council Entry'!AL157)),IF(AND(ISNUMBER('Council Entry'!AL$8),ISNUMBER('Council Entry'!AL$9)),MAX(MIN('Council Entry'!AL157,'Council Entry'!AL$9),'Council Entry'!AL$8),'Council Entry'!AL157))))-'Council Entry'!AL$5)/('Council Entry'!AL$6-'Council Entry'!AL$5),10*((IF('Council Entry'!AL$4="Logarithm",LN(0.001+IF(AND(ISNUMBER('Council Entry'!AL$8),ISNUMBER('Council Entry'!AL$9)),MAX(MIN('Council Entry'!AL157,'Council Entry'!AL$9),'Council Entry'!AL$8),'Council Entry'!AL157)),IF('Council Entry'!AL$4="Exponential",EXP(IF(AND(ISNUMBER('Council Entry'!AL$8),ISNUMBER('Council Entry'!AL$9)),MAX(MIN('Council Entry'!AL157,'Council Entry'!AL$9),'Council Entry'!AL$8),'Council Entry'!AL157)),IF(AND(ISNUMBER('Council Entry'!AL$8),ISNUMBER('Council Entry'!AL$9)),MAX(MIN('Council Entry'!AL157,'Council Entry'!AL$9),'Council Entry'!AL$8),'Council Entry'!AL157))))-'Council Entry'!AL$5)/('Council Entry'!AL$6-'Council Entry'!AL$5)),1))),"No data"))</f>
        <v/>
      </c>
      <c r="AM157" s="13">
        <f>IF('Council Entry'!AM157="","",IFERROR(MAX(0,MIN(10,ROUND(IF('Council Entry'!AM$7="Decrease Risk",10-10*((IF('Council Entry'!AM$4="Logarithm",LN(0.001+IF(AND(ISNUMBER('Council Entry'!AM$8),ISNUMBER('Council Entry'!AM$9)),MAX(MIN('Council Entry'!AM157,'Council Entry'!AM$9),'Council Entry'!AM$8),'Council Entry'!AM157)),IF('Council Entry'!AM$4="Exponential",EXP(IF(AND(ISNUMBER('Council Entry'!AM$8),ISNUMBER('Council Entry'!AM$9)),MAX(MIN('Council Entry'!AM157,'Council Entry'!AM$9),'Council Entry'!AM$8),'Council Entry'!AM157)),IF(AND(ISNUMBER('Council Entry'!AM$8),ISNUMBER('Council Entry'!AM$9)),MAX(MIN('Council Entry'!AM157,'Council Entry'!AM$9),'Council Entry'!AM$8),'Council Entry'!AM157))))-'Council Entry'!AM$5)/('Council Entry'!AM$6-'Council Entry'!AM$5),10*((IF('Council Entry'!AM$4="Logarithm",LN(0.001+IF(AND(ISNUMBER('Council Entry'!AM$8),ISNUMBER('Council Entry'!AM$9)),MAX(MIN('Council Entry'!AM157,'Council Entry'!AM$9),'Council Entry'!AM$8),'Council Entry'!AM157)),IF('Council Entry'!AM$4="Exponential",EXP(IF(AND(ISNUMBER('Council Entry'!AM$8),ISNUMBER('Council Entry'!AM$9)),MAX(MIN('Council Entry'!AM157,'Council Entry'!AM$9),'Council Entry'!AM$8),'Council Entry'!AM157)),IF(AND(ISNUMBER('Council Entry'!AM$8),ISNUMBER('Council Entry'!AM$9)),MAX(MIN('Council Entry'!AM157,'Council Entry'!AM$9),'Council Entry'!AM$8),'Council Entry'!AM157))))-'Council Entry'!AM$5)/('Council Entry'!AM$6-'Council Entry'!AM$5)),1))),"No data"))</f>
        <v/>
      </c>
      <c r="AN157" s="13">
        <f>IF('Council Entry'!AN157="","",IFERROR(MAX(0,MIN(10,ROUND(IF('Council Entry'!AN$7="Decrease Risk",10-10*((IF('Council Entry'!AN$4="Logarithm",LN(0.001+IF(AND(ISNUMBER('Council Entry'!AN$8),ISNUMBER('Council Entry'!AN$9)),MAX(MIN('Council Entry'!AN157,'Council Entry'!AN$9),'Council Entry'!AN$8),'Council Entry'!AN157)),IF('Council Entry'!AN$4="Exponential",EXP(IF(AND(ISNUMBER('Council Entry'!AN$8),ISNUMBER('Council Entry'!AN$9)),MAX(MIN('Council Entry'!AN157,'Council Entry'!AN$9),'Council Entry'!AN$8),'Council Entry'!AN157)),IF(AND(ISNUMBER('Council Entry'!AN$8),ISNUMBER('Council Entry'!AN$9)),MAX(MIN('Council Entry'!AN157,'Council Entry'!AN$9),'Council Entry'!AN$8),'Council Entry'!AN157))))-'Council Entry'!AN$5)/('Council Entry'!AN$6-'Council Entry'!AN$5),10*((IF('Council Entry'!AN$4="Logarithm",LN(0.001+IF(AND(ISNUMBER('Council Entry'!AN$8),ISNUMBER('Council Entry'!AN$9)),MAX(MIN('Council Entry'!AN157,'Council Entry'!AN$9),'Council Entry'!AN$8),'Council Entry'!AN157)),IF('Council Entry'!AN$4="Exponential",EXP(IF(AND(ISNUMBER('Council Entry'!AN$8),ISNUMBER('Council Entry'!AN$9)),MAX(MIN('Council Entry'!AN157,'Council Entry'!AN$9),'Council Entry'!AN$8),'Council Entry'!AN157)),IF(AND(ISNUMBER('Council Entry'!AN$8),ISNUMBER('Council Entry'!AN$9)),MAX(MIN('Council Entry'!AN157,'Council Entry'!AN$9),'Council Entry'!AN$8),'Council Entry'!AN157))))-'Council Entry'!AN$5)/('Council Entry'!AN$6-'Council Entry'!AN$5)),1))),"No data"))</f>
        <v/>
      </c>
      <c r="AO157" s="13">
        <f>IF('Council Entry'!AO157="","",IFERROR(MAX(0,MIN(10,ROUND(IF('Council Entry'!AO$7="Decrease Risk",10-10*((IF('Council Entry'!AO$4="Logarithm",LN(0.001+IF(AND(ISNUMBER('Council Entry'!AO$8),ISNUMBER('Council Entry'!AO$9)),MAX(MIN('Council Entry'!AO157,'Council Entry'!AO$9),'Council Entry'!AO$8),'Council Entry'!AO157)),IF('Council Entry'!AO$4="Exponential",EXP(IF(AND(ISNUMBER('Council Entry'!AO$8),ISNUMBER('Council Entry'!AO$9)),MAX(MIN('Council Entry'!AO157,'Council Entry'!AO$9),'Council Entry'!AO$8),'Council Entry'!AO157)),IF(AND(ISNUMBER('Council Entry'!AO$8),ISNUMBER('Council Entry'!AO$9)),MAX(MIN('Council Entry'!AO157,'Council Entry'!AO$9),'Council Entry'!AO$8),'Council Entry'!AO157))))-'Council Entry'!AO$5)/('Council Entry'!AO$6-'Council Entry'!AO$5),10*((IF('Council Entry'!AO$4="Logarithm",LN(0.001+IF(AND(ISNUMBER('Council Entry'!AO$8),ISNUMBER('Council Entry'!AO$9)),MAX(MIN('Council Entry'!AO157,'Council Entry'!AO$9),'Council Entry'!AO$8),'Council Entry'!AO157)),IF('Council Entry'!AO$4="Exponential",EXP(IF(AND(ISNUMBER('Council Entry'!AO$8),ISNUMBER('Council Entry'!AO$9)),MAX(MIN('Council Entry'!AO157,'Council Entry'!AO$9),'Council Entry'!AO$8),'Council Entry'!AO157)),IF(AND(ISNUMBER('Council Entry'!AO$8),ISNUMBER('Council Entry'!AO$9)),MAX(MIN('Council Entry'!AO157,'Council Entry'!AO$9),'Council Entry'!AO$8),'Council Entry'!AO157))))-'Council Entry'!AO$5)/('Council Entry'!AO$6-'Council Entry'!AO$5)),1))),"No data"))</f>
        <v/>
      </c>
      <c r="AP157" s="13">
        <f>IF('Council Entry'!AP157="","",IFERROR(MAX(0,MIN(10,ROUND(IF('Council Entry'!AP$7="Decrease Risk",10-10*((IF('Council Entry'!AP$4="Logarithm",LN(0.001+IF(AND(ISNUMBER('Council Entry'!AP$8),ISNUMBER('Council Entry'!AP$9)),MAX(MIN('Council Entry'!AP157,'Council Entry'!AP$9),'Council Entry'!AP$8),'Council Entry'!AP157)),IF('Council Entry'!AP$4="Exponential",EXP(IF(AND(ISNUMBER('Council Entry'!AP$8),ISNUMBER('Council Entry'!AP$9)),MAX(MIN('Council Entry'!AP157,'Council Entry'!AP$9),'Council Entry'!AP$8),'Council Entry'!AP157)),IF(AND(ISNUMBER('Council Entry'!AP$8),ISNUMBER('Council Entry'!AP$9)),MAX(MIN('Council Entry'!AP157,'Council Entry'!AP$9),'Council Entry'!AP$8),'Council Entry'!AP157))))-'Council Entry'!AP$5)/('Council Entry'!AP$6-'Council Entry'!AP$5),10*((IF('Council Entry'!AP$4="Logarithm",LN(0.001+IF(AND(ISNUMBER('Council Entry'!AP$8),ISNUMBER('Council Entry'!AP$9)),MAX(MIN('Council Entry'!AP157,'Council Entry'!AP$9),'Council Entry'!AP$8),'Council Entry'!AP157)),IF('Council Entry'!AP$4="Exponential",EXP(IF(AND(ISNUMBER('Council Entry'!AP$8),ISNUMBER('Council Entry'!AP$9)),MAX(MIN('Council Entry'!AP157,'Council Entry'!AP$9),'Council Entry'!AP$8),'Council Entry'!AP157)),IF(AND(ISNUMBER('Council Entry'!AP$8),ISNUMBER('Council Entry'!AP$9)),MAX(MIN('Council Entry'!AP157,'Council Entry'!AP$9),'Council Entry'!AP$8),'Council Entry'!AP157))))-'Council Entry'!AP$5)/('Council Entry'!AP$6-'Council Entry'!AP$5)),1))),"No data"))</f>
        <v/>
      </c>
      <c r="AQ157" s="13">
        <f>IF('Council Entry'!AQ157="","",IFERROR(MAX(0,MIN(10,ROUND(IF('Council Entry'!AQ$7="Decrease Risk",10-10*((IF('Council Entry'!AQ$4="Logarithm",LN(0.001+IF(AND(ISNUMBER('Council Entry'!AQ$8),ISNUMBER('Council Entry'!AQ$9)),MAX(MIN('Council Entry'!AQ157,'Council Entry'!AQ$9),'Council Entry'!AQ$8),'Council Entry'!AQ157)),IF('Council Entry'!AQ$4="Exponential",EXP(IF(AND(ISNUMBER('Council Entry'!AQ$8),ISNUMBER('Council Entry'!AQ$9)),MAX(MIN('Council Entry'!AQ157,'Council Entry'!AQ$9),'Council Entry'!AQ$8),'Council Entry'!AQ157)),IF(AND(ISNUMBER('Council Entry'!AQ$8),ISNUMBER('Council Entry'!AQ$9)),MAX(MIN('Council Entry'!AQ157,'Council Entry'!AQ$9),'Council Entry'!AQ$8),'Council Entry'!AQ157))))-'Council Entry'!AQ$5)/('Council Entry'!AQ$6-'Council Entry'!AQ$5),10*((IF('Council Entry'!AQ$4="Logarithm",LN(0.001+IF(AND(ISNUMBER('Council Entry'!AQ$8),ISNUMBER('Council Entry'!AQ$9)),MAX(MIN('Council Entry'!AQ157,'Council Entry'!AQ$9),'Council Entry'!AQ$8),'Council Entry'!AQ157)),IF('Council Entry'!AQ$4="Exponential",EXP(IF(AND(ISNUMBER('Council Entry'!AQ$8),ISNUMBER('Council Entry'!AQ$9)),MAX(MIN('Council Entry'!AQ157,'Council Entry'!AQ$9),'Council Entry'!AQ$8),'Council Entry'!AQ157)),IF(AND(ISNUMBER('Council Entry'!AQ$8),ISNUMBER('Council Entry'!AQ$9)),MAX(MIN('Council Entry'!AQ157,'Council Entry'!AQ$9),'Council Entry'!AQ$8),'Council Entry'!AQ157))))-'Council Entry'!AQ$5)/('Council Entry'!AQ$6-'Council Entry'!AQ$5)),1))),"No data"))</f>
        <v/>
      </c>
      <c r="AR157" s="13">
        <f>IF('Council Entry'!AR157="","",IFERROR(MAX(0,MIN(10,ROUND(IF('Council Entry'!AR$7="Decrease Risk",10-10*((IF('Council Entry'!AR$4="Logarithm",LN(0.001+IF(AND(ISNUMBER('Council Entry'!AR$8),ISNUMBER('Council Entry'!AR$9)),MAX(MIN('Council Entry'!AR157,'Council Entry'!AR$9),'Council Entry'!AR$8),'Council Entry'!AR157)),IF('Council Entry'!AR$4="Exponential",EXP(IF(AND(ISNUMBER('Council Entry'!AR$8),ISNUMBER('Council Entry'!AR$9)),MAX(MIN('Council Entry'!AR157,'Council Entry'!AR$9),'Council Entry'!AR$8),'Council Entry'!AR157)),IF(AND(ISNUMBER('Council Entry'!AR$8),ISNUMBER('Council Entry'!AR$9)),MAX(MIN('Council Entry'!AR157,'Council Entry'!AR$9),'Council Entry'!AR$8),'Council Entry'!AR157))))-'Council Entry'!AR$5)/('Council Entry'!AR$6-'Council Entry'!AR$5),10*((IF('Council Entry'!AR$4="Logarithm",LN(0.001+IF(AND(ISNUMBER('Council Entry'!AR$8),ISNUMBER('Council Entry'!AR$9)),MAX(MIN('Council Entry'!AR157,'Council Entry'!AR$9),'Council Entry'!AR$8),'Council Entry'!AR157)),IF('Council Entry'!AR$4="Exponential",EXP(IF(AND(ISNUMBER('Council Entry'!AR$8),ISNUMBER('Council Entry'!AR$9)),MAX(MIN('Council Entry'!AR157,'Council Entry'!AR$9),'Council Entry'!AR$8),'Council Entry'!AR157)),IF(AND(ISNUMBER('Council Entry'!AR$8),ISNUMBER('Council Entry'!AR$9)),MAX(MIN('Council Entry'!AR157,'Council Entry'!AR$9),'Council Entry'!AR$8),'Council Entry'!AR157))))-'Council Entry'!AR$5)/('Council Entry'!AR$6-'Council Entry'!AR$5)),1))),"No data"))</f>
        <v/>
      </c>
      <c r="AS157" s="13">
        <f>IF('Council Entry'!AS157="","",IFERROR(MAX(0,MIN(10,ROUND(IF('Council Entry'!AS$7="Decrease Risk",10-10*((IF('Council Entry'!AS$4="Logarithm",LN(0.001+IF(AND(ISNUMBER('Council Entry'!AS$8),ISNUMBER('Council Entry'!AS$9)),MAX(MIN('Council Entry'!AS157,'Council Entry'!AS$9),'Council Entry'!AS$8),'Council Entry'!AS157)),IF('Council Entry'!AS$4="Exponential",EXP(IF(AND(ISNUMBER('Council Entry'!AS$8),ISNUMBER('Council Entry'!AS$9)),MAX(MIN('Council Entry'!AS157,'Council Entry'!AS$9),'Council Entry'!AS$8),'Council Entry'!AS157)),IF(AND(ISNUMBER('Council Entry'!AS$8),ISNUMBER('Council Entry'!AS$9)),MAX(MIN('Council Entry'!AS157,'Council Entry'!AS$9),'Council Entry'!AS$8),'Council Entry'!AS157))))-'Council Entry'!AS$5)/('Council Entry'!AS$6-'Council Entry'!AS$5),10*((IF('Council Entry'!AS$4="Logarithm",LN(0.001+IF(AND(ISNUMBER('Council Entry'!AS$8),ISNUMBER('Council Entry'!AS$9)),MAX(MIN('Council Entry'!AS157,'Council Entry'!AS$9),'Council Entry'!AS$8),'Council Entry'!AS157)),IF('Council Entry'!AS$4="Exponential",EXP(IF(AND(ISNUMBER('Council Entry'!AS$8),ISNUMBER('Council Entry'!AS$9)),MAX(MIN('Council Entry'!AS157,'Council Entry'!AS$9),'Council Entry'!AS$8),'Council Entry'!AS157)),IF(AND(ISNUMBER('Council Entry'!AS$8),ISNUMBER('Council Entry'!AS$9)),MAX(MIN('Council Entry'!AS157,'Council Entry'!AS$9),'Council Entry'!AS$8),'Council Entry'!AS157))))-'Council Entry'!AS$5)/('Council Entry'!AS$6-'Council Entry'!AS$5)),1))),"No data"))</f>
        <v/>
      </c>
      <c r="AT157" s="13">
        <f>IF('Council Entry'!AT157="","",IFERROR(MAX(0,MIN(10,ROUND(IF('Council Entry'!AT$7="Decrease Risk",10-10*((IF('Council Entry'!AT$4="Logarithm",LN(0.001+IF(AND(ISNUMBER('Council Entry'!AT$8),ISNUMBER('Council Entry'!AT$9)),MAX(MIN('Council Entry'!AT157,'Council Entry'!AT$9),'Council Entry'!AT$8),'Council Entry'!AT157)),IF('Council Entry'!AT$4="Exponential",EXP(IF(AND(ISNUMBER('Council Entry'!AT$8),ISNUMBER('Council Entry'!AT$9)),MAX(MIN('Council Entry'!AT157,'Council Entry'!AT$9),'Council Entry'!AT$8),'Council Entry'!AT157)),IF(AND(ISNUMBER('Council Entry'!AT$8),ISNUMBER('Council Entry'!AT$9)),MAX(MIN('Council Entry'!AT157,'Council Entry'!AT$9),'Council Entry'!AT$8),'Council Entry'!AT157))))-'Council Entry'!AT$5)/('Council Entry'!AT$6-'Council Entry'!AT$5),10*((IF('Council Entry'!AT$4="Logarithm",LN(0.001+IF(AND(ISNUMBER('Council Entry'!AT$8),ISNUMBER('Council Entry'!AT$9)),MAX(MIN('Council Entry'!AT157,'Council Entry'!AT$9),'Council Entry'!AT$8),'Council Entry'!AT157)),IF('Council Entry'!AT$4="Exponential",EXP(IF(AND(ISNUMBER('Council Entry'!AT$8),ISNUMBER('Council Entry'!AT$9)),MAX(MIN('Council Entry'!AT157,'Council Entry'!AT$9),'Council Entry'!AT$8),'Council Entry'!AT157)),IF(AND(ISNUMBER('Council Entry'!AT$8),ISNUMBER('Council Entry'!AT$9)),MAX(MIN('Council Entry'!AT157,'Council Entry'!AT$9),'Council Entry'!AT$8),'Council Entry'!AT157))))-'Council Entry'!AT$5)/('Council Entry'!AT$6-'Council Entry'!AT$5)),1))),"No data"))</f>
        <v/>
      </c>
      <c r="AU157" s="13">
        <f>IF('Council Entry'!AU157="","",IFERROR(MAX(0,MIN(10,ROUND(IF('Council Entry'!AU$7="Decrease Risk",10-10*((IF('Council Entry'!AU$4="Logarithm",LN(0.001+IF(AND(ISNUMBER('Council Entry'!AU$8),ISNUMBER('Council Entry'!AU$9)),MAX(MIN('Council Entry'!AU157,'Council Entry'!AU$9),'Council Entry'!AU$8),'Council Entry'!AU157)),IF('Council Entry'!AU$4="Exponential",EXP(IF(AND(ISNUMBER('Council Entry'!AU$8),ISNUMBER('Council Entry'!AU$9)),MAX(MIN('Council Entry'!AU157,'Council Entry'!AU$9),'Council Entry'!AU$8),'Council Entry'!AU157)),IF(AND(ISNUMBER('Council Entry'!AU$8),ISNUMBER('Council Entry'!AU$9)),MAX(MIN('Council Entry'!AU157,'Council Entry'!AU$9),'Council Entry'!AU$8),'Council Entry'!AU157))))-'Council Entry'!AU$5)/('Council Entry'!AU$6-'Council Entry'!AU$5),10*((IF('Council Entry'!AU$4="Logarithm",LN(0.001+IF(AND(ISNUMBER('Council Entry'!AU$8),ISNUMBER('Council Entry'!AU$9)),MAX(MIN('Council Entry'!AU157,'Council Entry'!AU$9),'Council Entry'!AU$8),'Council Entry'!AU157)),IF('Council Entry'!AU$4="Exponential",EXP(IF(AND(ISNUMBER('Council Entry'!AU$8),ISNUMBER('Council Entry'!AU$9)),MAX(MIN('Council Entry'!AU157,'Council Entry'!AU$9),'Council Entry'!AU$8),'Council Entry'!AU157)),IF(AND(ISNUMBER('Council Entry'!AU$8),ISNUMBER('Council Entry'!AU$9)),MAX(MIN('Council Entry'!AU157,'Council Entry'!AU$9),'Council Entry'!AU$8),'Council Entry'!AU157))))-'Council Entry'!AU$5)/('Council Entry'!AU$6-'Council Entry'!AU$5)),1))),"No data"))</f>
        <v/>
      </c>
      <c r="AV157" s="13">
        <f>IF('Council Entry'!AV157="","",IFERROR(MAX(0,MIN(10,ROUND(IF('Council Entry'!AV$7="Decrease Risk",10-10*((IF('Council Entry'!AV$4="Logarithm",LN(0.001+IF(AND(ISNUMBER('Council Entry'!AV$8),ISNUMBER('Council Entry'!AV$9)),MAX(MIN('Council Entry'!AV157,'Council Entry'!AV$9),'Council Entry'!AV$8),'Council Entry'!AV157)),IF('Council Entry'!AV$4="Exponential",EXP(IF(AND(ISNUMBER('Council Entry'!AV$8),ISNUMBER('Council Entry'!AV$9)),MAX(MIN('Council Entry'!AV157,'Council Entry'!AV$9),'Council Entry'!AV$8),'Council Entry'!AV157)),IF(AND(ISNUMBER('Council Entry'!AV$8),ISNUMBER('Council Entry'!AV$9)),MAX(MIN('Council Entry'!AV157,'Council Entry'!AV$9),'Council Entry'!AV$8),'Council Entry'!AV157))))-'Council Entry'!AV$5)/('Council Entry'!AV$6-'Council Entry'!AV$5),10*((IF('Council Entry'!AV$4="Logarithm",LN(0.001+IF(AND(ISNUMBER('Council Entry'!AV$8),ISNUMBER('Council Entry'!AV$9)),MAX(MIN('Council Entry'!AV157,'Council Entry'!AV$9),'Council Entry'!AV$8),'Council Entry'!AV157)),IF('Council Entry'!AV$4="Exponential",EXP(IF(AND(ISNUMBER('Council Entry'!AV$8),ISNUMBER('Council Entry'!AV$9)),MAX(MIN('Council Entry'!AV157,'Council Entry'!AV$9),'Council Entry'!AV$8),'Council Entry'!AV157)),IF(AND(ISNUMBER('Council Entry'!AV$8),ISNUMBER('Council Entry'!AV$9)),MAX(MIN('Council Entry'!AV157,'Council Entry'!AV$9),'Council Entry'!AV$8),'Council Entry'!AV157))))-'Council Entry'!AV$5)/('Council Entry'!AV$6-'Council Entry'!AV$5)),1))),"No data"))</f>
        <v/>
      </c>
      <c r="AW157" s="13">
        <f>IF('Council Entry'!AW157="","",IFERROR(MAX(0,MIN(10,ROUND(IF('Council Entry'!AW$7="Decrease Risk",10-10*((IF('Council Entry'!AW$4="Logarithm",LN(0.001+IF(AND(ISNUMBER('Council Entry'!AW$8),ISNUMBER('Council Entry'!AW$9)),MAX(MIN('Council Entry'!AW157,'Council Entry'!AW$9),'Council Entry'!AW$8),'Council Entry'!AW157)),IF('Council Entry'!AW$4="Exponential",EXP(IF(AND(ISNUMBER('Council Entry'!AW$8),ISNUMBER('Council Entry'!AW$9)),MAX(MIN('Council Entry'!AW157,'Council Entry'!AW$9),'Council Entry'!AW$8),'Council Entry'!AW157)),IF(AND(ISNUMBER('Council Entry'!AW$8),ISNUMBER('Council Entry'!AW$9)),MAX(MIN('Council Entry'!AW157,'Council Entry'!AW$9),'Council Entry'!AW$8),'Council Entry'!AW157))))-'Council Entry'!AW$5)/('Council Entry'!AW$6-'Council Entry'!AW$5),10*((IF('Council Entry'!AW$4="Logarithm",LN(0.001+IF(AND(ISNUMBER('Council Entry'!AW$8),ISNUMBER('Council Entry'!AW$9)),MAX(MIN('Council Entry'!AW157,'Council Entry'!AW$9),'Council Entry'!AW$8),'Council Entry'!AW157)),IF('Council Entry'!AW$4="Exponential",EXP(IF(AND(ISNUMBER('Council Entry'!AW$8),ISNUMBER('Council Entry'!AW$9)),MAX(MIN('Council Entry'!AW157,'Council Entry'!AW$9),'Council Entry'!AW$8),'Council Entry'!AW157)),IF(AND(ISNUMBER('Council Entry'!AW$8),ISNUMBER('Council Entry'!AW$9)),MAX(MIN('Council Entry'!AW157,'Council Entry'!AW$9),'Council Entry'!AW$8),'Council Entry'!AW157))))-'Council Entry'!AW$5)/('Council Entry'!AW$6-'Council Entry'!AW$5)),1))),"No data"))</f>
        <v/>
      </c>
      <c r="AX157" s="13">
        <f>IF('Council Entry'!AX157="","",IFERROR(MAX(0,MIN(10,ROUND(IF('Council Entry'!AX$7="Decrease Risk",10-10*((IF('Council Entry'!AX$4="Logarithm",LN(0.001+IF(AND(ISNUMBER('Council Entry'!AX$8),ISNUMBER('Council Entry'!AX$9)),MAX(MIN('Council Entry'!AX157,'Council Entry'!AX$9),'Council Entry'!AX$8),'Council Entry'!AX157)),IF('Council Entry'!AX$4="Exponential",EXP(IF(AND(ISNUMBER('Council Entry'!AX$8),ISNUMBER('Council Entry'!AX$9)),MAX(MIN('Council Entry'!AX157,'Council Entry'!AX$9),'Council Entry'!AX$8),'Council Entry'!AX157)),IF(AND(ISNUMBER('Council Entry'!AX$8),ISNUMBER('Council Entry'!AX$9)),MAX(MIN('Council Entry'!AX157,'Council Entry'!AX$9),'Council Entry'!AX$8),'Council Entry'!AX157))))-'Council Entry'!AX$5)/('Council Entry'!AX$6-'Council Entry'!AX$5),10*((IF('Council Entry'!AX$4="Logarithm",LN(0.001+IF(AND(ISNUMBER('Council Entry'!AX$8),ISNUMBER('Council Entry'!AX$9)),MAX(MIN('Council Entry'!AX157,'Council Entry'!AX$9),'Council Entry'!AX$8),'Council Entry'!AX157)),IF('Council Entry'!AX$4="Exponential",EXP(IF(AND(ISNUMBER('Council Entry'!AX$8),ISNUMBER('Council Entry'!AX$9)),MAX(MIN('Council Entry'!AX157,'Council Entry'!AX$9),'Council Entry'!AX$8),'Council Entry'!AX157)),IF(AND(ISNUMBER('Council Entry'!AX$8),ISNUMBER('Council Entry'!AX$9)),MAX(MIN('Council Entry'!AX157,'Council Entry'!AX$9),'Council Entry'!AX$8),'Council Entry'!AX157))))-'Council Entry'!AX$5)/('Council Entry'!AX$6-'Council Entry'!AX$5)),1))),"No data"))</f>
        <v/>
      </c>
      <c r="AY157" s="13">
        <f>IF('Council Entry'!AY157="","",IFERROR(MAX(0,MIN(10,ROUND(IF('Council Entry'!AY$7="Decrease Risk",10-10*((IF('Council Entry'!AY$4="Logarithm",LN(0.001+IF(AND(ISNUMBER('Council Entry'!AY$8),ISNUMBER('Council Entry'!AY$9)),MAX(MIN('Council Entry'!AY157,'Council Entry'!AY$9),'Council Entry'!AY$8),'Council Entry'!AY157)),IF('Council Entry'!AY$4="Exponential",EXP(IF(AND(ISNUMBER('Council Entry'!AY$8),ISNUMBER('Council Entry'!AY$9)),MAX(MIN('Council Entry'!AY157,'Council Entry'!AY$9),'Council Entry'!AY$8),'Council Entry'!AY157)),IF(AND(ISNUMBER('Council Entry'!AY$8),ISNUMBER('Council Entry'!AY$9)),MAX(MIN('Council Entry'!AY157,'Council Entry'!AY$9),'Council Entry'!AY$8),'Council Entry'!AY157))))-'Council Entry'!AY$5)/('Council Entry'!AY$6-'Council Entry'!AY$5),10*((IF('Council Entry'!AY$4="Logarithm",LN(0.001+IF(AND(ISNUMBER('Council Entry'!AY$8),ISNUMBER('Council Entry'!AY$9)),MAX(MIN('Council Entry'!AY157,'Council Entry'!AY$9),'Council Entry'!AY$8),'Council Entry'!AY157)),IF('Council Entry'!AY$4="Exponential",EXP(IF(AND(ISNUMBER('Council Entry'!AY$8),ISNUMBER('Council Entry'!AY$9)),MAX(MIN('Council Entry'!AY157,'Council Entry'!AY$9),'Council Entry'!AY$8),'Council Entry'!AY157)),IF(AND(ISNUMBER('Council Entry'!AY$8),ISNUMBER('Council Entry'!AY$9)),MAX(MIN('Council Entry'!AY157,'Council Entry'!AY$9),'Council Entry'!AY$8),'Council Entry'!AY157))))-'Council Entry'!AY$5)/('Council Entry'!AY$6-'Council Entry'!AY$5)),1))),"No data"))</f>
        <v/>
      </c>
      <c r="AZ157" s="13">
        <f>IF('Council Entry'!AZ157="","",IFERROR(MAX(0,MIN(10,ROUND(IF('Council Entry'!AZ$7="Decrease Risk",10-10*((IF('Council Entry'!AZ$4="Logarithm",LN(0.001+IF(AND(ISNUMBER('Council Entry'!AZ$8),ISNUMBER('Council Entry'!AZ$9)),MAX(MIN('Council Entry'!AZ157,'Council Entry'!AZ$9),'Council Entry'!AZ$8),'Council Entry'!AZ157)),IF('Council Entry'!AZ$4="Exponential",EXP(IF(AND(ISNUMBER('Council Entry'!AZ$8),ISNUMBER('Council Entry'!AZ$9)),MAX(MIN('Council Entry'!AZ157,'Council Entry'!AZ$9),'Council Entry'!AZ$8),'Council Entry'!AZ157)),IF(AND(ISNUMBER('Council Entry'!AZ$8),ISNUMBER('Council Entry'!AZ$9)),MAX(MIN('Council Entry'!AZ157,'Council Entry'!AZ$9),'Council Entry'!AZ$8),'Council Entry'!AZ157))))-'Council Entry'!AZ$5)/('Council Entry'!AZ$6-'Council Entry'!AZ$5),10*((IF('Council Entry'!AZ$4="Logarithm",LN(0.001+IF(AND(ISNUMBER('Council Entry'!AZ$8),ISNUMBER('Council Entry'!AZ$9)),MAX(MIN('Council Entry'!AZ157,'Council Entry'!AZ$9),'Council Entry'!AZ$8),'Council Entry'!AZ157)),IF('Council Entry'!AZ$4="Exponential",EXP(IF(AND(ISNUMBER('Council Entry'!AZ$8),ISNUMBER('Council Entry'!AZ$9)),MAX(MIN('Council Entry'!AZ157,'Council Entry'!AZ$9),'Council Entry'!AZ$8),'Council Entry'!AZ157)),IF(AND(ISNUMBER('Council Entry'!AZ$8),ISNUMBER('Council Entry'!AZ$9)),MAX(MIN('Council Entry'!AZ157,'Council Entry'!AZ$9),'Council Entry'!AZ$8),'Council Entry'!AZ157))))-'Council Entry'!AZ$5)/('Council Entry'!AZ$6-'Council Entry'!AZ$5)),1))),"No data"))</f>
        <v/>
      </c>
      <c r="BA157" s="13">
        <f>IF('Council Entry'!BA157="","",IFERROR(MAX(0,MIN(10,ROUND(IF('Council Entry'!BA$7="Decrease Risk",10-10*((IF('Council Entry'!BA$4="Logarithm",LN(0.001+IF(AND(ISNUMBER('Council Entry'!BA$8),ISNUMBER('Council Entry'!BA$9)),MAX(MIN('Council Entry'!BA157,'Council Entry'!BA$9),'Council Entry'!BA$8),'Council Entry'!BA157)),IF('Council Entry'!BA$4="Exponential",EXP(IF(AND(ISNUMBER('Council Entry'!BA$8),ISNUMBER('Council Entry'!BA$9)),MAX(MIN('Council Entry'!BA157,'Council Entry'!BA$9),'Council Entry'!BA$8),'Council Entry'!BA157)),IF(AND(ISNUMBER('Council Entry'!BA$8),ISNUMBER('Council Entry'!BA$9)),MAX(MIN('Council Entry'!BA157,'Council Entry'!BA$9),'Council Entry'!BA$8),'Council Entry'!BA157))))-'Council Entry'!BA$5)/('Council Entry'!BA$6-'Council Entry'!BA$5),10*((IF('Council Entry'!BA$4="Logarithm",LN(0.001+IF(AND(ISNUMBER('Council Entry'!BA$8),ISNUMBER('Council Entry'!BA$9)),MAX(MIN('Council Entry'!BA157,'Council Entry'!BA$9),'Council Entry'!BA$8),'Council Entry'!BA157)),IF('Council Entry'!BA$4="Exponential",EXP(IF(AND(ISNUMBER('Council Entry'!BA$8),ISNUMBER('Council Entry'!BA$9)),MAX(MIN('Council Entry'!BA157,'Council Entry'!BA$9),'Council Entry'!BA$8),'Council Entry'!BA157)),IF(AND(ISNUMBER('Council Entry'!BA$8),ISNUMBER('Council Entry'!BA$9)),MAX(MIN('Council Entry'!BA157,'Council Entry'!BA$9),'Council Entry'!BA$8),'Council Entry'!BA157))))-'Council Entry'!BA$5)/('Council Entry'!BA$6-'Council Entry'!BA$5)),1))),"No data"))</f>
        <v/>
      </c>
      <c r="BB157" s="13">
        <f>IF('Council Entry'!BB157="","",IFERROR(MAX(0,MIN(10,ROUND(IF('Council Entry'!BB$7="Decrease Risk",10-10*((IF('Council Entry'!BB$4="Logarithm",LN(0.001+IF(AND(ISNUMBER('Council Entry'!BB$8),ISNUMBER('Council Entry'!BB$9)),MAX(MIN('Council Entry'!BB157,'Council Entry'!BB$9),'Council Entry'!BB$8),'Council Entry'!BB157)),IF('Council Entry'!BB$4="Exponential",EXP(IF(AND(ISNUMBER('Council Entry'!BB$8),ISNUMBER('Council Entry'!BB$9)),MAX(MIN('Council Entry'!BB157,'Council Entry'!BB$9),'Council Entry'!BB$8),'Council Entry'!BB157)),IF(AND(ISNUMBER('Council Entry'!BB$8),ISNUMBER('Council Entry'!BB$9)),MAX(MIN('Council Entry'!BB157,'Council Entry'!BB$9),'Council Entry'!BB$8),'Council Entry'!BB157))))-'Council Entry'!BB$5)/('Council Entry'!BB$6-'Council Entry'!BB$5),10*((IF('Council Entry'!BB$4="Logarithm",LN(0.001+IF(AND(ISNUMBER('Council Entry'!BB$8),ISNUMBER('Council Entry'!BB$9)),MAX(MIN('Council Entry'!BB157,'Council Entry'!BB$9),'Council Entry'!BB$8),'Council Entry'!BB157)),IF('Council Entry'!BB$4="Exponential",EXP(IF(AND(ISNUMBER('Council Entry'!BB$8),ISNUMBER('Council Entry'!BB$9)),MAX(MIN('Council Entry'!BB157,'Council Entry'!BB$9),'Council Entry'!BB$8),'Council Entry'!BB157)),IF(AND(ISNUMBER('Council Entry'!BB$8),ISNUMBER('Council Entry'!BB$9)),MAX(MIN('Council Entry'!BB157,'Council Entry'!BB$9),'Council Entry'!BB$8),'Council Entry'!BB157))))-'Council Entry'!BB$5)/('Council Entry'!BB$6-'Council Entry'!BB$5)),1))),"No data"))</f>
        <v/>
      </c>
      <c r="BC157" s="13">
        <f>IF('Council Entry'!BC157="","",IFERROR(MAX(0,MIN(10,ROUND(IF('Council Entry'!BC$7="Decrease Risk",10-10*((IF('Council Entry'!BC$4="Logarithm",LN(0.001+IF(AND(ISNUMBER('Council Entry'!BC$8),ISNUMBER('Council Entry'!BC$9)),MAX(MIN('Council Entry'!BC157,'Council Entry'!BC$9),'Council Entry'!BC$8),'Council Entry'!BC157)),IF('Council Entry'!BC$4="Exponential",EXP(IF(AND(ISNUMBER('Council Entry'!BC$8),ISNUMBER('Council Entry'!BC$9)),MAX(MIN('Council Entry'!BC157,'Council Entry'!BC$9),'Council Entry'!BC$8),'Council Entry'!BC157)),IF(AND(ISNUMBER('Council Entry'!BC$8),ISNUMBER('Council Entry'!BC$9)),MAX(MIN('Council Entry'!BC157,'Council Entry'!BC$9),'Council Entry'!BC$8),'Council Entry'!BC157))))-'Council Entry'!BC$5)/('Council Entry'!BC$6-'Council Entry'!BC$5),10*((IF('Council Entry'!BC$4="Logarithm",LN(0.001+IF(AND(ISNUMBER('Council Entry'!BC$8),ISNUMBER('Council Entry'!BC$9)),MAX(MIN('Council Entry'!BC157,'Council Entry'!BC$9),'Council Entry'!BC$8),'Council Entry'!BC157)),IF('Council Entry'!BC$4="Exponential",EXP(IF(AND(ISNUMBER('Council Entry'!BC$8),ISNUMBER('Council Entry'!BC$9)),MAX(MIN('Council Entry'!BC157,'Council Entry'!BC$9),'Council Entry'!BC$8),'Council Entry'!BC157)),IF(AND(ISNUMBER('Council Entry'!BC$8),ISNUMBER('Council Entry'!BC$9)),MAX(MIN('Council Entry'!BC157,'Council Entry'!BC$9),'Council Entry'!BC$8),'Council Entry'!BC157))))-'Council Entry'!BC$5)/('Council Entry'!BC$6-'Council Entry'!BC$5)),1))),"No data"))</f>
        <v/>
      </c>
      <c r="BD157" s="13">
        <f>IF('Council Entry'!BD157="","",IFERROR(MAX(0,MIN(10,ROUND(IF('Council Entry'!BD$7="Decrease Risk",10-10*((IF('Council Entry'!BD$4="Logarithm",LN(0.001+IF(AND(ISNUMBER('Council Entry'!BD$8),ISNUMBER('Council Entry'!BD$9)),MAX(MIN('Council Entry'!BD157,'Council Entry'!BD$9),'Council Entry'!BD$8),'Council Entry'!BD157)),IF('Council Entry'!BD$4="Exponential",EXP(IF(AND(ISNUMBER('Council Entry'!BD$8),ISNUMBER('Council Entry'!BD$9)),MAX(MIN('Council Entry'!BD157,'Council Entry'!BD$9),'Council Entry'!BD$8),'Council Entry'!BD157)),IF(AND(ISNUMBER('Council Entry'!BD$8),ISNUMBER('Council Entry'!BD$9)),MAX(MIN('Council Entry'!BD157,'Council Entry'!BD$9),'Council Entry'!BD$8),'Council Entry'!BD157))))-'Council Entry'!BD$5)/('Council Entry'!BD$6-'Council Entry'!BD$5),10*((IF('Council Entry'!BD$4="Logarithm",LN(0.001+IF(AND(ISNUMBER('Council Entry'!BD$8),ISNUMBER('Council Entry'!BD$9)),MAX(MIN('Council Entry'!BD157,'Council Entry'!BD$9),'Council Entry'!BD$8),'Council Entry'!BD157)),IF('Council Entry'!BD$4="Exponential",EXP(IF(AND(ISNUMBER('Council Entry'!BD$8),ISNUMBER('Council Entry'!BD$9)),MAX(MIN('Council Entry'!BD157,'Council Entry'!BD$9),'Council Entry'!BD$8),'Council Entry'!BD157)),IF(AND(ISNUMBER('Council Entry'!BD$8),ISNUMBER('Council Entry'!BD$9)),MAX(MIN('Council Entry'!BD157,'Council Entry'!BD$9),'Council Entry'!BD$8),'Council Entry'!BD157))))-'Council Entry'!BD$5)/('Council Entry'!BD$6-'Council Entry'!BD$5)),1))),"No data"))</f>
        <v/>
      </c>
    </row>
    <row r="158">
      <c r="A158" t="inlineStr">
        <is>
          <t>Ruvuma</t>
        </is>
      </c>
      <c r="B158" t="inlineStr">
        <is>
          <t>Namtumbo District</t>
        </is>
      </c>
      <c r="C158" t="inlineStr">
        <is>
          <t>C079</t>
        </is>
      </c>
      <c r="D158" s="13">
        <f>IF('Council Entry'!D158="","",IFERROR(MAX(0,MIN(10,ROUND(IF('Council Entry'!D$7="Decrease Risk",10-10*((IF('Council Entry'!D$4="Logarithm",LN(0.001+IF(AND(ISNUMBER('Council Entry'!D$8),ISNUMBER('Council Entry'!D$9)),MAX(MIN('Council Entry'!D158,'Council Entry'!D$9),'Council Entry'!D$8),'Council Entry'!D158)),IF('Council Entry'!D$4="Exponential",EXP(IF(AND(ISNUMBER('Council Entry'!D$8),ISNUMBER('Council Entry'!D$9)),MAX(MIN('Council Entry'!D158,'Council Entry'!D$9),'Council Entry'!D$8),'Council Entry'!D158)),IF(AND(ISNUMBER('Council Entry'!D$8),ISNUMBER('Council Entry'!D$9)),MAX(MIN('Council Entry'!D158,'Council Entry'!D$9),'Council Entry'!D$8),'Council Entry'!D158))))-'Council Entry'!D$5)/('Council Entry'!D$6-'Council Entry'!D$5),10*((IF('Council Entry'!D$4="Logarithm",LN(0.001+IF(AND(ISNUMBER('Council Entry'!D$8),ISNUMBER('Council Entry'!D$9)),MAX(MIN('Council Entry'!D158,'Council Entry'!D$9),'Council Entry'!D$8),'Council Entry'!D158)),IF('Council Entry'!D$4="Exponential",EXP(IF(AND(ISNUMBER('Council Entry'!D$8),ISNUMBER('Council Entry'!D$9)),MAX(MIN('Council Entry'!D158,'Council Entry'!D$9),'Council Entry'!D$8),'Council Entry'!D158)),IF(AND(ISNUMBER('Council Entry'!D$8),ISNUMBER('Council Entry'!D$9)),MAX(MIN('Council Entry'!D158,'Council Entry'!D$9),'Council Entry'!D$8),'Council Entry'!D158))))-'Council Entry'!D$5)/('Council Entry'!D$6-'Council Entry'!D$5)),1))),"No data"))</f>
        <v/>
      </c>
      <c r="E158" s="13">
        <f>IF('Council Entry'!E158="","",IFERROR(MAX(0,MIN(10,ROUND(IF('Council Entry'!E$7="Decrease Risk",10-10*((IF('Council Entry'!E$4="Logarithm",LN(0.001+IF(AND(ISNUMBER('Council Entry'!E$8),ISNUMBER('Council Entry'!E$9)),MAX(MIN('Council Entry'!E158,'Council Entry'!E$9),'Council Entry'!E$8),'Council Entry'!E158)),IF('Council Entry'!E$4="Exponential",EXP(IF(AND(ISNUMBER('Council Entry'!E$8),ISNUMBER('Council Entry'!E$9)),MAX(MIN('Council Entry'!E158,'Council Entry'!E$9),'Council Entry'!E$8),'Council Entry'!E158)),IF(AND(ISNUMBER('Council Entry'!E$8),ISNUMBER('Council Entry'!E$9)),MAX(MIN('Council Entry'!E158,'Council Entry'!E$9),'Council Entry'!E$8),'Council Entry'!E158))))-'Council Entry'!E$5)/('Council Entry'!E$6-'Council Entry'!E$5),10*((IF('Council Entry'!E$4="Logarithm",LN(0.001+IF(AND(ISNUMBER('Council Entry'!E$8),ISNUMBER('Council Entry'!E$9)),MAX(MIN('Council Entry'!E158,'Council Entry'!E$9),'Council Entry'!E$8),'Council Entry'!E158)),IF('Council Entry'!E$4="Exponential",EXP(IF(AND(ISNUMBER('Council Entry'!E$8),ISNUMBER('Council Entry'!E$9)),MAX(MIN('Council Entry'!E158,'Council Entry'!E$9),'Council Entry'!E$8),'Council Entry'!E158)),IF(AND(ISNUMBER('Council Entry'!E$8),ISNUMBER('Council Entry'!E$9)),MAX(MIN('Council Entry'!E158,'Council Entry'!E$9),'Council Entry'!E$8),'Council Entry'!E158))))-'Council Entry'!E$5)/('Council Entry'!E$6-'Council Entry'!E$5)),1))),"No data"))</f>
        <v/>
      </c>
      <c r="F158" s="13">
        <f>IF('Council Entry'!F158="","",IFERROR(MAX(0,MIN(10,ROUND(IF('Council Entry'!F$7="Decrease Risk",10-10*((IF('Council Entry'!F$4="Logarithm",LN(0.001+IF(AND(ISNUMBER('Council Entry'!F$8),ISNUMBER('Council Entry'!F$9)),MAX(MIN('Council Entry'!F158,'Council Entry'!F$9),'Council Entry'!F$8),'Council Entry'!F158)),IF('Council Entry'!F$4="Exponential",EXP(IF(AND(ISNUMBER('Council Entry'!F$8),ISNUMBER('Council Entry'!F$9)),MAX(MIN('Council Entry'!F158,'Council Entry'!F$9),'Council Entry'!F$8),'Council Entry'!F158)),IF(AND(ISNUMBER('Council Entry'!F$8),ISNUMBER('Council Entry'!F$9)),MAX(MIN('Council Entry'!F158,'Council Entry'!F$9),'Council Entry'!F$8),'Council Entry'!F158))))-'Council Entry'!F$5)/('Council Entry'!F$6-'Council Entry'!F$5),10*((IF('Council Entry'!F$4="Logarithm",LN(0.001+IF(AND(ISNUMBER('Council Entry'!F$8),ISNUMBER('Council Entry'!F$9)),MAX(MIN('Council Entry'!F158,'Council Entry'!F$9),'Council Entry'!F$8),'Council Entry'!F158)),IF('Council Entry'!F$4="Exponential",EXP(IF(AND(ISNUMBER('Council Entry'!F$8),ISNUMBER('Council Entry'!F$9)),MAX(MIN('Council Entry'!F158,'Council Entry'!F$9),'Council Entry'!F$8),'Council Entry'!F158)),IF(AND(ISNUMBER('Council Entry'!F$8),ISNUMBER('Council Entry'!F$9)),MAX(MIN('Council Entry'!F158,'Council Entry'!F$9),'Council Entry'!F$8),'Council Entry'!F158))))-'Council Entry'!F$5)/('Council Entry'!F$6-'Council Entry'!F$5)),1))),"No data"))</f>
        <v/>
      </c>
      <c r="G158" s="13">
        <f>IF('Council Entry'!G158="","",IFERROR(MAX(0,MIN(10,ROUND(IF('Council Entry'!G$7="Decrease Risk",10-10*((IF('Council Entry'!G$4="Logarithm",LN(0.001+IF(AND(ISNUMBER('Council Entry'!G$8),ISNUMBER('Council Entry'!G$9)),MAX(MIN('Council Entry'!G158,'Council Entry'!G$9),'Council Entry'!G$8),'Council Entry'!G158)),IF('Council Entry'!G$4="Exponential",EXP(IF(AND(ISNUMBER('Council Entry'!G$8),ISNUMBER('Council Entry'!G$9)),MAX(MIN('Council Entry'!G158,'Council Entry'!G$9),'Council Entry'!G$8),'Council Entry'!G158)),IF(AND(ISNUMBER('Council Entry'!G$8),ISNUMBER('Council Entry'!G$9)),MAX(MIN('Council Entry'!G158,'Council Entry'!G$9),'Council Entry'!G$8),'Council Entry'!G158))))-'Council Entry'!G$5)/('Council Entry'!G$6-'Council Entry'!G$5),10*((IF('Council Entry'!G$4="Logarithm",LN(0.001+IF(AND(ISNUMBER('Council Entry'!G$8),ISNUMBER('Council Entry'!G$9)),MAX(MIN('Council Entry'!G158,'Council Entry'!G$9),'Council Entry'!G$8),'Council Entry'!G158)),IF('Council Entry'!G$4="Exponential",EXP(IF(AND(ISNUMBER('Council Entry'!G$8),ISNUMBER('Council Entry'!G$9)),MAX(MIN('Council Entry'!G158,'Council Entry'!G$9),'Council Entry'!G$8),'Council Entry'!G158)),IF(AND(ISNUMBER('Council Entry'!G$8),ISNUMBER('Council Entry'!G$9)),MAX(MIN('Council Entry'!G158,'Council Entry'!G$9),'Council Entry'!G$8),'Council Entry'!G158))))-'Council Entry'!G$5)/('Council Entry'!G$6-'Council Entry'!G$5)),1))),"No data"))</f>
        <v/>
      </c>
      <c r="H158" s="13">
        <f>IF('Council Entry'!H158="","",IFERROR(MAX(0,MIN(10,ROUND(IF('Council Entry'!H$7="Decrease Risk",10-10*((IF('Council Entry'!H$4="Logarithm",LN(0.001+IF(AND(ISNUMBER('Council Entry'!H$8),ISNUMBER('Council Entry'!H$9)),MAX(MIN('Council Entry'!H158,'Council Entry'!H$9),'Council Entry'!H$8),'Council Entry'!H158)),IF('Council Entry'!H$4="Exponential",EXP(IF(AND(ISNUMBER('Council Entry'!H$8),ISNUMBER('Council Entry'!H$9)),MAX(MIN('Council Entry'!H158,'Council Entry'!H$9),'Council Entry'!H$8),'Council Entry'!H158)),IF(AND(ISNUMBER('Council Entry'!H$8),ISNUMBER('Council Entry'!H$9)),MAX(MIN('Council Entry'!H158,'Council Entry'!H$9),'Council Entry'!H$8),'Council Entry'!H158))))-'Council Entry'!H$5)/('Council Entry'!H$6-'Council Entry'!H$5),10*((IF('Council Entry'!H$4="Logarithm",LN(0.001+IF(AND(ISNUMBER('Council Entry'!H$8),ISNUMBER('Council Entry'!H$9)),MAX(MIN('Council Entry'!H158,'Council Entry'!H$9),'Council Entry'!H$8),'Council Entry'!H158)),IF('Council Entry'!H$4="Exponential",EXP(IF(AND(ISNUMBER('Council Entry'!H$8),ISNUMBER('Council Entry'!H$9)),MAX(MIN('Council Entry'!H158,'Council Entry'!H$9),'Council Entry'!H$8),'Council Entry'!H158)),IF(AND(ISNUMBER('Council Entry'!H$8),ISNUMBER('Council Entry'!H$9)),MAX(MIN('Council Entry'!H158,'Council Entry'!H$9),'Council Entry'!H$8),'Council Entry'!H158))))-'Council Entry'!H$5)/('Council Entry'!H$6-'Council Entry'!H$5)),1))),"No data"))</f>
        <v/>
      </c>
      <c r="I158" s="13">
        <f>IF('Council Entry'!I158="","",IFERROR(MAX(0,MIN(10,ROUND(IF('Council Entry'!I$7="Decrease Risk",10-10*((IF('Council Entry'!I$4="Logarithm",LN(0.001+IF(AND(ISNUMBER('Council Entry'!I$8),ISNUMBER('Council Entry'!I$9)),MAX(MIN('Council Entry'!I158,'Council Entry'!I$9),'Council Entry'!I$8),'Council Entry'!I158)),IF('Council Entry'!I$4="Exponential",EXP(IF(AND(ISNUMBER('Council Entry'!I$8),ISNUMBER('Council Entry'!I$9)),MAX(MIN('Council Entry'!I158,'Council Entry'!I$9),'Council Entry'!I$8),'Council Entry'!I158)),IF(AND(ISNUMBER('Council Entry'!I$8),ISNUMBER('Council Entry'!I$9)),MAX(MIN('Council Entry'!I158,'Council Entry'!I$9),'Council Entry'!I$8),'Council Entry'!I158))))-'Council Entry'!I$5)/('Council Entry'!I$6-'Council Entry'!I$5),10*((IF('Council Entry'!I$4="Logarithm",LN(0.001+IF(AND(ISNUMBER('Council Entry'!I$8),ISNUMBER('Council Entry'!I$9)),MAX(MIN('Council Entry'!I158,'Council Entry'!I$9),'Council Entry'!I$8),'Council Entry'!I158)),IF('Council Entry'!I$4="Exponential",EXP(IF(AND(ISNUMBER('Council Entry'!I$8),ISNUMBER('Council Entry'!I$9)),MAX(MIN('Council Entry'!I158,'Council Entry'!I$9),'Council Entry'!I$8),'Council Entry'!I158)),IF(AND(ISNUMBER('Council Entry'!I$8),ISNUMBER('Council Entry'!I$9)),MAX(MIN('Council Entry'!I158,'Council Entry'!I$9),'Council Entry'!I$8),'Council Entry'!I158))))-'Council Entry'!I$5)/('Council Entry'!I$6-'Council Entry'!I$5)),1))),"No data"))</f>
        <v/>
      </c>
      <c r="J158" s="13">
        <f>IF('Council Entry'!J158="","",IFERROR(MAX(0,MIN(10,ROUND(IF('Council Entry'!J$7="Decrease Risk",10-10*((IF('Council Entry'!J$4="Logarithm",LN(0.001+IF(AND(ISNUMBER('Council Entry'!J$8),ISNUMBER('Council Entry'!J$9)),MAX(MIN('Council Entry'!J158,'Council Entry'!J$9),'Council Entry'!J$8),'Council Entry'!J158)),IF('Council Entry'!J$4="Exponential",EXP(IF(AND(ISNUMBER('Council Entry'!J$8),ISNUMBER('Council Entry'!J$9)),MAX(MIN('Council Entry'!J158,'Council Entry'!J$9),'Council Entry'!J$8),'Council Entry'!J158)),IF(AND(ISNUMBER('Council Entry'!J$8),ISNUMBER('Council Entry'!J$9)),MAX(MIN('Council Entry'!J158,'Council Entry'!J$9),'Council Entry'!J$8),'Council Entry'!J158))))-'Council Entry'!J$5)/('Council Entry'!J$6-'Council Entry'!J$5),10*((IF('Council Entry'!J$4="Logarithm",LN(0.001+IF(AND(ISNUMBER('Council Entry'!J$8),ISNUMBER('Council Entry'!J$9)),MAX(MIN('Council Entry'!J158,'Council Entry'!J$9),'Council Entry'!J$8),'Council Entry'!J158)),IF('Council Entry'!J$4="Exponential",EXP(IF(AND(ISNUMBER('Council Entry'!J$8),ISNUMBER('Council Entry'!J$9)),MAX(MIN('Council Entry'!J158,'Council Entry'!J$9),'Council Entry'!J$8),'Council Entry'!J158)),IF(AND(ISNUMBER('Council Entry'!J$8),ISNUMBER('Council Entry'!J$9)),MAX(MIN('Council Entry'!J158,'Council Entry'!J$9),'Council Entry'!J$8),'Council Entry'!J158))))-'Council Entry'!J$5)/('Council Entry'!J$6-'Council Entry'!J$5)),1))),"No data"))</f>
        <v/>
      </c>
      <c r="K158" s="13">
        <f>IF('Council Entry'!K158="","",IFERROR(MAX(0,MIN(10,ROUND(IF('Council Entry'!K$7="Decrease Risk",10-10*((IF('Council Entry'!K$4="Logarithm",LN(0.001+IF(AND(ISNUMBER('Council Entry'!K$8),ISNUMBER('Council Entry'!K$9)),MAX(MIN('Council Entry'!K158,'Council Entry'!K$9),'Council Entry'!K$8),'Council Entry'!K158)),IF('Council Entry'!K$4="Exponential",EXP(IF(AND(ISNUMBER('Council Entry'!K$8),ISNUMBER('Council Entry'!K$9)),MAX(MIN('Council Entry'!K158,'Council Entry'!K$9),'Council Entry'!K$8),'Council Entry'!K158)),IF(AND(ISNUMBER('Council Entry'!K$8),ISNUMBER('Council Entry'!K$9)),MAX(MIN('Council Entry'!K158,'Council Entry'!K$9),'Council Entry'!K$8),'Council Entry'!K158))))-'Council Entry'!K$5)/('Council Entry'!K$6-'Council Entry'!K$5),10*((IF('Council Entry'!K$4="Logarithm",LN(0.001+IF(AND(ISNUMBER('Council Entry'!K$8),ISNUMBER('Council Entry'!K$9)),MAX(MIN('Council Entry'!K158,'Council Entry'!K$9),'Council Entry'!K$8),'Council Entry'!K158)),IF('Council Entry'!K$4="Exponential",EXP(IF(AND(ISNUMBER('Council Entry'!K$8),ISNUMBER('Council Entry'!K$9)),MAX(MIN('Council Entry'!K158,'Council Entry'!K$9),'Council Entry'!K$8),'Council Entry'!K158)),IF(AND(ISNUMBER('Council Entry'!K$8),ISNUMBER('Council Entry'!K$9)),MAX(MIN('Council Entry'!K158,'Council Entry'!K$9),'Council Entry'!K$8),'Council Entry'!K158))))-'Council Entry'!K$5)/('Council Entry'!K$6-'Council Entry'!K$5)),1))),"No data"))</f>
        <v/>
      </c>
      <c r="L158" s="13">
        <f>IF('Council Entry'!L158="","",IFERROR(MAX(0,MIN(10,ROUND(IF('Council Entry'!L$7="Decrease Risk",10-10*((IF('Council Entry'!L$4="Logarithm",LN(0.001+IF(AND(ISNUMBER('Council Entry'!L$8),ISNUMBER('Council Entry'!L$9)),MAX(MIN('Council Entry'!L158,'Council Entry'!L$9),'Council Entry'!L$8),'Council Entry'!L158)),IF('Council Entry'!L$4="Exponential",EXP(IF(AND(ISNUMBER('Council Entry'!L$8),ISNUMBER('Council Entry'!L$9)),MAX(MIN('Council Entry'!L158,'Council Entry'!L$9),'Council Entry'!L$8),'Council Entry'!L158)),IF(AND(ISNUMBER('Council Entry'!L$8),ISNUMBER('Council Entry'!L$9)),MAX(MIN('Council Entry'!L158,'Council Entry'!L$9),'Council Entry'!L$8),'Council Entry'!L158))))-'Council Entry'!L$5)/('Council Entry'!L$6-'Council Entry'!L$5),10*((IF('Council Entry'!L$4="Logarithm",LN(0.001+IF(AND(ISNUMBER('Council Entry'!L$8),ISNUMBER('Council Entry'!L$9)),MAX(MIN('Council Entry'!L158,'Council Entry'!L$9),'Council Entry'!L$8),'Council Entry'!L158)),IF('Council Entry'!L$4="Exponential",EXP(IF(AND(ISNUMBER('Council Entry'!L$8),ISNUMBER('Council Entry'!L$9)),MAX(MIN('Council Entry'!L158,'Council Entry'!L$9),'Council Entry'!L$8),'Council Entry'!L158)),IF(AND(ISNUMBER('Council Entry'!L$8),ISNUMBER('Council Entry'!L$9)),MAX(MIN('Council Entry'!L158,'Council Entry'!L$9),'Council Entry'!L$8),'Council Entry'!L158))))-'Council Entry'!L$5)/('Council Entry'!L$6-'Council Entry'!L$5)),1))),"No data"))</f>
        <v/>
      </c>
      <c r="M158" s="13">
        <f>IF('Council Entry'!M158="","",IFERROR(MAX(0,MIN(10,ROUND(IF('Council Entry'!M$7="Decrease Risk",10-10*((IF('Council Entry'!M$4="Logarithm",LN(0.001+IF(AND(ISNUMBER('Council Entry'!M$8),ISNUMBER('Council Entry'!M$9)),MAX(MIN('Council Entry'!M158,'Council Entry'!M$9),'Council Entry'!M$8),'Council Entry'!M158)),IF('Council Entry'!M$4="Exponential",EXP(IF(AND(ISNUMBER('Council Entry'!M$8),ISNUMBER('Council Entry'!M$9)),MAX(MIN('Council Entry'!M158,'Council Entry'!M$9),'Council Entry'!M$8),'Council Entry'!M158)),IF(AND(ISNUMBER('Council Entry'!M$8),ISNUMBER('Council Entry'!M$9)),MAX(MIN('Council Entry'!M158,'Council Entry'!M$9),'Council Entry'!M$8),'Council Entry'!M158))))-'Council Entry'!M$5)/('Council Entry'!M$6-'Council Entry'!M$5),10*((IF('Council Entry'!M$4="Logarithm",LN(0.001+IF(AND(ISNUMBER('Council Entry'!M$8),ISNUMBER('Council Entry'!M$9)),MAX(MIN('Council Entry'!M158,'Council Entry'!M$9),'Council Entry'!M$8),'Council Entry'!M158)),IF('Council Entry'!M$4="Exponential",EXP(IF(AND(ISNUMBER('Council Entry'!M$8),ISNUMBER('Council Entry'!M$9)),MAX(MIN('Council Entry'!M158,'Council Entry'!M$9),'Council Entry'!M$8),'Council Entry'!M158)),IF(AND(ISNUMBER('Council Entry'!M$8),ISNUMBER('Council Entry'!M$9)),MAX(MIN('Council Entry'!M158,'Council Entry'!M$9),'Council Entry'!M$8),'Council Entry'!M158))))-'Council Entry'!M$5)/('Council Entry'!M$6-'Council Entry'!M$5)),1))),"No data"))</f>
        <v/>
      </c>
      <c r="N158" s="13">
        <f>IF('Council Entry'!N158="","",IFERROR(MAX(0,MIN(10,ROUND(IF('Council Entry'!N$7="Decrease Risk",10-10*((IF('Council Entry'!N$4="Logarithm",LN(0.001+IF(AND(ISNUMBER('Council Entry'!N$8),ISNUMBER('Council Entry'!N$9)),MAX(MIN('Council Entry'!N158,'Council Entry'!N$9),'Council Entry'!N$8),'Council Entry'!N158)),IF('Council Entry'!N$4="Exponential",EXP(IF(AND(ISNUMBER('Council Entry'!N$8),ISNUMBER('Council Entry'!N$9)),MAX(MIN('Council Entry'!N158,'Council Entry'!N$9),'Council Entry'!N$8),'Council Entry'!N158)),IF(AND(ISNUMBER('Council Entry'!N$8),ISNUMBER('Council Entry'!N$9)),MAX(MIN('Council Entry'!N158,'Council Entry'!N$9),'Council Entry'!N$8),'Council Entry'!N158))))-'Council Entry'!N$5)/('Council Entry'!N$6-'Council Entry'!N$5),10*((IF('Council Entry'!N$4="Logarithm",LN(0.001+IF(AND(ISNUMBER('Council Entry'!N$8),ISNUMBER('Council Entry'!N$9)),MAX(MIN('Council Entry'!N158,'Council Entry'!N$9),'Council Entry'!N$8),'Council Entry'!N158)),IF('Council Entry'!N$4="Exponential",EXP(IF(AND(ISNUMBER('Council Entry'!N$8),ISNUMBER('Council Entry'!N$9)),MAX(MIN('Council Entry'!N158,'Council Entry'!N$9),'Council Entry'!N$8),'Council Entry'!N158)),IF(AND(ISNUMBER('Council Entry'!N$8),ISNUMBER('Council Entry'!N$9)),MAX(MIN('Council Entry'!N158,'Council Entry'!N$9),'Council Entry'!N$8),'Council Entry'!N158))))-'Council Entry'!N$5)/('Council Entry'!N$6-'Council Entry'!N$5)),1))),"No data"))</f>
        <v/>
      </c>
      <c r="O158" s="13">
        <f>IF('Council Entry'!O158="","",IFERROR(MAX(0,MIN(10,ROUND(IF('Council Entry'!O$7="Decrease Risk",10-10*((IF('Council Entry'!O$4="Logarithm",LN(0.001+IF(AND(ISNUMBER('Council Entry'!O$8),ISNUMBER('Council Entry'!O$9)),MAX(MIN('Council Entry'!O158,'Council Entry'!O$9),'Council Entry'!O$8),'Council Entry'!O158)),IF('Council Entry'!O$4="Exponential",EXP(IF(AND(ISNUMBER('Council Entry'!O$8),ISNUMBER('Council Entry'!O$9)),MAX(MIN('Council Entry'!O158,'Council Entry'!O$9),'Council Entry'!O$8),'Council Entry'!O158)),IF(AND(ISNUMBER('Council Entry'!O$8),ISNUMBER('Council Entry'!O$9)),MAX(MIN('Council Entry'!O158,'Council Entry'!O$9),'Council Entry'!O$8),'Council Entry'!O158))))-'Council Entry'!O$5)/('Council Entry'!O$6-'Council Entry'!O$5),10*((IF('Council Entry'!O$4="Logarithm",LN(0.001+IF(AND(ISNUMBER('Council Entry'!O$8),ISNUMBER('Council Entry'!O$9)),MAX(MIN('Council Entry'!O158,'Council Entry'!O$9),'Council Entry'!O$8),'Council Entry'!O158)),IF('Council Entry'!O$4="Exponential",EXP(IF(AND(ISNUMBER('Council Entry'!O$8),ISNUMBER('Council Entry'!O$9)),MAX(MIN('Council Entry'!O158,'Council Entry'!O$9),'Council Entry'!O$8),'Council Entry'!O158)),IF(AND(ISNUMBER('Council Entry'!O$8),ISNUMBER('Council Entry'!O$9)),MAX(MIN('Council Entry'!O158,'Council Entry'!O$9),'Council Entry'!O$8),'Council Entry'!O158))))-'Council Entry'!O$5)/('Council Entry'!O$6-'Council Entry'!O$5)),1))),"No data"))</f>
        <v/>
      </c>
      <c r="P158" s="13">
        <f>IF('Council Entry'!P158="","",IFERROR(MAX(0,MIN(10,ROUND(IF('Council Entry'!P$7="Decrease Risk",10-10*((IF('Council Entry'!P$4="Logarithm",LN(0.001+IF(AND(ISNUMBER('Council Entry'!P$8),ISNUMBER('Council Entry'!P$9)),MAX(MIN('Council Entry'!P158,'Council Entry'!P$9),'Council Entry'!P$8),'Council Entry'!P158)),IF('Council Entry'!P$4="Exponential",EXP(IF(AND(ISNUMBER('Council Entry'!P$8),ISNUMBER('Council Entry'!P$9)),MAX(MIN('Council Entry'!P158,'Council Entry'!P$9),'Council Entry'!P$8),'Council Entry'!P158)),IF(AND(ISNUMBER('Council Entry'!P$8),ISNUMBER('Council Entry'!P$9)),MAX(MIN('Council Entry'!P158,'Council Entry'!P$9),'Council Entry'!P$8),'Council Entry'!P158))))-'Council Entry'!P$5)/('Council Entry'!P$6-'Council Entry'!P$5),10*((IF('Council Entry'!P$4="Logarithm",LN(0.001+IF(AND(ISNUMBER('Council Entry'!P$8),ISNUMBER('Council Entry'!P$9)),MAX(MIN('Council Entry'!P158,'Council Entry'!P$9),'Council Entry'!P$8),'Council Entry'!P158)),IF('Council Entry'!P$4="Exponential",EXP(IF(AND(ISNUMBER('Council Entry'!P$8),ISNUMBER('Council Entry'!P$9)),MAX(MIN('Council Entry'!P158,'Council Entry'!P$9),'Council Entry'!P$8),'Council Entry'!P158)),IF(AND(ISNUMBER('Council Entry'!P$8),ISNUMBER('Council Entry'!P$9)),MAX(MIN('Council Entry'!P158,'Council Entry'!P$9),'Council Entry'!P$8),'Council Entry'!P158))))-'Council Entry'!P$5)/('Council Entry'!P$6-'Council Entry'!P$5)),1))),"No data"))</f>
        <v/>
      </c>
      <c r="Q158" s="13">
        <f>IF('Council Entry'!Q158="","",IFERROR(MAX(0,MIN(10,ROUND(IF('Council Entry'!Q$7="Decrease Risk",10-10*((IF('Council Entry'!Q$4="Logarithm",LN(0.001+IF(AND(ISNUMBER('Council Entry'!Q$8),ISNUMBER('Council Entry'!Q$9)),MAX(MIN('Council Entry'!Q158,'Council Entry'!Q$9),'Council Entry'!Q$8),'Council Entry'!Q158)),IF('Council Entry'!Q$4="Exponential",EXP(IF(AND(ISNUMBER('Council Entry'!Q$8),ISNUMBER('Council Entry'!Q$9)),MAX(MIN('Council Entry'!Q158,'Council Entry'!Q$9),'Council Entry'!Q$8),'Council Entry'!Q158)),IF(AND(ISNUMBER('Council Entry'!Q$8),ISNUMBER('Council Entry'!Q$9)),MAX(MIN('Council Entry'!Q158,'Council Entry'!Q$9),'Council Entry'!Q$8),'Council Entry'!Q158))))-'Council Entry'!Q$5)/('Council Entry'!Q$6-'Council Entry'!Q$5),10*((IF('Council Entry'!Q$4="Logarithm",LN(0.001+IF(AND(ISNUMBER('Council Entry'!Q$8),ISNUMBER('Council Entry'!Q$9)),MAX(MIN('Council Entry'!Q158,'Council Entry'!Q$9),'Council Entry'!Q$8),'Council Entry'!Q158)),IF('Council Entry'!Q$4="Exponential",EXP(IF(AND(ISNUMBER('Council Entry'!Q$8),ISNUMBER('Council Entry'!Q$9)),MAX(MIN('Council Entry'!Q158,'Council Entry'!Q$9),'Council Entry'!Q$8),'Council Entry'!Q158)),IF(AND(ISNUMBER('Council Entry'!Q$8),ISNUMBER('Council Entry'!Q$9)),MAX(MIN('Council Entry'!Q158,'Council Entry'!Q$9),'Council Entry'!Q$8),'Council Entry'!Q158))))-'Council Entry'!Q$5)/('Council Entry'!Q$6-'Council Entry'!Q$5)),1))),"No data"))</f>
        <v/>
      </c>
      <c r="R158" s="13">
        <f>IF('Council Entry'!R158="","",IFERROR(MAX(0,MIN(10,ROUND(IF('Council Entry'!R$7="Decrease Risk",10-10*((IF('Council Entry'!R$4="Logarithm",LN(0.001+IF(AND(ISNUMBER('Council Entry'!R$8),ISNUMBER('Council Entry'!R$9)),MAX(MIN('Council Entry'!R158,'Council Entry'!R$9),'Council Entry'!R$8),'Council Entry'!R158)),IF('Council Entry'!R$4="Exponential",EXP(IF(AND(ISNUMBER('Council Entry'!R$8),ISNUMBER('Council Entry'!R$9)),MAX(MIN('Council Entry'!R158,'Council Entry'!R$9),'Council Entry'!R$8),'Council Entry'!R158)),IF(AND(ISNUMBER('Council Entry'!R$8),ISNUMBER('Council Entry'!R$9)),MAX(MIN('Council Entry'!R158,'Council Entry'!R$9),'Council Entry'!R$8),'Council Entry'!R158))))-'Council Entry'!R$5)/('Council Entry'!R$6-'Council Entry'!R$5),10*((IF('Council Entry'!R$4="Logarithm",LN(0.001+IF(AND(ISNUMBER('Council Entry'!R$8),ISNUMBER('Council Entry'!R$9)),MAX(MIN('Council Entry'!R158,'Council Entry'!R$9),'Council Entry'!R$8),'Council Entry'!R158)),IF('Council Entry'!R$4="Exponential",EXP(IF(AND(ISNUMBER('Council Entry'!R$8),ISNUMBER('Council Entry'!R$9)),MAX(MIN('Council Entry'!R158,'Council Entry'!R$9),'Council Entry'!R$8),'Council Entry'!R158)),IF(AND(ISNUMBER('Council Entry'!R$8),ISNUMBER('Council Entry'!R$9)),MAX(MIN('Council Entry'!R158,'Council Entry'!R$9),'Council Entry'!R$8),'Council Entry'!R158))))-'Council Entry'!R$5)/('Council Entry'!R$6-'Council Entry'!R$5)),1))),"No data"))</f>
        <v/>
      </c>
      <c r="S158" s="13">
        <f>IF('Council Entry'!S158="","",IFERROR(MAX(0,MIN(10,ROUND(IF('Council Entry'!S$7="Decrease Risk",10-10*((IF('Council Entry'!S$4="Logarithm",LN(0.001+IF(AND(ISNUMBER('Council Entry'!S$8),ISNUMBER('Council Entry'!S$9)),MAX(MIN('Council Entry'!S158,'Council Entry'!S$9),'Council Entry'!S$8),'Council Entry'!S158)),IF('Council Entry'!S$4="Exponential",EXP(IF(AND(ISNUMBER('Council Entry'!S$8),ISNUMBER('Council Entry'!S$9)),MAX(MIN('Council Entry'!S158,'Council Entry'!S$9),'Council Entry'!S$8),'Council Entry'!S158)),IF(AND(ISNUMBER('Council Entry'!S$8),ISNUMBER('Council Entry'!S$9)),MAX(MIN('Council Entry'!S158,'Council Entry'!S$9),'Council Entry'!S$8),'Council Entry'!S158))))-'Council Entry'!S$5)/('Council Entry'!S$6-'Council Entry'!S$5),10*((IF('Council Entry'!S$4="Logarithm",LN(0.001+IF(AND(ISNUMBER('Council Entry'!S$8),ISNUMBER('Council Entry'!S$9)),MAX(MIN('Council Entry'!S158,'Council Entry'!S$9),'Council Entry'!S$8),'Council Entry'!S158)),IF('Council Entry'!S$4="Exponential",EXP(IF(AND(ISNUMBER('Council Entry'!S$8),ISNUMBER('Council Entry'!S$9)),MAX(MIN('Council Entry'!S158,'Council Entry'!S$9),'Council Entry'!S$8),'Council Entry'!S158)),IF(AND(ISNUMBER('Council Entry'!S$8),ISNUMBER('Council Entry'!S$9)),MAX(MIN('Council Entry'!S158,'Council Entry'!S$9),'Council Entry'!S$8),'Council Entry'!S158))))-'Council Entry'!S$5)/('Council Entry'!S$6-'Council Entry'!S$5)),1))),"No data"))</f>
        <v/>
      </c>
      <c r="T158" s="13">
        <f>IF('Council Entry'!T158="","",IFERROR(MAX(0,MIN(10,ROUND(IF('Council Entry'!T$7="Decrease Risk",10-10*((IF('Council Entry'!T$4="Logarithm",LN(0.001+IF(AND(ISNUMBER('Council Entry'!T$8),ISNUMBER('Council Entry'!T$9)),MAX(MIN('Council Entry'!T158,'Council Entry'!T$9),'Council Entry'!T$8),'Council Entry'!T158)),IF('Council Entry'!T$4="Exponential",EXP(IF(AND(ISNUMBER('Council Entry'!T$8),ISNUMBER('Council Entry'!T$9)),MAX(MIN('Council Entry'!T158,'Council Entry'!T$9),'Council Entry'!T$8),'Council Entry'!T158)),IF(AND(ISNUMBER('Council Entry'!T$8),ISNUMBER('Council Entry'!T$9)),MAX(MIN('Council Entry'!T158,'Council Entry'!T$9),'Council Entry'!T$8),'Council Entry'!T158))))-'Council Entry'!T$5)/('Council Entry'!T$6-'Council Entry'!T$5),10*((IF('Council Entry'!T$4="Logarithm",LN(0.001+IF(AND(ISNUMBER('Council Entry'!T$8),ISNUMBER('Council Entry'!T$9)),MAX(MIN('Council Entry'!T158,'Council Entry'!T$9),'Council Entry'!T$8),'Council Entry'!T158)),IF('Council Entry'!T$4="Exponential",EXP(IF(AND(ISNUMBER('Council Entry'!T$8),ISNUMBER('Council Entry'!T$9)),MAX(MIN('Council Entry'!T158,'Council Entry'!T$9),'Council Entry'!T$8),'Council Entry'!T158)),IF(AND(ISNUMBER('Council Entry'!T$8),ISNUMBER('Council Entry'!T$9)),MAX(MIN('Council Entry'!T158,'Council Entry'!T$9),'Council Entry'!T$8),'Council Entry'!T158))))-'Council Entry'!T$5)/('Council Entry'!T$6-'Council Entry'!T$5)),1))),"No data"))</f>
        <v/>
      </c>
      <c r="U158" s="13">
        <f>IF('Council Entry'!U158="","",IFERROR(MAX(0,MIN(10,ROUND(IF('Council Entry'!U$7="Decrease Risk",10-10*((IF('Council Entry'!U$4="Logarithm",LN(0.001+IF(AND(ISNUMBER('Council Entry'!U$8),ISNUMBER('Council Entry'!U$9)),MAX(MIN('Council Entry'!U158,'Council Entry'!U$9),'Council Entry'!U$8),'Council Entry'!U158)),IF('Council Entry'!U$4="Exponential",EXP(IF(AND(ISNUMBER('Council Entry'!U$8),ISNUMBER('Council Entry'!U$9)),MAX(MIN('Council Entry'!U158,'Council Entry'!U$9),'Council Entry'!U$8),'Council Entry'!U158)),IF(AND(ISNUMBER('Council Entry'!U$8),ISNUMBER('Council Entry'!U$9)),MAX(MIN('Council Entry'!U158,'Council Entry'!U$9),'Council Entry'!U$8),'Council Entry'!U158))))-'Council Entry'!U$5)/('Council Entry'!U$6-'Council Entry'!U$5),10*((IF('Council Entry'!U$4="Logarithm",LN(0.001+IF(AND(ISNUMBER('Council Entry'!U$8),ISNUMBER('Council Entry'!U$9)),MAX(MIN('Council Entry'!U158,'Council Entry'!U$9),'Council Entry'!U$8),'Council Entry'!U158)),IF('Council Entry'!U$4="Exponential",EXP(IF(AND(ISNUMBER('Council Entry'!U$8),ISNUMBER('Council Entry'!U$9)),MAX(MIN('Council Entry'!U158,'Council Entry'!U$9),'Council Entry'!U$8),'Council Entry'!U158)),IF(AND(ISNUMBER('Council Entry'!U$8),ISNUMBER('Council Entry'!U$9)),MAX(MIN('Council Entry'!U158,'Council Entry'!U$9),'Council Entry'!U$8),'Council Entry'!U158))))-'Council Entry'!U$5)/('Council Entry'!U$6-'Council Entry'!U$5)),1))),"No data"))</f>
        <v/>
      </c>
      <c r="V158" s="13">
        <f>IF('Council Entry'!V158="","",IFERROR(MAX(0,MIN(10,ROUND(IF('Council Entry'!V$7="Decrease Risk",10-10*((IF('Council Entry'!V$4="Logarithm",LN(0.001+IF(AND(ISNUMBER('Council Entry'!V$8),ISNUMBER('Council Entry'!V$9)),MAX(MIN('Council Entry'!V158,'Council Entry'!V$9),'Council Entry'!V$8),'Council Entry'!V158)),IF('Council Entry'!V$4="Exponential",EXP(IF(AND(ISNUMBER('Council Entry'!V$8),ISNUMBER('Council Entry'!V$9)),MAX(MIN('Council Entry'!V158,'Council Entry'!V$9),'Council Entry'!V$8),'Council Entry'!V158)),IF(AND(ISNUMBER('Council Entry'!V$8),ISNUMBER('Council Entry'!V$9)),MAX(MIN('Council Entry'!V158,'Council Entry'!V$9),'Council Entry'!V$8),'Council Entry'!V158))))-'Council Entry'!V$5)/('Council Entry'!V$6-'Council Entry'!V$5),10*((IF('Council Entry'!V$4="Logarithm",LN(0.001+IF(AND(ISNUMBER('Council Entry'!V$8),ISNUMBER('Council Entry'!V$9)),MAX(MIN('Council Entry'!V158,'Council Entry'!V$9),'Council Entry'!V$8),'Council Entry'!V158)),IF('Council Entry'!V$4="Exponential",EXP(IF(AND(ISNUMBER('Council Entry'!V$8),ISNUMBER('Council Entry'!V$9)),MAX(MIN('Council Entry'!V158,'Council Entry'!V$9),'Council Entry'!V$8),'Council Entry'!V158)),IF(AND(ISNUMBER('Council Entry'!V$8),ISNUMBER('Council Entry'!V$9)),MAX(MIN('Council Entry'!V158,'Council Entry'!V$9),'Council Entry'!V$8),'Council Entry'!V158))))-'Council Entry'!V$5)/('Council Entry'!V$6-'Council Entry'!V$5)),1))),"No data"))</f>
        <v/>
      </c>
      <c r="W158" s="13">
        <f>IF('Council Entry'!W158="","",IFERROR(MAX(0,MIN(10,ROUND(IF('Council Entry'!W$7="Decrease Risk",10-10*((IF('Council Entry'!W$4="Logarithm",LN(0.001+IF(AND(ISNUMBER('Council Entry'!W$8),ISNUMBER('Council Entry'!W$9)),MAX(MIN('Council Entry'!W158,'Council Entry'!W$9),'Council Entry'!W$8),'Council Entry'!W158)),IF('Council Entry'!W$4="Exponential",EXP(IF(AND(ISNUMBER('Council Entry'!W$8),ISNUMBER('Council Entry'!W$9)),MAX(MIN('Council Entry'!W158,'Council Entry'!W$9),'Council Entry'!W$8),'Council Entry'!W158)),IF(AND(ISNUMBER('Council Entry'!W$8),ISNUMBER('Council Entry'!W$9)),MAX(MIN('Council Entry'!W158,'Council Entry'!W$9),'Council Entry'!W$8),'Council Entry'!W158))))-'Council Entry'!W$5)/('Council Entry'!W$6-'Council Entry'!W$5),10*((IF('Council Entry'!W$4="Logarithm",LN(0.001+IF(AND(ISNUMBER('Council Entry'!W$8),ISNUMBER('Council Entry'!W$9)),MAX(MIN('Council Entry'!W158,'Council Entry'!W$9),'Council Entry'!W$8),'Council Entry'!W158)),IF('Council Entry'!W$4="Exponential",EXP(IF(AND(ISNUMBER('Council Entry'!W$8),ISNUMBER('Council Entry'!W$9)),MAX(MIN('Council Entry'!W158,'Council Entry'!W$9),'Council Entry'!W$8),'Council Entry'!W158)),IF(AND(ISNUMBER('Council Entry'!W$8),ISNUMBER('Council Entry'!W$9)),MAX(MIN('Council Entry'!W158,'Council Entry'!W$9),'Council Entry'!W$8),'Council Entry'!W158))))-'Council Entry'!W$5)/('Council Entry'!W$6-'Council Entry'!W$5)),1))),"No data"))</f>
        <v/>
      </c>
      <c r="X158" s="13">
        <f>IF('Council Entry'!X158="","",IFERROR(MAX(0,MIN(10,ROUND(IF('Council Entry'!X$7="Decrease Risk",10-10*((IF('Council Entry'!X$4="Logarithm",LN(0.001+IF(AND(ISNUMBER('Council Entry'!X$8),ISNUMBER('Council Entry'!X$9)),MAX(MIN('Council Entry'!X158,'Council Entry'!X$9),'Council Entry'!X$8),'Council Entry'!X158)),IF('Council Entry'!X$4="Exponential",EXP(IF(AND(ISNUMBER('Council Entry'!X$8),ISNUMBER('Council Entry'!X$9)),MAX(MIN('Council Entry'!X158,'Council Entry'!X$9),'Council Entry'!X$8),'Council Entry'!X158)),IF(AND(ISNUMBER('Council Entry'!X$8),ISNUMBER('Council Entry'!X$9)),MAX(MIN('Council Entry'!X158,'Council Entry'!X$9),'Council Entry'!X$8),'Council Entry'!X158))))-'Council Entry'!X$5)/('Council Entry'!X$6-'Council Entry'!X$5),10*((IF('Council Entry'!X$4="Logarithm",LN(0.001+IF(AND(ISNUMBER('Council Entry'!X$8),ISNUMBER('Council Entry'!X$9)),MAX(MIN('Council Entry'!X158,'Council Entry'!X$9),'Council Entry'!X$8),'Council Entry'!X158)),IF('Council Entry'!X$4="Exponential",EXP(IF(AND(ISNUMBER('Council Entry'!X$8),ISNUMBER('Council Entry'!X$9)),MAX(MIN('Council Entry'!X158,'Council Entry'!X$9),'Council Entry'!X$8),'Council Entry'!X158)),IF(AND(ISNUMBER('Council Entry'!X$8),ISNUMBER('Council Entry'!X$9)),MAX(MIN('Council Entry'!X158,'Council Entry'!X$9),'Council Entry'!X$8),'Council Entry'!X158))))-'Council Entry'!X$5)/('Council Entry'!X$6-'Council Entry'!X$5)),1))),"No data"))</f>
        <v/>
      </c>
      <c r="Y158" s="13">
        <f>IF('Council Entry'!Y158="","",IFERROR(MAX(0,MIN(10,ROUND(IF('Council Entry'!Y$7="Decrease Risk",10-10*((IF('Council Entry'!Y$4="Logarithm",LN(0.001+IF(AND(ISNUMBER('Council Entry'!Y$8),ISNUMBER('Council Entry'!Y$9)),MAX(MIN('Council Entry'!Y158,'Council Entry'!Y$9),'Council Entry'!Y$8),'Council Entry'!Y158)),IF('Council Entry'!Y$4="Exponential",EXP(IF(AND(ISNUMBER('Council Entry'!Y$8),ISNUMBER('Council Entry'!Y$9)),MAX(MIN('Council Entry'!Y158,'Council Entry'!Y$9),'Council Entry'!Y$8),'Council Entry'!Y158)),IF(AND(ISNUMBER('Council Entry'!Y$8),ISNUMBER('Council Entry'!Y$9)),MAX(MIN('Council Entry'!Y158,'Council Entry'!Y$9),'Council Entry'!Y$8),'Council Entry'!Y158))))-'Council Entry'!Y$5)/('Council Entry'!Y$6-'Council Entry'!Y$5),10*((IF('Council Entry'!Y$4="Logarithm",LN(0.001+IF(AND(ISNUMBER('Council Entry'!Y$8),ISNUMBER('Council Entry'!Y$9)),MAX(MIN('Council Entry'!Y158,'Council Entry'!Y$9),'Council Entry'!Y$8),'Council Entry'!Y158)),IF('Council Entry'!Y$4="Exponential",EXP(IF(AND(ISNUMBER('Council Entry'!Y$8),ISNUMBER('Council Entry'!Y$9)),MAX(MIN('Council Entry'!Y158,'Council Entry'!Y$9),'Council Entry'!Y$8),'Council Entry'!Y158)),IF(AND(ISNUMBER('Council Entry'!Y$8),ISNUMBER('Council Entry'!Y$9)),MAX(MIN('Council Entry'!Y158,'Council Entry'!Y$9),'Council Entry'!Y$8),'Council Entry'!Y158))))-'Council Entry'!Y$5)/('Council Entry'!Y$6-'Council Entry'!Y$5)),1))),"No data"))</f>
        <v/>
      </c>
      <c r="Z158" s="13">
        <f>IF('Council Entry'!Z158="","",IFERROR(MAX(0,MIN(10,ROUND(IF('Council Entry'!Z$7="Decrease Risk",10-10*((IF('Council Entry'!Z$4="Logarithm",LN(0.001+IF(AND(ISNUMBER('Council Entry'!Z$8),ISNUMBER('Council Entry'!Z$9)),MAX(MIN('Council Entry'!Z158,'Council Entry'!Z$9),'Council Entry'!Z$8),'Council Entry'!Z158)),IF('Council Entry'!Z$4="Exponential",EXP(IF(AND(ISNUMBER('Council Entry'!Z$8),ISNUMBER('Council Entry'!Z$9)),MAX(MIN('Council Entry'!Z158,'Council Entry'!Z$9),'Council Entry'!Z$8),'Council Entry'!Z158)),IF(AND(ISNUMBER('Council Entry'!Z$8),ISNUMBER('Council Entry'!Z$9)),MAX(MIN('Council Entry'!Z158,'Council Entry'!Z$9),'Council Entry'!Z$8),'Council Entry'!Z158))))-'Council Entry'!Z$5)/('Council Entry'!Z$6-'Council Entry'!Z$5),10*((IF('Council Entry'!Z$4="Logarithm",LN(0.001+IF(AND(ISNUMBER('Council Entry'!Z$8),ISNUMBER('Council Entry'!Z$9)),MAX(MIN('Council Entry'!Z158,'Council Entry'!Z$9),'Council Entry'!Z$8),'Council Entry'!Z158)),IF('Council Entry'!Z$4="Exponential",EXP(IF(AND(ISNUMBER('Council Entry'!Z$8),ISNUMBER('Council Entry'!Z$9)),MAX(MIN('Council Entry'!Z158,'Council Entry'!Z$9),'Council Entry'!Z$8),'Council Entry'!Z158)),IF(AND(ISNUMBER('Council Entry'!Z$8),ISNUMBER('Council Entry'!Z$9)),MAX(MIN('Council Entry'!Z158,'Council Entry'!Z$9),'Council Entry'!Z$8),'Council Entry'!Z158))))-'Council Entry'!Z$5)/('Council Entry'!Z$6-'Council Entry'!Z$5)),1))),"No data"))</f>
        <v/>
      </c>
      <c r="AA158" s="13">
        <f>IF('Council Entry'!AA158="","",IFERROR(MAX(0,MIN(10,ROUND(IF('Council Entry'!AA$7="Decrease Risk",10-10*((IF('Council Entry'!AA$4="Logarithm",LN(0.001+IF(AND(ISNUMBER('Council Entry'!AA$8),ISNUMBER('Council Entry'!AA$9)),MAX(MIN('Council Entry'!AA158,'Council Entry'!AA$9),'Council Entry'!AA$8),'Council Entry'!AA158)),IF('Council Entry'!AA$4="Exponential",EXP(IF(AND(ISNUMBER('Council Entry'!AA$8),ISNUMBER('Council Entry'!AA$9)),MAX(MIN('Council Entry'!AA158,'Council Entry'!AA$9),'Council Entry'!AA$8),'Council Entry'!AA158)),IF(AND(ISNUMBER('Council Entry'!AA$8),ISNUMBER('Council Entry'!AA$9)),MAX(MIN('Council Entry'!AA158,'Council Entry'!AA$9),'Council Entry'!AA$8),'Council Entry'!AA158))))-'Council Entry'!AA$5)/('Council Entry'!AA$6-'Council Entry'!AA$5),10*((IF('Council Entry'!AA$4="Logarithm",LN(0.001+IF(AND(ISNUMBER('Council Entry'!AA$8),ISNUMBER('Council Entry'!AA$9)),MAX(MIN('Council Entry'!AA158,'Council Entry'!AA$9),'Council Entry'!AA$8),'Council Entry'!AA158)),IF('Council Entry'!AA$4="Exponential",EXP(IF(AND(ISNUMBER('Council Entry'!AA$8),ISNUMBER('Council Entry'!AA$9)),MAX(MIN('Council Entry'!AA158,'Council Entry'!AA$9),'Council Entry'!AA$8),'Council Entry'!AA158)),IF(AND(ISNUMBER('Council Entry'!AA$8),ISNUMBER('Council Entry'!AA$9)),MAX(MIN('Council Entry'!AA158,'Council Entry'!AA$9),'Council Entry'!AA$8),'Council Entry'!AA158))))-'Council Entry'!AA$5)/('Council Entry'!AA$6-'Council Entry'!AA$5)),1))),"No data"))</f>
        <v/>
      </c>
      <c r="AB158" s="13">
        <f>IF('Council Entry'!AB158="","",IFERROR(MAX(0,MIN(10,ROUND(IF('Council Entry'!AB$7="Decrease Risk",10-10*((IF('Council Entry'!AB$4="Logarithm",LN(0.001+IF(AND(ISNUMBER('Council Entry'!AB$8),ISNUMBER('Council Entry'!AB$9)),MAX(MIN('Council Entry'!AB158,'Council Entry'!AB$9),'Council Entry'!AB$8),'Council Entry'!AB158)),IF('Council Entry'!AB$4="Exponential",EXP(IF(AND(ISNUMBER('Council Entry'!AB$8),ISNUMBER('Council Entry'!AB$9)),MAX(MIN('Council Entry'!AB158,'Council Entry'!AB$9),'Council Entry'!AB$8),'Council Entry'!AB158)),IF(AND(ISNUMBER('Council Entry'!AB$8),ISNUMBER('Council Entry'!AB$9)),MAX(MIN('Council Entry'!AB158,'Council Entry'!AB$9),'Council Entry'!AB$8),'Council Entry'!AB158))))-'Council Entry'!AB$5)/('Council Entry'!AB$6-'Council Entry'!AB$5),10*((IF('Council Entry'!AB$4="Logarithm",LN(0.001+IF(AND(ISNUMBER('Council Entry'!AB$8),ISNUMBER('Council Entry'!AB$9)),MAX(MIN('Council Entry'!AB158,'Council Entry'!AB$9),'Council Entry'!AB$8),'Council Entry'!AB158)),IF('Council Entry'!AB$4="Exponential",EXP(IF(AND(ISNUMBER('Council Entry'!AB$8),ISNUMBER('Council Entry'!AB$9)),MAX(MIN('Council Entry'!AB158,'Council Entry'!AB$9),'Council Entry'!AB$8),'Council Entry'!AB158)),IF(AND(ISNUMBER('Council Entry'!AB$8),ISNUMBER('Council Entry'!AB$9)),MAX(MIN('Council Entry'!AB158,'Council Entry'!AB$9),'Council Entry'!AB$8),'Council Entry'!AB158))))-'Council Entry'!AB$5)/('Council Entry'!AB$6-'Council Entry'!AB$5)),1))),"No data"))</f>
        <v/>
      </c>
      <c r="AC158" s="13">
        <f>IF('Council Entry'!AC158="","",IFERROR(MAX(0,MIN(10,ROUND(IF('Council Entry'!AC$7="Decrease Risk",10-10*((IF('Council Entry'!AC$4="Logarithm",LN(0.001+IF(AND(ISNUMBER('Council Entry'!AC$8),ISNUMBER('Council Entry'!AC$9)),MAX(MIN('Council Entry'!AC158,'Council Entry'!AC$9),'Council Entry'!AC$8),'Council Entry'!AC158)),IF('Council Entry'!AC$4="Exponential",EXP(IF(AND(ISNUMBER('Council Entry'!AC$8),ISNUMBER('Council Entry'!AC$9)),MAX(MIN('Council Entry'!AC158,'Council Entry'!AC$9),'Council Entry'!AC$8),'Council Entry'!AC158)),IF(AND(ISNUMBER('Council Entry'!AC$8),ISNUMBER('Council Entry'!AC$9)),MAX(MIN('Council Entry'!AC158,'Council Entry'!AC$9),'Council Entry'!AC$8),'Council Entry'!AC158))))-'Council Entry'!AC$5)/('Council Entry'!AC$6-'Council Entry'!AC$5),10*((IF('Council Entry'!AC$4="Logarithm",LN(0.001+IF(AND(ISNUMBER('Council Entry'!AC$8),ISNUMBER('Council Entry'!AC$9)),MAX(MIN('Council Entry'!AC158,'Council Entry'!AC$9),'Council Entry'!AC$8),'Council Entry'!AC158)),IF('Council Entry'!AC$4="Exponential",EXP(IF(AND(ISNUMBER('Council Entry'!AC$8),ISNUMBER('Council Entry'!AC$9)),MAX(MIN('Council Entry'!AC158,'Council Entry'!AC$9),'Council Entry'!AC$8),'Council Entry'!AC158)),IF(AND(ISNUMBER('Council Entry'!AC$8),ISNUMBER('Council Entry'!AC$9)),MAX(MIN('Council Entry'!AC158,'Council Entry'!AC$9),'Council Entry'!AC$8),'Council Entry'!AC158))))-'Council Entry'!AC$5)/('Council Entry'!AC$6-'Council Entry'!AC$5)),1))),"No data"))</f>
        <v/>
      </c>
      <c r="AD158" s="13">
        <f>IF('Council Entry'!AD158="","",IFERROR(MAX(0,MIN(10,ROUND(IF('Council Entry'!AD$7="Decrease Risk",10-10*((IF('Council Entry'!AD$4="Logarithm",LN(0.001+IF(AND(ISNUMBER('Council Entry'!AD$8),ISNUMBER('Council Entry'!AD$9)),MAX(MIN('Council Entry'!AD158,'Council Entry'!AD$9),'Council Entry'!AD$8),'Council Entry'!AD158)),IF('Council Entry'!AD$4="Exponential",EXP(IF(AND(ISNUMBER('Council Entry'!AD$8),ISNUMBER('Council Entry'!AD$9)),MAX(MIN('Council Entry'!AD158,'Council Entry'!AD$9),'Council Entry'!AD$8),'Council Entry'!AD158)),IF(AND(ISNUMBER('Council Entry'!AD$8),ISNUMBER('Council Entry'!AD$9)),MAX(MIN('Council Entry'!AD158,'Council Entry'!AD$9),'Council Entry'!AD$8),'Council Entry'!AD158))))-'Council Entry'!AD$5)/('Council Entry'!AD$6-'Council Entry'!AD$5),10*((IF('Council Entry'!AD$4="Logarithm",LN(0.001+IF(AND(ISNUMBER('Council Entry'!AD$8),ISNUMBER('Council Entry'!AD$9)),MAX(MIN('Council Entry'!AD158,'Council Entry'!AD$9),'Council Entry'!AD$8),'Council Entry'!AD158)),IF('Council Entry'!AD$4="Exponential",EXP(IF(AND(ISNUMBER('Council Entry'!AD$8),ISNUMBER('Council Entry'!AD$9)),MAX(MIN('Council Entry'!AD158,'Council Entry'!AD$9),'Council Entry'!AD$8),'Council Entry'!AD158)),IF(AND(ISNUMBER('Council Entry'!AD$8),ISNUMBER('Council Entry'!AD$9)),MAX(MIN('Council Entry'!AD158,'Council Entry'!AD$9),'Council Entry'!AD$8),'Council Entry'!AD158))))-'Council Entry'!AD$5)/('Council Entry'!AD$6-'Council Entry'!AD$5)),1))),"No data"))</f>
        <v/>
      </c>
      <c r="AE158" s="13">
        <f>IF('Council Entry'!AE158="","",IFERROR(MAX(0,MIN(10,ROUND(IF('Council Entry'!AE$7="Decrease Risk",10-10*((IF('Council Entry'!AE$4="Logarithm",LN(0.001+IF(AND(ISNUMBER('Council Entry'!AE$8),ISNUMBER('Council Entry'!AE$9)),MAX(MIN('Council Entry'!AE158,'Council Entry'!AE$9),'Council Entry'!AE$8),'Council Entry'!AE158)),IF('Council Entry'!AE$4="Exponential",EXP(IF(AND(ISNUMBER('Council Entry'!AE$8),ISNUMBER('Council Entry'!AE$9)),MAX(MIN('Council Entry'!AE158,'Council Entry'!AE$9),'Council Entry'!AE$8),'Council Entry'!AE158)),IF(AND(ISNUMBER('Council Entry'!AE$8),ISNUMBER('Council Entry'!AE$9)),MAX(MIN('Council Entry'!AE158,'Council Entry'!AE$9),'Council Entry'!AE$8),'Council Entry'!AE158))))-'Council Entry'!AE$5)/('Council Entry'!AE$6-'Council Entry'!AE$5),10*((IF('Council Entry'!AE$4="Logarithm",LN(0.001+IF(AND(ISNUMBER('Council Entry'!AE$8),ISNUMBER('Council Entry'!AE$9)),MAX(MIN('Council Entry'!AE158,'Council Entry'!AE$9),'Council Entry'!AE$8),'Council Entry'!AE158)),IF('Council Entry'!AE$4="Exponential",EXP(IF(AND(ISNUMBER('Council Entry'!AE$8),ISNUMBER('Council Entry'!AE$9)),MAX(MIN('Council Entry'!AE158,'Council Entry'!AE$9),'Council Entry'!AE$8),'Council Entry'!AE158)),IF(AND(ISNUMBER('Council Entry'!AE$8),ISNUMBER('Council Entry'!AE$9)),MAX(MIN('Council Entry'!AE158,'Council Entry'!AE$9),'Council Entry'!AE$8),'Council Entry'!AE158))))-'Council Entry'!AE$5)/('Council Entry'!AE$6-'Council Entry'!AE$5)),1))),"No data"))</f>
        <v/>
      </c>
      <c r="AF158" s="13">
        <f>IF('Council Entry'!AF158="","",IFERROR(MAX(0,MIN(10,ROUND(IF('Council Entry'!AF$7="Decrease Risk",10-10*((IF('Council Entry'!AF$4="Logarithm",LN(0.001+IF(AND(ISNUMBER('Council Entry'!AF$8),ISNUMBER('Council Entry'!AF$9)),MAX(MIN('Council Entry'!AF158,'Council Entry'!AF$9),'Council Entry'!AF$8),'Council Entry'!AF158)),IF('Council Entry'!AF$4="Exponential",EXP(IF(AND(ISNUMBER('Council Entry'!AF$8),ISNUMBER('Council Entry'!AF$9)),MAX(MIN('Council Entry'!AF158,'Council Entry'!AF$9),'Council Entry'!AF$8),'Council Entry'!AF158)),IF(AND(ISNUMBER('Council Entry'!AF$8),ISNUMBER('Council Entry'!AF$9)),MAX(MIN('Council Entry'!AF158,'Council Entry'!AF$9),'Council Entry'!AF$8),'Council Entry'!AF158))))-'Council Entry'!AF$5)/('Council Entry'!AF$6-'Council Entry'!AF$5),10*((IF('Council Entry'!AF$4="Logarithm",LN(0.001+IF(AND(ISNUMBER('Council Entry'!AF$8),ISNUMBER('Council Entry'!AF$9)),MAX(MIN('Council Entry'!AF158,'Council Entry'!AF$9),'Council Entry'!AF$8),'Council Entry'!AF158)),IF('Council Entry'!AF$4="Exponential",EXP(IF(AND(ISNUMBER('Council Entry'!AF$8),ISNUMBER('Council Entry'!AF$9)),MAX(MIN('Council Entry'!AF158,'Council Entry'!AF$9),'Council Entry'!AF$8),'Council Entry'!AF158)),IF(AND(ISNUMBER('Council Entry'!AF$8),ISNUMBER('Council Entry'!AF$9)),MAX(MIN('Council Entry'!AF158,'Council Entry'!AF$9),'Council Entry'!AF$8),'Council Entry'!AF158))))-'Council Entry'!AF$5)/('Council Entry'!AF$6-'Council Entry'!AF$5)),1))),"No data"))</f>
        <v/>
      </c>
      <c r="AG158" s="13">
        <f>IF('Council Entry'!AG158="","",IFERROR(MAX(0,MIN(10,ROUND(IF('Council Entry'!AG$7="Decrease Risk",10-10*((IF('Council Entry'!AG$4="Logarithm",LN(0.001+IF(AND(ISNUMBER('Council Entry'!AG$8),ISNUMBER('Council Entry'!AG$9)),MAX(MIN('Council Entry'!AG158,'Council Entry'!AG$9),'Council Entry'!AG$8),'Council Entry'!AG158)),IF('Council Entry'!AG$4="Exponential",EXP(IF(AND(ISNUMBER('Council Entry'!AG$8),ISNUMBER('Council Entry'!AG$9)),MAX(MIN('Council Entry'!AG158,'Council Entry'!AG$9),'Council Entry'!AG$8),'Council Entry'!AG158)),IF(AND(ISNUMBER('Council Entry'!AG$8),ISNUMBER('Council Entry'!AG$9)),MAX(MIN('Council Entry'!AG158,'Council Entry'!AG$9),'Council Entry'!AG$8),'Council Entry'!AG158))))-'Council Entry'!AG$5)/('Council Entry'!AG$6-'Council Entry'!AG$5),10*((IF('Council Entry'!AG$4="Logarithm",LN(0.001+IF(AND(ISNUMBER('Council Entry'!AG$8),ISNUMBER('Council Entry'!AG$9)),MAX(MIN('Council Entry'!AG158,'Council Entry'!AG$9),'Council Entry'!AG$8),'Council Entry'!AG158)),IF('Council Entry'!AG$4="Exponential",EXP(IF(AND(ISNUMBER('Council Entry'!AG$8),ISNUMBER('Council Entry'!AG$9)),MAX(MIN('Council Entry'!AG158,'Council Entry'!AG$9),'Council Entry'!AG$8),'Council Entry'!AG158)),IF(AND(ISNUMBER('Council Entry'!AG$8),ISNUMBER('Council Entry'!AG$9)),MAX(MIN('Council Entry'!AG158,'Council Entry'!AG$9),'Council Entry'!AG$8),'Council Entry'!AG158))))-'Council Entry'!AG$5)/('Council Entry'!AG$6-'Council Entry'!AG$5)),1))),"No data"))</f>
        <v/>
      </c>
      <c r="AH158" s="13">
        <f>IF('Council Entry'!AH158="","",IFERROR(MAX(0,MIN(10,ROUND(IF('Council Entry'!AH$7="Decrease Risk",10-10*((IF('Council Entry'!AH$4="Logarithm",LN(0.001+IF(AND(ISNUMBER('Council Entry'!AH$8),ISNUMBER('Council Entry'!AH$9)),MAX(MIN('Council Entry'!AH158,'Council Entry'!AH$9),'Council Entry'!AH$8),'Council Entry'!AH158)),IF('Council Entry'!AH$4="Exponential",EXP(IF(AND(ISNUMBER('Council Entry'!AH$8),ISNUMBER('Council Entry'!AH$9)),MAX(MIN('Council Entry'!AH158,'Council Entry'!AH$9),'Council Entry'!AH$8),'Council Entry'!AH158)),IF(AND(ISNUMBER('Council Entry'!AH$8),ISNUMBER('Council Entry'!AH$9)),MAX(MIN('Council Entry'!AH158,'Council Entry'!AH$9),'Council Entry'!AH$8),'Council Entry'!AH158))))-'Council Entry'!AH$5)/('Council Entry'!AH$6-'Council Entry'!AH$5),10*((IF('Council Entry'!AH$4="Logarithm",LN(0.001+IF(AND(ISNUMBER('Council Entry'!AH$8),ISNUMBER('Council Entry'!AH$9)),MAX(MIN('Council Entry'!AH158,'Council Entry'!AH$9),'Council Entry'!AH$8),'Council Entry'!AH158)),IF('Council Entry'!AH$4="Exponential",EXP(IF(AND(ISNUMBER('Council Entry'!AH$8),ISNUMBER('Council Entry'!AH$9)),MAX(MIN('Council Entry'!AH158,'Council Entry'!AH$9),'Council Entry'!AH$8),'Council Entry'!AH158)),IF(AND(ISNUMBER('Council Entry'!AH$8),ISNUMBER('Council Entry'!AH$9)),MAX(MIN('Council Entry'!AH158,'Council Entry'!AH$9),'Council Entry'!AH$8),'Council Entry'!AH158))))-'Council Entry'!AH$5)/('Council Entry'!AH$6-'Council Entry'!AH$5)),1))),"No data"))</f>
        <v/>
      </c>
      <c r="AI158" s="13">
        <f>IF('Council Entry'!AI158="","",IFERROR(MAX(0,MIN(10,ROUND(IF('Council Entry'!AI$7="Decrease Risk",10-10*((IF('Council Entry'!AI$4="Logarithm",LN(0.001+IF(AND(ISNUMBER('Council Entry'!AI$8),ISNUMBER('Council Entry'!AI$9)),MAX(MIN('Council Entry'!AI158,'Council Entry'!AI$9),'Council Entry'!AI$8),'Council Entry'!AI158)),IF('Council Entry'!AI$4="Exponential",EXP(IF(AND(ISNUMBER('Council Entry'!AI$8),ISNUMBER('Council Entry'!AI$9)),MAX(MIN('Council Entry'!AI158,'Council Entry'!AI$9),'Council Entry'!AI$8),'Council Entry'!AI158)),IF(AND(ISNUMBER('Council Entry'!AI$8),ISNUMBER('Council Entry'!AI$9)),MAX(MIN('Council Entry'!AI158,'Council Entry'!AI$9),'Council Entry'!AI$8),'Council Entry'!AI158))))-'Council Entry'!AI$5)/('Council Entry'!AI$6-'Council Entry'!AI$5),10*((IF('Council Entry'!AI$4="Logarithm",LN(0.001+IF(AND(ISNUMBER('Council Entry'!AI$8),ISNUMBER('Council Entry'!AI$9)),MAX(MIN('Council Entry'!AI158,'Council Entry'!AI$9),'Council Entry'!AI$8),'Council Entry'!AI158)),IF('Council Entry'!AI$4="Exponential",EXP(IF(AND(ISNUMBER('Council Entry'!AI$8),ISNUMBER('Council Entry'!AI$9)),MAX(MIN('Council Entry'!AI158,'Council Entry'!AI$9),'Council Entry'!AI$8),'Council Entry'!AI158)),IF(AND(ISNUMBER('Council Entry'!AI$8),ISNUMBER('Council Entry'!AI$9)),MAX(MIN('Council Entry'!AI158,'Council Entry'!AI$9),'Council Entry'!AI$8),'Council Entry'!AI158))))-'Council Entry'!AI$5)/('Council Entry'!AI$6-'Council Entry'!AI$5)),1))),"No data"))</f>
        <v/>
      </c>
      <c r="AJ158" s="13">
        <f>IF('Council Entry'!AJ158="","",IFERROR(MAX(0,MIN(10,ROUND(IF('Council Entry'!AJ$7="Decrease Risk",10-10*((IF('Council Entry'!AJ$4="Logarithm",LN(0.001+IF(AND(ISNUMBER('Council Entry'!AJ$8),ISNUMBER('Council Entry'!AJ$9)),MAX(MIN('Council Entry'!AJ158,'Council Entry'!AJ$9),'Council Entry'!AJ$8),'Council Entry'!AJ158)),IF('Council Entry'!AJ$4="Exponential",EXP(IF(AND(ISNUMBER('Council Entry'!AJ$8),ISNUMBER('Council Entry'!AJ$9)),MAX(MIN('Council Entry'!AJ158,'Council Entry'!AJ$9),'Council Entry'!AJ$8),'Council Entry'!AJ158)),IF(AND(ISNUMBER('Council Entry'!AJ$8),ISNUMBER('Council Entry'!AJ$9)),MAX(MIN('Council Entry'!AJ158,'Council Entry'!AJ$9),'Council Entry'!AJ$8),'Council Entry'!AJ158))))-'Council Entry'!AJ$5)/('Council Entry'!AJ$6-'Council Entry'!AJ$5),10*((IF('Council Entry'!AJ$4="Logarithm",LN(0.001+IF(AND(ISNUMBER('Council Entry'!AJ$8),ISNUMBER('Council Entry'!AJ$9)),MAX(MIN('Council Entry'!AJ158,'Council Entry'!AJ$9),'Council Entry'!AJ$8),'Council Entry'!AJ158)),IF('Council Entry'!AJ$4="Exponential",EXP(IF(AND(ISNUMBER('Council Entry'!AJ$8),ISNUMBER('Council Entry'!AJ$9)),MAX(MIN('Council Entry'!AJ158,'Council Entry'!AJ$9),'Council Entry'!AJ$8),'Council Entry'!AJ158)),IF(AND(ISNUMBER('Council Entry'!AJ$8),ISNUMBER('Council Entry'!AJ$9)),MAX(MIN('Council Entry'!AJ158,'Council Entry'!AJ$9),'Council Entry'!AJ$8),'Council Entry'!AJ158))))-'Council Entry'!AJ$5)/('Council Entry'!AJ$6-'Council Entry'!AJ$5)),1))),"No data"))</f>
        <v/>
      </c>
      <c r="AK158" s="13">
        <f>IF('Council Entry'!AK158="","",IFERROR(MAX(0,MIN(10,ROUND(IF('Council Entry'!AK$7="Decrease Risk",10-10*((IF('Council Entry'!AK$4="Logarithm",LN(0.001+IF(AND(ISNUMBER('Council Entry'!AK$8),ISNUMBER('Council Entry'!AK$9)),MAX(MIN('Council Entry'!AK158,'Council Entry'!AK$9),'Council Entry'!AK$8),'Council Entry'!AK158)),IF('Council Entry'!AK$4="Exponential",EXP(IF(AND(ISNUMBER('Council Entry'!AK$8),ISNUMBER('Council Entry'!AK$9)),MAX(MIN('Council Entry'!AK158,'Council Entry'!AK$9),'Council Entry'!AK$8),'Council Entry'!AK158)),IF(AND(ISNUMBER('Council Entry'!AK$8),ISNUMBER('Council Entry'!AK$9)),MAX(MIN('Council Entry'!AK158,'Council Entry'!AK$9),'Council Entry'!AK$8),'Council Entry'!AK158))))-'Council Entry'!AK$5)/('Council Entry'!AK$6-'Council Entry'!AK$5),10*((IF('Council Entry'!AK$4="Logarithm",LN(0.001+IF(AND(ISNUMBER('Council Entry'!AK$8),ISNUMBER('Council Entry'!AK$9)),MAX(MIN('Council Entry'!AK158,'Council Entry'!AK$9),'Council Entry'!AK$8),'Council Entry'!AK158)),IF('Council Entry'!AK$4="Exponential",EXP(IF(AND(ISNUMBER('Council Entry'!AK$8),ISNUMBER('Council Entry'!AK$9)),MAX(MIN('Council Entry'!AK158,'Council Entry'!AK$9),'Council Entry'!AK$8),'Council Entry'!AK158)),IF(AND(ISNUMBER('Council Entry'!AK$8),ISNUMBER('Council Entry'!AK$9)),MAX(MIN('Council Entry'!AK158,'Council Entry'!AK$9),'Council Entry'!AK$8),'Council Entry'!AK158))))-'Council Entry'!AK$5)/('Council Entry'!AK$6-'Council Entry'!AK$5)),1))),"No data"))</f>
        <v/>
      </c>
      <c r="AL158" s="13">
        <f>IF('Council Entry'!AL158="","",IFERROR(MAX(0,MIN(10,ROUND(IF('Council Entry'!AL$7="Decrease Risk",10-10*((IF('Council Entry'!AL$4="Logarithm",LN(0.001+IF(AND(ISNUMBER('Council Entry'!AL$8),ISNUMBER('Council Entry'!AL$9)),MAX(MIN('Council Entry'!AL158,'Council Entry'!AL$9),'Council Entry'!AL$8),'Council Entry'!AL158)),IF('Council Entry'!AL$4="Exponential",EXP(IF(AND(ISNUMBER('Council Entry'!AL$8),ISNUMBER('Council Entry'!AL$9)),MAX(MIN('Council Entry'!AL158,'Council Entry'!AL$9),'Council Entry'!AL$8),'Council Entry'!AL158)),IF(AND(ISNUMBER('Council Entry'!AL$8),ISNUMBER('Council Entry'!AL$9)),MAX(MIN('Council Entry'!AL158,'Council Entry'!AL$9),'Council Entry'!AL$8),'Council Entry'!AL158))))-'Council Entry'!AL$5)/('Council Entry'!AL$6-'Council Entry'!AL$5),10*((IF('Council Entry'!AL$4="Logarithm",LN(0.001+IF(AND(ISNUMBER('Council Entry'!AL$8),ISNUMBER('Council Entry'!AL$9)),MAX(MIN('Council Entry'!AL158,'Council Entry'!AL$9),'Council Entry'!AL$8),'Council Entry'!AL158)),IF('Council Entry'!AL$4="Exponential",EXP(IF(AND(ISNUMBER('Council Entry'!AL$8),ISNUMBER('Council Entry'!AL$9)),MAX(MIN('Council Entry'!AL158,'Council Entry'!AL$9),'Council Entry'!AL$8),'Council Entry'!AL158)),IF(AND(ISNUMBER('Council Entry'!AL$8),ISNUMBER('Council Entry'!AL$9)),MAX(MIN('Council Entry'!AL158,'Council Entry'!AL$9),'Council Entry'!AL$8),'Council Entry'!AL158))))-'Council Entry'!AL$5)/('Council Entry'!AL$6-'Council Entry'!AL$5)),1))),"No data"))</f>
        <v/>
      </c>
      <c r="AM158" s="13">
        <f>IF('Council Entry'!AM158="","",IFERROR(MAX(0,MIN(10,ROUND(IF('Council Entry'!AM$7="Decrease Risk",10-10*((IF('Council Entry'!AM$4="Logarithm",LN(0.001+IF(AND(ISNUMBER('Council Entry'!AM$8),ISNUMBER('Council Entry'!AM$9)),MAX(MIN('Council Entry'!AM158,'Council Entry'!AM$9),'Council Entry'!AM$8),'Council Entry'!AM158)),IF('Council Entry'!AM$4="Exponential",EXP(IF(AND(ISNUMBER('Council Entry'!AM$8),ISNUMBER('Council Entry'!AM$9)),MAX(MIN('Council Entry'!AM158,'Council Entry'!AM$9),'Council Entry'!AM$8),'Council Entry'!AM158)),IF(AND(ISNUMBER('Council Entry'!AM$8),ISNUMBER('Council Entry'!AM$9)),MAX(MIN('Council Entry'!AM158,'Council Entry'!AM$9),'Council Entry'!AM$8),'Council Entry'!AM158))))-'Council Entry'!AM$5)/('Council Entry'!AM$6-'Council Entry'!AM$5),10*((IF('Council Entry'!AM$4="Logarithm",LN(0.001+IF(AND(ISNUMBER('Council Entry'!AM$8),ISNUMBER('Council Entry'!AM$9)),MAX(MIN('Council Entry'!AM158,'Council Entry'!AM$9),'Council Entry'!AM$8),'Council Entry'!AM158)),IF('Council Entry'!AM$4="Exponential",EXP(IF(AND(ISNUMBER('Council Entry'!AM$8),ISNUMBER('Council Entry'!AM$9)),MAX(MIN('Council Entry'!AM158,'Council Entry'!AM$9),'Council Entry'!AM$8),'Council Entry'!AM158)),IF(AND(ISNUMBER('Council Entry'!AM$8),ISNUMBER('Council Entry'!AM$9)),MAX(MIN('Council Entry'!AM158,'Council Entry'!AM$9),'Council Entry'!AM$8),'Council Entry'!AM158))))-'Council Entry'!AM$5)/('Council Entry'!AM$6-'Council Entry'!AM$5)),1))),"No data"))</f>
        <v/>
      </c>
      <c r="AN158" s="13">
        <f>IF('Council Entry'!AN158="","",IFERROR(MAX(0,MIN(10,ROUND(IF('Council Entry'!AN$7="Decrease Risk",10-10*((IF('Council Entry'!AN$4="Logarithm",LN(0.001+IF(AND(ISNUMBER('Council Entry'!AN$8),ISNUMBER('Council Entry'!AN$9)),MAX(MIN('Council Entry'!AN158,'Council Entry'!AN$9),'Council Entry'!AN$8),'Council Entry'!AN158)),IF('Council Entry'!AN$4="Exponential",EXP(IF(AND(ISNUMBER('Council Entry'!AN$8),ISNUMBER('Council Entry'!AN$9)),MAX(MIN('Council Entry'!AN158,'Council Entry'!AN$9),'Council Entry'!AN$8),'Council Entry'!AN158)),IF(AND(ISNUMBER('Council Entry'!AN$8),ISNUMBER('Council Entry'!AN$9)),MAX(MIN('Council Entry'!AN158,'Council Entry'!AN$9),'Council Entry'!AN$8),'Council Entry'!AN158))))-'Council Entry'!AN$5)/('Council Entry'!AN$6-'Council Entry'!AN$5),10*((IF('Council Entry'!AN$4="Logarithm",LN(0.001+IF(AND(ISNUMBER('Council Entry'!AN$8),ISNUMBER('Council Entry'!AN$9)),MAX(MIN('Council Entry'!AN158,'Council Entry'!AN$9),'Council Entry'!AN$8),'Council Entry'!AN158)),IF('Council Entry'!AN$4="Exponential",EXP(IF(AND(ISNUMBER('Council Entry'!AN$8),ISNUMBER('Council Entry'!AN$9)),MAX(MIN('Council Entry'!AN158,'Council Entry'!AN$9),'Council Entry'!AN$8),'Council Entry'!AN158)),IF(AND(ISNUMBER('Council Entry'!AN$8),ISNUMBER('Council Entry'!AN$9)),MAX(MIN('Council Entry'!AN158,'Council Entry'!AN$9),'Council Entry'!AN$8),'Council Entry'!AN158))))-'Council Entry'!AN$5)/('Council Entry'!AN$6-'Council Entry'!AN$5)),1))),"No data"))</f>
        <v/>
      </c>
      <c r="AO158" s="13">
        <f>IF('Council Entry'!AO158="","",IFERROR(MAX(0,MIN(10,ROUND(IF('Council Entry'!AO$7="Decrease Risk",10-10*((IF('Council Entry'!AO$4="Logarithm",LN(0.001+IF(AND(ISNUMBER('Council Entry'!AO$8),ISNUMBER('Council Entry'!AO$9)),MAX(MIN('Council Entry'!AO158,'Council Entry'!AO$9),'Council Entry'!AO$8),'Council Entry'!AO158)),IF('Council Entry'!AO$4="Exponential",EXP(IF(AND(ISNUMBER('Council Entry'!AO$8),ISNUMBER('Council Entry'!AO$9)),MAX(MIN('Council Entry'!AO158,'Council Entry'!AO$9),'Council Entry'!AO$8),'Council Entry'!AO158)),IF(AND(ISNUMBER('Council Entry'!AO$8),ISNUMBER('Council Entry'!AO$9)),MAX(MIN('Council Entry'!AO158,'Council Entry'!AO$9),'Council Entry'!AO$8),'Council Entry'!AO158))))-'Council Entry'!AO$5)/('Council Entry'!AO$6-'Council Entry'!AO$5),10*((IF('Council Entry'!AO$4="Logarithm",LN(0.001+IF(AND(ISNUMBER('Council Entry'!AO$8),ISNUMBER('Council Entry'!AO$9)),MAX(MIN('Council Entry'!AO158,'Council Entry'!AO$9),'Council Entry'!AO$8),'Council Entry'!AO158)),IF('Council Entry'!AO$4="Exponential",EXP(IF(AND(ISNUMBER('Council Entry'!AO$8),ISNUMBER('Council Entry'!AO$9)),MAX(MIN('Council Entry'!AO158,'Council Entry'!AO$9),'Council Entry'!AO$8),'Council Entry'!AO158)),IF(AND(ISNUMBER('Council Entry'!AO$8),ISNUMBER('Council Entry'!AO$9)),MAX(MIN('Council Entry'!AO158,'Council Entry'!AO$9),'Council Entry'!AO$8),'Council Entry'!AO158))))-'Council Entry'!AO$5)/('Council Entry'!AO$6-'Council Entry'!AO$5)),1))),"No data"))</f>
        <v/>
      </c>
      <c r="AP158" s="13">
        <f>IF('Council Entry'!AP158="","",IFERROR(MAX(0,MIN(10,ROUND(IF('Council Entry'!AP$7="Decrease Risk",10-10*((IF('Council Entry'!AP$4="Logarithm",LN(0.001+IF(AND(ISNUMBER('Council Entry'!AP$8),ISNUMBER('Council Entry'!AP$9)),MAX(MIN('Council Entry'!AP158,'Council Entry'!AP$9),'Council Entry'!AP$8),'Council Entry'!AP158)),IF('Council Entry'!AP$4="Exponential",EXP(IF(AND(ISNUMBER('Council Entry'!AP$8),ISNUMBER('Council Entry'!AP$9)),MAX(MIN('Council Entry'!AP158,'Council Entry'!AP$9),'Council Entry'!AP$8),'Council Entry'!AP158)),IF(AND(ISNUMBER('Council Entry'!AP$8),ISNUMBER('Council Entry'!AP$9)),MAX(MIN('Council Entry'!AP158,'Council Entry'!AP$9),'Council Entry'!AP$8),'Council Entry'!AP158))))-'Council Entry'!AP$5)/('Council Entry'!AP$6-'Council Entry'!AP$5),10*((IF('Council Entry'!AP$4="Logarithm",LN(0.001+IF(AND(ISNUMBER('Council Entry'!AP$8),ISNUMBER('Council Entry'!AP$9)),MAX(MIN('Council Entry'!AP158,'Council Entry'!AP$9),'Council Entry'!AP$8),'Council Entry'!AP158)),IF('Council Entry'!AP$4="Exponential",EXP(IF(AND(ISNUMBER('Council Entry'!AP$8),ISNUMBER('Council Entry'!AP$9)),MAX(MIN('Council Entry'!AP158,'Council Entry'!AP$9),'Council Entry'!AP$8),'Council Entry'!AP158)),IF(AND(ISNUMBER('Council Entry'!AP$8),ISNUMBER('Council Entry'!AP$9)),MAX(MIN('Council Entry'!AP158,'Council Entry'!AP$9),'Council Entry'!AP$8),'Council Entry'!AP158))))-'Council Entry'!AP$5)/('Council Entry'!AP$6-'Council Entry'!AP$5)),1))),"No data"))</f>
        <v/>
      </c>
      <c r="AQ158" s="13">
        <f>IF('Council Entry'!AQ158="","",IFERROR(MAX(0,MIN(10,ROUND(IF('Council Entry'!AQ$7="Decrease Risk",10-10*((IF('Council Entry'!AQ$4="Logarithm",LN(0.001+IF(AND(ISNUMBER('Council Entry'!AQ$8),ISNUMBER('Council Entry'!AQ$9)),MAX(MIN('Council Entry'!AQ158,'Council Entry'!AQ$9),'Council Entry'!AQ$8),'Council Entry'!AQ158)),IF('Council Entry'!AQ$4="Exponential",EXP(IF(AND(ISNUMBER('Council Entry'!AQ$8),ISNUMBER('Council Entry'!AQ$9)),MAX(MIN('Council Entry'!AQ158,'Council Entry'!AQ$9),'Council Entry'!AQ$8),'Council Entry'!AQ158)),IF(AND(ISNUMBER('Council Entry'!AQ$8),ISNUMBER('Council Entry'!AQ$9)),MAX(MIN('Council Entry'!AQ158,'Council Entry'!AQ$9),'Council Entry'!AQ$8),'Council Entry'!AQ158))))-'Council Entry'!AQ$5)/('Council Entry'!AQ$6-'Council Entry'!AQ$5),10*((IF('Council Entry'!AQ$4="Logarithm",LN(0.001+IF(AND(ISNUMBER('Council Entry'!AQ$8),ISNUMBER('Council Entry'!AQ$9)),MAX(MIN('Council Entry'!AQ158,'Council Entry'!AQ$9),'Council Entry'!AQ$8),'Council Entry'!AQ158)),IF('Council Entry'!AQ$4="Exponential",EXP(IF(AND(ISNUMBER('Council Entry'!AQ$8),ISNUMBER('Council Entry'!AQ$9)),MAX(MIN('Council Entry'!AQ158,'Council Entry'!AQ$9),'Council Entry'!AQ$8),'Council Entry'!AQ158)),IF(AND(ISNUMBER('Council Entry'!AQ$8),ISNUMBER('Council Entry'!AQ$9)),MAX(MIN('Council Entry'!AQ158,'Council Entry'!AQ$9),'Council Entry'!AQ$8),'Council Entry'!AQ158))))-'Council Entry'!AQ$5)/('Council Entry'!AQ$6-'Council Entry'!AQ$5)),1))),"No data"))</f>
        <v/>
      </c>
      <c r="AR158" s="13">
        <f>IF('Council Entry'!AR158="","",IFERROR(MAX(0,MIN(10,ROUND(IF('Council Entry'!AR$7="Decrease Risk",10-10*((IF('Council Entry'!AR$4="Logarithm",LN(0.001+IF(AND(ISNUMBER('Council Entry'!AR$8),ISNUMBER('Council Entry'!AR$9)),MAX(MIN('Council Entry'!AR158,'Council Entry'!AR$9),'Council Entry'!AR$8),'Council Entry'!AR158)),IF('Council Entry'!AR$4="Exponential",EXP(IF(AND(ISNUMBER('Council Entry'!AR$8),ISNUMBER('Council Entry'!AR$9)),MAX(MIN('Council Entry'!AR158,'Council Entry'!AR$9),'Council Entry'!AR$8),'Council Entry'!AR158)),IF(AND(ISNUMBER('Council Entry'!AR$8),ISNUMBER('Council Entry'!AR$9)),MAX(MIN('Council Entry'!AR158,'Council Entry'!AR$9),'Council Entry'!AR$8),'Council Entry'!AR158))))-'Council Entry'!AR$5)/('Council Entry'!AR$6-'Council Entry'!AR$5),10*((IF('Council Entry'!AR$4="Logarithm",LN(0.001+IF(AND(ISNUMBER('Council Entry'!AR$8),ISNUMBER('Council Entry'!AR$9)),MAX(MIN('Council Entry'!AR158,'Council Entry'!AR$9),'Council Entry'!AR$8),'Council Entry'!AR158)),IF('Council Entry'!AR$4="Exponential",EXP(IF(AND(ISNUMBER('Council Entry'!AR$8),ISNUMBER('Council Entry'!AR$9)),MAX(MIN('Council Entry'!AR158,'Council Entry'!AR$9),'Council Entry'!AR$8),'Council Entry'!AR158)),IF(AND(ISNUMBER('Council Entry'!AR$8),ISNUMBER('Council Entry'!AR$9)),MAX(MIN('Council Entry'!AR158,'Council Entry'!AR$9),'Council Entry'!AR$8),'Council Entry'!AR158))))-'Council Entry'!AR$5)/('Council Entry'!AR$6-'Council Entry'!AR$5)),1))),"No data"))</f>
        <v/>
      </c>
      <c r="AS158" s="13">
        <f>IF('Council Entry'!AS158="","",IFERROR(MAX(0,MIN(10,ROUND(IF('Council Entry'!AS$7="Decrease Risk",10-10*((IF('Council Entry'!AS$4="Logarithm",LN(0.001+IF(AND(ISNUMBER('Council Entry'!AS$8),ISNUMBER('Council Entry'!AS$9)),MAX(MIN('Council Entry'!AS158,'Council Entry'!AS$9),'Council Entry'!AS$8),'Council Entry'!AS158)),IF('Council Entry'!AS$4="Exponential",EXP(IF(AND(ISNUMBER('Council Entry'!AS$8),ISNUMBER('Council Entry'!AS$9)),MAX(MIN('Council Entry'!AS158,'Council Entry'!AS$9),'Council Entry'!AS$8),'Council Entry'!AS158)),IF(AND(ISNUMBER('Council Entry'!AS$8),ISNUMBER('Council Entry'!AS$9)),MAX(MIN('Council Entry'!AS158,'Council Entry'!AS$9),'Council Entry'!AS$8),'Council Entry'!AS158))))-'Council Entry'!AS$5)/('Council Entry'!AS$6-'Council Entry'!AS$5),10*((IF('Council Entry'!AS$4="Logarithm",LN(0.001+IF(AND(ISNUMBER('Council Entry'!AS$8),ISNUMBER('Council Entry'!AS$9)),MAX(MIN('Council Entry'!AS158,'Council Entry'!AS$9),'Council Entry'!AS$8),'Council Entry'!AS158)),IF('Council Entry'!AS$4="Exponential",EXP(IF(AND(ISNUMBER('Council Entry'!AS$8),ISNUMBER('Council Entry'!AS$9)),MAX(MIN('Council Entry'!AS158,'Council Entry'!AS$9),'Council Entry'!AS$8),'Council Entry'!AS158)),IF(AND(ISNUMBER('Council Entry'!AS$8),ISNUMBER('Council Entry'!AS$9)),MAX(MIN('Council Entry'!AS158,'Council Entry'!AS$9),'Council Entry'!AS$8),'Council Entry'!AS158))))-'Council Entry'!AS$5)/('Council Entry'!AS$6-'Council Entry'!AS$5)),1))),"No data"))</f>
        <v/>
      </c>
      <c r="AT158" s="13">
        <f>IF('Council Entry'!AT158="","",IFERROR(MAX(0,MIN(10,ROUND(IF('Council Entry'!AT$7="Decrease Risk",10-10*((IF('Council Entry'!AT$4="Logarithm",LN(0.001+IF(AND(ISNUMBER('Council Entry'!AT$8),ISNUMBER('Council Entry'!AT$9)),MAX(MIN('Council Entry'!AT158,'Council Entry'!AT$9),'Council Entry'!AT$8),'Council Entry'!AT158)),IF('Council Entry'!AT$4="Exponential",EXP(IF(AND(ISNUMBER('Council Entry'!AT$8),ISNUMBER('Council Entry'!AT$9)),MAX(MIN('Council Entry'!AT158,'Council Entry'!AT$9),'Council Entry'!AT$8),'Council Entry'!AT158)),IF(AND(ISNUMBER('Council Entry'!AT$8),ISNUMBER('Council Entry'!AT$9)),MAX(MIN('Council Entry'!AT158,'Council Entry'!AT$9),'Council Entry'!AT$8),'Council Entry'!AT158))))-'Council Entry'!AT$5)/('Council Entry'!AT$6-'Council Entry'!AT$5),10*((IF('Council Entry'!AT$4="Logarithm",LN(0.001+IF(AND(ISNUMBER('Council Entry'!AT$8),ISNUMBER('Council Entry'!AT$9)),MAX(MIN('Council Entry'!AT158,'Council Entry'!AT$9),'Council Entry'!AT$8),'Council Entry'!AT158)),IF('Council Entry'!AT$4="Exponential",EXP(IF(AND(ISNUMBER('Council Entry'!AT$8),ISNUMBER('Council Entry'!AT$9)),MAX(MIN('Council Entry'!AT158,'Council Entry'!AT$9),'Council Entry'!AT$8),'Council Entry'!AT158)),IF(AND(ISNUMBER('Council Entry'!AT$8),ISNUMBER('Council Entry'!AT$9)),MAX(MIN('Council Entry'!AT158,'Council Entry'!AT$9),'Council Entry'!AT$8),'Council Entry'!AT158))))-'Council Entry'!AT$5)/('Council Entry'!AT$6-'Council Entry'!AT$5)),1))),"No data"))</f>
        <v/>
      </c>
      <c r="AU158" s="13">
        <f>IF('Council Entry'!AU158="","",IFERROR(MAX(0,MIN(10,ROUND(IF('Council Entry'!AU$7="Decrease Risk",10-10*((IF('Council Entry'!AU$4="Logarithm",LN(0.001+IF(AND(ISNUMBER('Council Entry'!AU$8),ISNUMBER('Council Entry'!AU$9)),MAX(MIN('Council Entry'!AU158,'Council Entry'!AU$9),'Council Entry'!AU$8),'Council Entry'!AU158)),IF('Council Entry'!AU$4="Exponential",EXP(IF(AND(ISNUMBER('Council Entry'!AU$8),ISNUMBER('Council Entry'!AU$9)),MAX(MIN('Council Entry'!AU158,'Council Entry'!AU$9),'Council Entry'!AU$8),'Council Entry'!AU158)),IF(AND(ISNUMBER('Council Entry'!AU$8),ISNUMBER('Council Entry'!AU$9)),MAX(MIN('Council Entry'!AU158,'Council Entry'!AU$9),'Council Entry'!AU$8),'Council Entry'!AU158))))-'Council Entry'!AU$5)/('Council Entry'!AU$6-'Council Entry'!AU$5),10*((IF('Council Entry'!AU$4="Logarithm",LN(0.001+IF(AND(ISNUMBER('Council Entry'!AU$8),ISNUMBER('Council Entry'!AU$9)),MAX(MIN('Council Entry'!AU158,'Council Entry'!AU$9),'Council Entry'!AU$8),'Council Entry'!AU158)),IF('Council Entry'!AU$4="Exponential",EXP(IF(AND(ISNUMBER('Council Entry'!AU$8),ISNUMBER('Council Entry'!AU$9)),MAX(MIN('Council Entry'!AU158,'Council Entry'!AU$9),'Council Entry'!AU$8),'Council Entry'!AU158)),IF(AND(ISNUMBER('Council Entry'!AU$8),ISNUMBER('Council Entry'!AU$9)),MAX(MIN('Council Entry'!AU158,'Council Entry'!AU$9),'Council Entry'!AU$8),'Council Entry'!AU158))))-'Council Entry'!AU$5)/('Council Entry'!AU$6-'Council Entry'!AU$5)),1))),"No data"))</f>
        <v/>
      </c>
      <c r="AV158" s="13">
        <f>IF('Council Entry'!AV158="","",IFERROR(MAX(0,MIN(10,ROUND(IF('Council Entry'!AV$7="Decrease Risk",10-10*((IF('Council Entry'!AV$4="Logarithm",LN(0.001+IF(AND(ISNUMBER('Council Entry'!AV$8),ISNUMBER('Council Entry'!AV$9)),MAX(MIN('Council Entry'!AV158,'Council Entry'!AV$9),'Council Entry'!AV$8),'Council Entry'!AV158)),IF('Council Entry'!AV$4="Exponential",EXP(IF(AND(ISNUMBER('Council Entry'!AV$8),ISNUMBER('Council Entry'!AV$9)),MAX(MIN('Council Entry'!AV158,'Council Entry'!AV$9),'Council Entry'!AV$8),'Council Entry'!AV158)),IF(AND(ISNUMBER('Council Entry'!AV$8),ISNUMBER('Council Entry'!AV$9)),MAX(MIN('Council Entry'!AV158,'Council Entry'!AV$9),'Council Entry'!AV$8),'Council Entry'!AV158))))-'Council Entry'!AV$5)/('Council Entry'!AV$6-'Council Entry'!AV$5),10*((IF('Council Entry'!AV$4="Logarithm",LN(0.001+IF(AND(ISNUMBER('Council Entry'!AV$8),ISNUMBER('Council Entry'!AV$9)),MAX(MIN('Council Entry'!AV158,'Council Entry'!AV$9),'Council Entry'!AV$8),'Council Entry'!AV158)),IF('Council Entry'!AV$4="Exponential",EXP(IF(AND(ISNUMBER('Council Entry'!AV$8),ISNUMBER('Council Entry'!AV$9)),MAX(MIN('Council Entry'!AV158,'Council Entry'!AV$9),'Council Entry'!AV$8),'Council Entry'!AV158)),IF(AND(ISNUMBER('Council Entry'!AV$8),ISNUMBER('Council Entry'!AV$9)),MAX(MIN('Council Entry'!AV158,'Council Entry'!AV$9),'Council Entry'!AV$8),'Council Entry'!AV158))))-'Council Entry'!AV$5)/('Council Entry'!AV$6-'Council Entry'!AV$5)),1))),"No data"))</f>
        <v/>
      </c>
      <c r="AW158" s="13">
        <f>IF('Council Entry'!AW158="","",IFERROR(MAX(0,MIN(10,ROUND(IF('Council Entry'!AW$7="Decrease Risk",10-10*((IF('Council Entry'!AW$4="Logarithm",LN(0.001+IF(AND(ISNUMBER('Council Entry'!AW$8),ISNUMBER('Council Entry'!AW$9)),MAX(MIN('Council Entry'!AW158,'Council Entry'!AW$9),'Council Entry'!AW$8),'Council Entry'!AW158)),IF('Council Entry'!AW$4="Exponential",EXP(IF(AND(ISNUMBER('Council Entry'!AW$8),ISNUMBER('Council Entry'!AW$9)),MAX(MIN('Council Entry'!AW158,'Council Entry'!AW$9),'Council Entry'!AW$8),'Council Entry'!AW158)),IF(AND(ISNUMBER('Council Entry'!AW$8),ISNUMBER('Council Entry'!AW$9)),MAX(MIN('Council Entry'!AW158,'Council Entry'!AW$9),'Council Entry'!AW$8),'Council Entry'!AW158))))-'Council Entry'!AW$5)/('Council Entry'!AW$6-'Council Entry'!AW$5),10*((IF('Council Entry'!AW$4="Logarithm",LN(0.001+IF(AND(ISNUMBER('Council Entry'!AW$8),ISNUMBER('Council Entry'!AW$9)),MAX(MIN('Council Entry'!AW158,'Council Entry'!AW$9),'Council Entry'!AW$8),'Council Entry'!AW158)),IF('Council Entry'!AW$4="Exponential",EXP(IF(AND(ISNUMBER('Council Entry'!AW$8),ISNUMBER('Council Entry'!AW$9)),MAX(MIN('Council Entry'!AW158,'Council Entry'!AW$9),'Council Entry'!AW$8),'Council Entry'!AW158)),IF(AND(ISNUMBER('Council Entry'!AW$8),ISNUMBER('Council Entry'!AW$9)),MAX(MIN('Council Entry'!AW158,'Council Entry'!AW$9),'Council Entry'!AW$8),'Council Entry'!AW158))))-'Council Entry'!AW$5)/('Council Entry'!AW$6-'Council Entry'!AW$5)),1))),"No data"))</f>
        <v/>
      </c>
      <c r="AX158" s="13">
        <f>IF('Council Entry'!AX158="","",IFERROR(MAX(0,MIN(10,ROUND(IF('Council Entry'!AX$7="Decrease Risk",10-10*((IF('Council Entry'!AX$4="Logarithm",LN(0.001+IF(AND(ISNUMBER('Council Entry'!AX$8),ISNUMBER('Council Entry'!AX$9)),MAX(MIN('Council Entry'!AX158,'Council Entry'!AX$9),'Council Entry'!AX$8),'Council Entry'!AX158)),IF('Council Entry'!AX$4="Exponential",EXP(IF(AND(ISNUMBER('Council Entry'!AX$8),ISNUMBER('Council Entry'!AX$9)),MAX(MIN('Council Entry'!AX158,'Council Entry'!AX$9),'Council Entry'!AX$8),'Council Entry'!AX158)),IF(AND(ISNUMBER('Council Entry'!AX$8),ISNUMBER('Council Entry'!AX$9)),MAX(MIN('Council Entry'!AX158,'Council Entry'!AX$9),'Council Entry'!AX$8),'Council Entry'!AX158))))-'Council Entry'!AX$5)/('Council Entry'!AX$6-'Council Entry'!AX$5),10*((IF('Council Entry'!AX$4="Logarithm",LN(0.001+IF(AND(ISNUMBER('Council Entry'!AX$8),ISNUMBER('Council Entry'!AX$9)),MAX(MIN('Council Entry'!AX158,'Council Entry'!AX$9),'Council Entry'!AX$8),'Council Entry'!AX158)),IF('Council Entry'!AX$4="Exponential",EXP(IF(AND(ISNUMBER('Council Entry'!AX$8),ISNUMBER('Council Entry'!AX$9)),MAX(MIN('Council Entry'!AX158,'Council Entry'!AX$9),'Council Entry'!AX$8),'Council Entry'!AX158)),IF(AND(ISNUMBER('Council Entry'!AX$8),ISNUMBER('Council Entry'!AX$9)),MAX(MIN('Council Entry'!AX158,'Council Entry'!AX$9),'Council Entry'!AX$8),'Council Entry'!AX158))))-'Council Entry'!AX$5)/('Council Entry'!AX$6-'Council Entry'!AX$5)),1))),"No data"))</f>
        <v/>
      </c>
      <c r="AY158" s="13">
        <f>IF('Council Entry'!AY158="","",IFERROR(MAX(0,MIN(10,ROUND(IF('Council Entry'!AY$7="Decrease Risk",10-10*((IF('Council Entry'!AY$4="Logarithm",LN(0.001+IF(AND(ISNUMBER('Council Entry'!AY$8),ISNUMBER('Council Entry'!AY$9)),MAX(MIN('Council Entry'!AY158,'Council Entry'!AY$9),'Council Entry'!AY$8),'Council Entry'!AY158)),IF('Council Entry'!AY$4="Exponential",EXP(IF(AND(ISNUMBER('Council Entry'!AY$8),ISNUMBER('Council Entry'!AY$9)),MAX(MIN('Council Entry'!AY158,'Council Entry'!AY$9),'Council Entry'!AY$8),'Council Entry'!AY158)),IF(AND(ISNUMBER('Council Entry'!AY$8),ISNUMBER('Council Entry'!AY$9)),MAX(MIN('Council Entry'!AY158,'Council Entry'!AY$9),'Council Entry'!AY$8),'Council Entry'!AY158))))-'Council Entry'!AY$5)/('Council Entry'!AY$6-'Council Entry'!AY$5),10*((IF('Council Entry'!AY$4="Logarithm",LN(0.001+IF(AND(ISNUMBER('Council Entry'!AY$8),ISNUMBER('Council Entry'!AY$9)),MAX(MIN('Council Entry'!AY158,'Council Entry'!AY$9),'Council Entry'!AY$8),'Council Entry'!AY158)),IF('Council Entry'!AY$4="Exponential",EXP(IF(AND(ISNUMBER('Council Entry'!AY$8),ISNUMBER('Council Entry'!AY$9)),MAX(MIN('Council Entry'!AY158,'Council Entry'!AY$9),'Council Entry'!AY$8),'Council Entry'!AY158)),IF(AND(ISNUMBER('Council Entry'!AY$8),ISNUMBER('Council Entry'!AY$9)),MAX(MIN('Council Entry'!AY158,'Council Entry'!AY$9),'Council Entry'!AY$8),'Council Entry'!AY158))))-'Council Entry'!AY$5)/('Council Entry'!AY$6-'Council Entry'!AY$5)),1))),"No data"))</f>
        <v/>
      </c>
      <c r="AZ158" s="13">
        <f>IF('Council Entry'!AZ158="","",IFERROR(MAX(0,MIN(10,ROUND(IF('Council Entry'!AZ$7="Decrease Risk",10-10*((IF('Council Entry'!AZ$4="Logarithm",LN(0.001+IF(AND(ISNUMBER('Council Entry'!AZ$8),ISNUMBER('Council Entry'!AZ$9)),MAX(MIN('Council Entry'!AZ158,'Council Entry'!AZ$9),'Council Entry'!AZ$8),'Council Entry'!AZ158)),IF('Council Entry'!AZ$4="Exponential",EXP(IF(AND(ISNUMBER('Council Entry'!AZ$8),ISNUMBER('Council Entry'!AZ$9)),MAX(MIN('Council Entry'!AZ158,'Council Entry'!AZ$9),'Council Entry'!AZ$8),'Council Entry'!AZ158)),IF(AND(ISNUMBER('Council Entry'!AZ$8),ISNUMBER('Council Entry'!AZ$9)),MAX(MIN('Council Entry'!AZ158,'Council Entry'!AZ$9),'Council Entry'!AZ$8),'Council Entry'!AZ158))))-'Council Entry'!AZ$5)/('Council Entry'!AZ$6-'Council Entry'!AZ$5),10*((IF('Council Entry'!AZ$4="Logarithm",LN(0.001+IF(AND(ISNUMBER('Council Entry'!AZ$8),ISNUMBER('Council Entry'!AZ$9)),MAX(MIN('Council Entry'!AZ158,'Council Entry'!AZ$9),'Council Entry'!AZ$8),'Council Entry'!AZ158)),IF('Council Entry'!AZ$4="Exponential",EXP(IF(AND(ISNUMBER('Council Entry'!AZ$8),ISNUMBER('Council Entry'!AZ$9)),MAX(MIN('Council Entry'!AZ158,'Council Entry'!AZ$9),'Council Entry'!AZ$8),'Council Entry'!AZ158)),IF(AND(ISNUMBER('Council Entry'!AZ$8),ISNUMBER('Council Entry'!AZ$9)),MAX(MIN('Council Entry'!AZ158,'Council Entry'!AZ$9),'Council Entry'!AZ$8),'Council Entry'!AZ158))))-'Council Entry'!AZ$5)/('Council Entry'!AZ$6-'Council Entry'!AZ$5)),1))),"No data"))</f>
        <v/>
      </c>
      <c r="BA158" s="13">
        <f>IF('Council Entry'!BA158="","",IFERROR(MAX(0,MIN(10,ROUND(IF('Council Entry'!BA$7="Decrease Risk",10-10*((IF('Council Entry'!BA$4="Logarithm",LN(0.001+IF(AND(ISNUMBER('Council Entry'!BA$8),ISNUMBER('Council Entry'!BA$9)),MAX(MIN('Council Entry'!BA158,'Council Entry'!BA$9),'Council Entry'!BA$8),'Council Entry'!BA158)),IF('Council Entry'!BA$4="Exponential",EXP(IF(AND(ISNUMBER('Council Entry'!BA$8),ISNUMBER('Council Entry'!BA$9)),MAX(MIN('Council Entry'!BA158,'Council Entry'!BA$9),'Council Entry'!BA$8),'Council Entry'!BA158)),IF(AND(ISNUMBER('Council Entry'!BA$8),ISNUMBER('Council Entry'!BA$9)),MAX(MIN('Council Entry'!BA158,'Council Entry'!BA$9),'Council Entry'!BA$8),'Council Entry'!BA158))))-'Council Entry'!BA$5)/('Council Entry'!BA$6-'Council Entry'!BA$5),10*((IF('Council Entry'!BA$4="Logarithm",LN(0.001+IF(AND(ISNUMBER('Council Entry'!BA$8),ISNUMBER('Council Entry'!BA$9)),MAX(MIN('Council Entry'!BA158,'Council Entry'!BA$9),'Council Entry'!BA$8),'Council Entry'!BA158)),IF('Council Entry'!BA$4="Exponential",EXP(IF(AND(ISNUMBER('Council Entry'!BA$8),ISNUMBER('Council Entry'!BA$9)),MAX(MIN('Council Entry'!BA158,'Council Entry'!BA$9),'Council Entry'!BA$8),'Council Entry'!BA158)),IF(AND(ISNUMBER('Council Entry'!BA$8),ISNUMBER('Council Entry'!BA$9)),MAX(MIN('Council Entry'!BA158,'Council Entry'!BA$9),'Council Entry'!BA$8),'Council Entry'!BA158))))-'Council Entry'!BA$5)/('Council Entry'!BA$6-'Council Entry'!BA$5)),1))),"No data"))</f>
        <v/>
      </c>
      <c r="BB158" s="13">
        <f>IF('Council Entry'!BB158="","",IFERROR(MAX(0,MIN(10,ROUND(IF('Council Entry'!BB$7="Decrease Risk",10-10*((IF('Council Entry'!BB$4="Logarithm",LN(0.001+IF(AND(ISNUMBER('Council Entry'!BB$8),ISNUMBER('Council Entry'!BB$9)),MAX(MIN('Council Entry'!BB158,'Council Entry'!BB$9),'Council Entry'!BB$8),'Council Entry'!BB158)),IF('Council Entry'!BB$4="Exponential",EXP(IF(AND(ISNUMBER('Council Entry'!BB$8),ISNUMBER('Council Entry'!BB$9)),MAX(MIN('Council Entry'!BB158,'Council Entry'!BB$9),'Council Entry'!BB$8),'Council Entry'!BB158)),IF(AND(ISNUMBER('Council Entry'!BB$8),ISNUMBER('Council Entry'!BB$9)),MAX(MIN('Council Entry'!BB158,'Council Entry'!BB$9),'Council Entry'!BB$8),'Council Entry'!BB158))))-'Council Entry'!BB$5)/('Council Entry'!BB$6-'Council Entry'!BB$5),10*((IF('Council Entry'!BB$4="Logarithm",LN(0.001+IF(AND(ISNUMBER('Council Entry'!BB$8),ISNUMBER('Council Entry'!BB$9)),MAX(MIN('Council Entry'!BB158,'Council Entry'!BB$9),'Council Entry'!BB$8),'Council Entry'!BB158)),IF('Council Entry'!BB$4="Exponential",EXP(IF(AND(ISNUMBER('Council Entry'!BB$8),ISNUMBER('Council Entry'!BB$9)),MAX(MIN('Council Entry'!BB158,'Council Entry'!BB$9),'Council Entry'!BB$8),'Council Entry'!BB158)),IF(AND(ISNUMBER('Council Entry'!BB$8),ISNUMBER('Council Entry'!BB$9)),MAX(MIN('Council Entry'!BB158,'Council Entry'!BB$9),'Council Entry'!BB$8),'Council Entry'!BB158))))-'Council Entry'!BB$5)/('Council Entry'!BB$6-'Council Entry'!BB$5)),1))),"No data"))</f>
        <v/>
      </c>
      <c r="BC158" s="13">
        <f>IF('Council Entry'!BC158="","",IFERROR(MAX(0,MIN(10,ROUND(IF('Council Entry'!BC$7="Decrease Risk",10-10*((IF('Council Entry'!BC$4="Logarithm",LN(0.001+IF(AND(ISNUMBER('Council Entry'!BC$8),ISNUMBER('Council Entry'!BC$9)),MAX(MIN('Council Entry'!BC158,'Council Entry'!BC$9),'Council Entry'!BC$8),'Council Entry'!BC158)),IF('Council Entry'!BC$4="Exponential",EXP(IF(AND(ISNUMBER('Council Entry'!BC$8),ISNUMBER('Council Entry'!BC$9)),MAX(MIN('Council Entry'!BC158,'Council Entry'!BC$9),'Council Entry'!BC$8),'Council Entry'!BC158)),IF(AND(ISNUMBER('Council Entry'!BC$8),ISNUMBER('Council Entry'!BC$9)),MAX(MIN('Council Entry'!BC158,'Council Entry'!BC$9),'Council Entry'!BC$8),'Council Entry'!BC158))))-'Council Entry'!BC$5)/('Council Entry'!BC$6-'Council Entry'!BC$5),10*((IF('Council Entry'!BC$4="Logarithm",LN(0.001+IF(AND(ISNUMBER('Council Entry'!BC$8),ISNUMBER('Council Entry'!BC$9)),MAX(MIN('Council Entry'!BC158,'Council Entry'!BC$9),'Council Entry'!BC$8),'Council Entry'!BC158)),IF('Council Entry'!BC$4="Exponential",EXP(IF(AND(ISNUMBER('Council Entry'!BC$8),ISNUMBER('Council Entry'!BC$9)),MAX(MIN('Council Entry'!BC158,'Council Entry'!BC$9),'Council Entry'!BC$8),'Council Entry'!BC158)),IF(AND(ISNUMBER('Council Entry'!BC$8),ISNUMBER('Council Entry'!BC$9)),MAX(MIN('Council Entry'!BC158,'Council Entry'!BC$9),'Council Entry'!BC$8),'Council Entry'!BC158))))-'Council Entry'!BC$5)/('Council Entry'!BC$6-'Council Entry'!BC$5)),1))),"No data"))</f>
        <v/>
      </c>
      <c r="BD158" s="13">
        <f>IF('Council Entry'!BD158="","",IFERROR(MAX(0,MIN(10,ROUND(IF('Council Entry'!BD$7="Decrease Risk",10-10*((IF('Council Entry'!BD$4="Logarithm",LN(0.001+IF(AND(ISNUMBER('Council Entry'!BD$8),ISNUMBER('Council Entry'!BD$9)),MAX(MIN('Council Entry'!BD158,'Council Entry'!BD$9),'Council Entry'!BD$8),'Council Entry'!BD158)),IF('Council Entry'!BD$4="Exponential",EXP(IF(AND(ISNUMBER('Council Entry'!BD$8),ISNUMBER('Council Entry'!BD$9)),MAX(MIN('Council Entry'!BD158,'Council Entry'!BD$9),'Council Entry'!BD$8),'Council Entry'!BD158)),IF(AND(ISNUMBER('Council Entry'!BD$8),ISNUMBER('Council Entry'!BD$9)),MAX(MIN('Council Entry'!BD158,'Council Entry'!BD$9),'Council Entry'!BD$8),'Council Entry'!BD158))))-'Council Entry'!BD$5)/('Council Entry'!BD$6-'Council Entry'!BD$5),10*((IF('Council Entry'!BD$4="Logarithm",LN(0.001+IF(AND(ISNUMBER('Council Entry'!BD$8),ISNUMBER('Council Entry'!BD$9)),MAX(MIN('Council Entry'!BD158,'Council Entry'!BD$9),'Council Entry'!BD$8),'Council Entry'!BD158)),IF('Council Entry'!BD$4="Exponential",EXP(IF(AND(ISNUMBER('Council Entry'!BD$8),ISNUMBER('Council Entry'!BD$9)),MAX(MIN('Council Entry'!BD158,'Council Entry'!BD$9),'Council Entry'!BD$8),'Council Entry'!BD158)),IF(AND(ISNUMBER('Council Entry'!BD$8),ISNUMBER('Council Entry'!BD$9)),MAX(MIN('Council Entry'!BD158,'Council Entry'!BD$9),'Council Entry'!BD$8),'Council Entry'!BD158))))-'Council Entry'!BD$5)/('Council Entry'!BD$6-'Council Entry'!BD$5)),1))),"No data"))</f>
        <v/>
      </c>
    </row>
    <row r="159">
      <c r="A159" t="inlineStr">
        <is>
          <t>Ruvuma</t>
        </is>
      </c>
      <c r="B159" t="inlineStr">
        <is>
          <t>Nyasa District</t>
        </is>
      </c>
      <c r="C159" t="inlineStr">
        <is>
          <t>C078</t>
        </is>
      </c>
      <c r="D159" s="13">
        <f>IF('Council Entry'!D159="","",IFERROR(MAX(0,MIN(10,ROUND(IF('Council Entry'!D$7="Decrease Risk",10-10*((IF('Council Entry'!D$4="Logarithm",LN(0.001+IF(AND(ISNUMBER('Council Entry'!D$8),ISNUMBER('Council Entry'!D$9)),MAX(MIN('Council Entry'!D159,'Council Entry'!D$9),'Council Entry'!D$8),'Council Entry'!D159)),IF('Council Entry'!D$4="Exponential",EXP(IF(AND(ISNUMBER('Council Entry'!D$8),ISNUMBER('Council Entry'!D$9)),MAX(MIN('Council Entry'!D159,'Council Entry'!D$9),'Council Entry'!D$8),'Council Entry'!D159)),IF(AND(ISNUMBER('Council Entry'!D$8),ISNUMBER('Council Entry'!D$9)),MAX(MIN('Council Entry'!D159,'Council Entry'!D$9),'Council Entry'!D$8),'Council Entry'!D159))))-'Council Entry'!D$5)/('Council Entry'!D$6-'Council Entry'!D$5),10*((IF('Council Entry'!D$4="Logarithm",LN(0.001+IF(AND(ISNUMBER('Council Entry'!D$8),ISNUMBER('Council Entry'!D$9)),MAX(MIN('Council Entry'!D159,'Council Entry'!D$9),'Council Entry'!D$8),'Council Entry'!D159)),IF('Council Entry'!D$4="Exponential",EXP(IF(AND(ISNUMBER('Council Entry'!D$8),ISNUMBER('Council Entry'!D$9)),MAX(MIN('Council Entry'!D159,'Council Entry'!D$9),'Council Entry'!D$8),'Council Entry'!D159)),IF(AND(ISNUMBER('Council Entry'!D$8),ISNUMBER('Council Entry'!D$9)),MAX(MIN('Council Entry'!D159,'Council Entry'!D$9),'Council Entry'!D$8),'Council Entry'!D159))))-'Council Entry'!D$5)/('Council Entry'!D$6-'Council Entry'!D$5)),1))),"No data"))</f>
        <v/>
      </c>
      <c r="E159" s="13">
        <f>IF('Council Entry'!E159="","",IFERROR(MAX(0,MIN(10,ROUND(IF('Council Entry'!E$7="Decrease Risk",10-10*((IF('Council Entry'!E$4="Logarithm",LN(0.001+IF(AND(ISNUMBER('Council Entry'!E$8),ISNUMBER('Council Entry'!E$9)),MAX(MIN('Council Entry'!E159,'Council Entry'!E$9),'Council Entry'!E$8),'Council Entry'!E159)),IF('Council Entry'!E$4="Exponential",EXP(IF(AND(ISNUMBER('Council Entry'!E$8),ISNUMBER('Council Entry'!E$9)),MAX(MIN('Council Entry'!E159,'Council Entry'!E$9),'Council Entry'!E$8),'Council Entry'!E159)),IF(AND(ISNUMBER('Council Entry'!E$8),ISNUMBER('Council Entry'!E$9)),MAX(MIN('Council Entry'!E159,'Council Entry'!E$9),'Council Entry'!E$8),'Council Entry'!E159))))-'Council Entry'!E$5)/('Council Entry'!E$6-'Council Entry'!E$5),10*((IF('Council Entry'!E$4="Logarithm",LN(0.001+IF(AND(ISNUMBER('Council Entry'!E$8),ISNUMBER('Council Entry'!E$9)),MAX(MIN('Council Entry'!E159,'Council Entry'!E$9),'Council Entry'!E$8),'Council Entry'!E159)),IF('Council Entry'!E$4="Exponential",EXP(IF(AND(ISNUMBER('Council Entry'!E$8),ISNUMBER('Council Entry'!E$9)),MAX(MIN('Council Entry'!E159,'Council Entry'!E$9),'Council Entry'!E$8),'Council Entry'!E159)),IF(AND(ISNUMBER('Council Entry'!E$8),ISNUMBER('Council Entry'!E$9)),MAX(MIN('Council Entry'!E159,'Council Entry'!E$9),'Council Entry'!E$8),'Council Entry'!E159))))-'Council Entry'!E$5)/('Council Entry'!E$6-'Council Entry'!E$5)),1))),"No data"))</f>
        <v/>
      </c>
      <c r="F159" s="13">
        <f>IF('Council Entry'!F159="","",IFERROR(MAX(0,MIN(10,ROUND(IF('Council Entry'!F$7="Decrease Risk",10-10*((IF('Council Entry'!F$4="Logarithm",LN(0.001+IF(AND(ISNUMBER('Council Entry'!F$8),ISNUMBER('Council Entry'!F$9)),MAX(MIN('Council Entry'!F159,'Council Entry'!F$9),'Council Entry'!F$8),'Council Entry'!F159)),IF('Council Entry'!F$4="Exponential",EXP(IF(AND(ISNUMBER('Council Entry'!F$8),ISNUMBER('Council Entry'!F$9)),MAX(MIN('Council Entry'!F159,'Council Entry'!F$9),'Council Entry'!F$8),'Council Entry'!F159)),IF(AND(ISNUMBER('Council Entry'!F$8),ISNUMBER('Council Entry'!F$9)),MAX(MIN('Council Entry'!F159,'Council Entry'!F$9),'Council Entry'!F$8),'Council Entry'!F159))))-'Council Entry'!F$5)/('Council Entry'!F$6-'Council Entry'!F$5),10*((IF('Council Entry'!F$4="Logarithm",LN(0.001+IF(AND(ISNUMBER('Council Entry'!F$8),ISNUMBER('Council Entry'!F$9)),MAX(MIN('Council Entry'!F159,'Council Entry'!F$9),'Council Entry'!F$8),'Council Entry'!F159)),IF('Council Entry'!F$4="Exponential",EXP(IF(AND(ISNUMBER('Council Entry'!F$8),ISNUMBER('Council Entry'!F$9)),MAX(MIN('Council Entry'!F159,'Council Entry'!F$9),'Council Entry'!F$8),'Council Entry'!F159)),IF(AND(ISNUMBER('Council Entry'!F$8),ISNUMBER('Council Entry'!F$9)),MAX(MIN('Council Entry'!F159,'Council Entry'!F$9),'Council Entry'!F$8),'Council Entry'!F159))))-'Council Entry'!F$5)/('Council Entry'!F$6-'Council Entry'!F$5)),1))),"No data"))</f>
        <v/>
      </c>
      <c r="G159" s="13">
        <f>IF('Council Entry'!G159="","",IFERROR(MAX(0,MIN(10,ROUND(IF('Council Entry'!G$7="Decrease Risk",10-10*((IF('Council Entry'!G$4="Logarithm",LN(0.001+IF(AND(ISNUMBER('Council Entry'!G$8),ISNUMBER('Council Entry'!G$9)),MAX(MIN('Council Entry'!G159,'Council Entry'!G$9),'Council Entry'!G$8),'Council Entry'!G159)),IF('Council Entry'!G$4="Exponential",EXP(IF(AND(ISNUMBER('Council Entry'!G$8),ISNUMBER('Council Entry'!G$9)),MAX(MIN('Council Entry'!G159,'Council Entry'!G$9),'Council Entry'!G$8),'Council Entry'!G159)),IF(AND(ISNUMBER('Council Entry'!G$8),ISNUMBER('Council Entry'!G$9)),MAX(MIN('Council Entry'!G159,'Council Entry'!G$9),'Council Entry'!G$8),'Council Entry'!G159))))-'Council Entry'!G$5)/('Council Entry'!G$6-'Council Entry'!G$5),10*((IF('Council Entry'!G$4="Logarithm",LN(0.001+IF(AND(ISNUMBER('Council Entry'!G$8),ISNUMBER('Council Entry'!G$9)),MAX(MIN('Council Entry'!G159,'Council Entry'!G$9),'Council Entry'!G$8),'Council Entry'!G159)),IF('Council Entry'!G$4="Exponential",EXP(IF(AND(ISNUMBER('Council Entry'!G$8),ISNUMBER('Council Entry'!G$9)),MAX(MIN('Council Entry'!G159,'Council Entry'!G$9),'Council Entry'!G$8),'Council Entry'!G159)),IF(AND(ISNUMBER('Council Entry'!G$8),ISNUMBER('Council Entry'!G$9)),MAX(MIN('Council Entry'!G159,'Council Entry'!G$9),'Council Entry'!G$8),'Council Entry'!G159))))-'Council Entry'!G$5)/('Council Entry'!G$6-'Council Entry'!G$5)),1))),"No data"))</f>
        <v/>
      </c>
      <c r="H159" s="13">
        <f>IF('Council Entry'!H159="","",IFERROR(MAX(0,MIN(10,ROUND(IF('Council Entry'!H$7="Decrease Risk",10-10*((IF('Council Entry'!H$4="Logarithm",LN(0.001+IF(AND(ISNUMBER('Council Entry'!H$8),ISNUMBER('Council Entry'!H$9)),MAX(MIN('Council Entry'!H159,'Council Entry'!H$9),'Council Entry'!H$8),'Council Entry'!H159)),IF('Council Entry'!H$4="Exponential",EXP(IF(AND(ISNUMBER('Council Entry'!H$8),ISNUMBER('Council Entry'!H$9)),MAX(MIN('Council Entry'!H159,'Council Entry'!H$9),'Council Entry'!H$8),'Council Entry'!H159)),IF(AND(ISNUMBER('Council Entry'!H$8),ISNUMBER('Council Entry'!H$9)),MAX(MIN('Council Entry'!H159,'Council Entry'!H$9),'Council Entry'!H$8),'Council Entry'!H159))))-'Council Entry'!H$5)/('Council Entry'!H$6-'Council Entry'!H$5),10*((IF('Council Entry'!H$4="Logarithm",LN(0.001+IF(AND(ISNUMBER('Council Entry'!H$8),ISNUMBER('Council Entry'!H$9)),MAX(MIN('Council Entry'!H159,'Council Entry'!H$9),'Council Entry'!H$8),'Council Entry'!H159)),IF('Council Entry'!H$4="Exponential",EXP(IF(AND(ISNUMBER('Council Entry'!H$8),ISNUMBER('Council Entry'!H$9)),MAX(MIN('Council Entry'!H159,'Council Entry'!H$9),'Council Entry'!H$8),'Council Entry'!H159)),IF(AND(ISNUMBER('Council Entry'!H$8),ISNUMBER('Council Entry'!H$9)),MAX(MIN('Council Entry'!H159,'Council Entry'!H$9),'Council Entry'!H$8),'Council Entry'!H159))))-'Council Entry'!H$5)/('Council Entry'!H$6-'Council Entry'!H$5)),1))),"No data"))</f>
        <v/>
      </c>
      <c r="I159" s="13">
        <f>IF('Council Entry'!I159="","",IFERROR(MAX(0,MIN(10,ROUND(IF('Council Entry'!I$7="Decrease Risk",10-10*((IF('Council Entry'!I$4="Logarithm",LN(0.001+IF(AND(ISNUMBER('Council Entry'!I$8),ISNUMBER('Council Entry'!I$9)),MAX(MIN('Council Entry'!I159,'Council Entry'!I$9),'Council Entry'!I$8),'Council Entry'!I159)),IF('Council Entry'!I$4="Exponential",EXP(IF(AND(ISNUMBER('Council Entry'!I$8),ISNUMBER('Council Entry'!I$9)),MAX(MIN('Council Entry'!I159,'Council Entry'!I$9),'Council Entry'!I$8),'Council Entry'!I159)),IF(AND(ISNUMBER('Council Entry'!I$8),ISNUMBER('Council Entry'!I$9)),MAX(MIN('Council Entry'!I159,'Council Entry'!I$9),'Council Entry'!I$8),'Council Entry'!I159))))-'Council Entry'!I$5)/('Council Entry'!I$6-'Council Entry'!I$5),10*((IF('Council Entry'!I$4="Logarithm",LN(0.001+IF(AND(ISNUMBER('Council Entry'!I$8),ISNUMBER('Council Entry'!I$9)),MAX(MIN('Council Entry'!I159,'Council Entry'!I$9),'Council Entry'!I$8),'Council Entry'!I159)),IF('Council Entry'!I$4="Exponential",EXP(IF(AND(ISNUMBER('Council Entry'!I$8),ISNUMBER('Council Entry'!I$9)),MAX(MIN('Council Entry'!I159,'Council Entry'!I$9),'Council Entry'!I$8),'Council Entry'!I159)),IF(AND(ISNUMBER('Council Entry'!I$8),ISNUMBER('Council Entry'!I$9)),MAX(MIN('Council Entry'!I159,'Council Entry'!I$9),'Council Entry'!I$8),'Council Entry'!I159))))-'Council Entry'!I$5)/('Council Entry'!I$6-'Council Entry'!I$5)),1))),"No data"))</f>
        <v/>
      </c>
      <c r="J159" s="13">
        <f>IF('Council Entry'!J159="","",IFERROR(MAX(0,MIN(10,ROUND(IF('Council Entry'!J$7="Decrease Risk",10-10*((IF('Council Entry'!J$4="Logarithm",LN(0.001+IF(AND(ISNUMBER('Council Entry'!J$8),ISNUMBER('Council Entry'!J$9)),MAX(MIN('Council Entry'!J159,'Council Entry'!J$9),'Council Entry'!J$8),'Council Entry'!J159)),IF('Council Entry'!J$4="Exponential",EXP(IF(AND(ISNUMBER('Council Entry'!J$8),ISNUMBER('Council Entry'!J$9)),MAX(MIN('Council Entry'!J159,'Council Entry'!J$9),'Council Entry'!J$8),'Council Entry'!J159)),IF(AND(ISNUMBER('Council Entry'!J$8),ISNUMBER('Council Entry'!J$9)),MAX(MIN('Council Entry'!J159,'Council Entry'!J$9),'Council Entry'!J$8),'Council Entry'!J159))))-'Council Entry'!J$5)/('Council Entry'!J$6-'Council Entry'!J$5),10*((IF('Council Entry'!J$4="Logarithm",LN(0.001+IF(AND(ISNUMBER('Council Entry'!J$8),ISNUMBER('Council Entry'!J$9)),MAX(MIN('Council Entry'!J159,'Council Entry'!J$9),'Council Entry'!J$8),'Council Entry'!J159)),IF('Council Entry'!J$4="Exponential",EXP(IF(AND(ISNUMBER('Council Entry'!J$8),ISNUMBER('Council Entry'!J$9)),MAX(MIN('Council Entry'!J159,'Council Entry'!J$9),'Council Entry'!J$8),'Council Entry'!J159)),IF(AND(ISNUMBER('Council Entry'!J$8),ISNUMBER('Council Entry'!J$9)),MAX(MIN('Council Entry'!J159,'Council Entry'!J$9),'Council Entry'!J$8),'Council Entry'!J159))))-'Council Entry'!J$5)/('Council Entry'!J$6-'Council Entry'!J$5)),1))),"No data"))</f>
        <v/>
      </c>
      <c r="K159" s="13">
        <f>IF('Council Entry'!K159="","",IFERROR(MAX(0,MIN(10,ROUND(IF('Council Entry'!K$7="Decrease Risk",10-10*((IF('Council Entry'!K$4="Logarithm",LN(0.001+IF(AND(ISNUMBER('Council Entry'!K$8),ISNUMBER('Council Entry'!K$9)),MAX(MIN('Council Entry'!K159,'Council Entry'!K$9),'Council Entry'!K$8),'Council Entry'!K159)),IF('Council Entry'!K$4="Exponential",EXP(IF(AND(ISNUMBER('Council Entry'!K$8),ISNUMBER('Council Entry'!K$9)),MAX(MIN('Council Entry'!K159,'Council Entry'!K$9),'Council Entry'!K$8),'Council Entry'!K159)),IF(AND(ISNUMBER('Council Entry'!K$8),ISNUMBER('Council Entry'!K$9)),MAX(MIN('Council Entry'!K159,'Council Entry'!K$9),'Council Entry'!K$8),'Council Entry'!K159))))-'Council Entry'!K$5)/('Council Entry'!K$6-'Council Entry'!K$5),10*((IF('Council Entry'!K$4="Logarithm",LN(0.001+IF(AND(ISNUMBER('Council Entry'!K$8),ISNUMBER('Council Entry'!K$9)),MAX(MIN('Council Entry'!K159,'Council Entry'!K$9),'Council Entry'!K$8),'Council Entry'!K159)),IF('Council Entry'!K$4="Exponential",EXP(IF(AND(ISNUMBER('Council Entry'!K$8),ISNUMBER('Council Entry'!K$9)),MAX(MIN('Council Entry'!K159,'Council Entry'!K$9),'Council Entry'!K$8),'Council Entry'!K159)),IF(AND(ISNUMBER('Council Entry'!K$8),ISNUMBER('Council Entry'!K$9)),MAX(MIN('Council Entry'!K159,'Council Entry'!K$9),'Council Entry'!K$8),'Council Entry'!K159))))-'Council Entry'!K$5)/('Council Entry'!K$6-'Council Entry'!K$5)),1))),"No data"))</f>
        <v/>
      </c>
      <c r="L159" s="13">
        <f>IF('Council Entry'!L159="","",IFERROR(MAX(0,MIN(10,ROUND(IF('Council Entry'!L$7="Decrease Risk",10-10*((IF('Council Entry'!L$4="Logarithm",LN(0.001+IF(AND(ISNUMBER('Council Entry'!L$8),ISNUMBER('Council Entry'!L$9)),MAX(MIN('Council Entry'!L159,'Council Entry'!L$9),'Council Entry'!L$8),'Council Entry'!L159)),IF('Council Entry'!L$4="Exponential",EXP(IF(AND(ISNUMBER('Council Entry'!L$8),ISNUMBER('Council Entry'!L$9)),MAX(MIN('Council Entry'!L159,'Council Entry'!L$9),'Council Entry'!L$8),'Council Entry'!L159)),IF(AND(ISNUMBER('Council Entry'!L$8),ISNUMBER('Council Entry'!L$9)),MAX(MIN('Council Entry'!L159,'Council Entry'!L$9),'Council Entry'!L$8),'Council Entry'!L159))))-'Council Entry'!L$5)/('Council Entry'!L$6-'Council Entry'!L$5),10*((IF('Council Entry'!L$4="Logarithm",LN(0.001+IF(AND(ISNUMBER('Council Entry'!L$8),ISNUMBER('Council Entry'!L$9)),MAX(MIN('Council Entry'!L159,'Council Entry'!L$9),'Council Entry'!L$8),'Council Entry'!L159)),IF('Council Entry'!L$4="Exponential",EXP(IF(AND(ISNUMBER('Council Entry'!L$8),ISNUMBER('Council Entry'!L$9)),MAX(MIN('Council Entry'!L159,'Council Entry'!L$9),'Council Entry'!L$8),'Council Entry'!L159)),IF(AND(ISNUMBER('Council Entry'!L$8),ISNUMBER('Council Entry'!L$9)),MAX(MIN('Council Entry'!L159,'Council Entry'!L$9),'Council Entry'!L$8),'Council Entry'!L159))))-'Council Entry'!L$5)/('Council Entry'!L$6-'Council Entry'!L$5)),1))),"No data"))</f>
        <v/>
      </c>
      <c r="M159" s="13">
        <f>IF('Council Entry'!M159="","",IFERROR(MAX(0,MIN(10,ROUND(IF('Council Entry'!M$7="Decrease Risk",10-10*((IF('Council Entry'!M$4="Logarithm",LN(0.001+IF(AND(ISNUMBER('Council Entry'!M$8),ISNUMBER('Council Entry'!M$9)),MAX(MIN('Council Entry'!M159,'Council Entry'!M$9),'Council Entry'!M$8),'Council Entry'!M159)),IF('Council Entry'!M$4="Exponential",EXP(IF(AND(ISNUMBER('Council Entry'!M$8),ISNUMBER('Council Entry'!M$9)),MAX(MIN('Council Entry'!M159,'Council Entry'!M$9),'Council Entry'!M$8),'Council Entry'!M159)),IF(AND(ISNUMBER('Council Entry'!M$8),ISNUMBER('Council Entry'!M$9)),MAX(MIN('Council Entry'!M159,'Council Entry'!M$9),'Council Entry'!M$8),'Council Entry'!M159))))-'Council Entry'!M$5)/('Council Entry'!M$6-'Council Entry'!M$5),10*((IF('Council Entry'!M$4="Logarithm",LN(0.001+IF(AND(ISNUMBER('Council Entry'!M$8),ISNUMBER('Council Entry'!M$9)),MAX(MIN('Council Entry'!M159,'Council Entry'!M$9),'Council Entry'!M$8),'Council Entry'!M159)),IF('Council Entry'!M$4="Exponential",EXP(IF(AND(ISNUMBER('Council Entry'!M$8),ISNUMBER('Council Entry'!M$9)),MAX(MIN('Council Entry'!M159,'Council Entry'!M$9),'Council Entry'!M$8),'Council Entry'!M159)),IF(AND(ISNUMBER('Council Entry'!M$8),ISNUMBER('Council Entry'!M$9)),MAX(MIN('Council Entry'!M159,'Council Entry'!M$9),'Council Entry'!M$8),'Council Entry'!M159))))-'Council Entry'!M$5)/('Council Entry'!M$6-'Council Entry'!M$5)),1))),"No data"))</f>
        <v/>
      </c>
      <c r="N159" s="13">
        <f>IF('Council Entry'!N159="","",IFERROR(MAX(0,MIN(10,ROUND(IF('Council Entry'!N$7="Decrease Risk",10-10*((IF('Council Entry'!N$4="Logarithm",LN(0.001+IF(AND(ISNUMBER('Council Entry'!N$8),ISNUMBER('Council Entry'!N$9)),MAX(MIN('Council Entry'!N159,'Council Entry'!N$9),'Council Entry'!N$8),'Council Entry'!N159)),IF('Council Entry'!N$4="Exponential",EXP(IF(AND(ISNUMBER('Council Entry'!N$8),ISNUMBER('Council Entry'!N$9)),MAX(MIN('Council Entry'!N159,'Council Entry'!N$9),'Council Entry'!N$8),'Council Entry'!N159)),IF(AND(ISNUMBER('Council Entry'!N$8),ISNUMBER('Council Entry'!N$9)),MAX(MIN('Council Entry'!N159,'Council Entry'!N$9),'Council Entry'!N$8),'Council Entry'!N159))))-'Council Entry'!N$5)/('Council Entry'!N$6-'Council Entry'!N$5),10*((IF('Council Entry'!N$4="Logarithm",LN(0.001+IF(AND(ISNUMBER('Council Entry'!N$8),ISNUMBER('Council Entry'!N$9)),MAX(MIN('Council Entry'!N159,'Council Entry'!N$9),'Council Entry'!N$8),'Council Entry'!N159)),IF('Council Entry'!N$4="Exponential",EXP(IF(AND(ISNUMBER('Council Entry'!N$8),ISNUMBER('Council Entry'!N$9)),MAX(MIN('Council Entry'!N159,'Council Entry'!N$9),'Council Entry'!N$8),'Council Entry'!N159)),IF(AND(ISNUMBER('Council Entry'!N$8),ISNUMBER('Council Entry'!N$9)),MAX(MIN('Council Entry'!N159,'Council Entry'!N$9),'Council Entry'!N$8),'Council Entry'!N159))))-'Council Entry'!N$5)/('Council Entry'!N$6-'Council Entry'!N$5)),1))),"No data"))</f>
        <v/>
      </c>
      <c r="O159" s="13">
        <f>IF('Council Entry'!O159="","",IFERROR(MAX(0,MIN(10,ROUND(IF('Council Entry'!O$7="Decrease Risk",10-10*((IF('Council Entry'!O$4="Logarithm",LN(0.001+IF(AND(ISNUMBER('Council Entry'!O$8),ISNUMBER('Council Entry'!O$9)),MAX(MIN('Council Entry'!O159,'Council Entry'!O$9),'Council Entry'!O$8),'Council Entry'!O159)),IF('Council Entry'!O$4="Exponential",EXP(IF(AND(ISNUMBER('Council Entry'!O$8),ISNUMBER('Council Entry'!O$9)),MAX(MIN('Council Entry'!O159,'Council Entry'!O$9),'Council Entry'!O$8),'Council Entry'!O159)),IF(AND(ISNUMBER('Council Entry'!O$8),ISNUMBER('Council Entry'!O$9)),MAX(MIN('Council Entry'!O159,'Council Entry'!O$9),'Council Entry'!O$8),'Council Entry'!O159))))-'Council Entry'!O$5)/('Council Entry'!O$6-'Council Entry'!O$5),10*((IF('Council Entry'!O$4="Logarithm",LN(0.001+IF(AND(ISNUMBER('Council Entry'!O$8),ISNUMBER('Council Entry'!O$9)),MAX(MIN('Council Entry'!O159,'Council Entry'!O$9),'Council Entry'!O$8),'Council Entry'!O159)),IF('Council Entry'!O$4="Exponential",EXP(IF(AND(ISNUMBER('Council Entry'!O$8),ISNUMBER('Council Entry'!O$9)),MAX(MIN('Council Entry'!O159,'Council Entry'!O$9),'Council Entry'!O$8),'Council Entry'!O159)),IF(AND(ISNUMBER('Council Entry'!O$8),ISNUMBER('Council Entry'!O$9)),MAX(MIN('Council Entry'!O159,'Council Entry'!O$9),'Council Entry'!O$8),'Council Entry'!O159))))-'Council Entry'!O$5)/('Council Entry'!O$6-'Council Entry'!O$5)),1))),"No data"))</f>
        <v/>
      </c>
      <c r="P159" s="13">
        <f>IF('Council Entry'!P159="","",IFERROR(MAX(0,MIN(10,ROUND(IF('Council Entry'!P$7="Decrease Risk",10-10*((IF('Council Entry'!P$4="Logarithm",LN(0.001+IF(AND(ISNUMBER('Council Entry'!P$8),ISNUMBER('Council Entry'!P$9)),MAX(MIN('Council Entry'!P159,'Council Entry'!P$9),'Council Entry'!P$8),'Council Entry'!P159)),IF('Council Entry'!P$4="Exponential",EXP(IF(AND(ISNUMBER('Council Entry'!P$8),ISNUMBER('Council Entry'!P$9)),MAX(MIN('Council Entry'!P159,'Council Entry'!P$9),'Council Entry'!P$8),'Council Entry'!P159)),IF(AND(ISNUMBER('Council Entry'!P$8),ISNUMBER('Council Entry'!P$9)),MAX(MIN('Council Entry'!P159,'Council Entry'!P$9),'Council Entry'!P$8),'Council Entry'!P159))))-'Council Entry'!P$5)/('Council Entry'!P$6-'Council Entry'!P$5),10*((IF('Council Entry'!P$4="Logarithm",LN(0.001+IF(AND(ISNUMBER('Council Entry'!P$8),ISNUMBER('Council Entry'!P$9)),MAX(MIN('Council Entry'!P159,'Council Entry'!P$9),'Council Entry'!P$8),'Council Entry'!P159)),IF('Council Entry'!P$4="Exponential",EXP(IF(AND(ISNUMBER('Council Entry'!P$8),ISNUMBER('Council Entry'!P$9)),MAX(MIN('Council Entry'!P159,'Council Entry'!P$9),'Council Entry'!P$8),'Council Entry'!P159)),IF(AND(ISNUMBER('Council Entry'!P$8),ISNUMBER('Council Entry'!P$9)),MAX(MIN('Council Entry'!P159,'Council Entry'!P$9),'Council Entry'!P$8),'Council Entry'!P159))))-'Council Entry'!P$5)/('Council Entry'!P$6-'Council Entry'!P$5)),1))),"No data"))</f>
        <v/>
      </c>
      <c r="Q159" s="13">
        <f>IF('Council Entry'!Q159="","",IFERROR(MAX(0,MIN(10,ROUND(IF('Council Entry'!Q$7="Decrease Risk",10-10*((IF('Council Entry'!Q$4="Logarithm",LN(0.001+IF(AND(ISNUMBER('Council Entry'!Q$8),ISNUMBER('Council Entry'!Q$9)),MAX(MIN('Council Entry'!Q159,'Council Entry'!Q$9),'Council Entry'!Q$8),'Council Entry'!Q159)),IF('Council Entry'!Q$4="Exponential",EXP(IF(AND(ISNUMBER('Council Entry'!Q$8),ISNUMBER('Council Entry'!Q$9)),MAX(MIN('Council Entry'!Q159,'Council Entry'!Q$9),'Council Entry'!Q$8),'Council Entry'!Q159)),IF(AND(ISNUMBER('Council Entry'!Q$8),ISNUMBER('Council Entry'!Q$9)),MAX(MIN('Council Entry'!Q159,'Council Entry'!Q$9),'Council Entry'!Q$8),'Council Entry'!Q159))))-'Council Entry'!Q$5)/('Council Entry'!Q$6-'Council Entry'!Q$5),10*((IF('Council Entry'!Q$4="Logarithm",LN(0.001+IF(AND(ISNUMBER('Council Entry'!Q$8),ISNUMBER('Council Entry'!Q$9)),MAX(MIN('Council Entry'!Q159,'Council Entry'!Q$9),'Council Entry'!Q$8),'Council Entry'!Q159)),IF('Council Entry'!Q$4="Exponential",EXP(IF(AND(ISNUMBER('Council Entry'!Q$8),ISNUMBER('Council Entry'!Q$9)),MAX(MIN('Council Entry'!Q159,'Council Entry'!Q$9),'Council Entry'!Q$8),'Council Entry'!Q159)),IF(AND(ISNUMBER('Council Entry'!Q$8),ISNUMBER('Council Entry'!Q$9)),MAX(MIN('Council Entry'!Q159,'Council Entry'!Q$9),'Council Entry'!Q$8),'Council Entry'!Q159))))-'Council Entry'!Q$5)/('Council Entry'!Q$6-'Council Entry'!Q$5)),1))),"No data"))</f>
        <v/>
      </c>
      <c r="R159" s="13">
        <f>IF('Council Entry'!R159="","",IFERROR(MAX(0,MIN(10,ROUND(IF('Council Entry'!R$7="Decrease Risk",10-10*((IF('Council Entry'!R$4="Logarithm",LN(0.001+IF(AND(ISNUMBER('Council Entry'!R$8),ISNUMBER('Council Entry'!R$9)),MAX(MIN('Council Entry'!R159,'Council Entry'!R$9),'Council Entry'!R$8),'Council Entry'!R159)),IF('Council Entry'!R$4="Exponential",EXP(IF(AND(ISNUMBER('Council Entry'!R$8),ISNUMBER('Council Entry'!R$9)),MAX(MIN('Council Entry'!R159,'Council Entry'!R$9),'Council Entry'!R$8),'Council Entry'!R159)),IF(AND(ISNUMBER('Council Entry'!R$8),ISNUMBER('Council Entry'!R$9)),MAX(MIN('Council Entry'!R159,'Council Entry'!R$9),'Council Entry'!R$8),'Council Entry'!R159))))-'Council Entry'!R$5)/('Council Entry'!R$6-'Council Entry'!R$5),10*((IF('Council Entry'!R$4="Logarithm",LN(0.001+IF(AND(ISNUMBER('Council Entry'!R$8),ISNUMBER('Council Entry'!R$9)),MAX(MIN('Council Entry'!R159,'Council Entry'!R$9),'Council Entry'!R$8),'Council Entry'!R159)),IF('Council Entry'!R$4="Exponential",EXP(IF(AND(ISNUMBER('Council Entry'!R$8),ISNUMBER('Council Entry'!R$9)),MAX(MIN('Council Entry'!R159,'Council Entry'!R$9),'Council Entry'!R$8),'Council Entry'!R159)),IF(AND(ISNUMBER('Council Entry'!R$8),ISNUMBER('Council Entry'!R$9)),MAX(MIN('Council Entry'!R159,'Council Entry'!R$9),'Council Entry'!R$8),'Council Entry'!R159))))-'Council Entry'!R$5)/('Council Entry'!R$6-'Council Entry'!R$5)),1))),"No data"))</f>
        <v/>
      </c>
      <c r="S159" s="13">
        <f>IF('Council Entry'!S159="","",IFERROR(MAX(0,MIN(10,ROUND(IF('Council Entry'!S$7="Decrease Risk",10-10*((IF('Council Entry'!S$4="Logarithm",LN(0.001+IF(AND(ISNUMBER('Council Entry'!S$8),ISNUMBER('Council Entry'!S$9)),MAX(MIN('Council Entry'!S159,'Council Entry'!S$9),'Council Entry'!S$8),'Council Entry'!S159)),IF('Council Entry'!S$4="Exponential",EXP(IF(AND(ISNUMBER('Council Entry'!S$8),ISNUMBER('Council Entry'!S$9)),MAX(MIN('Council Entry'!S159,'Council Entry'!S$9),'Council Entry'!S$8),'Council Entry'!S159)),IF(AND(ISNUMBER('Council Entry'!S$8),ISNUMBER('Council Entry'!S$9)),MAX(MIN('Council Entry'!S159,'Council Entry'!S$9),'Council Entry'!S$8),'Council Entry'!S159))))-'Council Entry'!S$5)/('Council Entry'!S$6-'Council Entry'!S$5),10*((IF('Council Entry'!S$4="Logarithm",LN(0.001+IF(AND(ISNUMBER('Council Entry'!S$8),ISNUMBER('Council Entry'!S$9)),MAX(MIN('Council Entry'!S159,'Council Entry'!S$9),'Council Entry'!S$8),'Council Entry'!S159)),IF('Council Entry'!S$4="Exponential",EXP(IF(AND(ISNUMBER('Council Entry'!S$8),ISNUMBER('Council Entry'!S$9)),MAX(MIN('Council Entry'!S159,'Council Entry'!S$9),'Council Entry'!S$8),'Council Entry'!S159)),IF(AND(ISNUMBER('Council Entry'!S$8),ISNUMBER('Council Entry'!S$9)),MAX(MIN('Council Entry'!S159,'Council Entry'!S$9),'Council Entry'!S$8),'Council Entry'!S159))))-'Council Entry'!S$5)/('Council Entry'!S$6-'Council Entry'!S$5)),1))),"No data"))</f>
        <v/>
      </c>
      <c r="T159" s="13">
        <f>IF('Council Entry'!T159="","",IFERROR(MAX(0,MIN(10,ROUND(IF('Council Entry'!T$7="Decrease Risk",10-10*((IF('Council Entry'!T$4="Logarithm",LN(0.001+IF(AND(ISNUMBER('Council Entry'!T$8),ISNUMBER('Council Entry'!T$9)),MAX(MIN('Council Entry'!T159,'Council Entry'!T$9),'Council Entry'!T$8),'Council Entry'!T159)),IF('Council Entry'!T$4="Exponential",EXP(IF(AND(ISNUMBER('Council Entry'!T$8),ISNUMBER('Council Entry'!T$9)),MAX(MIN('Council Entry'!T159,'Council Entry'!T$9),'Council Entry'!T$8),'Council Entry'!T159)),IF(AND(ISNUMBER('Council Entry'!T$8),ISNUMBER('Council Entry'!T$9)),MAX(MIN('Council Entry'!T159,'Council Entry'!T$9),'Council Entry'!T$8),'Council Entry'!T159))))-'Council Entry'!T$5)/('Council Entry'!T$6-'Council Entry'!T$5),10*((IF('Council Entry'!T$4="Logarithm",LN(0.001+IF(AND(ISNUMBER('Council Entry'!T$8),ISNUMBER('Council Entry'!T$9)),MAX(MIN('Council Entry'!T159,'Council Entry'!T$9),'Council Entry'!T$8),'Council Entry'!T159)),IF('Council Entry'!T$4="Exponential",EXP(IF(AND(ISNUMBER('Council Entry'!T$8),ISNUMBER('Council Entry'!T$9)),MAX(MIN('Council Entry'!T159,'Council Entry'!T$9),'Council Entry'!T$8),'Council Entry'!T159)),IF(AND(ISNUMBER('Council Entry'!T$8),ISNUMBER('Council Entry'!T$9)),MAX(MIN('Council Entry'!T159,'Council Entry'!T$9),'Council Entry'!T$8),'Council Entry'!T159))))-'Council Entry'!T$5)/('Council Entry'!T$6-'Council Entry'!T$5)),1))),"No data"))</f>
        <v/>
      </c>
      <c r="U159" s="13">
        <f>IF('Council Entry'!U159="","",IFERROR(MAX(0,MIN(10,ROUND(IF('Council Entry'!U$7="Decrease Risk",10-10*((IF('Council Entry'!U$4="Logarithm",LN(0.001+IF(AND(ISNUMBER('Council Entry'!U$8),ISNUMBER('Council Entry'!U$9)),MAX(MIN('Council Entry'!U159,'Council Entry'!U$9),'Council Entry'!U$8),'Council Entry'!U159)),IF('Council Entry'!U$4="Exponential",EXP(IF(AND(ISNUMBER('Council Entry'!U$8),ISNUMBER('Council Entry'!U$9)),MAX(MIN('Council Entry'!U159,'Council Entry'!U$9),'Council Entry'!U$8),'Council Entry'!U159)),IF(AND(ISNUMBER('Council Entry'!U$8),ISNUMBER('Council Entry'!U$9)),MAX(MIN('Council Entry'!U159,'Council Entry'!U$9),'Council Entry'!U$8),'Council Entry'!U159))))-'Council Entry'!U$5)/('Council Entry'!U$6-'Council Entry'!U$5),10*((IF('Council Entry'!U$4="Logarithm",LN(0.001+IF(AND(ISNUMBER('Council Entry'!U$8),ISNUMBER('Council Entry'!U$9)),MAX(MIN('Council Entry'!U159,'Council Entry'!U$9),'Council Entry'!U$8),'Council Entry'!U159)),IF('Council Entry'!U$4="Exponential",EXP(IF(AND(ISNUMBER('Council Entry'!U$8),ISNUMBER('Council Entry'!U$9)),MAX(MIN('Council Entry'!U159,'Council Entry'!U$9),'Council Entry'!U$8),'Council Entry'!U159)),IF(AND(ISNUMBER('Council Entry'!U$8),ISNUMBER('Council Entry'!U$9)),MAX(MIN('Council Entry'!U159,'Council Entry'!U$9),'Council Entry'!U$8),'Council Entry'!U159))))-'Council Entry'!U$5)/('Council Entry'!U$6-'Council Entry'!U$5)),1))),"No data"))</f>
        <v/>
      </c>
      <c r="V159" s="13">
        <f>IF('Council Entry'!V159="","",IFERROR(MAX(0,MIN(10,ROUND(IF('Council Entry'!V$7="Decrease Risk",10-10*((IF('Council Entry'!V$4="Logarithm",LN(0.001+IF(AND(ISNUMBER('Council Entry'!V$8),ISNUMBER('Council Entry'!V$9)),MAX(MIN('Council Entry'!V159,'Council Entry'!V$9),'Council Entry'!V$8),'Council Entry'!V159)),IF('Council Entry'!V$4="Exponential",EXP(IF(AND(ISNUMBER('Council Entry'!V$8),ISNUMBER('Council Entry'!V$9)),MAX(MIN('Council Entry'!V159,'Council Entry'!V$9),'Council Entry'!V$8),'Council Entry'!V159)),IF(AND(ISNUMBER('Council Entry'!V$8),ISNUMBER('Council Entry'!V$9)),MAX(MIN('Council Entry'!V159,'Council Entry'!V$9),'Council Entry'!V$8),'Council Entry'!V159))))-'Council Entry'!V$5)/('Council Entry'!V$6-'Council Entry'!V$5),10*((IF('Council Entry'!V$4="Logarithm",LN(0.001+IF(AND(ISNUMBER('Council Entry'!V$8),ISNUMBER('Council Entry'!V$9)),MAX(MIN('Council Entry'!V159,'Council Entry'!V$9),'Council Entry'!V$8),'Council Entry'!V159)),IF('Council Entry'!V$4="Exponential",EXP(IF(AND(ISNUMBER('Council Entry'!V$8),ISNUMBER('Council Entry'!V$9)),MAX(MIN('Council Entry'!V159,'Council Entry'!V$9),'Council Entry'!V$8),'Council Entry'!V159)),IF(AND(ISNUMBER('Council Entry'!V$8),ISNUMBER('Council Entry'!V$9)),MAX(MIN('Council Entry'!V159,'Council Entry'!V$9),'Council Entry'!V$8),'Council Entry'!V159))))-'Council Entry'!V$5)/('Council Entry'!V$6-'Council Entry'!V$5)),1))),"No data"))</f>
        <v/>
      </c>
      <c r="W159" s="13">
        <f>IF('Council Entry'!W159="","",IFERROR(MAX(0,MIN(10,ROUND(IF('Council Entry'!W$7="Decrease Risk",10-10*((IF('Council Entry'!W$4="Logarithm",LN(0.001+IF(AND(ISNUMBER('Council Entry'!W$8),ISNUMBER('Council Entry'!W$9)),MAX(MIN('Council Entry'!W159,'Council Entry'!W$9),'Council Entry'!W$8),'Council Entry'!W159)),IF('Council Entry'!W$4="Exponential",EXP(IF(AND(ISNUMBER('Council Entry'!W$8),ISNUMBER('Council Entry'!W$9)),MAX(MIN('Council Entry'!W159,'Council Entry'!W$9),'Council Entry'!W$8),'Council Entry'!W159)),IF(AND(ISNUMBER('Council Entry'!W$8),ISNUMBER('Council Entry'!W$9)),MAX(MIN('Council Entry'!W159,'Council Entry'!W$9),'Council Entry'!W$8),'Council Entry'!W159))))-'Council Entry'!W$5)/('Council Entry'!W$6-'Council Entry'!W$5),10*((IF('Council Entry'!W$4="Logarithm",LN(0.001+IF(AND(ISNUMBER('Council Entry'!W$8),ISNUMBER('Council Entry'!W$9)),MAX(MIN('Council Entry'!W159,'Council Entry'!W$9),'Council Entry'!W$8),'Council Entry'!W159)),IF('Council Entry'!W$4="Exponential",EXP(IF(AND(ISNUMBER('Council Entry'!W$8),ISNUMBER('Council Entry'!W$9)),MAX(MIN('Council Entry'!W159,'Council Entry'!W$9),'Council Entry'!W$8),'Council Entry'!W159)),IF(AND(ISNUMBER('Council Entry'!W$8),ISNUMBER('Council Entry'!W$9)),MAX(MIN('Council Entry'!W159,'Council Entry'!W$9),'Council Entry'!W$8),'Council Entry'!W159))))-'Council Entry'!W$5)/('Council Entry'!W$6-'Council Entry'!W$5)),1))),"No data"))</f>
        <v/>
      </c>
      <c r="X159" s="13">
        <f>IF('Council Entry'!X159="","",IFERROR(MAX(0,MIN(10,ROUND(IF('Council Entry'!X$7="Decrease Risk",10-10*((IF('Council Entry'!X$4="Logarithm",LN(0.001+IF(AND(ISNUMBER('Council Entry'!X$8),ISNUMBER('Council Entry'!X$9)),MAX(MIN('Council Entry'!X159,'Council Entry'!X$9),'Council Entry'!X$8),'Council Entry'!X159)),IF('Council Entry'!X$4="Exponential",EXP(IF(AND(ISNUMBER('Council Entry'!X$8),ISNUMBER('Council Entry'!X$9)),MAX(MIN('Council Entry'!X159,'Council Entry'!X$9),'Council Entry'!X$8),'Council Entry'!X159)),IF(AND(ISNUMBER('Council Entry'!X$8),ISNUMBER('Council Entry'!X$9)),MAX(MIN('Council Entry'!X159,'Council Entry'!X$9),'Council Entry'!X$8),'Council Entry'!X159))))-'Council Entry'!X$5)/('Council Entry'!X$6-'Council Entry'!X$5),10*((IF('Council Entry'!X$4="Logarithm",LN(0.001+IF(AND(ISNUMBER('Council Entry'!X$8),ISNUMBER('Council Entry'!X$9)),MAX(MIN('Council Entry'!X159,'Council Entry'!X$9),'Council Entry'!X$8),'Council Entry'!X159)),IF('Council Entry'!X$4="Exponential",EXP(IF(AND(ISNUMBER('Council Entry'!X$8),ISNUMBER('Council Entry'!X$9)),MAX(MIN('Council Entry'!X159,'Council Entry'!X$9),'Council Entry'!X$8),'Council Entry'!X159)),IF(AND(ISNUMBER('Council Entry'!X$8),ISNUMBER('Council Entry'!X$9)),MAX(MIN('Council Entry'!X159,'Council Entry'!X$9),'Council Entry'!X$8),'Council Entry'!X159))))-'Council Entry'!X$5)/('Council Entry'!X$6-'Council Entry'!X$5)),1))),"No data"))</f>
        <v/>
      </c>
      <c r="Y159" s="13">
        <f>IF('Council Entry'!Y159="","",IFERROR(MAX(0,MIN(10,ROUND(IF('Council Entry'!Y$7="Decrease Risk",10-10*((IF('Council Entry'!Y$4="Logarithm",LN(0.001+IF(AND(ISNUMBER('Council Entry'!Y$8),ISNUMBER('Council Entry'!Y$9)),MAX(MIN('Council Entry'!Y159,'Council Entry'!Y$9),'Council Entry'!Y$8),'Council Entry'!Y159)),IF('Council Entry'!Y$4="Exponential",EXP(IF(AND(ISNUMBER('Council Entry'!Y$8),ISNUMBER('Council Entry'!Y$9)),MAX(MIN('Council Entry'!Y159,'Council Entry'!Y$9),'Council Entry'!Y$8),'Council Entry'!Y159)),IF(AND(ISNUMBER('Council Entry'!Y$8),ISNUMBER('Council Entry'!Y$9)),MAX(MIN('Council Entry'!Y159,'Council Entry'!Y$9),'Council Entry'!Y$8),'Council Entry'!Y159))))-'Council Entry'!Y$5)/('Council Entry'!Y$6-'Council Entry'!Y$5),10*((IF('Council Entry'!Y$4="Logarithm",LN(0.001+IF(AND(ISNUMBER('Council Entry'!Y$8),ISNUMBER('Council Entry'!Y$9)),MAX(MIN('Council Entry'!Y159,'Council Entry'!Y$9),'Council Entry'!Y$8),'Council Entry'!Y159)),IF('Council Entry'!Y$4="Exponential",EXP(IF(AND(ISNUMBER('Council Entry'!Y$8),ISNUMBER('Council Entry'!Y$9)),MAX(MIN('Council Entry'!Y159,'Council Entry'!Y$9),'Council Entry'!Y$8),'Council Entry'!Y159)),IF(AND(ISNUMBER('Council Entry'!Y$8),ISNUMBER('Council Entry'!Y$9)),MAX(MIN('Council Entry'!Y159,'Council Entry'!Y$9),'Council Entry'!Y$8),'Council Entry'!Y159))))-'Council Entry'!Y$5)/('Council Entry'!Y$6-'Council Entry'!Y$5)),1))),"No data"))</f>
        <v/>
      </c>
      <c r="Z159" s="13">
        <f>IF('Council Entry'!Z159="","",IFERROR(MAX(0,MIN(10,ROUND(IF('Council Entry'!Z$7="Decrease Risk",10-10*((IF('Council Entry'!Z$4="Logarithm",LN(0.001+IF(AND(ISNUMBER('Council Entry'!Z$8),ISNUMBER('Council Entry'!Z$9)),MAX(MIN('Council Entry'!Z159,'Council Entry'!Z$9),'Council Entry'!Z$8),'Council Entry'!Z159)),IF('Council Entry'!Z$4="Exponential",EXP(IF(AND(ISNUMBER('Council Entry'!Z$8),ISNUMBER('Council Entry'!Z$9)),MAX(MIN('Council Entry'!Z159,'Council Entry'!Z$9),'Council Entry'!Z$8),'Council Entry'!Z159)),IF(AND(ISNUMBER('Council Entry'!Z$8),ISNUMBER('Council Entry'!Z$9)),MAX(MIN('Council Entry'!Z159,'Council Entry'!Z$9),'Council Entry'!Z$8),'Council Entry'!Z159))))-'Council Entry'!Z$5)/('Council Entry'!Z$6-'Council Entry'!Z$5),10*((IF('Council Entry'!Z$4="Logarithm",LN(0.001+IF(AND(ISNUMBER('Council Entry'!Z$8),ISNUMBER('Council Entry'!Z$9)),MAX(MIN('Council Entry'!Z159,'Council Entry'!Z$9),'Council Entry'!Z$8),'Council Entry'!Z159)),IF('Council Entry'!Z$4="Exponential",EXP(IF(AND(ISNUMBER('Council Entry'!Z$8),ISNUMBER('Council Entry'!Z$9)),MAX(MIN('Council Entry'!Z159,'Council Entry'!Z$9),'Council Entry'!Z$8),'Council Entry'!Z159)),IF(AND(ISNUMBER('Council Entry'!Z$8),ISNUMBER('Council Entry'!Z$9)),MAX(MIN('Council Entry'!Z159,'Council Entry'!Z$9),'Council Entry'!Z$8),'Council Entry'!Z159))))-'Council Entry'!Z$5)/('Council Entry'!Z$6-'Council Entry'!Z$5)),1))),"No data"))</f>
        <v/>
      </c>
      <c r="AA159" s="13">
        <f>IF('Council Entry'!AA159="","",IFERROR(MAX(0,MIN(10,ROUND(IF('Council Entry'!AA$7="Decrease Risk",10-10*((IF('Council Entry'!AA$4="Logarithm",LN(0.001+IF(AND(ISNUMBER('Council Entry'!AA$8),ISNUMBER('Council Entry'!AA$9)),MAX(MIN('Council Entry'!AA159,'Council Entry'!AA$9),'Council Entry'!AA$8),'Council Entry'!AA159)),IF('Council Entry'!AA$4="Exponential",EXP(IF(AND(ISNUMBER('Council Entry'!AA$8),ISNUMBER('Council Entry'!AA$9)),MAX(MIN('Council Entry'!AA159,'Council Entry'!AA$9),'Council Entry'!AA$8),'Council Entry'!AA159)),IF(AND(ISNUMBER('Council Entry'!AA$8),ISNUMBER('Council Entry'!AA$9)),MAX(MIN('Council Entry'!AA159,'Council Entry'!AA$9),'Council Entry'!AA$8),'Council Entry'!AA159))))-'Council Entry'!AA$5)/('Council Entry'!AA$6-'Council Entry'!AA$5),10*((IF('Council Entry'!AA$4="Logarithm",LN(0.001+IF(AND(ISNUMBER('Council Entry'!AA$8),ISNUMBER('Council Entry'!AA$9)),MAX(MIN('Council Entry'!AA159,'Council Entry'!AA$9),'Council Entry'!AA$8),'Council Entry'!AA159)),IF('Council Entry'!AA$4="Exponential",EXP(IF(AND(ISNUMBER('Council Entry'!AA$8),ISNUMBER('Council Entry'!AA$9)),MAX(MIN('Council Entry'!AA159,'Council Entry'!AA$9),'Council Entry'!AA$8),'Council Entry'!AA159)),IF(AND(ISNUMBER('Council Entry'!AA$8),ISNUMBER('Council Entry'!AA$9)),MAX(MIN('Council Entry'!AA159,'Council Entry'!AA$9),'Council Entry'!AA$8),'Council Entry'!AA159))))-'Council Entry'!AA$5)/('Council Entry'!AA$6-'Council Entry'!AA$5)),1))),"No data"))</f>
        <v/>
      </c>
      <c r="AB159" s="13">
        <f>IF('Council Entry'!AB159="","",IFERROR(MAX(0,MIN(10,ROUND(IF('Council Entry'!AB$7="Decrease Risk",10-10*((IF('Council Entry'!AB$4="Logarithm",LN(0.001+IF(AND(ISNUMBER('Council Entry'!AB$8),ISNUMBER('Council Entry'!AB$9)),MAX(MIN('Council Entry'!AB159,'Council Entry'!AB$9),'Council Entry'!AB$8),'Council Entry'!AB159)),IF('Council Entry'!AB$4="Exponential",EXP(IF(AND(ISNUMBER('Council Entry'!AB$8),ISNUMBER('Council Entry'!AB$9)),MAX(MIN('Council Entry'!AB159,'Council Entry'!AB$9),'Council Entry'!AB$8),'Council Entry'!AB159)),IF(AND(ISNUMBER('Council Entry'!AB$8),ISNUMBER('Council Entry'!AB$9)),MAX(MIN('Council Entry'!AB159,'Council Entry'!AB$9),'Council Entry'!AB$8),'Council Entry'!AB159))))-'Council Entry'!AB$5)/('Council Entry'!AB$6-'Council Entry'!AB$5),10*((IF('Council Entry'!AB$4="Logarithm",LN(0.001+IF(AND(ISNUMBER('Council Entry'!AB$8),ISNUMBER('Council Entry'!AB$9)),MAX(MIN('Council Entry'!AB159,'Council Entry'!AB$9),'Council Entry'!AB$8),'Council Entry'!AB159)),IF('Council Entry'!AB$4="Exponential",EXP(IF(AND(ISNUMBER('Council Entry'!AB$8),ISNUMBER('Council Entry'!AB$9)),MAX(MIN('Council Entry'!AB159,'Council Entry'!AB$9),'Council Entry'!AB$8),'Council Entry'!AB159)),IF(AND(ISNUMBER('Council Entry'!AB$8),ISNUMBER('Council Entry'!AB$9)),MAX(MIN('Council Entry'!AB159,'Council Entry'!AB$9),'Council Entry'!AB$8),'Council Entry'!AB159))))-'Council Entry'!AB$5)/('Council Entry'!AB$6-'Council Entry'!AB$5)),1))),"No data"))</f>
        <v/>
      </c>
      <c r="AC159" s="13">
        <f>IF('Council Entry'!AC159="","",IFERROR(MAX(0,MIN(10,ROUND(IF('Council Entry'!AC$7="Decrease Risk",10-10*((IF('Council Entry'!AC$4="Logarithm",LN(0.001+IF(AND(ISNUMBER('Council Entry'!AC$8),ISNUMBER('Council Entry'!AC$9)),MAX(MIN('Council Entry'!AC159,'Council Entry'!AC$9),'Council Entry'!AC$8),'Council Entry'!AC159)),IF('Council Entry'!AC$4="Exponential",EXP(IF(AND(ISNUMBER('Council Entry'!AC$8),ISNUMBER('Council Entry'!AC$9)),MAX(MIN('Council Entry'!AC159,'Council Entry'!AC$9),'Council Entry'!AC$8),'Council Entry'!AC159)),IF(AND(ISNUMBER('Council Entry'!AC$8),ISNUMBER('Council Entry'!AC$9)),MAX(MIN('Council Entry'!AC159,'Council Entry'!AC$9),'Council Entry'!AC$8),'Council Entry'!AC159))))-'Council Entry'!AC$5)/('Council Entry'!AC$6-'Council Entry'!AC$5),10*((IF('Council Entry'!AC$4="Logarithm",LN(0.001+IF(AND(ISNUMBER('Council Entry'!AC$8),ISNUMBER('Council Entry'!AC$9)),MAX(MIN('Council Entry'!AC159,'Council Entry'!AC$9),'Council Entry'!AC$8),'Council Entry'!AC159)),IF('Council Entry'!AC$4="Exponential",EXP(IF(AND(ISNUMBER('Council Entry'!AC$8),ISNUMBER('Council Entry'!AC$9)),MAX(MIN('Council Entry'!AC159,'Council Entry'!AC$9),'Council Entry'!AC$8),'Council Entry'!AC159)),IF(AND(ISNUMBER('Council Entry'!AC$8),ISNUMBER('Council Entry'!AC$9)),MAX(MIN('Council Entry'!AC159,'Council Entry'!AC$9),'Council Entry'!AC$8),'Council Entry'!AC159))))-'Council Entry'!AC$5)/('Council Entry'!AC$6-'Council Entry'!AC$5)),1))),"No data"))</f>
        <v/>
      </c>
      <c r="AD159" s="13">
        <f>IF('Council Entry'!AD159="","",IFERROR(MAX(0,MIN(10,ROUND(IF('Council Entry'!AD$7="Decrease Risk",10-10*((IF('Council Entry'!AD$4="Logarithm",LN(0.001+IF(AND(ISNUMBER('Council Entry'!AD$8),ISNUMBER('Council Entry'!AD$9)),MAX(MIN('Council Entry'!AD159,'Council Entry'!AD$9),'Council Entry'!AD$8),'Council Entry'!AD159)),IF('Council Entry'!AD$4="Exponential",EXP(IF(AND(ISNUMBER('Council Entry'!AD$8),ISNUMBER('Council Entry'!AD$9)),MAX(MIN('Council Entry'!AD159,'Council Entry'!AD$9),'Council Entry'!AD$8),'Council Entry'!AD159)),IF(AND(ISNUMBER('Council Entry'!AD$8),ISNUMBER('Council Entry'!AD$9)),MAX(MIN('Council Entry'!AD159,'Council Entry'!AD$9),'Council Entry'!AD$8),'Council Entry'!AD159))))-'Council Entry'!AD$5)/('Council Entry'!AD$6-'Council Entry'!AD$5),10*((IF('Council Entry'!AD$4="Logarithm",LN(0.001+IF(AND(ISNUMBER('Council Entry'!AD$8),ISNUMBER('Council Entry'!AD$9)),MAX(MIN('Council Entry'!AD159,'Council Entry'!AD$9),'Council Entry'!AD$8),'Council Entry'!AD159)),IF('Council Entry'!AD$4="Exponential",EXP(IF(AND(ISNUMBER('Council Entry'!AD$8),ISNUMBER('Council Entry'!AD$9)),MAX(MIN('Council Entry'!AD159,'Council Entry'!AD$9),'Council Entry'!AD$8),'Council Entry'!AD159)),IF(AND(ISNUMBER('Council Entry'!AD$8),ISNUMBER('Council Entry'!AD$9)),MAX(MIN('Council Entry'!AD159,'Council Entry'!AD$9),'Council Entry'!AD$8),'Council Entry'!AD159))))-'Council Entry'!AD$5)/('Council Entry'!AD$6-'Council Entry'!AD$5)),1))),"No data"))</f>
        <v/>
      </c>
      <c r="AE159" s="13">
        <f>IF('Council Entry'!AE159="","",IFERROR(MAX(0,MIN(10,ROUND(IF('Council Entry'!AE$7="Decrease Risk",10-10*((IF('Council Entry'!AE$4="Logarithm",LN(0.001+IF(AND(ISNUMBER('Council Entry'!AE$8),ISNUMBER('Council Entry'!AE$9)),MAX(MIN('Council Entry'!AE159,'Council Entry'!AE$9),'Council Entry'!AE$8),'Council Entry'!AE159)),IF('Council Entry'!AE$4="Exponential",EXP(IF(AND(ISNUMBER('Council Entry'!AE$8),ISNUMBER('Council Entry'!AE$9)),MAX(MIN('Council Entry'!AE159,'Council Entry'!AE$9),'Council Entry'!AE$8),'Council Entry'!AE159)),IF(AND(ISNUMBER('Council Entry'!AE$8),ISNUMBER('Council Entry'!AE$9)),MAX(MIN('Council Entry'!AE159,'Council Entry'!AE$9),'Council Entry'!AE$8),'Council Entry'!AE159))))-'Council Entry'!AE$5)/('Council Entry'!AE$6-'Council Entry'!AE$5),10*((IF('Council Entry'!AE$4="Logarithm",LN(0.001+IF(AND(ISNUMBER('Council Entry'!AE$8),ISNUMBER('Council Entry'!AE$9)),MAX(MIN('Council Entry'!AE159,'Council Entry'!AE$9),'Council Entry'!AE$8),'Council Entry'!AE159)),IF('Council Entry'!AE$4="Exponential",EXP(IF(AND(ISNUMBER('Council Entry'!AE$8),ISNUMBER('Council Entry'!AE$9)),MAX(MIN('Council Entry'!AE159,'Council Entry'!AE$9),'Council Entry'!AE$8),'Council Entry'!AE159)),IF(AND(ISNUMBER('Council Entry'!AE$8),ISNUMBER('Council Entry'!AE$9)),MAX(MIN('Council Entry'!AE159,'Council Entry'!AE$9),'Council Entry'!AE$8),'Council Entry'!AE159))))-'Council Entry'!AE$5)/('Council Entry'!AE$6-'Council Entry'!AE$5)),1))),"No data"))</f>
        <v/>
      </c>
      <c r="AF159" s="13">
        <f>IF('Council Entry'!AF159="","",IFERROR(MAX(0,MIN(10,ROUND(IF('Council Entry'!AF$7="Decrease Risk",10-10*((IF('Council Entry'!AF$4="Logarithm",LN(0.001+IF(AND(ISNUMBER('Council Entry'!AF$8),ISNUMBER('Council Entry'!AF$9)),MAX(MIN('Council Entry'!AF159,'Council Entry'!AF$9),'Council Entry'!AF$8),'Council Entry'!AF159)),IF('Council Entry'!AF$4="Exponential",EXP(IF(AND(ISNUMBER('Council Entry'!AF$8),ISNUMBER('Council Entry'!AF$9)),MAX(MIN('Council Entry'!AF159,'Council Entry'!AF$9),'Council Entry'!AF$8),'Council Entry'!AF159)),IF(AND(ISNUMBER('Council Entry'!AF$8),ISNUMBER('Council Entry'!AF$9)),MAX(MIN('Council Entry'!AF159,'Council Entry'!AF$9),'Council Entry'!AF$8),'Council Entry'!AF159))))-'Council Entry'!AF$5)/('Council Entry'!AF$6-'Council Entry'!AF$5),10*((IF('Council Entry'!AF$4="Logarithm",LN(0.001+IF(AND(ISNUMBER('Council Entry'!AF$8),ISNUMBER('Council Entry'!AF$9)),MAX(MIN('Council Entry'!AF159,'Council Entry'!AF$9),'Council Entry'!AF$8),'Council Entry'!AF159)),IF('Council Entry'!AF$4="Exponential",EXP(IF(AND(ISNUMBER('Council Entry'!AF$8),ISNUMBER('Council Entry'!AF$9)),MAX(MIN('Council Entry'!AF159,'Council Entry'!AF$9),'Council Entry'!AF$8),'Council Entry'!AF159)),IF(AND(ISNUMBER('Council Entry'!AF$8),ISNUMBER('Council Entry'!AF$9)),MAX(MIN('Council Entry'!AF159,'Council Entry'!AF$9),'Council Entry'!AF$8),'Council Entry'!AF159))))-'Council Entry'!AF$5)/('Council Entry'!AF$6-'Council Entry'!AF$5)),1))),"No data"))</f>
        <v/>
      </c>
      <c r="AG159" s="13">
        <f>IF('Council Entry'!AG159="","",IFERROR(MAX(0,MIN(10,ROUND(IF('Council Entry'!AG$7="Decrease Risk",10-10*((IF('Council Entry'!AG$4="Logarithm",LN(0.001+IF(AND(ISNUMBER('Council Entry'!AG$8),ISNUMBER('Council Entry'!AG$9)),MAX(MIN('Council Entry'!AG159,'Council Entry'!AG$9),'Council Entry'!AG$8),'Council Entry'!AG159)),IF('Council Entry'!AG$4="Exponential",EXP(IF(AND(ISNUMBER('Council Entry'!AG$8),ISNUMBER('Council Entry'!AG$9)),MAX(MIN('Council Entry'!AG159,'Council Entry'!AG$9),'Council Entry'!AG$8),'Council Entry'!AG159)),IF(AND(ISNUMBER('Council Entry'!AG$8),ISNUMBER('Council Entry'!AG$9)),MAX(MIN('Council Entry'!AG159,'Council Entry'!AG$9),'Council Entry'!AG$8),'Council Entry'!AG159))))-'Council Entry'!AG$5)/('Council Entry'!AG$6-'Council Entry'!AG$5),10*((IF('Council Entry'!AG$4="Logarithm",LN(0.001+IF(AND(ISNUMBER('Council Entry'!AG$8),ISNUMBER('Council Entry'!AG$9)),MAX(MIN('Council Entry'!AG159,'Council Entry'!AG$9),'Council Entry'!AG$8),'Council Entry'!AG159)),IF('Council Entry'!AG$4="Exponential",EXP(IF(AND(ISNUMBER('Council Entry'!AG$8),ISNUMBER('Council Entry'!AG$9)),MAX(MIN('Council Entry'!AG159,'Council Entry'!AG$9),'Council Entry'!AG$8),'Council Entry'!AG159)),IF(AND(ISNUMBER('Council Entry'!AG$8),ISNUMBER('Council Entry'!AG$9)),MAX(MIN('Council Entry'!AG159,'Council Entry'!AG$9),'Council Entry'!AG$8),'Council Entry'!AG159))))-'Council Entry'!AG$5)/('Council Entry'!AG$6-'Council Entry'!AG$5)),1))),"No data"))</f>
        <v/>
      </c>
      <c r="AH159" s="13">
        <f>IF('Council Entry'!AH159="","",IFERROR(MAX(0,MIN(10,ROUND(IF('Council Entry'!AH$7="Decrease Risk",10-10*((IF('Council Entry'!AH$4="Logarithm",LN(0.001+IF(AND(ISNUMBER('Council Entry'!AH$8),ISNUMBER('Council Entry'!AH$9)),MAX(MIN('Council Entry'!AH159,'Council Entry'!AH$9),'Council Entry'!AH$8),'Council Entry'!AH159)),IF('Council Entry'!AH$4="Exponential",EXP(IF(AND(ISNUMBER('Council Entry'!AH$8),ISNUMBER('Council Entry'!AH$9)),MAX(MIN('Council Entry'!AH159,'Council Entry'!AH$9),'Council Entry'!AH$8),'Council Entry'!AH159)),IF(AND(ISNUMBER('Council Entry'!AH$8),ISNUMBER('Council Entry'!AH$9)),MAX(MIN('Council Entry'!AH159,'Council Entry'!AH$9),'Council Entry'!AH$8),'Council Entry'!AH159))))-'Council Entry'!AH$5)/('Council Entry'!AH$6-'Council Entry'!AH$5),10*((IF('Council Entry'!AH$4="Logarithm",LN(0.001+IF(AND(ISNUMBER('Council Entry'!AH$8),ISNUMBER('Council Entry'!AH$9)),MAX(MIN('Council Entry'!AH159,'Council Entry'!AH$9),'Council Entry'!AH$8),'Council Entry'!AH159)),IF('Council Entry'!AH$4="Exponential",EXP(IF(AND(ISNUMBER('Council Entry'!AH$8),ISNUMBER('Council Entry'!AH$9)),MAX(MIN('Council Entry'!AH159,'Council Entry'!AH$9),'Council Entry'!AH$8),'Council Entry'!AH159)),IF(AND(ISNUMBER('Council Entry'!AH$8),ISNUMBER('Council Entry'!AH$9)),MAX(MIN('Council Entry'!AH159,'Council Entry'!AH$9),'Council Entry'!AH$8),'Council Entry'!AH159))))-'Council Entry'!AH$5)/('Council Entry'!AH$6-'Council Entry'!AH$5)),1))),"No data"))</f>
        <v/>
      </c>
      <c r="AI159" s="13">
        <f>IF('Council Entry'!AI159="","",IFERROR(MAX(0,MIN(10,ROUND(IF('Council Entry'!AI$7="Decrease Risk",10-10*((IF('Council Entry'!AI$4="Logarithm",LN(0.001+IF(AND(ISNUMBER('Council Entry'!AI$8),ISNUMBER('Council Entry'!AI$9)),MAX(MIN('Council Entry'!AI159,'Council Entry'!AI$9),'Council Entry'!AI$8),'Council Entry'!AI159)),IF('Council Entry'!AI$4="Exponential",EXP(IF(AND(ISNUMBER('Council Entry'!AI$8),ISNUMBER('Council Entry'!AI$9)),MAX(MIN('Council Entry'!AI159,'Council Entry'!AI$9),'Council Entry'!AI$8),'Council Entry'!AI159)),IF(AND(ISNUMBER('Council Entry'!AI$8),ISNUMBER('Council Entry'!AI$9)),MAX(MIN('Council Entry'!AI159,'Council Entry'!AI$9),'Council Entry'!AI$8),'Council Entry'!AI159))))-'Council Entry'!AI$5)/('Council Entry'!AI$6-'Council Entry'!AI$5),10*((IF('Council Entry'!AI$4="Logarithm",LN(0.001+IF(AND(ISNUMBER('Council Entry'!AI$8),ISNUMBER('Council Entry'!AI$9)),MAX(MIN('Council Entry'!AI159,'Council Entry'!AI$9),'Council Entry'!AI$8),'Council Entry'!AI159)),IF('Council Entry'!AI$4="Exponential",EXP(IF(AND(ISNUMBER('Council Entry'!AI$8),ISNUMBER('Council Entry'!AI$9)),MAX(MIN('Council Entry'!AI159,'Council Entry'!AI$9),'Council Entry'!AI$8),'Council Entry'!AI159)),IF(AND(ISNUMBER('Council Entry'!AI$8),ISNUMBER('Council Entry'!AI$9)),MAX(MIN('Council Entry'!AI159,'Council Entry'!AI$9),'Council Entry'!AI$8),'Council Entry'!AI159))))-'Council Entry'!AI$5)/('Council Entry'!AI$6-'Council Entry'!AI$5)),1))),"No data"))</f>
        <v/>
      </c>
      <c r="AJ159" s="13">
        <f>IF('Council Entry'!AJ159="","",IFERROR(MAX(0,MIN(10,ROUND(IF('Council Entry'!AJ$7="Decrease Risk",10-10*((IF('Council Entry'!AJ$4="Logarithm",LN(0.001+IF(AND(ISNUMBER('Council Entry'!AJ$8),ISNUMBER('Council Entry'!AJ$9)),MAX(MIN('Council Entry'!AJ159,'Council Entry'!AJ$9),'Council Entry'!AJ$8),'Council Entry'!AJ159)),IF('Council Entry'!AJ$4="Exponential",EXP(IF(AND(ISNUMBER('Council Entry'!AJ$8),ISNUMBER('Council Entry'!AJ$9)),MAX(MIN('Council Entry'!AJ159,'Council Entry'!AJ$9),'Council Entry'!AJ$8),'Council Entry'!AJ159)),IF(AND(ISNUMBER('Council Entry'!AJ$8),ISNUMBER('Council Entry'!AJ$9)),MAX(MIN('Council Entry'!AJ159,'Council Entry'!AJ$9),'Council Entry'!AJ$8),'Council Entry'!AJ159))))-'Council Entry'!AJ$5)/('Council Entry'!AJ$6-'Council Entry'!AJ$5),10*((IF('Council Entry'!AJ$4="Logarithm",LN(0.001+IF(AND(ISNUMBER('Council Entry'!AJ$8),ISNUMBER('Council Entry'!AJ$9)),MAX(MIN('Council Entry'!AJ159,'Council Entry'!AJ$9),'Council Entry'!AJ$8),'Council Entry'!AJ159)),IF('Council Entry'!AJ$4="Exponential",EXP(IF(AND(ISNUMBER('Council Entry'!AJ$8),ISNUMBER('Council Entry'!AJ$9)),MAX(MIN('Council Entry'!AJ159,'Council Entry'!AJ$9),'Council Entry'!AJ$8),'Council Entry'!AJ159)),IF(AND(ISNUMBER('Council Entry'!AJ$8),ISNUMBER('Council Entry'!AJ$9)),MAX(MIN('Council Entry'!AJ159,'Council Entry'!AJ$9),'Council Entry'!AJ$8),'Council Entry'!AJ159))))-'Council Entry'!AJ$5)/('Council Entry'!AJ$6-'Council Entry'!AJ$5)),1))),"No data"))</f>
        <v/>
      </c>
      <c r="AK159" s="13">
        <f>IF('Council Entry'!AK159="","",IFERROR(MAX(0,MIN(10,ROUND(IF('Council Entry'!AK$7="Decrease Risk",10-10*((IF('Council Entry'!AK$4="Logarithm",LN(0.001+IF(AND(ISNUMBER('Council Entry'!AK$8),ISNUMBER('Council Entry'!AK$9)),MAX(MIN('Council Entry'!AK159,'Council Entry'!AK$9),'Council Entry'!AK$8),'Council Entry'!AK159)),IF('Council Entry'!AK$4="Exponential",EXP(IF(AND(ISNUMBER('Council Entry'!AK$8),ISNUMBER('Council Entry'!AK$9)),MAX(MIN('Council Entry'!AK159,'Council Entry'!AK$9),'Council Entry'!AK$8),'Council Entry'!AK159)),IF(AND(ISNUMBER('Council Entry'!AK$8),ISNUMBER('Council Entry'!AK$9)),MAX(MIN('Council Entry'!AK159,'Council Entry'!AK$9),'Council Entry'!AK$8),'Council Entry'!AK159))))-'Council Entry'!AK$5)/('Council Entry'!AK$6-'Council Entry'!AK$5),10*((IF('Council Entry'!AK$4="Logarithm",LN(0.001+IF(AND(ISNUMBER('Council Entry'!AK$8),ISNUMBER('Council Entry'!AK$9)),MAX(MIN('Council Entry'!AK159,'Council Entry'!AK$9),'Council Entry'!AK$8),'Council Entry'!AK159)),IF('Council Entry'!AK$4="Exponential",EXP(IF(AND(ISNUMBER('Council Entry'!AK$8),ISNUMBER('Council Entry'!AK$9)),MAX(MIN('Council Entry'!AK159,'Council Entry'!AK$9),'Council Entry'!AK$8),'Council Entry'!AK159)),IF(AND(ISNUMBER('Council Entry'!AK$8),ISNUMBER('Council Entry'!AK$9)),MAX(MIN('Council Entry'!AK159,'Council Entry'!AK$9),'Council Entry'!AK$8),'Council Entry'!AK159))))-'Council Entry'!AK$5)/('Council Entry'!AK$6-'Council Entry'!AK$5)),1))),"No data"))</f>
        <v/>
      </c>
      <c r="AL159" s="13">
        <f>IF('Council Entry'!AL159="","",IFERROR(MAX(0,MIN(10,ROUND(IF('Council Entry'!AL$7="Decrease Risk",10-10*((IF('Council Entry'!AL$4="Logarithm",LN(0.001+IF(AND(ISNUMBER('Council Entry'!AL$8),ISNUMBER('Council Entry'!AL$9)),MAX(MIN('Council Entry'!AL159,'Council Entry'!AL$9),'Council Entry'!AL$8),'Council Entry'!AL159)),IF('Council Entry'!AL$4="Exponential",EXP(IF(AND(ISNUMBER('Council Entry'!AL$8),ISNUMBER('Council Entry'!AL$9)),MAX(MIN('Council Entry'!AL159,'Council Entry'!AL$9),'Council Entry'!AL$8),'Council Entry'!AL159)),IF(AND(ISNUMBER('Council Entry'!AL$8),ISNUMBER('Council Entry'!AL$9)),MAX(MIN('Council Entry'!AL159,'Council Entry'!AL$9),'Council Entry'!AL$8),'Council Entry'!AL159))))-'Council Entry'!AL$5)/('Council Entry'!AL$6-'Council Entry'!AL$5),10*((IF('Council Entry'!AL$4="Logarithm",LN(0.001+IF(AND(ISNUMBER('Council Entry'!AL$8),ISNUMBER('Council Entry'!AL$9)),MAX(MIN('Council Entry'!AL159,'Council Entry'!AL$9),'Council Entry'!AL$8),'Council Entry'!AL159)),IF('Council Entry'!AL$4="Exponential",EXP(IF(AND(ISNUMBER('Council Entry'!AL$8),ISNUMBER('Council Entry'!AL$9)),MAX(MIN('Council Entry'!AL159,'Council Entry'!AL$9),'Council Entry'!AL$8),'Council Entry'!AL159)),IF(AND(ISNUMBER('Council Entry'!AL$8),ISNUMBER('Council Entry'!AL$9)),MAX(MIN('Council Entry'!AL159,'Council Entry'!AL$9),'Council Entry'!AL$8),'Council Entry'!AL159))))-'Council Entry'!AL$5)/('Council Entry'!AL$6-'Council Entry'!AL$5)),1))),"No data"))</f>
        <v/>
      </c>
      <c r="AM159" s="13">
        <f>IF('Council Entry'!AM159="","",IFERROR(MAX(0,MIN(10,ROUND(IF('Council Entry'!AM$7="Decrease Risk",10-10*((IF('Council Entry'!AM$4="Logarithm",LN(0.001+IF(AND(ISNUMBER('Council Entry'!AM$8),ISNUMBER('Council Entry'!AM$9)),MAX(MIN('Council Entry'!AM159,'Council Entry'!AM$9),'Council Entry'!AM$8),'Council Entry'!AM159)),IF('Council Entry'!AM$4="Exponential",EXP(IF(AND(ISNUMBER('Council Entry'!AM$8),ISNUMBER('Council Entry'!AM$9)),MAX(MIN('Council Entry'!AM159,'Council Entry'!AM$9),'Council Entry'!AM$8),'Council Entry'!AM159)),IF(AND(ISNUMBER('Council Entry'!AM$8),ISNUMBER('Council Entry'!AM$9)),MAX(MIN('Council Entry'!AM159,'Council Entry'!AM$9),'Council Entry'!AM$8),'Council Entry'!AM159))))-'Council Entry'!AM$5)/('Council Entry'!AM$6-'Council Entry'!AM$5),10*((IF('Council Entry'!AM$4="Logarithm",LN(0.001+IF(AND(ISNUMBER('Council Entry'!AM$8),ISNUMBER('Council Entry'!AM$9)),MAX(MIN('Council Entry'!AM159,'Council Entry'!AM$9),'Council Entry'!AM$8),'Council Entry'!AM159)),IF('Council Entry'!AM$4="Exponential",EXP(IF(AND(ISNUMBER('Council Entry'!AM$8),ISNUMBER('Council Entry'!AM$9)),MAX(MIN('Council Entry'!AM159,'Council Entry'!AM$9),'Council Entry'!AM$8),'Council Entry'!AM159)),IF(AND(ISNUMBER('Council Entry'!AM$8),ISNUMBER('Council Entry'!AM$9)),MAX(MIN('Council Entry'!AM159,'Council Entry'!AM$9),'Council Entry'!AM$8),'Council Entry'!AM159))))-'Council Entry'!AM$5)/('Council Entry'!AM$6-'Council Entry'!AM$5)),1))),"No data"))</f>
        <v/>
      </c>
      <c r="AN159" s="13">
        <f>IF('Council Entry'!AN159="","",IFERROR(MAX(0,MIN(10,ROUND(IF('Council Entry'!AN$7="Decrease Risk",10-10*((IF('Council Entry'!AN$4="Logarithm",LN(0.001+IF(AND(ISNUMBER('Council Entry'!AN$8),ISNUMBER('Council Entry'!AN$9)),MAX(MIN('Council Entry'!AN159,'Council Entry'!AN$9),'Council Entry'!AN$8),'Council Entry'!AN159)),IF('Council Entry'!AN$4="Exponential",EXP(IF(AND(ISNUMBER('Council Entry'!AN$8),ISNUMBER('Council Entry'!AN$9)),MAX(MIN('Council Entry'!AN159,'Council Entry'!AN$9),'Council Entry'!AN$8),'Council Entry'!AN159)),IF(AND(ISNUMBER('Council Entry'!AN$8),ISNUMBER('Council Entry'!AN$9)),MAX(MIN('Council Entry'!AN159,'Council Entry'!AN$9),'Council Entry'!AN$8),'Council Entry'!AN159))))-'Council Entry'!AN$5)/('Council Entry'!AN$6-'Council Entry'!AN$5),10*((IF('Council Entry'!AN$4="Logarithm",LN(0.001+IF(AND(ISNUMBER('Council Entry'!AN$8),ISNUMBER('Council Entry'!AN$9)),MAX(MIN('Council Entry'!AN159,'Council Entry'!AN$9),'Council Entry'!AN$8),'Council Entry'!AN159)),IF('Council Entry'!AN$4="Exponential",EXP(IF(AND(ISNUMBER('Council Entry'!AN$8),ISNUMBER('Council Entry'!AN$9)),MAX(MIN('Council Entry'!AN159,'Council Entry'!AN$9),'Council Entry'!AN$8),'Council Entry'!AN159)),IF(AND(ISNUMBER('Council Entry'!AN$8),ISNUMBER('Council Entry'!AN$9)),MAX(MIN('Council Entry'!AN159,'Council Entry'!AN$9),'Council Entry'!AN$8),'Council Entry'!AN159))))-'Council Entry'!AN$5)/('Council Entry'!AN$6-'Council Entry'!AN$5)),1))),"No data"))</f>
        <v/>
      </c>
      <c r="AO159" s="13">
        <f>IF('Council Entry'!AO159="","",IFERROR(MAX(0,MIN(10,ROUND(IF('Council Entry'!AO$7="Decrease Risk",10-10*((IF('Council Entry'!AO$4="Logarithm",LN(0.001+IF(AND(ISNUMBER('Council Entry'!AO$8),ISNUMBER('Council Entry'!AO$9)),MAX(MIN('Council Entry'!AO159,'Council Entry'!AO$9),'Council Entry'!AO$8),'Council Entry'!AO159)),IF('Council Entry'!AO$4="Exponential",EXP(IF(AND(ISNUMBER('Council Entry'!AO$8),ISNUMBER('Council Entry'!AO$9)),MAX(MIN('Council Entry'!AO159,'Council Entry'!AO$9),'Council Entry'!AO$8),'Council Entry'!AO159)),IF(AND(ISNUMBER('Council Entry'!AO$8),ISNUMBER('Council Entry'!AO$9)),MAX(MIN('Council Entry'!AO159,'Council Entry'!AO$9),'Council Entry'!AO$8),'Council Entry'!AO159))))-'Council Entry'!AO$5)/('Council Entry'!AO$6-'Council Entry'!AO$5),10*((IF('Council Entry'!AO$4="Logarithm",LN(0.001+IF(AND(ISNUMBER('Council Entry'!AO$8),ISNUMBER('Council Entry'!AO$9)),MAX(MIN('Council Entry'!AO159,'Council Entry'!AO$9),'Council Entry'!AO$8),'Council Entry'!AO159)),IF('Council Entry'!AO$4="Exponential",EXP(IF(AND(ISNUMBER('Council Entry'!AO$8),ISNUMBER('Council Entry'!AO$9)),MAX(MIN('Council Entry'!AO159,'Council Entry'!AO$9),'Council Entry'!AO$8),'Council Entry'!AO159)),IF(AND(ISNUMBER('Council Entry'!AO$8),ISNUMBER('Council Entry'!AO$9)),MAX(MIN('Council Entry'!AO159,'Council Entry'!AO$9),'Council Entry'!AO$8),'Council Entry'!AO159))))-'Council Entry'!AO$5)/('Council Entry'!AO$6-'Council Entry'!AO$5)),1))),"No data"))</f>
        <v/>
      </c>
      <c r="AP159" s="13">
        <f>IF('Council Entry'!AP159="","",IFERROR(MAX(0,MIN(10,ROUND(IF('Council Entry'!AP$7="Decrease Risk",10-10*((IF('Council Entry'!AP$4="Logarithm",LN(0.001+IF(AND(ISNUMBER('Council Entry'!AP$8),ISNUMBER('Council Entry'!AP$9)),MAX(MIN('Council Entry'!AP159,'Council Entry'!AP$9),'Council Entry'!AP$8),'Council Entry'!AP159)),IF('Council Entry'!AP$4="Exponential",EXP(IF(AND(ISNUMBER('Council Entry'!AP$8),ISNUMBER('Council Entry'!AP$9)),MAX(MIN('Council Entry'!AP159,'Council Entry'!AP$9),'Council Entry'!AP$8),'Council Entry'!AP159)),IF(AND(ISNUMBER('Council Entry'!AP$8),ISNUMBER('Council Entry'!AP$9)),MAX(MIN('Council Entry'!AP159,'Council Entry'!AP$9),'Council Entry'!AP$8),'Council Entry'!AP159))))-'Council Entry'!AP$5)/('Council Entry'!AP$6-'Council Entry'!AP$5),10*((IF('Council Entry'!AP$4="Logarithm",LN(0.001+IF(AND(ISNUMBER('Council Entry'!AP$8),ISNUMBER('Council Entry'!AP$9)),MAX(MIN('Council Entry'!AP159,'Council Entry'!AP$9),'Council Entry'!AP$8),'Council Entry'!AP159)),IF('Council Entry'!AP$4="Exponential",EXP(IF(AND(ISNUMBER('Council Entry'!AP$8),ISNUMBER('Council Entry'!AP$9)),MAX(MIN('Council Entry'!AP159,'Council Entry'!AP$9),'Council Entry'!AP$8),'Council Entry'!AP159)),IF(AND(ISNUMBER('Council Entry'!AP$8),ISNUMBER('Council Entry'!AP$9)),MAX(MIN('Council Entry'!AP159,'Council Entry'!AP$9),'Council Entry'!AP$8),'Council Entry'!AP159))))-'Council Entry'!AP$5)/('Council Entry'!AP$6-'Council Entry'!AP$5)),1))),"No data"))</f>
        <v/>
      </c>
      <c r="AQ159" s="13">
        <f>IF('Council Entry'!AQ159="","",IFERROR(MAX(0,MIN(10,ROUND(IF('Council Entry'!AQ$7="Decrease Risk",10-10*((IF('Council Entry'!AQ$4="Logarithm",LN(0.001+IF(AND(ISNUMBER('Council Entry'!AQ$8),ISNUMBER('Council Entry'!AQ$9)),MAX(MIN('Council Entry'!AQ159,'Council Entry'!AQ$9),'Council Entry'!AQ$8),'Council Entry'!AQ159)),IF('Council Entry'!AQ$4="Exponential",EXP(IF(AND(ISNUMBER('Council Entry'!AQ$8),ISNUMBER('Council Entry'!AQ$9)),MAX(MIN('Council Entry'!AQ159,'Council Entry'!AQ$9),'Council Entry'!AQ$8),'Council Entry'!AQ159)),IF(AND(ISNUMBER('Council Entry'!AQ$8),ISNUMBER('Council Entry'!AQ$9)),MAX(MIN('Council Entry'!AQ159,'Council Entry'!AQ$9),'Council Entry'!AQ$8),'Council Entry'!AQ159))))-'Council Entry'!AQ$5)/('Council Entry'!AQ$6-'Council Entry'!AQ$5),10*((IF('Council Entry'!AQ$4="Logarithm",LN(0.001+IF(AND(ISNUMBER('Council Entry'!AQ$8),ISNUMBER('Council Entry'!AQ$9)),MAX(MIN('Council Entry'!AQ159,'Council Entry'!AQ$9),'Council Entry'!AQ$8),'Council Entry'!AQ159)),IF('Council Entry'!AQ$4="Exponential",EXP(IF(AND(ISNUMBER('Council Entry'!AQ$8),ISNUMBER('Council Entry'!AQ$9)),MAX(MIN('Council Entry'!AQ159,'Council Entry'!AQ$9),'Council Entry'!AQ$8),'Council Entry'!AQ159)),IF(AND(ISNUMBER('Council Entry'!AQ$8),ISNUMBER('Council Entry'!AQ$9)),MAX(MIN('Council Entry'!AQ159,'Council Entry'!AQ$9),'Council Entry'!AQ$8),'Council Entry'!AQ159))))-'Council Entry'!AQ$5)/('Council Entry'!AQ$6-'Council Entry'!AQ$5)),1))),"No data"))</f>
        <v/>
      </c>
      <c r="AR159" s="13">
        <f>IF('Council Entry'!AR159="","",IFERROR(MAX(0,MIN(10,ROUND(IF('Council Entry'!AR$7="Decrease Risk",10-10*((IF('Council Entry'!AR$4="Logarithm",LN(0.001+IF(AND(ISNUMBER('Council Entry'!AR$8),ISNUMBER('Council Entry'!AR$9)),MAX(MIN('Council Entry'!AR159,'Council Entry'!AR$9),'Council Entry'!AR$8),'Council Entry'!AR159)),IF('Council Entry'!AR$4="Exponential",EXP(IF(AND(ISNUMBER('Council Entry'!AR$8),ISNUMBER('Council Entry'!AR$9)),MAX(MIN('Council Entry'!AR159,'Council Entry'!AR$9),'Council Entry'!AR$8),'Council Entry'!AR159)),IF(AND(ISNUMBER('Council Entry'!AR$8),ISNUMBER('Council Entry'!AR$9)),MAX(MIN('Council Entry'!AR159,'Council Entry'!AR$9),'Council Entry'!AR$8),'Council Entry'!AR159))))-'Council Entry'!AR$5)/('Council Entry'!AR$6-'Council Entry'!AR$5),10*((IF('Council Entry'!AR$4="Logarithm",LN(0.001+IF(AND(ISNUMBER('Council Entry'!AR$8),ISNUMBER('Council Entry'!AR$9)),MAX(MIN('Council Entry'!AR159,'Council Entry'!AR$9),'Council Entry'!AR$8),'Council Entry'!AR159)),IF('Council Entry'!AR$4="Exponential",EXP(IF(AND(ISNUMBER('Council Entry'!AR$8),ISNUMBER('Council Entry'!AR$9)),MAX(MIN('Council Entry'!AR159,'Council Entry'!AR$9),'Council Entry'!AR$8),'Council Entry'!AR159)),IF(AND(ISNUMBER('Council Entry'!AR$8),ISNUMBER('Council Entry'!AR$9)),MAX(MIN('Council Entry'!AR159,'Council Entry'!AR$9),'Council Entry'!AR$8),'Council Entry'!AR159))))-'Council Entry'!AR$5)/('Council Entry'!AR$6-'Council Entry'!AR$5)),1))),"No data"))</f>
        <v/>
      </c>
      <c r="AS159" s="13">
        <f>IF('Council Entry'!AS159="","",IFERROR(MAX(0,MIN(10,ROUND(IF('Council Entry'!AS$7="Decrease Risk",10-10*((IF('Council Entry'!AS$4="Logarithm",LN(0.001+IF(AND(ISNUMBER('Council Entry'!AS$8),ISNUMBER('Council Entry'!AS$9)),MAX(MIN('Council Entry'!AS159,'Council Entry'!AS$9),'Council Entry'!AS$8),'Council Entry'!AS159)),IF('Council Entry'!AS$4="Exponential",EXP(IF(AND(ISNUMBER('Council Entry'!AS$8),ISNUMBER('Council Entry'!AS$9)),MAX(MIN('Council Entry'!AS159,'Council Entry'!AS$9),'Council Entry'!AS$8),'Council Entry'!AS159)),IF(AND(ISNUMBER('Council Entry'!AS$8),ISNUMBER('Council Entry'!AS$9)),MAX(MIN('Council Entry'!AS159,'Council Entry'!AS$9),'Council Entry'!AS$8),'Council Entry'!AS159))))-'Council Entry'!AS$5)/('Council Entry'!AS$6-'Council Entry'!AS$5),10*((IF('Council Entry'!AS$4="Logarithm",LN(0.001+IF(AND(ISNUMBER('Council Entry'!AS$8),ISNUMBER('Council Entry'!AS$9)),MAX(MIN('Council Entry'!AS159,'Council Entry'!AS$9),'Council Entry'!AS$8),'Council Entry'!AS159)),IF('Council Entry'!AS$4="Exponential",EXP(IF(AND(ISNUMBER('Council Entry'!AS$8),ISNUMBER('Council Entry'!AS$9)),MAX(MIN('Council Entry'!AS159,'Council Entry'!AS$9),'Council Entry'!AS$8),'Council Entry'!AS159)),IF(AND(ISNUMBER('Council Entry'!AS$8),ISNUMBER('Council Entry'!AS$9)),MAX(MIN('Council Entry'!AS159,'Council Entry'!AS$9),'Council Entry'!AS$8),'Council Entry'!AS159))))-'Council Entry'!AS$5)/('Council Entry'!AS$6-'Council Entry'!AS$5)),1))),"No data"))</f>
        <v/>
      </c>
      <c r="AT159" s="13">
        <f>IF('Council Entry'!AT159="","",IFERROR(MAX(0,MIN(10,ROUND(IF('Council Entry'!AT$7="Decrease Risk",10-10*((IF('Council Entry'!AT$4="Logarithm",LN(0.001+IF(AND(ISNUMBER('Council Entry'!AT$8),ISNUMBER('Council Entry'!AT$9)),MAX(MIN('Council Entry'!AT159,'Council Entry'!AT$9),'Council Entry'!AT$8),'Council Entry'!AT159)),IF('Council Entry'!AT$4="Exponential",EXP(IF(AND(ISNUMBER('Council Entry'!AT$8),ISNUMBER('Council Entry'!AT$9)),MAX(MIN('Council Entry'!AT159,'Council Entry'!AT$9),'Council Entry'!AT$8),'Council Entry'!AT159)),IF(AND(ISNUMBER('Council Entry'!AT$8),ISNUMBER('Council Entry'!AT$9)),MAX(MIN('Council Entry'!AT159,'Council Entry'!AT$9),'Council Entry'!AT$8),'Council Entry'!AT159))))-'Council Entry'!AT$5)/('Council Entry'!AT$6-'Council Entry'!AT$5),10*((IF('Council Entry'!AT$4="Logarithm",LN(0.001+IF(AND(ISNUMBER('Council Entry'!AT$8),ISNUMBER('Council Entry'!AT$9)),MAX(MIN('Council Entry'!AT159,'Council Entry'!AT$9),'Council Entry'!AT$8),'Council Entry'!AT159)),IF('Council Entry'!AT$4="Exponential",EXP(IF(AND(ISNUMBER('Council Entry'!AT$8),ISNUMBER('Council Entry'!AT$9)),MAX(MIN('Council Entry'!AT159,'Council Entry'!AT$9),'Council Entry'!AT$8),'Council Entry'!AT159)),IF(AND(ISNUMBER('Council Entry'!AT$8),ISNUMBER('Council Entry'!AT$9)),MAX(MIN('Council Entry'!AT159,'Council Entry'!AT$9),'Council Entry'!AT$8),'Council Entry'!AT159))))-'Council Entry'!AT$5)/('Council Entry'!AT$6-'Council Entry'!AT$5)),1))),"No data"))</f>
        <v/>
      </c>
      <c r="AU159" s="13">
        <f>IF('Council Entry'!AU159="","",IFERROR(MAX(0,MIN(10,ROUND(IF('Council Entry'!AU$7="Decrease Risk",10-10*((IF('Council Entry'!AU$4="Logarithm",LN(0.001+IF(AND(ISNUMBER('Council Entry'!AU$8),ISNUMBER('Council Entry'!AU$9)),MAX(MIN('Council Entry'!AU159,'Council Entry'!AU$9),'Council Entry'!AU$8),'Council Entry'!AU159)),IF('Council Entry'!AU$4="Exponential",EXP(IF(AND(ISNUMBER('Council Entry'!AU$8),ISNUMBER('Council Entry'!AU$9)),MAX(MIN('Council Entry'!AU159,'Council Entry'!AU$9),'Council Entry'!AU$8),'Council Entry'!AU159)),IF(AND(ISNUMBER('Council Entry'!AU$8),ISNUMBER('Council Entry'!AU$9)),MAX(MIN('Council Entry'!AU159,'Council Entry'!AU$9),'Council Entry'!AU$8),'Council Entry'!AU159))))-'Council Entry'!AU$5)/('Council Entry'!AU$6-'Council Entry'!AU$5),10*((IF('Council Entry'!AU$4="Logarithm",LN(0.001+IF(AND(ISNUMBER('Council Entry'!AU$8),ISNUMBER('Council Entry'!AU$9)),MAX(MIN('Council Entry'!AU159,'Council Entry'!AU$9),'Council Entry'!AU$8),'Council Entry'!AU159)),IF('Council Entry'!AU$4="Exponential",EXP(IF(AND(ISNUMBER('Council Entry'!AU$8),ISNUMBER('Council Entry'!AU$9)),MAX(MIN('Council Entry'!AU159,'Council Entry'!AU$9),'Council Entry'!AU$8),'Council Entry'!AU159)),IF(AND(ISNUMBER('Council Entry'!AU$8),ISNUMBER('Council Entry'!AU$9)),MAX(MIN('Council Entry'!AU159,'Council Entry'!AU$9),'Council Entry'!AU$8),'Council Entry'!AU159))))-'Council Entry'!AU$5)/('Council Entry'!AU$6-'Council Entry'!AU$5)),1))),"No data"))</f>
        <v/>
      </c>
      <c r="AV159" s="13">
        <f>IF('Council Entry'!AV159="","",IFERROR(MAX(0,MIN(10,ROUND(IF('Council Entry'!AV$7="Decrease Risk",10-10*((IF('Council Entry'!AV$4="Logarithm",LN(0.001+IF(AND(ISNUMBER('Council Entry'!AV$8),ISNUMBER('Council Entry'!AV$9)),MAX(MIN('Council Entry'!AV159,'Council Entry'!AV$9),'Council Entry'!AV$8),'Council Entry'!AV159)),IF('Council Entry'!AV$4="Exponential",EXP(IF(AND(ISNUMBER('Council Entry'!AV$8),ISNUMBER('Council Entry'!AV$9)),MAX(MIN('Council Entry'!AV159,'Council Entry'!AV$9),'Council Entry'!AV$8),'Council Entry'!AV159)),IF(AND(ISNUMBER('Council Entry'!AV$8),ISNUMBER('Council Entry'!AV$9)),MAX(MIN('Council Entry'!AV159,'Council Entry'!AV$9),'Council Entry'!AV$8),'Council Entry'!AV159))))-'Council Entry'!AV$5)/('Council Entry'!AV$6-'Council Entry'!AV$5),10*((IF('Council Entry'!AV$4="Logarithm",LN(0.001+IF(AND(ISNUMBER('Council Entry'!AV$8),ISNUMBER('Council Entry'!AV$9)),MAX(MIN('Council Entry'!AV159,'Council Entry'!AV$9),'Council Entry'!AV$8),'Council Entry'!AV159)),IF('Council Entry'!AV$4="Exponential",EXP(IF(AND(ISNUMBER('Council Entry'!AV$8),ISNUMBER('Council Entry'!AV$9)),MAX(MIN('Council Entry'!AV159,'Council Entry'!AV$9),'Council Entry'!AV$8),'Council Entry'!AV159)),IF(AND(ISNUMBER('Council Entry'!AV$8),ISNUMBER('Council Entry'!AV$9)),MAX(MIN('Council Entry'!AV159,'Council Entry'!AV$9),'Council Entry'!AV$8),'Council Entry'!AV159))))-'Council Entry'!AV$5)/('Council Entry'!AV$6-'Council Entry'!AV$5)),1))),"No data"))</f>
        <v/>
      </c>
      <c r="AW159" s="13">
        <f>IF('Council Entry'!AW159="","",IFERROR(MAX(0,MIN(10,ROUND(IF('Council Entry'!AW$7="Decrease Risk",10-10*((IF('Council Entry'!AW$4="Logarithm",LN(0.001+IF(AND(ISNUMBER('Council Entry'!AW$8),ISNUMBER('Council Entry'!AW$9)),MAX(MIN('Council Entry'!AW159,'Council Entry'!AW$9),'Council Entry'!AW$8),'Council Entry'!AW159)),IF('Council Entry'!AW$4="Exponential",EXP(IF(AND(ISNUMBER('Council Entry'!AW$8),ISNUMBER('Council Entry'!AW$9)),MAX(MIN('Council Entry'!AW159,'Council Entry'!AW$9),'Council Entry'!AW$8),'Council Entry'!AW159)),IF(AND(ISNUMBER('Council Entry'!AW$8),ISNUMBER('Council Entry'!AW$9)),MAX(MIN('Council Entry'!AW159,'Council Entry'!AW$9),'Council Entry'!AW$8),'Council Entry'!AW159))))-'Council Entry'!AW$5)/('Council Entry'!AW$6-'Council Entry'!AW$5),10*((IF('Council Entry'!AW$4="Logarithm",LN(0.001+IF(AND(ISNUMBER('Council Entry'!AW$8),ISNUMBER('Council Entry'!AW$9)),MAX(MIN('Council Entry'!AW159,'Council Entry'!AW$9),'Council Entry'!AW$8),'Council Entry'!AW159)),IF('Council Entry'!AW$4="Exponential",EXP(IF(AND(ISNUMBER('Council Entry'!AW$8),ISNUMBER('Council Entry'!AW$9)),MAX(MIN('Council Entry'!AW159,'Council Entry'!AW$9),'Council Entry'!AW$8),'Council Entry'!AW159)),IF(AND(ISNUMBER('Council Entry'!AW$8),ISNUMBER('Council Entry'!AW$9)),MAX(MIN('Council Entry'!AW159,'Council Entry'!AW$9),'Council Entry'!AW$8),'Council Entry'!AW159))))-'Council Entry'!AW$5)/('Council Entry'!AW$6-'Council Entry'!AW$5)),1))),"No data"))</f>
        <v/>
      </c>
      <c r="AX159" s="13">
        <f>IF('Council Entry'!AX159="","",IFERROR(MAX(0,MIN(10,ROUND(IF('Council Entry'!AX$7="Decrease Risk",10-10*((IF('Council Entry'!AX$4="Logarithm",LN(0.001+IF(AND(ISNUMBER('Council Entry'!AX$8),ISNUMBER('Council Entry'!AX$9)),MAX(MIN('Council Entry'!AX159,'Council Entry'!AX$9),'Council Entry'!AX$8),'Council Entry'!AX159)),IF('Council Entry'!AX$4="Exponential",EXP(IF(AND(ISNUMBER('Council Entry'!AX$8),ISNUMBER('Council Entry'!AX$9)),MAX(MIN('Council Entry'!AX159,'Council Entry'!AX$9),'Council Entry'!AX$8),'Council Entry'!AX159)),IF(AND(ISNUMBER('Council Entry'!AX$8),ISNUMBER('Council Entry'!AX$9)),MAX(MIN('Council Entry'!AX159,'Council Entry'!AX$9),'Council Entry'!AX$8),'Council Entry'!AX159))))-'Council Entry'!AX$5)/('Council Entry'!AX$6-'Council Entry'!AX$5),10*((IF('Council Entry'!AX$4="Logarithm",LN(0.001+IF(AND(ISNUMBER('Council Entry'!AX$8),ISNUMBER('Council Entry'!AX$9)),MAX(MIN('Council Entry'!AX159,'Council Entry'!AX$9),'Council Entry'!AX$8),'Council Entry'!AX159)),IF('Council Entry'!AX$4="Exponential",EXP(IF(AND(ISNUMBER('Council Entry'!AX$8),ISNUMBER('Council Entry'!AX$9)),MAX(MIN('Council Entry'!AX159,'Council Entry'!AX$9),'Council Entry'!AX$8),'Council Entry'!AX159)),IF(AND(ISNUMBER('Council Entry'!AX$8),ISNUMBER('Council Entry'!AX$9)),MAX(MIN('Council Entry'!AX159,'Council Entry'!AX$9),'Council Entry'!AX$8),'Council Entry'!AX159))))-'Council Entry'!AX$5)/('Council Entry'!AX$6-'Council Entry'!AX$5)),1))),"No data"))</f>
        <v/>
      </c>
      <c r="AY159" s="13">
        <f>IF('Council Entry'!AY159="","",IFERROR(MAX(0,MIN(10,ROUND(IF('Council Entry'!AY$7="Decrease Risk",10-10*((IF('Council Entry'!AY$4="Logarithm",LN(0.001+IF(AND(ISNUMBER('Council Entry'!AY$8),ISNUMBER('Council Entry'!AY$9)),MAX(MIN('Council Entry'!AY159,'Council Entry'!AY$9),'Council Entry'!AY$8),'Council Entry'!AY159)),IF('Council Entry'!AY$4="Exponential",EXP(IF(AND(ISNUMBER('Council Entry'!AY$8),ISNUMBER('Council Entry'!AY$9)),MAX(MIN('Council Entry'!AY159,'Council Entry'!AY$9),'Council Entry'!AY$8),'Council Entry'!AY159)),IF(AND(ISNUMBER('Council Entry'!AY$8),ISNUMBER('Council Entry'!AY$9)),MAX(MIN('Council Entry'!AY159,'Council Entry'!AY$9),'Council Entry'!AY$8),'Council Entry'!AY159))))-'Council Entry'!AY$5)/('Council Entry'!AY$6-'Council Entry'!AY$5),10*((IF('Council Entry'!AY$4="Logarithm",LN(0.001+IF(AND(ISNUMBER('Council Entry'!AY$8),ISNUMBER('Council Entry'!AY$9)),MAX(MIN('Council Entry'!AY159,'Council Entry'!AY$9),'Council Entry'!AY$8),'Council Entry'!AY159)),IF('Council Entry'!AY$4="Exponential",EXP(IF(AND(ISNUMBER('Council Entry'!AY$8),ISNUMBER('Council Entry'!AY$9)),MAX(MIN('Council Entry'!AY159,'Council Entry'!AY$9),'Council Entry'!AY$8),'Council Entry'!AY159)),IF(AND(ISNUMBER('Council Entry'!AY$8),ISNUMBER('Council Entry'!AY$9)),MAX(MIN('Council Entry'!AY159,'Council Entry'!AY$9),'Council Entry'!AY$8),'Council Entry'!AY159))))-'Council Entry'!AY$5)/('Council Entry'!AY$6-'Council Entry'!AY$5)),1))),"No data"))</f>
        <v/>
      </c>
      <c r="AZ159" s="13">
        <f>IF('Council Entry'!AZ159="","",IFERROR(MAX(0,MIN(10,ROUND(IF('Council Entry'!AZ$7="Decrease Risk",10-10*((IF('Council Entry'!AZ$4="Logarithm",LN(0.001+IF(AND(ISNUMBER('Council Entry'!AZ$8),ISNUMBER('Council Entry'!AZ$9)),MAX(MIN('Council Entry'!AZ159,'Council Entry'!AZ$9),'Council Entry'!AZ$8),'Council Entry'!AZ159)),IF('Council Entry'!AZ$4="Exponential",EXP(IF(AND(ISNUMBER('Council Entry'!AZ$8),ISNUMBER('Council Entry'!AZ$9)),MAX(MIN('Council Entry'!AZ159,'Council Entry'!AZ$9),'Council Entry'!AZ$8),'Council Entry'!AZ159)),IF(AND(ISNUMBER('Council Entry'!AZ$8),ISNUMBER('Council Entry'!AZ$9)),MAX(MIN('Council Entry'!AZ159,'Council Entry'!AZ$9),'Council Entry'!AZ$8),'Council Entry'!AZ159))))-'Council Entry'!AZ$5)/('Council Entry'!AZ$6-'Council Entry'!AZ$5),10*((IF('Council Entry'!AZ$4="Logarithm",LN(0.001+IF(AND(ISNUMBER('Council Entry'!AZ$8),ISNUMBER('Council Entry'!AZ$9)),MAX(MIN('Council Entry'!AZ159,'Council Entry'!AZ$9),'Council Entry'!AZ$8),'Council Entry'!AZ159)),IF('Council Entry'!AZ$4="Exponential",EXP(IF(AND(ISNUMBER('Council Entry'!AZ$8),ISNUMBER('Council Entry'!AZ$9)),MAX(MIN('Council Entry'!AZ159,'Council Entry'!AZ$9),'Council Entry'!AZ$8),'Council Entry'!AZ159)),IF(AND(ISNUMBER('Council Entry'!AZ$8),ISNUMBER('Council Entry'!AZ$9)),MAX(MIN('Council Entry'!AZ159,'Council Entry'!AZ$9),'Council Entry'!AZ$8),'Council Entry'!AZ159))))-'Council Entry'!AZ$5)/('Council Entry'!AZ$6-'Council Entry'!AZ$5)),1))),"No data"))</f>
        <v/>
      </c>
      <c r="BA159" s="13">
        <f>IF('Council Entry'!BA159="","",IFERROR(MAX(0,MIN(10,ROUND(IF('Council Entry'!BA$7="Decrease Risk",10-10*((IF('Council Entry'!BA$4="Logarithm",LN(0.001+IF(AND(ISNUMBER('Council Entry'!BA$8),ISNUMBER('Council Entry'!BA$9)),MAX(MIN('Council Entry'!BA159,'Council Entry'!BA$9),'Council Entry'!BA$8),'Council Entry'!BA159)),IF('Council Entry'!BA$4="Exponential",EXP(IF(AND(ISNUMBER('Council Entry'!BA$8),ISNUMBER('Council Entry'!BA$9)),MAX(MIN('Council Entry'!BA159,'Council Entry'!BA$9),'Council Entry'!BA$8),'Council Entry'!BA159)),IF(AND(ISNUMBER('Council Entry'!BA$8),ISNUMBER('Council Entry'!BA$9)),MAX(MIN('Council Entry'!BA159,'Council Entry'!BA$9),'Council Entry'!BA$8),'Council Entry'!BA159))))-'Council Entry'!BA$5)/('Council Entry'!BA$6-'Council Entry'!BA$5),10*((IF('Council Entry'!BA$4="Logarithm",LN(0.001+IF(AND(ISNUMBER('Council Entry'!BA$8),ISNUMBER('Council Entry'!BA$9)),MAX(MIN('Council Entry'!BA159,'Council Entry'!BA$9),'Council Entry'!BA$8),'Council Entry'!BA159)),IF('Council Entry'!BA$4="Exponential",EXP(IF(AND(ISNUMBER('Council Entry'!BA$8),ISNUMBER('Council Entry'!BA$9)),MAX(MIN('Council Entry'!BA159,'Council Entry'!BA$9),'Council Entry'!BA$8),'Council Entry'!BA159)),IF(AND(ISNUMBER('Council Entry'!BA$8),ISNUMBER('Council Entry'!BA$9)),MAX(MIN('Council Entry'!BA159,'Council Entry'!BA$9),'Council Entry'!BA$8),'Council Entry'!BA159))))-'Council Entry'!BA$5)/('Council Entry'!BA$6-'Council Entry'!BA$5)),1))),"No data"))</f>
        <v/>
      </c>
      <c r="BB159" s="13">
        <f>IF('Council Entry'!BB159="","",IFERROR(MAX(0,MIN(10,ROUND(IF('Council Entry'!BB$7="Decrease Risk",10-10*((IF('Council Entry'!BB$4="Logarithm",LN(0.001+IF(AND(ISNUMBER('Council Entry'!BB$8),ISNUMBER('Council Entry'!BB$9)),MAX(MIN('Council Entry'!BB159,'Council Entry'!BB$9),'Council Entry'!BB$8),'Council Entry'!BB159)),IF('Council Entry'!BB$4="Exponential",EXP(IF(AND(ISNUMBER('Council Entry'!BB$8),ISNUMBER('Council Entry'!BB$9)),MAX(MIN('Council Entry'!BB159,'Council Entry'!BB$9),'Council Entry'!BB$8),'Council Entry'!BB159)),IF(AND(ISNUMBER('Council Entry'!BB$8),ISNUMBER('Council Entry'!BB$9)),MAX(MIN('Council Entry'!BB159,'Council Entry'!BB$9),'Council Entry'!BB$8),'Council Entry'!BB159))))-'Council Entry'!BB$5)/('Council Entry'!BB$6-'Council Entry'!BB$5),10*((IF('Council Entry'!BB$4="Logarithm",LN(0.001+IF(AND(ISNUMBER('Council Entry'!BB$8),ISNUMBER('Council Entry'!BB$9)),MAX(MIN('Council Entry'!BB159,'Council Entry'!BB$9),'Council Entry'!BB$8),'Council Entry'!BB159)),IF('Council Entry'!BB$4="Exponential",EXP(IF(AND(ISNUMBER('Council Entry'!BB$8),ISNUMBER('Council Entry'!BB$9)),MAX(MIN('Council Entry'!BB159,'Council Entry'!BB$9),'Council Entry'!BB$8),'Council Entry'!BB159)),IF(AND(ISNUMBER('Council Entry'!BB$8),ISNUMBER('Council Entry'!BB$9)),MAX(MIN('Council Entry'!BB159,'Council Entry'!BB$9),'Council Entry'!BB$8),'Council Entry'!BB159))))-'Council Entry'!BB$5)/('Council Entry'!BB$6-'Council Entry'!BB$5)),1))),"No data"))</f>
        <v/>
      </c>
      <c r="BC159" s="13">
        <f>IF('Council Entry'!BC159="","",IFERROR(MAX(0,MIN(10,ROUND(IF('Council Entry'!BC$7="Decrease Risk",10-10*((IF('Council Entry'!BC$4="Logarithm",LN(0.001+IF(AND(ISNUMBER('Council Entry'!BC$8),ISNUMBER('Council Entry'!BC$9)),MAX(MIN('Council Entry'!BC159,'Council Entry'!BC$9),'Council Entry'!BC$8),'Council Entry'!BC159)),IF('Council Entry'!BC$4="Exponential",EXP(IF(AND(ISNUMBER('Council Entry'!BC$8),ISNUMBER('Council Entry'!BC$9)),MAX(MIN('Council Entry'!BC159,'Council Entry'!BC$9),'Council Entry'!BC$8),'Council Entry'!BC159)),IF(AND(ISNUMBER('Council Entry'!BC$8),ISNUMBER('Council Entry'!BC$9)),MAX(MIN('Council Entry'!BC159,'Council Entry'!BC$9),'Council Entry'!BC$8),'Council Entry'!BC159))))-'Council Entry'!BC$5)/('Council Entry'!BC$6-'Council Entry'!BC$5),10*((IF('Council Entry'!BC$4="Logarithm",LN(0.001+IF(AND(ISNUMBER('Council Entry'!BC$8),ISNUMBER('Council Entry'!BC$9)),MAX(MIN('Council Entry'!BC159,'Council Entry'!BC$9),'Council Entry'!BC$8),'Council Entry'!BC159)),IF('Council Entry'!BC$4="Exponential",EXP(IF(AND(ISNUMBER('Council Entry'!BC$8),ISNUMBER('Council Entry'!BC$9)),MAX(MIN('Council Entry'!BC159,'Council Entry'!BC$9),'Council Entry'!BC$8),'Council Entry'!BC159)),IF(AND(ISNUMBER('Council Entry'!BC$8),ISNUMBER('Council Entry'!BC$9)),MAX(MIN('Council Entry'!BC159,'Council Entry'!BC$9),'Council Entry'!BC$8),'Council Entry'!BC159))))-'Council Entry'!BC$5)/('Council Entry'!BC$6-'Council Entry'!BC$5)),1))),"No data"))</f>
        <v/>
      </c>
      <c r="BD159" s="13">
        <f>IF('Council Entry'!BD159="","",IFERROR(MAX(0,MIN(10,ROUND(IF('Council Entry'!BD$7="Decrease Risk",10-10*((IF('Council Entry'!BD$4="Logarithm",LN(0.001+IF(AND(ISNUMBER('Council Entry'!BD$8),ISNUMBER('Council Entry'!BD$9)),MAX(MIN('Council Entry'!BD159,'Council Entry'!BD$9),'Council Entry'!BD$8),'Council Entry'!BD159)),IF('Council Entry'!BD$4="Exponential",EXP(IF(AND(ISNUMBER('Council Entry'!BD$8),ISNUMBER('Council Entry'!BD$9)),MAX(MIN('Council Entry'!BD159,'Council Entry'!BD$9),'Council Entry'!BD$8),'Council Entry'!BD159)),IF(AND(ISNUMBER('Council Entry'!BD$8),ISNUMBER('Council Entry'!BD$9)),MAX(MIN('Council Entry'!BD159,'Council Entry'!BD$9),'Council Entry'!BD$8),'Council Entry'!BD159))))-'Council Entry'!BD$5)/('Council Entry'!BD$6-'Council Entry'!BD$5),10*((IF('Council Entry'!BD$4="Logarithm",LN(0.001+IF(AND(ISNUMBER('Council Entry'!BD$8),ISNUMBER('Council Entry'!BD$9)),MAX(MIN('Council Entry'!BD159,'Council Entry'!BD$9),'Council Entry'!BD$8),'Council Entry'!BD159)),IF('Council Entry'!BD$4="Exponential",EXP(IF(AND(ISNUMBER('Council Entry'!BD$8),ISNUMBER('Council Entry'!BD$9)),MAX(MIN('Council Entry'!BD159,'Council Entry'!BD$9),'Council Entry'!BD$8),'Council Entry'!BD159)),IF(AND(ISNUMBER('Council Entry'!BD$8),ISNUMBER('Council Entry'!BD$9)),MAX(MIN('Council Entry'!BD159,'Council Entry'!BD$9),'Council Entry'!BD$8),'Council Entry'!BD159))))-'Council Entry'!BD$5)/('Council Entry'!BD$6-'Council Entry'!BD$5)),1))),"No data"))</f>
        <v/>
      </c>
    </row>
    <row r="160">
      <c r="A160" t="inlineStr">
        <is>
          <t>Ruvuma</t>
        </is>
      </c>
      <c r="B160" t="inlineStr">
        <is>
          <t>Songea District</t>
        </is>
      </c>
      <c r="C160" t="inlineStr">
        <is>
          <t>C073</t>
        </is>
      </c>
      <c r="D160" s="13">
        <f>IF('Council Entry'!D160="","",IFERROR(MAX(0,MIN(10,ROUND(IF('Council Entry'!D$7="Decrease Risk",10-10*((IF('Council Entry'!D$4="Logarithm",LN(0.001+IF(AND(ISNUMBER('Council Entry'!D$8),ISNUMBER('Council Entry'!D$9)),MAX(MIN('Council Entry'!D160,'Council Entry'!D$9),'Council Entry'!D$8),'Council Entry'!D160)),IF('Council Entry'!D$4="Exponential",EXP(IF(AND(ISNUMBER('Council Entry'!D$8),ISNUMBER('Council Entry'!D$9)),MAX(MIN('Council Entry'!D160,'Council Entry'!D$9),'Council Entry'!D$8),'Council Entry'!D160)),IF(AND(ISNUMBER('Council Entry'!D$8),ISNUMBER('Council Entry'!D$9)),MAX(MIN('Council Entry'!D160,'Council Entry'!D$9),'Council Entry'!D$8),'Council Entry'!D160))))-'Council Entry'!D$5)/('Council Entry'!D$6-'Council Entry'!D$5),10*((IF('Council Entry'!D$4="Logarithm",LN(0.001+IF(AND(ISNUMBER('Council Entry'!D$8),ISNUMBER('Council Entry'!D$9)),MAX(MIN('Council Entry'!D160,'Council Entry'!D$9),'Council Entry'!D$8),'Council Entry'!D160)),IF('Council Entry'!D$4="Exponential",EXP(IF(AND(ISNUMBER('Council Entry'!D$8),ISNUMBER('Council Entry'!D$9)),MAX(MIN('Council Entry'!D160,'Council Entry'!D$9),'Council Entry'!D$8),'Council Entry'!D160)),IF(AND(ISNUMBER('Council Entry'!D$8),ISNUMBER('Council Entry'!D$9)),MAX(MIN('Council Entry'!D160,'Council Entry'!D$9),'Council Entry'!D$8),'Council Entry'!D160))))-'Council Entry'!D$5)/('Council Entry'!D$6-'Council Entry'!D$5)),1))),"No data"))</f>
        <v/>
      </c>
      <c r="E160" s="13">
        <f>IF('Council Entry'!E160="","",IFERROR(MAX(0,MIN(10,ROUND(IF('Council Entry'!E$7="Decrease Risk",10-10*((IF('Council Entry'!E$4="Logarithm",LN(0.001+IF(AND(ISNUMBER('Council Entry'!E$8),ISNUMBER('Council Entry'!E$9)),MAX(MIN('Council Entry'!E160,'Council Entry'!E$9),'Council Entry'!E$8),'Council Entry'!E160)),IF('Council Entry'!E$4="Exponential",EXP(IF(AND(ISNUMBER('Council Entry'!E$8),ISNUMBER('Council Entry'!E$9)),MAX(MIN('Council Entry'!E160,'Council Entry'!E$9),'Council Entry'!E$8),'Council Entry'!E160)),IF(AND(ISNUMBER('Council Entry'!E$8),ISNUMBER('Council Entry'!E$9)),MAX(MIN('Council Entry'!E160,'Council Entry'!E$9),'Council Entry'!E$8),'Council Entry'!E160))))-'Council Entry'!E$5)/('Council Entry'!E$6-'Council Entry'!E$5),10*((IF('Council Entry'!E$4="Logarithm",LN(0.001+IF(AND(ISNUMBER('Council Entry'!E$8),ISNUMBER('Council Entry'!E$9)),MAX(MIN('Council Entry'!E160,'Council Entry'!E$9),'Council Entry'!E$8),'Council Entry'!E160)),IF('Council Entry'!E$4="Exponential",EXP(IF(AND(ISNUMBER('Council Entry'!E$8),ISNUMBER('Council Entry'!E$9)),MAX(MIN('Council Entry'!E160,'Council Entry'!E$9),'Council Entry'!E$8),'Council Entry'!E160)),IF(AND(ISNUMBER('Council Entry'!E$8),ISNUMBER('Council Entry'!E$9)),MAX(MIN('Council Entry'!E160,'Council Entry'!E$9),'Council Entry'!E$8),'Council Entry'!E160))))-'Council Entry'!E$5)/('Council Entry'!E$6-'Council Entry'!E$5)),1))),"No data"))</f>
        <v/>
      </c>
      <c r="F160" s="13">
        <f>IF('Council Entry'!F160="","",IFERROR(MAX(0,MIN(10,ROUND(IF('Council Entry'!F$7="Decrease Risk",10-10*((IF('Council Entry'!F$4="Logarithm",LN(0.001+IF(AND(ISNUMBER('Council Entry'!F$8),ISNUMBER('Council Entry'!F$9)),MAX(MIN('Council Entry'!F160,'Council Entry'!F$9),'Council Entry'!F$8),'Council Entry'!F160)),IF('Council Entry'!F$4="Exponential",EXP(IF(AND(ISNUMBER('Council Entry'!F$8),ISNUMBER('Council Entry'!F$9)),MAX(MIN('Council Entry'!F160,'Council Entry'!F$9),'Council Entry'!F$8),'Council Entry'!F160)),IF(AND(ISNUMBER('Council Entry'!F$8),ISNUMBER('Council Entry'!F$9)),MAX(MIN('Council Entry'!F160,'Council Entry'!F$9),'Council Entry'!F$8),'Council Entry'!F160))))-'Council Entry'!F$5)/('Council Entry'!F$6-'Council Entry'!F$5),10*((IF('Council Entry'!F$4="Logarithm",LN(0.001+IF(AND(ISNUMBER('Council Entry'!F$8),ISNUMBER('Council Entry'!F$9)),MAX(MIN('Council Entry'!F160,'Council Entry'!F$9),'Council Entry'!F$8),'Council Entry'!F160)),IF('Council Entry'!F$4="Exponential",EXP(IF(AND(ISNUMBER('Council Entry'!F$8),ISNUMBER('Council Entry'!F$9)),MAX(MIN('Council Entry'!F160,'Council Entry'!F$9),'Council Entry'!F$8),'Council Entry'!F160)),IF(AND(ISNUMBER('Council Entry'!F$8),ISNUMBER('Council Entry'!F$9)),MAX(MIN('Council Entry'!F160,'Council Entry'!F$9),'Council Entry'!F$8),'Council Entry'!F160))))-'Council Entry'!F$5)/('Council Entry'!F$6-'Council Entry'!F$5)),1))),"No data"))</f>
        <v/>
      </c>
      <c r="G160" s="13">
        <f>IF('Council Entry'!G160="","",IFERROR(MAX(0,MIN(10,ROUND(IF('Council Entry'!G$7="Decrease Risk",10-10*((IF('Council Entry'!G$4="Logarithm",LN(0.001+IF(AND(ISNUMBER('Council Entry'!G$8),ISNUMBER('Council Entry'!G$9)),MAX(MIN('Council Entry'!G160,'Council Entry'!G$9),'Council Entry'!G$8),'Council Entry'!G160)),IF('Council Entry'!G$4="Exponential",EXP(IF(AND(ISNUMBER('Council Entry'!G$8),ISNUMBER('Council Entry'!G$9)),MAX(MIN('Council Entry'!G160,'Council Entry'!G$9),'Council Entry'!G$8),'Council Entry'!G160)),IF(AND(ISNUMBER('Council Entry'!G$8),ISNUMBER('Council Entry'!G$9)),MAX(MIN('Council Entry'!G160,'Council Entry'!G$9),'Council Entry'!G$8),'Council Entry'!G160))))-'Council Entry'!G$5)/('Council Entry'!G$6-'Council Entry'!G$5),10*((IF('Council Entry'!G$4="Logarithm",LN(0.001+IF(AND(ISNUMBER('Council Entry'!G$8),ISNUMBER('Council Entry'!G$9)),MAX(MIN('Council Entry'!G160,'Council Entry'!G$9),'Council Entry'!G$8),'Council Entry'!G160)),IF('Council Entry'!G$4="Exponential",EXP(IF(AND(ISNUMBER('Council Entry'!G$8),ISNUMBER('Council Entry'!G$9)),MAX(MIN('Council Entry'!G160,'Council Entry'!G$9),'Council Entry'!G$8),'Council Entry'!G160)),IF(AND(ISNUMBER('Council Entry'!G$8),ISNUMBER('Council Entry'!G$9)),MAX(MIN('Council Entry'!G160,'Council Entry'!G$9),'Council Entry'!G$8),'Council Entry'!G160))))-'Council Entry'!G$5)/('Council Entry'!G$6-'Council Entry'!G$5)),1))),"No data"))</f>
        <v/>
      </c>
      <c r="H160" s="13">
        <f>IF('Council Entry'!H160="","",IFERROR(MAX(0,MIN(10,ROUND(IF('Council Entry'!H$7="Decrease Risk",10-10*((IF('Council Entry'!H$4="Logarithm",LN(0.001+IF(AND(ISNUMBER('Council Entry'!H$8),ISNUMBER('Council Entry'!H$9)),MAX(MIN('Council Entry'!H160,'Council Entry'!H$9),'Council Entry'!H$8),'Council Entry'!H160)),IF('Council Entry'!H$4="Exponential",EXP(IF(AND(ISNUMBER('Council Entry'!H$8),ISNUMBER('Council Entry'!H$9)),MAX(MIN('Council Entry'!H160,'Council Entry'!H$9),'Council Entry'!H$8),'Council Entry'!H160)),IF(AND(ISNUMBER('Council Entry'!H$8),ISNUMBER('Council Entry'!H$9)),MAX(MIN('Council Entry'!H160,'Council Entry'!H$9),'Council Entry'!H$8),'Council Entry'!H160))))-'Council Entry'!H$5)/('Council Entry'!H$6-'Council Entry'!H$5),10*((IF('Council Entry'!H$4="Logarithm",LN(0.001+IF(AND(ISNUMBER('Council Entry'!H$8),ISNUMBER('Council Entry'!H$9)),MAX(MIN('Council Entry'!H160,'Council Entry'!H$9),'Council Entry'!H$8),'Council Entry'!H160)),IF('Council Entry'!H$4="Exponential",EXP(IF(AND(ISNUMBER('Council Entry'!H$8),ISNUMBER('Council Entry'!H$9)),MAX(MIN('Council Entry'!H160,'Council Entry'!H$9),'Council Entry'!H$8),'Council Entry'!H160)),IF(AND(ISNUMBER('Council Entry'!H$8),ISNUMBER('Council Entry'!H$9)),MAX(MIN('Council Entry'!H160,'Council Entry'!H$9),'Council Entry'!H$8),'Council Entry'!H160))))-'Council Entry'!H$5)/('Council Entry'!H$6-'Council Entry'!H$5)),1))),"No data"))</f>
        <v/>
      </c>
      <c r="I160" s="13">
        <f>IF('Council Entry'!I160="","",IFERROR(MAX(0,MIN(10,ROUND(IF('Council Entry'!I$7="Decrease Risk",10-10*((IF('Council Entry'!I$4="Logarithm",LN(0.001+IF(AND(ISNUMBER('Council Entry'!I$8),ISNUMBER('Council Entry'!I$9)),MAX(MIN('Council Entry'!I160,'Council Entry'!I$9),'Council Entry'!I$8),'Council Entry'!I160)),IF('Council Entry'!I$4="Exponential",EXP(IF(AND(ISNUMBER('Council Entry'!I$8),ISNUMBER('Council Entry'!I$9)),MAX(MIN('Council Entry'!I160,'Council Entry'!I$9),'Council Entry'!I$8),'Council Entry'!I160)),IF(AND(ISNUMBER('Council Entry'!I$8),ISNUMBER('Council Entry'!I$9)),MAX(MIN('Council Entry'!I160,'Council Entry'!I$9),'Council Entry'!I$8),'Council Entry'!I160))))-'Council Entry'!I$5)/('Council Entry'!I$6-'Council Entry'!I$5),10*((IF('Council Entry'!I$4="Logarithm",LN(0.001+IF(AND(ISNUMBER('Council Entry'!I$8),ISNUMBER('Council Entry'!I$9)),MAX(MIN('Council Entry'!I160,'Council Entry'!I$9),'Council Entry'!I$8),'Council Entry'!I160)),IF('Council Entry'!I$4="Exponential",EXP(IF(AND(ISNUMBER('Council Entry'!I$8),ISNUMBER('Council Entry'!I$9)),MAX(MIN('Council Entry'!I160,'Council Entry'!I$9),'Council Entry'!I$8),'Council Entry'!I160)),IF(AND(ISNUMBER('Council Entry'!I$8),ISNUMBER('Council Entry'!I$9)),MAX(MIN('Council Entry'!I160,'Council Entry'!I$9),'Council Entry'!I$8),'Council Entry'!I160))))-'Council Entry'!I$5)/('Council Entry'!I$6-'Council Entry'!I$5)),1))),"No data"))</f>
        <v/>
      </c>
      <c r="J160" s="13">
        <f>IF('Council Entry'!J160="","",IFERROR(MAX(0,MIN(10,ROUND(IF('Council Entry'!J$7="Decrease Risk",10-10*((IF('Council Entry'!J$4="Logarithm",LN(0.001+IF(AND(ISNUMBER('Council Entry'!J$8),ISNUMBER('Council Entry'!J$9)),MAX(MIN('Council Entry'!J160,'Council Entry'!J$9),'Council Entry'!J$8),'Council Entry'!J160)),IF('Council Entry'!J$4="Exponential",EXP(IF(AND(ISNUMBER('Council Entry'!J$8),ISNUMBER('Council Entry'!J$9)),MAX(MIN('Council Entry'!J160,'Council Entry'!J$9),'Council Entry'!J$8),'Council Entry'!J160)),IF(AND(ISNUMBER('Council Entry'!J$8),ISNUMBER('Council Entry'!J$9)),MAX(MIN('Council Entry'!J160,'Council Entry'!J$9),'Council Entry'!J$8),'Council Entry'!J160))))-'Council Entry'!J$5)/('Council Entry'!J$6-'Council Entry'!J$5),10*((IF('Council Entry'!J$4="Logarithm",LN(0.001+IF(AND(ISNUMBER('Council Entry'!J$8),ISNUMBER('Council Entry'!J$9)),MAX(MIN('Council Entry'!J160,'Council Entry'!J$9),'Council Entry'!J$8),'Council Entry'!J160)),IF('Council Entry'!J$4="Exponential",EXP(IF(AND(ISNUMBER('Council Entry'!J$8),ISNUMBER('Council Entry'!J$9)),MAX(MIN('Council Entry'!J160,'Council Entry'!J$9),'Council Entry'!J$8),'Council Entry'!J160)),IF(AND(ISNUMBER('Council Entry'!J$8),ISNUMBER('Council Entry'!J$9)),MAX(MIN('Council Entry'!J160,'Council Entry'!J$9),'Council Entry'!J$8),'Council Entry'!J160))))-'Council Entry'!J$5)/('Council Entry'!J$6-'Council Entry'!J$5)),1))),"No data"))</f>
        <v/>
      </c>
      <c r="K160" s="13">
        <f>IF('Council Entry'!K160="","",IFERROR(MAX(0,MIN(10,ROUND(IF('Council Entry'!K$7="Decrease Risk",10-10*((IF('Council Entry'!K$4="Logarithm",LN(0.001+IF(AND(ISNUMBER('Council Entry'!K$8),ISNUMBER('Council Entry'!K$9)),MAX(MIN('Council Entry'!K160,'Council Entry'!K$9),'Council Entry'!K$8),'Council Entry'!K160)),IF('Council Entry'!K$4="Exponential",EXP(IF(AND(ISNUMBER('Council Entry'!K$8),ISNUMBER('Council Entry'!K$9)),MAX(MIN('Council Entry'!K160,'Council Entry'!K$9),'Council Entry'!K$8),'Council Entry'!K160)),IF(AND(ISNUMBER('Council Entry'!K$8),ISNUMBER('Council Entry'!K$9)),MAX(MIN('Council Entry'!K160,'Council Entry'!K$9),'Council Entry'!K$8),'Council Entry'!K160))))-'Council Entry'!K$5)/('Council Entry'!K$6-'Council Entry'!K$5),10*((IF('Council Entry'!K$4="Logarithm",LN(0.001+IF(AND(ISNUMBER('Council Entry'!K$8),ISNUMBER('Council Entry'!K$9)),MAX(MIN('Council Entry'!K160,'Council Entry'!K$9),'Council Entry'!K$8),'Council Entry'!K160)),IF('Council Entry'!K$4="Exponential",EXP(IF(AND(ISNUMBER('Council Entry'!K$8),ISNUMBER('Council Entry'!K$9)),MAX(MIN('Council Entry'!K160,'Council Entry'!K$9),'Council Entry'!K$8),'Council Entry'!K160)),IF(AND(ISNUMBER('Council Entry'!K$8),ISNUMBER('Council Entry'!K$9)),MAX(MIN('Council Entry'!K160,'Council Entry'!K$9),'Council Entry'!K$8),'Council Entry'!K160))))-'Council Entry'!K$5)/('Council Entry'!K$6-'Council Entry'!K$5)),1))),"No data"))</f>
        <v/>
      </c>
      <c r="L160" s="13">
        <f>IF('Council Entry'!L160="","",IFERROR(MAX(0,MIN(10,ROUND(IF('Council Entry'!L$7="Decrease Risk",10-10*((IF('Council Entry'!L$4="Logarithm",LN(0.001+IF(AND(ISNUMBER('Council Entry'!L$8),ISNUMBER('Council Entry'!L$9)),MAX(MIN('Council Entry'!L160,'Council Entry'!L$9),'Council Entry'!L$8),'Council Entry'!L160)),IF('Council Entry'!L$4="Exponential",EXP(IF(AND(ISNUMBER('Council Entry'!L$8),ISNUMBER('Council Entry'!L$9)),MAX(MIN('Council Entry'!L160,'Council Entry'!L$9),'Council Entry'!L$8),'Council Entry'!L160)),IF(AND(ISNUMBER('Council Entry'!L$8),ISNUMBER('Council Entry'!L$9)),MAX(MIN('Council Entry'!L160,'Council Entry'!L$9),'Council Entry'!L$8),'Council Entry'!L160))))-'Council Entry'!L$5)/('Council Entry'!L$6-'Council Entry'!L$5),10*((IF('Council Entry'!L$4="Logarithm",LN(0.001+IF(AND(ISNUMBER('Council Entry'!L$8),ISNUMBER('Council Entry'!L$9)),MAX(MIN('Council Entry'!L160,'Council Entry'!L$9),'Council Entry'!L$8),'Council Entry'!L160)),IF('Council Entry'!L$4="Exponential",EXP(IF(AND(ISNUMBER('Council Entry'!L$8),ISNUMBER('Council Entry'!L$9)),MAX(MIN('Council Entry'!L160,'Council Entry'!L$9),'Council Entry'!L$8),'Council Entry'!L160)),IF(AND(ISNUMBER('Council Entry'!L$8),ISNUMBER('Council Entry'!L$9)),MAX(MIN('Council Entry'!L160,'Council Entry'!L$9),'Council Entry'!L$8),'Council Entry'!L160))))-'Council Entry'!L$5)/('Council Entry'!L$6-'Council Entry'!L$5)),1))),"No data"))</f>
        <v/>
      </c>
      <c r="M160" s="13">
        <f>IF('Council Entry'!M160="","",IFERROR(MAX(0,MIN(10,ROUND(IF('Council Entry'!M$7="Decrease Risk",10-10*((IF('Council Entry'!M$4="Logarithm",LN(0.001+IF(AND(ISNUMBER('Council Entry'!M$8),ISNUMBER('Council Entry'!M$9)),MAX(MIN('Council Entry'!M160,'Council Entry'!M$9),'Council Entry'!M$8),'Council Entry'!M160)),IF('Council Entry'!M$4="Exponential",EXP(IF(AND(ISNUMBER('Council Entry'!M$8),ISNUMBER('Council Entry'!M$9)),MAX(MIN('Council Entry'!M160,'Council Entry'!M$9),'Council Entry'!M$8),'Council Entry'!M160)),IF(AND(ISNUMBER('Council Entry'!M$8),ISNUMBER('Council Entry'!M$9)),MAX(MIN('Council Entry'!M160,'Council Entry'!M$9),'Council Entry'!M$8),'Council Entry'!M160))))-'Council Entry'!M$5)/('Council Entry'!M$6-'Council Entry'!M$5),10*((IF('Council Entry'!M$4="Logarithm",LN(0.001+IF(AND(ISNUMBER('Council Entry'!M$8),ISNUMBER('Council Entry'!M$9)),MAX(MIN('Council Entry'!M160,'Council Entry'!M$9),'Council Entry'!M$8),'Council Entry'!M160)),IF('Council Entry'!M$4="Exponential",EXP(IF(AND(ISNUMBER('Council Entry'!M$8),ISNUMBER('Council Entry'!M$9)),MAX(MIN('Council Entry'!M160,'Council Entry'!M$9),'Council Entry'!M$8),'Council Entry'!M160)),IF(AND(ISNUMBER('Council Entry'!M$8),ISNUMBER('Council Entry'!M$9)),MAX(MIN('Council Entry'!M160,'Council Entry'!M$9),'Council Entry'!M$8),'Council Entry'!M160))))-'Council Entry'!M$5)/('Council Entry'!M$6-'Council Entry'!M$5)),1))),"No data"))</f>
        <v/>
      </c>
      <c r="N160" s="13">
        <f>IF('Council Entry'!N160="","",IFERROR(MAX(0,MIN(10,ROUND(IF('Council Entry'!N$7="Decrease Risk",10-10*((IF('Council Entry'!N$4="Logarithm",LN(0.001+IF(AND(ISNUMBER('Council Entry'!N$8),ISNUMBER('Council Entry'!N$9)),MAX(MIN('Council Entry'!N160,'Council Entry'!N$9),'Council Entry'!N$8),'Council Entry'!N160)),IF('Council Entry'!N$4="Exponential",EXP(IF(AND(ISNUMBER('Council Entry'!N$8),ISNUMBER('Council Entry'!N$9)),MAX(MIN('Council Entry'!N160,'Council Entry'!N$9),'Council Entry'!N$8),'Council Entry'!N160)),IF(AND(ISNUMBER('Council Entry'!N$8),ISNUMBER('Council Entry'!N$9)),MAX(MIN('Council Entry'!N160,'Council Entry'!N$9),'Council Entry'!N$8),'Council Entry'!N160))))-'Council Entry'!N$5)/('Council Entry'!N$6-'Council Entry'!N$5),10*((IF('Council Entry'!N$4="Logarithm",LN(0.001+IF(AND(ISNUMBER('Council Entry'!N$8),ISNUMBER('Council Entry'!N$9)),MAX(MIN('Council Entry'!N160,'Council Entry'!N$9),'Council Entry'!N$8),'Council Entry'!N160)),IF('Council Entry'!N$4="Exponential",EXP(IF(AND(ISNUMBER('Council Entry'!N$8),ISNUMBER('Council Entry'!N$9)),MAX(MIN('Council Entry'!N160,'Council Entry'!N$9),'Council Entry'!N$8),'Council Entry'!N160)),IF(AND(ISNUMBER('Council Entry'!N$8),ISNUMBER('Council Entry'!N$9)),MAX(MIN('Council Entry'!N160,'Council Entry'!N$9),'Council Entry'!N$8),'Council Entry'!N160))))-'Council Entry'!N$5)/('Council Entry'!N$6-'Council Entry'!N$5)),1))),"No data"))</f>
        <v/>
      </c>
      <c r="O160" s="13">
        <f>IF('Council Entry'!O160="","",IFERROR(MAX(0,MIN(10,ROUND(IF('Council Entry'!O$7="Decrease Risk",10-10*((IF('Council Entry'!O$4="Logarithm",LN(0.001+IF(AND(ISNUMBER('Council Entry'!O$8),ISNUMBER('Council Entry'!O$9)),MAX(MIN('Council Entry'!O160,'Council Entry'!O$9),'Council Entry'!O$8),'Council Entry'!O160)),IF('Council Entry'!O$4="Exponential",EXP(IF(AND(ISNUMBER('Council Entry'!O$8),ISNUMBER('Council Entry'!O$9)),MAX(MIN('Council Entry'!O160,'Council Entry'!O$9),'Council Entry'!O$8),'Council Entry'!O160)),IF(AND(ISNUMBER('Council Entry'!O$8),ISNUMBER('Council Entry'!O$9)),MAX(MIN('Council Entry'!O160,'Council Entry'!O$9),'Council Entry'!O$8),'Council Entry'!O160))))-'Council Entry'!O$5)/('Council Entry'!O$6-'Council Entry'!O$5),10*((IF('Council Entry'!O$4="Logarithm",LN(0.001+IF(AND(ISNUMBER('Council Entry'!O$8),ISNUMBER('Council Entry'!O$9)),MAX(MIN('Council Entry'!O160,'Council Entry'!O$9),'Council Entry'!O$8),'Council Entry'!O160)),IF('Council Entry'!O$4="Exponential",EXP(IF(AND(ISNUMBER('Council Entry'!O$8),ISNUMBER('Council Entry'!O$9)),MAX(MIN('Council Entry'!O160,'Council Entry'!O$9),'Council Entry'!O$8),'Council Entry'!O160)),IF(AND(ISNUMBER('Council Entry'!O$8),ISNUMBER('Council Entry'!O$9)),MAX(MIN('Council Entry'!O160,'Council Entry'!O$9),'Council Entry'!O$8),'Council Entry'!O160))))-'Council Entry'!O$5)/('Council Entry'!O$6-'Council Entry'!O$5)),1))),"No data"))</f>
        <v/>
      </c>
      <c r="P160" s="13">
        <f>IF('Council Entry'!P160="","",IFERROR(MAX(0,MIN(10,ROUND(IF('Council Entry'!P$7="Decrease Risk",10-10*((IF('Council Entry'!P$4="Logarithm",LN(0.001+IF(AND(ISNUMBER('Council Entry'!P$8),ISNUMBER('Council Entry'!P$9)),MAX(MIN('Council Entry'!P160,'Council Entry'!P$9),'Council Entry'!P$8),'Council Entry'!P160)),IF('Council Entry'!P$4="Exponential",EXP(IF(AND(ISNUMBER('Council Entry'!P$8),ISNUMBER('Council Entry'!P$9)),MAX(MIN('Council Entry'!P160,'Council Entry'!P$9),'Council Entry'!P$8),'Council Entry'!P160)),IF(AND(ISNUMBER('Council Entry'!P$8),ISNUMBER('Council Entry'!P$9)),MAX(MIN('Council Entry'!P160,'Council Entry'!P$9),'Council Entry'!P$8),'Council Entry'!P160))))-'Council Entry'!P$5)/('Council Entry'!P$6-'Council Entry'!P$5),10*((IF('Council Entry'!P$4="Logarithm",LN(0.001+IF(AND(ISNUMBER('Council Entry'!P$8),ISNUMBER('Council Entry'!P$9)),MAX(MIN('Council Entry'!P160,'Council Entry'!P$9),'Council Entry'!P$8),'Council Entry'!P160)),IF('Council Entry'!P$4="Exponential",EXP(IF(AND(ISNUMBER('Council Entry'!P$8),ISNUMBER('Council Entry'!P$9)),MAX(MIN('Council Entry'!P160,'Council Entry'!P$9),'Council Entry'!P$8),'Council Entry'!P160)),IF(AND(ISNUMBER('Council Entry'!P$8),ISNUMBER('Council Entry'!P$9)),MAX(MIN('Council Entry'!P160,'Council Entry'!P$9),'Council Entry'!P$8),'Council Entry'!P160))))-'Council Entry'!P$5)/('Council Entry'!P$6-'Council Entry'!P$5)),1))),"No data"))</f>
        <v/>
      </c>
      <c r="Q160" s="13">
        <f>IF('Council Entry'!Q160="","",IFERROR(MAX(0,MIN(10,ROUND(IF('Council Entry'!Q$7="Decrease Risk",10-10*((IF('Council Entry'!Q$4="Logarithm",LN(0.001+IF(AND(ISNUMBER('Council Entry'!Q$8),ISNUMBER('Council Entry'!Q$9)),MAX(MIN('Council Entry'!Q160,'Council Entry'!Q$9),'Council Entry'!Q$8),'Council Entry'!Q160)),IF('Council Entry'!Q$4="Exponential",EXP(IF(AND(ISNUMBER('Council Entry'!Q$8),ISNUMBER('Council Entry'!Q$9)),MAX(MIN('Council Entry'!Q160,'Council Entry'!Q$9),'Council Entry'!Q$8),'Council Entry'!Q160)),IF(AND(ISNUMBER('Council Entry'!Q$8),ISNUMBER('Council Entry'!Q$9)),MAX(MIN('Council Entry'!Q160,'Council Entry'!Q$9),'Council Entry'!Q$8),'Council Entry'!Q160))))-'Council Entry'!Q$5)/('Council Entry'!Q$6-'Council Entry'!Q$5),10*((IF('Council Entry'!Q$4="Logarithm",LN(0.001+IF(AND(ISNUMBER('Council Entry'!Q$8),ISNUMBER('Council Entry'!Q$9)),MAX(MIN('Council Entry'!Q160,'Council Entry'!Q$9),'Council Entry'!Q$8),'Council Entry'!Q160)),IF('Council Entry'!Q$4="Exponential",EXP(IF(AND(ISNUMBER('Council Entry'!Q$8),ISNUMBER('Council Entry'!Q$9)),MAX(MIN('Council Entry'!Q160,'Council Entry'!Q$9),'Council Entry'!Q$8),'Council Entry'!Q160)),IF(AND(ISNUMBER('Council Entry'!Q$8),ISNUMBER('Council Entry'!Q$9)),MAX(MIN('Council Entry'!Q160,'Council Entry'!Q$9),'Council Entry'!Q$8),'Council Entry'!Q160))))-'Council Entry'!Q$5)/('Council Entry'!Q$6-'Council Entry'!Q$5)),1))),"No data"))</f>
        <v/>
      </c>
      <c r="R160" s="13">
        <f>IF('Council Entry'!R160="","",IFERROR(MAX(0,MIN(10,ROUND(IF('Council Entry'!R$7="Decrease Risk",10-10*((IF('Council Entry'!R$4="Logarithm",LN(0.001+IF(AND(ISNUMBER('Council Entry'!R$8),ISNUMBER('Council Entry'!R$9)),MAX(MIN('Council Entry'!R160,'Council Entry'!R$9),'Council Entry'!R$8),'Council Entry'!R160)),IF('Council Entry'!R$4="Exponential",EXP(IF(AND(ISNUMBER('Council Entry'!R$8),ISNUMBER('Council Entry'!R$9)),MAX(MIN('Council Entry'!R160,'Council Entry'!R$9),'Council Entry'!R$8),'Council Entry'!R160)),IF(AND(ISNUMBER('Council Entry'!R$8),ISNUMBER('Council Entry'!R$9)),MAX(MIN('Council Entry'!R160,'Council Entry'!R$9),'Council Entry'!R$8),'Council Entry'!R160))))-'Council Entry'!R$5)/('Council Entry'!R$6-'Council Entry'!R$5),10*((IF('Council Entry'!R$4="Logarithm",LN(0.001+IF(AND(ISNUMBER('Council Entry'!R$8),ISNUMBER('Council Entry'!R$9)),MAX(MIN('Council Entry'!R160,'Council Entry'!R$9),'Council Entry'!R$8),'Council Entry'!R160)),IF('Council Entry'!R$4="Exponential",EXP(IF(AND(ISNUMBER('Council Entry'!R$8),ISNUMBER('Council Entry'!R$9)),MAX(MIN('Council Entry'!R160,'Council Entry'!R$9),'Council Entry'!R$8),'Council Entry'!R160)),IF(AND(ISNUMBER('Council Entry'!R$8),ISNUMBER('Council Entry'!R$9)),MAX(MIN('Council Entry'!R160,'Council Entry'!R$9),'Council Entry'!R$8),'Council Entry'!R160))))-'Council Entry'!R$5)/('Council Entry'!R$6-'Council Entry'!R$5)),1))),"No data"))</f>
        <v/>
      </c>
      <c r="S160" s="13">
        <f>IF('Council Entry'!S160="","",IFERROR(MAX(0,MIN(10,ROUND(IF('Council Entry'!S$7="Decrease Risk",10-10*((IF('Council Entry'!S$4="Logarithm",LN(0.001+IF(AND(ISNUMBER('Council Entry'!S$8),ISNUMBER('Council Entry'!S$9)),MAX(MIN('Council Entry'!S160,'Council Entry'!S$9),'Council Entry'!S$8),'Council Entry'!S160)),IF('Council Entry'!S$4="Exponential",EXP(IF(AND(ISNUMBER('Council Entry'!S$8),ISNUMBER('Council Entry'!S$9)),MAX(MIN('Council Entry'!S160,'Council Entry'!S$9),'Council Entry'!S$8),'Council Entry'!S160)),IF(AND(ISNUMBER('Council Entry'!S$8),ISNUMBER('Council Entry'!S$9)),MAX(MIN('Council Entry'!S160,'Council Entry'!S$9),'Council Entry'!S$8),'Council Entry'!S160))))-'Council Entry'!S$5)/('Council Entry'!S$6-'Council Entry'!S$5),10*((IF('Council Entry'!S$4="Logarithm",LN(0.001+IF(AND(ISNUMBER('Council Entry'!S$8),ISNUMBER('Council Entry'!S$9)),MAX(MIN('Council Entry'!S160,'Council Entry'!S$9),'Council Entry'!S$8),'Council Entry'!S160)),IF('Council Entry'!S$4="Exponential",EXP(IF(AND(ISNUMBER('Council Entry'!S$8),ISNUMBER('Council Entry'!S$9)),MAX(MIN('Council Entry'!S160,'Council Entry'!S$9),'Council Entry'!S$8),'Council Entry'!S160)),IF(AND(ISNUMBER('Council Entry'!S$8),ISNUMBER('Council Entry'!S$9)),MAX(MIN('Council Entry'!S160,'Council Entry'!S$9),'Council Entry'!S$8),'Council Entry'!S160))))-'Council Entry'!S$5)/('Council Entry'!S$6-'Council Entry'!S$5)),1))),"No data"))</f>
        <v/>
      </c>
      <c r="T160" s="13">
        <f>IF('Council Entry'!T160="","",IFERROR(MAX(0,MIN(10,ROUND(IF('Council Entry'!T$7="Decrease Risk",10-10*((IF('Council Entry'!T$4="Logarithm",LN(0.001+IF(AND(ISNUMBER('Council Entry'!T$8),ISNUMBER('Council Entry'!T$9)),MAX(MIN('Council Entry'!T160,'Council Entry'!T$9),'Council Entry'!T$8),'Council Entry'!T160)),IF('Council Entry'!T$4="Exponential",EXP(IF(AND(ISNUMBER('Council Entry'!T$8),ISNUMBER('Council Entry'!T$9)),MAX(MIN('Council Entry'!T160,'Council Entry'!T$9),'Council Entry'!T$8),'Council Entry'!T160)),IF(AND(ISNUMBER('Council Entry'!T$8),ISNUMBER('Council Entry'!T$9)),MAX(MIN('Council Entry'!T160,'Council Entry'!T$9),'Council Entry'!T$8),'Council Entry'!T160))))-'Council Entry'!T$5)/('Council Entry'!T$6-'Council Entry'!T$5),10*((IF('Council Entry'!T$4="Logarithm",LN(0.001+IF(AND(ISNUMBER('Council Entry'!T$8),ISNUMBER('Council Entry'!T$9)),MAX(MIN('Council Entry'!T160,'Council Entry'!T$9),'Council Entry'!T$8),'Council Entry'!T160)),IF('Council Entry'!T$4="Exponential",EXP(IF(AND(ISNUMBER('Council Entry'!T$8),ISNUMBER('Council Entry'!T$9)),MAX(MIN('Council Entry'!T160,'Council Entry'!T$9),'Council Entry'!T$8),'Council Entry'!T160)),IF(AND(ISNUMBER('Council Entry'!T$8),ISNUMBER('Council Entry'!T$9)),MAX(MIN('Council Entry'!T160,'Council Entry'!T$9),'Council Entry'!T$8),'Council Entry'!T160))))-'Council Entry'!T$5)/('Council Entry'!T$6-'Council Entry'!T$5)),1))),"No data"))</f>
        <v/>
      </c>
      <c r="U160" s="13">
        <f>IF('Council Entry'!U160="","",IFERROR(MAX(0,MIN(10,ROUND(IF('Council Entry'!U$7="Decrease Risk",10-10*((IF('Council Entry'!U$4="Logarithm",LN(0.001+IF(AND(ISNUMBER('Council Entry'!U$8),ISNUMBER('Council Entry'!U$9)),MAX(MIN('Council Entry'!U160,'Council Entry'!U$9),'Council Entry'!U$8),'Council Entry'!U160)),IF('Council Entry'!U$4="Exponential",EXP(IF(AND(ISNUMBER('Council Entry'!U$8),ISNUMBER('Council Entry'!U$9)),MAX(MIN('Council Entry'!U160,'Council Entry'!U$9),'Council Entry'!U$8),'Council Entry'!U160)),IF(AND(ISNUMBER('Council Entry'!U$8),ISNUMBER('Council Entry'!U$9)),MAX(MIN('Council Entry'!U160,'Council Entry'!U$9),'Council Entry'!U$8),'Council Entry'!U160))))-'Council Entry'!U$5)/('Council Entry'!U$6-'Council Entry'!U$5),10*((IF('Council Entry'!U$4="Logarithm",LN(0.001+IF(AND(ISNUMBER('Council Entry'!U$8),ISNUMBER('Council Entry'!U$9)),MAX(MIN('Council Entry'!U160,'Council Entry'!U$9),'Council Entry'!U$8),'Council Entry'!U160)),IF('Council Entry'!U$4="Exponential",EXP(IF(AND(ISNUMBER('Council Entry'!U$8),ISNUMBER('Council Entry'!U$9)),MAX(MIN('Council Entry'!U160,'Council Entry'!U$9),'Council Entry'!U$8),'Council Entry'!U160)),IF(AND(ISNUMBER('Council Entry'!U$8),ISNUMBER('Council Entry'!U$9)),MAX(MIN('Council Entry'!U160,'Council Entry'!U$9),'Council Entry'!U$8),'Council Entry'!U160))))-'Council Entry'!U$5)/('Council Entry'!U$6-'Council Entry'!U$5)),1))),"No data"))</f>
        <v/>
      </c>
      <c r="V160" s="13">
        <f>IF('Council Entry'!V160="","",IFERROR(MAX(0,MIN(10,ROUND(IF('Council Entry'!V$7="Decrease Risk",10-10*((IF('Council Entry'!V$4="Logarithm",LN(0.001+IF(AND(ISNUMBER('Council Entry'!V$8),ISNUMBER('Council Entry'!V$9)),MAX(MIN('Council Entry'!V160,'Council Entry'!V$9),'Council Entry'!V$8),'Council Entry'!V160)),IF('Council Entry'!V$4="Exponential",EXP(IF(AND(ISNUMBER('Council Entry'!V$8),ISNUMBER('Council Entry'!V$9)),MAX(MIN('Council Entry'!V160,'Council Entry'!V$9),'Council Entry'!V$8),'Council Entry'!V160)),IF(AND(ISNUMBER('Council Entry'!V$8),ISNUMBER('Council Entry'!V$9)),MAX(MIN('Council Entry'!V160,'Council Entry'!V$9),'Council Entry'!V$8),'Council Entry'!V160))))-'Council Entry'!V$5)/('Council Entry'!V$6-'Council Entry'!V$5),10*((IF('Council Entry'!V$4="Logarithm",LN(0.001+IF(AND(ISNUMBER('Council Entry'!V$8),ISNUMBER('Council Entry'!V$9)),MAX(MIN('Council Entry'!V160,'Council Entry'!V$9),'Council Entry'!V$8),'Council Entry'!V160)),IF('Council Entry'!V$4="Exponential",EXP(IF(AND(ISNUMBER('Council Entry'!V$8),ISNUMBER('Council Entry'!V$9)),MAX(MIN('Council Entry'!V160,'Council Entry'!V$9),'Council Entry'!V$8),'Council Entry'!V160)),IF(AND(ISNUMBER('Council Entry'!V$8),ISNUMBER('Council Entry'!V$9)),MAX(MIN('Council Entry'!V160,'Council Entry'!V$9),'Council Entry'!V$8),'Council Entry'!V160))))-'Council Entry'!V$5)/('Council Entry'!V$6-'Council Entry'!V$5)),1))),"No data"))</f>
        <v/>
      </c>
      <c r="W160" s="13">
        <f>IF('Council Entry'!W160="","",IFERROR(MAX(0,MIN(10,ROUND(IF('Council Entry'!W$7="Decrease Risk",10-10*((IF('Council Entry'!W$4="Logarithm",LN(0.001+IF(AND(ISNUMBER('Council Entry'!W$8),ISNUMBER('Council Entry'!W$9)),MAX(MIN('Council Entry'!W160,'Council Entry'!W$9),'Council Entry'!W$8),'Council Entry'!W160)),IF('Council Entry'!W$4="Exponential",EXP(IF(AND(ISNUMBER('Council Entry'!W$8),ISNUMBER('Council Entry'!W$9)),MAX(MIN('Council Entry'!W160,'Council Entry'!W$9),'Council Entry'!W$8),'Council Entry'!W160)),IF(AND(ISNUMBER('Council Entry'!W$8),ISNUMBER('Council Entry'!W$9)),MAX(MIN('Council Entry'!W160,'Council Entry'!W$9),'Council Entry'!W$8),'Council Entry'!W160))))-'Council Entry'!W$5)/('Council Entry'!W$6-'Council Entry'!W$5),10*((IF('Council Entry'!W$4="Logarithm",LN(0.001+IF(AND(ISNUMBER('Council Entry'!W$8),ISNUMBER('Council Entry'!W$9)),MAX(MIN('Council Entry'!W160,'Council Entry'!W$9),'Council Entry'!W$8),'Council Entry'!W160)),IF('Council Entry'!W$4="Exponential",EXP(IF(AND(ISNUMBER('Council Entry'!W$8),ISNUMBER('Council Entry'!W$9)),MAX(MIN('Council Entry'!W160,'Council Entry'!W$9),'Council Entry'!W$8),'Council Entry'!W160)),IF(AND(ISNUMBER('Council Entry'!W$8),ISNUMBER('Council Entry'!W$9)),MAX(MIN('Council Entry'!W160,'Council Entry'!W$9),'Council Entry'!W$8),'Council Entry'!W160))))-'Council Entry'!W$5)/('Council Entry'!W$6-'Council Entry'!W$5)),1))),"No data"))</f>
        <v/>
      </c>
      <c r="X160" s="13">
        <f>IF('Council Entry'!X160="","",IFERROR(MAX(0,MIN(10,ROUND(IF('Council Entry'!X$7="Decrease Risk",10-10*((IF('Council Entry'!X$4="Logarithm",LN(0.001+IF(AND(ISNUMBER('Council Entry'!X$8),ISNUMBER('Council Entry'!X$9)),MAX(MIN('Council Entry'!X160,'Council Entry'!X$9),'Council Entry'!X$8),'Council Entry'!X160)),IF('Council Entry'!X$4="Exponential",EXP(IF(AND(ISNUMBER('Council Entry'!X$8),ISNUMBER('Council Entry'!X$9)),MAX(MIN('Council Entry'!X160,'Council Entry'!X$9),'Council Entry'!X$8),'Council Entry'!X160)),IF(AND(ISNUMBER('Council Entry'!X$8),ISNUMBER('Council Entry'!X$9)),MAX(MIN('Council Entry'!X160,'Council Entry'!X$9),'Council Entry'!X$8),'Council Entry'!X160))))-'Council Entry'!X$5)/('Council Entry'!X$6-'Council Entry'!X$5),10*((IF('Council Entry'!X$4="Logarithm",LN(0.001+IF(AND(ISNUMBER('Council Entry'!X$8),ISNUMBER('Council Entry'!X$9)),MAX(MIN('Council Entry'!X160,'Council Entry'!X$9),'Council Entry'!X$8),'Council Entry'!X160)),IF('Council Entry'!X$4="Exponential",EXP(IF(AND(ISNUMBER('Council Entry'!X$8),ISNUMBER('Council Entry'!X$9)),MAX(MIN('Council Entry'!X160,'Council Entry'!X$9),'Council Entry'!X$8),'Council Entry'!X160)),IF(AND(ISNUMBER('Council Entry'!X$8),ISNUMBER('Council Entry'!X$9)),MAX(MIN('Council Entry'!X160,'Council Entry'!X$9),'Council Entry'!X$8),'Council Entry'!X160))))-'Council Entry'!X$5)/('Council Entry'!X$6-'Council Entry'!X$5)),1))),"No data"))</f>
        <v/>
      </c>
      <c r="Y160" s="13">
        <f>IF('Council Entry'!Y160="","",IFERROR(MAX(0,MIN(10,ROUND(IF('Council Entry'!Y$7="Decrease Risk",10-10*((IF('Council Entry'!Y$4="Logarithm",LN(0.001+IF(AND(ISNUMBER('Council Entry'!Y$8),ISNUMBER('Council Entry'!Y$9)),MAX(MIN('Council Entry'!Y160,'Council Entry'!Y$9),'Council Entry'!Y$8),'Council Entry'!Y160)),IF('Council Entry'!Y$4="Exponential",EXP(IF(AND(ISNUMBER('Council Entry'!Y$8),ISNUMBER('Council Entry'!Y$9)),MAX(MIN('Council Entry'!Y160,'Council Entry'!Y$9),'Council Entry'!Y$8),'Council Entry'!Y160)),IF(AND(ISNUMBER('Council Entry'!Y$8),ISNUMBER('Council Entry'!Y$9)),MAX(MIN('Council Entry'!Y160,'Council Entry'!Y$9),'Council Entry'!Y$8),'Council Entry'!Y160))))-'Council Entry'!Y$5)/('Council Entry'!Y$6-'Council Entry'!Y$5),10*((IF('Council Entry'!Y$4="Logarithm",LN(0.001+IF(AND(ISNUMBER('Council Entry'!Y$8),ISNUMBER('Council Entry'!Y$9)),MAX(MIN('Council Entry'!Y160,'Council Entry'!Y$9),'Council Entry'!Y$8),'Council Entry'!Y160)),IF('Council Entry'!Y$4="Exponential",EXP(IF(AND(ISNUMBER('Council Entry'!Y$8),ISNUMBER('Council Entry'!Y$9)),MAX(MIN('Council Entry'!Y160,'Council Entry'!Y$9),'Council Entry'!Y$8),'Council Entry'!Y160)),IF(AND(ISNUMBER('Council Entry'!Y$8),ISNUMBER('Council Entry'!Y$9)),MAX(MIN('Council Entry'!Y160,'Council Entry'!Y$9),'Council Entry'!Y$8),'Council Entry'!Y160))))-'Council Entry'!Y$5)/('Council Entry'!Y$6-'Council Entry'!Y$5)),1))),"No data"))</f>
        <v/>
      </c>
      <c r="Z160" s="13">
        <f>IF('Council Entry'!Z160="","",IFERROR(MAX(0,MIN(10,ROUND(IF('Council Entry'!Z$7="Decrease Risk",10-10*((IF('Council Entry'!Z$4="Logarithm",LN(0.001+IF(AND(ISNUMBER('Council Entry'!Z$8),ISNUMBER('Council Entry'!Z$9)),MAX(MIN('Council Entry'!Z160,'Council Entry'!Z$9),'Council Entry'!Z$8),'Council Entry'!Z160)),IF('Council Entry'!Z$4="Exponential",EXP(IF(AND(ISNUMBER('Council Entry'!Z$8),ISNUMBER('Council Entry'!Z$9)),MAX(MIN('Council Entry'!Z160,'Council Entry'!Z$9),'Council Entry'!Z$8),'Council Entry'!Z160)),IF(AND(ISNUMBER('Council Entry'!Z$8),ISNUMBER('Council Entry'!Z$9)),MAX(MIN('Council Entry'!Z160,'Council Entry'!Z$9),'Council Entry'!Z$8),'Council Entry'!Z160))))-'Council Entry'!Z$5)/('Council Entry'!Z$6-'Council Entry'!Z$5),10*((IF('Council Entry'!Z$4="Logarithm",LN(0.001+IF(AND(ISNUMBER('Council Entry'!Z$8),ISNUMBER('Council Entry'!Z$9)),MAX(MIN('Council Entry'!Z160,'Council Entry'!Z$9),'Council Entry'!Z$8),'Council Entry'!Z160)),IF('Council Entry'!Z$4="Exponential",EXP(IF(AND(ISNUMBER('Council Entry'!Z$8),ISNUMBER('Council Entry'!Z$9)),MAX(MIN('Council Entry'!Z160,'Council Entry'!Z$9),'Council Entry'!Z$8),'Council Entry'!Z160)),IF(AND(ISNUMBER('Council Entry'!Z$8),ISNUMBER('Council Entry'!Z$9)),MAX(MIN('Council Entry'!Z160,'Council Entry'!Z$9),'Council Entry'!Z$8),'Council Entry'!Z160))))-'Council Entry'!Z$5)/('Council Entry'!Z$6-'Council Entry'!Z$5)),1))),"No data"))</f>
        <v/>
      </c>
      <c r="AA160" s="13">
        <f>IF('Council Entry'!AA160="","",IFERROR(MAX(0,MIN(10,ROUND(IF('Council Entry'!AA$7="Decrease Risk",10-10*((IF('Council Entry'!AA$4="Logarithm",LN(0.001+IF(AND(ISNUMBER('Council Entry'!AA$8),ISNUMBER('Council Entry'!AA$9)),MAX(MIN('Council Entry'!AA160,'Council Entry'!AA$9),'Council Entry'!AA$8),'Council Entry'!AA160)),IF('Council Entry'!AA$4="Exponential",EXP(IF(AND(ISNUMBER('Council Entry'!AA$8),ISNUMBER('Council Entry'!AA$9)),MAX(MIN('Council Entry'!AA160,'Council Entry'!AA$9),'Council Entry'!AA$8),'Council Entry'!AA160)),IF(AND(ISNUMBER('Council Entry'!AA$8),ISNUMBER('Council Entry'!AA$9)),MAX(MIN('Council Entry'!AA160,'Council Entry'!AA$9),'Council Entry'!AA$8),'Council Entry'!AA160))))-'Council Entry'!AA$5)/('Council Entry'!AA$6-'Council Entry'!AA$5),10*((IF('Council Entry'!AA$4="Logarithm",LN(0.001+IF(AND(ISNUMBER('Council Entry'!AA$8),ISNUMBER('Council Entry'!AA$9)),MAX(MIN('Council Entry'!AA160,'Council Entry'!AA$9),'Council Entry'!AA$8),'Council Entry'!AA160)),IF('Council Entry'!AA$4="Exponential",EXP(IF(AND(ISNUMBER('Council Entry'!AA$8),ISNUMBER('Council Entry'!AA$9)),MAX(MIN('Council Entry'!AA160,'Council Entry'!AA$9),'Council Entry'!AA$8),'Council Entry'!AA160)),IF(AND(ISNUMBER('Council Entry'!AA$8),ISNUMBER('Council Entry'!AA$9)),MAX(MIN('Council Entry'!AA160,'Council Entry'!AA$9),'Council Entry'!AA$8),'Council Entry'!AA160))))-'Council Entry'!AA$5)/('Council Entry'!AA$6-'Council Entry'!AA$5)),1))),"No data"))</f>
        <v/>
      </c>
      <c r="AB160" s="13">
        <f>IF('Council Entry'!AB160="","",IFERROR(MAX(0,MIN(10,ROUND(IF('Council Entry'!AB$7="Decrease Risk",10-10*((IF('Council Entry'!AB$4="Logarithm",LN(0.001+IF(AND(ISNUMBER('Council Entry'!AB$8),ISNUMBER('Council Entry'!AB$9)),MAX(MIN('Council Entry'!AB160,'Council Entry'!AB$9),'Council Entry'!AB$8),'Council Entry'!AB160)),IF('Council Entry'!AB$4="Exponential",EXP(IF(AND(ISNUMBER('Council Entry'!AB$8),ISNUMBER('Council Entry'!AB$9)),MAX(MIN('Council Entry'!AB160,'Council Entry'!AB$9),'Council Entry'!AB$8),'Council Entry'!AB160)),IF(AND(ISNUMBER('Council Entry'!AB$8),ISNUMBER('Council Entry'!AB$9)),MAX(MIN('Council Entry'!AB160,'Council Entry'!AB$9),'Council Entry'!AB$8),'Council Entry'!AB160))))-'Council Entry'!AB$5)/('Council Entry'!AB$6-'Council Entry'!AB$5),10*((IF('Council Entry'!AB$4="Logarithm",LN(0.001+IF(AND(ISNUMBER('Council Entry'!AB$8),ISNUMBER('Council Entry'!AB$9)),MAX(MIN('Council Entry'!AB160,'Council Entry'!AB$9),'Council Entry'!AB$8),'Council Entry'!AB160)),IF('Council Entry'!AB$4="Exponential",EXP(IF(AND(ISNUMBER('Council Entry'!AB$8),ISNUMBER('Council Entry'!AB$9)),MAX(MIN('Council Entry'!AB160,'Council Entry'!AB$9),'Council Entry'!AB$8),'Council Entry'!AB160)),IF(AND(ISNUMBER('Council Entry'!AB$8),ISNUMBER('Council Entry'!AB$9)),MAX(MIN('Council Entry'!AB160,'Council Entry'!AB$9),'Council Entry'!AB$8),'Council Entry'!AB160))))-'Council Entry'!AB$5)/('Council Entry'!AB$6-'Council Entry'!AB$5)),1))),"No data"))</f>
        <v/>
      </c>
      <c r="AC160" s="13">
        <f>IF('Council Entry'!AC160="","",IFERROR(MAX(0,MIN(10,ROUND(IF('Council Entry'!AC$7="Decrease Risk",10-10*((IF('Council Entry'!AC$4="Logarithm",LN(0.001+IF(AND(ISNUMBER('Council Entry'!AC$8),ISNUMBER('Council Entry'!AC$9)),MAX(MIN('Council Entry'!AC160,'Council Entry'!AC$9),'Council Entry'!AC$8),'Council Entry'!AC160)),IF('Council Entry'!AC$4="Exponential",EXP(IF(AND(ISNUMBER('Council Entry'!AC$8),ISNUMBER('Council Entry'!AC$9)),MAX(MIN('Council Entry'!AC160,'Council Entry'!AC$9),'Council Entry'!AC$8),'Council Entry'!AC160)),IF(AND(ISNUMBER('Council Entry'!AC$8),ISNUMBER('Council Entry'!AC$9)),MAX(MIN('Council Entry'!AC160,'Council Entry'!AC$9),'Council Entry'!AC$8),'Council Entry'!AC160))))-'Council Entry'!AC$5)/('Council Entry'!AC$6-'Council Entry'!AC$5),10*((IF('Council Entry'!AC$4="Logarithm",LN(0.001+IF(AND(ISNUMBER('Council Entry'!AC$8),ISNUMBER('Council Entry'!AC$9)),MAX(MIN('Council Entry'!AC160,'Council Entry'!AC$9),'Council Entry'!AC$8),'Council Entry'!AC160)),IF('Council Entry'!AC$4="Exponential",EXP(IF(AND(ISNUMBER('Council Entry'!AC$8),ISNUMBER('Council Entry'!AC$9)),MAX(MIN('Council Entry'!AC160,'Council Entry'!AC$9),'Council Entry'!AC$8),'Council Entry'!AC160)),IF(AND(ISNUMBER('Council Entry'!AC$8),ISNUMBER('Council Entry'!AC$9)),MAX(MIN('Council Entry'!AC160,'Council Entry'!AC$9),'Council Entry'!AC$8),'Council Entry'!AC160))))-'Council Entry'!AC$5)/('Council Entry'!AC$6-'Council Entry'!AC$5)),1))),"No data"))</f>
        <v/>
      </c>
      <c r="AD160" s="13">
        <f>IF('Council Entry'!AD160="","",IFERROR(MAX(0,MIN(10,ROUND(IF('Council Entry'!AD$7="Decrease Risk",10-10*((IF('Council Entry'!AD$4="Logarithm",LN(0.001+IF(AND(ISNUMBER('Council Entry'!AD$8),ISNUMBER('Council Entry'!AD$9)),MAX(MIN('Council Entry'!AD160,'Council Entry'!AD$9),'Council Entry'!AD$8),'Council Entry'!AD160)),IF('Council Entry'!AD$4="Exponential",EXP(IF(AND(ISNUMBER('Council Entry'!AD$8),ISNUMBER('Council Entry'!AD$9)),MAX(MIN('Council Entry'!AD160,'Council Entry'!AD$9),'Council Entry'!AD$8),'Council Entry'!AD160)),IF(AND(ISNUMBER('Council Entry'!AD$8),ISNUMBER('Council Entry'!AD$9)),MAX(MIN('Council Entry'!AD160,'Council Entry'!AD$9),'Council Entry'!AD$8),'Council Entry'!AD160))))-'Council Entry'!AD$5)/('Council Entry'!AD$6-'Council Entry'!AD$5),10*((IF('Council Entry'!AD$4="Logarithm",LN(0.001+IF(AND(ISNUMBER('Council Entry'!AD$8),ISNUMBER('Council Entry'!AD$9)),MAX(MIN('Council Entry'!AD160,'Council Entry'!AD$9),'Council Entry'!AD$8),'Council Entry'!AD160)),IF('Council Entry'!AD$4="Exponential",EXP(IF(AND(ISNUMBER('Council Entry'!AD$8),ISNUMBER('Council Entry'!AD$9)),MAX(MIN('Council Entry'!AD160,'Council Entry'!AD$9),'Council Entry'!AD$8),'Council Entry'!AD160)),IF(AND(ISNUMBER('Council Entry'!AD$8),ISNUMBER('Council Entry'!AD$9)),MAX(MIN('Council Entry'!AD160,'Council Entry'!AD$9),'Council Entry'!AD$8),'Council Entry'!AD160))))-'Council Entry'!AD$5)/('Council Entry'!AD$6-'Council Entry'!AD$5)),1))),"No data"))</f>
        <v/>
      </c>
      <c r="AE160" s="13">
        <f>IF('Council Entry'!AE160="","",IFERROR(MAX(0,MIN(10,ROUND(IF('Council Entry'!AE$7="Decrease Risk",10-10*((IF('Council Entry'!AE$4="Logarithm",LN(0.001+IF(AND(ISNUMBER('Council Entry'!AE$8),ISNUMBER('Council Entry'!AE$9)),MAX(MIN('Council Entry'!AE160,'Council Entry'!AE$9),'Council Entry'!AE$8),'Council Entry'!AE160)),IF('Council Entry'!AE$4="Exponential",EXP(IF(AND(ISNUMBER('Council Entry'!AE$8),ISNUMBER('Council Entry'!AE$9)),MAX(MIN('Council Entry'!AE160,'Council Entry'!AE$9),'Council Entry'!AE$8),'Council Entry'!AE160)),IF(AND(ISNUMBER('Council Entry'!AE$8),ISNUMBER('Council Entry'!AE$9)),MAX(MIN('Council Entry'!AE160,'Council Entry'!AE$9),'Council Entry'!AE$8),'Council Entry'!AE160))))-'Council Entry'!AE$5)/('Council Entry'!AE$6-'Council Entry'!AE$5),10*((IF('Council Entry'!AE$4="Logarithm",LN(0.001+IF(AND(ISNUMBER('Council Entry'!AE$8),ISNUMBER('Council Entry'!AE$9)),MAX(MIN('Council Entry'!AE160,'Council Entry'!AE$9),'Council Entry'!AE$8),'Council Entry'!AE160)),IF('Council Entry'!AE$4="Exponential",EXP(IF(AND(ISNUMBER('Council Entry'!AE$8),ISNUMBER('Council Entry'!AE$9)),MAX(MIN('Council Entry'!AE160,'Council Entry'!AE$9),'Council Entry'!AE$8),'Council Entry'!AE160)),IF(AND(ISNUMBER('Council Entry'!AE$8),ISNUMBER('Council Entry'!AE$9)),MAX(MIN('Council Entry'!AE160,'Council Entry'!AE$9),'Council Entry'!AE$8),'Council Entry'!AE160))))-'Council Entry'!AE$5)/('Council Entry'!AE$6-'Council Entry'!AE$5)),1))),"No data"))</f>
        <v/>
      </c>
      <c r="AF160" s="13">
        <f>IF('Council Entry'!AF160="","",IFERROR(MAX(0,MIN(10,ROUND(IF('Council Entry'!AF$7="Decrease Risk",10-10*((IF('Council Entry'!AF$4="Logarithm",LN(0.001+IF(AND(ISNUMBER('Council Entry'!AF$8),ISNUMBER('Council Entry'!AF$9)),MAX(MIN('Council Entry'!AF160,'Council Entry'!AF$9),'Council Entry'!AF$8),'Council Entry'!AF160)),IF('Council Entry'!AF$4="Exponential",EXP(IF(AND(ISNUMBER('Council Entry'!AF$8),ISNUMBER('Council Entry'!AF$9)),MAX(MIN('Council Entry'!AF160,'Council Entry'!AF$9),'Council Entry'!AF$8),'Council Entry'!AF160)),IF(AND(ISNUMBER('Council Entry'!AF$8),ISNUMBER('Council Entry'!AF$9)),MAX(MIN('Council Entry'!AF160,'Council Entry'!AF$9),'Council Entry'!AF$8),'Council Entry'!AF160))))-'Council Entry'!AF$5)/('Council Entry'!AF$6-'Council Entry'!AF$5),10*((IF('Council Entry'!AF$4="Logarithm",LN(0.001+IF(AND(ISNUMBER('Council Entry'!AF$8),ISNUMBER('Council Entry'!AF$9)),MAX(MIN('Council Entry'!AF160,'Council Entry'!AF$9),'Council Entry'!AF$8),'Council Entry'!AF160)),IF('Council Entry'!AF$4="Exponential",EXP(IF(AND(ISNUMBER('Council Entry'!AF$8),ISNUMBER('Council Entry'!AF$9)),MAX(MIN('Council Entry'!AF160,'Council Entry'!AF$9),'Council Entry'!AF$8),'Council Entry'!AF160)),IF(AND(ISNUMBER('Council Entry'!AF$8),ISNUMBER('Council Entry'!AF$9)),MAX(MIN('Council Entry'!AF160,'Council Entry'!AF$9),'Council Entry'!AF$8),'Council Entry'!AF160))))-'Council Entry'!AF$5)/('Council Entry'!AF$6-'Council Entry'!AF$5)),1))),"No data"))</f>
        <v/>
      </c>
      <c r="AG160" s="13">
        <f>IF('Council Entry'!AG160="","",IFERROR(MAX(0,MIN(10,ROUND(IF('Council Entry'!AG$7="Decrease Risk",10-10*((IF('Council Entry'!AG$4="Logarithm",LN(0.001+IF(AND(ISNUMBER('Council Entry'!AG$8),ISNUMBER('Council Entry'!AG$9)),MAX(MIN('Council Entry'!AG160,'Council Entry'!AG$9),'Council Entry'!AG$8),'Council Entry'!AG160)),IF('Council Entry'!AG$4="Exponential",EXP(IF(AND(ISNUMBER('Council Entry'!AG$8),ISNUMBER('Council Entry'!AG$9)),MAX(MIN('Council Entry'!AG160,'Council Entry'!AG$9),'Council Entry'!AG$8),'Council Entry'!AG160)),IF(AND(ISNUMBER('Council Entry'!AG$8),ISNUMBER('Council Entry'!AG$9)),MAX(MIN('Council Entry'!AG160,'Council Entry'!AG$9),'Council Entry'!AG$8),'Council Entry'!AG160))))-'Council Entry'!AG$5)/('Council Entry'!AG$6-'Council Entry'!AG$5),10*((IF('Council Entry'!AG$4="Logarithm",LN(0.001+IF(AND(ISNUMBER('Council Entry'!AG$8),ISNUMBER('Council Entry'!AG$9)),MAX(MIN('Council Entry'!AG160,'Council Entry'!AG$9),'Council Entry'!AG$8),'Council Entry'!AG160)),IF('Council Entry'!AG$4="Exponential",EXP(IF(AND(ISNUMBER('Council Entry'!AG$8),ISNUMBER('Council Entry'!AG$9)),MAX(MIN('Council Entry'!AG160,'Council Entry'!AG$9),'Council Entry'!AG$8),'Council Entry'!AG160)),IF(AND(ISNUMBER('Council Entry'!AG$8),ISNUMBER('Council Entry'!AG$9)),MAX(MIN('Council Entry'!AG160,'Council Entry'!AG$9),'Council Entry'!AG$8),'Council Entry'!AG160))))-'Council Entry'!AG$5)/('Council Entry'!AG$6-'Council Entry'!AG$5)),1))),"No data"))</f>
        <v/>
      </c>
      <c r="AH160" s="13">
        <f>IF('Council Entry'!AH160="","",IFERROR(MAX(0,MIN(10,ROUND(IF('Council Entry'!AH$7="Decrease Risk",10-10*((IF('Council Entry'!AH$4="Logarithm",LN(0.001+IF(AND(ISNUMBER('Council Entry'!AH$8),ISNUMBER('Council Entry'!AH$9)),MAX(MIN('Council Entry'!AH160,'Council Entry'!AH$9),'Council Entry'!AH$8),'Council Entry'!AH160)),IF('Council Entry'!AH$4="Exponential",EXP(IF(AND(ISNUMBER('Council Entry'!AH$8),ISNUMBER('Council Entry'!AH$9)),MAX(MIN('Council Entry'!AH160,'Council Entry'!AH$9),'Council Entry'!AH$8),'Council Entry'!AH160)),IF(AND(ISNUMBER('Council Entry'!AH$8),ISNUMBER('Council Entry'!AH$9)),MAX(MIN('Council Entry'!AH160,'Council Entry'!AH$9),'Council Entry'!AH$8),'Council Entry'!AH160))))-'Council Entry'!AH$5)/('Council Entry'!AH$6-'Council Entry'!AH$5),10*((IF('Council Entry'!AH$4="Logarithm",LN(0.001+IF(AND(ISNUMBER('Council Entry'!AH$8),ISNUMBER('Council Entry'!AH$9)),MAX(MIN('Council Entry'!AH160,'Council Entry'!AH$9),'Council Entry'!AH$8),'Council Entry'!AH160)),IF('Council Entry'!AH$4="Exponential",EXP(IF(AND(ISNUMBER('Council Entry'!AH$8),ISNUMBER('Council Entry'!AH$9)),MAX(MIN('Council Entry'!AH160,'Council Entry'!AH$9),'Council Entry'!AH$8),'Council Entry'!AH160)),IF(AND(ISNUMBER('Council Entry'!AH$8),ISNUMBER('Council Entry'!AH$9)),MAX(MIN('Council Entry'!AH160,'Council Entry'!AH$9),'Council Entry'!AH$8),'Council Entry'!AH160))))-'Council Entry'!AH$5)/('Council Entry'!AH$6-'Council Entry'!AH$5)),1))),"No data"))</f>
        <v/>
      </c>
      <c r="AI160" s="13">
        <f>IF('Council Entry'!AI160="","",IFERROR(MAX(0,MIN(10,ROUND(IF('Council Entry'!AI$7="Decrease Risk",10-10*((IF('Council Entry'!AI$4="Logarithm",LN(0.001+IF(AND(ISNUMBER('Council Entry'!AI$8),ISNUMBER('Council Entry'!AI$9)),MAX(MIN('Council Entry'!AI160,'Council Entry'!AI$9),'Council Entry'!AI$8),'Council Entry'!AI160)),IF('Council Entry'!AI$4="Exponential",EXP(IF(AND(ISNUMBER('Council Entry'!AI$8),ISNUMBER('Council Entry'!AI$9)),MAX(MIN('Council Entry'!AI160,'Council Entry'!AI$9),'Council Entry'!AI$8),'Council Entry'!AI160)),IF(AND(ISNUMBER('Council Entry'!AI$8),ISNUMBER('Council Entry'!AI$9)),MAX(MIN('Council Entry'!AI160,'Council Entry'!AI$9),'Council Entry'!AI$8),'Council Entry'!AI160))))-'Council Entry'!AI$5)/('Council Entry'!AI$6-'Council Entry'!AI$5),10*((IF('Council Entry'!AI$4="Logarithm",LN(0.001+IF(AND(ISNUMBER('Council Entry'!AI$8),ISNUMBER('Council Entry'!AI$9)),MAX(MIN('Council Entry'!AI160,'Council Entry'!AI$9),'Council Entry'!AI$8),'Council Entry'!AI160)),IF('Council Entry'!AI$4="Exponential",EXP(IF(AND(ISNUMBER('Council Entry'!AI$8),ISNUMBER('Council Entry'!AI$9)),MAX(MIN('Council Entry'!AI160,'Council Entry'!AI$9),'Council Entry'!AI$8),'Council Entry'!AI160)),IF(AND(ISNUMBER('Council Entry'!AI$8),ISNUMBER('Council Entry'!AI$9)),MAX(MIN('Council Entry'!AI160,'Council Entry'!AI$9),'Council Entry'!AI$8),'Council Entry'!AI160))))-'Council Entry'!AI$5)/('Council Entry'!AI$6-'Council Entry'!AI$5)),1))),"No data"))</f>
        <v/>
      </c>
      <c r="AJ160" s="13">
        <f>IF('Council Entry'!AJ160="","",IFERROR(MAX(0,MIN(10,ROUND(IF('Council Entry'!AJ$7="Decrease Risk",10-10*((IF('Council Entry'!AJ$4="Logarithm",LN(0.001+IF(AND(ISNUMBER('Council Entry'!AJ$8),ISNUMBER('Council Entry'!AJ$9)),MAX(MIN('Council Entry'!AJ160,'Council Entry'!AJ$9),'Council Entry'!AJ$8),'Council Entry'!AJ160)),IF('Council Entry'!AJ$4="Exponential",EXP(IF(AND(ISNUMBER('Council Entry'!AJ$8),ISNUMBER('Council Entry'!AJ$9)),MAX(MIN('Council Entry'!AJ160,'Council Entry'!AJ$9),'Council Entry'!AJ$8),'Council Entry'!AJ160)),IF(AND(ISNUMBER('Council Entry'!AJ$8),ISNUMBER('Council Entry'!AJ$9)),MAX(MIN('Council Entry'!AJ160,'Council Entry'!AJ$9),'Council Entry'!AJ$8),'Council Entry'!AJ160))))-'Council Entry'!AJ$5)/('Council Entry'!AJ$6-'Council Entry'!AJ$5),10*((IF('Council Entry'!AJ$4="Logarithm",LN(0.001+IF(AND(ISNUMBER('Council Entry'!AJ$8),ISNUMBER('Council Entry'!AJ$9)),MAX(MIN('Council Entry'!AJ160,'Council Entry'!AJ$9),'Council Entry'!AJ$8),'Council Entry'!AJ160)),IF('Council Entry'!AJ$4="Exponential",EXP(IF(AND(ISNUMBER('Council Entry'!AJ$8),ISNUMBER('Council Entry'!AJ$9)),MAX(MIN('Council Entry'!AJ160,'Council Entry'!AJ$9),'Council Entry'!AJ$8),'Council Entry'!AJ160)),IF(AND(ISNUMBER('Council Entry'!AJ$8),ISNUMBER('Council Entry'!AJ$9)),MAX(MIN('Council Entry'!AJ160,'Council Entry'!AJ$9),'Council Entry'!AJ$8),'Council Entry'!AJ160))))-'Council Entry'!AJ$5)/('Council Entry'!AJ$6-'Council Entry'!AJ$5)),1))),"No data"))</f>
        <v/>
      </c>
      <c r="AK160" s="13">
        <f>IF('Council Entry'!AK160="","",IFERROR(MAX(0,MIN(10,ROUND(IF('Council Entry'!AK$7="Decrease Risk",10-10*((IF('Council Entry'!AK$4="Logarithm",LN(0.001+IF(AND(ISNUMBER('Council Entry'!AK$8),ISNUMBER('Council Entry'!AK$9)),MAX(MIN('Council Entry'!AK160,'Council Entry'!AK$9),'Council Entry'!AK$8),'Council Entry'!AK160)),IF('Council Entry'!AK$4="Exponential",EXP(IF(AND(ISNUMBER('Council Entry'!AK$8),ISNUMBER('Council Entry'!AK$9)),MAX(MIN('Council Entry'!AK160,'Council Entry'!AK$9),'Council Entry'!AK$8),'Council Entry'!AK160)),IF(AND(ISNUMBER('Council Entry'!AK$8),ISNUMBER('Council Entry'!AK$9)),MAX(MIN('Council Entry'!AK160,'Council Entry'!AK$9),'Council Entry'!AK$8),'Council Entry'!AK160))))-'Council Entry'!AK$5)/('Council Entry'!AK$6-'Council Entry'!AK$5),10*((IF('Council Entry'!AK$4="Logarithm",LN(0.001+IF(AND(ISNUMBER('Council Entry'!AK$8),ISNUMBER('Council Entry'!AK$9)),MAX(MIN('Council Entry'!AK160,'Council Entry'!AK$9),'Council Entry'!AK$8),'Council Entry'!AK160)),IF('Council Entry'!AK$4="Exponential",EXP(IF(AND(ISNUMBER('Council Entry'!AK$8),ISNUMBER('Council Entry'!AK$9)),MAX(MIN('Council Entry'!AK160,'Council Entry'!AK$9),'Council Entry'!AK$8),'Council Entry'!AK160)),IF(AND(ISNUMBER('Council Entry'!AK$8),ISNUMBER('Council Entry'!AK$9)),MAX(MIN('Council Entry'!AK160,'Council Entry'!AK$9),'Council Entry'!AK$8),'Council Entry'!AK160))))-'Council Entry'!AK$5)/('Council Entry'!AK$6-'Council Entry'!AK$5)),1))),"No data"))</f>
        <v/>
      </c>
      <c r="AL160" s="13">
        <f>IF('Council Entry'!AL160="","",IFERROR(MAX(0,MIN(10,ROUND(IF('Council Entry'!AL$7="Decrease Risk",10-10*((IF('Council Entry'!AL$4="Logarithm",LN(0.001+IF(AND(ISNUMBER('Council Entry'!AL$8),ISNUMBER('Council Entry'!AL$9)),MAX(MIN('Council Entry'!AL160,'Council Entry'!AL$9),'Council Entry'!AL$8),'Council Entry'!AL160)),IF('Council Entry'!AL$4="Exponential",EXP(IF(AND(ISNUMBER('Council Entry'!AL$8),ISNUMBER('Council Entry'!AL$9)),MAX(MIN('Council Entry'!AL160,'Council Entry'!AL$9),'Council Entry'!AL$8),'Council Entry'!AL160)),IF(AND(ISNUMBER('Council Entry'!AL$8),ISNUMBER('Council Entry'!AL$9)),MAX(MIN('Council Entry'!AL160,'Council Entry'!AL$9),'Council Entry'!AL$8),'Council Entry'!AL160))))-'Council Entry'!AL$5)/('Council Entry'!AL$6-'Council Entry'!AL$5),10*((IF('Council Entry'!AL$4="Logarithm",LN(0.001+IF(AND(ISNUMBER('Council Entry'!AL$8),ISNUMBER('Council Entry'!AL$9)),MAX(MIN('Council Entry'!AL160,'Council Entry'!AL$9),'Council Entry'!AL$8),'Council Entry'!AL160)),IF('Council Entry'!AL$4="Exponential",EXP(IF(AND(ISNUMBER('Council Entry'!AL$8),ISNUMBER('Council Entry'!AL$9)),MAX(MIN('Council Entry'!AL160,'Council Entry'!AL$9),'Council Entry'!AL$8),'Council Entry'!AL160)),IF(AND(ISNUMBER('Council Entry'!AL$8),ISNUMBER('Council Entry'!AL$9)),MAX(MIN('Council Entry'!AL160,'Council Entry'!AL$9),'Council Entry'!AL$8),'Council Entry'!AL160))))-'Council Entry'!AL$5)/('Council Entry'!AL$6-'Council Entry'!AL$5)),1))),"No data"))</f>
        <v/>
      </c>
      <c r="AM160" s="13">
        <f>IF('Council Entry'!AM160="","",IFERROR(MAX(0,MIN(10,ROUND(IF('Council Entry'!AM$7="Decrease Risk",10-10*((IF('Council Entry'!AM$4="Logarithm",LN(0.001+IF(AND(ISNUMBER('Council Entry'!AM$8),ISNUMBER('Council Entry'!AM$9)),MAX(MIN('Council Entry'!AM160,'Council Entry'!AM$9),'Council Entry'!AM$8),'Council Entry'!AM160)),IF('Council Entry'!AM$4="Exponential",EXP(IF(AND(ISNUMBER('Council Entry'!AM$8),ISNUMBER('Council Entry'!AM$9)),MAX(MIN('Council Entry'!AM160,'Council Entry'!AM$9),'Council Entry'!AM$8),'Council Entry'!AM160)),IF(AND(ISNUMBER('Council Entry'!AM$8),ISNUMBER('Council Entry'!AM$9)),MAX(MIN('Council Entry'!AM160,'Council Entry'!AM$9),'Council Entry'!AM$8),'Council Entry'!AM160))))-'Council Entry'!AM$5)/('Council Entry'!AM$6-'Council Entry'!AM$5),10*((IF('Council Entry'!AM$4="Logarithm",LN(0.001+IF(AND(ISNUMBER('Council Entry'!AM$8),ISNUMBER('Council Entry'!AM$9)),MAX(MIN('Council Entry'!AM160,'Council Entry'!AM$9),'Council Entry'!AM$8),'Council Entry'!AM160)),IF('Council Entry'!AM$4="Exponential",EXP(IF(AND(ISNUMBER('Council Entry'!AM$8),ISNUMBER('Council Entry'!AM$9)),MAX(MIN('Council Entry'!AM160,'Council Entry'!AM$9),'Council Entry'!AM$8),'Council Entry'!AM160)),IF(AND(ISNUMBER('Council Entry'!AM$8),ISNUMBER('Council Entry'!AM$9)),MAX(MIN('Council Entry'!AM160,'Council Entry'!AM$9),'Council Entry'!AM$8),'Council Entry'!AM160))))-'Council Entry'!AM$5)/('Council Entry'!AM$6-'Council Entry'!AM$5)),1))),"No data"))</f>
        <v/>
      </c>
      <c r="AN160" s="13">
        <f>IF('Council Entry'!AN160="","",IFERROR(MAX(0,MIN(10,ROUND(IF('Council Entry'!AN$7="Decrease Risk",10-10*((IF('Council Entry'!AN$4="Logarithm",LN(0.001+IF(AND(ISNUMBER('Council Entry'!AN$8),ISNUMBER('Council Entry'!AN$9)),MAX(MIN('Council Entry'!AN160,'Council Entry'!AN$9),'Council Entry'!AN$8),'Council Entry'!AN160)),IF('Council Entry'!AN$4="Exponential",EXP(IF(AND(ISNUMBER('Council Entry'!AN$8),ISNUMBER('Council Entry'!AN$9)),MAX(MIN('Council Entry'!AN160,'Council Entry'!AN$9),'Council Entry'!AN$8),'Council Entry'!AN160)),IF(AND(ISNUMBER('Council Entry'!AN$8),ISNUMBER('Council Entry'!AN$9)),MAX(MIN('Council Entry'!AN160,'Council Entry'!AN$9),'Council Entry'!AN$8),'Council Entry'!AN160))))-'Council Entry'!AN$5)/('Council Entry'!AN$6-'Council Entry'!AN$5),10*((IF('Council Entry'!AN$4="Logarithm",LN(0.001+IF(AND(ISNUMBER('Council Entry'!AN$8),ISNUMBER('Council Entry'!AN$9)),MAX(MIN('Council Entry'!AN160,'Council Entry'!AN$9),'Council Entry'!AN$8),'Council Entry'!AN160)),IF('Council Entry'!AN$4="Exponential",EXP(IF(AND(ISNUMBER('Council Entry'!AN$8),ISNUMBER('Council Entry'!AN$9)),MAX(MIN('Council Entry'!AN160,'Council Entry'!AN$9),'Council Entry'!AN$8),'Council Entry'!AN160)),IF(AND(ISNUMBER('Council Entry'!AN$8),ISNUMBER('Council Entry'!AN$9)),MAX(MIN('Council Entry'!AN160,'Council Entry'!AN$9),'Council Entry'!AN$8),'Council Entry'!AN160))))-'Council Entry'!AN$5)/('Council Entry'!AN$6-'Council Entry'!AN$5)),1))),"No data"))</f>
        <v/>
      </c>
      <c r="AO160" s="13">
        <f>IF('Council Entry'!AO160="","",IFERROR(MAX(0,MIN(10,ROUND(IF('Council Entry'!AO$7="Decrease Risk",10-10*((IF('Council Entry'!AO$4="Logarithm",LN(0.001+IF(AND(ISNUMBER('Council Entry'!AO$8),ISNUMBER('Council Entry'!AO$9)),MAX(MIN('Council Entry'!AO160,'Council Entry'!AO$9),'Council Entry'!AO$8),'Council Entry'!AO160)),IF('Council Entry'!AO$4="Exponential",EXP(IF(AND(ISNUMBER('Council Entry'!AO$8),ISNUMBER('Council Entry'!AO$9)),MAX(MIN('Council Entry'!AO160,'Council Entry'!AO$9),'Council Entry'!AO$8),'Council Entry'!AO160)),IF(AND(ISNUMBER('Council Entry'!AO$8),ISNUMBER('Council Entry'!AO$9)),MAX(MIN('Council Entry'!AO160,'Council Entry'!AO$9),'Council Entry'!AO$8),'Council Entry'!AO160))))-'Council Entry'!AO$5)/('Council Entry'!AO$6-'Council Entry'!AO$5),10*((IF('Council Entry'!AO$4="Logarithm",LN(0.001+IF(AND(ISNUMBER('Council Entry'!AO$8),ISNUMBER('Council Entry'!AO$9)),MAX(MIN('Council Entry'!AO160,'Council Entry'!AO$9),'Council Entry'!AO$8),'Council Entry'!AO160)),IF('Council Entry'!AO$4="Exponential",EXP(IF(AND(ISNUMBER('Council Entry'!AO$8),ISNUMBER('Council Entry'!AO$9)),MAX(MIN('Council Entry'!AO160,'Council Entry'!AO$9),'Council Entry'!AO$8),'Council Entry'!AO160)),IF(AND(ISNUMBER('Council Entry'!AO$8),ISNUMBER('Council Entry'!AO$9)),MAX(MIN('Council Entry'!AO160,'Council Entry'!AO$9),'Council Entry'!AO$8),'Council Entry'!AO160))))-'Council Entry'!AO$5)/('Council Entry'!AO$6-'Council Entry'!AO$5)),1))),"No data"))</f>
        <v/>
      </c>
      <c r="AP160" s="13">
        <f>IF('Council Entry'!AP160="","",IFERROR(MAX(0,MIN(10,ROUND(IF('Council Entry'!AP$7="Decrease Risk",10-10*((IF('Council Entry'!AP$4="Logarithm",LN(0.001+IF(AND(ISNUMBER('Council Entry'!AP$8),ISNUMBER('Council Entry'!AP$9)),MAX(MIN('Council Entry'!AP160,'Council Entry'!AP$9),'Council Entry'!AP$8),'Council Entry'!AP160)),IF('Council Entry'!AP$4="Exponential",EXP(IF(AND(ISNUMBER('Council Entry'!AP$8),ISNUMBER('Council Entry'!AP$9)),MAX(MIN('Council Entry'!AP160,'Council Entry'!AP$9),'Council Entry'!AP$8),'Council Entry'!AP160)),IF(AND(ISNUMBER('Council Entry'!AP$8),ISNUMBER('Council Entry'!AP$9)),MAX(MIN('Council Entry'!AP160,'Council Entry'!AP$9),'Council Entry'!AP$8),'Council Entry'!AP160))))-'Council Entry'!AP$5)/('Council Entry'!AP$6-'Council Entry'!AP$5),10*((IF('Council Entry'!AP$4="Logarithm",LN(0.001+IF(AND(ISNUMBER('Council Entry'!AP$8),ISNUMBER('Council Entry'!AP$9)),MAX(MIN('Council Entry'!AP160,'Council Entry'!AP$9),'Council Entry'!AP$8),'Council Entry'!AP160)),IF('Council Entry'!AP$4="Exponential",EXP(IF(AND(ISNUMBER('Council Entry'!AP$8),ISNUMBER('Council Entry'!AP$9)),MAX(MIN('Council Entry'!AP160,'Council Entry'!AP$9),'Council Entry'!AP$8),'Council Entry'!AP160)),IF(AND(ISNUMBER('Council Entry'!AP$8),ISNUMBER('Council Entry'!AP$9)),MAX(MIN('Council Entry'!AP160,'Council Entry'!AP$9),'Council Entry'!AP$8),'Council Entry'!AP160))))-'Council Entry'!AP$5)/('Council Entry'!AP$6-'Council Entry'!AP$5)),1))),"No data"))</f>
        <v/>
      </c>
      <c r="AQ160" s="13">
        <f>IF('Council Entry'!AQ160="","",IFERROR(MAX(0,MIN(10,ROUND(IF('Council Entry'!AQ$7="Decrease Risk",10-10*((IF('Council Entry'!AQ$4="Logarithm",LN(0.001+IF(AND(ISNUMBER('Council Entry'!AQ$8),ISNUMBER('Council Entry'!AQ$9)),MAX(MIN('Council Entry'!AQ160,'Council Entry'!AQ$9),'Council Entry'!AQ$8),'Council Entry'!AQ160)),IF('Council Entry'!AQ$4="Exponential",EXP(IF(AND(ISNUMBER('Council Entry'!AQ$8),ISNUMBER('Council Entry'!AQ$9)),MAX(MIN('Council Entry'!AQ160,'Council Entry'!AQ$9),'Council Entry'!AQ$8),'Council Entry'!AQ160)),IF(AND(ISNUMBER('Council Entry'!AQ$8),ISNUMBER('Council Entry'!AQ$9)),MAX(MIN('Council Entry'!AQ160,'Council Entry'!AQ$9),'Council Entry'!AQ$8),'Council Entry'!AQ160))))-'Council Entry'!AQ$5)/('Council Entry'!AQ$6-'Council Entry'!AQ$5),10*((IF('Council Entry'!AQ$4="Logarithm",LN(0.001+IF(AND(ISNUMBER('Council Entry'!AQ$8),ISNUMBER('Council Entry'!AQ$9)),MAX(MIN('Council Entry'!AQ160,'Council Entry'!AQ$9),'Council Entry'!AQ$8),'Council Entry'!AQ160)),IF('Council Entry'!AQ$4="Exponential",EXP(IF(AND(ISNUMBER('Council Entry'!AQ$8),ISNUMBER('Council Entry'!AQ$9)),MAX(MIN('Council Entry'!AQ160,'Council Entry'!AQ$9),'Council Entry'!AQ$8),'Council Entry'!AQ160)),IF(AND(ISNUMBER('Council Entry'!AQ$8),ISNUMBER('Council Entry'!AQ$9)),MAX(MIN('Council Entry'!AQ160,'Council Entry'!AQ$9),'Council Entry'!AQ$8),'Council Entry'!AQ160))))-'Council Entry'!AQ$5)/('Council Entry'!AQ$6-'Council Entry'!AQ$5)),1))),"No data"))</f>
        <v/>
      </c>
      <c r="AR160" s="13">
        <f>IF('Council Entry'!AR160="","",IFERROR(MAX(0,MIN(10,ROUND(IF('Council Entry'!AR$7="Decrease Risk",10-10*((IF('Council Entry'!AR$4="Logarithm",LN(0.001+IF(AND(ISNUMBER('Council Entry'!AR$8),ISNUMBER('Council Entry'!AR$9)),MAX(MIN('Council Entry'!AR160,'Council Entry'!AR$9),'Council Entry'!AR$8),'Council Entry'!AR160)),IF('Council Entry'!AR$4="Exponential",EXP(IF(AND(ISNUMBER('Council Entry'!AR$8),ISNUMBER('Council Entry'!AR$9)),MAX(MIN('Council Entry'!AR160,'Council Entry'!AR$9),'Council Entry'!AR$8),'Council Entry'!AR160)),IF(AND(ISNUMBER('Council Entry'!AR$8),ISNUMBER('Council Entry'!AR$9)),MAX(MIN('Council Entry'!AR160,'Council Entry'!AR$9),'Council Entry'!AR$8),'Council Entry'!AR160))))-'Council Entry'!AR$5)/('Council Entry'!AR$6-'Council Entry'!AR$5),10*((IF('Council Entry'!AR$4="Logarithm",LN(0.001+IF(AND(ISNUMBER('Council Entry'!AR$8),ISNUMBER('Council Entry'!AR$9)),MAX(MIN('Council Entry'!AR160,'Council Entry'!AR$9),'Council Entry'!AR$8),'Council Entry'!AR160)),IF('Council Entry'!AR$4="Exponential",EXP(IF(AND(ISNUMBER('Council Entry'!AR$8),ISNUMBER('Council Entry'!AR$9)),MAX(MIN('Council Entry'!AR160,'Council Entry'!AR$9),'Council Entry'!AR$8),'Council Entry'!AR160)),IF(AND(ISNUMBER('Council Entry'!AR$8),ISNUMBER('Council Entry'!AR$9)),MAX(MIN('Council Entry'!AR160,'Council Entry'!AR$9),'Council Entry'!AR$8),'Council Entry'!AR160))))-'Council Entry'!AR$5)/('Council Entry'!AR$6-'Council Entry'!AR$5)),1))),"No data"))</f>
        <v/>
      </c>
      <c r="AS160" s="13">
        <f>IF('Council Entry'!AS160="","",IFERROR(MAX(0,MIN(10,ROUND(IF('Council Entry'!AS$7="Decrease Risk",10-10*((IF('Council Entry'!AS$4="Logarithm",LN(0.001+IF(AND(ISNUMBER('Council Entry'!AS$8),ISNUMBER('Council Entry'!AS$9)),MAX(MIN('Council Entry'!AS160,'Council Entry'!AS$9),'Council Entry'!AS$8),'Council Entry'!AS160)),IF('Council Entry'!AS$4="Exponential",EXP(IF(AND(ISNUMBER('Council Entry'!AS$8),ISNUMBER('Council Entry'!AS$9)),MAX(MIN('Council Entry'!AS160,'Council Entry'!AS$9),'Council Entry'!AS$8),'Council Entry'!AS160)),IF(AND(ISNUMBER('Council Entry'!AS$8),ISNUMBER('Council Entry'!AS$9)),MAX(MIN('Council Entry'!AS160,'Council Entry'!AS$9),'Council Entry'!AS$8),'Council Entry'!AS160))))-'Council Entry'!AS$5)/('Council Entry'!AS$6-'Council Entry'!AS$5),10*((IF('Council Entry'!AS$4="Logarithm",LN(0.001+IF(AND(ISNUMBER('Council Entry'!AS$8),ISNUMBER('Council Entry'!AS$9)),MAX(MIN('Council Entry'!AS160,'Council Entry'!AS$9),'Council Entry'!AS$8),'Council Entry'!AS160)),IF('Council Entry'!AS$4="Exponential",EXP(IF(AND(ISNUMBER('Council Entry'!AS$8),ISNUMBER('Council Entry'!AS$9)),MAX(MIN('Council Entry'!AS160,'Council Entry'!AS$9),'Council Entry'!AS$8),'Council Entry'!AS160)),IF(AND(ISNUMBER('Council Entry'!AS$8),ISNUMBER('Council Entry'!AS$9)),MAX(MIN('Council Entry'!AS160,'Council Entry'!AS$9),'Council Entry'!AS$8),'Council Entry'!AS160))))-'Council Entry'!AS$5)/('Council Entry'!AS$6-'Council Entry'!AS$5)),1))),"No data"))</f>
        <v/>
      </c>
      <c r="AT160" s="13">
        <f>IF('Council Entry'!AT160="","",IFERROR(MAX(0,MIN(10,ROUND(IF('Council Entry'!AT$7="Decrease Risk",10-10*((IF('Council Entry'!AT$4="Logarithm",LN(0.001+IF(AND(ISNUMBER('Council Entry'!AT$8),ISNUMBER('Council Entry'!AT$9)),MAX(MIN('Council Entry'!AT160,'Council Entry'!AT$9),'Council Entry'!AT$8),'Council Entry'!AT160)),IF('Council Entry'!AT$4="Exponential",EXP(IF(AND(ISNUMBER('Council Entry'!AT$8),ISNUMBER('Council Entry'!AT$9)),MAX(MIN('Council Entry'!AT160,'Council Entry'!AT$9),'Council Entry'!AT$8),'Council Entry'!AT160)),IF(AND(ISNUMBER('Council Entry'!AT$8),ISNUMBER('Council Entry'!AT$9)),MAX(MIN('Council Entry'!AT160,'Council Entry'!AT$9),'Council Entry'!AT$8),'Council Entry'!AT160))))-'Council Entry'!AT$5)/('Council Entry'!AT$6-'Council Entry'!AT$5),10*((IF('Council Entry'!AT$4="Logarithm",LN(0.001+IF(AND(ISNUMBER('Council Entry'!AT$8),ISNUMBER('Council Entry'!AT$9)),MAX(MIN('Council Entry'!AT160,'Council Entry'!AT$9),'Council Entry'!AT$8),'Council Entry'!AT160)),IF('Council Entry'!AT$4="Exponential",EXP(IF(AND(ISNUMBER('Council Entry'!AT$8),ISNUMBER('Council Entry'!AT$9)),MAX(MIN('Council Entry'!AT160,'Council Entry'!AT$9),'Council Entry'!AT$8),'Council Entry'!AT160)),IF(AND(ISNUMBER('Council Entry'!AT$8),ISNUMBER('Council Entry'!AT$9)),MAX(MIN('Council Entry'!AT160,'Council Entry'!AT$9),'Council Entry'!AT$8),'Council Entry'!AT160))))-'Council Entry'!AT$5)/('Council Entry'!AT$6-'Council Entry'!AT$5)),1))),"No data"))</f>
        <v/>
      </c>
      <c r="AU160" s="13">
        <f>IF('Council Entry'!AU160="","",IFERROR(MAX(0,MIN(10,ROUND(IF('Council Entry'!AU$7="Decrease Risk",10-10*((IF('Council Entry'!AU$4="Logarithm",LN(0.001+IF(AND(ISNUMBER('Council Entry'!AU$8),ISNUMBER('Council Entry'!AU$9)),MAX(MIN('Council Entry'!AU160,'Council Entry'!AU$9),'Council Entry'!AU$8),'Council Entry'!AU160)),IF('Council Entry'!AU$4="Exponential",EXP(IF(AND(ISNUMBER('Council Entry'!AU$8),ISNUMBER('Council Entry'!AU$9)),MAX(MIN('Council Entry'!AU160,'Council Entry'!AU$9),'Council Entry'!AU$8),'Council Entry'!AU160)),IF(AND(ISNUMBER('Council Entry'!AU$8),ISNUMBER('Council Entry'!AU$9)),MAX(MIN('Council Entry'!AU160,'Council Entry'!AU$9),'Council Entry'!AU$8),'Council Entry'!AU160))))-'Council Entry'!AU$5)/('Council Entry'!AU$6-'Council Entry'!AU$5),10*((IF('Council Entry'!AU$4="Logarithm",LN(0.001+IF(AND(ISNUMBER('Council Entry'!AU$8),ISNUMBER('Council Entry'!AU$9)),MAX(MIN('Council Entry'!AU160,'Council Entry'!AU$9),'Council Entry'!AU$8),'Council Entry'!AU160)),IF('Council Entry'!AU$4="Exponential",EXP(IF(AND(ISNUMBER('Council Entry'!AU$8),ISNUMBER('Council Entry'!AU$9)),MAX(MIN('Council Entry'!AU160,'Council Entry'!AU$9),'Council Entry'!AU$8),'Council Entry'!AU160)),IF(AND(ISNUMBER('Council Entry'!AU$8),ISNUMBER('Council Entry'!AU$9)),MAX(MIN('Council Entry'!AU160,'Council Entry'!AU$9),'Council Entry'!AU$8),'Council Entry'!AU160))))-'Council Entry'!AU$5)/('Council Entry'!AU$6-'Council Entry'!AU$5)),1))),"No data"))</f>
        <v/>
      </c>
      <c r="AV160" s="13">
        <f>IF('Council Entry'!AV160="","",IFERROR(MAX(0,MIN(10,ROUND(IF('Council Entry'!AV$7="Decrease Risk",10-10*((IF('Council Entry'!AV$4="Logarithm",LN(0.001+IF(AND(ISNUMBER('Council Entry'!AV$8),ISNUMBER('Council Entry'!AV$9)),MAX(MIN('Council Entry'!AV160,'Council Entry'!AV$9),'Council Entry'!AV$8),'Council Entry'!AV160)),IF('Council Entry'!AV$4="Exponential",EXP(IF(AND(ISNUMBER('Council Entry'!AV$8),ISNUMBER('Council Entry'!AV$9)),MAX(MIN('Council Entry'!AV160,'Council Entry'!AV$9),'Council Entry'!AV$8),'Council Entry'!AV160)),IF(AND(ISNUMBER('Council Entry'!AV$8),ISNUMBER('Council Entry'!AV$9)),MAX(MIN('Council Entry'!AV160,'Council Entry'!AV$9),'Council Entry'!AV$8),'Council Entry'!AV160))))-'Council Entry'!AV$5)/('Council Entry'!AV$6-'Council Entry'!AV$5),10*((IF('Council Entry'!AV$4="Logarithm",LN(0.001+IF(AND(ISNUMBER('Council Entry'!AV$8),ISNUMBER('Council Entry'!AV$9)),MAX(MIN('Council Entry'!AV160,'Council Entry'!AV$9),'Council Entry'!AV$8),'Council Entry'!AV160)),IF('Council Entry'!AV$4="Exponential",EXP(IF(AND(ISNUMBER('Council Entry'!AV$8),ISNUMBER('Council Entry'!AV$9)),MAX(MIN('Council Entry'!AV160,'Council Entry'!AV$9),'Council Entry'!AV$8),'Council Entry'!AV160)),IF(AND(ISNUMBER('Council Entry'!AV$8),ISNUMBER('Council Entry'!AV$9)),MAX(MIN('Council Entry'!AV160,'Council Entry'!AV$9),'Council Entry'!AV$8),'Council Entry'!AV160))))-'Council Entry'!AV$5)/('Council Entry'!AV$6-'Council Entry'!AV$5)),1))),"No data"))</f>
        <v/>
      </c>
      <c r="AW160" s="13">
        <f>IF('Council Entry'!AW160="","",IFERROR(MAX(0,MIN(10,ROUND(IF('Council Entry'!AW$7="Decrease Risk",10-10*((IF('Council Entry'!AW$4="Logarithm",LN(0.001+IF(AND(ISNUMBER('Council Entry'!AW$8),ISNUMBER('Council Entry'!AW$9)),MAX(MIN('Council Entry'!AW160,'Council Entry'!AW$9),'Council Entry'!AW$8),'Council Entry'!AW160)),IF('Council Entry'!AW$4="Exponential",EXP(IF(AND(ISNUMBER('Council Entry'!AW$8),ISNUMBER('Council Entry'!AW$9)),MAX(MIN('Council Entry'!AW160,'Council Entry'!AW$9),'Council Entry'!AW$8),'Council Entry'!AW160)),IF(AND(ISNUMBER('Council Entry'!AW$8),ISNUMBER('Council Entry'!AW$9)),MAX(MIN('Council Entry'!AW160,'Council Entry'!AW$9),'Council Entry'!AW$8),'Council Entry'!AW160))))-'Council Entry'!AW$5)/('Council Entry'!AW$6-'Council Entry'!AW$5),10*((IF('Council Entry'!AW$4="Logarithm",LN(0.001+IF(AND(ISNUMBER('Council Entry'!AW$8),ISNUMBER('Council Entry'!AW$9)),MAX(MIN('Council Entry'!AW160,'Council Entry'!AW$9),'Council Entry'!AW$8),'Council Entry'!AW160)),IF('Council Entry'!AW$4="Exponential",EXP(IF(AND(ISNUMBER('Council Entry'!AW$8),ISNUMBER('Council Entry'!AW$9)),MAX(MIN('Council Entry'!AW160,'Council Entry'!AW$9),'Council Entry'!AW$8),'Council Entry'!AW160)),IF(AND(ISNUMBER('Council Entry'!AW$8),ISNUMBER('Council Entry'!AW$9)),MAX(MIN('Council Entry'!AW160,'Council Entry'!AW$9),'Council Entry'!AW$8),'Council Entry'!AW160))))-'Council Entry'!AW$5)/('Council Entry'!AW$6-'Council Entry'!AW$5)),1))),"No data"))</f>
        <v/>
      </c>
      <c r="AX160" s="13">
        <f>IF('Council Entry'!AX160="","",IFERROR(MAX(0,MIN(10,ROUND(IF('Council Entry'!AX$7="Decrease Risk",10-10*((IF('Council Entry'!AX$4="Logarithm",LN(0.001+IF(AND(ISNUMBER('Council Entry'!AX$8),ISNUMBER('Council Entry'!AX$9)),MAX(MIN('Council Entry'!AX160,'Council Entry'!AX$9),'Council Entry'!AX$8),'Council Entry'!AX160)),IF('Council Entry'!AX$4="Exponential",EXP(IF(AND(ISNUMBER('Council Entry'!AX$8),ISNUMBER('Council Entry'!AX$9)),MAX(MIN('Council Entry'!AX160,'Council Entry'!AX$9),'Council Entry'!AX$8),'Council Entry'!AX160)),IF(AND(ISNUMBER('Council Entry'!AX$8),ISNUMBER('Council Entry'!AX$9)),MAX(MIN('Council Entry'!AX160,'Council Entry'!AX$9),'Council Entry'!AX$8),'Council Entry'!AX160))))-'Council Entry'!AX$5)/('Council Entry'!AX$6-'Council Entry'!AX$5),10*((IF('Council Entry'!AX$4="Logarithm",LN(0.001+IF(AND(ISNUMBER('Council Entry'!AX$8),ISNUMBER('Council Entry'!AX$9)),MAX(MIN('Council Entry'!AX160,'Council Entry'!AX$9),'Council Entry'!AX$8),'Council Entry'!AX160)),IF('Council Entry'!AX$4="Exponential",EXP(IF(AND(ISNUMBER('Council Entry'!AX$8),ISNUMBER('Council Entry'!AX$9)),MAX(MIN('Council Entry'!AX160,'Council Entry'!AX$9),'Council Entry'!AX$8),'Council Entry'!AX160)),IF(AND(ISNUMBER('Council Entry'!AX$8),ISNUMBER('Council Entry'!AX$9)),MAX(MIN('Council Entry'!AX160,'Council Entry'!AX$9),'Council Entry'!AX$8),'Council Entry'!AX160))))-'Council Entry'!AX$5)/('Council Entry'!AX$6-'Council Entry'!AX$5)),1))),"No data"))</f>
        <v/>
      </c>
      <c r="AY160" s="13">
        <f>IF('Council Entry'!AY160="","",IFERROR(MAX(0,MIN(10,ROUND(IF('Council Entry'!AY$7="Decrease Risk",10-10*((IF('Council Entry'!AY$4="Logarithm",LN(0.001+IF(AND(ISNUMBER('Council Entry'!AY$8),ISNUMBER('Council Entry'!AY$9)),MAX(MIN('Council Entry'!AY160,'Council Entry'!AY$9),'Council Entry'!AY$8),'Council Entry'!AY160)),IF('Council Entry'!AY$4="Exponential",EXP(IF(AND(ISNUMBER('Council Entry'!AY$8),ISNUMBER('Council Entry'!AY$9)),MAX(MIN('Council Entry'!AY160,'Council Entry'!AY$9),'Council Entry'!AY$8),'Council Entry'!AY160)),IF(AND(ISNUMBER('Council Entry'!AY$8),ISNUMBER('Council Entry'!AY$9)),MAX(MIN('Council Entry'!AY160,'Council Entry'!AY$9),'Council Entry'!AY$8),'Council Entry'!AY160))))-'Council Entry'!AY$5)/('Council Entry'!AY$6-'Council Entry'!AY$5),10*((IF('Council Entry'!AY$4="Logarithm",LN(0.001+IF(AND(ISNUMBER('Council Entry'!AY$8),ISNUMBER('Council Entry'!AY$9)),MAX(MIN('Council Entry'!AY160,'Council Entry'!AY$9),'Council Entry'!AY$8),'Council Entry'!AY160)),IF('Council Entry'!AY$4="Exponential",EXP(IF(AND(ISNUMBER('Council Entry'!AY$8),ISNUMBER('Council Entry'!AY$9)),MAX(MIN('Council Entry'!AY160,'Council Entry'!AY$9),'Council Entry'!AY$8),'Council Entry'!AY160)),IF(AND(ISNUMBER('Council Entry'!AY$8),ISNUMBER('Council Entry'!AY$9)),MAX(MIN('Council Entry'!AY160,'Council Entry'!AY$9),'Council Entry'!AY$8),'Council Entry'!AY160))))-'Council Entry'!AY$5)/('Council Entry'!AY$6-'Council Entry'!AY$5)),1))),"No data"))</f>
        <v/>
      </c>
      <c r="AZ160" s="13">
        <f>IF('Council Entry'!AZ160="","",IFERROR(MAX(0,MIN(10,ROUND(IF('Council Entry'!AZ$7="Decrease Risk",10-10*((IF('Council Entry'!AZ$4="Logarithm",LN(0.001+IF(AND(ISNUMBER('Council Entry'!AZ$8),ISNUMBER('Council Entry'!AZ$9)),MAX(MIN('Council Entry'!AZ160,'Council Entry'!AZ$9),'Council Entry'!AZ$8),'Council Entry'!AZ160)),IF('Council Entry'!AZ$4="Exponential",EXP(IF(AND(ISNUMBER('Council Entry'!AZ$8),ISNUMBER('Council Entry'!AZ$9)),MAX(MIN('Council Entry'!AZ160,'Council Entry'!AZ$9),'Council Entry'!AZ$8),'Council Entry'!AZ160)),IF(AND(ISNUMBER('Council Entry'!AZ$8),ISNUMBER('Council Entry'!AZ$9)),MAX(MIN('Council Entry'!AZ160,'Council Entry'!AZ$9),'Council Entry'!AZ$8),'Council Entry'!AZ160))))-'Council Entry'!AZ$5)/('Council Entry'!AZ$6-'Council Entry'!AZ$5),10*((IF('Council Entry'!AZ$4="Logarithm",LN(0.001+IF(AND(ISNUMBER('Council Entry'!AZ$8),ISNUMBER('Council Entry'!AZ$9)),MAX(MIN('Council Entry'!AZ160,'Council Entry'!AZ$9),'Council Entry'!AZ$8),'Council Entry'!AZ160)),IF('Council Entry'!AZ$4="Exponential",EXP(IF(AND(ISNUMBER('Council Entry'!AZ$8),ISNUMBER('Council Entry'!AZ$9)),MAX(MIN('Council Entry'!AZ160,'Council Entry'!AZ$9),'Council Entry'!AZ$8),'Council Entry'!AZ160)),IF(AND(ISNUMBER('Council Entry'!AZ$8),ISNUMBER('Council Entry'!AZ$9)),MAX(MIN('Council Entry'!AZ160,'Council Entry'!AZ$9),'Council Entry'!AZ$8),'Council Entry'!AZ160))))-'Council Entry'!AZ$5)/('Council Entry'!AZ$6-'Council Entry'!AZ$5)),1))),"No data"))</f>
        <v/>
      </c>
      <c r="BA160" s="13">
        <f>IF('Council Entry'!BA160="","",IFERROR(MAX(0,MIN(10,ROUND(IF('Council Entry'!BA$7="Decrease Risk",10-10*((IF('Council Entry'!BA$4="Logarithm",LN(0.001+IF(AND(ISNUMBER('Council Entry'!BA$8),ISNUMBER('Council Entry'!BA$9)),MAX(MIN('Council Entry'!BA160,'Council Entry'!BA$9),'Council Entry'!BA$8),'Council Entry'!BA160)),IF('Council Entry'!BA$4="Exponential",EXP(IF(AND(ISNUMBER('Council Entry'!BA$8),ISNUMBER('Council Entry'!BA$9)),MAX(MIN('Council Entry'!BA160,'Council Entry'!BA$9),'Council Entry'!BA$8),'Council Entry'!BA160)),IF(AND(ISNUMBER('Council Entry'!BA$8),ISNUMBER('Council Entry'!BA$9)),MAX(MIN('Council Entry'!BA160,'Council Entry'!BA$9),'Council Entry'!BA$8),'Council Entry'!BA160))))-'Council Entry'!BA$5)/('Council Entry'!BA$6-'Council Entry'!BA$5),10*((IF('Council Entry'!BA$4="Logarithm",LN(0.001+IF(AND(ISNUMBER('Council Entry'!BA$8),ISNUMBER('Council Entry'!BA$9)),MAX(MIN('Council Entry'!BA160,'Council Entry'!BA$9),'Council Entry'!BA$8),'Council Entry'!BA160)),IF('Council Entry'!BA$4="Exponential",EXP(IF(AND(ISNUMBER('Council Entry'!BA$8),ISNUMBER('Council Entry'!BA$9)),MAX(MIN('Council Entry'!BA160,'Council Entry'!BA$9),'Council Entry'!BA$8),'Council Entry'!BA160)),IF(AND(ISNUMBER('Council Entry'!BA$8),ISNUMBER('Council Entry'!BA$9)),MAX(MIN('Council Entry'!BA160,'Council Entry'!BA$9),'Council Entry'!BA$8),'Council Entry'!BA160))))-'Council Entry'!BA$5)/('Council Entry'!BA$6-'Council Entry'!BA$5)),1))),"No data"))</f>
        <v/>
      </c>
      <c r="BB160" s="13">
        <f>IF('Council Entry'!BB160="","",IFERROR(MAX(0,MIN(10,ROUND(IF('Council Entry'!BB$7="Decrease Risk",10-10*((IF('Council Entry'!BB$4="Logarithm",LN(0.001+IF(AND(ISNUMBER('Council Entry'!BB$8),ISNUMBER('Council Entry'!BB$9)),MAX(MIN('Council Entry'!BB160,'Council Entry'!BB$9),'Council Entry'!BB$8),'Council Entry'!BB160)),IF('Council Entry'!BB$4="Exponential",EXP(IF(AND(ISNUMBER('Council Entry'!BB$8),ISNUMBER('Council Entry'!BB$9)),MAX(MIN('Council Entry'!BB160,'Council Entry'!BB$9),'Council Entry'!BB$8),'Council Entry'!BB160)),IF(AND(ISNUMBER('Council Entry'!BB$8),ISNUMBER('Council Entry'!BB$9)),MAX(MIN('Council Entry'!BB160,'Council Entry'!BB$9),'Council Entry'!BB$8),'Council Entry'!BB160))))-'Council Entry'!BB$5)/('Council Entry'!BB$6-'Council Entry'!BB$5),10*((IF('Council Entry'!BB$4="Logarithm",LN(0.001+IF(AND(ISNUMBER('Council Entry'!BB$8),ISNUMBER('Council Entry'!BB$9)),MAX(MIN('Council Entry'!BB160,'Council Entry'!BB$9),'Council Entry'!BB$8),'Council Entry'!BB160)),IF('Council Entry'!BB$4="Exponential",EXP(IF(AND(ISNUMBER('Council Entry'!BB$8),ISNUMBER('Council Entry'!BB$9)),MAX(MIN('Council Entry'!BB160,'Council Entry'!BB$9),'Council Entry'!BB$8),'Council Entry'!BB160)),IF(AND(ISNUMBER('Council Entry'!BB$8),ISNUMBER('Council Entry'!BB$9)),MAX(MIN('Council Entry'!BB160,'Council Entry'!BB$9),'Council Entry'!BB$8),'Council Entry'!BB160))))-'Council Entry'!BB$5)/('Council Entry'!BB$6-'Council Entry'!BB$5)),1))),"No data"))</f>
        <v/>
      </c>
      <c r="BC160" s="13">
        <f>IF('Council Entry'!BC160="","",IFERROR(MAX(0,MIN(10,ROUND(IF('Council Entry'!BC$7="Decrease Risk",10-10*((IF('Council Entry'!BC$4="Logarithm",LN(0.001+IF(AND(ISNUMBER('Council Entry'!BC$8),ISNUMBER('Council Entry'!BC$9)),MAX(MIN('Council Entry'!BC160,'Council Entry'!BC$9),'Council Entry'!BC$8),'Council Entry'!BC160)),IF('Council Entry'!BC$4="Exponential",EXP(IF(AND(ISNUMBER('Council Entry'!BC$8),ISNUMBER('Council Entry'!BC$9)),MAX(MIN('Council Entry'!BC160,'Council Entry'!BC$9),'Council Entry'!BC$8),'Council Entry'!BC160)),IF(AND(ISNUMBER('Council Entry'!BC$8),ISNUMBER('Council Entry'!BC$9)),MAX(MIN('Council Entry'!BC160,'Council Entry'!BC$9),'Council Entry'!BC$8),'Council Entry'!BC160))))-'Council Entry'!BC$5)/('Council Entry'!BC$6-'Council Entry'!BC$5),10*((IF('Council Entry'!BC$4="Logarithm",LN(0.001+IF(AND(ISNUMBER('Council Entry'!BC$8),ISNUMBER('Council Entry'!BC$9)),MAX(MIN('Council Entry'!BC160,'Council Entry'!BC$9),'Council Entry'!BC$8),'Council Entry'!BC160)),IF('Council Entry'!BC$4="Exponential",EXP(IF(AND(ISNUMBER('Council Entry'!BC$8),ISNUMBER('Council Entry'!BC$9)),MAX(MIN('Council Entry'!BC160,'Council Entry'!BC$9),'Council Entry'!BC$8),'Council Entry'!BC160)),IF(AND(ISNUMBER('Council Entry'!BC$8),ISNUMBER('Council Entry'!BC$9)),MAX(MIN('Council Entry'!BC160,'Council Entry'!BC$9),'Council Entry'!BC$8),'Council Entry'!BC160))))-'Council Entry'!BC$5)/('Council Entry'!BC$6-'Council Entry'!BC$5)),1))),"No data"))</f>
        <v/>
      </c>
      <c r="BD160" s="13">
        <f>IF('Council Entry'!BD160="","",IFERROR(MAX(0,MIN(10,ROUND(IF('Council Entry'!BD$7="Decrease Risk",10-10*((IF('Council Entry'!BD$4="Logarithm",LN(0.001+IF(AND(ISNUMBER('Council Entry'!BD$8),ISNUMBER('Council Entry'!BD$9)),MAX(MIN('Council Entry'!BD160,'Council Entry'!BD$9),'Council Entry'!BD$8),'Council Entry'!BD160)),IF('Council Entry'!BD$4="Exponential",EXP(IF(AND(ISNUMBER('Council Entry'!BD$8),ISNUMBER('Council Entry'!BD$9)),MAX(MIN('Council Entry'!BD160,'Council Entry'!BD$9),'Council Entry'!BD$8),'Council Entry'!BD160)),IF(AND(ISNUMBER('Council Entry'!BD$8),ISNUMBER('Council Entry'!BD$9)),MAX(MIN('Council Entry'!BD160,'Council Entry'!BD$9),'Council Entry'!BD$8),'Council Entry'!BD160))))-'Council Entry'!BD$5)/('Council Entry'!BD$6-'Council Entry'!BD$5),10*((IF('Council Entry'!BD$4="Logarithm",LN(0.001+IF(AND(ISNUMBER('Council Entry'!BD$8),ISNUMBER('Council Entry'!BD$9)),MAX(MIN('Council Entry'!BD160,'Council Entry'!BD$9),'Council Entry'!BD$8),'Council Entry'!BD160)),IF('Council Entry'!BD$4="Exponential",EXP(IF(AND(ISNUMBER('Council Entry'!BD$8),ISNUMBER('Council Entry'!BD$9)),MAX(MIN('Council Entry'!BD160,'Council Entry'!BD$9),'Council Entry'!BD$8),'Council Entry'!BD160)),IF(AND(ISNUMBER('Council Entry'!BD$8),ISNUMBER('Council Entry'!BD$9)),MAX(MIN('Council Entry'!BD160,'Council Entry'!BD$9),'Council Entry'!BD$8),'Council Entry'!BD160))))-'Council Entry'!BD$5)/('Council Entry'!BD$6-'Council Entry'!BD$5)),1))),"No data"))</f>
        <v/>
      </c>
    </row>
    <row r="161">
      <c r="A161" t="inlineStr">
        <is>
          <t>Ruvuma</t>
        </is>
      </c>
      <c r="B161" t="inlineStr">
        <is>
          <t>Songea Municipal</t>
        </is>
      </c>
      <c r="C161" t="inlineStr">
        <is>
          <t>C074</t>
        </is>
      </c>
      <c r="D161" s="13">
        <f>IF('Council Entry'!D161="","",IFERROR(MAX(0,MIN(10,ROUND(IF('Council Entry'!D$7="Decrease Risk",10-10*((IF('Council Entry'!D$4="Logarithm",LN(0.001+IF(AND(ISNUMBER('Council Entry'!D$8),ISNUMBER('Council Entry'!D$9)),MAX(MIN('Council Entry'!D161,'Council Entry'!D$9),'Council Entry'!D$8),'Council Entry'!D161)),IF('Council Entry'!D$4="Exponential",EXP(IF(AND(ISNUMBER('Council Entry'!D$8),ISNUMBER('Council Entry'!D$9)),MAX(MIN('Council Entry'!D161,'Council Entry'!D$9),'Council Entry'!D$8),'Council Entry'!D161)),IF(AND(ISNUMBER('Council Entry'!D$8),ISNUMBER('Council Entry'!D$9)),MAX(MIN('Council Entry'!D161,'Council Entry'!D$9),'Council Entry'!D$8),'Council Entry'!D161))))-'Council Entry'!D$5)/('Council Entry'!D$6-'Council Entry'!D$5),10*((IF('Council Entry'!D$4="Logarithm",LN(0.001+IF(AND(ISNUMBER('Council Entry'!D$8),ISNUMBER('Council Entry'!D$9)),MAX(MIN('Council Entry'!D161,'Council Entry'!D$9),'Council Entry'!D$8),'Council Entry'!D161)),IF('Council Entry'!D$4="Exponential",EXP(IF(AND(ISNUMBER('Council Entry'!D$8),ISNUMBER('Council Entry'!D$9)),MAX(MIN('Council Entry'!D161,'Council Entry'!D$9),'Council Entry'!D$8),'Council Entry'!D161)),IF(AND(ISNUMBER('Council Entry'!D$8),ISNUMBER('Council Entry'!D$9)),MAX(MIN('Council Entry'!D161,'Council Entry'!D$9),'Council Entry'!D$8),'Council Entry'!D161))))-'Council Entry'!D$5)/('Council Entry'!D$6-'Council Entry'!D$5)),1))),"No data"))</f>
        <v/>
      </c>
      <c r="E161" s="13">
        <f>IF('Council Entry'!E161="","",IFERROR(MAX(0,MIN(10,ROUND(IF('Council Entry'!E$7="Decrease Risk",10-10*((IF('Council Entry'!E$4="Logarithm",LN(0.001+IF(AND(ISNUMBER('Council Entry'!E$8),ISNUMBER('Council Entry'!E$9)),MAX(MIN('Council Entry'!E161,'Council Entry'!E$9),'Council Entry'!E$8),'Council Entry'!E161)),IF('Council Entry'!E$4="Exponential",EXP(IF(AND(ISNUMBER('Council Entry'!E$8),ISNUMBER('Council Entry'!E$9)),MAX(MIN('Council Entry'!E161,'Council Entry'!E$9),'Council Entry'!E$8),'Council Entry'!E161)),IF(AND(ISNUMBER('Council Entry'!E$8),ISNUMBER('Council Entry'!E$9)),MAX(MIN('Council Entry'!E161,'Council Entry'!E$9),'Council Entry'!E$8),'Council Entry'!E161))))-'Council Entry'!E$5)/('Council Entry'!E$6-'Council Entry'!E$5),10*((IF('Council Entry'!E$4="Logarithm",LN(0.001+IF(AND(ISNUMBER('Council Entry'!E$8),ISNUMBER('Council Entry'!E$9)),MAX(MIN('Council Entry'!E161,'Council Entry'!E$9),'Council Entry'!E$8),'Council Entry'!E161)),IF('Council Entry'!E$4="Exponential",EXP(IF(AND(ISNUMBER('Council Entry'!E$8),ISNUMBER('Council Entry'!E$9)),MAX(MIN('Council Entry'!E161,'Council Entry'!E$9),'Council Entry'!E$8),'Council Entry'!E161)),IF(AND(ISNUMBER('Council Entry'!E$8),ISNUMBER('Council Entry'!E$9)),MAX(MIN('Council Entry'!E161,'Council Entry'!E$9),'Council Entry'!E$8),'Council Entry'!E161))))-'Council Entry'!E$5)/('Council Entry'!E$6-'Council Entry'!E$5)),1))),"No data"))</f>
        <v/>
      </c>
      <c r="F161" s="13">
        <f>IF('Council Entry'!F161="","",IFERROR(MAX(0,MIN(10,ROUND(IF('Council Entry'!F$7="Decrease Risk",10-10*((IF('Council Entry'!F$4="Logarithm",LN(0.001+IF(AND(ISNUMBER('Council Entry'!F$8),ISNUMBER('Council Entry'!F$9)),MAX(MIN('Council Entry'!F161,'Council Entry'!F$9),'Council Entry'!F$8),'Council Entry'!F161)),IF('Council Entry'!F$4="Exponential",EXP(IF(AND(ISNUMBER('Council Entry'!F$8),ISNUMBER('Council Entry'!F$9)),MAX(MIN('Council Entry'!F161,'Council Entry'!F$9),'Council Entry'!F$8),'Council Entry'!F161)),IF(AND(ISNUMBER('Council Entry'!F$8),ISNUMBER('Council Entry'!F$9)),MAX(MIN('Council Entry'!F161,'Council Entry'!F$9),'Council Entry'!F$8),'Council Entry'!F161))))-'Council Entry'!F$5)/('Council Entry'!F$6-'Council Entry'!F$5),10*((IF('Council Entry'!F$4="Logarithm",LN(0.001+IF(AND(ISNUMBER('Council Entry'!F$8),ISNUMBER('Council Entry'!F$9)),MAX(MIN('Council Entry'!F161,'Council Entry'!F$9),'Council Entry'!F$8),'Council Entry'!F161)),IF('Council Entry'!F$4="Exponential",EXP(IF(AND(ISNUMBER('Council Entry'!F$8),ISNUMBER('Council Entry'!F$9)),MAX(MIN('Council Entry'!F161,'Council Entry'!F$9),'Council Entry'!F$8),'Council Entry'!F161)),IF(AND(ISNUMBER('Council Entry'!F$8),ISNUMBER('Council Entry'!F$9)),MAX(MIN('Council Entry'!F161,'Council Entry'!F$9),'Council Entry'!F$8),'Council Entry'!F161))))-'Council Entry'!F$5)/('Council Entry'!F$6-'Council Entry'!F$5)),1))),"No data"))</f>
        <v/>
      </c>
      <c r="G161" s="13">
        <f>IF('Council Entry'!G161="","",IFERROR(MAX(0,MIN(10,ROUND(IF('Council Entry'!G$7="Decrease Risk",10-10*((IF('Council Entry'!G$4="Logarithm",LN(0.001+IF(AND(ISNUMBER('Council Entry'!G$8),ISNUMBER('Council Entry'!G$9)),MAX(MIN('Council Entry'!G161,'Council Entry'!G$9),'Council Entry'!G$8),'Council Entry'!G161)),IF('Council Entry'!G$4="Exponential",EXP(IF(AND(ISNUMBER('Council Entry'!G$8),ISNUMBER('Council Entry'!G$9)),MAX(MIN('Council Entry'!G161,'Council Entry'!G$9),'Council Entry'!G$8),'Council Entry'!G161)),IF(AND(ISNUMBER('Council Entry'!G$8),ISNUMBER('Council Entry'!G$9)),MAX(MIN('Council Entry'!G161,'Council Entry'!G$9),'Council Entry'!G$8),'Council Entry'!G161))))-'Council Entry'!G$5)/('Council Entry'!G$6-'Council Entry'!G$5),10*((IF('Council Entry'!G$4="Logarithm",LN(0.001+IF(AND(ISNUMBER('Council Entry'!G$8),ISNUMBER('Council Entry'!G$9)),MAX(MIN('Council Entry'!G161,'Council Entry'!G$9),'Council Entry'!G$8),'Council Entry'!G161)),IF('Council Entry'!G$4="Exponential",EXP(IF(AND(ISNUMBER('Council Entry'!G$8),ISNUMBER('Council Entry'!G$9)),MAX(MIN('Council Entry'!G161,'Council Entry'!G$9),'Council Entry'!G$8),'Council Entry'!G161)),IF(AND(ISNUMBER('Council Entry'!G$8),ISNUMBER('Council Entry'!G$9)),MAX(MIN('Council Entry'!G161,'Council Entry'!G$9),'Council Entry'!G$8),'Council Entry'!G161))))-'Council Entry'!G$5)/('Council Entry'!G$6-'Council Entry'!G$5)),1))),"No data"))</f>
        <v/>
      </c>
      <c r="H161" s="13">
        <f>IF('Council Entry'!H161="","",IFERROR(MAX(0,MIN(10,ROUND(IF('Council Entry'!H$7="Decrease Risk",10-10*((IF('Council Entry'!H$4="Logarithm",LN(0.001+IF(AND(ISNUMBER('Council Entry'!H$8),ISNUMBER('Council Entry'!H$9)),MAX(MIN('Council Entry'!H161,'Council Entry'!H$9),'Council Entry'!H$8),'Council Entry'!H161)),IF('Council Entry'!H$4="Exponential",EXP(IF(AND(ISNUMBER('Council Entry'!H$8),ISNUMBER('Council Entry'!H$9)),MAX(MIN('Council Entry'!H161,'Council Entry'!H$9),'Council Entry'!H$8),'Council Entry'!H161)),IF(AND(ISNUMBER('Council Entry'!H$8),ISNUMBER('Council Entry'!H$9)),MAX(MIN('Council Entry'!H161,'Council Entry'!H$9),'Council Entry'!H$8),'Council Entry'!H161))))-'Council Entry'!H$5)/('Council Entry'!H$6-'Council Entry'!H$5),10*((IF('Council Entry'!H$4="Logarithm",LN(0.001+IF(AND(ISNUMBER('Council Entry'!H$8),ISNUMBER('Council Entry'!H$9)),MAX(MIN('Council Entry'!H161,'Council Entry'!H$9),'Council Entry'!H$8),'Council Entry'!H161)),IF('Council Entry'!H$4="Exponential",EXP(IF(AND(ISNUMBER('Council Entry'!H$8),ISNUMBER('Council Entry'!H$9)),MAX(MIN('Council Entry'!H161,'Council Entry'!H$9),'Council Entry'!H$8),'Council Entry'!H161)),IF(AND(ISNUMBER('Council Entry'!H$8),ISNUMBER('Council Entry'!H$9)),MAX(MIN('Council Entry'!H161,'Council Entry'!H$9),'Council Entry'!H$8),'Council Entry'!H161))))-'Council Entry'!H$5)/('Council Entry'!H$6-'Council Entry'!H$5)),1))),"No data"))</f>
        <v/>
      </c>
      <c r="I161" s="13">
        <f>IF('Council Entry'!I161="","",IFERROR(MAX(0,MIN(10,ROUND(IF('Council Entry'!I$7="Decrease Risk",10-10*((IF('Council Entry'!I$4="Logarithm",LN(0.001+IF(AND(ISNUMBER('Council Entry'!I$8),ISNUMBER('Council Entry'!I$9)),MAX(MIN('Council Entry'!I161,'Council Entry'!I$9),'Council Entry'!I$8),'Council Entry'!I161)),IF('Council Entry'!I$4="Exponential",EXP(IF(AND(ISNUMBER('Council Entry'!I$8),ISNUMBER('Council Entry'!I$9)),MAX(MIN('Council Entry'!I161,'Council Entry'!I$9),'Council Entry'!I$8),'Council Entry'!I161)),IF(AND(ISNUMBER('Council Entry'!I$8),ISNUMBER('Council Entry'!I$9)),MAX(MIN('Council Entry'!I161,'Council Entry'!I$9),'Council Entry'!I$8),'Council Entry'!I161))))-'Council Entry'!I$5)/('Council Entry'!I$6-'Council Entry'!I$5),10*((IF('Council Entry'!I$4="Logarithm",LN(0.001+IF(AND(ISNUMBER('Council Entry'!I$8),ISNUMBER('Council Entry'!I$9)),MAX(MIN('Council Entry'!I161,'Council Entry'!I$9),'Council Entry'!I$8),'Council Entry'!I161)),IF('Council Entry'!I$4="Exponential",EXP(IF(AND(ISNUMBER('Council Entry'!I$8),ISNUMBER('Council Entry'!I$9)),MAX(MIN('Council Entry'!I161,'Council Entry'!I$9),'Council Entry'!I$8),'Council Entry'!I161)),IF(AND(ISNUMBER('Council Entry'!I$8),ISNUMBER('Council Entry'!I$9)),MAX(MIN('Council Entry'!I161,'Council Entry'!I$9),'Council Entry'!I$8),'Council Entry'!I161))))-'Council Entry'!I$5)/('Council Entry'!I$6-'Council Entry'!I$5)),1))),"No data"))</f>
        <v/>
      </c>
      <c r="J161" s="13">
        <f>IF('Council Entry'!J161="","",IFERROR(MAX(0,MIN(10,ROUND(IF('Council Entry'!J$7="Decrease Risk",10-10*((IF('Council Entry'!J$4="Logarithm",LN(0.001+IF(AND(ISNUMBER('Council Entry'!J$8),ISNUMBER('Council Entry'!J$9)),MAX(MIN('Council Entry'!J161,'Council Entry'!J$9),'Council Entry'!J$8),'Council Entry'!J161)),IF('Council Entry'!J$4="Exponential",EXP(IF(AND(ISNUMBER('Council Entry'!J$8),ISNUMBER('Council Entry'!J$9)),MAX(MIN('Council Entry'!J161,'Council Entry'!J$9),'Council Entry'!J$8),'Council Entry'!J161)),IF(AND(ISNUMBER('Council Entry'!J$8),ISNUMBER('Council Entry'!J$9)),MAX(MIN('Council Entry'!J161,'Council Entry'!J$9),'Council Entry'!J$8),'Council Entry'!J161))))-'Council Entry'!J$5)/('Council Entry'!J$6-'Council Entry'!J$5),10*((IF('Council Entry'!J$4="Logarithm",LN(0.001+IF(AND(ISNUMBER('Council Entry'!J$8),ISNUMBER('Council Entry'!J$9)),MAX(MIN('Council Entry'!J161,'Council Entry'!J$9),'Council Entry'!J$8),'Council Entry'!J161)),IF('Council Entry'!J$4="Exponential",EXP(IF(AND(ISNUMBER('Council Entry'!J$8),ISNUMBER('Council Entry'!J$9)),MAX(MIN('Council Entry'!J161,'Council Entry'!J$9),'Council Entry'!J$8),'Council Entry'!J161)),IF(AND(ISNUMBER('Council Entry'!J$8),ISNUMBER('Council Entry'!J$9)),MAX(MIN('Council Entry'!J161,'Council Entry'!J$9),'Council Entry'!J$8),'Council Entry'!J161))))-'Council Entry'!J$5)/('Council Entry'!J$6-'Council Entry'!J$5)),1))),"No data"))</f>
        <v/>
      </c>
      <c r="K161" s="13">
        <f>IF('Council Entry'!K161="","",IFERROR(MAX(0,MIN(10,ROUND(IF('Council Entry'!K$7="Decrease Risk",10-10*((IF('Council Entry'!K$4="Logarithm",LN(0.001+IF(AND(ISNUMBER('Council Entry'!K$8),ISNUMBER('Council Entry'!K$9)),MAX(MIN('Council Entry'!K161,'Council Entry'!K$9),'Council Entry'!K$8),'Council Entry'!K161)),IF('Council Entry'!K$4="Exponential",EXP(IF(AND(ISNUMBER('Council Entry'!K$8),ISNUMBER('Council Entry'!K$9)),MAX(MIN('Council Entry'!K161,'Council Entry'!K$9),'Council Entry'!K$8),'Council Entry'!K161)),IF(AND(ISNUMBER('Council Entry'!K$8),ISNUMBER('Council Entry'!K$9)),MAX(MIN('Council Entry'!K161,'Council Entry'!K$9),'Council Entry'!K$8),'Council Entry'!K161))))-'Council Entry'!K$5)/('Council Entry'!K$6-'Council Entry'!K$5),10*((IF('Council Entry'!K$4="Logarithm",LN(0.001+IF(AND(ISNUMBER('Council Entry'!K$8),ISNUMBER('Council Entry'!K$9)),MAX(MIN('Council Entry'!K161,'Council Entry'!K$9),'Council Entry'!K$8),'Council Entry'!K161)),IF('Council Entry'!K$4="Exponential",EXP(IF(AND(ISNUMBER('Council Entry'!K$8),ISNUMBER('Council Entry'!K$9)),MAX(MIN('Council Entry'!K161,'Council Entry'!K$9),'Council Entry'!K$8),'Council Entry'!K161)),IF(AND(ISNUMBER('Council Entry'!K$8),ISNUMBER('Council Entry'!K$9)),MAX(MIN('Council Entry'!K161,'Council Entry'!K$9),'Council Entry'!K$8),'Council Entry'!K161))))-'Council Entry'!K$5)/('Council Entry'!K$6-'Council Entry'!K$5)),1))),"No data"))</f>
        <v/>
      </c>
      <c r="L161" s="13">
        <f>IF('Council Entry'!L161="","",IFERROR(MAX(0,MIN(10,ROUND(IF('Council Entry'!L$7="Decrease Risk",10-10*((IF('Council Entry'!L$4="Logarithm",LN(0.001+IF(AND(ISNUMBER('Council Entry'!L$8),ISNUMBER('Council Entry'!L$9)),MAX(MIN('Council Entry'!L161,'Council Entry'!L$9),'Council Entry'!L$8),'Council Entry'!L161)),IF('Council Entry'!L$4="Exponential",EXP(IF(AND(ISNUMBER('Council Entry'!L$8),ISNUMBER('Council Entry'!L$9)),MAX(MIN('Council Entry'!L161,'Council Entry'!L$9),'Council Entry'!L$8),'Council Entry'!L161)),IF(AND(ISNUMBER('Council Entry'!L$8),ISNUMBER('Council Entry'!L$9)),MAX(MIN('Council Entry'!L161,'Council Entry'!L$9),'Council Entry'!L$8),'Council Entry'!L161))))-'Council Entry'!L$5)/('Council Entry'!L$6-'Council Entry'!L$5),10*((IF('Council Entry'!L$4="Logarithm",LN(0.001+IF(AND(ISNUMBER('Council Entry'!L$8),ISNUMBER('Council Entry'!L$9)),MAX(MIN('Council Entry'!L161,'Council Entry'!L$9),'Council Entry'!L$8),'Council Entry'!L161)),IF('Council Entry'!L$4="Exponential",EXP(IF(AND(ISNUMBER('Council Entry'!L$8),ISNUMBER('Council Entry'!L$9)),MAX(MIN('Council Entry'!L161,'Council Entry'!L$9),'Council Entry'!L$8),'Council Entry'!L161)),IF(AND(ISNUMBER('Council Entry'!L$8),ISNUMBER('Council Entry'!L$9)),MAX(MIN('Council Entry'!L161,'Council Entry'!L$9),'Council Entry'!L$8),'Council Entry'!L161))))-'Council Entry'!L$5)/('Council Entry'!L$6-'Council Entry'!L$5)),1))),"No data"))</f>
        <v/>
      </c>
      <c r="M161" s="13">
        <f>IF('Council Entry'!M161="","",IFERROR(MAX(0,MIN(10,ROUND(IF('Council Entry'!M$7="Decrease Risk",10-10*((IF('Council Entry'!M$4="Logarithm",LN(0.001+IF(AND(ISNUMBER('Council Entry'!M$8),ISNUMBER('Council Entry'!M$9)),MAX(MIN('Council Entry'!M161,'Council Entry'!M$9),'Council Entry'!M$8),'Council Entry'!M161)),IF('Council Entry'!M$4="Exponential",EXP(IF(AND(ISNUMBER('Council Entry'!M$8),ISNUMBER('Council Entry'!M$9)),MAX(MIN('Council Entry'!M161,'Council Entry'!M$9),'Council Entry'!M$8),'Council Entry'!M161)),IF(AND(ISNUMBER('Council Entry'!M$8),ISNUMBER('Council Entry'!M$9)),MAX(MIN('Council Entry'!M161,'Council Entry'!M$9),'Council Entry'!M$8),'Council Entry'!M161))))-'Council Entry'!M$5)/('Council Entry'!M$6-'Council Entry'!M$5),10*((IF('Council Entry'!M$4="Logarithm",LN(0.001+IF(AND(ISNUMBER('Council Entry'!M$8),ISNUMBER('Council Entry'!M$9)),MAX(MIN('Council Entry'!M161,'Council Entry'!M$9),'Council Entry'!M$8),'Council Entry'!M161)),IF('Council Entry'!M$4="Exponential",EXP(IF(AND(ISNUMBER('Council Entry'!M$8),ISNUMBER('Council Entry'!M$9)),MAX(MIN('Council Entry'!M161,'Council Entry'!M$9),'Council Entry'!M$8),'Council Entry'!M161)),IF(AND(ISNUMBER('Council Entry'!M$8),ISNUMBER('Council Entry'!M$9)),MAX(MIN('Council Entry'!M161,'Council Entry'!M$9),'Council Entry'!M$8),'Council Entry'!M161))))-'Council Entry'!M$5)/('Council Entry'!M$6-'Council Entry'!M$5)),1))),"No data"))</f>
        <v/>
      </c>
      <c r="N161" s="13">
        <f>IF('Council Entry'!N161="","",IFERROR(MAX(0,MIN(10,ROUND(IF('Council Entry'!N$7="Decrease Risk",10-10*((IF('Council Entry'!N$4="Logarithm",LN(0.001+IF(AND(ISNUMBER('Council Entry'!N$8),ISNUMBER('Council Entry'!N$9)),MAX(MIN('Council Entry'!N161,'Council Entry'!N$9),'Council Entry'!N$8),'Council Entry'!N161)),IF('Council Entry'!N$4="Exponential",EXP(IF(AND(ISNUMBER('Council Entry'!N$8),ISNUMBER('Council Entry'!N$9)),MAX(MIN('Council Entry'!N161,'Council Entry'!N$9),'Council Entry'!N$8),'Council Entry'!N161)),IF(AND(ISNUMBER('Council Entry'!N$8),ISNUMBER('Council Entry'!N$9)),MAX(MIN('Council Entry'!N161,'Council Entry'!N$9),'Council Entry'!N$8),'Council Entry'!N161))))-'Council Entry'!N$5)/('Council Entry'!N$6-'Council Entry'!N$5),10*((IF('Council Entry'!N$4="Logarithm",LN(0.001+IF(AND(ISNUMBER('Council Entry'!N$8),ISNUMBER('Council Entry'!N$9)),MAX(MIN('Council Entry'!N161,'Council Entry'!N$9),'Council Entry'!N$8),'Council Entry'!N161)),IF('Council Entry'!N$4="Exponential",EXP(IF(AND(ISNUMBER('Council Entry'!N$8),ISNUMBER('Council Entry'!N$9)),MAX(MIN('Council Entry'!N161,'Council Entry'!N$9),'Council Entry'!N$8),'Council Entry'!N161)),IF(AND(ISNUMBER('Council Entry'!N$8),ISNUMBER('Council Entry'!N$9)),MAX(MIN('Council Entry'!N161,'Council Entry'!N$9),'Council Entry'!N$8),'Council Entry'!N161))))-'Council Entry'!N$5)/('Council Entry'!N$6-'Council Entry'!N$5)),1))),"No data"))</f>
        <v/>
      </c>
      <c r="O161" s="13">
        <f>IF('Council Entry'!O161="","",IFERROR(MAX(0,MIN(10,ROUND(IF('Council Entry'!O$7="Decrease Risk",10-10*((IF('Council Entry'!O$4="Logarithm",LN(0.001+IF(AND(ISNUMBER('Council Entry'!O$8),ISNUMBER('Council Entry'!O$9)),MAX(MIN('Council Entry'!O161,'Council Entry'!O$9),'Council Entry'!O$8),'Council Entry'!O161)),IF('Council Entry'!O$4="Exponential",EXP(IF(AND(ISNUMBER('Council Entry'!O$8),ISNUMBER('Council Entry'!O$9)),MAX(MIN('Council Entry'!O161,'Council Entry'!O$9),'Council Entry'!O$8),'Council Entry'!O161)),IF(AND(ISNUMBER('Council Entry'!O$8),ISNUMBER('Council Entry'!O$9)),MAX(MIN('Council Entry'!O161,'Council Entry'!O$9),'Council Entry'!O$8),'Council Entry'!O161))))-'Council Entry'!O$5)/('Council Entry'!O$6-'Council Entry'!O$5),10*((IF('Council Entry'!O$4="Logarithm",LN(0.001+IF(AND(ISNUMBER('Council Entry'!O$8),ISNUMBER('Council Entry'!O$9)),MAX(MIN('Council Entry'!O161,'Council Entry'!O$9),'Council Entry'!O$8),'Council Entry'!O161)),IF('Council Entry'!O$4="Exponential",EXP(IF(AND(ISNUMBER('Council Entry'!O$8),ISNUMBER('Council Entry'!O$9)),MAX(MIN('Council Entry'!O161,'Council Entry'!O$9),'Council Entry'!O$8),'Council Entry'!O161)),IF(AND(ISNUMBER('Council Entry'!O$8),ISNUMBER('Council Entry'!O$9)),MAX(MIN('Council Entry'!O161,'Council Entry'!O$9),'Council Entry'!O$8),'Council Entry'!O161))))-'Council Entry'!O$5)/('Council Entry'!O$6-'Council Entry'!O$5)),1))),"No data"))</f>
        <v/>
      </c>
      <c r="P161" s="13">
        <f>IF('Council Entry'!P161="","",IFERROR(MAX(0,MIN(10,ROUND(IF('Council Entry'!P$7="Decrease Risk",10-10*((IF('Council Entry'!P$4="Logarithm",LN(0.001+IF(AND(ISNUMBER('Council Entry'!P$8),ISNUMBER('Council Entry'!P$9)),MAX(MIN('Council Entry'!P161,'Council Entry'!P$9),'Council Entry'!P$8),'Council Entry'!P161)),IF('Council Entry'!P$4="Exponential",EXP(IF(AND(ISNUMBER('Council Entry'!P$8),ISNUMBER('Council Entry'!P$9)),MAX(MIN('Council Entry'!P161,'Council Entry'!P$9),'Council Entry'!P$8),'Council Entry'!P161)),IF(AND(ISNUMBER('Council Entry'!P$8),ISNUMBER('Council Entry'!P$9)),MAX(MIN('Council Entry'!P161,'Council Entry'!P$9),'Council Entry'!P$8),'Council Entry'!P161))))-'Council Entry'!P$5)/('Council Entry'!P$6-'Council Entry'!P$5),10*((IF('Council Entry'!P$4="Logarithm",LN(0.001+IF(AND(ISNUMBER('Council Entry'!P$8),ISNUMBER('Council Entry'!P$9)),MAX(MIN('Council Entry'!P161,'Council Entry'!P$9),'Council Entry'!P$8),'Council Entry'!P161)),IF('Council Entry'!P$4="Exponential",EXP(IF(AND(ISNUMBER('Council Entry'!P$8),ISNUMBER('Council Entry'!P$9)),MAX(MIN('Council Entry'!P161,'Council Entry'!P$9),'Council Entry'!P$8),'Council Entry'!P161)),IF(AND(ISNUMBER('Council Entry'!P$8),ISNUMBER('Council Entry'!P$9)),MAX(MIN('Council Entry'!P161,'Council Entry'!P$9),'Council Entry'!P$8),'Council Entry'!P161))))-'Council Entry'!P$5)/('Council Entry'!P$6-'Council Entry'!P$5)),1))),"No data"))</f>
        <v/>
      </c>
      <c r="Q161" s="13">
        <f>IF('Council Entry'!Q161="","",IFERROR(MAX(0,MIN(10,ROUND(IF('Council Entry'!Q$7="Decrease Risk",10-10*((IF('Council Entry'!Q$4="Logarithm",LN(0.001+IF(AND(ISNUMBER('Council Entry'!Q$8),ISNUMBER('Council Entry'!Q$9)),MAX(MIN('Council Entry'!Q161,'Council Entry'!Q$9),'Council Entry'!Q$8),'Council Entry'!Q161)),IF('Council Entry'!Q$4="Exponential",EXP(IF(AND(ISNUMBER('Council Entry'!Q$8),ISNUMBER('Council Entry'!Q$9)),MAX(MIN('Council Entry'!Q161,'Council Entry'!Q$9),'Council Entry'!Q$8),'Council Entry'!Q161)),IF(AND(ISNUMBER('Council Entry'!Q$8),ISNUMBER('Council Entry'!Q$9)),MAX(MIN('Council Entry'!Q161,'Council Entry'!Q$9),'Council Entry'!Q$8),'Council Entry'!Q161))))-'Council Entry'!Q$5)/('Council Entry'!Q$6-'Council Entry'!Q$5),10*((IF('Council Entry'!Q$4="Logarithm",LN(0.001+IF(AND(ISNUMBER('Council Entry'!Q$8),ISNUMBER('Council Entry'!Q$9)),MAX(MIN('Council Entry'!Q161,'Council Entry'!Q$9),'Council Entry'!Q$8),'Council Entry'!Q161)),IF('Council Entry'!Q$4="Exponential",EXP(IF(AND(ISNUMBER('Council Entry'!Q$8),ISNUMBER('Council Entry'!Q$9)),MAX(MIN('Council Entry'!Q161,'Council Entry'!Q$9),'Council Entry'!Q$8),'Council Entry'!Q161)),IF(AND(ISNUMBER('Council Entry'!Q$8),ISNUMBER('Council Entry'!Q$9)),MAX(MIN('Council Entry'!Q161,'Council Entry'!Q$9),'Council Entry'!Q$8),'Council Entry'!Q161))))-'Council Entry'!Q$5)/('Council Entry'!Q$6-'Council Entry'!Q$5)),1))),"No data"))</f>
        <v/>
      </c>
      <c r="R161" s="13">
        <f>IF('Council Entry'!R161="","",IFERROR(MAX(0,MIN(10,ROUND(IF('Council Entry'!R$7="Decrease Risk",10-10*((IF('Council Entry'!R$4="Logarithm",LN(0.001+IF(AND(ISNUMBER('Council Entry'!R$8),ISNUMBER('Council Entry'!R$9)),MAX(MIN('Council Entry'!R161,'Council Entry'!R$9),'Council Entry'!R$8),'Council Entry'!R161)),IF('Council Entry'!R$4="Exponential",EXP(IF(AND(ISNUMBER('Council Entry'!R$8),ISNUMBER('Council Entry'!R$9)),MAX(MIN('Council Entry'!R161,'Council Entry'!R$9),'Council Entry'!R$8),'Council Entry'!R161)),IF(AND(ISNUMBER('Council Entry'!R$8),ISNUMBER('Council Entry'!R$9)),MAX(MIN('Council Entry'!R161,'Council Entry'!R$9),'Council Entry'!R$8),'Council Entry'!R161))))-'Council Entry'!R$5)/('Council Entry'!R$6-'Council Entry'!R$5),10*((IF('Council Entry'!R$4="Logarithm",LN(0.001+IF(AND(ISNUMBER('Council Entry'!R$8),ISNUMBER('Council Entry'!R$9)),MAX(MIN('Council Entry'!R161,'Council Entry'!R$9),'Council Entry'!R$8),'Council Entry'!R161)),IF('Council Entry'!R$4="Exponential",EXP(IF(AND(ISNUMBER('Council Entry'!R$8),ISNUMBER('Council Entry'!R$9)),MAX(MIN('Council Entry'!R161,'Council Entry'!R$9),'Council Entry'!R$8),'Council Entry'!R161)),IF(AND(ISNUMBER('Council Entry'!R$8),ISNUMBER('Council Entry'!R$9)),MAX(MIN('Council Entry'!R161,'Council Entry'!R$9),'Council Entry'!R$8),'Council Entry'!R161))))-'Council Entry'!R$5)/('Council Entry'!R$6-'Council Entry'!R$5)),1))),"No data"))</f>
        <v/>
      </c>
      <c r="S161" s="13">
        <f>IF('Council Entry'!S161="","",IFERROR(MAX(0,MIN(10,ROUND(IF('Council Entry'!S$7="Decrease Risk",10-10*((IF('Council Entry'!S$4="Logarithm",LN(0.001+IF(AND(ISNUMBER('Council Entry'!S$8),ISNUMBER('Council Entry'!S$9)),MAX(MIN('Council Entry'!S161,'Council Entry'!S$9),'Council Entry'!S$8),'Council Entry'!S161)),IF('Council Entry'!S$4="Exponential",EXP(IF(AND(ISNUMBER('Council Entry'!S$8),ISNUMBER('Council Entry'!S$9)),MAX(MIN('Council Entry'!S161,'Council Entry'!S$9),'Council Entry'!S$8),'Council Entry'!S161)),IF(AND(ISNUMBER('Council Entry'!S$8),ISNUMBER('Council Entry'!S$9)),MAX(MIN('Council Entry'!S161,'Council Entry'!S$9),'Council Entry'!S$8),'Council Entry'!S161))))-'Council Entry'!S$5)/('Council Entry'!S$6-'Council Entry'!S$5),10*((IF('Council Entry'!S$4="Logarithm",LN(0.001+IF(AND(ISNUMBER('Council Entry'!S$8),ISNUMBER('Council Entry'!S$9)),MAX(MIN('Council Entry'!S161,'Council Entry'!S$9),'Council Entry'!S$8),'Council Entry'!S161)),IF('Council Entry'!S$4="Exponential",EXP(IF(AND(ISNUMBER('Council Entry'!S$8),ISNUMBER('Council Entry'!S$9)),MAX(MIN('Council Entry'!S161,'Council Entry'!S$9),'Council Entry'!S$8),'Council Entry'!S161)),IF(AND(ISNUMBER('Council Entry'!S$8),ISNUMBER('Council Entry'!S$9)),MAX(MIN('Council Entry'!S161,'Council Entry'!S$9),'Council Entry'!S$8),'Council Entry'!S161))))-'Council Entry'!S$5)/('Council Entry'!S$6-'Council Entry'!S$5)),1))),"No data"))</f>
        <v/>
      </c>
      <c r="T161" s="13">
        <f>IF('Council Entry'!T161="","",IFERROR(MAX(0,MIN(10,ROUND(IF('Council Entry'!T$7="Decrease Risk",10-10*((IF('Council Entry'!T$4="Logarithm",LN(0.001+IF(AND(ISNUMBER('Council Entry'!T$8),ISNUMBER('Council Entry'!T$9)),MAX(MIN('Council Entry'!T161,'Council Entry'!T$9),'Council Entry'!T$8),'Council Entry'!T161)),IF('Council Entry'!T$4="Exponential",EXP(IF(AND(ISNUMBER('Council Entry'!T$8),ISNUMBER('Council Entry'!T$9)),MAX(MIN('Council Entry'!T161,'Council Entry'!T$9),'Council Entry'!T$8),'Council Entry'!T161)),IF(AND(ISNUMBER('Council Entry'!T$8),ISNUMBER('Council Entry'!T$9)),MAX(MIN('Council Entry'!T161,'Council Entry'!T$9),'Council Entry'!T$8),'Council Entry'!T161))))-'Council Entry'!T$5)/('Council Entry'!T$6-'Council Entry'!T$5),10*((IF('Council Entry'!T$4="Logarithm",LN(0.001+IF(AND(ISNUMBER('Council Entry'!T$8),ISNUMBER('Council Entry'!T$9)),MAX(MIN('Council Entry'!T161,'Council Entry'!T$9),'Council Entry'!T$8),'Council Entry'!T161)),IF('Council Entry'!T$4="Exponential",EXP(IF(AND(ISNUMBER('Council Entry'!T$8),ISNUMBER('Council Entry'!T$9)),MAX(MIN('Council Entry'!T161,'Council Entry'!T$9),'Council Entry'!T$8),'Council Entry'!T161)),IF(AND(ISNUMBER('Council Entry'!T$8),ISNUMBER('Council Entry'!T$9)),MAX(MIN('Council Entry'!T161,'Council Entry'!T$9),'Council Entry'!T$8),'Council Entry'!T161))))-'Council Entry'!T$5)/('Council Entry'!T$6-'Council Entry'!T$5)),1))),"No data"))</f>
        <v/>
      </c>
      <c r="U161" s="13">
        <f>IF('Council Entry'!U161="","",IFERROR(MAX(0,MIN(10,ROUND(IF('Council Entry'!U$7="Decrease Risk",10-10*((IF('Council Entry'!U$4="Logarithm",LN(0.001+IF(AND(ISNUMBER('Council Entry'!U$8),ISNUMBER('Council Entry'!U$9)),MAX(MIN('Council Entry'!U161,'Council Entry'!U$9),'Council Entry'!U$8),'Council Entry'!U161)),IF('Council Entry'!U$4="Exponential",EXP(IF(AND(ISNUMBER('Council Entry'!U$8),ISNUMBER('Council Entry'!U$9)),MAX(MIN('Council Entry'!U161,'Council Entry'!U$9),'Council Entry'!U$8),'Council Entry'!U161)),IF(AND(ISNUMBER('Council Entry'!U$8),ISNUMBER('Council Entry'!U$9)),MAX(MIN('Council Entry'!U161,'Council Entry'!U$9),'Council Entry'!U$8),'Council Entry'!U161))))-'Council Entry'!U$5)/('Council Entry'!U$6-'Council Entry'!U$5),10*((IF('Council Entry'!U$4="Logarithm",LN(0.001+IF(AND(ISNUMBER('Council Entry'!U$8),ISNUMBER('Council Entry'!U$9)),MAX(MIN('Council Entry'!U161,'Council Entry'!U$9),'Council Entry'!U$8),'Council Entry'!U161)),IF('Council Entry'!U$4="Exponential",EXP(IF(AND(ISNUMBER('Council Entry'!U$8),ISNUMBER('Council Entry'!U$9)),MAX(MIN('Council Entry'!U161,'Council Entry'!U$9),'Council Entry'!U$8),'Council Entry'!U161)),IF(AND(ISNUMBER('Council Entry'!U$8),ISNUMBER('Council Entry'!U$9)),MAX(MIN('Council Entry'!U161,'Council Entry'!U$9),'Council Entry'!U$8),'Council Entry'!U161))))-'Council Entry'!U$5)/('Council Entry'!U$6-'Council Entry'!U$5)),1))),"No data"))</f>
        <v/>
      </c>
      <c r="V161" s="13">
        <f>IF('Council Entry'!V161="","",IFERROR(MAX(0,MIN(10,ROUND(IF('Council Entry'!V$7="Decrease Risk",10-10*((IF('Council Entry'!V$4="Logarithm",LN(0.001+IF(AND(ISNUMBER('Council Entry'!V$8),ISNUMBER('Council Entry'!V$9)),MAX(MIN('Council Entry'!V161,'Council Entry'!V$9),'Council Entry'!V$8),'Council Entry'!V161)),IF('Council Entry'!V$4="Exponential",EXP(IF(AND(ISNUMBER('Council Entry'!V$8),ISNUMBER('Council Entry'!V$9)),MAX(MIN('Council Entry'!V161,'Council Entry'!V$9),'Council Entry'!V$8),'Council Entry'!V161)),IF(AND(ISNUMBER('Council Entry'!V$8),ISNUMBER('Council Entry'!V$9)),MAX(MIN('Council Entry'!V161,'Council Entry'!V$9),'Council Entry'!V$8),'Council Entry'!V161))))-'Council Entry'!V$5)/('Council Entry'!V$6-'Council Entry'!V$5),10*((IF('Council Entry'!V$4="Logarithm",LN(0.001+IF(AND(ISNUMBER('Council Entry'!V$8),ISNUMBER('Council Entry'!V$9)),MAX(MIN('Council Entry'!V161,'Council Entry'!V$9),'Council Entry'!V$8),'Council Entry'!V161)),IF('Council Entry'!V$4="Exponential",EXP(IF(AND(ISNUMBER('Council Entry'!V$8),ISNUMBER('Council Entry'!V$9)),MAX(MIN('Council Entry'!V161,'Council Entry'!V$9),'Council Entry'!V$8),'Council Entry'!V161)),IF(AND(ISNUMBER('Council Entry'!V$8),ISNUMBER('Council Entry'!V$9)),MAX(MIN('Council Entry'!V161,'Council Entry'!V$9),'Council Entry'!V$8),'Council Entry'!V161))))-'Council Entry'!V$5)/('Council Entry'!V$6-'Council Entry'!V$5)),1))),"No data"))</f>
        <v/>
      </c>
      <c r="W161" s="13">
        <f>IF('Council Entry'!W161="","",IFERROR(MAX(0,MIN(10,ROUND(IF('Council Entry'!W$7="Decrease Risk",10-10*((IF('Council Entry'!W$4="Logarithm",LN(0.001+IF(AND(ISNUMBER('Council Entry'!W$8),ISNUMBER('Council Entry'!W$9)),MAX(MIN('Council Entry'!W161,'Council Entry'!W$9),'Council Entry'!W$8),'Council Entry'!W161)),IF('Council Entry'!W$4="Exponential",EXP(IF(AND(ISNUMBER('Council Entry'!W$8),ISNUMBER('Council Entry'!W$9)),MAX(MIN('Council Entry'!W161,'Council Entry'!W$9),'Council Entry'!W$8),'Council Entry'!W161)),IF(AND(ISNUMBER('Council Entry'!W$8),ISNUMBER('Council Entry'!W$9)),MAX(MIN('Council Entry'!W161,'Council Entry'!W$9),'Council Entry'!W$8),'Council Entry'!W161))))-'Council Entry'!W$5)/('Council Entry'!W$6-'Council Entry'!W$5),10*((IF('Council Entry'!W$4="Logarithm",LN(0.001+IF(AND(ISNUMBER('Council Entry'!W$8),ISNUMBER('Council Entry'!W$9)),MAX(MIN('Council Entry'!W161,'Council Entry'!W$9),'Council Entry'!W$8),'Council Entry'!W161)),IF('Council Entry'!W$4="Exponential",EXP(IF(AND(ISNUMBER('Council Entry'!W$8),ISNUMBER('Council Entry'!W$9)),MAX(MIN('Council Entry'!W161,'Council Entry'!W$9),'Council Entry'!W$8),'Council Entry'!W161)),IF(AND(ISNUMBER('Council Entry'!W$8),ISNUMBER('Council Entry'!W$9)),MAX(MIN('Council Entry'!W161,'Council Entry'!W$9),'Council Entry'!W$8),'Council Entry'!W161))))-'Council Entry'!W$5)/('Council Entry'!W$6-'Council Entry'!W$5)),1))),"No data"))</f>
        <v/>
      </c>
      <c r="X161" s="13">
        <f>IF('Council Entry'!X161="","",IFERROR(MAX(0,MIN(10,ROUND(IF('Council Entry'!X$7="Decrease Risk",10-10*((IF('Council Entry'!X$4="Logarithm",LN(0.001+IF(AND(ISNUMBER('Council Entry'!X$8),ISNUMBER('Council Entry'!X$9)),MAX(MIN('Council Entry'!X161,'Council Entry'!X$9),'Council Entry'!X$8),'Council Entry'!X161)),IF('Council Entry'!X$4="Exponential",EXP(IF(AND(ISNUMBER('Council Entry'!X$8),ISNUMBER('Council Entry'!X$9)),MAX(MIN('Council Entry'!X161,'Council Entry'!X$9),'Council Entry'!X$8),'Council Entry'!X161)),IF(AND(ISNUMBER('Council Entry'!X$8),ISNUMBER('Council Entry'!X$9)),MAX(MIN('Council Entry'!X161,'Council Entry'!X$9),'Council Entry'!X$8),'Council Entry'!X161))))-'Council Entry'!X$5)/('Council Entry'!X$6-'Council Entry'!X$5),10*((IF('Council Entry'!X$4="Logarithm",LN(0.001+IF(AND(ISNUMBER('Council Entry'!X$8),ISNUMBER('Council Entry'!X$9)),MAX(MIN('Council Entry'!X161,'Council Entry'!X$9),'Council Entry'!X$8),'Council Entry'!X161)),IF('Council Entry'!X$4="Exponential",EXP(IF(AND(ISNUMBER('Council Entry'!X$8),ISNUMBER('Council Entry'!X$9)),MAX(MIN('Council Entry'!X161,'Council Entry'!X$9),'Council Entry'!X$8),'Council Entry'!X161)),IF(AND(ISNUMBER('Council Entry'!X$8),ISNUMBER('Council Entry'!X$9)),MAX(MIN('Council Entry'!X161,'Council Entry'!X$9),'Council Entry'!X$8),'Council Entry'!X161))))-'Council Entry'!X$5)/('Council Entry'!X$6-'Council Entry'!X$5)),1))),"No data"))</f>
        <v/>
      </c>
      <c r="Y161" s="13">
        <f>IF('Council Entry'!Y161="","",IFERROR(MAX(0,MIN(10,ROUND(IF('Council Entry'!Y$7="Decrease Risk",10-10*((IF('Council Entry'!Y$4="Logarithm",LN(0.001+IF(AND(ISNUMBER('Council Entry'!Y$8),ISNUMBER('Council Entry'!Y$9)),MAX(MIN('Council Entry'!Y161,'Council Entry'!Y$9),'Council Entry'!Y$8),'Council Entry'!Y161)),IF('Council Entry'!Y$4="Exponential",EXP(IF(AND(ISNUMBER('Council Entry'!Y$8),ISNUMBER('Council Entry'!Y$9)),MAX(MIN('Council Entry'!Y161,'Council Entry'!Y$9),'Council Entry'!Y$8),'Council Entry'!Y161)),IF(AND(ISNUMBER('Council Entry'!Y$8),ISNUMBER('Council Entry'!Y$9)),MAX(MIN('Council Entry'!Y161,'Council Entry'!Y$9),'Council Entry'!Y$8),'Council Entry'!Y161))))-'Council Entry'!Y$5)/('Council Entry'!Y$6-'Council Entry'!Y$5),10*((IF('Council Entry'!Y$4="Logarithm",LN(0.001+IF(AND(ISNUMBER('Council Entry'!Y$8),ISNUMBER('Council Entry'!Y$9)),MAX(MIN('Council Entry'!Y161,'Council Entry'!Y$9),'Council Entry'!Y$8),'Council Entry'!Y161)),IF('Council Entry'!Y$4="Exponential",EXP(IF(AND(ISNUMBER('Council Entry'!Y$8),ISNUMBER('Council Entry'!Y$9)),MAX(MIN('Council Entry'!Y161,'Council Entry'!Y$9),'Council Entry'!Y$8),'Council Entry'!Y161)),IF(AND(ISNUMBER('Council Entry'!Y$8),ISNUMBER('Council Entry'!Y$9)),MAX(MIN('Council Entry'!Y161,'Council Entry'!Y$9),'Council Entry'!Y$8),'Council Entry'!Y161))))-'Council Entry'!Y$5)/('Council Entry'!Y$6-'Council Entry'!Y$5)),1))),"No data"))</f>
        <v/>
      </c>
      <c r="Z161" s="13">
        <f>IF('Council Entry'!Z161="","",IFERROR(MAX(0,MIN(10,ROUND(IF('Council Entry'!Z$7="Decrease Risk",10-10*((IF('Council Entry'!Z$4="Logarithm",LN(0.001+IF(AND(ISNUMBER('Council Entry'!Z$8),ISNUMBER('Council Entry'!Z$9)),MAX(MIN('Council Entry'!Z161,'Council Entry'!Z$9),'Council Entry'!Z$8),'Council Entry'!Z161)),IF('Council Entry'!Z$4="Exponential",EXP(IF(AND(ISNUMBER('Council Entry'!Z$8),ISNUMBER('Council Entry'!Z$9)),MAX(MIN('Council Entry'!Z161,'Council Entry'!Z$9),'Council Entry'!Z$8),'Council Entry'!Z161)),IF(AND(ISNUMBER('Council Entry'!Z$8),ISNUMBER('Council Entry'!Z$9)),MAX(MIN('Council Entry'!Z161,'Council Entry'!Z$9),'Council Entry'!Z$8),'Council Entry'!Z161))))-'Council Entry'!Z$5)/('Council Entry'!Z$6-'Council Entry'!Z$5),10*((IF('Council Entry'!Z$4="Logarithm",LN(0.001+IF(AND(ISNUMBER('Council Entry'!Z$8),ISNUMBER('Council Entry'!Z$9)),MAX(MIN('Council Entry'!Z161,'Council Entry'!Z$9),'Council Entry'!Z$8),'Council Entry'!Z161)),IF('Council Entry'!Z$4="Exponential",EXP(IF(AND(ISNUMBER('Council Entry'!Z$8),ISNUMBER('Council Entry'!Z$9)),MAX(MIN('Council Entry'!Z161,'Council Entry'!Z$9),'Council Entry'!Z$8),'Council Entry'!Z161)),IF(AND(ISNUMBER('Council Entry'!Z$8),ISNUMBER('Council Entry'!Z$9)),MAX(MIN('Council Entry'!Z161,'Council Entry'!Z$9),'Council Entry'!Z$8),'Council Entry'!Z161))))-'Council Entry'!Z$5)/('Council Entry'!Z$6-'Council Entry'!Z$5)),1))),"No data"))</f>
        <v/>
      </c>
      <c r="AA161" s="13">
        <f>IF('Council Entry'!AA161="","",IFERROR(MAX(0,MIN(10,ROUND(IF('Council Entry'!AA$7="Decrease Risk",10-10*((IF('Council Entry'!AA$4="Logarithm",LN(0.001+IF(AND(ISNUMBER('Council Entry'!AA$8),ISNUMBER('Council Entry'!AA$9)),MAX(MIN('Council Entry'!AA161,'Council Entry'!AA$9),'Council Entry'!AA$8),'Council Entry'!AA161)),IF('Council Entry'!AA$4="Exponential",EXP(IF(AND(ISNUMBER('Council Entry'!AA$8),ISNUMBER('Council Entry'!AA$9)),MAX(MIN('Council Entry'!AA161,'Council Entry'!AA$9),'Council Entry'!AA$8),'Council Entry'!AA161)),IF(AND(ISNUMBER('Council Entry'!AA$8),ISNUMBER('Council Entry'!AA$9)),MAX(MIN('Council Entry'!AA161,'Council Entry'!AA$9),'Council Entry'!AA$8),'Council Entry'!AA161))))-'Council Entry'!AA$5)/('Council Entry'!AA$6-'Council Entry'!AA$5),10*((IF('Council Entry'!AA$4="Logarithm",LN(0.001+IF(AND(ISNUMBER('Council Entry'!AA$8),ISNUMBER('Council Entry'!AA$9)),MAX(MIN('Council Entry'!AA161,'Council Entry'!AA$9),'Council Entry'!AA$8),'Council Entry'!AA161)),IF('Council Entry'!AA$4="Exponential",EXP(IF(AND(ISNUMBER('Council Entry'!AA$8),ISNUMBER('Council Entry'!AA$9)),MAX(MIN('Council Entry'!AA161,'Council Entry'!AA$9),'Council Entry'!AA$8),'Council Entry'!AA161)),IF(AND(ISNUMBER('Council Entry'!AA$8),ISNUMBER('Council Entry'!AA$9)),MAX(MIN('Council Entry'!AA161,'Council Entry'!AA$9),'Council Entry'!AA$8),'Council Entry'!AA161))))-'Council Entry'!AA$5)/('Council Entry'!AA$6-'Council Entry'!AA$5)),1))),"No data"))</f>
        <v/>
      </c>
      <c r="AB161" s="13">
        <f>IF('Council Entry'!AB161="","",IFERROR(MAX(0,MIN(10,ROUND(IF('Council Entry'!AB$7="Decrease Risk",10-10*((IF('Council Entry'!AB$4="Logarithm",LN(0.001+IF(AND(ISNUMBER('Council Entry'!AB$8),ISNUMBER('Council Entry'!AB$9)),MAX(MIN('Council Entry'!AB161,'Council Entry'!AB$9),'Council Entry'!AB$8),'Council Entry'!AB161)),IF('Council Entry'!AB$4="Exponential",EXP(IF(AND(ISNUMBER('Council Entry'!AB$8),ISNUMBER('Council Entry'!AB$9)),MAX(MIN('Council Entry'!AB161,'Council Entry'!AB$9),'Council Entry'!AB$8),'Council Entry'!AB161)),IF(AND(ISNUMBER('Council Entry'!AB$8),ISNUMBER('Council Entry'!AB$9)),MAX(MIN('Council Entry'!AB161,'Council Entry'!AB$9),'Council Entry'!AB$8),'Council Entry'!AB161))))-'Council Entry'!AB$5)/('Council Entry'!AB$6-'Council Entry'!AB$5),10*((IF('Council Entry'!AB$4="Logarithm",LN(0.001+IF(AND(ISNUMBER('Council Entry'!AB$8),ISNUMBER('Council Entry'!AB$9)),MAX(MIN('Council Entry'!AB161,'Council Entry'!AB$9),'Council Entry'!AB$8),'Council Entry'!AB161)),IF('Council Entry'!AB$4="Exponential",EXP(IF(AND(ISNUMBER('Council Entry'!AB$8),ISNUMBER('Council Entry'!AB$9)),MAX(MIN('Council Entry'!AB161,'Council Entry'!AB$9),'Council Entry'!AB$8),'Council Entry'!AB161)),IF(AND(ISNUMBER('Council Entry'!AB$8),ISNUMBER('Council Entry'!AB$9)),MAX(MIN('Council Entry'!AB161,'Council Entry'!AB$9),'Council Entry'!AB$8),'Council Entry'!AB161))))-'Council Entry'!AB$5)/('Council Entry'!AB$6-'Council Entry'!AB$5)),1))),"No data"))</f>
        <v/>
      </c>
      <c r="AC161" s="13">
        <f>IF('Council Entry'!AC161="","",IFERROR(MAX(0,MIN(10,ROUND(IF('Council Entry'!AC$7="Decrease Risk",10-10*((IF('Council Entry'!AC$4="Logarithm",LN(0.001+IF(AND(ISNUMBER('Council Entry'!AC$8),ISNUMBER('Council Entry'!AC$9)),MAX(MIN('Council Entry'!AC161,'Council Entry'!AC$9),'Council Entry'!AC$8),'Council Entry'!AC161)),IF('Council Entry'!AC$4="Exponential",EXP(IF(AND(ISNUMBER('Council Entry'!AC$8),ISNUMBER('Council Entry'!AC$9)),MAX(MIN('Council Entry'!AC161,'Council Entry'!AC$9),'Council Entry'!AC$8),'Council Entry'!AC161)),IF(AND(ISNUMBER('Council Entry'!AC$8),ISNUMBER('Council Entry'!AC$9)),MAX(MIN('Council Entry'!AC161,'Council Entry'!AC$9),'Council Entry'!AC$8),'Council Entry'!AC161))))-'Council Entry'!AC$5)/('Council Entry'!AC$6-'Council Entry'!AC$5),10*((IF('Council Entry'!AC$4="Logarithm",LN(0.001+IF(AND(ISNUMBER('Council Entry'!AC$8),ISNUMBER('Council Entry'!AC$9)),MAX(MIN('Council Entry'!AC161,'Council Entry'!AC$9),'Council Entry'!AC$8),'Council Entry'!AC161)),IF('Council Entry'!AC$4="Exponential",EXP(IF(AND(ISNUMBER('Council Entry'!AC$8),ISNUMBER('Council Entry'!AC$9)),MAX(MIN('Council Entry'!AC161,'Council Entry'!AC$9),'Council Entry'!AC$8),'Council Entry'!AC161)),IF(AND(ISNUMBER('Council Entry'!AC$8),ISNUMBER('Council Entry'!AC$9)),MAX(MIN('Council Entry'!AC161,'Council Entry'!AC$9),'Council Entry'!AC$8),'Council Entry'!AC161))))-'Council Entry'!AC$5)/('Council Entry'!AC$6-'Council Entry'!AC$5)),1))),"No data"))</f>
        <v/>
      </c>
      <c r="AD161" s="13">
        <f>IF('Council Entry'!AD161="","",IFERROR(MAX(0,MIN(10,ROUND(IF('Council Entry'!AD$7="Decrease Risk",10-10*((IF('Council Entry'!AD$4="Logarithm",LN(0.001+IF(AND(ISNUMBER('Council Entry'!AD$8),ISNUMBER('Council Entry'!AD$9)),MAX(MIN('Council Entry'!AD161,'Council Entry'!AD$9),'Council Entry'!AD$8),'Council Entry'!AD161)),IF('Council Entry'!AD$4="Exponential",EXP(IF(AND(ISNUMBER('Council Entry'!AD$8),ISNUMBER('Council Entry'!AD$9)),MAX(MIN('Council Entry'!AD161,'Council Entry'!AD$9),'Council Entry'!AD$8),'Council Entry'!AD161)),IF(AND(ISNUMBER('Council Entry'!AD$8),ISNUMBER('Council Entry'!AD$9)),MAX(MIN('Council Entry'!AD161,'Council Entry'!AD$9),'Council Entry'!AD$8),'Council Entry'!AD161))))-'Council Entry'!AD$5)/('Council Entry'!AD$6-'Council Entry'!AD$5),10*((IF('Council Entry'!AD$4="Logarithm",LN(0.001+IF(AND(ISNUMBER('Council Entry'!AD$8),ISNUMBER('Council Entry'!AD$9)),MAX(MIN('Council Entry'!AD161,'Council Entry'!AD$9),'Council Entry'!AD$8),'Council Entry'!AD161)),IF('Council Entry'!AD$4="Exponential",EXP(IF(AND(ISNUMBER('Council Entry'!AD$8),ISNUMBER('Council Entry'!AD$9)),MAX(MIN('Council Entry'!AD161,'Council Entry'!AD$9),'Council Entry'!AD$8),'Council Entry'!AD161)),IF(AND(ISNUMBER('Council Entry'!AD$8),ISNUMBER('Council Entry'!AD$9)),MAX(MIN('Council Entry'!AD161,'Council Entry'!AD$9),'Council Entry'!AD$8),'Council Entry'!AD161))))-'Council Entry'!AD$5)/('Council Entry'!AD$6-'Council Entry'!AD$5)),1))),"No data"))</f>
        <v/>
      </c>
      <c r="AE161" s="13">
        <f>IF('Council Entry'!AE161="","",IFERROR(MAX(0,MIN(10,ROUND(IF('Council Entry'!AE$7="Decrease Risk",10-10*((IF('Council Entry'!AE$4="Logarithm",LN(0.001+IF(AND(ISNUMBER('Council Entry'!AE$8),ISNUMBER('Council Entry'!AE$9)),MAX(MIN('Council Entry'!AE161,'Council Entry'!AE$9),'Council Entry'!AE$8),'Council Entry'!AE161)),IF('Council Entry'!AE$4="Exponential",EXP(IF(AND(ISNUMBER('Council Entry'!AE$8),ISNUMBER('Council Entry'!AE$9)),MAX(MIN('Council Entry'!AE161,'Council Entry'!AE$9),'Council Entry'!AE$8),'Council Entry'!AE161)),IF(AND(ISNUMBER('Council Entry'!AE$8),ISNUMBER('Council Entry'!AE$9)),MAX(MIN('Council Entry'!AE161,'Council Entry'!AE$9),'Council Entry'!AE$8),'Council Entry'!AE161))))-'Council Entry'!AE$5)/('Council Entry'!AE$6-'Council Entry'!AE$5),10*((IF('Council Entry'!AE$4="Logarithm",LN(0.001+IF(AND(ISNUMBER('Council Entry'!AE$8),ISNUMBER('Council Entry'!AE$9)),MAX(MIN('Council Entry'!AE161,'Council Entry'!AE$9),'Council Entry'!AE$8),'Council Entry'!AE161)),IF('Council Entry'!AE$4="Exponential",EXP(IF(AND(ISNUMBER('Council Entry'!AE$8),ISNUMBER('Council Entry'!AE$9)),MAX(MIN('Council Entry'!AE161,'Council Entry'!AE$9),'Council Entry'!AE$8),'Council Entry'!AE161)),IF(AND(ISNUMBER('Council Entry'!AE$8),ISNUMBER('Council Entry'!AE$9)),MAX(MIN('Council Entry'!AE161,'Council Entry'!AE$9),'Council Entry'!AE$8),'Council Entry'!AE161))))-'Council Entry'!AE$5)/('Council Entry'!AE$6-'Council Entry'!AE$5)),1))),"No data"))</f>
        <v/>
      </c>
      <c r="AF161" s="13">
        <f>IF('Council Entry'!AF161="","",IFERROR(MAX(0,MIN(10,ROUND(IF('Council Entry'!AF$7="Decrease Risk",10-10*((IF('Council Entry'!AF$4="Logarithm",LN(0.001+IF(AND(ISNUMBER('Council Entry'!AF$8),ISNUMBER('Council Entry'!AF$9)),MAX(MIN('Council Entry'!AF161,'Council Entry'!AF$9),'Council Entry'!AF$8),'Council Entry'!AF161)),IF('Council Entry'!AF$4="Exponential",EXP(IF(AND(ISNUMBER('Council Entry'!AF$8),ISNUMBER('Council Entry'!AF$9)),MAX(MIN('Council Entry'!AF161,'Council Entry'!AF$9),'Council Entry'!AF$8),'Council Entry'!AF161)),IF(AND(ISNUMBER('Council Entry'!AF$8),ISNUMBER('Council Entry'!AF$9)),MAX(MIN('Council Entry'!AF161,'Council Entry'!AF$9),'Council Entry'!AF$8),'Council Entry'!AF161))))-'Council Entry'!AF$5)/('Council Entry'!AF$6-'Council Entry'!AF$5),10*((IF('Council Entry'!AF$4="Logarithm",LN(0.001+IF(AND(ISNUMBER('Council Entry'!AF$8),ISNUMBER('Council Entry'!AF$9)),MAX(MIN('Council Entry'!AF161,'Council Entry'!AF$9),'Council Entry'!AF$8),'Council Entry'!AF161)),IF('Council Entry'!AF$4="Exponential",EXP(IF(AND(ISNUMBER('Council Entry'!AF$8),ISNUMBER('Council Entry'!AF$9)),MAX(MIN('Council Entry'!AF161,'Council Entry'!AF$9),'Council Entry'!AF$8),'Council Entry'!AF161)),IF(AND(ISNUMBER('Council Entry'!AF$8),ISNUMBER('Council Entry'!AF$9)),MAX(MIN('Council Entry'!AF161,'Council Entry'!AF$9),'Council Entry'!AF$8),'Council Entry'!AF161))))-'Council Entry'!AF$5)/('Council Entry'!AF$6-'Council Entry'!AF$5)),1))),"No data"))</f>
        <v/>
      </c>
      <c r="AG161" s="13">
        <f>IF('Council Entry'!AG161="","",IFERROR(MAX(0,MIN(10,ROUND(IF('Council Entry'!AG$7="Decrease Risk",10-10*((IF('Council Entry'!AG$4="Logarithm",LN(0.001+IF(AND(ISNUMBER('Council Entry'!AG$8),ISNUMBER('Council Entry'!AG$9)),MAX(MIN('Council Entry'!AG161,'Council Entry'!AG$9),'Council Entry'!AG$8),'Council Entry'!AG161)),IF('Council Entry'!AG$4="Exponential",EXP(IF(AND(ISNUMBER('Council Entry'!AG$8),ISNUMBER('Council Entry'!AG$9)),MAX(MIN('Council Entry'!AG161,'Council Entry'!AG$9),'Council Entry'!AG$8),'Council Entry'!AG161)),IF(AND(ISNUMBER('Council Entry'!AG$8),ISNUMBER('Council Entry'!AG$9)),MAX(MIN('Council Entry'!AG161,'Council Entry'!AG$9),'Council Entry'!AG$8),'Council Entry'!AG161))))-'Council Entry'!AG$5)/('Council Entry'!AG$6-'Council Entry'!AG$5),10*((IF('Council Entry'!AG$4="Logarithm",LN(0.001+IF(AND(ISNUMBER('Council Entry'!AG$8),ISNUMBER('Council Entry'!AG$9)),MAX(MIN('Council Entry'!AG161,'Council Entry'!AG$9),'Council Entry'!AG$8),'Council Entry'!AG161)),IF('Council Entry'!AG$4="Exponential",EXP(IF(AND(ISNUMBER('Council Entry'!AG$8),ISNUMBER('Council Entry'!AG$9)),MAX(MIN('Council Entry'!AG161,'Council Entry'!AG$9),'Council Entry'!AG$8),'Council Entry'!AG161)),IF(AND(ISNUMBER('Council Entry'!AG$8),ISNUMBER('Council Entry'!AG$9)),MAX(MIN('Council Entry'!AG161,'Council Entry'!AG$9),'Council Entry'!AG$8),'Council Entry'!AG161))))-'Council Entry'!AG$5)/('Council Entry'!AG$6-'Council Entry'!AG$5)),1))),"No data"))</f>
        <v/>
      </c>
      <c r="AH161" s="13">
        <f>IF('Council Entry'!AH161="","",IFERROR(MAX(0,MIN(10,ROUND(IF('Council Entry'!AH$7="Decrease Risk",10-10*((IF('Council Entry'!AH$4="Logarithm",LN(0.001+IF(AND(ISNUMBER('Council Entry'!AH$8),ISNUMBER('Council Entry'!AH$9)),MAX(MIN('Council Entry'!AH161,'Council Entry'!AH$9),'Council Entry'!AH$8),'Council Entry'!AH161)),IF('Council Entry'!AH$4="Exponential",EXP(IF(AND(ISNUMBER('Council Entry'!AH$8),ISNUMBER('Council Entry'!AH$9)),MAX(MIN('Council Entry'!AH161,'Council Entry'!AH$9),'Council Entry'!AH$8),'Council Entry'!AH161)),IF(AND(ISNUMBER('Council Entry'!AH$8),ISNUMBER('Council Entry'!AH$9)),MAX(MIN('Council Entry'!AH161,'Council Entry'!AH$9),'Council Entry'!AH$8),'Council Entry'!AH161))))-'Council Entry'!AH$5)/('Council Entry'!AH$6-'Council Entry'!AH$5),10*((IF('Council Entry'!AH$4="Logarithm",LN(0.001+IF(AND(ISNUMBER('Council Entry'!AH$8),ISNUMBER('Council Entry'!AH$9)),MAX(MIN('Council Entry'!AH161,'Council Entry'!AH$9),'Council Entry'!AH$8),'Council Entry'!AH161)),IF('Council Entry'!AH$4="Exponential",EXP(IF(AND(ISNUMBER('Council Entry'!AH$8),ISNUMBER('Council Entry'!AH$9)),MAX(MIN('Council Entry'!AH161,'Council Entry'!AH$9),'Council Entry'!AH$8),'Council Entry'!AH161)),IF(AND(ISNUMBER('Council Entry'!AH$8),ISNUMBER('Council Entry'!AH$9)),MAX(MIN('Council Entry'!AH161,'Council Entry'!AH$9),'Council Entry'!AH$8),'Council Entry'!AH161))))-'Council Entry'!AH$5)/('Council Entry'!AH$6-'Council Entry'!AH$5)),1))),"No data"))</f>
        <v/>
      </c>
      <c r="AI161" s="13">
        <f>IF('Council Entry'!AI161="","",IFERROR(MAX(0,MIN(10,ROUND(IF('Council Entry'!AI$7="Decrease Risk",10-10*((IF('Council Entry'!AI$4="Logarithm",LN(0.001+IF(AND(ISNUMBER('Council Entry'!AI$8),ISNUMBER('Council Entry'!AI$9)),MAX(MIN('Council Entry'!AI161,'Council Entry'!AI$9),'Council Entry'!AI$8),'Council Entry'!AI161)),IF('Council Entry'!AI$4="Exponential",EXP(IF(AND(ISNUMBER('Council Entry'!AI$8),ISNUMBER('Council Entry'!AI$9)),MAX(MIN('Council Entry'!AI161,'Council Entry'!AI$9),'Council Entry'!AI$8),'Council Entry'!AI161)),IF(AND(ISNUMBER('Council Entry'!AI$8),ISNUMBER('Council Entry'!AI$9)),MAX(MIN('Council Entry'!AI161,'Council Entry'!AI$9),'Council Entry'!AI$8),'Council Entry'!AI161))))-'Council Entry'!AI$5)/('Council Entry'!AI$6-'Council Entry'!AI$5),10*((IF('Council Entry'!AI$4="Logarithm",LN(0.001+IF(AND(ISNUMBER('Council Entry'!AI$8),ISNUMBER('Council Entry'!AI$9)),MAX(MIN('Council Entry'!AI161,'Council Entry'!AI$9),'Council Entry'!AI$8),'Council Entry'!AI161)),IF('Council Entry'!AI$4="Exponential",EXP(IF(AND(ISNUMBER('Council Entry'!AI$8),ISNUMBER('Council Entry'!AI$9)),MAX(MIN('Council Entry'!AI161,'Council Entry'!AI$9),'Council Entry'!AI$8),'Council Entry'!AI161)),IF(AND(ISNUMBER('Council Entry'!AI$8),ISNUMBER('Council Entry'!AI$9)),MAX(MIN('Council Entry'!AI161,'Council Entry'!AI$9),'Council Entry'!AI$8),'Council Entry'!AI161))))-'Council Entry'!AI$5)/('Council Entry'!AI$6-'Council Entry'!AI$5)),1))),"No data"))</f>
        <v/>
      </c>
      <c r="AJ161" s="13">
        <f>IF('Council Entry'!AJ161="","",IFERROR(MAX(0,MIN(10,ROUND(IF('Council Entry'!AJ$7="Decrease Risk",10-10*((IF('Council Entry'!AJ$4="Logarithm",LN(0.001+IF(AND(ISNUMBER('Council Entry'!AJ$8),ISNUMBER('Council Entry'!AJ$9)),MAX(MIN('Council Entry'!AJ161,'Council Entry'!AJ$9),'Council Entry'!AJ$8),'Council Entry'!AJ161)),IF('Council Entry'!AJ$4="Exponential",EXP(IF(AND(ISNUMBER('Council Entry'!AJ$8),ISNUMBER('Council Entry'!AJ$9)),MAX(MIN('Council Entry'!AJ161,'Council Entry'!AJ$9),'Council Entry'!AJ$8),'Council Entry'!AJ161)),IF(AND(ISNUMBER('Council Entry'!AJ$8),ISNUMBER('Council Entry'!AJ$9)),MAX(MIN('Council Entry'!AJ161,'Council Entry'!AJ$9),'Council Entry'!AJ$8),'Council Entry'!AJ161))))-'Council Entry'!AJ$5)/('Council Entry'!AJ$6-'Council Entry'!AJ$5),10*((IF('Council Entry'!AJ$4="Logarithm",LN(0.001+IF(AND(ISNUMBER('Council Entry'!AJ$8),ISNUMBER('Council Entry'!AJ$9)),MAX(MIN('Council Entry'!AJ161,'Council Entry'!AJ$9),'Council Entry'!AJ$8),'Council Entry'!AJ161)),IF('Council Entry'!AJ$4="Exponential",EXP(IF(AND(ISNUMBER('Council Entry'!AJ$8),ISNUMBER('Council Entry'!AJ$9)),MAX(MIN('Council Entry'!AJ161,'Council Entry'!AJ$9),'Council Entry'!AJ$8),'Council Entry'!AJ161)),IF(AND(ISNUMBER('Council Entry'!AJ$8),ISNUMBER('Council Entry'!AJ$9)),MAX(MIN('Council Entry'!AJ161,'Council Entry'!AJ$9),'Council Entry'!AJ$8),'Council Entry'!AJ161))))-'Council Entry'!AJ$5)/('Council Entry'!AJ$6-'Council Entry'!AJ$5)),1))),"No data"))</f>
        <v/>
      </c>
      <c r="AK161" s="13">
        <f>IF('Council Entry'!AK161="","",IFERROR(MAX(0,MIN(10,ROUND(IF('Council Entry'!AK$7="Decrease Risk",10-10*((IF('Council Entry'!AK$4="Logarithm",LN(0.001+IF(AND(ISNUMBER('Council Entry'!AK$8),ISNUMBER('Council Entry'!AK$9)),MAX(MIN('Council Entry'!AK161,'Council Entry'!AK$9),'Council Entry'!AK$8),'Council Entry'!AK161)),IF('Council Entry'!AK$4="Exponential",EXP(IF(AND(ISNUMBER('Council Entry'!AK$8),ISNUMBER('Council Entry'!AK$9)),MAX(MIN('Council Entry'!AK161,'Council Entry'!AK$9),'Council Entry'!AK$8),'Council Entry'!AK161)),IF(AND(ISNUMBER('Council Entry'!AK$8),ISNUMBER('Council Entry'!AK$9)),MAX(MIN('Council Entry'!AK161,'Council Entry'!AK$9),'Council Entry'!AK$8),'Council Entry'!AK161))))-'Council Entry'!AK$5)/('Council Entry'!AK$6-'Council Entry'!AK$5),10*((IF('Council Entry'!AK$4="Logarithm",LN(0.001+IF(AND(ISNUMBER('Council Entry'!AK$8),ISNUMBER('Council Entry'!AK$9)),MAX(MIN('Council Entry'!AK161,'Council Entry'!AK$9),'Council Entry'!AK$8),'Council Entry'!AK161)),IF('Council Entry'!AK$4="Exponential",EXP(IF(AND(ISNUMBER('Council Entry'!AK$8),ISNUMBER('Council Entry'!AK$9)),MAX(MIN('Council Entry'!AK161,'Council Entry'!AK$9),'Council Entry'!AK$8),'Council Entry'!AK161)),IF(AND(ISNUMBER('Council Entry'!AK$8),ISNUMBER('Council Entry'!AK$9)),MAX(MIN('Council Entry'!AK161,'Council Entry'!AK$9),'Council Entry'!AK$8),'Council Entry'!AK161))))-'Council Entry'!AK$5)/('Council Entry'!AK$6-'Council Entry'!AK$5)),1))),"No data"))</f>
        <v/>
      </c>
      <c r="AL161" s="13">
        <f>IF('Council Entry'!AL161="","",IFERROR(MAX(0,MIN(10,ROUND(IF('Council Entry'!AL$7="Decrease Risk",10-10*((IF('Council Entry'!AL$4="Logarithm",LN(0.001+IF(AND(ISNUMBER('Council Entry'!AL$8),ISNUMBER('Council Entry'!AL$9)),MAX(MIN('Council Entry'!AL161,'Council Entry'!AL$9),'Council Entry'!AL$8),'Council Entry'!AL161)),IF('Council Entry'!AL$4="Exponential",EXP(IF(AND(ISNUMBER('Council Entry'!AL$8),ISNUMBER('Council Entry'!AL$9)),MAX(MIN('Council Entry'!AL161,'Council Entry'!AL$9),'Council Entry'!AL$8),'Council Entry'!AL161)),IF(AND(ISNUMBER('Council Entry'!AL$8),ISNUMBER('Council Entry'!AL$9)),MAX(MIN('Council Entry'!AL161,'Council Entry'!AL$9),'Council Entry'!AL$8),'Council Entry'!AL161))))-'Council Entry'!AL$5)/('Council Entry'!AL$6-'Council Entry'!AL$5),10*((IF('Council Entry'!AL$4="Logarithm",LN(0.001+IF(AND(ISNUMBER('Council Entry'!AL$8),ISNUMBER('Council Entry'!AL$9)),MAX(MIN('Council Entry'!AL161,'Council Entry'!AL$9),'Council Entry'!AL$8),'Council Entry'!AL161)),IF('Council Entry'!AL$4="Exponential",EXP(IF(AND(ISNUMBER('Council Entry'!AL$8),ISNUMBER('Council Entry'!AL$9)),MAX(MIN('Council Entry'!AL161,'Council Entry'!AL$9),'Council Entry'!AL$8),'Council Entry'!AL161)),IF(AND(ISNUMBER('Council Entry'!AL$8),ISNUMBER('Council Entry'!AL$9)),MAX(MIN('Council Entry'!AL161,'Council Entry'!AL$9),'Council Entry'!AL$8),'Council Entry'!AL161))))-'Council Entry'!AL$5)/('Council Entry'!AL$6-'Council Entry'!AL$5)),1))),"No data"))</f>
        <v/>
      </c>
      <c r="AM161" s="13">
        <f>IF('Council Entry'!AM161="","",IFERROR(MAX(0,MIN(10,ROUND(IF('Council Entry'!AM$7="Decrease Risk",10-10*((IF('Council Entry'!AM$4="Logarithm",LN(0.001+IF(AND(ISNUMBER('Council Entry'!AM$8),ISNUMBER('Council Entry'!AM$9)),MAX(MIN('Council Entry'!AM161,'Council Entry'!AM$9),'Council Entry'!AM$8),'Council Entry'!AM161)),IF('Council Entry'!AM$4="Exponential",EXP(IF(AND(ISNUMBER('Council Entry'!AM$8),ISNUMBER('Council Entry'!AM$9)),MAX(MIN('Council Entry'!AM161,'Council Entry'!AM$9),'Council Entry'!AM$8),'Council Entry'!AM161)),IF(AND(ISNUMBER('Council Entry'!AM$8),ISNUMBER('Council Entry'!AM$9)),MAX(MIN('Council Entry'!AM161,'Council Entry'!AM$9),'Council Entry'!AM$8),'Council Entry'!AM161))))-'Council Entry'!AM$5)/('Council Entry'!AM$6-'Council Entry'!AM$5),10*((IF('Council Entry'!AM$4="Logarithm",LN(0.001+IF(AND(ISNUMBER('Council Entry'!AM$8),ISNUMBER('Council Entry'!AM$9)),MAX(MIN('Council Entry'!AM161,'Council Entry'!AM$9),'Council Entry'!AM$8),'Council Entry'!AM161)),IF('Council Entry'!AM$4="Exponential",EXP(IF(AND(ISNUMBER('Council Entry'!AM$8),ISNUMBER('Council Entry'!AM$9)),MAX(MIN('Council Entry'!AM161,'Council Entry'!AM$9),'Council Entry'!AM$8),'Council Entry'!AM161)),IF(AND(ISNUMBER('Council Entry'!AM$8),ISNUMBER('Council Entry'!AM$9)),MAX(MIN('Council Entry'!AM161,'Council Entry'!AM$9),'Council Entry'!AM$8),'Council Entry'!AM161))))-'Council Entry'!AM$5)/('Council Entry'!AM$6-'Council Entry'!AM$5)),1))),"No data"))</f>
        <v/>
      </c>
      <c r="AN161" s="13">
        <f>IF('Council Entry'!AN161="","",IFERROR(MAX(0,MIN(10,ROUND(IF('Council Entry'!AN$7="Decrease Risk",10-10*((IF('Council Entry'!AN$4="Logarithm",LN(0.001+IF(AND(ISNUMBER('Council Entry'!AN$8),ISNUMBER('Council Entry'!AN$9)),MAX(MIN('Council Entry'!AN161,'Council Entry'!AN$9),'Council Entry'!AN$8),'Council Entry'!AN161)),IF('Council Entry'!AN$4="Exponential",EXP(IF(AND(ISNUMBER('Council Entry'!AN$8),ISNUMBER('Council Entry'!AN$9)),MAX(MIN('Council Entry'!AN161,'Council Entry'!AN$9),'Council Entry'!AN$8),'Council Entry'!AN161)),IF(AND(ISNUMBER('Council Entry'!AN$8),ISNUMBER('Council Entry'!AN$9)),MAX(MIN('Council Entry'!AN161,'Council Entry'!AN$9),'Council Entry'!AN$8),'Council Entry'!AN161))))-'Council Entry'!AN$5)/('Council Entry'!AN$6-'Council Entry'!AN$5),10*((IF('Council Entry'!AN$4="Logarithm",LN(0.001+IF(AND(ISNUMBER('Council Entry'!AN$8),ISNUMBER('Council Entry'!AN$9)),MAX(MIN('Council Entry'!AN161,'Council Entry'!AN$9),'Council Entry'!AN$8),'Council Entry'!AN161)),IF('Council Entry'!AN$4="Exponential",EXP(IF(AND(ISNUMBER('Council Entry'!AN$8),ISNUMBER('Council Entry'!AN$9)),MAX(MIN('Council Entry'!AN161,'Council Entry'!AN$9),'Council Entry'!AN$8),'Council Entry'!AN161)),IF(AND(ISNUMBER('Council Entry'!AN$8),ISNUMBER('Council Entry'!AN$9)),MAX(MIN('Council Entry'!AN161,'Council Entry'!AN$9),'Council Entry'!AN$8),'Council Entry'!AN161))))-'Council Entry'!AN$5)/('Council Entry'!AN$6-'Council Entry'!AN$5)),1))),"No data"))</f>
        <v/>
      </c>
      <c r="AO161" s="13">
        <f>IF('Council Entry'!AO161="","",IFERROR(MAX(0,MIN(10,ROUND(IF('Council Entry'!AO$7="Decrease Risk",10-10*((IF('Council Entry'!AO$4="Logarithm",LN(0.001+IF(AND(ISNUMBER('Council Entry'!AO$8),ISNUMBER('Council Entry'!AO$9)),MAX(MIN('Council Entry'!AO161,'Council Entry'!AO$9),'Council Entry'!AO$8),'Council Entry'!AO161)),IF('Council Entry'!AO$4="Exponential",EXP(IF(AND(ISNUMBER('Council Entry'!AO$8),ISNUMBER('Council Entry'!AO$9)),MAX(MIN('Council Entry'!AO161,'Council Entry'!AO$9),'Council Entry'!AO$8),'Council Entry'!AO161)),IF(AND(ISNUMBER('Council Entry'!AO$8),ISNUMBER('Council Entry'!AO$9)),MAX(MIN('Council Entry'!AO161,'Council Entry'!AO$9),'Council Entry'!AO$8),'Council Entry'!AO161))))-'Council Entry'!AO$5)/('Council Entry'!AO$6-'Council Entry'!AO$5),10*((IF('Council Entry'!AO$4="Logarithm",LN(0.001+IF(AND(ISNUMBER('Council Entry'!AO$8),ISNUMBER('Council Entry'!AO$9)),MAX(MIN('Council Entry'!AO161,'Council Entry'!AO$9),'Council Entry'!AO$8),'Council Entry'!AO161)),IF('Council Entry'!AO$4="Exponential",EXP(IF(AND(ISNUMBER('Council Entry'!AO$8),ISNUMBER('Council Entry'!AO$9)),MAX(MIN('Council Entry'!AO161,'Council Entry'!AO$9),'Council Entry'!AO$8),'Council Entry'!AO161)),IF(AND(ISNUMBER('Council Entry'!AO$8),ISNUMBER('Council Entry'!AO$9)),MAX(MIN('Council Entry'!AO161,'Council Entry'!AO$9),'Council Entry'!AO$8),'Council Entry'!AO161))))-'Council Entry'!AO$5)/('Council Entry'!AO$6-'Council Entry'!AO$5)),1))),"No data"))</f>
        <v/>
      </c>
      <c r="AP161" s="13">
        <f>IF('Council Entry'!AP161="","",IFERROR(MAX(0,MIN(10,ROUND(IF('Council Entry'!AP$7="Decrease Risk",10-10*((IF('Council Entry'!AP$4="Logarithm",LN(0.001+IF(AND(ISNUMBER('Council Entry'!AP$8),ISNUMBER('Council Entry'!AP$9)),MAX(MIN('Council Entry'!AP161,'Council Entry'!AP$9),'Council Entry'!AP$8),'Council Entry'!AP161)),IF('Council Entry'!AP$4="Exponential",EXP(IF(AND(ISNUMBER('Council Entry'!AP$8),ISNUMBER('Council Entry'!AP$9)),MAX(MIN('Council Entry'!AP161,'Council Entry'!AP$9),'Council Entry'!AP$8),'Council Entry'!AP161)),IF(AND(ISNUMBER('Council Entry'!AP$8),ISNUMBER('Council Entry'!AP$9)),MAX(MIN('Council Entry'!AP161,'Council Entry'!AP$9),'Council Entry'!AP$8),'Council Entry'!AP161))))-'Council Entry'!AP$5)/('Council Entry'!AP$6-'Council Entry'!AP$5),10*((IF('Council Entry'!AP$4="Logarithm",LN(0.001+IF(AND(ISNUMBER('Council Entry'!AP$8),ISNUMBER('Council Entry'!AP$9)),MAX(MIN('Council Entry'!AP161,'Council Entry'!AP$9),'Council Entry'!AP$8),'Council Entry'!AP161)),IF('Council Entry'!AP$4="Exponential",EXP(IF(AND(ISNUMBER('Council Entry'!AP$8),ISNUMBER('Council Entry'!AP$9)),MAX(MIN('Council Entry'!AP161,'Council Entry'!AP$9),'Council Entry'!AP$8),'Council Entry'!AP161)),IF(AND(ISNUMBER('Council Entry'!AP$8),ISNUMBER('Council Entry'!AP$9)),MAX(MIN('Council Entry'!AP161,'Council Entry'!AP$9),'Council Entry'!AP$8),'Council Entry'!AP161))))-'Council Entry'!AP$5)/('Council Entry'!AP$6-'Council Entry'!AP$5)),1))),"No data"))</f>
        <v/>
      </c>
      <c r="AQ161" s="13">
        <f>IF('Council Entry'!AQ161="","",IFERROR(MAX(0,MIN(10,ROUND(IF('Council Entry'!AQ$7="Decrease Risk",10-10*((IF('Council Entry'!AQ$4="Logarithm",LN(0.001+IF(AND(ISNUMBER('Council Entry'!AQ$8),ISNUMBER('Council Entry'!AQ$9)),MAX(MIN('Council Entry'!AQ161,'Council Entry'!AQ$9),'Council Entry'!AQ$8),'Council Entry'!AQ161)),IF('Council Entry'!AQ$4="Exponential",EXP(IF(AND(ISNUMBER('Council Entry'!AQ$8),ISNUMBER('Council Entry'!AQ$9)),MAX(MIN('Council Entry'!AQ161,'Council Entry'!AQ$9),'Council Entry'!AQ$8),'Council Entry'!AQ161)),IF(AND(ISNUMBER('Council Entry'!AQ$8),ISNUMBER('Council Entry'!AQ$9)),MAX(MIN('Council Entry'!AQ161,'Council Entry'!AQ$9),'Council Entry'!AQ$8),'Council Entry'!AQ161))))-'Council Entry'!AQ$5)/('Council Entry'!AQ$6-'Council Entry'!AQ$5),10*((IF('Council Entry'!AQ$4="Logarithm",LN(0.001+IF(AND(ISNUMBER('Council Entry'!AQ$8),ISNUMBER('Council Entry'!AQ$9)),MAX(MIN('Council Entry'!AQ161,'Council Entry'!AQ$9),'Council Entry'!AQ$8),'Council Entry'!AQ161)),IF('Council Entry'!AQ$4="Exponential",EXP(IF(AND(ISNUMBER('Council Entry'!AQ$8),ISNUMBER('Council Entry'!AQ$9)),MAX(MIN('Council Entry'!AQ161,'Council Entry'!AQ$9),'Council Entry'!AQ$8),'Council Entry'!AQ161)),IF(AND(ISNUMBER('Council Entry'!AQ$8),ISNUMBER('Council Entry'!AQ$9)),MAX(MIN('Council Entry'!AQ161,'Council Entry'!AQ$9),'Council Entry'!AQ$8),'Council Entry'!AQ161))))-'Council Entry'!AQ$5)/('Council Entry'!AQ$6-'Council Entry'!AQ$5)),1))),"No data"))</f>
        <v/>
      </c>
      <c r="AR161" s="13">
        <f>IF('Council Entry'!AR161="","",IFERROR(MAX(0,MIN(10,ROUND(IF('Council Entry'!AR$7="Decrease Risk",10-10*((IF('Council Entry'!AR$4="Logarithm",LN(0.001+IF(AND(ISNUMBER('Council Entry'!AR$8),ISNUMBER('Council Entry'!AR$9)),MAX(MIN('Council Entry'!AR161,'Council Entry'!AR$9),'Council Entry'!AR$8),'Council Entry'!AR161)),IF('Council Entry'!AR$4="Exponential",EXP(IF(AND(ISNUMBER('Council Entry'!AR$8),ISNUMBER('Council Entry'!AR$9)),MAX(MIN('Council Entry'!AR161,'Council Entry'!AR$9),'Council Entry'!AR$8),'Council Entry'!AR161)),IF(AND(ISNUMBER('Council Entry'!AR$8),ISNUMBER('Council Entry'!AR$9)),MAX(MIN('Council Entry'!AR161,'Council Entry'!AR$9),'Council Entry'!AR$8),'Council Entry'!AR161))))-'Council Entry'!AR$5)/('Council Entry'!AR$6-'Council Entry'!AR$5),10*((IF('Council Entry'!AR$4="Logarithm",LN(0.001+IF(AND(ISNUMBER('Council Entry'!AR$8),ISNUMBER('Council Entry'!AR$9)),MAX(MIN('Council Entry'!AR161,'Council Entry'!AR$9),'Council Entry'!AR$8),'Council Entry'!AR161)),IF('Council Entry'!AR$4="Exponential",EXP(IF(AND(ISNUMBER('Council Entry'!AR$8),ISNUMBER('Council Entry'!AR$9)),MAX(MIN('Council Entry'!AR161,'Council Entry'!AR$9),'Council Entry'!AR$8),'Council Entry'!AR161)),IF(AND(ISNUMBER('Council Entry'!AR$8),ISNUMBER('Council Entry'!AR$9)),MAX(MIN('Council Entry'!AR161,'Council Entry'!AR$9),'Council Entry'!AR$8),'Council Entry'!AR161))))-'Council Entry'!AR$5)/('Council Entry'!AR$6-'Council Entry'!AR$5)),1))),"No data"))</f>
        <v/>
      </c>
      <c r="AS161" s="13">
        <f>IF('Council Entry'!AS161="","",IFERROR(MAX(0,MIN(10,ROUND(IF('Council Entry'!AS$7="Decrease Risk",10-10*((IF('Council Entry'!AS$4="Logarithm",LN(0.001+IF(AND(ISNUMBER('Council Entry'!AS$8),ISNUMBER('Council Entry'!AS$9)),MAX(MIN('Council Entry'!AS161,'Council Entry'!AS$9),'Council Entry'!AS$8),'Council Entry'!AS161)),IF('Council Entry'!AS$4="Exponential",EXP(IF(AND(ISNUMBER('Council Entry'!AS$8),ISNUMBER('Council Entry'!AS$9)),MAX(MIN('Council Entry'!AS161,'Council Entry'!AS$9),'Council Entry'!AS$8),'Council Entry'!AS161)),IF(AND(ISNUMBER('Council Entry'!AS$8),ISNUMBER('Council Entry'!AS$9)),MAX(MIN('Council Entry'!AS161,'Council Entry'!AS$9),'Council Entry'!AS$8),'Council Entry'!AS161))))-'Council Entry'!AS$5)/('Council Entry'!AS$6-'Council Entry'!AS$5),10*((IF('Council Entry'!AS$4="Logarithm",LN(0.001+IF(AND(ISNUMBER('Council Entry'!AS$8),ISNUMBER('Council Entry'!AS$9)),MAX(MIN('Council Entry'!AS161,'Council Entry'!AS$9),'Council Entry'!AS$8),'Council Entry'!AS161)),IF('Council Entry'!AS$4="Exponential",EXP(IF(AND(ISNUMBER('Council Entry'!AS$8),ISNUMBER('Council Entry'!AS$9)),MAX(MIN('Council Entry'!AS161,'Council Entry'!AS$9),'Council Entry'!AS$8),'Council Entry'!AS161)),IF(AND(ISNUMBER('Council Entry'!AS$8),ISNUMBER('Council Entry'!AS$9)),MAX(MIN('Council Entry'!AS161,'Council Entry'!AS$9),'Council Entry'!AS$8),'Council Entry'!AS161))))-'Council Entry'!AS$5)/('Council Entry'!AS$6-'Council Entry'!AS$5)),1))),"No data"))</f>
        <v/>
      </c>
      <c r="AT161" s="13">
        <f>IF('Council Entry'!AT161="","",IFERROR(MAX(0,MIN(10,ROUND(IF('Council Entry'!AT$7="Decrease Risk",10-10*((IF('Council Entry'!AT$4="Logarithm",LN(0.001+IF(AND(ISNUMBER('Council Entry'!AT$8),ISNUMBER('Council Entry'!AT$9)),MAX(MIN('Council Entry'!AT161,'Council Entry'!AT$9),'Council Entry'!AT$8),'Council Entry'!AT161)),IF('Council Entry'!AT$4="Exponential",EXP(IF(AND(ISNUMBER('Council Entry'!AT$8),ISNUMBER('Council Entry'!AT$9)),MAX(MIN('Council Entry'!AT161,'Council Entry'!AT$9),'Council Entry'!AT$8),'Council Entry'!AT161)),IF(AND(ISNUMBER('Council Entry'!AT$8),ISNUMBER('Council Entry'!AT$9)),MAX(MIN('Council Entry'!AT161,'Council Entry'!AT$9),'Council Entry'!AT$8),'Council Entry'!AT161))))-'Council Entry'!AT$5)/('Council Entry'!AT$6-'Council Entry'!AT$5),10*((IF('Council Entry'!AT$4="Logarithm",LN(0.001+IF(AND(ISNUMBER('Council Entry'!AT$8),ISNUMBER('Council Entry'!AT$9)),MAX(MIN('Council Entry'!AT161,'Council Entry'!AT$9),'Council Entry'!AT$8),'Council Entry'!AT161)),IF('Council Entry'!AT$4="Exponential",EXP(IF(AND(ISNUMBER('Council Entry'!AT$8),ISNUMBER('Council Entry'!AT$9)),MAX(MIN('Council Entry'!AT161,'Council Entry'!AT$9),'Council Entry'!AT$8),'Council Entry'!AT161)),IF(AND(ISNUMBER('Council Entry'!AT$8),ISNUMBER('Council Entry'!AT$9)),MAX(MIN('Council Entry'!AT161,'Council Entry'!AT$9),'Council Entry'!AT$8),'Council Entry'!AT161))))-'Council Entry'!AT$5)/('Council Entry'!AT$6-'Council Entry'!AT$5)),1))),"No data"))</f>
        <v/>
      </c>
      <c r="AU161" s="13">
        <f>IF('Council Entry'!AU161="","",IFERROR(MAX(0,MIN(10,ROUND(IF('Council Entry'!AU$7="Decrease Risk",10-10*((IF('Council Entry'!AU$4="Logarithm",LN(0.001+IF(AND(ISNUMBER('Council Entry'!AU$8),ISNUMBER('Council Entry'!AU$9)),MAX(MIN('Council Entry'!AU161,'Council Entry'!AU$9),'Council Entry'!AU$8),'Council Entry'!AU161)),IF('Council Entry'!AU$4="Exponential",EXP(IF(AND(ISNUMBER('Council Entry'!AU$8),ISNUMBER('Council Entry'!AU$9)),MAX(MIN('Council Entry'!AU161,'Council Entry'!AU$9),'Council Entry'!AU$8),'Council Entry'!AU161)),IF(AND(ISNUMBER('Council Entry'!AU$8),ISNUMBER('Council Entry'!AU$9)),MAX(MIN('Council Entry'!AU161,'Council Entry'!AU$9),'Council Entry'!AU$8),'Council Entry'!AU161))))-'Council Entry'!AU$5)/('Council Entry'!AU$6-'Council Entry'!AU$5),10*((IF('Council Entry'!AU$4="Logarithm",LN(0.001+IF(AND(ISNUMBER('Council Entry'!AU$8),ISNUMBER('Council Entry'!AU$9)),MAX(MIN('Council Entry'!AU161,'Council Entry'!AU$9),'Council Entry'!AU$8),'Council Entry'!AU161)),IF('Council Entry'!AU$4="Exponential",EXP(IF(AND(ISNUMBER('Council Entry'!AU$8),ISNUMBER('Council Entry'!AU$9)),MAX(MIN('Council Entry'!AU161,'Council Entry'!AU$9),'Council Entry'!AU$8),'Council Entry'!AU161)),IF(AND(ISNUMBER('Council Entry'!AU$8),ISNUMBER('Council Entry'!AU$9)),MAX(MIN('Council Entry'!AU161,'Council Entry'!AU$9),'Council Entry'!AU$8),'Council Entry'!AU161))))-'Council Entry'!AU$5)/('Council Entry'!AU$6-'Council Entry'!AU$5)),1))),"No data"))</f>
        <v/>
      </c>
      <c r="AV161" s="13">
        <f>IF('Council Entry'!AV161="","",IFERROR(MAX(0,MIN(10,ROUND(IF('Council Entry'!AV$7="Decrease Risk",10-10*((IF('Council Entry'!AV$4="Logarithm",LN(0.001+IF(AND(ISNUMBER('Council Entry'!AV$8),ISNUMBER('Council Entry'!AV$9)),MAX(MIN('Council Entry'!AV161,'Council Entry'!AV$9),'Council Entry'!AV$8),'Council Entry'!AV161)),IF('Council Entry'!AV$4="Exponential",EXP(IF(AND(ISNUMBER('Council Entry'!AV$8),ISNUMBER('Council Entry'!AV$9)),MAX(MIN('Council Entry'!AV161,'Council Entry'!AV$9),'Council Entry'!AV$8),'Council Entry'!AV161)),IF(AND(ISNUMBER('Council Entry'!AV$8),ISNUMBER('Council Entry'!AV$9)),MAX(MIN('Council Entry'!AV161,'Council Entry'!AV$9),'Council Entry'!AV$8),'Council Entry'!AV161))))-'Council Entry'!AV$5)/('Council Entry'!AV$6-'Council Entry'!AV$5),10*((IF('Council Entry'!AV$4="Logarithm",LN(0.001+IF(AND(ISNUMBER('Council Entry'!AV$8),ISNUMBER('Council Entry'!AV$9)),MAX(MIN('Council Entry'!AV161,'Council Entry'!AV$9),'Council Entry'!AV$8),'Council Entry'!AV161)),IF('Council Entry'!AV$4="Exponential",EXP(IF(AND(ISNUMBER('Council Entry'!AV$8),ISNUMBER('Council Entry'!AV$9)),MAX(MIN('Council Entry'!AV161,'Council Entry'!AV$9),'Council Entry'!AV$8),'Council Entry'!AV161)),IF(AND(ISNUMBER('Council Entry'!AV$8),ISNUMBER('Council Entry'!AV$9)),MAX(MIN('Council Entry'!AV161,'Council Entry'!AV$9),'Council Entry'!AV$8),'Council Entry'!AV161))))-'Council Entry'!AV$5)/('Council Entry'!AV$6-'Council Entry'!AV$5)),1))),"No data"))</f>
        <v/>
      </c>
      <c r="AW161" s="13">
        <f>IF('Council Entry'!AW161="","",IFERROR(MAX(0,MIN(10,ROUND(IF('Council Entry'!AW$7="Decrease Risk",10-10*((IF('Council Entry'!AW$4="Logarithm",LN(0.001+IF(AND(ISNUMBER('Council Entry'!AW$8),ISNUMBER('Council Entry'!AW$9)),MAX(MIN('Council Entry'!AW161,'Council Entry'!AW$9),'Council Entry'!AW$8),'Council Entry'!AW161)),IF('Council Entry'!AW$4="Exponential",EXP(IF(AND(ISNUMBER('Council Entry'!AW$8),ISNUMBER('Council Entry'!AW$9)),MAX(MIN('Council Entry'!AW161,'Council Entry'!AW$9),'Council Entry'!AW$8),'Council Entry'!AW161)),IF(AND(ISNUMBER('Council Entry'!AW$8),ISNUMBER('Council Entry'!AW$9)),MAX(MIN('Council Entry'!AW161,'Council Entry'!AW$9),'Council Entry'!AW$8),'Council Entry'!AW161))))-'Council Entry'!AW$5)/('Council Entry'!AW$6-'Council Entry'!AW$5),10*((IF('Council Entry'!AW$4="Logarithm",LN(0.001+IF(AND(ISNUMBER('Council Entry'!AW$8),ISNUMBER('Council Entry'!AW$9)),MAX(MIN('Council Entry'!AW161,'Council Entry'!AW$9),'Council Entry'!AW$8),'Council Entry'!AW161)),IF('Council Entry'!AW$4="Exponential",EXP(IF(AND(ISNUMBER('Council Entry'!AW$8),ISNUMBER('Council Entry'!AW$9)),MAX(MIN('Council Entry'!AW161,'Council Entry'!AW$9),'Council Entry'!AW$8),'Council Entry'!AW161)),IF(AND(ISNUMBER('Council Entry'!AW$8),ISNUMBER('Council Entry'!AW$9)),MAX(MIN('Council Entry'!AW161,'Council Entry'!AW$9),'Council Entry'!AW$8),'Council Entry'!AW161))))-'Council Entry'!AW$5)/('Council Entry'!AW$6-'Council Entry'!AW$5)),1))),"No data"))</f>
        <v/>
      </c>
      <c r="AX161" s="13">
        <f>IF('Council Entry'!AX161="","",IFERROR(MAX(0,MIN(10,ROUND(IF('Council Entry'!AX$7="Decrease Risk",10-10*((IF('Council Entry'!AX$4="Logarithm",LN(0.001+IF(AND(ISNUMBER('Council Entry'!AX$8),ISNUMBER('Council Entry'!AX$9)),MAX(MIN('Council Entry'!AX161,'Council Entry'!AX$9),'Council Entry'!AX$8),'Council Entry'!AX161)),IF('Council Entry'!AX$4="Exponential",EXP(IF(AND(ISNUMBER('Council Entry'!AX$8),ISNUMBER('Council Entry'!AX$9)),MAX(MIN('Council Entry'!AX161,'Council Entry'!AX$9),'Council Entry'!AX$8),'Council Entry'!AX161)),IF(AND(ISNUMBER('Council Entry'!AX$8),ISNUMBER('Council Entry'!AX$9)),MAX(MIN('Council Entry'!AX161,'Council Entry'!AX$9),'Council Entry'!AX$8),'Council Entry'!AX161))))-'Council Entry'!AX$5)/('Council Entry'!AX$6-'Council Entry'!AX$5),10*((IF('Council Entry'!AX$4="Logarithm",LN(0.001+IF(AND(ISNUMBER('Council Entry'!AX$8),ISNUMBER('Council Entry'!AX$9)),MAX(MIN('Council Entry'!AX161,'Council Entry'!AX$9),'Council Entry'!AX$8),'Council Entry'!AX161)),IF('Council Entry'!AX$4="Exponential",EXP(IF(AND(ISNUMBER('Council Entry'!AX$8),ISNUMBER('Council Entry'!AX$9)),MAX(MIN('Council Entry'!AX161,'Council Entry'!AX$9),'Council Entry'!AX$8),'Council Entry'!AX161)),IF(AND(ISNUMBER('Council Entry'!AX$8),ISNUMBER('Council Entry'!AX$9)),MAX(MIN('Council Entry'!AX161,'Council Entry'!AX$9),'Council Entry'!AX$8),'Council Entry'!AX161))))-'Council Entry'!AX$5)/('Council Entry'!AX$6-'Council Entry'!AX$5)),1))),"No data"))</f>
        <v/>
      </c>
      <c r="AY161" s="13">
        <f>IF('Council Entry'!AY161="","",IFERROR(MAX(0,MIN(10,ROUND(IF('Council Entry'!AY$7="Decrease Risk",10-10*((IF('Council Entry'!AY$4="Logarithm",LN(0.001+IF(AND(ISNUMBER('Council Entry'!AY$8),ISNUMBER('Council Entry'!AY$9)),MAX(MIN('Council Entry'!AY161,'Council Entry'!AY$9),'Council Entry'!AY$8),'Council Entry'!AY161)),IF('Council Entry'!AY$4="Exponential",EXP(IF(AND(ISNUMBER('Council Entry'!AY$8),ISNUMBER('Council Entry'!AY$9)),MAX(MIN('Council Entry'!AY161,'Council Entry'!AY$9),'Council Entry'!AY$8),'Council Entry'!AY161)),IF(AND(ISNUMBER('Council Entry'!AY$8),ISNUMBER('Council Entry'!AY$9)),MAX(MIN('Council Entry'!AY161,'Council Entry'!AY$9),'Council Entry'!AY$8),'Council Entry'!AY161))))-'Council Entry'!AY$5)/('Council Entry'!AY$6-'Council Entry'!AY$5),10*((IF('Council Entry'!AY$4="Logarithm",LN(0.001+IF(AND(ISNUMBER('Council Entry'!AY$8),ISNUMBER('Council Entry'!AY$9)),MAX(MIN('Council Entry'!AY161,'Council Entry'!AY$9),'Council Entry'!AY$8),'Council Entry'!AY161)),IF('Council Entry'!AY$4="Exponential",EXP(IF(AND(ISNUMBER('Council Entry'!AY$8),ISNUMBER('Council Entry'!AY$9)),MAX(MIN('Council Entry'!AY161,'Council Entry'!AY$9),'Council Entry'!AY$8),'Council Entry'!AY161)),IF(AND(ISNUMBER('Council Entry'!AY$8),ISNUMBER('Council Entry'!AY$9)),MAX(MIN('Council Entry'!AY161,'Council Entry'!AY$9),'Council Entry'!AY$8),'Council Entry'!AY161))))-'Council Entry'!AY$5)/('Council Entry'!AY$6-'Council Entry'!AY$5)),1))),"No data"))</f>
        <v/>
      </c>
      <c r="AZ161" s="13">
        <f>IF('Council Entry'!AZ161="","",IFERROR(MAX(0,MIN(10,ROUND(IF('Council Entry'!AZ$7="Decrease Risk",10-10*((IF('Council Entry'!AZ$4="Logarithm",LN(0.001+IF(AND(ISNUMBER('Council Entry'!AZ$8),ISNUMBER('Council Entry'!AZ$9)),MAX(MIN('Council Entry'!AZ161,'Council Entry'!AZ$9),'Council Entry'!AZ$8),'Council Entry'!AZ161)),IF('Council Entry'!AZ$4="Exponential",EXP(IF(AND(ISNUMBER('Council Entry'!AZ$8),ISNUMBER('Council Entry'!AZ$9)),MAX(MIN('Council Entry'!AZ161,'Council Entry'!AZ$9),'Council Entry'!AZ$8),'Council Entry'!AZ161)),IF(AND(ISNUMBER('Council Entry'!AZ$8),ISNUMBER('Council Entry'!AZ$9)),MAX(MIN('Council Entry'!AZ161,'Council Entry'!AZ$9),'Council Entry'!AZ$8),'Council Entry'!AZ161))))-'Council Entry'!AZ$5)/('Council Entry'!AZ$6-'Council Entry'!AZ$5),10*((IF('Council Entry'!AZ$4="Logarithm",LN(0.001+IF(AND(ISNUMBER('Council Entry'!AZ$8),ISNUMBER('Council Entry'!AZ$9)),MAX(MIN('Council Entry'!AZ161,'Council Entry'!AZ$9),'Council Entry'!AZ$8),'Council Entry'!AZ161)),IF('Council Entry'!AZ$4="Exponential",EXP(IF(AND(ISNUMBER('Council Entry'!AZ$8),ISNUMBER('Council Entry'!AZ$9)),MAX(MIN('Council Entry'!AZ161,'Council Entry'!AZ$9),'Council Entry'!AZ$8),'Council Entry'!AZ161)),IF(AND(ISNUMBER('Council Entry'!AZ$8),ISNUMBER('Council Entry'!AZ$9)),MAX(MIN('Council Entry'!AZ161,'Council Entry'!AZ$9),'Council Entry'!AZ$8),'Council Entry'!AZ161))))-'Council Entry'!AZ$5)/('Council Entry'!AZ$6-'Council Entry'!AZ$5)),1))),"No data"))</f>
        <v/>
      </c>
      <c r="BA161" s="13">
        <f>IF('Council Entry'!BA161="","",IFERROR(MAX(0,MIN(10,ROUND(IF('Council Entry'!BA$7="Decrease Risk",10-10*((IF('Council Entry'!BA$4="Logarithm",LN(0.001+IF(AND(ISNUMBER('Council Entry'!BA$8),ISNUMBER('Council Entry'!BA$9)),MAX(MIN('Council Entry'!BA161,'Council Entry'!BA$9),'Council Entry'!BA$8),'Council Entry'!BA161)),IF('Council Entry'!BA$4="Exponential",EXP(IF(AND(ISNUMBER('Council Entry'!BA$8),ISNUMBER('Council Entry'!BA$9)),MAX(MIN('Council Entry'!BA161,'Council Entry'!BA$9),'Council Entry'!BA$8),'Council Entry'!BA161)),IF(AND(ISNUMBER('Council Entry'!BA$8),ISNUMBER('Council Entry'!BA$9)),MAX(MIN('Council Entry'!BA161,'Council Entry'!BA$9),'Council Entry'!BA$8),'Council Entry'!BA161))))-'Council Entry'!BA$5)/('Council Entry'!BA$6-'Council Entry'!BA$5),10*((IF('Council Entry'!BA$4="Logarithm",LN(0.001+IF(AND(ISNUMBER('Council Entry'!BA$8),ISNUMBER('Council Entry'!BA$9)),MAX(MIN('Council Entry'!BA161,'Council Entry'!BA$9),'Council Entry'!BA$8),'Council Entry'!BA161)),IF('Council Entry'!BA$4="Exponential",EXP(IF(AND(ISNUMBER('Council Entry'!BA$8),ISNUMBER('Council Entry'!BA$9)),MAX(MIN('Council Entry'!BA161,'Council Entry'!BA$9),'Council Entry'!BA$8),'Council Entry'!BA161)),IF(AND(ISNUMBER('Council Entry'!BA$8),ISNUMBER('Council Entry'!BA$9)),MAX(MIN('Council Entry'!BA161,'Council Entry'!BA$9),'Council Entry'!BA$8),'Council Entry'!BA161))))-'Council Entry'!BA$5)/('Council Entry'!BA$6-'Council Entry'!BA$5)),1))),"No data"))</f>
        <v/>
      </c>
      <c r="BB161" s="13">
        <f>IF('Council Entry'!BB161="","",IFERROR(MAX(0,MIN(10,ROUND(IF('Council Entry'!BB$7="Decrease Risk",10-10*((IF('Council Entry'!BB$4="Logarithm",LN(0.001+IF(AND(ISNUMBER('Council Entry'!BB$8),ISNUMBER('Council Entry'!BB$9)),MAX(MIN('Council Entry'!BB161,'Council Entry'!BB$9),'Council Entry'!BB$8),'Council Entry'!BB161)),IF('Council Entry'!BB$4="Exponential",EXP(IF(AND(ISNUMBER('Council Entry'!BB$8),ISNUMBER('Council Entry'!BB$9)),MAX(MIN('Council Entry'!BB161,'Council Entry'!BB$9),'Council Entry'!BB$8),'Council Entry'!BB161)),IF(AND(ISNUMBER('Council Entry'!BB$8),ISNUMBER('Council Entry'!BB$9)),MAX(MIN('Council Entry'!BB161,'Council Entry'!BB$9),'Council Entry'!BB$8),'Council Entry'!BB161))))-'Council Entry'!BB$5)/('Council Entry'!BB$6-'Council Entry'!BB$5),10*((IF('Council Entry'!BB$4="Logarithm",LN(0.001+IF(AND(ISNUMBER('Council Entry'!BB$8),ISNUMBER('Council Entry'!BB$9)),MAX(MIN('Council Entry'!BB161,'Council Entry'!BB$9),'Council Entry'!BB$8),'Council Entry'!BB161)),IF('Council Entry'!BB$4="Exponential",EXP(IF(AND(ISNUMBER('Council Entry'!BB$8),ISNUMBER('Council Entry'!BB$9)),MAX(MIN('Council Entry'!BB161,'Council Entry'!BB$9),'Council Entry'!BB$8),'Council Entry'!BB161)),IF(AND(ISNUMBER('Council Entry'!BB$8),ISNUMBER('Council Entry'!BB$9)),MAX(MIN('Council Entry'!BB161,'Council Entry'!BB$9),'Council Entry'!BB$8),'Council Entry'!BB161))))-'Council Entry'!BB$5)/('Council Entry'!BB$6-'Council Entry'!BB$5)),1))),"No data"))</f>
        <v/>
      </c>
      <c r="BC161" s="13">
        <f>IF('Council Entry'!BC161="","",IFERROR(MAX(0,MIN(10,ROUND(IF('Council Entry'!BC$7="Decrease Risk",10-10*((IF('Council Entry'!BC$4="Logarithm",LN(0.001+IF(AND(ISNUMBER('Council Entry'!BC$8),ISNUMBER('Council Entry'!BC$9)),MAX(MIN('Council Entry'!BC161,'Council Entry'!BC$9),'Council Entry'!BC$8),'Council Entry'!BC161)),IF('Council Entry'!BC$4="Exponential",EXP(IF(AND(ISNUMBER('Council Entry'!BC$8),ISNUMBER('Council Entry'!BC$9)),MAX(MIN('Council Entry'!BC161,'Council Entry'!BC$9),'Council Entry'!BC$8),'Council Entry'!BC161)),IF(AND(ISNUMBER('Council Entry'!BC$8),ISNUMBER('Council Entry'!BC$9)),MAX(MIN('Council Entry'!BC161,'Council Entry'!BC$9),'Council Entry'!BC$8),'Council Entry'!BC161))))-'Council Entry'!BC$5)/('Council Entry'!BC$6-'Council Entry'!BC$5),10*((IF('Council Entry'!BC$4="Logarithm",LN(0.001+IF(AND(ISNUMBER('Council Entry'!BC$8),ISNUMBER('Council Entry'!BC$9)),MAX(MIN('Council Entry'!BC161,'Council Entry'!BC$9),'Council Entry'!BC$8),'Council Entry'!BC161)),IF('Council Entry'!BC$4="Exponential",EXP(IF(AND(ISNUMBER('Council Entry'!BC$8),ISNUMBER('Council Entry'!BC$9)),MAX(MIN('Council Entry'!BC161,'Council Entry'!BC$9),'Council Entry'!BC$8),'Council Entry'!BC161)),IF(AND(ISNUMBER('Council Entry'!BC$8),ISNUMBER('Council Entry'!BC$9)),MAX(MIN('Council Entry'!BC161,'Council Entry'!BC$9),'Council Entry'!BC$8),'Council Entry'!BC161))))-'Council Entry'!BC$5)/('Council Entry'!BC$6-'Council Entry'!BC$5)),1))),"No data"))</f>
        <v/>
      </c>
      <c r="BD161" s="13">
        <f>IF('Council Entry'!BD161="","",IFERROR(MAX(0,MIN(10,ROUND(IF('Council Entry'!BD$7="Decrease Risk",10-10*((IF('Council Entry'!BD$4="Logarithm",LN(0.001+IF(AND(ISNUMBER('Council Entry'!BD$8),ISNUMBER('Council Entry'!BD$9)),MAX(MIN('Council Entry'!BD161,'Council Entry'!BD$9),'Council Entry'!BD$8),'Council Entry'!BD161)),IF('Council Entry'!BD$4="Exponential",EXP(IF(AND(ISNUMBER('Council Entry'!BD$8),ISNUMBER('Council Entry'!BD$9)),MAX(MIN('Council Entry'!BD161,'Council Entry'!BD$9),'Council Entry'!BD$8),'Council Entry'!BD161)),IF(AND(ISNUMBER('Council Entry'!BD$8),ISNUMBER('Council Entry'!BD$9)),MAX(MIN('Council Entry'!BD161,'Council Entry'!BD$9),'Council Entry'!BD$8),'Council Entry'!BD161))))-'Council Entry'!BD$5)/('Council Entry'!BD$6-'Council Entry'!BD$5),10*((IF('Council Entry'!BD$4="Logarithm",LN(0.001+IF(AND(ISNUMBER('Council Entry'!BD$8),ISNUMBER('Council Entry'!BD$9)),MAX(MIN('Council Entry'!BD161,'Council Entry'!BD$9),'Council Entry'!BD$8),'Council Entry'!BD161)),IF('Council Entry'!BD$4="Exponential",EXP(IF(AND(ISNUMBER('Council Entry'!BD$8),ISNUMBER('Council Entry'!BD$9)),MAX(MIN('Council Entry'!BD161,'Council Entry'!BD$9),'Council Entry'!BD$8),'Council Entry'!BD161)),IF(AND(ISNUMBER('Council Entry'!BD$8),ISNUMBER('Council Entry'!BD$9)),MAX(MIN('Council Entry'!BD161,'Council Entry'!BD$9),'Council Entry'!BD$8),'Council Entry'!BD161))))-'Council Entry'!BD$5)/('Council Entry'!BD$6-'Council Entry'!BD$5)),1))),"No data"))</f>
        <v/>
      </c>
    </row>
    <row r="162">
      <c r="A162" t="inlineStr">
        <is>
          <t>Ruvuma</t>
        </is>
      </c>
      <c r="B162" t="inlineStr">
        <is>
          <t>Tunduru District</t>
        </is>
      </c>
      <c r="C162" t="inlineStr">
        <is>
          <t>C072</t>
        </is>
      </c>
      <c r="D162" s="13">
        <f>IF('Council Entry'!D162="","",IFERROR(MAX(0,MIN(10,ROUND(IF('Council Entry'!D$7="Decrease Risk",10-10*((IF('Council Entry'!D$4="Logarithm",LN(0.001+IF(AND(ISNUMBER('Council Entry'!D$8),ISNUMBER('Council Entry'!D$9)),MAX(MIN('Council Entry'!D162,'Council Entry'!D$9),'Council Entry'!D$8),'Council Entry'!D162)),IF('Council Entry'!D$4="Exponential",EXP(IF(AND(ISNUMBER('Council Entry'!D$8),ISNUMBER('Council Entry'!D$9)),MAX(MIN('Council Entry'!D162,'Council Entry'!D$9),'Council Entry'!D$8),'Council Entry'!D162)),IF(AND(ISNUMBER('Council Entry'!D$8),ISNUMBER('Council Entry'!D$9)),MAX(MIN('Council Entry'!D162,'Council Entry'!D$9),'Council Entry'!D$8),'Council Entry'!D162))))-'Council Entry'!D$5)/('Council Entry'!D$6-'Council Entry'!D$5),10*((IF('Council Entry'!D$4="Logarithm",LN(0.001+IF(AND(ISNUMBER('Council Entry'!D$8),ISNUMBER('Council Entry'!D$9)),MAX(MIN('Council Entry'!D162,'Council Entry'!D$9),'Council Entry'!D$8),'Council Entry'!D162)),IF('Council Entry'!D$4="Exponential",EXP(IF(AND(ISNUMBER('Council Entry'!D$8),ISNUMBER('Council Entry'!D$9)),MAX(MIN('Council Entry'!D162,'Council Entry'!D$9),'Council Entry'!D$8),'Council Entry'!D162)),IF(AND(ISNUMBER('Council Entry'!D$8),ISNUMBER('Council Entry'!D$9)),MAX(MIN('Council Entry'!D162,'Council Entry'!D$9),'Council Entry'!D$8),'Council Entry'!D162))))-'Council Entry'!D$5)/('Council Entry'!D$6-'Council Entry'!D$5)),1))),"No data"))</f>
        <v/>
      </c>
      <c r="E162" s="13">
        <f>IF('Council Entry'!E162="","",IFERROR(MAX(0,MIN(10,ROUND(IF('Council Entry'!E$7="Decrease Risk",10-10*((IF('Council Entry'!E$4="Logarithm",LN(0.001+IF(AND(ISNUMBER('Council Entry'!E$8),ISNUMBER('Council Entry'!E$9)),MAX(MIN('Council Entry'!E162,'Council Entry'!E$9),'Council Entry'!E$8),'Council Entry'!E162)),IF('Council Entry'!E$4="Exponential",EXP(IF(AND(ISNUMBER('Council Entry'!E$8),ISNUMBER('Council Entry'!E$9)),MAX(MIN('Council Entry'!E162,'Council Entry'!E$9),'Council Entry'!E$8),'Council Entry'!E162)),IF(AND(ISNUMBER('Council Entry'!E$8),ISNUMBER('Council Entry'!E$9)),MAX(MIN('Council Entry'!E162,'Council Entry'!E$9),'Council Entry'!E$8),'Council Entry'!E162))))-'Council Entry'!E$5)/('Council Entry'!E$6-'Council Entry'!E$5),10*((IF('Council Entry'!E$4="Logarithm",LN(0.001+IF(AND(ISNUMBER('Council Entry'!E$8),ISNUMBER('Council Entry'!E$9)),MAX(MIN('Council Entry'!E162,'Council Entry'!E$9),'Council Entry'!E$8),'Council Entry'!E162)),IF('Council Entry'!E$4="Exponential",EXP(IF(AND(ISNUMBER('Council Entry'!E$8),ISNUMBER('Council Entry'!E$9)),MAX(MIN('Council Entry'!E162,'Council Entry'!E$9),'Council Entry'!E$8),'Council Entry'!E162)),IF(AND(ISNUMBER('Council Entry'!E$8),ISNUMBER('Council Entry'!E$9)),MAX(MIN('Council Entry'!E162,'Council Entry'!E$9),'Council Entry'!E$8),'Council Entry'!E162))))-'Council Entry'!E$5)/('Council Entry'!E$6-'Council Entry'!E$5)),1))),"No data"))</f>
        <v/>
      </c>
      <c r="F162" s="13">
        <f>IF('Council Entry'!F162="","",IFERROR(MAX(0,MIN(10,ROUND(IF('Council Entry'!F$7="Decrease Risk",10-10*((IF('Council Entry'!F$4="Logarithm",LN(0.001+IF(AND(ISNUMBER('Council Entry'!F$8),ISNUMBER('Council Entry'!F$9)),MAX(MIN('Council Entry'!F162,'Council Entry'!F$9),'Council Entry'!F$8),'Council Entry'!F162)),IF('Council Entry'!F$4="Exponential",EXP(IF(AND(ISNUMBER('Council Entry'!F$8),ISNUMBER('Council Entry'!F$9)),MAX(MIN('Council Entry'!F162,'Council Entry'!F$9),'Council Entry'!F$8),'Council Entry'!F162)),IF(AND(ISNUMBER('Council Entry'!F$8),ISNUMBER('Council Entry'!F$9)),MAX(MIN('Council Entry'!F162,'Council Entry'!F$9),'Council Entry'!F$8),'Council Entry'!F162))))-'Council Entry'!F$5)/('Council Entry'!F$6-'Council Entry'!F$5),10*((IF('Council Entry'!F$4="Logarithm",LN(0.001+IF(AND(ISNUMBER('Council Entry'!F$8),ISNUMBER('Council Entry'!F$9)),MAX(MIN('Council Entry'!F162,'Council Entry'!F$9),'Council Entry'!F$8),'Council Entry'!F162)),IF('Council Entry'!F$4="Exponential",EXP(IF(AND(ISNUMBER('Council Entry'!F$8),ISNUMBER('Council Entry'!F$9)),MAX(MIN('Council Entry'!F162,'Council Entry'!F$9),'Council Entry'!F$8),'Council Entry'!F162)),IF(AND(ISNUMBER('Council Entry'!F$8),ISNUMBER('Council Entry'!F$9)),MAX(MIN('Council Entry'!F162,'Council Entry'!F$9),'Council Entry'!F$8),'Council Entry'!F162))))-'Council Entry'!F$5)/('Council Entry'!F$6-'Council Entry'!F$5)),1))),"No data"))</f>
        <v/>
      </c>
      <c r="G162" s="13">
        <f>IF('Council Entry'!G162="","",IFERROR(MAX(0,MIN(10,ROUND(IF('Council Entry'!G$7="Decrease Risk",10-10*((IF('Council Entry'!G$4="Logarithm",LN(0.001+IF(AND(ISNUMBER('Council Entry'!G$8),ISNUMBER('Council Entry'!G$9)),MAX(MIN('Council Entry'!G162,'Council Entry'!G$9),'Council Entry'!G$8),'Council Entry'!G162)),IF('Council Entry'!G$4="Exponential",EXP(IF(AND(ISNUMBER('Council Entry'!G$8),ISNUMBER('Council Entry'!G$9)),MAX(MIN('Council Entry'!G162,'Council Entry'!G$9),'Council Entry'!G$8),'Council Entry'!G162)),IF(AND(ISNUMBER('Council Entry'!G$8),ISNUMBER('Council Entry'!G$9)),MAX(MIN('Council Entry'!G162,'Council Entry'!G$9),'Council Entry'!G$8),'Council Entry'!G162))))-'Council Entry'!G$5)/('Council Entry'!G$6-'Council Entry'!G$5),10*((IF('Council Entry'!G$4="Logarithm",LN(0.001+IF(AND(ISNUMBER('Council Entry'!G$8),ISNUMBER('Council Entry'!G$9)),MAX(MIN('Council Entry'!G162,'Council Entry'!G$9),'Council Entry'!G$8),'Council Entry'!G162)),IF('Council Entry'!G$4="Exponential",EXP(IF(AND(ISNUMBER('Council Entry'!G$8),ISNUMBER('Council Entry'!G$9)),MAX(MIN('Council Entry'!G162,'Council Entry'!G$9),'Council Entry'!G$8),'Council Entry'!G162)),IF(AND(ISNUMBER('Council Entry'!G$8),ISNUMBER('Council Entry'!G$9)),MAX(MIN('Council Entry'!G162,'Council Entry'!G$9),'Council Entry'!G$8),'Council Entry'!G162))))-'Council Entry'!G$5)/('Council Entry'!G$6-'Council Entry'!G$5)),1))),"No data"))</f>
        <v/>
      </c>
      <c r="H162" s="13">
        <f>IF('Council Entry'!H162="","",IFERROR(MAX(0,MIN(10,ROUND(IF('Council Entry'!H$7="Decrease Risk",10-10*((IF('Council Entry'!H$4="Logarithm",LN(0.001+IF(AND(ISNUMBER('Council Entry'!H$8),ISNUMBER('Council Entry'!H$9)),MAX(MIN('Council Entry'!H162,'Council Entry'!H$9),'Council Entry'!H$8),'Council Entry'!H162)),IF('Council Entry'!H$4="Exponential",EXP(IF(AND(ISNUMBER('Council Entry'!H$8),ISNUMBER('Council Entry'!H$9)),MAX(MIN('Council Entry'!H162,'Council Entry'!H$9),'Council Entry'!H$8),'Council Entry'!H162)),IF(AND(ISNUMBER('Council Entry'!H$8),ISNUMBER('Council Entry'!H$9)),MAX(MIN('Council Entry'!H162,'Council Entry'!H$9),'Council Entry'!H$8),'Council Entry'!H162))))-'Council Entry'!H$5)/('Council Entry'!H$6-'Council Entry'!H$5),10*((IF('Council Entry'!H$4="Logarithm",LN(0.001+IF(AND(ISNUMBER('Council Entry'!H$8),ISNUMBER('Council Entry'!H$9)),MAX(MIN('Council Entry'!H162,'Council Entry'!H$9),'Council Entry'!H$8),'Council Entry'!H162)),IF('Council Entry'!H$4="Exponential",EXP(IF(AND(ISNUMBER('Council Entry'!H$8),ISNUMBER('Council Entry'!H$9)),MAX(MIN('Council Entry'!H162,'Council Entry'!H$9),'Council Entry'!H$8),'Council Entry'!H162)),IF(AND(ISNUMBER('Council Entry'!H$8),ISNUMBER('Council Entry'!H$9)),MAX(MIN('Council Entry'!H162,'Council Entry'!H$9),'Council Entry'!H$8),'Council Entry'!H162))))-'Council Entry'!H$5)/('Council Entry'!H$6-'Council Entry'!H$5)),1))),"No data"))</f>
        <v/>
      </c>
      <c r="I162" s="13">
        <f>IF('Council Entry'!I162="","",IFERROR(MAX(0,MIN(10,ROUND(IF('Council Entry'!I$7="Decrease Risk",10-10*((IF('Council Entry'!I$4="Logarithm",LN(0.001+IF(AND(ISNUMBER('Council Entry'!I$8),ISNUMBER('Council Entry'!I$9)),MAX(MIN('Council Entry'!I162,'Council Entry'!I$9),'Council Entry'!I$8),'Council Entry'!I162)),IF('Council Entry'!I$4="Exponential",EXP(IF(AND(ISNUMBER('Council Entry'!I$8),ISNUMBER('Council Entry'!I$9)),MAX(MIN('Council Entry'!I162,'Council Entry'!I$9),'Council Entry'!I$8),'Council Entry'!I162)),IF(AND(ISNUMBER('Council Entry'!I$8),ISNUMBER('Council Entry'!I$9)),MAX(MIN('Council Entry'!I162,'Council Entry'!I$9),'Council Entry'!I$8),'Council Entry'!I162))))-'Council Entry'!I$5)/('Council Entry'!I$6-'Council Entry'!I$5),10*((IF('Council Entry'!I$4="Logarithm",LN(0.001+IF(AND(ISNUMBER('Council Entry'!I$8),ISNUMBER('Council Entry'!I$9)),MAX(MIN('Council Entry'!I162,'Council Entry'!I$9),'Council Entry'!I$8),'Council Entry'!I162)),IF('Council Entry'!I$4="Exponential",EXP(IF(AND(ISNUMBER('Council Entry'!I$8),ISNUMBER('Council Entry'!I$9)),MAX(MIN('Council Entry'!I162,'Council Entry'!I$9),'Council Entry'!I$8),'Council Entry'!I162)),IF(AND(ISNUMBER('Council Entry'!I$8),ISNUMBER('Council Entry'!I$9)),MAX(MIN('Council Entry'!I162,'Council Entry'!I$9),'Council Entry'!I$8),'Council Entry'!I162))))-'Council Entry'!I$5)/('Council Entry'!I$6-'Council Entry'!I$5)),1))),"No data"))</f>
        <v/>
      </c>
      <c r="J162" s="13">
        <f>IF('Council Entry'!J162="","",IFERROR(MAX(0,MIN(10,ROUND(IF('Council Entry'!J$7="Decrease Risk",10-10*((IF('Council Entry'!J$4="Logarithm",LN(0.001+IF(AND(ISNUMBER('Council Entry'!J$8),ISNUMBER('Council Entry'!J$9)),MAX(MIN('Council Entry'!J162,'Council Entry'!J$9),'Council Entry'!J$8),'Council Entry'!J162)),IF('Council Entry'!J$4="Exponential",EXP(IF(AND(ISNUMBER('Council Entry'!J$8),ISNUMBER('Council Entry'!J$9)),MAX(MIN('Council Entry'!J162,'Council Entry'!J$9),'Council Entry'!J$8),'Council Entry'!J162)),IF(AND(ISNUMBER('Council Entry'!J$8),ISNUMBER('Council Entry'!J$9)),MAX(MIN('Council Entry'!J162,'Council Entry'!J$9),'Council Entry'!J$8),'Council Entry'!J162))))-'Council Entry'!J$5)/('Council Entry'!J$6-'Council Entry'!J$5),10*((IF('Council Entry'!J$4="Logarithm",LN(0.001+IF(AND(ISNUMBER('Council Entry'!J$8),ISNUMBER('Council Entry'!J$9)),MAX(MIN('Council Entry'!J162,'Council Entry'!J$9),'Council Entry'!J$8),'Council Entry'!J162)),IF('Council Entry'!J$4="Exponential",EXP(IF(AND(ISNUMBER('Council Entry'!J$8),ISNUMBER('Council Entry'!J$9)),MAX(MIN('Council Entry'!J162,'Council Entry'!J$9),'Council Entry'!J$8),'Council Entry'!J162)),IF(AND(ISNUMBER('Council Entry'!J$8),ISNUMBER('Council Entry'!J$9)),MAX(MIN('Council Entry'!J162,'Council Entry'!J$9),'Council Entry'!J$8),'Council Entry'!J162))))-'Council Entry'!J$5)/('Council Entry'!J$6-'Council Entry'!J$5)),1))),"No data"))</f>
        <v/>
      </c>
      <c r="K162" s="13">
        <f>IF('Council Entry'!K162="","",IFERROR(MAX(0,MIN(10,ROUND(IF('Council Entry'!K$7="Decrease Risk",10-10*((IF('Council Entry'!K$4="Logarithm",LN(0.001+IF(AND(ISNUMBER('Council Entry'!K$8),ISNUMBER('Council Entry'!K$9)),MAX(MIN('Council Entry'!K162,'Council Entry'!K$9),'Council Entry'!K$8),'Council Entry'!K162)),IF('Council Entry'!K$4="Exponential",EXP(IF(AND(ISNUMBER('Council Entry'!K$8),ISNUMBER('Council Entry'!K$9)),MAX(MIN('Council Entry'!K162,'Council Entry'!K$9),'Council Entry'!K$8),'Council Entry'!K162)),IF(AND(ISNUMBER('Council Entry'!K$8),ISNUMBER('Council Entry'!K$9)),MAX(MIN('Council Entry'!K162,'Council Entry'!K$9),'Council Entry'!K$8),'Council Entry'!K162))))-'Council Entry'!K$5)/('Council Entry'!K$6-'Council Entry'!K$5),10*((IF('Council Entry'!K$4="Logarithm",LN(0.001+IF(AND(ISNUMBER('Council Entry'!K$8),ISNUMBER('Council Entry'!K$9)),MAX(MIN('Council Entry'!K162,'Council Entry'!K$9),'Council Entry'!K$8),'Council Entry'!K162)),IF('Council Entry'!K$4="Exponential",EXP(IF(AND(ISNUMBER('Council Entry'!K$8),ISNUMBER('Council Entry'!K$9)),MAX(MIN('Council Entry'!K162,'Council Entry'!K$9),'Council Entry'!K$8),'Council Entry'!K162)),IF(AND(ISNUMBER('Council Entry'!K$8),ISNUMBER('Council Entry'!K$9)),MAX(MIN('Council Entry'!K162,'Council Entry'!K$9),'Council Entry'!K$8),'Council Entry'!K162))))-'Council Entry'!K$5)/('Council Entry'!K$6-'Council Entry'!K$5)),1))),"No data"))</f>
        <v/>
      </c>
      <c r="L162" s="13">
        <f>IF('Council Entry'!L162="","",IFERROR(MAX(0,MIN(10,ROUND(IF('Council Entry'!L$7="Decrease Risk",10-10*((IF('Council Entry'!L$4="Logarithm",LN(0.001+IF(AND(ISNUMBER('Council Entry'!L$8),ISNUMBER('Council Entry'!L$9)),MAX(MIN('Council Entry'!L162,'Council Entry'!L$9),'Council Entry'!L$8),'Council Entry'!L162)),IF('Council Entry'!L$4="Exponential",EXP(IF(AND(ISNUMBER('Council Entry'!L$8),ISNUMBER('Council Entry'!L$9)),MAX(MIN('Council Entry'!L162,'Council Entry'!L$9),'Council Entry'!L$8),'Council Entry'!L162)),IF(AND(ISNUMBER('Council Entry'!L$8),ISNUMBER('Council Entry'!L$9)),MAX(MIN('Council Entry'!L162,'Council Entry'!L$9),'Council Entry'!L$8),'Council Entry'!L162))))-'Council Entry'!L$5)/('Council Entry'!L$6-'Council Entry'!L$5),10*((IF('Council Entry'!L$4="Logarithm",LN(0.001+IF(AND(ISNUMBER('Council Entry'!L$8),ISNUMBER('Council Entry'!L$9)),MAX(MIN('Council Entry'!L162,'Council Entry'!L$9),'Council Entry'!L$8),'Council Entry'!L162)),IF('Council Entry'!L$4="Exponential",EXP(IF(AND(ISNUMBER('Council Entry'!L$8),ISNUMBER('Council Entry'!L$9)),MAX(MIN('Council Entry'!L162,'Council Entry'!L$9),'Council Entry'!L$8),'Council Entry'!L162)),IF(AND(ISNUMBER('Council Entry'!L$8),ISNUMBER('Council Entry'!L$9)),MAX(MIN('Council Entry'!L162,'Council Entry'!L$9),'Council Entry'!L$8),'Council Entry'!L162))))-'Council Entry'!L$5)/('Council Entry'!L$6-'Council Entry'!L$5)),1))),"No data"))</f>
        <v/>
      </c>
      <c r="M162" s="13">
        <f>IF('Council Entry'!M162="","",IFERROR(MAX(0,MIN(10,ROUND(IF('Council Entry'!M$7="Decrease Risk",10-10*((IF('Council Entry'!M$4="Logarithm",LN(0.001+IF(AND(ISNUMBER('Council Entry'!M$8),ISNUMBER('Council Entry'!M$9)),MAX(MIN('Council Entry'!M162,'Council Entry'!M$9),'Council Entry'!M$8),'Council Entry'!M162)),IF('Council Entry'!M$4="Exponential",EXP(IF(AND(ISNUMBER('Council Entry'!M$8),ISNUMBER('Council Entry'!M$9)),MAX(MIN('Council Entry'!M162,'Council Entry'!M$9),'Council Entry'!M$8),'Council Entry'!M162)),IF(AND(ISNUMBER('Council Entry'!M$8),ISNUMBER('Council Entry'!M$9)),MAX(MIN('Council Entry'!M162,'Council Entry'!M$9),'Council Entry'!M$8),'Council Entry'!M162))))-'Council Entry'!M$5)/('Council Entry'!M$6-'Council Entry'!M$5),10*((IF('Council Entry'!M$4="Logarithm",LN(0.001+IF(AND(ISNUMBER('Council Entry'!M$8),ISNUMBER('Council Entry'!M$9)),MAX(MIN('Council Entry'!M162,'Council Entry'!M$9),'Council Entry'!M$8),'Council Entry'!M162)),IF('Council Entry'!M$4="Exponential",EXP(IF(AND(ISNUMBER('Council Entry'!M$8),ISNUMBER('Council Entry'!M$9)),MAX(MIN('Council Entry'!M162,'Council Entry'!M$9),'Council Entry'!M$8),'Council Entry'!M162)),IF(AND(ISNUMBER('Council Entry'!M$8),ISNUMBER('Council Entry'!M$9)),MAX(MIN('Council Entry'!M162,'Council Entry'!M$9),'Council Entry'!M$8),'Council Entry'!M162))))-'Council Entry'!M$5)/('Council Entry'!M$6-'Council Entry'!M$5)),1))),"No data"))</f>
        <v/>
      </c>
      <c r="N162" s="13">
        <f>IF('Council Entry'!N162="","",IFERROR(MAX(0,MIN(10,ROUND(IF('Council Entry'!N$7="Decrease Risk",10-10*((IF('Council Entry'!N$4="Logarithm",LN(0.001+IF(AND(ISNUMBER('Council Entry'!N$8),ISNUMBER('Council Entry'!N$9)),MAX(MIN('Council Entry'!N162,'Council Entry'!N$9),'Council Entry'!N$8),'Council Entry'!N162)),IF('Council Entry'!N$4="Exponential",EXP(IF(AND(ISNUMBER('Council Entry'!N$8),ISNUMBER('Council Entry'!N$9)),MAX(MIN('Council Entry'!N162,'Council Entry'!N$9),'Council Entry'!N$8),'Council Entry'!N162)),IF(AND(ISNUMBER('Council Entry'!N$8),ISNUMBER('Council Entry'!N$9)),MAX(MIN('Council Entry'!N162,'Council Entry'!N$9),'Council Entry'!N$8),'Council Entry'!N162))))-'Council Entry'!N$5)/('Council Entry'!N$6-'Council Entry'!N$5),10*((IF('Council Entry'!N$4="Logarithm",LN(0.001+IF(AND(ISNUMBER('Council Entry'!N$8),ISNUMBER('Council Entry'!N$9)),MAX(MIN('Council Entry'!N162,'Council Entry'!N$9),'Council Entry'!N$8),'Council Entry'!N162)),IF('Council Entry'!N$4="Exponential",EXP(IF(AND(ISNUMBER('Council Entry'!N$8),ISNUMBER('Council Entry'!N$9)),MAX(MIN('Council Entry'!N162,'Council Entry'!N$9),'Council Entry'!N$8),'Council Entry'!N162)),IF(AND(ISNUMBER('Council Entry'!N$8),ISNUMBER('Council Entry'!N$9)),MAX(MIN('Council Entry'!N162,'Council Entry'!N$9),'Council Entry'!N$8),'Council Entry'!N162))))-'Council Entry'!N$5)/('Council Entry'!N$6-'Council Entry'!N$5)),1))),"No data"))</f>
        <v/>
      </c>
      <c r="O162" s="13">
        <f>IF('Council Entry'!O162="","",IFERROR(MAX(0,MIN(10,ROUND(IF('Council Entry'!O$7="Decrease Risk",10-10*((IF('Council Entry'!O$4="Logarithm",LN(0.001+IF(AND(ISNUMBER('Council Entry'!O$8),ISNUMBER('Council Entry'!O$9)),MAX(MIN('Council Entry'!O162,'Council Entry'!O$9),'Council Entry'!O$8),'Council Entry'!O162)),IF('Council Entry'!O$4="Exponential",EXP(IF(AND(ISNUMBER('Council Entry'!O$8),ISNUMBER('Council Entry'!O$9)),MAX(MIN('Council Entry'!O162,'Council Entry'!O$9),'Council Entry'!O$8),'Council Entry'!O162)),IF(AND(ISNUMBER('Council Entry'!O$8),ISNUMBER('Council Entry'!O$9)),MAX(MIN('Council Entry'!O162,'Council Entry'!O$9),'Council Entry'!O$8),'Council Entry'!O162))))-'Council Entry'!O$5)/('Council Entry'!O$6-'Council Entry'!O$5),10*((IF('Council Entry'!O$4="Logarithm",LN(0.001+IF(AND(ISNUMBER('Council Entry'!O$8),ISNUMBER('Council Entry'!O$9)),MAX(MIN('Council Entry'!O162,'Council Entry'!O$9),'Council Entry'!O$8),'Council Entry'!O162)),IF('Council Entry'!O$4="Exponential",EXP(IF(AND(ISNUMBER('Council Entry'!O$8),ISNUMBER('Council Entry'!O$9)),MAX(MIN('Council Entry'!O162,'Council Entry'!O$9),'Council Entry'!O$8),'Council Entry'!O162)),IF(AND(ISNUMBER('Council Entry'!O$8),ISNUMBER('Council Entry'!O$9)),MAX(MIN('Council Entry'!O162,'Council Entry'!O$9),'Council Entry'!O$8),'Council Entry'!O162))))-'Council Entry'!O$5)/('Council Entry'!O$6-'Council Entry'!O$5)),1))),"No data"))</f>
        <v/>
      </c>
      <c r="P162" s="13">
        <f>IF('Council Entry'!P162="","",IFERROR(MAX(0,MIN(10,ROUND(IF('Council Entry'!P$7="Decrease Risk",10-10*((IF('Council Entry'!P$4="Logarithm",LN(0.001+IF(AND(ISNUMBER('Council Entry'!P$8),ISNUMBER('Council Entry'!P$9)),MAX(MIN('Council Entry'!P162,'Council Entry'!P$9),'Council Entry'!P$8),'Council Entry'!P162)),IF('Council Entry'!P$4="Exponential",EXP(IF(AND(ISNUMBER('Council Entry'!P$8),ISNUMBER('Council Entry'!P$9)),MAX(MIN('Council Entry'!P162,'Council Entry'!P$9),'Council Entry'!P$8),'Council Entry'!P162)),IF(AND(ISNUMBER('Council Entry'!P$8),ISNUMBER('Council Entry'!P$9)),MAX(MIN('Council Entry'!P162,'Council Entry'!P$9),'Council Entry'!P$8),'Council Entry'!P162))))-'Council Entry'!P$5)/('Council Entry'!P$6-'Council Entry'!P$5),10*((IF('Council Entry'!P$4="Logarithm",LN(0.001+IF(AND(ISNUMBER('Council Entry'!P$8),ISNUMBER('Council Entry'!P$9)),MAX(MIN('Council Entry'!P162,'Council Entry'!P$9),'Council Entry'!P$8),'Council Entry'!P162)),IF('Council Entry'!P$4="Exponential",EXP(IF(AND(ISNUMBER('Council Entry'!P$8),ISNUMBER('Council Entry'!P$9)),MAX(MIN('Council Entry'!P162,'Council Entry'!P$9),'Council Entry'!P$8),'Council Entry'!P162)),IF(AND(ISNUMBER('Council Entry'!P$8),ISNUMBER('Council Entry'!P$9)),MAX(MIN('Council Entry'!P162,'Council Entry'!P$9),'Council Entry'!P$8),'Council Entry'!P162))))-'Council Entry'!P$5)/('Council Entry'!P$6-'Council Entry'!P$5)),1))),"No data"))</f>
        <v/>
      </c>
      <c r="Q162" s="13">
        <f>IF('Council Entry'!Q162="","",IFERROR(MAX(0,MIN(10,ROUND(IF('Council Entry'!Q$7="Decrease Risk",10-10*((IF('Council Entry'!Q$4="Logarithm",LN(0.001+IF(AND(ISNUMBER('Council Entry'!Q$8),ISNUMBER('Council Entry'!Q$9)),MAX(MIN('Council Entry'!Q162,'Council Entry'!Q$9),'Council Entry'!Q$8),'Council Entry'!Q162)),IF('Council Entry'!Q$4="Exponential",EXP(IF(AND(ISNUMBER('Council Entry'!Q$8),ISNUMBER('Council Entry'!Q$9)),MAX(MIN('Council Entry'!Q162,'Council Entry'!Q$9),'Council Entry'!Q$8),'Council Entry'!Q162)),IF(AND(ISNUMBER('Council Entry'!Q$8),ISNUMBER('Council Entry'!Q$9)),MAX(MIN('Council Entry'!Q162,'Council Entry'!Q$9),'Council Entry'!Q$8),'Council Entry'!Q162))))-'Council Entry'!Q$5)/('Council Entry'!Q$6-'Council Entry'!Q$5),10*((IF('Council Entry'!Q$4="Logarithm",LN(0.001+IF(AND(ISNUMBER('Council Entry'!Q$8),ISNUMBER('Council Entry'!Q$9)),MAX(MIN('Council Entry'!Q162,'Council Entry'!Q$9),'Council Entry'!Q$8),'Council Entry'!Q162)),IF('Council Entry'!Q$4="Exponential",EXP(IF(AND(ISNUMBER('Council Entry'!Q$8),ISNUMBER('Council Entry'!Q$9)),MAX(MIN('Council Entry'!Q162,'Council Entry'!Q$9),'Council Entry'!Q$8),'Council Entry'!Q162)),IF(AND(ISNUMBER('Council Entry'!Q$8),ISNUMBER('Council Entry'!Q$9)),MAX(MIN('Council Entry'!Q162,'Council Entry'!Q$9),'Council Entry'!Q$8),'Council Entry'!Q162))))-'Council Entry'!Q$5)/('Council Entry'!Q$6-'Council Entry'!Q$5)),1))),"No data"))</f>
        <v/>
      </c>
      <c r="R162" s="13">
        <f>IF('Council Entry'!R162="","",IFERROR(MAX(0,MIN(10,ROUND(IF('Council Entry'!R$7="Decrease Risk",10-10*((IF('Council Entry'!R$4="Logarithm",LN(0.001+IF(AND(ISNUMBER('Council Entry'!R$8),ISNUMBER('Council Entry'!R$9)),MAX(MIN('Council Entry'!R162,'Council Entry'!R$9),'Council Entry'!R$8),'Council Entry'!R162)),IF('Council Entry'!R$4="Exponential",EXP(IF(AND(ISNUMBER('Council Entry'!R$8),ISNUMBER('Council Entry'!R$9)),MAX(MIN('Council Entry'!R162,'Council Entry'!R$9),'Council Entry'!R$8),'Council Entry'!R162)),IF(AND(ISNUMBER('Council Entry'!R$8),ISNUMBER('Council Entry'!R$9)),MAX(MIN('Council Entry'!R162,'Council Entry'!R$9),'Council Entry'!R$8),'Council Entry'!R162))))-'Council Entry'!R$5)/('Council Entry'!R$6-'Council Entry'!R$5),10*((IF('Council Entry'!R$4="Logarithm",LN(0.001+IF(AND(ISNUMBER('Council Entry'!R$8),ISNUMBER('Council Entry'!R$9)),MAX(MIN('Council Entry'!R162,'Council Entry'!R$9),'Council Entry'!R$8),'Council Entry'!R162)),IF('Council Entry'!R$4="Exponential",EXP(IF(AND(ISNUMBER('Council Entry'!R$8),ISNUMBER('Council Entry'!R$9)),MAX(MIN('Council Entry'!R162,'Council Entry'!R$9),'Council Entry'!R$8),'Council Entry'!R162)),IF(AND(ISNUMBER('Council Entry'!R$8),ISNUMBER('Council Entry'!R$9)),MAX(MIN('Council Entry'!R162,'Council Entry'!R$9),'Council Entry'!R$8),'Council Entry'!R162))))-'Council Entry'!R$5)/('Council Entry'!R$6-'Council Entry'!R$5)),1))),"No data"))</f>
        <v/>
      </c>
      <c r="S162" s="13">
        <f>IF('Council Entry'!S162="","",IFERROR(MAX(0,MIN(10,ROUND(IF('Council Entry'!S$7="Decrease Risk",10-10*((IF('Council Entry'!S$4="Logarithm",LN(0.001+IF(AND(ISNUMBER('Council Entry'!S$8),ISNUMBER('Council Entry'!S$9)),MAX(MIN('Council Entry'!S162,'Council Entry'!S$9),'Council Entry'!S$8),'Council Entry'!S162)),IF('Council Entry'!S$4="Exponential",EXP(IF(AND(ISNUMBER('Council Entry'!S$8),ISNUMBER('Council Entry'!S$9)),MAX(MIN('Council Entry'!S162,'Council Entry'!S$9),'Council Entry'!S$8),'Council Entry'!S162)),IF(AND(ISNUMBER('Council Entry'!S$8),ISNUMBER('Council Entry'!S$9)),MAX(MIN('Council Entry'!S162,'Council Entry'!S$9),'Council Entry'!S$8),'Council Entry'!S162))))-'Council Entry'!S$5)/('Council Entry'!S$6-'Council Entry'!S$5),10*((IF('Council Entry'!S$4="Logarithm",LN(0.001+IF(AND(ISNUMBER('Council Entry'!S$8),ISNUMBER('Council Entry'!S$9)),MAX(MIN('Council Entry'!S162,'Council Entry'!S$9),'Council Entry'!S$8),'Council Entry'!S162)),IF('Council Entry'!S$4="Exponential",EXP(IF(AND(ISNUMBER('Council Entry'!S$8),ISNUMBER('Council Entry'!S$9)),MAX(MIN('Council Entry'!S162,'Council Entry'!S$9),'Council Entry'!S$8),'Council Entry'!S162)),IF(AND(ISNUMBER('Council Entry'!S$8),ISNUMBER('Council Entry'!S$9)),MAX(MIN('Council Entry'!S162,'Council Entry'!S$9),'Council Entry'!S$8),'Council Entry'!S162))))-'Council Entry'!S$5)/('Council Entry'!S$6-'Council Entry'!S$5)),1))),"No data"))</f>
        <v/>
      </c>
      <c r="T162" s="13">
        <f>IF('Council Entry'!T162="","",IFERROR(MAX(0,MIN(10,ROUND(IF('Council Entry'!T$7="Decrease Risk",10-10*((IF('Council Entry'!T$4="Logarithm",LN(0.001+IF(AND(ISNUMBER('Council Entry'!T$8),ISNUMBER('Council Entry'!T$9)),MAX(MIN('Council Entry'!T162,'Council Entry'!T$9),'Council Entry'!T$8),'Council Entry'!T162)),IF('Council Entry'!T$4="Exponential",EXP(IF(AND(ISNUMBER('Council Entry'!T$8),ISNUMBER('Council Entry'!T$9)),MAX(MIN('Council Entry'!T162,'Council Entry'!T$9),'Council Entry'!T$8),'Council Entry'!T162)),IF(AND(ISNUMBER('Council Entry'!T$8),ISNUMBER('Council Entry'!T$9)),MAX(MIN('Council Entry'!T162,'Council Entry'!T$9),'Council Entry'!T$8),'Council Entry'!T162))))-'Council Entry'!T$5)/('Council Entry'!T$6-'Council Entry'!T$5),10*((IF('Council Entry'!T$4="Logarithm",LN(0.001+IF(AND(ISNUMBER('Council Entry'!T$8),ISNUMBER('Council Entry'!T$9)),MAX(MIN('Council Entry'!T162,'Council Entry'!T$9),'Council Entry'!T$8),'Council Entry'!T162)),IF('Council Entry'!T$4="Exponential",EXP(IF(AND(ISNUMBER('Council Entry'!T$8),ISNUMBER('Council Entry'!T$9)),MAX(MIN('Council Entry'!T162,'Council Entry'!T$9),'Council Entry'!T$8),'Council Entry'!T162)),IF(AND(ISNUMBER('Council Entry'!T$8),ISNUMBER('Council Entry'!T$9)),MAX(MIN('Council Entry'!T162,'Council Entry'!T$9),'Council Entry'!T$8),'Council Entry'!T162))))-'Council Entry'!T$5)/('Council Entry'!T$6-'Council Entry'!T$5)),1))),"No data"))</f>
        <v/>
      </c>
      <c r="U162" s="13">
        <f>IF('Council Entry'!U162="","",IFERROR(MAX(0,MIN(10,ROUND(IF('Council Entry'!U$7="Decrease Risk",10-10*((IF('Council Entry'!U$4="Logarithm",LN(0.001+IF(AND(ISNUMBER('Council Entry'!U$8),ISNUMBER('Council Entry'!U$9)),MAX(MIN('Council Entry'!U162,'Council Entry'!U$9),'Council Entry'!U$8),'Council Entry'!U162)),IF('Council Entry'!U$4="Exponential",EXP(IF(AND(ISNUMBER('Council Entry'!U$8),ISNUMBER('Council Entry'!U$9)),MAX(MIN('Council Entry'!U162,'Council Entry'!U$9),'Council Entry'!U$8),'Council Entry'!U162)),IF(AND(ISNUMBER('Council Entry'!U$8),ISNUMBER('Council Entry'!U$9)),MAX(MIN('Council Entry'!U162,'Council Entry'!U$9),'Council Entry'!U$8),'Council Entry'!U162))))-'Council Entry'!U$5)/('Council Entry'!U$6-'Council Entry'!U$5),10*((IF('Council Entry'!U$4="Logarithm",LN(0.001+IF(AND(ISNUMBER('Council Entry'!U$8),ISNUMBER('Council Entry'!U$9)),MAX(MIN('Council Entry'!U162,'Council Entry'!U$9),'Council Entry'!U$8),'Council Entry'!U162)),IF('Council Entry'!U$4="Exponential",EXP(IF(AND(ISNUMBER('Council Entry'!U$8),ISNUMBER('Council Entry'!U$9)),MAX(MIN('Council Entry'!U162,'Council Entry'!U$9),'Council Entry'!U$8),'Council Entry'!U162)),IF(AND(ISNUMBER('Council Entry'!U$8),ISNUMBER('Council Entry'!U$9)),MAX(MIN('Council Entry'!U162,'Council Entry'!U$9),'Council Entry'!U$8),'Council Entry'!U162))))-'Council Entry'!U$5)/('Council Entry'!U$6-'Council Entry'!U$5)),1))),"No data"))</f>
        <v/>
      </c>
      <c r="V162" s="13">
        <f>IF('Council Entry'!V162="","",IFERROR(MAX(0,MIN(10,ROUND(IF('Council Entry'!V$7="Decrease Risk",10-10*((IF('Council Entry'!V$4="Logarithm",LN(0.001+IF(AND(ISNUMBER('Council Entry'!V$8),ISNUMBER('Council Entry'!V$9)),MAX(MIN('Council Entry'!V162,'Council Entry'!V$9),'Council Entry'!V$8),'Council Entry'!V162)),IF('Council Entry'!V$4="Exponential",EXP(IF(AND(ISNUMBER('Council Entry'!V$8),ISNUMBER('Council Entry'!V$9)),MAX(MIN('Council Entry'!V162,'Council Entry'!V$9),'Council Entry'!V$8),'Council Entry'!V162)),IF(AND(ISNUMBER('Council Entry'!V$8),ISNUMBER('Council Entry'!V$9)),MAX(MIN('Council Entry'!V162,'Council Entry'!V$9),'Council Entry'!V$8),'Council Entry'!V162))))-'Council Entry'!V$5)/('Council Entry'!V$6-'Council Entry'!V$5),10*((IF('Council Entry'!V$4="Logarithm",LN(0.001+IF(AND(ISNUMBER('Council Entry'!V$8),ISNUMBER('Council Entry'!V$9)),MAX(MIN('Council Entry'!V162,'Council Entry'!V$9),'Council Entry'!V$8),'Council Entry'!V162)),IF('Council Entry'!V$4="Exponential",EXP(IF(AND(ISNUMBER('Council Entry'!V$8),ISNUMBER('Council Entry'!V$9)),MAX(MIN('Council Entry'!V162,'Council Entry'!V$9),'Council Entry'!V$8),'Council Entry'!V162)),IF(AND(ISNUMBER('Council Entry'!V$8),ISNUMBER('Council Entry'!V$9)),MAX(MIN('Council Entry'!V162,'Council Entry'!V$9),'Council Entry'!V$8),'Council Entry'!V162))))-'Council Entry'!V$5)/('Council Entry'!V$6-'Council Entry'!V$5)),1))),"No data"))</f>
        <v/>
      </c>
      <c r="W162" s="13">
        <f>IF('Council Entry'!W162="","",IFERROR(MAX(0,MIN(10,ROUND(IF('Council Entry'!W$7="Decrease Risk",10-10*((IF('Council Entry'!W$4="Logarithm",LN(0.001+IF(AND(ISNUMBER('Council Entry'!W$8),ISNUMBER('Council Entry'!W$9)),MAX(MIN('Council Entry'!W162,'Council Entry'!W$9),'Council Entry'!W$8),'Council Entry'!W162)),IF('Council Entry'!W$4="Exponential",EXP(IF(AND(ISNUMBER('Council Entry'!W$8),ISNUMBER('Council Entry'!W$9)),MAX(MIN('Council Entry'!W162,'Council Entry'!W$9),'Council Entry'!W$8),'Council Entry'!W162)),IF(AND(ISNUMBER('Council Entry'!W$8),ISNUMBER('Council Entry'!W$9)),MAX(MIN('Council Entry'!W162,'Council Entry'!W$9),'Council Entry'!W$8),'Council Entry'!W162))))-'Council Entry'!W$5)/('Council Entry'!W$6-'Council Entry'!W$5),10*((IF('Council Entry'!W$4="Logarithm",LN(0.001+IF(AND(ISNUMBER('Council Entry'!W$8),ISNUMBER('Council Entry'!W$9)),MAX(MIN('Council Entry'!W162,'Council Entry'!W$9),'Council Entry'!W$8),'Council Entry'!W162)),IF('Council Entry'!W$4="Exponential",EXP(IF(AND(ISNUMBER('Council Entry'!W$8),ISNUMBER('Council Entry'!W$9)),MAX(MIN('Council Entry'!W162,'Council Entry'!W$9),'Council Entry'!W$8),'Council Entry'!W162)),IF(AND(ISNUMBER('Council Entry'!W$8),ISNUMBER('Council Entry'!W$9)),MAX(MIN('Council Entry'!W162,'Council Entry'!W$9),'Council Entry'!W$8),'Council Entry'!W162))))-'Council Entry'!W$5)/('Council Entry'!W$6-'Council Entry'!W$5)),1))),"No data"))</f>
        <v/>
      </c>
      <c r="X162" s="13">
        <f>IF('Council Entry'!X162="","",IFERROR(MAX(0,MIN(10,ROUND(IF('Council Entry'!X$7="Decrease Risk",10-10*((IF('Council Entry'!X$4="Logarithm",LN(0.001+IF(AND(ISNUMBER('Council Entry'!X$8),ISNUMBER('Council Entry'!X$9)),MAX(MIN('Council Entry'!X162,'Council Entry'!X$9),'Council Entry'!X$8),'Council Entry'!X162)),IF('Council Entry'!X$4="Exponential",EXP(IF(AND(ISNUMBER('Council Entry'!X$8),ISNUMBER('Council Entry'!X$9)),MAX(MIN('Council Entry'!X162,'Council Entry'!X$9),'Council Entry'!X$8),'Council Entry'!X162)),IF(AND(ISNUMBER('Council Entry'!X$8),ISNUMBER('Council Entry'!X$9)),MAX(MIN('Council Entry'!X162,'Council Entry'!X$9),'Council Entry'!X$8),'Council Entry'!X162))))-'Council Entry'!X$5)/('Council Entry'!X$6-'Council Entry'!X$5),10*((IF('Council Entry'!X$4="Logarithm",LN(0.001+IF(AND(ISNUMBER('Council Entry'!X$8),ISNUMBER('Council Entry'!X$9)),MAX(MIN('Council Entry'!X162,'Council Entry'!X$9),'Council Entry'!X$8),'Council Entry'!X162)),IF('Council Entry'!X$4="Exponential",EXP(IF(AND(ISNUMBER('Council Entry'!X$8),ISNUMBER('Council Entry'!X$9)),MAX(MIN('Council Entry'!X162,'Council Entry'!X$9),'Council Entry'!X$8),'Council Entry'!X162)),IF(AND(ISNUMBER('Council Entry'!X$8),ISNUMBER('Council Entry'!X$9)),MAX(MIN('Council Entry'!X162,'Council Entry'!X$9),'Council Entry'!X$8),'Council Entry'!X162))))-'Council Entry'!X$5)/('Council Entry'!X$6-'Council Entry'!X$5)),1))),"No data"))</f>
        <v/>
      </c>
      <c r="Y162" s="13">
        <f>IF('Council Entry'!Y162="","",IFERROR(MAX(0,MIN(10,ROUND(IF('Council Entry'!Y$7="Decrease Risk",10-10*((IF('Council Entry'!Y$4="Logarithm",LN(0.001+IF(AND(ISNUMBER('Council Entry'!Y$8),ISNUMBER('Council Entry'!Y$9)),MAX(MIN('Council Entry'!Y162,'Council Entry'!Y$9),'Council Entry'!Y$8),'Council Entry'!Y162)),IF('Council Entry'!Y$4="Exponential",EXP(IF(AND(ISNUMBER('Council Entry'!Y$8),ISNUMBER('Council Entry'!Y$9)),MAX(MIN('Council Entry'!Y162,'Council Entry'!Y$9),'Council Entry'!Y$8),'Council Entry'!Y162)),IF(AND(ISNUMBER('Council Entry'!Y$8),ISNUMBER('Council Entry'!Y$9)),MAX(MIN('Council Entry'!Y162,'Council Entry'!Y$9),'Council Entry'!Y$8),'Council Entry'!Y162))))-'Council Entry'!Y$5)/('Council Entry'!Y$6-'Council Entry'!Y$5),10*((IF('Council Entry'!Y$4="Logarithm",LN(0.001+IF(AND(ISNUMBER('Council Entry'!Y$8),ISNUMBER('Council Entry'!Y$9)),MAX(MIN('Council Entry'!Y162,'Council Entry'!Y$9),'Council Entry'!Y$8),'Council Entry'!Y162)),IF('Council Entry'!Y$4="Exponential",EXP(IF(AND(ISNUMBER('Council Entry'!Y$8),ISNUMBER('Council Entry'!Y$9)),MAX(MIN('Council Entry'!Y162,'Council Entry'!Y$9),'Council Entry'!Y$8),'Council Entry'!Y162)),IF(AND(ISNUMBER('Council Entry'!Y$8),ISNUMBER('Council Entry'!Y$9)),MAX(MIN('Council Entry'!Y162,'Council Entry'!Y$9),'Council Entry'!Y$8),'Council Entry'!Y162))))-'Council Entry'!Y$5)/('Council Entry'!Y$6-'Council Entry'!Y$5)),1))),"No data"))</f>
        <v/>
      </c>
      <c r="Z162" s="13">
        <f>IF('Council Entry'!Z162="","",IFERROR(MAX(0,MIN(10,ROUND(IF('Council Entry'!Z$7="Decrease Risk",10-10*((IF('Council Entry'!Z$4="Logarithm",LN(0.001+IF(AND(ISNUMBER('Council Entry'!Z$8),ISNUMBER('Council Entry'!Z$9)),MAX(MIN('Council Entry'!Z162,'Council Entry'!Z$9),'Council Entry'!Z$8),'Council Entry'!Z162)),IF('Council Entry'!Z$4="Exponential",EXP(IF(AND(ISNUMBER('Council Entry'!Z$8),ISNUMBER('Council Entry'!Z$9)),MAX(MIN('Council Entry'!Z162,'Council Entry'!Z$9),'Council Entry'!Z$8),'Council Entry'!Z162)),IF(AND(ISNUMBER('Council Entry'!Z$8),ISNUMBER('Council Entry'!Z$9)),MAX(MIN('Council Entry'!Z162,'Council Entry'!Z$9),'Council Entry'!Z$8),'Council Entry'!Z162))))-'Council Entry'!Z$5)/('Council Entry'!Z$6-'Council Entry'!Z$5),10*((IF('Council Entry'!Z$4="Logarithm",LN(0.001+IF(AND(ISNUMBER('Council Entry'!Z$8),ISNUMBER('Council Entry'!Z$9)),MAX(MIN('Council Entry'!Z162,'Council Entry'!Z$9),'Council Entry'!Z$8),'Council Entry'!Z162)),IF('Council Entry'!Z$4="Exponential",EXP(IF(AND(ISNUMBER('Council Entry'!Z$8),ISNUMBER('Council Entry'!Z$9)),MAX(MIN('Council Entry'!Z162,'Council Entry'!Z$9),'Council Entry'!Z$8),'Council Entry'!Z162)),IF(AND(ISNUMBER('Council Entry'!Z$8),ISNUMBER('Council Entry'!Z$9)),MAX(MIN('Council Entry'!Z162,'Council Entry'!Z$9),'Council Entry'!Z$8),'Council Entry'!Z162))))-'Council Entry'!Z$5)/('Council Entry'!Z$6-'Council Entry'!Z$5)),1))),"No data"))</f>
        <v/>
      </c>
      <c r="AA162" s="13">
        <f>IF('Council Entry'!AA162="","",IFERROR(MAX(0,MIN(10,ROUND(IF('Council Entry'!AA$7="Decrease Risk",10-10*((IF('Council Entry'!AA$4="Logarithm",LN(0.001+IF(AND(ISNUMBER('Council Entry'!AA$8),ISNUMBER('Council Entry'!AA$9)),MAX(MIN('Council Entry'!AA162,'Council Entry'!AA$9),'Council Entry'!AA$8),'Council Entry'!AA162)),IF('Council Entry'!AA$4="Exponential",EXP(IF(AND(ISNUMBER('Council Entry'!AA$8),ISNUMBER('Council Entry'!AA$9)),MAX(MIN('Council Entry'!AA162,'Council Entry'!AA$9),'Council Entry'!AA$8),'Council Entry'!AA162)),IF(AND(ISNUMBER('Council Entry'!AA$8),ISNUMBER('Council Entry'!AA$9)),MAX(MIN('Council Entry'!AA162,'Council Entry'!AA$9),'Council Entry'!AA$8),'Council Entry'!AA162))))-'Council Entry'!AA$5)/('Council Entry'!AA$6-'Council Entry'!AA$5),10*((IF('Council Entry'!AA$4="Logarithm",LN(0.001+IF(AND(ISNUMBER('Council Entry'!AA$8),ISNUMBER('Council Entry'!AA$9)),MAX(MIN('Council Entry'!AA162,'Council Entry'!AA$9),'Council Entry'!AA$8),'Council Entry'!AA162)),IF('Council Entry'!AA$4="Exponential",EXP(IF(AND(ISNUMBER('Council Entry'!AA$8),ISNUMBER('Council Entry'!AA$9)),MAX(MIN('Council Entry'!AA162,'Council Entry'!AA$9),'Council Entry'!AA$8),'Council Entry'!AA162)),IF(AND(ISNUMBER('Council Entry'!AA$8),ISNUMBER('Council Entry'!AA$9)),MAX(MIN('Council Entry'!AA162,'Council Entry'!AA$9),'Council Entry'!AA$8),'Council Entry'!AA162))))-'Council Entry'!AA$5)/('Council Entry'!AA$6-'Council Entry'!AA$5)),1))),"No data"))</f>
        <v/>
      </c>
      <c r="AB162" s="13">
        <f>IF('Council Entry'!AB162="","",IFERROR(MAX(0,MIN(10,ROUND(IF('Council Entry'!AB$7="Decrease Risk",10-10*((IF('Council Entry'!AB$4="Logarithm",LN(0.001+IF(AND(ISNUMBER('Council Entry'!AB$8),ISNUMBER('Council Entry'!AB$9)),MAX(MIN('Council Entry'!AB162,'Council Entry'!AB$9),'Council Entry'!AB$8),'Council Entry'!AB162)),IF('Council Entry'!AB$4="Exponential",EXP(IF(AND(ISNUMBER('Council Entry'!AB$8),ISNUMBER('Council Entry'!AB$9)),MAX(MIN('Council Entry'!AB162,'Council Entry'!AB$9),'Council Entry'!AB$8),'Council Entry'!AB162)),IF(AND(ISNUMBER('Council Entry'!AB$8),ISNUMBER('Council Entry'!AB$9)),MAX(MIN('Council Entry'!AB162,'Council Entry'!AB$9),'Council Entry'!AB$8),'Council Entry'!AB162))))-'Council Entry'!AB$5)/('Council Entry'!AB$6-'Council Entry'!AB$5),10*((IF('Council Entry'!AB$4="Logarithm",LN(0.001+IF(AND(ISNUMBER('Council Entry'!AB$8),ISNUMBER('Council Entry'!AB$9)),MAX(MIN('Council Entry'!AB162,'Council Entry'!AB$9),'Council Entry'!AB$8),'Council Entry'!AB162)),IF('Council Entry'!AB$4="Exponential",EXP(IF(AND(ISNUMBER('Council Entry'!AB$8),ISNUMBER('Council Entry'!AB$9)),MAX(MIN('Council Entry'!AB162,'Council Entry'!AB$9),'Council Entry'!AB$8),'Council Entry'!AB162)),IF(AND(ISNUMBER('Council Entry'!AB$8),ISNUMBER('Council Entry'!AB$9)),MAX(MIN('Council Entry'!AB162,'Council Entry'!AB$9),'Council Entry'!AB$8),'Council Entry'!AB162))))-'Council Entry'!AB$5)/('Council Entry'!AB$6-'Council Entry'!AB$5)),1))),"No data"))</f>
        <v/>
      </c>
      <c r="AC162" s="13">
        <f>IF('Council Entry'!AC162="","",IFERROR(MAX(0,MIN(10,ROUND(IF('Council Entry'!AC$7="Decrease Risk",10-10*((IF('Council Entry'!AC$4="Logarithm",LN(0.001+IF(AND(ISNUMBER('Council Entry'!AC$8),ISNUMBER('Council Entry'!AC$9)),MAX(MIN('Council Entry'!AC162,'Council Entry'!AC$9),'Council Entry'!AC$8),'Council Entry'!AC162)),IF('Council Entry'!AC$4="Exponential",EXP(IF(AND(ISNUMBER('Council Entry'!AC$8),ISNUMBER('Council Entry'!AC$9)),MAX(MIN('Council Entry'!AC162,'Council Entry'!AC$9),'Council Entry'!AC$8),'Council Entry'!AC162)),IF(AND(ISNUMBER('Council Entry'!AC$8),ISNUMBER('Council Entry'!AC$9)),MAX(MIN('Council Entry'!AC162,'Council Entry'!AC$9),'Council Entry'!AC$8),'Council Entry'!AC162))))-'Council Entry'!AC$5)/('Council Entry'!AC$6-'Council Entry'!AC$5),10*((IF('Council Entry'!AC$4="Logarithm",LN(0.001+IF(AND(ISNUMBER('Council Entry'!AC$8),ISNUMBER('Council Entry'!AC$9)),MAX(MIN('Council Entry'!AC162,'Council Entry'!AC$9),'Council Entry'!AC$8),'Council Entry'!AC162)),IF('Council Entry'!AC$4="Exponential",EXP(IF(AND(ISNUMBER('Council Entry'!AC$8),ISNUMBER('Council Entry'!AC$9)),MAX(MIN('Council Entry'!AC162,'Council Entry'!AC$9),'Council Entry'!AC$8),'Council Entry'!AC162)),IF(AND(ISNUMBER('Council Entry'!AC$8),ISNUMBER('Council Entry'!AC$9)),MAX(MIN('Council Entry'!AC162,'Council Entry'!AC$9),'Council Entry'!AC$8),'Council Entry'!AC162))))-'Council Entry'!AC$5)/('Council Entry'!AC$6-'Council Entry'!AC$5)),1))),"No data"))</f>
        <v/>
      </c>
      <c r="AD162" s="13">
        <f>IF('Council Entry'!AD162="","",IFERROR(MAX(0,MIN(10,ROUND(IF('Council Entry'!AD$7="Decrease Risk",10-10*((IF('Council Entry'!AD$4="Logarithm",LN(0.001+IF(AND(ISNUMBER('Council Entry'!AD$8),ISNUMBER('Council Entry'!AD$9)),MAX(MIN('Council Entry'!AD162,'Council Entry'!AD$9),'Council Entry'!AD$8),'Council Entry'!AD162)),IF('Council Entry'!AD$4="Exponential",EXP(IF(AND(ISNUMBER('Council Entry'!AD$8),ISNUMBER('Council Entry'!AD$9)),MAX(MIN('Council Entry'!AD162,'Council Entry'!AD$9),'Council Entry'!AD$8),'Council Entry'!AD162)),IF(AND(ISNUMBER('Council Entry'!AD$8),ISNUMBER('Council Entry'!AD$9)),MAX(MIN('Council Entry'!AD162,'Council Entry'!AD$9),'Council Entry'!AD$8),'Council Entry'!AD162))))-'Council Entry'!AD$5)/('Council Entry'!AD$6-'Council Entry'!AD$5),10*((IF('Council Entry'!AD$4="Logarithm",LN(0.001+IF(AND(ISNUMBER('Council Entry'!AD$8),ISNUMBER('Council Entry'!AD$9)),MAX(MIN('Council Entry'!AD162,'Council Entry'!AD$9),'Council Entry'!AD$8),'Council Entry'!AD162)),IF('Council Entry'!AD$4="Exponential",EXP(IF(AND(ISNUMBER('Council Entry'!AD$8),ISNUMBER('Council Entry'!AD$9)),MAX(MIN('Council Entry'!AD162,'Council Entry'!AD$9),'Council Entry'!AD$8),'Council Entry'!AD162)),IF(AND(ISNUMBER('Council Entry'!AD$8),ISNUMBER('Council Entry'!AD$9)),MAX(MIN('Council Entry'!AD162,'Council Entry'!AD$9),'Council Entry'!AD$8),'Council Entry'!AD162))))-'Council Entry'!AD$5)/('Council Entry'!AD$6-'Council Entry'!AD$5)),1))),"No data"))</f>
        <v/>
      </c>
      <c r="AE162" s="13">
        <f>IF('Council Entry'!AE162="","",IFERROR(MAX(0,MIN(10,ROUND(IF('Council Entry'!AE$7="Decrease Risk",10-10*((IF('Council Entry'!AE$4="Logarithm",LN(0.001+IF(AND(ISNUMBER('Council Entry'!AE$8),ISNUMBER('Council Entry'!AE$9)),MAX(MIN('Council Entry'!AE162,'Council Entry'!AE$9),'Council Entry'!AE$8),'Council Entry'!AE162)),IF('Council Entry'!AE$4="Exponential",EXP(IF(AND(ISNUMBER('Council Entry'!AE$8),ISNUMBER('Council Entry'!AE$9)),MAX(MIN('Council Entry'!AE162,'Council Entry'!AE$9),'Council Entry'!AE$8),'Council Entry'!AE162)),IF(AND(ISNUMBER('Council Entry'!AE$8),ISNUMBER('Council Entry'!AE$9)),MAX(MIN('Council Entry'!AE162,'Council Entry'!AE$9),'Council Entry'!AE$8),'Council Entry'!AE162))))-'Council Entry'!AE$5)/('Council Entry'!AE$6-'Council Entry'!AE$5),10*((IF('Council Entry'!AE$4="Logarithm",LN(0.001+IF(AND(ISNUMBER('Council Entry'!AE$8),ISNUMBER('Council Entry'!AE$9)),MAX(MIN('Council Entry'!AE162,'Council Entry'!AE$9),'Council Entry'!AE$8),'Council Entry'!AE162)),IF('Council Entry'!AE$4="Exponential",EXP(IF(AND(ISNUMBER('Council Entry'!AE$8),ISNUMBER('Council Entry'!AE$9)),MAX(MIN('Council Entry'!AE162,'Council Entry'!AE$9),'Council Entry'!AE$8),'Council Entry'!AE162)),IF(AND(ISNUMBER('Council Entry'!AE$8),ISNUMBER('Council Entry'!AE$9)),MAX(MIN('Council Entry'!AE162,'Council Entry'!AE$9),'Council Entry'!AE$8),'Council Entry'!AE162))))-'Council Entry'!AE$5)/('Council Entry'!AE$6-'Council Entry'!AE$5)),1))),"No data"))</f>
        <v/>
      </c>
      <c r="AF162" s="13">
        <f>IF('Council Entry'!AF162="","",IFERROR(MAX(0,MIN(10,ROUND(IF('Council Entry'!AF$7="Decrease Risk",10-10*((IF('Council Entry'!AF$4="Logarithm",LN(0.001+IF(AND(ISNUMBER('Council Entry'!AF$8),ISNUMBER('Council Entry'!AF$9)),MAX(MIN('Council Entry'!AF162,'Council Entry'!AF$9),'Council Entry'!AF$8),'Council Entry'!AF162)),IF('Council Entry'!AF$4="Exponential",EXP(IF(AND(ISNUMBER('Council Entry'!AF$8),ISNUMBER('Council Entry'!AF$9)),MAX(MIN('Council Entry'!AF162,'Council Entry'!AF$9),'Council Entry'!AF$8),'Council Entry'!AF162)),IF(AND(ISNUMBER('Council Entry'!AF$8),ISNUMBER('Council Entry'!AF$9)),MAX(MIN('Council Entry'!AF162,'Council Entry'!AF$9),'Council Entry'!AF$8),'Council Entry'!AF162))))-'Council Entry'!AF$5)/('Council Entry'!AF$6-'Council Entry'!AF$5),10*((IF('Council Entry'!AF$4="Logarithm",LN(0.001+IF(AND(ISNUMBER('Council Entry'!AF$8),ISNUMBER('Council Entry'!AF$9)),MAX(MIN('Council Entry'!AF162,'Council Entry'!AF$9),'Council Entry'!AF$8),'Council Entry'!AF162)),IF('Council Entry'!AF$4="Exponential",EXP(IF(AND(ISNUMBER('Council Entry'!AF$8),ISNUMBER('Council Entry'!AF$9)),MAX(MIN('Council Entry'!AF162,'Council Entry'!AF$9),'Council Entry'!AF$8),'Council Entry'!AF162)),IF(AND(ISNUMBER('Council Entry'!AF$8),ISNUMBER('Council Entry'!AF$9)),MAX(MIN('Council Entry'!AF162,'Council Entry'!AF$9),'Council Entry'!AF$8),'Council Entry'!AF162))))-'Council Entry'!AF$5)/('Council Entry'!AF$6-'Council Entry'!AF$5)),1))),"No data"))</f>
        <v/>
      </c>
      <c r="AG162" s="13">
        <f>IF('Council Entry'!AG162="","",IFERROR(MAX(0,MIN(10,ROUND(IF('Council Entry'!AG$7="Decrease Risk",10-10*((IF('Council Entry'!AG$4="Logarithm",LN(0.001+IF(AND(ISNUMBER('Council Entry'!AG$8),ISNUMBER('Council Entry'!AG$9)),MAX(MIN('Council Entry'!AG162,'Council Entry'!AG$9),'Council Entry'!AG$8),'Council Entry'!AG162)),IF('Council Entry'!AG$4="Exponential",EXP(IF(AND(ISNUMBER('Council Entry'!AG$8),ISNUMBER('Council Entry'!AG$9)),MAX(MIN('Council Entry'!AG162,'Council Entry'!AG$9),'Council Entry'!AG$8),'Council Entry'!AG162)),IF(AND(ISNUMBER('Council Entry'!AG$8),ISNUMBER('Council Entry'!AG$9)),MAX(MIN('Council Entry'!AG162,'Council Entry'!AG$9),'Council Entry'!AG$8),'Council Entry'!AG162))))-'Council Entry'!AG$5)/('Council Entry'!AG$6-'Council Entry'!AG$5),10*((IF('Council Entry'!AG$4="Logarithm",LN(0.001+IF(AND(ISNUMBER('Council Entry'!AG$8),ISNUMBER('Council Entry'!AG$9)),MAX(MIN('Council Entry'!AG162,'Council Entry'!AG$9),'Council Entry'!AG$8),'Council Entry'!AG162)),IF('Council Entry'!AG$4="Exponential",EXP(IF(AND(ISNUMBER('Council Entry'!AG$8),ISNUMBER('Council Entry'!AG$9)),MAX(MIN('Council Entry'!AG162,'Council Entry'!AG$9),'Council Entry'!AG$8),'Council Entry'!AG162)),IF(AND(ISNUMBER('Council Entry'!AG$8),ISNUMBER('Council Entry'!AG$9)),MAX(MIN('Council Entry'!AG162,'Council Entry'!AG$9),'Council Entry'!AG$8),'Council Entry'!AG162))))-'Council Entry'!AG$5)/('Council Entry'!AG$6-'Council Entry'!AG$5)),1))),"No data"))</f>
        <v/>
      </c>
      <c r="AH162" s="13">
        <f>IF('Council Entry'!AH162="","",IFERROR(MAX(0,MIN(10,ROUND(IF('Council Entry'!AH$7="Decrease Risk",10-10*((IF('Council Entry'!AH$4="Logarithm",LN(0.001+IF(AND(ISNUMBER('Council Entry'!AH$8),ISNUMBER('Council Entry'!AH$9)),MAX(MIN('Council Entry'!AH162,'Council Entry'!AH$9),'Council Entry'!AH$8),'Council Entry'!AH162)),IF('Council Entry'!AH$4="Exponential",EXP(IF(AND(ISNUMBER('Council Entry'!AH$8),ISNUMBER('Council Entry'!AH$9)),MAX(MIN('Council Entry'!AH162,'Council Entry'!AH$9),'Council Entry'!AH$8),'Council Entry'!AH162)),IF(AND(ISNUMBER('Council Entry'!AH$8),ISNUMBER('Council Entry'!AH$9)),MAX(MIN('Council Entry'!AH162,'Council Entry'!AH$9),'Council Entry'!AH$8),'Council Entry'!AH162))))-'Council Entry'!AH$5)/('Council Entry'!AH$6-'Council Entry'!AH$5),10*((IF('Council Entry'!AH$4="Logarithm",LN(0.001+IF(AND(ISNUMBER('Council Entry'!AH$8),ISNUMBER('Council Entry'!AH$9)),MAX(MIN('Council Entry'!AH162,'Council Entry'!AH$9),'Council Entry'!AH$8),'Council Entry'!AH162)),IF('Council Entry'!AH$4="Exponential",EXP(IF(AND(ISNUMBER('Council Entry'!AH$8),ISNUMBER('Council Entry'!AH$9)),MAX(MIN('Council Entry'!AH162,'Council Entry'!AH$9),'Council Entry'!AH$8),'Council Entry'!AH162)),IF(AND(ISNUMBER('Council Entry'!AH$8),ISNUMBER('Council Entry'!AH$9)),MAX(MIN('Council Entry'!AH162,'Council Entry'!AH$9),'Council Entry'!AH$8),'Council Entry'!AH162))))-'Council Entry'!AH$5)/('Council Entry'!AH$6-'Council Entry'!AH$5)),1))),"No data"))</f>
        <v/>
      </c>
      <c r="AI162" s="13">
        <f>IF('Council Entry'!AI162="","",IFERROR(MAX(0,MIN(10,ROUND(IF('Council Entry'!AI$7="Decrease Risk",10-10*((IF('Council Entry'!AI$4="Logarithm",LN(0.001+IF(AND(ISNUMBER('Council Entry'!AI$8),ISNUMBER('Council Entry'!AI$9)),MAX(MIN('Council Entry'!AI162,'Council Entry'!AI$9),'Council Entry'!AI$8),'Council Entry'!AI162)),IF('Council Entry'!AI$4="Exponential",EXP(IF(AND(ISNUMBER('Council Entry'!AI$8),ISNUMBER('Council Entry'!AI$9)),MAX(MIN('Council Entry'!AI162,'Council Entry'!AI$9),'Council Entry'!AI$8),'Council Entry'!AI162)),IF(AND(ISNUMBER('Council Entry'!AI$8),ISNUMBER('Council Entry'!AI$9)),MAX(MIN('Council Entry'!AI162,'Council Entry'!AI$9),'Council Entry'!AI$8),'Council Entry'!AI162))))-'Council Entry'!AI$5)/('Council Entry'!AI$6-'Council Entry'!AI$5),10*((IF('Council Entry'!AI$4="Logarithm",LN(0.001+IF(AND(ISNUMBER('Council Entry'!AI$8),ISNUMBER('Council Entry'!AI$9)),MAX(MIN('Council Entry'!AI162,'Council Entry'!AI$9),'Council Entry'!AI$8),'Council Entry'!AI162)),IF('Council Entry'!AI$4="Exponential",EXP(IF(AND(ISNUMBER('Council Entry'!AI$8),ISNUMBER('Council Entry'!AI$9)),MAX(MIN('Council Entry'!AI162,'Council Entry'!AI$9),'Council Entry'!AI$8),'Council Entry'!AI162)),IF(AND(ISNUMBER('Council Entry'!AI$8),ISNUMBER('Council Entry'!AI$9)),MAX(MIN('Council Entry'!AI162,'Council Entry'!AI$9),'Council Entry'!AI$8),'Council Entry'!AI162))))-'Council Entry'!AI$5)/('Council Entry'!AI$6-'Council Entry'!AI$5)),1))),"No data"))</f>
        <v/>
      </c>
      <c r="AJ162" s="13">
        <f>IF('Council Entry'!AJ162="","",IFERROR(MAX(0,MIN(10,ROUND(IF('Council Entry'!AJ$7="Decrease Risk",10-10*((IF('Council Entry'!AJ$4="Logarithm",LN(0.001+IF(AND(ISNUMBER('Council Entry'!AJ$8),ISNUMBER('Council Entry'!AJ$9)),MAX(MIN('Council Entry'!AJ162,'Council Entry'!AJ$9),'Council Entry'!AJ$8),'Council Entry'!AJ162)),IF('Council Entry'!AJ$4="Exponential",EXP(IF(AND(ISNUMBER('Council Entry'!AJ$8),ISNUMBER('Council Entry'!AJ$9)),MAX(MIN('Council Entry'!AJ162,'Council Entry'!AJ$9),'Council Entry'!AJ$8),'Council Entry'!AJ162)),IF(AND(ISNUMBER('Council Entry'!AJ$8),ISNUMBER('Council Entry'!AJ$9)),MAX(MIN('Council Entry'!AJ162,'Council Entry'!AJ$9),'Council Entry'!AJ$8),'Council Entry'!AJ162))))-'Council Entry'!AJ$5)/('Council Entry'!AJ$6-'Council Entry'!AJ$5),10*((IF('Council Entry'!AJ$4="Logarithm",LN(0.001+IF(AND(ISNUMBER('Council Entry'!AJ$8),ISNUMBER('Council Entry'!AJ$9)),MAX(MIN('Council Entry'!AJ162,'Council Entry'!AJ$9),'Council Entry'!AJ$8),'Council Entry'!AJ162)),IF('Council Entry'!AJ$4="Exponential",EXP(IF(AND(ISNUMBER('Council Entry'!AJ$8),ISNUMBER('Council Entry'!AJ$9)),MAX(MIN('Council Entry'!AJ162,'Council Entry'!AJ$9),'Council Entry'!AJ$8),'Council Entry'!AJ162)),IF(AND(ISNUMBER('Council Entry'!AJ$8),ISNUMBER('Council Entry'!AJ$9)),MAX(MIN('Council Entry'!AJ162,'Council Entry'!AJ$9),'Council Entry'!AJ$8),'Council Entry'!AJ162))))-'Council Entry'!AJ$5)/('Council Entry'!AJ$6-'Council Entry'!AJ$5)),1))),"No data"))</f>
        <v/>
      </c>
      <c r="AK162" s="13">
        <f>IF('Council Entry'!AK162="","",IFERROR(MAX(0,MIN(10,ROUND(IF('Council Entry'!AK$7="Decrease Risk",10-10*((IF('Council Entry'!AK$4="Logarithm",LN(0.001+IF(AND(ISNUMBER('Council Entry'!AK$8),ISNUMBER('Council Entry'!AK$9)),MAX(MIN('Council Entry'!AK162,'Council Entry'!AK$9),'Council Entry'!AK$8),'Council Entry'!AK162)),IF('Council Entry'!AK$4="Exponential",EXP(IF(AND(ISNUMBER('Council Entry'!AK$8),ISNUMBER('Council Entry'!AK$9)),MAX(MIN('Council Entry'!AK162,'Council Entry'!AK$9),'Council Entry'!AK$8),'Council Entry'!AK162)),IF(AND(ISNUMBER('Council Entry'!AK$8),ISNUMBER('Council Entry'!AK$9)),MAX(MIN('Council Entry'!AK162,'Council Entry'!AK$9),'Council Entry'!AK$8),'Council Entry'!AK162))))-'Council Entry'!AK$5)/('Council Entry'!AK$6-'Council Entry'!AK$5),10*((IF('Council Entry'!AK$4="Logarithm",LN(0.001+IF(AND(ISNUMBER('Council Entry'!AK$8),ISNUMBER('Council Entry'!AK$9)),MAX(MIN('Council Entry'!AK162,'Council Entry'!AK$9),'Council Entry'!AK$8),'Council Entry'!AK162)),IF('Council Entry'!AK$4="Exponential",EXP(IF(AND(ISNUMBER('Council Entry'!AK$8),ISNUMBER('Council Entry'!AK$9)),MAX(MIN('Council Entry'!AK162,'Council Entry'!AK$9),'Council Entry'!AK$8),'Council Entry'!AK162)),IF(AND(ISNUMBER('Council Entry'!AK$8),ISNUMBER('Council Entry'!AK$9)),MAX(MIN('Council Entry'!AK162,'Council Entry'!AK$9),'Council Entry'!AK$8),'Council Entry'!AK162))))-'Council Entry'!AK$5)/('Council Entry'!AK$6-'Council Entry'!AK$5)),1))),"No data"))</f>
        <v/>
      </c>
      <c r="AL162" s="13">
        <f>IF('Council Entry'!AL162="","",IFERROR(MAX(0,MIN(10,ROUND(IF('Council Entry'!AL$7="Decrease Risk",10-10*((IF('Council Entry'!AL$4="Logarithm",LN(0.001+IF(AND(ISNUMBER('Council Entry'!AL$8),ISNUMBER('Council Entry'!AL$9)),MAX(MIN('Council Entry'!AL162,'Council Entry'!AL$9),'Council Entry'!AL$8),'Council Entry'!AL162)),IF('Council Entry'!AL$4="Exponential",EXP(IF(AND(ISNUMBER('Council Entry'!AL$8),ISNUMBER('Council Entry'!AL$9)),MAX(MIN('Council Entry'!AL162,'Council Entry'!AL$9),'Council Entry'!AL$8),'Council Entry'!AL162)),IF(AND(ISNUMBER('Council Entry'!AL$8),ISNUMBER('Council Entry'!AL$9)),MAX(MIN('Council Entry'!AL162,'Council Entry'!AL$9),'Council Entry'!AL$8),'Council Entry'!AL162))))-'Council Entry'!AL$5)/('Council Entry'!AL$6-'Council Entry'!AL$5),10*((IF('Council Entry'!AL$4="Logarithm",LN(0.001+IF(AND(ISNUMBER('Council Entry'!AL$8),ISNUMBER('Council Entry'!AL$9)),MAX(MIN('Council Entry'!AL162,'Council Entry'!AL$9),'Council Entry'!AL$8),'Council Entry'!AL162)),IF('Council Entry'!AL$4="Exponential",EXP(IF(AND(ISNUMBER('Council Entry'!AL$8),ISNUMBER('Council Entry'!AL$9)),MAX(MIN('Council Entry'!AL162,'Council Entry'!AL$9),'Council Entry'!AL$8),'Council Entry'!AL162)),IF(AND(ISNUMBER('Council Entry'!AL$8),ISNUMBER('Council Entry'!AL$9)),MAX(MIN('Council Entry'!AL162,'Council Entry'!AL$9),'Council Entry'!AL$8),'Council Entry'!AL162))))-'Council Entry'!AL$5)/('Council Entry'!AL$6-'Council Entry'!AL$5)),1))),"No data"))</f>
        <v/>
      </c>
      <c r="AM162" s="13">
        <f>IF('Council Entry'!AM162="","",IFERROR(MAX(0,MIN(10,ROUND(IF('Council Entry'!AM$7="Decrease Risk",10-10*((IF('Council Entry'!AM$4="Logarithm",LN(0.001+IF(AND(ISNUMBER('Council Entry'!AM$8),ISNUMBER('Council Entry'!AM$9)),MAX(MIN('Council Entry'!AM162,'Council Entry'!AM$9),'Council Entry'!AM$8),'Council Entry'!AM162)),IF('Council Entry'!AM$4="Exponential",EXP(IF(AND(ISNUMBER('Council Entry'!AM$8),ISNUMBER('Council Entry'!AM$9)),MAX(MIN('Council Entry'!AM162,'Council Entry'!AM$9),'Council Entry'!AM$8),'Council Entry'!AM162)),IF(AND(ISNUMBER('Council Entry'!AM$8),ISNUMBER('Council Entry'!AM$9)),MAX(MIN('Council Entry'!AM162,'Council Entry'!AM$9),'Council Entry'!AM$8),'Council Entry'!AM162))))-'Council Entry'!AM$5)/('Council Entry'!AM$6-'Council Entry'!AM$5),10*((IF('Council Entry'!AM$4="Logarithm",LN(0.001+IF(AND(ISNUMBER('Council Entry'!AM$8),ISNUMBER('Council Entry'!AM$9)),MAX(MIN('Council Entry'!AM162,'Council Entry'!AM$9),'Council Entry'!AM$8),'Council Entry'!AM162)),IF('Council Entry'!AM$4="Exponential",EXP(IF(AND(ISNUMBER('Council Entry'!AM$8),ISNUMBER('Council Entry'!AM$9)),MAX(MIN('Council Entry'!AM162,'Council Entry'!AM$9),'Council Entry'!AM$8),'Council Entry'!AM162)),IF(AND(ISNUMBER('Council Entry'!AM$8),ISNUMBER('Council Entry'!AM$9)),MAX(MIN('Council Entry'!AM162,'Council Entry'!AM$9),'Council Entry'!AM$8),'Council Entry'!AM162))))-'Council Entry'!AM$5)/('Council Entry'!AM$6-'Council Entry'!AM$5)),1))),"No data"))</f>
        <v/>
      </c>
      <c r="AN162" s="13">
        <f>IF('Council Entry'!AN162="","",IFERROR(MAX(0,MIN(10,ROUND(IF('Council Entry'!AN$7="Decrease Risk",10-10*((IF('Council Entry'!AN$4="Logarithm",LN(0.001+IF(AND(ISNUMBER('Council Entry'!AN$8),ISNUMBER('Council Entry'!AN$9)),MAX(MIN('Council Entry'!AN162,'Council Entry'!AN$9),'Council Entry'!AN$8),'Council Entry'!AN162)),IF('Council Entry'!AN$4="Exponential",EXP(IF(AND(ISNUMBER('Council Entry'!AN$8),ISNUMBER('Council Entry'!AN$9)),MAX(MIN('Council Entry'!AN162,'Council Entry'!AN$9),'Council Entry'!AN$8),'Council Entry'!AN162)),IF(AND(ISNUMBER('Council Entry'!AN$8),ISNUMBER('Council Entry'!AN$9)),MAX(MIN('Council Entry'!AN162,'Council Entry'!AN$9),'Council Entry'!AN$8),'Council Entry'!AN162))))-'Council Entry'!AN$5)/('Council Entry'!AN$6-'Council Entry'!AN$5),10*((IF('Council Entry'!AN$4="Logarithm",LN(0.001+IF(AND(ISNUMBER('Council Entry'!AN$8),ISNUMBER('Council Entry'!AN$9)),MAX(MIN('Council Entry'!AN162,'Council Entry'!AN$9),'Council Entry'!AN$8),'Council Entry'!AN162)),IF('Council Entry'!AN$4="Exponential",EXP(IF(AND(ISNUMBER('Council Entry'!AN$8),ISNUMBER('Council Entry'!AN$9)),MAX(MIN('Council Entry'!AN162,'Council Entry'!AN$9),'Council Entry'!AN$8),'Council Entry'!AN162)),IF(AND(ISNUMBER('Council Entry'!AN$8),ISNUMBER('Council Entry'!AN$9)),MAX(MIN('Council Entry'!AN162,'Council Entry'!AN$9),'Council Entry'!AN$8),'Council Entry'!AN162))))-'Council Entry'!AN$5)/('Council Entry'!AN$6-'Council Entry'!AN$5)),1))),"No data"))</f>
        <v/>
      </c>
      <c r="AO162" s="13">
        <f>IF('Council Entry'!AO162="","",IFERROR(MAX(0,MIN(10,ROUND(IF('Council Entry'!AO$7="Decrease Risk",10-10*((IF('Council Entry'!AO$4="Logarithm",LN(0.001+IF(AND(ISNUMBER('Council Entry'!AO$8),ISNUMBER('Council Entry'!AO$9)),MAX(MIN('Council Entry'!AO162,'Council Entry'!AO$9),'Council Entry'!AO$8),'Council Entry'!AO162)),IF('Council Entry'!AO$4="Exponential",EXP(IF(AND(ISNUMBER('Council Entry'!AO$8),ISNUMBER('Council Entry'!AO$9)),MAX(MIN('Council Entry'!AO162,'Council Entry'!AO$9),'Council Entry'!AO$8),'Council Entry'!AO162)),IF(AND(ISNUMBER('Council Entry'!AO$8),ISNUMBER('Council Entry'!AO$9)),MAX(MIN('Council Entry'!AO162,'Council Entry'!AO$9),'Council Entry'!AO$8),'Council Entry'!AO162))))-'Council Entry'!AO$5)/('Council Entry'!AO$6-'Council Entry'!AO$5),10*((IF('Council Entry'!AO$4="Logarithm",LN(0.001+IF(AND(ISNUMBER('Council Entry'!AO$8),ISNUMBER('Council Entry'!AO$9)),MAX(MIN('Council Entry'!AO162,'Council Entry'!AO$9),'Council Entry'!AO$8),'Council Entry'!AO162)),IF('Council Entry'!AO$4="Exponential",EXP(IF(AND(ISNUMBER('Council Entry'!AO$8),ISNUMBER('Council Entry'!AO$9)),MAX(MIN('Council Entry'!AO162,'Council Entry'!AO$9),'Council Entry'!AO$8),'Council Entry'!AO162)),IF(AND(ISNUMBER('Council Entry'!AO$8),ISNUMBER('Council Entry'!AO$9)),MAX(MIN('Council Entry'!AO162,'Council Entry'!AO$9),'Council Entry'!AO$8),'Council Entry'!AO162))))-'Council Entry'!AO$5)/('Council Entry'!AO$6-'Council Entry'!AO$5)),1))),"No data"))</f>
        <v/>
      </c>
      <c r="AP162" s="13">
        <f>IF('Council Entry'!AP162="","",IFERROR(MAX(0,MIN(10,ROUND(IF('Council Entry'!AP$7="Decrease Risk",10-10*((IF('Council Entry'!AP$4="Logarithm",LN(0.001+IF(AND(ISNUMBER('Council Entry'!AP$8),ISNUMBER('Council Entry'!AP$9)),MAX(MIN('Council Entry'!AP162,'Council Entry'!AP$9),'Council Entry'!AP$8),'Council Entry'!AP162)),IF('Council Entry'!AP$4="Exponential",EXP(IF(AND(ISNUMBER('Council Entry'!AP$8),ISNUMBER('Council Entry'!AP$9)),MAX(MIN('Council Entry'!AP162,'Council Entry'!AP$9),'Council Entry'!AP$8),'Council Entry'!AP162)),IF(AND(ISNUMBER('Council Entry'!AP$8),ISNUMBER('Council Entry'!AP$9)),MAX(MIN('Council Entry'!AP162,'Council Entry'!AP$9),'Council Entry'!AP$8),'Council Entry'!AP162))))-'Council Entry'!AP$5)/('Council Entry'!AP$6-'Council Entry'!AP$5),10*((IF('Council Entry'!AP$4="Logarithm",LN(0.001+IF(AND(ISNUMBER('Council Entry'!AP$8),ISNUMBER('Council Entry'!AP$9)),MAX(MIN('Council Entry'!AP162,'Council Entry'!AP$9),'Council Entry'!AP$8),'Council Entry'!AP162)),IF('Council Entry'!AP$4="Exponential",EXP(IF(AND(ISNUMBER('Council Entry'!AP$8),ISNUMBER('Council Entry'!AP$9)),MAX(MIN('Council Entry'!AP162,'Council Entry'!AP$9),'Council Entry'!AP$8),'Council Entry'!AP162)),IF(AND(ISNUMBER('Council Entry'!AP$8),ISNUMBER('Council Entry'!AP$9)),MAX(MIN('Council Entry'!AP162,'Council Entry'!AP$9),'Council Entry'!AP$8),'Council Entry'!AP162))))-'Council Entry'!AP$5)/('Council Entry'!AP$6-'Council Entry'!AP$5)),1))),"No data"))</f>
        <v/>
      </c>
      <c r="AQ162" s="13">
        <f>IF('Council Entry'!AQ162="","",IFERROR(MAX(0,MIN(10,ROUND(IF('Council Entry'!AQ$7="Decrease Risk",10-10*((IF('Council Entry'!AQ$4="Logarithm",LN(0.001+IF(AND(ISNUMBER('Council Entry'!AQ$8),ISNUMBER('Council Entry'!AQ$9)),MAX(MIN('Council Entry'!AQ162,'Council Entry'!AQ$9),'Council Entry'!AQ$8),'Council Entry'!AQ162)),IF('Council Entry'!AQ$4="Exponential",EXP(IF(AND(ISNUMBER('Council Entry'!AQ$8),ISNUMBER('Council Entry'!AQ$9)),MAX(MIN('Council Entry'!AQ162,'Council Entry'!AQ$9),'Council Entry'!AQ$8),'Council Entry'!AQ162)),IF(AND(ISNUMBER('Council Entry'!AQ$8),ISNUMBER('Council Entry'!AQ$9)),MAX(MIN('Council Entry'!AQ162,'Council Entry'!AQ$9),'Council Entry'!AQ$8),'Council Entry'!AQ162))))-'Council Entry'!AQ$5)/('Council Entry'!AQ$6-'Council Entry'!AQ$5),10*((IF('Council Entry'!AQ$4="Logarithm",LN(0.001+IF(AND(ISNUMBER('Council Entry'!AQ$8),ISNUMBER('Council Entry'!AQ$9)),MAX(MIN('Council Entry'!AQ162,'Council Entry'!AQ$9),'Council Entry'!AQ$8),'Council Entry'!AQ162)),IF('Council Entry'!AQ$4="Exponential",EXP(IF(AND(ISNUMBER('Council Entry'!AQ$8),ISNUMBER('Council Entry'!AQ$9)),MAX(MIN('Council Entry'!AQ162,'Council Entry'!AQ$9),'Council Entry'!AQ$8),'Council Entry'!AQ162)),IF(AND(ISNUMBER('Council Entry'!AQ$8),ISNUMBER('Council Entry'!AQ$9)),MAX(MIN('Council Entry'!AQ162,'Council Entry'!AQ$9),'Council Entry'!AQ$8),'Council Entry'!AQ162))))-'Council Entry'!AQ$5)/('Council Entry'!AQ$6-'Council Entry'!AQ$5)),1))),"No data"))</f>
        <v/>
      </c>
      <c r="AR162" s="13">
        <f>IF('Council Entry'!AR162="","",IFERROR(MAX(0,MIN(10,ROUND(IF('Council Entry'!AR$7="Decrease Risk",10-10*((IF('Council Entry'!AR$4="Logarithm",LN(0.001+IF(AND(ISNUMBER('Council Entry'!AR$8),ISNUMBER('Council Entry'!AR$9)),MAX(MIN('Council Entry'!AR162,'Council Entry'!AR$9),'Council Entry'!AR$8),'Council Entry'!AR162)),IF('Council Entry'!AR$4="Exponential",EXP(IF(AND(ISNUMBER('Council Entry'!AR$8),ISNUMBER('Council Entry'!AR$9)),MAX(MIN('Council Entry'!AR162,'Council Entry'!AR$9),'Council Entry'!AR$8),'Council Entry'!AR162)),IF(AND(ISNUMBER('Council Entry'!AR$8),ISNUMBER('Council Entry'!AR$9)),MAX(MIN('Council Entry'!AR162,'Council Entry'!AR$9),'Council Entry'!AR$8),'Council Entry'!AR162))))-'Council Entry'!AR$5)/('Council Entry'!AR$6-'Council Entry'!AR$5),10*((IF('Council Entry'!AR$4="Logarithm",LN(0.001+IF(AND(ISNUMBER('Council Entry'!AR$8),ISNUMBER('Council Entry'!AR$9)),MAX(MIN('Council Entry'!AR162,'Council Entry'!AR$9),'Council Entry'!AR$8),'Council Entry'!AR162)),IF('Council Entry'!AR$4="Exponential",EXP(IF(AND(ISNUMBER('Council Entry'!AR$8),ISNUMBER('Council Entry'!AR$9)),MAX(MIN('Council Entry'!AR162,'Council Entry'!AR$9),'Council Entry'!AR$8),'Council Entry'!AR162)),IF(AND(ISNUMBER('Council Entry'!AR$8),ISNUMBER('Council Entry'!AR$9)),MAX(MIN('Council Entry'!AR162,'Council Entry'!AR$9),'Council Entry'!AR$8),'Council Entry'!AR162))))-'Council Entry'!AR$5)/('Council Entry'!AR$6-'Council Entry'!AR$5)),1))),"No data"))</f>
        <v/>
      </c>
      <c r="AS162" s="13">
        <f>IF('Council Entry'!AS162="","",IFERROR(MAX(0,MIN(10,ROUND(IF('Council Entry'!AS$7="Decrease Risk",10-10*((IF('Council Entry'!AS$4="Logarithm",LN(0.001+IF(AND(ISNUMBER('Council Entry'!AS$8),ISNUMBER('Council Entry'!AS$9)),MAX(MIN('Council Entry'!AS162,'Council Entry'!AS$9),'Council Entry'!AS$8),'Council Entry'!AS162)),IF('Council Entry'!AS$4="Exponential",EXP(IF(AND(ISNUMBER('Council Entry'!AS$8),ISNUMBER('Council Entry'!AS$9)),MAX(MIN('Council Entry'!AS162,'Council Entry'!AS$9),'Council Entry'!AS$8),'Council Entry'!AS162)),IF(AND(ISNUMBER('Council Entry'!AS$8),ISNUMBER('Council Entry'!AS$9)),MAX(MIN('Council Entry'!AS162,'Council Entry'!AS$9),'Council Entry'!AS$8),'Council Entry'!AS162))))-'Council Entry'!AS$5)/('Council Entry'!AS$6-'Council Entry'!AS$5),10*((IF('Council Entry'!AS$4="Logarithm",LN(0.001+IF(AND(ISNUMBER('Council Entry'!AS$8),ISNUMBER('Council Entry'!AS$9)),MAX(MIN('Council Entry'!AS162,'Council Entry'!AS$9),'Council Entry'!AS$8),'Council Entry'!AS162)),IF('Council Entry'!AS$4="Exponential",EXP(IF(AND(ISNUMBER('Council Entry'!AS$8),ISNUMBER('Council Entry'!AS$9)),MAX(MIN('Council Entry'!AS162,'Council Entry'!AS$9),'Council Entry'!AS$8),'Council Entry'!AS162)),IF(AND(ISNUMBER('Council Entry'!AS$8),ISNUMBER('Council Entry'!AS$9)),MAX(MIN('Council Entry'!AS162,'Council Entry'!AS$9),'Council Entry'!AS$8),'Council Entry'!AS162))))-'Council Entry'!AS$5)/('Council Entry'!AS$6-'Council Entry'!AS$5)),1))),"No data"))</f>
        <v/>
      </c>
      <c r="AT162" s="13">
        <f>IF('Council Entry'!AT162="","",IFERROR(MAX(0,MIN(10,ROUND(IF('Council Entry'!AT$7="Decrease Risk",10-10*((IF('Council Entry'!AT$4="Logarithm",LN(0.001+IF(AND(ISNUMBER('Council Entry'!AT$8),ISNUMBER('Council Entry'!AT$9)),MAX(MIN('Council Entry'!AT162,'Council Entry'!AT$9),'Council Entry'!AT$8),'Council Entry'!AT162)),IF('Council Entry'!AT$4="Exponential",EXP(IF(AND(ISNUMBER('Council Entry'!AT$8),ISNUMBER('Council Entry'!AT$9)),MAX(MIN('Council Entry'!AT162,'Council Entry'!AT$9),'Council Entry'!AT$8),'Council Entry'!AT162)),IF(AND(ISNUMBER('Council Entry'!AT$8),ISNUMBER('Council Entry'!AT$9)),MAX(MIN('Council Entry'!AT162,'Council Entry'!AT$9),'Council Entry'!AT$8),'Council Entry'!AT162))))-'Council Entry'!AT$5)/('Council Entry'!AT$6-'Council Entry'!AT$5),10*((IF('Council Entry'!AT$4="Logarithm",LN(0.001+IF(AND(ISNUMBER('Council Entry'!AT$8),ISNUMBER('Council Entry'!AT$9)),MAX(MIN('Council Entry'!AT162,'Council Entry'!AT$9),'Council Entry'!AT$8),'Council Entry'!AT162)),IF('Council Entry'!AT$4="Exponential",EXP(IF(AND(ISNUMBER('Council Entry'!AT$8),ISNUMBER('Council Entry'!AT$9)),MAX(MIN('Council Entry'!AT162,'Council Entry'!AT$9),'Council Entry'!AT$8),'Council Entry'!AT162)),IF(AND(ISNUMBER('Council Entry'!AT$8),ISNUMBER('Council Entry'!AT$9)),MAX(MIN('Council Entry'!AT162,'Council Entry'!AT$9),'Council Entry'!AT$8),'Council Entry'!AT162))))-'Council Entry'!AT$5)/('Council Entry'!AT$6-'Council Entry'!AT$5)),1))),"No data"))</f>
        <v/>
      </c>
      <c r="AU162" s="13">
        <f>IF('Council Entry'!AU162="","",IFERROR(MAX(0,MIN(10,ROUND(IF('Council Entry'!AU$7="Decrease Risk",10-10*((IF('Council Entry'!AU$4="Logarithm",LN(0.001+IF(AND(ISNUMBER('Council Entry'!AU$8),ISNUMBER('Council Entry'!AU$9)),MAX(MIN('Council Entry'!AU162,'Council Entry'!AU$9),'Council Entry'!AU$8),'Council Entry'!AU162)),IF('Council Entry'!AU$4="Exponential",EXP(IF(AND(ISNUMBER('Council Entry'!AU$8),ISNUMBER('Council Entry'!AU$9)),MAX(MIN('Council Entry'!AU162,'Council Entry'!AU$9),'Council Entry'!AU$8),'Council Entry'!AU162)),IF(AND(ISNUMBER('Council Entry'!AU$8),ISNUMBER('Council Entry'!AU$9)),MAX(MIN('Council Entry'!AU162,'Council Entry'!AU$9),'Council Entry'!AU$8),'Council Entry'!AU162))))-'Council Entry'!AU$5)/('Council Entry'!AU$6-'Council Entry'!AU$5),10*((IF('Council Entry'!AU$4="Logarithm",LN(0.001+IF(AND(ISNUMBER('Council Entry'!AU$8),ISNUMBER('Council Entry'!AU$9)),MAX(MIN('Council Entry'!AU162,'Council Entry'!AU$9),'Council Entry'!AU$8),'Council Entry'!AU162)),IF('Council Entry'!AU$4="Exponential",EXP(IF(AND(ISNUMBER('Council Entry'!AU$8),ISNUMBER('Council Entry'!AU$9)),MAX(MIN('Council Entry'!AU162,'Council Entry'!AU$9),'Council Entry'!AU$8),'Council Entry'!AU162)),IF(AND(ISNUMBER('Council Entry'!AU$8),ISNUMBER('Council Entry'!AU$9)),MAX(MIN('Council Entry'!AU162,'Council Entry'!AU$9),'Council Entry'!AU$8),'Council Entry'!AU162))))-'Council Entry'!AU$5)/('Council Entry'!AU$6-'Council Entry'!AU$5)),1))),"No data"))</f>
        <v/>
      </c>
      <c r="AV162" s="13">
        <f>IF('Council Entry'!AV162="","",IFERROR(MAX(0,MIN(10,ROUND(IF('Council Entry'!AV$7="Decrease Risk",10-10*((IF('Council Entry'!AV$4="Logarithm",LN(0.001+IF(AND(ISNUMBER('Council Entry'!AV$8),ISNUMBER('Council Entry'!AV$9)),MAX(MIN('Council Entry'!AV162,'Council Entry'!AV$9),'Council Entry'!AV$8),'Council Entry'!AV162)),IF('Council Entry'!AV$4="Exponential",EXP(IF(AND(ISNUMBER('Council Entry'!AV$8),ISNUMBER('Council Entry'!AV$9)),MAX(MIN('Council Entry'!AV162,'Council Entry'!AV$9),'Council Entry'!AV$8),'Council Entry'!AV162)),IF(AND(ISNUMBER('Council Entry'!AV$8),ISNUMBER('Council Entry'!AV$9)),MAX(MIN('Council Entry'!AV162,'Council Entry'!AV$9),'Council Entry'!AV$8),'Council Entry'!AV162))))-'Council Entry'!AV$5)/('Council Entry'!AV$6-'Council Entry'!AV$5),10*((IF('Council Entry'!AV$4="Logarithm",LN(0.001+IF(AND(ISNUMBER('Council Entry'!AV$8),ISNUMBER('Council Entry'!AV$9)),MAX(MIN('Council Entry'!AV162,'Council Entry'!AV$9),'Council Entry'!AV$8),'Council Entry'!AV162)),IF('Council Entry'!AV$4="Exponential",EXP(IF(AND(ISNUMBER('Council Entry'!AV$8),ISNUMBER('Council Entry'!AV$9)),MAX(MIN('Council Entry'!AV162,'Council Entry'!AV$9),'Council Entry'!AV$8),'Council Entry'!AV162)),IF(AND(ISNUMBER('Council Entry'!AV$8),ISNUMBER('Council Entry'!AV$9)),MAX(MIN('Council Entry'!AV162,'Council Entry'!AV$9),'Council Entry'!AV$8),'Council Entry'!AV162))))-'Council Entry'!AV$5)/('Council Entry'!AV$6-'Council Entry'!AV$5)),1))),"No data"))</f>
        <v/>
      </c>
      <c r="AW162" s="13">
        <f>IF('Council Entry'!AW162="","",IFERROR(MAX(0,MIN(10,ROUND(IF('Council Entry'!AW$7="Decrease Risk",10-10*((IF('Council Entry'!AW$4="Logarithm",LN(0.001+IF(AND(ISNUMBER('Council Entry'!AW$8),ISNUMBER('Council Entry'!AW$9)),MAX(MIN('Council Entry'!AW162,'Council Entry'!AW$9),'Council Entry'!AW$8),'Council Entry'!AW162)),IF('Council Entry'!AW$4="Exponential",EXP(IF(AND(ISNUMBER('Council Entry'!AW$8),ISNUMBER('Council Entry'!AW$9)),MAX(MIN('Council Entry'!AW162,'Council Entry'!AW$9),'Council Entry'!AW$8),'Council Entry'!AW162)),IF(AND(ISNUMBER('Council Entry'!AW$8),ISNUMBER('Council Entry'!AW$9)),MAX(MIN('Council Entry'!AW162,'Council Entry'!AW$9),'Council Entry'!AW$8),'Council Entry'!AW162))))-'Council Entry'!AW$5)/('Council Entry'!AW$6-'Council Entry'!AW$5),10*((IF('Council Entry'!AW$4="Logarithm",LN(0.001+IF(AND(ISNUMBER('Council Entry'!AW$8),ISNUMBER('Council Entry'!AW$9)),MAX(MIN('Council Entry'!AW162,'Council Entry'!AW$9),'Council Entry'!AW$8),'Council Entry'!AW162)),IF('Council Entry'!AW$4="Exponential",EXP(IF(AND(ISNUMBER('Council Entry'!AW$8),ISNUMBER('Council Entry'!AW$9)),MAX(MIN('Council Entry'!AW162,'Council Entry'!AW$9),'Council Entry'!AW$8),'Council Entry'!AW162)),IF(AND(ISNUMBER('Council Entry'!AW$8),ISNUMBER('Council Entry'!AW$9)),MAX(MIN('Council Entry'!AW162,'Council Entry'!AW$9),'Council Entry'!AW$8),'Council Entry'!AW162))))-'Council Entry'!AW$5)/('Council Entry'!AW$6-'Council Entry'!AW$5)),1))),"No data"))</f>
        <v/>
      </c>
      <c r="AX162" s="13">
        <f>IF('Council Entry'!AX162="","",IFERROR(MAX(0,MIN(10,ROUND(IF('Council Entry'!AX$7="Decrease Risk",10-10*((IF('Council Entry'!AX$4="Logarithm",LN(0.001+IF(AND(ISNUMBER('Council Entry'!AX$8),ISNUMBER('Council Entry'!AX$9)),MAX(MIN('Council Entry'!AX162,'Council Entry'!AX$9),'Council Entry'!AX$8),'Council Entry'!AX162)),IF('Council Entry'!AX$4="Exponential",EXP(IF(AND(ISNUMBER('Council Entry'!AX$8),ISNUMBER('Council Entry'!AX$9)),MAX(MIN('Council Entry'!AX162,'Council Entry'!AX$9),'Council Entry'!AX$8),'Council Entry'!AX162)),IF(AND(ISNUMBER('Council Entry'!AX$8),ISNUMBER('Council Entry'!AX$9)),MAX(MIN('Council Entry'!AX162,'Council Entry'!AX$9),'Council Entry'!AX$8),'Council Entry'!AX162))))-'Council Entry'!AX$5)/('Council Entry'!AX$6-'Council Entry'!AX$5),10*((IF('Council Entry'!AX$4="Logarithm",LN(0.001+IF(AND(ISNUMBER('Council Entry'!AX$8),ISNUMBER('Council Entry'!AX$9)),MAX(MIN('Council Entry'!AX162,'Council Entry'!AX$9),'Council Entry'!AX$8),'Council Entry'!AX162)),IF('Council Entry'!AX$4="Exponential",EXP(IF(AND(ISNUMBER('Council Entry'!AX$8),ISNUMBER('Council Entry'!AX$9)),MAX(MIN('Council Entry'!AX162,'Council Entry'!AX$9),'Council Entry'!AX$8),'Council Entry'!AX162)),IF(AND(ISNUMBER('Council Entry'!AX$8),ISNUMBER('Council Entry'!AX$9)),MAX(MIN('Council Entry'!AX162,'Council Entry'!AX$9),'Council Entry'!AX$8),'Council Entry'!AX162))))-'Council Entry'!AX$5)/('Council Entry'!AX$6-'Council Entry'!AX$5)),1))),"No data"))</f>
        <v/>
      </c>
      <c r="AY162" s="13">
        <f>IF('Council Entry'!AY162="","",IFERROR(MAX(0,MIN(10,ROUND(IF('Council Entry'!AY$7="Decrease Risk",10-10*((IF('Council Entry'!AY$4="Logarithm",LN(0.001+IF(AND(ISNUMBER('Council Entry'!AY$8),ISNUMBER('Council Entry'!AY$9)),MAX(MIN('Council Entry'!AY162,'Council Entry'!AY$9),'Council Entry'!AY$8),'Council Entry'!AY162)),IF('Council Entry'!AY$4="Exponential",EXP(IF(AND(ISNUMBER('Council Entry'!AY$8),ISNUMBER('Council Entry'!AY$9)),MAX(MIN('Council Entry'!AY162,'Council Entry'!AY$9),'Council Entry'!AY$8),'Council Entry'!AY162)),IF(AND(ISNUMBER('Council Entry'!AY$8),ISNUMBER('Council Entry'!AY$9)),MAX(MIN('Council Entry'!AY162,'Council Entry'!AY$9),'Council Entry'!AY$8),'Council Entry'!AY162))))-'Council Entry'!AY$5)/('Council Entry'!AY$6-'Council Entry'!AY$5),10*((IF('Council Entry'!AY$4="Logarithm",LN(0.001+IF(AND(ISNUMBER('Council Entry'!AY$8),ISNUMBER('Council Entry'!AY$9)),MAX(MIN('Council Entry'!AY162,'Council Entry'!AY$9),'Council Entry'!AY$8),'Council Entry'!AY162)),IF('Council Entry'!AY$4="Exponential",EXP(IF(AND(ISNUMBER('Council Entry'!AY$8),ISNUMBER('Council Entry'!AY$9)),MAX(MIN('Council Entry'!AY162,'Council Entry'!AY$9),'Council Entry'!AY$8),'Council Entry'!AY162)),IF(AND(ISNUMBER('Council Entry'!AY$8),ISNUMBER('Council Entry'!AY$9)),MAX(MIN('Council Entry'!AY162,'Council Entry'!AY$9),'Council Entry'!AY$8),'Council Entry'!AY162))))-'Council Entry'!AY$5)/('Council Entry'!AY$6-'Council Entry'!AY$5)),1))),"No data"))</f>
        <v/>
      </c>
      <c r="AZ162" s="13">
        <f>IF('Council Entry'!AZ162="","",IFERROR(MAX(0,MIN(10,ROUND(IF('Council Entry'!AZ$7="Decrease Risk",10-10*((IF('Council Entry'!AZ$4="Logarithm",LN(0.001+IF(AND(ISNUMBER('Council Entry'!AZ$8),ISNUMBER('Council Entry'!AZ$9)),MAX(MIN('Council Entry'!AZ162,'Council Entry'!AZ$9),'Council Entry'!AZ$8),'Council Entry'!AZ162)),IF('Council Entry'!AZ$4="Exponential",EXP(IF(AND(ISNUMBER('Council Entry'!AZ$8),ISNUMBER('Council Entry'!AZ$9)),MAX(MIN('Council Entry'!AZ162,'Council Entry'!AZ$9),'Council Entry'!AZ$8),'Council Entry'!AZ162)),IF(AND(ISNUMBER('Council Entry'!AZ$8),ISNUMBER('Council Entry'!AZ$9)),MAX(MIN('Council Entry'!AZ162,'Council Entry'!AZ$9),'Council Entry'!AZ$8),'Council Entry'!AZ162))))-'Council Entry'!AZ$5)/('Council Entry'!AZ$6-'Council Entry'!AZ$5),10*((IF('Council Entry'!AZ$4="Logarithm",LN(0.001+IF(AND(ISNUMBER('Council Entry'!AZ$8),ISNUMBER('Council Entry'!AZ$9)),MAX(MIN('Council Entry'!AZ162,'Council Entry'!AZ$9),'Council Entry'!AZ$8),'Council Entry'!AZ162)),IF('Council Entry'!AZ$4="Exponential",EXP(IF(AND(ISNUMBER('Council Entry'!AZ$8),ISNUMBER('Council Entry'!AZ$9)),MAX(MIN('Council Entry'!AZ162,'Council Entry'!AZ$9),'Council Entry'!AZ$8),'Council Entry'!AZ162)),IF(AND(ISNUMBER('Council Entry'!AZ$8),ISNUMBER('Council Entry'!AZ$9)),MAX(MIN('Council Entry'!AZ162,'Council Entry'!AZ$9),'Council Entry'!AZ$8),'Council Entry'!AZ162))))-'Council Entry'!AZ$5)/('Council Entry'!AZ$6-'Council Entry'!AZ$5)),1))),"No data"))</f>
        <v/>
      </c>
      <c r="BA162" s="13">
        <f>IF('Council Entry'!BA162="","",IFERROR(MAX(0,MIN(10,ROUND(IF('Council Entry'!BA$7="Decrease Risk",10-10*((IF('Council Entry'!BA$4="Logarithm",LN(0.001+IF(AND(ISNUMBER('Council Entry'!BA$8),ISNUMBER('Council Entry'!BA$9)),MAX(MIN('Council Entry'!BA162,'Council Entry'!BA$9),'Council Entry'!BA$8),'Council Entry'!BA162)),IF('Council Entry'!BA$4="Exponential",EXP(IF(AND(ISNUMBER('Council Entry'!BA$8),ISNUMBER('Council Entry'!BA$9)),MAX(MIN('Council Entry'!BA162,'Council Entry'!BA$9),'Council Entry'!BA$8),'Council Entry'!BA162)),IF(AND(ISNUMBER('Council Entry'!BA$8),ISNUMBER('Council Entry'!BA$9)),MAX(MIN('Council Entry'!BA162,'Council Entry'!BA$9),'Council Entry'!BA$8),'Council Entry'!BA162))))-'Council Entry'!BA$5)/('Council Entry'!BA$6-'Council Entry'!BA$5),10*((IF('Council Entry'!BA$4="Logarithm",LN(0.001+IF(AND(ISNUMBER('Council Entry'!BA$8),ISNUMBER('Council Entry'!BA$9)),MAX(MIN('Council Entry'!BA162,'Council Entry'!BA$9),'Council Entry'!BA$8),'Council Entry'!BA162)),IF('Council Entry'!BA$4="Exponential",EXP(IF(AND(ISNUMBER('Council Entry'!BA$8),ISNUMBER('Council Entry'!BA$9)),MAX(MIN('Council Entry'!BA162,'Council Entry'!BA$9),'Council Entry'!BA$8),'Council Entry'!BA162)),IF(AND(ISNUMBER('Council Entry'!BA$8),ISNUMBER('Council Entry'!BA$9)),MAX(MIN('Council Entry'!BA162,'Council Entry'!BA$9),'Council Entry'!BA$8),'Council Entry'!BA162))))-'Council Entry'!BA$5)/('Council Entry'!BA$6-'Council Entry'!BA$5)),1))),"No data"))</f>
        <v/>
      </c>
      <c r="BB162" s="13">
        <f>IF('Council Entry'!BB162="","",IFERROR(MAX(0,MIN(10,ROUND(IF('Council Entry'!BB$7="Decrease Risk",10-10*((IF('Council Entry'!BB$4="Logarithm",LN(0.001+IF(AND(ISNUMBER('Council Entry'!BB$8),ISNUMBER('Council Entry'!BB$9)),MAX(MIN('Council Entry'!BB162,'Council Entry'!BB$9),'Council Entry'!BB$8),'Council Entry'!BB162)),IF('Council Entry'!BB$4="Exponential",EXP(IF(AND(ISNUMBER('Council Entry'!BB$8),ISNUMBER('Council Entry'!BB$9)),MAX(MIN('Council Entry'!BB162,'Council Entry'!BB$9),'Council Entry'!BB$8),'Council Entry'!BB162)),IF(AND(ISNUMBER('Council Entry'!BB$8),ISNUMBER('Council Entry'!BB$9)),MAX(MIN('Council Entry'!BB162,'Council Entry'!BB$9),'Council Entry'!BB$8),'Council Entry'!BB162))))-'Council Entry'!BB$5)/('Council Entry'!BB$6-'Council Entry'!BB$5),10*((IF('Council Entry'!BB$4="Logarithm",LN(0.001+IF(AND(ISNUMBER('Council Entry'!BB$8),ISNUMBER('Council Entry'!BB$9)),MAX(MIN('Council Entry'!BB162,'Council Entry'!BB$9),'Council Entry'!BB$8),'Council Entry'!BB162)),IF('Council Entry'!BB$4="Exponential",EXP(IF(AND(ISNUMBER('Council Entry'!BB$8),ISNUMBER('Council Entry'!BB$9)),MAX(MIN('Council Entry'!BB162,'Council Entry'!BB$9),'Council Entry'!BB$8),'Council Entry'!BB162)),IF(AND(ISNUMBER('Council Entry'!BB$8),ISNUMBER('Council Entry'!BB$9)),MAX(MIN('Council Entry'!BB162,'Council Entry'!BB$9),'Council Entry'!BB$8),'Council Entry'!BB162))))-'Council Entry'!BB$5)/('Council Entry'!BB$6-'Council Entry'!BB$5)),1))),"No data"))</f>
        <v/>
      </c>
      <c r="BC162" s="13">
        <f>IF('Council Entry'!BC162="","",IFERROR(MAX(0,MIN(10,ROUND(IF('Council Entry'!BC$7="Decrease Risk",10-10*((IF('Council Entry'!BC$4="Logarithm",LN(0.001+IF(AND(ISNUMBER('Council Entry'!BC$8),ISNUMBER('Council Entry'!BC$9)),MAX(MIN('Council Entry'!BC162,'Council Entry'!BC$9),'Council Entry'!BC$8),'Council Entry'!BC162)),IF('Council Entry'!BC$4="Exponential",EXP(IF(AND(ISNUMBER('Council Entry'!BC$8),ISNUMBER('Council Entry'!BC$9)),MAX(MIN('Council Entry'!BC162,'Council Entry'!BC$9),'Council Entry'!BC$8),'Council Entry'!BC162)),IF(AND(ISNUMBER('Council Entry'!BC$8),ISNUMBER('Council Entry'!BC$9)),MAX(MIN('Council Entry'!BC162,'Council Entry'!BC$9),'Council Entry'!BC$8),'Council Entry'!BC162))))-'Council Entry'!BC$5)/('Council Entry'!BC$6-'Council Entry'!BC$5),10*((IF('Council Entry'!BC$4="Logarithm",LN(0.001+IF(AND(ISNUMBER('Council Entry'!BC$8),ISNUMBER('Council Entry'!BC$9)),MAX(MIN('Council Entry'!BC162,'Council Entry'!BC$9),'Council Entry'!BC$8),'Council Entry'!BC162)),IF('Council Entry'!BC$4="Exponential",EXP(IF(AND(ISNUMBER('Council Entry'!BC$8),ISNUMBER('Council Entry'!BC$9)),MAX(MIN('Council Entry'!BC162,'Council Entry'!BC$9),'Council Entry'!BC$8),'Council Entry'!BC162)),IF(AND(ISNUMBER('Council Entry'!BC$8),ISNUMBER('Council Entry'!BC$9)),MAX(MIN('Council Entry'!BC162,'Council Entry'!BC$9),'Council Entry'!BC$8),'Council Entry'!BC162))))-'Council Entry'!BC$5)/('Council Entry'!BC$6-'Council Entry'!BC$5)),1))),"No data"))</f>
        <v/>
      </c>
      <c r="BD162" s="13">
        <f>IF('Council Entry'!BD162="","",IFERROR(MAX(0,MIN(10,ROUND(IF('Council Entry'!BD$7="Decrease Risk",10-10*((IF('Council Entry'!BD$4="Logarithm",LN(0.001+IF(AND(ISNUMBER('Council Entry'!BD$8),ISNUMBER('Council Entry'!BD$9)),MAX(MIN('Council Entry'!BD162,'Council Entry'!BD$9),'Council Entry'!BD$8),'Council Entry'!BD162)),IF('Council Entry'!BD$4="Exponential",EXP(IF(AND(ISNUMBER('Council Entry'!BD$8),ISNUMBER('Council Entry'!BD$9)),MAX(MIN('Council Entry'!BD162,'Council Entry'!BD$9),'Council Entry'!BD$8),'Council Entry'!BD162)),IF(AND(ISNUMBER('Council Entry'!BD$8),ISNUMBER('Council Entry'!BD$9)),MAX(MIN('Council Entry'!BD162,'Council Entry'!BD$9),'Council Entry'!BD$8),'Council Entry'!BD162))))-'Council Entry'!BD$5)/('Council Entry'!BD$6-'Council Entry'!BD$5),10*((IF('Council Entry'!BD$4="Logarithm",LN(0.001+IF(AND(ISNUMBER('Council Entry'!BD$8),ISNUMBER('Council Entry'!BD$9)),MAX(MIN('Council Entry'!BD162,'Council Entry'!BD$9),'Council Entry'!BD$8),'Council Entry'!BD162)),IF('Council Entry'!BD$4="Exponential",EXP(IF(AND(ISNUMBER('Council Entry'!BD$8),ISNUMBER('Council Entry'!BD$9)),MAX(MIN('Council Entry'!BD162,'Council Entry'!BD$9),'Council Entry'!BD$8),'Council Entry'!BD162)),IF(AND(ISNUMBER('Council Entry'!BD$8),ISNUMBER('Council Entry'!BD$9)),MAX(MIN('Council Entry'!BD162,'Council Entry'!BD$9),'Council Entry'!BD$8),'Council Entry'!BD162))))-'Council Entry'!BD$5)/('Council Entry'!BD$6-'Council Entry'!BD$5)),1))),"No data"))</f>
        <v/>
      </c>
    </row>
    <row r="163">
      <c r="A163" t="inlineStr">
        <is>
          <t>Shinyanga</t>
        </is>
      </c>
      <c r="B163" t="inlineStr">
        <is>
          <t>Kahama Municipal</t>
        </is>
      </c>
      <c r="C163" t="inlineStr">
        <is>
          <t>C120</t>
        </is>
      </c>
      <c r="D163" s="13">
        <f>IF('Council Entry'!D163="","",IFERROR(MAX(0,MIN(10,ROUND(IF('Council Entry'!D$7="Decrease Risk",10-10*((IF('Council Entry'!D$4="Logarithm",LN(0.001+IF(AND(ISNUMBER('Council Entry'!D$8),ISNUMBER('Council Entry'!D$9)),MAX(MIN('Council Entry'!D163,'Council Entry'!D$9),'Council Entry'!D$8),'Council Entry'!D163)),IF('Council Entry'!D$4="Exponential",EXP(IF(AND(ISNUMBER('Council Entry'!D$8),ISNUMBER('Council Entry'!D$9)),MAX(MIN('Council Entry'!D163,'Council Entry'!D$9),'Council Entry'!D$8),'Council Entry'!D163)),IF(AND(ISNUMBER('Council Entry'!D$8),ISNUMBER('Council Entry'!D$9)),MAX(MIN('Council Entry'!D163,'Council Entry'!D$9),'Council Entry'!D$8),'Council Entry'!D163))))-'Council Entry'!D$5)/('Council Entry'!D$6-'Council Entry'!D$5),10*((IF('Council Entry'!D$4="Logarithm",LN(0.001+IF(AND(ISNUMBER('Council Entry'!D$8),ISNUMBER('Council Entry'!D$9)),MAX(MIN('Council Entry'!D163,'Council Entry'!D$9),'Council Entry'!D$8),'Council Entry'!D163)),IF('Council Entry'!D$4="Exponential",EXP(IF(AND(ISNUMBER('Council Entry'!D$8),ISNUMBER('Council Entry'!D$9)),MAX(MIN('Council Entry'!D163,'Council Entry'!D$9),'Council Entry'!D$8),'Council Entry'!D163)),IF(AND(ISNUMBER('Council Entry'!D$8),ISNUMBER('Council Entry'!D$9)),MAX(MIN('Council Entry'!D163,'Council Entry'!D$9),'Council Entry'!D$8),'Council Entry'!D163))))-'Council Entry'!D$5)/('Council Entry'!D$6-'Council Entry'!D$5)),1))),"No data"))</f>
        <v/>
      </c>
      <c r="E163" s="13">
        <f>IF('Council Entry'!E163="","",IFERROR(MAX(0,MIN(10,ROUND(IF('Council Entry'!E$7="Decrease Risk",10-10*((IF('Council Entry'!E$4="Logarithm",LN(0.001+IF(AND(ISNUMBER('Council Entry'!E$8),ISNUMBER('Council Entry'!E$9)),MAX(MIN('Council Entry'!E163,'Council Entry'!E$9),'Council Entry'!E$8),'Council Entry'!E163)),IF('Council Entry'!E$4="Exponential",EXP(IF(AND(ISNUMBER('Council Entry'!E$8),ISNUMBER('Council Entry'!E$9)),MAX(MIN('Council Entry'!E163,'Council Entry'!E$9),'Council Entry'!E$8),'Council Entry'!E163)),IF(AND(ISNUMBER('Council Entry'!E$8),ISNUMBER('Council Entry'!E$9)),MAX(MIN('Council Entry'!E163,'Council Entry'!E$9),'Council Entry'!E$8),'Council Entry'!E163))))-'Council Entry'!E$5)/('Council Entry'!E$6-'Council Entry'!E$5),10*((IF('Council Entry'!E$4="Logarithm",LN(0.001+IF(AND(ISNUMBER('Council Entry'!E$8),ISNUMBER('Council Entry'!E$9)),MAX(MIN('Council Entry'!E163,'Council Entry'!E$9),'Council Entry'!E$8),'Council Entry'!E163)),IF('Council Entry'!E$4="Exponential",EXP(IF(AND(ISNUMBER('Council Entry'!E$8),ISNUMBER('Council Entry'!E$9)),MAX(MIN('Council Entry'!E163,'Council Entry'!E$9),'Council Entry'!E$8),'Council Entry'!E163)),IF(AND(ISNUMBER('Council Entry'!E$8),ISNUMBER('Council Entry'!E$9)),MAX(MIN('Council Entry'!E163,'Council Entry'!E$9),'Council Entry'!E$8),'Council Entry'!E163))))-'Council Entry'!E$5)/('Council Entry'!E$6-'Council Entry'!E$5)),1))),"No data"))</f>
        <v/>
      </c>
      <c r="F163" s="13">
        <f>IF('Council Entry'!F163="","",IFERROR(MAX(0,MIN(10,ROUND(IF('Council Entry'!F$7="Decrease Risk",10-10*((IF('Council Entry'!F$4="Logarithm",LN(0.001+IF(AND(ISNUMBER('Council Entry'!F$8),ISNUMBER('Council Entry'!F$9)),MAX(MIN('Council Entry'!F163,'Council Entry'!F$9),'Council Entry'!F$8),'Council Entry'!F163)),IF('Council Entry'!F$4="Exponential",EXP(IF(AND(ISNUMBER('Council Entry'!F$8),ISNUMBER('Council Entry'!F$9)),MAX(MIN('Council Entry'!F163,'Council Entry'!F$9),'Council Entry'!F$8),'Council Entry'!F163)),IF(AND(ISNUMBER('Council Entry'!F$8),ISNUMBER('Council Entry'!F$9)),MAX(MIN('Council Entry'!F163,'Council Entry'!F$9),'Council Entry'!F$8),'Council Entry'!F163))))-'Council Entry'!F$5)/('Council Entry'!F$6-'Council Entry'!F$5),10*((IF('Council Entry'!F$4="Logarithm",LN(0.001+IF(AND(ISNUMBER('Council Entry'!F$8),ISNUMBER('Council Entry'!F$9)),MAX(MIN('Council Entry'!F163,'Council Entry'!F$9),'Council Entry'!F$8),'Council Entry'!F163)),IF('Council Entry'!F$4="Exponential",EXP(IF(AND(ISNUMBER('Council Entry'!F$8),ISNUMBER('Council Entry'!F$9)),MAX(MIN('Council Entry'!F163,'Council Entry'!F$9),'Council Entry'!F$8),'Council Entry'!F163)),IF(AND(ISNUMBER('Council Entry'!F$8),ISNUMBER('Council Entry'!F$9)),MAX(MIN('Council Entry'!F163,'Council Entry'!F$9),'Council Entry'!F$8),'Council Entry'!F163))))-'Council Entry'!F$5)/('Council Entry'!F$6-'Council Entry'!F$5)),1))),"No data"))</f>
        <v/>
      </c>
      <c r="G163" s="13">
        <f>IF('Council Entry'!G163="","",IFERROR(MAX(0,MIN(10,ROUND(IF('Council Entry'!G$7="Decrease Risk",10-10*((IF('Council Entry'!G$4="Logarithm",LN(0.001+IF(AND(ISNUMBER('Council Entry'!G$8),ISNUMBER('Council Entry'!G$9)),MAX(MIN('Council Entry'!G163,'Council Entry'!G$9),'Council Entry'!G$8),'Council Entry'!G163)),IF('Council Entry'!G$4="Exponential",EXP(IF(AND(ISNUMBER('Council Entry'!G$8),ISNUMBER('Council Entry'!G$9)),MAX(MIN('Council Entry'!G163,'Council Entry'!G$9),'Council Entry'!G$8),'Council Entry'!G163)),IF(AND(ISNUMBER('Council Entry'!G$8),ISNUMBER('Council Entry'!G$9)),MAX(MIN('Council Entry'!G163,'Council Entry'!G$9),'Council Entry'!G$8),'Council Entry'!G163))))-'Council Entry'!G$5)/('Council Entry'!G$6-'Council Entry'!G$5),10*((IF('Council Entry'!G$4="Logarithm",LN(0.001+IF(AND(ISNUMBER('Council Entry'!G$8),ISNUMBER('Council Entry'!G$9)),MAX(MIN('Council Entry'!G163,'Council Entry'!G$9),'Council Entry'!G$8),'Council Entry'!G163)),IF('Council Entry'!G$4="Exponential",EXP(IF(AND(ISNUMBER('Council Entry'!G$8),ISNUMBER('Council Entry'!G$9)),MAX(MIN('Council Entry'!G163,'Council Entry'!G$9),'Council Entry'!G$8),'Council Entry'!G163)),IF(AND(ISNUMBER('Council Entry'!G$8),ISNUMBER('Council Entry'!G$9)),MAX(MIN('Council Entry'!G163,'Council Entry'!G$9),'Council Entry'!G$8),'Council Entry'!G163))))-'Council Entry'!G$5)/('Council Entry'!G$6-'Council Entry'!G$5)),1))),"No data"))</f>
        <v/>
      </c>
      <c r="H163" s="13">
        <f>IF('Council Entry'!H163="","",IFERROR(MAX(0,MIN(10,ROUND(IF('Council Entry'!H$7="Decrease Risk",10-10*((IF('Council Entry'!H$4="Logarithm",LN(0.001+IF(AND(ISNUMBER('Council Entry'!H$8),ISNUMBER('Council Entry'!H$9)),MAX(MIN('Council Entry'!H163,'Council Entry'!H$9),'Council Entry'!H$8),'Council Entry'!H163)),IF('Council Entry'!H$4="Exponential",EXP(IF(AND(ISNUMBER('Council Entry'!H$8),ISNUMBER('Council Entry'!H$9)),MAX(MIN('Council Entry'!H163,'Council Entry'!H$9),'Council Entry'!H$8),'Council Entry'!H163)),IF(AND(ISNUMBER('Council Entry'!H$8),ISNUMBER('Council Entry'!H$9)),MAX(MIN('Council Entry'!H163,'Council Entry'!H$9),'Council Entry'!H$8),'Council Entry'!H163))))-'Council Entry'!H$5)/('Council Entry'!H$6-'Council Entry'!H$5),10*((IF('Council Entry'!H$4="Logarithm",LN(0.001+IF(AND(ISNUMBER('Council Entry'!H$8),ISNUMBER('Council Entry'!H$9)),MAX(MIN('Council Entry'!H163,'Council Entry'!H$9),'Council Entry'!H$8),'Council Entry'!H163)),IF('Council Entry'!H$4="Exponential",EXP(IF(AND(ISNUMBER('Council Entry'!H$8),ISNUMBER('Council Entry'!H$9)),MAX(MIN('Council Entry'!H163,'Council Entry'!H$9),'Council Entry'!H$8),'Council Entry'!H163)),IF(AND(ISNUMBER('Council Entry'!H$8),ISNUMBER('Council Entry'!H$9)),MAX(MIN('Council Entry'!H163,'Council Entry'!H$9),'Council Entry'!H$8),'Council Entry'!H163))))-'Council Entry'!H$5)/('Council Entry'!H$6-'Council Entry'!H$5)),1))),"No data"))</f>
        <v/>
      </c>
      <c r="I163" s="13">
        <f>IF('Council Entry'!I163="","",IFERROR(MAX(0,MIN(10,ROUND(IF('Council Entry'!I$7="Decrease Risk",10-10*((IF('Council Entry'!I$4="Logarithm",LN(0.001+IF(AND(ISNUMBER('Council Entry'!I$8),ISNUMBER('Council Entry'!I$9)),MAX(MIN('Council Entry'!I163,'Council Entry'!I$9),'Council Entry'!I$8),'Council Entry'!I163)),IF('Council Entry'!I$4="Exponential",EXP(IF(AND(ISNUMBER('Council Entry'!I$8),ISNUMBER('Council Entry'!I$9)),MAX(MIN('Council Entry'!I163,'Council Entry'!I$9),'Council Entry'!I$8),'Council Entry'!I163)),IF(AND(ISNUMBER('Council Entry'!I$8),ISNUMBER('Council Entry'!I$9)),MAX(MIN('Council Entry'!I163,'Council Entry'!I$9),'Council Entry'!I$8),'Council Entry'!I163))))-'Council Entry'!I$5)/('Council Entry'!I$6-'Council Entry'!I$5),10*((IF('Council Entry'!I$4="Logarithm",LN(0.001+IF(AND(ISNUMBER('Council Entry'!I$8),ISNUMBER('Council Entry'!I$9)),MAX(MIN('Council Entry'!I163,'Council Entry'!I$9),'Council Entry'!I$8),'Council Entry'!I163)),IF('Council Entry'!I$4="Exponential",EXP(IF(AND(ISNUMBER('Council Entry'!I$8),ISNUMBER('Council Entry'!I$9)),MAX(MIN('Council Entry'!I163,'Council Entry'!I$9),'Council Entry'!I$8),'Council Entry'!I163)),IF(AND(ISNUMBER('Council Entry'!I$8),ISNUMBER('Council Entry'!I$9)),MAX(MIN('Council Entry'!I163,'Council Entry'!I$9),'Council Entry'!I$8),'Council Entry'!I163))))-'Council Entry'!I$5)/('Council Entry'!I$6-'Council Entry'!I$5)),1))),"No data"))</f>
        <v/>
      </c>
      <c r="J163" s="13">
        <f>IF('Council Entry'!J163="","",IFERROR(MAX(0,MIN(10,ROUND(IF('Council Entry'!J$7="Decrease Risk",10-10*((IF('Council Entry'!J$4="Logarithm",LN(0.001+IF(AND(ISNUMBER('Council Entry'!J$8),ISNUMBER('Council Entry'!J$9)),MAX(MIN('Council Entry'!J163,'Council Entry'!J$9),'Council Entry'!J$8),'Council Entry'!J163)),IF('Council Entry'!J$4="Exponential",EXP(IF(AND(ISNUMBER('Council Entry'!J$8),ISNUMBER('Council Entry'!J$9)),MAX(MIN('Council Entry'!J163,'Council Entry'!J$9),'Council Entry'!J$8),'Council Entry'!J163)),IF(AND(ISNUMBER('Council Entry'!J$8),ISNUMBER('Council Entry'!J$9)),MAX(MIN('Council Entry'!J163,'Council Entry'!J$9),'Council Entry'!J$8),'Council Entry'!J163))))-'Council Entry'!J$5)/('Council Entry'!J$6-'Council Entry'!J$5),10*((IF('Council Entry'!J$4="Logarithm",LN(0.001+IF(AND(ISNUMBER('Council Entry'!J$8),ISNUMBER('Council Entry'!J$9)),MAX(MIN('Council Entry'!J163,'Council Entry'!J$9),'Council Entry'!J$8),'Council Entry'!J163)),IF('Council Entry'!J$4="Exponential",EXP(IF(AND(ISNUMBER('Council Entry'!J$8),ISNUMBER('Council Entry'!J$9)),MAX(MIN('Council Entry'!J163,'Council Entry'!J$9),'Council Entry'!J$8),'Council Entry'!J163)),IF(AND(ISNUMBER('Council Entry'!J$8),ISNUMBER('Council Entry'!J$9)),MAX(MIN('Council Entry'!J163,'Council Entry'!J$9),'Council Entry'!J$8),'Council Entry'!J163))))-'Council Entry'!J$5)/('Council Entry'!J$6-'Council Entry'!J$5)),1))),"No data"))</f>
        <v/>
      </c>
      <c r="K163" s="13">
        <f>IF('Council Entry'!K163="","",IFERROR(MAX(0,MIN(10,ROUND(IF('Council Entry'!K$7="Decrease Risk",10-10*((IF('Council Entry'!K$4="Logarithm",LN(0.001+IF(AND(ISNUMBER('Council Entry'!K$8),ISNUMBER('Council Entry'!K$9)),MAX(MIN('Council Entry'!K163,'Council Entry'!K$9),'Council Entry'!K$8),'Council Entry'!K163)),IF('Council Entry'!K$4="Exponential",EXP(IF(AND(ISNUMBER('Council Entry'!K$8),ISNUMBER('Council Entry'!K$9)),MAX(MIN('Council Entry'!K163,'Council Entry'!K$9),'Council Entry'!K$8),'Council Entry'!K163)),IF(AND(ISNUMBER('Council Entry'!K$8),ISNUMBER('Council Entry'!K$9)),MAX(MIN('Council Entry'!K163,'Council Entry'!K$9),'Council Entry'!K$8),'Council Entry'!K163))))-'Council Entry'!K$5)/('Council Entry'!K$6-'Council Entry'!K$5),10*((IF('Council Entry'!K$4="Logarithm",LN(0.001+IF(AND(ISNUMBER('Council Entry'!K$8),ISNUMBER('Council Entry'!K$9)),MAX(MIN('Council Entry'!K163,'Council Entry'!K$9),'Council Entry'!K$8),'Council Entry'!K163)),IF('Council Entry'!K$4="Exponential",EXP(IF(AND(ISNUMBER('Council Entry'!K$8),ISNUMBER('Council Entry'!K$9)),MAX(MIN('Council Entry'!K163,'Council Entry'!K$9),'Council Entry'!K$8),'Council Entry'!K163)),IF(AND(ISNUMBER('Council Entry'!K$8),ISNUMBER('Council Entry'!K$9)),MAX(MIN('Council Entry'!K163,'Council Entry'!K$9),'Council Entry'!K$8),'Council Entry'!K163))))-'Council Entry'!K$5)/('Council Entry'!K$6-'Council Entry'!K$5)),1))),"No data"))</f>
        <v/>
      </c>
      <c r="L163" s="13">
        <f>IF('Council Entry'!L163="","",IFERROR(MAX(0,MIN(10,ROUND(IF('Council Entry'!L$7="Decrease Risk",10-10*((IF('Council Entry'!L$4="Logarithm",LN(0.001+IF(AND(ISNUMBER('Council Entry'!L$8),ISNUMBER('Council Entry'!L$9)),MAX(MIN('Council Entry'!L163,'Council Entry'!L$9),'Council Entry'!L$8),'Council Entry'!L163)),IF('Council Entry'!L$4="Exponential",EXP(IF(AND(ISNUMBER('Council Entry'!L$8),ISNUMBER('Council Entry'!L$9)),MAX(MIN('Council Entry'!L163,'Council Entry'!L$9),'Council Entry'!L$8),'Council Entry'!L163)),IF(AND(ISNUMBER('Council Entry'!L$8),ISNUMBER('Council Entry'!L$9)),MAX(MIN('Council Entry'!L163,'Council Entry'!L$9),'Council Entry'!L$8),'Council Entry'!L163))))-'Council Entry'!L$5)/('Council Entry'!L$6-'Council Entry'!L$5),10*((IF('Council Entry'!L$4="Logarithm",LN(0.001+IF(AND(ISNUMBER('Council Entry'!L$8),ISNUMBER('Council Entry'!L$9)),MAX(MIN('Council Entry'!L163,'Council Entry'!L$9),'Council Entry'!L$8),'Council Entry'!L163)),IF('Council Entry'!L$4="Exponential",EXP(IF(AND(ISNUMBER('Council Entry'!L$8),ISNUMBER('Council Entry'!L$9)),MAX(MIN('Council Entry'!L163,'Council Entry'!L$9),'Council Entry'!L$8),'Council Entry'!L163)),IF(AND(ISNUMBER('Council Entry'!L$8),ISNUMBER('Council Entry'!L$9)),MAX(MIN('Council Entry'!L163,'Council Entry'!L$9),'Council Entry'!L$8),'Council Entry'!L163))))-'Council Entry'!L$5)/('Council Entry'!L$6-'Council Entry'!L$5)),1))),"No data"))</f>
        <v/>
      </c>
      <c r="M163" s="13">
        <f>IF('Council Entry'!M163="","",IFERROR(MAX(0,MIN(10,ROUND(IF('Council Entry'!M$7="Decrease Risk",10-10*((IF('Council Entry'!M$4="Logarithm",LN(0.001+IF(AND(ISNUMBER('Council Entry'!M$8),ISNUMBER('Council Entry'!M$9)),MAX(MIN('Council Entry'!M163,'Council Entry'!M$9),'Council Entry'!M$8),'Council Entry'!M163)),IF('Council Entry'!M$4="Exponential",EXP(IF(AND(ISNUMBER('Council Entry'!M$8),ISNUMBER('Council Entry'!M$9)),MAX(MIN('Council Entry'!M163,'Council Entry'!M$9),'Council Entry'!M$8),'Council Entry'!M163)),IF(AND(ISNUMBER('Council Entry'!M$8),ISNUMBER('Council Entry'!M$9)),MAX(MIN('Council Entry'!M163,'Council Entry'!M$9),'Council Entry'!M$8),'Council Entry'!M163))))-'Council Entry'!M$5)/('Council Entry'!M$6-'Council Entry'!M$5),10*((IF('Council Entry'!M$4="Logarithm",LN(0.001+IF(AND(ISNUMBER('Council Entry'!M$8),ISNUMBER('Council Entry'!M$9)),MAX(MIN('Council Entry'!M163,'Council Entry'!M$9),'Council Entry'!M$8),'Council Entry'!M163)),IF('Council Entry'!M$4="Exponential",EXP(IF(AND(ISNUMBER('Council Entry'!M$8),ISNUMBER('Council Entry'!M$9)),MAX(MIN('Council Entry'!M163,'Council Entry'!M$9),'Council Entry'!M$8),'Council Entry'!M163)),IF(AND(ISNUMBER('Council Entry'!M$8),ISNUMBER('Council Entry'!M$9)),MAX(MIN('Council Entry'!M163,'Council Entry'!M$9),'Council Entry'!M$8),'Council Entry'!M163))))-'Council Entry'!M$5)/('Council Entry'!M$6-'Council Entry'!M$5)),1))),"No data"))</f>
        <v/>
      </c>
      <c r="N163" s="13">
        <f>IF('Council Entry'!N163="","",IFERROR(MAX(0,MIN(10,ROUND(IF('Council Entry'!N$7="Decrease Risk",10-10*((IF('Council Entry'!N$4="Logarithm",LN(0.001+IF(AND(ISNUMBER('Council Entry'!N$8),ISNUMBER('Council Entry'!N$9)),MAX(MIN('Council Entry'!N163,'Council Entry'!N$9),'Council Entry'!N$8),'Council Entry'!N163)),IF('Council Entry'!N$4="Exponential",EXP(IF(AND(ISNUMBER('Council Entry'!N$8),ISNUMBER('Council Entry'!N$9)),MAX(MIN('Council Entry'!N163,'Council Entry'!N$9),'Council Entry'!N$8),'Council Entry'!N163)),IF(AND(ISNUMBER('Council Entry'!N$8),ISNUMBER('Council Entry'!N$9)),MAX(MIN('Council Entry'!N163,'Council Entry'!N$9),'Council Entry'!N$8),'Council Entry'!N163))))-'Council Entry'!N$5)/('Council Entry'!N$6-'Council Entry'!N$5),10*((IF('Council Entry'!N$4="Logarithm",LN(0.001+IF(AND(ISNUMBER('Council Entry'!N$8),ISNUMBER('Council Entry'!N$9)),MAX(MIN('Council Entry'!N163,'Council Entry'!N$9),'Council Entry'!N$8),'Council Entry'!N163)),IF('Council Entry'!N$4="Exponential",EXP(IF(AND(ISNUMBER('Council Entry'!N$8),ISNUMBER('Council Entry'!N$9)),MAX(MIN('Council Entry'!N163,'Council Entry'!N$9),'Council Entry'!N$8),'Council Entry'!N163)),IF(AND(ISNUMBER('Council Entry'!N$8),ISNUMBER('Council Entry'!N$9)),MAX(MIN('Council Entry'!N163,'Council Entry'!N$9),'Council Entry'!N$8),'Council Entry'!N163))))-'Council Entry'!N$5)/('Council Entry'!N$6-'Council Entry'!N$5)),1))),"No data"))</f>
        <v/>
      </c>
      <c r="O163" s="13">
        <f>IF('Council Entry'!O163="","",IFERROR(MAX(0,MIN(10,ROUND(IF('Council Entry'!O$7="Decrease Risk",10-10*((IF('Council Entry'!O$4="Logarithm",LN(0.001+IF(AND(ISNUMBER('Council Entry'!O$8),ISNUMBER('Council Entry'!O$9)),MAX(MIN('Council Entry'!O163,'Council Entry'!O$9),'Council Entry'!O$8),'Council Entry'!O163)),IF('Council Entry'!O$4="Exponential",EXP(IF(AND(ISNUMBER('Council Entry'!O$8),ISNUMBER('Council Entry'!O$9)),MAX(MIN('Council Entry'!O163,'Council Entry'!O$9),'Council Entry'!O$8),'Council Entry'!O163)),IF(AND(ISNUMBER('Council Entry'!O$8),ISNUMBER('Council Entry'!O$9)),MAX(MIN('Council Entry'!O163,'Council Entry'!O$9),'Council Entry'!O$8),'Council Entry'!O163))))-'Council Entry'!O$5)/('Council Entry'!O$6-'Council Entry'!O$5),10*((IF('Council Entry'!O$4="Logarithm",LN(0.001+IF(AND(ISNUMBER('Council Entry'!O$8),ISNUMBER('Council Entry'!O$9)),MAX(MIN('Council Entry'!O163,'Council Entry'!O$9),'Council Entry'!O$8),'Council Entry'!O163)),IF('Council Entry'!O$4="Exponential",EXP(IF(AND(ISNUMBER('Council Entry'!O$8),ISNUMBER('Council Entry'!O$9)),MAX(MIN('Council Entry'!O163,'Council Entry'!O$9),'Council Entry'!O$8),'Council Entry'!O163)),IF(AND(ISNUMBER('Council Entry'!O$8),ISNUMBER('Council Entry'!O$9)),MAX(MIN('Council Entry'!O163,'Council Entry'!O$9),'Council Entry'!O$8),'Council Entry'!O163))))-'Council Entry'!O$5)/('Council Entry'!O$6-'Council Entry'!O$5)),1))),"No data"))</f>
        <v/>
      </c>
      <c r="P163" s="13">
        <f>IF('Council Entry'!P163="","",IFERROR(MAX(0,MIN(10,ROUND(IF('Council Entry'!P$7="Decrease Risk",10-10*((IF('Council Entry'!P$4="Logarithm",LN(0.001+IF(AND(ISNUMBER('Council Entry'!P$8),ISNUMBER('Council Entry'!P$9)),MAX(MIN('Council Entry'!P163,'Council Entry'!P$9),'Council Entry'!P$8),'Council Entry'!P163)),IF('Council Entry'!P$4="Exponential",EXP(IF(AND(ISNUMBER('Council Entry'!P$8),ISNUMBER('Council Entry'!P$9)),MAX(MIN('Council Entry'!P163,'Council Entry'!P$9),'Council Entry'!P$8),'Council Entry'!P163)),IF(AND(ISNUMBER('Council Entry'!P$8),ISNUMBER('Council Entry'!P$9)),MAX(MIN('Council Entry'!P163,'Council Entry'!P$9),'Council Entry'!P$8),'Council Entry'!P163))))-'Council Entry'!P$5)/('Council Entry'!P$6-'Council Entry'!P$5),10*((IF('Council Entry'!P$4="Logarithm",LN(0.001+IF(AND(ISNUMBER('Council Entry'!P$8),ISNUMBER('Council Entry'!P$9)),MAX(MIN('Council Entry'!P163,'Council Entry'!P$9),'Council Entry'!P$8),'Council Entry'!P163)),IF('Council Entry'!P$4="Exponential",EXP(IF(AND(ISNUMBER('Council Entry'!P$8),ISNUMBER('Council Entry'!P$9)),MAX(MIN('Council Entry'!P163,'Council Entry'!P$9),'Council Entry'!P$8),'Council Entry'!P163)),IF(AND(ISNUMBER('Council Entry'!P$8),ISNUMBER('Council Entry'!P$9)),MAX(MIN('Council Entry'!P163,'Council Entry'!P$9),'Council Entry'!P$8),'Council Entry'!P163))))-'Council Entry'!P$5)/('Council Entry'!P$6-'Council Entry'!P$5)),1))),"No data"))</f>
        <v/>
      </c>
      <c r="Q163" s="13">
        <f>IF('Council Entry'!Q163="","",IFERROR(MAX(0,MIN(10,ROUND(IF('Council Entry'!Q$7="Decrease Risk",10-10*((IF('Council Entry'!Q$4="Logarithm",LN(0.001+IF(AND(ISNUMBER('Council Entry'!Q$8),ISNUMBER('Council Entry'!Q$9)),MAX(MIN('Council Entry'!Q163,'Council Entry'!Q$9),'Council Entry'!Q$8),'Council Entry'!Q163)),IF('Council Entry'!Q$4="Exponential",EXP(IF(AND(ISNUMBER('Council Entry'!Q$8),ISNUMBER('Council Entry'!Q$9)),MAX(MIN('Council Entry'!Q163,'Council Entry'!Q$9),'Council Entry'!Q$8),'Council Entry'!Q163)),IF(AND(ISNUMBER('Council Entry'!Q$8),ISNUMBER('Council Entry'!Q$9)),MAX(MIN('Council Entry'!Q163,'Council Entry'!Q$9),'Council Entry'!Q$8),'Council Entry'!Q163))))-'Council Entry'!Q$5)/('Council Entry'!Q$6-'Council Entry'!Q$5),10*((IF('Council Entry'!Q$4="Logarithm",LN(0.001+IF(AND(ISNUMBER('Council Entry'!Q$8),ISNUMBER('Council Entry'!Q$9)),MAX(MIN('Council Entry'!Q163,'Council Entry'!Q$9),'Council Entry'!Q$8),'Council Entry'!Q163)),IF('Council Entry'!Q$4="Exponential",EXP(IF(AND(ISNUMBER('Council Entry'!Q$8),ISNUMBER('Council Entry'!Q$9)),MAX(MIN('Council Entry'!Q163,'Council Entry'!Q$9),'Council Entry'!Q$8),'Council Entry'!Q163)),IF(AND(ISNUMBER('Council Entry'!Q$8),ISNUMBER('Council Entry'!Q$9)),MAX(MIN('Council Entry'!Q163,'Council Entry'!Q$9),'Council Entry'!Q$8),'Council Entry'!Q163))))-'Council Entry'!Q$5)/('Council Entry'!Q$6-'Council Entry'!Q$5)),1))),"No data"))</f>
        <v/>
      </c>
      <c r="R163" s="13">
        <f>IF('Council Entry'!R163="","",IFERROR(MAX(0,MIN(10,ROUND(IF('Council Entry'!R$7="Decrease Risk",10-10*((IF('Council Entry'!R$4="Logarithm",LN(0.001+IF(AND(ISNUMBER('Council Entry'!R$8),ISNUMBER('Council Entry'!R$9)),MAX(MIN('Council Entry'!R163,'Council Entry'!R$9),'Council Entry'!R$8),'Council Entry'!R163)),IF('Council Entry'!R$4="Exponential",EXP(IF(AND(ISNUMBER('Council Entry'!R$8),ISNUMBER('Council Entry'!R$9)),MAX(MIN('Council Entry'!R163,'Council Entry'!R$9),'Council Entry'!R$8),'Council Entry'!R163)),IF(AND(ISNUMBER('Council Entry'!R$8),ISNUMBER('Council Entry'!R$9)),MAX(MIN('Council Entry'!R163,'Council Entry'!R$9),'Council Entry'!R$8),'Council Entry'!R163))))-'Council Entry'!R$5)/('Council Entry'!R$6-'Council Entry'!R$5),10*((IF('Council Entry'!R$4="Logarithm",LN(0.001+IF(AND(ISNUMBER('Council Entry'!R$8),ISNUMBER('Council Entry'!R$9)),MAX(MIN('Council Entry'!R163,'Council Entry'!R$9),'Council Entry'!R$8),'Council Entry'!R163)),IF('Council Entry'!R$4="Exponential",EXP(IF(AND(ISNUMBER('Council Entry'!R$8),ISNUMBER('Council Entry'!R$9)),MAX(MIN('Council Entry'!R163,'Council Entry'!R$9),'Council Entry'!R$8),'Council Entry'!R163)),IF(AND(ISNUMBER('Council Entry'!R$8),ISNUMBER('Council Entry'!R$9)),MAX(MIN('Council Entry'!R163,'Council Entry'!R$9),'Council Entry'!R$8),'Council Entry'!R163))))-'Council Entry'!R$5)/('Council Entry'!R$6-'Council Entry'!R$5)),1))),"No data"))</f>
        <v/>
      </c>
      <c r="S163" s="13">
        <f>IF('Council Entry'!S163="","",IFERROR(MAX(0,MIN(10,ROUND(IF('Council Entry'!S$7="Decrease Risk",10-10*((IF('Council Entry'!S$4="Logarithm",LN(0.001+IF(AND(ISNUMBER('Council Entry'!S$8),ISNUMBER('Council Entry'!S$9)),MAX(MIN('Council Entry'!S163,'Council Entry'!S$9),'Council Entry'!S$8),'Council Entry'!S163)),IF('Council Entry'!S$4="Exponential",EXP(IF(AND(ISNUMBER('Council Entry'!S$8),ISNUMBER('Council Entry'!S$9)),MAX(MIN('Council Entry'!S163,'Council Entry'!S$9),'Council Entry'!S$8),'Council Entry'!S163)),IF(AND(ISNUMBER('Council Entry'!S$8),ISNUMBER('Council Entry'!S$9)),MAX(MIN('Council Entry'!S163,'Council Entry'!S$9),'Council Entry'!S$8),'Council Entry'!S163))))-'Council Entry'!S$5)/('Council Entry'!S$6-'Council Entry'!S$5),10*((IF('Council Entry'!S$4="Logarithm",LN(0.001+IF(AND(ISNUMBER('Council Entry'!S$8),ISNUMBER('Council Entry'!S$9)),MAX(MIN('Council Entry'!S163,'Council Entry'!S$9),'Council Entry'!S$8),'Council Entry'!S163)),IF('Council Entry'!S$4="Exponential",EXP(IF(AND(ISNUMBER('Council Entry'!S$8),ISNUMBER('Council Entry'!S$9)),MAX(MIN('Council Entry'!S163,'Council Entry'!S$9),'Council Entry'!S$8),'Council Entry'!S163)),IF(AND(ISNUMBER('Council Entry'!S$8),ISNUMBER('Council Entry'!S$9)),MAX(MIN('Council Entry'!S163,'Council Entry'!S$9),'Council Entry'!S$8),'Council Entry'!S163))))-'Council Entry'!S$5)/('Council Entry'!S$6-'Council Entry'!S$5)),1))),"No data"))</f>
        <v/>
      </c>
      <c r="T163" s="13">
        <f>IF('Council Entry'!T163="","",IFERROR(MAX(0,MIN(10,ROUND(IF('Council Entry'!T$7="Decrease Risk",10-10*((IF('Council Entry'!T$4="Logarithm",LN(0.001+IF(AND(ISNUMBER('Council Entry'!T$8),ISNUMBER('Council Entry'!T$9)),MAX(MIN('Council Entry'!T163,'Council Entry'!T$9),'Council Entry'!T$8),'Council Entry'!T163)),IF('Council Entry'!T$4="Exponential",EXP(IF(AND(ISNUMBER('Council Entry'!T$8),ISNUMBER('Council Entry'!T$9)),MAX(MIN('Council Entry'!T163,'Council Entry'!T$9),'Council Entry'!T$8),'Council Entry'!T163)),IF(AND(ISNUMBER('Council Entry'!T$8),ISNUMBER('Council Entry'!T$9)),MAX(MIN('Council Entry'!T163,'Council Entry'!T$9),'Council Entry'!T$8),'Council Entry'!T163))))-'Council Entry'!T$5)/('Council Entry'!T$6-'Council Entry'!T$5),10*((IF('Council Entry'!T$4="Logarithm",LN(0.001+IF(AND(ISNUMBER('Council Entry'!T$8),ISNUMBER('Council Entry'!T$9)),MAX(MIN('Council Entry'!T163,'Council Entry'!T$9),'Council Entry'!T$8),'Council Entry'!T163)),IF('Council Entry'!T$4="Exponential",EXP(IF(AND(ISNUMBER('Council Entry'!T$8),ISNUMBER('Council Entry'!T$9)),MAX(MIN('Council Entry'!T163,'Council Entry'!T$9),'Council Entry'!T$8),'Council Entry'!T163)),IF(AND(ISNUMBER('Council Entry'!T$8),ISNUMBER('Council Entry'!T$9)),MAX(MIN('Council Entry'!T163,'Council Entry'!T$9),'Council Entry'!T$8),'Council Entry'!T163))))-'Council Entry'!T$5)/('Council Entry'!T$6-'Council Entry'!T$5)),1))),"No data"))</f>
        <v/>
      </c>
      <c r="U163" s="13">
        <f>IF('Council Entry'!U163="","",IFERROR(MAX(0,MIN(10,ROUND(IF('Council Entry'!U$7="Decrease Risk",10-10*((IF('Council Entry'!U$4="Logarithm",LN(0.001+IF(AND(ISNUMBER('Council Entry'!U$8),ISNUMBER('Council Entry'!U$9)),MAX(MIN('Council Entry'!U163,'Council Entry'!U$9),'Council Entry'!U$8),'Council Entry'!U163)),IF('Council Entry'!U$4="Exponential",EXP(IF(AND(ISNUMBER('Council Entry'!U$8),ISNUMBER('Council Entry'!U$9)),MAX(MIN('Council Entry'!U163,'Council Entry'!U$9),'Council Entry'!U$8),'Council Entry'!U163)),IF(AND(ISNUMBER('Council Entry'!U$8),ISNUMBER('Council Entry'!U$9)),MAX(MIN('Council Entry'!U163,'Council Entry'!U$9),'Council Entry'!U$8),'Council Entry'!U163))))-'Council Entry'!U$5)/('Council Entry'!U$6-'Council Entry'!U$5),10*((IF('Council Entry'!U$4="Logarithm",LN(0.001+IF(AND(ISNUMBER('Council Entry'!U$8),ISNUMBER('Council Entry'!U$9)),MAX(MIN('Council Entry'!U163,'Council Entry'!U$9),'Council Entry'!U$8),'Council Entry'!U163)),IF('Council Entry'!U$4="Exponential",EXP(IF(AND(ISNUMBER('Council Entry'!U$8),ISNUMBER('Council Entry'!U$9)),MAX(MIN('Council Entry'!U163,'Council Entry'!U$9),'Council Entry'!U$8),'Council Entry'!U163)),IF(AND(ISNUMBER('Council Entry'!U$8),ISNUMBER('Council Entry'!U$9)),MAX(MIN('Council Entry'!U163,'Council Entry'!U$9),'Council Entry'!U$8),'Council Entry'!U163))))-'Council Entry'!U$5)/('Council Entry'!U$6-'Council Entry'!U$5)),1))),"No data"))</f>
        <v/>
      </c>
      <c r="V163" s="13">
        <f>IF('Council Entry'!V163="","",IFERROR(MAX(0,MIN(10,ROUND(IF('Council Entry'!V$7="Decrease Risk",10-10*((IF('Council Entry'!V$4="Logarithm",LN(0.001+IF(AND(ISNUMBER('Council Entry'!V$8),ISNUMBER('Council Entry'!V$9)),MAX(MIN('Council Entry'!V163,'Council Entry'!V$9),'Council Entry'!V$8),'Council Entry'!V163)),IF('Council Entry'!V$4="Exponential",EXP(IF(AND(ISNUMBER('Council Entry'!V$8),ISNUMBER('Council Entry'!V$9)),MAX(MIN('Council Entry'!V163,'Council Entry'!V$9),'Council Entry'!V$8),'Council Entry'!V163)),IF(AND(ISNUMBER('Council Entry'!V$8),ISNUMBER('Council Entry'!V$9)),MAX(MIN('Council Entry'!V163,'Council Entry'!V$9),'Council Entry'!V$8),'Council Entry'!V163))))-'Council Entry'!V$5)/('Council Entry'!V$6-'Council Entry'!V$5),10*((IF('Council Entry'!V$4="Logarithm",LN(0.001+IF(AND(ISNUMBER('Council Entry'!V$8),ISNUMBER('Council Entry'!V$9)),MAX(MIN('Council Entry'!V163,'Council Entry'!V$9),'Council Entry'!V$8),'Council Entry'!V163)),IF('Council Entry'!V$4="Exponential",EXP(IF(AND(ISNUMBER('Council Entry'!V$8),ISNUMBER('Council Entry'!V$9)),MAX(MIN('Council Entry'!V163,'Council Entry'!V$9),'Council Entry'!V$8),'Council Entry'!V163)),IF(AND(ISNUMBER('Council Entry'!V$8),ISNUMBER('Council Entry'!V$9)),MAX(MIN('Council Entry'!V163,'Council Entry'!V$9),'Council Entry'!V$8),'Council Entry'!V163))))-'Council Entry'!V$5)/('Council Entry'!V$6-'Council Entry'!V$5)),1))),"No data"))</f>
        <v/>
      </c>
      <c r="W163" s="13">
        <f>IF('Council Entry'!W163="","",IFERROR(MAX(0,MIN(10,ROUND(IF('Council Entry'!W$7="Decrease Risk",10-10*((IF('Council Entry'!W$4="Logarithm",LN(0.001+IF(AND(ISNUMBER('Council Entry'!W$8),ISNUMBER('Council Entry'!W$9)),MAX(MIN('Council Entry'!W163,'Council Entry'!W$9),'Council Entry'!W$8),'Council Entry'!W163)),IF('Council Entry'!W$4="Exponential",EXP(IF(AND(ISNUMBER('Council Entry'!W$8),ISNUMBER('Council Entry'!W$9)),MAX(MIN('Council Entry'!W163,'Council Entry'!W$9),'Council Entry'!W$8),'Council Entry'!W163)),IF(AND(ISNUMBER('Council Entry'!W$8),ISNUMBER('Council Entry'!W$9)),MAX(MIN('Council Entry'!W163,'Council Entry'!W$9),'Council Entry'!W$8),'Council Entry'!W163))))-'Council Entry'!W$5)/('Council Entry'!W$6-'Council Entry'!W$5),10*((IF('Council Entry'!W$4="Logarithm",LN(0.001+IF(AND(ISNUMBER('Council Entry'!W$8),ISNUMBER('Council Entry'!W$9)),MAX(MIN('Council Entry'!W163,'Council Entry'!W$9),'Council Entry'!W$8),'Council Entry'!W163)),IF('Council Entry'!W$4="Exponential",EXP(IF(AND(ISNUMBER('Council Entry'!W$8),ISNUMBER('Council Entry'!W$9)),MAX(MIN('Council Entry'!W163,'Council Entry'!W$9),'Council Entry'!W$8),'Council Entry'!W163)),IF(AND(ISNUMBER('Council Entry'!W$8),ISNUMBER('Council Entry'!W$9)),MAX(MIN('Council Entry'!W163,'Council Entry'!W$9),'Council Entry'!W$8),'Council Entry'!W163))))-'Council Entry'!W$5)/('Council Entry'!W$6-'Council Entry'!W$5)),1))),"No data"))</f>
        <v/>
      </c>
      <c r="X163" s="13">
        <f>IF('Council Entry'!X163="","",IFERROR(MAX(0,MIN(10,ROUND(IF('Council Entry'!X$7="Decrease Risk",10-10*((IF('Council Entry'!X$4="Logarithm",LN(0.001+IF(AND(ISNUMBER('Council Entry'!X$8),ISNUMBER('Council Entry'!X$9)),MAX(MIN('Council Entry'!X163,'Council Entry'!X$9),'Council Entry'!X$8),'Council Entry'!X163)),IF('Council Entry'!X$4="Exponential",EXP(IF(AND(ISNUMBER('Council Entry'!X$8),ISNUMBER('Council Entry'!X$9)),MAX(MIN('Council Entry'!X163,'Council Entry'!X$9),'Council Entry'!X$8),'Council Entry'!X163)),IF(AND(ISNUMBER('Council Entry'!X$8),ISNUMBER('Council Entry'!X$9)),MAX(MIN('Council Entry'!X163,'Council Entry'!X$9),'Council Entry'!X$8),'Council Entry'!X163))))-'Council Entry'!X$5)/('Council Entry'!X$6-'Council Entry'!X$5),10*((IF('Council Entry'!X$4="Logarithm",LN(0.001+IF(AND(ISNUMBER('Council Entry'!X$8),ISNUMBER('Council Entry'!X$9)),MAX(MIN('Council Entry'!X163,'Council Entry'!X$9),'Council Entry'!X$8),'Council Entry'!X163)),IF('Council Entry'!X$4="Exponential",EXP(IF(AND(ISNUMBER('Council Entry'!X$8),ISNUMBER('Council Entry'!X$9)),MAX(MIN('Council Entry'!X163,'Council Entry'!X$9),'Council Entry'!X$8),'Council Entry'!X163)),IF(AND(ISNUMBER('Council Entry'!X$8),ISNUMBER('Council Entry'!X$9)),MAX(MIN('Council Entry'!X163,'Council Entry'!X$9),'Council Entry'!X$8),'Council Entry'!X163))))-'Council Entry'!X$5)/('Council Entry'!X$6-'Council Entry'!X$5)),1))),"No data"))</f>
        <v/>
      </c>
      <c r="Y163" s="13">
        <f>IF('Council Entry'!Y163="","",IFERROR(MAX(0,MIN(10,ROUND(IF('Council Entry'!Y$7="Decrease Risk",10-10*((IF('Council Entry'!Y$4="Logarithm",LN(0.001+IF(AND(ISNUMBER('Council Entry'!Y$8),ISNUMBER('Council Entry'!Y$9)),MAX(MIN('Council Entry'!Y163,'Council Entry'!Y$9),'Council Entry'!Y$8),'Council Entry'!Y163)),IF('Council Entry'!Y$4="Exponential",EXP(IF(AND(ISNUMBER('Council Entry'!Y$8),ISNUMBER('Council Entry'!Y$9)),MAX(MIN('Council Entry'!Y163,'Council Entry'!Y$9),'Council Entry'!Y$8),'Council Entry'!Y163)),IF(AND(ISNUMBER('Council Entry'!Y$8),ISNUMBER('Council Entry'!Y$9)),MAX(MIN('Council Entry'!Y163,'Council Entry'!Y$9),'Council Entry'!Y$8),'Council Entry'!Y163))))-'Council Entry'!Y$5)/('Council Entry'!Y$6-'Council Entry'!Y$5),10*((IF('Council Entry'!Y$4="Logarithm",LN(0.001+IF(AND(ISNUMBER('Council Entry'!Y$8),ISNUMBER('Council Entry'!Y$9)),MAX(MIN('Council Entry'!Y163,'Council Entry'!Y$9),'Council Entry'!Y$8),'Council Entry'!Y163)),IF('Council Entry'!Y$4="Exponential",EXP(IF(AND(ISNUMBER('Council Entry'!Y$8),ISNUMBER('Council Entry'!Y$9)),MAX(MIN('Council Entry'!Y163,'Council Entry'!Y$9),'Council Entry'!Y$8),'Council Entry'!Y163)),IF(AND(ISNUMBER('Council Entry'!Y$8),ISNUMBER('Council Entry'!Y$9)),MAX(MIN('Council Entry'!Y163,'Council Entry'!Y$9),'Council Entry'!Y$8),'Council Entry'!Y163))))-'Council Entry'!Y$5)/('Council Entry'!Y$6-'Council Entry'!Y$5)),1))),"No data"))</f>
        <v/>
      </c>
      <c r="Z163" s="13">
        <f>IF('Council Entry'!Z163="","",IFERROR(MAX(0,MIN(10,ROUND(IF('Council Entry'!Z$7="Decrease Risk",10-10*((IF('Council Entry'!Z$4="Logarithm",LN(0.001+IF(AND(ISNUMBER('Council Entry'!Z$8),ISNUMBER('Council Entry'!Z$9)),MAX(MIN('Council Entry'!Z163,'Council Entry'!Z$9),'Council Entry'!Z$8),'Council Entry'!Z163)),IF('Council Entry'!Z$4="Exponential",EXP(IF(AND(ISNUMBER('Council Entry'!Z$8),ISNUMBER('Council Entry'!Z$9)),MAX(MIN('Council Entry'!Z163,'Council Entry'!Z$9),'Council Entry'!Z$8),'Council Entry'!Z163)),IF(AND(ISNUMBER('Council Entry'!Z$8),ISNUMBER('Council Entry'!Z$9)),MAX(MIN('Council Entry'!Z163,'Council Entry'!Z$9),'Council Entry'!Z$8),'Council Entry'!Z163))))-'Council Entry'!Z$5)/('Council Entry'!Z$6-'Council Entry'!Z$5),10*((IF('Council Entry'!Z$4="Logarithm",LN(0.001+IF(AND(ISNUMBER('Council Entry'!Z$8),ISNUMBER('Council Entry'!Z$9)),MAX(MIN('Council Entry'!Z163,'Council Entry'!Z$9),'Council Entry'!Z$8),'Council Entry'!Z163)),IF('Council Entry'!Z$4="Exponential",EXP(IF(AND(ISNUMBER('Council Entry'!Z$8),ISNUMBER('Council Entry'!Z$9)),MAX(MIN('Council Entry'!Z163,'Council Entry'!Z$9),'Council Entry'!Z$8),'Council Entry'!Z163)),IF(AND(ISNUMBER('Council Entry'!Z$8),ISNUMBER('Council Entry'!Z$9)),MAX(MIN('Council Entry'!Z163,'Council Entry'!Z$9),'Council Entry'!Z$8),'Council Entry'!Z163))))-'Council Entry'!Z$5)/('Council Entry'!Z$6-'Council Entry'!Z$5)),1))),"No data"))</f>
        <v/>
      </c>
      <c r="AA163" s="13">
        <f>IF('Council Entry'!AA163="","",IFERROR(MAX(0,MIN(10,ROUND(IF('Council Entry'!AA$7="Decrease Risk",10-10*((IF('Council Entry'!AA$4="Logarithm",LN(0.001+IF(AND(ISNUMBER('Council Entry'!AA$8),ISNUMBER('Council Entry'!AA$9)),MAX(MIN('Council Entry'!AA163,'Council Entry'!AA$9),'Council Entry'!AA$8),'Council Entry'!AA163)),IF('Council Entry'!AA$4="Exponential",EXP(IF(AND(ISNUMBER('Council Entry'!AA$8),ISNUMBER('Council Entry'!AA$9)),MAX(MIN('Council Entry'!AA163,'Council Entry'!AA$9),'Council Entry'!AA$8),'Council Entry'!AA163)),IF(AND(ISNUMBER('Council Entry'!AA$8),ISNUMBER('Council Entry'!AA$9)),MAX(MIN('Council Entry'!AA163,'Council Entry'!AA$9),'Council Entry'!AA$8),'Council Entry'!AA163))))-'Council Entry'!AA$5)/('Council Entry'!AA$6-'Council Entry'!AA$5),10*((IF('Council Entry'!AA$4="Logarithm",LN(0.001+IF(AND(ISNUMBER('Council Entry'!AA$8),ISNUMBER('Council Entry'!AA$9)),MAX(MIN('Council Entry'!AA163,'Council Entry'!AA$9),'Council Entry'!AA$8),'Council Entry'!AA163)),IF('Council Entry'!AA$4="Exponential",EXP(IF(AND(ISNUMBER('Council Entry'!AA$8),ISNUMBER('Council Entry'!AA$9)),MAX(MIN('Council Entry'!AA163,'Council Entry'!AA$9),'Council Entry'!AA$8),'Council Entry'!AA163)),IF(AND(ISNUMBER('Council Entry'!AA$8),ISNUMBER('Council Entry'!AA$9)),MAX(MIN('Council Entry'!AA163,'Council Entry'!AA$9),'Council Entry'!AA$8),'Council Entry'!AA163))))-'Council Entry'!AA$5)/('Council Entry'!AA$6-'Council Entry'!AA$5)),1))),"No data"))</f>
        <v/>
      </c>
      <c r="AB163" s="13">
        <f>IF('Council Entry'!AB163="","",IFERROR(MAX(0,MIN(10,ROUND(IF('Council Entry'!AB$7="Decrease Risk",10-10*((IF('Council Entry'!AB$4="Logarithm",LN(0.001+IF(AND(ISNUMBER('Council Entry'!AB$8),ISNUMBER('Council Entry'!AB$9)),MAX(MIN('Council Entry'!AB163,'Council Entry'!AB$9),'Council Entry'!AB$8),'Council Entry'!AB163)),IF('Council Entry'!AB$4="Exponential",EXP(IF(AND(ISNUMBER('Council Entry'!AB$8),ISNUMBER('Council Entry'!AB$9)),MAX(MIN('Council Entry'!AB163,'Council Entry'!AB$9),'Council Entry'!AB$8),'Council Entry'!AB163)),IF(AND(ISNUMBER('Council Entry'!AB$8),ISNUMBER('Council Entry'!AB$9)),MAX(MIN('Council Entry'!AB163,'Council Entry'!AB$9),'Council Entry'!AB$8),'Council Entry'!AB163))))-'Council Entry'!AB$5)/('Council Entry'!AB$6-'Council Entry'!AB$5),10*((IF('Council Entry'!AB$4="Logarithm",LN(0.001+IF(AND(ISNUMBER('Council Entry'!AB$8),ISNUMBER('Council Entry'!AB$9)),MAX(MIN('Council Entry'!AB163,'Council Entry'!AB$9),'Council Entry'!AB$8),'Council Entry'!AB163)),IF('Council Entry'!AB$4="Exponential",EXP(IF(AND(ISNUMBER('Council Entry'!AB$8),ISNUMBER('Council Entry'!AB$9)),MAX(MIN('Council Entry'!AB163,'Council Entry'!AB$9),'Council Entry'!AB$8),'Council Entry'!AB163)),IF(AND(ISNUMBER('Council Entry'!AB$8),ISNUMBER('Council Entry'!AB$9)),MAX(MIN('Council Entry'!AB163,'Council Entry'!AB$9),'Council Entry'!AB$8),'Council Entry'!AB163))))-'Council Entry'!AB$5)/('Council Entry'!AB$6-'Council Entry'!AB$5)),1))),"No data"))</f>
        <v/>
      </c>
      <c r="AC163" s="13">
        <f>IF('Council Entry'!AC163="","",IFERROR(MAX(0,MIN(10,ROUND(IF('Council Entry'!AC$7="Decrease Risk",10-10*((IF('Council Entry'!AC$4="Logarithm",LN(0.001+IF(AND(ISNUMBER('Council Entry'!AC$8),ISNUMBER('Council Entry'!AC$9)),MAX(MIN('Council Entry'!AC163,'Council Entry'!AC$9),'Council Entry'!AC$8),'Council Entry'!AC163)),IF('Council Entry'!AC$4="Exponential",EXP(IF(AND(ISNUMBER('Council Entry'!AC$8),ISNUMBER('Council Entry'!AC$9)),MAX(MIN('Council Entry'!AC163,'Council Entry'!AC$9),'Council Entry'!AC$8),'Council Entry'!AC163)),IF(AND(ISNUMBER('Council Entry'!AC$8),ISNUMBER('Council Entry'!AC$9)),MAX(MIN('Council Entry'!AC163,'Council Entry'!AC$9),'Council Entry'!AC$8),'Council Entry'!AC163))))-'Council Entry'!AC$5)/('Council Entry'!AC$6-'Council Entry'!AC$5),10*((IF('Council Entry'!AC$4="Logarithm",LN(0.001+IF(AND(ISNUMBER('Council Entry'!AC$8),ISNUMBER('Council Entry'!AC$9)),MAX(MIN('Council Entry'!AC163,'Council Entry'!AC$9),'Council Entry'!AC$8),'Council Entry'!AC163)),IF('Council Entry'!AC$4="Exponential",EXP(IF(AND(ISNUMBER('Council Entry'!AC$8),ISNUMBER('Council Entry'!AC$9)),MAX(MIN('Council Entry'!AC163,'Council Entry'!AC$9),'Council Entry'!AC$8),'Council Entry'!AC163)),IF(AND(ISNUMBER('Council Entry'!AC$8),ISNUMBER('Council Entry'!AC$9)),MAX(MIN('Council Entry'!AC163,'Council Entry'!AC$9),'Council Entry'!AC$8),'Council Entry'!AC163))))-'Council Entry'!AC$5)/('Council Entry'!AC$6-'Council Entry'!AC$5)),1))),"No data"))</f>
        <v/>
      </c>
      <c r="AD163" s="13">
        <f>IF('Council Entry'!AD163="","",IFERROR(MAX(0,MIN(10,ROUND(IF('Council Entry'!AD$7="Decrease Risk",10-10*((IF('Council Entry'!AD$4="Logarithm",LN(0.001+IF(AND(ISNUMBER('Council Entry'!AD$8),ISNUMBER('Council Entry'!AD$9)),MAX(MIN('Council Entry'!AD163,'Council Entry'!AD$9),'Council Entry'!AD$8),'Council Entry'!AD163)),IF('Council Entry'!AD$4="Exponential",EXP(IF(AND(ISNUMBER('Council Entry'!AD$8),ISNUMBER('Council Entry'!AD$9)),MAX(MIN('Council Entry'!AD163,'Council Entry'!AD$9),'Council Entry'!AD$8),'Council Entry'!AD163)),IF(AND(ISNUMBER('Council Entry'!AD$8),ISNUMBER('Council Entry'!AD$9)),MAX(MIN('Council Entry'!AD163,'Council Entry'!AD$9),'Council Entry'!AD$8),'Council Entry'!AD163))))-'Council Entry'!AD$5)/('Council Entry'!AD$6-'Council Entry'!AD$5),10*((IF('Council Entry'!AD$4="Logarithm",LN(0.001+IF(AND(ISNUMBER('Council Entry'!AD$8),ISNUMBER('Council Entry'!AD$9)),MAX(MIN('Council Entry'!AD163,'Council Entry'!AD$9),'Council Entry'!AD$8),'Council Entry'!AD163)),IF('Council Entry'!AD$4="Exponential",EXP(IF(AND(ISNUMBER('Council Entry'!AD$8),ISNUMBER('Council Entry'!AD$9)),MAX(MIN('Council Entry'!AD163,'Council Entry'!AD$9),'Council Entry'!AD$8),'Council Entry'!AD163)),IF(AND(ISNUMBER('Council Entry'!AD$8),ISNUMBER('Council Entry'!AD$9)),MAX(MIN('Council Entry'!AD163,'Council Entry'!AD$9),'Council Entry'!AD$8),'Council Entry'!AD163))))-'Council Entry'!AD$5)/('Council Entry'!AD$6-'Council Entry'!AD$5)),1))),"No data"))</f>
        <v/>
      </c>
      <c r="AE163" s="13">
        <f>IF('Council Entry'!AE163="","",IFERROR(MAX(0,MIN(10,ROUND(IF('Council Entry'!AE$7="Decrease Risk",10-10*((IF('Council Entry'!AE$4="Logarithm",LN(0.001+IF(AND(ISNUMBER('Council Entry'!AE$8),ISNUMBER('Council Entry'!AE$9)),MAX(MIN('Council Entry'!AE163,'Council Entry'!AE$9),'Council Entry'!AE$8),'Council Entry'!AE163)),IF('Council Entry'!AE$4="Exponential",EXP(IF(AND(ISNUMBER('Council Entry'!AE$8),ISNUMBER('Council Entry'!AE$9)),MAX(MIN('Council Entry'!AE163,'Council Entry'!AE$9),'Council Entry'!AE$8),'Council Entry'!AE163)),IF(AND(ISNUMBER('Council Entry'!AE$8),ISNUMBER('Council Entry'!AE$9)),MAX(MIN('Council Entry'!AE163,'Council Entry'!AE$9),'Council Entry'!AE$8),'Council Entry'!AE163))))-'Council Entry'!AE$5)/('Council Entry'!AE$6-'Council Entry'!AE$5),10*((IF('Council Entry'!AE$4="Logarithm",LN(0.001+IF(AND(ISNUMBER('Council Entry'!AE$8),ISNUMBER('Council Entry'!AE$9)),MAX(MIN('Council Entry'!AE163,'Council Entry'!AE$9),'Council Entry'!AE$8),'Council Entry'!AE163)),IF('Council Entry'!AE$4="Exponential",EXP(IF(AND(ISNUMBER('Council Entry'!AE$8),ISNUMBER('Council Entry'!AE$9)),MAX(MIN('Council Entry'!AE163,'Council Entry'!AE$9),'Council Entry'!AE$8),'Council Entry'!AE163)),IF(AND(ISNUMBER('Council Entry'!AE$8),ISNUMBER('Council Entry'!AE$9)),MAX(MIN('Council Entry'!AE163,'Council Entry'!AE$9),'Council Entry'!AE$8),'Council Entry'!AE163))))-'Council Entry'!AE$5)/('Council Entry'!AE$6-'Council Entry'!AE$5)),1))),"No data"))</f>
        <v/>
      </c>
      <c r="AF163" s="13">
        <f>IF('Council Entry'!AF163="","",IFERROR(MAX(0,MIN(10,ROUND(IF('Council Entry'!AF$7="Decrease Risk",10-10*((IF('Council Entry'!AF$4="Logarithm",LN(0.001+IF(AND(ISNUMBER('Council Entry'!AF$8),ISNUMBER('Council Entry'!AF$9)),MAX(MIN('Council Entry'!AF163,'Council Entry'!AF$9),'Council Entry'!AF$8),'Council Entry'!AF163)),IF('Council Entry'!AF$4="Exponential",EXP(IF(AND(ISNUMBER('Council Entry'!AF$8),ISNUMBER('Council Entry'!AF$9)),MAX(MIN('Council Entry'!AF163,'Council Entry'!AF$9),'Council Entry'!AF$8),'Council Entry'!AF163)),IF(AND(ISNUMBER('Council Entry'!AF$8),ISNUMBER('Council Entry'!AF$9)),MAX(MIN('Council Entry'!AF163,'Council Entry'!AF$9),'Council Entry'!AF$8),'Council Entry'!AF163))))-'Council Entry'!AF$5)/('Council Entry'!AF$6-'Council Entry'!AF$5),10*((IF('Council Entry'!AF$4="Logarithm",LN(0.001+IF(AND(ISNUMBER('Council Entry'!AF$8),ISNUMBER('Council Entry'!AF$9)),MAX(MIN('Council Entry'!AF163,'Council Entry'!AF$9),'Council Entry'!AF$8),'Council Entry'!AF163)),IF('Council Entry'!AF$4="Exponential",EXP(IF(AND(ISNUMBER('Council Entry'!AF$8),ISNUMBER('Council Entry'!AF$9)),MAX(MIN('Council Entry'!AF163,'Council Entry'!AF$9),'Council Entry'!AF$8),'Council Entry'!AF163)),IF(AND(ISNUMBER('Council Entry'!AF$8),ISNUMBER('Council Entry'!AF$9)),MAX(MIN('Council Entry'!AF163,'Council Entry'!AF$9),'Council Entry'!AF$8),'Council Entry'!AF163))))-'Council Entry'!AF$5)/('Council Entry'!AF$6-'Council Entry'!AF$5)),1))),"No data"))</f>
        <v/>
      </c>
      <c r="AG163" s="13">
        <f>IF('Council Entry'!AG163="","",IFERROR(MAX(0,MIN(10,ROUND(IF('Council Entry'!AG$7="Decrease Risk",10-10*((IF('Council Entry'!AG$4="Logarithm",LN(0.001+IF(AND(ISNUMBER('Council Entry'!AG$8),ISNUMBER('Council Entry'!AG$9)),MAX(MIN('Council Entry'!AG163,'Council Entry'!AG$9),'Council Entry'!AG$8),'Council Entry'!AG163)),IF('Council Entry'!AG$4="Exponential",EXP(IF(AND(ISNUMBER('Council Entry'!AG$8),ISNUMBER('Council Entry'!AG$9)),MAX(MIN('Council Entry'!AG163,'Council Entry'!AG$9),'Council Entry'!AG$8),'Council Entry'!AG163)),IF(AND(ISNUMBER('Council Entry'!AG$8),ISNUMBER('Council Entry'!AG$9)),MAX(MIN('Council Entry'!AG163,'Council Entry'!AG$9),'Council Entry'!AG$8),'Council Entry'!AG163))))-'Council Entry'!AG$5)/('Council Entry'!AG$6-'Council Entry'!AG$5),10*((IF('Council Entry'!AG$4="Logarithm",LN(0.001+IF(AND(ISNUMBER('Council Entry'!AG$8),ISNUMBER('Council Entry'!AG$9)),MAX(MIN('Council Entry'!AG163,'Council Entry'!AG$9),'Council Entry'!AG$8),'Council Entry'!AG163)),IF('Council Entry'!AG$4="Exponential",EXP(IF(AND(ISNUMBER('Council Entry'!AG$8),ISNUMBER('Council Entry'!AG$9)),MAX(MIN('Council Entry'!AG163,'Council Entry'!AG$9),'Council Entry'!AG$8),'Council Entry'!AG163)),IF(AND(ISNUMBER('Council Entry'!AG$8),ISNUMBER('Council Entry'!AG$9)),MAX(MIN('Council Entry'!AG163,'Council Entry'!AG$9),'Council Entry'!AG$8),'Council Entry'!AG163))))-'Council Entry'!AG$5)/('Council Entry'!AG$6-'Council Entry'!AG$5)),1))),"No data"))</f>
        <v/>
      </c>
      <c r="AH163" s="13">
        <f>IF('Council Entry'!AH163="","",IFERROR(MAX(0,MIN(10,ROUND(IF('Council Entry'!AH$7="Decrease Risk",10-10*((IF('Council Entry'!AH$4="Logarithm",LN(0.001+IF(AND(ISNUMBER('Council Entry'!AH$8),ISNUMBER('Council Entry'!AH$9)),MAX(MIN('Council Entry'!AH163,'Council Entry'!AH$9),'Council Entry'!AH$8),'Council Entry'!AH163)),IF('Council Entry'!AH$4="Exponential",EXP(IF(AND(ISNUMBER('Council Entry'!AH$8),ISNUMBER('Council Entry'!AH$9)),MAX(MIN('Council Entry'!AH163,'Council Entry'!AH$9),'Council Entry'!AH$8),'Council Entry'!AH163)),IF(AND(ISNUMBER('Council Entry'!AH$8),ISNUMBER('Council Entry'!AH$9)),MAX(MIN('Council Entry'!AH163,'Council Entry'!AH$9),'Council Entry'!AH$8),'Council Entry'!AH163))))-'Council Entry'!AH$5)/('Council Entry'!AH$6-'Council Entry'!AH$5),10*((IF('Council Entry'!AH$4="Logarithm",LN(0.001+IF(AND(ISNUMBER('Council Entry'!AH$8),ISNUMBER('Council Entry'!AH$9)),MAX(MIN('Council Entry'!AH163,'Council Entry'!AH$9),'Council Entry'!AH$8),'Council Entry'!AH163)),IF('Council Entry'!AH$4="Exponential",EXP(IF(AND(ISNUMBER('Council Entry'!AH$8),ISNUMBER('Council Entry'!AH$9)),MAX(MIN('Council Entry'!AH163,'Council Entry'!AH$9),'Council Entry'!AH$8),'Council Entry'!AH163)),IF(AND(ISNUMBER('Council Entry'!AH$8),ISNUMBER('Council Entry'!AH$9)),MAX(MIN('Council Entry'!AH163,'Council Entry'!AH$9),'Council Entry'!AH$8),'Council Entry'!AH163))))-'Council Entry'!AH$5)/('Council Entry'!AH$6-'Council Entry'!AH$5)),1))),"No data"))</f>
        <v/>
      </c>
      <c r="AI163" s="13">
        <f>IF('Council Entry'!AI163="","",IFERROR(MAX(0,MIN(10,ROUND(IF('Council Entry'!AI$7="Decrease Risk",10-10*((IF('Council Entry'!AI$4="Logarithm",LN(0.001+IF(AND(ISNUMBER('Council Entry'!AI$8),ISNUMBER('Council Entry'!AI$9)),MAX(MIN('Council Entry'!AI163,'Council Entry'!AI$9),'Council Entry'!AI$8),'Council Entry'!AI163)),IF('Council Entry'!AI$4="Exponential",EXP(IF(AND(ISNUMBER('Council Entry'!AI$8),ISNUMBER('Council Entry'!AI$9)),MAX(MIN('Council Entry'!AI163,'Council Entry'!AI$9),'Council Entry'!AI$8),'Council Entry'!AI163)),IF(AND(ISNUMBER('Council Entry'!AI$8),ISNUMBER('Council Entry'!AI$9)),MAX(MIN('Council Entry'!AI163,'Council Entry'!AI$9),'Council Entry'!AI$8),'Council Entry'!AI163))))-'Council Entry'!AI$5)/('Council Entry'!AI$6-'Council Entry'!AI$5),10*((IF('Council Entry'!AI$4="Logarithm",LN(0.001+IF(AND(ISNUMBER('Council Entry'!AI$8),ISNUMBER('Council Entry'!AI$9)),MAX(MIN('Council Entry'!AI163,'Council Entry'!AI$9),'Council Entry'!AI$8),'Council Entry'!AI163)),IF('Council Entry'!AI$4="Exponential",EXP(IF(AND(ISNUMBER('Council Entry'!AI$8),ISNUMBER('Council Entry'!AI$9)),MAX(MIN('Council Entry'!AI163,'Council Entry'!AI$9),'Council Entry'!AI$8),'Council Entry'!AI163)),IF(AND(ISNUMBER('Council Entry'!AI$8),ISNUMBER('Council Entry'!AI$9)),MAX(MIN('Council Entry'!AI163,'Council Entry'!AI$9),'Council Entry'!AI$8),'Council Entry'!AI163))))-'Council Entry'!AI$5)/('Council Entry'!AI$6-'Council Entry'!AI$5)),1))),"No data"))</f>
        <v/>
      </c>
      <c r="AJ163" s="13">
        <f>IF('Council Entry'!AJ163="","",IFERROR(MAX(0,MIN(10,ROUND(IF('Council Entry'!AJ$7="Decrease Risk",10-10*((IF('Council Entry'!AJ$4="Logarithm",LN(0.001+IF(AND(ISNUMBER('Council Entry'!AJ$8),ISNUMBER('Council Entry'!AJ$9)),MAX(MIN('Council Entry'!AJ163,'Council Entry'!AJ$9),'Council Entry'!AJ$8),'Council Entry'!AJ163)),IF('Council Entry'!AJ$4="Exponential",EXP(IF(AND(ISNUMBER('Council Entry'!AJ$8),ISNUMBER('Council Entry'!AJ$9)),MAX(MIN('Council Entry'!AJ163,'Council Entry'!AJ$9),'Council Entry'!AJ$8),'Council Entry'!AJ163)),IF(AND(ISNUMBER('Council Entry'!AJ$8),ISNUMBER('Council Entry'!AJ$9)),MAX(MIN('Council Entry'!AJ163,'Council Entry'!AJ$9),'Council Entry'!AJ$8),'Council Entry'!AJ163))))-'Council Entry'!AJ$5)/('Council Entry'!AJ$6-'Council Entry'!AJ$5),10*((IF('Council Entry'!AJ$4="Logarithm",LN(0.001+IF(AND(ISNUMBER('Council Entry'!AJ$8),ISNUMBER('Council Entry'!AJ$9)),MAX(MIN('Council Entry'!AJ163,'Council Entry'!AJ$9),'Council Entry'!AJ$8),'Council Entry'!AJ163)),IF('Council Entry'!AJ$4="Exponential",EXP(IF(AND(ISNUMBER('Council Entry'!AJ$8),ISNUMBER('Council Entry'!AJ$9)),MAX(MIN('Council Entry'!AJ163,'Council Entry'!AJ$9),'Council Entry'!AJ$8),'Council Entry'!AJ163)),IF(AND(ISNUMBER('Council Entry'!AJ$8),ISNUMBER('Council Entry'!AJ$9)),MAX(MIN('Council Entry'!AJ163,'Council Entry'!AJ$9),'Council Entry'!AJ$8),'Council Entry'!AJ163))))-'Council Entry'!AJ$5)/('Council Entry'!AJ$6-'Council Entry'!AJ$5)),1))),"No data"))</f>
        <v/>
      </c>
      <c r="AK163" s="13">
        <f>IF('Council Entry'!AK163="","",IFERROR(MAX(0,MIN(10,ROUND(IF('Council Entry'!AK$7="Decrease Risk",10-10*((IF('Council Entry'!AK$4="Logarithm",LN(0.001+IF(AND(ISNUMBER('Council Entry'!AK$8),ISNUMBER('Council Entry'!AK$9)),MAX(MIN('Council Entry'!AK163,'Council Entry'!AK$9),'Council Entry'!AK$8),'Council Entry'!AK163)),IF('Council Entry'!AK$4="Exponential",EXP(IF(AND(ISNUMBER('Council Entry'!AK$8),ISNUMBER('Council Entry'!AK$9)),MAX(MIN('Council Entry'!AK163,'Council Entry'!AK$9),'Council Entry'!AK$8),'Council Entry'!AK163)),IF(AND(ISNUMBER('Council Entry'!AK$8),ISNUMBER('Council Entry'!AK$9)),MAX(MIN('Council Entry'!AK163,'Council Entry'!AK$9),'Council Entry'!AK$8),'Council Entry'!AK163))))-'Council Entry'!AK$5)/('Council Entry'!AK$6-'Council Entry'!AK$5),10*((IF('Council Entry'!AK$4="Logarithm",LN(0.001+IF(AND(ISNUMBER('Council Entry'!AK$8),ISNUMBER('Council Entry'!AK$9)),MAX(MIN('Council Entry'!AK163,'Council Entry'!AK$9),'Council Entry'!AK$8),'Council Entry'!AK163)),IF('Council Entry'!AK$4="Exponential",EXP(IF(AND(ISNUMBER('Council Entry'!AK$8),ISNUMBER('Council Entry'!AK$9)),MAX(MIN('Council Entry'!AK163,'Council Entry'!AK$9),'Council Entry'!AK$8),'Council Entry'!AK163)),IF(AND(ISNUMBER('Council Entry'!AK$8),ISNUMBER('Council Entry'!AK$9)),MAX(MIN('Council Entry'!AK163,'Council Entry'!AK$9),'Council Entry'!AK$8),'Council Entry'!AK163))))-'Council Entry'!AK$5)/('Council Entry'!AK$6-'Council Entry'!AK$5)),1))),"No data"))</f>
        <v/>
      </c>
      <c r="AL163" s="13">
        <f>IF('Council Entry'!AL163="","",IFERROR(MAX(0,MIN(10,ROUND(IF('Council Entry'!AL$7="Decrease Risk",10-10*((IF('Council Entry'!AL$4="Logarithm",LN(0.001+IF(AND(ISNUMBER('Council Entry'!AL$8),ISNUMBER('Council Entry'!AL$9)),MAX(MIN('Council Entry'!AL163,'Council Entry'!AL$9),'Council Entry'!AL$8),'Council Entry'!AL163)),IF('Council Entry'!AL$4="Exponential",EXP(IF(AND(ISNUMBER('Council Entry'!AL$8),ISNUMBER('Council Entry'!AL$9)),MAX(MIN('Council Entry'!AL163,'Council Entry'!AL$9),'Council Entry'!AL$8),'Council Entry'!AL163)),IF(AND(ISNUMBER('Council Entry'!AL$8),ISNUMBER('Council Entry'!AL$9)),MAX(MIN('Council Entry'!AL163,'Council Entry'!AL$9),'Council Entry'!AL$8),'Council Entry'!AL163))))-'Council Entry'!AL$5)/('Council Entry'!AL$6-'Council Entry'!AL$5),10*((IF('Council Entry'!AL$4="Logarithm",LN(0.001+IF(AND(ISNUMBER('Council Entry'!AL$8),ISNUMBER('Council Entry'!AL$9)),MAX(MIN('Council Entry'!AL163,'Council Entry'!AL$9),'Council Entry'!AL$8),'Council Entry'!AL163)),IF('Council Entry'!AL$4="Exponential",EXP(IF(AND(ISNUMBER('Council Entry'!AL$8),ISNUMBER('Council Entry'!AL$9)),MAX(MIN('Council Entry'!AL163,'Council Entry'!AL$9),'Council Entry'!AL$8),'Council Entry'!AL163)),IF(AND(ISNUMBER('Council Entry'!AL$8),ISNUMBER('Council Entry'!AL$9)),MAX(MIN('Council Entry'!AL163,'Council Entry'!AL$9),'Council Entry'!AL$8),'Council Entry'!AL163))))-'Council Entry'!AL$5)/('Council Entry'!AL$6-'Council Entry'!AL$5)),1))),"No data"))</f>
        <v/>
      </c>
      <c r="AM163" s="13">
        <f>IF('Council Entry'!AM163="","",IFERROR(MAX(0,MIN(10,ROUND(IF('Council Entry'!AM$7="Decrease Risk",10-10*((IF('Council Entry'!AM$4="Logarithm",LN(0.001+IF(AND(ISNUMBER('Council Entry'!AM$8),ISNUMBER('Council Entry'!AM$9)),MAX(MIN('Council Entry'!AM163,'Council Entry'!AM$9),'Council Entry'!AM$8),'Council Entry'!AM163)),IF('Council Entry'!AM$4="Exponential",EXP(IF(AND(ISNUMBER('Council Entry'!AM$8),ISNUMBER('Council Entry'!AM$9)),MAX(MIN('Council Entry'!AM163,'Council Entry'!AM$9),'Council Entry'!AM$8),'Council Entry'!AM163)),IF(AND(ISNUMBER('Council Entry'!AM$8),ISNUMBER('Council Entry'!AM$9)),MAX(MIN('Council Entry'!AM163,'Council Entry'!AM$9),'Council Entry'!AM$8),'Council Entry'!AM163))))-'Council Entry'!AM$5)/('Council Entry'!AM$6-'Council Entry'!AM$5),10*((IF('Council Entry'!AM$4="Logarithm",LN(0.001+IF(AND(ISNUMBER('Council Entry'!AM$8),ISNUMBER('Council Entry'!AM$9)),MAX(MIN('Council Entry'!AM163,'Council Entry'!AM$9),'Council Entry'!AM$8),'Council Entry'!AM163)),IF('Council Entry'!AM$4="Exponential",EXP(IF(AND(ISNUMBER('Council Entry'!AM$8),ISNUMBER('Council Entry'!AM$9)),MAX(MIN('Council Entry'!AM163,'Council Entry'!AM$9),'Council Entry'!AM$8),'Council Entry'!AM163)),IF(AND(ISNUMBER('Council Entry'!AM$8),ISNUMBER('Council Entry'!AM$9)),MAX(MIN('Council Entry'!AM163,'Council Entry'!AM$9),'Council Entry'!AM$8),'Council Entry'!AM163))))-'Council Entry'!AM$5)/('Council Entry'!AM$6-'Council Entry'!AM$5)),1))),"No data"))</f>
        <v/>
      </c>
      <c r="AN163" s="13">
        <f>IF('Council Entry'!AN163="","",IFERROR(MAX(0,MIN(10,ROUND(IF('Council Entry'!AN$7="Decrease Risk",10-10*((IF('Council Entry'!AN$4="Logarithm",LN(0.001+IF(AND(ISNUMBER('Council Entry'!AN$8),ISNUMBER('Council Entry'!AN$9)),MAX(MIN('Council Entry'!AN163,'Council Entry'!AN$9),'Council Entry'!AN$8),'Council Entry'!AN163)),IF('Council Entry'!AN$4="Exponential",EXP(IF(AND(ISNUMBER('Council Entry'!AN$8),ISNUMBER('Council Entry'!AN$9)),MAX(MIN('Council Entry'!AN163,'Council Entry'!AN$9),'Council Entry'!AN$8),'Council Entry'!AN163)),IF(AND(ISNUMBER('Council Entry'!AN$8),ISNUMBER('Council Entry'!AN$9)),MAX(MIN('Council Entry'!AN163,'Council Entry'!AN$9),'Council Entry'!AN$8),'Council Entry'!AN163))))-'Council Entry'!AN$5)/('Council Entry'!AN$6-'Council Entry'!AN$5),10*((IF('Council Entry'!AN$4="Logarithm",LN(0.001+IF(AND(ISNUMBER('Council Entry'!AN$8),ISNUMBER('Council Entry'!AN$9)),MAX(MIN('Council Entry'!AN163,'Council Entry'!AN$9),'Council Entry'!AN$8),'Council Entry'!AN163)),IF('Council Entry'!AN$4="Exponential",EXP(IF(AND(ISNUMBER('Council Entry'!AN$8),ISNUMBER('Council Entry'!AN$9)),MAX(MIN('Council Entry'!AN163,'Council Entry'!AN$9),'Council Entry'!AN$8),'Council Entry'!AN163)),IF(AND(ISNUMBER('Council Entry'!AN$8),ISNUMBER('Council Entry'!AN$9)),MAX(MIN('Council Entry'!AN163,'Council Entry'!AN$9),'Council Entry'!AN$8),'Council Entry'!AN163))))-'Council Entry'!AN$5)/('Council Entry'!AN$6-'Council Entry'!AN$5)),1))),"No data"))</f>
        <v/>
      </c>
      <c r="AO163" s="13">
        <f>IF('Council Entry'!AO163="","",IFERROR(MAX(0,MIN(10,ROUND(IF('Council Entry'!AO$7="Decrease Risk",10-10*((IF('Council Entry'!AO$4="Logarithm",LN(0.001+IF(AND(ISNUMBER('Council Entry'!AO$8),ISNUMBER('Council Entry'!AO$9)),MAX(MIN('Council Entry'!AO163,'Council Entry'!AO$9),'Council Entry'!AO$8),'Council Entry'!AO163)),IF('Council Entry'!AO$4="Exponential",EXP(IF(AND(ISNUMBER('Council Entry'!AO$8),ISNUMBER('Council Entry'!AO$9)),MAX(MIN('Council Entry'!AO163,'Council Entry'!AO$9),'Council Entry'!AO$8),'Council Entry'!AO163)),IF(AND(ISNUMBER('Council Entry'!AO$8),ISNUMBER('Council Entry'!AO$9)),MAX(MIN('Council Entry'!AO163,'Council Entry'!AO$9),'Council Entry'!AO$8),'Council Entry'!AO163))))-'Council Entry'!AO$5)/('Council Entry'!AO$6-'Council Entry'!AO$5),10*((IF('Council Entry'!AO$4="Logarithm",LN(0.001+IF(AND(ISNUMBER('Council Entry'!AO$8),ISNUMBER('Council Entry'!AO$9)),MAX(MIN('Council Entry'!AO163,'Council Entry'!AO$9),'Council Entry'!AO$8),'Council Entry'!AO163)),IF('Council Entry'!AO$4="Exponential",EXP(IF(AND(ISNUMBER('Council Entry'!AO$8),ISNUMBER('Council Entry'!AO$9)),MAX(MIN('Council Entry'!AO163,'Council Entry'!AO$9),'Council Entry'!AO$8),'Council Entry'!AO163)),IF(AND(ISNUMBER('Council Entry'!AO$8),ISNUMBER('Council Entry'!AO$9)),MAX(MIN('Council Entry'!AO163,'Council Entry'!AO$9),'Council Entry'!AO$8),'Council Entry'!AO163))))-'Council Entry'!AO$5)/('Council Entry'!AO$6-'Council Entry'!AO$5)),1))),"No data"))</f>
        <v/>
      </c>
      <c r="AP163" s="13">
        <f>IF('Council Entry'!AP163="","",IFERROR(MAX(0,MIN(10,ROUND(IF('Council Entry'!AP$7="Decrease Risk",10-10*((IF('Council Entry'!AP$4="Logarithm",LN(0.001+IF(AND(ISNUMBER('Council Entry'!AP$8),ISNUMBER('Council Entry'!AP$9)),MAX(MIN('Council Entry'!AP163,'Council Entry'!AP$9),'Council Entry'!AP$8),'Council Entry'!AP163)),IF('Council Entry'!AP$4="Exponential",EXP(IF(AND(ISNUMBER('Council Entry'!AP$8),ISNUMBER('Council Entry'!AP$9)),MAX(MIN('Council Entry'!AP163,'Council Entry'!AP$9),'Council Entry'!AP$8),'Council Entry'!AP163)),IF(AND(ISNUMBER('Council Entry'!AP$8),ISNUMBER('Council Entry'!AP$9)),MAX(MIN('Council Entry'!AP163,'Council Entry'!AP$9),'Council Entry'!AP$8),'Council Entry'!AP163))))-'Council Entry'!AP$5)/('Council Entry'!AP$6-'Council Entry'!AP$5),10*((IF('Council Entry'!AP$4="Logarithm",LN(0.001+IF(AND(ISNUMBER('Council Entry'!AP$8),ISNUMBER('Council Entry'!AP$9)),MAX(MIN('Council Entry'!AP163,'Council Entry'!AP$9),'Council Entry'!AP$8),'Council Entry'!AP163)),IF('Council Entry'!AP$4="Exponential",EXP(IF(AND(ISNUMBER('Council Entry'!AP$8),ISNUMBER('Council Entry'!AP$9)),MAX(MIN('Council Entry'!AP163,'Council Entry'!AP$9),'Council Entry'!AP$8),'Council Entry'!AP163)),IF(AND(ISNUMBER('Council Entry'!AP$8),ISNUMBER('Council Entry'!AP$9)),MAX(MIN('Council Entry'!AP163,'Council Entry'!AP$9),'Council Entry'!AP$8),'Council Entry'!AP163))))-'Council Entry'!AP$5)/('Council Entry'!AP$6-'Council Entry'!AP$5)),1))),"No data"))</f>
        <v/>
      </c>
      <c r="AQ163" s="13">
        <f>IF('Council Entry'!AQ163="","",IFERROR(MAX(0,MIN(10,ROUND(IF('Council Entry'!AQ$7="Decrease Risk",10-10*((IF('Council Entry'!AQ$4="Logarithm",LN(0.001+IF(AND(ISNUMBER('Council Entry'!AQ$8),ISNUMBER('Council Entry'!AQ$9)),MAX(MIN('Council Entry'!AQ163,'Council Entry'!AQ$9),'Council Entry'!AQ$8),'Council Entry'!AQ163)),IF('Council Entry'!AQ$4="Exponential",EXP(IF(AND(ISNUMBER('Council Entry'!AQ$8),ISNUMBER('Council Entry'!AQ$9)),MAX(MIN('Council Entry'!AQ163,'Council Entry'!AQ$9),'Council Entry'!AQ$8),'Council Entry'!AQ163)),IF(AND(ISNUMBER('Council Entry'!AQ$8),ISNUMBER('Council Entry'!AQ$9)),MAX(MIN('Council Entry'!AQ163,'Council Entry'!AQ$9),'Council Entry'!AQ$8),'Council Entry'!AQ163))))-'Council Entry'!AQ$5)/('Council Entry'!AQ$6-'Council Entry'!AQ$5),10*((IF('Council Entry'!AQ$4="Logarithm",LN(0.001+IF(AND(ISNUMBER('Council Entry'!AQ$8),ISNUMBER('Council Entry'!AQ$9)),MAX(MIN('Council Entry'!AQ163,'Council Entry'!AQ$9),'Council Entry'!AQ$8),'Council Entry'!AQ163)),IF('Council Entry'!AQ$4="Exponential",EXP(IF(AND(ISNUMBER('Council Entry'!AQ$8),ISNUMBER('Council Entry'!AQ$9)),MAX(MIN('Council Entry'!AQ163,'Council Entry'!AQ$9),'Council Entry'!AQ$8),'Council Entry'!AQ163)),IF(AND(ISNUMBER('Council Entry'!AQ$8),ISNUMBER('Council Entry'!AQ$9)),MAX(MIN('Council Entry'!AQ163,'Council Entry'!AQ$9),'Council Entry'!AQ$8),'Council Entry'!AQ163))))-'Council Entry'!AQ$5)/('Council Entry'!AQ$6-'Council Entry'!AQ$5)),1))),"No data"))</f>
        <v/>
      </c>
      <c r="AR163" s="13">
        <f>IF('Council Entry'!AR163="","",IFERROR(MAX(0,MIN(10,ROUND(IF('Council Entry'!AR$7="Decrease Risk",10-10*((IF('Council Entry'!AR$4="Logarithm",LN(0.001+IF(AND(ISNUMBER('Council Entry'!AR$8),ISNUMBER('Council Entry'!AR$9)),MAX(MIN('Council Entry'!AR163,'Council Entry'!AR$9),'Council Entry'!AR$8),'Council Entry'!AR163)),IF('Council Entry'!AR$4="Exponential",EXP(IF(AND(ISNUMBER('Council Entry'!AR$8),ISNUMBER('Council Entry'!AR$9)),MAX(MIN('Council Entry'!AR163,'Council Entry'!AR$9),'Council Entry'!AR$8),'Council Entry'!AR163)),IF(AND(ISNUMBER('Council Entry'!AR$8),ISNUMBER('Council Entry'!AR$9)),MAX(MIN('Council Entry'!AR163,'Council Entry'!AR$9),'Council Entry'!AR$8),'Council Entry'!AR163))))-'Council Entry'!AR$5)/('Council Entry'!AR$6-'Council Entry'!AR$5),10*((IF('Council Entry'!AR$4="Logarithm",LN(0.001+IF(AND(ISNUMBER('Council Entry'!AR$8),ISNUMBER('Council Entry'!AR$9)),MAX(MIN('Council Entry'!AR163,'Council Entry'!AR$9),'Council Entry'!AR$8),'Council Entry'!AR163)),IF('Council Entry'!AR$4="Exponential",EXP(IF(AND(ISNUMBER('Council Entry'!AR$8),ISNUMBER('Council Entry'!AR$9)),MAX(MIN('Council Entry'!AR163,'Council Entry'!AR$9),'Council Entry'!AR$8),'Council Entry'!AR163)),IF(AND(ISNUMBER('Council Entry'!AR$8),ISNUMBER('Council Entry'!AR$9)),MAX(MIN('Council Entry'!AR163,'Council Entry'!AR$9),'Council Entry'!AR$8),'Council Entry'!AR163))))-'Council Entry'!AR$5)/('Council Entry'!AR$6-'Council Entry'!AR$5)),1))),"No data"))</f>
        <v/>
      </c>
      <c r="AS163" s="13">
        <f>IF('Council Entry'!AS163="","",IFERROR(MAX(0,MIN(10,ROUND(IF('Council Entry'!AS$7="Decrease Risk",10-10*((IF('Council Entry'!AS$4="Logarithm",LN(0.001+IF(AND(ISNUMBER('Council Entry'!AS$8),ISNUMBER('Council Entry'!AS$9)),MAX(MIN('Council Entry'!AS163,'Council Entry'!AS$9),'Council Entry'!AS$8),'Council Entry'!AS163)),IF('Council Entry'!AS$4="Exponential",EXP(IF(AND(ISNUMBER('Council Entry'!AS$8),ISNUMBER('Council Entry'!AS$9)),MAX(MIN('Council Entry'!AS163,'Council Entry'!AS$9),'Council Entry'!AS$8),'Council Entry'!AS163)),IF(AND(ISNUMBER('Council Entry'!AS$8),ISNUMBER('Council Entry'!AS$9)),MAX(MIN('Council Entry'!AS163,'Council Entry'!AS$9),'Council Entry'!AS$8),'Council Entry'!AS163))))-'Council Entry'!AS$5)/('Council Entry'!AS$6-'Council Entry'!AS$5),10*((IF('Council Entry'!AS$4="Logarithm",LN(0.001+IF(AND(ISNUMBER('Council Entry'!AS$8),ISNUMBER('Council Entry'!AS$9)),MAX(MIN('Council Entry'!AS163,'Council Entry'!AS$9),'Council Entry'!AS$8),'Council Entry'!AS163)),IF('Council Entry'!AS$4="Exponential",EXP(IF(AND(ISNUMBER('Council Entry'!AS$8),ISNUMBER('Council Entry'!AS$9)),MAX(MIN('Council Entry'!AS163,'Council Entry'!AS$9),'Council Entry'!AS$8),'Council Entry'!AS163)),IF(AND(ISNUMBER('Council Entry'!AS$8),ISNUMBER('Council Entry'!AS$9)),MAX(MIN('Council Entry'!AS163,'Council Entry'!AS$9),'Council Entry'!AS$8),'Council Entry'!AS163))))-'Council Entry'!AS$5)/('Council Entry'!AS$6-'Council Entry'!AS$5)),1))),"No data"))</f>
        <v/>
      </c>
      <c r="AT163" s="13">
        <f>IF('Council Entry'!AT163="","",IFERROR(MAX(0,MIN(10,ROUND(IF('Council Entry'!AT$7="Decrease Risk",10-10*((IF('Council Entry'!AT$4="Logarithm",LN(0.001+IF(AND(ISNUMBER('Council Entry'!AT$8),ISNUMBER('Council Entry'!AT$9)),MAX(MIN('Council Entry'!AT163,'Council Entry'!AT$9),'Council Entry'!AT$8),'Council Entry'!AT163)),IF('Council Entry'!AT$4="Exponential",EXP(IF(AND(ISNUMBER('Council Entry'!AT$8),ISNUMBER('Council Entry'!AT$9)),MAX(MIN('Council Entry'!AT163,'Council Entry'!AT$9),'Council Entry'!AT$8),'Council Entry'!AT163)),IF(AND(ISNUMBER('Council Entry'!AT$8),ISNUMBER('Council Entry'!AT$9)),MAX(MIN('Council Entry'!AT163,'Council Entry'!AT$9),'Council Entry'!AT$8),'Council Entry'!AT163))))-'Council Entry'!AT$5)/('Council Entry'!AT$6-'Council Entry'!AT$5),10*((IF('Council Entry'!AT$4="Logarithm",LN(0.001+IF(AND(ISNUMBER('Council Entry'!AT$8),ISNUMBER('Council Entry'!AT$9)),MAX(MIN('Council Entry'!AT163,'Council Entry'!AT$9),'Council Entry'!AT$8),'Council Entry'!AT163)),IF('Council Entry'!AT$4="Exponential",EXP(IF(AND(ISNUMBER('Council Entry'!AT$8),ISNUMBER('Council Entry'!AT$9)),MAX(MIN('Council Entry'!AT163,'Council Entry'!AT$9),'Council Entry'!AT$8),'Council Entry'!AT163)),IF(AND(ISNUMBER('Council Entry'!AT$8),ISNUMBER('Council Entry'!AT$9)),MAX(MIN('Council Entry'!AT163,'Council Entry'!AT$9),'Council Entry'!AT$8),'Council Entry'!AT163))))-'Council Entry'!AT$5)/('Council Entry'!AT$6-'Council Entry'!AT$5)),1))),"No data"))</f>
        <v/>
      </c>
      <c r="AU163" s="13">
        <f>IF('Council Entry'!AU163="","",IFERROR(MAX(0,MIN(10,ROUND(IF('Council Entry'!AU$7="Decrease Risk",10-10*((IF('Council Entry'!AU$4="Logarithm",LN(0.001+IF(AND(ISNUMBER('Council Entry'!AU$8),ISNUMBER('Council Entry'!AU$9)),MAX(MIN('Council Entry'!AU163,'Council Entry'!AU$9),'Council Entry'!AU$8),'Council Entry'!AU163)),IF('Council Entry'!AU$4="Exponential",EXP(IF(AND(ISNUMBER('Council Entry'!AU$8),ISNUMBER('Council Entry'!AU$9)),MAX(MIN('Council Entry'!AU163,'Council Entry'!AU$9),'Council Entry'!AU$8),'Council Entry'!AU163)),IF(AND(ISNUMBER('Council Entry'!AU$8),ISNUMBER('Council Entry'!AU$9)),MAX(MIN('Council Entry'!AU163,'Council Entry'!AU$9),'Council Entry'!AU$8),'Council Entry'!AU163))))-'Council Entry'!AU$5)/('Council Entry'!AU$6-'Council Entry'!AU$5),10*((IF('Council Entry'!AU$4="Logarithm",LN(0.001+IF(AND(ISNUMBER('Council Entry'!AU$8),ISNUMBER('Council Entry'!AU$9)),MAX(MIN('Council Entry'!AU163,'Council Entry'!AU$9),'Council Entry'!AU$8),'Council Entry'!AU163)),IF('Council Entry'!AU$4="Exponential",EXP(IF(AND(ISNUMBER('Council Entry'!AU$8),ISNUMBER('Council Entry'!AU$9)),MAX(MIN('Council Entry'!AU163,'Council Entry'!AU$9),'Council Entry'!AU$8),'Council Entry'!AU163)),IF(AND(ISNUMBER('Council Entry'!AU$8),ISNUMBER('Council Entry'!AU$9)),MAX(MIN('Council Entry'!AU163,'Council Entry'!AU$9),'Council Entry'!AU$8),'Council Entry'!AU163))))-'Council Entry'!AU$5)/('Council Entry'!AU$6-'Council Entry'!AU$5)),1))),"No data"))</f>
        <v/>
      </c>
      <c r="AV163" s="13">
        <f>IF('Council Entry'!AV163="","",IFERROR(MAX(0,MIN(10,ROUND(IF('Council Entry'!AV$7="Decrease Risk",10-10*((IF('Council Entry'!AV$4="Logarithm",LN(0.001+IF(AND(ISNUMBER('Council Entry'!AV$8),ISNUMBER('Council Entry'!AV$9)),MAX(MIN('Council Entry'!AV163,'Council Entry'!AV$9),'Council Entry'!AV$8),'Council Entry'!AV163)),IF('Council Entry'!AV$4="Exponential",EXP(IF(AND(ISNUMBER('Council Entry'!AV$8),ISNUMBER('Council Entry'!AV$9)),MAX(MIN('Council Entry'!AV163,'Council Entry'!AV$9),'Council Entry'!AV$8),'Council Entry'!AV163)),IF(AND(ISNUMBER('Council Entry'!AV$8),ISNUMBER('Council Entry'!AV$9)),MAX(MIN('Council Entry'!AV163,'Council Entry'!AV$9),'Council Entry'!AV$8),'Council Entry'!AV163))))-'Council Entry'!AV$5)/('Council Entry'!AV$6-'Council Entry'!AV$5),10*((IF('Council Entry'!AV$4="Logarithm",LN(0.001+IF(AND(ISNUMBER('Council Entry'!AV$8),ISNUMBER('Council Entry'!AV$9)),MAX(MIN('Council Entry'!AV163,'Council Entry'!AV$9),'Council Entry'!AV$8),'Council Entry'!AV163)),IF('Council Entry'!AV$4="Exponential",EXP(IF(AND(ISNUMBER('Council Entry'!AV$8),ISNUMBER('Council Entry'!AV$9)),MAX(MIN('Council Entry'!AV163,'Council Entry'!AV$9),'Council Entry'!AV$8),'Council Entry'!AV163)),IF(AND(ISNUMBER('Council Entry'!AV$8),ISNUMBER('Council Entry'!AV$9)),MAX(MIN('Council Entry'!AV163,'Council Entry'!AV$9),'Council Entry'!AV$8),'Council Entry'!AV163))))-'Council Entry'!AV$5)/('Council Entry'!AV$6-'Council Entry'!AV$5)),1))),"No data"))</f>
        <v/>
      </c>
      <c r="AW163" s="13">
        <f>IF('Council Entry'!AW163="","",IFERROR(MAX(0,MIN(10,ROUND(IF('Council Entry'!AW$7="Decrease Risk",10-10*((IF('Council Entry'!AW$4="Logarithm",LN(0.001+IF(AND(ISNUMBER('Council Entry'!AW$8),ISNUMBER('Council Entry'!AW$9)),MAX(MIN('Council Entry'!AW163,'Council Entry'!AW$9),'Council Entry'!AW$8),'Council Entry'!AW163)),IF('Council Entry'!AW$4="Exponential",EXP(IF(AND(ISNUMBER('Council Entry'!AW$8),ISNUMBER('Council Entry'!AW$9)),MAX(MIN('Council Entry'!AW163,'Council Entry'!AW$9),'Council Entry'!AW$8),'Council Entry'!AW163)),IF(AND(ISNUMBER('Council Entry'!AW$8),ISNUMBER('Council Entry'!AW$9)),MAX(MIN('Council Entry'!AW163,'Council Entry'!AW$9),'Council Entry'!AW$8),'Council Entry'!AW163))))-'Council Entry'!AW$5)/('Council Entry'!AW$6-'Council Entry'!AW$5),10*((IF('Council Entry'!AW$4="Logarithm",LN(0.001+IF(AND(ISNUMBER('Council Entry'!AW$8),ISNUMBER('Council Entry'!AW$9)),MAX(MIN('Council Entry'!AW163,'Council Entry'!AW$9),'Council Entry'!AW$8),'Council Entry'!AW163)),IF('Council Entry'!AW$4="Exponential",EXP(IF(AND(ISNUMBER('Council Entry'!AW$8),ISNUMBER('Council Entry'!AW$9)),MAX(MIN('Council Entry'!AW163,'Council Entry'!AW$9),'Council Entry'!AW$8),'Council Entry'!AW163)),IF(AND(ISNUMBER('Council Entry'!AW$8),ISNUMBER('Council Entry'!AW$9)),MAX(MIN('Council Entry'!AW163,'Council Entry'!AW$9),'Council Entry'!AW$8),'Council Entry'!AW163))))-'Council Entry'!AW$5)/('Council Entry'!AW$6-'Council Entry'!AW$5)),1))),"No data"))</f>
        <v/>
      </c>
      <c r="AX163" s="13">
        <f>IF('Council Entry'!AX163="","",IFERROR(MAX(0,MIN(10,ROUND(IF('Council Entry'!AX$7="Decrease Risk",10-10*((IF('Council Entry'!AX$4="Logarithm",LN(0.001+IF(AND(ISNUMBER('Council Entry'!AX$8),ISNUMBER('Council Entry'!AX$9)),MAX(MIN('Council Entry'!AX163,'Council Entry'!AX$9),'Council Entry'!AX$8),'Council Entry'!AX163)),IF('Council Entry'!AX$4="Exponential",EXP(IF(AND(ISNUMBER('Council Entry'!AX$8),ISNUMBER('Council Entry'!AX$9)),MAX(MIN('Council Entry'!AX163,'Council Entry'!AX$9),'Council Entry'!AX$8),'Council Entry'!AX163)),IF(AND(ISNUMBER('Council Entry'!AX$8),ISNUMBER('Council Entry'!AX$9)),MAX(MIN('Council Entry'!AX163,'Council Entry'!AX$9),'Council Entry'!AX$8),'Council Entry'!AX163))))-'Council Entry'!AX$5)/('Council Entry'!AX$6-'Council Entry'!AX$5),10*((IF('Council Entry'!AX$4="Logarithm",LN(0.001+IF(AND(ISNUMBER('Council Entry'!AX$8),ISNUMBER('Council Entry'!AX$9)),MAX(MIN('Council Entry'!AX163,'Council Entry'!AX$9),'Council Entry'!AX$8),'Council Entry'!AX163)),IF('Council Entry'!AX$4="Exponential",EXP(IF(AND(ISNUMBER('Council Entry'!AX$8),ISNUMBER('Council Entry'!AX$9)),MAX(MIN('Council Entry'!AX163,'Council Entry'!AX$9),'Council Entry'!AX$8),'Council Entry'!AX163)),IF(AND(ISNUMBER('Council Entry'!AX$8),ISNUMBER('Council Entry'!AX$9)),MAX(MIN('Council Entry'!AX163,'Council Entry'!AX$9),'Council Entry'!AX$8),'Council Entry'!AX163))))-'Council Entry'!AX$5)/('Council Entry'!AX$6-'Council Entry'!AX$5)),1))),"No data"))</f>
        <v/>
      </c>
      <c r="AY163" s="13">
        <f>IF('Council Entry'!AY163="","",IFERROR(MAX(0,MIN(10,ROUND(IF('Council Entry'!AY$7="Decrease Risk",10-10*((IF('Council Entry'!AY$4="Logarithm",LN(0.001+IF(AND(ISNUMBER('Council Entry'!AY$8),ISNUMBER('Council Entry'!AY$9)),MAX(MIN('Council Entry'!AY163,'Council Entry'!AY$9),'Council Entry'!AY$8),'Council Entry'!AY163)),IF('Council Entry'!AY$4="Exponential",EXP(IF(AND(ISNUMBER('Council Entry'!AY$8),ISNUMBER('Council Entry'!AY$9)),MAX(MIN('Council Entry'!AY163,'Council Entry'!AY$9),'Council Entry'!AY$8),'Council Entry'!AY163)),IF(AND(ISNUMBER('Council Entry'!AY$8),ISNUMBER('Council Entry'!AY$9)),MAX(MIN('Council Entry'!AY163,'Council Entry'!AY$9),'Council Entry'!AY$8),'Council Entry'!AY163))))-'Council Entry'!AY$5)/('Council Entry'!AY$6-'Council Entry'!AY$5),10*((IF('Council Entry'!AY$4="Logarithm",LN(0.001+IF(AND(ISNUMBER('Council Entry'!AY$8),ISNUMBER('Council Entry'!AY$9)),MAX(MIN('Council Entry'!AY163,'Council Entry'!AY$9),'Council Entry'!AY$8),'Council Entry'!AY163)),IF('Council Entry'!AY$4="Exponential",EXP(IF(AND(ISNUMBER('Council Entry'!AY$8),ISNUMBER('Council Entry'!AY$9)),MAX(MIN('Council Entry'!AY163,'Council Entry'!AY$9),'Council Entry'!AY$8),'Council Entry'!AY163)),IF(AND(ISNUMBER('Council Entry'!AY$8),ISNUMBER('Council Entry'!AY$9)),MAX(MIN('Council Entry'!AY163,'Council Entry'!AY$9),'Council Entry'!AY$8),'Council Entry'!AY163))))-'Council Entry'!AY$5)/('Council Entry'!AY$6-'Council Entry'!AY$5)),1))),"No data"))</f>
        <v/>
      </c>
      <c r="AZ163" s="13">
        <f>IF('Council Entry'!AZ163="","",IFERROR(MAX(0,MIN(10,ROUND(IF('Council Entry'!AZ$7="Decrease Risk",10-10*((IF('Council Entry'!AZ$4="Logarithm",LN(0.001+IF(AND(ISNUMBER('Council Entry'!AZ$8),ISNUMBER('Council Entry'!AZ$9)),MAX(MIN('Council Entry'!AZ163,'Council Entry'!AZ$9),'Council Entry'!AZ$8),'Council Entry'!AZ163)),IF('Council Entry'!AZ$4="Exponential",EXP(IF(AND(ISNUMBER('Council Entry'!AZ$8),ISNUMBER('Council Entry'!AZ$9)),MAX(MIN('Council Entry'!AZ163,'Council Entry'!AZ$9),'Council Entry'!AZ$8),'Council Entry'!AZ163)),IF(AND(ISNUMBER('Council Entry'!AZ$8),ISNUMBER('Council Entry'!AZ$9)),MAX(MIN('Council Entry'!AZ163,'Council Entry'!AZ$9),'Council Entry'!AZ$8),'Council Entry'!AZ163))))-'Council Entry'!AZ$5)/('Council Entry'!AZ$6-'Council Entry'!AZ$5),10*((IF('Council Entry'!AZ$4="Logarithm",LN(0.001+IF(AND(ISNUMBER('Council Entry'!AZ$8),ISNUMBER('Council Entry'!AZ$9)),MAX(MIN('Council Entry'!AZ163,'Council Entry'!AZ$9),'Council Entry'!AZ$8),'Council Entry'!AZ163)),IF('Council Entry'!AZ$4="Exponential",EXP(IF(AND(ISNUMBER('Council Entry'!AZ$8),ISNUMBER('Council Entry'!AZ$9)),MAX(MIN('Council Entry'!AZ163,'Council Entry'!AZ$9),'Council Entry'!AZ$8),'Council Entry'!AZ163)),IF(AND(ISNUMBER('Council Entry'!AZ$8),ISNUMBER('Council Entry'!AZ$9)),MAX(MIN('Council Entry'!AZ163,'Council Entry'!AZ$9),'Council Entry'!AZ$8),'Council Entry'!AZ163))))-'Council Entry'!AZ$5)/('Council Entry'!AZ$6-'Council Entry'!AZ$5)),1))),"No data"))</f>
        <v/>
      </c>
      <c r="BA163" s="13">
        <f>IF('Council Entry'!BA163="","",IFERROR(MAX(0,MIN(10,ROUND(IF('Council Entry'!BA$7="Decrease Risk",10-10*((IF('Council Entry'!BA$4="Logarithm",LN(0.001+IF(AND(ISNUMBER('Council Entry'!BA$8),ISNUMBER('Council Entry'!BA$9)),MAX(MIN('Council Entry'!BA163,'Council Entry'!BA$9),'Council Entry'!BA$8),'Council Entry'!BA163)),IF('Council Entry'!BA$4="Exponential",EXP(IF(AND(ISNUMBER('Council Entry'!BA$8),ISNUMBER('Council Entry'!BA$9)),MAX(MIN('Council Entry'!BA163,'Council Entry'!BA$9),'Council Entry'!BA$8),'Council Entry'!BA163)),IF(AND(ISNUMBER('Council Entry'!BA$8),ISNUMBER('Council Entry'!BA$9)),MAX(MIN('Council Entry'!BA163,'Council Entry'!BA$9),'Council Entry'!BA$8),'Council Entry'!BA163))))-'Council Entry'!BA$5)/('Council Entry'!BA$6-'Council Entry'!BA$5),10*((IF('Council Entry'!BA$4="Logarithm",LN(0.001+IF(AND(ISNUMBER('Council Entry'!BA$8),ISNUMBER('Council Entry'!BA$9)),MAX(MIN('Council Entry'!BA163,'Council Entry'!BA$9),'Council Entry'!BA$8),'Council Entry'!BA163)),IF('Council Entry'!BA$4="Exponential",EXP(IF(AND(ISNUMBER('Council Entry'!BA$8),ISNUMBER('Council Entry'!BA$9)),MAX(MIN('Council Entry'!BA163,'Council Entry'!BA$9),'Council Entry'!BA$8),'Council Entry'!BA163)),IF(AND(ISNUMBER('Council Entry'!BA$8),ISNUMBER('Council Entry'!BA$9)),MAX(MIN('Council Entry'!BA163,'Council Entry'!BA$9),'Council Entry'!BA$8),'Council Entry'!BA163))))-'Council Entry'!BA$5)/('Council Entry'!BA$6-'Council Entry'!BA$5)),1))),"No data"))</f>
        <v/>
      </c>
      <c r="BB163" s="13">
        <f>IF('Council Entry'!BB163="","",IFERROR(MAX(0,MIN(10,ROUND(IF('Council Entry'!BB$7="Decrease Risk",10-10*((IF('Council Entry'!BB$4="Logarithm",LN(0.001+IF(AND(ISNUMBER('Council Entry'!BB$8),ISNUMBER('Council Entry'!BB$9)),MAX(MIN('Council Entry'!BB163,'Council Entry'!BB$9),'Council Entry'!BB$8),'Council Entry'!BB163)),IF('Council Entry'!BB$4="Exponential",EXP(IF(AND(ISNUMBER('Council Entry'!BB$8),ISNUMBER('Council Entry'!BB$9)),MAX(MIN('Council Entry'!BB163,'Council Entry'!BB$9),'Council Entry'!BB$8),'Council Entry'!BB163)),IF(AND(ISNUMBER('Council Entry'!BB$8),ISNUMBER('Council Entry'!BB$9)),MAX(MIN('Council Entry'!BB163,'Council Entry'!BB$9),'Council Entry'!BB$8),'Council Entry'!BB163))))-'Council Entry'!BB$5)/('Council Entry'!BB$6-'Council Entry'!BB$5),10*((IF('Council Entry'!BB$4="Logarithm",LN(0.001+IF(AND(ISNUMBER('Council Entry'!BB$8),ISNUMBER('Council Entry'!BB$9)),MAX(MIN('Council Entry'!BB163,'Council Entry'!BB$9),'Council Entry'!BB$8),'Council Entry'!BB163)),IF('Council Entry'!BB$4="Exponential",EXP(IF(AND(ISNUMBER('Council Entry'!BB$8),ISNUMBER('Council Entry'!BB$9)),MAX(MIN('Council Entry'!BB163,'Council Entry'!BB$9),'Council Entry'!BB$8),'Council Entry'!BB163)),IF(AND(ISNUMBER('Council Entry'!BB$8),ISNUMBER('Council Entry'!BB$9)),MAX(MIN('Council Entry'!BB163,'Council Entry'!BB$9),'Council Entry'!BB$8),'Council Entry'!BB163))))-'Council Entry'!BB$5)/('Council Entry'!BB$6-'Council Entry'!BB$5)),1))),"No data"))</f>
        <v/>
      </c>
      <c r="BC163" s="13">
        <f>IF('Council Entry'!BC163="","",IFERROR(MAX(0,MIN(10,ROUND(IF('Council Entry'!BC$7="Decrease Risk",10-10*((IF('Council Entry'!BC$4="Logarithm",LN(0.001+IF(AND(ISNUMBER('Council Entry'!BC$8),ISNUMBER('Council Entry'!BC$9)),MAX(MIN('Council Entry'!BC163,'Council Entry'!BC$9),'Council Entry'!BC$8),'Council Entry'!BC163)),IF('Council Entry'!BC$4="Exponential",EXP(IF(AND(ISNUMBER('Council Entry'!BC$8),ISNUMBER('Council Entry'!BC$9)),MAX(MIN('Council Entry'!BC163,'Council Entry'!BC$9),'Council Entry'!BC$8),'Council Entry'!BC163)),IF(AND(ISNUMBER('Council Entry'!BC$8),ISNUMBER('Council Entry'!BC$9)),MAX(MIN('Council Entry'!BC163,'Council Entry'!BC$9),'Council Entry'!BC$8),'Council Entry'!BC163))))-'Council Entry'!BC$5)/('Council Entry'!BC$6-'Council Entry'!BC$5),10*((IF('Council Entry'!BC$4="Logarithm",LN(0.001+IF(AND(ISNUMBER('Council Entry'!BC$8),ISNUMBER('Council Entry'!BC$9)),MAX(MIN('Council Entry'!BC163,'Council Entry'!BC$9),'Council Entry'!BC$8),'Council Entry'!BC163)),IF('Council Entry'!BC$4="Exponential",EXP(IF(AND(ISNUMBER('Council Entry'!BC$8),ISNUMBER('Council Entry'!BC$9)),MAX(MIN('Council Entry'!BC163,'Council Entry'!BC$9),'Council Entry'!BC$8),'Council Entry'!BC163)),IF(AND(ISNUMBER('Council Entry'!BC$8),ISNUMBER('Council Entry'!BC$9)),MAX(MIN('Council Entry'!BC163,'Council Entry'!BC$9),'Council Entry'!BC$8),'Council Entry'!BC163))))-'Council Entry'!BC$5)/('Council Entry'!BC$6-'Council Entry'!BC$5)),1))),"No data"))</f>
        <v/>
      </c>
      <c r="BD163" s="13">
        <f>IF('Council Entry'!BD163="","",IFERROR(MAX(0,MIN(10,ROUND(IF('Council Entry'!BD$7="Decrease Risk",10-10*((IF('Council Entry'!BD$4="Logarithm",LN(0.001+IF(AND(ISNUMBER('Council Entry'!BD$8),ISNUMBER('Council Entry'!BD$9)),MAX(MIN('Council Entry'!BD163,'Council Entry'!BD$9),'Council Entry'!BD$8),'Council Entry'!BD163)),IF('Council Entry'!BD$4="Exponential",EXP(IF(AND(ISNUMBER('Council Entry'!BD$8),ISNUMBER('Council Entry'!BD$9)),MAX(MIN('Council Entry'!BD163,'Council Entry'!BD$9),'Council Entry'!BD$8),'Council Entry'!BD163)),IF(AND(ISNUMBER('Council Entry'!BD$8),ISNUMBER('Council Entry'!BD$9)),MAX(MIN('Council Entry'!BD163,'Council Entry'!BD$9),'Council Entry'!BD$8),'Council Entry'!BD163))))-'Council Entry'!BD$5)/('Council Entry'!BD$6-'Council Entry'!BD$5),10*((IF('Council Entry'!BD$4="Logarithm",LN(0.001+IF(AND(ISNUMBER('Council Entry'!BD$8),ISNUMBER('Council Entry'!BD$9)),MAX(MIN('Council Entry'!BD163,'Council Entry'!BD$9),'Council Entry'!BD$8),'Council Entry'!BD163)),IF('Council Entry'!BD$4="Exponential",EXP(IF(AND(ISNUMBER('Council Entry'!BD$8),ISNUMBER('Council Entry'!BD$9)),MAX(MIN('Council Entry'!BD163,'Council Entry'!BD$9),'Council Entry'!BD$8),'Council Entry'!BD163)),IF(AND(ISNUMBER('Council Entry'!BD$8),ISNUMBER('Council Entry'!BD$9)),MAX(MIN('Council Entry'!BD163,'Council Entry'!BD$9),'Council Entry'!BD$8),'Council Entry'!BD163))))-'Council Entry'!BD$5)/('Council Entry'!BD$6-'Council Entry'!BD$5)),1))),"No data"))</f>
        <v/>
      </c>
    </row>
    <row r="164">
      <c r="A164" t="inlineStr">
        <is>
          <t>Shinyanga</t>
        </is>
      </c>
      <c r="B164" t="inlineStr">
        <is>
          <t>Kishapu District</t>
        </is>
      </c>
      <c r="C164" t="inlineStr">
        <is>
          <t>C122</t>
        </is>
      </c>
      <c r="D164" s="13">
        <f>IF('Council Entry'!D164="","",IFERROR(MAX(0,MIN(10,ROUND(IF('Council Entry'!D$7="Decrease Risk",10-10*((IF('Council Entry'!D$4="Logarithm",LN(0.001+IF(AND(ISNUMBER('Council Entry'!D$8),ISNUMBER('Council Entry'!D$9)),MAX(MIN('Council Entry'!D164,'Council Entry'!D$9),'Council Entry'!D$8),'Council Entry'!D164)),IF('Council Entry'!D$4="Exponential",EXP(IF(AND(ISNUMBER('Council Entry'!D$8),ISNUMBER('Council Entry'!D$9)),MAX(MIN('Council Entry'!D164,'Council Entry'!D$9),'Council Entry'!D$8),'Council Entry'!D164)),IF(AND(ISNUMBER('Council Entry'!D$8),ISNUMBER('Council Entry'!D$9)),MAX(MIN('Council Entry'!D164,'Council Entry'!D$9),'Council Entry'!D$8),'Council Entry'!D164))))-'Council Entry'!D$5)/('Council Entry'!D$6-'Council Entry'!D$5),10*((IF('Council Entry'!D$4="Logarithm",LN(0.001+IF(AND(ISNUMBER('Council Entry'!D$8),ISNUMBER('Council Entry'!D$9)),MAX(MIN('Council Entry'!D164,'Council Entry'!D$9),'Council Entry'!D$8),'Council Entry'!D164)),IF('Council Entry'!D$4="Exponential",EXP(IF(AND(ISNUMBER('Council Entry'!D$8),ISNUMBER('Council Entry'!D$9)),MAX(MIN('Council Entry'!D164,'Council Entry'!D$9),'Council Entry'!D$8),'Council Entry'!D164)),IF(AND(ISNUMBER('Council Entry'!D$8),ISNUMBER('Council Entry'!D$9)),MAX(MIN('Council Entry'!D164,'Council Entry'!D$9),'Council Entry'!D$8),'Council Entry'!D164))))-'Council Entry'!D$5)/('Council Entry'!D$6-'Council Entry'!D$5)),1))),"No data"))</f>
        <v/>
      </c>
      <c r="E164" s="13">
        <f>IF('Council Entry'!E164="","",IFERROR(MAX(0,MIN(10,ROUND(IF('Council Entry'!E$7="Decrease Risk",10-10*((IF('Council Entry'!E$4="Logarithm",LN(0.001+IF(AND(ISNUMBER('Council Entry'!E$8),ISNUMBER('Council Entry'!E$9)),MAX(MIN('Council Entry'!E164,'Council Entry'!E$9),'Council Entry'!E$8),'Council Entry'!E164)),IF('Council Entry'!E$4="Exponential",EXP(IF(AND(ISNUMBER('Council Entry'!E$8),ISNUMBER('Council Entry'!E$9)),MAX(MIN('Council Entry'!E164,'Council Entry'!E$9),'Council Entry'!E$8),'Council Entry'!E164)),IF(AND(ISNUMBER('Council Entry'!E$8),ISNUMBER('Council Entry'!E$9)),MAX(MIN('Council Entry'!E164,'Council Entry'!E$9),'Council Entry'!E$8),'Council Entry'!E164))))-'Council Entry'!E$5)/('Council Entry'!E$6-'Council Entry'!E$5),10*((IF('Council Entry'!E$4="Logarithm",LN(0.001+IF(AND(ISNUMBER('Council Entry'!E$8),ISNUMBER('Council Entry'!E$9)),MAX(MIN('Council Entry'!E164,'Council Entry'!E$9),'Council Entry'!E$8),'Council Entry'!E164)),IF('Council Entry'!E$4="Exponential",EXP(IF(AND(ISNUMBER('Council Entry'!E$8),ISNUMBER('Council Entry'!E$9)),MAX(MIN('Council Entry'!E164,'Council Entry'!E$9),'Council Entry'!E$8),'Council Entry'!E164)),IF(AND(ISNUMBER('Council Entry'!E$8),ISNUMBER('Council Entry'!E$9)),MAX(MIN('Council Entry'!E164,'Council Entry'!E$9),'Council Entry'!E$8),'Council Entry'!E164))))-'Council Entry'!E$5)/('Council Entry'!E$6-'Council Entry'!E$5)),1))),"No data"))</f>
        <v/>
      </c>
      <c r="F164" s="13">
        <f>IF('Council Entry'!F164="","",IFERROR(MAX(0,MIN(10,ROUND(IF('Council Entry'!F$7="Decrease Risk",10-10*((IF('Council Entry'!F$4="Logarithm",LN(0.001+IF(AND(ISNUMBER('Council Entry'!F$8),ISNUMBER('Council Entry'!F$9)),MAX(MIN('Council Entry'!F164,'Council Entry'!F$9),'Council Entry'!F$8),'Council Entry'!F164)),IF('Council Entry'!F$4="Exponential",EXP(IF(AND(ISNUMBER('Council Entry'!F$8),ISNUMBER('Council Entry'!F$9)),MAX(MIN('Council Entry'!F164,'Council Entry'!F$9),'Council Entry'!F$8),'Council Entry'!F164)),IF(AND(ISNUMBER('Council Entry'!F$8),ISNUMBER('Council Entry'!F$9)),MAX(MIN('Council Entry'!F164,'Council Entry'!F$9),'Council Entry'!F$8),'Council Entry'!F164))))-'Council Entry'!F$5)/('Council Entry'!F$6-'Council Entry'!F$5),10*((IF('Council Entry'!F$4="Logarithm",LN(0.001+IF(AND(ISNUMBER('Council Entry'!F$8),ISNUMBER('Council Entry'!F$9)),MAX(MIN('Council Entry'!F164,'Council Entry'!F$9),'Council Entry'!F$8),'Council Entry'!F164)),IF('Council Entry'!F$4="Exponential",EXP(IF(AND(ISNUMBER('Council Entry'!F$8),ISNUMBER('Council Entry'!F$9)),MAX(MIN('Council Entry'!F164,'Council Entry'!F$9),'Council Entry'!F$8),'Council Entry'!F164)),IF(AND(ISNUMBER('Council Entry'!F$8),ISNUMBER('Council Entry'!F$9)),MAX(MIN('Council Entry'!F164,'Council Entry'!F$9),'Council Entry'!F$8),'Council Entry'!F164))))-'Council Entry'!F$5)/('Council Entry'!F$6-'Council Entry'!F$5)),1))),"No data"))</f>
        <v/>
      </c>
      <c r="G164" s="13">
        <f>IF('Council Entry'!G164="","",IFERROR(MAX(0,MIN(10,ROUND(IF('Council Entry'!G$7="Decrease Risk",10-10*((IF('Council Entry'!G$4="Logarithm",LN(0.001+IF(AND(ISNUMBER('Council Entry'!G$8),ISNUMBER('Council Entry'!G$9)),MAX(MIN('Council Entry'!G164,'Council Entry'!G$9),'Council Entry'!G$8),'Council Entry'!G164)),IF('Council Entry'!G$4="Exponential",EXP(IF(AND(ISNUMBER('Council Entry'!G$8),ISNUMBER('Council Entry'!G$9)),MAX(MIN('Council Entry'!G164,'Council Entry'!G$9),'Council Entry'!G$8),'Council Entry'!G164)),IF(AND(ISNUMBER('Council Entry'!G$8),ISNUMBER('Council Entry'!G$9)),MAX(MIN('Council Entry'!G164,'Council Entry'!G$9),'Council Entry'!G$8),'Council Entry'!G164))))-'Council Entry'!G$5)/('Council Entry'!G$6-'Council Entry'!G$5),10*((IF('Council Entry'!G$4="Logarithm",LN(0.001+IF(AND(ISNUMBER('Council Entry'!G$8),ISNUMBER('Council Entry'!G$9)),MAX(MIN('Council Entry'!G164,'Council Entry'!G$9),'Council Entry'!G$8),'Council Entry'!G164)),IF('Council Entry'!G$4="Exponential",EXP(IF(AND(ISNUMBER('Council Entry'!G$8),ISNUMBER('Council Entry'!G$9)),MAX(MIN('Council Entry'!G164,'Council Entry'!G$9),'Council Entry'!G$8),'Council Entry'!G164)),IF(AND(ISNUMBER('Council Entry'!G$8),ISNUMBER('Council Entry'!G$9)),MAX(MIN('Council Entry'!G164,'Council Entry'!G$9),'Council Entry'!G$8),'Council Entry'!G164))))-'Council Entry'!G$5)/('Council Entry'!G$6-'Council Entry'!G$5)),1))),"No data"))</f>
        <v/>
      </c>
      <c r="H164" s="13">
        <f>IF('Council Entry'!H164="","",IFERROR(MAX(0,MIN(10,ROUND(IF('Council Entry'!H$7="Decrease Risk",10-10*((IF('Council Entry'!H$4="Logarithm",LN(0.001+IF(AND(ISNUMBER('Council Entry'!H$8),ISNUMBER('Council Entry'!H$9)),MAX(MIN('Council Entry'!H164,'Council Entry'!H$9),'Council Entry'!H$8),'Council Entry'!H164)),IF('Council Entry'!H$4="Exponential",EXP(IF(AND(ISNUMBER('Council Entry'!H$8),ISNUMBER('Council Entry'!H$9)),MAX(MIN('Council Entry'!H164,'Council Entry'!H$9),'Council Entry'!H$8),'Council Entry'!H164)),IF(AND(ISNUMBER('Council Entry'!H$8),ISNUMBER('Council Entry'!H$9)),MAX(MIN('Council Entry'!H164,'Council Entry'!H$9),'Council Entry'!H$8),'Council Entry'!H164))))-'Council Entry'!H$5)/('Council Entry'!H$6-'Council Entry'!H$5),10*((IF('Council Entry'!H$4="Logarithm",LN(0.001+IF(AND(ISNUMBER('Council Entry'!H$8),ISNUMBER('Council Entry'!H$9)),MAX(MIN('Council Entry'!H164,'Council Entry'!H$9),'Council Entry'!H$8),'Council Entry'!H164)),IF('Council Entry'!H$4="Exponential",EXP(IF(AND(ISNUMBER('Council Entry'!H$8),ISNUMBER('Council Entry'!H$9)),MAX(MIN('Council Entry'!H164,'Council Entry'!H$9),'Council Entry'!H$8),'Council Entry'!H164)),IF(AND(ISNUMBER('Council Entry'!H$8),ISNUMBER('Council Entry'!H$9)),MAX(MIN('Council Entry'!H164,'Council Entry'!H$9),'Council Entry'!H$8),'Council Entry'!H164))))-'Council Entry'!H$5)/('Council Entry'!H$6-'Council Entry'!H$5)),1))),"No data"))</f>
        <v/>
      </c>
      <c r="I164" s="13">
        <f>IF('Council Entry'!I164="","",IFERROR(MAX(0,MIN(10,ROUND(IF('Council Entry'!I$7="Decrease Risk",10-10*((IF('Council Entry'!I$4="Logarithm",LN(0.001+IF(AND(ISNUMBER('Council Entry'!I$8),ISNUMBER('Council Entry'!I$9)),MAX(MIN('Council Entry'!I164,'Council Entry'!I$9),'Council Entry'!I$8),'Council Entry'!I164)),IF('Council Entry'!I$4="Exponential",EXP(IF(AND(ISNUMBER('Council Entry'!I$8),ISNUMBER('Council Entry'!I$9)),MAX(MIN('Council Entry'!I164,'Council Entry'!I$9),'Council Entry'!I$8),'Council Entry'!I164)),IF(AND(ISNUMBER('Council Entry'!I$8),ISNUMBER('Council Entry'!I$9)),MAX(MIN('Council Entry'!I164,'Council Entry'!I$9),'Council Entry'!I$8),'Council Entry'!I164))))-'Council Entry'!I$5)/('Council Entry'!I$6-'Council Entry'!I$5),10*((IF('Council Entry'!I$4="Logarithm",LN(0.001+IF(AND(ISNUMBER('Council Entry'!I$8),ISNUMBER('Council Entry'!I$9)),MAX(MIN('Council Entry'!I164,'Council Entry'!I$9),'Council Entry'!I$8),'Council Entry'!I164)),IF('Council Entry'!I$4="Exponential",EXP(IF(AND(ISNUMBER('Council Entry'!I$8),ISNUMBER('Council Entry'!I$9)),MAX(MIN('Council Entry'!I164,'Council Entry'!I$9),'Council Entry'!I$8),'Council Entry'!I164)),IF(AND(ISNUMBER('Council Entry'!I$8),ISNUMBER('Council Entry'!I$9)),MAX(MIN('Council Entry'!I164,'Council Entry'!I$9),'Council Entry'!I$8),'Council Entry'!I164))))-'Council Entry'!I$5)/('Council Entry'!I$6-'Council Entry'!I$5)),1))),"No data"))</f>
        <v/>
      </c>
      <c r="J164" s="13">
        <f>IF('Council Entry'!J164="","",IFERROR(MAX(0,MIN(10,ROUND(IF('Council Entry'!J$7="Decrease Risk",10-10*((IF('Council Entry'!J$4="Logarithm",LN(0.001+IF(AND(ISNUMBER('Council Entry'!J$8),ISNUMBER('Council Entry'!J$9)),MAX(MIN('Council Entry'!J164,'Council Entry'!J$9),'Council Entry'!J$8),'Council Entry'!J164)),IF('Council Entry'!J$4="Exponential",EXP(IF(AND(ISNUMBER('Council Entry'!J$8),ISNUMBER('Council Entry'!J$9)),MAX(MIN('Council Entry'!J164,'Council Entry'!J$9),'Council Entry'!J$8),'Council Entry'!J164)),IF(AND(ISNUMBER('Council Entry'!J$8),ISNUMBER('Council Entry'!J$9)),MAX(MIN('Council Entry'!J164,'Council Entry'!J$9),'Council Entry'!J$8),'Council Entry'!J164))))-'Council Entry'!J$5)/('Council Entry'!J$6-'Council Entry'!J$5),10*((IF('Council Entry'!J$4="Logarithm",LN(0.001+IF(AND(ISNUMBER('Council Entry'!J$8),ISNUMBER('Council Entry'!J$9)),MAX(MIN('Council Entry'!J164,'Council Entry'!J$9),'Council Entry'!J$8),'Council Entry'!J164)),IF('Council Entry'!J$4="Exponential",EXP(IF(AND(ISNUMBER('Council Entry'!J$8),ISNUMBER('Council Entry'!J$9)),MAX(MIN('Council Entry'!J164,'Council Entry'!J$9),'Council Entry'!J$8),'Council Entry'!J164)),IF(AND(ISNUMBER('Council Entry'!J$8),ISNUMBER('Council Entry'!J$9)),MAX(MIN('Council Entry'!J164,'Council Entry'!J$9),'Council Entry'!J$8),'Council Entry'!J164))))-'Council Entry'!J$5)/('Council Entry'!J$6-'Council Entry'!J$5)),1))),"No data"))</f>
        <v/>
      </c>
      <c r="K164" s="13">
        <f>IF('Council Entry'!K164="","",IFERROR(MAX(0,MIN(10,ROUND(IF('Council Entry'!K$7="Decrease Risk",10-10*((IF('Council Entry'!K$4="Logarithm",LN(0.001+IF(AND(ISNUMBER('Council Entry'!K$8),ISNUMBER('Council Entry'!K$9)),MAX(MIN('Council Entry'!K164,'Council Entry'!K$9),'Council Entry'!K$8),'Council Entry'!K164)),IF('Council Entry'!K$4="Exponential",EXP(IF(AND(ISNUMBER('Council Entry'!K$8),ISNUMBER('Council Entry'!K$9)),MAX(MIN('Council Entry'!K164,'Council Entry'!K$9),'Council Entry'!K$8),'Council Entry'!K164)),IF(AND(ISNUMBER('Council Entry'!K$8),ISNUMBER('Council Entry'!K$9)),MAX(MIN('Council Entry'!K164,'Council Entry'!K$9),'Council Entry'!K$8),'Council Entry'!K164))))-'Council Entry'!K$5)/('Council Entry'!K$6-'Council Entry'!K$5),10*((IF('Council Entry'!K$4="Logarithm",LN(0.001+IF(AND(ISNUMBER('Council Entry'!K$8),ISNUMBER('Council Entry'!K$9)),MAX(MIN('Council Entry'!K164,'Council Entry'!K$9),'Council Entry'!K$8),'Council Entry'!K164)),IF('Council Entry'!K$4="Exponential",EXP(IF(AND(ISNUMBER('Council Entry'!K$8),ISNUMBER('Council Entry'!K$9)),MAX(MIN('Council Entry'!K164,'Council Entry'!K$9),'Council Entry'!K$8),'Council Entry'!K164)),IF(AND(ISNUMBER('Council Entry'!K$8),ISNUMBER('Council Entry'!K$9)),MAX(MIN('Council Entry'!K164,'Council Entry'!K$9),'Council Entry'!K$8),'Council Entry'!K164))))-'Council Entry'!K$5)/('Council Entry'!K$6-'Council Entry'!K$5)),1))),"No data"))</f>
        <v/>
      </c>
      <c r="L164" s="13">
        <f>IF('Council Entry'!L164="","",IFERROR(MAX(0,MIN(10,ROUND(IF('Council Entry'!L$7="Decrease Risk",10-10*((IF('Council Entry'!L$4="Logarithm",LN(0.001+IF(AND(ISNUMBER('Council Entry'!L$8),ISNUMBER('Council Entry'!L$9)),MAX(MIN('Council Entry'!L164,'Council Entry'!L$9),'Council Entry'!L$8),'Council Entry'!L164)),IF('Council Entry'!L$4="Exponential",EXP(IF(AND(ISNUMBER('Council Entry'!L$8),ISNUMBER('Council Entry'!L$9)),MAX(MIN('Council Entry'!L164,'Council Entry'!L$9),'Council Entry'!L$8),'Council Entry'!L164)),IF(AND(ISNUMBER('Council Entry'!L$8),ISNUMBER('Council Entry'!L$9)),MAX(MIN('Council Entry'!L164,'Council Entry'!L$9),'Council Entry'!L$8),'Council Entry'!L164))))-'Council Entry'!L$5)/('Council Entry'!L$6-'Council Entry'!L$5),10*((IF('Council Entry'!L$4="Logarithm",LN(0.001+IF(AND(ISNUMBER('Council Entry'!L$8),ISNUMBER('Council Entry'!L$9)),MAX(MIN('Council Entry'!L164,'Council Entry'!L$9),'Council Entry'!L$8),'Council Entry'!L164)),IF('Council Entry'!L$4="Exponential",EXP(IF(AND(ISNUMBER('Council Entry'!L$8),ISNUMBER('Council Entry'!L$9)),MAX(MIN('Council Entry'!L164,'Council Entry'!L$9),'Council Entry'!L$8),'Council Entry'!L164)),IF(AND(ISNUMBER('Council Entry'!L$8),ISNUMBER('Council Entry'!L$9)),MAX(MIN('Council Entry'!L164,'Council Entry'!L$9),'Council Entry'!L$8),'Council Entry'!L164))))-'Council Entry'!L$5)/('Council Entry'!L$6-'Council Entry'!L$5)),1))),"No data"))</f>
        <v/>
      </c>
      <c r="M164" s="13">
        <f>IF('Council Entry'!M164="","",IFERROR(MAX(0,MIN(10,ROUND(IF('Council Entry'!M$7="Decrease Risk",10-10*((IF('Council Entry'!M$4="Logarithm",LN(0.001+IF(AND(ISNUMBER('Council Entry'!M$8),ISNUMBER('Council Entry'!M$9)),MAX(MIN('Council Entry'!M164,'Council Entry'!M$9),'Council Entry'!M$8),'Council Entry'!M164)),IF('Council Entry'!M$4="Exponential",EXP(IF(AND(ISNUMBER('Council Entry'!M$8),ISNUMBER('Council Entry'!M$9)),MAX(MIN('Council Entry'!M164,'Council Entry'!M$9),'Council Entry'!M$8),'Council Entry'!M164)),IF(AND(ISNUMBER('Council Entry'!M$8),ISNUMBER('Council Entry'!M$9)),MAX(MIN('Council Entry'!M164,'Council Entry'!M$9),'Council Entry'!M$8),'Council Entry'!M164))))-'Council Entry'!M$5)/('Council Entry'!M$6-'Council Entry'!M$5),10*((IF('Council Entry'!M$4="Logarithm",LN(0.001+IF(AND(ISNUMBER('Council Entry'!M$8),ISNUMBER('Council Entry'!M$9)),MAX(MIN('Council Entry'!M164,'Council Entry'!M$9),'Council Entry'!M$8),'Council Entry'!M164)),IF('Council Entry'!M$4="Exponential",EXP(IF(AND(ISNUMBER('Council Entry'!M$8),ISNUMBER('Council Entry'!M$9)),MAX(MIN('Council Entry'!M164,'Council Entry'!M$9),'Council Entry'!M$8),'Council Entry'!M164)),IF(AND(ISNUMBER('Council Entry'!M$8),ISNUMBER('Council Entry'!M$9)),MAX(MIN('Council Entry'!M164,'Council Entry'!M$9),'Council Entry'!M$8),'Council Entry'!M164))))-'Council Entry'!M$5)/('Council Entry'!M$6-'Council Entry'!M$5)),1))),"No data"))</f>
        <v/>
      </c>
      <c r="N164" s="13">
        <f>IF('Council Entry'!N164="","",IFERROR(MAX(0,MIN(10,ROUND(IF('Council Entry'!N$7="Decrease Risk",10-10*((IF('Council Entry'!N$4="Logarithm",LN(0.001+IF(AND(ISNUMBER('Council Entry'!N$8),ISNUMBER('Council Entry'!N$9)),MAX(MIN('Council Entry'!N164,'Council Entry'!N$9),'Council Entry'!N$8),'Council Entry'!N164)),IF('Council Entry'!N$4="Exponential",EXP(IF(AND(ISNUMBER('Council Entry'!N$8),ISNUMBER('Council Entry'!N$9)),MAX(MIN('Council Entry'!N164,'Council Entry'!N$9),'Council Entry'!N$8),'Council Entry'!N164)),IF(AND(ISNUMBER('Council Entry'!N$8),ISNUMBER('Council Entry'!N$9)),MAX(MIN('Council Entry'!N164,'Council Entry'!N$9),'Council Entry'!N$8),'Council Entry'!N164))))-'Council Entry'!N$5)/('Council Entry'!N$6-'Council Entry'!N$5),10*((IF('Council Entry'!N$4="Logarithm",LN(0.001+IF(AND(ISNUMBER('Council Entry'!N$8),ISNUMBER('Council Entry'!N$9)),MAX(MIN('Council Entry'!N164,'Council Entry'!N$9),'Council Entry'!N$8),'Council Entry'!N164)),IF('Council Entry'!N$4="Exponential",EXP(IF(AND(ISNUMBER('Council Entry'!N$8),ISNUMBER('Council Entry'!N$9)),MAX(MIN('Council Entry'!N164,'Council Entry'!N$9),'Council Entry'!N$8),'Council Entry'!N164)),IF(AND(ISNUMBER('Council Entry'!N$8),ISNUMBER('Council Entry'!N$9)),MAX(MIN('Council Entry'!N164,'Council Entry'!N$9),'Council Entry'!N$8),'Council Entry'!N164))))-'Council Entry'!N$5)/('Council Entry'!N$6-'Council Entry'!N$5)),1))),"No data"))</f>
        <v/>
      </c>
      <c r="O164" s="13">
        <f>IF('Council Entry'!O164="","",IFERROR(MAX(0,MIN(10,ROUND(IF('Council Entry'!O$7="Decrease Risk",10-10*((IF('Council Entry'!O$4="Logarithm",LN(0.001+IF(AND(ISNUMBER('Council Entry'!O$8),ISNUMBER('Council Entry'!O$9)),MAX(MIN('Council Entry'!O164,'Council Entry'!O$9),'Council Entry'!O$8),'Council Entry'!O164)),IF('Council Entry'!O$4="Exponential",EXP(IF(AND(ISNUMBER('Council Entry'!O$8),ISNUMBER('Council Entry'!O$9)),MAX(MIN('Council Entry'!O164,'Council Entry'!O$9),'Council Entry'!O$8),'Council Entry'!O164)),IF(AND(ISNUMBER('Council Entry'!O$8),ISNUMBER('Council Entry'!O$9)),MAX(MIN('Council Entry'!O164,'Council Entry'!O$9),'Council Entry'!O$8),'Council Entry'!O164))))-'Council Entry'!O$5)/('Council Entry'!O$6-'Council Entry'!O$5),10*((IF('Council Entry'!O$4="Logarithm",LN(0.001+IF(AND(ISNUMBER('Council Entry'!O$8),ISNUMBER('Council Entry'!O$9)),MAX(MIN('Council Entry'!O164,'Council Entry'!O$9),'Council Entry'!O$8),'Council Entry'!O164)),IF('Council Entry'!O$4="Exponential",EXP(IF(AND(ISNUMBER('Council Entry'!O$8),ISNUMBER('Council Entry'!O$9)),MAX(MIN('Council Entry'!O164,'Council Entry'!O$9),'Council Entry'!O$8),'Council Entry'!O164)),IF(AND(ISNUMBER('Council Entry'!O$8),ISNUMBER('Council Entry'!O$9)),MAX(MIN('Council Entry'!O164,'Council Entry'!O$9),'Council Entry'!O$8),'Council Entry'!O164))))-'Council Entry'!O$5)/('Council Entry'!O$6-'Council Entry'!O$5)),1))),"No data"))</f>
        <v/>
      </c>
      <c r="P164" s="13">
        <f>IF('Council Entry'!P164="","",IFERROR(MAX(0,MIN(10,ROUND(IF('Council Entry'!P$7="Decrease Risk",10-10*((IF('Council Entry'!P$4="Logarithm",LN(0.001+IF(AND(ISNUMBER('Council Entry'!P$8),ISNUMBER('Council Entry'!P$9)),MAX(MIN('Council Entry'!P164,'Council Entry'!P$9),'Council Entry'!P$8),'Council Entry'!P164)),IF('Council Entry'!P$4="Exponential",EXP(IF(AND(ISNUMBER('Council Entry'!P$8),ISNUMBER('Council Entry'!P$9)),MAX(MIN('Council Entry'!P164,'Council Entry'!P$9),'Council Entry'!P$8),'Council Entry'!P164)),IF(AND(ISNUMBER('Council Entry'!P$8),ISNUMBER('Council Entry'!P$9)),MAX(MIN('Council Entry'!P164,'Council Entry'!P$9),'Council Entry'!P$8),'Council Entry'!P164))))-'Council Entry'!P$5)/('Council Entry'!P$6-'Council Entry'!P$5),10*((IF('Council Entry'!P$4="Logarithm",LN(0.001+IF(AND(ISNUMBER('Council Entry'!P$8),ISNUMBER('Council Entry'!P$9)),MAX(MIN('Council Entry'!P164,'Council Entry'!P$9),'Council Entry'!P$8),'Council Entry'!P164)),IF('Council Entry'!P$4="Exponential",EXP(IF(AND(ISNUMBER('Council Entry'!P$8),ISNUMBER('Council Entry'!P$9)),MAX(MIN('Council Entry'!P164,'Council Entry'!P$9),'Council Entry'!P$8),'Council Entry'!P164)),IF(AND(ISNUMBER('Council Entry'!P$8),ISNUMBER('Council Entry'!P$9)),MAX(MIN('Council Entry'!P164,'Council Entry'!P$9),'Council Entry'!P$8),'Council Entry'!P164))))-'Council Entry'!P$5)/('Council Entry'!P$6-'Council Entry'!P$5)),1))),"No data"))</f>
        <v/>
      </c>
      <c r="Q164" s="13">
        <f>IF('Council Entry'!Q164="","",IFERROR(MAX(0,MIN(10,ROUND(IF('Council Entry'!Q$7="Decrease Risk",10-10*((IF('Council Entry'!Q$4="Logarithm",LN(0.001+IF(AND(ISNUMBER('Council Entry'!Q$8),ISNUMBER('Council Entry'!Q$9)),MAX(MIN('Council Entry'!Q164,'Council Entry'!Q$9),'Council Entry'!Q$8),'Council Entry'!Q164)),IF('Council Entry'!Q$4="Exponential",EXP(IF(AND(ISNUMBER('Council Entry'!Q$8),ISNUMBER('Council Entry'!Q$9)),MAX(MIN('Council Entry'!Q164,'Council Entry'!Q$9),'Council Entry'!Q$8),'Council Entry'!Q164)),IF(AND(ISNUMBER('Council Entry'!Q$8),ISNUMBER('Council Entry'!Q$9)),MAX(MIN('Council Entry'!Q164,'Council Entry'!Q$9),'Council Entry'!Q$8),'Council Entry'!Q164))))-'Council Entry'!Q$5)/('Council Entry'!Q$6-'Council Entry'!Q$5),10*((IF('Council Entry'!Q$4="Logarithm",LN(0.001+IF(AND(ISNUMBER('Council Entry'!Q$8),ISNUMBER('Council Entry'!Q$9)),MAX(MIN('Council Entry'!Q164,'Council Entry'!Q$9),'Council Entry'!Q$8),'Council Entry'!Q164)),IF('Council Entry'!Q$4="Exponential",EXP(IF(AND(ISNUMBER('Council Entry'!Q$8),ISNUMBER('Council Entry'!Q$9)),MAX(MIN('Council Entry'!Q164,'Council Entry'!Q$9),'Council Entry'!Q$8),'Council Entry'!Q164)),IF(AND(ISNUMBER('Council Entry'!Q$8),ISNUMBER('Council Entry'!Q$9)),MAX(MIN('Council Entry'!Q164,'Council Entry'!Q$9),'Council Entry'!Q$8),'Council Entry'!Q164))))-'Council Entry'!Q$5)/('Council Entry'!Q$6-'Council Entry'!Q$5)),1))),"No data"))</f>
        <v/>
      </c>
      <c r="R164" s="13">
        <f>IF('Council Entry'!R164="","",IFERROR(MAX(0,MIN(10,ROUND(IF('Council Entry'!R$7="Decrease Risk",10-10*((IF('Council Entry'!R$4="Logarithm",LN(0.001+IF(AND(ISNUMBER('Council Entry'!R$8),ISNUMBER('Council Entry'!R$9)),MAX(MIN('Council Entry'!R164,'Council Entry'!R$9),'Council Entry'!R$8),'Council Entry'!R164)),IF('Council Entry'!R$4="Exponential",EXP(IF(AND(ISNUMBER('Council Entry'!R$8),ISNUMBER('Council Entry'!R$9)),MAX(MIN('Council Entry'!R164,'Council Entry'!R$9),'Council Entry'!R$8),'Council Entry'!R164)),IF(AND(ISNUMBER('Council Entry'!R$8),ISNUMBER('Council Entry'!R$9)),MAX(MIN('Council Entry'!R164,'Council Entry'!R$9),'Council Entry'!R$8),'Council Entry'!R164))))-'Council Entry'!R$5)/('Council Entry'!R$6-'Council Entry'!R$5),10*((IF('Council Entry'!R$4="Logarithm",LN(0.001+IF(AND(ISNUMBER('Council Entry'!R$8),ISNUMBER('Council Entry'!R$9)),MAX(MIN('Council Entry'!R164,'Council Entry'!R$9),'Council Entry'!R$8),'Council Entry'!R164)),IF('Council Entry'!R$4="Exponential",EXP(IF(AND(ISNUMBER('Council Entry'!R$8),ISNUMBER('Council Entry'!R$9)),MAX(MIN('Council Entry'!R164,'Council Entry'!R$9),'Council Entry'!R$8),'Council Entry'!R164)),IF(AND(ISNUMBER('Council Entry'!R$8),ISNUMBER('Council Entry'!R$9)),MAX(MIN('Council Entry'!R164,'Council Entry'!R$9),'Council Entry'!R$8),'Council Entry'!R164))))-'Council Entry'!R$5)/('Council Entry'!R$6-'Council Entry'!R$5)),1))),"No data"))</f>
        <v/>
      </c>
      <c r="S164" s="13">
        <f>IF('Council Entry'!S164="","",IFERROR(MAX(0,MIN(10,ROUND(IF('Council Entry'!S$7="Decrease Risk",10-10*((IF('Council Entry'!S$4="Logarithm",LN(0.001+IF(AND(ISNUMBER('Council Entry'!S$8),ISNUMBER('Council Entry'!S$9)),MAX(MIN('Council Entry'!S164,'Council Entry'!S$9),'Council Entry'!S$8),'Council Entry'!S164)),IF('Council Entry'!S$4="Exponential",EXP(IF(AND(ISNUMBER('Council Entry'!S$8),ISNUMBER('Council Entry'!S$9)),MAX(MIN('Council Entry'!S164,'Council Entry'!S$9),'Council Entry'!S$8),'Council Entry'!S164)),IF(AND(ISNUMBER('Council Entry'!S$8),ISNUMBER('Council Entry'!S$9)),MAX(MIN('Council Entry'!S164,'Council Entry'!S$9),'Council Entry'!S$8),'Council Entry'!S164))))-'Council Entry'!S$5)/('Council Entry'!S$6-'Council Entry'!S$5),10*((IF('Council Entry'!S$4="Logarithm",LN(0.001+IF(AND(ISNUMBER('Council Entry'!S$8),ISNUMBER('Council Entry'!S$9)),MAX(MIN('Council Entry'!S164,'Council Entry'!S$9),'Council Entry'!S$8),'Council Entry'!S164)),IF('Council Entry'!S$4="Exponential",EXP(IF(AND(ISNUMBER('Council Entry'!S$8),ISNUMBER('Council Entry'!S$9)),MAX(MIN('Council Entry'!S164,'Council Entry'!S$9),'Council Entry'!S$8),'Council Entry'!S164)),IF(AND(ISNUMBER('Council Entry'!S$8),ISNUMBER('Council Entry'!S$9)),MAX(MIN('Council Entry'!S164,'Council Entry'!S$9),'Council Entry'!S$8),'Council Entry'!S164))))-'Council Entry'!S$5)/('Council Entry'!S$6-'Council Entry'!S$5)),1))),"No data"))</f>
        <v/>
      </c>
      <c r="T164" s="13">
        <f>IF('Council Entry'!T164="","",IFERROR(MAX(0,MIN(10,ROUND(IF('Council Entry'!T$7="Decrease Risk",10-10*((IF('Council Entry'!T$4="Logarithm",LN(0.001+IF(AND(ISNUMBER('Council Entry'!T$8),ISNUMBER('Council Entry'!T$9)),MAX(MIN('Council Entry'!T164,'Council Entry'!T$9),'Council Entry'!T$8),'Council Entry'!T164)),IF('Council Entry'!T$4="Exponential",EXP(IF(AND(ISNUMBER('Council Entry'!T$8),ISNUMBER('Council Entry'!T$9)),MAX(MIN('Council Entry'!T164,'Council Entry'!T$9),'Council Entry'!T$8),'Council Entry'!T164)),IF(AND(ISNUMBER('Council Entry'!T$8),ISNUMBER('Council Entry'!T$9)),MAX(MIN('Council Entry'!T164,'Council Entry'!T$9),'Council Entry'!T$8),'Council Entry'!T164))))-'Council Entry'!T$5)/('Council Entry'!T$6-'Council Entry'!T$5),10*((IF('Council Entry'!T$4="Logarithm",LN(0.001+IF(AND(ISNUMBER('Council Entry'!T$8),ISNUMBER('Council Entry'!T$9)),MAX(MIN('Council Entry'!T164,'Council Entry'!T$9),'Council Entry'!T$8),'Council Entry'!T164)),IF('Council Entry'!T$4="Exponential",EXP(IF(AND(ISNUMBER('Council Entry'!T$8),ISNUMBER('Council Entry'!T$9)),MAX(MIN('Council Entry'!T164,'Council Entry'!T$9),'Council Entry'!T$8),'Council Entry'!T164)),IF(AND(ISNUMBER('Council Entry'!T$8),ISNUMBER('Council Entry'!T$9)),MAX(MIN('Council Entry'!T164,'Council Entry'!T$9),'Council Entry'!T$8),'Council Entry'!T164))))-'Council Entry'!T$5)/('Council Entry'!T$6-'Council Entry'!T$5)),1))),"No data"))</f>
        <v/>
      </c>
      <c r="U164" s="13">
        <f>IF('Council Entry'!U164="","",IFERROR(MAX(0,MIN(10,ROUND(IF('Council Entry'!U$7="Decrease Risk",10-10*((IF('Council Entry'!U$4="Logarithm",LN(0.001+IF(AND(ISNUMBER('Council Entry'!U$8),ISNUMBER('Council Entry'!U$9)),MAX(MIN('Council Entry'!U164,'Council Entry'!U$9),'Council Entry'!U$8),'Council Entry'!U164)),IF('Council Entry'!U$4="Exponential",EXP(IF(AND(ISNUMBER('Council Entry'!U$8),ISNUMBER('Council Entry'!U$9)),MAX(MIN('Council Entry'!U164,'Council Entry'!U$9),'Council Entry'!U$8),'Council Entry'!U164)),IF(AND(ISNUMBER('Council Entry'!U$8),ISNUMBER('Council Entry'!U$9)),MAX(MIN('Council Entry'!U164,'Council Entry'!U$9),'Council Entry'!U$8),'Council Entry'!U164))))-'Council Entry'!U$5)/('Council Entry'!U$6-'Council Entry'!U$5),10*((IF('Council Entry'!U$4="Logarithm",LN(0.001+IF(AND(ISNUMBER('Council Entry'!U$8),ISNUMBER('Council Entry'!U$9)),MAX(MIN('Council Entry'!U164,'Council Entry'!U$9),'Council Entry'!U$8),'Council Entry'!U164)),IF('Council Entry'!U$4="Exponential",EXP(IF(AND(ISNUMBER('Council Entry'!U$8),ISNUMBER('Council Entry'!U$9)),MAX(MIN('Council Entry'!U164,'Council Entry'!U$9),'Council Entry'!U$8),'Council Entry'!U164)),IF(AND(ISNUMBER('Council Entry'!U$8),ISNUMBER('Council Entry'!U$9)),MAX(MIN('Council Entry'!U164,'Council Entry'!U$9),'Council Entry'!U$8),'Council Entry'!U164))))-'Council Entry'!U$5)/('Council Entry'!U$6-'Council Entry'!U$5)),1))),"No data"))</f>
        <v/>
      </c>
      <c r="V164" s="13">
        <f>IF('Council Entry'!V164="","",IFERROR(MAX(0,MIN(10,ROUND(IF('Council Entry'!V$7="Decrease Risk",10-10*((IF('Council Entry'!V$4="Logarithm",LN(0.001+IF(AND(ISNUMBER('Council Entry'!V$8),ISNUMBER('Council Entry'!V$9)),MAX(MIN('Council Entry'!V164,'Council Entry'!V$9),'Council Entry'!V$8),'Council Entry'!V164)),IF('Council Entry'!V$4="Exponential",EXP(IF(AND(ISNUMBER('Council Entry'!V$8),ISNUMBER('Council Entry'!V$9)),MAX(MIN('Council Entry'!V164,'Council Entry'!V$9),'Council Entry'!V$8),'Council Entry'!V164)),IF(AND(ISNUMBER('Council Entry'!V$8),ISNUMBER('Council Entry'!V$9)),MAX(MIN('Council Entry'!V164,'Council Entry'!V$9),'Council Entry'!V$8),'Council Entry'!V164))))-'Council Entry'!V$5)/('Council Entry'!V$6-'Council Entry'!V$5),10*((IF('Council Entry'!V$4="Logarithm",LN(0.001+IF(AND(ISNUMBER('Council Entry'!V$8),ISNUMBER('Council Entry'!V$9)),MAX(MIN('Council Entry'!V164,'Council Entry'!V$9),'Council Entry'!V$8),'Council Entry'!V164)),IF('Council Entry'!V$4="Exponential",EXP(IF(AND(ISNUMBER('Council Entry'!V$8),ISNUMBER('Council Entry'!V$9)),MAX(MIN('Council Entry'!V164,'Council Entry'!V$9),'Council Entry'!V$8),'Council Entry'!V164)),IF(AND(ISNUMBER('Council Entry'!V$8),ISNUMBER('Council Entry'!V$9)),MAX(MIN('Council Entry'!V164,'Council Entry'!V$9),'Council Entry'!V$8),'Council Entry'!V164))))-'Council Entry'!V$5)/('Council Entry'!V$6-'Council Entry'!V$5)),1))),"No data"))</f>
        <v/>
      </c>
      <c r="W164" s="13">
        <f>IF('Council Entry'!W164="","",IFERROR(MAX(0,MIN(10,ROUND(IF('Council Entry'!W$7="Decrease Risk",10-10*((IF('Council Entry'!W$4="Logarithm",LN(0.001+IF(AND(ISNUMBER('Council Entry'!W$8),ISNUMBER('Council Entry'!W$9)),MAX(MIN('Council Entry'!W164,'Council Entry'!W$9),'Council Entry'!W$8),'Council Entry'!W164)),IF('Council Entry'!W$4="Exponential",EXP(IF(AND(ISNUMBER('Council Entry'!W$8),ISNUMBER('Council Entry'!W$9)),MAX(MIN('Council Entry'!W164,'Council Entry'!W$9),'Council Entry'!W$8),'Council Entry'!W164)),IF(AND(ISNUMBER('Council Entry'!W$8),ISNUMBER('Council Entry'!W$9)),MAX(MIN('Council Entry'!W164,'Council Entry'!W$9),'Council Entry'!W$8),'Council Entry'!W164))))-'Council Entry'!W$5)/('Council Entry'!W$6-'Council Entry'!W$5),10*((IF('Council Entry'!W$4="Logarithm",LN(0.001+IF(AND(ISNUMBER('Council Entry'!W$8),ISNUMBER('Council Entry'!W$9)),MAX(MIN('Council Entry'!W164,'Council Entry'!W$9),'Council Entry'!W$8),'Council Entry'!W164)),IF('Council Entry'!W$4="Exponential",EXP(IF(AND(ISNUMBER('Council Entry'!W$8),ISNUMBER('Council Entry'!W$9)),MAX(MIN('Council Entry'!W164,'Council Entry'!W$9),'Council Entry'!W$8),'Council Entry'!W164)),IF(AND(ISNUMBER('Council Entry'!W$8),ISNUMBER('Council Entry'!W$9)),MAX(MIN('Council Entry'!W164,'Council Entry'!W$9),'Council Entry'!W$8),'Council Entry'!W164))))-'Council Entry'!W$5)/('Council Entry'!W$6-'Council Entry'!W$5)),1))),"No data"))</f>
        <v/>
      </c>
      <c r="X164" s="13">
        <f>IF('Council Entry'!X164="","",IFERROR(MAX(0,MIN(10,ROUND(IF('Council Entry'!X$7="Decrease Risk",10-10*((IF('Council Entry'!X$4="Logarithm",LN(0.001+IF(AND(ISNUMBER('Council Entry'!X$8),ISNUMBER('Council Entry'!X$9)),MAX(MIN('Council Entry'!X164,'Council Entry'!X$9),'Council Entry'!X$8),'Council Entry'!X164)),IF('Council Entry'!X$4="Exponential",EXP(IF(AND(ISNUMBER('Council Entry'!X$8),ISNUMBER('Council Entry'!X$9)),MAX(MIN('Council Entry'!X164,'Council Entry'!X$9),'Council Entry'!X$8),'Council Entry'!X164)),IF(AND(ISNUMBER('Council Entry'!X$8),ISNUMBER('Council Entry'!X$9)),MAX(MIN('Council Entry'!X164,'Council Entry'!X$9),'Council Entry'!X$8),'Council Entry'!X164))))-'Council Entry'!X$5)/('Council Entry'!X$6-'Council Entry'!X$5),10*((IF('Council Entry'!X$4="Logarithm",LN(0.001+IF(AND(ISNUMBER('Council Entry'!X$8),ISNUMBER('Council Entry'!X$9)),MAX(MIN('Council Entry'!X164,'Council Entry'!X$9),'Council Entry'!X$8),'Council Entry'!X164)),IF('Council Entry'!X$4="Exponential",EXP(IF(AND(ISNUMBER('Council Entry'!X$8),ISNUMBER('Council Entry'!X$9)),MAX(MIN('Council Entry'!X164,'Council Entry'!X$9),'Council Entry'!X$8),'Council Entry'!X164)),IF(AND(ISNUMBER('Council Entry'!X$8),ISNUMBER('Council Entry'!X$9)),MAX(MIN('Council Entry'!X164,'Council Entry'!X$9),'Council Entry'!X$8),'Council Entry'!X164))))-'Council Entry'!X$5)/('Council Entry'!X$6-'Council Entry'!X$5)),1))),"No data"))</f>
        <v/>
      </c>
      <c r="Y164" s="13">
        <f>IF('Council Entry'!Y164="","",IFERROR(MAX(0,MIN(10,ROUND(IF('Council Entry'!Y$7="Decrease Risk",10-10*((IF('Council Entry'!Y$4="Logarithm",LN(0.001+IF(AND(ISNUMBER('Council Entry'!Y$8),ISNUMBER('Council Entry'!Y$9)),MAX(MIN('Council Entry'!Y164,'Council Entry'!Y$9),'Council Entry'!Y$8),'Council Entry'!Y164)),IF('Council Entry'!Y$4="Exponential",EXP(IF(AND(ISNUMBER('Council Entry'!Y$8),ISNUMBER('Council Entry'!Y$9)),MAX(MIN('Council Entry'!Y164,'Council Entry'!Y$9),'Council Entry'!Y$8),'Council Entry'!Y164)),IF(AND(ISNUMBER('Council Entry'!Y$8),ISNUMBER('Council Entry'!Y$9)),MAX(MIN('Council Entry'!Y164,'Council Entry'!Y$9),'Council Entry'!Y$8),'Council Entry'!Y164))))-'Council Entry'!Y$5)/('Council Entry'!Y$6-'Council Entry'!Y$5),10*((IF('Council Entry'!Y$4="Logarithm",LN(0.001+IF(AND(ISNUMBER('Council Entry'!Y$8),ISNUMBER('Council Entry'!Y$9)),MAX(MIN('Council Entry'!Y164,'Council Entry'!Y$9),'Council Entry'!Y$8),'Council Entry'!Y164)),IF('Council Entry'!Y$4="Exponential",EXP(IF(AND(ISNUMBER('Council Entry'!Y$8),ISNUMBER('Council Entry'!Y$9)),MAX(MIN('Council Entry'!Y164,'Council Entry'!Y$9),'Council Entry'!Y$8),'Council Entry'!Y164)),IF(AND(ISNUMBER('Council Entry'!Y$8),ISNUMBER('Council Entry'!Y$9)),MAX(MIN('Council Entry'!Y164,'Council Entry'!Y$9),'Council Entry'!Y$8),'Council Entry'!Y164))))-'Council Entry'!Y$5)/('Council Entry'!Y$6-'Council Entry'!Y$5)),1))),"No data"))</f>
        <v/>
      </c>
      <c r="Z164" s="13">
        <f>IF('Council Entry'!Z164="","",IFERROR(MAX(0,MIN(10,ROUND(IF('Council Entry'!Z$7="Decrease Risk",10-10*((IF('Council Entry'!Z$4="Logarithm",LN(0.001+IF(AND(ISNUMBER('Council Entry'!Z$8),ISNUMBER('Council Entry'!Z$9)),MAX(MIN('Council Entry'!Z164,'Council Entry'!Z$9),'Council Entry'!Z$8),'Council Entry'!Z164)),IF('Council Entry'!Z$4="Exponential",EXP(IF(AND(ISNUMBER('Council Entry'!Z$8),ISNUMBER('Council Entry'!Z$9)),MAX(MIN('Council Entry'!Z164,'Council Entry'!Z$9),'Council Entry'!Z$8),'Council Entry'!Z164)),IF(AND(ISNUMBER('Council Entry'!Z$8),ISNUMBER('Council Entry'!Z$9)),MAX(MIN('Council Entry'!Z164,'Council Entry'!Z$9),'Council Entry'!Z$8),'Council Entry'!Z164))))-'Council Entry'!Z$5)/('Council Entry'!Z$6-'Council Entry'!Z$5),10*((IF('Council Entry'!Z$4="Logarithm",LN(0.001+IF(AND(ISNUMBER('Council Entry'!Z$8),ISNUMBER('Council Entry'!Z$9)),MAX(MIN('Council Entry'!Z164,'Council Entry'!Z$9),'Council Entry'!Z$8),'Council Entry'!Z164)),IF('Council Entry'!Z$4="Exponential",EXP(IF(AND(ISNUMBER('Council Entry'!Z$8),ISNUMBER('Council Entry'!Z$9)),MAX(MIN('Council Entry'!Z164,'Council Entry'!Z$9),'Council Entry'!Z$8),'Council Entry'!Z164)),IF(AND(ISNUMBER('Council Entry'!Z$8),ISNUMBER('Council Entry'!Z$9)),MAX(MIN('Council Entry'!Z164,'Council Entry'!Z$9),'Council Entry'!Z$8),'Council Entry'!Z164))))-'Council Entry'!Z$5)/('Council Entry'!Z$6-'Council Entry'!Z$5)),1))),"No data"))</f>
        <v/>
      </c>
      <c r="AA164" s="13">
        <f>IF('Council Entry'!AA164="","",IFERROR(MAX(0,MIN(10,ROUND(IF('Council Entry'!AA$7="Decrease Risk",10-10*((IF('Council Entry'!AA$4="Logarithm",LN(0.001+IF(AND(ISNUMBER('Council Entry'!AA$8),ISNUMBER('Council Entry'!AA$9)),MAX(MIN('Council Entry'!AA164,'Council Entry'!AA$9),'Council Entry'!AA$8),'Council Entry'!AA164)),IF('Council Entry'!AA$4="Exponential",EXP(IF(AND(ISNUMBER('Council Entry'!AA$8),ISNUMBER('Council Entry'!AA$9)),MAX(MIN('Council Entry'!AA164,'Council Entry'!AA$9),'Council Entry'!AA$8),'Council Entry'!AA164)),IF(AND(ISNUMBER('Council Entry'!AA$8),ISNUMBER('Council Entry'!AA$9)),MAX(MIN('Council Entry'!AA164,'Council Entry'!AA$9),'Council Entry'!AA$8),'Council Entry'!AA164))))-'Council Entry'!AA$5)/('Council Entry'!AA$6-'Council Entry'!AA$5),10*((IF('Council Entry'!AA$4="Logarithm",LN(0.001+IF(AND(ISNUMBER('Council Entry'!AA$8),ISNUMBER('Council Entry'!AA$9)),MAX(MIN('Council Entry'!AA164,'Council Entry'!AA$9),'Council Entry'!AA$8),'Council Entry'!AA164)),IF('Council Entry'!AA$4="Exponential",EXP(IF(AND(ISNUMBER('Council Entry'!AA$8),ISNUMBER('Council Entry'!AA$9)),MAX(MIN('Council Entry'!AA164,'Council Entry'!AA$9),'Council Entry'!AA$8),'Council Entry'!AA164)),IF(AND(ISNUMBER('Council Entry'!AA$8),ISNUMBER('Council Entry'!AA$9)),MAX(MIN('Council Entry'!AA164,'Council Entry'!AA$9),'Council Entry'!AA$8),'Council Entry'!AA164))))-'Council Entry'!AA$5)/('Council Entry'!AA$6-'Council Entry'!AA$5)),1))),"No data"))</f>
        <v/>
      </c>
      <c r="AB164" s="13">
        <f>IF('Council Entry'!AB164="","",IFERROR(MAX(0,MIN(10,ROUND(IF('Council Entry'!AB$7="Decrease Risk",10-10*((IF('Council Entry'!AB$4="Logarithm",LN(0.001+IF(AND(ISNUMBER('Council Entry'!AB$8),ISNUMBER('Council Entry'!AB$9)),MAX(MIN('Council Entry'!AB164,'Council Entry'!AB$9),'Council Entry'!AB$8),'Council Entry'!AB164)),IF('Council Entry'!AB$4="Exponential",EXP(IF(AND(ISNUMBER('Council Entry'!AB$8),ISNUMBER('Council Entry'!AB$9)),MAX(MIN('Council Entry'!AB164,'Council Entry'!AB$9),'Council Entry'!AB$8),'Council Entry'!AB164)),IF(AND(ISNUMBER('Council Entry'!AB$8),ISNUMBER('Council Entry'!AB$9)),MAX(MIN('Council Entry'!AB164,'Council Entry'!AB$9),'Council Entry'!AB$8),'Council Entry'!AB164))))-'Council Entry'!AB$5)/('Council Entry'!AB$6-'Council Entry'!AB$5),10*((IF('Council Entry'!AB$4="Logarithm",LN(0.001+IF(AND(ISNUMBER('Council Entry'!AB$8),ISNUMBER('Council Entry'!AB$9)),MAX(MIN('Council Entry'!AB164,'Council Entry'!AB$9),'Council Entry'!AB$8),'Council Entry'!AB164)),IF('Council Entry'!AB$4="Exponential",EXP(IF(AND(ISNUMBER('Council Entry'!AB$8),ISNUMBER('Council Entry'!AB$9)),MAX(MIN('Council Entry'!AB164,'Council Entry'!AB$9),'Council Entry'!AB$8),'Council Entry'!AB164)),IF(AND(ISNUMBER('Council Entry'!AB$8),ISNUMBER('Council Entry'!AB$9)),MAX(MIN('Council Entry'!AB164,'Council Entry'!AB$9),'Council Entry'!AB$8),'Council Entry'!AB164))))-'Council Entry'!AB$5)/('Council Entry'!AB$6-'Council Entry'!AB$5)),1))),"No data"))</f>
        <v/>
      </c>
      <c r="AC164" s="13">
        <f>IF('Council Entry'!AC164="","",IFERROR(MAX(0,MIN(10,ROUND(IF('Council Entry'!AC$7="Decrease Risk",10-10*((IF('Council Entry'!AC$4="Logarithm",LN(0.001+IF(AND(ISNUMBER('Council Entry'!AC$8),ISNUMBER('Council Entry'!AC$9)),MAX(MIN('Council Entry'!AC164,'Council Entry'!AC$9),'Council Entry'!AC$8),'Council Entry'!AC164)),IF('Council Entry'!AC$4="Exponential",EXP(IF(AND(ISNUMBER('Council Entry'!AC$8),ISNUMBER('Council Entry'!AC$9)),MAX(MIN('Council Entry'!AC164,'Council Entry'!AC$9),'Council Entry'!AC$8),'Council Entry'!AC164)),IF(AND(ISNUMBER('Council Entry'!AC$8),ISNUMBER('Council Entry'!AC$9)),MAX(MIN('Council Entry'!AC164,'Council Entry'!AC$9),'Council Entry'!AC$8),'Council Entry'!AC164))))-'Council Entry'!AC$5)/('Council Entry'!AC$6-'Council Entry'!AC$5),10*((IF('Council Entry'!AC$4="Logarithm",LN(0.001+IF(AND(ISNUMBER('Council Entry'!AC$8),ISNUMBER('Council Entry'!AC$9)),MAX(MIN('Council Entry'!AC164,'Council Entry'!AC$9),'Council Entry'!AC$8),'Council Entry'!AC164)),IF('Council Entry'!AC$4="Exponential",EXP(IF(AND(ISNUMBER('Council Entry'!AC$8),ISNUMBER('Council Entry'!AC$9)),MAX(MIN('Council Entry'!AC164,'Council Entry'!AC$9),'Council Entry'!AC$8),'Council Entry'!AC164)),IF(AND(ISNUMBER('Council Entry'!AC$8),ISNUMBER('Council Entry'!AC$9)),MAX(MIN('Council Entry'!AC164,'Council Entry'!AC$9),'Council Entry'!AC$8),'Council Entry'!AC164))))-'Council Entry'!AC$5)/('Council Entry'!AC$6-'Council Entry'!AC$5)),1))),"No data"))</f>
        <v/>
      </c>
      <c r="AD164" s="13">
        <f>IF('Council Entry'!AD164="","",IFERROR(MAX(0,MIN(10,ROUND(IF('Council Entry'!AD$7="Decrease Risk",10-10*((IF('Council Entry'!AD$4="Logarithm",LN(0.001+IF(AND(ISNUMBER('Council Entry'!AD$8),ISNUMBER('Council Entry'!AD$9)),MAX(MIN('Council Entry'!AD164,'Council Entry'!AD$9),'Council Entry'!AD$8),'Council Entry'!AD164)),IF('Council Entry'!AD$4="Exponential",EXP(IF(AND(ISNUMBER('Council Entry'!AD$8),ISNUMBER('Council Entry'!AD$9)),MAX(MIN('Council Entry'!AD164,'Council Entry'!AD$9),'Council Entry'!AD$8),'Council Entry'!AD164)),IF(AND(ISNUMBER('Council Entry'!AD$8),ISNUMBER('Council Entry'!AD$9)),MAX(MIN('Council Entry'!AD164,'Council Entry'!AD$9),'Council Entry'!AD$8),'Council Entry'!AD164))))-'Council Entry'!AD$5)/('Council Entry'!AD$6-'Council Entry'!AD$5),10*((IF('Council Entry'!AD$4="Logarithm",LN(0.001+IF(AND(ISNUMBER('Council Entry'!AD$8),ISNUMBER('Council Entry'!AD$9)),MAX(MIN('Council Entry'!AD164,'Council Entry'!AD$9),'Council Entry'!AD$8),'Council Entry'!AD164)),IF('Council Entry'!AD$4="Exponential",EXP(IF(AND(ISNUMBER('Council Entry'!AD$8),ISNUMBER('Council Entry'!AD$9)),MAX(MIN('Council Entry'!AD164,'Council Entry'!AD$9),'Council Entry'!AD$8),'Council Entry'!AD164)),IF(AND(ISNUMBER('Council Entry'!AD$8),ISNUMBER('Council Entry'!AD$9)),MAX(MIN('Council Entry'!AD164,'Council Entry'!AD$9),'Council Entry'!AD$8),'Council Entry'!AD164))))-'Council Entry'!AD$5)/('Council Entry'!AD$6-'Council Entry'!AD$5)),1))),"No data"))</f>
        <v/>
      </c>
      <c r="AE164" s="13">
        <f>IF('Council Entry'!AE164="","",IFERROR(MAX(0,MIN(10,ROUND(IF('Council Entry'!AE$7="Decrease Risk",10-10*((IF('Council Entry'!AE$4="Logarithm",LN(0.001+IF(AND(ISNUMBER('Council Entry'!AE$8),ISNUMBER('Council Entry'!AE$9)),MAX(MIN('Council Entry'!AE164,'Council Entry'!AE$9),'Council Entry'!AE$8),'Council Entry'!AE164)),IF('Council Entry'!AE$4="Exponential",EXP(IF(AND(ISNUMBER('Council Entry'!AE$8),ISNUMBER('Council Entry'!AE$9)),MAX(MIN('Council Entry'!AE164,'Council Entry'!AE$9),'Council Entry'!AE$8),'Council Entry'!AE164)),IF(AND(ISNUMBER('Council Entry'!AE$8),ISNUMBER('Council Entry'!AE$9)),MAX(MIN('Council Entry'!AE164,'Council Entry'!AE$9),'Council Entry'!AE$8),'Council Entry'!AE164))))-'Council Entry'!AE$5)/('Council Entry'!AE$6-'Council Entry'!AE$5),10*((IF('Council Entry'!AE$4="Logarithm",LN(0.001+IF(AND(ISNUMBER('Council Entry'!AE$8),ISNUMBER('Council Entry'!AE$9)),MAX(MIN('Council Entry'!AE164,'Council Entry'!AE$9),'Council Entry'!AE$8),'Council Entry'!AE164)),IF('Council Entry'!AE$4="Exponential",EXP(IF(AND(ISNUMBER('Council Entry'!AE$8),ISNUMBER('Council Entry'!AE$9)),MAX(MIN('Council Entry'!AE164,'Council Entry'!AE$9),'Council Entry'!AE$8),'Council Entry'!AE164)),IF(AND(ISNUMBER('Council Entry'!AE$8),ISNUMBER('Council Entry'!AE$9)),MAX(MIN('Council Entry'!AE164,'Council Entry'!AE$9),'Council Entry'!AE$8),'Council Entry'!AE164))))-'Council Entry'!AE$5)/('Council Entry'!AE$6-'Council Entry'!AE$5)),1))),"No data"))</f>
        <v/>
      </c>
      <c r="AF164" s="13">
        <f>IF('Council Entry'!AF164="","",IFERROR(MAX(0,MIN(10,ROUND(IF('Council Entry'!AF$7="Decrease Risk",10-10*((IF('Council Entry'!AF$4="Logarithm",LN(0.001+IF(AND(ISNUMBER('Council Entry'!AF$8),ISNUMBER('Council Entry'!AF$9)),MAX(MIN('Council Entry'!AF164,'Council Entry'!AF$9),'Council Entry'!AF$8),'Council Entry'!AF164)),IF('Council Entry'!AF$4="Exponential",EXP(IF(AND(ISNUMBER('Council Entry'!AF$8),ISNUMBER('Council Entry'!AF$9)),MAX(MIN('Council Entry'!AF164,'Council Entry'!AF$9),'Council Entry'!AF$8),'Council Entry'!AF164)),IF(AND(ISNUMBER('Council Entry'!AF$8),ISNUMBER('Council Entry'!AF$9)),MAX(MIN('Council Entry'!AF164,'Council Entry'!AF$9),'Council Entry'!AF$8),'Council Entry'!AF164))))-'Council Entry'!AF$5)/('Council Entry'!AF$6-'Council Entry'!AF$5),10*((IF('Council Entry'!AF$4="Logarithm",LN(0.001+IF(AND(ISNUMBER('Council Entry'!AF$8),ISNUMBER('Council Entry'!AF$9)),MAX(MIN('Council Entry'!AF164,'Council Entry'!AF$9),'Council Entry'!AF$8),'Council Entry'!AF164)),IF('Council Entry'!AF$4="Exponential",EXP(IF(AND(ISNUMBER('Council Entry'!AF$8),ISNUMBER('Council Entry'!AF$9)),MAX(MIN('Council Entry'!AF164,'Council Entry'!AF$9),'Council Entry'!AF$8),'Council Entry'!AF164)),IF(AND(ISNUMBER('Council Entry'!AF$8),ISNUMBER('Council Entry'!AF$9)),MAX(MIN('Council Entry'!AF164,'Council Entry'!AF$9),'Council Entry'!AF$8),'Council Entry'!AF164))))-'Council Entry'!AF$5)/('Council Entry'!AF$6-'Council Entry'!AF$5)),1))),"No data"))</f>
        <v/>
      </c>
      <c r="AG164" s="13">
        <f>IF('Council Entry'!AG164="","",IFERROR(MAX(0,MIN(10,ROUND(IF('Council Entry'!AG$7="Decrease Risk",10-10*((IF('Council Entry'!AG$4="Logarithm",LN(0.001+IF(AND(ISNUMBER('Council Entry'!AG$8),ISNUMBER('Council Entry'!AG$9)),MAX(MIN('Council Entry'!AG164,'Council Entry'!AG$9),'Council Entry'!AG$8),'Council Entry'!AG164)),IF('Council Entry'!AG$4="Exponential",EXP(IF(AND(ISNUMBER('Council Entry'!AG$8),ISNUMBER('Council Entry'!AG$9)),MAX(MIN('Council Entry'!AG164,'Council Entry'!AG$9),'Council Entry'!AG$8),'Council Entry'!AG164)),IF(AND(ISNUMBER('Council Entry'!AG$8),ISNUMBER('Council Entry'!AG$9)),MAX(MIN('Council Entry'!AG164,'Council Entry'!AG$9),'Council Entry'!AG$8),'Council Entry'!AG164))))-'Council Entry'!AG$5)/('Council Entry'!AG$6-'Council Entry'!AG$5),10*((IF('Council Entry'!AG$4="Logarithm",LN(0.001+IF(AND(ISNUMBER('Council Entry'!AG$8),ISNUMBER('Council Entry'!AG$9)),MAX(MIN('Council Entry'!AG164,'Council Entry'!AG$9),'Council Entry'!AG$8),'Council Entry'!AG164)),IF('Council Entry'!AG$4="Exponential",EXP(IF(AND(ISNUMBER('Council Entry'!AG$8),ISNUMBER('Council Entry'!AG$9)),MAX(MIN('Council Entry'!AG164,'Council Entry'!AG$9),'Council Entry'!AG$8),'Council Entry'!AG164)),IF(AND(ISNUMBER('Council Entry'!AG$8),ISNUMBER('Council Entry'!AG$9)),MAX(MIN('Council Entry'!AG164,'Council Entry'!AG$9),'Council Entry'!AG$8),'Council Entry'!AG164))))-'Council Entry'!AG$5)/('Council Entry'!AG$6-'Council Entry'!AG$5)),1))),"No data"))</f>
        <v/>
      </c>
      <c r="AH164" s="13">
        <f>IF('Council Entry'!AH164="","",IFERROR(MAX(0,MIN(10,ROUND(IF('Council Entry'!AH$7="Decrease Risk",10-10*((IF('Council Entry'!AH$4="Logarithm",LN(0.001+IF(AND(ISNUMBER('Council Entry'!AH$8),ISNUMBER('Council Entry'!AH$9)),MAX(MIN('Council Entry'!AH164,'Council Entry'!AH$9),'Council Entry'!AH$8),'Council Entry'!AH164)),IF('Council Entry'!AH$4="Exponential",EXP(IF(AND(ISNUMBER('Council Entry'!AH$8),ISNUMBER('Council Entry'!AH$9)),MAX(MIN('Council Entry'!AH164,'Council Entry'!AH$9),'Council Entry'!AH$8),'Council Entry'!AH164)),IF(AND(ISNUMBER('Council Entry'!AH$8),ISNUMBER('Council Entry'!AH$9)),MAX(MIN('Council Entry'!AH164,'Council Entry'!AH$9),'Council Entry'!AH$8),'Council Entry'!AH164))))-'Council Entry'!AH$5)/('Council Entry'!AH$6-'Council Entry'!AH$5),10*((IF('Council Entry'!AH$4="Logarithm",LN(0.001+IF(AND(ISNUMBER('Council Entry'!AH$8),ISNUMBER('Council Entry'!AH$9)),MAX(MIN('Council Entry'!AH164,'Council Entry'!AH$9),'Council Entry'!AH$8),'Council Entry'!AH164)),IF('Council Entry'!AH$4="Exponential",EXP(IF(AND(ISNUMBER('Council Entry'!AH$8),ISNUMBER('Council Entry'!AH$9)),MAX(MIN('Council Entry'!AH164,'Council Entry'!AH$9),'Council Entry'!AH$8),'Council Entry'!AH164)),IF(AND(ISNUMBER('Council Entry'!AH$8),ISNUMBER('Council Entry'!AH$9)),MAX(MIN('Council Entry'!AH164,'Council Entry'!AH$9),'Council Entry'!AH$8),'Council Entry'!AH164))))-'Council Entry'!AH$5)/('Council Entry'!AH$6-'Council Entry'!AH$5)),1))),"No data"))</f>
        <v/>
      </c>
      <c r="AI164" s="13">
        <f>IF('Council Entry'!AI164="","",IFERROR(MAX(0,MIN(10,ROUND(IF('Council Entry'!AI$7="Decrease Risk",10-10*((IF('Council Entry'!AI$4="Logarithm",LN(0.001+IF(AND(ISNUMBER('Council Entry'!AI$8),ISNUMBER('Council Entry'!AI$9)),MAX(MIN('Council Entry'!AI164,'Council Entry'!AI$9),'Council Entry'!AI$8),'Council Entry'!AI164)),IF('Council Entry'!AI$4="Exponential",EXP(IF(AND(ISNUMBER('Council Entry'!AI$8),ISNUMBER('Council Entry'!AI$9)),MAX(MIN('Council Entry'!AI164,'Council Entry'!AI$9),'Council Entry'!AI$8),'Council Entry'!AI164)),IF(AND(ISNUMBER('Council Entry'!AI$8),ISNUMBER('Council Entry'!AI$9)),MAX(MIN('Council Entry'!AI164,'Council Entry'!AI$9),'Council Entry'!AI$8),'Council Entry'!AI164))))-'Council Entry'!AI$5)/('Council Entry'!AI$6-'Council Entry'!AI$5),10*((IF('Council Entry'!AI$4="Logarithm",LN(0.001+IF(AND(ISNUMBER('Council Entry'!AI$8),ISNUMBER('Council Entry'!AI$9)),MAX(MIN('Council Entry'!AI164,'Council Entry'!AI$9),'Council Entry'!AI$8),'Council Entry'!AI164)),IF('Council Entry'!AI$4="Exponential",EXP(IF(AND(ISNUMBER('Council Entry'!AI$8),ISNUMBER('Council Entry'!AI$9)),MAX(MIN('Council Entry'!AI164,'Council Entry'!AI$9),'Council Entry'!AI$8),'Council Entry'!AI164)),IF(AND(ISNUMBER('Council Entry'!AI$8),ISNUMBER('Council Entry'!AI$9)),MAX(MIN('Council Entry'!AI164,'Council Entry'!AI$9),'Council Entry'!AI$8),'Council Entry'!AI164))))-'Council Entry'!AI$5)/('Council Entry'!AI$6-'Council Entry'!AI$5)),1))),"No data"))</f>
        <v/>
      </c>
      <c r="AJ164" s="13">
        <f>IF('Council Entry'!AJ164="","",IFERROR(MAX(0,MIN(10,ROUND(IF('Council Entry'!AJ$7="Decrease Risk",10-10*((IF('Council Entry'!AJ$4="Logarithm",LN(0.001+IF(AND(ISNUMBER('Council Entry'!AJ$8),ISNUMBER('Council Entry'!AJ$9)),MAX(MIN('Council Entry'!AJ164,'Council Entry'!AJ$9),'Council Entry'!AJ$8),'Council Entry'!AJ164)),IF('Council Entry'!AJ$4="Exponential",EXP(IF(AND(ISNUMBER('Council Entry'!AJ$8),ISNUMBER('Council Entry'!AJ$9)),MAX(MIN('Council Entry'!AJ164,'Council Entry'!AJ$9),'Council Entry'!AJ$8),'Council Entry'!AJ164)),IF(AND(ISNUMBER('Council Entry'!AJ$8),ISNUMBER('Council Entry'!AJ$9)),MAX(MIN('Council Entry'!AJ164,'Council Entry'!AJ$9),'Council Entry'!AJ$8),'Council Entry'!AJ164))))-'Council Entry'!AJ$5)/('Council Entry'!AJ$6-'Council Entry'!AJ$5),10*((IF('Council Entry'!AJ$4="Logarithm",LN(0.001+IF(AND(ISNUMBER('Council Entry'!AJ$8),ISNUMBER('Council Entry'!AJ$9)),MAX(MIN('Council Entry'!AJ164,'Council Entry'!AJ$9),'Council Entry'!AJ$8),'Council Entry'!AJ164)),IF('Council Entry'!AJ$4="Exponential",EXP(IF(AND(ISNUMBER('Council Entry'!AJ$8),ISNUMBER('Council Entry'!AJ$9)),MAX(MIN('Council Entry'!AJ164,'Council Entry'!AJ$9),'Council Entry'!AJ$8),'Council Entry'!AJ164)),IF(AND(ISNUMBER('Council Entry'!AJ$8),ISNUMBER('Council Entry'!AJ$9)),MAX(MIN('Council Entry'!AJ164,'Council Entry'!AJ$9),'Council Entry'!AJ$8),'Council Entry'!AJ164))))-'Council Entry'!AJ$5)/('Council Entry'!AJ$6-'Council Entry'!AJ$5)),1))),"No data"))</f>
        <v/>
      </c>
      <c r="AK164" s="13">
        <f>IF('Council Entry'!AK164="","",IFERROR(MAX(0,MIN(10,ROUND(IF('Council Entry'!AK$7="Decrease Risk",10-10*((IF('Council Entry'!AK$4="Logarithm",LN(0.001+IF(AND(ISNUMBER('Council Entry'!AK$8),ISNUMBER('Council Entry'!AK$9)),MAX(MIN('Council Entry'!AK164,'Council Entry'!AK$9),'Council Entry'!AK$8),'Council Entry'!AK164)),IF('Council Entry'!AK$4="Exponential",EXP(IF(AND(ISNUMBER('Council Entry'!AK$8),ISNUMBER('Council Entry'!AK$9)),MAX(MIN('Council Entry'!AK164,'Council Entry'!AK$9),'Council Entry'!AK$8),'Council Entry'!AK164)),IF(AND(ISNUMBER('Council Entry'!AK$8),ISNUMBER('Council Entry'!AK$9)),MAX(MIN('Council Entry'!AK164,'Council Entry'!AK$9),'Council Entry'!AK$8),'Council Entry'!AK164))))-'Council Entry'!AK$5)/('Council Entry'!AK$6-'Council Entry'!AK$5),10*((IF('Council Entry'!AK$4="Logarithm",LN(0.001+IF(AND(ISNUMBER('Council Entry'!AK$8),ISNUMBER('Council Entry'!AK$9)),MAX(MIN('Council Entry'!AK164,'Council Entry'!AK$9),'Council Entry'!AK$8),'Council Entry'!AK164)),IF('Council Entry'!AK$4="Exponential",EXP(IF(AND(ISNUMBER('Council Entry'!AK$8),ISNUMBER('Council Entry'!AK$9)),MAX(MIN('Council Entry'!AK164,'Council Entry'!AK$9),'Council Entry'!AK$8),'Council Entry'!AK164)),IF(AND(ISNUMBER('Council Entry'!AK$8),ISNUMBER('Council Entry'!AK$9)),MAX(MIN('Council Entry'!AK164,'Council Entry'!AK$9),'Council Entry'!AK$8),'Council Entry'!AK164))))-'Council Entry'!AK$5)/('Council Entry'!AK$6-'Council Entry'!AK$5)),1))),"No data"))</f>
        <v/>
      </c>
      <c r="AL164" s="13">
        <f>IF('Council Entry'!AL164="","",IFERROR(MAX(0,MIN(10,ROUND(IF('Council Entry'!AL$7="Decrease Risk",10-10*((IF('Council Entry'!AL$4="Logarithm",LN(0.001+IF(AND(ISNUMBER('Council Entry'!AL$8),ISNUMBER('Council Entry'!AL$9)),MAX(MIN('Council Entry'!AL164,'Council Entry'!AL$9),'Council Entry'!AL$8),'Council Entry'!AL164)),IF('Council Entry'!AL$4="Exponential",EXP(IF(AND(ISNUMBER('Council Entry'!AL$8),ISNUMBER('Council Entry'!AL$9)),MAX(MIN('Council Entry'!AL164,'Council Entry'!AL$9),'Council Entry'!AL$8),'Council Entry'!AL164)),IF(AND(ISNUMBER('Council Entry'!AL$8),ISNUMBER('Council Entry'!AL$9)),MAX(MIN('Council Entry'!AL164,'Council Entry'!AL$9),'Council Entry'!AL$8),'Council Entry'!AL164))))-'Council Entry'!AL$5)/('Council Entry'!AL$6-'Council Entry'!AL$5),10*((IF('Council Entry'!AL$4="Logarithm",LN(0.001+IF(AND(ISNUMBER('Council Entry'!AL$8),ISNUMBER('Council Entry'!AL$9)),MAX(MIN('Council Entry'!AL164,'Council Entry'!AL$9),'Council Entry'!AL$8),'Council Entry'!AL164)),IF('Council Entry'!AL$4="Exponential",EXP(IF(AND(ISNUMBER('Council Entry'!AL$8),ISNUMBER('Council Entry'!AL$9)),MAX(MIN('Council Entry'!AL164,'Council Entry'!AL$9),'Council Entry'!AL$8),'Council Entry'!AL164)),IF(AND(ISNUMBER('Council Entry'!AL$8),ISNUMBER('Council Entry'!AL$9)),MAX(MIN('Council Entry'!AL164,'Council Entry'!AL$9),'Council Entry'!AL$8),'Council Entry'!AL164))))-'Council Entry'!AL$5)/('Council Entry'!AL$6-'Council Entry'!AL$5)),1))),"No data"))</f>
        <v/>
      </c>
      <c r="AM164" s="13">
        <f>IF('Council Entry'!AM164="","",IFERROR(MAX(0,MIN(10,ROUND(IF('Council Entry'!AM$7="Decrease Risk",10-10*((IF('Council Entry'!AM$4="Logarithm",LN(0.001+IF(AND(ISNUMBER('Council Entry'!AM$8),ISNUMBER('Council Entry'!AM$9)),MAX(MIN('Council Entry'!AM164,'Council Entry'!AM$9),'Council Entry'!AM$8),'Council Entry'!AM164)),IF('Council Entry'!AM$4="Exponential",EXP(IF(AND(ISNUMBER('Council Entry'!AM$8),ISNUMBER('Council Entry'!AM$9)),MAX(MIN('Council Entry'!AM164,'Council Entry'!AM$9),'Council Entry'!AM$8),'Council Entry'!AM164)),IF(AND(ISNUMBER('Council Entry'!AM$8),ISNUMBER('Council Entry'!AM$9)),MAX(MIN('Council Entry'!AM164,'Council Entry'!AM$9),'Council Entry'!AM$8),'Council Entry'!AM164))))-'Council Entry'!AM$5)/('Council Entry'!AM$6-'Council Entry'!AM$5),10*((IF('Council Entry'!AM$4="Logarithm",LN(0.001+IF(AND(ISNUMBER('Council Entry'!AM$8),ISNUMBER('Council Entry'!AM$9)),MAX(MIN('Council Entry'!AM164,'Council Entry'!AM$9),'Council Entry'!AM$8),'Council Entry'!AM164)),IF('Council Entry'!AM$4="Exponential",EXP(IF(AND(ISNUMBER('Council Entry'!AM$8),ISNUMBER('Council Entry'!AM$9)),MAX(MIN('Council Entry'!AM164,'Council Entry'!AM$9),'Council Entry'!AM$8),'Council Entry'!AM164)),IF(AND(ISNUMBER('Council Entry'!AM$8),ISNUMBER('Council Entry'!AM$9)),MAX(MIN('Council Entry'!AM164,'Council Entry'!AM$9),'Council Entry'!AM$8),'Council Entry'!AM164))))-'Council Entry'!AM$5)/('Council Entry'!AM$6-'Council Entry'!AM$5)),1))),"No data"))</f>
        <v/>
      </c>
      <c r="AN164" s="13">
        <f>IF('Council Entry'!AN164="","",IFERROR(MAX(0,MIN(10,ROUND(IF('Council Entry'!AN$7="Decrease Risk",10-10*((IF('Council Entry'!AN$4="Logarithm",LN(0.001+IF(AND(ISNUMBER('Council Entry'!AN$8),ISNUMBER('Council Entry'!AN$9)),MAX(MIN('Council Entry'!AN164,'Council Entry'!AN$9),'Council Entry'!AN$8),'Council Entry'!AN164)),IF('Council Entry'!AN$4="Exponential",EXP(IF(AND(ISNUMBER('Council Entry'!AN$8),ISNUMBER('Council Entry'!AN$9)),MAX(MIN('Council Entry'!AN164,'Council Entry'!AN$9),'Council Entry'!AN$8),'Council Entry'!AN164)),IF(AND(ISNUMBER('Council Entry'!AN$8),ISNUMBER('Council Entry'!AN$9)),MAX(MIN('Council Entry'!AN164,'Council Entry'!AN$9),'Council Entry'!AN$8),'Council Entry'!AN164))))-'Council Entry'!AN$5)/('Council Entry'!AN$6-'Council Entry'!AN$5),10*((IF('Council Entry'!AN$4="Logarithm",LN(0.001+IF(AND(ISNUMBER('Council Entry'!AN$8),ISNUMBER('Council Entry'!AN$9)),MAX(MIN('Council Entry'!AN164,'Council Entry'!AN$9),'Council Entry'!AN$8),'Council Entry'!AN164)),IF('Council Entry'!AN$4="Exponential",EXP(IF(AND(ISNUMBER('Council Entry'!AN$8),ISNUMBER('Council Entry'!AN$9)),MAX(MIN('Council Entry'!AN164,'Council Entry'!AN$9),'Council Entry'!AN$8),'Council Entry'!AN164)),IF(AND(ISNUMBER('Council Entry'!AN$8),ISNUMBER('Council Entry'!AN$9)),MAX(MIN('Council Entry'!AN164,'Council Entry'!AN$9),'Council Entry'!AN$8),'Council Entry'!AN164))))-'Council Entry'!AN$5)/('Council Entry'!AN$6-'Council Entry'!AN$5)),1))),"No data"))</f>
        <v/>
      </c>
      <c r="AO164" s="13">
        <f>IF('Council Entry'!AO164="","",IFERROR(MAX(0,MIN(10,ROUND(IF('Council Entry'!AO$7="Decrease Risk",10-10*((IF('Council Entry'!AO$4="Logarithm",LN(0.001+IF(AND(ISNUMBER('Council Entry'!AO$8),ISNUMBER('Council Entry'!AO$9)),MAX(MIN('Council Entry'!AO164,'Council Entry'!AO$9),'Council Entry'!AO$8),'Council Entry'!AO164)),IF('Council Entry'!AO$4="Exponential",EXP(IF(AND(ISNUMBER('Council Entry'!AO$8),ISNUMBER('Council Entry'!AO$9)),MAX(MIN('Council Entry'!AO164,'Council Entry'!AO$9),'Council Entry'!AO$8),'Council Entry'!AO164)),IF(AND(ISNUMBER('Council Entry'!AO$8),ISNUMBER('Council Entry'!AO$9)),MAX(MIN('Council Entry'!AO164,'Council Entry'!AO$9),'Council Entry'!AO$8),'Council Entry'!AO164))))-'Council Entry'!AO$5)/('Council Entry'!AO$6-'Council Entry'!AO$5),10*((IF('Council Entry'!AO$4="Logarithm",LN(0.001+IF(AND(ISNUMBER('Council Entry'!AO$8),ISNUMBER('Council Entry'!AO$9)),MAX(MIN('Council Entry'!AO164,'Council Entry'!AO$9),'Council Entry'!AO$8),'Council Entry'!AO164)),IF('Council Entry'!AO$4="Exponential",EXP(IF(AND(ISNUMBER('Council Entry'!AO$8),ISNUMBER('Council Entry'!AO$9)),MAX(MIN('Council Entry'!AO164,'Council Entry'!AO$9),'Council Entry'!AO$8),'Council Entry'!AO164)),IF(AND(ISNUMBER('Council Entry'!AO$8),ISNUMBER('Council Entry'!AO$9)),MAX(MIN('Council Entry'!AO164,'Council Entry'!AO$9),'Council Entry'!AO$8),'Council Entry'!AO164))))-'Council Entry'!AO$5)/('Council Entry'!AO$6-'Council Entry'!AO$5)),1))),"No data"))</f>
        <v/>
      </c>
      <c r="AP164" s="13">
        <f>IF('Council Entry'!AP164="","",IFERROR(MAX(0,MIN(10,ROUND(IF('Council Entry'!AP$7="Decrease Risk",10-10*((IF('Council Entry'!AP$4="Logarithm",LN(0.001+IF(AND(ISNUMBER('Council Entry'!AP$8),ISNUMBER('Council Entry'!AP$9)),MAX(MIN('Council Entry'!AP164,'Council Entry'!AP$9),'Council Entry'!AP$8),'Council Entry'!AP164)),IF('Council Entry'!AP$4="Exponential",EXP(IF(AND(ISNUMBER('Council Entry'!AP$8),ISNUMBER('Council Entry'!AP$9)),MAX(MIN('Council Entry'!AP164,'Council Entry'!AP$9),'Council Entry'!AP$8),'Council Entry'!AP164)),IF(AND(ISNUMBER('Council Entry'!AP$8),ISNUMBER('Council Entry'!AP$9)),MAX(MIN('Council Entry'!AP164,'Council Entry'!AP$9),'Council Entry'!AP$8),'Council Entry'!AP164))))-'Council Entry'!AP$5)/('Council Entry'!AP$6-'Council Entry'!AP$5),10*((IF('Council Entry'!AP$4="Logarithm",LN(0.001+IF(AND(ISNUMBER('Council Entry'!AP$8),ISNUMBER('Council Entry'!AP$9)),MAX(MIN('Council Entry'!AP164,'Council Entry'!AP$9),'Council Entry'!AP$8),'Council Entry'!AP164)),IF('Council Entry'!AP$4="Exponential",EXP(IF(AND(ISNUMBER('Council Entry'!AP$8),ISNUMBER('Council Entry'!AP$9)),MAX(MIN('Council Entry'!AP164,'Council Entry'!AP$9),'Council Entry'!AP$8),'Council Entry'!AP164)),IF(AND(ISNUMBER('Council Entry'!AP$8),ISNUMBER('Council Entry'!AP$9)),MAX(MIN('Council Entry'!AP164,'Council Entry'!AP$9),'Council Entry'!AP$8),'Council Entry'!AP164))))-'Council Entry'!AP$5)/('Council Entry'!AP$6-'Council Entry'!AP$5)),1))),"No data"))</f>
        <v/>
      </c>
      <c r="AQ164" s="13">
        <f>IF('Council Entry'!AQ164="","",IFERROR(MAX(0,MIN(10,ROUND(IF('Council Entry'!AQ$7="Decrease Risk",10-10*((IF('Council Entry'!AQ$4="Logarithm",LN(0.001+IF(AND(ISNUMBER('Council Entry'!AQ$8),ISNUMBER('Council Entry'!AQ$9)),MAX(MIN('Council Entry'!AQ164,'Council Entry'!AQ$9),'Council Entry'!AQ$8),'Council Entry'!AQ164)),IF('Council Entry'!AQ$4="Exponential",EXP(IF(AND(ISNUMBER('Council Entry'!AQ$8),ISNUMBER('Council Entry'!AQ$9)),MAX(MIN('Council Entry'!AQ164,'Council Entry'!AQ$9),'Council Entry'!AQ$8),'Council Entry'!AQ164)),IF(AND(ISNUMBER('Council Entry'!AQ$8),ISNUMBER('Council Entry'!AQ$9)),MAX(MIN('Council Entry'!AQ164,'Council Entry'!AQ$9),'Council Entry'!AQ$8),'Council Entry'!AQ164))))-'Council Entry'!AQ$5)/('Council Entry'!AQ$6-'Council Entry'!AQ$5),10*((IF('Council Entry'!AQ$4="Logarithm",LN(0.001+IF(AND(ISNUMBER('Council Entry'!AQ$8),ISNUMBER('Council Entry'!AQ$9)),MAX(MIN('Council Entry'!AQ164,'Council Entry'!AQ$9),'Council Entry'!AQ$8),'Council Entry'!AQ164)),IF('Council Entry'!AQ$4="Exponential",EXP(IF(AND(ISNUMBER('Council Entry'!AQ$8),ISNUMBER('Council Entry'!AQ$9)),MAX(MIN('Council Entry'!AQ164,'Council Entry'!AQ$9),'Council Entry'!AQ$8),'Council Entry'!AQ164)),IF(AND(ISNUMBER('Council Entry'!AQ$8),ISNUMBER('Council Entry'!AQ$9)),MAX(MIN('Council Entry'!AQ164,'Council Entry'!AQ$9),'Council Entry'!AQ$8),'Council Entry'!AQ164))))-'Council Entry'!AQ$5)/('Council Entry'!AQ$6-'Council Entry'!AQ$5)),1))),"No data"))</f>
        <v/>
      </c>
      <c r="AR164" s="13">
        <f>IF('Council Entry'!AR164="","",IFERROR(MAX(0,MIN(10,ROUND(IF('Council Entry'!AR$7="Decrease Risk",10-10*((IF('Council Entry'!AR$4="Logarithm",LN(0.001+IF(AND(ISNUMBER('Council Entry'!AR$8),ISNUMBER('Council Entry'!AR$9)),MAX(MIN('Council Entry'!AR164,'Council Entry'!AR$9),'Council Entry'!AR$8),'Council Entry'!AR164)),IF('Council Entry'!AR$4="Exponential",EXP(IF(AND(ISNUMBER('Council Entry'!AR$8),ISNUMBER('Council Entry'!AR$9)),MAX(MIN('Council Entry'!AR164,'Council Entry'!AR$9),'Council Entry'!AR$8),'Council Entry'!AR164)),IF(AND(ISNUMBER('Council Entry'!AR$8),ISNUMBER('Council Entry'!AR$9)),MAX(MIN('Council Entry'!AR164,'Council Entry'!AR$9),'Council Entry'!AR$8),'Council Entry'!AR164))))-'Council Entry'!AR$5)/('Council Entry'!AR$6-'Council Entry'!AR$5),10*((IF('Council Entry'!AR$4="Logarithm",LN(0.001+IF(AND(ISNUMBER('Council Entry'!AR$8),ISNUMBER('Council Entry'!AR$9)),MAX(MIN('Council Entry'!AR164,'Council Entry'!AR$9),'Council Entry'!AR$8),'Council Entry'!AR164)),IF('Council Entry'!AR$4="Exponential",EXP(IF(AND(ISNUMBER('Council Entry'!AR$8),ISNUMBER('Council Entry'!AR$9)),MAX(MIN('Council Entry'!AR164,'Council Entry'!AR$9),'Council Entry'!AR$8),'Council Entry'!AR164)),IF(AND(ISNUMBER('Council Entry'!AR$8),ISNUMBER('Council Entry'!AR$9)),MAX(MIN('Council Entry'!AR164,'Council Entry'!AR$9),'Council Entry'!AR$8),'Council Entry'!AR164))))-'Council Entry'!AR$5)/('Council Entry'!AR$6-'Council Entry'!AR$5)),1))),"No data"))</f>
        <v/>
      </c>
      <c r="AS164" s="13">
        <f>IF('Council Entry'!AS164="","",IFERROR(MAX(0,MIN(10,ROUND(IF('Council Entry'!AS$7="Decrease Risk",10-10*((IF('Council Entry'!AS$4="Logarithm",LN(0.001+IF(AND(ISNUMBER('Council Entry'!AS$8),ISNUMBER('Council Entry'!AS$9)),MAX(MIN('Council Entry'!AS164,'Council Entry'!AS$9),'Council Entry'!AS$8),'Council Entry'!AS164)),IF('Council Entry'!AS$4="Exponential",EXP(IF(AND(ISNUMBER('Council Entry'!AS$8),ISNUMBER('Council Entry'!AS$9)),MAX(MIN('Council Entry'!AS164,'Council Entry'!AS$9),'Council Entry'!AS$8),'Council Entry'!AS164)),IF(AND(ISNUMBER('Council Entry'!AS$8),ISNUMBER('Council Entry'!AS$9)),MAX(MIN('Council Entry'!AS164,'Council Entry'!AS$9),'Council Entry'!AS$8),'Council Entry'!AS164))))-'Council Entry'!AS$5)/('Council Entry'!AS$6-'Council Entry'!AS$5),10*((IF('Council Entry'!AS$4="Logarithm",LN(0.001+IF(AND(ISNUMBER('Council Entry'!AS$8),ISNUMBER('Council Entry'!AS$9)),MAX(MIN('Council Entry'!AS164,'Council Entry'!AS$9),'Council Entry'!AS$8),'Council Entry'!AS164)),IF('Council Entry'!AS$4="Exponential",EXP(IF(AND(ISNUMBER('Council Entry'!AS$8),ISNUMBER('Council Entry'!AS$9)),MAX(MIN('Council Entry'!AS164,'Council Entry'!AS$9),'Council Entry'!AS$8),'Council Entry'!AS164)),IF(AND(ISNUMBER('Council Entry'!AS$8),ISNUMBER('Council Entry'!AS$9)),MAX(MIN('Council Entry'!AS164,'Council Entry'!AS$9),'Council Entry'!AS$8),'Council Entry'!AS164))))-'Council Entry'!AS$5)/('Council Entry'!AS$6-'Council Entry'!AS$5)),1))),"No data"))</f>
        <v/>
      </c>
      <c r="AT164" s="13">
        <f>IF('Council Entry'!AT164="","",IFERROR(MAX(0,MIN(10,ROUND(IF('Council Entry'!AT$7="Decrease Risk",10-10*((IF('Council Entry'!AT$4="Logarithm",LN(0.001+IF(AND(ISNUMBER('Council Entry'!AT$8),ISNUMBER('Council Entry'!AT$9)),MAX(MIN('Council Entry'!AT164,'Council Entry'!AT$9),'Council Entry'!AT$8),'Council Entry'!AT164)),IF('Council Entry'!AT$4="Exponential",EXP(IF(AND(ISNUMBER('Council Entry'!AT$8),ISNUMBER('Council Entry'!AT$9)),MAX(MIN('Council Entry'!AT164,'Council Entry'!AT$9),'Council Entry'!AT$8),'Council Entry'!AT164)),IF(AND(ISNUMBER('Council Entry'!AT$8),ISNUMBER('Council Entry'!AT$9)),MAX(MIN('Council Entry'!AT164,'Council Entry'!AT$9),'Council Entry'!AT$8),'Council Entry'!AT164))))-'Council Entry'!AT$5)/('Council Entry'!AT$6-'Council Entry'!AT$5),10*((IF('Council Entry'!AT$4="Logarithm",LN(0.001+IF(AND(ISNUMBER('Council Entry'!AT$8),ISNUMBER('Council Entry'!AT$9)),MAX(MIN('Council Entry'!AT164,'Council Entry'!AT$9),'Council Entry'!AT$8),'Council Entry'!AT164)),IF('Council Entry'!AT$4="Exponential",EXP(IF(AND(ISNUMBER('Council Entry'!AT$8),ISNUMBER('Council Entry'!AT$9)),MAX(MIN('Council Entry'!AT164,'Council Entry'!AT$9),'Council Entry'!AT$8),'Council Entry'!AT164)),IF(AND(ISNUMBER('Council Entry'!AT$8),ISNUMBER('Council Entry'!AT$9)),MAX(MIN('Council Entry'!AT164,'Council Entry'!AT$9),'Council Entry'!AT$8),'Council Entry'!AT164))))-'Council Entry'!AT$5)/('Council Entry'!AT$6-'Council Entry'!AT$5)),1))),"No data"))</f>
        <v/>
      </c>
      <c r="AU164" s="13">
        <f>IF('Council Entry'!AU164="","",IFERROR(MAX(0,MIN(10,ROUND(IF('Council Entry'!AU$7="Decrease Risk",10-10*((IF('Council Entry'!AU$4="Logarithm",LN(0.001+IF(AND(ISNUMBER('Council Entry'!AU$8),ISNUMBER('Council Entry'!AU$9)),MAX(MIN('Council Entry'!AU164,'Council Entry'!AU$9),'Council Entry'!AU$8),'Council Entry'!AU164)),IF('Council Entry'!AU$4="Exponential",EXP(IF(AND(ISNUMBER('Council Entry'!AU$8),ISNUMBER('Council Entry'!AU$9)),MAX(MIN('Council Entry'!AU164,'Council Entry'!AU$9),'Council Entry'!AU$8),'Council Entry'!AU164)),IF(AND(ISNUMBER('Council Entry'!AU$8),ISNUMBER('Council Entry'!AU$9)),MAX(MIN('Council Entry'!AU164,'Council Entry'!AU$9),'Council Entry'!AU$8),'Council Entry'!AU164))))-'Council Entry'!AU$5)/('Council Entry'!AU$6-'Council Entry'!AU$5),10*((IF('Council Entry'!AU$4="Logarithm",LN(0.001+IF(AND(ISNUMBER('Council Entry'!AU$8),ISNUMBER('Council Entry'!AU$9)),MAX(MIN('Council Entry'!AU164,'Council Entry'!AU$9),'Council Entry'!AU$8),'Council Entry'!AU164)),IF('Council Entry'!AU$4="Exponential",EXP(IF(AND(ISNUMBER('Council Entry'!AU$8),ISNUMBER('Council Entry'!AU$9)),MAX(MIN('Council Entry'!AU164,'Council Entry'!AU$9),'Council Entry'!AU$8),'Council Entry'!AU164)),IF(AND(ISNUMBER('Council Entry'!AU$8),ISNUMBER('Council Entry'!AU$9)),MAX(MIN('Council Entry'!AU164,'Council Entry'!AU$9),'Council Entry'!AU$8),'Council Entry'!AU164))))-'Council Entry'!AU$5)/('Council Entry'!AU$6-'Council Entry'!AU$5)),1))),"No data"))</f>
        <v/>
      </c>
      <c r="AV164" s="13">
        <f>IF('Council Entry'!AV164="","",IFERROR(MAX(0,MIN(10,ROUND(IF('Council Entry'!AV$7="Decrease Risk",10-10*((IF('Council Entry'!AV$4="Logarithm",LN(0.001+IF(AND(ISNUMBER('Council Entry'!AV$8),ISNUMBER('Council Entry'!AV$9)),MAX(MIN('Council Entry'!AV164,'Council Entry'!AV$9),'Council Entry'!AV$8),'Council Entry'!AV164)),IF('Council Entry'!AV$4="Exponential",EXP(IF(AND(ISNUMBER('Council Entry'!AV$8),ISNUMBER('Council Entry'!AV$9)),MAX(MIN('Council Entry'!AV164,'Council Entry'!AV$9),'Council Entry'!AV$8),'Council Entry'!AV164)),IF(AND(ISNUMBER('Council Entry'!AV$8),ISNUMBER('Council Entry'!AV$9)),MAX(MIN('Council Entry'!AV164,'Council Entry'!AV$9),'Council Entry'!AV$8),'Council Entry'!AV164))))-'Council Entry'!AV$5)/('Council Entry'!AV$6-'Council Entry'!AV$5),10*((IF('Council Entry'!AV$4="Logarithm",LN(0.001+IF(AND(ISNUMBER('Council Entry'!AV$8),ISNUMBER('Council Entry'!AV$9)),MAX(MIN('Council Entry'!AV164,'Council Entry'!AV$9),'Council Entry'!AV$8),'Council Entry'!AV164)),IF('Council Entry'!AV$4="Exponential",EXP(IF(AND(ISNUMBER('Council Entry'!AV$8),ISNUMBER('Council Entry'!AV$9)),MAX(MIN('Council Entry'!AV164,'Council Entry'!AV$9),'Council Entry'!AV$8),'Council Entry'!AV164)),IF(AND(ISNUMBER('Council Entry'!AV$8),ISNUMBER('Council Entry'!AV$9)),MAX(MIN('Council Entry'!AV164,'Council Entry'!AV$9),'Council Entry'!AV$8),'Council Entry'!AV164))))-'Council Entry'!AV$5)/('Council Entry'!AV$6-'Council Entry'!AV$5)),1))),"No data"))</f>
        <v/>
      </c>
      <c r="AW164" s="13">
        <f>IF('Council Entry'!AW164="","",IFERROR(MAX(0,MIN(10,ROUND(IF('Council Entry'!AW$7="Decrease Risk",10-10*((IF('Council Entry'!AW$4="Logarithm",LN(0.001+IF(AND(ISNUMBER('Council Entry'!AW$8),ISNUMBER('Council Entry'!AW$9)),MAX(MIN('Council Entry'!AW164,'Council Entry'!AW$9),'Council Entry'!AW$8),'Council Entry'!AW164)),IF('Council Entry'!AW$4="Exponential",EXP(IF(AND(ISNUMBER('Council Entry'!AW$8),ISNUMBER('Council Entry'!AW$9)),MAX(MIN('Council Entry'!AW164,'Council Entry'!AW$9),'Council Entry'!AW$8),'Council Entry'!AW164)),IF(AND(ISNUMBER('Council Entry'!AW$8),ISNUMBER('Council Entry'!AW$9)),MAX(MIN('Council Entry'!AW164,'Council Entry'!AW$9),'Council Entry'!AW$8),'Council Entry'!AW164))))-'Council Entry'!AW$5)/('Council Entry'!AW$6-'Council Entry'!AW$5),10*((IF('Council Entry'!AW$4="Logarithm",LN(0.001+IF(AND(ISNUMBER('Council Entry'!AW$8),ISNUMBER('Council Entry'!AW$9)),MAX(MIN('Council Entry'!AW164,'Council Entry'!AW$9),'Council Entry'!AW$8),'Council Entry'!AW164)),IF('Council Entry'!AW$4="Exponential",EXP(IF(AND(ISNUMBER('Council Entry'!AW$8),ISNUMBER('Council Entry'!AW$9)),MAX(MIN('Council Entry'!AW164,'Council Entry'!AW$9),'Council Entry'!AW$8),'Council Entry'!AW164)),IF(AND(ISNUMBER('Council Entry'!AW$8),ISNUMBER('Council Entry'!AW$9)),MAX(MIN('Council Entry'!AW164,'Council Entry'!AW$9),'Council Entry'!AW$8),'Council Entry'!AW164))))-'Council Entry'!AW$5)/('Council Entry'!AW$6-'Council Entry'!AW$5)),1))),"No data"))</f>
        <v/>
      </c>
      <c r="AX164" s="13">
        <f>IF('Council Entry'!AX164="","",IFERROR(MAX(0,MIN(10,ROUND(IF('Council Entry'!AX$7="Decrease Risk",10-10*((IF('Council Entry'!AX$4="Logarithm",LN(0.001+IF(AND(ISNUMBER('Council Entry'!AX$8),ISNUMBER('Council Entry'!AX$9)),MAX(MIN('Council Entry'!AX164,'Council Entry'!AX$9),'Council Entry'!AX$8),'Council Entry'!AX164)),IF('Council Entry'!AX$4="Exponential",EXP(IF(AND(ISNUMBER('Council Entry'!AX$8),ISNUMBER('Council Entry'!AX$9)),MAX(MIN('Council Entry'!AX164,'Council Entry'!AX$9),'Council Entry'!AX$8),'Council Entry'!AX164)),IF(AND(ISNUMBER('Council Entry'!AX$8),ISNUMBER('Council Entry'!AX$9)),MAX(MIN('Council Entry'!AX164,'Council Entry'!AX$9),'Council Entry'!AX$8),'Council Entry'!AX164))))-'Council Entry'!AX$5)/('Council Entry'!AX$6-'Council Entry'!AX$5),10*((IF('Council Entry'!AX$4="Logarithm",LN(0.001+IF(AND(ISNUMBER('Council Entry'!AX$8),ISNUMBER('Council Entry'!AX$9)),MAX(MIN('Council Entry'!AX164,'Council Entry'!AX$9),'Council Entry'!AX$8),'Council Entry'!AX164)),IF('Council Entry'!AX$4="Exponential",EXP(IF(AND(ISNUMBER('Council Entry'!AX$8),ISNUMBER('Council Entry'!AX$9)),MAX(MIN('Council Entry'!AX164,'Council Entry'!AX$9),'Council Entry'!AX$8),'Council Entry'!AX164)),IF(AND(ISNUMBER('Council Entry'!AX$8),ISNUMBER('Council Entry'!AX$9)),MAX(MIN('Council Entry'!AX164,'Council Entry'!AX$9),'Council Entry'!AX$8),'Council Entry'!AX164))))-'Council Entry'!AX$5)/('Council Entry'!AX$6-'Council Entry'!AX$5)),1))),"No data"))</f>
        <v/>
      </c>
      <c r="AY164" s="13">
        <f>IF('Council Entry'!AY164="","",IFERROR(MAX(0,MIN(10,ROUND(IF('Council Entry'!AY$7="Decrease Risk",10-10*((IF('Council Entry'!AY$4="Logarithm",LN(0.001+IF(AND(ISNUMBER('Council Entry'!AY$8),ISNUMBER('Council Entry'!AY$9)),MAX(MIN('Council Entry'!AY164,'Council Entry'!AY$9),'Council Entry'!AY$8),'Council Entry'!AY164)),IF('Council Entry'!AY$4="Exponential",EXP(IF(AND(ISNUMBER('Council Entry'!AY$8),ISNUMBER('Council Entry'!AY$9)),MAX(MIN('Council Entry'!AY164,'Council Entry'!AY$9),'Council Entry'!AY$8),'Council Entry'!AY164)),IF(AND(ISNUMBER('Council Entry'!AY$8),ISNUMBER('Council Entry'!AY$9)),MAX(MIN('Council Entry'!AY164,'Council Entry'!AY$9),'Council Entry'!AY$8),'Council Entry'!AY164))))-'Council Entry'!AY$5)/('Council Entry'!AY$6-'Council Entry'!AY$5),10*((IF('Council Entry'!AY$4="Logarithm",LN(0.001+IF(AND(ISNUMBER('Council Entry'!AY$8),ISNUMBER('Council Entry'!AY$9)),MAX(MIN('Council Entry'!AY164,'Council Entry'!AY$9),'Council Entry'!AY$8),'Council Entry'!AY164)),IF('Council Entry'!AY$4="Exponential",EXP(IF(AND(ISNUMBER('Council Entry'!AY$8),ISNUMBER('Council Entry'!AY$9)),MAX(MIN('Council Entry'!AY164,'Council Entry'!AY$9),'Council Entry'!AY$8),'Council Entry'!AY164)),IF(AND(ISNUMBER('Council Entry'!AY$8),ISNUMBER('Council Entry'!AY$9)),MAX(MIN('Council Entry'!AY164,'Council Entry'!AY$9),'Council Entry'!AY$8),'Council Entry'!AY164))))-'Council Entry'!AY$5)/('Council Entry'!AY$6-'Council Entry'!AY$5)),1))),"No data"))</f>
        <v/>
      </c>
      <c r="AZ164" s="13">
        <f>IF('Council Entry'!AZ164="","",IFERROR(MAX(0,MIN(10,ROUND(IF('Council Entry'!AZ$7="Decrease Risk",10-10*((IF('Council Entry'!AZ$4="Logarithm",LN(0.001+IF(AND(ISNUMBER('Council Entry'!AZ$8),ISNUMBER('Council Entry'!AZ$9)),MAX(MIN('Council Entry'!AZ164,'Council Entry'!AZ$9),'Council Entry'!AZ$8),'Council Entry'!AZ164)),IF('Council Entry'!AZ$4="Exponential",EXP(IF(AND(ISNUMBER('Council Entry'!AZ$8),ISNUMBER('Council Entry'!AZ$9)),MAX(MIN('Council Entry'!AZ164,'Council Entry'!AZ$9),'Council Entry'!AZ$8),'Council Entry'!AZ164)),IF(AND(ISNUMBER('Council Entry'!AZ$8),ISNUMBER('Council Entry'!AZ$9)),MAX(MIN('Council Entry'!AZ164,'Council Entry'!AZ$9),'Council Entry'!AZ$8),'Council Entry'!AZ164))))-'Council Entry'!AZ$5)/('Council Entry'!AZ$6-'Council Entry'!AZ$5),10*((IF('Council Entry'!AZ$4="Logarithm",LN(0.001+IF(AND(ISNUMBER('Council Entry'!AZ$8),ISNUMBER('Council Entry'!AZ$9)),MAX(MIN('Council Entry'!AZ164,'Council Entry'!AZ$9),'Council Entry'!AZ$8),'Council Entry'!AZ164)),IF('Council Entry'!AZ$4="Exponential",EXP(IF(AND(ISNUMBER('Council Entry'!AZ$8),ISNUMBER('Council Entry'!AZ$9)),MAX(MIN('Council Entry'!AZ164,'Council Entry'!AZ$9),'Council Entry'!AZ$8),'Council Entry'!AZ164)),IF(AND(ISNUMBER('Council Entry'!AZ$8),ISNUMBER('Council Entry'!AZ$9)),MAX(MIN('Council Entry'!AZ164,'Council Entry'!AZ$9),'Council Entry'!AZ$8),'Council Entry'!AZ164))))-'Council Entry'!AZ$5)/('Council Entry'!AZ$6-'Council Entry'!AZ$5)),1))),"No data"))</f>
        <v/>
      </c>
      <c r="BA164" s="13">
        <f>IF('Council Entry'!BA164="","",IFERROR(MAX(0,MIN(10,ROUND(IF('Council Entry'!BA$7="Decrease Risk",10-10*((IF('Council Entry'!BA$4="Logarithm",LN(0.001+IF(AND(ISNUMBER('Council Entry'!BA$8),ISNUMBER('Council Entry'!BA$9)),MAX(MIN('Council Entry'!BA164,'Council Entry'!BA$9),'Council Entry'!BA$8),'Council Entry'!BA164)),IF('Council Entry'!BA$4="Exponential",EXP(IF(AND(ISNUMBER('Council Entry'!BA$8),ISNUMBER('Council Entry'!BA$9)),MAX(MIN('Council Entry'!BA164,'Council Entry'!BA$9),'Council Entry'!BA$8),'Council Entry'!BA164)),IF(AND(ISNUMBER('Council Entry'!BA$8),ISNUMBER('Council Entry'!BA$9)),MAX(MIN('Council Entry'!BA164,'Council Entry'!BA$9),'Council Entry'!BA$8),'Council Entry'!BA164))))-'Council Entry'!BA$5)/('Council Entry'!BA$6-'Council Entry'!BA$5),10*((IF('Council Entry'!BA$4="Logarithm",LN(0.001+IF(AND(ISNUMBER('Council Entry'!BA$8),ISNUMBER('Council Entry'!BA$9)),MAX(MIN('Council Entry'!BA164,'Council Entry'!BA$9),'Council Entry'!BA$8),'Council Entry'!BA164)),IF('Council Entry'!BA$4="Exponential",EXP(IF(AND(ISNUMBER('Council Entry'!BA$8),ISNUMBER('Council Entry'!BA$9)),MAX(MIN('Council Entry'!BA164,'Council Entry'!BA$9),'Council Entry'!BA$8),'Council Entry'!BA164)),IF(AND(ISNUMBER('Council Entry'!BA$8),ISNUMBER('Council Entry'!BA$9)),MAX(MIN('Council Entry'!BA164,'Council Entry'!BA$9),'Council Entry'!BA$8),'Council Entry'!BA164))))-'Council Entry'!BA$5)/('Council Entry'!BA$6-'Council Entry'!BA$5)),1))),"No data"))</f>
        <v/>
      </c>
      <c r="BB164" s="13">
        <f>IF('Council Entry'!BB164="","",IFERROR(MAX(0,MIN(10,ROUND(IF('Council Entry'!BB$7="Decrease Risk",10-10*((IF('Council Entry'!BB$4="Logarithm",LN(0.001+IF(AND(ISNUMBER('Council Entry'!BB$8),ISNUMBER('Council Entry'!BB$9)),MAX(MIN('Council Entry'!BB164,'Council Entry'!BB$9),'Council Entry'!BB$8),'Council Entry'!BB164)),IF('Council Entry'!BB$4="Exponential",EXP(IF(AND(ISNUMBER('Council Entry'!BB$8),ISNUMBER('Council Entry'!BB$9)),MAX(MIN('Council Entry'!BB164,'Council Entry'!BB$9),'Council Entry'!BB$8),'Council Entry'!BB164)),IF(AND(ISNUMBER('Council Entry'!BB$8),ISNUMBER('Council Entry'!BB$9)),MAX(MIN('Council Entry'!BB164,'Council Entry'!BB$9),'Council Entry'!BB$8),'Council Entry'!BB164))))-'Council Entry'!BB$5)/('Council Entry'!BB$6-'Council Entry'!BB$5),10*((IF('Council Entry'!BB$4="Logarithm",LN(0.001+IF(AND(ISNUMBER('Council Entry'!BB$8),ISNUMBER('Council Entry'!BB$9)),MAX(MIN('Council Entry'!BB164,'Council Entry'!BB$9),'Council Entry'!BB$8),'Council Entry'!BB164)),IF('Council Entry'!BB$4="Exponential",EXP(IF(AND(ISNUMBER('Council Entry'!BB$8),ISNUMBER('Council Entry'!BB$9)),MAX(MIN('Council Entry'!BB164,'Council Entry'!BB$9),'Council Entry'!BB$8),'Council Entry'!BB164)),IF(AND(ISNUMBER('Council Entry'!BB$8),ISNUMBER('Council Entry'!BB$9)),MAX(MIN('Council Entry'!BB164,'Council Entry'!BB$9),'Council Entry'!BB$8),'Council Entry'!BB164))))-'Council Entry'!BB$5)/('Council Entry'!BB$6-'Council Entry'!BB$5)),1))),"No data"))</f>
        <v/>
      </c>
      <c r="BC164" s="13">
        <f>IF('Council Entry'!BC164="","",IFERROR(MAX(0,MIN(10,ROUND(IF('Council Entry'!BC$7="Decrease Risk",10-10*((IF('Council Entry'!BC$4="Logarithm",LN(0.001+IF(AND(ISNUMBER('Council Entry'!BC$8),ISNUMBER('Council Entry'!BC$9)),MAX(MIN('Council Entry'!BC164,'Council Entry'!BC$9),'Council Entry'!BC$8),'Council Entry'!BC164)),IF('Council Entry'!BC$4="Exponential",EXP(IF(AND(ISNUMBER('Council Entry'!BC$8),ISNUMBER('Council Entry'!BC$9)),MAX(MIN('Council Entry'!BC164,'Council Entry'!BC$9),'Council Entry'!BC$8),'Council Entry'!BC164)),IF(AND(ISNUMBER('Council Entry'!BC$8),ISNUMBER('Council Entry'!BC$9)),MAX(MIN('Council Entry'!BC164,'Council Entry'!BC$9),'Council Entry'!BC$8),'Council Entry'!BC164))))-'Council Entry'!BC$5)/('Council Entry'!BC$6-'Council Entry'!BC$5),10*((IF('Council Entry'!BC$4="Logarithm",LN(0.001+IF(AND(ISNUMBER('Council Entry'!BC$8),ISNUMBER('Council Entry'!BC$9)),MAX(MIN('Council Entry'!BC164,'Council Entry'!BC$9),'Council Entry'!BC$8),'Council Entry'!BC164)),IF('Council Entry'!BC$4="Exponential",EXP(IF(AND(ISNUMBER('Council Entry'!BC$8),ISNUMBER('Council Entry'!BC$9)),MAX(MIN('Council Entry'!BC164,'Council Entry'!BC$9),'Council Entry'!BC$8),'Council Entry'!BC164)),IF(AND(ISNUMBER('Council Entry'!BC$8),ISNUMBER('Council Entry'!BC$9)),MAX(MIN('Council Entry'!BC164,'Council Entry'!BC$9),'Council Entry'!BC$8),'Council Entry'!BC164))))-'Council Entry'!BC$5)/('Council Entry'!BC$6-'Council Entry'!BC$5)),1))),"No data"))</f>
        <v/>
      </c>
      <c r="BD164" s="13">
        <f>IF('Council Entry'!BD164="","",IFERROR(MAX(0,MIN(10,ROUND(IF('Council Entry'!BD$7="Decrease Risk",10-10*((IF('Council Entry'!BD$4="Logarithm",LN(0.001+IF(AND(ISNUMBER('Council Entry'!BD$8),ISNUMBER('Council Entry'!BD$9)),MAX(MIN('Council Entry'!BD164,'Council Entry'!BD$9),'Council Entry'!BD$8),'Council Entry'!BD164)),IF('Council Entry'!BD$4="Exponential",EXP(IF(AND(ISNUMBER('Council Entry'!BD$8),ISNUMBER('Council Entry'!BD$9)),MAX(MIN('Council Entry'!BD164,'Council Entry'!BD$9),'Council Entry'!BD$8),'Council Entry'!BD164)),IF(AND(ISNUMBER('Council Entry'!BD$8),ISNUMBER('Council Entry'!BD$9)),MAX(MIN('Council Entry'!BD164,'Council Entry'!BD$9),'Council Entry'!BD$8),'Council Entry'!BD164))))-'Council Entry'!BD$5)/('Council Entry'!BD$6-'Council Entry'!BD$5),10*((IF('Council Entry'!BD$4="Logarithm",LN(0.001+IF(AND(ISNUMBER('Council Entry'!BD$8),ISNUMBER('Council Entry'!BD$9)),MAX(MIN('Council Entry'!BD164,'Council Entry'!BD$9),'Council Entry'!BD$8),'Council Entry'!BD164)),IF('Council Entry'!BD$4="Exponential",EXP(IF(AND(ISNUMBER('Council Entry'!BD$8),ISNUMBER('Council Entry'!BD$9)),MAX(MIN('Council Entry'!BD164,'Council Entry'!BD$9),'Council Entry'!BD$8),'Council Entry'!BD164)),IF(AND(ISNUMBER('Council Entry'!BD$8),ISNUMBER('Council Entry'!BD$9)),MAX(MIN('Council Entry'!BD164,'Council Entry'!BD$9),'Council Entry'!BD$8),'Council Entry'!BD164))))-'Council Entry'!BD$5)/('Council Entry'!BD$6-'Council Entry'!BD$5)),1))),"No data"))</f>
        <v/>
      </c>
    </row>
    <row r="165">
      <c r="A165" t="inlineStr">
        <is>
          <t>Shinyanga</t>
        </is>
      </c>
      <c r="B165" t="inlineStr">
        <is>
          <t>Msalala District</t>
        </is>
      </c>
      <c r="C165" t="inlineStr">
        <is>
          <t>C121</t>
        </is>
      </c>
      <c r="D165" s="13">
        <f>IF('Council Entry'!D165="","",IFERROR(MAX(0,MIN(10,ROUND(IF('Council Entry'!D$7="Decrease Risk",10-10*((IF('Council Entry'!D$4="Logarithm",LN(0.001+IF(AND(ISNUMBER('Council Entry'!D$8),ISNUMBER('Council Entry'!D$9)),MAX(MIN('Council Entry'!D165,'Council Entry'!D$9),'Council Entry'!D$8),'Council Entry'!D165)),IF('Council Entry'!D$4="Exponential",EXP(IF(AND(ISNUMBER('Council Entry'!D$8),ISNUMBER('Council Entry'!D$9)),MAX(MIN('Council Entry'!D165,'Council Entry'!D$9),'Council Entry'!D$8),'Council Entry'!D165)),IF(AND(ISNUMBER('Council Entry'!D$8),ISNUMBER('Council Entry'!D$9)),MAX(MIN('Council Entry'!D165,'Council Entry'!D$9),'Council Entry'!D$8),'Council Entry'!D165))))-'Council Entry'!D$5)/('Council Entry'!D$6-'Council Entry'!D$5),10*((IF('Council Entry'!D$4="Logarithm",LN(0.001+IF(AND(ISNUMBER('Council Entry'!D$8),ISNUMBER('Council Entry'!D$9)),MAX(MIN('Council Entry'!D165,'Council Entry'!D$9),'Council Entry'!D$8),'Council Entry'!D165)),IF('Council Entry'!D$4="Exponential",EXP(IF(AND(ISNUMBER('Council Entry'!D$8),ISNUMBER('Council Entry'!D$9)),MAX(MIN('Council Entry'!D165,'Council Entry'!D$9),'Council Entry'!D$8),'Council Entry'!D165)),IF(AND(ISNUMBER('Council Entry'!D$8),ISNUMBER('Council Entry'!D$9)),MAX(MIN('Council Entry'!D165,'Council Entry'!D$9),'Council Entry'!D$8),'Council Entry'!D165))))-'Council Entry'!D$5)/('Council Entry'!D$6-'Council Entry'!D$5)),1))),"No data"))</f>
        <v/>
      </c>
      <c r="E165" s="13">
        <f>IF('Council Entry'!E165="","",IFERROR(MAX(0,MIN(10,ROUND(IF('Council Entry'!E$7="Decrease Risk",10-10*((IF('Council Entry'!E$4="Logarithm",LN(0.001+IF(AND(ISNUMBER('Council Entry'!E$8),ISNUMBER('Council Entry'!E$9)),MAX(MIN('Council Entry'!E165,'Council Entry'!E$9),'Council Entry'!E$8),'Council Entry'!E165)),IF('Council Entry'!E$4="Exponential",EXP(IF(AND(ISNUMBER('Council Entry'!E$8),ISNUMBER('Council Entry'!E$9)),MAX(MIN('Council Entry'!E165,'Council Entry'!E$9),'Council Entry'!E$8),'Council Entry'!E165)),IF(AND(ISNUMBER('Council Entry'!E$8),ISNUMBER('Council Entry'!E$9)),MAX(MIN('Council Entry'!E165,'Council Entry'!E$9),'Council Entry'!E$8),'Council Entry'!E165))))-'Council Entry'!E$5)/('Council Entry'!E$6-'Council Entry'!E$5),10*((IF('Council Entry'!E$4="Logarithm",LN(0.001+IF(AND(ISNUMBER('Council Entry'!E$8),ISNUMBER('Council Entry'!E$9)),MAX(MIN('Council Entry'!E165,'Council Entry'!E$9),'Council Entry'!E$8),'Council Entry'!E165)),IF('Council Entry'!E$4="Exponential",EXP(IF(AND(ISNUMBER('Council Entry'!E$8),ISNUMBER('Council Entry'!E$9)),MAX(MIN('Council Entry'!E165,'Council Entry'!E$9),'Council Entry'!E$8),'Council Entry'!E165)),IF(AND(ISNUMBER('Council Entry'!E$8),ISNUMBER('Council Entry'!E$9)),MAX(MIN('Council Entry'!E165,'Council Entry'!E$9),'Council Entry'!E$8),'Council Entry'!E165))))-'Council Entry'!E$5)/('Council Entry'!E$6-'Council Entry'!E$5)),1))),"No data"))</f>
        <v/>
      </c>
      <c r="F165" s="13">
        <f>IF('Council Entry'!F165="","",IFERROR(MAX(0,MIN(10,ROUND(IF('Council Entry'!F$7="Decrease Risk",10-10*((IF('Council Entry'!F$4="Logarithm",LN(0.001+IF(AND(ISNUMBER('Council Entry'!F$8),ISNUMBER('Council Entry'!F$9)),MAX(MIN('Council Entry'!F165,'Council Entry'!F$9),'Council Entry'!F$8),'Council Entry'!F165)),IF('Council Entry'!F$4="Exponential",EXP(IF(AND(ISNUMBER('Council Entry'!F$8),ISNUMBER('Council Entry'!F$9)),MAX(MIN('Council Entry'!F165,'Council Entry'!F$9),'Council Entry'!F$8),'Council Entry'!F165)),IF(AND(ISNUMBER('Council Entry'!F$8),ISNUMBER('Council Entry'!F$9)),MAX(MIN('Council Entry'!F165,'Council Entry'!F$9),'Council Entry'!F$8),'Council Entry'!F165))))-'Council Entry'!F$5)/('Council Entry'!F$6-'Council Entry'!F$5),10*((IF('Council Entry'!F$4="Logarithm",LN(0.001+IF(AND(ISNUMBER('Council Entry'!F$8),ISNUMBER('Council Entry'!F$9)),MAX(MIN('Council Entry'!F165,'Council Entry'!F$9),'Council Entry'!F$8),'Council Entry'!F165)),IF('Council Entry'!F$4="Exponential",EXP(IF(AND(ISNUMBER('Council Entry'!F$8),ISNUMBER('Council Entry'!F$9)),MAX(MIN('Council Entry'!F165,'Council Entry'!F$9),'Council Entry'!F$8),'Council Entry'!F165)),IF(AND(ISNUMBER('Council Entry'!F$8),ISNUMBER('Council Entry'!F$9)),MAX(MIN('Council Entry'!F165,'Council Entry'!F$9),'Council Entry'!F$8),'Council Entry'!F165))))-'Council Entry'!F$5)/('Council Entry'!F$6-'Council Entry'!F$5)),1))),"No data"))</f>
        <v/>
      </c>
      <c r="G165" s="13">
        <f>IF('Council Entry'!G165="","",IFERROR(MAX(0,MIN(10,ROUND(IF('Council Entry'!G$7="Decrease Risk",10-10*((IF('Council Entry'!G$4="Logarithm",LN(0.001+IF(AND(ISNUMBER('Council Entry'!G$8),ISNUMBER('Council Entry'!G$9)),MAX(MIN('Council Entry'!G165,'Council Entry'!G$9),'Council Entry'!G$8),'Council Entry'!G165)),IF('Council Entry'!G$4="Exponential",EXP(IF(AND(ISNUMBER('Council Entry'!G$8),ISNUMBER('Council Entry'!G$9)),MAX(MIN('Council Entry'!G165,'Council Entry'!G$9),'Council Entry'!G$8),'Council Entry'!G165)),IF(AND(ISNUMBER('Council Entry'!G$8),ISNUMBER('Council Entry'!G$9)),MAX(MIN('Council Entry'!G165,'Council Entry'!G$9),'Council Entry'!G$8),'Council Entry'!G165))))-'Council Entry'!G$5)/('Council Entry'!G$6-'Council Entry'!G$5),10*((IF('Council Entry'!G$4="Logarithm",LN(0.001+IF(AND(ISNUMBER('Council Entry'!G$8),ISNUMBER('Council Entry'!G$9)),MAX(MIN('Council Entry'!G165,'Council Entry'!G$9),'Council Entry'!G$8),'Council Entry'!G165)),IF('Council Entry'!G$4="Exponential",EXP(IF(AND(ISNUMBER('Council Entry'!G$8),ISNUMBER('Council Entry'!G$9)),MAX(MIN('Council Entry'!G165,'Council Entry'!G$9),'Council Entry'!G$8),'Council Entry'!G165)),IF(AND(ISNUMBER('Council Entry'!G$8),ISNUMBER('Council Entry'!G$9)),MAX(MIN('Council Entry'!G165,'Council Entry'!G$9),'Council Entry'!G$8),'Council Entry'!G165))))-'Council Entry'!G$5)/('Council Entry'!G$6-'Council Entry'!G$5)),1))),"No data"))</f>
        <v/>
      </c>
      <c r="H165" s="13">
        <f>IF('Council Entry'!H165="","",IFERROR(MAX(0,MIN(10,ROUND(IF('Council Entry'!H$7="Decrease Risk",10-10*((IF('Council Entry'!H$4="Logarithm",LN(0.001+IF(AND(ISNUMBER('Council Entry'!H$8),ISNUMBER('Council Entry'!H$9)),MAX(MIN('Council Entry'!H165,'Council Entry'!H$9),'Council Entry'!H$8),'Council Entry'!H165)),IF('Council Entry'!H$4="Exponential",EXP(IF(AND(ISNUMBER('Council Entry'!H$8),ISNUMBER('Council Entry'!H$9)),MAX(MIN('Council Entry'!H165,'Council Entry'!H$9),'Council Entry'!H$8),'Council Entry'!H165)),IF(AND(ISNUMBER('Council Entry'!H$8),ISNUMBER('Council Entry'!H$9)),MAX(MIN('Council Entry'!H165,'Council Entry'!H$9),'Council Entry'!H$8),'Council Entry'!H165))))-'Council Entry'!H$5)/('Council Entry'!H$6-'Council Entry'!H$5),10*((IF('Council Entry'!H$4="Logarithm",LN(0.001+IF(AND(ISNUMBER('Council Entry'!H$8),ISNUMBER('Council Entry'!H$9)),MAX(MIN('Council Entry'!H165,'Council Entry'!H$9),'Council Entry'!H$8),'Council Entry'!H165)),IF('Council Entry'!H$4="Exponential",EXP(IF(AND(ISNUMBER('Council Entry'!H$8),ISNUMBER('Council Entry'!H$9)),MAX(MIN('Council Entry'!H165,'Council Entry'!H$9),'Council Entry'!H$8),'Council Entry'!H165)),IF(AND(ISNUMBER('Council Entry'!H$8),ISNUMBER('Council Entry'!H$9)),MAX(MIN('Council Entry'!H165,'Council Entry'!H$9),'Council Entry'!H$8),'Council Entry'!H165))))-'Council Entry'!H$5)/('Council Entry'!H$6-'Council Entry'!H$5)),1))),"No data"))</f>
        <v/>
      </c>
      <c r="I165" s="13">
        <f>IF('Council Entry'!I165="","",IFERROR(MAX(0,MIN(10,ROUND(IF('Council Entry'!I$7="Decrease Risk",10-10*((IF('Council Entry'!I$4="Logarithm",LN(0.001+IF(AND(ISNUMBER('Council Entry'!I$8),ISNUMBER('Council Entry'!I$9)),MAX(MIN('Council Entry'!I165,'Council Entry'!I$9),'Council Entry'!I$8),'Council Entry'!I165)),IF('Council Entry'!I$4="Exponential",EXP(IF(AND(ISNUMBER('Council Entry'!I$8),ISNUMBER('Council Entry'!I$9)),MAX(MIN('Council Entry'!I165,'Council Entry'!I$9),'Council Entry'!I$8),'Council Entry'!I165)),IF(AND(ISNUMBER('Council Entry'!I$8),ISNUMBER('Council Entry'!I$9)),MAX(MIN('Council Entry'!I165,'Council Entry'!I$9),'Council Entry'!I$8),'Council Entry'!I165))))-'Council Entry'!I$5)/('Council Entry'!I$6-'Council Entry'!I$5),10*((IF('Council Entry'!I$4="Logarithm",LN(0.001+IF(AND(ISNUMBER('Council Entry'!I$8),ISNUMBER('Council Entry'!I$9)),MAX(MIN('Council Entry'!I165,'Council Entry'!I$9),'Council Entry'!I$8),'Council Entry'!I165)),IF('Council Entry'!I$4="Exponential",EXP(IF(AND(ISNUMBER('Council Entry'!I$8),ISNUMBER('Council Entry'!I$9)),MAX(MIN('Council Entry'!I165,'Council Entry'!I$9),'Council Entry'!I$8),'Council Entry'!I165)),IF(AND(ISNUMBER('Council Entry'!I$8),ISNUMBER('Council Entry'!I$9)),MAX(MIN('Council Entry'!I165,'Council Entry'!I$9),'Council Entry'!I$8),'Council Entry'!I165))))-'Council Entry'!I$5)/('Council Entry'!I$6-'Council Entry'!I$5)),1))),"No data"))</f>
        <v/>
      </c>
      <c r="J165" s="13">
        <f>IF('Council Entry'!J165="","",IFERROR(MAX(0,MIN(10,ROUND(IF('Council Entry'!J$7="Decrease Risk",10-10*((IF('Council Entry'!J$4="Logarithm",LN(0.001+IF(AND(ISNUMBER('Council Entry'!J$8),ISNUMBER('Council Entry'!J$9)),MAX(MIN('Council Entry'!J165,'Council Entry'!J$9),'Council Entry'!J$8),'Council Entry'!J165)),IF('Council Entry'!J$4="Exponential",EXP(IF(AND(ISNUMBER('Council Entry'!J$8),ISNUMBER('Council Entry'!J$9)),MAX(MIN('Council Entry'!J165,'Council Entry'!J$9),'Council Entry'!J$8),'Council Entry'!J165)),IF(AND(ISNUMBER('Council Entry'!J$8),ISNUMBER('Council Entry'!J$9)),MAX(MIN('Council Entry'!J165,'Council Entry'!J$9),'Council Entry'!J$8),'Council Entry'!J165))))-'Council Entry'!J$5)/('Council Entry'!J$6-'Council Entry'!J$5),10*((IF('Council Entry'!J$4="Logarithm",LN(0.001+IF(AND(ISNUMBER('Council Entry'!J$8),ISNUMBER('Council Entry'!J$9)),MAX(MIN('Council Entry'!J165,'Council Entry'!J$9),'Council Entry'!J$8),'Council Entry'!J165)),IF('Council Entry'!J$4="Exponential",EXP(IF(AND(ISNUMBER('Council Entry'!J$8),ISNUMBER('Council Entry'!J$9)),MAX(MIN('Council Entry'!J165,'Council Entry'!J$9),'Council Entry'!J$8),'Council Entry'!J165)),IF(AND(ISNUMBER('Council Entry'!J$8),ISNUMBER('Council Entry'!J$9)),MAX(MIN('Council Entry'!J165,'Council Entry'!J$9),'Council Entry'!J$8),'Council Entry'!J165))))-'Council Entry'!J$5)/('Council Entry'!J$6-'Council Entry'!J$5)),1))),"No data"))</f>
        <v/>
      </c>
      <c r="K165" s="13">
        <f>IF('Council Entry'!K165="","",IFERROR(MAX(0,MIN(10,ROUND(IF('Council Entry'!K$7="Decrease Risk",10-10*((IF('Council Entry'!K$4="Logarithm",LN(0.001+IF(AND(ISNUMBER('Council Entry'!K$8),ISNUMBER('Council Entry'!K$9)),MAX(MIN('Council Entry'!K165,'Council Entry'!K$9),'Council Entry'!K$8),'Council Entry'!K165)),IF('Council Entry'!K$4="Exponential",EXP(IF(AND(ISNUMBER('Council Entry'!K$8),ISNUMBER('Council Entry'!K$9)),MAX(MIN('Council Entry'!K165,'Council Entry'!K$9),'Council Entry'!K$8),'Council Entry'!K165)),IF(AND(ISNUMBER('Council Entry'!K$8),ISNUMBER('Council Entry'!K$9)),MAX(MIN('Council Entry'!K165,'Council Entry'!K$9),'Council Entry'!K$8),'Council Entry'!K165))))-'Council Entry'!K$5)/('Council Entry'!K$6-'Council Entry'!K$5),10*((IF('Council Entry'!K$4="Logarithm",LN(0.001+IF(AND(ISNUMBER('Council Entry'!K$8),ISNUMBER('Council Entry'!K$9)),MAX(MIN('Council Entry'!K165,'Council Entry'!K$9),'Council Entry'!K$8),'Council Entry'!K165)),IF('Council Entry'!K$4="Exponential",EXP(IF(AND(ISNUMBER('Council Entry'!K$8),ISNUMBER('Council Entry'!K$9)),MAX(MIN('Council Entry'!K165,'Council Entry'!K$9),'Council Entry'!K$8),'Council Entry'!K165)),IF(AND(ISNUMBER('Council Entry'!K$8),ISNUMBER('Council Entry'!K$9)),MAX(MIN('Council Entry'!K165,'Council Entry'!K$9),'Council Entry'!K$8),'Council Entry'!K165))))-'Council Entry'!K$5)/('Council Entry'!K$6-'Council Entry'!K$5)),1))),"No data"))</f>
        <v/>
      </c>
      <c r="L165" s="13">
        <f>IF('Council Entry'!L165="","",IFERROR(MAX(0,MIN(10,ROUND(IF('Council Entry'!L$7="Decrease Risk",10-10*((IF('Council Entry'!L$4="Logarithm",LN(0.001+IF(AND(ISNUMBER('Council Entry'!L$8),ISNUMBER('Council Entry'!L$9)),MAX(MIN('Council Entry'!L165,'Council Entry'!L$9),'Council Entry'!L$8),'Council Entry'!L165)),IF('Council Entry'!L$4="Exponential",EXP(IF(AND(ISNUMBER('Council Entry'!L$8),ISNUMBER('Council Entry'!L$9)),MAX(MIN('Council Entry'!L165,'Council Entry'!L$9),'Council Entry'!L$8),'Council Entry'!L165)),IF(AND(ISNUMBER('Council Entry'!L$8),ISNUMBER('Council Entry'!L$9)),MAX(MIN('Council Entry'!L165,'Council Entry'!L$9),'Council Entry'!L$8),'Council Entry'!L165))))-'Council Entry'!L$5)/('Council Entry'!L$6-'Council Entry'!L$5),10*((IF('Council Entry'!L$4="Logarithm",LN(0.001+IF(AND(ISNUMBER('Council Entry'!L$8),ISNUMBER('Council Entry'!L$9)),MAX(MIN('Council Entry'!L165,'Council Entry'!L$9),'Council Entry'!L$8),'Council Entry'!L165)),IF('Council Entry'!L$4="Exponential",EXP(IF(AND(ISNUMBER('Council Entry'!L$8),ISNUMBER('Council Entry'!L$9)),MAX(MIN('Council Entry'!L165,'Council Entry'!L$9),'Council Entry'!L$8),'Council Entry'!L165)),IF(AND(ISNUMBER('Council Entry'!L$8),ISNUMBER('Council Entry'!L$9)),MAX(MIN('Council Entry'!L165,'Council Entry'!L$9),'Council Entry'!L$8),'Council Entry'!L165))))-'Council Entry'!L$5)/('Council Entry'!L$6-'Council Entry'!L$5)),1))),"No data"))</f>
        <v/>
      </c>
      <c r="M165" s="13">
        <f>IF('Council Entry'!M165="","",IFERROR(MAX(0,MIN(10,ROUND(IF('Council Entry'!M$7="Decrease Risk",10-10*((IF('Council Entry'!M$4="Logarithm",LN(0.001+IF(AND(ISNUMBER('Council Entry'!M$8),ISNUMBER('Council Entry'!M$9)),MAX(MIN('Council Entry'!M165,'Council Entry'!M$9),'Council Entry'!M$8),'Council Entry'!M165)),IF('Council Entry'!M$4="Exponential",EXP(IF(AND(ISNUMBER('Council Entry'!M$8),ISNUMBER('Council Entry'!M$9)),MAX(MIN('Council Entry'!M165,'Council Entry'!M$9),'Council Entry'!M$8),'Council Entry'!M165)),IF(AND(ISNUMBER('Council Entry'!M$8),ISNUMBER('Council Entry'!M$9)),MAX(MIN('Council Entry'!M165,'Council Entry'!M$9),'Council Entry'!M$8),'Council Entry'!M165))))-'Council Entry'!M$5)/('Council Entry'!M$6-'Council Entry'!M$5),10*((IF('Council Entry'!M$4="Logarithm",LN(0.001+IF(AND(ISNUMBER('Council Entry'!M$8),ISNUMBER('Council Entry'!M$9)),MAX(MIN('Council Entry'!M165,'Council Entry'!M$9),'Council Entry'!M$8),'Council Entry'!M165)),IF('Council Entry'!M$4="Exponential",EXP(IF(AND(ISNUMBER('Council Entry'!M$8),ISNUMBER('Council Entry'!M$9)),MAX(MIN('Council Entry'!M165,'Council Entry'!M$9),'Council Entry'!M$8),'Council Entry'!M165)),IF(AND(ISNUMBER('Council Entry'!M$8),ISNUMBER('Council Entry'!M$9)),MAX(MIN('Council Entry'!M165,'Council Entry'!M$9),'Council Entry'!M$8),'Council Entry'!M165))))-'Council Entry'!M$5)/('Council Entry'!M$6-'Council Entry'!M$5)),1))),"No data"))</f>
        <v/>
      </c>
      <c r="N165" s="13">
        <f>IF('Council Entry'!N165="","",IFERROR(MAX(0,MIN(10,ROUND(IF('Council Entry'!N$7="Decrease Risk",10-10*((IF('Council Entry'!N$4="Logarithm",LN(0.001+IF(AND(ISNUMBER('Council Entry'!N$8),ISNUMBER('Council Entry'!N$9)),MAX(MIN('Council Entry'!N165,'Council Entry'!N$9),'Council Entry'!N$8),'Council Entry'!N165)),IF('Council Entry'!N$4="Exponential",EXP(IF(AND(ISNUMBER('Council Entry'!N$8),ISNUMBER('Council Entry'!N$9)),MAX(MIN('Council Entry'!N165,'Council Entry'!N$9),'Council Entry'!N$8),'Council Entry'!N165)),IF(AND(ISNUMBER('Council Entry'!N$8),ISNUMBER('Council Entry'!N$9)),MAX(MIN('Council Entry'!N165,'Council Entry'!N$9),'Council Entry'!N$8),'Council Entry'!N165))))-'Council Entry'!N$5)/('Council Entry'!N$6-'Council Entry'!N$5),10*((IF('Council Entry'!N$4="Logarithm",LN(0.001+IF(AND(ISNUMBER('Council Entry'!N$8),ISNUMBER('Council Entry'!N$9)),MAX(MIN('Council Entry'!N165,'Council Entry'!N$9),'Council Entry'!N$8),'Council Entry'!N165)),IF('Council Entry'!N$4="Exponential",EXP(IF(AND(ISNUMBER('Council Entry'!N$8),ISNUMBER('Council Entry'!N$9)),MAX(MIN('Council Entry'!N165,'Council Entry'!N$9),'Council Entry'!N$8),'Council Entry'!N165)),IF(AND(ISNUMBER('Council Entry'!N$8),ISNUMBER('Council Entry'!N$9)),MAX(MIN('Council Entry'!N165,'Council Entry'!N$9),'Council Entry'!N$8),'Council Entry'!N165))))-'Council Entry'!N$5)/('Council Entry'!N$6-'Council Entry'!N$5)),1))),"No data"))</f>
        <v/>
      </c>
      <c r="O165" s="13">
        <f>IF('Council Entry'!O165="","",IFERROR(MAX(0,MIN(10,ROUND(IF('Council Entry'!O$7="Decrease Risk",10-10*((IF('Council Entry'!O$4="Logarithm",LN(0.001+IF(AND(ISNUMBER('Council Entry'!O$8),ISNUMBER('Council Entry'!O$9)),MAX(MIN('Council Entry'!O165,'Council Entry'!O$9),'Council Entry'!O$8),'Council Entry'!O165)),IF('Council Entry'!O$4="Exponential",EXP(IF(AND(ISNUMBER('Council Entry'!O$8),ISNUMBER('Council Entry'!O$9)),MAX(MIN('Council Entry'!O165,'Council Entry'!O$9),'Council Entry'!O$8),'Council Entry'!O165)),IF(AND(ISNUMBER('Council Entry'!O$8),ISNUMBER('Council Entry'!O$9)),MAX(MIN('Council Entry'!O165,'Council Entry'!O$9),'Council Entry'!O$8),'Council Entry'!O165))))-'Council Entry'!O$5)/('Council Entry'!O$6-'Council Entry'!O$5),10*((IF('Council Entry'!O$4="Logarithm",LN(0.001+IF(AND(ISNUMBER('Council Entry'!O$8),ISNUMBER('Council Entry'!O$9)),MAX(MIN('Council Entry'!O165,'Council Entry'!O$9),'Council Entry'!O$8),'Council Entry'!O165)),IF('Council Entry'!O$4="Exponential",EXP(IF(AND(ISNUMBER('Council Entry'!O$8),ISNUMBER('Council Entry'!O$9)),MAX(MIN('Council Entry'!O165,'Council Entry'!O$9),'Council Entry'!O$8),'Council Entry'!O165)),IF(AND(ISNUMBER('Council Entry'!O$8),ISNUMBER('Council Entry'!O$9)),MAX(MIN('Council Entry'!O165,'Council Entry'!O$9),'Council Entry'!O$8),'Council Entry'!O165))))-'Council Entry'!O$5)/('Council Entry'!O$6-'Council Entry'!O$5)),1))),"No data"))</f>
        <v/>
      </c>
      <c r="P165" s="13">
        <f>IF('Council Entry'!P165="","",IFERROR(MAX(0,MIN(10,ROUND(IF('Council Entry'!P$7="Decrease Risk",10-10*((IF('Council Entry'!P$4="Logarithm",LN(0.001+IF(AND(ISNUMBER('Council Entry'!P$8),ISNUMBER('Council Entry'!P$9)),MAX(MIN('Council Entry'!P165,'Council Entry'!P$9),'Council Entry'!P$8),'Council Entry'!P165)),IF('Council Entry'!P$4="Exponential",EXP(IF(AND(ISNUMBER('Council Entry'!P$8),ISNUMBER('Council Entry'!P$9)),MAX(MIN('Council Entry'!P165,'Council Entry'!P$9),'Council Entry'!P$8),'Council Entry'!P165)),IF(AND(ISNUMBER('Council Entry'!P$8),ISNUMBER('Council Entry'!P$9)),MAX(MIN('Council Entry'!P165,'Council Entry'!P$9),'Council Entry'!P$8),'Council Entry'!P165))))-'Council Entry'!P$5)/('Council Entry'!P$6-'Council Entry'!P$5),10*((IF('Council Entry'!P$4="Logarithm",LN(0.001+IF(AND(ISNUMBER('Council Entry'!P$8),ISNUMBER('Council Entry'!P$9)),MAX(MIN('Council Entry'!P165,'Council Entry'!P$9),'Council Entry'!P$8),'Council Entry'!P165)),IF('Council Entry'!P$4="Exponential",EXP(IF(AND(ISNUMBER('Council Entry'!P$8),ISNUMBER('Council Entry'!P$9)),MAX(MIN('Council Entry'!P165,'Council Entry'!P$9),'Council Entry'!P$8),'Council Entry'!P165)),IF(AND(ISNUMBER('Council Entry'!P$8),ISNUMBER('Council Entry'!P$9)),MAX(MIN('Council Entry'!P165,'Council Entry'!P$9),'Council Entry'!P$8),'Council Entry'!P165))))-'Council Entry'!P$5)/('Council Entry'!P$6-'Council Entry'!P$5)),1))),"No data"))</f>
        <v/>
      </c>
      <c r="Q165" s="13">
        <f>IF('Council Entry'!Q165="","",IFERROR(MAX(0,MIN(10,ROUND(IF('Council Entry'!Q$7="Decrease Risk",10-10*((IF('Council Entry'!Q$4="Logarithm",LN(0.001+IF(AND(ISNUMBER('Council Entry'!Q$8),ISNUMBER('Council Entry'!Q$9)),MAX(MIN('Council Entry'!Q165,'Council Entry'!Q$9),'Council Entry'!Q$8),'Council Entry'!Q165)),IF('Council Entry'!Q$4="Exponential",EXP(IF(AND(ISNUMBER('Council Entry'!Q$8),ISNUMBER('Council Entry'!Q$9)),MAX(MIN('Council Entry'!Q165,'Council Entry'!Q$9),'Council Entry'!Q$8),'Council Entry'!Q165)),IF(AND(ISNUMBER('Council Entry'!Q$8),ISNUMBER('Council Entry'!Q$9)),MAX(MIN('Council Entry'!Q165,'Council Entry'!Q$9),'Council Entry'!Q$8),'Council Entry'!Q165))))-'Council Entry'!Q$5)/('Council Entry'!Q$6-'Council Entry'!Q$5),10*((IF('Council Entry'!Q$4="Logarithm",LN(0.001+IF(AND(ISNUMBER('Council Entry'!Q$8),ISNUMBER('Council Entry'!Q$9)),MAX(MIN('Council Entry'!Q165,'Council Entry'!Q$9),'Council Entry'!Q$8),'Council Entry'!Q165)),IF('Council Entry'!Q$4="Exponential",EXP(IF(AND(ISNUMBER('Council Entry'!Q$8),ISNUMBER('Council Entry'!Q$9)),MAX(MIN('Council Entry'!Q165,'Council Entry'!Q$9),'Council Entry'!Q$8),'Council Entry'!Q165)),IF(AND(ISNUMBER('Council Entry'!Q$8),ISNUMBER('Council Entry'!Q$9)),MAX(MIN('Council Entry'!Q165,'Council Entry'!Q$9),'Council Entry'!Q$8),'Council Entry'!Q165))))-'Council Entry'!Q$5)/('Council Entry'!Q$6-'Council Entry'!Q$5)),1))),"No data"))</f>
        <v/>
      </c>
      <c r="R165" s="13">
        <f>IF('Council Entry'!R165="","",IFERROR(MAX(0,MIN(10,ROUND(IF('Council Entry'!R$7="Decrease Risk",10-10*((IF('Council Entry'!R$4="Logarithm",LN(0.001+IF(AND(ISNUMBER('Council Entry'!R$8),ISNUMBER('Council Entry'!R$9)),MAX(MIN('Council Entry'!R165,'Council Entry'!R$9),'Council Entry'!R$8),'Council Entry'!R165)),IF('Council Entry'!R$4="Exponential",EXP(IF(AND(ISNUMBER('Council Entry'!R$8),ISNUMBER('Council Entry'!R$9)),MAX(MIN('Council Entry'!R165,'Council Entry'!R$9),'Council Entry'!R$8),'Council Entry'!R165)),IF(AND(ISNUMBER('Council Entry'!R$8),ISNUMBER('Council Entry'!R$9)),MAX(MIN('Council Entry'!R165,'Council Entry'!R$9),'Council Entry'!R$8),'Council Entry'!R165))))-'Council Entry'!R$5)/('Council Entry'!R$6-'Council Entry'!R$5),10*((IF('Council Entry'!R$4="Logarithm",LN(0.001+IF(AND(ISNUMBER('Council Entry'!R$8),ISNUMBER('Council Entry'!R$9)),MAX(MIN('Council Entry'!R165,'Council Entry'!R$9),'Council Entry'!R$8),'Council Entry'!R165)),IF('Council Entry'!R$4="Exponential",EXP(IF(AND(ISNUMBER('Council Entry'!R$8),ISNUMBER('Council Entry'!R$9)),MAX(MIN('Council Entry'!R165,'Council Entry'!R$9),'Council Entry'!R$8),'Council Entry'!R165)),IF(AND(ISNUMBER('Council Entry'!R$8),ISNUMBER('Council Entry'!R$9)),MAX(MIN('Council Entry'!R165,'Council Entry'!R$9),'Council Entry'!R$8),'Council Entry'!R165))))-'Council Entry'!R$5)/('Council Entry'!R$6-'Council Entry'!R$5)),1))),"No data"))</f>
        <v/>
      </c>
      <c r="S165" s="13">
        <f>IF('Council Entry'!S165="","",IFERROR(MAX(0,MIN(10,ROUND(IF('Council Entry'!S$7="Decrease Risk",10-10*((IF('Council Entry'!S$4="Logarithm",LN(0.001+IF(AND(ISNUMBER('Council Entry'!S$8),ISNUMBER('Council Entry'!S$9)),MAX(MIN('Council Entry'!S165,'Council Entry'!S$9),'Council Entry'!S$8),'Council Entry'!S165)),IF('Council Entry'!S$4="Exponential",EXP(IF(AND(ISNUMBER('Council Entry'!S$8),ISNUMBER('Council Entry'!S$9)),MAX(MIN('Council Entry'!S165,'Council Entry'!S$9),'Council Entry'!S$8),'Council Entry'!S165)),IF(AND(ISNUMBER('Council Entry'!S$8),ISNUMBER('Council Entry'!S$9)),MAX(MIN('Council Entry'!S165,'Council Entry'!S$9),'Council Entry'!S$8),'Council Entry'!S165))))-'Council Entry'!S$5)/('Council Entry'!S$6-'Council Entry'!S$5),10*((IF('Council Entry'!S$4="Logarithm",LN(0.001+IF(AND(ISNUMBER('Council Entry'!S$8),ISNUMBER('Council Entry'!S$9)),MAX(MIN('Council Entry'!S165,'Council Entry'!S$9),'Council Entry'!S$8),'Council Entry'!S165)),IF('Council Entry'!S$4="Exponential",EXP(IF(AND(ISNUMBER('Council Entry'!S$8),ISNUMBER('Council Entry'!S$9)),MAX(MIN('Council Entry'!S165,'Council Entry'!S$9),'Council Entry'!S$8),'Council Entry'!S165)),IF(AND(ISNUMBER('Council Entry'!S$8),ISNUMBER('Council Entry'!S$9)),MAX(MIN('Council Entry'!S165,'Council Entry'!S$9),'Council Entry'!S$8),'Council Entry'!S165))))-'Council Entry'!S$5)/('Council Entry'!S$6-'Council Entry'!S$5)),1))),"No data"))</f>
        <v/>
      </c>
      <c r="T165" s="13">
        <f>IF('Council Entry'!T165="","",IFERROR(MAX(0,MIN(10,ROUND(IF('Council Entry'!T$7="Decrease Risk",10-10*((IF('Council Entry'!T$4="Logarithm",LN(0.001+IF(AND(ISNUMBER('Council Entry'!T$8),ISNUMBER('Council Entry'!T$9)),MAX(MIN('Council Entry'!T165,'Council Entry'!T$9),'Council Entry'!T$8),'Council Entry'!T165)),IF('Council Entry'!T$4="Exponential",EXP(IF(AND(ISNUMBER('Council Entry'!T$8),ISNUMBER('Council Entry'!T$9)),MAX(MIN('Council Entry'!T165,'Council Entry'!T$9),'Council Entry'!T$8),'Council Entry'!T165)),IF(AND(ISNUMBER('Council Entry'!T$8),ISNUMBER('Council Entry'!T$9)),MAX(MIN('Council Entry'!T165,'Council Entry'!T$9),'Council Entry'!T$8),'Council Entry'!T165))))-'Council Entry'!T$5)/('Council Entry'!T$6-'Council Entry'!T$5),10*((IF('Council Entry'!T$4="Logarithm",LN(0.001+IF(AND(ISNUMBER('Council Entry'!T$8),ISNUMBER('Council Entry'!T$9)),MAX(MIN('Council Entry'!T165,'Council Entry'!T$9),'Council Entry'!T$8),'Council Entry'!T165)),IF('Council Entry'!T$4="Exponential",EXP(IF(AND(ISNUMBER('Council Entry'!T$8),ISNUMBER('Council Entry'!T$9)),MAX(MIN('Council Entry'!T165,'Council Entry'!T$9),'Council Entry'!T$8),'Council Entry'!T165)),IF(AND(ISNUMBER('Council Entry'!T$8),ISNUMBER('Council Entry'!T$9)),MAX(MIN('Council Entry'!T165,'Council Entry'!T$9),'Council Entry'!T$8),'Council Entry'!T165))))-'Council Entry'!T$5)/('Council Entry'!T$6-'Council Entry'!T$5)),1))),"No data"))</f>
        <v/>
      </c>
      <c r="U165" s="13">
        <f>IF('Council Entry'!U165="","",IFERROR(MAX(0,MIN(10,ROUND(IF('Council Entry'!U$7="Decrease Risk",10-10*((IF('Council Entry'!U$4="Logarithm",LN(0.001+IF(AND(ISNUMBER('Council Entry'!U$8),ISNUMBER('Council Entry'!U$9)),MAX(MIN('Council Entry'!U165,'Council Entry'!U$9),'Council Entry'!U$8),'Council Entry'!U165)),IF('Council Entry'!U$4="Exponential",EXP(IF(AND(ISNUMBER('Council Entry'!U$8),ISNUMBER('Council Entry'!U$9)),MAX(MIN('Council Entry'!U165,'Council Entry'!U$9),'Council Entry'!U$8),'Council Entry'!U165)),IF(AND(ISNUMBER('Council Entry'!U$8),ISNUMBER('Council Entry'!U$9)),MAX(MIN('Council Entry'!U165,'Council Entry'!U$9),'Council Entry'!U$8),'Council Entry'!U165))))-'Council Entry'!U$5)/('Council Entry'!U$6-'Council Entry'!U$5),10*((IF('Council Entry'!U$4="Logarithm",LN(0.001+IF(AND(ISNUMBER('Council Entry'!U$8),ISNUMBER('Council Entry'!U$9)),MAX(MIN('Council Entry'!U165,'Council Entry'!U$9),'Council Entry'!U$8),'Council Entry'!U165)),IF('Council Entry'!U$4="Exponential",EXP(IF(AND(ISNUMBER('Council Entry'!U$8),ISNUMBER('Council Entry'!U$9)),MAX(MIN('Council Entry'!U165,'Council Entry'!U$9),'Council Entry'!U$8),'Council Entry'!U165)),IF(AND(ISNUMBER('Council Entry'!U$8),ISNUMBER('Council Entry'!U$9)),MAX(MIN('Council Entry'!U165,'Council Entry'!U$9),'Council Entry'!U$8),'Council Entry'!U165))))-'Council Entry'!U$5)/('Council Entry'!U$6-'Council Entry'!U$5)),1))),"No data"))</f>
        <v/>
      </c>
      <c r="V165" s="13">
        <f>IF('Council Entry'!V165="","",IFERROR(MAX(0,MIN(10,ROUND(IF('Council Entry'!V$7="Decrease Risk",10-10*((IF('Council Entry'!V$4="Logarithm",LN(0.001+IF(AND(ISNUMBER('Council Entry'!V$8),ISNUMBER('Council Entry'!V$9)),MAX(MIN('Council Entry'!V165,'Council Entry'!V$9),'Council Entry'!V$8),'Council Entry'!V165)),IF('Council Entry'!V$4="Exponential",EXP(IF(AND(ISNUMBER('Council Entry'!V$8),ISNUMBER('Council Entry'!V$9)),MAX(MIN('Council Entry'!V165,'Council Entry'!V$9),'Council Entry'!V$8),'Council Entry'!V165)),IF(AND(ISNUMBER('Council Entry'!V$8),ISNUMBER('Council Entry'!V$9)),MAX(MIN('Council Entry'!V165,'Council Entry'!V$9),'Council Entry'!V$8),'Council Entry'!V165))))-'Council Entry'!V$5)/('Council Entry'!V$6-'Council Entry'!V$5),10*((IF('Council Entry'!V$4="Logarithm",LN(0.001+IF(AND(ISNUMBER('Council Entry'!V$8),ISNUMBER('Council Entry'!V$9)),MAX(MIN('Council Entry'!V165,'Council Entry'!V$9),'Council Entry'!V$8),'Council Entry'!V165)),IF('Council Entry'!V$4="Exponential",EXP(IF(AND(ISNUMBER('Council Entry'!V$8),ISNUMBER('Council Entry'!V$9)),MAX(MIN('Council Entry'!V165,'Council Entry'!V$9),'Council Entry'!V$8),'Council Entry'!V165)),IF(AND(ISNUMBER('Council Entry'!V$8),ISNUMBER('Council Entry'!V$9)),MAX(MIN('Council Entry'!V165,'Council Entry'!V$9),'Council Entry'!V$8),'Council Entry'!V165))))-'Council Entry'!V$5)/('Council Entry'!V$6-'Council Entry'!V$5)),1))),"No data"))</f>
        <v/>
      </c>
      <c r="W165" s="13">
        <f>IF('Council Entry'!W165="","",IFERROR(MAX(0,MIN(10,ROUND(IF('Council Entry'!W$7="Decrease Risk",10-10*((IF('Council Entry'!W$4="Logarithm",LN(0.001+IF(AND(ISNUMBER('Council Entry'!W$8),ISNUMBER('Council Entry'!W$9)),MAX(MIN('Council Entry'!W165,'Council Entry'!W$9),'Council Entry'!W$8),'Council Entry'!W165)),IF('Council Entry'!W$4="Exponential",EXP(IF(AND(ISNUMBER('Council Entry'!W$8),ISNUMBER('Council Entry'!W$9)),MAX(MIN('Council Entry'!W165,'Council Entry'!W$9),'Council Entry'!W$8),'Council Entry'!W165)),IF(AND(ISNUMBER('Council Entry'!W$8),ISNUMBER('Council Entry'!W$9)),MAX(MIN('Council Entry'!W165,'Council Entry'!W$9),'Council Entry'!W$8),'Council Entry'!W165))))-'Council Entry'!W$5)/('Council Entry'!W$6-'Council Entry'!W$5),10*((IF('Council Entry'!W$4="Logarithm",LN(0.001+IF(AND(ISNUMBER('Council Entry'!W$8),ISNUMBER('Council Entry'!W$9)),MAX(MIN('Council Entry'!W165,'Council Entry'!W$9),'Council Entry'!W$8),'Council Entry'!W165)),IF('Council Entry'!W$4="Exponential",EXP(IF(AND(ISNUMBER('Council Entry'!W$8),ISNUMBER('Council Entry'!W$9)),MAX(MIN('Council Entry'!W165,'Council Entry'!W$9),'Council Entry'!W$8),'Council Entry'!W165)),IF(AND(ISNUMBER('Council Entry'!W$8),ISNUMBER('Council Entry'!W$9)),MAX(MIN('Council Entry'!W165,'Council Entry'!W$9),'Council Entry'!W$8),'Council Entry'!W165))))-'Council Entry'!W$5)/('Council Entry'!W$6-'Council Entry'!W$5)),1))),"No data"))</f>
        <v/>
      </c>
      <c r="X165" s="13">
        <f>IF('Council Entry'!X165="","",IFERROR(MAX(0,MIN(10,ROUND(IF('Council Entry'!X$7="Decrease Risk",10-10*((IF('Council Entry'!X$4="Logarithm",LN(0.001+IF(AND(ISNUMBER('Council Entry'!X$8),ISNUMBER('Council Entry'!X$9)),MAX(MIN('Council Entry'!X165,'Council Entry'!X$9),'Council Entry'!X$8),'Council Entry'!X165)),IF('Council Entry'!X$4="Exponential",EXP(IF(AND(ISNUMBER('Council Entry'!X$8),ISNUMBER('Council Entry'!X$9)),MAX(MIN('Council Entry'!X165,'Council Entry'!X$9),'Council Entry'!X$8),'Council Entry'!X165)),IF(AND(ISNUMBER('Council Entry'!X$8),ISNUMBER('Council Entry'!X$9)),MAX(MIN('Council Entry'!X165,'Council Entry'!X$9),'Council Entry'!X$8),'Council Entry'!X165))))-'Council Entry'!X$5)/('Council Entry'!X$6-'Council Entry'!X$5),10*((IF('Council Entry'!X$4="Logarithm",LN(0.001+IF(AND(ISNUMBER('Council Entry'!X$8),ISNUMBER('Council Entry'!X$9)),MAX(MIN('Council Entry'!X165,'Council Entry'!X$9),'Council Entry'!X$8),'Council Entry'!X165)),IF('Council Entry'!X$4="Exponential",EXP(IF(AND(ISNUMBER('Council Entry'!X$8),ISNUMBER('Council Entry'!X$9)),MAX(MIN('Council Entry'!X165,'Council Entry'!X$9),'Council Entry'!X$8),'Council Entry'!X165)),IF(AND(ISNUMBER('Council Entry'!X$8),ISNUMBER('Council Entry'!X$9)),MAX(MIN('Council Entry'!X165,'Council Entry'!X$9),'Council Entry'!X$8),'Council Entry'!X165))))-'Council Entry'!X$5)/('Council Entry'!X$6-'Council Entry'!X$5)),1))),"No data"))</f>
        <v/>
      </c>
      <c r="Y165" s="13">
        <f>IF('Council Entry'!Y165="","",IFERROR(MAX(0,MIN(10,ROUND(IF('Council Entry'!Y$7="Decrease Risk",10-10*((IF('Council Entry'!Y$4="Logarithm",LN(0.001+IF(AND(ISNUMBER('Council Entry'!Y$8),ISNUMBER('Council Entry'!Y$9)),MAX(MIN('Council Entry'!Y165,'Council Entry'!Y$9),'Council Entry'!Y$8),'Council Entry'!Y165)),IF('Council Entry'!Y$4="Exponential",EXP(IF(AND(ISNUMBER('Council Entry'!Y$8),ISNUMBER('Council Entry'!Y$9)),MAX(MIN('Council Entry'!Y165,'Council Entry'!Y$9),'Council Entry'!Y$8),'Council Entry'!Y165)),IF(AND(ISNUMBER('Council Entry'!Y$8),ISNUMBER('Council Entry'!Y$9)),MAX(MIN('Council Entry'!Y165,'Council Entry'!Y$9),'Council Entry'!Y$8),'Council Entry'!Y165))))-'Council Entry'!Y$5)/('Council Entry'!Y$6-'Council Entry'!Y$5),10*((IF('Council Entry'!Y$4="Logarithm",LN(0.001+IF(AND(ISNUMBER('Council Entry'!Y$8),ISNUMBER('Council Entry'!Y$9)),MAX(MIN('Council Entry'!Y165,'Council Entry'!Y$9),'Council Entry'!Y$8),'Council Entry'!Y165)),IF('Council Entry'!Y$4="Exponential",EXP(IF(AND(ISNUMBER('Council Entry'!Y$8),ISNUMBER('Council Entry'!Y$9)),MAX(MIN('Council Entry'!Y165,'Council Entry'!Y$9),'Council Entry'!Y$8),'Council Entry'!Y165)),IF(AND(ISNUMBER('Council Entry'!Y$8),ISNUMBER('Council Entry'!Y$9)),MAX(MIN('Council Entry'!Y165,'Council Entry'!Y$9),'Council Entry'!Y$8),'Council Entry'!Y165))))-'Council Entry'!Y$5)/('Council Entry'!Y$6-'Council Entry'!Y$5)),1))),"No data"))</f>
        <v/>
      </c>
      <c r="Z165" s="13">
        <f>IF('Council Entry'!Z165="","",IFERROR(MAX(0,MIN(10,ROUND(IF('Council Entry'!Z$7="Decrease Risk",10-10*((IF('Council Entry'!Z$4="Logarithm",LN(0.001+IF(AND(ISNUMBER('Council Entry'!Z$8),ISNUMBER('Council Entry'!Z$9)),MAX(MIN('Council Entry'!Z165,'Council Entry'!Z$9),'Council Entry'!Z$8),'Council Entry'!Z165)),IF('Council Entry'!Z$4="Exponential",EXP(IF(AND(ISNUMBER('Council Entry'!Z$8),ISNUMBER('Council Entry'!Z$9)),MAX(MIN('Council Entry'!Z165,'Council Entry'!Z$9),'Council Entry'!Z$8),'Council Entry'!Z165)),IF(AND(ISNUMBER('Council Entry'!Z$8),ISNUMBER('Council Entry'!Z$9)),MAX(MIN('Council Entry'!Z165,'Council Entry'!Z$9),'Council Entry'!Z$8),'Council Entry'!Z165))))-'Council Entry'!Z$5)/('Council Entry'!Z$6-'Council Entry'!Z$5),10*((IF('Council Entry'!Z$4="Logarithm",LN(0.001+IF(AND(ISNUMBER('Council Entry'!Z$8),ISNUMBER('Council Entry'!Z$9)),MAX(MIN('Council Entry'!Z165,'Council Entry'!Z$9),'Council Entry'!Z$8),'Council Entry'!Z165)),IF('Council Entry'!Z$4="Exponential",EXP(IF(AND(ISNUMBER('Council Entry'!Z$8),ISNUMBER('Council Entry'!Z$9)),MAX(MIN('Council Entry'!Z165,'Council Entry'!Z$9),'Council Entry'!Z$8),'Council Entry'!Z165)),IF(AND(ISNUMBER('Council Entry'!Z$8),ISNUMBER('Council Entry'!Z$9)),MAX(MIN('Council Entry'!Z165,'Council Entry'!Z$9),'Council Entry'!Z$8),'Council Entry'!Z165))))-'Council Entry'!Z$5)/('Council Entry'!Z$6-'Council Entry'!Z$5)),1))),"No data"))</f>
        <v/>
      </c>
      <c r="AA165" s="13">
        <f>IF('Council Entry'!AA165="","",IFERROR(MAX(0,MIN(10,ROUND(IF('Council Entry'!AA$7="Decrease Risk",10-10*((IF('Council Entry'!AA$4="Logarithm",LN(0.001+IF(AND(ISNUMBER('Council Entry'!AA$8),ISNUMBER('Council Entry'!AA$9)),MAX(MIN('Council Entry'!AA165,'Council Entry'!AA$9),'Council Entry'!AA$8),'Council Entry'!AA165)),IF('Council Entry'!AA$4="Exponential",EXP(IF(AND(ISNUMBER('Council Entry'!AA$8),ISNUMBER('Council Entry'!AA$9)),MAX(MIN('Council Entry'!AA165,'Council Entry'!AA$9),'Council Entry'!AA$8),'Council Entry'!AA165)),IF(AND(ISNUMBER('Council Entry'!AA$8),ISNUMBER('Council Entry'!AA$9)),MAX(MIN('Council Entry'!AA165,'Council Entry'!AA$9),'Council Entry'!AA$8),'Council Entry'!AA165))))-'Council Entry'!AA$5)/('Council Entry'!AA$6-'Council Entry'!AA$5),10*((IF('Council Entry'!AA$4="Logarithm",LN(0.001+IF(AND(ISNUMBER('Council Entry'!AA$8),ISNUMBER('Council Entry'!AA$9)),MAX(MIN('Council Entry'!AA165,'Council Entry'!AA$9),'Council Entry'!AA$8),'Council Entry'!AA165)),IF('Council Entry'!AA$4="Exponential",EXP(IF(AND(ISNUMBER('Council Entry'!AA$8),ISNUMBER('Council Entry'!AA$9)),MAX(MIN('Council Entry'!AA165,'Council Entry'!AA$9),'Council Entry'!AA$8),'Council Entry'!AA165)),IF(AND(ISNUMBER('Council Entry'!AA$8),ISNUMBER('Council Entry'!AA$9)),MAX(MIN('Council Entry'!AA165,'Council Entry'!AA$9),'Council Entry'!AA$8),'Council Entry'!AA165))))-'Council Entry'!AA$5)/('Council Entry'!AA$6-'Council Entry'!AA$5)),1))),"No data"))</f>
        <v/>
      </c>
      <c r="AB165" s="13">
        <f>IF('Council Entry'!AB165="","",IFERROR(MAX(0,MIN(10,ROUND(IF('Council Entry'!AB$7="Decrease Risk",10-10*((IF('Council Entry'!AB$4="Logarithm",LN(0.001+IF(AND(ISNUMBER('Council Entry'!AB$8),ISNUMBER('Council Entry'!AB$9)),MAX(MIN('Council Entry'!AB165,'Council Entry'!AB$9),'Council Entry'!AB$8),'Council Entry'!AB165)),IF('Council Entry'!AB$4="Exponential",EXP(IF(AND(ISNUMBER('Council Entry'!AB$8),ISNUMBER('Council Entry'!AB$9)),MAX(MIN('Council Entry'!AB165,'Council Entry'!AB$9),'Council Entry'!AB$8),'Council Entry'!AB165)),IF(AND(ISNUMBER('Council Entry'!AB$8),ISNUMBER('Council Entry'!AB$9)),MAX(MIN('Council Entry'!AB165,'Council Entry'!AB$9),'Council Entry'!AB$8),'Council Entry'!AB165))))-'Council Entry'!AB$5)/('Council Entry'!AB$6-'Council Entry'!AB$5),10*((IF('Council Entry'!AB$4="Logarithm",LN(0.001+IF(AND(ISNUMBER('Council Entry'!AB$8),ISNUMBER('Council Entry'!AB$9)),MAX(MIN('Council Entry'!AB165,'Council Entry'!AB$9),'Council Entry'!AB$8),'Council Entry'!AB165)),IF('Council Entry'!AB$4="Exponential",EXP(IF(AND(ISNUMBER('Council Entry'!AB$8),ISNUMBER('Council Entry'!AB$9)),MAX(MIN('Council Entry'!AB165,'Council Entry'!AB$9),'Council Entry'!AB$8),'Council Entry'!AB165)),IF(AND(ISNUMBER('Council Entry'!AB$8),ISNUMBER('Council Entry'!AB$9)),MAX(MIN('Council Entry'!AB165,'Council Entry'!AB$9),'Council Entry'!AB$8),'Council Entry'!AB165))))-'Council Entry'!AB$5)/('Council Entry'!AB$6-'Council Entry'!AB$5)),1))),"No data"))</f>
        <v/>
      </c>
      <c r="AC165" s="13">
        <f>IF('Council Entry'!AC165="","",IFERROR(MAX(0,MIN(10,ROUND(IF('Council Entry'!AC$7="Decrease Risk",10-10*((IF('Council Entry'!AC$4="Logarithm",LN(0.001+IF(AND(ISNUMBER('Council Entry'!AC$8),ISNUMBER('Council Entry'!AC$9)),MAX(MIN('Council Entry'!AC165,'Council Entry'!AC$9),'Council Entry'!AC$8),'Council Entry'!AC165)),IF('Council Entry'!AC$4="Exponential",EXP(IF(AND(ISNUMBER('Council Entry'!AC$8),ISNUMBER('Council Entry'!AC$9)),MAX(MIN('Council Entry'!AC165,'Council Entry'!AC$9),'Council Entry'!AC$8),'Council Entry'!AC165)),IF(AND(ISNUMBER('Council Entry'!AC$8),ISNUMBER('Council Entry'!AC$9)),MAX(MIN('Council Entry'!AC165,'Council Entry'!AC$9),'Council Entry'!AC$8),'Council Entry'!AC165))))-'Council Entry'!AC$5)/('Council Entry'!AC$6-'Council Entry'!AC$5),10*((IF('Council Entry'!AC$4="Logarithm",LN(0.001+IF(AND(ISNUMBER('Council Entry'!AC$8),ISNUMBER('Council Entry'!AC$9)),MAX(MIN('Council Entry'!AC165,'Council Entry'!AC$9),'Council Entry'!AC$8),'Council Entry'!AC165)),IF('Council Entry'!AC$4="Exponential",EXP(IF(AND(ISNUMBER('Council Entry'!AC$8),ISNUMBER('Council Entry'!AC$9)),MAX(MIN('Council Entry'!AC165,'Council Entry'!AC$9),'Council Entry'!AC$8),'Council Entry'!AC165)),IF(AND(ISNUMBER('Council Entry'!AC$8),ISNUMBER('Council Entry'!AC$9)),MAX(MIN('Council Entry'!AC165,'Council Entry'!AC$9),'Council Entry'!AC$8),'Council Entry'!AC165))))-'Council Entry'!AC$5)/('Council Entry'!AC$6-'Council Entry'!AC$5)),1))),"No data"))</f>
        <v/>
      </c>
      <c r="AD165" s="13">
        <f>IF('Council Entry'!AD165="","",IFERROR(MAX(0,MIN(10,ROUND(IF('Council Entry'!AD$7="Decrease Risk",10-10*((IF('Council Entry'!AD$4="Logarithm",LN(0.001+IF(AND(ISNUMBER('Council Entry'!AD$8),ISNUMBER('Council Entry'!AD$9)),MAX(MIN('Council Entry'!AD165,'Council Entry'!AD$9),'Council Entry'!AD$8),'Council Entry'!AD165)),IF('Council Entry'!AD$4="Exponential",EXP(IF(AND(ISNUMBER('Council Entry'!AD$8),ISNUMBER('Council Entry'!AD$9)),MAX(MIN('Council Entry'!AD165,'Council Entry'!AD$9),'Council Entry'!AD$8),'Council Entry'!AD165)),IF(AND(ISNUMBER('Council Entry'!AD$8),ISNUMBER('Council Entry'!AD$9)),MAX(MIN('Council Entry'!AD165,'Council Entry'!AD$9),'Council Entry'!AD$8),'Council Entry'!AD165))))-'Council Entry'!AD$5)/('Council Entry'!AD$6-'Council Entry'!AD$5),10*((IF('Council Entry'!AD$4="Logarithm",LN(0.001+IF(AND(ISNUMBER('Council Entry'!AD$8),ISNUMBER('Council Entry'!AD$9)),MAX(MIN('Council Entry'!AD165,'Council Entry'!AD$9),'Council Entry'!AD$8),'Council Entry'!AD165)),IF('Council Entry'!AD$4="Exponential",EXP(IF(AND(ISNUMBER('Council Entry'!AD$8),ISNUMBER('Council Entry'!AD$9)),MAX(MIN('Council Entry'!AD165,'Council Entry'!AD$9),'Council Entry'!AD$8),'Council Entry'!AD165)),IF(AND(ISNUMBER('Council Entry'!AD$8),ISNUMBER('Council Entry'!AD$9)),MAX(MIN('Council Entry'!AD165,'Council Entry'!AD$9),'Council Entry'!AD$8),'Council Entry'!AD165))))-'Council Entry'!AD$5)/('Council Entry'!AD$6-'Council Entry'!AD$5)),1))),"No data"))</f>
        <v/>
      </c>
      <c r="AE165" s="13">
        <f>IF('Council Entry'!AE165="","",IFERROR(MAX(0,MIN(10,ROUND(IF('Council Entry'!AE$7="Decrease Risk",10-10*((IF('Council Entry'!AE$4="Logarithm",LN(0.001+IF(AND(ISNUMBER('Council Entry'!AE$8),ISNUMBER('Council Entry'!AE$9)),MAX(MIN('Council Entry'!AE165,'Council Entry'!AE$9),'Council Entry'!AE$8),'Council Entry'!AE165)),IF('Council Entry'!AE$4="Exponential",EXP(IF(AND(ISNUMBER('Council Entry'!AE$8),ISNUMBER('Council Entry'!AE$9)),MAX(MIN('Council Entry'!AE165,'Council Entry'!AE$9),'Council Entry'!AE$8),'Council Entry'!AE165)),IF(AND(ISNUMBER('Council Entry'!AE$8),ISNUMBER('Council Entry'!AE$9)),MAX(MIN('Council Entry'!AE165,'Council Entry'!AE$9),'Council Entry'!AE$8),'Council Entry'!AE165))))-'Council Entry'!AE$5)/('Council Entry'!AE$6-'Council Entry'!AE$5),10*((IF('Council Entry'!AE$4="Logarithm",LN(0.001+IF(AND(ISNUMBER('Council Entry'!AE$8),ISNUMBER('Council Entry'!AE$9)),MAX(MIN('Council Entry'!AE165,'Council Entry'!AE$9),'Council Entry'!AE$8),'Council Entry'!AE165)),IF('Council Entry'!AE$4="Exponential",EXP(IF(AND(ISNUMBER('Council Entry'!AE$8),ISNUMBER('Council Entry'!AE$9)),MAX(MIN('Council Entry'!AE165,'Council Entry'!AE$9),'Council Entry'!AE$8),'Council Entry'!AE165)),IF(AND(ISNUMBER('Council Entry'!AE$8),ISNUMBER('Council Entry'!AE$9)),MAX(MIN('Council Entry'!AE165,'Council Entry'!AE$9),'Council Entry'!AE$8),'Council Entry'!AE165))))-'Council Entry'!AE$5)/('Council Entry'!AE$6-'Council Entry'!AE$5)),1))),"No data"))</f>
        <v/>
      </c>
      <c r="AF165" s="13">
        <f>IF('Council Entry'!AF165="","",IFERROR(MAX(0,MIN(10,ROUND(IF('Council Entry'!AF$7="Decrease Risk",10-10*((IF('Council Entry'!AF$4="Logarithm",LN(0.001+IF(AND(ISNUMBER('Council Entry'!AF$8),ISNUMBER('Council Entry'!AF$9)),MAX(MIN('Council Entry'!AF165,'Council Entry'!AF$9),'Council Entry'!AF$8),'Council Entry'!AF165)),IF('Council Entry'!AF$4="Exponential",EXP(IF(AND(ISNUMBER('Council Entry'!AF$8),ISNUMBER('Council Entry'!AF$9)),MAX(MIN('Council Entry'!AF165,'Council Entry'!AF$9),'Council Entry'!AF$8),'Council Entry'!AF165)),IF(AND(ISNUMBER('Council Entry'!AF$8),ISNUMBER('Council Entry'!AF$9)),MAX(MIN('Council Entry'!AF165,'Council Entry'!AF$9),'Council Entry'!AF$8),'Council Entry'!AF165))))-'Council Entry'!AF$5)/('Council Entry'!AF$6-'Council Entry'!AF$5),10*((IF('Council Entry'!AF$4="Logarithm",LN(0.001+IF(AND(ISNUMBER('Council Entry'!AF$8),ISNUMBER('Council Entry'!AF$9)),MAX(MIN('Council Entry'!AF165,'Council Entry'!AF$9),'Council Entry'!AF$8),'Council Entry'!AF165)),IF('Council Entry'!AF$4="Exponential",EXP(IF(AND(ISNUMBER('Council Entry'!AF$8),ISNUMBER('Council Entry'!AF$9)),MAX(MIN('Council Entry'!AF165,'Council Entry'!AF$9),'Council Entry'!AF$8),'Council Entry'!AF165)),IF(AND(ISNUMBER('Council Entry'!AF$8),ISNUMBER('Council Entry'!AF$9)),MAX(MIN('Council Entry'!AF165,'Council Entry'!AF$9),'Council Entry'!AF$8),'Council Entry'!AF165))))-'Council Entry'!AF$5)/('Council Entry'!AF$6-'Council Entry'!AF$5)),1))),"No data"))</f>
        <v/>
      </c>
      <c r="AG165" s="13">
        <f>IF('Council Entry'!AG165="","",IFERROR(MAX(0,MIN(10,ROUND(IF('Council Entry'!AG$7="Decrease Risk",10-10*((IF('Council Entry'!AG$4="Logarithm",LN(0.001+IF(AND(ISNUMBER('Council Entry'!AG$8),ISNUMBER('Council Entry'!AG$9)),MAX(MIN('Council Entry'!AG165,'Council Entry'!AG$9),'Council Entry'!AG$8),'Council Entry'!AG165)),IF('Council Entry'!AG$4="Exponential",EXP(IF(AND(ISNUMBER('Council Entry'!AG$8),ISNUMBER('Council Entry'!AG$9)),MAX(MIN('Council Entry'!AG165,'Council Entry'!AG$9),'Council Entry'!AG$8),'Council Entry'!AG165)),IF(AND(ISNUMBER('Council Entry'!AG$8),ISNUMBER('Council Entry'!AG$9)),MAX(MIN('Council Entry'!AG165,'Council Entry'!AG$9),'Council Entry'!AG$8),'Council Entry'!AG165))))-'Council Entry'!AG$5)/('Council Entry'!AG$6-'Council Entry'!AG$5),10*((IF('Council Entry'!AG$4="Logarithm",LN(0.001+IF(AND(ISNUMBER('Council Entry'!AG$8),ISNUMBER('Council Entry'!AG$9)),MAX(MIN('Council Entry'!AG165,'Council Entry'!AG$9),'Council Entry'!AG$8),'Council Entry'!AG165)),IF('Council Entry'!AG$4="Exponential",EXP(IF(AND(ISNUMBER('Council Entry'!AG$8),ISNUMBER('Council Entry'!AG$9)),MAX(MIN('Council Entry'!AG165,'Council Entry'!AG$9),'Council Entry'!AG$8),'Council Entry'!AG165)),IF(AND(ISNUMBER('Council Entry'!AG$8),ISNUMBER('Council Entry'!AG$9)),MAX(MIN('Council Entry'!AG165,'Council Entry'!AG$9),'Council Entry'!AG$8),'Council Entry'!AG165))))-'Council Entry'!AG$5)/('Council Entry'!AG$6-'Council Entry'!AG$5)),1))),"No data"))</f>
        <v/>
      </c>
      <c r="AH165" s="13">
        <f>IF('Council Entry'!AH165="","",IFERROR(MAX(0,MIN(10,ROUND(IF('Council Entry'!AH$7="Decrease Risk",10-10*((IF('Council Entry'!AH$4="Logarithm",LN(0.001+IF(AND(ISNUMBER('Council Entry'!AH$8),ISNUMBER('Council Entry'!AH$9)),MAX(MIN('Council Entry'!AH165,'Council Entry'!AH$9),'Council Entry'!AH$8),'Council Entry'!AH165)),IF('Council Entry'!AH$4="Exponential",EXP(IF(AND(ISNUMBER('Council Entry'!AH$8),ISNUMBER('Council Entry'!AH$9)),MAX(MIN('Council Entry'!AH165,'Council Entry'!AH$9),'Council Entry'!AH$8),'Council Entry'!AH165)),IF(AND(ISNUMBER('Council Entry'!AH$8),ISNUMBER('Council Entry'!AH$9)),MAX(MIN('Council Entry'!AH165,'Council Entry'!AH$9),'Council Entry'!AH$8),'Council Entry'!AH165))))-'Council Entry'!AH$5)/('Council Entry'!AH$6-'Council Entry'!AH$5),10*((IF('Council Entry'!AH$4="Logarithm",LN(0.001+IF(AND(ISNUMBER('Council Entry'!AH$8),ISNUMBER('Council Entry'!AH$9)),MAX(MIN('Council Entry'!AH165,'Council Entry'!AH$9),'Council Entry'!AH$8),'Council Entry'!AH165)),IF('Council Entry'!AH$4="Exponential",EXP(IF(AND(ISNUMBER('Council Entry'!AH$8),ISNUMBER('Council Entry'!AH$9)),MAX(MIN('Council Entry'!AH165,'Council Entry'!AH$9),'Council Entry'!AH$8),'Council Entry'!AH165)),IF(AND(ISNUMBER('Council Entry'!AH$8),ISNUMBER('Council Entry'!AH$9)),MAX(MIN('Council Entry'!AH165,'Council Entry'!AH$9),'Council Entry'!AH$8),'Council Entry'!AH165))))-'Council Entry'!AH$5)/('Council Entry'!AH$6-'Council Entry'!AH$5)),1))),"No data"))</f>
        <v/>
      </c>
      <c r="AI165" s="13">
        <f>IF('Council Entry'!AI165="","",IFERROR(MAX(0,MIN(10,ROUND(IF('Council Entry'!AI$7="Decrease Risk",10-10*((IF('Council Entry'!AI$4="Logarithm",LN(0.001+IF(AND(ISNUMBER('Council Entry'!AI$8),ISNUMBER('Council Entry'!AI$9)),MAX(MIN('Council Entry'!AI165,'Council Entry'!AI$9),'Council Entry'!AI$8),'Council Entry'!AI165)),IF('Council Entry'!AI$4="Exponential",EXP(IF(AND(ISNUMBER('Council Entry'!AI$8),ISNUMBER('Council Entry'!AI$9)),MAX(MIN('Council Entry'!AI165,'Council Entry'!AI$9),'Council Entry'!AI$8),'Council Entry'!AI165)),IF(AND(ISNUMBER('Council Entry'!AI$8),ISNUMBER('Council Entry'!AI$9)),MAX(MIN('Council Entry'!AI165,'Council Entry'!AI$9),'Council Entry'!AI$8),'Council Entry'!AI165))))-'Council Entry'!AI$5)/('Council Entry'!AI$6-'Council Entry'!AI$5),10*((IF('Council Entry'!AI$4="Logarithm",LN(0.001+IF(AND(ISNUMBER('Council Entry'!AI$8),ISNUMBER('Council Entry'!AI$9)),MAX(MIN('Council Entry'!AI165,'Council Entry'!AI$9),'Council Entry'!AI$8),'Council Entry'!AI165)),IF('Council Entry'!AI$4="Exponential",EXP(IF(AND(ISNUMBER('Council Entry'!AI$8),ISNUMBER('Council Entry'!AI$9)),MAX(MIN('Council Entry'!AI165,'Council Entry'!AI$9),'Council Entry'!AI$8),'Council Entry'!AI165)),IF(AND(ISNUMBER('Council Entry'!AI$8),ISNUMBER('Council Entry'!AI$9)),MAX(MIN('Council Entry'!AI165,'Council Entry'!AI$9),'Council Entry'!AI$8),'Council Entry'!AI165))))-'Council Entry'!AI$5)/('Council Entry'!AI$6-'Council Entry'!AI$5)),1))),"No data"))</f>
        <v/>
      </c>
      <c r="AJ165" s="13">
        <f>IF('Council Entry'!AJ165="","",IFERROR(MAX(0,MIN(10,ROUND(IF('Council Entry'!AJ$7="Decrease Risk",10-10*((IF('Council Entry'!AJ$4="Logarithm",LN(0.001+IF(AND(ISNUMBER('Council Entry'!AJ$8),ISNUMBER('Council Entry'!AJ$9)),MAX(MIN('Council Entry'!AJ165,'Council Entry'!AJ$9),'Council Entry'!AJ$8),'Council Entry'!AJ165)),IF('Council Entry'!AJ$4="Exponential",EXP(IF(AND(ISNUMBER('Council Entry'!AJ$8),ISNUMBER('Council Entry'!AJ$9)),MAX(MIN('Council Entry'!AJ165,'Council Entry'!AJ$9),'Council Entry'!AJ$8),'Council Entry'!AJ165)),IF(AND(ISNUMBER('Council Entry'!AJ$8),ISNUMBER('Council Entry'!AJ$9)),MAX(MIN('Council Entry'!AJ165,'Council Entry'!AJ$9),'Council Entry'!AJ$8),'Council Entry'!AJ165))))-'Council Entry'!AJ$5)/('Council Entry'!AJ$6-'Council Entry'!AJ$5),10*((IF('Council Entry'!AJ$4="Logarithm",LN(0.001+IF(AND(ISNUMBER('Council Entry'!AJ$8),ISNUMBER('Council Entry'!AJ$9)),MAX(MIN('Council Entry'!AJ165,'Council Entry'!AJ$9),'Council Entry'!AJ$8),'Council Entry'!AJ165)),IF('Council Entry'!AJ$4="Exponential",EXP(IF(AND(ISNUMBER('Council Entry'!AJ$8),ISNUMBER('Council Entry'!AJ$9)),MAX(MIN('Council Entry'!AJ165,'Council Entry'!AJ$9),'Council Entry'!AJ$8),'Council Entry'!AJ165)),IF(AND(ISNUMBER('Council Entry'!AJ$8),ISNUMBER('Council Entry'!AJ$9)),MAX(MIN('Council Entry'!AJ165,'Council Entry'!AJ$9),'Council Entry'!AJ$8),'Council Entry'!AJ165))))-'Council Entry'!AJ$5)/('Council Entry'!AJ$6-'Council Entry'!AJ$5)),1))),"No data"))</f>
        <v/>
      </c>
      <c r="AK165" s="13">
        <f>IF('Council Entry'!AK165="","",IFERROR(MAX(0,MIN(10,ROUND(IF('Council Entry'!AK$7="Decrease Risk",10-10*((IF('Council Entry'!AK$4="Logarithm",LN(0.001+IF(AND(ISNUMBER('Council Entry'!AK$8),ISNUMBER('Council Entry'!AK$9)),MAX(MIN('Council Entry'!AK165,'Council Entry'!AK$9),'Council Entry'!AK$8),'Council Entry'!AK165)),IF('Council Entry'!AK$4="Exponential",EXP(IF(AND(ISNUMBER('Council Entry'!AK$8),ISNUMBER('Council Entry'!AK$9)),MAX(MIN('Council Entry'!AK165,'Council Entry'!AK$9),'Council Entry'!AK$8),'Council Entry'!AK165)),IF(AND(ISNUMBER('Council Entry'!AK$8),ISNUMBER('Council Entry'!AK$9)),MAX(MIN('Council Entry'!AK165,'Council Entry'!AK$9),'Council Entry'!AK$8),'Council Entry'!AK165))))-'Council Entry'!AK$5)/('Council Entry'!AK$6-'Council Entry'!AK$5),10*((IF('Council Entry'!AK$4="Logarithm",LN(0.001+IF(AND(ISNUMBER('Council Entry'!AK$8),ISNUMBER('Council Entry'!AK$9)),MAX(MIN('Council Entry'!AK165,'Council Entry'!AK$9),'Council Entry'!AK$8),'Council Entry'!AK165)),IF('Council Entry'!AK$4="Exponential",EXP(IF(AND(ISNUMBER('Council Entry'!AK$8),ISNUMBER('Council Entry'!AK$9)),MAX(MIN('Council Entry'!AK165,'Council Entry'!AK$9),'Council Entry'!AK$8),'Council Entry'!AK165)),IF(AND(ISNUMBER('Council Entry'!AK$8),ISNUMBER('Council Entry'!AK$9)),MAX(MIN('Council Entry'!AK165,'Council Entry'!AK$9),'Council Entry'!AK$8),'Council Entry'!AK165))))-'Council Entry'!AK$5)/('Council Entry'!AK$6-'Council Entry'!AK$5)),1))),"No data"))</f>
        <v/>
      </c>
      <c r="AL165" s="13">
        <f>IF('Council Entry'!AL165="","",IFERROR(MAX(0,MIN(10,ROUND(IF('Council Entry'!AL$7="Decrease Risk",10-10*((IF('Council Entry'!AL$4="Logarithm",LN(0.001+IF(AND(ISNUMBER('Council Entry'!AL$8),ISNUMBER('Council Entry'!AL$9)),MAX(MIN('Council Entry'!AL165,'Council Entry'!AL$9),'Council Entry'!AL$8),'Council Entry'!AL165)),IF('Council Entry'!AL$4="Exponential",EXP(IF(AND(ISNUMBER('Council Entry'!AL$8),ISNUMBER('Council Entry'!AL$9)),MAX(MIN('Council Entry'!AL165,'Council Entry'!AL$9),'Council Entry'!AL$8),'Council Entry'!AL165)),IF(AND(ISNUMBER('Council Entry'!AL$8),ISNUMBER('Council Entry'!AL$9)),MAX(MIN('Council Entry'!AL165,'Council Entry'!AL$9),'Council Entry'!AL$8),'Council Entry'!AL165))))-'Council Entry'!AL$5)/('Council Entry'!AL$6-'Council Entry'!AL$5),10*((IF('Council Entry'!AL$4="Logarithm",LN(0.001+IF(AND(ISNUMBER('Council Entry'!AL$8),ISNUMBER('Council Entry'!AL$9)),MAX(MIN('Council Entry'!AL165,'Council Entry'!AL$9),'Council Entry'!AL$8),'Council Entry'!AL165)),IF('Council Entry'!AL$4="Exponential",EXP(IF(AND(ISNUMBER('Council Entry'!AL$8),ISNUMBER('Council Entry'!AL$9)),MAX(MIN('Council Entry'!AL165,'Council Entry'!AL$9),'Council Entry'!AL$8),'Council Entry'!AL165)),IF(AND(ISNUMBER('Council Entry'!AL$8),ISNUMBER('Council Entry'!AL$9)),MAX(MIN('Council Entry'!AL165,'Council Entry'!AL$9),'Council Entry'!AL$8),'Council Entry'!AL165))))-'Council Entry'!AL$5)/('Council Entry'!AL$6-'Council Entry'!AL$5)),1))),"No data"))</f>
        <v/>
      </c>
      <c r="AM165" s="13">
        <f>IF('Council Entry'!AM165="","",IFERROR(MAX(0,MIN(10,ROUND(IF('Council Entry'!AM$7="Decrease Risk",10-10*((IF('Council Entry'!AM$4="Logarithm",LN(0.001+IF(AND(ISNUMBER('Council Entry'!AM$8),ISNUMBER('Council Entry'!AM$9)),MAX(MIN('Council Entry'!AM165,'Council Entry'!AM$9),'Council Entry'!AM$8),'Council Entry'!AM165)),IF('Council Entry'!AM$4="Exponential",EXP(IF(AND(ISNUMBER('Council Entry'!AM$8),ISNUMBER('Council Entry'!AM$9)),MAX(MIN('Council Entry'!AM165,'Council Entry'!AM$9),'Council Entry'!AM$8),'Council Entry'!AM165)),IF(AND(ISNUMBER('Council Entry'!AM$8),ISNUMBER('Council Entry'!AM$9)),MAX(MIN('Council Entry'!AM165,'Council Entry'!AM$9),'Council Entry'!AM$8),'Council Entry'!AM165))))-'Council Entry'!AM$5)/('Council Entry'!AM$6-'Council Entry'!AM$5),10*((IF('Council Entry'!AM$4="Logarithm",LN(0.001+IF(AND(ISNUMBER('Council Entry'!AM$8),ISNUMBER('Council Entry'!AM$9)),MAX(MIN('Council Entry'!AM165,'Council Entry'!AM$9),'Council Entry'!AM$8),'Council Entry'!AM165)),IF('Council Entry'!AM$4="Exponential",EXP(IF(AND(ISNUMBER('Council Entry'!AM$8),ISNUMBER('Council Entry'!AM$9)),MAX(MIN('Council Entry'!AM165,'Council Entry'!AM$9),'Council Entry'!AM$8),'Council Entry'!AM165)),IF(AND(ISNUMBER('Council Entry'!AM$8),ISNUMBER('Council Entry'!AM$9)),MAX(MIN('Council Entry'!AM165,'Council Entry'!AM$9),'Council Entry'!AM$8),'Council Entry'!AM165))))-'Council Entry'!AM$5)/('Council Entry'!AM$6-'Council Entry'!AM$5)),1))),"No data"))</f>
        <v/>
      </c>
      <c r="AN165" s="13">
        <f>IF('Council Entry'!AN165="","",IFERROR(MAX(0,MIN(10,ROUND(IF('Council Entry'!AN$7="Decrease Risk",10-10*((IF('Council Entry'!AN$4="Logarithm",LN(0.001+IF(AND(ISNUMBER('Council Entry'!AN$8),ISNUMBER('Council Entry'!AN$9)),MAX(MIN('Council Entry'!AN165,'Council Entry'!AN$9),'Council Entry'!AN$8),'Council Entry'!AN165)),IF('Council Entry'!AN$4="Exponential",EXP(IF(AND(ISNUMBER('Council Entry'!AN$8),ISNUMBER('Council Entry'!AN$9)),MAX(MIN('Council Entry'!AN165,'Council Entry'!AN$9),'Council Entry'!AN$8),'Council Entry'!AN165)),IF(AND(ISNUMBER('Council Entry'!AN$8),ISNUMBER('Council Entry'!AN$9)),MAX(MIN('Council Entry'!AN165,'Council Entry'!AN$9),'Council Entry'!AN$8),'Council Entry'!AN165))))-'Council Entry'!AN$5)/('Council Entry'!AN$6-'Council Entry'!AN$5),10*((IF('Council Entry'!AN$4="Logarithm",LN(0.001+IF(AND(ISNUMBER('Council Entry'!AN$8),ISNUMBER('Council Entry'!AN$9)),MAX(MIN('Council Entry'!AN165,'Council Entry'!AN$9),'Council Entry'!AN$8),'Council Entry'!AN165)),IF('Council Entry'!AN$4="Exponential",EXP(IF(AND(ISNUMBER('Council Entry'!AN$8),ISNUMBER('Council Entry'!AN$9)),MAX(MIN('Council Entry'!AN165,'Council Entry'!AN$9),'Council Entry'!AN$8),'Council Entry'!AN165)),IF(AND(ISNUMBER('Council Entry'!AN$8),ISNUMBER('Council Entry'!AN$9)),MAX(MIN('Council Entry'!AN165,'Council Entry'!AN$9),'Council Entry'!AN$8),'Council Entry'!AN165))))-'Council Entry'!AN$5)/('Council Entry'!AN$6-'Council Entry'!AN$5)),1))),"No data"))</f>
        <v/>
      </c>
      <c r="AO165" s="13">
        <f>IF('Council Entry'!AO165="","",IFERROR(MAX(0,MIN(10,ROUND(IF('Council Entry'!AO$7="Decrease Risk",10-10*((IF('Council Entry'!AO$4="Logarithm",LN(0.001+IF(AND(ISNUMBER('Council Entry'!AO$8),ISNUMBER('Council Entry'!AO$9)),MAX(MIN('Council Entry'!AO165,'Council Entry'!AO$9),'Council Entry'!AO$8),'Council Entry'!AO165)),IF('Council Entry'!AO$4="Exponential",EXP(IF(AND(ISNUMBER('Council Entry'!AO$8),ISNUMBER('Council Entry'!AO$9)),MAX(MIN('Council Entry'!AO165,'Council Entry'!AO$9),'Council Entry'!AO$8),'Council Entry'!AO165)),IF(AND(ISNUMBER('Council Entry'!AO$8),ISNUMBER('Council Entry'!AO$9)),MAX(MIN('Council Entry'!AO165,'Council Entry'!AO$9),'Council Entry'!AO$8),'Council Entry'!AO165))))-'Council Entry'!AO$5)/('Council Entry'!AO$6-'Council Entry'!AO$5),10*((IF('Council Entry'!AO$4="Logarithm",LN(0.001+IF(AND(ISNUMBER('Council Entry'!AO$8),ISNUMBER('Council Entry'!AO$9)),MAX(MIN('Council Entry'!AO165,'Council Entry'!AO$9),'Council Entry'!AO$8),'Council Entry'!AO165)),IF('Council Entry'!AO$4="Exponential",EXP(IF(AND(ISNUMBER('Council Entry'!AO$8),ISNUMBER('Council Entry'!AO$9)),MAX(MIN('Council Entry'!AO165,'Council Entry'!AO$9),'Council Entry'!AO$8),'Council Entry'!AO165)),IF(AND(ISNUMBER('Council Entry'!AO$8),ISNUMBER('Council Entry'!AO$9)),MAX(MIN('Council Entry'!AO165,'Council Entry'!AO$9),'Council Entry'!AO$8),'Council Entry'!AO165))))-'Council Entry'!AO$5)/('Council Entry'!AO$6-'Council Entry'!AO$5)),1))),"No data"))</f>
        <v/>
      </c>
      <c r="AP165" s="13">
        <f>IF('Council Entry'!AP165="","",IFERROR(MAX(0,MIN(10,ROUND(IF('Council Entry'!AP$7="Decrease Risk",10-10*((IF('Council Entry'!AP$4="Logarithm",LN(0.001+IF(AND(ISNUMBER('Council Entry'!AP$8),ISNUMBER('Council Entry'!AP$9)),MAX(MIN('Council Entry'!AP165,'Council Entry'!AP$9),'Council Entry'!AP$8),'Council Entry'!AP165)),IF('Council Entry'!AP$4="Exponential",EXP(IF(AND(ISNUMBER('Council Entry'!AP$8),ISNUMBER('Council Entry'!AP$9)),MAX(MIN('Council Entry'!AP165,'Council Entry'!AP$9),'Council Entry'!AP$8),'Council Entry'!AP165)),IF(AND(ISNUMBER('Council Entry'!AP$8),ISNUMBER('Council Entry'!AP$9)),MAX(MIN('Council Entry'!AP165,'Council Entry'!AP$9),'Council Entry'!AP$8),'Council Entry'!AP165))))-'Council Entry'!AP$5)/('Council Entry'!AP$6-'Council Entry'!AP$5),10*((IF('Council Entry'!AP$4="Logarithm",LN(0.001+IF(AND(ISNUMBER('Council Entry'!AP$8),ISNUMBER('Council Entry'!AP$9)),MAX(MIN('Council Entry'!AP165,'Council Entry'!AP$9),'Council Entry'!AP$8),'Council Entry'!AP165)),IF('Council Entry'!AP$4="Exponential",EXP(IF(AND(ISNUMBER('Council Entry'!AP$8),ISNUMBER('Council Entry'!AP$9)),MAX(MIN('Council Entry'!AP165,'Council Entry'!AP$9),'Council Entry'!AP$8),'Council Entry'!AP165)),IF(AND(ISNUMBER('Council Entry'!AP$8),ISNUMBER('Council Entry'!AP$9)),MAX(MIN('Council Entry'!AP165,'Council Entry'!AP$9),'Council Entry'!AP$8),'Council Entry'!AP165))))-'Council Entry'!AP$5)/('Council Entry'!AP$6-'Council Entry'!AP$5)),1))),"No data"))</f>
        <v/>
      </c>
      <c r="AQ165" s="13">
        <f>IF('Council Entry'!AQ165="","",IFERROR(MAX(0,MIN(10,ROUND(IF('Council Entry'!AQ$7="Decrease Risk",10-10*((IF('Council Entry'!AQ$4="Logarithm",LN(0.001+IF(AND(ISNUMBER('Council Entry'!AQ$8),ISNUMBER('Council Entry'!AQ$9)),MAX(MIN('Council Entry'!AQ165,'Council Entry'!AQ$9),'Council Entry'!AQ$8),'Council Entry'!AQ165)),IF('Council Entry'!AQ$4="Exponential",EXP(IF(AND(ISNUMBER('Council Entry'!AQ$8),ISNUMBER('Council Entry'!AQ$9)),MAX(MIN('Council Entry'!AQ165,'Council Entry'!AQ$9),'Council Entry'!AQ$8),'Council Entry'!AQ165)),IF(AND(ISNUMBER('Council Entry'!AQ$8),ISNUMBER('Council Entry'!AQ$9)),MAX(MIN('Council Entry'!AQ165,'Council Entry'!AQ$9),'Council Entry'!AQ$8),'Council Entry'!AQ165))))-'Council Entry'!AQ$5)/('Council Entry'!AQ$6-'Council Entry'!AQ$5),10*((IF('Council Entry'!AQ$4="Logarithm",LN(0.001+IF(AND(ISNUMBER('Council Entry'!AQ$8),ISNUMBER('Council Entry'!AQ$9)),MAX(MIN('Council Entry'!AQ165,'Council Entry'!AQ$9),'Council Entry'!AQ$8),'Council Entry'!AQ165)),IF('Council Entry'!AQ$4="Exponential",EXP(IF(AND(ISNUMBER('Council Entry'!AQ$8),ISNUMBER('Council Entry'!AQ$9)),MAX(MIN('Council Entry'!AQ165,'Council Entry'!AQ$9),'Council Entry'!AQ$8),'Council Entry'!AQ165)),IF(AND(ISNUMBER('Council Entry'!AQ$8),ISNUMBER('Council Entry'!AQ$9)),MAX(MIN('Council Entry'!AQ165,'Council Entry'!AQ$9),'Council Entry'!AQ$8),'Council Entry'!AQ165))))-'Council Entry'!AQ$5)/('Council Entry'!AQ$6-'Council Entry'!AQ$5)),1))),"No data"))</f>
        <v/>
      </c>
      <c r="AR165" s="13">
        <f>IF('Council Entry'!AR165="","",IFERROR(MAX(0,MIN(10,ROUND(IF('Council Entry'!AR$7="Decrease Risk",10-10*((IF('Council Entry'!AR$4="Logarithm",LN(0.001+IF(AND(ISNUMBER('Council Entry'!AR$8),ISNUMBER('Council Entry'!AR$9)),MAX(MIN('Council Entry'!AR165,'Council Entry'!AR$9),'Council Entry'!AR$8),'Council Entry'!AR165)),IF('Council Entry'!AR$4="Exponential",EXP(IF(AND(ISNUMBER('Council Entry'!AR$8),ISNUMBER('Council Entry'!AR$9)),MAX(MIN('Council Entry'!AR165,'Council Entry'!AR$9),'Council Entry'!AR$8),'Council Entry'!AR165)),IF(AND(ISNUMBER('Council Entry'!AR$8),ISNUMBER('Council Entry'!AR$9)),MAX(MIN('Council Entry'!AR165,'Council Entry'!AR$9),'Council Entry'!AR$8),'Council Entry'!AR165))))-'Council Entry'!AR$5)/('Council Entry'!AR$6-'Council Entry'!AR$5),10*((IF('Council Entry'!AR$4="Logarithm",LN(0.001+IF(AND(ISNUMBER('Council Entry'!AR$8),ISNUMBER('Council Entry'!AR$9)),MAX(MIN('Council Entry'!AR165,'Council Entry'!AR$9),'Council Entry'!AR$8),'Council Entry'!AR165)),IF('Council Entry'!AR$4="Exponential",EXP(IF(AND(ISNUMBER('Council Entry'!AR$8),ISNUMBER('Council Entry'!AR$9)),MAX(MIN('Council Entry'!AR165,'Council Entry'!AR$9),'Council Entry'!AR$8),'Council Entry'!AR165)),IF(AND(ISNUMBER('Council Entry'!AR$8),ISNUMBER('Council Entry'!AR$9)),MAX(MIN('Council Entry'!AR165,'Council Entry'!AR$9),'Council Entry'!AR$8),'Council Entry'!AR165))))-'Council Entry'!AR$5)/('Council Entry'!AR$6-'Council Entry'!AR$5)),1))),"No data"))</f>
        <v/>
      </c>
      <c r="AS165" s="13">
        <f>IF('Council Entry'!AS165="","",IFERROR(MAX(0,MIN(10,ROUND(IF('Council Entry'!AS$7="Decrease Risk",10-10*((IF('Council Entry'!AS$4="Logarithm",LN(0.001+IF(AND(ISNUMBER('Council Entry'!AS$8),ISNUMBER('Council Entry'!AS$9)),MAX(MIN('Council Entry'!AS165,'Council Entry'!AS$9),'Council Entry'!AS$8),'Council Entry'!AS165)),IF('Council Entry'!AS$4="Exponential",EXP(IF(AND(ISNUMBER('Council Entry'!AS$8),ISNUMBER('Council Entry'!AS$9)),MAX(MIN('Council Entry'!AS165,'Council Entry'!AS$9),'Council Entry'!AS$8),'Council Entry'!AS165)),IF(AND(ISNUMBER('Council Entry'!AS$8),ISNUMBER('Council Entry'!AS$9)),MAX(MIN('Council Entry'!AS165,'Council Entry'!AS$9),'Council Entry'!AS$8),'Council Entry'!AS165))))-'Council Entry'!AS$5)/('Council Entry'!AS$6-'Council Entry'!AS$5),10*((IF('Council Entry'!AS$4="Logarithm",LN(0.001+IF(AND(ISNUMBER('Council Entry'!AS$8),ISNUMBER('Council Entry'!AS$9)),MAX(MIN('Council Entry'!AS165,'Council Entry'!AS$9),'Council Entry'!AS$8),'Council Entry'!AS165)),IF('Council Entry'!AS$4="Exponential",EXP(IF(AND(ISNUMBER('Council Entry'!AS$8),ISNUMBER('Council Entry'!AS$9)),MAX(MIN('Council Entry'!AS165,'Council Entry'!AS$9),'Council Entry'!AS$8),'Council Entry'!AS165)),IF(AND(ISNUMBER('Council Entry'!AS$8),ISNUMBER('Council Entry'!AS$9)),MAX(MIN('Council Entry'!AS165,'Council Entry'!AS$9),'Council Entry'!AS$8),'Council Entry'!AS165))))-'Council Entry'!AS$5)/('Council Entry'!AS$6-'Council Entry'!AS$5)),1))),"No data"))</f>
        <v/>
      </c>
      <c r="AT165" s="13">
        <f>IF('Council Entry'!AT165="","",IFERROR(MAX(0,MIN(10,ROUND(IF('Council Entry'!AT$7="Decrease Risk",10-10*((IF('Council Entry'!AT$4="Logarithm",LN(0.001+IF(AND(ISNUMBER('Council Entry'!AT$8),ISNUMBER('Council Entry'!AT$9)),MAX(MIN('Council Entry'!AT165,'Council Entry'!AT$9),'Council Entry'!AT$8),'Council Entry'!AT165)),IF('Council Entry'!AT$4="Exponential",EXP(IF(AND(ISNUMBER('Council Entry'!AT$8),ISNUMBER('Council Entry'!AT$9)),MAX(MIN('Council Entry'!AT165,'Council Entry'!AT$9),'Council Entry'!AT$8),'Council Entry'!AT165)),IF(AND(ISNUMBER('Council Entry'!AT$8),ISNUMBER('Council Entry'!AT$9)),MAX(MIN('Council Entry'!AT165,'Council Entry'!AT$9),'Council Entry'!AT$8),'Council Entry'!AT165))))-'Council Entry'!AT$5)/('Council Entry'!AT$6-'Council Entry'!AT$5),10*((IF('Council Entry'!AT$4="Logarithm",LN(0.001+IF(AND(ISNUMBER('Council Entry'!AT$8),ISNUMBER('Council Entry'!AT$9)),MAX(MIN('Council Entry'!AT165,'Council Entry'!AT$9),'Council Entry'!AT$8),'Council Entry'!AT165)),IF('Council Entry'!AT$4="Exponential",EXP(IF(AND(ISNUMBER('Council Entry'!AT$8),ISNUMBER('Council Entry'!AT$9)),MAX(MIN('Council Entry'!AT165,'Council Entry'!AT$9),'Council Entry'!AT$8),'Council Entry'!AT165)),IF(AND(ISNUMBER('Council Entry'!AT$8),ISNUMBER('Council Entry'!AT$9)),MAX(MIN('Council Entry'!AT165,'Council Entry'!AT$9),'Council Entry'!AT$8),'Council Entry'!AT165))))-'Council Entry'!AT$5)/('Council Entry'!AT$6-'Council Entry'!AT$5)),1))),"No data"))</f>
        <v/>
      </c>
      <c r="AU165" s="13">
        <f>IF('Council Entry'!AU165="","",IFERROR(MAX(0,MIN(10,ROUND(IF('Council Entry'!AU$7="Decrease Risk",10-10*((IF('Council Entry'!AU$4="Logarithm",LN(0.001+IF(AND(ISNUMBER('Council Entry'!AU$8),ISNUMBER('Council Entry'!AU$9)),MAX(MIN('Council Entry'!AU165,'Council Entry'!AU$9),'Council Entry'!AU$8),'Council Entry'!AU165)),IF('Council Entry'!AU$4="Exponential",EXP(IF(AND(ISNUMBER('Council Entry'!AU$8),ISNUMBER('Council Entry'!AU$9)),MAX(MIN('Council Entry'!AU165,'Council Entry'!AU$9),'Council Entry'!AU$8),'Council Entry'!AU165)),IF(AND(ISNUMBER('Council Entry'!AU$8),ISNUMBER('Council Entry'!AU$9)),MAX(MIN('Council Entry'!AU165,'Council Entry'!AU$9),'Council Entry'!AU$8),'Council Entry'!AU165))))-'Council Entry'!AU$5)/('Council Entry'!AU$6-'Council Entry'!AU$5),10*((IF('Council Entry'!AU$4="Logarithm",LN(0.001+IF(AND(ISNUMBER('Council Entry'!AU$8),ISNUMBER('Council Entry'!AU$9)),MAX(MIN('Council Entry'!AU165,'Council Entry'!AU$9),'Council Entry'!AU$8),'Council Entry'!AU165)),IF('Council Entry'!AU$4="Exponential",EXP(IF(AND(ISNUMBER('Council Entry'!AU$8),ISNUMBER('Council Entry'!AU$9)),MAX(MIN('Council Entry'!AU165,'Council Entry'!AU$9),'Council Entry'!AU$8),'Council Entry'!AU165)),IF(AND(ISNUMBER('Council Entry'!AU$8),ISNUMBER('Council Entry'!AU$9)),MAX(MIN('Council Entry'!AU165,'Council Entry'!AU$9),'Council Entry'!AU$8),'Council Entry'!AU165))))-'Council Entry'!AU$5)/('Council Entry'!AU$6-'Council Entry'!AU$5)),1))),"No data"))</f>
        <v/>
      </c>
      <c r="AV165" s="13">
        <f>IF('Council Entry'!AV165="","",IFERROR(MAX(0,MIN(10,ROUND(IF('Council Entry'!AV$7="Decrease Risk",10-10*((IF('Council Entry'!AV$4="Logarithm",LN(0.001+IF(AND(ISNUMBER('Council Entry'!AV$8),ISNUMBER('Council Entry'!AV$9)),MAX(MIN('Council Entry'!AV165,'Council Entry'!AV$9),'Council Entry'!AV$8),'Council Entry'!AV165)),IF('Council Entry'!AV$4="Exponential",EXP(IF(AND(ISNUMBER('Council Entry'!AV$8),ISNUMBER('Council Entry'!AV$9)),MAX(MIN('Council Entry'!AV165,'Council Entry'!AV$9),'Council Entry'!AV$8),'Council Entry'!AV165)),IF(AND(ISNUMBER('Council Entry'!AV$8),ISNUMBER('Council Entry'!AV$9)),MAX(MIN('Council Entry'!AV165,'Council Entry'!AV$9),'Council Entry'!AV$8),'Council Entry'!AV165))))-'Council Entry'!AV$5)/('Council Entry'!AV$6-'Council Entry'!AV$5),10*((IF('Council Entry'!AV$4="Logarithm",LN(0.001+IF(AND(ISNUMBER('Council Entry'!AV$8),ISNUMBER('Council Entry'!AV$9)),MAX(MIN('Council Entry'!AV165,'Council Entry'!AV$9),'Council Entry'!AV$8),'Council Entry'!AV165)),IF('Council Entry'!AV$4="Exponential",EXP(IF(AND(ISNUMBER('Council Entry'!AV$8),ISNUMBER('Council Entry'!AV$9)),MAX(MIN('Council Entry'!AV165,'Council Entry'!AV$9),'Council Entry'!AV$8),'Council Entry'!AV165)),IF(AND(ISNUMBER('Council Entry'!AV$8),ISNUMBER('Council Entry'!AV$9)),MAX(MIN('Council Entry'!AV165,'Council Entry'!AV$9),'Council Entry'!AV$8),'Council Entry'!AV165))))-'Council Entry'!AV$5)/('Council Entry'!AV$6-'Council Entry'!AV$5)),1))),"No data"))</f>
        <v/>
      </c>
      <c r="AW165" s="13">
        <f>IF('Council Entry'!AW165="","",IFERROR(MAX(0,MIN(10,ROUND(IF('Council Entry'!AW$7="Decrease Risk",10-10*((IF('Council Entry'!AW$4="Logarithm",LN(0.001+IF(AND(ISNUMBER('Council Entry'!AW$8),ISNUMBER('Council Entry'!AW$9)),MAX(MIN('Council Entry'!AW165,'Council Entry'!AW$9),'Council Entry'!AW$8),'Council Entry'!AW165)),IF('Council Entry'!AW$4="Exponential",EXP(IF(AND(ISNUMBER('Council Entry'!AW$8),ISNUMBER('Council Entry'!AW$9)),MAX(MIN('Council Entry'!AW165,'Council Entry'!AW$9),'Council Entry'!AW$8),'Council Entry'!AW165)),IF(AND(ISNUMBER('Council Entry'!AW$8),ISNUMBER('Council Entry'!AW$9)),MAX(MIN('Council Entry'!AW165,'Council Entry'!AW$9),'Council Entry'!AW$8),'Council Entry'!AW165))))-'Council Entry'!AW$5)/('Council Entry'!AW$6-'Council Entry'!AW$5),10*((IF('Council Entry'!AW$4="Logarithm",LN(0.001+IF(AND(ISNUMBER('Council Entry'!AW$8),ISNUMBER('Council Entry'!AW$9)),MAX(MIN('Council Entry'!AW165,'Council Entry'!AW$9),'Council Entry'!AW$8),'Council Entry'!AW165)),IF('Council Entry'!AW$4="Exponential",EXP(IF(AND(ISNUMBER('Council Entry'!AW$8),ISNUMBER('Council Entry'!AW$9)),MAX(MIN('Council Entry'!AW165,'Council Entry'!AW$9),'Council Entry'!AW$8),'Council Entry'!AW165)),IF(AND(ISNUMBER('Council Entry'!AW$8),ISNUMBER('Council Entry'!AW$9)),MAX(MIN('Council Entry'!AW165,'Council Entry'!AW$9),'Council Entry'!AW$8),'Council Entry'!AW165))))-'Council Entry'!AW$5)/('Council Entry'!AW$6-'Council Entry'!AW$5)),1))),"No data"))</f>
        <v/>
      </c>
      <c r="AX165" s="13">
        <f>IF('Council Entry'!AX165="","",IFERROR(MAX(0,MIN(10,ROUND(IF('Council Entry'!AX$7="Decrease Risk",10-10*((IF('Council Entry'!AX$4="Logarithm",LN(0.001+IF(AND(ISNUMBER('Council Entry'!AX$8),ISNUMBER('Council Entry'!AX$9)),MAX(MIN('Council Entry'!AX165,'Council Entry'!AX$9),'Council Entry'!AX$8),'Council Entry'!AX165)),IF('Council Entry'!AX$4="Exponential",EXP(IF(AND(ISNUMBER('Council Entry'!AX$8),ISNUMBER('Council Entry'!AX$9)),MAX(MIN('Council Entry'!AX165,'Council Entry'!AX$9),'Council Entry'!AX$8),'Council Entry'!AX165)),IF(AND(ISNUMBER('Council Entry'!AX$8),ISNUMBER('Council Entry'!AX$9)),MAX(MIN('Council Entry'!AX165,'Council Entry'!AX$9),'Council Entry'!AX$8),'Council Entry'!AX165))))-'Council Entry'!AX$5)/('Council Entry'!AX$6-'Council Entry'!AX$5),10*((IF('Council Entry'!AX$4="Logarithm",LN(0.001+IF(AND(ISNUMBER('Council Entry'!AX$8),ISNUMBER('Council Entry'!AX$9)),MAX(MIN('Council Entry'!AX165,'Council Entry'!AX$9),'Council Entry'!AX$8),'Council Entry'!AX165)),IF('Council Entry'!AX$4="Exponential",EXP(IF(AND(ISNUMBER('Council Entry'!AX$8),ISNUMBER('Council Entry'!AX$9)),MAX(MIN('Council Entry'!AX165,'Council Entry'!AX$9),'Council Entry'!AX$8),'Council Entry'!AX165)),IF(AND(ISNUMBER('Council Entry'!AX$8),ISNUMBER('Council Entry'!AX$9)),MAX(MIN('Council Entry'!AX165,'Council Entry'!AX$9),'Council Entry'!AX$8),'Council Entry'!AX165))))-'Council Entry'!AX$5)/('Council Entry'!AX$6-'Council Entry'!AX$5)),1))),"No data"))</f>
        <v/>
      </c>
      <c r="AY165" s="13">
        <f>IF('Council Entry'!AY165="","",IFERROR(MAX(0,MIN(10,ROUND(IF('Council Entry'!AY$7="Decrease Risk",10-10*((IF('Council Entry'!AY$4="Logarithm",LN(0.001+IF(AND(ISNUMBER('Council Entry'!AY$8),ISNUMBER('Council Entry'!AY$9)),MAX(MIN('Council Entry'!AY165,'Council Entry'!AY$9),'Council Entry'!AY$8),'Council Entry'!AY165)),IF('Council Entry'!AY$4="Exponential",EXP(IF(AND(ISNUMBER('Council Entry'!AY$8),ISNUMBER('Council Entry'!AY$9)),MAX(MIN('Council Entry'!AY165,'Council Entry'!AY$9),'Council Entry'!AY$8),'Council Entry'!AY165)),IF(AND(ISNUMBER('Council Entry'!AY$8),ISNUMBER('Council Entry'!AY$9)),MAX(MIN('Council Entry'!AY165,'Council Entry'!AY$9),'Council Entry'!AY$8),'Council Entry'!AY165))))-'Council Entry'!AY$5)/('Council Entry'!AY$6-'Council Entry'!AY$5),10*((IF('Council Entry'!AY$4="Logarithm",LN(0.001+IF(AND(ISNUMBER('Council Entry'!AY$8),ISNUMBER('Council Entry'!AY$9)),MAX(MIN('Council Entry'!AY165,'Council Entry'!AY$9),'Council Entry'!AY$8),'Council Entry'!AY165)),IF('Council Entry'!AY$4="Exponential",EXP(IF(AND(ISNUMBER('Council Entry'!AY$8),ISNUMBER('Council Entry'!AY$9)),MAX(MIN('Council Entry'!AY165,'Council Entry'!AY$9),'Council Entry'!AY$8),'Council Entry'!AY165)),IF(AND(ISNUMBER('Council Entry'!AY$8),ISNUMBER('Council Entry'!AY$9)),MAX(MIN('Council Entry'!AY165,'Council Entry'!AY$9),'Council Entry'!AY$8),'Council Entry'!AY165))))-'Council Entry'!AY$5)/('Council Entry'!AY$6-'Council Entry'!AY$5)),1))),"No data"))</f>
        <v/>
      </c>
      <c r="AZ165" s="13">
        <f>IF('Council Entry'!AZ165="","",IFERROR(MAX(0,MIN(10,ROUND(IF('Council Entry'!AZ$7="Decrease Risk",10-10*((IF('Council Entry'!AZ$4="Logarithm",LN(0.001+IF(AND(ISNUMBER('Council Entry'!AZ$8),ISNUMBER('Council Entry'!AZ$9)),MAX(MIN('Council Entry'!AZ165,'Council Entry'!AZ$9),'Council Entry'!AZ$8),'Council Entry'!AZ165)),IF('Council Entry'!AZ$4="Exponential",EXP(IF(AND(ISNUMBER('Council Entry'!AZ$8),ISNUMBER('Council Entry'!AZ$9)),MAX(MIN('Council Entry'!AZ165,'Council Entry'!AZ$9),'Council Entry'!AZ$8),'Council Entry'!AZ165)),IF(AND(ISNUMBER('Council Entry'!AZ$8),ISNUMBER('Council Entry'!AZ$9)),MAX(MIN('Council Entry'!AZ165,'Council Entry'!AZ$9),'Council Entry'!AZ$8),'Council Entry'!AZ165))))-'Council Entry'!AZ$5)/('Council Entry'!AZ$6-'Council Entry'!AZ$5),10*((IF('Council Entry'!AZ$4="Logarithm",LN(0.001+IF(AND(ISNUMBER('Council Entry'!AZ$8),ISNUMBER('Council Entry'!AZ$9)),MAX(MIN('Council Entry'!AZ165,'Council Entry'!AZ$9),'Council Entry'!AZ$8),'Council Entry'!AZ165)),IF('Council Entry'!AZ$4="Exponential",EXP(IF(AND(ISNUMBER('Council Entry'!AZ$8),ISNUMBER('Council Entry'!AZ$9)),MAX(MIN('Council Entry'!AZ165,'Council Entry'!AZ$9),'Council Entry'!AZ$8),'Council Entry'!AZ165)),IF(AND(ISNUMBER('Council Entry'!AZ$8),ISNUMBER('Council Entry'!AZ$9)),MAX(MIN('Council Entry'!AZ165,'Council Entry'!AZ$9),'Council Entry'!AZ$8),'Council Entry'!AZ165))))-'Council Entry'!AZ$5)/('Council Entry'!AZ$6-'Council Entry'!AZ$5)),1))),"No data"))</f>
        <v/>
      </c>
      <c r="BA165" s="13">
        <f>IF('Council Entry'!BA165="","",IFERROR(MAX(0,MIN(10,ROUND(IF('Council Entry'!BA$7="Decrease Risk",10-10*((IF('Council Entry'!BA$4="Logarithm",LN(0.001+IF(AND(ISNUMBER('Council Entry'!BA$8),ISNUMBER('Council Entry'!BA$9)),MAX(MIN('Council Entry'!BA165,'Council Entry'!BA$9),'Council Entry'!BA$8),'Council Entry'!BA165)),IF('Council Entry'!BA$4="Exponential",EXP(IF(AND(ISNUMBER('Council Entry'!BA$8),ISNUMBER('Council Entry'!BA$9)),MAX(MIN('Council Entry'!BA165,'Council Entry'!BA$9),'Council Entry'!BA$8),'Council Entry'!BA165)),IF(AND(ISNUMBER('Council Entry'!BA$8),ISNUMBER('Council Entry'!BA$9)),MAX(MIN('Council Entry'!BA165,'Council Entry'!BA$9),'Council Entry'!BA$8),'Council Entry'!BA165))))-'Council Entry'!BA$5)/('Council Entry'!BA$6-'Council Entry'!BA$5),10*((IF('Council Entry'!BA$4="Logarithm",LN(0.001+IF(AND(ISNUMBER('Council Entry'!BA$8),ISNUMBER('Council Entry'!BA$9)),MAX(MIN('Council Entry'!BA165,'Council Entry'!BA$9),'Council Entry'!BA$8),'Council Entry'!BA165)),IF('Council Entry'!BA$4="Exponential",EXP(IF(AND(ISNUMBER('Council Entry'!BA$8),ISNUMBER('Council Entry'!BA$9)),MAX(MIN('Council Entry'!BA165,'Council Entry'!BA$9),'Council Entry'!BA$8),'Council Entry'!BA165)),IF(AND(ISNUMBER('Council Entry'!BA$8),ISNUMBER('Council Entry'!BA$9)),MAX(MIN('Council Entry'!BA165,'Council Entry'!BA$9),'Council Entry'!BA$8),'Council Entry'!BA165))))-'Council Entry'!BA$5)/('Council Entry'!BA$6-'Council Entry'!BA$5)),1))),"No data"))</f>
        <v/>
      </c>
      <c r="BB165" s="13">
        <f>IF('Council Entry'!BB165="","",IFERROR(MAX(0,MIN(10,ROUND(IF('Council Entry'!BB$7="Decrease Risk",10-10*((IF('Council Entry'!BB$4="Logarithm",LN(0.001+IF(AND(ISNUMBER('Council Entry'!BB$8),ISNUMBER('Council Entry'!BB$9)),MAX(MIN('Council Entry'!BB165,'Council Entry'!BB$9),'Council Entry'!BB$8),'Council Entry'!BB165)),IF('Council Entry'!BB$4="Exponential",EXP(IF(AND(ISNUMBER('Council Entry'!BB$8),ISNUMBER('Council Entry'!BB$9)),MAX(MIN('Council Entry'!BB165,'Council Entry'!BB$9),'Council Entry'!BB$8),'Council Entry'!BB165)),IF(AND(ISNUMBER('Council Entry'!BB$8),ISNUMBER('Council Entry'!BB$9)),MAX(MIN('Council Entry'!BB165,'Council Entry'!BB$9),'Council Entry'!BB$8),'Council Entry'!BB165))))-'Council Entry'!BB$5)/('Council Entry'!BB$6-'Council Entry'!BB$5),10*((IF('Council Entry'!BB$4="Logarithm",LN(0.001+IF(AND(ISNUMBER('Council Entry'!BB$8),ISNUMBER('Council Entry'!BB$9)),MAX(MIN('Council Entry'!BB165,'Council Entry'!BB$9),'Council Entry'!BB$8),'Council Entry'!BB165)),IF('Council Entry'!BB$4="Exponential",EXP(IF(AND(ISNUMBER('Council Entry'!BB$8),ISNUMBER('Council Entry'!BB$9)),MAX(MIN('Council Entry'!BB165,'Council Entry'!BB$9),'Council Entry'!BB$8),'Council Entry'!BB165)),IF(AND(ISNUMBER('Council Entry'!BB$8),ISNUMBER('Council Entry'!BB$9)),MAX(MIN('Council Entry'!BB165,'Council Entry'!BB$9),'Council Entry'!BB$8),'Council Entry'!BB165))))-'Council Entry'!BB$5)/('Council Entry'!BB$6-'Council Entry'!BB$5)),1))),"No data"))</f>
        <v/>
      </c>
      <c r="BC165" s="13">
        <f>IF('Council Entry'!BC165="","",IFERROR(MAX(0,MIN(10,ROUND(IF('Council Entry'!BC$7="Decrease Risk",10-10*((IF('Council Entry'!BC$4="Logarithm",LN(0.001+IF(AND(ISNUMBER('Council Entry'!BC$8),ISNUMBER('Council Entry'!BC$9)),MAX(MIN('Council Entry'!BC165,'Council Entry'!BC$9),'Council Entry'!BC$8),'Council Entry'!BC165)),IF('Council Entry'!BC$4="Exponential",EXP(IF(AND(ISNUMBER('Council Entry'!BC$8),ISNUMBER('Council Entry'!BC$9)),MAX(MIN('Council Entry'!BC165,'Council Entry'!BC$9),'Council Entry'!BC$8),'Council Entry'!BC165)),IF(AND(ISNUMBER('Council Entry'!BC$8),ISNUMBER('Council Entry'!BC$9)),MAX(MIN('Council Entry'!BC165,'Council Entry'!BC$9),'Council Entry'!BC$8),'Council Entry'!BC165))))-'Council Entry'!BC$5)/('Council Entry'!BC$6-'Council Entry'!BC$5),10*((IF('Council Entry'!BC$4="Logarithm",LN(0.001+IF(AND(ISNUMBER('Council Entry'!BC$8),ISNUMBER('Council Entry'!BC$9)),MAX(MIN('Council Entry'!BC165,'Council Entry'!BC$9),'Council Entry'!BC$8),'Council Entry'!BC165)),IF('Council Entry'!BC$4="Exponential",EXP(IF(AND(ISNUMBER('Council Entry'!BC$8),ISNUMBER('Council Entry'!BC$9)),MAX(MIN('Council Entry'!BC165,'Council Entry'!BC$9),'Council Entry'!BC$8),'Council Entry'!BC165)),IF(AND(ISNUMBER('Council Entry'!BC$8),ISNUMBER('Council Entry'!BC$9)),MAX(MIN('Council Entry'!BC165,'Council Entry'!BC$9),'Council Entry'!BC$8),'Council Entry'!BC165))))-'Council Entry'!BC$5)/('Council Entry'!BC$6-'Council Entry'!BC$5)),1))),"No data"))</f>
        <v/>
      </c>
      <c r="BD165" s="13">
        <f>IF('Council Entry'!BD165="","",IFERROR(MAX(0,MIN(10,ROUND(IF('Council Entry'!BD$7="Decrease Risk",10-10*((IF('Council Entry'!BD$4="Logarithm",LN(0.001+IF(AND(ISNUMBER('Council Entry'!BD$8),ISNUMBER('Council Entry'!BD$9)),MAX(MIN('Council Entry'!BD165,'Council Entry'!BD$9),'Council Entry'!BD$8),'Council Entry'!BD165)),IF('Council Entry'!BD$4="Exponential",EXP(IF(AND(ISNUMBER('Council Entry'!BD$8),ISNUMBER('Council Entry'!BD$9)),MAX(MIN('Council Entry'!BD165,'Council Entry'!BD$9),'Council Entry'!BD$8),'Council Entry'!BD165)),IF(AND(ISNUMBER('Council Entry'!BD$8),ISNUMBER('Council Entry'!BD$9)),MAX(MIN('Council Entry'!BD165,'Council Entry'!BD$9),'Council Entry'!BD$8),'Council Entry'!BD165))))-'Council Entry'!BD$5)/('Council Entry'!BD$6-'Council Entry'!BD$5),10*((IF('Council Entry'!BD$4="Logarithm",LN(0.001+IF(AND(ISNUMBER('Council Entry'!BD$8),ISNUMBER('Council Entry'!BD$9)),MAX(MIN('Council Entry'!BD165,'Council Entry'!BD$9),'Council Entry'!BD$8),'Council Entry'!BD165)),IF('Council Entry'!BD$4="Exponential",EXP(IF(AND(ISNUMBER('Council Entry'!BD$8),ISNUMBER('Council Entry'!BD$9)),MAX(MIN('Council Entry'!BD165,'Council Entry'!BD$9),'Council Entry'!BD$8),'Council Entry'!BD165)),IF(AND(ISNUMBER('Council Entry'!BD$8),ISNUMBER('Council Entry'!BD$9)),MAX(MIN('Council Entry'!BD165,'Council Entry'!BD$9),'Council Entry'!BD$8),'Council Entry'!BD165))))-'Council Entry'!BD$5)/('Council Entry'!BD$6-'Council Entry'!BD$5)),1))),"No data"))</f>
        <v/>
      </c>
    </row>
    <row r="166">
      <c r="A166" t="inlineStr">
        <is>
          <t>Shinyanga</t>
        </is>
      </c>
      <c r="B166" t="inlineStr">
        <is>
          <t>Shinyanga District</t>
        </is>
      </c>
      <c r="C166" t="inlineStr">
        <is>
          <t>C123</t>
        </is>
      </c>
      <c r="D166" s="13">
        <f>IF('Council Entry'!D166="","",IFERROR(MAX(0,MIN(10,ROUND(IF('Council Entry'!D$7="Decrease Risk",10-10*((IF('Council Entry'!D$4="Logarithm",LN(0.001+IF(AND(ISNUMBER('Council Entry'!D$8),ISNUMBER('Council Entry'!D$9)),MAX(MIN('Council Entry'!D166,'Council Entry'!D$9),'Council Entry'!D$8),'Council Entry'!D166)),IF('Council Entry'!D$4="Exponential",EXP(IF(AND(ISNUMBER('Council Entry'!D$8),ISNUMBER('Council Entry'!D$9)),MAX(MIN('Council Entry'!D166,'Council Entry'!D$9),'Council Entry'!D$8),'Council Entry'!D166)),IF(AND(ISNUMBER('Council Entry'!D$8),ISNUMBER('Council Entry'!D$9)),MAX(MIN('Council Entry'!D166,'Council Entry'!D$9),'Council Entry'!D$8),'Council Entry'!D166))))-'Council Entry'!D$5)/('Council Entry'!D$6-'Council Entry'!D$5),10*((IF('Council Entry'!D$4="Logarithm",LN(0.001+IF(AND(ISNUMBER('Council Entry'!D$8),ISNUMBER('Council Entry'!D$9)),MAX(MIN('Council Entry'!D166,'Council Entry'!D$9),'Council Entry'!D$8),'Council Entry'!D166)),IF('Council Entry'!D$4="Exponential",EXP(IF(AND(ISNUMBER('Council Entry'!D$8),ISNUMBER('Council Entry'!D$9)),MAX(MIN('Council Entry'!D166,'Council Entry'!D$9),'Council Entry'!D$8),'Council Entry'!D166)),IF(AND(ISNUMBER('Council Entry'!D$8),ISNUMBER('Council Entry'!D$9)),MAX(MIN('Council Entry'!D166,'Council Entry'!D$9),'Council Entry'!D$8),'Council Entry'!D166))))-'Council Entry'!D$5)/('Council Entry'!D$6-'Council Entry'!D$5)),1))),"No data"))</f>
        <v/>
      </c>
      <c r="E166" s="13">
        <f>IF('Council Entry'!E166="","",IFERROR(MAX(0,MIN(10,ROUND(IF('Council Entry'!E$7="Decrease Risk",10-10*((IF('Council Entry'!E$4="Logarithm",LN(0.001+IF(AND(ISNUMBER('Council Entry'!E$8),ISNUMBER('Council Entry'!E$9)),MAX(MIN('Council Entry'!E166,'Council Entry'!E$9),'Council Entry'!E$8),'Council Entry'!E166)),IF('Council Entry'!E$4="Exponential",EXP(IF(AND(ISNUMBER('Council Entry'!E$8),ISNUMBER('Council Entry'!E$9)),MAX(MIN('Council Entry'!E166,'Council Entry'!E$9),'Council Entry'!E$8),'Council Entry'!E166)),IF(AND(ISNUMBER('Council Entry'!E$8),ISNUMBER('Council Entry'!E$9)),MAX(MIN('Council Entry'!E166,'Council Entry'!E$9),'Council Entry'!E$8),'Council Entry'!E166))))-'Council Entry'!E$5)/('Council Entry'!E$6-'Council Entry'!E$5),10*((IF('Council Entry'!E$4="Logarithm",LN(0.001+IF(AND(ISNUMBER('Council Entry'!E$8),ISNUMBER('Council Entry'!E$9)),MAX(MIN('Council Entry'!E166,'Council Entry'!E$9),'Council Entry'!E$8),'Council Entry'!E166)),IF('Council Entry'!E$4="Exponential",EXP(IF(AND(ISNUMBER('Council Entry'!E$8),ISNUMBER('Council Entry'!E$9)),MAX(MIN('Council Entry'!E166,'Council Entry'!E$9),'Council Entry'!E$8),'Council Entry'!E166)),IF(AND(ISNUMBER('Council Entry'!E$8),ISNUMBER('Council Entry'!E$9)),MAX(MIN('Council Entry'!E166,'Council Entry'!E$9),'Council Entry'!E$8),'Council Entry'!E166))))-'Council Entry'!E$5)/('Council Entry'!E$6-'Council Entry'!E$5)),1))),"No data"))</f>
        <v/>
      </c>
      <c r="F166" s="13">
        <f>IF('Council Entry'!F166="","",IFERROR(MAX(0,MIN(10,ROUND(IF('Council Entry'!F$7="Decrease Risk",10-10*((IF('Council Entry'!F$4="Logarithm",LN(0.001+IF(AND(ISNUMBER('Council Entry'!F$8),ISNUMBER('Council Entry'!F$9)),MAX(MIN('Council Entry'!F166,'Council Entry'!F$9),'Council Entry'!F$8),'Council Entry'!F166)),IF('Council Entry'!F$4="Exponential",EXP(IF(AND(ISNUMBER('Council Entry'!F$8),ISNUMBER('Council Entry'!F$9)),MAX(MIN('Council Entry'!F166,'Council Entry'!F$9),'Council Entry'!F$8),'Council Entry'!F166)),IF(AND(ISNUMBER('Council Entry'!F$8),ISNUMBER('Council Entry'!F$9)),MAX(MIN('Council Entry'!F166,'Council Entry'!F$9),'Council Entry'!F$8),'Council Entry'!F166))))-'Council Entry'!F$5)/('Council Entry'!F$6-'Council Entry'!F$5),10*((IF('Council Entry'!F$4="Logarithm",LN(0.001+IF(AND(ISNUMBER('Council Entry'!F$8),ISNUMBER('Council Entry'!F$9)),MAX(MIN('Council Entry'!F166,'Council Entry'!F$9),'Council Entry'!F$8),'Council Entry'!F166)),IF('Council Entry'!F$4="Exponential",EXP(IF(AND(ISNUMBER('Council Entry'!F$8),ISNUMBER('Council Entry'!F$9)),MAX(MIN('Council Entry'!F166,'Council Entry'!F$9),'Council Entry'!F$8),'Council Entry'!F166)),IF(AND(ISNUMBER('Council Entry'!F$8),ISNUMBER('Council Entry'!F$9)),MAX(MIN('Council Entry'!F166,'Council Entry'!F$9),'Council Entry'!F$8),'Council Entry'!F166))))-'Council Entry'!F$5)/('Council Entry'!F$6-'Council Entry'!F$5)),1))),"No data"))</f>
        <v/>
      </c>
      <c r="G166" s="13">
        <f>IF('Council Entry'!G166="","",IFERROR(MAX(0,MIN(10,ROUND(IF('Council Entry'!G$7="Decrease Risk",10-10*((IF('Council Entry'!G$4="Logarithm",LN(0.001+IF(AND(ISNUMBER('Council Entry'!G$8),ISNUMBER('Council Entry'!G$9)),MAX(MIN('Council Entry'!G166,'Council Entry'!G$9),'Council Entry'!G$8),'Council Entry'!G166)),IF('Council Entry'!G$4="Exponential",EXP(IF(AND(ISNUMBER('Council Entry'!G$8),ISNUMBER('Council Entry'!G$9)),MAX(MIN('Council Entry'!G166,'Council Entry'!G$9),'Council Entry'!G$8),'Council Entry'!G166)),IF(AND(ISNUMBER('Council Entry'!G$8),ISNUMBER('Council Entry'!G$9)),MAX(MIN('Council Entry'!G166,'Council Entry'!G$9),'Council Entry'!G$8),'Council Entry'!G166))))-'Council Entry'!G$5)/('Council Entry'!G$6-'Council Entry'!G$5),10*((IF('Council Entry'!G$4="Logarithm",LN(0.001+IF(AND(ISNUMBER('Council Entry'!G$8),ISNUMBER('Council Entry'!G$9)),MAX(MIN('Council Entry'!G166,'Council Entry'!G$9),'Council Entry'!G$8),'Council Entry'!G166)),IF('Council Entry'!G$4="Exponential",EXP(IF(AND(ISNUMBER('Council Entry'!G$8),ISNUMBER('Council Entry'!G$9)),MAX(MIN('Council Entry'!G166,'Council Entry'!G$9),'Council Entry'!G$8),'Council Entry'!G166)),IF(AND(ISNUMBER('Council Entry'!G$8),ISNUMBER('Council Entry'!G$9)),MAX(MIN('Council Entry'!G166,'Council Entry'!G$9),'Council Entry'!G$8),'Council Entry'!G166))))-'Council Entry'!G$5)/('Council Entry'!G$6-'Council Entry'!G$5)),1))),"No data"))</f>
        <v/>
      </c>
      <c r="H166" s="13">
        <f>IF('Council Entry'!H166="","",IFERROR(MAX(0,MIN(10,ROUND(IF('Council Entry'!H$7="Decrease Risk",10-10*((IF('Council Entry'!H$4="Logarithm",LN(0.001+IF(AND(ISNUMBER('Council Entry'!H$8),ISNUMBER('Council Entry'!H$9)),MAX(MIN('Council Entry'!H166,'Council Entry'!H$9),'Council Entry'!H$8),'Council Entry'!H166)),IF('Council Entry'!H$4="Exponential",EXP(IF(AND(ISNUMBER('Council Entry'!H$8),ISNUMBER('Council Entry'!H$9)),MAX(MIN('Council Entry'!H166,'Council Entry'!H$9),'Council Entry'!H$8),'Council Entry'!H166)),IF(AND(ISNUMBER('Council Entry'!H$8),ISNUMBER('Council Entry'!H$9)),MAX(MIN('Council Entry'!H166,'Council Entry'!H$9),'Council Entry'!H$8),'Council Entry'!H166))))-'Council Entry'!H$5)/('Council Entry'!H$6-'Council Entry'!H$5),10*((IF('Council Entry'!H$4="Logarithm",LN(0.001+IF(AND(ISNUMBER('Council Entry'!H$8),ISNUMBER('Council Entry'!H$9)),MAX(MIN('Council Entry'!H166,'Council Entry'!H$9),'Council Entry'!H$8),'Council Entry'!H166)),IF('Council Entry'!H$4="Exponential",EXP(IF(AND(ISNUMBER('Council Entry'!H$8),ISNUMBER('Council Entry'!H$9)),MAX(MIN('Council Entry'!H166,'Council Entry'!H$9),'Council Entry'!H$8),'Council Entry'!H166)),IF(AND(ISNUMBER('Council Entry'!H$8),ISNUMBER('Council Entry'!H$9)),MAX(MIN('Council Entry'!H166,'Council Entry'!H$9),'Council Entry'!H$8),'Council Entry'!H166))))-'Council Entry'!H$5)/('Council Entry'!H$6-'Council Entry'!H$5)),1))),"No data"))</f>
        <v/>
      </c>
      <c r="I166" s="13">
        <f>IF('Council Entry'!I166="","",IFERROR(MAX(0,MIN(10,ROUND(IF('Council Entry'!I$7="Decrease Risk",10-10*((IF('Council Entry'!I$4="Logarithm",LN(0.001+IF(AND(ISNUMBER('Council Entry'!I$8),ISNUMBER('Council Entry'!I$9)),MAX(MIN('Council Entry'!I166,'Council Entry'!I$9),'Council Entry'!I$8),'Council Entry'!I166)),IF('Council Entry'!I$4="Exponential",EXP(IF(AND(ISNUMBER('Council Entry'!I$8),ISNUMBER('Council Entry'!I$9)),MAX(MIN('Council Entry'!I166,'Council Entry'!I$9),'Council Entry'!I$8),'Council Entry'!I166)),IF(AND(ISNUMBER('Council Entry'!I$8),ISNUMBER('Council Entry'!I$9)),MAX(MIN('Council Entry'!I166,'Council Entry'!I$9),'Council Entry'!I$8),'Council Entry'!I166))))-'Council Entry'!I$5)/('Council Entry'!I$6-'Council Entry'!I$5),10*((IF('Council Entry'!I$4="Logarithm",LN(0.001+IF(AND(ISNUMBER('Council Entry'!I$8),ISNUMBER('Council Entry'!I$9)),MAX(MIN('Council Entry'!I166,'Council Entry'!I$9),'Council Entry'!I$8),'Council Entry'!I166)),IF('Council Entry'!I$4="Exponential",EXP(IF(AND(ISNUMBER('Council Entry'!I$8),ISNUMBER('Council Entry'!I$9)),MAX(MIN('Council Entry'!I166,'Council Entry'!I$9),'Council Entry'!I$8),'Council Entry'!I166)),IF(AND(ISNUMBER('Council Entry'!I$8),ISNUMBER('Council Entry'!I$9)),MAX(MIN('Council Entry'!I166,'Council Entry'!I$9),'Council Entry'!I$8),'Council Entry'!I166))))-'Council Entry'!I$5)/('Council Entry'!I$6-'Council Entry'!I$5)),1))),"No data"))</f>
        <v/>
      </c>
      <c r="J166" s="13">
        <f>IF('Council Entry'!J166="","",IFERROR(MAX(0,MIN(10,ROUND(IF('Council Entry'!J$7="Decrease Risk",10-10*((IF('Council Entry'!J$4="Logarithm",LN(0.001+IF(AND(ISNUMBER('Council Entry'!J$8),ISNUMBER('Council Entry'!J$9)),MAX(MIN('Council Entry'!J166,'Council Entry'!J$9),'Council Entry'!J$8),'Council Entry'!J166)),IF('Council Entry'!J$4="Exponential",EXP(IF(AND(ISNUMBER('Council Entry'!J$8),ISNUMBER('Council Entry'!J$9)),MAX(MIN('Council Entry'!J166,'Council Entry'!J$9),'Council Entry'!J$8),'Council Entry'!J166)),IF(AND(ISNUMBER('Council Entry'!J$8),ISNUMBER('Council Entry'!J$9)),MAX(MIN('Council Entry'!J166,'Council Entry'!J$9),'Council Entry'!J$8),'Council Entry'!J166))))-'Council Entry'!J$5)/('Council Entry'!J$6-'Council Entry'!J$5),10*((IF('Council Entry'!J$4="Logarithm",LN(0.001+IF(AND(ISNUMBER('Council Entry'!J$8),ISNUMBER('Council Entry'!J$9)),MAX(MIN('Council Entry'!J166,'Council Entry'!J$9),'Council Entry'!J$8),'Council Entry'!J166)),IF('Council Entry'!J$4="Exponential",EXP(IF(AND(ISNUMBER('Council Entry'!J$8),ISNUMBER('Council Entry'!J$9)),MAX(MIN('Council Entry'!J166,'Council Entry'!J$9),'Council Entry'!J$8),'Council Entry'!J166)),IF(AND(ISNUMBER('Council Entry'!J$8),ISNUMBER('Council Entry'!J$9)),MAX(MIN('Council Entry'!J166,'Council Entry'!J$9),'Council Entry'!J$8),'Council Entry'!J166))))-'Council Entry'!J$5)/('Council Entry'!J$6-'Council Entry'!J$5)),1))),"No data"))</f>
        <v/>
      </c>
      <c r="K166" s="13">
        <f>IF('Council Entry'!K166="","",IFERROR(MAX(0,MIN(10,ROUND(IF('Council Entry'!K$7="Decrease Risk",10-10*((IF('Council Entry'!K$4="Logarithm",LN(0.001+IF(AND(ISNUMBER('Council Entry'!K$8),ISNUMBER('Council Entry'!K$9)),MAX(MIN('Council Entry'!K166,'Council Entry'!K$9),'Council Entry'!K$8),'Council Entry'!K166)),IF('Council Entry'!K$4="Exponential",EXP(IF(AND(ISNUMBER('Council Entry'!K$8),ISNUMBER('Council Entry'!K$9)),MAX(MIN('Council Entry'!K166,'Council Entry'!K$9),'Council Entry'!K$8),'Council Entry'!K166)),IF(AND(ISNUMBER('Council Entry'!K$8),ISNUMBER('Council Entry'!K$9)),MAX(MIN('Council Entry'!K166,'Council Entry'!K$9),'Council Entry'!K$8),'Council Entry'!K166))))-'Council Entry'!K$5)/('Council Entry'!K$6-'Council Entry'!K$5),10*((IF('Council Entry'!K$4="Logarithm",LN(0.001+IF(AND(ISNUMBER('Council Entry'!K$8),ISNUMBER('Council Entry'!K$9)),MAX(MIN('Council Entry'!K166,'Council Entry'!K$9),'Council Entry'!K$8),'Council Entry'!K166)),IF('Council Entry'!K$4="Exponential",EXP(IF(AND(ISNUMBER('Council Entry'!K$8),ISNUMBER('Council Entry'!K$9)),MAX(MIN('Council Entry'!K166,'Council Entry'!K$9),'Council Entry'!K$8),'Council Entry'!K166)),IF(AND(ISNUMBER('Council Entry'!K$8),ISNUMBER('Council Entry'!K$9)),MAX(MIN('Council Entry'!K166,'Council Entry'!K$9),'Council Entry'!K$8),'Council Entry'!K166))))-'Council Entry'!K$5)/('Council Entry'!K$6-'Council Entry'!K$5)),1))),"No data"))</f>
        <v/>
      </c>
      <c r="L166" s="13">
        <f>IF('Council Entry'!L166="","",IFERROR(MAX(0,MIN(10,ROUND(IF('Council Entry'!L$7="Decrease Risk",10-10*((IF('Council Entry'!L$4="Logarithm",LN(0.001+IF(AND(ISNUMBER('Council Entry'!L$8),ISNUMBER('Council Entry'!L$9)),MAX(MIN('Council Entry'!L166,'Council Entry'!L$9),'Council Entry'!L$8),'Council Entry'!L166)),IF('Council Entry'!L$4="Exponential",EXP(IF(AND(ISNUMBER('Council Entry'!L$8),ISNUMBER('Council Entry'!L$9)),MAX(MIN('Council Entry'!L166,'Council Entry'!L$9),'Council Entry'!L$8),'Council Entry'!L166)),IF(AND(ISNUMBER('Council Entry'!L$8),ISNUMBER('Council Entry'!L$9)),MAX(MIN('Council Entry'!L166,'Council Entry'!L$9),'Council Entry'!L$8),'Council Entry'!L166))))-'Council Entry'!L$5)/('Council Entry'!L$6-'Council Entry'!L$5),10*((IF('Council Entry'!L$4="Logarithm",LN(0.001+IF(AND(ISNUMBER('Council Entry'!L$8),ISNUMBER('Council Entry'!L$9)),MAX(MIN('Council Entry'!L166,'Council Entry'!L$9),'Council Entry'!L$8),'Council Entry'!L166)),IF('Council Entry'!L$4="Exponential",EXP(IF(AND(ISNUMBER('Council Entry'!L$8),ISNUMBER('Council Entry'!L$9)),MAX(MIN('Council Entry'!L166,'Council Entry'!L$9),'Council Entry'!L$8),'Council Entry'!L166)),IF(AND(ISNUMBER('Council Entry'!L$8),ISNUMBER('Council Entry'!L$9)),MAX(MIN('Council Entry'!L166,'Council Entry'!L$9),'Council Entry'!L$8),'Council Entry'!L166))))-'Council Entry'!L$5)/('Council Entry'!L$6-'Council Entry'!L$5)),1))),"No data"))</f>
        <v/>
      </c>
      <c r="M166" s="13">
        <f>IF('Council Entry'!M166="","",IFERROR(MAX(0,MIN(10,ROUND(IF('Council Entry'!M$7="Decrease Risk",10-10*((IF('Council Entry'!M$4="Logarithm",LN(0.001+IF(AND(ISNUMBER('Council Entry'!M$8),ISNUMBER('Council Entry'!M$9)),MAX(MIN('Council Entry'!M166,'Council Entry'!M$9),'Council Entry'!M$8),'Council Entry'!M166)),IF('Council Entry'!M$4="Exponential",EXP(IF(AND(ISNUMBER('Council Entry'!M$8),ISNUMBER('Council Entry'!M$9)),MAX(MIN('Council Entry'!M166,'Council Entry'!M$9),'Council Entry'!M$8),'Council Entry'!M166)),IF(AND(ISNUMBER('Council Entry'!M$8),ISNUMBER('Council Entry'!M$9)),MAX(MIN('Council Entry'!M166,'Council Entry'!M$9),'Council Entry'!M$8),'Council Entry'!M166))))-'Council Entry'!M$5)/('Council Entry'!M$6-'Council Entry'!M$5),10*((IF('Council Entry'!M$4="Logarithm",LN(0.001+IF(AND(ISNUMBER('Council Entry'!M$8),ISNUMBER('Council Entry'!M$9)),MAX(MIN('Council Entry'!M166,'Council Entry'!M$9),'Council Entry'!M$8),'Council Entry'!M166)),IF('Council Entry'!M$4="Exponential",EXP(IF(AND(ISNUMBER('Council Entry'!M$8),ISNUMBER('Council Entry'!M$9)),MAX(MIN('Council Entry'!M166,'Council Entry'!M$9),'Council Entry'!M$8),'Council Entry'!M166)),IF(AND(ISNUMBER('Council Entry'!M$8),ISNUMBER('Council Entry'!M$9)),MAX(MIN('Council Entry'!M166,'Council Entry'!M$9),'Council Entry'!M$8),'Council Entry'!M166))))-'Council Entry'!M$5)/('Council Entry'!M$6-'Council Entry'!M$5)),1))),"No data"))</f>
        <v/>
      </c>
      <c r="N166" s="13">
        <f>IF('Council Entry'!N166="","",IFERROR(MAX(0,MIN(10,ROUND(IF('Council Entry'!N$7="Decrease Risk",10-10*((IF('Council Entry'!N$4="Logarithm",LN(0.001+IF(AND(ISNUMBER('Council Entry'!N$8),ISNUMBER('Council Entry'!N$9)),MAX(MIN('Council Entry'!N166,'Council Entry'!N$9),'Council Entry'!N$8),'Council Entry'!N166)),IF('Council Entry'!N$4="Exponential",EXP(IF(AND(ISNUMBER('Council Entry'!N$8),ISNUMBER('Council Entry'!N$9)),MAX(MIN('Council Entry'!N166,'Council Entry'!N$9),'Council Entry'!N$8),'Council Entry'!N166)),IF(AND(ISNUMBER('Council Entry'!N$8),ISNUMBER('Council Entry'!N$9)),MAX(MIN('Council Entry'!N166,'Council Entry'!N$9),'Council Entry'!N$8),'Council Entry'!N166))))-'Council Entry'!N$5)/('Council Entry'!N$6-'Council Entry'!N$5),10*((IF('Council Entry'!N$4="Logarithm",LN(0.001+IF(AND(ISNUMBER('Council Entry'!N$8),ISNUMBER('Council Entry'!N$9)),MAX(MIN('Council Entry'!N166,'Council Entry'!N$9),'Council Entry'!N$8),'Council Entry'!N166)),IF('Council Entry'!N$4="Exponential",EXP(IF(AND(ISNUMBER('Council Entry'!N$8),ISNUMBER('Council Entry'!N$9)),MAX(MIN('Council Entry'!N166,'Council Entry'!N$9),'Council Entry'!N$8),'Council Entry'!N166)),IF(AND(ISNUMBER('Council Entry'!N$8),ISNUMBER('Council Entry'!N$9)),MAX(MIN('Council Entry'!N166,'Council Entry'!N$9),'Council Entry'!N$8),'Council Entry'!N166))))-'Council Entry'!N$5)/('Council Entry'!N$6-'Council Entry'!N$5)),1))),"No data"))</f>
        <v/>
      </c>
      <c r="O166" s="13">
        <f>IF('Council Entry'!O166="","",IFERROR(MAX(0,MIN(10,ROUND(IF('Council Entry'!O$7="Decrease Risk",10-10*((IF('Council Entry'!O$4="Logarithm",LN(0.001+IF(AND(ISNUMBER('Council Entry'!O$8),ISNUMBER('Council Entry'!O$9)),MAX(MIN('Council Entry'!O166,'Council Entry'!O$9),'Council Entry'!O$8),'Council Entry'!O166)),IF('Council Entry'!O$4="Exponential",EXP(IF(AND(ISNUMBER('Council Entry'!O$8),ISNUMBER('Council Entry'!O$9)),MAX(MIN('Council Entry'!O166,'Council Entry'!O$9),'Council Entry'!O$8),'Council Entry'!O166)),IF(AND(ISNUMBER('Council Entry'!O$8),ISNUMBER('Council Entry'!O$9)),MAX(MIN('Council Entry'!O166,'Council Entry'!O$9),'Council Entry'!O$8),'Council Entry'!O166))))-'Council Entry'!O$5)/('Council Entry'!O$6-'Council Entry'!O$5),10*((IF('Council Entry'!O$4="Logarithm",LN(0.001+IF(AND(ISNUMBER('Council Entry'!O$8),ISNUMBER('Council Entry'!O$9)),MAX(MIN('Council Entry'!O166,'Council Entry'!O$9),'Council Entry'!O$8),'Council Entry'!O166)),IF('Council Entry'!O$4="Exponential",EXP(IF(AND(ISNUMBER('Council Entry'!O$8),ISNUMBER('Council Entry'!O$9)),MAX(MIN('Council Entry'!O166,'Council Entry'!O$9),'Council Entry'!O$8),'Council Entry'!O166)),IF(AND(ISNUMBER('Council Entry'!O$8),ISNUMBER('Council Entry'!O$9)),MAX(MIN('Council Entry'!O166,'Council Entry'!O$9),'Council Entry'!O$8),'Council Entry'!O166))))-'Council Entry'!O$5)/('Council Entry'!O$6-'Council Entry'!O$5)),1))),"No data"))</f>
        <v/>
      </c>
      <c r="P166" s="13">
        <f>IF('Council Entry'!P166="","",IFERROR(MAX(0,MIN(10,ROUND(IF('Council Entry'!P$7="Decrease Risk",10-10*((IF('Council Entry'!P$4="Logarithm",LN(0.001+IF(AND(ISNUMBER('Council Entry'!P$8),ISNUMBER('Council Entry'!P$9)),MAX(MIN('Council Entry'!P166,'Council Entry'!P$9),'Council Entry'!P$8),'Council Entry'!P166)),IF('Council Entry'!P$4="Exponential",EXP(IF(AND(ISNUMBER('Council Entry'!P$8),ISNUMBER('Council Entry'!P$9)),MAX(MIN('Council Entry'!P166,'Council Entry'!P$9),'Council Entry'!P$8),'Council Entry'!P166)),IF(AND(ISNUMBER('Council Entry'!P$8),ISNUMBER('Council Entry'!P$9)),MAX(MIN('Council Entry'!P166,'Council Entry'!P$9),'Council Entry'!P$8),'Council Entry'!P166))))-'Council Entry'!P$5)/('Council Entry'!P$6-'Council Entry'!P$5),10*((IF('Council Entry'!P$4="Logarithm",LN(0.001+IF(AND(ISNUMBER('Council Entry'!P$8),ISNUMBER('Council Entry'!P$9)),MAX(MIN('Council Entry'!P166,'Council Entry'!P$9),'Council Entry'!P$8),'Council Entry'!P166)),IF('Council Entry'!P$4="Exponential",EXP(IF(AND(ISNUMBER('Council Entry'!P$8),ISNUMBER('Council Entry'!P$9)),MAX(MIN('Council Entry'!P166,'Council Entry'!P$9),'Council Entry'!P$8),'Council Entry'!P166)),IF(AND(ISNUMBER('Council Entry'!P$8),ISNUMBER('Council Entry'!P$9)),MAX(MIN('Council Entry'!P166,'Council Entry'!P$9),'Council Entry'!P$8),'Council Entry'!P166))))-'Council Entry'!P$5)/('Council Entry'!P$6-'Council Entry'!P$5)),1))),"No data"))</f>
        <v/>
      </c>
      <c r="Q166" s="13">
        <f>IF('Council Entry'!Q166="","",IFERROR(MAX(0,MIN(10,ROUND(IF('Council Entry'!Q$7="Decrease Risk",10-10*((IF('Council Entry'!Q$4="Logarithm",LN(0.001+IF(AND(ISNUMBER('Council Entry'!Q$8),ISNUMBER('Council Entry'!Q$9)),MAX(MIN('Council Entry'!Q166,'Council Entry'!Q$9),'Council Entry'!Q$8),'Council Entry'!Q166)),IF('Council Entry'!Q$4="Exponential",EXP(IF(AND(ISNUMBER('Council Entry'!Q$8),ISNUMBER('Council Entry'!Q$9)),MAX(MIN('Council Entry'!Q166,'Council Entry'!Q$9),'Council Entry'!Q$8),'Council Entry'!Q166)),IF(AND(ISNUMBER('Council Entry'!Q$8),ISNUMBER('Council Entry'!Q$9)),MAX(MIN('Council Entry'!Q166,'Council Entry'!Q$9),'Council Entry'!Q$8),'Council Entry'!Q166))))-'Council Entry'!Q$5)/('Council Entry'!Q$6-'Council Entry'!Q$5),10*((IF('Council Entry'!Q$4="Logarithm",LN(0.001+IF(AND(ISNUMBER('Council Entry'!Q$8),ISNUMBER('Council Entry'!Q$9)),MAX(MIN('Council Entry'!Q166,'Council Entry'!Q$9),'Council Entry'!Q$8),'Council Entry'!Q166)),IF('Council Entry'!Q$4="Exponential",EXP(IF(AND(ISNUMBER('Council Entry'!Q$8),ISNUMBER('Council Entry'!Q$9)),MAX(MIN('Council Entry'!Q166,'Council Entry'!Q$9),'Council Entry'!Q$8),'Council Entry'!Q166)),IF(AND(ISNUMBER('Council Entry'!Q$8),ISNUMBER('Council Entry'!Q$9)),MAX(MIN('Council Entry'!Q166,'Council Entry'!Q$9),'Council Entry'!Q$8),'Council Entry'!Q166))))-'Council Entry'!Q$5)/('Council Entry'!Q$6-'Council Entry'!Q$5)),1))),"No data"))</f>
        <v/>
      </c>
      <c r="R166" s="13">
        <f>IF('Council Entry'!R166="","",IFERROR(MAX(0,MIN(10,ROUND(IF('Council Entry'!R$7="Decrease Risk",10-10*((IF('Council Entry'!R$4="Logarithm",LN(0.001+IF(AND(ISNUMBER('Council Entry'!R$8),ISNUMBER('Council Entry'!R$9)),MAX(MIN('Council Entry'!R166,'Council Entry'!R$9),'Council Entry'!R$8),'Council Entry'!R166)),IF('Council Entry'!R$4="Exponential",EXP(IF(AND(ISNUMBER('Council Entry'!R$8),ISNUMBER('Council Entry'!R$9)),MAX(MIN('Council Entry'!R166,'Council Entry'!R$9),'Council Entry'!R$8),'Council Entry'!R166)),IF(AND(ISNUMBER('Council Entry'!R$8),ISNUMBER('Council Entry'!R$9)),MAX(MIN('Council Entry'!R166,'Council Entry'!R$9),'Council Entry'!R$8),'Council Entry'!R166))))-'Council Entry'!R$5)/('Council Entry'!R$6-'Council Entry'!R$5),10*((IF('Council Entry'!R$4="Logarithm",LN(0.001+IF(AND(ISNUMBER('Council Entry'!R$8),ISNUMBER('Council Entry'!R$9)),MAX(MIN('Council Entry'!R166,'Council Entry'!R$9),'Council Entry'!R$8),'Council Entry'!R166)),IF('Council Entry'!R$4="Exponential",EXP(IF(AND(ISNUMBER('Council Entry'!R$8),ISNUMBER('Council Entry'!R$9)),MAX(MIN('Council Entry'!R166,'Council Entry'!R$9),'Council Entry'!R$8),'Council Entry'!R166)),IF(AND(ISNUMBER('Council Entry'!R$8),ISNUMBER('Council Entry'!R$9)),MAX(MIN('Council Entry'!R166,'Council Entry'!R$9),'Council Entry'!R$8),'Council Entry'!R166))))-'Council Entry'!R$5)/('Council Entry'!R$6-'Council Entry'!R$5)),1))),"No data"))</f>
        <v/>
      </c>
      <c r="S166" s="13">
        <f>IF('Council Entry'!S166="","",IFERROR(MAX(0,MIN(10,ROUND(IF('Council Entry'!S$7="Decrease Risk",10-10*((IF('Council Entry'!S$4="Logarithm",LN(0.001+IF(AND(ISNUMBER('Council Entry'!S$8),ISNUMBER('Council Entry'!S$9)),MAX(MIN('Council Entry'!S166,'Council Entry'!S$9),'Council Entry'!S$8),'Council Entry'!S166)),IF('Council Entry'!S$4="Exponential",EXP(IF(AND(ISNUMBER('Council Entry'!S$8),ISNUMBER('Council Entry'!S$9)),MAX(MIN('Council Entry'!S166,'Council Entry'!S$9),'Council Entry'!S$8),'Council Entry'!S166)),IF(AND(ISNUMBER('Council Entry'!S$8),ISNUMBER('Council Entry'!S$9)),MAX(MIN('Council Entry'!S166,'Council Entry'!S$9),'Council Entry'!S$8),'Council Entry'!S166))))-'Council Entry'!S$5)/('Council Entry'!S$6-'Council Entry'!S$5),10*((IF('Council Entry'!S$4="Logarithm",LN(0.001+IF(AND(ISNUMBER('Council Entry'!S$8),ISNUMBER('Council Entry'!S$9)),MAX(MIN('Council Entry'!S166,'Council Entry'!S$9),'Council Entry'!S$8),'Council Entry'!S166)),IF('Council Entry'!S$4="Exponential",EXP(IF(AND(ISNUMBER('Council Entry'!S$8),ISNUMBER('Council Entry'!S$9)),MAX(MIN('Council Entry'!S166,'Council Entry'!S$9),'Council Entry'!S$8),'Council Entry'!S166)),IF(AND(ISNUMBER('Council Entry'!S$8),ISNUMBER('Council Entry'!S$9)),MAX(MIN('Council Entry'!S166,'Council Entry'!S$9),'Council Entry'!S$8),'Council Entry'!S166))))-'Council Entry'!S$5)/('Council Entry'!S$6-'Council Entry'!S$5)),1))),"No data"))</f>
        <v/>
      </c>
      <c r="T166" s="13">
        <f>IF('Council Entry'!T166="","",IFERROR(MAX(0,MIN(10,ROUND(IF('Council Entry'!T$7="Decrease Risk",10-10*((IF('Council Entry'!T$4="Logarithm",LN(0.001+IF(AND(ISNUMBER('Council Entry'!T$8),ISNUMBER('Council Entry'!T$9)),MAX(MIN('Council Entry'!T166,'Council Entry'!T$9),'Council Entry'!T$8),'Council Entry'!T166)),IF('Council Entry'!T$4="Exponential",EXP(IF(AND(ISNUMBER('Council Entry'!T$8),ISNUMBER('Council Entry'!T$9)),MAX(MIN('Council Entry'!T166,'Council Entry'!T$9),'Council Entry'!T$8),'Council Entry'!T166)),IF(AND(ISNUMBER('Council Entry'!T$8),ISNUMBER('Council Entry'!T$9)),MAX(MIN('Council Entry'!T166,'Council Entry'!T$9),'Council Entry'!T$8),'Council Entry'!T166))))-'Council Entry'!T$5)/('Council Entry'!T$6-'Council Entry'!T$5),10*((IF('Council Entry'!T$4="Logarithm",LN(0.001+IF(AND(ISNUMBER('Council Entry'!T$8),ISNUMBER('Council Entry'!T$9)),MAX(MIN('Council Entry'!T166,'Council Entry'!T$9),'Council Entry'!T$8),'Council Entry'!T166)),IF('Council Entry'!T$4="Exponential",EXP(IF(AND(ISNUMBER('Council Entry'!T$8),ISNUMBER('Council Entry'!T$9)),MAX(MIN('Council Entry'!T166,'Council Entry'!T$9),'Council Entry'!T$8),'Council Entry'!T166)),IF(AND(ISNUMBER('Council Entry'!T$8),ISNUMBER('Council Entry'!T$9)),MAX(MIN('Council Entry'!T166,'Council Entry'!T$9),'Council Entry'!T$8),'Council Entry'!T166))))-'Council Entry'!T$5)/('Council Entry'!T$6-'Council Entry'!T$5)),1))),"No data"))</f>
        <v/>
      </c>
      <c r="U166" s="13">
        <f>IF('Council Entry'!U166="","",IFERROR(MAX(0,MIN(10,ROUND(IF('Council Entry'!U$7="Decrease Risk",10-10*((IF('Council Entry'!U$4="Logarithm",LN(0.001+IF(AND(ISNUMBER('Council Entry'!U$8),ISNUMBER('Council Entry'!U$9)),MAX(MIN('Council Entry'!U166,'Council Entry'!U$9),'Council Entry'!U$8),'Council Entry'!U166)),IF('Council Entry'!U$4="Exponential",EXP(IF(AND(ISNUMBER('Council Entry'!U$8),ISNUMBER('Council Entry'!U$9)),MAX(MIN('Council Entry'!U166,'Council Entry'!U$9),'Council Entry'!U$8),'Council Entry'!U166)),IF(AND(ISNUMBER('Council Entry'!U$8),ISNUMBER('Council Entry'!U$9)),MAX(MIN('Council Entry'!U166,'Council Entry'!U$9),'Council Entry'!U$8),'Council Entry'!U166))))-'Council Entry'!U$5)/('Council Entry'!U$6-'Council Entry'!U$5),10*((IF('Council Entry'!U$4="Logarithm",LN(0.001+IF(AND(ISNUMBER('Council Entry'!U$8),ISNUMBER('Council Entry'!U$9)),MAX(MIN('Council Entry'!U166,'Council Entry'!U$9),'Council Entry'!U$8),'Council Entry'!U166)),IF('Council Entry'!U$4="Exponential",EXP(IF(AND(ISNUMBER('Council Entry'!U$8),ISNUMBER('Council Entry'!U$9)),MAX(MIN('Council Entry'!U166,'Council Entry'!U$9),'Council Entry'!U$8),'Council Entry'!U166)),IF(AND(ISNUMBER('Council Entry'!U$8),ISNUMBER('Council Entry'!U$9)),MAX(MIN('Council Entry'!U166,'Council Entry'!U$9),'Council Entry'!U$8),'Council Entry'!U166))))-'Council Entry'!U$5)/('Council Entry'!U$6-'Council Entry'!U$5)),1))),"No data"))</f>
        <v/>
      </c>
      <c r="V166" s="13">
        <f>IF('Council Entry'!V166="","",IFERROR(MAX(0,MIN(10,ROUND(IF('Council Entry'!V$7="Decrease Risk",10-10*((IF('Council Entry'!V$4="Logarithm",LN(0.001+IF(AND(ISNUMBER('Council Entry'!V$8),ISNUMBER('Council Entry'!V$9)),MAX(MIN('Council Entry'!V166,'Council Entry'!V$9),'Council Entry'!V$8),'Council Entry'!V166)),IF('Council Entry'!V$4="Exponential",EXP(IF(AND(ISNUMBER('Council Entry'!V$8),ISNUMBER('Council Entry'!V$9)),MAX(MIN('Council Entry'!V166,'Council Entry'!V$9),'Council Entry'!V$8),'Council Entry'!V166)),IF(AND(ISNUMBER('Council Entry'!V$8),ISNUMBER('Council Entry'!V$9)),MAX(MIN('Council Entry'!V166,'Council Entry'!V$9),'Council Entry'!V$8),'Council Entry'!V166))))-'Council Entry'!V$5)/('Council Entry'!V$6-'Council Entry'!V$5),10*((IF('Council Entry'!V$4="Logarithm",LN(0.001+IF(AND(ISNUMBER('Council Entry'!V$8),ISNUMBER('Council Entry'!V$9)),MAX(MIN('Council Entry'!V166,'Council Entry'!V$9),'Council Entry'!V$8),'Council Entry'!V166)),IF('Council Entry'!V$4="Exponential",EXP(IF(AND(ISNUMBER('Council Entry'!V$8),ISNUMBER('Council Entry'!V$9)),MAX(MIN('Council Entry'!V166,'Council Entry'!V$9),'Council Entry'!V$8),'Council Entry'!V166)),IF(AND(ISNUMBER('Council Entry'!V$8),ISNUMBER('Council Entry'!V$9)),MAX(MIN('Council Entry'!V166,'Council Entry'!V$9),'Council Entry'!V$8),'Council Entry'!V166))))-'Council Entry'!V$5)/('Council Entry'!V$6-'Council Entry'!V$5)),1))),"No data"))</f>
        <v/>
      </c>
      <c r="W166" s="13">
        <f>IF('Council Entry'!W166="","",IFERROR(MAX(0,MIN(10,ROUND(IF('Council Entry'!W$7="Decrease Risk",10-10*((IF('Council Entry'!W$4="Logarithm",LN(0.001+IF(AND(ISNUMBER('Council Entry'!W$8),ISNUMBER('Council Entry'!W$9)),MAX(MIN('Council Entry'!W166,'Council Entry'!W$9),'Council Entry'!W$8),'Council Entry'!W166)),IF('Council Entry'!W$4="Exponential",EXP(IF(AND(ISNUMBER('Council Entry'!W$8),ISNUMBER('Council Entry'!W$9)),MAX(MIN('Council Entry'!W166,'Council Entry'!W$9),'Council Entry'!W$8),'Council Entry'!W166)),IF(AND(ISNUMBER('Council Entry'!W$8),ISNUMBER('Council Entry'!W$9)),MAX(MIN('Council Entry'!W166,'Council Entry'!W$9),'Council Entry'!W$8),'Council Entry'!W166))))-'Council Entry'!W$5)/('Council Entry'!W$6-'Council Entry'!W$5),10*((IF('Council Entry'!W$4="Logarithm",LN(0.001+IF(AND(ISNUMBER('Council Entry'!W$8),ISNUMBER('Council Entry'!W$9)),MAX(MIN('Council Entry'!W166,'Council Entry'!W$9),'Council Entry'!W$8),'Council Entry'!W166)),IF('Council Entry'!W$4="Exponential",EXP(IF(AND(ISNUMBER('Council Entry'!W$8),ISNUMBER('Council Entry'!W$9)),MAX(MIN('Council Entry'!W166,'Council Entry'!W$9),'Council Entry'!W$8),'Council Entry'!W166)),IF(AND(ISNUMBER('Council Entry'!W$8),ISNUMBER('Council Entry'!W$9)),MAX(MIN('Council Entry'!W166,'Council Entry'!W$9),'Council Entry'!W$8),'Council Entry'!W166))))-'Council Entry'!W$5)/('Council Entry'!W$6-'Council Entry'!W$5)),1))),"No data"))</f>
        <v/>
      </c>
      <c r="X166" s="13">
        <f>IF('Council Entry'!X166="","",IFERROR(MAX(0,MIN(10,ROUND(IF('Council Entry'!X$7="Decrease Risk",10-10*((IF('Council Entry'!X$4="Logarithm",LN(0.001+IF(AND(ISNUMBER('Council Entry'!X$8),ISNUMBER('Council Entry'!X$9)),MAX(MIN('Council Entry'!X166,'Council Entry'!X$9),'Council Entry'!X$8),'Council Entry'!X166)),IF('Council Entry'!X$4="Exponential",EXP(IF(AND(ISNUMBER('Council Entry'!X$8),ISNUMBER('Council Entry'!X$9)),MAX(MIN('Council Entry'!X166,'Council Entry'!X$9),'Council Entry'!X$8),'Council Entry'!X166)),IF(AND(ISNUMBER('Council Entry'!X$8),ISNUMBER('Council Entry'!X$9)),MAX(MIN('Council Entry'!X166,'Council Entry'!X$9),'Council Entry'!X$8),'Council Entry'!X166))))-'Council Entry'!X$5)/('Council Entry'!X$6-'Council Entry'!X$5),10*((IF('Council Entry'!X$4="Logarithm",LN(0.001+IF(AND(ISNUMBER('Council Entry'!X$8),ISNUMBER('Council Entry'!X$9)),MAX(MIN('Council Entry'!X166,'Council Entry'!X$9),'Council Entry'!X$8),'Council Entry'!X166)),IF('Council Entry'!X$4="Exponential",EXP(IF(AND(ISNUMBER('Council Entry'!X$8),ISNUMBER('Council Entry'!X$9)),MAX(MIN('Council Entry'!X166,'Council Entry'!X$9),'Council Entry'!X$8),'Council Entry'!X166)),IF(AND(ISNUMBER('Council Entry'!X$8),ISNUMBER('Council Entry'!X$9)),MAX(MIN('Council Entry'!X166,'Council Entry'!X$9),'Council Entry'!X$8),'Council Entry'!X166))))-'Council Entry'!X$5)/('Council Entry'!X$6-'Council Entry'!X$5)),1))),"No data"))</f>
        <v/>
      </c>
      <c r="Y166" s="13">
        <f>IF('Council Entry'!Y166="","",IFERROR(MAX(0,MIN(10,ROUND(IF('Council Entry'!Y$7="Decrease Risk",10-10*((IF('Council Entry'!Y$4="Logarithm",LN(0.001+IF(AND(ISNUMBER('Council Entry'!Y$8),ISNUMBER('Council Entry'!Y$9)),MAX(MIN('Council Entry'!Y166,'Council Entry'!Y$9),'Council Entry'!Y$8),'Council Entry'!Y166)),IF('Council Entry'!Y$4="Exponential",EXP(IF(AND(ISNUMBER('Council Entry'!Y$8),ISNUMBER('Council Entry'!Y$9)),MAX(MIN('Council Entry'!Y166,'Council Entry'!Y$9),'Council Entry'!Y$8),'Council Entry'!Y166)),IF(AND(ISNUMBER('Council Entry'!Y$8),ISNUMBER('Council Entry'!Y$9)),MAX(MIN('Council Entry'!Y166,'Council Entry'!Y$9),'Council Entry'!Y$8),'Council Entry'!Y166))))-'Council Entry'!Y$5)/('Council Entry'!Y$6-'Council Entry'!Y$5),10*((IF('Council Entry'!Y$4="Logarithm",LN(0.001+IF(AND(ISNUMBER('Council Entry'!Y$8),ISNUMBER('Council Entry'!Y$9)),MAX(MIN('Council Entry'!Y166,'Council Entry'!Y$9),'Council Entry'!Y$8),'Council Entry'!Y166)),IF('Council Entry'!Y$4="Exponential",EXP(IF(AND(ISNUMBER('Council Entry'!Y$8),ISNUMBER('Council Entry'!Y$9)),MAX(MIN('Council Entry'!Y166,'Council Entry'!Y$9),'Council Entry'!Y$8),'Council Entry'!Y166)),IF(AND(ISNUMBER('Council Entry'!Y$8),ISNUMBER('Council Entry'!Y$9)),MAX(MIN('Council Entry'!Y166,'Council Entry'!Y$9),'Council Entry'!Y$8),'Council Entry'!Y166))))-'Council Entry'!Y$5)/('Council Entry'!Y$6-'Council Entry'!Y$5)),1))),"No data"))</f>
        <v/>
      </c>
      <c r="Z166" s="13">
        <f>IF('Council Entry'!Z166="","",IFERROR(MAX(0,MIN(10,ROUND(IF('Council Entry'!Z$7="Decrease Risk",10-10*((IF('Council Entry'!Z$4="Logarithm",LN(0.001+IF(AND(ISNUMBER('Council Entry'!Z$8),ISNUMBER('Council Entry'!Z$9)),MAX(MIN('Council Entry'!Z166,'Council Entry'!Z$9),'Council Entry'!Z$8),'Council Entry'!Z166)),IF('Council Entry'!Z$4="Exponential",EXP(IF(AND(ISNUMBER('Council Entry'!Z$8),ISNUMBER('Council Entry'!Z$9)),MAX(MIN('Council Entry'!Z166,'Council Entry'!Z$9),'Council Entry'!Z$8),'Council Entry'!Z166)),IF(AND(ISNUMBER('Council Entry'!Z$8),ISNUMBER('Council Entry'!Z$9)),MAX(MIN('Council Entry'!Z166,'Council Entry'!Z$9),'Council Entry'!Z$8),'Council Entry'!Z166))))-'Council Entry'!Z$5)/('Council Entry'!Z$6-'Council Entry'!Z$5),10*((IF('Council Entry'!Z$4="Logarithm",LN(0.001+IF(AND(ISNUMBER('Council Entry'!Z$8),ISNUMBER('Council Entry'!Z$9)),MAX(MIN('Council Entry'!Z166,'Council Entry'!Z$9),'Council Entry'!Z$8),'Council Entry'!Z166)),IF('Council Entry'!Z$4="Exponential",EXP(IF(AND(ISNUMBER('Council Entry'!Z$8),ISNUMBER('Council Entry'!Z$9)),MAX(MIN('Council Entry'!Z166,'Council Entry'!Z$9),'Council Entry'!Z$8),'Council Entry'!Z166)),IF(AND(ISNUMBER('Council Entry'!Z$8),ISNUMBER('Council Entry'!Z$9)),MAX(MIN('Council Entry'!Z166,'Council Entry'!Z$9),'Council Entry'!Z$8),'Council Entry'!Z166))))-'Council Entry'!Z$5)/('Council Entry'!Z$6-'Council Entry'!Z$5)),1))),"No data"))</f>
        <v/>
      </c>
      <c r="AA166" s="13">
        <f>IF('Council Entry'!AA166="","",IFERROR(MAX(0,MIN(10,ROUND(IF('Council Entry'!AA$7="Decrease Risk",10-10*((IF('Council Entry'!AA$4="Logarithm",LN(0.001+IF(AND(ISNUMBER('Council Entry'!AA$8),ISNUMBER('Council Entry'!AA$9)),MAX(MIN('Council Entry'!AA166,'Council Entry'!AA$9),'Council Entry'!AA$8),'Council Entry'!AA166)),IF('Council Entry'!AA$4="Exponential",EXP(IF(AND(ISNUMBER('Council Entry'!AA$8),ISNUMBER('Council Entry'!AA$9)),MAX(MIN('Council Entry'!AA166,'Council Entry'!AA$9),'Council Entry'!AA$8),'Council Entry'!AA166)),IF(AND(ISNUMBER('Council Entry'!AA$8),ISNUMBER('Council Entry'!AA$9)),MAX(MIN('Council Entry'!AA166,'Council Entry'!AA$9),'Council Entry'!AA$8),'Council Entry'!AA166))))-'Council Entry'!AA$5)/('Council Entry'!AA$6-'Council Entry'!AA$5),10*((IF('Council Entry'!AA$4="Logarithm",LN(0.001+IF(AND(ISNUMBER('Council Entry'!AA$8),ISNUMBER('Council Entry'!AA$9)),MAX(MIN('Council Entry'!AA166,'Council Entry'!AA$9),'Council Entry'!AA$8),'Council Entry'!AA166)),IF('Council Entry'!AA$4="Exponential",EXP(IF(AND(ISNUMBER('Council Entry'!AA$8),ISNUMBER('Council Entry'!AA$9)),MAX(MIN('Council Entry'!AA166,'Council Entry'!AA$9),'Council Entry'!AA$8),'Council Entry'!AA166)),IF(AND(ISNUMBER('Council Entry'!AA$8),ISNUMBER('Council Entry'!AA$9)),MAX(MIN('Council Entry'!AA166,'Council Entry'!AA$9),'Council Entry'!AA$8),'Council Entry'!AA166))))-'Council Entry'!AA$5)/('Council Entry'!AA$6-'Council Entry'!AA$5)),1))),"No data"))</f>
        <v/>
      </c>
      <c r="AB166" s="13">
        <f>IF('Council Entry'!AB166="","",IFERROR(MAX(0,MIN(10,ROUND(IF('Council Entry'!AB$7="Decrease Risk",10-10*((IF('Council Entry'!AB$4="Logarithm",LN(0.001+IF(AND(ISNUMBER('Council Entry'!AB$8),ISNUMBER('Council Entry'!AB$9)),MAX(MIN('Council Entry'!AB166,'Council Entry'!AB$9),'Council Entry'!AB$8),'Council Entry'!AB166)),IF('Council Entry'!AB$4="Exponential",EXP(IF(AND(ISNUMBER('Council Entry'!AB$8),ISNUMBER('Council Entry'!AB$9)),MAX(MIN('Council Entry'!AB166,'Council Entry'!AB$9),'Council Entry'!AB$8),'Council Entry'!AB166)),IF(AND(ISNUMBER('Council Entry'!AB$8),ISNUMBER('Council Entry'!AB$9)),MAX(MIN('Council Entry'!AB166,'Council Entry'!AB$9),'Council Entry'!AB$8),'Council Entry'!AB166))))-'Council Entry'!AB$5)/('Council Entry'!AB$6-'Council Entry'!AB$5),10*((IF('Council Entry'!AB$4="Logarithm",LN(0.001+IF(AND(ISNUMBER('Council Entry'!AB$8),ISNUMBER('Council Entry'!AB$9)),MAX(MIN('Council Entry'!AB166,'Council Entry'!AB$9),'Council Entry'!AB$8),'Council Entry'!AB166)),IF('Council Entry'!AB$4="Exponential",EXP(IF(AND(ISNUMBER('Council Entry'!AB$8),ISNUMBER('Council Entry'!AB$9)),MAX(MIN('Council Entry'!AB166,'Council Entry'!AB$9),'Council Entry'!AB$8),'Council Entry'!AB166)),IF(AND(ISNUMBER('Council Entry'!AB$8),ISNUMBER('Council Entry'!AB$9)),MAX(MIN('Council Entry'!AB166,'Council Entry'!AB$9),'Council Entry'!AB$8),'Council Entry'!AB166))))-'Council Entry'!AB$5)/('Council Entry'!AB$6-'Council Entry'!AB$5)),1))),"No data"))</f>
        <v/>
      </c>
      <c r="AC166" s="13">
        <f>IF('Council Entry'!AC166="","",IFERROR(MAX(0,MIN(10,ROUND(IF('Council Entry'!AC$7="Decrease Risk",10-10*((IF('Council Entry'!AC$4="Logarithm",LN(0.001+IF(AND(ISNUMBER('Council Entry'!AC$8),ISNUMBER('Council Entry'!AC$9)),MAX(MIN('Council Entry'!AC166,'Council Entry'!AC$9),'Council Entry'!AC$8),'Council Entry'!AC166)),IF('Council Entry'!AC$4="Exponential",EXP(IF(AND(ISNUMBER('Council Entry'!AC$8),ISNUMBER('Council Entry'!AC$9)),MAX(MIN('Council Entry'!AC166,'Council Entry'!AC$9),'Council Entry'!AC$8),'Council Entry'!AC166)),IF(AND(ISNUMBER('Council Entry'!AC$8),ISNUMBER('Council Entry'!AC$9)),MAX(MIN('Council Entry'!AC166,'Council Entry'!AC$9),'Council Entry'!AC$8),'Council Entry'!AC166))))-'Council Entry'!AC$5)/('Council Entry'!AC$6-'Council Entry'!AC$5),10*((IF('Council Entry'!AC$4="Logarithm",LN(0.001+IF(AND(ISNUMBER('Council Entry'!AC$8),ISNUMBER('Council Entry'!AC$9)),MAX(MIN('Council Entry'!AC166,'Council Entry'!AC$9),'Council Entry'!AC$8),'Council Entry'!AC166)),IF('Council Entry'!AC$4="Exponential",EXP(IF(AND(ISNUMBER('Council Entry'!AC$8),ISNUMBER('Council Entry'!AC$9)),MAX(MIN('Council Entry'!AC166,'Council Entry'!AC$9),'Council Entry'!AC$8),'Council Entry'!AC166)),IF(AND(ISNUMBER('Council Entry'!AC$8),ISNUMBER('Council Entry'!AC$9)),MAX(MIN('Council Entry'!AC166,'Council Entry'!AC$9),'Council Entry'!AC$8),'Council Entry'!AC166))))-'Council Entry'!AC$5)/('Council Entry'!AC$6-'Council Entry'!AC$5)),1))),"No data"))</f>
        <v/>
      </c>
      <c r="AD166" s="13">
        <f>IF('Council Entry'!AD166="","",IFERROR(MAX(0,MIN(10,ROUND(IF('Council Entry'!AD$7="Decrease Risk",10-10*((IF('Council Entry'!AD$4="Logarithm",LN(0.001+IF(AND(ISNUMBER('Council Entry'!AD$8),ISNUMBER('Council Entry'!AD$9)),MAX(MIN('Council Entry'!AD166,'Council Entry'!AD$9),'Council Entry'!AD$8),'Council Entry'!AD166)),IF('Council Entry'!AD$4="Exponential",EXP(IF(AND(ISNUMBER('Council Entry'!AD$8),ISNUMBER('Council Entry'!AD$9)),MAX(MIN('Council Entry'!AD166,'Council Entry'!AD$9),'Council Entry'!AD$8),'Council Entry'!AD166)),IF(AND(ISNUMBER('Council Entry'!AD$8),ISNUMBER('Council Entry'!AD$9)),MAX(MIN('Council Entry'!AD166,'Council Entry'!AD$9),'Council Entry'!AD$8),'Council Entry'!AD166))))-'Council Entry'!AD$5)/('Council Entry'!AD$6-'Council Entry'!AD$5),10*((IF('Council Entry'!AD$4="Logarithm",LN(0.001+IF(AND(ISNUMBER('Council Entry'!AD$8),ISNUMBER('Council Entry'!AD$9)),MAX(MIN('Council Entry'!AD166,'Council Entry'!AD$9),'Council Entry'!AD$8),'Council Entry'!AD166)),IF('Council Entry'!AD$4="Exponential",EXP(IF(AND(ISNUMBER('Council Entry'!AD$8),ISNUMBER('Council Entry'!AD$9)),MAX(MIN('Council Entry'!AD166,'Council Entry'!AD$9),'Council Entry'!AD$8),'Council Entry'!AD166)),IF(AND(ISNUMBER('Council Entry'!AD$8),ISNUMBER('Council Entry'!AD$9)),MAX(MIN('Council Entry'!AD166,'Council Entry'!AD$9),'Council Entry'!AD$8),'Council Entry'!AD166))))-'Council Entry'!AD$5)/('Council Entry'!AD$6-'Council Entry'!AD$5)),1))),"No data"))</f>
        <v/>
      </c>
      <c r="AE166" s="13">
        <f>IF('Council Entry'!AE166="","",IFERROR(MAX(0,MIN(10,ROUND(IF('Council Entry'!AE$7="Decrease Risk",10-10*((IF('Council Entry'!AE$4="Logarithm",LN(0.001+IF(AND(ISNUMBER('Council Entry'!AE$8),ISNUMBER('Council Entry'!AE$9)),MAX(MIN('Council Entry'!AE166,'Council Entry'!AE$9),'Council Entry'!AE$8),'Council Entry'!AE166)),IF('Council Entry'!AE$4="Exponential",EXP(IF(AND(ISNUMBER('Council Entry'!AE$8),ISNUMBER('Council Entry'!AE$9)),MAX(MIN('Council Entry'!AE166,'Council Entry'!AE$9),'Council Entry'!AE$8),'Council Entry'!AE166)),IF(AND(ISNUMBER('Council Entry'!AE$8),ISNUMBER('Council Entry'!AE$9)),MAX(MIN('Council Entry'!AE166,'Council Entry'!AE$9),'Council Entry'!AE$8),'Council Entry'!AE166))))-'Council Entry'!AE$5)/('Council Entry'!AE$6-'Council Entry'!AE$5),10*((IF('Council Entry'!AE$4="Logarithm",LN(0.001+IF(AND(ISNUMBER('Council Entry'!AE$8),ISNUMBER('Council Entry'!AE$9)),MAX(MIN('Council Entry'!AE166,'Council Entry'!AE$9),'Council Entry'!AE$8),'Council Entry'!AE166)),IF('Council Entry'!AE$4="Exponential",EXP(IF(AND(ISNUMBER('Council Entry'!AE$8),ISNUMBER('Council Entry'!AE$9)),MAX(MIN('Council Entry'!AE166,'Council Entry'!AE$9),'Council Entry'!AE$8),'Council Entry'!AE166)),IF(AND(ISNUMBER('Council Entry'!AE$8),ISNUMBER('Council Entry'!AE$9)),MAX(MIN('Council Entry'!AE166,'Council Entry'!AE$9),'Council Entry'!AE$8),'Council Entry'!AE166))))-'Council Entry'!AE$5)/('Council Entry'!AE$6-'Council Entry'!AE$5)),1))),"No data"))</f>
        <v/>
      </c>
      <c r="AF166" s="13">
        <f>IF('Council Entry'!AF166="","",IFERROR(MAX(0,MIN(10,ROUND(IF('Council Entry'!AF$7="Decrease Risk",10-10*((IF('Council Entry'!AF$4="Logarithm",LN(0.001+IF(AND(ISNUMBER('Council Entry'!AF$8),ISNUMBER('Council Entry'!AF$9)),MAX(MIN('Council Entry'!AF166,'Council Entry'!AF$9),'Council Entry'!AF$8),'Council Entry'!AF166)),IF('Council Entry'!AF$4="Exponential",EXP(IF(AND(ISNUMBER('Council Entry'!AF$8),ISNUMBER('Council Entry'!AF$9)),MAX(MIN('Council Entry'!AF166,'Council Entry'!AF$9),'Council Entry'!AF$8),'Council Entry'!AF166)),IF(AND(ISNUMBER('Council Entry'!AF$8),ISNUMBER('Council Entry'!AF$9)),MAX(MIN('Council Entry'!AF166,'Council Entry'!AF$9),'Council Entry'!AF$8),'Council Entry'!AF166))))-'Council Entry'!AF$5)/('Council Entry'!AF$6-'Council Entry'!AF$5),10*((IF('Council Entry'!AF$4="Logarithm",LN(0.001+IF(AND(ISNUMBER('Council Entry'!AF$8),ISNUMBER('Council Entry'!AF$9)),MAX(MIN('Council Entry'!AF166,'Council Entry'!AF$9),'Council Entry'!AF$8),'Council Entry'!AF166)),IF('Council Entry'!AF$4="Exponential",EXP(IF(AND(ISNUMBER('Council Entry'!AF$8),ISNUMBER('Council Entry'!AF$9)),MAX(MIN('Council Entry'!AF166,'Council Entry'!AF$9),'Council Entry'!AF$8),'Council Entry'!AF166)),IF(AND(ISNUMBER('Council Entry'!AF$8),ISNUMBER('Council Entry'!AF$9)),MAX(MIN('Council Entry'!AF166,'Council Entry'!AF$9),'Council Entry'!AF$8),'Council Entry'!AF166))))-'Council Entry'!AF$5)/('Council Entry'!AF$6-'Council Entry'!AF$5)),1))),"No data"))</f>
        <v/>
      </c>
      <c r="AG166" s="13">
        <f>IF('Council Entry'!AG166="","",IFERROR(MAX(0,MIN(10,ROUND(IF('Council Entry'!AG$7="Decrease Risk",10-10*((IF('Council Entry'!AG$4="Logarithm",LN(0.001+IF(AND(ISNUMBER('Council Entry'!AG$8),ISNUMBER('Council Entry'!AG$9)),MAX(MIN('Council Entry'!AG166,'Council Entry'!AG$9),'Council Entry'!AG$8),'Council Entry'!AG166)),IF('Council Entry'!AG$4="Exponential",EXP(IF(AND(ISNUMBER('Council Entry'!AG$8),ISNUMBER('Council Entry'!AG$9)),MAX(MIN('Council Entry'!AG166,'Council Entry'!AG$9),'Council Entry'!AG$8),'Council Entry'!AG166)),IF(AND(ISNUMBER('Council Entry'!AG$8),ISNUMBER('Council Entry'!AG$9)),MAX(MIN('Council Entry'!AG166,'Council Entry'!AG$9),'Council Entry'!AG$8),'Council Entry'!AG166))))-'Council Entry'!AG$5)/('Council Entry'!AG$6-'Council Entry'!AG$5),10*((IF('Council Entry'!AG$4="Logarithm",LN(0.001+IF(AND(ISNUMBER('Council Entry'!AG$8),ISNUMBER('Council Entry'!AG$9)),MAX(MIN('Council Entry'!AG166,'Council Entry'!AG$9),'Council Entry'!AG$8),'Council Entry'!AG166)),IF('Council Entry'!AG$4="Exponential",EXP(IF(AND(ISNUMBER('Council Entry'!AG$8),ISNUMBER('Council Entry'!AG$9)),MAX(MIN('Council Entry'!AG166,'Council Entry'!AG$9),'Council Entry'!AG$8),'Council Entry'!AG166)),IF(AND(ISNUMBER('Council Entry'!AG$8),ISNUMBER('Council Entry'!AG$9)),MAX(MIN('Council Entry'!AG166,'Council Entry'!AG$9),'Council Entry'!AG$8),'Council Entry'!AG166))))-'Council Entry'!AG$5)/('Council Entry'!AG$6-'Council Entry'!AG$5)),1))),"No data"))</f>
        <v/>
      </c>
      <c r="AH166" s="13">
        <f>IF('Council Entry'!AH166="","",IFERROR(MAX(0,MIN(10,ROUND(IF('Council Entry'!AH$7="Decrease Risk",10-10*((IF('Council Entry'!AH$4="Logarithm",LN(0.001+IF(AND(ISNUMBER('Council Entry'!AH$8),ISNUMBER('Council Entry'!AH$9)),MAX(MIN('Council Entry'!AH166,'Council Entry'!AH$9),'Council Entry'!AH$8),'Council Entry'!AH166)),IF('Council Entry'!AH$4="Exponential",EXP(IF(AND(ISNUMBER('Council Entry'!AH$8),ISNUMBER('Council Entry'!AH$9)),MAX(MIN('Council Entry'!AH166,'Council Entry'!AH$9),'Council Entry'!AH$8),'Council Entry'!AH166)),IF(AND(ISNUMBER('Council Entry'!AH$8),ISNUMBER('Council Entry'!AH$9)),MAX(MIN('Council Entry'!AH166,'Council Entry'!AH$9),'Council Entry'!AH$8),'Council Entry'!AH166))))-'Council Entry'!AH$5)/('Council Entry'!AH$6-'Council Entry'!AH$5),10*((IF('Council Entry'!AH$4="Logarithm",LN(0.001+IF(AND(ISNUMBER('Council Entry'!AH$8),ISNUMBER('Council Entry'!AH$9)),MAX(MIN('Council Entry'!AH166,'Council Entry'!AH$9),'Council Entry'!AH$8),'Council Entry'!AH166)),IF('Council Entry'!AH$4="Exponential",EXP(IF(AND(ISNUMBER('Council Entry'!AH$8),ISNUMBER('Council Entry'!AH$9)),MAX(MIN('Council Entry'!AH166,'Council Entry'!AH$9),'Council Entry'!AH$8),'Council Entry'!AH166)),IF(AND(ISNUMBER('Council Entry'!AH$8),ISNUMBER('Council Entry'!AH$9)),MAX(MIN('Council Entry'!AH166,'Council Entry'!AH$9),'Council Entry'!AH$8),'Council Entry'!AH166))))-'Council Entry'!AH$5)/('Council Entry'!AH$6-'Council Entry'!AH$5)),1))),"No data"))</f>
        <v/>
      </c>
      <c r="AI166" s="13">
        <f>IF('Council Entry'!AI166="","",IFERROR(MAX(0,MIN(10,ROUND(IF('Council Entry'!AI$7="Decrease Risk",10-10*((IF('Council Entry'!AI$4="Logarithm",LN(0.001+IF(AND(ISNUMBER('Council Entry'!AI$8),ISNUMBER('Council Entry'!AI$9)),MAX(MIN('Council Entry'!AI166,'Council Entry'!AI$9),'Council Entry'!AI$8),'Council Entry'!AI166)),IF('Council Entry'!AI$4="Exponential",EXP(IF(AND(ISNUMBER('Council Entry'!AI$8),ISNUMBER('Council Entry'!AI$9)),MAX(MIN('Council Entry'!AI166,'Council Entry'!AI$9),'Council Entry'!AI$8),'Council Entry'!AI166)),IF(AND(ISNUMBER('Council Entry'!AI$8),ISNUMBER('Council Entry'!AI$9)),MAX(MIN('Council Entry'!AI166,'Council Entry'!AI$9),'Council Entry'!AI$8),'Council Entry'!AI166))))-'Council Entry'!AI$5)/('Council Entry'!AI$6-'Council Entry'!AI$5),10*((IF('Council Entry'!AI$4="Logarithm",LN(0.001+IF(AND(ISNUMBER('Council Entry'!AI$8),ISNUMBER('Council Entry'!AI$9)),MAX(MIN('Council Entry'!AI166,'Council Entry'!AI$9),'Council Entry'!AI$8),'Council Entry'!AI166)),IF('Council Entry'!AI$4="Exponential",EXP(IF(AND(ISNUMBER('Council Entry'!AI$8),ISNUMBER('Council Entry'!AI$9)),MAX(MIN('Council Entry'!AI166,'Council Entry'!AI$9),'Council Entry'!AI$8),'Council Entry'!AI166)),IF(AND(ISNUMBER('Council Entry'!AI$8),ISNUMBER('Council Entry'!AI$9)),MAX(MIN('Council Entry'!AI166,'Council Entry'!AI$9),'Council Entry'!AI$8),'Council Entry'!AI166))))-'Council Entry'!AI$5)/('Council Entry'!AI$6-'Council Entry'!AI$5)),1))),"No data"))</f>
        <v/>
      </c>
      <c r="AJ166" s="13">
        <f>IF('Council Entry'!AJ166="","",IFERROR(MAX(0,MIN(10,ROUND(IF('Council Entry'!AJ$7="Decrease Risk",10-10*((IF('Council Entry'!AJ$4="Logarithm",LN(0.001+IF(AND(ISNUMBER('Council Entry'!AJ$8),ISNUMBER('Council Entry'!AJ$9)),MAX(MIN('Council Entry'!AJ166,'Council Entry'!AJ$9),'Council Entry'!AJ$8),'Council Entry'!AJ166)),IF('Council Entry'!AJ$4="Exponential",EXP(IF(AND(ISNUMBER('Council Entry'!AJ$8),ISNUMBER('Council Entry'!AJ$9)),MAX(MIN('Council Entry'!AJ166,'Council Entry'!AJ$9),'Council Entry'!AJ$8),'Council Entry'!AJ166)),IF(AND(ISNUMBER('Council Entry'!AJ$8),ISNUMBER('Council Entry'!AJ$9)),MAX(MIN('Council Entry'!AJ166,'Council Entry'!AJ$9),'Council Entry'!AJ$8),'Council Entry'!AJ166))))-'Council Entry'!AJ$5)/('Council Entry'!AJ$6-'Council Entry'!AJ$5),10*((IF('Council Entry'!AJ$4="Logarithm",LN(0.001+IF(AND(ISNUMBER('Council Entry'!AJ$8),ISNUMBER('Council Entry'!AJ$9)),MAX(MIN('Council Entry'!AJ166,'Council Entry'!AJ$9),'Council Entry'!AJ$8),'Council Entry'!AJ166)),IF('Council Entry'!AJ$4="Exponential",EXP(IF(AND(ISNUMBER('Council Entry'!AJ$8),ISNUMBER('Council Entry'!AJ$9)),MAX(MIN('Council Entry'!AJ166,'Council Entry'!AJ$9),'Council Entry'!AJ$8),'Council Entry'!AJ166)),IF(AND(ISNUMBER('Council Entry'!AJ$8),ISNUMBER('Council Entry'!AJ$9)),MAX(MIN('Council Entry'!AJ166,'Council Entry'!AJ$9),'Council Entry'!AJ$8),'Council Entry'!AJ166))))-'Council Entry'!AJ$5)/('Council Entry'!AJ$6-'Council Entry'!AJ$5)),1))),"No data"))</f>
        <v/>
      </c>
      <c r="AK166" s="13">
        <f>IF('Council Entry'!AK166="","",IFERROR(MAX(0,MIN(10,ROUND(IF('Council Entry'!AK$7="Decrease Risk",10-10*((IF('Council Entry'!AK$4="Logarithm",LN(0.001+IF(AND(ISNUMBER('Council Entry'!AK$8),ISNUMBER('Council Entry'!AK$9)),MAX(MIN('Council Entry'!AK166,'Council Entry'!AK$9),'Council Entry'!AK$8),'Council Entry'!AK166)),IF('Council Entry'!AK$4="Exponential",EXP(IF(AND(ISNUMBER('Council Entry'!AK$8),ISNUMBER('Council Entry'!AK$9)),MAX(MIN('Council Entry'!AK166,'Council Entry'!AK$9),'Council Entry'!AK$8),'Council Entry'!AK166)),IF(AND(ISNUMBER('Council Entry'!AK$8),ISNUMBER('Council Entry'!AK$9)),MAX(MIN('Council Entry'!AK166,'Council Entry'!AK$9),'Council Entry'!AK$8),'Council Entry'!AK166))))-'Council Entry'!AK$5)/('Council Entry'!AK$6-'Council Entry'!AK$5),10*((IF('Council Entry'!AK$4="Logarithm",LN(0.001+IF(AND(ISNUMBER('Council Entry'!AK$8),ISNUMBER('Council Entry'!AK$9)),MAX(MIN('Council Entry'!AK166,'Council Entry'!AK$9),'Council Entry'!AK$8),'Council Entry'!AK166)),IF('Council Entry'!AK$4="Exponential",EXP(IF(AND(ISNUMBER('Council Entry'!AK$8),ISNUMBER('Council Entry'!AK$9)),MAX(MIN('Council Entry'!AK166,'Council Entry'!AK$9),'Council Entry'!AK$8),'Council Entry'!AK166)),IF(AND(ISNUMBER('Council Entry'!AK$8),ISNUMBER('Council Entry'!AK$9)),MAX(MIN('Council Entry'!AK166,'Council Entry'!AK$9),'Council Entry'!AK$8),'Council Entry'!AK166))))-'Council Entry'!AK$5)/('Council Entry'!AK$6-'Council Entry'!AK$5)),1))),"No data"))</f>
        <v/>
      </c>
      <c r="AL166" s="13">
        <f>IF('Council Entry'!AL166="","",IFERROR(MAX(0,MIN(10,ROUND(IF('Council Entry'!AL$7="Decrease Risk",10-10*((IF('Council Entry'!AL$4="Logarithm",LN(0.001+IF(AND(ISNUMBER('Council Entry'!AL$8),ISNUMBER('Council Entry'!AL$9)),MAX(MIN('Council Entry'!AL166,'Council Entry'!AL$9),'Council Entry'!AL$8),'Council Entry'!AL166)),IF('Council Entry'!AL$4="Exponential",EXP(IF(AND(ISNUMBER('Council Entry'!AL$8),ISNUMBER('Council Entry'!AL$9)),MAX(MIN('Council Entry'!AL166,'Council Entry'!AL$9),'Council Entry'!AL$8),'Council Entry'!AL166)),IF(AND(ISNUMBER('Council Entry'!AL$8),ISNUMBER('Council Entry'!AL$9)),MAX(MIN('Council Entry'!AL166,'Council Entry'!AL$9),'Council Entry'!AL$8),'Council Entry'!AL166))))-'Council Entry'!AL$5)/('Council Entry'!AL$6-'Council Entry'!AL$5),10*((IF('Council Entry'!AL$4="Logarithm",LN(0.001+IF(AND(ISNUMBER('Council Entry'!AL$8),ISNUMBER('Council Entry'!AL$9)),MAX(MIN('Council Entry'!AL166,'Council Entry'!AL$9),'Council Entry'!AL$8),'Council Entry'!AL166)),IF('Council Entry'!AL$4="Exponential",EXP(IF(AND(ISNUMBER('Council Entry'!AL$8),ISNUMBER('Council Entry'!AL$9)),MAX(MIN('Council Entry'!AL166,'Council Entry'!AL$9),'Council Entry'!AL$8),'Council Entry'!AL166)),IF(AND(ISNUMBER('Council Entry'!AL$8),ISNUMBER('Council Entry'!AL$9)),MAX(MIN('Council Entry'!AL166,'Council Entry'!AL$9),'Council Entry'!AL$8),'Council Entry'!AL166))))-'Council Entry'!AL$5)/('Council Entry'!AL$6-'Council Entry'!AL$5)),1))),"No data"))</f>
        <v/>
      </c>
      <c r="AM166" s="13">
        <f>IF('Council Entry'!AM166="","",IFERROR(MAX(0,MIN(10,ROUND(IF('Council Entry'!AM$7="Decrease Risk",10-10*((IF('Council Entry'!AM$4="Logarithm",LN(0.001+IF(AND(ISNUMBER('Council Entry'!AM$8),ISNUMBER('Council Entry'!AM$9)),MAX(MIN('Council Entry'!AM166,'Council Entry'!AM$9),'Council Entry'!AM$8),'Council Entry'!AM166)),IF('Council Entry'!AM$4="Exponential",EXP(IF(AND(ISNUMBER('Council Entry'!AM$8),ISNUMBER('Council Entry'!AM$9)),MAX(MIN('Council Entry'!AM166,'Council Entry'!AM$9),'Council Entry'!AM$8),'Council Entry'!AM166)),IF(AND(ISNUMBER('Council Entry'!AM$8),ISNUMBER('Council Entry'!AM$9)),MAX(MIN('Council Entry'!AM166,'Council Entry'!AM$9),'Council Entry'!AM$8),'Council Entry'!AM166))))-'Council Entry'!AM$5)/('Council Entry'!AM$6-'Council Entry'!AM$5),10*((IF('Council Entry'!AM$4="Logarithm",LN(0.001+IF(AND(ISNUMBER('Council Entry'!AM$8),ISNUMBER('Council Entry'!AM$9)),MAX(MIN('Council Entry'!AM166,'Council Entry'!AM$9),'Council Entry'!AM$8),'Council Entry'!AM166)),IF('Council Entry'!AM$4="Exponential",EXP(IF(AND(ISNUMBER('Council Entry'!AM$8),ISNUMBER('Council Entry'!AM$9)),MAX(MIN('Council Entry'!AM166,'Council Entry'!AM$9),'Council Entry'!AM$8),'Council Entry'!AM166)),IF(AND(ISNUMBER('Council Entry'!AM$8),ISNUMBER('Council Entry'!AM$9)),MAX(MIN('Council Entry'!AM166,'Council Entry'!AM$9),'Council Entry'!AM$8),'Council Entry'!AM166))))-'Council Entry'!AM$5)/('Council Entry'!AM$6-'Council Entry'!AM$5)),1))),"No data"))</f>
        <v/>
      </c>
      <c r="AN166" s="13">
        <f>IF('Council Entry'!AN166="","",IFERROR(MAX(0,MIN(10,ROUND(IF('Council Entry'!AN$7="Decrease Risk",10-10*((IF('Council Entry'!AN$4="Logarithm",LN(0.001+IF(AND(ISNUMBER('Council Entry'!AN$8),ISNUMBER('Council Entry'!AN$9)),MAX(MIN('Council Entry'!AN166,'Council Entry'!AN$9),'Council Entry'!AN$8),'Council Entry'!AN166)),IF('Council Entry'!AN$4="Exponential",EXP(IF(AND(ISNUMBER('Council Entry'!AN$8),ISNUMBER('Council Entry'!AN$9)),MAX(MIN('Council Entry'!AN166,'Council Entry'!AN$9),'Council Entry'!AN$8),'Council Entry'!AN166)),IF(AND(ISNUMBER('Council Entry'!AN$8),ISNUMBER('Council Entry'!AN$9)),MAX(MIN('Council Entry'!AN166,'Council Entry'!AN$9),'Council Entry'!AN$8),'Council Entry'!AN166))))-'Council Entry'!AN$5)/('Council Entry'!AN$6-'Council Entry'!AN$5),10*((IF('Council Entry'!AN$4="Logarithm",LN(0.001+IF(AND(ISNUMBER('Council Entry'!AN$8),ISNUMBER('Council Entry'!AN$9)),MAX(MIN('Council Entry'!AN166,'Council Entry'!AN$9),'Council Entry'!AN$8),'Council Entry'!AN166)),IF('Council Entry'!AN$4="Exponential",EXP(IF(AND(ISNUMBER('Council Entry'!AN$8),ISNUMBER('Council Entry'!AN$9)),MAX(MIN('Council Entry'!AN166,'Council Entry'!AN$9),'Council Entry'!AN$8),'Council Entry'!AN166)),IF(AND(ISNUMBER('Council Entry'!AN$8),ISNUMBER('Council Entry'!AN$9)),MAX(MIN('Council Entry'!AN166,'Council Entry'!AN$9),'Council Entry'!AN$8),'Council Entry'!AN166))))-'Council Entry'!AN$5)/('Council Entry'!AN$6-'Council Entry'!AN$5)),1))),"No data"))</f>
        <v/>
      </c>
      <c r="AO166" s="13">
        <f>IF('Council Entry'!AO166="","",IFERROR(MAX(0,MIN(10,ROUND(IF('Council Entry'!AO$7="Decrease Risk",10-10*((IF('Council Entry'!AO$4="Logarithm",LN(0.001+IF(AND(ISNUMBER('Council Entry'!AO$8),ISNUMBER('Council Entry'!AO$9)),MAX(MIN('Council Entry'!AO166,'Council Entry'!AO$9),'Council Entry'!AO$8),'Council Entry'!AO166)),IF('Council Entry'!AO$4="Exponential",EXP(IF(AND(ISNUMBER('Council Entry'!AO$8),ISNUMBER('Council Entry'!AO$9)),MAX(MIN('Council Entry'!AO166,'Council Entry'!AO$9),'Council Entry'!AO$8),'Council Entry'!AO166)),IF(AND(ISNUMBER('Council Entry'!AO$8),ISNUMBER('Council Entry'!AO$9)),MAX(MIN('Council Entry'!AO166,'Council Entry'!AO$9),'Council Entry'!AO$8),'Council Entry'!AO166))))-'Council Entry'!AO$5)/('Council Entry'!AO$6-'Council Entry'!AO$5),10*((IF('Council Entry'!AO$4="Logarithm",LN(0.001+IF(AND(ISNUMBER('Council Entry'!AO$8),ISNUMBER('Council Entry'!AO$9)),MAX(MIN('Council Entry'!AO166,'Council Entry'!AO$9),'Council Entry'!AO$8),'Council Entry'!AO166)),IF('Council Entry'!AO$4="Exponential",EXP(IF(AND(ISNUMBER('Council Entry'!AO$8),ISNUMBER('Council Entry'!AO$9)),MAX(MIN('Council Entry'!AO166,'Council Entry'!AO$9),'Council Entry'!AO$8),'Council Entry'!AO166)),IF(AND(ISNUMBER('Council Entry'!AO$8),ISNUMBER('Council Entry'!AO$9)),MAX(MIN('Council Entry'!AO166,'Council Entry'!AO$9),'Council Entry'!AO$8),'Council Entry'!AO166))))-'Council Entry'!AO$5)/('Council Entry'!AO$6-'Council Entry'!AO$5)),1))),"No data"))</f>
        <v/>
      </c>
      <c r="AP166" s="13">
        <f>IF('Council Entry'!AP166="","",IFERROR(MAX(0,MIN(10,ROUND(IF('Council Entry'!AP$7="Decrease Risk",10-10*((IF('Council Entry'!AP$4="Logarithm",LN(0.001+IF(AND(ISNUMBER('Council Entry'!AP$8),ISNUMBER('Council Entry'!AP$9)),MAX(MIN('Council Entry'!AP166,'Council Entry'!AP$9),'Council Entry'!AP$8),'Council Entry'!AP166)),IF('Council Entry'!AP$4="Exponential",EXP(IF(AND(ISNUMBER('Council Entry'!AP$8),ISNUMBER('Council Entry'!AP$9)),MAX(MIN('Council Entry'!AP166,'Council Entry'!AP$9),'Council Entry'!AP$8),'Council Entry'!AP166)),IF(AND(ISNUMBER('Council Entry'!AP$8),ISNUMBER('Council Entry'!AP$9)),MAX(MIN('Council Entry'!AP166,'Council Entry'!AP$9),'Council Entry'!AP$8),'Council Entry'!AP166))))-'Council Entry'!AP$5)/('Council Entry'!AP$6-'Council Entry'!AP$5),10*((IF('Council Entry'!AP$4="Logarithm",LN(0.001+IF(AND(ISNUMBER('Council Entry'!AP$8),ISNUMBER('Council Entry'!AP$9)),MAX(MIN('Council Entry'!AP166,'Council Entry'!AP$9),'Council Entry'!AP$8),'Council Entry'!AP166)),IF('Council Entry'!AP$4="Exponential",EXP(IF(AND(ISNUMBER('Council Entry'!AP$8),ISNUMBER('Council Entry'!AP$9)),MAX(MIN('Council Entry'!AP166,'Council Entry'!AP$9),'Council Entry'!AP$8),'Council Entry'!AP166)),IF(AND(ISNUMBER('Council Entry'!AP$8),ISNUMBER('Council Entry'!AP$9)),MAX(MIN('Council Entry'!AP166,'Council Entry'!AP$9),'Council Entry'!AP$8),'Council Entry'!AP166))))-'Council Entry'!AP$5)/('Council Entry'!AP$6-'Council Entry'!AP$5)),1))),"No data"))</f>
        <v/>
      </c>
      <c r="AQ166" s="13">
        <f>IF('Council Entry'!AQ166="","",IFERROR(MAX(0,MIN(10,ROUND(IF('Council Entry'!AQ$7="Decrease Risk",10-10*((IF('Council Entry'!AQ$4="Logarithm",LN(0.001+IF(AND(ISNUMBER('Council Entry'!AQ$8),ISNUMBER('Council Entry'!AQ$9)),MAX(MIN('Council Entry'!AQ166,'Council Entry'!AQ$9),'Council Entry'!AQ$8),'Council Entry'!AQ166)),IF('Council Entry'!AQ$4="Exponential",EXP(IF(AND(ISNUMBER('Council Entry'!AQ$8),ISNUMBER('Council Entry'!AQ$9)),MAX(MIN('Council Entry'!AQ166,'Council Entry'!AQ$9),'Council Entry'!AQ$8),'Council Entry'!AQ166)),IF(AND(ISNUMBER('Council Entry'!AQ$8),ISNUMBER('Council Entry'!AQ$9)),MAX(MIN('Council Entry'!AQ166,'Council Entry'!AQ$9),'Council Entry'!AQ$8),'Council Entry'!AQ166))))-'Council Entry'!AQ$5)/('Council Entry'!AQ$6-'Council Entry'!AQ$5),10*((IF('Council Entry'!AQ$4="Logarithm",LN(0.001+IF(AND(ISNUMBER('Council Entry'!AQ$8),ISNUMBER('Council Entry'!AQ$9)),MAX(MIN('Council Entry'!AQ166,'Council Entry'!AQ$9),'Council Entry'!AQ$8),'Council Entry'!AQ166)),IF('Council Entry'!AQ$4="Exponential",EXP(IF(AND(ISNUMBER('Council Entry'!AQ$8),ISNUMBER('Council Entry'!AQ$9)),MAX(MIN('Council Entry'!AQ166,'Council Entry'!AQ$9),'Council Entry'!AQ$8),'Council Entry'!AQ166)),IF(AND(ISNUMBER('Council Entry'!AQ$8),ISNUMBER('Council Entry'!AQ$9)),MAX(MIN('Council Entry'!AQ166,'Council Entry'!AQ$9),'Council Entry'!AQ$8),'Council Entry'!AQ166))))-'Council Entry'!AQ$5)/('Council Entry'!AQ$6-'Council Entry'!AQ$5)),1))),"No data"))</f>
        <v/>
      </c>
      <c r="AR166" s="13">
        <f>IF('Council Entry'!AR166="","",IFERROR(MAX(0,MIN(10,ROUND(IF('Council Entry'!AR$7="Decrease Risk",10-10*((IF('Council Entry'!AR$4="Logarithm",LN(0.001+IF(AND(ISNUMBER('Council Entry'!AR$8),ISNUMBER('Council Entry'!AR$9)),MAX(MIN('Council Entry'!AR166,'Council Entry'!AR$9),'Council Entry'!AR$8),'Council Entry'!AR166)),IF('Council Entry'!AR$4="Exponential",EXP(IF(AND(ISNUMBER('Council Entry'!AR$8),ISNUMBER('Council Entry'!AR$9)),MAX(MIN('Council Entry'!AR166,'Council Entry'!AR$9),'Council Entry'!AR$8),'Council Entry'!AR166)),IF(AND(ISNUMBER('Council Entry'!AR$8),ISNUMBER('Council Entry'!AR$9)),MAX(MIN('Council Entry'!AR166,'Council Entry'!AR$9),'Council Entry'!AR$8),'Council Entry'!AR166))))-'Council Entry'!AR$5)/('Council Entry'!AR$6-'Council Entry'!AR$5),10*((IF('Council Entry'!AR$4="Logarithm",LN(0.001+IF(AND(ISNUMBER('Council Entry'!AR$8),ISNUMBER('Council Entry'!AR$9)),MAX(MIN('Council Entry'!AR166,'Council Entry'!AR$9),'Council Entry'!AR$8),'Council Entry'!AR166)),IF('Council Entry'!AR$4="Exponential",EXP(IF(AND(ISNUMBER('Council Entry'!AR$8),ISNUMBER('Council Entry'!AR$9)),MAX(MIN('Council Entry'!AR166,'Council Entry'!AR$9),'Council Entry'!AR$8),'Council Entry'!AR166)),IF(AND(ISNUMBER('Council Entry'!AR$8),ISNUMBER('Council Entry'!AR$9)),MAX(MIN('Council Entry'!AR166,'Council Entry'!AR$9),'Council Entry'!AR$8),'Council Entry'!AR166))))-'Council Entry'!AR$5)/('Council Entry'!AR$6-'Council Entry'!AR$5)),1))),"No data"))</f>
        <v/>
      </c>
      <c r="AS166" s="13">
        <f>IF('Council Entry'!AS166="","",IFERROR(MAX(0,MIN(10,ROUND(IF('Council Entry'!AS$7="Decrease Risk",10-10*((IF('Council Entry'!AS$4="Logarithm",LN(0.001+IF(AND(ISNUMBER('Council Entry'!AS$8),ISNUMBER('Council Entry'!AS$9)),MAX(MIN('Council Entry'!AS166,'Council Entry'!AS$9),'Council Entry'!AS$8),'Council Entry'!AS166)),IF('Council Entry'!AS$4="Exponential",EXP(IF(AND(ISNUMBER('Council Entry'!AS$8),ISNUMBER('Council Entry'!AS$9)),MAX(MIN('Council Entry'!AS166,'Council Entry'!AS$9),'Council Entry'!AS$8),'Council Entry'!AS166)),IF(AND(ISNUMBER('Council Entry'!AS$8),ISNUMBER('Council Entry'!AS$9)),MAX(MIN('Council Entry'!AS166,'Council Entry'!AS$9),'Council Entry'!AS$8),'Council Entry'!AS166))))-'Council Entry'!AS$5)/('Council Entry'!AS$6-'Council Entry'!AS$5),10*((IF('Council Entry'!AS$4="Logarithm",LN(0.001+IF(AND(ISNUMBER('Council Entry'!AS$8),ISNUMBER('Council Entry'!AS$9)),MAX(MIN('Council Entry'!AS166,'Council Entry'!AS$9),'Council Entry'!AS$8),'Council Entry'!AS166)),IF('Council Entry'!AS$4="Exponential",EXP(IF(AND(ISNUMBER('Council Entry'!AS$8),ISNUMBER('Council Entry'!AS$9)),MAX(MIN('Council Entry'!AS166,'Council Entry'!AS$9),'Council Entry'!AS$8),'Council Entry'!AS166)),IF(AND(ISNUMBER('Council Entry'!AS$8),ISNUMBER('Council Entry'!AS$9)),MAX(MIN('Council Entry'!AS166,'Council Entry'!AS$9),'Council Entry'!AS$8),'Council Entry'!AS166))))-'Council Entry'!AS$5)/('Council Entry'!AS$6-'Council Entry'!AS$5)),1))),"No data"))</f>
        <v/>
      </c>
      <c r="AT166" s="13">
        <f>IF('Council Entry'!AT166="","",IFERROR(MAX(0,MIN(10,ROUND(IF('Council Entry'!AT$7="Decrease Risk",10-10*((IF('Council Entry'!AT$4="Logarithm",LN(0.001+IF(AND(ISNUMBER('Council Entry'!AT$8),ISNUMBER('Council Entry'!AT$9)),MAX(MIN('Council Entry'!AT166,'Council Entry'!AT$9),'Council Entry'!AT$8),'Council Entry'!AT166)),IF('Council Entry'!AT$4="Exponential",EXP(IF(AND(ISNUMBER('Council Entry'!AT$8),ISNUMBER('Council Entry'!AT$9)),MAX(MIN('Council Entry'!AT166,'Council Entry'!AT$9),'Council Entry'!AT$8),'Council Entry'!AT166)),IF(AND(ISNUMBER('Council Entry'!AT$8),ISNUMBER('Council Entry'!AT$9)),MAX(MIN('Council Entry'!AT166,'Council Entry'!AT$9),'Council Entry'!AT$8),'Council Entry'!AT166))))-'Council Entry'!AT$5)/('Council Entry'!AT$6-'Council Entry'!AT$5),10*((IF('Council Entry'!AT$4="Logarithm",LN(0.001+IF(AND(ISNUMBER('Council Entry'!AT$8),ISNUMBER('Council Entry'!AT$9)),MAX(MIN('Council Entry'!AT166,'Council Entry'!AT$9),'Council Entry'!AT$8),'Council Entry'!AT166)),IF('Council Entry'!AT$4="Exponential",EXP(IF(AND(ISNUMBER('Council Entry'!AT$8),ISNUMBER('Council Entry'!AT$9)),MAX(MIN('Council Entry'!AT166,'Council Entry'!AT$9),'Council Entry'!AT$8),'Council Entry'!AT166)),IF(AND(ISNUMBER('Council Entry'!AT$8),ISNUMBER('Council Entry'!AT$9)),MAX(MIN('Council Entry'!AT166,'Council Entry'!AT$9),'Council Entry'!AT$8),'Council Entry'!AT166))))-'Council Entry'!AT$5)/('Council Entry'!AT$6-'Council Entry'!AT$5)),1))),"No data"))</f>
        <v/>
      </c>
      <c r="AU166" s="13">
        <f>IF('Council Entry'!AU166="","",IFERROR(MAX(0,MIN(10,ROUND(IF('Council Entry'!AU$7="Decrease Risk",10-10*((IF('Council Entry'!AU$4="Logarithm",LN(0.001+IF(AND(ISNUMBER('Council Entry'!AU$8),ISNUMBER('Council Entry'!AU$9)),MAX(MIN('Council Entry'!AU166,'Council Entry'!AU$9),'Council Entry'!AU$8),'Council Entry'!AU166)),IF('Council Entry'!AU$4="Exponential",EXP(IF(AND(ISNUMBER('Council Entry'!AU$8),ISNUMBER('Council Entry'!AU$9)),MAX(MIN('Council Entry'!AU166,'Council Entry'!AU$9),'Council Entry'!AU$8),'Council Entry'!AU166)),IF(AND(ISNUMBER('Council Entry'!AU$8),ISNUMBER('Council Entry'!AU$9)),MAX(MIN('Council Entry'!AU166,'Council Entry'!AU$9),'Council Entry'!AU$8),'Council Entry'!AU166))))-'Council Entry'!AU$5)/('Council Entry'!AU$6-'Council Entry'!AU$5),10*((IF('Council Entry'!AU$4="Logarithm",LN(0.001+IF(AND(ISNUMBER('Council Entry'!AU$8),ISNUMBER('Council Entry'!AU$9)),MAX(MIN('Council Entry'!AU166,'Council Entry'!AU$9),'Council Entry'!AU$8),'Council Entry'!AU166)),IF('Council Entry'!AU$4="Exponential",EXP(IF(AND(ISNUMBER('Council Entry'!AU$8),ISNUMBER('Council Entry'!AU$9)),MAX(MIN('Council Entry'!AU166,'Council Entry'!AU$9),'Council Entry'!AU$8),'Council Entry'!AU166)),IF(AND(ISNUMBER('Council Entry'!AU$8),ISNUMBER('Council Entry'!AU$9)),MAX(MIN('Council Entry'!AU166,'Council Entry'!AU$9),'Council Entry'!AU$8),'Council Entry'!AU166))))-'Council Entry'!AU$5)/('Council Entry'!AU$6-'Council Entry'!AU$5)),1))),"No data"))</f>
        <v/>
      </c>
      <c r="AV166" s="13">
        <f>IF('Council Entry'!AV166="","",IFERROR(MAX(0,MIN(10,ROUND(IF('Council Entry'!AV$7="Decrease Risk",10-10*((IF('Council Entry'!AV$4="Logarithm",LN(0.001+IF(AND(ISNUMBER('Council Entry'!AV$8),ISNUMBER('Council Entry'!AV$9)),MAX(MIN('Council Entry'!AV166,'Council Entry'!AV$9),'Council Entry'!AV$8),'Council Entry'!AV166)),IF('Council Entry'!AV$4="Exponential",EXP(IF(AND(ISNUMBER('Council Entry'!AV$8),ISNUMBER('Council Entry'!AV$9)),MAX(MIN('Council Entry'!AV166,'Council Entry'!AV$9),'Council Entry'!AV$8),'Council Entry'!AV166)),IF(AND(ISNUMBER('Council Entry'!AV$8),ISNUMBER('Council Entry'!AV$9)),MAX(MIN('Council Entry'!AV166,'Council Entry'!AV$9),'Council Entry'!AV$8),'Council Entry'!AV166))))-'Council Entry'!AV$5)/('Council Entry'!AV$6-'Council Entry'!AV$5),10*((IF('Council Entry'!AV$4="Logarithm",LN(0.001+IF(AND(ISNUMBER('Council Entry'!AV$8),ISNUMBER('Council Entry'!AV$9)),MAX(MIN('Council Entry'!AV166,'Council Entry'!AV$9),'Council Entry'!AV$8),'Council Entry'!AV166)),IF('Council Entry'!AV$4="Exponential",EXP(IF(AND(ISNUMBER('Council Entry'!AV$8),ISNUMBER('Council Entry'!AV$9)),MAX(MIN('Council Entry'!AV166,'Council Entry'!AV$9),'Council Entry'!AV$8),'Council Entry'!AV166)),IF(AND(ISNUMBER('Council Entry'!AV$8),ISNUMBER('Council Entry'!AV$9)),MAX(MIN('Council Entry'!AV166,'Council Entry'!AV$9),'Council Entry'!AV$8),'Council Entry'!AV166))))-'Council Entry'!AV$5)/('Council Entry'!AV$6-'Council Entry'!AV$5)),1))),"No data"))</f>
        <v/>
      </c>
      <c r="AW166" s="13">
        <f>IF('Council Entry'!AW166="","",IFERROR(MAX(0,MIN(10,ROUND(IF('Council Entry'!AW$7="Decrease Risk",10-10*((IF('Council Entry'!AW$4="Logarithm",LN(0.001+IF(AND(ISNUMBER('Council Entry'!AW$8),ISNUMBER('Council Entry'!AW$9)),MAX(MIN('Council Entry'!AW166,'Council Entry'!AW$9),'Council Entry'!AW$8),'Council Entry'!AW166)),IF('Council Entry'!AW$4="Exponential",EXP(IF(AND(ISNUMBER('Council Entry'!AW$8),ISNUMBER('Council Entry'!AW$9)),MAX(MIN('Council Entry'!AW166,'Council Entry'!AW$9),'Council Entry'!AW$8),'Council Entry'!AW166)),IF(AND(ISNUMBER('Council Entry'!AW$8),ISNUMBER('Council Entry'!AW$9)),MAX(MIN('Council Entry'!AW166,'Council Entry'!AW$9),'Council Entry'!AW$8),'Council Entry'!AW166))))-'Council Entry'!AW$5)/('Council Entry'!AW$6-'Council Entry'!AW$5),10*((IF('Council Entry'!AW$4="Logarithm",LN(0.001+IF(AND(ISNUMBER('Council Entry'!AW$8),ISNUMBER('Council Entry'!AW$9)),MAX(MIN('Council Entry'!AW166,'Council Entry'!AW$9),'Council Entry'!AW$8),'Council Entry'!AW166)),IF('Council Entry'!AW$4="Exponential",EXP(IF(AND(ISNUMBER('Council Entry'!AW$8),ISNUMBER('Council Entry'!AW$9)),MAX(MIN('Council Entry'!AW166,'Council Entry'!AW$9),'Council Entry'!AW$8),'Council Entry'!AW166)),IF(AND(ISNUMBER('Council Entry'!AW$8),ISNUMBER('Council Entry'!AW$9)),MAX(MIN('Council Entry'!AW166,'Council Entry'!AW$9),'Council Entry'!AW$8),'Council Entry'!AW166))))-'Council Entry'!AW$5)/('Council Entry'!AW$6-'Council Entry'!AW$5)),1))),"No data"))</f>
        <v/>
      </c>
      <c r="AX166" s="13">
        <f>IF('Council Entry'!AX166="","",IFERROR(MAX(0,MIN(10,ROUND(IF('Council Entry'!AX$7="Decrease Risk",10-10*((IF('Council Entry'!AX$4="Logarithm",LN(0.001+IF(AND(ISNUMBER('Council Entry'!AX$8),ISNUMBER('Council Entry'!AX$9)),MAX(MIN('Council Entry'!AX166,'Council Entry'!AX$9),'Council Entry'!AX$8),'Council Entry'!AX166)),IF('Council Entry'!AX$4="Exponential",EXP(IF(AND(ISNUMBER('Council Entry'!AX$8),ISNUMBER('Council Entry'!AX$9)),MAX(MIN('Council Entry'!AX166,'Council Entry'!AX$9),'Council Entry'!AX$8),'Council Entry'!AX166)),IF(AND(ISNUMBER('Council Entry'!AX$8),ISNUMBER('Council Entry'!AX$9)),MAX(MIN('Council Entry'!AX166,'Council Entry'!AX$9),'Council Entry'!AX$8),'Council Entry'!AX166))))-'Council Entry'!AX$5)/('Council Entry'!AX$6-'Council Entry'!AX$5),10*((IF('Council Entry'!AX$4="Logarithm",LN(0.001+IF(AND(ISNUMBER('Council Entry'!AX$8),ISNUMBER('Council Entry'!AX$9)),MAX(MIN('Council Entry'!AX166,'Council Entry'!AX$9),'Council Entry'!AX$8),'Council Entry'!AX166)),IF('Council Entry'!AX$4="Exponential",EXP(IF(AND(ISNUMBER('Council Entry'!AX$8),ISNUMBER('Council Entry'!AX$9)),MAX(MIN('Council Entry'!AX166,'Council Entry'!AX$9),'Council Entry'!AX$8),'Council Entry'!AX166)),IF(AND(ISNUMBER('Council Entry'!AX$8),ISNUMBER('Council Entry'!AX$9)),MAX(MIN('Council Entry'!AX166,'Council Entry'!AX$9),'Council Entry'!AX$8),'Council Entry'!AX166))))-'Council Entry'!AX$5)/('Council Entry'!AX$6-'Council Entry'!AX$5)),1))),"No data"))</f>
        <v/>
      </c>
      <c r="AY166" s="13">
        <f>IF('Council Entry'!AY166="","",IFERROR(MAX(0,MIN(10,ROUND(IF('Council Entry'!AY$7="Decrease Risk",10-10*((IF('Council Entry'!AY$4="Logarithm",LN(0.001+IF(AND(ISNUMBER('Council Entry'!AY$8),ISNUMBER('Council Entry'!AY$9)),MAX(MIN('Council Entry'!AY166,'Council Entry'!AY$9),'Council Entry'!AY$8),'Council Entry'!AY166)),IF('Council Entry'!AY$4="Exponential",EXP(IF(AND(ISNUMBER('Council Entry'!AY$8),ISNUMBER('Council Entry'!AY$9)),MAX(MIN('Council Entry'!AY166,'Council Entry'!AY$9),'Council Entry'!AY$8),'Council Entry'!AY166)),IF(AND(ISNUMBER('Council Entry'!AY$8),ISNUMBER('Council Entry'!AY$9)),MAX(MIN('Council Entry'!AY166,'Council Entry'!AY$9),'Council Entry'!AY$8),'Council Entry'!AY166))))-'Council Entry'!AY$5)/('Council Entry'!AY$6-'Council Entry'!AY$5),10*((IF('Council Entry'!AY$4="Logarithm",LN(0.001+IF(AND(ISNUMBER('Council Entry'!AY$8),ISNUMBER('Council Entry'!AY$9)),MAX(MIN('Council Entry'!AY166,'Council Entry'!AY$9),'Council Entry'!AY$8),'Council Entry'!AY166)),IF('Council Entry'!AY$4="Exponential",EXP(IF(AND(ISNUMBER('Council Entry'!AY$8),ISNUMBER('Council Entry'!AY$9)),MAX(MIN('Council Entry'!AY166,'Council Entry'!AY$9),'Council Entry'!AY$8),'Council Entry'!AY166)),IF(AND(ISNUMBER('Council Entry'!AY$8),ISNUMBER('Council Entry'!AY$9)),MAX(MIN('Council Entry'!AY166,'Council Entry'!AY$9),'Council Entry'!AY$8),'Council Entry'!AY166))))-'Council Entry'!AY$5)/('Council Entry'!AY$6-'Council Entry'!AY$5)),1))),"No data"))</f>
        <v/>
      </c>
      <c r="AZ166" s="13">
        <f>IF('Council Entry'!AZ166="","",IFERROR(MAX(0,MIN(10,ROUND(IF('Council Entry'!AZ$7="Decrease Risk",10-10*((IF('Council Entry'!AZ$4="Logarithm",LN(0.001+IF(AND(ISNUMBER('Council Entry'!AZ$8),ISNUMBER('Council Entry'!AZ$9)),MAX(MIN('Council Entry'!AZ166,'Council Entry'!AZ$9),'Council Entry'!AZ$8),'Council Entry'!AZ166)),IF('Council Entry'!AZ$4="Exponential",EXP(IF(AND(ISNUMBER('Council Entry'!AZ$8),ISNUMBER('Council Entry'!AZ$9)),MAX(MIN('Council Entry'!AZ166,'Council Entry'!AZ$9),'Council Entry'!AZ$8),'Council Entry'!AZ166)),IF(AND(ISNUMBER('Council Entry'!AZ$8),ISNUMBER('Council Entry'!AZ$9)),MAX(MIN('Council Entry'!AZ166,'Council Entry'!AZ$9),'Council Entry'!AZ$8),'Council Entry'!AZ166))))-'Council Entry'!AZ$5)/('Council Entry'!AZ$6-'Council Entry'!AZ$5),10*((IF('Council Entry'!AZ$4="Logarithm",LN(0.001+IF(AND(ISNUMBER('Council Entry'!AZ$8),ISNUMBER('Council Entry'!AZ$9)),MAX(MIN('Council Entry'!AZ166,'Council Entry'!AZ$9),'Council Entry'!AZ$8),'Council Entry'!AZ166)),IF('Council Entry'!AZ$4="Exponential",EXP(IF(AND(ISNUMBER('Council Entry'!AZ$8),ISNUMBER('Council Entry'!AZ$9)),MAX(MIN('Council Entry'!AZ166,'Council Entry'!AZ$9),'Council Entry'!AZ$8),'Council Entry'!AZ166)),IF(AND(ISNUMBER('Council Entry'!AZ$8),ISNUMBER('Council Entry'!AZ$9)),MAX(MIN('Council Entry'!AZ166,'Council Entry'!AZ$9),'Council Entry'!AZ$8),'Council Entry'!AZ166))))-'Council Entry'!AZ$5)/('Council Entry'!AZ$6-'Council Entry'!AZ$5)),1))),"No data"))</f>
        <v/>
      </c>
      <c r="BA166" s="13">
        <f>IF('Council Entry'!BA166="","",IFERROR(MAX(0,MIN(10,ROUND(IF('Council Entry'!BA$7="Decrease Risk",10-10*((IF('Council Entry'!BA$4="Logarithm",LN(0.001+IF(AND(ISNUMBER('Council Entry'!BA$8),ISNUMBER('Council Entry'!BA$9)),MAX(MIN('Council Entry'!BA166,'Council Entry'!BA$9),'Council Entry'!BA$8),'Council Entry'!BA166)),IF('Council Entry'!BA$4="Exponential",EXP(IF(AND(ISNUMBER('Council Entry'!BA$8),ISNUMBER('Council Entry'!BA$9)),MAX(MIN('Council Entry'!BA166,'Council Entry'!BA$9),'Council Entry'!BA$8),'Council Entry'!BA166)),IF(AND(ISNUMBER('Council Entry'!BA$8),ISNUMBER('Council Entry'!BA$9)),MAX(MIN('Council Entry'!BA166,'Council Entry'!BA$9),'Council Entry'!BA$8),'Council Entry'!BA166))))-'Council Entry'!BA$5)/('Council Entry'!BA$6-'Council Entry'!BA$5),10*((IF('Council Entry'!BA$4="Logarithm",LN(0.001+IF(AND(ISNUMBER('Council Entry'!BA$8),ISNUMBER('Council Entry'!BA$9)),MAX(MIN('Council Entry'!BA166,'Council Entry'!BA$9),'Council Entry'!BA$8),'Council Entry'!BA166)),IF('Council Entry'!BA$4="Exponential",EXP(IF(AND(ISNUMBER('Council Entry'!BA$8),ISNUMBER('Council Entry'!BA$9)),MAX(MIN('Council Entry'!BA166,'Council Entry'!BA$9),'Council Entry'!BA$8),'Council Entry'!BA166)),IF(AND(ISNUMBER('Council Entry'!BA$8),ISNUMBER('Council Entry'!BA$9)),MAX(MIN('Council Entry'!BA166,'Council Entry'!BA$9),'Council Entry'!BA$8),'Council Entry'!BA166))))-'Council Entry'!BA$5)/('Council Entry'!BA$6-'Council Entry'!BA$5)),1))),"No data"))</f>
        <v/>
      </c>
      <c r="BB166" s="13">
        <f>IF('Council Entry'!BB166="","",IFERROR(MAX(0,MIN(10,ROUND(IF('Council Entry'!BB$7="Decrease Risk",10-10*((IF('Council Entry'!BB$4="Logarithm",LN(0.001+IF(AND(ISNUMBER('Council Entry'!BB$8),ISNUMBER('Council Entry'!BB$9)),MAX(MIN('Council Entry'!BB166,'Council Entry'!BB$9),'Council Entry'!BB$8),'Council Entry'!BB166)),IF('Council Entry'!BB$4="Exponential",EXP(IF(AND(ISNUMBER('Council Entry'!BB$8),ISNUMBER('Council Entry'!BB$9)),MAX(MIN('Council Entry'!BB166,'Council Entry'!BB$9),'Council Entry'!BB$8),'Council Entry'!BB166)),IF(AND(ISNUMBER('Council Entry'!BB$8),ISNUMBER('Council Entry'!BB$9)),MAX(MIN('Council Entry'!BB166,'Council Entry'!BB$9),'Council Entry'!BB$8),'Council Entry'!BB166))))-'Council Entry'!BB$5)/('Council Entry'!BB$6-'Council Entry'!BB$5),10*((IF('Council Entry'!BB$4="Logarithm",LN(0.001+IF(AND(ISNUMBER('Council Entry'!BB$8),ISNUMBER('Council Entry'!BB$9)),MAX(MIN('Council Entry'!BB166,'Council Entry'!BB$9),'Council Entry'!BB$8),'Council Entry'!BB166)),IF('Council Entry'!BB$4="Exponential",EXP(IF(AND(ISNUMBER('Council Entry'!BB$8),ISNUMBER('Council Entry'!BB$9)),MAX(MIN('Council Entry'!BB166,'Council Entry'!BB$9),'Council Entry'!BB$8),'Council Entry'!BB166)),IF(AND(ISNUMBER('Council Entry'!BB$8),ISNUMBER('Council Entry'!BB$9)),MAX(MIN('Council Entry'!BB166,'Council Entry'!BB$9),'Council Entry'!BB$8),'Council Entry'!BB166))))-'Council Entry'!BB$5)/('Council Entry'!BB$6-'Council Entry'!BB$5)),1))),"No data"))</f>
        <v/>
      </c>
      <c r="BC166" s="13">
        <f>IF('Council Entry'!BC166="","",IFERROR(MAX(0,MIN(10,ROUND(IF('Council Entry'!BC$7="Decrease Risk",10-10*((IF('Council Entry'!BC$4="Logarithm",LN(0.001+IF(AND(ISNUMBER('Council Entry'!BC$8),ISNUMBER('Council Entry'!BC$9)),MAX(MIN('Council Entry'!BC166,'Council Entry'!BC$9),'Council Entry'!BC$8),'Council Entry'!BC166)),IF('Council Entry'!BC$4="Exponential",EXP(IF(AND(ISNUMBER('Council Entry'!BC$8),ISNUMBER('Council Entry'!BC$9)),MAX(MIN('Council Entry'!BC166,'Council Entry'!BC$9),'Council Entry'!BC$8),'Council Entry'!BC166)),IF(AND(ISNUMBER('Council Entry'!BC$8),ISNUMBER('Council Entry'!BC$9)),MAX(MIN('Council Entry'!BC166,'Council Entry'!BC$9),'Council Entry'!BC$8),'Council Entry'!BC166))))-'Council Entry'!BC$5)/('Council Entry'!BC$6-'Council Entry'!BC$5),10*((IF('Council Entry'!BC$4="Logarithm",LN(0.001+IF(AND(ISNUMBER('Council Entry'!BC$8),ISNUMBER('Council Entry'!BC$9)),MAX(MIN('Council Entry'!BC166,'Council Entry'!BC$9),'Council Entry'!BC$8),'Council Entry'!BC166)),IF('Council Entry'!BC$4="Exponential",EXP(IF(AND(ISNUMBER('Council Entry'!BC$8),ISNUMBER('Council Entry'!BC$9)),MAX(MIN('Council Entry'!BC166,'Council Entry'!BC$9),'Council Entry'!BC$8),'Council Entry'!BC166)),IF(AND(ISNUMBER('Council Entry'!BC$8),ISNUMBER('Council Entry'!BC$9)),MAX(MIN('Council Entry'!BC166,'Council Entry'!BC$9),'Council Entry'!BC$8),'Council Entry'!BC166))))-'Council Entry'!BC$5)/('Council Entry'!BC$6-'Council Entry'!BC$5)),1))),"No data"))</f>
        <v/>
      </c>
      <c r="BD166" s="13">
        <f>IF('Council Entry'!BD166="","",IFERROR(MAX(0,MIN(10,ROUND(IF('Council Entry'!BD$7="Decrease Risk",10-10*((IF('Council Entry'!BD$4="Logarithm",LN(0.001+IF(AND(ISNUMBER('Council Entry'!BD$8),ISNUMBER('Council Entry'!BD$9)),MAX(MIN('Council Entry'!BD166,'Council Entry'!BD$9),'Council Entry'!BD$8),'Council Entry'!BD166)),IF('Council Entry'!BD$4="Exponential",EXP(IF(AND(ISNUMBER('Council Entry'!BD$8),ISNUMBER('Council Entry'!BD$9)),MAX(MIN('Council Entry'!BD166,'Council Entry'!BD$9),'Council Entry'!BD$8),'Council Entry'!BD166)),IF(AND(ISNUMBER('Council Entry'!BD$8),ISNUMBER('Council Entry'!BD$9)),MAX(MIN('Council Entry'!BD166,'Council Entry'!BD$9),'Council Entry'!BD$8),'Council Entry'!BD166))))-'Council Entry'!BD$5)/('Council Entry'!BD$6-'Council Entry'!BD$5),10*((IF('Council Entry'!BD$4="Logarithm",LN(0.001+IF(AND(ISNUMBER('Council Entry'!BD$8),ISNUMBER('Council Entry'!BD$9)),MAX(MIN('Council Entry'!BD166,'Council Entry'!BD$9),'Council Entry'!BD$8),'Council Entry'!BD166)),IF('Council Entry'!BD$4="Exponential",EXP(IF(AND(ISNUMBER('Council Entry'!BD$8),ISNUMBER('Council Entry'!BD$9)),MAX(MIN('Council Entry'!BD166,'Council Entry'!BD$9),'Council Entry'!BD$8),'Council Entry'!BD166)),IF(AND(ISNUMBER('Council Entry'!BD$8),ISNUMBER('Council Entry'!BD$9)),MAX(MIN('Council Entry'!BD166,'Council Entry'!BD$9),'Council Entry'!BD$8),'Council Entry'!BD166))))-'Council Entry'!BD$5)/('Council Entry'!BD$6-'Council Entry'!BD$5)),1))),"No data"))</f>
        <v/>
      </c>
    </row>
    <row r="167">
      <c r="A167" t="inlineStr">
        <is>
          <t>Shinyanga</t>
        </is>
      </c>
      <c r="B167" t="inlineStr">
        <is>
          <t>Shinyanga Municipal</t>
        </is>
      </c>
      <c r="C167" t="inlineStr">
        <is>
          <t>C124</t>
        </is>
      </c>
      <c r="D167" s="13">
        <f>IF('Council Entry'!D167="","",IFERROR(MAX(0,MIN(10,ROUND(IF('Council Entry'!D$7="Decrease Risk",10-10*((IF('Council Entry'!D$4="Logarithm",LN(0.001+IF(AND(ISNUMBER('Council Entry'!D$8),ISNUMBER('Council Entry'!D$9)),MAX(MIN('Council Entry'!D167,'Council Entry'!D$9),'Council Entry'!D$8),'Council Entry'!D167)),IF('Council Entry'!D$4="Exponential",EXP(IF(AND(ISNUMBER('Council Entry'!D$8),ISNUMBER('Council Entry'!D$9)),MAX(MIN('Council Entry'!D167,'Council Entry'!D$9),'Council Entry'!D$8),'Council Entry'!D167)),IF(AND(ISNUMBER('Council Entry'!D$8),ISNUMBER('Council Entry'!D$9)),MAX(MIN('Council Entry'!D167,'Council Entry'!D$9),'Council Entry'!D$8),'Council Entry'!D167))))-'Council Entry'!D$5)/('Council Entry'!D$6-'Council Entry'!D$5),10*((IF('Council Entry'!D$4="Logarithm",LN(0.001+IF(AND(ISNUMBER('Council Entry'!D$8),ISNUMBER('Council Entry'!D$9)),MAX(MIN('Council Entry'!D167,'Council Entry'!D$9),'Council Entry'!D$8),'Council Entry'!D167)),IF('Council Entry'!D$4="Exponential",EXP(IF(AND(ISNUMBER('Council Entry'!D$8),ISNUMBER('Council Entry'!D$9)),MAX(MIN('Council Entry'!D167,'Council Entry'!D$9),'Council Entry'!D$8),'Council Entry'!D167)),IF(AND(ISNUMBER('Council Entry'!D$8),ISNUMBER('Council Entry'!D$9)),MAX(MIN('Council Entry'!D167,'Council Entry'!D$9),'Council Entry'!D$8),'Council Entry'!D167))))-'Council Entry'!D$5)/('Council Entry'!D$6-'Council Entry'!D$5)),1))),"No data"))</f>
        <v/>
      </c>
      <c r="E167" s="13">
        <f>IF('Council Entry'!E167="","",IFERROR(MAX(0,MIN(10,ROUND(IF('Council Entry'!E$7="Decrease Risk",10-10*((IF('Council Entry'!E$4="Logarithm",LN(0.001+IF(AND(ISNUMBER('Council Entry'!E$8),ISNUMBER('Council Entry'!E$9)),MAX(MIN('Council Entry'!E167,'Council Entry'!E$9),'Council Entry'!E$8),'Council Entry'!E167)),IF('Council Entry'!E$4="Exponential",EXP(IF(AND(ISNUMBER('Council Entry'!E$8),ISNUMBER('Council Entry'!E$9)),MAX(MIN('Council Entry'!E167,'Council Entry'!E$9),'Council Entry'!E$8),'Council Entry'!E167)),IF(AND(ISNUMBER('Council Entry'!E$8),ISNUMBER('Council Entry'!E$9)),MAX(MIN('Council Entry'!E167,'Council Entry'!E$9),'Council Entry'!E$8),'Council Entry'!E167))))-'Council Entry'!E$5)/('Council Entry'!E$6-'Council Entry'!E$5),10*((IF('Council Entry'!E$4="Logarithm",LN(0.001+IF(AND(ISNUMBER('Council Entry'!E$8),ISNUMBER('Council Entry'!E$9)),MAX(MIN('Council Entry'!E167,'Council Entry'!E$9),'Council Entry'!E$8),'Council Entry'!E167)),IF('Council Entry'!E$4="Exponential",EXP(IF(AND(ISNUMBER('Council Entry'!E$8),ISNUMBER('Council Entry'!E$9)),MAX(MIN('Council Entry'!E167,'Council Entry'!E$9),'Council Entry'!E$8),'Council Entry'!E167)),IF(AND(ISNUMBER('Council Entry'!E$8),ISNUMBER('Council Entry'!E$9)),MAX(MIN('Council Entry'!E167,'Council Entry'!E$9),'Council Entry'!E$8),'Council Entry'!E167))))-'Council Entry'!E$5)/('Council Entry'!E$6-'Council Entry'!E$5)),1))),"No data"))</f>
        <v/>
      </c>
      <c r="F167" s="13">
        <f>IF('Council Entry'!F167="","",IFERROR(MAX(0,MIN(10,ROUND(IF('Council Entry'!F$7="Decrease Risk",10-10*((IF('Council Entry'!F$4="Logarithm",LN(0.001+IF(AND(ISNUMBER('Council Entry'!F$8),ISNUMBER('Council Entry'!F$9)),MAX(MIN('Council Entry'!F167,'Council Entry'!F$9),'Council Entry'!F$8),'Council Entry'!F167)),IF('Council Entry'!F$4="Exponential",EXP(IF(AND(ISNUMBER('Council Entry'!F$8),ISNUMBER('Council Entry'!F$9)),MAX(MIN('Council Entry'!F167,'Council Entry'!F$9),'Council Entry'!F$8),'Council Entry'!F167)),IF(AND(ISNUMBER('Council Entry'!F$8),ISNUMBER('Council Entry'!F$9)),MAX(MIN('Council Entry'!F167,'Council Entry'!F$9),'Council Entry'!F$8),'Council Entry'!F167))))-'Council Entry'!F$5)/('Council Entry'!F$6-'Council Entry'!F$5),10*((IF('Council Entry'!F$4="Logarithm",LN(0.001+IF(AND(ISNUMBER('Council Entry'!F$8),ISNUMBER('Council Entry'!F$9)),MAX(MIN('Council Entry'!F167,'Council Entry'!F$9),'Council Entry'!F$8),'Council Entry'!F167)),IF('Council Entry'!F$4="Exponential",EXP(IF(AND(ISNUMBER('Council Entry'!F$8),ISNUMBER('Council Entry'!F$9)),MAX(MIN('Council Entry'!F167,'Council Entry'!F$9),'Council Entry'!F$8),'Council Entry'!F167)),IF(AND(ISNUMBER('Council Entry'!F$8),ISNUMBER('Council Entry'!F$9)),MAX(MIN('Council Entry'!F167,'Council Entry'!F$9),'Council Entry'!F$8),'Council Entry'!F167))))-'Council Entry'!F$5)/('Council Entry'!F$6-'Council Entry'!F$5)),1))),"No data"))</f>
        <v/>
      </c>
      <c r="G167" s="13">
        <f>IF('Council Entry'!G167="","",IFERROR(MAX(0,MIN(10,ROUND(IF('Council Entry'!G$7="Decrease Risk",10-10*((IF('Council Entry'!G$4="Logarithm",LN(0.001+IF(AND(ISNUMBER('Council Entry'!G$8),ISNUMBER('Council Entry'!G$9)),MAX(MIN('Council Entry'!G167,'Council Entry'!G$9),'Council Entry'!G$8),'Council Entry'!G167)),IF('Council Entry'!G$4="Exponential",EXP(IF(AND(ISNUMBER('Council Entry'!G$8),ISNUMBER('Council Entry'!G$9)),MAX(MIN('Council Entry'!G167,'Council Entry'!G$9),'Council Entry'!G$8),'Council Entry'!G167)),IF(AND(ISNUMBER('Council Entry'!G$8),ISNUMBER('Council Entry'!G$9)),MAX(MIN('Council Entry'!G167,'Council Entry'!G$9),'Council Entry'!G$8),'Council Entry'!G167))))-'Council Entry'!G$5)/('Council Entry'!G$6-'Council Entry'!G$5),10*((IF('Council Entry'!G$4="Logarithm",LN(0.001+IF(AND(ISNUMBER('Council Entry'!G$8),ISNUMBER('Council Entry'!G$9)),MAX(MIN('Council Entry'!G167,'Council Entry'!G$9),'Council Entry'!G$8),'Council Entry'!G167)),IF('Council Entry'!G$4="Exponential",EXP(IF(AND(ISNUMBER('Council Entry'!G$8),ISNUMBER('Council Entry'!G$9)),MAX(MIN('Council Entry'!G167,'Council Entry'!G$9),'Council Entry'!G$8),'Council Entry'!G167)),IF(AND(ISNUMBER('Council Entry'!G$8),ISNUMBER('Council Entry'!G$9)),MAX(MIN('Council Entry'!G167,'Council Entry'!G$9),'Council Entry'!G$8),'Council Entry'!G167))))-'Council Entry'!G$5)/('Council Entry'!G$6-'Council Entry'!G$5)),1))),"No data"))</f>
        <v/>
      </c>
      <c r="H167" s="13">
        <f>IF('Council Entry'!H167="","",IFERROR(MAX(0,MIN(10,ROUND(IF('Council Entry'!H$7="Decrease Risk",10-10*((IF('Council Entry'!H$4="Logarithm",LN(0.001+IF(AND(ISNUMBER('Council Entry'!H$8),ISNUMBER('Council Entry'!H$9)),MAX(MIN('Council Entry'!H167,'Council Entry'!H$9),'Council Entry'!H$8),'Council Entry'!H167)),IF('Council Entry'!H$4="Exponential",EXP(IF(AND(ISNUMBER('Council Entry'!H$8),ISNUMBER('Council Entry'!H$9)),MAX(MIN('Council Entry'!H167,'Council Entry'!H$9),'Council Entry'!H$8),'Council Entry'!H167)),IF(AND(ISNUMBER('Council Entry'!H$8),ISNUMBER('Council Entry'!H$9)),MAX(MIN('Council Entry'!H167,'Council Entry'!H$9),'Council Entry'!H$8),'Council Entry'!H167))))-'Council Entry'!H$5)/('Council Entry'!H$6-'Council Entry'!H$5),10*((IF('Council Entry'!H$4="Logarithm",LN(0.001+IF(AND(ISNUMBER('Council Entry'!H$8),ISNUMBER('Council Entry'!H$9)),MAX(MIN('Council Entry'!H167,'Council Entry'!H$9),'Council Entry'!H$8),'Council Entry'!H167)),IF('Council Entry'!H$4="Exponential",EXP(IF(AND(ISNUMBER('Council Entry'!H$8),ISNUMBER('Council Entry'!H$9)),MAX(MIN('Council Entry'!H167,'Council Entry'!H$9),'Council Entry'!H$8),'Council Entry'!H167)),IF(AND(ISNUMBER('Council Entry'!H$8),ISNUMBER('Council Entry'!H$9)),MAX(MIN('Council Entry'!H167,'Council Entry'!H$9),'Council Entry'!H$8),'Council Entry'!H167))))-'Council Entry'!H$5)/('Council Entry'!H$6-'Council Entry'!H$5)),1))),"No data"))</f>
        <v/>
      </c>
      <c r="I167" s="13">
        <f>IF('Council Entry'!I167="","",IFERROR(MAX(0,MIN(10,ROUND(IF('Council Entry'!I$7="Decrease Risk",10-10*((IF('Council Entry'!I$4="Logarithm",LN(0.001+IF(AND(ISNUMBER('Council Entry'!I$8),ISNUMBER('Council Entry'!I$9)),MAX(MIN('Council Entry'!I167,'Council Entry'!I$9),'Council Entry'!I$8),'Council Entry'!I167)),IF('Council Entry'!I$4="Exponential",EXP(IF(AND(ISNUMBER('Council Entry'!I$8),ISNUMBER('Council Entry'!I$9)),MAX(MIN('Council Entry'!I167,'Council Entry'!I$9),'Council Entry'!I$8),'Council Entry'!I167)),IF(AND(ISNUMBER('Council Entry'!I$8),ISNUMBER('Council Entry'!I$9)),MAX(MIN('Council Entry'!I167,'Council Entry'!I$9),'Council Entry'!I$8),'Council Entry'!I167))))-'Council Entry'!I$5)/('Council Entry'!I$6-'Council Entry'!I$5),10*((IF('Council Entry'!I$4="Logarithm",LN(0.001+IF(AND(ISNUMBER('Council Entry'!I$8),ISNUMBER('Council Entry'!I$9)),MAX(MIN('Council Entry'!I167,'Council Entry'!I$9),'Council Entry'!I$8),'Council Entry'!I167)),IF('Council Entry'!I$4="Exponential",EXP(IF(AND(ISNUMBER('Council Entry'!I$8),ISNUMBER('Council Entry'!I$9)),MAX(MIN('Council Entry'!I167,'Council Entry'!I$9),'Council Entry'!I$8),'Council Entry'!I167)),IF(AND(ISNUMBER('Council Entry'!I$8),ISNUMBER('Council Entry'!I$9)),MAX(MIN('Council Entry'!I167,'Council Entry'!I$9),'Council Entry'!I$8),'Council Entry'!I167))))-'Council Entry'!I$5)/('Council Entry'!I$6-'Council Entry'!I$5)),1))),"No data"))</f>
        <v/>
      </c>
      <c r="J167" s="13">
        <f>IF('Council Entry'!J167="","",IFERROR(MAX(0,MIN(10,ROUND(IF('Council Entry'!J$7="Decrease Risk",10-10*((IF('Council Entry'!J$4="Logarithm",LN(0.001+IF(AND(ISNUMBER('Council Entry'!J$8),ISNUMBER('Council Entry'!J$9)),MAX(MIN('Council Entry'!J167,'Council Entry'!J$9),'Council Entry'!J$8),'Council Entry'!J167)),IF('Council Entry'!J$4="Exponential",EXP(IF(AND(ISNUMBER('Council Entry'!J$8),ISNUMBER('Council Entry'!J$9)),MAX(MIN('Council Entry'!J167,'Council Entry'!J$9),'Council Entry'!J$8),'Council Entry'!J167)),IF(AND(ISNUMBER('Council Entry'!J$8),ISNUMBER('Council Entry'!J$9)),MAX(MIN('Council Entry'!J167,'Council Entry'!J$9),'Council Entry'!J$8),'Council Entry'!J167))))-'Council Entry'!J$5)/('Council Entry'!J$6-'Council Entry'!J$5),10*((IF('Council Entry'!J$4="Logarithm",LN(0.001+IF(AND(ISNUMBER('Council Entry'!J$8),ISNUMBER('Council Entry'!J$9)),MAX(MIN('Council Entry'!J167,'Council Entry'!J$9),'Council Entry'!J$8),'Council Entry'!J167)),IF('Council Entry'!J$4="Exponential",EXP(IF(AND(ISNUMBER('Council Entry'!J$8),ISNUMBER('Council Entry'!J$9)),MAX(MIN('Council Entry'!J167,'Council Entry'!J$9),'Council Entry'!J$8),'Council Entry'!J167)),IF(AND(ISNUMBER('Council Entry'!J$8),ISNUMBER('Council Entry'!J$9)),MAX(MIN('Council Entry'!J167,'Council Entry'!J$9),'Council Entry'!J$8),'Council Entry'!J167))))-'Council Entry'!J$5)/('Council Entry'!J$6-'Council Entry'!J$5)),1))),"No data"))</f>
        <v/>
      </c>
      <c r="K167" s="13">
        <f>IF('Council Entry'!K167="","",IFERROR(MAX(0,MIN(10,ROUND(IF('Council Entry'!K$7="Decrease Risk",10-10*((IF('Council Entry'!K$4="Logarithm",LN(0.001+IF(AND(ISNUMBER('Council Entry'!K$8),ISNUMBER('Council Entry'!K$9)),MAX(MIN('Council Entry'!K167,'Council Entry'!K$9),'Council Entry'!K$8),'Council Entry'!K167)),IF('Council Entry'!K$4="Exponential",EXP(IF(AND(ISNUMBER('Council Entry'!K$8),ISNUMBER('Council Entry'!K$9)),MAX(MIN('Council Entry'!K167,'Council Entry'!K$9),'Council Entry'!K$8),'Council Entry'!K167)),IF(AND(ISNUMBER('Council Entry'!K$8),ISNUMBER('Council Entry'!K$9)),MAX(MIN('Council Entry'!K167,'Council Entry'!K$9),'Council Entry'!K$8),'Council Entry'!K167))))-'Council Entry'!K$5)/('Council Entry'!K$6-'Council Entry'!K$5),10*((IF('Council Entry'!K$4="Logarithm",LN(0.001+IF(AND(ISNUMBER('Council Entry'!K$8),ISNUMBER('Council Entry'!K$9)),MAX(MIN('Council Entry'!K167,'Council Entry'!K$9),'Council Entry'!K$8),'Council Entry'!K167)),IF('Council Entry'!K$4="Exponential",EXP(IF(AND(ISNUMBER('Council Entry'!K$8),ISNUMBER('Council Entry'!K$9)),MAX(MIN('Council Entry'!K167,'Council Entry'!K$9),'Council Entry'!K$8),'Council Entry'!K167)),IF(AND(ISNUMBER('Council Entry'!K$8),ISNUMBER('Council Entry'!K$9)),MAX(MIN('Council Entry'!K167,'Council Entry'!K$9),'Council Entry'!K$8),'Council Entry'!K167))))-'Council Entry'!K$5)/('Council Entry'!K$6-'Council Entry'!K$5)),1))),"No data"))</f>
        <v/>
      </c>
      <c r="L167" s="13">
        <f>IF('Council Entry'!L167="","",IFERROR(MAX(0,MIN(10,ROUND(IF('Council Entry'!L$7="Decrease Risk",10-10*((IF('Council Entry'!L$4="Logarithm",LN(0.001+IF(AND(ISNUMBER('Council Entry'!L$8),ISNUMBER('Council Entry'!L$9)),MAX(MIN('Council Entry'!L167,'Council Entry'!L$9),'Council Entry'!L$8),'Council Entry'!L167)),IF('Council Entry'!L$4="Exponential",EXP(IF(AND(ISNUMBER('Council Entry'!L$8),ISNUMBER('Council Entry'!L$9)),MAX(MIN('Council Entry'!L167,'Council Entry'!L$9),'Council Entry'!L$8),'Council Entry'!L167)),IF(AND(ISNUMBER('Council Entry'!L$8),ISNUMBER('Council Entry'!L$9)),MAX(MIN('Council Entry'!L167,'Council Entry'!L$9),'Council Entry'!L$8),'Council Entry'!L167))))-'Council Entry'!L$5)/('Council Entry'!L$6-'Council Entry'!L$5),10*((IF('Council Entry'!L$4="Logarithm",LN(0.001+IF(AND(ISNUMBER('Council Entry'!L$8),ISNUMBER('Council Entry'!L$9)),MAX(MIN('Council Entry'!L167,'Council Entry'!L$9),'Council Entry'!L$8),'Council Entry'!L167)),IF('Council Entry'!L$4="Exponential",EXP(IF(AND(ISNUMBER('Council Entry'!L$8),ISNUMBER('Council Entry'!L$9)),MAX(MIN('Council Entry'!L167,'Council Entry'!L$9),'Council Entry'!L$8),'Council Entry'!L167)),IF(AND(ISNUMBER('Council Entry'!L$8),ISNUMBER('Council Entry'!L$9)),MAX(MIN('Council Entry'!L167,'Council Entry'!L$9),'Council Entry'!L$8),'Council Entry'!L167))))-'Council Entry'!L$5)/('Council Entry'!L$6-'Council Entry'!L$5)),1))),"No data"))</f>
        <v/>
      </c>
      <c r="M167" s="13">
        <f>IF('Council Entry'!M167="","",IFERROR(MAX(0,MIN(10,ROUND(IF('Council Entry'!M$7="Decrease Risk",10-10*((IF('Council Entry'!M$4="Logarithm",LN(0.001+IF(AND(ISNUMBER('Council Entry'!M$8),ISNUMBER('Council Entry'!M$9)),MAX(MIN('Council Entry'!M167,'Council Entry'!M$9),'Council Entry'!M$8),'Council Entry'!M167)),IF('Council Entry'!M$4="Exponential",EXP(IF(AND(ISNUMBER('Council Entry'!M$8),ISNUMBER('Council Entry'!M$9)),MAX(MIN('Council Entry'!M167,'Council Entry'!M$9),'Council Entry'!M$8),'Council Entry'!M167)),IF(AND(ISNUMBER('Council Entry'!M$8),ISNUMBER('Council Entry'!M$9)),MAX(MIN('Council Entry'!M167,'Council Entry'!M$9),'Council Entry'!M$8),'Council Entry'!M167))))-'Council Entry'!M$5)/('Council Entry'!M$6-'Council Entry'!M$5),10*((IF('Council Entry'!M$4="Logarithm",LN(0.001+IF(AND(ISNUMBER('Council Entry'!M$8),ISNUMBER('Council Entry'!M$9)),MAX(MIN('Council Entry'!M167,'Council Entry'!M$9),'Council Entry'!M$8),'Council Entry'!M167)),IF('Council Entry'!M$4="Exponential",EXP(IF(AND(ISNUMBER('Council Entry'!M$8),ISNUMBER('Council Entry'!M$9)),MAX(MIN('Council Entry'!M167,'Council Entry'!M$9),'Council Entry'!M$8),'Council Entry'!M167)),IF(AND(ISNUMBER('Council Entry'!M$8),ISNUMBER('Council Entry'!M$9)),MAX(MIN('Council Entry'!M167,'Council Entry'!M$9),'Council Entry'!M$8),'Council Entry'!M167))))-'Council Entry'!M$5)/('Council Entry'!M$6-'Council Entry'!M$5)),1))),"No data"))</f>
        <v/>
      </c>
      <c r="N167" s="13">
        <f>IF('Council Entry'!N167="","",IFERROR(MAX(0,MIN(10,ROUND(IF('Council Entry'!N$7="Decrease Risk",10-10*((IF('Council Entry'!N$4="Logarithm",LN(0.001+IF(AND(ISNUMBER('Council Entry'!N$8),ISNUMBER('Council Entry'!N$9)),MAX(MIN('Council Entry'!N167,'Council Entry'!N$9),'Council Entry'!N$8),'Council Entry'!N167)),IF('Council Entry'!N$4="Exponential",EXP(IF(AND(ISNUMBER('Council Entry'!N$8),ISNUMBER('Council Entry'!N$9)),MAX(MIN('Council Entry'!N167,'Council Entry'!N$9),'Council Entry'!N$8),'Council Entry'!N167)),IF(AND(ISNUMBER('Council Entry'!N$8),ISNUMBER('Council Entry'!N$9)),MAX(MIN('Council Entry'!N167,'Council Entry'!N$9),'Council Entry'!N$8),'Council Entry'!N167))))-'Council Entry'!N$5)/('Council Entry'!N$6-'Council Entry'!N$5),10*((IF('Council Entry'!N$4="Logarithm",LN(0.001+IF(AND(ISNUMBER('Council Entry'!N$8),ISNUMBER('Council Entry'!N$9)),MAX(MIN('Council Entry'!N167,'Council Entry'!N$9),'Council Entry'!N$8),'Council Entry'!N167)),IF('Council Entry'!N$4="Exponential",EXP(IF(AND(ISNUMBER('Council Entry'!N$8),ISNUMBER('Council Entry'!N$9)),MAX(MIN('Council Entry'!N167,'Council Entry'!N$9),'Council Entry'!N$8),'Council Entry'!N167)),IF(AND(ISNUMBER('Council Entry'!N$8),ISNUMBER('Council Entry'!N$9)),MAX(MIN('Council Entry'!N167,'Council Entry'!N$9),'Council Entry'!N$8),'Council Entry'!N167))))-'Council Entry'!N$5)/('Council Entry'!N$6-'Council Entry'!N$5)),1))),"No data"))</f>
        <v/>
      </c>
      <c r="O167" s="13">
        <f>IF('Council Entry'!O167="","",IFERROR(MAX(0,MIN(10,ROUND(IF('Council Entry'!O$7="Decrease Risk",10-10*((IF('Council Entry'!O$4="Logarithm",LN(0.001+IF(AND(ISNUMBER('Council Entry'!O$8),ISNUMBER('Council Entry'!O$9)),MAX(MIN('Council Entry'!O167,'Council Entry'!O$9),'Council Entry'!O$8),'Council Entry'!O167)),IF('Council Entry'!O$4="Exponential",EXP(IF(AND(ISNUMBER('Council Entry'!O$8),ISNUMBER('Council Entry'!O$9)),MAX(MIN('Council Entry'!O167,'Council Entry'!O$9),'Council Entry'!O$8),'Council Entry'!O167)),IF(AND(ISNUMBER('Council Entry'!O$8),ISNUMBER('Council Entry'!O$9)),MAX(MIN('Council Entry'!O167,'Council Entry'!O$9),'Council Entry'!O$8),'Council Entry'!O167))))-'Council Entry'!O$5)/('Council Entry'!O$6-'Council Entry'!O$5),10*((IF('Council Entry'!O$4="Logarithm",LN(0.001+IF(AND(ISNUMBER('Council Entry'!O$8),ISNUMBER('Council Entry'!O$9)),MAX(MIN('Council Entry'!O167,'Council Entry'!O$9),'Council Entry'!O$8),'Council Entry'!O167)),IF('Council Entry'!O$4="Exponential",EXP(IF(AND(ISNUMBER('Council Entry'!O$8),ISNUMBER('Council Entry'!O$9)),MAX(MIN('Council Entry'!O167,'Council Entry'!O$9),'Council Entry'!O$8),'Council Entry'!O167)),IF(AND(ISNUMBER('Council Entry'!O$8),ISNUMBER('Council Entry'!O$9)),MAX(MIN('Council Entry'!O167,'Council Entry'!O$9),'Council Entry'!O$8),'Council Entry'!O167))))-'Council Entry'!O$5)/('Council Entry'!O$6-'Council Entry'!O$5)),1))),"No data"))</f>
        <v/>
      </c>
      <c r="P167" s="13">
        <f>IF('Council Entry'!P167="","",IFERROR(MAX(0,MIN(10,ROUND(IF('Council Entry'!P$7="Decrease Risk",10-10*((IF('Council Entry'!P$4="Logarithm",LN(0.001+IF(AND(ISNUMBER('Council Entry'!P$8),ISNUMBER('Council Entry'!P$9)),MAX(MIN('Council Entry'!P167,'Council Entry'!P$9),'Council Entry'!P$8),'Council Entry'!P167)),IF('Council Entry'!P$4="Exponential",EXP(IF(AND(ISNUMBER('Council Entry'!P$8),ISNUMBER('Council Entry'!P$9)),MAX(MIN('Council Entry'!P167,'Council Entry'!P$9),'Council Entry'!P$8),'Council Entry'!P167)),IF(AND(ISNUMBER('Council Entry'!P$8),ISNUMBER('Council Entry'!P$9)),MAX(MIN('Council Entry'!P167,'Council Entry'!P$9),'Council Entry'!P$8),'Council Entry'!P167))))-'Council Entry'!P$5)/('Council Entry'!P$6-'Council Entry'!P$5),10*((IF('Council Entry'!P$4="Logarithm",LN(0.001+IF(AND(ISNUMBER('Council Entry'!P$8),ISNUMBER('Council Entry'!P$9)),MAX(MIN('Council Entry'!P167,'Council Entry'!P$9),'Council Entry'!P$8),'Council Entry'!P167)),IF('Council Entry'!P$4="Exponential",EXP(IF(AND(ISNUMBER('Council Entry'!P$8),ISNUMBER('Council Entry'!P$9)),MAX(MIN('Council Entry'!P167,'Council Entry'!P$9),'Council Entry'!P$8),'Council Entry'!P167)),IF(AND(ISNUMBER('Council Entry'!P$8),ISNUMBER('Council Entry'!P$9)),MAX(MIN('Council Entry'!P167,'Council Entry'!P$9),'Council Entry'!P$8),'Council Entry'!P167))))-'Council Entry'!P$5)/('Council Entry'!P$6-'Council Entry'!P$5)),1))),"No data"))</f>
        <v/>
      </c>
      <c r="Q167" s="13">
        <f>IF('Council Entry'!Q167="","",IFERROR(MAX(0,MIN(10,ROUND(IF('Council Entry'!Q$7="Decrease Risk",10-10*((IF('Council Entry'!Q$4="Logarithm",LN(0.001+IF(AND(ISNUMBER('Council Entry'!Q$8),ISNUMBER('Council Entry'!Q$9)),MAX(MIN('Council Entry'!Q167,'Council Entry'!Q$9),'Council Entry'!Q$8),'Council Entry'!Q167)),IF('Council Entry'!Q$4="Exponential",EXP(IF(AND(ISNUMBER('Council Entry'!Q$8),ISNUMBER('Council Entry'!Q$9)),MAX(MIN('Council Entry'!Q167,'Council Entry'!Q$9),'Council Entry'!Q$8),'Council Entry'!Q167)),IF(AND(ISNUMBER('Council Entry'!Q$8),ISNUMBER('Council Entry'!Q$9)),MAX(MIN('Council Entry'!Q167,'Council Entry'!Q$9),'Council Entry'!Q$8),'Council Entry'!Q167))))-'Council Entry'!Q$5)/('Council Entry'!Q$6-'Council Entry'!Q$5),10*((IF('Council Entry'!Q$4="Logarithm",LN(0.001+IF(AND(ISNUMBER('Council Entry'!Q$8),ISNUMBER('Council Entry'!Q$9)),MAX(MIN('Council Entry'!Q167,'Council Entry'!Q$9),'Council Entry'!Q$8),'Council Entry'!Q167)),IF('Council Entry'!Q$4="Exponential",EXP(IF(AND(ISNUMBER('Council Entry'!Q$8),ISNUMBER('Council Entry'!Q$9)),MAX(MIN('Council Entry'!Q167,'Council Entry'!Q$9),'Council Entry'!Q$8),'Council Entry'!Q167)),IF(AND(ISNUMBER('Council Entry'!Q$8),ISNUMBER('Council Entry'!Q$9)),MAX(MIN('Council Entry'!Q167,'Council Entry'!Q$9),'Council Entry'!Q$8),'Council Entry'!Q167))))-'Council Entry'!Q$5)/('Council Entry'!Q$6-'Council Entry'!Q$5)),1))),"No data"))</f>
        <v/>
      </c>
      <c r="R167" s="13">
        <f>IF('Council Entry'!R167="","",IFERROR(MAX(0,MIN(10,ROUND(IF('Council Entry'!R$7="Decrease Risk",10-10*((IF('Council Entry'!R$4="Logarithm",LN(0.001+IF(AND(ISNUMBER('Council Entry'!R$8),ISNUMBER('Council Entry'!R$9)),MAX(MIN('Council Entry'!R167,'Council Entry'!R$9),'Council Entry'!R$8),'Council Entry'!R167)),IF('Council Entry'!R$4="Exponential",EXP(IF(AND(ISNUMBER('Council Entry'!R$8),ISNUMBER('Council Entry'!R$9)),MAX(MIN('Council Entry'!R167,'Council Entry'!R$9),'Council Entry'!R$8),'Council Entry'!R167)),IF(AND(ISNUMBER('Council Entry'!R$8),ISNUMBER('Council Entry'!R$9)),MAX(MIN('Council Entry'!R167,'Council Entry'!R$9),'Council Entry'!R$8),'Council Entry'!R167))))-'Council Entry'!R$5)/('Council Entry'!R$6-'Council Entry'!R$5),10*((IF('Council Entry'!R$4="Logarithm",LN(0.001+IF(AND(ISNUMBER('Council Entry'!R$8),ISNUMBER('Council Entry'!R$9)),MAX(MIN('Council Entry'!R167,'Council Entry'!R$9),'Council Entry'!R$8),'Council Entry'!R167)),IF('Council Entry'!R$4="Exponential",EXP(IF(AND(ISNUMBER('Council Entry'!R$8),ISNUMBER('Council Entry'!R$9)),MAX(MIN('Council Entry'!R167,'Council Entry'!R$9),'Council Entry'!R$8),'Council Entry'!R167)),IF(AND(ISNUMBER('Council Entry'!R$8),ISNUMBER('Council Entry'!R$9)),MAX(MIN('Council Entry'!R167,'Council Entry'!R$9),'Council Entry'!R$8),'Council Entry'!R167))))-'Council Entry'!R$5)/('Council Entry'!R$6-'Council Entry'!R$5)),1))),"No data"))</f>
        <v/>
      </c>
      <c r="S167" s="13">
        <f>IF('Council Entry'!S167="","",IFERROR(MAX(0,MIN(10,ROUND(IF('Council Entry'!S$7="Decrease Risk",10-10*((IF('Council Entry'!S$4="Logarithm",LN(0.001+IF(AND(ISNUMBER('Council Entry'!S$8),ISNUMBER('Council Entry'!S$9)),MAX(MIN('Council Entry'!S167,'Council Entry'!S$9),'Council Entry'!S$8),'Council Entry'!S167)),IF('Council Entry'!S$4="Exponential",EXP(IF(AND(ISNUMBER('Council Entry'!S$8),ISNUMBER('Council Entry'!S$9)),MAX(MIN('Council Entry'!S167,'Council Entry'!S$9),'Council Entry'!S$8),'Council Entry'!S167)),IF(AND(ISNUMBER('Council Entry'!S$8),ISNUMBER('Council Entry'!S$9)),MAX(MIN('Council Entry'!S167,'Council Entry'!S$9),'Council Entry'!S$8),'Council Entry'!S167))))-'Council Entry'!S$5)/('Council Entry'!S$6-'Council Entry'!S$5),10*((IF('Council Entry'!S$4="Logarithm",LN(0.001+IF(AND(ISNUMBER('Council Entry'!S$8),ISNUMBER('Council Entry'!S$9)),MAX(MIN('Council Entry'!S167,'Council Entry'!S$9),'Council Entry'!S$8),'Council Entry'!S167)),IF('Council Entry'!S$4="Exponential",EXP(IF(AND(ISNUMBER('Council Entry'!S$8),ISNUMBER('Council Entry'!S$9)),MAX(MIN('Council Entry'!S167,'Council Entry'!S$9),'Council Entry'!S$8),'Council Entry'!S167)),IF(AND(ISNUMBER('Council Entry'!S$8),ISNUMBER('Council Entry'!S$9)),MAX(MIN('Council Entry'!S167,'Council Entry'!S$9),'Council Entry'!S$8),'Council Entry'!S167))))-'Council Entry'!S$5)/('Council Entry'!S$6-'Council Entry'!S$5)),1))),"No data"))</f>
        <v/>
      </c>
      <c r="T167" s="13">
        <f>IF('Council Entry'!T167="","",IFERROR(MAX(0,MIN(10,ROUND(IF('Council Entry'!T$7="Decrease Risk",10-10*((IF('Council Entry'!T$4="Logarithm",LN(0.001+IF(AND(ISNUMBER('Council Entry'!T$8),ISNUMBER('Council Entry'!T$9)),MAX(MIN('Council Entry'!T167,'Council Entry'!T$9),'Council Entry'!T$8),'Council Entry'!T167)),IF('Council Entry'!T$4="Exponential",EXP(IF(AND(ISNUMBER('Council Entry'!T$8),ISNUMBER('Council Entry'!T$9)),MAX(MIN('Council Entry'!T167,'Council Entry'!T$9),'Council Entry'!T$8),'Council Entry'!T167)),IF(AND(ISNUMBER('Council Entry'!T$8),ISNUMBER('Council Entry'!T$9)),MAX(MIN('Council Entry'!T167,'Council Entry'!T$9),'Council Entry'!T$8),'Council Entry'!T167))))-'Council Entry'!T$5)/('Council Entry'!T$6-'Council Entry'!T$5),10*((IF('Council Entry'!T$4="Logarithm",LN(0.001+IF(AND(ISNUMBER('Council Entry'!T$8),ISNUMBER('Council Entry'!T$9)),MAX(MIN('Council Entry'!T167,'Council Entry'!T$9),'Council Entry'!T$8),'Council Entry'!T167)),IF('Council Entry'!T$4="Exponential",EXP(IF(AND(ISNUMBER('Council Entry'!T$8),ISNUMBER('Council Entry'!T$9)),MAX(MIN('Council Entry'!T167,'Council Entry'!T$9),'Council Entry'!T$8),'Council Entry'!T167)),IF(AND(ISNUMBER('Council Entry'!T$8),ISNUMBER('Council Entry'!T$9)),MAX(MIN('Council Entry'!T167,'Council Entry'!T$9),'Council Entry'!T$8),'Council Entry'!T167))))-'Council Entry'!T$5)/('Council Entry'!T$6-'Council Entry'!T$5)),1))),"No data"))</f>
        <v/>
      </c>
      <c r="U167" s="13">
        <f>IF('Council Entry'!U167="","",IFERROR(MAX(0,MIN(10,ROUND(IF('Council Entry'!U$7="Decrease Risk",10-10*((IF('Council Entry'!U$4="Logarithm",LN(0.001+IF(AND(ISNUMBER('Council Entry'!U$8),ISNUMBER('Council Entry'!U$9)),MAX(MIN('Council Entry'!U167,'Council Entry'!U$9),'Council Entry'!U$8),'Council Entry'!U167)),IF('Council Entry'!U$4="Exponential",EXP(IF(AND(ISNUMBER('Council Entry'!U$8),ISNUMBER('Council Entry'!U$9)),MAX(MIN('Council Entry'!U167,'Council Entry'!U$9),'Council Entry'!U$8),'Council Entry'!U167)),IF(AND(ISNUMBER('Council Entry'!U$8),ISNUMBER('Council Entry'!U$9)),MAX(MIN('Council Entry'!U167,'Council Entry'!U$9),'Council Entry'!U$8),'Council Entry'!U167))))-'Council Entry'!U$5)/('Council Entry'!U$6-'Council Entry'!U$5),10*((IF('Council Entry'!U$4="Logarithm",LN(0.001+IF(AND(ISNUMBER('Council Entry'!U$8),ISNUMBER('Council Entry'!U$9)),MAX(MIN('Council Entry'!U167,'Council Entry'!U$9),'Council Entry'!U$8),'Council Entry'!U167)),IF('Council Entry'!U$4="Exponential",EXP(IF(AND(ISNUMBER('Council Entry'!U$8),ISNUMBER('Council Entry'!U$9)),MAX(MIN('Council Entry'!U167,'Council Entry'!U$9),'Council Entry'!U$8),'Council Entry'!U167)),IF(AND(ISNUMBER('Council Entry'!U$8),ISNUMBER('Council Entry'!U$9)),MAX(MIN('Council Entry'!U167,'Council Entry'!U$9),'Council Entry'!U$8),'Council Entry'!U167))))-'Council Entry'!U$5)/('Council Entry'!U$6-'Council Entry'!U$5)),1))),"No data"))</f>
        <v/>
      </c>
      <c r="V167" s="13">
        <f>IF('Council Entry'!V167="","",IFERROR(MAX(0,MIN(10,ROUND(IF('Council Entry'!V$7="Decrease Risk",10-10*((IF('Council Entry'!V$4="Logarithm",LN(0.001+IF(AND(ISNUMBER('Council Entry'!V$8),ISNUMBER('Council Entry'!V$9)),MAX(MIN('Council Entry'!V167,'Council Entry'!V$9),'Council Entry'!V$8),'Council Entry'!V167)),IF('Council Entry'!V$4="Exponential",EXP(IF(AND(ISNUMBER('Council Entry'!V$8),ISNUMBER('Council Entry'!V$9)),MAX(MIN('Council Entry'!V167,'Council Entry'!V$9),'Council Entry'!V$8),'Council Entry'!V167)),IF(AND(ISNUMBER('Council Entry'!V$8),ISNUMBER('Council Entry'!V$9)),MAX(MIN('Council Entry'!V167,'Council Entry'!V$9),'Council Entry'!V$8),'Council Entry'!V167))))-'Council Entry'!V$5)/('Council Entry'!V$6-'Council Entry'!V$5),10*((IF('Council Entry'!V$4="Logarithm",LN(0.001+IF(AND(ISNUMBER('Council Entry'!V$8),ISNUMBER('Council Entry'!V$9)),MAX(MIN('Council Entry'!V167,'Council Entry'!V$9),'Council Entry'!V$8),'Council Entry'!V167)),IF('Council Entry'!V$4="Exponential",EXP(IF(AND(ISNUMBER('Council Entry'!V$8),ISNUMBER('Council Entry'!V$9)),MAX(MIN('Council Entry'!V167,'Council Entry'!V$9),'Council Entry'!V$8),'Council Entry'!V167)),IF(AND(ISNUMBER('Council Entry'!V$8),ISNUMBER('Council Entry'!V$9)),MAX(MIN('Council Entry'!V167,'Council Entry'!V$9),'Council Entry'!V$8),'Council Entry'!V167))))-'Council Entry'!V$5)/('Council Entry'!V$6-'Council Entry'!V$5)),1))),"No data"))</f>
        <v/>
      </c>
      <c r="W167" s="13">
        <f>IF('Council Entry'!W167="","",IFERROR(MAX(0,MIN(10,ROUND(IF('Council Entry'!W$7="Decrease Risk",10-10*((IF('Council Entry'!W$4="Logarithm",LN(0.001+IF(AND(ISNUMBER('Council Entry'!W$8),ISNUMBER('Council Entry'!W$9)),MAX(MIN('Council Entry'!W167,'Council Entry'!W$9),'Council Entry'!W$8),'Council Entry'!W167)),IF('Council Entry'!W$4="Exponential",EXP(IF(AND(ISNUMBER('Council Entry'!W$8),ISNUMBER('Council Entry'!W$9)),MAX(MIN('Council Entry'!W167,'Council Entry'!W$9),'Council Entry'!W$8),'Council Entry'!W167)),IF(AND(ISNUMBER('Council Entry'!W$8),ISNUMBER('Council Entry'!W$9)),MAX(MIN('Council Entry'!W167,'Council Entry'!W$9),'Council Entry'!W$8),'Council Entry'!W167))))-'Council Entry'!W$5)/('Council Entry'!W$6-'Council Entry'!W$5),10*((IF('Council Entry'!W$4="Logarithm",LN(0.001+IF(AND(ISNUMBER('Council Entry'!W$8),ISNUMBER('Council Entry'!W$9)),MAX(MIN('Council Entry'!W167,'Council Entry'!W$9),'Council Entry'!W$8),'Council Entry'!W167)),IF('Council Entry'!W$4="Exponential",EXP(IF(AND(ISNUMBER('Council Entry'!W$8),ISNUMBER('Council Entry'!W$9)),MAX(MIN('Council Entry'!W167,'Council Entry'!W$9),'Council Entry'!W$8),'Council Entry'!W167)),IF(AND(ISNUMBER('Council Entry'!W$8),ISNUMBER('Council Entry'!W$9)),MAX(MIN('Council Entry'!W167,'Council Entry'!W$9),'Council Entry'!W$8),'Council Entry'!W167))))-'Council Entry'!W$5)/('Council Entry'!W$6-'Council Entry'!W$5)),1))),"No data"))</f>
        <v/>
      </c>
      <c r="X167" s="13">
        <f>IF('Council Entry'!X167="","",IFERROR(MAX(0,MIN(10,ROUND(IF('Council Entry'!X$7="Decrease Risk",10-10*((IF('Council Entry'!X$4="Logarithm",LN(0.001+IF(AND(ISNUMBER('Council Entry'!X$8),ISNUMBER('Council Entry'!X$9)),MAX(MIN('Council Entry'!X167,'Council Entry'!X$9),'Council Entry'!X$8),'Council Entry'!X167)),IF('Council Entry'!X$4="Exponential",EXP(IF(AND(ISNUMBER('Council Entry'!X$8),ISNUMBER('Council Entry'!X$9)),MAX(MIN('Council Entry'!X167,'Council Entry'!X$9),'Council Entry'!X$8),'Council Entry'!X167)),IF(AND(ISNUMBER('Council Entry'!X$8),ISNUMBER('Council Entry'!X$9)),MAX(MIN('Council Entry'!X167,'Council Entry'!X$9),'Council Entry'!X$8),'Council Entry'!X167))))-'Council Entry'!X$5)/('Council Entry'!X$6-'Council Entry'!X$5),10*((IF('Council Entry'!X$4="Logarithm",LN(0.001+IF(AND(ISNUMBER('Council Entry'!X$8),ISNUMBER('Council Entry'!X$9)),MAX(MIN('Council Entry'!X167,'Council Entry'!X$9),'Council Entry'!X$8),'Council Entry'!X167)),IF('Council Entry'!X$4="Exponential",EXP(IF(AND(ISNUMBER('Council Entry'!X$8),ISNUMBER('Council Entry'!X$9)),MAX(MIN('Council Entry'!X167,'Council Entry'!X$9),'Council Entry'!X$8),'Council Entry'!X167)),IF(AND(ISNUMBER('Council Entry'!X$8),ISNUMBER('Council Entry'!X$9)),MAX(MIN('Council Entry'!X167,'Council Entry'!X$9),'Council Entry'!X$8),'Council Entry'!X167))))-'Council Entry'!X$5)/('Council Entry'!X$6-'Council Entry'!X$5)),1))),"No data"))</f>
        <v/>
      </c>
      <c r="Y167" s="13">
        <f>IF('Council Entry'!Y167="","",IFERROR(MAX(0,MIN(10,ROUND(IF('Council Entry'!Y$7="Decrease Risk",10-10*((IF('Council Entry'!Y$4="Logarithm",LN(0.001+IF(AND(ISNUMBER('Council Entry'!Y$8),ISNUMBER('Council Entry'!Y$9)),MAX(MIN('Council Entry'!Y167,'Council Entry'!Y$9),'Council Entry'!Y$8),'Council Entry'!Y167)),IF('Council Entry'!Y$4="Exponential",EXP(IF(AND(ISNUMBER('Council Entry'!Y$8),ISNUMBER('Council Entry'!Y$9)),MAX(MIN('Council Entry'!Y167,'Council Entry'!Y$9),'Council Entry'!Y$8),'Council Entry'!Y167)),IF(AND(ISNUMBER('Council Entry'!Y$8),ISNUMBER('Council Entry'!Y$9)),MAX(MIN('Council Entry'!Y167,'Council Entry'!Y$9),'Council Entry'!Y$8),'Council Entry'!Y167))))-'Council Entry'!Y$5)/('Council Entry'!Y$6-'Council Entry'!Y$5),10*((IF('Council Entry'!Y$4="Logarithm",LN(0.001+IF(AND(ISNUMBER('Council Entry'!Y$8),ISNUMBER('Council Entry'!Y$9)),MAX(MIN('Council Entry'!Y167,'Council Entry'!Y$9),'Council Entry'!Y$8),'Council Entry'!Y167)),IF('Council Entry'!Y$4="Exponential",EXP(IF(AND(ISNUMBER('Council Entry'!Y$8),ISNUMBER('Council Entry'!Y$9)),MAX(MIN('Council Entry'!Y167,'Council Entry'!Y$9),'Council Entry'!Y$8),'Council Entry'!Y167)),IF(AND(ISNUMBER('Council Entry'!Y$8),ISNUMBER('Council Entry'!Y$9)),MAX(MIN('Council Entry'!Y167,'Council Entry'!Y$9),'Council Entry'!Y$8),'Council Entry'!Y167))))-'Council Entry'!Y$5)/('Council Entry'!Y$6-'Council Entry'!Y$5)),1))),"No data"))</f>
        <v/>
      </c>
      <c r="Z167" s="13">
        <f>IF('Council Entry'!Z167="","",IFERROR(MAX(0,MIN(10,ROUND(IF('Council Entry'!Z$7="Decrease Risk",10-10*((IF('Council Entry'!Z$4="Logarithm",LN(0.001+IF(AND(ISNUMBER('Council Entry'!Z$8),ISNUMBER('Council Entry'!Z$9)),MAX(MIN('Council Entry'!Z167,'Council Entry'!Z$9),'Council Entry'!Z$8),'Council Entry'!Z167)),IF('Council Entry'!Z$4="Exponential",EXP(IF(AND(ISNUMBER('Council Entry'!Z$8),ISNUMBER('Council Entry'!Z$9)),MAX(MIN('Council Entry'!Z167,'Council Entry'!Z$9),'Council Entry'!Z$8),'Council Entry'!Z167)),IF(AND(ISNUMBER('Council Entry'!Z$8),ISNUMBER('Council Entry'!Z$9)),MAX(MIN('Council Entry'!Z167,'Council Entry'!Z$9),'Council Entry'!Z$8),'Council Entry'!Z167))))-'Council Entry'!Z$5)/('Council Entry'!Z$6-'Council Entry'!Z$5),10*((IF('Council Entry'!Z$4="Logarithm",LN(0.001+IF(AND(ISNUMBER('Council Entry'!Z$8),ISNUMBER('Council Entry'!Z$9)),MAX(MIN('Council Entry'!Z167,'Council Entry'!Z$9),'Council Entry'!Z$8),'Council Entry'!Z167)),IF('Council Entry'!Z$4="Exponential",EXP(IF(AND(ISNUMBER('Council Entry'!Z$8),ISNUMBER('Council Entry'!Z$9)),MAX(MIN('Council Entry'!Z167,'Council Entry'!Z$9),'Council Entry'!Z$8),'Council Entry'!Z167)),IF(AND(ISNUMBER('Council Entry'!Z$8),ISNUMBER('Council Entry'!Z$9)),MAX(MIN('Council Entry'!Z167,'Council Entry'!Z$9),'Council Entry'!Z$8),'Council Entry'!Z167))))-'Council Entry'!Z$5)/('Council Entry'!Z$6-'Council Entry'!Z$5)),1))),"No data"))</f>
        <v/>
      </c>
      <c r="AA167" s="13">
        <f>IF('Council Entry'!AA167="","",IFERROR(MAX(0,MIN(10,ROUND(IF('Council Entry'!AA$7="Decrease Risk",10-10*((IF('Council Entry'!AA$4="Logarithm",LN(0.001+IF(AND(ISNUMBER('Council Entry'!AA$8),ISNUMBER('Council Entry'!AA$9)),MAX(MIN('Council Entry'!AA167,'Council Entry'!AA$9),'Council Entry'!AA$8),'Council Entry'!AA167)),IF('Council Entry'!AA$4="Exponential",EXP(IF(AND(ISNUMBER('Council Entry'!AA$8),ISNUMBER('Council Entry'!AA$9)),MAX(MIN('Council Entry'!AA167,'Council Entry'!AA$9),'Council Entry'!AA$8),'Council Entry'!AA167)),IF(AND(ISNUMBER('Council Entry'!AA$8),ISNUMBER('Council Entry'!AA$9)),MAX(MIN('Council Entry'!AA167,'Council Entry'!AA$9),'Council Entry'!AA$8),'Council Entry'!AA167))))-'Council Entry'!AA$5)/('Council Entry'!AA$6-'Council Entry'!AA$5),10*((IF('Council Entry'!AA$4="Logarithm",LN(0.001+IF(AND(ISNUMBER('Council Entry'!AA$8),ISNUMBER('Council Entry'!AA$9)),MAX(MIN('Council Entry'!AA167,'Council Entry'!AA$9),'Council Entry'!AA$8),'Council Entry'!AA167)),IF('Council Entry'!AA$4="Exponential",EXP(IF(AND(ISNUMBER('Council Entry'!AA$8),ISNUMBER('Council Entry'!AA$9)),MAX(MIN('Council Entry'!AA167,'Council Entry'!AA$9),'Council Entry'!AA$8),'Council Entry'!AA167)),IF(AND(ISNUMBER('Council Entry'!AA$8),ISNUMBER('Council Entry'!AA$9)),MAX(MIN('Council Entry'!AA167,'Council Entry'!AA$9),'Council Entry'!AA$8),'Council Entry'!AA167))))-'Council Entry'!AA$5)/('Council Entry'!AA$6-'Council Entry'!AA$5)),1))),"No data"))</f>
        <v/>
      </c>
      <c r="AB167" s="13">
        <f>IF('Council Entry'!AB167="","",IFERROR(MAX(0,MIN(10,ROUND(IF('Council Entry'!AB$7="Decrease Risk",10-10*((IF('Council Entry'!AB$4="Logarithm",LN(0.001+IF(AND(ISNUMBER('Council Entry'!AB$8),ISNUMBER('Council Entry'!AB$9)),MAX(MIN('Council Entry'!AB167,'Council Entry'!AB$9),'Council Entry'!AB$8),'Council Entry'!AB167)),IF('Council Entry'!AB$4="Exponential",EXP(IF(AND(ISNUMBER('Council Entry'!AB$8),ISNUMBER('Council Entry'!AB$9)),MAX(MIN('Council Entry'!AB167,'Council Entry'!AB$9),'Council Entry'!AB$8),'Council Entry'!AB167)),IF(AND(ISNUMBER('Council Entry'!AB$8),ISNUMBER('Council Entry'!AB$9)),MAX(MIN('Council Entry'!AB167,'Council Entry'!AB$9),'Council Entry'!AB$8),'Council Entry'!AB167))))-'Council Entry'!AB$5)/('Council Entry'!AB$6-'Council Entry'!AB$5),10*((IF('Council Entry'!AB$4="Logarithm",LN(0.001+IF(AND(ISNUMBER('Council Entry'!AB$8),ISNUMBER('Council Entry'!AB$9)),MAX(MIN('Council Entry'!AB167,'Council Entry'!AB$9),'Council Entry'!AB$8),'Council Entry'!AB167)),IF('Council Entry'!AB$4="Exponential",EXP(IF(AND(ISNUMBER('Council Entry'!AB$8),ISNUMBER('Council Entry'!AB$9)),MAX(MIN('Council Entry'!AB167,'Council Entry'!AB$9),'Council Entry'!AB$8),'Council Entry'!AB167)),IF(AND(ISNUMBER('Council Entry'!AB$8),ISNUMBER('Council Entry'!AB$9)),MAX(MIN('Council Entry'!AB167,'Council Entry'!AB$9),'Council Entry'!AB$8),'Council Entry'!AB167))))-'Council Entry'!AB$5)/('Council Entry'!AB$6-'Council Entry'!AB$5)),1))),"No data"))</f>
        <v/>
      </c>
      <c r="AC167" s="13">
        <f>IF('Council Entry'!AC167="","",IFERROR(MAX(0,MIN(10,ROUND(IF('Council Entry'!AC$7="Decrease Risk",10-10*((IF('Council Entry'!AC$4="Logarithm",LN(0.001+IF(AND(ISNUMBER('Council Entry'!AC$8),ISNUMBER('Council Entry'!AC$9)),MAX(MIN('Council Entry'!AC167,'Council Entry'!AC$9),'Council Entry'!AC$8),'Council Entry'!AC167)),IF('Council Entry'!AC$4="Exponential",EXP(IF(AND(ISNUMBER('Council Entry'!AC$8),ISNUMBER('Council Entry'!AC$9)),MAX(MIN('Council Entry'!AC167,'Council Entry'!AC$9),'Council Entry'!AC$8),'Council Entry'!AC167)),IF(AND(ISNUMBER('Council Entry'!AC$8),ISNUMBER('Council Entry'!AC$9)),MAX(MIN('Council Entry'!AC167,'Council Entry'!AC$9),'Council Entry'!AC$8),'Council Entry'!AC167))))-'Council Entry'!AC$5)/('Council Entry'!AC$6-'Council Entry'!AC$5),10*((IF('Council Entry'!AC$4="Logarithm",LN(0.001+IF(AND(ISNUMBER('Council Entry'!AC$8),ISNUMBER('Council Entry'!AC$9)),MAX(MIN('Council Entry'!AC167,'Council Entry'!AC$9),'Council Entry'!AC$8),'Council Entry'!AC167)),IF('Council Entry'!AC$4="Exponential",EXP(IF(AND(ISNUMBER('Council Entry'!AC$8),ISNUMBER('Council Entry'!AC$9)),MAX(MIN('Council Entry'!AC167,'Council Entry'!AC$9),'Council Entry'!AC$8),'Council Entry'!AC167)),IF(AND(ISNUMBER('Council Entry'!AC$8),ISNUMBER('Council Entry'!AC$9)),MAX(MIN('Council Entry'!AC167,'Council Entry'!AC$9),'Council Entry'!AC$8),'Council Entry'!AC167))))-'Council Entry'!AC$5)/('Council Entry'!AC$6-'Council Entry'!AC$5)),1))),"No data"))</f>
        <v/>
      </c>
      <c r="AD167" s="13">
        <f>IF('Council Entry'!AD167="","",IFERROR(MAX(0,MIN(10,ROUND(IF('Council Entry'!AD$7="Decrease Risk",10-10*((IF('Council Entry'!AD$4="Logarithm",LN(0.001+IF(AND(ISNUMBER('Council Entry'!AD$8),ISNUMBER('Council Entry'!AD$9)),MAX(MIN('Council Entry'!AD167,'Council Entry'!AD$9),'Council Entry'!AD$8),'Council Entry'!AD167)),IF('Council Entry'!AD$4="Exponential",EXP(IF(AND(ISNUMBER('Council Entry'!AD$8),ISNUMBER('Council Entry'!AD$9)),MAX(MIN('Council Entry'!AD167,'Council Entry'!AD$9),'Council Entry'!AD$8),'Council Entry'!AD167)),IF(AND(ISNUMBER('Council Entry'!AD$8),ISNUMBER('Council Entry'!AD$9)),MAX(MIN('Council Entry'!AD167,'Council Entry'!AD$9),'Council Entry'!AD$8),'Council Entry'!AD167))))-'Council Entry'!AD$5)/('Council Entry'!AD$6-'Council Entry'!AD$5),10*((IF('Council Entry'!AD$4="Logarithm",LN(0.001+IF(AND(ISNUMBER('Council Entry'!AD$8),ISNUMBER('Council Entry'!AD$9)),MAX(MIN('Council Entry'!AD167,'Council Entry'!AD$9),'Council Entry'!AD$8),'Council Entry'!AD167)),IF('Council Entry'!AD$4="Exponential",EXP(IF(AND(ISNUMBER('Council Entry'!AD$8),ISNUMBER('Council Entry'!AD$9)),MAX(MIN('Council Entry'!AD167,'Council Entry'!AD$9),'Council Entry'!AD$8),'Council Entry'!AD167)),IF(AND(ISNUMBER('Council Entry'!AD$8),ISNUMBER('Council Entry'!AD$9)),MAX(MIN('Council Entry'!AD167,'Council Entry'!AD$9),'Council Entry'!AD$8),'Council Entry'!AD167))))-'Council Entry'!AD$5)/('Council Entry'!AD$6-'Council Entry'!AD$5)),1))),"No data"))</f>
        <v/>
      </c>
      <c r="AE167" s="13">
        <f>IF('Council Entry'!AE167="","",IFERROR(MAX(0,MIN(10,ROUND(IF('Council Entry'!AE$7="Decrease Risk",10-10*((IF('Council Entry'!AE$4="Logarithm",LN(0.001+IF(AND(ISNUMBER('Council Entry'!AE$8),ISNUMBER('Council Entry'!AE$9)),MAX(MIN('Council Entry'!AE167,'Council Entry'!AE$9),'Council Entry'!AE$8),'Council Entry'!AE167)),IF('Council Entry'!AE$4="Exponential",EXP(IF(AND(ISNUMBER('Council Entry'!AE$8),ISNUMBER('Council Entry'!AE$9)),MAX(MIN('Council Entry'!AE167,'Council Entry'!AE$9),'Council Entry'!AE$8),'Council Entry'!AE167)),IF(AND(ISNUMBER('Council Entry'!AE$8),ISNUMBER('Council Entry'!AE$9)),MAX(MIN('Council Entry'!AE167,'Council Entry'!AE$9),'Council Entry'!AE$8),'Council Entry'!AE167))))-'Council Entry'!AE$5)/('Council Entry'!AE$6-'Council Entry'!AE$5),10*((IF('Council Entry'!AE$4="Logarithm",LN(0.001+IF(AND(ISNUMBER('Council Entry'!AE$8),ISNUMBER('Council Entry'!AE$9)),MAX(MIN('Council Entry'!AE167,'Council Entry'!AE$9),'Council Entry'!AE$8),'Council Entry'!AE167)),IF('Council Entry'!AE$4="Exponential",EXP(IF(AND(ISNUMBER('Council Entry'!AE$8),ISNUMBER('Council Entry'!AE$9)),MAX(MIN('Council Entry'!AE167,'Council Entry'!AE$9),'Council Entry'!AE$8),'Council Entry'!AE167)),IF(AND(ISNUMBER('Council Entry'!AE$8),ISNUMBER('Council Entry'!AE$9)),MAX(MIN('Council Entry'!AE167,'Council Entry'!AE$9),'Council Entry'!AE$8),'Council Entry'!AE167))))-'Council Entry'!AE$5)/('Council Entry'!AE$6-'Council Entry'!AE$5)),1))),"No data"))</f>
        <v/>
      </c>
      <c r="AF167" s="13">
        <f>IF('Council Entry'!AF167="","",IFERROR(MAX(0,MIN(10,ROUND(IF('Council Entry'!AF$7="Decrease Risk",10-10*((IF('Council Entry'!AF$4="Logarithm",LN(0.001+IF(AND(ISNUMBER('Council Entry'!AF$8),ISNUMBER('Council Entry'!AF$9)),MAX(MIN('Council Entry'!AF167,'Council Entry'!AF$9),'Council Entry'!AF$8),'Council Entry'!AF167)),IF('Council Entry'!AF$4="Exponential",EXP(IF(AND(ISNUMBER('Council Entry'!AF$8),ISNUMBER('Council Entry'!AF$9)),MAX(MIN('Council Entry'!AF167,'Council Entry'!AF$9),'Council Entry'!AF$8),'Council Entry'!AF167)),IF(AND(ISNUMBER('Council Entry'!AF$8),ISNUMBER('Council Entry'!AF$9)),MAX(MIN('Council Entry'!AF167,'Council Entry'!AF$9),'Council Entry'!AF$8),'Council Entry'!AF167))))-'Council Entry'!AF$5)/('Council Entry'!AF$6-'Council Entry'!AF$5),10*((IF('Council Entry'!AF$4="Logarithm",LN(0.001+IF(AND(ISNUMBER('Council Entry'!AF$8),ISNUMBER('Council Entry'!AF$9)),MAX(MIN('Council Entry'!AF167,'Council Entry'!AF$9),'Council Entry'!AF$8),'Council Entry'!AF167)),IF('Council Entry'!AF$4="Exponential",EXP(IF(AND(ISNUMBER('Council Entry'!AF$8),ISNUMBER('Council Entry'!AF$9)),MAX(MIN('Council Entry'!AF167,'Council Entry'!AF$9),'Council Entry'!AF$8),'Council Entry'!AF167)),IF(AND(ISNUMBER('Council Entry'!AF$8),ISNUMBER('Council Entry'!AF$9)),MAX(MIN('Council Entry'!AF167,'Council Entry'!AF$9),'Council Entry'!AF$8),'Council Entry'!AF167))))-'Council Entry'!AF$5)/('Council Entry'!AF$6-'Council Entry'!AF$5)),1))),"No data"))</f>
        <v/>
      </c>
      <c r="AG167" s="13">
        <f>IF('Council Entry'!AG167="","",IFERROR(MAX(0,MIN(10,ROUND(IF('Council Entry'!AG$7="Decrease Risk",10-10*((IF('Council Entry'!AG$4="Logarithm",LN(0.001+IF(AND(ISNUMBER('Council Entry'!AG$8),ISNUMBER('Council Entry'!AG$9)),MAX(MIN('Council Entry'!AG167,'Council Entry'!AG$9),'Council Entry'!AG$8),'Council Entry'!AG167)),IF('Council Entry'!AG$4="Exponential",EXP(IF(AND(ISNUMBER('Council Entry'!AG$8),ISNUMBER('Council Entry'!AG$9)),MAX(MIN('Council Entry'!AG167,'Council Entry'!AG$9),'Council Entry'!AG$8),'Council Entry'!AG167)),IF(AND(ISNUMBER('Council Entry'!AG$8),ISNUMBER('Council Entry'!AG$9)),MAX(MIN('Council Entry'!AG167,'Council Entry'!AG$9),'Council Entry'!AG$8),'Council Entry'!AG167))))-'Council Entry'!AG$5)/('Council Entry'!AG$6-'Council Entry'!AG$5),10*((IF('Council Entry'!AG$4="Logarithm",LN(0.001+IF(AND(ISNUMBER('Council Entry'!AG$8),ISNUMBER('Council Entry'!AG$9)),MAX(MIN('Council Entry'!AG167,'Council Entry'!AG$9),'Council Entry'!AG$8),'Council Entry'!AG167)),IF('Council Entry'!AG$4="Exponential",EXP(IF(AND(ISNUMBER('Council Entry'!AG$8),ISNUMBER('Council Entry'!AG$9)),MAX(MIN('Council Entry'!AG167,'Council Entry'!AG$9),'Council Entry'!AG$8),'Council Entry'!AG167)),IF(AND(ISNUMBER('Council Entry'!AG$8),ISNUMBER('Council Entry'!AG$9)),MAX(MIN('Council Entry'!AG167,'Council Entry'!AG$9),'Council Entry'!AG$8),'Council Entry'!AG167))))-'Council Entry'!AG$5)/('Council Entry'!AG$6-'Council Entry'!AG$5)),1))),"No data"))</f>
        <v/>
      </c>
      <c r="AH167" s="13">
        <f>IF('Council Entry'!AH167="","",IFERROR(MAX(0,MIN(10,ROUND(IF('Council Entry'!AH$7="Decrease Risk",10-10*((IF('Council Entry'!AH$4="Logarithm",LN(0.001+IF(AND(ISNUMBER('Council Entry'!AH$8),ISNUMBER('Council Entry'!AH$9)),MAX(MIN('Council Entry'!AH167,'Council Entry'!AH$9),'Council Entry'!AH$8),'Council Entry'!AH167)),IF('Council Entry'!AH$4="Exponential",EXP(IF(AND(ISNUMBER('Council Entry'!AH$8),ISNUMBER('Council Entry'!AH$9)),MAX(MIN('Council Entry'!AH167,'Council Entry'!AH$9),'Council Entry'!AH$8),'Council Entry'!AH167)),IF(AND(ISNUMBER('Council Entry'!AH$8),ISNUMBER('Council Entry'!AH$9)),MAX(MIN('Council Entry'!AH167,'Council Entry'!AH$9),'Council Entry'!AH$8),'Council Entry'!AH167))))-'Council Entry'!AH$5)/('Council Entry'!AH$6-'Council Entry'!AH$5),10*((IF('Council Entry'!AH$4="Logarithm",LN(0.001+IF(AND(ISNUMBER('Council Entry'!AH$8),ISNUMBER('Council Entry'!AH$9)),MAX(MIN('Council Entry'!AH167,'Council Entry'!AH$9),'Council Entry'!AH$8),'Council Entry'!AH167)),IF('Council Entry'!AH$4="Exponential",EXP(IF(AND(ISNUMBER('Council Entry'!AH$8),ISNUMBER('Council Entry'!AH$9)),MAX(MIN('Council Entry'!AH167,'Council Entry'!AH$9),'Council Entry'!AH$8),'Council Entry'!AH167)),IF(AND(ISNUMBER('Council Entry'!AH$8),ISNUMBER('Council Entry'!AH$9)),MAX(MIN('Council Entry'!AH167,'Council Entry'!AH$9),'Council Entry'!AH$8),'Council Entry'!AH167))))-'Council Entry'!AH$5)/('Council Entry'!AH$6-'Council Entry'!AH$5)),1))),"No data"))</f>
        <v/>
      </c>
      <c r="AI167" s="13">
        <f>IF('Council Entry'!AI167="","",IFERROR(MAX(0,MIN(10,ROUND(IF('Council Entry'!AI$7="Decrease Risk",10-10*((IF('Council Entry'!AI$4="Logarithm",LN(0.001+IF(AND(ISNUMBER('Council Entry'!AI$8),ISNUMBER('Council Entry'!AI$9)),MAX(MIN('Council Entry'!AI167,'Council Entry'!AI$9),'Council Entry'!AI$8),'Council Entry'!AI167)),IF('Council Entry'!AI$4="Exponential",EXP(IF(AND(ISNUMBER('Council Entry'!AI$8),ISNUMBER('Council Entry'!AI$9)),MAX(MIN('Council Entry'!AI167,'Council Entry'!AI$9),'Council Entry'!AI$8),'Council Entry'!AI167)),IF(AND(ISNUMBER('Council Entry'!AI$8),ISNUMBER('Council Entry'!AI$9)),MAX(MIN('Council Entry'!AI167,'Council Entry'!AI$9),'Council Entry'!AI$8),'Council Entry'!AI167))))-'Council Entry'!AI$5)/('Council Entry'!AI$6-'Council Entry'!AI$5),10*((IF('Council Entry'!AI$4="Logarithm",LN(0.001+IF(AND(ISNUMBER('Council Entry'!AI$8),ISNUMBER('Council Entry'!AI$9)),MAX(MIN('Council Entry'!AI167,'Council Entry'!AI$9),'Council Entry'!AI$8),'Council Entry'!AI167)),IF('Council Entry'!AI$4="Exponential",EXP(IF(AND(ISNUMBER('Council Entry'!AI$8),ISNUMBER('Council Entry'!AI$9)),MAX(MIN('Council Entry'!AI167,'Council Entry'!AI$9),'Council Entry'!AI$8),'Council Entry'!AI167)),IF(AND(ISNUMBER('Council Entry'!AI$8),ISNUMBER('Council Entry'!AI$9)),MAX(MIN('Council Entry'!AI167,'Council Entry'!AI$9),'Council Entry'!AI$8),'Council Entry'!AI167))))-'Council Entry'!AI$5)/('Council Entry'!AI$6-'Council Entry'!AI$5)),1))),"No data"))</f>
        <v/>
      </c>
      <c r="AJ167" s="13">
        <f>IF('Council Entry'!AJ167="","",IFERROR(MAX(0,MIN(10,ROUND(IF('Council Entry'!AJ$7="Decrease Risk",10-10*((IF('Council Entry'!AJ$4="Logarithm",LN(0.001+IF(AND(ISNUMBER('Council Entry'!AJ$8),ISNUMBER('Council Entry'!AJ$9)),MAX(MIN('Council Entry'!AJ167,'Council Entry'!AJ$9),'Council Entry'!AJ$8),'Council Entry'!AJ167)),IF('Council Entry'!AJ$4="Exponential",EXP(IF(AND(ISNUMBER('Council Entry'!AJ$8),ISNUMBER('Council Entry'!AJ$9)),MAX(MIN('Council Entry'!AJ167,'Council Entry'!AJ$9),'Council Entry'!AJ$8),'Council Entry'!AJ167)),IF(AND(ISNUMBER('Council Entry'!AJ$8),ISNUMBER('Council Entry'!AJ$9)),MAX(MIN('Council Entry'!AJ167,'Council Entry'!AJ$9),'Council Entry'!AJ$8),'Council Entry'!AJ167))))-'Council Entry'!AJ$5)/('Council Entry'!AJ$6-'Council Entry'!AJ$5),10*((IF('Council Entry'!AJ$4="Logarithm",LN(0.001+IF(AND(ISNUMBER('Council Entry'!AJ$8),ISNUMBER('Council Entry'!AJ$9)),MAX(MIN('Council Entry'!AJ167,'Council Entry'!AJ$9),'Council Entry'!AJ$8),'Council Entry'!AJ167)),IF('Council Entry'!AJ$4="Exponential",EXP(IF(AND(ISNUMBER('Council Entry'!AJ$8),ISNUMBER('Council Entry'!AJ$9)),MAX(MIN('Council Entry'!AJ167,'Council Entry'!AJ$9),'Council Entry'!AJ$8),'Council Entry'!AJ167)),IF(AND(ISNUMBER('Council Entry'!AJ$8),ISNUMBER('Council Entry'!AJ$9)),MAX(MIN('Council Entry'!AJ167,'Council Entry'!AJ$9),'Council Entry'!AJ$8),'Council Entry'!AJ167))))-'Council Entry'!AJ$5)/('Council Entry'!AJ$6-'Council Entry'!AJ$5)),1))),"No data"))</f>
        <v/>
      </c>
      <c r="AK167" s="13">
        <f>IF('Council Entry'!AK167="","",IFERROR(MAX(0,MIN(10,ROUND(IF('Council Entry'!AK$7="Decrease Risk",10-10*((IF('Council Entry'!AK$4="Logarithm",LN(0.001+IF(AND(ISNUMBER('Council Entry'!AK$8),ISNUMBER('Council Entry'!AK$9)),MAX(MIN('Council Entry'!AK167,'Council Entry'!AK$9),'Council Entry'!AK$8),'Council Entry'!AK167)),IF('Council Entry'!AK$4="Exponential",EXP(IF(AND(ISNUMBER('Council Entry'!AK$8),ISNUMBER('Council Entry'!AK$9)),MAX(MIN('Council Entry'!AK167,'Council Entry'!AK$9),'Council Entry'!AK$8),'Council Entry'!AK167)),IF(AND(ISNUMBER('Council Entry'!AK$8),ISNUMBER('Council Entry'!AK$9)),MAX(MIN('Council Entry'!AK167,'Council Entry'!AK$9),'Council Entry'!AK$8),'Council Entry'!AK167))))-'Council Entry'!AK$5)/('Council Entry'!AK$6-'Council Entry'!AK$5),10*((IF('Council Entry'!AK$4="Logarithm",LN(0.001+IF(AND(ISNUMBER('Council Entry'!AK$8),ISNUMBER('Council Entry'!AK$9)),MAX(MIN('Council Entry'!AK167,'Council Entry'!AK$9),'Council Entry'!AK$8),'Council Entry'!AK167)),IF('Council Entry'!AK$4="Exponential",EXP(IF(AND(ISNUMBER('Council Entry'!AK$8),ISNUMBER('Council Entry'!AK$9)),MAX(MIN('Council Entry'!AK167,'Council Entry'!AK$9),'Council Entry'!AK$8),'Council Entry'!AK167)),IF(AND(ISNUMBER('Council Entry'!AK$8),ISNUMBER('Council Entry'!AK$9)),MAX(MIN('Council Entry'!AK167,'Council Entry'!AK$9),'Council Entry'!AK$8),'Council Entry'!AK167))))-'Council Entry'!AK$5)/('Council Entry'!AK$6-'Council Entry'!AK$5)),1))),"No data"))</f>
        <v/>
      </c>
      <c r="AL167" s="13">
        <f>IF('Council Entry'!AL167="","",IFERROR(MAX(0,MIN(10,ROUND(IF('Council Entry'!AL$7="Decrease Risk",10-10*((IF('Council Entry'!AL$4="Logarithm",LN(0.001+IF(AND(ISNUMBER('Council Entry'!AL$8),ISNUMBER('Council Entry'!AL$9)),MAX(MIN('Council Entry'!AL167,'Council Entry'!AL$9),'Council Entry'!AL$8),'Council Entry'!AL167)),IF('Council Entry'!AL$4="Exponential",EXP(IF(AND(ISNUMBER('Council Entry'!AL$8),ISNUMBER('Council Entry'!AL$9)),MAX(MIN('Council Entry'!AL167,'Council Entry'!AL$9),'Council Entry'!AL$8),'Council Entry'!AL167)),IF(AND(ISNUMBER('Council Entry'!AL$8),ISNUMBER('Council Entry'!AL$9)),MAX(MIN('Council Entry'!AL167,'Council Entry'!AL$9),'Council Entry'!AL$8),'Council Entry'!AL167))))-'Council Entry'!AL$5)/('Council Entry'!AL$6-'Council Entry'!AL$5),10*((IF('Council Entry'!AL$4="Logarithm",LN(0.001+IF(AND(ISNUMBER('Council Entry'!AL$8),ISNUMBER('Council Entry'!AL$9)),MAX(MIN('Council Entry'!AL167,'Council Entry'!AL$9),'Council Entry'!AL$8),'Council Entry'!AL167)),IF('Council Entry'!AL$4="Exponential",EXP(IF(AND(ISNUMBER('Council Entry'!AL$8),ISNUMBER('Council Entry'!AL$9)),MAX(MIN('Council Entry'!AL167,'Council Entry'!AL$9),'Council Entry'!AL$8),'Council Entry'!AL167)),IF(AND(ISNUMBER('Council Entry'!AL$8),ISNUMBER('Council Entry'!AL$9)),MAX(MIN('Council Entry'!AL167,'Council Entry'!AL$9),'Council Entry'!AL$8),'Council Entry'!AL167))))-'Council Entry'!AL$5)/('Council Entry'!AL$6-'Council Entry'!AL$5)),1))),"No data"))</f>
        <v/>
      </c>
      <c r="AM167" s="13">
        <f>IF('Council Entry'!AM167="","",IFERROR(MAX(0,MIN(10,ROUND(IF('Council Entry'!AM$7="Decrease Risk",10-10*((IF('Council Entry'!AM$4="Logarithm",LN(0.001+IF(AND(ISNUMBER('Council Entry'!AM$8),ISNUMBER('Council Entry'!AM$9)),MAX(MIN('Council Entry'!AM167,'Council Entry'!AM$9),'Council Entry'!AM$8),'Council Entry'!AM167)),IF('Council Entry'!AM$4="Exponential",EXP(IF(AND(ISNUMBER('Council Entry'!AM$8),ISNUMBER('Council Entry'!AM$9)),MAX(MIN('Council Entry'!AM167,'Council Entry'!AM$9),'Council Entry'!AM$8),'Council Entry'!AM167)),IF(AND(ISNUMBER('Council Entry'!AM$8),ISNUMBER('Council Entry'!AM$9)),MAX(MIN('Council Entry'!AM167,'Council Entry'!AM$9),'Council Entry'!AM$8),'Council Entry'!AM167))))-'Council Entry'!AM$5)/('Council Entry'!AM$6-'Council Entry'!AM$5),10*((IF('Council Entry'!AM$4="Logarithm",LN(0.001+IF(AND(ISNUMBER('Council Entry'!AM$8),ISNUMBER('Council Entry'!AM$9)),MAX(MIN('Council Entry'!AM167,'Council Entry'!AM$9),'Council Entry'!AM$8),'Council Entry'!AM167)),IF('Council Entry'!AM$4="Exponential",EXP(IF(AND(ISNUMBER('Council Entry'!AM$8),ISNUMBER('Council Entry'!AM$9)),MAX(MIN('Council Entry'!AM167,'Council Entry'!AM$9),'Council Entry'!AM$8),'Council Entry'!AM167)),IF(AND(ISNUMBER('Council Entry'!AM$8),ISNUMBER('Council Entry'!AM$9)),MAX(MIN('Council Entry'!AM167,'Council Entry'!AM$9),'Council Entry'!AM$8),'Council Entry'!AM167))))-'Council Entry'!AM$5)/('Council Entry'!AM$6-'Council Entry'!AM$5)),1))),"No data"))</f>
        <v/>
      </c>
      <c r="AN167" s="13">
        <f>IF('Council Entry'!AN167="","",IFERROR(MAX(0,MIN(10,ROUND(IF('Council Entry'!AN$7="Decrease Risk",10-10*((IF('Council Entry'!AN$4="Logarithm",LN(0.001+IF(AND(ISNUMBER('Council Entry'!AN$8),ISNUMBER('Council Entry'!AN$9)),MAX(MIN('Council Entry'!AN167,'Council Entry'!AN$9),'Council Entry'!AN$8),'Council Entry'!AN167)),IF('Council Entry'!AN$4="Exponential",EXP(IF(AND(ISNUMBER('Council Entry'!AN$8),ISNUMBER('Council Entry'!AN$9)),MAX(MIN('Council Entry'!AN167,'Council Entry'!AN$9),'Council Entry'!AN$8),'Council Entry'!AN167)),IF(AND(ISNUMBER('Council Entry'!AN$8),ISNUMBER('Council Entry'!AN$9)),MAX(MIN('Council Entry'!AN167,'Council Entry'!AN$9),'Council Entry'!AN$8),'Council Entry'!AN167))))-'Council Entry'!AN$5)/('Council Entry'!AN$6-'Council Entry'!AN$5),10*((IF('Council Entry'!AN$4="Logarithm",LN(0.001+IF(AND(ISNUMBER('Council Entry'!AN$8),ISNUMBER('Council Entry'!AN$9)),MAX(MIN('Council Entry'!AN167,'Council Entry'!AN$9),'Council Entry'!AN$8),'Council Entry'!AN167)),IF('Council Entry'!AN$4="Exponential",EXP(IF(AND(ISNUMBER('Council Entry'!AN$8),ISNUMBER('Council Entry'!AN$9)),MAX(MIN('Council Entry'!AN167,'Council Entry'!AN$9),'Council Entry'!AN$8),'Council Entry'!AN167)),IF(AND(ISNUMBER('Council Entry'!AN$8),ISNUMBER('Council Entry'!AN$9)),MAX(MIN('Council Entry'!AN167,'Council Entry'!AN$9),'Council Entry'!AN$8),'Council Entry'!AN167))))-'Council Entry'!AN$5)/('Council Entry'!AN$6-'Council Entry'!AN$5)),1))),"No data"))</f>
        <v/>
      </c>
      <c r="AO167" s="13">
        <f>IF('Council Entry'!AO167="","",IFERROR(MAX(0,MIN(10,ROUND(IF('Council Entry'!AO$7="Decrease Risk",10-10*((IF('Council Entry'!AO$4="Logarithm",LN(0.001+IF(AND(ISNUMBER('Council Entry'!AO$8),ISNUMBER('Council Entry'!AO$9)),MAX(MIN('Council Entry'!AO167,'Council Entry'!AO$9),'Council Entry'!AO$8),'Council Entry'!AO167)),IF('Council Entry'!AO$4="Exponential",EXP(IF(AND(ISNUMBER('Council Entry'!AO$8),ISNUMBER('Council Entry'!AO$9)),MAX(MIN('Council Entry'!AO167,'Council Entry'!AO$9),'Council Entry'!AO$8),'Council Entry'!AO167)),IF(AND(ISNUMBER('Council Entry'!AO$8),ISNUMBER('Council Entry'!AO$9)),MAX(MIN('Council Entry'!AO167,'Council Entry'!AO$9),'Council Entry'!AO$8),'Council Entry'!AO167))))-'Council Entry'!AO$5)/('Council Entry'!AO$6-'Council Entry'!AO$5),10*((IF('Council Entry'!AO$4="Logarithm",LN(0.001+IF(AND(ISNUMBER('Council Entry'!AO$8),ISNUMBER('Council Entry'!AO$9)),MAX(MIN('Council Entry'!AO167,'Council Entry'!AO$9),'Council Entry'!AO$8),'Council Entry'!AO167)),IF('Council Entry'!AO$4="Exponential",EXP(IF(AND(ISNUMBER('Council Entry'!AO$8),ISNUMBER('Council Entry'!AO$9)),MAX(MIN('Council Entry'!AO167,'Council Entry'!AO$9),'Council Entry'!AO$8),'Council Entry'!AO167)),IF(AND(ISNUMBER('Council Entry'!AO$8),ISNUMBER('Council Entry'!AO$9)),MAX(MIN('Council Entry'!AO167,'Council Entry'!AO$9),'Council Entry'!AO$8),'Council Entry'!AO167))))-'Council Entry'!AO$5)/('Council Entry'!AO$6-'Council Entry'!AO$5)),1))),"No data"))</f>
        <v/>
      </c>
      <c r="AP167" s="13">
        <f>IF('Council Entry'!AP167="","",IFERROR(MAX(0,MIN(10,ROUND(IF('Council Entry'!AP$7="Decrease Risk",10-10*((IF('Council Entry'!AP$4="Logarithm",LN(0.001+IF(AND(ISNUMBER('Council Entry'!AP$8),ISNUMBER('Council Entry'!AP$9)),MAX(MIN('Council Entry'!AP167,'Council Entry'!AP$9),'Council Entry'!AP$8),'Council Entry'!AP167)),IF('Council Entry'!AP$4="Exponential",EXP(IF(AND(ISNUMBER('Council Entry'!AP$8),ISNUMBER('Council Entry'!AP$9)),MAX(MIN('Council Entry'!AP167,'Council Entry'!AP$9),'Council Entry'!AP$8),'Council Entry'!AP167)),IF(AND(ISNUMBER('Council Entry'!AP$8),ISNUMBER('Council Entry'!AP$9)),MAX(MIN('Council Entry'!AP167,'Council Entry'!AP$9),'Council Entry'!AP$8),'Council Entry'!AP167))))-'Council Entry'!AP$5)/('Council Entry'!AP$6-'Council Entry'!AP$5),10*((IF('Council Entry'!AP$4="Logarithm",LN(0.001+IF(AND(ISNUMBER('Council Entry'!AP$8),ISNUMBER('Council Entry'!AP$9)),MAX(MIN('Council Entry'!AP167,'Council Entry'!AP$9),'Council Entry'!AP$8),'Council Entry'!AP167)),IF('Council Entry'!AP$4="Exponential",EXP(IF(AND(ISNUMBER('Council Entry'!AP$8),ISNUMBER('Council Entry'!AP$9)),MAX(MIN('Council Entry'!AP167,'Council Entry'!AP$9),'Council Entry'!AP$8),'Council Entry'!AP167)),IF(AND(ISNUMBER('Council Entry'!AP$8),ISNUMBER('Council Entry'!AP$9)),MAX(MIN('Council Entry'!AP167,'Council Entry'!AP$9),'Council Entry'!AP$8),'Council Entry'!AP167))))-'Council Entry'!AP$5)/('Council Entry'!AP$6-'Council Entry'!AP$5)),1))),"No data"))</f>
        <v/>
      </c>
      <c r="AQ167" s="13">
        <f>IF('Council Entry'!AQ167="","",IFERROR(MAX(0,MIN(10,ROUND(IF('Council Entry'!AQ$7="Decrease Risk",10-10*((IF('Council Entry'!AQ$4="Logarithm",LN(0.001+IF(AND(ISNUMBER('Council Entry'!AQ$8),ISNUMBER('Council Entry'!AQ$9)),MAX(MIN('Council Entry'!AQ167,'Council Entry'!AQ$9),'Council Entry'!AQ$8),'Council Entry'!AQ167)),IF('Council Entry'!AQ$4="Exponential",EXP(IF(AND(ISNUMBER('Council Entry'!AQ$8),ISNUMBER('Council Entry'!AQ$9)),MAX(MIN('Council Entry'!AQ167,'Council Entry'!AQ$9),'Council Entry'!AQ$8),'Council Entry'!AQ167)),IF(AND(ISNUMBER('Council Entry'!AQ$8),ISNUMBER('Council Entry'!AQ$9)),MAX(MIN('Council Entry'!AQ167,'Council Entry'!AQ$9),'Council Entry'!AQ$8),'Council Entry'!AQ167))))-'Council Entry'!AQ$5)/('Council Entry'!AQ$6-'Council Entry'!AQ$5),10*((IF('Council Entry'!AQ$4="Logarithm",LN(0.001+IF(AND(ISNUMBER('Council Entry'!AQ$8),ISNUMBER('Council Entry'!AQ$9)),MAX(MIN('Council Entry'!AQ167,'Council Entry'!AQ$9),'Council Entry'!AQ$8),'Council Entry'!AQ167)),IF('Council Entry'!AQ$4="Exponential",EXP(IF(AND(ISNUMBER('Council Entry'!AQ$8),ISNUMBER('Council Entry'!AQ$9)),MAX(MIN('Council Entry'!AQ167,'Council Entry'!AQ$9),'Council Entry'!AQ$8),'Council Entry'!AQ167)),IF(AND(ISNUMBER('Council Entry'!AQ$8),ISNUMBER('Council Entry'!AQ$9)),MAX(MIN('Council Entry'!AQ167,'Council Entry'!AQ$9),'Council Entry'!AQ$8),'Council Entry'!AQ167))))-'Council Entry'!AQ$5)/('Council Entry'!AQ$6-'Council Entry'!AQ$5)),1))),"No data"))</f>
        <v/>
      </c>
      <c r="AR167" s="13">
        <f>IF('Council Entry'!AR167="","",IFERROR(MAX(0,MIN(10,ROUND(IF('Council Entry'!AR$7="Decrease Risk",10-10*((IF('Council Entry'!AR$4="Logarithm",LN(0.001+IF(AND(ISNUMBER('Council Entry'!AR$8),ISNUMBER('Council Entry'!AR$9)),MAX(MIN('Council Entry'!AR167,'Council Entry'!AR$9),'Council Entry'!AR$8),'Council Entry'!AR167)),IF('Council Entry'!AR$4="Exponential",EXP(IF(AND(ISNUMBER('Council Entry'!AR$8),ISNUMBER('Council Entry'!AR$9)),MAX(MIN('Council Entry'!AR167,'Council Entry'!AR$9),'Council Entry'!AR$8),'Council Entry'!AR167)),IF(AND(ISNUMBER('Council Entry'!AR$8),ISNUMBER('Council Entry'!AR$9)),MAX(MIN('Council Entry'!AR167,'Council Entry'!AR$9),'Council Entry'!AR$8),'Council Entry'!AR167))))-'Council Entry'!AR$5)/('Council Entry'!AR$6-'Council Entry'!AR$5),10*((IF('Council Entry'!AR$4="Logarithm",LN(0.001+IF(AND(ISNUMBER('Council Entry'!AR$8),ISNUMBER('Council Entry'!AR$9)),MAX(MIN('Council Entry'!AR167,'Council Entry'!AR$9),'Council Entry'!AR$8),'Council Entry'!AR167)),IF('Council Entry'!AR$4="Exponential",EXP(IF(AND(ISNUMBER('Council Entry'!AR$8),ISNUMBER('Council Entry'!AR$9)),MAX(MIN('Council Entry'!AR167,'Council Entry'!AR$9),'Council Entry'!AR$8),'Council Entry'!AR167)),IF(AND(ISNUMBER('Council Entry'!AR$8),ISNUMBER('Council Entry'!AR$9)),MAX(MIN('Council Entry'!AR167,'Council Entry'!AR$9),'Council Entry'!AR$8),'Council Entry'!AR167))))-'Council Entry'!AR$5)/('Council Entry'!AR$6-'Council Entry'!AR$5)),1))),"No data"))</f>
        <v/>
      </c>
      <c r="AS167" s="13">
        <f>IF('Council Entry'!AS167="","",IFERROR(MAX(0,MIN(10,ROUND(IF('Council Entry'!AS$7="Decrease Risk",10-10*((IF('Council Entry'!AS$4="Logarithm",LN(0.001+IF(AND(ISNUMBER('Council Entry'!AS$8),ISNUMBER('Council Entry'!AS$9)),MAX(MIN('Council Entry'!AS167,'Council Entry'!AS$9),'Council Entry'!AS$8),'Council Entry'!AS167)),IF('Council Entry'!AS$4="Exponential",EXP(IF(AND(ISNUMBER('Council Entry'!AS$8),ISNUMBER('Council Entry'!AS$9)),MAX(MIN('Council Entry'!AS167,'Council Entry'!AS$9),'Council Entry'!AS$8),'Council Entry'!AS167)),IF(AND(ISNUMBER('Council Entry'!AS$8),ISNUMBER('Council Entry'!AS$9)),MAX(MIN('Council Entry'!AS167,'Council Entry'!AS$9),'Council Entry'!AS$8),'Council Entry'!AS167))))-'Council Entry'!AS$5)/('Council Entry'!AS$6-'Council Entry'!AS$5),10*((IF('Council Entry'!AS$4="Logarithm",LN(0.001+IF(AND(ISNUMBER('Council Entry'!AS$8),ISNUMBER('Council Entry'!AS$9)),MAX(MIN('Council Entry'!AS167,'Council Entry'!AS$9),'Council Entry'!AS$8),'Council Entry'!AS167)),IF('Council Entry'!AS$4="Exponential",EXP(IF(AND(ISNUMBER('Council Entry'!AS$8),ISNUMBER('Council Entry'!AS$9)),MAX(MIN('Council Entry'!AS167,'Council Entry'!AS$9),'Council Entry'!AS$8),'Council Entry'!AS167)),IF(AND(ISNUMBER('Council Entry'!AS$8),ISNUMBER('Council Entry'!AS$9)),MAX(MIN('Council Entry'!AS167,'Council Entry'!AS$9),'Council Entry'!AS$8),'Council Entry'!AS167))))-'Council Entry'!AS$5)/('Council Entry'!AS$6-'Council Entry'!AS$5)),1))),"No data"))</f>
        <v/>
      </c>
      <c r="AT167" s="13">
        <f>IF('Council Entry'!AT167="","",IFERROR(MAX(0,MIN(10,ROUND(IF('Council Entry'!AT$7="Decrease Risk",10-10*((IF('Council Entry'!AT$4="Logarithm",LN(0.001+IF(AND(ISNUMBER('Council Entry'!AT$8),ISNUMBER('Council Entry'!AT$9)),MAX(MIN('Council Entry'!AT167,'Council Entry'!AT$9),'Council Entry'!AT$8),'Council Entry'!AT167)),IF('Council Entry'!AT$4="Exponential",EXP(IF(AND(ISNUMBER('Council Entry'!AT$8),ISNUMBER('Council Entry'!AT$9)),MAX(MIN('Council Entry'!AT167,'Council Entry'!AT$9),'Council Entry'!AT$8),'Council Entry'!AT167)),IF(AND(ISNUMBER('Council Entry'!AT$8),ISNUMBER('Council Entry'!AT$9)),MAX(MIN('Council Entry'!AT167,'Council Entry'!AT$9),'Council Entry'!AT$8),'Council Entry'!AT167))))-'Council Entry'!AT$5)/('Council Entry'!AT$6-'Council Entry'!AT$5),10*((IF('Council Entry'!AT$4="Logarithm",LN(0.001+IF(AND(ISNUMBER('Council Entry'!AT$8),ISNUMBER('Council Entry'!AT$9)),MAX(MIN('Council Entry'!AT167,'Council Entry'!AT$9),'Council Entry'!AT$8),'Council Entry'!AT167)),IF('Council Entry'!AT$4="Exponential",EXP(IF(AND(ISNUMBER('Council Entry'!AT$8),ISNUMBER('Council Entry'!AT$9)),MAX(MIN('Council Entry'!AT167,'Council Entry'!AT$9),'Council Entry'!AT$8),'Council Entry'!AT167)),IF(AND(ISNUMBER('Council Entry'!AT$8),ISNUMBER('Council Entry'!AT$9)),MAX(MIN('Council Entry'!AT167,'Council Entry'!AT$9),'Council Entry'!AT$8),'Council Entry'!AT167))))-'Council Entry'!AT$5)/('Council Entry'!AT$6-'Council Entry'!AT$5)),1))),"No data"))</f>
        <v/>
      </c>
      <c r="AU167" s="13">
        <f>IF('Council Entry'!AU167="","",IFERROR(MAX(0,MIN(10,ROUND(IF('Council Entry'!AU$7="Decrease Risk",10-10*((IF('Council Entry'!AU$4="Logarithm",LN(0.001+IF(AND(ISNUMBER('Council Entry'!AU$8),ISNUMBER('Council Entry'!AU$9)),MAX(MIN('Council Entry'!AU167,'Council Entry'!AU$9),'Council Entry'!AU$8),'Council Entry'!AU167)),IF('Council Entry'!AU$4="Exponential",EXP(IF(AND(ISNUMBER('Council Entry'!AU$8),ISNUMBER('Council Entry'!AU$9)),MAX(MIN('Council Entry'!AU167,'Council Entry'!AU$9),'Council Entry'!AU$8),'Council Entry'!AU167)),IF(AND(ISNUMBER('Council Entry'!AU$8),ISNUMBER('Council Entry'!AU$9)),MAX(MIN('Council Entry'!AU167,'Council Entry'!AU$9),'Council Entry'!AU$8),'Council Entry'!AU167))))-'Council Entry'!AU$5)/('Council Entry'!AU$6-'Council Entry'!AU$5),10*((IF('Council Entry'!AU$4="Logarithm",LN(0.001+IF(AND(ISNUMBER('Council Entry'!AU$8),ISNUMBER('Council Entry'!AU$9)),MAX(MIN('Council Entry'!AU167,'Council Entry'!AU$9),'Council Entry'!AU$8),'Council Entry'!AU167)),IF('Council Entry'!AU$4="Exponential",EXP(IF(AND(ISNUMBER('Council Entry'!AU$8),ISNUMBER('Council Entry'!AU$9)),MAX(MIN('Council Entry'!AU167,'Council Entry'!AU$9),'Council Entry'!AU$8),'Council Entry'!AU167)),IF(AND(ISNUMBER('Council Entry'!AU$8),ISNUMBER('Council Entry'!AU$9)),MAX(MIN('Council Entry'!AU167,'Council Entry'!AU$9),'Council Entry'!AU$8),'Council Entry'!AU167))))-'Council Entry'!AU$5)/('Council Entry'!AU$6-'Council Entry'!AU$5)),1))),"No data"))</f>
        <v/>
      </c>
      <c r="AV167" s="13">
        <f>IF('Council Entry'!AV167="","",IFERROR(MAX(0,MIN(10,ROUND(IF('Council Entry'!AV$7="Decrease Risk",10-10*((IF('Council Entry'!AV$4="Logarithm",LN(0.001+IF(AND(ISNUMBER('Council Entry'!AV$8),ISNUMBER('Council Entry'!AV$9)),MAX(MIN('Council Entry'!AV167,'Council Entry'!AV$9),'Council Entry'!AV$8),'Council Entry'!AV167)),IF('Council Entry'!AV$4="Exponential",EXP(IF(AND(ISNUMBER('Council Entry'!AV$8),ISNUMBER('Council Entry'!AV$9)),MAX(MIN('Council Entry'!AV167,'Council Entry'!AV$9),'Council Entry'!AV$8),'Council Entry'!AV167)),IF(AND(ISNUMBER('Council Entry'!AV$8),ISNUMBER('Council Entry'!AV$9)),MAX(MIN('Council Entry'!AV167,'Council Entry'!AV$9),'Council Entry'!AV$8),'Council Entry'!AV167))))-'Council Entry'!AV$5)/('Council Entry'!AV$6-'Council Entry'!AV$5),10*((IF('Council Entry'!AV$4="Logarithm",LN(0.001+IF(AND(ISNUMBER('Council Entry'!AV$8),ISNUMBER('Council Entry'!AV$9)),MAX(MIN('Council Entry'!AV167,'Council Entry'!AV$9),'Council Entry'!AV$8),'Council Entry'!AV167)),IF('Council Entry'!AV$4="Exponential",EXP(IF(AND(ISNUMBER('Council Entry'!AV$8),ISNUMBER('Council Entry'!AV$9)),MAX(MIN('Council Entry'!AV167,'Council Entry'!AV$9),'Council Entry'!AV$8),'Council Entry'!AV167)),IF(AND(ISNUMBER('Council Entry'!AV$8),ISNUMBER('Council Entry'!AV$9)),MAX(MIN('Council Entry'!AV167,'Council Entry'!AV$9),'Council Entry'!AV$8),'Council Entry'!AV167))))-'Council Entry'!AV$5)/('Council Entry'!AV$6-'Council Entry'!AV$5)),1))),"No data"))</f>
        <v/>
      </c>
      <c r="AW167" s="13">
        <f>IF('Council Entry'!AW167="","",IFERROR(MAX(0,MIN(10,ROUND(IF('Council Entry'!AW$7="Decrease Risk",10-10*((IF('Council Entry'!AW$4="Logarithm",LN(0.001+IF(AND(ISNUMBER('Council Entry'!AW$8),ISNUMBER('Council Entry'!AW$9)),MAX(MIN('Council Entry'!AW167,'Council Entry'!AW$9),'Council Entry'!AW$8),'Council Entry'!AW167)),IF('Council Entry'!AW$4="Exponential",EXP(IF(AND(ISNUMBER('Council Entry'!AW$8),ISNUMBER('Council Entry'!AW$9)),MAX(MIN('Council Entry'!AW167,'Council Entry'!AW$9),'Council Entry'!AW$8),'Council Entry'!AW167)),IF(AND(ISNUMBER('Council Entry'!AW$8),ISNUMBER('Council Entry'!AW$9)),MAX(MIN('Council Entry'!AW167,'Council Entry'!AW$9),'Council Entry'!AW$8),'Council Entry'!AW167))))-'Council Entry'!AW$5)/('Council Entry'!AW$6-'Council Entry'!AW$5),10*((IF('Council Entry'!AW$4="Logarithm",LN(0.001+IF(AND(ISNUMBER('Council Entry'!AW$8),ISNUMBER('Council Entry'!AW$9)),MAX(MIN('Council Entry'!AW167,'Council Entry'!AW$9),'Council Entry'!AW$8),'Council Entry'!AW167)),IF('Council Entry'!AW$4="Exponential",EXP(IF(AND(ISNUMBER('Council Entry'!AW$8),ISNUMBER('Council Entry'!AW$9)),MAX(MIN('Council Entry'!AW167,'Council Entry'!AW$9),'Council Entry'!AW$8),'Council Entry'!AW167)),IF(AND(ISNUMBER('Council Entry'!AW$8),ISNUMBER('Council Entry'!AW$9)),MAX(MIN('Council Entry'!AW167,'Council Entry'!AW$9),'Council Entry'!AW$8),'Council Entry'!AW167))))-'Council Entry'!AW$5)/('Council Entry'!AW$6-'Council Entry'!AW$5)),1))),"No data"))</f>
        <v/>
      </c>
      <c r="AX167" s="13">
        <f>IF('Council Entry'!AX167="","",IFERROR(MAX(0,MIN(10,ROUND(IF('Council Entry'!AX$7="Decrease Risk",10-10*((IF('Council Entry'!AX$4="Logarithm",LN(0.001+IF(AND(ISNUMBER('Council Entry'!AX$8),ISNUMBER('Council Entry'!AX$9)),MAX(MIN('Council Entry'!AX167,'Council Entry'!AX$9),'Council Entry'!AX$8),'Council Entry'!AX167)),IF('Council Entry'!AX$4="Exponential",EXP(IF(AND(ISNUMBER('Council Entry'!AX$8),ISNUMBER('Council Entry'!AX$9)),MAX(MIN('Council Entry'!AX167,'Council Entry'!AX$9),'Council Entry'!AX$8),'Council Entry'!AX167)),IF(AND(ISNUMBER('Council Entry'!AX$8),ISNUMBER('Council Entry'!AX$9)),MAX(MIN('Council Entry'!AX167,'Council Entry'!AX$9),'Council Entry'!AX$8),'Council Entry'!AX167))))-'Council Entry'!AX$5)/('Council Entry'!AX$6-'Council Entry'!AX$5),10*((IF('Council Entry'!AX$4="Logarithm",LN(0.001+IF(AND(ISNUMBER('Council Entry'!AX$8),ISNUMBER('Council Entry'!AX$9)),MAX(MIN('Council Entry'!AX167,'Council Entry'!AX$9),'Council Entry'!AX$8),'Council Entry'!AX167)),IF('Council Entry'!AX$4="Exponential",EXP(IF(AND(ISNUMBER('Council Entry'!AX$8),ISNUMBER('Council Entry'!AX$9)),MAX(MIN('Council Entry'!AX167,'Council Entry'!AX$9),'Council Entry'!AX$8),'Council Entry'!AX167)),IF(AND(ISNUMBER('Council Entry'!AX$8),ISNUMBER('Council Entry'!AX$9)),MAX(MIN('Council Entry'!AX167,'Council Entry'!AX$9),'Council Entry'!AX$8),'Council Entry'!AX167))))-'Council Entry'!AX$5)/('Council Entry'!AX$6-'Council Entry'!AX$5)),1))),"No data"))</f>
        <v/>
      </c>
      <c r="AY167" s="13">
        <f>IF('Council Entry'!AY167="","",IFERROR(MAX(0,MIN(10,ROUND(IF('Council Entry'!AY$7="Decrease Risk",10-10*((IF('Council Entry'!AY$4="Logarithm",LN(0.001+IF(AND(ISNUMBER('Council Entry'!AY$8),ISNUMBER('Council Entry'!AY$9)),MAX(MIN('Council Entry'!AY167,'Council Entry'!AY$9),'Council Entry'!AY$8),'Council Entry'!AY167)),IF('Council Entry'!AY$4="Exponential",EXP(IF(AND(ISNUMBER('Council Entry'!AY$8),ISNUMBER('Council Entry'!AY$9)),MAX(MIN('Council Entry'!AY167,'Council Entry'!AY$9),'Council Entry'!AY$8),'Council Entry'!AY167)),IF(AND(ISNUMBER('Council Entry'!AY$8),ISNUMBER('Council Entry'!AY$9)),MAX(MIN('Council Entry'!AY167,'Council Entry'!AY$9),'Council Entry'!AY$8),'Council Entry'!AY167))))-'Council Entry'!AY$5)/('Council Entry'!AY$6-'Council Entry'!AY$5),10*((IF('Council Entry'!AY$4="Logarithm",LN(0.001+IF(AND(ISNUMBER('Council Entry'!AY$8),ISNUMBER('Council Entry'!AY$9)),MAX(MIN('Council Entry'!AY167,'Council Entry'!AY$9),'Council Entry'!AY$8),'Council Entry'!AY167)),IF('Council Entry'!AY$4="Exponential",EXP(IF(AND(ISNUMBER('Council Entry'!AY$8),ISNUMBER('Council Entry'!AY$9)),MAX(MIN('Council Entry'!AY167,'Council Entry'!AY$9),'Council Entry'!AY$8),'Council Entry'!AY167)),IF(AND(ISNUMBER('Council Entry'!AY$8),ISNUMBER('Council Entry'!AY$9)),MAX(MIN('Council Entry'!AY167,'Council Entry'!AY$9),'Council Entry'!AY$8),'Council Entry'!AY167))))-'Council Entry'!AY$5)/('Council Entry'!AY$6-'Council Entry'!AY$5)),1))),"No data"))</f>
        <v/>
      </c>
      <c r="AZ167" s="13">
        <f>IF('Council Entry'!AZ167="","",IFERROR(MAX(0,MIN(10,ROUND(IF('Council Entry'!AZ$7="Decrease Risk",10-10*((IF('Council Entry'!AZ$4="Logarithm",LN(0.001+IF(AND(ISNUMBER('Council Entry'!AZ$8),ISNUMBER('Council Entry'!AZ$9)),MAX(MIN('Council Entry'!AZ167,'Council Entry'!AZ$9),'Council Entry'!AZ$8),'Council Entry'!AZ167)),IF('Council Entry'!AZ$4="Exponential",EXP(IF(AND(ISNUMBER('Council Entry'!AZ$8),ISNUMBER('Council Entry'!AZ$9)),MAX(MIN('Council Entry'!AZ167,'Council Entry'!AZ$9),'Council Entry'!AZ$8),'Council Entry'!AZ167)),IF(AND(ISNUMBER('Council Entry'!AZ$8),ISNUMBER('Council Entry'!AZ$9)),MAX(MIN('Council Entry'!AZ167,'Council Entry'!AZ$9),'Council Entry'!AZ$8),'Council Entry'!AZ167))))-'Council Entry'!AZ$5)/('Council Entry'!AZ$6-'Council Entry'!AZ$5),10*((IF('Council Entry'!AZ$4="Logarithm",LN(0.001+IF(AND(ISNUMBER('Council Entry'!AZ$8),ISNUMBER('Council Entry'!AZ$9)),MAX(MIN('Council Entry'!AZ167,'Council Entry'!AZ$9),'Council Entry'!AZ$8),'Council Entry'!AZ167)),IF('Council Entry'!AZ$4="Exponential",EXP(IF(AND(ISNUMBER('Council Entry'!AZ$8),ISNUMBER('Council Entry'!AZ$9)),MAX(MIN('Council Entry'!AZ167,'Council Entry'!AZ$9),'Council Entry'!AZ$8),'Council Entry'!AZ167)),IF(AND(ISNUMBER('Council Entry'!AZ$8),ISNUMBER('Council Entry'!AZ$9)),MAX(MIN('Council Entry'!AZ167,'Council Entry'!AZ$9),'Council Entry'!AZ$8),'Council Entry'!AZ167))))-'Council Entry'!AZ$5)/('Council Entry'!AZ$6-'Council Entry'!AZ$5)),1))),"No data"))</f>
        <v/>
      </c>
      <c r="BA167" s="13">
        <f>IF('Council Entry'!BA167="","",IFERROR(MAX(0,MIN(10,ROUND(IF('Council Entry'!BA$7="Decrease Risk",10-10*((IF('Council Entry'!BA$4="Logarithm",LN(0.001+IF(AND(ISNUMBER('Council Entry'!BA$8),ISNUMBER('Council Entry'!BA$9)),MAX(MIN('Council Entry'!BA167,'Council Entry'!BA$9),'Council Entry'!BA$8),'Council Entry'!BA167)),IF('Council Entry'!BA$4="Exponential",EXP(IF(AND(ISNUMBER('Council Entry'!BA$8),ISNUMBER('Council Entry'!BA$9)),MAX(MIN('Council Entry'!BA167,'Council Entry'!BA$9),'Council Entry'!BA$8),'Council Entry'!BA167)),IF(AND(ISNUMBER('Council Entry'!BA$8),ISNUMBER('Council Entry'!BA$9)),MAX(MIN('Council Entry'!BA167,'Council Entry'!BA$9),'Council Entry'!BA$8),'Council Entry'!BA167))))-'Council Entry'!BA$5)/('Council Entry'!BA$6-'Council Entry'!BA$5),10*((IF('Council Entry'!BA$4="Logarithm",LN(0.001+IF(AND(ISNUMBER('Council Entry'!BA$8),ISNUMBER('Council Entry'!BA$9)),MAX(MIN('Council Entry'!BA167,'Council Entry'!BA$9),'Council Entry'!BA$8),'Council Entry'!BA167)),IF('Council Entry'!BA$4="Exponential",EXP(IF(AND(ISNUMBER('Council Entry'!BA$8),ISNUMBER('Council Entry'!BA$9)),MAX(MIN('Council Entry'!BA167,'Council Entry'!BA$9),'Council Entry'!BA$8),'Council Entry'!BA167)),IF(AND(ISNUMBER('Council Entry'!BA$8),ISNUMBER('Council Entry'!BA$9)),MAX(MIN('Council Entry'!BA167,'Council Entry'!BA$9),'Council Entry'!BA$8),'Council Entry'!BA167))))-'Council Entry'!BA$5)/('Council Entry'!BA$6-'Council Entry'!BA$5)),1))),"No data"))</f>
        <v/>
      </c>
      <c r="BB167" s="13">
        <f>IF('Council Entry'!BB167="","",IFERROR(MAX(0,MIN(10,ROUND(IF('Council Entry'!BB$7="Decrease Risk",10-10*((IF('Council Entry'!BB$4="Logarithm",LN(0.001+IF(AND(ISNUMBER('Council Entry'!BB$8),ISNUMBER('Council Entry'!BB$9)),MAX(MIN('Council Entry'!BB167,'Council Entry'!BB$9),'Council Entry'!BB$8),'Council Entry'!BB167)),IF('Council Entry'!BB$4="Exponential",EXP(IF(AND(ISNUMBER('Council Entry'!BB$8),ISNUMBER('Council Entry'!BB$9)),MAX(MIN('Council Entry'!BB167,'Council Entry'!BB$9),'Council Entry'!BB$8),'Council Entry'!BB167)),IF(AND(ISNUMBER('Council Entry'!BB$8),ISNUMBER('Council Entry'!BB$9)),MAX(MIN('Council Entry'!BB167,'Council Entry'!BB$9),'Council Entry'!BB$8),'Council Entry'!BB167))))-'Council Entry'!BB$5)/('Council Entry'!BB$6-'Council Entry'!BB$5),10*((IF('Council Entry'!BB$4="Logarithm",LN(0.001+IF(AND(ISNUMBER('Council Entry'!BB$8),ISNUMBER('Council Entry'!BB$9)),MAX(MIN('Council Entry'!BB167,'Council Entry'!BB$9),'Council Entry'!BB$8),'Council Entry'!BB167)),IF('Council Entry'!BB$4="Exponential",EXP(IF(AND(ISNUMBER('Council Entry'!BB$8),ISNUMBER('Council Entry'!BB$9)),MAX(MIN('Council Entry'!BB167,'Council Entry'!BB$9),'Council Entry'!BB$8),'Council Entry'!BB167)),IF(AND(ISNUMBER('Council Entry'!BB$8),ISNUMBER('Council Entry'!BB$9)),MAX(MIN('Council Entry'!BB167,'Council Entry'!BB$9),'Council Entry'!BB$8),'Council Entry'!BB167))))-'Council Entry'!BB$5)/('Council Entry'!BB$6-'Council Entry'!BB$5)),1))),"No data"))</f>
        <v/>
      </c>
      <c r="BC167" s="13">
        <f>IF('Council Entry'!BC167="","",IFERROR(MAX(0,MIN(10,ROUND(IF('Council Entry'!BC$7="Decrease Risk",10-10*((IF('Council Entry'!BC$4="Logarithm",LN(0.001+IF(AND(ISNUMBER('Council Entry'!BC$8),ISNUMBER('Council Entry'!BC$9)),MAX(MIN('Council Entry'!BC167,'Council Entry'!BC$9),'Council Entry'!BC$8),'Council Entry'!BC167)),IF('Council Entry'!BC$4="Exponential",EXP(IF(AND(ISNUMBER('Council Entry'!BC$8),ISNUMBER('Council Entry'!BC$9)),MAX(MIN('Council Entry'!BC167,'Council Entry'!BC$9),'Council Entry'!BC$8),'Council Entry'!BC167)),IF(AND(ISNUMBER('Council Entry'!BC$8),ISNUMBER('Council Entry'!BC$9)),MAX(MIN('Council Entry'!BC167,'Council Entry'!BC$9),'Council Entry'!BC$8),'Council Entry'!BC167))))-'Council Entry'!BC$5)/('Council Entry'!BC$6-'Council Entry'!BC$5),10*((IF('Council Entry'!BC$4="Logarithm",LN(0.001+IF(AND(ISNUMBER('Council Entry'!BC$8),ISNUMBER('Council Entry'!BC$9)),MAX(MIN('Council Entry'!BC167,'Council Entry'!BC$9),'Council Entry'!BC$8),'Council Entry'!BC167)),IF('Council Entry'!BC$4="Exponential",EXP(IF(AND(ISNUMBER('Council Entry'!BC$8),ISNUMBER('Council Entry'!BC$9)),MAX(MIN('Council Entry'!BC167,'Council Entry'!BC$9),'Council Entry'!BC$8),'Council Entry'!BC167)),IF(AND(ISNUMBER('Council Entry'!BC$8),ISNUMBER('Council Entry'!BC$9)),MAX(MIN('Council Entry'!BC167,'Council Entry'!BC$9),'Council Entry'!BC$8),'Council Entry'!BC167))))-'Council Entry'!BC$5)/('Council Entry'!BC$6-'Council Entry'!BC$5)),1))),"No data"))</f>
        <v/>
      </c>
      <c r="BD167" s="13">
        <f>IF('Council Entry'!BD167="","",IFERROR(MAX(0,MIN(10,ROUND(IF('Council Entry'!BD$7="Decrease Risk",10-10*((IF('Council Entry'!BD$4="Logarithm",LN(0.001+IF(AND(ISNUMBER('Council Entry'!BD$8),ISNUMBER('Council Entry'!BD$9)),MAX(MIN('Council Entry'!BD167,'Council Entry'!BD$9),'Council Entry'!BD$8),'Council Entry'!BD167)),IF('Council Entry'!BD$4="Exponential",EXP(IF(AND(ISNUMBER('Council Entry'!BD$8),ISNUMBER('Council Entry'!BD$9)),MAX(MIN('Council Entry'!BD167,'Council Entry'!BD$9),'Council Entry'!BD$8),'Council Entry'!BD167)),IF(AND(ISNUMBER('Council Entry'!BD$8),ISNUMBER('Council Entry'!BD$9)),MAX(MIN('Council Entry'!BD167,'Council Entry'!BD$9),'Council Entry'!BD$8),'Council Entry'!BD167))))-'Council Entry'!BD$5)/('Council Entry'!BD$6-'Council Entry'!BD$5),10*((IF('Council Entry'!BD$4="Logarithm",LN(0.001+IF(AND(ISNUMBER('Council Entry'!BD$8),ISNUMBER('Council Entry'!BD$9)),MAX(MIN('Council Entry'!BD167,'Council Entry'!BD$9),'Council Entry'!BD$8),'Council Entry'!BD167)),IF('Council Entry'!BD$4="Exponential",EXP(IF(AND(ISNUMBER('Council Entry'!BD$8),ISNUMBER('Council Entry'!BD$9)),MAX(MIN('Council Entry'!BD167,'Council Entry'!BD$9),'Council Entry'!BD$8),'Council Entry'!BD167)),IF(AND(ISNUMBER('Council Entry'!BD$8),ISNUMBER('Council Entry'!BD$9)),MAX(MIN('Council Entry'!BD167,'Council Entry'!BD$9),'Council Entry'!BD$8),'Council Entry'!BD167))))-'Council Entry'!BD$5)/('Council Entry'!BD$6-'Council Entry'!BD$5)),1))),"No data"))</f>
        <v/>
      </c>
    </row>
    <row r="168">
      <c r="A168" t="inlineStr">
        <is>
          <t>Shinyanga</t>
        </is>
      </c>
      <c r="B168" t="inlineStr">
        <is>
          <t>Ushetu District</t>
        </is>
      </c>
      <c r="C168" t="inlineStr">
        <is>
          <t>C119</t>
        </is>
      </c>
      <c r="D168" s="13">
        <f>IF('Council Entry'!D168="","",IFERROR(MAX(0,MIN(10,ROUND(IF('Council Entry'!D$7="Decrease Risk",10-10*((IF('Council Entry'!D$4="Logarithm",LN(0.001+IF(AND(ISNUMBER('Council Entry'!D$8),ISNUMBER('Council Entry'!D$9)),MAX(MIN('Council Entry'!D168,'Council Entry'!D$9),'Council Entry'!D$8),'Council Entry'!D168)),IF('Council Entry'!D$4="Exponential",EXP(IF(AND(ISNUMBER('Council Entry'!D$8),ISNUMBER('Council Entry'!D$9)),MAX(MIN('Council Entry'!D168,'Council Entry'!D$9),'Council Entry'!D$8),'Council Entry'!D168)),IF(AND(ISNUMBER('Council Entry'!D$8),ISNUMBER('Council Entry'!D$9)),MAX(MIN('Council Entry'!D168,'Council Entry'!D$9),'Council Entry'!D$8),'Council Entry'!D168))))-'Council Entry'!D$5)/('Council Entry'!D$6-'Council Entry'!D$5),10*((IF('Council Entry'!D$4="Logarithm",LN(0.001+IF(AND(ISNUMBER('Council Entry'!D$8),ISNUMBER('Council Entry'!D$9)),MAX(MIN('Council Entry'!D168,'Council Entry'!D$9),'Council Entry'!D$8),'Council Entry'!D168)),IF('Council Entry'!D$4="Exponential",EXP(IF(AND(ISNUMBER('Council Entry'!D$8),ISNUMBER('Council Entry'!D$9)),MAX(MIN('Council Entry'!D168,'Council Entry'!D$9),'Council Entry'!D$8),'Council Entry'!D168)),IF(AND(ISNUMBER('Council Entry'!D$8),ISNUMBER('Council Entry'!D$9)),MAX(MIN('Council Entry'!D168,'Council Entry'!D$9),'Council Entry'!D$8),'Council Entry'!D168))))-'Council Entry'!D$5)/('Council Entry'!D$6-'Council Entry'!D$5)),1))),"No data"))</f>
        <v/>
      </c>
      <c r="E168" s="13">
        <f>IF('Council Entry'!E168="","",IFERROR(MAX(0,MIN(10,ROUND(IF('Council Entry'!E$7="Decrease Risk",10-10*((IF('Council Entry'!E$4="Logarithm",LN(0.001+IF(AND(ISNUMBER('Council Entry'!E$8),ISNUMBER('Council Entry'!E$9)),MAX(MIN('Council Entry'!E168,'Council Entry'!E$9),'Council Entry'!E$8),'Council Entry'!E168)),IF('Council Entry'!E$4="Exponential",EXP(IF(AND(ISNUMBER('Council Entry'!E$8),ISNUMBER('Council Entry'!E$9)),MAX(MIN('Council Entry'!E168,'Council Entry'!E$9),'Council Entry'!E$8),'Council Entry'!E168)),IF(AND(ISNUMBER('Council Entry'!E$8),ISNUMBER('Council Entry'!E$9)),MAX(MIN('Council Entry'!E168,'Council Entry'!E$9),'Council Entry'!E$8),'Council Entry'!E168))))-'Council Entry'!E$5)/('Council Entry'!E$6-'Council Entry'!E$5),10*((IF('Council Entry'!E$4="Logarithm",LN(0.001+IF(AND(ISNUMBER('Council Entry'!E$8),ISNUMBER('Council Entry'!E$9)),MAX(MIN('Council Entry'!E168,'Council Entry'!E$9),'Council Entry'!E$8),'Council Entry'!E168)),IF('Council Entry'!E$4="Exponential",EXP(IF(AND(ISNUMBER('Council Entry'!E$8),ISNUMBER('Council Entry'!E$9)),MAX(MIN('Council Entry'!E168,'Council Entry'!E$9),'Council Entry'!E$8),'Council Entry'!E168)),IF(AND(ISNUMBER('Council Entry'!E$8),ISNUMBER('Council Entry'!E$9)),MAX(MIN('Council Entry'!E168,'Council Entry'!E$9),'Council Entry'!E$8),'Council Entry'!E168))))-'Council Entry'!E$5)/('Council Entry'!E$6-'Council Entry'!E$5)),1))),"No data"))</f>
        <v/>
      </c>
      <c r="F168" s="13">
        <f>IF('Council Entry'!F168="","",IFERROR(MAX(0,MIN(10,ROUND(IF('Council Entry'!F$7="Decrease Risk",10-10*((IF('Council Entry'!F$4="Logarithm",LN(0.001+IF(AND(ISNUMBER('Council Entry'!F$8),ISNUMBER('Council Entry'!F$9)),MAX(MIN('Council Entry'!F168,'Council Entry'!F$9),'Council Entry'!F$8),'Council Entry'!F168)),IF('Council Entry'!F$4="Exponential",EXP(IF(AND(ISNUMBER('Council Entry'!F$8),ISNUMBER('Council Entry'!F$9)),MAX(MIN('Council Entry'!F168,'Council Entry'!F$9),'Council Entry'!F$8),'Council Entry'!F168)),IF(AND(ISNUMBER('Council Entry'!F$8),ISNUMBER('Council Entry'!F$9)),MAX(MIN('Council Entry'!F168,'Council Entry'!F$9),'Council Entry'!F$8),'Council Entry'!F168))))-'Council Entry'!F$5)/('Council Entry'!F$6-'Council Entry'!F$5),10*((IF('Council Entry'!F$4="Logarithm",LN(0.001+IF(AND(ISNUMBER('Council Entry'!F$8),ISNUMBER('Council Entry'!F$9)),MAX(MIN('Council Entry'!F168,'Council Entry'!F$9),'Council Entry'!F$8),'Council Entry'!F168)),IF('Council Entry'!F$4="Exponential",EXP(IF(AND(ISNUMBER('Council Entry'!F$8),ISNUMBER('Council Entry'!F$9)),MAX(MIN('Council Entry'!F168,'Council Entry'!F$9),'Council Entry'!F$8),'Council Entry'!F168)),IF(AND(ISNUMBER('Council Entry'!F$8),ISNUMBER('Council Entry'!F$9)),MAX(MIN('Council Entry'!F168,'Council Entry'!F$9),'Council Entry'!F$8),'Council Entry'!F168))))-'Council Entry'!F$5)/('Council Entry'!F$6-'Council Entry'!F$5)),1))),"No data"))</f>
        <v/>
      </c>
      <c r="G168" s="13">
        <f>IF('Council Entry'!G168="","",IFERROR(MAX(0,MIN(10,ROUND(IF('Council Entry'!G$7="Decrease Risk",10-10*((IF('Council Entry'!G$4="Logarithm",LN(0.001+IF(AND(ISNUMBER('Council Entry'!G$8),ISNUMBER('Council Entry'!G$9)),MAX(MIN('Council Entry'!G168,'Council Entry'!G$9),'Council Entry'!G$8),'Council Entry'!G168)),IF('Council Entry'!G$4="Exponential",EXP(IF(AND(ISNUMBER('Council Entry'!G$8),ISNUMBER('Council Entry'!G$9)),MAX(MIN('Council Entry'!G168,'Council Entry'!G$9),'Council Entry'!G$8),'Council Entry'!G168)),IF(AND(ISNUMBER('Council Entry'!G$8),ISNUMBER('Council Entry'!G$9)),MAX(MIN('Council Entry'!G168,'Council Entry'!G$9),'Council Entry'!G$8),'Council Entry'!G168))))-'Council Entry'!G$5)/('Council Entry'!G$6-'Council Entry'!G$5),10*((IF('Council Entry'!G$4="Logarithm",LN(0.001+IF(AND(ISNUMBER('Council Entry'!G$8),ISNUMBER('Council Entry'!G$9)),MAX(MIN('Council Entry'!G168,'Council Entry'!G$9),'Council Entry'!G$8),'Council Entry'!G168)),IF('Council Entry'!G$4="Exponential",EXP(IF(AND(ISNUMBER('Council Entry'!G$8),ISNUMBER('Council Entry'!G$9)),MAX(MIN('Council Entry'!G168,'Council Entry'!G$9),'Council Entry'!G$8),'Council Entry'!G168)),IF(AND(ISNUMBER('Council Entry'!G$8),ISNUMBER('Council Entry'!G$9)),MAX(MIN('Council Entry'!G168,'Council Entry'!G$9),'Council Entry'!G$8),'Council Entry'!G168))))-'Council Entry'!G$5)/('Council Entry'!G$6-'Council Entry'!G$5)),1))),"No data"))</f>
        <v/>
      </c>
      <c r="H168" s="13">
        <f>IF('Council Entry'!H168="","",IFERROR(MAX(0,MIN(10,ROUND(IF('Council Entry'!H$7="Decrease Risk",10-10*((IF('Council Entry'!H$4="Logarithm",LN(0.001+IF(AND(ISNUMBER('Council Entry'!H$8),ISNUMBER('Council Entry'!H$9)),MAX(MIN('Council Entry'!H168,'Council Entry'!H$9),'Council Entry'!H$8),'Council Entry'!H168)),IF('Council Entry'!H$4="Exponential",EXP(IF(AND(ISNUMBER('Council Entry'!H$8),ISNUMBER('Council Entry'!H$9)),MAX(MIN('Council Entry'!H168,'Council Entry'!H$9),'Council Entry'!H$8),'Council Entry'!H168)),IF(AND(ISNUMBER('Council Entry'!H$8),ISNUMBER('Council Entry'!H$9)),MAX(MIN('Council Entry'!H168,'Council Entry'!H$9),'Council Entry'!H$8),'Council Entry'!H168))))-'Council Entry'!H$5)/('Council Entry'!H$6-'Council Entry'!H$5),10*((IF('Council Entry'!H$4="Logarithm",LN(0.001+IF(AND(ISNUMBER('Council Entry'!H$8),ISNUMBER('Council Entry'!H$9)),MAX(MIN('Council Entry'!H168,'Council Entry'!H$9),'Council Entry'!H$8),'Council Entry'!H168)),IF('Council Entry'!H$4="Exponential",EXP(IF(AND(ISNUMBER('Council Entry'!H$8),ISNUMBER('Council Entry'!H$9)),MAX(MIN('Council Entry'!H168,'Council Entry'!H$9),'Council Entry'!H$8),'Council Entry'!H168)),IF(AND(ISNUMBER('Council Entry'!H$8),ISNUMBER('Council Entry'!H$9)),MAX(MIN('Council Entry'!H168,'Council Entry'!H$9),'Council Entry'!H$8),'Council Entry'!H168))))-'Council Entry'!H$5)/('Council Entry'!H$6-'Council Entry'!H$5)),1))),"No data"))</f>
        <v/>
      </c>
      <c r="I168" s="13">
        <f>IF('Council Entry'!I168="","",IFERROR(MAX(0,MIN(10,ROUND(IF('Council Entry'!I$7="Decrease Risk",10-10*((IF('Council Entry'!I$4="Logarithm",LN(0.001+IF(AND(ISNUMBER('Council Entry'!I$8),ISNUMBER('Council Entry'!I$9)),MAX(MIN('Council Entry'!I168,'Council Entry'!I$9),'Council Entry'!I$8),'Council Entry'!I168)),IF('Council Entry'!I$4="Exponential",EXP(IF(AND(ISNUMBER('Council Entry'!I$8),ISNUMBER('Council Entry'!I$9)),MAX(MIN('Council Entry'!I168,'Council Entry'!I$9),'Council Entry'!I$8),'Council Entry'!I168)),IF(AND(ISNUMBER('Council Entry'!I$8),ISNUMBER('Council Entry'!I$9)),MAX(MIN('Council Entry'!I168,'Council Entry'!I$9),'Council Entry'!I$8),'Council Entry'!I168))))-'Council Entry'!I$5)/('Council Entry'!I$6-'Council Entry'!I$5),10*((IF('Council Entry'!I$4="Logarithm",LN(0.001+IF(AND(ISNUMBER('Council Entry'!I$8),ISNUMBER('Council Entry'!I$9)),MAX(MIN('Council Entry'!I168,'Council Entry'!I$9),'Council Entry'!I$8),'Council Entry'!I168)),IF('Council Entry'!I$4="Exponential",EXP(IF(AND(ISNUMBER('Council Entry'!I$8),ISNUMBER('Council Entry'!I$9)),MAX(MIN('Council Entry'!I168,'Council Entry'!I$9),'Council Entry'!I$8),'Council Entry'!I168)),IF(AND(ISNUMBER('Council Entry'!I$8),ISNUMBER('Council Entry'!I$9)),MAX(MIN('Council Entry'!I168,'Council Entry'!I$9),'Council Entry'!I$8),'Council Entry'!I168))))-'Council Entry'!I$5)/('Council Entry'!I$6-'Council Entry'!I$5)),1))),"No data"))</f>
        <v/>
      </c>
      <c r="J168" s="13">
        <f>IF('Council Entry'!J168="","",IFERROR(MAX(0,MIN(10,ROUND(IF('Council Entry'!J$7="Decrease Risk",10-10*((IF('Council Entry'!J$4="Logarithm",LN(0.001+IF(AND(ISNUMBER('Council Entry'!J$8),ISNUMBER('Council Entry'!J$9)),MAX(MIN('Council Entry'!J168,'Council Entry'!J$9),'Council Entry'!J$8),'Council Entry'!J168)),IF('Council Entry'!J$4="Exponential",EXP(IF(AND(ISNUMBER('Council Entry'!J$8),ISNUMBER('Council Entry'!J$9)),MAX(MIN('Council Entry'!J168,'Council Entry'!J$9),'Council Entry'!J$8),'Council Entry'!J168)),IF(AND(ISNUMBER('Council Entry'!J$8),ISNUMBER('Council Entry'!J$9)),MAX(MIN('Council Entry'!J168,'Council Entry'!J$9),'Council Entry'!J$8),'Council Entry'!J168))))-'Council Entry'!J$5)/('Council Entry'!J$6-'Council Entry'!J$5),10*((IF('Council Entry'!J$4="Logarithm",LN(0.001+IF(AND(ISNUMBER('Council Entry'!J$8),ISNUMBER('Council Entry'!J$9)),MAX(MIN('Council Entry'!J168,'Council Entry'!J$9),'Council Entry'!J$8),'Council Entry'!J168)),IF('Council Entry'!J$4="Exponential",EXP(IF(AND(ISNUMBER('Council Entry'!J$8),ISNUMBER('Council Entry'!J$9)),MAX(MIN('Council Entry'!J168,'Council Entry'!J$9),'Council Entry'!J$8),'Council Entry'!J168)),IF(AND(ISNUMBER('Council Entry'!J$8),ISNUMBER('Council Entry'!J$9)),MAX(MIN('Council Entry'!J168,'Council Entry'!J$9),'Council Entry'!J$8),'Council Entry'!J168))))-'Council Entry'!J$5)/('Council Entry'!J$6-'Council Entry'!J$5)),1))),"No data"))</f>
        <v/>
      </c>
      <c r="K168" s="13">
        <f>IF('Council Entry'!K168="","",IFERROR(MAX(0,MIN(10,ROUND(IF('Council Entry'!K$7="Decrease Risk",10-10*((IF('Council Entry'!K$4="Logarithm",LN(0.001+IF(AND(ISNUMBER('Council Entry'!K$8),ISNUMBER('Council Entry'!K$9)),MAX(MIN('Council Entry'!K168,'Council Entry'!K$9),'Council Entry'!K$8),'Council Entry'!K168)),IF('Council Entry'!K$4="Exponential",EXP(IF(AND(ISNUMBER('Council Entry'!K$8),ISNUMBER('Council Entry'!K$9)),MAX(MIN('Council Entry'!K168,'Council Entry'!K$9),'Council Entry'!K$8),'Council Entry'!K168)),IF(AND(ISNUMBER('Council Entry'!K$8),ISNUMBER('Council Entry'!K$9)),MAX(MIN('Council Entry'!K168,'Council Entry'!K$9),'Council Entry'!K$8),'Council Entry'!K168))))-'Council Entry'!K$5)/('Council Entry'!K$6-'Council Entry'!K$5),10*((IF('Council Entry'!K$4="Logarithm",LN(0.001+IF(AND(ISNUMBER('Council Entry'!K$8),ISNUMBER('Council Entry'!K$9)),MAX(MIN('Council Entry'!K168,'Council Entry'!K$9),'Council Entry'!K$8),'Council Entry'!K168)),IF('Council Entry'!K$4="Exponential",EXP(IF(AND(ISNUMBER('Council Entry'!K$8),ISNUMBER('Council Entry'!K$9)),MAX(MIN('Council Entry'!K168,'Council Entry'!K$9),'Council Entry'!K$8),'Council Entry'!K168)),IF(AND(ISNUMBER('Council Entry'!K$8),ISNUMBER('Council Entry'!K$9)),MAX(MIN('Council Entry'!K168,'Council Entry'!K$9),'Council Entry'!K$8),'Council Entry'!K168))))-'Council Entry'!K$5)/('Council Entry'!K$6-'Council Entry'!K$5)),1))),"No data"))</f>
        <v/>
      </c>
      <c r="L168" s="13">
        <f>IF('Council Entry'!L168="","",IFERROR(MAX(0,MIN(10,ROUND(IF('Council Entry'!L$7="Decrease Risk",10-10*((IF('Council Entry'!L$4="Logarithm",LN(0.001+IF(AND(ISNUMBER('Council Entry'!L$8),ISNUMBER('Council Entry'!L$9)),MAX(MIN('Council Entry'!L168,'Council Entry'!L$9),'Council Entry'!L$8),'Council Entry'!L168)),IF('Council Entry'!L$4="Exponential",EXP(IF(AND(ISNUMBER('Council Entry'!L$8),ISNUMBER('Council Entry'!L$9)),MAX(MIN('Council Entry'!L168,'Council Entry'!L$9),'Council Entry'!L$8),'Council Entry'!L168)),IF(AND(ISNUMBER('Council Entry'!L$8),ISNUMBER('Council Entry'!L$9)),MAX(MIN('Council Entry'!L168,'Council Entry'!L$9),'Council Entry'!L$8),'Council Entry'!L168))))-'Council Entry'!L$5)/('Council Entry'!L$6-'Council Entry'!L$5),10*((IF('Council Entry'!L$4="Logarithm",LN(0.001+IF(AND(ISNUMBER('Council Entry'!L$8),ISNUMBER('Council Entry'!L$9)),MAX(MIN('Council Entry'!L168,'Council Entry'!L$9),'Council Entry'!L$8),'Council Entry'!L168)),IF('Council Entry'!L$4="Exponential",EXP(IF(AND(ISNUMBER('Council Entry'!L$8),ISNUMBER('Council Entry'!L$9)),MAX(MIN('Council Entry'!L168,'Council Entry'!L$9),'Council Entry'!L$8),'Council Entry'!L168)),IF(AND(ISNUMBER('Council Entry'!L$8),ISNUMBER('Council Entry'!L$9)),MAX(MIN('Council Entry'!L168,'Council Entry'!L$9),'Council Entry'!L$8),'Council Entry'!L168))))-'Council Entry'!L$5)/('Council Entry'!L$6-'Council Entry'!L$5)),1))),"No data"))</f>
        <v/>
      </c>
      <c r="M168" s="13">
        <f>IF('Council Entry'!M168="","",IFERROR(MAX(0,MIN(10,ROUND(IF('Council Entry'!M$7="Decrease Risk",10-10*((IF('Council Entry'!M$4="Logarithm",LN(0.001+IF(AND(ISNUMBER('Council Entry'!M$8),ISNUMBER('Council Entry'!M$9)),MAX(MIN('Council Entry'!M168,'Council Entry'!M$9),'Council Entry'!M$8),'Council Entry'!M168)),IF('Council Entry'!M$4="Exponential",EXP(IF(AND(ISNUMBER('Council Entry'!M$8),ISNUMBER('Council Entry'!M$9)),MAX(MIN('Council Entry'!M168,'Council Entry'!M$9),'Council Entry'!M$8),'Council Entry'!M168)),IF(AND(ISNUMBER('Council Entry'!M$8),ISNUMBER('Council Entry'!M$9)),MAX(MIN('Council Entry'!M168,'Council Entry'!M$9),'Council Entry'!M$8),'Council Entry'!M168))))-'Council Entry'!M$5)/('Council Entry'!M$6-'Council Entry'!M$5),10*((IF('Council Entry'!M$4="Logarithm",LN(0.001+IF(AND(ISNUMBER('Council Entry'!M$8),ISNUMBER('Council Entry'!M$9)),MAX(MIN('Council Entry'!M168,'Council Entry'!M$9),'Council Entry'!M$8),'Council Entry'!M168)),IF('Council Entry'!M$4="Exponential",EXP(IF(AND(ISNUMBER('Council Entry'!M$8),ISNUMBER('Council Entry'!M$9)),MAX(MIN('Council Entry'!M168,'Council Entry'!M$9),'Council Entry'!M$8),'Council Entry'!M168)),IF(AND(ISNUMBER('Council Entry'!M$8),ISNUMBER('Council Entry'!M$9)),MAX(MIN('Council Entry'!M168,'Council Entry'!M$9),'Council Entry'!M$8),'Council Entry'!M168))))-'Council Entry'!M$5)/('Council Entry'!M$6-'Council Entry'!M$5)),1))),"No data"))</f>
        <v/>
      </c>
      <c r="N168" s="13">
        <f>IF('Council Entry'!N168="","",IFERROR(MAX(0,MIN(10,ROUND(IF('Council Entry'!N$7="Decrease Risk",10-10*((IF('Council Entry'!N$4="Logarithm",LN(0.001+IF(AND(ISNUMBER('Council Entry'!N$8),ISNUMBER('Council Entry'!N$9)),MAX(MIN('Council Entry'!N168,'Council Entry'!N$9),'Council Entry'!N$8),'Council Entry'!N168)),IF('Council Entry'!N$4="Exponential",EXP(IF(AND(ISNUMBER('Council Entry'!N$8),ISNUMBER('Council Entry'!N$9)),MAX(MIN('Council Entry'!N168,'Council Entry'!N$9),'Council Entry'!N$8),'Council Entry'!N168)),IF(AND(ISNUMBER('Council Entry'!N$8),ISNUMBER('Council Entry'!N$9)),MAX(MIN('Council Entry'!N168,'Council Entry'!N$9),'Council Entry'!N$8),'Council Entry'!N168))))-'Council Entry'!N$5)/('Council Entry'!N$6-'Council Entry'!N$5),10*((IF('Council Entry'!N$4="Logarithm",LN(0.001+IF(AND(ISNUMBER('Council Entry'!N$8),ISNUMBER('Council Entry'!N$9)),MAX(MIN('Council Entry'!N168,'Council Entry'!N$9),'Council Entry'!N$8),'Council Entry'!N168)),IF('Council Entry'!N$4="Exponential",EXP(IF(AND(ISNUMBER('Council Entry'!N$8),ISNUMBER('Council Entry'!N$9)),MAX(MIN('Council Entry'!N168,'Council Entry'!N$9),'Council Entry'!N$8),'Council Entry'!N168)),IF(AND(ISNUMBER('Council Entry'!N$8),ISNUMBER('Council Entry'!N$9)),MAX(MIN('Council Entry'!N168,'Council Entry'!N$9),'Council Entry'!N$8),'Council Entry'!N168))))-'Council Entry'!N$5)/('Council Entry'!N$6-'Council Entry'!N$5)),1))),"No data"))</f>
        <v/>
      </c>
      <c r="O168" s="13">
        <f>IF('Council Entry'!O168="","",IFERROR(MAX(0,MIN(10,ROUND(IF('Council Entry'!O$7="Decrease Risk",10-10*((IF('Council Entry'!O$4="Logarithm",LN(0.001+IF(AND(ISNUMBER('Council Entry'!O$8),ISNUMBER('Council Entry'!O$9)),MAX(MIN('Council Entry'!O168,'Council Entry'!O$9),'Council Entry'!O$8),'Council Entry'!O168)),IF('Council Entry'!O$4="Exponential",EXP(IF(AND(ISNUMBER('Council Entry'!O$8),ISNUMBER('Council Entry'!O$9)),MAX(MIN('Council Entry'!O168,'Council Entry'!O$9),'Council Entry'!O$8),'Council Entry'!O168)),IF(AND(ISNUMBER('Council Entry'!O$8),ISNUMBER('Council Entry'!O$9)),MAX(MIN('Council Entry'!O168,'Council Entry'!O$9),'Council Entry'!O$8),'Council Entry'!O168))))-'Council Entry'!O$5)/('Council Entry'!O$6-'Council Entry'!O$5),10*((IF('Council Entry'!O$4="Logarithm",LN(0.001+IF(AND(ISNUMBER('Council Entry'!O$8),ISNUMBER('Council Entry'!O$9)),MAX(MIN('Council Entry'!O168,'Council Entry'!O$9),'Council Entry'!O$8),'Council Entry'!O168)),IF('Council Entry'!O$4="Exponential",EXP(IF(AND(ISNUMBER('Council Entry'!O$8),ISNUMBER('Council Entry'!O$9)),MAX(MIN('Council Entry'!O168,'Council Entry'!O$9),'Council Entry'!O$8),'Council Entry'!O168)),IF(AND(ISNUMBER('Council Entry'!O$8),ISNUMBER('Council Entry'!O$9)),MAX(MIN('Council Entry'!O168,'Council Entry'!O$9),'Council Entry'!O$8),'Council Entry'!O168))))-'Council Entry'!O$5)/('Council Entry'!O$6-'Council Entry'!O$5)),1))),"No data"))</f>
        <v/>
      </c>
      <c r="P168" s="13">
        <f>IF('Council Entry'!P168="","",IFERROR(MAX(0,MIN(10,ROUND(IF('Council Entry'!P$7="Decrease Risk",10-10*((IF('Council Entry'!P$4="Logarithm",LN(0.001+IF(AND(ISNUMBER('Council Entry'!P$8),ISNUMBER('Council Entry'!P$9)),MAX(MIN('Council Entry'!P168,'Council Entry'!P$9),'Council Entry'!P$8),'Council Entry'!P168)),IF('Council Entry'!P$4="Exponential",EXP(IF(AND(ISNUMBER('Council Entry'!P$8),ISNUMBER('Council Entry'!P$9)),MAX(MIN('Council Entry'!P168,'Council Entry'!P$9),'Council Entry'!P$8),'Council Entry'!P168)),IF(AND(ISNUMBER('Council Entry'!P$8),ISNUMBER('Council Entry'!P$9)),MAX(MIN('Council Entry'!P168,'Council Entry'!P$9),'Council Entry'!P$8),'Council Entry'!P168))))-'Council Entry'!P$5)/('Council Entry'!P$6-'Council Entry'!P$5),10*((IF('Council Entry'!P$4="Logarithm",LN(0.001+IF(AND(ISNUMBER('Council Entry'!P$8),ISNUMBER('Council Entry'!P$9)),MAX(MIN('Council Entry'!P168,'Council Entry'!P$9),'Council Entry'!P$8),'Council Entry'!P168)),IF('Council Entry'!P$4="Exponential",EXP(IF(AND(ISNUMBER('Council Entry'!P$8),ISNUMBER('Council Entry'!P$9)),MAX(MIN('Council Entry'!P168,'Council Entry'!P$9),'Council Entry'!P$8),'Council Entry'!P168)),IF(AND(ISNUMBER('Council Entry'!P$8),ISNUMBER('Council Entry'!P$9)),MAX(MIN('Council Entry'!P168,'Council Entry'!P$9),'Council Entry'!P$8),'Council Entry'!P168))))-'Council Entry'!P$5)/('Council Entry'!P$6-'Council Entry'!P$5)),1))),"No data"))</f>
        <v/>
      </c>
      <c r="Q168" s="13">
        <f>IF('Council Entry'!Q168="","",IFERROR(MAX(0,MIN(10,ROUND(IF('Council Entry'!Q$7="Decrease Risk",10-10*((IF('Council Entry'!Q$4="Logarithm",LN(0.001+IF(AND(ISNUMBER('Council Entry'!Q$8),ISNUMBER('Council Entry'!Q$9)),MAX(MIN('Council Entry'!Q168,'Council Entry'!Q$9),'Council Entry'!Q$8),'Council Entry'!Q168)),IF('Council Entry'!Q$4="Exponential",EXP(IF(AND(ISNUMBER('Council Entry'!Q$8),ISNUMBER('Council Entry'!Q$9)),MAX(MIN('Council Entry'!Q168,'Council Entry'!Q$9),'Council Entry'!Q$8),'Council Entry'!Q168)),IF(AND(ISNUMBER('Council Entry'!Q$8),ISNUMBER('Council Entry'!Q$9)),MAX(MIN('Council Entry'!Q168,'Council Entry'!Q$9),'Council Entry'!Q$8),'Council Entry'!Q168))))-'Council Entry'!Q$5)/('Council Entry'!Q$6-'Council Entry'!Q$5),10*((IF('Council Entry'!Q$4="Logarithm",LN(0.001+IF(AND(ISNUMBER('Council Entry'!Q$8),ISNUMBER('Council Entry'!Q$9)),MAX(MIN('Council Entry'!Q168,'Council Entry'!Q$9),'Council Entry'!Q$8),'Council Entry'!Q168)),IF('Council Entry'!Q$4="Exponential",EXP(IF(AND(ISNUMBER('Council Entry'!Q$8),ISNUMBER('Council Entry'!Q$9)),MAX(MIN('Council Entry'!Q168,'Council Entry'!Q$9),'Council Entry'!Q$8),'Council Entry'!Q168)),IF(AND(ISNUMBER('Council Entry'!Q$8),ISNUMBER('Council Entry'!Q$9)),MAX(MIN('Council Entry'!Q168,'Council Entry'!Q$9),'Council Entry'!Q$8),'Council Entry'!Q168))))-'Council Entry'!Q$5)/('Council Entry'!Q$6-'Council Entry'!Q$5)),1))),"No data"))</f>
        <v/>
      </c>
      <c r="R168" s="13">
        <f>IF('Council Entry'!R168="","",IFERROR(MAX(0,MIN(10,ROUND(IF('Council Entry'!R$7="Decrease Risk",10-10*((IF('Council Entry'!R$4="Logarithm",LN(0.001+IF(AND(ISNUMBER('Council Entry'!R$8),ISNUMBER('Council Entry'!R$9)),MAX(MIN('Council Entry'!R168,'Council Entry'!R$9),'Council Entry'!R$8),'Council Entry'!R168)),IF('Council Entry'!R$4="Exponential",EXP(IF(AND(ISNUMBER('Council Entry'!R$8),ISNUMBER('Council Entry'!R$9)),MAX(MIN('Council Entry'!R168,'Council Entry'!R$9),'Council Entry'!R$8),'Council Entry'!R168)),IF(AND(ISNUMBER('Council Entry'!R$8),ISNUMBER('Council Entry'!R$9)),MAX(MIN('Council Entry'!R168,'Council Entry'!R$9),'Council Entry'!R$8),'Council Entry'!R168))))-'Council Entry'!R$5)/('Council Entry'!R$6-'Council Entry'!R$5),10*((IF('Council Entry'!R$4="Logarithm",LN(0.001+IF(AND(ISNUMBER('Council Entry'!R$8),ISNUMBER('Council Entry'!R$9)),MAX(MIN('Council Entry'!R168,'Council Entry'!R$9),'Council Entry'!R$8),'Council Entry'!R168)),IF('Council Entry'!R$4="Exponential",EXP(IF(AND(ISNUMBER('Council Entry'!R$8),ISNUMBER('Council Entry'!R$9)),MAX(MIN('Council Entry'!R168,'Council Entry'!R$9),'Council Entry'!R$8),'Council Entry'!R168)),IF(AND(ISNUMBER('Council Entry'!R$8),ISNUMBER('Council Entry'!R$9)),MAX(MIN('Council Entry'!R168,'Council Entry'!R$9),'Council Entry'!R$8),'Council Entry'!R168))))-'Council Entry'!R$5)/('Council Entry'!R$6-'Council Entry'!R$5)),1))),"No data"))</f>
        <v/>
      </c>
      <c r="S168" s="13">
        <f>IF('Council Entry'!S168="","",IFERROR(MAX(0,MIN(10,ROUND(IF('Council Entry'!S$7="Decrease Risk",10-10*((IF('Council Entry'!S$4="Logarithm",LN(0.001+IF(AND(ISNUMBER('Council Entry'!S$8),ISNUMBER('Council Entry'!S$9)),MAX(MIN('Council Entry'!S168,'Council Entry'!S$9),'Council Entry'!S$8),'Council Entry'!S168)),IF('Council Entry'!S$4="Exponential",EXP(IF(AND(ISNUMBER('Council Entry'!S$8),ISNUMBER('Council Entry'!S$9)),MAX(MIN('Council Entry'!S168,'Council Entry'!S$9),'Council Entry'!S$8),'Council Entry'!S168)),IF(AND(ISNUMBER('Council Entry'!S$8),ISNUMBER('Council Entry'!S$9)),MAX(MIN('Council Entry'!S168,'Council Entry'!S$9),'Council Entry'!S$8),'Council Entry'!S168))))-'Council Entry'!S$5)/('Council Entry'!S$6-'Council Entry'!S$5),10*((IF('Council Entry'!S$4="Logarithm",LN(0.001+IF(AND(ISNUMBER('Council Entry'!S$8),ISNUMBER('Council Entry'!S$9)),MAX(MIN('Council Entry'!S168,'Council Entry'!S$9),'Council Entry'!S$8),'Council Entry'!S168)),IF('Council Entry'!S$4="Exponential",EXP(IF(AND(ISNUMBER('Council Entry'!S$8),ISNUMBER('Council Entry'!S$9)),MAX(MIN('Council Entry'!S168,'Council Entry'!S$9),'Council Entry'!S$8),'Council Entry'!S168)),IF(AND(ISNUMBER('Council Entry'!S$8),ISNUMBER('Council Entry'!S$9)),MAX(MIN('Council Entry'!S168,'Council Entry'!S$9),'Council Entry'!S$8),'Council Entry'!S168))))-'Council Entry'!S$5)/('Council Entry'!S$6-'Council Entry'!S$5)),1))),"No data"))</f>
        <v/>
      </c>
      <c r="T168" s="13">
        <f>IF('Council Entry'!T168="","",IFERROR(MAX(0,MIN(10,ROUND(IF('Council Entry'!T$7="Decrease Risk",10-10*((IF('Council Entry'!T$4="Logarithm",LN(0.001+IF(AND(ISNUMBER('Council Entry'!T$8),ISNUMBER('Council Entry'!T$9)),MAX(MIN('Council Entry'!T168,'Council Entry'!T$9),'Council Entry'!T$8),'Council Entry'!T168)),IF('Council Entry'!T$4="Exponential",EXP(IF(AND(ISNUMBER('Council Entry'!T$8),ISNUMBER('Council Entry'!T$9)),MAX(MIN('Council Entry'!T168,'Council Entry'!T$9),'Council Entry'!T$8),'Council Entry'!T168)),IF(AND(ISNUMBER('Council Entry'!T$8),ISNUMBER('Council Entry'!T$9)),MAX(MIN('Council Entry'!T168,'Council Entry'!T$9),'Council Entry'!T$8),'Council Entry'!T168))))-'Council Entry'!T$5)/('Council Entry'!T$6-'Council Entry'!T$5),10*((IF('Council Entry'!T$4="Logarithm",LN(0.001+IF(AND(ISNUMBER('Council Entry'!T$8),ISNUMBER('Council Entry'!T$9)),MAX(MIN('Council Entry'!T168,'Council Entry'!T$9),'Council Entry'!T$8),'Council Entry'!T168)),IF('Council Entry'!T$4="Exponential",EXP(IF(AND(ISNUMBER('Council Entry'!T$8),ISNUMBER('Council Entry'!T$9)),MAX(MIN('Council Entry'!T168,'Council Entry'!T$9),'Council Entry'!T$8),'Council Entry'!T168)),IF(AND(ISNUMBER('Council Entry'!T$8),ISNUMBER('Council Entry'!T$9)),MAX(MIN('Council Entry'!T168,'Council Entry'!T$9),'Council Entry'!T$8),'Council Entry'!T168))))-'Council Entry'!T$5)/('Council Entry'!T$6-'Council Entry'!T$5)),1))),"No data"))</f>
        <v/>
      </c>
      <c r="U168" s="13">
        <f>IF('Council Entry'!U168="","",IFERROR(MAX(0,MIN(10,ROUND(IF('Council Entry'!U$7="Decrease Risk",10-10*((IF('Council Entry'!U$4="Logarithm",LN(0.001+IF(AND(ISNUMBER('Council Entry'!U$8),ISNUMBER('Council Entry'!U$9)),MAX(MIN('Council Entry'!U168,'Council Entry'!U$9),'Council Entry'!U$8),'Council Entry'!U168)),IF('Council Entry'!U$4="Exponential",EXP(IF(AND(ISNUMBER('Council Entry'!U$8),ISNUMBER('Council Entry'!U$9)),MAX(MIN('Council Entry'!U168,'Council Entry'!U$9),'Council Entry'!U$8),'Council Entry'!U168)),IF(AND(ISNUMBER('Council Entry'!U$8),ISNUMBER('Council Entry'!U$9)),MAX(MIN('Council Entry'!U168,'Council Entry'!U$9),'Council Entry'!U$8),'Council Entry'!U168))))-'Council Entry'!U$5)/('Council Entry'!U$6-'Council Entry'!U$5),10*((IF('Council Entry'!U$4="Logarithm",LN(0.001+IF(AND(ISNUMBER('Council Entry'!U$8),ISNUMBER('Council Entry'!U$9)),MAX(MIN('Council Entry'!U168,'Council Entry'!U$9),'Council Entry'!U$8),'Council Entry'!U168)),IF('Council Entry'!U$4="Exponential",EXP(IF(AND(ISNUMBER('Council Entry'!U$8),ISNUMBER('Council Entry'!U$9)),MAX(MIN('Council Entry'!U168,'Council Entry'!U$9),'Council Entry'!U$8),'Council Entry'!U168)),IF(AND(ISNUMBER('Council Entry'!U$8),ISNUMBER('Council Entry'!U$9)),MAX(MIN('Council Entry'!U168,'Council Entry'!U$9),'Council Entry'!U$8),'Council Entry'!U168))))-'Council Entry'!U$5)/('Council Entry'!U$6-'Council Entry'!U$5)),1))),"No data"))</f>
        <v/>
      </c>
      <c r="V168" s="13">
        <f>IF('Council Entry'!V168="","",IFERROR(MAX(0,MIN(10,ROUND(IF('Council Entry'!V$7="Decrease Risk",10-10*((IF('Council Entry'!V$4="Logarithm",LN(0.001+IF(AND(ISNUMBER('Council Entry'!V$8),ISNUMBER('Council Entry'!V$9)),MAX(MIN('Council Entry'!V168,'Council Entry'!V$9),'Council Entry'!V$8),'Council Entry'!V168)),IF('Council Entry'!V$4="Exponential",EXP(IF(AND(ISNUMBER('Council Entry'!V$8),ISNUMBER('Council Entry'!V$9)),MAX(MIN('Council Entry'!V168,'Council Entry'!V$9),'Council Entry'!V$8),'Council Entry'!V168)),IF(AND(ISNUMBER('Council Entry'!V$8),ISNUMBER('Council Entry'!V$9)),MAX(MIN('Council Entry'!V168,'Council Entry'!V$9),'Council Entry'!V$8),'Council Entry'!V168))))-'Council Entry'!V$5)/('Council Entry'!V$6-'Council Entry'!V$5),10*((IF('Council Entry'!V$4="Logarithm",LN(0.001+IF(AND(ISNUMBER('Council Entry'!V$8),ISNUMBER('Council Entry'!V$9)),MAX(MIN('Council Entry'!V168,'Council Entry'!V$9),'Council Entry'!V$8),'Council Entry'!V168)),IF('Council Entry'!V$4="Exponential",EXP(IF(AND(ISNUMBER('Council Entry'!V$8),ISNUMBER('Council Entry'!V$9)),MAX(MIN('Council Entry'!V168,'Council Entry'!V$9),'Council Entry'!V$8),'Council Entry'!V168)),IF(AND(ISNUMBER('Council Entry'!V$8),ISNUMBER('Council Entry'!V$9)),MAX(MIN('Council Entry'!V168,'Council Entry'!V$9),'Council Entry'!V$8),'Council Entry'!V168))))-'Council Entry'!V$5)/('Council Entry'!V$6-'Council Entry'!V$5)),1))),"No data"))</f>
        <v/>
      </c>
      <c r="W168" s="13">
        <f>IF('Council Entry'!W168="","",IFERROR(MAX(0,MIN(10,ROUND(IF('Council Entry'!W$7="Decrease Risk",10-10*((IF('Council Entry'!W$4="Logarithm",LN(0.001+IF(AND(ISNUMBER('Council Entry'!W$8),ISNUMBER('Council Entry'!W$9)),MAX(MIN('Council Entry'!W168,'Council Entry'!W$9),'Council Entry'!W$8),'Council Entry'!W168)),IF('Council Entry'!W$4="Exponential",EXP(IF(AND(ISNUMBER('Council Entry'!W$8),ISNUMBER('Council Entry'!W$9)),MAX(MIN('Council Entry'!W168,'Council Entry'!W$9),'Council Entry'!W$8),'Council Entry'!W168)),IF(AND(ISNUMBER('Council Entry'!W$8),ISNUMBER('Council Entry'!W$9)),MAX(MIN('Council Entry'!W168,'Council Entry'!W$9),'Council Entry'!W$8),'Council Entry'!W168))))-'Council Entry'!W$5)/('Council Entry'!W$6-'Council Entry'!W$5),10*((IF('Council Entry'!W$4="Logarithm",LN(0.001+IF(AND(ISNUMBER('Council Entry'!W$8),ISNUMBER('Council Entry'!W$9)),MAX(MIN('Council Entry'!W168,'Council Entry'!W$9),'Council Entry'!W$8),'Council Entry'!W168)),IF('Council Entry'!W$4="Exponential",EXP(IF(AND(ISNUMBER('Council Entry'!W$8),ISNUMBER('Council Entry'!W$9)),MAX(MIN('Council Entry'!W168,'Council Entry'!W$9),'Council Entry'!W$8),'Council Entry'!W168)),IF(AND(ISNUMBER('Council Entry'!W$8),ISNUMBER('Council Entry'!W$9)),MAX(MIN('Council Entry'!W168,'Council Entry'!W$9),'Council Entry'!W$8),'Council Entry'!W168))))-'Council Entry'!W$5)/('Council Entry'!W$6-'Council Entry'!W$5)),1))),"No data"))</f>
        <v/>
      </c>
      <c r="X168" s="13">
        <f>IF('Council Entry'!X168="","",IFERROR(MAX(0,MIN(10,ROUND(IF('Council Entry'!X$7="Decrease Risk",10-10*((IF('Council Entry'!X$4="Logarithm",LN(0.001+IF(AND(ISNUMBER('Council Entry'!X$8),ISNUMBER('Council Entry'!X$9)),MAX(MIN('Council Entry'!X168,'Council Entry'!X$9),'Council Entry'!X$8),'Council Entry'!X168)),IF('Council Entry'!X$4="Exponential",EXP(IF(AND(ISNUMBER('Council Entry'!X$8),ISNUMBER('Council Entry'!X$9)),MAX(MIN('Council Entry'!X168,'Council Entry'!X$9),'Council Entry'!X$8),'Council Entry'!X168)),IF(AND(ISNUMBER('Council Entry'!X$8),ISNUMBER('Council Entry'!X$9)),MAX(MIN('Council Entry'!X168,'Council Entry'!X$9),'Council Entry'!X$8),'Council Entry'!X168))))-'Council Entry'!X$5)/('Council Entry'!X$6-'Council Entry'!X$5),10*((IF('Council Entry'!X$4="Logarithm",LN(0.001+IF(AND(ISNUMBER('Council Entry'!X$8),ISNUMBER('Council Entry'!X$9)),MAX(MIN('Council Entry'!X168,'Council Entry'!X$9),'Council Entry'!X$8),'Council Entry'!X168)),IF('Council Entry'!X$4="Exponential",EXP(IF(AND(ISNUMBER('Council Entry'!X$8),ISNUMBER('Council Entry'!X$9)),MAX(MIN('Council Entry'!X168,'Council Entry'!X$9),'Council Entry'!X$8),'Council Entry'!X168)),IF(AND(ISNUMBER('Council Entry'!X$8),ISNUMBER('Council Entry'!X$9)),MAX(MIN('Council Entry'!X168,'Council Entry'!X$9),'Council Entry'!X$8),'Council Entry'!X168))))-'Council Entry'!X$5)/('Council Entry'!X$6-'Council Entry'!X$5)),1))),"No data"))</f>
        <v/>
      </c>
      <c r="Y168" s="13">
        <f>IF('Council Entry'!Y168="","",IFERROR(MAX(0,MIN(10,ROUND(IF('Council Entry'!Y$7="Decrease Risk",10-10*((IF('Council Entry'!Y$4="Logarithm",LN(0.001+IF(AND(ISNUMBER('Council Entry'!Y$8),ISNUMBER('Council Entry'!Y$9)),MAX(MIN('Council Entry'!Y168,'Council Entry'!Y$9),'Council Entry'!Y$8),'Council Entry'!Y168)),IF('Council Entry'!Y$4="Exponential",EXP(IF(AND(ISNUMBER('Council Entry'!Y$8),ISNUMBER('Council Entry'!Y$9)),MAX(MIN('Council Entry'!Y168,'Council Entry'!Y$9),'Council Entry'!Y$8),'Council Entry'!Y168)),IF(AND(ISNUMBER('Council Entry'!Y$8),ISNUMBER('Council Entry'!Y$9)),MAX(MIN('Council Entry'!Y168,'Council Entry'!Y$9),'Council Entry'!Y$8),'Council Entry'!Y168))))-'Council Entry'!Y$5)/('Council Entry'!Y$6-'Council Entry'!Y$5),10*((IF('Council Entry'!Y$4="Logarithm",LN(0.001+IF(AND(ISNUMBER('Council Entry'!Y$8),ISNUMBER('Council Entry'!Y$9)),MAX(MIN('Council Entry'!Y168,'Council Entry'!Y$9),'Council Entry'!Y$8),'Council Entry'!Y168)),IF('Council Entry'!Y$4="Exponential",EXP(IF(AND(ISNUMBER('Council Entry'!Y$8),ISNUMBER('Council Entry'!Y$9)),MAX(MIN('Council Entry'!Y168,'Council Entry'!Y$9),'Council Entry'!Y$8),'Council Entry'!Y168)),IF(AND(ISNUMBER('Council Entry'!Y$8),ISNUMBER('Council Entry'!Y$9)),MAX(MIN('Council Entry'!Y168,'Council Entry'!Y$9),'Council Entry'!Y$8),'Council Entry'!Y168))))-'Council Entry'!Y$5)/('Council Entry'!Y$6-'Council Entry'!Y$5)),1))),"No data"))</f>
        <v/>
      </c>
      <c r="Z168" s="13">
        <f>IF('Council Entry'!Z168="","",IFERROR(MAX(0,MIN(10,ROUND(IF('Council Entry'!Z$7="Decrease Risk",10-10*((IF('Council Entry'!Z$4="Logarithm",LN(0.001+IF(AND(ISNUMBER('Council Entry'!Z$8),ISNUMBER('Council Entry'!Z$9)),MAX(MIN('Council Entry'!Z168,'Council Entry'!Z$9),'Council Entry'!Z$8),'Council Entry'!Z168)),IF('Council Entry'!Z$4="Exponential",EXP(IF(AND(ISNUMBER('Council Entry'!Z$8),ISNUMBER('Council Entry'!Z$9)),MAX(MIN('Council Entry'!Z168,'Council Entry'!Z$9),'Council Entry'!Z$8),'Council Entry'!Z168)),IF(AND(ISNUMBER('Council Entry'!Z$8),ISNUMBER('Council Entry'!Z$9)),MAX(MIN('Council Entry'!Z168,'Council Entry'!Z$9),'Council Entry'!Z$8),'Council Entry'!Z168))))-'Council Entry'!Z$5)/('Council Entry'!Z$6-'Council Entry'!Z$5),10*((IF('Council Entry'!Z$4="Logarithm",LN(0.001+IF(AND(ISNUMBER('Council Entry'!Z$8),ISNUMBER('Council Entry'!Z$9)),MAX(MIN('Council Entry'!Z168,'Council Entry'!Z$9),'Council Entry'!Z$8),'Council Entry'!Z168)),IF('Council Entry'!Z$4="Exponential",EXP(IF(AND(ISNUMBER('Council Entry'!Z$8),ISNUMBER('Council Entry'!Z$9)),MAX(MIN('Council Entry'!Z168,'Council Entry'!Z$9),'Council Entry'!Z$8),'Council Entry'!Z168)),IF(AND(ISNUMBER('Council Entry'!Z$8),ISNUMBER('Council Entry'!Z$9)),MAX(MIN('Council Entry'!Z168,'Council Entry'!Z$9),'Council Entry'!Z$8),'Council Entry'!Z168))))-'Council Entry'!Z$5)/('Council Entry'!Z$6-'Council Entry'!Z$5)),1))),"No data"))</f>
        <v/>
      </c>
      <c r="AA168" s="13">
        <f>IF('Council Entry'!AA168="","",IFERROR(MAX(0,MIN(10,ROUND(IF('Council Entry'!AA$7="Decrease Risk",10-10*((IF('Council Entry'!AA$4="Logarithm",LN(0.001+IF(AND(ISNUMBER('Council Entry'!AA$8),ISNUMBER('Council Entry'!AA$9)),MAX(MIN('Council Entry'!AA168,'Council Entry'!AA$9),'Council Entry'!AA$8),'Council Entry'!AA168)),IF('Council Entry'!AA$4="Exponential",EXP(IF(AND(ISNUMBER('Council Entry'!AA$8),ISNUMBER('Council Entry'!AA$9)),MAX(MIN('Council Entry'!AA168,'Council Entry'!AA$9),'Council Entry'!AA$8),'Council Entry'!AA168)),IF(AND(ISNUMBER('Council Entry'!AA$8),ISNUMBER('Council Entry'!AA$9)),MAX(MIN('Council Entry'!AA168,'Council Entry'!AA$9),'Council Entry'!AA$8),'Council Entry'!AA168))))-'Council Entry'!AA$5)/('Council Entry'!AA$6-'Council Entry'!AA$5),10*((IF('Council Entry'!AA$4="Logarithm",LN(0.001+IF(AND(ISNUMBER('Council Entry'!AA$8),ISNUMBER('Council Entry'!AA$9)),MAX(MIN('Council Entry'!AA168,'Council Entry'!AA$9),'Council Entry'!AA$8),'Council Entry'!AA168)),IF('Council Entry'!AA$4="Exponential",EXP(IF(AND(ISNUMBER('Council Entry'!AA$8),ISNUMBER('Council Entry'!AA$9)),MAX(MIN('Council Entry'!AA168,'Council Entry'!AA$9),'Council Entry'!AA$8),'Council Entry'!AA168)),IF(AND(ISNUMBER('Council Entry'!AA$8),ISNUMBER('Council Entry'!AA$9)),MAX(MIN('Council Entry'!AA168,'Council Entry'!AA$9),'Council Entry'!AA$8),'Council Entry'!AA168))))-'Council Entry'!AA$5)/('Council Entry'!AA$6-'Council Entry'!AA$5)),1))),"No data"))</f>
        <v/>
      </c>
      <c r="AB168" s="13">
        <f>IF('Council Entry'!AB168="","",IFERROR(MAX(0,MIN(10,ROUND(IF('Council Entry'!AB$7="Decrease Risk",10-10*((IF('Council Entry'!AB$4="Logarithm",LN(0.001+IF(AND(ISNUMBER('Council Entry'!AB$8),ISNUMBER('Council Entry'!AB$9)),MAX(MIN('Council Entry'!AB168,'Council Entry'!AB$9),'Council Entry'!AB$8),'Council Entry'!AB168)),IF('Council Entry'!AB$4="Exponential",EXP(IF(AND(ISNUMBER('Council Entry'!AB$8),ISNUMBER('Council Entry'!AB$9)),MAX(MIN('Council Entry'!AB168,'Council Entry'!AB$9),'Council Entry'!AB$8),'Council Entry'!AB168)),IF(AND(ISNUMBER('Council Entry'!AB$8),ISNUMBER('Council Entry'!AB$9)),MAX(MIN('Council Entry'!AB168,'Council Entry'!AB$9),'Council Entry'!AB$8),'Council Entry'!AB168))))-'Council Entry'!AB$5)/('Council Entry'!AB$6-'Council Entry'!AB$5),10*((IF('Council Entry'!AB$4="Logarithm",LN(0.001+IF(AND(ISNUMBER('Council Entry'!AB$8),ISNUMBER('Council Entry'!AB$9)),MAX(MIN('Council Entry'!AB168,'Council Entry'!AB$9),'Council Entry'!AB$8),'Council Entry'!AB168)),IF('Council Entry'!AB$4="Exponential",EXP(IF(AND(ISNUMBER('Council Entry'!AB$8),ISNUMBER('Council Entry'!AB$9)),MAX(MIN('Council Entry'!AB168,'Council Entry'!AB$9),'Council Entry'!AB$8),'Council Entry'!AB168)),IF(AND(ISNUMBER('Council Entry'!AB$8),ISNUMBER('Council Entry'!AB$9)),MAX(MIN('Council Entry'!AB168,'Council Entry'!AB$9),'Council Entry'!AB$8),'Council Entry'!AB168))))-'Council Entry'!AB$5)/('Council Entry'!AB$6-'Council Entry'!AB$5)),1))),"No data"))</f>
        <v/>
      </c>
      <c r="AC168" s="13">
        <f>IF('Council Entry'!AC168="","",IFERROR(MAX(0,MIN(10,ROUND(IF('Council Entry'!AC$7="Decrease Risk",10-10*((IF('Council Entry'!AC$4="Logarithm",LN(0.001+IF(AND(ISNUMBER('Council Entry'!AC$8),ISNUMBER('Council Entry'!AC$9)),MAX(MIN('Council Entry'!AC168,'Council Entry'!AC$9),'Council Entry'!AC$8),'Council Entry'!AC168)),IF('Council Entry'!AC$4="Exponential",EXP(IF(AND(ISNUMBER('Council Entry'!AC$8),ISNUMBER('Council Entry'!AC$9)),MAX(MIN('Council Entry'!AC168,'Council Entry'!AC$9),'Council Entry'!AC$8),'Council Entry'!AC168)),IF(AND(ISNUMBER('Council Entry'!AC$8),ISNUMBER('Council Entry'!AC$9)),MAX(MIN('Council Entry'!AC168,'Council Entry'!AC$9),'Council Entry'!AC$8),'Council Entry'!AC168))))-'Council Entry'!AC$5)/('Council Entry'!AC$6-'Council Entry'!AC$5),10*((IF('Council Entry'!AC$4="Logarithm",LN(0.001+IF(AND(ISNUMBER('Council Entry'!AC$8),ISNUMBER('Council Entry'!AC$9)),MAX(MIN('Council Entry'!AC168,'Council Entry'!AC$9),'Council Entry'!AC$8),'Council Entry'!AC168)),IF('Council Entry'!AC$4="Exponential",EXP(IF(AND(ISNUMBER('Council Entry'!AC$8),ISNUMBER('Council Entry'!AC$9)),MAX(MIN('Council Entry'!AC168,'Council Entry'!AC$9),'Council Entry'!AC$8),'Council Entry'!AC168)),IF(AND(ISNUMBER('Council Entry'!AC$8),ISNUMBER('Council Entry'!AC$9)),MAX(MIN('Council Entry'!AC168,'Council Entry'!AC$9),'Council Entry'!AC$8),'Council Entry'!AC168))))-'Council Entry'!AC$5)/('Council Entry'!AC$6-'Council Entry'!AC$5)),1))),"No data"))</f>
        <v/>
      </c>
      <c r="AD168" s="13">
        <f>IF('Council Entry'!AD168="","",IFERROR(MAX(0,MIN(10,ROUND(IF('Council Entry'!AD$7="Decrease Risk",10-10*((IF('Council Entry'!AD$4="Logarithm",LN(0.001+IF(AND(ISNUMBER('Council Entry'!AD$8),ISNUMBER('Council Entry'!AD$9)),MAX(MIN('Council Entry'!AD168,'Council Entry'!AD$9),'Council Entry'!AD$8),'Council Entry'!AD168)),IF('Council Entry'!AD$4="Exponential",EXP(IF(AND(ISNUMBER('Council Entry'!AD$8),ISNUMBER('Council Entry'!AD$9)),MAX(MIN('Council Entry'!AD168,'Council Entry'!AD$9),'Council Entry'!AD$8),'Council Entry'!AD168)),IF(AND(ISNUMBER('Council Entry'!AD$8),ISNUMBER('Council Entry'!AD$9)),MAX(MIN('Council Entry'!AD168,'Council Entry'!AD$9),'Council Entry'!AD$8),'Council Entry'!AD168))))-'Council Entry'!AD$5)/('Council Entry'!AD$6-'Council Entry'!AD$5),10*((IF('Council Entry'!AD$4="Logarithm",LN(0.001+IF(AND(ISNUMBER('Council Entry'!AD$8),ISNUMBER('Council Entry'!AD$9)),MAX(MIN('Council Entry'!AD168,'Council Entry'!AD$9),'Council Entry'!AD$8),'Council Entry'!AD168)),IF('Council Entry'!AD$4="Exponential",EXP(IF(AND(ISNUMBER('Council Entry'!AD$8),ISNUMBER('Council Entry'!AD$9)),MAX(MIN('Council Entry'!AD168,'Council Entry'!AD$9),'Council Entry'!AD$8),'Council Entry'!AD168)),IF(AND(ISNUMBER('Council Entry'!AD$8),ISNUMBER('Council Entry'!AD$9)),MAX(MIN('Council Entry'!AD168,'Council Entry'!AD$9),'Council Entry'!AD$8),'Council Entry'!AD168))))-'Council Entry'!AD$5)/('Council Entry'!AD$6-'Council Entry'!AD$5)),1))),"No data"))</f>
        <v/>
      </c>
      <c r="AE168" s="13">
        <f>IF('Council Entry'!AE168="","",IFERROR(MAX(0,MIN(10,ROUND(IF('Council Entry'!AE$7="Decrease Risk",10-10*((IF('Council Entry'!AE$4="Logarithm",LN(0.001+IF(AND(ISNUMBER('Council Entry'!AE$8),ISNUMBER('Council Entry'!AE$9)),MAX(MIN('Council Entry'!AE168,'Council Entry'!AE$9),'Council Entry'!AE$8),'Council Entry'!AE168)),IF('Council Entry'!AE$4="Exponential",EXP(IF(AND(ISNUMBER('Council Entry'!AE$8),ISNUMBER('Council Entry'!AE$9)),MAX(MIN('Council Entry'!AE168,'Council Entry'!AE$9),'Council Entry'!AE$8),'Council Entry'!AE168)),IF(AND(ISNUMBER('Council Entry'!AE$8),ISNUMBER('Council Entry'!AE$9)),MAX(MIN('Council Entry'!AE168,'Council Entry'!AE$9),'Council Entry'!AE$8),'Council Entry'!AE168))))-'Council Entry'!AE$5)/('Council Entry'!AE$6-'Council Entry'!AE$5),10*((IF('Council Entry'!AE$4="Logarithm",LN(0.001+IF(AND(ISNUMBER('Council Entry'!AE$8),ISNUMBER('Council Entry'!AE$9)),MAX(MIN('Council Entry'!AE168,'Council Entry'!AE$9),'Council Entry'!AE$8),'Council Entry'!AE168)),IF('Council Entry'!AE$4="Exponential",EXP(IF(AND(ISNUMBER('Council Entry'!AE$8),ISNUMBER('Council Entry'!AE$9)),MAX(MIN('Council Entry'!AE168,'Council Entry'!AE$9),'Council Entry'!AE$8),'Council Entry'!AE168)),IF(AND(ISNUMBER('Council Entry'!AE$8),ISNUMBER('Council Entry'!AE$9)),MAX(MIN('Council Entry'!AE168,'Council Entry'!AE$9),'Council Entry'!AE$8),'Council Entry'!AE168))))-'Council Entry'!AE$5)/('Council Entry'!AE$6-'Council Entry'!AE$5)),1))),"No data"))</f>
        <v/>
      </c>
      <c r="AF168" s="13">
        <f>IF('Council Entry'!AF168="","",IFERROR(MAX(0,MIN(10,ROUND(IF('Council Entry'!AF$7="Decrease Risk",10-10*((IF('Council Entry'!AF$4="Logarithm",LN(0.001+IF(AND(ISNUMBER('Council Entry'!AF$8),ISNUMBER('Council Entry'!AF$9)),MAX(MIN('Council Entry'!AF168,'Council Entry'!AF$9),'Council Entry'!AF$8),'Council Entry'!AF168)),IF('Council Entry'!AF$4="Exponential",EXP(IF(AND(ISNUMBER('Council Entry'!AF$8),ISNUMBER('Council Entry'!AF$9)),MAX(MIN('Council Entry'!AF168,'Council Entry'!AF$9),'Council Entry'!AF$8),'Council Entry'!AF168)),IF(AND(ISNUMBER('Council Entry'!AF$8),ISNUMBER('Council Entry'!AF$9)),MAX(MIN('Council Entry'!AF168,'Council Entry'!AF$9),'Council Entry'!AF$8),'Council Entry'!AF168))))-'Council Entry'!AF$5)/('Council Entry'!AF$6-'Council Entry'!AF$5),10*((IF('Council Entry'!AF$4="Logarithm",LN(0.001+IF(AND(ISNUMBER('Council Entry'!AF$8),ISNUMBER('Council Entry'!AF$9)),MAX(MIN('Council Entry'!AF168,'Council Entry'!AF$9),'Council Entry'!AF$8),'Council Entry'!AF168)),IF('Council Entry'!AF$4="Exponential",EXP(IF(AND(ISNUMBER('Council Entry'!AF$8),ISNUMBER('Council Entry'!AF$9)),MAX(MIN('Council Entry'!AF168,'Council Entry'!AF$9),'Council Entry'!AF$8),'Council Entry'!AF168)),IF(AND(ISNUMBER('Council Entry'!AF$8),ISNUMBER('Council Entry'!AF$9)),MAX(MIN('Council Entry'!AF168,'Council Entry'!AF$9),'Council Entry'!AF$8),'Council Entry'!AF168))))-'Council Entry'!AF$5)/('Council Entry'!AF$6-'Council Entry'!AF$5)),1))),"No data"))</f>
        <v/>
      </c>
      <c r="AG168" s="13">
        <f>IF('Council Entry'!AG168="","",IFERROR(MAX(0,MIN(10,ROUND(IF('Council Entry'!AG$7="Decrease Risk",10-10*((IF('Council Entry'!AG$4="Logarithm",LN(0.001+IF(AND(ISNUMBER('Council Entry'!AG$8),ISNUMBER('Council Entry'!AG$9)),MAX(MIN('Council Entry'!AG168,'Council Entry'!AG$9),'Council Entry'!AG$8),'Council Entry'!AG168)),IF('Council Entry'!AG$4="Exponential",EXP(IF(AND(ISNUMBER('Council Entry'!AG$8),ISNUMBER('Council Entry'!AG$9)),MAX(MIN('Council Entry'!AG168,'Council Entry'!AG$9),'Council Entry'!AG$8),'Council Entry'!AG168)),IF(AND(ISNUMBER('Council Entry'!AG$8),ISNUMBER('Council Entry'!AG$9)),MAX(MIN('Council Entry'!AG168,'Council Entry'!AG$9),'Council Entry'!AG$8),'Council Entry'!AG168))))-'Council Entry'!AG$5)/('Council Entry'!AG$6-'Council Entry'!AG$5),10*((IF('Council Entry'!AG$4="Logarithm",LN(0.001+IF(AND(ISNUMBER('Council Entry'!AG$8),ISNUMBER('Council Entry'!AG$9)),MAX(MIN('Council Entry'!AG168,'Council Entry'!AG$9),'Council Entry'!AG$8),'Council Entry'!AG168)),IF('Council Entry'!AG$4="Exponential",EXP(IF(AND(ISNUMBER('Council Entry'!AG$8),ISNUMBER('Council Entry'!AG$9)),MAX(MIN('Council Entry'!AG168,'Council Entry'!AG$9),'Council Entry'!AG$8),'Council Entry'!AG168)),IF(AND(ISNUMBER('Council Entry'!AG$8),ISNUMBER('Council Entry'!AG$9)),MAX(MIN('Council Entry'!AG168,'Council Entry'!AG$9),'Council Entry'!AG$8),'Council Entry'!AG168))))-'Council Entry'!AG$5)/('Council Entry'!AG$6-'Council Entry'!AG$5)),1))),"No data"))</f>
        <v/>
      </c>
      <c r="AH168" s="13">
        <f>IF('Council Entry'!AH168="","",IFERROR(MAX(0,MIN(10,ROUND(IF('Council Entry'!AH$7="Decrease Risk",10-10*((IF('Council Entry'!AH$4="Logarithm",LN(0.001+IF(AND(ISNUMBER('Council Entry'!AH$8),ISNUMBER('Council Entry'!AH$9)),MAX(MIN('Council Entry'!AH168,'Council Entry'!AH$9),'Council Entry'!AH$8),'Council Entry'!AH168)),IF('Council Entry'!AH$4="Exponential",EXP(IF(AND(ISNUMBER('Council Entry'!AH$8),ISNUMBER('Council Entry'!AH$9)),MAX(MIN('Council Entry'!AH168,'Council Entry'!AH$9),'Council Entry'!AH$8),'Council Entry'!AH168)),IF(AND(ISNUMBER('Council Entry'!AH$8),ISNUMBER('Council Entry'!AH$9)),MAX(MIN('Council Entry'!AH168,'Council Entry'!AH$9),'Council Entry'!AH$8),'Council Entry'!AH168))))-'Council Entry'!AH$5)/('Council Entry'!AH$6-'Council Entry'!AH$5),10*((IF('Council Entry'!AH$4="Logarithm",LN(0.001+IF(AND(ISNUMBER('Council Entry'!AH$8),ISNUMBER('Council Entry'!AH$9)),MAX(MIN('Council Entry'!AH168,'Council Entry'!AH$9),'Council Entry'!AH$8),'Council Entry'!AH168)),IF('Council Entry'!AH$4="Exponential",EXP(IF(AND(ISNUMBER('Council Entry'!AH$8),ISNUMBER('Council Entry'!AH$9)),MAX(MIN('Council Entry'!AH168,'Council Entry'!AH$9),'Council Entry'!AH$8),'Council Entry'!AH168)),IF(AND(ISNUMBER('Council Entry'!AH$8),ISNUMBER('Council Entry'!AH$9)),MAX(MIN('Council Entry'!AH168,'Council Entry'!AH$9),'Council Entry'!AH$8),'Council Entry'!AH168))))-'Council Entry'!AH$5)/('Council Entry'!AH$6-'Council Entry'!AH$5)),1))),"No data"))</f>
        <v/>
      </c>
      <c r="AI168" s="13">
        <f>IF('Council Entry'!AI168="","",IFERROR(MAX(0,MIN(10,ROUND(IF('Council Entry'!AI$7="Decrease Risk",10-10*((IF('Council Entry'!AI$4="Logarithm",LN(0.001+IF(AND(ISNUMBER('Council Entry'!AI$8),ISNUMBER('Council Entry'!AI$9)),MAX(MIN('Council Entry'!AI168,'Council Entry'!AI$9),'Council Entry'!AI$8),'Council Entry'!AI168)),IF('Council Entry'!AI$4="Exponential",EXP(IF(AND(ISNUMBER('Council Entry'!AI$8),ISNUMBER('Council Entry'!AI$9)),MAX(MIN('Council Entry'!AI168,'Council Entry'!AI$9),'Council Entry'!AI$8),'Council Entry'!AI168)),IF(AND(ISNUMBER('Council Entry'!AI$8),ISNUMBER('Council Entry'!AI$9)),MAX(MIN('Council Entry'!AI168,'Council Entry'!AI$9),'Council Entry'!AI$8),'Council Entry'!AI168))))-'Council Entry'!AI$5)/('Council Entry'!AI$6-'Council Entry'!AI$5),10*((IF('Council Entry'!AI$4="Logarithm",LN(0.001+IF(AND(ISNUMBER('Council Entry'!AI$8),ISNUMBER('Council Entry'!AI$9)),MAX(MIN('Council Entry'!AI168,'Council Entry'!AI$9),'Council Entry'!AI$8),'Council Entry'!AI168)),IF('Council Entry'!AI$4="Exponential",EXP(IF(AND(ISNUMBER('Council Entry'!AI$8),ISNUMBER('Council Entry'!AI$9)),MAX(MIN('Council Entry'!AI168,'Council Entry'!AI$9),'Council Entry'!AI$8),'Council Entry'!AI168)),IF(AND(ISNUMBER('Council Entry'!AI$8),ISNUMBER('Council Entry'!AI$9)),MAX(MIN('Council Entry'!AI168,'Council Entry'!AI$9),'Council Entry'!AI$8),'Council Entry'!AI168))))-'Council Entry'!AI$5)/('Council Entry'!AI$6-'Council Entry'!AI$5)),1))),"No data"))</f>
        <v/>
      </c>
      <c r="AJ168" s="13">
        <f>IF('Council Entry'!AJ168="","",IFERROR(MAX(0,MIN(10,ROUND(IF('Council Entry'!AJ$7="Decrease Risk",10-10*((IF('Council Entry'!AJ$4="Logarithm",LN(0.001+IF(AND(ISNUMBER('Council Entry'!AJ$8),ISNUMBER('Council Entry'!AJ$9)),MAX(MIN('Council Entry'!AJ168,'Council Entry'!AJ$9),'Council Entry'!AJ$8),'Council Entry'!AJ168)),IF('Council Entry'!AJ$4="Exponential",EXP(IF(AND(ISNUMBER('Council Entry'!AJ$8),ISNUMBER('Council Entry'!AJ$9)),MAX(MIN('Council Entry'!AJ168,'Council Entry'!AJ$9),'Council Entry'!AJ$8),'Council Entry'!AJ168)),IF(AND(ISNUMBER('Council Entry'!AJ$8),ISNUMBER('Council Entry'!AJ$9)),MAX(MIN('Council Entry'!AJ168,'Council Entry'!AJ$9),'Council Entry'!AJ$8),'Council Entry'!AJ168))))-'Council Entry'!AJ$5)/('Council Entry'!AJ$6-'Council Entry'!AJ$5),10*((IF('Council Entry'!AJ$4="Logarithm",LN(0.001+IF(AND(ISNUMBER('Council Entry'!AJ$8),ISNUMBER('Council Entry'!AJ$9)),MAX(MIN('Council Entry'!AJ168,'Council Entry'!AJ$9),'Council Entry'!AJ$8),'Council Entry'!AJ168)),IF('Council Entry'!AJ$4="Exponential",EXP(IF(AND(ISNUMBER('Council Entry'!AJ$8),ISNUMBER('Council Entry'!AJ$9)),MAX(MIN('Council Entry'!AJ168,'Council Entry'!AJ$9),'Council Entry'!AJ$8),'Council Entry'!AJ168)),IF(AND(ISNUMBER('Council Entry'!AJ$8),ISNUMBER('Council Entry'!AJ$9)),MAX(MIN('Council Entry'!AJ168,'Council Entry'!AJ$9),'Council Entry'!AJ$8),'Council Entry'!AJ168))))-'Council Entry'!AJ$5)/('Council Entry'!AJ$6-'Council Entry'!AJ$5)),1))),"No data"))</f>
        <v/>
      </c>
      <c r="AK168" s="13">
        <f>IF('Council Entry'!AK168="","",IFERROR(MAX(0,MIN(10,ROUND(IF('Council Entry'!AK$7="Decrease Risk",10-10*((IF('Council Entry'!AK$4="Logarithm",LN(0.001+IF(AND(ISNUMBER('Council Entry'!AK$8),ISNUMBER('Council Entry'!AK$9)),MAX(MIN('Council Entry'!AK168,'Council Entry'!AK$9),'Council Entry'!AK$8),'Council Entry'!AK168)),IF('Council Entry'!AK$4="Exponential",EXP(IF(AND(ISNUMBER('Council Entry'!AK$8),ISNUMBER('Council Entry'!AK$9)),MAX(MIN('Council Entry'!AK168,'Council Entry'!AK$9),'Council Entry'!AK$8),'Council Entry'!AK168)),IF(AND(ISNUMBER('Council Entry'!AK$8),ISNUMBER('Council Entry'!AK$9)),MAX(MIN('Council Entry'!AK168,'Council Entry'!AK$9),'Council Entry'!AK$8),'Council Entry'!AK168))))-'Council Entry'!AK$5)/('Council Entry'!AK$6-'Council Entry'!AK$5),10*((IF('Council Entry'!AK$4="Logarithm",LN(0.001+IF(AND(ISNUMBER('Council Entry'!AK$8),ISNUMBER('Council Entry'!AK$9)),MAX(MIN('Council Entry'!AK168,'Council Entry'!AK$9),'Council Entry'!AK$8),'Council Entry'!AK168)),IF('Council Entry'!AK$4="Exponential",EXP(IF(AND(ISNUMBER('Council Entry'!AK$8),ISNUMBER('Council Entry'!AK$9)),MAX(MIN('Council Entry'!AK168,'Council Entry'!AK$9),'Council Entry'!AK$8),'Council Entry'!AK168)),IF(AND(ISNUMBER('Council Entry'!AK$8),ISNUMBER('Council Entry'!AK$9)),MAX(MIN('Council Entry'!AK168,'Council Entry'!AK$9),'Council Entry'!AK$8),'Council Entry'!AK168))))-'Council Entry'!AK$5)/('Council Entry'!AK$6-'Council Entry'!AK$5)),1))),"No data"))</f>
        <v/>
      </c>
      <c r="AL168" s="13">
        <f>IF('Council Entry'!AL168="","",IFERROR(MAX(0,MIN(10,ROUND(IF('Council Entry'!AL$7="Decrease Risk",10-10*((IF('Council Entry'!AL$4="Logarithm",LN(0.001+IF(AND(ISNUMBER('Council Entry'!AL$8),ISNUMBER('Council Entry'!AL$9)),MAX(MIN('Council Entry'!AL168,'Council Entry'!AL$9),'Council Entry'!AL$8),'Council Entry'!AL168)),IF('Council Entry'!AL$4="Exponential",EXP(IF(AND(ISNUMBER('Council Entry'!AL$8),ISNUMBER('Council Entry'!AL$9)),MAX(MIN('Council Entry'!AL168,'Council Entry'!AL$9),'Council Entry'!AL$8),'Council Entry'!AL168)),IF(AND(ISNUMBER('Council Entry'!AL$8),ISNUMBER('Council Entry'!AL$9)),MAX(MIN('Council Entry'!AL168,'Council Entry'!AL$9),'Council Entry'!AL$8),'Council Entry'!AL168))))-'Council Entry'!AL$5)/('Council Entry'!AL$6-'Council Entry'!AL$5),10*((IF('Council Entry'!AL$4="Logarithm",LN(0.001+IF(AND(ISNUMBER('Council Entry'!AL$8),ISNUMBER('Council Entry'!AL$9)),MAX(MIN('Council Entry'!AL168,'Council Entry'!AL$9),'Council Entry'!AL$8),'Council Entry'!AL168)),IF('Council Entry'!AL$4="Exponential",EXP(IF(AND(ISNUMBER('Council Entry'!AL$8),ISNUMBER('Council Entry'!AL$9)),MAX(MIN('Council Entry'!AL168,'Council Entry'!AL$9),'Council Entry'!AL$8),'Council Entry'!AL168)),IF(AND(ISNUMBER('Council Entry'!AL$8),ISNUMBER('Council Entry'!AL$9)),MAX(MIN('Council Entry'!AL168,'Council Entry'!AL$9),'Council Entry'!AL$8),'Council Entry'!AL168))))-'Council Entry'!AL$5)/('Council Entry'!AL$6-'Council Entry'!AL$5)),1))),"No data"))</f>
        <v/>
      </c>
      <c r="AM168" s="13">
        <f>IF('Council Entry'!AM168="","",IFERROR(MAX(0,MIN(10,ROUND(IF('Council Entry'!AM$7="Decrease Risk",10-10*((IF('Council Entry'!AM$4="Logarithm",LN(0.001+IF(AND(ISNUMBER('Council Entry'!AM$8),ISNUMBER('Council Entry'!AM$9)),MAX(MIN('Council Entry'!AM168,'Council Entry'!AM$9),'Council Entry'!AM$8),'Council Entry'!AM168)),IF('Council Entry'!AM$4="Exponential",EXP(IF(AND(ISNUMBER('Council Entry'!AM$8),ISNUMBER('Council Entry'!AM$9)),MAX(MIN('Council Entry'!AM168,'Council Entry'!AM$9),'Council Entry'!AM$8),'Council Entry'!AM168)),IF(AND(ISNUMBER('Council Entry'!AM$8),ISNUMBER('Council Entry'!AM$9)),MAX(MIN('Council Entry'!AM168,'Council Entry'!AM$9),'Council Entry'!AM$8),'Council Entry'!AM168))))-'Council Entry'!AM$5)/('Council Entry'!AM$6-'Council Entry'!AM$5),10*((IF('Council Entry'!AM$4="Logarithm",LN(0.001+IF(AND(ISNUMBER('Council Entry'!AM$8),ISNUMBER('Council Entry'!AM$9)),MAX(MIN('Council Entry'!AM168,'Council Entry'!AM$9),'Council Entry'!AM$8),'Council Entry'!AM168)),IF('Council Entry'!AM$4="Exponential",EXP(IF(AND(ISNUMBER('Council Entry'!AM$8),ISNUMBER('Council Entry'!AM$9)),MAX(MIN('Council Entry'!AM168,'Council Entry'!AM$9),'Council Entry'!AM$8),'Council Entry'!AM168)),IF(AND(ISNUMBER('Council Entry'!AM$8),ISNUMBER('Council Entry'!AM$9)),MAX(MIN('Council Entry'!AM168,'Council Entry'!AM$9),'Council Entry'!AM$8),'Council Entry'!AM168))))-'Council Entry'!AM$5)/('Council Entry'!AM$6-'Council Entry'!AM$5)),1))),"No data"))</f>
        <v/>
      </c>
      <c r="AN168" s="13">
        <f>IF('Council Entry'!AN168="","",IFERROR(MAX(0,MIN(10,ROUND(IF('Council Entry'!AN$7="Decrease Risk",10-10*((IF('Council Entry'!AN$4="Logarithm",LN(0.001+IF(AND(ISNUMBER('Council Entry'!AN$8),ISNUMBER('Council Entry'!AN$9)),MAX(MIN('Council Entry'!AN168,'Council Entry'!AN$9),'Council Entry'!AN$8),'Council Entry'!AN168)),IF('Council Entry'!AN$4="Exponential",EXP(IF(AND(ISNUMBER('Council Entry'!AN$8),ISNUMBER('Council Entry'!AN$9)),MAX(MIN('Council Entry'!AN168,'Council Entry'!AN$9),'Council Entry'!AN$8),'Council Entry'!AN168)),IF(AND(ISNUMBER('Council Entry'!AN$8),ISNUMBER('Council Entry'!AN$9)),MAX(MIN('Council Entry'!AN168,'Council Entry'!AN$9),'Council Entry'!AN$8),'Council Entry'!AN168))))-'Council Entry'!AN$5)/('Council Entry'!AN$6-'Council Entry'!AN$5),10*((IF('Council Entry'!AN$4="Logarithm",LN(0.001+IF(AND(ISNUMBER('Council Entry'!AN$8),ISNUMBER('Council Entry'!AN$9)),MAX(MIN('Council Entry'!AN168,'Council Entry'!AN$9),'Council Entry'!AN$8),'Council Entry'!AN168)),IF('Council Entry'!AN$4="Exponential",EXP(IF(AND(ISNUMBER('Council Entry'!AN$8),ISNUMBER('Council Entry'!AN$9)),MAX(MIN('Council Entry'!AN168,'Council Entry'!AN$9),'Council Entry'!AN$8),'Council Entry'!AN168)),IF(AND(ISNUMBER('Council Entry'!AN$8),ISNUMBER('Council Entry'!AN$9)),MAX(MIN('Council Entry'!AN168,'Council Entry'!AN$9),'Council Entry'!AN$8),'Council Entry'!AN168))))-'Council Entry'!AN$5)/('Council Entry'!AN$6-'Council Entry'!AN$5)),1))),"No data"))</f>
        <v/>
      </c>
      <c r="AO168" s="13">
        <f>IF('Council Entry'!AO168="","",IFERROR(MAX(0,MIN(10,ROUND(IF('Council Entry'!AO$7="Decrease Risk",10-10*((IF('Council Entry'!AO$4="Logarithm",LN(0.001+IF(AND(ISNUMBER('Council Entry'!AO$8),ISNUMBER('Council Entry'!AO$9)),MAX(MIN('Council Entry'!AO168,'Council Entry'!AO$9),'Council Entry'!AO$8),'Council Entry'!AO168)),IF('Council Entry'!AO$4="Exponential",EXP(IF(AND(ISNUMBER('Council Entry'!AO$8),ISNUMBER('Council Entry'!AO$9)),MAX(MIN('Council Entry'!AO168,'Council Entry'!AO$9),'Council Entry'!AO$8),'Council Entry'!AO168)),IF(AND(ISNUMBER('Council Entry'!AO$8),ISNUMBER('Council Entry'!AO$9)),MAX(MIN('Council Entry'!AO168,'Council Entry'!AO$9),'Council Entry'!AO$8),'Council Entry'!AO168))))-'Council Entry'!AO$5)/('Council Entry'!AO$6-'Council Entry'!AO$5),10*((IF('Council Entry'!AO$4="Logarithm",LN(0.001+IF(AND(ISNUMBER('Council Entry'!AO$8),ISNUMBER('Council Entry'!AO$9)),MAX(MIN('Council Entry'!AO168,'Council Entry'!AO$9),'Council Entry'!AO$8),'Council Entry'!AO168)),IF('Council Entry'!AO$4="Exponential",EXP(IF(AND(ISNUMBER('Council Entry'!AO$8),ISNUMBER('Council Entry'!AO$9)),MAX(MIN('Council Entry'!AO168,'Council Entry'!AO$9),'Council Entry'!AO$8),'Council Entry'!AO168)),IF(AND(ISNUMBER('Council Entry'!AO$8),ISNUMBER('Council Entry'!AO$9)),MAX(MIN('Council Entry'!AO168,'Council Entry'!AO$9),'Council Entry'!AO$8),'Council Entry'!AO168))))-'Council Entry'!AO$5)/('Council Entry'!AO$6-'Council Entry'!AO$5)),1))),"No data"))</f>
        <v/>
      </c>
      <c r="AP168" s="13">
        <f>IF('Council Entry'!AP168="","",IFERROR(MAX(0,MIN(10,ROUND(IF('Council Entry'!AP$7="Decrease Risk",10-10*((IF('Council Entry'!AP$4="Logarithm",LN(0.001+IF(AND(ISNUMBER('Council Entry'!AP$8),ISNUMBER('Council Entry'!AP$9)),MAX(MIN('Council Entry'!AP168,'Council Entry'!AP$9),'Council Entry'!AP$8),'Council Entry'!AP168)),IF('Council Entry'!AP$4="Exponential",EXP(IF(AND(ISNUMBER('Council Entry'!AP$8),ISNUMBER('Council Entry'!AP$9)),MAX(MIN('Council Entry'!AP168,'Council Entry'!AP$9),'Council Entry'!AP$8),'Council Entry'!AP168)),IF(AND(ISNUMBER('Council Entry'!AP$8),ISNUMBER('Council Entry'!AP$9)),MAX(MIN('Council Entry'!AP168,'Council Entry'!AP$9),'Council Entry'!AP$8),'Council Entry'!AP168))))-'Council Entry'!AP$5)/('Council Entry'!AP$6-'Council Entry'!AP$5),10*((IF('Council Entry'!AP$4="Logarithm",LN(0.001+IF(AND(ISNUMBER('Council Entry'!AP$8),ISNUMBER('Council Entry'!AP$9)),MAX(MIN('Council Entry'!AP168,'Council Entry'!AP$9),'Council Entry'!AP$8),'Council Entry'!AP168)),IF('Council Entry'!AP$4="Exponential",EXP(IF(AND(ISNUMBER('Council Entry'!AP$8),ISNUMBER('Council Entry'!AP$9)),MAX(MIN('Council Entry'!AP168,'Council Entry'!AP$9),'Council Entry'!AP$8),'Council Entry'!AP168)),IF(AND(ISNUMBER('Council Entry'!AP$8),ISNUMBER('Council Entry'!AP$9)),MAX(MIN('Council Entry'!AP168,'Council Entry'!AP$9),'Council Entry'!AP$8),'Council Entry'!AP168))))-'Council Entry'!AP$5)/('Council Entry'!AP$6-'Council Entry'!AP$5)),1))),"No data"))</f>
        <v/>
      </c>
      <c r="AQ168" s="13">
        <f>IF('Council Entry'!AQ168="","",IFERROR(MAX(0,MIN(10,ROUND(IF('Council Entry'!AQ$7="Decrease Risk",10-10*((IF('Council Entry'!AQ$4="Logarithm",LN(0.001+IF(AND(ISNUMBER('Council Entry'!AQ$8),ISNUMBER('Council Entry'!AQ$9)),MAX(MIN('Council Entry'!AQ168,'Council Entry'!AQ$9),'Council Entry'!AQ$8),'Council Entry'!AQ168)),IF('Council Entry'!AQ$4="Exponential",EXP(IF(AND(ISNUMBER('Council Entry'!AQ$8),ISNUMBER('Council Entry'!AQ$9)),MAX(MIN('Council Entry'!AQ168,'Council Entry'!AQ$9),'Council Entry'!AQ$8),'Council Entry'!AQ168)),IF(AND(ISNUMBER('Council Entry'!AQ$8),ISNUMBER('Council Entry'!AQ$9)),MAX(MIN('Council Entry'!AQ168,'Council Entry'!AQ$9),'Council Entry'!AQ$8),'Council Entry'!AQ168))))-'Council Entry'!AQ$5)/('Council Entry'!AQ$6-'Council Entry'!AQ$5),10*((IF('Council Entry'!AQ$4="Logarithm",LN(0.001+IF(AND(ISNUMBER('Council Entry'!AQ$8),ISNUMBER('Council Entry'!AQ$9)),MAX(MIN('Council Entry'!AQ168,'Council Entry'!AQ$9),'Council Entry'!AQ$8),'Council Entry'!AQ168)),IF('Council Entry'!AQ$4="Exponential",EXP(IF(AND(ISNUMBER('Council Entry'!AQ$8),ISNUMBER('Council Entry'!AQ$9)),MAX(MIN('Council Entry'!AQ168,'Council Entry'!AQ$9),'Council Entry'!AQ$8),'Council Entry'!AQ168)),IF(AND(ISNUMBER('Council Entry'!AQ$8),ISNUMBER('Council Entry'!AQ$9)),MAX(MIN('Council Entry'!AQ168,'Council Entry'!AQ$9),'Council Entry'!AQ$8),'Council Entry'!AQ168))))-'Council Entry'!AQ$5)/('Council Entry'!AQ$6-'Council Entry'!AQ$5)),1))),"No data"))</f>
        <v/>
      </c>
      <c r="AR168" s="13">
        <f>IF('Council Entry'!AR168="","",IFERROR(MAX(0,MIN(10,ROUND(IF('Council Entry'!AR$7="Decrease Risk",10-10*((IF('Council Entry'!AR$4="Logarithm",LN(0.001+IF(AND(ISNUMBER('Council Entry'!AR$8),ISNUMBER('Council Entry'!AR$9)),MAX(MIN('Council Entry'!AR168,'Council Entry'!AR$9),'Council Entry'!AR$8),'Council Entry'!AR168)),IF('Council Entry'!AR$4="Exponential",EXP(IF(AND(ISNUMBER('Council Entry'!AR$8),ISNUMBER('Council Entry'!AR$9)),MAX(MIN('Council Entry'!AR168,'Council Entry'!AR$9),'Council Entry'!AR$8),'Council Entry'!AR168)),IF(AND(ISNUMBER('Council Entry'!AR$8),ISNUMBER('Council Entry'!AR$9)),MAX(MIN('Council Entry'!AR168,'Council Entry'!AR$9),'Council Entry'!AR$8),'Council Entry'!AR168))))-'Council Entry'!AR$5)/('Council Entry'!AR$6-'Council Entry'!AR$5),10*((IF('Council Entry'!AR$4="Logarithm",LN(0.001+IF(AND(ISNUMBER('Council Entry'!AR$8),ISNUMBER('Council Entry'!AR$9)),MAX(MIN('Council Entry'!AR168,'Council Entry'!AR$9),'Council Entry'!AR$8),'Council Entry'!AR168)),IF('Council Entry'!AR$4="Exponential",EXP(IF(AND(ISNUMBER('Council Entry'!AR$8),ISNUMBER('Council Entry'!AR$9)),MAX(MIN('Council Entry'!AR168,'Council Entry'!AR$9),'Council Entry'!AR$8),'Council Entry'!AR168)),IF(AND(ISNUMBER('Council Entry'!AR$8),ISNUMBER('Council Entry'!AR$9)),MAX(MIN('Council Entry'!AR168,'Council Entry'!AR$9),'Council Entry'!AR$8),'Council Entry'!AR168))))-'Council Entry'!AR$5)/('Council Entry'!AR$6-'Council Entry'!AR$5)),1))),"No data"))</f>
        <v/>
      </c>
      <c r="AS168" s="13">
        <f>IF('Council Entry'!AS168="","",IFERROR(MAX(0,MIN(10,ROUND(IF('Council Entry'!AS$7="Decrease Risk",10-10*((IF('Council Entry'!AS$4="Logarithm",LN(0.001+IF(AND(ISNUMBER('Council Entry'!AS$8),ISNUMBER('Council Entry'!AS$9)),MAX(MIN('Council Entry'!AS168,'Council Entry'!AS$9),'Council Entry'!AS$8),'Council Entry'!AS168)),IF('Council Entry'!AS$4="Exponential",EXP(IF(AND(ISNUMBER('Council Entry'!AS$8),ISNUMBER('Council Entry'!AS$9)),MAX(MIN('Council Entry'!AS168,'Council Entry'!AS$9),'Council Entry'!AS$8),'Council Entry'!AS168)),IF(AND(ISNUMBER('Council Entry'!AS$8),ISNUMBER('Council Entry'!AS$9)),MAX(MIN('Council Entry'!AS168,'Council Entry'!AS$9),'Council Entry'!AS$8),'Council Entry'!AS168))))-'Council Entry'!AS$5)/('Council Entry'!AS$6-'Council Entry'!AS$5),10*((IF('Council Entry'!AS$4="Logarithm",LN(0.001+IF(AND(ISNUMBER('Council Entry'!AS$8),ISNUMBER('Council Entry'!AS$9)),MAX(MIN('Council Entry'!AS168,'Council Entry'!AS$9),'Council Entry'!AS$8),'Council Entry'!AS168)),IF('Council Entry'!AS$4="Exponential",EXP(IF(AND(ISNUMBER('Council Entry'!AS$8),ISNUMBER('Council Entry'!AS$9)),MAX(MIN('Council Entry'!AS168,'Council Entry'!AS$9),'Council Entry'!AS$8),'Council Entry'!AS168)),IF(AND(ISNUMBER('Council Entry'!AS$8),ISNUMBER('Council Entry'!AS$9)),MAX(MIN('Council Entry'!AS168,'Council Entry'!AS$9),'Council Entry'!AS$8),'Council Entry'!AS168))))-'Council Entry'!AS$5)/('Council Entry'!AS$6-'Council Entry'!AS$5)),1))),"No data"))</f>
        <v/>
      </c>
      <c r="AT168" s="13">
        <f>IF('Council Entry'!AT168="","",IFERROR(MAX(0,MIN(10,ROUND(IF('Council Entry'!AT$7="Decrease Risk",10-10*((IF('Council Entry'!AT$4="Logarithm",LN(0.001+IF(AND(ISNUMBER('Council Entry'!AT$8),ISNUMBER('Council Entry'!AT$9)),MAX(MIN('Council Entry'!AT168,'Council Entry'!AT$9),'Council Entry'!AT$8),'Council Entry'!AT168)),IF('Council Entry'!AT$4="Exponential",EXP(IF(AND(ISNUMBER('Council Entry'!AT$8),ISNUMBER('Council Entry'!AT$9)),MAX(MIN('Council Entry'!AT168,'Council Entry'!AT$9),'Council Entry'!AT$8),'Council Entry'!AT168)),IF(AND(ISNUMBER('Council Entry'!AT$8),ISNUMBER('Council Entry'!AT$9)),MAX(MIN('Council Entry'!AT168,'Council Entry'!AT$9),'Council Entry'!AT$8),'Council Entry'!AT168))))-'Council Entry'!AT$5)/('Council Entry'!AT$6-'Council Entry'!AT$5),10*((IF('Council Entry'!AT$4="Logarithm",LN(0.001+IF(AND(ISNUMBER('Council Entry'!AT$8),ISNUMBER('Council Entry'!AT$9)),MAX(MIN('Council Entry'!AT168,'Council Entry'!AT$9),'Council Entry'!AT$8),'Council Entry'!AT168)),IF('Council Entry'!AT$4="Exponential",EXP(IF(AND(ISNUMBER('Council Entry'!AT$8),ISNUMBER('Council Entry'!AT$9)),MAX(MIN('Council Entry'!AT168,'Council Entry'!AT$9),'Council Entry'!AT$8),'Council Entry'!AT168)),IF(AND(ISNUMBER('Council Entry'!AT$8),ISNUMBER('Council Entry'!AT$9)),MAX(MIN('Council Entry'!AT168,'Council Entry'!AT$9),'Council Entry'!AT$8),'Council Entry'!AT168))))-'Council Entry'!AT$5)/('Council Entry'!AT$6-'Council Entry'!AT$5)),1))),"No data"))</f>
        <v/>
      </c>
      <c r="AU168" s="13">
        <f>IF('Council Entry'!AU168="","",IFERROR(MAX(0,MIN(10,ROUND(IF('Council Entry'!AU$7="Decrease Risk",10-10*((IF('Council Entry'!AU$4="Logarithm",LN(0.001+IF(AND(ISNUMBER('Council Entry'!AU$8),ISNUMBER('Council Entry'!AU$9)),MAX(MIN('Council Entry'!AU168,'Council Entry'!AU$9),'Council Entry'!AU$8),'Council Entry'!AU168)),IF('Council Entry'!AU$4="Exponential",EXP(IF(AND(ISNUMBER('Council Entry'!AU$8),ISNUMBER('Council Entry'!AU$9)),MAX(MIN('Council Entry'!AU168,'Council Entry'!AU$9),'Council Entry'!AU$8),'Council Entry'!AU168)),IF(AND(ISNUMBER('Council Entry'!AU$8),ISNUMBER('Council Entry'!AU$9)),MAX(MIN('Council Entry'!AU168,'Council Entry'!AU$9),'Council Entry'!AU$8),'Council Entry'!AU168))))-'Council Entry'!AU$5)/('Council Entry'!AU$6-'Council Entry'!AU$5),10*((IF('Council Entry'!AU$4="Logarithm",LN(0.001+IF(AND(ISNUMBER('Council Entry'!AU$8),ISNUMBER('Council Entry'!AU$9)),MAX(MIN('Council Entry'!AU168,'Council Entry'!AU$9),'Council Entry'!AU$8),'Council Entry'!AU168)),IF('Council Entry'!AU$4="Exponential",EXP(IF(AND(ISNUMBER('Council Entry'!AU$8),ISNUMBER('Council Entry'!AU$9)),MAX(MIN('Council Entry'!AU168,'Council Entry'!AU$9),'Council Entry'!AU$8),'Council Entry'!AU168)),IF(AND(ISNUMBER('Council Entry'!AU$8),ISNUMBER('Council Entry'!AU$9)),MAX(MIN('Council Entry'!AU168,'Council Entry'!AU$9),'Council Entry'!AU$8),'Council Entry'!AU168))))-'Council Entry'!AU$5)/('Council Entry'!AU$6-'Council Entry'!AU$5)),1))),"No data"))</f>
        <v/>
      </c>
      <c r="AV168" s="13">
        <f>IF('Council Entry'!AV168="","",IFERROR(MAX(0,MIN(10,ROUND(IF('Council Entry'!AV$7="Decrease Risk",10-10*((IF('Council Entry'!AV$4="Logarithm",LN(0.001+IF(AND(ISNUMBER('Council Entry'!AV$8),ISNUMBER('Council Entry'!AV$9)),MAX(MIN('Council Entry'!AV168,'Council Entry'!AV$9),'Council Entry'!AV$8),'Council Entry'!AV168)),IF('Council Entry'!AV$4="Exponential",EXP(IF(AND(ISNUMBER('Council Entry'!AV$8),ISNUMBER('Council Entry'!AV$9)),MAX(MIN('Council Entry'!AV168,'Council Entry'!AV$9),'Council Entry'!AV$8),'Council Entry'!AV168)),IF(AND(ISNUMBER('Council Entry'!AV$8),ISNUMBER('Council Entry'!AV$9)),MAX(MIN('Council Entry'!AV168,'Council Entry'!AV$9),'Council Entry'!AV$8),'Council Entry'!AV168))))-'Council Entry'!AV$5)/('Council Entry'!AV$6-'Council Entry'!AV$5),10*((IF('Council Entry'!AV$4="Logarithm",LN(0.001+IF(AND(ISNUMBER('Council Entry'!AV$8),ISNUMBER('Council Entry'!AV$9)),MAX(MIN('Council Entry'!AV168,'Council Entry'!AV$9),'Council Entry'!AV$8),'Council Entry'!AV168)),IF('Council Entry'!AV$4="Exponential",EXP(IF(AND(ISNUMBER('Council Entry'!AV$8),ISNUMBER('Council Entry'!AV$9)),MAX(MIN('Council Entry'!AV168,'Council Entry'!AV$9),'Council Entry'!AV$8),'Council Entry'!AV168)),IF(AND(ISNUMBER('Council Entry'!AV$8),ISNUMBER('Council Entry'!AV$9)),MAX(MIN('Council Entry'!AV168,'Council Entry'!AV$9),'Council Entry'!AV$8),'Council Entry'!AV168))))-'Council Entry'!AV$5)/('Council Entry'!AV$6-'Council Entry'!AV$5)),1))),"No data"))</f>
        <v/>
      </c>
      <c r="AW168" s="13">
        <f>IF('Council Entry'!AW168="","",IFERROR(MAX(0,MIN(10,ROUND(IF('Council Entry'!AW$7="Decrease Risk",10-10*((IF('Council Entry'!AW$4="Logarithm",LN(0.001+IF(AND(ISNUMBER('Council Entry'!AW$8),ISNUMBER('Council Entry'!AW$9)),MAX(MIN('Council Entry'!AW168,'Council Entry'!AW$9),'Council Entry'!AW$8),'Council Entry'!AW168)),IF('Council Entry'!AW$4="Exponential",EXP(IF(AND(ISNUMBER('Council Entry'!AW$8),ISNUMBER('Council Entry'!AW$9)),MAX(MIN('Council Entry'!AW168,'Council Entry'!AW$9),'Council Entry'!AW$8),'Council Entry'!AW168)),IF(AND(ISNUMBER('Council Entry'!AW$8),ISNUMBER('Council Entry'!AW$9)),MAX(MIN('Council Entry'!AW168,'Council Entry'!AW$9),'Council Entry'!AW$8),'Council Entry'!AW168))))-'Council Entry'!AW$5)/('Council Entry'!AW$6-'Council Entry'!AW$5),10*((IF('Council Entry'!AW$4="Logarithm",LN(0.001+IF(AND(ISNUMBER('Council Entry'!AW$8),ISNUMBER('Council Entry'!AW$9)),MAX(MIN('Council Entry'!AW168,'Council Entry'!AW$9),'Council Entry'!AW$8),'Council Entry'!AW168)),IF('Council Entry'!AW$4="Exponential",EXP(IF(AND(ISNUMBER('Council Entry'!AW$8),ISNUMBER('Council Entry'!AW$9)),MAX(MIN('Council Entry'!AW168,'Council Entry'!AW$9),'Council Entry'!AW$8),'Council Entry'!AW168)),IF(AND(ISNUMBER('Council Entry'!AW$8),ISNUMBER('Council Entry'!AW$9)),MAX(MIN('Council Entry'!AW168,'Council Entry'!AW$9),'Council Entry'!AW$8),'Council Entry'!AW168))))-'Council Entry'!AW$5)/('Council Entry'!AW$6-'Council Entry'!AW$5)),1))),"No data"))</f>
        <v/>
      </c>
      <c r="AX168" s="13">
        <f>IF('Council Entry'!AX168="","",IFERROR(MAX(0,MIN(10,ROUND(IF('Council Entry'!AX$7="Decrease Risk",10-10*((IF('Council Entry'!AX$4="Logarithm",LN(0.001+IF(AND(ISNUMBER('Council Entry'!AX$8),ISNUMBER('Council Entry'!AX$9)),MAX(MIN('Council Entry'!AX168,'Council Entry'!AX$9),'Council Entry'!AX$8),'Council Entry'!AX168)),IF('Council Entry'!AX$4="Exponential",EXP(IF(AND(ISNUMBER('Council Entry'!AX$8),ISNUMBER('Council Entry'!AX$9)),MAX(MIN('Council Entry'!AX168,'Council Entry'!AX$9),'Council Entry'!AX$8),'Council Entry'!AX168)),IF(AND(ISNUMBER('Council Entry'!AX$8),ISNUMBER('Council Entry'!AX$9)),MAX(MIN('Council Entry'!AX168,'Council Entry'!AX$9),'Council Entry'!AX$8),'Council Entry'!AX168))))-'Council Entry'!AX$5)/('Council Entry'!AX$6-'Council Entry'!AX$5),10*((IF('Council Entry'!AX$4="Logarithm",LN(0.001+IF(AND(ISNUMBER('Council Entry'!AX$8),ISNUMBER('Council Entry'!AX$9)),MAX(MIN('Council Entry'!AX168,'Council Entry'!AX$9),'Council Entry'!AX$8),'Council Entry'!AX168)),IF('Council Entry'!AX$4="Exponential",EXP(IF(AND(ISNUMBER('Council Entry'!AX$8),ISNUMBER('Council Entry'!AX$9)),MAX(MIN('Council Entry'!AX168,'Council Entry'!AX$9),'Council Entry'!AX$8),'Council Entry'!AX168)),IF(AND(ISNUMBER('Council Entry'!AX$8),ISNUMBER('Council Entry'!AX$9)),MAX(MIN('Council Entry'!AX168,'Council Entry'!AX$9),'Council Entry'!AX$8),'Council Entry'!AX168))))-'Council Entry'!AX$5)/('Council Entry'!AX$6-'Council Entry'!AX$5)),1))),"No data"))</f>
        <v/>
      </c>
      <c r="AY168" s="13">
        <f>IF('Council Entry'!AY168="","",IFERROR(MAX(0,MIN(10,ROUND(IF('Council Entry'!AY$7="Decrease Risk",10-10*((IF('Council Entry'!AY$4="Logarithm",LN(0.001+IF(AND(ISNUMBER('Council Entry'!AY$8),ISNUMBER('Council Entry'!AY$9)),MAX(MIN('Council Entry'!AY168,'Council Entry'!AY$9),'Council Entry'!AY$8),'Council Entry'!AY168)),IF('Council Entry'!AY$4="Exponential",EXP(IF(AND(ISNUMBER('Council Entry'!AY$8),ISNUMBER('Council Entry'!AY$9)),MAX(MIN('Council Entry'!AY168,'Council Entry'!AY$9),'Council Entry'!AY$8),'Council Entry'!AY168)),IF(AND(ISNUMBER('Council Entry'!AY$8),ISNUMBER('Council Entry'!AY$9)),MAX(MIN('Council Entry'!AY168,'Council Entry'!AY$9),'Council Entry'!AY$8),'Council Entry'!AY168))))-'Council Entry'!AY$5)/('Council Entry'!AY$6-'Council Entry'!AY$5),10*((IF('Council Entry'!AY$4="Logarithm",LN(0.001+IF(AND(ISNUMBER('Council Entry'!AY$8),ISNUMBER('Council Entry'!AY$9)),MAX(MIN('Council Entry'!AY168,'Council Entry'!AY$9),'Council Entry'!AY$8),'Council Entry'!AY168)),IF('Council Entry'!AY$4="Exponential",EXP(IF(AND(ISNUMBER('Council Entry'!AY$8),ISNUMBER('Council Entry'!AY$9)),MAX(MIN('Council Entry'!AY168,'Council Entry'!AY$9),'Council Entry'!AY$8),'Council Entry'!AY168)),IF(AND(ISNUMBER('Council Entry'!AY$8),ISNUMBER('Council Entry'!AY$9)),MAX(MIN('Council Entry'!AY168,'Council Entry'!AY$9),'Council Entry'!AY$8),'Council Entry'!AY168))))-'Council Entry'!AY$5)/('Council Entry'!AY$6-'Council Entry'!AY$5)),1))),"No data"))</f>
        <v/>
      </c>
      <c r="AZ168" s="13">
        <f>IF('Council Entry'!AZ168="","",IFERROR(MAX(0,MIN(10,ROUND(IF('Council Entry'!AZ$7="Decrease Risk",10-10*((IF('Council Entry'!AZ$4="Logarithm",LN(0.001+IF(AND(ISNUMBER('Council Entry'!AZ$8),ISNUMBER('Council Entry'!AZ$9)),MAX(MIN('Council Entry'!AZ168,'Council Entry'!AZ$9),'Council Entry'!AZ$8),'Council Entry'!AZ168)),IF('Council Entry'!AZ$4="Exponential",EXP(IF(AND(ISNUMBER('Council Entry'!AZ$8),ISNUMBER('Council Entry'!AZ$9)),MAX(MIN('Council Entry'!AZ168,'Council Entry'!AZ$9),'Council Entry'!AZ$8),'Council Entry'!AZ168)),IF(AND(ISNUMBER('Council Entry'!AZ$8),ISNUMBER('Council Entry'!AZ$9)),MAX(MIN('Council Entry'!AZ168,'Council Entry'!AZ$9),'Council Entry'!AZ$8),'Council Entry'!AZ168))))-'Council Entry'!AZ$5)/('Council Entry'!AZ$6-'Council Entry'!AZ$5),10*((IF('Council Entry'!AZ$4="Logarithm",LN(0.001+IF(AND(ISNUMBER('Council Entry'!AZ$8),ISNUMBER('Council Entry'!AZ$9)),MAX(MIN('Council Entry'!AZ168,'Council Entry'!AZ$9),'Council Entry'!AZ$8),'Council Entry'!AZ168)),IF('Council Entry'!AZ$4="Exponential",EXP(IF(AND(ISNUMBER('Council Entry'!AZ$8),ISNUMBER('Council Entry'!AZ$9)),MAX(MIN('Council Entry'!AZ168,'Council Entry'!AZ$9),'Council Entry'!AZ$8),'Council Entry'!AZ168)),IF(AND(ISNUMBER('Council Entry'!AZ$8),ISNUMBER('Council Entry'!AZ$9)),MAX(MIN('Council Entry'!AZ168,'Council Entry'!AZ$9),'Council Entry'!AZ$8),'Council Entry'!AZ168))))-'Council Entry'!AZ$5)/('Council Entry'!AZ$6-'Council Entry'!AZ$5)),1))),"No data"))</f>
        <v/>
      </c>
      <c r="BA168" s="13">
        <f>IF('Council Entry'!BA168="","",IFERROR(MAX(0,MIN(10,ROUND(IF('Council Entry'!BA$7="Decrease Risk",10-10*((IF('Council Entry'!BA$4="Logarithm",LN(0.001+IF(AND(ISNUMBER('Council Entry'!BA$8),ISNUMBER('Council Entry'!BA$9)),MAX(MIN('Council Entry'!BA168,'Council Entry'!BA$9),'Council Entry'!BA$8),'Council Entry'!BA168)),IF('Council Entry'!BA$4="Exponential",EXP(IF(AND(ISNUMBER('Council Entry'!BA$8),ISNUMBER('Council Entry'!BA$9)),MAX(MIN('Council Entry'!BA168,'Council Entry'!BA$9),'Council Entry'!BA$8),'Council Entry'!BA168)),IF(AND(ISNUMBER('Council Entry'!BA$8),ISNUMBER('Council Entry'!BA$9)),MAX(MIN('Council Entry'!BA168,'Council Entry'!BA$9),'Council Entry'!BA$8),'Council Entry'!BA168))))-'Council Entry'!BA$5)/('Council Entry'!BA$6-'Council Entry'!BA$5),10*((IF('Council Entry'!BA$4="Logarithm",LN(0.001+IF(AND(ISNUMBER('Council Entry'!BA$8),ISNUMBER('Council Entry'!BA$9)),MAX(MIN('Council Entry'!BA168,'Council Entry'!BA$9),'Council Entry'!BA$8),'Council Entry'!BA168)),IF('Council Entry'!BA$4="Exponential",EXP(IF(AND(ISNUMBER('Council Entry'!BA$8),ISNUMBER('Council Entry'!BA$9)),MAX(MIN('Council Entry'!BA168,'Council Entry'!BA$9),'Council Entry'!BA$8),'Council Entry'!BA168)),IF(AND(ISNUMBER('Council Entry'!BA$8),ISNUMBER('Council Entry'!BA$9)),MAX(MIN('Council Entry'!BA168,'Council Entry'!BA$9),'Council Entry'!BA$8),'Council Entry'!BA168))))-'Council Entry'!BA$5)/('Council Entry'!BA$6-'Council Entry'!BA$5)),1))),"No data"))</f>
        <v/>
      </c>
      <c r="BB168" s="13">
        <f>IF('Council Entry'!BB168="","",IFERROR(MAX(0,MIN(10,ROUND(IF('Council Entry'!BB$7="Decrease Risk",10-10*((IF('Council Entry'!BB$4="Logarithm",LN(0.001+IF(AND(ISNUMBER('Council Entry'!BB$8),ISNUMBER('Council Entry'!BB$9)),MAX(MIN('Council Entry'!BB168,'Council Entry'!BB$9),'Council Entry'!BB$8),'Council Entry'!BB168)),IF('Council Entry'!BB$4="Exponential",EXP(IF(AND(ISNUMBER('Council Entry'!BB$8),ISNUMBER('Council Entry'!BB$9)),MAX(MIN('Council Entry'!BB168,'Council Entry'!BB$9),'Council Entry'!BB$8),'Council Entry'!BB168)),IF(AND(ISNUMBER('Council Entry'!BB$8),ISNUMBER('Council Entry'!BB$9)),MAX(MIN('Council Entry'!BB168,'Council Entry'!BB$9),'Council Entry'!BB$8),'Council Entry'!BB168))))-'Council Entry'!BB$5)/('Council Entry'!BB$6-'Council Entry'!BB$5),10*((IF('Council Entry'!BB$4="Logarithm",LN(0.001+IF(AND(ISNUMBER('Council Entry'!BB$8),ISNUMBER('Council Entry'!BB$9)),MAX(MIN('Council Entry'!BB168,'Council Entry'!BB$9),'Council Entry'!BB$8),'Council Entry'!BB168)),IF('Council Entry'!BB$4="Exponential",EXP(IF(AND(ISNUMBER('Council Entry'!BB$8),ISNUMBER('Council Entry'!BB$9)),MAX(MIN('Council Entry'!BB168,'Council Entry'!BB$9),'Council Entry'!BB$8),'Council Entry'!BB168)),IF(AND(ISNUMBER('Council Entry'!BB$8),ISNUMBER('Council Entry'!BB$9)),MAX(MIN('Council Entry'!BB168,'Council Entry'!BB$9),'Council Entry'!BB$8),'Council Entry'!BB168))))-'Council Entry'!BB$5)/('Council Entry'!BB$6-'Council Entry'!BB$5)),1))),"No data"))</f>
        <v/>
      </c>
      <c r="BC168" s="13">
        <f>IF('Council Entry'!BC168="","",IFERROR(MAX(0,MIN(10,ROUND(IF('Council Entry'!BC$7="Decrease Risk",10-10*((IF('Council Entry'!BC$4="Logarithm",LN(0.001+IF(AND(ISNUMBER('Council Entry'!BC$8),ISNUMBER('Council Entry'!BC$9)),MAX(MIN('Council Entry'!BC168,'Council Entry'!BC$9),'Council Entry'!BC$8),'Council Entry'!BC168)),IF('Council Entry'!BC$4="Exponential",EXP(IF(AND(ISNUMBER('Council Entry'!BC$8),ISNUMBER('Council Entry'!BC$9)),MAX(MIN('Council Entry'!BC168,'Council Entry'!BC$9),'Council Entry'!BC$8),'Council Entry'!BC168)),IF(AND(ISNUMBER('Council Entry'!BC$8),ISNUMBER('Council Entry'!BC$9)),MAX(MIN('Council Entry'!BC168,'Council Entry'!BC$9),'Council Entry'!BC$8),'Council Entry'!BC168))))-'Council Entry'!BC$5)/('Council Entry'!BC$6-'Council Entry'!BC$5),10*((IF('Council Entry'!BC$4="Logarithm",LN(0.001+IF(AND(ISNUMBER('Council Entry'!BC$8),ISNUMBER('Council Entry'!BC$9)),MAX(MIN('Council Entry'!BC168,'Council Entry'!BC$9),'Council Entry'!BC$8),'Council Entry'!BC168)),IF('Council Entry'!BC$4="Exponential",EXP(IF(AND(ISNUMBER('Council Entry'!BC$8),ISNUMBER('Council Entry'!BC$9)),MAX(MIN('Council Entry'!BC168,'Council Entry'!BC$9),'Council Entry'!BC$8),'Council Entry'!BC168)),IF(AND(ISNUMBER('Council Entry'!BC$8),ISNUMBER('Council Entry'!BC$9)),MAX(MIN('Council Entry'!BC168,'Council Entry'!BC$9),'Council Entry'!BC$8),'Council Entry'!BC168))))-'Council Entry'!BC$5)/('Council Entry'!BC$6-'Council Entry'!BC$5)),1))),"No data"))</f>
        <v/>
      </c>
      <c r="BD168" s="13">
        <f>IF('Council Entry'!BD168="","",IFERROR(MAX(0,MIN(10,ROUND(IF('Council Entry'!BD$7="Decrease Risk",10-10*((IF('Council Entry'!BD$4="Logarithm",LN(0.001+IF(AND(ISNUMBER('Council Entry'!BD$8),ISNUMBER('Council Entry'!BD$9)),MAX(MIN('Council Entry'!BD168,'Council Entry'!BD$9),'Council Entry'!BD$8),'Council Entry'!BD168)),IF('Council Entry'!BD$4="Exponential",EXP(IF(AND(ISNUMBER('Council Entry'!BD$8),ISNUMBER('Council Entry'!BD$9)),MAX(MIN('Council Entry'!BD168,'Council Entry'!BD$9),'Council Entry'!BD$8),'Council Entry'!BD168)),IF(AND(ISNUMBER('Council Entry'!BD$8),ISNUMBER('Council Entry'!BD$9)),MAX(MIN('Council Entry'!BD168,'Council Entry'!BD$9),'Council Entry'!BD$8),'Council Entry'!BD168))))-'Council Entry'!BD$5)/('Council Entry'!BD$6-'Council Entry'!BD$5),10*((IF('Council Entry'!BD$4="Logarithm",LN(0.001+IF(AND(ISNUMBER('Council Entry'!BD$8),ISNUMBER('Council Entry'!BD$9)),MAX(MIN('Council Entry'!BD168,'Council Entry'!BD$9),'Council Entry'!BD$8),'Council Entry'!BD168)),IF('Council Entry'!BD$4="Exponential",EXP(IF(AND(ISNUMBER('Council Entry'!BD$8),ISNUMBER('Council Entry'!BD$9)),MAX(MIN('Council Entry'!BD168,'Council Entry'!BD$9),'Council Entry'!BD$8),'Council Entry'!BD168)),IF(AND(ISNUMBER('Council Entry'!BD$8),ISNUMBER('Council Entry'!BD$9)),MAX(MIN('Council Entry'!BD168,'Council Entry'!BD$9),'Council Entry'!BD$8),'Council Entry'!BD168))))-'Council Entry'!BD$5)/('Council Entry'!BD$6-'Council Entry'!BD$5)),1))),"No data"))</f>
        <v/>
      </c>
    </row>
    <row r="169">
      <c r="A169" t="inlineStr">
        <is>
          <t>Simiyu</t>
        </is>
      </c>
      <c r="B169" t="inlineStr">
        <is>
          <t>Bariadi District</t>
        </is>
      </c>
      <c r="C169" t="inlineStr">
        <is>
          <t>C168</t>
        </is>
      </c>
      <c r="D169" s="13">
        <f>IF('Council Entry'!D169="","",IFERROR(MAX(0,MIN(10,ROUND(IF('Council Entry'!D$7="Decrease Risk",10-10*((IF('Council Entry'!D$4="Logarithm",LN(0.001+IF(AND(ISNUMBER('Council Entry'!D$8),ISNUMBER('Council Entry'!D$9)),MAX(MIN('Council Entry'!D169,'Council Entry'!D$9),'Council Entry'!D$8),'Council Entry'!D169)),IF('Council Entry'!D$4="Exponential",EXP(IF(AND(ISNUMBER('Council Entry'!D$8),ISNUMBER('Council Entry'!D$9)),MAX(MIN('Council Entry'!D169,'Council Entry'!D$9),'Council Entry'!D$8),'Council Entry'!D169)),IF(AND(ISNUMBER('Council Entry'!D$8),ISNUMBER('Council Entry'!D$9)),MAX(MIN('Council Entry'!D169,'Council Entry'!D$9),'Council Entry'!D$8),'Council Entry'!D169))))-'Council Entry'!D$5)/('Council Entry'!D$6-'Council Entry'!D$5),10*((IF('Council Entry'!D$4="Logarithm",LN(0.001+IF(AND(ISNUMBER('Council Entry'!D$8),ISNUMBER('Council Entry'!D$9)),MAX(MIN('Council Entry'!D169,'Council Entry'!D$9),'Council Entry'!D$8),'Council Entry'!D169)),IF('Council Entry'!D$4="Exponential",EXP(IF(AND(ISNUMBER('Council Entry'!D$8),ISNUMBER('Council Entry'!D$9)),MAX(MIN('Council Entry'!D169,'Council Entry'!D$9),'Council Entry'!D$8),'Council Entry'!D169)),IF(AND(ISNUMBER('Council Entry'!D$8),ISNUMBER('Council Entry'!D$9)),MAX(MIN('Council Entry'!D169,'Council Entry'!D$9),'Council Entry'!D$8),'Council Entry'!D169))))-'Council Entry'!D$5)/('Council Entry'!D$6-'Council Entry'!D$5)),1))),"No data"))</f>
        <v/>
      </c>
      <c r="E169" s="13">
        <f>IF('Council Entry'!E169="","",IFERROR(MAX(0,MIN(10,ROUND(IF('Council Entry'!E$7="Decrease Risk",10-10*((IF('Council Entry'!E$4="Logarithm",LN(0.001+IF(AND(ISNUMBER('Council Entry'!E$8),ISNUMBER('Council Entry'!E$9)),MAX(MIN('Council Entry'!E169,'Council Entry'!E$9),'Council Entry'!E$8),'Council Entry'!E169)),IF('Council Entry'!E$4="Exponential",EXP(IF(AND(ISNUMBER('Council Entry'!E$8),ISNUMBER('Council Entry'!E$9)),MAX(MIN('Council Entry'!E169,'Council Entry'!E$9),'Council Entry'!E$8),'Council Entry'!E169)),IF(AND(ISNUMBER('Council Entry'!E$8),ISNUMBER('Council Entry'!E$9)),MAX(MIN('Council Entry'!E169,'Council Entry'!E$9),'Council Entry'!E$8),'Council Entry'!E169))))-'Council Entry'!E$5)/('Council Entry'!E$6-'Council Entry'!E$5),10*((IF('Council Entry'!E$4="Logarithm",LN(0.001+IF(AND(ISNUMBER('Council Entry'!E$8),ISNUMBER('Council Entry'!E$9)),MAX(MIN('Council Entry'!E169,'Council Entry'!E$9),'Council Entry'!E$8),'Council Entry'!E169)),IF('Council Entry'!E$4="Exponential",EXP(IF(AND(ISNUMBER('Council Entry'!E$8),ISNUMBER('Council Entry'!E$9)),MAX(MIN('Council Entry'!E169,'Council Entry'!E$9),'Council Entry'!E$8),'Council Entry'!E169)),IF(AND(ISNUMBER('Council Entry'!E$8),ISNUMBER('Council Entry'!E$9)),MAX(MIN('Council Entry'!E169,'Council Entry'!E$9),'Council Entry'!E$8),'Council Entry'!E169))))-'Council Entry'!E$5)/('Council Entry'!E$6-'Council Entry'!E$5)),1))),"No data"))</f>
        <v/>
      </c>
      <c r="F169" s="13">
        <f>IF('Council Entry'!F169="","",IFERROR(MAX(0,MIN(10,ROUND(IF('Council Entry'!F$7="Decrease Risk",10-10*((IF('Council Entry'!F$4="Logarithm",LN(0.001+IF(AND(ISNUMBER('Council Entry'!F$8),ISNUMBER('Council Entry'!F$9)),MAX(MIN('Council Entry'!F169,'Council Entry'!F$9),'Council Entry'!F$8),'Council Entry'!F169)),IF('Council Entry'!F$4="Exponential",EXP(IF(AND(ISNUMBER('Council Entry'!F$8),ISNUMBER('Council Entry'!F$9)),MAX(MIN('Council Entry'!F169,'Council Entry'!F$9),'Council Entry'!F$8),'Council Entry'!F169)),IF(AND(ISNUMBER('Council Entry'!F$8),ISNUMBER('Council Entry'!F$9)),MAX(MIN('Council Entry'!F169,'Council Entry'!F$9),'Council Entry'!F$8),'Council Entry'!F169))))-'Council Entry'!F$5)/('Council Entry'!F$6-'Council Entry'!F$5),10*((IF('Council Entry'!F$4="Logarithm",LN(0.001+IF(AND(ISNUMBER('Council Entry'!F$8),ISNUMBER('Council Entry'!F$9)),MAX(MIN('Council Entry'!F169,'Council Entry'!F$9),'Council Entry'!F$8),'Council Entry'!F169)),IF('Council Entry'!F$4="Exponential",EXP(IF(AND(ISNUMBER('Council Entry'!F$8),ISNUMBER('Council Entry'!F$9)),MAX(MIN('Council Entry'!F169,'Council Entry'!F$9),'Council Entry'!F$8),'Council Entry'!F169)),IF(AND(ISNUMBER('Council Entry'!F$8),ISNUMBER('Council Entry'!F$9)),MAX(MIN('Council Entry'!F169,'Council Entry'!F$9),'Council Entry'!F$8),'Council Entry'!F169))))-'Council Entry'!F$5)/('Council Entry'!F$6-'Council Entry'!F$5)),1))),"No data"))</f>
        <v/>
      </c>
      <c r="G169" s="13">
        <f>IF('Council Entry'!G169="","",IFERROR(MAX(0,MIN(10,ROUND(IF('Council Entry'!G$7="Decrease Risk",10-10*((IF('Council Entry'!G$4="Logarithm",LN(0.001+IF(AND(ISNUMBER('Council Entry'!G$8),ISNUMBER('Council Entry'!G$9)),MAX(MIN('Council Entry'!G169,'Council Entry'!G$9),'Council Entry'!G$8),'Council Entry'!G169)),IF('Council Entry'!G$4="Exponential",EXP(IF(AND(ISNUMBER('Council Entry'!G$8),ISNUMBER('Council Entry'!G$9)),MAX(MIN('Council Entry'!G169,'Council Entry'!G$9),'Council Entry'!G$8),'Council Entry'!G169)),IF(AND(ISNUMBER('Council Entry'!G$8),ISNUMBER('Council Entry'!G$9)),MAX(MIN('Council Entry'!G169,'Council Entry'!G$9),'Council Entry'!G$8),'Council Entry'!G169))))-'Council Entry'!G$5)/('Council Entry'!G$6-'Council Entry'!G$5),10*((IF('Council Entry'!G$4="Logarithm",LN(0.001+IF(AND(ISNUMBER('Council Entry'!G$8),ISNUMBER('Council Entry'!G$9)),MAX(MIN('Council Entry'!G169,'Council Entry'!G$9),'Council Entry'!G$8),'Council Entry'!G169)),IF('Council Entry'!G$4="Exponential",EXP(IF(AND(ISNUMBER('Council Entry'!G$8),ISNUMBER('Council Entry'!G$9)),MAX(MIN('Council Entry'!G169,'Council Entry'!G$9),'Council Entry'!G$8),'Council Entry'!G169)),IF(AND(ISNUMBER('Council Entry'!G$8),ISNUMBER('Council Entry'!G$9)),MAX(MIN('Council Entry'!G169,'Council Entry'!G$9),'Council Entry'!G$8),'Council Entry'!G169))))-'Council Entry'!G$5)/('Council Entry'!G$6-'Council Entry'!G$5)),1))),"No data"))</f>
        <v/>
      </c>
      <c r="H169" s="13">
        <f>IF('Council Entry'!H169="","",IFERROR(MAX(0,MIN(10,ROUND(IF('Council Entry'!H$7="Decrease Risk",10-10*((IF('Council Entry'!H$4="Logarithm",LN(0.001+IF(AND(ISNUMBER('Council Entry'!H$8),ISNUMBER('Council Entry'!H$9)),MAX(MIN('Council Entry'!H169,'Council Entry'!H$9),'Council Entry'!H$8),'Council Entry'!H169)),IF('Council Entry'!H$4="Exponential",EXP(IF(AND(ISNUMBER('Council Entry'!H$8),ISNUMBER('Council Entry'!H$9)),MAX(MIN('Council Entry'!H169,'Council Entry'!H$9),'Council Entry'!H$8),'Council Entry'!H169)),IF(AND(ISNUMBER('Council Entry'!H$8),ISNUMBER('Council Entry'!H$9)),MAX(MIN('Council Entry'!H169,'Council Entry'!H$9),'Council Entry'!H$8),'Council Entry'!H169))))-'Council Entry'!H$5)/('Council Entry'!H$6-'Council Entry'!H$5),10*((IF('Council Entry'!H$4="Logarithm",LN(0.001+IF(AND(ISNUMBER('Council Entry'!H$8),ISNUMBER('Council Entry'!H$9)),MAX(MIN('Council Entry'!H169,'Council Entry'!H$9),'Council Entry'!H$8),'Council Entry'!H169)),IF('Council Entry'!H$4="Exponential",EXP(IF(AND(ISNUMBER('Council Entry'!H$8),ISNUMBER('Council Entry'!H$9)),MAX(MIN('Council Entry'!H169,'Council Entry'!H$9),'Council Entry'!H$8),'Council Entry'!H169)),IF(AND(ISNUMBER('Council Entry'!H$8),ISNUMBER('Council Entry'!H$9)),MAX(MIN('Council Entry'!H169,'Council Entry'!H$9),'Council Entry'!H$8),'Council Entry'!H169))))-'Council Entry'!H$5)/('Council Entry'!H$6-'Council Entry'!H$5)),1))),"No data"))</f>
        <v/>
      </c>
      <c r="I169" s="13">
        <f>IF('Council Entry'!I169="","",IFERROR(MAX(0,MIN(10,ROUND(IF('Council Entry'!I$7="Decrease Risk",10-10*((IF('Council Entry'!I$4="Logarithm",LN(0.001+IF(AND(ISNUMBER('Council Entry'!I$8),ISNUMBER('Council Entry'!I$9)),MAX(MIN('Council Entry'!I169,'Council Entry'!I$9),'Council Entry'!I$8),'Council Entry'!I169)),IF('Council Entry'!I$4="Exponential",EXP(IF(AND(ISNUMBER('Council Entry'!I$8),ISNUMBER('Council Entry'!I$9)),MAX(MIN('Council Entry'!I169,'Council Entry'!I$9),'Council Entry'!I$8),'Council Entry'!I169)),IF(AND(ISNUMBER('Council Entry'!I$8),ISNUMBER('Council Entry'!I$9)),MAX(MIN('Council Entry'!I169,'Council Entry'!I$9),'Council Entry'!I$8),'Council Entry'!I169))))-'Council Entry'!I$5)/('Council Entry'!I$6-'Council Entry'!I$5),10*((IF('Council Entry'!I$4="Logarithm",LN(0.001+IF(AND(ISNUMBER('Council Entry'!I$8),ISNUMBER('Council Entry'!I$9)),MAX(MIN('Council Entry'!I169,'Council Entry'!I$9),'Council Entry'!I$8),'Council Entry'!I169)),IF('Council Entry'!I$4="Exponential",EXP(IF(AND(ISNUMBER('Council Entry'!I$8),ISNUMBER('Council Entry'!I$9)),MAX(MIN('Council Entry'!I169,'Council Entry'!I$9),'Council Entry'!I$8),'Council Entry'!I169)),IF(AND(ISNUMBER('Council Entry'!I$8),ISNUMBER('Council Entry'!I$9)),MAX(MIN('Council Entry'!I169,'Council Entry'!I$9),'Council Entry'!I$8),'Council Entry'!I169))))-'Council Entry'!I$5)/('Council Entry'!I$6-'Council Entry'!I$5)),1))),"No data"))</f>
        <v/>
      </c>
      <c r="J169" s="13">
        <f>IF('Council Entry'!J169="","",IFERROR(MAX(0,MIN(10,ROUND(IF('Council Entry'!J$7="Decrease Risk",10-10*((IF('Council Entry'!J$4="Logarithm",LN(0.001+IF(AND(ISNUMBER('Council Entry'!J$8),ISNUMBER('Council Entry'!J$9)),MAX(MIN('Council Entry'!J169,'Council Entry'!J$9),'Council Entry'!J$8),'Council Entry'!J169)),IF('Council Entry'!J$4="Exponential",EXP(IF(AND(ISNUMBER('Council Entry'!J$8),ISNUMBER('Council Entry'!J$9)),MAX(MIN('Council Entry'!J169,'Council Entry'!J$9),'Council Entry'!J$8),'Council Entry'!J169)),IF(AND(ISNUMBER('Council Entry'!J$8),ISNUMBER('Council Entry'!J$9)),MAX(MIN('Council Entry'!J169,'Council Entry'!J$9),'Council Entry'!J$8),'Council Entry'!J169))))-'Council Entry'!J$5)/('Council Entry'!J$6-'Council Entry'!J$5),10*((IF('Council Entry'!J$4="Logarithm",LN(0.001+IF(AND(ISNUMBER('Council Entry'!J$8),ISNUMBER('Council Entry'!J$9)),MAX(MIN('Council Entry'!J169,'Council Entry'!J$9),'Council Entry'!J$8),'Council Entry'!J169)),IF('Council Entry'!J$4="Exponential",EXP(IF(AND(ISNUMBER('Council Entry'!J$8),ISNUMBER('Council Entry'!J$9)),MAX(MIN('Council Entry'!J169,'Council Entry'!J$9),'Council Entry'!J$8),'Council Entry'!J169)),IF(AND(ISNUMBER('Council Entry'!J$8),ISNUMBER('Council Entry'!J$9)),MAX(MIN('Council Entry'!J169,'Council Entry'!J$9),'Council Entry'!J$8),'Council Entry'!J169))))-'Council Entry'!J$5)/('Council Entry'!J$6-'Council Entry'!J$5)),1))),"No data"))</f>
        <v/>
      </c>
      <c r="K169" s="13">
        <f>IF('Council Entry'!K169="","",IFERROR(MAX(0,MIN(10,ROUND(IF('Council Entry'!K$7="Decrease Risk",10-10*((IF('Council Entry'!K$4="Logarithm",LN(0.001+IF(AND(ISNUMBER('Council Entry'!K$8),ISNUMBER('Council Entry'!K$9)),MAX(MIN('Council Entry'!K169,'Council Entry'!K$9),'Council Entry'!K$8),'Council Entry'!K169)),IF('Council Entry'!K$4="Exponential",EXP(IF(AND(ISNUMBER('Council Entry'!K$8),ISNUMBER('Council Entry'!K$9)),MAX(MIN('Council Entry'!K169,'Council Entry'!K$9),'Council Entry'!K$8),'Council Entry'!K169)),IF(AND(ISNUMBER('Council Entry'!K$8),ISNUMBER('Council Entry'!K$9)),MAX(MIN('Council Entry'!K169,'Council Entry'!K$9),'Council Entry'!K$8),'Council Entry'!K169))))-'Council Entry'!K$5)/('Council Entry'!K$6-'Council Entry'!K$5),10*((IF('Council Entry'!K$4="Logarithm",LN(0.001+IF(AND(ISNUMBER('Council Entry'!K$8),ISNUMBER('Council Entry'!K$9)),MAX(MIN('Council Entry'!K169,'Council Entry'!K$9),'Council Entry'!K$8),'Council Entry'!K169)),IF('Council Entry'!K$4="Exponential",EXP(IF(AND(ISNUMBER('Council Entry'!K$8),ISNUMBER('Council Entry'!K$9)),MAX(MIN('Council Entry'!K169,'Council Entry'!K$9),'Council Entry'!K$8),'Council Entry'!K169)),IF(AND(ISNUMBER('Council Entry'!K$8),ISNUMBER('Council Entry'!K$9)),MAX(MIN('Council Entry'!K169,'Council Entry'!K$9),'Council Entry'!K$8),'Council Entry'!K169))))-'Council Entry'!K$5)/('Council Entry'!K$6-'Council Entry'!K$5)),1))),"No data"))</f>
        <v/>
      </c>
      <c r="L169" s="13">
        <f>IF('Council Entry'!L169="","",IFERROR(MAX(0,MIN(10,ROUND(IF('Council Entry'!L$7="Decrease Risk",10-10*((IF('Council Entry'!L$4="Logarithm",LN(0.001+IF(AND(ISNUMBER('Council Entry'!L$8),ISNUMBER('Council Entry'!L$9)),MAX(MIN('Council Entry'!L169,'Council Entry'!L$9),'Council Entry'!L$8),'Council Entry'!L169)),IF('Council Entry'!L$4="Exponential",EXP(IF(AND(ISNUMBER('Council Entry'!L$8),ISNUMBER('Council Entry'!L$9)),MAX(MIN('Council Entry'!L169,'Council Entry'!L$9),'Council Entry'!L$8),'Council Entry'!L169)),IF(AND(ISNUMBER('Council Entry'!L$8),ISNUMBER('Council Entry'!L$9)),MAX(MIN('Council Entry'!L169,'Council Entry'!L$9),'Council Entry'!L$8),'Council Entry'!L169))))-'Council Entry'!L$5)/('Council Entry'!L$6-'Council Entry'!L$5),10*((IF('Council Entry'!L$4="Logarithm",LN(0.001+IF(AND(ISNUMBER('Council Entry'!L$8),ISNUMBER('Council Entry'!L$9)),MAX(MIN('Council Entry'!L169,'Council Entry'!L$9),'Council Entry'!L$8),'Council Entry'!L169)),IF('Council Entry'!L$4="Exponential",EXP(IF(AND(ISNUMBER('Council Entry'!L$8),ISNUMBER('Council Entry'!L$9)),MAX(MIN('Council Entry'!L169,'Council Entry'!L$9),'Council Entry'!L$8),'Council Entry'!L169)),IF(AND(ISNUMBER('Council Entry'!L$8),ISNUMBER('Council Entry'!L$9)),MAX(MIN('Council Entry'!L169,'Council Entry'!L$9),'Council Entry'!L$8),'Council Entry'!L169))))-'Council Entry'!L$5)/('Council Entry'!L$6-'Council Entry'!L$5)),1))),"No data"))</f>
        <v/>
      </c>
      <c r="M169" s="13">
        <f>IF('Council Entry'!M169="","",IFERROR(MAX(0,MIN(10,ROUND(IF('Council Entry'!M$7="Decrease Risk",10-10*((IF('Council Entry'!M$4="Logarithm",LN(0.001+IF(AND(ISNUMBER('Council Entry'!M$8),ISNUMBER('Council Entry'!M$9)),MAX(MIN('Council Entry'!M169,'Council Entry'!M$9),'Council Entry'!M$8),'Council Entry'!M169)),IF('Council Entry'!M$4="Exponential",EXP(IF(AND(ISNUMBER('Council Entry'!M$8),ISNUMBER('Council Entry'!M$9)),MAX(MIN('Council Entry'!M169,'Council Entry'!M$9),'Council Entry'!M$8),'Council Entry'!M169)),IF(AND(ISNUMBER('Council Entry'!M$8),ISNUMBER('Council Entry'!M$9)),MAX(MIN('Council Entry'!M169,'Council Entry'!M$9),'Council Entry'!M$8),'Council Entry'!M169))))-'Council Entry'!M$5)/('Council Entry'!M$6-'Council Entry'!M$5),10*((IF('Council Entry'!M$4="Logarithm",LN(0.001+IF(AND(ISNUMBER('Council Entry'!M$8),ISNUMBER('Council Entry'!M$9)),MAX(MIN('Council Entry'!M169,'Council Entry'!M$9),'Council Entry'!M$8),'Council Entry'!M169)),IF('Council Entry'!M$4="Exponential",EXP(IF(AND(ISNUMBER('Council Entry'!M$8),ISNUMBER('Council Entry'!M$9)),MAX(MIN('Council Entry'!M169,'Council Entry'!M$9),'Council Entry'!M$8),'Council Entry'!M169)),IF(AND(ISNUMBER('Council Entry'!M$8),ISNUMBER('Council Entry'!M$9)),MAX(MIN('Council Entry'!M169,'Council Entry'!M$9),'Council Entry'!M$8),'Council Entry'!M169))))-'Council Entry'!M$5)/('Council Entry'!M$6-'Council Entry'!M$5)),1))),"No data"))</f>
        <v/>
      </c>
      <c r="N169" s="13">
        <f>IF('Council Entry'!N169="","",IFERROR(MAX(0,MIN(10,ROUND(IF('Council Entry'!N$7="Decrease Risk",10-10*((IF('Council Entry'!N$4="Logarithm",LN(0.001+IF(AND(ISNUMBER('Council Entry'!N$8),ISNUMBER('Council Entry'!N$9)),MAX(MIN('Council Entry'!N169,'Council Entry'!N$9),'Council Entry'!N$8),'Council Entry'!N169)),IF('Council Entry'!N$4="Exponential",EXP(IF(AND(ISNUMBER('Council Entry'!N$8),ISNUMBER('Council Entry'!N$9)),MAX(MIN('Council Entry'!N169,'Council Entry'!N$9),'Council Entry'!N$8),'Council Entry'!N169)),IF(AND(ISNUMBER('Council Entry'!N$8),ISNUMBER('Council Entry'!N$9)),MAX(MIN('Council Entry'!N169,'Council Entry'!N$9),'Council Entry'!N$8),'Council Entry'!N169))))-'Council Entry'!N$5)/('Council Entry'!N$6-'Council Entry'!N$5),10*((IF('Council Entry'!N$4="Logarithm",LN(0.001+IF(AND(ISNUMBER('Council Entry'!N$8),ISNUMBER('Council Entry'!N$9)),MAX(MIN('Council Entry'!N169,'Council Entry'!N$9),'Council Entry'!N$8),'Council Entry'!N169)),IF('Council Entry'!N$4="Exponential",EXP(IF(AND(ISNUMBER('Council Entry'!N$8),ISNUMBER('Council Entry'!N$9)),MAX(MIN('Council Entry'!N169,'Council Entry'!N$9),'Council Entry'!N$8),'Council Entry'!N169)),IF(AND(ISNUMBER('Council Entry'!N$8),ISNUMBER('Council Entry'!N$9)),MAX(MIN('Council Entry'!N169,'Council Entry'!N$9),'Council Entry'!N$8),'Council Entry'!N169))))-'Council Entry'!N$5)/('Council Entry'!N$6-'Council Entry'!N$5)),1))),"No data"))</f>
        <v/>
      </c>
      <c r="O169" s="13">
        <f>IF('Council Entry'!O169="","",IFERROR(MAX(0,MIN(10,ROUND(IF('Council Entry'!O$7="Decrease Risk",10-10*((IF('Council Entry'!O$4="Logarithm",LN(0.001+IF(AND(ISNUMBER('Council Entry'!O$8),ISNUMBER('Council Entry'!O$9)),MAX(MIN('Council Entry'!O169,'Council Entry'!O$9),'Council Entry'!O$8),'Council Entry'!O169)),IF('Council Entry'!O$4="Exponential",EXP(IF(AND(ISNUMBER('Council Entry'!O$8),ISNUMBER('Council Entry'!O$9)),MAX(MIN('Council Entry'!O169,'Council Entry'!O$9),'Council Entry'!O$8),'Council Entry'!O169)),IF(AND(ISNUMBER('Council Entry'!O$8),ISNUMBER('Council Entry'!O$9)),MAX(MIN('Council Entry'!O169,'Council Entry'!O$9),'Council Entry'!O$8),'Council Entry'!O169))))-'Council Entry'!O$5)/('Council Entry'!O$6-'Council Entry'!O$5),10*((IF('Council Entry'!O$4="Logarithm",LN(0.001+IF(AND(ISNUMBER('Council Entry'!O$8),ISNUMBER('Council Entry'!O$9)),MAX(MIN('Council Entry'!O169,'Council Entry'!O$9),'Council Entry'!O$8),'Council Entry'!O169)),IF('Council Entry'!O$4="Exponential",EXP(IF(AND(ISNUMBER('Council Entry'!O$8),ISNUMBER('Council Entry'!O$9)),MAX(MIN('Council Entry'!O169,'Council Entry'!O$9),'Council Entry'!O$8),'Council Entry'!O169)),IF(AND(ISNUMBER('Council Entry'!O$8),ISNUMBER('Council Entry'!O$9)),MAX(MIN('Council Entry'!O169,'Council Entry'!O$9),'Council Entry'!O$8),'Council Entry'!O169))))-'Council Entry'!O$5)/('Council Entry'!O$6-'Council Entry'!O$5)),1))),"No data"))</f>
        <v/>
      </c>
      <c r="P169" s="13">
        <f>IF('Council Entry'!P169="","",IFERROR(MAX(0,MIN(10,ROUND(IF('Council Entry'!P$7="Decrease Risk",10-10*((IF('Council Entry'!P$4="Logarithm",LN(0.001+IF(AND(ISNUMBER('Council Entry'!P$8),ISNUMBER('Council Entry'!P$9)),MAX(MIN('Council Entry'!P169,'Council Entry'!P$9),'Council Entry'!P$8),'Council Entry'!P169)),IF('Council Entry'!P$4="Exponential",EXP(IF(AND(ISNUMBER('Council Entry'!P$8),ISNUMBER('Council Entry'!P$9)),MAX(MIN('Council Entry'!P169,'Council Entry'!P$9),'Council Entry'!P$8),'Council Entry'!P169)),IF(AND(ISNUMBER('Council Entry'!P$8),ISNUMBER('Council Entry'!P$9)),MAX(MIN('Council Entry'!P169,'Council Entry'!P$9),'Council Entry'!P$8),'Council Entry'!P169))))-'Council Entry'!P$5)/('Council Entry'!P$6-'Council Entry'!P$5),10*((IF('Council Entry'!P$4="Logarithm",LN(0.001+IF(AND(ISNUMBER('Council Entry'!P$8),ISNUMBER('Council Entry'!P$9)),MAX(MIN('Council Entry'!P169,'Council Entry'!P$9),'Council Entry'!P$8),'Council Entry'!P169)),IF('Council Entry'!P$4="Exponential",EXP(IF(AND(ISNUMBER('Council Entry'!P$8),ISNUMBER('Council Entry'!P$9)),MAX(MIN('Council Entry'!P169,'Council Entry'!P$9),'Council Entry'!P$8),'Council Entry'!P169)),IF(AND(ISNUMBER('Council Entry'!P$8),ISNUMBER('Council Entry'!P$9)),MAX(MIN('Council Entry'!P169,'Council Entry'!P$9),'Council Entry'!P$8),'Council Entry'!P169))))-'Council Entry'!P$5)/('Council Entry'!P$6-'Council Entry'!P$5)),1))),"No data"))</f>
        <v/>
      </c>
      <c r="Q169" s="13">
        <f>IF('Council Entry'!Q169="","",IFERROR(MAX(0,MIN(10,ROUND(IF('Council Entry'!Q$7="Decrease Risk",10-10*((IF('Council Entry'!Q$4="Logarithm",LN(0.001+IF(AND(ISNUMBER('Council Entry'!Q$8),ISNUMBER('Council Entry'!Q$9)),MAX(MIN('Council Entry'!Q169,'Council Entry'!Q$9),'Council Entry'!Q$8),'Council Entry'!Q169)),IF('Council Entry'!Q$4="Exponential",EXP(IF(AND(ISNUMBER('Council Entry'!Q$8),ISNUMBER('Council Entry'!Q$9)),MAX(MIN('Council Entry'!Q169,'Council Entry'!Q$9),'Council Entry'!Q$8),'Council Entry'!Q169)),IF(AND(ISNUMBER('Council Entry'!Q$8),ISNUMBER('Council Entry'!Q$9)),MAX(MIN('Council Entry'!Q169,'Council Entry'!Q$9),'Council Entry'!Q$8),'Council Entry'!Q169))))-'Council Entry'!Q$5)/('Council Entry'!Q$6-'Council Entry'!Q$5),10*((IF('Council Entry'!Q$4="Logarithm",LN(0.001+IF(AND(ISNUMBER('Council Entry'!Q$8),ISNUMBER('Council Entry'!Q$9)),MAX(MIN('Council Entry'!Q169,'Council Entry'!Q$9),'Council Entry'!Q$8),'Council Entry'!Q169)),IF('Council Entry'!Q$4="Exponential",EXP(IF(AND(ISNUMBER('Council Entry'!Q$8),ISNUMBER('Council Entry'!Q$9)),MAX(MIN('Council Entry'!Q169,'Council Entry'!Q$9),'Council Entry'!Q$8),'Council Entry'!Q169)),IF(AND(ISNUMBER('Council Entry'!Q$8),ISNUMBER('Council Entry'!Q$9)),MAX(MIN('Council Entry'!Q169,'Council Entry'!Q$9),'Council Entry'!Q$8),'Council Entry'!Q169))))-'Council Entry'!Q$5)/('Council Entry'!Q$6-'Council Entry'!Q$5)),1))),"No data"))</f>
        <v/>
      </c>
      <c r="R169" s="13">
        <f>IF('Council Entry'!R169="","",IFERROR(MAX(0,MIN(10,ROUND(IF('Council Entry'!R$7="Decrease Risk",10-10*((IF('Council Entry'!R$4="Logarithm",LN(0.001+IF(AND(ISNUMBER('Council Entry'!R$8),ISNUMBER('Council Entry'!R$9)),MAX(MIN('Council Entry'!R169,'Council Entry'!R$9),'Council Entry'!R$8),'Council Entry'!R169)),IF('Council Entry'!R$4="Exponential",EXP(IF(AND(ISNUMBER('Council Entry'!R$8),ISNUMBER('Council Entry'!R$9)),MAX(MIN('Council Entry'!R169,'Council Entry'!R$9),'Council Entry'!R$8),'Council Entry'!R169)),IF(AND(ISNUMBER('Council Entry'!R$8),ISNUMBER('Council Entry'!R$9)),MAX(MIN('Council Entry'!R169,'Council Entry'!R$9),'Council Entry'!R$8),'Council Entry'!R169))))-'Council Entry'!R$5)/('Council Entry'!R$6-'Council Entry'!R$5),10*((IF('Council Entry'!R$4="Logarithm",LN(0.001+IF(AND(ISNUMBER('Council Entry'!R$8),ISNUMBER('Council Entry'!R$9)),MAX(MIN('Council Entry'!R169,'Council Entry'!R$9),'Council Entry'!R$8),'Council Entry'!R169)),IF('Council Entry'!R$4="Exponential",EXP(IF(AND(ISNUMBER('Council Entry'!R$8),ISNUMBER('Council Entry'!R$9)),MAX(MIN('Council Entry'!R169,'Council Entry'!R$9),'Council Entry'!R$8),'Council Entry'!R169)),IF(AND(ISNUMBER('Council Entry'!R$8),ISNUMBER('Council Entry'!R$9)),MAX(MIN('Council Entry'!R169,'Council Entry'!R$9),'Council Entry'!R$8),'Council Entry'!R169))))-'Council Entry'!R$5)/('Council Entry'!R$6-'Council Entry'!R$5)),1))),"No data"))</f>
        <v/>
      </c>
      <c r="S169" s="13">
        <f>IF('Council Entry'!S169="","",IFERROR(MAX(0,MIN(10,ROUND(IF('Council Entry'!S$7="Decrease Risk",10-10*((IF('Council Entry'!S$4="Logarithm",LN(0.001+IF(AND(ISNUMBER('Council Entry'!S$8),ISNUMBER('Council Entry'!S$9)),MAX(MIN('Council Entry'!S169,'Council Entry'!S$9),'Council Entry'!S$8),'Council Entry'!S169)),IF('Council Entry'!S$4="Exponential",EXP(IF(AND(ISNUMBER('Council Entry'!S$8),ISNUMBER('Council Entry'!S$9)),MAX(MIN('Council Entry'!S169,'Council Entry'!S$9),'Council Entry'!S$8),'Council Entry'!S169)),IF(AND(ISNUMBER('Council Entry'!S$8),ISNUMBER('Council Entry'!S$9)),MAX(MIN('Council Entry'!S169,'Council Entry'!S$9),'Council Entry'!S$8),'Council Entry'!S169))))-'Council Entry'!S$5)/('Council Entry'!S$6-'Council Entry'!S$5),10*((IF('Council Entry'!S$4="Logarithm",LN(0.001+IF(AND(ISNUMBER('Council Entry'!S$8),ISNUMBER('Council Entry'!S$9)),MAX(MIN('Council Entry'!S169,'Council Entry'!S$9),'Council Entry'!S$8),'Council Entry'!S169)),IF('Council Entry'!S$4="Exponential",EXP(IF(AND(ISNUMBER('Council Entry'!S$8),ISNUMBER('Council Entry'!S$9)),MAX(MIN('Council Entry'!S169,'Council Entry'!S$9),'Council Entry'!S$8),'Council Entry'!S169)),IF(AND(ISNUMBER('Council Entry'!S$8),ISNUMBER('Council Entry'!S$9)),MAX(MIN('Council Entry'!S169,'Council Entry'!S$9),'Council Entry'!S$8),'Council Entry'!S169))))-'Council Entry'!S$5)/('Council Entry'!S$6-'Council Entry'!S$5)),1))),"No data"))</f>
        <v/>
      </c>
      <c r="T169" s="13">
        <f>IF('Council Entry'!T169="","",IFERROR(MAX(0,MIN(10,ROUND(IF('Council Entry'!T$7="Decrease Risk",10-10*((IF('Council Entry'!T$4="Logarithm",LN(0.001+IF(AND(ISNUMBER('Council Entry'!T$8),ISNUMBER('Council Entry'!T$9)),MAX(MIN('Council Entry'!T169,'Council Entry'!T$9),'Council Entry'!T$8),'Council Entry'!T169)),IF('Council Entry'!T$4="Exponential",EXP(IF(AND(ISNUMBER('Council Entry'!T$8),ISNUMBER('Council Entry'!T$9)),MAX(MIN('Council Entry'!T169,'Council Entry'!T$9),'Council Entry'!T$8),'Council Entry'!T169)),IF(AND(ISNUMBER('Council Entry'!T$8),ISNUMBER('Council Entry'!T$9)),MAX(MIN('Council Entry'!T169,'Council Entry'!T$9),'Council Entry'!T$8),'Council Entry'!T169))))-'Council Entry'!T$5)/('Council Entry'!T$6-'Council Entry'!T$5),10*((IF('Council Entry'!T$4="Logarithm",LN(0.001+IF(AND(ISNUMBER('Council Entry'!T$8),ISNUMBER('Council Entry'!T$9)),MAX(MIN('Council Entry'!T169,'Council Entry'!T$9),'Council Entry'!T$8),'Council Entry'!T169)),IF('Council Entry'!T$4="Exponential",EXP(IF(AND(ISNUMBER('Council Entry'!T$8),ISNUMBER('Council Entry'!T$9)),MAX(MIN('Council Entry'!T169,'Council Entry'!T$9),'Council Entry'!T$8),'Council Entry'!T169)),IF(AND(ISNUMBER('Council Entry'!T$8),ISNUMBER('Council Entry'!T$9)),MAX(MIN('Council Entry'!T169,'Council Entry'!T$9),'Council Entry'!T$8),'Council Entry'!T169))))-'Council Entry'!T$5)/('Council Entry'!T$6-'Council Entry'!T$5)),1))),"No data"))</f>
        <v/>
      </c>
      <c r="U169" s="13">
        <f>IF('Council Entry'!U169="","",IFERROR(MAX(0,MIN(10,ROUND(IF('Council Entry'!U$7="Decrease Risk",10-10*((IF('Council Entry'!U$4="Logarithm",LN(0.001+IF(AND(ISNUMBER('Council Entry'!U$8),ISNUMBER('Council Entry'!U$9)),MAX(MIN('Council Entry'!U169,'Council Entry'!U$9),'Council Entry'!U$8),'Council Entry'!U169)),IF('Council Entry'!U$4="Exponential",EXP(IF(AND(ISNUMBER('Council Entry'!U$8),ISNUMBER('Council Entry'!U$9)),MAX(MIN('Council Entry'!U169,'Council Entry'!U$9),'Council Entry'!U$8),'Council Entry'!U169)),IF(AND(ISNUMBER('Council Entry'!U$8),ISNUMBER('Council Entry'!U$9)),MAX(MIN('Council Entry'!U169,'Council Entry'!U$9),'Council Entry'!U$8),'Council Entry'!U169))))-'Council Entry'!U$5)/('Council Entry'!U$6-'Council Entry'!U$5),10*((IF('Council Entry'!U$4="Logarithm",LN(0.001+IF(AND(ISNUMBER('Council Entry'!U$8),ISNUMBER('Council Entry'!U$9)),MAX(MIN('Council Entry'!U169,'Council Entry'!U$9),'Council Entry'!U$8),'Council Entry'!U169)),IF('Council Entry'!U$4="Exponential",EXP(IF(AND(ISNUMBER('Council Entry'!U$8),ISNUMBER('Council Entry'!U$9)),MAX(MIN('Council Entry'!U169,'Council Entry'!U$9),'Council Entry'!U$8),'Council Entry'!U169)),IF(AND(ISNUMBER('Council Entry'!U$8),ISNUMBER('Council Entry'!U$9)),MAX(MIN('Council Entry'!U169,'Council Entry'!U$9),'Council Entry'!U$8),'Council Entry'!U169))))-'Council Entry'!U$5)/('Council Entry'!U$6-'Council Entry'!U$5)),1))),"No data"))</f>
        <v/>
      </c>
      <c r="V169" s="13">
        <f>IF('Council Entry'!V169="","",IFERROR(MAX(0,MIN(10,ROUND(IF('Council Entry'!V$7="Decrease Risk",10-10*((IF('Council Entry'!V$4="Logarithm",LN(0.001+IF(AND(ISNUMBER('Council Entry'!V$8),ISNUMBER('Council Entry'!V$9)),MAX(MIN('Council Entry'!V169,'Council Entry'!V$9),'Council Entry'!V$8),'Council Entry'!V169)),IF('Council Entry'!V$4="Exponential",EXP(IF(AND(ISNUMBER('Council Entry'!V$8),ISNUMBER('Council Entry'!V$9)),MAX(MIN('Council Entry'!V169,'Council Entry'!V$9),'Council Entry'!V$8),'Council Entry'!V169)),IF(AND(ISNUMBER('Council Entry'!V$8),ISNUMBER('Council Entry'!V$9)),MAX(MIN('Council Entry'!V169,'Council Entry'!V$9),'Council Entry'!V$8),'Council Entry'!V169))))-'Council Entry'!V$5)/('Council Entry'!V$6-'Council Entry'!V$5),10*((IF('Council Entry'!V$4="Logarithm",LN(0.001+IF(AND(ISNUMBER('Council Entry'!V$8),ISNUMBER('Council Entry'!V$9)),MAX(MIN('Council Entry'!V169,'Council Entry'!V$9),'Council Entry'!V$8),'Council Entry'!V169)),IF('Council Entry'!V$4="Exponential",EXP(IF(AND(ISNUMBER('Council Entry'!V$8),ISNUMBER('Council Entry'!V$9)),MAX(MIN('Council Entry'!V169,'Council Entry'!V$9),'Council Entry'!V$8),'Council Entry'!V169)),IF(AND(ISNUMBER('Council Entry'!V$8),ISNUMBER('Council Entry'!V$9)),MAX(MIN('Council Entry'!V169,'Council Entry'!V$9),'Council Entry'!V$8),'Council Entry'!V169))))-'Council Entry'!V$5)/('Council Entry'!V$6-'Council Entry'!V$5)),1))),"No data"))</f>
        <v/>
      </c>
      <c r="W169" s="13">
        <f>IF('Council Entry'!W169="","",IFERROR(MAX(0,MIN(10,ROUND(IF('Council Entry'!W$7="Decrease Risk",10-10*((IF('Council Entry'!W$4="Logarithm",LN(0.001+IF(AND(ISNUMBER('Council Entry'!W$8),ISNUMBER('Council Entry'!W$9)),MAX(MIN('Council Entry'!W169,'Council Entry'!W$9),'Council Entry'!W$8),'Council Entry'!W169)),IF('Council Entry'!W$4="Exponential",EXP(IF(AND(ISNUMBER('Council Entry'!W$8),ISNUMBER('Council Entry'!W$9)),MAX(MIN('Council Entry'!W169,'Council Entry'!W$9),'Council Entry'!W$8),'Council Entry'!W169)),IF(AND(ISNUMBER('Council Entry'!W$8),ISNUMBER('Council Entry'!W$9)),MAX(MIN('Council Entry'!W169,'Council Entry'!W$9),'Council Entry'!W$8),'Council Entry'!W169))))-'Council Entry'!W$5)/('Council Entry'!W$6-'Council Entry'!W$5),10*((IF('Council Entry'!W$4="Logarithm",LN(0.001+IF(AND(ISNUMBER('Council Entry'!W$8),ISNUMBER('Council Entry'!W$9)),MAX(MIN('Council Entry'!W169,'Council Entry'!W$9),'Council Entry'!W$8),'Council Entry'!W169)),IF('Council Entry'!W$4="Exponential",EXP(IF(AND(ISNUMBER('Council Entry'!W$8),ISNUMBER('Council Entry'!W$9)),MAX(MIN('Council Entry'!W169,'Council Entry'!W$9),'Council Entry'!W$8),'Council Entry'!W169)),IF(AND(ISNUMBER('Council Entry'!W$8),ISNUMBER('Council Entry'!W$9)),MAX(MIN('Council Entry'!W169,'Council Entry'!W$9),'Council Entry'!W$8),'Council Entry'!W169))))-'Council Entry'!W$5)/('Council Entry'!W$6-'Council Entry'!W$5)),1))),"No data"))</f>
        <v/>
      </c>
      <c r="X169" s="13">
        <f>IF('Council Entry'!X169="","",IFERROR(MAX(0,MIN(10,ROUND(IF('Council Entry'!X$7="Decrease Risk",10-10*((IF('Council Entry'!X$4="Logarithm",LN(0.001+IF(AND(ISNUMBER('Council Entry'!X$8),ISNUMBER('Council Entry'!X$9)),MAX(MIN('Council Entry'!X169,'Council Entry'!X$9),'Council Entry'!X$8),'Council Entry'!X169)),IF('Council Entry'!X$4="Exponential",EXP(IF(AND(ISNUMBER('Council Entry'!X$8),ISNUMBER('Council Entry'!X$9)),MAX(MIN('Council Entry'!X169,'Council Entry'!X$9),'Council Entry'!X$8),'Council Entry'!X169)),IF(AND(ISNUMBER('Council Entry'!X$8),ISNUMBER('Council Entry'!X$9)),MAX(MIN('Council Entry'!X169,'Council Entry'!X$9),'Council Entry'!X$8),'Council Entry'!X169))))-'Council Entry'!X$5)/('Council Entry'!X$6-'Council Entry'!X$5),10*((IF('Council Entry'!X$4="Logarithm",LN(0.001+IF(AND(ISNUMBER('Council Entry'!X$8),ISNUMBER('Council Entry'!X$9)),MAX(MIN('Council Entry'!X169,'Council Entry'!X$9),'Council Entry'!X$8),'Council Entry'!X169)),IF('Council Entry'!X$4="Exponential",EXP(IF(AND(ISNUMBER('Council Entry'!X$8),ISNUMBER('Council Entry'!X$9)),MAX(MIN('Council Entry'!X169,'Council Entry'!X$9),'Council Entry'!X$8),'Council Entry'!X169)),IF(AND(ISNUMBER('Council Entry'!X$8),ISNUMBER('Council Entry'!X$9)),MAX(MIN('Council Entry'!X169,'Council Entry'!X$9),'Council Entry'!X$8),'Council Entry'!X169))))-'Council Entry'!X$5)/('Council Entry'!X$6-'Council Entry'!X$5)),1))),"No data"))</f>
        <v/>
      </c>
      <c r="Y169" s="13">
        <f>IF('Council Entry'!Y169="","",IFERROR(MAX(0,MIN(10,ROUND(IF('Council Entry'!Y$7="Decrease Risk",10-10*((IF('Council Entry'!Y$4="Logarithm",LN(0.001+IF(AND(ISNUMBER('Council Entry'!Y$8),ISNUMBER('Council Entry'!Y$9)),MAX(MIN('Council Entry'!Y169,'Council Entry'!Y$9),'Council Entry'!Y$8),'Council Entry'!Y169)),IF('Council Entry'!Y$4="Exponential",EXP(IF(AND(ISNUMBER('Council Entry'!Y$8),ISNUMBER('Council Entry'!Y$9)),MAX(MIN('Council Entry'!Y169,'Council Entry'!Y$9),'Council Entry'!Y$8),'Council Entry'!Y169)),IF(AND(ISNUMBER('Council Entry'!Y$8),ISNUMBER('Council Entry'!Y$9)),MAX(MIN('Council Entry'!Y169,'Council Entry'!Y$9),'Council Entry'!Y$8),'Council Entry'!Y169))))-'Council Entry'!Y$5)/('Council Entry'!Y$6-'Council Entry'!Y$5),10*((IF('Council Entry'!Y$4="Logarithm",LN(0.001+IF(AND(ISNUMBER('Council Entry'!Y$8),ISNUMBER('Council Entry'!Y$9)),MAX(MIN('Council Entry'!Y169,'Council Entry'!Y$9),'Council Entry'!Y$8),'Council Entry'!Y169)),IF('Council Entry'!Y$4="Exponential",EXP(IF(AND(ISNUMBER('Council Entry'!Y$8),ISNUMBER('Council Entry'!Y$9)),MAX(MIN('Council Entry'!Y169,'Council Entry'!Y$9),'Council Entry'!Y$8),'Council Entry'!Y169)),IF(AND(ISNUMBER('Council Entry'!Y$8),ISNUMBER('Council Entry'!Y$9)),MAX(MIN('Council Entry'!Y169,'Council Entry'!Y$9),'Council Entry'!Y$8),'Council Entry'!Y169))))-'Council Entry'!Y$5)/('Council Entry'!Y$6-'Council Entry'!Y$5)),1))),"No data"))</f>
        <v/>
      </c>
      <c r="Z169" s="13">
        <f>IF('Council Entry'!Z169="","",IFERROR(MAX(0,MIN(10,ROUND(IF('Council Entry'!Z$7="Decrease Risk",10-10*((IF('Council Entry'!Z$4="Logarithm",LN(0.001+IF(AND(ISNUMBER('Council Entry'!Z$8),ISNUMBER('Council Entry'!Z$9)),MAX(MIN('Council Entry'!Z169,'Council Entry'!Z$9),'Council Entry'!Z$8),'Council Entry'!Z169)),IF('Council Entry'!Z$4="Exponential",EXP(IF(AND(ISNUMBER('Council Entry'!Z$8),ISNUMBER('Council Entry'!Z$9)),MAX(MIN('Council Entry'!Z169,'Council Entry'!Z$9),'Council Entry'!Z$8),'Council Entry'!Z169)),IF(AND(ISNUMBER('Council Entry'!Z$8),ISNUMBER('Council Entry'!Z$9)),MAX(MIN('Council Entry'!Z169,'Council Entry'!Z$9),'Council Entry'!Z$8),'Council Entry'!Z169))))-'Council Entry'!Z$5)/('Council Entry'!Z$6-'Council Entry'!Z$5),10*((IF('Council Entry'!Z$4="Logarithm",LN(0.001+IF(AND(ISNUMBER('Council Entry'!Z$8),ISNUMBER('Council Entry'!Z$9)),MAX(MIN('Council Entry'!Z169,'Council Entry'!Z$9),'Council Entry'!Z$8),'Council Entry'!Z169)),IF('Council Entry'!Z$4="Exponential",EXP(IF(AND(ISNUMBER('Council Entry'!Z$8),ISNUMBER('Council Entry'!Z$9)),MAX(MIN('Council Entry'!Z169,'Council Entry'!Z$9),'Council Entry'!Z$8),'Council Entry'!Z169)),IF(AND(ISNUMBER('Council Entry'!Z$8),ISNUMBER('Council Entry'!Z$9)),MAX(MIN('Council Entry'!Z169,'Council Entry'!Z$9),'Council Entry'!Z$8),'Council Entry'!Z169))))-'Council Entry'!Z$5)/('Council Entry'!Z$6-'Council Entry'!Z$5)),1))),"No data"))</f>
        <v/>
      </c>
      <c r="AA169" s="13">
        <f>IF('Council Entry'!AA169="","",IFERROR(MAX(0,MIN(10,ROUND(IF('Council Entry'!AA$7="Decrease Risk",10-10*((IF('Council Entry'!AA$4="Logarithm",LN(0.001+IF(AND(ISNUMBER('Council Entry'!AA$8),ISNUMBER('Council Entry'!AA$9)),MAX(MIN('Council Entry'!AA169,'Council Entry'!AA$9),'Council Entry'!AA$8),'Council Entry'!AA169)),IF('Council Entry'!AA$4="Exponential",EXP(IF(AND(ISNUMBER('Council Entry'!AA$8),ISNUMBER('Council Entry'!AA$9)),MAX(MIN('Council Entry'!AA169,'Council Entry'!AA$9),'Council Entry'!AA$8),'Council Entry'!AA169)),IF(AND(ISNUMBER('Council Entry'!AA$8),ISNUMBER('Council Entry'!AA$9)),MAX(MIN('Council Entry'!AA169,'Council Entry'!AA$9),'Council Entry'!AA$8),'Council Entry'!AA169))))-'Council Entry'!AA$5)/('Council Entry'!AA$6-'Council Entry'!AA$5),10*((IF('Council Entry'!AA$4="Logarithm",LN(0.001+IF(AND(ISNUMBER('Council Entry'!AA$8),ISNUMBER('Council Entry'!AA$9)),MAX(MIN('Council Entry'!AA169,'Council Entry'!AA$9),'Council Entry'!AA$8),'Council Entry'!AA169)),IF('Council Entry'!AA$4="Exponential",EXP(IF(AND(ISNUMBER('Council Entry'!AA$8),ISNUMBER('Council Entry'!AA$9)),MAX(MIN('Council Entry'!AA169,'Council Entry'!AA$9),'Council Entry'!AA$8),'Council Entry'!AA169)),IF(AND(ISNUMBER('Council Entry'!AA$8),ISNUMBER('Council Entry'!AA$9)),MAX(MIN('Council Entry'!AA169,'Council Entry'!AA$9),'Council Entry'!AA$8),'Council Entry'!AA169))))-'Council Entry'!AA$5)/('Council Entry'!AA$6-'Council Entry'!AA$5)),1))),"No data"))</f>
        <v/>
      </c>
      <c r="AB169" s="13">
        <f>IF('Council Entry'!AB169="","",IFERROR(MAX(0,MIN(10,ROUND(IF('Council Entry'!AB$7="Decrease Risk",10-10*((IF('Council Entry'!AB$4="Logarithm",LN(0.001+IF(AND(ISNUMBER('Council Entry'!AB$8),ISNUMBER('Council Entry'!AB$9)),MAX(MIN('Council Entry'!AB169,'Council Entry'!AB$9),'Council Entry'!AB$8),'Council Entry'!AB169)),IF('Council Entry'!AB$4="Exponential",EXP(IF(AND(ISNUMBER('Council Entry'!AB$8),ISNUMBER('Council Entry'!AB$9)),MAX(MIN('Council Entry'!AB169,'Council Entry'!AB$9),'Council Entry'!AB$8),'Council Entry'!AB169)),IF(AND(ISNUMBER('Council Entry'!AB$8),ISNUMBER('Council Entry'!AB$9)),MAX(MIN('Council Entry'!AB169,'Council Entry'!AB$9),'Council Entry'!AB$8),'Council Entry'!AB169))))-'Council Entry'!AB$5)/('Council Entry'!AB$6-'Council Entry'!AB$5),10*((IF('Council Entry'!AB$4="Logarithm",LN(0.001+IF(AND(ISNUMBER('Council Entry'!AB$8),ISNUMBER('Council Entry'!AB$9)),MAX(MIN('Council Entry'!AB169,'Council Entry'!AB$9),'Council Entry'!AB$8),'Council Entry'!AB169)),IF('Council Entry'!AB$4="Exponential",EXP(IF(AND(ISNUMBER('Council Entry'!AB$8),ISNUMBER('Council Entry'!AB$9)),MAX(MIN('Council Entry'!AB169,'Council Entry'!AB$9),'Council Entry'!AB$8),'Council Entry'!AB169)),IF(AND(ISNUMBER('Council Entry'!AB$8),ISNUMBER('Council Entry'!AB$9)),MAX(MIN('Council Entry'!AB169,'Council Entry'!AB$9),'Council Entry'!AB$8),'Council Entry'!AB169))))-'Council Entry'!AB$5)/('Council Entry'!AB$6-'Council Entry'!AB$5)),1))),"No data"))</f>
        <v/>
      </c>
      <c r="AC169" s="13">
        <f>IF('Council Entry'!AC169="","",IFERROR(MAX(0,MIN(10,ROUND(IF('Council Entry'!AC$7="Decrease Risk",10-10*((IF('Council Entry'!AC$4="Logarithm",LN(0.001+IF(AND(ISNUMBER('Council Entry'!AC$8),ISNUMBER('Council Entry'!AC$9)),MAX(MIN('Council Entry'!AC169,'Council Entry'!AC$9),'Council Entry'!AC$8),'Council Entry'!AC169)),IF('Council Entry'!AC$4="Exponential",EXP(IF(AND(ISNUMBER('Council Entry'!AC$8),ISNUMBER('Council Entry'!AC$9)),MAX(MIN('Council Entry'!AC169,'Council Entry'!AC$9),'Council Entry'!AC$8),'Council Entry'!AC169)),IF(AND(ISNUMBER('Council Entry'!AC$8),ISNUMBER('Council Entry'!AC$9)),MAX(MIN('Council Entry'!AC169,'Council Entry'!AC$9),'Council Entry'!AC$8),'Council Entry'!AC169))))-'Council Entry'!AC$5)/('Council Entry'!AC$6-'Council Entry'!AC$5),10*((IF('Council Entry'!AC$4="Logarithm",LN(0.001+IF(AND(ISNUMBER('Council Entry'!AC$8),ISNUMBER('Council Entry'!AC$9)),MAX(MIN('Council Entry'!AC169,'Council Entry'!AC$9),'Council Entry'!AC$8),'Council Entry'!AC169)),IF('Council Entry'!AC$4="Exponential",EXP(IF(AND(ISNUMBER('Council Entry'!AC$8),ISNUMBER('Council Entry'!AC$9)),MAX(MIN('Council Entry'!AC169,'Council Entry'!AC$9),'Council Entry'!AC$8),'Council Entry'!AC169)),IF(AND(ISNUMBER('Council Entry'!AC$8),ISNUMBER('Council Entry'!AC$9)),MAX(MIN('Council Entry'!AC169,'Council Entry'!AC$9),'Council Entry'!AC$8),'Council Entry'!AC169))))-'Council Entry'!AC$5)/('Council Entry'!AC$6-'Council Entry'!AC$5)),1))),"No data"))</f>
        <v/>
      </c>
      <c r="AD169" s="13">
        <f>IF('Council Entry'!AD169="","",IFERROR(MAX(0,MIN(10,ROUND(IF('Council Entry'!AD$7="Decrease Risk",10-10*((IF('Council Entry'!AD$4="Logarithm",LN(0.001+IF(AND(ISNUMBER('Council Entry'!AD$8),ISNUMBER('Council Entry'!AD$9)),MAX(MIN('Council Entry'!AD169,'Council Entry'!AD$9),'Council Entry'!AD$8),'Council Entry'!AD169)),IF('Council Entry'!AD$4="Exponential",EXP(IF(AND(ISNUMBER('Council Entry'!AD$8),ISNUMBER('Council Entry'!AD$9)),MAX(MIN('Council Entry'!AD169,'Council Entry'!AD$9),'Council Entry'!AD$8),'Council Entry'!AD169)),IF(AND(ISNUMBER('Council Entry'!AD$8),ISNUMBER('Council Entry'!AD$9)),MAX(MIN('Council Entry'!AD169,'Council Entry'!AD$9),'Council Entry'!AD$8),'Council Entry'!AD169))))-'Council Entry'!AD$5)/('Council Entry'!AD$6-'Council Entry'!AD$5),10*((IF('Council Entry'!AD$4="Logarithm",LN(0.001+IF(AND(ISNUMBER('Council Entry'!AD$8),ISNUMBER('Council Entry'!AD$9)),MAX(MIN('Council Entry'!AD169,'Council Entry'!AD$9),'Council Entry'!AD$8),'Council Entry'!AD169)),IF('Council Entry'!AD$4="Exponential",EXP(IF(AND(ISNUMBER('Council Entry'!AD$8),ISNUMBER('Council Entry'!AD$9)),MAX(MIN('Council Entry'!AD169,'Council Entry'!AD$9),'Council Entry'!AD$8),'Council Entry'!AD169)),IF(AND(ISNUMBER('Council Entry'!AD$8),ISNUMBER('Council Entry'!AD$9)),MAX(MIN('Council Entry'!AD169,'Council Entry'!AD$9),'Council Entry'!AD$8),'Council Entry'!AD169))))-'Council Entry'!AD$5)/('Council Entry'!AD$6-'Council Entry'!AD$5)),1))),"No data"))</f>
        <v/>
      </c>
      <c r="AE169" s="13">
        <f>IF('Council Entry'!AE169="","",IFERROR(MAX(0,MIN(10,ROUND(IF('Council Entry'!AE$7="Decrease Risk",10-10*((IF('Council Entry'!AE$4="Logarithm",LN(0.001+IF(AND(ISNUMBER('Council Entry'!AE$8),ISNUMBER('Council Entry'!AE$9)),MAX(MIN('Council Entry'!AE169,'Council Entry'!AE$9),'Council Entry'!AE$8),'Council Entry'!AE169)),IF('Council Entry'!AE$4="Exponential",EXP(IF(AND(ISNUMBER('Council Entry'!AE$8),ISNUMBER('Council Entry'!AE$9)),MAX(MIN('Council Entry'!AE169,'Council Entry'!AE$9),'Council Entry'!AE$8),'Council Entry'!AE169)),IF(AND(ISNUMBER('Council Entry'!AE$8),ISNUMBER('Council Entry'!AE$9)),MAX(MIN('Council Entry'!AE169,'Council Entry'!AE$9),'Council Entry'!AE$8),'Council Entry'!AE169))))-'Council Entry'!AE$5)/('Council Entry'!AE$6-'Council Entry'!AE$5),10*((IF('Council Entry'!AE$4="Logarithm",LN(0.001+IF(AND(ISNUMBER('Council Entry'!AE$8),ISNUMBER('Council Entry'!AE$9)),MAX(MIN('Council Entry'!AE169,'Council Entry'!AE$9),'Council Entry'!AE$8),'Council Entry'!AE169)),IF('Council Entry'!AE$4="Exponential",EXP(IF(AND(ISNUMBER('Council Entry'!AE$8),ISNUMBER('Council Entry'!AE$9)),MAX(MIN('Council Entry'!AE169,'Council Entry'!AE$9),'Council Entry'!AE$8),'Council Entry'!AE169)),IF(AND(ISNUMBER('Council Entry'!AE$8),ISNUMBER('Council Entry'!AE$9)),MAX(MIN('Council Entry'!AE169,'Council Entry'!AE$9),'Council Entry'!AE$8),'Council Entry'!AE169))))-'Council Entry'!AE$5)/('Council Entry'!AE$6-'Council Entry'!AE$5)),1))),"No data"))</f>
        <v/>
      </c>
      <c r="AF169" s="13">
        <f>IF('Council Entry'!AF169="","",IFERROR(MAX(0,MIN(10,ROUND(IF('Council Entry'!AF$7="Decrease Risk",10-10*((IF('Council Entry'!AF$4="Logarithm",LN(0.001+IF(AND(ISNUMBER('Council Entry'!AF$8),ISNUMBER('Council Entry'!AF$9)),MAX(MIN('Council Entry'!AF169,'Council Entry'!AF$9),'Council Entry'!AF$8),'Council Entry'!AF169)),IF('Council Entry'!AF$4="Exponential",EXP(IF(AND(ISNUMBER('Council Entry'!AF$8),ISNUMBER('Council Entry'!AF$9)),MAX(MIN('Council Entry'!AF169,'Council Entry'!AF$9),'Council Entry'!AF$8),'Council Entry'!AF169)),IF(AND(ISNUMBER('Council Entry'!AF$8),ISNUMBER('Council Entry'!AF$9)),MAX(MIN('Council Entry'!AF169,'Council Entry'!AF$9),'Council Entry'!AF$8),'Council Entry'!AF169))))-'Council Entry'!AF$5)/('Council Entry'!AF$6-'Council Entry'!AF$5),10*((IF('Council Entry'!AF$4="Logarithm",LN(0.001+IF(AND(ISNUMBER('Council Entry'!AF$8),ISNUMBER('Council Entry'!AF$9)),MAX(MIN('Council Entry'!AF169,'Council Entry'!AF$9),'Council Entry'!AF$8),'Council Entry'!AF169)),IF('Council Entry'!AF$4="Exponential",EXP(IF(AND(ISNUMBER('Council Entry'!AF$8),ISNUMBER('Council Entry'!AF$9)),MAX(MIN('Council Entry'!AF169,'Council Entry'!AF$9),'Council Entry'!AF$8),'Council Entry'!AF169)),IF(AND(ISNUMBER('Council Entry'!AF$8),ISNUMBER('Council Entry'!AF$9)),MAX(MIN('Council Entry'!AF169,'Council Entry'!AF$9),'Council Entry'!AF$8),'Council Entry'!AF169))))-'Council Entry'!AF$5)/('Council Entry'!AF$6-'Council Entry'!AF$5)),1))),"No data"))</f>
        <v/>
      </c>
      <c r="AG169" s="13">
        <f>IF('Council Entry'!AG169="","",IFERROR(MAX(0,MIN(10,ROUND(IF('Council Entry'!AG$7="Decrease Risk",10-10*((IF('Council Entry'!AG$4="Logarithm",LN(0.001+IF(AND(ISNUMBER('Council Entry'!AG$8),ISNUMBER('Council Entry'!AG$9)),MAX(MIN('Council Entry'!AG169,'Council Entry'!AG$9),'Council Entry'!AG$8),'Council Entry'!AG169)),IF('Council Entry'!AG$4="Exponential",EXP(IF(AND(ISNUMBER('Council Entry'!AG$8),ISNUMBER('Council Entry'!AG$9)),MAX(MIN('Council Entry'!AG169,'Council Entry'!AG$9),'Council Entry'!AG$8),'Council Entry'!AG169)),IF(AND(ISNUMBER('Council Entry'!AG$8),ISNUMBER('Council Entry'!AG$9)),MAX(MIN('Council Entry'!AG169,'Council Entry'!AG$9),'Council Entry'!AG$8),'Council Entry'!AG169))))-'Council Entry'!AG$5)/('Council Entry'!AG$6-'Council Entry'!AG$5),10*((IF('Council Entry'!AG$4="Logarithm",LN(0.001+IF(AND(ISNUMBER('Council Entry'!AG$8),ISNUMBER('Council Entry'!AG$9)),MAX(MIN('Council Entry'!AG169,'Council Entry'!AG$9),'Council Entry'!AG$8),'Council Entry'!AG169)),IF('Council Entry'!AG$4="Exponential",EXP(IF(AND(ISNUMBER('Council Entry'!AG$8),ISNUMBER('Council Entry'!AG$9)),MAX(MIN('Council Entry'!AG169,'Council Entry'!AG$9),'Council Entry'!AG$8),'Council Entry'!AG169)),IF(AND(ISNUMBER('Council Entry'!AG$8),ISNUMBER('Council Entry'!AG$9)),MAX(MIN('Council Entry'!AG169,'Council Entry'!AG$9),'Council Entry'!AG$8),'Council Entry'!AG169))))-'Council Entry'!AG$5)/('Council Entry'!AG$6-'Council Entry'!AG$5)),1))),"No data"))</f>
        <v/>
      </c>
      <c r="AH169" s="13">
        <f>IF('Council Entry'!AH169="","",IFERROR(MAX(0,MIN(10,ROUND(IF('Council Entry'!AH$7="Decrease Risk",10-10*((IF('Council Entry'!AH$4="Logarithm",LN(0.001+IF(AND(ISNUMBER('Council Entry'!AH$8),ISNUMBER('Council Entry'!AH$9)),MAX(MIN('Council Entry'!AH169,'Council Entry'!AH$9),'Council Entry'!AH$8),'Council Entry'!AH169)),IF('Council Entry'!AH$4="Exponential",EXP(IF(AND(ISNUMBER('Council Entry'!AH$8),ISNUMBER('Council Entry'!AH$9)),MAX(MIN('Council Entry'!AH169,'Council Entry'!AH$9),'Council Entry'!AH$8),'Council Entry'!AH169)),IF(AND(ISNUMBER('Council Entry'!AH$8),ISNUMBER('Council Entry'!AH$9)),MAX(MIN('Council Entry'!AH169,'Council Entry'!AH$9),'Council Entry'!AH$8),'Council Entry'!AH169))))-'Council Entry'!AH$5)/('Council Entry'!AH$6-'Council Entry'!AH$5),10*((IF('Council Entry'!AH$4="Logarithm",LN(0.001+IF(AND(ISNUMBER('Council Entry'!AH$8),ISNUMBER('Council Entry'!AH$9)),MAX(MIN('Council Entry'!AH169,'Council Entry'!AH$9),'Council Entry'!AH$8),'Council Entry'!AH169)),IF('Council Entry'!AH$4="Exponential",EXP(IF(AND(ISNUMBER('Council Entry'!AH$8),ISNUMBER('Council Entry'!AH$9)),MAX(MIN('Council Entry'!AH169,'Council Entry'!AH$9),'Council Entry'!AH$8),'Council Entry'!AH169)),IF(AND(ISNUMBER('Council Entry'!AH$8),ISNUMBER('Council Entry'!AH$9)),MAX(MIN('Council Entry'!AH169,'Council Entry'!AH$9),'Council Entry'!AH$8),'Council Entry'!AH169))))-'Council Entry'!AH$5)/('Council Entry'!AH$6-'Council Entry'!AH$5)),1))),"No data"))</f>
        <v/>
      </c>
      <c r="AI169" s="13">
        <f>IF('Council Entry'!AI169="","",IFERROR(MAX(0,MIN(10,ROUND(IF('Council Entry'!AI$7="Decrease Risk",10-10*((IF('Council Entry'!AI$4="Logarithm",LN(0.001+IF(AND(ISNUMBER('Council Entry'!AI$8),ISNUMBER('Council Entry'!AI$9)),MAX(MIN('Council Entry'!AI169,'Council Entry'!AI$9),'Council Entry'!AI$8),'Council Entry'!AI169)),IF('Council Entry'!AI$4="Exponential",EXP(IF(AND(ISNUMBER('Council Entry'!AI$8),ISNUMBER('Council Entry'!AI$9)),MAX(MIN('Council Entry'!AI169,'Council Entry'!AI$9),'Council Entry'!AI$8),'Council Entry'!AI169)),IF(AND(ISNUMBER('Council Entry'!AI$8),ISNUMBER('Council Entry'!AI$9)),MAX(MIN('Council Entry'!AI169,'Council Entry'!AI$9),'Council Entry'!AI$8),'Council Entry'!AI169))))-'Council Entry'!AI$5)/('Council Entry'!AI$6-'Council Entry'!AI$5),10*((IF('Council Entry'!AI$4="Logarithm",LN(0.001+IF(AND(ISNUMBER('Council Entry'!AI$8),ISNUMBER('Council Entry'!AI$9)),MAX(MIN('Council Entry'!AI169,'Council Entry'!AI$9),'Council Entry'!AI$8),'Council Entry'!AI169)),IF('Council Entry'!AI$4="Exponential",EXP(IF(AND(ISNUMBER('Council Entry'!AI$8),ISNUMBER('Council Entry'!AI$9)),MAX(MIN('Council Entry'!AI169,'Council Entry'!AI$9),'Council Entry'!AI$8),'Council Entry'!AI169)),IF(AND(ISNUMBER('Council Entry'!AI$8),ISNUMBER('Council Entry'!AI$9)),MAX(MIN('Council Entry'!AI169,'Council Entry'!AI$9),'Council Entry'!AI$8),'Council Entry'!AI169))))-'Council Entry'!AI$5)/('Council Entry'!AI$6-'Council Entry'!AI$5)),1))),"No data"))</f>
        <v/>
      </c>
      <c r="AJ169" s="13">
        <f>IF('Council Entry'!AJ169="","",IFERROR(MAX(0,MIN(10,ROUND(IF('Council Entry'!AJ$7="Decrease Risk",10-10*((IF('Council Entry'!AJ$4="Logarithm",LN(0.001+IF(AND(ISNUMBER('Council Entry'!AJ$8),ISNUMBER('Council Entry'!AJ$9)),MAX(MIN('Council Entry'!AJ169,'Council Entry'!AJ$9),'Council Entry'!AJ$8),'Council Entry'!AJ169)),IF('Council Entry'!AJ$4="Exponential",EXP(IF(AND(ISNUMBER('Council Entry'!AJ$8),ISNUMBER('Council Entry'!AJ$9)),MAX(MIN('Council Entry'!AJ169,'Council Entry'!AJ$9),'Council Entry'!AJ$8),'Council Entry'!AJ169)),IF(AND(ISNUMBER('Council Entry'!AJ$8),ISNUMBER('Council Entry'!AJ$9)),MAX(MIN('Council Entry'!AJ169,'Council Entry'!AJ$9),'Council Entry'!AJ$8),'Council Entry'!AJ169))))-'Council Entry'!AJ$5)/('Council Entry'!AJ$6-'Council Entry'!AJ$5),10*((IF('Council Entry'!AJ$4="Logarithm",LN(0.001+IF(AND(ISNUMBER('Council Entry'!AJ$8),ISNUMBER('Council Entry'!AJ$9)),MAX(MIN('Council Entry'!AJ169,'Council Entry'!AJ$9),'Council Entry'!AJ$8),'Council Entry'!AJ169)),IF('Council Entry'!AJ$4="Exponential",EXP(IF(AND(ISNUMBER('Council Entry'!AJ$8),ISNUMBER('Council Entry'!AJ$9)),MAX(MIN('Council Entry'!AJ169,'Council Entry'!AJ$9),'Council Entry'!AJ$8),'Council Entry'!AJ169)),IF(AND(ISNUMBER('Council Entry'!AJ$8),ISNUMBER('Council Entry'!AJ$9)),MAX(MIN('Council Entry'!AJ169,'Council Entry'!AJ$9),'Council Entry'!AJ$8),'Council Entry'!AJ169))))-'Council Entry'!AJ$5)/('Council Entry'!AJ$6-'Council Entry'!AJ$5)),1))),"No data"))</f>
        <v/>
      </c>
      <c r="AK169" s="13">
        <f>IF('Council Entry'!AK169="","",IFERROR(MAX(0,MIN(10,ROUND(IF('Council Entry'!AK$7="Decrease Risk",10-10*((IF('Council Entry'!AK$4="Logarithm",LN(0.001+IF(AND(ISNUMBER('Council Entry'!AK$8),ISNUMBER('Council Entry'!AK$9)),MAX(MIN('Council Entry'!AK169,'Council Entry'!AK$9),'Council Entry'!AK$8),'Council Entry'!AK169)),IF('Council Entry'!AK$4="Exponential",EXP(IF(AND(ISNUMBER('Council Entry'!AK$8),ISNUMBER('Council Entry'!AK$9)),MAX(MIN('Council Entry'!AK169,'Council Entry'!AK$9),'Council Entry'!AK$8),'Council Entry'!AK169)),IF(AND(ISNUMBER('Council Entry'!AK$8),ISNUMBER('Council Entry'!AK$9)),MAX(MIN('Council Entry'!AK169,'Council Entry'!AK$9),'Council Entry'!AK$8),'Council Entry'!AK169))))-'Council Entry'!AK$5)/('Council Entry'!AK$6-'Council Entry'!AK$5),10*((IF('Council Entry'!AK$4="Logarithm",LN(0.001+IF(AND(ISNUMBER('Council Entry'!AK$8),ISNUMBER('Council Entry'!AK$9)),MAX(MIN('Council Entry'!AK169,'Council Entry'!AK$9),'Council Entry'!AK$8),'Council Entry'!AK169)),IF('Council Entry'!AK$4="Exponential",EXP(IF(AND(ISNUMBER('Council Entry'!AK$8),ISNUMBER('Council Entry'!AK$9)),MAX(MIN('Council Entry'!AK169,'Council Entry'!AK$9),'Council Entry'!AK$8),'Council Entry'!AK169)),IF(AND(ISNUMBER('Council Entry'!AK$8),ISNUMBER('Council Entry'!AK$9)),MAX(MIN('Council Entry'!AK169,'Council Entry'!AK$9),'Council Entry'!AK$8),'Council Entry'!AK169))))-'Council Entry'!AK$5)/('Council Entry'!AK$6-'Council Entry'!AK$5)),1))),"No data"))</f>
        <v/>
      </c>
      <c r="AL169" s="13">
        <f>IF('Council Entry'!AL169="","",IFERROR(MAX(0,MIN(10,ROUND(IF('Council Entry'!AL$7="Decrease Risk",10-10*((IF('Council Entry'!AL$4="Logarithm",LN(0.001+IF(AND(ISNUMBER('Council Entry'!AL$8),ISNUMBER('Council Entry'!AL$9)),MAX(MIN('Council Entry'!AL169,'Council Entry'!AL$9),'Council Entry'!AL$8),'Council Entry'!AL169)),IF('Council Entry'!AL$4="Exponential",EXP(IF(AND(ISNUMBER('Council Entry'!AL$8),ISNUMBER('Council Entry'!AL$9)),MAX(MIN('Council Entry'!AL169,'Council Entry'!AL$9),'Council Entry'!AL$8),'Council Entry'!AL169)),IF(AND(ISNUMBER('Council Entry'!AL$8),ISNUMBER('Council Entry'!AL$9)),MAX(MIN('Council Entry'!AL169,'Council Entry'!AL$9),'Council Entry'!AL$8),'Council Entry'!AL169))))-'Council Entry'!AL$5)/('Council Entry'!AL$6-'Council Entry'!AL$5),10*((IF('Council Entry'!AL$4="Logarithm",LN(0.001+IF(AND(ISNUMBER('Council Entry'!AL$8),ISNUMBER('Council Entry'!AL$9)),MAX(MIN('Council Entry'!AL169,'Council Entry'!AL$9),'Council Entry'!AL$8),'Council Entry'!AL169)),IF('Council Entry'!AL$4="Exponential",EXP(IF(AND(ISNUMBER('Council Entry'!AL$8),ISNUMBER('Council Entry'!AL$9)),MAX(MIN('Council Entry'!AL169,'Council Entry'!AL$9),'Council Entry'!AL$8),'Council Entry'!AL169)),IF(AND(ISNUMBER('Council Entry'!AL$8),ISNUMBER('Council Entry'!AL$9)),MAX(MIN('Council Entry'!AL169,'Council Entry'!AL$9),'Council Entry'!AL$8),'Council Entry'!AL169))))-'Council Entry'!AL$5)/('Council Entry'!AL$6-'Council Entry'!AL$5)),1))),"No data"))</f>
        <v/>
      </c>
      <c r="AM169" s="13">
        <f>IF('Council Entry'!AM169="","",IFERROR(MAX(0,MIN(10,ROUND(IF('Council Entry'!AM$7="Decrease Risk",10-10*((IF('Council Entry'!AM$4="Logarithm",LN(0.001+IF(AND(ISNUMBER('Council Entry'!AM$8),ISNUMBER('Council Entry'!AM$9)),MAX(MIN('Council Entry'!AM169,'Council Entry'!AM$9),'Council Entry'!AM$8),'Council Entry'!AM169)),IF('Council Entry'!AM$4="Exponential",EXP(IF(AND(ISNUMBER('Council Entry'!AM$8),ISNUMBER('Council Entry'!AM$9)),MAX(MIN('Council Entry'!AM169,'Council Entry'!AM$9),'Council Entry'!AM$8),'Council Entry'!AM169)),IF(AND(ISNUMBER('Council Entry'!AM$8),ISNUMBER('Council Entry'!AM$9)),MAX(MIN('Council Entry'!AM169,'Council Entry'!AM$9),'Council Entry'!AM$8),'Council Entry'!AM169))))-'Council Entry'!AM$5)/('Council Entry'!AM$6-'Council Entry'!AM$5),10*((IF('Council Entry'!AM$4="Logarithm",LN(0.001+IF(AND(ISNUMBER('Council Entry'!AM$8),ISNUMBER('Council Entry'!AM$9)),MAX(MIN('Council Entry'!AM169,'Council Entry'!AM$9),'Council Entry'!AM$8),'Council Entry'!AM169)),IF('Council Entry'!AM$4="Exponential",EXP(IF(AND(ISNUMBER('Council Entry'!AM$8),ISNUMBER('Council Entry'!AM$9)),MAX(MIN('Council Entry'!AM169,'Council Entry'!AM$9),'Council Entry'!AM$8),'Council Entry'!AM169)),IF(AND(ISNUMBER('Council Entry'!AM$8),ISNUMBER('Council Entry'!AM$9)),MAX(MIN('Council Entry'!AM169,'Council Entry'!AM$9),'Council Entry'!AM$8),'Council Entry'!AM169))))-'Council Entry'!AM$5)/('Council Entry'!AM$6-'Council Entry'!AM$5)),1))),"No data"))</f>
        <v/>
      </c>
      <c r="AN169" s="13">
        <f>IF('Council Entry'!AN169="","",IFERROR(MAX(0,MIN(10,ROUND(IF('Council Entry'!AN$7="Decrease Risk",10-10*((IF('Council Entry'!AN$4="Logarithm",LN(0.001+IF(AND(ISNUMBER('Council Entry'!AN$8),ISNUMBER('Council Entry'!AN$9)),MAX(MIN('Council Entry'!AN169,'Council Entry'!AN$9),'Council Entry'!AN$8),'Council Entry'!AN169)),IF('Council Entry'!AN$4="Exponential",EXP(IF(AND(ISNUMBER('Council Entry'!AN$8),ISNUMBER('Council Entry'!AN$9)),MAX(MIN('Council Entry'!AN169,'Council Entry'!AN$9),'Council Entry'!AN$8),'Council Entry'!AN169)),IF(AND(ISNUMBER('Council Entry'!AN$8),ISNUMBER('Council Entry'!AN$9)),MAX(MIN('Council Entry'!AN169,'Council Entry'!AN$9),'Council Entry'!AN$8),'Council Entry'!AN169))))-'Council Entry'!AN$5)/('Council Entry'!AN$6-'Council Entry'!AN$5),10*((IF('Council Entry'!AN$4="Logarithm",LN(0.001+IF(AND(ISNUMBER('Council Entry'!AN$8),ISNUMBER('Council Entry'!AN$9)),MAX(MIN('Council Entry'!AN169,'Council Entry'!AN$9),'Council Entry'!AN$8),'Council Entry'!AN169)),IF('Council Entry'!AN$4="Exponential",EXP(IF(AND(ISNUMBER('Council Entry'!AN$8),ISNUMBER('Council Entry'!AN$9)),MAX(MIN('Council Entry'!AN169,'Council Entry'!AN$9),'Council Entry'!AN$8),'Council Entry'!AN169)),IF(AND(ISNUMBER('Council Entry'!AN$8),ISNUMBER('Council Entry'!AN$9)),MAX(MIN('Council Entry'!AN169,'Council Entry'!AN$9),'Council Entry'!AN$8),'Council Entry'!AN169))))-'Council Entry'!AN$5)/('Council Entry'!AN$6-'Council Entry'!AN$5)),1))),"No data"))</f>
        <v/>
      </c>
      <c r="AO169" s="13">
        <f>IF('Council Entry'!AO169="","",IFERROR(MAX(0,MIN(10,ROUND(IF('Council Entry'!AO$7="Decrease Risk",10-10*((IF('Council Entry'!AO$4="Logarithm",LN(0.001+IF(AND(ISNUMBER('Council Entry'!AO$8),ISNUMBER('Council Entry'!AO$9)),MAX(MIN('Council Entry'!AO169,'Council Entry'!AO$9),'Council Entry'!AO$8),'Council Entry'!AO169)),IF('Council Entry'!AO$4="Exponential",EXP(IF(AND(ISNUMBER('Council Entry'!AO$8),ISNUMBER('Council Entry'!AO$9)),MAX(MIN('Council Entry'!AO169,'Council Entry'!AO$9),'Council Entry'!AO$8),'Council Entry'!AO169)),IF(AND(ISNUMBER('Council Entry'!AO$8),ISNUMBER('Council Entry'!AO$9)),MAX(MIN('Council Entry'!AO169,'Council Entry'!AO$9),'Council Entry'!AO$8),'Council Entry'!AO169))))-'Council Entry'!AO$5)/('Council Entry'!AO$6-'Council Entry'!AO$5),10*((IF('Council Entry'!AO$4="Logarithm",LN(0.001+IF(AND(ISNUMBER('Council Entry'!AO$8),ISNUMBER('Council Entry'!AO$9)),MAX(MIN('Council Entry'!AO169,'Council Entry'!AO$9),'Council Entry'!AO$8),'Council Entry'!AO169)),IF('Council Entry'!AO$4="Exponential",EXP(IF(AND(ISNUMBER('Council Entry'!AO$8),ISNUMBER('Council Entry'!AO$9)),MAX(MIN('Council Entry'!AO169,'Council Entry'!AO$9),'Council Entry'!AO$8),'Council Entry'!AO169)),IF(AND(ISNUMBER('Council Entry'!AO$8),ISNUMBER('Council Entry'!AO$9)),MAX(MIN('Council Entry'!AO169,'Council Entry'!AO$9),'Council Entry'!AO$8),'Council Entry'!AO169))))-'Council Entry'!AO$5)/('Council Entry'!AO$6-'Council Entry'!AO$5)),1))),"No data"))</f>
        <v/>
      </c>
      <c r="AP169" s="13">
        <f>IF('Council Entry'!AP169="","",IFERROR(MAX(0,MIN(10,ROUND(IF('Council Entry'!AP$7="Decrease Risk",10-10*((IF('Council Entry'!AP$4="Logarithm",LN(0.001+IF(AND(ISNUMBER('Council Entry'!AP$8),ISNUMBER('Council Entry'!AP$9)),MAX(MIN('Council Entry'!AP169,'Council Entry'!AP$9),'Council Entry'!AP$8),'Council Entry'!AP169)),IF('Council Entry'!AP$4="Exponential",EXP(IF(AND(ISNUMBER('Council Entry'!AP$8),ISNUMBER('Council Entry'!AP$9)),MAX(MIN('Council Entry'!AP169,'Council Entry'!AP$9),'Council Entry'!AP$8),'Council Entry'!AP169)),IF(AND(ISNUMBER('Council Entry'!AP$8),ISNUMBER('Council Entry'!AP$9)),MAX(MIN('Council Entry'!AP169,'Council Entry'!AP$9),'Council Entry'!AP$8),'Council Entry'!AP169))))-'Council Entry'!AP$5)/('Council Entry'!AP$6-'Council Entry'!AP$5),10*((IF('Council Entry'!AP$4="Logarithm",LN(0.001+IF(AND(ISNUMBER('Council Entry'!AP$8),ISNUMBER('Council Entry'!AP$9)),MAX(MIN('Council Entry'!AP169,'Council Entry'!AP$9),'Council Entry'!AP$8),'Council Entry'!AP169)),IF('Council Entry'!AP$4="Exponential",EXP(IF(AND(ISNUMBER('Council Entry'!AP$8),ISNUMBER('Council Entry'!AP$9)),MAX(MIN('Council Entry'!AP169,'Council Entry'!AP$9),'Council Entry'!AP$8),'Council Entry'!AP169)),IF(AND(ISNUMBER('Council Entry'!AP$8),ISNUMBER('Council Entry'!AP$9)),MAX(MIN('Council Entry'!AP169,'Council Entry'!AP$9),'Council Entry'!AP$8),'Council Entry'!AP169))))-'Council Entry'!AP$5)/('Council Entry'!AP$6-'Council Entry'!AP$5)),1))),"No data"))</f>
        <v/>
      </c>
      <c r="AQ169" s="13">
        <f>IF('Council Entry'!AQ169="","",IFERROR(MAX(0,MIN(10,ROUND(IF('Council Entry'!AQ$7="Decrease Risk",10-10*((IF('Council Entry'!AQ$4="Logarithm",LN(0.001+IF(AND(ISNUMBER('Council Entry'!AQ$8),ISNUMBER('Council Entry'!AQ$9)),MAX(MIN('Council Entry'!AQ169,'Council Entry'!AQ$9),'Council Entry'!AQ$8),'Council Entry'!AQ169)),IF('Council Entry'!AQ$4="Exponential",EXP(IF(AND(ISNUMBER('Council Entry'!AQ$8),ISNUMBER('Council Entry'!AQ$9)),MAX(MIN('Council Entry'!AQ169,'Council Entry'!AQ$9),'Council Entry'!AQ$8),'Council Entry'!AQ169)),IF(AND(ISNUMBER('Council Entry'!AQ$8),ISNUMBER('Council Entry'!AQ$9)),MAX(MIN('Council Entry'!AQ169,'Council Entry'!AQ$9),'Council Entry'!AQ$8),'Council Entry'!AQ169))))-'Council Entry'!AQ$5)/('Council Entry'!AQ$6-'Council Entry'!AQ$5),10*((IF('Council Entry'!AQ$4="Logarithm",LN(0.001+IF(AND(ISNUMBER('Council Entry'!AQ$8),ISNUMBER('Council Entry'!AQ$9)),MAX(MIN('Council Entry'!AQ169,'Council Entry'!AQ$9),'Council Entry'!AQ$8),'Council Entry'!AQ169)),IF('Council Entry'!AQ$4="Exponential",EXP(IF(AND(ISNUMBER('Council Entry'!AQ$8),ISNUMBER('Council Entry'!AQ$9)),MAX(MIN('Council Entry'!AQ169,'Council Entry'!AQ$9),'Council Entry'!AQ$8),'Council Entry'!AQ169)),IF(AND(ISNUMBER('Council Entry'!AQ$8),ISNUMBER('Council Entry'!AQ$9)),MAX(MIN('Council Entry'!AQ169,'Council Entry'!AQ$9),'Council Entry'!AQ$8),'Council Entry'!AQ169))))-'Council Entry'!AQ$5)/('Council Entry'!AQ$6-'Council Entry'!AQ$5)),1))),"No data"))</f>
        <v/>
      </c>
      <c r="AR169" s="13">
        <f>IF('Council Entry'!AR169="","",IFERROR(MAX(0,MIN(10,ROUND(IF('Council Entry'!AR$7="Decrease Risk",10-10*((IF('Council Entry'!AR$4="Logarithm",LN(0.001+IF(AND(ISNUMBER('Council Entry'!AR$8),ISNUMBER('Council Entry'!AR$9)),MAX(MIN('Council Entry'!AR169,'Council Entry'!AR$9),'Council Entry'!AR$8),'Council Entry'!AR169)),IF('Council Entry'!AR$4="Exponential",EXP(IF(AND(ISNUMBER('Council Entry'!AR$8),ISNUMBER('Council Entry'!AR$9)),MAX(MIN('Council Entry'!AR169,'Council Entry'!AR$9),'Council Entry'!AR$8),'Council Entry'!AR169)),IF(AND(ISNUMBER('Council Entry'!AR$8),ISNUMBER('Council Entry'!AR$9)),MAX(MIN('Council Entry'!AR169,'Council Entry'!AR$9),'Council Entry'!AR$8),'Council Entry'!AR169))))-'Council Entry'!AR$5)/('Council Entry'!AR$6-'Council Entry'!AR$5),10*((IF('Council Entry'!AR$4="Logarithm",LN(0.001+IF(AND(ISNUMBER('Council Entry'!AR$8),ISNUMBER('Council Entry'!AR$9)),MAX(MIN('Council Entry'!AR169,'Council Entry'!AR$9),'Council Entry'!AR$8),'Council Entry'!AR169)),IF('Council Entry'!AR$4="Exponential",EXP(IF(AND(ISNUMBER('Council Entry'!AR$8),ISNUMBER('Council Entry'!AR$9)),MAX(MIN('Council Entry'!AR169,'Council Entry'!AR$9),'Council Entry'!AR$8),'Council Entry'!AR169)),IF(AND(ISNUMBER('Council Entry'!AR$8),ISNUMBER('Council Entry'!AR$9)),MAX(MIN('Council Entry'!AR169,'Council Entry'!AR$9),'Council Entry'!AR$8),'Council Entry'!AR169))))-'Council Entry'!AR$5)/('Council Entry'!AR$6-'Council Entry'!AR$5)),1))),"No data"))</f>
        <v/>
      </c>
      <c r="AS169" s="13">
        <f>IF('Council Entry'!AS169="","",IFERROR(MAX(0,MIN(10,ROUND(IF('Council Entry'!AS$7="Decrease Risk",10-10*((IF('Council Entry'!AS$4="Logarithm",LN(0.001+IF(AND(ISNUMBER('Council Entry'!AS$8),ISNUMBER('Council Entry'!AS$9)),MAX(MIN('Council Entry'!AS169,'Council Entry'!AS$9),'Council Entry'!AS$8),'Council Entry'!AS169)),IF('Council Entry'!AS$4="Exponential",EXP(IF(AND(ISNUMBER('Council Entry'!AS$8),ISNUMBER('Council Entry'!AS$9)),MAX(MIN('Council Entry'!AS169,'Council Entry'!AS$9),'Council Entry'!AS$8),'Council Entry'!AS169)),IF(AND(ISNUMBER('Council Entry'!AS$8),ISNUMBER('Council Entry'!AS$9)),MAX(MIN('Council Entry'!AS169,'Council Entry'!AS$9),'Council Entry'!AS$8),'Council Entry'!AS169))))-'Council Entry'!AS$5)/('Council Entry'!AS$6-'Council Entry'!AS$5),10*((IF('Council Entry'!AS$4="Logarithm",LN(0.001+IF(AND(ISNUMBER('Council Entry'!AS$8),ISNUMBER('Council Entry'!AS$9)),MAX(MIN('Council Entry'!AS169,'Council Entry'!AS$9),'Council Entry'!AS$8),'Council Entry'!AS169)),IF('Council Entry'!AS$4="Exponential",EXP(IF(AND(ISNUMBER('Council Entry'!AS$8),ISNUMBER('Council Entry'!AS$9)),MAX(MIN('Council Entry'!AS169,'Council Entry'!AS$9),'Council Entry'!AS$8),'Council Entry'!AS169)),IF(AND(ISNUMBER('Council Entry'!AS$8),ISNUMBER('Council Entry'!AS$9)),MAX(MIN('Council Entry'!AS169,'Council Entry'!AS$9),'Council Entry'!AS$8),'Council Entry'!AS169))))-'Council Entry'!AS$5)/('Council Entry'!AS$6-'Council Entry'!AS$5)),1))),"No data"))</f>
        <v/>
      </c>
      <c r="AT169" s="13">
        <f>IF('Council Entry'!AT169="","",IFERROR(MAX(0,MIN(10,ROUND(IF('Council Entry'!AT$7="Decrease Risk",10-10*((IF('Council Entry'!AT$4="Logarithm",LN(0.001+IF(AND(ISNUMBER('Council Entry'!AT$8),ISNUMBER('Council Entry'!AT$9)),MAX(MIN('Council Entry'!AT169,'Council Entry'!AT$9),'Council Entry'!AT$8),'Council Entry'!AT169)),IF('Council Entry'!AT$4="Exponential",EXP(IF(AND(ISNUMBER('Council Entry'!AT$8),ISNUMBER('Council Entry'!AT$9)),MAX(MIN('Council Entry'!AT169,'Council Entry'!AT$9),'Council Entry'!AT$8),'Council Entry'!AT169)),IF(AND(ISNUMBER('Council Entry'!AT$8),ISNUMBER('Council Entry'!AT$9)),MAX(MIN('Council Entry'!AT169,'Council Entry'!AT$9),'Council Entry'!AT$8),'Council Entry'!AT169))))-'Council Entry'!AT$5)/('Council Entry'!AT$6-'Council Entry'!AT$5),10*((IF('Council Entry'!AT$4="Logarithm",LN(0.001+IF(AND(ISNUMBER('Council Entry'!AT$8),ISNUMBER('Council Entry'!AT$9)),MAX(MIN('Council Entry'!AT169,'Council Entry'!AT$9),'Council Entry'!AT$8),'Council Entry'!AT169)),IF('Council Entry'!AT$4="Exponential",EXP(IF(AND(ISNUMBER('Council Entry'!AT$8),ISNUMBER('Council Entry'!AT$9)),MAX(MIN('Council Entry'!AT169,'Council Entry'!AT$9),'Council Entry'!AT$8),'Council Entry'!AT169)),IF(AND(ISNUMBER('Council Entry'!AT$8),ISNUMBER('Council Entry'!AT$9)),MAX(MIN('Council Entry'!AT169,'Council Entry'!AT$9),'Council Entry'!AT$8),'Council Entry'!AT169))))-'Council Entry'!AT$5)/('Council Entry'!AT$6-'Council Entry'!AT$5)),1))),"No data"))</f>
        <v/>
      </c>
      <c r="AU169" s="13">
        <f>IF('Council Entry'!AU169="","",IFERROR(MAX(0,MIN(10,ROUND(IF('Council Entry'!AU$7="Decrease Risk",10-10*((IF('Council Entry'!AU$4="Logarithm",LN(0.001+IF(AND(ISNUMBER('Council Entry'!AU$8),ISNUMBER('Council Entry'!AU$9)),MAX(MIN('Council Entry'!AU169,'Council Entry'!AU$9),'Council Entry'!AU$8),'Council Entry'!AU169)),IF('Council Entry'!AU$4="Exponential",EXP(IF(AND(ISNUMBER('Council Entry'!AU$8),ISNUMBER('Council Entry'!AU$9)),MAX(MIN('Council Entry'!AU169,'Council Entry'!AU$9),'Council Entry'!AU$8),'Council Entry'!AU169)),IF(AND(ISNUMBER('Council Entry'!AU$8),ISNUMBER('Council Entry'!AU$9)),MAX(MIN('Council Entry'!AU169,'Council Entry'!AU$9),'Council Entry'!AU$8),'Council Entry'!AU169))))-'Council Entry'!AU$5)/('Council Entry'!AU$6-'Council Entry'!AU$5),10*((IF('Council Entry'!AU$4="Logarithm",LN(0.001+IF(AND(ISNUMBER('Council Entry'!AU$8),ISNUMBER('Council Entry'!AU$9)),MAX(MIN('Council Entry'!AU169,'Council Entry'!AU$9),'Council Entry'!AU$8),'Council Entry'!AU169)),IF('Council Entry'!AU$4="Exponential",EXP(IF(AND(ISNUMBER('Council Entry'!AU$8),ISNUMBER('Council Entry'!AU$9)),MAX(MIN('Council Entry'!AU169,'Council Entry'!AU$9),'Council Entry'!AU$8),'Council Entry'!AU169)),IF(AND(ISNUMBER('Council Entry'!AU$8),ISNUMBER('Council Entry'!AU$9)),MAX(MIN('Council Entry'!AU169,'Council Entry'!AU$9),'Council Entry'!AU$8),'Council Entry'!AU169))))-'Council Entry'!AU$5)/('Council Entry'!AU$6-'Council Entry'!AU$5)),1))),"No data"))</f>
        <v/>
      </c>
      <c r="AV169" s="13">
        <f>IF('Council Entry'!AV169="","",IFERROR(MAX(0,MIN(10,ROUND(IF('Council Entry'!AV$7="Decrease Risk",10-10*((IF('Council Entry'!AV$4="Logarithm",LN(0.001+IF(AND(ISNUMBER('Council Entry'!AV$8),ISNUMBER('Council Entry'!AV$9)),MAX(MIN('Council Entry'!AV169,'Council Entry'!AV$9),'Council Entry'!AV$8),'Council Entry'!AV169)),IF('Council Entry'!AV$4="Exponential",EXP(IF(AND(ISNUMBER('Council Entry'!AV$8),ISNUMBER('Council Entry'!AV$9)),MAX(MIN('Council Entry'!AV169,'Council Entry'!AV$9),'Council Entry'!AV$8),'Council Entry'!AV169)),IF(AND(ISNUMBER('Council Entry'!AV$8),ISNUMBER('Council Entry'!AV$9)),MAX(MIN('Council Entry'!AV169,'Council Entry'!AV$9),'Council Entry'!AV$8),'Council Entry'!AV169))))-'Council Entry'!AV$5)/('Council Entry'!AV$6-'Council Entry'!AV$5),10*((IF('Council Entry'!AV$4="Logarithm",LN(0.001+IF(AND(ISNUMBER('Council Entry'!AV$8),ISNUMBER('Council Entry'!AV$9)),MAX(MIN('Council Entry'!AV169,'Council Entry'!AV$9),'Council Entry'!AV$8),'Council Entry'!AV169)),IF('Council Entry'!AV$4="Exponential",EXP(IF(AND(ISNUMBER('Council Entry'!AV$8),ISNUMBER('Council Entry'!AV$9)),MAX(MIN('Council Entry'!AV169,'Council Entry'!AV$9),'Council Entry'!AV$8),'Council Entry'!AV169)),IF(AND(ISNUMBER('Council Entry'!AV$8),ISNUMBER('Council Entry'!AV$9)),MAX(MIN('Council Entry'!AV169,'Council Entry'!AV$9),'Council Entry'!AV$8),'Council Entry'!AV169))))-'Council Entry'!AV$5)/('Council Entry'!AV$6-'Council Entry'!AV$5)),1))),"No data"))</f>
        <v/>
      </c>
      <c r="AW169" s="13">
        <f>IF('Council Entry'!AW169="","",IFERROR(MAX(0,MIN(10,ROUND(IF('Council Entry'!AW$7="Decrease Risk",10-10*((IF('Council Entry'!AW$4="Logarithm",LN(0.001+IF(AND(ISNUMBER('Council Entry'!AW$8),ISNUMBER('Council Entry'!AW$9)),MAX(MIN('Council Entry'!AW169,'Council Entry'!AW$9),'Council Entry'!AW$8),'Council Entry'!AW169)),IF('Council Entry'!AW$4="Exponential",EXP(IF(AND(ISNUMBER('Council Entry'!AW$8),ISNUMBER('Council Entry'!AW$9)),MAX(MIN('Council Entry'!AW169,'Council Entry'!AW$9),'Council Entry'!AW$8),'Council Entry'!AW169)),IF(AND(ISNUMBER('Council Entry'!AW$8),ISNUMBER('Council Entry'!AW$9)),MAX(MIN('Council Entry'!AW169,'Council Entry'!AW$9),'Council Entry'!AW$8),'Council Entry'!AW169))))-'Council Entry'!AW$5)/('Council Entry'!AW$6-'Council Entry'!AW$5),10*((IF('Council Entry'!AW$4="Logarithm",LN(0.001+IF(AND(ISNUMBER('Council Entry'!AW$8),ISNUMBER('Council Entry'!AW$9)),MAX(MIN('Council Entry'!AW169,'Council Entry'!AW$9),'Council Entry'!AW$8),'Council Entry'!AW169)),IF('Council Entry'!AW$4="Exponential",EXP(IF(AND(ISNUMBER('Council Entry'!AW$8),ISNUMBER('Council Entry'!AW$9)),MAX(MIN('Council Entry'!AW169,'Council Entry'!AW$9),'Council Entry'!AW$8),'Council Entry'!AW169)),IF(AND(ISNUMBER('Council Entry'!AW$8),ISNUMBER('Council Entry'!AW$9)),MAX(MIN('Council Entry'!AW169,'Council Entry'!AW$9),'Council Entry'!AW$8),'Council Entry'!AW169))))-'Council Entry'!AW$5)/('Council Entry'!AW$6-'Council Entry'!AW$5)),1))),"No data"))</f>
        <v/>
      </c>
      <c r="AX169" s="13">
        <f>IF('Council Entry'!AX169="","",IFERROR(MAX(0,MIN(10,ROUND(IF('Council Entry'!AX$7="Decrease Risk",10-10*((IF('Council Entry'!AX$4="Logarithm",LN(0.001+IF(AND(ISNUMBER('Council Entry'!AX$8),ISNUMBER('Council Entry'!AX$9)),MAX(MIN('Council Entry'!AX169,'Council Entry'!AX$9),'Council Entry'!AX$8),'Council Entry'!AX169)),IF('Council Entry'!AX$4="Exponential",EXP(IF(AND(ISNUMBER('Council Entry'!AX$8),ISNUMBER('Council Entry'!AX$9)),MAX(MIN('Council Entry'!AX169,'Council Entry'!AX$9),'Council Entry'!AX$8),'Council Entry'!AX169)),IF(AND(ISNUMBER('Council Entry'!AX$8),ISNUMBER('Council Entry'!AX$9)),MAX(MIN('Council Entry'!AX169,'Council Entry'!AX$9),'Council Entry'!AX$8),'Council Entry'!AX169))))-'Council Entry'!AX$5)/('Council Entry'!AX$6-'Council Entry'!AX$5),10*((IF('Council Entry'!AX$4="Logarithm",LN(0.001+IF(AND(ISNUMBER('Council Entry'!AX$8),ISNUMBER('Council Entry'!AX$9)),MAX(MIN('Council Entry'!AX169,'Council Entry'!AX$9),'Council Entry'!AX$8),'Council Entry'!AX169)),IF('Council Entry'!AX$4="Exponential",EXP(IF(AND(ISNUMBER('Council Entry'!AX$8),ISNUMBER('Council Entry'!AX$9)),MAX(MIN('Council Entry'!AX169,'Council Entry'!AX$9),'Council Entry'!AX$8),'Council Entry'!AX169)),IF(AND(ISNUMBER('Council Entry'!AX$8),ISNUMBER('Council Entry'!AX$9)),MAX(MIN('Council Entry'!AX169,'Council Entry'!AX$9),'Council Entry'!AX$8),'Council Entry'!AX169))))-'Council Entry'!AX$5)/('Council Entry'!AX$6-'Council Entry'!AX$5)),1))),"No data"))</f>
        <v/>
      </c>
      <c r="AY169" s="13">
        <f>IF('Council Entry'!AY169="","",IFERROR(MAX(0,MIN(10,ROUND(IF('Council Entry'!AY$7="Decrease Risk",10-10*((IF('Council Entry'!AY$4="Logarithm",LN(0.001+IF(AND(ISNUMBER('Council Entry'!AY$8),ISNUMBER('Council Entry'!AY$9)),MAX(MIN('Council Entry'!AY169,'Council Entry'!AY$9),'Council Entry'!AY$8),'Council Entry'!AY169)),IF('Council Entry'!AY$4="Exponential",EXP(IF(AND(ISNUMBER('Council Entry'!AY$8),ISNUMBER('Council Entry'!AY$9)),MAX(MIN('Council Entry'!AY169,'Council Entry'!AY$9),'Council Entry'!AY$8),'Council Entry'!AY169)),IF(AND(ISNUMBER('Council Entry'!AY$8),ISNUMBER('Council Entry'!AY$9)),MAX(MIN('Council Entry'!AY169,'Council Entry'!AY$9),'Council Entry'!AY$8),'Council Entry'!AY169))))-'Council Entry'!AY$5)/('Council Entry'!AY$6-'Council Entry'!AY$5),10*((IF('Council Entry'!AY$4="Logarithm",LN(0.001+IF(AND(ISNUMBER('Council Entry'!AY$8),ISNUMBER('Council Entry'!AY$9)),MAX(MIN('Council Entry'!AY169,'Council Entry'!AY$9),'Council Entry'!AY$8),'Council Entry'!AY169)),IF('Council Entry'!AY$4="Exponential",EXP(IF(AND(ISNUMBER('Council Entry'!AY$8),ISNUMBER('Council Entry'!AY$9)),MAX(MIN('Council Entry'!AY169,'Council Entry'!AY$9),'Council Entry'!AY$8),'Council Entry'!AY169)),IF(AND(ISNUMBER('Council Entry'!AY$8),ISNUMBER('Council Entry'!AY$9)),MAX(MIN('Council Entry'!AY169,'Council Entry'!AY$9),'Council Entry'!AY$8),'Council Entry'!AY169))))-'Council Entry'!AY$5)/('Council Entry'!AY$6-'Council Entry'!AY$5)),1))),"No data"))</f>
        <v/>
      </c>
      <c r="AZ169" s="13">
        <f>IF('Council Entry'!AZ169="","",IFERROR(MAX(0,MIN(10,ROUND(IF('Council Entry'!AZ$7="Decrease Risk",10-10*((IF('Council Entry'!AZ$4="Logarithm",LN(0.001+IF(AND(ISNUMBER('Council Entry'!AZ$8),ISNUMBER('Council Entry'!AZ$9)),MAX(MIN('Council Entry'!AZ169,'Council Entry'!AZ$9),'Council Entry'!AZ$8),'Council Entry'!AZ169)),IF('Council Entry'!AZ$4="Exponential",EXP(IF(AND(ISNUMBER('Council Entry'!AZ$8),ISNUMBER('Council Entry'!AZ$9)),MAX(MIN('Council Entry'!AZ169,'Council Entry'!AZ$9),'Council Entry'!AZ$8),'Council Entry'!AZ169)),IF(AND(ISNUMBER('Council Entry'!AZ$8),ISNUMBER('Council Entry'!AZ$9)),MAX(MIN('Council Entry'!AZ169,'Council Entry'!AZ$9),'Council Entry'!AZ$8),'Council Entry'!AZ169))))-'Council Entry'!AZ$5)/('Council Entry'!AZ$6-'Council Entry'!AZ$5),10*((IF('Council Entry'!AZ$4="Logarithm",LN(0.001+IF(AND(ISNUMBER('Council Entry'!AZ$8),ISNUMBER('Council Entry'!AZ$9)),MAX(MIN('Council Entry'!AZ169,'Council Entry'!AZ$9),'Council Entry'!AZ$8),'Council Entry'!AZ169)),IF('Council Entry'!AZ$4="Exponential",EXP(IF(AND(ISNUMBER('Council Entry'!AZ$8),ISNUMBER('Council Entry'!AZ$9)),MAX(MIN('Council Entry'!AZ169,'Council Entry'!AZ$9),'Council Entry'!AZ$8),'Council Entry'!AZ169)),IF(AND(ISNUMBER('Council Entry'!AZ$8),ISNUMBER('Council Entry'!AZ$9)),MAX(MIN('Council Entry'!AZ169,'Council Entry'!AZ$9),'Council Entry'!AZ$8),'Council Entry'!AZ169))))-'Council Entry'!AZ$5)/('Council Entry'!AZ$6-'Council Entry'!AZ$5)),1))),"No data"))</f>
        <v/>
      </c>
      <c r="BA169" s="13">
        <f>IF('Council Entry'!BA169="","",IFERROR(MAX(0,MIN(10,ROUND(IF('Council Entry'!BA$7="Decrease Risk",10-10*((IF('Council Entry'!BA$4="Logarithm",LN(0.001+IF(AND(ISNUMBER('Council Entry'!BA$8),ISNUMBER('Council Entry'!BA$9)),MAX(MIN('Council Entry'!BA169,'Council Entry'!BA$9),'Council Entry'!BA$8),'Council Entry'!BA169)),IF('Council Entry'!BA$4="Exponential",EXP(IF(AND(ISNUMBER('Council Entry'!BA$8),ISNUMBER('Council Entry'!BA$9)),MAX(MIN('Council Entry'!BA169,'Council Entry'!BA$9),'Council Entry'!BA$8),'Council Entry'!BA169)),IF(AND(ISNUMBER('Council Entry'!BA$8),ISNUMBER('Council Entry'!BA$9)),MAX(MIN('Council Entry'!BA169,'Council Entry'!BA$9),'Council Entry'!BA$8),'Council Entry'!BA169))))-'Council Entry'!BA$5)/('Council Entry'!BA$6-'Council Entry'!BA$5),10*((IF('Council Entry'!BA$4="Logarithm",LN(0.001+IF(AND(ISNUMBER('Council Entry'!BA$8),ISNUMBER('Council Entry'!BA$9)),MAX(MIN('Council Entry'!BA169,'Council Entry'!BA$9),'Council Entry'!BA$8),'Council Entry'!BA169)),IF('Council Entry'!BA$4="Exponential",EXP(IF(AND(ISNUMBER('Council Entry'!BA$8),ISNUMBER('Council Entry'!BA$9)),MAX(MIN('Council Entry'!BA169,'Council Entry'!BA$9),'Council Entry'!BA$8),'Council Entry'!BA169)),IF(AND(ISNUMBER('Council Entry'!BA$8),ISNUMBER('Council Entry'!BA$9)),MAX(MIN('Council Entry'!BA169,'Council Entry'!BA$9),'Council Entry'!BA$8),'Council Entry'!BA169))))-'Council Entry'!BA$5)/('Council Entry'!BA$6-'Council Entry'!BA$5)),1))),"No data"))</f>
        <v/>
      </c>
      <c r="BB169" s="13">
        <f>IF('Council Entry'!BB169="","",IFERROR(MAX(0,MIN(10,ROUND(IF('Council Entry'!BB$7="Decrease Risk",10-10*((IF('Council Entry'!BB$4="Logarithm",LN(0.001+IF(AND(ISNUMBER('Council Entry'!BB$8),ISNUMBER('Council Entry'!BB$9)),MAX(MIN('Council Entry'!BB169,'Council Entry'!BB$9),'Council Entry'!BB$8),'Council Entry'!BB169)),IF('Council Entry'!BB$4="Exponential",EXP(IF(AND(ISNUMBER('Council Entry'!BB$8),ISNUMBER('Council Entry'!BB$9)),MAX(MIN('Council Entry'!BB169,'Council Entry'!BB$9),'Council Entry'!BB$8),'Council Entry'!BB169)),IF(AND(ISNUMBER('Council Entry'!BB$8),ISNUMBER('Council Entry'!BB$9)),MAX(MIN('Council Entry'!BB169,'Council Entry'!BB$9),'Council Entry'!BB$8),'Council Entry'!BB169))))-'Council Entry'!BB$5)/('Council Entry'!BB$6-'Council Entry'!BB$5),10*((IF('Council Entry'!BB$4="Logarithm",LN(0.001+IF(AND(ISNUMBER('Council Entry'!BB$8),ISNUMBER('Council Entry'!BB$9)),MAX(MIN('Council Entry'!BB169,'Council Entry'!BB$9),'Council Entry'!BB$8),'Council Entry'!BB169)),IF('Council Entry'!BB$4="Exponential",EXP(IF(AND(ISNUMBER('Council Entry'!BB$8),ISNUMBER('Council Entry'!BB$9)),MAX(MIN('Council Entry'!BB169,'Council Entry'!BB$9),'Council Entry'!BB$8),'Council Entry'!BB169)),IF(AND(ISNUMBER('Council Entry'!BB$8),ISNUMBER('Council Entry'!BB$9)),MAX(MIN('Council Entry'!BB169,'Council Entry'!BB$9),'Council Entry'!BB$8),'Council Entry'!BB169))))-'Council Entry'!BB$5)/('Council Entry'!BB$6-'Council Entry'!BB$5)),1))),"No data"))</f>
        <v/>
      </c>
      <c r="BC169" s="13">
        <f>IF('Council Entry'!BC169="","",IFERROR(MAX(0,MIN(10,ROUND(IF('Council Entry'!BC$7="Decrease Risk",10-10*((IF('Council Entry'!BC$4="Logarithm",LN(0.001+IF(AND(ISNUMBER('Council Entry'!BC$8),ISNUMBER('Council Entry'!BC$9)),MAX(MIN('Council Entry'!BC169,'Council Entry'!BC$9),'Council Entry'!BC$8),'Council Entry'!BC169)),IF('Council Entry'!BC$4="Exponential",EXP(IF(AND(ISNUMBER('Council Entry'!BC$8),ISNUMBER('Council Entry'!BC$9)),MAX(MIN('Council Entry'!BC169,'Council Entry'!BC$9),'Council Entry'!BC$8),'Council Entry'!BC169)),IF(AND(ISNUMBER('Council Entry'!BC$8),ISNUMBER('Council Entry'!BC$9)),MAX(MIN('Council Entry'!BC169,'Council Entry'!BC$9),'Council Entry'!BC$8),'Council Entry'!BC169))))-'Council Entry'!BC$5)/('Council Entry'!BC$6-'Council Entry'!BC$5),10*((IF('Council Entry'!BC$4="Logarithm",LN(0.001+IF(AND(ISNUMBER('Council Entry'!BC$8),ISNUMBER('Council Entry'!BC$9)),MAX(MIN('Council Entry'!BC169,'Council Entry'!BC$9),'Council Entry'!BC$8),'Council Entry'!BC169)),IF('Council Entry'!BC$4="Exponential",EXP(IF(AND(ISNUMBER('Council Entry'!BC$8),ISNUMBER('Council Entry'!BC$9)),MAX(MIN('Council Entry'!BC169,'Council Entry'!BC$9),'Council Entry'!BC$8),'Council Entry'!BC169)),IF(AND(ISNUMBER('Council Entry'!BC$8),ISNUMBER('Council Entry'!BC$9)),MAX(MIN('Council Entry'!BC169,'Council Entry'!BC$9),'Council Entry'!BC$8),'Council Entry'!BC169))))-'Council Entry'!BC$5)/('Council Entry'!BC$6-'Council Entry'!BC$5)),1))),"No data"))</f>
        <v/>
      </c>
      <c r="BD169" s="13">
        <f>IF('Council Entry'!BD169="","",IFERROR(MAX(0,MIN(10,ROUND(IF('Council Entry'!BD$7="Decrease Risk",10-10*((IF('Council Entry'!BD$4="Logarithm",LN(0.001+IF(AND(ISNUMBER('Council Entry'!BD$8),ISNUMBER('Council Entry'!BD$9)),MAX(MIN('Council Entry'!BD169,'Council Entry'!BD$9),'Council Entry'!BD$8),'Council Entry'!BD169)),IF('Council Entry'!BD$4="Exponential",EXP(IF(AND(ISNUMBER('Council Entry'!BD$8),ISNUMBER('Council Entry'!BD$9)),MAX(MIN('Council Entry'!BD169,'Council Entry'!BD$9),'Council Entry'!BD$8),'Council Entry'!BD169)),IF(AND(ISNUMBER('Council Entry'!BD$8),ISNUMBER('Council Entry'!BD$9)),MAX(MIN('Council Entry'!BD169,'Council Entry'!BD$9),'Council Entry'!BD$8),'Council Entry'!BD169))))-'Council Entry'!BD$5)/('Council Entry'!BD$6-'Council Entry'!BD$5),10*((IF('Council Entry'!BD$4="Logarithm",LN(0.001+IF(AND(ISNUMBER('Council Entry'!BD$8),ISNUMBER('Council Entry'!BD$9)),MAX(MIN('Council Entry'!BD169,'Council Entry'!BD$9),'Council Entry'!BD$8),'Council Entry'!BD169)),IF('Council Entry'!BD$4="Exponential",EXP(IF(AND(ISNUMBER('Council Entry'!BD$8),ISNUMBER('Council Entry'!BD$9)),MAX(MIN('Council Entry'!BD169,'Council Entry'!BD$9),'Council Entry'!BD$8),'Council Entry'!BD169)),IF(AND(ISNUMBER('Council Entry'!BD$8),ISNUMBER('Council Entry'!BD$9)),MAX(MIN('Council Entry'!BD169,'Council Entry'!BD$9),'Council Entry'!BD$8),'Council Entry'!BD169))))-'Council Entry'!BD$5)/('Council Entry'!BD$6-'Council Entry'!BD$5)),1))),"No data"))</f>
        <v/>
      </c>
    </row>
    <row r="170">
      <c r="A170" t="inlineStr">
        <is>
          <t>Simiyu</t>
        </is>
      </c>
      <c r="B170" t="inlineStr">
        <is>
          <t>Bariadi Town</t>
        </is>
      </c>
      <c r="C170" t="inlineStr">
        <is>
          <t>C169</t>
        </is>
      </c>
      <c r="D170" s="13">
        <f>IF('Council Entry'!D170="","",IFERROR(MAX(0,MIN(10,ROUND(IF('Council Entry'!D$7="Decrease Risk",10-10*((IF('Council Entry'!D$4="Logarithm",LN(0.001+IF(AND(ISNUMBER('Council Entry'!D$8),ISNUMBER('Council Entry'!D$9)),MAX(MIN('Council Entry'!D170,'Council Entry'!D$9),'Council Entry'!D$8),'Council Entry'!D170)),IF('Council Entry'!D$4="Exponential",EXP(IF(AND(ISNUMBER('Council Entry'!D$8),ISNUMBER('Council Entry'!D$9)),MAX(MIN('Council Entry'!D170,'Council Entry'!D$9),'Council Entry'!D$8),'Council Entry'!D170)),IF(AND(ISNUMBER('Council Entry'!D$8),ISNUMBER('Council Entry'!D$9)),MAX(MIN('Council Entry'!D170,'Council Entry'!D$9),'Council Entry'!D$8),'Council Entry'!D170))))-'Council Entry'!D$5)/('Council Entry'!D$6-'Council Entry'!D$5),10*((IF('Council Entry'!D$4="Logarithm",LN(0.001+IF(AND(ISNUMBER('Council Entry'!D$8),ISNUMBER('Council Entry'!D$9)),MAX(MIN('Council Entry'!D170,'Council Entry'!D$9),'Council Entry'!D$8),'Council Entry'!D170)),IF('Council Entry'!D$4="Exponential",EXP(IF(AND(ISNUMBER('Council Entry'!D$8),ISNUMBER('Council Entry'!D$9)),MAX(MIN('Council Entry'!D170,'Council Entry'!D$9),'Council Entry'!D$8),'Council Entry'!D170)),IF(AND(ISNUMBER('Council Entry'!D$8),ISNUMBER('Council Entry'!D$9)),MAX(MIN('Council Entry'!D170,'Council Entry'!D$9),'Council Entry'!D$8),'Council Entry'!D170))))-'Council Entry'!D$5)/('Council Entry'!D$6-'Council Entry'!D$5)),1))),"No data"))</f>
        <v/>
      </c>
      <c r="E170" s="13">
        <f>IF('Council Entry'!E170="","",IFERROR(MAX(0,MIN(10,ROUND(IF('Council Entry'!E$7="Decrease Risk",10-10*((IF('Council Entry'!E$4="Logarithm",LN(0.001+IF(AND(ISNUMBER('Council Entry'!E$8),ISNUMBER('Council Entry'!E$9)),MAX(MIN('Council Entry'!E170,'Council Entry'!E$9),'Council Entry'!E$8),'Council Entry'!E170)),IF('Council Entry'!E$4="Exponential",EXP(IF(AND(ISNUMBER('Council Entry'!E$8),ISNUMBER('Council Entry'!E$9)),MAX(MIN('Council Entry'!E170,'Council Entry'!E$9),'Council Entry'!E$8),'Council Entry'!E170)),IF(AND(ISNUMBER('Council Entry'!E$8),ISNUMBER('Council Entry'!E$9)),MAX(MIN('Council Entry'!E170,'Council Entry'!E$9),'Council Entry'!E$8),'Council Entry'!E170))))-'Council Entry'!E$5)/('Council Entry'!E$6-'Council Entry'!E$5),10*((IF('Council Entry'!E$4="Logarithm",LN(0.001+IF(AND(ISNUMBER('Council Entry'!E$8),ISNUMBER('Council Entry'!E$9)),MAX(MIN('Council Entry'!E170,'Council Entry'!E$9),'Council Entry'!E$8),'Council Entry'!E170)),IF('Council Entry'!E$4="Exponential",EXP(IF(AND(ISNUMBER('Council Entry'!E$8),ISNUMBER('Council Entry'!E$9)),MAX(MIN('Council Entry'!E170,'Council Entry'!E$9),'Council Entry'!E$8),'Council Entry'!E170)),IF(AND(ISNUMBER('Council Entry'!E$8),ISNUMBER('Council Entry'!E$9)),MAX(MIN('Council Entry'!E170,'Council Entry'!E$9),'Council Entry'!E$8),'Council Entry'!E170))))-'Council Entry'!E$5)/('Council Entry'!E$6-'Council Entry'!E$5)),1))),"No data"))</f>
        <v/>
      </c>
      <c r="F170" s="13">
        <f>IF('Council Entry'!F170="","",IFERROR(MAX(0,MIN(10,ROUND(IF('Council Entry'!F$7="Decrease Risk",10-10*((IF('Council Entry'!F$4="Logarithm",LN(0.001+IF(AND(ISNUMBER('Council Entry'!F$8),ISNUMBER('Council Entry'!F$9)),MAX(MIN('Council Entry'!F170,'Council Entry'!F$9),'Council Entry'!F$8),'Council Entry'!F170)),IF('Council Entry'!F$4="Exponential",EXP(IF(AND(ISNUMBER('Council Entry'!F$8),ISNUMBER('Council Entry'!F$9)),MAX(MIN('Council Entry'!F170,'Council Entry'!F$9),'Council Entry'!F$8),'Council Entry'!F170)),IF(AND(ISNUMBER('Council Entry'!F$8),ISNUMBER('Council Entry'!F$9)),MAX(MIN('Council Entry'!F170,'Council Entry'!F$9),'Council Entry'!F$8),'Council Entry'!F170))))-'Council Entry'!F$5)/('Council Entry'!F$6-'Council Entry'!F$5),10*((IF('Council Entry'!F$4="Logarithm",LN(0.001+IF(AND(ISNUMBER('Council Entry'!F$8),ISNUMBER('Council Entry'!F$9)),MAX(MIN('Council Entry'!F170,'Council Entry'!F$9),'Council Entry'!F$8),'Council Entry'!F170)),IF('Council Entry'!F$4="Exponential",EXP(IF(AND(ISNUMBER('Council Entry'!F$8),ISNUMBER('Council Entry'!F$9)),MAX(MIN('Council Entry'!F170,'Council Entry'!F$9),'Council Entry'!F$8),'Council Entry'!F170)),IF(AND(ISNUMBER('Council Entry'!F$8),ISNUMBER('Council Entry'!F$9)),MAX(MIN('Council Entry'!F170,'Council Entry'!F$9),'Council Entry'!F$8),'Council Entry'!F170))))-'Council Entry'!F$5)/('Council Entry'!F$6-'Council Entry'!F$5)),1))),"No data"))</f>
        <v/>
      </c>
      <c r="G170" s="13">
        <f>IF('Council Entry'!G170="","",IFERROR(MAX(0,MIN(10,ROUND(IF('Council Entry'!G$7="Decrease Risk",10-10*((IF('Council Entry'!G$4="Logarithm",LN(0.001+IF(AND(ISNUMBER('Council Entry'!G$8),ISNUMBER('Council Entry'!G$9)),MAX(MIN('Council Entry'!G170,'Council Entry'!G$9),'Council Entry'!G$8),'Council Entry'!G170)),IF('Council Entry'!G$4="Exponential",EXP(IF(AND(ISNUMBER('Council Entry'!G$8),ISNUMBER('Council Entry'!G$9)),MAX(MIN('Council Entry'!G170,'Council Entry'!G$9),'Council Entry'!G$8),'Council Entry'!G170)),IF(AND(ISNUMBER('Council Entry'!G$8),ISNUMBER('Council Entry'!G$9)),MAX(MIN('Council Entry'!G170,'Council Entry'!G$9),'Council Entry'!G$8),'Council Entry'!G170))))-'Council Entry'!G$5)/('Council Entry'!G$6-'Council Entry'!G$5),10*((IF('Council Entry'!G$4="Logarithm",LN(0.001+IF(AND(ISNUMBER('Council Entry'!G$8),ISNUMBER('Council Entry'!G$9)),MAX(MIN('Council Entry'!G170,'Council Entry'!G$9),'Council Entry'!G$8),'Council Entry'!G170)),IF('Council Entry'!G$4="Exponential",EXP(IF(AND(ISNUMBER('Council Entry'!G$8),ISNUMBER('Council Entry'!G$9)),MAX(MIN('Council Entry'!G170,'Council Entry'!G$9),'Council Entry'!G$8),'Council Entry'!G170)),IF(AND(ISNUMBER('Council Entry'!G$8),ISNUMBER('Council Entry'!G$9)),MAX(MIN('Council Entry'!G170,'Council Entry'!G$9),'Council Entry'!G$8),'Council Entry'!G170))))-'Council Entry'!G$5)/('Council Entry'!G$6-'Council Entry'!G$5)),1))),"No data"))</f>
        <v/>
      </c>
      <c r="H170" s="13">
        <f>IF('Council Entry'!H170="","",IFERROR(MAX(0,MIN(10,ROUND(IF('Council Entry'!H$7="Decrease Risk",10-10*((IF('Council Entry'!H$4="Logarithm",LN(0.001+IF(AND(ISNUMBER('Council Entry'!H$8),ISNUMBER('Council Entry'!H$9)),MAX(MIN('Council Entry'!H170,'Council Entry'!H$9),'Council Entry'!H$8),'Council Entry'!H170)),IF('Council Entry'!H$4="Exponential",EXP(IF(AND(ISNUMBER('Council Entry'!H$8),ISNUMBER('Council Entry'!H$9)),MAX(MIN('Council Entry'!H170,'Council Entry'!H$9),'Council Entry'!H$8),'Council Entry'!H170)),IF(AND(ISNUMBER('Council Entry'!H$8),ISNUMBER('Council Entry'!H$9)),MAX(MIN('Council Entry'!H170,'Council Entry'!H$9),'Council Entry'!H$8),'Council Entry'!H170))))-'Council Entry'!H$5)/('Council Entry'!H$6-'Council Entry'!H$5),10*((IF('Council Entry'!H$4="Logarithm",LN(0.001+IF(AND(ISNUMBER('Council Entry'!H$8),ISNUMBER('Council Entry'!H$9)),MAX(MIN('Council Entry'!H170,'Council Entry'!H$9),'Council Entry'!H$8),'Council Entry'!H170)),IF('Council Entry'!H$4="Exponential",EXP(IF(AND(ISNUMBER('Council Entry'!H$8),ISNUMBER('Council Entry'!H$9)),MAX(MIN('Council Entry'!H170,'Council Entry'!H$9),'Council Entry'!H$8),'Council Entry'!H170)),IF(AND(ISNUMBER('Council Entry'!H$8),ISNUMBER('Council Entry'!H$9)),MAX(MIN('Council Entry'!H170,'Council Entry'!H$9),'Council Entry'!H$8),'Council Entry'!H170))))-'Council Entry'!H$5)/('Council Entry'!H$6-'Council Entry'!H$5)),1))),"No data"))</f>
        <v/>
      </c>
      <c r="I170" s="13">
        <f>IF('Council Entry'!I170="","",IFERROR(MAX(0,MIN(10,ROUND(IF('Council Entry'!I$7="Decrease Risk",10-10*((IF('Council Entry'!I$4="Logarithm",LN(0.001+IF(AND(ISNUMBER('Council Entry'!I$8),ISNUMBER('Council Entry'!I$9)),MAX(MIN('Council Entry'!I170,'Council Entry'!I$9),'Council Entry'!I$8),'Council Entry'!I170)),IF('Council Entry'!I$4="Exponential",EXP(IF(AND(ISNUMBER('Council Entry'!I$8),ISNUMBER('Council Entry'!I$9)),MAX(MIN('Council Entry'!I170,'Council Entry'!I$9),'Council Entry'!I$8),'Council Entry'!I170)),IF(AND(ISNUMBER('Council Entry'!I$8),ISNUMBER('Council Entry'!I$9)),MAX(MIN('Council Entry'!I170,'Council Entry'!I$9),'Council Entry'!I$8),'Council Entry'!I170))))-'Council Entry'!I$5)/('Council Entry'!I$6-'Council Entry'!I$5),10*((IF('Council Entry'!I$4="Logarithm",LN(0.001+IF(AND(ISNUMBER('Council Entry'!I$8),ISNUMBER('Council Entry'!I$9)),MAX(MIN('Council Entry'!I170,'Council Entry'!I$9),'Council Entry'!I$8),'Council Entry'!I170)),IF('Council Entry'!I$4="Exponential",EXP(IF(AND(ISNUMBER('Council Entry'!I$8),ISNUMBER('Council Entry'!I$9)),MAX(MIN('Council Entry'!I170,'Council Entry'!I$9),'Council Entry'!I$8),'Council Entry'!I170)),IF(AND(ISNUMBER('Council Entry'!I$8),ISNUMBER('Council Entry'!I$9)),MAX(MIN('Council Entry'!I170,'Council Entry'!I$9),'Council Entry'!I$8),'Council Entry'!I170))))-'Council Entry'!I$5)/('Council Entry'!I$6-'Council Entry'!I$5)),1))),"No data"))</f>
        <v/>
      </c>
      <c r="J170" s="13">
        <f>IF('Council Entry'!J170="","",IFERROR(MAX(0,MIN(10,ROUND(IF('Council Entry'!J$7="Decrease Risk",10-10*((IF('Council Entry'!J$4="Logarithm",LN(0.001+IF(AND(ISNUMBER('Council Entry'!J$8),ISNUMBER('Council Entry'!J$9)),MAX(MIN('Council Entry'!J170,'Council Entry'!J$9),'Council Entry'!J$8),'Council Entry'!J170)),IF('Council Entry'!J$4="Exponential",EXP(IF(AND(ISNUMBER('Council Entry'!J$8),ISNUMBER('Council Entry'!J$9)),MAX(MIN('Council Entry'!J170,'Council Entry'!J$9),'Council Entry'!J$8),'Council Entry'!J170)),IF(AND(ISNUMBER('Council Entry'!J$8),ISNUMBER('Council Entry'!J$9)),MAX(MIN('Council Entry'!J170,'Council Entry'!J$9),'Council Entry'!J$8),'Council Entry'!J170))))-'Council Entry'!J$5)/('Council Entry'!J$6-'Council Entry'!J$5),10*((IF('Council Entry'!J$4="Logarithm",LN(0.001+IF(AND(ISNUMBER('Council Entry'!J$8),ISNUMBER('Council Entry'!J$9)),MAX(MIN('Council Entry'!J170,'Council Entry'!J$9),'Council Entry'!J$8),'Council Entry'!J170)),IF('Council Entry'!J$4="Exponential",EXP(IF(AND(ISNUMBER('Council Entry'!J$8),ISNUMBER('Council Entry'!J$9)),MAX(MIN('Council Entry'!J170,'Council Entry'!J$9),'Council Entry'!J$8),'Council Entry'!J170)),IF(AND(ISNUMBER('Council Entry'!J$8),ISNUMBER('Council Entry'!J$9)),MAX(MIN('Council Entry'!J170,'Council Entry'!J$9),'Council Entry'!J$8),'Council Entry'!J170))))-'Council Entry'!J$5)/('Council Entry'!J$6-'Council Entry'!J$5)),1))),"No data"))</f>
        <v/>
      </c>
      <c r="K170" s="13">
        <f>IF('Council Entry'!K170="","",IFERROR(MAX(0,MIN(10,ROUND(IF('Council Entry'!K$7="Decrease Risk",10-10*((IF('Council Entry'!K$4="Logarithm",LN(0.001+IF(AND(ISNUMBER('Council Entry'!K$8),ISNUMBER('Council Entry'!K$9)),MAX(MIN('Council Entry'!K170,'Council Entry'!K$9),'Council Entry'!K$8),'Council Entry'!K170)),IF('Council Entry'!K$4="Exponential",EXP(IF(AND(ISNUMBER('Council Entry'!K$8),ISNUMBER('Council Entry'!K$9)),MAX(MIN('Council Entry'!K170,'Council Entry'!K$9),'Council Entry'!K$8),'Council Entry'!K170)),IF(AND(ISNUMBER('Council Entry'!K$8),ISNUMBER('Council Entry'!K$9)),MAX(MIN('Council Entry'!K170,'Council Entry'!K$9),'Council Entry'!K$8),'Council Entry'!K170))))-'Council Entry'!K$5)/('Council Entry'!K$6-'Council Entry'!K$5),10*((IF('Council Entry'!K$4="Logarithm",LN(0.001+IF(AND(ISNUMBER('Council Entry'!K$8),ISNUMBER('Council Entry'!K$9)),MAX(MIN('Council Entry'!K170,'Council Entry'!K$9),'Council Entry'!K$8),'Council Entry'!K170)),IF('Council Entry'!K$4="Exponential",EXP(IF(AND(ISNUMBER('Council Entry'!K$8),ISNUMBER('Council Entry'!K$9)),MAX(MIN('Council Entry'!K170,'Council Entry'!K$9),'Council Entry'!K$8),'Council Entry'!K170)),IF(AND(ISNUMBER('Council Entry'!K$8),ISNUMBER('Council Entry'!K$9)),MAX(MIN('Council Entry'!K170,'Council Entry'!K$9),'Council Entry'!K$8),'Council Entry'!K170))))-'Council Entry'!K$5)/('Council Entry'!K$6-'Council Entry'!K$5)),1))),"No data"))</f>
        <v/>
      </c>
      <c r="L170" s="13">
        <f>IF('Council Entry'!L170="","",IFERROR(MAX(0,MIN(10,ROUND(IF('Council Entry'!L$7="Decrease Risk",10-10*((IF('Council Entry'!L$4="Logarithm",LN(0.001+IF(AND(ISNUMBER('Council Entry'!L$8),ISNUMBER('Council Entry'!L$9)),MAX(MIN('Council Entry'!L170,'Council Entry'!L$9),'Council Entry'!L$8),'Council Entry'!L170)),IF('Council Entry'!L$4="Exponential",EXP(IF(AND(ISNUMBER('Council Entry'!L$8),ISNUMBER('Council Entry'!L$9)),MAX(MIN('Council Entry'!L170,'Council Entry'!L$9),'Council Entry'!L$8),'Council Entry'!L170)),IF(AND(ISNUMBER('Council Entry'!L$8),ISNUMBER('Council Entry'!L$9)),MAX(MIN('Council Entry'!L170,'Council Entry'!L$9),'Council Entry'!L$8),'Council Entry'!L170))))-'Council Entry'!L$5)/('Council Entry'!L$6-'Council Entry'!L$5),10*((IF('Council Entry'!L$4="Logarithm",LN(0.001+IF(AND(ISNUMBER('Council Entry'!L$8),ISNUMBER('Council Entry'!L$9)),MAX(MIN('Council Entry'!L170,'Council Entry'!L$9),'Council Entry'!L$8),'Council Entry'!L170)),IF('Council Entry'!L$4="Exponential",EXP(IF(AND(ISNUMBER('Council Entry'!L$8),ISNUMBER('Council Entry'!L$9)),MAX(MIN('Council Entry'!L170,'Council Entry'!L$9),'Council Entry'!L$8),'Council Entry'!L170)),IF(AND(ISNUMBER('Council Entry'!L$8),ISNUMBER('Council Entry'!L$9)),MAX(MIN('Council Entry'!L170,'Council Entry'!L$9),'Council Entry'!L$8),'Council Entry'!L170))))-'Council Entry'!L$5)/('Council Entry'!L$6-'Council Entry'!L$5)),1))),"No data"))</f>
        <v/>
      </c>
      <c r="M170" s="13">
        <f>IF('Council Entry'!M170="","",IFERROR(MAX(0,MIN(10,ROUND(IF('Council Entry'!M$7="Decrease Risk",10-10*((IF('Council Entry'!M$4="Logarithm",LN(0.001+IF(AND(ISNUMBER('Council Entry'!M$8),ISNUMBER('Council Entry'!M$9)),MAX(MIN('Council Entry'!M170,'Council Entry'!M$9),'Council Entry'!M$8),'Council Entry'!M170)),IF('Council Entry'!M$4="Exponential",EXP(IF(AND(ISNUMBER('Council Entry'!M$8),ISNUMBER('Council Entry'!M$9)),MAX(MIN('Council Entry'!M170,'Council Entry'!M$9),'Council Entry'!M$8),'Council Entry'!M170)),IF(AND(ISNUMBER('Council Entry'!M$8),ISNUMBER('Council Entry'!M$9)),MAX(MIN('Council Entry'!M170,'Council Entry'!M$9),'Council Entry'!M$8),'Council Entry'!M170))))-'Council Entry'!M$5)/('Council Entry'!M$6-'Council Entry'!M$5),10*((IF('Council Entry'!M$4="Logarithm",LN(0.001+IF(AND(ISNUMBER('Council Entry'!M$8),ISNUMBER('Council Entry'!M$9)),MAX(MIN('Council Entry'!M170,'Council Entry'!M$9),'Council Entry'!M$8),'Council Entry'!M170)),IF('Council Entry'!M$4="Exponential",EXP(IF(AND(ISNUMBER('Council Entry'!M$8),ISNUMBER('Council Entry'!M$9)),MAX(MIN('Council Entry'!M170,'Council Entry'!M$9),'Council Entry'!M$8),'Council Entry'!M170)),IF(AND(ISNUMBER('Council Entry'!M$8),ISNUMBER('Council Entry'!M$9)),MAX(MIN('Council Entry'!M170,'Council Entry'!M$9),'Council Entry'!M$8),'Council Entry'!M170))))-'Council Entry'!M$5)/('Council Entry'!M$6-'Council Entry'!M$5)),1))),"No data"))</f>
        <v/>
      </c>
      <c r="N170" s="13">
        <f>IF('Council Entry'!N170="","",IFERROR(MAX(0,MIN(10,ROUND(IF('Council Entry'!N$7="Decrease Risk",10-10*((IF('Council Entry'!N$4="Logarithm",LN(0.001+IF(AND(ISNUMBER('Council Entry'!N$8),ISNUMBER('Council Entry'!N$9)),MAX(MIN('Council Entry'!N170,'Council Entry'!N$9),'Council Entry'!N$8),'Council Entry'!N170)),IF('Council Entry'!N$4="Exponential",EXP(IF(AND(ISNUMBER('Council Entry'!N$8),ISNUMBER('Council Entry'!N$9)),MAX(MIN('Council Entry'!N170,'Council Entry'!N$9),'Council Entry'!N$8),'Council Entry'!N170)),IF(AND(ISNUMBER('Council Entry'!N$8),ISNUMBER('Council Entry'!N$9)),MAX(MIN('Council Entry'!N170,'Council Entry'!N$9),'Council Entry'!N$8),'Council Entry'!N170))))-'Council Entry'!N$5)/('Council Entry'!N$6-'Council Entry'!N$5),10*((IF('Council Entry'!N$4="Logarithm",LN(0.001+IF(AND(ISNUMBER('Council Entry'!N$8),ISNUMBER('Council Entry'!N$9)),MAX(MIN('Council Entry'!N170,'Council Entry'!N$9),'Council Entry'!N$8),'Council Entry'!N170)),IF('Council Entry'!N$4="Exponential",EXP(IF(AND(ISNUMBER('Council Entry'!N$8),ISNUMBER('Council Entry'!N$9)),MAX(MIN('Council Entry'!N170,'Council Entry'!N$9),'Council Entry'!N$8),'Council Entry'!N170)),IF(AND(ISNUMBER('Council Entry'!N$8),ISNUMBER('Council Entry'!N$9)),MAX(MIN('Council Entry'!N170,'Council Entry'!N$9),'Council Entry'!N$8),'Council Entry'!N170))))-'Council Entry'!N$5)/('Council Entry'!N$6-'Council Entry'!N$5)),1))),"No data"))</f>
        <v/>
      </c>
      <c r="O170" s="13">
        <f>IF('Council Entry'!O170="","",IFERROR(MAX(0,MIN(10,ROUND(IF('Council Entry'!O$7="Decrease Risk",10-10*((IF('Council Entry'!O$4="Logarithm",LN(0.001+IF(AND(ISNUMBER('Council Entry'!O$8),ISNUMBER('Council Entry'!O$9)),MAX(MIN('Council Entry'!O170,'Council Entry'!O$9),'Council Entry'!O$8),'Council Entry'!O170)),IF('Council Entry'!O$4="Exponential",EXP(IF(AND(ISNUMBER('Council Entry'!O$8),ISNUMBER('Council Entry'!O$9)),MAX(MIN('Council Entry'!O170,'Council Entry'!O$9),'Council Entry'!O$8),'Council Entry'!O170)),IF(AND(ISNUMBER('Council Entry'!O$8),ISNUMBER('Council Entry'!O$9)),MAX(MIN('Council Entry'!O170,'Council Entry'!O$9),'Council Entry'!O$8),'Council Entry'!O170))))-'Council Entry'!O$5)/('Council Entry'!O$6-'Council Entry'!O$5),10*((IF('Council Entry'!O$4="Logarithm",LN(0.001+IF(AND(ISNUMBER('Council Entry'!O$8),ISNUMBER('Council Entry'!O$9)),MAX(MIN('Council Entry'!O170,'Council Entry'!O$9),'Council Entry'!O$8),'Council Entry'!O170)),IF('Council Entry'!O$4="Exponential",EXP(IF(AND(ISNUMBER('Council Entry'!O$8),ISNUMBER('Council Entry'!O$9)),MAX(MIN('Council Entry'!O170,'Council Entry'!O$9),'Council Entry'!O$8),'Council Entry'!O170)),IF(AND(ISNUMBER('Council Entry'!O$8),ISNUMBER('Council Entry'!O$9)),MAX(MIN('Council Entry'!O170,'Council Entry'!O$9),'Council Entry'!O$8),'Council Entry'!O170))))-'Council Entry'!O$5)/('Council Entry'!O$6-'Council Entry'!O$5)),1))),"No data"))</f>
        <v/>
      </c>
      <c r="P170" s="13">
        <f>IF('Council Entry'!P170="","",IFERROR(MAX(0,MIN(10,ROUND(IF('Council Entry'!P$7="Decrease Risk",10-10*((IF('Council Entry'!P$4="Logarithm",LN(0.001+IF(AND(ISNUMBER('Council Entry'!P$8),ISNUMBER('Council Entry'!P$9)),MAX(MIN('Council Entry'!P170,'Council Entry'!P$9),'Council Entry'!P$8),'Council Entry'!P170)),IF('Council Entry'!P$4="Exponential",EXP(IF(AND(ISNUMBER('Council Entry'!P$8),ISNUMBER('Council Entry'!P$9)),MAX(MIN('Council Entry'!P170,'Council Entry'!P$9),'Council Entry'!P$8),'Council Entry'!P170)),IF(AND(ISNUMBER('Council Entry'!P$8),ISNUMBER('Council Entry'!P$9)),MAX(MIN('Council Entry'!P170,'Council Entry'!P$9),'Council Entry'!P$8),'Council Entry'!P170))))-'Council Entry'!P$5)/('Council Entry'!P$6-'Council Entry'!P$5),10*((IF('Council Entry'!P$4="Logarithm",LN(0.001+IF(AND(ISNUMBER('Council Entry'!P$8),ISNUMBER('Council Entry'!P$9)),MAX(MIN('Council Entry'!P170,'Council Entry'!P$9),'Council Entry'!P$8),'Council Entry'!P170)),IF('Council Entry'!P$4="Exponential",EXP(IF(AND(ISNUMBER('Council Entry'!P$8),ISNUMBER('Council Entry'!P$9)),MAX(MIN('Council Entry'!P170,'Council Entry'!P$9),'Council Entry'!P$8),'Council Entry'!P170)),IF(AND(ISNUMBER('Council Entry'!P$8),ISNUMBER('Council Entry'!P$9)),MAX(MIN('Council Entry'!P170,'Council Entry'!P$9),'Council Entry'!P$8),'Council Entry'!P170))))-'Council Entry'!P$5)/('Council Entry'!P$6-'Council Entry'!P$5)),1))),"No data"))</f>
        <v/>
      </c>
      <c r="Q170" s="13">
        <f>IF('Council Entry'!Q170="","",IFERROR(MAX(0,MIN(10,ROUND(IF('Council Entry'!Q$7="Decrease Risk",10-10*((IF('Council Entry'!Q$4="Logarithm",LN(0.001+IF(AND(ISNUMBER('Council Entry'!Q$8),ISNUMBER('Council Entry'!Q$9)),MAX(MIN('Council Entry'!Q170,'Council Entry'!Q$9),'Council Entry'!Q$8),'Council Entry'!Q170)),IF('Council Entry'!Q$4="Exponential",EXP(IF(AND(ISNUMBER('Council Entry'!Q$8),ISNUMBER('Council Entry'!Q$9)),MAX(MIN('Council Entry'!Q170,'Council Entry'!Q$9),'Council Entry'!Q$8),'Council Entry'!Q170)),IF(AND(ISNUMBER('Council Entry'!Q$8),ISNUMBER('Council Entry'!Q$9)),MAX(MIN('Council Entry'!Q170,'Council Entry'!Q$9),'Council Entry'!Q$8),'Council Entry'!Q170))))-'Council Entry'!Q$5)/('Council Entry'!Q$6-'Council Entry'!Q$5),10*((IF('Council Entry'!Q$4="Logarithm",LN(0.001+IF(AND(ISNUMBER('Council Entry'!Q$8),ISNUMBER('Council Entry'!Q$9)),MAX(MIN('Council Entry'!Q170,'Council Entry'!Q$9),'Council Entry'!Q$8),'Council Entry'!Q170)),IF('Council Entry'!Q$4="Exponential",EXP(IF(AND(ISNUMBER('Council Entry'!Q$8),ISNUMBER('Council Entry'!Q$9)),MAX(MIN('Council Entry'!Q170,'Council Entry'!Q$9),'Council Entry'!Q$8),'Council Entry'!Q170)),IF(AND(ISNUMBER('Council Entry'!Q$8),ISNUMBER('Council Entry'!Q$9)),MAX(MIN('Council Entry'!Q170,'Council Entry'!Q$9),'Council Entry'!Q$8),'Council Entry'!Q170))))-'Council Entry'!Q$5)/('Council Entry'!Q$6-'Council Entry'!Q$5)),1))),"No data"))</f>
        <v/>
      </c>
      <c r="R170" s="13">
        <f>IF('Council Entry'!R170="","",IFERROR(MAX(0,MIN(10,ROUND(IF('Council Entry'!R$7="Decrease Risk",10-10*((IF('Council Entry'!R$4="Logarithm",LN(0.001+IF(AND(ISNUMBER('Council Entry'!R$8),ISNUMBER('Council Entry'!R$9)),MAX(MIN('Council Entry'!R170,'Council Entry'!R$9),'Council Entry'!R$8),'Council Entry'!R170)),IF('Council Entry'!R$4="Exponential",EXP(IF(AND(ISNUMBER('Council Entry'!R$8),ISNUMBER('Council Entry'!R$9)),MAX(MIN('Council Entry'!R170,'Council Entry'!R$9),'Council Entry'!R$8),'Council Entry'!R170)),IF(AND(ISNUMBER('Council Entry'!R$8),ISNUMBER('Council Entry'!R$9)),MAX(MIN('Council Entry'!R170,'Council Entry'!R$9),'Council Entry'!R$8),'Council Entry'!R170))))-'Council Entry'!R$5)/('Council Entry'!R$6-'Council Entry'!R$5),10*((IF('Council Entry'!R$4="Logarithm",LN(0.001+IF(AND(ISNUMBER('Council Entry'!R$8),ISNUMBER('Council Entry'!R$9)),MAX(MIN('Council Entry'!R170,'Council Entry'!R$9),'Council Entry'!R$8),'Council Entry'!R170)),IF('Council Entry'!R$4="Exponential",EXP(IF(AND(ISNUMBER('Council Entry'!R$8),ISNUMBER('Council Entry'!R$9)),MAX(MIN('Council Entry'!R170,'Council Entry'!R$9),'Council Entry'!R$8),'Council Entry'!R170)),IF(AND(ISNUMBER('Council Entry'!R$8),ISNUMBER('Council Entry'!R$9)),MAX(MIN('Council Entry'!R170,'Council Entry'!R$9),'Council Entry'!R$8),'Council Entry'!R170))))-'Council Entry'!R$5)/('Council Entry'!R$6-'Council Entry'!R$5)),1))),"No data"))</f>
        <v/>
      </c>
      <c r="S170" s="13">
        <f>IF('Council Entry'!S170="","",IFERROR(MAX(0,MIN(10,ROUND(IF('Council Entry'!S$7="Decrease Risk",10-10*((IF('Council Entry'!S$4="Logarithm",LN(0.001+IF(AND(ISNUMBER('Council Entry'!S$8),ISNUMBER('Council Entry'!S$9)),MAX(MIN('Council Entry'!S170,'Council Entry'!S$9),'Council Entry'!S$8),'Council Entry'!S170)),IF('Council Entry'!S$4="Exponential",EXP(IF(AND(ISNUMBER('Council Entry'!S$8),ISNUMBER('Council Entry'!S$9)),MAX(MIN('Council Entry'!S170,'Council Entry'!S$9),'Council Entry'!S$8),'Council Entry'!S170)),IF(AND(ISNUMBER('Council Entry'!S$8),ISNUMBER('Council Entry'!S$9)),MAX(MIN('Council Entry'!S170,'Council Entry'!S$9),'Council Entry'!S$8),'Council Entry'!S170))))-'Council Entry'!S$5)/('Council Entry'!S$6-'Council Entry'!S$5),10*((IF('Council Entry'!S$4="Logarithm",LN(0.001+IF(AND(ISNUMBER('Council Entry'!S$8),ISNUMBER('Council Entry'!S$9)),MAX(MIN('Council Entry'!S170,'Council Entry'!S$9),'Council Entry'!S$8),'Council Entry'!S170)),IF('Council Entry'!S$4="Exponential",EXP(IF(AND(ISNUMBER('Council Entry'!S$8),ISNUMBER('Council Entry'!S$9)),MAX(MIN('Council Entry'!S170,'Council Entry'!S$9),'Council Entry'!S$8),'Council Entry'!S170)),IF(AND(ISNUMBER('Council Entry'!S$8),ISNUMBER('Council Entry'!S$9)),MAX(MIN('Council Entry'!S170,'Council Entry'!S$9),'Council Entry'!S$8),'Council Entry'!S170))))-'Council Entry'!S$5)/('Council Entry'!S$6-'Council Entry'!S$5)),1))),"No data"))</f>
        <v/>
      </c>
      <c r="T170" s="13">
        <f>IF('Council Entry'!T170="","",IFERROR(MAX(0,MIN(10,ROUND(IF('Council Entry'!T$7="Decrease Risk",10-10*((IF('Council Entry'!T$4="Logarithm",LN(0.001+IF(AND(ISNUMBER('Council Entry'!T$8),ISNUMBER('Council Entry'!T$9)),MAX(MIN('Council Entry'!T170,'Council Entry'!T$9),'Council Entry'!T$8),'Council Entry'!T170)),IF('Council Entry'!T$4="Exponential",EXP(IF(AND(ISNUMBER('Council Entry'!T$8),ISNUMBER('Council Entry'!T$9)),MAX(MIN('Council Entry'!T170,'Council Entry'!T$9),'Council Entry'!T$8),'Council Entry'!T170)),IF(AND(ISNUMBER('Council Entry'!T$8),ISNUMBER('Council Entry'!T$9)),MAX(MIN('Council Entry'!T170,'Council Entry'!T$9),'Council Entry'!T$8),'Council Entry'!T170))))-'Council Entry'!T$5)/('Council Entry'!T$6-'Council Entry'!T$5),10*((IF('Council Entry'!T$4="Logarithm",LN(0.001+IF(AND(ISNUMBER('Council Entry'!T$8),ISNUMBER('Council Entry'!T$9)),MAX(MIN('Council Entry'!T170,'Council Entry'!T$9),'Council Entry'!T$8),'Council Entry'!T170)),IF('Council Entry'!T$4="Exponential",EXP(IF(AND(ISNUMBER('Council Entry'!T$8),ISNUMBER('Council Entry'!T$9)),MAX(MIN('Council Entry'!T170,'Council Entry'!T$9),'Council Entry'!T$8),'Council Entry'!T170)),IF(AND(ISNUMBER('Council Entry'!T$8),ISNUMBER('Council Entry'!T$9)),MAX(MIN('Council Entry'!T170,'Council Entry'!T$9),'Council Entry'!T$8),'Council Entry'!T170))))-'Council Entry'!T$5)/('Council Entry'!T$6-'Council Entry'!T$5)),1))),"No data"))</f>
        <v/>
      </c>
      <c r="U170" s="13">
        <f>IF('Council Entry'!U170="","",IFERROR(MAX(0,MIN(10,ROUND(IF('Council Entry'!U$7="Decrease Risk",10-10*((IF('Council Entry'!U$4="Logarithm",LN(0.001+IF(AND(ISNUMBER('Council Entry'!U$8),ISNUMBER('Council Entry'!U$9)),MAX(MIN('Council Entry'!U170,'Council Entry'!U$9),'Council Entry'!U$8),'Council Entry'!U170)),IF('Council Entry'!U$4="Exponential",EXP(IF(AND(ISNUMBER('Council Entry'!U$8),ISNUMBER('Council Entry'!U$9)),MAX(MIN('Council Entry'!U170,'Council Entry'!U$9),'Council Entry'!U$8),'Council Entry'!U170)),IF(AND(ISNUMBER('Council Entry'!U$8),ISNUMBER('Council Entry'!U$9)),MAX(MIN('Council Entry'!U170,'Council Entry'!U$9),'Council Entry'!U$8),'Council Entry'!U170))))-'Council Entry'!U$5)/('Council Entry'!U$6-'Council Entry'!U$5),10*((IF('Council Entry'!U$4="Logarithm",LN(0.001+IF(AND(ISNUMBER('Council Entry'!U$8),ISNUMBER('Council Entry'!U$9)),MAX(MIN('Council Entry'!U170,'Council Entry'!U$9),'Council Entry'!U$8),'Council Entry'!U170)),IF('Council Entry'!U$4="Exponential",EXP(IF(AND(ISNUMBER('Council Entry'!U$8),ISNUMBER('Council Entry'!U$9)),MAX(MIN('Council Entry'!U170,'Council Entry'!U$9),'Council Entry'!U$8),'Council Entry'!U170)),IF(AND(ISNUMBER('Council Entry'!U$8),ISNUMBER('Council Entry'!U$9)),MAX(MIN('Council Entry'!U170,'Council Entry'!U$9),'Council Entry'!U$8),'Council Entry'!U170))))-'Council Entry'!U$5)/('Council Entry'!U$6-'Council Entry'!U$5)),1))),"No data"))</f>
        <v/>
      </c>
      <c r="V170" s="13">
        <f>IF('Council Entry'!V170="","",IFERROR(MAX(0,MIN(10,ROUND(IF('Council Entry'!V$7="Decrease Risk",10-10*((IF('Council Entry'!V$4="Logarithm",LN(0.001+IF(AND(ISNUMBER('Council Entry'!V$8),ISNUMBER('Council Entry'!V$9)),MAX(MIN('Council Entry'!V170,'Council Entry'!V$9),'Council Entry'!V$8),'Council Entry'!V170)),IF('Council Entry'!V$4="Exponential",EXP(IF(AND(ISNUMBER('Council Entry'!V$8),ISNUMBER('Council Entry'!V$9)),MAX(MIN('Council Entry'!V170,'Council Entry'!V$9),'Council Entry'!V$8),'Council Entry'!V170)),IF(AND(ISNUMBER('Council Entry'!V$8),ISNUMBER('Council Entry'!V$9)),MAX(MIN('Council Entry'!V170,'Council Entry'!V$9),'Council Entry'!V$8),'Council Entry'!V170))))-'Council Entry'!V$5)/('Council Entry'!V$6-'Council Entry'!V$5),10*((IF('Council Entry'!V$4="Logarithm",LN(0.001+IF(AND(ISNUMBER('Council Entry'!V$8),ISNUMBER('Council Entry'!V$9)),MAX(MIN('Council Entry'!V170,'Council Entry'!V$9),'Council Entry'!V$8),'Council Entry'!V170)),IF('Council Entry'!V$4="Exponential",EXP(IF(AND(ISNUMBER('Council Entry'!V$8),ISNUMBER('Council Entry'!V$9)),MAX(MIN('Council Entry'!V170,'Council Entry'!V$9),'Council Entry'!V$8),'Council Entry'!V170)),IF(AND(ISNUMBER('Council Entry'!V$8),ISNUMBER('Council Entry'!V$9)),MAX(MIN('Council Entry'!V170,'Council Entry'!V$9),'Council Entry'!V$8),'Council Entry'!V170))))-'Council Entry'!V$5)/('Council Entry'!V$6-'Council Entry'!V$5)),1))),"No data"))</f>
        <v/>
      </c>
      <c r="W170" s="13">
        <f>IF('Council Entry'!W170="","",IFERROR(MAX(0,MIN(10,ROUND(IF('Council Entry'!W$7="Decrease Risk",10-10*((IF('Council Entry'!W$4="Logarithm",LN(0.001+IF(AND(ISNUMBER('Council Entry'!W$8),ISNUMBER('Council Entry'!W$9)),MAX(MIN('Council Entry'!W170,'Council Entry'!W$9),'Council Entry'!W$8),'Council Entry'!W170)),IF('Council Entry'!W$4="Exponential",EXP(IF(AND(ISNUMBER('Council Entry'!W$8),ISNUMBER('Council Entry'!W$9)),MAX(MIN('Council Entry'!W170,'Council Entry'!W$9),'Council Entry'!W$8),'Council Entry'!W170)),IF(AND(ISNUMBER('Council Entry'!W$8),ISNUMBER('Council Entry'!W$9)),MAX(MIN('Council Entry'!W170,'Council Entry'!W$9),'Council Entry'!W$8),'Council Entry'!W170))))-'Council Entry'!W$5)/('Council Entry'!W$6-'Council Entry'!W$5),10*((IF('Council Entry'!W$4="Logarithm",LN(0.001+IF(AND(ISNUMBER('Council Entry'!W$8),ISNUMBER('Council Entry'!W$9)),MAX(MIN('Council Entry'!W170,'Council Entry'!W$9),'Council Entry'!W$8),'Council Entry'!W170)),IF('Council Entry'!W$4="Exponential",EXP(IF(AND(ISNUMBER('Council Entry'!W$8),ISNUMBER('Council Entry'!W$9)),MAX(MIN('Council Entry'!W170,'Council Entry'!W$9),'Council Entry'!W$8),'Council Entry'!W170)),IF(AND(ISNUMBER('Council Entry'!W$8),ISNUMBER('Council Entry'!W$9)),MAX(MIN('Council Entry'!W170,'Council Entry'!W$9),'Council Entry'!W$8),'Council Entry'!W170))))-'Council Entry'!W$5)/('Council Entry'!W$6-'Council Entry'!W$5)),1))),"No data"))</f>
        <v/>
      </c>
      <c r="X170" s="13">
        <f>IF('Council Entry'!X170="","",IFERROR(MAX(0,MIN(10,ROUND(IF('Council Entry'!X$7="Decrease Risk",10-10*((IF('Council Entry'!X$4="Logarithm",LN(0.001+IF(AND(ISNUMBER('Council Entry'!X$8),ISNUMBER('Council Entry'!X$9)),MAX(MIN('Council Entry'!X170,'Council Entry'!X$9),'Council Entry'!X$8),'Council Entry'!X170)),IF('Council Entry'!X$4="Exponential",EXP(IF(AND(ISNUMBER('Council Entry'!X$8),ISNUMBER('Council Entry'!X$9)),MAX(MIN('Council Entry'!X170,'Council Entry'!X$9),'Council Entry'!X$8),'Council Entry'!X170)),IF(AND(ISNUMBER('Council Entry'!X$8),ISNUMBER('Council Entry'!X$9)),MAX(MIN('Council Entry'!X170,'Council Entry'!X$9),'Council Entry'!X$8),'Council Entry'!X170))))-'Council Entry'!X$5)/('Council Entry'!X$6-'Council Entry'!X$5),10*((IF('Council Entry'!X$4="Logarithm",LN(0.001+IF(AND(ISNUMBER('Council Entry'!X$8),ISNUMBER('Council Entry'!X$9)),MAX(MIN('Council Entry'!X170,'Council Entry'!X$9),'Council Entry'!X$8),'Council Entry'!X170)),IF('Council Entry'!X$4="Exponential",EXP(IF(AND(ISNUMBER('Council Entry'!X$8),ISNUMBER('Council Entry'!X$9)),MAX(MIN('Council Entry'!X170,'Council Entry'!X$9),'Council Entry'!X$8),'Council Entry'!X170)),IF(AND(ISNUMBER('Council Entry'!X$8),ISNUMBER('Council Entry'!X$9)),MAX(MIN('Council Entry'!X170,'Council Entry'!X$9),'Council Entry'!X$8),'Council Entry'!X170))))-'Council Entry'!X$5)/('Council Entry'!X$6-'Council Entry'!X$5)),1))),"No data"))</f>
        <v/>
      </c>
      <c r="Y170" s="13">
        <f>IF('Council Entry'!Y170="","",IFERROR(MAX(0,MIN(10,ROUND(IF('Council Entry'!Y$7="Decrease Risk",10-10*((IF('Council Entry'!Y$4="Logarithm",LN(0.001+IF(AND(ISNUMBER('Council Entry'!Y$8),ISNUMBER('Council Entry'!Y$9)),MAX(MIN('Council Entry'!Y170,'Council Entry'!Y$9),'Council Entry'!Y$8),'Council Entry'!Y170)),IF('Council Entry'!Y$4="Exponential",EXP(IF(AND(ISNUMBER('Council Entry'!Y$8),ISNUMBER('Council Entry'!Y$9)),MAX(MIN('Council Entry'!Y170,'Council Entry'!Y$9),'Council Entry'!Y$8),'Council Entry'!Y170)),IF(AND(ISNUMBER('Council Entry'!Y$8),ISNUMBER('Council Entry'!Y$9)),MAX(MIN('Council Entry'!Y170,'Council Entry'!Y$9),'Council Entry'!Y$8),'Council Entry'!Y170))))-'Council Entry'!Y$5)/('Council Entry'!Y$6-'Council Entry'!Y$5),10*((IF('Council Entry'!Y$4="Logarithm",LN(0.001+IF(AND(ISNUMBER('Council Entry'!Y$8),ISNUMBER('Council Entry'!Y$9)),MAX(MIN('Council Entry'!Y170,'Council Entry'!Y$9),'Council Entry'!Y$8),'Council Entry'!Y170)),IF('Council Entry'!Y$4="Exponential",EXP(IF(AND(ISNUMBER('Council Entry'!Y$8),ISNUMBER('Council Entry'!Y$9)),MAX(MIN('Council Entry'!Y170,'Council Entry'!Y$9),'Council Entry'!Y$8),'Council Entry'!Y170)),IF(AND(ISNUMBER('Council Entry'!Y$8),ISNUMBER('Council Entry'!Y$9)),MAX(MIN('Council Entry'!Y170,'Council Entry'!Y$9),'Council Entry'!Y$8),'Council Entry'!Y170))))-'Council Entry'!Y$5)/('Council Entry'!Y$6-'Council Entry'!Y$5)),1))),"No data"))</f>
        <v/>
      </c>
      <c r="Z170" s="13">
        <f>IF('Council Entry'!Z170="","",IFERROR(MAX(0,MIN(10,ROUND(IF('Council Entry'!Z$7="Decrease Risk",10-10*((IF('Council Entry'!Z$4="Logarithm",LN(0.001+IF(AND(ISNUMBER('Council Entry'!Z$8),ISNUMBER('Council Entry'!Z$9)),MAX(MIN('Council Entry'!Z170,'Council Entry'!Z$9),'Council Entry'!Z$8),'Council Entry'!Z170)),IF('Council Entry'!Z$4="Exponential",EXP(IF(AND(ISNUMBER('Council Entry'!Z$8),ISNUMBER('Council Entry'!Z$9)),MAX(MIN('Council Entry'!Z170,'Council Entry'!Z$9),'Council Entry'!Z$8),'Council Entry'!Z170)),IF(AND(ISNUMBER('Council Entry'!Z$8),ISNUMBER('Council Entry'!Z$9)),MAX(MIN('Council Entry'!Z170,'Council Entry'!Z$9),'Council Entry'!Z$8),'Council Entry'!Z170))))-'Council Entry'!Z$5)/('Council Entry'!Z$6-'Council Entry'!Z$5),10*((IF('Council Entry'!Z$4="Logarithm",LN(0.001+IF(AND(ISNUMBER('Council Entry'!Z$8),ISNUMBER('Council Entry'!Z$9)),MAX(MIN('Council Entry'!Z170,'Council Entry'!Z$9),'Council Entry'!Z$8),'Council Entry'!Z170)),IF('Council Entry'!Z$4="Exponential",EXP(IF(AND(ISNUMBER('Council Entry'!Z$8),ISNUMBER('Council Entry'!Z$9)),MAX(MIN('Council Entry'!Z170,'Council Entry'!Z$9),'Council Entry'!Z$8),'Council Entry'!Z170)),IF(AND(ISNUMBER('Council Entry'!Z$8),ISNUMBER('Council Entry'!Z$9)),MAX(MIN('Council Entry'!Z170,'Council Entry'!Z$9),'Council Entry'!Z$8),'Council Entry'!Z170))))-'Council Entry'!Z$5)/('Council Entry'!Z$6-'Council Entry'!Z$5)),1))),"No data"))</f>
        <v/>
      </c>
      <c r="AA170" s="13">
        <f>IF('Council Entry'!AA170="","",IFERROR(MAX(0,MIN(10,ROUND(IF('Council Entry'!AA$7="Decrease Risk",10-10*((IF('Council Entry'!AA$4="Logarithm",LN(0.001+IF(AND(ISNUMBER('Council Entry'!AA$8),ISNUMBER('Council Entry'!AA$9)),MAX(MIN('Council Entry'!AA170,'Council Entry'!AA$9),'Council Entry'!AA$8),'Council Entry'!AA170)),IF('Council Entry'!AA$4="Exponential",EXP(IF(AND(ISNUMBER('Council Entry'!AA$8),ISNUMBER('Council Entry'!AA$9)),MAX(MIN('Council Entry'!AA170,'Council Entry'!AA$9),'Council Entry'!AA$8),'Council Entry'!AA170)),IF(AND(ISNUMBER('Council Entry'!AA$8),ISNUMBER('Council Entry'!AA$9)),MAX(MIN('Council Entry'!AA170,'Council Entry'!AA$9),'Council Entry'!AA$8),'Council Entry'!AA170))))-'Council Entry'!AA$5)/('Council Entry'!AA$6-'Council Entry'!AA$5),10*((IF('Council Entry'!AA$4="Logarithm",LN(0.001+IF(AND(ISNUMBER('Council Entry'!AA$8),ISNUMBER('Council Entry'!AA$9)),MAX(MIN('Council Entry'!AA170,'Council Entry'!AA$9),'Council Entry'!AA$8),'Council Entry'!AA170)),IF('Council Entry'!AA$4="Exponential",EXP(IF(AND(ISNUMBER('Council Entry'!AA$8),ISNUMBER('Council Entry'!AA$9)),MAX(MIN('Council Entry'!AA170,'Council Entry'!AA$9),'Council Entry'!AA$8),'Council Entry'!AA170)),IF(AND(ISNUMBER('Council Entry'!AA$8),ISNUMBER('Council Entry'!AA$9)),MAX(MIN('Council Entry'!AA170,'Council Entry'!AA$9),'Council Entry'!AA$8),'Council Entry'!AA170))))-'Council Entry'!AA$5)/('Council Entry'!AA$6-'Council Entry'!AA$5)),1))),"No data"))</f>
        <v/>
      </c>
      <c r="AB170" s="13">
        <f>IF('Council Entry'!AB170="","",IFERROR(MAX(0,MIN(10,ROUND(IF('Council Entry'!AB$7="Decrease Risk",10-10*((IF('Council Entry'!AB$4="Logarithm",LN(0.001+IF(AND(ISNUMBER('Council Entry'!AB$8),ISNUMBER('Council Entry'!AB$9)),MAX(MIN('Council Entry'!AB170,'Council Entry'!AB$9),'Council Entry'!AB$8),'Council Entry'!AB170)),IF('Council Entry'!AB$4="Exponential",EXP(IF(AND(ISNUMBER('Council Entry'!AB$8),ISNUMBER('Council Entry'!AB$9)),MAX(MIN('Council Entry'!AB170,'Council Entry'!AB$9),'Council Entry'!AB$8),'Council Entry'!AB170)),IF(AND(ISNUMBER('Council Entry'!AB$8),ISNUMBER('Council Entry'!AB$9)),MAX(MIN('Council Entry'!AB170,'Council Entry'!AB$9),'Council Entry'!AB$8),'Council Entry'!AB170))))-'Council Entry'!AB$5)/('Council Entry'!AB$6-'Council Entry'!AB$5),10*((IF('Council Entry'!AB$4="Logarithm",LN(0.001+IF(AND(ISNUMBER('Council Entry'!AB$8),ISNUMBER('Council Entry'!AB$9)),MAX(MIN('Council Entry'!AB170,'Council Entry'!AB$9),'Council Entry'!AB$8),'Council Entry'!AB170)),IF('Council Entry'!AB$4="Exponential",EXP(IF(AND(ISNUMBER('Council Entry'!AB$8),ISNUMBER('Council Entry'!AB$9)),MAX(MIN('Council Entry'!AB170,'Council Entry'!AB$9),'Council Entry'!AB$8),'Council Entry'!AB170)),IF(AND(ISNUMBER('Council Entry'!AB$8),ISNUMBER('Council Entry'!AB$9)),MAX(MIN('Council Entry'!AB170,'Council Entry'!AB$9),'Council Entry'!AB$8),'Council Entry'!AB170))))-'Council Entry'!AB$5)/('Council Entry'!AB$6-'Council Entry'!AB$5)),1))),"No data"))</f>
        <v/>
      </c>
      <c r="AC170" s="13">
        <f>IF('Council Entry'!AC170="","",IFERROR(MAX(0,MIN(10,ROUND(IF('Council Entry'!AC$7="Decrease Risk",10-10*((IF('Council Entry'!AC$4="Logarithm",LN(0.001+IF(AND(ISNUMBER('Council Entry'!AC$8),ISNUMBER('Council Entry'!AC$9)),MAX(MIN('Council Entry'!AC170,'Council Entry'!AC$9),'Council Entry'!AC$8),'Council Entry'!AC170)),IF('Council Entry'!AC$4="Exponential",EXP(IF(AND(ISNUMBER('Council Entry'!AC$8),ISNUMBER('Council Entry'!AC$9)),MAX(MIN('Council Entry'!AC170,'Council Entry'!AC$9),'Council Entry'!AC$8),'Council Entry'!AC170)),IF(AND(ISNUMBER('Council Entry'!AC$8),ISNUMBER('Council Entry'!AC$9)),MAX(MIN('Council Entry'!AC170,'Council Entry'!AC$9),'Council Entry'!AC$8),'Council Entry'!AC170))))-'Council Entry'!AC$5)/('Council Entry'!AC$6-'Council Entry'!AC$5),10*((IF('Council Entry'!AC$4="Logarithm",LN(0.001+IF(AND(ISNUMBER('Council Entry'!AC$8),ISNUMBER('Council Entry'!AC$9)),MAX(MIN('Council Entry'!AC170,'Council Entry'!AC$9),'Council Entry'!AC$8),'Council Entry'!AC170)),IF('Council Entry'!AC$4="Exponential",EXP(IF(AND(ISNUMBER('Council Entry'!AC$8),ISNUMBER('Council Entry'!AC$9)),MAX(MIN('Council Entry'!AC170,'Council Entry'!AC$9),'Council Entry'!AC$8),'Council Entry'!AC170)),IF(AND(ISNUMBER('Council Entry'!AC$8),ISNUMBER('Council Entry'!AC$9)),MAX(MIN('Council Entry'!AC170,'Council Entry'!AC$9),'Council Entry'!AC$8),'Council Entry'!AC170))))-'Council Entry'!AC$5)/('Council Entry'!AC$6-'Council Entry'!AC$5)),1))),"No data"))</f>
        <v/>
      </c>
      <c r="AD170" s="13">
        <f>IF('Council Entry'!AD170="","",IFERROR(MAX(0,MIN(10,ROUND(IF('Council Entry'!AD$7="Decrease Risk",10-10*((IF('Council Entry'!AD$4="Logarithm",LN(0.001+IF(AND(ISNUMBER('Council Entry'!AD$8),ISNUMBER('Council Entry'!AD$9)),MAX(MIN('Council Entry'!AD170,'Council Entry'!AD$9),'Council Entry'!AD$8),'Council Entry'!AD170)),IF('Council Entry'!AD$4="Exponential",EXP(IF(AND(ISNUMBER('Council Entry'!AD$8),ISNUMBER('Council Entry'!AD$9)),MAX(MIN('Council Entry'!AD170,'Council Entry'!AD$9),'Council Entry'!AD$8),'Council Entry'!AD170)),IF(AND(ISNUMBER('Council Entry'!AD$8),ISNUMBER('Council Entry'!AD$9)),MAX(MIN('Council Entry'!AD170,'Council Entry'!AD$9),'Council Entry'!AD$8),'Council Entry'!AD170))))-'Council Entry'!AD$5)/('Council Entry'!AD$6-'Council Entry'!AD$5),10*((IF('Council Entry'!AD$4="Logarithm",LN(0.001+IF(AND(ISNUMBER('Council Entry'!AD$8),ISNUMBER('Council Entry'!AD$9)),MAX(MIN('Council Entry'!AD170,'Council Entry'!AD$9),'Council Entry'!AD$8),'Council Entry'!AD170)),IF('Council Entry'!AD$4="Exponential",EXP(IF(AND(ISNUMBER('Council Entry'!AD$8),ISNUMBER('Council Entry'!AD$9)),MAX(MIN('Council Entry'!AD170,'Council Entry'!AD$9),'Council Entry'!AD$8),'Council Entry'!AD170)),IF(AND(ISNUMBER('Council Entry'!AD$8),ISNUMBER('Council Entry'!AD$9)),MAX(MIN('Council Entry'!AD170,'Council Entry'!AD$9),'Council Entry'!AD$8),'Council Entry'!AD170))))-'Council Entry'!AD$5)/('Council Entry'!AD$6-'Council Entry'!AD$5)),1))),"No data"))</f>
        <v/>
      </c>
      <c r="AE170" s="13">
        <f>IF('Council Entry'!AE170="","",IFERROR(MAX(0,MIN(10,ROUND(IF('Council Entry'!AE$7="Decrease Risk",10-10*((IF('Council Entry'!AE$4="Logarithm",LN(0.001+IF(AND(ISNUMBER('Council Entry'!AE$8),ISNUMBER('Council Entry'!AE$9)),MAX(MIN('Council Entry'!AE170,'Council Entry'!AE$9),'Council Entry'!AE$8),'Council Entry'!AE170)),IF('Council Entry'!AE$4="Exponential",EXP(IF(AND(ISNUMBER('Council Entry'!AE$8),ISNUMBER('Council Entry'!AE$9)),MAX(MIN('Council Entry'!AE170,'Council Entry'!AE$9),'Council Entry'!AE$8),'Council Entry'!AE170)),IF(AND(ISNUMBER('Council Entry'!AE$8),ISNUMBER('Council Entry'!AE$9)),MAX(MIN('Council Entry'!AE170,'Council Entry'!AE$9),'Council Entry'!AE$8),'Council Entry'!AE170))))-'Council Entry'!AE$5)/('Council Entry'!AE$6-'Council Entry'!AE$5),10*((IF('Council Entry'!AE$4="Logarithm",LN(0.001+IF(AND(ISNUMBER('Council Entry'!AE$8),ISNUMBER('Council Entry'!AE$9)),MAX(MIN('Council Entry'!AE170,'Council Entry'!AE$9),'Council Entry'!AE$8),'Council Entry'!AE170)),IF('Council Entry'!AE$4="Exponential",EXP(IF(AND(ISNUMBER('Council Entry'!AE$8),ISNUMBER('Council Entry'!AE$9)),MAX(MIN('Council Entry'!AE170,'Council Entry'!AE$9),'Council Entry'!AE$8),'Council Entry'!AE170)),IF(AND(ISNUMBER('Council Entry'!AE$8),ISNUMBER('Council Entry'!AE$9)),MAX(MIN('Council Entry'!AE170,'Council Entry'!AE$9),'Council Entry'!AE$8),'Council Entry'!AE170))))-'Council Entry'!AE$5)/('Council Entry'!AE$6-'Council Entry'!AE$5)),1))),"No data"))</f>
        <v/>
      </c>
      <c r="AF170" s="13">
        <f>IF('Council Entry'!AF170="","",IFERROR(MAX(0,MIN(10,ROUND(IF('Council Entry'!AF$7="Decrease Risk",10-10*((IF('Council Entry'!AF$4="Logarithm",LN(0.001+IF(AND(ISNUMBER('Council Entry'!AF$8),ISNUMBER('Council Entry'!AF$9)),MAX(MIN('Council Entry'!AF170,'Council Entry'!AF$9),'Council Entry'!AF$8),'Council Entry'!AF170)),IF('Council Entry'!AF$4="Exponential",EXP(IF(AND(ISNUMBER('Council Entry'!AF$8),ISNUMBER('Council Entry'!AF$9)),MAX(MIN('Council Entry'!AF170,'Council Entry'!AF$9),'Council Entry'!AF$8),'Council Entry'!AF170)),IF(AND(ISNUMBER('Council Entry'!AF$8),ISNUMBER('Council Entry'!AF$9)),MAX(MIN('Council Entry'!AF170,'Council Entry'!AF$9),'Council Entry'!AF$8),'Council Entry'!AF170))))-'Council Entry'!AF$5)/('Council Entry'!AF$6-'Council Entry'!AF$5),10*((IF('Council Entry'!AF$4="Logarithm",LN(0.001+IF(AND(ISNUMBER('Council Entry'!AF$8),ISNUMBER('Council Entry'!AF$9)),MAX(MIN('Council Entry'!AF170,'Council Entry'!AF$9),'Council Entry'!AF$8),'Council Entry'!AF170)),IF('Council Entry'!AF$4="Exponential",EXP(IF(AND(ISNUMBER('Council Entry'!AF$8),ISNUMBER('Council Entry'!AF$9)),MAX(MIN('Council Entry'!AF170,'Council Entry'!AF$9),'Council Entry'!AF$8),'Council Entry'!AF170)),IF(AND(ISNUMBER('Council Entry'!AF$8),ISNUMBER('Council Entry'!AF$9)),MAX(MIN('Council Entry'!AF170,'Council Entry'!AF$9),'Council Entry'!AF$8),'Council Entry'!AF170))))-'Council Entry'!AF$5)/('Council Entry'!AF$6-'Council Entry'!AF$5)),1))),"No data"))</f>
        <v/>
      </c>
      <c r="AG170" s="13">
        <f>IF('Council Entry'!AG170="","",IFERROR(MAX(0,MIN(10,ROUND(IF('Council Entry'!AG$7="Decrease Risk",10-10*((IF('Council Entry'!AG$4="Logarithm",LN(0.001+IF(AND(ISNUMBER('Council Entry'!AG$8),ISNUMBER('Council Entry'!AG$9)),MAX(MIN('Council Entry'!AG170,'Council Entry'!AG$9),'Council Entry'!AG$8),'Council Entry'!AG170)),IF('Council Entry'!AG$4="Exponential",EXP(IF(AND(ISNUMBER('Council Entry'!AG$8),ISNUMBER('Council Entry'!AG$9)),MAX(MIN('Council Entry'!AG170,'Council Entry'!AG$9),'Council Entry'!AG$8),'Council Entry'!AG170)),IF(AND(ISNUMBER('Council Entry'!AG$8),ISNUMBER('Council Entry'!AG$9)),MAX(MIN('Council Entry'!AG170,'Council Entry'!AG$9),'Council Entry'!AG$8),'Council Entry'!AG170))))-'Council Entry'!AG$5)/('Council Entry'!AG$6-'Council Entry'!AG$5),10*((IF('Council Entry'!AG$4="Logarithm",LN(0.001+IF(AND(ISNUMBER('Council Entry'!AG$8),ISNUMBER('Council Entry'!AG$9)),MAX(MIN('Council Entry'!AG170,'Council Entry'!AG$9),'Council Entry'!AG$8),'Council Entry'!AG170)),IF('Council Entry'!AG$4="Exponential",EXP(IF(AND(ISNUMBER('Council Entry'!AG$8),ISNUMBER('Council Entry'!AG$9)),MAX(MIN('Council Entry'!AG170,'Council Entry'!AG$9),'Council Entry'!AG$8),'Council Entry'!AG170)),IF(AND(ISNUMBER('Council Entry'!AG$8),ISNUMBER('Council Entry'!AG$9)),MAX(MIN('Council Entry'!AG170,'Council Entry'!AG$9),'Council Entry'!AG$8),'Council Entry'!AG170))))-'Council Entry'!AG$5)/('Council Entry'!AG$6-'Council Entry'!AG$5)),1))),"No data"))</f>
        <v/>
      </c>
      <c r="AH170" s="13">
        <f>IF('Council Entry'!AH170="","",IFERROR(MAX(0,MIN(10,ROUND(IF('Council Entry'!AH$7="Decrease Risk",10-10*((IF('Council Entry'!AH$4="Logarithm",LN(0.001+IF(AND(ISNUMBER('Council Entry'!AH$8),ISNUMBER('Council Entry'!AH$9)),MAX(MIN('Council Entry'!AH170,'Council Entry'!AH$9),'Council Entry'!AH$8),'Council Entry'!AH170)),IF('Council Entry'!AH$4="Exponential",EXP(IF(AND(ISNUMBER('Council Entry'!AH$8),ISNUMBER('Council Entry'!AH$9)),MAX(MIN('Council Entry'!AH170,'Council Entry'!AH$9),'Council Entry'!AH$8),'Council Entry'!AH170)),IF(AND(ISNUMBER('Council Entry'!AH$8),ISNUMBER('Council Entry'!AH$9)),MAX(MIN('Council Entry'!AH170,'Council Entry'!AH$9),'Council Entry'!AH$8),'Council Entry'!AH170))))-'Council Entry'!AH$5)/('Council Entry'!AH$6-'Council Entry'!AH$5),10*((IF('Council Entry'!AH$4="Logarithm",LN(0.001+IF(AND(ISNUMBER('Council Entry'!AH$8),ISNUMBER('Council Entry'!AH$9)),MAX(MIN('Council Entry'!AH170,'Council Entry'!AH$9),'Council Entry'!AH$8),'Council Entry'!AH170)),IF('Council Entry'!AH$4="Exponential",EXP(IF(AND(ISNUMBER('Council Entry'!AH$8),ISNUMBER('Council Entry'!AH$9)),MAX(MIN('Council Entry'!AH170,'Council Entry'!AH$9),'Council Entry'!AH$8),'Council Entry'!AH170)),IF(AND(ISNUMBER('Council Entry'!AH$8),ISNUMBER('Council Entry'!AH$9)),MAX(MIN('Council Entry'!AH170,'Council Entry'!AH$9),'Council Entry'!AH$8),'Council Entry'!AH170))))-'Council Entry'!AH$5)/('Council Entry'!AH$6-'Council Entry'!AH$5)),1))),"No data"))</f>
        <v/>
      </c>
      <c r="AI170" s="13">
        <f>IF('Council Entry'!AI170="","",IFERROR(MAX(0,MIN(10,ROUND(IF('Council Entry'!AI$7="Decrease Risk",10-10*((IF('Council Entry'!AI$4="Logarithm",LN(0.001+IF(AND(ISNUMBER('Council Entry'!AI$8),ISNUMBER('Council Entry'!AI$9)),MAX(MIN('Council Entry'!AI170,'Council Entry'!AI$9),'Council Entry'!AI$8),'Council Entry'!AI170)),IF('Council Entry'!AI$4="Exponential",EXP(IF(AND(ISNUMBER('Council Entry'!AI$8),ISNUMBER('Council Entry'!AI$9)),MAX(MIN('Council Entry'!AI170,'Council Entry'!AI$9),'Council Entry'!AI$8),'Council Entry'!AI170)),IF(AND(ISNUMBER('Council Entry'!AI$8),ISNUMBER('Council Entry'!AI$9)),MAX(MIN('Council Entry'!AI170,'Council Entry'!AI$9),'Council Entry'!AI$8),'Council Entry'!AI170))))-'Council Entry'!AI$5)/('Council Entry'!AI$6-'Council Entry'!AI$5),10*((IF('Council Entry'!AI$4="Logarithm",LN(0.001+IF(AND(ISNUMBER('Council Entry'!AI$8),ISNUMBER('Council Entry'!AI$9)),MAX(MIN('Council Entry'!AI170,'Council Entry'!AI$9),'Council Entry'!AI$8),'Council Entry'!AI170)),IF('Council Entry'!AI$4="Exponential",EXP(IF(AND(ISNUMBER('Council Entry'!AI$8),ISNUMBER('Council Entry'!AI$9)),MAX(MIN('Council Entry'!AI170,'Council Entry'!AI$9),'Council Entry'!AI$8),'Council Entry'!AI170)),IF(AND(ISNUMBER('Council Entry'!AI$8),ISNUMBER('Council Entry'!AI$9)),MAX(MIN('Council Entry'!AI170,'Council Entry'!AI$9),'Council Entry'!AI$8),'Council Entry'!AI170))))-'Council Entry'!AI$5)/('Council Entry'!AI$6-'Council Entry'!AI$5)),1))),"No data"))</f>
        <v/>
      </c>
      <c r="AJ170" s="13">
        <f>IF('Council Entry'!AJ170="","",IFERROR(MAX(0,MIN(10,ROUND(IF('Council Entry'!AJ$7="Decrease Risk",10-10*((IF('Council Entry'!AJ$4="Logarithm",LN(0.001+IF(AND(ISNUMBER('Council Entry'!AJ$8),ISNUMBER('Council Entry'!AJ$9)),MAX(MIN('Council Entry'!AJ170,'Council Entry'!AJ$9),'Council Entry'!AJ$8),'Council Entry'!AJ170)),IF('Council Entry'!AJ$4="Exponential",EXP(IF(AND(ISNUMBER('Council Entry'!AJ$8),ISNUMBER('Council Entry'!AJ$9)),MAX(MIN('Council Entry'!AJ170,'Council Entry'!AJ$9),'Council Entry'!AJ$8),'Council Entry'!AJ170)),IF(AND(ISNUMBER('Council Entry'!AJ$8),ISNUMBER('Council Entry'!AJ$9)),MAX(MIN('Council Entry'!AJ170,'Council Entry'!AJ$9),'Council Entry'!AJ$8),'Council Entry'!AJ170))))-'Council Entry'!AJ$5)/('Council Entry'!AJ$6-'Council Entry'!AJ$5),10*((IF('Council Entry'!AJ$4="Logarithm",LN(0.001+IF(AND(ISNUMBER('Council Entry'!AJ$8),ISNUMBER('Council Entry'!AJ$9)),MAX(MIN('Council Entry'!AJ170,'Council Entry'!AJ$9),'Council Entry'!AJ$8),'Council Entry'!AJ170)),IF('Council Entry'!AJ$4="Exponential",EXP(IF(AND(ISNUMBER('Council Entry'!AJ$8),ISNUMBER('Council Entry'!AJ$9)),MAX(MIN('Council Entry'!AJ170,'Council Entry'!AJ$9),'Council Entry'!AJ$8),'Council Entry'!AJ170)),IF(AND(ISNUMBER('Council Entry'!AJ$8),ISNUMBER('Council Entry'!AJ$9)),MAX(MIN('Council Entry'!AJ170,'Council Entry'!AJ$9),'Council Entry'!AJ$8),'Council Entry'!AJ170))))-'Council Entry'!AJ$5)/('Council Entry'!AJ$6-'Council Entry'!AJ$5)),1))),"No data"))</f>
        <v/>
      </c>
      <c r="AK170" s="13">
        <f>IF('Council Entry'!AK170="","",IFERROR(MAX(0,MIN(10,ROUND(IF('Council Entry'!AK$7="Decrease Risk",10-10*((IF('Council Entry'!AK$4="Logarithm",LN(0.001+IF(AND(ISNUMBER('Council Entry'!AK$8),ISNUMBER('Council Entry'!AK$9)),MAX(MIN('Council Entry'!AK170,'Council Entry'!AK$9),'Council Entry'!AK$8),'Council Entry'!AK170)),IF('Council Entry'!AK$4="Exponential",EXP(IF(AND(ISNUMBER('Council Entry'!AK$8),ISNUMBER('Council Entry'!AK$9)),MAX(MIN('Council Entry'!AK170,'Council Entry'!AK$9),'Council Entry'!AK$8),'Council Entry'!AK170)),IF(AND(ISNUMBER('Council Entry'!AK$8),ISNUMBER('Council Entry'!AK$9)),MAX(MIN('Council Entry'!AK170,'Council Entry'!AK$9),'Council Entry'!AK$8),'Council Entry'!AK170))))-'Council Entry'!AK$5)/('Council Entry'!AK$6-'Council Entry'!AK$5),10*((IF('Council Entry'!AK$4="Logarithm",LN(0.001+IF(AND(ISNUMBER('Council Entry'!AK$8),ISNUMBER('Council Entry'!AK$9)),MAX(MIN('Council Entry'!AK170,'Council Entry'!AK$9),'Council Entry'!AK$8),'Council Entry'!AK170)),IF('Council Entry'!AK$4="Exponential",EXP(IF(AND(ISNUMBER('Council Entry'!AK$8),ISNUMBER('Council Entry'!AK$9)),MAX(MIN('Council Entry'!AK170,'Council Entry'!AK$9),'Council Entry'!AK$8),'Council Entry'!AK170)),IF(AND(ISNUMBER('Council Entry'!AK$8),ISNUMBER('Council Entry'!AK$9)),MAX(MIN('Council Entry'!AK170,'Council Entry'!AK$9),'Council Entry'!AK$8),'Council Entry'!AK170))))-'Council Entry'!AK$5)/('Council Entry'!AK$6-'Council Entry'!AK$5)),1))),"No data"))</f>
        <v/>
      </c>
      <c r="AL170" s="13">
        <f>IF('Council Entry'!AL170="","",IFERROR(MAX(0,MIN(10,ROUND(IF('Council Entry'!AL$7="Decrease Risk",10-10*((IF('Council Entry'!AL$4="Logarithm",LN(0.001+IF(AND(ISNUMBER('Council Entry'!AL$8),ISNUMBER('Council Entry'!AL$9)),MAX(MIN('Council Entry'!AL170,'Council Entry'!AL$9),'Council Entry'!AL$8),'Council Entry'!AL170)),IF('Council Entry'!AL$4="Exponential",EXP(IF(AND(ISNUMBER('Council Entry'!AL$8),ISNUMBER('Council Entry'!AL$9)),MAX(MIN('Council Entry'!AL170,'Council Entry'!AL$9),'Council Entry'!AL$8),'Council Entry'!AL170)),IF(AND(ISNUMBER('Council Entry'!AL$8),ISNUMBER('Council Entry'!AL$9)),MAX(MIN('Council Entry'!AL170,'Council Entry'!AL$9),'Council Entry'!AL$8),'Council Entry'!AL170))))-'Council Entry'!AL$5)/('Council Entry'!AL$6-'Council Entry'!AL$5),10*((IF('Council Entry'!AL$4="Logarithm",LN(0.001+IF(AND(ISNUMBER('Council Entry'!AL$8),ISNUMBER('Council Entry'!AL$9)),MAX(MIN('Council Entry'!AL170,'Council Entry'!AL$9),'Council Entry'!AL$8),'Council Entry'!AL170)),IF('Council Entry'!AL$4="Exponential",EXP(IF(AND(ISNUMBER('Council Entry'!AL$8),ISNUMBER('Council Entry'!AL$9)),MAX(MIN('Council Entry'!AL170,'Council Entry'!AL$9),'Council Entry'!AL$8),'Council Entry'!AL170)),IF(AND(ISNUMBER('Council Entry'!AL$8),ISNUMBER('Council Entry'!AL$9)),MAX(MIN('Council Entry'!AL170,'Council Entry'!AL$9),'Council Entry'!AL$8),'Council Entry'!AL170))))-'Council Entry'!AL$5)/('Council Entry'!AL$6-'Council Entry'!AL$5)),1))),"No data"))</f>
        <v/>
      </c>
      <c r="AM170" s="13">
        <f>IF('Council Entry'!AM170="","",IFERROR(MAX(0,MIN(10,ROUND(IF('Council Entry'!AM$7="Decrease Risk",10-10*((IF('Council Entry'!AM$4="Logarithm",LN(0.001+IF(AND(ISNUMBER('Council Entry'!AM$8),ISNUMBER('Council Entry'!AM$9)),MAX(MIN('Council Entry'!AM170,'Council Entry'!AM$9),'Council Entry'!AM$8),'Council Entry'!AM170)),IF('Council Entry'!AM$4="Exponential",EXP(IF(AND(ISNUMBER('Council Entry'!AM$8),ISNUMBER('Council Entry'!AM$9)),MAX(MIN('Council Entry'!AM170,'Council Entry'!AM$9),'Council Entry'!AM$8),'Council Entry'!AM170)),IF(AND(ISNUMBER('Council Entry'!AM$8),ISNUMBER('Council Entry'!AM$9)),MAX(MIN('Council Entry'!AM170,'Council Entry'!AM$9),'Council Entry'!AM$8),'Council Entry'!AM170))))-'Council Entry'!AM$5)/('Council Entry'!AM$6-'Council Entry'!AM$5),10*((IF('Council Entry'!AM$4="Logarithm",LN(0.001+IF(AND(ISNUMBER('Council Entry'!AM$8),ISNUMBER('Council Entry'!AM$9)),MAX(MIN('Council Entry'!AM170,'Council Entry'!AM$9),'Council Entry'!AM$8),'Council Entry'!AM170)),IF('Council Entry'!AM$4="Exponential",EXP(IF(AND(ISNUMBER('Council Entry'!AM$8),ISNUMBER('Council Entry'!AM$9)),MAX(MIN('Council Entry'!AM170,'Council Entry'!AM$9),'Council Entry'!AM$8),'Council Entry'!AM170)),IF(AND(ISNUMBER('Council Entry'!AM$8),ISNUMBER('Council Entry'!AM$9)),MAX(MIN('Council Entry'!AM170,'Council Entry'!AM$9),'Council Entry'!AM$8),'Council Entry'!AM170))))-'Council Entry'!AM$5)/('Council Entry'!AM$6-'Council Entry'!AM$5)),1))),"No data"))</f>
        <v/>
      </c>
      <c r="AN170" s="13">
        <f>IF('Council Entry'!AN170="","",IFERROR(MAX(0,MIN(10,ROUND(IF('Council Entry'!AN$7="Decrease Risk",10-10*((IF('Council Entry'!AN$4="Logarithm",LN(0.001+IF(AND(ISNUMBER('Council Entry'!AN$8),ISNUMBER('Council Entry'!AN$9)),MAX(MIN('Council Entry'!AN170,'Council Entry'!AN$9),'Council Entry'!AN$8),'Council Entry'!AN170)),IF('Council Entry'!AN$4="Exponential",EXP(IF(AND(ISNUMBER('Council Entry'!AN$8),ISNUMBER('Council Entry'!AN$9)),MAX(MIN('Council Entry'!AN170,'Council Entry'!AN$9),'Council Entry'!AN$8),'Council Entry'!AN170)),IF(AND(ISNUMBER('Council Entry'!AN$8),ISNUMBER('Council Entry'!AN$9)),MAX(MIN('Council Entry'!AN170,'Council Entry'!AN$9),'Council Entry'!AN$8),'Council Entry'!AN170))))-'Council Entry'!AN$5)/('Council Entry'!AN$6-'Council Entry'!AN$5),10*((IF('Council Entry'!AN$4="Logarithm",LN(0.001+IF(AND(ISNUMBER('Council Entry'!AN$8),ISNUMBER('Council Entry'!AN$9)),MAX(MIN('Council Entry'!AN170,'Council Entry'!AN$9),'Council Entry'!AN$8),'Council Entry'!AN170)),IF('Council Entry'!AN$4="Exponential",EXP(IF(AND(ISNUMBER('Council Entry'!AN$8),ISNUMBER('Council Entry'!AN$9)),MAX(MIN('Council Entry'!AN170,'Council Entry'!AN$9),'Council Entry'!AN$8),'Council Entry'!AN170)),IF(AND(ISNUMBER('Council Entry'!AN$8),ISNUMBER('Council Entry'!AN$9)),MAX(MIN('Council Entry'!AN170,'Council Entry'!AN$9),'Council Entry'!AN$8),'Council Entry'!AN170))))-'Council Entry'!AN$5)/('Council Entry'!AN$6-'Council Entry'!AN$5)),1))),"No data"))</f>
        <v/>
      </c>
      <c r="AO170" s="13">
        <f>IF('Council Entry'!AO170="","",IFERROR(MAX(0,MIN(10,ROUND(IF('Council Entry'!AO$7="Decrease Risk",10-10*((IF('Council Entry'!AO$4="Logarithm",LN(0.001+IF(AND(ISNUMBER('Council Entry'!AO$8),ISNUMBER('Council Entry'!AO$9)),MAX(MIN('Council Entry'!AO170,'Council Entry'!AO$9),'Council Entry'!AO$8),'Council Entry'!AO170)),IF('Council Entry'!AO$4="Exponential",EXP(IF(AND(ISNUMBER('Council Entry'!AO$8),ISNUMBER('Council Entry'!AO$9)),MAX(MIN('Council Entry'!AO170,'Council Entry'!AO$9),'Council Entry'!AO$8),'Council Entry'!AO170)),IF(AND(ISNUMBER('Council Entry'!AO$8),ISNUMBER('Council Entry'!AO$9)),MAX(MIN('Council Entry'!AO170,'Council Entry'!AO$9),'Council Entry'!AO$8),'Council Entry'!AO170))))-'Council Entry'!AO$5)/('Council Entry'!AO$6-'Council Entry'!AO$5),10*((IF('Council Entry'!AO$4="Logarithm",LN(0.001+IF(AND(ISNUMBER('Council Entry'!AO$8),ISNUMBER('Council Entry'!AO$9)),MAX(MIN('Council Entry'!AO170,'Council Entry'!AO$9),'Council Entry'!AO$8),'Council Entry'!AO170)),IF('Council Entry'!AO$4="Exponential",EXP(IF(AND(ISNUMBER('Council Entry'!AO$8),ISNUMBER('Council Entry'!AO$9)),MAX(MIN('Council Entry'!AO170,'Council Entry'!AO$9),'Council Entry'!AO$8),'Council Entry'!AO170)),IF(AND(ISNUMBER('Council Entry'!AO$8),ISNUMBER('Council Entry'!AO$9)),MAX(MIN('Council Entry'!AO170,'Council Entry'!AO$9),'Council Entry'!AO$8),'Council Entry'!AO170))))-'Council Entry'!AO$5)/('Council Entry'!AO$6-'Council Entry'!AO$5)),1))),"No data"))</f>
        <v/>
      </c>
      <c r="AP170" s="13">
        <f>IF('Council Entry'!AP170="","",IFERROR(MAX(0,MIN(10,ROUND(IF('Council Entry'!AP$7="Decrease Risk",10-10*((IF('Council Entry'!AP$4="Logarithm",LN(0.001+IF(AND(ISNUMBER('Council Entry'!AP$8),ISNUMBER('Council Entry'!AP$9)),MAX(MIN('Council Entry'!AP170,'Council Entry'!AP$9),'Council Entry'!AP$8),'Council Entry'!AP170)),IF('Council Entry'!AP$4="Exponential",EXP(IF(AND(ISNUMBER('Council Entry'!AP$8),ISNUMBER('Council Entry'!AP$9)),MAX(MIN('Council Entry'!AP170,'Council Entry'!AP$9),'Council Entry'!AP$8),'Council Entry'!AP170)),IF(AND(ISNUMBER('Council Entry'!AP$8),ISNUMBER('Council Entry'!AP$9)),MAX(MIN('Council Entry'!AP170,'Council Entry'!AP$9),'Council Entry'!AP$8),'Council Entry'!AP170))))-'Council Entry'!AP$5)/('Council Entry'!AP$6-'Council Entry'!AP$5),10*((IF('Council Entry'!AP$4="Logarithm",LN(0.001+IF(AND(ISNUMBER('Council Entry'!AP$8),ISNUMBER('Council Entry'!AP$9)),MAX(MIN('Council Entry'!AP170,'Council Entry'!AP$9),'Council Entry'!AP$8),'Council Entry'!AP170)),IF('Council Entry'!AP$4="Exponential",EXP(IF(AND(ISNUMBER('Council Entry'!AP$8),ISNUMBER('Council Entry'!AP$9)),MAX(MIN('Council Entry'!AP170,'Council Entry'!AP$9),'Council Entry'!AP$8),'Council Entry'!AP170)),IF(AND(ISNUMBER('Council Entry'!AP$8),ISNUMBER('Council Entry'!AP$9)),MAX(MIN('Council Entry'!AP170,'Council Entry'!AP$9),'Council Entry'!AP$8),'Council Entry'!AP170))))-'Council Entry'!AP$5)/('Council Entry'!AP$6-'Council Entry'!AP$5)),1))),"No data"))</f>
        <v/>
      </c>
      <c r="AQ170" s="13">
        <f>IF('Council Entry'!AQ170="","",IFERROR(MAX(0,MIN(10,ROUND(IF('Council Entry'!AQ$7="Decrease Risk",10-10*((IF('Council Entry'!AQ$4="Logarithm",LN(0.001+IF(AND(ISNUMBER('Council Entry'!AQ$8),ISNUMBER('Council Entry'!AQ$9)),MAX(MIN('Council Entry'!AQ170,'Council Entry'!AQ$9),'Council Entry'!AQ$8),'Council Entry'!AQ170)),IF('Council Entry'!AQ$4="Exponential",EXP(IF(AND(ISNUMBER('Council Entry'!AQ$8),ISNUMBER('Council Entry'!AQ$9)),MAX(MIN('Council Entry'!AQ170,'Council Entry'!AQ$9),'Council Entry'!AQ$8),'Council Entry'!AQ170)),IF(AND(ISNUMBER('Council Entry'!AQ$8),ISNUMBER('Council Entry'!AQ$9)),MAX(MIN('Council Entry'!AQ170,'Council Entry'!AQ$9),'Council Entry'!AQ$8),'Council Entry'!AQ170))))-'Council Entry'!AQ$5)/('Council Entry'!AQ$6-'Council Entry'!AQ$5),10*((IF('Council Entry'!AQ$4="Logarithm",LN(0.001+IF(AND(ISNUMBER('Council Entry'!AQ$8),ISNUMBER('Council Entry'!AQ$9)),MAX(MIN('Council Entry'!AQ170,'Council Entry'!AQ$9),'Council Entry'!AQ$8),'Council Entry'!AQ170)),IF('Council Entry'!AQ$4="Exponential",EXP(IF(AND(ISNUMBER('Council Entry'!AQ$8),ISNUMBER('Council Entry'!AQ$9)),MAX(MIN('Council Entry'!AQ170,'Council Entry'!AQ$9),'Council Entry'!AQ$8),'Council Entry'!AQ170)),IF(AND(ISNUMBER('Council Entry'!AQ$8),ISNUMBER('Council Entry'!AQ$9)),MAX(MIN('Council Entry'!AQ170,'Council Entry'!AQ$9),'Council Entry'!AQ$8),'Council Entry'!AQ170))))-'Council Entry'!AQ$5)/('Council Entry'!AQ$6-'Council Entry'!AQ$5)),1))),"No data"))</f>
        <v/>
      </c>
      <c r="AR170" s="13">
        <f>IF('Council Entry'!AR170="","",IFERROR(MAX(0,MIN(10,ROUND(IF('Council Entry'!AR$7="Decrease Risk",10-10*((IF('Council Entry'!AR$4="Logarithm",LN(0.001+IF(AND(ISNUMBER('Council Entry'!AR$8),ISNUMBER('Council Entry'!AR$9)),MAX(MIN('Council Entry'!AR170,'Council Entry'!AR$9),'Council Entry'!AR$8),'Council Entry'!AR170)),IF('Council Entry'!AR$4="Exponential",EXP(IF(AND(ISNUMBER('Council Entry'!AR$8),ISNUMBER('Council Entry'!AR$9)),MAX(MIN('Council Entry'!AR170,'Council Entry'!AR$9),'Council Entry'!AR$8),'Council Entry'!AR170)),IF(AND(ISNUMBER('Council Entry'!AR$8),ISNUMBER('Council Entry'!AR$9)),MAX(MIN('Council Entry'!AR170,'Council Entry'!AR$9),'Council Entry'!AR$8),'Council Entry'!AR170))))-'Council Entry'!AR$5)/('Council Entry'!AR$6-'Council Entry'!AR$5),10*((IF('Council Entry'!AR$4="Logarithm",LN(0.001+IF(AND(ISNUMBER('Council Entry'!AR$8),ISNUMBER('Council Entry'!AR$9)),MAX(MIN('Council Entry'!AR170,'Council Entry'!AR$9),'Council Entry'!AR$8),'Council Entry'!AR170)),IF('Council Entry'!AR$4="Exponential",EXP(IF(AND(ISNUMBER('Council Entry'!AR$8),ISNUMBER('Council Entry'!AR$9)),MAX(MIN('Council Entry'!AR170,'Council Entry'!AR$9),'Council Entry'!AR$8),'Council Entry'!AR170)),IF(AND(ISNUMBER('Council Entry'!AR$8),ISNUMBER('Council Entry'!AR$9)),MAX(MIN('Council Entry'!AR170,'Council Entry'!AR$9),'Council Entry'!AR$8),'Council Entry'!AR170))))-'Council Entry'!AR$5)/('Council Entry'!AR$6-'Council Entry'!AR$5)),1))),"No data"))</f>
        <v/>
      </c>
      <c r="AS170" s="13">
        <f>IF('Council Entry'!AS170="","",IFERROR(MAX(0,MIN(10,ROUND(IF('Council Entry'!AS$7="Decrease Risk",10-10*((IF('Council Entry'!AS$4="Logarithm",LN(0.001+IF(AND(ISNUMBER('Council Entry'!AS$8),ISNUMBER('Council Entry'!AS$9)),MAX(MIN('Council Entry'!AS170,'Council Entry'!AS$9),'Council Entry'!AS$8),'Council Entry'!AS170)),IF('Council Entry'!AS$4="Exponential",EXP(IF(AND(ISNUMBER('Council Entry'!AS$8),ISNUMBER('Council Entry'!AS$9)),MAX(MIN('Council Entry'!AS170,'Council Entry'!AS$9),'Council Entry'!AS$8),'Council Entry'!AS170)),IF(AND(ISNUMBER('Council Entry'!AS$8),ISNUMBER('Council Entry'!AS$9)),MAX(MIN('Council Entry'!AS170,'Council Entry'!AS$9),'Council Entry'!AS$8),'Council Entry'!AS170))))-'Council Entry'!AS$5)/('Council Entry'!AS$6-'Council Entry'!AS$5),10*((IF('Council Entry'!AS$4="Logarithm",LN(0.001+IF(AND(ISNUMBER('Council Entry'!AS$8),ISNUMBER('Council Entry'!AS$9)),MAX(MIN('Council Entry'!AS170,'Council Entry'!AS$9),'Council Entry'!AS$8),'Council Entry'!AS170)),IF('Council Entry'!AS$4="Exponential",EXP(IF(AND(ISNUMBER('Council Entry'!AS$8),ISNUMBER('Council Entry'!AS$9)),MAX(MIN('Council Entry'!AS170,'Council Entry'!AS$9),'Council Entry'!AS$8),'Council Entry'!AS170)),IF(AND(ISNUMBER('Council Entry'!AS$8),ISNUMBER('Council Entry'!AS$9)),MAX(MIN('Council Entry'!AS170,'Council Entry'!AS$9),'Council Entry'!AS$8),'Council Entry'!AS170))))-'Council Entry'!AS$5)/('Council Entry'!AS$6-'Council Entry'!AS$5)),1))),"No data"))</f>
        <v/>
      </c>
      <c r="AT170" s="13">
        <f>IF('Council Entry'!AT170="","",IFERROR(MAX(0,MIN(10,ROUND(IF('Council Entry'!AT$7="Decrease Risk",10-10*((IF('Council Entry'!AT$4="Logarithm",LN(0.001+IF(AND(ISNUMBER('Council Entry'!AT$8),ISNUMBER('Council Entry'!AT$9)),MAX(MIN('Council Entry'!AT170,'Council Entry'!AT$9),'Council Entry'!AT$8),'Council Entry'!AT170)),IF('Council Entry'!AT$4="Exponential",EXP(IF(AND(ISNUMBER('Council Entry'!AT$8),ISNUMBER('Council Entry'!AT$9)),MAX(MIN('Council Entry'!AT170,'Council Entry'!AT$9),'Council Entry'!AT$8),'Council Entry'!AT170)),IF(AND(ISNUMBER('Council Entry'!AT$8),ISNUMBER('Council Entry'!AT$9)),MAX(MIN('Council Entry'!AT170,'Council Entry'!AT$9),'Council Entry'!AT$8),'Council Entry'!AT170))))-'Council Entry'!AT$5)/('Council Entry'!AT$6-'Council Entry'!AT$5),10*((IF('Council Entry'!AT$4="Logarithm",LN(0.001+IF(AND(ISNUMBER('Council Entry'!AT$8),ISNUMBER('Council Entry'!AT$9)),MAX(MIN('Council Entry'!AT170,'Council Entry'!AT$9),'Council Entry'!AT$8),'Council Entry'!AT170)),IF('Council Entry'!AT$4="Exponential",EXP(IF(AND(ISNUMBER('Council Entry'!AT$8),ISNUMBER('Council Entry'!AT$9)),MAX(MIN('Council Entry'!AT170,'Council Entry'!AT$9),'Council Entry'!AT$8),'Council Entry'!AT170)),IF(AND(ISNUMBER('Council Entry'!AT$8),ISNUMBER('Council Entry'!AT$9)),MAX(MIN('Council Entry'!AT170,'Council Entry'!AT$9),'Council Entry'!AT$8),'Council Entry'!AT170))))-'Council Entry'!AT$5)/('Council Entry'!AT$6-'Council Entry'!AT$5)),1))),"No data"))</f>
        <v/>
      </c>
      <c r="AU170" s="13">
        <f>IF('Council Entry'!AU170="","",IFERROR(MAX(0,MIN(10,ROUND(IF('Council Entry'!AU$7="Decrease Risk",10-10*((IF('Council Entry'!AU$4="Logarithm",LN(0.001+IF(AND(ISNUMBER('Council Entry'!AU$8),ISNUMBER('Council Entry'!AU$9)),MAX(MIN('Council Entry'!AU170,'Council Entry'!AU$9),'Council Entry'!AU$8),'Council Entry'!AU170)),IF('Council Entry'!AU$4="Exponential",EXP(IF(AND(ISNUMBER('Council Entry'!AU$8),ISNUMBER('Council Entry'!AU$9)),MAX(MIN('Council Entry'!AU170,'Council Entry'!AU$9),'Council Entry'!AU$8),'Council Entry'!AU170)),IF(AND(ISNUMBER('Council Entry'!AU$8),ISNUMBER('Council Entry'!AU$9)),MAX(MIN('Council Entry'!AU170,'Council Entry'!AU$9),'Council Entry'!AU$8),'Council Entry'!AU170))))-'Council Entry'!AU$5)/('Council Entry'!AU$6-'Council Entry'!AU$5),10*((IF('Council Entry'!AU$4="Logarithm",LN(0.001+IF(AND(ISNUMBER('Council Entry'!AU$8),ISNUMBER('Council Entry'!AU$9)),MAX(MIN('Council Entry'!AU170,'Council Entry'!AU$9),'Council Entry'!AU$8),'Council Entry'!AU170)),IF('Council Entry'!AU$4="Exponential",EXP(IF(AND(ISNUMBER('Council Entry'!AU$8),ISNUMBER('Council Entry'!AU$9)),MAX(MIN('Council Entry'!AU170,'Council Entry'!AU$9),'Council Entry'!AU$8),'Council Entry'!AU170)),IF(AND(ISNUMBER('Council Entry'!AU$8),ISNUMBER('Council Entry'!AU$9)),MAX(MIN('Council Entry'!AU170,'Council Entry'!AU$9),'Council Entry'!AU$8),'Council Entry'!AU170))))-'Council Entry'!AU$5)/('Council Entry'!AU$6-'Council Entry'!AU$5)),1))),"No data"))</f>
        <v/>
      </c>
      <c r="AV170" s="13">
        <f>IF('Council Entry'!AV170="","",IFERROR(MAX(0,MIN(10,ROUND(IF('Council Entry'!AV$7="Decrease Risk",10-10*((IF('Council Entry'!AV$4="Logarithm",LN(0.001+IF(AND(ISNUMBER('Council Entry'!AV$8),ISNUMBER('Council Entry'!AV$9)),MAX(MIN('Council Entry'!AV170,'Council Entry'!AV$9),'Council Entry'!AV$8),'Council Entry'!AV170)),IF('Council Entry'!AV$4="Exponential",EXP(IF(AND(ISNUMBER('Council Entry'!AV$8),ISNUMBER('Council Entry'!AV$9)),MAX(MIN('Council Entry'!AV170,'Council Entry'!AV$9),'Council Entry'!AV$8),'Council Entry'!AV170)),IF(AND(ISNUMBER('Council Entry'!AV$8),ISNUMBER('Council Entry'!AV$9)),MAX(MIN('Council Entry'!AV170,'Council Entry'!AV$9),'Council Entry'!AV$8),'Council Entry'!AV170))))-'Council Entry'!AV$5)/('Council Entry'!AV$6-'Council Entry'!AV$5),10*((IF('Council Entry'!AV$4="Logarithm",LN(0.001+IF(AND(ISNUMBER('Council Entry'!AV$8),ISNUMBER('Council Entry'!AV$9)),MAX(MIN('Council Entry'!AV170,'Council Entry'!AV$9),'Council Entry'!AV$8),'Council Entry'!AV170)),IF('Council Entry'!AV$4="Exponential",EXP(IF(AND(ISNUMBER('Council Entry'!AV$8),ISNUMBER('Council Entry'!AV$9)),MAX(MIN('Council Entry'!AV170,'Council Entry'!AV$9),'Council Entry'!AV$8),'Council Entry'!AV170)),IF(AND(ISNUMBER('Council Entry'!AV$8),ISNUMBER('Council Entry'!AV$9)),MAX(MIN('Council Entry'!AV170,'Council Entry'!AV$9),'Council Entry'!AV$8),'Council Entry'!AV170))))-'Council Entry'!AV$5)/('Council Entry'!AV$6-'Council Entry'!AV$5)),1))),"No data"))</f>
        <v/>
      </c>
      <c r="AW170" s="13">
        <f>IF('Council Entry'!AW170="","",IFERROR(MAX(0,MIN(10,ROUND(IF('Council Entry'!AW$7="Decrease Risk",10-10*((IF('Council Entry'!AW$4="Logarithm",LN(0.001+IF(AND(ISNUMBER('Council Entry'!AW$8),ISNUMBER('Council Entry'!AW$9)),MAX(MIN('Council Entry'!AW170,'Council Entry'!AW$9),'Council Entry'!AW$8),'Council Entry'!AW170)),IF('Council Entry'!AW$4="Exponential",EXP(IF(AND(ISNUMBER('Council Entry'!AW$8),ISNUMBER('Council Entry'!AW$9)),MAX(MIN('Council Entry'!AW170,'Council Entry'!AW$9),'Council Entry'!AW$8),'Council Entry'!AW170)),IF(AND(ISNUMBER('Council Entry'!AW$8),ISNUMBER('Council Entry'!AW$9)),MAX(MIN('Council Entry'!AW170,'Council Entry'!AW$9),'Council Entry'!AW$8),'Council Entry'!AW170))))-'Council Entry'!AW$5)/('Council Entry'!AW$6-'Council Entry'!AW$5),10*((IF('Council Entry'!AW$4="Logarithm",LN(0.001+IF(AND(ISNUMBER('Council Entry'!AW$8),ISNUMBER('Council Entry'!AW$9)),MAX(MIN('Council Entry'!AW170,'Council Entry'!AW$9),'Council Entry'!AW$8),'Council Entry'!AW170)),IF('Council Entry'!AW$4="Exponential",EXP(IF(AND(ISNUMBER('Council Entry'!AW$8),ISNUMBER('Council Entry'!AW$9)),MAX(MIN('Council Entry'!AW170,'Council Entry'!AW$9),'Council Entry'!AW$8),'Council Entry'!AW170)),IF(AND(ISNUMBER('Council Entry'!AW$8),ISNUMBER('Council Entry'!AW$9)),MAX(MIN('Council Entry'!AW170,'Council Entry'!AW$9),'Council Entry'!AW$8),'Council Entry'!AW170))))-'Council Entry'!AW$5)/('Council Entry'!AW$6-'Council Entry'!AW$5)),1))),"No data"))</f>
        <v/>
      </c>
      <c r="AX170" s="13">
        <f>IF('Council Entry'!AX170="","",IFERROR(MAX(0,MIN(10,ROUND(IF('Council Entry'!AX$7="Decrease Risk",10-10*((IF('Council Entry'!AX$4="Logarithm",LN(0.001+IF(AND(ISNUMBER('Council Entry'!AX$8),ISNUMBER('Council Entry'!AX$9)),MAX(MIN('Council Entry'!AX170,'Council Entry'!AX$9),'Council Entry'!AX$8),'Council Entry'!AX170)),IF('Council Entry'!AX$4="Exponential",EXP(IF(AND(ISNUMBER('Council Entry'!AX$8),ISNUMBER('Council Entry'!AX$9)),MAX(MIN('Council Entry'!AX170,'Council Entry'!AX$9),'Council Entry'!AX$8),'Council Entry'!AX170)),IF(AND(ISNUMBER('Council Entry'!AX$8),ISNUMBER('Council Entry'!AX$9)),MAX(MIN('Council Entry'!AX170,'Council Entry'!AX$9),'Council Entry'!AX$8),'Council Entry'!AX170))))-'Council Entry'!AX$5)/('Council Entry'!AX$6-'Council Entry'!AX$5),10*((IF('Council Entry'!AX$4="Logarithm",LN(0.001+IF(AND(ISNUMBER('Council Entry'!AX$8),ISNUMBER('Council Entry'!AX$9)),MAX(MIN('Council Entry'!AX170,'Council Entry'!AX$9),'Council Entry'!AX$8),'Council Entry'!AX170)),IF('Council Entry'!AX$4="Exponential",EXP(IF(AND(ISNUMBER('Council Entry'!AX$8),ISNUMBER('Council Entry'!AX$9)),MAX(MIN('Council Entry'!AX170,'Council Entry'!AX$9),'Council Entry'!AX$8),'Council Entry'!AX170)),IF(AND(ISNUMBER('Council Entry'!AX$8),ISNUMBER('Council Entry'!AX$9)),MAX(MIN('Council Entry'!AX170,'Council Entry'!AX$9),'Council Entry'!AX$8),'Council Entry'!AX170))))-'Council Entry'!AX$5)/('Council Entry'!AX$6-'Council Entry'!AX$5)),1))),"No data"))</f>
        <v/>
      </c>
      <c r="AY170" s="13">
        <f>IF('Council Entry'!AY170="","",IFERROR(MAX(0,MIN(10,ROUND(IF('Council Entry'!AY$7="Decrease Risk",10-10*((IF('Council Entry'!AY$4="Logarithm",LN(0.001+IF(AND(ISNUMBER('Council Entry'!AY$8),ISNUMBER('Council Entry'!AY$9)),MAX(MIN('Council Entry'!AY170,'Council Entry'!AY$9),'Council Entry'!AY$8),'Council Entry'!AY170)),IF('Council Entry'!AY$4="Exponential",EXP(IF(AND(ISNUMBER('Council Entry'!AY$8),ISNUMBER('Council Entry'!AY$9)),MAX(MIN('Council Entry'!AY170,'Council Entry'!AY$9),'Council Entry'!AY$8),'Council Entry'!AY170)),IF(AND(ISNUMBER('Council Entry'!AY$8),ISNUMBER('Council Entry'!AY$9)),MAX(MIN('Council Entry'!AY170,'Council Entry'!AY$9),'Council Entry'!AY$8),'Council Entry'!AY170))))-'Council Entry'!AY$5)/('Council Entry'!AY$6-'Council Entry'!AY$5),10*((IF('Council Entry'!AY$4="Logarithm",LN(0.001+IF(AND(ISNUMBER('Council Entry'!AY$8),ISNUMBER('Council Entry'!AY$9)),MAX(MIN('Council Entry'!AY170,'Council Entry'!AY$9),'Council Entry'!AY$8),'Council Entry'!AY170)),IF('Council Entry'!AY$4="Exponential",EXP(IF(AND(ISNUMBER('Council Entry'!AY$8),ISNUMBER('Council Entry'!AY$9)),MAX(MIN('Council Entry'!AY170,'Council Entry'!AY$9),'Council Entry'!AY$8),'Council Entry'!AY170)),IF(AND(ISNUMBER('Council Entry'!AY$8),ISNUMBER('Council Entry'!AY$9)),MAX(MIN('Council Entry'!AY170,'Council Entry'!AY$9),'Council Entry'!AY$8),'Council Entry'!AY170))))-'Council Entry'!AY$5)/('Council Entry'!AY$6-'Council Entry'!AY$5)),1))),"No data"))</f>
        <v/>
      </c>
      <c r="AZ170" s="13">
        <f>IF('Council Entry'!AZ170="","",IFERROR(MAX(0,MIN(10,ROUND(IF('Council Entry'!AZ$7="Decrease Risk",10-10*((IF('Council Entry'!AZ$4="Logarithm",LN(0.001+IF(AND(ISNUMBER('Council Entry'!AZ$8),ISNUMBER('Council Entry'!AZ$9)),MAX(MIN('Council Entry'!AZ170,'Council Entry'!AZ$9),'Council Entry'!AZ$8),'Council Entry'!AZ170)),IF('Council Entry'!AZ$4="Exponential",EXP(IF(AND(ISNUMBER('Council Entry'!AZ$8),ISNUMBER('Council Entry'!AZ$9)),MAX(MIN('Council Entry'!AZ170,'Council Entry'!AZ$9),'Council Entry'!AZ$8),'Council Entry'!AZ170)),IF(AND(ISNUMBER('Council Entry'!AZ$8),ISNUMBER('Council Entry'!AZ$9)),MAX(MIN('Council Entry'!AZ170,'Council Entry'!AZ$9),'Council Entry'!AZ$8),'Council Entry'!AZ170))))-'Council Entry'!AZ$5)/('Council Entry'!AZ$6-'Council Entry'!AZ$5),10*((IF('Council Entry'!AZ$4="Logarithm",LN(0.001+IF(AND(ISNUMBER('Council Entry'!AZ$8),ISNUMBER('Council Entry'!AZ$9)),MAX(MIN('Council Entry'!AZ170,'Council Entry'!AZ$9),'Council Entry'!AZ$8),'Council Entry'!AZ170)),IF('Council Entry'!AZ$4="Exponential",EXP(IF(AND(ISNUMBER('Council Entry'!AZ$8),ISNUMBER('Council Entry'!AZ$9)),MAX(MIN('Council Entry'!AZ170,'Council Entry'!AZ$9),'Council Entry'!AZ$8),'Council Entry'!AZ170)),IF(AND(ISNUMBER('Council Entry'!AZ$8),ISNUMBER('Council Entry'!AZ$9)),MAX(MIN('Council Entry'!AZ170,'Council Entry'!AZ$9),'Council Entry'!AZ$8),'Council Entry'!AZ170))))-'Council Entry'!AZ$5)/('Council Entry'!AZ$6-'Council Entry'!AZ$5)),1))),"No data"))</f>
        <v/>
      </c>
      <c r="BA170" s="13">
        <f>IF('Council Entry'!BA170="","",IFERROR(MAX(0,MIN(10,ROUND(IF('Council Entry'!BA$7="Decrease Risk",10-10*((IF('Council Entry'!BA$4="Logarithm",LN(0.001+IF(AND(ISNUMBER('Council Entry'!BA$8),ISNUMBER('Council Entry'!BA$9)),MAX(MIN('Council Entry'!BA170,'Council Entry'!BA$9),'Council Entry'!BA$8),'Council Entry'!BA170)),IF('Council Entry'!BA$4="Exponential",EXP(IF(AND(ISNUMBER('Council Entry'!BA$8),ISNUMBER('Council Entry'!BA$9)),MAX(MIN('Council Entry'!BA170,'Council Entry'!BA$9),'Council Entry'!BA$8),'Council Entry'!BA170)),IF(AND(ISNUMBER('Council Entry'!BA$8),ISNUMBER('Council Entry'!BA$9)),MAX(MIN('Council Entry'!BA170,'Council Entry'!BA$9),'Council Entry'!BA$8),'Council Entry'!BA170))))-'Council Entry'!BA$5)/('Council Entry'!BA$6-'Council Entry'!BA$5),10*((IF('Council Entry'!BA$4="Logarithm",LN(0.001+IF(AND(ISNUMBER('Council Entry'!BA$8),ISNUMBER('Council Entry'!BA$9)),MAX(MIN('Council Entry'!BA170,'Council Entry'!BA$9),'Council Entry'!BA$8),'Council Entry'!BA170)),IF('Council Entry'!BA$4="Exponential",EXP(IF(AND(ISNUMBER('Council Entry'!BA$8),ISNUMBER('Council Entry'!BA$9)),MAX(MIN('Council Entry'!BA170,'Council Entry'!BA$9),'Council Entry'!BA$8),'Council Entry'!BA170)),IF(AND(ISNUMBER('Council Entry'!BA$8),ISNUMBER('Council Entry'!BA$9)),MAX(MIN('Council Entry'!BA170,'Council Entry'!BA$9),'Council Entry'!BA$8),'Council Entry'!BA170))))-'Council Entry'!BA$5)/('Council Entry'!BA$6-'Council Entry'!BA$5)),1))),"No data"))</f>
        <v/>
      </c>
      <c r="BB170" s="13">
        <f>IF('Council Entry'!BB170="","",IFERROR(MAX(0,MIN(10,ROUND(IF('Council Entry'!BB$7="Decrease Risk",10-10*((IF('Council Entry'!BB$4="Logarithm",LN(0.001+IF(AND(ISNUMBER('Council Entry'!BB$8),ISNUMBER('Council Entry'!BB$9)),MAX(MIN('Council Entry'!BB170,'Council Entry'!BB$9),'Council Entry'!BB$8),'Council Entry'!BB170)),IF('Council Entry'!BB$4="Exponential",EXP(IF(AND(ISNUMBER('Council Entry'!BB$8),ISNUMBER('Council Entry'!BB$9)),MAX(MIN('Council Entry'!BB170,'Council Entry'!BB$9),'Council Entry'!BB$8),'Council Entry'!BB170)),IF(AND(ISNUMBER('Council Entry'!BB$8),ISNUMBER('Council Entry'!BB$9)),MAX(MIN('Council Entry'!BB170,'Council Entry'!BB$9),'Council Entry'!BB$8),'Council Entry'!BB170))))-'Council Entry'!BB$5)/('Council Entry'!BB$6-'Council Entry'!BB$5),10*((IF('Council Entry'!BB$4="Logarithm",LN(0.001+IF(AND(ISNUMBER('Council Entry'!BB$8),ISNUMBER('Council Entry'!BB$9)),MAX(MIN('Council Entry'!BB170,'Council Entry'!BB$9),'Council Entry'!BB$8),'Council Entry'!BB170)),IF('Council Entry'!BB$4="Exponential",EXP(IF(AND(ISNUMBER('Council Entry'!BB$8),ISNUMBER('Council Entry'!BB$9)),MAX(MIN('Council Entry'!BB170,'Council Entry'!BB$9),'Council Entry'!BB$8),'Council Entry'!BB170)),IF(AND(ISNUMBER('Council Entry'!BB$8),ISNUMBER('Council Entry'!BB$9)),MAX(MIN('Council Entry'!BB170,'Council Entry'!BB$9),'Council Entry'!BB$8),'Council Entry'!BB170))))-'Council Entry'!BB$5)/('Council Entry'!BB$6-'Council Entry'!BB$5)),1))),"No data"))</f>
        <v/>
      </c>
      <c r="BC170" s="13">
        <f>IF('Council Entry'!BC170="","",IFERROR(MAX(0,MIN(10,ROUND(IF('Council Entry'!BC$7="Decrease Risk",10-10*((IF('Council Entry'!BC$4="Logarithm",LN(0.001+IF(AND(ISNUMBER('Council Entry'!BC$8),ISNUMBER('Council Entry'!BC$9)),MAX(MIN('Council Entry'!BC170,'Council Entry'!BC$9),'Council Entry'!BC$8),'Council Entry'!BC170)),IF('Council Entry'!BC$4="Exponential",EXP(IF(AND(ISNUMBER('Council Entry'!BC$8),ISNUMBER('Council Entry'!BC$9)),MAX(MIN('Council Entry'!BC170,'Council Entry'!BC$9),'Council Entry'!BC$8),'Council Entry'!BC170)),IF(AND(ISNUMBER('Council Entry'!BC$8),ISNUMBER('Council Entry'!BC$9)),MAX(MIN('Council Entry'!BC170,'Council Entry'!BC$9),'Council Entry'!BC$8),'Council Entry'!BC170))))-'Council Entry'!BC$5)/('Council Entry'!BC$6-'Council Entry'!BC$5),10*((IF('Council Entry'!BC$4="Logarithm",LN(0.001+IF(AND(ISNUMBER('Council Entry'!BC$8),ISNUMBER('Council Entry'!BC$9)),MAX(MIN('Council Entry'!BC170,'Council Entry'!BC$9),'Council Entry'!BC$8),'Council Entry'!BC170)),IF('Council Entry'!BC$4="Exponential",EXP(IF(AND(ISNUMBER('Council Entry'!BC$8),ISNUMBER('Council Entry'!BC$9)),MAX(MIN('Council Entry'!BC170,'Council Entry'!BC$9),'Council Entry'!BC$8),'Council Entry'!BC170)),IF(AND(ISNUMBER('Council Entry'!BC$8),ISNUMBER('Council Entry'!BC$9)),MAX(MIN('Council Entry'!BC170,'Council Entry'!BC$9),'Council Entry'!BC$8),'Council Entry'!BC170))))-'Council Entry'!BC$5)/('Council Entry'!BC$6-'Council Entry'!BC$5)),1))),"No data"))</f>
        <v/>
      </c>
      <c r="BD170" s="13">
        <f>IF('Council Entry'!BD170="","",IFERROR(MAX(0,MIN(10,ROUND(IF('Council Entry'!BD$7="Decrease Risk",10-10*((IF('Council Entry'!BD$4="Logarithm",LN(0.001+IF(AND(ISNUMBER('Council Entry'!BD$8),ISNUMBER('Council Entry'!BD$9)),MAX(MIN('Council Entry'!BD170,'Council Entry'!BD$9),'Council Entry'!BD$8),'Council Entry'!BD170)),IF('Council Entry'!BD$4="Exponential",EXP(IF(AND(ISNUMBER('Council Entry'!BD$8),ISNUMBER('Council Entry'!BD$9)),MAX(MIN('Council Entry'!BD170,'Council Entry'!BD$9),'Council Entry'!BD$8),'Council Entry'!BD170)),IF(AND(ISNUMBER('Council Entry'!BD$8),ISNUMBER('Council Entry'!BD$9)),MAX(MIN('Council Entry'!BD170,'Council Entry'!BD$9),'Council Entry'!BD$8),'Council Entry'!BD170))))-'Council Entry'!BD$5)/('Council Entry'!BD$6-'Council Entry'!BD$5),10*((IF('Council Entry'!BD$4="Logarithm",LN(0.001+IF(AND(ISNUMBER('Council Entry'!BD$8),ISNUMBER('Council Entry'!BD$9)),MAX(MIN('Council Entry'!BD170,'Council Entry'!BD$9),'Council Entry'!BD$8),'Council Entry'!BD170)),IF('Council Entry'!BD$4="Exponential",EXP(IF(AND(ISNUMBER('Council Entry'!BD$8),ISNUMBER('Council Entry'!BD$9)),MAX(MIN('Council Entry'!BD170,'Council Entry'!BD$9),'Council Entry'!BD$8),'Council Entry'!BD170)),IF(AND(ISNUMBER('Council Entry'!BD$8),ISNUMBER('Council Entry'!BD$9)),MAX(MIN('Council Entry'!BD170,'Council Entry'!BD$9),'Council Entry'!BD$8),'Council Entry'!BD170))))-'Council Entry'!BD$5)/('Council Entry'!BD$6-'Council Entry'!BD$5)),1))),"No data"))</f>
        <v/>
      </c>
    </row>
    <row r="171">
      <c r="A171" t="inlineStr">
        <is>
          <t>Simiyu</t>
        </is>
      </c>
      <c r="B171" t="inlineStr">
        <is>
          <t>Busega District</t>
        </is>
      </c>
      <c r="C171" t="inlineStr">
        <is>
          <t>C173</t>
        </is>
      </c>
      <c r="D171" s="13">
        <f>IF('Council Entry'!D171="","",IFERROR(MAX(0,MIN(10,ROUND(IF('Council Entry'!D$7="Decrease Risk",10-10*((IF('Council Entry'!D$4="Logarithm",LN(0.001+IF(AND(ISNUMBER('Council Entry'!D$8),ISNUMBER('Council Entry'!D$9)),MAX(MIN('Council Entry'!D171,'Council Entry'!D$9),'Council Entry'!D$8),'Council Entry'!D171)),IF('Council Entry'!D$4="Exponential",EXP(IF(AND(ISNUMBER('Council Entry'!D$8),ISNUMBER('Council Entry'!D$9)),MAX(MIN('Council Entry'!D171,'Council Entry'!D$9),'Council Entry'!D$8),'Council Entry'!D171)),IF(AND(ISNUMBER('Council Entry'!D$8),ISNUMBER('Council Entry'!D$9)),MAX(MIN('Council Entry'!D171,'Council Entry'!D$9),'Council Entry'!D$8),'Council Entry'!D171))))-'Council Entry'!D$5)/('Council Entry'!D$6-'Council Entry'!D$5),10*((IF('Council Entry'!D$4="Logarithm",LN(0.001+IF(AND(ISNUMBER('Council Entry'!D$8),ISNUMBER('Council Entry'!D$9)),MAX(MIN('Council Entry'!D171,'Council Entry'!D$9),'Council Entry'!D$8),'Council Entry'!D171)),IF('Council Entry'!D$4="Exponential",EXP(IF(AND(ISNUMBER('Council Entry'!D$8),ISNUMBER('Council Entry'!D$9)),MAX(MIN('Council Entry'!D171,'Council Entry'!D$9),'Council Entry'!D$8),'Council Entry'!D171)),IF(AND(ISNUMBER('Council Entry'!D$8),ISNUMBER('Council Entry'!D$9)),MAX(MIN('Council Entry'!D171,'Council Entry'!D$9),'Council Entry'!D$8),'Council Entry'!D171))))-'Council Entry'!D$5)/('Council Entry'!D$6-'Council Entry'!D$5)),1))),"No data"))</f>
        <v/>
      </c>
      <c r="E171" s="13">
        <f>IF('Council Entry'!E171="","",IFERROR(MAX(0,MIN(10,ROUND(IF('Council Entry'!E$7="Decrease Risk",10-10*((IF('Council Entry'!E$4="Logarithm",LN(0.001+IF(AND(ISNUMBER('Council Entry'!E$8),ISNUMBER('Council Entry'!E$9)),MAX(MIN('Council Entry'!E171,'Council Entry'!E$9),'Council Entry'!E$8),'Council Entry'!E171)),IF('Council Entry'!E$4="Exponential",EXP(IF(AND(ISNUMBER('Council Entry'!E$8),ISNUMBER('Council Entry'!E$9)),MAX(MIN('Council Entry'!E171,'Council Entry'!E$9),'Council Entry'!E$8),'Council Entry'!E171)),IF(AND(ISNUMBER('Council Entry'!E$8),ISNUMBER('Council Entry'!E$9)),MAX(MIN('Council Entry'!E171,'Council Entry'!E$9),'Council Entry'!E$8),'Council Entry'!E171))))-'Council Entry'!E$5)/('Council Entry'!E$6-'Council Entry'!E$5),10*((IF('Council Entry'!E$4="Logarithm",LN(0.001+IF(AND(ISNUMBER('Council Entry'!E$8),ISNUMBER('Council Entry'!E$9)),MAX(MIN('Council Entry'!E171,'Council Entry'!E$9),'Council Entry'!E$8),'Council Entry'!E171)),IF('Council Entry'!E$4="Exponential",EXP(IF(AND(ISNUMBER('Council Entry'!E$8),ISNUMBER('Council Entry'!E$9)),MAX(MIN('Council Entry'!E171,'Council Entry'!E$9),'Council Entry'!E$8),'Council Entry'!E171)),IF(AND(ISNUMBER('Council Entry'!E$8),ISNUMBER('Council Entry'!E$9)),MAX(MIN('Council Entry'!E171,'Council Entry'!E$9),'Council Entry'!E$8),'Council Entry'!E171))))-'Council Entry'!E$5)/('Council Entry'!E$6-'Council Entry'!E$5)),1))),"No data"))</f>
        <v/>
      </c>
      <c r="F171" s="13">
        <f>IF('Council Entry'!F171="","",IFERROR(MAX(0,MIN(10,ROUND(IF('Council Entry'!F$7="Decrease Risk",10-10*((IF('Council Entry'!F$4="Logarithm",LN(0.001+IF(AND(ISNUMBER('Council Entry'!F$8),ISNUMBER('Council Entry'!F$9)),MAX(MIN('Council Entry'!F171,'Council Entry'!F$9),'Council Entry'!F$8),'Council Entry'!F171)),IF('Council Entry'!F$4="Exponential",EXP(IF(AND(ISNUMBER('Council Entry'!F$8),ISNUMBER('Council Entry'!F$9)),MAX(MIN('Council Entry'!F171,'Council Entry'!F$9),'Council Entry'!F$8),'Council Entry'!F171)),IF(AND(ISNUMBER('Council Entry'!F$8),ISNUMBER('Council Entry'!F$9)),MAX(MIN('Council Entry'!F171,'Council Entry'!F$9),'Council Entry'!F$8),'Council Entry'!F171))))-'Council Entry'!F$5)/('Council Entry'!F$6-'Council Entry'!F$5),10*((IF('Council Entry'!F$4="Logarithm",LN(0.001+IF(AND(ISNUMBER('Council Entry'!F$8),ISNUMBER('Council Entry'!F$9)),MAX(MIN('Council Entry'!F171,'Council Entry'!F$9),'Council Entry'!F$8),'Council Entry'!F171)),IF('Council Entry'!F$4="Exponential",EXP(IF(AND(ISNUMBER('Council Entry'!F$8),ISNUMBER('Council Entry'!F$9)),MAX(MIN('Council Entry'!F171,'Council Entry'!F$9),'Council Entry'!F$8),'Council Entry'!F171)),IF(AND(ISNUMBER('Council Entry'!F$8),ISNUMBER('Council Entry'!F$9)),MAX(MIN('Council Entry'!F171,'Council Entry'!F$9),'Council Entry'!F$8),'Council Entry'!F171))))-'Council Entry'!F$5)/('Council Entry'!F$6-'Council Entry'!F$5)),1))),"No data"))</f>
        <v/>
      </c>
      <c r="G171" s="13">
        <f>IF('Council Entry'!G171="","",IFERROR(MAX(0,MIN(10,ROUND(IF('Council Entry'!G$7="Decrease Risk",10-10*((IF('Council Entry'!G$4="Logarithm",LN(0.001+IF(AND(ISNUMBER('Council Entry'!G$8),ISNUMBER('Council Entry'!G$9)),MAX(MIN('Council Entry'!G171,'Council Entry'!G$9),'Council Entry'!G$8),'Council Entry'!G171)),IF('Council Entry'!G$4="Exponential",EXP(IF(AND(ISNUMBER('Council Entry'!G$8),ISNUMBER('Council Entry'!G$9)),MAX(MIN('Council Entry'!G171,'Council Entry'!G$9),'Council Entry'!G$8),'Council Entry'!G171)),IF(AND(ISNUMBER('Council Entry'!G$8),ISNUMBER('Council Entry'!G$9)),MAX(MIN('Council Entry'!G171,'Council Entry'!G$9),'Council Entry'!G$8),'Council Entry'!G171))))-'Council Entry'!G$5)/('Council Entry'!G$6-'Council Entry'!G$5),10*((IF('Council Entry'!G$4="Logarithm",LN(0.001+IF(AND(ISNUMBER('Council Entry'!G$8),ISNUMBER('Council Entry'!G$9)),MAX(MIN('Council Entry'!G171,'Council Entry'!G$9),'Council Entry'!G$8),'Council Entry'!G171)),IF('Council Entry'!G$4="Exponential",EXP(IF(AND(ISNUMBER('Council Entry'!G$8),ISNUMBER('Council Entry'!G$9)),MAX(MIN('Council Entry'!G171,'Council Entry'!G$9),'Council Entry'!G$8),'Council Entry'!G171)),IF(AND(ISNUMBER('Council Entry'!G$8),ISNUMBER('Council Entry'!G$9)),MAX(MIN('Council Entry'!G171,'Council Entry'!G$9),'Council Entry'!G$8),'Council Entry'!G171))))-'Council Entry'!G$5)/('Council Entry'!G$6-'Council Entry'!G$5)),1))),"No data"))</f>
        <v/>
      </c>
      <c r="H171" s="13">
        <f>IF('Council Entry'!H171="","",IFERROR(MAX(0,MIN(10,ROUND(IF('Council Entry'!H$7="Decrease Risk",10-10*((IF('Council Entry'!H$4="Logarithm",LN(0.001+IF(AND(ISNUMBER('Council Entry'!H$8),ISNUMBER('Council Entry'!H$9)),MAX(MIN('Council Entry'!H171,'Council Entry'!H$9),'Council Entry'!H$8),'Council Entry'!H171)),IF('Council Entry'!H$4="Exponential",EXP(IF(AND(ISNUMBER('Council Entry'!H$8),ISNUMBER('Council Entry'!H$9)),MAX(MIN('Council Entry'!H171,'Council Entry'!H$9),'Council Entry'!H$8),'Council Entry'!H171)),IF(AND(ISNUMBER('Council Entry'!H$8),ISNUMBER('Council Entry'!H$9)),MAX(MIN('Council Entry'!H171,'Council Entry'!H$9),'Council Entry'!H$8),'Council Entry'!H171))))-'Council Entry'!H$5)/('Council Entry'!H$6-'Council Entry'!H$5),10*((IF('Council Entry'!H$4="Logarithm",LN(0.001+IF(AND(ISNUMBER('Council Entry'!H$8),ISNUMBER('Council Entry'!H$9)),MAX(MIN('Council Entry'!H171,'Council Entry'!H$9),'Council Entry'!H$8),'Council Entry'!H171)),IF('Council Entry'!H$4="Exponential",EXP(IF(AND(ISNUMBER('Council Entry'!H$8),ISNUMBER('Council Entry'!H$9)),MAX(MIN('Council Entry'!H171,'Council Entry'!H$9),'Council Entry'!H$8),'Council Entry'!H171)),IF(AND(ISNUMBER('Council Entry'!H$8),ISNUMBER('Council Entry'!H$9)),MAX(MIN('Council Entry'!H171,'Council Entry'!H$9),'Council Entry'!H$8),'Council Entry'!H171))))-'Council Entry'!H$5)/('Council Entry'!H$6-'Council Entry'!H$5)),1))),"No data"))</f>
        <v/>
      </c>
      <c r="I171" s="13">
        <f>IF('Council Entry'!I171="","",IFERROR(MAX(0,MIN(10,ROUND(IF('Council Entry'!I$7="Decrease Risk",10-10*((IF('Council Entry'!I$4="Logarithm",LN(0.001+IF(AND(ISNUMBER('Council Entry'!I$8),ISNUMBER('Council Entry'!I$9)),MAX(MIN('Council Entry'!I171,'Council Entry'!I$9),'Council Entry'!I$8),'Council Entry'!I171)),IF('Council Entry'!I$4="Exponential",EXP(IF(AND(ISNUMBER('Council Entry'!I$8),ISNUMBER('Council Entry'!I$9)),MAX(MIN('Council Entry'!I171,'Council Entry'!I$9),'Council Entry'!I$8),'Council Entry'!I171)),IF(AND(ISNUMBER('Council Entry'!I$8),ISNUMBER('Council Entry'!I$9)),MAX(MIN('Council Entry'!I171,'Council Entry'!I$9),'Council Entry'!I$8),'Council Entry'!I171))))-'Council Entry'!I$5)/('Council Entry'!I$6-'Council Entry'!I$5),10*((IF('Council Entry'!I$4="Logarithm",LN(0.001+IF(AND(ISNUMBER('Council Entry'!I$8),ISNUMBER('Council Entry'!I$9)),MAX(MIN('Council Entry'!I171,'Council Entry'!I$9),'Council Entry'!I$8),'Council Entry'!I171)),IF('Council Entry'!I$4="Exponential",EXP(IF(AND(ISNUMBER('Council Entry'!I$8),ISNUMBER('Council Entry'!I$9)),MAX(MIN('Council Entry'!I171,'Council Entry'!I$9),'Council Entry'!I$8),'Council Entry'!I171)),IF(AND(ISNUMBER('Council Entry'!I$8),ISNUMBER('Council Entry'!I$9)),MAX(MIN('Council Entry'!I171,'Council Entry'!I$9),'Council Entry'!I$8),'Council Entry'!I171))))-'Council Entry'!I$5)/('Council Entry'!I$6-'Council Entry'!I$5)),1))),"No data"))</f>
        <v/>
      </c>
      <c r="J171" s="13">
        <f>IF('Council Entry'!J171="","",IFERROR(MAX(0,MIN(10,ROUND(IF('Council Entry'!J$7="Decrease Risk",10-10*((IF('Council Entry'!J$4="Logarithm",LN(0.001+IF(AND(ISNUMBER('Council Entry'!J$8),ISNUMBER('Council Entry'!J$9)),MAX(MIN('Council Entry'!J171,'Council Entry'!J$9),'Council Entry'!J$8),'Council Entry'!J171)),IF('Council Entry'!J$4="Exponential",EXP(IF(AND(ISNUMBER('Council Entry'!J$8),ISNUMBER('Council Entry'!J$9)),MAX(MIN('Council Entry'!J171,'Council Entry'!J$9),'Council Entry'!J$8),'Council Entry'!J171)),IF(AND(ISNUMBER('Council Entry'!J$8),ISNUMBER('Council Entry'!J$9)),MAX(MIN('Council Entry'!J171,'Council Entry'!J$9),'Council Entry'!J$8),'Council Entry'!J171))))-'Council Entry'!J$5)/('Council Entry'!J$6-'Council Entry'!J$5),10*((IF('Council Entry'!J$4="Logarithm",LN(0.001+IF(AND(ISNUMBER('Council Entry'!J$8),ISNUMBER('Council Entry'!J$9)),MAX(MIN('Council Entry'!J171,'Council Entry'!J$9),'Council Entry'!J$8),'Council Entry'!J171)),IF('Council Entry'!J$4="Exponential",EXP(IF(AND(ISNUMBER('Council Entry'!J$8),ISNUMBER('Council Entry'!J$9)),MAX(MIN('Council Entry'!J171,'Council Entry'!J$9),'Council Entry'!J$8),'Council Entry'!J171)),IF(AND(ISNUMBER('Council Entry'!J$8),ISNUMBER('Council Entry'!J$9)),MAX(MIN('Council Entry'!J171,'Council Entry'!J$9),'Council Entry'!J$8),'Council Entry'!J171))))-'Council Entry'!J$5)/('Council Entry'!J$6-'Council Entry'!J$5)),1))),"No data"))</f>
        <v/>
      </c>
      <c r="K171" s="13">
        <f>IF('Council Entry'!K171="","",IFERROR(MAX(0,MIN(10,ROUND(IF('Council Entry'!K$7="Decrease Risk",10-10*((IF('Council Entry'!K$4="Logarithm",LN(0.001+IF(AND(ISNUMBER('Council Entry'!K$8),ISNUMBER('Council Entry'!K$9)),MAX(MIN('Council Entry'!K171,'Council Entry'!K$9),'Council Entry'!K$8),'Council Entry'!K171)),IF('Council Entry'!K$4="Exponential",EXP(IF(AND(ISNUMBER('Council Entry'!K$8),ISNUMBER('Council Entry'!K$9)),MAX(MIN('Council Entry'!K171,'Council Entry'!K$9),'Council Entry'!K$8),'Council Entry'!K171)),IF(AND(ISNUMBER('Council Entry'!K$8),ISNUMBER('Council Entry'!K$9)),MAX(MIN('Council Entry'!K171,'Council Entry'!K$9),'Council Entry'!K$8),'Council Entry'!K171))))-'Council Entry'!K$5)/('Council Entry'!K$6-'Council Entry'!K$5),10*((IF('Council Entry'!K$4="Logarithm",LN(0.001+IF(AND(ISNUMBER('Council Entry'!K$8),ISNUMBER('Council Entry'!K$9)),MAX(MIN('Council Entry'!K171,'Council Entry'!K$9),'Council Entry'!K$8),'Council Entry'!K171)),IF('Council Entry'!K$4="Exponential",EXP(IF(AND(ISNUMBER('Council Entry'!K$8),ISNUMBER('Council Entry'!K$9)),MAX(MIN('Council Entry'!K171,'Council Entry'!K$9),'Council Entry'!K$8),'Council Entry'!K171)),IF(AND(ISNUMBER('Council Entry'!K$8),ISNUMBER('Council Entry'!K$9)),MAX(MIN('Council Entry'!K171,'Council Entry'!K$9),'Council Entry'!K$8),'Council Entry'!K171))))-'Council Entry'!K$5)/('Council Entry'!K$6-'Council Entry'!K$5)),1))),"No data"))</f>
        <v/>
      </c>
      <c r="L171" s="13">
        <f>IF('Council Entry'!L171="","",IFERROR(MAX(0,MIN(10,ROUND(IF('Council Entry'!L$7="Decrease Risk",10-10*((IF('Council Entry'!L$4="Logarithm",LN(0.001+IF(AND(ISNUMBER('Council Entry'!L$8),ISNUMBER('Council Entry'!L$9)),MAX(MIN('Council Entry'!L171,'Council Entry'!L$9),'Council Entry'!L$8),'Council Entry'!L171)),IF('Council Entry'!L$4="Exponential",EXP(IF(AND(ISNUMBER('Council Entry'!L$8),ISNUMBER('Council Entry'!L$9)),MAX(MIN('Council Entry'!L171,'Council Entry'!L$9),'Council Entry'!L$8),'Council Entry'!L171)),IF(AND(ISNUMBER('Council Entry'!L$8),ISNUMBER('Council Entry'!L$9)),MAX(MIN('Council Entry'!L171,'Council Entry'!L$9),'Council Entry'!L$8),'Council Entry'!L171))))-'Council Entry'!L$5)/('Council Entry'!L$6-'Council Entry'!L$5),10*((IF('Council Entry'!L$4="Logarithm",LN(0.001+IF(AND(ISNUMBER('Council Entry'!L$8),ISNUMBER('Council Entry'!L$9)),MAX(MIN('Council Entry'!L171,'Council Entry'!L$9),'Council Entry'!L$8),'Council Entry'!L171)),IF('Council Entry'!L$4="Exponential",EXP(IF(AND(ISNUMBER('Council Entry'!L$8),ISNUMBER('Council Entry'!L$9)),MAX(MIN('Council Entry'!L171,'Council Entry'!L$9),'Council Entry'!L$8),'Council Entry'!L171)),IF(AND(ISNUMBER('Council Entry'!L$8),ISNUMBER('Council Entry'!L$9)),MAX(MIN('Council Entry'!L171,'Council Entry'!L$9),'Council Entry'!L$8),'Council Entry'!L171))))-'Council Entry'!L$5)/('Council Entry'!L$6-'Council Entry'!L$5)),1))),"No data"))</f>
        <v/>
      </c>
      <c r="M171" s="13">
        <f>IF('Council Entry'!M171="","",IFERROR(MAX(0,MIN(10,ROUND(IF('Council Entry'!M$7="Decrease Risk",10-10*((IF('Council Entry'!M$4="Logarithm",LN(0.001+IF(AND(ISNUMBER('Council Entry'!M$8),ISNUMBER('Council Entry'!M$9)),MAX(MIN('Council Entry'!M171,'Council Entry'!M$9),'Council Entry'!M$8),'Council Entry'!M171)),IF('Council Entry'!M$4="Exponential",EXP(IF(AND(ISNUMBER('Council Entry'!M$8),ISNUMBER('Council Entry'!M$9)),MAX(MIN('Council Entry'!M171,'Council Entry'!M$9),'Council Entry'!M$8),'Council Entry'!M171)),IF(AND(ISNUMBER('Council Entry'!M$8),ISNUMBER('Council Entry'!M$9)),MAX(MIN('Council Entry'!M171,'Council Entry'!M$9),'Council Entry'!M$8),'Council Entry'!M171))))-'Council Entry'!M$5)/('Council Entry'!M$6-'Council Entry'!M$5),10*((IF('Council Entry'!M$4="Logarithm",LN(0.001+IF(AND(ISNUMBER('Council Entry'!M$8),ISNUMBER('Council Entry'!M$9)),MAX(MIN('Council Entry'!M171,'Council Entry'!M$9),'Council Entry'!M$8),'Council Entry'!M171)),IF('Council Entry'!M$4="Exponential",EXP(IF(AND(ISNUMBER('Council Entry'!M$8),ISNUMBER('Council Entry'!M$9)),MAX(MIN('Council Entry'!M171,'Council Entry'!M$9),'Council Entry'!M$8),'Council Entry'!M171)),IF(AND(ISNUMBER('Council Entry'!M$8),ISNUMBER('Council Entry'!M$9)),MAX(MIN('Council Entry'!M171,'Council Entry'!M$9),'Council Entry'!M$8),'Council Entry'!M171))))-'Council Entry'!M$5)/('Council Entry'!M$6-'Council Entry'!M$5)),1))),"No data"))</f>
        <v/>
      </c>
      <c r="N171" s="13">
        <f>IF('Council Entry'!N171="","",IFERROR(MAX(0,MIN(10,ROUND(IF('Council Entry'!N$7="Decrease Risk",10-10*((IF('Council Entry'!N$4="Logarithm",LN(0.001+IF(AND(ISNUMBER('Council Entry'!N$8),ISNUMBER('Council Entry'!N$9)),MAX(MIN('Council Entry'!N171,'Council Entry'!N$9),'Council Entry'!N$8),'Council Entry'!N171)),IF('Council Entry'!N$4="Exponential",EXP(IF(AND(ISNUMBER('Council Entry'!N$8),ISNUMBER('Council Entry'!N$9)),MAX(MIN('Council Entry'!N171,'Council Entry'!N$9),'Council Entry'!N$8),'Council Entry'!N171)),IF(AND(ISNUMBER('Council Entry'!N$8),ISNUMBER('Council Entry'!N$9)),MAX(MIN('Council Entry'!N171,'Council Entry'!N$9),'Council Entry'!N$8),'Council Entry'!N171))))-'Council Entry'!N$5)/('Council Entry'!N$6-'Council Entry'!N$5),10*((IF('Council Entry'!N$4="Logarithm",LN(0.001+IF(AND(ISNUMBER('Council Entry'!N$8),ISNUMBER('Council Entry'!N$9)),MAX(MIN('Council Entry'!N171,'Council Entry'!N$9),'Council Entry'!N$8),'Council Entry'!N171)),IF('Council Entry'!N$4="Exponential",EXP(IF(AND(ISNUMBER('Council Entry'!N$8),ISNUMBER('Council Entry'!N$9)),MAX(MIN('Council Entry'!N171,'Council Entry'!N$9),'Council Entry'!N$8),'Council Entry'!N171)),IF(AND(ISNUMBER('Council Entry'!N$8),ISNUMBER('Council Entry'!N$9)),MAX(MIN('Council Entry'!N171,'Council Entry'!N$9),'Council Entry'!N$8),'Council Entry'!N171))))-'Council Entry'!N$5)/('Council Entry'!N$6-'Council Entry'!N$5)),1))),"No data"))</f>
        <v/>
      </c>
      <c r="O171" s="13">
        <f>IF('Council Entry'!O171="","",IFERROR(MAX(0,MIN(10,ROUND(IF('Council Entry'!O$7="Decrease Risk",10-10*((IF('Council Entry'!O$4="Logarithm",LN(0.001+IF(AND(ISNUMBER('Council Entry'!O$8),ISNUMBER('Council Entry'!O$9)),MAX(MIN('Council Entry'!O171,'Council Entry'!O$9),'Council Entry'!O$8),'Council Entry'!O171)),IF('Council Entry'!O$4="Exponential",EXP(IF(AND(ISNUMBER('Council Entry'!O$8),ISNUMBER('Council Entry'!O$9)),MAX(MIN('Council Entry'!O171,'Council Entry'!O$9),'Council Entry'!O$8),'Council Entry'!O171)),IF(AND(ISNUMBER('Council Entry'!O$8),ISNUMBER('Council Entry'!O$9)),MAX(MIN('Council Entry'!O171,'Council Entry'!O$9),'Council Entry'!O$8),'Council Entry'!O171))))-'Council Entry'!O$5)/('Council Entry'!O$6-'Council Entry'!O$5),10*((IF('Council Entry'!O$4="Logarithm",LN(0.001+IF(AND(ISNUMBER('Council Entry'!O$8),ISNUMBER('Council Entry'!O$9)),MAX(MIN('Council Entry'!O171,'Council Entry'!O$9),'Council Entry'!O$8),'Council Entry'!O171)),IF('Council Entry'!O$4="Exponential",EXP(IF(AND(ISNUMBER('Council Entry'!O$8),ISNUMBER('Council Entry'!O$9)),MAX(MIN('Council Entry'!O171,'Council Entry'!O$9),'Council Entry'!O$8),'Council Entry'!O171)),IF(AND(ISNUMBER('Council Entry'!O$8),ISNUMBER('Council Entry'!O$9)),MAX(MIN('Council Entry'!O171,'Council Entry'!O$9),'Council Entry'!O$8),'Council Entry'!O171))))-'Council Entry'!O$5)/('Council Entry'!O$6-'Council Entry'!O$5)),1))),"No data"))</f>
        <v/>
      </c>
      <c r="P171" s="13">
        <f>IF('Council Entry'!P171="","",IFERROR(MAX(0,MIN(10,ROUND(IF('Council Entry'!P$7="Decrease Risk",10-10*((IF('Council Entry'!P$4="Logarithm",LN(0.001+IF(AND(ISNUMBER('Council Entry'!P$8),ISNUMBER('Council Entry'!P$9)),MAX(MIN('Council Entry'!P171,'Council Entry'!P$9),'Council Entry'!P$8),'Council Entry'!P171)),IF('Council Entry'!P$4="Exponential",EXP(IF(AND(ISNUMBER('Council Entry'!P$8),ISNUMBER('Council Entry'!P$9)),MAX(MIN('Council Entry'!P171,'Council Entry'!P$9),'Council Entry'!P$8),'Council Entry'!P171)),IF(AND(ISNUMBER('Council Entry'!P$8),ISNUMBER('Council Entry'!P$9)),MAX(MIN('Council Entry'!P171,'Council Entry'!P$9),'Council Entry'!P$8),'Council Entry'!P171))))-'Council Entry'!P$5)/('Council Entry'!P$6-'Council Entry'!P$5),10*((IF('Council Entry'!P$4="Logarithm",LN(0.001+IF(AND(ISNUMBER('Council Entry'!P$8),ISNUMBER('Council Entry'!P$9)),MAX(MIN('Council Entry'!P171,'Council Entry'!P$9),'Council Entry'!P$8),'Council Entry'!P171)),IF('Council Entry'!P$4="Exponential",EXP(IF(AND(ISNUMBER('Council Entry'!P$8),ISNUMBER('Council Entry'!P$9)),MAX(MIN('Council Entry'!P171,'Council Entry'!P$9),'Council Entry'!P$8),'Council Entry'!P171)),IF(AND(ISNUMBER('Council Entry'!P$8),ISNUMBER('Council Entry'!P$9)),MAX(MIN('Council Entry'!P171,'Council Entry'!P$9),'Council Entry'!P$8),'Council Entry'!P171))))-'Council Entry'!P$5)/('Council Entry'!P$6-'Council Entry'!P$5)),1))),"No data"))</f>
        <v/>
      </c>
      <c r="Q171" s="13">
        <f>IF('Council Entry'!Q171="","",IFERROR(MAX(0,MIN(10,ROUND(IF('Council Entry'!Q$7="Decrease Risk",10-10*((IF('Council Entry'!Q$4="Logarithm",LN(0.001+IF(AND(ISNUMBER('Council Entry'!Q$8),ISNUMBER('Council Entry'!Q$9)),MAX(MIN('Council Entry'!Q171,'Council Entry'!Q$9),'Council Entry'!Q$8),'Council Entry'!Q171)),IF('Council Entry'!Q$4="Exponential",EXP(IF(AND(ISNUMBER('Council Entry'!Q$8),ISNUMBER('Council Entry'!Q$9)),MAX(MIN('Council Entry'!Q171,'Council Entry'!Q$9),'Council Entry'!Q$8),'Council Entry'!Q171)),IF(AND(ISNUMBER('Council Entry'!Q$8),ISNUMBER('Council Entry'!Q$9)),MAX(MIN('Council Entry'!Q171,'Council Entry'!Q$9),'Council Entry'!Q$8),'Council Entry'!Q171))))-'Council Entry'!Q$5)/('Council Entry'!Q$6-'Council Entry'!Q$5),10*((IF('Council Entry'!Q$4="Logarithm",LN(0.001+IF(AND(ISNUMBER('Council Entry'!Q$8),ISNUMBER('Council Entry'!Q$9)),MAX(MIN('Council Entry'!Q171,'Council Entry'!Q$9),'Council Entry'!Q$8),'Council Entry'!Q171)),IF('Council Entry'!Q$4="Exponential",EXP(IF(AND(ISNUMBER('Council Entry'!Q$8),ISNUMBER('Council Entry'!Q$9)),MAX(MIN('Council Entry'!Q171,'Council Entry'!Q$9),'Council Entry'!Q$8),'Council Entry'!Q171)),IF(AND(ISNUMBER('Council Entry'!Q$8),ISNUMBER('Council Entry'!Q$9)),MAX(MIN('Council Entry'!Q171,'Council Entry'!Q$9),'Council Entry'!Q$8),'Council Entry'!Q171))))-'Council Entry'!Q$5)/('Council Entry'!Q$6-'Council Entry'!Q$5)),1))),"No data"))</f>
        <v/>
      </c>
      <c r="R171" s="13">
        <f>IF('Council Entry'!R171="","",IFERROR(MAX(0,MIN(10,ROUND(IF('Council Entry'!R$7="Decrease Risk",10-10*((IF('Council Entry'!R$4="Logarithm",LN(0.001+IF(AND(ISNUMBER('Council Entry'!R$8),ISNUMBER('Council Entry'!R$9)),MAX(MIN('Council Entry'!R171,'Council Entry'!R$9),'Council Entry'!R$8),'Council Entry'!R171)),IF('Council Entry'!R$4="Exponential",EXP(IF(AND(ISNUMBER('Council Entry'!R$8),ISNUMBER('Council Entry'!R$9)),MAX(MIN('Council Entry'!R171,'Council Entry'!R$9),'Council Entry'!R$8),'Council Entry'!R171)),IF(AND(ISNUMBER('Council Entry'!R$8),ISNUMBER('Council Entry'!R$9)),MAX(MIN('Council Entry'!R171,'Council Entry'!R$9),'Council Entry'!R$8),'Council Entry'!R171))))-'Council Entry'!R$5)/('Council Entry'!R$6-'Council Entry'!R$5),10*((IF('Council Entry'!R$4="Logarithm",LN(0.001+IF(AND(ISNUMBER('Council Entry'!R$8),ISNUMBER('Council Entry'!R$9)),MAX(MIN('Council Entry'!R171,'Council Entry'!R$9),'Council Entry'!R$8),'Council Entry'!R171)),IF('Council Entry'!R$4="Exponential",EXP(IF(AND(ISNUMBER('Council Entry'!R$8),ISNUMBER('Council Entry'!R$9)),MAX(MIN('Council Entry'!R171,'Council Entry'!R$9),'Council Entry'!R$8),'Council Entry'!R171)),IF(AND(ISNUMBER('Council Entry'!R$8),ISNUMBER('Council Entry'!R$9)),MAX(MIN('Council Entry'!R171,'Council Entry'!R$9),'Council Entry'!R$8),'Council Entry'!R171))))-'Council Entry'!R$5)/('Council Entry'!R$6-'Council Entry'!R$5)),1))),"No data"))</f>
        <v/>
      </c>
      <c r="S171" s="13">
        <f>IF('Council Entry'!S171="","",IFERROR(MAX(0,MIN(10,ROUND(IF('Council Entry'!S$7="Decrease Risk",10-10*((IF('Council Entry'!S$4="Logarithm",LN(0.001+IF(AND(ISNUMBER('Council Entry'!S$8),ISNUMBER('Council Entry'!S$9)),MAX(MIN('Council Entry'!S171,'Council Entry'!S$9),'Council Entry'!S$8),'Council Entry'!S171)),IF('Council Entry'!S$4="Exponential",EXP(IF(AND(ISNUMBER('Council Entry'!S$8),ISNUMBER('Council Entry'!S$9)),MAX(MIN('Council Entry'!S171,'Council Entry'!S$9),'Council Entry'!S$8),'Council Entry'!S171)),IF(AND(ISNUMBER('Council Entry'!S$8),ISNUMBER('Council Entry'!S$9)),MAX(MIN('Council Entry'!S171,'Council Entry'!S$9),'Council Entry'!S$8),'Council Entry'!S171))))-'Council Entry'!S$5)/('Council Entry'!S$6-'Council Entry'!S$5),10*((IF('Council Entry'!S$4="Logarithm",LN(0.001+IF(AND(ISNUMBER('Council Entry'!S$8),ISNUMBER('Council Entry'!S$9)),MAX(MIN('Council Entry'!S171,'Council Entry'!S$9),'Council Entry'!S$8),'Council Entry'!S171)),IF('Council Entry'!S$4="Exponential",EXP(IF(AND(ISNUMBER('Council Entry'!S$8),ISNUMBER('Council Entry'!S$9)),MAX(MIN('Council Entry'!S171,'Council Entry'!S$9),'Council Entry'!S$8),'Council Entry'!S171)),IF(AND(ISNUMBER('Council Entry'!S$8),ISNUMBER('Council Entry'!S$9)),MAX(MIN('Council Entry'!S171,'Council Entry'!S$9),'Council Entry'!S$8),'Council Entry'!S171))))-'Council Entry'!S$5)/('Council Entry'!S$6-'Council Entry'!S$5)),1))),"No data"))</f>
        <v/>
      </c>
      <c r="T171" s="13">
        <f>IF('Council Entry'!T171="","",IFERROR(MAX(0,MIN(10,ROUND(IF('Council Entry'!T$7="Decrease Risk",10-10*((IF('Council Entry'!T$4="Logarithm",LN(0.001+IF(AND(ISNUMBER('Council Entry'!T$8),ISNUMBER('Council Entry'!T$9)),MAX(MIN('Council Entry'!T171,'Council Entry'!T$9),'Council Entry'!T$8),'Council Entry'!T171)),IF('Council Entry'!T$4="Exponential",EXP(IF(AND(ISNUMBER('Council Entry'!T$8),ISNUMBER('Council Entry'!T$9)),MAX(MIN('Council Entry'!T171,'Council Entry'!T$9),'Council Entry'!T$8),'Council Entry'!T171)),IF(AND(ISNUMBER('Council Entry'!T$8),ISNUMBER('Council Entry'!T$9)),MAX(MIN('Council Entry'!T171,'Council Entry'!T$9),'Council Entry'!T$8),'Council Entry'!T171))))-'Council Entry'!T$5)/('Council Entry'!T$6-'Council Entry'!T$5),10*((IF('Council Entry'!T$4="Logarithm",LN(0.001+IF(AND(ISNUMBER('Council Entry'!T$8),ISNUMBER('Council Entry'!T$9)),MAX(MIN('Council Entry'!T171,'Council Entry'!T$9),'Council Entry'!T$8),'Council Entry'!T171)),IF('Council Entry'!T$4="Exponential",EXP(IF(AND(ISNUMBER('Council Entry'!T$8),ISNUMBER('Council Entry'!T$9)),MAX(MIN('Council Entry'!T171,'Council Entry'!T$9),'Council Entry'!T$8),'Council Entry'!T171)),IF(AND(ISNUMBER('Council Entry'!T$8),ISNUMBER('Council Entry'!T$9)),MAX(MIN('Council Entry'!T171,'Council Entry'!T$9),'Council Entry'!T$8),'Council Entry'!T171))))-'Council Entry'!T$5)/('Council Entry'!T$6-'Council Entry'!T$5)),1))),"No data"))</f>
        <v/>
      </c>
      <c r="U171" s="13">
        <f>IF('Council Entry'!U171="","",IFERROR(MAX(0,MIN(10,ROUND(IF('Council Entry'!U$7="Decrease Risk",10-10*((IF('Council Entry'!U$4="Logarithm",LN(0.001+IF(AND(ISNUMBER('Council Entry'!U$8),ISNUMBER('Council Entry'!U$9)),MAX(MIN('Council Entry'!U171,'Council Entry'!U$9),'Council Entry'!U$8),'Council Entry'!U171)),IF('Council Entry'!U$4="Exponential",EXP(IF(AND(ISNUMBER('Council Entry'!U$8),ISNUMBER('Council Entry'!U$9)),MAX(MIN('Council Entry'!U171,'Council Entry'!U$9),'Council Entry'!U$8),'Council Entry'!U171)),IF(AND(ISNUMBER('Council Entry'!U$8),ISNUMBER('Council Entry'!U$9)),MAX(MIN('Council Entry'!U171,'Council Entry'!U$9),'Council Entry'!U$8),'Council Entry'!U171))))-'Council Entry'!U$5)/('Council Entry'!U$6-'Council Entry'!U$5),10*((IF('Council Entry'!U$4="Logarithm",LN(0.001+IF(AND(ISNUMBER('Council Entry'!U$8),ISNUMBER('Council Entry'!U$9)),MAX(MIN('Council Entry'!U171,'Council Entry'!U$9),'Council Entry'!U$8),'Council Entry'!U171)),IF('Council Entry'!U$4="Exponential",EXP(IF(AND(ISNUMBER('Council Entry'!U$8),ISNUMBER('Council Entry'!U$9)),MAX(MIN('Council Entry'!U171,'Council Entry'!U$9),'Council Entry'!U$8),'Council Entry'!U171)),IF(AND(ISNUMBER('Council Entry'!U$8),ISNUMBER('Council Entry'!U$9)),MAX(MIN('Council Entry'!U171,'Council Entry'!U$9),'Council Entry'!U$8),'Council Entry'!U171))))-'Council Entry'!U$5)/('Council Entry'!U$6-'Council Entry'!U$5)),1))),"No data"))</f>
        <v/>
      </c>
      <c r="V171" s="13">
        <f>IF('Council Entry'!V171="","",IFERROR(MAX(0,MIN(10,ROUND(IF('Council Entry'!V$7="Decrease Risk",10-10*((IF('Council Entry'!V$4="Logarithm",LN(0.001+IF(AND(ISNUMBER('Council Entry'!V$8),ISNUMBER('Council Entry'!V$9)),MAX(MIN('Council Entry'!V171,'Council Entry'!V$9),'Council Entry'!V$8),'Council Entry'!V171)),IF('Council Entry'!V$4="Exponential",EXP(IF(AND(ISNUMBER('Council Entry'!V$8),ISNUMBER('Council Entry'!V$9)),MAX(MIN('Council Entry'!V171,'Council Entry'!V$9),'Council Entry'!V$8),'Council Entry'!V171)),IF(AND(ISNUMBER('Council Entry'!V$8),ISNUMBER('Council Entry'!V$9)),MAX(MIN('Council Entry'!V171,'Council Entry'!V$9),'Council Entry'!V$8),'Council Entry'!V171))))-'Council Entry'!V$5)/('Council Entry'!V$6-'Council Entry'!V$5),10*((IF('Council Entry'!V$4="Logarithm",LN(0.001+IF(AND(ISNUMBER('Council Entry'!V$8),ISNUMBER('Council Entry'!V$9)),MAX(MIN('Council Entry'!V171,'Council Entry'!V$9),'Council Entry'!V$8),'Council Entry'!V171)),IF('Council Entry'!V$4="Exponential",EXP(IF(AND(ISNUMBER('Council Entry'!V$8),ISNUMBER('Council Entry'!V$9)),MAX(MIN('Council Entry'!V171,'Council Entry'!V$9),'Council Entry'!V$8),'Council Entry'!V171)),IF(AND(ISNUMBER('Council Entry'!V$8),ISNUMBER('Council Entry'!V$9)),MAX(MIN('Council Entry'!V171,'Council Entry'!V$9),'Council Entry'!V$8),'Council Entry'!V171))))-'Council Entry'!V$5)/('Council Entry'!V$6-'Council Entry'!V$5)),1))),"No data"))</f>
        <v/>
      </c>
      <c r="W171" s="13">
        <f>IF('Council Entry'!W171="","",IFERROR(MAX(0,MIN(10,ROUND(IF('Council Entry'!W$7="Decrease Risk",10-10*((IF('Council Entry'!W$4="Logarithm",LN(0.001+IF(AND(ISNUMBER('Council Entry'!W$8),ISNUMBER('Council Entry'!W$9)),MAX(MIN('Council Entry'!W171,'Council Entry'!W$9),'Council Entry'!W$8),'Council Entry'!W171)),IF('Council Entry'!W$4="Exponential",EXP(IF(AND(ISNUMBER('Council Entry'!W$8),ISNUMBER('Council Entry'!W$9)),MAX(MIN('Council Entry'!W171,'Council Entry'!W$9),'Council Entry'!W$8),'Council Entry'!W171)),IF(AND(ISNUMBER('Council Entry'!W$8),ISNUMBER('Council Entry'!W$9)),MAX(MIN('Council Entry'!W171,'Council Entry'!W$9),'Council Entry'!W$8),'Council Entry'!W171))))-'Council Entry'!W$5)/('Council Entry'!W$6-'Council Entry'!W$5),10*((IF('Council Entry'!W$4="Logarithm",LN(0.001+IF(AND(ISNUMBER('Council Entry'!W$8),ISNUMBER('Council Entry'!W$9)),MAX(MIN('Council Entry'!W171,'Council Entry'!W$9),'Council Entry'!W$8),'Council Entry'!W171)),IF('Council Entry'!W$4="Exponential",EXP(IF(AND(ISNUMBER('Council Entry'!W$8),ISNUMBER('Council Entry'!W$9)),MAX(MIN('Council Entry'!W171,'Council Entry'!W$9),'Council Entry'!W$8),'Council Entry'!W171)),IF(AND(ISNUMBER('Council Entry'!W$8),ISNUMBER('Council Entry'!W$9)),MAX(MIN('Council Entry'!W171,'Council Entry'!W$9),'Council Entry'!W$8),'Council Entry'!W171))))-'Council Entry'!W$5)/('Council Entry'!W$6-'Council Entry'!W$5)),1))),"No data"))</f>
        <v/>
      </c>
      <c r="X171" s="13">
        <f>IF('Council Entry'!X171="","",IFERROR(MAX(0,MIN(10,ROUND(IF('Council Entry'!X$7="Decrease Risk",10-10*((IF('Council Entry'!X$4="Logarithm",LN(0.001+IF(AND(ISNUMBER('Council Entry'!X$8),ISNUMBER('Council Entry'!X$9)),MAX(MIN('Council Entry'!X171,'Council Entry'!X$9),'Council Entry'!X$8),'Council Entry'!X171)),IF('Council Entry'!X$4="Exponential",EXP(IF(AND(ISNUMBER('Council Entry'!X$8),ISNUMBER('Council Entry'!X$9)),MAX(MIN('Council Entry'!X171,'Council Entry'!X$9),'Council Entry'!X$8),'Council Entry'!X171)),IF(AND(ISNUMBER('Council Entry'!X$8),ISNUMBER('Council Entry'!X$9)),MAX(MIN('Council Entry'!X171,'Council Entry'!X$9),'Council Entry'!X$8),'Council Entry'!X171))))-'Council Entry'!X$5)/('Council Entry'!X$6-'Council Entry'!X$5),10*((IF('Council Entry'!X$4="Logarithm",LN(0.001+IF(AND(ISNUMBER('Council Entry'!X$8),ISNUMBER('Council Entry'!X$9)),MAX(MIN('Council Entry'!X171,'Council Entry'!X$9),'Council Entry'!X$8),'Council Entry'!X171)),IF('Council Entry'!X$4="Exponential",EXP(IF(AND(ISNUMBER('Council Entry'!X$8),ISNUMBER('Council Entry'!X$9)),MAX(MIN('Council Entry'!X171,'Council Entry'!X$9),'Council Entry'!X$8),'Council Entry'!X171)),IF(AND(ISNUMBER('Council Entry'!X$8),ISNUMBER('Council Entry'!X$9)),MAX(MIN('Council Entry'!X171,'Council Entry'!X$9),'Council Entry'!X$8),'Council Entry'!X171))))-'Council Entry'!X$5)/('Council Entry'!X$6-'Council Entry'!X$5)),1))),"No data"))</f>
        <v/>
      </c>
      <c r="Y171" s="13">
        <f>IF('Council Entry'!Y171="","",IFERROR(MAX(0,MIN(10,ROUND(IF('Council Entry'!Y$7="Decrease Risk",10-10*((IF('Council Entry'!Y$4="Logarithm",LN(0.001+IF(AND(ISNUMBER('Council Entry'!Y$8),ISNUMBER('Council Entry'!Y$9)),MAX(MIN('Council Entry'!Y171,'Council Entry'!Y$9),'Council Entry'!Y$8),'Council Entry'!Y171)),IF('Council Entry'!Y$4="Exponential",EXP(IF(AND(ISNUMBER('Council Entry'!Y$8),ISNUMBER('Council Entry'!Y$9)),MAX(MIN('Council Entry'!Y171,'Council Entry'!Y$9),'Council Entry'!Y$8),'Council Entry'!Y171)),IF(AND(ISNUMBER('Council Entry'!Y$8),ISNUMBER('Council Entry'!Y$9)),MAX(MIN('Council Entry'!Y171,'Council Entry'!Y$9),'Council Entry'!Y$8),'Council Entry'!Y171))))-'Council Entry'!Y$5)/('Council Entry'!Y$6-'Council Entry'!Y$5),10*((IF('Council Entry'!Y$4="Logarithm",LN(0.001+IF(AND(ISNUMBER('Council Entry'!Y$8),ISNUMBER('Council Entry'!Y$9)),MAX(MIN('Council Entry'!Y171,'Council Entry'!Y$9),'Council Entry'!Y$8),'Council Entry'!Y171)),IF('Council Entry'!Y$4="Exponential",EXP(IF(AND(ISNUMBER('Council Entry'!Y$8),ISNUMBER('Council Entry'!Y$9)),MAX(MIN('Council Entry'!Y171,'Council Entry'!Y$9),'Council Entry'!Y$8),'Council Entry'!Y171)),IF(AND(ISNUMBER('Council Entry'!Y$8),ISNUMBER('Council Entry'!Y$9)),MAX(MIN('Council Entry'!Y171,'Council Entry'!Y$9),'Council Entry'!Y$8),'Council Entry'!Y171))))-'Council Entry'!Y$5)/('Council Entry'!Y$6-'Council Entry'!Y$5)),1))),"No data"))</f>
        <v/>
      </c>
      <c r="Z171" s="13">
        <f>IF('Council Entry'!Z171="","",IFERROR(MAX(0,MIN(10,ROUND(IF('Council Entry'!Z$7="Decrease Risk",10-10*((IF('Council Entry'!Z$4="Logarithm",LN(0.001+IF(AND(ISNUMBER('Council Entry'!Z$8),ISNUMBER('Council Entry'!Z$9)),MAX(MIN('Council Entry'!Z171,'Council Entry'!Z$9),'Council Entry'!Z$8),'Council Entry'!Z171)),IF('Council Entry'!Z$4="Exponential",EXP(IF(AND(ISNUMBER('Council Entry'!Z$8),ISNUMBER('Council Entry'!Z$9)),MAX(MIN('Council Entry'!Z171,'Council Entry'!Z$9),'Council Entry'!Z$8),'Council Entry'!Z171)),IF(AND(ISNUMBER('Council Entry'!Z$8),ISNUMBER('Council Entry'!Z$9)),MAX(MIN('Council Entry'!Z171,'Council Entry'!Z$9),'Council Entry'!Z$8),'Council Entry'!Z171))))-'Council Entry'!Z$5)/('Council Entry'!Z$6-'Council Entry'!Z$5),10*((IF('Council Entry'!Z$4="Logarithm",LN(0.001+IF(AND(ISNUMBER('Council Entry'!Z$8),ISNUMBER('Council Entry'!Z$9)),MAX(MIN('Council Entry'!Z171,'Council Entry'!Z$9),'Council Entry'!Z$8),'Council Entry'!Z171)),IF('Council Entry'!Z$4="Exponential",EXP(IF(AND(ISNUMBER('Council Entry'!Z$8),ISNUMBER('Council Entry'!Z$9)),MAX(MIN('Council Entry'!Z171,'Council Entry'!Z$9),'Council Entry'!Z$8),'Council Entry'!Z171)),IF(AND(ISNUMBER('Council Entry'!Z$8),ISNUMBER('Council Entry'!Z$9)),MAX(MIN('Council Entry'!Z171,'Council Entry'!Z$9),'Council Entry'!Z$8),'Council Entry'!Z171))))-'Council Entry'!Z$5)/('Council Entry'!Z$6-'Council Entry'!Z$5)),1))),"No data"))</f>
        <v/>
      </c>
      <c r="AA171" s="13">
        <f>IF('Council Entry'!AA171="","",IFERROR(MAX(0,MIN(10,ROUND(IF('Council Entry'!AA$7="Decrease Risk",10-10*((IF('Council Entry'!AA$4="Logarithm",LN(0.001+IF(AND(ISNUMBER('Council Entry'!AA$8),ISNUMBER('Council Entry'!AA$9)),MAX(MIN('Council Entry'!AA171,'Council Entry'!AA$9),'Council Entry'!AA$8),'Council Entry'!AA171)),IF('Council Entry'!AA$4="Exponential",EXP(IF(AND(ISNUMBER('Council Entry'!AA$8),ISNUMBER('Council Entry'!AA$9)),MAX(MIN('Council Entry'!AA171,'Council Entry'!AA$9),'Council Entry'!AA$8),'Council Entry'!AA171)),IF(AND(ISNUMBER('Council Entry'!AA$8),ISNUMBER('Council Entry'!AA$9)),MAX(MIN('Council Entry'!AA171,'Council Entry'!AA$9),'Council Entry'!AA$8),'Council Entry'!AA171))))-'Council Entry'!AA$5)/('Council Entry'!AA$6-'Council Entry'!AA$5),10*((IF('Council Entry'!AA$4="Logarithm",LN(0.001+IF(AND(ISNUMBER('Council Entry'!AA$8),ISNUMBER('Council Entry'!AA$9)),MAX(MIN('Council Entry'!AA171,'Council Entry'!AA$9),'Council Entry'!AA$8),'Council Entry'!AA171)),IF('Council Entry'!AA$4="Exponential",EXP(IF(AND(ISNUMBER('Council Entry'!AA$8),ISNUMBER('Council Entry'!AA$9)),MAX(MIN('Council Entry'!AA171,'Council Entry'!AA$9),'Council Entry'!AA$8),'Council Entry'!AA171)),IF(AND(ISNUMBER('Council Entry'!AA$8),ISNUMBER('Council Entry'!AA$9)),MAX(MIN('Council Entry'!AA171,'Council Entry'!AA$9),'Council Entry'!AA$8),'Council Entry'!AA171))))-'Council Entry'!AA$5)/('Council Entry'!AA$6-'Council Entry'!AA$5)),1))),"No data"))</f>
        <v/>
      </c>
      <c r="AB171" s="13">
        <f>IF('Council Entry'!AB171="","",IFERROR(MAX(0,MIN(10,ROUND(IF('Council Entry'!AB$7="Decrease Risk",10-10*((IF('Council Entry'!AB$4="Logarithm",LN(0.001+IF(AND(ISNUMBER('Council Entry'!AB$8),ISNUMBER('Council Entry'!AB$9)),MAX(MIN('Council Entry'!AB171,'Council Entry'!AB$9),'Council Entry'!AB$8),'Council Entry'!AB171)),IF('Council Entry'!AB$4="Exponential",EXP(IF(AND(ISNUMBER('Council Entry'!AB$8),ISNUMBER('Council Entry'!AB$9)),MAX(MIN('Council Entry'!AB171,'Council Entry'!AB$9),'Council Entry'!AB$8),'Council Entry'!AB171)),IF(AND(ISNUMBER('Council Entry'!AB$8),ISNUMBER('Council Entry'!AB$9)),MAX(MIN('Council Entry'!AB171,'Council Entry'!AB$9),'Council Entry'!AB$8),'Council Entry'!AB171))))-'Council Entry'!AB$5)/('Council Entry'!AB$6-'Council Entry'!AB$5),10*((IF('Council Entry'!AB$4="Logarithm",LN(0.001+IF(AND(ISNUMBER('Council Entry'!AB$8),ISNUMBER('Council Entry'!AB$9)),MAX(MIN('Council Entry'!AB171,'Council Entry'!AB$9),'Council Entry'!AB$8),'Council Entry'!AB171)),IF('Council Entry'!AB$4="Exponential",EXP(IF(AND(ISNUMBER('Council Entry'!AB$8),ISNUMBER('Council Entry'!AB$9)),MAX(MIN('Council Entry'!AB171,'Council Entry'!AB$9),'Council Entry'!AB$8),'Council Entry'!AB171)),IF(AND(ISNUMBER('Council Entry'!AB$8),ISNUMBER('Council Entry'!AB$9)),MAX(MIN('Council Entry'!AB171,'Council Entry'!AB$9),'Council Entry'!AB$8),'Council Entry'!AB171))))-'Council Entry'!AB$5)/('Council Entry'!AB$6-'Council Entry'!AB$5)),1))),"No data"))</f>
        <v/>
      </c>
      <c r="AC171" s="13">
        <f>IF('Council Entry'!AC171="","",IFERROR(MAX(0,MIN(10,ROUND(IF('Council Entry'!AC$7="Decrease Risk",10-10*((IF('Council Entry'!AC$4="Logarithm",LN(0.001+IF(AND(ISNUMBER('Council Entry'!AC$8),ISNUMBER('Council Entry'!AC$9)),MAX(MIN('Council Entry'!AC171,'Council Entry'!AC$9),'Council Entry'!AC$8),'Council Entry'!AC171)),IF('Council Entry'!AC$4="Exponential",EXP(IF(AND(ISNUMBER('Council Entry'!AC$8),ISNUMBER('Council Entry'!AC$9)),MAX(MIN('Council Entry'!AC171,'Council Entry'!AC$9),'Council Entry'!AC$8),'Council Entry'!AC171)),IF(AND(ISNUMBER('Council Entry'!AC$8),ISNUMBER('Council Entry'!AC$9)),MAX(MIN('Council Entry'!AC171,'Council Entry'!AC$9),'Council Entry'!AC$8),'Council Entry'!AC171))))-'Council Entry'!AC$5)/('Council Entry'!AC$6-'Council Entry'!AC$5),10*((IF('Council Entry'!AC$4="Logarithm",LN(0.001+IF(AND(ISNUMBER('Council Entry'!AC$8),ISNUMBER('Council Entry'!AC$9)),MAX(MIN('Council Entry'!AC171,'Council Entry'!AC$9),'Council Entry'!AC$8),'Council Entry'!AC171)),IF('Council Entry'!AC$4="Exponential",EXP(IF(AND(ISNUMBER('Council Entry'!AC$8),ISNUMBER('Council Entry'!AC$9)),MAX(MIN('Council Entry'!AC171,'Council Entry'!AC$9),'Council Entry'!AC$8),'Council Entry'!AC171)),IF(AND(ISNUMBER('Council Entry'!AC$8),ISNUMBER('Council Entry'!AC$9)),MAX(MIN('Council Entry'!AC171,'Council Entry'!AC$9),'Council Entry'!AC$8),'Council Entry'!AC171))))-'Council Entry'!AC$5)/('Council Entry'!AC$6-'Council Entry'!AC$5)),1))),"No data"))</f>
        <v/>
      </c>
      <c r="AD171" s="13">
        <f>IF('Council Entry'!AD171="","",IFERROR(MAX(0,MIN(10,ROUND(IF('Council Entry'!AD$7="Decrease Risk",10-10*((IF('Council Entry'!AD$4="Logarithm",LN(0.001+IF(AND(ISNUMBER('Council Entry'!AD$8),ISNUMBER('Council Entry'!AD$9)),MAX(MIN('Council Entry'!AD171,'Council Entry'!AD$9),'Council Entry'!AD$8),'Council Entry'!AD171)),IF('Council Entry'!AD$4="Exponential",EXP(IF(AND(ISNUMBER('Council Entry'!AD$8),ISNUMBER('Council Entry'!AD$9)),MAX(MIN('Council Entry'!AD171,'Council Entry'!AD$9),'Council Entry'!AD$8),'Council Entry'!AD171)),IF(AND(ISNUMBER('Council Entry'!AD$8),ISNUMBER('Council Entry'!AD$9)),MAX(MIN('Council Entry'!AD171,'Council Entry'!AD$9),'Council Entry'!AD$8),'Council Entry'!AD171))))-'Council Entry'!AD$5)/('Council Entry'!AD$6-'Council Entry'!AD$5),10*((IF('Council Entry'!AD$4="Logarithm",LN(0.001+IF(AND(ISNUMBER('Council Entry'!AD$8),ISNUMBER('Council Entry'!AD$9)),MAX(MIN('Council Entry'!AD171,'Council Entry'!AD$9),'Council Entry'!AD$8),'Council Entry'!AD171)),IF('Council Entry'!AD$4="Exponential",EXP(IF(AND(ISNUMBER('Council Entry'!AD$8),ISNUMBER('Council Entry'!AD$9)),MAX(MIN('Council Entry'!AD171,'Council Entry'!AD$9),'Council Entry'!AD$8),'Council Entry'!AD171)),IF(AND(ISNUMBER('Council Entry'!AD$8),ISNUMBER('Council Entry'!AD$9)),MAX(MIN('Council Entry'!AD171,'Council Entry'!AD$9),'Council Entry'!AD$8),'Council Entry'!AD171))))-'Council Entry'!AD$5)/('Council Entry'!AD$6-'Council Entry'!AD$5)),1))),"No data"))</f>
        <v/>
      </c>
      <c r="AE171" s="13">
        <f>IF('Council Entry'!AE171="","",IFERROR(MAX(0,MIN(10,ROUND(IF('Council Entry'!AE$7="Decrease Risk",10-10*((IF('Council Entry'!AE$4="Logarithm",LN(0.001+IF(AND(ISNUMBER('Council Entry'!AE$8),ISNUMBER('Council Entry'!AE$9)),MAX(MIN('Council Entry'!AE171,'Council Entry'!AE$9),'Council Entry'!AE$8),'Council Entry'!AE171)),IF('Council Entry'!AE$4="Exponential",EXP(IF(AND(ISNUMBER('Council Entry'!AE$8),ISNUMBER('Council Entry'!AE$9)),MAX(MIN('Council Entry'!AE171,'Council Entry'!AE$9),'Council Entry'!AE$8),'Council Entry'!AE171)),IF(AND(ISNUMBER('Council Entry'!AE$8),ISNUMBER('Council Entry'!AE$9)),MAX(MIN('Council Entry'!AE171,'Council Entry'!AE$9),'Council Entry'!AE$8),'Council Entry'!AE171))))-'Council Entry'!AE$5)/('Council Entry'!AE$6-'Council Entry'!AE$5),10*((IF('Council Entry'!AE$4="Logarithm",LN(0.001+IF(AND(ISNUMBER('Council Entry'!AE$8),ISNUMBER('Council Entry'!AE$9)),MAX(MIN('Council Entry'!AE171,'Council Entry'!AE$9),'Council Entry'!AE$8),'Council Entry'!AE171)),IF('Council Entry'!AE$4="Exponential",EXP(IF(AND(ISNUMBER('Council Entry'!AE$8),ISNUMBER('Council Entry'!AE$9)),MAX(MIN('Council Entry'!AE171,'Council Entry'!AE$9),'Council Entry'!AE$8),'Council Entry'!AE171)),IF(AND(ISNUMBER('Council Entry'!AE$8),ISNUMBER('Council Entry'!AE$9)),MAX(MIN('Council Entry'!AE171,'Council Entry'!AE$9),'Council Entry'!AE$8),'Council Entry'!AE171))))-'Council Entry'!AE$5)/('Council Entry'!AE$6-'Council Entry'!AE$5)),1))),"No data"))</f>
        <v/>
      </c>
      <c r="AF171" s="13">
        <f>IF('Council Entry'!AF171="","",IFERROR(MAX(0,MIN(10,ROUND(IF('Council Entry'!AF$7="Decrease Risk",10-10*((IF('Council Entry'!AF$4="Logarithm",LN(0.001+IF(AND(ISNUMBER('Council Entry'!AF$8),ISNUMBER('Council Entry'!AF$9)),MAX(MIN('Council Entry'!AF171,'Council Entry'!AF$9),'Council Entry'!AF$8),'Council Entry'!AF171)),IF('Council Entry'!AF$4="Exponential",EXP(IF(AND(ISNUMBER('Council Entry'!AF$8),ISNUMBER('Council Entry'!AF$9)),MAX(MIN('Council Entry'!AF171,'Council Entry'!AF$9),'Council Entry'!AF$8),'Council Entry'!AF171)),IF(AND(ISNUMBER('Council Entry'!AF$8),ISNUMBER('Council Entry'!AF$9)),MAX(MIN('Council Entry'!AF171,'Council Entry'!AF$9),'Council Entry'!AF$8),'Council Entry'!AF171))))-'Council Entry'!AF$5)/('Council Entry'!AF$6-'Council Entry'!AF$5),10*((IF('Council Entry'!AF$4="Logarithm",LN(0.001+IF(AND(ISNUMBER('Council Entry'!AF$8),ISNUMBER('Council Entry'!AF$9)),MAX(MIN('Council Entry'!AF171,'Council Entry'!AF$9),'Council Entry'!AF$8),'Council Entry'!AF171)),IF('Council Entry'!AF$4="Exponential",EXP(IF(AND(ISNUMBER('Council Entry'!AF$8),ISNUMBER('Council Entry'!AF$9)),MAX(MIN('Council Entry'!AF171,'Council Entry'!AF$9),'Council Entry'!AF$8),'Council Entry'!AF171)),IF(AND(ISNUMBER('Council Entry'!AF$8),ISNUMBER('Council Entry'!AF$9)),MAX(MIN('Council Entry'!AF171,'Council Entry'!AF$9),'Council Entry'!AF$8),'Council Entry'!AF171))))-'Council Entry'!AF$5)/('Council Entry'!AF$6-'Council Entry'!AF$5)),1))),"No data"))</f>
        <v/>
      </c>
      <c r="AG171" s="13">
        <f>IF('Council Entry'!AG171="","",IFERROR(MAX(0,MIN(10,ROUND(IF('Council Entry'!AG$7="Decrease Risk",10-10*((IF('Council Entry'!AG$4="Logarithm",LN(0.001+IF(AND(ISNUMBER('Council Entry'!AG$8),ISNUMBER('Council Entry'!AG$9)),MAX(MIN('Council Entry'!AG171,'Council Entry'!AG$9),'Council Entry'!AG$8),'Council Entry'!AG171)),IF('Council Entry'!AG$4="Exponential",EXP(IF(AND(ISNUMBER('Council Entry'!AG$8),ISNUMBER('Council Entry'!AG$9)),MAX(MIN('Council Entry'!AG171,'Council Entry'!AG$9),'Council Entry'!AG$8),'Council Entry'!AG171)),IF(AND(ISNUMBER('Council Entry'!AG$8),ISNUMBER('Council Entry'!AG$9)),MAX(MIN('Council Entry'!AG171,'Council Entry'!AG$9),'Council Entry'!AG$8),'Council Entry'!AG171))))-'Council Entry'!AG$5)/('Council Entry'!AG$6-'Council Entry'!AG$5),10*((IF('Council Entry'!AG$4="Logarithm",LN(0.001+IF(AND(ISNUMBER('Council Entry'!AG$8),ISNUMBER('Council Entry'!AG$9)),MAX(MIN('Council Entry'!AG171,'Council Entry'!AG$9),'Council Entry'!AG$8),'Council Entry'!AG171)),IF('Council Entry'!AG$4="Exponential",EXP(IF(AND(ISNUMBER('Council Entry'!AG$8),ISNUMBER('Council Entry'!AG$9)),MAX(MIN('Council Entry'!AG171,'Council Entry'!AG$9),'Council Entry'!AG$8),'Council Entry'!AG171)),IF(AND(ISNUMBER('Council Entry'!AG$8),ISNUMBER('Council Entry'!AG$9)),MAX(MIN('Council Entry'!AG171,'Council Entry'!AG$9),'Council Entry'!AG$8),'Council Entry'!AG171))))-'Council Entry'!AG$5)/('Council Entry'!AG$6-'Council Entry'!AG$5)),1))),"No data"))</f>
        <v/>
      </c>
      <c r="AH171" s="13">
        <f>IF('Council Entry'!AH171="","",IFERROR(MAX(0,MIN(10,ROUND(IF('Council Entry'!AH$7="Decrease Risk",10-10*((IF('Council Entry'!AH$4="Logarithm",LN(0.001+IF(AND(ISNUMBER('Council Entry'!AH$8),ISNUMBER('Council Entry'!AH$9)),MAX(MIN('Council Entry'!AH171,'Council Entry'!AH$9),'Council Entry'!AH$8),'Council Entry'!AH171)),IF('Council Entry'!AH$4="Exponential",EXP(IF(AND(ISNUMBER('Council Entry'!AH$8),ISNUMBER('Council Entry'!AH$9)),MAX(MIN('Council Entry'!AH171,'Council Entry'!AH$9),'Council Entry'!AH$8),'Council Entry'!AH171)),IF(AND(ISNUMBER('Council Entry'!AH$8),ISNUMBER('Council Entry'!AH$9)),MAX(MIN('Council Entry'!AH171,'Council Entry'!AH$9),'Council Entry'!AH$8),'Council Entry'!AH171))))-'Council Entry'!AH$5)/('Council Entry'!AH$6-'Council Entry'!AH$5),10*((IF('Council Entry'!AH$4="Logarithm",LN(0.001+IF(AND(ISNUMBER('Council Entry'!AH$8),ISNUMBER('Council Entry'!AH$9)),MAX(MIN('Council Entry'!AH171,'Council Entry'!AH$9),'Council Entry'!AH$8),'Council Entry'!AH171)),IF('Council Entry'!AH$4="Exponential",EXP(IF(AND(ISNUMBER('Council Entry'!AH$8),ISNUMBER('Council Entry'!AH$9)),MAX(MIN('Council Entry'!AH171,'Council Entry'!AH$9),'Council Entry'!AH$8),'Council Entry'!AH171)),IF(AND(ISNUMBER('Council Entry'!AH$8),ISNUMBER('Council Entry'!AH$9)),MAX(MIN('Council Entry'!AH171,'Council Entry'!AH$9),'Council Entry'!AH$8),'Council Entry'!AH171))))-'Council Entry'!AH$5)/('Council Entry'!AH$6-'Council Entry'!AH$5)),1))),"No data"))</f>
        <v/>
      </c>
      <c r="AI171" s="13">
        <f>IF('Council Entry'!AI171="","",IFERROR(MAX(0,MIN(10,ROUND(IF('Council Entry'!AI$7="Decrease Risk",10-10*((IF('Council Entry'!AI$4="Logarithm",LN(0.001+IF(AND(ISNUMBER('Council Entry'!AI$8),ISNUMBER('Council Entry'!AI$9)),MAX(MIN('Council Entry'!AI171,'Council Entry'!AI$9),'Council Entry'!AI$8),'Council Entry'!AI171)),IF('Council Entry'!AI$4="Exponential",EXP(IF(AND(ISNUMBER('Council Entry'!AI$8),ISNUMBER('Council Entry'!AI$9)),MAX(MIN('Council Entry'!AI171,'Council Entry'!AI$9),'Council Entry'!AI$8),'Council Entry'!AI171)),IF(AND(ISNUMBER('Council Entry'!AI$8),ISNUMBER('Council Entry'!AI$9)),MAX(MIN('Council Entry'!AI171,'Council Entry'!AI$9),'Council Entry'!AI$8),'Council Entry'!AI171))))-'Council Entry'!AI$5)/('Council Entry'!AI$6-'Council Entry'!AI$5),10*((IF('Council Entry'!AI$4="Logarithm",LN(0.001+IF(AND(ISNUMBER('Council Entry'!AI$8),ISNUMBER('Council Entry'!AI$9)),MAX(MIN('Council Entry'!AI171,'Council Entry'!AI$9),'Council Entry'!AI$8),'Council Entry'!AI171)),IF('Council Entry'!AI$4="Exponential",EXP(IF(AND(ISNUMBER('Council Entry'!AI$8),ISNUMBER('Council Entry'!AI$9)),MAX(MIN('Council Entry'!AI171,'Council Entry'!AI$9),'Council Entry'!AI$8),'Council Entry'!AI171)),IF(AND(ISNUMBER('Council Entry'!AI$8),ISNUMBER('Council Entry'!AI$9)),MAX(MIN('Council Entry'!AI171,'Council Entry'!AI$9),'Council Entry'!AI$8),'Council Entry'!AI171))))-'Council Entry'!AI$5)/('Council Entry'!AI$6-'Council Entry'!AI$5)),1))),"No data"))</f>
        <v/>
      </c>
      <c r="AJ171" s="13">
        <f>IF('Council Entry'!AJ171="","",IFERROR(MAX(0,MIN(10,ROUND(IF('Council Entry'!AJ$7="Decrease Risk",10-10*((IF('Council Entry'!AJ$4="Logarithm",LN(0.001+IF(AND(ISNUMBER('Council Entry'!AJ$8),ISNUMBER('Council Entry'!AJ$9)),MAX(MIN('Council Entry'!AJ171,'Council Entry'!AJ$9),'Council Entry'!AJ$8),'Council Entry'!AJ171)),IF('Council Entry'!AJ$4="Exponential",EXP(IF(AND(ISNUMBER('Council Entry'!AJ$8),ISNUMBER('Council Entry'!AJ$9)),MAX(MIN('Council Entry'!AJ171,'Council Entry'!AJ$9),'Council Entry'!AJ$8),'Council Entry'!AJ171)),IF(AND(ISNUMBER('Council Entry'!AJ$8),ISNUMBER('Council Entry'!AJ$9)),MAX(MIN('Council Entry'!AJ171,'Council Entry'!AJ$9),'Council Entry'!AJ$8),'Council Entry'!AJ171))))-'Council Entry'!AJ$5)/('Council Entry'!AJ$6-'Council Entry'!AJ$5),10*((IF('Council Entry'!AJ$4="Logarithm",LN(0.001+IF(AND(ISNUMBER('Council Entry'!AJ$8),ISNUMBER('Council Entry'!AJ$9)),MAX(MIN('Council Entry'!AJ171,'Council Entry'!AJ$9),'Council Entry'!AJ$8),'Council Entry'!AJ171)),IF('Council Entry'!AJ$4="Exponential",EXP(IF(AND(ISNUMBER('Council Entry'!AJ$8),ISNUMBER('Council Entry'!AJ$9)),MAX(MIN('Council Entry'!AJ171,'Council Entry'!AJ$9),'Council Entry'!AJ$8),'Council Entry'!AJ171)),IF(AND(ISNUMBER('Council Entry'!AJ$8),ISNUMBER('Council Entry'!AJ$9)),MAX(MIN('Council Entry'!AJ171,'Council Entry'!AJ$9),'Council Entry'!AJ$8),'Council Entry'!AJ171))))-'Council Entry'!AJ$5)/('Council Entry'!AJ$6-'Council Entry'!AJ$5)),1))),"No data"))</f>
        <v/>
      </c>
      <c r="AK171" s="13">
        <f>IF('Council Entry'!AK171="","",IFERROR(MAX(0,MIN(10,ROUND(IF('Council Entry'!AK$7="Decrease Risk",10-10*((IF('Council Entry'!AK$4="Logarithm",LN(0.001+IF(AND(ISNUMBER('Council Entry'!AK$8),ISNUMBER('Council Entry'!AK$9)),MAX(MIN('Council Entry'!AK171,'Council Entry'!AK$9),'Council Entry'!AK$8),'Council Entry'!AK171)),IF('Council Entry'!AK$4="Exponential",EXP(IF(AND(ISNUMBER('Council Entry'!AK$8),ISNUMBER('Council Entry'!AK$9)),MAX(MIN('Council Entry'!AK171,'Council Entry'!AK$9),'Council Entry'!AK$8),'Council Entry'!AK171)),IF(AND(ISNUMBER('Council Entry'!AK$8),ISNUMBER('Council Entry'!AK$9)),MAX(MIN('Council Entry'!AK171,'Council Entry'!AK$9),'Council Entry'!AK$8),'Council Entry'!AK171))))-'Council Entry'!AK$5)/('Council Entry'!AK$6-'Council Entry'!AK$5),10*((IF('Council Entry'!AK$4="Logarithm",LN(0.001+IF(AND(ISNUMBER('Council Entry'!AK$8),ISNUMBER('Council Entry'!AK$9)),MAX(MIN('Council Entry'!AK171,'Council Entry'!AK$9),'Council Entry'!AK$8),'Council Entry'!AK171)),IF('Council Entry'!AK$4="Exponential",EXP(IF(AND(ISNUMBER('Council Entry'!AK$8),ISNUMBER('Council Entry'!AK$9)),MAX(MIN('Council Entry'!AK171,'Council Entry'!AK$9),'Council Entry'!AK$8),'Council Entry'!AK171)),IF(AND(ISNUMBER('Council Entry'!AK$8),ISNUMBER('Council Entry'!AK$9)),MAX(MIN('Council Entry'!AK171,'Council Entry'!AK$9),'Council Entry'!AK$8),'Council Entry'!AK171))))-'Council Entry'!AK$5)/('Council Entry'!AK$6-'Council Entry'!AK$5)),1))),"No data"))</f>
        <v/>
      </c>
      <c r="AL171" s="13">
        <f>IF('Council Entry'!AL171="","",IFERROR(MAX(0,MIN(10,ROUND(IF('Council Entry'!AL$7="Decrease Risk",10-10*((IF('Council Entry'!AL$4="Logarithm",LN(0.001+IF(AND(ISNUMBER('Council Entry'!AL$8),ISNUMBER('Council Entry'!AL$9)),MAX(MIN('Council Entry'!AL171,'Council Entry'!AL$9),'Council Entry'!AL$8),'Council Entry'!AL171)),IF('Council Entry'!AL$4="Exponential",EXP(IF(AND(ISNUMBER('Council Entry'!AL$8),ISNUMBER('Council Entry'!AL$9)),MAX(MIN('Council Entry'!AL171,'Council Entry'!AL$9),'Council Entry'!AL$8),'Council Entry'!AL171)),IF(AND(ISNUMBER('Council Entry'!AL$8),ISNUMBER('Council Entry'!AL$9)),MAX(MIN('Council Entry'!AL171,'Council Entry'!AL$9),'Council Entry'!AL$8),'Council Entry'!AL171))))-'Council Entry'!AL$5)/('Council Entry'!AL$6-'Council Entry'!AL$5),10*((IF('Council Entry'!AL$4="Logarithm",LN(0.001+IF(AND(ISNUMBER('Council Entry'!AL$8),ISNUMBER('Council Entry'!AL$9)),MAX(MIN('Council Entry'!AL171,'Council Entry'!AL$9),'Council Entry'!AL$8),'Council Entry'!AL171)),IF('Council Entry'!AL$4="Exponential",EXP(IF(AND(ISNUMBER('Council Entry'!AL$8),ISNUMBER('Council Entry'!AL$9)),MAX(MIN('Council Entry'!AL171,'Council Entry'!AL$9),'Council Entry'!AL$8),'Council Entry'!AL171)),IF(AND(ISNUMBER('Council Entry'!AL$8),ISNUMBER('Council Entry'!AL$9)),MAX(MIN('Council Entry'!AL171,'Council Entry'!AL$9),'Council Entry'!AL$8),'Council Entry'!AL171))))-'Council Entry'!AL$5)/('Council Entry'!AL$6-'Council Entry'!AL$5)),1))),"No data"))</f>
        <v/>
      </c>
      <c r="AM171" s="13">
        <f>IF('Council Entry'!AM171="","",IFERROR(MAX(0,MIN(10,ROUND(IF('Council Entry'!AM$7="Decrease Risk",10-10*((IF('Council Entry'!AM$4="Logarithm",LN(0.001+IF(AND(ISNUMBER('Council Entry'!AM$8),ISNUMBER('Council Entry'!AM$9)),MAX(MIN('Council Entry'!AM171,'Council Entry'!AM$9),'Council Entry'!AM$8),'Council Entry'!AM171)),IF('Council Entry'!AM$4="Exponential",EXP(IF(AND(ISNUMBER('Council Entry'!AM$8),ISNUMBER('Council Entry'!AM$9)),MAX(MIN('Council Entry'!AM171,'Council Entry'!AM$9),'Council Entry'!AM$8),'Council Entry'!AM171)),IF(AND(ISNUMBER('Council Entry'!AM$8),ISNUMBER('Council Entry'!AM$9)),MAX(MIN('Council Entry'!AM171,'Council Entry'!AM$9),'Council Entry'!AM$8),'Council Entry'!AM171))))-'Council Entry'!AM$5)/('Council Entry'!AM$6-'Council Entry'!AM$5),10*((IF('Council Entry'!AM$4="Logarithm",LN(0.001+IF(AND(ISNUMBER('Council Entry'!AM$8),ISNUMBER('Council Entry'!AM$9)),MAX(MIN('Council Entry'!AM171,'Council Entry'!AM$9),'Council Entry'!AM$8),'Council Entry'!AM171)),IF('Council Entry'!AM$4="Exponential",EXP(IF(AND(ISNUMBER('Council Entry'!AM$8),ISNUMBER('Council Entry'!AM$9)),MAX(MIN('Council Entry'!AM171,'Council Entry'!AM$9),'Council Entry'!AM$8),'Council Entry'!AM171)),IF(AND(ISNUMBER('Council Entry'!AM$8),ISNUMBER('Council Entry'!AM$9)),MAX(MIN('Council Entry'!AM171,'Council Entry'!AM$9),'Council Entry'!AM$8),'Council Entry'!AM171))))-'Council Entry'!AM$5)/('Council Entry'!AM$6-'Council Entry'!AM$5)),1))),"No data"))</f>
        <v/>
      </c>
      <c r="AN171" s="13">
        <f>IF('Council Entry'!AN171="","",IFERROR(MAX(0,MIN(10,ROUND(IF('Council Entry'!AN$7="Decrease Risk",10-10*((IF('Council Entry'!AN$4="Logarithm",LN(0.001+IF(AND(ISNUMBER('Council Entry'!AN$8),ISNUMBER('Council Entry'!AN$9)),MAX(MIN('Council Entry'!AN171,'Council Entry'!AN$9),'Council Entry'!AN$8),'Council Entry'!AN171)),IF('Council Entry'!AN$4="Exponential",EXP(IF(AND(ISNUMBER('Council Entry'!AN$8),ISNUMBER('Council Entry'!AN$9)),MAX(MIN('Council Entry'!AN171,'Council Entry'!AN$9),'Council Entry'!AN$8),'Council Entry'!AN171)),IF(AND(ISNUMBER('Council Entry'!AN$8),ISNUMBER('Council Entry'!AN$9)),MAX(MIN('Council Entry'!AN171,'Council Entry'!AN$9),'Council Entry'!AN$8),'Council Entry'!AN171))))-'Council Entry'!AN$5)/('Council Entry'!AN$6-'Council Entry'!AN$5),10*((IF('Council Entry'!AN$4="Logarithm",LN(0.001+IF(AND(ISNUMBER('Council Entry'!AN$8),ISNUMBER('Council Entry'!AN$9)),MAX(MIN('Council Entry'!AN171,'Council Entry'!AN$9),'Council Entry'!AN$8),'Council Entry'!AN171)),IF('Council Entry'!AN$4="Exponential",EXP(IF(AND(ISNUMBER('Council Entry'!AN$8),ISNUMBER('Council Entry'!AN$9)),MAX(MIN('Council Entry'!AN171,'Council Entry'!AN$9),'Council Entry'!AN$8),'Council Entry'!AN171)),IF(AND(ISNUMBER('Council Entry'!AN$8),ISNUMBER('Council Entry'!AN$9)),MAX(MIN('Council Entry'!AN171,'Council Entry'!AN$9),'Council Entry'!AN$8),'Council Entry'!AN171))))-'Council Entry'!AN$5)/('Council Entry'!AN$6-'Council Entry'!AN$5)),1))),"No data"))</f>
        <v/>
      </c>
      <c r="AO171" s="13">
        <f>IF('Council Entry'!AO171="","",IFERROR(MAX(0,MIN(10,ROUND(IF('Council Entry'!AO$7="Decrease Risk",10-10*((IF('Council Entry'!AO$4="Logarithm",LN(0.001+IF(AND(ISNUMBER('Council Entry'!AO$8),ISNUMBER('Council Entry'!AO$9)),MAX(MIN('Council Entry'!AO171,'Council Entry'!AO$9),'Council Entry'!AO$8),'Council Entry'!AO171)),IF('Council Entry'!AO$4="Exponential",EXP(IF(AND(ISNUMBER('Council Entry'!AO$8),ISNUMBER('Council Entry'!AO$9)),MAX(MIN('Council Entry'!AO171,'Council Entry'!AO$9),'Council Entry'!AO$8),'Council Entry'!AO171)),IF(AND(ISNUMBER('Council Entry'!AO$8),ISNUMBER('Council Entry'!AO$9)),MAX(MIN('Council Entry'!AO171,'Council Entry'!AO$9),'Council Entry'!AO$8),'Council Entry'!AO171))))-'Council Entry'!AO$5)/('Council Entry'!AO$6-'Council Entry'!AO$5),10*((IF('Council Entry'!AO$4="Logarithm",LN(0.001+IF(AND(ISNUMBER('Council Entry'!AO$8),ISNUMBER('Council Entry'!AO$9)),MAX(MIN('Council Entry'!AO171,'Council Entry'!AO$9),'Council Entry'!AO$8),'Council Entry'!AO171)),IF('Council Entry'!AO$4="Exponential",EXP(IF(AND(ISNUMBER('Council Entry'!AO$8),ISNUMBER('Council Entry'!AO$9)),MAX(MIN('Council Entry'!AO171,'Council Entry'!AO$9),'Council Entry'!AO$8),'Council Entry'!AO171)),IF(AND(ISNUMBER('Council Entry'!AO$8),ISNUMBER('Council Entry'!AO$9)),MAX(MIN('Council Entry'!AO171,'Council Entry'!AO$9),'Council Entry'!AO$8),'Council Entry'!AO171))))-'Council Entry'!AO$5)/('Council Entry'!AO$6-'Council Entry'!AO$5)),1))),"No data"))</f>
        <v/>
      </c>
      <c r="AP171" s="13">
        <f>IF('Council Entry'!AP171="","",IFERROR(MAX(0,MIN(10,ROUND(IF('Council Entry'!AP$7="Decrease Risk",10-10*((IF('Council Entry'!AP$4="Logarithm",LN(0.001+IF(AND(ISNUMBER('Council Entry'!AP$8),ISNUMBER('Council Entry'!AP$9)),MAX(MIN('Council Entry'!AP171,'Council Entry'!AP$9),'Council Entry'!AP$8),'Council Entry'!AP171)),IF('Council Entry'!AP$4="Exponential",EXP(IF(AND(ISNUMBER('Council Entry'!AP$8),ISNUMBER('Council Entry'!AP$9)),MAX(MIN('Council Entry'!AP171,'Council Entry'!AP$9),'Council Entry'!AP$8),'Council Entry'!AP171)),IF(AND(ISNUMBER('Council Entry'!AP$8),ISNUMBER('Council Entry'!AP$9)),MAX(MIN('Council Entry'!AP171,'Council Entry'!AP$9),'Council Entry'!AP$8),'Council Entry'!AP171))))-'Council Entry'!AP$5)/('Council Entry'!AP$6-'Council Entry'!AP$5),10*((IF('Council Entry'!AP$4="Logarithm",LN(0.001+IF(AND(ISNUMBER('Council Entry'!AP$8),ISNUMBER('Council Entry'!AP$9)),MAX(MIN('Council Entry'!AP171,'Council Entry'!AP$9),'Council Entry'!AP$8),'Council Entry'!AP171)),IF('Council Entry'!AP$4="Exponential",EXP(IF(AND(ISNUMBER('Council Entry'!AP$8),ISNUMBER('Council Entry'!AP$9)),MAX(MIN('Council Entry'!AP171,'Council Entry'!AP$9),'Council Entry'!AP$8),'Council Entry'!AP171)),IF(AND(ISNUMBER('Council Entry'!AP$8),ISNUMBER('Council Entry'!AP$9)),MAX(MIN('Council Entry'!AP171,'Council Entry'!AP$9),'Council Entry'!AP$8),'Council Entry'!AP171))))-'Council Entry'!AP$5)/('Council Entry'!AP$6-'Council Entry'!AP$5)),1))),"No data"))</f>
        <v/>
      </c>
      <c r="AQ171" s="13">
        <f>IF('Council Entry'!AQ171="","",IFERROR(MAX(0,MIN(10,ROUND(IF('Council Entry'!AQ$7="Decrease Risk",10-10*((IF('Council Entry'!AQ$4="Logarithm",LN(0.001+IF(AND(ISNUMBER('Council Entry'!AQ$8),ISNUMBER('Council Entry'!AQ$9)),MAX(MIN('Council Entry'!AQ171,'Council Entry'!AQ$9),'Council Entry'!AQ$8),'Council Entry'!AQ171)),IF('Council Entry'!AQ$4="Exponential",EXP(IF(AND(ISNUMBER('Council Entry'!AQ$8),ISNUMBER('Council Entry'!AQ$9)),MAX(MIN('Council Entry'!AQ171,'Council Entry'!AQ$9),'Council Entry'!AQ$8),'Council Entry'!AQ171)),IF(AND(ISNUMBER('Council Entry'!AQ$8),ISNUMBER('Council Entry'!AQ$9)),MAX(MIN('Council Entry'!AQ171,'Council Entry'!AQ$9),'Council Entry'!AQ$8),'Council Entry'!AQ171))))-'Council Entry'!AQ$5)/('Council Entry'!AQ$6-'Council Entry'!AQ$5),10*((IF('Council Entry'!AQ$4="Logarithm",LN(0.001+IF(AND(ISNUMBER('Council Entry'!AQ$8),ISNUMBER('Council Entry'!AQ$9)),MAX(MIN('Council Entry'!AQ171,'Council Entry'!AQ$9),'Council Entry'!AQ$8),'Council Entry'!AQ171)),IF('Council Entry'!AQ$4="Exponential",EXP(IF(AND(ISNUMBER('Council Entry'!AQ$8),ISNUMBER('Council Entry'!AQ$9)),MAX(MIN('Council Entry'!AQ171,'Council Entry'!AQ$9),'Council Entry'!AQ$8),'Council Entry'!AQ171)),IF(AND(ISNUMBER('Council Entry'!AQ$8),ISNUMBER('Council Entry'!AQ$9)),MAX(MIN('Council Entry'!AQ171,'Council Entry'!AQ$9),'Council Entry'!AQ$8),'Council Entry'!AQ171))))-'Council Entry'!AQ$5)/('Council Entry'!AQ$6-'Council Entry'!AQ$5)),1))),"No data"))</f>
        <v/>
      </c>
      <c r="AR171" s="13">
        <f>IF('Council Entry'!AR171="","",IFERROR(MAX(0,MIN(10,ROUND(IF('Council Entry'!AR$7="Decrease Risk",10-10*((IF('Council Entry'!AR$4="Logarithm",LN(0.001+IF(AND(ISNUMBER('Council Entry'!AR$8),ISNUMBER('Council Entry'!AR$9)),MAX(MIN('Council Entry'!AR171,'Council Entry'!AR$9),'Council Entry'!AR$8),'Council Entry'!AR171)),IF('Council Entry'!AR$4="Exponential",EXP(IF(AND(ISNUMBER('Council Entry'!AR$8),ISNUMBER('Council Entry'!AR$9)),MAX(MIN('Council Entry'!AR171,'Council Entry'!AR$9),'Council Entry'!AR$8),'Council Entry'!AR171)),IF(AND(ISNUMBER('Council Entry'!AR$8),ISNUMBER('Council Entry'!AR$9)),MAX(MIN('Council Entry'!AR171,'Council Entry'!AR$9),'Council Entry'!AR$8),'Council Entry'!AR171))))-'Council Entry'!AR$5)/('Council Entry'!AR$6-'Council Entry'!AR$5),10*((IF('Council Entry'!AR$4="Logarithm",LN(0.001+IF(AND(ISNUMBER('Council Entry'!AR$8),ISNUMBER('Council Entry'!AR$9)),MAX(MIN('Council Entry'!AR171,'Council Entry'!AR$9),'Council Entry'!AR$8),'Council Entry'!AR171)),IF('Council Entry'!AR$4="Exponential",EXP(IF(AND(ISNUMBER('Council Entry'!AR$8),ISNUMBER('Council Entry'!AR$9)),MAX(MIN('Council Entry'!AR171,'Council Entry'!AR$9),'Council Entry'!AR$8),'Council Entry'!AR171)),IF(AND(ISNUMBER('Council Entry'!AR$8),ISNUMBER('Council Entry'!AR$9)),MAX(MIN('Council Entry'!AR171,'Council Entry'!AR$9),'Council Entry'!AR$8),'Council Entry'!AR171))))-'Council Entry'!AR$5)/('Council Entry'!AR$6-'Council Entry'!AR$5)),1))),"No data"))</f>
        <v/>
      </c>
      <c r="AS171" s="13">
        <f>IF('Council Entry'!AS171="","",IFERROR(MAX(0,MIN(10,ROUND(IF('Council Entry'!AS$7="Decrease Risk",10-10*((IF('Council Entry'!AS$4="Logarithm",LN(0.001+IF(AND(ISNUMBER('Council Entry'!AS$8),ISNUMBER('Council Entry'!AS$9)),MAX(MIN('Council Entry'!AS171,'Council Entry'!AS$9),'Council Entry'!AS$8),'Council Entry'!AS171)),IF('Council Entry'!AS$4="Exponential",EXP(IF(AND(ISNUMBER('Council Entry'!AS$8),ISNUMBER('Council Entry'!AS$9)),MAX(MIN('Council Entry'!AS171,'Council Entry'!AS$9),'Council Entry'!AS$8),'Council Entry'!AS171)),IF(AND(ISNUMBER('Council Entry'!AS$8),ISNUMBER('Council Entry'!AS$9)),MAX(MIN('Council Entry'!AS171,'Council Entry'!AS$9),'Council Entry'!AS$8),'Council Entry'!AS171))))-'Council Entry'!AS$5)/('Council Entry'!AS$6-'Council Entry'!AS$5),10*((IF('Council Entry'!AS$4="Logarithm",LN(0.001+IF(AND(ISNUMBER('Council Entry'!AS$8),ISNUMBER('Council Entry'!AS$9)),MAX(MIN('Council Entry'!AS171,'Council Entry'!AS$9),'Council Entry'!AS$8),'Council Entry'!AS171)),IF('Council Entry'!AS$4="Exponential",EXP(IF(AND(ISNUMBER('Council Entry'!AS$8),ISNUMBER('Council Entry'!AS$9)),MAX(MIN('Council Entry'!AS171,'Council Entry'!AS$9),'Council Entry'!AS$8),'Council Entry'!AS171)),IF(AND(ISNUMBER('Council Entry'!AS$8),ISNUMBER('Council Entry'!AS$9)),MAX(MIN('Council Entry'!AS171,'Council Entry'!AS$9),'Council Entry'!AS$8),'Council Entry'!AS171))))-'Council Entry'!AS$5)/('Council Entry'!AS$6-'Council Entry'!AS$5)),1))),"No data"))</f>
        <v/>
      </c>
      <c r="AT171" s="13">
        <f>IF('Council Entry'!AT171="","",IFERROR(MAX(0,MIN(10,ROUND(IF('Council Entry'!AT$7="Decrease Risk",10-10*((IF('Council Entry'!AT$4="Logarithm",LN(0.001+IF(AND(ISNUMBER('Council Entry'!AT$8),ISNUMBER('Council Entry'!AT$9)),MAX(MIN('Council Entry'!AT171,'Council Entry'!AT$9),'Council Entry'!AT$8),'Council Entry'!AT171)),IF('Council Entry'!AT$4="Exponential",EXP(IF(AND(ISNUMBER('Council Entry'!AT$8),ISNUMBER('Council Entry'!AT$9)),MAX(MIN('Council Entry'!AT171,'Council Entry'!AT$9),'Council Entry'!AT$8),'Council Entry'!AT171)),IF(AND(ISNUMBER('Council Entry'!AT$8),ISNUMBER('Council Entry'!AT$9)),MAX(MIN('Council Entry'!AT171,'Council Entry'!AT$9),'Council Entry'!AT$8),'Council Entry'!AT171))))-'Council Entry'!AT$5)/('Council Entry'!AT$6-'Council Entry'!AT$5),10*((IF('Council Entry'!AT$4="Logarithm",LN(0.001+IF(AND(ISNUMBER('Council Entry'!AT$8),ISNUMBER('Council Entry'!AT$9)),MAX(MIN('Council Entry'!AT171,'Council Entry'!AT$9),'Council Entry'!AT$8),'Council Entry'!AT171)),IF('Council Entry'!AT$4="Exponential",EXP(IF(AND(ISNUMBER('Council Entry'!AT$8),ISNUMBER('Council Entry'!AT$9)),MAX(MIN('Council Entry'!AT171,'Council Entry'!AT$9),'Council Entry'!AT$8),'Council Entry'!AT171)),IF(AND(ISNUMBER('Council Entry'!AT$8),ISNUMBER('Council Entry'!AT$9)),MAX(MIN('Council Entry'!AT171,'Council Entry'!AT$9),'Council Entry'!AT$8),'Council Entry'!AT171))))-'Council Entry'!AT$5)/('Council Entry'!AT$6-'Council Entry'!AT$5)),1))),"No data"))</f>
        <v/>
      </c>
      <c r="AU171" s="13">
        <f>IF('Council Entry'!AU171="","",IFERROR(MAX(0,MIN(10,ROUND(IF('Council Entry'!AU$7="Decrease Risk",10-10*((IF('Council Entry'!AU$4="Logarithm",LN(0.001+IF(AND(ISNUMBER('Council Entry'!AU$8),ISNUMBER('Council Entry'!AU$9)),MAX(MIN('Council Entry'!AU171,'Council Entry'!AU$9),'Council Entry'!AU$8),'Council Entry'!AU171)),IF('Council Entry'!AU$4="Exponential",EXP(IF(AND(ISNUMBER('Council Entry'!AU$8),ISNUMBER('Council Entry'!AU$9)),MAX(MIN('Council Entry'!AU171,'Council Entry'!AU$9),'Council Entry'!AU$8),'Council Entry'!AU171)),IF(AND(ISNUMBER('Council Entry'!AU$8),ISNUMBER('Council Entry'!AU$9)),MAX(MIN('Council Entry'!AU171,'Council Entry'!AU$9),'Council Entry'!AU$8),'Council Entry'!AU171))))-'Council Entry'!AU$5)/('Council Entry'!AU$6-'Council Entry'!AU$5),10*((IF('Council Entry'!AU$4="Logarithm",LN(0.001+IF(AND(ISNUMBER('Council Entry'!AU$8),ISNUMBER('Council Entry'!AU$9)),MAX(MIN('Council Entry'!AU171,'Council Entry'!AU$9),'Council Entry'!AU$8),'Council Entry'!AU171)),IF('Council Entry'!AU$4="Exponential",EXP(IF(AND(ISNUMBER('Council Entry'!AU$8),ISNUMBER('Council Entry'!AU$9)),MAX(MIN('Council Entry'!AU171,'Council Entry'!AU$9),'Council Entry'!AU$8),'Council Entry'!AU171)),IF(AND(ISNUMBER('Council Entry'!AU$8),ISNUMBER('Council Entry'!AU$9)),MAX(MIN('Council Entry'!AU171,'Council Entry'!AU$9),'Council Entry'!AU$8),'Council Entry'!AU171))))-'Council Entry'!AU$5)/('Council Entry'!AU$6-'Council Entry'!AU$5)),1))),"No data"))</f>
        <v/>
      </c>
      <c r="AV171" s="13">
        <f>IF('Council Entry'!AV171="","",IFERROR(MAX(0,MIN(10,ROUND(IF('Council Entry'!AV$7="Decrease Risk",10-10*((IF('Council Entry'!AV$4="Logarithm",LN(0.001+IF(AND(ISNUMBER('Council Entry'!AV$8),ISNUMBER('Council Entry'!AV$9)),MAX(MIN('Council Entry'!AV171,'Council Entry'!AV$9),'Council Entry'!AV$8),'Council Entry'!AV171)),IF('Council Entry'!AV$4="Exponential",EXP(IF(AND(ISNUMBER('Council Entry'!AV$8),ISNUMBER('Council Entry'!AV$9)),MAX(MIN('Council Entry'!AV171,'Council Entry'!AV$9),'Council Entry'!AV$8),'Council Entry'!AV171)),IF(AND(ISNUMBER('Council Entry'!AV$8),ISNUMBER('Council Entry'!AV$9)),MAX(MIN('Council Entry'!AV171,'Council Entry'!AV$9),'Council Entry'!AV$8),'Council Entry'!AV171))))-'Council Entry'!AV$5)/('Council Entry'!AV$6-'Council Entry'!AV$5),10*((IF('Council Entry'!AV$4="Logarithm",LN(0.001+IF(AND(ISNUMBER('Council Entry'!AV$8),ISNUMBER('Council Entry'!AV$9)),MAX(MIN('Council Entry'!AV171,'Council Entry'!AV$9),'Council Entry'!AV$8),'Council Entry'!AV171)),IF('Council Entry'!AV$4="Exponential",EXP(IF(AND(ISNUMBER('Council Entry'!AV$8),ISNUMBER('Council Entry'!AV$9)),MAX(MIN('Council Entry'!AV171,'Council Entry'!AV$9),'Council Entry'!AV$8),'Council Entry'!AV171)),IF(AND(ISNUMBER('Council Entry'!AV$8),ISNUMBER('Council Entry'!AV$9)),MAX(MIN('Council Entry'!AV171,'Council Entry'!AV$9),'Council Entry'!AV$8),'Council Entry'!AV171))))-'Council Entry'!AV$5)/('Council Entry'!AV$6-'Council Entry'!AV$5)),1))),"No data"))</f>
        <v/>
      </c>
      <c r="AW171" s="13">
        <f>IF('Council Entry'!AW171="","",IFERROR(MAX(0,MIN(10,ROUND(IF('Council Entry'!AW$7="Decrease Risk",10-10*((IF('Council Entry'!AW$4="Logarithm",LN(0.001+IF(AND(ISNUMBER('Council Entry'!AW$8),ISNUMBER('Council Entry'!AW$9)),MAX(MIN('Council Entry'!AW171,'Council Entry'!AW$9),'Council Entry'!AW$8),'Council Entry'!AW171)),IF('Council Entry'!AW$4="Exponential",EXP(IF(AND(ISNUMBER('Council Entry'!AW$8),ISNUMBER('Council Entry'!AW$9)),MAX(MIN('Council Entry'!AW171,'Council Entry'!AW$9),'Council Entry'!AW$8),'Council Entry'!AW171)),IF(AND(ISNUMBER('Council Entry'!AW$8),ISNUMBER('Council Entry'!AW$9)),MAX(MIN('Council Entry'!AW171,'Council Entry'!AW$9),'Council Entry'!AW$8),'Council Entry'!AW171))))-'Council Entry'!AW$5)/('Council Entry'!AW$6-'Council Entry'!AW$5),10*((IF('Council Entry'!AW$4="Logarithm",LN(0.001+IF(AND(ISNUMBER('Council Entry'!AW$8),ISNUMBER('Council Entry'!AW$9)),MAX(MIN('Council Entry'!AW171,'Council Entry'!AW$9),'Council Entry'!AW$8),'Council Entry'!AW171)),IF('Council Entry'!AW$4="Exponential",EXP(IF(AND(ISNUMBER('Council Entry'!AW$8),ISNUMBER('Council Entry'!AW$9)),MAX(MIN('Council Entry'!AW171,'Council Entry'!AW$9),'Council Entry'!AW$8),'Council Entry'!AW171)),IF(AND(ISNUMBER('Council Entry'!AW$8),ISNUMBER('Council Entry'!AW$9)),MAX(MIN('Council Entry'!AW171,'Council Entry'!AW$9),'Council Entry'!AW$8),'Council Entry'!AW171))))-'Council Entry'!AW$5)/('Council Entry'!AW$6-'Council Entry'!AW$5)),1))),"No data"))</f>
        <v/>
      </c>
      <c r="AX171" s="13">
        <f>IF('Council Entry'!AX171="","",IFERROR(MAX(0,MIN(10,ROUND(IF('Council Entry'!AX$7="Decrease Risk",10-10*((IF('Council Entry'!AX$4="Logarithm",LN(0.001+IF(AND(ISNUMBER('Council Entry'!AX$8),ISNUMBER('Council Entry'!AX$9)),MAX(MIN('Council Entry'!AX171,'Council Entry'!AX$9),'Council Entry'!AX$8),'Council Entry'!AX171)),IF('Council Entry'!AX$4="Exponential",EXP(IF(AND(ISNUMBER('Council Entry'!AX$8),ISNUMBER('Council Entry'!AX$9)),MAX(MIN('Council Entry'!AX171,'Council Entry'!AX$9),'Council Entry'!AX$8),'Council Entry'!AX171)),IF(AND(ISNUMBER('Council Entry'!AX$8),ISNUMBER('Council Entry'!AX$9)),MAX(MIN('Council Entry'!AX171,'Council Entry'!AX$9),'Council Entry'!AX$8),'Council Entry'!AX171))))-'Council Entry'!AX$5)/('Council Entry'!AX$6-'Council Entry'!AX$5),10*((IF('Council Entry'!AX$4="Logarithm",LN(0.001+IF(AND(ISNUMBER('Council Entry'!AX$8),ISNUMBER('Council Entry'!AX$9)),MAX(MIN('Council Entry'!AX171,'Council Entry'!AX$9),'Council Entry'!AX$8),'Council Entry'!AX171)),IF('Council Entry'!AX$4="Exponential",EXP(IF(AND(ISNUMBER('Council Entry'!AX$8),ISNUMBER('Council Entry'!AX$9)),MAX(MIN('Council Entry'!AX171,'Council Entry'!AX$9),'Council Entry'!AX$8),'Council Entry'!AX171)),IF(AND(ISNUMBER('Council Entry'!AX$8),ISNUMBER('Council Entry'!AX$9)),MAX(MIN('Council Entry'!AX171,'Council Entry'!AX$9),'Council Entry'!AX$8),'Council Entry'!AX171))))-'Council Entry'!AX$5)/('Council Entry'!AX$6-'Council Entry'!AX$5)),1))),"No data"))</f>
        <v/>
      </c>
      <c r="AY171" s="13">
        <f>IF('Council Entry'!AY171="","",IFERROR(MAX(0,MIN(10,ROUND(IF('Council Entry'!AY$7="Decrease Risk",10-10*((IF('Council Entry'!AY$4="Logarithm",LN(0.001+IF(AND(ISNUMBER('Council Entry'!AY$8),ISNUMBER('Council Entry'!AY$9)),MAX(MIN('Council Entry'!AY171,'Council Entry'!AY$9),'Council Entry'!AY$8),'Council Entry'!AY171)),IF('Council Entry'!AY$4="Exponential",EXP(IF(AND(ISNUMBER('Council Entry'!AY$8),ISNUMBER('Council Entry'!AY$9)),MAX(MIN('Council Entry'!AY171,'Council Entry'!AY$9),'Council Entry'!AY$8),'Council Entry'!AY171)),IF(AND(ISNUMBER('Council Entry'!AY$8),ISNUMBER('Council Entry'!AY$9)),MAX(MIN('Council Entry'!AY171,'Council Entry'!AY$9),'Council Entry'!AY$8),'Council Entry'!AY171))))-'Council Entry'!AY$5)/('Council Entry'!AY$6-'Council Entry'!AY$5),10*((IF('Council Entry'!AY$4="Logarithm",LN(0.001+IF(AND(ISNUMBER('Council Entry'!AY$8),ISNUMBER('Council Entry'!AY$9)),MAX(MIN('Council Entry'!AY171,'Council Entry'!AY$9),'Council Entry'!AY$8),'Council Entry'!AY171)),IF('Council Entry'!AY$4="Exponential",EXP(IF(AND(ISNUMBER('Council Entry'!AY$8),ISNUMBER('Council Entry'!AY$9)),MAX(MIN('Council Entry'!AY171,'Council Entry'!AY$9),'Council Entry'!AY$8),'Council Entry'!AY171)),IF(AND(ISNUMBER('Council Entry'!AY$8),ISNUMBER('Council Entry'!AY$9)),MAX(MIN('Council Entry'!AY171,'Council Entry'!AY$9),'Council Entry'!AY$8),'Council Entry'!AY171))))-'Council Entry'!AY$5)/('Council Entry'!AY$6-'Council Entry'!AY$5)),1))),"No data"))</f>
        <v/>
      </c>
      <c r="AZ171" s="13">
        <f>IF('Council Entry'!AZ171="","",IFERROR(MAX(0,MIN(10,ROUND(IF('Council Entry'!AZ$7="Decrease Risk",10-10*((IF('Council Entry'!AZ$4="Logarithm",LN(0.001+IF(AND(ISNUMBER('Council Entry'!AZ$8),ISNUMBER('Council Entry'!AZ$9)),MAX(MIN('Council Entry'!AZ171,'Council Entry'!AZ$9),'Council Entry'!AZ$8),'Council Entry'!AZ171)),IF('Council Entry'!AZ$4="Exponential",EXP(IF(AND(ISNUMBER('Council Entry'!AZ$8),ISNUMBER('Council Entry'!AZ$9)),MAX(MIN('Council Entry'!AZ171,'Council Entry'!AZ$9),'Council Entry'!AZ$8),'Council Entry'!AZ171)),IF(AND(ISNUMBER('Council Entry'!AZ$8),ISNUMBER('Council Entry'!AZ$9)),MAX(MIN('Council Entry'!AZ171,'Council Entry'!AZ$9),'Council Entry'!AZ$8),'Council Entry'!AZ171))))-'Council Entry'!AZ$5)/('Council Entry'!AZ$6-'Council Entry'!AZ$5),10*((IF('Council Entry'!AZ$4="Logarithm",LN(0.001+IF(AND(ISNUMBER('Council Entry'!AZ$8),ISNUMBER('Council Entry'!AZ$9)),MAX(MIN('Council Entry'!AZ171,'Council Entry'!AZ$9),'Council Entry'!AZ$8),'Council Entry'!AZ171)),IF('Council Entry'!AZ$4="Exponential",EXP(IF(AND(ISNUMBER('Council Entry'!AZ$8),ISNUMBER('Council Entry'!AZ$9)),MAX(MIN('Council Entry'!AZ171,'Council Entry'!AZ$9),'Council Entry'!AZ$8),'Council Entry'!AZ171)),IF(AND(ISNUMBER('Council Entry'!AZ$8),ISNUMBER('Council Entry'!AZ$9)),MAX(MIN('Council Entry'!AZ171,'Council Entry'!AZ$9),'Council Entry'!AZ$8),'Council Entry'!AZ171))))-'Council Entry'!AZ$5)/('Council Entry'!AZ$6-'Council Entry'!AZ$5)),1))),"No data"))</f>
        <v/>
      </c>
      <c r="BA171" s="13">
        <f>IF('Council Entry'!BA171="","",IFERROR(MAX(0,MIN(10,ROUND(IF('Council Entry'!BA$7="Decrease Risk",10-10*((IF('Council Entry'!BA$4="Logarithm",LN(0.001+IF(AND(ISNUMBER('Council Entry'!BA$8),ISNUMBER('Council Entry'!BA$9)),MAX(MIN('Council Entry'!BA171,'Council Entry'!BA$9),'Council Entry'!BA$8),'Council Entry'!BA171)),IF('Council Entry'!BA$4="Exponential",EXP(IF(AND(ISNUMBER('Council Entry'!BA$8),ISNUMBER('Council Entry'!BA$9)),MAX(MIN('Council Entry'!BA171,'Council Entry'!BA$9),'Council Entry'!BA$8),'Council Entry'!BA171)),IF(AND(ISNUMBER('Council Entry'!BA$8),ISNUMBER('Council Entry'!BA$9)),MAX(MIN('Council Entry'!BA171,'Council Entry'!BA$9),'Council Entry'!BA$8),'Council Entry'!BA171))))-'Council Entry'!BA$5)/('Council Entry'!BA$6-'Council Entry'!BA$5),10*((IF('Council Entry'!BA$4="Logarithm",LN(0.001+IF(AND(ISNUMBER('Council Entry'!BA$8),ISNUMBER('Council Entry'!BA$9)),MAX(MIN('Council Entry'!BA171,'Council Entry'!BA$9),'Council Entry'!BA$8),'Council Entry'!BA171)),IF('Council Entry'!BA$4="Exponential",EXP(IF(AND(ISNUMBER('Council Entry'!BA$8),ISNUMBER('Council Entry'!BA$9)),MAX(MIN('Council Entry'!BA171,'Council Entry'!BA$9),'Council Entry'!BA$8),'Council Entry'!BA171)),IF(AND(ISNUMBER('Council Entry'!BA$8),ISNUMBER('Council Entry'!BA$9)),MAX(MIN('Council Entry'!BA171,'Council Entry'!BA$9),'Council Entry'!BA$8),'Council Entry'!BA171))))-'Council Entry'!BA$5)/('Council Entry'!BA$6-'Council Entry'!BA$5)),1))),"No data"))</f>
        <v/>
      </c>
      <c r="BB171" s="13">
        <f>IF('Council Entry'!BB171="","",IFERROR(MAX(0,MIN(10,ROUND(IF('Council Entry'!BB$7="Decrease Risk",10-10*((IF('Council Entry'!BB$4="Logarithm",LN(0.001+IF(AND(ISNUMBER('Council Entry'!BB$8),ISNUMBER('Council Entry'!BB$9)),MAX(MIN('Council Entry'!BB171,'Council Entry'!BB$9),'Council Entry'!BB$8),'Council Entry'!BB171)),IF('Council Entry'!BB$4="Exponential",EXP(IF(AND(ISNUMBER('Council Entry'!BB$8),ISNUMBER('Council Entry'!BB$9)),MAX(MIN('Council Entry'!BB171,'Council Entry'!BB$9),'Council Entry'!BB$8),'Council Entry'!BB171)),IF(AND(ISNUMBER('Council Entry'!BB$8),ISNUMBER('Council Entry'!BB$9)),MAX(MIN('Council Entry'!BB171,'Council Entry'!BB$9),'Council Entry'!BB$8),'Council Entry'!BB171))))-'Council Entry'!BB$5)/('Council Entry'!BB$6-'Council Entry'!BB$5),10*((IF('Council Entry'!BB$4="Logarithm",LN(0.001+IF(AND(ISNUMBER('Council Entry'!BB$8),ISNUMBER('Council Entry'!BB$9)),MAX(MIN('Council Entry'!BB171,'Council Entry'!BB$9),'Council Entry'!BB$8),'Council Entry'!BB171)),IF('Council Entry'!BB$4="Exponential",EXP(IF(AND(ISNUMBER('Council Entry'!BB$8),ISNUMBER('Council Entry'!BB$9)),MAX(MIN('Council Entry'!BB171,'Council Entry'!BB$9),'Council Entry'!BB$8),'Council Entry'!BB171)),IF(AND(ISNUMBER('Council Entry'!BB$8),ISNUMBER('Council Entry'!BB$9)),MAX(MIN('Council Entry'!BB171,'Council Entry'!BB$9),'Council Entry'!BB$8),'Council Entry'!BB171))))-'Council Entry'!BB$5)/('Council Entry'!BB$6-'Council Entry'!BB$5)),1))),"No data"))</f>
        <v/>
      </c>
      <c r="BC171" s="13">
        <f>IF('Council Entry'!BC171="","",IFERROR(MAX(0,MIN(10,ROUND(IF('Council Entry'!BC$7="Decrease Risk",10-10*((IF('Council Entry'!BC$4="Logarithm",LN(0.001+IF(AND(ISNUMBER('Council Entry'!BC$8),ISNUMBER('Council Entry'!BC$9)),MAX(MIN('Council Entry'!BC171,'Council Entry'!BC$9),'Council Entry'!BC$8),'Council Entry'!BC171)),IF('Council Entry'!BC$4="Exponential",EXP(IF(AND(ISNUMBER('Council Entry'!BC$8),ISNUMBER('Council Entry'!BC$9)),MAX(MIN('Council Entry'!BC171,'Council Entry'!BC$9),'Council Entry'!BC$8),'Council Entry'!BC171)),IF(AND(ISNUMBER('Council Entry'!BC$8),ISNUMBER('Council Entry'!BC$9)),MAX(MIN('Council Entry'!BC171,'Council Entry'!BC$9),'Council Entry'!BC$8),'Council Entry'!BC171))))-'Council Entry'!BC$5)/('Council Entry'!BC$6-'Council Entry'!BC$5),10*((IF('Council Entry'!BC$4="Logarithm",LN(0.001+IF(AND(ISNUMBER('Council Entry'!BC$8),ISNUMBER('Council Entry'!BC$9)),MAX(MIN('Council Entry'!BC171,'Council Entry'!BC$9),'Council Entry'!BC$8),'Council Entry'!BC171)),IF('Council Entry'!BC$4="Exponential",EXP(IF(AND(ISNUMBER('Council Entry'!BC$8),ISNUMBER('Council Entry'!BC$9)),MAX(MIN('Council Entry'!BC171,'Council Entry'!BC$9),'Council Entry'!BC$8),'Council Entry'!BC171)),IF(AND(ISNUMBER('Council Entry'!BC$8),ISNUMBER('Council Entry'!BC$9)),MAX(MIN('Council Entry'!BC171,'Council Entry'!BC$9),'Council Entry'!BC$8),'Council Entry'!BC171))))-'Council Entry'!BC$5)/('Council Entry'!BC$6-'Council Entry'!BC$5)),1))),"No data"))</f>
        <v/>
      </c>
      <c r="BD171" s="13">
        <f>IF('Council Entry'!BD171="","",IFERROR(MAX(0,MIN(10,ROUND(IF('Council Entry'!BD$7="Decrease Risk",10-10*((IF('Council Entry'!BD$4="Logarithm",LN(0.001+IF(AND(ISNUMBER('Council Entry'!BD$8),ISNUMBER('Council Entry'!BD$9)),MAX(MIN('Council Entry'!BD171,'Council Entry'!BD$9),'Council Entry'!BD$8),'Council Entry'!BD171)),IF('Council Entry'!BD$4="Exponential",EXP(IF(AND(ISNUMBER('Council Entry'!BD$8),ISNUMBER('Council Entry'!BD$9)),MAX(MIN('Council Entry'!BD171,'Council Entry'!BD$9),'Council Entry'!BD$8),'Council Entry'!BD171)),IF(AND(ISNUMBER('Council Entry'!BD$8),ISNUMBER('Council Entry'!BD$9)),MAX(MIN('Council Entry'!BD171,'Council Entry'!BD$9),'Council Entry'!BD$8),'Council Entry'!BD171))))-'Council Entry'!BD$5)/('Council Entry'!BD$6-'Council Entry'!BD$5),10*((IF('Council Entry'!BD$4="Logarithm",LN(0.001+IF(AND(ISNUMBER('Council Entry'!BD$8),ISNUMBER('Council Entry'!BD$9)),MAX(MIN('Council Entry'!BD171,'Council Entry'!BD$9),'Council Entry'!BD$8),'Council Entry'!BD171)),IF('Council Entry'!BD$4="Exponential",EXP(IF(AND(ISNUMBER('Council Entry'!BD$8),ISNUMBER('Council Entry'!BD$9)),MAX(MIN('Council Entry'!BD171,'Council Entry'!BD$9),'Council Entry'!BD$8),'Council Entry'!BD171)),IF(AND(ISNUMBER('Council Entry'!BD$8),ISNUMBER('Council Entry'!BD$9)),MAX(MIN('Council Entry'!BD171,'Council Entry'!BD$9),'Council Entry'!BD$8),'Council Entry'!BD171))))-'Council Entry'!BD$5)/('Council Entry'!BD$6-'Council Entry'!BD$5)),1))),"No data"))</f>
        <v/>
      </c>
    </row>
    <row r="172">
      <c r="A172" t="inlineStr">
        <is>
          <t>Simiyu</t>
        </is>
      </c>
      <c r="B172" t="inlineStr">
        <is>
          <t>Itilima District</t>
        </is>
      </c>
      <c r="C172" t="inlineStr">
        <is>
          <t>C170</t>
        </is>
      </c>
      <c r="D172" s="13">
        <f>IF('Council Entry'!D172="","",IFERROR(MAX(0,MIN(10,ROUND(IF('Council Entry'!D$7="Decrease Risk",10-10*((IF('Council Entry'!D$4="Logarithm",LN(0.001+IF(AND(ISNUMBER('Council Entry'!D$8),ISNUMBER('Council Entry'!D$9)),MAX(MIN('Council Entry'!D172,'Council Entry'!D$9),'Council Entry'!D$8),'Council Entry'!D172)),IF('Council Entry'!D$4="Exponential",EXP(IF(AND(ISNUMBER('Council Entry'!D$8),ISNUMBER('Council Entry'!D$9)),MAX(MIN('Council Entry'!D172,'Council Entry'!D$9),'Council Entry'!D$8),'Council Entry'!D172)),IF(AND(ISNUMBER('Council Entry'!D$8),ISNUMBER('Council Entry'!D$9)),MAX(MIN('Council Entry'!D172,'Council Entry'!D$9),'Council Entry'!D$8),'Council Entry'!D172))))-'Council Entry'!D$5)/('Council Entry'!D$6-'Council Entry'!D$5),10*((IF('Council Entry'!D$4="Logarithm",LN(0.001+IF(AND(ISNUMBER('Council Entry'!D$8),ISNUMBER('Council Entry'!D$9)),MAX(MIN('Council Entry'!D172,'Council Entry'!D$9),'Council Entry'!D$8),'Council Entry'!D172)),IF('Council Entry'!D$4="Exponential",EXP(IF(AND(ISNUMBER('Council Entry'!D$8),ISNUMBER('Council Entry'!D$9)),MAX(MIN('Council Entry'!D172,'Council Entry'!D$9),'Council Entry'!D$8),'Council Entry'!D172)),IF(AND(ISNUMBER('Council Entry'!D$8),ISNUMBER('Council Entry'!D$9)),MAX(MIN('Council Entry'!D172,'Council Entry'!D$9),'Council Entry'!D$8),'Council Entry'!D172))))-'Council Entry'!D$5)/('Council Entry'!D$6-'Council Entry'!D$5)),1))),"No data"))</f>
        <v/>
      </c>
      <c r="E172" s="13">
        <f>IF('Council Entry'!E172="","",IFERROR(MAX(0,MIN(10,ROUND(IF('Council Entry'!E$7="Decrease Risk",10-10*((IF('Council Entry'!E$4="Logarithm",LN(0.001+IF(AND(ISNUMBER('Council Entry'!E$8),ISNUMBER('Council Entry'!E$9)),MAX(MIN('Council Entry'!E172,'Council Entry'!E$9),'Council Entry'!E$8),'Council Entry'!E172)),IF('Council Entry'!E$4="Exponential",EXP(IF(AND(ISNUMBER('Council Entry'!E$8),ISNUMBER('Council Entry'!E$9)),MAX(MIN('Council Entry'!E172,'Council Entry'!E$9),'Council Entry'!E$8),'Council Entry'!E172)),IF(AND(ISNUMBER('Council Entry'!E$8),ISNUMBER('Council Entry'!E$9)),MAX(MIN('Council Entry'!E172,'Council Entry'!E$9),'Council Entry'!E$8),'Council Entry'!E172))))-'Council Entry'!E$5)/('Council Entry'!E$6-'Council Entry'!E$5),10*((IF('Council Entry'!E$4="Logarithm",LN(0.001+IF(AND(ISNUMBER('Council Entry'!E$8),ISNUMBER('Council Entry'!E$9)),MAX(MIN('Council Entry'!E172,'Council Entry'!E$9),'Council Entry'!E$8),'Council Entry'!E172)),IF('Council Entry'!E$4="Exponential",EXP(IF(AND(ISNUMBER('Council Entry'!E$8),ISNUMBER('Council Entry'!E$9)),MAX(MIN('Council Entry'!E172,'Council Entry'!E$9),'Council Entry'!E$8),'Council Entry'!E172)),IF(AND(ISNUMBER('Council Entry'!E$8),ISNUMBER('Council Entry'!E$9)),MAX(MIN('Council Entry'!E172,'Council Entry'!E$9),'Council Entry'!E$8),'Council Entry'!E172))))-'Council Entry'!E$5)/('Council Entry'!E$6-'Council Entry'!E$5)),1))),"No data"))</f>
        <v/>
      </c>
      <c r="F172" s="13">
        <f>IF('Council Entry'!F172="","",IFERROR(MAX(0,MIN(10,ROUND(IF('Council Entry'!F$7="Decrease Risk",10-10*((IF('Council Entry'!F$4="Logarithm",LN(0.001+IF(AND(ISNUMBER('Council Entry'!F$8),ISNUMBER('Council Entry'!F$9)),MAX(MIN('Council Entry'!F172,'Council Entry'!F$9),'Council Entry'!F$8),'Council Entry'!F172)),IF('Council Entry'!F$4="Exponential",EXP(IF(AND(ISNUMBER('Council Entry'!F$8),ISNUMBER('Council Entry'!F$9)),MAX(MIN('Council Entry'!F172,'Council Entry'!F$9),'Council Entry'!F$8),'Council Entry'!F172)),IF(AND(ISNUMBER('Council Entry'!F$8),ISNUMBER('Council Entry'!F$9)),MAX(MIN('Council Entry'!F172,'Council Entry'!F$9),'Council Entry'!F$8),'Council Entry'!F172))))-'Council Entry'!F$5)/('Council Entry'!F$6-'Council Entry'!F$5),10*((IF('Council Entry'!F$4="Logarithm",LN(0.001+IF(AND(ISNUMBER('Council Entry'!F$8),ISNUMBER('Council Entry'!F$9)),MAX(MIN('Council Entry'!F172,'Council Entry'!F$9),'Council Entry'!F$8),'Council Entry'!F172)),IF('Council Entry'!F$4="Exponential",EXP(IF(AND(ISNUMBER('Council Entry'!F$8),ISNUMBER('Council Entry'!F$9)),MAX(MIN('Council Entry'!F172,'Council Entry'!F$9),'Council Entry'!F$8),'Council Entry'!F172)),IF(AND(ISNUMBER('Council Entry'!F$8),ISNUMBER('Council Entry'!F$9)),MAX(MIN('Council Entry'!F172,'Council Entry'!F$9),'Council Entry'!F$8),'Council Entry'!F172))))-'Council Entry'!F$5)/('Council Entry'!F$6-'Council Entry'!F$5)),1))),"No data"))</f>
        <v/>
      </c>
      <c r="G172" s="13">
        <f>IF('Council Entry'!G172="","",IFERROR(MAX(0,MIN(10,ROUND(IF('Council Entry'!G$7="Decrease Risk",10-10*((IF('Council Entry'!G$4="Logarithm",LN(0.001+IF(AND(ISNUMBER('Council Entry'!G$8),ISNUMBER('Council Entry'!G$9)),MAX(MIN('Council Entry'!G172,'Council Entry'!G$9),'Council Entry'!G$8),'Council Entry'!G172)),IF('Council Entry'!G$4="Exponential",EXP(IF(AND(ISNUMBER('Council Entry'!G$8),ISNUMBER('Council Entry'!G$9)),MAX(MIN('Council Entry'!G172,'Council Entry'!G$9),'Council Entry'!G$8),'Council Entry'!G172)),IF(AND(ISNUMBER('Council Entry'!G$8),ISNUMBER('Council Entry'!G$9)),MAX(MIN('Council Entry'!G172,'Council Entry'!G$9),'Council Entry'!G$8),'Council Entry'!G172))))-'Council Entry'!G$5)/('Council Entry'!G$6-'Council Entry'!G$5),10*((IF('Council Entry'!G$4="Logarithm",LN(0.001+IF(AND(ISNUMBER('Council Entry'!G$8),ISNUMBER('Council Entry'!G$9)),MAX(MIN('Council Entry'!G172,'Council Entry'!G$9),'Council Entry'!G$8),'Council Entry'!G172)),IF('Council Entry'!G$4="Exponential",EXP(IF(AND(ISNUMBER('Council Entry'!G$8),ISNUMBER('Council Entry'!G$9)),MAX(MIN('Council Entry'!G172,'Council Entry'!G$9),'Council Entry'!G$8),'Council Entry'!G172)),IF(AND(ISNUMBER('Council Entry'!G$8),ISNUMBER('Council Entry'!G$9)),MAX(MIN('Council Entry'!G172,'Council Entry'!G$9),'Council Entry'!G$8),'Council Entry'!G172))))-'Council Entry'!G$5)/('Council Entry'!G$6-'Council Entry'!G$5)),1))),"No data"))</f>
        <v/>
      </c>
      <c r="H172" s="13">
        <f>IF('Council Entry'!H172="","",IFERROR(MAX(0,MIN(10,ROUND(IF('Council Entry'!H$7="Decrease Risk",10-10*((IF('Council Entry'!H$4="Logarithm",LN(0.001+IF(AND(ISNUMBER('Council Entry'!H$8),ISNUMBER('Council Entry'!H$9)),MAX(MIN('Council Entry'!H172,'Council Entry'!H$9),'Council Entry'!H$8),'Council Entry'!H172)),IF('Council Entry'!H$4="Exponential",EXP(IF(AND(ISNUMBER('Council Entry'!H$8),ISNUMBER('Council Entry'!H$9)),MAX(MIN('Council Entry'!H172,'Council Entry'!H$9),'Council Entry'!H$8),'Council Entry'!H172)),IF(AND(ISNUMBER('Council Entry'!H$8),ISNUMBER('Council Entry'!H$9)),MAX(MIN('Council Entry'!H172,'Council Entry'!H$9),'Council Entry'!H$8),'Council Entry'!H172))))-'Council Entry'!H$5)/('Council Entry'!H$6-'Council Entry'!H$5),10*((IF('Council Entry'!H$4="Logarithm",LN(0.001+IF(AND(ISNUMBER('Council Entry'!H$8),ISNUMBER('Council Entry'!H$9)),MAX(MIN('Council Entry'!H172,'Council Entry'!H$9),'Council Entry'!H$8),'Council Entry'!H172)),IF('Council Entry'!H$4="Exponential",EXP(IF(AND(ISNUMBER('Council Entry'!H$8),ISNUMBER('Council Entry'!H$9)),MAX(MIN('Council Entry'!H172,'Council Entry'!H$9),'Council Entry'!H$8),'Council Entry'!H172)),IF(AND(ISNUMBER('Council Entry'!H$8),ISNUMBER('Council Entry'!H$9)),MAX(MIN('Council Entry'!H172,'Council Entry'!H$9),'Council Entry'!H$8),'Council Entry'!H172))))-'Council Entry'!H$5)/('Council Entry'!H$6-'Council Entry'!H$5)),1))),"No data"))</f>
        <v/>
      </c>
      <c r="I172" s="13">
        <f>IF('Council Entry'!I172="","",IFERROR(MAX(0,MIN(10,ROUND(IF('Council Entry'!I$7="Decrease Risk",10-10*((IF('Council Entry'!I$4="Logarithm",LN(0.001+IF(AND(ISNUMBER('Council Entry'!I$8),ISNUMBER('Council Entry'!I$9)),MAX(MIN('Council Entry'!I172,'Council Entry'!I$9),'Council Entry'!I$8),'Council Entry'!I172)),IF('Council Entry'!I$4="Exponential",EXP(IF(AND(ISNUMBER('Council Entry'!I$8),ISNUMBER('Council Entry'!I$9)),MAX(MIN('Council Entry'!I172,'Council Entry'!I$9),'Council Entry'!I$8),'Council Entry'!I172)),IF(AND(ISNUMBER('Council Entry'!I$8),ISNUMBER('Council Entry'!I$9)),MAX(MIN('Council Entry'!I172,'Council Entry'!I$9),'Council Entry'!I$8),'Council Entry'!I172))))-'Council Entry'!I$5)/('Council Entry'!I$6-'Council Entry'!I$5),10*((IF('Council Entry'!I$4="Logarithm",LN(0.001+IF(AND(ISNUMBER('Council Entry'!I$8),ISNUMBER('Council Entry'!I$9)),MAX(MIN('Council Entry'!I172,'Council Entry'!I$9),'Council Entry'!I$8),'Council Entry'!I172)),IF('Council Entry'!I$4="Exponential",EXP(IF(AND(ISNUMBER('Council Entry'!I$8),ISNUMBER('Council Entry'!I$9)),MAX(MIN('Council Entry'!I172,'Council Entry'!I$9),'Council Entry'!I$8),'Council Entry'!I172)),IF(AND(ISNUMBER('Council Entry'!I$8),ISNUMBER('Council Entry'!I$9)),MAX(MIN('Council Entry'!I172,'Council Entry'!I$9),'Council Entry'!I$8),'Council Entry'!I172))))-'Council Entry'!I$5)/('Council Entry'!I$6-'Council Entry'!I$5)),1))),"No data"))</f>
        <v/>
      </c>
      <c r="J172" s="13">
        <f>IF('Council Entry'!J172="","",IFERROR(MAX(0,MIN(10,ROUND(IF('Council Entry'!J$7="Decrease Risk",10-10*((IF('Council Entry'!J$4="Logarithm",LN(0.001+IF(AND(ISNUMBER('Council Entry'!J$8),ISNUMBER('Council Entry'!J$9)),MAX(MIN('Council Entry'!J172,'Council Entry'!J$9),'Council Entry'!J$8),'Council Entry'!J172)),IF('Council Entry'!J$4="Exponential",EXP(IF(AND(ISNUMBER('Council Entry'!J$8),ISNUMBER('Council Entry'!J$9)),MAX(MIN('Council Entry'!J172,'Council Entry'!J$9),'Council Entry'!J$8),'Council Entry'!J172)),IF(AND(ISNUMBER('Council Entry'!J$8),ISNUMBER('Council Entry'!J$9)),MAX(MIN('Council Entry'!J172,'Council Entry'!J$9),'Council Entry'!J$8),'Council Entry'!J172))))-'Council Entry'!J$5)/('Council Entry'!J$6-'Council Entry'!J$5),10*((IF('Council Entry'!J$4="Logarithm",LN(0.001+IF(AND(ISNUMBER('Council Entry'!J$8),ISNUMBER('Council Entry'!J$9)),MAX(MIN('Council Entry'!J172,'Council Entry'!J$9),'Council Entry'!J$8),'Council Entry'!J172)),IF('Council Entry'!J$4="Exponential",EXP(IF(AND(ISNUMBER('Council Entry'!J$8),ISNUMBER('Council Entry'!J$9)),MAX(MIN('Council Entry'!J172,'Council Entry'!J$9),'Council Entry'!J$8),'Council Entry'!J172)),IF(AND(ISNUMBER('Council Entry'!J$8),ISNUMBER('Council Entry'!J$9)),MAX(MIN('Council Entry'!J172,'Council Entry'!J$9),'Council Entry'!J$8),'Council Entry'!J172))))-'Council Entry'!J$5)/('Council Entry'!J$6-'Council Entry'!J$5)),1))),"No data"))</f>
        <v/>
      </c>
      <c r="K172" s="13">
        <f>IF('Council Entry'!K172="","",IFERROR(MAX(0,MIN(10,ROUND(IF('Council Entry'!K$7="Decrease Risk",10-10*((IF('Council Entry'!K$4="Logarithm",LN(0.001+IF(AND(ISNUMBER('Council Entry'!K$8),ISNUMBER('Council Entry'!K$9)),MAX(MIN('Council Entry'!K172,'Council Entry'!K$9),'Council Entry'!K$8),'Council Entry'!K172)),IF('Council Entry'!K$4="Exponential",EXP(IF(AND(ISNUMBER('Council Entry'!K$8),ISNUMBER('Council Entry'!K$9)),MAX(MIN('Council Entry'!K172,'Council Entry'!K$9),'Council Entry'!K$8),'Council Entry'!K172)),IF(AND(ISNUMBER('Council Entry'!K$8),ISNUMBER('Council Entry'!K$9)),MAX(MIN('Council Entry'!K172,'Council Entry'!K$9),'Council Entry'!K$8),'Council Entry'!K172))))-'Council Entry'!K$5)/('Council Entry'!K$6-'Council Entry'!K$5),10*((IF('Council Entry'!K$4="Logarithm",LN(0.001+IF(AND(ISNUMBER('Council Entry'!K$8),ISNUMBER('Council Entry'!K$9)),MAX(MIN('Council Entry'!K172,'Council Entry'!K$9),'Council Entry'!K$8),'Council Entry'!K172)),IF('Council Entry'!K$4="Exponential",EXP(IF(AND(ISNUMBER('Council Entry'!K$8),ISNUMBER('Council Entry'!K$9)),MAX(MIN('Council Entry'!K172,'Council Entry'!K$9),'Council Entry'!K$8),'Council Entry'!K172)),IF(AND(ISNUMBER('Council Entry'!K$8),ISNUMBER('Council Entry'!K$9)),MAX(MIN('Council Entry'!K172,'Council Entry'!K$9),'Council Entry'!K$8),'Council Entry'!K172))))-'Council Entry'!K$5)/('Council Entry'!K$6-'Council Entry'!K$5)),1))),"No data"))</f>
        <v/>
      </c>
      <c r="L172" s="13">
        <f>IF('Council Entry'!L172="","",IFERROR(MAX(0,MIN(10,ROUND(IF('Council Entry'!L$7="Decrease Risk",10-10*((IF('Council Entry'!L$4="Logarithm",LN(0.001+IF(AND(ISNUMBER('Council Entry'!L$8),ISNUMBER('Council Entry'!L$9)),MAX(MIN('Council Entry'!L172,'Council Entry'!L$9),'Council Entry'!L$8),'Council Entry'!L172)),IF('Council Entry'!L$4="Exponential",EXP(IF(AND(ISNUMBER('Council Entry'!L$8),ISNUMBER('Council Entry'!L$9)),MAX(MIN('Council Entry'!L172,'Council Entry'!L$9),'Council Entry'!L$8),'Council Entry'!L172)),IF(AND(ISNUMBER('Council Entry'!L$8),ISNUMBER('Council Entry'!L$9)),MAX(MIN('Council Entry'!L172,'Council Entry'!L$9),'Council Entry'!L$8),'Council Entry'!L172))))-'Council Entry'!L$5)/('Council Entry'!L$6-'Council Entry'!L$5),10*((IF('Council Entry'!L$4="Logarithm",LN(0.001+IF(AND(ISNUMBER('Council Entry'!L$8),ISNUMBER('Council Entry'!L$9)),MAX(MIN('Council Entry'!L172,'Council Entry'!L$9),'Council Entry'!L$8),'Council Entry'!L172)),IF('Council Entry'!L$4="Exponential",EXP(IF(AND(ISNUMBER('Council Entry'!L$8),ISNUMBER('Council Entry'!L$9)),MAX(MIN('Council Entry'!L172,'Council Entry'!L$9),'Council Entry'!L$8),'Council Entry'!L172)),IF(AND(ISNUMBER('Council Entry'!L$8),ISNUMBER('Council Entry'!L$9)),MAX(MIN('Council Entry'!L172,'Council Entry'!L$9),'Council Entry'!L$8),'Council Entry'!L172))))-'Council Entry'!L$5)/('Council Entry'!L$6-'Council Entry'!L$5)),1))),"No data"))</f>
        <v/>
      </c>
      <c r="M172" s="13">
        <f>IF('Council Entry'!M172="","",IFERROR(MAX(0,MIN(10,ROUND(IF('Council Entry'!M$7="Decrease Risk",10-10*((IF('Council Entry'!M$4="Logarithm",LN(0.001+IF(AND(ISNUMBER('Council Entry'!M$8),ISNUMBER('Council Entry'!M$9)),MAX(MIN('Council Entry'!M172,'Council Entry'!M$9),'Council Entry'!M$8),'Council Entry'!M172)),IF('Council Entry'!M$4="Exponential",EXP(IF(AND(ISNUMBER('Council Entry'!M$8),ISNUMBER('Council Entry'!M$9)),MAX(MIN('Council Entry'!M172,'Council Entry'!M$9),'Council Entry'!M$8),'Council Entry'!M172)),IF(AND(ISNUMBER('Council Entry'!M$8),ISNUMBER('Council Entry'!M$9)),MAX(MIN('Council Entry'!M172,'Council Entry'!M$9),'Council Entry'!M$8),'Council Entry'!M172))))-'Council Entry'!M$5)/('Council Entry'!M$6-'Council Entry'!M$5),10*((IF('Council Entry'!M$4="Logarithm",LN(0.001+IF(AND(ISNUMBER('Council Entry'!M$8),ISNUMBER('Council Entry'!M$9)),MAX(MIN('Council Entry'!M172,'Council Entry'!M$9),'Council Entry'!M$8),'Council Entry'!M172)),IF('Council Entry'!M$4="Exponential",EXP(IF(AND(ISNUMBER('Council Entry'!M$8),ISNUMBER('Council Entry'!M$9)),MAX(MIN('Council Entry'!M172,'Council Entry'!M$9),'Council Entry'!M$8),'Council Entry'!M172)),IF(AND(ISNUMBER('Council Entry'!M$8),ISNUMBER('Council Entry'!M$9)),MAX(MIN('Council Entry'!M172,'Council Entry'!M$9),'Council Entry'!M$8),'Council Entry'!M172))))-'Council Entry'!M$5)/('Council Entry'!M$6-'Council Entry'!M$5)),1))),"No data"))</f>
        <v/>
      </c>
      <c r="N172" s="13">
        <f>IF('Council Entry'!N172="","",IFERROR(MAX(0,MIN(10,ROUND(IF('Council Entry'!N$7="Decrease Risk",10-10*((IF('Council Entry'!N$4="Logarithm",LN(0.001+IF(AND(ISNUMBER('Council Entry'!N$8),ISNUMBER('Council Entry'!N$9)),MAX(MIN('Council Entry'!N172,'Council Entry'!N$9),'Council Entry'!N$8),'Council Entry'!N172)),IF('Council Entry'!N$4="Exponential",EXP(IF(AND(ISNUMBER('Council Entry'!N$8),ISNUMBER('Council Entry'!N$9)),MAX(MIN('Council Entry'!N172,'Council Entry'!N$9),'Council Entry'!N$8),'Council Entry'!N172)),IF(AND(ISNUMBER('Council Entry'!N$8),ISNUMBER('Council Entry'!N$9)),MAX(MIN('Council Entry'!N172,'Council Entry'!N$9),'Council Entry'!N$8),'Council Entry'!N172))))-'Council Entry'!N$5)/('Council Entry'!N$6-'Council Entry'!N$5),10*((IF('Council Entry'!N$4="Logarithm",LN(0.001+IF(AND(ISNUMBER('Council Entry'!N$8),ISNUMBER('Council Entry'!N$9)),MAX(MIN('Council Entry'!N172,'Council Entry'!N$9),'Council Entry'!N$8),'Council Entry'!N172)),IF('Council Entry'!N$4="Exponential",EXP(IF(AND(ISNUMBER('Council Entry'!N$8),ISNUMBER('Council Entry'!N$9)),MAX(MIN('Council Entry'!N172,'Council Entry'!N$9),'Council Entry'!N$8),'Council Entry'!N172)),IF(AND(ISNUMBER('Council Entry'!N$8),ISNUMBER('Council Entry'!N$9)),MAX(MIN('Council Entry'!N172,'Council Entry'!N$9),'Council Entry'!N$8),'Council Entry'!N172))))-'Council Entry'!N$5)/('Council Entry'!N$6-'Council Entry'!N$5)),1))),"No data"))</f>
        <v/>
      </c>
      <c r="O172" s="13">
        <f>IF('Council Entry'!O172="","",IFERROR(MAX(0,MIN(10,ROUND(IF('Council Entry'!O$7="Decrease Risk",10-10*((IF('Council Entry'!O$4="Logarithm",LN(0.001+IF(AND(ISNUMBER('Council Entry'!O$8),ISNUMBER('Council Entry'!O$9)),MAX(MIN('Council Entry'!O172,'Council Entry'!O$9),'Council Entry'!O$8),'Council Entry'!O172)),IF('Council Entry'!O$4="Exponential",EXP(IF(AND(ISNUMBER('Council Entry'!O$8),ISNUMBER('Council Entry'!O$9)),MAX(MIN('Council Entry'!O172,'Council Entry'!O$9),'Council Entry'!O$8),'Council Entry'!O172)),IF(AND(ISNUMBER('Council Entry'!O$8),ISNUMBER('Council Entry'!O$9)),MAX(MIN('Council Entry'!O172,'Council Entry'!O$9),'Council Entry'!O$8),'Council Entry'!O172))))-'Council Entry'!O$5)/('Council Entry'!O$6-'Council Entry'!O$5),10*((IF('Council Entry'!O$4="Logarithm",LN(0.001+IF(AND(ISNUMBER('Council Entry'!O$8),ISNUMBER('Council Entry'!O$9)),MAX(MIN('Council Entry'!O172,'Council Entry'!O$9),'Council Entry'!O$8),'Council Entry'!O172)),IF('Council Entry'!O$4="Exponential",EXP(IF(AND(ISNUMBER('Council Entry'!O$8),ISNUMBER('Council Entry'!O$9)),MAX(MIN('Council Entry'!O172,'Council Entry'!O$9),'Council Entry'!O$8),'Council Entry'!O172)),IF(AND(ISNUMBER('Council Entry'!O$8),ISNUMBER('Council Entry'!O$9)),MAX(MIN('Council Entry'!O172,'Council Entry'!O$9),'Council Entry'!O$8),'Council Entry'!O172))))-'Council Entry'!O$5)/('Council Entry'!O$6-'Council Entry'!O$5)),1))),"No data"))</f>
        <v/>
      </c>
      <c r="P172" s="13">
        <f>IF('Council Entry'!P172="","",IFERROR(MAX(0,MIN(10,ROUND(IF('Council Entry'!P$7="Decrease Risk",10-10*((IF('Council Entry'!P$4="Logarithm",LN(0.001+IF(AND(ISNUMBER('Council Entry'!P$8),ISNUMBER('Council Entry'!P$9)),MAX(MIN('Council Entry'!P172,'Council Entry'!P$9),'Council Entry'!P$8),'Council Entry'!P172)),IF('Council Entry'!P$4="Exponential",EXP(IF(AND(ISNUMBER('Council Entry'!P$8),ISNUMBER('Council Entry'!P$9)),MAX(MIN('Council Entry'!P172,'Council Entry'!P$9),'Council Entry'!P$8),'Council Entry'!P172)),IF(AND(ISNUMBER('Council Entry'!P$8),ISNUMBER('Council Entry'!P$9)),MAX(MIN('Council Entry'!P172,'Council Entry'!P$9),'Council Entry'!P$8),'Council Entry'!P172))))-'Council Entry'!P$5)/('Council Entry'!P$6-'Council Entry'!P$5),10*((IF('Council Entry'!P$4="Logarithm",LN(0.001+IF(AND(ISNUMBER('Council Entry'!P$8),ISNUMBER('Council Entry'!P$9)),MAX(MIN('Council Entry'!P172,'Council Entry'!P$9),'Council Entry'!P$8),'Council Entry'!P172)),IF('Council Entry'!P$4="Exponential",EXP(IF(AND(ISNUMBER('Council Entry'!P$8),ISNUMBER('Council Entry'!P$9)),MAX(MIN('Council Entry'!P172,'Council Entry'!P$9),'Council Entry'!P$8),'Council Entry'!P172)),IF(AND(ISNUMBER('Council Entry'!P$8),ISNUMBER('Council Entry'!P$9)),MAX(MIN('Council Entry'!P172,'Council Entry'!P$9),'Council Entry'!P$8),'Council Entry'!P172))))-'Council Entry'!P$5)/('Council Entry'!P$6-'Council Entry'!P$5)),1))),"No data"))</f>
        <v/>
      </c>
      <c r="Q172" s="13">
        <f>IF('Council Entry'!Q172="","",IFERROR(MAX(0,MIN(10,ROUND(IF('Council Entry'!Q$7="Decrease Risk",10-10*((IF('Council Entry'!Q$4="Logarithm",LN(0.001+IF(AND(ISNUMBER('Council Entry'!Q$8),ISNUMBER('Council Entry'!Q$9)),MAX(MIN('Council Entry'!Q172,'Council Entry'!Q$9),'Council Entry'!Q$8),'Council Entry'!Q172)),IF('Council Entry'!Q$4="Exponential",EXP(IF(AND(ISNUMBER('Council Entry'!Q$8),ISNUMBER('Council Entry'!Q$9)),MAX(MIN('Council Entry'!Q172,'Council Entry'!Q$9),'Council Entry'!Q$8),'Council Entry'!Q172)),IF(AND(ISNUMBER('Council Entry'!Q$8),ISNUMBER('Council Entry'!Q$9)),MAX(MIN('Council Entry'!Q172,'Council Entry'!Q$9),'Council Entry'!Q$8),'Council Entry'!Q172))))-'Council Entry'!Q$5)/('Council Entry'!Q$6-'Council Entry'!Q$5),10*((IF('Council Entry'!Q$4="Logarithm",LN(0.001+IF(AND(ISNUMBER('Council Entry'!Q$8),ISNUMBER('Council Entry'!Q$9)),MAX(MIN('Council Entry'!Q172,'Council Entry'!Q$9),'Council Entry'!Q$8),'Council Entry'!Q172)),IF('Council Entry'!Q$4="Exponential",EXP(IF(AND(ISNUMBER('Council Entry'!Q$8),ISNUMBER('Council Entry'!Q$9)),MAX(MIN('Council Entry'!Q172,'Council Entry'!Q$9),'Council Entry'!Q$8),'Council Entry'!Q172)),IF(AND(ISNUMBER('Council Entry'!Q$8),ISNUMBER('Council Entry'!Q$9)),MAX(MIN('Council Entry'!Q172,'Council Entry'!Q$9),'Council Entry'!Q$8),'Council Entry'!Q172))))-'Council Entry'!Q$5)/('Council Entry'!Q$6-'Council Entry'!Q$5)),1))),"No data"))</f>
        <v/>
      </c>
      <c r="R172" s="13">
        <f>IF('Council Entry'!R172="","",IFERROR(MAX(0,MIN(10,ROUND(IF('Council Entry'!R$7="Decrease Risk",10-10*((IF('Council Entry'!R$4="Logarithm",LN(0.001+IF(AND(ISNUMBER('Council Entry'!R$8),ISNUMBER('Council Entry'!R$9)),MAX(MIN('Council Entry'!R172,'Council Entry'!R$9),'Council Entry'!R$8),'Council Entry'!R172)),IF('Council Entry'!R$4="Exponential",EXP(IF(AND(ISNUMBER('Council Entry'!R$8),ISNUMBER('Council Entry'!R$9)),MAX(MIN('Council Entry'!R172,'Council Entry'!R$9),'Council Entry'!R$8),'Council Entry'!R172)),IF(AND(ISNUMBER('Council Entry'!R$8),ISNUMBER('Council Entry'!R$9)),MAX(MIN('Council Entry'!R172,'Council Entry'!R$9),'Council Entry'!R$8),'Council Entry'!R172))))-'Council Entry'!R$5)/('Council Entry'!R$6-'Council Entry'!R$5),10*((IF('Council Entry'!R$4="Logarithm",LN(0.001+IF(AND(ISNUMBER('Council Entry'!R$8),ISNUMBER('Council Entry'!R$9)),MAX(MIN('Council Entry'!R172,'Council Entry'!R$9),'Council Entry'!R$8),'Council Entry'!R172)),IF('Council Entry'!R$4="Exponential",EXP(IF(AND(ISNUMBER('Council Entry'!R$8),ISNUMBER('Council Entry'!R$9)),MAX(MIN('Council Entry'!R172,'Council Entry'!R$9),'Council Entry'!R$8),'Council Entry'!R172)),IF(AND(ISNUMBER('Council Entry'!R$8),ISNUMBER('Council Entry'!R$9)),MAX(MIN('Council Entry'!R172,'Council Entry'!R$9),'Council Entry'!R$8),'Council Entry'!R172))))-'Council Entry'!R$5)/('Council Entry'!R$6-'Council Entry'!R$5)),1))),"No data"))</f>
        <v/>
      </c>
      <c r="S172" s="13">
        <f>IF('Council Entry'!S172="","",IFERROR(MAX(0,MIN(10,ROUND(IF('Council Entry'!S$7="Decrease Risk",10-10*((IF('Council Entry'!S$4="Logarithm",LN(0.001+IF(AND(ISNUMBER('Council Entry'!S$8),ISNUMBER('Council Entry'!S$9)),MAX(MIN('Council Entry'!S172,'Council Entry'!S$9),'Council Entry'!S$8),'Council Entry'!S172)),IF('Council Entry'!S$4="Exponential",EXP(IF(AND(ISNUMBER('Council Entry'!S$8),ISNUMBER('Council Entry'!S$9)),MAX(MIN('Council Entry'!S172,'Council Entry'!S$9),'Council Entry'!S$8),'Council Entry'!S172)),IF(AND(ISNUMBER('Council Entry'!S$8),ISNUMBER('Council Entry'!S$9)),MAX(MIN('Council Entry'!S172,'Council Entry'!S$9),'Council Entry'!S$8),'Council Entry'!S172))))-'Council Entry'!S$5)/('Council Entry'!S$6-'Council Entry'!S$5),10*((IF('Council Entry'!S$4="Logarithm",LN(0.001+IF(AND(ISNUMBER('Council Entry'!S$8),ISNUMBER('Council Entry'!S$9)),MAX(MIN('Council Entry'!S172,'Council Entry'!S$9),'Council Entry'!S$8),'Council Entry'!S172)),IF('Council Entry'!S$4="Exponential",EXP(IF(AND(ISNUMBER('Council Entry'!S$8),ISNUMBER('Council Entry'!S$9)),MAX(MIN('Council Entry'!S172,'Council Entry'!S$9),'Council Entry'!S$8),'Council Entry'!S172)),IF(AND(ISNUMBER('Council Entry'!S$8),ISNUMBER('Council Entry'!S$9)),MAX(MIN('Council Entry'!S172,'Council Entry'!S$9),'Council Entry'!S$8),'Council Entry'!S172))))-'Council Entry'!S$5)/('Council Entry'!S$6-'Council Entry'!S$5)),1))),"No data"))</f>
        <v/>
      </c>
      <c r="T172" s="13">
        <f>IF('Council Entry'!T172="","",IFERROR(MAX(0,MIN(10,ROUND(IF('Council Entry'!T$7="Decrease Risk",10-10*((IF('Council Entry'!T$4="Logarithm",LN(0.001+IF(AND(ISNUMBER('Council Entry'!T$8),ISNUMBER('Council Entry'!T$9)),MAX(MIN('Council Entry'!T172,'Council Entry'!T$9),'Council Entry'!T$8),'Council Entry'!T172)),IF('Council Entry'!T$4="Exponential",EXP(IF(AND(ISNUMBER('Council Entry'!T$8),ISNUMBER('Council Entry'!T$9)),MAX(MIN('Council Entry'!T172,'Council Entry'!T$9),'Council Entry'!T$8),'Council Entry'!T172)),IF(AND(ISNUMBER('Council Entry'!T$8),ISNUMBER('Council Entry'!T$9)),MAX(MIN('Council Entry'!T172,'Council Entry'!T$9),'Council Entry'!T$8),'Council Entry'!T172))))-'Council Entry'!T$5)/('Council Entry'!T$6-'Council Entry'!T$5),10*((IF('Council Entry'!T$4="Logarithm",LN(0.001+IF(AND(ISNUMBER('Council Entry'!T$8),ISNUMBER('Council Entry'!T$9)),MAX(MIN('Council Entry'!T172,'Council Entry'!T$9),'Council Entry'!T$8),'Council Entry'!T172)),IF('Council Entry'!T$4="Exponential",EXP(IF(AND(ISNUMBER('Council Entry'!T$8),ISNUMBER('Council Entry'!T$9)),MAX(MIN('Council Entry'!T172,'Council Entry'!T$9),'Council Entry'!T$8),'Council Entry'!T172)),IF(AND(ISNUMBER('Council Entry'!T$8),ISNUMBER('Council Entry'!T$9)),MAX(MIN('Council Entry'!T172,'Council Entry'!T$9),'Council Entry'!T$8),'Council Entry'!T172))))-'Council Entry'!T$5)/('Council Entry'!T$6-'Council Entry'!T$5)),1))),"No data"))</f>
        <v/>
      </c>
      <c r="U172" s="13">
        <f>IF('Council Entry'!U172="","",IFERROR(MAX(0,MIN(10,ROUND(IF('Council Entry'!U$7="Decrease Risk",10-10*((IF('Council Entry'!U$4="Logarithm",LN(0.001+IF(AND(ISNUMBER('Council Entry'!U$8),ISNUMBER('Council Entry'!U$9)),MAX(MIN('Council Entry'!U172,'Council Entry'!U$9),'Council Entry'!U$8),'Council Entry'!U172)),IF('Council Entry'!U$4="Exponential",EXP(IF(AND(ISNUMBER('Council Entry'!U$8),ISNUMBER('Council Entry'!U$9)),MAX(MIN('Council Entry'!U172,'Council Entry'!U$9),'Council Entry'!U$8),'Council Entry'!U172)),IF(AND(ISNUMBER('Council Entry'!U$8),ISNUMBER('Council Entry'!U$9)),MAX(MIN('Council Entry'!U172,'Council Entry'!U$9),'Council Entry'!U$8),'Council Entry'!U172))))-'Council Entry'!U$5)/('Council Entry'!U$6-'Council Entry'!U$5),10*((IF('Council Entry'!U$4="Logarithm",LN(0.001+IF(AND(ISNUMBER('Council Entry'!U$8),ISNUMBER('Council Entry'!U$9)),MAX(MIN('Council Entry'!U172,'Council Entry'!U$9),'Council Entry'!U$8),'Council Entry'!U172)),IF('Council Entry'!U$4="Exponential",EXP(IF(AND(ISNUMBER('Council Entry'!U$8),ISNUMBER('Council Entry'!U$9)),MAX(MIN('Council Entry'!U172,'Council Entry'!U$9),'Council Entry'!U$8),'Council Entry'!U172)),IF(AND(ISNUMBER('Council Entry'!U$8),ISNUMBER('Council Entry'!U$9)),MAX(MIN('Council Entry'!U172,'Council Entry'!U$9),'Council Entry'!U$8),'Council Entry'!U172))))-'Council Entry'!U$5)/('Council Entry'!U$6-'Council Entry'!U$5)),1))),"No data"))</f>
        <v/>
      </c>
      <c r="V172" s="13">
        <f>IF('Council Entry'!V172="","",IFERROR(MAX(0,MIN(10,ROUND(IF('Council Entry'!V$7="Decrease Risk",10-10*((IF('Council Entry'!V$4="Logarithm",LN(0.001+IF(AND(ISNUMBER('Council Entry'!V$8),ISNUMBER('Council Entry'!V$9)),MAX(MIN('Council Entry'!V172,'Council Entry'!V$9),'Council Entry'!V$8),'Council Entry'!V172)),IF('Council Entry'!V$4="Exponential",EXP(IF(AND(ISNUMBER('Council Entry'!V$8),ISNUMBER('Council Entry'!V$9)),MAX(MIN('Council Entry'!V172,'Council Entry'!V$9),'Council Entry'!V$8),'Council Entry'!V172)),IF(AND(ISNUMBER('Council Entry'!V$8),ISNUMBER('Council Entry'!V$9)),MAX(MIN('Council Entry'!V172,'Council Entry'!V$9),'Council Entry'!V$8),'Council Entry'!V172))))-'Council Entry'!V$5)/('Council Entry'!V$6-'Council Entry'!V$5),10*((IF('Council Entry'!V$4="Logarithm",LN(0.001+IF(AND(ISNUMBER('Council Entry'!V$8),ISNUMBER('Council Entry'!V$9)),MAX(MIN('Council Entry'!V172,'Council Entry'!V$9),'Council Entry'!V$8),'Council Entry'!V172)),IF('Council Entry'!V$4="Exponential",EXP(IF(AND(ISNUMBER('Council Entry'!V$8),ISNUMBER('Council Entry'!V$9)),MAX(MIN('Council Entry'!V172,'Council Entry'!V$9),'Council Entry'!V$8),'Council Entry'!V172)),IF(AND(ISNUMBER('Council Entry'!V$8),ISNUMBER('Council Entry'!V$9)),MAX(MIN('Council Entry'!V172,'Council Entry'!V$9),'Council Entry'!V$8),'Council Entry'!V172))))-'Council Entry'!V$5)/('Council Entry'!V$6-'Council Entry'!V$5)),1))),"No data"))</f>
        <v/>
      </c>
      <c r="W172" s="13">
        <f>IF('Council Entry'!W172="","",IFERROR(MAX(0,MIN(10,ROUND(IF('Council Entry'!W$7="Decrease Risk",10-10*((IF('Council Entry'!W$4="Logarithm",LN(0.001+IF(AND(ISNUMBER('Council Entry'!W$8),ISNUMBER('Council Entry'!W$9)),MAX(MIN('Council Entry'!W172,'Council Entry'!W$9),'Council Entry'!W$8),'Council Entry'!W172)),IF('Council Entry'!W$4="Exponential",EXP(IF(AND(ISNUMBER('Council Entry'!W$8),ISNUMBER('Council Entry'!W$9)),MAX(MIN('Council Entry'!W172,'Council Entry'!W$9),'Council Entry'!W$8),'Council Entry'!W172)),IF(AND(ISNUMBER('Council Entry'!W$8),ISNUMBER('Council Entry'!W$9)),MAX(MIN('Council Entry'!W172,'Council Entry'!W$9),'Council Entry'!W$8),'Council Entry'!W172))))-'Council Entry'!W$5)/('Council Entry'!W$6-'Council Entry'!W$5),10*((IF('Council Entry'!W$4="Logarithm",LN(0.001+IF(AND(ISNUMBER('Council Entry'!W$8),ISNUMBER('Council Entry'!W$9)),MAX(MIN('Council Entry'!W172,'Council Entry'!W$9),'Council Entry'!W$8),'Council Entry'!W172)),IF('Council Entry'!W$4="Exponential",EXP(IF(AND(ISNUMBER('Council Entry'!W$8),ISNUMBER('Council Entry'!W$9)),MAX(MIN('Council Entry'!W172,'Council Entry'!W$9),'Council Entry'!W$8),'Council Entry'!W172)),IF(AND(ISNUMBER('Council Entry'!W$8),ISNUMBER('Council Entry'!W$9)),MAX(MIN('Council Entry'!W172,'Council Entry'!W$9),'Council Entry'!W$8),'Council Entry'!W172))))-'Council Entry'!W$5)/('Council Entry'!W$6-'Council Entry'!W$5)),1))),"No data"))</f>
        <v/>
      </c>
      <c r="X172" s="13">
        <f>IF('Council Entry'!X172="","",IFERROR(MAX(0,MIN(10,ROUND(IF('Council Entry'!X$7="Decrease Risk",10-10*((IF('Council Entry'!X$4="Logarithm",LN(0.001+IF(AND(ISNUMBER('Council Entry'!X$8),ISNUMBER('Council Entry'!X$9)),MAX(MIN('Council Entry'!X172,'Council Entry'!X$9),'Council Entry'!X$8),'Council Entry'!X172)),IF('Council Entry'!X$4="Exponential",EXP(IF(AND(ISNUMBER('Council Entry'!X$8),ISNUMBER('Council Entry'!X$9)),MAX(MIN('Council Entry'!X172,'Council Entry'!X$9),'Council Entry'!X$8),'Council Entry'!X172)),IF(AND(ISNUMBER('Council Entry'!X$8),ISNUMBER('Council Entry'!X$9)),MAX(MIN('Council Entry'!X172,'Council Entry'!X$9),'Council Entry'!X$8),'Council Entry'!X172))))-'Council Entry'!X$5)/('Council Entry'!X$6-'Council Entry'!X$5),10*((IF('Council Entry'!X$4="Logarithm",LN(0.001+IF(AND(ISNUMBER('Council Entry'!X$8),ISNUMBER('Council Entry'!X$9)),MAX(MIN('Council Entry'!X172,'Council Entry'!X$9),'Council Entry'!X$8),'Council Entry'!X172)),IF('Council Entry'!X$4="Exponential",EXP(IF(AND(ISNUMBER('Council Entry'!X$8),ISNUMBER('Council Entry'!X$9)),MAX(MIN('Council Entry'!X172,'Council Entry'!X$9),'Council Entry'!X$8),'Council Entry'!X172)),IF(AND(ISNUMBER('Council Entry'!X$8),ISNUMBER('Council Entry'!X$9)),MAX(MIN('Council Entry'!X172,'Council Entry'!X$9),'Council Entry'!X$8),'Council Entry'!X172))))-'Council Entry'!X$5)/('Council Entry'!X$6-'Council Entry'!X$5)),1))),"No data"))</f>
        <v/>
      </c>
      <c r="Y172" s="13">
        <f>IF('Council Entry'!Y172="","",IFERROR(MAX(0,MIN(10,ROUND(IF('Council Entry'!Y$7="Decrease Risk",10-10*((IF('Council Entry'!Y$4="Logarithm",LN(0.001+IF(AND(ISNUMBER('Council Entry'!Y$8),ISNUMBER('Council Entry'!Y$9)),MAX(MIN('Council Entry'!Y172,'Council Entry'!Y$9),'Council Entry'!Y$8),'Council Entry'!Y172)),IF('Council Entry'!Y$4="Exponential",EXP(IF(AND(ISNUMBER('Council Entry'!Y$8),ISNUMBER('Council Entry'!Y$9)),MAX(MIN('Council Entry'!Y172,'Council Entry'!Y$9),'Council Entry'!Y$8),'Council Entry'!Y172)),IF(AND(ISNUMBER('Council Entry'!Y$8),ISNUMBER('Council Entry'!Y$9)),MAX(MIN('Council Entry'!Y172,'Council Entry'!Y$9),'Council Entry'!Y$8),'Council Entry'!Y172))))-'Council Entry'!Y$5)/('Council Entry'!Y$6-'Council Entry'!Y$5),10*((IF('Council Entry'!Y$4="Logarithm",LN(0.001+IF(AND(ISNUMBER('Council Entry'!Y$8),ISNUMBER('Council Entry'!Y$9)),MAX(MIN('Council Entry'!Y172,'Council Entry'!Y$9),'Council Entry'!Y$8),'Council Entry'!Y172)),IF('Council Entry'!Y$4="Exponential",EXP(IF(AND(ISNUMBER('Council Entry'!Y$8),ISNUMBER('Council Entry'!Y$9)),MAX(MIN('Council Entry'!Y172,'Council Entry'!Y$9),'Council Entry'!Y$8),'Council Entry'!Y172)),IF(AND(ISNUMBER('Council Entry'!Y$8),ISNUMBER('Council Entry'!Y$9)),MAX(MIN('Council Entry'!Y172,'Council Entry'!Y$9),'Council Entry'!Y$8),'Council Entry'!Y172))))-'Council Entry'!Y$5)/('Council Entry'!Y$6-'Council Entry'!Y$5)),1))),"No data"))</f>
        <v/>
      </c>
      <c r="Z172" s="13">
        <f>IF('Council Entry'!Z172="","",IFERROR(MAX(0,MIN(10,ROUND(IF('Council Entry'!Z$7="Decrease Risk",10-10*((IF('Council Entry'!Z$4="Logarithm",LN(0.001+IF(AND(ISNUMBER('Council Entry'!Z$8),ISNUMBER('Council Entry'!Z$9)),MAX(MIN('Council Entry'!Z172,'Council Entry'!Z$9),'Council Entry'!Z$8),'Council Entry'!Z172)),IF('Council Entry'!Z$4="Exponential",EXP(IF(AND(ISNUMBER('Council Entry'!Z$8),ISNUMBER('Council Entry'!Z$9)),MAX(MIN('Council Entry'!Z172,'Council Entry'!Z$9),'Council Entry'!Z$8),'Council Entry'!Z172)),IF(AND(ISNUMBER('Council Entry'!Z$8),ISNUMBER('Council Entry'!Z$9)),MAX(MIN('Council Entry'!Z172,'Council Entry'!Z$9),'Council Entry'!Z$8),'Council Entry'!Z172))))-'Council Entry'!Z$5)/('Council Entry'!Z$6-'Council Entry'!Z$5),10*((IF('Council Entry'!Z$4="Logarithm",LN(0.001+IF(AND(ISNUMBER('Council Entry'!Z$8),ISNUMBER('Council Entry'!Z$9)),MAX(MIN('Council Entry'!Z172,'Council Entry'!Z$9),'Council Entry'!Z$8),'Council Entry'!Z172)),IF('Council Entry'!Z$4="Exponential",EXP(IF(AND(ISNUMBER('Council Entry'!Z$8),ISNUMBER('Council Entry'!Z$9)),MAX(MIN('Council Entry'!Z172,'Council Entry'!Z$9),'Council Entry'!Z$8),'Council Entry'!Z172)),IF(AND(ISNUMBER('Council Entry'!Z$8),ISNUMBER('Council Entry'!Z$9)),MAX(MIN('Council Entry'!Z172,'Council Entry'!Z$9),'Council Entry'!Z$8),'Council Entry'!Z172))))-'Council Entry'!Z$5)/('Council Entry'!Z$6-'Council Entry'!Z$5)),1))),"No data"))</f>
        <v/>
      </c>
      <c r="AA172" s="13">
        <f>IF('Council Entry'!AA172="","",IFERROR(MAX(0,MIN(10,ROUND(IF('Council Entry'!AA$7="Decrease Risk",10-10*((IF('Council Entry'!AA$4="Logarithm",LN(0.001+IF(AND(ISNUMBER('Council Entry'!AA$8),ISNUMBER('Council Entry'!AA$9)),MAX(MIN('Council Entry'!AA172,'Council Entry'!AA$9),'Council Entry'!AA$8),'Council Entry'!AA172)),IF('Council Entry'!AA$4="Exponential",EXP(IF(AND(ISNUMBER('Council Entry'!AA$8),ISNUMBER('Council Entry'!AA$9)),MAX(MIN('Council Entry'!AA172,'Council Entry'!AA$9),'Council Entry'!AA$8),'Council Entry'!AA172)),IF(AND(ISNUMBER('Council Entry'!AA$8),ISNUMBER('Council Entry'!AA$9)),MAX(MIN('Council Entry'!AA172,'Council Entry'!AA$9),'Council Entry'!AA$8),'Council Entry'!AA172))))-'Council Entry'!AA$5)/('Council Entry'!AA$6-'Council Entry'!AA$5),10*((IF('Council Entry'!AA$4="Logarithm",LN(0.001+IF(AND(ISNUMBER('Council Entry'!AA$8),ISNUMBER('Council Entry'!AA$9)),MAX(MIN('Council Entry'!AA172,'Council Entry'!AA$9),'Council Entry'!AA$8),'Council Entry'!AA172)),IF('Council Entry'!AA$4="Exponential",EXP(IF(AND(ISNUMBER('Council Entry'!AA$8),ISNUMBER('Council Entry'!AA$9)),MAX(MIN('Council Entry'!AA172,'Council Entry'!AA$9),'Council Entry'!AA$8),'Council Entry'!AA172)),IF(AND(ISNUMBER('Council Entry'!AA$8),ISNUMBER('Council Entry'!AA$9)),MAX(MIN('Council Entry'!AA172,'Council Entry'!AA$9),'Council Entry'!AA$8),'Council Entry'!AA172))))-'Council Entry'!AA$5)/('Council Entry'!AA$6-'Council Entry'!AA$5)),1))),"No data"))</f>
        <v/>
      </c>
      <c r="AB172" s="13">
        <f>IF('Council Entry'!AB172="","",IFERROR(MAX(0,MIN(10,ROUND(IF('Council Entry'!AB$7="Decrease Risk",10-10*((IF('Council Entry'!AB$4="Logarithm",LN(0.001+IF(AND(ISNUMBER('Council Entry'!AB$8),ISNUMBER('Council Entry'!AB$9)),MAX(MIN('Council Entry'!AB172,'Council Entry'!AB$9),'Council Entry'!AB$8),'Council Entry'!AB172)),IF('Council Entry'!AB$4="Exponential",EXP(IF(AND(ISNUMBER('Council Entry'!AB$8),ISNUMBER('Council Entry'!AB$9)),MAX(MIN('Council Entry'!AB172,'Council Entry'!AB$9),'Council Entry'!AB$8),'Council Entry'!AB172)),IF(AND(ISNUMBER('Council Entry'!AB$8),ISNUMBER('Council Entry'!AB$9)),MAX(MIN('Council Entry'!AB172,'Council Entry'!AB$9),'Council Entry'!AB$8),'Council Entry'!AB172))))-'Council Entry'!AB$5)/('Council Entry'!AB$6-'Council Entry'!AB$5),10*((IF('Council Entry'!AB$4="Logarithm",LN(0.001+IF(AND(ISNUMBER('Council Entry'!AB$8),ISNUMBER('Council Entry'!AB$9)),MAX(MIN('Council Entry'!AB172,'Council Entry'!AB$9),'Council Entry'!AB$8),'Council Entry'!AB172)),IF('Council Entry'!AB$4="Exponential",EXP(IF(AND(ISNUMBER('Council Entry'!AB$8),ISNUMBER('Council Entry'!AB$9)),MAX(MIN('Council Entry'!AB172,'Council Entry'!AB$9),'Council Entry'!AB$8),'Council Entry'!AB172)),IF(AND(ISNUMBER('Council Entry'!AB$8),ISNUMBER('Council Entry'!AB$9)),MAX(MIN('Council Entry'!AB172,'Council Entry'!AB$9),'Council Entry'!AB$8),'Council Entry'!AB172))))-'Council Entry'!AB$5)/('Council Entry'!AB$6-'Council Entry'!AB$5)),1))),"No data"))</f>
        <v/>
      </c>
      <c r="AC172" s="13">
        <f>IF('Council Entry'!AC172="","",IFERROR(MAX(0,MIN(10,ROUND(IF('Council Entry'!AC$7="Decrease Risk",10-10*((IF('Council Entry'!AC$4="Logarithm",LN(0.001+IF(AND(ISNUMBER('Council Entry'!AC$8),ISNUMBER('Council Entry'!AC$9)),MAX(MIN('Council Entry'!AC172,'Council Entry'!AC$9),'Council Entry'!AC$8),'Council Entry'!AC172)),IF('Council Entry'!AC$4="Exponential",EXP(IF(AND(ISNUMBER('Council Entry'!AC$8),ISNUMBER('Council Entry'!AC$9)),MAX(MIN('Council Entry'!AC172,'Council Entry'!AC$9),'Council Entry'!AC$8),'Council Entry'!AC172)),IF(AND(ISNUMBER('Council Entry'!AC$8),ISNUMBER('Council Entry'!AC$9)),MAX(MIN('Council Entry'!AC172,'Council Entry'!AC$9),'Council Entry'!AC$8),'Council Entry'!AC172))))-'Council Entry'!AC$5)/('Council Entry'!AC$6-'Council Entry'!AC$5),10*((IF('Council Entry'!AC$4="Logarithm",LN(0.001+IF(AND(ISNUMBER('Council Entry'!AC$8),ISNUMBER('Council Entry'!AC$9)),MAX(MIN('Council Entry'!AC172,'Council Entry'!AC$9),'Council Entry'!AC$8),'Council Entry'!AC172)),IF('Council Entry'!AC$4="Exponential",EXP(IF(AND(ISNUMBER('Council Entry'!AC$8),ISNUMBER('Council Entry'!AC$9)),MAX(MIN('Council Entry'!AC172,'Council Entry'!AC$9),'Council Entry'!AC$8),'Council Entry'!AC172)),IF(AND(ISNUMBER('Council Entry'!AC$8),ISNUMBER('Council Entry'!AC$9)),MAX(MIN('Council Entry'!AC172,'Council Entry'!AC$9),'Council Entry'!AC$8),'Council Entry'!AC172))))-'Council Entry'!AC$5)/('Council Entry'!AC$6-'Council Entry'!AC$5)),1))),"No data"))</f>
        <v/>
      </c>
      <c r="AD172" s="13">
        <f>IF('Council Entry'!AD172="","",IFERROR(MAX(0,MIN(10,ROUND(IF('Council Entry'!AD$7="Decrease Risk",10-10*((IF('Council Entry'!AD$4="Logarithm",LN(0.001+IF(AND(ISNUMBER('Council Entry'!AD$8),ISNUMBER('Council Entry'!AD$9)),MAX(MIN('Council Entry'!AD172,'Council Entry'!AD$9),'Council Entry'!AD$8),'Council Entry'!AD172)),IF('Council Entry'!AD$4="Exponential",EXP(IF(AND(ISNUMBER('Council Entry'!AD$8),ISNUMBER('Council Entry'!AD$9)),MAX(MIN('Council Entry'!AD172,'Council Entry'!AD$9),'Council Entry'!AD$8),'Council Entry'!AD172)),IF(AND(ISNUMBER('Council Entry'!AD$8),ISNUMBER('Council Entry'!AD$9)),MAX(MIN('Council Entry'!AD172,'Council Entry'!AD$9),'Council Entry'!AD$8),'Council Entry'!AD172))))-'Council Entry'!AD$5)/('Council Entry'!AD$6-'Council Entry'!AD$5),10*((IF('Council Entry'!AD$4="Logarithm",LN(0.001+IF(AND(ISNUMBER('Council Entry'!AD$8),ISNUMBER('Council Entry'!AD$9)),MAX(MIN('Council Entry'!AD172,'Council Entry'!AD$9),'Council Entry'!AD$8),'Council Entry'!AD172)),IF('Council Entry'!AD$4="Exponential",EXP(IF(AND(ISNUMBER('Council Entry'!AD$8),ISNUMBER('Council Entry'!AD$9)),MAX(MIN('Council Entry'!AD172,'Council Entry'!AD$9),'Council Entry'!AD$8),'Council Entry'!AD172)),IF(AND(ISNUMBER('Council Entry'!AD$8),ISNUMBER('Council Entry'!AD$9)),MAX(MIN('Council Entry'!AD172,'Council Entry'!AD$9),'Council Entry'!AD$8),'Council Entry'!AD172))))-'Council Entry'!AD$5)/('Council Entry'!AD$6-'Council Entry'!AD$5)),1))),"No data"))</f>
        <v/>
      </c>
      <c r="AE172" s="13">
        <f>IF('Council Entry'!AE172="","",IFERROR(MAX(0,MIN(10,ROUND(IF('Council Entry'!AE$7="Decrease Risk",10-10*((IF('Council Entry'!AE$4="Logarithm",LN(0.001+IF(AND(ISNUMBER('Council Entry'!AE$8),ISNUMBER('Council Entry'!AE$9)),MAX(MIN('Council Entry'!AE172,'Council Entry'!AE$9),'Council Entry'!AE$8),'Council Entry'!AE172)),IF('Council Entry'!AE$4="Exponential",EXP(IF(AND(ISNUMBER('Council Entry'!AE$8),ISNUMBER('Council Entry'!AE$9)),MAX(MIN('Council Entry'!AE172,'Council Entry'!AE$9),'Council Entry'!AE$8),'Council Entry'!AE172)),IF(AND(ISNUMBER('Council Entry'!AE$8),ISNUMBER('Council Entry'!AE$9)),MAX(MIN('Council Entry'!AE172,'Council Entry'!AE$9),'Council Entry'!AE$8),'Council Entry'!AE172))))-'Council Entry'!AE$5)/('Council Entry'!AE$6-'Council Entry'!AE$5),10*((IF('Council Entry'!AE$4="Logarithm",LN(0.001+IF(AND(ISNUMBER('Council Entry'!AE$8),ISNUMBER('Council Entry'!AE$9)),MAX(MIN('Council Entry'!AE172,'Council Entry'!AE$9),'Council Entry'!AE$8),'Council Entry'!AE172)),IF('Council Entry'!AE$4="Exponential",EXP(IF(AND(ISNUMBER('Council Entry'!AE$8),ISNUMBER('Council Entry'!AE$9)),MAX(MIN('Council Entry'!AE172,'Council Entry'!AE$9),'Council Entry'!AE$8),'Council Entry'!AE172)),IF(AND(ISNUMBER('Council Entry'!AE$8),ISNUMBER('Council Entry'!AE$9)),MAX(MIN('Council Entry'!AE172,'Council Entry'!AE$9),'Council Entry'!AE$8),'Council Entry'!AE172))))-'Council Entry'!AE$5)/('Council Entry'!AE$6-'Council Entry'!AE$5)),1))),"No data"))</f>
        <v/>
      </c>
      <c r="AF172" s="13">
        <f>IF('Council Entry'!AF172="","",IFERROR(MAX(0,MIN(10,ROUND(IF('Council Entry'!AF$7="Decrease Risk",10-10*((IF('Council Entry'!AF$4="Logarithm",LN(0.001+IF(AND(ISNUMBER('Council Entry'!AF$8),ISNUMBER('Council Entry'!AF$9)),MAX(MIN('Council Entry'!AF172,'Council Entry'!AF$9),'Council Entry'!AF$8),'Council Entry'!AF172)),IF('Council Entry'!AF$4="Exponential",EXP(IF(AND(ISNUMBER('Council Entry'!AF$8),ISNUMBER('Council Entry'!AF$9)),MAX(MIN('Council Entry'!AF172,'Council Entry'!AF$9),'Council Entry'!AF$8),'Council Entry'!AF172)),IF(AND(ISNUMBER('Council Entry'!AF$8),ISNUMBER('Council Entry'!AF$9)),MAX(MIN('Council Entry'!AF172,'Council Entry'!AF$9),'Council Entry'!AF$8),'Council Entry'!AF172))))-'Council Entry'!AF$5)/('Council Entry'!AF$6-'Council Entry'!AF$5),10*((IF('Council Entry'!AF$4="Logarithm",LN(0.001+IF(AND(ISNUMBER('Council Entry'!AF$8),ISNUMBER('Council Entry'!AF$9)),MAX(MIN('Council Entry'!AF172,'Council Entry'!AF$9),'Council Entry'!AF$8),'Council Entry'!AF172)),IF('Council Entry'!AF$4="Exponential",EXP(IF(AND(ISNUMBER('Council Entry'!AF$8),ISNUMBER('Council Entry'!AF$9)),MAX(MIN('Council Entry'!AF172,'Council Entry'!AF$9),'Council Entry'!AF$8),'Council Entry'!AF172)),IF(AND(ISNUMBER('Council Entry'!AF$8),ISNUMBER('Council Entry'!AF$9)),MAX(MIN('Council Entry'!AF172,'Council Entry'!AF$9),'Council Entry'!AF$8),'Council Entry'!AF172))))-'Council Entry'!AF$5)/('Council Entry'!AF$6-'Council Entry'!AF$5)),1))),"No data"))</f>
        <v/>
      </c>
      <c r="AG172" s="13">
        <f>IF('Council Entry'!AG172="","",IFERROR(MAX(0,MIN(10,ROUND(IF('Council Entry'!AG$7="Decrease Risk",10-10*((IF('Council Entry'!AG$4="Logarithm",LN(0.001+IF(AND(ISNUMBER('Council Entry'!AG$8),ISNUMBER('Council Entry'!AG$9)),MAX(MIN('Council Entry'!AG172,'Council Entry'!AG$9),'Council Entry'!AG$8),'Council Entry'!AG172)),IF('Council Entry'!AG$4="Exponential",EXP(IF(AND(ISNUMBER('Council Entry'!AG$8),ISNUMBER('Council Entry'!AG$9)),MAX(MIN('Council Entry'!AG172,'Council Entry'!AG$9),'Council Entry'!AG$8),'Council Entry'!AG172)),IF(AND(ISNUMBER('Council Entry'!AG$8),ISNUMBER('Council Entry'!AG$9)),MAX(MIN('Council Entry'!AG172,'Council Entry'!AG$9),'Council Entry'!AG$8),'Council Entry'!AG172))))-'Council Entry'!AG$5)/('Council Entry'!AG$6-'Council Entry'!AG$5),10*((IF('Council Entry'!AG$4="Logarithm",LN(0.001+IF(AND(ISNUMBER('Council Entry'!AG$8),ISNUMBER('Council Entry'!AG$9)),MAX(MIN('Council Entry'!AG172,'Council Entry'!AG$9),'Council Entry'!AG$8),'Council Entry'!AG172)),IF('Council Entry'!AG$4="Exponential",EXP(IF(AND(ISNUMBER('Council Entry'!AG$8),ISNUMBER('Council Entry'!AG$9)),MAX(MIN('Council Entry'!AG172,'Council Entry'!AG$9),'Council Entry'!AG$8),'Council Entry'!AG172)),IF(AND(ISNUMBER('Council Entry'!AG$8),ISNUMBER('Council Entry'!AG$9)),MAX(MIN('Council Entry'!AG172,'Council Entry'!AG$9),'Council Entry'!AG$8),'Council Entry'!AG172))))-'Council Entry'!AG$5)/('Council Entry'!AG$6-'Council Entry'!AG$5)),1))),"No data"))</f>
        <v/>
      </c>
      <c r="AH172" s="13">
        <f>IF('Council Entry'!AH172="","",IFERROR(MAX(0,MIN(10,ROUND(IF('Council Entry'!AH$7="Decrease Risk",10-10*((IF('Council Entry'!AH$4="Logarithm",LN(0.001+IF(AND(ISNUMBER('Council Entry'!AH$8),ISNUMBER('Council Entry'!AH$9)),MAX(MIN('Council Entry'!AH172,'Council Entry'!AH$9),'Council Entry'!AH$8),'Council Entry'!AH172)),IF('Council Entry'!AH$4="Exponential",EXP(IF(AND(ISNUMBER('Council Entry'!AH$8),ISNUMBER('Council Entry'!AH$9)),MAX(MIN('Council Entry'!AH172,'Council Entry'!AH$9),'Council Entry'!AH$8),'Council Entry'!AH172)),IF(AND(ISNUMBER('Council Entry'!AH$8),ISNUMBER('Council Entry'!AH$9)),MAX(MIN('Council Entry'!AH172,'Council Entry'!AH$9),'Council Entry'!AH$8),'Council Entry'!AH172))))-'Council Entry'!AH$5)/('Council Entry'!AH$6-'Council Entry'!AH$5),10*((IF('Council Entry'!AH$4="Logarithm",LN(0.001+IF(AND(ISNUMBER('Council Entry'!AH$8),ISNUMBER('Council Entry'!AH$9)),MAX(MIN('Council Entry'!AH172,'Council Entry'!AH$9),'Council Entry'!AH$8),'Council Entry'!AH172)),IF('Council Entry'!AH$4="Exponential",EXP(IF(AND(ISNUMBER('Council Entry'!AH$8),ISNUMBER('Council Entry'!AH$9)),MAX(MIN('Council Entry'!AH172,'Council Entry'!AH$9),'Council Entry'!AH$8),'Council Entry'!AH172)),IF(AND(ISNUMBER('Council Entry'!AH$8),ISNUMBER('Council Entry'!AH$9)),MAX(MIN('Council Entry'!AH172,'Council Entry'!AH$9),'Council Entry'!AH$8),'Council Entry'!AH172))))-'Council Entry'!AH$5)/('Council Entry'!AH$6-'Council Entry'!AH$5)),1))),"No data"))</f>
        <v/>
      </c>
      <c r="AI172" s="13">
        <f>IF('Council Entry'!AI172="","",IFERROR(MAX(0,MIN(10,ROUND(IF('Council Entry'!AI$7="Decrease Risk",10-10*((IF('Council Entry'!AI$4="Logarithm",LN(0.001+IF(AND(ISNUMBER('Council Entry'!AI$8),ISNUMBER('Council Entry'!AI$9)),MAX(MIN('Council Entry'!AI172,'Council Entry'!AI$9),'Council Entry'!AI$8),'Council Entry'!AI172)),IF('Council Entry'!AI$4="Exponential",EXP(IF(AND(ISNUMBER('Council Entry'!AI$8),ISNUMBER('Council Entry'!AI$9)),MAX(MIN('Council Entry'!AI172,'Council Entry'!AI$9),'Council Entry'!AI$8),'Council Entry'!AI172)),IF(AND(ISNUMBER('Council Entry'!AI$8),ISNUMBER('Council Entry'!AI$9)),MAX(MIN('Council Entry'!AI172,'Council Entry'!AI$9),'Council Entry'!AI$8),'Council Entry'!AI172))))-'Council Entry'!AI$5)/('Council Entry'!AI$6-'Council Entry'!AI$5),10*((IF('Council Entry'!AI$4="Logarithm",LN(0.001+IF(AND(ISNUMBER('Council Entry'!AI$8),ISNUMBER('Council Entry'!AI$9)),MAX(MIN('Council Entry'!AI172,'Council Entry'!AI$9),'Council Entry'!AI$8),'Council Entry'!AI172)),IF('Council Entry'!AI$4="Exponential",EXP(IF(AND(ISNUMBER('Council Entry'!AI$8),ISNUMBER('Council Entry'!AI$9)),MAX(MIN('Council Entry'!AI172,'Council Entry'!AI$9),'Council Entry'!AI$8),'Council Entry'!AI172)),IF(AND(ISNUMBER('Council Entry'!AI$8),ISNUMBER('Council Entry'!AI$9)),MAX(MIN('Council Entry'!AI172,'Council Entry'!AI$9),'Council Entry'!AI$8),'Council Entry'!AI172))))-'Council Entry'!AI$5)/('Council Entry'!AI$6-'Council Entry'!AI$5)),1))),"No data"))</f>
        <v/>
      </c>
      <c r="AJ172" s="13">
        <f>IF('Council Entry'!AJ172="","",IFERROR(MAX(0,MIN(10,ROUND(IF('Council Entry'!AJ$7="Decrease Risk",10-10*((IF('Council Entry'!AJ$4="Logarithm",LN(0.001+IF(AND(ISNUMBER('Council Entry'!AJ$8),ISNUMBER('Council Entry'!AJ$9)),MAX(MIN('Council Entry'!AJ172,'Council Entry'!AJ$9),'Council Entry'!AJ$8),'Council Entry'!AJ172)),IF('Council Entry'!AJ$4="Exponential",EXP(IF(AND(ISNUMBER('Council Entry'!AJ$8),ISNUMBER('Council Entry'!AJ$9)),MAX(MIN('Council Entry'!AJ172,'Council Entry'!AJ$9),'Council Entry'!AJ$8),'Council Entry'!AJ172)),IF(AND(ISNUMBER('Council Entry'!AJ$8),ISNUMBER('Council Entry'!AJ$9)),MAX(MIN('Council Entry'!AJ172,'Council Entry'!AJ$9),'Council Entry'!AJ$8),'Council Entry'!AJ172))))-'Council Entry'!AJ$5)/('Council Entry'!AJ$6-'Council Entry'!AJ$5),10*((IF('Council Entry'!AJ$4="Logarithm",LN(0.001+IF(AND(ISNUMBER('Council Entry'!AJ$8),ISNUMBER('Council Entry'!AJ$9)),MAX(MIN('Council Entry'!AJ172,'Council Entry'!AJ$9),'Council Entry'!AJ$8),'Council Entry'!AJ172)),IF('Council Entry'!AJ$4="Exponential",EXP(IF(AND(ISNUMBER('Council Entry'!AJ$8),ISNUMBER('Council Entry'!AJ$9)),MAX(MIN('Council Entry'!AJ172,'Council Entry'!AJ$9),'Council Entry'!AJ$8),'Council Entry'!AJ172)),IF(AND(ISNUMBER('Council Entry'!AJ$8),ISNUMBER('Council Entry'!AJ$9)),MAX(MIN('Council Entry'!AJ172,'Council Entry'!AJ$9),'Council Entry'!AJ$8),'Council Entry'!AJ172))))-'Council Entry'!AJ$5)/('Council Entry'!AJ$6-'Council Entry'!AJ$5)),1))),"No data"))</f>
        <v/>
      </c>
      <c r="AK172" s="13">
        <f>IF('Council Entry'!AK172="","",IFERROR(MAX(0,MIN(10,ROUND(IF('Council Entry'!AK$7="Decrease Risk",10-10*((IF('Council Entry'!AK$4="Logarithm",LN(0.001+IF(AND(ISNUMBER('Council Entry'!AK$8),ISNUMBER('Council Entry'!AK$9)),MAX(MIN('Council Entry'!AK172,'Council Entry'!AK$9),'Council Entry'!AK$8),'Council Entry'!AK172)),IF('Council Entry'!AK$4="Exponential",EXP(IF(AND(ISNUMBER('Council Entry'!AK$8),ISNUMBER('Council Entry'!AK$9)),MAX(MIN('Council Entry'!AK172,'Council Entry'!AK$9),'Council Entry'!AK$8),'Council Entry'!AK172)),IF(AND(ISNUMBER('Council Entry'!AK$8),ISNUMBER('Council Entry'!AK$9)),MAX(MIN('Council Entry'!AK172,'Council Entry'!AK$9),'Council Entry'!AK$8),'Council Entry'!AK172))))-'Council Entry'!AK$5)/('Council Entry'!AK$6-'Council Entry'!AK$5),10*((IF('Council Entry'!AK$4="Logarithm",LN(0.001+IF(AND(ISNUMBER('Council Entry'!AK$8),ISNUMBER('Council Entry'!AK$9)),MAX(MIN('Council Entry'!AK172,'Council Entry'!AK$9),'Council Entry'!AK$8),'Council Entry'!AK172)),IF('Council Entry'!AK$4="Exponential",EXP(IF(AND(ISNUMBER('Council Entry'!AK$8),ISNUMBER('Council Entry'!AK$9)),MAX(MIN('Council Entry'!AK172,'Council Entry'!AK$9),'Council Entry'!AK$8),'Council Entry'!AK172)),IF(AND(ISNUMBER('Council Entry'!AK$8),ISNUMBER('Council Entry'!AK$9)),MAX(MIN('Council Entry'!AK172,'Council Entry'!AK$9),'Council Entry'!AK$8),'Council Entry'!AK172))))-'Council Entry'!AK$5)/('Council Entry'!AK$6-'Council Entry'!AK$5)),1))),"No data"))</f>
        <v/>
      </c>
      <c r="AL172" s="13">
        <f>IF('Council Entry'!AL172="","",IFERROR(MAX(0,MIN(10,ROUND(IF('Council Entry'!AL$7="Decrease Risk",10-10*((IF('Council Entry'!AL$4="Logarithm",LN(0.001+IF(AND(ISNUMBER('Council Entry'!AL$8),ISNUMBER('Council Entry'!AL$9)),MAX(MIN('Council Entry'!AL172,'Council Entry'!AL$9),'Council Entry'!AL$8),'Council Entry'!AL172)),IF('Council Entry'!AL$4="Exponential",EXP(IF(AND(ISNUMBER('Council Entry'!AL$8),ISNUMBER('Council Entry'!AL$9)),MAX(MIN('Council Entry'!AL172,'Council Entry'!AL$9),'Council Entry'!AL$8),'Council Entry'!AL172)),IF(AND(ISNUMBER('Council Entry'!AL$8),ISNUMBER('Council Entry'!AL$9)),MAX(MIN('Council Entry'!AL172,'Council Entry'!AL$9),'Council Entry'!AL$8),'Council Entry'!AL172))))-'Council Entry'!AL$5)/('Council Entry'!AL$6-'Council Entry'!AL$5),10*((IF('Council Entry'!AL$4="Logarithm",LN(0.001+IF(AND(ISNUMBER('Council Entry'!AL$8),ISNUMBER('Council Entry'!AL$9)),MAX(MIN('Council Entry'!AL172,'Council Entry'!AL$9),'Council Entry'!AL$8),'Council Entry'!AL172)),IF('Council Entry'!AL$4="Exponential",EXP(IF(AND(ISNUMBER('Council Entry'!AL$8),ISNUMBER('Council Entry'!AL$9)),MAX(MIN('Council Entry'!AL172,'Council Entry'!AL$9),'Council Entry'!AL$8),'Council Entry'!AL172)),IF(AND(ISNUMBER('Council Entry'!AL$8),ISNUMBER('Council Entry'!AL$9)),MAX(MIN('Council Entry'!AL172,'Council Entry'!AL$9),'Council Entry'!AL$8),'Council Entry'!AL172))))-'Council Entry'!AL$5)/('Council Entry'!AL$6-'Council Entry'!AL$5)),1))),"No data"))</f>
        <v/>
      </c>
      <c r="AM172" s="13">
        <f>IF('Council Entry'!AM172="","",IFERROR(MAX(0,MIN(10,ROUND(IF('Council Entry'!AM$7="Decrease Risk",10-10*((IF('Council Entry'!AM$4="Logarithm",LN(0.001+IF(AND(ISNUMBER('Council Entry'!AM$8),ISNUMBER('Council Entry'!AM$9)),MAX(MIN('Council Entry'!AM172,'Council Entry'!AM$9),'Council Entry'!AM$8),'Council Entry'!AM172)),IF('Council Entry'!AM$4="Exponential",EXP(IF(AND(ISNUMBER('Council Entry'!AM$8),ISNUMBER('Council Entry'!AM$9)),MAX(MIN('Council Entry'!AM172,'Council Entry'!AM$9),'Council Entry'!AM$8),'Council Entry'!AM172)),IF(AND(ISNUMBER('Council Entry'!AM$8),ISNUMBER('Council Entry'!AM$9)),MAX(MIN('Council Entry'!AM172,'Council Entry'!AM$9),'Council Entry'!AM$8),'Council Entry'!AM172))))-'Council Entry'!AM$5)/('Council Entry'!AM$6-'Council Entry'!AM$5),10*((IF('Council Entry'!AM$4="Logarithm",LN(0.001+IF(AND(ISNUMBER('Council Entry'!AM$8),ISNUMBER('Council Entry'!AM$9)),MAX(MIN('Council Entry'!AM172,'Council Entry'!AM$9),'Council Entry'!AM$8),'Council Entry'!AM172)),IF('Council Entry'!AM$4="Exponential",EXP(IF(AND(ISNUMBER('Council Entry'!AM$8),ISNUMBER('Council Entry'!AM$9)),MAX(MIN('Council Entry'!AM172,'Council Entry'!AM$9),'Council Entry'!AM$8),'Council Entry'!AM172)),IF(AND(ISNUMBER('Council Entry'!AM$8),ISNUMBER('Council Entry'!AM$9)),MAX(MIN('Council Entry'!AM172,'Council Entry'!AM$9),'Council Entry'!AM$8),'Council Entry'!AM172))))-'Council Entry'!AM$5)/('Council Entry'!AM$6-'Council Entry'!AM$5)),1))),"No data"))</f>
        <v/>
      </c>
      <c r="AN172" s="13">
        <f>IF('Council Entry'!AN172="","",IFERROR(MAX(0,MIN(10,ROUND(IF('Council Entry'!AN$7="Decrease Risk",10-10*((IF('Council Entry'!AN$4="Logarithm",LN(0.001+IF(AND(ISNUMBER('Council Entry'!AN$8),ISNUMBER('Council Entry'!AN$9)),MAX(MIN('Council Entry'!AN172,'Council Entry'!AN$9),'Council Entry'!AN$8),'Council Entry'!AN172)),IF('Council Entry'!AN$4="Exponential",EXP(IF(AND(ISNUMBER('Council Entry'!AN$8),ISNUMBER('Council Entry'!AN$9)),MAX(MIN('Council Entry'!AN172,'Council Entry'!AN$9),'Council Entry'!AN$8),'Council Entry'!AN172)),IF(AND(ISNUMBER('Council Entry'!AN$8),ISNUMBER('Council Entry'!AN$9)),MAX(MIN('Council Entry'!AN172,'Council Entry'!AN$9),'Council Entry'!AN$8),'Council Entry'!AN172))))-'Council Entry'!AN$5)/('Council Entry'!AN$6-'Council Entry'!AN$5),10*((IF('Council Entry'!AN$4="Logarithm",LN(0.001+IF(AND(ISNUMBER('Council Entry'!AN$8),ISNUMBER('Council Entry'!AN$9)),MAX(MIN('Council Entry'!AN172,'Council Entry'!AN$9),'Council Entry'!AN$8),'Council Entry'!AN172)),IF('Council Entry'!AN$4="Exponential",EXP(IF(AND(ISNUMBER('Council Entry'!AN$8),ISNUMBER('Council Entry'!AN$9)),MAX(MIN('Council Entry'!AN172,'Council Entry'!AN$9),'Council Entry'!AN$8),'Council Entry'!AN172)),IF(AND(ISNUMBER('Council Entry'!AN$8),ISNUMBER('Council Entry'!AN$9)),MAX(MIN('Council Entry'!AN172,'Council Entry'!AN$9),'Council Entry'!AN$8),'Council Entry'!AN172))))-'Council Entry'!AN$5)/('Council Entry'!AN$6-'Council Entry'!AN$5)),1))),"No data"))</f>
        <v/>
      </c>
      <c r="AO172" s="13">
        <f>IF('Council Entry'!AO172="","",IFERROR(MAX(0,MIN(10,ROUND(IF('Council Entry'!AO$7="Decrease Risk",10-10*((IF('Council Entry'!AO$4="Logarithm",LN(0.001+IF(AND(ISNUMBER('Council Entry'!AO$8),ISNUMBER('Council Entry'!AO$9)),MAX(MIN('Council Entry'!AO172,'Council Entry'!AO$9),'Council Entry'!AO$8),'Council Entry'!AO172)),IF('Council Entry'!AO$4="Exponential",EXP(IF(AND(ISNUMBER('Council Entry'!AO$8),ISNUMBER('Council Entry'!AO$9)),MAX(MIN('Council Entry'!AO172,'Council Entry'!AO$9),'Council Entry'!AO$8),'Council Entry'!AO172)),IF(AND(ISNUMBER('Council Entry'!AO$8),ISNUMBER('Council Entry'!AO$9)),MAX(MIN('Council Entry'!AO172,'Council Entry'!AO$9),'Council Entry'!AO$8),'Council Entry'!AO172))))-'Council Entry'!AO$5)/('Council Entry'!AO$6-'Council Entry'!AO$5),10*((IF('Council Entry'!AO$4="Logarithm",LN(0.001+IF(AND(ISNUMBER('Council Entry'!AO$8),ISNUMBER('Council Entry'!AO$9)),MAX(MIN('Council Entry'!AO172,'Council Entry'!AO$9),'Council Entry'!AO$8),'Council Entry'!AO172)),IF('Council Entry'!AO$4="Exponential",EXP(IF(AND(ISNUMBER('Council Entry'!AO$8),ISNUMBER('Council Entry'!AO$9)),MAX(MIN('Council Entry'!AO172,'Council Entry'!AO$9),'Council Entry'!AO$8),'Council Entry'!AO172)),IF(AND(ISNUMBER('Council Entry'!AO$8),ISNUMBER('Council Entry'!AO$9)),MAX(MIN('Council Entry'!AO172,'Council Entry'!AO$9),'Council Entry'!AO$8),'Council Entry'!AO172))))-'Council Entry'!AO$5)/('Council Entry'!AO$6-'Council Entry'!AO$5)),1))),"No data"))</f>
        <v/>
      </c>
      <c r="AP172" s="13">
        <f>IF('Council Entry'!AP172="","",IFERROR(MAX(0,MIN(10,ROUND(IF('Council Entry'!AP$7="Decrease Risk",10-10*((IF('Council Entry'!AP$4="Logarithm",LN(0.001+IF(AND(ISNUMBER('Council Entry'!AP$8),ISNUMBER('Council Entry'!AP$9)),MAX(MIN('Council Entry'!AP172,'Council Entry'!AP$9),'Council Entry'!AP$8),'Council Entry'!AP172)),IF('Council Entry'!AP$4="Exponential",EXP(IF(AND(ISNUMBER('Council Entry'!AP$8),ISNUMBER('Council Entry'!AP$9)),MAX(MIN('Council Entry'!AP172,'Council Entry'!AP$9),'Council Entry'!AP$8),'Council Entry'!AP172)),IF(AND(ISNUMBER('Council Entry'!AP$8),ISNUMBER('Council Entry'!AP$9)),MAX(MIN('Council Entry'!AP172,'Council Entry'!AP$9),'Council Entry'!AP$8),'Council Entry'!AP172))))-'Council Entry'!AP$5)/('Council Entry'!AP$6-'Council Entry'!AP$5),10*((IF('Council Entry'!AP$4="Logarithm",LN(0.001+IF(AND(ISNUMBER('Council Entry'!AP$8),ISNUMBER('Council Entry'!AP$9)),MAX(MIN('Council Entry'!AP172,'Council Entry'!AP$9),'Council Entry'!AP$8),'Council Entry'!AP172)),IF('Council Entry'!AP$4="Exponential",EXP(IF(AND(ISNUMBER('Council Entry'!AP$8),ISNUMBER('Council Entry'!AP$9)),MAX(MIN('Council Entry'!AP172,'Council Entry'!AP$9),'Council Entry'!AP$8),'Council Entry'!AP172)),IF(AND(ISNUMBER('Council Entry'!AP$8),ISNUMBER('Council Entry'!AP$9)),MAX(MIN('Council Entry'!AP172,'Council Entry'!AP$9),'Council Entry'!AP$8),'Council Entry'!AP172))))-'Council Entry'!AP$5)/('Council Entry'!AP$6-'Council Entry'!AP$5)),1))),"No data"))</f>
        <v/>
      </c>
      <c r="AQ172" s="13">
        <f>IF('Council Entry'!AQ172="","",IFERROR(MAX(0,MIN(10,ROUND(IF('Council Entry'!AQ$7="Decrease Risk",10-10*((IF('Council Entry'!AQ$4="Logarithm",LN(0.001+IF(AND(ISNUMBER('Council Entry'!AQ$8),ISNUMBER('Council Entry'!AQ$9)),MAX(MIN('Council Entry'!AQ172,'Council Entry'!AQ$9),'Council Entry'!AQ$8),'Council Entry'!AQ172)),IF('Council Entry'!AQ$4="Exponential",EXP(IF(AND(ISNUMBER('Council Entry'!AQ$8),ISNUMBER('Council Entry'!AQ$9)),MAX(MIN('Council Entry'!AQ172,'Council Entry'!AQ$9),'Council Entry'!AQ$8),'Council Entry'!AQ172)),IF(AND(ISNUMBER('Council Entry'!AQ$8),ISNUMBER('Council Entry'!AQ$9)),MAX(MIN('Council Entry'!AQ172,'Council Entry'!AQ$9),'Council Entry'!AQ$8),'Council Entry'!AQ172))))-'Council Entry'!AQ$5)/('Council Entry'!AQ$6-'Council Entry'!AQ$5),10*((IF('Council Entry'!AQ$4="Logarithm",LN(0.001+IF(AND(ISNUMBER('Council Entry'!AQ$8),ISNUMBER('Council Entry'!AQ$9)),MAX(MIN('Council Entry'!AQ172,'Council Entry'!AQ$9),'Council Entry'!AQ$8),'Council Entry'!AQ172)),IF('Council Entry'!AQ$4="Exponential",EXP(IF(AND(ISNUMBER('Council Entry'!AQ$8),ISNUMBER('Council Entry'!AQ$9)),MAX(MIN('Council Entry'!AQ172,'Council Entry'!AQ$9),'Council Entry'!AQ$8),'Council Entry'!AQ172)),IF(AND(ISNUMBER('Council Entry'!AQ$8),ISNUMBER('Council Entry'!AQ$9)),MAX(MIN('Council Entry'!AQ172,'Council Entry'!AQ$9),'Council Entry'!AQ$8),'Council Entry'!AQ172))))-'Council Entry'!AQ$5)/('Council Entry'!AQ$6-'Council Entry'!AQ$5)),1))),"No data"))</f>
        <v/>
      </c>
      <c r="AR172" s="13">
        <f>IF('Council Entry'!AR172="","",IFERROR(MAX(0,MIN(10,ROUND(IF('Council Entry'!AR$7="Decrease Risk",10-10*((IF('Council Entry'!AR$4="Logarithm",LN(0.001+IF(AND(ISNUMBER('Council Entry'!AR$8),ISNUMBER('Council Entry'!AR$9)),MAX(MIN('Council Entry'!AR172,'Council Entry'!AR$9),'Council Entry'!AR$8),'Council Entry'!AR172)),IF('Council Entry'!AR$4="Exponential",EXP(IF(AND(ISNUMBER('Council Entry'!AR$8),ISNUMBER('Council Entry'!AR$9)),MAX(MIN('Council Entry'!AR172,'Council Entry'!AR$9),'Council Entry'!AR$8),'Council Entry'!AR172)),IF(AND(ISNUMBER('Council Entry'!AR$8),ISNUMBER('Council Entry'!AR$9)),MAX(MIN('Council Entry'!AR172,'Council Entry'!AR$9),'Council Entry'!AR$8),'Council Entry'!AR172))))-'Council Entry'!AR$5)/('Council Entry'!AR$6-'Council Entry'!AR$5),10*((IF('Council Entry'!AR$4="Logarithm",LN(0.001+IF(AND(ISNUMBER('Council Entry'!AR$8),ISNUMBER('Council Entry'!AR$9)),MAX(MIN('Council Entry'!AR172,'Council Entry'!AR$9),'Council Entry'!AR$8),'Council Entry'!AR172)),IF('Council Entry'!AR$4="Exponential",EXP(IF(AND(ISNUMBER('Council Entry'!AR$8),ISNUMBER('Council Entry'!AR$9)),MAX(MIN('Council Entry'!AR172,'Council Entry'!AR$9),'Council Entry'!AR$8),'Council Entry'!AR172)),IF(AND(ISNUMBER('Council Entry'!AR$8),ISNUMBER('Council Entry'!AR$9)),MAX(MIN('Council Entry'!AR172,'Council Entry'!AR$9),'Council Entry'!AR$8),'Council Entry'!AR172))))-'Council Entry'!AR$5)/('Council Entry'!AR$6-'Council Entry'!AR$5)),1))),"No data"))</f>
        <v/>
      </c>
      <c r="AS172" s="13">
        <f>IF('Council Entry'!AS172="","",IFERROR(MAX(0,MIN(10,ROUND(IF('Council Entry'!AS$7="Decrease Risk",10-10*((IF('Council Entry'!AS$4="Logarithm",LN(0.001+IF(AND(ISNUMBER('Council Entry'!AS$8),ISNUMBER('Council Entry'!AS$9)),MAX(MIN('Council Entry'!AS172,'Council Entry'!AS$9),'Council Entry'!AS$8),'Council Entry'!AS172)),IF('Council Entry'!AS$4="Exponential",EXP(IF(AND(ISNUMBER('Council Entry'!AS$8),ISNUMBER('Council Entry'!AS$9)),MAX(MIN('Council Entry'!AS172,'Council Entry'!AS$9),'Council Entry'!AS$8),'Council Entry'!AS172)),IF(AND(ISNUMBER('Council Entry'!AS$8),ISNUMBER('Council Entry'!AS$9)),MAX(MIN('Council Entry'!AS172,'Council Entry'!AS$9),'Council Entry'!AS$8),'Council Entry'!AS172))))-'Council Entry'!AS$5)/('Council Entry'!AS$6-'Council Entry'!AS$5),10*((IF('Council Entry'!AS$4="Logarithm",LN(0.001+IF(AND(ISNUMBER('Council Entry'!AS$8),ISNUMBER('Council Entry'!AS$9)),MAX(MIN('Council Entry'!AS172,'Council Entry'!AS$9),'Council Entry'!AS$8),'Council Entry'!AS172)),IF('Council Entry'!AS$4="Exponential",EXP(IF(AND(ISNUMBER('Council Entry'!AS$8),ISNUMBER('Council Entry'!AS$9)),MAX(MIN('Council Entry'!AS172,'Council Entry'!AS$9),'Council Entry'!AS$8),'Council Entry'!AS172)),IF(AND(ISNUMBER('Council Entry'!AS$8),ISNUMBER('Council Entry'!AS$9)),MAX(MIN('Council Entry'!AS172,'Council Entry'!AS$9),'Council Entry'!AS$8),'Council Entry'!AS172))))-'Council Entry'!AS$5)/('Council Entry'!AS$6-'Council Entry'!AS$5)),1))),"No data"))</f>
        <v/>
      </c>
      <c r="AT172" s="13">
        <f>IF('Council Entry'!AT172="","",IFERROR(MAX(0,MIN(10,ROUND(IF('Council Entry'!AT$7="Decrease Risk",10-10*((IF('Council Entry'!AT$4="Logarithm",LN(0.001+IF(AND(ISNUMBER('Council Entry'!AT$8),ISNUMBER('Council Entry'!AT$9)),MAX(MIN('Council Entry'!AT172,'Council Entry'!AT$9),'Council Entry'!AT$8),'Council Entry'!AT172)),IF('Council Entry'!AT$4="Exponential",EXP(IF(AND(ISNUMBER('Council Entry'!AT$8),ISNUMBER('Council Entry'!AT$9)),MAX(MIN('Council Entry'!AT172,'Council Entry'!AT$9),'Council Entry'!AT$8),'Council Entry'!AT172)),IF(AND(ISNUMBER('Council Entry'!AT$8),ISNUMBER('Council Entry'!AT$9)),MAX(MIN('Council Entry'!AT172,'Council Entry'!AT$9),'Council Entry'!AT$8),'Council Entry'!AT172))))-'Council Entry'!AT$5)/('Council Entry'!AT$6-'Council Entry'!AT$5),10*((IF('Council Entry'!AT$4="Logarithm",LN(0.001+IF(AND(ISNUMBER('Council Entry'!AT$8),ISNUMBER('Council Entry'!AT$9)),MAX(MIN('Council Entry'!AT172,'Council Entry'!AT$9),'Council Entry'!AT$8),'Council Entry'!AT172)),IF('Council Entry'!AT$4="Exponential",EXP(IF(AND(ISNUMBER('Council Entry'!AT$8),ISNUMBER('Council Entry'!AT$9)),MAX(MIN('Council Entry'!AT172,'Council Entry'!AT$9),'Council Entry'!AT$8),'Council Entry'!AT172)),IF(AND(ISNUMBER('Council Entry'!AT$8),ISNUMBER('Council Entry'!AT$9)),MAX(MIN('Council Entry'!AT172,'Council Entry'!AT$9),'Council Entry'!AT$8),'Council Entry'!AT172))))-'Council Entry'!AT$5)/('Council Entry'!AT$6-'Council Entry'!AT$5)),1))),"No data"))</f>
        <v/>
      </c>
      <c r="AU172" s="13">
        <f>IF('Council Entry'!AU172="","",IFERROR(MAX(0,MIN(10,ROUND(IF('Council Entry'!AU$7="Decrease Risk",10-10*((IF('Council Entry'!AU$4="Logarithm",LN(0.001+IF(AND(ISNUMBER('Council Entry'!AU$8),ISNUMBER('Council Entry'!AU$9)),MAX(MIN('Council Entry'!AU172,'Council Entry'!AU$9),'Council Entry'!AU$8),'Council Entry'!AU172)),IF('Council Entry'!AU$4="Exponential",EXP(IF(AND(ISNUMBER('Council Entry'!AU$8),ISNUMBER('Council Entry'!AU$9)),MAX(MIN('Council Entry'!AU172,'Council Entry'!AU$9),'Council Entry'!AU$8),'Council Entry'!AU172)),IF(AND(ISNUMBER('Council Entry'!AU$8),ISNUMBER('Council Entry'!AU$9)),MAX(MIN('Council Entry'!AU172,'Council Entry'!AU$9),'Council Entry'!AU$8),'Council Entry'!AU172))))-'Council Entry'!AU$5)/('Council Entry'!AU$6-'Council Entry'!AU$5),10*((IF('Council Entry'!AU$4="Logarithm",LN(0.001+IF(AND(ISNUMBER('Council Entry'!AU$8),ISNUMBER('Council Entry'!AU$9)),MAX(MIN('Council Entry'!AU172,'Council Entry'!AU$9),'Council Entry'!AU$8),'Council Entry'!AU172)),IF('Council Entry'!AU$4="Exponential",EXP(IF(AND(ISNUMBER('Council Entry'!AU$8),ISNUMBER('Council Entry'!AU$9)),MAX(MIN('Council Entry'!AU172,'Council Entry'!AU$9),'Council Entry'!AU$8),'Council Entry'!AU172)),IF(AND(ISNUMBER('Council Entry'!AU$8),ISNUMBER('Council Entry'!AU$9)),MAX(MIN('Council Entry'!AU172,'Council Entry'!AU$9),'Council Entry'!AU$8),'Council Entry'!AU172))))-'Council Entry'!AU$5)/('Council Entry'!AU$6-'Council Entry'!AU$5)),1))),"No data"))</f>
        <v/>
      </c>
      <c r="AV172" s="13">
        <f>IF('Council Entry'!AV172="","",IFERROR(MAX(0,MIN(10,ROUND(IF('Council Entry'!AV$7="Decrease Risk",10-10*((IF('Council Entry'!AV$4="Logarithm",LN(0.001+IF(AND(ISNUMBER('Council Entry'!AV$8),ISNUMBER('Council Entry'!AV$9)),MAX(MIN('Council Entry'!AV172,'Council Entry'!AV$9),'Council Entry'!AV$8),'Council Entry'!AV172)),IF('Council Entry'!AV$4="Exponential",EXP(IF(AND(ISNUMBER('Council Entry'!AV$8),ISNUMBER('Council Entry'!AV$9)),MAX(MIN('Council Entry'!AV172,'Council Entry'!AV$9),'Council Entry'!AV$8),'Council Entry'!AV172)),IF(AND(ISNUMBER('Council Entry'!AV$8),ISNUMBER('Council Entry'!AV$9)),MAX(MIN('Council Entry'!AV172,'Council Entry'!AV$9),'Council Entry'!AV$8),'Council Entry'!AV172))))-'Council Entry'!AV$5)/('Council Entry'!AV$6-'Council Entry'!AV$5),10*((IF('Council Entry'!AV$4="Logarithm",LN(0.001+IF(AND(ISNUMBER('Council Entry'!AV$8),ISNUMBER('Council Entry'!AV$9)),MAX(MIN('Council Entry'!AV172,'Council Entry'!AV$9),'Council Entry'!AV$8),'Council Entry'!AV172)),IF('Council Entry'!AV$4="Exponential",EXP(IF(AND(ISNUMBER('Council Entry'!AV$8),ISNUMBER('Council Entry'!AV$9)),MAX(MIN('Council Entry'!AV172,'Council Entry'!AV$9),'Council Entry'!AV$8),'Council Entry'!AV172)),IF(AND(ISNUMBER('Council Entry'!AV$8),ISNUMBER('Council Entry'!AV$9)),MAX(MIN('Council Entry'!AV172,'Council Entry'!AV$9),'Council Entry'!AV$8),'Council Entry'!AV172))))-'Council Entry'!AV$5)/('Council Entry'!AV$6-'Council Entry'!AV$5)),1))),"No data"))</f>
        <v/>
      </c>
      <c r="AW172" s="13">
        <f>IF('Council Entry'!AW172="","",IFERROR(MAX(0,MIN(10,ROUND(IF('Council Entry'!AW$7="Decrease Risk",10-10*((IF('Council Entry'!AW$4="Logarithm",LN(0.001+IF(AND(ISNUMBER('Council Entry'!AW$8),ISNUMBER('Council Entry'!AW$9)),MAX(MIN('Council Entry'!AW172,'Council Entry'!AW$9),'Council Entry'!AW$8),'Council Entry'!AW172)),IF('Council Entry'!AW$4="Exponential",EXP(IF(AND(ISNUMBER('Council Entry'!AW$8),ISNUMBER('Council Entry'!AW$9)),MAX(MIN('Council Entry'!AW172,'Council Entry'!AW$9),'Council Entry'!AW$8),'Council Entry'!AW172)),IF(AND(ISNUMBER('Council Entry'!AW$8),ISNUMBER('Council Entry'!AW$9)),MAX(MIN('Council Entry'!AW172,'Council Entry'!AW$9),'Council Entry'!AW$8),'Council Entry'!AW172))))-'Council Entry'!AW$5)/('Council Entry'!AW$6-'Council Entry'!AW$5),10*((IF('Council Entry'!AW$4="Logarithm",LN(0.001+IF(AND(ISNUMBER('Council Entry'!AW$8),ISNUMBER('Council Entry'!AW$9)),MAX(MIN('Council Entry'!AW172,'Council Entry'!AW$9),'Council Entry'!AW$8),'Council Entry'!AW172)),IF('Council Entry'!AW$4="Exponential",EXP(IF(AND(ISNUMBER('Council Entry'!AW$8),ISNUMBER('Council Entry'!AW$9)),MAX(MIN('Council Entry'!AW172,'Council Entry'!AW$9),'Council Entry'!AW$8),'Council Entry'!AW172)),IF(AND(ISNUMBER('Council Entry'!AW$8),ISNUMBER('Council Entry'!AW$9)),MAX(MIN('Council Entry'!AW172,'Council Entry'!AW$9),'Council Entry'!AW$8),'Council Entry'!AW172))))-'Council Entry'!AW$5)/('Council Entry'!AW$6-'Council Entry'!AW$5)),1))),"No data"))</f>
        <v/>
      </c>
      <c r="AX172" s="13">
        <f>IF('Council Entry'!AX172="","",IFERROR(MAX(0,MIN(10,ROUND(IF('Council Entry'!AX$7="Decrease Risk",10-10*((IF('Council Entry'!AX$4="Logarithm",LN(0.001+IF(AND(ISNUMBER('Council Entry'!AX$8),ISNUMBER('Council Entry'!AX$9)),MAX(MIN('Council Entry'!AX172,'Council Entry'!AX$9),'Council Entry'!AX$8),'Council Entry'!AX172)),IF('Council Entry'!AX$4="Exponential",EXP(IF(AND(ISNUMBER('Council Entry'!AX$8),ISNUMBER('Council Entry'!AX$9)),MAX(MIN('Council Entry'!AX172,'Council Entry'!AX$9),'Council Entry'!AX$8),'Council Entry'!AX172)),IF(AND(ISNUMBER('Council Entry'!AX$8),ISNUMBER('Council Entry'!AX$9)),MAX(MIN('Council Entry'!AX172,'Council Entry'!AX$9),'Council Entry'!AX$8),'Council Entry'!AX172))))-'Council Entry'!AX$5)/('Council Entry'!AX$6-'Council Entry'!AX$5),10*((IF('Council Entry'!AX$4="Logarithm",LN(0.001+IF(AND(ISNUMBER('Council Entry'!AX$8),ISNUMBER('Council Entry'!AX$9)),MAX(MIN('Council Entry'!AX172,'Council Entry'!AX$9),'Council Entry'!AX$8),'Council Entry'!AX172)),IF('Council Entry'!AX$4="Exponential",EXP(IF(AND(ISNUMBER('Council Entry'!AX$8),ISNUMBER('Council Entry'!AX$9)),MAX(MIN('Council Entry'!AX172,'Council Entry'!AX$9),'Council Entry'!AX$8),'Council Entry'!AX172)),IF(AND(ISNUMBER('Council Entry'!AX$8),ISNUMBER('Council Entry'!AX$9)),MAX(MIN('Council Entry'!AX172,'Council Entry'!AX$9),'Council Entry'!AX$8),'Council Entry'!AX172))))-'Council Entry'!AX$5)/('Council Entry'!AX$6-'Council Entry'!AX$5)),1))),"No data"))</f>
        <v/>
      </c>
      <c r="AY172" s="13">
        <f>IF('Council Entry'!AY172="","",IFERROR(MAX(0,MIN(10,ROUND(IF('Council Entry'!AY$7="Decrease Risk",10-10*((IF('Council Entry'!AY$4="Logarithm",LN(0.001+IF(AND(ISNUMBER('Council Entry'!AY$8),ISNUMBER('Council Entry'!AY$9)),MAX(MIN('Council Entry'!AY172,'Council Entry'!AY$9),'Council Entry'!AY$8),'Council Entry'!AY172)),IF('Council Entry'!AY$4="Exponential",EXP(IF(AND(ISNUMBER('Council Entry'!AY$8),ISNUMBER('Council Entry'!AY$9)),MAX(MIN('Council Entry'!AY172,'Council Entry'!AY$9),'Council Entry'!AY$8),'Council Entry'!AY172)),IF(AND(ISNUMBER('Council Entry'!AY$8),ISNUMBER('Council Entry'!AY$9)),MAX(MIN('Council Entry'!AY172,'Council Entry'!AY$9),'Council Entry'!AY$8),'Council Entry'!AY172))))-'Council Entry'!AY$5)/('Council Entry'!AY$6-'Council Entry'!AY$5),10*((IF('Council Entry'!AY$4="Logarithm",LN(0.001+IF(AND(ISNUMBER('Council Entry'!AY$8),ISNUMBER('Council Entry'!AY$9)),MAX(MIN('Council Entry'!AY172,'Council Entry'!AY$9),'Council Entry'!AY$8),'Council Entry'!AY172)),IF('Council Entry'!AY$4="Exponential",EXP(IF(AND(ISNUMBER('Council Entry'!AY$8),ISNUMBER('Council Entry'!AY$9)),MAX(MIN('Council Entry'!AY172,'Council Entry'!AY$9),'Council Entry'!AY$8),'Council Entry'!AY172)),IF(AND(ISNUMBER('Council Entry'!AY$8),ISNUMBER('Council Entry'!AY$9)),MAX(MIN('Council Entry'!AY172,'Council Entry'!AY$9),'Council Entry'!AY$8),'Council Entry'!AY172))))-'Council Entry'!AY$5)/('Council Entry'!AY$6-'Council Entry'!AY$5)),1))),"No data"))</f>
        <v/>
      </c>
      <c r="AZ172" s="13">
        <f>IF('Council Entry'!AZ172="","",IFERROR(MAX(0,MIN(10,ROUND(IF('Council Entry'!AZ$7="Decrease Risk",10-10*((IF('Council Entry'!AZ$4="Logarithm",LN(0.001+IF(AND(ISNUMBER('Council Entry'!AZ$8),ISNUMBER('Council Entry'!AZ$9)),MAX(MIN('Council Entry'!AZ172,'Council Entry'!AZ$9),'Council Entry'!AZ$8),'Council Entry'!AZ172)),IF('Council Entry'!AZ$4="Exponential",EXP(IF(AND(ISNUMBER('Council Entry'!AZ$8),ISNUMBER('Council Entry'!AZ$9)),MAX(MIN('Council Entry'!AZ172,'Council Entry'!AZ$9),'Council Entry'!AZ$8),'Council Entry'!AZ172)),IF(AND(ISNUMBER('Council Entry'!AZ$8),ISNUMBER('Council Entry'!AZ$9)),MAX(MIN('Council Entry'!AZ172,'Council Entry'!AZ$9),'Council Entry'!AZ$8),'Council Entry'!AZ172))))-'Council Entry'!AZ$5)/('Council Entry'!AZ$6-'Council Entry'!AZ$5),10*((IF('Council Entry'!AZ$4="Logarithm",LN(0.001+IF(AND(ISNUMBER('Council Entry'!AZ$8),ISNUMBER('Council Entry'!AZ$9)),MAX(MIN('Council Entry'!AZ172,'Council Entry'!AZ$9),'Council Entry'!AZ$8),'Council Entry'!AZ172)),IF('Council Entry'!AZ$4="Exponential",EXP(IF(AND(ISNUMBER('Council Entry'!AZ$8),ISNUMBER('Council Entry'!AZ$9)),MAX(MIN('Council Entry'!AZ172,'Council Entry'!AZ$9),'Council Entry'!AZ$8),'Council Entry'!AZ172)),IF(AND(ISNUMBER('Council Entry'!AZ$8),ISNUMBER('Council Entry'!AZ$9)),MAX(MIN('Council Entry'!AZ172,'Council Entry'!AZ$9),'Council Entry'!AZ$8),'Council Entry'!AZ172))))-'Council Entry'!AZ$5)/('Council Entry'!AZ$6-'Council Entry'!AZ$5)),1))),"No data"))</f>
        <v/>
      </c>
      <c r="BA172" s="13">
        <f>IF('Council Entry'!BA172="","",IFERROR(MAX(0,MIN(10,ROUND(IF('Council Entry'!BA$7="Decrease Risk",10-10*((IF('Council Entry'!BA$4="Logarithm",LN(0.001+IF(AND(ISNUMBER('Council Entry'!BA$8),ISNUMBER('Council Entry'!BA$9)),MAX(MIN('Council Entry'!BA172,'Council Entry'!BA$9),'Council Entry'!BA$8),'Council Entry'!BA172)),IF('Council Entry'!BA$4="Exponential",EXP(IF(AND(ISNUMBER('Council Entry'!BA$8),ISNUMBER('Council Entry'!BA$9)),MAX(MIN('Council Entry'!BA172,'Council Entry'!BA$9),'Council Entry'!BA$8),'Council Entry'!BA172)),IF(AND(ISNUMBER('Council Entry'!BA$8),ISNUMBER('Council Entry'!BA$9)),MAX(MIN('Council Entry'!BA172,'Council Entry'!BA$9),'Council Entry'!BA$8),'Council Entry'!BA172))))-'Council Entry'!BA$5)/('Council Entry'!BA$6-'Council Entry'!BA$5),10*((IF('Council Entry'!BA$4="Logarithm",LN(0.001+IF(AND(ISNUMBER('Council Entry'!BA$8),ISNUMBER('Council Entry'!BA$9)),MAX(MIN('Council Entry'!BA172,'Council Entry'!BA$9),'Council Entry'!BA$8),'Council Entry'!BA172)),IF('Council Entry'!BA$4="Exponential",EXP(IF(AND(ISNUMBER('Council Entry'!BA$8),ISNUMBER('Council Entry'!BA$9)),MAX(MIN('Council Entry'!BA172,'Council Entry'!BA$9),'Council Entry'!BA$8),'Council Entry'!BA172)),IF(AND(ISNUMBER('Council Entry'!BA$8),ISNUMBER('Council Entry'!BA$9)),MAX(MIN('Council Entry'!BA172,'Council Entry'!BA$9),'Council Entry'!BA$8),'Council Entry'!BA172))))-'Council Entry'!BA$5)/('Council Entry'!BA$6-'Council Entry'!BA$5)),1))),"No data"))</f>
        <v/>
      </c>
      <c r="BB172" s="13">
        <f>IF('Council Entry'!BB172="","",IFERROR(MAX(0,MIN(10,ROUND(IF('Council Entry'!BB$7="Decrease Risk",10-10*((IF('Council Entry'!BB$4="Logarithm",LN(0.001+IF(AND(ISNUMBER('Council Entry'!BB$8),ISNUMBER('Council Entry'!BB$9)),MAX(MIN('Council Entry'!BB172,'Council Entry'!BB$9),'Council Entry'!BB$8),'Council Entry'!BB172)),IF('Council Entry'!BB$4="Exponential",EXP(IF(AND(ISNUMBER('Council Entry'!BB$8),ISNUMBER('Council Entry'!BB$9)),MAX(MIN('Council Entry'!BB172,'Council Entry'!BB$9),'Council Entry'!BB$8),'Council Entry'!BB172)),IF(AND(ISNUMBER('Council Entry'!BB$8),ISNUMBER('Council Entry'!BB$9)),MAX(MIN('Council Entry'!BB172,'Council Entry'!BB$9),'Council Entry'!BB$8),'Council Entry'!BB172))))-'Council Entry'!BB$5)/('Council Entry'!BB$6-'Council Entry'!BB$5),10*((IF('Council Entry'!BB$4="Logarithm",LN(0.001+IF(AND(ISNUMBER('Council Entry'!BB$8),ISNUMBER('Council Entry'!BB$9)),MAX(MIN('Council Entry'!BB172,'Council Entry'!BB$9),'Council Entry'!BB$8),'Council Entry'!BB172)),IF('Council Entry'!BB$4="Exponential",EXP(IF(AND(ISNUMBER('Council Entry'!BB$8),ISNUMBER('Council Entry'!BB$9)),MAX(MIN('Council Entry'!BB172,'Council Entry'!BB$9),'Council Entry'!BB$8),'Council Entry'!BB172)),IF(AND(ISNUMBER('Council Entry'!BB$8),ISNUMBER('Council Entry'!BB$9)),MAX(MIN('Council Entry'!BB172,'Council Entry'!BB$9),'Council Entry'!BB$8),'Council Entry'!BB172))))-'Council Entry'!BB$5)/('Council Entry'!BB$6-'Council Entry'!BB$5)),1))),"No data"))</f>
        <v/>
      </c>
      <c r="BC172" s="13">
        <f>IF('Council Entry'!BC172="","",IFERROR(MAX(0,MIN(10,ROUND(IF('Council Entry'!BC$7="Decrease Risk",10-10*((IF('Council Entry'!BC$4="Logarithm",LN(0.001+IF(AND(ISNUMBER('Council Entry'!BC$8),ISNUMBER('Council Entry'!BC$9)),MAX(MIN('Council Entry'!BC172,'Council Entry'!BC$9),'Council Entry'!BC$8),'Council Entry'!BC172)),IF('Council Entry'!BC$4="Exponential",EXP(IF(AND(ISNUMBER('Council Entry'!BC$8),ISNUMBER('Council Entry'!BC$9)),MAX(MIN('Council Entry'!BC172,'Council Entry'!BC$9),'Council Entry'!BC$8),'Council Entry'!BC172)),IF(AND(ISNUMBER('Council Entry'!BC$8),ISNUMBER('Council Entry'!BC$9)),MAX(MIN('Council Entry'!BC172,'Council Entry'!BC$9),'Council Entry'!BC$8),'Council Entry'!BC172))))-'Council Entry'!BC$5)/('Council Entry'!BC$6-'Council Entry'!BC$5),10*((IF('Council Entry'!BC$4="Logarithm",LN(0.001+IF(AND(ISNUMBER('Council Entry'!BC$8),ISNUMBER('Council Entry'!BC$9)),MAX(MIN('Council Entry'!BC172,'Council Entry'!BC$9),'Council Entry'!BC$8),'Council Entry'!BC172)),IF('Council Entry'!BC$4="Exponential",EXP(IF(AND(ISNUMBER('Council Entry'!BC$8),ISNUMBER('Council Entry'!BC$9)),MAX(MIN('Council Entry'!BC172,'Council Entry'!BC$9),'Council Entry'!BC$8),'Council Entry'!BC172)),IF(AND(ISNUMBER('Council Entry'!BC$8),ISNUMBER('Council Entry'!BC$9)),MAX(MIN('Council Entry'!BC172,'Council Entry'!BC$9),'Council Entry'!BC$8),'Council Entry'!BC172))))-'Council Entry'!BC$5)/('Council Entry'!BC$6-'Council Entry'!BC$5)),1))),"No data"))</f>
        <v/>
      </c>
      <c r="BD172" s="13">
        <f>IF('Council Entry'!BD172="","",IFERROR(MAX(0,MIN(10,ROUND(IF('Council Entry'!BD$7="Decrease Risk",10-10*((IF('Council Entry'!BD$4="Logarithm",LN(0.001+IF(AND(ISNUMBER('Council Entry'!BD$8),ISNUMBER('Council Entry'!BD$9)),MAX(MIN('Council Entry'!BD172,'Council Entry'!BD$9),'Council Entry'!BD$8),'Council Entry'!BD172)),IF('Council Entry'!BD$4="Exponential",EXP(IF(AND(ISNUMBER('Council Entry'!BD$8),ISNUMBER('Council Entry'!BD$9)),MAX(MIN('Council Entry'!BD172,'Council Entry'!BD$9),'Council Entry'!BD$8),'Council Entry'!BD172)),IF(AND(ISNUMBER('Council Entry'!BD$8),ISNUMBER('Council Entry'!BD$9)),MAX(MIN('Council Entry'!BD172,'Council Entry'!BD$9),'Council Entry'!BD$8),'Council Entry'!BD172))))-'Council Entry'!BD$5)/('Council Entry'!BD$6-'Council Entry'!BD$5),10*((IF('Council Entry'!BD$4="Logarithm",LN(0.001+IF(AND(ISNUMBER('Council Entry'!BD$8),ISNUMBER('Council Entry'!BD$9)),MAX(MIN('Council Entry'!BD172,'Council Entry'!BD$9),'Council Entry'!BD$8),'Council Entry'!BD172)),IF('Council Entry'!BD$4="Exponential",EXP(IF(AND(ISNUMBER('Council Entry'!BD$8),ISNUMBER('Council Entry'!BD$9)),MAX(MIN('Council Entry'!BD172,'Council Entry'!BD$9),'Council Entry'!BD$8),'Council Entry'!BD172)),IF(AND(ISNUMBER('Council Entry'!BD$8),ISNUMBER('Council Entry'!BD$9)),MAX(MIN('Council Entry'!BD172,'Council Entry'!BD$9),'Council Entry'!BD$8),'Council Entry'!BD172))))-'Council Entry'!BD$5)/('Council Entry'!BD$6-'Council Entry'!BD$5)),1))),"No data"))</f>
        <v/>
      </c>
    </row>
    <row r="173">
      <c r="A173" t="inlineStr">
        <is>
          <t>Simiyu</t>
        </is>
      </c>
      <c r="B173" t="inlineStr">
        <is>
          <t>Maswa District</t>
        </is>
      </c>
      <c r="C173" t="inlineStr">
        <is>
          <t>C172</t>
        </is>
      </c>
      <c r="D173" s="13">
        <f>IF('Council Entry'!D173="","",IFERROR(MAX(0,MIN(10,ROUND(IF('Council Entry'!D$7="Decrease Risk",10-10*((IF('Council Entry'!D$4="Logarithm",LN(0.001+IF(AND(ISNUMBER('Council Entry'!D$8),ISNUMBER('Council Entry'!D$9)),MAX(MIN('Council Entry'!D173,'Council Entry'!D$9),'Council Entry'!D$8),'Council Entry'!D173)),IF('Council Entry'!D$4="Exponential",EXP(IF(AND(ISNUMBER('Council Entry'!D$8),ISNUMBER('Council Entry'!D$9)),MAX(MIN('Council Entry'!D173,'Council Entry'!D$9),'Council Entry'!D$8),'Council Entry'!D173)),IF(AND(ISNUMBER('Council Entry'!D$8),ISNUMBER('Council Entry'!D$9)),MAX(MIN('Council Entry'!D173,'Council Entry'!D$9),'Council Entry'!D$8),'Council Entry'!D173))))-'Council Entry'!D$5)/('Council Entry'!D$6-'Council Entry'!D$5),10*((IF('Council Entry'!D$4="Logarithm",LN(0.001+IF(AND(ISNUMBER('Council Entry'!D$8),ISNUMBER('Council Entry'!D$9)),MAX(MIN('Council Entry'!D173,'Council Entry'!D$9),'Council Entry'!D$8),'Council Entry'!D173)),IF('Council Entry'!D$4="Exponential",EXP(IF(AND(ISNUMBER('Council Entry'!D$8),ISNUMBER('Council Entry'!D$9)),MAX(MIN('Council Entry'!D173,'Council Entry'!D$9),'Council Entry'!D$8),'Council Entry'!D173)),IF(AND(ISNUMBER('Council Entry'!D$8),ISNUMBER('Council Entry'!D$9)),MAX(MIN('Council Entry'!D173,'Council Entry'!D$9),'Council Entry'!D$8),'Council Entry'!D173))))-'Council Entry'!D$5)/('Council Entry'!D$6-'Council Entry'!D$5)),1))),"No data"))</f>
        <v/>
      </c>
      <c r="E173" s="13">
        <f>IF('Council Entry'!E173="","",IFERROR(MAX(0,MIN(10,ROUND(IF('Council Entry'!E$7="Decrease Risk",10-10*((IF('Council Entry'!E$4="Logarithm",LN(0.001+IF(AND(ISNUMBER('Council Entry'!E$8),ISNUMBER('Council Entry'!E$9)),MAX(MIN('Council Entry'!E173,'Council Entry'!E$9),'Council Entry'!E$8),'Council Entry'!E173)),IF('Council Entry'!E$4="Exponential",EXP(IF(AND(ISNUMBER('Council Entry'!E$8),ISNUMBER('Council Entry'!E$9)),MAX(MIN('Council Entry'!E173,'Council Entry'!E$9),'Council Entry'!E$8),'Council Entry'!E173)),IF(AND(ISNUMBER('Council Entry'!E$8),ISNUMBER('Council Entry'!E$9)),MAX(MIN('Council Entry'!E173,'Council Entry'!E$9),'Council Entry'!E$8),'Council Entry'!E173))))-'Council Entry'!E$5)/('Council Entry'!E$6-'Council Entry'!E$5),10*((IF('Council Entry'!E$4="Logarithm",LN(0.001+IF(AND(ISNUMBER('Council Entry'!E$8),ISNUMBER('Council Entry'!E$9)),MAX(MIN('Council Entry'!E173,'Council Entry'!E$9),'Council Entry'!E$8),'Council Entry'!E173)),IF('Council Entry'!E$4="Exponential",EXP(IF(AND(ISNUMBER('Council Entry'!E$8),ISNUMBER('Council Entry'!E$9)),MAX(MIN('Council Entry'!E173,'Council Entry'!E$9),'Council Entry'!E$8),'Council Entry'!E173)),IF(AND(ISNUMBER('Council Entry'!E$8),ISNUMBER('Council Entry'!E$9)),MAX(MIN('Council Entry'!E173,'Council Entry'!E$9),'Council Entry'!E$8),'Council Entry'!E173))))-'Council Entry'!E$5)/('Council Entry'!E$6-'Council Entry'!E$5)),1))),"No data"))</f>
        <v/>
      </c>
      <c r="F173" s="13">
        <f>IF('Council Entry'!F173="","",IFERROR(MAX(0,MIN(10,ROUND(IF('Council Entry'!F$7="Decrease Risk",10-10*((IF('Council Entry'!F$4="Logarithm",LN(0.001+IF(AND(ISNUMBER('Council Entry'!F$8),ISNUMBER('Council Entry'!F$9)),MAX(MIN('Council Entry'!F173,'Council Entry'!F$9),'Council Entry'!F$8),'Council Entry'!F173)),IF('Council Entry'!F$4="Exponential",EXP(IF(AND(ISNUMBER('Council Entry'!F$8),ISNUMBER('Council Entry'!F$9)),MAX(MIN('Council Entry'!F173,'Council Entry'!F$9),'Council Entry'!F$8),'Council Entry'!F173)),IF(AND(ISNUMBER('Council Entry'!F$8),ISNUMBER('Council Entry'!F$9)),MAX(MIN('Council Entry'!F173,'Council Entry'!F$9),'Council Entry'!F$8),'Council Entry'!F173))))-'Council Entry'!F$5)/('Council Entry'!F$6-'Council Entry'!F$5),10*((IF('Council Entry'!F$4="Logarithm",LN(0.001+IF(AND(ISNUMBER('Council Entry'!F$8),ISNUMBER('Council Entry'!F$9)),MAX(MIN('Council Entry'!F173,'Council Entry'!F$9),'Council Entry'!F$8),'Council Entry'!F173)),IF('Council Entry'!F$4="Exponential",EXP(IF(AND(ISNUMBER('Council Entry'!F$8),ISNUMBER('Council Entry'!F$9)),MAX(MIN('Council Entry'!F173,'Council Entry'!F$9),'Council Entry'!F$8),'Council Entry'!F173)),IF(AND(ISNUMBER('Council Entry'!F$8),ISNUMBER('Council Entry'!F$9)),MAX(MIN('Council Entry'!F173,'Council Entry'!F$9),'Council Entry'!F$8),'Council Entry'!F173))))-'Council Entry'!F$5)/('Council Entry'!F$6-'Council Entry'!F$5)),1))),"No data"))</f>
        <v/>
      </c>
      <c r="G173" s="13">
        <f>IF('Council Entry'!G173="","",IFERROR(MAX(0,MIN(10,ROUND(IF('Council Entry'!G$7="Decrease Risk",10-10*((IF('Council Entry'!G$4="Logarithm",LN(0.001+IF(AND(ISNUMBER('Council Entry'!G$8),ISNUMBER('Council Entry'!G$9)),MAX(MIN('Council Entry'!G173,'Council Entry'!G$9),'Council Entry'!G$8),'Council Entry'!G173)),IF('Council Entry'!G$4="Exponential",EXP(IF(AND(ISNUMBER('Council Entry'!G$8),ISNUMBER('Council Entry'!G$9)),MAX(MIN('Council Entry'!G173,'Council Entry'!G$9),'Council Entry'!G$8),'Council Entry'!G173)),IF(AND(ISNUMBER('Council Entry'!G$8),ISNUMBER('Council Entry'!G$9)),MAX(MIN('Council Entry'!G173,'Council Entry'!G$9),'Council Entry'!G$8),'Council Entry'!G173))))-'Council Entry'!G$5)/('Council Entry'!G$6-'Council Entry'!G$5),10*((IF('Council Entry'!G$4="Logarithm",LN(0.001+IF(AND(ISNUMBER('Council Entry'!G$8),ISNUMBER('Council Entry'!G$9)),MAX(MIN('Council Entry'!G173,'Council Entry'!G$9),'Council Entry'!G$8),'Council Entry'!G173)),IF('Council Entry'!G$4="Exponential",EXP(IF(AND(ISNUMBER('Council Entry'!G$8),ISNUMBER('Council Entry'!G$9)),MAX(MIN('Council Entry'!G173,'Council Entry'!G$9),'Council Entry'!G$8),'Council Entry'!G173)),IF(AND(ISNUMBER('Council Entry'!G$8),ISNUMBER('Council Entry'!G$9)),MAX(MIN('Council Entry'!G173,'Council Entry'!G$9),'Council Entry'!G$8),'Council Entry'!G173))))-'Council Entry'!G$5)/('Council Entry'!G$6-'Council Entry'!G$5)),1))),"No data"))</f>
        <v/>
      </c>
      <c r="H173" s="13">
        <f>IF('Council Entry'!H173="","",IFERROR(MAX(0,MIN(10,ROUND(IF('Council Entry'!H$7="Decrease Risk",10-10*((IF('Council Entry'!H$4="Logarithm",LN(0.001+IF(AND(ISNUMBER('Council Entry'!H$8),ISNUMBER('Council Entry'!H$9)),MAX(MIN('Council Entry'!H173,'Council Entry'!H$9),'Council Entry'!H$8),'Council Entry'!H173)),IF('Council Entry'!H$4="Exponential",EXP(IF(AND(ISNUMBER('Council Entry'!H$8),ISNUMBER('Council Entry'!H$9)),MAX(MIN('Council Entry'!H173,'Council Entry'!H$9),'Council Entry'!H$8),'Council Entry'!H173)),IF(AND(ISNUMBER('Council Entry'!H$8),ISNUMBER('Council Entry'!H$9)),MAX(MIN('Council Entry'!H173,'Council Entry'!H$9),'Council Entry'!H$8),'Council Entry'!H173))))-'Council Entry'!H$5)/('Council Entry'!H$6-'Council Entry'!H$5),10*((IF('Council Entry'!H$4="Logarithm",LN(0.001+IF(AND(ISNUMBER('Council Entry'!H$8),ISNUMBER('Council Entry'!H$9)),MAX(MIN('Council Entry'!H173,'Council Entry'!H$9),'Council Entry'!H$8),'Council Entry'!H173)),IF('Council Entry'!H$4="Exponential",EXP(IF(AND(ISNUMBER('Council Entry'!H$8),ISNUMBER('Council Entry'!H$9)),MAX(MIN('Council Entry'!H173,'Council Entry'!H$9),'Council Entry'!H$8),'Council Entry'!H173)),IF(AND(ISNUMBER('Council Entry'!H$8),ISNUMBER('Council Entry'!H$9)),MAX(MIN('Council Entry'!H173,'Council Entry'!H$9),'Council Entry'!H$8),'Council Entry'!H173))))-'Council Entry'!H$5)/('Council Entry'!H$6-'Council Entry'!H$5)),1))),"No data"))</f>
        <v/>
      </c>
      <c r="I173" s="13">
        <f>IF('Council Entry'!I173="","",IFERROR(MAX(0,MIN(10,ROUND(IF('Council Entry'!I$7="Decrease Risk",10-10*((IF('Council Entry'!I$4="Logarithm",LN(0.001+IF(AND(ISNUMBER('Council Entry'!I$8),ISNUMBER('Council Entry'!I$9)),MAX(MIN('Council Entry'!I173,'Council Entry'!I$9),'Council Entry'!I$8),'Council Entry'!I173)),IF('Council Entry'!I$4="Exponential",EXP(IF(AND(ISNUMBER('Council Entry'!I$8),ISNUMBER('Council Entry'!I$9)),MAX(MIN('Council Entry'!I173,'Council Entry'!I$9),'Council Entry'!I$8),'Council Entry'!I173)),IF(AND(ISNUMBER('Council Entry'!I$8),ISNUMBER('Council Entry'!I$9)),MAX(MIN('Council Entry'!I173,'Council Entry'!I$9),'Council Entry'!I$8),'Council Entry'!I173))))-'Council Entry'!I$5)/('Council Entry'!I$6-'Council Entry'!I$5),10*((IF('Council Entry'!I$4="Logarithm",LN(0.001+IF(AND(ISNUMBER('Council Entry'!I$8),ISNUMBER('Council Entry'!I$9)),MAX(MIN('Council Entry'!I173,'Council Entry'!I$9),'Council Entry'!I$8),'Council Entry'!I173)),IF('Council Entry'!I$4="Exponential",EXP(IF(AND(ISNUMBER('Council Entry'!I$8),ISNUMBER('Council Entry'!I$9)),MAX(MIN('Council Entry'!I173,'Council Entry'!I$9),'Council Entry'!I$8),'Council Entry'!I173)),IF(AND(ISNUMBER('Council Entry'!I$8),ISNUMBER('Council Entry'!I$9)),MAX(MIN('Council Entry'!I173,'Council Entry'!I$9),'Council Entry'!I$8),'Council Entry'!I173))))-'Council Entry'!I$5)/('Council Entry'!I$6-'Council Entry'!I$5)),1))),"No data"))</f>
        <v/>
      </c>
      <c r="J173" s="13">
        <f>IF('Council Entry'!J173="","",IFERROR(MAX(0,MIN(10,ROUND(IF('Council Entry'!J$7="Decrease Risk",10-10*((IF('Council Entry'!J$4="Logarithm",LN(0.001+IF(AND(ISNUMBER('Council Entry'!J$8),ISNUMBER('Council Entry'!J$9)),MAX(MIN('Council Entry'!J173,'Council Entry'!J$9),'Council Entry'!J$8),'Council Entry'!J173)),IF('Council Entry'!J$4="Exponential",EXP(IF(AND(ISNUMBER('Council Entry'!J$8),ISNUMBER('Council Entry'!J$9)),MAX(MIN('Council Entry'!J173,'Council Entry'!J$9),'Council Entry'!J$8),'Council Entry'!J173)),IF(AND(ISNUMBER('Council Entry'!J$8),ISNUMBER('Council Entry'!J$9)),MAX(MIN('Council Entry'!J173,'Council Entry'!J$9),'Council Entry'!J$8),'Council Entry'!J173))))-'Council Entry'!J$5)/('Council Entry'!J$6-'Council Entry'!J$5),10*((IF('Council Entry'!J$4="Logarithm",LN(0.001+IF(AND(ISNUMBER('Council Entry'!J$8),ISNUMBER('Council Entry'!J$9)),MAX(MIN('Council Entry'!J173,'Council Entry'!J$9),'Council Entry'!J$8),'Council Entry'!J173)),IF('Council Entry'!J$4="Exponential",EXP(IF(AND(ISNUMBER('Council Entry'!J$8),ISNUMBER('Council Entry'!J$9)),MAX(MIN('Council Entry'!J173,'Council Entry'!J$9),'Council Entry'!J$8),'Council Entry'!J173)),IF(AND(ISNUMBER('Council Entry'!J$8),ISNUMBER('Council Entry'!J$9)),MAX(MIN('Council Entry'!J173,'Council Entry'!J$9),'Council Entry'!J$8),'Council Entry'!J173))))-'Council Entry'!J$5)/('Council Entry'!J$6-'Council Entry'!J$5)),1))),"No data"))</f>
        <v/>
      </c>
      <c r="K173" s="13">
        <f>IF('Council Entry'!K173="","",IFERROR(MAX(0,MIN(10,ROUND(IF('Council Entry'!K$7="Decrease Risk",10-10*((IF('Council Entry'!K$4="Logarithm",LN(0.001+IF(AND(ISNUMBER('Council Entry'!K$8),ISNUMBER('Council Entry'!K$9)),MAX(MIN('Council Entry'!K173,'Council Entry'!K$9),'Council Entry'!K$8),'Council Entry'!K173)),IF('Council Entry'!K$4="Exponential",EXP(IF(AND(ISNUMBER('Council Entry'!K$8),ISNUMBER('Council Entry'!K$9)),MAX(MIN('Council Entry'!K173,'Council Entry'!K$9),'Council Entry'!K$8),'Council Entry'!K173)),IF(AND(ISNUMBER('Council Entry'!K$8),ISNUMBER('Council Entry'!K$9)),MAX(MIN('Council Entry'!K173,'Council Entry'!K$9),'Council Entry'!K$8),'Council Entry'!K173))))-'Council Entry'!K$5)/('Council Entry'!K$6-'Council Entry'!K$5),10*((IF('Council Entry'!K$4="Logarithm",LN(0.001+IF(AND(ISNUMBER('Council Entry'!K$8),ISNUMBER('Council Entry'!K$9)),MAX(MIN('Council Entry'!K173,'Council Entry'!K$9),'Council Entry'!K$8),'Council Entry'!K173)),IF('Council Entry'!K$4="Exponential",EXP(IF(AND(ISNUMBER('Council Entry'!K$8),ISNUMBER('Council Entry'!K$9)),MAX(MIN('Council Entry'!K173,'Council Entry'!K$9),'Council Entry'!K$8),'Council Entry'!K173)),IF(AND(ISNUMBER('Council Entry'!K$8),ISNUMBER('Council Entry'!K$9)),MAX(MIN('Council Entry'!K173,'Council Entry'!K$9),'Council Entry'!K$8),'Council Entry'!K173))))-'Council Entry'!K$5)/('Council Entry'!K$6-'Council Entry'!K$5)),1))),"No data"))</f>
        <v/>
      </c>
      <c r="L173" s="13">
        <f>IF('Council Entry'!L173="","",IFERROR(MAX(0,MIN(10,ROUND(IF('Council Entry'!L$7="Decrease Risk",10-10*((IF('Council Entry'!L$4="Logarithm",LN(0.001+IF(AND(ISNUMBER('Council Entry'!L$8),ISNUMBER('Council Entry'!L$9)),MAX(MIN('Council Entry'!L173,'Council Entry'!L$9),'Council Entry'!L$8),'Council Entry'!L173)),IF('Council Entry'!L$4="Exponential",EXP(IF(AND(ISNUMBER('Council Entry'!L$8),ISNUMBER('Council Entry'!L$9)),MAX(MIN('Council Entry'!L173,'Council Entry'!L$9),'Council Entry'!L$8),'Council Entry'!L173)),IF(AND(ISNUMBER('Council Entry'!L$8),ISNUMBER('Council Entry'!L$9)),MAX(MIN('Council Entry'!L173,'Council Entry'!L$9),'Council Entry'!L$8),'Council Entry'!L173))))-'Council Entry'!L$5)/('Council Entry'!L$6-'Council Entry'!L$5),10*((IF('Council Entry'!L$4="Logarithm",LN(0.001+IF(AND(ISNUMBER('Council Entry'!L$8),ISNUMBER('Council Entry'!L$9)),MAX(MIN('Council Entry'!L173,'Council Entry'!L$9),'Council Entry'!L$8),'Council Entry'!L173)),IF('Council Entry'!L$4="Exponential",EXP(IF(AND(ISNUMBER('Council Entry'!L$8),ISNUMBER('Council Entry'!L$9)),MAX(MIN('Council Entry'!L173,'Council Entry'!L$9),'Council Entry'!L$8),'Council Entry'!L173)),IF(AND(ISNUMBER('Council Entry'!L$8),ISNUMBER('Council Entry'!L$9)),MAX(MIN('Council Entry'!L173,'Council Entry'!L$9),'Council Entry'!L$8),'Council Entry'!L173))))-'Council Entry'!L$5)/('Council Entry'!L$6-'Council Entry'!L$5)),1))),"No data"))</f>
        <v/>
      </c>
      <c r="M173" s="13">
        <f>IF('Council Entry'!M173="","",IFERROR(MAX(0,MIN(10,ROUND(IF('Council Entry'!M$7="Decrease Risk",10-10*((IF('Council Entry'!M$4="Logarithm",LN(0.001+IF(AND(ISNUMBER('Council Entry'!M$8),ISNUMBER('Council Entry'!M$9)),MAX(MIN('Council Entry'!M173,'Council Entry'!M$9),'Council Entry'!M$8),'Council Entry'!M173)),IF('Council Entry'!M$4="Exponential",EXP(IF(AND(ISNUMBER('Council Entry'!M$8),ISNUMBER('Council Entry'!M$9)),MAX(MIN('Council Entry'!M173,'Council Entry'!M$9),'Council Entry'!M$8),'Council Entry'!M173)),IF(AND(ISNUMBER('Council Entry'!M$8),ISNUMBER('Council Entry'!M$9)),MAX(MIN('Council Entry'!M173,'Council Entry'!M$9),'Council Entry'!M$8),'Council Entry'!M173))))-'Council Entry'!M$5)/('Council Entry'!M$6-'Council Entry'!M$5),10*((IF('Council Entry'!M$4="Logarithm",LN(0.001+IF(AND(ISNUMBER('Council Entry'!M$8),ISNUMBER('Council Entry'!M$9)),MAX(MIN('Council Entry'!M173,'Council Entry'!M$9),'Council Entry'!M$8),'Council Entry'!M173)),IF('Council Entry'!M$4="Exponential",EXP(IF(AND(ISNUMBER('Council Entry'!M$8),ISNUMBER('Council Entry'!M$9)),MAX(MIN('Council Entry'!M173,'Council Entry'!M$9),'Council Entry'!M$8),'Council Entry'!M173)),IF(AND(ISNUMBER('Council Entry'!M$8),ISNUMBER('Council Entry'!M$9)),MAX(MIN('Council Entry'!M173,'Council Entry'!M$9),'Council Entry'!M$8),'Council Entry'!M173))))-'Council Entry'!M$5)/('Council Entry'!M$6-'Council Entry'!M$5)),1))),"No data"))</f>
        <v/>
      </c>
      <c r="N173" s="13">
        <f>IF('Council Entry'!N173="","",IFERROR(MAX(0,MIN(10,ROUND(IF('Council Entry'!N$7="Decrease Risk",10-10*((IF('Council Entry'!N$4="Logarithm",LN(0.001+IF(AND(ISNUMBER('Council Entry'!N$8),ISNUMBER('Council Entry'!N$9)),MAX(MIN('Council Entry'!N173,'Council Entry'!N$9),'Council Entry'!N$8),'Council Entry'!N173)),IF('Council Entry'!N$4="Exponential",EXP(IF(AND(ISNUMBER('Council Entry'!N$8),ISNUMBER('Council Entry'!N$9)),MAX(MIN('Council Entry'!N173,'Council Entry'!N$9),'Council Entry'!N$8),'Council Entry'!N173)),IF(AND(ISNUMBER('Council Entry'!N$8),ISNUMBER('Council Entry'!N$9)),MAX(MIN('Council Entry'!N173,'Council Entry'!N$9),'Council Entry'!N$8),'Council Entry'!N173))))-'Council Entry'!N$5)/('Council Entry'!N$6-'Council Entry'!N$5),10*((IF('Council Entry'!N$4="Logarithm",LN(0.001+IF(AND(ISNUMBER('Council Entry'!N$8),ISNUMBER('Council Entry'!N$9)),MAX(MIN('Council Entry'!N173,'Council Entry'!N$9),'Council Entry'!N$8),'Council Entry'!N173)),IF('Council Entry'!N$4="Exponential",EXP(IF(AND(ISNUMBER('Council Entry'!N$8),ISNUMBER('Council Entry'!N$9)),MAX(MIN('Council Entry'!N173,'Council Entry'!N$9),'Council Entry'!N$8),'Council Entry'!N173)),IF(AND(ISNUMBER('Council Entry'!N$8),ISNUMBER('Council Entry'!N$9)),MAX(MIN('Council Entry'!N173,'Council Entry'!N$9),'Council Entry'!N$8),'Council Entry'!N173))))-'Council Entry'!N$5)/('Council Entry'!N$6-'Council Entry'!N$5)),1))),"No data"))</f>
        <v/>
      </c>
      <c r="O173" s="13">
        <f>IF('Council Entry'!O173="","",IFERROR(MAX(0,MIN(10,ROUND(IF('Council Entry'!O$7="Decrease Risk",10-10*((IF('Council Entry'!O$4="Logarithm",LN(0.001+IF(AND(ISNUMBER('Council Entry'!O$8),ISNUMBER('Council Entry'!O$9)),MAX(MIN('Council Entry'!O173,'Council Entry'!O$9),'Council Entry'!O$8),'Council Entry'!O173)),IF('Council Entry'!O$4="Exponential",EXP(IF(AND(ISNUMBER('Council Entry'!O$8),ISNUMBER('Council Entry'!O$9)),MAX(MIN('Council Entry'!O173,'Council Entry'!O$9),'Council Entry'!O$8),'Council Entry'!O173)),IF(AND(ISNUMBER('Council Entry'!O$8),ISNUMBER('Council Entry'!O$9)),MAX(MIN('Council Entry'!O173,'Council Entry'!O$9),'Council Entry'!O$8),'Council Entry'!O173))))-'Council Entry'!O$5)/('Council Entry'!O$6-'Council Entry'!O$5),10*((IF('Council Entry'!O$4="Logarithm",LN(0.001+IF(AND(ISNUMBER('Council Entry'!O$8),ISNUMBER('Council Entry'!O$9)),MAX(MIN('Council Entry'!O173,'Council Entry'!O$9),'Council Entry'!O$8),'Council Entry'!O173)),IF('Council Entry'!O$4="Exponential",EXP(IF(AND(ISNUMBER('Council Entry'!O$8),ISNUMBER('Council Entry'!O$9)),MAX(MIN('Council Entry'!O173,'Council Entry'!O$9),'Council Entry'!O$8),'Council Entry'!O173)),IF(AND(ISNUMBER('Council Entry'!O$8),ISNUMBER('Council Entry'!O$9)),MAX(MIN('Council Entry'!O173,'Council Entry'!O$9),'Council Entry'!O$8),'Council Entry'!O173))))-'Council Entry'!O$5)/('Council Entry'!O$6-'Council Entry'!O$5)),1))),"No data"))</f>
        <v/>
      </c>
      <c r="P173" s="13">
        <f>IF('Council Entry'!P173="","",IFERROR(MAX(0,MIN(10,ROUND(IF('Council Entry'!P$7="Decrease Risk",10-10*((IF('Council Entry'!P$4="Logarithm",LN(0.001+IF(AND(ISNUMBER('Council Entry'!P$8),ISNUMBER('Council Entry'!P$9)),MAX(MIN('Council Entry'!P173,'Council Entry'!P$9),'Council Entry'!P$8),'Council Entry'!P173)),IF('Council Entry'!P$4="Exponential",EXP(IF(AND(ISNUMBER('Council Entry'!P$8),ISNUMBER('Council Entry'!P$9)),MAX(MIN('Council Entry'!P173,'Council Entry'!P$9),'Council Entry'!P$8),'Council Entry'!P173)),IF(AND(ISNUMBER('Council Entry'!P$8),ISNUMBER('Council Entry'!P$9)),MAX(MIN('Council Entry'!P173,'Council Entry'!P$9),'Council Entry'!P$8),'Council Entry'!P173))))-'Council Entry'!P$5)/('Council Entry'!P$6-'Council Entry'!P$5),10*((IF('Council Entry'!P$4="Logarithm",LN(0.001+IF(AND(ISNUMBER('Council Entry'!P$8),ISNUMBER('Council Entry'!P$9)),MAX(MIN('Council Entry'!P173,'Council Entry'!P$9),'Council Entry'!P$8),'Council Entry'!P173)),IF('Council Entry'!P$4="Exponential",EXP(IF(AND(ISNUMBER('Council Entry'!P$8),ISNUMBER('Council Entry'!P$9)),MAX(MIN('Council Entry'!P173,'Council Entry'!P$9),'Council Entry'!P$8),'Council Entry'!P173)),IF(AND(ISNUMBER('Council Entry'!P$8),ISNUMBER('Council Entry'!P$9)),MAX(MIN('Council Entry'!P173,'Council Entry'!P$9),'Council Entry'!P$8),'Council Entry'!P173))))-'Council Entry'!P$5)/('Council Entry'!P$6-'Council Entry'!P$5)),1))),"No data"))</f>
        <v/>
      </c>
      <c r="Q173" s="13">
        <f>IF('Council Entry'!Q173="","",IFERROR(MAX(0,MIN(10,ROUND(IF('Council Entry'!Q$7="Decrease Risk",10-10*((IF('Council Entry'!Q$4="Logarithm",LN(0.001+IF(AND(ISNUMBER('Council Entry'!Q$8),ISNUMBER('Council Entry'!Q$9)),MAX(MIN('Council Entry'!Q173,'Council Entry'!Q$9),'Council Entry'!Q$8),'Council Entry'!Q173)),IF('Council Entry'!Q$4="Exponential",EXP(IF(AND(ISNUMBER('Council Entry'!Q$8),ISNUMBER('Council Entry'!Q$9)),MAX(MIN('Council Entry'!Q173,'Council Entry'!Q$9),'Council Entry'!Q$8),'Council Entry'!Q173)),IF(AND(ISNUMBER('Council Entry'!Q$8),ISNUMBER('Council Entry'!Q$9)),MAX(MIN('Council Entry'!Q173,'Council Entry'!Q$9),'Council Entry'!Q$8),'Council Entry'!Q173))))-'Council Entry'!Q$5)/('Council Entry'!Q$6-'Council Entry'!Q$5),10*((IF('Council Entry'!Q$4="Logarithm",LN(0.001+IF(AND(ISNUMBER('Council Entry'!Q$8),ISNUMBER('Council Entry'!Q$9)),MAX(MIN('Council Entry'!Q173,'Council Entry'!Q$9),'Council Entry'!Q$8),'Council Entry'!Q173)),IF('Council Entry'!Q$4="Exponential",EXP(IF(AND(ISNUMBER('Council Entry'!Q$8),ISNUMBER('Council Entry'!Q$9)),MAX(MIN('Council Entry'!Q173,'Council Entry'!Q$9),'Council Entry'!Q$8),'Council Entry'!Q173)),IF(AND(ISNUMBER('Council Entry'!Q$8),ISNUMBER('Council Entry'!Q$9)),MAX(MIN('Council Entry'!Q173,'Council Entry'!Q$9),'Council Entry'!Q$8),'Council Entry'!Q173))))-'Council Entry'!Q$5)/('Council Entry'!Q$6-'Council Entry'!Q$5)),1))),"No data"))</f>
        <v/>
      </c>
      <c r="R173" s="13">
        <f>IF('Council Entry'!R173="","",IFERROR(MAX(0,MIN(10,ROUND(IF('Council Entry'!R$7="Decrease Risk",10-10*((IF('Council Entry'!R$4="Logarithm",LN(0.001+IF(AND(ISNUMBER('Council Entry'!R$8),ISNUMBER('Council Entry'!R$9)),MAX(MIN('Council Entry'!R173,'Council Entry'!R$9),'Council Entry'!R$8),'Council Entry'!R173)),IF('Council Entry'!R$4="Exponential",EXP(IF(AND(ISNUMBER('Council Entry'!R$8),ISNUMBER('Council Entry'!R$9)),MAX(MIN('Council Entry'!R173,'Council Entry'!R$9),'Council Entry'!R$8),'Council Entry'!R173)),IF(AND(ISNUMBER('Council Entry'!R$8),ISNUMBER('Council Entry'!R$9)),MAX(MIN('Council Entry'!R173,'Council Entry'!R$9),'Council Entry'!R$8),'Council Entry'!R173))))-'Council Entry'!R$5)/('Council Entry'!R$6-'Council Entry'!R$5),10*((IF('Council Entry'!R$4="Logarithm",LN(0.001+IF(AND(ISNUMBER('Council Entry'!R$8),ISNUMBER('Council Entry'!R$9)),MAX(MIN('Council Entry'!R173,'Council Entry'!R$9),'Council Entry'!R$8),'Council Entry'!R173)),IF('Council Entry'!R$4="Exponential",EXP(IF(AND(ISNUMBER('Council Entry'!R$8),ISNUMBER('Council Entry'!R$9)),MAX(MIN('Council Entry'!R173,'Council Entry'!R$9),'Council Entry'!R$8),'Council Entry'!R173)),IF(AND(ISNUMBER('Council Entry'!R$8),ISNUMBER('Council Entry'!R$9)),MAX(MIN('Council Entry'!R173,'Council Entry'!R$9),'Council Entry'!R$8),'Council Entry'!R173))))-'Council Entry'!R$5)/('Council Entry'!R$6-'Council Entry'!R$5)),1))),"No data"))</f>
        <v/>
      </c>
      <c r="S173" s="13">
        <f>IF('Council Entry'!S173="","",IFERROR(MAX(0,MIN(10,ROUND(IF('Council Entry'!S$7="Decrease Risk",10-10*((IF('Council Entry'!S$4="Logarithm",LN(0.001+IF(AND(ISNUMBER('Council Entry'!S$8),ISNUMBER('Council Entry'!S$9)),MAX(MIN('Council Entry'!S173,'Council Entry'!S$9),'Council Entry'!S$8),'Council Entry'!S173)),IF('Council Entry'!S$4="Exponential",EXP(IF(AND(ISNUMBER('Council Entry'!S$8),ISNUMBER('Council Entry'!S$9)),MAX(MIN('Council Entry'!S173,'Council Entry'!S$9),'Council Entry'!S$8),'Council Entry'!S173)),IF(AND(ISNUMBER('Council Entry'!S$8),ISNUMBER('Council Entry'!S$9)),MAX(MIN('Council Entry'!S173,'Council Entry'!S$9),'Council Entry'!S$8),'Council Entry'!S173))))-'Council Entry'!S$5)/('Council Entry'!S$6-'Council Entry'!S$5),10*((IF('Council Entry'!S$4="Logarithm",LN(0.001+IF(AND(ISNUMBER('Council Entry'!S$8),ISNUMBER('Council Entry'!S$9)),MAX(MIN('Council Entry'!S173,'Council Entry'!S$9),'Council Entry'!S$8),'Council Entry'!S173)),IF('Council Entry'!S$4="Exponential",EXP(IF(AND(ISNUMBER('Council Entry'!S$8),ISNUMBER('Council Entry'!S$9)),MAX(MIN('Council Entry'!S173,'Council Entry'!S$9),'Council Entry'!S$8),'Council Entry'!S173)),IF(AND(ISNUMBER('Council Entry'!S$8),ISNUMBER('Council Entry'!S$9)),MAX(MIN('Council Entry'!S173,'Council Entry'!S$9),'Council Entry'!S$8),'Council Entry'!S173))))-'Council Entry'!S$5)/('Council Entry'!S$6-'Council Entry'!S$5)),1))),"No data"))</f>
        <v/>
      </c>
      <c r="T173" s="13">
        <f>IF('Council Entry'!T173="","",IFERROR(MAX(0,MIN(10,ROUND(IF('Council Entry'!T$7="Decrease Risk",10-10*((IF('Council Entry'!T$4="Logarithm",LN(0.001+IF(AND(ISNUMBER('Council Entry'!T$8),ISNUMBER('Council Entry'!T$9)),MAX(MIN('Council Entry'!T173,'Council Entry'!T$9),'Council Entry'!T$8),'Council Entry'!T173)),IF('Council Entry'!T$4="Exponential",EXP(IF(AND(ISNUMBER('Council Entry'!T$8),ISNUMBER('Council Entry'!T$9)),MAX(MIN('Council Entry'!T173,'Council Entry'!T$9),'Council Entry'!T$8),'Council Entry'!T173)),IF(AND(ISNUMBER('Council Entry'!T$8),ISNUMBER('Council Entry'!T$9)),MAX(MIN('Council Entry'!T173,'Council Entry'!T$9),'Council Entry'!T$8),'Council Entry'!T173))))-'Council Entry'!T$5)/('Council Entry'!T$6-'Council Entry'!T$5),10*((IF('Council Entry'!T$4="Logarithm",LN(0.001+IF(AND(ISNUMBER('Council Entry'!T$8),ISNUMBER('Council Entry'!T$9)),MAX(MIN('Council Entry'!T173,'Council Entry'!T$9),'Council Entry'!T$8),'Council Entry'!T173)),IF('Council Entry'!T$4="Exponential",EXP(IF(AND(ISNUMBER('Council Entry'!T$8),ISNUMBER('Council Entry'!T$9)),MAX(MIN('Council Entry'!T173,'Council Entry'!T$9),'Council Entry'!T$8),'Council Entry'!T173)),IF(AND(ISNUMBER('Council Entry'!T$8),ISNUMBER('Council Entry'!T$9)),MAX(MIN('Council Entry'!T173,'Council Entry'!T$9),'Council Entry'!T$8),'Council Entry'!T173))))-'Council Entry'!T$5)/('Council Entry'!T$6-'Council Entry'!T$5)),1))),"No data"))</f>
        <v/>
      </c>
      <c r="U173" s="13">
        <f>IF('Council Entry'!U173="","",IFERROR(MAX(0,MIN(10,ROUND(IF('Council Entry'!U$7="Decrease Risk",10-10*((IF('Council Entry'!U$4="Logarithm",LN(0.001+IF(AND(ISNUMBER('Council Entry'!U$8),ISNUMBER('Council Entry'!U$9)),MAX(MIN('Council Entry'!U173,'Council Entry'!U$9),'Council Entry'!U$8),'Council Entry'!U173)),IF('Council Entry'!U$4="Exponential",EXP(IF(AND(ISNUMBER('Council Entry'!U$8),ISNUMBER('Council Entry'!U$9)),MAX(MIN('Council Entry'!U173,'Council Entry'!U$9),'Council Entry'!U$8),'Council Entry'!U173)),IF(AND(ISNUMBER('Council Entry'!U$8),ISNUMBER('Council Entry'!U$9)),MAX(MIN('Council Entry'!U173,'Council Entry'!U$9),'Council Entry'!U$8),'Council Entry'!U173))))-'Council Entry'!U$5)/('Council Entry'!U$6-'Council Entry'!U$5),10*((IF('Council Entry'!U$4="Logarithm",LN(0.001+IF(AND(ISNUMBER('Council Entry'!U$8),ISNUMBER('Council Entry'!U$9)),MAX(MIN('Council Entry'!U173,'Council Entry'!U$9),'Council Entry'!U$8),'Council Entry'!U173)),IF('Council Entry'!U$4="Exponential",EXP(IF(AND(ISNUMBER('Council Entry'!U$8),ISNUMBER('Council Entry'!U$9)),MAX(MIN('Council Entry'!U173,'Council Entry'!U$9),'Council Entry'!U$8),'Council Entry'!U173)),IF(AND(ISNUMBER('Council Entry'!U$8),ISNUMBER('Council Entry'!U$9)),MAX(MIN('Council Entry'!U173,'Council Entry'!U$9),'Council Entry'!U$8),'Council Entry'!U173))))-'Council Entry'!U$5)/('Council Entry'!U$6-'Council Entry'!U$5)),1))),"No data"))</f>
        <v/>
      </c>
      <c r="V173" s="13">
        <f>IF('Council Entry'!V173="","",IFERROR(MAX(0,MIN(10,ROUND(IF('Council Entry'!V$7="Decrease Risk",10-10*((IF('Council Entry'!V$4="Logarithm",LN(0.001+IF(AND(ISNUMBER('Council Entry'!V$8),ISNUMBER('Council Entry'!V$9)),MAX(MIN('Council Entry'!V173,'Council Entry'!V$9),'Council Entry'!V$8),'Council Entry'!V173)),IF('Council Entry'!V$4="Exponential",EXP(IF(AND(ISNUMBER('Council Entry'!V$8),ISNUMBER('Council Entry'!V$9)),MAX(MIN('Council Entry'!V173,'Council Entry'!V$9),'Council Entry'!V$8),'Council Entry'!V173)),IF(AND(ISNUMBER('Council Entry'!V$8),ISNUMBER('Council Entry'!V$9)),MAX(MIN('Council Entry'!V173,'Council Entry'!V$9),'Council Entry'!V$8),'Council Entry'!V173))))-'Council Entry'!V$5)/('Council Entry'!V$6-'Council Entry'!V$5),10*((IF('Council Entry'!V$4="Logarithm",LN(0.001+IF(AND(ISNUMBER('Council Entry'!V$8),ISNUMBER('Council Entry'!V$9)),MAX(MIN('Council Entry'!V173,'Council Entry'!V$9),'Council Entry'!V$8),'Council Entry'!V173)),IF('Council Entry'!V$4="Exponential",EXP(IF(AND(ISNUMBER('Council Entry'!V$8),ISNUMBER('Council Entry'!V$9)),MAX(MIN('Council Entry'!V173,'Council Entry'!V$9),'Council Entry'!V$8),'Council Entry'!V173)),IF(AND(ISNUMBER('Council Entry'!V$8),ISNUMBER('Council Entry'!V$9)),MAX(MIN('Council Entry'!V173,'Council Entry'!V$9),'Council Entry'!V$8),'Council Entry'!V173))))-'Council Entry'!V$5)/('Council Entry'!V$6-'Council Entry'!V$5)),1))),"No data"))</f>
        <v/>
      </c>
      <c r="W173" s="13">
        <f>IF('Council Entry'!W173="","",IFERROR(MAX(0,MIN(10,ROUND(IF('Council Entry'!W$7="Decrease Risk",10-10*((IF('Council Entry'!W$4="Logarithm",LN(0.001+IF(AND(ISNUMBER('Council Entry'!W$8),ISNUMBER('Council Entry'!W$9)),MAX(MIN('Council Entry'!W173,'Council Entry'!W$9),'Council Entry'!W$8),'Council Entry'!W173)),IF('Council Entry'!W$4="Exponential",EXP(IF(AND(ISNUMBER('Council Entry'!W$8),ISNUMBER('Council Entry'!W$9)),MAX(MIN('Council Entry'!W173,'Council Entry'!W$9),'Council Entry'!W$8),'Council Entry'!W173)),IF(AND(ISNUMBER('Council Entry'!W$8),ISNUMBER('Council Entry'!W$9)),MAX(MIN('Council Entry'!W173,'Council Entry'!W$9),'Council Entry'!W$8),'Council Entry'!W173))))-'Council Entry'!W$5)/('Council Entry'!W$6-'Council Entry'!W$5),10*((IF('Council Entry'!W$4="Logarithm",LN(0.001+IF(AND(ISNUMBER('Council Entry'!W$8),ISNUMBER('Council Entry'!W$9)),MAX(MIN('Council Entry'!W173,'Council Entry'!W$9),'Council Entry'!W$8),'Council Entry'!W173)),IF('Council Entry'!W$4="Exponential",EXP(IF(AND(ISNUMBER('Council Entry'!W$8),ISNUMBER('Council Entry'!W$9)),MAX(MIN('Council Entry'!W173,'Council Entry'!W$9),'Council Entry'!W$8),'Council Entry'!W173)),IF(AND(ISNUMBER('Council Entry'!W$8),ISNUMBER('Council Entry'!W$9)),MAX(MIN('Council Entry'!W173,'Council Entry'!W$9),'Council Entry'!W$8),'Council Entry'!W173))))-'Council Entry'!W$5)/('Council Entry'!W$6-'Council Entry'!W$5)),1))),"No data"))</f>
        <v/>
      </c>
      <c r="X173" s="13">
        <f>IF('Council Entry'!X173="","",IFERROR(MAX(0,MIN(10,ROUND(IF('Council Entry'!X$7="Decrease Risk",10-10*((IF('Council Entry'!X$4="Logarithm",LN(0.001+IF(AND(ISNUMBER('Council Entry'!X$8),ISNUMBER('Council Entry'!X$9)),MAX(MIN('Council Entry'!X173,'Council Entry'!X$9),'Council Entry'!X$8),'Council Entry'!X173)),IF('Council Entry'!X$4="Exponential",EXP(IF(AND(ISNUMBER('Council Entry'!X$8),ISNUMBER('Council Entry'!X$9)),MAX(MIN('Council Entry'!X173,'Council Entry'!X$9),'Council Entry'!X$8),'Council Entry'!X173)),IF(AND(ISNUMBER('Council Entry'!X$8),ISNUMBER('Council Entry'!X$9)),MAX(MIN('Council Entry'!X173,'Council Entry'!X$9),'Council Entry'!X$8),'Council Entry'!X173))))-'Council Entry'!X$5)/('Council Entry'!X$6-'Council Entry'!X$5),10*((IF('Council Entry'!X$4="Logarithm",LN(0.001+IF(AND(ISNUMBER('Council Entry'!X$8),ISNUMBER('Council Entry'!X$9)),MAX(MIN('Council Entry'!X173,'Council Entry'!X$9),'Council Entry'!X$8),'Council Entry'!X173)),IF('Council Entry'!X$4="Exponential",EXP(IF(AND(ISNUMBER('Council Entry'!X$8),ISNUMBER('Council Entry'!X$9)),MAX(MIN('Council Entry'!X173,'Council Entry'!X$9),'Council Entry'!X$8),'Council Entry'!X173)),IF(AND(ISNUMBER('Council Entry'!X$8),ISNUMBER('Council Entry'!X$9)),MAX(MIN('Council Entry'!X173,'Council Entry'!X$9),'Council Entry'!X$8),'Council Entry'!X173))))-'Council Entry'!X$5)/('Council Entry'!X$6-'Council Entry'!X$5)),1))),"No data"))</f>
        <v/>
      </c>
      <c r="Y173" s="13">
        <f>IF('Council Entry'!Y173="","",IFERROR(MAX(0,MIN(10,ROUND(IF('Council Entry'!Y$7="Decrease Risk",10-10*((IF('Council Entry'!Y$4="Logarithm",LN(0.001+IF(AND(ISNUMBER('Council Entry'!Y$8),ISNUMBER('Council Entry'!Y$9)),MAX(MIN('Council Entry'!Y173,'Council Entry'!Y$9),'Council Entry'!Y$8),'Council Entry'!Y173)),IF('Council Entry'!Y$4="Exponential",EXP(IF(AND(ISNUMBER('Council Entry'!Y$8),ISNUMBER('Council Entry'!Y$9)),MAX(MIN('Council Entry'!Y173,'Council Entry'!Y$9),'Council Entry'!Y$8),'Council Entry'!Y173)),IF(AND(ISNUMBER('Council Entry'!Y$8),ISNUMBER('Council Entry'!Y$9)),MAX(MIN('Council Entry'!Y173,'Council Entry'!Y$9),'Council Entry'!Y$8),'Council Entry'!Y173))))-'Council Entry'!Y$5)/('Council Entry'!Y$6-'Council Entry'!Y$5),10*((IF('Council Entry'!Y$4="Logarithm",LN(0.001+IF(AND(ISNUMBER('Council Entry'!Y$8),ISNUMBER('Council Entry'!Y$9)),MAX(MIN('Council Entry'!Y173,'Council Entry'!Y$9),'Council Entry'!Y$8),'Council Entry'!Y173)),IF('Council Entry'!Y$4="Exponential",EXP(IF(AND(ISNUMBER('Council Entry'!Y$8),ISNUMBER('Council Entry'!Y$9)),MAX(MIN('Council Entry'!Y173,'Council Entry'!Y$9),'Council Entry'!Y$8),'Council Entry'!Y173)),IF(AND(ISNUMBER('Council Entry'!Y$8),ISNUMBER('Council Entry'!Y$9)),MAX(MIN('Council Entry'!Y173,'Council Entry'!Y$9),'Council Entry'!Y$8),'Council Entry'!Y173))))-'Council Entry'!Y$5)/('Council Entry'!Y$6-'Council Entry'!Y$5)),1))),"No data"))</f>
        <v/>
      </c>
      <c r="Z173" s="13">
        <f>IF('Council Entry'!Z173="","",IFERROR(MAX(0,MIN(10,ROUND(IF('Council Entry'!Z$7="Decrease Risk",10-10*((IF('Council Entry'!Z$4="Logarithm",LN(0.001+IF(AND(ISNUMBER('Council Entry'!Z$8),ISNUMBER('Council Entry'!Z$9)),MAX(MIN('Council Entry'!Z173,'Council Entry'!Z$9),'Council Entry'!Z$8),'Council Entry'!Z173)),IF('Council Entry'!Z$4="Exponential",EXP(IF(AND(ISNUMBER('Council Entry'!Z$8),ISNUMBER('Council Entry'!Z$9)),MAX(MIN('Council Entry'!Z173,'Council Entry'!Z$9),'Council Entry'!Z$8),'Council Entry'!Z173)),IF(AND(ISNUMBER('Council Entry'!Z$8),ISNUMBER('Council Entry'!Z$9)),MAX(MIN('Council Entry'!Z173,'Council Entry'!Z$9),'Council Entry'!Z$8),'Council Entry'!Z173))))-'Council Entry'!Z$5)/('Council Entry'!Z$6-'Council Entry'!Z$5),10*((IF('Council Entry'!Z$4="Logarithm",LN(0.001+IF(AND(ISNUMBER('Council Entry'!Z$8),ISNUMBER('Council Entry'!Z$9)),MAX(MIN('Council Entry'!Z173,'Council Entry'!Z$9),'Council Entry'!Z$8),'Council Entry'!Z173)),IF('Council Entry'!Z$4="Exponential",EXP(IF(AND(ISNUMBER('Council Entry'!Z$8),ISNUMBER('Council Entry'!Z$9)),MAX(MIN('Council Entry'!Z173,'Council Entry'!Z$9),'Council Entry'!Z$8),'Council Entry'!Z173)),IF(AND(ISNUMBER('Council Entry'!Z$8),ISNUMBER('Council Entry'!Z$9)),MAX(MIN('Council Entry'!Z173,'Council Entry'!Z$9),'Council Entry'!Z$8),'Council Entry'!Z173))))-'Council Entry'!Z$5)/('Council Entry'!Z$6-'Council Entry'!Z$5)),1))),"No data"))</f>
        <v/>
      </c>
      <c r="AA173" s="13">
        <f>IF('Council Entry'!AA173="","",IFERROR(MAX(0,MIN(10,ROUND(IF('Council Entry'!AA$7="Decrease Risk",10-10*((IF('Council Entry'!AA$4="Logarithm",LN(0.001+IF(AND(ISNUMBER('Council Entry'!AA$8),ISNUMBER('Council Entry'!AA$9)),MAX(MIN('Council Entry'!AA173,'Council Entry'!AA$9),'Council Entry'!AA$8),'Council Entry'!AA173)),IF('Council Entry'!AA$4="Exponential",EXP(IF(AND(ISNUMBER('Council Entry'!AA$8),ISNUMBER('Council Entry'!AA$9)),MAX(MIN('Council Entry'!AA173,'Council Entry'!AA$9),'Council Entry'!AA$8),'Council Entry'!AA173)),IF(AND(ISNUMBER('Council Entry'!AA$8),ISNUMBER('Council Entry'!AA$9)),MAX(MIN('Council Entry'!AA173,'Council Entry'!AA$9),'Council Entry'!AA$8),'Council Entry'!AA173))))-'Council Entry'!AA$5)/('Council Entry'!AA$6-'Council Entry'!AA$5),10*((IF('Council Entry'!AA$4="Logarithm",LN(0.001+IF(AND(ISNUMBER('Council Entry'!AA$8),ISNUMBER('Council Entry'!AA$9)),MAX(MIN('Council Entry'!AA173,'Council Entry'!AA$9),'Council Entry'!AA$8),'Council Entry'!AA173)),IF('Council Entry'!AA$4="Exponential",EXP(IF(AND(ISNUMBER('Council Entry'!AA$8),ISNUMBER('Council Entry'!AA$9)),MAX(MIN('Council Entry'!AA173,'Council Entry'!AA$9),'Council Entry'!AA$8),'Council Entry'!AA173)),IF(AND(ISNUMBER('Council Entry'!AA$8),ISNUMBER('Council Entry'!AA$9)),MAX(MIN('Council Entry'!AA173,'Council Entry'!AA$9),'Council Entry'!AA$8),'Council Entry'!AA173))))-'Council Entry'!AA$5)/('Council Entry'!AA$6-'Council Entry'!AA$5)),1))),"No data"))</f>
        <v/>
      </c>
      <c r="AB173" s="13">
        <f>IF('Council Entry'!AB173="","",IFERROR(MAX(0,MIN(10,ROUND(IF('Council Entry'!AB$7="Decrease Risk",10-10*((IF('Council Entry'!AB$4="Logarithm",LN(0.001+IF(AND(ISNUMBER('Council Entry'!AB$8),ISNUMBER('Council Entry'!AB$9)),MAX(MIN('Council Entry'!AB173,'Council Entry'!AB$9),'Council Entry'!AB$8),'Council Entry'!AB173)),IF('Council Entry'!AB$4="Exponential",EXP(IF(AND(ISNUMBER('Council Entry'!AB$8),ISNUMBER('Council Entry'!AB$9)),MAX(MIN('Council Entry'!AB173,'Council Entry'!AB$9),'Council Entry'!AB$8),'Council Entry'!AB173)),IF(AND(ISNUMBER('Council Entry'!AB$8),ISNUMBER('Council Entry'!AB$9)),MAX(MIN('Council Entry'!AB173,'Council Entry'!AB$9),'Council Entry'!AB$8),'Council Entry'!AB173))))-'Council Entry'!AB$5)/('Council Entry'!AB$6-'Council Entry'!AB$5),10*((IF('Council Entry'!AB$4="Logarithm",LN(0.001+IF(AND(ISNUMBER('Council Entry'!AB$8),ISNUMBER('Council Entry'!AB$9)),MAX(MIN('Council Entry'!AB173,'Council Entry'!AB$9),'Council Entry'!AB$8),'Council Entry'!AB173)),IF('Council Entry'!AB$4="Exponential",EXP(IF(AND(ISNUMBER('Council Entry'!AB$8),ISNUMBER('Council Entry'!AB$9)),MAX(MIN('Council Entry'!AB173,'Council Entry'!AB$9),'Council Entry'!AB$8),'Council Entry'!AB173)),IF(AND(ISNUMBER('Council Entry'!AB$8),ISNUMBER('Council Entry'!AB$9)),MAX(MIN('Council Entry'!AB173,'Council Entry'!AB$9),'Council Entry'!AB$8),'Council Entry'!AB173))))-'Council Entry'!AB$5)/('Council Entry'!AB$6-'Council Entry'!AB$5)),1))),"No data"))</f>
        <v/>
      </c>
      <c r="AC173" s="13">
        <f>IF('Council Entry'!AC173="","",IFERROR(MAX(0,MIN(10,ROUND(IF('Council Entry'!AC$7="Decrease Risk",10-10*((IF('Council Entry'!AC$4="Logarithm",LN(0.001+IF(AND(ISNUMBER('Council Entry'!AC$8),ISNUMBER('Council Entry'!AC$9)),MAX(MIN('Council Entry'!AC173,'Council Entry'!AC$9),'Council Entry'!AC$8),'Council Entry'!AC173)),IF('Council Entry'!AC$4="Exponential",EXP(IF(AND(ISNUMBER('Council Entry'!AC$8),ISNUMBER('Council Entry'!AC$9)),MAX(MIN('Council Entry'!AC173,'Council Entry'!AC$9),'Council Entry'!AC$8),'Council Entry'!AC173)),IF(AND(ISNUMBER('Council Entry'!AC$8),ISNUMBER('Council Entry'!AC$9)),MAX(MIN('Council Entry'!AC173,'Council Entry'!AC$9),'Council Entry'!AC$8),'Council Entry'!AC173))))-'Council Entry'!AC$5)/('Council Entry'!AC$6-'Council Entry'!AC$5),10*((IF('Council Entry'!AC$4="Logarithm",LN(0.001+IF(AND(ISNUMBER('Council Entry'!AC$8),ISNUMBER('Council Entry'!AC$9)),MAX(MIN('Council Entry'!AC173,'Council Entry'!AC$9),'Council Entry'!AC$8),'Council Entry'!AC173)),IF('Council Entry'!AC$4="Exponential",EXP(IF(AND(ISNUMBER('Council Entry'!AC$8),ISNUMBER('Council Entry'!AC$9)),MAX(MIN('Council Entry'!AC173,'Council Entry'!AC$9),'Council Entry'!AC$8),'Council Entry'!AC173)),IF(AND(ISNUMBER('Council Entry'!AC$8),ISNUMBER('Council Entry'!AC$9)),MAX(MIN('Council Entry'!AC173,'Council Entry'!AC$9),'Council Entry'!AC$8),'Council Entry'!AC173))))-'Council Entry'!AC$5)/('Council Entry'!AC$6-'Council Entry'!AC$5)),1))),"No data"))</f>
        <v/>
      </c>
      <c r="AD173" s="13">
        <f>IF('Council Entry'!AD173="","",IFERROR(MAX(0,MIN(10,ROUND(IF('Council Entry'!AD$7="Decrease Risk",10-10*((IF('Council Entry'!AD$4="Logarithm",LN(0.001+IF(AND(ISNUMBER('Council Entry'!AD$8),ISNUMBER('Council Entry'!AD$9)),MAX(MIN('Council Entry'!AD173,'Council Entry'!AD$9),'Council Entry'!AD$8),'Council Entry'!AD173)),IF('Council Entry'!AD$4="Exponential",EXP(IF(AND(ISNUMBER('Council Entry'!AD$8),ISNUMBER('Council Entry'!AD$9)),MAX(MIN('Council Entry'!AD173,'Council Entry'!AD$9),'Council Entry'!AD$8),'Council Entry'!AD173)),IF(AND(ISNUMBER('Council Entry'!AD$8),ISNUMBER('Council Entry'!AD$9)),MAX(MIN('Council Entry'!AD173,'Council Entry'!AD$9),'Council Entry'!AD$8),'Council Entry'!AD173))))-'Council Entry'!AD$5)/('Council Entry'!AD$6-'Council Entry'!AD$5),10*((IF('Council Entry'!AD$4="Logarithm",LN(0.001+IF(AND(ISNUMBER('Council Entry'!AD$8),ISNUMBER('Council Entry'!AD$9)),MAX(MIN('Council Entry'!AD173,'Council Entry'!AD$9),'Council Entry'!AD$8),'Council Entry'!AD173)),IF('Council Entry'!AD$4="Exponential",EXP(IF(AND(ISNUMBER('Council Entry'!AD$8),ISNUMBER('Council Entry'!AD$9)),MAX(MIN('Council Entry'!AD173,'Council Entry'!AD$9),'Council Entry'!AD$8),'Council Entry'!AD173)),IF(AND(ISNUMBER('Council Entry'!AD$8),ISNUMBER('Council Entry'!AD$9)),MAX(MIN('Council Entry'!AD173,'Council Entry'!AD$9),'Council Entry'!AD$8),'Council Entry'!AD173))))-'Council Entry'!AD$5)/('Council Entry'!AD$6-'Council Entry'!AD$5)),1))),"No data"))</f>
        <v/>
      </c>
      <c r="AE173" s="13">
        <f>IF('Council Entry'!AE173="","",IFERROR(MAX(0,MIN(10,ROUND(IF('Council Entry'!AE$7="Decrease Risk",10-10*((IF('Council Entry'!AE$4="Logarithm",LN(0.001+IF(AND(ISNUMBER('Council Entry'!AE$8),ISNUMBER('Council Entry'!AE$9)),MAX(MIN('Council Entry'!AE173,'Council Entry'!AE$9),'Council Entry'!AE$8),'Council Entry'!AE173)),IF('Council Entry'!AE$4="Exponential",EXP(IF(AND(ISNUMBER('Council Entry'!AE$8),ISNUMBER('Council Entry'!AE$9)),MAX(MIN('Council Entry'!AE173,'Council Entry'!AE$9),'Council Entry'!AE$8),'Council Entry'!AE173)),IF(AND(ISNUMBER('Council Entry'!AE$8),ISNUMBER('Council Entry'!AE$9)),MAX(MIN('Council Entry'!AE173,'Council Entry'!AE$9),'Council Entry'!AE$8),'Council Entry'!AE173))))-'Council Entry'!AE$5)/('Council Entry'!AE$6-'Council Entry'!AE$5),10*((IF('Council Entry'!AE$4="Logarithm",LN(0.001+IF(AND(ISNUMBER('Council Entry'!AE$8),ISNUMBER('Council Entry'!AE$9)),MAX(MIN('Council Entry'!AE173,'Council Entry'!AE$9),'Council Entry'!AE$8),'Council Entry'!AE173)),IF('Council Entry'!AE$4="Exponential",EXP(IF(AND(ISNUMBER('Council Entry'!AE$8),ISNUMBER('Council Entry'!AE$9)),MAX(MIN('Council Entry'!AE173,'Council Entry'!AE$9),'Council Entry'!AE$8),'Council Entry'!AE173)),IF(AND(ISNUMBER('Council Entry'!AE$8),ISNUMBER('Council Entry'!AE$9)),MAX(MIN('Council Entry'!AE173,'Council Entry'!AE$9),'Council Entry'!AE$8),'Council Entry'!AE173))))-'Council Entry'!AE$5)/('Council Entry'!AE$6-'Council Entry'!AE$5)),1))),"No data"))</f>
        <v/>
      </c>
      <c r="AF173" s="13">
        <f>IF('Council Entry'!AF173="","",IFERROR(MAX(0,MIN(10,ROUND(IF('Council Entry'!AF$7="Decrease Risk",10-10*((IF('Council Entry'!AF$4="Logarithm",LN(0.001+IF(AND(ISNUMBER('Council Entry'!AF$8),ISNUMBER('Council Entry'!AF$9)),MAX(MIN('Council Entry'!AF173,'Council Entry'!AF$9),'Council Entry'!AF$8),'Council Entry'!AF173)),IF('Council Entry'!AF$4="Exponential",EXP(IF(AND(ISNUMBER('Council Entry'!AF$8),ISNUMBER('Council Entry'!AF$9)),MAX(MIN('Council Entry'!AF173,'Council Entry'!AF$9),'Council Entry'!AF$8),'Council Entry'!AF173)),IF(AND(ISNUMBER('Council Entry'!AF$8),ISNUMBER('Council Entry'!AF$9)),MAX(MIN('Council Entry'!AF173,'Council Entry'!AF$9),'Council Entry'!AF$8),'Council Entry'!AF173))))-'Council Entry'!AF$5)/('Council Entry'!AF$6-'Council Entry'!AF$5),10*((IF('Council Entry'!AF$4="Logarithm",LN(0.001+IF(AND(ISNUMBER('Council Entry'!AF$8),ISNUMBER('Council Entry'!AF$9)),MAX(MIN('Council Entry'!AF173,'Council Entry'!AF$9),'Council Entry'!AF$8),'Council Entry'!AF173)),IF('Council Entry'!AF$4="Exponential",EXP(IF(AND(ISNUMBER('Council Entry'!AF$8),ISNUMBER('Council Entry'!AF$9)),MAX(MIN('Council Entry'!AF173,'Council Entry'!AF$9),'Council Entry'!AF$8),'Council Entry'!AF173)),IF(AND(ISNUMBER('Council Entry'!AF$8),ISNUMBER('Council Entry'!AF$9)),MAX(MIN('Council Entry'!AF173,'Council Entry'!AF$9),'Council Entry'!AF$8),'Council Entry'!AF173))))-'Council Entry'!AF$5)/('Council Entry'!AF$6-'Council Entry'!AF$5)),1))),"No data"))</f>
        <v/>
      </c>
      <c r="AG173" s="13">
        <f>IF('Council Entry'!AG173="","",IFERROR(MAX(0,MIN(10,ROUND(IF('Council Entry'!AG$7="Decrease Risk",10-10*((IF('Council Entry'!AG$4="Logarithm",LN(0.001+IF(AND(ISNUMBER('Council Entry'!AG$8),ISNUMBER('Council Entry'!AG$9)),MAX(MIN('Council Entry'!AG173,'Council Entry'!AG$9),'Council Entry'!AG$8),'Council Entry'!AG173)),IF('Council Entry'!AG$4="Exponential",EXP(IF(AND(ISNUMBER('Council Entry'!AG$8),ISNUMBER('Council Entry'!AG$9)),MAX(MIN('Council Entry'!AG173,'Council Entry'!AG$9),'Council Entry'!AG$8),'Council Entry'!AG173)),IF(AND(ISNUMBER('Council Entry'!AG$8),ISNUMBER('Council Entry'!AG$9)),MAX(MIN('Council Entry'!AG173,'Council Entry'!AG$9),'Council Entry'!AG$8),'Council Entry'!AG173))))-'Council Entry'!AG$5)/('Council Entry'!AG$6-'Council Entry'!AG$5),10*((IF('Council Entry'!AG$4="Logarithm",LN(0.001+IF(AND(ISNUMBER('Council Entry'!AG$8),ISNUMBER('Council Entry'!AG$9)),MAX(MIN('Council Entry'!AG173,'Council Entry'!AG$9),'Council Entry'!AG$8),'Council Entry'!AG173)),IF('Council Entry'!AG$4="Exponential",EXP(IF(AND(ISNUMBER('Council Entry'!AG$8),ISNUMBER('Council Entry'!AG$9)),MAX(MIN('Council Entry'!AG173,'Council Entry'!AG$9),'Council Entry'!AG$8),'Council Entry'!AG173)),IF(AND(ISNUMBER('Council Entry'!AG$8),ISNUMBER('Council Entry'!AG$9)),MAX(MIN('Council Entry'!AG173,'Council Entry'!AG$9),'Council Entry'!AG$8),'Council Entry'!AG173))))-'Council Entry'!AG$5)/('Council Entry'!AG$6-'Council Entry'!AG$5)),1))),"No data"))</f>
        <v/>
      </c>
      <c r="AH173" s="13">
        <f>IF('Council Entry'!AH173="","",IFERROR(MAX(0,MIN(10,ROUND(IF('Council Entry'!AH$7="Decrease Risk",10-10*((IF('Council Entry'!AH$4="Logarithm",LN(0.001+IF(AND(ISNUMBER('Council Entry'!AH$8),ISNUMBER('Council Entry'!AH$9)),MAX(MIN('Council Entry'!AH173,'Council Entry'!AH$9),'Council Entry'!AH$8),'Council Entry'!AH173)),IF('Council Entry'!AH$4="Exponential",EXP(IF(AND(ISNUMBER('Council Entry'!AH$8),ISNUMBER('Council Entry'!AH$9)),MAX(MIN('Council Entry'!AH173,'Council Entry'!AH$9),'Council Entry'!AH$8),'Council Entry'!AH173)),IF(AND(ISNUMBER('Council Entry'!AH$8),ISNUMBER('Council Entry'!AH$9)),MAX(MIN('Council Entry'!AH173,'Council Entry'!AH$9),'Council Entry'!AH$8),'Council Entry'!AH173))))-'Council Entry'!AH$5)/('Council Entry'!AH$6-'Council Entry'!AH$5),10*((IF('Council Entry'!AH$4="Logarithm",LN(0.001+IF(AND(ISNUMBER('Council Entry'!AH$8),ISNUMBER('Council Entry'!AH$9)),MAX(MIN('Council Entry'!AH173,'Council Entry'!AH$9),'Council Entry'!AH$8),'Council Entry'!AH173)),IF('Council Entry'!AH$4="Exponential",EXP(IF(AND(ISNUMBER('Council Entry'!AH$8),ISNUMBER('Council Entry'!AH$9)),MAX(MIN('Council Entry'!AH173,'Council Entry'!AH$9),'Council Entry'!AH$8),'Council Entry'!AH173)),IF(AND(ISNUMBER('Council Entry'!AH$8),ISNUMBER('Council Entry'!AH$9)),MAX(MIN('Council Entry'!AH173,'Council Entry'!AH$9),'Council Entry'!AH$8),'Council Entry'!AH173))))-'Council Entry'!AH$5)/('Council Entry'!AH$6-'Council Entry'!AH$5)),1))),"No data"))</f>
        <v/>
      </c>
      <c r="AI173" s="13">
        <f>IF('Council Entry'!AI173="","",IFERROR(MAX(0,MIN(10,ROUND(IF('Council Entry'!AI$7="Decrease Risk",10-10*((IF('Council Entry'!AI$4="Logarithm",LN(0.001+IF(AND(ISNUMBER('Council Entry'!AI$8),ISNUMBER('Council Entry'!AI$9)),MAX(MIN('Council Entry'!AI173,'Council Entry'!AI$9),'Council Entry'!AI$8),'Council Entry'!AI173)),IF('Council Entry'!AI$4="Exponential",EXP(IF(AND(ISNUMBER('Council Entry'!AI$8),ISNUMBER('Council Entry'!AI$9)),MAX(MIN('Council Entry'!AI173,'Council Entry'!AI$9),'Council Entry'!AI$8),'Council Entry'!AI173)),IF(AND(ISNUMBER('Council Entry'!AI$8),ISNUMBER('Council Entry'!AI$9)),MAX(MIN('Council Entry'!AI173,'Council Entry'!AI$9),'Council Entry'!AI$8),'Council Entry'!AI173))))-'Council Entry'!AI$5)/('Council Entry'!AI$6-'Council Entry'!AI$5),10*((IF('Council Entry'!AI$4="Logarithm",LN(0.001+IF(AND(ISNUMBER('Council Entry'!AI$8),ISNUMBER('Council Entry'!AI$9)),MAX(MIN('Council Entry'!AI173,'Council Entry'!AI$9),'Council Entry'!AI$8),'Council Entry'!AI173)),IF('Council Entry'!AI$4="Exponential",EXP(IF(AND(ISNUMBER('Council Entry'!AI$8),ISNUMBER('Council Entry'!AI$9)),MAX(MIN('Council Entry'!AI173,'Council Entry'!AI$9),'Council Entry'!AI$8),'Council Entry'!AI173)),IF(AND(ISNUMBER('Council Entry'!AI$8),ISNUMBER('Council Entry'!AI$9)),MAX(MIN('Council Entry'!AI173,'Council Entry'!AI$9),'Council Entry'!AI$8),'Council Entry'!AI173))))-'Council Entry'!AI$5)/('Council Entry'!AI$6-'Council Entry'!AI$5)),1))),"No data"))</f>
        <v/>
      </c>
      <c r="AJ173" s="13">
        <f>IF('Council Entry'!AJ173="","",IFERROR(MAX(0,MIN(10,ROUND(IF('Council Entry'!AJ$7="Decrease Risk",10-10*((IF('Council Entry'!AJ$4="Logarithm",LN(0.001+IF(AND(ISNUMBER('Council Entry'!AJ$8),ISNUMBER('Council Entry'!AJ$9)),MAX(MIN('Council Entry'!AJ173,'Council Entry'!AJ$9),'Council Entry'!AJ$8),'Council Entry'!AJ173)),IF('Council Entry'!AJ$4="Exponential",EXP(IF(AND(ISNUMBER('Council Entry'!AJ$8),ISNUMBER('Council Entry'!AJ$9)),MAX(MIN('Council Entry'!AJ173,'Council Entry'!AJ$9),'Council Entry'!AJ$8),'Council Entry'!AJ173)),IF(AND(ISNUMBER('Council Entry'!AJ$8),ISNUMBER('Council Entry'!AJ$9)),MAX(MIN('Council Entry'!AJ173,'Council Entry'!AJ$9),'Council Entry'!AJ$8),'Council Entry'!AJ173))))-'Council Entry'!AJ$5)/('Council Entry'!AJ$6-'Council Entry'!AJ$5),10*((IF('Council Entry'!AJ$4="Logarithm",LN(0.001+IF(AND(ISNUMBER('Council Entry'!AJ$8),ISNUMBER('Council Entry'!AJ$9)),MAX(MIN('Council Entry'!AJ173,'Council Entry'!AJ$9),'Council Entry'!AJ$8),'Council Entry'!AJ173)),IF('Council Entry'!AJ$4="Exponential",EXP(IF(AND(ISNUMBER('Council Entry'!AJ$8),ISNUMBER('Council Entry'!AJ$9)),MAX(MIN('Council Entry'!AJ173,'Council Entry'!AJ$9),'Council Entry'!AJ$8),'Council Entry'!AJ173)),IF(AND(ISNUMBER('Council Entry'!AJ$8),ISNUMBER('Council Entry'!AJ$9)),MAX(MIN('Council Entry'!AJ173,'Council Entry'!AJ$9),'Council Entry'!AJ$8),'Council Entry'!AJ173))))-'Council Entry'!AJ$5)/('Council Entry'!AJ$6-'Council Entry'!AJ$5)),1))),"No data"))</f>
        <v/>
      </c>
      <c r="AK173" s="13">
        <f>IF('Council Entry'!AK173="","",IFERROR(MAX(0,MIN(10,ROUND(IF('Council Entry'!AK$7="Decrease Risk",10-10*((IF('Council Entry'!AK$4="Logarithm",LN(0.001+IF(AND(ISNUMBER('Council Entry'!AK$8),ISNUMBER('Council Entry'!AK$9)),MAX(MIN('Council Entry'!AK173,'Council Entry'!AK$9),'Council Entry'!AK$8),'Council Entry'!AK173)),IF('Council Entry'!AK$4="Exponential",EXP(IF(AND(ISNUMBER('Council Entry'!AK$8),ISNUMBER('Council Entry'!AK$9)),MAX(MIN('Council Entry'!AK173,'Council Entry'!AK$9),'Council Entry'!AK$8),'Council Entry'!AK173)),IF(AND(ISNUMBER('Council Entry'!AK$8),ISNUMBER('Council Entry'!AK$9)),MAX(MIN('Council Entry'!AK173,'Council Entry'!AK$9),'Council Entry'!AK$8),'Council Entry'!AK173))))-'Council Entry'!AK$5)/('Council Entry'!AK$6-'Council Entry'!AK$5),10*((IF('Council Entry'!AK$4="Logarithm",LN(0.001+IF(AND(ISNUMBER('Council Entry'!AK$8),ISNUMBER('Council Entry'!AK$9)),MAX(MIN('Council Entry'!AK173,'Council Entry'!AK$9),'Council Entry'!AK$8),'Council Entry'!AK173)),IF('Council Entry'!AK$4="Exponential",EXP(IF(AND(ISNUMBER('Council Entry'!AK$8),ISNUMBER('Council Entry'!AK$9)),MAX(MIN('Council Entry'!AK173,'Council Entry'!AK$9),'Council Entry'!AK$8),'Council Entry'!AK173)),IF(AND(ISNUMBER('Council Entry'!AK$8),ISNUMBER('Council Entry'!AK$9)),MAX(MIN('Council Entry'!AK173,'Council Entry'!AK$9),'Council Entry'!AK$8),'Council Entry'!AK173))))-'Council Entry'!AK$5)/('Council Entry'!AK$6-'Council Entry'!AK$5)),1))),"No data"))</f>
        <v/>
      </c>
      <c r="AL173" s="13">
        <f>IF('Council Entry'!AL173="","",IFERROR(MAX(0,MIN(10,ROUND(IF('Council Entry'!AL$7="Decrease Risk",10-10*((IF('Council Entry'!AL$4="Logarithm",LN(0.001+IF(AND(ISNUMBER('Council Entry'!AL$8),ISNUMBER('Council Entry'!AL$9)),MAX(MIN('Council Entry'!AL173,'Council Entry'!AL$9),'Council Entry'!AL$8),'Council Entry'!AL173)),IF('Council Entry'!AL$4="Exponential",EXP(IF(AND(ISNUMBER('Council Entry'!AL$8),ISNUMBER('Council Entry'!AL$9)),MAX(MIN('Council Entry'!AL173,'Council Entry'!AL$9),'Council Entry'!AL$8),'Council Entry'!AL173)),IF(AND(ISNUMBER('Council Entry'!AL$8),ISNUMBER('Council Entry'!AL$9)),MAX(MIN('Council Entry'!AL173,'Council Entry'!AL$9),'Council Entry'!AL$8),'Council Entry'!AL173))))-'Council Entry'!AL$5)/('Council Entry'!AL$6-'Council Entry'!AL$5),10*((IF('Council Entry'!AL$4="Logarithm",LN(0.001+IF(AND(ISNUMBER('Council Entry'!AL$8),ISNUMBER('Council Entry'!AL$9)),MAX(MIN('Council Entry'!AL173,'Council Entry'!AL$9),'Council Entry'!AL$8),'Council Entry'!AL173)),IF('Council Entry'!AL$4="Exponential",EXP(IF(AND(ISNUMBER('Council Entry'!AL$8),ISNUMBER('Council Entry'!AL$9)),MAX(MIN('Council Entry'!AL173,'Council Entry'!AL$9),'Council Entry'!AL$8),'Council Entry'!AL173)),IF(AND(ISNUMBER('Council Entry'!AL$8),ISNUMBER('Council Entry'!AL$9)),MAX(MIN('Council Entry'!AL173,'Council Entry'!AL$9),'Council Entry'!AL$8),'Council Entry'!AL173))))-'Council Entry'!AL$5)/('Council Entry'!AL$6-'Council Entry'!AL$5)),1))),"No data"))</f>
        <v/>
      </c>
      <c r="AM173" s="13">
        <f>IF('Council Entry'!AM173="","",IFERROR(MAX(0,MIN(10,ROUND(IF('Council Entry'!AM$7="Decrease Risk",10-10*((IF('Council Entry'!AM$4="Logarithm",LN(0.001+IF(AND(ISNUMBER('Council Entry'!AM$8),ISNUMBER('Council Entry'!AM$9)),MAX(MIN('Council Entry'!AM173,'Council Entry'!AM$9),'Council Entry'!AM$8),'Council Entry'!AM173)),IF('Council Entry'!AM$4="Exponential",EXP(IF(AND(ISNUMBER('Council Entry'!AM$8),ISNUMBER('Council Entry'!AM$9)),MAX(MIN('Council Entry'!AM173,'Council Entry'!AM$9),'Council Entry'!AM$8),'Council Entry'!AM173)),IF(AND(ISNUMBER('Council Entry'!AM$8),ISNUMBER('Council Entry'!AM$9)),MAX(MIN('Council Entry'!AM173,'Council Entry'!AM$9),'Council Entry'!AM$8),'Council Entry'!AM173))))-'Council Entry'!AM$5)/('Council Entry'!AM$6-'Council Entry'!AM$5),10*((IF('Council Entry'!AM$4="Logarithm",LN(0.001+IF(AND(ISNUMBER('Council Entry'!AM$8),ISNUMBER('Council Entry'!AM$9)),MAX(MIN('Council Entry'!AM173,'Council Entry'!AM$9),'Council Entry'!AM$8),'Council Entry'!AM173)),IF('Council Entry'!AM$4="Exponential",EXP(IF(AND(ISNUMBER('Council Entry'!AM$8),ISNUMBER('Council Entry'!AM$9)),MAX(MIN('Council Entry'!AM173,'Council Entry'!AM$9),'Council Entry'!AM$8),'Council Entry'!AM173)),IF(AND(ISNUMBER('Council Entry'!AM$8),ISNUMBER('Council Entry'!AM$9)),MAX(MIN('Council Entry'!AM173,'Council Entry'!AM$9),'Council Entry'!AM$8),'Council Entry'!AM173))))-'Council Entry'!AM$5)/('Council Entry'!AM$6-'Council Entry'!AM$5)),1))),"No data"))</f>
        <v/>
      </c>
      <c r="AN173" s="13">
        <f>IF('Council Entry'!AN173="","",IFERROR(MAX(0,MIN(10,ROUND(IF('Council Entry'!AN$7="Decrease Risk",10-10*((IF('Council Entry'!AN$4="Logarithm",LN(0.001+IF(AND(ISNUMBER('Council Entry'!AN$8),ISNUMBER('Council Entry'!AN$9)),MAX(MIN('Council Entry'!AN173,'Council Entry'!AN$9),'Council Entry'!AN$8),'Council Entry'!AN173)),IF('Council Entry'!AN$4="Exponential",EXP(IF(AND(ISNUMBER('Council Entry'!AN$8),ISNUMBER('Council Entry'!AN$9)),MAX(MIN('Council Entry'!AN173,'Council Entry'!AN$9),'Council Entry'!AN$8),'Council Entry'!AN173)),IF(AND(ISNUMBER('Council Entry'!AN$8),ISNUMBER('Council Entry'!AN$9)),MAX(MIN('Council Entry'!AN173,'Council Entry'!AN$9),'Council Entry'!AN$8),'Council Entry'!AN173))))-'Council Entry'!AN$5)/('Council Entry'!AN$6-'Council Entry'!AN$5),10*((IF('Council Entry'!AN$4="Logarithm",LN(0.001+IF(AND(ISNUMBER('Council Entry'!AN$8),ISNUMBER('Council Entry'!AN$9)),MAX(MIN('Council Entry'!AN173,'Council Entry'!AN$9),'Council Entry'!AN$8),'Council Entry'!AN173)),IF('Council Entry'!AN$4="Exponential",EXP(IF(AND(ISNUMBER('Council Entry'!AN$8),ISNUMBER('Council Entry'!AN$9)),MAX(MIN('Council Entry'!AN173,'Council Entry'!AN$9),'Council Entry'!AN$8),'Council Entry'!AN173)),IF(AND(ISNUMBER('Council Entry'!AN$8),ISNUMBER('Council Entry'!AN$9)),MAX(MIN('Council Entry'!AN173,'Council Entry'!AN$9),'Council Entry'!AN$8),'Council Entry'!AN173))))-'Council Entry'!AN$5)/('Council Entry'!AN$6-'Council Entry'!AN$5)),1))),"No data"))</f>
        <v/>
      </c>
      <c r="AO173" s="13">
        <f>IF('Council Entry'!AO173="","",IFERROR(MAX(0,MIN(10,ROUND(IF('Council Entry'!AO$7="Decrease Risk",10-10*((IF('Council Entry'!AO$4="Logarithm",LN(0.001+IF(AND(ISNUMBER('Council Entry'!AO$8),ISNUMBER('Council Entry'!AO$9)),MAX(MIN('Council Entry'!AO173,'Council Entry'!AO$9),'Council Entry'!AO$8),'Council Entry'!AO173)),IF('Council Entry'!AO$4="Exponential",EXP(IF(AND(ISNUMBER('Council Entry'!AO$8),ISNUMBER('Council Entry'!AO$9)),MAX(MIN('Council Entry'!AO173,'Council Entry'!AO$9),'Council Entry'!AO$8),'Council Entry'!AO173)),IF(AND(ISNUMBER('Council Entry'!AO$8),ISNUMBER('Council Entry'!AO$9)),MAX(MIN('Council Entry'!AO173,'Council Entry'!AO$9),'Council Entry'!AO$8),'Council Entry'!AO173))))-'Council Entry'!AO$5)/('Council Entry'!AO$6-'Council Entry'!AO$5),10*((IF('Council Entry'!AO$4="Logarithm",LN(0.001+IF(AND(ISNUMBER('Council Entry'!AO$8),ISNUMBER('Council Entry'!AO$9)),MAX(MIN('Council Entry'!AO173,'Council Entry'!AO$9),'Council Entry'!AO$8),'Council Entry'!AO173)),IF('Council Entry'!AO$4="Exponential",EXP(IF(AND(ISNUMBER('Council Entry'!AO$8),ISNUMBER('Council Entry'!AO$9)),MAX(MIN('Council Entry'!AO173,'Council Entry'!AO$9),'Council Entry'!AO$8),'Council Entry'!AO173)),IF(AND(ISNUMBER('Council Entry'!AO$8),ISNUMBER('Council Entry'!AO$9)),MAX(MIN('Council Entry'!AO173,'Council Entry'!AO$9),'Council Entry'!AO$8),'Council Entry'!AO173))))-'Council Entry'!AO$5)/('Council Entry'!AO$6-'Council Entry'!AO$5)),1))),"No data"))</f>
        <v/>
      </c>
      <c r="AP173" s="13">
        <f>IF('Council Entry'!AP173="","",IFERROR(MAX(0,MIN(10,ROUND(IF('Council Entry'!AP$7="Decrease Risk",10-10*((IF('Council Entry'!AP$4="Logarithm",LN(0.001+IF(AND(ISNUMBER('Council Entry'!AP$8),ISNUMBER('Council Entry'!AP$9)),MAX(MIN('Council Entry'!AP173,'Council Entry'!AP$9),'Council Entry'!AP$8),'Council Entry'!AP173)),IF('Council Entry'!AP$4="Exponential",EXP(IF(AND(ISNUMBER('Council Entry'!AP$8),ISNUMBER('Council Entry'!AP$9)),MAX(MIN('Council Entry'!AP173,'Council Entry'!AP$9),'Council Entry'!AP$8),'Council Entry'!AP173)),IF(AND(ISNUMBER('Council Entry'!AP$8),ISNUMBER('Council Entry'!AP$9)),MAX(MIN('Council Entry'!AP173,'Council Entry'!AP$9),'Council Entry'!AP$8),'Council Entry'!AP173))))-'Council Entry'!AP$5)/('Council Entry'!AP$6-'Council Entry'!AP$5),10*((IF('Council Entry'!AP$4="Logarithm",LN(0.001+IF(AND(ISNUMBER('Council Entry'!AP$8),ISNUMBER('Council Entry'!AP$9)),MAX(MIN('Council Entry'!AP173,'Council Entry'!AP$9),'Council Entry'!AP$8),'Council Entry'!AP173)),IF('Council Entry'!AP$4="Exponential",EXP(IF(AND(ISNUMBER('Council Entry'!AP$8),ISNUMBER('Council Entry'!AP$9)),MAX(MIN('Council Entry'!AP173,'Council Entry'!AP$9),'Council Entry'!AP$8),'Council Entry'!AP173)),IF(AND(ISNUMBER('Council Entry'!AP$8),ISNUMBER('Council Entry'!AP$9)),MAX(MIN('Council Entry'!AP173,'Council Entry'!AP$9),'Council Entry'!AP$8),'Council Entry'!AP173))))-'Council Entry'!AP$5)/('Council Entry'!AP$6-'Council Entry'!AP$5)),1))),"No data"))</f>
        <v/>
      </c>
      <c r="AQ173" s="13">
        <f>IF('Council Entry'!AQ173="","",IFERROR(MAX(0,MIN(10,ROUND(IF('Council Entry'!AQ$7="Decrease Risk",10-10*((IF('Council Entry'!AQ$4="Logarithm",LN(0.001+IF(AND(ISNUMBER('Council Entry'!AQ$8),ISNUMBER('Council Entry'!AQ$9)),MAX(MIN('Council Entry'!AQ173,'Council Entry'!AQ$9),'Council Entry'!AQ$8),'Council Entry'!AQ173)),IF('Council Entry'!AQ$4="Exponential",EXP(IF(AND(ISNUMBER('Council Entry'!AQ$8),ISNUMBER('Council Entry'!AQ$9)),MAX(MIN('Council Entry'!AQ173,'Council Entry'!AQ$9),'Council Entry'!AQ$8),'Council Entry'!AQ173)),IF(AND(ISNUMBER('Council Entry'!AQ$8),ISNUMBER('Council Entry'!AQ$9)),MAX(MIN('Council Entry'!AQ173,'Council Entry'!AQ$9),'Council Entry'!AQ$8),'Council Entry'!AQ173))))-'Council Entry'!AQ$5)/('Council Entry'!AQ$6-'Council Entry'!AQ$5),10*((IF('Council Entry'!AQ$4="Logarithm",LN(0.001+IF(AND(ISNUMBER('Council Entry'!AQ$8),ISNUMBER('Council Entry'!AQ$9)),MAX(MIN('Council Entry'!AQ173,'Council Entry'!AQ$9),'Council Entry'!AQ$8),'Council Entry'!AQ173)),IF('Council Entry'!AQ$4="Exponential",EXP(IF(AND(ISNUMBER('Council Entry'!AQ$8),ISNUMBER('Council Entry'!AQ$9)),MAX(MIN('Council Entry'!AQ173,'Council Entry'!AQ$9),'Council Entry'!AQ$8),'Council Entry'!AQ173)),IF(AND(ISNUMBER('Council Entry'!AQ$8),ISNUMBER('Council Entry'!AQ$9)),MAX(MIN('Council Entry'!AQ173,'Council Entry'!AQ$9),'Council Entry'!AQ$8),'Council Entry'!AQ173))))-'Council Entry'!AQ$5)/('Council Entry'!AQ$6-'Council Entry'!AQ$5)),1))),"No data"))</f>
        <v/>
      </c>
      <c r="AR173" s="13">
        <f>IF('Council Entry'!AR173="","",IFERROR(MAX(0,MIN(10,ROUND(IF('Council Entry'!AR$7="Decrease Risk",10-10*((IF('Council Entry'!AR$4="Logarithm",LN(0.001+IF(AND(ISNUMBER('Council Entry'!AR$8),ISNUMBER('Council Entry'!AR$9)),MAX(MIN('Council Entry'!AR173,'Council Entry'!AR$9),'Council Entry'!AR$8),'Council Entry'!AR173)),IF('Council Entry'!AR$4="Exponential",EXP(IF(AND(ISNUMBER('Council Entry'!AR$8),ISNUMBER('Council Entry'!AR$9)),MAX(MIN('Council Entry'!AR173,'Council Entry'!AR$9),'Council Entry'!AR$8),'Council Entry'!AR173)),IF(AND(ISNUMBER('Council Entry'!AR$8),ISNUMBER('Council Entry'!AR$9)),MAX(MIN('Council Entry'!AR173,'Council Entry'!AR$9),'Council Entry'!AR$8),'Council Entry'!AR173))))-'Council Entry'!AR$5)/('Council Entry'!AR$6-'Council Entry'!AR$5),10*((IF('Council Entry'!AR$4="Logarithm",LN(0.001+IF(AND(ISNUMBER('Council Entry'!AR$8),ISNUMBER('Council Entry'!AR$9)),MAX(MIN('Council Entry'!AR173,'Council Entry'!AR$9),'Council Entry'!AR$8),'Council Entry'!AR173)),IF('Council Entry'!AR$4="Exponential",EXP(IF(AND(ISNUMBER('Council Entry'!AR$8),ISNUMBER('Council Entry'!AR$9)),MAX(MIN('Council Entry'!AR173,'Council Entry'!AR$9),'Council Entry'!AR$8),'Council Entry'!AR173)),IF(AND(ISNUMBER('Council Entry'!AR$8),ISNUMBER('Council Entry'!AR$9)),MAX(MIN('Council Entry'!AR173,'Council Entry'!AR$9),'Council Entry'!AR$8),'Council Entry'!AR173))))-'Council Entry'!AR$5)/('Council Entry'!AR$6-'Council Entry'!AR$5)),1))),"No data"))</f>
        <v/>
      </c>
      <c r="AS173" s="13">
        <f>IF('Council Entry'!AS173="","",IFERROR(MAX(0,MIN(10,ROUND(IF('Council Entry'!AS$7="Decrease Risk",10-10*((IF('Council Entry'!AS$4="Logarithm",LN(0.001+IF(AND(ISNUMBER('Council Entry'!AS$8),ISNUMBER('Council Entry'!AS$9)),MAX(MIN('Council Entry'!AS173,'Council Entry'!AS$9),'Council Entry'!AS$8),'Council Entry'!AS173)),IF('Council Entry'!AS$4="Exponential",EXP(IF(AND(ISNUMBER('Council Entry'!AS$8),ISNUMBER('Council Entry'!AS$9)),MAX(MIN('Council Entry'!AS173,'Council Entry'!AS$9),'Council Entry'!AS$8),'Council Entry'!AS173)),IF(AND(ISNUMBER('Council Entry'!AS$8),ISNUMBER('Council Entry'!AS$9)),MAX(MIN('Council Entry'!AS173,'Council Entry'!AS$9),'Council Entry'!AS$8),'Council Entry'!AS173))))-'Council Entry'!AS$5)/('Council Entry'!AS$6-'Council Entry'!AS$5),10*((IF('Council Entry'!AS$4="Logarithm",LN(0.001+IF(AND(ISNUMBER('Council Entry'!AS$8),ISNUMBER('Council Entry'!AS$9)),MAX(MIN('Council Entry'!AS173,'Council Entry'!AS$9),'Council Entry'!AS$8),'Council Entry'!AS173)),IF('Council Entry'!AS$4="Exponential",EXP(IF(AND(ISNUMBER('Council Entry'!AS$8),ISNUMBER('Council Entry'!AS$9)),MAX(MIN('Council Entry'!AS173,'Council Entry'!AS$9),'Council Entry'!AS$8),'Council Entry'!AS173)),IF(AND(ISNUMBER('Council Entry'!AS$8),ISNUMBER('Council Entry'!AS$9)),MAX(MIN('Council Entry'!AS173,'Council Entry'!AS$9),'Council Entry'!AS$8),'Council Entry'!AS173))))-'Council Entry'!AS$5)/('Council Entry'!AS$6-'Council Entry'!AS$5)),1))),"No data"))</f>
        <v/>
      </c>
      <c r="AT173" s="13">
        <f>IF('Council Entry'!AT173="","",IFERROR(MAX(0,MIN(10,ROUND(IF('Council Entry'!AT$7="Decrease Risk",10-10*((IF('Council Entry'!AT$4="Logarithm",LN(0.001+IF(AND(ISNUMBER('Council Entry'!AT$8),ISNUMBER('Council Entry'!AT$9)),MAX(MIN('Council Entry'!AT173,'Council Entry'!AT$9),'Council Entry'!AT$8),'Council Entry'!AT173)),IF('Council Entry'!AT$4="Exponential",EXP(IF(AND(ISNUMBER('Council Entry'!AT$8),ISNUMBER('Council Entry'!AT$9)),MAX(MIN('Council Entry'!AT173,'Council Entry'!AT$9),'Council Entry'!AT$8),'Council Entry'!AT173)),IF(AND(ISNUMBER('Council Entry'!AT$8),ISNUMBER('Council Entry'!AT$9)),MAX(MIN('Council Entry'!AT173,'Council Entry'!AT$9),'Council Entry'!AT$8),'Council Entry'!AT173))))-'Council Entry'!AT$5)/('Council Entry'!AT$6-'Council Entry'!AT$5),10*((IF('Council Entry'!AT$4="Logarithm",LN(0.001+IF(AND(ISNUMBER('Council Entry'!AT$8),ISNUMBER('Council Entry'!AT$9)),MAX(MIN('Council Entry'!AT173,'Council Entry'!AT$9),'Council Entry'!AT$8),'Council Entry'!AT173)),IF('Council Entry'!AT$4="Exponential",EXP(IF(AND(ISNUMBER('Council Entry'!AT$8),ISNUMBER('Council Entry'!AT$9)),MAX(MIN('Council Entry'!AT173,'Council Entry'!AT$9),'Council Entry'!AT$8),'Council Entry'!AT173)),IF(AND(ISNUMBER('Council Entry'!AT$8),ISNUMBER('Council Entry'!AT$9)),MAX(MIN('Council Entry'!AT173,'Council Entry'!AT$9),'Council Entry'!AT$8),'Council Entry'!AT173))))-'Council Entry'!AT$5)/('Council Entry'!AT$6-'Council Entry'!AT$5)),1))),"No data"))</f>
        <v/>
      </c>
      <c r="AU173" s="13">
        <f>IF('Council Entry'!AU173="","",IFERROR(MAX(0,MIN(10,ROUND(IF('Council Entry'!AU$7="Decrease Risk",10-10*((IF('Council Entry'!AU$4="Logarithm",LN(0.001+IF(AND(ISNUMBER('Council Entry'!AU$8),ISNUMBER('Council Entry'!AU$9)),MAX(MIN('Council Entry'!AU173,'Council Entry'!AU$9),'Council Entry'!AU$8),'Council Entry'!AU173)),IF('Council Entry'!AU$4="Exponential",EXP(IF(AND(ISNUMBER('Council Entry'!AU$8),ISNUMBER('Council Entry'!AU$9)),MAX(MIN('Council Entry'!AU173,'Council Entry'!AU$9),'Council Entry'!AU$8),'Council Entry'!AU173)),IF(AND(ISNUMBER('Council Entry'!AU$8),ISNUMBER('Council Entry'!AU$9)),MAX(MIN('Council Entry'!AU173,'Council Entry'!AU$9),'Council Entry'!AU$8),'Council Entry'!AU173))))-'Council Entry'!AU$5)/('Council Entry'!AU$6-'Council Entry'!AU$5),10*((IF('Council Entry'!AU$4="Logarithm",LN(0.001+IF(AND(ISNUMBER('Council Entry'!AU$8),ISNUMBER('Council Entry'!AU$9)),MAX(MIN('Council Entry'!AU173,'Council Entry'!AU$9),'Council Entry'!AU$8),'Council Entry'!AU173)),IF('Council Entry'!AU$4="Exponential",EXP(IF(AND(ISNUMBER('Council Entry'!AU$8),ISNUMBER('Council Entry'!AU$9)),MAX(MIN('Council Entry'!AU173,'Council Entry'!AU$9),'Council Entry'!AU$8),'Council Entry'!AU173)),IF(AND(ISNUMBER('Council Entry'!AU$8),ISNUMBER('Council Entry'!AU$9)),MAX(MIN('Council Entry'!AU173,'Council Entry'!AU$9),'Council Entry'!AU$8),'Council Entry'!AU173))))-'Council Entry'!AU$5)/('Council Entry'!AU$6-'Council Entry'!AU$5)),1))),"No data"))</f>
        <v/>
      </c>
      <c r="AV173" s="13">
        <f>IF('Council Entry'!AV173="","",IFERROR(MAX(0,MIN(10,ROUND(IF('Council Entry'!AV$7="Decrease Risk",10-10*((IF('Council Entry'!AV$4="Logarithm",LN(0.001+IF(AND(ISNUMBER('Council Entry'!AV$8),ISNUMBER('Council Entry'!AV$9)),MAX(MIN('Council Entry'!AV173,'Council Entry'!AV$9),'Council Entry'!AV$8),'Council Entry'!AV173)),IF('Council Entry'!AV$4="Exponential",EXP(IF(AND(ISNUMBER('Council Entry'!AV$8),ISNUMBER('Council Entry'!AV$9)),MAX(MIN('Council Entry'!AV173,'Council Entry'!AV$9),'Council Entry'!AV$8),'Council Entry'!AV173)),IF(AND(ISNUMBER('Council Entry'!AV$8),ISNUMBER('Council Entry'!AV$9)),MAX(MIN('Council Entry'!AV173,'Council Entry'!AV$9),'Council Entry'!AV$8),'Council Entry'!AV173))))-'Council Entry'!AV$5)/('Council Entry'!AV$6-'Council Entry'!AV$5),10*((IF('Council Entry'!AV$4="Logarithm",LN(0.001+IF(AND(ISNUMBER('Council Entry'!AV$8),ISNUMBER('Council Entry'!AV$9)),MAX(MIN('Council Entry'!AV173,'Council Entry'!AV$9),'Council Entry'!AV$8),'Council Entry'!AV173)),IF('Council Entry'!AV$4="Exponential",EXP(IF(AND(ISNUMBER('Council Entry'!AV$8),ISNUMBER('Council Entry'!AV$9)),MAX(MIN('Council Entry'!AV173,'Council Entry'!AV$9),'Council Entry'!AV$8),'Council Entry'!AV173)),IF(AND(ISNUMBER('Council Entry'!AV$8),ISNUMBER('Council Entry'!AV$9)),MAX(MIN('Council Entry'!AV173,'Council Entry'!AV$9),'Council Entry'!AV$8),'Council Entry'!AV173))))-'Council Entry'!AV$5)/('Council Entry'!AV$6-'Council Entry'!AV$5)),1))),"No data"))</f>
        <v/>
      </c>
      <c r="AW173" s="13">
        <f>IF('Council Entry'!AW173="","",IFERROR(MAX(0,MIN(10,ROUND(IF('Council Entry'!AW$7="Decrease Risk",10-10*((IF('Council Entry'!AW$4="Logarithm",LN(0.001+IF(AND(ISNUMBER('Council Entry'!AW$8),ISNUMBER('Council Entry'!AW$9)),MAX(MIN('Council Entry'!AW173,'Council Entry'!AW$9),'Council Entry'!AW$8),'Council Entry'!AW173)),IF('Council Entry'!AW$4="Exponential",EXP(IF(AND(ISNUMBER('Council Entry'!AW$8),ISNUMBER('Council Entry'!AW$9)),MAX(MIN('Council Entry'!AW173,'Council Entry'!AW$9),'Council Entry'!AW$8),'Council Entry'!AW173)),IF(AND(ISNUMBER('Council Entry'!AW$8),ISNUMBER('Council Entry'!AW$9)),MAX(MIN('Council Entry'!AW173,'Council Entry'!AW$9),'Council Entry'!AW$8),'Council Entry'!AW173))))-'Council Entry'!AW$5)/('Council Entry'!AW$6-'Council Entry'!AW$5),10*((IF('Council Entry'!AW$4="Logarithm",LN(0.001+IF(AND(ISNUMBER('Council Entry'!AW$8),ISNUMBER('Council Entry'!AW$9)),MAX(MIN('Council Entry'!AW173,'Council Entry'!AW$9),'Council Entry'!AW$8),'Council Entry'!AW173)),IF('Council Entry'!AW$4="Exponential",EXP(IF(AND(ISNUMBER('Council Entry'!AW$8),ISNUMBER('Council Entry'!AW$9)),MAX(MIN('Council Entry'!AW173,'Council Entry'!AW$9),'Council Entry'!AW$8),'Council Entry'!AW173)),IF(AND(ISNUMBER('Council Entry'!AW$8),ISNUMBER('Council Entry'!AW$9)),MAX(MIN('Council Entry'!AW173,'Council Entry'!AW$9),'Council Entry'!AW$8),'Council Entry'!AW173))))-'Council Entry'!AW$5)/('Council Entry'!AW$6-'Council Entry'!AW$5)),1))),"No data"))</f>
        <v/>
      </c>
      <c r="AX173" s="13">
        <f>IF('Council Entry'!AX173="","",IFERROR(MAX(0,MIN(10,ROUND(IF('Council Entry'!AX$7="Decrease Risk",10-10*((IF('Council Entry'!AX$4="Logarithm",LN(0.001+IF(AND(ISNUMBER('Council Entry'!AX$8),ISNUMBER('Council Entry'!AX$9)),MAX(MIN('Council Entry'!AX173,'Council Entry'!AX$9),'Council Entry'!AX$8),'Council Entry'!AX173)),IF('Council Entry'!AX$4="Exponential",EXP(IF(AND(ISNUMBER('Council Entry'!AX$8),ISNUMBER('Council Entry'!AX$9)),MAX(MIN('Council Entry'!AX173,'Council Entry'!AX$9),'Council Entry'!AX$8),'Council Entry'!AX173)),IF(AND(ISNUMBER('Council Entry'!AX$8),ISNUMBER('Council Entry'!AX$9)),MAX(MIN('Council Entry'!AX173,'Council Entry'!AX$9),'Council Entry'!AX$8),'Council Entry'!AX173))))-'Council Entry'!AX$5)/('Council Entry'!AX$6-'Council Entry'!AX$5),10*((IF('Council Entry'!AX$4="Logarithm",LN(0.001+IF(AND(ISNUMBER('Council Entry'!AX$8),ISNUMBER('Council Entry'!AX$9)),MAX(MIN('Council Entry'!AX173,'Council Entry'!AX$9),'Council Entry'!AX$8),'Council Entry'!AX173)),IF('Council Entry'!AX$4="Exponential",EXP(IF(AND(ISNUMBER('Council Entry'!AX$8),ISNUMBER('Council Entry'!AX$9)),MAX(MIN('Council Entry'!AX173,'Council Entry'!AX$9),'Council Entry'!AX$8),'Council Entry'!AX173)),IF(AND(ISNUMBER('Council Entry'!AX$8),ISNUMBER('Council Entry'!AX$9)),MAX(MIN('Council Entry'!AX173,'Council Entry'!AX$9),'Council Entry'!AX$8),'Council Entry'!AX173))))-'Council Entry'!AX$5)/('Council Entry'!AX$6-'Council Entry'!AX$5)),1))),"No data"))</f>
        <v/>
      </c>
      <c r="AY173" s="13">
        <f>IF('Council Entry'!AY173="","",IFERROR(MAX(0,MIN(10,ROUND(IF('Council Entry'!AY$7="Decrease Risk",10-10*((IF('Council Entry'!AY$4="Logarithm",LN(0.001+IF(AND(ISNUMBER('Council Entry'!AY$8),ISNUMBER('Council Entry'!AY$9)),MAX(MIN('Council Entry'!AY173,'Council Entry'!AY$9),'Council Entry'!AY$8),'Council Entry'!AY173)),IF('Council Entry'!AY$4="Exponential",EXP(IF(AND(ISNUMBER('Council Entry'!AY$8),ISNUMBER('Council Entry'!AY$9)),MAX(MIN('Council Entry'!AY173,'Council Entry'!AY$9),'Council Entry'!AY$8),'Council Entry'!AY173)),IF(AND(ISNUMBER('Council Entry'!AY$8),ISNUMBER('Council Entry'!AY$9)),MAX(MIN('Council Entry'!AY173,'Council Entry'!AY$9),'Council Entry'!AY$8),'Council Entry'!AY173))))-'Council Entry'!AY$5)/('Council Entry'!AY$6-'Council Entry'!AY$5),10*((IF('Council Entry'!AY$4="Logarithm",LN(0.001+IF(AND(ISNUMBER('Council Entry'!AY$8),ISNUMBER('Council Entry'!AY$9)),MAX(MIN('Council Entry'!AY173,'Council Entry'!AY$9),'Council Entry'!AY$8),'Council Entry'!AY173)),IF('Council Entry'!AY$4="Exponential",EXP(IF(AND(ISNUMBER('Council Entry'!AY$8),ISNUMBER('Council Entry'!AY$9)),MAX(MIN('Council Entry'!AY173,'Council Entry'!AY$9),'Council Entry'!AY$8),'Council Entry'!AY173)),IF(AND(ISNUMBER('Council Entry'!AY$8),ISNUMBER('Council Entry'!AY$9)),MAX(MIN('Council Entry'!AY173,'Council Entry'!AY$9),'Council Entry'!AY$8),'Council Entry'!AY173))))-'Council Entry'!AY$5)/('Council Entry'!AY$6-'Council Entry'!AY$5)),1))),"No data"))</f>
        <v/>
      </c>
      <c r="AZ173" s="13">
        <f>IF('Council Entry'!AZ173="","",IFERROR(MAX(0,MIN(10,ROUND(IF('Council Entry'!AZ$7="Decrease Risk",10-10*((IF('Council Entry'!AZ$4="Logarithm",LN(0.001+IF(AND(ISNUMBER('Council Entry'!AZ$8),ISNUMBER('Council Entry'!AZ$9)),MAX(MIN('Council Entry'!AZ173,'Council Entry'!AZ$9),'Council Entry'!AZ$8),'Council Entry'!AZ173)),IF('Council Entry'!AZ$4="Exponential",EXP(IF(AND(ISNUMBER('Council Entry'!AZ$8),ISNUMBER('Council Entry'!AZ$9)),MAX(MIN('Council Entry'!AZ173,'Council Entry'!AZ$9),'Council Entry'!AZ$8),'Council Entry'!AZ173)),IF(AND(ISNUMBER('Council Entry'!AZ$8),ISNUMBER('Council Entry'!AZ$9)),MAX(MIN('Council Entry'!AZ173,'Council Entry'!AZ$9),'Council Entry'!AZ$8),'Council Entry'!AZ173))))-'Council Entry'!AZ$5)/('Council Entry'!AZ$6-'Council Entry'!AZ$5),10*((IF('Council Entry'!AZ$4="Logarithm",LN(0.001+IF(AND(ISNUMBER('Council Entry'!AZ$8),ISNUMBER('Council Entry'!AZ$9)),MAX(MIN('Council Entry'!AZ173,'Council Entry'!AZ$9),'Council Entry'!AZ$8),'Council Entry'!AZ173)),IF('Council Entry'!AZ$4="Exponential",EXP(IF(AND(ISNUMBER('Council Entry'!AZ$8),ISNUMBER('Council Entry'!AZ$9)),MAX(MIN('Council Entry'!AZ173,'Council Entry'!AZ$9),'Council Entry'!AZ$8),'Council Entry'!AZ173)),IF(AND(ISNUMBER('Council Entry'!AZ$8),ISNUMBER('Council Entry'!AZ$9)),MAX(MIN('Council Entry'!AZ173,'Council Entry'!AZ$9),'Council Entry'!AZ$8),'Council Entry'!AZ173))))-'Council Entry'!AZ$5)/('Council Entry'!AZ$6-'Council Entry'!AZ$5)),1))),"No data"))</f>
        <v/>
      </c>
      <c r="BA173" s="13">
        <f>IF('Council Entry'!BA173="","",IFERROR(MAX(0,MIN(10,ROUND(IF('Council Entry'!BA$7="Decrease Risk",10-10*((IF('Council Entry'!BA$4="Logarithm",LN(0.001+IF(AND(ISNUMBER('Council Entry'!BA$8),ISNUMBER('Council Entry'!BA$9)),MAX(MIN('Council Entry'!BA173,'Council Entry'!BA$9),'Council Entry'!BA$8),'Council Entry'!BA173)),IF('Council Entry'!BA$4="Exponential",EXP(IF(AND(ISNUMBER('Council Entry'!BA$8),ISNUMBER('Council Entry'!BA$9)),MAX(MIN('Council Entry'!BA173,'Council Entry'!BA$9),'Council Entry'!BA$8),'Council Entry'!BA173)),IF(AND(ISNUMBER('Council Entry'!BA$8),ISNUMBER('Council Entry'!BA$9)),MAX(MIN('Council Entry'!BA173,'Council Entry'!BA$9),'Council Entry'!BA$8),'Council Entry'!BA173))))-'Council Entry'!BA$5)/('Council Entry'!BA$6-'Council Entry'!BA$5),10*((IF('Council Entry'!BA$4="Logarithm",LN(0.001+IF(AND(ISNUMBER('Council Entry'!BA$8),ISNUMBER('Council Entry'!BA$9)),MAX(MIN('Council Entry'!BA173,'Council Entry'!BA$9),'Council Entry'!BA$8),'Council Entry'!BA173)),IF('Council Entry'!BA$4="Exponential",EXP(IF(AND(ISNUMBER('Council Entry'!BA$8),ISNUMBER('Council Entry'!BA$9)),MAX(MIN('Council Entry'!BA173,'Council Entry'!BA$9),'Council Entry'!BA$8),'Council Entry'!BA173)),IF(AND(ISNUMBER('Council Entry'!BA$8),ISNUMBER('Council Entry'!BA$9)),MAX(MIN('Council Entry'!BA173,'Council Entry'!BA$9),'Council Entry'!BA$8),'Council Entry'!BA173))))-'Council Entry'!BA$5)/('Council Entry'!BA$6-'Council Entry'!BA$5)),1))),"No data"))</f>
        <v/>
      </c>
      <c r="BB173" s="13">
        <f>IF('Council Entry'!BB173="","",IFERROR(MAX(0,MIN(10,ROUND(IF('Council Entry'!BB$7="Decrease Risk",10-10*((IF('Council Entry'!BB$4="Logarithm",LN(0.001+IF(AND(ISNUMBER('Council Entry'!BB$8),ISNUMBER('Council Entry'!BB$9)),MAX(MIN('Council Entry'!BB173,'Council Entry'!BB$9),'Council Entry'!BB$8),'Council Entry'!BB173)),IF('Council Entry'!BB$4="Exponential",EXP(IF(AND(ISNUMBER('Council Entry'!BB$8),ISNUMBER('Council Entry'!BB$9)),MAX(MIN('Council Entry'!BB173,'Council Entry'!BB$9),'Council Entry'!BB$8),'Council Entry'!BB173)),IF(AND(ISNUMBER('Council Entry'!BB$8),ISNUMBER('Council Entry'!BB$9)),MAX(MIN('Council Entry'!BB173,'Council Entry'!BB$9),'Council Entry'!BB$8),'Council Entry'!BB173))))-'Council Entry'!BB$5)/('Council Entry'!BB$6-'Council Entry'!BB$5),10*((IF('Council Entry'!BB$4="Logarithm",LN(0.001+IF(AND(ISNUMBER('Council Entry'!BB$8),ISNUMBER('Council Entry'!BB$9)),MAX(MIN('Council Entry'!BB173,'Council Entry'!BB$9),'Council Entry'!BB$8),'Council Entry'!BB173)),IF('Council Entry'!BB$4="Exponential",EXP(IF(AND(ISNUMBER('Council Entry'!BB$8),ISNUMBER('Council Entry'!BB$9)),MAX(MIN('Council Entry'!BB173,'Council Entry'!BB$9),'Council Entry'!BB$8),'Council Entry'!BB173)),IF(AND(ISNUMBER('Council Entry'!BB$8),ISNUMBER('Council Entry'!BB$9)),MAX(MIN('Council Entry'!BB173,'Council Entry'!BB$9),'Council Entry'!BB$8),'Council Entry'!BB173))))-'Council Entry'!BB$5)/('Council Entry'!BB$6-'Council Entry'!BB$5)),1))),"No data"))</f>
        <v/>
      </c>
      <c r="BC173" s="13">
        <f>IF('Council Entry'!BC173="","",IFERROR(MAX(0,MIN(10,ROUND(IF('Council Entry'!BC$7="Decrease Risk",10-10*((IF('Council Entry'!BC$4="Logarithm",LN(0.001+IF(AND(ISNUMBER('Council Entry'!BC$8),ISNUMBER('Council Entry'!BC$9)),MAX(MIN('Council Entry'!BC173,'Council Entry'!BC$9),'Council Entry'!BC$8),'Council Entry'!BC173)),IF('Council Entry'!BC$4="Exponential",EXP(IF(AND(ISNUMBER('Council Entry'!BC$8),ISNUMBER('Council Entry'!BC$9)),MAX(MIN('Council Entry'!BC173,'Council Entry'!BC$9),'Council Entry'!BC$8),'Council Entry'!BC173)),IF(AND(ISNUMBER('Council Entry'!BC$8),ISNUMBER('Council Entry'!BC$9)),MAX(MIN('Council Entry'!BC173,'Council Entry'!BC$9),'Council Entry'!BC$8),'Council Entry'!BC173))))-'Council Entry'!BC$5)/('Council Entry'!BC$6-'Council Entry'!BC$5),10*((IF('Council Entry'!BC$4="Logarithm",LN(0.001+IF(AND(ISNUMBER('Council Entry'!BC$8),ISNUMBER('Council Entry'!BC$9)),MAX(MIN('Council Entry'!BC173,'Council Entry'!BC$9),'Council Entry'!BC$8),'Council Entry'!BC173)),IF('Council Entry'!BC$4="Exponential",EXP(IF(AND(ISNUMBER('Council Entry'!BC$8),ISNUMBER('Council Entry'!BC$9)),MAX(MIN('Council Entry'!BC173,'Council Entry'!BC$9),'Council Entry'!BC$8),'Council Entry'!BC173)),IF(AND(ISNUMBER('Council Entry'!BC$8),ISNUMBER('Council Entry'!BC$9)),MAX(MIN('Council Entry'!BC173,'Council Entry'!BC$9),'Council Entry'!BC$8),'Council Entry'!BC173))))-'Council Entry'!BC$5)/('Council Entry'!BC$6-'Council Entry'!BC$5)),1))),"No data"))</f>
        <v/>
      </c>
      <c r="BD173" s="13">
        <f>IF('Council Entry'!BD173="","",IFERROR(MAX(0,MIN(10,ROUND(IF('Council Entry'!BD$7="Decrease Risk",10-10*((IF('Council Entry'!BD$4="Logarithm",LN(0.001+IF(AND(ISNUMBER('Council Entry'!BD$8),ISNUMBER('Council Entry'!BD$9)),MAX(MIN('Council Entry'!BD173,'Council Entry'!BD$9),'Council Entry'!BD$8),'Council Entry'!BD173)),IF('Council Entry'!BD$4="Exponential",EXP(IF(AND(ISNUMBER('Council Entry'!BD$8),ISNUMBER('Council Entry'!BD$9)),MAX(MIN('Council Entry'!BD173,'Council Entry'!BD$9),'Council Entry'!BD$8),'Council Entry'!BD173)),IF(AND(ISNUMBER('Council Entry'!BD$8),ISNUMBER('Council Entry'!BD$9)),MAX(MIN('Council Entry'!BD173,'Council Entry'!BD$9),'Council Entry'!BD$8),'Council Entry'!BD173))))-'Council Entry'!BD$5)/('Council Entry'!BD$6-'Council Entry'!BD$5),10*((IF('Council Entry'!BD$4="Logarithm",LN(0.001+IF(AND(ISNUMBER('Council Entry'!BD$8),ISNUMBER('Council Entry'!BD$9)),MAX(MIN('Council Entry'!BD173,'Council Entry'!BD$9),'Council Entry'!BD$8),'Council Entry'!BD173)),IF('Council Entry'!BD$4="Exponential",EXP(IF(AND(ISNUMBER('Council Entry'!BD$8),ISNUMBER('Council Entry'!BD$9)),MAX(MIN('Council Entry'!BD173,'Council Entry'!BD$9),'Council Entry'!BD$8),'Council Entry'!BD173)),IF(AND(ISNUMBER('Council Entry'!BD$8),ISNUMBER('Council Entry'!BD$9)),MAX(MIN('Council Entry'!BD173,'Council Entry'!BD$9),'Council Entry'!BD$8),'Council Entry'!BD173))))-'Council Entry'!BD$5)/('Council Entry'!BD$6-'Council Entry'!BD$5)),1))),"No data"))</f>
        <v/>
      </c>
    </row>
    <row r="174">
      <c r="A174" t="inlineStr">
        <is>
          <t>Simiyu</t>
        </is>
      </c>
      <c r="B174" t="inlineStr">
        <is>
          <t>Meatu District</t>
        </is>
      </c>
      <c r="C174" t="inlineStr">
        <is>
          <t>C171</t>
        </is>
      </c>
      <c r="D174" s="13">
        <f>IF('Council Entry'!D174="","",IFERROR(MAX(0,MIN(10,ROUND(IF('Council Entry'!D$7="Decrease Risk",10-10*((IF('Council Entry'!D$4="Logarithm",LN(0.001+IF(AND(ISNUMBER('Council Entry'!D$8),ISNUMBER('Council Entry'!D$9)),MAX(MIN('Council Entry'!D174,'Council Entry'!D$9),'Council Entry'!D$8),'Council Entry'!D174)),IF('Council Entry'!D$4="Exponential",EXP(IF(AND(ISNUMBER('Council Entry'!D$8),ISNUMBER('Council Entry'!D$9)),MAX(MIN('Council Entry'!D174,'Council Entry'!D$9),'Council Entry'!D$8),'Council Entry'!D174)),IF(AND(ISNUMBER('Council Entry'!D$8),ISNUMBER('Council Entry'!D$9)),MAX(MIN('Council Entry'!D174,'Council Entry'!D$9),'Council Entry'!D$8),'Council Entry'!D174))))-'Council Entry'!D$5)/('Council Entry'!D$6-'Council Entry'!D$5),10*((IF('Council Entry'!D$4="Logarithm",LN(0.001+IF(AND(ISNUMBER('Council Entry'!D$8),ISNUMBER('Council Entry'!D$9)),MAX(MIN('Council Entry'!D174,'Council Entry'!D$9),'Council Entry'!D$8),'Council Entry'!D174)),IF('Council Entry'!D$4="Exponential",EXP(IF(AND(ISNUMBER('Council Entry'!D$8),ISNUMBER('Council Entry'!D$9)),MAX(MIN('Council Entry'!D174,'Council Entry'!D$9),'Council Entry'!D$8),'Council Entry'!D174)),IF(AND(ISNUMBER('Council Entry'!D$8),ISNUMBER('Council Entry'!D$9)),MAX(MIN('Council Entry'!D174,'Council Entry'!D$9),'Council Entry'!D$8),'Council Entry'!D174))))-'Council Entry'!D$5)/('Council Entry'!D$6-'Council Entry'!D$5)),1))),"No data"))</f>
        <v/>
      </c>
      <c r="E174" s="13">
        <f>IF('Council Entry'!E174="","",IFERROR(MAX(0,MIN(10,ROUND(IF('Council Entry'!E$7="Decrease Risk",10-10*((IF('Council Entry'!E$4="Logarithm",LN(0.001+IF(AND(ISNUMBER('Council Entry'!E$8),ISNUMBER('Council Entry'!E$9)),MAX(MIN('Council Entry'!E174,'Council Entry'!E$9),'Council Entry'!E$8),'Council Entry'!E174)),IF('Council Entry'!E$4="Exponential",EXP(IF(AND(ISNUMBER('Council Entry'!E$8),ISNUMBER('Council Entry'!E$9)),MAX(MIN('Council Entry'!E174,'Council Entry'!E$9),'Council Entry'!E$8),'Council Entry'!E174)),IF(AND(ISNUMBER('Council Entry'!E$8),ISNUMBER('Council Entry'!E$9)),MAX(MIN('Council Entry'!E174,'Council Entry'!E$9),'Council Entry'!E$8),'Council Entry'!E174))))-'Council Entry'!E$5)/('Council Entry'!E$6-'Council Entry'!E$5),10*((IF('Council Entry'!E$4="Logarithm",LN(0.001+IF(AND(ISNUMBER('Council Entry'!E$8),ISNUMBER('Council Entry'!E$9)),MAX(MIN('Council Entry'!E174,'Council Entry'!E$9),'Council Entry'!E$8),'Council Entry'!E174)),IF('Council Entry'!E$4="Exponential",EXP(IF(AND(ISNUMBER('Council Entry'!E$8),ISNUMBER('Council Entry'!E$9)),MAX(MIN('Council Entry'!E174,'Council Entry'!E$9),'Council Entry'!E$8),'Council Entry'!E174)),IF(AND(ISNUMBER('Council Entry'!E$8),ISNUMBER('Council Entry'!E$9)),MAX(MIN('Council Entry'!E174,'Council Entry'!E$9),'Council Entry'!E$8),'Council Entry'!E174))))-'Council Entry'!E$5)/('Council Entry'!E$6-'Council Entry'!E$5)),1))),"No data"))</f>
        <v/>
      </c>
      <c r="F174" s="13">
        <f>IF('Council Entry'!F174="","",IFERROR(MAX(0,MIN(10,ROUND(IF('Council Entry'!F$7="Decrease Risk",10-10*((IF('Council Entry'!F$4="Logarithm",LN(0.001+IF(AND(ISNUMBER('Council Entry'!F$8),ISNUMBER('Council Entry'!F$9)),MAX(MIN('Council Entry'!F174,'Council Entry'!F$9),'Council Entry'!F$8),'Council Entry'!F174)),IF('Council Entry'!F$4="Exponential",EXP(IF(AND(ISNUMBER('Council Entry'!F$8),ISNUMBER('Council Entry'!F$9)),MAX(MIN('Council Entry'!F174,'Council Entry'!F$9),'Council Entry'!F$8),'Council Entry'!F174)),IF(AND(ISNUMBER('Council Entry'!F$8),ISNUMBER('Council Entry'!F$9)),MAX(MIN('Council Entry'!F174,'Council Entry'!F$9),'Council Entry'!F$8),'Council Entry'!F174))))-'Council Entry'!F$5)/('Council Entry'!F$6-'Council Entry'!F$5),10*((IF('Council Entry'!F$4="Logarithm",LN(0.001+IF(AND(ISNUMBER('Council Entry'!F$8),ISNUMBER('Council Entry'!F$9)),MAX(MIN('Council Entry'!F174,'Council Entry'!F$9),'Council Entry'!F$8),'Council Entry'!F174)),IF('Council Entry'!F$4="Exponential",EXP(IF(AND(ISNUMBER('Council Entry'!F$8),ISNUMBER('Council Entry'!F$9)),MAX(MIN('Council Entry'!F174,'Council Entry'!F$9),'Council Entry'!F$8),'Council Entry'!F174)),IF(AND(ISNUMBER('Council Entry'!F$8),ISNUMBER('Council Entry'!F$9)),MAX(MIN('Council Entry'!F174,'Council Entry'!F$9),'Council Entry'!F$8),'Council Entry'!F174))))-'Council Entry'!F$5)/('Council Entry'!F$6-'Council Entry'!F$5)),1))),"No data"))</f>
        <v/>
      </c>
      <c r="G174" s="13">
        <f>IF('Council Entry'!G174="","",IFERROR(MAX(0,MIN(10,ROUND(IF('Council Entry'!G$7="Decrease Risk",10-10*((IF('Council Entry'!G$4="Logarithm",LN(0.001+IF(AND(ISNUMBER('Council Entry'!G$8),ISNUMBER('Council Entry'!G$9)),MAX(MIN('Council Entry'!G174,'Council Entry'!G$9),'Council Entry'!G$8),'Council Entry'!G174)),IF('Council Entry'!G$4="Exponential",EXP(IF(AND(ISNUMBER('Council Entry'!G$8),ISNUMBER('Council Entry'!G$9)),MAX(MIN('Council Entry'!G174,'Council Entry'!G$9),'Council Entry'!G$8),'Council Entry'!G174)),IF(AND(ISNUMBER('Council Entry'!G$8),ISNUMBER('Council Entry'!G$9)),MAX(MIN('Council Entry'!G174,'Council Entry'!G$9),'Council Entry'!G$8),'Council Entry'!G174))))-'Council Entry'!G$5)/('Council Entry'!G$6-'Council Entry'!G$5),10*((IF('Council Entry'!G$4="Logarithm",LN(0.001+IF(AND(ISNUMBER('Council Entry'!G$8),ISNUMBER('Council Entry'!G$9)),MAX(MIN('Council Entry'!G174,'Council Entry'!G$9),'Council Entry'!G$8),'Council Entry'!G174)),IF('Council Entry'!G$4="Exponential",EXP(IF(AND(ISNUMBER('Council Entry'!G$8),ISNUMBER('Council Entry'!G$9)),MAX(MIN('Council Entry'!G174,'Council Entry'!G$9),'Council Entry'!G$8),'Council Entry'!G174)),IF(AND(ISNUMBER('Council Entry'!G$8),ISNUMBER('Council Entry'!G$9)),MAX(MIN('Council Entry'!G174,'Council Entry'!G$9),'Council Entry'!G$8),'Council Entry'!G174))))-'Council Entry'!G$5)/('Council Entry'!G$6-'Council Entry'!G$5)),1))),"No data"))</f>
        <v/>
      </c>
      <c r="H174" s="13">
        <f>IF('Council Entry'!H174="","",IFERROR(MAX(0,MIN(10,ROUND(IF('Council Entry'!H$7="Decrease Risk",10-10*((IF('Council Entry'!H$4="Logarithm",LN(0.001+IF(AND(ISNUMBER('Council Entry'!H$8),ISNUMBER('Council Entry'!H$9)),MAX(MIN('Council Entry'!H174,'Council Entry'!H$9),'Council Entry'!H$8),'Council Entry'!H174)),IF('Council Entry'!H$4="Exponential",EXP(IF(AND(ISNUMBER('Council Entry'!H$8),ISNUMBER('Council Entry'!H$9)),MAX(MIN('Council Entry'!H174,'Council Entry'!H$9),'Council Entry'!H$8),'Council Entry'!H174)),IF(AND(ISNUMBER('Council Entry'!H$8),ISNUMBER('Council Entry'!H$9)),MAX(MIN('Council Entry'!H174,'Council Entry'!H$9),'Council Entry'!H$8),'Council Entry'!H174))))-'Council Entry'!H$5)/('Council Entry'!H$6-'Council Entry'!H$5),10*((IF('Council Entry'!H$4="Logarithm",LN(0.001+IF(AND(ISNUMBER('Council Entry'!H$8),ISNUMBER('Council Entry'!H$9)),MAX(MIN('Council Entry'!H174,'Council Entry'!H$9),'Council Entry'!H$8),'Council Entry'!H174)),IF('Council Entry'!H$4="Exponential",EXP(IF(AND(ISNUMBER('Council Entry'!H$8),ISNUMBER('Council Entry'!H$9)),MAX(MIN('Council Entry'!H174,'Council Entry'!H$9),'Council Entry'!H$8),'Council Entry'!H174)),IF(AND(ISNUMBER('Council Entry'!H$8),ISNUMBER('Council Entry'!H$9)),MAX(MIN('Council Entry'!H174,'Council Entry'!H$9),'Council Entry'!H$8),'Council Entry'!H174))))-'Council Entry'!H$5)/('Council Entry'!H$6-'Council Entry'!H$5)),1))),"No data"))</f>
        <v/>
      </c>
      <c r="I174" s="13">
        <f>IF('Council Entry'!I174="","",IFERROR(MAX(0,MIN(10,ROUND(IF('Council Entry'!I$7="Decrease Risk",10-10*((IF('Council Entry'!I$4="Logarithm",LN(0.001+IF(AND(ISNUMBER('Council Entry'!I$8),ISNUMBER('Council Entry'!I$9)),MAX(MIN('Council Entry'!I174,'Council Entry'!I$9),'Council Entry'!I$8),'Council Entry'!I174)),IF('Council Entry'!I$4="Exponential",EXP(IF(AND(ISNUMBER('Council Entry'!I$8),ISNUMBER('Council Entry'!I$9)),MAX(MIN('Council Entry'!I174,'Council Entry'!I$9),'Council Entry'!I$8),'Council Entry'!I174)),IF(AND(ISNUMBER('Council Entry'!I$8),ISNUMBER('Council Entry'!I$9)),MAX(MIN('Council Entry'!I174,'Council Entry'!I$9),'Council Entry'!I$8),'Council Entry'!I174))))-'Council Entry'!I$5)/('Council Entry'!I$6-'Council Entry'!I$5),10*((IF('Council Entry'!I$4="Logarithm",LN(0.001+IF(AND(ISNUMBER('Council Entry'!I$8),ISNUMBER('Council Entry'!I$9)),MAX(MIN('Council Entry'!I174,'Council Entry'!I$9),'Council Entry'!I$8),'Council Entry'!I174)),IF('Council Entry'!I$4="Exponential",EXP(IF(AND(ISNUMBER('Council Entry'!I$8),ISNUMBER('Council Entry'!I$9)),MAX(MIN('Council Entry'!I174,'Council Entry'!I$9),'Council Entry'!I$8),'Council Entry'!I174)),IF(AND(ISNUMBER('Council Entry'!I$8),ISNUMBER('Council Entry'!I$9)),MAX(MIN('Council Entry'!I174,'Council Entry'!I$9),'Council Entry'!I$8),'Council Entry'!I174))))-'Council Entry'!I$5)/('Council Entry'!I$6-'Council Entry'!I$5)),1))),"No data"))</f>
        <v/>
      </c>
      <c r="J174" s="13">
        <f>IF('Council Entry'!J174="","",IFERROR(MAX(0,MIN(10,ROUND(IF('Council Entry'!J$7="Decrease Risk",10-10*((IF('Council Entry'!J$4="Logarithm",LN(0.001+IF(AND(ISNUMBER('Council Entry'!J$8),ISNUMBER('Council Entry'!J$9)),MAX(MIN('Council Entry'!J174,'Council Entry'!J$9),'Council Entry'!J$8),'Council Entry'!J174)),IF('Council Entry'!J$4="Exponential",EXP(IF(AND(ISNUMBER('Council Entry'!J$8),ISNUMBER('Council Entry'!J$9)),MAX(MIN('Council Entry'!J174,'Council Entry'!J$9),'Council Entry'!J$8),'Council Entry'!J174)),IF(AND(ISNUMBER('Council Entry'!J$8),ISNUMBER('Council Entry'!J$9)),MAX(MIN('Council Entry'!J174,'Council Entry'!J$9),'Council Entry'!J$8),'Council Entry'!J174))))-'Council Entry'!J$5)/('Council Entry'!J$6-'Council Entry'!J$5),10*((IF('Council Entry'!J$4="Logarithm",LN(0.001+IF(AND(ISNUMBER('Council Entry'!J$8),ISNUMBER('Council Entry'!J$9)),MAX(MIN('Council Entry'!J174,'Council Entry'!J$9),'Council Entry'!J$8),'Council Entry'!J174)),IF('Council Entry'!J$4="Exponential",EXP(IF(AND(ISNUMBER('Council Entry'!J$8),ISNUMBER('Council Entry'!J$9)),MAX(MIN('Council Entry'!J174,'Council Entry'!J$9),'Council Entry'!J$8),'Council Entry'!J174)),IF(AND(ISNUMBER('Council Entry'!J$8),ISNUMBER('Council Entry'!J$9)),MAX(MIN('Council Entry'!J174,'Council Entry'!J$9),'Council Entry'!J$8),'Council Entry'!J174))))-'Council Entry'!J$5)/('Council Entry'!J$6-'Council Entry'!J$5)),1))),"No data"))</f>
        <v/>
      </c>
      <c r="K174" s="13">
        <f>IF('Council Entry'!K174="","",IFERROR(MAX(0,MIN(10,ROUND(IF('Council Entry'!K$7="Decrease Risk",10-10*((IF('Council Entry'!K$4="Logarithm",LN(0.001+IF(AND(ISNUMBER('Council Entry'!K$8),ISNUMBER('Council Entry'!K$9)),MAX(MIN('Council Entry'!K174,'Council Entry'!K$9),'Council Entry'!K$8),'Council Entry'!K174)),IF('Council Entry'!K$4="Exponential",EXP(IF(AND(ISNUMBER('Council Entry'!K$8),ISNUMBER('Council Entry'!K$9)),MAX(MIN('Council Entry'!K174,'Council Entry'!K$9),'Council Entry'!K$8),'Council Entry'!K174)),IF(AND(ISNUMBER('Council Entry'!K$8),ISNUMBER('Council Entry'!K$9)),MAX(MIN('Council Entry'!K174,'Council Entry'!K$9),'Council Entry'!K$8),'Council Entry'!K174))))-'Council Entry'!K$5)/('Council Entry'!K$6-'Council Entry'!K$5),10*((IF('Council Entry'!K$4="Logarithm",LN(0.001+IF(AND(ISNUMBER('Council Entry'!K$8),ISNUMBER('Council Entry'!K$9)),MAX(MIN('Council Entry'!K174,'Council Entry'!K$9),'Council Entry'!K$8),'Council Entry'!K174)),IF('Council Entry'!K$4="Exponential",EXP(IF(AND(ISNUMBER('Council Entry'!K$8),ISNUMBER('Council Entry'!K$9)),MAX(MIN('Council Entry'!K174,'Council Entry'!K$9),'Council Entry'!K$8),'Council Entry'!K174)),IF(AND(ISNUMBER('Council Entry'!K$8),ISNUMBER('Council Entry'!K$9)),MAX(MIN('Council Entry'!K174,'Council Entry'!K$9),'Council Entry'!K$8),'Council Entry'!K174))))-'Council Entry'!K$5)/('Council Entry'!K$6-'Council Entry'!K$5)),1))),"No data"))</f>
        <v/>
      </c>
      <c r="L174" s="13">
        <f>IF('Council Entry'!L174="","",IFERROR(MAX(0,MIN(10,ROUND(IF('Council Entry'!L$7="Decrease Risk",10-10*((IF('Council Entry'!L$4="Logarithm",LN(0.001+IF(AND(ISNUMBER('Council Entry'!L$8),ISNUMBER('Council Entry'!L$9)),MAX(MIN('Council Entry'!L174,'Council Entry'!L$9),'Council Entry'!L$8),'Council Entry'!L174)),IF('Council Entry'!L$4="Exponential",EXP(IF(AND(ISNUMBER('Council Entry'!L$8),ISNUMBER('Council Entry'!L$9)),MAX(MIN('Council Entry'!L174,'Council Entry'!L$9),'Council Entry'!L$8),'Council Entry'!L174)),IF(AND(ISNUMBER('Council Entry'!L$8),ISNUMBER('Council Entry'!L$9)),MAX(MIN('Council Entry'!L174,'Council Entry'!L$9),'Council Entry'!L$8),'Council Entry'!L174))))-'Council Entry'!L$5)/('Council Entry'!L$6-'Council Entry'!L$5),10*((IF('Council Entry'!L$4="Logarithm",LN(0.001+IF(AND(ISNUMBER('Council Entry'!L$8),ISNUMBER('Council Entry'!L$9)),MAX(MIN('Council Entry'!L174,'Council Entry'!L$9),'Council Entry'!L$8),'Council Entry'!L174)),IF('Council Entry'!L$4="Exponential",EXP(IF(AND(ISNUMBER('Council Entry'!L$8),ISNUMBER('Council Entry'!L$9)),MAX(MIN('Council Entry'!L174,'Council Entry'!L$9),'Council Entry'!L$8),'Council Entry'!L174)),IF(AND(ISNUMBER('Council Entry'!L$8),ISNUMBER('Council Entry'!L$9)),MAX(MIN('Council Entry'!L174,'Council Entry'!L$9),'Council Entry'!L$8),'Council Entry'!L174))))-'Council Entry'!L$5)/('Council Entry'!L$6-'Council Entry'!L$5)),1))),"No data"))</f>
        <v/>
      </c>
      <c r="M174" s="13">
        <f>IF('Council Entry'!M174="","",IFERROR(MAX(0,MIN(10,ROUND(IF('Council Entry'!M$7="Decrease Risk",10-10*((IF('Council Entry'!M$4="Logarithm",LN(0.001+IF(AND(ISNUMBER('Council Entry'!M$8),ISNUMBER('Council Entry'!M$9)),MAX(MIN('Council Entry'!M174,'Council Entry'!M$9),'Council Entry'!M$8),'Council Entry'!M174)),IF('Council Entry'!M$4="Exponential",EXP(IF(AND(ISNUMBER('Council Entry'!M$8),ISNUMBER('Council Entry'!M$9)),MAX(MIN('Council Entry'!M174,'Council Entry'!M$9),'Council Entry'!M$8),'Council Entry'!M174)),IF(AND(ISNUMBER('Council Entry'!M$8),ISNUMBER('Council Entry'!M$9)),MAX(MIN('Council Entry'!M174,'Council Entry'!M$9),'Council Entry'!M$8),'Council Entry'!M174))))-'Council Entry'!M$5)/('Council Entry'!M$6-'Council Entry'!M$5),10*((IF('Council Entry'!M$4="Logarithm",LN(0.001+IF(AND(ISNUMBER('Council Entry'!M$8),ISNUMBER('Council Entry'!M$9)),MAX(MIN('Council Entry'!M174,'Council Entry'!M$9),'Council Entry'!M$8),'Council Entry'!M174)),IF('Council Entry'!M$4="Exponential",EXP(IF(AND(ISNUMBER('Council Entry'!M$8),ISNUMBER('Council Entry'!M$9)),MAX(MIN('Council Entry'!M174,'Council Entry'!M$9),'Council Entry'!M$8),'Council Entry'!M174)),IF(AND(ISNUMBER('Council Entry'!M$8),ISNUMBER('Council Entry'!M$9)),MAX(MIN('Council Entry'!M174,'Council Entry'!M$9),'Council Entry'!M$8),'Council Entry'!M174))))-'Council Entry'!M$5)/('Council Entry'!M$6-'Council Entry'!M$5)),1))),"No data"))</f>
        <v/>
      </c>
      <c r="N174" s="13">
        <f>IF('Council Entry'!N174="","",IFERROR(MAX(0,MIN(10,ROUND(IF('Council Entry'!N$7="Decrease Risk",10-10*((IF('Council Entry'!N$4="Logarithm",LN(0.001+IF(AND(ISNUMBER('Council Entry'!N$8),ISNUMBER('Council Entry'!N$9)),MAX(MIN('Council Entry'!N174,'Council Entry'!N$9),'Council Entry'!N$8),'Council Entry'!N174)),IF('Council Entry'!N$4="Exponential",EXP(IF(AND(ISNUMBER('Council Entry'!N$8),ISNUMBER('Council Entry'!N$9)),MAX(MIN('Council Entry'!N174,'Council Entry'!N$9),'Council Entry'!N$8),'Council Entry'!N174)),IF(AND(ISNUMBER('Council Entry'!N$8),ISNUMBER('Council Entry'!N$9)),MAX(MIN('Council Entry'!N174,'Council Entry'!N$9),'Council Entry'!N$8),'Council Entry'!N174))))-'Council Entry'!N$5)/('Council Entry'!N$6-'Council Entry'!N$5),10*((IF('Council Entry'!N$4="Logarithm",LN(0.001+IF(AND(ISNUMBER('Council Entry'!N$8),ISNUMBER('Council Entry'!N$9)),MAX(MIN('Council Entry'!N174,'Council Entry'!N$9),'Council Entry'!N$8),'Council Entry'!N174)),IF('Council Entry'!N$4="Exponential",EXP(IF(AND(ISNUMBER('Council Entry'!N$8),ISNUMBER('Council Entry'!N$9)),MAX(MIN('Council Entry'!N174,'Council Entry'!N$9),'Council Entry'!N$8),'Council Entry'!N174)),IF(AND(ISNUMBER('Council Entry'!N$8),ISNUMBER('Council Entry'!N$9)),MAX(MIN('Council Entry'!N174,'Council Entry'!N$9),'Council Entry'!N$8),'Council Entry'!N174))))-'Council Entry'!N$5)/('Council Entry'!N$6-'Council Entry'!N$5)),1))),"No data"))</f>
        <v/>
      </c>
      <c r="O174" s="13">
        <f>IF('Council Entry'!O174="","",IFERROR(MAX(0,MIN(10,ROUND(IF('Council Entry'!O$7="Decrease Risk",10-10*((IF('Council Entry'!O$4="Logarithm",LN(0.001+IF(AND(ISNUMBER('Council Entry'!O$8),ISNUMBER('Council Entry'!O$9)),MAX(MIN('Council Entry'!O174,'Council Entry'!O$9),'Council Entry'!O$8),'Council Entry'!O174)),IF('Council Entry'!O$4="Exponential",EXP(IF(AND(ISNUMBER('Council Entry'!O$8),ISNUMBER('Council Entry'!O$9)),MAX(MIN('Council Entry'!O174,'Council Entry'!O$9),'Council Entry'!O$8),'Council Entry'!O174)),IF(AND(ISNUMBER('Council Entry'!O$8),ISNUMBER('Council Entry'!O$9)),MAX(MIN('Council Entry'!O174,'Council Entry'!O$9),'Council Entry'!O$8),'Council Entry'!O174))))-'Council Entry'!O$5)/('Council Entry'!O$6-'Council Entry'!O$5),10*((IF('Council Entry'!O$4="Logarithm",LN(0.001+IF(AND(ISNUMBER('Council Entry'!O$8),ISNUMBER('Council Entry'!O$9)),MAX(MIN('Council Entry'!O174,'Council Entry'!O$9),'Council Entry'!O$8),'Council Entry'!O174)),IF('Council Entry'!O$4="Exponential",EXP(IF(AND(ISNUMBER('Council Entry'!O$8),ISNUMBER('Council Entry'!O$9)),MAX(MIN('Council Entry'!O174,'Council Entry'!O$9),'Council Entry'!O$8),'Council Entry'!O174)),IF(AND(ISNUMBER('Council Entry'!O$8),ISNUMBER('Council Entry'!O$9)),MAX(MIN('Council Entry'!O174,'Council Entry'!O$9),'Council Entry'!O$8),'Council Entry'!O174))))-'Council Entry'!O$5)/('Council Entry'!O$6-'Council Entry'!O$5)),1))),"No data"))</f>
        <v/>
      </c>
      <c r="P174" s="13">
        <f>IF('Council Entry'!P174="","",IFERROR(MAX(0,MIN(10,ROUND(IF('Council Entry'!P$7="Decrease Risk",10-10*((IF('Council Entry'!P$4="Logarithm",LN(0.001+IF(AND(ISNUMBER('Council Entry'!P$8),ISNUMBER('Council Entry'!P$9)),MAX(MIN('Council Entry'!P174,'Council Entry'!P$9),'Council Entry'!P$8),'Council Entry'!P174)),IF('Council Entry'!P$4="Exponential",EXP(IF(AND(ISNUMBER('Council Entry'!P$8),ISNUMBER('Council Entry'!P$9)),MAX(MIN('Council Entry'!P174,'Council Entry'!P$9),'Council Entry'!P$8),'Council Entry'!P174)),IF(AND(ISNUMBER('Council Entry'!P$8),ISNUMBER('Council Entry'!P$9)),MAX(MIN('Council Entry'!P174,'Council Entry'!P$9),'Council Entry'!P$8),'Council Entry'!P174))))-'Council Entry'!P$5)/('Council Entry'!P$6-'Council Entry'!P$5),10*((IF('Council Entry'!P$4="Logarithm",LN(0.001+IF(AND(ISNUMBER('Council Entry'!P$8),ISNUMBER('Council Entry'!P$9)),MAX(MIN('Council Entry'!P174,'Council Entry'!P$9),'Council Entry'!P$8),'Council Entry'!P174)),IF('Council Entry'!P$4="Exponential",EXP(IF(AND(ISNUMBER('Council Entry'!P$8),ISNUMBER('Council Entry'!P$9)),MAX(MIN('Council Entry'!P174,'Council Entry'!P$9),'Council Entry'!P$8),'Council Entry'!P174)),IF(AND(ISNUMBER('Council Entry'!P$8),ISNUMBER('Council Entry'!P$9)),MAX(MIN('Council Entry'!P174,'Council Entry'!P$9),'Council Entry'!P$8),'Council Entry'!P174))))-'Council Entry'!P$5)/('Council Entry'!P$6-'Council Entry'!P$5)),1))),"No data"))</f>
        <v/>
      </c>
      <c r="Q174" s="13">
        <f>IF('Council Entry'!Q174="","",IFERROR(MAX(0,MIN(10,ROUND(IF('Council Entry'!Q$7="Decrease Risk",10-10*((IF('Council Entry'!Q$4="Logarithm",LN(0.001+IF(AND(ISNUMBER('Council Entry'!Q$8),ISNUMBER('Council Entry'!Q$9)),MAX(MIN('Council Entry'!Q174,'Council Entry'!Q$9),'Council Entry'!Q$8),'Council Entry'!Q174)),IF('Council Entry'!Q$4="Exponential",EXP(IF(AND(ISNUMBER('Council Entry'!Q$8),ISNUMBER('Council Entry'!Q$9)),MAX(MIN('Council Entry'!Q174,'Council Entry'!Q$9),'Council Entry'!Q$8),'Council Entry'!Q174)),IF(AND(ISNUMBER('Council Entry'!Q$8),ISNUMBER('Council Entry'!Q$9)),MAX(MIN('Council Entry'!Q174,'Council Entry'!Q$9),'Council Entry'!Q$8),'Council Entry'!Q174))))-'Council Entry'!Q$5)/('Council Entry'!Q$6-'Council Entry'!Q$5),10*((IF('Council Entry'!Q$4="Logarithm",LN(0.001+IF(AND(ISNUMBER('Council Entry'!Q$8),ISNUMBER('Council Entry'!Q$9)),MAX(MIN('Council Entry'!Q174,'Council Entry'!Q$9),'Council Entry'!Q$8),'Council Entry'!Q174)),IF('Council Entry'!Q$4="Exponential",EXP(IF(AND(ISNUMBER('Council Entry'!Q$8),ISNUMBER('Council Entry'!Q$9)),MAX(MIN('Council Entry'!Q174,'Council Entry'!Q$9),'Council Entry'!Q$8),'Council Entry'!Q174)),IF(AND(ISNUMBER('Council Entry'!Q$8),ISNUMBER('Council Entry'!Q$9)),MAX(MIN('Council Entry'!Q174,'Council Entry'!Q$9),'Council Entry'!Q$8),'Council Entry'!Q174))))-'Council Entry'!Q$5)/('Council Entry'!Q$6-'Council Entry'!Q$5)),1))),"No data"))</f>
        <v/>
      </c>
      <c r="R174" s="13">
        <f>IF('Council Entry'!R174="","",IFERROR(MAX(0,MIN(10,ROUND(IF('Council Entry'!R$7="Decrease Risk",10-10*((IF('Council Entry'!R$4="Logarithm",LN(0.001+IF(AND(ISNUMBER('Council Entry'!R$8),ISNUMBER('Council Entry'!R$9)),MAX(MIN('Council Entry'!R174,'Council Entry'!R$9),'Council Entry'!R$8),'Council Entry'!R174)),IF('Council Entry'!R$4="Exponential",EXP(IF(AND(ISNUMBER('Council Entry'!R$8),ISNUMBER('Council Entry'!R$9)),MAX(MIN('Council Entry'!R174,'Council Entry'!R$9),'Council Entry'!R$8),'Council Entry'!R174)),IF(AND(ISNUMBER('Council Entry'!R$8),ISNUMBER('Council Entry'!R$9)),MAX(MIN('Council Entry'!R174,'Council Entry'!R$9),'Council Entry'!R$8),'Council Entry'!R174))))-'Council Entry'!R$5)/('Council Entry'!R$6-'Council Entry'!R$5),10*((IF('Council Entry'!R$4="Logarithm",LN(0.001+IF(AND(ISNUMBER('Council Entry'!R$8),ISNUMBER('Council Entry'!R$9)),MAX(MIN('Council Entry'!R174,'Council Entry'!R$9),'Council Entry'!R$8),'Council Entry'!R174)),IF('Council Entry'!R$4="Exponential",EXP(IF(AND(ISNUMBER('Council Entry'!R$8),ISNUMBER('Council Entry'!R$9)),MAX(MIN('Council Entry'!R174,'Council Entry'!R$9),'Council Entry'!R$8),'Council Entry'!R174)),IF(AND(ISNUMBER('Council Entry'!R$8),ISNUMBER('Council Entry'!R$9)),MAX(MIN('Council Entry'!R174,'Council Entry'!R$9),'Council Entry'!R$8),'Council Entry'!R174))))-'Council Entry'!R$5)/('Council Entry'!R$6-'Council Entry'!R$5)),1))),"No data"))</f>
        <v/>
      </c>
      <c r="S174" s="13">
        <f>IF('Council Entry'!S174="","",IFERROR(MAX(0,MIN(10,ROUND(IF('Council Entry'!S$7="Decrease Risk",10-10*((IF('Council Entry'!S$4="Logarithm",LN(0.001+IF(AND(ISNUMBER('Council Entry'!S$8),ISNUMBER('Council Entry'!S$9)),MAX(MIN('Council Entry'!S174,'Council Entry'!S$9),'Council Entry'!S$8),'Council Entry'!S174)),IF('Council Entry'!S$4="Exponential",EXP(IF(AND(ISNUMBER('Council Entry'!S$8),ISNUMBER('Council Entry'!S$9)),MAX(MIN('Council Entry'!S174,'Council Entry'!S$9),'Council Entry'!S$8),'Council Entry'!S174)),IF(AND(ISNUMBER('Council Entry'!S$8),ISNUMBER('Council Entry'!S$9)),MAX(MIN('Council Entry'!S174,'Council Entry'!S$9),'Council Entry'!S$8),'Council Entry'!S174))))-'Council Entry'!S$5)/('Council Entry'!S$6-'Council Entry'!S$5),10*((IF('Council Entry'!S$4="Logarithm",LN(0.001+IF(AND(ISNUMBER('Council Entry'!S$8),ISNUMBER('Council Entry'!S$9)),MAX(MIN('Council Entry'!S174,'Council Entry'!S$9),'Council Entry'!S$8),'Council Entry'!S174)),IF('Council Entry'!S$4="Exponential",EXP(IF(AND(ISNUMBER('Council Entry'!S$8),ISNUMBER('Council Entry'!S$9)),MAX(MIN('Council Entry'!S174,'Council Entry'!S$9),'Council Entry'!S$8),'Council Entry'!S174)),IF(AND(ISNUMBER('Council Entry'!S$8),ISNUMBER('Council Entry'!S$9)),MAX(MIN('Council Entry'!S174,'Council Entry'!S$9),'Council Entry'!S$8),'Council Entry'!S174))))-'Council Entry'!S$5)/('Council Entry'!S$6-'Council Entry'!S$5)),1))),"No data"))</f>
        <v/>
      </c>
      <c r="T174" s="13">
        <f>IF('Council Entry'!T174="","",IFERROR(MAX(0,MIN(10,ROUND(IF('Council Entry'!T$7="Decrease Risk",10-10*((IF('Council Entry'!T$4="Logarithm",LN(0.001+IF(AND(ISNUMBER('Council Entry'!T$8),ISNUMBER('Council Entry'!T$9)),MAX(MIN('Council Entry'!T174,'Council Entry'!T$9),'Council Entry'!T$8),'Council Entry'!T174)),IF('Council Entry'!T$4="Exponential",EXP(IF(AND(ISNUMBER('Council Entry'!T$8),ISNUMBER('Council Entry'!T$9)),MAX(MIN('Council Entry'!T174,'Council Entry'!T$9),'Council Entry'!T$8),'Council Entry'!T174)),IF(AND(ISNUMBER('Council Entry'!T$8),ISNUMBER('Council Entry'!T$9)),MAX(MIN('Council Entry'!T174,'Council Entry'!T$9),'Council Entry'!T$8),'Council Entry'!T174))))-'Council Entry'!T$5)/('Council Entry'!T$6-'Council Entry'!T$5),10*((IF('Council Entry'!T$4="Logarithm",LN(0.001+IF(AND(ISNUMBER('Council Entry'!T$8),ISNUMBER('Council Entry'!T$9)),MAX(MIN('Council Entry'!T174,'Council Entry'!T$9),'Council Entry'!T$8),'Council Entry'!T174)),IF('Council Entry'!T$4="Exponential",EXP(IF(AND(ISNUMBER('Council Entry'!T$8),ISNUMBER('Council Entry'!T$9)),MAX(MIN('Council Entry'!T174,'Council Entry'!T$9),'Council Entry'!T$8),'Council Entry'!T174)),IF(AND(ISNUMBER('Council Entry'!T$8),ISNUMBER('Council Entry'!T$9)),MAX(MIN('Council Entry'!T174,'Council Entry'!T$9),'Council Entry'!T$8),'Council Entry'!T174))))-'Council Entry'!T$5)/('Council Entry'!T$6-'Council Entry'!T$5)),1))),"No data"))</f>
        <v/>
      </c>
      <c r="U174" s="13">
        <f>IF('Council Entry'!U174="","",IFERROR(MAX(0,MIN(10,ROUND(IF('Council Entry'!U$7="Decrease Risk",10-10*((IF('Council Entry'!U$4="Logarithm",LN(0.001+IF(AND(ISNUMBER('Council Entry'!U$8),ISNUMBER('Council Entry'!U$9)),MAX(MIN('Council Entry'!U174,'Council Entry'!U$9),'Council Entry'!U$8),'Council Entry'!U174)),IF('Council Entry'!U$4="Exponential",EXP(IF(AND(ISNUMBER('Council Entry'!U$8),ISNUMBER('Council Entry'!U$9)),MAX(MIN('Council Entry'!U174,'Council Entry'!U$9),'Council Entry'!U$8),'Council Entry'!U174)),IF(AND(ISNUMBER('Council Entry'!U$8),ISNUMBER('Council Entry'!U$9)),MAX(MIN('Council Entry'!U174,'Council Entry'!U$9),'Council Entry'!U$8),'Council Entry'!U174))))-'Council Entry'!U$5)/('Council Entry'!U$6-'Council Entry'!U$5),10*((IF('Council Entry'!U$4="Logarithm",LN(0.001+IF(AND(ISNUMBER('Council Entry'!U$8),ISNUMBER('Council Entry'!U$9)),MAX(MIN('Council Entry'!U174,'Council Entry'!U$9),'Council Entry'!U$8),'Council Entry'!U174)),IF('Council Entry'!U$4="Exponential",EXP(IF(AND(ISNUMBER('Council Entry'!U$8),ISNUMBER('Council Entry'!U$9)),MAX(MIN('Council Entry'!U174,'Council Entry'!U$9),'Council Entry'!U$8),'Council Entry'!U174)),IF(AND(ISNUMBER('Council Entry'!U$8),ISNUMBER('Council Entry'!U$9)),MAX(MIN('Council Entry'!U174,'Council Entry'!U$9),'Council Entry'!U$8),'Council Entry'!U174))))-'Council Entry'!U$5)/('Council Entry'!U$6-'Council Entry'!U$5)),1))),"No data"))</f>
        <v/>
      </c>
      <c r="V174" s="13">
        <f>IF('Council Entry'!V174="","",IFERROR(MAX(0,MIN(10,ROUND(IF('Council Entry'!V$7="Decrease Risk",10-10*((IF('Council Entry'!V$4="Logarithm",LN(0.001+IF(AND(ISNUMBER('Council Entry'!V$8),ISNUMBER('Council Entry'!V$9)),MAX(MIN('Council Entry'!V174,'Council Entry'!V$9),'Council Entry'!V$8),'Council Entry'!V174)),IF('Council Entry'!V$4="Exponential",EXP(IF(AND(ISNUMBER('Council Entry'!V$8),ISNUMBER('Council Entry'!V$9)),MAX(MIN('Council Entry'!V174,'Council Entry'!V$9),'Council Entry'!V$8),'Council Entry'!V174)),IF(AND(ISNUMBER('Council Entry'!V$8),ISNUMBER('Council Entry'!V$9)),MAX(MIN('Council Entry'!V174,'Council Entry'!V$9),'Council Entry'!V$8),'Council Entry'!V174))))-'Council Entry'!V$5)/('Council Entry'!V$6-'Council Entry'!V$5),10*((IF('Council Entry'!V$4="Logarithm",LN(0.001+IF(AND(ISNUMBER('Council Entry'!V$8),ISNUMBER('Council Entry'!V$9)),MAX(MIN('Council Entry'!V174,'Council Entry'!V$9),'Council Entry'!V$8),'Council Entry'!V174)),IF('Council Entry'!V$4="Exponential",EXP(IF(AND(ISNUMBER('Council Entry'!V$8),ISNUMBER('Council Entry'!V$9)),MAX(MIN('Council Entry'!V174,'Council Entry'!V$9),'Council Entry'!V$8),'Council Entry'!V174)),IF(AND(ISNUMBER('Council Entry'!V$8),ISNUMBER('Council Entry'!V$9)),MAX(MIN('Council Entry'!V174,'Council Entry'!V$9),'Council Entry'!V$8),'Council Entry'!V174))))-'Council Entry'!V$5)/('Council Entry'!V$6-'Council Entry'!V$5)),1))),"No data"))</f>
        <v/>
      </c>
      <c r="W174" s="13">
        <f>IF('Council Entry'!W174="","",IFERROR(MAX(0,MIN(10,ROUND(IF('Council Entry'!W$7="Decrease Risk",10-10*((IF('Council Entry'!W$4="Logarithm",LN(0.001+IF(AND(ISNUMBER('Council Entry'!W$8),ISNUMBER('Council Entry'!W$9)),MAX(MIN('Council Entry'!W174,'Council Entry'!W$9),'Council Entry'!W$8),'Council Entry'!W174)),IF('Council Entry'!W$4="Exponential",EXP(IF(AND(ISNUMBER('Council Entry'!W$8),ISNUMBER('Council Entry'!W$9)),MAX(MIN('Council Entry'!W174,'Council Entry'!W$9),'Council Entry'!W$8),'Council Entry'!W174)),IF(AND(ISNUMBER('Council Entry'!W$8),ISNUMBER('Council Entry'!W$9)),MAX(MIN('Council Entry'!W174,'Council Entry'!W$9),'Council Entry'!W$8),'Council Entry'!W174))))-'Council Entry'!W$5)/('Council Entry'!W$6-'Council Entry'!W$5),10*((IF('Council Entry'!W$4="Logarithm",LN(0.001+IF(AND(ISNUMBER('Council Entry'!W$8),ISNUMBER('Council Entry'!W$9)),MAX(MIN('Council Entry'!W174,'Council Entry'!W$9),'Council Entry'!W$8),'Council Entry'!W174)),IF('Council Entry'!W$4="Exponential",EXP(IF(AND(ISNUMBER('Council Entry'!W$8),ISNUMBER('Council Entry'!W$9)),MAX(MIN('Council Entry'!W174,'Council Entry'!W$9),'Council Entry'!W$8),'Council Entry'!W174)),IF(AND(ISNUMBER('Council Entry'!W$8),ISNUMBER('Council Entry'!W$9)),MAX(MIN('Council Entry'!W174,'Council Entry'!W$9),'Council Entry'!W$8),'Council Entry'!W174))))-'Council Entry'!W$5)/('Council Entry'!W$6-'Council Entry'!W$5)),1))),"No data"))</f>
        <v/>
      </c>
      <c r="X174" s="13">
        <f>IF('Council Entry'!X174="","",IFERROR(MAX(0,MIN(10,ROUND(IF('Council Entry'!X$7="Decrease Risk",10-10*((IF('Council Entry'!X$4="Logarithm",LN(0.001+IF(AND(ISNUMBER('Council Entry'!X$8),ISNUMBER('Council Entry'!X$9)),MAX(MIN('Council Entry'!X174,'Council Entry'!X$9),'Council Entry'!X$8),'Council Entry'!X174)),IF('Council Entry'!X$4="Exponential",EXP(IF(AND(ISNUMBER('Council Entry'!X$8),ISNUMBER('Council Entry'!X$9)),MAX(MIN('Council Entry'!X174,'Council Entry'!X$9),'Council Entry'!X$8),'Council Entry'!X174)),IF(AND(ISNUMBER('Council Entry'!X$8),ISNUMBER('Council Entry'!X$9)),MAX(MIN('Council Entry'!X174,'Council Entry'!X$9),'Council Entry'!X$8),'Council Entry'!X174))))-'Council Entry'!X$5)/('Council Entry'!X$6-'Council Entry'!X$5),10*((IF('Council Entry'!X$4="Logarithm",LN(0.001+IF(AND(ISNUMBER('Council Entry'!X$8),ISNUMBER('Council Entry'!X$9)),MAX(MIN('Council Entry'!X174,'Council Entry'!X$9),'Council Entry'!X$8),'Council Entry'!X174)),IF('Council Entry'!X$4="Exponential",EXP(IF(AND(ISNUMBER('Council Entry'!X$8),ISNUMBER('Council Entry'!X$9)),MAX(MIN('Council Entry'!X174,'Council Entry'!X$9),'Council Entry'!X$8),'Council Entry'!X174)),IF(AND(ISNUMBER('Council Entry'!X$8),ISNUMBER('Council Entry'!X$9)),MAX(MIN('Council Entry'!X174,'Council Entry'!X$9),'Council Entry'!X$8),'Council Entry'!X174))))-'Council Entry'!X$5)/('Council Entry'!X$6-'Council Entry'!X$5)),1))),"No data"))</f>
        <v/>
      </c>
      <c r="Y174" s="13">
        <f>IF('Council Entry'!Y174="","",IFERROR(MAX(0,MIN(10,ROUND(IF('Council Entry'!Y$7="Decrease Risk",10-10*((IF('Council Entry'!Y$4="Logarithm",LN(0.001+IF(AND(ISNUMBER('Council Entry'!Y$8),ISNUMBER('Council Entry'!Y$9)),MAX(MIN('Council Entry'!Y174,'Council Entry'!Y$9),'Council Entry'!Y$8),'Council Entry'!Y174)),IF('Council Entry'!Y$4="Exponential",EXP(IF(AND(ISNUMBER('Council Entry'!Y$8),ISNUMBER('Council Entry'!Y$9)),MAX(MIN('Council Entry'!Y174,'Council Entry'!Y$9),'Council Entry'!Y$8),'Council Entry'!Y174)),IF(AND(ISNUMBER('Council Entry'!Y$8),ISNUMBER('Council Entry'!Y$9)),MAX(MIN('Council Entry'!Y174,'Council Entry'!Y$9),'Council Entry'!Y$8),'Council Entry'!Y174))))-'Council Entry'!Y$5)/('Council Entry'!Y$6-'Council Entry'!Y$5),10*((IF('Council Entry'!Y$4="Logarithm",LN(0.001+IF(AND(ISNUMBER('Council Entry'!Y$8),ISNUMBER('Council Entry'!Y$9)),MAX(MIN('Council Entry'!Y174,'Council Entry'!Y$9),'Council Entry'!Y$8),'Council Entry'!Y174)),IF('Council Entry'!Y$4="Exponential",EXP(IF(AND(ISNUMBER('Council Entry'!Y$8),ISNUMBER('Council Entry'!Y$9)),MAX(MIN('Council Entry'!Y174,'Council Entry'!Y$9),'Council Entry'!Y$8),'Council Entry'!Y174)),IF(AND(ISNUMBER('Council Entry'!Y$8),ISNUMBER('Council Entry'!Y$9)),MAX(MIN('Council Entry'!Y174,'Council Entry'!Y$9),'Council Entry'!Y$8),'Council Entry'!Y174))))-'Council Entry'!Y$5)/('Council Entry'!Y$6-'Council Entry'!Y$5)),1))),"No data"))</f>
        <v/>
      </c>
      <c r="Z174" s="13">
        <f>IF('Council Entry'!Z174="","",IFERROR(MAX(0,MIN(10,ROUND(IF('Council Entry'!Z$7="Decrease Risk",10-10*((IF('Council Entry'!Z$4="Logarithm",LN(0.001+IF(AND(ISNUMBER('Council Entry'!Z$8),ISNUMBER('Council Entry'!Z$9)),MAX(MIN('Council Entry'!Z174,'Council Entry'!Z$9),'Council Entry'!Z$8),'Council Entry'!Z174)),IF('Council Entry'!Z$4="Exponential",EXP(IF(AND(ISNUMBER('Council Entry'!Z$8),ISNUMBER('Council Entry'!Z$9)),MAX(MIN('Council Entry'!Z174,'Council Entry'!Z$9),'Council Entry'!Z$8),'Council Entry'!Z174)),IF(AND(ISNUMBER('Council Entry'!Z$8),ISNUMBER('Council Entry'!Z$9)),MAX(MIN('Council Entry'!Z174,'Council Entry'!Z$9),'Council Entry'!Z$8),'Council Entry'!Z174))))-'Council Entry'!Z$5)/('Council Entry'!Z$6-'Council Entry'!Z$5),10*((IF('Council Entry'!Z$4="Logarithm",LN(0.001+IF(AND(ISNUMBER('Council Entry'!Z$8),ISNUMBER('Council Entry'!Z$9)),MAX(MIN('Council Entry'!Z174,'Council Entry'!Z$9),'Council Entry'!Z$8),'Council Entry'!Z174)),IF('Council Entry'!Z$4="Exponential",EXP(IF(AND(ISNUMBER('Council Entry'!Z$8),ISNUMBER('Council Entry'!Z$9)),MAX(MIN('Council Entry'!Z174,'Council Entry'!Z$9),'Council Entry'!Z$8),'Council Entry'!Z174)),IF(AND(ISNUMBER('Council Entry'!Z$8),ISNUMBER('Council Entry'!Z$9)),MAX(MIN('Council Entry'!Z174,'Council Entry'!Z$9),'Council Entry'!Z$8),'Council Entry'!Z174))))-'Council Entry'!Z$5)/('Council Entry'!Z$6-'Council Entry'!Z$5)),1))),"No data"))</f>
        <v/>
      </c>
      <c r="AA174" s="13">
        <f>IF('Council Entry'!AA174="","",IFERROR(MAX(0,MIN(10,ROUND(IF('Council Entry'!AA$7="Decrease Risk",10-10*((IF('Council Entry'!AA$4="Logarithm",LN(0.001+IF(AND(ISNUMBER('Council Entry'!AA$8),ISNUMBER('Council Entry'!AA$9)),MAX(MIN('Council Entry'!AA174,'Council Entry'!AA$9),'Council Entry'!AA$8),'Council Entry'!AA174)),IF('Council Entry'!AA$4="Exponential",EXP(IF(AND(ISNUMBER('Council Entry'!AA$8),ISNUMBER('Council Entry'!AA$9)),MAX(MIN('Council Entry'!AA174,'Council Entry'!AA$9),'Council Entry'!AA$8),'Council Entry'!AA174)),IF(AND(ISNUMBER('Council Entry'!AA$8),ISNUMBER('Council Entry'!AA$9)),MAX(MIN('Council Entry'!AA174,'Council Entry'!AA$9),'Council Entry'!AA$8),'Council Entry'!AA174))))-'Council Entry'!AA$5)/('Council Entry'!AA$6-'Council Entry'!AA$5),10*((IF('Council Entry'!AA$4="Logarithm",LN(0.001+IF(AND(ISNUMBER('Council Entry'!AA$8),ISNUMBER('Council Entry'!AA$9)),MAX(MIN('Council Entry'!AA174,'Council Entry'!AA$9),'Council Entry'!AA$8),'Council Entry'!AA174)),IF('Council Entry'!AA$4="Exponential",EXP(IF(AND(ISNUMBER('Council Entry'!AA$8),ISNUMBER('Council Entry'!AA$9)),MAX(MIN('Council Entry'!AA174,'Council Entry'!AA$9),'Council Entry'!AA$8),'Council Entry'!AA174)),IF(AND(ISNUMBER('Council Entry'!AA$8),ISNUMBER('Council Entry'!AA$9)),MAX(MIN('Council Entry'!AA174,'Council Entry'!AA$9),'Council Entry'!AA$8),'Council Entry'!AA174))))-'Council Entry'!AA$5)/('Council Entry'!AA$6-'Council Entry'!AA$5)),1))),"No data"))</f>
        <v/>
      </c>
      <c r="AB174" s="13">
        <f>IF('Council Entry'!AB174="","",IFERROR(MAX(0,MIN(10,ROUND(IF('Council Entry'!AB$7="Decrease Risk",10-10*((IF('Council Entry'!AB$4="Logarithm",LN(0.001+IF(AND(ISNUMBER('Council Entry'!AB$8),ISNUMBER('Council Entry'!AB$9)),MAX(MIN('Council Entry'!AB174,'Council Entry'!AB$9),'Council Entry'!AB$8),'Council Entry'!AB174)),IF('Council Entry'!AB$4="Exponential",EXP(IF(AND(ISNUMBER('Council Entry'!AB$8),ISNUMBER('Council Entry'!AB$9)),MAX(MIN('Council Entry'!AB174,'Council Entry'!AB$9),'Council Entry'!AB$8),'Council Entry'!AB174)),IF(AND(ISNUMBER('Council Entry'!AB$8),ISNUMBER('Council Entry'!AB$9)),MAX(MIN('Council Entry'!AB174,'Council Entry'!AB$9),'Council Entry'!AB$8),'Council Entry'!AB174))))-'Council Entry'!AB$5)/('Council Entry'!AB$6-'Council Entry'!AB$5),10*((IF('Council Entry'!AB$4="Logarithm",LN(0.001+IF(AND(ISNUMBER('Council Entry'!AB$8),ISNUMBER('Council Entry'!AB$9)),MAX(MIN('Council Entry'!AB174,'Council Entry'!AB$9),'Council Entry'!AB$8),'Council Entry'!AB174)),IF('Council Entry'!AB$4="Exponential",EXP(IF(AND(ISNUMBER('Council Entry'!AB$8),ISNUMBER('Council Entry'!AB$9)),MAX(MIN('Council Entry'!AB174,'Council Entry'!AB$9),'Council Entry'!AB$8),'Council Entry'!AB174)),IF(AND(ISNUMBER('Council Entry'!AB$8),ISNUMBER('Council Entry'!AB$9)),MAX(MIN('Council Entry'!AB174,'Council Entry'!AB$9),'Council Entry'!AB$8),'Council Entry'!AB174))))-'Council Entry'!AB$5)/('Council Entry'!AB$6-'Council Entry'!AB$5)),1))),"No data"))</f>
        <v/>
      </c>
      <c r="AC174" s="13">
        <f>IF('Council Entry'!AC174="","",IFERROR(MAX(0,MIN(10,ROUND(IF('Council Entry'!AC$7="Decrease Risk",10-10*((IF('Council Entry'!AC$4="Logarithm",LN(0.001+IF(AND(ISNUMBER('Council Entry'!AC$8),ISNUMBER('Council Entry'!AC$9)),MAX(MIN('Council Entry'!AC174,'Council Entry'!AC$9),'Council Entry'!AC$8),'Council Entry'!AC174)),IF('Council Entry'!AC$4="Exponential",EXP(IF(AND(ISNUMBER('Council Entry'!AC$8),ISNUMBER('Council Entry'!AC$9)),MAX(MIN('Council Entry'!AC174,'Council Entry'!AC$9),'Council Entry'!AC$8),'Council Entry'!AC174)),IF(AND(ISNUMBER('Council Entry'!AC$8),ISNUMBER('Council Entry'!AC$9)),MAX(MIN('Council Entry'!AC174,'Council Entry'!AC$9),'Council Entry'!AC$8),'Council Entry'!AC174))))-'Council Entry'!AC$5)/('Council Entry'!AC$6-'Council Entry'!AC$5),10*((IF('Council Entry'!AC$4="Logarithm",LN(0.001+IF(AND(ISNUMBER('Council Entry'!AC$8),ISNUMBER('Council Entry'!AC$9)),MAX(MIN('Council Entry'!AC174,'Council Entry'!AC$9),'Council Entry'!AC$8),'Council Entry'!AC174)),IF('Council Entry'!AC$4="Exponential",EXP(IF(AND(ISNUMBER('Council Entry'!AC$8),ISNUMBER('Council Entry'!AC$9)),MAX(MIN('Council Entry'!AC174,'Council Entry'!AC$9),'Council Entry'!AC$8),'Council Entry'!AC174)),IF(AND(ISNUMBER('Council Entry'!AC$8),ISNUMBER('Council Entry'!AC$9)),MAX(MIN('Council Entry'!AC174,'Council Entry'!AC$9),'Council Entry'!AC$8),'Council Entry'!AC174))))-'Council Entry'!AC$5)/('Council Entry'!AC$6-'Council Entry'!AC$5)),1))),"No data"))</f>
        <v/>
      </c>
      <c r="AD174" s="13">
        <f>IF('Council Entry'!AD174="","",IFERROR(MAX(0,MIN(10,ROUND(IF('Council Entry'!AD$7="Decrease Risk",10-10*((IF('Council Entry'!AD$4="Logarithm",LN(0.001+IF(AND(ISNUMBER('Council Entry'!AD$8),ISNUMBER('Council Entry'!AD$9)),MAX(MIN('Council Entry'!AD174,'Council Entry'!AD$9),'Council Entry'!AD$8),'Council Entry'!AD174)),IF('Council Entry'!AD$4="Exponential",EXP(IF(AND(ISNUMBER('Council Entry'!AD$8),ISNUMBER('Council Entry'!AD$9)),MAX(MIN('Council Entry'!AD174,'Council Entry'!AD$9),'Council Entry'!AD$8),'Council Entry'!AD174)),IF(AND(ISNUMBER('Council Entry'!AD$8),ISNUMBER('Council Entry'!AD$9)),MAX(MIN('Council Entry'!AD174,'Council Entry'!AD$9),'Council Entry'!AD$8),'Council Entry'!AD174))))-'Council Entry'!AD$5)/('Council Entry'!AD$6-'Council Entry'!AD$5),10*((IF('Council Entry'!AD$4="Logarithm",LN(0.001+IF(AND(ISNUMBER('Council Entry'!AD$8),ISNUMBER('Council Entry'!AD$9)),MAX(MIN('Council Entry'!AD174,'Council Entry'!AD$9),'Council Entry'!AD$8),'Council Entry'!AD174)),IF('Council Entry'!AD$4="Exponential",EXP(IF(AND(ISNUMBER('Council Entry'!AD$8),ISNUMBER('Council Entry'!AD$9)),MAX(MIN('Council Entry'!AD174,'Council Entry'!AD$9),'Council Entry'!AD$8),'Council Entry'!AD174)),IF(AND(ISNUMBER('Council Entry'!AD$8),ISNUMBER('Council Entry'!AD$9)),MAX(MIN('Council Entry'!AD174,'Council Entry'!AD$9),'Council Entry'!AD$8),'Council Entry'!AD174))))-'Council Entry'!AD$5)/('Council Entry'!AD$6-'Council Entry'!AD$5)),1))),"No data"))</f>
        <v/>
      </c>
      <c r="AE174" s="13">
        <f>IF('Council Entry'!AE174="","",IFERROR(MAX(0,MIN(10,ROUND(IF('Council Entry'!AE$7="Decrease Risk",10-10*((IF('Council Entry'!AE$4="Logarithm",LN(0.001+IF(AND(ISNUMBER('Council Entry'!AE$8),ISNUMBER('Council Entry'!AE$9)),MAX(MIN('Council Entry'!AE174,'Council Entry'!AE$9),'Council Entry'!AE$8),'Council Entry'!AE174)),IF('Council Entry'!AE$4="Exponential",EXP(IF(AND(ISNUMBER('Council Entry'!AE$8),ISNUMBER('Council Entry'!AE$9)),MAX(MIN('Council Entry'!AE174,'Council Entry'!AE$9),'Council Entry'!AE$8),'Council Entry'!AE174)),IF(AND(ISNUMBER('Council Entry'!AE$8),ISNUMBER('Council Entry'!AE$9)),MAX(MIN('Council Entry'!AE174,'Council Entry'!AE$9),'Council Entry'!AE$8),'Council Entry'!AE174))))-'Council Entry'!AE$5)/('Council Entry'!AE$6-'Council Entry'!AE$5),10*((IF('Council Entry'!AE$4="Logarithm",LN(0.001+IF(AND(ISNUMBER('Council Entry'!AE$8),ISNUMBER('Council Entry'!AE$9)),MAX(MIN('Council Entry'!AE174,'Council Entry'!AE$9),'Council Entry'!AE$8),'Council Entry'!AE174)),IF('Council Entry'!AE$4="Exponential",EXP(IF(AND(ISNUMBER('Council Entry'!AE$8),ISNUMBER('Council Entry'!AE$9)),MAX(MIN('Council Entry'!AE174,'Council Entry'!AE$9),'Council Entry'!AE$8),'Council Entry'!AE174)),IF(AND(ISNUMBER('Council Entry'!AE$8),ISNUMBER('Council Entry'!AE$9)),MAX(MIN('Council Entry'!AE174,'Council Entry'!AE$9),'Council Entry'!AE$8),'Council Entry'!AE174))))-'Council Entry'!AE$5)/('Council Entry'!AE$6-'Council Entry'!AE$5)),1))),"No data"))</f>
        <v/>
      </c>
      <c r="AF174" s="13">
        <f>IF('Council Entry'!AF174="","",IFERROR(MAX(0,MIN(10,ROUND(IF('Council Entry'!AF$7="Decrease Risk",10-10*((IF('Council Entry'!AF$4="Logarithm",LN(0.001+IF(AND(ISNUMBER('Council Entry'!AF$8),ISNUMBER('Council Entry'!AF$9)),MAX(MIN('Council Entry'!AF174,'Council Entry'!AF$9),'Council Entry'!AF$8),'Council Entry'!AF174)),IF('Council Entry'!AF$4="Exponential",EXP(IF(AND(ISNUMBER('Council Entry'!AF$8),ISNUMBER('Council Entry'!AF$9)),MAX(MIN('Council Entry'!AF174,'Council Entry'!AF$9),'Council Entry'!AF$8),'Council Entry'!AF174)),IF(AND(ISNUMBER('Council Entry'!AF$8),ISNUMBER('Council Entry'!AF$9)),MAX(MIN('Council Entry'!AF174,'Council Entry'!AF$9),'Council Entry'!AF$8),'Council Entry'!AF174))))-'Council Entry'!AF$5)/('Council Entry'!AF$6-'Council Entry'!AF$5),10*((IF('Council Entry'!AF$4="Logarithm",LN(0.001+IF(AND(ISNUMBER('Council Entry'!AF$8),ISNUMBER('Council Entry'!AF$9)),MAX(MIN('Council Entry'!AF174,'Council Entry'!AF$9),'Council Entry'!AF$8),'Council Entry'!AF174)),IF('Council Entry'!AF$4="Exponential",EXP(IF(AND(ISNUMBER('Council Entry'!AF$8),ISNUMBER('Council Entry'!AF$9)),MAX(MIN('Council Entry'!AF174,'Council Entry'!AF$9),'Council Entry'!AF$8),'Council Entry'!AF174)),IF(AND(ISNUMBER('Council Entry'!AF$8),ISNUMBER('Council Entry'!AF$9)),MAX(MIN('Council Entry'!AF174,'Council Entry'!AF$9),'Council Entry'!AF$8),'Council Entry'!AF174))))-'Council Entry'!AF$5)/('Council Entry'!AF$6-'Council Entry'!AF$5)),1))),"No data"))</f>
        <v/>
      </c>
      <c r="AG174" s="13">
        <f>IF('Council Entry'!AG174="","",IFERROR(MAX(0,MIN(10,ROUND(IF('Council Entry'!AG$7="Decrease Risk",10-10*((IF('Council Entry'!AG$4="Logarithm",LN(0.001+IF(AND(ISNUMBER('Council Entry'!AG$8),ISNUMBER('Council Entry'!AG$9)),MAX(MIN('Council Entry'!AG174,'Council Entry'!AG$9),'Council Entry'!AG$8),'Council Entry'!AG174)),IF('Council Entry'!AG$4="Exponential",EXP(IF(AND(ISNUMBER('Council Entry'!AG$8),ISNUMBER('Council Entry'!AG$9)),MAX(MIN('Council Entry'!AG174,'Council Entry'!AG$9),'Council Entry'!AG$8),'Council Entry'!AG174)),IF(AND(ISNUMBER('Council Entry'!AG$8),ISNUMBER('Council Entry'!AG$9)),MAX(MIN('Council Entry'!AG174,'Council Entry'!AG$9),'Council Entry'!AG$8),'Council Entry'!AG174))))-'Council Entry'!AG$5)/('Council Entry'!AG$6-'Council Entry'!AG$5),10*((IF('Council Entry'!AG$4="Logarithm",LN(0.001+IF(AND(ISNUMBER('Council Entry'!AG$8),ISNUMBER('Council Entry'!AG$9)),MAX(MIN('Council Entry'!AG174,'Council Entry'!AG$9),'Council Entry'!AG$8),'Council Entry'!AG174)),IF('Council Entry'!AG$4="Exponential",EXP(IF(AND(ISNUMBER('Council Entry'!AG$8),ISNUMBER('Council Entry'!AG$9)),MAX(MIN('Council Entry'!AG174,'Council Entry'!AG$9),'Council Entry'!AG$8),'Council Entry'!AG174)),IF(AND(ISNUMBER('Council Entry'!AG$8),ISNUMBER('Council Entry'!AG$9)),MAX(MIN('Council Entry'!AG174,'Council Entry'!AG$9),'Council Entry'!AG$8),'Council Entry'!AG174))))-'Council Entry'!AG$5)/('Council Entry'!AG$6-'Council Entry'!AG$5)),1))),"No data"))</f>
        <v/>
      </c>
      <c r="AH174" s="13">
        <f>IF('Council Entry'!AH174="","",IFERROR(MAX(0,MIN(10,ROUND(IF('Council Entry'!AH$7="Decrease Risk",10-10*((IF('Council Entry'!AH$4="Logarithm",LN(0.001+IF(AND(ISNUMBER('Council Entry'!AH$8),ISNUMBER('Council Entry'!AH$9)),MAX(MIN('Council Entry'!AH174,'Council Entry'!AH$9),'Council Entry'!AH$8),'Council Entry'!AH174)),IF('Council Entry'!AH$4="Exponential",EXP(IF(AND(ISNUMBER('Council Entry'!AH$8),ISNUMBER('Council Entry'!AH$9)),MAX(MIN('Council Entry'!AH174,'Council Entry'!AH$9),'Council Entry'!AH$8),'Council Entry'!AH174)),IF(AND(ISNUMBER('Council Entry'!AH$8),ISNUMBER('Council Entry'!AH$9)),MAX(MIN('Council Entry'!AH174,'Council Entry'!AH$9),'Council Entry'!AH$8),'Council Entry'!AH174))))-'Council Entry'!AH$5)/('Council Entry'!AH$6-'Council Entry'!AH$5),10*((IF('Council Entry'!AH$4="Logarithm",LN(0.001+IF(AND(ISNUMBER('Council Entry'!AH$8),ISNUMBER('Council Entry'!AH$9)),MAX(MIN('Council Entry'!AH174,'Council Entry'!AH$9),'Council Entry'!AH$8),'Council Entry'!AH174)),IF('Council Entry'!AH$4="Exponential",EXP(IF(AND(ISNUMBER('Council Entry'!AH$8),ISNUMBER('Council Entry'!AH$9)),MAX(MIN('Council Entry'!AH174,'Council Entry'!AH$9),'Council Entry'!AH$8),'Council Entry'!AH174)),IF(AND(ISNUMBER('Council Entry'!AH$8),ISNUMBER('Council Entry'!AH$9)),MAX(MIN('Council Entry'!AH174,'Council Entry'!AH$9),'Council Entry'!AH$8),'Council Entry'!AH174))))-'Council Entry'!AH$5)/('Council Entry'!AH$6-'Council Entry'!AH$5)),1))),"No data"))</f>
        <v/>
      </c>
      <c r="AI174" s="13">
        <f>IF('Council Entry'!AI174="","",IFERROR(MAX(0,MIN(10,ROUND(IF('Council Entry'!AI$7="Decrease Risk",10-10*((IF('Council Entry'!AI$4="Logarithm",LN(0.001+IF(AND(ISNUMBER('Council Entry'!AI$8),ISNUMBER('Council Entry'!AI$9)),MAX(MIN('Council Entry'!AI174,'Council Entry'!AI$9),'Council Entry'!AI$8),'Council Entry'!AI174)),IF('Council Entry'!AI$4="Exponential",EXP(IF(AND(ISNUMBER('Council Entry'!AI$8),ISNUMBER('Council Entry'!AI$9)),MAX(MIN('Council Entry'!AI174,'Council Entry'!AI$9),'Council Entry'!AI$8),'Council Entry'!AI174)),IF(AND(ISNUMBER('Council Entry'!AI$8),ISNUMBER('Council Entry'!AI$9)),MAX(MIN('Council Entry'!AI174,'Council Entry'!AI$9),'Council Entry'!AI$8),'Council Entry'!AI174))))-'Council Entry'!AI$5)/('Council Entry'!AI$6-'Council Entry'!AI$5),10*((IF('Council Entry'!AI$4="Logarithm",LN(0.001+IF(AND(ISNUMBER('Council Entry'!AI$8),ISNUMBER('Council Entry'!AI$9)),MAX(MIN('Council Entry'!AI174,'Council Entry'!AI$9),'Council Entry'!AI$8),'Council Entry'!AI174)),IF('Council Entry'!AI$4="Exponential",EXP(IF(AND(ISNUMBER('Council Entry'!AI$8),ISNUMBER('Council Entry'!AI$9)),MAX(MIN('Council Entry'!AI174,'Council Entry'!AI$9),'Council Entry'!AI$8),'Council Entry'!AI174)),IF(AND(ISNUMBER('Council Entry'!AI$8),ISNUMBER('Council Entry'!AI$9)),MAX(MIN('Council Entry'!AI174,'Council Entry'!AI$9),'Council Entry'!AI$8),'Council Entry'!AI174))))-'Council Entry'!AI$5)/('Council Entry'!AI$6-'Council Entry'!AI$5)),1))),"No data"))</f>
        <v/>
      </c>
      <c r="AJ174" s="13">
        <f>IF('Council Entry'!AJ174="","",IFERROR(MAX(0,MIN(10,ROUND(IF('Council Entry'!AJ$7="Decrease Risk",10-10*((IF('Council Entry'!AJ$4="Logarithm",LN(0.001+IF(AND(ISNUMBER('Council Entry'!AJ$8),ISNUMBER('Council Entry'!AJ$9)),MAX(MIN('Council Entry'!AJ174,'Council Entry'!AJ$9),'Council Entry'!AJ$8),'Council Entry'!AJ174)),IF('Council Entry'!AJ$4="Exponential",EXP(IF(AND(ISNUMBER('Council Entry'!AJ$8),ISNUMBER('Council Entry'!AJ$9)),MAX(MIN('Council Entry'!AJ174,'Council Entry'!AJ$9),'Council Entry'!AJ$8),'Council Entry'!AJ174)),IF(AND(ISNUMBER('Council Entry'!AJ$8),ISNUMBER('Council Entry'!AJ$9)),MAX(MIN('Council Entry'!AJ174,'Council Entry'!AJ$9),'Council Entry'!AJ$8),'Council Entry'!AJ174))))-'Council Entry'!AJ$5)/('Council Entry'!AJ$6-'Council Entry'!AJ$5),10*((IF('Council Entry'!AJ$4="Logarithm",LN(0.001+IF(AND(ISNUMBER('Council Entry'!AJ$8),ISNUMBER('Council Entry'!AJ$9)),MAX(MIN('Council Entry'!AJ174,'Council Entry'!AJ$9),'Council Entry'!AJ$8),'Council Entry'!AJ174)),IF('Council Entry'!AJ$4="Exponential",EXP(IF(AND(ISNUMBER('Council Entry'!AJ$8),ISNUMBER('Council Entry'!AJ$9)),MAX(MIN('Council Entry'!AJ174,'Council Entry'!AJ$9),'Council Entry'!AJ$8),'Council Entry'!AJ174)),IF(AND(ISNUMBER('Council Entry'!AJ$8),ISNUMBER('Council Entry'!AJ$9)),MAX(MIN('Council Entry'!AJ174,'Council Entry'!AJ$9),'Council Entry'!AJ$8),'Council Entry'!AJ174))))-'Council Entry'!AJ$5)/('Council Entry'!AJ$6-'Council Entry'!AJ$5)),1))),"No data"))</f>
        <v/>
      </c>
      <c r="AK174" s="13">
        <f>IF('Council Entry'!AK174="","",IFERROR(MAX(0,MIN(10,ROUND(IF('Council Entry'!AK$7="Decrease Risk",10-10*((IF('Council Entry'!AK$4="Logarithm",LN(0.001+IF(AND(ISNUMBER('Council Entry'!AK$8),ISNUMBER('Council Entry'!AK$9)),MAX(MIN('Council Entry'!AK174,'Council Entry'!AK$9),'Council Entry'!AK$8),'Council Entry'!AK174)),IF('Council Entry'!AK$4="Exponential",EXP(IF(AND(ISNUMBER('Council Entry'!AK$8),ISNUMBER('Council Entry'!AK$9)),MAX(MIN('Council Entry'!AK174,'Council Entry'!AK$9),'Council Entry'!AK$8),'Council Entry'!AK174)),IF(AND(ISNUMBER('Council Entry'!AK$8),ISNUMBER('Council Entry'!AK$9)),MAX(MIN('Council Entry'!AK174,'Council Entry'!AK$9),'Council Entry'!AK$8),'Council Entry'!AK174))))-'Council Entry'!AK$5)/('Council Entry'!AK$6-'Council Entry'!AK$5),10*((IF('Council Entry'!AK$4="Logarithm",LN(0.001+IF(AND(ISNUMBER('Council Entry'!AK$8),ISNUMBER('Council Entry'!AK$9)),MAX(MIN('Council Entry'!AK174,'Council Entry'!AK$9),'Council Entry'!AK$8),'Council Entry'!AK174)),IF('Council Entry'!AK$4="Exponential",EXP(IF(AND(ISNUMBER('Council Entry'!AK$8),ISNUMBER('Council Entry'!AK$9)),MAX(MIN('Council Entry'!AK174,'Council Entry'!AK$9),'Council Entry'!AK$8),'Council Entry'!AK174)),IF(AND(ISNUMBER('Council Entry'!AK$8),ISNUMBER('Council Entry'!AK$9)),MAX(MIN('Council Entry'!AK174,'Council Entry'!AK$9),'Council Entry'!AK$8),'Council Entry'!AK174))))-'Council Entry'!AK$5)/('Council Entry'!AK$6-'Council Entry'!AK$5)),1))),"No data"))</f>
        <v/>
      </c>
      <c r="AL174" s="13">
        <f>IF('Council Entry'!AL174="","",IFERROR(MAX(0,MIN(10,ROUND(IF('Council Entry'!AL$7="Decrease Risk",10-10*((IF('Council Entry'!AL$4="Logarithm",LN(0.001+IF(AND(ISNUMBER('Council Entry'!AL$8),ISNUMBER('Council Entry'!AL$9)),MAX(MIN('Council Entry'!AL174,'Council Entry'!AL$9),'Council Entry'!AL$8),'Council Entry'!AL174)),IF('Council Entry'!AL$4="Exponential",EXP(IF(AND(ISNUMBER('Council Entry'!AL$8),ISNUMBER('Council Entry'!AL$9)),MAX(MIN('Council Entry'!AL174,'Council Entry'!AL$9),'Council Entry'!AL$8),'Council Entry'!AL174)),IF(AND(ISNUMBER('Council Entry'!AL$8),ISNUMBER('Council Entry'!AL$9)),MAX(MIN('Council Entry'!AL174,'Council Entry'!AL$9),'Council Entry'!AL$8),'Council Entry'!AL174))))-'Council Entry'!AL$5)/('Council Entry'!AL$6-'Council Entry'!AL$5),10*((IF('Council Entry'!AL$4="Logarithm",LN(0.001+IF(AND(ISNUMBER('Council Entry'!AL$8),ISNUMBER('Council Entry'!AL$9)),MAX(MIN('Council Entry'!AL174,'Council Entry'!AL$9),'Council Entry'!AL$8),'Council Entry'!AL174)),IF('Council Entry'!AL$4="Exponential",EXP(IF(AND(ISNUMBER('Council Entry'!AL$8),ISNUMBER('Council Entry'!AL$9)),MAX(MIN('Council Entry'!AL174,'Council Entry'!AL$9),'Council Entry'!AL$8),'Council Entry'!AL174)),IF(AND(ISNUMBER('Council Entry'!AL$8),ISNUMBER('Council Entry'!AL$9)),MAX(MIN('Council Entry'!AL174,'Council Entry'!AL$9),'Council Entry'!AL$8),'Council Entry'!AL174))))-'Council Entry'!AL$5)/('Council Entry'!AL$6-'Council Entry'!AL$5)),1))),"No data"))</f>
        <v/>
      </c>
      <c r="AM174" s="13">
        <f>IF('Council Entry'!AM174="","",IFERROR(MAX(0,MIN(10,ROUND(IF('Council Entry'!AM$7="Decrease Risk",10-10*((IF('Council Entry'!AM$4="Logarithm",LN(0.001+IF(AND(ISNUMBER('Council Entry'!AM$8),ISNUMBER('Council Entry'!AM$9)),MAX(MIN('Council Entry'!AM174,'Council Entry'!AM$9),'Council Entry'!AM$8),'Council Entry'!AM174)),IF('Council Entry'!AM$4="Exponential",EXP(IF(AND(ISNUMBER('Council Entry'!AM$8),ISNUMBER('Council Entry'!AM$9)),MAX(MIN('Council Entry'!AM174,'Council Entry'!AM$9),'Council Entry'!AM$8),'Council Entry'!AM174)),IF(AND(ISNUMBER('Council Entry'!AM$8),ISNUMBER('Council Entry'!AM$9)),MAX(MIN('Council Entry'!AM174,'Council Entry'!AM$9),'Council Entry'!AM$8),'Council Entry'!AM174))))-'Council Entry'!AM$5)/('Council Entry'!AM$6-'Council Entry'!AM$5),10*((IF('Council Entry'!AM$4="Logarithm",LN(0.001+IF(AND(ISNUMBER('Council Entry'!AM$8),ISNUMBER('Council Entry'!AM$9)),MAX(MIN('Council Entry'!AM174,'Council Entry'!AM$9),'Council Entry'!AM$8),'Council Entry'!AM174)),IF('Council Entry'!AM$4="Exponential",EXP(IF(AND(ISNUMBER('Council Entry'!AM$8),ISNUMBER('Council Entry'!AM$9)),MAX(MIN('Council Entry'!AM174,'Council Entry'!AM$9),'Council Entry'!AM$8),'Council Entry'!AM174)),IF(AND(ISNUMBER('Council Entry'!AM$8),ISNUMBER('Council Entry'!AM$9)),MAX(MIN('Council Entry'!AM174,'Council Entry'!AM$9),'Council Entry'!AM$8),'Council Entry'!AM174))))-'Council Entry'!AM$5)/('Council Entry'!AM$6-'Council Entry'!AM$5)),1))),"No data"))</f>
        <v/>
      </c>
      <c r="AN174" s="13">
        <f>IF('Council Entry'!AN174="","",IFERROR(MAX(0,MIN(10,ROUND(IF('Council Entry'!AN$7="Decrease Risk",10-10*((IF('Council Entry'!AN$4="Logarithm",LN(0.001+IF(AND(ISNUMBER('Council Entry'!AN$8),ISNUMBER('Council Entry'!AN$9)),MAX(MIN('Council Entry'!AN174,'Council Entry'!AN$9),'Council Entry'!AN$8),'Council Entry'!AN174)),IF('Council Entry'!AN$4="Exponential",EXP(IF(AND(ISNUMBER('Council Entry'!AN$8),ISNUMBER('Council Entry'!AN$9)),MAX(MIN('Council Entry'!AN174,'Council Entry'!AN$9),'Council Entry'!AN$8),'Council Entry'!AN174)),IF(AND(ISNUMBER('Council Entry'!AN$8),ISNUMBER('Council Entry'!AN$9)),MAX(MIN('Council Entry'!AN174,'Council Entry'!AN$9),'Council Entry'!AN$8),'Council Entry'!AN174))))-'Council Entry'!AN$5)/('Council Entry'!AN$6-'Council Entry'!AN$5),10*((IF('Council Entry'!AN$4="Logarithm",LN(0.001+IF(AND(ISNUMBER('Council Entry'!AN$8),ISNUMBER('Council Entry'!AN$9)),MAX(MIN('Council Entry'!AN174,'Council Entry'!AN$9),'Council Entry'!AN$8),'Council Entry'!AN174)),IF('Council Entry'!AN$4="Exponential",EXP(IF(AND(ISNUMBER('Council Entry'!AN$8),ISNUMBER('Council Entry'!AN$9)),MAX(MIN('Council Entry'!AN174,'Council Entry'!AN$9),'Council Entry'!AN$8),'Council Entry'!AN174)),IF(AND(ISNUMBER('Council Entry'!AN$8),ISNUMBER('Council Entry'!AN$9)),MAX(MIN('Council Entry'!AN174,'Council Entry'!AN$9),'Council Entry'!AN$8),'Council Entry'!AN174))))-'Council Entry'!AN$5)/('Council Entry'!AN$6-'Council Entry'!AN$5)),1))),"No data"))</f>
        <v/>
      </c>
      <c r="AO174" s="13">
        <f>IF('Council Entry'!AO174="","",IFERROR(MAX(0,MIN(10,ROUND(IF('Council Entry'!AO$7="Decrease Risk",10-10*((IF('Council Entry'!AO$4="Logarithm",LN(0.001+IF(AND(ISNUMBER('Council Entry'!AO$8),ISNUMBER('Council Entry'!AO$9)),MAX(MIN('Council Entry'!AO174,'Council Entry'!AO$9),'Council Entry'!AO$8),'Council Entry'!AO174)),IF('Council Entry'!AO$4="Exponential",EXP(IF(AND(ISNUMBER('Council Entry'!AO$8),ISNUMBER('Council Entry'!AO$9)),MAX(MIN('Council Entry'!AO174,'Council Entry'!AO$9),'Council Entry'!AO$8),'Council Entry'!AO174)),IF(AND(ISNUMBER('Council Entry'!AO$8),ISNUMBER('Council Entry'!AO$9)),MAX(MIN('Council Entry'!AO174,'Council Entry'!AO$9),'Council Entry'!AO$8),'Council Entry'!AO174))))-'Council Entry'!AO$5)/('Council Entry'!AO$6-'Council Entry'!AO$5),10*((IF('Council Entry'!AO$4="Logarithm",LN(0.001+IF(AND(ISNUMBER('Council Entry'!AO$8),ISNUMBER('Council Entry'!AO$9)),MAX(MIN('Council Entry'!AO174,'Council Entry'!AO$9),'Council Entry'!AO$8),'Council Entry'!AO174)),IF('Council Entry'!AO$4="Exponential",EXP(IF(AND(ISNUMBER('Council Entry'!AO$8),ISNUMBER('Council Entry'!AO$9)),MAX(MIN('Council Entry'!AO174,'Council Entry'!AO$9),'Council Entry'!AO$8),'Council Entry'!AO174)),IF(AND(ISNUMBER('Council Entry'!AO$8),ISNUMBER('Council Entry'!AO$9)),MAX(MIN('Council Entry'!AO174,'Council Entry'!AO$9),'Council Entry'!AO$8),'Council Entry'!AO174))))-'Council Entry'!AO$5)/('Council Entry'!AO$6-'Council Entry'!AO$5)),1))),"No data"))</f>
        <v/>
      </c>
      <c r="AP174" s="13">
        <f>IF('Council Entry'!AP174="","",IFERROR(MAX(0,MIN(10,ROUND(IF('Council Entry'!AP$7="Decrease Risk",10-10*((IF('Council Entry'!AP$4="Logarithm",LN(0.001+IF(AND(ISNUMBER('Council Entry'!AP$8),ISNUMBER('Council Entry'!AP$9)),MAX(MIN('Council Entry'!AP174,'Council Entry'!AP$9),'Council Entry'!AP$8),'Council Entry'!AP174)),IF('Council Entry'!AP$4="Exponential",EXP(IF(AND(ISNUMBER('Council Entry'!AP$8),ISNUMBER('Council Entry'!AP$9)),MAX(MIN('Council Entry'!AP174,'Council Entry'!AP$9),'Council Entry'!AP$8),'Council Entry'!AP174)),IF(AND(ISNUMBER('Council Entry'!AP$8),ISNUMBER('Council Entry'!AP$9)),MAX(MIN('Council Entry'!AP174,'Council Entry'!AP$9),'Council Entry'!AP$8),'Council Entry'!AP174))))-'Council Entry'!AP$5)/('Council Entry'!AP$6-'Council Entry'!AP$5),10*((IF('Council Entry'!AP$4="Logarithm",LN(0.001+IF(AND(ISNUMBER('Council Entry'!AP$8),ISNUMBER('Council Entry'!AP$9)),MAX(MIN('Council Entry'!AP174,'Council Entry'!AP$9),'Council Entry'!AP$8),'Council Entry'!AP174)),IF('Council Entry'!AP$4="Exponential",EXP(IF(AND(ISNUMBER('Council Entry'!AP$8),ISNUMBER('Council Entry'!AP$9)),MAX(MIN('Council Entry'!AP174,'Council Entry'!AP$9),'Council Entry'!AP$8),'Council Entry'!AP174)),IF(AND(ISNUMBER('Council Entry'!AP$8),ISNUMBER('Council Entry'!AP$9)),MAX(MIN('Council Entry'!AP174,'Council Entry'!AP$9),'Council Entry'!AP$8),'Council Entry'!AP174))))-'Council Entry'!AP$5)/('Council Entry'!AP$6-'Council Entry'!AP$5)),1))),"No data"))</f>
        <v/>
      </c>
      <c r="AQ174" s="13">
        <f>IF('Council Entry'!AQ174="","",IFERROR(MAX(0,MIN(10,ROUND(IF('Council Entry'!AQ$7="Decrease Risk",10-10*((IF('Council Entry'!AQ$4="Logarithm",LN(0.001+IF(AND(ISNUMBER('Council Entry'!AQ$8),ISNUMBER('Council Entry'!AQ$9)),MAX(MIN('Council Entry'!AQ174,'Council Entry'!AQ$9),'Council Entry'!AQ$8),'Council Entry'!AQ174)),IF('Council Entry'!AQ$4="Exponential",EXP(IF(AND(ISNUMBER('Council Entry'!AQ$8),ISNUMBER('Council Entry'!AQ$9)),MAX(MIN('Council Entry'!AQ174,'Council Entry'!AQ$9),'Council Entry'!AQ$8),'Council Entry'!AQ174)),IF(AND(ISNUMBER('Council Entry'!AQ$8),ISNUMBER('Council Entry'!AQ$9)),MAX(MIN('Council Entry'!AQ174,'Council Entry'!AQ$9),'Council Entry'!AQ$8),'Council Entry'!AQ174))))-'Council Entry'!AQ$5)/('Council Entry'!AQ$6-'Council Entry'!AQ$5),10*((IF('Council Entry'!AQ$4="Logarithm",LN(0.001+IF(AND(ISNUMBER('Council Entry'!AQ$8),ISNUMBER('Council Entry'!AQ$9)),MAX(MIN('Council Entry'!AQ174,'Council Entry'!AQ$9),'Council Entry'!AQ$8),'Council Entry'!AQ174)),IF('Council Entry'!AQ$4="Exponential",EXP(IF(AND(ISNUMBER('Council Entry'!AQ$8),ISNUMBER('Council Entry'!AQ$9)),MAX(MIN('Council Entry'!AQ174,'Council Entry'!AQ$9),'Council Entry'!AQ$8),'Council Entry'!AQ174)),IF(AND(ISNUMBER('Council Entry'!AQ$8),ISNUMBER('Council Entry'!AQ$9)),MAX(MIN('Council Entry'!AQ174,'Council Entry'!AQ$9),'Council Entry'!AQ$8),'Council Entry'!AQ174))))-'Council Entry'!AQ$5)/('Council Entry'!AQ$6-'Council Entry'!AQ$5)),1))),"No data"))</f>
        <v/>
      </c>
      <c r="AR174" s="13">
        <f>IF('Council Entry'!AR174="","",IFERROR(MAX(0,MIN(10,ROUND(IF('Council Entry'!AR$7="Decrease Risk",10-10*((IF('Council Entry'!AR$4="Logarithm",LN(0.001+IF(AND(ISNUMBER('Council Entry'!AR$8),ISNUMBER('Council Entry'!AR$9)),MAX(MIN('Council Entry'!AR174,'Council Entry'!AR$9),'Council Entry'!AR$8),'Council Entry'!AR174)),IF('Council Entry'!AR$4="Exponential",EXP(IF(AND(ISNUMBER('Council Entry'!AR$8),ISNUMBER('Council Entry'!AR$9)),MAX(MIN('Council Entry'!AR174,'Council Entry'!AR$9),'Council Entry'!AR$8),'Council Entry'!AR174)),IF(AND(ISNUMBER('Council Entry'!AR$8),ISNUMBER('Council Entry'!AR$9)),MAX(MIN('Council Entry'!AR174,'Council Entry'!AR$9),'Council Entry'!AR$8),'Council Entry'!AR174))))-'Council Entry'!AR$5)/('Council Entry'!AR$6-'Council Entry'!AR$5),10*((IF('Council Entry'!AR$4="Logarithm",LN(0.001+IF(AND(ISNUMBER('Council Entry'!AR$8),ISNUMBER('Council Entry'!AR$9)),MAX(MIN('Council Entry'!AR174,'Council Entry'!AR$9),'Council Entry'!AR$8),'Council Entry'!AR174)),IF('Council Entry'!AR$4="Exponential",EXP(IF(AND(ISNUMBER('Council Entry'!AR$8),ISNUMBER('Council Entry'!AR$9)),MAX(MIN('Council Entry'!AR174,'Council Entry'!AR$9),'Council Entry'!AR$8),'Council Entry'!AR174)),IF(AND(ISNUMBER('Council Entry'!AR$8),ISNUMBER('Council Entry'!AR$9)),MAX(MIN('Council Entry'!AR174,'Council Entry'!AR$9),'Council Entry'!AR$8),'Council Entry'!AR174))))-'Council Entry'!AR$5)/('Council Entry'!AR$6-'Council Entry'!AR$5)),1))),"No data"))</f>
        <v/>
      </c>
      <c r="AS174" s="13">
        <f>IF('Council Entry'!AS174="","",IFERROR(MAX(0,MIN(10,ROUND(IF('Council Entry'!AS$7="Decrease Risk",10-10*((IF('Council Entry'!AS$4="Logarithm",LN(0.001+IF(AND(ISNUMBER('Council Entry'!AS$8),ISNUMBER('Council Entry'!AS$9)),MAX(MIN('Council Entry'!AS174,'Council Entry'!AS$9),'Council Entry'!AS$8),'Council Entry'!AS174)),IF('Council Entry'!AS$4="Exponential",EXP(IF(AND(ISNUMBER('Council Entry'!AS$8),ISNUMBER('Council Entry'!AS$9)),MAX(MIN('Council Entry'!AS174,'Council Entry'!AS$9),'Council Entry'!AS$8),'Council Entry'!AS174)),IF(AND(ISNUMBER('Council Entry'!AS$8),ISNUMBER('Council Entry'!AS$9)),MAX(MIN('Council Entry'!AS174,'Council Entry'!AS$9),'Council Entry'!AS$8),'Council Entry'!AS174))))-'Council Entry'!AS$5)/('Council Entry'!AS$6-'Council Entry'!AS$5),10*((IF('Council Entry'!AS$4="Logarithm",LN(0.001+IF(AND(ISNUMBER('Council Entry'!AS$8),ISNUMBER('Council Entry'!AS$9)),MAX(MIN('Council Entry'!AS174,'Council Entry'!AS$9),'Council Entry'!AS$8),'Council Entry'!AS174)),IF('Council Entry'!AS$4="Exponential",EXP(IF(AND(ISNUMBER('Council Entry'!AS$8),ISNUMBER('Council Entry'!AS$9)),MAX(MIN('Council Entry'!AS174,'Council Entry'!AS$9),'Council Entry'!AS$8),'Council Entry'!AS174)),IF(AND(ISNUMBER('Council Entry'!AS$8),ISNUMBER('Council Entry'!AS$9)),MAX(MIN('Council Entry'!AS174,'Council Entry'!AS$9),'Council Entry'!AS$8),'Council Entry'!AS174))))-'Council Entry'!AS$5)/('Council Entry'!AS$6-'Council Entry'!AS$5)),1))),"No data"))</f>
        <v/>
      </c>
      <c r="AT174" s="13">
        <f>IF('Council Entry'!AT174="","",IFERROR(MAX(0,MIN(10,ROUND(IF('Council Entry'!AT$7="Decrease Risk",10-10*((IF('Council Entry'!AT$4="Logarithm",LN(0.001+IF(AND(ISNUMBER('Council Entry'!AT$8),ISNUMBER('Council Entry'!AT$9)),MAX(MIN('Council Entry'!AT174,'Council Entry'!AT$9),'Council Entry'!AT$8),'Council Entry'!AT174)),IF('Council Entry'!AT$4="Exponential",EXP(IF(AND(ISNUMBER('Council Entry'!AT$8),ISNUMBER('Council Entry'!AT$9)),MAX(MIN('Council Entry'!AT174,'Council Entry'!AT$9),'Council Entry'!AT$8),'Council Entry'!AT174)),IF(AND(ISNUMBER('Council Entry'!AT$8),ISNUMBER('Council Entry'!AT$9)),MAX(MIN('Council Entry'!AT174,'Council Entry'!AT$9),'Council Entry'!AT$8),'Council Entry'!AT174))))-'Council Entry'!AT$5)/('Council Entry'!AT$6-'Council Entry'!AT$5),10*((IF('Council Entry'!AT$4="Logarithm",LN(0.001+IF(AND(ISNUMBER('Council Entry'!AT$8),ISNUMBER('Council Entry'!AT$9)),MAX(MIN('Council Entry'!AT174,'Council Entry'!AT$9),'Council Entry'!AT$8),'Council Entry'!AT174)),IF('Council Entry'!AT$4="Exponential",EXP(IF(AND(ISNUMBER('Council Entry'!AT$8),ISNUMBER('Council Entry'!AT$9)),MAX(MIN('Council Entry'!AT174,'Council Entry'!AT$9),'Council Entry'!AT$8),'Council Entry'!AT174)),IF(AND(ISNUMBER('Council Entry'!AT$8),ISNUMBER('Council Entry'!AT$9)),MAX(MIN('Council Entry'!AT174,'Council Entry'!AT$9),'Council Entry'!AT$8),'Council Entry'!AT174))))-'Council Entry'!AT$5)/('Council Entry'!AT$6-'Council Entry'!AT$5)),1))),"No data"))</f>
        <v/>
      </c>
      <c r="AU174" s="13">
        <f>IF('Council Entry'!AU174="","",IFERROR(MAX(0,MIN(10,ROUND(IF('Council Entry'!AU$7="Decrease Risk",10-10*((IF('Council Entry'!AU$4="Logarithm",LN(0.001+IF(AND(ISNUMBER('Council Entry'!AU$8),ISNUMBER('Council Entry'!AU$9)),MAX(MIN('Council Entry'!AU174,'Council Entry'!AU$9),'Council Entry'!AU$8),'Council Entry'!AU174)),IF('Council Entry'!AU$4="Exponential",EXP(IF(AND(ISNUMBER('Council Entry'!AU$8),ISNUMBER('Council Entry'!AU$9)),MAX(MIN('Council Entry'!AU174,'Council Entry'!AU$9),'Council Entry'!AU$8),'Council Entry'!AU174)),IF(AND(ISNUMBER('Council Entry'!AU$8),ISNUMBER('Council Entry'!AU$9)),MAX(MIN('Council Entry'!AU174,'Council Entry'!AU$9),'Council Entry'!AU$8),'Council Entry'!AU174))))-'Council Entry'!AU$5)/('Council Entry'!AU$6-'Council Entry'!AU$5),10*((IF('Council Entry'!AU$4="Logarithm",LN(0.001+IF(AND(ISNUMBER('Council Entry'!AU$8),ISNUMBER('Council Entry'!AU$9)),MAX(MIN('Council Entry'!AU174,'Council Entry'!AU$9),'Council Entry'!AU$8),'Council Entry'!AU174)),IF('Council Entry'!AU$4="Exponential",EXP(IF(AND(ISNUMBER('Council Entry'!AU$8),ISNUMBER('Council Entry'!AU$9)),MAX(MIN('Council Entry'!AU174,'Council Entry'!AU$9),'Council Entry'!AU$8),'Council Entry'!AU174)),IF(AND(ISNUMBER('Council Entry'!AU$8),ISNUMBER('Council Entry'!AU$9)),MAX(MIN('Council Entry'!AU174,'Council Entry'!AU$9),'Council Entry'!AU$8),'Council Entry'!AU174))))-'Council Entry'!AU$5)/('Council Entry'!AU$6-'Council Entry'!AU$5)),1))),"No data"))</f>
        <v/>
      </c>
      <c r="AV174" s="13">
        <f>IF('Council Entry'!AV174="","",IFERROR(MAX(0,MIN(10,ROUND(IF('Council Entry'!AV$7="Decrease Risk",10-10*((IF('Council Entry'!AV$4="Logarithm",LN(0.001+IF(AND(ISNUMBER('Council Entry'!AV$8),ISNUMBER('Council Entry'!AV$9)),MAX(MIN('Council Entry'!AV174,'Council Entry'!AV$9),'Council Entry'!AV$8),'Council Entry'!AV174)),IF('Council Entry'!AV$4="Exponential",EXP(IF(AND(ISNUMBER('Council Entry'!AV$8),ISNUMBER('Council Entry'!AV$9)),MAX(MIN('Council Entry'!AV174,'Council Entry'!AV$9),'Council Entry'!AV$8),'Council Entry'!AV174)),IF(AND(ISNUMBER('Council Entry'!AV$8),ISNUMBER('Council Entry'!AV$9)),MAX(MIN('Council Entry'!AV174,'Council Entry'!AV$9),'Council Entry'!AV$8),'Council Entry'!AV174))))-'Council Entry'!AV$5)/('Council Entry'!AV$6-'Council Entry'!AV$5),10*((IF('Council Entry'!AV$4="Logarithm",LN(0.001+IF(AND(ISNUMBER('Council Entry'!AV$8),ISNUMBER('Council Entry'!AV$9)),MAX(MIN('Council Entry'!AV174,'Council Entry'!AV$9),'Council Entry'!AV$8),'Council Entry'!AV174)),IF('Council Entry'!AV$4="Exponential",EXP(IF(AND(ISNUMBER('Council Entry'!AV$8),ISNUMBER('Council Entry'!AV$9)),MAX(MIN('Council Entry'!AV174,'Council Entry'!AV$9),'Council Entry'!AV$8),'Council Entry'!AV174)),IF(AND(ISNUMBER('Council Entry'!AV$8),ISNUMBER('Council Entry'!AV$9)),MAX(MIN('Council Entry'!AV174,'Council Entry'!AV$9),'Council Entry'!AV$8),'Council Entry'!AV174))))-'Council Entry'!AV$5)/('Council Entry'!AV$6-'Council Entry'!AV$5)),1))),"No data"))</f>
        <v/>
      </c>
      <c r="AW174" s="13">
        <f>IF('Council Entry'!AW174="","",IFERROR(MAX(0,MIN(10,ROUND(IF('Council Entry'!AW$7="Decrease Risk",10-10*((IF('Council Entry'!AW$4="Logarithm",LN(0.001+IF(AND(ISNUMBER('Council Entry'!AW$8),ISNUMBER('Council Entry'!AW$9)),MAX(MIN('Council Entry'!AW174,'Council Entry'!AW$9),'Council Entry'!AW$8),'Council Entry'!AW174)),IF('Council Entry'!AW$4="Exponential",EXP(IF(AND(ISNUMBER('Council Entry'!AW$8),ISNUMBER('Council Entry'!AW$9)),MAX(MIN('Council Entry'!AW174,'Council Entry'!AW$9),'Council Entry'!AW$8),'Council Entry'!AW174)),IF(AND(ISNUMBER('Council Entry'!AW$8),ISNUMBER('Council Entry'!AW$9)),MAX(MIN('Council Entry'!AW174,'Council Entry'!AW$9),'Council Entry'!AW$8),'Council Entry'!AW174))))-'Council Entry'!AW$5)/('Council Entry'!AW$6-'Council Entry'!AW$5),10*((IF('Council Entry'!AW$4="Logarithm",LN(0.001+IF(AND(ISNUMBER('Council Entry'!AW$8),ISNUMBER('Council Entry'!AW$9)),MAX(MIN('Council Entry'!AW174,'Council Entry'!AW$9),'Council Entry'!AW$8),'Council Entry'!AW174)),IF('Council Entry'!AW$4="Exponential",EXP(IF(AND(ISNUMBER('Council Entry'!AW$8),ISNUMBER('Council Entry'!AW$9)),MAX(MIN('Council Entry'!AW174,'Council Entry'!AW$9),'Council Entry'!AW$8),'Council Entry'!AW174)),IF(AND(ISNUMBER('Council Entry'!AW$8),ISNUMBER('Council Entry'!AW$9)),MAX(MIN('Council Entry'!AW174,'Council Entry'!AW$9),'Council Entry'!AW$8),'Council Entry'!AW174))))-'Council Entry'!AW$5)/('Council Entry'!AW$6-'Council Entry'!AW$5)),1))),"No data"))</f>
        <v/>
      </c>
      <c r="AX174" s="13">
        <f>IF('Council Entry'!AX174="","",IFERROR(MAX(0,MIN(10,ROUND(IF('Council Entry'!AX$7="Decrease Risk",10-10*((IF('Council Entry'!AX$4="Logarithm",LN(0.001+IF(AND(ISNUMBER('Council Entry'!AX$8),ISNUMBER('Council Entry'!AX$9)),MAX(MIN('Council Entry'!AX174,'Council Entry'!AX$9),'Council Entry'!AX$8),'Council Entry'!AX174)),IF('Council Entry'!AX$4="Exponential",EXP(IF(AND(ISNUMBER('Council Entry'!AX$8),ISNUMBER('Council Entry'!AX$9)),MAX(MIN('Council Entry'!AX174,'Council Entry'!AX$9),'Council Entry'!AX$8),'Council Entry'!AX174)),IF(AND(ISNUMBER('Council Entry'!AX$8),ISNUMBER('Council Entry'!AX$9)),MAX(MIN('Council Entry'!AX174,'Council Entry'!AX$9),'Council Entry'!AX$8),'Council Entry'!AX174))))-'Council Entry'!AX$5)/('Council Entry'!AX$6-'Council Entry'!AX$5),10*((IF('Council Entry'!AX$4="Logarithm",LN(0.001+IF(AND(ISNUMBER('Council Entry'!AX$8),ISNUMBER('Council Entry'!AX$9)),MAX(MIN('Council Entry'!AX174,'Council Entry'!AX$9),'Council Entry'!AX$8),'Council Entry'!AX174)),IF('Council Entry'!AX$4="Exponential",EXP(IF(AND(ISNUMBER('Council Entry'!AX$8),ISNUMBER('Council Entry'!AX$9)),MAX(MIN('Council Entry'!AX174,'Council Entry'!AX$9),'Council Entry'!AX$8),'Council Entry'!AX174)),IF(AND(ISNUMBER('Council Entry'!AX$8),ISNUMBER('Council Entry'!AX$9)),MAX(MIN('Council Entry'!AX174,'Council Entry'!AX$9),'Council Entry'!AX$8),'Council Entry'!AX174))))-'Council Entry'!AX$5)/('Council Entry'!AX$6-'Council Entry'!AX$5)),1))),"No data"))</f>
        <v/>
      </c>
      <c r="AY174" s="13">
        <f>IF('Council Entry'!AY174="","",IFERROR(MAX(0,MIN(10,ROUND(IF('Council Entry'!AY$7="Decrease Risk",10-10*((IF('Council Entry'!AY$4="Logarithm",LN(0.001+IF(AND(ISNUMBER('Council Entry'!AY$8),ISNUMBER('Council Entry'!AY$9)),MAX(MIN('Council Entry'!AY174,'Council Entry'!AY$9),'Council Entry'!AY$8),'Council Entry'!AY174)),IF('Council Entry'!AY$4="Exponential",EXP(IF(AND(ISNUMBER('Council Entry'!AY$8),ISNUMBER('Council Entry'!AY$9)),MAX(MIN('Council Entry'!AY174,'Council Entry'!AY$9),'Council Entry'!AY$8),'Council Entry'!AY174)),IF(AND(ISNUMBER('Council Entry'!AY$8),ISNUMBER('Council Entry'!AY$9)),MAX(MIN('Council Entry'!AY174,'Council Entry'!AY$9),'Council Entry'!AY$8),'Council Entry'!AY174))))-'Council Entry'!AY$5)/('Council Entry'!AY$6-'Council Entry'!AY$5),10*((IF('Council Entry'!AY$4="Logarithm",LN(0.001+IF(AND(ISNUMBER('Council Entry'!AY$8),ISNUMBER('Council Entry'!AY$9)),MAX(MIN('Council Entry'!AY174,'Council Entry'!AY$9),'Council Entry'!AY$8),'Council Entry'!AY174)),IF('Council Entry'!AY$4="Exponential",EXP(IF(AND(ISNUMBER('Council Entry'!AY$8),ISNUMBER('Council Entry'!AY$9)),MAX(MIN('Council Entry'!AY174,'Council Entry'!AY$9),'Council Entry'!AY$8),'Council Entry'!AY174)),IF(AND(ISNUMBER('Council Entry'!AY$8),ISNUMBER('Council Entry'!AY$9)),MAX(MIN('Council Entry'!AY174,'Council Entry'!AY$9),'Council Entry'!AY$8),'Council Entry'!AY174))))-'Council Entry'!AY$5)/('Council Entry'!AY$6-'Council Entry'!AY$5)),1))),"No data"))</f>
        <v/>
      </c>
      <c r="AZ174" s="13">
        <f>IF('Council Entry'!AZ174="","",IFERROR(MAX(0,MIN(10,ROUND(IF('Council Entry'!AZ$7="Decrease Risk",10-10*((IF('Council Entry'!AZ$4="Logarithm",LN(0.001+IF(AND(ISNUMBER('Council Entry'!AZ$8),ISNUMBER('Council Entry'!AZ$9)),MAX(MIN('Council Entry'!AZ174,'Council Entry'!AZ$9),'Council Entry'!AZ$8),'Council Entry'!AZ174)),IF('Council Entry'!AZ$4="Exponential",EXP(IF(AND(ISNUMBER('Council Entry'!AZ$8),ISNUMBER('Council Entry'!AZ$9)),MAX(MIN('Council Entry'!AZ174,'Council Entry'!AZ$9),'Council Entry'!AZ$8),'Council Entry'!AZ174)),IF(AND(ISNUMBER('Council Entry'!AZ$8),ISNUMBER('Council Entry'!AZ$9)),MAX(MIN('Council Entry'!AZ174,'Council Entry'!AZ$9),'Council Entry'!AZ$8),'Council Entry'!AZ174))))-'Council Entry'!AZ$5)/('Council Entry'!AZ$6-'Council Entry'!AZ$5),10*((IF('Council Entry'!AZ$4="Logarithm",LN(0.001+IF(AND(ISNUMBER('Council Entry'!AZ$8),ISNUMBER('Council Entry'!AZ$9)),MAX(MIN('Council Entry'!AZ174,'Council Entry'!AZ$9),'Council Entry'!AZ$8),'Council Entry'!AZ174)),IF('Council Entry'!AZ$4="Exponential",EXP(IF(AND(ISNUMBER('Council Entry'!AZ$8),ISNUMBER('Council Entry'!AZ$9)),MAX(MIN('Council Entry'!AZ174,'Council Entry'!AZ$9),'Council Entry'!AZ$8),'Council Entry'!AZ174)),IF(AND(ISNUMBER('Council Entry'!AZ$8),ISNUMBER('Council Entry'!AZ$9)),MAX(MIN('Council Entry'!AZ174,'Council Entry'!AZ$9),'Council Entry'!AZ$8),'Council Entry'!AZ174))))-'Council Entry'!AZ$5)/('Council Entry'!AZ$6-'Council Entry'!AZ$5)),1))),"No data"))</f>
        <v/>
      </c>
      <c r="BA174" s="13">
        <f>IF('Council Entry'!BA174="","",IFERROR(MAX(0,MIN(10,ROUND(IF('Council Entry'!BA$7="Decrease Risk",10-10*((IF('Council Entry'!BA$4="Logarithm",LN(0.001+IF(AND(ISNUMBER('Council Entry'!BA$8),ISNUMBER('Council Entry'!BA$9)),MAX(MIN('Council Entry'!BA174,'Council Entry'!BA$9),'Council Entry'!BA$8),'Council Entry'!BA174)),IF('Council Entry'!BA$4="Exponential",EXP(IF(AND(ISNUMBER('Council Entry'!BA$8),ISNUMBER('Council Entry'!BA$9)),MAX(MIN('Council Entry'!BA174,'Council Entry'!BA$9),'Council Entry'!BA$8),'Council Entry'!BA174)),IF(AND(ISNUMBER('Council Entry'!BA$8),ISNUMBER('Council Entry'!BA$9)),MAX(MIN('Council Entry'!BA174,'Council Entry'!BA$9),'Council Entry'!BA$8),'Council Entry'!BA174))))-'Council Entry'!BA$5)/('Council Entry'!BA$6-'Council Entry'!BA$5),10*((IF('Council Entry'!BA$4="Logarithm",LN(0.001+IF(AND(ISNUMBER('Council Entry'!BA$8),ISNUMBER('Council Entry'!BA$9)),MAX(MIN('Council Entry'!BA174,'Council Entry'!BA$9),'Council Entry'!BA$8),'Council Entry'!BA174)),IF('Council Entry'!BA$4="Exponential",EXP(IF(AND(ISNUMBER('Council Entry'!BA$8),ISNUMBER('Council Entry'!BA$9)),MAX(MIN('Council Entry'!BA174,'Council Entry'!BA$9),'Council Entry'!BA$8),'Council Entry'!BA174)),IF(AND(ISNUMBER('Council Entry'!BA$8),ISNUMBER('Council Entry'!BA$9)),MAX(MIN('Council Entry'!BA174,'Council Entry'!BA$9),'Council Entry'!BA$8),'Council Entry'!BA174))))-'Council Entry'!BA$5)/('Council Entry'!BA$6-'Council Entry'!BA$5)),1))),"No data"))</f>
        <v/>
      </c>
      <c r="BB174" s="13">
        <f>IF('Council Entry'!BB174="","",IFERROR(MAX(0,MIN(10,ROUND(IF('Council Entry'!BB$7="Decrease Risk",10-10*((IF('Council Entry'!BB$4="Logarithm",LN(0.001+IF(AND(ISNUMBER('Council Entry'!BB$8),ISNUMBER('Council Entry'!BB$9)),MAX(MIN('Council Entry'!BB174,'Council Entry'!BB$9),'Council Entry'!BB$8),'Council Entry'!BB174)),IF('Council Entry'!BB$4="Exponential",EXP(IF(AND(ISNUMBER('Council Entry'!BB$8),ISNUMBER('Council Entry'!BB$9)),MAX(MIN('Council Entry'!BB174,'Council Entry'!BB$9),'Council Entry'!BB$8),'Council Entry'!BB174)),IF(AND(ISNUMBER('Council Entry'!BB$8),ISNUMBER('Council Entry'!BB$9)),MAX(MIN('Council Entry'!BB174,'Council Entry'!BB$9),'Council Entry'!BB$8),'Council Entry'!BB174))))-'Council Entry'!BB$5)/('Council Entry'!BB$6-'Council Entry'!BB$5),10*((IF('Council Entry'!BB$4="Logarithm",LN(0.001+IF(AND(ISNUMBER('Council Entry'!BB$8),ISNUMBER('Council Entry'!BB$9)),MAX(MIN('Council Entry'!BB174,'Council Entry'!BB$9),'Council Entry'!BB$8),'Council Entry'!BB174)),IF('Council Entry'!BB$4="Exponential",EXP(IF(AND(ISNUMBER('Council Entry'!BB$8),ISNUMBER('Council Entry'!BB$9)),MAX(MIN('Council Entry'!BB174,'Council Entry'!BB$9),'Council Entry'!BB$8),'Council Entry'!BB174)),IF(AND(ISNUMBER('Council Entry'!BB$8),ISNUMBER('Council Entry'!BB$9)),MAX(MIN('Council Entry'!BB174,'Council Entry'!BB$9),'Council Entry'!BB$8),'Council Entry'!BB174))))-'Council Entry'!BB$5)/('Council Entry'!BB$6-'Council Entry'!BB$5)),1))),"No data"))</f>
        <v/>
      </c>
      <c r="BC174" s="13">
        <f>IF('Council Entry'!BC174="","",IFERROR(MAX(0,MIN(10,ROUND(IF('Council Entry'!BC$7="Decrease Risk",10-10*((IF('Council Entry'!BC$4="Logarithm",LN(0.001+IF(AND(ISNUMBER('Council Entry'!BC$8),ISNUMBER('Council Entry'!BC$9)),MAX(MIN('Council Entry'!BC174,'Council Entry'!BC$9),'Council Entry'!BC$8),'Council Entry'!BC174)),IF('Council Entry'!BC$4="Exponential",EXP(IF(AND(ISNUMBER('Council Entry'!BC$8),ISNUMBER('Council Entry'!BC$9)),MAX(MIN('Council Entry'!BC174,'Council Entry'!BC$9),'Council Entry'!BC$8),'Council Entry'!BC174)),IF(AND(ISNUMBER('Council Entry'!BC$8),ISNUMBER('Council Entry'!BC$9)),MAX(MIN('Council Entry'!BC174,'Council Entry'!BC$9),'Council Entry'!BC$8),'Council Entry'!BC174))))-'Council Entry'!BC$5)/('Council Entry'!BC$6-'Council Entry'!BC$5),10*((IF('Council Entry'!BC$4="Logarithm",LN(0.001+IF(AND(ISNUMBER('Council Entry'!BC$8),ISNUMBER('Council Entry'!BC$9)),MAX(MIN('Council Entry'!BC174,'Council Entry'!BC$9),'Council Entry'!BC$8),'Council Entry'!BC174)),IF('Council Entry'!BC$4="Exponential",EXP(IF(AND(ISNUMBER('Council Entry'!BC$8),ISNUMBER('Council Entry'!BC$9)),MAX(MIN('Council Entry'!BC174,'Council Entry'!BC$9),'Council Entry'!BC$8),'Council Entry'!BC174)),IF(AND(ISNUMBER('Council Entry'!BC$8),ISNUMBER('Council Entry'!BC$9)),MAX(MIN('Council Entry'!BC174,'Council Entry'!BC$9),'Council Entry'!BC$8),'Council Entry'!BC174))))-'Council Entry'!BC$5)/('Council Entry'!BC$6-'Council Entry'!BC$5)),1))),"No data"))</f>
        <v/>
      </c>
      <c r="BD174" s="13">
        <f>IF('Council Entry'!BD174="","",IFERROR(MAX(0,MIN(10,ROUND(IF('Council Entry'!BD$7="Decrease Risk",10-10*((IF('Council Entry'!BD$4="Logarithm",LN(0.001+IF(AND(ISNUMBER('Council Entry'!BD$8),ISNUMBER('Council Entry'!BD$9)),MAX(MIN('Council Entry'!BD174,'Council Entry'!BD$9),'Council Entry'!BD$8),'Council Entry'!BD174)),IF('Council Entry'!BD$4="Exponential",EXP(IF(AND(ISNUMBER('Council Entry'!BD$8),ISNUMBER('Council Entry'!BD$9)),MAX(MIN('Council Entry'!BD174,'Council Entry'!BD$9),'Council Entry'!BD$8),'Council Entry'!BD174)),IF(AND(ISNUMBER('Council Entry'!BD$8),ISNUMBER('Council Entry'!BD$9)),MAX(MIN('Council Entry'!BD174,'Council Entry'!BD$9),'Council Entry'!BD$8),'Council Entry'!BD174))))-'Council Entry'!BD$5)/('Council Entry'!BD$6-'Council Entry'!BD$5),10*((IF('Council Entry'!BD$4="Logarithm",LN(0.001+IF(AND(ISNUMBER('Council Entry'!BD$8),ISNUMBER('Council Entry'!BD$9)),MAX(MIN('Council Entry'!BD174,'Council Entry'!BD$9),'Council Entry'!BD$8),'Council Entry'!BD174)),IF('Council Entry'!BD$4="Exponential",EXP(IF(AND(ISNUMBER('Council Entry'!BD$8),ISNUMBER('Council Entry'!BD$9)),MAX(MIN('Council Entry'!BD174,'Council Entry'!BD$9),'Council Entry'!BD$8),'Council Entry'!BD174)),IF(AND(ISNUMBER('Council Entry'!BD$8),ISNUMBER('Council Entry'!BD$9)),MAX(MIN('Council Entry'!BD174,'Council Entry'!BD$9),'Council Entry'!BD$8),'Council Entry'!BD174))))-'Council Entry'!BD$5)/('Council Entry'!BD$6-'Council Entry'!BD$5)),1))),"No data"))</f>
        <v/>
      </c>
    </row>
    <row r="175">
      <c r="A175" t="inlineStr">
        <is>
          <t>Singida</t>
        </is>
      </c>
      <c r="B175" t="inlineStr">
        <is>
          <t>Ikungi District</t>
        </is>
      </c>
      <c r="C175" t="inlineStr">
        <is>
          <t>C097</t>
        </is>
      </c>
      <c r="D175" s="13">
        <f>IF('Council Entry'!D175="","",IFERROR(MAX(0,MIN(10,ROUND(IF('Council Entry'!D$7="Decrease Risk",10-10*((IF('Council Entry'!D$4="Logarithm",LN(0.001+IF(AND(ISNUMBER('Council Entry'!D$8),ISNUMBER('Council Entry'!D$9)),MAX(MIN('Council Entry'!D175,'Council Entry'!D$9),'Council Entry'!D$8),'Council Entry'!D175)),IF('Council Entry'!D$4="Exponential",EXP(IF(AND(ISNUMBER('Council Entry'!D$8),ISNUMBER('Council Entry'!D$9)),MAX(MIN('Council Entry'!D175,'Council Entry'!D$9),'Council Entry'!D$8),'Council Entry'!D175)),IF(AND(ISNUMBER('Council Entry'!D$8),ISNUMBER('Council Entry'!D$9)),MAX(MIN('Council Entry'!D175,'Council Entry'!D$9),'Council Entry'!D$8),'Council Entry'!D175))))-'Council Entry'!D$5)/('Council Entry'!D$6-'Council Entry'!D$5),10*((IF('Council Entry'!D$4="Logarithm",LN(0.001+IF(AND(ISNUMBER('Council Entry'!D$8),ISNUMBER('Council Entry'!D$9)),MAX(MIN('Council Entry'!D175,'Council Entry'!D$9),'Council Entry'!D$8),'Council Entry'!D175)),IF('Council Entry'!D$4="Exponential",EXP(IF(AND(ISNUMBER('Council Entry'!D$8),ISNUMBER('Council Entry'!D$9)),MAX(MIN('Council Entry'!D175,'Council Entry'!D$9),'Council Entry'!D$8),'Council Entry'!D175)),IF(AND(ISNUMBER('Council Entry'!D$8),ISNUMBER('Council Entry'!D$9)),MAX(MIN('Council Entry'!D175,'Council Entry'!D$9),'Council Entry'!D$8),'Council Entry'!D175))))-'Council Entry'!D$5)/('Council Entry'!D$6-'Council Entry'!D$5)),1))),"No data"))</f>
        <v/>
      </c>
      <c r="E175" s="13">
        <f>IF('Council Entry'!E175="","",IFERROR(MAX(0,MIN(10,ROUND(IF('Council Entry'!E$7="Decrease Risk",10-10*((IF('Council Entry'!E$4="Logarithm",LN(0.001+IF(AND(ISNUMBER('Council Entry'!E$8),ISNUMBER('Council Entry'!E$9)),MAX(MIN('Council Entry'!E175,'Council Entry'!E$9),'Council Entry'!E$8),'Council Entry'!E175)),IF('Council Entry'!E$4="Exponential",EXP(IF(AND(ISNUMBER('Council Entry'!E$8),ISNUMBER('Council Entry'!E$9)),MAX(MIN('Council Entry'!E175,'Council Entry'!E$9),'Council Entry'!E$8),'Council Entry'!E175)),IF(AND(ISNUMBER('Council Entry'!E$8),ISNUMBER('Council Entry'!E$9)),MAX(MIN('Council Entry'!E175,'Council Entry'!E$9),'Council Entry'!E$8),'Council Entry'!E175))))-'Council Entry'!E$5)/('Council Entry'!E$6-'Council Entry'!E$5),10*((IF('Council Entry'!E$4="Logarithm",LN(0.001+IF(AND(ISNUMBER('Council Entry'!E$8),ISNUMBER('Council Entry'!E$9)),MAX(MIN('Council Entry'!E175,'Council Entry'!E$9),'Council Entry'!E$8),'Council Entry'!E175)),IF('Council Entry'!E$4="Exponential",EXP(IF(AND(ISNUMBER('Council Entry'!E$8),ISNUMBER('Council Entry'!E$9)),MAX(MIN('Council Entry'!E175,'Council Entry'!E$9),'Council Entry'!E$8),'Council Entry'!E175)),IF(AND(ISNUMBER('Council Entry'!E$8),ISNUMBER('Council Entry'!E$9)),MAX(MIN('Council Entry'!E175,'Council Entry'!E$9),'Council Entry'!E$8),'Council Entry'!E175))))-'Council Entry'!E$5)/('Council Entry'!E$6-'Council Entry'!E$5)),1))),"No data"))</f>
        <v/>
      </c>
      <c r="F175" s="13">
        <f>IF('Council Entry'!F175="","",IFERROR(MAX(0,MIN(10,ROUND(IF('Council Entry'!F$7="Decrease Risk",10-10*((IF('Council Entry'!F$4="Logarithm",LN(0.001+IF(AND(ISNUMBER('Council Entry'!F$8),ISNUMBER('Council Entry'!F$9)),MAX(MIN('Council Entry'!F175,'Council Entry'!F$9),'Council Entry'!F$8),'Council Entry'!F175)),IF('Council Entry'!F$4="Exponential",EXP(IF(AND(ISNUMBER('Council Entry'!F$8),ISNUMBER('Council Entry'!F$9)),MAX(MIN('Council Entry'!F175,'Council Entry'!F$9),'Council Entry'!F$8),'Council Entry'!F175)),IF(AND(ISNUMBER('Council Entry'!F$8),ISNUMBER('Council Entry'!F$9)),MAX(MIN('Council Entry'!F175,'Council Entry'!F$9),'Council Entry'!F$8),'Council Entry'!F175))))-'Council Entry'!F$5)/('Council Entry'!F$6-'Council Entry'!F$5),10*((IF('Council Entry'!F$4="Logarithm",LN(0.001+IF(AND(ISNUMBER('Council Entry'!F$8),ISNUMBER('Council Entry'!F$9)),MAX(MIN('Council Entry'!F175,'Council Entry'!F$9),'Council Entry'!F$8),'Council Entry'!F175)),IF('Council Entry'!F$4="Exponential",EXP(IF(AND(ISNUMBER('Council Entry'!F$8),ISNUMBER('Council Entry'!F$9)),MAX(MIN('Council Entry'!F175,'Council Entry'!F$9),'Council Entry'!F$8),'Council Entry'!F175)),IF(AND(ISNUMBER('Council Entry'!F$8),ISNUMBER('Council Entry'!F$9)),MAX(MIN('Council Entry'!F175,'Council Entry'!F$9),'Council Entry'!F$8),'Council Entry'!F175))))-'Council Entry'!F$5)/('Council Entry'!F$6-'Council Entry'!F$5)),1))),"No data"))</f>
        <v/>
      </c>
      <c r="G175" s="13">
        <f>IF('Council Entry'!G175="","",IFERROR(MAX(0,MIN(10,ROUND(IF('Council Entry'!G$7="Decrease Risk",10-10*((IF('Council Entry'!G$4="Logarithm",LN(0.001+IF(AND(ISNUMBER('Council Entry'!G$8),ISNUMBER('Council Entry'!G$9)),MAX(MIN('Council Entry'!G175,'Council Entry'!G$9),'Council Entry'!G$8),'Council Entry'!G175)),IF('Council Entry'!G$4="Exponential",EXP(IF(AND(ISNUMBER('Council Entry'!G$8),ISNUMBER('Council Entry'!G$9)),MAX(MIN('Council Entry'!G175,'Council Entry'!G$9),'Council Entry'!G$8),'Council Entry'!G175)),IF(AND(ISNUMBER('Council Entry'!G$8),ISNUMBER('Council Entry'!G$9)),MAX(MIN('Council Entry'!G175,'Council Entry'!G$9),'Council Entry'!G$8),'Council Entry'!G175))))-'Council Entry'!G$5)/('Council Entry'!G$6-'Council Entry'!G$5),10*((IF('Council Entry'!G$4="Logarithm",LN(0.001+IF(AND(ISNUMBER('Council Entry'!G$8),ISNUMBER('Council Entry'!G$9)),MAX(MIN('Council Entry'!G175,'Council Entry'!G$9),'Council Entry'!G$8),'Council Entry'!G175)),IF('Council Entry'!G$4="Exponential",EXP(IF(AND(ISNUMBER('Council Entry'!G$8),ISNUMBER('Council Entry'!G$9)),MAX(MIN('Council Entry'!G175,'Council Entry'!G$9),'Council Entry'!G$8),'Council Entry'!G175)),IF(AND(ISNUMBER('Council Entry'!G$8),ISNUMBER('Council Entry'!G$9)),MAX(MIN('Council Entry'!G175,'Council Entry'!G$9),'Council Entry'!G$8),'Council Entry'!G175))))-'Council Entry'!G$5)/('Council Entry'!G$6-'Council Entry'!G$5)),1))),"No data"))</f>
        <v/>
      </c>
      <c r="H175" s="13">
        <f>IF('Council Entry'!H175="","",IFERROR(MAX(0,MIN(10,ROUND(IF('Council Entry'!H$7="Decrease Risk",10-10*((IF('Council Entry'!H$4="Logarithm",LN(0.001+IF(AND(ISNUMBER('Council Entry'!H$8),ISNUMBER('Council Entry'!H$9)),MAX(MIN('Council Entry'!H175,'Council Entry'!H$9),'Council Entry'!H$8),'Council Entry'!H175)),IF('Council Entry'!H$4="Exponential",EXP(IF(AND(ISNUMBER('Council Entry'!H$8),ISNUMBER('Council Entry'!H$9)),MAX(MIN('Council Entry'!H175,'Council Entry'!H$9),'Council Entry'!H$8),'Council Entry'!H175)),IF(AND(ISNUMBER('Council Entry'!H$8),ISNUMBER('Council Entry'!H$9)),MAX(MIN('Council Entry'!H175,'Council Entry'!H$9),'Council Entry'!H$8),'Council Entry'!H175))))-'Council Entry'!H$5)/('Council Entry'!H$6-'Council Entry'!H$5),10*((IF('Council Entry'!H$4="Logarithm",LN(0.001+IF(AND(ISNUMBER('Council Entry'!H$8),ISNUMBER('Council Entry'!H$9)),MAX(MIN('Council Entry'!H175,'Council Entry'!H$9),'Council Entry'!H$8),'Council Entry'!H175)),IF('Council Entry'!H$4="Exponential",EXP(IF(AND(ISNUMBER('Council Entry'!H$8),ISNUMBER('Council Entry'!H$9)),MAX(MIN('Council Entry'!H175,'Council Entry'!H$9),'Council Entry'!H$8),'Council Entry'!H175)),IF(AND(ISNUMBER('Council Entry'!H$8),ISNUMBER('Council Entry'!H$9)),MAX(MIN('Council Entry'!H175,'Council Entry'!H$9),'Council Entry'!H$8),'Council Entry'!H175))))-'Council Entry'!H$5)/('Council Entry'!H$6-'Council Entry'!H$5)),1))),"No data"))</f>
        <v/>
      </c>
      <c r="I175" s="13">
        <f>IF('Council Entry'!I175="","",IFERROR(MAX(0,MIN(10,ROUND(IF('Council Entry'!I$7="Decrease Risk",10-10*((IF('Council Entry'!I$4="Logarithm",LN(0.001+IF(AND(ISNUMBER('Council Entry'!I$8),ISNUMBER('Council Entry'!I$9)),MAX(MIN('Council Entry'!I175,'Council Entry'!I$9),'Council Entry'!I$8),'Council Entry'!I175)),IF('Council Entry'!I$4="Exponential",EXP(IF(AND(ISNUMBER('Council Entry'!I$8),ISNUMBER('Council Entry'!I$9)),MAX(MIN('Council Entry'!I175,'Council Entry'!I$9),'Council Entry'!I$8),'Council Entry'!I175)),IF(AND(ISNUMBER('Council Entry'!I$8),ISNUMBER('Council Entry'!I$9)),MAX(MIN('Council Entry'!I175,'Council Entry'!I$9),'Council Entry'!I$8),'Council Entry'!I175))))-'Council Entry'!I$5)/('Council Entry'!I$6-'Council Entry'!I$5),10*((IF('Council Entry'!I$4="Logarithm",LN(0.001+IF(AND(ISNUMBER('Council Entry'!I$8),ISNUMBER('Council Entry'!I$9)),MAX(MIN('Council Entry'!I175,'Council Entry'!I$9),'Council Entry'!I$8),'Council Entry'!I175)),IF('Council Entry'!I$4="Exponential",EXP(IF(AND(ISNUMBER('Council Entry'!I$8),ISNUMBER('Council Entry'!I$9)),MAX(MIN('Council Entry'!I175,'Council Entry'!I$9),'Council Entry'!I$8),'Council Entry'!I175)),IF(AND(ISNUMBER('Council Entry'!I$8),ISNUMBER('Council Entry'!I$9)),MAX(MIN('Council Entry'!I175,'Council Entry'!I$9),'Council Entry'!I$8),'Council Entry'!I175))))-'Council Entry'!I$5)/('Council Entry'!I$6-'Council Entry'!I$5)),1))),"No data"))</f>
        <v/>
      </c>
      <c r="J175" s="13">
        <f>IF('Council Entry'!J175="","",IFERROR(MAX(0,MIN(10,ROUND(IF('Council Entry'!J$7="Decrease Risk",10-10*((IF('Council Entry'!J$4="Logarithm",LN(0.001+IF(AND(ISNUMBER('Council Entry'!J$8),ISNUMBER('Council Entry'!J$9)),MAX(MIN('Council Entry'!J175,'Council Entry'!J$9),'Council Entry'!J$8),'Council Entry'!J175)),IF('Council Entry'!J$4="Exponential",EXP(IF(AND(ISNUMBER('Council Entry'!J$8),ISNUMBER('Council Entry'!J$9)),MAX(MIN('Council Entry'!J175,'Council Entry'!J$9),'Council Entry'!J$8),'Council Entry'!J175)),IF(AND(ISNUMBER('Council Entry'!J$8),ISNUMBER('Council Entry'!J$9)),MAX(MIN('Council Entry'!J175,'Council Entry'!J$9),'Council Entry'!J$8),'Council Entry'!J175))))-'Council Entry'!J$5)/('Council Entry'!J$6-'Council Entry'!J$5),10*((IF('Council Entry'!J$4="Logarithm",LN(0.001+IF(AND(ISNUMBER('Council Entry'!J$8),ISNUMBER('Council Entry'!J$9)),MAX(MIN('Council Entry'!J175,'Council Entry'!J$9),'Council Entry'!J$8),'Council Entry'!J175)),IF('Council Entry'!J$4="Exponential",EXP(IF(AND(ISNUMBER('Council Entry'!J$8),ISNUMBER('Council Entry'!J$9)),MAX(MIN('Council Entry'!J175,'Council Entry'!J$9),'Council Entry'!J$8),'Council Entry'!J175)),IF(AND(ISNUMBER('Council Entry'!J$8),ISNUMBER('Council Entry'!J$9)),MAX(MIN('Council Entry'!J175,'Council Entry'!J$9),'Council Entry'!J$8),'Council Entry'!J175))))-'Council Entry'!J$5)/('Council Entry'!J$6-'Council Entry'!J$5)),1))),"No data"))</f>
        <v/>
      </c>
      <c r="K175" s="13">
        <f>IF('Council Entry'!K175="","",IFERROR(MAX(0,MIN(10,ROUND(IF('Council Entry'!K$7="Decrease Risk",10-10*((IF('Council Entry'!K$4="Logarithm",LN(0.001+IF(AND(ISNUMBER('Council Entry'!K$8),ISNUMBER('Council Entry'!K$9)),MAX(MIN('Council Entry'!K175,'Council Entry'!K$9),'Council Entry'!K$8),'Council Entry'!K175)),IF('Council Entry'!K$4="Exponential",EXP(IF(AND(ISNUMBER('Council Entry'!K$8),ISNUMBER('Council Entry'!K$9)),MAX(MIN('Council Entry'!K175,'Council Entry'!K$9),'Council Entry'!K$8),'Council Entry'!K175)),IF(AND(ISNUMBER('Council Entry'!K$8),ISNUMBER('Council Entry'!K$9)),MAX(MIN('Council Entry'!K175,'Council Entry'!K$9),'Council Entry'!K$8),'Council Entry'!K175))))-'Council Entry'!K$5)/('Council Entry'!K$6-'Council Entry'!K$5),10*((IF('Council Entry'!K$4="Logarithm",LN(0.001+IF(AND(ISNUMBER('Council Entry'!K$8),ISNUMBER('Council Entry'!K$9)),MAX(MIN('Council Entry'!K175,'Council Entry'!K$9),'Council Entry'!K$8),'Council Entry'!K175)),IF('Council Entry'!K$4="Exponential",EXP(IF(AND(ISNUMBER('Council Entry'!K$8),ISNUMBER('Council Entry'!K$9)),MAX(MIN('Council Entry'!K175,'Council Entry'!K$9),'Council Entry'!K$8),'Council Entry'!K175)),IF(AND(ISNUMBER('Council Entry'!K$8),ISNUMBER('Council Entry'!K$9)),MAX(MIN('Council Entry'!K175,'Council Entry'!K$9),'Council Entry'!K$8),'Council Entry'!K175))))-'Council Entry'!K$5)/('Council Entry'!K$6-'Council Entry'!K$5)),1))),"No data"))</f>
        <v/>
      </c>
      <c r="L175" s="13">
        <f>IF('Council Entry'!L175="","",IFERROR(MAX(0,MIN(10,ROUND(IF('Council Entry'!L$7="Decrease Risk",10-10*((IF('Council Entry'!L$4="Logarithm",LN(0.001+IF(AND(ISNUMBER('Council Entry'!L$8),ISNUMBER('Council Entry'!L$9)),MAX(MIN('Council Entry'!L175,'Council Entry'!L$9),'Council Entry'!L$8),'Council Entry'!L175)),IF('Council Entry'!L$4="Exponential",EXP(IF(AND(ISNUMBER('Council Entry'!L$8),ISNUMBER('Council Entry'!L$9)),MAX(MIN('Council Entry'!L175,'Council Entry'!L$9),'Council Entry'!L$8),'Council Entry'!L175)),IF(AND(ISNUMBER('Council Entry'!L$8),ISNUMBER('Council Entry'!L$9)),MAX(MIN('Council Entry'!L175,'Council Entry'!L$9),'Council Entry'!L$8),'Council Entry'!L175))))-'Council Entry'!L$5)/('Council Entry'!L$6-'Council Entry'!L$5),10*((IF('Council Entry'!L$4="Logarithm",LN(0.001+IF(AND(ISNUMBER('Council Entry'!L$8),ISNUMBER('Council Entry'!L$9)),MAX(MIN('Council Entry'!L175,'Council Entry'!L$9),'Council Entry'!L$8),'Council Entry'!L175)),IF('Council Entry'!L$4="Exponential",EXP(IF(AND(ISNUMBER('Council Entry'!L$8),ISNUMBER('Council Entry'!L$9)),MAX(MIN('Council Entry'!L175,'Council Entry'!L$9),'Council Entry'!L$8),'Council Entry'!L175)),IF(AND(ISNUMBER('Council Entry'!L$8),ISNUMBER('Council Entry'!L$9)),MAX(MIN('Council Entry'!L175,'Council Entry'!L$9),'Council Entry'!L$8),'Council Entry'!L175))))-'Council Entry'!L$5)/('Council Entry'!L$6-'Council Entry'!L$5)),1))),"No data"))</f>
        <v/>
      </c>
      <c r="M175" s="13">
        <f>IF('Council Entry'!M175="","",IFERROR(MAX(0,MIN(10,ROUND(IF('Council Entry'!M$7="Decrease Risk",10-10*((IF('Council Entry'!M$4="Logarithm",LN(0.001+IF(AND(ISNUMBER('Council Entry'!M$8),ISNUMBER('Council Entry'!M$9)),MAX(MIN('Council Entry'!M175,'Council Entry'!M$9),'Council Entry'!M$8),'Council Entry'!M175)),IF('Council Entry'!M$4="Exponential",EXP(IF(AND(ISNUMBER('Council Entry'!M$8),ISNUMBER('Council Entry'!M$9)),MAX(MIN('Council Entry'!M175,'Council Entry'!M$9),'Council Entry'!M$8),'Council Entry'!M175)),IF(AND(ISNUMBER('Council Entry'!M$8),ISNUMBER('Council Entry'!M$9)),MAX(MIN('Council Entry'!M175,'Council Entry'!M$9),'Council Entry'!M$8),'Council Entry'!M175))))-'Council Entry'!M$5)/('Council Entry'!M$6-'Council Entry'!M$5),10*((IF('Council Entry'!M$4="Logarithm",LN(0.001+IF(AND(ISNUMBER('Council Entry'!M$8),ISNUMBER('Council Entry'!M$9)),MAX(MIN('Council Entry'!M175,'Council Entry'!M$9),'Council Entry'!M$8),'Council Entry'!M175)),IF('Council Entry'!M$4="Exponential",EXP(IF(AND(ISNUMBER('Council Entry'!M$8),ISNUMBER('Council Entry'!M$9)),MAX(MIN('Council Entry'!M175,'Council Entry'!M$9),'Council Entry'!M$8),'Council Entry'!M175)),IF(AND(ISNUMBER('Council Entry'!M$8),ISNUMBER('Council Entry'!M$9)),MAX(MIN('Council Entry'!M175,'Council Entry'!M$9),'Council Entry'!M$8),'Council Entry'!M175))))-'Council Entry'!M$5)/('Council Entry'!M$6-'Council Entry'!M$5)),1))),"No data"))</f>
        <v/>
      </c>
      <c r="N175" s="13">
        <f>IF('Council Entry'!N175="","",IFERROR(MAX(0,MIN(10,ROUND(IF('Council Entry'!N$7="Decrease Risk",10-10*((IF('Council Entry'!N$4="Logarithm",LN(0.001+IF(AND(ISNUMBER('Council Entry'!N$8),ISNUMBER('Council Entry'!N$9)),MAX(MIN('Council Entry'!N175,'Council Entry'!N$9),'Council Entry'!N$8),'Council Entry'!N175)),IF('Council Entry'!N$4="Exponential",EXP(IF(AND(ISNUMBER('Council Entry'!N$8),ISNUMBER('Council Entry'!N$9)),MAX(MIN('Council Entry'!N175,'Council Entry'!N$9),'Council Entry'!N$8),'Council Entry'!N175)),IF(AND(ISNUMBER('Council Entry'!N$8),ISNUMBER('Council Entry'!N$9)),MAX(MIN('Council Entry'!N175,'Council Entry'!N$9),'Council Entry'!N$8),'Council Entry'!N175))))-'Council Entry'!N$5)/('Council Entry'!N$6-'Council Entry'!N$5),10*((IF('Council Entry'!N$4="Logarithm",LN(0.001+IF(AND(ISNUMBER('Council Entry'!N$8),ISNUMBER('Council Entry'!N$9)),MAX(MIN('Council Entry'!N175,'Council Entry'!N$9),'Council Entry'!N$8),'Council Entry'!N175)),IF('Council Entry'!N$4="Exponential",EXP(IF(AND(ISNUMBER('Council Entry'!N$8),ISNUMBER('Council Entry'!N$9)),MAX(MIN('Council Entry'!N175,'Council Entry'!N$9),'Council Entry'!N$8),'Council Entry'!N175)),IF(AND(ISNUMBER('Council Entry'!N$8),ISNUMBER('Council Entry'!N$9)),MAX(MIN('Council Entry'!N175,'Council Entry'!N$9),'Council Entry'!N$8),'Council Entry'!N175))))-'Council Entry'!N$5)/('Council Entry'!N$6-'Council Entry'!N$5)),1))),"No data"))</f>
        <v/>
      </c>
      <c r="O175" s="13">
        <f>IF('Council Entry'!O175="","",IFERROR(MAX(0,MIN(10,ROUND(IF('Council Entry'!O$7="Decrease Risk",10-10*((IF('Council Entry'!O$4="Logarithm",LN(0.001+IF(AND(ISNUMBER('Council Entry'!O$8),ISNUMBER('Council Entry'!O$9)),MAX(MIN('Council Entry'!O175,'Council Entry'!O$9),'Council Entry'!O$8),'Council Entry'!O175)),IF('Council Entry'!O$4="Exponential",EXP(IF(AND(ISNUMBER('Council Entry'!O$8),ISNUMBER('Council Entry'!O$9)),MAX(MIN('Council Entry'!O175,'Council Entry'!O$9),'Council Entry'!O$8),'Council Entry'!O175)),IF(AND(ISNUMBER('Council Entry'!O$8),ISNUMBER('Council Entry'!O$9)),MAX(MIN('Council Entry'!O175,'Council Entry'!O$9),'Council Entry'!O$8),'Council Entry'!O175))))-'Council Entry'!O$5)/('Council Entry'!O$6-'Council Entry'!O$5),10*((IF('Council Entry'!O$4="Logarithm",LN(0.001+IF(AND(ISNUMBER('Council Entry'!O$8),ISNUMBER('Council Entry'!O$9)),MAX(MIN('Council Entry'!O175,'Council Entry'!O$9),'Council Entry'!O$8),'Council Entry'!O175)),IF('Council Entry'!O$4="Exponential",EXP(IF(AND(ISNUMBER('Council Entry'!O$8),ISNUMBER('Council Entry'!O$9)),MAX(MIN('Council Entry'!O175,'Council Entry'!O$9),'Council Entry'!O$8),'Council Entry'!O175)),IF(AND(ISNUMBER('Council Entry'!O$8),ISNUMBER('Council Entry'!O$9)),MAX(MIN('Council Entry'!O175,'Council Entry'!O$9),'Council Entry'!O$8),'Council Entry'!O175))))-'Council Entry'!O$5)/('Council Entry'!O$6-'Council Entry'!O$5)),1))),"No data"))</f>
        <v/>
      </c>
      <c r="P175" s="13">
        <f>IF('Council Entry'!P175="","",IFERROR(MAX(0,MIN(10,ROUND(IF('Council Entry'!P$7="Decrease Risk",10-10*((IF('Council Entry'!P$4="Logarithm",LN(0.001+IF(AND(ISNUMBER('Council Entry'!P$8),ISNUMBER('Council Entry'!P$9)),MAX(MIN('Council Entry'!P175,'Council Entry'!P$9),'Council Entry'!P$8),'Council Entry'!P175)),IF('Council Entry'!P$4="Exponential",EXP(IF(AND(ISNUMBER('Council Entry'!P$8),ISNUMBER('Council Entry'!P$9)),MAX(MIN('Council Entry'!P175,'Council Entry'!P$9),'Council Entry'!P$8),'Council Entry'!P175)),IF(AND(ISNUMBER('Council Entry'!P$8),ISNUMBER('Council Entry'!P$9)),MAX(MIN('Council Entry'!P175,'Council Entry'!P$9),'Council Entry'!P$8),'Council Entry'!P175))))-'Council Entry'!P$5)/('Council Entry'!P$6-'Council Entry'!P$5),10*((IF('Council Entry'!P$4="Logarithm",LN(0.001+IF(AND(ISNUMBER('Council Entry'!P$8),ISNUMBER('Council Entry'!P$9)),MAX(MIN('Council Entry'!P175,'Council Entry'!P$9),'Council Entry'!P$8),'Council Entry'!P175)),IF('Council Entry'!P$4="Exponential",EXP(IF(AND(ISNUMBER('Council Entry'!P$8),ISNUMBER('Council Entry'!P$9)),MAX(MIN('Council Entry'!P175,'Council Entry'!P$9),'Council Entry'!P$8),'Council Entry'!P175)),IF(AND(ISNUMBER('Council Entry'!P$8),ISNUMBER('Council Entry'!P$9)),MAX(MIN('Council Entry'!P175,'Council Entry'!P$9),'Council Entry'!P$8),'Council Entry'!P175))))-'Council Entry'!P$5)/('Council Entry'!P$6-'Council Entry'!P$5)),1))),"No data"))</f>
        <v/>
      </c>
      <c r="Q175" s="13">
        <f>IF('Council Entry'!Q175="","",IFERROR(MAX(0,MIN(10,ROUND(IF('Council Entry'!Q$7="Decrease Risk",10-10*((IF('Council Entry'!Q$4="Logarithm",LN(0.001+IF(AND(ISNUMBER('Council Entry'!Q$8),ISNUMBER('Council Entry'!Q$9)),MAX(MIN('Council Entry'!Q175,'Council Entry'!Q$9),'Council Entry'!Q$8),'Council Entry'!Q175)),IF('Council Entry'!Q$4="Exponential",EXP(IF(AND(ISNUMBER('Council Entry'!Q$8),ISNUMBER('Council Entry'!Q$9)),MAX(MIN('Council Entry'!Q175,'Council Entry'!Q$9),'Council Entry'!Q$8),'Council Entry'!Q175)),IF(AND(ISNUMBER('Council Entry'!Q$8),ISNUMBER('Council Entry'!Q$9)),MAX(MIN('Council Entry'!Q175,'Council Entry'!Q$9),'Council Entry'!Q$8),'Council Entry'!Q175))))-'Council Entry'!Q$5)/('Council Entry'!Q$6-'Council Entry'!Q$5),10*((IF('Council Entry'!Q$4="Logarithm",LN(0.001+IF(AND(ISNUMBER('Council Entry'!Q$8),ISNUMBER('Council Entry'!Q$9)),MAX(MIN('Council Entry'!Q175,'Council Entry'!Q$9),'Council Entry'!Q$8),'Council Entry'!Q175)),IF('Council Entry'!Q$4="Exponential",EXP(IF(AND(ISNUMBER('Council Entry'!Q$8),ISNUMBER('Council Entry'!Q$9)),MAX(MIN('Council Entry'!Q175,'Council Entry'!Q$9),'Council Entry'!Q$8),'Council Entry'!Q175)),IF(AND(ISNUMBER('Council Entry'!Q$8),ISNUMBER('Council Entry'!Q$9)),MAX(MIN('Council Entry'!Q175,'Council Entry'!Q$9),'Council Entry'!Q$8),'Council Entry'!Q175))))-'Council Entry'!Q$5)/('Council Entry'!Q$6-'Council Entry'!Q$5)),1))),"No data"))</f>
        <v/>
      </c>
      <c r="R175" s="13">
        <f>IF('Council Entry'!R175="","",IFERROR(MAX(0,MIN(10,ROUND(IF('Council Entry'!R$7="Decrease Risk",10-10*((IF('Council Entry'!R$4="Logarithm",LN(0.001+IF(AND(ISNUMBER('Council Entry'!R$8),ISNUMBER('Council Entry'!R$9)),MAX(MIN('Council Entry'!R175,'Council Entry'!R$9),'Council Entry'!R$8),'Council Entry'!R175)),IF('Council Entry'!R$4="Exponential",EXP(IF(AND(ISNUMBER('Council Entry'!R$8),ISNUMBER('Council Entry'!R$9)),MAX(MIN('Council Entry'!R175,'Council Entry'!R$9),'Council Entry'!R$8),'Council Entry'!R175)),IF(AND(ISNUMBER('Council Entry'!R$8),ISNUMBER('Council Entry'!R$9)),MAX(MIN('Council Entry'!R175,'Council Entry'!R$9),'Council Entry'!R$8),'Council Entry'!R175))))-'Council Entry'!R$5)/('Council Entry'!R$6-'Council Entry'!R$5),10*((IF('Council Entry'!R$4="Logarithm",LN(0.001+IF(AND(ISNUMBER('Council Entry'!R$8),ISNUMBER('Council Entry'!R$9)),MAX(MIN('Council Entry'!R175,'Council Entry'!R$9),'Council Entry'!R$8),'Council Entry'!R175)),IF('Council Entry'!R$4="Exponential",EXP(IF(AND(ISNUMBER('Council Entry'!R$8),ISNUMBER('Council Entry'!R$9)),MAX(MIN('Council Entry'!R175,'Council Entry'!R$9),'Council Entry'!R$8),'Council Entry'!R175)),IF(AND(ISNUMBER('Council Entry'!R$8),ISNUMBER('Council Entry'!R$9)),MAX(MIN('Council Entry'!R175,'Council Entry'!R$9),'Council Entry'!R$8),'Council Entry'!R175))))-'Council Entry'!R$5)/('Council Entry'!R$6-'Council Entry'!R$5)),1))),"No data"))</f>
        <v/>
      </c>
      <c r="S175" s="13">
        <f>IF('Council Entry'!S175="","",IFERROR(MAX(0,MIN(10,ROUND(IF('Council Entry'!S$7="Decrease Risk",10-10*((IF('Council Entry'!S$4="Logarithm",LN(0.001+IF(AND(ISNUMBER('Council Entry'!S$8),ISNUMBER('Council Entry'!S$9)),MAX(MIN('Council Entry'!S175,'Council Entry'!S$9),'Council Entry'!S$8),'Council Entry'!S175)),IF('Council Entry'!S$4="Exponential",EXP(IF(AND(ISNUMBER('Council Entry'!S$8),ISNUMBER('Council Entry'!S$9)),MAX(MIN('Council Entry'!S175,'Council Entry'!S$9),'Council Entry'!S$8),'Council Entry'!S175)),IF(AND(ISNUMBER('Council Entry'!S$8),ISNUMBER('Council Entry'!S$9)),MAX(MIN('Council Entry'!S175,'Council Entry'!S$9),'Council Entry'!S$8),'Council Entry'!S175))))-'Council Entry'!S$5)/('Council Entry'!S$6-'Council Entry'!S$5),10*((IF('Council Entry'!S$4="Logarithm",LN(0.001+IF(AND(ISNUMBER('Council Entry'!S$8),ISNUMBER('Council Entry'!S$9)),MAX(MIN('Council Entry'!S175,'Council Entry'!S$9),'Council Entry'!S$8),'Council Entry'!S175)),IF('Council Entry'!S$4="Exponential",EXP(IF(AND(ISNUMBER('Council Entry'!S$8),ISNUMBER('Council Entry'!S$9)),MAX(MIN('Council Entry'!S175,'Council Entry'!S$9),'Council Entry'!S$8),'Council Entry'!S175)),IF(AND(ISNUMBER('Council Entry'!S$8),ISNUMBER('Council Entry'!S$9)),MAX(MIN('Council Entry'!S175,'Council Entry'!S$9),'Council Entry'!S$8),'Council Entry'!S175))))-'Council Entry'!S$5)/('Council Entry'!S$6-'Council Entry'!S$5)),1))),"No data"))</f>
        <v/>
      </c>
      <c r="T175" s="13">
        <f>IF('Council Entry'!T175="","",IFERROR(MAX(0,MIN(10,ROUND(IF('Council Entry'!T$7="Decrease Risk",10-10*((IF('Council Entry'!T$4="Logarithm",LN(0.001+IF(AND(ISNUMBER('Council Entry'!T$8),ISNUMBER('Council Entry'!T$9)),MAX(MIN('Council Entry'!T175,'Council Entry'!T$9),'Council Entry'!T$8),'Council Entry'!T175)),IF('Council Entry'!T$4="Exponential",EXP(IF(AND(ISNUMBER('Council Entry'!T$8),ISNUMBER('Council Entry'!T$9)),MAX(MIN('Council Entry'!T175,'Council Entry'!T$9),'Council Entry'!T$8),'Council Entry'!T175)),IF(AND(ISNUMBER('Council Entry'!T$8),ISNUMBER('Council Entry'!T$9)),MAX(MIN('Council Entry'!T175,'Council Entry'!T$9),'Council Entry'!T$8),'Council Entry'!T175))))-'Council Entry'!T$5)/('Council Entry'!T$6-'Council Entry'!T$5),10*((IF('Council Entry'!T$4="Logarithm",LN(0.001+IF(AND(ISNUMBER('Council Entry'!T$8),ISNUMBER('Council Entry'!T$9)),MAX(MIN('Council Entry'!T175,'Council Entry'!T$9),'Council Entry'!T$8),'Council Entry'!T175)),IF('Council Entry'!T$4="Exponential",EXP(IF(AND(ISNUMBER('Council Entry'!T$8),ISNUMBER('Council Entry'!T$9)),MAX(MIN('Council Entry'!T175,'Council Entry'!T$9),'Council Entry'!T$8),'Council Entry'!T175)),IF(AND(ISNUMBER('Council Entry'!T$8),ISNUMBER('Council Entry'!T$9)),MAX(MIN('Council Entry'!T175,'Council Entry'!T$9),'Council Entry'!T$8),'Council Entry'!T175))))-'Council Entry'!T$5)/('Council Entry'!T$6-'Council Entry'!T$5)),1))),"No data"))</f>
        <v/>
      </c>
      <c r="U175" s="13">
        <f>IF('Council Entry'!U175="","",IFERROR(MAX(0,MIN(10,ROUND(IF('Council Entry'!U$7="Decrease Risk",10-10*((IF('Council Entry'!U$4="Logarithm",LN(0.001+IF(AND(ISNUMBER('Council Entry'!U$8),ISNUMBER('Council Entry'!U$9)),MAX(MIN('Council Entry'!U175,'Council Entry'!U$9),'Council Entry'!U$8),'Council Entry'!U175)),IF('Council Entry'!U$4="Exponential",EXP(IF(AND(ISNUMBER('Council Entry'!U$8),ISNUMBER('Council Entry'!U$9)),MAX(MIN('Council Entry'!U175,'Council Entry'!U$9),'Council Entry'!U$8),'Council Entry'!U175)),IF(AND(ISNUMBER('Council Entry'!U$8),ISNUMBER('Council Entry'!U$9)),MAX(MIN('Council Entry'!U175,'Council Entry'!U$9),'Council Entry'!U$8),'Council Entry'!U175))))-'Council Entry'!U$5)/('Council Entry'!U$6-'Council Entry'!U$5),10*((IF('Council Entry'!U$4="Logarithm",LN(0.001+IF(AND(ISNUMBER('Council Entry'!U$8),ISNUMBER('Council Entry'!U$9)),MAX(MIN('Council Entry'!U175,'Council Entry'!U$9),'Council Entry'!U$8),'Council Entry'!U175)),IF('Council Entry'!U$4="Exponential",EXP(IF(AND(ISNUMBER('Council Entry'!U$8),ISNUMBER('Council Entry'!U$9)),MAX(MIN('Council Entry'!U175,'Council Entry'!U$9),'Council Entry'!U$8),'Council Entry'!U175)),IF(AND(ISNUMBER('Council Entry'!U$8),ISNUMBER('Council Entry'!U$9)),MAX(MIN('Council Entry'!U175,'Council Entry'!U$9),'Council Entry'!U$8),'Council Entry'!U175))))-'Council Entry'!U$5)/('Council Entry'!U$6-'Council Entry'!U$5)),1))),"No data"))</f>
        <v/>
      </c>
      <c r="V175" s="13">
        <f>IF('Council Entry'!V175="","",IFERROR(MAX(0,MIN(10,ROUND(IF('Council Entry'!V$7="Decrease Risk",10-10*((IF('Council Entry'!V$4="Logarithm",LN(0.001+IF(AND(ISNUMBER('Council Entry'!V$8),ISNUMBER('Council Entry'!V$9)),MAX(MIN('Council Entry'!V175,'Council Entry'!V$9),'Council Entry'!V$8),'Council Entry'!V175)),IF('Council Entry'!V$4="Exponential",EXP(IF(AND(ISNUMBER('Council Entry'!V$8),ISNUMBER('Council Entry'!V$9)),MAX(MIN('Council Entry'!V175,'Council Entry'!V$9),'Council Entry'!V$8),'Council Entry'!V175)),IF(AND(ISNUMBER('Council Entry'!V$8),ISNUMBER('Council Entry'!V$9)),MAX(MIN('Council Entry'!V175,'Council Entry'!V$9),'Council Entry'!V$8),'Council Entry'!V175))))-'Council Entry'!V$5)/('Council Entry'!V$6-'Council Entry'!V$5),10*((IF('Council Entry'!V$4="Logarithm",LN(0.001+IF(AND(ISNUMBER('Council Entry'!V$8),ISNUMBER('Council Entry'!V$9)),MAX(MIN('Council Entry'!V175,'Council Entry'!V$9),'Council Entry'!V$8),'Council Entry'!V175)),IF('Council Entry'!V$4="Exponential",EXP(IF(AND(ISNUMBER('Council Entry'!V$8),ISNUMBER('Council Entry'!V$9)),MAX(MIN('Council Entry'!V175,'Council Entry'!V$9),'Council Entry'!V$8),'Council Entry'!V175)),IF(AND(ISNUMBER('Council Entry'!V$8),ISNUMBER('Council Entry'!V$9)),MAX(MIN('Council Entry'!V175,'Council Entry'!V$9),'Council Entry'!V$8),'Council Entry'!V175))))-'Council Entry'!V$5)/('Council Entry'!V$6-'Council Entry'!V$5)),1))),"No data"))</f>
        <v/>
      </c>
      <c r="W175" s="13">
        <f>IF('Council Entry'!W175="","",IFERROR(MAX(0,MIN(10,ROUND(IF('Council Entry'!W$7="Decrease Risk",10-10*((IF('Council Entry'!W$4="Logarithm",LN(0.001+IF(AND(ISNUMBER('Council Entry'!W$8),ISNUMBER('Council Entry'!W$9)),MAX(MIN('Council Entry'!W175,'Council Entry'!W$9),'Council Entry'!W$8),'Council Entry'!W175)),IF('Council Entry'!W$4="Exponential",EXP(IF(AND(ISNUMBER('Council Entry'!W$8),ISNUMBER('Council Entry'!W$9)),MAX(MIN('Council Entry'!W175,'Council Entry'!W$9),'Council Entry'!W$8),'Council Entry'!W175)),IF(AND(ISNUMBER('Council Entry'!W$8),ISNUMBER('Council Entry'!W$9)),MAX(MIN('Council Entry'!W175,'Council Entry'!W$9),'Council Entry'!W$8),'Council Entry'!W175))))-'Council Entry'!W$5)/('Council Entry'!W$6-'Council Entry'!W$5),10*((IF('Council Entry'!W$4="Logarithm",LN(0.001+IF(AND(ISNUMBER('Council Entry'!W$8),ISNUMBER('Council Entry'!W$9)),MAX(MIN('Council Entry'!W175,'Council Entry'!W$9),'Council Entry'!W$8),'Council Entry'!W175)),IF('Council Entry'!W$4="Exponential",EXP(IF(AND(ISNUMBER('Council Entry'!W$8),ISNUMBER('Council Entry'!W$9)),MAX(MIN('Council Entry'!W175,'Council Entry'!W$9),'Council Entry'!W$8),'Council Entry'!W175)),IF(AND(ISNUMBER('Council Entry'!W$8),ISNUMBER('Council Entry'!W$9)),MAX(MIN('Council Entry'!W175,'Council Entry'!W$9),'Council Entry'!W$8),'Council Entry'!W175))))-'Council Entry'!W$5)/('Council Entry'!W$6-'Council Entry'!W$5)),1))),"No data"))</f>
        <v/>
      </c>
      <c r="X175" s="13">
        <f>IF('Council Entry'!X175="","",IFERROR(MAX(0,MIN(10,ROUND(IF('Council Entry'!X$7="Decrease Risk",10-10*((IF('Council Entry'!X$4="Logarithm",LN(0.001+IF(AND(ISNUMBER('Council Entry'!X$8),ISNUMBER('Council Entry'!X$9)),MAX(MIN('Council Entry'!X175,'Council Entry'!X$9),'Council Entry'!X$8),'Council Entry'!X175)),IF('Council Entry'!X$4="Exponential",EXP(IF(AND(ISNUMBER('Council Entry'!X$8),ISNUMBER('Council Entry'!X$9)),MAX(MIN('Council Entry'!X175,'Council Entry'!X$9),'Council Entry'!X$8),'Council Entry'!X175)),IF(AND(ISNUMBER('Council Entry'!X$8),ISNUMBER('Council Entry'!X$9)),MAX(MIN('Council Entry'!X175,'Council Entry'!X$9),'Council Entry'!X$8),'Council Entry'!X175))))-'Council Entry'!X$5)/('Council Entry'!X$6-'Council Entry'!X$5),10*((IF('Council Entry'!X$4="Logarithm",LN(0.001+IF(AND(ISNUMBER('Council Entry'!X$8),ISNUMBER('Council Entry'!X$9)),MAX(MIN('Council Entry'!X175,'Council Entry'!X$9),'Council Entry'!X$8),'Council Entry'!X175)),IF('Council Entry'!X$4="Exponential",EXP(IF(AND(ISNUMBER('Council Entry'!X$8),ISNUMBER('Council Entry'!X$9)),MAX(MIN('Council Entry'!X175,'Council Entry'!X$9),'Council Entry'!X$8),'Council Entry'!X175)),IF(AND(ISNUMBER('Council Entry'!X$8),ISNUMBER('Council Entry'!X$9)),MAX(MIN('Council Entry'!X175,'Council Entry'!X$9),'Council Entry'!X$8),'Council Entry'!X175))))-'Council Entry'!X$5)/('Council Entry'!X$6-'Council Entry'!X$5)),1))),"No data"))</f>
        <v/>
      </c>
      <c r="Y175" s="13">
        <f>IF('Council Entry'!Y175="","",IFERROR(MAX(0,MIN(10,ROUND(IF('Council Entry'!Y$7="Decrease Risk",10-10*((IF('Council Entry'!Y$4="Logarithm",LN(0.001+IF(AND(ISNUMBER('Council Entry'!Y$8),ISNUMBER('Council Entry'!Y$9)),MAX(MIN('Council Entry'!Y175,'Council Entry'!Y$9),'Council Entry'!Y$8),'Council Entry'!Y175)),IF('Council Entry'!Y$4="Exponential",EXP(IF(AND(ISNUMBER('Council Entry'!Y$8),ISNUMBER('Council Entry'!Y$9)),MAX(MIN('Council Entry'!Y175,'Council Entry'!Y$9),'Council Entry'!Y$8),'Council Entry'!Y175)),IF(AND(ISNUMBER('Council Entry'!Y$8),ISNUMBER('Council Entry'!Y$9)),MAX(MIN('Council Entry'!Y175,'Council Entry'!Y$9),'Council Entry'!Y$8),'Council Entry'!Y175))))-'Council Entry'!Y$5)/('Council Entry'!Y$6-'Council Entry'!Y$5),10*((IF('Council Entry'!Y$4="Logarithm",LN(0.001+IF(AND(ISNUMBER('Council Entry'!Y$8),ISNUMBER('Council Entry'!Y$9)),MAX(MIN('Council Entry'!Y175,'Council Entry'!Y$9),'Council Entry'!Y$8),'Council Entry'!Y175)),IF('Council Entry'!Y$4="Exponential",EXP(IF(AND(ISNUMBER('Council Entry'!Y$8),ISNUMBER('Council Entry'!Y$9)),MAX(MIN('Council Entry'!Y175,'Council Entry'!Y$9),'Council Entry'!Y$8),'Council Entry'!Y175)),IF(AND(ISNUMBER('Council Entry'!Y$8),ISNUMBER('Council Entry'!Y$9)),MAX(MIN('Council Entry'!Y175,'Council Entry'!Y$9),'Council Entry'!Y$8),'Council Entry'!Y175))))-'Council Entry'!Y$5)/('Council Entry'!Y$6-'Council Entry'!Y$5)),1))),"No data"))</f>
        <v/>
      </c>
      <c r="Z175" s="13">
        <f>IF('Council Entry'!Z175="","",IFERROR(MAX(0,MIN(10,ROUND(IF('Council Entry'!Z$7="Decrease Risk",10-10*((IF('Council Entry'!Z$4="Logarithm",LN(0.001+IF(AND(ISNUMBER('Council Entry'!Z$8),ISNUMBER('Council Entry'!Z$9)),MAX(MIN('Council Entry'!Z175,'Council Entry'!Z$9),'Council Entry'!Z$8),'Council Entry'!Z175)),IF('Council Entry'!Z$4="Exponential",EXP(IF(AND(ISNUMBER('Council Entry'!Z$8),ISNUMBER('Council Entry'!Z$9)),MAX(MIN('Council Entry'!Z175,'Council Entry'!Z$9),'Council Entry'!Z$8),'Council Entry'!Z175)),IF(AND(ISNUMBER('Council Entry'!Z$8),ISNUMBER('Council Entry'!Z$9)),MAX(MIN('Council Entry'!Z175,'Council Entry'!Z$9),'Council Entry'!Z$8),'Council Entry'!Z175))))-'Council Entry'!Z$5)/('Council Entry'!Z$6-'Council Entry'!Z$5),10*((IF('Council Entry'!Z$4="Logarithm",LN(0.001+IF(AND(ISNUMBER('Council Entry'!Z$8),ISNUMBER('Council Entry'!Z$9)),MAX(MIN('Council Entry'!Z175,'Council Entry'!Z$9),'Council Entry'!Z$8),'Council Entry'!Z175)),IF('Council Entry'!Z$4="Exponential",EXP(IF(AND(ISNUMBER('Council Entry'!Z$8),ISNUMBER('Council Entry'!Z$9)),MAX(MIN('Council Entry'!Z175,'Council Entry'!Z$9),'Council Entry'!Z$8),'Council Entry'!Z175)),IF(AND(ISNUMBER('Council Entry'!Z$8),ISNUMBER('Council Entry'!Z$9)),MAX(MIN('Council Entry'!Z175,'Council Entry'!Z$9),'Council Entry'!Z$8),'Council Entry'!Z175))))-'Council Entry'!Z$5)/('Council Entry'!Z$6-'Council Entry'!Z$5)),1))),"No data"))</f>
        <v/>
      </c>
      <c r="AA175" s="13">
        <f>IF('Council Entry'!AA175="","",IFERROR(MAX(0,MIN(10,ROUND(IF('Council Entry'!AA$7="Decrease Risk",10-10*((IF('Council Entry'!AA$4="Logarithm",LN(0.001+IF(AND(ISNUMBER('Council Entry'!AA$8),ISNUMBER('Council Entry'!AA$9)),MAX(MIN('Council Entry'!AA175,'Council Entry'!AA$9),'Council Entry'!AA$8),'Council Entry'!AA175)),IF('Council Entry'!AA$4="Exponential",EXP(IF(AND(ISNUMBER('Council Entry'!AA$8),ISNUMBER('Council Entry'!AA$9)),MAX(MIN('Council Entry'!AA175,'Council Entry'!AA$9),'Council Entry'!AA$8),'Council Entry'!AA175)),IF(AND(ISNUMBER('Council Entry'!AA$8),ISNUMBER('Council Entry'!AA$9)),MAX(MIN('Council Entry'!AA175,'Council Entry'!AA$9),'Council Entry'!AA$8),'Council Entry'!AA175))))-'Council Entry'!AA$5)/('Council Entry'!AA$6-'Council Entry'!AA$5),10*((IF('Council Entry'!AA$4="Logarithm",LN(0.001+IF(AND(ISNUMBER('Council Entry'!AA$8),ISNUMBER('Council Entry'!AA$9)),MAX(MIN('Council Entry'!AA175,'Council Entry'!AA$9),'Council Entry'!AA$8),'Council Entry'!AA175)),IF('Council Entry'!AA$4="Exponential",EXP(IF(AND(ISNUMBER('Council Entry'!AA$8),ISNUMBER('Council Entry'!AA$9)),MAX(MIN('Council Entry'!AA175,'Council Entry'!AA$9),'Council Entry'!AA$8),'Council Entry'!AA175)),IF(AND(ISNUMBER('Council Entry'!AA$8),ISNUMBER('Council Entry'!AA$9)),MAX(MIN('Council Entry'!AA175,'Council Entry'!AA$9),'Council Entry'!AA$8),'Council Entry'!AA175))))-'Council Entry'!AA$5)/('Council Entry'!AA$6-'Council Entry'!AA$5)),1))),"No data"))</f>
        <v/>
      </c>
      <c r="AB175" s="13">
        <f>IF('Council Entry'!AB175="","",IFERROR(MAX(0,MIN(10,ROUND(IF('Council Entry'!AB$7="Decrease Risk",10-10*((IF('Council Entry'!AB$4="Logarithm",LN(0.001+IF(AND(ISNUMBER('Council Entry'!AB$8),ISNUMBER('Council Entry'!AB$9)),MAX(MIN('Council Entry'!AB175,'Council Entry'!AB$9),'Council Entry'!AB$8),'Council Entry'!AB175)),IF('Council Entry'!AB$4="Exponential",EXP(IF(AND(ISNUMBER('Council Entry'!AB$8),ISNUMBER('Council Entry'!AB$9)),MAX(MIN('Council Entry'!AB175,'Council Entry'!AB$9),'Council Entry'!AB$8),'Council Entry'!AB175)),IF(AND(ISNUMBER('Council Entry'!AB$8),ISNUMBER('Council Entry'!AB$9)),MAX(MIN('Council Entry'!AB175,'Council Entry'!AB$9),'Council Entry'!AB$8),'Council Entry'!AB175))))-'Council Entry'!AB$5)/('Council Entry'!AB$6-'Council Entry'!AB$5),10*((IF('Council Entry'!AB$4="Logarithm",LN(0.001+IF(AND(ISNUMBER('Council Entry'!AB$8),ISNUMBER('Council Entry'!AB$9)),MAX(MIN('Council Entry'!AB175,'Council Entry'!AB$9),'Council Entry'!AB$8),'Council Entry'!AB175)),IF('Council Entry'!AB$4="Exponential",EXP(IF(AND(ISNUMBER('Council Entry'!AB$8),ISNUMBER('Council Entry'!AB$9)),MAX(MIN('Council Entry'!AB175,'Council Entry'!AB$9),'Council Entry'!AB$8),'Council Entry'!AB175)),IF(AND(ISNUMBER('Council Entry'!AB$8),ISNUMBER('Council Entry'!AB$9)),MAX(MIN('Council Entry'!AB175,'Council Entry'!AB$9),'Council Entry'!AB$8),'Council Entry'!AB175))))-'Council Entry'!AB$5)/('Council Entry'!AB$6-'Council Entry'!AB$5)),1))),"No data"))</f>
        <v/>
      </c>
      <c r="AC175" s="13">
        <f>IF('Council Entry'!AC175="","",IFERROR(MAX(0,MIN(10,ROUND(IF('Council Entry'!AC$7="Decrease Risk",10-10*((IF('Council Entry'!AC$4="Logarithm",LN(0.001+IF(AND(ISNUMBER('Council Entry'!AC$8),ISNUMBER('Council Entry'!AC$9)),MAX(MIN('Council Entry'!AC175,'Council Entry'!AC$9),'Council Entry'!AC$8),'Council Entry'!AC175)),IF('Council Entry'!AC$4="Exponential",EXP(IF(AND(ISNUMBER('Council Entry'!AC$8),ISNUMBER('Council Entry'!AC$9)),MAX(MIN('Council Entry'!AC175,'Council Entry'!AC$9),'Council Entry'!AC$8),'Council Entry'!AC175)),IF(AND(ISNUMBER('Council Entry'!AC$8),ISNUMBER('Council Entry'!AC$9)),MAX(MIN('Council Entry'!AC175,'Council Entry'!AC$9),'Council Entry'!AC$8),'Council Entry'!AC175))))-'Council Entry'!AC$5)/('Council Entry'!AC$6-'Council Entry'!AC$5),10*((IF('Council Entry'!AC$4="Logarithm",LN(0.001+IF(AND(ISNUMBER('Council Entry'!AC$8),ISNUMBER('Council Entry'!AC$9)),MAX(MIN('Council Entry'!AC175,'Council Entry'!AC$9),'Council Entry'!AC$8),'Council Entry'!AC175)),IF('Council Entry'!AC$4="Exponential",EXP(IF(AND(ISNUMBER('Council Entry'!AC$8),ISNUMBER('Council Entry'!AC$9)),MAX(MIN('Council Entry'!AC175,'Council Entry'!AC$9),'Council Entry'!AC$8),'Council Entry'!AC175)),IF(AND(ISNUMBER('Council Entry'!AC$8),ISNUMBER('Council Entry'!AC$9)),MAX(MIN('Council Entry'!AC175,'Council Entry'!AC$9),'Council Entry'!AC$8),'Council Entry'!AC175))))-'Council Entry'!AC$5)/('Council Entry'!AC$6-'Council Entry'!AC$5)),1))),"No data"))</f>
        <v/>
      </c>
      <c r="AD175" s="13">
        <f>IF('Council Entry'!AD175="","",IFERROR(MAX(0,MIN(10,ROUND(IF('Council Entry'!AD$7="Decrease Risk",10-10*((IF('Council Entry'!AD$4="Logarithm",LN(0.001+IF(AND(ISNUMBER('Council Entry'!AD$8),ISNUMBER('Council Entry'!AD$9)),MAX(MIN('Council Entry'!AD175,'Council Entry'!AD$9),'Council Entry'!AD$8),'Council Entry'!AD175)),IF('Council Entry'!AD$4="Exponential",EXP(IF(AND(ISNUMBER('Council Entry'!AD$8),ISNUMBER('Council Entry'!AD$9)),MAX(MIN('Council Entry'!AD175,'Council Entry'!AD$9),'Council Entry'!AD$8),'Council Entry'!AD175)),IF(AND(ISNUMBER('Council Entry'!AD$8),ISNUMBER('Council Entry'!AD$9)),MAX(MIN('Council Entry'!AD175,'Council Entry'!AD$9),'Council Entry'!AD$8),'Council Entry'!AD175))))-'Council Entry'!AD$5)/('Council Entry'!AD$6-'Council Entry'!AD$5),10*((IF('Council Entry'!AD$4="Logarithm",LN(0.001+IF(AND(ISNUMBER('Council Entry'!AD$8),ISNUMBER('Council Entry'!AD$9)),MAX(MIN('Council Entry'!AD175,'Council Entry'!AD$9),'Council Entry'!AD$8),'Council Entry'!AD175)),IF('Council Entry'!AD$4="Exponential",EXP(IF(AND(ISNUMBER('Council Entry'!AD$8),ISNUMBER('Council Entry'!AD$9)),MAX(MIN('Council Entry'!AD175,'Council Entry'!AD$9),'Council Entry'!AD$8),'Council Entry'!AD175)),IF(AND(ISNUMBER('Council Entry'!AD$8),ISNUMBER('Council Entry'!AD$9)),MAX(MIN('Council Entry'!AD175,'Council Entry'!AD$9),'Council Entry'!AD$8),'Council Entry'!AD175))))-'Council Entry'!AD$5)/('Council Entry'!AD$6-'Council Entry'!AD$5)),1))),"No data"))</f>
        <v/>
      </c>
      <c r="AE175" s="13">
        <f>IF('Council Entry'!AE175="","",IFERROR(MAX(0,MIN(10,ROUND(IF('Council Entry'!AE$7="Decrease Risk",10-10*((IF('Council Entry'!AE$4="Logarithm",LN(0.001+IF(AND(ISNUMBER('Council Entry'!AE$8),ISNUMBER('Council Entry'!AE$9)),MAX(MIN('Council Entry'!AE175,'Council Entry'!AE$9),'Council Entry'!AE$8),'Council Entry'!AE175)),IF('Council Entry'!AE$4="Exponential",EXP(IF(AND(ISNUMBER('Council Entry'!AE$8),ISNUMBER('Council Entry'!AE$9)),MAX(MIN('Council Entry'!AE175,'Council Entry'!AE$9),'Council Entry'!AE$8),'Council Entry'!AE175)),IF(AND(ISNUMBER('Council Entry'!AE$8),ISNUMBER('Council Entry'!AE$9)),MAX(MIN('Council Entry'!AE175,'Council Entry'!AE$9),'Council Entry'!AE$8),'Council Entry'!AE175))))-'Council Entry'!AE$5)/('Council Entry'!AE$6-'Council Entry'!AE$5),10*((IF('Council Entry'!AE$4="Logarithm",LN(0.001+IF(AND(ISNUMBER('Council Entry'!AE$8),ISNUMBER('Council Entry'!AE$9)),MAX(MIN('Council Entry'!AE175,'Council Entry'!AE$9),'Council Entry'!AE$8),'Council Entry'!AE175)),IF('Council Entry'!AE$4="Exponential",EXP(IF(AND(ISNUMBER('Council Entry'!AE$8),ISNUMBER('Council Entry'!AE$9)),MAX(MIN('Council Entry'!AE175,'Council Entry'!AE$9),'Council Entry'!AE$8),'Council Entry'!AE175)),IF(AND(ISNUMBER('Council Entry'!AE$8),ISNUMBER('Council Entry'!AE$9)),MAX(MIN('Council Entry'!AE175,'Council Entry'!AE$9),'Council Entry'!AE$8),'Council Entry'!AE175))))-'Council Entry'!AE$5)/('Council Entry'!AE$6-'Council Entry'!AE$5)),1))),"No data"))</f>
        <v/>
      </c>
      <c r="AF175" s="13">
        <f>IF('Council Entry'!AF175="","",IFERROR(MAX(0,MIN(10,ROUND(IF('Council Entry'!AF$7="Decrease Risk",10-10*((IF('Council Entry'!AF$4="Logarithm",LN(0.001+IF(AND(ISNUMBER('Council Entry'!AF$8),ISNUMBER('Council Entry'!AF$9)),MAX(MIN('Council Entry'!AF175,'Council Entry'!AF$9),'Council Entry'!AF$8),'Council Entry'!AF175)),IF('Council Entry'!AF$4="Exponential",EXP(IF(AND(ISNUMBER('Council Entry'!AF$8),ISNUMBER('Council Entry'!AF$9)),MAX(MIN('Council Entry'!AF175,'Council Entry'!AF$9),'Council Entry'!AF$8),'Council Entry'!AF175)),IF(AND(ISNUMBER('Council Entry'!AF$8),ISNUMBER('Council Entry'!AF$9)),MAX(MIN('Council Entry'!AF175,'Council Entry'!AF$9),'Council Entry'!AF$8),'Council Entry'!AF175))))-'Council Entry'!AF$5)/('Council Entry'!AF$6-'Council Entry'!AF$5),10*((IF('Council Entry'!AF$4="Logarithm",LN(0.001+IF(AND(ISNUMBER('Council Entry'!AF$8),ISNUMBER('Council Entry'!AF$9)),MAX(MIN('Council Entry'!AF175,'Council Entry'!AF$9),'Council Entry'!AF$8),'Council Entry'!AF175)),IF('Council Entry'!AF$4="Exponential",EXP(IF(AND(ISNUMBER('Council Entry'!AF$8),ISNUMBER('Council Entry'!AF$9)),MAX(MIN('Council Entry'!AF175,'Council Entry'!AF$9),'Council Entry'!AF$8),'Council Entry'!AF175)),IF(AND(ISNUMBER('Council Entry'!AF$8),ISNUMBER('Council Entry'!AF$9)),MAX(MIN('Council Entry'!AF175,'Council Entry'!AF$9),'Council Entry'!AF$8),'Council Entry'!AF175))))-'Council Entry'!AF$5)/('Council Entry'!AF$6-'Council Entry'!AF$5)),1))),"No data"))</f>
        <v/>
      </c>
      <c r="AG175" s="13">
        <f>IF('Council Entry'!AG175="","",IFERROR(MAX(0,MIN(10,ROUND(IF('Council Entry'!AG$7="Decrease Risk",10-10*((IF('Council Entry'!AG$4="Logarithm",LN(0.001+IF(AND(ISNUMBER('Council Entry'!AG$8),ISNUMBER('Council Entry'!AG$9)),MAX(MIN('Council Entry'!AG175,'Council Entry'!AG$9),'Council Entry'!AG$8),'Council Entry'!AG175)),IF('Council Entry'!AG$4="Exponential",EXP(IF(AND(ISNUMBER('Council Entry'!AG$8),ISNUMBER('Council Entry'!AG$9)),MAX(MIN('Council Entry'!AG175,'Council Entry'!AG$9),'Council Entry'!AG$8),'Council Entry'!AG175)),IF(AND(ISNUMBER('Council Entry'!AG$8),ISNUMBER('Council Entry'!AG$9)),MAX(MIN('Council Entry'!AG175,'Council Entry'!AG$9),'Council Entry'!AG$8),'Council Entry'!AG175))))-'Council Entry'!AG$5)/('Council Entry'!AG$6-'Council Entry'!AG$5),10*((IF('Council Entry'!AG$4="Logarithm",LN(0.001+IF(AND(ISNUMBER('Council Entry'!AG$8),ISNUMBER('Council Entry'!AG$9)),MAX(MIN('Council Entry'!AG175,'Council Entry'!AG$9),'Council Entry'!AG$8),'Council Entry'!AG175)),IF('Council Entry'!AG$4="Exponential",EXP(IF(AND(ISNUMBER('Council Entry'!AG$8),ISNUMBER('Council Entry'!AG$9)),MAX(MIN('Council Entry'!AG175,'Council Entry'!AG$9),'Council Entry'!AG$8),'Council Entry'!AG175)),IF(AND(ISNUMBER('Council Entry'!AG$8),ISNUMBER('Council Entry'!AG$9)),MAX(MIN('Council Entry'!AG175,'Council Entry'!AG$9),'Council Entry'!AG$8),'Council Entry'!AG175))))-'Council Entry'!AG$5)/('Council Entry'!AG$6-'Council Entry'!AG$5)),1))),"No data"))</f>
        <v/>
      </c>
      <c r="AH175" s="13">
        <f>IF('Council Entry'!AH175="","",IFERROR(MAX(0,MIN(10,ROUND(IF('Council Entry'!AH$7="Decrease Risk",10-10*((IF('Council Entry'!AH$4="Logarithm",LN(0.001+IF(AND(ISNUMBER('Council Entry'!AH$8),ISNUMBER('Council Entry'!AH$9)),MAX(MIN('Council Entry'!AH175,'Council Entry'!AH$9),'Council Entry'!AH$8),'Council Entry'!AH175)),IF('Council Entry'!AH$4="Exponential",EXP(IF(AND(ISNUMBER('Council Entry'!AH$8),ISNUMBER('Council Entry'!AH$9)),MAX(MIN('Council Entry'!AH175,'Council Entry'!AH$9),'Council Entry'!AH$8),'Council Entry'!AH175)),IF(AND(ISNUMBER('Council Entry'!AH$8),ISNUMBER('Council Entry'!AH$9)),MAX(MIN('Council Entry'!AH175,'Council Entry'!AH$9),'Council Entry'!AH$8),'Council Entry'!AH175))))-'Council Entry'!AH$5)/('Council Entry'!AH$6-'Council Entry'!AH$5),10*((IF('Council Entry'!AH$4="Logarithm",LN(0.001+IF(AND(ISNUMBER('Council Entry'!AH$8),ISNUMBER('Council Entry'!AH$9)),MAX(MIN('Council Entry'!AH175,'Council Entry'!AH$9),'Council Entry'!AH$8),'Council Entry'!AH175)),IF('Council Entry'!AH$4="Exponential",EXP(IF(AND(ISNUMBER('Council Entry'!AH$8),ISNUMBER('Council Entry'!AH$9)),MAX(MIN('Council Entry'!AH175,'Council Entry'!AH$9),'Council Entry'!AH$8),'Council Entry'!AH175)),IF(AND(ISNUMBER('Council Entry'!AH$8),ISNUMBER('Council Entry'!AH$9)),MAX(MIN('Council Entry'!AH175,'Council Entry'!AH$9),'Council Entry'!AH$8),'Council Entry'!AH175))))-'Council Entry'!AH$5)/('Council Entry'!AH$6-'Council Entry'!AH$5)),1))),"No data"))</f>
        <v/>
      </c>
      <c r="AI175" s="13">
        <f>IF('Council Entry'!AI175="","",IFERROR(MAX(0,MIN(10,ROUND(IF('Council Entry'!AI$7="Decrease Risk",10-10*((IF('Council Entry'!AI$4="Logarithm",LN(0.001+IF(AND(ISNUMBER('Council Entry'!AI$8),ISNUMBER('Council Entry'!AI$9)),MAX(MIN('Council Entry'!AI175,'Council Entry'!AI$9),'Council Entry'!AI$8),'Council Entry'!AI175)),IF('Council Entry'!AI$4="Exponential",EXP(IF(AND(ISNUMBER('Council Entry'!AI$8),ISNUMBER('Council Entry'!AI$9)),MAX(MIN('Council Entry'!AI175,'Council Entry'!AI$9),'Council Entry'!AI$8),'Council Entry'!AI175)),IF(AND(ISNUMBER('Council Entry'!AI$8),ISNUMBER('Council Entry'!AI$9)),MAX(MIN('Council Entry'!AI175,'Council Entry'!AI$9),'Council Entry'!AI$8),'Council Entry'!AI175))))-'Council Entry'!AI$5)/('Council Entry'!AI$6-'Council Entry'!AI$5),10*((IF('Council Entry'!AI$4="Logarithm",LN(0.001+IF(AND(ISNUMBER('Council Entry'!AI$8),ISNUMBER('Council Entry'!AI$9)),MAX(MIN('Council Entry'!AI175,'Council Entry'!AI$9),'Council Entry'!AI$8),'Council Entry'!AI175)),IF('Council Entry'!AI$4="Exponential",EXP(IF(AND(ISNUMBER('Council Entry'!AI$8),ISNUMBER('Council Entry'!AI$9)),MAX(MIN('Council Entry'!AI175,'Council Entry'!AI$9),'Council Entry'!AI$8),'Council Entry'!AI175)),IF(AND(ISNUMBER('Council Entry'!AI$8),ISNUMBER('Council Entry'!AI$9)),MAX(MIN('Council Entry'!AI175,'Council Entry'!AI$9),'Council Entry'!AI$8),'Council Entry'!AI175))))-'Council Entry'!AI$5)/('Council Entry'!AI$6-'Council Entry'!AI$5)),1))),"No data"))</f>
        <v/>
      </c>
      <c r="AJ175" s="13">
        <f>IF('Council Entry'!AJ175="","",IFERROR(MAX(0,MIN(10,ROUND(IF('Council Entry'!AJ$7="Decrease Risk",10-10*((IF('Council Entry'!AJ$4="Logarithm",LN(0.001+IF(AND(ISNUMBER('Council Entry'!AJ$8),ISNUMBER('Council Entry'!AJ$9)),MAX(MIN('Council Entry'!AJ175,'Council Entry'!AJ$9),'Council Entry'!AJ$8),'Council Entry'!AJ175)),IF('Council Entry'!AJ$4="Exponential",EXP(IF(AND(ISNUMBER('Council Entry'!AJ$8),ISNUMBER('Council Entry'!AJ$9)),MAX(MIN('Council Entry'!AJ175,'Council Entry'!AJ$9),'Council Entry'!AJ$8),'Council Entry'!AJ175)),IF(AND(ISNUMBER('Council Entry'!AJ$8),ISNUMBER('Council Entry'!AJ$9)),MAX(MIN('Council Entry'!AJ175,'Council Entry'!AJ$9),'Council Entry'!AJ$8),'Council Entry'!AJ175))))-'Council Entry'!AJ$5)/('Council Entry'!AJ$6-'Council Entry'!AJ$5),10*((IF('Council Entry'!AJ$4="Logarithm",LN(0.001+IF(AND(ISNUMBER('Council Entry'!AJ$8),ISNUMBER('Council Entry'!AJ$9)),MAX(MIN('Council Entry'!AJ175,'Council Entry'!AJ$9),'Council Entry'!AJ$8),'Council Entry'!AJ175)),IF('Council Entry'!AJ$4="Exponential",EXP(IF(AND(ISNUMBER('Council Entry'!AJ$8),ISNUMBER('Council Entry'!AJ$9)),MAX(MIN('Council Entry'!AJ175,'Council Entry'!AJ$9),'Council Entry'!AJ$8),'Council Entry'!AJ175)),IF(AND(ISNUMBER('Council Entry'!AJ$8),ISNUMBER('Council Entry'!AJ$9)),MAX(MIN('Council Entry'!AJ175,'Council Entry'!AJ$9),'Council Entry'!AJ$8),'Council Entry'!AJ175))))-'Council Entry'!AJ$5)/('Council Entry'!AJ$6-'Council Entry'!AJ$5)),1))),"No data"))</f>
        <v/>
      </c>
      <c r="AK175" s="13">
        <f>IF('Council Entry'!AK175="","",IFERROR(MAX(0,MIN(10,ROUND(IF('Council Entry'!AK$7="Decrease Risk",10-10*((IF('Council Entry'!AK$4="Logarithm",LN(0.001+IF(AND(ISNUMBER('Council Entry'!AK$8),ISNUMBER('Council Entry'!AK$9)),MAX(MIN('Council Entry'!AK175,'Council Entry'!AK$9),'Council Entry'!AK$8),'Council Entry'!AK175)),IF('Council Entry'!AK$4="Exponential",EXP(IF(AND(ISNUMBER('Council Entry'!AK$8),ISNUMBER('Council Entry'!AK$9)),MAX(MIN('Council Entry'!AK175,'Council Entry'!AK$9),'Council Entry'!AK$8),'Council Entry'!AK175)),IF(AND(ISNUMBER('Council Entry'!AK$8),ISNUMBER('Council Entry'!AK$9)),MAX(MIN('Council Entry'!AK175,'Council Entry'!AK$9),'Council Entry'!AK$8),'Council Entry'!AK175))))-'Council Entry'!AK$5)/('Council Entry'!AK$6-'Council Entry'!AK$5),10*((IF('Council Entry'!AK$4="Logarithm",LN(0.001+IF(AND(ISNUMBER('Council Entry'!AK$8),ISNUMBER('Council Entry'!AK$9)),MAX(MIN('Council Entry'!AK175,'Council Entry'!AK$9),'Council Entry'!AK$8),'Council Entry'!AK175)),IF('Council Entry'!AK$4="Exponential",EXP(IF(AND(ISNUMBER('Council Entry'!AK$8),ISNUMBER('Council Entry'!AK$9)),MAX(MIN('Council Entry'!AK175,'Council Entry'!AK$9),'Council Entry'!AK$8),'Council Entry'!AK175)),IF(AND(ISNUMBER('Council Entry'!AK$8),ISNUMBER('Council Entry'!AK$9)),MAX(MIN('Council Entry'!AK175,'Council Entry'!AK$9),'Council Entry'!AK$8),'Council Entry'!AK175))))-'Council Entry'!AK$5)/('Council Entry'!AK$6-'Council Entry'!AK$5)),1))),"No data"))</f>
        <v/>
      </c>
      <c r="AL175" s="13">
        <f>IF('Council Entry'!AL175="","",IFERROR(MAX(0,MIN(10,ROUND(IF('Council Entry'!AL$7="Decrease Risk",10-10*((IF('Council Entry'!AL$4="Logarithm",LN(0.001+IF(AND(ISNUMBER('Council Entry'!AL$8),ISNUMBER('Council Entry'!AL$9)),MAX(MIN('Council Entry'!AL175,'Council Entry'!AL$9),'Council Entry'!AL$8),'Council Entry'!AL175)),IF('Council Entry'!AL$4="Exponential",EXP(IF(AND(ISNUMBER('Council Entry'!AL$8),ISNUMBER('Council Entry'!AL$9)),MAX(MIN('Council Entry'!AL175,'Council Entry'!AL$9),'Council Entry'!AL$8),'Council Entry'!AL175)),IF(AND(ISNUMBER('Council Entry'!AL$8),ISNUMBER('Council Entry'!AL$9)),MAX(MIN('Council Entry'!AL175,'Council Entry'!AL$9),'Council Entry'!AL$8),'Council Entry'!AL175))))-'Council Entry'!AL$5)/('Council Entry'!AL$6-'Council Entry'!AL$5),10*((IF('Council Entry'!AL$4="Logarithm",LN(0.001+IF(AND(ISNUMBER('Council Entry'!AL$8),ISNUMBER('Council Entry'!AL$9)),MAX(MIN('Council Entry'!AL175,'Council Entry'!AL$9),'Council Entry'!AL$8),'Council Entry'!AL175)),IF('Council Entry'!AL$4="Exponential",EXP(IF(AND(ISNUMBER('Council Entry'!AL$8),ISNUMBER('Council Entry'!AL$9)),MAX(MIN('Council Entry'!AL175,'Council Entry'!AL$9),'Council Entry'!AL$8),'Council Entry'!AL175)),IF(AND(ISNUMBER('Council Entry'!AL$8),ISNUMBER('Council Entry'!AL$9)),MAX(MIN('Council Entry'!AL175,'Council Entry'!AL$9),'Council Entry'!AL$8),'Council Entry'!AL175))))-'Council Entry'!AL$5)/('Council Entry'!AL$6-'Council Entry'!AL$5)),1))),"No data"))</f>
        <v/>
      </c>
      <c r="AM175" s="13">
        <f>IF('Council Entry'!AM175="","",IFERROR(MAX(0,MIN(10,ROUND(IF('Council Entry'!AM$7="Decrease Risk",10-10*((IF('Council Entry'!AM$4="Logarithm",LN(0.001+IF(AND(ISNUMBER('Council Entry'!AM$8),ISNUMBER('Council Entry'!AM$9)),MAX(MIN('Council Entry'!AM175,'Council Entry'!AM$9),'Council Entry'!AM$8),'Council Entry'!AM175)),IF('Council Entry'!AM$4="Exponential",EXP(IF(AND(ISNUMBER('Council Entry'!AM$8),ISNUMBER('Council Entry'!AM$9)),MAX(MIN('Council Entry'!AM175,'Council Entry'!AM$9),'Council Entry'!AM$8),'Council Entry'!AM175)),IF(AND(ISNUMBER('Council Entry'!AM$8),ISNUMBER('Council Entry'!AM$9)),MAX(MIN('Council Entry'!AM175,'Council Entry'!AM$9),'Council Entry'!AM$8),'Council Entry'!AM175))))-'Council Entry'!AM$5)/('Council Entry'!AM$6-'Council Entry'!AM$5),10*((IF('Council Entry'!AM$4="Logarithm",LN(0.001+IF(AND(ISNUMBER('Council Entry'!AM$8),ISNUMBER('Council Entry'!AM$9)),MAX(MIN('Council Entry'!AM175,'Council Entry'!AM$9),'Council Entry'!AM$8),'Council Entry'!AM175)),IF('Council Entry'!AM$4="Exponential",EXP(IF(AND(ISNUMBER('Council Entry'!AM$8),ISNUMBER('Council Entry'!AM$9)),MAX(MIN('Council Entry'!AM175,'Council Entry'!AM$9),'Council Entry'!AM$8),'Council Entry'!AM175)),IF(AND(ISNUMBER('Council Entry'!AM$8),ISNUMBER('Council Entry'!AM$9)),MAX(MIN('Council Entry'!AM175,'Council Entry'!AM$9),'Council Entry'!AM$8),'Council Entry'!AM175))))-'Council Entry'!AM$5)/('Council Entry'!AM$6-'Council Entry'!AM$5)),1))),"No data"))</f>
        <v/>
      </c>
      <c r="AN175" s="13">
        <f>IF('Council Entry'!AN175="","",IFERROR(MAX(0,MIN(10,ROUND(IF('Council Entry'!AN$7="Decrease Risk",10-10*((IF('Council Entry'!AN$4="Logarithm",LN(0.001+IF(AND(ISNUMBER('Council Entry'!AN$8),ISNUMBER('Council Entry'!AN$9)),MAX(MIN('Council Entry'!AN175,'Council Entry'!AN$9),'Council Entry'!AN$8),'Council Entry'!AN175)),IF('Council Entry'!AN$4="Exponential",EXP(IF(AND(ISNUMBER('Council Entry'!AN$8),ISNUMBER('Council Entry'!AN$9)),MAX(MIN('Council Entry'!AN175,'Council Entry'!AN$9),'Council Entry'!AN$8),'Council Entry'!AN175)),IF(AND(ISNUMBER('Council Entry'!AN$8),ISNUMBER('Council Entry'!AN$9)),MAX(MIN('Council Entry'!AN175,'Council Entry'!AN$9),'Council Entry'!AN$8),'Council Entry'!AN175))))-'Council Entry'!AN$5)/('Council Entry'!AN$6-'Council Entry'!AN$5),10*((IF('Council Entry'!AN$4="Logarithm",LN(0.001+IF(AND(ISNUMBER('Council Entry'!AN$8),ISNUMBER('Council Entry'!AN$9)),MAX(MIN('Council Entry'!AN175,'Council Entry'!AN$9),'Council Entry'!AN$8),'Council Entry'!AN175)),IF('Council Entry'!AN$4="Exponential",EXP(IF(AND(ISNUMBER('Council Entry'!AN$8),ISNUMBER('Council Entry'!AN$9)),MAX(MIN('Council Entry'!AN175,'Council Entry'!AN$9),'Council Entry'!AN$8),'Council Entry'!AN175)),IF(AND(ISNUMBER('Council Entry'!AN$8),ISNUMBER('Council Entry'!AN$9)),MAX(MIN('Council Entry'!AN175,'Council Entry'!AN$9),'Council Entry'!AN$8),'Council Entry'!AN175))))-'Council Entry'!AN$5)/('Council Entry'!AN$6-'Council Entry'!AN$5)),1))),"No data"))</f>
        <v/>
      </c>
      <c r="AO175" s="13">
        <f>IF('Council Entry'!AO175="","",IFERROR(MAX(0,MIN(10,ROUND(IF('Council Entry'!AO$7="Decrease Risk",10-10*((IF('Council Entry'!AO$4="Logarithm",LN(0.001+IF(AND(ISNUMBER('Council Entry'!AO$8),ISNUMBER('Council Entry'!AO$9)),MAX(MIN('Council Entry'!AO175,'Council Entry'!AO$9),'Council Entry'!AO$8),'Council Entry'!AO175)),IF('Council Entry'!AO$4="Exponential",EXP(IF(AND(ISNUMBER('Council Entry'!AO$8),ISNUMBER('Council Entry'!AO$9)),MAX(MIN('Council Entry'!AO175,'Council Entry'!AO$9),'Council Entry'!AO$8),'Council Entry'!AO175)),IF(AND(ISNUMBER('Council Entry'!AO$8),ISNUMBER('Council Entry'!AO$9)),MAX(MIN('Council Entry'!AO175,'Council Entry'!AO$9),'Council Entry'!AO$8),'Council Entry'!AO175))))-'Council Entry'!AO$5)/('Council Entry'!AO$6-'Council Entry'!AO$5),10*((IF('Council Entry'!AO$4="Logarithm",LN(0.001+IF(AND(ISNUMBER('Council Entry'!AO$8),ISNUMBER('Council Entry'!AO$9)),MAX(MIN('Council Entry'!AO175,'Council Entry'!AO$9),'Council Entry'!AO$8),'Council Entry'!AO175)),IF('Council Entry'!AO$4="Exponential",EXP(IF(AND(ISNUMBER('Council Entry'!AO$8),ISNUMBER('Council Entry'!AO$9)),MAX(MIN('Council Entry'!AO175,'Council Entry'!AO$9),'Council Entry'!AO$8),'Council Entry'!AO175)),IF(AND(ISNUMBER('Council Entry'!AO$8),ISNUMBER('Council Entry'!AO$9)),MAX(MIN('Council Entry'!AO175,'Council Entry'!AO$9),'Council Entry'!AO$8),'Council Entry'!AO175))))-'Council Entry'!AO$5)/('Council Entry'!AO$6-'Council Entry'!AO$5)),1))),"No data"))</f>
        <v/>
      </c>
      <c r="AP175" s="13">
        <f>IF('Council Entry'!AP175="","",IFERROR(MAX(0,MIN(10,ROUND(IF('Council Entry'!AP$7="Decrease Risk",10-10*((IF('Council Entry'!AP$4="Logarithm",LN(0.001+IF(AND(ISNUMBER('Council Entry'!AP$8),ISNUMBER('Council Entry'!AP$9)),MAX(MIN('Council Entry'!AP175,'Council Entry'!AP$9),'Council Entry'!AP$8),'Council Entry'!AP175)),IF('Council Entry'!AP$4="Exponential",EXP(IF(AND(ISNUMBER('Council Entry'!AP$8),ISNUMBER('Council Entry'!AP$9)),MAX(MIN('Council Entry'!AP175,'Council Entry'!AP$9),'Council Entry'!AP$8),'Council Entry'!AP175)),IF(AND(ISNUMBER('Council Entry'!AP$8),ISNUMBER('Council Entry'!AP$9)),MAX(MIN('Council Entry'!AP175,'Council Entry'!AP$9),'Council Entry'!AP$8),'Council Entry'!AP175))))-'Council Entry'!AP$5)/('Council Entry'!AP$6-'Council Entry'!AP$5),10*((IF('Council Entry'!AP$4="Logarithm",LN(0.001+IF(AND(ISNUMBER('Council Entry'!AP$8),ISNUMBER('Council Entry'!AP$9)),MAX(MIN('Council Entry'!AP175,'Council Entry'!AP$9),'Council Entry'!AP$8),'Council Entry'!AP175)),IF('Council Entry'!AP$4="Exponential",EXP(IF(AND(ISNUMBER('Council Entry'!AP$8),ISNUMBER('Council Entry'!AP$9)),MAX(MIN('Council Entry'!AP175,'Council Entry'!AP$9),'Council Entry'!AP$8),'Council Entry'!AP175)),IF(AND(ISNUMBER('Council Entry'!AP$8),ISNUMBER('Council Entry'!AP$9)),MAX(MIN('Council Entry'!AP175,'Council Entry'!AP$9),'Council Entry'!AP$8),'Council Entry'!AP175))))-'Council Entry'!AP$5)/('Council Entry'!AP$6-'Council Entry'!AP$5)),1))),"No data"))</f>
        <v/>
      </c>
      <c r="AQ175" s="13">
        <f>IF('Council Entry'!AQ175="","",IFERROR(MAX(0,MIN(10,ROUND(IF('Council Entry'!AQ$7="Decrease Risk",10-10*((IF('Council Entry'!AQ$4="Logarithm",LN(0.001+IF(AND(ISNUMBER('Council Entry'!AQ$8),ISNUMBER('Council Entry'!AQ$9)),MAX(MIN('Council Entry'!AQ175,'Council Entry'!AQ$9),'Council Entry'!AQ$8),'Council Entry'!AQ175)),IF('Council Entry'!AQ$4="Exponential",EXP(IF(AND(ISNUMBER('Council Entry'!AQ$8),ISNUMBER('Council Entry'!AQ$9)),MAX(MIN('Council Entry'!AQ175,'Council Entry'!AQ$9),'Council Entry'!AQ$8),'Council Entry'!AQ175)),IF(AND(ISNUMBER('Council Entry'!AQ$8),ISNUMBER('Council Entry'!AQ$9)),MAX(MIN('Council Entry'!AQ175,'Council Entry'!AQ$9),'Council Entry'!AQ$8),'Council Entry'!AQ175))))-'Council Entry'!AQ$5)/('Council Entry'!AQ$6-'Council Entry'!AQ$5),10*((IF('Council Entry'!AQ$4="Logarithm",LN(0.001+IF(AND(ISNUMBER('Council Entry'!AQ$8),ISNUMBER('Council Entry'!AQ$9)),MAX(MIN('Council Entry'!AQ175,'Council Entry'!AQ$9),'Council Entry'!AQ$8),'Council Entry'!AQ175)),IF('Council Entry'!AQ$4="Exponential",EXP(IF(AND(ISNUMBER('Council Entry'!AQ$8),ISNUMBER('Council Entry'!AQ$9)),MAX(MIN('Council Entry'!AQ175,'Council Entry'!AQ$9),'Council Entry'!AQ$8),'Council Entry'!AQ175)),IF(AND(ISNUMBER('Council Entry'!AQ$8),ISNUMBER('Council Entry'!AQ$9)),MAX(MIN('Council Entry'!AQ175,'Council Entry'!AQ$9),'Council Entry'!AQ$8),'Council Entry'!AQ175))))-'Council Entry'!AQ$5)/('Council Entry'!AQ$6-'Council Entry'!AQ$5)),1))),"No data"))</f>
        <v/>
      </c>
      <c r="AR175" s="13">
        <f>IF('Council Entry'!AR175="","",IFERROR(MAX(0,MIN(10,ROUND(IF('Council Entry'!AR$7="Decrease Risk",10-10*((IF('Council Entry'!AR$4="Logarithm",LN(0.001+IF(AND(ISNUMBER('Council Entry'!AR$8),ISNUMBER('Council Entry'!AR$9)),MAX(MIN('Council Entry'!AR175,'Council Entry'!AR$9),'Council Entry'!AR$8),'Council Entry'!AR175)),IF('Council Entry'!AR$4="Exponential",EXP(IF(AND(ISNUMBER('Council Entry'!AR$8),ISNUMBER('Council Entry'!AR$9)),MAX(MIN('Council Entry'!AR175,'Council Entry'!AR$9),'Council Entry'!AR$8),'Council Entry'!AR175)),IF(AND(ISNUMBER('Council Entry'!AR$8),ISNUMBER('Council Entry'!AR$9)),MAX(MIN('Council Entry'!AR175,'Council Entry'!AR$9),'Council Entry'!AR$8),'Council Entry'!AR175))))-'Council Entry'!AR$5)/('Council Entry'!AR$6-'Council Entry'!AR$5),10*((IF('Council Entry'!AR$4="Logarithm",LN(0.001+IF(AND(ISNUMBER('Council Entry'!AR$8),ISNUMBER('Council Entry'!AR$9)),MAX(MIN('Council Entry'!AR175,'Council Entry'!AR$9),'Council Entry'!AR$8),'Council Entry'!AR175)),IF('Council Entry'!AR$4="Exponential",EXP(IF(AND(ISNUMBER('Council Entry'!AR$8),ISNUMBER('Council Entry'!AR$9)),MAX(MIN('Council Entry'!AR175,'Council Entry'!AR$9),'Council Entry'!AR$8),'Council Entry'!AR175)),IF(AND(ISNUMBER('Council Entry'!AR$8),ISNUMBER('Council Entry'!AR$9)),MAX(MIN('Council Entry'!AR175,'Council Entry'!AR$9),'Council Entry'!AR$8),'Council Entry'!AR175))))-'Council Entry'!AR$5)/('Council Entry'!AR$6-'Council Entry'!AR$5)),1))),"No data"))</f>
        <v/>
      </c>
      <c r="AS175" s="13">
        <f>IF('Council Entry'!AS175="","",IFERROR(MAX(0,MIN(10,ROUND(IF('Council Entry'!AS$7="Decrease Risk",10-10*((IF('Council Entry'!AS$4="Logarithm",LN(0.001+IF(AND(ISNUMBER('Council Entry'!AS$8),ISNUMBER('Council Entry'!AS$9)),MAX(MIN('Council Entry'!AS175,'Council Entry'!AS$9),'Council Entry'!AS$8),'Council Entry'!AS175)),IF('Council Entry'!AS$4="Exponential",EXP(IF(AND(ISNUMBER('Council Entry'!AS$8),ISNUMBER('Council Entry'!AS$9)),MAX(MIN('Council Entry'!AS175,'Council Entry'!AS$9),'Council Entry'!AS$8),'Council Entry'!AS175)),IF(AND(ISNUMBER('Council Entry'!AS$8),ISNUMBER('Council Entry'!AS$9)),MAX(MIN('Council Entry'!AS175,'Council Entry'!AS$9),'Council Entry'!AS$8),'Council Entry'!AS175))))-'Council Entry'!AS$5)/('Council Entry'!AS$6-'Council Entry'!AS$5),10*((IF('Council Entry'!AS$4="Logarithm",LN(0.001+IF(AND(ISNUMBER('Council Entry'!AS$8),ISNUMBER('Council Entry'!AS$9)),MAX(MIN('Council Entry'!AS175,'Council Entry'!AS$9),'Council Entry'!AS$8),'Council Entry'!AS175)),IF('Council Entry'!AS$4="Exponential",EXP(IF(AND(ISNUMBER('Council Entry'!AS$8),ISNUMBER('Council Entry'!AS$9)),MAX(MIN('Council Entry'!AS175,'Council Entry'!AS$9),'Council Entry'!AS$8),'Council Entry'!AS175)),IF(AND(ISNUMBER('Council Entry'!AS$8),ISNUMBER('Council Entry'!AS$9)),MAX(MIN('Council Entry'!AS175,'Council Entry'!AS$9),'Council Entry'!AS$8),'Council Entry'!AS175))))-'Council Entry'!AS$5)/('Council Entry'!AS$6-'Council Entry'!AS$5)),1))),"No data"))</f>
        <v/>
      </c>
      <c r="AT175" s="13">
        <f>IF('Council Entry'!AT175="","",IFERROR(MAX(0,MIN(10,ROUND(IF('Council Entry'!AT$7="Decrease Risk",10-10*((IF('Council Entry'!AT$4="Logarithm",LN(0.001+IF(AND(ISNUMBER('Council Entry'!AT$8),ISNUMBER('Council Entry'!AT$9)),MAX(MIN('Council Entry'!AT175,'Council Entry'!AT$9),'Council Entry'!AT$8),'Council Entry'!AT175)),IF('Council Entry'!AT$4="Exponential",EXP(IF(AND(ISNUMBER('Council Entry'!AT$8),ISNUMBER('Council Entry'!AT$9)),MAX(MIN('Council Entry'!AT175,'Council Entry'!AT$9),'Council Entry'!AT$8),'Council Entry'!AT175)),IF(AND(ISNUMBER('Council Entry'!AT$8),ISNUMBER('Council Entry'!AT$9)),MAX(MIN('Council Entry'!AT175,'Council Entry'!AT$9),'Council Entry'!AT$8),'Council Entry'!AT175))))-'Council Entry'!AT$5)/('Council Entry'!AT$6-'Council Entry'!AT$5),10*((IF('Council Entry'!AT$4="Logarithm",LN(0.001+IF(AND(ISNUMBER('Council Entry'!AT$8),ISNUMBER('Council Entry'!AT$9)),MAX(MIN('Council Entry'!AT175,'Council Entry'!AT$9),'Council Entry'!AT$8),'Council Entry'!AT175)),IF('Council Entry'!AT$4="Exponential",EXP(IF(AND(ISNUMBER('Council Entry'!AT$8),ISNUMBER('Council Entry'!AT$9)),MAX(MIN('Council Entry'!AT175,'Council Entry'!AT$9),'Council Entry'!AT$8),'Council Entry'!AT175)),IF(AND(ISNUMBER('Council Entry'!AT$8),ISNUMBER('Council Entry'!AT$9)),MAX(MIN('Council Entry'!AT175,'Council Entry'!AT$9),'Council Entry'!AT$8),'Council Entry'!AT175))))-'Council Entry'!AT$5)/('Council Entry'!AT$6-'Council Entry'!AT$5)),1))),"No data"))</f>
        <v/>
      </c>
      <c r="AU175" s="13">
        <f>IF('Council Entry'!AU175="","",IFERROR(MAX(0,MIN(10,ROUND(IF('Council Entry'!AU$7="Decrease Risk",10-10*((IF('Council Entry'!AU$4="Logarithm",LN(0.001+IF(AND(ISNUMBER('Council Entry'!AU$8),ISNUMBER('Council Entry'!AU$9)),MAX(MIN('Council Entry'!AU175,'Council Entry'!AU$9),'Council Entry'!AU$8),'Council Entry'!AU175)),IF('Council Entry'!AU$4="Exponential",EXP(IF(AND(ISNUMBER('Council Entry'!AU$8),ISNUMBER('Council Entry'!AU$9)),MAX(MIN('Council Entry'!AU175,'Council Entry'!AU$9),'Council Entry'!AU$8),'Council Entry'!AU175)),IF(AND(ISNUMBER('Council Entry'!AU$8),ISNUMBER('Council Entry'!AU$9)),MAX(MIN('Council Entry'!AU175,'Council Entry'!AU$9),'Council Entry'!AU$8),'Council Entry'!AU175))))-'Council Entry'!AU$5)/('Council Entry'!AU$6-'Council Entry'!AU$5),10*((IF('Council Entry'!AU$4="Logarithm",LN(0.001+IF(AND(ISNUMBER('Council Entry'!AU$8),ISNUMBER('Council Entry'!AU$9)),MAX(MIN('Council Entry'!AU175,'Council Entry'!AU$9),'Council Entry'!AU$8),'Council Entry'!AU175)),IF('Council Entry'!AU$4="Exponential",EXP(IF(AND(ISNUMBER('Council Entry'!AU$8),ISNUMBER('Council Entry'!AU$9)),MAX(MIN('Council Entry'!AU175,'Council Entry'!AU$9),'Council Entry'!AU$8),'Council Entry'!AU175)),IF(AND(ISNUMBER('Council Entry'!AU$8),ISNUMBER('Council Entry'!AU$9)),MAX(MIN('Council Entry'!AU175,'Council Entry'!AU$9),'Council Entry'!AU$8),'Council Entry'!AU175))))-'Council Entry'!AU$5)/('Council Entry'!AU$6-'Council Entry'!AU$5)),1))),"No data"))</f>
        <v/>
      </c>
      <c r="AV175" s="13">
        <f>IF('Council Entry'!AV175="","",IFERROR(MAX(0,MIN(10,ROUND(IF('Council Entry'!AV$7="Decrease Risk",10-10*((IF('Council Entry'!AV$4="Logarithm",LN(0.001+IF(AND(ISNUMBER('Council Entry'!AV$8),ISNUMBER('Council Entry'!AV$9)),MAX(MIN('Council Entry'!AV175,'Council Entry'!AV$9),'Council Entry'!AV$8),'Council Entry'!AV175)),IF('Council Entry'!AV$4="Exponential",EXP(IF(AND(ISNUMBER('Council Entry'!AV$8),ISNUMBER('Council Entry'!AV$9)),MAX(MIN('Council Entry'!AV175,'Council Entry'!AV$9),'Council Entry'!AV$8),'Council Entry'!AV175)),IF(AND(ISNUMBER('Council Entry'!AV$8),ISNUMBER('Council Entry'!AV$9)),MAX(MIN('Council Entry'!AV175,'Council Entry'!AV$9),'Council Entry'!AV$8),'Council Entry'!AV175))))-'Council Entry'!AV$5)/('Council Entry'!AV$6-'Council Entry'!AV$5),10*((IF('Council Entry'!AV$4="Logarithm",LN(0.001+IF(AND(ISNUMBER('Council Entry'!AV$8),ISNUMBER('Council Entry'!AV$9)),MAX(MIN('Council Entry'!AV175,'Council Entry'!AV$9),'Council Entry'!AV$8),'Council Entry'!AV175)),IF('Council Entry'!AV$4="Exponential",EXP(IF(AND(ISNUMBER('Council Entry'!AV$8),ISNUMBER('Council Entry'!AV$9)),MAX(MIN('Council Entry'!AV175,'Council Entry'!AV$9),'Council Entry'!AV$8),'Council Entry'!AV175)),IF(AND(ISNUMBER('Council Entry'!AV$8),ISNUMBER('Council Entry'!AV$9)),MAX(MIN('Council Entry'!AV175,'Council Entry'!AV$9),'Council Entry'!AV$8),'Council Entry'!AV175))))-'Council Entry'!AV$5)/('Council Entry'!AV$6-'Council Entry'!AV$5)),1))),"No data"))</f>
        <v/>
      </c>
      <c r="AW175" s="13">
        <f>IF('Council Entry'!AW175="","",IFERROR(MAX(0,MIN(10,ROUND(IF('Council Entry'!AW$7="Decrease Risk",10-10*((IF('Council Entry'!AW$4="Logarithm",LN(0.001+IF(AND(ISNUMBER('Council Entry'!AW$8),ISNUMBER('Council Entry'!AW$9)),MAX(MIN('Council Entry'!AW175,'Council Entry'!AW$9),'Council Entry'!AW$8),'Council Entry'!AW175)),IF('Council Entry'!AW$4="Exponential",EXP(IF(AND(ISNUMBER('Council Entry'!AW$8),ISNUMBER('Council Entry'!AW$9)),MAX(MIN('Council Entry'!AW175,'Council Entry'!AW$9),'Council Entry'!AW$8),'Council Entry'!AW175)),IF(AND(ISNUMBER('Council Entry'!AW$8),ISNUMBER('Council Entry'!AW$9)),MAX(MIN('Council Entry'!AW175,'Council Entry'!AW$9),'Council Entry'!AW$8),'Council Entry'!AW175))))-'Council Entry'!AW$5)/('Council Entry'!AW$6-'Council Entry'!AW$5),10*((IF('Council Entry'!AW$4="Logarithm",LN(0.001+IF(AND(ISNUMBER('Council Entry'!AW$8),ISNUMBER('Council Entry'!AW$9)),MAX(MIN('Council Entry'!AW175,'Council Entry'!AW$9),'Council Entry'!AW$8),'Council Entry'!AW175)),IF('Council Entry'!AW$4="Exponential",EXP(IF(AND(ISNUMBER('Council Entry'!AW$8),ISNUMBER('Council Entry'!AW$9)),MAX(MIN('Council Entry'!AW175,'Council Entry'!AW$9),'Council Entry'!AW$8),'Council Entry'!AW175)),IF(AND(ISNUMBER('Council Entry'!AW$8),ISNUMBER('Council Entry'!AW$9)),MAX(MIN('Council Entry'!AW175,'Council Entry'!AW$9),'Council Entry'!AW$8),'Council Entry'!AW175))))-'Council Entry'!AW$5)/('Council Entry'!AW$6-'Council Entry'!AW$5)),1))),"No data"))</f>
        <v/>
      </c>
      <c r="AX175" s="13">
        <f>IF('Council Entry'!AX175="","",IFERROR(MAX(0,MIN(10,ROUND(IF('Council Entry'!AX$7="Decrease Risk",10-10*((IF('Council Entry'!AX$4="Logarithm",LN(0.001+IF(AND(ISNUMBER('Council Entry'!AX$8),ISNUMBER('Council Entry'!AX$9)),MAX(MIN('Council Entry'!AX175,'Council Entry'!AX$9),'Council Entry'!AX$8),'Council Entry'!AX175)),IF('Council Entry'!AX$4="Exponential",EXP(IF(AND(ISNUMBER('Council Entry'!AX$8),ISNUMBER('Council Entry'!AX$9)),MAX(MIN('Council Entry'!AX175,'Council Entry'!AX$9),'Council Entry'!AX$8),'Council Entry'!AX175)),IF(AND(ISNUMBER('Council Entry'!AX$8),ISNUMBER('Council Entry'!AX$9)),MAX(MIN('Council Entry'!AX175,'Council Entry'!AX$9),'Council Entry'!AX$8),'Council Entry'!AX175))))-'Council Entry'!AX$5)/('Council Entry'!AX$6-'Council Entry'!AX$5),10*((IF('Council Entry'!AX$4="Logarithm",LN(0.001+IF(AND(ISNUMBER('Council Entry'!AX$8),ISNUMBER('Council Entry'!AX$9)),MAX(MIN('Council Entry'!AX175,'Council Entry'!AX$9),'Council Entry'!AX$8),'Council Entry'!AX175)),IF('Council Entry'!AX$4="Exponential",EXP(IF(AND(ISNUMBER('Council Entry'!AX$8),ISNUMBER('Council Entry'!AX$9)),MAX(MIN('Council Entry'!AX175,'Council Entry'!AX$9),'Council Entry'!AX$8),'Council Entry'!AX175)),IF(AND(ISNUMBER('Council Entry'!AX$8),ISNUMBER('Council Entry'!AX$9)),MAX(MIN('Council Entry'!AX175,'Council Entry'!AX$9),'Council Entry'!AX$8),'Council Entry'!AX175))))-'Council Entry'!AX$5)/('Council Entry'!AX$6-'Council Entry'!AX$5)),1))),"No data"))</f>
        <v/>
      </c>
      <c r="AY175" s="13">
        <f>IF('Council Entry'!AY175="","",IFERROR(MAX(0,MIN(10,ROUND(IF('Council Entry'!AY$7="Decrease Risk",10-10*((IF('Council Entry'!AY$4="Logarithm",LN(0.001+IF(AND(ISNUMBER('Council Entry'!AY$8),ISNUMBER('Council Entry'!AY$9)),MAX(MIN('Council Entry'!AY175,'Council Entry'!AY$9),'Council Entry'!AY$8),'Council Entry'!AY175)),IF('Council Entry'!AY$4="Exponential",EXP(IF(AND(ISNUMBER('Council Entry'!AY$8),ISNUMBER('Council Entry'!AY$9)),MAX(MIN('Council Entry'!AY175,'Council Entry'!AY$9),'Council Entry'!AY$8),'Council Entry'!AY175)),IF(AND(ISNUMBER('Council Entry'!AY$8),ISNUMBER('Council Entry'!AY$9)),MAX(MIN('Council Entry'!AY175,'Council Entry'!AY$9),'Council Entry'!AY$8),'Council Entry'!AY175))))-'Council Entry'!AY$5)/('Council Entry'!AY$6-'Council Entry'!AY$5),10*((IF('Council Entry'!AY$4="Logarithm",LN(0.001+IF(AND(ISNUMBER('Council Entry'!AY$8),ISNUMBER('Council Entry'!AY$9)),MAX(MIN('Council Entry'!AY175,'Council Entry'!AY$9),'Council Entry'!AY$8),'Council Entry'!AY175)),IF('Council Entry'!AY$4="Exponential",EXP(IF(AND(ISNUMBER('Council Entry'!AY$8),ISNUMBER('Council Entry'!AY$9)),MAX(MIN('Council Entry'!AY175,'Council Entry'!AY$9),'Council Entry'!AY$8),'Council Entry'!AY175)),IF(AND(ISNUMBER('Council Entry'!AY$8),ISNUMBER('Council Entry'!AY$9)),MAX(MIN('Council Entry'!AY175,'Council Entry'!AY$9),'Council Entry'!AY$8),'Council Entry'!AY175))))-'Council Entry'!AY$5)/('Council Entry'!AY$6-'Council Entry'!AY$5)),1))),"No data"))</f>
        <v/>
      </c>
      <c r="AZ175" s="13">
        <f>IF('Council Entry'!AZ175="","",IFERROR(MAX(0,MIN(10,ROUND(IF('Council Entry'!AZ$7="Decrease Risk",10-10*((IF('Council Entry'!AZ$4="Logarithm",LN(0.001+IF(AND(ISNUMBER('Council Entry'!AZ$8),ISNUMBER('Council Entry'!AZ$9)),MAX(MIN('Council Entry'!AZ175,'Council Entry'!AZ$9),'Council Entry'!AZ$8),'Council Entry'!AZ175)),IF('Council Entry'!AZ$4="Exponential",EXP(IF(AND(ISNUMBER('Council Entry'!AZ$8),ISNUMBER('Council Entry'!AZ$9)),MAX(MIN('Council Entry'!AZ175,'Council Entry'!AZ$9),'Council Entry'!AZ$8),'Council Entry'!AZ175)),IF(AND(ISNUMBER('Council Entry'!AZ$8),ISNUMBER('Council Entry'!AZ$9)),MAX(MIN('Council Entry'!AZ175,'Council Entry'!AZ$9),'Council Entry'!AZ$8),'Council Entry'!AZ175))))-'Council Entry'!AZ$5)/('Council Entry'!AZ$6-'Council Entry'!AZ$5),10*((IF('Council Entry'!AZ$4="Logarithm",LN(0.001+IF(AND(ISNUMBER('Council Entry'!AZ$8),ISNUMBER('Council Entry'!AZ$9)),MAX(MIN('Council Entry'!AZ175,'Council Entry'!AZ$9),'Council Entry'!AZ$8),'Council Entry'!AZ175)),IF('Council Entry'!AZ$4="Exponential",EXP(IF(AND(ISNUMBER('Council Entry'!AZ$8),ISNUMBER('Council Entry'!AZ$9)),MAX(MIN('Council Entry'!AZ175,'Council Entry'!AZ$9),'Council Entry'!AZ$8),'Council Entry'!AZ175)),IF(AND(ISNUMBER('Council Entry'!AZ$8),ISNUMBER('Council Entry'!AZ$9)),MAX(MIN('Council Entry'!AZ175,'Council Entry'!AZ$9),'Council Entry'!AZ$8),'Council Entry'!AZ175))))-'Council Entry'!AZ$5)/('Council Entry'!AZ$6-'Council Entry'!AZ$5)),1))),"No data"))</f>
        <v/>
      </c>
      <c r="BA175" s="13">
        <f>IF('Council Entry'!BA175="","",IFERROR(MAX(0,MIN(10,ROUND(IF('Council Entry'!BA$7="Decrease Risk",10-10*((IF('Council Entry'!BA$4="Logarithm",LN(0.001+IF(AND(ISNUMBER('Council Entry'!BA$8),ISNUMBER('Council Entry'!BA$9)),MAX(MIN('Council Entry'!BA175,'Council Entry'!BA$9),'Council Entry'!BA$8),'Council Entry'!BA175)),IF('Council Entry'!BA$4="Exponential",EXP(IF(AND(ISNUMBER('Council Entry'!BA$8),ISNUMBER('Council Entry'!BA$9)),MAX(MIN('Council Entry'!BA175,'Council Entry'!BA$9),'Council Entry'!BA$8),'Council Entry'!BA175)),IF(AND(ISNUMBER('Council Entry'!BA$8),ISNUMBER('Council Entry'!BA$9)),MAX(MIN('Council Entry'!BA175,'Council Entry'!BA$9),'Council Entry'!BA$8),'Council Entry'!BA175))))-'Council Entry'!BA$5)/('Council Entry'!BA$6-'Council Entry'!BA$5),10*((IF('Council Entry'!BA$4="Logarithm",LN(0.001+IF(AND(ISNUMBER('Council Entry'!BA$8),ISNUMBER('Council Entry'!BA$9)),MAX(MIN('Council Entry'!BA175,'Council Entry'!BA$9),'Council Entry'!BA$8),'Council Entry'!BA175)),IF('Council Entry'!BA$4="Exponential",EXP(IF(AND(ISNUMBER('Council Entry'!BA$8),ISNUMBER('Council Entry'!BA$9)),MAX(MIN('Council Entry'!BA175,'Council Entry'!BA$9),'Council Entry'!BA$8),'Council Entry'!BA175)),IF(AND(ISNUMBER('Council Entry'!BA$8),ISNUMBER('Council Entry'!BA$9)),MAX(MIN('Council Entry'!BA175,'Council Entry'!BA$9),'Council Entry'!BA$8),'Council Entry'!BA175))))-'Council Entry'!BA$5)/('Council Entry'!BA$6-'Council Entry'!BA$5)),1))),"No data"))</f>
        <v/>
      </c>
      <c r="BB175" s="13">
        <f>IF('Council Entry'!BB175="","",IFERROR(MAX(0,MIN(10,ROUND(IF('Council Entry'!BB$7="Decrease Risk",10-10*((IF('Council Entry'!BB$4="Logarithm",LN(0.001+IF(AND(ISNUMBER('Council Entry'!BB$8),ISNUMBER('Council Entry'!BB$9)),MAX(MIN('Council Entry'!BB175,'Council Entry'!BB$9),'Council Entry'!BB$8),'Council Entry'!BB175)),IF('Council Entry'!BB$4="Exponential",EXP(IF(AND(ISNUMBER('Council Entry'!BB$8),ISNUMBER('Council Entry'!BB$9)),MAX(MIN('Council Entry'!BB175,'Council Entry'!BB$9),'Council Entry'!BB$8),'Council Entry'!BB175)),IF(AND(ISNUMBER('Council Entry'!BB$8),ISNUMBER('Council Entry'!BB$9)),MAX(MIN('Council Entry'!BB175,'Council Entry'!BB$9),'Council Entry'!BB$8),'Council Entry'!BB175))))-'Council Entry'!BB$5)/('Council Entry'!BB$6-'Council Entry'!BB$5),10*((IF('Council Entry'!BB$4="Logarithm",LN(0.001+IF(AND(ISNUMBER('Council Entry'!BB$8),ISNUMBER('Council Entry'!BB$9)),MAX(MIN('Council Entry'!BB175,'Council Entry'!BB$9),'Council Entry'!BB$8),'Council Entry'!BB175)),IF('Council Entry'!BB$4="Exponential",EXP(IF(AND(ISNUMBER('Council Entry'!BB$8),ISNUMBER('Council Entry'!BB$9)),MAX(MIN('Council Entry'!BB175,'Council Entry'!BB$9),'Council Entry'!BB$8),'Council Entry'!BB175)),IF(AND(ISNUMBER('Council Entry'!BB$8),ISNUMBER('Council Entry'!BB$9)),MAX(MIN('Council Entry'!BB175,'Council Entry'!BB$9),'Council Entry'!BB$8),'Council Entry'!BB175))))-'Council Entry'!BB$5)/('Council Entry'!BB$6-'Council Entry'!BB$5)),1))),"No data"))</f>
        <v/>
      </c>
      <c r="BC175" s="13">
        <f>IF('Council Entry'!BC175="","",IFERROR(MAX(0,MIN(10,ROUND(IF('Council Entry'!BC$7="Decrease Risk",10-10*((IF('Council Entry'!BC$4="Logarithm",LN(0.001+IF(AND(ISNUMBER('Council Entry'!BC$8),ISNUMBER('Council Entry'!BC$9)),MAX(MIN('Council Entry'!BC175,'Council Entry'!BC$9),'Council Entry'!BC$8),'Council Entry'!BC175)),IF('Council Entry'!BC$4="Exponential",EXP(IF(AND(ISNUMBER('Council Entry'!BC$8),ISNUMBER('Council Entry'!BC$9)),MAX(MIN('Council Entry'!BC175,'Council Entry'!BC$9),'Council Entry'!BC$8),'Council Entry'!BC175)),IF(AND(ISNUMBER('Council Entry'!BC$8),ISNUMBER('Council Entry'!BC$9)),MAX(MIN('Council Entry'!BC175,'Council Entry'!BC$9),'Council Entry'!BC$8),'Council Entry'!BC175))))-'Council Entry'!BC$5)/('Council Entry'!BC$6-'Council Entry'!BC$5),10*((IF('Council Entry'!BC$4="Logarithm",LN(0.001+IF(AND(ISNUMBER('Council Entry'!BC$8),ISNUMBER('Council Entry'!BC$9)),MAX(MIN('Council Entry'!BC175,'Council Entry'!BC$9),'Council Entry'!BC$8),'Council Entry'!BC175)),IF('Council Entry'!BC$4="Exponential",EXP(IF(AND(ISNUMBER('Council Entry'!BC$8),ISNUMBER('Council Entry'!BC$9)),MAX(MIN('Council Entry'!BC175,'Council Entry'!BC$9),'Council Entry'!BC$8),'Council Entry'!BC175)),IF(AND(ISNUMBER('Council Entry'!BC$8),ISNUMBER('Council Entry'!BC$9)),MAX(MIN('Council Entry'!BC175,'Council Entry'!BC$9),'Council Entry'!BC$8),'Council Entry'!BC175))))-'Council Entry'!BC$5)/('Council Entry'!BC$6-'Council Entry'!BC$5)),1))),"No data"))</f>
        <v/>
      </c>
      <c r="BD175" s="13">
        <f>IF('Council Entry'!BD175="","",IFERROR(MAX(0,MIN(10,ROUND(IF('Council Entry'!BD$7="Decrease Risk",10-10*((IF('Council Entry'!BD$4="Logarithm",LN(0.001+IF(AND(ISNUMBER('Council Entry'!BD$8),ISNUMBER('Council Entry'!BD$9)),MAX(MIN('Council Entry'!BD175,'Council Entry'!BD$9),'Council Entry'!BD$8),'Council Entry'!BD175)),IF('Council Entry'!BD$4="Exponential",EXP(IF(AND(ISNUMBER('Council Entry'!BD$8),ISNUMBER('Council Entry'!BD$9)),MAX(MIN('Council Entry'!BD175,'Council Entry'!BD$9),'Council Entry'!BD$8),'Council Entry'!BD175)),IF(AND(ISNUMBER('Council Entry'!BD$8),ISNUMBER('Council Entry'!BD$9)),MAX(MIN('Council Entry'!BD175,'Council Entry'!BD$9),'Council Entry'!BD$8),'Council Entry'!BD175))))-'Council Entry'!BD$5)/('Council Entry'!BD$6-'Council Entry'!BD$5),10*((IF('Council Entry'!BD$4="Logarithm",LN(0.001+IF(AND(ISNUMBER('Council Entry'!BD$8),ISNUMBER('Council Entry'!BD$9)),MAX(MIN('Council Entry'!BD175,'Council Entry'!BD$9),'Council Entry'!BD$8),'Council Entry'!BD175)),IF('Council Entry'!BD$4="Exponential",EXP(IF(AND(ISNUMBER('Council Entry'!BD$8),ISNUMBER('Council Entry'!BD$9)),MAX(MIN('Council Entry'!BD175,'Council Entry'!BD$9),'Council Entry'!BD$8),'Council Entry'!BD175)),IF(AND(ISNUMBER('Council Entry'!BD$8),ISNUMBER('Council Entry'!BD$9)),MAX(MIN('Council Entry'!BD175,'Council Entry'!BD$9),'Council Entry'!BD$8),'Council Entry'!BD175))))-'Council Entry'!BD$5)/('Council Entry'!BD$6-'Council Entry'!BD$5)),1))),"No data"))</f>
        <v/>
      </c>
    </row>
    <row r="176">
      <c r="A176" t="inlineStr">
        <is>
          <t>Singida</t>
        </is>
      </c>
      <c r="B176" t="inlineStr">
        <is>
          <t>Iramba District</t>
        </is>
      </c>
      <c r="C176" t="inlineStr">
        <is>
          <t>C092</t>
        </is>
      </c>
      <c r="D176" s="13">
        <f>IF('Council Entry'!D176="","",IFERROR(MAX(0,MIN(10,ROUND(IF('Council Entry'!D$7="Decrease Risk",10-10*((IF('Council Entry'!D$4="Logarithm",LN(0.001+IF(AND(ISNUMBER('Council Entry'!D$8),ISNUMBER('Council Entry'!D$9)),MAX(MIN('Council Entry'!D176,'Council Entry'!D$9),'Council Entry'!D$8),'Council Entry'!D176)),IF('Council Entry'!D$4="Exponential",EXP(IF(AND(ISNUMBER('Council Entry'!D$8),ISNUMBER('Council Entry'!D$9)),MAX(MIN('Council Entry'!D176,'Council Entry'!D$9),'Council Entry'!D$8),'Council Entry'!D176)),IF(AND(ISNUMBER('Council Entry'!D$8),ISNUMBER('Council Entry'!D$9)),MAX(MIN('Council Entry'!D176,'Council Entry'!D$9),'Council Entry'!D$8),'Council Entry'!D176))))-'Council Entry'!D$5)/('Council Entry'!D$6-'Council Entry'!D$5),10*((IF('Council Entry'!D$4="Logarithm",LN(0.001+IF(AND(ISNUMBER('Council Entry'!D$8),ISNUMBER('Council Entry'!D$9)),MAX(MIN('Council Entry'!D176,'Council Entry'!D$9),'Council Entry'!D$8),'Council Entry'!D176)),IF('Council Entry'!D$4="Exponential",EXP(IF(AND(ISNUMBER('Council Entry'!D$8),ISNUMBER('Council Entry'!D$9)),MAX(MIN('Council Entry'!D176,'Council Entry'!D$9),'Council Entry'!D$8),'Council Entry'!D176)),IF(AND(ISNUMBER('Council Entry'!D$8),ISNUMBER('Council Entry'!D$9)),MAX(MIN('Council Entry'!D176,'Council Entry'!D$9),'Council Entry'!D$8),'Council Entry'!D176))))-'Council Entry'!D$5)/('Council Entry'!D$6-'Council Entry'!D$5)),1))),"No data"))</f>
        <v/>
      </c>
      <c r="E176" s="13">
        <f>IF('Council Entry'!E176="","",IFERROR(MAX(0,MIN(10,ROUND(IF('Council Entry'!E$7="Decrease Risk",10-10*((IF('Council Entry'!E$4="Logarithm",LN(0.001+IF(AND(ISNUMBER('Council Entry'!E$8),ISNUMBER('Council Entry'!E$9)),MAX(MIN('Council Entry'!E176,'Council Entry'!E$9),'Council Entry'!E$8),'Council Entry'!E176)),IF('Council Entry'!E$4="Exponential",EXP(IF(AND(ISNUMBER('Council Entry'!E$8),ISNUMBER('Council Entry'!E$9)),MAX(MIN('Council Entry'!E176,'Council Entry'!E$9),'Council Entry'!E$8),'Council Entry'!E176)),IF(AND(ISNUMBER('Council Entry'!E$8),ISNUMBER('Council Entry'!E$9)),MAX(MIN('Council Entry'!E176,'Council Entry'!E$9),'Council Entry'!E$8),'Council Entry'!E176))))-'Council Entry'!E$5)/('Council Entry'!E$6-'Council Entry'!E$5),10*((IF('Council Entry'!E$4="Logarithm",LN(0.001+IF(AND(ISNUMBER('Council Entry'!E$8),ISNUMBER('Council Entry'!E$9)),MAX(MIN('Council Entry'!E176,'Council Entry'!E$9),'Council Entry'!E$8),'Council Entry'!E176)),IF('Council Entry'!E$4="Exponential",EXP(IF(AND(ISNUMBER('Council Entry'!E$8),ISNUMBER('Council Entry'!E$9)),MAX(MIN('Council Entry'!E176,'Council Entry'!E$9),'Council Entry'!E$8),'Council Entry'!E176)),IF(AND(ISNUMBER('Council Entry'!E$8),ISNUMBER('Council Entry'!E$9)),MAX(MIN('Council Entry'!E176,'Council Entry'!E$9),'Council Entry'!E$8),'Council Entry'!E176))))-'Council Entry'!E$5)/('Council Entry'!E$6-'Council Entry'!E$5)),1))),"No data"))</f>
        <v/>
      </c>
      <c r="F176" s="13">
        <f>IF('Council Entry'!F176="","",IFERROR(MAX(0,MIN(10,ROUND(IF('Council Entry'!F$7="Decrease Risk",10-10*((IF('Council Entry'!F$4="Logarithm",LN(0.001+IF(AND(ISNUMBER('Council Entry'!F$8),ISNUMBER('Council Entry'!F$9)),MAX(MIN('Council Entry'!F176,'Council Entry'!F$9),'Council Entry'!F$8),'Council Entry'!F176)),IF('Council Entry'!F$4="Exponential",EXP(IF(AND(ISNUMBER('Council Entry'!F$8),ISNUMBER('Council Entry'!F$9)),MAX(MIN('Council Entry'!F176,'Council Entry'!F$9),'Council Entry'!F$8),'Council Entry'!F176)),IF(AND(ISNUMBER('Council Entry'!F$8),ISNUMBER('Council Entry'!F$9)),MAX(MIN('Council Entry'!F176,'Council Entry'!F$9),'Council Entry'!F$8),'Council Entry'!F176))))-'Council Entry'!F$5)/('Council Entry'!F$6-'Council Entry'!F$5),10*((IF('Council Entry'!F$4="Logarithm",LN(0.001+IF(AND(ISNUMBER('Council Entry'!F$8),ISNUMBER('Council Entry'!F$9)),MAX(MIN('Council Entry'!F176,'Council Entry'!F$9),'Council Entry'!F$8),'Council Entry'!F176)),IF('Council Entry'!F$4="Exponential",EXP(IF(AND(ISNUMBER('Council Entry'!F$8),ISNUMBER('Council Entry'!F$9)),MAX(MIN('Council Entry'!F176,'Council Entry'!F$9),'Council Entry'!F$8),'Council Entry'!F176)),IF(AND(ISNUMBER('Council Entry'!F$8),ISNUMBER('Council Entry'!F$9)),MAX(MIN('Council Entry'!F176,'Council Entry'!F$9),'Council Entry'!F$8),'Council Entry'!F176))))-'Council Entry'!F$5)/('Council Entry'!F$6-'Council Entry'!F$5)),1))),"No data"))</f>
        <v/>
      </c>
      <c r="G176" s="13">
        <f>IF('Council Entry'!G176="","",IFERROR(MAX(0,MIN(10,ROUND(IF('Council Entry'!G$7="Decrease Risk",10-10*((IF('Council Entry'!G$4="Logarithm",LN(0.001+IF(AND(ISNUMBER('Council Entry'!G$8),ISNUMBER('Council Entry'!G$9)),MAX(MIN('Council Entry'!G176,'Council Entry'!G$9),'Council Entry'!G$8),'Council Entry'!G176)),IF('Council Entry'!G$4="Exponential",EXP(IF(AND(ISNUMBER('Council Entry'!G$8),ISNUMBER('Council Entry'!G$9)),MAX(MIN('Council Entry'!G176,'Council Entry'!G$9),'Council Entry'!G$8),'Council Entry'!G176)),IF(AND(ISNUMBER('Council Entry'!G$8),ISNUMBER('Council Entry'!G$9)),MAX(MIN('Council Entry'!G176,'Council Entry'!G$9),'Council Entry'!G$8),'Council Entry'!G176))))-'Council Entry'!G$5)/('Council Entry'!G$6-'Council Entry'!G$5),10*((IF('Council Entry'!G$4="Logarithm",LN(0.001+IF(AND(ISNUMBER('Council Entry'!G$8),ISNUMBER('Council Entry'!G$9)),MAX(MIN('Council Entry'!G176,'Council Entry'!G$9),'Council Entry'!G$8),'Council Entry'!G176)),IF('Council Entry'!G$4="Exponential",EXP(IF(AND(ISNUMBER('Council Entry'!G$8),ISNUMBER('Council Entry'!G$9)),MAX(MIN('Council Entry'!G176,'Council Entry'!G$9),'Council Entry'!G$8),'Council Entry'!G176)),IF(AND(ISNUMBER('Council Entry'!G$8),ISNUMBER('Council Entry'!G$9)),MAX(MIN('Council Entry'!G176,'Council Entry'!G$9),'Council Entry'!G$8),'Council Entry'!G176))))-'Council Entry'!G$5)/('Council Entry'!G$6-'Council Entry'!G$5)),1))),"No data"))</f>
        <v/>
      </c>
      <c r="H176" s="13">
        <f>IF('Council Entry'!H176="","",IFERROR(MAX(0,MIN(10,ROUND(IF('Council Entry'!H$7="Decrease Risk",10-10*((IF('Council Entry'!H$4="Logarithm",LN(0.001+IF(AND(ISNUMBER('Council Entry'!H$8),ISNUMBER('Council Entry'!H$9)),MAX(MIN('Council Entry'!H176,'Council Entry'!H$9),'Council Entry'!H$8),'Council Entry'!H176)),IF('Council Entry'!H$4="Exponential",EXP(IF(AND(ISNUMBER('Council Entry'!H$8),ISNUMBER('Council Entry'!H$9)),MAX(MIN('Council Entry'!H176,'Council Entry'!H$9),'Council Entry'!H$8),'Council Entry'!H176)),IF(AND(ISNUMBER('Council Entry'!H$8),ISNUMBER('Council Entry'!H$9)),MAX(MIN('Council Entry'!H176,'Council Entry'!H$9),'Council Entry'!H$8),'Council Entry'!H176))))-'Council Entry'!H$5)/('Council Entry'!H$6-'Council Entry'!H$5),10*((IF('Council Entry'!H$4="Logarithm",LN(0.001+IF(AND(ISNUMBER('Council Entry'!H$8),ISNUMBER('Council Entry'!H$9)),MAX(MIN('Council Entry'!H176,'Council Entry'!H$9),'Council Entry'!H$8),'Council Entry'!H176)),IF('Council Entry'!H$4="Exponential",EXP(IF(AND(ISNUMBER('Council Entry'!H$8),ISNUMBER('Council Entry'!H$9)),MAX(MIN('Council Entry'!H176,'Council Entry'!H$9),'Council Entry'!H$8),'Council Entry'!H176)),IF(AND(ISNUMBER('Council Entry'!H$8),ISNUMBER('Council Entry'!H$9)),MAX(MIN('Council Entry'!H176,'Council Entry'!H$9),'Council Entry'!H$8),'Council Entry'!H176))))-'Council Entry'!H$5)/('Council Entry'!H$6-'Council Entry'!H$5)),1))),"No data"))</f>
        <v/>
      </c>
      <c r="I176" s="13">
        <f>IF('Council Entry'!I176="","",IFERROR(MAX(0,MIN(10,ROUND(IF('Council Entry'!I$7="Decrease Risk",10-10*((IF('Council Entry'!I$4="Logarithm",LN(0.001+IF(AND(ISNUMBER('Council Entry'!I$8),ISNUMBER('Council Entry'!I$9)),MAX(MIN('Council Entry'!I176,'Council Entry'!I$9),'Council Entry'!I$8),'Council Entry'!I176)),IF('Council Entry'!I$4="Exponential",EXP(IF(AND(ISNUMBER('Council Entry'!I$8),ISNUMBER('Council Entry'!I$9)),MAX(MIN('Council Entry'!I176,'Council Entry'!I$9),'Council Entry'!I$8),'Council Entry'!I176)),IF(AND(ISNUMBER('Council Entry'!I$8),ISNUMBER('Council Entry'!I$9)),MAX(MIN('Council Entry'!I176,'Council Entry'!I$9),'Council Entry'!I$8),'Council Entry'!I176))))-'Council Entry'!I$5)/('Council Entry'!I$6-'Council Entry'!I$5),10*((IF('Council Entry'!I$4="Logarithm",LN(0.001+IF(AND(ISNUMBER('Council Entry'!I$8),ISNUMBER('Council Entry'!I$9)),MAX(MIN('Council Entry'!I176,'Council Entry'!I$9),'Council Entry'!I$8),'Council Entry'!I176)),IF('Council Entry'!I$4="Exponential",EXP(IF(AND(ISNUMBER('Council Entry'!I$8),ISNUMBER('Council Entry'!I$9)),MAX(MIN('Council Entry'!I176,'Council Entry'!I$9),'Council Entry'!I$8),'Council Entry'!I176)),IF(AND(ISNUMBER('Council Entry'!I$8),ISNUMBER('Council Entry'!I$9)),MAX(MIN('Council Entry'!I176,'Council Entry'!I$9),'Council Entry'!I$8),'Council Entry'!I176))))-'Council Entry'!I$5)/('Council Entry'!I$6-'Council Entry'!I$5)),1))),"No data"))</f>
        <v/>
      </c>
      <c r="J176" s="13">
        <f>IF('Council Entry'!J176="","",IFERROR(MAX(0,MIN(10,ROUND(IF('Council Entry'!J$7="Decrease Risk",10-10*((IF('Council Entry'!J$4="Logarithm",LN(0.001+IF(AND(ISNUMBER('Council Entry'!J$8),ISNUMBER('Council Entry'!J$9)),MAX(MIN('Council Entry'!J176,'Council Entry'!J$9),'Council Entry'!J$8),'Council Entry'!J176)),IF('Council Entry'!J$4="Exponential",EXP(IF(AND(ISNUMBER('Council Entry'!J$8),ISNUMBER('Council Entry'!J$9)),MAX(MIN('Council Entry'!J176,'Council Entry'!J$9),'Council Entry'!J$8),'Council Entry'!J176)),IF(AND(ISNUMBER('Council Entry'!J$8),ISNUMBER('Council Entry'!J$9)),MAX(MIN('Council Entry'!J176,'Council Entry'!J$9),'Council Entry'!J$8),'Council Entry'!J176))))-'Council Entry'!J$5)/('Council Entry'!J$6-'Council Entry'!J$5),10*((IF('Council Entry'!J$4="Logarithm",LN(0.001+IF(AND(ISNUMBER('Council Entry'!J$8),ISNUMBER('Council Entry'!J$9)),MAX(MIN('Council Entry'!J176,'Council Entry'!J$9),'Council Entry'!J$8),'Council Entry'!J176)),IF('Council Entry'!J$4="Exponential",EXP(IF(AND(ISNUMBER('Council Entry'!J$8),ISNUMBER('Council Entry'!J$9)),MAX(MIN('Council Entry'!J176,'Council Entry'!J$9),'Council Entry'!J$8),'Council Entry'!J176)),IF(AND(ISNUMBER('Council Entry'!J$8),ISNUMBER('Council Entry'!J$9)),MAX(MIN('Council Entry'!J176,'Council Entry'!J$9),'Council Entry'!J$8),'Council Entry'!J176))))-'Council Entry'!J$5)/('Council Entry'!J$6-'Council Entry'!J$5)),1))),"No data"))</f>
        <v/>
      </c>
      <c r="K176" s="13">
        <f>IF('Council Entry'!K176="","",IFERROR(MAX(0,MIN(10,ROUND(IF('Council Entry'!K$7="Decrease Risk",10-10*((IF('Council Entry'!K$4="Logarithm",LN(0.001+IF(AND(ISNUMBER('Council Entry'!K$8),ISNUMBER('Council Entry'!K$9)),MAX(MIN('Council Entry'!K176,'Council Entry'!K$9),'Council Entry'!K$8),'Council Entry'!K176)),IF('Council Entry'!K$4="Exponential",EXP(IF(AND(ISNUMBER('Council Entry'!K$8),ISNUMBER('Council Entry'!K$9)),MAX(MIN('Council Entry'!K176,'Council Entry'!K$9),'Council Entry'!K$8),'Council Entry'!K176)),IF(AND(ISNUMBER('Council Entry'!K$8),ISNUMBER('Council Entry'!K$9)),MAX(MIN('Council Entry'!K176,'Council Entry'!K$9),'Council Entry'!K$8),'Council Entry'!K176))))-'Council Entry'!K$5)/('Council Entry'!K$6-'Council Entry'!K$5),10*((IF('Council Entry'!K$4="Logarithm",LN(0.001+IF(AND(ISNUMBER('Council Entry'!K$8),ISNUMBER('Council Entry'!K$9)),MAX(MIN('Council Entry'!K176,'Council Entry'!K$9),'Council Entry'!K$8),'Council Entry'!K176)),IF('Council Entry'!K$4="Exponential",EXP(IF(AND(ISNUMBER('Council Entry'!K$8),ISNUMBER('Council Entry'!K$9)),MAX(MIN('Council Entry'!K176,'Council Entry'!K$9),'Council Entry'!K$8),'Council Entry'!K176)),IF(AND(ISNUMBER('Council Entry'!K$8),ISNUMBER('Council Entry'!K$9)),MAX(MIN('Council Entry'!K176,'Council Entry'!K$9),'Council Entry'!K$8),'Council Entry'!K176))))-'Council Entry'!K$5)/('Council Entry'!K$6-'Council Entry'!K$5)),1))),"No data"))</f>
        <v/>
      </c>
      <c r="L176" s="13">
        <f>IF('Council Entry'!L176="","",IFERROR(MAX(0,MIN(10,ROUND(IF('Council Entry'!L$7="Decrease Risk",10-10*((IF('Council Entry'!L$4="Logarithm",LN(0.001+IF(AND(ISNUMBER('Council Entry'!L$8),ISNUMBER('Council Entry'!L$9)),MAX(MIN('Council Entry'!L176,'Council Entry'!L$9),'Council Entry'!L$8),'Council Entry'!L176)),IF('Council Entry'!L$4="Exponential",EXP(IF(AND(ISNUMBER('Council Entry'!L$8),ISNUMBER('Council Entry'!L$9)),MAX(MIN('Council Entry'!L176,'Council Entry'!L$9),'Council Entry'!L$8),'Council Entry'!L176)),IF(AND(ISNUMBER('Council Entry'!L$8),ISNUMBER('Council Entry'!L$9)),MAX(MIN('Council Entry'!L176,'Council Entry'!L$9),'Council Entry'!L$8),'Council Entry'!L176))))-'Council Entry'!L$5)/('Council Entry'!L$6-'Council Entry'!L$5),10*((IF('Council Entry'!L$4="Logarithm",LN(0.001+IF(AND(ISNUMBER('Council Entry'!L$8),ISNUMBER('Council Entry'!L$9)),MAX(MIN('Council Entry'!L176,'Council Entry'!L$9),'Council Entry'!L$8),'Council Entry'!L176)),IF('Council Entry'!L$4="Exponential",EXP(IF(AND(ISNUMBER('Council Entry'!L$8),ISNUMBER('Council Entry'!L$9)),MAX(MIN('Council Entry'!L176,'Council Entry'!L$9),'Council Entry'!L$8),'Council Entry'!L176)),IF(AND(ISNUMBER('Council Entry'!L$8),ISNUMBER('Council Entry'!L$9)),MAX(MIN('Council Entry'!L176,'Council Entry'!L$9),'Council Entry'!L$8),'Council Entry'!L176))))-'Council Entry'!L$5)/('Council Entry'!L$6-'Council Entry'!L$5)),1))),"No data"))</f>
        <v/>
      </c>
      <c r="M176" s="13">
        <f>IF('Council Entry'!M176="","",IFERROR(MAX(0,MIN(10,ROUND(IF('Council Entry'!M$7="Decrease Risk",10-10*((IF('Council Entry'!M$4="Logarithm",LN(0.001+IF(AND(ISNUMBER('Council Entry'!M$8),ISNUMBER('Council Entry'!M$9)),MAX(MIN('Council Entry'!M176,'Council Entry'!M$9),'Council Entry'!M$8),'Council Entry'!M176)),IF('Council Entry'!M$4="Exponential",EXP(IF(AND(ISNUMBER('Council Entry'!M$8),ISNUMBER('Council Entry'!M$9)),MAX(MIN('Council Entry'!M176,'Council Entry'!M$9),'Council Entry'!M$8),'Council Entry'!M176)),IF(AND(ISNUMBER('Council Entry'!M$8),ISNUMBER('Council Entry'!M$9)),MAX(MIN('Council Entry'!M176,'Council Entry'!M$9),'Council Entry'!M$8),'Council Entry'!M176))))-'Council Entry'!M$5)/('Council Entry'!M$6-'Council Entry'!M$5),10*((IF('Council Entry'!M$4="Logarithm",LN(0.001+IF(AND(ISNUMBER('Council Entry'!M$8),ISNUMBER('Council Entry'!M$9)),MAX(MIN('Council Entry'!M176,'Council Entry'!M$9),'Council Entry'!M$8),'Council Entry'!M176)),IF('Council Entry'!M$4="Exponential",EXP(IF(AND(ISNUMBER('Council Entry'!M$8),ISNUMBER('Council Entry'!M$9)),MAX(MIN('Council Entry'!M176,'Council Entry'!M$9),'Council Entry'!M$8),'Council Entry'!M176)),IF(AND(ISNUMBER('Council Entry'!M$8),ISNUMBER('Council Entry'!M$9)),MAX(MIN('Council Entry'!M176,'Council Entry'!M$9),'Council Entry'!M$8),'Council Entry'!M176))))-'Council Entry'!M$5)/('Council Entry'!M$6-'Council Entry'!M$5)),1))),"No data"))</f>
        <v/>
      </c>
      <c r="N176" s="13">
        <f>IF('Council Entry'!N176="","",IFERROR(MAX(0,MIN(10,ROUND(IF('Council Entry'!N$7="Decrease Risk",10-10*((IF('Council Entry'!N$4="Logarithm",LN(0.001+IF(AND(ISNUMBER('Council Entry'!N$8),ISNUMBER('Council Entry'!N$9)),MAX(MIN('Council Entry'!N176,'Council Entry'!N$9),'Council Entry'!N$8),'Council Entry'!N176)),IF('Council Entry'!N$4="Exponential",EXP(IF(AND(ISNUMBER('Council Entry'!N$8),ISNUMBER('Council Entry'!N$9)),MAX(MIN('Council Entry'!N176,'Council Entry'!N$9),'Council Entry'!N$8),'Council Entry'!N176)),IF(AND(ISNUMBER('Council Entry'!N$8),ISNUMBER('Council Entry'!N$9)),MAX(MIN('Council Entry'!N176,'Council Entry'!N$9),'Council Entry'!N$8),'Council Entry'!N176))))-'Council Entry'!N$5)/('Council Entry'!N$6-'Council Entry'!N$5),10*((IF('Council Entry'!N$4="Logarithm",LN(0.001+IF(AND(ISNUMBER('Council Entry'!N$8),ISNUMBER('Council Entry'!N$9)),MAX(MIN('Council Entry'!N176,'Council Entry'!N$9),'Council Entry'!N$8),'Council Entry'!N176)),IF('Council Entry'!N$4="Exponential",EXP(IF(AND(ISNUMBER('Council Entry'!N$8),ISNUMBER('Council Entry'!N$9)),MAX(MIN('Council Entry'!N176,'Council Entry'!N$9),'Council Entry'!N$8),'Council Entry'!N176)),IF(AND(ISNUMBER('Council Entry'!N$8),ISNUMBER('Council Entry'!N$9)),MAX(MIN('Council Entry'!N176,'Council Entry'!N$9),'Council Entry'!N$8),'Council Entry'!N176))))-'Council Entry'!N$5)/('Council Entry'!N$6-'Council Entry'!N$5)),1))),"No data"))</f>
        <v/>
      </c>
      <c r="O176" s="13">
        <f>IF('Council Entry'!O176="","",IFERROR(MAX(0,MIN(10,ROUND(IF('Council Entry'!O$7="Decrease Risk",10-10*((IF('Council Entry'!O$4="Logarithm",LN(0.001+IF(AND(ISNUMBER('Council Entry'!O$8),ISNUMBER('Council Entry'!O$9)),MAX(MIN('Council Entry'!O176,'Council Entry'!O$9),'Council Entry'!O$8),'Council Entry'!O176)),IF('Council Entry'!O$4="Exponential",EXP(IF(AND(ISNUMBER('Council Entry'!O$8),ISNUMBER('Council Entry'!O$9)),MAX(MIN('Council Entry'!O176,'Council Entry'!O$9),'Council Entry'!O$8),'Council Entry'!O176)),IF(AND(ISNUMBER('Council Entry'!O$8),ISNUMBER('Council Entry'!O$9)),MAX(MIN('Council Entry'!O176,'Council Entry'!O$9),'Council Entry'!O$8),'Council Entry'!O176))))-'Council Entry'!O$5)/('Council Entry'!O$6-'Council Entry'!O$5),10*((IF('Council Entry'!O$4="Logarithm",LN(0.001+IF(AND(ISNUMBER('Council Entry'!O$8),ISNUMBER('Council Entry'!O$9)),MAX(MIN('Council Entry'!O176,'Council Entry'!O$9),'Council Entry'!O$8),'Council Entry'!O176)),IF('Council Entry'!O$4="Exponential",EXP(IF(AND(ISNUMBER('Council Entry'!O$8),ISNUMBER('Council Entry'!O$9)),MAX(MIN('Council Entry'!O176,'Council Entry'!O$9),'Council Entry'!O$8),'Council Entry'!O176)),IF(AND(ISNUMBER('Council Entry'!O$8),ISNUMBER('Council Entry'!O$9)),MAX(MIN('Council Entry'!O176,'Council Entry'!O$9),'Council Entry'!O$8),'Council Entry'!O176))))-'Council Entry'!O$5)/('Council Entry'!O$6-'Council Entry'!O$5)),1))),"No data"))</f>
        <v/>
      </c>
      <c r="P176" s="13">
        <f>IF('Council Entry'!P176="","",IFERROR(MAX(0,MIN(10,ROUND(IF('Council Entry'!P$7="Decrease Risk",10-10*((IF('Council Entry'!P$4="Logarithm",LN(0.001+IF(AND(ISNUMBER('Council Entry'!P$8),ISNUMBER('Council Entry'!P$9)),MAX(MIN('Council Entry'!P176,'Council Entry'!P$9),'Council Entry'!P$8),'Council Entry'!P176)),IF('Council Entry'!P$4="Exponential",EXP(IF(AND(ISNUMBER('Council Entry'!P$8),ISNUMBER('Council Entry'!P$9)),MAX(MIN('Council Entry'!P176,'Council Entry'!P$9),'Council Entry'!P$8),'Council Entry'!P176)),IF(AND(ISNUMBER('Council Entry'!P$8),ISNUMBER('Council Entry'!P$9)),MAX(MIN('Council Entry'!P176,'Council Entry'!P$9),'Council Entry'!P$8),'Council Entry'!P176))))-'Council Entry'!P$5)/('Council Entry'!P$6-'Council Entry'!P$5),10*((IF('Council Entry'!P$4="Logarithm",LN(0.001+IF(AND(ISNUMBER('Council Entry'!P$8),ISNUMBER('Council Entry'!P$9)),MAX(MIN('Council Entry'!P176,'Council Entry'!P$9),'Council Entry'!P$8),'Council Entry'!P176)),IF('Council Entry'!P$4="Exponential",EXP(IF(AND(ISNUMBER('Council Entry'!P$8),ISNUMBER('Council Entry'!P$9)),MAX(MIN('Council Entry'!P176,'Council Entry'!P$9),'Council Entry'!P$8),'Council Entry'!P176)),IF(AND(ISNUMBER('Council Entry'!P$8),ISNUMBER('Council Entry'!P$9)),MAX(MIN('Council Entry'!P176,'Council Entry'!P$9),'Council Entry'!P$8),'Council Entry'!P176))))-'Council Entry'!P$5)/('Council Entry'!P$6-'Council Entry'!P$5)),1))),"No data"))</f>
        <v/>
      </c>
      <c r="Q176" s="13">
        <f>IF('Council Entry'!Q176="","",IFERROR(MAX(0,MIN(10,ROUND(IF('Council Entry'!Q$7="Decrease Risk",10-10*((IF('Council Entry'!Q$4="Logarithm",LN(0.001+IF(AND(ISNUMBER('Council Entry'!Q$8),ISNUMBER('Council Entry'!Q$9)),MAX(MIN('Council Entry'!Q176,'Council Entry'!Q$9),'Council Entry'!Q$8),'Council Entry'!Q176)),IF('Council Entry'!Q$4="Exponential",EXP(IF(AND(ISNUMBER('Council Entry'!Q$8),ISNUMBER('Council Entry'!Q$9)),MAX(MIN('Council Entry'!Q176,'Council Entry'!Q$9),'Council Entry'!Q$8),'Council Entry'!Q176)),IF(AND(ISNUMBER('Council Entry'!Q$8),ISNUMBER('Council Entry'!Q$9)),MAX(MIN('Council Entry'!Q176,'Council Entry'!Q$9),'Council Entry'!Q$8),'Council Entry'!Q176))))-'Council Entry'!Q$5)/('Council Entry'!Q$6-'Council Entry'!Q$5),10*((IF('Council Entry'!Q$4="Logarithm",LN(0.001+IF(AND(ISNUMBER('Council Entry'!Q$8),ISNUMBER('Council Entry'!Q$9)),MAX(MIN('Council Entry'!Q176,'Council Entry'!Q$9),'Council Entry'!Q$8),'Council Entry'!Q176)),IF('Council Entry'!Q$4="Exponential",EXP(IF(AND(ISNUMBER('Council Entry'!Q$8),ISNUMBER('Council Entry'!Q$9)),MAX(MIN('Council Entry'!Q176,'Council Entry'!Q$9),'Council Entry'!Q$8),'Council Entry'!Q176)),IF(AND(ISNUMBER('Council Entry'!Q$8),ISNUMBER('Council Entry'!Q$9)),MAX(MIN('Council Entry'!Q176,'Council Entry'!Q$9),'Council Entry'!Q$8),'Council Entry'!Q176))))-'Council Entry'!Q$5)/('Council Entry'!Q$6-'Council Entry'!Q$5)),1))),"No data"))</f>
        <v/>
      </c>
      <c r="R176" s="13">
        <f>IF('Council Entry'!R176="","",IFERROR(MAX(0,MIN(10,ROUND(IF('Council Entry'!R$7="Decrease Risk",10-10*((IF('Council Entry'!R$4="Logarithm",LN(0.001+IF(AND(ISNUMBER('Council Entry'!R$8),ISNUMBER('Council Entry'!R$9)),MAX(MIN('Council Entry'!R176,'Council Entry'!R$9),'Council Entry'!R$8),'Council Entry'!R176)),IF('Council Entry'!R$4="Exponential",EXP(IF(AND(ISNUMBER('Council Entry'!R$8),ISNUMBER('Council Entry'!R$9)),MAX(MIN('Council Entry'!R176,'Council Entry'!R$9),'Council Entry'!R$8),'Council Entry'!R176)),IF(AND(ISNUMBER('Council Entry'!R$8),ISNUMBER('Council Entry'!R$9)),MAX(MIN('Council Entry'!R176,'Council Entry'!R$9),'Council Entry'!R$8),'Council Entry'!R176))))-'Council Entry'!R$5)/('Council Entry'!R$6-'Council Entry'!R$5),10*((IF('Council Entry'!R$4="Logarithm",LN(0.001+IF(AND(ISNUMBER('Council Entry'!R$8),ISNUMBER('Council Entry'!R$9)),MAX(MIN('Council Entry'!R176,'Council Entry'!R$9),'Council Entry'!R$8),'Council Entry'!R176)),IF('Council Entry'!R$4="Exponential",EXP(IF(AND(ISNUMBER('Council Entry'!R$8),ISNUMBER('Council Entry'!R$9)),MAX(MIN('Council Entry'!R176,'Council Entry'!R$9),'Council Entry'!R$8),'Council Entry'!R176)),IF(AND(ISNUMBER('Council Entry'!R$8),ISNUMBER('Council Entry'!R$9)),MAX(MIN('Council Entry'!R176,'Council Entry'!R$9),'Council Entry'!R$8),'Council Entry'!R176))))-'Council Entry'!R$5)/('Council Entry'!R$6-'Council Entry'!R$5)),1))),"No data"))</f>
        <v/>
      </c>
      <c r="S176" s="13">
        <f>IF('Council Entry'!S176="","",IFERROR(MAX(0,MIN(10,ROUND(IF('Council Entry'!S$7="Decrease Risk",10-10*((IF('Council Entry'!S$4="Logarithm",LN(0.001+IF(AND(ISNUMBER('Council Entry'!S$8),ISNUMBER('Council Entry'!S$9)),MAX(MIN('Council Entry'!S176,'Council Entry'!S$9),'Council Entry'!S$8),'Council Entry'!S176)),IF('Council Entry'!S$4="Exponential",EXP(IF(AND(ISNUMBER('Council Entry'!S$8),ISNUMBER('Council Entry'!S$9)),MAX(MIN('Council Entry'!S176,'Council Entry'!S$9),'Council Entry'!S$8),'Council Entry'!S176)),IF(AND(ISNUMBER('Council Entry'!S$8),ISNUMBER('Council Entry'!S$9)),MAX(MIN('Council Entry'!S176,'Council Entry'!S$9),'Council Entry'!S$8),'Council Entry'!S176))))-'Council Entry'!S$5)/('Council Entry'!S$6-'Council Entry'!S$5),10*((IF('Council Entry'!S$4="Logarithm",LN(0.001+IF(AND(ISNUMBER('Council Entry'!S$8),ISNUMBER('Council Entry'!S$9)),MAX(MIN('Council Entry'!S176,'Council Entry'!S$9),'Council Entry'!S$8),'Council Entry'!S176)),IF('Council Entry'!S$4="Exponential",EXP(IF(AND(ISNUMBER('Council Entry'!S$8),ISNUMBER('Council Entry'!S$9)),MAX(MIN('Council Entry'!S176,'Council Entry'!S$9),'Council Entry'!S$8),'Council Entry'!S176)),IF(AND(ISNUMBER('Council Entry'!S$8),ISNUMBER('Council Entry'!S$9)),MAX(MIN('Council Entry'!S176,'Council Entry'!S$9),'Council Entry'!S$8),'Council Entry'!S176))))-'Council Entry'!S$5)/('Council Entry'!S$6-'Council Entry'!S$5)),1))),"No data"))</f>
        <v/>
      </c>
      <c r="T176" s="13">
        <f>IF('Council Entry'!T176="","",IFERROR(MAX(0,MIN(10,ROUND(IF('Council Entry'!T$7="Decrease Risk",10-10*((IF('Council Entry'!T$4="Logarithm",LN(0.001+IF(AND(ISNUMBER('Council Entry'!T$8),ISNUMBER('Council Entry'!T$9)),MAX(MIN('Council Entry'!T176,'Council Entry'!T$9),'Council Entry'!T$8),'Council Entry'!T176)),IF('Council Entry'!T$4="Exponential",EXP(IF(AND(ISNUMBER('Council Entry'!T$8),ISNUMBER('Council Entry'!T$9)),MAX(MIN('Council Entry'!T176,'Council Entry'!T$9),'Council Entry'!T$8),'Council Entry'!T176)),IF(AND(ISNUMBER('Council Entry'!T$8),ISNUMBER('Council Entry'!T$9)),MAX(MIN('Council Entry'!T176,'Council Entry'!T$9),'Council Entry'!T$8),'Council Entry'!T176))))-'Council Entry'!T$5)/('Council Entry'!T$6-'Council Entry'!T$5),10*((IF('Council Entry'!T$4="Logarithm",LN(0.001+IF(AND(ISNUMBER('Council Entry'!T$8),ISNUMBER('Council Entry'!T$9)),MAX(MIN('Council Entry'!T176,'Council Entry'!T$9),'Council Entry'!T$8),'Council Entry'!T176)),IF('Council Entry'!T$4="Exponential",EXP(IF(AND(ISNUMBER('Council Entry'!T$8),ISNUMBER('Council Entry'!T$9)),MAX(MIN('Council Entry'!T176,'Council Entry'!T$9),'Council Entry'!T$8),'Council Entry'!T176)),IF(AND(ISNUMBER('Council Entry'!T$8),ISNUMBER('Council Entry'!T$9)),MAX(MIN('Council Entry'!T176,'Council Entry'!T$9),'Council Entry'!T$8),'Council Entry'!T176))))-'Council Entry'!T$5)/('Council Entry'!T$6-'Council Entry'!T$5)),1))),"No data"))</f>
        <v/>
      </c>
      <c r="U176" s="13">
        <f>IF('Council Entry'!U176="","",IFERROR(MAX(0,MIN(10,ROUND(IF('Council Entry'!U$7="Decrease Risk",10-10*((IF('Council Entry'!U$4="Logarithm",LN(0.001+IF(AND(ISNUMBER('Council Entry'!U$8),ISNUMBER('Council Entry'!U$9)),MAX(MIN('Council Entry'!U176,'Council Entry'!U$9),'Council Entry'!U$8),'Council Entry'!U176)),IF('Council Entry'!U$4="Exponential",EXP(IF(AND(ISNUMBER('Council Entry'!U$8),ISNUMBER('Council Entry'!U$9)),MAX(MIN('Council Entry'!U176,'Council Entry'!U$9),'Council Entry'!U$8),'Council Entry'!U176)),IF(AND(ISNUMBER('Council Entry'!U$8),ISNUMBER('Council Entry'!U$9)),MAX(MIN('Council Entry'!U176,'Council Entry'!U$9),'Council Entry'!U$8),'Council Entry'!U176))))-'Council Entry'!U$5)/('Council Entry'!U$6-'Council Entry'!U$5),10*((IF('Council Entry'!U$4="Logarithm",LN(0.001+IF(AND(ISNUMBER('Council Entry'!U$8),ISNUMBER('Council Entry'!U$9)),MAX(MIN('Council Entry'!U176,'Council Entry'!U$9),'Council Entry'!U$8),'Council Entry'!U176)),IF('Council Entry'!U$4="Exponential",EXP(IF(AND(ISNUMBER('Council Entry'!U$8),ISNUMBER('Council Entry'!U$9)),MAX(MIN('Council Entry'!U176,'Council Entry'!U$9),'Council Entry'!U$8),'Council Entry'!U176)),IF(AND(ISNUMBER('Council Entry'!U$8),ISNUMBER('Council Entry'!U$9)),MAX(MIN('Council Entry'!U176,'Council Entry'!U$9),'Council Entry'!U$8),'Council Entry'!U176))))-'Council Entry'!U$5)/('Council Entry'!U$6-'Council Entry'!U$5)),1))),"No data"))</f>
        <v/>
      </c>
      <c r="V176" s="13">
        <f>IF('Council Entry'!V176="","",IFERROR(MAX(0,MIN(10,ROUND(IF('Council Entry'!V$7="Decrease Risk",10-10*((IF('Council Entry'!V$4="Logarithm",LN(0.001+IF(AND(ISNUMBER('Council Entry'!V$8),ISNUMBER('Council Entry'!V$9)),MAX(MIN('Council Entry'!V176,'Council Entry'!V$9),'Council Entry'!V$8),'Council Entry'!V176)),IF('Council Entry'!V$4="Exponential",EXP(IF(AND(ISNUMBER('Council Entry'!V$8),ISNUMBER('Council Entry'!V$9)),MAX(MIN('Council Entry'!V176,'Council Entry'!V$9),'Council Entry'!V$8),'Council Entry'!V176)),IF(AND(ISNUMBER('Council Entry'!V$8),ISNUMBER('Council Entry'!V$9)),MAX(MIN('Council Entry'!V176,'Council Entry'!V$9),'Council Entry'!V$8),'Council Entry'!V176))))-'Council Entry'!V$5)/('Council Entry'!V$6-'Council Entry'!V$5),10*((IF('Council Entry'!V$4="Logarithm",LN(0.001+IF(AND(ISNUMBER('Council Entry'!V$8),ISNUMBER('Council Entry'!V$9)),MAX(MIN('Council Entry'!V176,'Council Entry'!V$9),'Council Entry'!V$8),'Council Entry'!V176)),IF('Council Entry'!V$4="Exponential",EXP(IF(AND(ISNUMBER('Council Entry'!V$8),ISNUMBER('Council Entry'!V$9)),MAX(MIN('Council Entry'!V176,'Council Entry'!V$9),'Council Entry'!V$8),'Council Entry'!V176)),IF(AND(ISNUMBER('Council Entry'!V$8),ISNUMBER('Council Entry'!V$9)),MAX(MIN('Council Entry'!V176,'Council Entry'!V$9),'Council Entry'!V$8),'Council Entry'!V176))))-'Council Entry'!V$5)/('Council Entry'!V$6-'Council Entry'!V$5)),1))),"No data"))</f>
        <v/>
      </c>
      <c r="W176" s="13">
        <f>IF('Council Entry'!W176="","",IFERROR(MAX(0,MIN(10,ROUND(IF('Council Entry'!W$7="Decrease Risk",10-10*((IF('Council Entry'!W$4="Logarithm",LN(0.001+IF(AND(ISNUMBER('Council Entry'!W$8),ISNUMBER('Council Entry'!W$9)),MAX(MIN('Council Entry'!W176,'Council Entry'!W$9),'Council Entry'!W$8),'Council Entry'!W176)),IF('Council Entry'!W$4="Exponential",EXP(IF(AND(ISNUMBER('Council Entry'!W$8),ISNUMBER('Council Entry'!W$9)),MAX(MIN('Council Entry'!W176,'Council Entry'!W$9),'Council Entry'!W$8),'Council Entry'!W176)),IF(AND(ISNUMBER('Council Entry'!W$8),ISNUMBER('Council Entry'!W$9)),MAX(MIN('Council Entry'!W176,'Council Entry'!W$9),'Council Entry'!W$8),'Council Entry'!W176))))-'Council Entry'!W$5)/('Council Entry'!W$6-'Council Entry'!W$5),10*((IF('Council Entry'!W$4="Logarithm",LN(0.001+IF(AND(ISNUMBER('Council Entry'!W$8),ISNUMBER('Council Entry'!W$9)),MAX(MIN('Council Entry'!W176,'Council Entry'!W$9),'Council Entry'!W$8),'Council Entry'!W176)),IF('Council Entry'!W$4="Exponential",EXP(IF(AND(ISNUMBER('Council Entry'!W$8),ISNUMBER('Council Entry'!W$9)),MAX(MIN('Council Entry'!W176,'Council Entry'!W$9),'Council Entry'!W$8),'Council Entry'!W176)),IF(AND(ISNUMBER('Council Entry'!W$8),ISNUMBER('Council Entry'!W$9)),MAX(MIN('Council Entry'!W176,'Council Entry'!W$9),'Council Entry'!W$8),'Council Entry'!W176))))-'Council Entry'!W$5)/('Council Entry'!W$6-'Council Entry'!W$5)),1))),"No data"))</f>
        <v/>
      </c>
      <c r="X176" s="13">
        <f>IF('Council Entry'!X176="","",IFERROR(MAX(0,MIN(10,ROUND(IF('Council Entry'!X$7="Decrease Risk",10-10*((IF('Council Entry'!X$4="Logarithm",LN(0.001+IF(AND(ISNUMBER('Council Entry'!X$8),ISNUMBER('Council Entry'!X$9)),MAX(MIN('Council Entry'!X176,'Council Entry'!X$9),'Council Entry'!X$8),'Council Entry'!X176)),IF('Council Entry'!X$4="Exponential",EXP(IF(AND(ISNUMBER('Council Entry'!X$8),ISNUMBER('Council Entry'!X$9)),MAX(MIN('Council Entry'!X176,'Council Entry'!X$9),'Council Entry'!X$8),'Council Entry'!X176)),IF(AND(ISNUMBER('Council Entry'!X$8),ISNUMBER('Council Entry'!X$9)),MAX(MIN('Council Entry'!X176,'Council Entry'!X$9),'Council Entry'!X$8),'Council Entry'!X176))))-'Council Entry'!X$5)/('Council Entry'!X$6-'Council Entry'!X$5),10*((IF('Council Entry'!X$4="Logarithm",LN(0.001+IF(AND(ISNUMBER('Council Entry'!X$8),ISNUMBER('Council Entry'!X$9)),MAX(MIN('Council Entry'!X176,'Council Entry'!X$9),'Council Entry'!X$8),'Council Entry'!X176)),IF('Council Entry'!X$4="Exponential",EXP(IF(AND(ISNUMBER('Council Entry'!X$8),ISNUMBER('Council Entry'!X$9)),MAX(MIN('Council Entry'!X176,'Council Entry'!X$9),'Council Entry'!X$8),'Council Entry'!X176)),IF(AND(ISNUMBER('Council Entry'!X$8),ISNUMBER('Council Entry'!X$9)),MAX(MIN('Council Entry'!X176,'Council Entry'!X$9),'Council Entry'!X$8),'Council Entry'!X176))))-'Council Entry'!X$5)/('Council Entry'!X$6-'Council Entry'!X$5)),1))),"No data"))</f>
        <v/>
      </c>
      <c r="Y176" s="13">
        <f>IF('Council Entry'!Y176="","",IFERROR(MAX(0,MIN(10,ROUND(IF('Council Entry'!Y$7="Decrease Risk",10-10*((IF('Council Entry'!Y$4="Logarithm",LN(0.001+IF(AND(ISNUMBER('Council Entry'!Y$8),ISNUMBER('Council Entry'!Y$9)),MAX(MIN('Council Entry'!Y176,'Council Entry'!Y$9),'Council Entry'!Y$8),'Council Entry'!Y176)),IF('Council Entry'!Y$4="Exponential",EXP(IF(AND(ISNUMBER('Council Entry'!Y$8),ISNUMBER('Council Entry'!Y$9)),MAX(MIN('Council Entry'!Y176,'Council Entry'!Y$9),'Council Entry'!Y$8),'Council Entry'!Y176)),IF(AND(ISNUMBER('Council Entry'!Y$8),ISNUMBER('Council Entry'!Y$9)),MAX(MIN('Council Entry'!Y176,'Council Entry'!Y$9),'Council Entry'!Y$8),'Council Entry'!Y176))))-'Council Entry'!Y$5)/('Council Entry'!Y$6-'Council Entry'!Y$5),10*((IF('Council Entry'!Y$4="Logarithm",LN(0.001+IF(AND(ISNUMBER('Council Entry'!Y$8),ISNUMBER('Council Entry'!Y$9)),MAX(MIN('Council Entry'!Y176,'Council Entry'!Y$9),'Council Entry'!Y$8),'Council Entry'!Y176)),IF('Council Entry'!Y$4="Exponential",EXP(IF(AND(ISNUMBER('Council Entry'!Y$8),ISNUMBER('Council Entry'!Y$9)),MAX(MIN('Council Entry'!Y176,'Council Entry'!Y$9),'Council Entry'!Y$8),'Council Entry'!Y176)),IF(AND(ISNUMBER('Council Entry'!Y$8),ISNUMBER('Council Entry'!Y$9)),MAX(MIN('Council Entry'!Y176,'Council Entry'!Y$9),'Council Entry'!Y$8),'Council Entry'!Y176))))-'Council Entry'!Y$5)/('Council Entry'!Y$6-'Council Entry'!Y$5)),1))),"No data"))</f>
        <v/>
      </c>
      <c r="Z176" s="13">
        <f>IF('Council Entry'!Z176="","",IFERROR(MAX(0,MIN(10,ROUND(IF('Council Entry'!Z$7="Decrease Risk",10-10*((IF('Council Entry'!Z$4="Logarithm",LN(0.001+IF(AND(ISNUMBER('Council Entry'!Z$8),ISNUMBER('Council Entry'!Z$9)),MAX(MIN('Council Entry'!Z176,'Council Entry'!Z$9),'Council Entry'!Z$8),'Council Entry'!Z176)),IF('Council Entry'!Z$4="Exponential",EXP(IF(AND(ISNUMBER('Council Entry'!Z$8),ISNUMBER('Council Entry'!Z$9)),MAX(MIN('Council Entry'!Z176,'Council Entry'!Z$9),'Council Entry'!Z$8),'Council Entry'!Z176)),IF(AND(ISNUMBER('Council Entry'!Z$8),ISNUMBER('Council Entry'!Z$9)),MAX(MIN('Council Entry'!Z176,'Council Entry'!Z$9),'Council Entry'!Z$8),'Council Entry'!Z176))))-'Council Entry'!Z$5)/('Council Entry'!Z$6-'Council Entry'!Z$5),10*((IF('Council Entry'!Z$4="Logarithm",LN(0.001+IF(AND(ISNUMBER('Council Entry'!Z$8),ISNUMBER('Council Entry'!Z$9)),MAX(MIN('Council Entry'!Z176,'Council Entry'!Z$9),'Council Entry'!Z$8),'Council Entry'!Z176)),IF('Council Entry'!Z$4="Exponential",EXP(IF(AND(ISNUMBER('Council Entry'!Z$8),ISNUMBER('Council Entry'!Z$9)),MAX(MIN('Council Entry'!Z176,'Council Entry'!Z$9),'Council Entry'!Z$8),'Council Entry'!Z176)),IF(AND(ISNUMBER('Council Entry'!Z$8),ISNUMBER('Council Entry'!Z$9)),MAX(MIN('Council Entry'!Z176,'Council Entry'!Z$9),'Council Entry'!Z$8),'Council Entry'!Z176))))-'Council Entry'!Z$5)/('Council Entry'!Z$6-'Council Entry'!Z$5)),1))),"No data"))</f>
        <v/>
      </c>
      <c r="AA176" s="13">
        <f>IF('Council Entry'!AA176="","",IFERROR(MAX(0,MIN(10,ROUND(IF('Council Entry'!AA$7="Decrease Risk",10-10*((IF('Council Entry'!AA$4="Logarithm",LN(0.001+IF(AND(ISNUMBER('Council Entry'!AA$8),ISNUMBER('Council Entry'!AA$9)),MAX(MIN('Council Entry'!AA176,'Council Entry'!AA$9),'Council Entry'!AA$8),'Council Entry'!AA176)),IF('Council Entry'!AA$4="Exponential",EXP(IF(AND(ISNUMBER('Council Entry'!AA$8),ISNUMBER('Council Entry'!AA$9)),MAX(MIN('Council Entry'!AA176,'Council Entry'!AA$9),'Council Entry'!AA$8),'Council Entry'!AA176)),IF(AND(ISNUMBER('Council Entry'!AA$8),ISNUMBER('Council Entry'!AA$9)),MAX(MIN('Council Entry'!AA176,'Council Entry'!AA$9),'Council Entry'!AA$8),'Council Entry'!AA176))))-'Council Entry'!AA$5)/('Council Entry'!AA$6-'Council Entry'!AA$5),10*((IF('Council Entry'!AA$4="Logarithm",LN(0.001+IF(AND(ISNUMBER('Council Entry'!AA$8),ISNUMBER('Council Entry'!AA$9)),MAX(MIN('Council Entry'!AA176,'Council Entry'!AA$9),'Council Entry'!AA$8),'Council Entry'!AA176)),IF('Council Entry'!AA$4="Exponential",EXP(IF(AND(ISNUMBER('Council Entry'!AA$8),ISNUMBER('Council Entry'!AA$9)),MAX(MIN('Council Entry'!AA176,'Council Entry'!AA$9),'Council Entry'!AA$8),'Council Entry'!AA176)),IF(AND(ISNUMBER('Council Entry'!AA$8),ISNUMBER('Council Entry'!AA$9)),MAX(MIN('Council Entry'!AA176,'Council Entry'!AA$9),'Council Entry'!AA$8),'Council Entry'!AA176))))-'Council Entry'!AA$5)/('Council Entry'!AA$6-'Council Entry'!AA$5)),1))),"No data"))</f>
        <v/>
      </c>
      <c r="AB176" s="13">
        <f>IF('Council Entry'!AB176="","",IFERROR(MAX(0,MIN(10,ROUND(IF('Council Entry'!AB$7="Decrease Risk",10-10*((IF('Council Entry'!AB$4="Logarithm",LN(0.001+IF(AND(ISNUMBER('Council Entry'!AB$8),ISNUMBER('Council Entry'!AB$9)),MAX(MIN('Council Entry'!AB176,'Council Entry'!AB$9),'Council Entry'!AB$8),'Council Entry'!AB176)),IF('Council Entry'!AB$4="Exponential",EXP(IF(AND(ISNUMBER('Council Entry'!AB$8),ISNUMBER('Council Entry'!AB$9)),MAX(MIN('Council Entry'!AB176,'Council Entry'!AB$9),'Council Entry'!AB$8),'Council Entry'!AB176)),IF(AND(ISNUMBER('Council Entry'!AB$8),ISNUMBER('Council Entry'!AB$9)),MAX(MIN('Council Entry'!AB176,'Council Entry'!AB$9),'Council Entry'!AB$8),'Council Entry'!AB176))))-'Council Entry'!AB$5)/('Council Entry'!AB$6-'Council Entry'!AB$5),10*((IF('Council Entry'!AB$4="Logarithm",LN(0.001+IF(AND(ISNUMBER('Council Entry'!AB$8),ISNUMBER('Council Entry'!AB$9)),MAX(MIN('Council Entry'!AB176,'Council Entry'!AB$9),'Council Entry'!AB$8),'Council Entry'!AB176)),IF('Council Entry'!AB$4="Exponential",EXP(IF(AND(ISNUMBER('Council Entry'!AB$8),ISNUMBER('Council Entry'!AB$9)),MAX(MIN('Council Entry'!AB176,'Council Entry'!AB$9),'Council Entry'!AB$8),'Council Entry'!AB176)),IF(AND(ISNUMBER('Council Entry'!AB$8),ISNUMBER('Council Entry'!AB$9)),MAX(MIN('Council Entry'!AB176,'Council Entry'!AB$9),'Council Entry'!AB$8),'Council Entry'!AB176))))-'Council Entry'!AB$5)/('Council Entry'!AB$6-'Council Entry'!AB$5)),1))),"No data"))</f>
        <v/>
      </c>
      <c r="AC176" s="13">
        <f>IF('Council Entry'!AC176="","",IFERROR(MAX(0,MIN(10,ROUND(IF('Council Entry'!AC$7="Decrease Risk",10-10*((IF('Council Entry'!AC$4="Logarithm",LN(0.001+IF(AND(ISNUMBER('Council Entry'!AC$8),ISNUMBER('Council Entry'!AC$9)),MAX(MIN('Council Entry'!AC176,'Council Entry'!AC$9),'Council Entry'!AC$8),'Council Entry'!AC176)),IF('Council Entry'!AC$4="Exponential",EXP(IF(AND(ISNUMBER('Council Entry'!AC$8),ISNUMBER('Council Entry'!AC$9)),MAX(MIN('Council Entry'!AC176,'Council Entry'!AC$9),'Council Entry'!AC$8),'Council Entry'!AC176)),IF(AND(ISNUMBER('Council Entry'!AC$8),ISNUMBER('Council Entry'!AC$9)),MAX(MIN('Council Entry'!AC176,'Council Entry'!AC$9),'Council Entry'!AC$8),'Council Entry'!AC176))))-'Council Entry'!AC$5)/('Council Entry'!AC$6-'Council Entry'!AC$5),10*((IF('Council Entry'!AC$4="Logarithm",LN(0.001+IF(AND(ISNUMBER('Council Entry'!AC$8),ISNUMBER('Council Entry'!AC$9)),MAX(MIN('Council Entry'!AC176,'Council Entry'!AC$9),'Council Entry'!AC$8),'Council Entry'!AC176)),IF('Council Entry'!AC$4="Exponential",EXP(IF(AND(ISNUMBER('Council Entry'!AC$8),ISNUMBER('Council Entry'!AC$9)),MAX(MIN('Council Entry'!AC176,'Council Entry'!AC$9),'Council Entry'!AC$8),'Council Entry'!AC176)),IF(AND(ISNUMBER('Council Entry'!AC$8),ISNUMBER('Council Entry'!AC$9)),MAX(MIN('Council Entry'!AC176,'Council Entry'!AC$9),'Council Entry'!AC$8),'Council Entry'!AC176))))-'Council Entry'!AC$5)/('Council Entry'!AC$6-'Council Entry'!AC$5)),1))),"No data"))</f>
        <v/>
      </c>
      <c r="AD176" s="13">
        <f>IF('Council Entry'!AD176="","",IFERROR(MAX(0,MIN(10,ROUND(IF('Council Entry'!AD$7="Decrease Risk",10-10*((IF('Council Entry'!AD$4="Logarithm",LN(0.001+IF(AND(ISNUMBER('Council Entry'!AD$8),ISNUMBER('Council Entry'!AD$9)),MAX(MIN('Council Entry'!AD176,'Council Entry'!AD$9),'Council Entry'!AD$8),'Council Entry'!AD176)),IF('Council Entry'!AD$4="Exponential",EXP(IF(AND(ISNUMBER('Council Entry'!AD$8),ISNUMBER('Council Entry'!AD$9)),MAX(MIN('Council Entry'!AD176,'Council Entry'!AD$9),'Council Entry'!AD$8),'Council Entry'!AD176)),IF(AND(ISNUMBER('Council Entry'!AD$8),ISNUMBER('Council Entry'!AD$9)),MAX(MIN('Council Entry'!AD176,'Council Entry'!AD$9),'Council Entry'!AD$8),'Council Entry'!AD176))))-'Council Entry'!AD$5)/('Council Entry'!AD$6-'Council Entry'!AD$5),10*((IF('Council Entry'!AD$4="Logarithm",LN(0.001+IF(AND(ISNUMBER('Council Entry'!AD$8),ISNUMBER('Council Entry'!AD$9)),MAX(MIN('Council Entry'!AD176,'Council Entry'!AD$9),'Council Entry'!AD$8),'Council Entry'!AD176)),IF('Council Entry'!AD$4="Exponential",EXP(IF(AND(ISNUMBER('Council Entry'!AD$8),ISNUMBER('Council Entry'!AD$9)),MAX(MIN('Council Entry'!AD176,'Council Entry'!AD$9),'Council Entry'!AD$8),'Council Entry'!AD176)),IF(AND(ISNUMBER('Council Entry'!AD$8),ISNUMBER('Council Entry'!AD$9)),MAX(MIN('Council Entry'!AD176,'Council Entry'!AD$9),'Council Entry'!AD$8),'Council Entry'!AD176))))-'Council Entry'!AD$5)/('Council Entry'!AD$6-'Council Entry'!AD$5)),1))),"No data"))</f>
        <v/>
      </c>
      <c r="AE176" s="13">
        <f>IF('Council Entry'!AE176="","",IFERROR(MAX(0,MIN(10,ROUND(IF('Council Entry'!AE$7="Decrease Risk",10-10*((IF('Council Entry'!AE$4="Logarithm",LN(0.001+IF(AND(ISNUMBER('Council Entry'!AE$8),ISNUMBER('Council Entry'!AE$9)),MAX(MIN('Council Entry'!AE176,'Council Entry'!AE$9),'Council Entry'!AE$8),'Council Entry'!AE176)),IF('Council Entry'!AE$4="Exponential",EXP(IF(AND(ISNUMBER('Council Entry'!AE$8),ISNUMBER('Council Entry'!AE$9)),MAX(MIN('Council Entry'!AE176,'Council Entry'!AE$9),'Council Entry'!AE$8),'Council Entry'!AE176)),IF(AND(ISNUMBER('Council Entry'!AE$8),ISNUMBER('Council Entry'!AE$9)),MAX(MIN('Council Entry'!AE176,'Council Entry'!AE$9),'Council Entry'!AE$8),'Council Entry'!AE176))))-'Council Entry'!AE$5)/('Council Entry'!AE$6-'Council Entry'!AE$5),10*((IF('Council Entry'!AE$4="Logarithm",LN(0.001+IF(AND(ISNUMBER('Council Entry'!AE$8),ISNUMBER('Council Entry'!AE$9)),MAX(MIN('Council Entry'!AE176,'Council Entry'!AE$9),'Council Entry'!AE$8),'Council Entry'!AE176)),IF('Council Entry'!AE$4="Exponential",EXP(IF(AND(ISNUMBER('Council Entry'!AE$8),ISNUMBER('Council Entry'!AE$9)),MAX(MIN('Council Entry'!AE176,'Council Entry'!AE$9),'Council Entry'!AE$8),'Council Entry'!AE176)),IF(AND(ISNUMBER('Council Entry'!AE$8),ISNUMBER('Council Entry'!AE$9)),MAX(MIN('Council Entry'!AE176,'Council Entry'!AE$9),'Council Entry'!AE$8),'Council Entry'!AE176))))-'Council Entry'!AE$5)/('Council Entry'!AE$6-'Council Entry'!AE$5)),1))),"No data"))</f>
        <v/>
      </c>
      <c r="AF176" s="13">
        <f>IF('Council Entry'!AF176="","",IFERROR(MAX(0,MIN(10,ROUND(IF('Council Entry'!AF$7="Decrease Risk",10-10*((IF('Council Entry'!AF$4="Logarithm",LN(0.001+IF(AND(ISNUMBER('Council Entry'!AF$8),ISNUMBER('Council Entry'!AF$9)),MAX(MIN('Council Entry'!AF176,'Council Entry'!AF$9),'Council Entry'!AF$8),'Council Entry'!AF176)),IF('Council Entry'!AF$4="Exponential",EXP(IF(AND(ISNUMBER('Council Entry'!AF$8),ISNUMBER('Council Entry'!AF$9)),MAX(MIN('Council Entry'!AF176,'Council Entry'!AF$9),'Council Entry'!AF$8),'Council Entry'!AF176)),IF(AND(ISNUMBER('Council Entry'!AF$8),ISNUMBER('Council Entry'!AF$9)),MAX(MIN('Council Entry'!AF176,'Council Entry'!AF$9),'Council Entry'!AF$8),'Council Entry'!AF176))))-'Council Entry'!AF$5)/('Council Entry'!AF$6-'Council Entry'!AF$5),10*((IF('Council Entry'!AF$4="Logarithm",LN(0.001+IF(AND(ISNUMBER('Council Entry'!AF$8),ISNUMBER('Council Entry'!AF$9)),MAX(MIN('Council Entry'!AF176,'Council Entry'!AF$9),'Council Entry'!AF$8),'Council Entry'!AF176)),IF('Council Entry'!AF$4="Exponential",EXP(IF(AND(ISNUMBER('Council Entry'!AF$8),ISNUMBER('Council Entry'!AF$9)),MAX(MIN('Council Entry'!AF176,'Council Entry'!AF$9),'Council Entry'!AF$8),'Council Entry'!AF176)),IF(AND(ISNUMBER('Council Entry'!AF$8),ISNUMBER('Council Entry'!AF$9)),MAX(MIN('Council Entry'!AF176,'Council Entry'!AF$9),'Council Entry'!AF$8),'Council Entry'!AF176))))-'Council Entry'!AF$5)/('Council Entry'!AF$6-'Council Entry'!AF$5)),1))),"No data"))</f>
        <v/>
      </c>
      <c r="AG176" s="13">
        <f>IF('Council Entry'!AG176="","",IFERROR(MAX(0,MIN(10,ROUND(IF('Council Entry'!AG$7="Decrease Risk",10-10*((IF('Council Entry'!AG$4="Logarithm",LN(0.001+IF(AND(ISNUMBER('Council Entry'!AG$8),ISNUMBER('Council Entry'!AG$9)),MAX(MIN('Council Entry'!AG176,'Council Entry'!AG$9),'Council Entry'!AG$8),'Council Entry'!AG176)),IF('Council Entry'!AG$4="Exponential",EXP(IF(AND(ISNUMBER('Council Entry'!AG$8),ISNUMBER('Council Entry'!AG$9)),MAX(MIN('Council Entry'!AG176,'Council Entry'!AG$9),'Council Entry'!AG$8),'Council Entry'!AG176)),IF(AND(ISNUMBER('Council Entry'!AG$8),ISNUMBER('Council Entry'!AG$9)),MAX(MIN('Council Entry'!AG176,'Council Entry'!AG$9),'Council Entry'!AG$8),'Council Entry'!AG176))))-'Council Entry'!AG$5)/('Council Entry'!AG$6-'Council Entry'!AG$5),10*((IF('Council Entry'!AG$4="Logarithm",LN(0.001+IF(AND(ISNUMBER('Council Entry'!AG$8),ISNUMBER('Council Entry'!AG$9)),MAX(MIN('Council Entry'!AG176,'Council Entry'!AG$9),'Council Entry'!AG$8),'Council Entry'!AG176)),IF('Council Entry'!AG$4="Exponential",EXP(IF(AND(ISNUMBER('Council Entry'!AG$8),ISNUMBER('Council Entry'!AG$9)),MAX(MIN('Council Entry'!AG176,'Council Entry'!AG$9),'Council Entry'!AG$8),'Council Entry'!AG176)),IF(AND(ISNUMBER('Council Entry'!AG$8),ISNUMBER('Council Entry'!AG$9)),MAX(MIN('Council Entry'!AG176,'Council Entry'!AG$9),'Council Entry'!AG$8),'Council Entry'!AG176))))-'Council Entry'!AG$5)/('Council Entry'!AG$6-'Council Entry'!AG$5)),1))),"No data"))</f>
        <v/>
      </c>
      <c r="AH176" s="13">
        <f>IF('Council Entry'!AH176="","",IFERROR(MAX(0,MIN(10,ROUND(IF('Council Entry'!AH$7="Decrease Risk",10-10*((IF('Council Entry'!AH$4="Logarithm",LN(0.001+IF(AND(ISNUMBER('Council Entry'!AH$8),ISNUMBER('Council Entry'!AH$9)),MAX(MIN('Council Entry'!AH176,'Council Entry'!AH$9),'Council Entry'!AH$8),'Council Entry'!AH176)),IF('Council Entry'!AH$4="Exponential",EXP(IF(AND(ISNUMBER('Council Entry'!AH$8),ISNUMBER('Council Entry'!AH$9)),MAX(MIN('Council Entry'!AH176,'Council Entry'!AH$9),'Council Entry'!AH$8),'Council Entry'!AH176)),IF(AND(ISNUMBER('Council Entry'!AH$8),ISNUMBER('Council Entry'!AH$9)),MAX(MIN('Council Entry'!AH176,'Council Entry'!AH$9),'Council Entry'!AH$8),'Council Entry'!AH176))))-'Council Entry'!AH$5)/('Council Entry'!AH$6-'Council Entry'!AH$5),10*((IF('Council Entry'!AH$4="Logarithm",LN(0.001+IF(AND(ISNUMBER('Council Entry'!AH$8),ISNUMBER('Council Entry'!AH$9)),MAX(MIN('Council Entry'!AH176,'Council Entry'!AH$9),'Council Entry'!AH$8),'Council Entry'!AH176)),IF('Council Entry'!AH$4="Exponential",EXP(IF(AND(ISNUMBER('Council Entry'!AH$8),ISNUMBER('Council Entry'!AH$9)),MAX(MIN('Council Entry'!AH176,'Council Entry'!AH$9),'Council Entry'!AH$8),'Council Entry'!AH176)),IF(AND(ISNUMBER('Council Entry'!AH$8),ISNUMBER('Council Entry'!AH$9)),MAX(MIN('Council Entry'!AH176,'Council Entry'!AH$9),'Council Entry'!AH$8),'Council Entry'!AH176))))-'Council Entry'!AH$5)/('Council Entry'!AH$6-'Council Entry'!AH$5)),1))),"No data"))</f>
        <v/>
      </c>
      <c r="AI176" s="13">
        <f>IF('Council Entry'!AI176="","",IFERROR(MAX(0,MIN(10,ROUND(IF('Council Entry'!AI$7="Decrease Risk",10-10*((IF('Council Entry'!AI$4="Logarithm",LN(0.001+IF(AND(ISNUMBER('Council Entry'!AI$8),ISNUMBER('Council Entry'!AI$9)),MAX(MIN('Council Entry'!AI176,'Council Entry'!AI$9),'Council Entry'!AI$8),'Council Entry'!AI176)),IF('Council Entry'!AI$4="Exponential",EXP(IF(AND(ISNUMBER('Council Entry'!AI$8),ISNUMBER('Council Entry'!AI$9)),MAX(MIN('Council Entry'!AI176,'Council Entry'!AI$9),'Council Entry'!AI$8),'Council Entry'!AI176)),IF(AND(ISNUMBER('Council Entry'!AI$8),ISNUMBER('Council Entry'!AI$9)),MAX(MIN('Council Entry'!AI176,'Council Entry'!AI$9),'Council Entry'!AI$8),'Council Entry'!AI176))))-'Council Entry'!AI$5)/('Council Entry'!AI$6-'Council Entry'!AI$5),10*((IF('Council Entry'!AI$4="Logarithm",LN(0.001+IF(AND(ISNUMBER('Council Entry'!AI$8),ISNUMBER('Council Entry'!AI$9)),MAX(MIN('Council Entry'!AI176,'Council Entry'!AI$9),'Council Entry'!AI$8),'Council Entry'!AI176)),IF('Council Entry'!AI$4="Exponential",EXP(IF(AND(ISNUMBER('Council Entry'!AI$8),ISNUMBER('Council Entry'!AI$9)),MAX(MIN('Council Entry'!AI176,'Council Entry'!AI$9),'Council Entry'!AI$8),'Council Entry'!AI176)),IF(AND(ISNUMBER('Council Entry'!AI$8),ISNUMBER('Council Entry'!AI$9)),MAX(MIN('Council Entry'!AI176,'Council Entry'!AI$9),'Council Entry'!AI$8),'Council Entry'!AI176))))-'Council Entry'!AI$5)/('Council Entry'!AI$6-'Council Entry'!AI$5)),1))),"No data"))</f>
        <v/>
      </c>
      <c r="AJ176" s="13">
        <f>IF('Council Entry'!AJ176="","",IFERROR(MAX(0,MIN(10,ROUND(IF('Council Entry'!AJ$7="Decrease Risk",10-10*((IF('Council Entry'!AJ$4="Logarithm",LN(0.001+IF(AND(ISNUMBER('Council Entry'!AJ$8),ISNUMBER('Council Entry'!AJ$9)),MAX(MIN('Council Entry'!AJ176,'Council Entry'!AJ$9),'Council Entry'!AJ$8),'Council Entry'!AJ176)),IF('Council Entry'!AJ$4="Exponential",EXP(IF(AND(ISNUMBER('Council Entry'!AJ$8),ISNUMBER('Council Entry'!AJ$9)),MAX(MIN('Council Entry'!AJ176,'Council Entry'!AJ$9),'Council Entry'!AJ$8),'Council Entry'!AJ176)),IF(AND(ISNUMBER('Council Entry'!AJ$8),ISNUMBER('Council Entry'!AJ$9)),MAX(MIN('Council Entry'!AJ176,'Council Entry'!AJ$9),'Council Entry'!AJ$8),'Council Entry'!AJ176))))-'Council Entry'!AJ$5)/('Council Entry'!AJ$6-'Council Entry'!AJ$5),10*((IF('Council Entry'!AJ$4="Logarithm",LN(0.001+IF(AND(ISNUMBER('Council Entry'!AJ$8),ISNUMBER('Council Entry'!AJ$9)),MAX(MIN('Council Entry'!AJ176,'Council Entry'!AJ$9),'Council Entry'!AJ$8),'Council Entry'!AJ176)),IF('Council Entry'!AJ$4="Exponential",EXP(IF(AND(ISNUMBER('Council Entry'!AJ$8),ISNUMBER('Council Entry'!AJ$9)),MAX(MIN('Council Entry'!AJ176,'Council Entry'!AJ$9),'Council Entry'!AJ$8),'Council Entry'!AJ176)),IF(AND(ISNUMBER('Council Entry'!AJ$8),ISNUMBER('Council Entry'!AJ$9)),MAX(MIN('Council Entry'!AJ176,'Council Entry'!AJ$9),'Council Entry'!AJ$8),'Council Entry'!AJ176))))-'Council Entry'!AJ$5)/('Council Entry'!AJ$6-'Council Entry'!AJ$5)),1))),"No data"))</f>
        <v/>
      </c>
      <c r="AK176" s="13">
        <f>IF('Council Entry'!AK176="","",IFERROR(MAX(0,MIN(10,ROUND(IF('Council Entry'!AK$7="Decrease Risk",10-10*((IF('Council Entry'!AK$4="Logarithm",LN(0.001+IF(AND(ISNUMBER('Council Entry'!AK$8),ISNUMBER('Council Entry'!AK$9)),MAX(MIN('Council Entry'!AK176,'Council Entry'!AK$9),'Council Entry'!AK$8),'Council Entry'!AK176)),IF('Council Entry'!AK$4="Exponential",EXP(IF(AND(ISNUMBER('Council Entry'!AK$8),ISNUMBER('Council Entry'!AK$9)),MAX(MIN('Council Entry'!AK176,'Council Entry'!AK$9),'Council Entry'!AK$8),'Council Entry'!AK176)),IF(AND(ISNUMBER('Council Entry'!AK$8),ISNUMBER('Council Entry'!AK$9)),MAX(MIN('Council Entry'!AK176,'Council Entry'!AK$9),'Council Entry'!AK$8),'Council Entry'!AK176))))-'Council Entry'!AK$5)/('Council Entry'!AK$6-'Council Entry'!AK$5),10*((IF('Council Entry'!AK$4="Logarithm",LN(0.001+IF(AND(ISNUMBER('Council Entry'!AK$8),ISNUMBER('Council Entry'!AK$9)),MAX(MIN('Council Entry'!AK176,'Council Entry'!AK$9),'Council Entry'!AK$8),'Council Entry'!AK176)),IF('Council Entry'!AK$4="Exponential",EXP(IF(AND(ISNUMBER('Council Entry'!AK$8),ISNUMBER('Council Entry'!AK$9)),MAX(MIN('Council Entry'!AK176,'Council Entry'!AK$9),'Council Entry'!AK$8),'Council Entry'!AK176)),IF(AND(ISNUMBER('Council Entry'!AK$8),ISNUMBER('Council Entry'!AK$9)),MAX(MIN('Council Entry'!AK176,'Council Entry'!AK$9),'Council Entry'!AK$8),'Council Entry'!AK176))))-'Council Entry'!AK$5)/('Council Entry'!AK$6-'Council Entry'!AK$5)),1))),"No data"))</f>
        <v/>
      </c>
      <c r="AL176" s="13">
        <f>IF('Council Entry'!AL176="","",IFERROR(MAX(0,MIN(10,ROUND(IF('Council Entry'!AL$7="Decrease Risk",10-10*((IF('Council Entry'!AL$4="Logarithm",LN(0.001+IF(AND(ISNUMBER('Council Entry'!AL$8),ISNUMBER('Council Entry'!AL$9)),MAX(MIN('Council Entry'!AL176,'Council Entry'!AL$9),'Council Entry'!AL$8),'Council Entry'!AL176)),IF('Council Entry'!AL$4="Exponential",EXP(IF(AND(ISNUMBER('Council Entry'!AL$8),ISNUMBER('Council Entry'!AL$9)),MAX(MIN('Council Entry'!AL176,'Council Entry'!AL$9),'Council Entry'!AL$8),'Council Entry'!AL176)),IF(AND(ISNUMBER('Council Entry'!AL$8),ISNUMBER('Council Entry'!AL$9)),MAX(MIN('Council Entry'!AL176,'Council Entry'!AL$9),'Council Entry'!AL$8),'Council Entry'!AL176))))-'Council Entry'!AL$5)/('Council Entry'!AL$6-'Council Entry'!AL$5),10*((IF('Council Entry'!AL$4="Logarithm",LN(0.001+IF(AND(ISNUMBER('Council Entry'!AL$8),ISNUMBER('Council Entry'!AL$9)),MAX(MIN('Council Entry'!AL176,'Council Entry'!AL$9),'Council Entry'!AL$8),'Council Entry'!AL176)),IF('Council Entry'!AL$4="Exponential",EXP(IF(AND(ISNUMBER('Council Entry'!AL$8),ISNUMBER('Council Entry'!AL$9)),MAX(MIN('Council Entry'!AL176,'Council Entry'!AL$9),'Council Entry'!AL$8),'Council Entry'!AL176)),IF(AND(ISNUMBER('Council Entry'!AL$8),ISNUMBER('Council Entry'!AL$9)),MAX(MIN('Council Entry'!AL176,'Council Entry'!AL$9),'Council Entry'!AL$8),'Council Entry'!AL176))))-'Council Entry'!AL$5)/('Council Entry'!AL$6-'Council Entry'!AL$5)),1))),"No data"))</f>
        <v/>
      </c>
      <c r="AM176" s="13">
        <f>IF('Council Entry'!AM176="","",IFERROR(MAX(0,MIN(10,ROUND(IF('Council Entry'!AM$7="Decrease Risk",10-10*((IF('Council Entry'!AM$4="Logarithm",LN(0.001+IF(AND(ISNUMBER('Council Entry'!AM$8),ISNUMBER('Council Entry'!AM$9)),MAX(MIN('Council Entry'!AM176,'Council Entry'!AM$9),'Council Entry'!AM$8),'Council Entry'!AM176)),IF('Council Entry'!AM$4="Exponential",EXP(IF(AND(ISNUMBER('Council Entry'!AM$8),ISNUMBER('Council Entry'!AM$9)),MAX(MIN('Council Entry'!AM176,'Council Entry'!AM$9),'Council Entry'!AM$8),'Council Entry'!AM176)),IF(AND(ISNUMBER('Council Entry'!AM$8),ISNUMBER('Council Entry'!AM$9)),MAX(MIN('Council Entry'!AM176,'Council Entry'!AM$9),'Council Entry'!AM$8),'Council Entry'!AM176))))-'Council Entry'!AM$5)/('Council Entry'!AM$6-'Council Entry'!AM$5),10*((IF('Council Entry'!AM$4="Logarithm",LN(0.001+IF(AND(ISNUMBER('Council Entry'!AM$8),ISNUMBER('Council Entry'!AM$9)),MAX(MIN('Council Entry'!AM176,'Council Entry'!AM$9),'Council Entry'!AM$8),'Council Entry'!AM176)),IF('Council Entry'!AM$4="Exponential",EXP(IF(AND(ISNUMBER('Council Entry'!AM$8),ISNUMBER('Council Entry'!AM$9)),MAX(MIN('Council Entry'!AM176,'Council Entry'!AM$9),'Council Entry'!AM$8),'Council Entry'!AM176)),IF(AND(ISNUMBER('Council Entry'!AM$8),ISNUMBER('Council Entry'!AM$9)),MAX(MIN('Council Entry'!AM176,'Council Entry'!AM$9),'Council Entry'!AM$8),'Council Entry'!AM176))))-'Council Entry'!AM$5)/('Council Entry'!AM$6-'Council Entry'!AM$5)),1))),"No data"))</f>
        <v/>
      </c>
      <c r="AN176" s="13">
        <f>IF('Council Entry'!AN176="","",IFERROR(MAX(0,MIN(10,ROUND(IF('Council Entry'!AN$7="Decrease Risk",10-10*((IF('Council Entry'!AN$4="Logarithm",LN(0.001+IF(AND(ISNUMBER('Council Entry'!AN$8),ISNUMBER('Council Entry'!AN$9)),MAX(MIN('Council Entry'!AN176,'Council Entry'!AN$9),'Council Entry'!AN$8),'Council Entry'!AN176)),IF('Council Entry'!AN$4="Exponential",EXP(IF(AND(ISNUMBER('Council Entry'!AN$8),ISNUMBER('Council Entry'!AN$9)),MAX(MIN('Council Entry'!AN176,'Council Entry'!AN$9),'Council Entry'!AN$8),'Council Entry'!AN176)),IF(AND(ISNUMBER('Council Entry'!AN$8),ISNUMBER('Council Entry'!AN$9)),MAX(MIN('Council Entry'!AN176,'Council Entry'!AN$9),'Council Entry'!AN$8),'Council Entry'!AN176))))-'Council Entry'!AN$5)/('Council Entry'!AN$6-'Council Entry'!AN$5),10*((IF('Council Entry'!AN$4="Logarithm",LN(0.001+IF(AND(ISNUMBER('Council Entry'!AN$8),ISNUMBER('Council Entry'!AN$9)),MAX(MIN('Council Entry'!AN176,'Council Entry'!AN$9),'Council Entry'!AN$8),'Council Entry'!AN176)),IF('Council Entry'!AN$4="Exponential",EXP(IF(AND(ISNUMBER('Council Entry'!AN$8),ISNUMBER('Council Entry'!AN$9)),MAX(MIN('Council Entry'!AN176,'Council Entry'!AN$9),'Council Entry'!AN$8),'Council Entry'!AN176)),IF(AND(ISNUMBER('Council Entry'!AN$8),ISNUMBER('Council Entry'!AN$9)),MAX(MIN('Council Entry'!AN176,'Council Entry'!AN$9),'Council Entry'!AN$8),'Council Entry'!AN176))))-'Council Entry'!AN$5)/('Council Entry'!AN$6-'Council Entry'!AN$5)),1))),"No data"))</f>
        <v/>
      </c>
      <c r="AO176" s="13">
        <f>IF('Council Entry'!AO176="","",IFERROR(MAX(0,MIN(10,ROUND(IF('Council Entry'!AO$7="Decrease Risk",10-10*((IF('Council Entry'!AO$4="Logarithm",LN(0.001+IF(AND(ISNUMBER('Council Entry'!AO$8),ISNUMBER('Council Entry'!AO$9)),MAX(MIN('Council Entry'!AO176,'Council Entry'!AO$9),'Council Entry'!AO$8),'Council Entry'!AO176)),IF('Council Entry'!AO$4="Exponential",EXP(IF(AND(ISNUMBER('Council Entry'!AO$8),ISNUMBER('Council Entry'!AO$9)),MAX(MIN('Council Entry'!AO176,'Council Entry'!AO$9),'Council Entry'!AO$8),'Council Entry'!AO176)),IF(AND(ISNUMBER('Council Entry'!AO$8),ISNUMBER('Council Entry'!AO$9)),MAX(MIN('Council Entry'!AO176,'Council Entry'!AO$9),'Council Entry'!AO$8),'Council Entry'!AO176))))-'Council Entry'!AO$5)/('Council Entry'!AO$6-'Council Entry'!AO$5),10*((IF('Council Entry'!AO$4="Logarithm",LN(0.001+IF(AND(ISNUMBER('Council Entry'!AO$8),ISNUMBER('Council Entry'!AO$9)),MAX(MIN('Council Entry'!AO176,'Council Entry'!AO$9),'Council Entry'!AO$8),'Council Entry'!AO176)),IF('Council Entry'!AO$4="Exponential",EXP(IF(AND(ISNUMBER('Council Entry'!AO$8),ISNUMBER('Council Entry'!AO$9)),MAX(MIN('Council Entry'!AO176,'Council Entry'!AO$9),'Council Entry'!AO$8),'Council Entry'!AO176)),IF(AND(ISNUMBER('Council Entry'!AO$8),ISNUMBER('Council Entry'!AO$9)),MAX(MIN('Council Entry'!AO176,'Council Entry'!AO$9),'Council Entry'!AO$8),'Council Entry'!AO176))))-'Council Entry'!AO$5)/('Council Entry'!AO$6-'Council Entry'!AO$5)),1))),"No data"))</f>
        <v/>
      </c>
      <c r="AP176" s="13">
        <f>IF('Council Entry'!AP176="","",IFERROR(MAX(0,MIN(10,ROUND(IF('Council Entry'!AP$7="Decrease Risk",10-10*((IF('Council Entry'!AP$4="Logarithm",LN(0.001+IF(AND(ISNUMBER('Council Entry'!AP$8),ISNUMBER('Council Entry'!AP$9)),MAX(MIN('Council Entry'!AP176,'Council Entry'!AP$9),'Council Entry'!AP$8),'Council Entry'!AP176)),IF('Council Entry'!AP$4="Exponential",EXP(IF(AND(ISNUMBER('Council Entry'!AP$8),ISNUMBER('Council Entry'!AP$9)),MAX(MIN('Council Entry'!AP176,'Council Entry'!AP$9),'Council Entry'!AP$8),'Council Entry'!AP176)),IF(AND(ISNUMBER('Council Entry'!AP$8),ISNUMBER('Council Entry'!AP$9)),MAX(MIN('Council Entry'!AP176,'Council Entry'!AP$9),'Council Entry'!AP$8),'Council Entry'!AP176))))-'Council Entry'!AP$5)/('Council Entry'!AP$6-'Council Entry'!AP$5),10*((IF('Council Entry'!AP$4="Logarithm",LN(0.001+IF(AND(ISNUMBER('Council Entry'!AP$8),ISNUMBER('Council Entry'!AP$9)),MAX(MIN('Council Entry'!AP176,'Council Entry'!AP$9),'Council Entry'!AP$8),'Council Entry'!AP176)),IF('Council Entry'!AP$4="Exponential",EXP(IF(AND(ISNUMBER('Council Entry'!AP$8),ISNUMBER('Council Entry'!AP$9)),MAX(MIN('Council Entry'!AP176,'Council Entry'!AP$9),'Council Entry'!AP$8),'Council Entry'!AP176)),IF(AND(ISNUMBER('Council Entry'!AP$8),ISNUMBER('Council Entry'!AP$9)),MAX(MIN('Council Entry'!AP176,'Council Entry'!AP$9),'Council Entry'!AP$8),'Council Entry'!AP176))))-'Council Entry'!AP$5)/('Council Entry'!AP$6-'Council Entry'!AP$5)),1))),"No data"))</f>
        <v/>
      </c>
      <c r="AQ176" s="13">
        <f>IF('Council Entry'!AQ176="","",IFERROR(MAX(0,MIN(10,ROUND(IF('Council Entry'!AQ$7="Decrease Risk",10-10*((IF('Council Entry'!AQ$4="Logarithm",LN(0.001+IF(AND(ISNUMBER('Council Entry'!AQ$8),ISNUMBER('Council Entry'!AQ$9)),MAX(MIN('Council Entry'!AQ176,'Council Entry'!AQ$9),'Council Entry'!AQ$8),'Council Entry'!AQ176)),IF('Council Entry'!AQ$4="Exponential",EXP(IF(AND(ISNUMBER('Council Entry'!AQ$8),ISNUMBER('Council Entry'!AQ$9)),MAX(MIN('Council Entry'!AQ176,'Council Entry'!AQ$9),'Council Entry'!AQ$8),'Council Entry'!AQ176)),IF(AND(ISNUMBER('Council Entry'!AQ$8),ISNUMBER('Council Entry'!AQ$9)),MAX(MIN('Council Entry'!AQ176,'Council Entry'!AQ$9),'Council Entry'!AQ$8),'Council Entry'!AQ176))))-'Council Entry'!AQ$5)/('Council Entry'!AQ$6-'Council Entry'!AQ$5),10*((IF('Council Entry'!AQ$4="Logarithm",LN(0.001+IF(AND(ISNUMBER('Council Entry'!AQ$8),ISNUMBER('Council Entry'!AQ$9)),MAX(MIN('Council Entry'!AQ176,'Council Entry'!AQ$9),'Council Entry'!AQ$8),'Council Entry'!AQ176)),IF('Council Entry'!AQ$4="Exponential",EXP(IF(AND(ISNUMBER('Council Entry'!AQ$8),ISNUMBER('Council Entry'!AQ$9)),MAX(MIN('Council Entry'!AQ176,'Council Entry'!AQ$9),'Council Entry'!AQ$8),'Council Entry'!AQ176)),IF(AND(ISNUMBER('Council Entry'!AQ$8),ISNUMBER('Council Entry'!AQ$9)),MAX(MIN('Council Entry'!AQ176,'Council Entry'!AQ$9),'Council Entry'!AQ$8),'Council Entry'!AQ176))))-'Council Entry'!AQ$5)/('Council Entry'!AQ$6-'Council Entry'!AQ$5)),1))),"No data"))</f>
        <v/>
      </c>
      <c r="AR176" s="13">
        <f>IF('Council Entry'!AR176="","",IFERROR(MAX(0,MIN(10,ROUND(IF('Council Entry'!AR$7="Decrease Risk",10-10*((IF('Council Entry'!AR$4="Logarithm",LN(0.001+IF(AND(ISNUMBER('Council Entry'!AR$8),ISNUMBER('Council Entry'!AR$9)),MAX(MIN('Council Entry'!AR176,'Council Entry'!AR$9),'Council Entry'!AR$8),'Council Entry'!AR176)),IF('Council Entry'!AR$4="Exponential",EXP(IF(AND(ISNUMBER('Council Entry'!AR$8),ISNUMBER('Council Entry'!AR$9)),MAX(MIN('Council Entry'!AR176,'Council Entry'!AR$9),'Council Entry'!AR$8),'Council Entry'!AR176)),IF(AND(ISNUMBER('Council Entry'!AR$8),ISNUMBER('Council Entry'!AR$9)),MAX(MIN('Council Entry'!AR176,'Council Entry'!AR$9),'Council Entry'!AR$8),'Council Entry'!AR176))))-'Council Entry'!AR$5)/('Council Entry'!AR$6-'Council Entry'!AR$5),10*((IF('Council Entry'!AR$4="Logarithm",LN(0.001+IF(AND(ISNUMBER('Council Entry'!AR$8),ISNUMBER('Council Entry'!AR$9)),MAX(MIN('Council Entry'!AR176,'Council Entry'!AR$9),'Council Entry'!AR$8),'Council Entry'!AR176)),IF('Council Entry'!AR$4="Exponential",EXP(IF(AND(ISNUMBER('Council Entry'!AR$8),ISNUMBER('Council Entry'!AR$9)),MAX(MIN('Council Entry'!AR176,'Council Entry'!AR$9),'Council Entry'!AR$8),'Council Entry'!AR176)),IF(AND(ISNUMBER('Council Entry'!AR$8),ISNUMBER('Council Entry'!AR$9)),MAX(MIN('Council Entry'!AR176,'Council Entry'!AR$9),'Council Entry'!AR$8),'Council Entry'!AR176))))-'Council Entry'!AR$5)/('Council Entry'!AR$6-'Council Entry'!AR$5)),1))),"No data"))</f>
        <v/>
      </c>
      <c r="AS176" s="13">
        <f>IF('Council Entry'!AS176="","",IFERROR(MAX(0,MIN(10,ROUND(IF('Council Entry'!AS$7="Decrease Risk",10-10*((IF('Council Entry'!AS$4="Logarithm",LN(0.001+IF(AND(ISNUMBER('Council Entry'!AS$8),ISNUMBER('Council Entry'!AS$9)),MAX(MIN('Council Entry'!AS176,'Council Entry'!AS$9),'Council Entry'!AS$8),'Council Entry'!AS176)),IF('Council Entry'!AS$4="Exponential",EXP(IF(AND(ISNUMBER('Council Entry'!AS$8),ISNUMBER('Council Entry'!AS$9)),MAX(MIN('Council Entry'!AS176,'Council Entry'!AS$9),'Council Entry'!AS$8),'Council Entry'!AS176)),IF(AND(ISNUMBER('Council Entry'!AS$8),ISNUMBER('Council Entry'!AS$9)),MAX(MIN('Council Entry'!AS176,'Council Entry'!AS$9),'Council Entry'!AS$8),'Council Entry'!AS176))))-'Council Entry'!AS$5)/('Council Entry'!AS$6-'Council Entry'!AS$5),10*((IF('Council Entry'!AS$4="Logarithm",LN(0.001+IF(AND(ISNUMBER('Council Entry'!AS$8),ISNUMBER('Council Entry'!AS$9)),MAX(MIN('Council Entry'!AS176,'Council Entry'!AS$9),'Council Entry'!AS$8),'Council Entry'!AS176)),IF('Council Entry'!AS$4="Exponential",EXP(IF(AND(ISNUMBER('Council Entry'!AS$8),ISNUMBER('Council Entry'!AS$9)),MAX(MIN('Council Entry'!AS176,'Council Entry'!AS$9),'Council Entry'!AS$8),'Council Entry'!AS176)),IF(AND(ISNUMBER('Council Entry'!AS$8),ISNUMBER('Council Entry'!AS$9)),MAX(MIN('Council Entry'!AS176,'Council Entry'!AS$9),'Council Entry'!AS$8),'Council Entry'!AS176))))-'Council Entry'!AS$5)/('Council Entry'!AS$6-'Council Entry'!AS$5)),1))),"No data"))</f>
        <v/>
      </c>
      <c r="AT176" s="13">
        <f>IF('Council Entry'!AT176="","",IFERROR(MAX(0,MIN(10,ROUND(IF('Council Entry'!AT$7="Decrease Risk",10-10*((IF('Council Entry'!AT$4="Logarithm",LN(0.001+IF(AND(ISNUMBER('Council Entry'!AT$8),ISNUMBER('Council Entry'!AT$9)),MAX(MIN('Council Entry'!AT176,'Council Entry'!AT$9),'Council Entry'!AT$8),'Council Entry'!AT176)),IF('Council Entry'!AT$4="Exponential",EXP(IF(AND(ISNUMBER('Council Entry'!AT$8),ISNUMBER('Council Entry'!AT$9)),MAX(MIN('Council Entry'!AT176,'Council Entry'!AT$9),'Council Entry'!AT$8),'Council Entry'!AT176)),IF(AND(ISNUMBER('Council Entry'!AT$8),ISNUMBER('Council Entry'!AT$9)),MAX(MIN('Council Entry'!AT176,'Council Entry'!AT$9),'Council Entry'!AT$8),'Council Entry'!AT176))))-'Council Entry'!AT$5)/('Council Entry'!AT$6-'Council Entry'!AT$5),10*((IF('Council Entry'!AT$4="Logarithm",LN(0.001+IF(AND(ISNUMBER('Council Entry'!AT$8),ISNUMBER('Council Entry'!AT$9)),MAX(MIN('Council Entry'!AT176,'Council Entry'!AT$9),'Council Entry'!AT$8),'Council Entry'!AT176)),IF('Council Entry'!AT$4="Exponential",EXP(IF(AND(ISNUMBER('Council Entry'!AT$8),ISNUMBER('Council Entry'!AT$9)),MAX(MIN('Council Entry'!AT176,'Council Entry'!AT$9),'Council Entry'!AT$8),'Council Entry'!AT176)),IF(AND(ISNUMBER('Council Entry'!AT$8),ISNUMBER('Council Entry'!AT$9)),MAX(MIN('Council Entry'!AT176,'Council Entry'!AT$9),'Council Entry'!AT$8),'Council Entry'!AT176))))-'Council Entry'!AT$5)/('Council Entry'!AT$6-'Council Entry'!AT$5)),1))),"No data"))</f>
        <v/>
      </c>
      <c r="AU176" s="13">
        <f>IF('Council Entry'!AU176="","",IFERROR(MAX(0,MIN(10,ROUND(IF('Council Entry'!AU$7="Decrease Risk",10-10*((IF('Council Entry'!AU$4="Logarithm",LN(0.001+IF(AND(ISNUMBER('Council Entry'!AU$8),ISNUMBER('Council Entry'!AU$9)),MAX(MIN('Council Entry'!AU176,'Council Entry'!AU$9),'Council Entry'!AU$8),'Council Entry'!AU176)),IF('Council Entry'!AU$4="Exponential",EXP(IF(AND(ISNUMBER('Council Entry'!AU$8),ISNUMBER('Council Entry'!AU$9)),MAX(MIN('Council Entry'!AU176,'Council Entry'!AU$9),'Council Entry'!AU$8),'Council Entry'!AU176)),IF(AND(ISNUMBER('Council Entry'!AU$8),ISNUMBER('Council Entry'!AU$9)),MAX(MIN('Council Entry'!AU176,'Council Entry'!AU$9),'Council Entry'!AU$8),'Council Entry'!AU176))))-'Council Entry'!AU$5)/('Council Entry'!AU$6-'Council Entry'!AU$5),10*((IF('Council Entry'!AU$4="Logarithm",LN(0.001+IF(AND(ISNUMBER('Council Entry'!AU$8),ISNUMBER('Council Entry'!AU$9)),MAX(MIN('Council Entry'!AU176,'Council Entry'!AU$9),'Council Entry'!AU$8),'Council Entry'!AU176)),IF('Council Entry'!AU$4="Exponential",EXP(IF(AND(ISNUMBER('Council Entry'!AU$8),ISNUMBER('Council Entry'!AU$9)),MAX(MIN('Council Entry'!AU176,'Council Entry'!AU$9),'Council Entry'!AU$8),'Council Entry'!AU176)),IF(AND(ISNUMBER('Council Entry'!AU$8),ISNUMBER('Council Entry'!AU$9)),MAX(MIN('Council Entry'!AU176,'Council Entry'!AU$9),'Council Entry'!AU$8),'Council Entry'!AU176))))-'Council Entry'!AU$5)/('Council Entry'!AU$6-'Council Entry'!AU$5)),1))),"No data"))</f>
        <v/>
      </c>
      <c r="AV176" s="13">
        <f>IF('Council Entry'!AV176="","",IFERROR(MAX(0,MIN(10,ROUND(IF('Council Entry'!AV$7="Decrease Risk",10-10*((IF('Council Entry'!AV$4="Logarithm",LN(0.001+IF(AND(ISNUMBER('Council Entry'!AV$8),ISNUMBER('Council Entry'!AV$9)),MAX(MIN('Council Entry'!AV176,'Council Entry'!AV$9),'Council Entry'!AV$8),'Council Entry'!AV176)),IF('Council Entry'!AV$4="Exponential",EXP(IF(AND(ISNUMBER('Council Entry'!AV$8),ISNUMBER('Council Entry'!AV$9)),MAX(MIN('Council Entry'!AV176,'Council Entry'!AV$9),'Council Entry'!AV$8),'Council Entry'!AV176)),IF(AND(ISNUMBER('Council Entry'!AV$8),ISNUMBER('Council Entry'!AV$9)),MAX(MIN('Council Entry'!AV176,'Council Entry'!AV$9),'Council Entry'!AV$8),'Council Entry'!AV176))))-'Council Entry'!AV$5)/('Council Entry'!AV$6-'Council Entry'!AV$5),10*((IF('Council Entry'!AV$4="Logarithm",LN(0.001+IF(AND(ISNUMBER('Council Entry'!AV$8),ISNUMBER('Council Entry'!AV$9)),MAX(MIN('Council Entry'!AV176,'Council Entry'!AV$9),'Council Entry'!AV$8),'Council Entry'!AV176)),IF('Council Entry'!AV$4="Exponential",EXP(IF(AND(ISNUMBER('Council Entry'!AV$8),ISNUMBER('Council Entry'!AV$9)),MAX(MIN('Council Entry'!AV176,'Council Entry'!AV$9),'Council Entry'!AV$8),'Council Entry'!AV176)),IF(AND(ISNUMBER('Council Entry'!AV$8),ISNUMBER('Council Entry'!AV$9)),MAX(MIN('Council Entry'!AV176,'Council Entry'!AV$9),'Council Entry'!AV$8),'Council Entry'!AV176))))-'Council Entry'!AV$5)/('Council Entry'!AV$6-'Council Entry'!AV$5)),1))),"No data"))</f>
        <v/>
      </c>
      <c r="AW176" s="13">
        <f>IF('Council Entry'!AW176="","",IFERROR(MAX(0,MIN(10,ROUND(IF('Council Entry'!AW$7="Decrease Risk",10-10*((IF('Council Entry'!AW$4="Logarithm",LN(0.001+IF(AND(ISNUMBER('Council Entry'!AW$8),ISNUMBER('Council Entry'!AW$9)),MAX(MIN('Council Entry'!AW176,'Council Entry'!AW$9),'Council Entry'!AW$8),'Council Entry'!AW176)),IF('Council Entry'!AW$4="Exponential",EXP(IF(AND(ISNUMBER('Council Entry'!AW$8),ISNUMBER('Council Entry'!AW$9)),MAX(MIN('Council Entry'!AW176,'Council Entry'!AW$9),'Council Entry'!AW$8),'Council Entry'!AW176)),IF(AND(ISNUMBER('Council Entry'!AW$8),ISNUMBER('Council Entry'!AW$9)),MAX(MIN('Council Entry'!AW176,'Council Entry'!AW$9),'Council Entry'!AW$8),'Council Entry'!AW176))))-'Council Entry'!AW$5)/('Council Entry'!AW$6-'Council Entry'!AW$5),10*((IF('Council Entry'!AW$4="Logarithm",LN(0.001+IF(AND(ISNUMBER('Council Entry'!AW$8),ISNUMBER('Council Entry'!AW$9)),MAX(MIN('Council Entry'!AW176,'Council Entry'!AW$9),'Council Entry'!AW$8),'Council Entry'!AW176)),IF('Council Entry'!AW$4="Exponential",EXP(IF(AND(ISNUMBER('Council Entry'!AW$8),ISNUMBER('Council Entry'!AW$9)),MAX(MIN('Council Entry'!AW176,'Council Entry'!AW$9),'Council Entry'!AW$8),'Council Entry'!AW176)),IF(AND(ISNUMBER('Council Entry'!AW$8),ISNUMBER('Council Entry'!AW$9)),MAX(MIN('Council Entry'!AW176,'Council Entry'!AW$9),'Council Entry'!AW$8),'Council Entry'!AW176))))-'Council Entry'!AW$5)/('Council Entry'!AW$6-'Council Entry'!AW$5)),1))),"No data"))</f>
        <v/>
      </c>
      <c r="AX176" s="13">
        <f>IF('Council Entry'!AX176="","",IFERROR(MAX(0,MIN(10,ROUND(IF('Council Entry'!AX$7="Decrease Risk",10-10*((IF('Council Entry'!AX$4="Logarithm",LN(0.001+IF(AND(ISNUMBER('Council Entry'!AX$8),ISNUMBER('Council Entry'!AX$9)),MAX(MIN('Council Entry'!AX176,'Council Entry'!AX$9),'Council Entry'!AX$8),'Council Entry'!AX176)),IF('Council Entry'!AX$4="Exponential",EXP(IF(AND(ISNUMBER('Council Entry'!AX$8),ISNUMBER('Council Entry'!AX$9)),MAX(MIN('Council Entry'!AX176,'Council Entry'!AX$9),'Council Entry'!AX$8),'Council Entry'!AX176)),IF(AND(ISNUMBER('Council Entry'!AX$8),ISNUMBER('Council Entry'!AX$9)),MAX(MIN('Council Entry'!AX176,'Council Entry'!AX$9),'Council Entry'!AX$8),'Council Entry'!AX176))))-'Council Entry'!AX$5)/('Council Entry'!AX$6-'Council Entry'!AX$5),10*((IF('Council Entry'!AX$4="Logarithm",LN(0.001+IF(AND(ISNUMBER('Council Entry'!AX$8),ISNUMBER('Council Entry'!AX$9)),MAX(MIN('Council Entry'!AX176,'Council Entry'!AX$9),'Council Entry'!AX$8),'Council Entry'!AX176)),IF('Council Entry'!AX$4="Exponential",EXP(IF(AND(ISNUMBER('Council Entry'!AX$8),ISNUMBER('Council Entry'!AX$9)),MAX(MIN('Council Entry'!AX176,'Council Entry'!AX$9),'Council Entry'!AX$8),'Council Entry'!AX176)),IF(AND(ISNUMBER('Council Entry'!AX$8),ISNUMBER('Council Entry'!AX$9)),MAX(MIN('Council Entry'!AX176,'Council Entry'!AX$9),'Council Entry'!AX$8),'Council Entry'!AX176))))-'Council Entry'!AX$5)/('Council Entry'!AX$6-'Council Entry'!AX$5)),1))),"No data"))</f>
        <v/>
      </c>
      <c r="AY176" s="13">
        <f>IF('Council Entry'!AY176="","",IFERROR(MAX(0,MIN(10,ROUND(IF('Council Entry'!AY$7="Decrease Risk",10-10*((IF('Council Entry'!AY$4="Logarithm",LN(0.001+IF(AND(ISNUMBER('Council Entry'!AY$8),ISNUMBER('Council Entry'!AY$9)),MAX(MIN('Council Entry'!AY176,'Council Entry'!AY$9),'Council Entry'!AY$8),'Council Entry'!AY176)),IF('Council Entry'!AY$4="Exponential",EXP(IF(AND(ISNUMBER('Council Entry'!AY$8),ISNUMBER('Council Entry'!AY$9)),MAX(MIN('Council Entry'!AY176,'Council Entry'!AY$9),'Council Entry'!AY$8),'Council Entry'!AY176)),IF(AND(ISNUMBER('Council Entry'!AY$8),ISNUMBER('Council Entry'!AY$9)),MAX(MIN('Council Entry'!AY176,'Council Entry'!AY$9),'Council Entry'!AY$8),'Council Entry'!AY176))))-'Council Entry'!AY$5)/('Council Entry'!AY$6-'Council Entry'!AY$5),10*((IF('Council Entry'!AY$4="Logarithm",LN(0.001+IF(AND(ISNUMBER('Council Entry'!AY$8),ISNUMBER('Council Entry'!AY$9)),MAX(MIN('Council Entry'!AY176,'Council Entry'!AY$9),'Council Entry'!AY$8),'Council Entry'!AY176)),IF('Council Entry'!AY$4="Exponential",EXP(IF(AND(ISNUMBER('Council Entry'!AY$8),ISNUMBER('Council Entry'!AY$9)),MAX(MIN('Council Entry'!AY176,'Council Entry'!AY$9),'Council Entry'!AY$8),'Council Entry'!AY176)),IF(AND(ISNUMBER('Council Entry'!AY$8),ISNUMBER('Council Entry'!AY$9)),MAX(MIN('Council Entry'!AY176,'Council Entry'!AY$9),'Council Entry'!AY$8),'Council Entry'!AY176))))-'Council Entry'!AY$5)/('Council Entry'!AY$6-'Council Entry'!AY$5)),1))),"No data"))</f>
        <v/>
      </c>
      <c r="AZ176" s="13">
        <f>IF('Council Entry'!AZ176="","",IFERROR(MAX(0,MIN(10,ROUND(IF('Council Entry'!AZ$7="Decrease Risk",10-10*((IF('Council Entry'!AZ$4="Logarithm",LN(0.001+IF(AND(ISNUMBER('Council Entry'!AZ$8),ISNUMBER('Council Entry'!AZ$9)),MAX(MIN('Council Entry'!AZ176,'Council Entry'!AZ$9),'Council Entry'!AZ$8),'Council Entry'!AZ176)),IF('Council Entry'!AZ$4="Exponential",EXP(IF(AND(ISNUMBER('Council Entry'!AZ$8),ISNUMBER('Council Entry'!AZ$9)),MAX(MIN('Council Entry'!AZ176,'Council Entry'!AZ$9),'Council Entry'!AZ$8),'Council Entry'!AZ176)),IF(AND(ISNUMBER('Council Entry'!AZ$8),ISNUMBER('Council Entry'!AZ$9)),MAX(MIN('Council Entry'!AZ176,'Council Entry'!AZ$9),'Council Entry'!AZ$8),'Council Entry'!AZ176))))-'Council Entry'!AZ$5)/('Council Entry'!AZ$6-'Council Entry'!AZ$5),10*((IF('Council Entry'!AZ$4="Logarithm",LN(0.001+IF(AND(ISNUMBER('Council Entry'!AZ$8),ISNUMBER('Council Entry'!AZ$9)),MAX(MIN('Council Entry'!AZ176,'Council Entry'!AZ$9),'Council Entry'!AZ$8),'Council Entry'!AZ176)),IF('Council Entry'!AZ$4="Exponential",EXP(IF(AND(ISNUMBER('Council Entry'!AZ$8),ISNUMBER('Council Entry'!AZ$9)),MAX(MIN('Council Entry'!AZ176,'Council Entry'!AZ$9),'Council Entry'!AZ$8),'Council Entry'!AZ176)),IF(AND(ISNUMBER('Council Entry'!AZ$8),ISNUMBER('Council Entry'!AZ$9)),MAX(MIN('Council Entry'!AZ176,'Council Entry'!AZ$9),'Council Entry'!AZ$8),'Council Entry'!AZ176))))-'Council Entry'!AZ$5)/('Council Entry'!AZ$6-'Council Entry'!AZ$5)),1))),"No data"))</f>
        <v/>
      </c>
      <c r="BA176" s="13">
        <f>IF('Council Entry'!BA176="","",IFERROR(MAX(0,MIN(10,ROUND(IF('Council Entry'!BA$7="Decrease Risk",10-10*((IF('Council Entry'!BA$4="Logarithm",LN(0.001+IF(AND(ISNUMBER('Council Entry'!BA$8),ISNUMBER('Council Entry'!BA$9)),MAX(MIN('Council Entry'!BA176,'Council Entry'!BA$9),'Council Entry'!BA$8),'Council Entry'!BA176)),IF('Council Entry'!BA$4="Exponential",EXP(IF(AND(ISNUMBER('Council Entry'!BA$8),ISNUMBER('Council Entry'!BA$9)),MAX(MIN('Council Entry'!BA176,'Council Entry'!BA$9),'Council Entry'!BA$8),'Council Entry'!BA176)),IF(AND(ISNUMBER('Council Entry'!BA$8),ISNUMBER('Council Entry'!BA$9)),MAX(MIN('Council Entry'!BA176,'Council Entry'!BA$9),'Council Entry'!BA$8),'Council Entry'!BA176))))-'Council Entry'!BA$5)/('Council Entry'!BA$6-'Council Entry'!BA$5),10*((IF('Council Entry'!BA$4="Logarithm",LN(0.001+IF(AND(ISNUMBER('Council Entry'!BA$8),ISNUMBER('Council Entry'!BA$9)),MAX(MIN('Council Entry'!BA176,'Council Entry'!BA$9),'Council Entry'!BA$8),'Council Entry'!BA176)),IF('Council Entry'!BA$4="Exponential",EXP(IF(AND(ISNUMBER('Council Entry'!BA$8),ISNUMBER('Council Entry'!BA$9)),MAX(MIN('Council Entry'!BA176,'Council Entry'!BA$9),'Council Entry'!BA$8),'Council Entry'!BA176)),IF(AND(ISNUMBER('Council Entry'!BA$8),ISNUMBER('Council Entry'!BA$9)),MAX(MIN('Council Entry'!BA176,'Council Entry'!BA$9),'Council Entry'!BA$8),'Council Entry'!BA176))))-'Council Entry'!BA$5)/('Council Entry'!BA$6-'Council Entry'!BA$5)),1))),"No data"))</f>
        <v/>
      </c>
      <c r="BB176" s="13">
        <f>IF('Council Entry'!BB176="","",IFERROR(MAX(0,MIN(10,ROUND(IF('Council Entry'!BB$7="Decrease Risk",10-10*((IF('Council Entry'!BB$4="Logarithm",LN(0.001+IF(AND(ISNUMBER('Council Entry'!BB$8),ISNUMBER('Council Entry'!BB$9)),MAX(MIN('Council Entry'!BB176,'Council Entry'!BB$9),'Council Entry'!BB$8),'Council Entry'!BB176)),IF('Council Entry'!BB$4="Exponential",EXP(IF(AND(ISNUMBER('Council Entry'!BB$8),ISNUMBER('Council Entry'!BB$9)),MAX(MIN('Council Entry'!BB176,'Council Entry'!BB$9),'Council Entry'!BB$8),'Council Entry'!BB176)),IF(AND(ISNUMBER('Council Entry'!BB$8),ISNUMBER('Council Entry'!BB$9)),MAX(MIN('Council Entry'!BB176,'Council Entry'!BB$9),'Council Entry'!BB$8),'Council Entry'!BB176))))-'Council Entry'!BB$5)/('Council Entry'!BB$6-'Council Entry'!BB$5),10*((IF('Council Entry'!BB$4="Logarithm",LN(0.001+IF(AND(ISNUMBER('Council Entry'!BB$8),ISNUMBER('Council Entry'!BB$9)),MAX(MIN('Council Entry'!BB176,'Council Entry'!BB$9),'Council Entry'!BB$8),'Council Entry'!BB176)),IF('Council Entry'!BB$4="Exponential",EXP(IF(AND(ISNUMBER('Council Entry'!BB$8),ISNUMBER('Council Entry'!BB$9)),MAX(MIN('Council Entry'!BB176,'Council Entry'!BB$9),'Council Entry'!BB$8),'Council Entry'!BB176)),IF(AND(ISNUMBER('Council Entry'!BB$8),ISNUMBER('Council Entry'!BB$9)),MAX(MIN('Council Entry'!BB176,'Council Entry'!BB$9),'Council Entry'!BB$8),'Council Entry'!BB176))))-'Council Entry'!BB$5)/('Council Entry'!BB$6-'Council Entry'!BB$5)),1))),"No data"))</f>
        <v/>
      </c>
      <c r="BC176" s="13">
        <f>IF('Council Entry'!BC176="","",IFERROR(MAX(0,MIN(10,ROUND(IF('Council Entry'!BC$7="Decrease Risk",10-10*((IF('Council Entry'!BC$4="Logarithm",LN(0.001+IF(AND(ISNUMBER('Council Entry'!BC$8),ISNUMBER('Council Entry'!BC$9)),MAX(MIN('Council Entry'!BC176,'Council Entry'!BC$9),'Council Entry'!BC$8),'Council Entry'!BC176)),IF('Council Entry'!BC$4="Exponential",EXP(IF(AND(ISNUMBER('Council Entry'!BC$8),ISNUMBER('Council Entry'!BC$9)),MAX(MIN('Council Entry'!BC176,'Council Entry'!BC$9),'Council Entry'!BC$8),'Council Entry'!BC176)),IF(AND(ISNUMBER('Council Entry'!BC$8),ISNUMBER('Council Entry'!BC$9)),MAX(MIN('Council Entry'!BC176,'Council Entry'!BC$9),'Council Entry'!BC$8),'Council Entry'!BC176))))-'Council Entry'!BC$5)/('Council Entry'!BC$6-'Council Entry'!BC$5),10*((IF('Council Entry'!BC$4="Logarithm",LN(0.001+IF(AND(ISNUMBER('Council Entry'!BC$8),ISNUMBER('Council Entry'!BC$9)),MAX(MIN('Council Entry'!BC176,'Council Entry'!BC$9),'Council Entry'!BC$8),'Council Entry'!BC176)),IF('Council Entry'!BC$4="Exponential",EXP(IF(AND(ISNUMBER('Council Entry'!BC$8),ISNUMBER('Council Entry'!BC$9)),MAX(MIN('Council Entry'!BC176,'Council Entry'!BC$9),'Council Entry'!BC$8),'Council Entry'!BC176)),IF(AND(ISNUMBER('Council Entry'!BC$8),ISNUMBER('Council Entry'!BC$9)),MAX(MIN('Council Entry'!BC176,'Council Entry'!BC$9),'Council Entry'!BC$8),'Council Entry'!BC176))))-'Council Entry'!BC$5)/('Council Entry'!BC$6-'Council Entry'!BC$5)),1))),"No data"))</f>
        <v/>
      </c>
      <c r="BD176" s="13">
        <f>IF('Council Entry'!BD176="","",IFERROR(MAX(0,MIN(10,ROUND(IF('Council Entry'!BD$7="Decrease Risk",10-10*((IF('Council Entry'!BD$4="Logarithm",LN(0.001+IF(AND(ISNUMBER('Council Entry'!BD$8),ISNUMBER('Council Entry'!BD$9)),MAX(MIN('Council Entry'!BD176,'Council Entry'!BD$9),'Council Entry'!BD$8),'Council Entry'!BD176)),IF('Council Entry'!BD$4="Exponential",EXP(IF(AND(ISNUMBER('Council Entry'!BD$8),ISNUMBER('Council Entry'!BD$9)),MAX(MIN('Council Entry'!BD176,'Council Entry'!BD$9),'Council Entry'!BD$8),'Council Entry'!BD176)),IF(AND(ISNUMBER('Council Entry'!BD$8),ISNUMBER('Council Entry'!BD$9)),MAX(MIN('Council Entry'!BD176,'Council Entry'!BD$9),'Council Entry'!BD$8),'Council Entry'!BD176))))-'Council Entry'!BD$5)/('Council Entry'!BD$6-'Council Entry'!BD$5),10*((IF('Council Entry'!BD$4="Logarithm",LN(0.001+IF(AND(ISNUMBER('Council Entry'!BD$8),ISNUMBER('Council Entry'!BD$9)),MAX(MIN('Council Entry'!BD176,'Council Entry'!BD$9),'Council Entry'!BD$8),'Council Entry'!BD176)),IF('Council Entry'!BD$4="Exponential",EXP(IF(AND(ISNUMBER('Council Entry'!BD$8),ISNUMBER('Council Entry'!BD$9)),MAX(MIN('Council Entry'!BD176,'Council Entry'!BD$9),'Council Entry'!BD$8),'Council Entry'!BD176)),IF(AND(ISNUMBER('Council Entry'!BD$8),ISNUMBER('Council Entry'!BD$9)),MAX(MIN('Council Entry'!BD176,'Council Entry'!BD$9),'Council Entry'!BD$8),'Council Entry'!BD176))))-'Council Entry'!BD$5)/('Council Entry'!BD$6-'Council Entry'!BD$5)),1))),"No data"))</f>
        <v/>
      </c>
    </row>
    <row r="177">
      <c r="A177" t="inlineStr">
        <is>
          <t>Singida</t>
        </is>
      </c>
      <c r="B177" t="inlineStr">
        <is>
          <t>Itigi District</t>
        </is>
      </c>
      <c r="C177" t="inlineStr">
        <is>
          <t>C096</t>
        </is>
      </c>
      <c r="D177" s="13">
        <f>IF('Council Entry'!D177="","",IFERROR(MAX(0,MIN(10,ROUND(IF('Council Entry'!D$7="Decrease Risk",10-10*((IF('Council Entry'!D$4="Logarithm",LN(0.001+IF(AND(ISNUMBER('Council Entry'!D$8),ISNUMBER('Council Entry'!D$9)),MAX(MIN('Council Entry'!D177,'Council Entry'!D$9),'Council Entry'!D$8),'Council Entry'!D177)),IF('Council Entry'!D$4="Exponential",EXP(IF(AND(ISNUMBER('Council Entry'!D$8),ISNUMBER('Council Entry'!D$9)),MAX(MIN('Council Entry'!D177,'Council Entry'!D$9),'Council Entry'!D$8),'Council Entry'!D177)),IF(AND(ISNUMBER('Council Entry'!D$8),ISNUMBER('Council Entry'!D$9)),MAX(MIN('Council Entry'!D177,'Council Entry'!D$9),'Council Entry'!D$8),'Council Entry'!D177))))-'Council Entry'!D$5)/('Council Entry'!D$6-'Council Entry'!D$5),10*((IF('Council Entry'!D$4="Logarithm",LN(0.001+IF(AND(ISNUMBER('Council Entry'!D$8),ISNUMBER('Council Entry'!D$9)),MAX(MIN('Council Entry'!D177,'Council Entry'!D$9),'Council Entry'!D$8),'Council Entry'!D177)),IF('Council Entry'!D$4="Exponential",EXP(IF(AND(ISNUMBER('Council Entry'!D$8),ISNUMBER('Council Entry'!D$9)),MAX(MIN('Council Entry'!D177,'Council Entry'!D$9),'Council Entry'!D$8),'Council Entry'!D177)),IF(AND(ISNUMBER('Council Entry'!D$8),ISNUMBER('Council Entry'!D$9)),MAX(MIN('Council Entry'!D177,'Council Entry'!D$9),'Council Entry'!D$8),'Council Entry'!D177))))-'Council Entry'!D$5)/('Council Entry'!D$6-'Council Entry'!D$5)),1))),"No data"))</f>
        <v/>
      </c>
      <c r="E177" s="13">
        <f>IF('Council Entry'!E177="","",IFERROR(MAX(0,MIN(10,ROUND(IF('Council Entry'!E$7="Decrease Risk",10-10*((IF('Council Entry'!E$4="Logarithm",LN(0.001+IF(AND(ISNUMBER('Council Entry'!E$8),ISNUMBER('Council Entry'!E$9)),MAX(MIN('Council Entry'!E177,'Council Entry'!E$9),'Council Entry'!E$8),'Council Entry'!E177)),IF('Council Entry'!E$4="Exponential",EXP(IF(AND(ISNUMBER('Council Entry'!E$8),ISNUMBER('Council Entry'!E$9)),MAX(MIN('Council Entry'!E177,'Council Entry'!E$9),'Council Entry'!E$8),'Council Entry'!E177)),IF(AND(ISNUMBER('Council Entry'!E$8),ISNUMBER('Council Entry'!E$9)),MAX(MIN('Council Entry'!E177,'Council Entry'!E$9),'Council Entry'!E$8),'Council Entry'!E177))))-'Council Entry'!E$5)/('Council Entry'!E$6-'Council Entry'!E$5),10*((IF('Council Entry'!E$4="Logarithm",LN(0.001+IF(AND(ISNUMBER('Council Entry'!E$8),ISNUMBER('Council Entry'!E$9)),MAX(MIN('Council Entry'!E177,'Council Entry'!E$9),'Council Entry'!E$8),'Council Entry'!E177)),IF('Council Entry'!E$4="Exponential",EXP(IF(AND(ISNUMBER('Council Entry'!E$8),ISNUMBER('Council Entry'!E$9)),MAX(MIN('Council Entry'!E177,'Council Entry'!E$9),'Council Entry'!E$8),'Council Entry'!E177)),IF(AND(ISNUMBER('Council Entry'!E$8),ISNUMBER('Council Entry'!E$9)),MAX(MIN('Council Entry'!E177,'Council Entry'!E$9),'Council Entry'!E$8),'Council Entry'!E177))))-'Council Entry'!E$5)/('Council Entry'!E$6-'Council Entry'!E$5)),1))),"No data"))</f>
        <v/>
      </c>
      <c r="F177" s="13">
        <f>IF('Council Entry'!F177="","",IFERROR(MAX(0,MIN(10,ROUND(IF('Council Entry'!F$7="Decrease Risk",10-10*((IF('Council Entry'!F$4="Logarithm",LN(0.001+IF(AND(ISNUMBER('Council Entry'!F$8),ISNUMBER('Council Entry'!F$9)),MAX(MIN('Council Entry'!F177,'Council Entry'!F$9),'Council Entry'!F$8),'Council Entry'!F177)),IF('Council Entry'!F$4="Exponential",EXP(IF(AND(ISNUMBER('Council Entry'!F$8),ISNUMBER('Council Entry'!F$9)),MAX(MIN('Council Entry'!F177,'Council Entry'!F$9),'Council Entry'!F$8),'Council Entry'!F177)),IF(AND(ISNUMBER('Council Entry'!F$8),ISNUMBER('Council Entry'!F$9)),MAX(MIN('Council Entry'!F177,'Council Entry'!F$9),'Council Entry'!F$8),'Council Entry'!F177))))-'Council Entry'!F$5)/('Council Entry'!F$6-'Council Entry'!F$5),10*((IF('Council Entry'!F$4="Logarithm",LN(0.001+IF(AND(ISNUMBER('Council Entry'!F$8),ISNUMBER('Council Entry'!F$9)),MAX(MIN('Council Entry'!F177,'Council Entry'!F$9),'Council Entry'!F$8),'Council Entry'!F177)),IF('Council Entry'!F$4="Exponential",EXP(IF(AND(ISNUMBER('Council Entry'!F$8),ISNUMBER('Council Entry'!F$9)),MAX(MIN('Council Entry'!F177,'Council Entry'!F$9),'Council Entry'!F$8),'Council Entry'!F177)),IF(AND(ISNUMBER('Council Entry'!F$8),ISNUMBER('Council Entry'!F$9)),MAX(MIN('Council Entry'!F177,'Council Entry'!F$9),'Council Entry'!F$8),'Council Entry'!F177))))-'Council Entry'!F$5)/('Council Entry'!F$6-'Council Entry'!F$5)),1))),"No data"))</f>
        <v/>
      </c>
      <c r="G177" s="13">
        <f>IF('Council Entry'!G177="","",IFERROR(MAX(0,MIN(10,ROUND(IF('Council Entry'!G$7="Decrease Risk",10-10*((IF('Council Entry'!G$4="Logarithm",LN(0.001+IF(AND(ISNUMBER('Council Entry'!G$8),ISNUMBER('Council Entry'!G$9)),MAX(MIN('Council Entry'!G177,'Council Entry'!G$9),'Council Entry'!G$8),'Council Entry'!G177)),IF('Council Entry'!G$4="Exponential",EXP(IF(AND(ISNUMBER('Council Entry'!G$8),ISNUMBER('Council Entry'!G$9)),MAX(MIN('Council Entry'!G177,'Council Entry'!G$9),'Council Entry'!G$8),'Council Entry'!G177)),IF(AND(ISNUMBER('Council Entry'!G$8),ISNUMBER('Council Entry'!G$9)),MAX(MIN('Council Entry'!G177,'Council Entry'!G$9),'Council Entry'!G$8),'Council Entry'!G177))))-'Council Entry'!G$5)/('Council Entry'!G$6-'Council Entry'!G$5),10*((IF('Council Entry'!G$4="Logarithm",LN(0.001+IF(AND(ISNUMBER('Council Entry'!G$8),ISNUMBER('Council Entry'!G$9)),MAX(MIN('Council Entry'!G177,'Council Entry'!G$9),'Council Entry'!G$8),'Council Entry'!G177)),IF('Council Entry'!G$4="Exponential",EXP(IF(AND(ISNUMBER('Council Entry'!G$8),ISNUMBER('Council Entry'!G$9)),MAX(MIN('Council Entry'!G177,'Council Entry'!G$9),'Council Entry'!G$8),'Council Entry'!G177)),IF(AND(ISNUMBER('Council Entry'!G$8),ISNUMBER('Council Entry'!G$9)),MAX(MIN('Council Entry'!G177,'Council Entry'!G$9),'Council Entry'!G$8),'Council Entry'!G177))))-'Council Entry'!G$5)/('Council Entry'!G$6-'Council Entry'!G$5)),1))),"No data"))</f>
        <v/>
      </c>
      <c r="H177" s="13">
        <f>IF('Council Entry'!H177="","",IFERROR(MAX(0,MIN(10,ROUND(IF('Council Entry'!H$7="Decrease Risk",10-10*((IF('Council Entry'!H$4="Logarithm",LN(0.001+IF(AND(ISNUMBER('Council Entry'!H$8),ISNUMBER('Council Entry'!H$9)),MAX(MIN('Council Entry'!H177,'Council Entry'!H$9),'Council Entry'!H$8),'Council Entry'!H177)),IF('Council Entry'!H$4="Exponential",EXP(IF(AND(ISNUMBER('Council Entry'!H$8),ISNUMBER('Council Entry'!H$9)),MAX(MIN('Council Entry'!H177,'Council Entry'!H$9),'Council Entry'!H$8),'Council Entry'!H177)),IF(AND(ISNUMBER('Council Entry'!H$8),ISNUMBER('Council Entry'!H$9)),MAX(MIN('Council Entry'!H177,'Council Entry'!H$9),'Council Entry'!H$8),'Council Entry'!H177))))-'Council Entry'!H$5)/('Council Entry'!H$6-'Council Entry'!H$5),10*((IF('Council Entry'!H$4="Logarithm",LN(0.001+IF(AND(ISNUMBER('Council Entry'!H$8),ISNUMBER('Council Entry'!H$9)),MAX(MIN('Council Entry'!H177,'Council Entry'!H$9),'Council Entry'!H$8),'Council Entry'!H177)),IF('Council Entry'!H$4="Exponential",EXP(IF(AND(ISNUMBER('Council Entry'!H$8),ISNUMBER('Council Entry'!H$9)),MAX(MIN('Council Entry'!H177,'Council Entry'!H$9),'Council Entry'!H$8),'Council Entry'!H177)),IF(AND(ISNUMBER('Council Entry'!H$8),ISNUMBER('Council Entry'!H$9)),MAX(MIN('Council Entry'!H177,'Council Entry'!H$9),'Council Entry'!H$8),'Council Entry'!H177))))-'Council Entry'!H$5)/('Council Entry'!H$6-'Council Entry'!H$5)),1))),"No data"))</f>
        <v/>
      </c>
      <c r="I177" s="13">
        <f>IF('Council Entry'!I177="","",IFERROR(MAX(0,MIN(10,ROUND(IF('Council Entry'!I$7="Decrease Risk",10-10*((IF('Council Entry'!I$4="Logarithm",LN(0.001+IF(AND(ISNUMBER('Council Entry'!I$8),ISNUMBER('Council Entry'!I$9)),MAX(MIN('Council Entry'!I177,'Council Entry'!I$9),'Council Entry'!I$8),'Council Entry'!I177)),IF('Council Entry'!I$4="Exponential",EXP(IF(AND(ISNUMBER('Council Entry'!I$8),ISNUMBER('Council Entry'!I$9)),MAX(MIN('Council Entry'!I177,'Council Entry'!I$9),'Council Entry'!I$8),'Council Entry'!I177)),IF(AND(ISNUMBER('Council Entry'!I$8),ISNUMBER('Council Entry'!I$9)),MAX(MIN('Council Entry'!I177,'Council Entry'!I$9),'Council Entry'!I$8),'Council Entry'!I177))))-'Council Entry'!I$5)/('Council Entry'!I$6-'Council Entry'!I$5),10*((IF('Council Entry'!I$4="Logarithm",LN(0.001+IF(AND(ISNUMBER('Council Entry'!I$8),ISNUMBER('Council Entry'!I$9)),MAX(MIN('Council Entry'!I177,'Council Entry'!I$9),'Council Entry'!I$8),'Council Entry'!I177)),IF('Council Entry'!I$4="Exponential",EXP(IF(AND(ISNUMBER('Council Entry'!I$8),ISNUMBER('Council Entry'!I$9)),MAX(MIN('Council Entry'!I177,'Council Entry'!I$9),'Council Entry'!I$8),'Council Entry'!I177)),IF(AND(ISNUMBER('Council Entry'!I$8),ISNUMBER('Council Entry'!I$9)),MAX(MIN('Council Entry'!I177,'Council Entry'!I$9),'Council Entry'!I$8),'Council Entry'!I177))))-'Council Entry'!I$5)/('Council Entry'!I$6-'Council Entry'!I$5)),1))),"No data"))</f>
        <v/>
      </c>
      <c r="J177" s="13">
        <f>IF('Council Entry'!J177="","",IFERROR(MAX(0,MIN(10,ROUND(IF('Council Entry'!J$7="Decrease Risk",10-10*((IF('Council Entry'!J$4="Logarithm",LN(0.001+IF(AND(ISNUMBER('Council Entry'!J$8),ISNUMBER('Council Entry'!J$9)),MAX(MIN('Council Entry'!J177,'Council Entry'!J$9),'Council Entry'!J$8),'Council Entry'!J177)),IF('Council Entry'!J$4="Exponential",EXP(IF(AND(ISNUMBER('Council Entry'!J$8),ISNUMBER('Council Entry'!J$9)),MAX(MIN('Council Entry'!J177,'Council Entry'!J$9),'Council Entry'!J$8),'Council Entry'!J177)),IF(AND(ISNUMBER('Council Entry'!J$8),ISNUMBER('Council Entry'!J$9)),MAX(MIN('Council Entry'!J177,'Council Entry'!J$9),'Council Entry'!J$8),'Council Entry'!J177))))-'Council Entry'!J$5)/('Council Entry'!J$6-'Council Entry'!J$5),10*((IF('Council Entry'!J$4="Logarithm",LN(0.001+IF(AND(ISNUMBER('Council Entry'!J$8),ISNUMBER('Council Entry'!J$9)),MAX(MIN('Council Entry'!J177,'Council Entry'!J$9),'Council Entry'!J$8),'Council Entry'!J177)),IF('Council Entry'!J$4="Exponential",EXP(IF(AND(ISNUMBER('Council Entry'!J$8),ISNUMBER('Council Entry'!J$9)),MAX(MIN('Council Entry'!J177,'Council Entry'!J$9),'Council Entry'!J$8),'Council Entry'!J177)),IF(AND(ISNUMBER('Council Entry'!J$8),ISNUMBER('Council Entry'!J$9)),MAX(MIN('Council Entry'!J177,'Council Entry'!J$9),'Council Entry'!J$8),'Council Entry'!J177))))-'Council Entry'!J$5)/('Council Entry'!J$6-'Council Entry'!J$5)),1))),"No data"))</f>
        <v/>
      </c>
      <c r="K177" s="13">
        <f>IF('Council Entry'!K177="","",IFERROR(MAX(0,MIN(10,ROUND(IF('Council Entry'!K$7="Decrease Risk",10-10*((IF('Council Entry'!K$4="Logarithm",LN(0.001+IF(AND(ISNUMBER('Council Entry'!K$8),ISNUMBER('Council Entry'!K$9)),MAX(MIN('Council Entry'!K177,'Council Entry'!K$9),'Council Entry'!K$8),'Council Entry'!K177)),IF('Council Entry'!K$4="Exponential",EXP(IF(AND(ISNUMBER('Council Entry'!K$8),ISNUMBER('Council Entry'!K$9)),MAX(MIN('Council Entry'!K177,'Council Entry'!K$9),'Council Entry'!K$8),'Council Entry'!K177)),IF(AND(ISNUMBER('Council Entry'!K$8),ISNUMBER('Council Entry'!K$9)),MAX(MIN('Council Entry'!K177,'Council Entry'!K$9),'Council Entry'!K$8),'Council Entry'!K177))))-'Council Entry'!K$5)/('Council Entry'!K$6-'Council Entry'!K$5),10*((IF('Council Entry'!K$4="Logarithm",LN(0.001+IF(AND(ISNUMBER('Council Entry'!K$8),ISNUMBER('Council Entry'!K$9)),MAX(MIN('Council Entry'!K177,'Council Entry'!K$9),'Council Entry'!K$8),'Council Entry'!K177)),IF('Council Entry'!K$4="Exponential",EXP(IF(AND(ISNUMBER('Council Entry'!K$8),ISNUMBER('Council Entry'!K$9)),MAX(MIN('Council Entry'!K177,'Council Entry'!K$9),'Council Entry'!K$8),'Council Entry'!K177)),IF(AND(ISNUMBER('Council Entry'!K$8),ISNUMBER('Council Entry'!K$9)),MAX(MIN('Council Entry'!K177,'Council Entry'!K$9),'Council Entry'!K$8),'Council Entry'!K177))))-'Council Entry'!K$5)/('Council Entry'!K$6-'Council Entry'!K$5)),1))),"No data"))</f>
        <v/>
      </c>
      <c r="L177" s="13">
        <f>IF('Council Entry'!L177="","",IFERROR(MAX(0,MIN(10,ROUND(IF('Council Entry'!L$7="Decrease Risk",10-10*((IF('Council Entry'!L$4="Logarithm",LN(0.001+IF(AND(ISNUMBER('Council Entry'!L$8),ISNUMBER('Council Entry'!L$9)),MAX(MIN('Council Entry'!L177,'Council Entry'!L$9),'Council Entry'!L$8),'Council Entry'!L177)),IF('Council Entry'!L$4="Exponential",EXP(IF(AND(ISNUMBER('Council Entry'!L$8),ISNUMBER('Council Entry'!L$9)),MAX(MIN('Council Entry'!L177,'Council Entry'!L$9),'Council Entry'!L$8),'Council Entry'!L177)),IF(AND(ISNUMBER('Council Entry'!L$8),ISNUMBER('Council Entry'!L$9)),MAX(MIN('Council Entry'!L177,'Council Entry'!L$9),'Council Entry'!L$8),'Council Entry'!L177))))-'Council Entry'!L$5)/('Council Entry'!L$6-'Council Entry'!L$5),10*((IF('Council Entry'!L$4="Logarithm",LN(0.001+IF(AND(ISNUMBER('Council Entry'!L$8),ISNUMBER('Council Entry'!L$9)),MAX(MIN('Council Entry'!L177,'Council Entry'!L$9),'Council Entry'!L$8),'Council Entry'!L177)),IF('Council Entry'!L$4="Exponential",EXP(IF(AND(ISNUMBER('Council Entry'!L$8),ISNUMBER('Council Entry'!L$9)),MAX(MIN('Council Entry'!L177,'Council Entry'!L$9),'Council Entry'!L$8),'Council Entry'!L177)),IF(AND(ISNUMBER('Council Entry'!L$8),ISNUMBER('Council Entry'!L$9)),MAX(MIN('Council Entry'!L177,'Council Entry'!L$9),'Council Entry'!L$8),'Council Entry'!L177))))-'Council Entry'!L$5)/('Council Entry'!L$6-'Council Entry'!L$5)),1))),"No data"))</f>
        <v/>
      </c>
      <c r="M177" s="13">
        <f>IF('Council Entry'!M177="","",IFERROR(MAX(0,MIN(10,ROUND(IF('Council Entry'!M$7="Decrease Risk",10-10*((IF('Council Entry'!M$4="Logarithm",LN(0.001+IF(AND(ISNUMBER('Council Entry'!M$8),ISNUMBER('Council Entry'!M$9)),MAX(MIN('Council Entry'!M177,'Council Entry'!M$9),'Council Entry'!M$8),'Council Entry'!M177)),IF('Council Entry'!M$4="Exponential",EXP(IF(AND(ISNUMBER('Council Entry'!M$8),ISNUMBER('Council Entry'!M$9)),MAX(MIN('Council Entry'!M177,'Council Entry'!M$9),'Council Entry'!M$8),'Council Entry'!M177)),IF(AND(ISNUMBER('Council Entry'!M$8),ISNUMBER('Council Entry'!M$9)),MAX(MIN('Council Entry'!M177,'Council Entry'!M$9),'Council Entry'!M$8),'Council Entry'!M177))))-'Council Entry'!M$5)/('Council Entry'!M$6-'Council Entry'!M$5),10*((IF('Council Entry'!M$4="Logarithm",LN(0.001+IF(AND(ISNUMBER('Council Entry'!M$8),ISNUMBER('Council Entry'!M$9)),MAX(MIN('Council Entry'!M177,'Council Entry'!M$9),'Council Entry'!M$8),'Council Entry'!M177)),IF('Council Entry'!M$4="Exponential",EXP(IF(AND(ISNUMBER('Council Entry'!M$8),ISNUMBER('Council Entry'!M$9)),MAX(MIN('Council Entry'!M177,'Council Entry'!M$9),'Council Entry'!M$8),'Council Entry'!M177)),IF(AND(ISNUMBER('Council Entry'!M$8),ISNUMBER('Council Entry'!M$9)),MAX(MIN('Council Entry'!M177,'Council Entry'!M$9),'Council Entry'!M$8),'Council Entry'!M177))))-'Council Entry'!M$5)/('Council Entry'!M$6-'Council Entry'!M$5)),1))),"No data"))</f>
        <v/>
      </c>
      <c r="N177" s="13">
        <f>IF('Council Entry'!N177="","",IFERROR(MAX(0,MIN(10,ROUND(IF('Council Entry'!N$7="Decrease Risk",10-10*((IF('Council Entry'!N$4="Logarithm",LN(0.001+IF(AND(ISNUMBER('Council Entry'!N$8),ISNUMBER('Council Entry'!N$9)),MAX(MIN('Council Entry'!N177,'Council Entry'!N$9),'Council Entry'!N$8),'Council Entry'!N177)),IF('Council Entry'!N$4="Exponential",EXP(IF(AND(ISNUMBER('Council Entry'!N$8),ISNUMBER('Council Entry'!N$9)),MAX(MIN('Council Entry'!N177,'Council Entry'!N$9),'Council Entry'!N$8),'Council Entry'!N177)),IF(AND(ISNUMBER('Council Entry'!N$8),ISNUMBER('Council Entry'!N$9)),MAX(MIN('Council Entry'!N177,'Council Entry'!N$9),'Council Entry'!N$8),'Council Entry'!N177))))-'Council Entry'!N$5)/('Council Entry'!N$6-'Council Entry'!N$5),10*((IF('Council Entry'!N$4="Logarithm",LN(0.001+IF(AND(ISNUMBER('Council Entry'!N$8),ISNUMBER('Council Entry'!N$9)),MAX(MIN('Council Entry'!N177,'Council Entry'!N$9),'Council Entry'!N$8),'Council Entry'!N177)),IF('Council Entry'!N$4="Exponential",EXP(IF(AND(ISNUMBER('Council Entry'!N$8),ISNUMBER('Council Entry'!N$9)),MAX(MIN('Council Entry'!N177,'Council Entry'!N$9),'Council Entry'!N$8),'Council Entry'!N177)),IF(AND(ISNUMBER('Council Entry'!N$8),ISNUMBER('Council Entry'!N$9)),MAX(MIN('Council Entry'!N177,'Council Entry'!N$9),'Council Entry'!N$8),'Council Entry'!N177))))-'Council Entry'!N$5)/('Council Entry'!N$6-'Council Entry'!N$5)),1))),"No data"))</f>
        <v/>
      </c>
      <c r="O177" s="13">
        <f>IF('Council Entry'!O177="","",IFERROR(MAX(0,MIN(10,ROUND(IF('Council Entry'!O$7="Decrease Risk",10-10*((IF('Council Entry'!O$4="Logarithm",LN(0.001+IF(AND(ISNUMBER('Council Entry'!O$8),ISNUMBER('Council Entry'!O$9)),MAX(MIN('Council Entry'!O177,'Council Entry'!O$9),'Council Entry'!O$8),'Council Entry'!O177)),IF('Council Entry'!O$4="Exponential",EXP(IF(AND(ISNUMBER('Council Entry'!O$8),ISNUMBER('Council Entry'!O$9)),MAX(MIN('Council Entry'!O177,'Council Entry'!O$9),'Council Entry'!O$8),'Council Entry'!O177)),IF(AND(ISNUMBER('Council Entry'!O$8),ISNUMBER('Council Entry'!O$9)),MAX(MIN('Council Entry'!O177,'Council Entry'!O$9),'Council Entry'!O$8),'Council Entry'!O177))))-'Council Entry'!O$5)/('Council Entry'!O$6-'Council Entry'!O$5),10*((IF('Council Entry'!O$4="Logarithm",LN(0.001+IF(AND(ISNUMBER('Council Entry'!O$8),ISNUMBER('Council Entry'!O$9)),MAX(MIN('Council Entry'!O177,'Council Entry'!O$9),'Council Entry'!O$8),'Council Entry'!O177)),IF('Council Entry'!O$4="Exponential",EXP(IF(AND(ISNUMBER('Council Entry'!O$8),ISNUMBER('Council Entry'!O$9)),MAX(MIN('Council Entry'!O177,'Council Entry'!O$9),'Council Entry'!O$8),'Council Entry'!O177)),IF(AND(ISNUMBER('Council Entry'!O$8),ISNUMBER('Council Entry'!O$9)),MAX(MIN('Council Entry'!O177,'Council Entry'!O$9),'Council Entry'!O$8),'Council Entry'!O177))))-'Council Entry'!O$5)/('Council Entry'!O$6-'Council Entry'!O$5)),1))),"No data"))</f>
        <v/>
      </c>
      <c r="P177" s="13">
        <f>IF('Council Entry'!P177="","",IFERROR(MAX(0,MIN(10,ROUND(IF('Council Entry'!P$7="Decrease Risk",10-10*((IF('Council Entry'!P$4="Logarithm",LN(0.001+IF(AND(ISNUMBER('Council Entry'!P$8),ISNUMBER('Council Entry'!P$9)),MAX(MIN('Council Entry'!P177,'Council Entry'!P$9),'Council Entry'!P$8),'Council Entry'!P177)),IF('Council Entry'!P$4="Exponential",EXP(IF(AND(ISNUMBER('Council Entry'!P$8),ISNUMBER('Council Entry'!P$9)),MAX(MIN('Council Entry'!P177,'Council Entry'!P$9),'Council Entry'!P$8),'Council Entry'!P177)),IF(AND(ISNUMBER('Council Entry'!P$8),ISNUMBER('Council Entry'!P$9)),MAX(MIN('Council Entry'!P177,'Council Entry'!P$9),'Council Entry'!P$8),'Council Entry'!P177))))-'Council Entry'!P$5)/('Council Entry'!P$6-'Council Entry'!P$5),10*((IF('Council Entry'!P$4="Logarithm",LN(0.001+IF(AND(ISNUMBER('Council Entry'!P$8),ISNUMBER('Council Entry'!P$9)),MAX(MIN('Council Entry'!P177,'Council Entry'!P$9),'Council Entry'!P$8),'Council Entry'!P177)),IF('Council Entry'!P$4="Exponential",EXP(IF(AND(ISNUMBER('Council Entry'!P$8),ISNUMBER('Council Entry'!P$9)),MAX(MIN('Council Entry'!P177,'Council Entry'!P$9),'Council Entry'!P$8),'Council Entry'!P177)),IF(AND(ISNUMBER('Council Entry'!P$8),ISNUMBER('Council Entry'!P$9)),MAX(MIN('Council Entry'!P177,'Council Entry'!P$9),'Council Entry'!P$8),'Council Entry'!P177))))-'Council Entry'!P$5)/('Council Entry'!P$6-'Council Entry'!P$5)),1))),"No data"))</f>
        <v/>
      </c>
      <c r="Q177" s="13">
        <f>IF('Council Entry'!Q177="","",IFERROR(MAX(0,MIN(10,ROUND(IF('Council Entry'!Q$7="Decrease Risk",10-10*((IF('Council Entry'!Q$4="Logarithm",LN(0.001+IF(AND(ISNUMBER('Council Entry'!Q$8),ISNUMBER('Council Entry'!Q$9)),MAX(MIN('Council Entry'!Q177,'Council Entry'!Q$9),'Council Entry'!Q$8),'Council Entry'!Q177)),IF('Council Entry'!Q$4="Exponential",EXP(IF(AND(ISNUMBER('Council Entry'!Q$8),ISNUMBER('Council Entry'!Q$9)),MAX(MIN('Council Entry'!Q177,'Council Entry'!Q$9),'Council Entry'!Q$8),'Council Entry'!Q177)),IF(AND(ISNUMBER('Council Entry'!Q$8),ISNUMBER('Council Entry'!Q$9)),MAX(MIN('Council Entry'!Q177,'Council Entry'!Q$9),'Council Entry'!Q$8),'Council Entry'!Q177))))-'Council Entry'!Q$5)/('Council Entry'!Q$6-'Council Entry'!Q$5),10*((IF('Council Entry'!Q$4="Logarithm",LN(0.001+IF(AND(ISNUMBER('Council Entry'!Q$8),ISNUMBER('Council Entry'!Q$9)),MAX(MIN('Council Entry'!Q177,'Council Entry'!Q$9),'Council Entry'!Q$8),'Council Entry'!Q177)),IF('Council Entry'!Q$4="Exponential",EXP(IF(AND(ISNUMBER('Council Entry'!Q$8),ISNUMBER('Council Entry'!Q$9)),MAX(MIN('Council Entry'!Q177,'Council Entry'!Q$9),'Council Entry'!Q$8),'Council Entry'!Q177)),IF(AND(ISNUMBER('Council Entry'!Q$8),ISNUMBER('Council Entry'!Q$9)),MAX(MIN('Council Entry'!Q177,'Council Entry'!Q$9),'Council Entry'!Q$8),'Council Entry'!Q177))))-'Council Entry'!Q$5)/('Council Entry'!Q$6-'Council Entry'!Q$5)),1))),"No data"))</f>
        <v/>
      </c>
      <c r="R177" s="13">
        <f>IF('Council Entry'!R177="","",IFERROR(MAX(0,MIN(10,ROUND(IF('Council Entry'!R$7="Decrease Risk",10-10*((IF('Council Entry'!R$4="Logarithm",LN(0.001+IF(AND(ISNUMBER('Council Entry'!R$8),ISNUMBER('Council Entry'!R$9)),MAX(MIN('Council Entry'!R177,'Council Entry'!R$9),'Council Entry'!R$8),'Council Entry'!R177)),IF('Council Entry'!R$4="Exponential",EXP(IF(AND(ISNUMBER('Council Entry'!R$8),ISNUMBER('Council Entry'!R$9)),MAX(MIN('Council Entry'!R177,'Council Entry'!R$9),'Council Entry'!R$8),'Council Entry'!R177)),IF(AND(ISNUMBER('Council Entry'!R$8),ISNUMBER('Council Entry'!R$9)),MAX(MIN('Council Entry'!R177,'Council Entry'!R$9),'Council Entry'!R$8),'Council Entry'!R177))))-'Council Entry'!R$5)/('Council Entry'!R$6-'Council Entry'!R$5),10*((IF('Council Entry'!R$4="Logarithm",LN(0.001+IF(AND(ISNUMBER('Council Entry'!R$8),ISNUMBER('Council Entry'!R$9)),MAX(MIN('Council Entry'!R177,'Council Entry'!R$9),'Council Entry'!R$8),'Council Entry'!R177)),IF('Council Entry'!R$4="Exponential",EXP(IF(AND(ISNUMBER('Council Entry'!R$8),ISNUMBER('Council Entry'!R$9)),MAX(MIN('Council Entry'!R177,'Council Entry'!R$9),'Council Entry'!R$8),'Council Entry'!R177)),IF(AND(ISNUMBER('Council Entry'!R$8),ISNUMBER('Council Entry'!R$9)),MAX(MIN('Council Entry'!R177,'Council Entry'!R$9),'Council Entry'!R$8),'Council Entry'!R177))))-'Council Entry'!R$5)/('Council Entry'!R$6-'Council Entry'!R$5)),1))),"No data"))</f>
        <v/>
      </c>
      <c r="S177" s="13">
        <f>IF('Council Entry'!S177="","",IFERROR(MAX(0,MIN(10,ROUND(IF('Council Entry'!S$7="Decrease Risk",10-10*((IF('Council Entry'!S$4="Logarithm",LN(0.001+IF(AND(ISNUMBER('Council Entry'!S$8),ISNUMBER('Council Entry'!S$9)),MAX(MIN('Council Entry'!S177,'Council Entry'!S$9),'Council Entry'!S$8),'Council Entry'!S177)),IF('Council Entry'!S$4="Exponential",EXP(IF(AND(ISNUMBER('Council Entry'!S$8),ISNUMBER('Council Entry'!S$9)),MAX(MIN('Council Entry'!S177,'Council Entry'!S$9),'Council Entry'!S$8),'Council Entry'!S177)),IF(AND(ISNUMBER('Council Entry'!S$8),ISNUMBER('Council Entry'!S$9)),MAX(MIN('Council Entry'!S177,'Council Entry'!S$9),'Council Entry'!S$8),'Council Entry'!S177))))-'Council Entry'!S$5)/('Council Entry'!S$6-'Council Entry'!S$5),10*((IF('Council Entry'!S$4="Logarithm",LN(0.001+IF(AND(ISNUMBER('Council Entry'!S$8),ISNUMBER('Council Entry'!S$9)),MAX(MIN('Council Entry'!S177,'Council Entry'!S$9),'Council Entry'!S$8),'Council Entry'!S177)),IF('Council Entry'!S$4="Exponential",EXP(IF(AND(ISNUMBER('Council Entry'!S$8),ISNUMBER('Council Entry'!S$9)),MAX(MIN('Council Entry'!S177,'Council Entry'!S$9),'Council Entry'!S$8),'Council Entry'!S177)),IF(AND(ISNUMBER('Council Entry'!S$8),ISNUMBER('Council Entry'!S$9)),MAX(MIN('Council Entry'!S177,'Council Entry'!S$9),'Council Entry'!S$8),'Council Entry'!S177))))-'Council Entry'!S$5)/('Council Entry'!S$6-'Council Entry'!S$5)),1))),"No data"))</f>
        <v/>
      </c>
      <c r="T177" s="13">
        <f>IF('Council Entry'!T177="","",IFERROR(MAX(0,MIN(10,ROUND(IF('Council Entry'!T$7="Decrease Risk",10-10*((IF('Council Entry'!T$4="Logarithm",LN(0.001+IF(AND(ISNUMBER('Council Entry'!T$8),ISNUMBER('Council Entry'!T$9)),MAX(MIN('Council Entry'!T177,'Council Entry'!T$9),'Council Entry'!T$8),'Council Entry'!T177)),IF('Council Entry'!T$4="Exponential",EXP(IF(AND(ISNUMBER('Council Entry'!T$8),ISNUMBER('Council Entry'!T$9)),MAX(MIN('Council Entry'!T177,'Council Entry'!T$9),'Council Entry'!T$8),'Council Entry'!T177)),IF(AND(ISNUMBER('Council Entry'!T$8),ISNUMBER('Council Entry'!T$9)),MAX(MIN('Council Entry'!T177,'Council Entry'!T$9),'Council Entry'!T$8),'Council Entry'!T177))))-'Council Entry'!T$5)/('Council Entry'!T$6-'Council Entry'!T$5),10*((IF('Council Entry'!T$4="Logarithm",LN(0.001+IF(AND(ISNUMBER('Council Entry'!T$8),ISNUMBER('Council Entry'!T$9)),MAX(MIN('Council Entry'!T177,'Council Entry'!T$9),'Council Entry'!T$8),'Council Entry'!T177)),IF('Council Entry'!T$4="Exponential",EXP(IF(AND(ISNUMBER('Council Entry'!T$8),ISNUMBER('Council Entry'!T$9)),MAX(MIN('Council Entry'!T177,'Council Entry'!T$9),'Council Entry'!T$8),'Council Entry'!T177)),IF(AND(ISNUMBER('Council Entry'!T$8),ISNUMBER('Council Entry'!T$9)),MAX(MIN('Council Entry'!T177,'Council Entry'!T$9),'Council Entry'!T$8),'Council Entry'!T177))))-'Council Entry'!T$5)/('Council Entry'!T$6-'Council Entry'!T$5)),1))),"No data"))</f>
        <v/>
      </c>
      <c r="U177" s="13">
        <f>IF('Council Entry'!U177="","",IFERROR(MAX(0,MIN(10,ROUND(IF('Council Entry'!U$7="Decrease Risk",10-10*((IF('Council Entry'!U$4="Logarithm",LN(0.001+IF(AND(ISNUMBER('Council Entry'!U$8),ISNUMBER('Council Entry'!U$9)),MAX(MIN('Council Entry'!U177,'Council Entry'!U$9),'Council Entry'!U$8),'Council Entry'!U177)),IF('Council Entry'!U$4="Exponential",EXP(IF(AND(ISNUMBER('Council Entry'!U$8),ISNUMBER('Council Entry'!U$9)),MAX(MIN('Council Entry'!U177,'Council Entry'!U$9),'Council Entry'!U$8),'Council Entry'!U177)),IF(AND(ISNUMBER('Council Entry'!U$8),ISNUMBER('Council Entry'!U$9)),MAX(MIN('Council Entry'!U177,'Council Entry'!U$9),'Council Entry'!U$8),'Council Entry'!U177))))-'Council Entry'!U$5)/('Council Entry'!U$6-'Council Entry'!U$5),10*((IF('Council Entry'!U$4="Logarithm",LN(0.001+IF(AND(ISNUMBER('Council Entry'!U$8),ISNUMBER('Council Entry'!U$9)),MAX(MIN('Council Entry'!U177,'Council Entry'!U$9),'Council Entry'!U$8),'Council Entry'!U177)),IF('Council Entry'!U$4="Exponential",EXP(IF(AND(ISNUMBER('Council Entry'!U$8),ISNUMBER('Council Entry'!U$9)),MAX(MIN('Council Entry'!U177,'Council Entry'!U$9),'Council Entry'!U$8),'Council Entry'!U177)),IF(AND(ISNUMBER('Council Entry'!U$8),ISNUMBER('Council Entry'!U$9)),MAX(MIN('Council Entry'!U177,'Council Entry'!U$9),'Council Entry'!U$8),'Council Entry'!U177))))-'Council Entry'!U$5)/('Council Entry'!U$6-'Council Entry'!U$5)),1))),"No data"))</f>
        <v/>
      </c>
      <c r="V177" s="13">
        <f>IF('Council Entry'!V177="","",IFERROR(MAX(0,MIN(10,ROUND(IF('Council Entry'!V$7="Decrease Risk",10-10*((IF('Council Entry'!V$4="Logarithm",LN(0.001+IF(AND(ISNUMBER('Council Entry'!V$8),ISNUMBER('Council Entry'!V$9)),MAX(MIN('Council Entry'!V177,'Council Entry'!V$9),'Council Entry'!V$8),'Council Entry'!V177)),IF('Council Entry'!V$4="Exponential",EXP(IF(AND(ISNUMBER('Council Entry'!V$8),ISNUMBER('Council Entry'!V$9)),MAX(MIN('Council Entry'!V177,'Council Entry'!V$9),'Council Entry'!V$8),'Council Entry'!V177)),IF(AND(ISNUMBER('Council Entry'!V$8),ISNUMBER('Council Entry'!V$9)),MAX(MIN('Council Entry'!V177,'Council Entry'!V$9),'Council Entry'!V$8),'Council Entry'!V177))))-'Council Entry'!V$5)/('Council Entry'!V$6-'Council Entry'!V$5),10*((IF('Council Entry'!V$4="Logarithm",LN(0.001+IF(AND(ISNUMBER('Council Entry'!V$8),ISNUMBER('Council Entry'!V$9)),MAX(MIN('Council Entry'!V177,'Council Entry'!V$9),'Council Entry'!V$8),'Council Entry'!V177)),IF('Council Entry'!V$4="Exponential",EXP(IF(AND(ISNUMBER('Council Entry'!V$8),ISNUMBER('Council Entry'!V$9)),MAX(MIN('Council Entry'!V177,'Council Entry'!V$9),'Council Entry'!V$8),'Council Entry'!V177)),IF(AND(ISNUMBER('Council Entry'!V$8),ISNUMBER('Council Entry'!V$9)),MAX(MIN('Council Entry'!V177,'Council Entry'!V$9),'Council Entry'!V$8),'Council Entry'!V177))))-'Council Entry'!V$5)/('Council Entry'!V$6-'Council Entry'!V$5)),1))),"No data"))</f>
        <v/>
      </c>
      <c r="W177" s="13">
        <f>IF('Council Entry'!W177="","",IFERROR(MAX(0,MIN(10,ROUND(IF('Council Entry'!W$7="Decrease Risk",10-10*((IF('Council Entry'!W$4="Logarithm",LN(0.001+IF(AND(ISNUMBER('Council Entry'!W$8),ISNUMBER('Council Entry'!W$9)),MAX(MIN('Council Entry'!W177,'Council Entry'!W$9),'Council Entry'!W$8),'Council Entry'!W177)),IF('Council Entry'!W$4="Exponential",EXP(IF(AND(ISNUMBER('Council Entry'!W$8),ISNUMBER('Council Entry'!W$9)),MAX(MIN('Council Entry'!W177,'Council Entry'!W$9),'Council Entry'!W$8),'Council Entry'!W177)),IF(AND(ISNUMBER('Council Entry'!W$8),ISNUMBER('Council Entry'!W$9)),MAX(MIN('Council Entry'!W177,'Council Entry'!W$9),'Council Entry'!W$8),'Council Entry'!W177))))-'Council Entry'!W$5)/('Council Entry'!W$6-'Council Entry'!W$5),10*((IF('Council Entry'!W$4="Logarithm",LN(0.001+IF(AND(ISNUMBER('Council Entry'!W$8),ISNUMBER('Council Entry'!W$9)),MAX(MIN('Council Entry'!W177,'Council Entry'!W$9),'Council Entry'!W$8),'Council Entry'!W177)),IF('Council Entry'!W$4="Exponential",EXP(IF(AND(ISNUMBER('Council Entry'!W$8),ISNUMBER('Council Entry'!W$9)),MAX(MIN('Council Entry'!W177,'Council Entry'!W$9),'Council Entry'!W$8),'Council Entry'!W177)),IF(AND(ISNUMBER('Council Entry'!W$8),ISNUMBER('Council Entry'!W$9)),MAX(MIN('Council Entry'!W177,'Council Entry'!W$9),'Council Entry'!W$8),'Council Entry'!W177))))-'Council Entry'!W$5)/('Council Entry'!W$6-'Council Entry'!W$5)),1))),"No data"))</f>
        <v/>
      </c>
      <c r="X177" s="13">
        <f>IF('Council Entry'!X177="","",IFERROR(MAX(0,MIN(10,ROUND(IF('Council Entry'!X$7="Decrease Risk",10-10*((IF('Council Entry'!X$4="Logarithm",LN(0.001+IF(AND(ISNUMBER('Council Entry'!X$8),ISNUMBER('Council Entry'!X$9)),MAX(MIN('Council Entry'!X177,'Council Entry'!X$9),'Council Entry'!X$8),'Council Entry'!X177)),IF('Council Entry'!X$4="Exponential",EXP(IF(AND(ISNUMBER('Council Entry'!X$8),ISNUMBER('Council Entry'!X$9)),MAX(MIN('Council Entry'!X177,'Council Entry'!X$9),'Council Entry'!X$8),'Council Entry'!X177)),IF(AND(ISNUMBER('Council Entry'!X$8),ISNUMBER('Council Entry'!X$9)),MAX(MIN('Council Entry'!X177,'Council Entry'!X$9),'Council Entry'!X$8),'Council Entry'!X177))))-'Council Entry'!X$5)/('Council Entry'!X$6-'Council Entry'!X$5),10*((IF('Council Entry'!X$4="Logarithm",LN(0.001+IF(AND(ISNUMBER('Council Entry'!X$8),ISNUMBER('Council Entry'!X$9)),MAX(MIN('Council Entry'!X177,'Council Entry'!X$9),'Council Entry'!X$8),'Council Entry'!X177)),IF('Council Entry'!X$4="Exponential",EXP(IF(AND(ISNUMBER('Council Entry'!X$8),ISNUMBER('Council Entry'!X$9)),MAX(MIN('Council Entry'!X177,'Council Entry'!X$9),'Council Entry'!X$8),'Council Entry'!X177)),IF(AND(ISNUMBER('Council Entry'!X$8),ISNUMBER('Council Entry'!X$9)),MAX(MIN('Council Entry'!X177,'Council Entry'!X$9),'Council Entry'!X$8),'Council Entry'!X177))))-'Council Entry'!X$5)/('Council Entry'!X$6-'Council Entry'!X$5)),1))),"No data"))</f>
        <v/>
      </c>
      <c r="Y177" s="13">
        <f>IF('Council Entry'!Y177="","",IFERROR(MAX(0,MIN(10,ROUND(IF('Council Entry'!Y$7="Decrease Risk",10-10*((IF('Council Entry'!Y$4="Logarithm",LN(0.001+IF(AND(ISNUMBER('Council Entry'!Y$8),ISNUMBER('Council Entry'!Y$9)),MAX(MIN('Council Entry'!Y177,'Council Entry'!Y$9),'Council Entry'!Y$8),'Council Entry'!Y177)),IF('Council Entry'!Y$4="Exponential",EXP(IF(AND(ISNUMBER('Council Entry'!Y$8),ISNUMBER('Council Entry'!Y$9)),MAX(MIN('Council Entry'!Y177,'Council Entry'!Y$9),'Council Entry'!Y$8),'Council Entry'!Y177)),IF(AND(ISNUMBER('Council Entry'!Y$8),ISNUMBER('Council Entry'!Y$9)),MAX(MIN('Council Entry'!Y177,'Council Entry'!Y$9),'Council Entry'!Y$8),'Council Entry'!Y177))))-'Council Entry'!Y$5)/('Council Entry'!Y$6-'Council Entry'!Y$5),10*((IF('Council Entry'!Y$4="Logarithm",LN(0.001+IF(AND(ISNUMBER('Council Entry'!Y$8),ISNUMBER('Council Entry'!Y$9)),MAX(MIN('Council Entry'!Y177,'Council Entry'!Y$9),'Council Entry'!Y$8),'Council Entry'!Y177)),IF('Council Entry'!Y$4="Exponential",EXP(IF(AND(ISNUMBER('Council Entry'!Y$8),ISNUMBER('Council Entry'!Y$9)),MAX(MIN('Council Entry'!Y177,'Council Entry'!Y$9),'Council Entry'!Y$8),'Council Entry'!Y177)),IF(AND(ISNUMBER('Council Entry'!Y$8),ISNUMBER('Council Entry'!Y$9)),MAX(MIN('Council Entry'!Y177,'Council Entry'!Y$9),'Council Entry'!Y$8),'Council Entry'!Y177))))-'Council Entry'!Y$5)/('Council Entry'!Y$6-'Council Entry'!Y$5)),1))),"No data"))</f>
        <v/>
      </c>
      <c r="Z177" s="13">
        <f>IF('Council Entry'!Z177="","",IFERROR(MAX(0,MIN(10,ROUND(IF('Council Entry'!Z$7="Decrease Risk",10-10*((IF('Council Entry'!Z$4="Logarithm",LN(0.001+IF(AND(ISNUMBER('Council Entry'!Z$8),ISNUMBER('Council Entry'!Z$9)),MAX(MIN('Council Entry'!Z177,'Council Entry'!Z$9),'Council Entry'!Z$8),'Council Entry'!Z177)),IF('Council Entry'!Z$4="Exponential",EXP(IF(AND(ISNUMBER('Council Entry'!Z$8),ISNUMBER('Council Entry'!Z$9)),MAX(MIN('Council Entry'!Z177,'Council Entry'!Z$9),'Council Entry'!Z$8),'Council Entry'!Z177)),IF(AND(ISNUMBER('Council Entry'!Z$8),ISNUMBER('Council Entry'!Z$9)),MAX(MIN('Council Entry'!Z177,'Council Entry'!Z$9),'Council Entry'!Z$8),'Council Entry'!Z177))))-'Council Entry'!Z$5)/('Council Entry'!Z$6-'Council Entry'!Z$5),10*((IF('Council Entry'!Z$4="Logarithm",LN(0.001+IF(AND(ISNUMBER('Council Entry'!Z$8),ISNUMBER('Council Entry'!Z$9)),MAX(MIN('Council Entry'!Z177,'Council Entry'!Z$9),'Council Entry'!Z$8),'Council Entry'!Z177)),IF('Council Entry'!Z$4="Exponential",EXP(IF(AND(ISNUMBER('Council Entry'!Z$8),ISNUMBER('Council Entry'!Z$9)),MAX(MIN('Council Entry'!Z177,'Council Entry'!Z$9),'Council Entry'!Z$8),'Council Entry'!Z177)),IF(AND(ISNUMBER('Council Entry'!Z$8),ISNUMBER('Council Entry'!Z$9)),MAX(MIN('Council Entry'!Z177,'Council Entry'!Z$9),'Council Entry'!Z$8),'Council Entry'!Z177))))-'Council Entry'!Z$5)/('Council Entry'!Z$6-'Council Entry'!Z$5)),1))),"No data"))</f>
        <v/>
      </c>
      <c r="AA177" s="13">
        <f>IF('Council Entry'!AA177="","",IFERROR(MAX(0,MIN(10,ROUND(IF('Council Entry'!AA$7="Decrease Risk",10-10*((IF('Council Entry'!AA$4="Logarithm",LN(0.001+IF(AND(ISNUMBER('Council Entry'!AA$8),ISNUMBER('Council Entry'!AA$9)),MAX(MIN('Council Entry'!AA177,'Council Entry'!AA$9),'Council Entry'!AA$8),'Council Entry'!AA177)),IF('Council Entry'!AA$4="Exponential",EXP(IF(AND(ISNUMBER('Council Entry'!AA$8),ISNUMBER('Council Entry'!AA$9)),MAX(MIN('Council Entry'!AA177,'Council Entry'!AA$9),'Council Entry'!AA$8),'Council Entry'!AA177)),IF(AND(ISNUMBER('Council Entry'!AA$8),ISNUMBER('Council Entry'!AA$9)),MAX(MIN('Council Entry'!AA177,'Council Entry'!AA$9),'Council Entry'!AA$8),'Council Entry'!AA177))))-'Council Entry'!AA$5)/('Council Entry'!AA$6-'Council Entry'!AA$5),10*((IF('Council Entry'!AA$4="Logarithm",LN(0.001+IF(AND(ISNUMBER('Council Entry'!AA$8),ISNUMBER('Council Entry'!AA$9)),MAX(MIN('Council Entry'!AA177,'Council Entry'!AA$9),'Council Entry'!AA$8),'Council Entry'!AA177)),IF('Council Entry'!AA$4="Exponential",EXP(IF(AND(ISNUMBER('Council Entry'!AA$8),ISNUMBER('Council Entry'!AA$9)),MAX(MIN('Council Entry'!AA177,'Council Entry'!AA$9),'Council Entry'!AA$8),'Council Entry'!AA177)),IF(AND(ISNUMBER('Council Entry'!AA$8),ISNUMBER('Council Entry'!AA$9)),MAX(MIN('Council Entry'!AA177,'Council Entry'!AA$9),'Council Entry'!AA$8),'Council Entry'!AA177))))-'Council Entry'!AA$5)/('Council Entry'!AA$6-'Council Entry'!AA$5)),1))),"No data"))</f>
        <v/>
      </c>
      <c r="AB177" s="13">
        <f>IF('Council Entry'!AB177="","",IFERROR(MAX(0,MIN(10,ROUND(IF('Council Entry'!AB$7="Decrease Risk",10-10*((IF('Council Entry'!AB$4="Logarithm",LN(0.001+IF(AND(ISNUMBER('Council Entry'!AB$8),ISNUMBER('Council Entry'!AB$9)),MAX(MIN('Council Entry'!AB177,'Council Entry'!AB$9),'Council Entry'!AB$8),'Council Entry'!AB177)),IF('Council Entry'!AB$4="Exponential",EXP(IF(AND(ISNUMBER('Council Entry'!AB$8),ISNUMBER('Council Entry'!AB$9)),MAX(MIN('Council Entry'!AB177,'Council Entry'!AB$9),'Council Entry'!AB$8),'Council Entry'!AB177)),IF(AND(ISNUMBER('Council Entry'!AB$8),ISNUMBER('Council Entry'!AB$9)),MAX(MIN('Council Entry'!AB177,'Council Entry'!AB$9),'Council Entry'!AB$8),'Council Entry'!AB177))))-'Council Entry'!AB$5)/('Council Entry'!AB$6-'Council Entry'!AB$5),10*((IF('Council Entry'!AB$4="Logarithm",LN(0.001+IF(AND(ISNUMBER('Council Entry'!AB$8),ISNUMBER('Council Entry'!AB$9)),MAX(MIN('Council Entry'!AB177,'Council Entry'!AB$9),'Council Entry'!AB$8),'Council Entry'!AB177)),IF('Council Entry'!AB$4="Exponential",EXP(IF(AND(ISNUMBER('Council Entry'!AB$8),ISNUMBER('Council Entry'!AB$9)),MAX(MIN('Council Entry'!AB177,'Council Entry'!AB$9),'Council Entry'!AB$8),'Council Entry'!AB177)),IF(AND(ISNUMBER('Council Entry'!AB$8),ISNUMBER('Council Entry'!AB$9)),MAX(MIN('Council Entry'!AB177,'Council Entry'!AB$9),'Council Entry'!AB$8),'Council Entry'!AB177))))-'Council Entry'!AB$5)/('Council Entry'!AB$6-'Council Entry'!AB$5)),1))),"No data"))</f>
        <v/>
      </c>
      <c r="AC177" s="13">
        <f>IF('Council Entry'!AC177="","",IFERROR(MAX(0,MIN(10,ROUND(IF('Council Entry'!AC$7="Decrease Risk",10-10*((IF('Council Entry'!AC$4="Logarithm",LN(0.001+IF(AND(ISNUMBER('Council Entry'!AC$8),ISNUMBER('Council Entry'!AC$9)),MAX(MIN('Council Entry'!AC177,'Council Entry'!AC$9),'Council Entry'!AC$8),'Council Entry'!AC177)),IF('Council Entry'!AC$4="Exponential",EXP(IF(AND(ISNUMBER('Council Entry'!AC$8),ISNUMBER('Council Entry'!AC$9)),MAX(MIN('Council Entry'!AC177,'Council Entry'!AC$9),'Council Entry'!AC$8),'Council Entry'!AC177)),IF(AND(ISNUMBER('Council Entry'!AC$8),ISNUMBER('Council Entry'!AC$9)),MAX(MIN('Council Entry'!AC177,'Council Entry'!AC$9),'Council Entry'!AC$8),'Council Entry'!AC177))))-'Council Entry'!AC$5)/('Council Entry'!AC$6-'Council Entry'!AC$5),10*((IF('Council Entry'!AC$4="Logarithm",LN(0.001+IF(AND(ISNUMBER('Council Entry'!AC$8),ISNUMBER('Council Entry'!AC$9)),MAX(MIN('Council Entry'!AC177,'Council Entry'!AC$9),'Council Entry'!AC$8),'Council Entry'!AC177)),IF('Council Entry'!AC$4="Exponential",EXP(IF(AND(ISNUMBER('Council Entry'!AC$8),ISNUMBER('Council Entry'!AC$9)),MAX(MIN('Council Entry'!AC177,'Council Entry'!AC$9),'Council Entry'!AC$8),'Council Entry'!AC177)),IF(AND(ISNUMBER('Council Entry'!AC$8),ISNUMBER('Council Entry'!AC$9)),MAX(MIN('Council Entry'!AC177,'Council Entry'!AC$9),'Council Entry'!AC$8),'Council Entry'!AC177))))-'Council Entry'!AC$5)/('Council Entry'!AC$6-'Council Entry'!AC$5)),1))),"No data"))</f>
        <v/>
      </c>
      <c r="AD177" s="13">
        <f>IF('Council Entry'!AD177="","",IFERROR(MAX(0,MIN(10,ROUND(IF('Council Entry'!AD$7="Decrease Risk",10-10*((IF('Council Entry'!AD$4="Logarithm",LN(0.001+IF(AND(ISNUMBER('Council Entry'!AD$8),ISNUMBER('Council Entry'!AD$9)),MAX(MIN('Council Entry'!AD177,'Council Entry'!AD$9),'Council Entry'!AD$8),'Council Entry'!AD177)),IF('Council Entry'!AD$4="Exponential",EXP(IF(AND(ISNUMBER('Council Entry'!AD$8),ISNUMBER('Council Entry'!AD$9)),MAX(MIN('Council Entry'!AD177,'Council Entry'!AD$9),'Council Entry'!AD$8),'Council Entry'!AD177)),IF(AND(ISNUMBER('Council Entry'!AD$8),ISNUMBER('Council Entry'!AD$9)),MAX(MIN('Council Entry'!AD177,'Council Entry'!AD$9),'Council Entry'!AD$8),'Council Entry'!AD177))))-'Council Entry'!AD$5)/('Council Entry'!AD$6-'Council Entry'!AD$5),10*((IF('Council Entry'!AD$4="Logarithm",LN(0.001+IF(AND(ISNUMBER('Council Entry'!AD$8),ISNUMBER('Council Entry'!AD$9)),MAX(MIN('Council Entry'!AD177,'Council Entry'!AD$9),'Council Entry'!AD$8),'Council Entry'!AD177)),IF('Council Entry'!AD$4="Exponential",EXP(IF(AND(ISNUMBER('Council Entry'!AD$8),ISNUMBER('Council Entry'!AD$9)),MAX(MIN('Council Entry'!AD177,'Council Entry'!AD$9),'Council Entry'!AD$8),'Council Entry'!AD177)),IF(AND(ISNUMBER('Council Entry'!AD$8),ISNUMBER('Council Entry'!AD$9)),MAX(MIN('Council Entry'!AD177,'Council Entry'!AD$9),'Council Entry'!AD$8),'Council Entry'!AD177))))-'Council Entry'!AD$5)/('Council Entry'!AD$6-'Council Entry'!AD$5)),1))),"No data"))</f>
        <v/>
      </c>
      <c r="AE177" s="13">
        <f>IF('Council Entry'!AE177="","",IFERROR(MAX(0,MIN(10,ROUND(IF('Council Entry'!AE$7="Decrease Risk",10-10*((IF('Council Entry'!AE$4="Logarithm",LN(0.001+IF(AND(ISNUMBER('Council Entry'!AE$8),ISNUMBER('Council Entry'!AE$9)),MAX(MIN('Council Entry'!AE177,'Council Entry'!AE$9),'Council Entry'!AE$8),'Council Entry'!AE177)),IF('Council Entry'!AE$4="Exponential",EXP(IF(AND(ISNUMBER('Council Entry'!AE$8),ISNUMBER('Council Entry'!AE$9)),MAX(MIN('Council Entry'!AE177,'Council Entry'!AE$9),'Council Entry'!AE$8),'Council Entry'!AE177)),IF(AND(ISNUMBER('Council Entry'!AE$8),ISNUMBER('Council Entry'!AE$9)),MAX(MIN('Council Entry'!AE177,'Council Entry'!AE$9),'Council Entry'!AE$8),'Council Entry'!AE177))))-'Council Entry'!AE$5)/('Council Entry'!AE$6-'Council Entry'!AE$5),10*((IF('Council Entry'!AE$4="Logarithm",LN(0.001+IF(AND(ISNUMBER('Council Entry'!AE$8),ISNUMBER('Council Entry'!AE$9)),MAX(MIN('Council Entry'!AE177,'Council Entry'!AE$9),'Council Entry'!AE$8),'Council Entry'!AE177)),IF('Council Entry'!AE$4="Exponential",EXP(IF(AND(ISNUMBER('Council Entry'!AE$8),ISNUMBER('Council Entry'!AE$9)),MAX(MIN('Council Entry'!AE177,'Council Entry'!AE$9),'Council Entry'!AE$8),'Council Entry'!AE177)),IF(AND(ISNUMBER('Council Entry'!AE$8),ISNUMBER('Council Entry'!AE$9)),MAX(MIN('Council Entry'!AE177,'Council Entry'!AE$9),'Council Entry'!AE$8),'Council Entry'!AE177))))-'Council Entry'!AE$5)/('Council Entry'!AE$6-'Council Entry'!AE$5)),1))),"No data"))</f>
        <v/>
      </c>
      <c r="AF177" s="13">
        <f>IF('Council Entry'!AF177="","",IFERROR(MAX(0,MIN(10,ROUND(IF('Council Entry'!AF$7="Decrease Risk",10-10*((IF('Council Entry'!AF$4="Logarithm",LN(0.001+IF(AND(ISNUMBER('Council Entry'!AF$8),ISNUMBER('Council Entry'!AF$9)),MAX(MIN('Council Entry'!AF177,'Council Entry'!AF$9),'Council Entry'!AF$8),'Council Entry'!AF177)),IF('Council Entry'!AF$4="Exponential",EXP(IF(AND(ISNUMBER('Council Entry'!AF$8),ISNUMBER('Council Entry'!AF$9)),MAX(MIN('Council Entry'!AF177,'Council Entry'!AF$9),'Council Entry'!AF$8),'Council Entry'!AF177)),IF(AND(ISNUMBER('Council Entry'!AF$8),ISNUMBER('Council Entry'!AF$9)),MAX(MIN('Council Entry'!AF177,'Council Entry'!AF$9),'Council Entry'!AF$8),'Council Entry'!AF177))))-'Council Entry'!AF$5)/('Council Entry'!AF$6-'Council Entry'!AF$5),10*((IF('Council Entry'!AF$4="Logarithm",LN(0.001+IF(AND(ISNUMBER('Council Entry'!AF$8),ISNUMBER('Council Entry'!AF$9)),MAX(MIN('Council Entry'!AF177,'Council Entry'!AF$9),'Council Entry'!AF$8),'Council Entry'!AF177)),IF('Council Entry'!AF$4="Exponential",EXP(IF(AND(ISNUMBER('Council Entry'!AF$8),ISNUMBER('Council Entry'!AF$9)),MAX(MIN('Council Entry'!AF177,'Council Entry'!AF$9),'Council Entry'!AF$8),'Council Entry'!AF177)),IF(AND(ISNUMBER('Council Entry'!AF$8),ISNUMBER('Council Entry'!AF$9)),MAX(MIN('Council Entry'!AF177,'Council Entry'!AF$9),'Council Entry'!AF$8),'Council Entry'!AF177))))-'Council Entry'!AF$5)/('Council Entry'!AF$6-'Council Entry'!AF$5)),1))),"No data"))</f>
        <v/>
      </c>
      <c r="AG177" s="13">
        <f>IF('Council Entry'!AG177="","",IFERROR(MAX(0,MIN(10,ROUND(IF('Council Entry'!AG$7="Decrease Risk",10-10*((IF('Council Entry'!AG$4="Logarithm",LN(0.001+IF(AND(ISNUMBER('Council Entry'!AG$8),ISNUMBER('Council Entry'!AG$9)),MAX(MIN('Council Entry'!AG177,'Council Entry'!AG$9),'Council Entry'!AG$8),'Council Entry'!AG177)),IF('Council Entry'!AG$4="Exponential",EXP(IF(AND(ISNUMBER('Council Entry'!AG$8),ISNUMBER('Council Entry'!AG$9)),MAX(MIN('Council Entry'!AG177,'Council Entry'!AG$9),'Council Entry'!AG$8),'Council Entry'!AG177)),IF(AND(ISNUMBER('Council Entry'!AG$8),ISNUMBER('Council Entry'!AG$9)),MAX(MIN('Council Entry'!AG177,'Council Entry'!AG$9),'Council Entry'!AG$8),'Council Entry'!AG177))))-'Council Entry'!AG$5)/('Council Entry'!AG$6-'Council Entry'!AG$5),10*((IF('Council Entry'!AG$4="Logarithm",LN(0.001+IF(AND(ISNUMBER('Council Entry'!AG$8),ISNUMBER('Council Entry'!AG$9)),MAX(MIN('Council Entry'!AG177,'Council Entry'!AG$9),'Council Entry'!AG$8),'Council Entry'!AG177)),IF('Council Entry'!AG$4="Exponential",EXP(IF(AND(ISNUMBER('Council Entry'!AG$8),ISNUMBER('Council Entry'!AG$9)),MAX(MIN('Council Entry'!AG177,'Council Entry'!AG$9),'Council Entry'!AG$8),'Council Entry'!AG177)),IF(AND(ISNUMBER('Council Entry'!AG$8),ISNUMBER('Council Entry'!AG$9)),MAX(MIN('Council Entry'!AG177,'Council Entry'!AG$9),'Council Entry'!AG$8),'Council Entry'!AG177))))-'Council Entry'!AG$5)/('Council Entry'!AG$6-'Council Entry'!AG$5)),1))),"No data"))</f>
        <v/>
      </c>
      <c r="AH177" s="13">
        <f>IF('Council Entry'!AH177="","",IFERROR(MAX(0,MIN(10,ROUND(IF('Council Entry'!AH$7="Decrease Risk",10-10*((IF('Council Entry'!AH$4="Logarithm",LN(0.001+IF(AND(ISNUMBER('Council Entry'!AH$8),ISNUMBER('Council Entry'!AH$9)),MAX(MIN('Council Entry'!AH177,'Council Entry'!AH$9),'Council Entry'!AH$8),'Council Entry'!AH177)),IF('Council Entry'!AH$4="Exponential",EXP(IF(AND(ISNUMBER('Council Entry'!AH$8),ISNUMBER('Council Entry'!AH$9)),MAX(MIN('Council Entry'!AH177,'Council Entry'!AH$9),'Council Entry'!AH$8),'Council Entry'!AH177)),IF(AND(ISNUMBER('Council Entry'!AH$8),ISNUMBER('Council Entry'!AH$9)),MAX(MIN('Council Entry'!AH177,'Council Entry'!AH$9),'Council Entry'!AH$8),'Council Entry'!AH177))))-'Council Entry'!AH$5)/('Council Entry'!AH$6-'Council Entry'!AH$5),10*((IF('Council Entry'!AH$4="Logarithm",LN(0.001+IF(AND(ISNUMBER('Council Entry'!AH$8),ISNUMBER('Council Entry'!AH$9)),MAX(MIN('Council Entry'!AH177,'Council Entry'!AH$9),'Council Entry'!AH$8),'Council Entry'!AH177)),IF('Council Entry'!AH$4="Exponential",EXP(IF(AND(ISNUMBER('Council Entry'!AH$8),ISNUMBER('Council Entry'!AH$9)),MAX(MIN('Council Entry'!AH177,'Council Entry'!AH$9),'Council Entry'!AH$8),'Council Entry'!AH177)),IF(AND(ISNUMBER('Council Entry'!AH$8),ISNUMBER('Council Entry'!AH$9)),MAX(MIN('Council Entry'!AH177,'Council Entry'!AH$9),'Council Entry'!AH$8),'Council Entry'!AH177))))-'Council Entry'!AH$5)/('Council Entry'!AH$6-'Council Entry'!AH$5)),1))),"No data"))</f>
        <v/>
      </c>
      <c r="AI177" s="13">
        <f>IF('Council Entry'!AI177="","",IFERROR(MAX(0,MIN(10,ROUND(IF('Council Entry'!AI$7="Decrease Risk",10-10*((IF('Council Entry'!AI$4="Logarithm",LN(0.001+IF(AND(ISNUMBER('Council Entry'!AI$8),ISNUMBER('Council Entry'!AI$9)),MAX(MIN('Council Entry'!AI177,'Council Entry'!AI$9),'Council Entry'!AI$8),'Council Entry'!AI177)),IF('Council Entry'!AI$4="Exponential",EXP(IF(AND(ISNUMBER('Council Entry'!AI$8),ISNUMBER('Council Entry'!AI$9)),MAX(MIN('Council Entry'!AI177,'Council Entry'!AI$9),'Council Entry'!AI$8),'Council Entry'!AI177)),IF(AND(ISNUMBER('Council Entry'!AI$8),ISNUMBER('Council Entry'!AI$9)),MAX(MIN('Council Entry'!AI177,'Council Entry'!AI$9),'Council Entry'!AI$8),'Council Entry'!AI177))))-'Council Entry'!AI$5)/('Council Entry'!AI$6-'Council Entry'!AI$5),10*((IF('Council Entry'!AI$4="Logarithm",LN(0.001+IF(AND(ISNUMBER('Council Entry'!AI$8),ISNUMBER('Council Entry'!AI$9)),MAX(MIN('Council Entry'!AI177,'Council Entry'!AI$9),'Council Entry'!AI$8),'Council Entry'!AI177)),IF('Council Entry'!AI$4="Exponential",EXP(IF(AND(ISNUMBER('Council Entry'!AI$8),ISNUMBER('Council Entry'!AI$9)),MAX(MIN('Council Entry'!AI177,'Council Entry'!AI$9),'Council Entry'!AI$8),'Council Entry'!AI177)),IF(AND(ISNUMBER('Council Entry'!AI$8),ISNUMBER('Council Entry'!AI$9)),MAX(MIN('Council Entry'!AI177,'Council Entry'!AI$9),'Council Entry'!AI$8),'Council Entry'!AI177))))-'Council Entry'!AI$5)/('Council Entry'!AI$6-'Council Entry'!AI$5)),1))),"No data"))</f>
        <v/>
      </c>
      <c r="AJ177" s="13">
        <f>IF('Council Entry'!AJ177="","",IFERROR(MAX(0,MIN(10,ROUND(IF('Council Entry'!AJ$7="Decrease Risk",10-10*((IF('Council Entry'!AJ$4="Logarithm",LN(0.001+IF(AND(ISNUMBER('Council Entry'!AJ$8),ISNUMBER('Council Entry'!AJ$9)),MAX(MIN('Council Entry'!AJ177,'Council Entry'!AJ$9),'Council Entry'!AJ$8),'Council Entry'!AJ177)),IF('Council Entry'!AJ$4="Exponential",EXP(IF(AND(ISNUMBER('Council Entry'!AJ$8),ISNUMBER('Council Entry'!AJ$9)),MAX(MIN('Council Entry'!AJ177,'Council Entry'!AJ$9),'Council Entry'!AJ$8),'Council Entry'!AJ177)),IF(AND(ISNUMBER('Council Entry'!AJ$8),ISNUMBER('Council Entry'!AJ$9)),MAX(MIN('Council Entry'!AJ177,'Council Entry'!AJ$9),'Council Entry'!AJ$8),'Council Entry'!AJ177))))-'Council Entry'!AJ$5)/('Council Entry'!AJ$6-'Council Entry'!AJ$5),10*((IF('Council Entry'!AJ$4="Logarithm",LN(0.001+IF(AND(ISNUMBER('Council Entry'!AJ$8),ISNUMBER('Council Entry'!AJ$9)),MAX(MIN('Council Entry'!AJ177,'Council Entry'!AJ$9),'Council Entry'!AJ$8),'Council Entry'!AJ177)),IF('Council Entry'!AJ$4="Exponential",EXP(IF(AND(ISNUMBER('Council Entry'!AJ$8),ISNUMBER('Council Entry'!AJ$9)),MAX(MIN('Council Entry'!AJ177,'Council Entry'!AJ$9),'Council Entry'!AJ$8),'Council Entry'!AJ177)),IF(AND(ISNUMBER('Council Entry'!AJ$8),ISNUMBER('Council Entry'!AJ$9)),MAX(MIN('Council Entry'!AJ177,'Council Entry'!AJ$9),'Council Entry'!AJ$8),'Council Entry'!AJ177))))-'Council Entry'!AJ$5)/('Council Entry'!AJ$6-'Council Entry'!AJ$5)),1))),"No data"))</f>
        <v/>
      </c>
      <c r="AK177" s="13">
        <f>IF('Council Entry'!AK177="","",IFERROR(MAX(0,MIN(10,ROUND(IF('Council Entry'!AK$7="Decrease Risk",10-10*((IF('Council Entry'!AK$4="Logarithm",LN(0.001+IF(AND(ISNUMBER('Council Entry'!AK$8),ISNUMBER('Council Entry'!AK$9)),MAX(MIN('Council Entry'!AK177,'Council Entry'!AK$9),'Council Entry'!AK$8),'Council Entry'!AK177)),IF('Council Entry'!AK$4="Exponential",EXP(IF(AND(ISNUMBER('Council Entry'!AK$8),ISNUMBER('Council Entry'!AK$9)),MAX(MIN('Council Entry'!AK177,'Council Entry'!AK$9),'Council Entry'!AK$8),'Council Entry'!AK177)),IF(AND(ISNUMBER('Council Entry'!AK$8),ISNUMBER('Council Entry'!AK$9)),MAX(MIN('Council Entry'!AK177,'Council Entry'!AK$9),'Council Entry'!AK$8),'Council Entry'!AK177))))-'Council Entry'!AK$5)/('Council Entry'!AK$6-'Council Entry'!AK$5),10*((IF('Council Entry'!AK$4="Logarithm",LN(0.001+IF(AND(ISNUMBER('Council Entry'!AK$8),ISNUMBER('Council Entry'!AK$9)),MAX(MIN('Council Entry'!AK177,'Council Entry'!AK$9),'Council Entry'!AK$8),'Council Entry'!AK177)),IF('Council Entry'!AK$4="Exponential",EXP(IF(AND(ISNUMBER('Council Entry'!AK$8),ISNUMBER('Council Entry'!AK$9)),MAX(MIN('Council Entry'!AK177,'Council Entry'!AK$9),'Council Entry'!AK$8),'Council Entry'!AK177)),IF(AND(ISNUMBER('Council Entry'!AK$8),ISNUMBER('Council Entry'!AK$9)),MAX(MIN('Council Entry'!AK177,'Council Entry'!AK$9),'Council Entry'!AK$8),'Council Entry'!AK177))))-'Council Entry'!AK$5)/('Council Entry'!AK$6-'Council Entry'!AK$5)),1))),"No data"))</f>
        <v/>
      </c>
      <c r="AL177" s="13">
        <f>IF('Council Entry'!AL177="","",IFERROR(MAX(0,MIN(10,ROUND(IF('Council Entry'!AL$7="Decrease Risk",10-10*((IF('Council Entry'!AL$4="Logarithm",LN(0.001+IF(AND(ISNUMBER('Council Entry'!AL$8),ISNUMBER('Council Entry'!AL$9)),MAX(MIN('Council Entry'!AL177,'Council Entry'!AL$9),'Council Entry'!AL$8),'Council Entry'!AL177)),IF('Council Entry'!AL$4="Exponential",EXP(IF(AND(ISNUMBER('Council Entry'!AL$8),ISNUMBER('Council Entry'!AL$9)),MAX(MIN('Council Entry'!AL177,'Council Entry'!AL$9),'Council Entry'!AL$8),'Council Entry'!AL177)),IF(AND(ISNUMBER('Council Entry'!AL$8),ISNUMBER('Council Entry'!AL$9)),MAX(MIN('Council Entry'!AL177,'Council Entry'!AL$9),'Council Entry'!AL$8),'Council Entry'!AL177))))-'Council Entry'!AL$5)/('Council Entry'!AL$6-'Council Entry'!AL$5),10*((IF('Council Entry'!AL$4="Logarithm",LN(0.001+IF(AND(ISNUMBER('Council Entry'!AL$8),ISNUMBER('Council Entry'!AL$9)),MAX(MIN('Council Entry'!AL177,'Council Entry'!AL$9),'Council Entry'!AL$8),'Council Entry'!AL177)),IF('Council Entry'!AL$4="Exponential",EXP(IF(AND(ISNUMBER('Council Entry'!AL$8),ISNUMBER('Council Entry'!AL$9)),MAX(MIN('Council Entry'!AL177,'Council Entry'!AL$9),'Council Entry'!AL$8),'Council Entry'!AL177)),IF(AND(ISNUMBER('Council Entry'!AL$8),ISNUMBER('Council Entry'!AL$9)),MAX(MIN('Council Entry'!AL177,'Council Entry'!AL$9),'Council Entry'!AL$8),'Council Entry'!AL177))))-'Council Entry'!AL$5)/('Council Entry'!AL$6-'Council Entry'!AL$5)),1))),"No data"))</f>
        <v/>
      </c>
      <c r="AM177" s="13">
        <f>IF('Council Entry'!AM177="","",IFERROR(MAX(0,MIN(10,ROUND(IF('Council Entry'!AM$7="Decrease Risk",10-10*((IF('Council Entry'!AM$4="Logarithm",LN(0.001+IF(AND(ISNUMBER('Council Entry'!AM$8),ISNUMBER('Council Entry'!AM$9)),MAX(MIN('Council Entry'!AM177,'Council Entry'!AM$9),'Council Entry'!AM$8),'Council Entry'!AM177)),IF('Council Entry'!AM$4="Exponential",EXP(IF(AND(ISNUMBER('Council Entry'!AM$8),ISNUMBER('Council Entry'!AM$9)),MAX(MIN('Council Entry'!AM177,'Council Entry'!AM$9),'Council Entry'!AM$8),'Council Entry'!AM177)),IF(AND(ISNUMBER('Council Entry'!AM$8),ISNUMBER('Council Entry'!AM$9)),MAX(MIN('Council Entry'!AM177,'Council Entry'!AM$9),'Council Entry'!AM$8),'Council Entry'!AM177))))-'Council Entry'!AM$5)/('Council Entry'!AM$6-'Council Entry'!AM$5),10*((IF('Council Entry'!AM$4="Logarithm",LN(0.001+IF(AND(ISNUMBER('Council Entry'!AM$8),ISNUMBER('Council Entry'!AM$9)),MAX(MIN('Council Entry'!AM177,'Council Entry'!AM$9),'Council Entry'!AM$8),'Council Entry'!AM177)),IF('Council Entry'!AM$4="Exponential",EXP(IF(AND(ISNUMBER('Council Entry'!AM$8),ISNUMBER('Council Entry'!AM$9)),MAX(MIN('Council Entry'!AM177,'Council Entry'!AM$9),'Council Entry'!AM$8),'Council Entry'!AM177)),IF(AND(ISNUMBER('Council Entry'!AM$8),ISNUMBER('Council Entry'!AM$9)),MAX(MIN('Council Entry'!AM177,'Council Entry'!AM$9),'Council Entry'!AM$8),'Council Entry'!AM177))))-'Council Entry'!AM$5)/('Council Entry'!AM$6-'Council Entry'!AM$5)),1))),"No data"))</f>
        <v/>
      </c>
      <c r="AN177" s="13">
        <f>IF('Council Entry'!AN177="","",IFERROR(MAX(0,MIN(10,ROUND(IF('Council Entry'!AN$7="Decrease Risk",10-10*((IF('Council Entry'!AN$4="Logarithm",LN(0.001+IF(AND(ISNUMBER('Council Entry'!AN$8),ISNUMBER('Council Entry'!AN$9)),MAX(MIN('Council Entry'!AN177,'Council Entry'!AN$9),'Council Entry'!AN$8),'Council Entry'!AN177)),IF('Council Entry'!AN$4="Exponential",EXP(IF(AND(ISNUMBER('Council Entry'!AN$8),ISNUMBER('Council Entry'!AN$9)),MAX(MIN('Council Entry'!AN177,'Council Entry'!AN$9),'Council Entry'!AN$8),'Council Entry'!AN177)),IF(AND(ISNUMBER('Council Entry'!AN$8),ISNUMBER('Council Entry'!AN$9)),MAX(MIN('Council Entry'!AN177,'Council Entry'!AN$9),'Council Entry'!AN$8),'Council Entry'!AN177))))-'Council Entry'!AN$5)/('Council Entry'!AN$6-'Council Entry'!AN$5),10*((IF('Council Entry'!AN$4="Logarithm",LN(0.001+IF(AND(ISNUMBER('Council Entry'!AN$8),ISNUMBER('Council Entry'!AN$9)),MAX(MIN('Council Entry'!AN177,'Council Entry'!AN$9),'Council Entry'!AN$8),'Council Entry'!AN177)),IF('Council Entry'!AN$4="Exponential",EXP(IF(AND(ISNUMBER('Council Entry'!AN$8),ISNUMBER('Council Entry'!AN$9)),MAX(MIN('Council Entry'!AN177,'Council Entry'!AN$9),'Council Entry'!AN$8),'Council Entry'!AN177)),IF(AND(ISNUMBER('Council Entry'!AN$8),ISNUMBER('Council Entry'!AN$9)),MAX(MIN('Council Entry'!AN177,'Council Entry'!AN$9),'Council Entry'!AN$8),'Council Entry'!AN177))))-'Council Entry'!AN$5)/('Council Entry'!AN$6-'Council Entry'!AN$5)),1))),"No data"))</f>
        <v/>
      </c>
      <c r="AO177" s="13">
        <f>IF('Council Entry'!AO177="","",IFERROR(MAX(0,MIN(10,ROUND(IF('Council Entry'!AO$7="Decrease Risk",10-10*((IF('Council Entry'!AO$4="Logarithm",LN(0.001+IF(AND(ISNUMBER('Council Entry'!AO$8),ISNUMBER('Council Entry'!AO$9)),MAX(MIN('Council Entry'!AO177,'Council Entry'!AO$9),'Council Entry'!AO$8),'Council Entry'!AO177)),IF('Council Entry'!AO$4="Exponential",EXP(IF(AND(ISNUMBER('Council Entry'!AO$8),ISNUMBER('Council Entry'!AO$9)),MAX(MIN('Council Entry'!AO177,'Council Entry'!AO$9),'Council Entry'!AO$8),'Council Entry'!AO177)),IF(AND(ISNUMBER('Council Entry'!AO$8),ISNUMBER('Council Entry'!AO$9)),MAX(MIN('Council Entry'!AO177,'Council Entry'!AO$9),'Council Entry'!AO$8),'Council Entry'!AO177))))-'Council Entry'!AO$5)/('Council Entry'!AO$6-'Council Entry'!AO$5),10*((IF('Council Entry'!AO$4="Logarithm",LN(0.001+IF(AND(ISNUMBER('Council Entry'!AO$8),ISNUMBER('Council Entry'!AO$9)),MAX(MIN('Council Entry'!AO177,'Council Entry'!AO$9),'Council Entry'!AO$8),'Council Entry'!AO177)),IF('Council Entry'!AO$4="Exponential",EXP(IF(AND(ISNUMBER('Council Entry'!AO$8),ISNUMBER('Council Entry'!AO$9)),MAX(MIN('Council Entry'!AO177,'Council Entry'!AO$9),'Council Entry'!AO$8),'Council Entry'!AO177)),IF(AND(ISNUMBER('Council Entry'!AO$8),ISNUMBER('Council Entry'!AO$9)),MAX(MIN('Council Entry'!AO177,'Council Entry'!AO$9),'Council Entry'!AO$8),'Council Entry'!AO177))))-'Council Entry'!AO$5)/('Council Entry'!AO$6-'Council Entry'!AO$5)),1))),"No data"))</f>
        <v/>
      </c>
      <c r="AP177" s="13">
        <f>IF('Council Entry'!AP177="","",IFERROR(MAX(0,MIN(10,ROUND(IF('Council Entry'!AP$7="Decrease Risk",10-10*((IF('Council Entry'!AP$4="Logarithm",LN(0.001+IF(AND(ISNUMBER('Council Entry'!AP$8),ISNUMBER('Council Entry'!AP$9)),MAX(MIN('Council Entry'!AP177,'Council Entry'!AP$9),'Council Entry'!AP$8),'Council Entry'!AP177)),IF('Council Entry'!AP$4="Exponential",EXP(IF(AND(ISNUMBER('Council Entry'!AP$8),ISNUMBER('Council Entry'!AP$9)),MAX(MIN('Council Entry'!AP177,'Council Entry'!AP$9),'Council Entry'!AP$8),'Council Entry'!AP177)),IF(AND(ISNUMBER('Council Entry'!AP$8),ISNUMBER('Council Entry'!AP$9)),MAX(MIN('Council Entry'!AP177,'Council Entry'!AP$9),'Council Entry'!AP$8),'Council Entry'!AP177))))-'Council Entry'!AP$5)/('Council Entry'!AP$6-'Council Entry'!AP$5),10*((IF('Council Entry'!AP$4="Logarithm",LN(0.001+IF(AND(ISNUMBER('Council Entry'!AP$8),ISNUMBER('Council Entry'!AP$9)),MAX(MIN('Council Entry'!AP177,'Council Entry'!AP$9),'Council Entry'!AP$8),'Council Entry'!AP177)),IF('Council Entry'!AP$4="Exponential",EXP(IF(AND(ISNUMBER('Council Entry'!AP$8),ISNUMBER('Council Entry'!AP$9)),MAX(MIN('Council Entry'!AP177,'Council Entry'!AP$9),'Council Entry'!AP$8),'Council Entry'!AP177)),IF(AND(ISNUMBER('Council Entry'!AP$8),ISNUMBER('Council Entry'!AP$9)),MAX(MIN('Council Entry'!AP177,'Council Entry'!AP$9),'Council Entry'!AP$8),'Council Entry'!AP177))))-'Council Entry'!AP$5)/('Council Entry'!AP$6-'Council Entry'!AP$5)),1))),"No data"))</f>
        <v/>
      </c>
      <c r="AQ177" s="13">
        <f>IF('Council Entry'!AQ177="","",IFERROR(MAX(0,MIN(10,ROUND(IF('Council Entry'!AQ$7="Decrease Risk",10-10*((IF('Council Entry'!AQ$4="Logarithm",LN(0.001+IF(AND(ISNUMBER('Council Entry'!AQ$8),ISNUMBER('Council Entry'!AQ$9)),MAX(MIN('Council Entry'!AQ177,'Council Entry'!AQ$9),'Council Entry'!AQ$8),'Council Entry'!AQ177)),IF('Council Entry'!AQ$4="Exponential",EXP(IF(AND(ISNUMBER('Council Entry'!AQ$8),ISNUMBER('Council Entry'!AQ$9)),MAX(MIN('Council Entry'!AQ177,'Council Entry'!AQ$9),'Council Entry'!AQ$8),'Council Entry'!AQ177)),IF(AND(ISNUMBER('Council Entry'!AQ$8),ISNUMBER('Council Entry'!AQ$9)),MAX(MIN('Council Entry'!AQ177,'Council Entry'!AQ$9),'Council Entry'!AQ$8),'Council Entry'!AQ177))))-'Council Entry'!AQ$5)/('Council Entry'!AQ$6-'Council Entry'!AQ$5),10*((IF('Council Entry'!AQ$4="Logarithm",LN(0.001+IF(AND(ISNUMBER('Council Entry'!AQ$8),ISNUMBER('Council Entry'!AQ$9)),MAX(MIN('Council Entry'!AQ177,'Council Entry'!AQ$9),'Council Entry'!AQ$8),'Council Entry'!AQ177)),IF('Council Entry'!AQ$4="Exponential",EXP(IF(AND(ISNUMBER('Council Entry'!AQ$8),ISNUMBER('Council Entry'!AQ$9)),MAX(MIN('Council Entry'!AQ177,'Council Entry'!AQ$9),'Council Entry'!AQ$8),'Council Entry'!AQ177)),IF(AND(ISNUMBER('Council Entry'!AQ$8),ISNUMBER('Council Entry'!AQ$9)),MAX(MIN('Council Entry'!AQ177,'Council Entry'!AQ$9),'Council Entry'!AQ$8),'Council Entry'!AQ177))))-'Council Entry'!AQ$5)/('Council Entry'!AQ$6-'Council Entry'!AQ$5)),1))),"No data"))</f>
        <v/>
      </c>
      <c r="AR177" s="13">
        <f>IF('Council Entry'!AR177="","",IFERROR(MAX(0,MIN(10,ROUND(IF('Council Entry'!AR$7="Decrease Risk",10-10*((IF('Council Entry'!AR$4="Logarithm",LN(0.001+IF(AND(ISNUMBER('Council Entry'!AR$8),ISNUMBER('Council Entry'!AR$9)),MAX(MIN('Council Entry'!AR177,'Council Entry'!AR$9),'Council Entry'!AR$8),'Council Entry'!AR177)),IF('Council Entry'!AR$4="Exponential",EXP(IF(AND(ISNUMBER('Council Entry'!AR$8),ISNUMBER('Council Entry'!AR$9)),MAX(MIN('Council Entry'!AR177,'Council Entry'!AR$9),'Council Entry'!AR$8),'Council Entry'!AR177)),IF(AND(ISNUMBER('Council Entry'!AR$8),ISNUMBER('Council Entry'!AR$9)),MAX(MIN('Council Entry'!AR177,'Council Entry'!AR$9),'Council Entry'!AR$8),'Council Entry'!AR177))))-'Council Entry'!AR$5)/('Council Entry'!AR$6-'Council Entry'!AR$5),10*((IF('Council Entry'!AR$4="Logarithm",LN(0.001+IF(AND(ISNUMBER('Council Entry'!AR$8),ISNUMBER('Council Entry'!AR$9)),MAX(MIN('Council Entry'!AR177,'Council Entry'!AR$9),'Council Entry'!AR$8),'Council Entry'!AR177)),IF('Council Entry'!AR$4="Exponential",EXP(IF(AND(ISNUMBER('Council Entry'!AR$8),ISNUMBER('Council Entry'!AR$9)),MAX(MIN('Council Entry'!AR177,'Council Entry'!AR$9),'Council Entry'!AR$8),'Council Entry'!AR177)),IF(AND(ISNUMBER('Council Entry'!AR$8),ISNUMBER('Council Entry'!AR$9)),MAX(MIN('Council Entry'!AR177,'Council Entry'!AR$9),'Council Entry'!AR$8),'Council Entry'!AR177))))-'Council Entry'!AR$5)/('Council Entry'!AR$6-'Council Entry'!AR$5)),1))),"No data"))</f>
        <v/>
      </c>
      <c r="AS177" s="13">
        <f>IF('Council Entry'!AS177="","",IFERROR(MAX(0,MIN(10,ROUND(IF('Council Entry'!AS$7="Decrease Risk",10-10*((IF('Council Entry'!AS$4="Logarithm",LN(0.001+IF(AND(ISNUMBER('Council Entry'!AS$8),ISNUMBER('Council Entry'!AS$9)),MAX(MIN('Council Entry'!AS177,'Council Entry'!AS$9),'Council Entry'!AS$8),'Council Entry'!AS177)),IF('Council Entry'!AS$4="Exponential",EXP(IF(AND(ISNUMBER('Council Entry'!AS$8),ISNUMBER('Council Entry'!AS$9)),MAX(MIN('Council Entry'!AS177,'Council Entry'!AS$9),'Council Entry'!AS$8),'Council Entry'!AS177)),IF(AND(ISNUMBER('Council Entry'!AS$8),ISNUMBER('Council Entry'!AS$9)),MAX(MIN('Council Entry'!AS177,'Council Entry'!AS$9),'Council Entry'!AS$8),'Council Entry'!AS177))))-'Council Entry'!AS$5)/('Council Entry'!AS$6-'Council Entry'!AS$5),10*((IF('Council Entry'!AS$4="Logarithm",LN(0.001+IF(AND(ISNUMBER('Council Entry'!AS$8),ISNUMBER('Council Entry'!AS$9)),MAX(MIN('Council Entry'!AS177,'Council Entry'!AS$9),'Council Entry'!AS$8),'Council Entry'!AS177)),IF('Council Entry'!AS$4="Exponential",EXP(IF(AND(ISNUMBER('Council Entry'!AS$8),ISNUMBER('Council Entry'!AS$9)),MAX(MIN('Council Entry'!AS177,'Council Entry'!AS$9),'Council Entry'!AS$8),'Council Entry'!AS177)),IF(AND(ISNUMBER('Council Entry'!AS$8),ISNUMBER('Council Entry'!AS$9)),MAX(MIN('Council Entry'!AS177,'Council Entry'!AS$9),'Council Entry'!AS$8),'Council Entry'!AS177))))-'Council Entry'!AS$5)/('Council Entry'!AS$6-'Council Entry'!AS$5)),1))),"No data"))</f>
        <v/>
      </c>
      <c r="AT177" s="13">
        <f>IF('Council Entry'!AT177="","",IFERROR(MAX(0,MIN(10,ROUND(IF('Council Entry'!AT$7="Decrease Risk",10-10*((IF('Council Entry'!AT$4="Logarithm",LN(0.001+IF(AND(ISNUMBER('Council Entry'!AT$8),ISNUMBER('Council Entry'!AT$9)),MAX(MIN('Council Entry'!AT177,'Council Entry'!AT$9),'Council Entry'!AT$8),'Council Entry'!AT177)),IF('Council Entry'!AT$4="Exponential",EXP(IF(AND(ISNUMBER('Council Entry'!AT$8),ISNUMBER('Council Entry'!AT$9)),MAX(MIN('Council Entry'!AT177,'Council Entry'!AT$9),'Council Entry'!AT$8),'Council Entry'!AT177)),IF(AND(ISNUMBER('Council Entry'!AT$8),ISNUMBER('Council Entry'!AT$9)),MAX(MIN('Council Entry'!AT177,'Council Entry'!AT$9),'Council Entry'!AT$8),'Council Entry'!AT177))))-'Council Entry'!AT$5)/('Council Entry'!AT$6-'Council Entry'!AT$5),10*((IF('Council Entry'!AT$4="Logarithm",LN(0.001+IF(AND(ISNUMBER('Council Entry'!AT$8),ISNUMBER('Council Entry'!AT$9)),MAX(MIN('Council Entry'!AT177,'Council Entry'!AT$9),'Council Entry'!AT$8),'Council Entry'!AT177)),IF('Council Entry'!AT$4="Exponential",EXP(IF(AND(ISNUMBER('Council Entry'!AT$8),ISNUMBER('Council Entry'!AT$9)),MAX(MIN('Council Entry'!AT177,'Council Entry'!AT$9),'Council Entry'!AT$8),'Council Entry'!AT177)),IF(AND(ISNUMBER('Council Entry'!AT$8),ISNUMBER('Council Entry'!AT$9)),MAX(MIN('Council Entry'!AT177,'Council Entry'!AT$9),'Council Entry'!AT$8),'Council Entry'!AT177))))-'Council Entry'!AT$5)/('Council Entry'!AT$6-'Council Entry'!AT$5)),1))),"No data"))</f>
        <v/>
      </c>
      <c r="AU177" s="13">
        <f>IF('Council Entry'!AU177="","",IFERROR(MAX(0,MIN(10,ROUND(IF('Council Entry'!AU$7="Decrease Risk",10-10*((IF('Council Entry'!AU$4="Logarithm",LN(0.001+IF(AND(ISNUMBER('Council Entry'!AU$8),ISNUMBER('Council Entry'!AU$9)),MAX(MIN('Council Entry'!AU177,'Council Entry'!AU$9),'Council Entry'!AU$8),'Council Entry'!AU177)),IF('Council Entry'!AU$4="Exponential",EXP(IF(AND(ISNUMBER('Council Entry'!AU$8),ISNUMBER('Council Entry'!AU$9)),MAX(MIN('Council Entry'!AU177,'Council Entry'!AU$9),'Council Entry'!AU$8),'Council Entry'!AU177)),IF(AND(ISNUMBER('Council Entry'!AU$8),ISNUMBER('Council Entry'!AU$9)),MAX(MIN('Council Entry'!AU177,'Council Entry'!AU$9),'Council Entry'!AU$8),'Council Entry'!AU177))))-'Council Entry'!AU$5)/('Council Entry'!AU$6-'Council Entry'!AU$5),10*((IF('Council Entry'!AU$4="Logarithm",LN(0.001+IF(AND(ISNUMBER('Council Entry'!AU$8),ISNUMBER('Council Entry'!AU$9)),MAX(MIN('Council Entry'!AU177,'Council Entry'!AU$9),'Council Entry'!AU$8),'Council Entry'!AU177)),IF('Council Entry'!AU$4="Exponential",EXP(IF(AND(ISNUMBER('Council Entry'!AU$8),ISNUMBER('Council Entry'!AU$9)),MAX(MIN('Council Entry'!AU177,'Council Entry'!AU$9),'Council Entry'!AU$8),'Council Entry'!AU177)),IF(AND(ISNUMBER('Council Entry'!AU$8),ISNUMBER('Council Entry'!AU$9)),MAX(MIN('Council Entry'!AU177,'Council Entry'!AU$9),'Council Entry'!AU$8),'Council Entry'!AU177))))-'Council Entry'!AU$5)/('Council Entry'!AU$6-'Council Entry'!AU$5)),1))),"No data"))</f>
        <v/>
      </c>
      <c r="AV177" s="13">
        <f>IF('Council Entry'!AV177="","",IFERROR(MAX(0,MIN(10,ROUND(IF('Council Entry'!AV$7="Decrease Risk",10-10*((IF('Council Entry'!AV$4="Logarithm",LN(0.001+IF(AND(ISNUMBER('Council Entry'!AV$8),ISNUMBER('Council Entry'!AV$9)),MAX(MIN('Council Entry'!AV177,'Council Entry'!AV$9),'Council Entry'!AV$8),'Council Entry'!AV177)),IF('Council Entry'!AV$4="Exponential",EXP(IF(AND(ISNUMBER('Council Entry'!AV$8),ISNUMBER('Council Entry'!AV$9)),MAX(MIN('Council Entry'!AV177,'Council Entry'!AV$9),'Council Entry'!AV$8),'Council Entry'!AV177)),IF(AND(ISNUMBER('Council Entry'!AV$8),ISNUMBER('Council Entry'!AV$9)),MAX(MIN('Council Entry'!AV177,'Council Entry'!AV$9),'Council Entry'!AV$8),'Council Entry'!AV177))))-'Council Entry'!AV$5)/('Council Entry'!AV$6-'Council Entry'!AV$5),10*((IF('Council Entry'!AV$4="Logarithm",LN(0.001+IF(AND(ISNUMBER('Council Entry'!AV$8),ISNUMBER('Council Entry'!AV$9)),MAX(MIN('Council Entry'!AV177,'Council Entry'!AV$9),'Council Entry'!AV$8),'Council Entry'!AV177)),IF('Council Entry'!AV$4="Exponential",EXP(IF(AND(ISNUMBER('Council Entry'!AV$8),ISNUMBER('Council Entry'!AV$9)),MAX(MIN('Council Entry'!AV177,'Council Entry'!AV$9),'Council Entry'!AV$8),'Council Entry'!AV177)),IF(AND(ISNUMBER('Council Entry'!AV$8),ISNUMBER('Council Entry'!AV$9)),MAX(MIN('Council Entry'!AV177,'Council Entry'!AV$9),'Council Entry'!AV$8),'Council Entry'!AV177))))-'Council Entry'!AV$5)/('Council Entry'!AV$6-'Council Entry'!AV$5)),1))),"No data"))</f>
        <v/>
      </c>
      <c r="AW177" s="13">
        <f>IF('Council Entry'!AW177="","",IFERROR(MAX(0,MIN(10,ROUND(IF('Council Entry'!AW$7="Decrease Risk",10-10*((IF('Council Entry'!AW$4="Logarithm",LN(0.001+IF(AND(ISNUMBER('Council Entry'!AW$8),ISNUMBER('Council Entry'!AW$9)),MAX(MIN('Council Entry'!AW177,'Council Entry'!AW$9),'Council Entry'!AW$8),'Council Entry'!AW177)),IF('Council Entry'!AW$4="Exponential",EXP(IF(AND(ISNUMBER('Council Entry'!AW$8),ISNUMBER('Council Entry'!AW$9)),MAX(MIN('Council Entry'!AW177,'Council Entry'!AW$9),'Council Entry'!AW$8),'Council Entry'!AW177)),IF(AND(ISNUMBER('Council Entry'!AW$8),ISNUMBER('Council Entry'!AW$9)),MAX(MIN('Council Entry'!AW177,'Council Entry'!AW$9),'Council Entry'!AW$8),'Council Entry'!AW177))))-'Council Entry'!AW$5)/('Council Entry'!AW$6-'Council Entry'!AW$5),10*((IF('Council Entry'!AW$4="Logarithm",LN(0.001+IF(AND(ISNUMBER('Council Entry'!AW$8),ISNUMBER('Council Entry'!AW$9)),MAX(MIN('Council Entry'!AW177,'Council Entry'!AW$9),'Council Entry'!AW$8),'Council Entry'!AW177)),IF('Council Entry'!AW$4="Exponential",EXP(IF(AND(ISNUMBER('Council Entry'!AW$8),ISNUMBER('Council Entry'!AW$9)),MAX(MIN('Council Entry'!AW177,'Council Entry'!AW$9),'Council Entry'!AW$8),'Council Entry'!AW177)),IF(AND(ISNUMBER('Council Entry'!AW$8),ISNUMBER('Council Entry'!AW$9)),MAX(MIN('Council Entry'!AW177,'Council Entry'!AW$9),'Council Entry'!AW$8),'Council Entry'!AW177))))-'Council Entry'!AW$5)/('Council Entry'!AW$6-'Council Entry'!AW$5)),1))),"No data"))</f>
        <v/>
      </c>
      <c r="AX177" s="13">
        <f>IF('Council Entry'!AX177="","",IFERROR(MAX(0,MIN(10,ROUND(IF('Council Entry'!AX$7="Decrease Risk",10-10*((IF('Council Entry'!AX$4="Logarithm",LN(0.001+IF(AND(ISNUMBER('Council Entry'!AX$8),ISNUMBER('Council Entry'!AX$9)),MAX(MIN('Council Entry'!AX177,'Council Entry'!AX$9),'Council Entry'!AX$8),'Council Entry'!AX177)),IF('Council Entry'!AX$4="Exponential",EXP(IF(AND(ISNUMBER('Council Entry'!AX$8),ISNUMBER('Council Entry'!AX$9)),MAX(MIN('Council Entry'!AX177,'Council Entry'!AX$9),'Council Entry'!AX$8),'Council Entry'!AX177)),IF(AND(ISNUMBER('Council Entry'!AX$8),ISNUMBER('Council Entry'!AX$9)),MAX(MIN('Council Entry'!AX177,'Council Entry'!AX$9),'Council Entry'!AX$8),'Council Entry'!AX177))))-'Council Entry'!AX$5)/('Council Entry'!AX$6-'Council Entry'!AX$5),10*((IF('Council Entry'!AX$4="Logarithm",LN(0.001+IF(AND(ISNUMBER('Council Entry'!AX$8),ISNUMBER('Council Entry'!AX$9)),MAX(MIN('Council Entry'!AX177,'Council Entry'!AX$9),'Council Entry'!AX$8),'Council Entry'!AX177)),IF('Council Entry'!AX$4="Exponential",EXP(IF(AND(ISNUMBER('Council Entry'!AX$8),ISNUMBER('Council Entry'!AX$9)),MAX(MIN('Council Entry'!AX177,'Council Entry'!AX$9),'Council Entry'!AX$8),'Council Entry'!AX177)),IF(AND(ISNUMBER('Council Entry'!AX$8),ISNUMBER('Council Entry'!AX$9)),MAX(MIN('Council Entry'!AX177,'Council Entry'!AX$9),'Council Entry'!AX$8),'Council Entry'!AX177))))-'Council Entry'!AX$5)/('Council Entry'!AX$6-'Council Entry'!AX$5)),1))),"No data"))</f>
        <v/>
      </c>
      <c r="AY177" s="13">
        <f>IF('Council Entry'!AY177="","",IFERROR(MAX(0,MIN(10,ROUND(IF('Council Entry'!AY$7="Decrease Risk",10-10*((IF('Council Entry'!AY$4="Logarithm",LN(0.001+IF(AND(ISNUMBER('Council Entry'!AY$8),ISNUMBER('Council Entry'!AY$9)),MAX(MIN('Council Entry'!AY177,'Council Entry'!AY$9),'Council Entry'!AY$8),'Council Entry'!AY177)),IF('Council Entry'!AY$4="Exponential",EXP(IF(AND(ISNUMBER('Council Entry'!AY$8),ISNUMBER('Council Entry'!AY$9)),MAX(MIN('Council Entry'!AY177,'Council Entry'!AY$9),'Council Entry'!AY$8),'Council Entry'!AY177)),IF(AND(ISNUMBER('Council Entry'!AY$8),ISNUMBER('Council Entry'!AY$9)),MAX(MIN('Council Entry'!AY177,'Council Entry'!AY$9),'Council Entry'!AY$8),'Council Entry'!AY177))))-'Council Entry'!AY$5)/('Council Entry'!AY$6-'Council Entry'!AY$5),10*((IF('Council Entry'!AY$4="Logarithm",LN(0.001+IF(AND(ISNUMBER('Council Entry'!AY$8),ISNUMBER('Council Entry'!AY$9)),MAX(MIN('Council Entry'!AY177,'Council Entry'!AY$9),'Council Entry'!AY$8),'Council Entry'!AY177)),IF('Council Entry'!AY$4="Exponential",EXP(IF(AND(ISNUMBER('Council Entry'!AY$8),ISNUMBER('Council Entry'!AY$9)),MAX(MIN('Council Entry'!AY177,'Council Entry'!AY$9),'Council Entry'!AY$8),'Council Entry'!AY177)),IF(AND(ISNUMBER('Council Entry'!AY$8),ISNUMBER('Council Entry'!AY$9)),MAX(MIN('Council Entry'!AY177,'Council Entry'!AY$9),'Council Entry'!AY$8),'Council Entry'!AY177))))-'Council Entry'!AY$5)/('Council Entry'!AY$6-'Council Entry'!AY$5)),1))),"No data"))</f>
        <v/>
      </c>
      <c r="AZ177" s="13">
        <f>IF('Council Entry'!AZ177="","",IFERROR(MAX(0,MIN(10,ROUND(IF('Council Entry'!AZ$7="Decrease Risk",10-10*((IF('Council Entry'!AZ$4="Logarithm",LN(0.001+IF(AND(ISNUMBER('Council Entry'!AZ$8),ISNUMBER('Council Entry'!AZ$9)),MAX(MIN('Council Entry'!AZ177,'Council Entry'!AZ$9),'Council Entry'!AZ$8),'Council Entry'!AZ177)),IF('Council Entry'!AZ$4="Exponential",EXP(IF(AND(ISNUMBER('Council Entry'!AZ$8),ISNUMBER('Council Entry'!AZ$9)),MAX(MIN('Council Entry'!AZ177,'Council Entry'!AZ$9),'Council Entry'!AZ$8),'Council Entry'!AZ177)),IF(AND(ISNUMBER('Council Entry'!AZ$8),ISNUMBER('Council Entry'!AZ$9)),MAX(MIN('Council Entry'!AZ177,'Council Entry'!AZ$9),'Council Entry'!AZ$8),'Council Entry'!AZ177))))-'Council Entry'!AZ$5)/('Council Entry'!AZ$6-'Council Entry'!AZ$5),10*((IF('Council Entry'!AZ$4="Logarithm",LN(0.001+IF(AND(ISNUMBER('Council Entry'!AZ$8),ISNUMBER('Council Entry'!AZ$9)),MAX(MIN('Council Entry'!AZ177,'Council Entry'!AZ$9),'Council Entry'!AZ$8),'Council Entry'!AZ177)),IF('Council Entry'!AZ$4="Exponential",EXP(IF(AND(ISNUMBER('Council Entry'!AZ$8),ISNUMBER('Council Entry'!AZ$9)),MAX(MIN('Council Entry'!AZ177,'Council Entry'!AZ$9),'Council Entry'!AZ$8),'Council Entry'!AZ177)),IF(AND(ISNUMBER('Council Entry'!AZ$8),ISNUMBER('Council Entry'!AZ$9)),MAX(MIN('Council Entry'!AZ177,'Council Entry'!AZ$9),'Council Entry'!AZ$8),'Council Entry'!AZ177))))-'Council Entry'!AZ$5)/('Council Entry'!AZ$6-'Council Entry'!AZ$5)),1))),"No data"))</f>
        <v/>
      </c>
      <c r="BA177" s="13">
        <f>IF('Council Entry'!BA177="","",IFERROR(MAX(0,MIN(10,ROUND(IF('Council Entry'!BA$7="Decrease Risk",10-10*((IF('Council Entry'!BA$4="Logarithm",LN(0.001+IF(AND(ISNUMBER('Council Entry'!BA$8),ISNUMBER('Council Entry'!BA$9)),MAX(MIN('Council Entry'!BA177,'Council Entry'!BA$9),'Council Entry'!BA$8),'Council Entry'!BA177)),IF('Council Entry'!BA$4="Exponential",EXP(IF(AND(ISNUMBER('Council Entry'!BA$8),ISNUMBER('Council Entry'!BA$9)),MAX(MIN('Council Entry'!BA177,'Council Entry'!BA$9),'Council Entry'!BA$8),'Council Entry'!BA177)),IF(AND(ISNUMBER('Council Entry'!BA$8),ISNUMBER('Council Entry'!BA$9)),MAX(MIN('Council Entry'!BA177,'Council Entry'!BA$9),'Council Entry'!BA$8),'Council Entry'!BA177))))-'Council Entry'!BA$5)/('Council Entry'!BA$6-'Council Entry'!BA$5),10*((IF('Council Entry'!BA$4="Logarithm",LN(0.001+IF(AND(ISNUMBER('Council Entry'!BA$8),ISNUMBER('Council Entry'!BA$9)),MAX(MIN('Council Entry'!BA177,'Council Entry'!BA$9),'Council Entry'!BA$8),'Council Entry'!BA177)),IF('Council Entry'!BA$4="Exponential",EXP(IF(AND(ISNUMBER('Council Entry'!BA$8),ISNUMBER('Council Entry'!BA$9)),MAX(MIN('Council Entry'!BA177,'Council Entry'!BA$9),'Council Entry'!BA$8),'Council Entry'!BA177)),IF(AND(ISNUMBER('Council Entry'!BA$8),ISNUMBER('Council Entry'!BA$9)),MAX(MIN('Council Entry'!BA177,'Council Entry'!BA$9),'Council Entry'!BA$8),'Council Entry'!BA177))))-'Council Entry'!BA$5)/('Council Entry'!BA$6-'Council Entry'!BA$5)),1))),"No data"))</f>
        <v/>
      </c>
      <c r="BB177" s="13">
        <f>IF('Council Entry'!BB177="","",IFERROR(MAX(0,MIN(10,ROUND(IF('Council Entry'!BB$7="Decrease Risk",10-10*((IF('Council Entry'!BB$4="Logarithm",LN(0.001+IF(AND(ISNUMBER('Council Entry'!BB$8),ISNUMBER('Council Entry'!BB$9)),MAX(MIN('Council Entry'!BB177,'Council Entry'!BB$9),'Council Entry'!BB$8),'Council Entry'!BB177)),IF('Council Entry'!BB$4="Exponential",EXP(IF(AND(ISNUMBER('Council Entry'!BB$8),ISNUMBER('Council Entry'!BB$9)),MAX(MIN('Council Entry'!BB177,'Council Entry'!BB$9),'Council Entry'!BB$8),'Council Entry'!BB177)),IF(AND(ISNUMBER('Council Entry'!BB$8),ISNUMBER('Council Entry'!BB$9)),MAX(MIN('Council Entry'!BB177,'Council Entry'!BB$9),'Council Entry'!BB$8),'Council Entry'!BB177))))-'Council Entry'!BB$5)/('Council Entry'!BB$6-'Council Entry'!BB$5),10*((IF('Council Entry'!BB$4="Logarithm",LN(0.001+IF(AND(ISNUMBER('Council Entry'!BB$8),ISNUMBER('Council Entry'!BB$9)),MAX(MIN('Council Entry'!BB177,'Council Entry'!BB$9),'Council Entry'!BB$8),'Council Entry'!BB177)),IF('Council Entry'!BB$4="Exponential",EXP(IF(AND(ISNUMBER('Council Entry'!BB$8),ISNUMBER('Council Entry'!BB$9)),MAX(MIN('Council Entry'!BB177,'Council Entry'!BB$9),'Council Entry'!BB$8),'Council Entry'!BB177)),IF(AND(ISNUMBER('Council Entry'!BB$8),ISNUMBER('Council Entry'!BB$9)),MAX(MIN('Council Entry'!BB177,'Council Entry'!BB$9),'Council Entry'!BB$8),'Council Entry'!BB177))))-'Council Entry'!BB$5)/('Council Entry'!BB$6-'Council Entry'!BB$5)),1))),"No data"))</f>
        <v/>
      </c>
      <c r="BC177" s="13">
        <f>IF('Council Entry'!BC177="","",IFERROR(MAX(0,MIN(10,ROUND(IF('Council Entry'!BC$7="Decrease Risk",10-10*((IF('Council Entry'!BC$4="Logarithm",LN(0.001+IF(AND(ISNUMBER('Council Entry'!BC$8),ISNUMBER('Council Entry'!BC$9)),MAX(MIN('Council Entry'!BC177,'Council Entry'!BC$9),'Council Entry'!BC$8),'Council Entry'!BC177)),IF('Council Entry'!BC$4="Exponential",EXP(IF(AND(ISNUMBER('Council Entry'!BC$8),ISNUMBER('Council Entry'!BC$9)),MAX(MIN('Council Entry'!BC177,'Council Entry'!BC$9),'Council Entry'!BC$8),'Council Entry'!BC177)),IF(AND(ISNUMBER('Council Entry'!BC$8),ISNUMBER('Council Entry'!BC$9)),MAX(MIN('Council Entry'!BC177,'Council Entry'!BC$9),'Council Entry'!BC$8),'Council Entry'!BC177))))-'Council Entry'!BC$5)/('Council Entry'!BC$6-'Council Entry'!BC$5),10*((IF('Council Entry'!BC$4="Logarithm",LN(0.001+IF(AND(ISNUMBER('Council Entry'!BC$8),ISNUMBER('Council Entry'!BC$9)),MAX(MIN('Council Entry'!BC177,'Council Entry'!BC$9),'Council Entry'!BC$8),'Council Entry'!BC177)),IF('Council Entry'!BC$4="Exponential",EXP(IF(AND(ISNUMBER('Council Entry'!BC$8),ISNUMBER('Council Entry'!BC$9)),MAX(MIN('Council Entry'!BC177,'Council Entry'!BC$9),'Council Entry'!BC$8),'Council Entry'!BC177)),IF(AND(ISNUMBER('Council Entry'!BC$8),ISNUMBER('Council Entry'!BC$9)),MAX(MIN('Council Entry'!BC177,'Council Entry'!BC$9),'Council Entry'!BC$8),'Council Entry'!BC177))))-'Council Entry'!BC$5)/('Council Entry'!BC$6-'Council Entry'!BC$5)),1))),"No data"))</f>
        <v/>
      </c>
      <c r="BD177" s="13">
        <f>IF('Council Entry'!BD177="","",IFERROR(MAX(0,MIN(10,ROUND(IF('Council Entry'!BD$7="Decrease Risk",10-10*((IF('Council Entry'!BD$4="Logarithm",LN(0.001+IF(AND(ISNUMBER('Council Entry'!BD$8),ISNUMBER('Council Entry'!BD$9)),MAX(MIN('Council Entry'!BD177,'Council Entry'!BD$9),'Council Entry'!BD$8),'Council Entry'!BD177)),IF('Council Entry'!BD$4="Exponential",EXP(IF(AND(ISNUMBER('Council Entry'!BD$8),ISNUMBER('Council Entry'!BD$9)),MAX(MIN('Council Entry'!BD177,'Council Entry'!BD$9),'Council Entry'!BD$8),'Council Entry'!BD177)),IF(AND(ISNUMBER('Council Entry'!BD$8),ISNUMBER('Council Entry'!BD$9)),MAX(MIN('Council Entry'!BD177,'Council Entry'!BD$9),'Council Entry'!BD$8),'Council Entry'!BD177))))-'Council Entry'!BD$5)/('Council Entry'!BD$6-'Council Entry'!BD$5),10*((IF('Council Entry'!BD$4="Logarithm",LN(0.001+IF(AND(ISNUMBER('Council Entry'!BD$8),ISNUMBER('Council Entry'!BD$9)),MAX(MIN('Council Entry'!BD177,'Council Entry'!BD$9),'Council Entry'!BD$8),'Council Entry'!BD177)),IF('Council Entry'!BD$4="Exponential",EXP(IF(AND(ISNUMBER('Council Entry'!BD$8),ISNUMBER('Council Entry'!BD$9)),MAX(MIN('Council Entry'!BD177,'Council Entry'!BD$9),'Council Entry'!BD$8),'Council Entry'!BD177)),IF(AND(ISNUMBER('Council Entry'!BD$8),ISNUMBER('Council Entry'!BD$9)),MAX(MIN('Council Entry'!BD177,'Council Entry'!BD$9),'Council Entry'!BD$8),'Council Entry'!BD177))))-'Council Entry'!BD$5)/('Council Entry'!BD$6-'Council Entry'!BD$5)),1))),"No data"))</f>
        <v/>
      </c>
    </row>
    <row r="178">
      <c r="A178" t="inlineStr">
        <is>
          <t>Singida</t>
        </is>
      </c>
      <c r="B178" t="inlineStr">
        <is>
          <t>Manyoni District</t>
        </is>
      </c>
      <c r="C178" t="inlineStr">
        <is>
          <t>C095</t>
        </is>
      </c>
      <c r="D178" s="13">
        <f>IF('Council Entry'!D178="","",IFERROR(MAX(0,MIN(10,ROUND(IF('Council Entry'!D$7="Decrease Risk",10-10*((IF('Council Entry'!D$4="Logarithm",LN(0.001+IF(AND(ISNUMBER('Council Entry'!D$8),ISNUMBER('Council Entry'!D$9)),MAX(MIN('Council Entry'!D178,'Council Entry'!D$9),'Council Entry'!D$8),'Council Entry'!D178)),IF('Council Entry'!D$4="Exponential",EXP(IF(AND(ISNUMBER('Council Entry'!D$8),ISNUMBER('Council Entry'!D$9)),MAX(MIN('Council Entry'!D178,'Council Entry'!D$9),'Council Entry'!D$8),'Council Entry'!D178)),IF(AND(ISNUMBER('Council Entry'!D$8),ISNUMBER('Council Entry'!D$9)),MAX(MIN('Council Entry'!D178,'Council Entry'!D$9),'Council Entry'!D$8),'Council Entry'!D178))))-'Council Entry'!D$5)/('Council Entry'!D$6-'Council Entry'!D$5),10*((IF('Council Entry'!D$4="Logarithm",LN(0.001+IF(AND(ISNUMBER('Council Entry'!D$8),ISNUMBER('Council Entry'!D$9)),MAX(MIN('Council Entry'!D178,'Council Entry'!D$9),'Council Entry'!D$8),'Council Entry'!D178)),IF('Council Entry'!D$4="Exponential",EXP(IF(AND(ISNUMBER('Council Entry'!D$8),ISNUMBER('Council Entry'!D$9)),MAX(MIN('Council Entry'!D178,'Council Entry'!D$9),'Council Entry'!D$8),'Council Entry'!D178)),IF(AND(ISNUMBER('Council Entry'!D$8),ISNUMBER('Council Entry'!D$9)),MAX(MIN('Council Entry'!D178,'Council Entry'!D$9),'Council Entry'!D$8),'Council Entry'!D178))))-'Council Entry'!D$5)/('Council Entry'!D$6-'Council Entry'!D$5)),1))),"No data"))</f>
        <v/>
      </c>
      <c r="E178" s="13">
        <f>IF('Council Entry'!E178="","",IFERROR(MAX(0,MIN(10,ROUND(IF('Council Entry'!E$7="Decrease Risk",10-10*((IF('Council Entry'!E$4="Logarithm",LN(0.001+IF(AND(ISNUMBER('Council Entry'!E$8),ISNUMBER('Council Entry'!E$9)),MAX(MIN('Council Entry'!E178,'Council Entry'!E$9),'Council Entry'!E$8),'Council Entry'!E178)),IF('Council Entry'!E$4="Exponential",EXP(IF(AND(ISNUMBER('Council Entry'!E$8),ISNUMBER('Council Entry'!E$9)),MAX(MIN('Council Entry'!E178,'Council Entry'!E$9),'Council Entry'!E$8),'Council Entry'!E178)),IF(AND(ISNUMBER('Council Entry'!E$8),ISNUMBER('Council Entry'!E$9)),MAX(MIN('Council Entry'!E178,'Council Entry'!E$9),'Council Entry'!E$8),'Council Entry'!E178))))-'Council Entry'!E$5)/('Council Entry'!E$6-'Council Entry'!E$5),10*((IF('Council Entry'!E$4="Logarithm",LN(0.001+IF(AND(ISNUMBER('Council Entry'!E$8),ISNUMBER('Council Entry'!E$9)),MAX(MIN('Council Entry'!E178,'Council Entry'!E$9),'Council Entry'!E$8),'Council Entry'!E178)),IF('Council Entry'!E$4="Exponential",EXP(IF(AND(ISNUMBER('Council Entry'!E$8),ISNUMBER('Council Entry'!E$9)),MAX(MIN('Council Entry'!E178,'Council Entry'!E$9),'Council Entry'!E$8),'Council Entry'!E178)),IF(AND(ISNUMBER('Council Entry'!E$8),ISNUMBER('Council Entry'!E$9)),MAX(MIN('Council Entry'!E178,'Council Entry'!E$9),'Council Entry'!E$8),'Council Entry'!E178))))-'Council Entry'!E$5)/('Council Entry'!E$6-'Council Entry'!E$5)),1))),"No data"))</f>
        <v/>
      </c>
      <c r="F178" s="13">
        <f>IF('Council Entry'!F178="","",IFERROR(MAX(0,MIN(10,ROUND(IF('Council Entry'!F$7="Decrease Risk",10-10*((IF('Council Entry'!F$4="Logarithm",LN(0.001+IF(AND(ISNUMBER('Council Entry'!F$8),ISNUMBER('Council Entry'!F$9)),MAX(MIN('Council Entry'!F178,'Council Entry'!F$9),'Council Entry'!F$8),'Council Entry'!F178)),IF('Council Entry'!F$4="Exponential",EXP(IF(AND(ISNUMBER('Council Entry'!F$8),ISNUMBER('Council Entry'!F$9)),MAX(MIN('Council Entry'!F178,'Council Entry'!F$9),'Council Entry'!F$8),'Council Entry'!F178)),IF(AND(ISNUMBER('Council Entry'!F$8),ISNUMBER('Council Entry'!F$9)),MAX(MIN('Council Entry'!F178,'Council Entry'!F$9),'Council Entry'!F$8),'Council Entry'!F178))))-'Council Entry'!F$5)/('Council Entry'!F$6-'Council Entry'!F$5),10*((IF('Council Entry'!F$4="Logarithm",LN(0.001+IF(AND(ISNUMBER('Council Entry'!F$8),ISNUMBER('Council Entry'!F$9)),MAX(MIN('Council Entry'!F178,'Council Entry'!F$9),'Council Entry'!F$8),'Council Entry'!F178)),IF('Council Entry'!F$4="Exponential",EXP(IF(AND(ISNUMBER('Council Entry'!F$8),ISNUMBER('Council Entry'!F$9)),MAX(MIN('Council Entry'!F178,'Council Entry'!F$9),'Council Entry'!F$8),'Council Entry'!F178)),IF(AND(ISNUMBER('Council Entry'!F$8),ISNUMBER('Council Entry'!F$9)),MAX(MIN('Council Entry'!F178,'Council Entry'!F$9),'Council Entry'!F$8),'Council Entry'!F178))))-'Council Entry'!F$5)/('Council Entry'!F$6-'Council Entry'!F$5)),1))),"No data"))</f>
        <v/>
      </c>
      <c r="G178" s="13">
        <f>IF('Council Entry'!G178="","",IFERROR(MAX(0,MIN(10,ROUND(IF('Council Entry'!G$7="Decrease Risk",10-10*((IF('Council Entry'!G$4="Logarithm",LN(0.001+IF(AND(ISNUMBER('Council Entry'!G$8),ISNUMBER('Council Entry'!G$9)),MAX(MIN('Council Entry'!G178,'Council Entry'!G$9),'Council Entry'!G$8),'Council Entry'!G178)),IF('Council Entry'!G$4="Exponential",EXP(IF(AND(ISNUMBER('Council Entry'!G$8),ISNUMBER('Council Entry'!G$9)),MAX(MIN('Council Entry'!G178,'Council Entry'!G$9),'Council Entry'!G$8),'Council Entry'!G178)),IF(AND(ISNUMBER('Council Entry'!G$8),ISNUMBER('Council Entry'!G$9)),MAX(MIN('Council Entry'!G178,'Council Entry'!G$9),'Council Entry'!G$8),'Council Entry'!G178))))-'Council Entry'!G$5)/('Council Entry'!G$6-'Council Entry'!G$5),10*((IF('Council Entry'!G$4="Logarithm",LN(0.001+IF(AND(ISNUMBER('Council Entry'!G$8),ISNUMBER('Council Entry'!G$9)),MAX(MIN('Council Entry'!G178,'Council Entry'!G$9),'Council Entry'!G$8),'Council Entry'!G178)),IF('Council Entry'!G$4="Exponential",EXP(IF(AND(ISNUMBER('Council Entry'!G$8),ISNUMBER('Council Entry'!G$9)),MAX(MIN('Council Entry'!G178,'Council Entry'!G$9),'Council Entry'!G$8),'Council Entry'!G178)),IF(AND(ISNUMBER('Council Entry'!G$8),ISNUMBER('Council Entry'!G$9)),MAX(MIN('Council Entry'!G178,'Council Entry'!G$9),'Council Entry'!G$8),'Council Entry'!G178))))-'Council Entry'!G$5)/('Council Entry'!G$6-'Council Entry'!G$5)),1))),"No data"))</f>
        <v/>
      </c>
      <c r="H178" s="13">
        <f>IF('Council Entry'!H178="","",IFERROR(MAX(0,MIN(10,ROUND(IF('Council Entry'!H$7="Decrease Risk",10-10*((IF('Council Entry'!H$4="Logarithm",LN(0.001+IF(AND(ISNUMBER('Council Entry'!H$8),ISNUMBER('Council Entry'!H$9)),MAX(MIN('Council Entry'!H178,'Council Entry'!H$9),'Council Entry'!H$8),'Council Entry'!H178)),IF('Council Entry'!H$4="Exponential",EXP(IF(AND(ISNUMBER('Council Entry'!H$8),ISNUMBER('Council Entry'!H$9)),MAX(MIN('Council Entry'!H178,'Council Entry'!H$9),'Council Entry'!H$8),'Council Entry'!H178)),IF(AND(ISNUMBER('Council Entry'!H$8),ISNUMBER('Council Entry'!H$9)),MAX(MIN('Council Entry'!H178,'Council Entry'!H$9),'Council Entry'!H$8),'Council Entry'!H178))))-'Council Entry'!H$5)/('Council Entry'!H$6-'Council Entry'!H$5),10*((IF('Council Entry'!H$4="Logarithm",LN(0.001+IF(AND(ISNUMBER('Council Entry'!H$8),ISNUMBER('Council Entry'!H$9)),MAX(MIN('Council Entry'!H178,'Council Entry'!H$9),'Council Entry'!H$8),'Council Entry'!H178)),IF('Council Entry'!H$4="Exponential",EXP(IF(AND(ISNUMBER('Council Entry'!H$8),ISNUMBER('Council Entry'!H$9)),MAX(MIN('Council Entry'!H178,'Council Entry'!H$9),'Council Entry'!H$8),'Council Entry'!H178)),IF(AND(ISNUMBER('Council Entry'!H$8),ISNUMBER('Council Entry'!H$9)),MAX(MIN('Council Entry'!H178,'Council Entry'!H$9),'Council Entry'!H$8),'Council Entry'!H178))))-'Council Entry'!H$5)/('Council Entry'!H$6-'Council Entry'!H$5)),1))),"No data"))</f>
        <v/>
      </c>
      <c r="I178" s="13">
        <f>IF('Council Entry'!I178="","",IFERROR(MAX(0,MIN(10,ROUND(IF('Council Entry'!I$7="Decrease Risk",10-10*((IF('Council Entry'!I$4="Logarithm",LN(0.001+IF(AND(ISNUMBER('Council Entry'!I$8),ISNUMBER('Council Entry'!I$9)),MAX(MIN('Council Entry'!I178,'Council Entry'!I$9),'Council Entry'!I$8),'Council Entry'!I178)),IF('Council Entry'!I$4="Exponential",EXP(IF(AND(ISNUMBER('Council Entry'!I$8),ISNUMBER('Council Entry'!I$9)),MAX(MIN('Council Entry'!I178,'Council Entry'!I$9),'Council Entry'!I$8),'Council Entry'!I178)),IF(AND(ISNUMBER('Council Entry'!I$8),ISNUMBER('Council Entry'!I$9)),MAX(MIN('Council Entry'!I178,'Council Entry'!I$9),'Council Entry'!I$8),'Council Entry'!I178))))-'Council Entry'!I$5)/('Council Entry'!I$6-'Council Entry'!I$5),10*((IF('Council Entry'!I$4="Logarithm",LN(0.001+IF(AND(ISNUMBER('Council Entry'!I$8),ISNUMBER('Council Entry'!I$9)),MAX(MIN('Council Entry'!I178,'Council Entry'!I$9),'Council Entry'!I$8),'Council Entry'!I178)),IF('Council Entry'!I$4="Exponential",EXP(IF(AND(ISNUMBER('Council Entry'!I$8),ISNUMBER('Council Entry'!I$9)),MAX(MIN('Council Entry'!I178,'Council Entry'!I$9),'Council Entry'!I$8),'Council Entry'!I178)),IF(AND(ISNUMBER('Council Entry'!I$8),ISNUMBER('Council Entry'!I$9)),MAX(MIN('Council Entry'!I178,'Council Entry'!I$9),'Council Entry'!I$8),'Council Entry'!I178))))-'Council Entry'!I$5)/('Council Entry'!I$6-'Council Entry'!I$5)),1))),"No data"))</f>
        <v/>
      </c>
      <c r="J178" s="13">
        <f>IF('Council Entry'!J178="","",IFERROR(MAX(0,MIN(10,ROUND(IF('Council Entry'!J$7="Decrease Risk",10-10*((IF('Council Entry'!J$4="Logarithm",LN(0.001+IF(AND(ISNUMBER('Council Entry'!J$8),ISNUMBER('Council Entry'!J$9)),MAX(MIN('Council Entry'!J178,'Council Entry'!J$9),'Council Entry'!J$8),'Council Entry'!J178)),IF('Council Entry'!J$4="Exponential",EXP(IF(AND(ISNUMBER('Council Entry'!J$8),ISNUMBER('Council Entry'!J$9)),MAX(MIN('Council Entry'!J178,'Council Entry'!J$9),'Council Entry'!J$8),'Council Entry'!J178)),IF(AND(ISNUMBER('Council Entry'!J$8),ISNUMBER('Council Entry'!J$9)),MAX(MIN('Council Entry'!J178,'Council Entry'!J$9),'Council Entry'!J$8),'Council Entry'!J178))))-'Council Entry'!J$5)/('Council Entry'!J$6-'Council Entry'!J$5),10*((IF('Council Entry'!J$4="Logarithm",LN(0.001+IF(AND(ISNUMBER('Council Entry'!J$8),ISNUMBER('Council Entry'!J$9)),MAX(MIN('Council Entry'!J178,'Council Entry'!J$9),'Council Entry'!J$8),'Council Entry'!J178)),IF('Council Entry'!J$4="Exponential",EXP(IF(AND(ISNUMBER('Council Entry'!J$8),ISNUMBER('Council Entry'!J$9)),MAX(MIN('Council Entry'!J178,'Council Entry'!J$9),'Council Entry'!J$8),'Council Entry'!J178)),IF(AND(ISNUMBER('Council Entry'!J$8),ISNUMBER('Council Entry'!J$9)),MAX(MIN('Council Entry'!J178,'Council Entry'!J$9),'Council Entry'!J$8),'Council Entry'!J178))))-'Council Entry'!J$5)/('Council Entry'!J$6-'Council Entry'!J$5)),1))),"No data"))</f>
        <v/>
      </c>
      <c r="K178" s="13">
        <f>IF('Council Entry'!K178="","",IFERROR(MAX(0,MIN(10,ROUND(IF('Council Entry'!K$7="Decrease Risk",10-10*((IF('Council Entry'!K$4="Logarithm",LN(0.001+IF(AND(ISNUMBER('Council Entry'!K$8),ISNUMBER('Council Entry'!K$9)),MAX(MIN('Council Entry'!K178,'Council Entry'!K$9),'Council Entry'!K$8),'Council Entry'!K178)),IF('Council Entry'!K$4="Exponential",EXP(IF(AND(ISNUMBER('Council Entry'!K$8),ISNUMBER('Council Entry'!K$9)),MAX(MIN('Council Entry'!K178,'Council Entry'!K$9),'Council Entry'!K$8),'Council Entry'!K178)),IF(AND(ISNUMBER('Council Entry'!K$8),ISNUMBER('Council Entry'!K$9)),MAX(MIN('Council Entry'!K178,'Council Entry'!K$9),'Council Entry'!K$8),'Council Entry'!K178))))-'Council Entry'!K$5)/('Council Entry'!K$6-'Council Entry'!K$5),10*((IF('Council Entry'!K$4="Logarithm",LN(0.001+IF(AND(ISNUMBER('Council Entry'!K$8),ISNUMBER('Council Entry'!K$9)),MAX(MIN('Council Entry'!K178,'Council Entry'!K$9),'Council Entry'!K$8),'Council Entry'!K178)),IF('Council Entry'!K$4="Exponential",EXP(IF(AND(ISNUMBER('Council Entry'!K$8),ISNUMBER('Council Entry'!K$9)),MAX(MIN('Council Entry'!K178,'Council Entry'!K$9),'Council Entry'!K$8),'Council Entry'!K178)),IF(AND(ISNUMBER('Council Entry'!K$8),ISNUMBER('Council Entry'!K$9)),MAX(MIN('Council Entry'!K178,'Council Entry'!K$9),'Council Entry'!K$8),'Council Entry'!K178))))-'Council Entry'!K$5)/('Council Entry'!K$6-'Council Entry'!K$5)),1))),"No data"))</f>
        <v/>
      </c>
      <c r="L178" s="13">
        <f>IF('Council Entry'!L178="","",IFERROR(MAX(0,MIN(10,ROUND(IF('Council Entry'!L$7="Decrease Risk",10-10*((IF('Council Entry'!L$4="Logarithm",LN(0.001+IF(AND(ISNUMBER('Council Entry'!L$8),ISNUMBER('Council Entry'!L$9)),MAX(MIN('Council Entry'!L178,'Council Entry'!L$9),'Council Entry'!L$8),'Council Entry'!L178)),IF('Council Entry'!L$4="Exponential",EXP(IF(AND(ISNUMBER('Council Entry'!L$8),ISNUMBER('Council Entry'!L$9)),MAX(MIN('Council Entry'!L178,'Council Entry'!L$9),'Council Entry'!L$8),'Council Entry'!L178)),IF(AND(ISNUMBER('Council Entry'!L$8),ISNUMBER('Council Entry'!L$9)),MAX(MIN('Council Entry'!L178,'Council Entry'!L$9),'Council Entry'!L$8),'Council Entry'!L178))))-'Council Entry'!L$5)/('Council Entry'!L$6-'Council Entry'!L$5),10*((IF('Council Entry'!L$4="Logarithm",LN(0.001+IF(AND(ISNUMBER('Council Entry'!L$8),ISNUMBER('Council Entry'!L$9)),MAX(MIN('Council Entry'!L178,'Council Entry'!L$9),'Council Entry'!L$8),'Council Entry'!L178)),IF('Council Entry'!L$4="Exponential",EXP(IF(AND(ISNUMBER('Council Entry'!L$8),ISNUMBER('Council Entry'!L$9)),MAX(MIN('Council Entry'!L178,'Council Entry'!L$9),'Council Entry'!L$8),'Council Entry'!L178)),IF(AND(ISNUMBER('Council Entry'!L$8),ISNUMBER('Council Entry'!L$9)),MAX(MIN('Council Entry'!L178,'Council Entry'!L$9),'Council Entry'!L$8),'Council Entry'!L178))))-'Council Entry'!L$5)/('Council Entry'!L$6-'Council Entry'!L$5)),1))),"No data"))</f>
        <v/>
      </c>
      <c r="M178" s="13">
        <f>IF('Council Entry'!M178="","",IFERROR(MAX(0,MIN(10,ROUND(IF('Council Entry'!M$7="Decrease Risk",10-10*((IF('Council Entry'!M$4="Logarithm",LN(0.001+IF(AND(ISNUMBER('Council Entry'!M$8),ISNUMBER('Council Entry'!M$9)),MAX(MIN('Council Entry'!M178,'Council Entry'!M$9),'Council Entry'!M$8),'Council Entry'!M178)),IF('Council Entry'!M$4="Exponential",EXP(IF(AND(ISNUMBER('Council Entry'!M$8),ISNUMBER('Council Entry'!M$9)),MAX(MIN('Council Entry'!M178,'Council Entry'!M$9),'Council Entry'!M$8),'Council Entry'!M178)),IF(AND(ISNUMBER('Council Entry'!M$8),ISNUMBER('Council Entry'!M$9)),MAX(MIN('Council Entry'!M178,'Council Entry'!M$9),'Council Entry'!M$8),'Council Entry'!M178))))-'Council Entry'!M$5)/('Council Entry'!M$6-'Council Entry'!M$5),10*((IF('Council Entry'!M$4="Logarithm",LN(0.001+IF(AND(ISNUMBER('Council Entry'!M$8),ISNUMBER('Council Entry'!M$9)),MAX(MIN('Council Entry'!M178,'Council Entry'!M$9),'Council Entry'!M$8),'Council Entry'!M178)),IF('Council Entry'!M$4="Exponential",EXP(IF(AND(ISNUMBER('Council Entry'!M$8),ISNUMBER('Council Entry'!M$9)),MAX(MIN('Council Entry'!M178,'Council Entry'!M$9),'Council Entry'!M$8),'Council Entry'!M178)),IF(AND(ISNUMBER('Council Entry'!M$8),ISNUMBER('Council Entry'!M$9)),MAX(MIN('Council Entry'!M178,'Council Entry'!M$9),'Council Entry'!M$8),'Council Entry'!M178))))-'Council Entry'!M$5)/('Council Entry'!M$6-'Council Entry'!M$5)),1))),"No data"))</f>
        <v/>
      </c>
      <c r="N178" s="13">
        <f>IF('Council Entry'!N178="","",IFERROR(MAX(0,MIN(10,ROUND(IF('Council Entry'!N$7="Decrease Risk",10-10*((IF('Council Entry'!N$4="Logarithm",LN(0.001+IF(AND(ISNUMBER('Council Entry'!N$8),ISNUMBER('Council Entry'!N$9)),MAX(MIN('Council Entry'!N178,'Council Entry'!N$9),'Council Entry'!N$8),'Council Entry'!N178)),IF('Council Entry'!N$4="Exponential",EXP(IF(AND(ISNUMBER('Council Entry'!N$8),ISNUMBER('Council Entry'!N$9)),MAX(MIN('Council Entry'!N178,'Council Entry'!N$9),'Council Entry'!N$8),'Council Entry'!N178)),IF(AND(ISNUMBER('Council Entry'!N$8),ISNUMBER('Council Entry'!N$9)),MAX(MIN('Council Entry'!N178,'Council Entry'!N$9),'Council Entry'!N$8),'Council Entry'!N178))))-'Council Entry'!N$5)/('Council Entry'!N$6-'Council Entry'!N$5),10*((IF('Council Entry'!N$4="Logarithm",LN(0.001+IF(AND(ISNUMBER('Council Entry'!N$8),ISNUMBER('Council Entry'!N$9)),MAX(MIN('Council Entry'!N178,'Council Entry'!N$9),'Council Entry'!N$8),'Council Entry'!N178)),IF('Council Entry'!N$4="Exponential",EXP(IF(AND(ISNUMBER('Council Entry'!N$8),ISNUMBER('Council Entry'!N$9)),MAX(MIN('Council Entry'!N178,'Council Entry'!N$9),'Council Entry'!N$8),'Council Entry'!N178)),IF(AND(ISNUMBER('Council Entry'!N$8),ISNUMBER('Council Entry'!N$9)),MAX(MIN('Council Entry'!N178,'Council Entry'!N$9),'Council Entry'!N$8),'Council Entry'!N178))))-'Council Entry'!N$5)/('Council Entry'!N$6-'Council Entry'!N$5)),1))),"No data"))</f>
        <v/>
      </c>
      <c r="O178" s="13">
        <f>IF('Council Entry'!O178="","",IFERROR(MAX(0,MIN(10,ROUND(IF('Council Entry'!O$7="Decrease Risk",10-10*((IF('Council Entry'!O$4="Logarithm",LN(0.001+IF(AND(ISNUMBER('Council Entry'!O$8),ISNUMBER('Council Entry'!O$9)),MAX(MIN('Council Entry'!O178,'Council Entry'!O$9),'Council Entry'!O$8),'Council Entry'!O178)),IF('Council Entry'!O$4="Exponential",EXP(IF(AND(ISNUMBER('Council Entry'!O$8),ISNUMBER('Council Entry'!O$9)),MAX(MIN('Council Entry'!O178,'Council Entry'!O$9),'Council Entry'!O$8),'Council Entry'!O178)),IF(AND(ISNUMBER('Council Entry'!O$8),ISNUMBER('Council Entry'!O$9)),MAX(MIN('Council Entry'!O178,'Council Entry'!O$9),'Council Entry'!O$8),'Council Entry'!O178))))-'Council Entry'!O$5)/('Council Entry'!O$6-'Council Entry'!O$5),10*((IF('Council Entry'!O$4="Logarithm",LN(0.001+IF(AND(ISNUMBER('Council Entry'!O$8),ISNUMBER('Council Entry'!O$9)),MAX(MIN('Council Entry'!O178,'Council Entry'!O$9),'Council Entry'!O$8),'Council Entry'!O178)),IF('Council Entry'!O$4="Exponential",EXP(IF(AND(ISNUMBER('Council Entry'!O$8),ISNUMBER('Council Entry'!O$9)),MAX(MIN('Council Entry'!O178,'Council Entry'!O$9),'Council Entry'!O$8),'Council Entry'!O178)),IF(AND(ISNUMBER('Council Entry'!O$8),ISNUMBER('Council Entry'!O$9)),MAX(MIN('Council Entry'!O178,'Council Entry'!O$9),'Council Entry'!O$8),'Council Entry'!O178))))-'Council Entry'!O$5)/('Council Entry'!O$6-'Council Entry'!O$5)),1))),"No data"))</f>
        <v/>
      </c>
      <c r="P178" s="13">
        <f>IF('Council Entry'!P178="","",IFERROR(MAX(0,MIN(10,ROUND(IF('Council Entry'!P$7="Decrease Risk",10-10*((IF('Council Entry'!P$4="Logarithm",LN(0.001+IF(AND(ISNUMBER('Council Entry'!P$8),ISNUMBER('Council Entry'!P$9)),MAX(MIN('Council Entry'!P178,'Council Entry'!P$9),'Council Entry'!P$8),'Council Entry'!P178)),IF('Council Entry'!P$4="Exponential",EXP(IF(AND(ISNUMBER('Council Entry'!P$8),ISNUMBER('Council Entry'!P$9)),MAX(MIN('Council Entry'!P178,'Council Entry'!P$9),'Council Entry'!P$8),'Council Entry'!P178)),IF(AND(ISNUMBER('Council Entry'!P$8),ISNUMBER('Council Entry'!P$9)),MAX(MIN('Council Entry'!P178,'Council Entry'!P$9),'Council Entry'!P$8),'Council Entry'!P178))))-'Council Entry'!P$5)/('Council Entry'!P$6-'Council Entry'!P$5),10*((IF('Council Entry'!P$4="Logarithm",LN(0.001+IF(AND(ISNUMBER('Council Entry'!P$8),ISNUMBER('Council Entry'!P$9)),MAX(MIN('Council Entry'!P178,'Council Entry'!P$9),'Council Entry'!P$8),'Council Entry'!P178)),IF('Council Entry'!P$4="Exponential",EXP(IF(AND(ISNUMBER('Council Entry'!P$8),ISNUMBER('Council Entry'!P$9)),MAX(MIN('Council Entry'!P178,'Council Entry'!P$9),'Council Entry'!P$8),'Council Entry'!P178)),IF(AND(ISNUMBER('Council Entry'!P$8),ISNUMBER('Council Entry'!P$9)),MAX(MIN('Council Entry'!P178,'Council Entry'!P$9),'Council Entry'!P$8),'Council Entry'!P178))))-'Council Entry'!P$5)/('Council Entry'!P$6-'Council Entry'!P$5)),1))),"No data"))</f>
        <v/>
      </c>
      <c r="Q178" s="13">
        <f>IF('Council Entry'!Q178="","",IFERROR(MAX(0,MIN(10,ROUND(IF('Council Entry'!Q$7="Decrease Risk",10-10*((IF('Council Entry'!Q$4="Logarithm",LN(0.001+IF(AND(ISNUMBER('Council Entry'!Q$8),ISNUMBER('Council Entry'!Q$9)),MAX(MIN('Council Entry'!Q178,'Council Entry'!Q$9),'Council Entry'!Q$8),'Council Entry'!Q178)),IF('Council Entry'!Q$4="Exponential",EXP(IF(AND(ISNUMBER('Council Entry'!Q$8),ISNUMBER('Council Entry'!Q$9)),MAX(MIN('Council Entry'!Q178,'Council Entry'!Q$9),'Council Entry'!Q$8),'Council Entry'!Q178)),IF(AND(ISNUMBER('Council Entry'!Q$8),ISNUMBER('Council Entry'!Q$9)),MAX(MIN('Council Entry'!Q178,'Council Entry'!Q$9),'Council Entry'!Q$8),'Council Entry'!Q178))))-'Council Entry'!Q$5)/('Council Entry'!Q$6-'Council Entry'!Q$5),10*((IF('Council Entry'!Q$4="Logarithm",LN(0.001+IF(AND(ISNUMBER('Council Entry'!Q$8),ISNUMBER('Council Entry'!Q$9)),MAX(MIN('Council Entry'!Q178,'Council Entry'!Q$9),'Council Entry'!Q$8),'Council Entry'!Q178)),IF('Council Entry'!Q$4="Exponential",EXP(IF(AND(ISNUMBER('Council Entry'!Q$8),ISNUMBER('Council Entry'!Q$9)),MAX(MIN('Council Entry'!Q178,'Council Entry'!Q$9),'Council Entry'!Q$8),'Council Entry'!Q178)),IF(AND(ISNUMBER('Council Entry'!Q$8),ISNUMBER('Council Entry'!Q$9)),MAX(MIN('Council Entry'!Q178,'Council Entry'!Q$9),'Council Entry'!Q$8),'Council Entry'!Q178))))-'Council Entry'!Q$5)/('Council Entry'!Q$6-'Council Entry'!Q$5)),1))),"No data"))</f>
        <v/>
      </c>
      <c r="R178" s="13">
        <f>IF('Council Entry'!R178="","",IFERROR(MAX(0,MIN(10,ROUND(IF('Council Entry'!R$7="Decrease Risk",10-10*((IF('Council Entry'!R$4="Logarithm",LN(0.001+IF(AND(ISNUMBER('Council Entry'!R$8),ISNUMBER('Council Entry'!R$9)),MAX(MIN('Council Entry'!R178,'Council Entry'!R$9),'Council Entry'!R$8),'Council Entry'!R178)),IF('Council Entry'!R$4="Exponential",EXP(IF(AND(ISNUMBER('Council Entry'!R$8),ISNUMBER('Council Entry'!R$9)),MAX(MIN('Council Entry'!R178,'Council Entry'!R$9),'Council Entry'!R$8),'Council Entry'!R178)),IF(AND(ISNUMBER('Council Entry'!R$8),ISNUMBER('Council Entry'!R$9)),MAX(MIN('Council Entry'!R178,'Council Entry'!R$9),'Council Entry'!R$8),'Council Entry'!R178))))-'Council Entry'!R$5)/('Council Entry'!R$6-'Council Entry'!R$5),10*((IF('Council Entry'!R$4="Logarithm",LN(0.001+IF(AND(ISNUMBER('Council Entry'!R$8),ISNUMBER('Council Entry'!R$9)),MAX(MIN('Council Entry'!R178,'Council Entry'!R$9),'Council Entry'!R$8),'Council Entry'!R178)),IF('Council Entry'!R$4="Exponential",EXP(IF(AND(ISNUMBER('Council Entry'!R$8),ISNUMBER('Council Entry'!R$9)),MAX(MIN('Council Entry'!R178,'Council Entry'!R$9),'Council Entry'!R$8),'Council Entry'!R178)),IF(AND(ISNUMBER('Council Entry'!R$8),ISNUMBER('Council Entry'!R$9)),MAX(MIN('Council Entry'!R178,'Council Entry'!R$9),'Council Entry'!R$8),'Council Entry'!R178))))-'Council Entry'!R$5)/('Council Entry'!R$6-'Council Entry'!R$5)),1))),"No data"))</f>
        <v/>
      </c>
      <c r="S178" s="13">
        <f>IF('Council Entry'!S178="","",IFERROR(MAX(0,MIN(10,ROUND(IF('Council Entry'!S$7="Decrease Risk",10-10*((IF('Council Entry'!S$4="Logarithm",LN(0.001+IF(AND(ISNUMBER('Council Entry'!S$8),ISNUMBER('Council Entry'!S$9)),MAX(MIN('Council Entry'!S178,'Council Entry'!S$9),'Council Entry'!S$8),'Council Entry'!S178)),IF('Council Entry'!S$4="Exponential",EXP(IF(AND(ISNUMBER('Council Entry'!S$8),ISNUMBER('Council Entry'!S$9)),MAX(MIN('Council Entry'!S178,'Council Entry'!S$9),'Council Entry'!S$8),'Council Entry'!S178)),IF(AND(ISNUMBER('Council Entry'!S$8),ISNUMBER('Council Entry'!S$9)),MAX(MIN('Council Entry'!S178,'Council Entry'!S$9),'Council Entry'!S$8),'Council Entry'!S178))))-'Council Entry'!S$5)/('Council Entry'!S$6-'Council Entry'!S$5),10*((IF('Council Entry'!S$4="Logarithm",LN(0.001+IF(AND(ISNUMBER('Council Entry'!S$8),ISNUMBER('Council Entry'!S$9)),MAX(MIN('Council Entry'!S178,'Council Entry'!S$9),'Council Entry'!S$8),'Council Entry'!S178)),IF('Council Entry'!S$4="Exponential",EXP(IF(AND(ISNUMBER('Council Entry'!S$8),ISNUMBER('Council Entry'!S$9)),MAX(MIN('Council Entry'!S178,'Council Entry'!S$9),'Council Entry'!S$8),'Council Entry'!S178)),IF(AND(ISNUMBER('Council Entry'!S$8),ISNUMBER('Council Entry'!S$9)),MAX(MIN('Council Entry'!S178,'Council Entry'!S$9),'Council Entry'!S$8),'Council Entry'!S178))))-'Council Entry'!S$5)/('Council Entry'!S$6-'Council Entry'!S$5)),1))),"No data"))</f>
        <v/>
      </c>
      <c r="T178" s="13">
        <f>IF('Council Entry'!T178="","",IFERROR(MAX(0,MIN(10,ROUND(IF('Council Entry'!T$7="Decrease Risk",10-10*((IF('Council Entry'!T$4="Logarithm",LN(0.001+IF(AND(ISNUMBER('Council Entry'!T$8),ISNUMBER('Council Entry'!T$9)),MAX(MIN('Council Entry'!T178,'Council Entry'!T$9),'Council Entry'!T$8),'Council Entry'!T178)),IF('Council Entry'!T$4="Exponential",EXP(IF(AND(ISNUMBER('Council Entry'!T$8),ISNUMBER('Council Entry'!T$9)),MAX(MIN('Council Entry'!T178,'Council Entry'!T$9),'Council Entry'!T$8),'Council Entry'!T178)),IF(AND(ISNUMBER('Council Entry'!T$8),ISNUMBER('Council Entry'!T$9)),MAX(MIN('Council Entry'!T178,'Council Entry'!T$9),'Council Entry'!T$8),'Council Entry'!T178))))-'Council Entry'!T$5)/('Council Entry'!T$6-'Council Entry'!T$5),10*((IF('Council Entry'!T$4="Logarithm",LN(0.001+IF(AND(ISNUMBER('Council Entry'!T$8),ISNUMBER('Council Entry'!T$9)),MAX(MIN('Council Entry'!T178,'Council Entry'!T$9),'Council Entry'!T$8),'Council Entry'!T178)),IF('Council Entry'!T$4="Exponential",EXP(IF(AND(ISNUMBER('Council Entry'!T$8),ISNUMBER('Council Entry'!T$9)),MAX(MIN('Council Entry'!T178,'Council Entry'!T$9),'Council Entry'!T$8),'Council Entry'!T178)),IF(AND(ISNUMBER('Council Entry'!T$8),ISNUMBER('Council Entry'!T$9)),MAX(MIN('Council Entry'!T178,'Council Entry'!T$9),'Council Entry'!T$8),'Council Entry'!T178))))-'Council Entry'!T$5)/('Council Entry'!T$6-'Council Entry'!T$5)),1))),"No data"))</f>
        <v/>
      </c>
      <c r="U178" s="13">
        <f>IF('Council Entry'!U178="","",IFERROR(MAX(0,MIN(10,ROUND(IF('Council Entry'!U$7="Decrease Risk",10-10*((IF('Council Entry'!U$4="Logarithm",LN(0.001+IF(AND(ISNUMBER('Council Entry'!U$8),ISNUMBER('Council Entry'!U$9)),MAX(MIN('Council Entry'!U178,'Council Entry'!U$9),'Council Entry'!U$8),'Council Entry'!U178)),IF('Council Entry'!U$4="Exponential",EXP(IF(AND(ISNUMBER('Council Entry'!U$8),ISNUMBER('Council Entry'!U$9)),MAX(MIN('Council Entry'!U178,'Council Entry'!U$9),'Council Entry'!U$8),'Council Entry'!U178)),IF(AND(ISNUMBER('Council Entry'!U$8),ISNUMBER('Council Entry'!U$9)),MAX(MIN('Council Entry'!U178,'Council Entry'!U$9),'Council Entry'!U$8),'Council Entry'!U178))))-'Council Entry'!U$5)/('Council Entry'!U$6-'Council Entry'!U$5),10*((IF('Council Entry'!U$4="Logarithm",LN(0.001+IF(AND(ISNUMBER('Council Entry'!U$8),ISNUMBER('Council Entry'!U$9)),MAX(MIN('Council Entry'!U178,'Council Entry'!U$9),'Council Entry'!U$8),'Council Entry'!U178)),IF('Council Entry'!U$4="Exponential",EXP(IF(AND(ISNUMBER('Council Entry'!U$8),ISNUMBER('Council Entry'!U$9)),MAX(MIN('Council Entry'!U178,'Council Entry'!U$9),'Council Entry'!U$8),'Council Entry'!U178)),IF(AND(ISNUMBER('Council Entry'!U$8),ISNUMBER('Council Entry'!U$9)),MAX(MIN('Council Entry'!U178,'Council Entry'!U$9),'Council Entry'!U$8),'Council Entry'!U178))))-'Council Entry'!U$5)/('Council Entry'!U$6-'Council Entry'!U$5)),1))),"No data"))</f>
        <v/>
      </c>
      <c r="V178" s="13">
        <f>IF('Council Entry'!V178="","",IFERROR(MAX(0,MIN(10,ROUND(IF('Council Entry'!V$7="Decrease Risk",10-10*((IF('Council Entry'!V$4="Logarithm",LN(0.001+IF(AND(ISNUMBER('Council Entry'!V$8),ISNUMBER('Council Entry'!V$9)),MAX(MIN('Council Entry'!V178,'Council Entry'!V$9),'Council Entry'!V$8),'Council Entry'!V178)),IF('Council Entry'!V$4="Exponential",EXP(IF(AND(ISNUMBER('Council Entry'!V$8),ISNUMBER('Council Entry'!V$9)),MAX(MIN('Council Entry'!V178,'Council Entry'!V$9),'Council Entry'!V$8),'Council Entry'!V178)),IF(AND(ISNUMBER('Council Entry'!V$8),ISNUMBER('Council Entry'!V$9)),MAX(MIN('Council Entry'!V178,'Council Entry'!V$9),'Council Entry'!V$8),'Council Entry'!V178))))-'Council Entry'!V$5)/('Council Entry'!V$6-'Council Entry'!V$5),10*((IF('Council Entry'!V$4="Logarithm",LN(0.001+IF(AND(ISNUMBER('Council Entry'!V$8),ISNUMBER('Council Entry'!V$9)),MAX(MIN('Council Entry'!V178,'Council Entry'!V$9),'Council Entry'!V$8),'Council Entry'!V178)),IF('Council Entry'!V$4="Exponential",EXP(IF(AND(ISNUMBER('Council Entry'!V$8),ISNUMBER('Council Entry'!V$9)),MAX(MIN('Council Entry'!V178,'Council Entry'!V$9),'Council Entry'!V$8),'Council Entry'!V178)),IF(AND(ISNUMBER('Council Entry'!V$8),ISNUMBER('Council Entry'!V$9)),MAX(MIN('Council Entry'!V178,'Council Entry'!V$9),'Council Entry'!V$8),'Council Entry'!V178))))-'Council Entry'!V$5)/('Council Entry'!V$6-'Council Entry'!V$5)),1))),"No data"))</f>
        <v/>
      </c>
      <c r="W178" s="13">
        <f>IF('Council Entry'!W178="","",IFERROR(MAX(0,MIN(10,ROUND(IF('Council Entry'!W$7="Decrease Risk",10-10*((IF('Council Entry'!W$4="Logarithm",LN(0.001+IF(AND(ISNUMBER('Council Entry'!W$8),ISNUMBER('Council Entry'!W$9)),MAX(MIN('Council Entry'!W178,'Council Entry'!W$9),'Council Entry'!W$8),'Council Entry'!W178)),IF('Council Entry'!W$4="Exponential",EXP(IF(AND(ISNUMBER('Council Entry'!W$8),ISNUMBER('Council Entry'!W$9)),MAX(MIN('Council Entry'!W178,'Council Entry'!W$9),'Council Entry'!W$8),'Council Entry'!W178)),IF(AND(ISNUMBER('Council Entry'!W$8),ISNUMBER('Council Entry'!W$9)),MAX(MIN('Council Entry'!W178,'Council Entry'!W$9),'Council Entry'!W$8),'Council Entry'!W178))))-'Council Entry'!W$5)/('Council Entry'!W$6-'Council Entry'!W$5),10*((IF('Council Entry'!W$4="Logarithm",LN(0.001+IF(AND(ISNUMBER('Council Entry'!W$8),ISNUMBER('Council Entry'!W$9)),MAX(MIN('Council Entry'!W178,'Council Entry'!W$9),'Council Entry'!W$8),'Council Entry'!W178)),IF('Council Entry'!W$4="Exponential",EXP(IF(AND(ISNUMBER('Council Entry'!W$8),ISNUMBER('Council Entry'!W$9)),MAX(MIN('Council Entry'!W178,'Council Entry'!W$9),'Council Entry'!W$8),'Council Entry'!W178)),IF(AND(ISNUMBER('Council Entry'!W$8),ISNUMBER('Council Entry'!W$9)),MAX(MIN('Council Entry'!W178,'Council Entry'!W$9),'Council Entry'!W$8),'Council Entry'!W178))))-'Council Entry'!W$5)/('Council Entry'!W$6-'Council Entry'!W$5)),1))),"No data"))</f>
        <v/>
      </c>
      <c r="X178" s="13">
        <f>IF('Council Entry'!X178="","",IFERROR(MAX(0,MIN(10,ROUND(IF('Council Entry'!X$7="Decrease Risk",10-10*((IF('Council Entry'!X$4="Logarithm",LN(0.001+IF(AND(ISNUMBER('Council Entry'!X$8),ISNUMBER('Council Entry'!X$9)),MAX(MIN('Council Entry'!X178,'Council Entry'!X$9),'Council Entry'!X$8),'Council Entry'!X178)),IF('Council Entry'!X$4="Exponential",EXP(IF(AND(ISNUMBER('Council Entry'!X$8),ISNUMBER('Council Entry'!X$9)),MAX(MIN('Council Entry'!X178,'Council Entry'!X$9),'Council Entry'!X$8),'Council Entry'!X178)),IF(AND(ISNUMBER('Council Entry'!X$8),ISNUMBER('Council Entry'!X$9)),MAX(MIN('Council Entry'!X178,'Council Entry'!X$9),'Council Entry'!X$8),'Council Entry'!X178))))-'Council Entry'!X$5)/('Council Entry'!X$6-'Council Entry'!X$5),10*((IF('Council Entry'!X$4="Logarithm",LN(0.001+IF(AND(ISNUMBER('Council Entry'!X$8),ISNUMBER('Council Entry'!X$9)),MAX(MIN('Council Entry'!X178,'Council Entry'!X$9),'Council Entry'!X$8),'Council Entry'!X178)),IF('Council Entry'!X$4="Exponential",EXP(IF(AND(ISNUMBER('Council Entry'!X$8),ISNUMBER('Council Entry'!X$9)),MAX(MIN('Council Entry'!X178,'Council Entry'!X$9),'Council Entry'!X$8),'Council Entry'!X178)),IF(AND(ISNUMBER('Council Entry'!X$8),ISNUMBER('Council Entry'!X$9)),MAX(MIN('Council Entry'!X178,'Council Entry'!X$9),'Council Entry'!X$8),'Council Entry'!X178))))-'Council Entry'!X$5)/('Council Entry'!X$6-'Council Entry'!X$5)),1))),"No data"))</f>
        <v/>
      </c>
      <c r="Y178" s="13">
        <f>IF('Council Entry'!Y178="","",IFERROR(MAX(0,MIN(10,ROUND(IF('Council Entry'!Y$7="Decrease Risk",10-10*((IF('Council Entry'!Y$4="Logarithm",LN(0.001+IF(AND(ISNUMBER('Council Entry'!Y$8),ISNUMBER('Council Entry'!Y$9)),MAX(MIN('Council Entry'!Y178,'Council Entry'!Y$9),'Council Entry'!Y$8),'Council Entry'!Y178)),IF('Council Entry'!Y$4="Exponential",EXP(IF(AND(ISNUMBER('Council Entry'!Y$8),ISNUMBER('Council Entry'!Y$9)),MAX(MIN('Council Entry'!Y178,'Council Entry'!Y$9),'Council Entry'!Y$8),'Council Entry'!Y178)),IF(AND(ISNUMBER('Council Entry'!Y$8),ISNUMBER('Council Entry'!Y$9)),MAX(MIN('Council Entry'!Y178,'Council Entry'!Y$9),'Council Entry'!Y$8),'Council Entry'!Y178))))-'Council Entry'!Y$5)/('Council Entry'!Y$6-'Council Entry'!Y$5),10*((IF('Council Entry'!Y$4="Logarithm",LN(0.001+IF(AND(ISNUMBER('Council Entry'!Y$8),ISNUMBER('Council Entry'!Y$9)),MAX(MIN('Council Entry'!Y178,'Council Entry'!Y$9),'Council Entry'!Y$8),'Council Entry'!Y178)),IF('Council Entry'!Y$4="Exponential",EXP(IF(AND(ISNUMBER('Council Entry'!Y$8),ISNUMBER('Council Entry'!Y$9)),MAX(MIN('Council Entry'!Y178,'Council Entry'!Y$9),'Council Entry'!Y$8),'Council Entry'!Y178)),IF(AND(ISNUMBER('Council Entry'!Y$8),ISNUMBER('Council Entry'!Y$9)),MAX(MIN('Council Entry'!Y178,'Council Entry'!Y$9),'Council Entry'!Y$8),'Council Entry'!Y178))))-'Council Entry'!Y$5)/('Council Entry'!Y$6-'Council Entry'!Y$5)),1))),"No data"))</f>
        <v/>
      </c>
      <c r="Z178" s="13">
        <f>IF('Council Entry'!Z178="","",IFERROR(MAX(0,MIN(10,ROUND(IF('Council Entry'!Z$7="Decrease Risk",10-10*((IF('Council Entry'!Z$4="Logarithm",LN(0.001+IF(AND(ISNUMBER('Council Entry'!Z$8),ISNUMBER('Council Entry'!Z$9)),MAX(MIN('Council Entry'!Z178,'Council Entry'!Z$9),'Council Entry'!Z$8),'Council Entry'!Z178)),IF('Council Entry'!Z$4="Exponential",EXP(IF(AND(ISNUMBER('Council Entry'!Z$8),ISNUMBER('Council Entry'!Z$9)),MAX(MIN('Council Entry'!Z178,'Council Entry'!Z$9),'Council Entry'!Z$8),'Council Entry'!Z178)),IF(AND(ISNUMBER('Council Entry'!Z$8),ISNUMBER('Council Entry'!Z$9)),MAX(MIN('Council Entry'!Z178,'Council Entry'!Z$9),'Council Entry'!Z$8),'Council Entry'!Z178))))-'Council Entry'!Z$5)/('Council Entry'!Z$6-'Council Entry'!Z$5),10*((IF('Council Entry'!Z$4="Logarithm",LN(0.001+IF(AND(ISNUMBER('Council Entry'!Z$8),ISNUMBER('Council Entry'!Z$9)),MAX(MIN('Council Entry'!Z178,'Council Entry'!Z$9),'Council Entry'!Z$8),'Council Entry'!Z178)),IF('Council Entry'!Z$4="Exponential",EXP(IF(AND(ISNUMBER('Council Entry'!Z$8),ISNUMBER('Council Entry'!Z$9)),MAX(MIN('Council Entry'!Z178,'Council Entry'!Z$9),'Council Entry'!Z$8),'Council Entry'!Z178)),IF(AND(ISNUMBER('Council Entry'!Z$8),ISNUMBER('Council Entry'!Z$9)),MAX(MIN('Council Entry'!Z178,'Council Entry'!Z$9),'Council Entry'!Z$8),'Council Entry'!Z178))))-'Council Entry'!Z$5)/('Council Entry'!Z$6-'Council Entry'!Z$5)),1))),"No data"))</f>
        <v/>
      </c>
      <c r="AA178" s="13">
        <f>IF('Council Entry'!AA178="","",IFERROR(MAX(0,MIN(10,ROUND(IF('Council Entry'!AA$7="Decrease Risk",10-10*((IF('Council Entry'!AA$4="Logarithm",LN(0.001+IF(AND(ISNUMBER('Council Entry'!AA$8),ISNUMBER('Council Entry'!AA$9)),MAX(MIN('Council Entry'!AA178,'Council Entry'!AA$9),'Council Entry'!AA$8),'Council Entry'!AA178)),IF('Council Entry'!AA$4="Exponential",EXP(IF(AND(ISNUMBER('Council Entry'!AA$8),ISNUMBER('Council Entry'!AA$9)),MAX(MIN('Council Entry'!AA178,'Council Entry'!AA$9),'Council Entry'!AA$8),'Council Entry'!AA178)),IF(AND(ISNUMBER('Council Entry'!AA$8),ISNUMBER('Council Entry'!AA$9)),MAX(MIN('Council Entry'!AA178,'Council Entry'!AA$9),'Council Entry'!AA$8),'Council Entry'!AA178))))-'Council Entry'!AA$5)/('Council Entry'!AA$6-'Council Entry'!AA$5),10*((IF('Council Entry'!AA$4="Logarithm",LN(0.001+IF(AND(ISNUMBER('Council Entry'!AA$8),ISNUMBER('Council Entry'!AA$9)),MAX(MIN('Council Entry'!AA178,'Council Entry'!AA$9),'Council Entry'!AA$8),'Council Entry'!AA178)),IF('Council Entry'!AA$4="Exponential",EXP(IF(AND(ISNUMBER('Council Entry'!AA$8),ISNUMBER('Council Entry'!AA$9)),MAX(MIN('Council Entry'!AA178,'Council Entry'!AA$9),'Council Entry'!AA$8),'Council Entry'!AA178)),IF(AND(ISNUMBER('Council Entry'!AA$8),ISNUMBER('Council Entry'!AA$9)),MAX(MIN('Council Entry'!AA178,'Council Entry'!AA$9),'Council Entry'!AA$8),'Council Entry'!AA178))))-'Council Entry'!AA$5)/('Council Entry'!AA$6-'Council Entry'!AA$5)),1))),"No data"))</f>
        <v/>
      </c>
      <c r="AB178" s="13">
        <f>IF('Council Entry'!AB178="","",IFERROR(MAX(0,MIN(10,ROUND(IF('Council Entry'!AB$7="Decrease Risk",10-10*((IF('Council Entry'!AB$4="Logarithm",LN(0.001+IF(AND(ISNUMBER('Council Entry'!AB$8),ISNUMBER('Council Entry'!AB$9)),MAX(MIN('Council Entry'!AB178,'Council Entry'!AB$9),'Council Entry'!AB$8),'Council Entry'!AB178)),IF('Council Entry'!AB$4="Exponential",EXP(IF(AND(ISNUMBER('Council Entry'!AB$8),ISNUMBER('Council Entry'!AB$9)),MAX(MIN('Council Entry'!AB178,'Council Entry'!AB$9),'Council Entry'!AB$8),'Council Entry'!AB178)),IF(AND(ISNUMBER('Council Entry'!AB$8),ISNUMBER('Council Entry'!AB$9)),MAX(MIN('Council Entry'!AB178,'Council Entry'!AB$9),'Council Entry'!AB$8),'Council Entry'!AB178))))-'Council Entry'!AB$5)/('Council Entry'!AB$6-'Council Entry'!AB$5),10*((IF('Council Entry'!AB$4="Logarithm",LN(0.001+IF(AND(ISNUMBER('Council Entry'!AB$8),ISNUMBER('Council Entry'!AB$9)),MAX(MIN('Council Entry'!AB178,'Council Entry'!AB$9),'Council Entry'!AB$8),'Council Entry'!AB178)),IF('Council Entry'!AB$4="Exponential",EXP(IF(AND(ISNUMBER('Council Entry'!AB$8),ISNUMBER('Council Entry'!AB$9)),MAX(MIN('Council Entry'!AB178,'Council Entry'!AB$9),'Council Entry'!AB$8),'Council Entry'!AB178)),IF(AND(ISNUMBER('Council Entry'!AB$8),ISNUMBER('Council Entry'!AB$9)),MAX(MIN('Council Entry'!AB178,'Council Entry'!AB$9),'Council Entry'!AB$8),'Council Entry'!AB178))))-'Council Entry'!AB$5)/('Council Entry'!AB$6-'Council Entry'!AB$5)),1))),"No data"))</f>
        <v/>
      </c>
      <c r="AC178" s="13">
        <f>IF('Council Entry'!AC178="","",IFERROR(MAX(0,MIN(10,ROUND(IF('Council Entry'!AC$7="Decrease Risk",10-10*((IF('Council Entry'!AC$4="Logarithm",LN(0.001+IF(AND(ISNUMBER('Council Entry'!AC$8),ISNUMBER('Council Entry'!AC$9)),MAX(MIN('Council Entry'!AC178,'Council Entry'!AC$9),'Council Entry'!AC$8),'Council Entry'!AC178)),IF('Council Entry'!AC$4="Exponential",EXP(IF(AND(ISNUMBER('Council Entry'!AC$8),ISNUMBER('Council Entry'!AC$9)),MAX(MIN('Council Entry'!AC178,'Council Entry'!AC$9),'Council Entry'!AC$8),'Council Entry'!AC178)),IF(AND(ISNUMBER('Council Entry'!AC$8),ISNUMBER('Council Entry'!AC$9)),MAX(MIN('Council Entry'!AC178,'Council Entry'!AC$9),'Council Entry'!AC$8),'Council Entry'!AC178))))-'Council Entry'!AC$5)/('Council Entry'!AC$6-'Council Entry'!AC$5),10*((IF('Council Entry'!AC$4="Logarithm",LN(0.001+IF(AND(ISNUMBER('Council Entry'!AC$8),ISNUMBER('Council Entry'!AC$9)),MAX(MIN('Council Entry'!AC178,'Council Entry'!AC$9),'Council Entry'!AC$8),'Council Entry'!AC178)),IF('Council Entry'!AC$4="Exponential",EXP(IF(AND(ISNUMBER('Council Entry'!AC$8),ISNUMBER('Council Entry'!AC$9)),MAX(MIN('Council Entry'!AC178,'Council Entry'!AC$9),'Council Entry'!AC$8),'Council Entry'!AC178)),IF(AND(ISNUMBER('Council Entry'!AC$8),ISNUMBER('Council Entry'!AC$9)),MAX(MIN('Council Entry'!AC178,'Council Entry'!AC$9),'Council Entry'!AC$8),'Council Entry'!AC178))))-'Council Entry'!AC$5)/('Council Entry'!AC$6-'Council Entry'!AC$5)),1))),"No data"))</f>
        <v/>
      </c>
      <c r="AD178" s="13">
        <f>IF('Council Entry'!AD178="","",IFERROR(MAX(0,MIN(10,ROUND(IF('Council Entry'!AD$7="Decrease Risk",10-10*((IF('Council Entry'!AD$4="Logarithm",LN(0.001+IF(AND(ISNUMBER('Council Entry'!AD$8),ISNUMBER('Council Entry'!AD$9)),MAX(MIN('Council Entry'!AD178,'Council Entry'!AD$9),'Council Entry'!AD$8),'Council Entry'!AD178)),IF('Council Entry'!AD$4="Exponential",EXP(IF(AND(ISNUMBER('Council Entry'!AD$8),ISNUMBER('Council Entry'!AD$9)),MAX(MIN('Council Entry'!AD178,'Council Entry'!AD$9),'Council Entry'!AD$8),'Council Entry'!AD178)),IF(AND(ISNUMBER('Council Entry'!AD$8),ISNUMBER('Council Entry'!AD$9)),MAX(MIN('Council Entry'!AD178,'Council Entry'!AD$9),'Council Entry'!AD$8),'Council Entry'!AD178))))-'Council Entry'!AD$5)/('Council Entry'!AD$6-'Council Entry'!AD$5),10*((IF('Council Entry'!AD$4="Logarithm",LN(0.001+IF(AND(ISNUMBER('Council Entry'!AD$8),ISNUMBER('Council Entry'!AD$9)),MAX(MIN('Council Entry'!AD178,'Council Entry'!AD$9),'Council Entry'!AD$8),'Council Entry'!AD178)),IF('Council Entry'!AD$4="Exponential",EXP(IF(AND(ISNUMBER('Council Entry'!AD$8),ISNUMBER('Council Entry'!AD$9)),MAX(MIN('Council Entry'!AD178,'Council Entry'!AD$9),'Council Entry'!AD$8),'Council Entry'!AD178)),IF(AND(ISNUMBER('Council Entry'!AD$8),ISNUMBER('Council Entry'!AD$9)),MAX(MIN('Council Entry'!AD178,'Council Entry'!AD$9),'Council Entry'!AD$8),'Council Entry'!AD178))))-'Council Entry'!AD$5)/('Council Entry'!AD$6-'Council Entry'!AD$5)),1))),"No data"))</f>
        <v/>
      </c>
      <c r="AE178" s="13">
        <f>IF('Council Entry'!AE178="","",IFERROR(MAX(0,MIN(10,ROUND(IF('Council Entry'!AE$7="Decrease Risk",10-10*((IF('Council Entry'!AE$4="Logarithm",LN(0.001+IF(AND(ISNUMBER('Council Entry'!AE$8),ISNUMBER('Council Entry'!AE$9)),MAX(MIN('Council Entry'!AE178,'Council Entry'!AE$9),'Council Entry'!AE$8),'Council Entry'!AE178)),IF('Council Entry'!AE$4="Exponential",EXP(IF(AND(ISNUMBER('Council Entry'!AE$8),ISNUMBER('Council Entry'!AE$9)),MAX(MIN('Council Entry'!AE178,'Council Entry'!AE$9),'Council Entry'!AE$8),'Council Entry'!AE178)),IF(AND(ISNUMBER('Council Entry'!AE$8),ISNUMBER('Council Entry'!AE$9)),MAX(MIN('Council Entry'!AE178,'Council Entry'!AE$9),'Council Entry'!AE$8),'Council Entry'!AE178))))-'Council Entry'!AE$5)/('Council Entry'!AE$6-'Council Entry'!AE$5),10*((IF('Council Entry'!AE$4="Logarithm",LN(0.001+IF(AND(ISNUMBER('Council Entry'!AE$8),ISNUMBER('Council Entry'!AE$9)),MAX(MIN('Council Entry'!AE178,'Council Entry'!AE$9),'Council Entry'!AE$8),'Council Entry'!AE178)),IF('Council Entry'!AE$4="Exponential",EXP(IF(AND(ISNUMBER('Council Entry'!AE$8),ISNUMBER('Council Entry'!AE$9)),MAX(MIN('Council Entry'!AE178,'Council Entry'!AE$9),'Council Entry'!AE$8),'Council Entry'!AE178)),IF(AND(ISNUMBER('Council Entry'!AE$8),ISNUMBER('Council Entry'!AE$9)),MAX(MIN('Council Entry'!AE178,'Council Entry'!AE$9),'Council Entry'!AE$8),'Council Entry'!AE178))))-'Council Entry'!AE$5)/('Council Entry'!AE$6-'Council Entry'!AE$5)),1))),"No data"))</f>
        <v/>
      </c>
      <c r="AF178" s="13">
        <f>IF('Council Entry'!AF178="","",IFERROR(MAX(0,MIN(10,ROUND(IF('Council Entry'!AF$7="Decrease Risk",10-10*((IF('Council Entry'!AF$4="Logarithm",LN(0.001+IF(AND(ISNUMBER('Council Entry'!AF$8),ISNUMBER('Council Entry'!AF$9)),MAX(MIN('Council Entry'!AF178,'Council Entry'!AF$9),'Council Entry'!AF$8),'Council Entry'!AF178)),IF('Council Entry'!AF$4="Exponential",EXP(IF(AND(ISNUMBER('Council Entry'!AF$8),ISNUMBER('Council Entry'!AF$9)),MAX(MIN('Council Entry'!AF178,'Council Entry'!AF$9),'Council Entry'!AF$8),'Council Entry'!AF178)),IF(AND(ISNUMBER('Council Entry'!AF$8),ISNUMBER('Council Entry'!AF$9)),MAX(MIN('Council Entry'!AF178,'Council Entry'!AF$9),'Council Entry'!AF$8),'Council Entry'!AF178))))-'Council Entry'!AF$5)/('Council Entry'!AF$6-'Council Entry'!AF$5),10*((IF('Council Entry'!AF$4="Logarithm",LN(0.001+IF(AND(ISNUMBER('Council Entry'!AF$8),ISNUMBER('Council Entry'!AF$9)),MAX(MIN('Council Entry'!AF178,'Council Entry'!AF$9),'Council Entry'!AF$8),'Council Entry'!AF178)),IF('Council Entry'!AF$4="Exponential",EXP(IF(AND(ISNUMBER('Council Entry'!AF$8),ISNUMBER('Council Entry'!AF$9)),MAX(MIN('Council Entry'!AF178,'Council Entry'!AF$9),'Council Entry'!AF$8),'Council Entry'!AF178)),IF(AND(ISNUMBER('Council Entry'!AF$8),ISNUMBER('Council Entry'!AF$9)),MAX(MIN('Council Entry'!AF178,'Council Entry'!AF$9),'Council Entry'!AF$8),'Council Entry'!AF178))))-'Council Entry'!AF$5)/('Council Entry'!AF$6-'Council Entry'!AF$5)),1))),"No data"))</f>
        <v/>
      </c>
      <c r="AG178" s="13">
        <f>IF('Council Entry'!AG178="","",IFERROR(MAX(0,MIN(10,ROUND(IF('Council Entry'!AG$7="Decrease Risk",10-10*((IF('Council Entry'!AG$4="Logarithm",LN(0.001+IF(AND(ISNUMBER('Council Entry'!AG$8),ISNUMBER('Council Entry'!AG$9)),MAX(MIN('Council Entry'!AG178,'Council Entry'!AG$9),'Council Entry'!AG$8),'Council Entry'!AG178)),IF('Council Entry'!AG$4="Exponential",EXP(IF(AND(ISNUMBER('Council Entry'!AG$8),ISNUMBER('Council Entry'!AG$9)),MAX(MIN('Council Entry'!AG178,'Council Entry'!AG$9),'Council Entry'!AG$8),'Council Entry'!AG178)),IF(AND(ISNUMBER('Council Entry'!AG$8),ISNUMBER('Council Entry'!AG$9)),MAX(MIN('Council Entry'!AG178,'Council Entry'!AG$9),'Council Entry'!AG$8),'Council Entry'!AG178))))-'Council Entry'!AG$5)/('Council Entry'!AG$6-'Council Entry'!AG$5),10*((IF('Council Entry'!AG$4="Logarithm",LN(0.001+IF(AND(ISNUMBER('Council Entry'!AG$8),ISNUMBER('Council Entry'!AG$9)),MAX(MIN('Council Entry'!AG178,'Council Entry'!AG$9),'Council Entry'!AG$8),'Council Entry'!AG178)),IF('Council Entry'!AG$4="Exponential",EXP(IF(AND(ISNUMBER('Council Entry'!AG$8),ISNUMBER('Council Entry'!AG$9)),MAX(MIN('Council Entry'!AG178,'Council Entry'!AG$9),'Council Entry'!AG$8),'Council Entry'!AG178)),IF(AND(ISNUMBER('Council Entry'!AG$8),ISNUMBER('Council Entry'!AG$9)),MAX(MIN('Council Entry'!AG178,'Council Entry'!AG$9),'Council Entry'!AG$8),'Council Entry'!AG178))))-'Council Entry'!AG$5)/('Council Entry'!AG$6-'Council Entry'!AG$5)),1))),"No data"))</f>
        <v/>
      </c>
      <c r="AH178" s="13">
        <f>IF('Council Entry'!AH178="","",IFERROR(MAX(0,MIN(10,ROUND(IF('Council Entry'!AH$7="Decrease Risk",10-10*((IF('Council Entry'!AH$4="Logarithm",LN(0.001+IF(AND(ISNUMBER('Council Entry'!AH$8),ISNUMBER('Council Entry'!AH$9)),MAX(MIN('Council Entry'!AH178,'Council Entry'!AH$9),'Council Entry'!AH$8),'Council Entry'!AH178)),IF('Council Entry'!AH$4="Exponential",EXP(IF(AND(ISNUMBER('Council Entry'!AH$8),ISNUMBER('Council Entry'!AH$9)),MAX(MIN('Council Entry'!AH178,'Council Entry'!AH$9),'Council Entry'!AH$8),'Council Entry'!AH178)),IF(AND(ISNUMBER('Council Entry'!AH$8),ISNUMBER('Council Entry'!AH$9)),MAX(MIN('Council Entry'!AH178,'Council Entry'!AH$9),'Council Entry'!AH$8),'Council Entry'!AH178))))-'Council Entry'!AH$5)/('Council Entry'!AH$6-'Council Entry'!AH$5),10*((IF('Council Entry'!AH$4="Logarithm",LN(0.001+IF(AND(ISNUMBER('Council Entry'!AH$8),ISNUMBER('Council Entry'!AH$9)),MAX(MIN('Council Entry'!AH178,'Council Entry'!AH$9),'Council Entry'!AH$8),'Council Entry'!AH178)),IF('Council Entry'!AH$4="Exponential",EXP(IF(AND(ISNUMBER('Council Entry'!AH$8),ISNUMBER('Council Entry'!AH$9)),MAX(MIN('Council Entry'!AH178,'Council Entry'!AH$9),'Council Entry'!AH$8),'Council Entry'!AH178)),IF(AND(ISNUMBER('Council Entry'!AH$8),ISNUMBER('Council Entry'!AH$9)),MAX(MIN('Council Entry'!AH178,'Council Entry'!AH$9),'Council Entry'!AH$8),'Council Entry'!AH178))))-'Council Entry'!AH$5)/('Council Entry'!AH$6-'Council Entry'!AH$5)),1))),"No data"))</f>
        <v/>
      </c>
      <c r="AI178" s="13">
        <f>IF('Council Entry'!AI178="","",IFERROR(MAX(0,MIN(10,ROUND(IF('Council Entry'!AI$7="Decrease Risk",10-10*((IF('Council Entry'!AI$4="Logarithm",LN(0.001+IF(AND(ISNUMBER('Council Entry'!AI$8),ISNUMBER('Council Entry'!AI$9)),MAX(MIN('Council Entry'!AI178,'Council Entry'!AI$9),'Council Entry'!AI$8),'Council Entry'!AI178)),IF('Council Entry'!AI$4="Exponential",EXP(IF(AND(ISNUMBER('Council Entry'!AI$8),ISNUMBER('Council Entry'!AI$9)),MAX(MIN('Council Entry'!AI178,'Council Entry'!AI$9),'Council Entry'!AI$8),'Council Entry'!AI178)),IF(AND(ISNUMBER('Council Entry'!AI$8),ISNUMBER('Council Entry'!AI$9)),MAX(MIN('Council Entry'!AI178,'Council Entry'!AI$9),'Council Entry'!AI$8),'Council Entry'!AI178))))-'Council Entry'!AI$5)/('Council Entry'!AI$6-'Council Entry'!AI$5),10*((IF('Council Entry'!AI$4="Logarithm",LN(0.001+IF(AND(ISNUMBER('Council Entry'!AI$8),ISNUMBER('Council Entry'!AI$9)),MAX(MIN('Council Entry'!AI178,'Council Entry'!AI$9),'Council Entry'!AI$8),'Council Entry'!AI178)),IF('Council Entry'!AI$4="Exponential",EXP(IF(AND(ISNUMBER('Council Entry'!AI$8),ISNUMBER('Council Entry'!AI$9)),MAX(MIN('Council Entry'!AI178,'Council Entry'!AI$9),'Council Entry'!AI$8),'Council Entry'!AI178)),IF(AND(ISNUMBER('Council Entry'!AI$8),ISNUMBER('Council Entry'!AI$9)),MAX(MIN('Council Entry'!AI178,'Council Entry'!AI$9),'Council Entry'!AI$8),'Council Entry'!AI178))))-'Council Entry'!AI$5)/('Council Entry'!AI$6-'Council Entry'!AI$5)),1))),"No data"))</f>
        <v/>
      </c>
      <c r="AJ178" s="13">
        <f>IF('Council Entry'!AJ178="","",IFERROR(MAX(0,MIN(10,ROUND(IF('Council Entry'!AJ$7="Decrease Risk",10-10*((IF('Council Entry'!AJ$4="Logarithm",LN(0.001+IF(AND(ISNUMBER('Council Entry'!AJ$8),ISNUMBER('Council Entry'!AJ$9)),MAX(MIN('Council Entry'!AJ178,'Council Entry'!AJ$9),'Council Entry'!AJ$8),'Council Entry'!AJ178)),IF('Council Entry'!AJ$4="Exponential",EXP(IF(AND(ISNUMBER('Council Entry'!AJ$8),ISNUMBER('Council Entry'!AJ$9)),MAX(MIN('Council Entry'!AJ178,'Council Entry'!AJ$9),'Council Entry'!AJ$8),'Council Entry'!AJ178)),IF(AND(ISNUMBER('Council Entry'!AJ$8),ISNUMBER('Council Entry'!AJ$9)),MAX(MIN('Council Entry'!AJ178,'Council Entry'!AJ$9),'Council Entry'!AJ$8),'Council Entry'!AJ178))))-'Council Entry'!AJ$5)/('Council Entry'!AJ$6-'Council Entry'!AJ$5),10*((IF('Council Entry'!AJ$4="Logarithm",LN(0.001+IF(AND(ISNUMBER('Council Entry'!AJ$8),ISNUMBER('Council Entry'!AJ$9)),MAX(MIN('Council Entry'!AJ178,'Council Entry'!AJ$9),'Council Entry'!AJ$8),'Council Entry'!AJ178)),IF('Council Entry'!AJ$4="Exponential",EXP(IF(AND(ISNUMBER('Council Entry'!AJ$8),ISNUMBER('Council Entry'!AJ$9)),MAX(MIN('Council Entry'!AJ178,'Council Entry'!AJ$9),'Council Entry'!AJ$8),'Council Entry'!AJ178)),IF(AND(ISNUMBER('Council Entry'!AJ$8),ISNUMBER('Council Entry'!AJ$9)),MAX(MIN('Council Entry'!AJ178,'Council Entry'!AJ$9),'Council Entry'!AJ$8),'Council Entry'!AJ178))))-'Council Entry'!AJ$5)/('Council Entry'!AJ$6-'Council Entry'!AJ$5)),1))),"No data"))</f>
        <v/>
      </c>
      <c r="AK178" s="13">
        <f>IF('Council Entry'!AK178="","",IFERROR(MAX(0,MIN(10,ROUND(IF('Council Entry'!AK$7="Decrease Risk",10-10*((IF('Council Entry'!AK$4="Logarithm",LN(0.001+IF(AND(ISNUMBER('Council Entry'!AK$8),ISNUMBER('Council Entry'!AK$9)),MAX(MIN('Council Entry'!AK178,'Council Entry'!AK$9),'Council Entry'!AK$8),'Council Entry'!AK178)),IF('Council Entry'!AK$4="Exponential",EXP(IF(AND(ISNUMBER('Council Entry'!AK$8),ISNUMBER('Council Entry'!AK$9)),MAX(MIN('Council Entry'!AK178,'Council Entry'!AK$9),'Council Entry'!AK$8),'Council Entry'!AK178)),IF(AND(ISNUMBER('Council Entry'!AK$8),ISNUMBER('Council Entry'!AK$9)),MAX(MIN('Council Entry'!AK178,'Council Entry'!AK$9),'Council Entry'!AK$8),'Council Entry'!AK178))))-'Council Entry'!AK$5)/('Council Entry'!AK$6-'Council Entry'!AK$5),10*((IF('Council Entry'!AK$4="Logarithm",LN(0.001+IF(AND(ISNUMBER('Council Entry'!AK$8),ISNUMBER('Council Entry'!AK$9)),MAX(MIN('Council Entry'!AK178,'Council Entry'!AK$9),'Council Entry'!AK$8),'Council Entry'!AK178)),IF('Council Entry'!AK$4="Exponential",EXP(IF(AND(ISNUMBER('Council Entry'!AK$8),ISNUMBER('Council Entry'!AK$9)),MAX(MIN('Council Entry'!AK178,'Council Entry'!AK$9),'Council Entry'!AK$8),'Council Entry'!AK178)),IF(AND(ISNUMBER('Council Entry'!AK$8),ISNUMBER('Council Entry'!AK$9)),MAX(MIN('Council Entry'!AK178,'Council Entry'!AK$9),'Council Entry'!AK$8),'Council Entry'!AK178))))-'Council Entry'!AK$5)/('Council Entry'!AK$6-'Council Entry'!AK$5)),1))),"No data"))</f>
        <v/>
      </c>
      <c r="AL178" s="13">
        <f>IF('Council Entry'!AL178="","",IFERROR(MAX(0,MIN(10,ROUND(IF('Council Entry'!AL$7="Decrease Risk",10-10*((IF('Council Entry'!AL$4="Logarithm",LN(0.001+IF(AND(ISNUMBER('Council Entry'!AL$8),ISNUMBER('Council Entry'!AL$9)),MAX(MIN('Council Entry'!AL178,'Council Entry'!AL$9),'Council Entry'!AL$8),'Council Entry'!AL178)),IF('Council Entry'!AL$4="Exponential",EXP(IF(AND(ISNUMBER('Council Entry'!AL$8),ISNUMBER('Council Entry'!AL$9)),MAX(MIN('Council Entry'!AL178,'Council Entry'!AL$9),'Council Entry'!AL$8),'Council Entry'!AL178)),IF(AND(ISNUMBER('Council Entry'!AL$8),ISNUMBER('Council Entry'!AL$9)),MAX(MIN('Council Entry'!AL178,'Council Entry'!AL$9),'Council Entry'!AL$8),'Council Entry'!AL178))))-'Council Entry'!AL$5)/('Council Entry'!AL$6-'Council Entry'!AL$5),10*((IF('Council Entry'!AL$4="Logarithm",LN(0.001+IF(AND(ISNUMBER('Council Entry'!AL$8),ISNUMBER('Council Entry'!AL$9)),MAX(MIN('Council Entry'!AL178,'Council Entry'!AL$9),'Council Entry'!AL$8),'Council Entry'!AL178)),IF('Council Entry'!AL$4="Exponential",EXP(IF(AND(ISNUMBER('Council Entry'!AL$8),ISNUMBER('Council Entry'!AL$9)),MAX(MIN('Council Entry'!AL178,'Council Entry'!AL$9),'Council Entry'!AL$8),'Council Entry'!AL178)),IF(AND(ISNUMBER('Council Entry'!AL$8),ISNUMBER('Council Entry'!AL$9)),MAX(MIN('Council Entry'!AL178,'Council Entry'!AL$9),'Council Entry'!AL$8),'Council Entry'!AL178))))-'Council Entry'!AL$5)/('Council Entry'!AL$6-'Council Entry'!AL$5)),1))),"No data"))</f>
        <v/>
      </c>
      <c r="AM178" s="13">
        <f>IF('Council Entry'!AM178="","",IFERROR(MAX(0,MIN(10,ROUND(IF('Council Entry'!AM$7="Decrease Risk",10-10*((IF('Council Entry'!AM$4="Logarithm",LN(0.001+IF(AND(ISNUMBER('Council Entry'!AM$8),ISNUMBER('Council Entry'!AM$9)),MAX(MIN('Council Entry'!AM178,'Council Entry'!AM$9),'Council Entry'!AM$8),'Council Entry'!AM178)),IF('Council Entry'!AM$4="Exponential",EXP(IF(AND(ISNUMBER('Council Entry'!AM$8),ISNUMBER('Council Entry'!AM$9)),MAX(MIN('Council Entry'!AM178,'Council Entry'!AM$9),'Council Entry'!AM$8),'Council Entry'!AM178)),IF(AND(ISNUMBER('Council Entry'!AM$8),ISNUMBER('Council Entry'!AM$9)),MAX(MIN('Council Entry'!AM178,'Council Entry'!AM$9),'Council Entry'!AM$8),'Council Entry'!AM178))))-'Council Entry'!AM$5)/('Council Entry'!AM$6-'Council Entry'!AM$5),10*((IF('Council Entry'!AM$4="Logarithm",LN(0.001+IF(AND(ISNUMBER('Council Entry'!AM$8),ISNUMBER('Council Entry'!AM$9)),MAX(MIN('Council Entry'!AM178,'Council Entry'!AM$9),'Council Entry'!AM$8),'Council Entry'!AM178)),IF('Council Entry'!AM$4="Exponential",EXP(IF(AND(ISNUMBER('Council Entry'!AM$8),ISNUMBER('Council Entry'!AM$9)),MAX(MIN('Council Entry'!AM178,'Council Entry'!AM$9),'Council Entry'!AM$8),'Council Entry'!AM178)),IF(AND(ISNUMBER('Council Entry'!AM$8),ISNUMBER('Council Entry'!AM$9)),MAX(MIN('Council Entry'!AM178,'Council Entry'!AM$9),'Council Entry'!AM$8),'Council Entry'!AM178))))-'Council Entry'!AM$5)/('Council Entry'!AM$6-'Council Entry'!AM$5)),1))),"No data"))</f>
        <v/>
      </c>
      <c r="AN178" s="13">
        <f>IF('Council Entry'!AN178="","",IFERROR(MAX(0,MIN(10,ROUND(IF('Council Entry'!AN$7="Decrease Risk",10-10*((IF('Council Entry'!AN$4="Logarithm",LN(0.001+IF(AND(ISNUMBER('Council Entry'!AN$8),ISNUMBER('Council Entry'!AN$9)),MAX(MIN('Council Entry'!AN178,'Council Entry'!AN$9),'Council Entry'!AN$8),'Council Entry'!AN178)),IF('Council Entry'!AN$4="Exponential",EXP(IF(AND(ISNUMBER('Council Entry'!AN$8),ISNUMBER('Council Entry'!AN$9)),MAX(MIN('Council Entry'!AN178,'Council Entry'!AN$9),'Council Entry'!AN$8),'Council Entry'!AN178)),IF(AND(ISNUMBER('Council Entry'!AN$8),ISNUMBER('Council Entry'!AN$9)),MAX(MIN('Council Entry'!AN178,'Council Entry'!AN$9),'Council Entry'!AN$8),'Council Entry'!AN178))))-'Council Entry'!AN$5)/('Council Entry'!AN$6-'Council Entry'!AN$5),10*((IF('Council Entry'!AN$4="Logarithm",LN(0.001+IF(AND(ISNUMBER('Council Entry'!AN$8),ISNUMBER('Council Entry'!AN$9)),MAX(MIN('Council Entry'!AN178,'Council Entry'!AN$9),'Council Entry'!AN$8),'Council Entry'!AN178)),IF('Council Entry'!AN$4="Exponential",EXP(IF(AND(ISNUMBER('Council Entry'!AN$8),ISNUMBER('Council Entry'!AN$9)),MAX(MIN('Council Entry'!AN178,'Council Entry'!AN$9),'Council Entry'!AN$8),'Council Entry'!AN178)),IF(AND(ISNUMBER('Council Entry'!AN$8),ISNUMBER('Council Entry'!AN$9)),MAX(MIN('Council Entry'!AN178,'Council Entry'!AN$9),'Council Entry'!AN$8),'Council Entry'!AN178))))-'Council Entry'!AN$5)/('Council Entry'!AN$6-'Council Entry'!AN$5)),1))),"No data"))</f>
        <v/>
      </c>
      <c r="AO178" s="13">
        <f>IF('Council Entry'!AO178="","",IFERROR(MAX(0,MIN(10,ROUND(IF('Council Entry'!AO$7="Decrease Risk",10-10*((IF('Council Entry'!AO$4="Logarithm",LN(0.001+IF(AND(ISNUMBER('Council Entry'!AO$8),ISNUMBER('Council Entry'!AO$9)),MAX(MIN('Council Entry'!AO178,'Council Entry'!AO$9),'Council Entry'!AO$8),'Council Entry'!AO178)),IF('Council Entry'!AO$4="Exponential",EXP(IF(AND(ISNUMBER('Council Entry'!AO$8),ISNUMBER('Council Entry'!AO$9)),MAX(MIN('Council Entry'!AO178,'Council Entry'!AO$9),'Council Entry'!AO$8),'Council Entry'!AO178)),IF(AND(ISNUMBER('Council Entry'!AO$8),ISNUMBER('Council Entry'!AO$9)),MAX(MIN('Council Entry'!AO178,'Council Entry'!AO$9),'Council Entry'!AO$8),'Council Entry'!AO178))))-'Council Entry'!AO$5)/('Council Entry'!AO$6-'Council Entry'!AO$5),10*((IF('Council Entry'!AO$4="Logarithm",LN(0.001+IF(AND(ISNUMBER('Council Entry'!AO$8),ISNUMBER('Council Entry'!AO$9)),MAX(MIN('Council Entry'!AO178,'Council Entry'!AO$9),'Council Entry'!AO$8),'Council Entry'!AO178)),IF('Council Entry'!AO$4="Exponential",EXP(IF(AND(ISNUMBER('Council Entry'!AO$8),ISNUMBER('Council Entry'!AO$9)),MAX(MIN('Council Entry'!AO178,'Council Entry'!AO$9),'Council Entry'!AO$8),'Council Entry'!AO178)),IF(AND(ISNUMBER('Council Entry'!AO$8),ISNUMBER('Council Entry'!AO$9)),MAX(MIN('Council Entry'!AO178,'Council Entry'!AO$9),'Council Entry'!AO$8),'Council Entry'!AO178))))-'Council Entry'!AO$5)/('Council Entry'!AO$6-'Council Entry'!AO$5)),1))),"No data"))</f>
        <v/>
      </c>
      <c r="AP178" s="13">
        <f>IF('Council Entry'!AP178="","",IFERROR(MAX(0,MIN(10,ROUND(IF('Council Entry'!AP$7="Decrease Risk",10-10*((IF('Council Entry'!AP$4="Logarithm",LN(0.001+IF(AND(ISNUMBER('Council Entry'!AP$8),ISNUMBER('Council Entry'!AP$9)),MAX(MIN('Council Entry'!AP178,'Council Entry'!AP$9),'Council Entry'!AP$8),'Council Entry'!AP178)),IF('Council Entry'!AP$4="Exponential",EXP(IF(AND(ISNUMBER('Council Entry'!AP$8),ISNUMBER('Council Entry'!AP$9)),MAX(MIN('Council Entry'!AP178,'Council Entry'!AP$9),'Council Entry'!AP$8),'Council Entry'!AP178)),IF(AND(ISNUMBER('Council Entry'!AP$8),ISNUMBER('Council Entry'!AP$9)),MAX(MIN('Council Entry'!AP178,'Council Entry'!AP$9),'Council Entry'!AP$8),'Council Entry'!AP178))))-'Council Entry'!AP$5)/('Council Entry'!AP$6-'Council Entry'!AP$5),10*((IF('Council Entry'!AP$4="Logarithm",LN(0.001+IF(AND(ISNUMBER('Council Entry'!AP$8),ISNUMBER('Council Entry'!AP$9)),MAX(MIN('Council Entry'!AP178,'Council Entry'!AP$9),'Council Entry'!AP$8),'Council Entry'!AP178)),IF('Council Entry'!AP$4="Exponential",EXP(IF(AND(ISNUMBER('Council Entry'!AP$8),ISNUMBER('Council Entry'!AP$9)),MAX(MIN('Council Entry'!AP178,'Council Entry'!AP$9),'Council Entry'!AP$8),'Council Entry'!AP178)),IF(AND(ISNUMBER('Council Entry'!AP$8),ISNUMBER('Council Entry'!AP$9)),MAX(MIN('Council Entry'!AP178,'Council Entry'!AP$9),'Council Entry'!AP$8),'Council Entry'!AP178))))-'Council Entry'!AP$5)/('Council Entry'!AP$6-'Council Entry'!AP$5)),1))),"No data"))</f>
        <v/>
      </c>
      <c r="AQ178" s="13">
        <f>IF('Council Entry'!AQ178="","",IFERROR(MAX(0,MIN(10,ROUND(IF('Council Entry'!AQ$7="Decrease Risk",10-10*((IF('Council Entry'!AQ$4="Logarithm",LN(0.001+IF(AND(ISNUMBER('Council Entry'!AQ$8),ISNUMBER('Council Entry'!AQ$9)),MAX(MIN('Council Entry'!AQ178,'Council Entry'!AQ$9),'Council Entry'!AQ$8),'Council Entry'!AQ178)),IF('Council Entry'!AQ$4="Exponential",EXP(IF(AND(ISNUMBER('Council Entry'!AQ$8),ISNUMBER('Council Entry'!AQ$9)),MAX(MIN('Council Entry'!AQ178,'Council Entry'!AQ$9),'Council Entry'!AQ$8),'Council Entry'!AQ178)),IF(AND(ISNUMBER('Council Entry'!AQ$8),ISNUMBER('Council Entry'!AQ$9)),MAX(MIN('Council Entry'!AQ178,'Council Entry'!AQ$9),'Council Entry'!AQ$8),'Council Entry'!AQ178))))-'Council Entry'!AQ$5)/('Council Entry'!AQ$6-'Council Entry'!AQ$5),10*((IF('Council Entry'!AQ$4="Logarithm",LN(0.001+IF(AND(ISNUMBER('Council Entry'!AQ$8),ISNUMBER('Council Entry'!AQ$9)),MAX(MIN('Council Entry'!AQ178,'Council Entry'!AQ$9),'Council Entry'!AQ$8),'Council Entry'!AQ178)),IF('Council Entry'!AQ$4="Exponential",EXP(IF(AND(ISNUMBER('Council Entry'!AQ$8),ISNUMBER('Council Entry'!AQ$9)),MAX(MIN('Council Entry'!AQ178,'Council Entry'!AQ$9),'Council Entry'!AQ$8),'Council Entry'!AQ178)),IF(AND(ISNUMBER('Council Entry'!AQ$8),ISNUMBER('Council Entry'!AQ$9)),MAX(MIN('Council Entry'!AQ178,'Council Entry'!AQ$9),'Council Entry'!AQ$8),'Council Entry'!AQ178))))-'Council Entry'!AQ$5)/('Council Entry'!AQ$6-'Council Entry'!AQ$5)),1))),"No data"))</f>
        <v/>
      </c>
      <c r="AR178" s="13">
        <f>IF('Council Entry'!AR178="","",IFERROR(MAX(0,MIN(10,ROUND(IF('Council Entry'!AR$7="Decrease Risk",10-10*((IF('Council Entry'!AR$4="Logarithm",LN(0.001+IF(AND(ISNUMBER('Council Entry'!AR$8),ISNUMBER('Council Entry'!AR$9)),MAX(MIN('Council Entry'!AR178,'Council Entry'!AR$9),'Council Entry'!AR$8),'Council Entry'!AR178)),IF('Council Entry'!AR$4="Exponential",EXP(IF(AND(ISNUMBER('Council Entry'!AR$8),ISNUMBER('Council Entry'!AR$9)),MAX(MIN('Council Entry'!AR178,'Council Entry'!AR$9),'Council Entry'!AR$8),'Council Entry'!AR178)),IF(AND(ISNUMBER('Council Entry'!AR$8),ISNUMBER('Council Entry'!AR$9)),MAX(MIN('Council Entry'!AR178,'Council Entry'!AR$9),'Council Entry'!AR$8),'Council Entry'!AR178))))-'Council Entry'!AR$5)/('Council Entry'!AR$6-'Council Entry'!AR$5),10*((IF('Council Entry'!AR$4="Logarithm",LN(0.001+IF(AND(ISNUMBER('Council Entry'!AR$8),ISNUMBER('Council Entry'!AR$9)),MAX(MIN('Council Entry'!AR178,'Council Entry'!AR$9),'Council Entry'!AR$8),'Council Entry'!AR178)),IF('Council Entry'!AR$4="Exponential",EXP(IF(AND(ISNUMBER('Council Entry'!AR$8),ISNUMBER('Council Entry'!AR$9)),MAX(MIN('Council Entry'!AR178,'Council Entry'!AR$9),'Council Entry'!AR$8),'Council Entry'!AR178)),IF(AND(ISNUMBER('Council Entry'!AR$8),ISNUMBER('Council Entry'!AR$9)),MAX(MIN('Council Entry'!AR178,'Council Entry'!AR$9),'Council Entry'!AR$8),'Council Entry'!AR178))))-'Council Entry'!AR$5)/('Council Entry'!AR$6-'Council Entry'!AR$5)),1))),"No data"))</f>
        <v/>
      </c>
      <c r="AS178" s="13">
        <f>IF('Council Entry'!AS178="","",IFERROR(MAX(0,MIN(10,ROUND(IF('Council Entry'!AS$7="Decrease Risk",10-10*((IF('Council Entry'!AS$4="Logarithm",LN(0.001+IF(AND(ISNUMBER('Council Entry'!AS$8),ISNUMBER('Council Entry'!AS$9)),MAX(MIN('Council Entry'!AS178,'Council Entry'!AS$9),'Council Entry'!AS$8),'Council Entry'!AS178)),IF('Council Entry'!AS$4="Exponential",EXP(IF(AND(ISNUMBER('Council Entry'!AS$8),ISNUMBER('Council Entry'!AS$9)),MAX(MIN('Council Entry'!AS178,'Council Entry'!AS$9),'Council Entry'!AS$8),'Council Entry'!AS178)),IF(AND(ISNUMBER('Council Entry'!AS$8),ISNUMBER('Council Entry'!AS$9)),MAX(MIN('Council Entry'!AS178,'Council Entry'!AS$9),'Council Entry'!AS$8),'Council Entry'!AS178))))-'Council Entry'!AS$5)/('Council Entry'!AS$6-'Council Entry'!AS$5),10*((IF('Council Entry'!AS$4="Logarithm",LN(0.001+IF(AND(ISNUMBER('Council Entry'!AS$8),ISNUMBER('Council Entry'!AS$9)),MAX(MIN('Council Entry'!AS178,'Council Entry'!AS$9),'Council Entry'!AS$8),'Council Entry'!AS178)),IF('Council Entry'!AS$4="Exponential",EXP(IF(AND(ISNUMBER('Council Entry'!AS$8),ISNUMBER('Council Entry'!AS$9)),MAX(MIN('Council Entry'!AS178,'Council Entry'!AS$9),'Council Entry'!AS$8),'Council Entry'!AS178)),IF(AND(ISNUMBER('Council Entry'!AS$8),ISNUMBER('Council Entry'!AS$9)),MAX(MIN('Council Entry'!AS178,'Council Entry'!AS$9),'Council Entry'!AS$8),'Council Entry'!AS178))))-'Council Entry'!AS$5)/('Council Entry'!AS$6-'Council Entry'!AS$5)),1))),"No data"))</f>
        <v/>
      </c>
      <c r="AT178" s="13">
        <f>IF('Council Entry'!AT178="","",IFERROR(MAX(0,MIN(10,ROUND(IF('Council Entry'!AT$7="Decrease Risk",10-10*((IF('Council Entry'!AT$4="Logarithm",LN(0.001+IF(AND(ISNUMBER('Council Entry'!AT$8),ISNUMBER('Council Entry'!AT$9)),MAX(MIN('Council Entry'!AT178,'Council Entry'!AT$9),'Council Entry'!AT$8),'Council Entry'!AT178)),IF('Council Entry'!AT$4="Exponential",EXP(IF(AND(ISNUMBER('Council Entry'!AT$8),ISNUMBER('Council Entry'!AT$9)),MAX(MIN('Council Entry'!AT178,'Council Entry'!AT$9),'Council Entry'!AT$8),'Council Entry'!AT178)),IF(AND(ISNUMBER('Council Entry'!AT$8),ISNUMBER('Council Entry'!AT$9)),MAX(MIN('Council Entry'!AT178,'Council Entry'!AT$9),'Council Entry'!AT$8),'Council Entry'!AT178))))-'Council Entry'!AT$5)/('Council Entry'!AT$6-'Council Entry'!AT$5),10*((IF('Council Entry'!AT$4="Logarithm",LN(0.001+IF(AND(ISNUMBER('Council Entry'!AT$8),ISNUMBER('Council Entry'!AT$9)),MAX(MIN('Council Entry'!AT178,'Council Entry'!AT$9),'Council Entry'!AT$8),'Council Entry'!AT178)),IF('Council Entry'!AT$4="Exponential",EXP(IF(AND(ISNUMBER('Council Entry'!AT$8),ISNUMBER('Council Entry'!AT$9)),MAX(MIN('Council Entry'!AT178,'Council Entry'!AT$9),'Council Entry'!AT$8),'Council Entry'!AT178)),IF(AND(ISNUMBER('Council Entry'!AT$8),ISNUMBER('Council Entry'!AT$9)),MAX(MIN('Council Entry'!AT178,'Council Entry'!AT$9),'Council Entry'!AT$8),'Council Entry'!AT178))))-'Council Entry'!AT$5)/('Council Entry'!AT$6-'Council Entry'!AT$5)),1))),"No data"))</f>
        <v/>
      </c>
      <c r="AU178" s="13">
        <f>IF('Council Entry'!AU178="","",IFERROR(MAX(0,MIN(10,ROUND(IF('Council Entry'!AU$7="Decrease Risk",10-10*((IF('Council Entry'!AU$4="Logarithm",LN(0.001+IF(AND(ISNUMBER('Council Entry'!AU$8),ISNUMBER('Council Entry'!AU$9)),MAX(MIN('Council Entry'!AU178,'Council Entry'!AU$9),'Council Entry'!AU$8),'Council Entry'!AU178)),IF('Council Entry'!AU$4="Exponential",EXP(IF(AND(ISNUMBER('Council Entry'!AU$8),ISNUMBER('Council Entry'!AU$9)),MAX(MIN('Council Entry'!AU178,'Council Entry'!AU$9),'Council Entry'!AU$8),'Council Entry'!AU178)),IF(AND(ISNUMBER('Council Entry'!AU$8),ISNUMBER('Council Entry'!AU$9)),MAX(MIN('Council Entry'!AU178,'Council Entry'!AU$9),'Council Entry'!AU$8),'Council Entry'!AU178))))-'Council Entry'!AU$5)/('Council Entry'!AU$6-'Council Entry'!AU$5),10*((IF('Council Entry'!AU$4="Logarithm",LN(0.001+IF(AND(ISNUMBER('Council Entry'!AU$8),ISNUMBER('Council Entry'!AU$9)),MAX(MIN('Council Entry'!AU178,'Council Entry'!AU$9),'Council Entry'!AU$8),'Council Entry'!AU178)),IF('Council Entry'!AU$4="Exponential",EXP(IF(AND(ISNUMBER('Council Entry'!AU$8),ISNUMBER('Council Entry'!AU$9)),MAX(MIN('Council Entry'!AU178,'Council Entry'!AU$9),'Council Entry'!AU$8),'Council Entry'!AU178)),IF(AND(ISNUMBER('Council Entry'!AU$8),ISNUMBER('Council Entry'!AU$9)),MAX(MIN('Council Entry'!AU178,'Council Entry'!AU$9),'Council Entry'!AU$8),'Council Entry'!AU178))))-'Council Entry'!AU$5)/('Council Entry'!AU$6-'Council Entry'!AU$5)),1))),"No data"))</f>
        <v/>
      </c>
      <c r="AV178" s="13">
        <f>IF('Council Entry'!AV178="","",IFERROR(MAX(0,MIN(10,ROUND(IF('Council Entry'!AV$7="Decrease Risk",10-10*((IF('Council Entry'!AV$4="Logarithm",LN(0.001+IF(AND(ISNUMBER('Council Entry'!AV$8),ISNUMBER('Council Entry'!AV$9)),MAX(MIN('Council Entry'!AV178,'Council Entry'!AV$9),'Council Entry'!AV$8),'Council Entry'!AV178)),IF('Council Entry'!AV$4="Exponential",EXP(IF(AND(ISNUMBER('Council Entry'!AV$8),ISNUMBER('Council Entry'!AV$9)),MAX(MIN('Council Entry'!AV178,'Council Entry'!AV$9),'Council Entry'!AV$8),'Council Entry'!AV178)),IF(AND(ISNUMBER('Council Entry'!AV$8),ISNUMBER('Council Entry'!AV$9)),MAX(MIN('Council Entry'!AV178,'Council Entry'!AV$9),'Council Entry'!AV$8),'Council Entry'!AV178))))-'Council Entry'!AV$5)/('Council Entry'!AV$6-'Council Entry'!AV$5),10*((IF('Council Entry'!AV$4="Logarithm",LN(0.001+IF(AND(ISNUMBER('Council Entry'!AV$8),ISNUMBER('Council Entry'!AV$9)),MAX(MIN('Council Entry'!AV178,'Council Entry'!AV$9),'Council Entry'!AV$8),'Council Entry'!AV178)),IF('Council Entry'!AV$4="Exponential",EXP(IF(AND(ISNUMBER('Council Entry'!AV$8),ISNUMBER('Council Entry'!AV$9)),MAX(MIN('Council Entry'!AV178,'Council Entry'!AV$9),'Council Entry'!AV$8),'Council Entry'!AV178)),IF(AND(ISNUMBER('Council Entry'!AV$8),ISNUMBER('Council Entry'!AV$9)),MAX(MIN('Council Entry'!AV178,'Council Entry'!AV$9),'Council Entry'!AV$8),'Council Entry'!AV178))))-'Council Entry'!AV$5)/('Council Entry'!AV$6-'Council Entry'!AV$5)),1))),"No data"))</f>
        <v/>
      </c>
      <c r="AW178" s="13">
        <f>IF('Council Entry'!AW178="","",IFERROR(MAX(0,MIN(10,ROUND(IF('Council Entry'!AW$7="Decrease Risk",10-10*((IF('Council Entry'!AW$4="Logarithm",LN(0.001+IF(AND(ISNUMBER('Council Entry'!AW$8),ISNUMBER('Council Entry'!AW$9)),MAX(MIN('Council Entry'!AW178,'Council Entry'!AW$9),'Council Entry'!AW$8),'Council Entry'!AW178)),IF('Council Entry'!AW$4="Exponential",EXP(IF(AND(ISNUMBER('Council Entry'!AW$8),ISNUMBER('Council Entry'!AW$9)),MAX(MIN('Council Entry'!AW178,'Council Entry'!AW$9),'Council Entry'!AW$8),'Council Entry'!AW178)),IF(AND(ISNUMBER('Council Entry'!AW$8),ISNUMBER('Council Entry'!AW$9)),MAX(MIN('Council Entry'!AW178,'Council Entry'!AW$9),'Council Entry'!AW$8),'Council Entry'!AW178))))-'Council Entry'!AW$5)/('Council Entry'!AW$6-'Council Entry'!AW$5),10*((IF('Council Entry'!AW$4="Logarithm",LN(0.001+IF(AND(ISNUMBER('Council Entry'!AW$8),ISNUMBER('Council Entry'!AW$9)),MAX(MIN('Council Entry'!AW178,'Council Entry'!AW$9),'Council Entry'!AW$8),'Council Entry'!AW178)),IF('Council Entry'!AW$4="Exponential",EXP(IF(AND(ISNUMBER('Council Entry'!AW$8),ISNUMBER('Council Entry'!AW$9)),MAX(MIN('Council Entry'!AW178,'Council Entry'!AW$9),'Council Entry'!AW$8),'Council Entry'!AW178)),IF(AND(ISNUMBER('Council Entry'!AW$8),ISNUMBER('Council Entry'!AW$9)),MAX(MIN('Council Entry'!AW178,'Council Entry'!AW$9),'Council Entry'!AW$8),'Council Entry'!AW178))))-'Council Entry'!AW$5)/('Council Entry'!AW$6-'Council Entry'!AW$5)),1))),"No data"))</f>
        <v/>
      </c>
      <c r="AX178" s="13">
        <f>IF('Council Entry'!AX178="","",IFERROR(MAX(0,MIN(10,ROUND(IF('Council Entry'!AX$7="Decrease Risk",10-10*((IF('Council Entry'!AX$4="Logarithm",LN(0.001+IF(AND(ISNUMBER('Council Entry'!AX$8),ISNUMBER('Council Entry'!AX$9)),MAX(MIN('Council Entry'!AX178,'Council Entry'!AX$9),'Council Entry'!AX$8),'Council Entry'!AX178)),IF('Council Entry'!AX$4="Exponential",EXP(IF(AND(ISNUMBER('Council Entry'!AX$8),ISNUMBER('Council Entry'!AX$9)),MAX(MIN('Council Entry'!AX178,'Council Entry'!AX$9),'Council Entry'!AX$8),'Council Entry'!AX178)),IF(AND(ISNUMBER('Council Entry'!AX$8),ISNUMBER('Council Entry'!AX$9)),MAX(MIN('Council Entry'!AX178,'Council Entry'!AX$9),'Council Entry'!AX$8),'Council Entry'!AX178))))-'Council Entry'!AX$5)/('Council Entry'!AX$6-'Council Entry'!AX$5),10*((IF('Council Entry'!AX$4="Logarithm",LN(0.001+IF(AND(ISNUMBER('Council Entry'!AX$8),ISNUMBER('Council Entry'!AX$9)),MAX(MIN('Council Entry'!AX178,'Council Entry'!AX$9),'Council Entry'!AX$8),'Council Entry'!AX178)),IF('Council Entry'!AX$4="Exponential",EXP(IF(AND(ISNUMBER('Council Entry'!AX$8),ISNUMBER('Council Entry'!AX$9)),MAX(MIN('Council Entry'!AX178,'Council Entry'!AX$9),'Council Entry'!AX$8),'Council Entry'!AX178)),IF(AND(ISNUMBER('Council Entry'!AX$8),ISNUMBER('Council Entry'!AX$9)),MAX(MIN('Council Entry'!AX178,'Council Entry'!AX$9),'Council Entry'!AX$8),'Council Entry'!AX178))))-'Council Entry'!AX$5)/('Council Entry'!AX$6-'Council Entry'!AX$5)),1))),"No data"))</f>
        <v/>
      </c>
      <c r="AY178" s="13">
        <f>IF('Council Entry'!AY178="","",IFERROR(MAX(0,MIN(10,ROUND(IF('Council Entry'!AY$7="Decrease Risk",10-10*((IF('Council Entry'!AY$4="Logarithm",LN(0.001+IF(AND(ISNUMBER('Council Entry'!AY$8),ISNUMBER('Council Entry'!AY$9)),MAX(MIN('Council Entry'!AY178,'Council Entry'!AY$9),'Council Entry'!AY$8),'Council Entry'!AY178)),IF('Council Entry'!AY$4="Exponential",EXP(IF(AND(ISNUMBER('Council Entry'!AY$8),ISNUMBER('Council Entry'!AY$9)),MAX(MIN('Council Entry'!AY178,'Council Entry'!AY$9),'Council Entry'!AY$8),'Council Entry'!AY178)),IF(AND(ISNUMBER('Council Entry'!AY$8),ISNUMBER('Council Entry'!AY$9)),MAX(MIN('Council Entry'!AY178,'Council Entry'!AY$9),'Council Entry'!AY$8),'Council Entry'!AY178))))-'Council Entry'!AY$5)/('Council Entry'!AY$6-'Council Entry'!AY$5),10*((IF('Council Entry'!AY$4="Logarithm",LN(0.001+IF(AND(ISNUMBER('Council Entry'!AY$8),ISNUMBER('Council Entry'!AY$9)),MAX(MIN('Council Entry'!AY178,'Council Entry'!AY$9),'Council Entry'!AY$8),'Council Entry'!AY178)),IF('Council Entry'!AY$4="Exponential",EXP(IF(AND(ISNUMBER('Council Entry'!AY$8),ISNUMBER('Council Entry'!AY$9)),MAX(MIN('Council Entry'!AY178,'Council Entry'!AY$9),'Council Entry'!AY$8),'Council Entry'!AY178)),IF(AND(ISNUMBER('Council Entry'!AY$8),ISNUMBER('Council Entry'!AY$9)),MAX(MIN('Council Entry'!AY178,'Council Entry'!AY$9),'Council Entry'!AY$8),'Council Entry'!AY178))))-'Council Entry'!AY$5)/('Council Entry'!AY$6-'Council Entry'!AY$5)),1))),"No data"))</f>
        <v/>
      </c>
      <c r="AZ178" s="13">
        <f>IF('Council Entry'!AZ178="","",IFERROR(MAX(0,MIN(10,ROUND(IF('Council Entry'!AZ$7="Decrease Risk",10-10*((IF('Council Entry'!AZ$4="Logarithm",LN(0.001+IF(AND(ISNUMBER('Council Entry'!AZ$8),ISNUMBER('Council Entry'!AZ$9)),MAX(MIN('Council Entry'!AZ178,'Council Entry'!AZ$9),'Council Entry'!AZ$8),'Council Entry'!AZ178)),IF('Council Entry'!AZ$4="Exponential",EXP(IF(AND(ISNUMBER('Council Entry'!AZ$8),ISNUMBER('Council Entry'!AZ$9)),MAX(MIN('Council Entry'!AZ178,'Council Entry'!AZ$9),'Council Entry'!AZ$8),'Council Entry'!AZ178)),IF(AND(ISNUMBER('Council Entry'!AZ$8),ISNUMBER('Council Entry'!AZ$9)),MAX(MIN('Council Entry'!AZ178,'Council Entry'!AZ$9),'Council Entry'!AZ$8),'Council Entry'!AZ178))))-'Council Entry'!AZ$5)/('Council Entry'!AZ$6-'Council Entry'!AZ$5),10*((IF('Council Entry'!AZ$4="Logarithm",LN(0.001+IF(AND(ISNUMBER('Council Entry'!AZ$8),ISNUMBER('Council Entry'!AZ$9)),MAX(MIN('Council Entry'!AZ178,'Council Entry'!AZ$9),'Council Entry'!AZ$8),'Council Entry'!AZ178)),IF('Council Entry'!AZ$4="Exponential",EXP(IF(AND(ISNUMBER('Council Entry'!AZ$8),ISNUMBER('Council Entry'!AZ$9)),MAX(MIN('Council Entry'!AZ178,'Council Entry'!AZ$9),'Council Entry'!AZ$8),'Council Entry'!AZ178)),IF(AND(ISNUMBER('Council Entry'!AZ$8),ISNUMBER('Council Entry'!AZ$9)),MAX(MIN('Council Entry'!AZ178,'Council Entry'!AZ$9),'Council Entry'!AZ$8),'Council Entry'!AZ178))))-'Council Entry'!AZ$5)/('Council Entry'!AZ$6-'Council Entry'!AZ$5)),1))),"No data"))</f>
        <v/>
      </c>
      <c r="BA178" s="13">
        <f>IF('Council Entry'!BA178="","",IFERROR(MAX(0,MIN(10,ROUND(IF('Council Entry'!BA$7="Decrease Risk",10-10*((IF('Council Entry'!BA$4="Logarithm",LN(0.001+IF(AND(ISNUMBER('Council Entry'!BA$8),ISNUMBER('Council Entry'!BA$9)),MAX(MIN('Council Entry'!BA178,'Council Entry'!BA$9),'Council Entry'!BA$8),'Council Entry'!BA178)),IF('Council Entry'!BA$4="Exponential",EXP(IF(AND(ISNUMBER('Council Entry'!BA$8),ISNUMBER('Council Entry'!BA$9)),MAX(MIN('Council Entry'!BA178,'Council Entry'!BA$9),'Council Entry'!BA$8),'Council Entry'!BA178)),IF(AND(ISNUMBER('Council Entry'!BA$8),ISNUMBER('Council Entry'!BA$9)),MAX(MIN('Council Entry'!BA178,'Council Entry'!BA$9),'Council Entry'!BA$8),'Council Entry'!BA178))))-'Council Entry'!BA$5)/('Council Entry'!BA$6-'Council Entry'!BA$5),10*((IF('Council Entry'!BA$4="Logarithm",LN(0.001+IF(AND(ISNUMBER('Council Entry'!BA$8),ISNUMBER('Council Entry'!BA$9)),MAX(MIN('Council Entry'!BA178,'Council Entry'!BA$9),'Council Entry'!BA$8),'Council Entry'!BA178)),IF('Council Entry'!BA$4="Exponential",EXP(IF(AND(ISNUMBER('Council Entry'!BA$8),ISNUMBER('Council Entry'!BA$9)),MAX(MIN('Council Entry'!BA178,'Council Entry'!BA$9),'Council Entry'!BA$8),'Council Entry'!BA178)),IF(AND(ISNUMBER('Council Entry'!BA$8),ISNUMBER('Council Entry'!BA$9)),MAX(MIN('Council Entry'!BA178,'Council Entry'!BA$9),'Council Entry'!BA$8),'Council Entry'!BA178))))-'Council Entry'!BA$5)/('Council Entry'!BA$6-'Council Entry'!BA$5)),1))),"No data"))</f>
        <v/>
      </c>
      <c r="BB178" s="13">
        <f>IF('Council Entry'!BB178="","",IFERROR(MAX(0,MIN(10,ROUND(IF('Council Entry'!BB$7="Decrease Risk",10-10*((IF('Council Entry'!BB$4="Logarithm",LN(0.001+IF(AND(ISNUMBER('Council Entry'!BB$8),ISNUMBER('Council Entry'!BB$9)),MAX(MIN('Council Entry'!BB178,'Council Entry'!BB$9),'Council Entry'!BB$8),'Council Entry'!BB178)),IF('Council Entry'!BB$4="Exponential",EXP(IF(AND(ISNUMBER('Council Entry'!BB$8),ISNUMBER('Council Entry'!BB$9)),MAX(MIN('Council Entry'!BB178,'Council Entry'!BB$9),'Council Entry'!BB$8),'Council Entry'!BB178)),IF(AND(ISNUMBER('Council Entry'!BB$8),ISNUMBER('Council Entry'!BB$9)),MAX(MIN('Council Entry'!BB178,'Council Entry'!BB$9),'Council Entry'!BB$8),'Council Entry'!BB178))))-'Council Entry'!BB$5)/('Council Entry'!BB$6-'Council Entry'!BB$5),10*((IF('Council Entry'!BB$4="Logarithm",LN(0.001+IF(AND(ISNUMBER('Council Entry'!BB$8),ISNUMBER('Council Entry'!BB$9)),MAX(MIN('Council Entry'!BB178,'Council Entry'!BB$9),'Council Entry'!BB$8),'Council Entry'!BB178)),IF('Council Entry'!BB$4="Exponential",EXP(IF(AND(ISNUMBER('Council Entry'!BB$8),ISNUMBER('Council Entry'!BB$9)),MAX(MIN('Council Entry'!BB178,'Council Entry'!BB$9),'Council Entry'!BB$8),'Council Entry'!BB178)),IF(AND(ISNUMBER('Council Entry'!BB$8),ISNUMBER('Council Entry'!BB$9)),MAX(MIN('Council Entry'!BB178,'Council Entry'!BB$9),'Council Entry'!BB$8),'Council Entry'!BB178))))-'Council Entry'!BB$5)/('Council Entry'!BB$6-'Council Entry'!BB$5)),1))),"No data"))</f>
        <v/>
      </c>
      <c r="BC178" s="13">
        <f>IF('Council Entry'!BC178="","",IFERROR(MAX(0,MIN(10,ROUND(IF('Council Entry'!BC$7="Decrease Risk",10-10*((IF('Council Entry'!BC$4="Logarithm",LN(0.001+IF(AND(ISNUMBER('Council Entry'!BC$8),ISNUMBER('Council Entry'!BC$9)),MAX(MIN('Council Entry'!BC178,'Council Entry'!BC$9),'Council Entry'!BC$8),'Council Entry'!BC178)),IF('Council Entry'!BC$4="Exponential",EXP(IF(AND(ISNUMBER('Council Entry'!BC$8),ISNUMBER('Council Entry'!BC$9)),MAX(MIN('Council Entry'!BC178,'Council Entry'!BC$9),'Council Entry'!BC$8),'Council Entry'!BC178)),IF(AND(ISNUMBER('Council Entry'!BC$8),ISNUMBER('Council Entry'!BC$9)),MAX(MIN('Council Entry'!BC178,'Council Entry'!BC$9),'Council Entry'!BC$8),'Council Entry'!BC178))))-'Council Entry'!BC$5)/('Council Entry'!BC$6-'Council Entry'!BC$5),10*((IF('Council Entry'!BC$4="Logarithm",LN(0.001+IF(AND(ISNUMBER('Council Entry'!BC$8),ISNUMBER('Council Entry'!BC$9)),MAX(MIN('Council Entry'!BC178,'Council Entry'!BC$9),'Council Entry'!BC$8),'Council Entry'!BC178)),IF('Council Entry'!BC$4="Exponential",EXP(IF(AND(ISNUMBER('Council Entry'!BC$8),ISNUMBER('Council Entry'!BC$9)),MAX(MIN('Council Entry'!BC178,'Council Entry'!BC$9),'Council Entry'!BC$8),'Council Entry'!BC178)),IF(AND(ISNUMBER('Council Entry'!BC$8),ISNUMBER('Council Entry'!BC$9)),MAX(MIN('Council Entry'!BC178,'Council Entry'!BC$9),'Council Entry'!BC$8),'Council Entry'!BC178))))-'Council Entry'!BC$5)/('Council Entry'!BC$6-'Council Entry'!BC$5)),1))),"No data"))</f>
        <v/>
      </c>
      <c r="BD178" s="13">
        <f>IF('Council Entry'!BD178="","",IFERROR(MAX(0,MIN(10,ROUND(IF('Council Entry'!BD$7="Decrease Risk",10-10*((IF('Council Entry'!BD$4="Logarithm",LN(0.001+IF(AND(ISNUMBER('Council Entry'!BD$8),ISNUMBER('Council Entry'!BD$9)),MAX(MIN('Council Entry'!BD178,'Council Entry'!BD$9),'Council Entry'!BD$8),'Council Entry'!BD178)),IF('Council Entry'!BD$4="Exponential",EXP(IF(AND(ISNUMBER('Council Entry'!BD$8),ISNUMBER('Council Entry'!BD$9)),MAX(MIN('Council Entry'!BD178,'Council Entry'!BD$9),'Council Entry'!BD$8),'Council Entry'!BD178)),IF(AND(ISNUMBER('Council Entry'!BD$8),ISNUMBER('Council Entry'!BD$9)),MAX(MIN('Council Entry'!BD178,'Council Entry'!BD$9),'Council Entry'!BD$8),'Council Entry'!BD178))))-'Council Entry'!BD$5)/('Council Entry'!BD$6-'Council Entry'!BD$5),10*((IF('Council Entry'!BD$4="Logarithm",LN(0.001+IF(AND(ISNUMBER('Council Entry'!BD$8),ISNUMBER('Council Entry'!BD$9)),MAX(MIN('Council Entry'!BD178,'Council Entry'!BD$9),'Council Entry'!BD$8),'Council Entry'!BD178)),IF('Council Entry'!BD$4="Exponential",EXP(IF(AND(ISNUMBER('Council Entry'!BD$8),ISNUMBER('Council Entry'!BD$9)),MAX(MIN('Council Entry'!BD178,'Council Entry'!BD$9),'Council Entry'!BD$8),'Council Entry'!BD178)),IF(AND(ISNUMBER('Council Entry'!BD$8),ISNUMBER('Council Entry'!BD$9)),MAX(MIN('Council Entry'!BD178,'Council Entry'!BD$9),'Council Entry'!BD$8),'Council Entry'!BD178))))-'Council Entry'!BD$5)/('Council Entry'!BD$6-'Council Entry'!BD$5)),1))),"No data"))</f>
        <v/>
      </c>
    </row>
    <row r="179">
      <c r="A179" t="inlineStr">
        <is>
          <t>Singida</t>
        </is>
      </c>
      <c r="B179" t="inlineStr">
        <is>
          <t>Mkalama District</t>
        </is>
      </c>
      <c r="C179" t="inlineStr">
        <is>
          <t>C098</t>
        </is>
      </c>
      <c r="D179" s="13">
        <f>IF('Council Entry'!D179="","",IFERROR(MAX(0,MIN(10,ROUND(IF('Council Entry'!D$7="Decrease Risk",10-10*((IF('Council Entry'!D$4="Logarithm",LN(0.001+IF(AND(ISNUMBER('Council Entry'!D$8),ISNUMBER('Council Entry'!D$9)),MAX(MIN('Council Entry'!D179,'Council Entry'!D$9),'Council Entry'!D$8),'Council Entry'!D179)),IF('Council Entry'!D$4="Exponential",EXP(IF(AND(ISNUMBER('Council Entry'!D$8),ISNUMBER('Council Entry'!D$9)),MAX(MIN('Council Entry'!D179,'Council Entry'!D$9),'Council Entry'!D$8),'Council Entry'!D179)),IF(AND(ISNUMBER('Council Entry'!D$8),ISNUMBER('Council Entry'!D$9)),MAX(MIN('Council Entry'!D179,'Council Entry'!D$9),'Council Entry'!D$8),'Council Entry'!D179))))-'Council Entry'!D$5)/('Council Entry'!D$6-'Council Entry'!D$5),10*((IF('Council Entry'!D$4="Logarithm",LN(0.001+IF(AND(ISNUMBER('Council Entry'!D$8),ISNUMBER('Council Entry'!D$9)),MAX(MIN('Council Entry'!D179,'Council Entry'!D$9),'Council Entry'!D$8),'Council Entry'!D179)),IF('Council Entry'!D$4="Exponential",EXP(IF(AND(ISNUMBER('Council Entry'!D$8),ISNUMBER('Council Entry'!D$9)),MAX(MIN('Council Entry'!D179,'Council Entry'!D$9),'Council Entry'!D$8),'Council Entry'!D179)),IF(AND(ISNUMBER('Council Entry'!D$8),ISNUMBER('Council Entry'!D$9)),MAX(MIN('Council Entry'!D179,'Council Entry'!D$9),'Council Entry'!D$8),'Council Entry'!D179))))-'Council Entry'!D$5)/('Council Entry'!D$6-'Council Entry'!D$5)),1))),"No data"))</f>
        <v/>
      </c>
      <c r="E179" s="13">
        <f>IF('Council Entry'!E179="","",IFERROR(MAX(0,MIN(10,ROUND(IF('Council Entry'!E$7="Decrease Risk",10-10*((IF('Council Entry'!E$4="Logarithm",LN(0.001+IF(AND(ISNUMBER('Council Entry'!E$8),ISNUMBER('Council Entry'!E$9)),MAX(MIN('Council Entry'!E179,'Council Entry'!E$9),'Council Entry'!E$8),'Council Entry'!E179)),IF('Council Entry'!E$4="Exponential",EXP(IF(AND(ISNUMBER('Council Entry'!E$8),ISNUMBER('Council Entry'!E$9)),MAX(MIN('Council Entry'!E179,'Council Entry'!E$9),'Council Entry'!E$8),'Council Entry'!E179)),IF(AND(ISNUMBER('Council Entry'!E$8),ISNUMBER('Council Entry'!E$9)),MAX(MIN('Council Entry'!E179,'Council Entry'!E$9),'Council Entry'!E$8),'Council Entry'!E179))))-'Council Entry'!E$5)/('Council Entry'!E$6-'Council Entry'!E$5),10*((IF('Council Entry'!E$4="Logarithm",LN(0.001+IF(AND(ISNUMBER('Council Entry'!E$8),ISNUMBER('Council Entry'!E$9)),MAX(MIN('Council Entry'!E179,'Council Entry'!E$9),'Council Entry'!E$8),'Council Entry'!E179)),IF('Council Entry'!E$4="Exponential",EXP(IF(AND(ISNUMBER('Council Entry'!E$8),ISNUMBER('Council Entry'!E$9)),MAX(MIN('Council Entry'!E179,'Council Entry'!E$9),'Council Entry'!E$8),'Council Entry'!E179)),IF(AND(ISNUMBER('Council Entry'!E$8),ISNUMBER('Council Entry'!E$9)),MAX(MIN('Council Entry'!E179,'Council Entry'!E$9),'Council Entry'!E$8),'Council Entry'!E179))))-'Council Entry'!E$5)/('Council Entry'!E$6-'Council Entry'!E$5)),1))),"No data"))</f>
        <v/>
      </c>
      <c r="F179" s="13">
        <f>IF('Council Entry'!F179="","",IFERROR(MAX(0,MIN(10,ROUND(IF('Council Entry'!F$7="Decrease Risk",10-10*((IF('Council Entry'!F$4="Logarithm",LN(0.001+IF(AND(ISNUMBER('Council Entry'!F$8),ISNUMBER('Council Entry'!F$9)),MAX(MIN('Council Entry'!F179,'Council Entry'!F$9),'Council Entry'!F$8),'Council Entry'!F179)),IF('Council Entry'!F$4="Exponential",EXP(IF(AND(ISNUMBER('Council Entry'!F$8),ISNUMBER('Council Entry'!F$9)),MAX(MIN('Council Entry'!F179,'Council Entry'!F$9),'Council Entry'!F$8),'Council Entry'!F179)),IF(AND(ISNUMBER('Council Entry'!F$8),ISNUMBER('Council Entry'!F$9)),MAX(MIN('Council Entry'!F179,'Council Entry'!F$9),'Council Entry'!F$8),'Council Entry'!F179))))-'Council Entry'!F$5)/('Council Entry'!F$6-'Council Entry'!F$5),10*((IF('Council Entry'!F$4="Logarithm",LN(0.001+IF(AND(ISNUMBER('Council Entry'!F$8),ISNUMBER('Council Entry'!F$9)),MAX(MIN('Council Entry'!F179,'Council Entry'!F$9),'Council Entry'!F$8),'Council Entry'!F179)),IF('Council Entry'!F$4="Exponential",EXP(IF(AND(ISNUMBER('Council Entry'!F$8),ISNUMBER('Council Entry'!F$9)),MAX(MIN('Council Entry'!F179,'Council Entry'!F$9),'Council Entry'!F$8),'Council Entry'!F179)),IF(AND(ISNUMBER('Council Entry'!F$8),ISNUMBER('Council Entry'!F$9)),MAX(MIN('Council Entry'!F179,'Council Entry'!F$9),'Council Entry'!F$8),'Council Entry'!F179))))-'Council Entry'!F$5)/('Council Entry'!F$6-'Council Entry'!F$5)),1))),"No data"))</f>
        <v/>
      </c>
      <c r="G179" s="13">
        <f>IF('Council Entry'!G179="","",IFERROR(MAX(0,MIN(10,ROUND(IF('Council Entry'!G$7="Decrease Risk",10-10*((IF('Council Entry'!G$4="Logarithm",LN(0.001+IF(AND(ISNUMBER('Council Entry'!G$8),ISNUMBER('Council Entry'!G$9)),MAX(MIN('Council Entry'!G179,'Council Entry'!G$9),'Council Entry'!G$8),'Council Entry'!G179)),IF('Council Entry'!G$4="Exponential",EXP(IF(AND(ISNUMBER('Council Entry'!G$8),ISNUMBER('Council Entry'!G$9)),MAX(MIN('Council Entry'!G179,'Council Entry'!G$9),'Council Entry'!G$8),'Council Entry'!G179)),IF(AND(ISNUMBER('Council Entry'!G$8),ISNUMBER('Council Entry'!G$9)),MAX(MIN('Council Entry'!G179,'Council Entry'!G$9),'Council Entry'!G$8),'Council Entry'!G179))))-'Council Entry'!G$5)/('Council Entry'!G$6-'Council Entry'!G$5),10*((IF('Council Entry'!G$4="Logarithm",LN(0.001+IF(AND(ISNUMBER('Council Entry'!G$8),ISNUMBER('Council Entry'!G$9)),MAX(MIN('Council Entry'!G179,'Council Entry'!G$9),'Council Entry'!G$8),'Council Entry'!G179)),IF('Council Entry'!G$4="Exponential",EXP(IF(AND(ISNUMBER('Council Entry'!G$8),ISNUMBER('Council Entry'!G$9)),MAX(MIN('Council Entry'!G179,'Council Entry'!G$9),'Council Entry'!G$8),'Council Entry'!G179)),IF(AND(ISNUMBER('Council Entry'!G$8),ISNUMBER('Council Entry'!G$9)),MAX(MIN('Council Entry'!G179,'Council Entry'!G$9),'Council Entry'!G$8),'Council Entry'!G179))))-'Council Entry'!G$5)/('Council Entry'!G$6-'Council Entry'!G$5)),1))),"No data"))</f>
        <v/>
      </c>
      <c r="H179" s="13">
        <f>IF('Council Entry'!H179="","",IFERROR(MAX(0,MIN(10,ROUND(IF('Council Entry'!H$7="Decrease Risk",10-10*((IF('Council Entry'!H$4="Logarithm",LN(0.001+IF(AND(ISNUMBER('Council Entry'!H$8),ISNUMBER('Council Entry'!H$9)),MAX(MIN('Council Entry'!H179,'Council Entry'!H$9),'Council Entry'!H$8),'Council Entry'!H179)),IF('Council Entry'!H$4="Exponential",EXP(IF(AND(ISNUMBER('Council Entry'!H$8),ISNUMBER('Council Entry'!H$9)),MAX(MIN('Council Entry'!H179,'Council Entry'!H$9),'Council Entry'!H$8),'Council Entry'!H179)),IF(AND(ISNUMBER('Council Entry'!H$8),ISNUMBER('Council Entry'!H$9)),MAX(MIN('Council Entry'!H179,'Council Entry'!H$9),'Council Entry'!H$8),'Council Entry'!H179))))-'Council Entry'!H$5)/('Council Entry'!H$6-'Council Entry'!H$5),10*((IF('Council Entry'!H$4="Logarithm",LN(0.001+IF(AND(ISNUMBER('Council Entry'!H$8),ISNUMBER('Council Entry'!H$9)),MAX(MIN('Council Entry'!H179,'Council Entry'!H$9),'Council Entry'!H$8),'Council Entry'!H179)),IF('Council Entry'!H$4="Exponential",EXP(IF(AND(ISNUMBER('Council Entry'!H$8),ISNUMBER('Council Entry'!H$9)),MAX(MIN('Council Entry'!H179,'Council Entry'!H$9),'Council Entry'!H$8),'Council Entry'!H179)),IF(AND(ISNUMBER('Council Entry'!H$8),ISNUMBER('Council Entry'!H$9)),MAX(MIN('Council Entry'!H179,'Council Entry'!H$9),'Council Entry'!H$8),'Council Entry'!H179))))-'Council Entry'!H$5)/('Council Entry'!H$6-'Council Entry'!H$5)),1))),"No data"))</f>
        <v/>
      </c>
      <c r="I179" s="13">
        <f>IF('Council Entry'!I179="","",IFERROR(MAX(0,MIN(10,ROUND(IF('Council Entry'!I$7="Decrease Risk",10-10*((IF('Council Entry'!I$4="Logarithm",LN(0.001+IF(AND(ISNUMBER('Council Entry'!I$8),ISNUMBER('Council Entry'!I$9)),MAX(MIN('Council Entry'!I179,'Council Entry'!I$9),'Council Entry'!I$8),'Council Entry'!I179)),IF('Council Entry'!I$4="Exponential",EXP(IF(AND(ISNUMBER('Council Entry'!I$8),ISNUMBER('Council Entry'!I$9)),MAX(MIN('Council Entry'!I179,'Council Entry'!I$9),'Council Entry'!I$8),'Council Entry'!I179)),IF(AND(ISNUMBER('Council Entry'!I$8),ISNUMBER('Council Entry'!I$9)),MAX(MIN('Council Entry'!I179,'Council Entry'!I$9),'Council Entry'!I$8),'Council Entry'!I179))))-'Council Entry'!I$5)/('Council Entry'!I$6-'Council Entry'!I$5),10*((IF('Council Entry'!I$4="Logarithm",LN(0.001+IF(AND(ISNUMBER('Council Entry'!I$8),ISNUMBER('Council Entry'!I$9)),MAX(MIN('Council Entry'!I179,'Council Entry'!I$9),'Council Entry'!I$8),'Council Entry'!I179)),IF('Council Entry'!I$4="Exponential",EXP(IF(AND(ISNUMBER('Council Entry'!I$8),ISNUMBER('Council Entry'!I$9)),MAX(MIN('Council Entry'!I179,'Council Entry'!I$9),'Council Entry'!I$8),'Council Entry'!I179)),IF(AND(ISNUMBER('Council Entry'!I$8),ISNUMBER('Council Entry'!I$9)),MAX(MIN('Council Entry'!I179,'Council Entry'!I$9),'Council Entry'!I$8),'Council Entry'!I179))))-'Council Entry'!I$5)/('Council Entry'!I$6-'Council Entry'!I$5)),1))),"No data"))</f>
        <v/>
      </c>
      <c r="J179" s="13">
        <f>IF('Council Entry'!J179="","",IFERROR(MAX(0,MIN(10,ROUND(IF('Council Entry'!J$7="Decrease Risk",10-10*((IF('Council Entry'!J$4="Logarithm",LN(0.001+IF(AND(ISNUMBER('Council Entry'!J$8),ISNUMBER('Council Entry'!J$9)),MAX(MIN('Council Entry'!J179,'Council Entry'!J$9),'Council Entry'!J$8),'Council Entry'!J179)),IF('Council Entry'!J$4="Exponential",EXP(IF(AND(ISNUMBER('Council Entry'!J$8),ISNUMBER('Council Entry'!J$9)),MAX(MIN('Council Entry'!J179,'Council Entry'!J$9),'Council Entry'!J$8),'Council Entry'!J179)),IF(AND(ISNUMBER('Council Entry'!J$8),ISNUMBER('Council Entry'!J$9)),MAX(MIN('Council Entry'!J179,'Council Entry'!J$9),'Council Entry'!J$8),'Council Entry'!J179))))-'Council Entry'!J$5)/('Council Entry'!J$6-'Council Entry'!J$5),10*((IF('Council Entry'!J$4="Logarithm",LN(0.001+IF(AND(ISNUMBER('Council Entry'!J$8),ISNUMBER('Council Entry'!J$9)),MAX(MIN('Council Entry'!J179,'Council Entry'!J$9),'Council Entry'!J$8),'Council Entry'!J179)),IF('Council Entry'!J$4="Exponential",EXP(IF(AND(ISNUMBER('Council Entry'!J$8),ISNUMBER('Council Entry'!J$9)),MAX(MIN('Council Entry'!J179,'Council Entry'!J$9),'Council Entry'!J$8),'Council Entry'!J179)),IF(AND(ISNUMBER('Council Entry'!J$8),ISNUMBER('Council Entry'!J$9)),MAX(MIN('Council Entry'!J179,'Council Entry'!J$9),'Council Entry'!J$8),'Council Entry'!J179))))-'Council Entry'!J$5)/('Council Entry'!J$6-'Council Entry'!J$5)),1))),"No data"))</f>
        <v/>
      </c>
      <c r="K179" s="13">
        <f>IF('Council Entry'!K179="","",IFERROR(MAX(0,MIN(10,ROUND(IF('Council Entry'!K$7="Decrease Risk",10-10*((IF('Council Entry'!K$4="Logarithm",LN(0.001+IF(AND(ISNUMBER('Council Entry'!K$8),ISNUMBER('Council Entry'!K$9)),MAX(MIN('Council Entry'!K179,'Council Entry'!K$9),'Council Entry'!K$8),'Council Entry'!K179)),IF('Council Entry'!K$4="Exponential",EXP(IF(AND(ISNUMBER('Council Entry'!K$8),ISNUMBER('Council Entry'!K$9)),MAX(MIN('Council Entry'!K179,'Council Entry'!K$9),'Council Entry'!K$8),'Council Entry'!K179)),IF(AND(ISNUMBER('Council Entry'!K$8),ISNUMBER('Council Entry'!K$9)),MAX(MIN('Council Entry'!K179,'Council Entry'!K$9),'Council Entry'!K$8),'Council Entry'!K179))))-'Council Entry'!K$5)/('Council Entry'!K$6-'Council Entry'!K$5),10*((IF('Council Entry'!K$4="Logarithm",LN(0.001+IF(AND(ISNUMBER('Council Entry'!K$8),ISNUMBER('Council Entry'!K$9)),MAX(MIN('Council Entry'!K179,'Council Entry'!K$9),'Council Entry'!K$8),'Council Entry'!K179)),IF('Council Entry'!K$4="Exponential",EXP(IF(AND(ISNUMBER('Council Entry'!K$8),ISNUMBER('Council Entry'!K$9)),MAX(MIN('Council Entry'!K179,'Council Entry'!K$9),'Council Entry'!K$8),'Council Entry'!K179)),IF(AND(ISNUMBER('Council Entry'!K$8),ISNUMBER('Council Entry'!K$9)),MAX(MIN('Council Entry'!K179,'Council Entry'!K$9),'Council Entry'!K$8),'Council Entry'!K179))))-'Council Entry'!K$5)/('Council Entry'!K$6-'Council Entry'!K$5)),1))),"No data"))</f>
        <v/>
      </c>
      <c r="L179" s="13">
        <f>IF('Council Entry'!L179="","",IFERROR(MAX(0,MIN(10,ROUND(IF('Council Entry'!L$7="Decrease Risk",10-10*((IF('Council Entry'!L$4="Logarithm",LN(0.001+IF(AND(ISNUMBER('Council Entry'!L$8),ISNUMBER('Council Entry'!L$9)),MAX(MIN('Council Entry'!L179,'Council Entry'!L$9),'Council Entry'!L$8),'Council Entry'!L179)),IF('Council Entry'!L$4="Exponential",EXP(IF(AND(ISNUMBER('Council Entry'!L$8),ISNUMBER('Council Entry'!L$9)),MAX(MIN('Council Entry'!L179,'Council Entry'!L$9),'Council Entry'!L$8),'Council Entry'!L179)),IF(AND(ISNUMBER('Council Entry'!L$8),ISNUMBER('Council Entry'!L$9)),MAX(MIN('Council Entry'!L179,'Council Entry'!L$9),'Council Entry'!L$8),'Council Entry'!L179))))-'Council Entry'!L$5)/('Council Entry'!L$6-'Council Entry'!L$5),10*((IF('Council Entry'!L$4="Logarithm",LN(0.001+IF(AND(ISNUMBER('Council Entry'!L$8),ISNUMBER('Council Entry'!L$9)),MAX(MIN('Council Entry'!L179,'Council Entry'!L$9),'Council Entry'!L$8),'Council Entry'!L179)),IF('Council Entry'!L$4="Exponential",EXP(IF(AND(ISNUMBER('Council Entry'!L$8),ISNUMBER('Council Entry'!L$9)),MAX(MIN('Council Entry'!L179,'Council Entry'!L$9),'Council Entry'!L$8),'Council Entry'!L179)),IF(AND(ISNUMBER('Council Entry'!L$8),ISNUMBER('Council Entry'!L$9)),MAX(MIN('Council Entry'!L179,'Council Entry'!L$9),'Council Entry'!L$8),'Council Entry'!L179))))-'Council Entry'!L$5)/('Council Entry'!L$6-'Council Entry'!L$5)),1))),"No data"))</f>
        <v/>
      </c>
      <c r="M179" s="13">
        <f>IF('Council Entry'!M179="","",IFERROR(MAX(0,MIN(10,ROUND(IF('Council Entry'!M$7="Decrease Risk",10-10*((IF('Council Entry'!M$4="Logarithm",LN(0.001+IF(AND(ISNUMBER('Council Entry'!M$8),ISNUMBER('Council Entry'!M$9)),MAX(MIN('Council Entry'!M179,'Council Entry'!M$9),'Council Entry'!M$8),'Council Entry'!M179)),IF('Council Entry'!M$4="Exponential",EXP(IF(AND(ISNUMBER('Council Entry'!M$8),ISNUMBER('Council Entry'!M$9)),MAX(MIN('Council Entry'!M179,'Council Entry'!M$9),'Council Entry'!M$8),'Council Entry'!M179)),IF(AND(ISNUMBER('Council Entry'!M$8),ISNUMBER('Council Entry'!M$9)),MAX(MIN('Council Entry'!M179,'Council Entry'!M$9),'Council Entry'!M$8),'Council Entry'!M179))))-'Council Entry'!M$5)/('Council Entry'!M$6-'Council Entry'!M$5),10*((IF('Council Entry'!M$4="Logarithm",LN(0.001+IF(AND(ISNUMBER('Council Entry'!M$8),ISNUMBER('Council Entry'!M$9)),MAX(MIN('Council Entry'!M179,'Council Entry'!M$9),'Council Entry'!M$8),'Council Entry'!M179)),IF('Council Entry'!M$4="Exponential",EXP(IF(AND(ISNUMBER('Council Entry'!M$8),ISNUMBER('Council Entry'!M$9)),MAX(MIN('Council Entry'!M179,'Council Entry'!M$9),'Council Entry'!M$8),'Council Entry'!M179)),IF(AND(ISNUMBER('Council Entry'!M$8),ISNUMBER('Council Entry'!M$9)),MAX(MIN('Council Entry'!M179,'Council Entry'!M$9),'Council Entry'!M$8),'Council Entry'!M179))))-'Council Entry'!M$5)/('Council Entry'!M$6-'Council Entry'!M$5)),1))),"No data"))</f>
        <v/>
      </c>
      <c r="N179" s="13">
        <f>IF('Council Entry'!N179="","",IFERROR(MAX(0,MIN(10,ROUND(IF('Council Entry'!N$7="Decrease Risk",10-10*((IF('Council Entry'!N$4="Logarithm",LN(0.001+IF(AND(ISNUMBER('Council Entry'!N$8),ISNUMBER('Council Entry'!N$9)),MAX(MIN('Council Entry'!N179,'Council Entry'!N$9),'Council Entry'!N$8),'Council Entry'!N179)),IF('Council Entry'!N$4="Exponential",EXP(IF(AND(ISNUMBER('Council Entry'!N$8),ISNUMBER('Council Entry'!N$9)),MAX(MIN('Council Entry'!N179,'Council Entry'!N$9),'Council Entry'!N$8),'Council Entry'!N179)),IF(AND(ISNUMBER('Council Entry'!N$8),ISNUMBER('Council Entry'!N$9)),MAX(MIN('Council Entry'!N179,'Council Entry'!N$9),'Council Entry'!N$8),'Council Entry'!N179))))-'Council Entry'!N$5)/('Council Entry'!N$6-'Council Entry'!N$5),10*((IF('Council Entry'!N$4="Logarithm",LN(0.001+IF(AND(ISNUMBER('Council Entry'!N$8),ISNUMBER('Council Entry'!N$9)),MAX(MIN('Council Entry'!N179,'Council Entry'!N$9),'Council Entry'!N$8),'Council Entry'!N179)),IF('Council Entry'!N$4="Exponential",EXP(IF(AND(ISNUMBER('Council Entry'!N$8),ISNUMBER('Council Entry'!N$9)),MAX(MIN('Council Entry'!N179,'Council Entry'!N$9),'Council Entry'!N$8),'Council Entry'!N179)),IF(AND(ISNUMBER('Council Entry'!N$8),ISNUMBER('Council Entry'!N$9)),MAX(MIN('Council Entry'!N179,'Council Entry'!N$9),'Council Entry'!N$8),'Council Entry'!N179))))-'Council Entry'!N$5)/('Council Entry'!N$6-'Council Entry'!N$5)),1))),"No data"))</f>
        <v/>
      </c>
      <c r="O179" s="13">
        <f>IF('Council Entry'!O179="","",IFERROR(MAX(0,MIN(10,ROUND(IF('Council Entry'!O$7="Decrease Risk",10-10*((IF('Council Entry'!O$4="Logarithm",LN(0.001+IF(AND(ISNUMBER('Council Entry'!O$8),ISNUMBER('Council Entry'!O$9)),MAX(MIN('Council Entry'!O179,'Council Entry'!O$9),'Council Entry'!O$8),'Council Entry'!O179)),IF('Council Entry'!O$4="Exponential",EXP(IF(AND(ISNUMBER('Council Entry'!O$8),ISNUMBER('Council Entry'!O$9)),MAX(MIN('Council Entry'!O179,'Council Entry'!O$9),'Council Entry'!O$8),'Council Entry'!O179)),IF(AND(ISNUMBER('Council Entry'!O$8),ISNUMBER('Council Entry'!O$9)),MAX(MIN('Council Entry'!O179,'Council Entry'!O$9),'Council Entry'!O$8),'Council Entry'!O179))))-'Council Entry'!O$5)/('Council Entry'!O$6-'Council Entry'!O$5),10*((IF('Council Entry'!O$4="Logarithm",LN(0.001+IF(AND(ISNUMBER('Council Entry'!O$8),ISNUMBER('Council Entry'!O$9)),MAX(MIN('Council Entry'!O179,'Council Entry'!O$9),'Council Entry'!O$8),'Council Entry'!O179)),IF('Council Entry'!O$4="Exponential",EXP(IF(AND(ISNUMBER('Council Entry'!O$8),ISNUMBER('Council Entry'!O$9)),MAX(MIN('Council Entry'!O179,'Council Entry'!O$9),'Council Entry'!O$8),'Council Entry'!O179)),IF(AND(ISNUMBER('Council Entry'!O$8),ISNUMBER('Council Entry'!O$9)),MAX(MIN('Council Entry'!O179,'Council Entry'!O$9),'Council Entry'!O$8),'Council Entry'!O179))))-'Council Entry'!O$5)/('Council Entry'!O$6-'Council Entry'!O$5)),1))),"No data"))</f>
        <v/>
      </c>
      <c r="P179" s="13">
        <f>IF('Council Entry'!P179="","",IFERROR(MAX(0,MIN(10,ROUND(IF('Council Entry'!P$7="Decrease Risk",10-10*((IF('Council Entry'!P$4="Logarithm",LN(0.001+IF(AND(ISNUMBER('Council Entry'!P$8),ISNUMBER('Council Entry'!P$9)),MAX(MIN('Council Entry'!P179,'Council Entry'!P$9),'Council Entry'!P$8),'Council Entry'!P179)),IF('Council Entry'!P$4="Exponential",EXP(IF(AND(ISNUMBER('Council Entry'!P$8),ISNUMBER('Council Entry'!P$9)),MAX(MIN('Council Entry'!P179,'Council Entry'!P$9),'Council Entry'!P$8),'Council Entry'!P179)),IF(AND(ISNUMBER('Council Entry'!P$8),ISNUMBER('Council Entry'!P$9)),MAX(MIN('Council Entry'!P179,'Council Entry'!P$9),'Council Entry'!P$8),'Council Entry'!P179))))-'Council Entry'!P$5)/('Council Entry'!P$6-'Council Entry'!P$5),10*((IF('Council Entry'!P$4="Logarithm",LN(0.001+IF(AND(ISNUMBER('Council Entry'!P$8),ISNUMBER('Council Entry'!P$9)),MAX(MIN('Council Entry'!P179,'Council Entry'!P$9),'Council Entry'!P$8),'Council Entry'!P179)),IF('Council Entry'!P$4="Exponential",EXP(IF(AND(ISNUMBER('Council Entry'!P$8),ISNUMBER('Council Entry'!P$9)),MAX(MIN('Council Entry'!P179,'Council Entry'!P$9),'Council Entry'!P$8),'Council Entry'!P179)),IF(AND(ISNUMBER('Council Entry'!P$8),ISNUMBER('Council Entry'!P$9)),MAX(MIN('Council Entry'!P179,'Council Entry'!P$9),'Council Entry'!P$8),'Council Entry'!P179))))-'Council Entry'!P$5)/('Council Entry'!P$6-'Council Entry'!P$5)),1))),"No data"))</f>
        <v/>
      </c>
      <c r="Q179" s="13">
        <f>IF('Council Entry'!Q179="","",IFERROR(MAX(0,MIN(10,ROUND(IF('Council Entry'!Q$7="Decrease Risk",10-10*((IF('Council Entry'!Q$4="Logarithm",LN(0.001+IF(AND(ISNUMBER('Council Entry'!Q$8),ISNUMBER('Council Entry'!Q$9)),MAX(MIN('Council Entry'!Q179,'Council Entry'!Q$9),'Council Entry'!Q$8),'Council Entry'!Q179)),IF('Council Entry'!Q$4="Exponential",EXP(IF(AND(ISNUMBER('Council Entry'!Q$8),ISNUMBER('Council Entry'!Q$9)),MAX(MIN('Council Entry'!Q179,'Council Entry'!Q$9),'Council Entry'!Q$8),'Council Entry'!Q179)),IF(AND(ISNUMBER('Council Entry'!Q$8),ISNUMBER('Council Entry'!Q$9)),MAX(MIN('Council Entry'!Q179,'Council Entry'!Q$9),'Council Entry'!Q$8),'Council Entry'!Q179))))-'Council Entry'!Q$5)/('Council Entry'!Q$6-'Council Entry'!Q$5),10*((IF('Council Entry'!Q$4="Logarithm",LN(0.001+IF(AND(ISNUMBER('Council Entry'!Q$8),ISNUMBER('Council Entry'!Q$9)),MAX(MIN('Council Entry'!Q179,'Council Entry'!Q$9),'Council Entry'!Q$8),'Council Entry'!Q179)),IF('Council Entry'!Q$4="Exponential",EXP(IF(AND(ISNUMBER('Council Entry'!Q$8),ISNUMBER('Council Entry'!Q$9)),MAX(MIN('Council Entry'!Q179,'Council Entry'!Q$9),'Council Entry'!Q$8),'Council Entry'!Q179)),IF(AND(ISNUMBER('Council Entry'!Q$8),ISNUMBER('Council Entry'!Q$9)),MAX(MIN('Council Entry'!Q179,'Council Entry'!Q$9),'Council Entry'!Q$8),'Council Entry'!Q179))))-'Council Entry'!Q$5)/('Council Entry'!Q$6-'Council Entry'!Q$5)),1))),"No data"))</f>
        <v/>
      </c>
      <c r="R179" s="13">
        <f>IF('Council Entry'!R179="","",IFERROR(MAX(0,MIN(10,ROUND(IF('Council Entry'!R$7="Decrease Risk",10-10*((IF('Council Entry'!R$4="Logarithm",LN(0.001+IF(AND(ISNUMBER('Council Entry'!R$8),ISNUMBER('Council Entry'!R$9)),MAX(MIN('Council Entry'!R179,'Council Entry'!R$9),'Council Entry'!R$8),'Council Entry'!R179)),IF('Council Entry'!R$4="Exponential",EXP(IF(AND(ISNUMBER('Council Entry'!R$8),ISNUMBER('Council Entry'!R$9)),MAX(MIN('Council Entry'!R179,'Council Entry'!R$9),'Council Entry'!R$8),'Council Entry'!R179)),IF(AND(ISNUMBER('Council Entry'!R$8),ISNUMBER('Council Entry'!R$9)),MAX(MIN('Council Entry'!R179,'Council Entry'!R$9),'Council Entry'!R$8),'Council Entry'!R179))))-'Council Entry'!R$5)/('Council Entry'!R$6-'Council Entry'!R$5),10*((IF('Council Entry'!R$4="Logarithm",LN(0.001+IF(AND(ISNUMBER('Council Entry'!R$8),ISNUMBER('Council Entry'!R$9)),MAX(MIN('Council Entry'!R179,'Council Entry'!R$9),'Council Entry'!R$8),'Council Entry'!R179)),IF('Council Entry'!R$4="Exponential",EXP(IF(AND(ISNUMBER('Council Entry'!R$8),ISNUMBER('Council Entry'!R$9)),MAX(MIN('Council Entry'!R179,'Council Entry'!R$9),'Council Entry'!R$8),'Council Entry'!R179)),IF(AND(ISNUMBER('Council Entry'!R$8),ISNUMBER('Council Entry'!R$9)),MAX(MIN('Council Entry'!R179,'Council Entry'!R$9),'Council Entry'!R$8),'Council Entry'!R179))))-'Council Entry'!R$5)/('Council Entry'!R$6-'Council Entry'!R$5)),1))),"No data"))</f>
        <v/>
      </c>
      <c r="S179" s="13">
        <f>IF('Council Entry'!S179="","",IFERROR(MAX(0,MIN(10,ROUND(IF('Council Entry'!S$7="Decrease Risk",10-10*((IF('Council Entry'!S$4="Logarithm",LN(0.001+IF(AND(ISNUMBER('Council Entry'!S$8),ISNUMBER('Council Entry'!S$9)),MAX(MIN('Council Entry'!S179,'Council Entry'!S$9),'Council Entry'!S$8),'Council Entry'!S179)),IF('Council Entry'!S$4="Exponential",EXP(IF(AND(ISNUMBER('Council Entry'!S$8),ISNUMBER('Council Entry'!S$9)),MAX(MIN('Council Entry'!S179,'Council Entry'!S$9),'Council Entry'!S$8),'Council Entry'!S179)),IF(AND(ISNUMBER('Council Entry'!S$8),ISNUMBER('Council Entry'!S$9)),MAX(MIN('Council Entry'!S179,'Council Entry'!S$9),'Council Entry'!S$8),'Council Entry'!S179))))-'Council Entry'!S$5)/('Council Entry'!S$6-'Council Entry'!S$5),10*((IF('Council Entry'!S$4="Logarithm",LN(0.001+IF(AND(ISNUMBER('Council Entry'!S$8),ISNUMBER('Council Entry'!S$9)),MAX(MIN('Council Entry'!S179,'Council Entry'!S$9),'Council Entry'!S$8),'Council Entry'!S179)),IF('Council Entry'!S$4="Exponential",EXP(IF(AND(ISNUMBER('Council Entry'!S$8),ISNUMBER('Council Entry'!S$9)),MAX(MIN('Council Entry'!S179,'Council Entry'!S$9),'Council Entry'!S$8),'Council Entry'!S179)),IF(AND(ISNUMBER('Council Entry'!S$8),ISNUMBER('Council Entry'!S$9)),MAX(MIN('Council Entry'!S179,'Council Entry'!S$9),'Council Entry'!S$8),'Council Entry'!S179))))-'Council Entry'!S$5)/('Council Entry'!S$6-'Council Entry'!S$5)),1))),"No data"))</f>
        <v/>
      </c>
      <c r="T179" s="13">
        <f>IF('Council Entry'!T179="","",IFERROR(MAX(0,MIN(10,ROUND(IF('Council Entry'!T$7="Decrease Risk",10-10*((IF('Council Entry'!T$4="Logarithm",LN(0.001+IF(AND(ISNUMBER('Council Entry'!T$8),ISNUMBER('Council Entry'!T$9)),MAX(MIN('Council Entry'!T179,'Council Entry'!T$9),'Council Entry'!T$8),'Council Entry'!T179)),IF('Council Entry'!T$4="Exponential",EXP(IF(AND(ISNUMBER('Council Entry'!T$8),ISNUMBER('Council Entry'!T$9)),MAX(MIN('Council Entry'!T179,'Council Entry'!T$9),'Council Entry'!T$8),'Council Entry'!T179)),IF(AND(ISNUMBER('Council Entry'!T$8),ISNUMBER('Council Entry'!T$9)),MAX(MIN('Council Entry'!T179,'Council Entry'!T$9),'Council Entry'!T$8),'Council Entry'!T179))))-'Council Entry'!T$5)/('Council Entry'!T$6-'Council Entry'!T$5),10*((IF('Council Entry'!T$4="Logarithm",LN(0.001+IF(AND(ISNUMBER('Council Entry'!T$8),ISNUMBER('Council Entry'!T$9)),MAX(MIN('Council Entry'!T179,'Council Entry'!T$9),'Council Entry'!T$8),'Council Entry'!T179)),IF('Council Entry'!T$4="Exponential",EXP(IF(AND(ISNUMBER('Council Entry'!T$8),ISNUMBER('Council Entry'!T$9)),MAX(MIN('Council Entry'!T179,'Council Entry'!T$9),'Council Entry'!T$8),'Council Entry'!T179)),IF(AND(ISNUMBER('Council Entry'!T$8),ISNUMBER('Council Entry'!T$9)),MAX(MIN('Council Entry'!T179,'Council Entry'!T$9),'Council Entry'!T$8),'Council Entry'!T179))))-'Council Entry'!T$5)/('Council Entry'!T$6-'Council Entry'!T$5)),1))),"No data"))</f>
        <v/>
      </c>
      <c r="U179" s="13">
        <f>IF('Council Entry'!U179="","",IFERROR(MAX(0,MIN(10,ROUND(IF('Council Entry'!U$7="Decrease Risk",10-10*((IF('Council Entry'!U$4="Logarithm",LN(0.001+IF(AND(ISNUMBER('Council Entry'!U$8),ISNUMBER('Council Entry'!U$9)),MAX(MIN('Council Entry'!U179,'Council Entry'!U$9),'Council Entry'!U$8),'Council Entry'!U179)),IF('Council Entry'!U$4="Exponential",EXP(IF(AND(ISNUMBER('Council Entry'!U$8),ISNUMBER('Council Entry'!U$9)),MAX(MIN('Council Entry'!U179,'Council Entry'!U$9),'Council Entry'!U$8),'Council Entry'!U179)),IF(AND(ISNUMBER('Council Entry'!U$8),ISNUMBER('Council Entry'!U$9)),MAX(MIN('Council Entry'!U179,'Council Entry'!U$9),'Council Entry'!U$8),'Council Entry'!U179))))-'Council Entry'!U$5)/('Council Entry'!U$6-'Council Entry'!U$5),10*((IF('Council Entry'!U$4="Logarithm",LN(0.001+IF(AND(ISNUMBER('Council Entry'!U$8),ISNUMBER('Council Entry'!U$9)),MAX(MIN('Council Entry'!U179,'Council Entry'!U$9),'Council Entry'!U$8),'Council Entry'!U179)),IF('Council Entry'!U$4="Exponential",EXP(IF(AND(ISNUMBER('Council Entry'!U$8),ISNUMBER('Council Entry'!U$9)),MAX(MIN('Council Entry'!U179,'Council Entry'!U$9),'Council Entry'!U$8),'Council Entry'!U179)),IF(AND(ISNUMBER('Council Entry'!U$8),ISNUMBER('Council Entry'!U$9)),MAX(MIN('Council Entry'!U179,'Council Entry'!U$9),'Council Entry'!U$8),'Council Entry'!U179))))-'Council Entry'!U$5)/('Council Entry'!U$6-'Council Entry'!U$5)),1))),"No data"))</f>
        <v/>
      </c>
      <c r="V179" s="13">
        <f>IF('Council Entry'!V179="","",IFERROR(MAX(0,MIN(10,ROUND(IF('Council Entry'!V$7="Decrease Risk",10-10*((IF('Council Entry'!V$4="Logarithm",LN(0.001+IF(AND(ISNUMBER('Council Entry'!V$8),ISNUMBER('Council Entry'!V$9)),MAX(MIN('Council Entry'!V179,'Council Entry'!V$9),'Council Entry'!V$8),'Council Entry'!V179)),IF('Council Entry'!V$4="Exponential",EXP(IF(AND(ISNUMBER('Council Entry'!V$8),ISNUMBER('Council Entry'!V$9)),MAX(MIN('Council Entry'!V179,'Council Entry'!V$9),'Council Entry'!V$8),'Council Entry'!V179)),IF(AND(ISNUMBER('Council Entry'!V$8),ISNUMBER('Council Entry'!V$9)),MAX(MIN('Council Entry'!V179,'Council Entry'!V$9),'Council Entry'!V$8),'Council Entry'!V179))))-'Council Entry'!V$5)/('Council Entry'!V$6-'Council Entry'!V$5),10*((IF('Council Entry'!V$4="Logarithm",LN(0.001+IF(AND(ISNUMBER('Council Entry'!V$8),ISNUMBER('Council Entry'!V$9)),MAX(MIN('Council Entry'!V179,'Council Entry'!V$9),'Council Entry'!V$8),'Council Entry'!V179)),IF('Council Entry'!V$4="Exponential",EXP(IF(AND(ISNUMBER('Council Entry'!V$8),ISNUMBER('Council Entry'!V$9)),MAX(MIN('Council Entry'!V179,'Council Entry'!V$9),'Council Entry'!V$8),'Council Entry'!V179)),IF(AND(ISNUMBER('Council Entry'!V$8),ISNUMBER('Council Entry'!V$9)),MAX(MIN('Council Entry'!V179,'Council Entry'!V$9),'Council Entry'!V$8),'Council Entry'!V179))))-'Council Entry'!V$5)/('Council Entry'!V$6-'Council Entry'!V$5)),1))),"No data"))</f>
        <v/>
      </c>
      <c r="W179" s="13">
        <f>IF('Council Entry'!W179="","",IFERROR(MAX(0,MIN(10,ROUND(IF('Council Entry'!W$7="Decrease Risk",10-10*((IF('Council Entry'!W$4="Logarithm",LN(0.001+IF(AND(ISNUMBER('Council Entry'!W$8),ISNUMBER('Council Entry'!W$9)),MAX(MIN('Council Entry'!W179,'Council Entry'!W$9),'Council Entry'!W$8),'Council Entry'!W179)),IF('Council Entry'!W$4="Exponential",EXP(IF(AND(ISNUMBER('Council Entry'!W$8),ISNUMBER('Council Entry'!W$9)),MAX(MIN('Council Entry'!W179,'Council Entry'!W$9),'Council Entry'!W$8),'Council Entry'!W179)),IF(AND(ISNUMBER('Council Entry'!W$8),ISNUMBER('Council Entry'!W$9)),MAX(MIN('Council Entry'!W179,'Council Entry'!W$9),'Council Entry'!W$8),'Council Entry'!W179))))-'Council Entry'!W$5)/('Council Entry'!W$6-'Council Entry'!W$5),10*((IF('Council Entry'!W$4="Logarithm",LN(0.001+IF(AND(ISNUMBER('Council Entry'!W$8),ISNUMBER('Council Entry'!W$9)),MAX(MIN('Council Entry'!W179,'Council Entry'!W$9),'Council Entry'!W$8),'Council Entry'!W179)),IF('Council Entry'!W$4="Exponential",EXP(IF(AND(ISNUMBER('Council Entry'!W$8),ISNUMBER('Council Entry'!W$9)),MAX(MIN('Council Entry'!W179,'Council Entry'!W$9),'Council Entry'!W$8),'Council Entry'!W179)),IF(AND(ISNUMBER('Council Entry'!W$8),ISNUMBER('Council Entry'!W$9)),MAX(MIN('Council Entry'!W179,'Council Entry'!W$9),'Council Entry'!W$8),'Council Entry'!W179))))-'Council Entry'!W$5)/('Council Entry'!W$6-'Council Entry'!W$5)),1))),"No data"))</f>
        <v/>
      </c>
      <c r="X179" s="13">
        <f>IF('Council Entry'!X179="","",IFERROR(MAX(0,MIN(10,ROUND(IF('Council Entry'!X$7="Decrease Risk",10-10*((IF('Council Entry'!X$4="Logarithm",LN(0.001+IF(AND(ISNUMBER('Council Entry'!X$8),ISNUMBER('Council Entry'!X$9)),MAX(MIN('Council Entry'!X179,'Council Entry'!X$9),'Council Entry'!X$8),'Council Entry'!X179)),IF('Council Entry'!X$4="Exponential",EXP(IF(AND(ISNUMBER('Council Entry'!X$8),ISNUMBER('Council Entry'!X$9)),MAX(MIN('Council Entry'!X179,'Council Entry'!X$9),'Council Entry'!X$8),'Council Entry'!X179)),IF(AND(ISNUMBER('Council Entry'!X$8),ISNUMBER('Council Entry'!X$9)),MAX(MIN('Council Entry'!X179,'Council Entry'!X$9),'Council Entry'!X$8),'Council Entry'!X179))))-'Council Entry'!X$5)/('Council Entry'!X$6-'Council Entry'!X$5),10*((IF('Council Entry'!X$4="Logarithm",LN(0.001+IF(AND(ISNUMBER('Council Entry'!X$8),ISNUMBER('Council Entry'!X$9)),MAX(MIN('Council Entry'!X179,'Council Entry'!X$9),'Council Entry'!X$8),'Council Entry'!X179)),IF('Council Entry'!X$4="Exponential",EXP(IF(AND(ISNUMBER('Council Entry'!X$8),ISNUMBER('Council Entry'!X$9)),MAX(MIN('Council Entry'!X179,'Council Entry'!X$9),'Council Entry'!X$8),'Council Entry'!X179)),IF(AND(ISNUMBER('Council Entry'!X$8),ISNUMBER('Council Entry'!X$9)),MAX(MIN('Council Entry'!X179,'Council Entry'!X$9),'Council Entry'!X$8),'Council Entry'!X179))))-'Council Entry'!X$5)/('Council Entry'!X$6-'Council Entry'!X$5)),1))),"No data"))</f>
        <v/>
      </c>
      <c r="Y179" s="13">
        <f>IF('Council Entry'!Y179="","",IFERROR(MAX(0,MIN(10,ROUND(IF('Council Entry'!Y$7="Decrease Risk",10-10*((IF('Council Entry'!Y$4="Logarithm",LN(0.001+IF(AND(ISNUMBER('Council Entry'!Y$8),ISNUMBER('Council Entry'!Y$9)),MAX(MIN('Council Entry'!Y179,'Council Entry'!Y$9),'Council Entry'!Y$8),'Council Entry'!Y179)),IF('Council Entry'!Y$4="Exponential",EXP(IF(AND(ISNUMBER('Council Entry'!Y$8),ISNUMBER('Council Entry'!Y$9)),MAX(MIN('Council Entry'!Y179,'Council Entry'!Y$9),'Council Entry'!Y$8),'Council Entry'!Y179)),IF(AND(ISNUMBER('Council Entry'!Y$8),ISNUMBER('Council Entry'!Y$9)),MAX(MIN('Council Entry'!Y179,'Council Entry'!Y$9),'Council Entry'!Y$8),'Council Entry'!Y179))))-'Council Entry'!Y$5)/('Council Entry'!Y$6-'Council Entry'!Y$5),10*((IF('Council Entry'!Y$4="Logarithm",LN(0.001+IF(AND(ISNUMBER('Council Entry'!Y$8),ISNUMBER('Council Entry'!Y$9)),MAX(MIN('Council Entry'!Y179,'Council Entry'!Y$9),'Council Entry'!Y$8),'Council Entry'!Y179)),IF('Council Entry'!Y$4="Exponential",EXP(IF(AND(ISNUMBER('Council Entry'!Y$8),ISNUMBER('Council Entry'!Y$9)),MAX(MIN('Council Entry'!Y179,'Council Entry'!Y$9),'Council Entry'!Y$8),'Council Entry'!Y179)),IF(AND(ISNUMBER('Council Entry'!Y$8),ISNUMBER('Council Entry'!Y$9)),MAX(MIN('Council Entry'!Y179,'Council Entry'!Y$9),'Council Entry'!Y$8),'Council Entry'!Y179))))-'Council Entry'!Y$5)/('Council Entry'!Y$6-'Council Entry'!Y$5)),1))),"No data"))</f>
        <v/>
      </c>
      <c r="Z179" s="13">
        <f>IF('Council Entry'!Z179="","",IFERROR(MAX(0,MIN(10,ROUND(IF('Council Entry'!Z$7="Decrease Risk",10-10*((IF('Council Entry'!Z$4="Logarithm",LN(0.001+IF(AND(ISNUMBER('Council Entry'!Z$8),ISNUMBER('Council Entry'!Z$9)),MAX(MIN('Council Entry'!Z179,'Council Entry'!Z$9),'Council Entry'!Z$8),'Council Entry'!Z179)),IF('Council Entry'!Z$4="Exponential",EXP(IF(AND(ISNUMBER('Council Entry'!Z$8),ISNUMBER('Council Entry'!Z$9)),MAX(MIN('Council Entry'!Z179,'Council Entry'!Z$9),'Council Entry'!Z$8),'Council Entry'!Z179)),IF(AND(ISNUMBER('Council Entry'!Z$8),ISNUMBER('Council Entry'!Z$9)),MAX(MIN('Council Entry'!Z179,'Council Entry'!Z$9),'Council Entry'!Z$8),'Council Entry'!Z179))))-'Council Entry'!Z$5)/('Council Entry'!Z$6-'Council Entry'!Z$5),10*((IF('Council Entry'!Z$4="Logarithm",LN(0.001+IF(AND(ISNUMBER('Council Entry'!Z$8),ISNUMBER('Council Entry'!Z$9)),MAX(MIN('Council Entry'!Z179,'Council Entry'!Z$9),'Council Entry'!Z$8),'Council Entry'!Z179)),IF('Council Entry'!Z$4="Exponential",EXP(IF(AND(ISNUMBER('Council Entry'!Z$8),ISNUMBER('Council Entry'!Z$9)),MAX(MIN('Council Entry'!Z179,'Council Entry'!Z$9),'Council Entry'!Z$8),'Council Entry'!Z179)),IF(AND(ISNUMBER('Council Entry'!Z$8),ISNUMBER('Council Entry'!Z$9)),MAX(MIN('Council Entry'!Z179,'Council Entry'!Z$9),'Council Entry'!Z$8),'Council Entry'!Z179))))-'Council Entry'!Z$5)/('Council Entry'!Z$6-'Council Entry'!Z$5)),1))),"No data"))</f>
        <v/>
      </c>
      <c r="AA179" s="13">
        <f>IF('Council Entry'!AA179="","",IFERROR(MAX(0,MIN(10,ROUND(IF('Council Entry'!AA$7="Decrease Risk",10-10*((IF('Council Entry'!AA$4="Logarithm",LN(0.001+IF(AND(ISNUMBER('Council Entry'!AA$8),ISNUMBER('Council Entry'!AA$9)),MAX(MIN('Council Entry'!AA179,'Council Entry'!AA$9),'Council Entry'!AA$8),'Council Entry'!AA179)),IF('Council Entry'!AA$4="Exponential",EXP(IF(AND(ISNUMBER('Council Entry'!AA$8),ISNUMBER('Council Entry'!AA$9)),MAX(MIN('Council Entry'!AA179,'Council Entry'!AA$9),'Council Entry'!AA$8),'Council Entry'!AA179)),IF(AND(ISNUMBER('Council Entry'!AA$8),ISNUMBER('Council Entry'!AA$9)),MAX(MIN('Council Entry'!AA179,'Council Entry'!AA$9),'Council Entry'!AA$8),'Council Entry'!AA179))))-'Council Entry'!AA$5)/('Council Entry'!AA$6-'Council Entry'!AA$5),10*((IF('Council Entry'!AA$4="Logarithm",LN(0.001+IF(AND(ISNUMBER('Council Entry'!AA$8),ISNUMBER('Council Entry'!AA$9)),MAX(MIN('Council Entry'!AA179,'Council Entry'!AA$9),'Council Entry'!AA$8),'Council Entry'!AA179)),IF('Council Entry'!AA$4="Exponential",EXP(IF(AND(ISNUMBER('Council Entry'!AA$8),ISNUMBER('Council Entry'!AA$9)),MAX(MIN('Council Entry'!AA179,'Council Entry'!AA$9),'Council Entry'!AA$8),'Council Entry'!AA179)),IF(AND(ISNUMBER('Council Entry'!AA$8),ISNUMBER('Council Entry'!AA$9)),MAX(MIN('Council Entry'!AA179,'Council Entry'!AA$9),'Council Entry'!AA$8),'Council Entry'!AA179))))-'Council Entry'!AA$5)/('Council Entry'!AA$6-'Council Entry'!AA$5)),1))),"No data"))</f>
        <v/>
      </c>
      <c r="AB179" s="13">
        <f>IF('Council Entry'!AB179="","",IFERROR(MAX(0,MIN(10,ROUND(IF('Council Entry'!AB$7="Decrease Risk",10-10*((IF('Council Entry'!AB$4="Logarithm",LN(0.001+IF(AND(ISNUMBER('Council Entry'!AB$8),ISNUMBER('Council Entry'!AB$9)),MAX(MIN('Council Entry'!AB179,'Council Entry'!AB$9),'Council Entry'!AB$8),'Council Entry'!AB179)),IF('Council Entry'!AB$4="Exponential",EXP(IF(AND(ISNUMBER('Council Entry'!AB$8),ISNUMBER('Council Entry'!AB$9)),MAX(MIN('Council Entry'!AB179,'Council Entry'!AB$9),'Council Entry'!AB$8),'Council Entry'!AB179)),IF(AND(ISNUMBER('Council Entry'!AB$8),ISNUMBER('Council Entry'!AB$9)),MAX(MIN('Council Entry'!AB179,'Council Entry'!AB$9),'Council Entry'!AB$8),'Council Entry'!AB179))))-'Council Entry'!AB$5)/('Council Entry'!AB$6-'Council Entry'!AB$5),10*((IF('Council Entry'!AB$4="Logarithm",LN(0.001+IF(AND(ISNUMBER('Council Entry'!AB$8),ISNUMBER('Council Entry'!AB$9)),MAX(MIN('Council Entry'!AB179,'Council Entry'!AB$9),'Council Entry'!AB$8),'Council Entry'!AB179)),IF('Council Entry'!AB$4="Exponential",EXP(IF(AND(ISNUMBER('Council Entry'!AB$8),ISNUMBER('Council Entry'!AB$9)),MAX(MIN('Council Entry'!AB179,'Council Entry'!AB$9),'Council Entry'!AB$8),'Council Entry'!AB179)),IF(AND(ISNUMBER('Council Entry'!AB$8),ISNUMBER('Council Entry'!AB$9)),MAX(MIN('Council Entry'!AB179,'Council Entry'!AB$9),'Council Entry'!AB$8),'Council Entry'!AB179))))-'Council Entry'!AB$5)/('Council Entry'!AB$6-'Council Entry'!AB$5)),1))),"No data"))</f>
        <v/>
      </c>
      <c r="AC179" s="13">
        <f>IF('Council Entry'!AC179="","",IFERROR(MAX(0,MIN(10,ROUND(IF('Council Entry'!AC$7="Decrease Risk",10-10*((IF('Council Entry'!AC$4="Logarithm",LN(0.001+IF(AND(ISNUMBER('Council Entry'!AC$8),ISNUMBER('Council Entry'!AC$9)),MAX(MIN('Council Entry'!AC179,'Council Entry'!AC$9),'Council Entry'!AC$8),'Council Entry'!AC179)),IF('Council Entry'!AC$4="Exponential",EXP(IF(AND(ISNUMBER('Council Entry'!AC$8),ISNUMBER('Council Entry'!AC$9)),MAX(MIN('Council Entry'!AC179,'Council Entry'!AC$9),'Council Entry'!AC$8),'Council Entry'!AC179)),IF(AND(ISNUMBER('Council Entry'!AC$8),ISNUMBER('Council Entry'!AC$9)),MAX(MIN('Council Entry'!AC179,'Council Entry'!AC$9),'Council Entry'!AC$8),'Council Entry'!AC179))))-'Council Entry'!AC$5)/('Council Entry'!AC$6-'Council Entry'!AC$5),10*((IF('Council Entry'!AC$4="Logarithm",LN(0.001+IF(AND(ISNUMBER('Council Entry'!AC$8),ISNUMBER('Council Entry'!AC$9)),MAX(MIN('Council Entry'!AC179,'Council Entry'!AC$9),'Council Entry'!AC$8),'Council Entry'!AC179)),IF('Council Entry'!AC$4="Exponential",EXP(IF(AND(ISNUMBER('Council Entry'!AC$8),ISNUMBER('Council Entry'!AC$9)),MAX(MIN('Council Entry'!AC179,'Council Entry'!AC$9),'Council Entry'!AC$8),'Council Entry'!AC179)),IF(AND(ISNUMBER('Council Entry'!AC$8),ISNUMBER('Council Entry'!AC$9)),MAX(MIN('Council Entry'!AC179,'Council Entry'!AC$9),'Council Entry'!AC$8),'Council Entry'!AC179))))-'Council Entry'!AC$5)/('Council Entry'!AC$6-'Council Entry'!AC$5)),1))),"No data"))</f>
        <v/>
      </c>
      <c r="AD179" s="13">
        <f>IF('Council Entry'!AD179="","",IFERROR(MAX(0,MIN(10,ROUND(IF('Council Entry'!AD$7="Decrease Risk",10-10*((IF('Council Entry'!AD$4="Logarithm",LN(0.001+IF(AND(ISNUMBER('Council Entry'!AD$8),ISNUMBER('Council Entry'!AD$9)),MAX(MIN('Council Entry'!AD179,'Council Entry'!AD$9),'Council Entry'!AD$8),'Council Entry'!AD179)),IF('Council Entry'!AD$4="Exponential",EXP(IF(AND(ISNUMBER('Council Entry'!AD$8),ISNUMBER('Council Entry'!AD$9)),MAX(MIN('Council Entry'!AD179,'Council Entry'!AD$9),'Council Entry'!AD$8),'Council Entry'!AD179)),IF(AND(ISNUMBER('Council Entry'!AD$8),ISNUMBER('Council Entry'!AD$9)),MAX(MIN('Council Entry'!AD179,'Council Entry'!AD$9),'Council Entry'!AD$8),'Council Entry'!AD179))))-'Council Entry'!AD$5)/('Council Entry'!AD$6-'Council Entry'!AD$5),10*((IF('Council Entry'!AD$4="Logarithm",LN(0.001+IF(AND(ISNUMBER('Council Entry'!AD$8),ISNUMBER('Council Entry'!AD$9)),MAX(MIN('Council Entry'!AD179,'Council Entry'!AD$9),'Council Entry'!AD$8),'Council Entry'!AD179)),IF('Council Entry'!AD$4="Exponential",EXP(IF(AND(ISNUMBER('Council Entry'!AD$8),ISNUMBER('Council Entry'!AD$9)),MAX(MIN('Council Entry'!AD179,'Council Entry'!AD$9),'Council Entry'!AD$8),'Council Entry'!AD179)),IF(AND(ISNUMBER('Council Entry'!AD$8),ISNUMBER('Council Entry'!AD$9)),MAX(MIN('Council Entry'!AD179,'Council Entry'!AD$9),'Council Entry'!AD$8),'Council Entry'!AD179))))-'Council Entry'!AD$5)/('Council Entry'!AD$6-'Council Entry'!AD$5)),1))),"No data"))</f>
        <v/>
      </c>
      <c r="AE179" s="13">
        <f>IF('Council Entry'!AE179="","",IFERROR(MAX(0,MIN(10,ROUND(IF('Council Entry'!AE$7="Decrease Risk",10-10*((IF('Council Entry'!AE$4="Logarithm",LN(0.001+IF(AND(ISNUMBER('Council Entry'!AE$8),ISNUMBER('Council Entry'!AE$9)),MAX(MIN('Council Entry'!AE179,'Council Entry'!AE$9),'Council Entry'!AE$8),'Council Entry'!AE179)),IF('Council Entry'!AE$4="Exponential",EXP(IF(AND(ISNUMBER('Council Entry'!AE$8),ISNUMBER('Council Entry'!AE$9)),MAX(MIN('Council Entry'!AE179,'Council Entry'!AE$9),'Council Entry'!AE$8),'Council Entry'!AE179)),IF(AND(ISNUMBER('Council Entry'!AE$8),ISNUMBER('Council Entry'!AE$9)),MAX(MIN('Council Entry'!AE179,'Council Entry'!AE$9),'Council Entry'!AE$8),'Council Entry'!AE179))))-'Council Entry'!AE$5)/('Council Entry'!AE$6-'Council Entry'!AE$5),10*((IF('Council Entry'!AE$4="Logarithm",LN(0.001+IF(AND(ISNUMBER('Council Entry'!AE$8),ISNUMBER('Council Entry'!AE$9)),MAX(MIN('Council Entry'!AE179,'Council Entry'!AE$9),'Council Entry'!AE$8),'Council Entry'!AE179)),IF('Council Entry'!AE$4="Exponential",EXP(IF(AND(ISNUMBER('Council Entry'!AE$8),ISNUMBER('Council Entry'!AE$9)),MAX(MIN('Council Entry'!AE179,'Council Entry'!AE$9),'Council Entry'!AE$8),'Council Entry'!AE179)),IF(AND(ISNUMBER('Council Entry'!AE$8),ISNUMBER('Council Entry'!AE$9)),MAX(MIN('Council Entry'!AE179,'Council Entry'!AE$9),'Council Entry'!AE$8),'Council Entry'!AE179))))-'Council Entry'!AE$5)/('Council Entry'!AE$6-'Council Entry'!AE$5)),1))),"No data"))</f>
        <v/>
      </c>
      <c r="AF179" s="13">
        <f>IF('Council Entry'!AF179="","",IFERROR(MAX(0,MIN(10,ROUND(IF('Council Entry'!AF$7="Decrease Risk",10-10*((IF('Council Entry'!AF$4="Logarithm",LN(0.001+IF(AND(ISNUMBER('Council Entry'!AF$8),ISNUMBER('Council Entry'!AF$9)),MAX(MIN('Council Entry'!AF179,'Council Entry'!AF$9),'Council Entry'!AF$8),'Council Entry'!AF179)),IF('Council Entry'!AF$4="Exponential",EXP(IF(AND(ISNUMBER('Council Entry'!AF$8),ISNUMBER('Council Entry'!AF$9)),MAX(MIN('Council Entry'!AF179,'Council Entry'!AF$9),'Council Entry'!AF$8),'Council Entry'!AF179)),IF(AND(ISNUMBER('Council Entry'!AF$8),ISNUMBER('Council Entry'!AF$9)),MAX(MIN('Council Entry'!AF179,'Council Entry'!AF$9),'Council Entry'!AF$8),'Council Entry'!AF179))))-'Council Entry'!AF$5)/('Council Entry'!AF$6-'Council Entry'!AF$5),10*((IF('Council Entry'!AF$4="Logarithm",LN(0.001+IF(AND(ISNUMBER('Council Entry'!AF$8),ISNUMBER('Council Entry'!AF$9)),MAX(MIN('Council Entry'!AF179,'Council Entry'!AF$9),'Council Entry'!AF$8),'Council Entry'!AF179)),IF('Council Entry'!AF$4="Exponential",EXP(IF(AND(ISNUMBER('Council Entry'!AF$8),ISNUMBER('Council Entry'!AF$9)),MAX(MIN('Council Entry'!AF179,'Council Entry'!AF$9),'Council Entry'!AF$8),'Council Entry'!AF179)),IF(AND(ISNUMBER('Council Entry'!AF$8),ISNUMBER('Council Entry'!AF$9)),MAX(MIN('Council Entry'!AF179,'Council Entry'!AF$9),'Council Entry'!AF$8),'Council Entry'!AF179))))-'Council Entry'!AF$5)/('Council Entry'!AF$6-'Council Entry'!AF$5)),1))),"No data"))</f>
        <v/>
      </c>
      <c r="AG179" s="13">
        <f>IF('Council Entry'!AG179="","",IFERROR(MAX(0,MIN(10,ROUND(IF('Council Entry'!AG$7="Decrease Risk",10-10*((IF('Council Entry'!AG$4="Logarithm",LN(0.001+IF(AND(ISNUMBER('Council Entry'!AG$8),ISNUMBER('Council Entry'!AG$9)),MAX(MIN('Council Entry'!AG179,'Council Entry'!AG$9),'Council Entry'!AG$8),'Council Entry'!AG179)),IF('Council Entry'!AG$4="Exponential",EXP(IF(AND(ISNUMBER('Council Entry'!AG$8),ISNUMBER('Council Entry'!AG$9)),MAX(MIN('Council Entry'!AG179,'Council Entry'!AG$9),'Council Entry'!AG$8),'Council Entry'!AG179)),IF(AND(ISNUMBER('Council Entry'!AG$8),ISNUMBER('Council Entry'!AG$9)),MAX(MIN('Council Entry'!AG179,'Council Entry'!AG$9),'Council Entry'!AG$8),'Council Entry'!AG179))))-'Council Entry'!AG$5)/('Council Entry'!AG$6-'Council Entry'!AG$5),10*((IF('Council Entry'!AG$4="Logarithm",LN(0.001+IF(AND(ISNUMBER('Council Entry'!AG$8),ISNUMBER('Council Entry'!AG$9)),MAX(MIN('Council Entry'!AG179,'Council Entry'!AG$9),'Council Entry'!AG$8),'Council Entry'!AG179)),IF('Council Entry'!AG$4="Exponential",EXP(IF(AND(ISNUMBER('Council Entry'!AG$8),ISNUMBER('Council Entry'!AG$9)),MAX(MIN('Council Entry'!AG179,'Council Entry'!AG$9),'Council Entry'!AG$8),'Council Entry'!AG179)),IF(AND(ISNUMBER('Council Entry'!AG$8),ISNUMBER('Council Entry'!AG$9)),MAX(MIN('Council Entry'!AG179,'Council Entry'!AG$9),'Council Entry'!AG$8),'Council Entry'!AG179))))-'Council Entry'!AG$5)/('Council Entry'!AG$6-'Council Entry'!AG$5)),1))),"No data"))</f>
        <v/>
      </c>
      <c r="AH179" s="13">
        <f>IF('Council Entry'!AH179="","",IFERROR(MAX(0,MIN(10,ROUND(IF('Council Entry'!AH$7="Decrease Risk",10-10*((IF('Council Entry'!AH$4="Logarithm",LN(0.001+IF(AND(ISNUMBER('Council Entry'!AH$8),ISNUMBER('Council Entry'!AH$9)),MAX(MIN('Council Entry'!AH179,'Council Entry'!AH$9),'Council Entry'!AH$8),'Council Entry'!AH179)),IF('Council Entry'!AH$4="Exponential",EXP(IF(AND(ISNUMBER('Council Entry'!AH$8),ISNUMBER('Council Entry'!AH$9)),MAX(MIN('Council Entry'!AH179,'Council Entry'!AH$9),'Council Entry'!AH$8),'Council Entry'!AH179)),IF(AND(ISNUMBER('Council Entry'!AH$8),ISNUMBER('Council Entry'!AH$9)),MAX(MIN('Council Entry'!AH179,'Council Entry'!AH$9),'Council Entry'!AH$8),'Council Entry'!AH179))))-'Council Entry'!AH$5)/('Council Entry'!AH$6-'Council Entry'!AH$5),10*((IF('Council Entry'!AH$4="Logarithm",LN(0.001+IF(AND(ISNUMBER('Council Entry'!AH$8),ISNUMBER('Council Entry'!AH$9)),MAX(MIN('Council Entry'!AH179,'Council Entry'!AH$9),'Council Entry'!AH$8),'Council Entry'!AH179)),IF('Council Entry'!AH$4="Exponential",EXP(IF(AND(ISNUMBER('Council Entry'!AH$8),ISNUMBER('Council Entry'!AH$9)),MAX(MIN('Council Entry'!AH179,'Council Entry'!AH$9),'Council Entry'!AH$8),'Council Entry'!AH179)),IF(AND(ISNUMBER('Council Entry'!AH$8),ISNUMBER('Council Entry'!AH$9)),MAX(MIN('Council Entry'!AH179,'Council Entry'!AH$9),'Council Entry'!AH$8),'Council Entry'!AH179))))-'Council Entry'!AH$5)/('Council Entry'!AH$6-'Council Entry'!AH$5)),1))),"No data"))</f>
        <v/>
      </c>
      <c r="AI179" s="13">
        <f>IF('Council Entry'!AI179="","",IFERROR(MAX(0,MIN(10,ROUND(IF('Council Entry'!AI$7="Decrease Risk",10-10*((IF('Council Entry'!AI$4="Logarithm",LN(0.001+IF(AND(ISNUMBER('Council Entry'!AI$8),ISNUMBER('Council Entry'!AI$9)),MAX(MIN('Council Entry'!AI179,'Council Entry'!AI$9),'Council Entry'!AI$8),'Council Entry'!AI179)),IF('Council Entry'!AI$4="Exponential",EXP(IF(AND(ISNUMBER('Council Entry'!AI$8),ISNUMBER('Council Entry'!AI$9)),MAX(MIN('Council Entry'!AI179,'Council Entry'!AI$9),'Council Entry'!AI$8),'Council Entry'!AI179)),IF(AND(ISNUMBER('Council Entry'!AI$8),ISNUMBER('Council Entry'!AI$9)),MAX(MIN('Council Entry'!AI179,'Council Entry'!AI$9),'Council Entry'!AI$8),'Council Entry'!AI179))))-'Council Entry'!AI$5)/('Council Entry'!AI$6-'Council Entry'!AI$5),10*((IF('Council Entry'!AI$4="Logarithm",LN(0.001+IF(AND(ISNUMBER('Council Entry'!AI$8),ISNUMBER('Council Entry'!AI$9)),MAX(MIN('Council Entry'!AI179,'Council Entry'!AI$9),'Council Entry'!AI$8),'Council Entry'!AI179)),IF('Council Entry'!AI$4="Exponential",EXP(IF(AND(ISNUMBER('Council Entry'!AI$8),ISNUMBER('Council Entry'!AI$9)),MAX(MIN('Council Entry'!AI179,'Council Entry'!AI$9),'Council Entry'!AI$8),'Council Entry'!AI179)),IF(AND(ISNUMBER('Council Entry'!AI$8),ISNUMBER('Council Entry'!AI$9)),MAX(MIN('Council Entry'!AI179,'Council Entry'!AI$9),'Council Entry'!AI$8),'Council Entry'!AI179))))-'Council Entry'!AI$5)/('Council Entry'!AI$6-'Council Entry'!AI$5)),1))),"No data"))</f>
        <v/>
      </c>
      <c r="AJ179" s="13">
        <f>IF('Council Entry'!AJ179="","",IFERROR(MAX(0,MIN(10,ROUND(IF('Council Entry'!AJ$7="Decrease Risk",10-10*((IF('Council Entry'!AJ$4="Logarithm",LN(0.001+IF(AND(ISNUMBER('Council Entry'!AJ$8),ISNUMBER('Council Entry'!AJ$9)),MAX(MIN('Council Entry'!AJ179,'Council Entry'!AJ$9),'Council Entry'!AJ$8),'Council Entry'!AJ179)),IF('Council Entry'!AJ$4="Exponential",EXP(IF(AND(ISNUMBER('Council Entry'!AJ$8),ISNUMBER('Council Entry'!AJ$9)),MAX(MIN('Council Entry'!AJ179,'Council Entry'!AJ$9),'Council Entry'!AJ$8),'Council Entry'!AJ179)),IF(AND(ISNUMBER('Council Entry'!AJ$8),ISNUMBER('Council Entry'!AJ$9)),MAX(MIN('Council Entry'!AJ179,'Council Entry'!AJ$9),'Council Entry'!AJ$8),'Council Entry'!AJ179))))-'Council Entry'!AJ$5)/('Council Entry'!AJ$6-'Council Entry'!AJ$5),10*((IF('Council Entry'!AJ$4="Logarithm",LN(0.001+IF(AND(ISNUMBER('Council Entry'!AJ$8),ISNUMBER('Council Entry'!AJ$9)),MAX(MIN('Council Entry'!AJ179,'Council Entry'!AJ$9),'Council Entry'!AJ$8),'Council Entry'!AJ179)),IF('Council Entry'!AJ$4="Exponential",EXP(IF(AND(ISNUMBER('Council Entry'!AJ$8),ISNUMBER('Council Entry'!AJ$9)),MAX(MIN('Council Entry'!AJ179,'Council Entry'!AJ$9),'Council Entry'!AJ$8),'Council Entry'!AJ179)),IF(AND(ISNUMBER('Council Entry'!AJ$8),ISNUMBER('Council Entry'!AJ$9)),MAX(MIN('Council Entry'!AJ179,'Council Entry'!AJ$9),'Council Entry'!AJ$8),'Council Entry'!AJ179))))-'Council Entry'!AJ$5)/('Council Entry'!AJ$6-'Council Entry'!AJ$5)),1))),"No data"))</f>
        <v/>
      </c>
      <c r="AK179" s="13">
        <f>IF('Council Entry'!AK179="","",IFERROR(MAX(0,MIN(10,ROUND(IF('Council Entry'!AK$7="Decrease Risk",10-10*((IF('Council Entry'!AK$4="Logarithm",LN(0.001+IF(AND(ISNUMBER('Council Entry'!AK$8),ISNUMBER('Council Entry'!AK$9)),MAX(MIN('Council Entry'!AK179,'Council Entry'!AK$9),'Council Entry'!AK$8),'Council Entry'!AK179)),IF('Council Entry'!AK$4="Exponential",EXP(IF(AND(ISNUMBER('Council Entry'!AK$8),ISNUMBER('Council Entry'!AK$9)),MAX(MIN('Council Entry'!AK179,'Council Entry'!AK$9),'Council Entry'!AK$8),'Council Entry'!AK179)),IF(AND(ISNUMBER('Council Entry'!AK$8),ISNUMBER('Council Entry'!AK$9)),MAX(MIN('Council Entry'!AK179,'Council Entry'!AK$9),'Council Entry'!AK$8),'Council Entry'!AK179))))-'Council Entry'!AK$5)/('Council Entry'!AK$6-'Council Entry'!AK$5),10*((IF('Council Entry'!AK$4="Logarithm",LN(0.001+IF(AND(ISNUMBER('Council Entry'!AK$8),ISNUMBER('Council Entry'!AK$9)),MAX(MIN('Council Entry'!AK179,'Council Entry'!AK$9),'Council Entry'!AK$8),'Council Entry'!AK179)),IF('Council Entry'!AK$4="Exponential",EXP(IF(AND(ISNUMBER('Council Entry'!AK$8),ISNUMBER('Council Entry'!AK$9)),MAX(MIN('Council Entry'!AK179,'Council Entry'!AK$9),'Council Entry'!AK$8),'Council Entry'!AK179)),IF(AND(ISNUMBER('Council Entry'!AK$8),ISNUMBER('Council Entry'!AK$9)),MAX(MIN('Council Entry'!AK179,'Council Entry'!AK$9),'Council Entry'!AK$8),'Council Entry'!AK179))))-'Council Entry'!AK$5)/('Council Entry'!AK$6-'Council Entry'!AK$5)),1))),"No data"))</f>
        <v/>
      </c>
      <c r="AL179" s="13">
        <f>IF('Council Entry'!AL179="","",IFERROR(MAX(0,MIN(10,ROUND(IF('Council Entry'!AL$7="Decrease Risk",10-10*((IF('Council Entry'!AL$4="Logarithm",LN(0.001+IF(AND(ISNUMBER('Council Entry'!AL$8),ISNUMBER('Council Entry'!AL$9)),MAX(MIN('Council Entry'!AL179,'Council Entry'!AL$9),'Council Entry'!AL$8),'Council Entry'!AL179)),IF('Council Entry'!AL$4="Exponential",EXP(IF(AND(ISNUMBER('Council Entry'!AL$8),ISNUMBER('Council Entry'!AL$9)),MAX(MIN('Council Entry'!AL179,'Council Entry'!AL$9),'Council Entry'!AL$8),'Council Entry'!AL179)),IF(AND(ISNUMBER('Council Entry'!AL$8),ISNUMBER('Council Entry'!AL$9)),MAX(MIN('Council Entry'!AL179,'Council Entry'!AL$9),'Council Entry'!AL$8),'Council Entry'!AL179))))-'Council Entry'!AL$5)/('Council Entry'!AL$6-'Council Entry'!AL$5),10*((IF('Council Entry'!AL$4="Logarithm",LN(0.001+IF(AND(ISNUMBER('Council Entry'!AL$8),ISNUMBER('Council Entry'!AL$9)),MAX(MIN('Council Entry'!AL179,'Council Entry'!AL$9),'Council Entry'!AL$8),'Council Entry'!AL179)),IF('Council Entry'!AL$4="Exponential",EXP(IF(AND(ISNUMBER('Council Entry'!AL$8),ISNUMBER('Council Entry'!AL$9)),MAX(MIN('Council Entry'!AL179,'Council Entry'!AL$9),'Council Entry'!AL$8),'Council Entry'!AL179)),IF(AND(ISNUMBER('Council Entry'!AL$8),ISNUMBER('Council Entry'!AL$9)),MAX(MIN('Council Entry'!AL179,'Council Entry'!AL$9),'Council Entry'!AL$8),'Council Entry'!AL179))))-'Council Entry'!AL$5)/('Council Entry'!AL$6-'Council Entry'!AL$5)),1))),"No data"))</f>
        <v/>
      </c>
      <c r="AM179" s="13">
        <f>IF('Council Entry'!AM179="","",IFERROR(MAX(0,MIN(10,ROUND(IF('Council Entry'!AM$7="Decrease Risk",10-10*((IF('Council Entry'!AM$4="Logarithm",LN(0.001+IF(AND(ISNUMBER('Council Entry'!AM$8),ISNUMBER('Council Entry'!AM$9)),MAX(MIN('Council Entry'!AM179,'Council Entry'!AM$9),'Council Entry'!AM$8),'Council Entry'!AM179)),IF('Council Entry'!AM$4="Exponential",EXP(IF(AND(ISNUMBER('Council Entry'!AM$8),ISNUMBER('Council Entry'!AM$9)),MAX(MIN('Council Entry'!AM179,'Council Entry'!AM$9),'Council Entry'!AM$8),'Council Entry'!AM179)),IF(AND(ISNUMBER('Council Entry'!AM$8),ISNUMBER('Council Entry'!AM$9)),MAX(MIN('Council Entry'!AM179,'Council Entry'!AM$9),'Council Entry'!AM$8),'Council Entry'!AM179))))-'Council Entry'!AM$5)/('Council Entry'!AM$6-'Council Entry'!AM$5),10*((IF('Council Entry'!AM$4="Logarithm",LN(0.001+IF(AND(ISNUMBER('Council Entry'!AM$8),ISNUMBER('Council Entry'!AM$9)),MAX(MIN('Council Entry'!AM179,'Council Entry'!AM$9),'Council Entry'!AM$8),'Council Entry'!AM179)),IF('Council Entry'!AM$4="Exponential",EXP(IF(AND(ISNUMBER('Council Entry'!AM$8),ISNUMBER('Council Entry'!AM$9)),MAX(MIN('Council Entry'!AM179,'Council Entry'!AM$9),'Council Entry'!AM$8),'Council Entry'!AM179)),IF(AND(ISNUMBER('Council Entry'!AM$8),ISNUMBER('Council Entry'!AM$9)),MAX(MIN('Council Entry'!AM179,'Council Entry'!AM$9),'Council Entry'!AM$8),'Council Entry'!AM179))))-'Council Entry'!AM$5)/('Council Entry'!AM$6-'Council Entry'!AM$5)),1))),"No data"))</f>
        <v/>
      </c>
      <c r="AN179" s="13">
        <f>IF('Council Entry'!AN179="","",IFERROR(MAX(0,MIN(10,ROUND(IF('Council Entry'!AN$7="Decrease Risk",10-10*((IF('Council Entry'!AN$4="Logarithm",LN(0.001+IF(AND(ISNUMBER('Council Entry'!AN$8),ISNUMBER('Council Entry'!AN$9)),MAX(MIN('Council Entry'!AN179,'Council Entry'!AN$9),'Council Entry'!AN$8),'Council Entry'!AN179)),IF('Council Entry'!AN$4="Exponential",EXP(IF(AND(ISNUMBER('Council Entry'!AN$8),ISNUMBER('Council Entry'!AN$9)),MAX(MIN('Council Entry'!AN179,'Council Entry'!AN$9),'Council Entry'!AN$8),'Council Entry'!AN179)),IF(AND(ISNUMBER('Council Entry'!AN$8),ISNUMBER('Council Entry'!AN$9)),MAX(MIN('Council Entry'!AN179,'Council Entry'!AN$9),'Council Entry'!AN$8),'Council Entry'!AN179))))-'Council Entry'!AN$5)/('Council Entry'!AN$6-'Council Entry'!AN$5),10*((IF('Council Entry'!AN$4="Logarithm",LN(0.001+IF(AND(ISNUMBER('Council Entry'!AN$8),ISNUMBER('Council Entry'!AN$9)),MAX(MIN('Council Entry'!AN179,'Council Entry'!AN$9),'Council Entry'!AN$8),'Council Entry'!AN179)),IF('Council Entry'!AN$4="Exponential",EXP(IF(AND(ISNUMBER('Council Entry'!AN$8),ISNUMBER('Council Entry'!AN$9)),MAX(MIN('Council Entry'!AN179,'Council Entry'!AN$9),'Council Entry'!AN$8),'Council Entry'!AN179)),IF(AND(ISNUMBER('Council Entry'!AN$8),ISNUMBER('Council Entry'!AN$9)),MAX(MIN('Council Entry'!AN179,'Council Entry'!AN$9),'Council Entry'!AN$8),'Council Entry'!AN179))))-'Council Entry'!AN$5)/('Council Entry'!AN$6-'Council Entry'!AN$5)),1))),"No data"))</f>
        <v/>
      </c>
      <c r="AO179" s="13">
        <f>IF('Council Entry'!AO179="","",IFERROR(MAX(0,MIN(10,ROUND(IF('Council Entry'!AO$7="Decrease Risk",10-10*((IF('Council Entry'!AO$4="Logarithm",LN(0.001+IF(AND(ISNUMBER('Council Entry'!AO$8),ISNUMBER('Council Entry'!AO$9)),MAX(MIN('Council Entry'!AO179,'Council Entry'!AO$9),'Council Entry'!AO$8),'Council Entry'!AO179)),IF('Council Entry'!AO$4="Exponential",EXP(IF(AND(ISNUMBER('Council Entry'!AO$8),ISNUMBER('Council Entry'!AO$9)),MAX(MIN('Council Entry'!AO179,'Council Entry'!AO$9),'Council Entry'!AO$8),'Council Entry'!AO179)),IF(AND(ISNUMBER('Council Entry'!AO$8),ISNUMBER('Council Entry'!AO$9)),MAX(MIN('Council Entry'!AO179,'Council Entry'!AO$9),'Council Entry'!AO$8),'Council Entry'!AO179))))-'Council Entry'!AO$5)/('Council Entry'!AO$6-'Council Entry'!AO$5),10*((IF('Council Entry'!AO$4="Logarithm",LN(0.001+IF(AND(ISNUMBER('Council Entry'!AO$8),ISNUMBER('Council Entry'!AO$9)),MAX(MIN('Council Entry'!AO179,'Council Entry'!AO$9),'Council Entry'!AO$8),'Council Entry'!AO179)),IF('Council Entry'!AO$4="Exponential",EXP(IF(AND(ISNUMBER('Council Entry'!AO$8),ISNUMBER('Council Entry'!AO$9)),MAX(MIN('Council Entry'!AO179,'Council Entry'!AO$9),'Council Entry'!AO$8),'Council Entry'!AO179)),IF(AND(ISNUMBER('Council Entry'!AO$8),ISNUMBER('Council Entry'!AO$9)),MAX(MIN('Council Entry'!AO179,'Council Entry'!AO$9),'Council Entry'!AO$8),'Council Entry'!AO179))))-'Council Entry'!AO$5)/('Council Entry'!AO$6-'Council Entry'!AO$5)),1))),"No data"))</f>
        <v/>
      </c>
      <c r="AP179" s="13">
        <f>IF('Council Entry'!AP179="","",IFERROR(MAX(0,MIN(10,ROUND(IF('Council Entry'!AP$7="Decrease Risk",10-10*((IF('Council Entry'!AP$4="Logarithm",LN(0.001+IF(AND(ISNUMBER('Council Entry'!AP$8),ISNUMBER('Council Entry'!AP$9)),MAX(MIN('Council Entry'!AP179,'Council Entry'!AP$9),'Council Entry'!AP$8),'Council Entry'!AP179)),IF('Council Entry'!AP$4="Exponential",EXP(IF(AND(ISNUMBER('Council Entry'!AP$8),ISNUMBER('Council Entry'!AP$9)),MAX(MIN('Council Entry'!AP179,'Council Entry'!AP$9),'Council Entry'!AP$8),'Council Entry'!AP179)),IF(AND(ISNUMBER('Council Entry'!AP$8),ISNUMBER('Council Entry'!AP$9)),MAX(MIN('Council Entry'!AP179,'Council Entry'!AP$9),'Council Entry'!AP$8),'Council Entry'!AP179))))-'Council Entry'!AP$5)/('Council Entry'!AP$6-'Council Entry'!AP$5),10*((IF('Council Entry'!AP$4="Logarithm",LN(0.001+IF(AND(ISNUMBER('Council Entry'!AP$8),ISNUMBER('Council Entry'!AP$9)),MAX(MIN('Council Entry'!AP179,'Council Entry'!AP$9),'Council Entry'!AP$8),'Council Entry'!AP179)),IF('Council Entry'!AP$4="Exponential",EXP(IF(AND(ISNUMBER('Council Entry'!AP$8),ISNUMBER('Council Entry'!AP$9)),MAX(MIN('Council Entry'!AP179,'Council Entry'!AP$9),'Council Entry'!AP$8),'Council Entry'!AP179)),IF(AND(ISNUMBER('Council Entry'!AP$8),ISNUMBER('Council Entry'!AP$9)),MAX(MIN('Council Entry'!AP179,'Council Entry'!AP$9),'Council Entry'!AP$8),'Council Entry'!AP179))))-'Council Entry'!AP$5)/('Council Entry'!AP$6-'Council Entry'!AP$5)),1))),"No data"))</f>
        <v/>
      </c>
      <c r="AQ179" s="13">
        <f>IF('Council Entry'!AQ179="","",IFERROR(MAX(0,MIN(10,ROUND(IF('Council Entry'!AQ$7="Decrease Risk",10-10*((IF('Council Entry'!AQ$4="Logarithm",LN(0.001+IF(AND(ISNUMBER('Council Entry'!AQ$8),ISNUMBER('Council Entry'!AQ$9)),MAX(MIN('Council Entry'!AQ179,'Council Entry'!AQ$9),'Council Entry'!AQ$8),'Council Entry'!AQ179)),IF('Council Entry'!AQ$4="Exponential",EXP(IF(AND(ISNUMBER('Council Entry'!AQ$8),ISNUMBER('Council Entry'!AQ$9)),MAX(MIN('Council Entry'!AQ179,'Council Entry'!AQ$9),'Council Entry'!AQ$8),'Council Entry'!AQ179)),IF(AND(ISNUMBER('Council Entry'!AQ$8),ISNUMBER('Council Entry'!AQ$9)),MAX(MIN('Council Entry'!AQ179,'Council Entry'!AQ$9),'Council Entry'!AQ$8),'Council Entry'!AQ179))))-'Council Entry'!AQ$5)/('Council Entry'!AQ$6-'Council Entry'!AQ$5),10*((IF('Council Entry'!AQ$4="Logarithm",LN(0.001+IF(AND(ISNUMBER('Council Entry'!AQ$8),ISNUMBER('Council Entry'!AQ$9)),MAX(MIN('Council Entry'!AQ179,'Council Entry'!AQ$9),'Council Entry'!AQ$8),'Council Entry'!AQ179)),IF('Council Entry'!AQ$4="Exponential",EXP(IF(AND(ISNUMBER('Council Entry'!AQ$8),ISNUMBER('Council Entry'!AQ$9)),MAX(MIN('Council Entry'!AQ179,'Council Entry'!AQ$9),'Council Entry'!AQ$8),'Council Entry'!AQ179)),IF(AND(ISNUMBER('Council Entry'!AQ$8),ISNUMBER('Council Entry'!AQ$9)),MAX(MIN('Council Entry'!AQ179,'Council Entry'!AQ$9),'Council Entry'!AQ$8),'Council Entry'!AQ179))))-'Council Entry'!AQ$5)/('Council Entry'!AQ$6-'Council Entry'!AQ$5)),1))),"No data"))</f>
        <v/>
      </c>
      <c r="AR179" s="13">
        <f>IF('Council Entry'!AR179="","",IFERROR(MAX(0,MIN(10,ROUND(IF('Council Entry'!AR$7="Decrease Risk",10-10*((IF('Council Entry'!AR$4="Logarithm",LN(0.001+IF(AND(ISNUMBER('Council Entry'!AR$8),ISNUMBER('Council Entry'!AR$9)),MAX(MIN('Council Entry'!AR179,'Council Entry'!AR$9),'Council Entry'!AR$8),'Council Entry'!AR179)),IF('Council Entry'!AR$4="Exponential",EXP(IF(AND(ISNUMBER('Council Entry'!AR$8),ISNUMBER('Council Entry'!AR$9)),MAX(MIN('Council Entry'!AR179,'Council Entry'!AR$9),'Council Entry'!AR$8),'Council Entry'!AR179)),IF(AND(ISNUMBER('Council Entry'!AR$8),ISNUMBER('Council Entry'!AR$9)),MAX(MIN('Council Entry'!AR179,'Council Entry'!AR$9),'Council Entry'!AR$8),'Council Entry'!AR179))))-'Council Entry'!AR$5)/('Council Entry'!AR$6-'Council Entry'!AR$5),10*((IF('Council Entry'!AR$4="Logarithm",LN(0.001+IF(AND(ISNUMBER('Council Entry'!AR$8),ISNUMBER('Council Entry'!AR$9)),MAX(MIN('Council Entry'!AR179,'Council Entry'!AR$9),'Council Entry'!AR$8),'Council Entry'!AR179)),IF('Council Entry'!AR$4="Exponential",EXP(IF(AND(ISNUMBER('Council Entry'!AR$8),ISNUMBER('Council Entry'!AR$9)),MAX(MIN('Council Entry'!AR179,'Council Entry'!AR$9),'Council Entry'!AR$8),'Council Entry'!AR179)),IF(AND(ISNUMBER('Council Entry'!AR$8),ISNUMBER('Council Entry'!AR$9)),MAX(MIN('Council Entry'!AR179,'Council Entry'!AR$9),'Council Entry'!AR$8),'Council Entry'!AR179))))-'Council Entry'!AR$5)/('Council Entry'!AR$6-'Council Entry'!AR$5)),1))),"No data"))</f>
        <v/>
      </c>
      <c r="AS179" s="13">
        <f>IF('Council Entry'!AS179="","",IFERROR(MAX(0,MIN(10,ROUND(IF('Council Entry'!AS$7="Decrease Risk",10-10*((IF('Council Entry'!AS$4="Logarithm",LN(0.001+IF(AND(ISNUMBER('Council Entry'!AS$8),ISNUMBER('Council Entry'!AS$9)),MAX(MIN('Council Entry'!AS179,'Council Entry'!AS$9),'Council Entry'!AS$8),'Council Entry'!AS179)),IF('Council Entry'!AS$4="Exponential",EXP(IF(AND(ISNUMBER('Council Entry'!AS$8),ISNUMBER('Council Entry'!AS$9)),MAX(MIN('Council Entry'!AS179,'Council Entry'!AS$9),'Council Entry'!AS$8),'Council Entry'!AS179)),IF(AND(ISNUMBER('Council Entry'!AS$8),ISNUMBER('Council Entry'!AS$9)),MAX(MIN('Council Entry'!AS179,'Council Entry'!AS$9),'Council Entry'!AS$8),'Council Entry'!AS179))))-'Council Entry'!AS$5)/('Council Entry'!AS$6-'Council Entry'!AS$5),10*((IF('Council Entry'!AS$4="Logarithm",LN(0.001+IF(AND(ISNUMBER('Council Entry'!AS$8),ISNUMBER('Council Entry'!AS$9)),MAX(MIN('Council Entry'!AS179,'Council Entry'!AS$9),'Council Entry'!AS$8),'Council Entry'!AS179)),IF('Council Entry'!AS$4="Exponential",EXP(IF(AND(ISNUMBER('Council Entry'!AS$8),ISNUMBER('Council Entry'!AS$9)),MAX(MIN('Council Entry'!AS179,'Council Entry'!AS$9),'Council Entry'!AS$8),'Council Entry'!AS179)),IF(AND(ISNUMBER('Council Entry'!AS$8),ISNUMBER('Council Entry'!AS$9)),MAX(MIN('Council Entry'!AS179,'Council Entry'!AS$9),'Council Entry'!AS$8),'Council Entry'!AS179))))-'Council Entry'!AS$5)/('Council Entry'!AS$6-'Council Entry'!AS$5)),1))),"No data"))</f>
        <v/>
      </c>
      <c r="AT179" s="13">
        <f>IF('Council Entry'!AT179="","",IFERROR(MAX(0,MIN(10,ROUND(IF('Council Entry'!AT$7="Decrease Risk",10-10*((IF('Council Entry'!AT$4="Logarithm",LN(0.001+IF(AND(ISNUMBER('Council Entry'!AT$8),ISNUMBER('Council Entry'!AT$9)),MAX(MIN('Council Entry'!AT179,'Council Entry'!AT$9),'Council Entry'!AT$8),'Council Entry'!AT179)),IF('Council Entry'!AT$4="Exponential",EXP(IF(AND(ISNUMBER('Council Entry'!AT$8),ISNUMBER('Council Entry'!AT$9)),MAX(MIN('Council Entry'!AT179,'Council Entry'!AT$9),'Council Entry'!AT$8),'Council Entry'!AT179)),IF(AND(ISNUMBER('Council Entry'!AT$8),ISNUMBER('Council Entry'!AT$9)),MAX(MIN('Council Entry'!AT179,'Council Entry'!AT$9),'Council Entry'!AT$8),'Council Entry'!AT179))))-'Council Entry'!AT$5)/('Council Entry'!AT$6-'Council Entry'!AT$5),10*((IF('Council Entry'!AT$4="Logarithm",LN(0.001+IF(AND(ISNUMBER('Council Entry'!AT$8),ISNUMBER('Council Entry'!AT$9)),MAX(MIN('Council Entry'!AT179,'Council Entry'!AT$9),'Council Entry'!AT$8),'Council Entry'!AT179)),IF('Council Entry'!AT$4="Exponential",EXP(IF(AND(ISNUMBER('Council Entry'!AT$8),ISNUMBER('Council Entry'!AT$9)),MAX(MIN('Council Entry'!AT179,'Council Entry'!AT$9),'Council Entry'!AT$8),'Council Entry'!AT179)),IF(AND(ISNUMBER('Council Entry'!AT$8),ISNUMBER('Council Entry'!AT$9)),MAX(MIN('Council Entry'!AT179,'Council Entry'!AT$9),'Council Entry'!AT$8),'Council Entry'!AT179))))-'Council Entry'!AT$5)/('Council Entry'!AT$6-'Council Entry'!AT$5)),1))),"No data"))</f>
        <v/>
      </c>
      <c r="AU179" s="13">
        <f>IF('Council Entry'!AU179="","",IFERROR(MAX(0,MIN(10,ROUND(IF('Council Entry'!AU$7="Decrease Risk",10-10*((IF('Council Entry'!AU$4="Logarithm",LN(0.001+IF(AND(ISNUMBER('Council Entry'!AU$8),ISNUMBER('Council Entry'!AU$9)),MAX(MIN('Council Entry'!AU179,'Council Entry'!AU$9),'Council Entry'!AU$8),'Council Entry'!AU179)),IF('Council Entry'!AU$4="Exponential",EXP(IF(AND(ISNUMBER('Council Entry'!AU$8),ISNUMBER('Council Entry'!AU$9)),MAX(MIN('Council Entry'!AU179,'Council Entry'!AU$9),'Council Entry'!AU$8),'Council Entry'!AU179)),IF(AND(ISNUMBER('Council Entry'!AU$8),ISNUMBER('Council Entry'!AU$9)),MAX(MIN('Council Entry'!AU179,'Council Entry'!AU$9),'Council Entry'!AU$8),'Council Entry'!AU179))))-'Council Entry'!AU$5)/('Council Entry'!AU$6-'Council Entry'!AU$5),10*((IF('Council Entry'!AU$4="Logarithm",LN(0.001+IF(AND(ISNUMBER('Council Entry'!AU$8),ISNUMBER('Council Entry'!AU$9)),MAX(MIN('Council Entry'!AU179,'Council Entry'!AU$9),'Council Entry'!AU$8),'Council Entry'!AU179)),IF('Council Entry'!AU$4="Exponential",EXP(IF(AND(ISNUMBER('Council Entry'!AU$8),ISNUMBER('Council Entry'!AU$9)),MAX(MIN('Council Entry'!AU179,'Council Entry'!AU$9),'Council Entry'!AU$8),'Council Entry'!AU179)),IF(AND(ISNUMBER('Council Entry'!AU$8),ISNUMBER('Council Entry'!AU$9)),MAX(MIN('Council Entry'!AU179,'Council Entry'!AU$9),'Council Entry'!AU$8),'Council Entry'!AU179))))-'Council Entry'!AU$5)/('Council Entry'!AU$6-'Council Entry'!AU$5)),1))),"No data"))</f>
        <v/>
      </c>
      <c r="AV179" s="13">
        <f>IF('Council Entry'!AV179="","",IFERROR(MAX(0,MIN(10,ROUND(IF('Council Entry'!AV$7="Decrease Risk",10-10*((IF('Council Entry'!AV$4="Logarithm",LN(0.001+IF(AND(ISNUMBER('Council Entry'!AV$8),ISNUMBER('Council Entry'!AV$9)),MAX(MIN('Council Entry'!AV179,'Council Entry'!AV$9),'Council Entry'!AV$8),'Council Entry'!AV179)),IF('Council Entry'!AV$4="Exponential",EXP(IF(AND(ISNUMBER('Council Entry'!AV$8),ISNUMBER('Council Entry'!AV$9)),MAX(MIN('Council Entry'!AV179,'Council Entry'!AV$9),'Council Entry'!AV$8),'Council Entry'!AV179)),IF(AND(ISNUMBER('Council Entry'!AV$8),ISNUMBER('Council Entry'!AV$9)),MAX(MIN('Council Entry'!AV179,'Council Entry'!AV$9),'Council Entry'!AV$8),'Council Entry'!AV179))))-'Council Entry'!AV$5)/('Council Entry'!AV$6-'Council Entry'!AV$5),10*((IF('Council Entry'!AV$4="Logarithm",LN(0.001+IF(AND(ISNUMBER('Council Entry'!AV$8),ISNUMBER('Council Entry'!AV$9)),MAX(MIN('Council Entry'!AV179,'Council Entry'!AV$9),'Council Entry'!AV$8),'Council Entry'!AV179)),IF('Council Entry'!AV$4="Exponential",EXP(IF(AND(ISNUMBER('Council Entry'!AV$8),ISNUMBER('Council Entry'!AV$9)),MAX(MIN('Council Entry'!AV179,'Council Entry'!AV$9),'Council Entry'!AV$8),'Council Entry'!AV179)),IF(AND(ISNUMBER('Council Entry'!AV$8),ISNUMBER('Council Entry'!AV$9)),MAX(MIN('Council Entry'!AV179,'Council Entry'!AV$9),'Council Entry'!AV$8),'Council Entry'!AV179))))-'Council Entry'!AV$5)/('Council Entry'!AV$6-'Council Entry'!AV$5)),1))),"No data"))</f>
        <v/>
      </c>
      <c r="AW179" s="13">
        <f>IF('Council Entry'!AW179="","",IFERROR(MAX(0,MIN(10,ROUND(IF('Council Entry'!AW$7="Decrease Risk",10-10*((IF('Council Entry'!AW$4="Logarithm",LN(0.001+IF(AND(ISNUMBER('Council Entry'!AW$8),ISNUMBER('Council Entry'!AW$9)),MAX(MIN('Council Entry'!AW179,'Council Entry'!AW$9),'Council Entry'!AW$8),'Council Entry'!AW179)),IF('Council Entry'!AW$4="Exponential",EXP(IF(AND(ISNUMBER('Council Entry'!AW$8),ISNUMBER('Council Entry'!AW$9)),MAX(MIN('Council Entry'!AW179,'Council Entry'!AW$9),'Council Entry'!AW$8),'Council Entry'!AW179)),IF(AND(ISNUMBER('Council Entry'!AW$8),ISNUMBER('Council Entry'!AW$9)),MAX(MIN('Council Entry'!AW179,'Council Entry'!AW$9),'Council Entry'!AW$8),'Council Entry'!AW179))))-'Council Entry'!AW$5)/('Council Entry'!AW$6-'Council Entry'!AW$5),10*((IF('Council Entry'!AW$4="Logarithm",LN(0.001+IF(AND(ISNUMBER('Council Entry'!AW$8),ISNUMBER('Council Entry'!AW$9)),MAX(MIN('Council Entry'!AW179,'Council Entry'!AW$9),'Council Entry'!AW$8),'Council Entry'!AW179)),IF('Council Entry'!AW$4="Exponential",EXP(IF(AND(ISNUMBER('Council Entry'!AW$8),ISNUMBER('Council Entry'!AW$9)),MAX(MIN('Council Entry'!AW179,'Council Entry'!AW$9),'Council Entry'!AW$8),'Council Entry'!AW179)),IF(AND(ISNUMBER('Council Entry'!AW$8),ISNUMBER('Council Entry'!AW$9)),MAX(MIN('Council Entry'!AW179,'Council Entry'!AW$9),'Council Entry'!AW$8),'Council Entry'!AW179))))-'Council Entry'!AW$5)/('Council Entry'!AW$6-'Council Entry'!AW$5)),1))),"No data"))</f>
        <v/>
      </c>
      <c r="AX179" s="13">
        <f>IF('Council Entry'!AX179="","",IFERROR(MAX(0,MIN(10,ROUND(IF('Council Entry'!AX$7="Decrease Risk",10-10*((IF('Council Entry'!AX$4="Logarithm",LN(0.001+IF(AND(ISNUMBER('Council Entry'!AX$8),ISNUMBER('Council Entry'!AX$9)),MAX(MIN('Council Entry'!AX179,'Council Entry'!AX$9),'Council Entry'!AX$8),'Council Entry'!AX179)),IF('Council Entry'!AX$4="Exponential",EXP(IF(AND(ISNUMBER('Council Entry'!AX$8),ISNUMBER('Council Entry'!AX$9)),MAX(MIN('Council Entry'!AX179,'Council Entry'!AX$9),'Council Entry'!AX$8),'Council Entry'!AX179)),IF(AND(ISNUMBER('Council Entry'!AX$8),ISNUMBER('Council Entry'!AX$9)),MAX(MIN('Council Entry'!AX179,'Council Entry'!AX$9),'Council Entry'!AX$8),'Council Entry'!AX179))))-'Council Entry'!AX$5)/('Council Entry'!AX$6-'Council Entry'!AX$5),10*((IF('Council Entry'!AX$4="Logarithm",LN(0.001+IF(AND(ISNUMBER('Council Entry'!AX$8),ISNUMBER('Council Entry'!AX$9)),MAX(MIN('Council Entry'!AX179,'Council Entry'!AX$9),'Council Entry'!AX$8),'Council Entry'!AX179)),IF('Council Entry'!AX$4="Exponential",EXP(IF(AND(ISNUMBER('Council Entry'!AX$8),ISNUMBER('Council Entry'!AX$9)),MAX(MIN('Council Entry'!AX179,'Council Entry'!AX$9),'Council Entry'!AX$8),'Council Entry'!AX179)),IF(AND(ISNUMBER('Council Entry'!AX$8),ISNUMBER('Council Entry'!AX$9)),MAX(MIN('Council Entry'!AX179,'Council Entry'!AX$9),'Council Entry'!AX$8),'Council Entry'!AX179))))-'Council Entry'!AX$5)/('Council Entry'!AX$6-'Council Entry'!AX$5)),1))),"No data"))</f>
        <v/>
      </c>
      <c r="AY179" s="13">
        <f>IF('Council Entry'!AY179="","",IFERROR(MAX(0,MIN(10,ROUND(IF('Council Entry'!AY$7="Decrease Risk",10-10*((IF('Council Entry'!AY$4="Logarithm",LN(0.001+IF(AND(ISNUMBER('Council Entry'!AY$8),ISNUMBER('Council Entry'!AY$9)),MAX(MIN('Council Entry'!AY179,'Council Entry'!AY$9),'Council Entry'!AY$8),'Council Entry'!AY179)),IF('Council Entry'!AY$4="Exponential",EXP(IF(AND(ISNUMBER('Council Entry'!AY$8),ISNUMBER('Council Entry'!AY$9)),MAX(MIN('Council Entry'!AY179,'Council Entry'!AY$9),'Council Entry'!AY$8),'Council Entry'!AY179)),IF(AND(ISNUMBER('Council Entry'!AY$8),ISNUMBER('Council Entry'!AY$9)),MAX(MIN('Council Entry'!AY179,'Council Entry'!AY$9),'Council Entry'!AY$8),'Council Entry'!AY179))))-'Council Entry'!AY$5)/('Council Entry'!AY$6-'Council Entry'!AY$5),10*((IF('Council Entry'!AY$4="Logarithm",LN(0.001+IF(AND(ISNUMBER('Council Entry'!AY$8),ISNUMBER('Council Entry'!AY$9)),MAX(MIN('Council Entry'!AY179,'Council Entry'!AY$9),'Council Entry'!AY$8),'Council Entry'!AY179)),IF('Council Entry'!AY$4="Exponential",EXP(IF(AND(ISNUMBER('Council Entry'!AY$8),ISNUMBER('Council Entry'!AY$9)),MAX(MIN('Council Entry'!AY179,'Council Entry'!AY$9),'Council Entry'!AY$8),'Council Entry'!AY179)),IF(AND(ISNUMBER('Council Entry'!AY$8),ISNUMBER('Council Entry'!AY$9)),MAX(MIN('Council Entry'!AY179,'Council Entry'!AY$9),'Council Entry'!AY$8),'Council Entry'!AY179))))-'Council Entry'!AY$5)/('Council Entry'!AY$6-'Council Entry'!AY$5)),1))),"No data"))</f>
        <v/>
      </c>
      <c r="AZ179" s="13">
        <f>IF('Council Entry'!AZ179="","",IFERROR(MAX(0,MIN(10,ROUND(IF('Council Entry'!AZ$7="Decrease Risk",10-10*((IF('Council Entry'!AZ$4="Logarithm",LN(0.001+IF(AND(ISNUMBER('Council Entry'!AZ$8),ISNUMBER('Council Entry'!AZ$9)),MAX(MIN('Council Entry'!AZ179,'Council Entry'!AZ$9),'Council Entry'!AZ$8),'Council Entry'!AZ179)),IF('Council Entry'!AZ$4="Exponential",EXP(IF(AND(ISNUMBER('Council Entry'!AZ$8),ISNUMBER('Council Entry'!AZ$9)),MAX(MIN('Council Entry'!AZ179,'Council Entry'!AZ$9),'Council Entry'!AZ$8),'Council Entry'!AZ179)),IF(AND(ISNUMBER('Council Entry'!AZ$8),ISNUMBER('Council Entry'!AZ$9)),MAX(MIN('Council Entry'!AZ179,'Council Entry'!AZ$9),'Council Entry'!AZ$8),'Council Entry'!AZ179))))-'Council Entry'!AZ$5)/('Council Entry'!AZ$6-'Council Entry'!AZ$5),10*((IF('Council Entry'!AZ$4="Logarithm",LN(0.001+IF(AND(ISNUMBER('Council Entry'!AZ$8),ISNUMBER('Council Entry'!AZ$9)),MAX(MIN('Council Entry'!AZ179,'Council Entry'!AZ$9),'Council Entry'!AZ$8),'Council Entry'!AZ179)),IF('Council Entry'!AZ$4="Exponential",EXP(IF(AND(ISNUMBER('Council Entry'!AZ$8),ISNUMBER('Council Entry'!AZ$9)),MAX(MIN('Council Entry'!AZ179,'Council Entry'!AZ$9),'Council Entry'!AZ$8),'Council Entry'!AZ179)),IF(AND(ISNUMBER('Council Entry'!AZ$8),ISNUMBER('Council Entry'!AZ$9)),MAX(MIN('Council Entry'!AZ179,'Council Entry'!AZ$9),'Council Entry'!AZ$8),'Council Entry'!AZ179))))-'Council Entry'!AZ$5)/('Council Entry'!AZ$6-'Council Entry'!AZ$5)),1))),"No data"))</f>
        <v/>
      </c>
      <c r="BA179" s="13">
        <f>IF('Council Entry'!BA179="","",IFERROR(MAX(0,MIN(10,ROUND(IF('Council Entry'!BA$7="Decrease Risk",10-10*((IF('Council Entry'!BA$4="Logarithm",LN(0.001+IF(AND(ISNUMBER('Council Entry'!BA$8),ISNUMBER('Council Entry'!BA$9)),MAX(MIN('Council Entry'!BA179,'Council Entry'!BA$9),'Council Entry'!BA$8),'Council Entry'!BA179)),IF('Council Entry'!BA$4="Exponential",EXP(IF(AND(ISNUMBER('Council Entry'!BA$8),ISNUMBER('Council Entry'!BA$9)),MAX(MIN('Council Entry'!BA179,'Council Entry'!BA$9),'Council Entry'!BA$8),'Council Entry'!BA179)),IF(AND(ISNUMBER('Council Entry'!BA$8),ISNUMBER('Council Entry'!BA$9)),MAX(MIN('Council Entry'!BA179,'Council Entry'!BA$9),'Council Entry'!BA$8),'Council Entry'!BA179))))-'Council Entry'!BA$5)/('Council Entry'!BA$6-'Council Entry'!BA$5),10*((IF('Council Entry'!BA$4="Logarithm",LN(0.001+IF(AND(ISNUMBER('Council Entry'!BA$8),ISNUMBER('Council Entry'!BA$9)),MAX(MIN('Council Entry'!BA179,'Council Entry'!BA$9),'Council Entry'!BA$8),'Council Entry'!BA179)),IF('Council Entry'!BA$4="Exponential",EXP(IF(AND(ISNUMBER('Council Entry'!BA$8),ISNUMBER('Council Entry'!BA$9)),MAX(MIN('Council Entry'!BA179,'Council Entry'!BA$9),'Council Entry'!BA$8),'Council Entry'!BA179)),IF(AND(ISNUMBER('Council Entry'!BA$8),ISNUMBER('Council Entry'!BA$9)),MAX(MIN('Council Entry'!BA179,'Council Entry'!BA$9),'Council Entry'!BA$8),'Council Entry'!BA179))))-'Council Entry'!BA$5)/('Council Entry'!BA$6-'Council Entry'!BA$5)),1))),"No data"))</f>
        <v/>
      </c>
      <c r="BB179" s="13">
        <f>IF('Council Entry'!BB179="","",IFERROR(MAX(0,MIN(10,ROUND(IF('Council Entry'!BB$7="Decrease Risk",10-10*((IF('Council Entry'!BB$4="Logarithm",LN(0.001+IF(AND(ISNUMBER('Council Entry'!BB$8),ISNUMBER('Council Entry'!BB$9)),MAX(MIN('Council Entry'!BB179,'Council Entry'!BB$9),'Council Entry'!BB$8),'Council Entry'!BB179)),IF('Council Entry'!BB$4="Exponential",EXP(IF(AND(ISNUMBER('Council Entry'!BB$8),ISNUMBER('Council Entry'!BB$9)),MAX(MIN('Council Entry'!BB179,'Council Entry'!BB$9),'Council Entry'!BB$8),'Council Entry'!BB179)),IF(AND(ISNUMBER('Council Entry'!BB$8),ISNUMBER('Council Entry'!BB$9)),MAX(MIN('Council Entry'!BB179,'Council Entry'!BB$9),'Council Entry'!BB$8),'Council Entry'!BB179))))-'Council Entry'!BB$5)/('Council Entry'!BB$6-'Council Entry'!BB$5),10*((IF('Council Entry'!BB$4="Logarithm",LN(0.001+IF(AND(ISNUMBER('Council Entry'!BB$8),ISNUMBER('Council Entry'!BB$9)),MAX(MIN('Council Entry'!BB179,'Council Entry'!BB$9),'Council Entry'!BB$8),'Council Entry'!BB179)),IF('Council Entry'!BB$4="Exponential",EXP(IF(AND(ISNUMBER('Council Entry'!BB$8),ISNUMBER('Council Entry'!BB$9)),MAX(MIN('Council Entry'!BB179,'Council Entry'!BB$9),'Council Entry'!BB$8),'Council Entry'!BB179)),IF(AND(ISNUMBER('Council Entry'!BB$8),ISNUMBER('Council Entry'!BB$9)),MAX(MIN('Council Entry'!BB179,'Council Entry'!BB$9),'Council Entry'!BB$8),'Council Entry'!BB179))))-'Council Entry'!BB$5)/('Council Entry'!BB$6-'Council Entry'!BB$5)),1))),"No data"))</f>
        <v/>
      </c>
      <c r="BC179" s="13">
        <f>IF('Council Entry'!BC179="","",IFERROR(MAX(0,MIN(10,ROUND(IF('Council Entry'!BC$7="Decrease Risk",10-10*((IF('Council Entry'!BC$4="Logarithm",LN(0.001+IF(AND(ISNUMBER('Council Entry'!BC$8),ISNUMBER('Council Entry'!BC$9)),MAX(MIN('Council Entry'!BC179,'Council Entry'!BC$9),'Council Entry'!BC$8),'Council Entry'!BC179)),IF('Council Entry'!BC$4="Exponential",EXP(IF(AND(ISNUMBER('Council Entry'!BC$8),ISNUMBER('Council Entry'!BC$9)),MAX(MIN('Council Entry'!BC179,'Council Entry'!BC$9),'Council Entry'!BC$8),'Council Entry'!BC179)),IF(AND(ISNUMBER('Council Entry'!BC$8),ISNUMBER('Council Entry'!BC$9)),MAX(MIN('Council Entry'!BC179,'Council Entry'!BC$9),'Council Entry'!BC$8),'Council Entry'!BC179))))-'Council Entry'!BC$5)/('Council Entry'!BC$6-'Council Entry'!BC$5),10*((IF('Council Entry'!BC$4="Logarithm",LN(0.001+IF(AND(ISNUMBER('Council Entry'!BC$8),ISNUMBER('Council Entry'!BC$9)),MAX(MIN('Council Entry'!BC179,'Council Entry'!BC$9),'Council Entry'!BC$8),'Council Entry'!BC179)),IF('Council Entry'!BC$4="Exponential",EXP(IF(AND(ISNUMBER('Council Entry'!BC$8),ISNUMBER('Council Entry'!BC$9)),MAX(MIN('Council Entry'!BC179,'Council Entry'!BC$9),'Council Entry'!BC$8),'Council Entry'!BC179)),IF(AND(ISNUMBER('Council Entry'!BC$8),ISNUMBER('Council Entry'!BC$9)),MAX(MIN('Council Entry'!BC179,'Council Entry'!BC$9),'Council Entry'!BC$8),'Council Entry'!BC179))))-'Council Entry'!BC$5)/('Council Entry'!BC$6-'Council Entry'!BC$5)),1))),"No data"))</f>
        <v/>
      </c>
      <c r="BD179" s="13">
        <f>IF('Council Entry'!BD179="","",IFERROR(MAX(0,MIN(10,ROUND(IF('Council Entry'!BD$7="Decrease Risk",10-10*((IF('Council Entry'!BD$4="Logarithm",LN(0.001+IF(AND(ISNUMBER('Council Entry'!BD$8),ISNUMBER('Council Entry'!BD$9)),MAX(MIN('Council Entry'!BD179,'Council Entry'!BD$9),'Council Entry'!BD$8),'Council Entry'!BD179)),IF('Council Entry'!BD$4="Exponential",EXP(IF(AND(ISNUMBER('Council Entry'!BD$8),ISNUMBER('Council Entry'!BD$9)),MAX(MIN('Council Entry'!BD179,'Council Entry'!BD$9),'Council Entry'!BD$8),'Council Entry'!BD179)),IF(AND(ISNUMBER('Council Entry'!BD$8),ISNUMBER('Council Entry'!BD$9)),MAX(MIN('Council Entry'!BD179,'Council Entry'!BD$9),'Council Entry'!BD$8),'Council Entry'!BD179))))-'Council Entry'!BD$5)/('Council Entry'!BD$6-'Council Entry'!BD$5),10*((IF('Council Entry'!BD$4="Logarithm",LN(0.001+IF(AND(ISNUMBER('Council Entry'!BD$8),ISNUMBER('Council Entry'!BD$9)),MAX(MIN('Council Entry'!BD179,'Council Entry'!BD$9),'Council Entry'!BD$8),'Council Entry'!BD179)),IF('Council Entry'!BD$4="Exponential",EXP(IF(AND(ISNUMBER('Council Entry'!BD$8),ISNUMBER('Council Entry'!BD$9)),MAX(MIN('Council Entry'!BD179,'Council Entry'!BD$9),'Council Entry'!BD$8),'Council Entry'!BD179)),IF(AND(ISNUMBER('Council Entry'!BD$8),ISNUMBER('Council Entry'!BD$9)),MAX(MIN('Council Entry'!BD179,'Council Entry'!BD$9),'Council Entry'!BD$8),'Council Entry'!BD179))))-'Council Entry'!BD$5)/('Council Entry'!BD$6-'Council Entry'!BD$5)),1))),"No data"))</f>
        <v/>
      </c>
    </row>
    <row r="180">
      <c r="A180" t="inlineStr">
        <is>
          <t>Singida</t>
        </is>
      </c>
      <c r="B180" t="inlineStr">
        <is>
          <t>Singida District</t>
        </is>
      </c>
      <c r="C180" t="inlineStr">
        <is>
          <t>C093</t>
        </is>
      </c>
      <c r="D180" s="13">
        <f>IF('Council Entry'!D180="","",IFERROR(MAX(0,MIN(10,ROUND(IF('Council Entry'!D$7="Decrease Risk",10-10*((IF('Council Entry'!D$4="Logarithm",LN(0.001+IF(AND(ISNUMBER('Council Entry'!D$8),ISNUMBER('Council Entry'!D$9)),MAX(MIN('Council Entry'!D180,'Council Entry'!D$9),'Council Entry'!D$8),'Council Entry'!D180)),IF('Council Entry'!D$4="Exponential",EXP(IF(AND(ISNUMBER('Council Entry'!D$8),ISNUMBER('Council Entry'!D$9)),MAX(MIN('Council Entry'!D180,'Council Entry'!D$9),'Council Entry'!D$8),'Council Entry'!D180)),IF(AND(ISNUMBER('Council Entry'!D$8),ISNUMBER('Council Entry'!D$9)),MAX(MIN('Council Entry'!D180,'Council Entry'!D$9),'Council Entry'!D$8),'Council Entry'!D180))))-'Council Entry'!D$5)/('Council Entry'!D$6-'Council Entry'!D$5),10*((IF('Council Entry'!D$4="Logarithm",LN(0.001+IF(AND(ISNUMBER('Council Entry'!D$8),ISNUMBER('Council Entry'!D$9)),MAX(MIN('Council Entry'!D180,'Council Entry'!D$9),'Council Entry'!D$8),'Council Entry'!D180)),IF('Council Entry'!D$4="Exponential",EXP(IF(AND(ISNUMBER('Council Entry'!D$8),ISNUMBER('Council Entry'!D$9)),MAX(MIN('Council Entry'!D180,'Council Entry'!D$9),'Council Entry'!D$8),'Council Entry'!D180)),IF(AND(ISNUMBER('Council Entry'!D$8),ISNUMBER('Council Entry'!D$9)),MAX(MIN('Council Entry'!D180,'Council Entry'!D$9),'Council Entry'!D$8),'Council Entry'!D180))))-'Council Entry'!D$5)/('Council Entry'!D$6-'Council Entry'!D$5)),1))),"No data"))</f>
        <v/>
      </c>
      <c r="E180" s="13">
        <f>IF('Council Entry'!E180="","",IFERROR(MAX(0,MIN(10,ROUND(IF('Council Entry'!E$7="Decrease Risk",10-10*((IF('Council Entry'!E$4="Logarithm",LN(0.001+IF(AND(ISNUMBER('Council Entry'!E$8),ISNUMBER('Council Entry'!E$9)),MAX(MIN('Council Entry'!E180,'Council Entry'!E$9),'Council Entry'!E$8),'Council Entry'!E180)),IF('Council Entry'!E$4="Exponential",EXP(IF(AND(ISNUMBER('Council Entry'!E$8),ISNUMBER('Council Entry'!E$9)),MAX(MIN('Council Entry'!E180,'Council Entry'!E$9),'Council Entry'!E$8),'Council Entry'!E180)),IF(AND(ISNUMBER('Council Entry'!E$8),ISNUMBER('Council Entry'!E$9)),MAX(MIN('Council Entry'!E180,'Council Entry'!E$9),'Council Entry'!E$8),'Council Entry'!E180))))-'Council Entry'!E$5)/('Council Entry'!E$6-'Council Entry'!E$5),10*((IF('Council Entry'!E$4="Logarithm",LN(0.001+IF(AND(ISNUMBER('Council Entry'!E$8),ISNUMBER('Council Entry'!E$9)),MAX(MIN('Council Entry'!E180,'Council Entry'!E$9),'Council Entry'!E$8),'Council Entry'!E180)),IF('Council Entry'!E$4="Exponential",EXP(IF(AND(ISNUMBER('Council Entry'!E$8),ISNUMBER('Council Entry'!E$9)),MAX(MIN('Council Entry'!E180,'Council Entry'!E$9),'Council Entry'!E$8),'Council Entry'!E180)),IF(AND(ISNUMBER('Council Entry'!E$8),ISNUMBER('Council Entry'!E$9)),MAX(MIN('Council Entry'!E180,'Council Entry'!E$9),'Council Entry'!E$8),'Council Entry'!E180))))-'Council Entry'!E$5)/('Council Entry'!E$6-'Council Entry'!E$5)),1))),"No data"))</f>
        <v/>
      </c>
      <c r="F180" s="13">
        <f>IF('Council Entry'!F180="","",IFERROR(MAX(0,MIN(10,ROUND(IF('Council Entry'!F$7="Decrease Risk",10-10*((IF('Council Entry'!F$4="Logarithm",LN(0.001+IF(AND(ISNUMBER('Council Entry'!F$8),ISNUMBER('Council Entry'!F$9)),MAX(MIN('Council Entry'!F180,'Council Entry'!F$9),'Council Entry'!F$8),'Council Entry'!F180)),IF('Council Entry'!F$4="Exponential",EXP(IF(AND(ISNUMBER('Council Entry'!F$8),ISNUMBER('Council Entry'!F$9)),MAX(MIN('Council Entry'!F180,'Council Entry'!F$9),'Council Entry'!F$8),'Council Entry'!F180)),IF(AND(ISNUMBER('Council Entry'!F$8),ISNUMBER('Council Entry'!F$9)),MAX(MIN('Council Entry'!F180,'Council Entry'!F$9),'Council Entry'!F$8),'Council Entry'!F180))))-'Council Entry'!F$5)/('Council Entry'!F$6-'Council Entry'!F$5),10*((IF('Council Entry'!F$4="Logarithm",LN(0.001+IF(AND(ISNUMBER('Council Entry'!F$8),ISNUMBER('Council Entry'!F$9)),MAX(MIN('Council Entry'!F180,'Council Entry'!F$9),'Council Entry'!F$8),'Council Entry'!F180)),IF('Council Entry'!F$4="Exponential",EXP(IF(AND(ISNUMBER('Council Entry'!F$8),ISNUMBER('Council Entry'!F$9)),MAX(MIN('Council Entry'!F180,'Council Entry'!F$9),'Council Entry'!F$8),'Council Entry'!F180)),IF(AND(ISNUMBER('Council Entry'!F$8),ISNUMBER('Council Entry'!F$9)),MAX(MIN('Council Entry'!F180,'Council Entry'!F$9),'Council Entry'!F$8),'Council Entry'!F180))))-'Council Entry'!F$5)/('Council Entry'!F$6-'Council Entry'!F$5)),1))),"No data"))</f>
        <v/>
      </c>
      <c r="G180" s="13">
        <f>IF('Council Entry'!G180="","",IFERROR(MAX(0,MIN(10,ROUND(IF('Council Entry'!G$7="Decrease Risk",10-10*((IF('Council Entry'!G$4="Logarithm",LN(0.001+IF(AND(ISNUMBER('Council Entry'!G$8),ISNUMBER('Council Entry'!G$9)),MAX(MIN('Council Entry'!G180,'Council Entry'!G$9),'Council Entry'!G$8),'Council Entry'!G180)),IF('Council Entry'!G$4="Exponential",EXP(IF(AND(ISNUMBER('Council Entry'!G$8),ISNUMBER('Council Entry'!G$9)),MAX(MIN('Council Entry'!G180,'Council Entry'!G$9),'Council Entry'!G$8),'Council Entry'!G180)),IF(AND(ISNUMBER('Council Entry'!G$8),ISNUMBER('Council Entry'!G$9)),MAX(MIN('Council Entry'!G180,'Council Entry'!G$9),'Council Entry'!G$8),'Council Entry'!G180))))-'Council Entry'!G$5)/('Council Entry'!G$6-'Council Entry'!G$5),10*((IF('Council Entry'!G$4="Logarithm",LN(0.001+IF(AND(ISNUMBER('Council Entry'!G$8),ISNUMBER('Council Entry'!G$9)),MAX(MIN('Council Entry'!G180,'Council Entry'!G$9),'Council Entry'!G$8),'Council Entry'!G180)),IF('Council Entry'!G$4="Exponential",EXP(IF(AND(ISNUMBER('Council Entry'!G$8),ISNUMBER('Council Entry'!G$9)),MAX(MIN('Council Entry'!G180,'Council Entry'!G$9),'Council Entry'!G$8),'Council Entry'!G180)),IF(AND(ISNUMBER('Council Entry'!G$8),ISNUMBER('Council Entry'!G$9)),MAX(MIN('Council Entry'!G180,'Council Entry'!G$9),'Council Entry'!G$8),'Council Entry'!G180))))-'Council Entry'!G$5)/('Council Entry'!G$6-'Council Entry'!G$5)),1))),"No data"))</f>
        <v/>
      </c>
      <c r="H180" s="13">
        <f>IF('Council Entry'!H180="","",IFERROR(MAX(0,MIN(10,ROUND(IF('Council Entry'!H$7="Decrease Risk",10-10*((IF('Council Entry'!H$4="Logarithm",LN(0.001+IF(AND(ISNUMBER('Council Entry'!H$8),ISNUMBER('Council Entry'!H$9)),MAX(MIN('Council Entry'!H180,'Council Entry'!H$9),'Council Entry'!H$8),'Council Entry'!H180)),IF('Council Entry'!H$4="Exponential",EXP(IF(AND(ISNUMBER('Council Entry'!H$8),ISNUMBER('Council Entry'!H$9)),MAX(MIN('Council Entry'!H180,'Council Entry'!H$9),'Council Entry'!H$8),'Council Entry'!H180)),IF(AND(ISNUMBER('Council Entry'!H$8),ISNUMBER('Council Entry'!H$9)),MAX(MIN('Council Entry'!H180,'Council Entry'!H$9),'Council Entry'!H$8),'Council Entry'!H180))))-'Council Entry'!H$5)/('Council Entry'!H$6-'Council Entry'!H$5),10*((IF('Council Entry'!H$4="Logarithm",LN(0.001+IF(AND(ISNUMBER('Council Entry'!H$8),ISNUMBER('Council Entry'!H$9)),MAX(MIN('Council Entry'!H180,'Council Entry'!H$9),'Council Entry'!H$8),'Council Entry'!H180)),IF('Council Entry'!H$4="Exponential",EXP(IF(AND(ISNUMBER('Council Entry'!H$8),ISNUMBER('Council Entry'!H$9)),MAX(MIN('Council Entry'!H180,'Council Entry'!H$9),'Council Entry'!H$8),'Council Entry'!H180)),IF(AND(ISNUMBER('Council Entry'!H$8),ISNUMBER('Council Entry'!H$9)),MAX(MIN('Council Entry'!H180,'Council Entry'!H$9),'Council Entry'!H$8),'Council Entry'!H180))))-'Council Entry'!H$5)/('Council Entry'!H$6-'Council Entry'!H$5)),1))),"No data"))</f>
        <v/>
      </c>
      <c r="I180" s="13">
        <f>IF('Council Entry'!I180="","",IFERROR(MAX(0,MIN(10,ROUND(IF('Council Entry'!I$7="Decrease Risk",10-10*((IF('Council Entry'!I$4="Logarithm",LN(0.001+IF(AND(ISNUMBER('Council Entry'!I$8),ISNUMBER('Council Entry'!I$9)),MAX(MIN('Council Entry'!I180,'Council Entry'!I$9),'Council Entry'!I$8),'Council Entry'!I180)),IF('Council Entry'!I$4="Exponential",EXP(IF(AND(ISNUMBER('Council Entry'!I$8),ISNUMBER('Council Entry'!I$9)),MAX(MIN('Council Entry'!I180,'Council Entry'!I$9),'Council Entry'!I$8),'Council Entry'!I180)),IF(AND(ISNUMBER('Council Entry'!I$8),ISNUMBER('Council Entry'!I$9)),MAX(MIN('Council Entry'!I180,'Council Entry'!I$9),'Council Entry'!I$8),'Council Entry'!I180))))-'Council Entry'!I$5)/('Council Entry'!I$6-'Council Entry'!I$5),10*((IF('Council Entry'!I$4="Logarithm",LN(0.001+IF(AND(ISNUMBER('Council Entry'!I$8),ISNUMBER('Council Entry'!I$9)),MAX(MIN('Council Entry'!I180,'Council Entry'!I$9),'Council Entry'!I$8),'Council Entry'!I180)),IF('Council Entry'!I$4="Exponential",EXP(IF(AND(ISNUMBER('Council Entry'!I$8),ISNUMBER('Council Entry'!I$9)),MAX(MIN('Council Entry'!I180,'Council Entry'!I$9),'Council Entry'!I$8),'Council Entry'!I180)),IF(AND(ISNUMBER('Council Entry'!I$8),ISNUMBER('Council Entry'!I$9)),MAX(MIN('Council Entry'!I180,'Council Entry'!I$9),'Council Entry'!I$8),'Council Entry'!I180))))-'Council Entry'!I$5)/('Council Entry'!I$6-'Council Entry'!I$5)),1))),"No data"))</f>
        <v/>
      </c>
      <c r="J180" s="13">
        <f>IF('Council Entry'!J180="","",IFERROR(MAX(0,MIN(10,ROUND(IF('Council Entry'!J$7="Decrease Risk",10-10*((IF('Council Entry'!J$4="Logarithm",LN(0.001+IF(AND(ISNUMBER('Council Entry'!J$8),ISNUMBER('Council Entry'!J$9)),MAX(MIN('Council Entry'!J180,'Council Entry'!J$9),'Council Entry'!J$8),'Council Entry'!J180)),IF('Council Entry'!J$4="Exponential",EXP(IF(AND(ISNUMBER('Council Entry'!J$8),ISNUMBER('Council Entry'!J$9)),MAX(MIN('Council Entry'!J180,'Council Entry'!J$9),'Council Entry'!J$8),'Council Entry'!J180)),IF(AND(ISNUMBER('Council Entry'!J$8),ISNUMBER('Council Entry'!J$9)),MAX(MIN('Council Entry'!J180,'Council Entry'!J$9),'Council Entry'!J$8),'Council Entry'!J180))))-'Council Entry'!J$5)/('Council Entry'!J$6-'Council Entry'!J$5),10*((IF('Council Entry'!J$4="Logarithm",LN(0.001+IF(AND(ISNUMBER('Council Entry'!J$8),ISNUMBER('Council Entry'!J$9)),MAX(MIN('Council Entry'!J180,'Council Entry'!J$9),'Council Entry'!J$8),'Council Entry'!J180)),IF('Council Entry'!J$4="Exponential",EXP(IF(AND(ISNUMBER('Council Entry'!J$8),ISNUMBER('Council Entry'!J$9)),MAX(MIN('Council Entry'!J180,'Council Entry'!J$9),'Council Entry'!J$8),'Council Entry'!J180)),IF(AND(ISNUMBER('Council Entry'!J$8),ISNUMBER('Council Entry'!J$9)),MAX(MIN('Council Entry'!J180,'Council Entry'!J$9),'Council Entry'!J$8),'Council Entry'!J180))))-'Council Entry'!J$5)/('Council Entry'!J$6-'Council Entry'!J$5)),1))),"No data"))</f>
        <v/>
      </c>
      <c r="K180" s="13">
        <f>IF('Council Entry'!K180="","",IFERROR(MAX(0,MIN(10,ROUND(IF('Council Entry'!K$7="Decrease Risk",10-10*((IF('Council Entry'!K$4="Logarithm",LN(0.001+IF(AND(ISNUMBER('Council Entry'!K$8),ISNUMBER('Council Entry'!K$9)),MAX(MIN('Council Entry'!K180,'Council Entry'!K$9),'Council Entry'!K$8),'Council Entry'!K180)),IF('Council Entry'!K$4="Exponential",EXP(IF(AND(ISNUMBER('Council Entry'!K$8),ISNUMBER('Council Entry'!K$9)),MAX(MIN('Council Entry'!K180,'Council Entry'!K$9),'Council Entry'!K$8),'Council Entry'!K180)),IF(AND(ISNUMBER('Council Entry'!K$8),ISNUMBER('Council Entry'!K$9)),MAX(MIN('Council Entry'!K180,'Council Entry'!K$9),'Council Entry'!K$8),'Council Entry'!K180))))-'Council Entry'!K$5)/('Council Entry'!K$6-'Council Entry'!K$5),10*((IF('Council Entry'!K$4="Logarithm",LN(0.001+IF(AND(ISNUMBER('Council Entry'!K$8),ISNUMBER('Council Entry'!K$9)),MAX(MIN('Council Entry'!K180,'Council Entry'!K$9),'Council Entry'!K$8),'Council Entry'!K180)),IF('Council Entry'!K$4="Exponential",EXP(IF(AND(ISNUMBER('Council Entry'!K$8),ISNUMBER('Council Entry'!K$9)),MAX(MIN('Council Entry'!K180,'Council Entry'!K$9),'Council Entry'!K$8),'Council Entry'!K180)),IF(AND(ISNUMBER('Council Entry'!K$8),ISNUMBER('Council Entry'!K$9)),MAX(MIN('Council Entry'!K180,'Council Entry'!K$9),'Council Entry'!K$8),'Council Entry'!K180))))-'Council Entry'!K$5)/('Council Entry'!K$6-'Council Entry'!K$5)),1))),"No data"))</f>
        <v/>
      </c>
      <c r="L180" s="13">
        <f>IF('Council Entry'!L180="","",IFERROR(MAX(0,MIN(10,ROUND(IF('Council Entry'!L$7="Decrease Risk",10-10*((IF('Council Entry'!L$4="Logarithm",LN(0.001+IF(AND(ISNUMBER('Council Entry'!L$8),ISNUMBER('Council Entry'!L$9)),MAX(MIN('Council Entry'!L180,'Council Entry'!L$9),'Council Entry'!L$8),'Council Entry'!L180)),IF('Council Entry'!L$4="Exponential",EXP(IF(AND(ISNUMBER('Council Entry'!L$8),ISNUMBER('Council Entry'!L$9)),MAX(MIN('Council Entry'!L180,'Council Entry'!L$9),'Council Entry'!L$8),'Council Entry'!L180)),IF(AND(ISNUMBER('Council Entry'!L$8),ISNUMBER('Council Entry'!L$9)),MAX(MIN('Council Entry'!L180,'Council Entry'!L$9),'Council Entry'!L$8),'Council Entry'!L180))))-'Council Entry'!L$5)/('Council Entry'!L$6-'Council Entry'!L$5),10*((IF('Council Entry'!L$4="Logarithm",LN(0.001+IF(AND(ISNUMBER('Council Entry'!L$8),ISNUMBER('Council Entry'!L$9)),MAX(MIN('Council Entry'!L180,'Council Entry'!L$9),'Council Entry'!L$8),'Council Entry'!L180)),IF('Council Entry'!L$4="Exponential",EXP(IF(AND(ISNUMBER('Council Entry'!L$8),ISNUMBER('Council Entry'!L$9)),MAX(MIN('Council Entry'!L180,'Council Entry'!L$9),'Council Entry'!L$8),'Council Entry'!L180)),IF(AND(ISNUMBER('Council Entry'!L$8),ISNUMBER('Council Entry'!L$9)),MAX(MIN('Council Entry'!L180,'Council Entry'!L$9),'Council Entry'!L$8),'Council Entry'!L180))))-'Council Entry'!L$5)/('Council Entry'!L$6-'Council Entry'!L$5)),1))),"No data"))</f>
        <v/>
      </c>
      <c r="M180" s="13">
        <f>IF('Council Entry'!M180="","",IFERROR(MAX(0,MIN(10,ROUND(IF('Council Entry'!M$7="Decrease Risk",10-10*((IF('Council Entry'!M$4="Logarithm",LN(0.001+IF(AND(ISNUMBER('Council Entry'!M$8),ISNUMBER('Council Entry'!M$9)),MAX(MIN('Council Entry'!M180,'Council Entry'!M$9),'Council Entry'!M$8),'Council Entry'!M180)),IF('Council Entry'!M$4="Exponential",EXP(IF(AND(ISNUMBER('Council Entry'!M$8),ISNUMBER('Council Entry'!M$9)),MAX(MIN('Council Entry'!M180,'Council Entry'!M$9),'Council Entry'!M$8),'Council Entry'!M180)),IF(AND(ISNUMBER('Council Entry'!M$8),ISNUMBER('Council Entry'!M$9)),MAX(MIN('Council Entry'!M180,'Council Entry'!M$9),'Council Entry'!M$8),'Council Entry'!M180))))-'Council Entry'!M$5)/('Council Entry'!M$6-'Council Entry'!M$5),10*((IF('Council Entry'!M$4="Logarithm",LN(0.001+IF(AND(ISNUMBER('Council Entry'!M$8),ISNUMBER('Council Entry'!M$9)),MAX(MIN('Council Entry'!M180,'Council Entry'!M$9),'Council Entry'!M$8),'Council Entry'!M180)),IF('Council Entry'!M$4="Exponential",EXP(IF(AND(ISNUMBER('Council Entry'!M$8),ISNUMBER('Council Entry'!M$9)),MAX(MIN('Council Entry'!M180,'Council Entry'!M$9),'Council Entry'!M$8),'Council Entry'!M180)),IF(AND(ISNUMBER('Council Entry'!M$8),ISNUMBER('Council Entry'!M$9)),MAX(MIN('Council Entry'!M180,'Council Entry'!M$9),'Council Entry'!M$8),'Council Entry'!M180))))-'Council Entry'!M$5)/('Council Entry'!M$6-'Council Entry'!M$5)),1))),"No data"))</f>
        <v/>
      </c>
      <c r="N180" s="13">
        <f>IF('Council Entry'!N180="","",IFERROR(MAX(0,MIN(10,ROUND(IF('Council Entry'!N$7="Decrease Risk",10-10*((IF('Council Entry'!N$4="Logarithm",LN(0.001+IF(AND(ISNUMBER('Council Entry'!N$8),ISNUMBER('Council Entry'!N$9)),MAX(MIN('Council Entry'!N180,'Council Entry'!N$9),'Council Entry'!N$8),'Council Entry'!N180)),IF('Council Entry'!N$4="Exponential",EXP(IF(AND(ISNUMBER('Council Entry'!N$8),ISNUMBER('Council Entry'!N$9)),MAX(MIN('Council Entry'!N180,'Council Entry'!N$9),'Council Entry'!N$8),'Council Entry'!N180)),IF(AND(ISNUMBER('Council Entry'!N$8),ISNUMBER('Council Entry'!N$9)),MAX(MIN('Council Entry'!N180,'Council Entry'!N$9),'Council Entry'!N$8),'Council Entry'!N180))))-'Council Entry'!N$5)/('Council Entry'!N$6-'Council Entry'!N$5),10*((IF('Council Entry'!N$4="Logarithm",LN(0.001+IF(AND(ISNUMBER('Council Entry'!N$8),ISNUMBER('Council Entry'!N$9)),MAX(MIN('Council Entry'!N180,'Council Entry'!N$9),'Council Entry'!N$8),'Council Entry'!N180)),IF('Council Entry'!N$4="Exponential",EXP(IF(AND(ISNUMBER('Council Entry'!N$8),ISNUMBER('Council Entry'!N$9)),MAX(MIN('Council Entry'!N180,'Council Entry'!N$9),'Council Entry'!N$8),'Council Entry'!N180)),IF(AND(ISNUMBER('Council Entry'!N$8),ISNUMBER('Council Entry'!N$9)),MAX(MIN('Council Entry'!N180,'Council Entry'!N$9),'Council Entry'!N$8),'Council Entry'!N180))))-'Council Entry'!N$5)/('Council Entry'!N$6-'Council Entry'!N$5)),1))),"No data"))</f>
        <v/>
      </c>
      <c r="O180" s="13">
        <f>IF('Council Entry'!O180="","",IFERROR(MAX(0,MIN(10,ROUND(IF('Council Entry'!O$7="Decrease Risk",10-10*((IF('Council Entry'!O$4="Logarithm",LN(0.001+IF(AND(ISNUMBER('Council Entry'!O$8),ISNUMBER('Council Entry'!O$9)),MAX(MIN('Council Entry'!O180,'Council Entry'!O$9),'Council Entry'!O$8),'Council Entry'!O180)),IF('Council Entry'!O$4="Exponential",EXP(IF(AND(ISNUMBER('Council Entry'!O$8),ISNUMBER('Council Entry'!O$9)),MAX(MIN('Council Entry'!O180,'Council Entry'!O$9),'Council Entry'!O$8),'Council Entry'!O180)),IF(AND(ISNUMBER('Council Entry'!O$8),ISNUMBER('Council Entry'!O$9)),MAX(MIN('Council Entry'!O180,'Council Entry'!O$9),'Council Entry'!O$8),'Council Entry'!O180))))-'Council Entry'!O$5)/('Council Entry'!O$6-'Council Entry'!O$5),10*((IF('Council Entry'!O$4="Logarithm",LN(0.001+IF(AND(ISNUMBER('Council Entry'!O$8),ISNUMBER('Council Entry'!O$9)),MAX(MIN('Council Entry'!O180,'Council Entry'!O$9),'Council Entry'!O$8),'Council Entry'!O180)),IF('Council Entry'!O$4="Exponential",EXP(IF(AND(ISNUMBER('Council Entry'!O$8),ISNUMBER('Council Entry'!O$9)),MAX(MIN('Council Entry'!O180,'Council Entry'!O$9),'Council Entry'!O$8),'Council Entry'!O180)),IF(AND(ISNUMBER('Council Entry'!O$8),ISNUMBER('Council Entry'!O$9)),MAX(MIN('Council Entry'!O180,'Council Entry'!O$9),'Council Entry'!O$8),'Council Entry'!O180))))-'Council Entry'!O$5)/('Council Entry'!O$6-'Council Entry'!O$5)),1))),"No data"))</f>
        <v/>
      </c>
      <c r="P180" s="13">
        <f>IF('Council Entry'!P180="","",IFERROR(MAX(0,MIN(10,ROUND(IF('Council Entry'!P$7="Decrease Risk",10-10*((IF('Council Entry'!P$4="Logarithm",LN(0.001+IF(AND(ISNUMBER('Council Entry'!P$8),ISNUMBER('Council Entry'!P$9)),MAX(MIN('Council Entry'!P180,'Council Entry'!P$9),'Council Entry'!P$8),'Council Entry'!P180)),IF('Council Entry'!P$4="Exponential",EXP(IF(AND(ISNUMBER('Council Entry'!P$8),ISNUMBER('Council Entry'!P$9)),MAX(MIN('Council Entry'!P180,'Council Entry'!P$9),'Council Entry'!P$8),'Council Entry'!P180)),IF(AND(ISNUMBER('Council Entry'!P$8),ISNUMBER('Council Entry'!P$9)),MAX(MIN('Council Entry'!P180,'Council Entry'!P$9),'Council Entry'!P$8),'Council Entry'!P180))))-'Council Entry'!P$5)/('Council Entry'!P$6-'Council Entry'!P$5),10*((IF('Council Entry'!P$4="Logarithm",LN(0.001+IF(AND(ISNUMBER('Council Entry'!P$8),ISNUMBER('Council Entry'!P$9)),MAX(MIN('Council Entry'!P180,'Council Entry'!P$9),'Council Entry'!P$8),'Council Entry'!P180)),IF('Council Entry'!P$4="Exponential",EXP(IF(AND(ISNUMBER('Council Entry'!P$8),ISNUMBER('Council Entry'!P$9)),MAX(MIN('Council Entry'!P180,'Council Entry'!P$9),'Council Entry'!P$8),'Council Entry'!P180)),IF(AND(ISNUMBER('Council Entry'!P$8),ISNUMBER('Council Entry'!P$9)),MAX(MIN('Council Entry'!P180,'Council Entry'!P$9),'Council Entry'!P$8),'Council Entry'!P180))))-'Council Entry'!P$5)/('Council Entry'!P$6-'Council Entry'!P$5)),1))),"No data"))</f>
        <v/>
      </c>
      <c r="Q180" s="13">
        <f>IF('Council Entry'!Q180="","",IFERROR(MAX(0,MIN(10,ROUND(IF('Council Entry'!Q$7="Decrease Risk",10-10*((IF('Council Entry'!Q$4="Logarithm",LN(0.001+IF(AND(ISNUMBER('Council Entry'!Q$8),ISNUMBER('Council Entry'!Q$9)),MAX(MIN('Council Entry'!Q180,'Council Entry'!Q$9),'Council Entry'!Q$8),'Council Entry'!Q180)),IF('Council Entry'!Q$4="Exponential",EXP(IF(AND(ISNUMBER('Council Entry'!Q$8),ISNUMBER('Council Entry'!Q$9)),MAX(MIN('Council Entry'!Q180,'Council Entry'!Q$9),'Council Entry'!Q$8),'Council Entry'!Q180)),IF(AND(ISNUMBER('Council Entry'!Q$8),ISNUMBER('Council Entry'!Q$9)),MAX(MIN('Council Entry'!Q180,'Council Entry'!Q$9),'Council Entry'!Q$8),'Council Entry'!Q180))))-'Council Entry'!Q$5)/('Council Entry'!Q$6-'Council Entry'!Q$5),10*((IF('Council Entry'!Q$4="Logarithm",LN(0.001+IF(AND(ISNUMBER('Council Entry'!Q$8),ISNUMBER('Council Entry'!Q$9)),MAX(MIN('Council Entry'!Q180,'Council Entry'!Q$9),'Council Entry'!Q$8),'Council Entry'!Q180)),IF('Council Entry'!Q$4="Exponential",EXP(IF(AND(ISNUMBER('Council Entry'!Q$8),ISNUMBER('Council Entry'!Q$9)),MAX(MIN('Council Entry'!Q180,'Council Entry'!Q$9),'Council Entry'!Q$8),'Council Entry'!Q180)),IF(AND(ISNUMBER('Council Entry'!Q$8),ISNUMBER('Council Entry'!Q$9)),MAX(MIN('Council Entry'!Q180,'Council Entry'!Q$9),'Council Entry'!Q$8),'Council Entry'!Q180))))-'Council Entry'!Q$5)/('Council Entry'!Q$6-'Council Entry'!Q$5)),1))),"No data"))</f>
        <v/>
      </c>
      <c r="R180" s="13">
        <f>IF('Council Entry'!R180="","",IFERROR(MAX(0,MIN(10,ROUND(IF('Council Entry'!R$7="Decrease Risk",10-10*((IF('Council Entry'!R$4="Logarithm",LN(0.001+IF(AND(ISNUMBER('Council Entry'!R$8),ISNUMBER('Council Entry'!R$9)),MAX(MIN('Council Entry'!R180,'Council Entry'!R$9),'Council Entry'!R$8),'Council Entry'!R180)),IF('Council Entry'!R$4="Exponential",EXP(IF(AND(ISNUMBER('Council Entry'!R$8),ISNUMBER('Council Entry'!R$9)),MAX(MIN('Council Entry'!R180,'Council Entry'!R$9),'Council Entry'!R$8),'Council Entry'!R180)),IF(AND(ISNUMBER('Council Entry'!R$8),ISNUMBER('Council Entry'!R$9)),MAX(MIN('Council Entry'!R180,'Council Entry'!R$9),'Council Entry'!R$8),'Council Entry'!R180))))-'Council Entry'!R$5)/('Council Entry'!R$6-'Council Entry'!R$5),10*((IF('Council Entry'!R$4="Logarithm",LN(0.001+IF(AND(ISNUMBER('Council Entry'!R$8),ISNUMBER('Council Entry'!R$9)),MAX(MIN('Council Entry'!R180,'Council Entry'!R$9),'Council Entry'!R$8),'Council Entry'!R180)),IF('Council Entry'!R$4="Exponential",EXP(IF(AND(ISNUMBER('Council Entry'!R$8),ISNUMBER('Council Entry'!R$9)),MAX(MIN('Council Entry'!R180,'Council Entry'!R$9),'Council Entry'!R$8),'Council Entry'!R180)),IF(AND(ISNUMBER('Council Entry'!R$8),ISNUMBER('Council Entry'!R$9)),MAX(MIN('Council Entry'!R180,'Council Entry'!R$9),'Council Entry'!R$8),'Council Entry'!R180))))-'Council Entry'!R$5)/('Council Entry'!R$6-'Council Entry'!R$5)),1))),"No data"))</f>
        <v/>
      </c>
      <c r="S180" s="13">
        <f>IF('Council Entry'!S180="","",IFERROR(MAX(0,MIN(10,ROUND(IF('Council Entry'!S$7="Decrease Risk",10-10*((IF('Council Entry'!S$4="Logarithm",LN(0.001+IF(AND(ISNUMBER('Council Entry'!S$8),ISNUMBER('Council Entry'!S$9)),MAX(MIN('Council Entry'!S180,'Council Entry'!S$9),'Council Entry'!S$8),'Council Entry'!S180)),IF('Council Entry'!S$4="Exponential",EXP(IF(AND(ISNUMBER('Council Entry'!S$8),ISNUMBER('Council Entry'!S$9)),MAX(MIN('Council Entry'!S180,'Council Entry'!S$9),'Council Entry'!S$8),'Council Entry'!S180)),IF(AND(ISNUMBER('Council Entry'!S$8),ISNUMBER('Council Entry'!S$9)),MAX(MIN('Council Entry'!S180,'Council Entry'!S$9),'Council Entry'!S$8),'Council Entry'!S180))))-'Council Entry'!S$5)/('Council Entry'!S$6-'Council Entry'!S$5),10*((IF('Council Entry'!S$4="Logarithm",LN(0.001+IF(AND(ISNUMBER('Council Entry'!S$8),ISNUMBER('Council Entry'!S$9)),MAX(MIN('Council Entry'!S180,'Council Entry'!S$9),'Council Entry'!S$8),'Council Entry'!S180)),IF('Council Entry'!S$4="Exponential",EXP(IF(AND(ISNUMBER('Council Entry'!S$8),ISNUMBER('Council Entry'!S$9)),MAX(MIN('Council Entry'!S180,'Council Entry'!S$9),'Council Entry'!S$8),'Council Entry'!S180)),IF(AND(ISNUMBER('Council Entry'!S$8),ISNUMBER('Council Entry'!S$9)),MAX(MIN('Council Entry'!S180,'Council Entry'!S$9),'Council Entry'!S$8),'Council Entry'!S180))))-'Council Entry'!S$5)/('Council Entry'!S$6-'Council Entry'!S$5)),1))),"No data"))</f>
        <v/>
      </c>
      <c r="T180" s="13">
        <f>IF('Council Entry'!T180="","",IFERROR(MAX(0,MIN(10,ROUND(IF('Council Entry'!T$7="Decrease Risk",10-10*((IF('Council Entry'!T$4="Logarithm",LN(0.001+IF(AND(ISNUMBER('Council Entry'!T$8),ISNUMBER('Council Entry'!T$9)),MAX(MIN('Council Entry'!T180,'Council Entry'!T$9),'Council Entry'!T$8),'Council Entry'!T180)),IF('Council Entry'!T$4="Exponential",EXP(IF(AND(ISNUMBER('Council Entry'!T$8),ISNUMBER('Council Entry'!T$9)),MAX(MIN('Council Entry'!T180,'Council Entry'!T$9),'Council Entry'!T$8),'Council Entry'!T180)),IF(AND(ISNUMBER('Council Entry'!T$8),ISNUMBER('Council Entry'!T$9)),MAX(MIN('Council Entry'!T180,'Council Entry'!T$9),'Council Entry'!T$8),'Council Entry'!T180))))-'Council Entry'!T$5)/('Council Entry'!T$6-'Council Entry'!T$5),10*((IF('Council Entry'!T$4="Logarithm",LN(0.001+IF(AND(ISNUMBER('Council Entry'!T$8),ISNUMBER('Council Entry'!T$9)),MAX(MIN('Council Entry'!T180,'Council Entry'!T$9),'Council Entry'!T$8),'Council Entry'!T180)),IF('Council Entry'!T$4="Exponential",EXP(IF(AND(ISNUMBER('Council Entry'!T$8),ISNUMBER('Council Entry'!T$9)),MAX(MIN('Council Entry'!T180,'Council Entry'!T$9),'Council Entry'!T$8),'Council Entry'!T180)),IF(AND(ISNUMBER('Council Entry'!T$8),ISNUMBER('Council Entry'!T$9)),MAX(MIN('Council Entry'!T180,'Council Entry'!T$9),'Council Entry'!T$8),'Council Entry'!T180))))-'Council Entry'!T$5)/('Council Entry'!T$6-'Council Entry'!T$5)),1))),"No data"))</f>
        <v/>
      </c>
      <c r="U180" s="13">
        <f>IF('Council Entry'!U180="","",IFERROR(MAX(0,MIN(10,ROUND(IF('Council Entry'!U$7="Decrease Risk",10-10*((IF('Council Entry'!U$4="Logarithm",LN(0.001+IF(AND(ISNUMBER('Council Entry'!U$8),ISNUMBER('Council Entry'!U$9)),MAX(MIN('Council Entry'!U180,'Council Entry'!U$9),'Council Entry'!U$8),'Council Entry'!U180)),IF('Council Entry'!U$4="Exponential",EXP(IF(AND(ISNUMBER('Council Entry'!U$8),ISNUMBER('Council Entry'!U$9)),MAX(MIN('Council Entry'!U180,'Council Entry'!U$9),'Council Entry'!U$8),'Council Entry'!U180)),IF(AND(ISNUMBER('Council Entry'!U$8),ISNUMBER('Council Entry'!U$9)),MAX(MIN('Council Entry'!U180,'Council Entry'!U$9),'Council Entry'!U$8),'Council Entry'!U180))))-'Council Entry'!U$5)/('Council Entry'!U$6-'Council Entry'!U$5),10*((IF('Council Entry'!U$4="Logarithm",LN(0.001+IF(AND(ISNUMBER('Council Entry'!U$8),ISNUMBER('Council Entry'!U$9)),MAX(MIN('Council Entry'!U180,'Council Entry'!U$9),'Council Entry'!U$8),'Council Entry'!U180)),IF('Council Entry'!U$4="Exponential",EXP(IF(AND(ISNUMBER('Council Entry'!U$8),ISNUMBER('Council Entry'!U$9)),MAX(MIN('Council Entry'!U180,'Council Entry'!U$9),'Council Entry'!U$8),'Council Entry'!U180)),IF(AND(ISNUMBER('Council Entry'!U$8),ISNUMBER('Council Entry'!U$9)),MAX(MIN('Council Entry'!U180,'Council Entry'!U$9),'Council Entry'!U$8),'Council Entry'!U180))))-'Council Entry'!U$5)/('Council Entry'!U$6-'Council Entry'!U$5)),1))),"No data"))</f>
        <v/>
      </c>
      <c r="V180" s="13">
        <f>IF('Council Entry'!V180="","",IFERROR(MAX(0,MIN(10,ROUND(IF('Council Entry'!V$7="Decrease Risk",10-10*((IF('Council Entry'!V$4="Logarithm",LN(0.001+IF(AND(ISNUMBER('Council Entry'!V$8),ISNUMBER('Council Entry'!V$9)),MAX(MIN('Council Entry'!V180,'Council Entry'!V$9),'Council Entry'!V$8),'Council Entry'!V180)),IF('Council Entry'!V$4="Exponential",EXP(IF(AND(ISNUMBER('Council Entry'!V$8),ISNUMBER('Council Entry'!V$9)),MAX(MIN('Council Entry'!V180,'Council Entry'!V$9),'Council Entry'!V$8),'Council Entry'!V180)),IF(AND(ISNUMBER('Council Entry'!V$8),ISNUMBER('Council Entry'!V$9)),MAX(MIN('Council Entry'!V180,'Council Entry'!V$9),'Council Entry'!V$8),'Council Entry'!V180))))-'Council Entry'!V$5)/('Council Entry'!V$6-'Council Entry'!V$5),10*((IF('Council Entry'!V$4="Logarithm",LN(0.001+IF(AND(ISNUMBER('Council Entry'!V$8),ISNUMBER('Council Entry'!V$9)),MAX(MIN('Council Entry'!V180,'Council Entry'!V$9),'Council Entry'!V$8),'Council Entry'!V180)),IF('Council Entry'!V$4="Exponential",EXP(IF(AND(ISNUMBER('Council Entry'!V$8),ISNUMBER('Council Entry'!V$9)),MAX(MIN('Council Entry'!V180,'Council Entry'!V$9),'Council Entry'!V$8),'Council Entry'!V180)),IF(AND(ISNUMBER('Council Entry'!V$8),ISNUMBER('Council Entry'!V$9)),MAX(MIN('Council Entry'!V180,'Council Entry'!V$9),'Council Entry'!V$8),'Council Entry'!V180))))-'Council Entry'!V$5)/('Council Entry'!V$6-'Council Entry'!V$5)),1))),"No data"))</f>
        <v/>
      </c>
      <c r="W180" s="13">
        <f>IF('Council Entry'!W180="","",IFERROR(MAX(0,MIN(10,ROUND(IF('Council Entry'!W$7="Decrease Risk",10-10*((IF('Council Entry'!W$4="Logarithm",LN(0.001+IF(AND(ISNUMBER('Council Entry'!W$8),ISNUMBER('Council Entry'!W$9)),MAX(MIN('Council Entry'!W180,'Council Entry'!W$9),'Council Entry'!W$8),'Council Entry'!W180)),IF('Council Entry'!W$4="Exponential",EXP(IF(AND(ISNUMBER('Council Entry'!W$8),ISNUMBER('Council Entry'!W$9)),MAX(MIN('Council Entry'!W180,'Council Entry'!W$9),'Council Entry'!W$8),'Council Entry'!W180)),IF(AND(ISNUMBER('Council Entry'!W$8),ISNUMBER('Council Entry'!W$9)),MAX(MIN('Council Entry'!W180,'Council Entry'!W$9),'Council Entry'!W$8),'Council Entry'!W180))))-'Council Entry'!W$5)/('Council Entry'!W$6-'Council Entry'!W$5),10*((IF('Council Entry'!W$4="Logarithm",LN(0.001+IF(AND(ISNUMBER('Council Entry'!W$8),ISNUMBER('Council Entry'!W$9)),MAX(MIN('Council Entry'!W180,'Council Entry'!W$9),'Council Entry'!W$8),'Council Entry'!W180)),IF('Council Entry'!W$4="Exponential",EXP(IF(AND(ISNUMBER('Council Entry'!W$8),ISNUMBER('Council Entry'!W$9)),MAX(MIN('Council Entry'!W180,'Council Entry'!W$9),'Council Entry'!W$8),'Council Entry'!W180)),IF(AND(ISNUMBER('Council Entry'!W$8),ISNUMBER('Council Entry'!W$9)),MAX(MIN('Council Entry'!W180,'Council Entry'!W$9),'Council Entry'!W$8),'Council Entry'!W180))))-'Council Entry'!W$5)/('Council Entry'!W$6-'Council Entry'!W$5)),1))),"No data"))</f>
        <v/>
      </c>
      <c r="X180" s="13">
        <f>IF('Council Entry'!X180="","",IFERROR(MAX(0,MIN(10,ROUND(IF('Council Entry'!X$7="Decrease Risk",10-10*((IF('Council Entry'!X$4="Logarithm",LN(0.001+IF(AND(ISNUMBER('Council Entry'!X$8),ISNUMBER('Council Entry'!X$9)),MAX(MIN('Council Entry'!X180,'Council Entry'!X$9),'Council Entry'!X$8),'Council Entry'!X180)),IF('Council Entry'!X$4="Exponential",EXP(IF(AND(ISNUMBER('Council Entry'!X$8),ISNUMBER('Council Entry'!X$9)),MAX(MIN('Council Entry'!X180,'Council Entry'!X$9),'Council Entry'!X$8),'Council Entry'!X180)),IF(AND(ISNUMBER('Council Entry'!X$8),ISNUMBER('Council Entry'!X$9)),MAX(MIN('Council Entry'!X180,'Council Entry'!X$9),'Council Entry'!X$8),'Council Entry'!X180))))-'Council Entry'!X$5)/('Council Entry'!X$6-'Council Entry'!X$5),10*((IF('Council Entry'!X$4="Logarithm",LN(0.001+IF(AND(ISNUMBER('Council Entry'!X$8),ISNUMBER('Council Entry'!X$9)),MAX(MIN('Council Entry'!X180,'Council Entry'!X$9),'Council Entry'!X$8),'Council Entry'!X180)),IF('Council Entry'!X$4="Exponential",EXP(IF(AND(ISNUMBER('Council Entry'!X$8),ISNUMBER('Council Entry'!X$9)),MAX(MIN('Council Entry'!X180,'Council Entry'!X$9),'Council Entry'!X$8),'Council Entry'!X180)),IF(AND(ISNUMBER('Council Entry'!X$8),ISNUMBER('Council Entry'!X$9)),MAX(MIN('Council Entry'!X180,'Council Entry'!X$9),'Council Entry'!X$8),'Council Entry'!X180))))-'Council Entry'!X$5)/('Council Entry'!X$6-'Council Entry'!X$5)),1))),"No data"))</f>
        <v/>
      </c>
      <c r="Y180" s="13">
        <f>IF('Council Entry'!Y180="","",IFERROR(MAX(0,MIN(10,ROUND(IF('Council Entry'!Y$7="Decrease Risk",10-10*((IF('Council Entry'!Y$4="Logarithm",LN(0.001+IF(AND(ISNUMBER('Council Entry'!Y$8),ISNUMBER('Council Entry'!Y$9)),MAX(MIN('Council Entry'!Y180,'Council Entry'!Y$9),'Council Entry'!Y$8),'Council Entry'!Y180)),IF('Council Entry'!Y$4="Exponential",EXP(IF(AND(ISNUMBER('Council Entry'!Y$8),ISNUMBER('Council Entry'!Y$9)),MAX(MIN('Council Entry'!Y180,'Council Entry'!Y$9),'Council Entry'!Y$8),'Council Entry'!Y180)),IF(AND(ISNUMBER('Council Entry'!Y$8),ISNUMBER('Council Entry'!Y$9)),MAX(MIN('Council Entry'!Y180,'Council Entry'!Y$9),'Council Entry'!Y$8),'Council Entry'!Y180))))-'Council Entry'!Y$5)/('Council Entry'!Y$6-'Council Entry'!Y$5),10*((IF('Council Entry'!Y$4="Logarithm",LN(0.001+IF(AND(ISNUMBER('Council Entry'!Y$8),ISNUMBER('Council Entry'!Y$9)),MAX(MIN('Council Entry'!Y180,'Council Entry'!Y$9),'Council Entry'!Y$8),'Council Entry'!Y180)),IF('Council Entry'!Y$4="Exponential",EXP(IF(AND(ISNUMBER('Council Entry'!Y$8),ISNUMBER('Council Entry'!Y$9)),MAX(MIN('Council Entry'!Y180,'Council Entry'!Y$9),'Council Entry'!Y$8),'Council Entry'!Y180)),IF(AND(ISNUMBER('Council Entry'!Y$8),ISNUMBER('Council Entry'!Y$9)),MAX(MIN('Council Entry'!Y180,'Council Entry'!Y$9),'Council Entry'!Y$8),'Council Entry'!Y180))))-'Council Entry'!Y$5)/('Council Entry'!Y$6-'Council Entry'!Y$5)),1))),"No data"))</f>
        <v/>
      </c>
      <c r="Z180" s="13">
        <f>IF('Council Entry'!Z180="","",IFERROR(MAX(0,MIN(10,ROUND(IF('Council Entry'!Z$7="Decrease Risk",10-10*((IF('Council Entry'!Z$4="Logarithm",LN(0.001+IF(AND(ISNUMBER('Council Entry'!Z$8),ISNUMBER('Council Entry'!Z$9)),MAX(MIN('Council Entry'!Z180,'Council Entry'!Z$9),'Council Entry'!Z$8),'Council Entry'!Z180)),IF('Council Entry'!Z$4="Exponential",EXP(IF(AND(ISNUMBER('Council Entry'!Z$8),ISNUMBER('Council Entry'!Z$9)),MAX(MIN('Council Entry'!Z180,'Council Entry'!Z$9),'Council Entry'!Z$8),'Council Entry'!Z180)),IF(AND(ISNUMBER('Council Entry'!Z$8),ISNUMBER('Council Entry'!Z$9)),MAX(MIN('Council Entry'!Z180,'Council Entry'!Z$9),'Council Entry'!Z$8),'Council Entry'!Z180))))-'Council Entry'!Z$5)/('Council Entry'!Z$6-'Council Entry'!Z$5),10*((IF('Council Entry'!Z$4="Logarithm",LN(0.001+IF(AND(ISNUMBER('Council Entry'!Z$8),ISNUMBER('Council Entry'!Z$9)),MAX(MIN('Council Entry'!Z180,'Council Entry'!Z$9),'Council Entry'!Z$8),'Council Entry'!Z180)),IF('Council Entry'!Z$4="Exponential",EXP(IF(AND(ISNUMBER('Council Entry'!Z$8),ISNUMBER('Council Entry'!Z$9)),MAX(MIN('Council Entry'!Z180,'Council Entry'!Z$9),'Council Entry'!Z$8),'Council Entry'!Z180)),IF(AND(ISNUMBER('Council Entry'!Z$8),ISNUMBER('Council Entry'!Z$9)),MAX(MIN('Council Entry'!Z180,'Council Entry'!Z$9),'Council Entry'!Z$8),'Council Entry'!Z180))))-'Council Entry'!Z$5)/('Council Entry'!Z$6-'Council Entry'!Z$5)),1))),"No data"))</f>
        <v/>
      </c>
      <c r="AA180" s="13">
        <f>IF('Council Entry'!AA180="","",IFERROR(MAX(0,MIN(10,ROUND(IF('Council Entry'!AA$7="Decrease Risk",10-10*((IF('Council Entry'!AA$4="Logarithm",LN(0.001+IF(AND(ISNUMBER('Council Entry'!AA$8),ISNUMBER('Council Entry'!AA$9)),MAX(MIN('Council Entry'!AA180,'Council Entry'!AA$9),'Council Entry'!AA$8),'Council Entry'!AA180)),IF('Council Entry'!AA$4="Exponential",EXP(IF(AND(ISNUMBER('Council Entry'!AA$8),ISNUMBER('Council Entry'!AA$9)),MAX(MIN('Council Entry'!AA180,'Council Entry'!AA$9),'Council Entry'!AA$8),'Council Entry'!AA180)),IF(AND(ISNUMBER('Council Entry'!AA$8),ISNUMBER('Council Entry'!AA$9)),MAX(MIN('Council Entry'!AA180,'Council Entry'!AA$9),'Council Entry'!AA$8),'Council Entry'!AA180))))-'Council Entry'!AA$5)/('Council Entry'!AA$6-'Council Entry'!AA$5),10*((IF('Council Entry'!AA$4="Logarithm",LN(0.001+IF(AND(ISNUMBER('Council Entry'!AA$8),ISNUMBER('Council Entry'!AA$9)),MAX(MIN('Council Entry'!AA180,'Council Entry'!AA$9),'Council Entry'!AA$8),'Council Entry'!AA180)),IF('Council Entry'!AA$4="Exponential",EXP(IF(AND(ISNUMBER('Council Entry'!AA$8),ISNUMBER('Council Entry'!AA$9)),MAX(MIN('Council Entry'!AA180,'Council Entry'!AA$9),'Council Entry'!AA$8),'Council Entry'!AA180)),IF(AND(ISNUMBER('Council Entry'!AA$8),ISNUMBER('Council Entry'!AA$9)),MAX(MIN('Council Entry'!AA180,'Council Entry'!AA$9),'Council Entry'!AA$8),'Council Entry'!AA180))))-'Council Entry'!AA$5)/('Council Entry'!AA$6-'Council Entry'!AA$5)),1))),"No data"))</f>
        <v/>
      </c>
      <c r="AB180" s="13">
        <f>IF('Council Entry'!AB180="","",IFERROR(MAX(0,MIN(10,ROUND(IF('Council Entry'!AB$7="Decrease Risk",10-10*((IF('Council Entry'!AB$4="Logarithm",LN(0.001+IF(AND(ISNUMBER('Council Entry'!AB$8),ISNUMBER('Council Entry'!AB$9)),MAX(MIN('Council Entry'!AB180,'Council Entry'!AB$9),'Council Entry'!AB$8),'Council Entry'!AB180)),IF('Council Entry'!AB$4="Exponential",EXP(IF(AND(ISNUMBER('Council Entry'!AB$8),ISNUMBER('Council Entry'!AB$9)),MAX(MIN('Council Entry'!AB180,'Council Entry'!AB$9),'Council Entry'!AB$8),'Council Entry'!AB180)),IF(AND(ISNUMBER('Council Entry'!AB$8),ISNUMBER('Council Entry'!AB$9)),MAX(MIN('Council Entry'!AB180,'Council Entry'!AB$9),'Council Entry'!AB$8),'Council Entry'!AB180))))-'Council Entry'!AB$5)/('Council Entry'!AB$6-'Council Entry'!AB$5),10*((IF('Council Entry'!AB$4="Logarithm",LN(0.001+IF(AND(ISNUMBER('Council Entry'!AB$8),ISNUMBER('Council Entry'!AB$9)),MAX(MIN('Council Entry'!AB180,'Council Entry'!AB$9),'Council Entry'!AB$8),'Council Entry'!AB180)),IF('Council Entry'!AB$4="Exponential",EXP(IF(AND(ISNUMBER('Council Entry'!AB$8),ISNUMBER('Council Entry'!AB$9)),MAX(MIN('Council Entry'!AB180,'Council Entry'!AB$9),'Council Entry'!AB$8),'Council Entry'!AB180)),IF(AND(ISNUMBER('Council Entry'!AB$8),ISNUMBER('Council Entry'!AB$9)),MAX(MIN('Council Entry'!AB180,'Council Entry'!AB$9),'Council Entry'!AB$8),'Council Entry'!AB180))))-'Council Entry'!AB$5)/('Council Entry'!AB$6-'Council Entry'!AB$5)),1))),"No data"))</f>
        <v/>
      </c>
      <c r="AC180" s="13">
        <f>IF('Council Entry'!AC180="","",IFERROR(MAX(0,MIN(10,ROUND(IF('Council Entry'!AC$7="Decrease Risk",10-10*((IF('Council Entry'!AC$4="Logarithm",LN(0.001+IF(AND(ISNUMBER('Council Entry'!AC$8),ISNUMBER('Council Entry'!AC$9)),MAX(MIN('Council Entry'!AC180,'Council Entry'!AC$9),'Council Entry'!AC$8),'Council Entry'!AC180)),IF('Council Entry'!AC$4="Exponential",EXP(IF(AND(ISNUMBER('Council Entry'!AC$8),ISNUMBER('Council Entry'!AC$9)),MAX(MIN('Council Entry'!AC180,'Council Entry'!AC$9),'Council Entry'!AC$8),'Council Entry'!AC180)),IF(AND(ISNUMBER('Council Entry'!AC$8),ISNUMBER('Council Entry'!AC$9)),MAX(MIN('Council Entry'!AC180,'Council Entry'!AC$9),'Council Entry'!AC$8),'Council Entry'!AC180))))-'Council Entry'!AC$5)/('Council Entry'!AC$6-'Council Entry'!AC$5),10*((IF('Council Entry'!AC$4="Logarithm",LN(0.001+IF(AND(ISNUMBER('Council Entry'!AC$8),ISNUMBER('Council Entry'!AC$9)),MAX(MIN('Council Entry'!AC180,'Council Entry'!AC$9),'Council Entry'!AC$8),'Council Entry'!AC180)),IF('Council Entry'!AC$4="Exponential",EXP(IF(AND(ISNUMBER('Council Entry'!AC$8),ISNUMBER('Council Entry'!AC$9)),MAX(MIN('Council Entry'!AC180,'Council Entry'!AC$9),'Council Entry'!AC$8),'Council Entry'!AC180)),IF(AND(ISNUMBER('Council Entry'!AC$8),ISNUMBER('Council Entry'!AC$9)),MAX(MIN('Council Entry'!AC180,'Council Entry'!AC$9),'Council Entry'!AC$8),'Council Entry'!AC180))))-'Council Entry'!AC$5)/('Council Entry'!AC$6-'Council Entry'!AC$5)),1))),"No data"))</f>
        <v/>
      </c>
      <c r="AD180" s="13">
        <f>IF('Council Entry'!AD180="","",IFERROR(MAX(0,MIN(10,ROUND(IF('Council Entry'!AD$7="Decrease Risk",10-10*((IF('Council Entry'!AD$4="Logarithm",LN(0.001+IF(AND(ISNUMBER('Council Entry'!AD$8),ISNUMBER('Council Entry'!AD$9)),MAX(MIN('Council Entry'!AD180,'Council Entry'!AD$9),'Council Entry'!AD$8),'Council Entry'!AD180)),IF('Council Entry'!AD$4="Exponential",EXP(IF(AND(ISNUMBER('Council Entry'!AD$8),ISNUMBER('Council Entry'!AD$9)),MAX(MIN('Council Entry'!AD180,'Council Entry'!AD$9),'Council Entry'!AD$8),'Council Entry'!AD180)),IF(AND(ISNUMBER('Council Entry'!AD$8),ISNUMBER('Council Entry'!AD$9)),MAX(MIN('Council Entry'!AD180,'Council Entry'!AD$9),'Council Entry'!AD$8),'Council Entry'!AD180))))-'Council Entry'!AD$5)/('Council Entry'!AD$6-'Council Entry'!AD$5),10*((IF('Council Entry'!AD$4="Logarithm",LN(0.001+IF(AND(ISNUMBER('Council Entry'!AD$8),ISNUMBER('Council Entry'!AD$9)),MAX(MIN('Council Entry'!AD180,'Council Entry'!AD$9),'Council Entry'!AD$8),'Council Entry'!AD180)),IF('Council Entry'!AD$4="Exponential",EXP(IF(AND(ISNUMBER('Council Entry'!AD$8),ISNUMBER('Council Entry'!AD$9)),MAX(MIN('Council Entry'!AD180,'Council Entry'!AD$9),'Council Entry'!AD$8),'Council Entry'!AD180)),IF(AND(ISNUMBER('Council Entry'!AD$8),ISNUMBER('Council Entry'!AD$9)),MAX(MIN('Council Entry'!AD180,'Council Entry'!AD$9),'Council Entry'!AD$8),'Council Entry'!AD180))))-'Council Entry'!AD$5)/('Council Entry'!AD$6-'Council Entry'!AD$5)),1))),"No data"))</f>
        <v/>
      </c>
      <c r="AE180" s="13">
        <f>IF('Council Entry'!AE180="","",IFERROR(MAX(0,MIN(10,ROUND(IF('Council Entry'!AE$7="Decrease Risk",10-10*((IF('Council Entry'!AE$4="Logarithm",LN(0.001+IF(AND(ISNUMBER('Council Entry'!AE$8),ISNUMBER('Council Entry'!AE$9)),MAX(MIN('Council Entry'!AE180,'Council Entry'!AE$9),'Council Entry'!AE$8),'Council Entry'!AE180)),IF('Council Entry'!AE$4="Exponential",EXP(IF(AND(ISNUMBER('Council Entry'!AE$8),ISNUMBER('Council Entry'!AE$9)),MAX(MIN('Council Entry'!AE180,'Council Entry'!AE$9),'Council Entry'!AE$8),'Council Entry'!AE180)),IF(AND(ISNUMBER('Council Entry'!AE$8),ISNUMBER('Council Entry'!AE$9)),MAX(MIN('Council Entry'!AE180,'Council Entry'!AE$9),'Council Entry'!AE$8),'Council Entry'!AE180))))-'Council Entry'!AE$5)/('Council Entry'!AE$6-'Council Entry'!AE$5),10*((IF('Council Entry'!AE$4="Logarithm",LN(0.001+IF(AND(ISNUMBER('Council Entry'!AE$8),ISNUMBER('Council Entry'!AE$9)),MAX(MIN('Council Entry'!AE180,'Council Entry'!AE$9),'Council Entry'!AE$8),'Council Entry'!AE180)),IF('Council Entry'!AE$4="Exponential",EXP(IF(AND(ISNUMBER('Council Entry'!AE$8),ISNUMBER('Council Entry'!AE$9)),MAX(MIN('Council Entry'!AE180,'Council Entry'!AE$9),'Council Entry'!AE$8),'Council Entry'!AE180)),IF(AND(ISNUMBER('Council Entry'!AE$8),ISNUMBER('Council Entry'!AE$9)),MAX(MIN('Council Entry'!AE180,'Council Entry'!AE$9),'Council Entry'!AE$8),'Council Entry'!AE180))))-'Council Entry'!AE$5)/('Council Entry'!AE$6-'Council Entry'!AE$5)),1))),"No data"))</f>
        <v/>
      </c>
      <c r="AF180" s="13">
        <f>IF('Council Entry'!AF180="","",IFERROR(MAX(0,MIN(10,ROUND(IF('Council Entry'!AF$7="Decrease Risk",10-10*((IF('Council Entry'!AF$4="Logarithm",LN(0.001+IF(AND(ISNUMBER('Council Entry'!AF$8),ISNUMBER('Council Entry'!AF$9)),MAX(MIN('Council Entry'!AF180,'Council Entry'!AF$9),'Council Entry'!AF$8),'Council Entry'!AF180)),IF('Council Entry'!AF$4="Exponential",EXP(IF(AND(ISNUMBER('Council Entry'!AF$8),ISNUMBER('Council Entry'!AF$9)),MAX(MIN('Council Entry'!AF180,'Council Entry'!AF$9),'Council Entry'!AF$8),'Council Entry'!AF180)),IF(AND(ISNUMBER('Council Entry'!AF$8),ISNUMBER('Council Entry'!AF$9)),MAX(MIN('Council Entry'!AF180,'Council Entry'!AF$9),'Council Entry'!AF$8),'Council Entry'!AF180))))-'Council Entry'!AF$5)/('Council Entry'!AF$6-'Council Entry'!AF$5),10*((IF('Council Entry'!AF$4="Logarithm",LN(0.001+IF(AND(ISNUMBER('Council Entry'!AF$8),ISNUMBER('Council Entry'!AF$9)),MAX(MIN('Council Entry'!AF180,'Council Entry'!AF$9),'Council Entry'!AF$8),'Council Entry'!AF180)),IF('Council Entry'!AF$4="Exponential",EXP(IF(AND(ISNUMBER('Council Entry'!AF$8),ISNUMBER('Council Entry'!AF$9)),MAX(MIN('Council Entry'!AF180,'Council Entry'!AF$9),'Council Entry'!AF$8),'Council Entry'!AF180)),IF(AND(ISNUMBER('Council Entry'!AF$8),ISNUMBER('Council Entry'!AF$9)),MAX(MIN('Council Entry'!AF180,'Council Entry'!AF$9),'Council Entry'!AF$8),'Council Entry'!AF180))))-'Council Entry'!AF$5)/('Council Entry'!AF$6-'Council Entry'!AF$5)),1))),"No data"))</f>
        <v/>
      </c>
      <c r="AG180" s="13">
        <f>IF('Council Entry'!AG180="","",IFERROR(MAX(0,MIN(10,ROUND(IF('Council Entry'!AG$7="Decrease Risk",10-10*((IF('Council Entry'!AG$4="Logarithm",LN(0.001+IF(AND(ISNUMBER('Council Entry'!AG$8),ISNUMBER('Council Entry'!AG$9)),MAX(MIN('Council Entry'!AG180,'Council Entry'!AG$9),'Council Entry'!AG$8),'Council Entry'!AG180)),IF('Council Entry'!AG$4="Exponential",EXP(IF(AND(ISNUMBER('Council Entry'!AG$8),ISNUMBER('Council Entry'!AG$9)),MAX(MIN('Council Entry'!AG180,'Council Entry'!AG$9),'Council Entry'!AG$8),'Council Entry'!AG180)),IF(AND(ISNUMBER('Council Entry'!AG$8),ISNUMBER('Council Entry'!AG$9)),MAX(MIN('Council Entry'!AG180,'Council Entry'!AG$9),'Council Entry'!AG$8),'Council Entry'!AG180))))-'Council Entry'!AG$5)/('Council Entry'!AG$6-'Council Entry'!AG$5),10*((IF('Council Entry'!AG$4="Logarithm",LN(0.001+IF(AND(ISNUMBER('Council Entry'!AG$8),ISNUMBER('Council Entry'!AG$9)),MAX(MIN('Council Entry'!AG180,'Council Entry'!AG$9),'Council Entry'!AG$8),'Council Entry'!AG180)),IF('Council Entry'!AG$4="Exponential",EXP(IF(AND(ISNUMBER('Council Entry'!AG$8),ISNUMBER('Council Entry'!AG$9)),MAX(MIN('Council Entry'!AG180,'Council Entry'!AG$9),'Council Entry'!AG$8),'Council Entry'!AG180)),IF(AND(ISNUMBER('Council Entry'!AG$8),ISNUMBER('Council Entry'!AG$9)),MAX(MIN('Council Entry'!AG180,'Council Entry'!AG$9),'Council Entry'!AG$8),'Council Entry'!AG180))))-'Council Entry'!AG$5)/('Council Entry'!AG$6-'Council Entry'!AG$5)),1))),"No data"))</f>
        <v/>
      </c>
      <c r="AH180" s="13">
        <f>IF('Council Entry'!AH180="","",IFERROR(MAX(0,MIN(10,ROUND(IF('Council Entry'!AH$7="Decrease Risk",10-10*((IF('Council Entry'!AH$4="Logarithm",LN(0.001+IF(AND(ISNUMBER('Council Entry'!AH$8),ISNUMBER('Council Entry'!AH$9)),MAX(MIN('Council Entry'!AH180,'Council Entry'!AH$9),'Council Entry'!AH$8),'Council Entry'!AH180)),IF('Council Entry'!AH$4="Exponential",EXP(IF(AND(ISNUMBER('Council Entry'!AH$8),ISNUMBER('Council Entry'!AH$9)),MAX(MIN('Council Entry'!AH180,'Council Entry'!AH$9),'Council Entry'!AH$8),'Council Entry'!AH180)),IF(AND(ISNUMBER('Council Entry'!AH$8),ISNUMBER('Council Entry'!AH$9)),MAX(MIN('Council Entry'!AH180,'Council Entry'!AH$9),'Council Entry'!AH$8),'Council Entry'!AH180))))-'Council Entry'!AH$5)/('Council Entry'!AH$6-'Council Entry'!AH$5),10*((IF('Council Entry'!AH$4="Logarithm",LN(0.001+IF(AND(ISNUMBER('Council Entry'!AH$8),ISNUMBER('Council Entry'!AH$9)),MAX(MIN('Council Entry'!AH180,'Council Entry'!AH$9),'Council Entry'!AH$8),'Council Entry'!AH180)),IF('Council Entry'!AH$4="Exponential",EXP(IF(AND(ISNUMBER('Council Entry'!AH$8),ISNUMBER('Council Entry'!AH$9)),MAX(MIN('Council Entry'!AH180,'Council Entry'!AH$9),'Council Entry'!AH$8),'Council Entry'!AH180)),IF(AND(ISNUMBER('Council Entry'!AH$8),ISNUMBER('Council Entry'!AH$9)),MAX(MIN('Council Entry'!AH180,'Council Entry'!AH$9),'Council Entry'!AH$8),'Council Entry'!AH180))))-'Council Entry'!AH$5)/('Council Entry'!AH$6-'Council Entry'!AH$5)),1))),"No data"))</f>
        <v/>
      </c>
      <c r="AI180" s="13">
        <f>IF('Council Entry'!AI180="","",IFERROR(MAX(0,MIN(10,ROUND(IF('Council Entry'!AI$7="Decrease Risk",10-10*((IF('Council Entry'!AI$4="Logarithm",LN(0.001+IF(AND(ISNUMBER('Council Entry'!AI$8),ISNUMBER('Council Entry'!AI$9)),MAX(MIN('Council Entry'!AI180,'Council Entry'!AI$9),'Council Entry'!AI$8),'Council Entry'!AI180)),IF('Council Entry'!AI$4="Exponential",EXP(IF(AND(ISNUMBER('Council Entry'!AI$8),ISNUMBER('Council Entry'!AI$9)),MAX(MIN('Council Entry'!AI180,'Council Entry'!AI$9),'Council Entry'!AI$8),'Council Entry'!AI180)),IF(AND(ISNUMBER('Council Entry'!AI$8),ISNUMBER('Council Entry'!AI$9)),MAX(MIN('Council Entry'!AI180,'Council Entry'!AI$9),'Council Entry'!AI$8),'Council Entry'!AI180))))-'Council Entry'!AI$5)/('Council Entry'!AI$6-'Council Entry'!AI$5),10*((IF('Council Entry'!AI$4="Logarithm",LN(0.001+IF(AND(ISNUMBER('Council Entry'!AI$8),ISNUMBER('Council Entry'!AI$9)),MAX(MIN('Council Entry'!AI180,'Council Entry'!AI$9),'Council Entry'!AI$8),'Council Entry'!AI180)),IF('Council Entry'!AI$4="Exponential",EXP(IF(AND(ISNUMBER('Council Entry'!AI$8),ISNUMBER('Council Entry'!AI$9)),MAX(MIN('Council Entry'!AI180,'Council Entry'!AI$9),'Council Entry'!AI$8),'Council Entry'!AI180)),IF(AND(ISNUMBER('Council Entry'!AI$8),ISNUMBER('Council Entry'!AI$9)),MAX(MIN('Council Entry'!AI180,'Council Entry'!AI$9),'Council Entry'!AI$8),'Council Entry'!AI180))))-'Council Entry'!AI$5)/('Council Entry'!AI$6-'Council Entry'!AI$5)),1))),"No data"))</f>
        <v/>
      </c>
      <c r="AJ180" s="13">
        <f>IF('Council Entry'!AJ180="","",IFERROR(MAX(0,MIN(10,ROUND(IF('Council Entry'!AJ$7="Decrease Risk",10-10*((IF('Council Entry'!AJ$4="Logarithm",LN(0.001+IF(AND(ISNUMBER('Council Entry'!AJ$8),ISNUMBER('Council Entry'!AJ$9)),MAX(MIN('Council Entry'!AJ180,'Council Entry'!AJ$9),'Council Entry'!AJ$8),'Council Entry'!AJ180)),IF('Council Entry'!AJ$4="Exponential",EXP(IF(AND(ISNUMBER('Council Entry'!AJ$8),ISNUMBER('Council Entry'!AJ$9)),MAX(MIN('Council Entry'!AJ180,'Council Entry'!AJ$9),'Council Entry'!AJ$8),'Council Entry'!AJ180)),IF(AND(ISNUMBER('Council Entry'!AJ$8),ISNUMBER('Council Entry'!AJ$9)),MAX(MIN('Council Entry'!AJ180,'Council Entry'!AJ$9),'Council Entry'!AJ$8),'Council Entry'!AJ180))))-'Council Entry'!AJ$5)/('Council Entry'!AJ$6-'Council Entry'!AJ$5),10*((IF('Council Entry'!AJ$4="Logarithm",LN(0.001+IF(AND(ISNUMBER('Council Entry'!AJ$8),ISNUMBER('Council Entry'!AJ$9)),MAX(MIN('Council Entry'!AJ180,'Council Entry'!AJ$9),'Council Entry'!AJ$8),'Council Entry'!AJ180)),IF('Council Entry'!AJ$4="Exponential",EXP(IF(AND(ISNUMBER('Council Entry'!AJ$8),ISNUMBER('Council Entry'!AJ$9)),MAX(MIN('Council Entry'!AJ180,'Council Entry'!AJ$9),'Council Entry'!AJ$8),'Council Entry'!AJ180)),IF(AND(ISNUMBER('Council Entry'!AJ$8),ISNUMBER('Council Entry'!AJ$9)),MAX(MIN('Council Entry'!AJ180,'Council Entry'!AJ$9),'Council Entry'!AJ$8),'Council Entry'!AJ180))))-'Council Entry'!AJ$5)/('Council Entry'!AJ$6-'Council Entry'!AJ$5)),1))),"No data"))</f>
        <v/>
      </c>
      <c r="AK180" s="13">
        <f>IF('Council Entry'!AK180="","",IFERROR(MAX(0,MIN(10,ROUND(IF('Council Entry'!AK$7="Decrease Risk",10-10*((IF('Council Entry'!AK$4="Logarithm",LN(0.001+IF(AND(ISNUMBER('Council Entry'!AK$8),ISNUMBER('Council Entry'!AK$9)),MAX(MIN('Council Entry'!AK180,'Council Entry'!AK$9),'Council Entry'!AK$8),'Council Entry'!AK180)),IF('Council Entry'!AK$4="Exponential",EXP(IF(AND(ISNUMBER('Council Entry'!AK$8),ISNUMBER('Council Entry'!AK$9)),MAX(MIN('Council Entry'!AK180,'Council Entry'!AK$9),'Council Entry'!AK$8),'Council Entry'!AK180)),IF(AND(ISNUMBER('Council Entry'!AK$8),ISNUMBER('Council Entry'!AK$9)),MAX(MIN('Council Entry'!AK180,'Council Entry'!AK$9),'Council Entry'!AK$8),'Council Entry'!AK180))))-'Council Entry'!AK$5)/('Council Entry'!AK$6-'Council Entry'!AK$5),10*((IF('Council Entry'!AK$4="Logarithm",LN(0.001+IF(AND(ISNUMBER('Council Entry'!AK$8),ISNUMBER('Council Entry'!AK$9)),MAX(MIN('Council Entry'!AK180,'Council Entry'!AK$9),'Council Entry'!AK$8),'Council Entry'!AK180)),IF('Council Entry'!AK$4="Exponential",EXP(IF(AND(ISNUMBER('Council Entry'!AK$8),ISNUMBER('Council Entry'!AK$9)),MAX(MIN('Council Entry'!AK180,'Council Entry'!AK$9),'Council Entry'!AK$8),'Council Entry'!AK180)),IF(AND(ISNUMBER('Council Entry'!AK$8),ISNUMBER('Council Entry'!AK$9)),MAX(MIN('Council Entry'!AK180,'Council Entry'!AK$9),'Council Entry'!AK$8),'Council Entry'!AK180))))-'Council Entry'!AK$5)/('Council Entry'!AK$6-'Council Entry'!AK$5)),1))),"No data"))</f>
        <v/>
      </c>
      <c r="AL180" s="13">
        <f>IF('Council Entry'!AL180="","",IFERROR(MAX(0,MIN(10,ROUND(IF('Council Entry'!AL$7="Decrease Risk",10-10*((IF('Council Entry'!AL$4="Logarithm",LN(0.001+IF(AND(ISNUMBER('Council Entry'!AL$8),ISNUMBER('Council Entry'!AL$9)),MAX(MIN('Council Entry'!AL180,'Council Entry'!AL$9),'Council Entry'!AL$8),'Council Entry'!AL180)),IF('Council Entry'!AL$4="Exponential",EXP(IF(AND(ISNUMBER('Council Entry'!AL$8),ISNUMBER('Council Entry'!AL$9)),MAX(MIN('Council Entry'!AL180,'Council Entry'!AL$9),'Council Entry'!AL$8),'Council Entry'!AL180)),IF(AND(ISNUMBER('Council Entry'!AL$8),ISNUMBER('Council Entry'!AL$9)),MAX(MIN('Council Entry'!AL180,'Council Entry'!AL$9),'Council Entry'!AL$8),'Council Entry'!AL180))))-'Council Entry'!AL$5)/('Council Entry'!AL$6-'Council Entry'!AL$5),10*((IF('Council Entry'!AL$4="Logarithm",LN(0.001+IF(AND(ISNUMBER('Council Entry'!AL$8),ISNUMBER('Council Entry'!AL$9)),MAX(MIN('Council Entry'!AL180,'Council Entry'!AL$9),'Council Entry'!AL$8),'Council Entry'!AL180)),IF('Council Entry'!AL$4="Exponential",EXP(IF(AND(ISNUMBER('Council Entry'!AL$8),ISNUMBER('Council Entry'!AL$9)),MAX(MIN('Council Entry'!AL180,'Council Entry'!AL$9),'Council Entry'!AL$8),'Council Entry'!AL180)),IF(AND(ISNUMBER('Council Entry'!AL$8),ISNUMBER('Council Entry'!AL$9)),MAX(MIN('Council Entry'!AL180,'Council Entry'!AL$9),'Council Entry'!AL$8),'Council Entry'!AL180))))-'Council Entry'!AL$5)/('Council Entry'!AL$6-'Council Entry'!AL$5)),1))),"No data"))</f>
        <v/>
      </c>
      <c r="AM180" s="13">
        <f>IF('Council Entry'!AM180="","",IFERROR(MAX(0,MIN(10,ROUND(IF('Council Entry'!AM$7="Decrease Risk",10-10*((IF('Council Entry'!AM$4="Logarithm",LN(0.001+IF(AND(ISNUMBER('Council Entry'!AM$8),ISNUMBER('Council Entry'!AM$9)),MAX(MIN('Council Entry'!AM180,'Council Entry'!AM$9),'Council Entry'!AM$8),'Council Entry'!AM180)),IF('Council Entry'!AM$4="Exponential",EXP(IF(AND(ISNUMBER('Council Entry'!AM$8),ISNUMBER('Council Entry'!AM$9)),MAX(MIN('Council Entry'!AM180,'Council Entry'!AM$9),'Council Entry'!AM$8),'Council Entry'!AM180)),IF(AND(ISNUMBER('Council Entry'!AM$8),ISNUMBER('Council Entry'!AM$9)),MAX(MIN('Council Entry'!AM180,'Council Entry'!AM$9),'Council Entry'!AM$8),'Council Entry'!AM180))))-'Council Entry'!AM$5)/('Council Entry'!AM$6-'Council Entry'!AM$5),10*((IF('Council Entry'!AM$4="Logarithm",LN(0.001+IF(AND(ISNUMBER('Council Entry'!AM$8),ISNUMBER('Council Entry'!AM$9)),MAX(MIN('Council Entry'!AM180,'Council Entry'!AM$9),'Council Entry'!AM$8),'Council Entry'!AM180)),IF('Council Entry'!AM$4="Exponential",EXP(IF(AND(ISNUMBER('Council Entry'!AM$8),ISNUMBER('Council Entry'!AM$9)),MAX(MIN('Council Entry'!AM180,'Council Entry'!AM$9),'Council Entry'!AM$8),'Council Entry'!AM180)),IF(AND(ISNUMBER('Council Entry'!AM$8),ISNUMBER('Council Entry'!AM$9)),MAX(MIN('Council Entry'!AM180,'Council Entry'!AM$9),'Council Entry'!AM$8),'Council Entry'!AM180))))-'Council Entry'!AM$5)/('Council Entry'!AM$6-'Council Entry'!AM$5)),1))),"No data"))</f>
        <v/>
      </c>
      <c r="AN180" s="13">
        <f>IF('Council Entry'!AN180="","",IFERROR(MAX(0,MIN(10,ROUND(IF('Council Entry'!AN$7="Decrease Risk",10-10*((IF('Council Entry'!AN$4="Logarithm",LN(0.001+IF(AND(ISNUMBER('Council Entry'!AN$8),ISNUMBER('Council Entry'!AN$9)),MAX(MIN('Council Entry'!AN180,'Council Entry'!AN$9),'Council Entry'!AN$8),'Council Entry'!AN180)),IF('Council Entry'!AN$4="Exponential",EXP(IF(AND(ISNUMBER('Council Entry'!AN$8),ISNUMBER('Council Entry'!AN$9)),MAX(MIN('Council Entry'!AN180,'Council Entry'!AN$9),'Council Entry'!AN$8),'Council Entry'!AN180)),IF(AND(ISNUMBER('Council Entry'!AN$8),ISNUMBER('Council Entry'!AN$9)),MAX(MIN('Council Entry'!AN180,'Council Entry'!AN$9),'Council Entry'!AN$8),'Council Entry'!AN180))))-'Council Entry'!AN$5)/('Council Entry'!AN$6-'Council Entry'!AN$5),10*((IF('Council Entry'!AN$4="Logarithm",LN(0.001+IF(AND(ISNUMBER('Council Entry'!AN$8),ISNUMBER('Council Entry'!AN$9)),MAX(MIN('Council Entry'!AN180,'Council Entry'!AN$9),'Council Entry'!AN$8),'Council Entry'!AN180)),IF('Council Entry'!AN$4="Exponential",EXP(IF(AND(ISNUMBER('Council Entry'!AN$8),ISNUMBER('Council Entry'!AN$9)),MAX(MIN('Council Entry'!AN180,'Council Entry'!AN$9),'Council Entry'!AN$8),'Council Entry'!AN180)),IF(AND(ISNUMBER('Council Entry'!AN$8),ISNUMBER('Council Entry'!AN$9)),MAX(MIN('Council Entry'!AN180,'Council Entry'!AN$9),'Council Entry'!AN$8),'Council Entry'!AN180))))-'Council Entry'!AN$5)/('Council Entry'!AN$6-'Council Entry'!AN$5)),1))),"No data"))</f>
        <v/>
      </c>
      <c r="AO180" s="13">
        <f>IF('Council Entry'!AO180="","",IFERROR(MAX(0,MIN(10,ROUND(IF('Council Entry'!AO$7="Decrease Risk",10-10*((IF('Council Entry'!AO$4="Logarithm",LN(0.001+IF(AND(ISNUMBER('Council Entry'!AO$8),ISNUMBER('Council Entry'!AO$9)),MAX(MIN('Council Entry'!AO180,'Council Entry'!AO$9),'Council Entry'!AO$8),'Council Entry'!AO180)),IF('Council Entry'!AO$4="Exponential",EXP(IF(AND(ISNUMBER('Council Entry'!AO$8),ISNUMBER('Council Entry'!AO$9)),MAX(MIN('Council Entry'!AO180,'Council Entry'!AO$9),'Council Entry'!AO$8),'Council Entry'!AO180)),IF(AND(ISNUMBER('Council Entry'!AO$8),ISNUMBER('Council Entry'!AO$9)),MAX(MIN('Council Entry'!AO180,'Council Entry'!AO$9),'Council Entry'!AO$8),'Council Entry'!AO180))))-'Council Entry'!AO$5)/('Council Entry'!AO$6-'Council Entry'!AO$5),10*((IF('Council Entry'!AO$4="Logarithm",LN(0.001+IF(AND(ISNUMBER('Council Entry'!AO$8),ISNUMBER('Council Entry'!AO$9)),MAX(MIN('Council Entry'!AO180,'Council Entry'!AO$9),'Council Entry'!AO$8),'Council Entry'!AO180)),IF('Council Entry'!AO$4="Exponential",EXP(IF(AND(ISNUMBER('Council Entry'!AO$8),ISNUMBER('Council Entry'!AO$9)),MAX(MIN('Council Entry'!AO180,'Council Entry'!AO$9),'Council Entry'!AO$8),'Council Entry'!AO180)),IF(AND(ISNUMBER('Council Entry'!AO$8),ISNUMBER('Council Entry'!AO$9)),MAX(MIN('Council Entry'!AO180,'Council Entry'!AO$9),'Council Entry'!AO$8),'Council Entry'!AO180))))-'Council Entry'!AO$5)/('Council Entry'!AO$6-'Council Entry'!AO$5)),1))),"No data"))</f>
        <v/>
      </c>
      <c r="AP180" s="13">
        <f>IF('Council Entry'!AP180="","",IFERROR(MAX(0,MIN(10,ROUND(IF('Council Entry'!AP$7="Decrease Risk",10-10*((IF('Council Entry'!AP$4="Logarithm",LN(0.001+IF(AND(ISNUMBER('Council Entry'!AP$8),ISNUMBER('Council Entry'!AP$9)),MAX(MIN('Council Entry'!AP180,'Council Entry'!AP$9),'Council Entry'!AP$8),'Council Entry'!AP180)),IF('Council Entry'!AP$4="Exponential",EXP(IF(AND(ISNUMBER('Council Entry'!AP$8),ISNUMBER('Council Entry'!AP$9)),MAX(MIN('Council Entry'!AP180,'Council Entry'!AP$9),'Council Entry'!AP$8),'Council Entry'!AP180)),IF(AND(ISNUMBER('Council Entry'!AP$8),ISNUMBER('Council Entry'!AP$9)),MAX(MIN('Council Entry'!AP180,'Council Entry'!AP$9),'Council Entry'!AP$8),'Council Entry'!AP180))))-'Council Entry'!AP$5)/('Council Entry'!AP$6-'Council Entry'!AP$5),10*((IF('Council Entry'!AP$4="Logarithm",LN(0.001+IF(AND(ISNUMBER('Council Entry'!AP$8),ISNUMBER('Council Entry'!AP$9)),MAX(MIN('Council Entry'!AP180,'Council Entry'!AP$9),'Council Entry'!AP$8),'Council Entry'!AP180)),IF('Council Entry'!AP$4="Exponential",EXP(IF(AND(ISNUMBER('Council Entry'!AP$8),ISNUMBER('Council Entry'!AP$9)),MAX(MIN('Council Entry'!AP180,'Council Entry'!AP$9),'Council Entry'!AP$8),'Council Entry'!AP180)),IF(AND(ISNUMBER('Council Entry'!AP$8),ISNUMBER('Council Entry'!AP$9)),MAX(MIN('Council Entry'!AP180,'Council Entry'!AP$9),'Council Entry'!AP$8),'Council Entry'!AP180))))-'Council Entry'!AP$5)/('Council Entry'!AP$6-'Council Entry'!AP$5)),1))),"No data"))</f>
        <v/>
      </c>
      <c r="AQ180" s="13">
        <f>IF('Council Entry'!AQ180="","",IFERROR(MAX(0,MIN(10,ROUND(IF('Council Entry'!AQ$7="Decrease Risk",10-10*((IF('Council Entry'!AQ$4="Logarithm",LN(0.001+IF(AND(ISNUMBER('Council Entry'!AQ$8),ISNUMBER('Council Entry'!AQ$9)),MAX(MIN('Council Entry'!AQ180,'Council Entry'!AQ$9),'Council Entry'!AQ$8),'Council Entry'!AQ180)),IF('Council Entry'!AQ$4="Exponential",EXP(IF(AND(ISNUMBER('Council Entry'!AQ$8),ISNUMBER('Council Entry'!AQ$9)),MAX(MIN('Council Entry'!AQ180,'Council Entry'!AQ$9),'Council Entry'!AQ$8),'Council Entry'!AQ180)),IF(AND(ISNUMBER('Council Entry'!AQ$8),ISNUMBER('Council Entry'!AQ$9)),MAX(MIN('Council Entry'!AQ180,'Council Entry'!AQ$9),'Council Entry'!AQ$8),'Council Entry'!AQ180))))-'Council Entry'!AQ$5)/('Council Entry'!AQ$6-'Council Entry'!AQ$5),10*((IF('Council Entry'!AQ$4="Logarithm",LN(0.001+IF(AND(ISNUMBER('Council Entry'!AQ$8),ISNUMBER('Council Entry'!AQ$9)),MAX(MIN('Council Entry'!AQ180,'Council Entry'!AQ$9),'Council Entry'!AQ$8),'Council Entry'!AQ180)),IF('Council Entry'!AQ$4="Exponential",EXP(IF(AND(ISNUMBER('Council Entry'!AQ$8),ISNUMBER('Council Entry'!AQ$9)),MAX(MIN('Council Entry'!AQ180,'Council Entry'!AQ$9),'Council Entry'!AQ$8),'Council Entry'!AQ180)),IF(AND(ISNUMBER('Council Entry'!AQ$8),ISNUMBER('Council Entry'!AQ$9)),MAX(MIN('Council Entry'!AQ180,'Council Entry'!AQ$9),'Council Entry'!AQ$8),'Council Entry'!AQ180))))-'Council Entry'!AQ$5)/('Council Entry'!AQ$6-'Council Entry'!AQ$5)),1))),"No data"))</f>
        <v/>
      </c>
      <c r="AR180" s="13">
        <f>IF('Council Entry'!AR180="","",IFERROR(MAX(0,MIN(10,ROUND(IF('Council Entry'!AR$7="Decrease Risk",10-10*((IF('Council Entry'!AR$4="Logarithm",LN(0.001+IF(AND(ISNUMBER('Council Entry'!AR$8),ISNUMBER('Council Entry'!AR$9)),MAX(MIN('Council Entry'!AR180,'Council Entry'!AR$9),'Council Entry'!AR$8),'Council Entry'!AR180)),IF('Council Entry'!AR$4="Exponential",EXP(IF(AND(ISNUMBER('Council Entry'!AR$8),ISNUMBER('Council Entry'!AR$9)),MAX(MIN('Council Entry'!AR180,'Council Entry'!AR$9),'Council Entry'!AR$8),'Council Entry'!AR180)),IF(AND(ISNUMBER('Council Entry'!AR$8),ISNUMBER('Council Entry'!AR$9)),MAX(MIN('Council Entry'!AR180,'Council Entry'!AR$9),'Council Entry'!AR$8),'Council Entry'!AR180))))-'Council Entry'!AR$5)/('Council Entry'!AR$6-'Council Entry'!AR$5),10*((IF('Council Entry'!AR$4="Logarithm",LN(0.001+IF(AND(ISNUMBER('Council Entry'!AR$8),ISNUMBER('Council Entry'!AR$9)),MAX(MIN('Council Entry'!AR180,'Council Entry'!AR$9),'Council Entry'!AR$8),'Council Entry'!AR180)),IF('Council Entry'!AR$4="Exponential",EXP(IF(AND(ISNUMBER('Council Entry'!AR$8),ISNUMBER('Council Entry'!AR$9)),MAX(MIN('Council Entry'!AR180,'Council Entry'!AR$9),'Council Entry'!AR$8),'Council Entry'!AR180)),IF(AND(ISNUMBER('Council Entry'!AR$8),ISNUMBER('Council Entry'!AR$9)),MAX(MIN('Council Entry'!AR180,'Council Entry'!AR$9),'Council Entry'!AR$8),'Council Entry'!AR180))))-'Council Entry'!AR$5)/('Council Entry'!AR$6-'Council Entry'!AR$5)),1))),"No data"))</f>
        <v/>
      </c>
      <c r="AS180" s="13">
        <f>IF('Council Entry'!AS180="","",IFERROR(MAX(0,MIN(10,ROUND(IF('Council Entry'!AS$7="Decrease Risk",10-10*((IF('Council Entry'!AS$4="Logarithm",LN(0.001+IF(AND(ISNUMBER('Council Entry'!AS$8),ISNUMBER('Council Entry'!AS$9)),MAX(MIN('Council Entry'!AS180,'Council Entry'!AS$9),'Council Entry'!AS$8),'Council Entry'!AS180)),IF('Council Entry'!AS$4="Exponential",EXP(IF(AND(ISNUMBER('Council Entry'!AS$8),ISNUMBER('Council Entry'!AS$9)),MAX(MIN('Council Entry'!AS180,'Council Entry'!AS$9),'Council Entry'!AS$8),'Council Entry'!AS180)),IF(AND(ISNUMBER('Council Entry'!AS$8),ISNUMBER('Council Entry'!AS$9)),MAX(MIN('Council Entry'!AS180,'Council Entry'!AS$9),'Council Entry'!AS$8),'Council Entry'!AS180))))-'Council Entry'!AS$5)/('Council Entry'!AS$6-'Council Entry'!AS$5),10*((IF('Council Entry'!AS$4="Logarithm",LN(0.001+IF(AND(ISNUMBER('Council Entry'!AS$8),ISNUMBER('Council Entry'!AS$9)),MAX(MIN('Council Entry'!AS180,'Council Entry'!AS$9),'Council Entry'!AS$8),'Council Entry'!AS180)),IF('Council Entry'!AS$4="Exponential",EXP(IF(AND(ISNUMBER('Council Entry'!AS$8),ISNUMBER('Council Entry'!AS$9)),MAX(MIN('Council Entry'!AS180,'Council Entry'!AS$9),'Council Entry'!AS$8),'Council Entry'!AS180)),IF(AND(ISNUMBER('Council Entry'!AS$8),ISNUMBER('Council Entry'!AS$9)),MAX(MIN('Council Entry'!AS180,'Council Entry'!AS$9),'Council Entry'!AS$8),'Council Entry'!AS180))))-'Council Entry'!AS$5)/('Council Entry'!AS$6-'Council Entry'!AS$5)),1))),"No data"))</f>
        <v/>
      </c>
      <c r="AT180" s="13">
        <f>IF('Council Entry'!AT180="","",IFERROR(MAX(0,MIN(10,ROUND(IF('Council Entry'!AT$7="Decrease Risk",10-10*((IF('Council Entry'!AT$4="Logarithm",LN(0.001+IF(AND(ISNUMBER('Council Entry'!AT$8),ISNUMBER('Council Entry'!AT$9)),MAX(MIN('Council Entry'!AT180,'Council Entry'!AT$9),'Council Entry'!AT$8),'Council Entry'!AT180)),IF('Council Entry'!AT$4="Exponential",EXP(IF(AND(ISNUMBER('Council Entry'!AT$8),ISNUMBER('Council Entry'!AT$9)),MAX(MIN('Council Entry'!AT180,'Council Entry'!AT$9),'Council Entry'!AT$8),'Council Entry'!AT180)),IF(AND(ISNUMBER('Council Entry'!AT$8),ISNUMBER('Council Entry'!AT$9)),MAX(MIN('Council Entry'!AT180,'Council Entry'!AT$9),'Council Entry'!AT$8),'Council Entry'!AT180))))-'Council Entry'!AT$5)/('Council Entry'!AT$6-'Council Entry'!AT$5),10*((IF('Council Entry'!AT$4="Logarithm",LN(0.001+IF(AND(ISNUMBER('Council Entry'!AT$8),ISNUMBER('Council Entry'!AT$9)),MAX(MIN('Council Entry'!AT180,'Council Entry'!AT$9),'Council Entry'!AT$8),'Council Entry'!AT180)),IF('Council Entry'!AT$4="Exponential",EXP(IF(AND(ISNUMBER('Council Entry'!AT$8),ISNUMBER('Council Entry'!AT$9)),MAX(MIN('Council Entry'!AT180,'Council Entry'!AT$9),'Council Entry'!AT$8),'Council Entry'!AT180)),IF(AND(ISNUMBER('Council Entry'!AT$8),ISNUMBER('Council Entry'!AT$9)),MAX(MIN('Council Entry'!AT180,'Council Entry'!AT$9),'Council Entry'!AT$8),'Council Entry'!AT180))))-'Council Entry'!AT$5)/('Council Entry'!AT$6-'Council Entry'!AT$5)),1))),"No data"))</f>
        <v/>
      </c>
      <c r="AU180" s="13">
        <f>IF('Council Entry'!AU180="","",IFERROR(MAX(0,MIN(10,ROUND(IF('Council Entry'!AU$7="Decrease Risk",10-10*((IF('Council Entry'!AU$4="Logarithm",LN(0.001+IF(AND(ISNUMBER('Council Entry'!AU$8),ISNUMBER('Council Entry'!AU$9)),MAX(MIN('Council Entry'!AU180,'Council Entry'!AU$9),'Council Entry'!AU$8),'Council Entry'!AU180)),IF('Council Entry'!AU$4="Exponential",EXP(IF(AND(ISNUMBER('Council Entry'!AU$8),ISNUMBER('Council Entry'!AU$9)),MAX(MIN('Council Entry'!AU180,'Council Entry'!AU$9),'Council Entry'!AU$8),'Council Entry'!AU180)),IF(AND(ISNUMBER('Council Entry'!AU$8),ISNUMBER('Council Entry'!AU$9)),MAX(MIN('Council Entry'!AU180,'Council Entry'!AU$9),'Council Entry'!AU$8),'Council Entry'!AU180))))-'Council Entry'!AU$5)/('Council Entry'!AU$6-'Council Entry'!AU$5),10*((IF('Council Entry'!AU$4="Logarithm",LN(0.001+IF(AND(ISNUMBER('Council Entry'!AU$8),ISNUMBER('Council Entry'!AU$9)),MAX(MIN('Council Entry'!AU180,'Council Entry'!AU$9),'Council Entry'!AU$8),'Council Entry'!AU180)),IF('Council Entry'!AU$4="Exponential",EXP(IF(AND(ISNUMBER('Council Entry'!AU$8),ISNUMBER('Council Entry'!AU$9)),MAX(MIN('Council Entry'!AU180,'Council Entry'!AU$9),'Council Entry'!AU$8),'Council Entry'!AU180)),IF(AND(ISNUMBER('Council Entry'!AU$8),ISNUMBER('Council Entry'!AU$9)),MAX(MIN('Council Entry'!AU180,'Council Entry'!AU$9),'Council Entry'!AU$8),'Council Entry'!AU180))))-'Council Entry'!AU$5)/('Council Entry'!AU$6-'Council Entry'!AU$5)),1))),"No data"))</f>
        <v/>
      </c>
      <c r="AV180" s="13">
        <f>IF('Council Entry'!AV180="","",IFERROR(MAX(0,MIN(10,ROUND(IF('Council Entry'!AV$7="Decrease Risk",10-10*((IF('Council Entry'!AV$4="Logarithm",LN(0.001+IF(AND(ISNUMBER('Council Entry'!AV$8),ISNUMBER('Council Entry'!AV$9)),MAX(MIN('Council Entry'!AV180,'Council Entry'!AV$9),'Council Entry'!AV$8),'Council Entry'!AV180)),IF('Council Entry'!AV$4="Exponential",EXP(IF(AND(ISNUMBER('Council Entry'!AV$8),ISNUMBER('Council Entry'!AV$9)),MAX(MIN('Council Entry'!AV180,'Council Entry'!AV$9),'Council Entry'!AV$8),'Council Entry'!AV180)),IF(AND(ISNUMBER('Council Entry'!AV$8),ISNUMBER('Council Entry'!AV$9)),MAX(MIN('Council Entry'!AV180,'Council Entry'!AV$9),'Council Entry'!AV$8),'Council Entry'!AV180))))-'Council Entry'!AV$5)/('Council Entry'!AV$6-'Council Entry'!AV$5),10*((IF('Council Entry'!AV$4="Logarithm",LN(0.001+IF(AND(ISNUMBER('Council Entry'!AV$8),ISNUMBER('Council Entry'!AV$9)),MAX(MIN('Council Entry'!AV180,'Council Entry'!AV$9),'Council Entry'!AV$8),'Council Entry'!AV180)),IF('Council Entry'!AV$4="Exponential",EXP(IF(AND(ISNUMBER('Council Entry'!AV$8),ISNUMBER('Council Entry'!AV$9)),MAX(MIN('Council Entry'!AV180,'Council Entry'!AV$9),'Council Entry'!AV$8),'Council Entry'!AV180)),IF(AND(ISNUMBER('Council Entry'!AV$8),ISNUMBER('Council Entry'!AV$9)),MAX(MIN('Council Entry'!AV180,'Council Entry'!AV$9),'Council Entry'!AV$8),'Council Entry'!AV180))))-'Council Entry'!AV$5)/('Council Entry'!AV$6-'Council Entry'!AV$5)),1))),"No data"))</f>
        <v/>
      </c>
      <c r="AW180" s="13">
        <f>IF('Council Entry'!AW180="","",IFERROR(MAX(0,MIN(10,ROUND(IF('Council Entry'!AW$7="Decrease Risk",10-10*((IF('Council Entry'!AW$4="Logarithm",LN(0.001+IF(AND(ISNUMBER('Council Entry'!AW$8),ISNUMBER('Council Entry'!AW$9)),MAX(MIN('Council Entry'!AW180,'Council Entry'!AW$9),'Council Entry'!AW$8),'Council Entry'!AW180)),IF('Council Entry'!AW$4="Exponential",EXP(IF(AND(ISNUMBER('Council Entry'!AW$8),ISNUMBER('Council Entry'!AW$9)),MAX(MIN('Council Entry'!AW180,'Council Entry'!AW$9),'Council Entry'!AW$8),'Council Entry'!AW180)),IF(AND(ISNUMBER('Council Entry'!AW$8),ISNUMBER('Council Entry'!AW$9)),MAX(MIN('Council Entry'!AW180,'Council Entry'!AW$9),'Council Entry'!AW$8),'Council Entry'!AW180))))-'Council Entry'!AW$5)/('Council Entry'!AW$6-'Council Entry'!AW$5),10*((IF('Council Entry'!AW$4="Logarithm",LN(0.001+IF(AND(ISNUMBER('Council Entry'!AW$8),ISNUMBER('Council Entry'!AW$9)),MAX(MIN('Council Entry'!AW180,'Council Entry'!AW$9),'Council Entry'!AW$8),'Council Entry'!AW180)),IF('Council Entry'!AW$4="Exponential",EXP(IF(AND(ISNUMBER('Council Entry'!AW$8),ISNUMBER('Council Entry'!AW$9)),MAX(MIN('Council Entry'!AW180,'Council Entry'!AW$9),'Council Entry'!AW$8),'Council Entry'!AW180)),IF(AND(ISNUMBER('Council Entry'!AW$8),ISNUMBER('Council Entry'!AW$9)),MAX(MIN('Council Entry'!AW180,'Council Entry'!AW$9),'Council Entry'!AW$8),'Council Entry'!AW180))))-'Council Entry'!AW$5)/('Council Entry'!AW$6-'Council Entry'!AW$5)),1))),"No data"))</f>
        <v/>
      </c>
      <c r="AX180" s="13">
        <f>IF('Council Entry'!AX180="","",IFERROR(MAX(0,MIN(10,ROUND(IF('Council Entry'!AX$7="Decrease Risk",10-10*((IF('Council Entry'!AX$4="Logarithm",LN(0.001+IF(AND(ISNUMBER('Council Entry'!AX$8),ISNUMBER('Council Entry'!AX$9)),MAX(MIN('Council Entry'!AX180,'Council Entry'!AX$9),'Council Entry'!AX$8),'Council Entry'!AX180)),IF('Council Entry'!AX$4="Exponential",EXP(IF(AND(ISNUMBER('Council Entry'!AX$8),ISNUMBER('Council Entry'!AX$9)),MAX(MIN('Council Entry'!AX180,'Council Entry'!AX$9),'Council Entry'!AX$8),'Council Entry'!AX180)),IF(AND(ISNUMBER('Council Entry'!AX$8),ISNUMBER('Council Entry'!AX$9)),MAX(MIN('Council Entry'!AX180,'Council Entry'!AX$9),'Council Entry'!AX$8),'Council Entry'!AX180))))-'Council Entry'!AX$5)/('Council Entry'!AX$6-'Council Entry'!AX$5),10*((IF('Council Entry'!AX$4="Logarithm",LN(0.001+IF(AND(ISNUMBER('Council Entry'!AX$8),ISNUMBER('Council Entry'!AX$9)),MAX(MIN('Council Entry'!AX180,'Council Entry'!AX$9),'Council Entry'!AX$8),'Council Entry'!AX180)),IF('Council Entry'!AX$4="Exponential",EXP(IF(AND(ISNUMBER('Council Entry'!AX$8),ISNUMBER('Council Entry'!AX$9)),MAX(MIN('Council Entry'!AX180,'Council Entry'!AX$9),'Council Entry'!AX$8),'Council Entry'!AX180)),IF(AND(ISNUMBER('Council Entry'!AX$8),ISNUMBER('Council Entry'!AX$9)),MAX(MIN('Council Entry'!AX180,'Council Entry'!AX$9),'Council Entry'!AX$8),'Council Entry'!AX180))))-'Council Entry'!AX$5)/('Council Entry'!AX$6-'Council Entry'!AX$5)),1))),"No data"))</f>
        <v/>
      </c>
      <c r="AY180" s="13">
        <f>IF('Council Entry'!AY180="","",IFERROR(MAX(0,MIN(10,ROUND(IF('Council Entry'!AY$7="Decrease Risk",10-10*((IF('Council Entry'!AY$4="Logarithm",LN(0.001+IF(AND(ISNUMBER('Council Entry'!AY$8),ISNUMBER('Council Entry'!AY$9)),MAX(MIN('Council Entry'!AY180,'Council Entry'!AY$9),'Council Entry'!AY$8),'Council Entry'!AY180)),IF('Council Entry'!AY$4="Exponential",EXP(IF(AND(ISNUMBER('Council Entry'!AY$8),ISNUMBER('Council Entry'!AY$9)),MAX(MIN('Council Entry'!AY180,'Council Entry'!AY$9),'Council Entry'!AY$8),'Council Entry'!AY180)),IF(AND(ISNUMBER('Council Entry'!AY$8),ISNUMBER('Council Entry'!AY$9)),MAX(MIN('Council Entry'!AY180,'Council Entry'!AY$9),'Council Entry'!AY$8),'Council Entry'!AY180))))-'Council Entry'!AY$5)/('Council Entry'!AY$6-'Council Entry'!AY$5),10*((IF('Council Entry'!AY$4="Logarithm",LN(0.001+IF(AND(ISNUMBER('Council Entry'!AY$8),ISNUMBER('Council Entry'!AY$9)),MAX(MIN('Council Entry'!AY180,'Council Entry'!AY$9),'Council Entry'!AY$8),'Council Entry'!AY180)),IF('Council Entry'!AY$4="Exponential",EXP(IF(AND(ISNUMBER('Council Entry'!AY$8),ISNUMBER('Council Entry'!AY$9)),MAX(MIN('Council Entry'!AY180,'Council Entry'!AY$9),'Council Entry'!AY$8),'Council Entry'!AY180)),IF(AND(ISNUMBER('Council Entry'!AY$8),ISNUMBER('Council Entry'!AY$9)),MAX(MIN('Council Entry'!AY180,'Council Entry'!AY$9),'Council Entry'!AY$8),'Council Entry'!AY180))))-'Council Entry'!AY$5)/('Council Entry'!AY$6-'Council Entry'!AY$5)),1))),"No data"))</f>
        <v/>
      </c>
      <c r="AZ180" s="13">
        <f>IF('Council Entry'!AZ180="","",IFERROR(MAX(0,MIN(10,ROUND(IF('Council Entry'!AZ$7="Decrease Risk",10-10*((IF('Council Entry'!AZ$4="Logarithm",LN(0.001+IF(AND(ISNUMBER('Council Entry'!AZ$8),ISNUMBER('Council Entry'!AZ$9)),MAX(MIN('Council Entry'!AZ180,'Council Entry'!AZ$9),'Council Entry'!AZ$8),'Council Entry'!AZ180)),IF('Council Entry'!AZ$4="Exponential",EXP(IF(AND(ISNUMBER('Council Entry'!AZ$8),ISNUMBER('Council Entry'!AZ$9)),MAX(MIN('Council Entry'!AZ180,'Council Entry'!AZ$9),'Council Entry'!AZ$8),'Council Entry'!AZ180)),IF(AND(ISNUMBER('Council Entry'!AZ$8),ISNUMBER('Council Entry'!AZ$9)),MAX(MIN('Council Entry'!AZ180,'Council Entry'!AZ$9),'Council Entry'!AZ$8),'Council Entry'!AZ180))))-'Council Entry'!AZ$5)/('Council Entry'!AZ$6-'Council Entry'!AZ$5),10*((IF('Council Entry'!AZ$4="Logarithm",LN(0.001+IF(AND(ISNUMBER('Council Entry'!AZ$8),ISNUMBER('Council Entry'!AZ$9)),MAX(MIN('Council Entry'!AZ180,'Council Entry'!AZ$9),'Council Entry'!AZ$8),'Council Entry'!AZ180)),IF('Council Entry'!AZ$4="Exponential",EXP(IF(AND(ISNUMBER('Council Entry'!AZ$8),ISNUMBER('Council Entry'!AZ$9)),MAX(MIN('Council Entry'!AZ180,'Council Entry'!AZ$9),'Council Entry'!AZ$8),'Council Entry'!AZ180)),IF(AND(ISNUMBER('Council Entry'!AZ$8),ISNUMBER('Council Entry'!AZ$9)),MAX(MIN('Council Entry'!AZ180,'Council Entry'!AZ$9),'Council Entry'!AZ$8),'Council Entry'!AZ180))))-'Council Entry'!AZ$5)/('Council Entry'!AZ$6-'Council Entry'!AZ$5)),1))),"No data"))</f>
        <v/>
      </c>
      <c r="BA180" s="13">
        <f>IF('Council Entry'!BA180="","",IFERROR(MAX(0,MIN(10,ROUND(IF('Council Entry'!BA$7="Decrease Risk",10-10*((IF('Council Entry'!BA$4="Logarithm",LN(0.001+IF(AND(ISNUMBER('Council Entry'!BA$8),ISNUMBER('Council Entry'!BA$9)),MAX(MIN('Council Entry'!BA180,'Council Entry'!BA$9),'Council Entry'!BA$8),'Council Entry'!BA180)),IF('Council Entry'!BA$4="Exponential",EXP(IF(AND(ISNUMBER('Council Entry'!BA$8),ISNUMBER('Council Entry'!BA$9)),MAX(MIN('Council Entry'!BA180,'Council Entry'!BA$9),'Council Entry'!BA$8),'Council Entry'!BA180)),IF(AND(ISNUMBER('Council Entry'!BA$8),ISNUMBER('Council Entry'!BA$9)),MAX(MIN('Council Entry'!BA180,'Council Entry'!BA$9),'Council Entry'!BA$8),'Council Entry'!BA180))))-'Council Entry'!BA$5)/('Council Entry'!BA$6-'Council Entry'!BA$5),10*((IF('Council Entry'!BA$4="Logarithm",LN(0.001+IF(AND(ISNUMBER('Council Entry'!BA$8),ISNUMBER('Council Entry'!BA$9)),MAX(MIN('Council Entry'!BA180,'Council Entry'!BA$9),'Council Entry'!BA$8),'Council Entry'!BA180)),IF('Council Entry'!BA$4="Exponential",EXP(IF(AND(ISNUMBER('Council Entry'!BA$8),ISNUMBER('Council Entry'!BA$9)),MAX(MIN('Council Entry'!BA180,'Council Entry'!BA$9),'Council Entry'!BA$8),'Council Entry'!BA180)),IF(AND(ISNUMBER('Council Entry'!BA$8),ISNUMBER('Council Entry'!BA$9)),MAX(MIN('Council Entry'!BA180,'Council Entry'!BA$9),'Council Entry'!BA$8),'Council Entry'!BA180))))-'Council Entry'!BA$5)/('Council Entry'!BA$6-'Council Entry'!BA$5)),1))),"No data"))</f>
        <v/>
      </c>
      <c r="BB180" s="13">
        <f>IF('Council Entry'!BB180="","",IFERROR(MAX(0,MIN(10,ROUND(IF('Council Entry'!BB$7="Decrease Risk",10-10*((IF('Council Entry'!BB$4="Logarithm",LN(0.001+IF(AND(ISNUMBER('Council Entry'!BB$8),ISNUMBER('Council Entry'!BB$9)),MAX(MIN('Council Entry'!BB180,'Council Entry'!BB$9),'Council Entry'!BB$8),'Council Entry'!BB180)),IF('Council Entry'!BB$4="Exponential",EXP(IF(AND(ISNUMBER('Council Entry'!BB$8),ISNUMBER('Council Entry'!BB$9)),MAX(MIN('Council Entry'!BB180,'Council Entry'!BB$9),'Council Entry'!BB$8),'Council Entry'!BB180)),IF(AND(ISNUMBER('Council Entry'!BB$8),ISNUMBER('Council Entry'!BB$9)),MAX(MIN('Council Entry'!BB180,'Council Entry'!BB$9),'Council Entry'!BB$8),'Council Entry'!BB180))))-'Council Entry'!BB$5)/('Council Entry'!BB$6-'Council Entry'!BB$5),10*((IF('Council Entry'!BB$4="Logarithm",LN(0.001+IF(AND(ISNUMBER('Council Entry'!BB$8),ISNUMBER('Council Entry'!BB$9)),MAX(MIN('Council Entry'!BB180,'Council Entry'!BB$9),'Council Entry'!BB$8),'Council Entry'!BB180)),IF('Council Entry'!BB$4="Exponential",EXP(IF(AND(ISNUMBER('Council Entry'!BB$8),ISNUMBER('Council Entry'!BB$9)),MAX(MIN('Council Entry'!BB180,'Council Entry'!BB$9),'Council Entry'!BB$8),'Council Entry'!BB180)),IF(AND(ISNUMBER('Council Entry'!BB$8),ISNUMBER('Council Entry'!BB$9)),MAX(MIN('Council Entry'!BB180,'Council Entry'!BB$9),'Council Entry'!BB$8),'Council Entry'!BB180))))-'Council Entry'!BB$5)/('Council Entry'!BB$6-'Council Entry'!BB$5)),1))),"No data"))</f>
        <v/>
      </c>
      <c r="BC180" s="13">
        <f>IF('Council Entry'!BC180="","",IFERROR(MAX(0,MIN(10,ROUND(IF('Council Entry'!BC$7="Decrease Risk",10-10*((IF('Council Entry'!BC$4="Logarithm",LN(0.001+IF(AND(ISNUMBER('Council Entry'!BC$8),ISNUMBER('Council Entry'!BC$9)),MAX(MIN('Council Entry'!BC180,'Council Entry'!BC$9),'Council Entry'!BC$8),'Council Entry'!BC180)),IF('Council Entry'!BC$4="Exponential",EXP(IF(AND(ISNUMBER('Council Entry'!BC$8),ISNUMBER('Council Entry'!BC$9)),MAX(MIN('Council Entry'!BC180,'Council Entry'!BC$9),'Council Entry'!BC$8),'Council Entry'!BC180)),IF(AND(ISNUMBER('Council Entry'!BC$8),ISNUMBER('Council Entry'!BC$9)),MAX(MIN('Council Entry'!BC180,'Council Entry'!BC$9),'Council Entry'!BC$8),'Council Entry'!BC180))))-'Council Entry'!BC$5)/('Council Entry'!BC$6-'Council Entry'!BC$5),10*((IF('Council Entry'!BC$4="Logarithm",LN(0.001+IF(AND(ISNUMBER('Council Entry'!BC$8),ISNUMBER('Council Entry'!BC$9)),MAX(MIN('Council Entry'!BC180,'Council Entry'!BC$9),'Council Entry'!BC$8),'Council Entry'!BC180)),IF('Council Entry'!BC$4="Exponential",EXP(IF(AND(ISNUMBER('Council Entry'!BC$8),ISNUMBER('Council Entry'!BC$9)),MAX(MIN('Council Entry'!BC180,'Council Entry'!BC$9),'Council Entry'!BC$8),'Council Entry'!BC180)),IF(AND(ISNUMBER('Council Entry'!BC$8),ISNUMBER('Council Entry'!BC$9)),MAX(MIN('Council Entry'!BC180,'Council Entry'!BC$9),'Council Entry'!BC$8),'Council Entry'!BC180))))-'Council Entry'!BC$5)/('Council Entry'!BC$6-'Council Entry'!BC$5)),1))),"No data"))</f>
        <v/>
      </c>
      <c r="BD180" s="13">
        <f>IF('Council Entry'!BD180="","",IFERROR(MAX(0,MIN(10,ROUND(IF('Council Entry'!BD$7="Decrease Risk",10-10*((IF('Council Entry'!BD$4="Logarithm",LN(0.001+IF(AND(ISNUMBER('Council Entry'!BD$8),ISNUMBER('Council Entry'!BD$9)),MAX(MIN('Council Entry'!BD180,'Council Entry'!BD$9),'Council Entry'!BD$8),'Council Entry'!BD180)),IF('Council Entry'!BD$4="Exponential",EXP(IF(AND(ISNUMBER('Council Entry'!BD$8),ISNUMBER('Council Entry'!BD$9)),MAX(MIN('Council Entry'!BD180,'Council Entry'!BD$9),'Council Entry'!BD$8),'Council Entry'!BD180)),IF(AND(ISNUMBER('Council Entry'!BD$8),ISNUMBER('Council Entry'!BD$9)),MAX(MIN('Council Entry'!BD180,'Council Entry'!BD$9),'Council Entry'!BD$8),'Council Entry'!BD180))))-'Council Entry'!BD$5)/('Council Entry'!BD$6-'Council Entry'!BD$5),10*((IF('Council Entry'!BD$4="Logarithm",LN(0.001+IF(AND(ISNUMBER('Council Entry'!BD$8),ISNUMBER('Council Entry'!BD$9)),MAX(MIN('Council Entry'!BD180,'Council Entry'!BD$9),'Council Entry'!BD$8),'Council Entry'!BD180)),IF('Council Entry'!BD$4="Exponential",EXP(IF(AND(ISNUMBER('Council Entry'!BD$8),ISNUMBER('Council Entry'!BD$9)),MAX(MIN('Council Entry'!BD180,'Council Entry'!BD$9),'Council Entry'!BD$8),'Council Entry'!BD180)),IF(AND(ISNUMBER('Council Entry'!BD$8),ISNUMBER('Council Entry'!BD$9)),MAX(MIN('Council Entry'!BD180,'Council Entry'!BD$9),'Council Entry'!BD$8),'Council Entry'!BD180))))-'Council Entry'!BD$5)/('Council Entry'!BD$6-'Council Entry'!BD$5)),1))),"No data"))</f>
        <v/>
      </c>
    </row>
    <row r="181">
      <c r="A181" t="inlineStr">
        <is>
          <t>Singida</t>
        </is>
      </c>
      <c r="B181" t="inlineStr">
        <is>
          <t>Singida Municipal</t>
        </is>
      </c>
      <c r="C181" t="inlineStr">
        <is>
          <t>C094</t>
        </is>
      </c>
      <c r="D181" s="13">
        <f>IF('Council Entry'!D181="","",IFERROR(MAX(0,MIN(10,ROUND(IF('Council Entry'!D$7="Decrease Risk",10-10*((IF('Council Entry'!D$4="Logarithm",LN(0.001+IF(AND(ISNUMBER('Council Entry'!D$8),ISNUMBER('Council Entry'!D$9)),MAX(MIN('Council Entry'!D181,'Council Entry'!D$9),'Council Entry'!D$8),'Council Entry'!D181)),IF('Council Entry'!D$4="Exponential",EXP(IF(AND(ISNUMBER('Council Entry'!D$8),ISNUMBER('Council Entry'!D$9)),MAX(MIN('Council Entry'!D181,'Council Entry'!D$9),'Council Entry'!D$8),'Council Entry'!D181)),IF(AND(ISNUMBER('Council Entry'!D$8),ISNUMBER('Council Entry'!D$9)),MAX(MIN('Council Entry'!D181,'Council Entry'!D$9),'Council Entry'!D$8),'Council Entry'!D181))))-'Council Entry'!D$5)/('Council Entry'!D$6-'Council Entry'!D$5),10*((IF('Council Entry'!D$4="Logarithm",LN(0.001+IF(AND(ISNUMBER('Council Entry'!D$8),ISNUMBER('Council Entry'!D$9)),MAX(MIN('Council Entry'!D181,'Council Entry'!D$9),'Council Entry'!D$8),'Council Entry'!D181)),IF('Council Entry'!D$4="Exponential",EXP(IF(AND(ISNUMBER('Council Entry'!D$8),ISNUMBER('Council Entry'!D$9)),MAX(MIN('Council Entry'!D181,'Council Entry'!D$9),'Council Entry'!D$8),'Council Entry'!D181)),IF(AND(ISNUMBER('Council Entry'!D$8),ISNUMBER('Council Entry'!D$9)),MAX(MIN('Council Entry'!D181,'Council Entry'!D$9),'Council Entry'!D$8),'Council Entry'!D181))))-'Council Entry'!D$5)/('Council Entry'!D$6-'Council Entry'!D$5)),1))),"No data"))</f>
        <v/>
      </c>
      <c r="E181" s="13">
        <f>IF('Council Entry'!E181="","",IFERROR(MAX(0,MIN(10,ROUND(IF('Council Entry'!E$7="Decrease Risk",10-10*((IF('Council Entry'!E$4="Logarithm",LN(0.001+IF(AND(ISNUMBER('Council Entry'!E$8),ISNUMBER('Council Entry'!E$9)),MAX(MIN('Council Entry'!E181,'Council Entry'!E$9),'Council Entry'!E$8),'Council Entry'!E181)),IF('Council Entry'!E$4="Exponential",EXP(IF(AND(ISNUMBER('Council Entry'!E$8),ISNUMBER('Council Entry'!E$9)),MAX(MIN('Council Entry'!E181,'Council Entry'!E$9),'Council Entry'!E$8),'Council Entry'!E181)),IF(AND(ISNUMBER('Council Entry'!E$8),ISNUMBER('Council Entry'!E$9)),MAX(MIN('Council Entry'!E181,'Council Entry'!E$9),'Council Entry'!E$8),'Council Entry'!E181))))-'Council Entry'!E$5)/('Council Entry'!E$6-'Council Entry'!E$5),10*((IF('Council Entry'!E$4="Logarithm",LN(0.001+IF(AND(ISNUMBER('Council Entry'!E$8),ISNUMBER('Council Entry'!E$9)),MAX(MIN('Council Entry'!E181,'Council Entry'!E$9),'Council Entry'!E$8),'Council Entry'!E181)),IF('Council Entry'!E$4="Exponential",EXP(IF(AND(ISNUMBER('Council Entry'!E$8),ISNUMBER('Council Entry'!E$9)),MAX(MIN('Council Entry'!E181,'Council Entry'!E$9),'Council Entry'!E$8),'Council Entry'!E181)),IF(AND(ISNUMBER('Council Entry'!E$8),ISNUMBER('Council Entry'!E$9)),MAX(MIN('Council Entry'!E181,'Council Entry'!E$9),'Council Entry'!E$8),'Council Entry'!E181))))-'Council Entry'!E$5)/('Council Entry'!E$6-'Council Entry'!E$5)),1))),"No data"))</f>
        <v/>
      </c>
      <c r="F181" s="13">
        <f>IF('Council Entry'!F181="","",IFERROR(MAX(0,MIN(10,ROUND(IF('Council Entry'!F$7="Decrease Risk",10-10*((IF('Council Entry'!F$4="Logarithm",LN(0.001+IF(AND(ISNUMBER('Council Entry'!F$8),ISNUMBER('Council Entry'!F$9)),MAX(MIN('Council Entry'!F181,'Council Entry'!F$9),'Council Entry'!F$8),'Council Entry'!F181)),IF('Council Entry'!F$4="Exponential",EXP(IF(AND(ISNUMBER('Council Entry'!F$8),ISNUMBER('Council Entry'!F$9)),MAX(MIN('Council Entry'!F181,'Council Entry'!F$9),'Council Entry'!F$8),'Council Entry'!F181)),IF(AND(ISNUMBER('Council Entry'!F$8),ISNUMBER('Council Entry'!F$9)),MAX(MIN('Council Entry'!F181,'Council Entry'!F$9),'Council Entry'!F$8),'Council Entry'!F181))))-'Council Entry'!F$5)/('Council Entry'!F$6-'Council Entry'!F$5),10*((IF('Council Entry'!F$4="Logarithm",LN(0.001+IF(AND(ISNUMBER('Council Entry'!F$8),ISNUMBER('Council Entry'!F$9)),MAX(MIN('Council Entry'!F181,'Council Entry'!F$9),'Council Entry'!F$8),'Council Entry'!F181)),IF('Council Entry'!F$4="Exponential",EXP(IF(AND(ISNUMBER('Council Entry'!F$8),ISNUMBER('Council Entry'!F$9)),MAX(MIN('Council Entry'!F181,'Council Entry'!F$9),'Council Entry'!F$8),'Council Entry'!F181)),IF(AND(ISNUMBER('Council Entry'!F$8),ISNUMBER('Council Entry'!F$9)),MAX(MIN('Council Entry'!F181,'Council Entry'!F$9),'Council Entry'!F$8),'Council Entry'!F181))))-'Council Entry'!F$5)/('Council Entry'!F$6-'Council Entry'!F$5)),1))),"No data"))</f>
        <v/>
      </c>
      <c r="G181" s="13">
        <f>IF('Council Entry'!G181="","",IFERROR(MAX(0,MIN(10,ROUND(IF('Council Entry'!G$7="Decrease Risk",10-10*((IF('Council Entry'!G$4="Logarithm",LN(0.001+IF(AND(ISNUMBER('Council Entry'!G$8),ISNUMBER('Council Entry'!G$9)),MAX(MIN('Council Entry'!G181,'Council Entry'!G$9),'Council Entry'!G$8),'Council Entry'!G181)),IF('Council Entry'!G$4="Exponential",EXP(IF(AND(ISNUMBER('Council Entry'!G$8),ISNUMBER('Council Entry'!G$9)),MAX(MIN('Council Entry'!G181,'Council Entry'!G$9),'Council Entry'!G$8),'Council Entry'!G181)),IF(AND(ISNUMBER('Council Entry'!G$8),ISNUMBER('Council Entry'!G$9)),MAX(MIN('Council Entry'!G181,'Council Entry'!G$9),'Council Entry'!G$8),'Council Entry'!G181))))-'Council Entry'!G$5)/('Council Entry'!G$6-'Council Entry'!G$5),10*((IF('Council Entry'!G$4="Logarithm",LN(0.001+IF(AND(ISNUMBER('Council Entry'!G$8),ISNUMBER('Council Entry'!G$9)),MAX(MIN('Council Entry'!G181,'Council Entry'!G$9),'Council Entry'!G$8),'Council Entry'!G181)),IF('Council Entry'!G$4="Exponential",EXP(IF(AND(ISNUMBER('Council Entry'!G$8),ISNUMBER('Council Entry'!G$9)),MAX(MIN('Council Entry'!G181,'Council Entry'!G$9),'Council Entry'!G$8),'Council Entry'!G181)),IF(AND(ISNUMBER('Council Entry'!G$8),ISNUMBER('Council Entry'!G$9)),MAX(MIN('Council Entry'!G181,'Council Entry'!G$9),'Council Entry'!G$8),'Council Entry'!G181))))-'Council Entry'!G$5)/('Council Entry'!G$6-'Council Entry'!G$5)),1))),"No data"))</f>
        <v/>
      </c>
      <c r="H181" s="13">
        <f>IF('Council Entry'!H181="","",IFERROR(MAX(0,MIN(10,ROUND(IF('Council Entry'!H$7="Decrease Risk",10-10*((IF('Council Entry'!H$4="Logarithm",LN(0.001+IF(AND(ISNUMBER('Council Entry'!H$8),ISNUMBER('Council Entry'!H$9)),MAX(MIN('Council Entry'!H181,'Council Entry'!H$9),'Council Entry'!H$8),'Council Entry'!H181)),IF('Council Entry'!H$4="Exponential",EXP(IF(AND(ISNUMBER('Council Entry'!H$8),ISNUMBER('Council Entry'!H$9)),MAX(MIN('Council Entry'!H181,'Council Entry'!H$9),'Council Entry'!H$8),'Council Entry'!H181)),IF(AND(ISNUMBER('Council Entry'!H$8),ISNUMBER('Council Entry'!H$9)),MAX(MIN('Council Entry'!H181,'Council Entry'!H$9),'Council Entry'!H$8),'Council Entry'!H181))))-'Council Entry'!H$5)/('Council Entry'!H$6-'Council Entry'!H$5),10*((IF('Council Entry'!H$4="Logarithm",LN(0.001+IF(AND(ISNUMBER('Council Entry'!H$8),ISNUMBER('Council Entry'!H$9)),MAX(MIN('Council Entry'!H181,'Council Entry'!H$9),'Council Entry'!H$8),'Council Entry'!H181)),IF('Council Entry'!H$4="Exponential",EXP(IF(AND(ISNUMBER('Council Entry'!H$8),ISNUMBER('Council Entry'!H$9)),MAX(MIN('Council Entry'!H181,'Council Entry'!H$9),'Council Entry'!H$8),'Council Entry'!H181)),IF(AND(ISNUMBER('Council Entry'!H$8),ISNUMBER('Council Entry'!H$9)),MAX(MIN('Council Entry'!H181,'Council Entry'!H$9),'Council Entry'!H$8),'Council Entry'!H181))))-'Council Entry'!H$5)/('Council Entry'!H$6-'Council Entry'!H$5)),1))),"No data"))</f>
        <v/>
      </c>
      <c r="I181" s="13">
        <f>IF('Council Entry'!I181="","",IFERROR(MAX(0,MIN(10,ROUND(IF('Council Entry'!I$7="Decrease Risk",10-10*((IF('Council Entry'!I$4="Logarithm",LN(0.001+IF(AND(ISNUMBER('Council Entry'!I$8),ISNUMBER('Council Entry'!I$9)),MAX(MIN('Council Entry'!I181,'Council Entry'!I$9),'Council Entry'!I$8),'Council Entry'!I181)),IF('Council Entry'!I$4="Exponential",EXP(IF(AND(ISNUMBER('Council Entry'!I$8),ISNUMBER('Council Entry'!I$9)),MAX(MIN('Council Entry'!I181,'Council Entry'!I$9),'Council Entry'!I$8),'Council Entry'!I181)),IF(AND(ISNUMBER('Council Entry'!I$8),ISNUMBER('Council Entry'!I$9)),MAX(MIN('Council Entry'!I181,'Council Entry'!I$9),'Council Entry'!I$8),'Council Entry'!I181))))-'Council Entry'!I$5)/('Council Entry'!I$6-'Council Entry'!I$5),10*((IF('Council Entry'!I$4="Logarithm",LN(0.001+IF(AND(ISNUMBER('Council Entry'!I$8),ISNUMBER('Council Entry'!I$9)),MAX(MIN('Council Entry'!I181,'Council Entry'!I$9),'Council Entry'!I$8),'Council Entry'!I181)),IF('Council Entry'!I$4="Exponential",EXP(IF(AND(ISNUMBER('Council Entry'!I$8),ISNUMBER('Council Entry'!I$9)),MAX(MIN('Council Entry'!I181,'Council Entry'!I$9),'Council Entry'!I$8),'Council Entry'!I181)),IF(AND(ISNUMBER('Council Entry'!I$8),ISNUMBER('Council Entry'!I$9)),MAX(MIN('Council Entry'!I181,'Council Entry'!I$9),'Council Entry'!I$8),'Council Entry'!I181))))-'Council Entry'!I$5)/('Council Entry'!I$6-'Council Entry'!I$5)),1))),"No data"))</f>
        <v/>
      </c>
      <c r="J181" s="13">
        <f>IF('Council Entry'!J181="","",IFERROR(MAX(0,MIN(10,ROUND(IF('Council Entry'!J$7="Decrease Risk",10-10*((IF('Council Entry'!J$4="Logarithm",LN(0.001+IF(AND(ISNUMBER('Council Entry'!J$8),ISNUMBER('Council Entry'!J$9)),MAX(MIN('Council Entry'!J181,'Council Entry'!J$9),'Council Entry'!J$8),'Council Entry'!J181)),IF('Council Entry'!J$4="Exponential",EXP(IF(AND(ISNUMBER('Council Entry'!J$8),ISNUMBER('Council Entry'!J$9)),MAX(MIN('Council Entry'!J181,'Council Entry'!J$9),'Council Entry'!J$8),'Council Entry'!J181)),IF(AND(ISNUMBER('Council Entry'!J$8),ISNUMBER('Council Entry'!J$9)),MAX(MIN('Council Entry'!J181,'Council Entry'!J$9),'Council Entry'!J$8),'Council Entry'!J181))))-'Council Entry'!J$5)/('Council Entry'!J$6-'Council Entry'!J$5),10*((IF('Council Entry'!J$4="Logarithm",LN(0.001+IF(AND(ISNUMBER('Council Entry'!J$8),ISNUMBER('Council Entry'!J$9)),MAX(MIN('Council Entry'!J181,'Council Entry'!J$9),'Council Entry'!J$8),'Council Entry'!J181)),IF('Council Entry'!J$4="Exponential",EXP(IF(AND(ISNUMBER('Council Entry'!J$8),ISNUMBER('Council Entry'!J$9)),MAX(MIN('Council Entry'!J181,'Council Entry'!J$9),'Council Entry'!J$8),'Council Entry'!J181)),IF(AND(ISNUMBER('Council Entry'!J$8),ISNUMBER('Council Entry'!J$9)),MAX(MIN('Council Entry'!J181,'Council Entry'!J$9),'Council Entry'!J$8),'Council Entry'!J181))))-'Council Entry'!J$5)/('Council Entry'!J$6-'Council Entry'!J$5)),1))),"No data"))</f>
        <v/>
      </c>
      <c r="K181" s="13">
        <f>IF('Council Entry'!K181="","",IFERROR(MAX(0,MIN(10,ROUND(IF('Council Entry'!K$7="Decrease Risk",10-10*((IF('Council Entry'!K$4="Logarithm",LN(0.001+IF(AND(ISNUMBER('Council Entry'!K$8),ISNUMBER('Council Entry'!K$9)),MAX(MIN('Council Entry'!K181,'Council Entry'!K$9),'Council Entry'!K$8),'Council Entry'!K181)),IF('Council Entry'!K$4="Exponential",EXP(IF(AND(ISNUMBER('Council Entry'!K$8),ISNUMBER('Council Entry'!K$9)),MAX(MIN('Council Entry'!K181,'Council Entry'!K$9),'Council Entry'!K$8),'Council Entry'!K181)),IF(AND(ISNUMBER('Council Entry'!K$8),ISNUMBER('Council Entry'!K$9)),MAX(MIN('Council Entry'!K181,'Council Entry'!K$9),'Council Entry'!K$8),'Council Entry'!K181))))-'Council Entry'!K$5)/('Council Entry'!K$6-'Council Entry'!K$5),10*((IF('Council Entry'!K$4="Logarithm",LN(0.001+IF(AND(ISNUMBER('Council Entry'!K$8),ISNUMBER('Council Entry'!K$9)),MAX(MIN('Council Entry'!K181,'Council Entry'!K$9),'Council Entry'!K$8),'Council Entry'!K181)),IF('Council Entry'!K$4="Exponential",EXP(IF(AND(ISNUMBER('Council Entry'!K$8),ISNUMBER('Council Entry'!K$9)),MAX(MIN('Council Entry'!K181,'Council Entry'!K$9),'Council Entry'!K$8),'Council Entry'!K181)),IF(AND(ISNUMBER('Council Entry'!K$8),ISNUMBER('Council Entry'!K$9)),MAX(MIN('Council Entry'!K181,'Council Entry'!K$9),'Council Entry'!K$8),'Council Entry'!K181))))-'Council Entry'!K$5)/('Council Entry'!K$6-'Council Entry'!K$5)),1))),"No data"))</f>
        <v/>
      </c>
      <c r="L181" s="13">
        <f>IF('Council Entry'!L181="","",IFERROR(MAX(0,MIN(10,ROUND(IF('Council Entry'!L$7="Decrease Risk",10-10*((IF('Council Entry'!L$4="Logarithm",LN(0.001+IF(AND(ISNUMBER('Council Entry'!L$8),ISNUMBER('Council Entry'!L$9)),MAX(MIN('Council Entry'!L181,'Council Entry'!L$9),'Council Entry'!L$8),'Council Entry'!L181)),IF('Council Entry'!L$4="Exponential",EXP(IF(AND(ISNUMBER('Council Entry'!L$8),ISNUMBER('Council Entry'!L$9)),MAX(MIN('Council Entry'!L181,'Council Entry'!L$9),'Council Entry'!L$8),'Council Entry'!L181)),IF(AND(ISNUMBER('Council Entry'!L$8),ISNUMBER('Council Entry'!L$9)),MAX(MIN('Council Entry'!L181,'Council Entry'!L$9),'Council Entry'!L$8),'Council Entry'!L181))))-'Council Entry'!L$5)/('Council Entry'!L$6-'Council Entry'!L$5),10*((IF('Council Entry'!L$4="Logarithm",LN(0.001+IF(AND(ISNUMBER('Council Entry'!L$8),ISNUMBER('Council Entry'!L$9)),MAX(MIN('Council Entry'!L181,'Council Entry'!L$9),'Council Entry'!L$8),'Council Entry'!L181)),IF('Council Entry'!L$4="Exponential",EXP(IF(AND(ISNUMBER('Council Entry'!L$8),ISNUMBER('Council Entry'!L$9)),MAX(MIN('Council Entry'!L181,'Council Entry'!L$9),'Council Entry'!L$8),'Council Entry'!L181)),IF(AND(ISNUMBER('Council Entry'!L$8),ISNUMBER('Council Entry'!L$9)),MAX(MIN('Council Entry'!L181,'Council Entry'!L$9),'Council Entry'!L$8),'Council Entry'!L181))))-'Council Entry'!L$5)/('Council Entry'!L$6-'Council Entry'!L$5)),1))),"No data"))</f>
        <v/>
      </c>
      <c r="M181" s="13">
        <f>IF('Council Entry'!M181="","",IFERROR(MAX(0,MIN(10,ROUND(IF('Council Entry'!M$7="Decrease Risk",10-10*((IF('Council Entry'!M$4="Logarithm",LN(0.001+IF(AND(ISNUMBER('Council Entry'!M$8),ISNUMBER('Council Entry'!M$9)),MAX(MIN('Council Entry'!M181,'Council Entry'!M$9),'Council Entry'!M$8),'Council Entry'!M181)),IF('Council Entry'!M$4="Exponential",EXP(IF(AND(ISNUMBER('Council Entry'!M$8),ISNUMBER('Council Entry'!M$9)),MAX(MIN('Council Entry'!M181,'Council Entry'!M$9),'Council Entry'!M$8),'Council Entry'!M181)),IF(AND(ISNUMBER('Council Entry'!M$8),ISNUMBER('Council Entry'!M$9)),MAX(MIN('Council Entry'!M181,'Council Entry'!M$9),'Council Entry'!M$8),'Council Entry'!M181))))-'Council Entry'!M$5)/('Council Entry'!M$6-'Council Entry'!M$5),10*((IF('Council Entry'!M$4="Logarithm",LN(0.001+IF(AND(ISNUMBER('Council Entry'!M$8),ISNUMBER('Council Entry'!M$9)),MAX(MIN('Council Entry'!M181,'Council Entry'!M$9),'Council Entry'!M$8),'Council Entry'!M181)),IF('Council Entry'!M$4="Exponential",EXP(IF(AND(ISNUMBER('Council Entry'!M$8),ISNUMBER('Council Entry'!M$9)),MAX(MIN('Council Entry'!M181,'Council Entry'!M$9),'Council Entry'!M$8),'Council Entry'!M181)),IF(AND(ISNUMBER('Council Entry'!M$8),ISNUMBER('Council Entry'!M$9)),MAX(MIN('Council Entry'!M181,'Council Entry'!M$9),'Council Entry'!M$8),'Council Entry'!M181))))-'Council Entry'!M$5)/('Council Entry'!M$6-'Council Entry'!M$5)),1))),"No data"))</f>
        <v/>
      </c>
      <c r="N181" s="13">
        <f>IF('Council Entry'!N181="","",IFERROR(MAX(0,MIN(10,ROUND(IF('Council Entry'!N$7="Decrease Risk",10-10*((IF('Council Entry'!N$4="Logarithm",LN(0.001+IF(AND(ISNUMBER('Council Entry'!N$8),ISNUMBER('Council Entry'!N$9)),MAX(MIN('Council Entry'!N181,'Council Entry'!N$9),'Council Entry'!N$8),'Council Entry'!N181)),IF('Council Entry'!N$4="Exponential",EXP(IF(AND(ISNUMBER('Council Entry'!N$8),ISNUMBER('Council Entry'!N$9)),MAX(MIN('Council Entry'!N181,'Council Entry'!N$9),'Council Entry'!N$8),'Council Entry'!N181)),IF(AND(ISNUMBER('Council Entry'!N$8),ISNUMBER('Council Entry'!N$9)),MAX(MIN('Council Entry'!N181,'Council Entry'!N$9),'Council Entry'!N$8),'Council Entry'!N181))))-'Council Entry'!N$5)/('Council Entry'!N$6-'Council Entry'!N$5),10*((IF('Council Entry'!N$4="Logarithm",LN(0.001+IF(AND(ISNUMBER('Council Entry'!N$8),ISNUMBER('Council Entry'!N$9)),MAX(MIN('Council Entry'!N181,'Council Entry'!N$9),'Council Entry'!N$8),'Council Entry'!N181)),IF('Council Entry'!N$4="Exponential",EXP(IF(AND(ISNUMBER('Council Entry'!N$8),ISNUMBER('Council Entry'!N$9)),MAX(MIN('Council Entry'!N181,'Council Entry'!N$9),'Council Entry'!N$8),'Council Entry'!N181)),IF(AND(ISNUMBER('Council Entry'!N$8),ISNUMBER('Council Entry'!N$9)),MAX(MIN('Council Entry'!N181,'Council Entry'!N$9),'Council Entry'!N$8),'Council Entry'!N181))))-'Council Entry'!N$5)/('Council Entry'!N$6-'Council Entry'!N$5)),1))),"No data"))</f>
        <v/>
      </c>
      <c r="O181" s="13">
        <f>IF('Council Entry'!O181="","",IFERROR(MAX(0,MIN(10,ROUND(IF('Council Entry'!O$7="Decrease Risk",10-10*((IF('Council Entry'!O$4="Logarithm",LN(0.001+IF(AND(ISNUMBER('Council Entry'!O$8),ISNUMBER('Council Entry'!O$9)),MAX(MIN('Council Entry'!O181,'Council Entry'!O$9),'Council Entry'!O$8),'Council Entry'!O181)),IF('Council Entry'!O$4="Exponential",EXP(IF(AND(ISNUMBER('Council Entry'!O$8),ISNUMBER('Council Entry'!O$9)),MAX(MIN('Council Entry'!O181,'Council Entry'!O$9),'Council Entry'!O$8),'Council Entry'!O181)),IF(AND(ISNUMBER('Council Entry'!O$8),ISNUMBER('Council Entry'!O$9)),MAX(MIN('Council Entry'!O181,'Council Entry'!O$9),'Council Entry'!O$8),'Council Entry'!O181))))-'Council Entry'!O$5)/('Council Entry'!O$6-'Council Entry'!O$5),10*((IF('Council Entry'!O$4="Logarithm",LN(0.001+IF(AND(ISNUMBER('Council Entry'!O$8),ISNUMBER('Council Entry'!O$9)),MAX(MIN('Council Entry'!O181,'Council Entry'!O$9),'Council Entry'!O$8),'Council Entry'!O181)),IF('Council Entry'!O$4="Exponential",EXP(IF(AND(ISNUMBER('Council Entry'!O$8),ISNUMBER('Council Entry'!O$9)),MAX(MIN('Council Entry'!O181,'Council Entry'!O$9),'Council Entry'!O$8),'Council Entry'!O181)),IF(AND(ISNUMBER('Council Entry'!O$8),ISNUMBER('Council Entry'!O$9)),MAX(MIN('Council Entry'!O181,'Council Entry'!O$9),'Council Entry'!O$8),'Council Entry'!O181))))-'Council Entry'!O$5)/('Council Entry'!O$6-'Council Entry'!O$5)),1))),"No data"))</f>
        <v/>
      </c>
      <c r="P181" s="13">
        <f>IF('Council Entry'!P181="","",IFERROR(MAX(0,MIN(10,ROUND(IF('Council Entry'!P$7="Decrease Risk",10-10*((IF('Council Entry'!P$4="Logarithm",LN(0.001+IF(AND(ISNUMBER('Council Entry'!P$8),ISNUMBER('Council Entry'!P$9)),MAX(MIN('Council Entry'!P181,'Council Entry'!P$9),'Council Entry'!P$8),'Council Entry'!P181)),IF('Council Entry'!P$4="Exponential",EXP(IF(AND(ISNUMBER('Council Entry'!P$8),ISNUMBER('Council Entry'!P$9)),MAX(MIN('Council Entry'!P181,'Council Entry'!P$9),'Council Entry'!P$8),'Council Entry'!P181)),IF(AND(ISNUMBER('Council Entry'!P$8),ISNUMBER('Council Entry'!P$9)),MAX(MIN('Council Entry'!P181,'Council Entry'!P$9),'Council Entry'!P$8),'Council Entry'!P181))))-'Council Entry'!P$5)/('Council Entry'!P$6-'Council Entry'!P$5),10*((IF('Council Entry'!P$4="Logarithm",LN(0.001+IF(AND(ISNUMBER('Council Entry'!P$8),ISNUMBER('Council Entry'!P$9)),MAX(MIN('Council Entry'!P181,'Council Entry'!P$9),'Council Entry'!P$8),'Council Entry'!P181)),IF('Council Entry'!P$4="Exponential",EXP(IF(AND(ISNUMBER('Council Entry'!P$8),ISNUMBER('Council Entry'!P$9)),MAX(MIN('Council Entry'!P181,'Council Entry'!P$9),'Council Entry'!P$8),'Council Entry'!P181)),IF(AND(ISNUMBER('Council Entry'!P$8),ISNUMBER('Council Entry'!P$9)),MAX(MIN('Council Entry'!P181,'Council Entry'!P$9),'Council Entry'!P$8),'Council Entry'!P181))))-'Council Entry'!P$5)/('Council Entry'!P$6-'Council Entry'!P$5)),1))),"No data"))</f>
        <v/>
      </c>
      <c r="Q181" s="13">
        <f>IF('Council Entry'!Q181="","",IFERROR(MAX(0,MIN(10,ROUND(IF('Council Entry'!Q$7="Decrease Risk",10-10*((IF('Council Entry'!Q$4="Logarithm",LN(0.001+IF(AND(ISNUMBER('Council Entry'!Q$8),ISNUMBER('Council Entry'!Q$9)),MAX(MIN('Council Entry'!Q181,'Council Entry'!Q$9),'Council Entry'!Q$8),'Council Entry'!Q181)),IF('Council Entry'!Q$4="Exponential",EXP(IF(AND(ISNUMBER('Council Entry'!Q$8),ISNUMBER('Council Entry'!Q$9)),MAX(MIN('Council Entry'!Q181,'Council Entry'!Q$9),'Council Entry'!Q$8),'Council Entry'!Q181)),IF(AND(ISNUMBER('Council Entry'!Q$8),ISNUMBER('Council Entry'!Q$9)),MAX(MIN('Council Entry'!Q181,'Council Entry'!Q$9),'Council Entry'!Q$8),'Council Entry'!Q181))))-'Council Entry'!Q$5)/('Council Entry'!Q$6-'Council Entry'!Q$5),10*((IF('Council Entry'!Q$4="Logarithm",LN(0.001+IF(AND(ISNUMBER('Council Entry'!Q$8),ISNUMBER('Council Entry'!Q$9)),MAX(MIN('Council Entry'!Q181,'Council Entry'!Q$9),'Council Entry'!Q$8),'Council Entry'!Q181)),IF('Council Entry'!Q$4="Exponential",EXP(IF(AND(ISNUMBER('Council Entry'!Q$8),ISNUMBER('Council Entry'!Q$9)),MAX(MIN('Council Entry'!Q181,'Council Entry'!Q$9),'Council Entry'!Q$8),'Council Entry'!Q181)),IF(AND(ISNUMBER('Council Entry'!Q$8),ISNUMBER('Council Entry'!Q$9)),MAX(MIN('Council Entry'!Q181,'Council Entry'!Q$9),'Council Entry'!Q$8),'Council Entry'!Q181))))-'Council Entry'!Q$5)/('Council Entry'!Q$6-'Council Entry'!Q$5)),1))),"No data"))</f>
        <v/>
      </c>
      <c r="R181" s="13">
        <f>IF('Council Entry'!R181="","",IFERROR(MAX(0,MIN(10,ROUND(IF('Council Entry'!R$7="Decrease Risk",10-10*((IF('Council Entry'!R$4="Logarithm",LN(0.001+IF(AND(ISNUMBER('Council Entry'!R$8),ISNUMBER('Council Entry'!R$9)),MAX(MIN('Council Entry'!R181,'Council Entry'!R$9),'Council Entry'!R$8),'Council Entry'!R181)),IF('Council Entry'!R$4="Exponential",EXP(IF(AND(ISNUMBER('Council Entry'!R$8),ISNUMBER('Council Entry'!R$9)),MAX(MIN('Council Entry'!R181,'Council Entry'!R$9),'Council Entry'!R$8),'Council Entry'!R181)),IF(AND(ISNUMBER('Council Entry'!R$8),ISNUMBER('Council Entry'!R$9)),MAX(MIN('Council Entry'!R181,'Council Entry'!R$9),'Council Entry'!R$8),'Council Entry'!R181))))-'Council Entry'!R$5)/('Council Entry'!R$6-'Council Entry'!R$5),10*((IF('Council Entry'!R$4="Logarithm",LN(0.001+IF(AND(ISNUMBER('Council Entry'!R$8),ISNUMBER('Council Entry'!R$9)),MAX(MIN('Council Entry'!R181,'Council Entry'!R$9),'Council Entry'!R$8),'Council Entry'!R181)),IF('Council Entry'!R$4="Exponential",EXP(IF(AND(ISNUMBER('Council Entry'!R$8),ISNUMBER('Council Entry'!R$9)),MAX(MIN('Council Entry'!R181,'Council Entry'!R$9),'Council Entry'!R$8),'Council Entry'!R181)),IF(AND(ISNUMBER('Council Entry'!R$8),ISNUMBER('Council Entry'!R$9)),MAX(MIN('Council Entry'!R181,'Council Entry'!R$9),'Council Entry'!R$8),'Council Entry'!R181))))-'Council Entry'!R$5)/('Council Entry'!R$6-'Council Entry'!R$5)),1))),"No data"))</f>
        <v/>
      </c>
      <c r="S181" s="13">
        <f>IF('Council Entry'!S181="","",IFERROR(MAX(0,MIN(10,ROUND(IF('Council Entry'!S$7="Decrease Risk",10-10*((IF('Council Entry'!S$4="Logarithm",LN(0.001+IF(AND(ISNUMBER('Council Entry'!S$8),ISNUMBER('Council Entry'!S$9)),MAX(MIN('Council Entry'!S181,'Council Entry'!S$9),'Council Entry'!S$8),'Council Entry'!S181)),IF('Council Entry'!S$4="Exponential",EXP(IF(AND(ISNUMBER('Council Entry'!S$8),ISNUMBER('Council Entry'!S$9)),MAX(MIN('Council Entry'!S181,'Council Entry'!S$9),'Council Entry'!S$8),'Council Entry'!S181)),IF(AND(ISNUMBER('Council Entry'!S$8),ISNUMBER('Council Entry'!S$9)),MAX(MIN('Council Entry'!S181,'Council Entry'!S$9),'Council Entry'!S$8),'Council Entry'!S181))))-'Council Entry'!S$5)/('Council Entry'!S$6-'Council Entry'!S$5),10*((IF('Council Entry'!S$4="Logarithm",LN(0.001+IF(AND(ISNUMBER('Council Entry'!S$8),ISNUMBER('Council Entry'!S$9)),MAX(MIN('Council Entry'!S181,'Council Entry'!S$9),'Council Entry'!S$8),'Council Entry'!S181)),IF('Council Entry'!S$4="Exponential",EXP(IF(AND(ISNUMBER('Council Entry'!S$8),ISNUMBER('Council Entry'!S$9)),MAX(MIN('Council Entry'!S181,'Council Entry'!S$9),'Council Entry'!S$8),'Council Entry'!S181)),IF(AND(ISNUMBER('Council Entry'!S$8),ISNUMBER('Council Entry'!S$9)),MAX(MIN('Council Entry'!S181,'Council Entry'!S$9),'Council Entry'!S$8),'Council Entry'!S181))))-'Council Entry'!S$5)/('Council Entry'!S$6-'Council Entry'!S$5)),1))),"No data"))</f>
        <v/>
      </c>
      <c r="T181" s="13">
        <f>IF('Council Entry'!T181="","",IFERROR(MAX(0,MIN(10,ROUND(IF('Council Entry'!T$7="Decrease Risk",10-10*((IF('Council Entry'!T$4="Logarithm",LN(0.001+IF(AND(ISNUMBER('Council Entry'!T$8),ISNUMBER('Council Entry'!T$9)),MAX(MIN('Council Entry'!T181,'Council Entry'!T$9),'Council Entry'!T$8),'Council Entry'!T181)),IF('Council Entry'!T$4="Exponential",EXP(IF(AND(ISNUMBER('Council Entry'!T$8),ISNUMBER('Council Entry'!T$9)),MAX(MIN('Council Entry'!T181,'Council Entry'!T$9),'Council Entry'!T$8),'Council Entry'!T181)),IF(AND(ISNUMBER('Council Entry'!T$8),ISNUMBER('Council Entry'!T$9)),MAX(MIN('Council Entry'!T181,'Council Entry'!T$9),'Council Entry'!T$8),'Council Entry'!T181))))-'Council Entry'!T$5)/('Council Entry'!T$6-'Council Entry'!T$5),10*((IF('Council Entry'!T$4="Logarithm",LN(0.001+IF(AND(ISNUMBER('Council Entry'!T$8),ISNUMBER('Council Entry'!T$9)),MAX(MIN('Council Entry'!T181,'Council Entry'!T$9),'Council Entry'!T$8),'Council Entry'!T181)),IF('Council Entry'!T$4="Exponential",EXP(IF(AND(ISNUMBER('Council Entry'!T$8),ISNUMBER('Council Entry'!T$9)),MAX(MIN('Council Entry'!T181,'Council Entry'!T$9),'Council Entry'!T$8),'Council Entry'!T181)),IF(AND(ISNUMBER('Council Entry'!T$8),ISNUMBER('Council Entry'!T$9)),MAX(MIN('Council Entry'!T181,'Council Entry'!T$9),'Council Entry'!T$8),'Council Entry'!T181))))-'Council Entry'!T$5)/('Council Entry'!T$6-'Council Entry'!T$5)),1))),"No data"))</f>
        <v/>
      </c>
      <c r="U181" s="13">
        <f>IF('Council Entry'!U181="","",IFERROR(MAX(0,MIN(10,ROUND(IF('Council Entry'!U$7="Decrease Risk",10-10*((IF('Council Entry'!U$4="Logarithm",LN(0.001+IF(AND(ISNUMBER('Council Entry'!U$8),ISNUMBER('Council Entry'!U$9)),MAX(MIN('Council Entry'!U181,'Council Entry'!U$9),'Council Entry'!U$8),'Council Entry'!U181)),IF('Council Entry'!U$4="Exponential",EXP(IF(AND(ISNUMBER('Council Entry'!U$8),ISNUMBER('Council Entry'!U$9)),MAX(MIN('Council Entry'!U181,'Council Entry'!U$9),'Council Entry'!U$8),'Council Entry'!U181)),IF(AND(ISNUMBER('Council Entry'!U$8),ISNUMBER('Council Entry'!U$9)),MAX(MIN('Council Entry'!U181,'Council Entry'!U$9),'Council Entry'!U$8),'Council Entry'!U181))))-'Council Entry'!U$5)/('Council Entry'!U$6-'Council Entry'!U$5),10*((IF('Council Entry'!U$4="Logarithm",LN(0.001+IF(AND(ISNUMBER('Council Entry'!U$8),ISNUMBER('Council Entry'!U$9)),MAX(MIN('Council Entry'!U181,'Council Entry'!U$9),'Council Entry'!U$8),'Council Entry'!U181)),IF('Council Entry'!U$4="Exponential",EXP(IF(AND(ISNUMBER('Council Entry'!U$8),ISNUMBER('Council Entry'!U$9)),MAX(MIN('Council Entry'!U181,'Council Entry'!U$9),'Council Entry'!U$8),'Council Entry'!U181)),IF(AND(ISNUMBER('Council Entry'!U$8),ISNUMBER('Council Entry'!U$9)),MAX(MIN('Council Entry'!U181,'Council Entry'!U$9),'Council Entry'!U$8),'Council Entry'!U181))))-'Council Entry'!U$5)/('Council Entry'!U$6-'Council Entry'!U$5)),1))),"No data"))</f>
        <v/>
      </c>
      <c r="V181" s="13">
        <f>IF('Council Entry'!V181="","",IFERROR(MAX(0,MIN(10,ROUND(IF('Council Entry'!V$7="Decrease Risk",10-10*((IF('Council Entry'!V$4="Logarithm",LN(0.001+IF(AND(ISNUMBER('Council Entry'!V$8),ISNUMBER('Council Entry'!V$9)),MAX(MIN('Council Entry'!V181,'Council Entry'!V$9),'Council Entry'!V$8),'Council Entry'!V181)),IF('Council Entry'!V$4="Exponential",EXP(IF(AND(ISNUMBER('Council Entry'!V$8),ISNUMBER('Council Entry'!V$9)),MAX(MIN('Council Entry'!V181,'Council Entry'!V$9),'Council Entry'!V$8),'Council Entry'!V181)),IF(AND(ISNUMBER('Council Entry'!V$8),ISNUMBER('Council Entry'!V$9)),MAX(MIN('Council Entry'!V181,'Council Entry'!V$9),'Council Entry'!V$8),'Council Entry'!V181))))-'Council Entry'!V$5)/('Council Entry'!V$6-'Council Entry'!V$5),10*((IF('Council Entry'!V$4="Logarithm",LN(0.001+IF(AND(ISNUMBER('Council Entry'!V$8),ISNUMBER('Council Entry'!V$9)),MAX(MIN('Council Entry'!V181,'Council Entry'!V$9),'Council Entry'!V$8),'Council Entry'!V181)),IF('Council Entry'!V$4="Exponential",EXP(IF(AND(ISNUMBER('Council Entry'!V$8),ISNUMBER('Council Entry'!V$9)),MAX(MIN('Council Entry'!V181,'Council Entry'!V$9),'Council Entry'!V$8),'Council Entry'!V181)),IF(AND(ISNUMBER('Council Entry'!V$8),ISNUMBER('Council Entry'!V$9)),MAX(MIN('Council Entry'!V181,'Council Entry'!V$9),'Council Entry'!V$8),'Council Entry'!V181))))-'Council Entry'!V$5)/('Council Entry'!V$6-'Council Entry'!V$5)),1))),"No data"))</f>
        <v/>
      </c>
      <c r="W181" s="13">
        <f>IF('Council Entry'!W181="","",IFERROR(MAX(0,MIN(10,ROUND(IF('Council Entry'!W$7="Decrease Risk",10-10*((IF('Council Entry'!W$4="Logarithm",LN(0.001+IF(AND(ISNUMBER('Council Entry'!W$8),ISNUMBER('Council Entry'!W$9)),MAX(MIN('Council Entry'!W181,'Council Entry'!W$9),'Council Entry'!W$8),'Council Entry'!W181)),IF('Council Entry'!W$4="Exponential",EXP(IF(AND(ISNUMBER('Council Entry'!W$8),ISNUMBER('Council Entry'!W$9)),MAX(MIN('Council Entry'!W181,'Council Entry'!W$9),'Council Entry'!W$8),'Council Entry'!W181)),IF(AND(ISNUMBER('Council Entry'!W$8),ISNUMBER('Council Entry'!W$9)),MAX(MIN('Council Entry'!W181,'Council Entry'!W$9),'Council Entry'!W$8),'Council Entry'!W181))))-'Council Entry'!W$5)/('Council Entry'!W$6-'Council Entry'!W$5),10*((IF('Council Entry'!W$4="Logarithm",LN(0.001+IF(AND(ISNUMBER('Council Entry'!W$8),ISNUMBER('Council Entry'!W$9)),MAX(MIN('Council Entry'!W181,'Council Entry'!W$9),'Council Entry'!W$8),'Council Entry'!W181)),IF('Council Entry'!W$4="Exponential",EXP(IF(AND(ISNUMBER('Council Entry'!W$8),ISNUMBER('Council Entry'!W$9)),MAX(MIN('Council Entry'!W181,'Council Entry'!W$9),'Council Entry'!W$8),'Council Entry'!W181)),IF(AND(ISNUMBER('Council Entry'!W$8),ISNUMBER('Council Entry'!W$9)),MAX(MIN('Council Entry'!W181,'Council Entry'!W$9),'Council Entry'!W$8),'Council Entry'!W181))))-'Council Entry'!W$5)/('Council Entry'!W$6-'Council Entry'!W$5)),1))),"No data"))</f>
        <v/>
      </c>
      <c r="X181" s="13">
        <f>IF('Council Entry'!X181="","",IFERROR(MAX(0,MIN(10,ROUND(IF('Council Entry'!X$7="Decrease Risk",10-10*((IF('Council Entry'!X$4="Logarithm",LN(0.001+IF(AND(ISNUMBER('Council Entry'!X$8),ISNUMBER('Council Entry'!X$9)),MAX(MIN('Council Entry'!X181,'Council Entry'!X$9),'Council Entry'!X$8),'Council Entry'!X181)),IF('Council Entry'!X$4="Exponential",EXP(IF(AND(ISNUMBER('Council Entry'!X$8),ISNUMBER('Council Entry'!X$9)),MAX(MIN('Council Entry'!X181,'Council Entry'!X$9),'Council Entry'!X$8),'Council Entry'!X181)),IF(AND(ISNUMBER('Council Entry'!X$8),ISNUMBER('Council Entry'!X$9)),MAX(MIN('Council Entry'!X181,'Council Entry'!X$9),'Council Entry'!X$8),'Council Entry'!X181))))-'Council Entry'!X$5)/('Council Entry'!X$6-'Council Entry'!X$5),10*((IF('Council Entry'!X$4="Logarithm",LN(0.001+IF(AND(ISNUMBER('Council Entry'!X$8),ISNUMBER('Council Entry'!X$9)),MAX(MIN('Council Entry'!X181,'Council Entry'!X$9),'Council Entry'!X$8),'Council Entry'!X181)),IF('Council Entry'!X$4="Exponential",EXP(IF(AND(ISNUMBER('Council Entry'!X$8),ISNUMBER('Council Entry'!X$9)),MAX(MIN('Council Entry'!X181,'Council Entry'!X$9),'Council Entry'!X$8),'Council Entry'!X181)),IF(AND(ISNUMBER('Council Entry'!X$8),ISNUMBER('Council Entry'!X$9)),MAX(MIN('Council Entry'!X181,'Council Entry'!X$9),'Council Entry'!X$8),'Council Entry'!X181))))-'Council Entry'!X$5)/('Council Entry'!X$6-'Council Entry'!X$5)),1))),"No data"))</f>
        <v/>
      </c>
      <c r="Y181" s="13">
        <f>IF('Council Entry'!Y181="","",IFERROR(MAX(0,MIN(10,ROUND(IF('Council Entry'!Y$7="Decrease Risk",10-10*((IF('Council Entry'!Y$4="Logarithm",LN(0.001+IF(AND(ISNUMBER('Council Entry'!Y$8),ISNUMBER('Council Entry'!Y$9)),MAX(MIN('Council Entry'!Y181,'Council Entry'!Y$9),'Council Entry'!Y$8),'Council Entry'!Y181)),IF('Council Entry'!Y$4="Exponential",EXP(IF(AND(ISNUMBER('Council Entry'!Y$8),ISNUMBER('Council Entry'!Y$9)),MAX(MIN('Council Entry'!Y181,'Council Entry'!Y$9),'Council Entry'!Y$8),'Council Entry'!Y181)),IF(AND(ISNUMBER('Council Entry'!Y$8),ISNUMBER('Council Entry'!Y$9)),MAX(MIN('Council Entry'!Y181,'Council Entry'!Y$9),'Council Entry'!Y$8),'Council Entry'!Y181))))-'Council Entry'!Y$5)/('Council Entry'!Y$6-'Council Entry'!Y$5),10*((IF('Council Entry'!Y$4="Logarithm",LN(0.001+IF(AND(ISNUMBER('Council Entry'!Y$8),ISNUMBER('Council Entry'!Y$9)),MAX(MIN('Council Entry'!Y181,'Council Entry'!Y$9),'Council Entry'!Y$8),'Council Entry'!Y181)),IF('Council Entry'!Y$4="Exponential",EXP(IF(AND(ISNUMBER('Council Entry'!Y$8),ISNUMBER('Council Entry'!Y$9)),MAX(MIN('Council Entry'!Y181,'Council Entry'!Y$9),'Council Entry'!Y$8),'Council Entry'!Y181)),IF(AND(ISNUMBER('Council Entry'!Y$8),ISNUMBER('Council Entry'!Y$9)),MAX(MIN('Council Entry'!Y181,'Council Entry'!Y$9),'Council Entry'!Y$8),'Council Entry'!Y181))))-'Council Entry'!Y$5)/('Council Entry'!Y$6-'Council Entry'!Y$5)),1))),"No data"))</f>
        <v/>
      </c>
      <c r="Z181" s="13">
        <f>IF('Council Entry'!Z181="","",IFERROR(MAX(0,MIN(10,ROUND(IF('Council Entry'!Z$7="Decrease Risk",10-10*((IF('Council Entry'!Z$4="Logarithm",LN(0.001+IF(AND(ISNUMBER('Council Entry'!Z$8),ISNUMBER('Council Entry'!Z$9)),MAX(MIN('Council Entry'!Z181,'Council Entry'!Z$9),'Council Entry'!Z$8),'Council Entry'!Z181)),IF('Council Entry'!Z$4="Exponential",EXP(IF(AND(ISNUMBER('Council Entry'!Z$8),ISNUMBER('Council Entry'!Z$9)),MAX(MIN('Council Entry'!Z181,'Council Entry'!Z$9),'Council Entry'!Z$8),'Council Entry'!Z181)),IF(AND(ISNUMBER('Council Entry'!Z$8),ISNUMBER('Council Entry'!Z$9)),MAX(MIN('Council Entry'!Z181,'Council Entry'!Z$9),'Council Entry'!Z$8),'Council Entry'!Z181))))-'Council Entry'!Z$5)/('Council Entry'!Z$6-'Council Entry'!Z$5),10*((IF('Council Entry'!Z$4="Logarithm",LN(0.001+IF(AND(ISNUMBER('Council Entry'!Z$8),ISNUMBER('Council Entry'!Z$9)),MAX(MIN('Council Entry'!Z181,'Council Entry'!Z$9),'Council Entry'!Z$8),'Council Entry'!Z181)),IF('Council Entry'!Z$4="Exponential",EXP(IF(AND(ISNUMBER('Council Entry'!Z$8),ISNUMBER('Council Entry'!Z$9)),MAX(MIN('Council Entry'!Z181,'Council Entry'!Z$9),'Council Entry'!Z$8),'Council Entry'!Z181)),IF(AND(ISNUMBER('Council Entry'!Z$8),ISNUMBER('Council Entry'!Z$9)),MAX(MIN('Council Entry'!Z181,'Council Entry'!Z$9),'Council Entry'!Z$8),'Council Entry'!Z181))))-'Council Entry'!Z$5)/('Council Entry'!Z$6-'Council Entry'!Z$5)),1))),"No data"))</f>
        <v/>
      </c>
      <c r="AA181" s="13">
        <f>IF('Council Entry'!AA181="","",IFERROR(MAX(0,MIN(10,ROUND(IF('Council Entry'!AA$7="Decrease Risk",10-10*((IF('Council Entry'!AA$4="Logarithm",LN(0.001+IF(AND(ISNUMBER('Council Entry'!AA$8),ISNUMBER('Council Entry'!AA$9)),MAX(MIN('Council Entry'!AA181,'Council Entry'!AA$9),'Council Entry'!AA$8),'Council Entry'!AA181)),IF('Council Entry'!AA$4="Exponential",EXP(IF(AND(ISNUMBER('Council Entry'!AA$8),ISNUMBER('Council Entry'!AA$9)),MAX(MIN('Council Entry'!AA181,'Council Entry'!AA$9),'Council Entry'!AA$8),'Council Entry'!AA181)),IF(AND(ISNUMBER('Council Entry'!AA$8),ISNUMBER('Council Entry'!AA$9)),MAX(MIN('Council Entry'!AA181,'Council Entry'!AA$9),'Council Entry'!AA$8),'Council Entry'!AA181))))-'Council Entry'!AA$5)/('Council Entry'!AA$6-'Council Entry'!AA$5),10*((IF('Council Entry'!AA$4="Logarithm",LN(0.001+IF(AND(ISNUMBER('Council Entry'!AA$8),ISNUMBER('Council Entry'!AA$9)),MAX(MIN('Council Entry'!AA181,'Council Entry'!AA$9),'Council Entry'!AA$8),'Council Entry'!AA181)),IF('Council Entry'!AA$4="Exponential",EXP(IF(AND(ISNUMBER('Council Entry'!AA$8),ISNUMBER('Council Entry'!AA$9)),MAX(MIN('Council Entry'!AA181,'Council Entry'!AA$9),'Council Entry'!AA$8),'Council Entry'!AA181)),IF(AND(ISNUMBER('Council Entry'!AA$8),ISNUMBER('Council Entry'!AA$9)),MAX(MIN('Council Entry'!AA181,'Council Entry'!AA$9),'Council Entry'!AA$8),'Council Entry'!AA181))))-'Council Entry'!AA$5)/('Council Entry'!AA$6-'Council Entry'!AA$5)),1))),"No data"))</f>
        <v/>
      </c>
      <c r="AB181" s="13">
        <f>IF('Council Entry'!AB181="","",IFERROR(MAX(0,MIN(10,ROUND(IF('Council Entry'!AB$7="Decrease Risk",10-10*((IF('Council Entry'!AB$4="Logarithm",LN(0.001+IF(AND(ISNUMBER('Council Entry'!AB$8),ISNUMBER('Council Entry'!AB$9)),MAX(MIN('Council Entry'!AB181,'Council Entry'!AB$9),'Council Entry'!AB$8),'Council Entry'!AB181)),IF('Council Entry'!AB$4="Exponential",EXP(IF(AND(ISNUMBER('Council Entry'!AB$8),ISNUMBER('Council Entry'!AB$9)),MAX(MIN('Council Entry'!AB181,'Council Entry'!AB$9),'Council Entry'!AB$8),'Council Entry'!AB181)),IF(AND(ISNUMBER('Council Entry'!AB$8),ISNUMBER('Council Entry'!AB$9)),MAX(MIN('Council Entry'!AB181,'Council Entry'!AB$9),'Council Entry'!AB$8),'Council Entry'!AB181))))-'Council Entry'!AB$5)/('Council Entry'!AB$6-'Council Entry'!AB$5),10*((IF('Council Entry'!AB$4="Logarithm",LN(0.001+IF(AND(ISNUMBER('Council Entry'!AB$8),ISNUMBER('Council Entry'!AB$9)),MAX(MIN('Council Entry'!AB181,'Council Entry'!AB$9),'Council Entry'!AB$8),'Council Entry'!AB181)),IF('Council Entry'!AB$4="Exponential",EXP(IF(AND(ISNUMBER('Council Entry'!AB$8),ISNUMBER('Council Entry'!AB$9)),MAX(MIN('Council Entry'!AB181,'Council Entry'!AB$9),'Council Entry'!AB$8),'Council Entry'!AB181)),IF(AND(ISNUMBER('Council Entry'!AB$8),ISNUMBER('Council Entry'!AB$9)),MAX(MIN('Council Entry'!AB181,'Council Entry'!AB$9),'Council Entry'!AB$8),'Council Entry'!AB181))))-'Council Entry'!AB$5)/('Council Entry'!AB$6-'Council Entry'!AB$5)),1))),"No data"))</f>
        <v/>
      </c>
      <c r="AC181" s="13">
        <f>IF('Council Entry'!AC181="","",IFERROR(MAX(0,MIN(10,ROUND(IF('Council Entry'!AC$7="Decrease Risk",10-10*((IF('Council Entry'!AC$4="Logarithm",LN(0.001+IF(AND(ISNUMBER('Council Entry'!AC$8),ISNUMBER('Council Entry'!AC$9)),MAX(MIN('Council Entry'!AC181,'Council Entry'!AC$9),'Council Entry'!AC$8),'Council Entry'!AC181)),IF('Council Entry'!AC$4="Exponential",EXP(IF(AND(ISNUMBER('Council Entry'!AC$8),ISNUMBER('Council Entry'!AC$9)),MAX(MIN('Council Entry'!AC181,'Council Entry'!AC$9),'Council Entry'!AC$8),'Council Entry'!AC181)),IF(AND(ISNUMBER('Council Entry'!AC$8),ISNUMBER('Council Entry'!AC$9)),MAX(MIN('Council Entry'!AC181,'Council Entry'!AC$9),'Council Entry'!AC$8),'Council Entry'!AC181))))-'Council Entry'!AC$5)/('Council Entry'!AC$6-'Council Entry'!AC$5),10*((IF('Council Entry'!AC$4="Logarithm",LN(0.001+IF(AND(ISNUMBER('Council Entry'!AC$8),ISNUMBER('Council Entry'!AC$9)),MAX(MIN('Council Entry'!AC181,'Council Entry'!AC$9),'Council Entry'!AC$8),'Council Entry'!AC181)),IF('Council Entry'!AC$4="Exponential",EXP(IF(AND(ISNUMBER('Council Entry'!AC$8),ISNUMBER('Council Entry'!AC$9)),MAX(MIN('Council Entry'!AC181,'Council Entry'!AC$9),'Council Entry'!AC$8),'Council Entry'!AC181)),IF(AND(ISNUMBER('Council Entry'!AC$8),ISNUMBER('Council Entry'!AC$9)),MAX(MIN('Council Entry'!AC181,'Council Entry'!AC$9),'Council Entry'!AC$8),'Council Entry'!AC181))))-'Council Entry'!AC$5)/('Council Entry'!AC$6-'Council Entry'!AC$5)),1))),"No data"))</f>
        <v/>
      </c>
      <c r="AD181" s="13">
        <f>IF('Council Entry'!AD181="","",IFERROR(MAX(0,MIN(10,ROUND(IF('Council Entry'!AD$7="Decrease Risk",10-10*((IF('Council Entry'!AD$4="Logarithm",LN(0.001+IF(AND(ISNUMBER('Council Entry'!AD$8),ISNUMBER('Council Entry'!AD$9)),MAX(MIN('Council Entry'!AD181,'Council Entry'!AD$9),'Council Entry'!AD$8),'Council Entry'!AD181)),IF('Council Entry'!AD$4="Exponential",EXP(IF(AND(ISNUMBER('Council Entry'!AD$8),ISNUMBER('Council Entry'!AD$9)),MAX(MIN('Council Entry'!AD181,'Council Entry'!AD$9),'Council Entry'!AD$8),'Council Entry'!AD181)),IF(AND(ISNUMBER('Council Entry'!AD$8),ISNUMBER('Council Entry'!AD$9)),MAX(MIN('Council Entry'!AD181,'Council Entry'!AD$9),'Council Entry'!AD$8),'Council Entry'!AD181))))-'Council Entry'!AD$5)/('Council Entry'!AD$6-'Council Entry'!AD$5),10*((IF('Council Entry'!AD$4="Logarithm",LN(0.001+IF(AND(ISNUMBER('Council Entry'!AD$8),ISNUMBER('Council Entry'!AD$9)),MAX(MIN('Council Entry'!AD181,'Council Entry'!AD$9),'Council Entry'!AD$8),'Council Entry'!AD181)),IF('Council Entry'!AD$4="Exponential",EXP(IF(AND(ISNUMBER('Council Entry'!AD$8),ISNUMBER('Council Entry'!AD$9)),MAX(MIN('Council Entry'!AD181,'Council Entry'!AD$9),'Council Entry'!AD$8),'Council Entry'!AD181)),IF(AND(ISNUMBER('Council Entry'!AD$8),ISNUMBER('Council Entry'!AD$9)),MAX(MIN('Council Entry'!AD181,'Council Entry'!AD$9),'Council Entry'!AD$8),'Council Entry'!AD181))))-'Council Entry'!AD$5)/('Council Entry'!AD$6-'Council Entry'!AD$5)),1))),"No data"))</f>
        <v/>
      </c>
      <c r="AE181" s="13">
        <f>IF('Council Entry'!AE181="","",IFERROR(MAX(0,MIN(10,ROUND(IF('Council Entry'!AE$7="Decrease Risk",10-10*((IF('Council Entry'!AE$4="Logarithm",LN(0.001+IF(AND(ISNUMBER('Council Entry'!AE$8),ISNUMBER('Council Entry'!AE$9)),MAX(MIN('Council Entry'!AE181,'Council Entry'!AE$9),'Council Entry'!AE$8),'Council Entry'!AE181)),IF('Council Entry'!AE$4="Exponential",EXP(IF(AND(ISNUMBER('Council Entry'!AE$8),ISNUMBER('Council Entry'!AE$9)),MAX(MIN('Council Entry'!AE181,'Council Entry'!AE$9),'Council Entry'!AE$8),'Council Entry'!AE181)),IF(AND(ISNUMBER('Council Entry'!AE$8),ISNUMBER('Council Entry'!AE$9)),MAX(MIN('Council Entry'!AE181,'Council Entry'!AE$9),'Council Entry'!AE$8),'Council Entry'!AE181))))-'Council Entry'!AE$5)/('Council Entry'!AE$6-'Council Entry'!AE$5),10*((IF('Council Entry'!AE$4="Logarithm",LN(0.001+IF(AND(ISNUMBER('Council Entry'!AE$8),ISNUMBER('Council Entry'!AE$9)),MAX(MIN('Council Entry'!AE181,'Council Entry'!AE$9),'Council Entry'!AE$8),'Council Entry'!AE181)),IF('Council Entry'!AE$4="Exponential",EXP(IF(AND(ISNUMBER('Council Entry'!AE$8),ISNUMBER('Council Entry'!AE$9)),MAX(MIN('Council Entry'!AE181,'Council Entry'!AE$9),'Council Entry'!AE$8),'Council Entry'!AE181)),IF(AND(ISNUMBER('Council Entry'!AE$8),ISNUMBER('Council Entry'!AE$9)),MAX(MIN('Council Entry'!AE181,'Council Entry'!AE$9),'Council Entry'!AE$8),'Council Entry'!AE181))))-'Council Entry'!AE$5)/('Council Entry'!AE$6-'Council Entry'!AE$5)),1))),"No data"))</f>
        <v/>
      </c>
      <c r="AF181" s="13">
        <f>IF('Council Entry'!AF181="","",IFERROR(MAX(0,MIN(10,ROUND(IF('Council Entry'!AF$7="Decrease Risk",10-10*((IF('Council Entry'!AF$4="Logarithm",LN(0.001+IF(AND(ISNUMBER('Council Entry'!AF$8),ISNUMBER('Council Entry'!AF$9)),MAX(MIN('Council Entry'!AF181,'Council Entry'!AF$9),'Council Entry'!AF$8),'Council Entry'!AF181)),IF('Council Entry'!AF$4="Exponential",EXP(IF(AND(ISNUMBER('Council Entry'!AF$8),ISNUMBER('Council Entry'!AF$9)),MAX(MIN('Council Entry'!AF181,'Council Entry'!AF$9),'Council Entry'!AF$8),'Council Entry'!AF181)),IF(AND(ISNUMBER('Council Entry'!AF$8),ISNUMBER('Council Entry'!AF$9)),MAX(MIN('Council Entry'!AF181,'Council Entry'!AF$9),'Council Entry'!AF$8),'Council Entry'!AF181))))-'Council Entry'!AF$5)/('Council Entry'!AF$6-'Council Entry'!AF$5),10*((IF('Council Entry'!AF$4="Logarithm",LN(0.001+IF(AND(ISNUMBER('Council Entry'!AF$8),ISNUMBER('Council Entry'!AF$9)),MAX(MIN('Council Entry'!AF181,'Council Entry'!AF$9),'Council Entry'!AF$8),'Council Entry'!AF181)),IF('Council Entry'!AF$4="Exponential",EXP(IF(AND(ISNUMBER('Council Entry'!AF$8),ISNUMBER('Council Entry'!AF$9)),MAX(MIN('Council Entry'!AF181,'Council Entry'!AF$9),'Council Entry'!AF$8),'Council Entry'!AF181)),IF(AND(ISNUMBER('Council Entry'!AF$8),ISNUMBER('Council Entry'!AF$9)),MAX(MIN('Council Entry'!AF181,'Council Entry'!AF$9),'Council Entry'!AF$8),'Council Entry'!AF181))))-'Council Entry'!AF$5)/('Council Entry'!AF$6-'Council Entry'!AF$5)),1))),"No data"))</f>
        <v/>
      </c>
      <c r="AG181" s="13">
        <f>IF('Council Entry'!AG181="","",IFERROR(MAX(0,MIN(10,ROUND(IF('Council Entry'!AG$7="Decrease Risk",10-10*((IF('Council Entry'!AG$4="Logarithm",LN(0.001+IF(AND(ISNUMBER('Council Entry'!AG$8),ISNUMBER('Council Entry'!AG$9)),MAX(MIN('Council Entry'!AG181,'Council Entry'!AG$9),'Council Entry'!AG$8),'Council Entry'!AG181)),IF('Council Entry'!AG$4="Exponential",EXP(IF(AND(ISNUMBER('Council Entry'!AG$8),ISNUMBER('Council Entry'!AG$9)),MAX(MIN('Council Entry'!AG181,'Council Entry'!AG$9),'Council Entry'!AG$8),'Council Entry'!AG181)),IF(AND(ISNUMBER('Council Entry'!AG$8),ISNUMBER('Council Entry'!AG$9)),MAX(MIN('Council Entry'!AG181,'Council Entry'!AG$9),'Council Entry'!AG$8),'Council Entry'!AG181))))-'Council Entry'!AG$5)/('Council Entry'!AG$6-'Council Entry'!AG$5),10*((IF('Council Entry'!AG$4="Logarithm",LN(0.001+IF(AND(ISNUMBER('Council Entry'!AG$8),ISNUMBER('Council Entry'!AG$9)),MAX(MIN('Council Entry'!AG181,'Council Entry'!AG$9),'Council Entry'!AG$8),'Council Entry'!AG181)),IF('Council Entry'!AG$4="Exponential",EXP(IF(AND(ISNUMBER('Council Entry'!AG$8),ISNUMBER('Council Entry'!AG$9)),MAX(MIN('Council Entry'!AG181,'Council Entry'!AG$9),'Council Entry'!AG$8),'Council Entry'!AG181)),IF(AND(ISNUMBER('Council Entry'!AG$8),ISNUMBER('Council Entry'!AG$9)),MAX(MIN('Council Entry'!AG181,'Council Entry'!AG$9),'Council Entry'!AG$8),'Council Entry'!AG181))))-'Council Entry'!AG$5)/('Council Entry'!AG$6-'Council Entry'!AG$5)),1))),"No data"))</f>
        <v/>
      </c>
      <c r="AH181" s="13">
        <f>IF('Council Entry'!AH181="","",IFERROR(MAX(0,MIN(10,ROUND(IF('Council Entry'!AH$7="Decrease Risk",10-10*((IF('Council Entry'!AH$4="Logarithm",LN(0.001+IF(AND(ISNUMBER('Council Entry'!AH$8),ISNUMBER('Council Entry'!AH$9)),MAX(MIN('Council Entry'!AH181,'Council Entry'!AH$9),'Council Entry'!AH$8),'Council Entry'!AH181)),IF('Council Entry'!AH$4="Exponential",EXP(IF(AND(ISNUMBER('Council Entry'!AH$8),ISNUMBER('Council Entry'!AH$9)),MAX(MIN('Council Entry'!AH181,'Council Entry'!AH$9),'Council Entry'!AH$8),'Council Entry'!AH181)),IF(AND(ISNUMBER('Council Entry'!AH$8),ISNUMBER('Council Entry'!AH$9)),MAX(MIN('Council Entry'!AH181,'Council Entry'!AH$9),'Council Entry'!AH$8),'Council Entry'!AH181))))-'Council Entry'!AH$5)/('Council Entry'!AH$6-'Council Entry'!AH$5),10*((IF('Council Entry'!AH$4="Logarithm",LN(0.001+IF(AND(ISNUMBER('Council Entry'!AH$8),ISNUMBER('Council Entry'!AH$9)),MAX(MIN('Council Entry'!AH181,'Council Entry'!AH$9),'Council Entry'!AH$8),'Council Entry'!AH181)),IF('Council Entry'!AH$4="Exponential",EXP(IF(AND(ISNUMBER('Council Entry'!AH$8),ISNUMBER('Council Entry'!AH$9)),MAX(MIN('Council Entry'!AH181,'Council Entry'!AH$9),'Council Entry'!AH$8),'Council Entry'!AH181)),IF(AND(ISNUMBER('Council Entry'!AH$8),ISNUMBER('Council Entry'!AH$9)),MAX(MIN('Council Entry'!AH181,'Council Entry'!AH$9),'Council Entry'!AH$8),'Council Entry'!AH181))))-'Council Entry'!AH$5)/('Council Entry'!AH$6-'Council Entry'!AH$5)),1))),"No data"))</f>
        <v/>
      </c>
      <c r="AI181" s="13">
        <f>IF('Council Entry'!AI181="","",IFERROR(MAX(0,MIN(10,ROUND(IF('Council Entry'!AI$7="Decrease Risk",10-10*((IF('Council Entry'!AI$4="Logarithm",LN(0.001+IF(AND(ISNUMBER('Council Entry'!AI$8),ISNUMBER('Council Entry'!AI$9)),MAX(MIN('Council Entry'!AI181,'Council Entry'!AI$9),'Council Entry'!AI$8),'Council Entry'!AI181)),IF('Council Entry'!AI$4="Exponential",EXP(IF(AND(ISNUMBER('Council Entry'!AI$8),ISNUMBER('Council Entry'!AI$9)),MAX(MIN('Council Entry'!AI181,'Council Entry'!AI$9),'Council Entry'!AI$8),'Council Entry'!AI181)),IF(AND(ISNUMBER('Council Entry'!AI$8),ISNUMBER('Council Entry'!AI$9)),MAX(MIN('Council Entry'!AI181,'Council Entry'!AI$9),'Council Entry'!AI$8),'Council Entry'!AI181))))-'Council Entry'!AI$5)/('Council Entry'!AI$6-'Council Entry'!AI$5),10*((IF('Council Entry'!AI$4="Logarithm",LN(0.001+IF(AND(ISNUMBER('Council Entry'!AI$8),ISNUMBER('Council Entry'!AI$9)),MAX(MIN('Council Entry'!AI181,'Council Entry'!AI$9),'Council Entry'!AI$8),'Council Entry'!AI181)),IF('Council Entry'!AI$4="Exponential",EXP(IF(AND(ISNUMBER('Council Entry'!AI$8),ISNUMBER('Council Entry'!AI$9)),MAX(MIN('Council Entry'!AI181,'Council Entry'!AI$9),'Council Entry'!AI$8),'Council Entry'!AI181)),IF(AND(ISNUMBER('Council Entry'!AI$8),ISNUMBER('Council Entry'!AI$9)),MAX(MIN('Council Entry'!AI181,'Council Entry'!AI$9),'Council Entry'!AI$8),'Council Entry'!AI181))))-'Council Entry'!AI$5)/('Council Entry'!AI$6-'Council Entry'!AI$5)),1))),"No data"))</f>
        <v/>
      </c>
      <c r="AJ181" s="13">
        <f>IF('Council Entry'!AJ181="","",IFERROR(MAX(0,MIN(10,ROUND(IF('Council Entry'!AJ$7="Decrease Risk",10-10*((IF('Council Entry'!AJ$4="Logarithm",LN(0.001+IF(AND(ISNUMBER('Council Entry'!AJ$8),ISNUMBER('Council Entry'!AJ$9)),MAX(MIN('Council Entry'!AJ181,'Council Entry'!AJ$9),'Council Entry'!AJ$8),'Council Entry'!AJ181)),IF('Council Entry'!AJ$4="Exponential",EXP(IF(AND(ISNUMBER('Council Entry'!AJ$8),ISNUMBER('Council Entry'!AJ$9)),MAX(MIN('Council Entry'!AJ181,'Council Entry'!AJ$9),'Council Entry'!AJ$8),'Council Entry'!AJ181)),IF(AND(ISNUMBER('Council Entry'!AJ$8),ISNUMBER('Council Entry'!AJ$9)),MAX(MIN('Council Entry'!AJ181,'Council Entry'!AJ$9),'Council Entry'!AJ$8),'Council Entry'!AJ181))))-'Council Entry'!AJ$5)/('Council Entry'!AJ$6-'Council Entry'!AJ$5),10*((IF('Council Entry'!AJ$4="Logarithm",LN(0.001+IF(AND(ISNUMBER('Council Entry'!AJ$8),ISNUMBER('Council Entry'!AJ$9)),MAX(MIN('Council Entry'!AJ181,'Council Entry'!AJ$9),'Council Entry'!AJ$8),'Council Entry'!AJ181)),IF('Council Entry'!AJ$4="Exponential",EXP(IF(AND(ISNUMBER('Council Entry'!AJ$8),ISNUMBER('Council Entry'!AJ$9)),MAX(MIN('Council Entry'!AJ181,'Council Entry'!AJ$9),'Council Entry'!AJ$8),'Council Entry'!AJ181)),IF(AND(ISNUMBER('Council Entry'!AJ$8),ISNUMBER('Council Entry'!AJ$9)),MAX(MIN('Council Entry'!AJ181,'Council Entry'!AJ$9),'Council Entry'!AJ$8),'Council Entry'!AJ181))))-'Council Entry'!AJ$5)/('Council Entry'!AJ$6-'Council Entry'!AJ$5)),1))),"No data"))</f>
        <v/>
      </c>
      <c r="AK181" s="13">
        <f>IF('Council Entry'!AK181="","",IFERROR(MAX(0,MIN(10,ROUND(IF('Council Entry'!AK$7="Decrease Risk",10-10*((IF('Council Entry'!AK$4="Logarithm",LN(0.001+IF(AND(ISNUMBER('Council Entry'!AK$8),ISNUMBER('Council Entry'!AK$9)),MAX(MIN('Council Entry'!AK181,'Council Entry'!AK$9),'Council Entry'!AK$8),'Council Entry'!AK181)),IF('Council Entry'!AK$4="Exponential",EXP(IF(AND(ISNUMBER('Council Entry'!AK$8),ISNUMBER('Council Entry'!AK$9)),MAX(MIN('Council Entry'!AK181,'Council Entry'!AK$9),'Council Entry'!AK$8),'Council Entry'!AK181)),IF(AND(ISNUMBER('Council Entry'!AK$8),ISNUMBER('Council Entry'!AK$9)),MAX(MIN('Council Entry'!AK181,'Council Entry'!AK$9),'Council Entry'!AK$8),'Council Entry'!AK181))))-'Council Entry'!AK$5)/('Council Entry'!AK$6-'Council Entry'!AK$5),10*((IF('Council Entry'!AK$4="Logarithm",LN(0.001+IF(AND(ISNUMBER('Council Entry'!AK$8),ISNUMBER('Council Entry'!AK$9)),MAX(MIN('Council Entry'!AK181,'Council Entry'!AK$9),'Council Entry'!AK$8),'Council Entry'!AK181)),IF('Council Entry'!AK$4="Exponential",EXP(IF(AND(ISNUMBER('Council Entry'!AK$8),ISNUMBER('Council Entry'!AK$9)),MAX(MIN('Council Entry'!AK181,'Council Entry'!AK$9),'Council Entry'!AK$8),'Council Entry'!AK181)),IF(AND(ISNUMBER('Council Entry'!AK$8),ISNUMBER('Council Entry'!AK$9)),MAX(MIN('Council Entry'!AK181,'Council Entry'!AK$9),'Council Entry'!AK$8),'Council Entry'!AK181))))-'Council Entry'!AK$5)/('Council Entry'!AK$6-'Council Entry'!AK$5)),1))),"No data"))</f>
        <v/>
      </c>
      <c r="AL181" s="13">
        <f>IF('Council Entry'!AL181="","",IFERROR(MAX(0,MIN(10,ROUND(IF('Council Entry'!AL$7="Decrease Risk",10-10*((IF('Council Entry'!AL$4="Logarithm",LN(0.001+IF(AND(ISNUMBER('Council Entry'!AL$8),ISNUMBER('Council Entry'!AL$9)),MAX(MIN('Council Entry'!AL181,'Council Entry'!AL$9),'Council Entry'!AL$8),'Council Entry'!AL181)),IF('Council Entry'!AL$4="Exponential",EXP(IF(AND(ISNUMBER('Council Entry'!AL$8),ISNUMBER('Council Entry'!AL$9)),MAX(MIN('Council Entry'!AL181,'Council Entry'!AL$9),'Council Entry'!AL$8),'Council Entry'!AL181)),IF(AND(ISNUMBER('Council Entry'!AL$8),ISNUMBER('Council Entry'!AL$9)),MAX(MIN('Council Entry'!AL181,'Council Entry'!AL$9),'Council Entry'!AL$8),'Council Entry'!AL181))))-'Council Entry'!AL$5)/('Council Entry'!AL$6-'Council Entry'!AL$5),10*((IF('Council Entry'!AL$4="Logarithm",LN(0.001+IF(AND(ISNUMBER('Council Entry'!AL$8),ISNUMBER('Council Entry'!AL$9)),MAX(MIN('Council Entry'!AL181,'Council Entry'!AL$9),'Council Entry'!AL$8),'Council Entry'!AL181)),IF('Council Entry'!AL$4="Exponential",EXP(IF(AND(ISNUMBER('Council Entry'!AL$8),ISNUMBER('Council Entry'!AL$9)),MAX(MIN('Council Entry'!AL181,'Council Entry'!AL$9),'Council Entry'!AL$8),'Council Entry'!AL181)),IF(AND(ISNUMBER('Council Entry'!AL$8),ISNUMBER('Council Entry'!AL$9)),MAX(MIN('Council Entry'!AL181,'Council Entry'!AL$9),'Council Entry'!AL$8),'Council Entry'!AL181))))-'Council Entry'!AL$5)/('Council Entry'!AL$6-'Council Entry'!AL$5)),1))),"No data"))</f>
        <v/>
      </c>
      <c r="AM181" s="13">
        <f>IF('Council Entry'!AM181="","",IFERROR(MAX(0,MIN(10,ROUND(IF('Council Entry'!AM$7="Decrease Risk",10-10*((IF('Council Entry'!AM$4="Logarithm",LN(0.001+IF(AND(ISNUMBER('Council Entry'!AM$8),ISNUMBER('Council Entry'!AM$9)),MAX(MIN('Council Entry'!AM181,'Council Entry'!AM$9),'Council Entry'!AM$8),'Council Entry'!AM181)),IF('Council Entry'!AM$4="Exponential",EXP(IF(AND(ISNUMBER('Council Entry'!AM$8),ISNUMBER('Council Entry'!AM$9)),MAX(MIN('Council Entry'!AM181,'Council Entry'!AM$9),'Council Entry'!AM$8),'Council Entry'!AM181)),IF(AND(ISNUMBER('Council Entry'!AM$8),ISNUMBER('Council Entry'!AM$9)),MAX(MIN('Council Entry'!AM181,'Council Entry'!AM$9),'Council Entry'!AM$8),'Council Entry'!AM181))))-'Council Entry'!AM$5)/('Council Entry'!AM$6-'Council Entry'!AM$5),10*((IF('Council Entry'!AM$4="Logarithm",LN(0.001+IF(AND(ISNUMBER('Council Entry'!AM$8),ISNUMBER('Council Entry'!AM$9)),MAX(MIN('Council Entry'!AM181,'Council Entry'!AM$9),'Council Entry'!AM$8),'Council Entry'!AM181)),IF('Council Entry'!AM$4="Exponential",EXP(IF(AND(ISNUMBER('Council Entry'!AM$8),ISNUMBER('Council Entry'!AM$9)),MAX(MIN('Council Entry'!AM181,'Council Entry'!AM$9),'Council Entry'!AM$8),'Council Entry'!AM181)),IF(AND(ISNUMBER('Council Entry'!AM$8),ISNUMBER('Council Entry'!AM$9)),MAX(MIN('Council Entry'!AM181,'Council Entry'!AM$9),'Council Entry'!AM$8),'Council Entry'!AM181))))-'Council Entry'!AM$5)/('Council Entry'!AM$6-'Council Entry'!AM$5)),1))),"No data"))</f>
        <v/>
      </c>
      <c r="AN181" s="13">
        <f>IF('Council Entry'!AN181="","",IFERROR(MAX(0,MIN(10,ROUND(IF('Council Entry'!AN$7="Decrease Risk",10-10*((IF('Council Entry'!AN$4="Logarithm",LN(0.001+IF(AND(ISNUMBER('Council Entry'!AN$8),ISNUMBER('Council Entry'!AN$9)),MAX(MIN('Council Entry'!AN181,'Council Entry'!AN$9),'Council Entry'!AN$8),'Council Entry'!AN181)),IF('Council Entry'!AN$4="Exponential",EXP(IF(AND(ISNUMBER('Council Entry'!AN$8),ISNUMBER('Council Entry'!AN$9)),MAX(MIN('Council Entry'!AN181,'Council Entry'!AN$9),'Council Entry'!AN$8),'Council Entry'!AN181)),IF(AND(ISNUMBER('Council Entry'!AN$8),ISNUMBER('Council Entry'!AN$9)),MAX(MIN('Council Entry'!AN181,'Council Entry'!AN$9),'Council Entry'!AN$8),'Council Entry'!AN181))))-'Council Entry'!AN$5)/('Council Entry'!AN$6-'Council Entry'!AN$5),10*((IF('Council Entry'!AN$4="Logarithm",LN(0.001+IF(AND(ISNUMBER('Council Entry'!AN$8),ISNUMBER('Council Entry'!AN$9)),MAX(MIN('Council Entry'!AN181,'Council Entry'!AN$9),'Council Entry'!AN$8),'Council Entry'!AN181)),IF('Council Entry'!AN$4="Exponential",EXP(IF(AND(ISNUMBER('Council Entry'!AN$8),ISNUMBER('Council Entry'!AN$9)),MAX(MIN('Council Entry'!AN181,'Council Entry'!AN$9),'Council Entry'!AN$8),'Council Entry'!AN181)),IF(AND(ISNUMBER('Council Entry'!AN$8),ISNUMBER('Council Entry'!AN$9)),MAX(MIN('Council Entry'!AN181,'Council Entry'!AN$9),'Council Entry'!AN$8),'Council Entry'!AN181))))-'Council Entry'!AN$5)/('Council Entry'!AN$6-'Council Entry'!AN$5)),1))),"No data"))</f>
        <v/>
      </c>
      <c r="AO181" s="13">
        <f>IF('Council Entry'!AO181="","",IFERROR(MAX(0,MIN(10,ROUND(IF('Council Entry'!AO$7="Decrease Risk",10-10*((IF('Council Entry'!AO$4="Logarithm",LN(0.001+IF(AND(ISNUMBER('Council Entry'!AO$8),ISNUMBER('Council Entry'!AO$9)),MAX(MIN('Council Entry'!AO181,'Council Entry'!AO$9),'Council Entry'!AO$8),'Council Entry'!AO181)),IF('Council Entry'!AO$4="Exponential",EXP(IF(AND(ISNUMBER('Council Entry'!AO$8),ISNUMBER('Council Entry'!AO$9)),MAX(MIN('Council Entry'!AO181,'Council Entry'!AO$9),'Council Entry'!AO$8),'Council Entry'!AO181)),IF(AND(ISNUMBER('Council Entry'!AO$8),ISNUMBER('Council Entry'!AO$9)),MAX(MIN('Council Entry'!AO181,'Council Entry'!AO$9),'Council Entry'!AO$8),'Council Entry'!AO181))))-'Council Entry'!AO$5)/('Council Entry'!AO$6-'Council Entry'!AO$5),10*((IF('Council Entry'!AO$4="Logarithm",LN(0.001+IF(AND(ISNUMBER('Council Entry'!AO$8),ISNUMBER('Council Entry'!AO$9)),MAX(MIN('Council Entry'!AO181,'Council Entry'!AO$9),'Council Entry'!AO$8),'Council Entry'!AO181)),IF('Council Entry'!AO$4="Exponential",EXP(IF(AND(ISNUMBER('Council Entry'!AO$8),ISNUMBER('Council Entry'!AO$9)),MAX(MIN('Council Entry'!AO181,'Council Entry'!AO$9),'Council Entry'!AO$8),'Council Entry'!AO181)),IF(AND(ISNUMBER('Council Entry'!AO$8),ISNUMBER('Council Entry'!AO$9)),MAX(MIN('Council Entry'!AO181,'Council Entry'!AO$9),'Council Entry'!AO$8),'Council Entry'!AO181))))-'Council Entry'!AO$5)/('Council Entry'!AO$6-'Council Entry'!AO$5)),1))),"No data"))</f>
        <v/>
      </c>
      <c r="AP181" s="13">
        <f>IF('Council Entry'!AP181="","",IFERROR(MAX(0,MIN(10,ROUND(IF('Council Entry'!AP$7="Decrease Risk",10-10*((IF('Council Entry'!AP$4="Logarithm",LN(0.001+IF(AND(ISNUMBER('Council Entry'!AP$8),ISNUMBER('Council Entry'!AP$9)),MAX(MIN('Council Entry'!AP181,'Council Entry'!AP$9),'Council Entry'!AP$8),'Council Entry'!AP181)),IF('Council Entry'!AP$4="Exponential",EXP(IF(AND(ISNUMBER('Council Entry'!AP$8),ISNUMBER('Council Entry'!AP$9)),MAX(MIN('Council Entry'!AP181,'Council Entry'!AP$9),'Council Entry'!AP$8),'Council Entry'!AP181)),IF(AND(ISNUMBER('Council Entry'!AP$8),ISNUMBER('Council Entry'!AP$9)),MAX(MIN('Council Entry'!AP181,'Council Entry'!AP$9),'Council Entry'!AP$8),'Council Entry'!AP181))))-'Council Entry'!AP$5)/('Council Entry'!AP$6-'Council Entry'!AP$5),10*((IF('Council Entry'!AP$4="Logarithm",LN(0.001+IF(AND(ISNUMBER('Council Entry'!AP$8),ISNUMBER('Council Entry'!AP$9)),MAX(MIN('Council Entry'!AP181,'Council Entry'!AP$9),'Council Entry'!AP$8),'Council Entry'!AP181)),IF('Council Entry'!AP$4="Exponential",EXP(IF(AND(ISNUMBER('Council Entry'!AP$8),ISNUMBER('Council Entry'!AP$9)),MAX(MIN('Council Entry'!AP181,'Council Entry'!AP$9),'Council Entry'!AP$8),'Council Entry'!AP181)),IF(AND(ISNUMBER('Council Entry'!AP$8),ISNUMBER('Council Entry'!AP$9)),MAX(MIN('Council Entry'!AP181,'Council Entry'!AP$9),'Council Entry'!AP$8),'Council Entry'!AP181))))-'Council Entry'!AP$5)/('Council Entry'!AP$6-'Council Entry'!AP$5)),1))),"No data"))</f>
        <v/>
      </c>
      <c r="AQ181" s="13">
        <f>IF('Council Entry'!AQ181="","",IFERROR(MAX(0,MIN(10,ROUND(IF('Council Entry'!AQ$7="Decrease Risk",10-10*((IF('Council Entry'!AQ$4="Logarithm",LN(0.001+IF(AND(ISNUMBER('Council Entry'!AQ$8),ISNUMBER('Council Entry'!AQ$9)),MAX(MIN('Council Entry'!AQ181,'Council Entry'!AQ$9),'Council Entry'!AQ$8),'Council Entry'!AQ181)),IF('Council Entry'!AQ$4="Exponential",EXP(IF(AND(ISNUMBER('Council Entry'!AQ$8),ISNUMBER('Council Entry'!AQ$9)),MAX(MIN('Council Entry'!AQ181,'Council Entry'!AQ$9),'Council Entry'!AQ$8),'Council Entry'!AQ181)),IF(AND(ISNUMBER('Council Entry'!AQ$8),ISNUMBER('Council Entry'!AQ$9)),MAX(MIN('Council Entry'!AQ181,'Council Entry'!AQ$9),'Council Entry'!AQ$8),'Council Entry'!AQ181))))-'Council Entry'!AQ$5)/('Council Entry'!AQ$6-'Council Entry'!AQ$5),10*((IF('Council Entry'!AQ$4="Logarithm",LN(0.001+IF(AND(ISNUMBER('Council Entry'!AQ$8),ISNUMBER('Council Entry'!AQ$9)),MAX(MIN('Council Entry'!AQ181,'Council Entry'!AQ$9),'Council Entry'!AQ$8),'Council Entry'!AQ181)),IF('Council Entry'!AQ$4="Exponential",EXP(IF(AND(ISNUMBER('Council Entry'!AQ$8),ISNUMBER('Council Entry'!AQ$9)),MAX(MIN('Council Entry'!AQ181,'Council Entry'!AQ$9),'Council Entry'!AQ$8),'Council Entry'!AQ181)),IF(AND(ISNUMBER('Council Entry'!AQ$8),ISNUMBER('Council Entry'!AQ$9)),MAX(MIN('Council Entry'!AQ181,'Council Entry'!AQ$9),'Council Entry'!AQ$8),'Council Entry'!AQ181))))-'Council Entry'!AQ$5)/('Council Entry'!AQ$6-'Council Entry'!AQ$5)),1))),"No data"))</f>
        <v/>
      </c>
      <c r="AR181" s="13">
        <f>IF('Council Entry'!AR181="","",IFERROR(MAX(0,MIN(10,ROUND(IF('Council Entry'!AR$7="Decrease Risk",10-10*((IF('Council Entry'!AR$4="Logarithm",LN(0.001+IF(AND(ISNUMBER('Council Entry'!AR$8),ISNUMBER('Council Entry'!AR$9)),MAX(MIN('Council Entry'!AR181,'Council Entry'!AR$9),'Council Entry'!AR$8),'Council Entry'!AR181)),IF('Council Entry'!AR$4="Exponential",EXP(IF(AND(ISNUMBER('Council Entry'!AR$8),ISNUMBER('Council Entry'!AR$9)),MAX(MIN('Council Entry'!AR181,'Council Entry'!AR$9),'Council Entry'!AR$8),'Council Entry'!AR181)),IF(AND(ISNUMBER('Council Entry'!AR$8),ISNUMBER('Council Entry'!AR$9)),MAX(MIN('Council Entry'!AR181,'Council Entry'!AR$9),'Council Entry'!AR$8),'Council Entry'!AR181))))-'Council Entry'!AR$5)/('Council Entry'!AR$6-'Council Entry'!AR$5),10*((IF('Council Entry'!AR$4="Logarithm",LN(0.001+IF(AND(ISNUMBER('Council Entry'!AR$8),ISNUMBER('Council Entry'!AR$9)),MAX(MIN('Council Entry'!AR181,'Council Entry'!AR$9),'Council Entry'!AR$8),'Council Entry'!AR181)),IF('Council Entry'!AR$4="Exponential",EXP(IF(AND(ISNUMBER('Council Entry'!AR$8),ISNUMBER('Council Entry'!AR$9)),MAX(MIN('Council Entry'!AR181,'Council Entry'!AR$9),'Council Entry'!AR$8),'Council Entry'!AR181)),IF(AND(ISNUMBER('Council Entry'!AR$8),ISNUMBER('Council Entry'!AR$9)),MAX(MIN('Council Entry'!AR181,'Council Entry'!AR$9),'Council Entry'!AR$8),'Council Entry'!AR181))))-'Council Entry'!AR$5)/('Council Entry'!AR$6-'Council Entry'!AR$5)),1))),"No data"))</f>
        <v/>
      </c>
      <c r="AS181" s="13">
        <f>IF('Council Entry'!AS181="","",IFERROR(MAX(0,MIN(10,ROUND(IF('Council Entry'!AS$7="Decrease Risk",10-10*((IF('Council Entry'!AS$4="Logarithm",LN(0.001+IF(AND(ISNUMBER('Council Entry'!AS$8),ISNUMBER('Council Entry'!AS$9)),MAX(MIN('Council Entry'!AS181,'Council Entry'!AS$9),'Council Entry'!AS$8),'Council Entry'!AS181)),IF('Council Entry'!AS$4="Exponential",EXP(IF(AND(ISNUMBER('Council Entry'!AS$8),ISNUMBER('Council Entry'!AS$9)),MAX(MIN('Council Entry'!AS181,'Council Entry'!AS$9),'Council Entry'!AS$8),'Council Entry'!AS181)),IF(AND(ISNUMBER('Council Entry'!AS$8),ISNUMBER('Council Entry'!AS$9)),MAX(MIN('Council Entry'!AS181,'Council Entry'!AS$9),'Council Entry'!AS$8),'Council Entry'!AS181))))-'Council Entry'!AS$5)/('Council Entry'!AS$6-'Council Entry'!AS$5),10*((IF('Council Entry'!AS$4="Logarithm",LN(0.001+IF(AND(ISNUMBER('Council Entry'!AS$8),ISNUMBER('Council Entry'!AS$9)),MAX(MIN('Council Entry'!AS181,'Council Entry'!AS$9),'Council Entry'!AS$8),'Council Entry'!AS181)),IF('Council Entry'!AS$4="Exponential",EXP(IF(AND(ISNUMBER('Council Entry'!AS$8),ISNUMBER('Council Entry'!AS$9)),MAX(MIN('Council Entry'!AS181,'Council Entry'!AS$9),'Council Entry'!AS$8),'Council Entry'!AS181)),IF(AND(ISNUMBER('Council Entry'!AS$8),ISNUMBER('Council Entry'!AS$9)),MAX(MIN('Council Entry'!AS181,'Council Entry'!AS$9),'Council Entry'!AS$8),'Council Entry'!AS181))))-'Council Entry'!AS$5)/('Council Entry'!AS$6-'Council Entry'!AS$5)),1))),"No data"))</f>
        <v/>
      </c>
      <c r="AT181" s="13">
        <f>IF('Council Entry'!AT181="","",IFERROR(MAX(0,MIN(10,ROUND(IF('Council Entry'!AT$7="Decrease Risk",10-10*((IF('Council Entry'!AT$4="Logarithm",LN(0.001+IF(AND(ISNUMBER('Council Entry'!AT$8),ISNUMBER('Council Entry'!AT$9)),MAX(MIN('Council Entry'!AT181,'Council Entry'!AT$9),'Council Entry'!AT$8),'Council Entry'!AT181)),IF('Council Entry'!AT$4="Exponential",EXP(IF(AND(ISNUMBER('Council Entry'!AT$8),ISNUMBER('Council Entry'!AT$9)),MAX(MIN('Council Entry'!AT181,'Council Entry'!AT$9),'Council Entry'!AT$8),'Council Entry'!AT181)),IF(AND(ISNUMBER('Council Entry'!AT$8),ISNUMBER('Council Entry'!AT$9)),MAX(MIN('Council Entry'!AT181,'Council Entry'!AT$9),'Council Entry'!AT$8),'Council Entry'!AT181))))-'Council Entry'!AT$5)/('Council Entry'!AT$6-'Council Entry'!AT$5),10*((IF('Council Entry'!AT$4="Logarithm",LN(0.001+IF(AND(ISNUMBER('Council Entry'!AT$8),ISNUMBER('Council Entry'!AT$9)),MAX(MIN('Council Entry'!AT181,'Council Entry'!AT$9),'Council Entry'!AT$8),'Council Entry'!AT181)),IF('Council Entry'!AT$4="Exponential",EXP(IF(AND(ISNUMBER('Council Entry'!AT$8),ISNUMBER('Council Entry'!AT$9)),MAX(MIN('Council Entry'!AT181,'Council Entry'!AT$9),'Council Entry'!AT$8),'Council Entry'!AT181)),IF(AND(ISNUMBER('Council Entry'!AT$8),ISNUMBER('Council Entry'!AT$9)),MAX(MIN('Council Entry'!AT181,'Council Entry'!AT$9),'Council Entry'!AT$8),'Council Entry'!AT181))))-'Council Entry'!AT$5)/('Council Entry'!AT$6-'Council Entry'!AT$5)),1))),"No data"))</f>
        <v/>
      </c>
      <c r="AU181" s="13">
        <f>IF('Council Entry'!AU181="","",IFERROR(MAX(0,MIN(10,ROUND(IF('Council Entry'!AU$7="Decrease Risk",10-10*((IF('Council Entry'!AU$4="Logarithm",LN(0.001+IF(AND(ISNUMBER('Council Entry'!AU$8),ISNUMBER('Council Entry'!AU$9)),MAX(MIN('Council Entry'!AU181,'Council Entry'!AU$9),'Council Entry'!AU$8),'Council Entry'!AU181)),IF('Council Entry'!AU$4="Exponential",EXP(IF(AND(ISNUMBER('Council Entry'!AU$8),ISNUMBER('Council Entry'!AU$9)),MAX(MIN('Council Entry'!AU181,'Council Entry'!AU$9),'Council Entry'!AU$8),'Council Entry'!AU181)),IF(AND(ISNUMBER('Council Entry'!AU$8),ISNUMBER('Council Entry'!AU$9)),MAX(MIN('Council Entry'!AU181,'Council Entry'!AU$9),'Council Entry'!AU$8),'Council Entry'!AU181))))-'Council Entry'!AU$5)/('Council Entry'!AU$6-'Council Entry'!AU$5),10*((IF('Council Entry'!AU$4="Logarithm",LN(0.001+IF(AND(ISNUMBER('Council Entry'!AU$8),ISNUMBER('Council Entry'!AU$9)),MAX(MIN('Council Entry'!AU181,'Council Entry'!AU$9),'Council Entry'!AU$8),'Council Entry'!AU181)),IF('Council Entry'!AU$4="Exponential",EXP(IF(AND(ISNUMBER('Council Entry'!AU$8),ISNUMBER('Council Entry'!AU$9)),MAX(MIN('Council Entry'!AU181,'Council Entry'!AU$9),'Council Entry'!AU$8),'Council Entry'!AU181)),IF(AND(ISNUMBER('Council Entry'!AU$8),ISNUMBER('Council Entry'!AU$9)),MAX(MIN('Council Entry'!AU181,'Council Entry'!AU$9),'Council Entry'!AU$8),'Council Entry'!AU181))))-'Council Entry'!AU$5)/('Council Entry'!AU$6-'Council Entry'!AU$5)),1))),"No data"))</f>
        <v/>
      </c>
      <c r="AV181" s="13">
        <f>IF('Council Entry'!AV181="","",IFERROR(MAX(0,MIN(10,ROUND(IF('Council Entry'!AV$7="Decrease Risk",10-10*((IF('Council Entry'!AV$4="Logarithm",LN(0.001+IF(AND(ISNUMBER('Council Entry'!AV$8),ISNUMBER('Council Entry'!AV$9)),MAX(MIN('Council Entry'!AV181,'Council Entry'!AV$9),'Council Entry'!AV$8),'Council Entry'!AV181)),IF('Council Entry'!AV$4="Exponential",EXP(IF(AND(ISNUMBER('Council Entry'!AV$8),ISNUMBER('Council Entry'!AV$9)),MAX(MIN('Council Entry'!AV181,'Council Entry'!AV$9),'Council Entry'!AV$8),'Council Entry'!AV181)),IF(AND(ISNUMBER('Council Entry'!AV$8),ISNUMBER('Council Entry'!AV$9)),MAX(MIN('Council Entry'!AV181,'Council Entry'!AV$9),'Council Entry'!AV$8),'Council Entry'!AV181))))-'Council Entry'!AV$5)/('Council Entry'!AV$6-'Council Entry'!AV$5),10*((IF('Council Entry'!AV$4="Logarithm",LN(0.001+IF(AND(ISNUMBER('Council Entry'!AV$8),ISNUMBER('Council Entry'!AV$9)),MAX(MIN('Council Entry'!AV181,'Council Entry'!AV$9),'Council Entry'!AV$8),'Council Entry'!AV181)),IF('Council Entry'!AV$4="Exponential",EXP(IF(AND(ISNUMBER('Council Entry'!AV$8),ISNUMBER('Council Entry'!AV$9)),MAX(MIN('Council Entry'!AV181,'Council Entry'!AV$9),'Council Entry'!AV$8),'Council Entry'!AV181)),IF(AND(ISNUMBER('Council Entry'!AV$8),ISNUMBER('Council Entry'!AV$9)),MAX(MIN('Council Entry'!AV181,'Council Entry'!AV$9),'Council Entry'!AV$8),'Council Entry'!AV181))))-'Council Entry'!AV$5)/('Council Entry'!AV$6-'Council Entry'!AV$5)),1))),"No data"))</f>
        <v/>
      </c>
      <c r="AW181" s="13">
        <f>IF('Council Entry'!AW181="","",IFERROR(MAX(0,MIN(10,ROUND(IF('Council Entry'!AW$7="Decrease Risk",10-10*((IF('Council Entry'!AW$4="Logarithm",LN(0.001+IF(AND(ISNUMBER('Council Entry'!AW$8),ISNUMBER('Council Entry'!AW$9)),MAX(MIN('Council Entry'!AW181,'Council Entry'!AW$9),'Council Entry'!AW$8),'Council Entry'!AW181)),IF('Council Entry'!AW$4="Exponential",EXP(IF(AND(ISNUMBER('Council Entry'!AW$8),ISNUMBER('Council Entry'!AW$9)),MAX(MIN('Council Entry'!AW181,'Council Entry'!AW$9),'Council Entry'!AW$8),'Council Entry'!AW181)),IF(AND(ISNUMBER('Council Entry'!AW$8),ISNUMBER('Council Entry'!AW$9)),MAX(MIN('Council Entry'!AW181,'Council Entry'!AW$9),'Council Entry'!AW$8),'Council Entry'!AW181))))-'Council Entry'!AW$5)/('Council Entry'!AW$6-'Council Entry'!AW$5),10*((IF('Council Entry'!AW$4="Logarithm",LN(0.001+IF(AND(ISNUMBER('Council Entry'!AW$8),ISNUMBER('Council Entry'!AW$9)),MAX(MIN('Council Entry'!AW181,'Council Entry'!AW$9),'Council Entry'!AW$8),'Council Entry'!AW181)),IF('Council Entry'!AW$4="Exponential",EXP(IF(AND(ISNUMBER('Council Entry'!AW$8),ISNUMBER('Council Entry'!AW$9)),MAX(MIN('Council Entry'!AW181,'Council Entry'!AW$9),'Council Entry'!AW$8),'Council Entry'!AW181)),IF(AND(ISNUMBER('Council Entry'!AW$8),ISNUMBER('Council Entry'!AW$9)),MAX(MIN('Council Entry'!AW181,'Council Entry'!AW$9),'Council Entry'!AW$8),'Council Entry'!AW181))))-'Council Entry'!AW$5)/('Council Entry'!AW$6-'Council Entry'!AW$5)),1))),"No data"))</f>
        <v/>
      </c>
      <c r="AX181" s="13">
        <f>IF('Council Entry'!AX181="","",IFERROR(MAX(0,MIN(10,ROUND(IF('Council Entry'!AX$7="Decrease Risk",10-10*((IF('Council Entry'!AX$4="Logarithm",LN(0.001+IF(AND(ISNUMBER('Council Entry'!AX$8),ISNUMBER('Council Entry'!AX$9)),MAX(MIN('Council Entry'!AX181,'Council Entry'!AX$9),'Council Entry'!AX$8),'Council Entry'!AX181)),IF('Council Entry'!AX$4="Exponential",EXP(IF(AND(ISNUMBER('Council Entry'!AX$8),ISNUMBER('Council Entry'!AX$9)),MAX(MIN('Council Entry'!AX181,'Council Entry'!AX$9),'Council Entry'!AX$8),'Council Entry'!AX181)),IF(AND(ISNUMBER('Council Entry'!AX$8),ISNUMBER('Council Entry'!AX$9)),MAX(MIN('Council Entry'!AX181,'Council Entry'!AX$9),'Council Entry'!AX$8),'Council Entry'!AX181))))-'Council Entry'!AX$5)/('Council Entry'!AX$6-'Council Entry'!AX$5),10*((IF('Council Entry'!AX$4="Logarithm",LN(0.001+IF(AND(ISNUMBER('Council Entry'!AX$8),ISNUMBER('Council Entry'!AX$9)),MAX(MIN('Council Entry'!AX181,'Council Entry'!AX$9),'Council Entry'!AX$8),'Council Entry'!AX181)),IF('Council Entry'!AX$4="Exponential",EXP(IF(AND(ISNUMBER('Council Entry'!AX$8),ISNUMBER('Council Entry'!AX$9)),MAX(MIN('Council Entry'!AX181,'Council Entry'!AX$9),'Council Entry'!AX$8),'Council Entry'!AX181)),IF(AND(ISNUMBER('Council Entry'!AX$8),ISNUMBER('Council Entry'!AX$9)),MAX(MIN('Council Entry'!AX181,'Council Entry'!AX$9),'Council Entry'!AX$8),'Council Entry'!AX181))))-'Council Entry'!AX$5)/('Council Entry'!AX$6-'Council Entry'!AX$5)),1))),"No data"))</f>
        <v/>
      </c>
      <c r="AY181" s="13">
        <f>IF('Council Entry'!AY181="","",IFERROR(MAX(0,MIN(10,ROUND(IF('Council Entry'!AY$7="Decrease Risk",10-10*((IF('Council Entry'!AY$4="Logarithm",LN(0.001+IF(AND(ISNUMBER('Council Entry'!AY$8),ISNUMBER('Council Entry'!AY$9)),MAX(MIN('Council Entry'!AY181,'Council Entry'!AY$9),'Council Entry'!AY$8),'Council Entry'!AY181)),IF('Council Entry'!AY$4="Exponential",EXP(IF(AND(ISNUMBER('Council Entry'!AY$8),ISNUMBER('Council Entry'!AY$9)),MAX(MIN('Council Entry'!AY181,'Council Entry'!AY$9),'Council Entry'!AY$8),'Council Entry'!AY181)),IF(AND(ISNUMBER('Council Entry'!AY$8),ISNUMBER('Council Entry'!AY$9)),MAX(MIN('Council Entry'!AY181,'Council Entry'!AY$9),'Council Entry'!AY$8),'Council Entry'!AY181))))-'Council Entry'!AY$5)/('Council Entry'!AY$6-'Council Entry'!AY$5),10*((IF('Council Entry'!AY$4="Logarithm",LN(0.001+IF(AND(ISNUMBER('Council Entry'!AY$8),ISNUMBER('Council Entry'!AY$9)),MAX(MIN('Council Entry'!AY181,'Council Entry'!AY$9),'Council Entry'!AY$8),'Council Entry'!AY181)),IF('Council Entry'!AY$4="Exponential",EXP(IF(AND(ISNUMBER('Council Entry'!AY$8),ISNUMBER('Council Entry'!AY$9)),MAX(MIN('Council Entry'!AY181,'Council Entry'!AY$9),'Council Entry'!AY$8),'Council Entry'!AY181)),IF(AND(ISNUMBER('Council Entry'!AY$8),ISNUMBER('Council Entry'!AY$9)),MAX(MIN('Council Entry'!AY181,'Council Entry'!AY$9),'Council Entry'!AY$8),'Council Entry'!AY181))))-'Council Entry'!AY$5)/('Council Entry'!AY$6-'Council Entry'!AY$5)),1))),"No data"))</f>
        <v/>
      </c>
      <c r="AZ181" s="13">
        <f>IF('Council Entry'!AZ181="","",IFERROR(MAX(0,MIN(10,ROUND(IF('Council Entry'!AZ$7="Decrease Risk",10-10*((IF('Council Entry'!AZ$4="Logarithm",LN(0.001+IF(AND(ISNUMBER('Council Entry'!AZ$8),ISNUMBER('Council Entry'!AZ$9)),MAX(MIN('Council Entry'!AZ181,'Council Entry'!AZ$9),'Council Entry'!AZ$8),'Council Entry'!AZ181)),IF('Council Entry'!AZ$4="Exponential",EXP(IF(AND(ISNUMBER('Council Entry'!AZ$8),ISNUMBER('Council Entry'!AZ$9)),MAX(MIN('Council Entry'!AZ181,'Council Entry'!AZ$9),'Council Entry'!AZ$8),'Council Entry'!AZ181)),IF(AND(ISNUMBER('Council Entry'!AZ$8),ISNUMBER('Council Entry'!AZ$9)),MAX(MIN('Council Entry'!AZ181,'Council Entry'!AZ$9),'Council Entry'!AZ$8),'Council Entry'!AZ181))))-'Council Entry'!AZ$5)/('Council Entry'!AZ$6-'Council Entry'!AZ$5),10*((IF('Council Entry'!AZ$4="Logarithm",LN(0.001+IF(AND(ISNUMBER('Council Entry'!AZ$8),ISNUMBER('Council Entry'!AZ$9)),MAX(MIN('Council Entry'!AZ181,'Council Entry'!AZ$9),'Council Entry'!AZ$8),'Council Entry'!AZ181)),IF('Council Entry'!AZ$4="Exponential",EXP(IF(AND(ISNUMBER('Council Entry'!AZ$8),ISNUMBER('Council Entry'!AZ$9)),MAX(MIN('Council Entry'!AZ181,'Council Entry'!AZ$9),'Council Entry'!AZ$8),'Council Entry'!AZ181)),IF(AND(ISNUMBER('Council Entry'!AZ$8),ISNUMBER('Council Entry'!AZ$9)),MAX(MIN('Council Entry'!AZ181,'Council Entry'!AZ$9),'Council Entry'!AZ$8),'Council Entry'!AZ181))))-'Council Entry'!AZ$5)/('Council Entry'!AZ$6-'Council Entry'!AZ$5)),1))),"No data"))</f>
        <v/>
      </c>
      <c r="BA181" s="13">
        <f>IF('Council Entry'!BA181="","",IFERROR(MAX(0,MIN(10,ROUND(IF('Council Entry'!BA$7="Decrease Risk",10-10*((IF('Council Entry'!BA$4="Logarithm",LN(0.001+IF(AND(ISNUMBER('Council Entry'!BA$8),ISNUMBER('Council Entry'!BA$9)),MAX(MIN('Council Entry'!BA181,'Council Entry'!BA$9),'Council Entry'!BA$8),'Council Entry'!BA181)),IF('Council Entry'!BA$4="Exponential",EXP(IF(AND(ISNUMBER('Council Entry'!BA$8),ISNUMBER('Council Entry'!BA$9)),MAX(MIN('Council Entry'!BA181,'Council Entry'!BA$9),'Council Entry'!BA$8),'Council Entry'!BA181)),IF(AND(ISNUMBER('Council Entry'!BA$8),ISNUMBER('Council Entry'!BA$9)),MAX(MIN('Council Entry'!BA181,'Council Entry'!BA$9),'Council Entry'!BA$8),'Council Entry'!BA181))))-'Council Entry'!BA$5)/('Council Entry'!BA$6-'Council Entry'!BA$5),10*((IF('Council Entry'!BA$4="Logarithm",LN(0.001+IF(AND(ISNUMBER('Council Entry'!BA$8),ISNUMBER('Council Entry'!BA$9)),MAX(MIN('Council Entry'!BA181,'Council Entry'!BA$9),'Council Entry'!BA$8),'Council Entry'!BA181)),IF('Council Entry'!BA$4="Exponential",EXP(IF(AND(ISNUMBER('Council Entry'!BA$8),ISNUMBER('Council Entry'!BA$9)),MAX(MIN('Council Entry'!BA181,'Council Entry'!BA$9),'Council Entry'!BA$8),'Council Entry'!BA181)),IF(AND(ISNUMBER('Council Entry'!BA$8),ISNUMBER('Council Entry'!BA$9)),MAX(MIN('Council Entry'!BA181,'Council Entry'!BA$9),'Council Entry'!BA$8),'Council Entry'!BA181))))-'Council Entry'!BA$5)/('Council Entry'!BA$6-'Council Entry'!BA$5)),1))),"No data"))</f>
        <v/>
      </c>
      <c r="BB181" s="13">
        <f>IF('Council Entry'!BB181="","",IFERROR(MAX(0,MIN(10,ROUND(IF('Council Entry'!BB$7="Decrease Risk",10-10*((IF('Council Entry'!BB$4="Logarithm",LN(0.001+IF(AND(ISNUMBER('Council Entry'!BB$8),ISNUMBER('Council Entry'!BB$9)),MAX(MIN('Council Entry'!BB181,'Council Entry'!BB$9),'Council Entry'!BB$8),'Council Entry'!BB181)),IF('Council Entry'!BB$4="Exponential",EXP(IF(AND(ISNUMBER('Council Entry'!BB$8),ISNUMBER('Council Entry'!BB$9)),MAX(MIN('Council Entry'!BB181,'Council Entry'!BB$9),'Council Entry'!BB$8),'Council Entry'!BB181)),IF(AND(ISNUMBER('Council Entry'!BB$8),ISNUMBER('Council Entry'!BB$9)),MAX(MIN('Council Entry'!BB181,'Council Entry'!BB$9),'Council Entry'!BB$8),'Council Entry'!BB181))))-'Council Entry'!BB$5)/('Council Entry'!BB$6-'Council Entry'!BB$5),10*((IF('Council Entry'!BB$4="Logarithm",LN(0.001+IF(AND(ISNUMBER('Council Entry'!BB$8),ISNUMBER('Council Entry'!BB$9)),MAX(MIN('Council Entry'!BB181,'Council Entry'!BB$9),'Council Entry'!BB$8),'Council Entry'!BB181)),IF('Council Entry'!BB$4="Exponential",EXP(IF(AND(ISNUMBER('Council Entry'!BB$8),ISNUMBER('Council Entry'!BB$9)),MAX(MIN('Council Entry'!BB181,'Council Entry'!BB$9),'Council Entry'!BB$8),'Council Entry'!BB181)),IF(AND(ISNUMBER('Council Entry'!BB$8),ISNUMBER('Council Entry'!BB$9)),MAX(MIN('Council Entry'!BB181,'Council Entry'!BB$9),'Council Entry'!BB$8),'Council Entry'!BB181))))-'Council Entry'!BB$5)/('Council Entry'!BB$6-'Council Entry'!BB$5)),1))),"No data"))</f>
        <v/>
      </c>
      <c r="BC181" s="13">
        <f>IF('Council Entry'!BC181="","",IFERROR(MAX(0,MIN(10,ROUND(IF('Council Entry'!BC$7="Decrease Risk",10-10*((IF('Council Entry'!BC$4="Logarithm",LN(0.001+IF(AND(ISNUMBER('Council Entry'!BC$8),ISNUMBER('Council Entry'!BC$9)),MAX(MIN('Council Entry'!BC181,'Council Entry'!BC$9),'Council Entry'!BC$8),'Council Entry'!BC181)),IF('Council Entry'!BC$4="Exponential",EXP(IF(AND(ISNUMBER('Council Entry'!BC$8),ISNUMBER('Council Entry'!BC$9)),MAX(MIN('Council Entry'!BC181,'Council Entry'!BC$9),'Council Entry'!BC$8),'Council Entry'!BC181)),IF(AND(ISNUMBER('Council Entry'!BC$8),ISNUMBER('Council Entry'!BC$9)),MAX(MIN('Council Entry'!BC181,'Council Entry'!BC$9),'Council Entry'!BC$8),'Council Entry'!BC181))))-'Council Entry'!BC$5)/('Council Entry'!BC$6-'Council Entry'!BC$5),10*((IF('Council Entry'!BC$4="Logarithm",LN(0.001+IF(AND(ISNUMBER('Council Entry'!BC$8),ISNUMBER('Council Entry'!BC$9)),MAX(MIN('Council Entry'!BC181,'Council Entry'!BC$9),'Council Entry'!BC$8),'Council Entry'!BC181)),IF('Council Entry'!BC$4="Exponential",EXP(IF(AND(ISNUMBER('Council Entry'!BC$8),ISNUMBER('Council Entry'!BC$9)),MAX(MIN('Council Entry'!BC181,'Council Entry'!BC$9),'Council Entry'!BC$8),'Council Entry'!BC181)),IF(AND(ISNUMBER('Council Entry'!BC$8),ISNUMBER('Council Entry'!BC$9)),MAX(MIN('Council Entry'!BC181,'Council Entry'!BC$9),'Council Entry'!BC$8),'Council Entry'!BC181))))-'Council Entry'!BC$5)/('Council Entry'!BC$6-'Council Entry'!BC$5)),1))),"No data"))</f>
        <v/>
      </c>
      <c r="BD181" s="13">
        <f>IF('Council Entry'!BD181="","",IFERROR(MAX(0,MIN(10,ROUND(IF('Council Entry'!BD$7="Decrease Risk",10-10*((IF('Council Entry'!BD$4="Logarithm",LN(0.001+IF(AND(ISNUMBER('Council Entry'!BD$8),ISNUMBER('Council Entry'!BD$9)),MAX(MIN('Council Entry'!BD181,'Council Entry'!BD$9),'Council Entry'!BD$8),'Council Entry'!BD181)),IF('Council Entry'!BD$4="Exponential",EXP(IF(AND(ISNUMBER('Council Entry'!BD$8),ISNUMBER('Council Entry'!BD$9)),MAX(MIN('Council Entry'!BD181,'Council Entry'!BD$9),'Council Entry'!BD$8),'Council Entry'!BD181)),IF(AND(ISNUMBER('Council Entry'!BD$8),ISNUMBER('Council Entry'!BD$9)),MAX(MIN('Council Entry'!BD181,'Council Entry'!BD$9),'Council Entry'!BD$8),'Council Entry'!BD181))))-'Council Entry'!BD$5)/('Council Entry'!BD$6-'Council Entry'!BD$5),10*((IF('Council Entry'!BD$4="Logarithm",LN(0.001+IF(AND(ISNUMBER('Council Entry'!BD$8),ISNUMBER('Council Entry'!BD$9)),MAX(MIN('Council Entry'!BD181,'Council Entry'!BD$9),'Council Entry'!BD$8),'Council Entry'!BD181)),IF('Council Entry'!BD$4="Exponential",EXP(IF(AND(ISNUMBER('Council Entry'!BD$8),ISNUMBER('Council Entry'!BD$9)),MAX(MIN('Council Entry'!BD181,'Council Entry'!BD$9),'Council Entry'!BD$8),'Council Entry'!BD181)),IF(AND(ISNUMBER('Council Entry'!BD$8),ISNUMBER('Council Entry'!BD$9)),MAX(MIN('Council Entry'!BD181,'Council Entry'!BD$9),'Council Entry'!BD$8),'Council Entry'!BD181))))-'Council Entry'!BD$5)/('Council Entry'!BD$6-'Council Entry'!BD$5)),1))),"No data"))</f>
        <v/>
      </c>
    </row>
    <row r="182">
      <c r="A182" t="inlineStr">
        <is>
          <t>Songwe</t>
        </is>
      </c>
      <c r="B182" t="inlineStr">
        <is>
          <t>Ileje District</t>
        </is>
      </c>
      <c r="C182" t="inlineStr">
        <is>
          <t>C184</t>
        </is>
      </c>
      <c r="D182" s="13">
        <f>IF('Council Entry'!D182="","",IFERROR(MAX(0,MIN(10,ROUND(IF('Council Entry'!D$7="Decrease Risk",10-10*((IF('Council Entry'!D$4="Logarithm",LN(0.001+IF(AND(ISNUMBER('Council Entry'!D$8),ISNUMBER('Council Entry'!D$9)),MAX(MIN('Council Entry'!D182,'Council Entry'!D$9),'Council Entry'!D$8),'Council Entry'!D182)),IF('Council Entry'!D$4="Exponential",EXP(IF(AND(ISNUMBER('Council Entry'!D$8),ISNUMBER('Council Entry'!D$9)),MAX(MIN('Council Entry'!D182,'Council Entry'!D$9),'Council Entry'!D$8),'Council Entry'!D182)),IF(AND(ISNUMBER('Council Entry'!D$8),ISNUMBER('Council Entry'!D$9)),MAX(MIN('Council Entry'!D182,'Council Entry'!D$9),'Council Entry'!D$8),'Council Entry'!D182))))-'Council Entry'!D$5)/('Council Entry'!D$6-'Council Entry'!D$5),10*((IF('Council Entry'!D$4="Logarithm",LN(0.001+IF(AND(ISNUMBER('Council Entry'!D$8),ISNUMBER('Council Entry'!D$9)),MAX(MIN('Council Entry'!D182,'Council Entry'!D$9),'Council Entry'!D$8),'Council Entry'!D182)),IF('Council Entry'!D$4="Exponential",EXP(IF(AND(ISNUMBER('Council Entry'!D$8),ISNUMBER('Council Entry'!D$9)),MAX(MIN('Council Entry'!D182,'Council Entry'!D$9),'Council Entry'!D$8),'Council Entry'!D182)),IF(AND(ISNUMBER('Council Entry'!D$8),ISNUMBER('Council Entry'!D$9)),MAX(MIN('Council Entry'!D182,'Council Entry'!D$9),'Council Entry'!D$8),'Council Entry'!D182))))-'Council Entry'!D$5)/('Council Entry'!D$6-'Council Entry'!D$5)),1))),"No data"))</f>
        <v/>
      </c>
      <c r="E182" s="13">
        <f>IF('Council Entry'!E182="","",IFERROR(MAX(0,MIN(10,ROUND(IF('Council Entry'!E$7="Decrease Risk",10-10*((IF('Council Entry'!E$4="Logarithm",LN(0.001+IF(AND(ISNUMBER('Council Entry'!E$8),ISNUMBER('Council Entry'!E$9)),MAX(MIN('Council Entry'!E182,'Council Entry'!E$9),'Council Entry'!E$8),'Council Entry'!E182)),IF('Council Entry'!E$4="Exponential",EXP(IF(AND(ISNUMBER('Council Entry'!E$8),ISNUMBER('Council Entry'!E$9)),MAX(MIN('Council Entry'!E182,'Council Entry'!E$9),'Council Entry'!E$8),'Council Entry'!E182)),IF(AND(ISNUMBER('Council Entry'!E$8),ISNUMBER('Council Entry'!E$9)),MAX(MIN('Council Entry'!E182,'Council Entry'!E$9),'Council Entry'!E$8),'Council Entry'!E182))))-'Council Entry'!E$5)/('Council Entry'!E$6-'Council Entry'!E$5),10*((IF('Council Entry'!E$4="Logarithm",LN(0.001+IF(AND(ISNUMBER('Council Entry'!E$8),ISNUMBER('Council Entry'!E$9)),MAX(MIN('Council Entry'!E182,'Council Entry'!E$9),'Council Entry'!E$8),'Council Entry'!E182)),IF('Council Entry'!E$4="Exponential",EXP(IF(AND(ISNUMBER('Council Entry'!E$8),ISNUMBER('Council Entry'!E$9)),MAX(MIN('Council Entry'!E182,'Council Entry'!E$9),'Council Entry'!E$8),'Council Entry'!E182)),IF(AND(ISNUMBER('Council Entry'!E$8),ISNUMBER('Council Entry'!E$9)),MAX(MIN('Council Entry'!E182,'Council Entry'!E$9),'Council Entry'!E$8),'Council Entry'!E182))))-'Council Entry'!E$5)/('Council Entry'!E$6-'Council Entry'!E$5)),1))),"No data"))</f>
        <v/>
      </c>
      <c r="F182" s="13">
        <f>IF('Council Entry'!F182="","",IFERROR(MAX(0,MIN(10,ROUND(IF('Council Entry'!F$7="Decrease Risk",10-10*((IF('Council Entry'!F$4="Logarithm",LN(0.001+IF(AND(ISNUMBER('Council Entry'!F$8),ISNUMBER('Council Entry'!F$9)),MAX(MIN('Council Entry'!F182,'Council Entry'!F$9),'Council Entry'!F$8),'Council Entry'!F182)),IF('Council Entry'!F$4="Exponential",EXP(IF(AND(ISNUMBER('Council Entry'!F$8),ISNUMBER('Council Entry'!F$9)),MAX(MIN('Council Entry'!F182,'Council Entry'!F$9),'Council Entry'!F$8),'Council Entry'!F182)),IF(AND(ISNUMBER('Council Entry'!F$8),ISNUMBER('Council Entry'!F$9)),MAX(MIN('Council Entry'!F182,'Council Entry'!F$9),'Council Entry'!F$8),'Council Entry'!F182))))-'Council Entry'!F$5)/('Council Entry'!F$6-'Council Entry'!F$5),10*((IF('Council Entry'!F$4="Logarithm",LN(0.001+IF(AND(ISNUMBER('Council Entry'!F$8),ISNUMBER('Council Entry'!F$9)),MAX(MIN('Council Entry'!F182,'Council Entry'!F$9),'Council Entry'!F$8),'Council Entry'!F182)),IF('Council Entry'!F$4="Exponential",EXP(IF(AND(ISNUMBER('Council Entry'!F$8),ISNUMBER('Council Entry'!F$9)),MAX(MIN('Council Entry'!F182,'Council Entry'!F$9),'Council Entry'!F$8),'Council Entry'!F182)),IF(AND(ISNUMBER('Council Entry'!F$8),ISNUMBER('Council Entry'!F$9)),MAX(MIN('Council Entry'!F182,'Council Entry'!F$9),'Council Entry'!F$8),'Council Entry'!F182))))-'Council Entry'!F$5)/('Council Entry'!F$6-'Council Entry'!F$5)),1))),"No data"))</f>
        <v/>
      </c>
      <c r="G182" s="13">
        <f>IF('Council Entry'!G182="","",IFERROR(MAX(0,MIN(10,ROUND(IF('Council Entry'!G$7="Decrease Risk",10-10*((IF('Council Entry'!G$4="Logarithm",LN(0.001+IF(AND(ISNUMBER('Council Entry'!G$8),ISNUMBER('Council Entry'!G$9)),MAX(MIN('Council Entry'!G182,'Council Entry'!G$9),'Council Entry'!G$8),'Council Entry'!G182)),IF('Council Entry'!G$4="Exponential",EXP(IF(AND(ISNUMBER('Council Entry'!G$8),ISNUMBER('Council Entry'!G$9)),MAX(MIN('Council Entry'!G182,'Council Entry'!G$9),'Council Entry'!G$8),'Council Entry'!G182)),IF(AND(ISNUMBER('Council Entry'!G$8),ISNUMBER('Council Entry'!G$9)),MAX(MIN('Council Entry'!G182,'Council Entry'!G$9),'Council Entry'!G$8),'Council Entry'!G182))))-'Council Entry'!G$5)/('Council Entry'!G$6-'Council Entry'!G$5),10*((IF('Council Entry'!G$4="Logarithm",LN(0.001+IF(AND(ISNUMBER('Council Entry'!G$8),ISNUMBER('Council Entry'!G$9)),MAX(MIN('Council Entry'!G182,'Council Entry'!G$9),'Council Entry'!G$8),'Council Entry'!G182)),IF('Council Entry'!G$4="Exponential",EXP(IF(AND(ISNUMBER('Council Entry'!G$8),ISNUMBER('Council Entry'!G$9)),MAX(MIN('Council Entry'!G182,'Council Entry'!G$9),'Council Entry'!G$8),'Council Entry'!G182)),IF(AND(ISNUMBER('Council Entry'!G$8),ISNUMBER('Council Entry'!G$9)),MAX(MIN('Council Entry'!G182,'Council Entry'!G$9),'Council Entry'!G$8),'Council Entry'!G182))))-'Council Entry'!G$5)/('Council Entry'!G$6-'Council Entry'!G$5)),1))),"No data"))</f>
        <v/>
      </c>
      <c r="H182" s="13">
        <f>IF('Council Entry'!H182="","",IFERROR(MAX(0,MIN(10,ROUND(IF('Council Entry'!H$7="Decrease Risk",10-10*((IF('Council Entry'!H$4="Logarithm",LN(0.001+IF(AND(ISNUMBER('Council Entry'!H$8),ISNUMBER('Council Entry'!H$9)),MAX(MIN('Council Entry'!H182,'Council Entry'!H$9),'Council Entry'!H$8),'Council Entry'!H182)),IF('Council Entry'!H$4="Exponential",EXP(IF(AND(ISNUMBER('Council Entry'!H$8),ISNUMBER('Council Entry'!H$9)),MAX(MIN('Council Entry'!H182,'Council Entry'!H$9),'Council Entry'!H$8),'Council Entry'!H182)),IF(AND(ISNUMBER('Council Entry'!H$8),ISNUMBER('Council Entry'!H$9)),MAX(MIN('Council Entry'!H182,'Council Entry'!H$9),'Council Entry'!H$8),'Council Entry'!H182))))-'Council Entry'!H$5)/('Council Entry'!H$6-'Council Entry'!H$5),10*((IF('Council Entry'!H$4="Logarithm",LN(0.001+IF(AND(ISNUMBER('Council Entry'!H$8),ISNUMBER('Council Entry'!H$9)),MAX(MIN('Council Entry'!H182,'Council Entry'!H$9),'Council Entry'!H$8),'Council Entry'!H182)),IF('Council Entry'!H$4="Exponential",EXP(IF(AND(ISNUMBER('Council Entry'!H$8),ISNUMBER('Council Entry'!H$9)),MAX(MIN('Council Entry'!H182,'Council Entry'!H$9),'Council Entry'!H$8),'Council Entry'!H182)),IF(AND(ISNUMBER('Council Entry'!H$8),ISNUMBER('Council Entry'!H$9)),MAX(MIN('Council Entry'!H182,'Council Entry'!H$9),'Council Entry'!H$8),'Council Entry'!H182))))-'Council Entry'!H$5)/('Council Entry'!H$6-'Council Entry'!H$5)),1))),"No data"))</f>
        <v/>
      </c>
      <c r="I182" s="13">
        <f>IF('Council Entry'!I182="","",IFERROR(MAX(0,MIN(10,ROUND(IF('Council Entry'!I$7="Decrease Risk",10-10*((IF('Council Entry'!I$4="Logarithm",LN(0.001+IF(AND(ISNUMBER('Council Entry'!I$8),ISNUMBER('Council Entry'!I$9)),MAX(MIN('Council Entry'!I182,'Council Entry'!I$9),'Council Entry'!I$8),'Council Entry'!I182)),IF('Council Entry'!I$4="Exponential",EXP(IF(AND(ISNUMBER('Council Entry'!I$8),ISNUMBER('Council Entry'!I$9)),MAX(MIN('Council Entry'!I182,'Council Entry'!I$9),'Council Entry'!I$8),'Council Entry'!I182)),IF(AND(ISNUMBER('Council Entry'!I$8),ISNUMBER('Council Entry'!I$9)),MAX(MIN('Council Entry'!I182,'Council Entry'!I$9),'Council Entry'!I$8),'Council Entry'!I182))))-'Council Entry'!I$5)/('Council Entry'!I$6-'Council Entry'!I$5),10*((IF('Council Entry'!I$4="Logarithm",LN(0.001+IF(AND(ISNUMBER('Council Entry'!I$8),ISNUMBER('Council Entry'!I$9)),MAX(MIN('Council Entry'!I182,'Council Entry'!I$9),'Council Entry'!I$8),'Council Entry'!I182)),IF('Council Entry'!I$4="Exponential",EXP(IF(AND(ISNUMBER('Council Entry'!I$8),ISNUMBER('Council Entry'!I$9)),MAX(MIN('Council Entry'!I182,'Council Entry'!I$9),'Council Entry'!I$8),'Council Entry'!I182)),IF(AND(ISNUMBER('Council Entry'!I$8),ISNUMBER('Council Entry'!I$9)),MAX(MIN('Council Entry'!I182,'Council Entry'!I$9),'Council Entry'!I$8),'Council Entry'!I182))))-'Council Entry'!I$5)/('Council Entry'!I$6-'Council Entry'!I$5)),1))),"No data"))</f>
        <v/>
      </c>
      <c r="J182" s="13">
        <f>IF('Council Entry'!J182="","",IFERROR(MAX(0,MIN(10,ROUND(IF('Council Entry'!J$7="Decrease Risk",10-10*((IF('Council Entry'!J$4="Logarithm",LN(0.001+IF(AND(ISNUMBER('Council Entry'!J$8),ISNUMBER('Council Entry'!J$9)),MAX(MIN('Council Entry'!J182,'Council Entry'!J$9),'Council Entry'!J$8),'Council Entry'!J182)),IF('Council Entry'!J$4="Exponential",EXP(IF(AND(ISNUMBER('Council Entry'!J$8),ISNUMBER('Council Entry'!J$9)),MAX(MIN('Council Entry'!J182,'Council Entry'!J$9),'Council Entry'!J$8),'Council Entry'!J182)),IF(AND(ISNUMBER('Council Entry'!J$8),ISNUMBER('Council Entry'!J$9)),MAX(MIN('Council Entry'!J182,'Council Entry'!J$9),'Council Entry'!J$8),'Council Entry'!J182))))-'Council Entry'!J$5)/('Council Entry'!J$6-'Council Entry'!J$5),10*((IF('Council Entry'!J$4="Logarithm",LN(0.001+IF(AND(ISNUMBER('Council Entry'!J$8),ISNUMBER('Council Entry'!J$9)),MAX(MIN('Council Entry'!J182,'Council Entry'!J$9),'Council Entry'!J$8),'Council Entry'!J182)),IF('Council Entry'!J$4="Exponential",EXP(IF(AND(ISNUMBER('Council Entry'!J$8),ISNUMBER('Council Entry'!J$9)),MAX(MIN('Council Entry'!J182,'Council Entry'!J$9),'Council Entry'!J$8),'Council Entry'!J182)),IF(AND(ISNUMBER('Council Entry'!J$8),ISNUMBER('Council Entry'!J$9)),MAX(MIN('Council Entry'!J182,'Council Entry'!J$9),'Council Entry'!J$8),'Council Entry'!J182))))-'Council Entry'!J$5)/('Council Entry'!J$6-'Council Entry'!J$5)),1))),"No data"))</f>
        <v/>
      </c>
      <c r="K182" s="13">
        <f>IF('Council Entry'!K182="","",IFERROR(MAX(0,MIN(10,ROUND(IF('Council Entry'!K$7="Decrease Risk",10-10*((IF('Council Entry'!K$4="Logarithm",LN(0.001+IF(AND(ISNUMBER('Council Entry'!K$8),ISNUMBER('Council Entry'!K$9)),MAX(MIN('Council Entry'!K182,'Council Entry'!K$9),'Council Entry'!K$8),'Council Entry'!K182)),IF('Council Entry'!K$4="Exponential",EXP(IF(AND(ISNUMBER('Council Entry'!K$8),ISNUMBER('Council Entry'!K$9)),MAX(MIN('Council Entry'!K182,'Council Entry'!K$9),'Council Entry'!K$8),'Council Entry'!K182)),IF(AND(ISNUMBER('Council Entry'!K$8),ISNUMBER('Council Entry'!K$9)),MAX(MIN('Council Entry'!K182,'Council Entry'!K$9),'Council Entry'!K$8),'Council Entry'!K182))))-'Council Entry'!K$5)/('Council Entry'!K$6-'Council Entry'!K$5),10*((IF('Council Entry'!K$4="Logarithm",LN(0.001+IF(AND(ISNUMBER('Council Entry'!K$8),ISNUMBER('Council Entry'!K$9)),MAX(MIN('Council Entry'!K182,'Council Entry'!K$9),'Council Entry'!K$8),'Council Entry'!K182)),IF('Council Entry'!K$4="Exponential",EXP(IF(AND(ISNUMBER('Council Entry'!K$8),ISNUMBER('Council Entry'!K$9)),MAX(MIN('Council Entry'!K182,'Council Entry'!K$9),'Council Entry'!K$8),'Council Entry'!K182)),IF(AND(ISNUMBER('Council Entry'!K$8),ISNUMBER('Council Entry'!K$9)),MAX(MIN('Council Entry'!K182,'Council Entry'!K$9),'Council Entry'!K$8),'Council Entry'!K182))))-'Council Entry'!K$5)/('Council Entry'!K$6-'Council Entry'!K$5)),1))),"No data"))</f>
        <v/>
      </c>
      <c r="L182" s="13">
        <f>IF('Council Entry'!L182="","",IFERROR(MAX(0,MIN(10,ROUND(IF('Council Entry'!L$7="Decrease Risk",10-10*((IF('Council Entry'!L$4="Logarithm",LN(0.001+IF(AND(ISNUMBER('Council Entry'!L$8),ISNUMBER('Council Entry'!L$9)),MAX(MIN('Council Entry'!L182,'Council Entry'!L$9),'Council Entry'!L$8),'Council Entry'!L182)),IF('Council Entry'!L$4="Exponential",EXP(IF(AND(ISNUMBER('Council Entry'!L$8),ISNUMBER('Council Entry'!L$9)),MAX(MIN('Council Entry'!L182,'Council Entry'!L$9),'Council Entry'!L$8),'Council Entry'!L182)),IF(AND(ISNUMBER('Council Entry'!L$8),ISNUMBER('Council Entry'!L$9)),MAX(MIN('Council Entry'!L182,'Council Entry'!L$9),'Council Entry'!L$8),'Council Entry'!L182))))-'Council Entry'!L$5)/('Council Entry'!L$6-'Council Entry'!L$5),10*((IF('Council Entry'!L$4="Logarithm",LN(0.001+IF(AND(ISNUMBER('Council Entry'!L$8),ISNUMBER('Council Entry'!L$9)),MAX(MIN('Council Entry'!L182,'Council Entry'!L$9),'Council Entry'!L$8),'Council Entry'!L182)),IF('Council Entry'!L$4="Exponential",EXP(IF(AND(ISNUMBER('Council Entry'!L$8),ISNUMBER('Council Entry'!L$9)),MAX(MIN('Council Entry'!L182,'Council Entry'!L$9),'Council Entry'!L$8),'Council Entry'!L182)),IF(AND(ISNUMBER('Council Entry'!L$8),ISNUMBER('Council Entry'!L$9)),MAX(MIN('Council Entry'!L182,'Council Entry'!L$9),'Council Entry'!L$8),'Council Entry'!L182))))-'Council Entry'!L$5)/('Council Entry'!L$6-'Council Entry'!L$5)),1))),"No data"))</f>
        <v/>
      </c>
      <c r="M182" s="13">
        <f>IF('Council Entry'!M182="","",IFERROR(MAX(0,MIN(10,ROUND(IF('Council Entry'!M$7="Decrease Risk",10-10*((IF('Council Entry'!M$4="Logarithm",LN(0.001+IF(AND(ISNUMBER('Council Entry'!M$8),ISNUMBER('Council Entry'!M$9)),MAX(MIN('Council Entry'!M182,'Council Entry'!M$9),'Council Entry'!M$8),'Council Entry'!M182)),IF('Council Entry'!M$4="Exponential",EXP(IF(AND(ISNUMBER('Council Entry'!M$8),ISNUMBER('Council Entry'!M$9)),MAX(MIN('Council Entry'!M182,'Council Entry'!M$9),'Council Entry'!M$8),'Council Entry'!M182)),IF(AND(ISNUMBER('Council Entry'!M$8),ISNUMBER('Council Entry'!M$9)),MAX(MIN('Council Entry'!M182,'Council Entry'!M$9),'Council Entry'!M$8),'Council Entry'!M182))))-'Council Entry'!M$5)/('Council Entry'!M$6-'Council Entry'!M$5),10*((IF('Council Entry'!M$4="Logarithm",LN(0.001+IF(AND(ISNUMBER('Council Entry'!M$8),ISNUMBER('Council Entry'!M$9)),MAX(MIN('Council Entry'!M182,'Council Entry'!M$9),'Council Entry'!M$8),'Council Entry'!M182)),IF('Council Entry'!M$4="Exponential",EXP(IF(AND(ISNUMBER('Council Entry'!M$8),ISNUMBER('Council Entry'!M$9)),MAX(MIN('Council Entry'!M182,'Council Entry'!M$9),'Council Entry'!M$8),'Council Entry'!M182)),IF(AND(ISNUMBER('Council Entry'!M$8),ISNUMBER('Council Entry'!M$9)),MAX(MIN('Council Entry'!M182,'Council Entry'!M$9),'Council Entry'!M$8),'Council Entry'!M182))))-'Council Entry'!M$5)/('Council Entry'!M$6-'Council Entry'!M$5)),1))),"No data"))</f>
        <v/>
      </c>
      <c r="N182" s="13">
        <f>IF('Council Entry'!N182="","",IFERROR(MAX(0,MIN(10,ROUND(IF('Council Entry'!N$7="Decrease Risk",10-10*((IF('Council Entry'!N$4="Logarithm",LN(0.001+IF(AND(ISNUMBER('Council Entry'!N$8),ISNUMBER('Council Entry'!N$9)),MAX(MIN('Council Entry'!N182,'Council Entry'!N$9),'Council Entry'!N$8),'Council Entry'!N182)),IF('Council Entry'!N$4="Exponential",EXP(IF(AND(ISNUMBER('Council Entry'!N$8),ISNUMBER('Council Entry'!N$9)),MAX(MIN('Council Entry'!N182,'Council Entry'!N$9),'Council Entry'!N$8),'Council Entry'!N182)),IF(AND(ISNUMBER('Council Entry'!N$8),ISNUMBER('Council Entry'!N$9)),MAX(MIN('Council Entry'!N182,'Council Entry'!N$9),'Council Entry'!N$8),'Council Entry'!N182))))-'Council Entry'!N$5)/('Council Entry'!N$6-'Council Entry'!N$5),10*((IF('Council Entry'!N$4="Logarithm",LN(0.001+IF(AND(ISNUMBER('Council Entry'!N$8),ISNUMBER('Council Entry'!N$9)),MAX(MIN('Council Entry'!N182,'Council Entry'!N$9),'Council Entry'!N$8),'Council Entry'!N182)),IF('Council Entry'!N$4="Exponential",EXP(IF(AND(ISNUMBER('Council Entry'!N$8),ISNUMBER('Council Entry'!N$9)),MAX(MIN('Council Entry'!N182,'Council Entry'!N$9),'Council Entry'!N$8),'Council Entry'!N182)),IF(AND(ISNUMBER('Council Entry'!N$8),ISNUMBER('Council Entry'!N$9)),MAX(MIN('Council Entry'!N182,'Council Entry'!N$9),'Council Entry'!N$8),'Council Entry'!N182))))-'Council Entry'!N$5)/('Council Entry'!N$6-'Council Entry'!N$5)),1))),"No data"))</f>
        <v/>
      </c>
      <c r="O182" s="13">
        <f>IF('Council Entry'!O182="","",IFERROR(MAX(0,MIN(10,ROUND(IF('Council Entry'!O$7="Decrease Risk",10-10*((IF('Council Entry'!O$4="Logarithm",LN(0.001+IF(AND(ISNUMBER('Council Entry'!O$8),ISNUMBER('Council Entry'!O$9)),MAX(MIN('Council Entry'!O182,'Council Entry'!O$9),'Council Entry'!O$8),'Council Entry'!O182)),IF('Council Entry'!O$4="Exponential",EXP(IF(AND(ISNUMBER('Council Entry'!O$8),ISNUMBER('Council Entry'!O$9)),MAX(MIN('Council Entry'!O182,'Council Entry'!O$9),'Council Entry'!O$8),'Council Entry'!O182)),IF(AND(ISNUMBER('Council Entry'!O$8),ISNUMBER('Council Entry'!O$9)),MAX(MIN('Council Entry'!O182,'Council Entry'!O$9),'Council Entry'!O$8),'Council Entry'!O182))))-'Council Entry'!O$5)/('Council Entry'!O$6-'Council Entry'!O$5),10*((IF('Council Entry'!O$4="Logarithm",LN(0.001+IF(AND(ISNUMBER('Council Entry'!O$8),ISNUMBER('Council Entry'!O$9)),MAX(MIN('Council Entry'!O182,'Council Entry'!O$9),'Council Entry'!O$8),'Council Entry'!O182)),IF('Council Entry'!O$4="Exponential",EXP(IF(AND(ISNUMBER('Council Entry'!O$8),ISNUMBER('Council Entry'!O$9)),MAX(MIN('Council Entry'!O182,'Council Entry'!O$9),'Council Entry'!O$8),'Council Entry'!O182)),IF(AND(ISNUMBER('Council Entry'!O$8),ISNUMBER('Council Entry'!O$9)),MAX(MIN('Council Entry'!O182,'Council Entry'!O$9),'Council Entry'!O$8),'Council Entry'!O182))))-'Council Entry'!O$5)/('Council Entry'!O$6-'Council Entry'!O$5)),1))),"No data"))</f>
        <v/>
      </c>
      <c r="P182" s="13">
        <f>IF('Council Entry'!P182="","",IFERROR(MAX(0,MIN(10,ROUND(IF('Council Entry'!P$7="Decrease Risk",10-10*((IF('Council Entry'!P$4="Logarithm",LN(0.001+IF(AND(ISNUMBER('Council Entry'!P$8),ISNUMBER('Council Entry'!P$9)),MAX(MIN('Council Entry'!P182,'Council Entry'!P$9),'Council Entry'!P$8),'Council Entry'!P182)),IF('Council Entry'!P$4="Exponential",EXP(IF(AND(ISNUMBER('Council Entry'!P$8),ISNUMBER('Council Entry'!P$9)),MAX(MIN('Council Entry'!P182,'Council Entry'!P$9),'Council Entry'!P$8),'Council Entry'!P182)),IF(AND(ISNUMBER('Council Entry'!P$8),ISNUMBER('Council Entry'!P$9)),MAX(MIN('Council Entry'!P182,'Council Entry'!P$9),'Council Entry'!P$8),'Council Entry'!P182))))-'Council Entry'!P$5)/('Council Entry'!P$6-'Council Entry'!P$5),10*((IF('Council Entry'!P$4="Logarithm",LN(0.001+IF(AND(ISNUMBER('Council Entry'!P$8),ISNUMBER('Council Entry'!P$9)),MAX(MIN('Council Entry'!P182,'Council Entry'!P$9),'Council Entry'!P$8),'Council Entry'!P182)),IF('Council Entry'!P$4="Exponential",EXP(IF(AND(ISNUMBER('Council Entry'!P$8),ISNUMBER('Council Entry'!P$9)),MAX(MIN('Council Entry'!P182,'Council Entry'!P$9),'Council Entry'!P$8),'Council Entry'!P182)),IF(AND(ISNUMBER('Council Entry'!P$8),ISNUMBER('Council Entry'!P$9)),MAX(MIN('Council Entry'!P182,'Council Entry'!P$9),'Council Entry'!P$8),'Council Entry'!P182))))-'Council Entry'!P$5)/('Council Entry'!P$6-'Council Entry'!P$5)),1))),"No data"))</f>
        <v/>
      </c>
      <c r="Q182" s="13">
        <f>IF('Council Entry'!Q182="","",IFERROR(MAX(0,MIN(10,ROUND(IF('Council Entry'!Q$7="Decrease Risk",10-10*((IF('Council Entry'!Q$4="Logarithm",LN(0.001+IF(AND(ISNUMBER('Council Entry'!Q$8),ISNUMBER('Council Entry'!Q$9)),MAX(MIN('Council Entry'!Q182,'Council Entry'!Q$9),'Council Entry'!Q$8),'Council Entry'!Q182)),IF('Council Entry'!Q$4="Exponential",EXP(IF(AND(ISNUMBER('Council Entry'!Q$8),ISNUMBER('Council Entry'!Q$9)),MAX(MIN('Council Entry'!Q182,'Council Entry'!Q$9),'Council Entry'!Q$8),'Council Entry'!Q182)),IF(AND(ISNUMBER('Council Entry'!Q$8),ISNUMBER('Council Entry'!Q$9)),MAX(MIN('Council Entry'!Q182,'Council Entry'!Q$9),'Council Entry'!Q$8),'Council Entry'!Q182))))-'Council Entry'!Q$5)/('Council Entry'!Q$6-'Council Entry'!Q$5),10*((IF('Council Entry'!Q$4="Logarithm",LN(0.001+IF(AND(ISNUMBER('Council Entry'!Q$8),ISNUMBER('Council Entry'!Q$9)),MAX(MIN('Council Entry'!Q182,'Council Entry'!Q$9),'Council Entry'!Q$8),'Council Entry'!Q182)),IF('Council Entry'!Q$4="Exponential",EXP(IF(AND(ISNUMBER('Council Entry'!Q$8),ISNUMBER('Council Entry'!Q$9)),MAX(MIN('Council Entry'!Q182,'Council Entry'!Q$9),'Council Entry'!Q$8),'Council Entry'!Q182)),IF(AND(ISNUMBER('Council Entry'!Q$8),ISNUMBER('Council Entry'!Q$9)),MAX(MIN('Council Entry'!Q182,'Council Entry'!Q$9),'Council Entry'!Q$8),'Council Entry'!Q182))))-'Council Entry'!Q$5)/('Council Entry'!Q$6-'Council Entry'!Q$5)),1))),"No data"))</f>
        <v/>
      </c>
      <c r="R182" s="13">
        <f>IF('Council Entry'!R182="","",IFERROR(MAX(0,MIN(10,ROUND(IF('Council Entry'!R$7="Decrease Risk",10-10*((IF('Council Entry'!R$4="Logarithm",LN(0.001+IF(AND(ISNUMBER('Council Entry'!R$8),ISNUMBER('Council Entry'!R$9)),MAX(MIN('Council Entry'!R182,'Council Entry'!R$9),'Council Entry'!R$8),'Council Entry'!R182)),IF('Council Entry'!R$4="Exponential",EXP(IF(AND(ISNUMBER('Council Entry'!R$8),ISNUMBER('Council Entry'!R$9)),MAX(MIN('Council Entry'!R182,'Council Entry'!R$9),'Council Entry'!R$8),'Council Entry'!R182)),IF(AND(ISNUMBER('Council Entry'!R$8),ISNUMBER('Council Entry'!R$9)),MAX(MIN('Council Entry'!R182,'Council Entry'!R$9),'Council Entry'!R$8),'Council Entry'!R182))))-'Council Entry'!R$5)/('Council Entry'!R$6-'Council Entry'!R$5),10*((IF('Council Entry'!R$4="Logarithm",LN(0.001+IF(AND(ISNUMBER('Council Entry'!R$8),ISNUMBER('Council Entry'!R$9)),MAX(MIN('Council Entry'!R182,'Council Entry'!R$9),'Council Entry'!R$8),'Council Entry'!R182)),IF('Council Entry'!R$4="Exponential",EXP(IF(AND(ISNUMBER('Council Entry'!R$8),ISNUMBER('Council Entry'!R$9)),MAX(MIN('Council Entry'!R182,'Council Entry'!R$9),'Council Entry'!R$8),'Council Entry'!R182)),IF(AND(ISNUMBER('Council Entry'!R$8),ISNUMBER('Council Entry'!R$9)),MAX(MIN('Council Entry'!R182,'Council Entry'!R$9),'Council Entry'!R$8),'Council Entry'!R182))))-'Council Entry'!R$5)/('Council Entry'!R$6-'Council Entry'!R$5)),1))),"No data"))</f>
        <v/>
      </c>
      <c r="S182" s="13">
        <f>IF('Council Entry'!S182="","",IFERROR(MAX(0,MIN(10,ROUND(IF('Council Entry'!S$7="Decrease Risk",10-10*((IF('Council Entry'!S$4="Logarithm",LN(0.001+IF(AND(ISNUMBER('Council Entry'!S$8),ISNUMBER('Council Entry'!S$9)),MAX(MIN('Council Entry'!S182,'Council Entry'!S$9),'Council Entry'!S$8),'Council Entry'!S182)),IF('Council Entry'!S$4="Exponential",EXP(IF(AND(ISNUMBER('Council Entry'!S$8),ISNUMBER('Council Entry'!S$9)),MAX(MIN('Council Entry'!S182,'Council Entry'!S$9),'Council Entry'!S$8),'Council Entry'!S182)),IF(AND(ISNUMBER('Council Entry'!S$8),ISNUMBER('Council Entry'!S$9)),MAX(MIN('Council Entry'!S182,'Council Entry'!S$9),'Council Entry'!S$8),'Council Entry'!S182))))-'Council Entry'!S$5)/('Council Entry'!S$6-'Council Entry'!S$5),10*((IF('Council Entry'!S$4="Logarithm",LN(0.001+IF(AND(ISNUMBER('Council Entry'!S$8),ISNUMBER('Council Entry'!S$9)),MAX(MIN('Council Entry'!S182,'Council Entry'!S$9),'Council Entry'!S$8),'Council Entry'!S182)),IF('Council Entry'!S$4="Exponential",EXP(IF(AND(ISNUMBER('Council Entry'!S$8),ISNUMBER('Council Entry'!S$9)),MAX(MIN('Council Entry'!S182,'Council Entry'!S$9),'Council Entry'!S$8),'Council Entry'!S182)),IF(AND(ISNUMBER('Council Entry'!S$8),ISNUMBER('Council Entry'!S$9)),MAX(MIN('Council Entry'!S182,'Council Entry'!S$9),'Council Entry'!S$8),'Council Entry'!S182))))-'Council Entry'!S$5)/('Council Entry'!S$6-'Council Entry'!S$5)),1))),"No data"))</f>
        <v/>
      </c>
      <c r="T182" s="13">
        <f>IF('Council Entry'!T182="","",IFERROR(MAX(0,MIN(10,ROUND(IF('Council Entry'!T$7="Decrease Risk",10-10*((IF('Council Entry'!T$4="Logarithm",LN(0.001+IF(AND(ISNUMBER('Council Entry'!T$8),ISNUMBER('Council Entry'!T$9)),MAX(MIN('Council Entry'!T182,'Council Entry'!T$9),'Council Entry'!T$8),'Council Entry'!T182)),IF('Council Entry'!T$4="Exponential",EXP(IF(AND(ISNUMBER('Council Entry'!T$8),ISNUMBER('Council Entry'!T$9)),MAX(MIN('Council Entry'!T182,'Council Entry'!T$9),'Council Entry'!T$8),'Council Entry'!T182)),IF(AND(ISNUMBER('Council Entry'!T$8),ISNUMBER('Council Entry'!T$9)),MAX(MIN('Council Entry'!T182,'Council Entry'!T$9),'Council Entry'!T$8),'Council Entry'!T182))))-'Council Entry'!T$5)/('Council Entry'!T$6-'Council Entry'!T$5),10*((IF('Council Entry'!T$4="Logarithm",LN(0.001+IF(AND(ISNUMBER('Council Entry'!T$8),ISNUMBER('Council Entry'!T$9)),MAX(MIN('Council Entry'!T182,'Council Entry'!T$9),'Council Entry'!T$8),'Council Entry'!T182)),IF('Council Entry'!T$4="Exponential",EXP(IF(AND(ISNUMBER('Council Entry'!T$8),ISNUMBER('Council Entry'!T$9)),MAX(MIN('Council Entry'!T182,'Council Entry'!T$9),'Council Entry'!T$8),'Council Entry'!T182)),IF(AND(ISNUMBER('Council Entry'!T$8),ISNUMBER('Council Entry'!T$9)),MAX(MIN('Council Entry'!T182,'Council Entry'!T$9),'Council Entry'!T$8),'Council Entry'!T182))))-'Council Entry'!T$5)/('Council Entry'!T$6-'Council Entry'!T$5)),1))),"No data"))</f>
        <v/>
      </c>
      <c r="U182" s="13">
        <f>IF('Council Entry'!U182="","",IFERROR(MAX(0,MIN(10,ROUND(IF('Council Entry'!U$7="Decrease Risk",10-10*((IF('Council Entry'!U$4="Logarithm",LN(0.001+IF(AND(ISNUMBER('Council Entry'!U$8),ISNUMBER('Council Entry'!U$9)),MAX(MIN('Council Entry'!U182,'Council Entry'!U$9),'Council Entry'!U$8),'Council Entry'!U182)),IF('Council Entry'!U$4="Exponential",EXP(IF(AND(ISNUMBER('Council Entry'!U$8),ISNUMBER('Council Entry'!U$9)),MAX(MIN('Council Entry'!U182,'Council Entry'!U$9),'Council Entry'!U$8),'Council Entry'!U182)),IF(AND(ISNUMBER('Council Entry'!U$8),ISNUMBER('Council Entry'!U$9)),MAX(MIN('Council Entry'!U182,'Council Entry'!U$9),'Council Entry'!U$8),'Council Entry'!U182))))-'Council Entry'!U$5)/('Council Entry'!U$6-'Council Entry'!U$5),10*((IF('Council Entry'!U$4="Logarithm",LN(0.001+IF(AND(ISNUMBER('Council Entry'!U$8),ISNUMBER('Council Entry'!U$9)),MAX(MIN('Council Entry'!U182,'Council Entry'!U$9),'Council Entry'!U$8),'Council Entry'!U182)),IF('Council Entry'!U$4="Exponential",EXP(IF(AND(ISNUMBER('Council Entry'!U$8),ISNUMBER('Council Entry'!U$9)),MAX(MIN('Council Entry'!U182,'Council Entry'!U$9),'Council Entry'!U$8),'Council Entry'!U182)),IF(AND(ISNUMBER('Council Entry'!U$8),ISNUMBER('Council Entry'!U$9)),MAX(MIN('Council Entry'!U182,'Council Entry'!U$9),'Council Entry'!U$8),'Council Entry'!U182))))-'Council Entry'!U$5)/('Council Entry'!U$6-'Council Entry'!U$5)),1))),"No data"))</f>
        <v/>
      </c>
      <c r="V182" s="13">
        <f>IF('Council Entry'!V182="","",IFERROR(MAX(0,MIN(10,ROUND(IF('Council Entry'!V$7="Decrease Risk",10-10*((IF('Council Entry'!V$4="Logarithm",LN(0.001+IF(AND(ISNUMBER('Council Entry'!V$8),ISNUMBER('Council Entry'!V$9)),MAX(MIN('Council Entry'!V182,'Council Entry'!V$9),'Council Entry'!V$8),'Council Entry'!V182)),IF('Council Entry'!V$4="Exponential",EXP(IF(AND(ISNUMBER('Council Entry'!V$8),ISNUMBER('Council Entry'!V$9)),MAX(MIN('Council Entry'!V182,'Council Entry'!V$9),'Council Entry'!V$8),'Council Entry'!V182)),IF(AND(ISNUMBER('Council Entry'!V$8),ISNUMBER('Council Entry'!V$9)),MAX(MIN('Council Entry'!V182,'Council Entry'!V$9),'Council Entry'!V$8),'Council Entry'!V182))))-'Council Entry'!V$5)/('Council Entry'!V$6-'Council Entry'!V$5),10*((IF('Council Entry'!V$4="Logarithm",LN(0.001+IF(AND(ISNUMBER('Council Entry'!V$8),ISNUMBER('Council Entry'!V$9)),MAX(MIN('Council Entry'!V182,'Council Entry'!V$9),'Council Entry'!V$8),'Council Entry'!V182)),IF('Council Entry'!V$4="Exponential",EXP(IF(AND(ISNUMBER('Council Entry'!V$8),ISNUMBER('Council Entry'!V$9)),MAX(MIN('Council Entry'!V182,'Council Entry'!V$9),'Council Entry'!V$8),'Council Entry'!V182)),IF(AND(ISNUMBER('Council Entry'!V$8),ISNUMBER('Council Entry'!V$9)),MAX(MIN('Council Entry'!V182,'Council Entry'!V$9),'Council Entry'!V$8),'Council Entry'!V182))))-'Council Entry'!V$5)/('Council Entry'!V$6-'Council Entry'!V$5)),1))),"No data"))</f>
        <v/>
      </c>
      <c r="W182" s="13">
        <f>IF('Council Entry'!W182="","",IFERROR(MAX(0,MIN(10,ROUND(IF('Council Entry'!W$7="Decrease Risk",10-10*((IF('Council Entry'!W$4="Logarithm",LN(0.001+IF(AND(ISNUMBER('Council Entry'!W$8),ISNUMBER('Council Entry'!W$9)),MAX(MIN('Council Entry'!W182,'Council Entry'!W$9),'Council Entry'!W$8),'Council Entry'!W182)),IF('Council Entry'!W$4="Exponential",EXP(IF(AND(ISNUMBER('Council Entry'!W$8),ISNUMBER('Council Entry'!W$9)),MAX(MIN('Council Entry'!W182,'Council Entry'!W$9),'Council Entry'!W$8),'Council Entry'!W182)),IF(AND(ISNUMBER('Council Entry'!W$8),ISNUMBER('Council Entry'!W$9)),MAX(MIN('Council Entry'!W182,'Council Entry'!W$9),'Council Entry'!W$8),'Council Entry'!W182))))-'Council Entry'!W$5)/('Council Entry'!W$6-'Council Entry'!W$5),10*((IF('Council Entry'!W$4="Logarithm",LN(0.001+IF(AND(ISNUMBER('Council Entry'!W$8),ISNUMBER('Council Entry'!W$9)),MAX(MIN('Council Entry'!W182,'Council Entry'!W$9),'Council Entry'!W$8),'Council Entry'!W182)),IF('Council Entry'!W$4="Exponential",EXP(IF(AND(ISNUMBER('Council Entry'!W$8),ISNUMBER('Council Entry'!W$9)),MAX(MIN('Council Entry'!W182,'Council Entry'!W$9),'Council Entry'!W$8),'Council Entry'!W182)),IF(AND(ISNUMBER('Council Entry'!W$8),ISNUMBER('Council Entry'!W$9)),MAX(MIN('Council Entry'!W182,'Council Entry'!W$9),'Council Entry'!W$8),'Council Entry'!W182))))-'Council Entry'!W$5)/('Council Entry'!W$6-'Council Entry'!W$5)),1))),"No data"))</f>
        <v/>
      </c>
      <c r="X182" s="13">
        <f>IF('Council Entry'!X182="","",IFERROR(MAX(0,MIN(10,ROUND(IF('Council Entry'!X$7="Decrease Risk",10-10*((IF('Council Entry'!X$4="Logarithm",LN(0.001+IF(AND(ISNUMBER('Council Entry'!X$8),ISNUMBER('Council Entry'!X$9)),MAX(MIN('Council Entry'!X182,'Council Entry'!X$9),'Council Entry'!X$8),'Council Entry'!X182)),IF('Council Entry'!X$4="Exponential",EXP(IF(AND(ISNUMBER('Council Entry'!X$8),ISNUMBER('Council Entry'!X$9)),MAX(MIN('Council Entry'!X182,'Council Entry'!X$9),'Council Entry'!X$8),'Council Entry'!X182)),IF(AND(ISNUMBER('Council Entry'!X$8),ISNUMBER('Council Entry'!X$9)),MAX(MIN('Council Entry'!X182,'Council Entry'!X$9),'Council Entry'!X$8),'Council Entry'!X182))))-'Council Entry'!X$5)/('Council Entry'!X$6-'Council Entry'!X$5),10*((IF('Council Entry'!X$4="Logarithm",LN(0.001+IF(AND(ISNUMBER('Council Entry'!X$8),ISNUMBER('Council Entry'!X$9)),MAX(MIN('Council Entry'!X182,'Council Entry'!X$9),'Council Entry'!X$8),'Council Entry'!X182)),IF('Council Entry'!X$4="Exponential",EXP(IF(AND(ISNUMBER('Council Entry'!X$8),ISNUMBER('Council Entry'!X$9)),MAX(MIN('Council Entry'!X182,'Council Entry'!X$9),'Council Entry'!X$8),'Council Entry'!X182)),IF(AND(ISNUMBER('Council Entry'!X$8),ISNUMBER('Council Entry'!X$9)),MAX(MIN('Council Entry'!X182,'Council Entry'!X$9),'Council Entry'!X$8),'Council Entry'!X182))))-'Council Entry'!X$5)/('Council Entry'!X$6-'Council Entry'!X$5)),1))),"No data"))</f>
        <v/>
      </c>
      <c r="Y182" s="13">
        <f>IF('Council Entry'!Y182="","",IFERROR(MAX(0,MIN(10,ROUND(IF('Council Entry'!Y$7="Decrease Risk",10-10*((IF('Council Entry'!Y$4="Logarithm",LN(0.001+IF(AND(ISNUMBER('Council Entry'!Y$8),ISNUMBER('Council Entry'!Y$9)),MAX(MIN('Council Entry'!Y182,'Council Entry'!Y$9),'Council Entry'!Y$8),'Council Entry'!Y182)),IF('Council Entry'!Y$4="Exponential",EXP(IF(AND(ISNUMBER('Council Entry'!Y$8),ISNUMBER('Council Entry'!Y$9)),MAX(MIN('Council Entry'!Y182,'Council Entry'!Y$9),'Council Entry'!Y$8),'Council Entry'!Y182)),IF(AND(ISNUMBER('Council Entry'!Y$8),ISNUMBER('Council Entry'!Y$9)),MAX(MIN('Council Entry'!Y182,'Council Entry'!Y$9),'Council Entry'!Y$8),'Council Entry'!Y182))))-'Council Entry'!Y$5)/('Council Entry'!Y$6-'Council Entry'!Y$5),10*((IF('Council Entry'!Y$4="Logarithm",LN(0.001+IF(AND(ISNUMBER('Council Entry'!Y$8),ISNUMBER('Council Entry'!Y$9)),MAX(MIN('Council Entry'!Y182,'Council Entry'!Y$9),'Council Entry'!Y$8),'Council Entry'!Y182)),IF('Council Entry'!Y$4="Exponential",EXP(IF(AND(ISNUMBER('Council Entry'!Y$8),ISNUMBER('Council Entry'!Y$9)),MAX(MIN('Council Entry'!Y182,'Council Entry'!Y$9),'Council Entry'!Y$8),'Council Entry'!Y182)),IF(AND(ISNUMBER('Council Entry'!Y$8),ISNUMBER('Council Entry'!Y$9)),MAX(MIN('Council Entry'!Y182,'Council Entry'!Y$9),'Council Entry'!Y$8),'Council Entry'!Y182))))-'Council Entry'!Y$5)/('Council Entry'!Y$6-'Council Entry'!Y$5)),1))),"No data"))</f>
        <v/>
      </c>
      <c r="Z182" s="13">
        <f>IF('Council Entry'!Z182="","",IFERROR(MAX(0,MIN(10,ROUND(IF('Council Entry'!Z$7="Decrease Risk",10-10*((IF('Council Entry'!Z$4="Logarithm",LN(0.001+IF(AND(ISNUMBER('Council Entry'!Z$8),ISNUMBER('Council Entry'!Z$9)),MAX(MIN('Council Entry'!Z182,'Council Entry'!Z$9),'Council Entry'!Z$8),'Council Entry'!Z182)),IF('Council Entry'!Z$4="Exponential",EXP(IF(AND(ISNUMBER('Council Entry'!Z$8),ISNUMBER('Council Entry'!Z$9)),MAX(MIN('Council Entry'!Z182,'Council Entry'!Z$9),'Council Entry'!Z$8),'Council Entry'!Z182)),IF(AND(ISNUMBER('Council Entry'!Z$8),ISNUMBER('Council Entry'!Z$9)),MAX(MIN('Council Entry'!Z182,'Council Entry'!Z$9),'Council Entry'!Z$8),'Council Entry'!Z182))))-'Council Entry'!Z$5)/('Council Entry'!Z$6-'Council Entry'!Z$5),10*((IF('Council Entry'!Z$4="Logarithm",LN(0.001+IF(AND(ISNUMBER('Council Entry'!Z$8),ISNUMBER('Council Entry'!Z$9)),MAX(MIN('Council Entry'!Z182,'Council Entry'!Z$9),'Council Entry'!Z$8),'Council Entry'!Z182)),IF('Council Entry'!Z$4="Exponential",EXP(IF(AND(ISNUMBER('Council Entry'!Z$8),ISNUMBER('Council Entry'!Z$9)),MAX(MIN('Council Entry'!Z182,'Council Entry'!Z$9),'Council Entry'!Z$8),'Council Entry'!Z182)),IF(AND(ISNUMBER('Council Entry'!Z$8),ISNUMBER('Council Entry'!Z$9)),MAX(MIN('Council Entry'!Z182,'Council Entry'!Z$9),'Council Entry'!Z$8),'Council Entry'!Z182))))-'Council Entry'!Z$5)/('Council Entry'!Z$6-'Council Entry'!Z$5)),1))),"No data"))</f>
        <v/>
      </c>
      <c r="AA182" s="13">
        <f>IF('Council Entry'!AA182="","",IFERROR(MAX(0,MIN(10,ROUND(IF('Council Entry'!AA$7="Decrease Risk",10-10*((IF('Council Entry'!AA$4="Logarithm",LN(0.001+IF(AND(ISNUMBER('Council Entry'!AA$8),ISNUMBER('Council Entry'!AA$9)),MAX(MIN('Council Entry'!AA182,'Council Entry'!AA$9),'Council Entry'!AA$8),'Council Entry'!AA182)),IF('Council Entry'!AA$4="Exponential",EXP(IF(AND(ISNUMBER('Council Entry'!AA$8),ISNUMBER('Council Entry'!AA$9)),MAX(MIN('Council Entry'!AA182,'Council Entry'!AA$9),'Council Entry'!AA$8),'Council Entry'!AA182)),IF(AND(ISNUMBER('Council Entry'!AA$8),ISNUMBER('Council Entry'!AA$9)),MAX(MIN('Council Entry'!AA182,'Council Entry'!AA$9),'Council Entry'!AA$8),'Council Entry'!AA182))))-'Council Entry'!AA$5)/('Council Entry'!AA$6-'Council Entry'!AA$5),10*((IF('Council Entry'!AA$4="Logarithm",LN(0.001+IF(AND(ISNUMBER('Council Entry'!AA$8),ISNUMBER('Council Entry'!AA$9)),MAX(MIN('Council Entry'!AA182,'Council Entry'!AA$9),'Council Entry'!AA$8),'Council Entry'!AA182)),IF('Council Entry'!AA$4="Exponential",EXP(IF(AND(ISNUMBER('Council Entry'!AA$8),ISNUMBER('Council Entry'!AA$9)),MAX(MIN('Council Entry'!AA182,'Council Entry'!AA$9),'Council Entry'!AA$8),'Council Entry'!AA182)),IF(AND(ISNUMBER('Council Entry'!AA$8),ISNUMBER('Council Entry'!AA$9)),MAX(MIN('Council Entry'!AA182,'Council Entry'!AA$9),'Council Entry'!AA$8),'Council Entry'!AA182))))-'Council Entry'!AA$5)/('Council Entry'!AA$6-'Council Entry'!AA$5)),1))),"No data"))</f>
        <v/>
      </c>
      <c r="AB182" s="13">
        <f>IF('Council Entry'!AB182="","",IFERROR(MAX(0,MIN(10,ROUND(IF('Council Entry'!AB$7="Decrease Risk",10-10*((IF('Council Entry'!AB$4="Logarithm",LN(0.001+IF(AND(ISNUMBER('Council Entry'!AB$8),ISNUMBER('Council Entry'!AB$9)),MAX(MIN('Council Entry'!AB182,'Council Entry'!AB$9),'Council Entry'!AB$8),'Council Entry'!AB182)),IF('Council Entry'!AB$4="Exponential",EXP(IF(AND(ISNUMBER('Council Entry'!AB$8),ISNUMBER('Council Entry'!AB$9)),MAX(MIN('Council Entry'!AB182,'Council Entry'!AB$9),'Council Entry'!AB$8),'Council Entry'!AB182)),IF(AND(ISNUMBER('Council Entry'!AB$8),ISNUMBER('Council Entry'!AB$9)),MAX(MIN('Council Entry'!AB182,'Council Entry'!AB$9),'Council Entry'!AB$8),'Council Entry'!AB182))))-'Council Entry'!AB$5)/('Council Entry'!AB$6-'Council Entry'!AB$5),10*((IF('Council Entry'!AB$4="Logarithm",LN(0.001+IF(AND(ISNUMBER('Council Entry'!AB$8),ISNUMBER('Council Entry'!AB$9)),MAX(MIN('Council Entry'!AB182,'Council Entry'!AB$9),'Council Entry'!AB$8),'Council Entry'!AB182)),IF('Council Entry'!AB$4="Exponential",EXP(IF(AND(ISNUMBER('Council Entry'!AB$8),ISNUMBER('Council Entry'!AB$9)),MAX(MIN('Council Entry'!AB182,'Council Entry'!AB$9),'Council Entry'!AB$8),'Council Entry'!AB182)),IF(AND(ISNUMBER('Council Entry'!AB$8),ISNUMBER('Council Entry'!AB$9)),MAX(MIN('Council Entry'!AB182,'Council Entry'!AB$9),'Council Entry'!AB$8),'Council Entry'!AB182))))-'Council Entry'!AB$5)/('Council Entry'!AB$6-'Council Entry'!AB$5)),1))),"No data"))</f>
        <v/>
      </c>
      <c r="AC182" s="13">
        <f>IF('Council Entry'!AC182="","",IFERROR(MAX(0,MIN(10,ROUND(IF('Council Entry'!AC$7="Decrease Risk",10-10*((IF('Council Entry'!AC$4="Logarithm",LN(0.001+IF(AND(ISNUMBER('Council Entry'!AC$8),ISNUMBER('Council Entry'!AC$9)),MAX(MIN('Council Entry'!AC182,'Council Entry'!AC$9),'Council Entry'!AC$8),'Council Entry'!AC182)),IF('Council Entry'!AC$4="Exponential",EXP(IF(AND(ISNUMBER('Council Entry'!AC$8),ISNUMBER('Council Entry'!AC$9)),MAX(MIN('Council Entry'!AC182,'Council Entry'!AC$9),'Council Entry'!AC$8),'Council Entry'!AC182)),IF(AND(ISNUMBER('Council Entry'!AC$8),ISNUMBER('Council Entry'!AC$9)),MAX(MIN('Council Entry'!AC182,'Council Entry'!AC$9),'Council Entry'!AC$8),'Council Entry'!AC182))))-'Council Entry'!AC$5)/('Council Entry'!AC$6-'Council Entry'!AC$5),10*((IF('Council Entry'!AC$4="Logarithm",LN(0.001+IF(AND(ISNUMBER('Council Entry'!AC$8),ISNUMBER('Council Entry'!AC$9)),MAX(MIN('Council Entry'!AC182,'Council Entry'!AC$9),'Council Entry'!AC$8),'Council Entry'!AC182)),IF('Council Entry'!AC$4="Exponential",EXP(IF(AND(ISNUMBER('Council Entry'!AC$8),ISNUMBER('Council Entry'!AC$9)),MAX(MIN('Council Entry'!AC182,'Council Entry'!AC$9),'Council Entry'!AC$8),'Council Entry'!AC182)),IF(AND(ISNUMBER('Council Entry'!AC$8),ISNUMBER('Council Entry'!AC$9)),MAX(MIN('Council Entry'!AC182,'Council Entry'!AC$9),'Council Entry'!AC$8),'Council Entry'!AC182))))-'Council Entry'!AC$5)/('Council Entry'!AC$6-'Council Entry'!AC$5)),1))),"No data"))</f>
        <v/>
      </c>
      <c r="AD182" s="13">
        <f>IF('Council Entry'!AD182="","",IFERROR(MAX(0,MIN(10,ROUND(IF('Council Entry'!AD$7="Decrease Risk",10-10*((IF('Council Entry'!AD$4="Logarithm",LN(0.001+IF(AND(ISNUMBER('Council Entry'!AD$8),ISNUMBER('Council Entry'!AD$9)),MAX(MIN('Council Entry'!AD182,'Council Entry'!AD$9),'Council Entry'!AD$8),'Council Entry'!AD182)),IF('Council Entry'!AD$4="Exponential",EXP(IF(AND(ISNUMBER('Council Entry'!AD$8),ISNUMBER('Council Entry'!AD$9)),MAX(MIN('Council Entry'!AD182,'Council Entry'!AD$9),'Council Entry'!AD$8),'Council Entry'!AD182)),IF(AND(ISNUMBER('Council Entry'!AD$8),ISNUMBER('Council Entry'!AD$9)),MAX(MIN('Council Entry'!AD182,'Council Entry'!AD$9),'Council Entry'!AD$8),'Council Entry'!AD182))))-'Council Entry'!AD$5)/('Council Entry'!AD$6-'Council Entry'!AD$5),10*((IF('Council Entry'!AD$4="Logarithm",LN(0.001+IF(AND(ISNUMBER('Council Entry'!AD$8),ISNUMBER('Council Entry'!AD$9)),MAX(MIN('Council Entry'!AD182,'Council Entry'!AD$9),'Council Entry'!AD$8),'Council Entry'!AD182)),IF('Council Entry'!AD$4="Exponential",EXP(IF(AND(ISNUMBER('Council Entry'!AD$8),ISNUMBER('Council Entry'!AD$9)),MAX(MIN('Council Entry'!AD182,'Council Entry'!AD$9),'Council Entry'!AD$8),'Council Entry'!AD182)),IF(AND(ISNUMBER('Council Entry'!AD$8),ISNUMBER('Council Entry'!AD$9)),MAX(MIN('Council Entry'!AD182,'Council Entry'!AD$9),'Council Entry'!AD$8),'Council Entry'!AD182))))-'Council Entry'!AD$5)/('Council Entry'!AD$6-'Council Entry'!AD$5)),1))),"No data"))</f>
        <v/>
      </c>
      <c r="AE182" s="13">
        <f>IF('Council Entry'!AE182="","",IFERROR(MAX(0,MIN(10,ROUND(IF('Council Entry'!AE$7="Decrease Risk",10-10*((IF('Council Entry'!AE$4="Logarithm",LN(0.001+IF(AND(ISNUMBER('Council Entry'!AE$8),ISNUMBER('Council Entry'!AE$9)),MAX(MIN('Council Entry'!AE182,'Council Entry'!AE$9),'Council Entry'!AE$8),'Council Entry'!AE182)),IF('Council Entry'!AE$4="Exponential",EXP(IF(AND(ISNUMBER('Council Entry'!AE$8),ISNUMBER('Council Entry'!AE$9)),MAX(MIN('Council Entry'!AE182,'Council Entry'!AE$9),'Council Entry'!AE$8),'Council Entry'!AE182)),IF(AND(ISNUMBER('Council Entry'!AE$8),ISNUMBER('Council Entry'!AE$9)),MAX(MIN('Council Entry'!AE182,'Council Entry'!AE$9),'Council Entry'!AE$8),'Council Entry'!AE182))))-'Council Entry'!AE$5)/('Council Entry'!AE$6-'Council Entry'!AE$5),10*((IF('Council Entry'!AE$4="Logarithm",LN(0.001+IF(AND(ISNUMBER('Council Entry'!AE$8),ISNUMBER('Council Entry'!AE$9)),MAX(MIN('Council Entry'!AE182,'Council Entry'!AE$9),'Council Entry'!AE$8),'Council Entry'!AE182)),IF('Council Entry'!AE$4="Exponential",EXP(IF(AND(ISNUMBER('Council Entry'!AE$8),ISNUMBER('Council Entry'!AE$9)),MAX(MIN('Council Entry'!AE182,'Council Entry'!AE$9),'Council Entry'!AE$8),'Council Entry'!AE182)),IF(AND(ISNUMBER('Council Entry'!AE$8),ISNUMBER('Council Entry'!AE$9)),MAX(MIN('Council Entry'!AE182,'Council Entry'!AE$9),'Council Entry'!AE$8),'Council Entry'!AE182))))-'Council Entry'!AE$5)/('Council Entry'!AE$6-'Council Entry'!AE$5)),1))),"No data"))</f>
        <v/>
      </c>
      <c r="AF182" s="13">
        <f>IF('Council Entry'!AF182="","",IFERROR(MAX(0,MIN(10,ROUND(IF('Council Entry'!AF$7="Decrease Risk",10-10*((IF('Council Entry'!AF$4="Logarithm",LN(0.001+IF(AND(ISNUMBER('Council Entry'!AF$8),ISNUMBER('Council Entry'!AF$9)),MAX(MIN('Council Entry'!AF182,'Council Entry'!AF$9),'Council Entry'!AF$8),'Council Entry'!AF182)),IF('Council Entry'!AF$4="Exponential",EXP(IF(AND(ISNUMBER('Council Entry'!AF$8),ISNUMBER('Council Entry'!AF$9)),MAX(MIN('Council Entry'!AF182,'Council Entry'!AF$9),'Council Entry'!AF$8),'Council Entry'!AF182)),IF(AND(ISNUMBER('Council Entry'!AF$8),ISNUMBER('Council Entry'!AF$9)),MAX(MIN('Council Entry'!AF182,'Council Entry'!AF$9),'Council Entry'!AF$8),'Council Entry'!AF182))))-'Council Entry'!AF$5)/('Council Entry'!AF$6-'Council Entry'!AF$5),10*((IF('Council Entry'!AF$4="Logarithm",LN(0.001+IF(AND(ISNUMBER('Council Entry'!AF$8),ISNUMBER('Council Entry'!AF$9)),MAX(MIN('Council Entry'!AF182,'Council Entry'!AF$9),'Council Entry'!AF$8),'Council Entry'!AF182)),IF('Council Entry'!AF$4="Exponential",EXP(IF(AND(ISNUMBER('Council Entry'!AF$8),ISNUMBER('Council Entry'!AF$9)),MAX(MIN('Council Entry'!AF182,'Council Entry'!AF$9),'Council Entry'!AF$8),'Council Entry'!AF182)),IF(AND(ISNUMBER('Council Entry'!AF$8),ISNUMBER('Council Entry'!AF$9)),MAX(MIN('Council Entry'!AF182,'Council Entry'!AF$9),'Council Entry'!AF$8),'Council Entry'!AF182))))-'Council Entry'!AF$5)/('Council Entry'!AF$6-'Council Entry'!AF$5)),1))),"No data"))</f>
        <v/>
      </c>
      <c r="AG182" s="13">
        <f>IF('Council Entry'!AG182="","",IFERROR(MAX(0,MIN(10,ROUND(IF('Council Entry'!AG$7="Decrease Risk",10-10*((IF('Council Entry'!AG$4="Logarithm",LN(0.001+IF(AND(ISNUMBER('Council Entry'!AG$8),ISNUMBER('Council Entry'!AG$9)),MAX(MIN('Council Entry'!AG182,'Council Entry'!AG$9),'Council Entry'!AG$8),'Council Entry'!AG182)),IF('Council Entry'!AG$4="Exponential",EXP(IF(AND(ISNUMBER('Council Entry'!AG$8),ISNUMBER('Council Entry'!AG$9)),MAX(MIN('Council Entry'!AG182,'Council Entry'!AG$9),'Council Entry'!AG$8),'Council Entry'!AG182)),IF(AND(ISNUMBER('Council Entry'!AG$8),ISNUMBER('Council Entry'!AG$9)),MAX(MIN('Council Entry'!AG182,'Council Entry'!AG$9),'Council Entry'!AG$8),'Council Entry'!AG182))))-'Council Entry'!AG$5)/('Council Entry'!AG$6-'Council Entry'!AG$5),10*((IF('Council Entry'!AG$4="Logarithm",LN(0.001+IF(AND(ISNUMBER('Council Entry'!AG$8),ISNUMBER('Council Entry'!AG$9)),MAX(MIN('Council Entry'!AG182,'Council Entry'!AG$9),'Council Entry'!AG$8),'Council Entry'!AG182)),IF('Council Entry'!AG$4="Exponential",EXP(IF(AND(ISNUMBER('Council Entry'!AG$8),ISNUMBER('Council Entry'!AG$9)),MAX(MIN('Council Entry'!AG182,'Council Entry'!AG$9),'Council Entry'!AG$8),'Council Entry'!AG182)),IF(AND(ISNUMBER('Council Entry'!AG$8),ISNUMBER('Council Entry'!AG$9)),MAX(MIN('Council Entry'!AG182,'Council Entry'!AG$9),'Council Entry'!AG$8),'Council Entry'!AG182))))-'Council Entry'!AG$5)/('Council Entry'!AG$6-'Council Entry'!AG$5)),1))),"No data"))</f>
        <v/>
      </c>
      <c r="AH182" s="13">
        <f>IF('Council Entry'!AH182="","",IFERROR(MAX(0,MIN(10,ROUND(IF('Council Entry'!AH$7="Decrease Risk",10-10*((IF('Council Entry'!AH$4="Logarithm",LN(0.001+IF(AND(ISNUMBER('Council Entry'!AH$8),ISNUMBER('Council Entry'!AH$9)),MAX(MIN('Council Entry'!AH182,'Council Entry'!AH$9),'Council Entry'!AH$8),'Council Entry'!AH182)),IF('Council Entry'!AH$4="Exponential",EXP(IF(AND(ISNUMBER('Council Entry'!AH$8),ISNUMBER('Council Entry'!AH$9)),MAX(MIN('Council Entry'!AH182,'Council Entry'!AH$9),'Council Entry'!AH$8),'Council Entry'!AH182)),IF(AND(ISNUMBER('Council Entry'!AH$8),ISNUMBER('Council Entry'!AH$9)),MAX(MIN('Council Entry'!AH182,'Council Entry'!AH$9),'Council Entry'!AH$8),'Council Entry'!AH182))))-'Council Entry'!AH$5)/('Council Entry'!AH$6-'Council Entry'!AH$5),10*((IF('Council Entry'!AH$4="Logarithm",LN(0.001+IF(AND(ISNUMBER('Council Entry'!AH$8),ISNUMBER('Council Entry'!AH$9)),MAX(MIN('Council Entry'!AH182,'Council Entry'!AH$9),'Council Entry'!AH$8),'Council Entry'!AH182)),IF('Council Entry'!AH$4="Exponential",EXP(IF(AND(ISNUMBER('Council Entry'!AH$8),ISNUMBER('Council Entry'!AH$9)),MAX(MIN('Council Entry'!AH182,'Council Entry'!AH$9),'Council Entry'!AH$8),'Council Entry'!AH182)),IF(AND(ISNUMBER('Council Entry'!AH$8),ISNUMBER('Council Entry'!AH$9)),MAX(MIN('Council Entry'!AH182,'Council Entry'!AH$9),'Council Entry'!AH$8),'Council Entry'!AH182))))-'Council Entry'!AH$5)/('Council Entry'!AH$6-'Council Entry'!AH$5)),1))),"No data"))</f>
        <v/>
      </c>
      <c r="AI182" s="13">
        <f>IF('Council Entry'!AI182="","",IFERROR(MAX(0,MIN(10,ROUND(IF('Council Entry'!AI$7="Decrease Risk",10-10*((IF('Council Entry'!AI$4="Logarithm",LN(0.001+IF(AND(ISNUMBER('Council Entry'!AI$8),ISNUMBER('Council Entry'!AI$9)),MAX(MIN('Council Entry'!AI182,'Council Entry'!AI$9),'Council Entry'!AI$8),'Council Entry'!AI182)),IF('Council Entry'!AI$4="Exponential",EXP(IF(AND(ISNUMBER('Council Entry'!AI$8),ISNUMBER('Council Entry'!AI$9)),MAX(MIN('Council Entry'!AI182,'Council Entry'!AI$9),'Council Entry'!AI$8),'Council Entry'!AI182)),IF(AND(ISNUMBER('Council Entry'!AI$8),ISNUMBER('Council Entry'!AI$9)),MAX(MIN('Council Entry'!AI182,'Council Entry'!AI$9),'Council Entry'!AI$8),'Council Entry'!AI182))))-'Council Entry'!AI$5)/('Council Entry'!AI$6-'Council Entry'!AI$5),10*((IF('Council Entry'!AI$4="Logarithm",LN(0.001+IF(AND(ISNUMBER('Council Entry'!AI$8),ISNUMBER('Council Entry'!AI$9)),MAX(MIN('Council Entry'!AI182,'Council Entry'!AI$9),'Council Entry'!AI$8),'Council Entry'!AI182)),IF('Council Entry'!AI$4="Exponential",EXP(IF(AND(ISNUMBER('Council Entry'!AI$8),ISNUMBER('Council Entry'!AI$9)),MAX(MIN('Council Entry'!AI182,'Council Entry'!AI$9),'Council Entry'!AI$8),'Council Entry'!AI182)),IF(AND(ISNUMBER('Council Entry'!AI$8),ISNUMBER('Council Entry'!AI$9)),MAX(MIN('Council Entry'!AI182,'Council Entry'!AI$9),'Council Entry'!AI$8),'Council Entry'!AI182))))-'Council Entry'!AI$5)/('Council Entry'!AI$6-'Council Entry'!AI$5)),1))),"No data"))</f>
        <v/>
      </c>
      <c r="AJ182" s="13">
        <f>IF('Council Entry'!AJ182="","",IFERROR(MAX(0,MIN(10,ROUND(IF('Council Entry'!AJ$7="Decrease Risk",10-10*((IF('Council Entry'!AJ$4="Logarithm",LN(0.001+IF(AND(ISNUMBER('Council Entry'!AJ$8),ISNUMBER('Council Entry'!AJ$9)),MAX(MIN('Council Entry'!AJ182,'Council Entry'!AJ$9),'Council Entry'!AJ$8),'Council Entry'!AJ182)),IF('Council Entry'!AJ$4="Exponential",EXP(IF(AND(ISNUMBER('Council Entry'!AJ$8),ISNUMBER('Council Entry'!AJ$9)),MAX(MIN('Council Entry'!AJ182,'Council Entry'!AJ$9),'Council Entry'!AJ$8),'Council Entry'!AJ182)),IF(AND(ISNUMBER('Council Entry'!AJ$8),ISNUMBER('Council Entry'!AJ$9)),MAX(MIN('Council Entry'!AJ182,'Council Entry'!AJ$9),'Council Entry'!AJ$8),'Council Entry'!AJ182))))-'Council Entry'!AJ$5)/('Council Entry'!AJ$6-'Council Entry'!AJ$5),10*((IF('Council Entry'!AJ$4="Logarithm",LN(0.001+IF(AND(ISNUMBER('Council Entry'!AJ$8),ISNUMBER('Council Entry'!AJ$9)),MAX(MIN('Council Entry'!AJ182,'Council Entry'!AJ$9),'Council Entry'!AJ$8),'Council Entry'!AJ182)),IF('Council Entry'!AJ$4="Exponential",EXP(IF(AND(ISNUMBER('Council Entry'!AJ$8),ISNUMBER('Council Entry'!AJ$9)),MAX(MIN('Council Entry'!AJ182,'Council Entry'!AJ$9),'Council Entry'!AJ$8),'Council Entry'!AJ182)),IF(AND(ISNUMBER('Council Entry'!AJ$8),ISNUMBER('Council Entry'!AJ$9)),MAX(MIN('Council Entry'!AJ182,'Council Entry'!AJ$9),'Council Entry'!AJ$8),'Council Entry'!AJ182))))-'Council Entry'!AJ$5)/('Council Entry'!AJ$6-'Council Entry'!AJ$5)),1))),"No data"))</f>
        <v/>
      </c>
      <c r="AK182" s="13">
        <f>IF('Council Entry'!AK182="","",IFERROR(MAX(0,MIN(10,ROUND(IF('Council Entry'!AK$7="Decrease Risk",10-10*((IF('Council Entry'!AK$4="Logarithm",LN(0.001+IF(AND(ISNUMBER('Council Entry'!AK$8),ISNUMBER('Council Entry'!AK$9)),MAX(MIN('Council Entry'!AK182,'Council Entry'!AK$9),'Council Entry'!AK$8),'Council Entry'!AK182)),IF('Council Entry'!AK$4="Exponential",EXP(IF(AND(ISNUMBER('Council Entry'!AK$8),ISNUMBER('Council Entry'!AK$9)),MAX(MIN('Council Entry'!AK182,'Council Entry'!AK$9),'Council Entry'!AK$8),'Council Entry'!AK182)),IF(AND(ISNUMBER('Council Entry'!AK$8),ISNUMBER('Council Entry'!AK$9)),MAX(MIN('Council Entry'!AK182,'Council Entry'!AK$9),'Council Entry'!AK$8),'Council Entry'!AK182))))-'Council Entry'!AK$5)/('Council Entry'!AK$6-'Council Entry'!AK$5),10*((IF('Council Entry'!AK$4="Logarithm",LN(0.001+IF(AND(ISNUMBER('Council Entry'!AK$8),ISNUMBER('Council Entry'!AK$9)),MAX(MIN('Council Entry'!AK182,'Council Entry'!AK$9),'Council Entry'!AK$8),'Council Entry'!AK182)),IF('Council Entry'!AK$4="Exponential",EXP(IF(AND(ISNUMBER('Council Entry'!AK$8),ISNUMBER('Council Entry'!AK$9)),MAX(MIN('Council Entry'!AK182,'Council Entry'!AK$9),'Council Entry'!AK$8),'Council Entry'!AK182)),IF(AND(ISNUMBER('Council Entry'!AK$8),ISNUMBER('Council Entry'!AK$9)),MAX(MIN('Council Entry'!AK182,'Council Entry'!AK$9),'Council Entry'!AK$8),'Council Entry'!AK182))))-'Council Entry'!AK$5)/('Council Entry'!AK$6-'Council Entry'!AK$5)),1))),"No data"))</f>
        <v/>
      </c>
      <c r="AL182" s="13">
        <f>IF('Council Entry'!AL182="","",IFERROR(MAX(0,MIN(10,ROUND(IF('Council Entry'!AL$7="Decrease Risk",10-10*((IF('Council Entry'!AL$4="Logarithm",LN(0.001+IF(AND(ISNUMBER('Council Entry'!AL$8),ISNUMBER('Council Entry'!AL$9)),MAX(MIN('Council Entry'!AL182,'Council Entry'!AL$9),'Council Entry'!AL$8),'Council Entry'!AL182)),IF('Council Entry'!AL$4="Exponential",EXP(IF(AND(ISNUMBER('Council Entry'!AL$8),ISNUMBER('Council Entry'!AL$9)),MAX(MIN('Council Entry'!AL182,'Council Entry'!AL$9),'Council Entry'!AL$8),'Council Entry'!AL182)),IF(AND(ISNUMBER('Council Entry'!AL$8),ISNUMBER('Council Entry'!AL$9)),MAX(MIN('Council Entry'!AL182,'Council Entry'!AL$9),'Council Entry'!AL$8),'Council Entry'!AL182))))-'Council Entry'!AL$5)/('Council Entry'!AL$6-'Council Entry'!AL$5),10*((IF('Council Entry'!AL$4="Logarithm",LN(0.001+IF(AND(ISNUMBER('Council Entry'!AL$8),ISNUMBER('Council Entry'!AL$9)),MAX(MIN('Council Entry'!AL182,'Council Entry'!AL$9),'Council Entry'!AL$8),'Council Entry'!AL182)),IF('Council Entry'!AL$4="Exponential",EXP(IF(AND(ISNUMBER('Council Entry'!AL$8),ISNUMBER('Council Entry'!AL$9)),MAX(MIN('Council Entry'!AL182,'Council Entry'!AL$9),'Council Entry'!AL$8),'Council Entry'!AL182)),IF(AND(ISNUMBER('Council Entry'!AL$8),ISNUMBER('Council Entry'!AL$9)),MAX(MIN('Council Entry'!AL182,'Council Entry'!AL$9),'Council Entry'!AL$8),'Council Entry'!AL182))))-'Council Entry'!AL$5)/('Council Entry'!AL$6-'Council Entry'!AL$5)),1))),"No data"))</f>
        <v/>
      </c>
      <c r="AM182" s="13">
        <f>IF('Council Entry'!AM182="","",IFERROR(MAX(0,MIN(10,ROUND(IF('Council Entry'!AM$7="Decrease Risk",10-10*((IF('Council Entry'!AM$4="Logarithm",LN(0.001+IF(AND(ISNUMBER('Council Entry'!AM$8),ISNUMBER('Council Entry'!AM$9)),MAX(MIN('Council Entry'!AM182,'Council Entry'!AM$9),'Council Entry'!AM$8),'Council Entry'!AM182)),IF('Council Entry'!AM$4="Exponential",EXP(IF(AND(ISNUMBER('Council Entry'!AM$8),ISNUMBER('Council Entry'!AM$9)),MAX(MIN('Council Entry'!AM182,'Council Entry'!AM$9),'Council Entry'!AM$8),'Council Entry'!AM182)),IF(AND(ISNUMBER('Council Entry'!AM$8),ISNUMBER('Council Entry'!AM$9)),MAX(MIN('Council Entry'!AM182,'Council Entry'!AM$9),'Council Entry'!AM$8),'Council Entry'!AM182))))-'Council Entry'!AM$5)/('Council Entry'!AM$6-'Council Entry'!AM$5),10*((IF('Council Entry'!AM$4="Logarithm",LN(0.001+IF(AND(ISNUMBER('Council Entry'!AM$8),ISNUMBER('Council Entry'!AM$9)),MAX(MIN('Council Entry'!AM182,'Council Entry'!AM$9),'Council Entry'!AM$8),'Council Entry'!AM182)),IF('Council Entry'!AM$4="Exponential",EXP(IF(AND(ISNUMBER('Council Entry'!AM$8),ISNUMBER('Council Entry'!AM$9)),MAX(MIN('Council Entry'!AM182,'Council Entry'!AM$9),'Council Entry'!AM$8),'Council Entry'!AM182)),IF(AND(ISNUMBER('Council Entry'!AM$8),ISNUMBER('Council Entry'!AM$9)),MAX(MIN('Council Entry'!AM182,'Council Entry'!AM$9),'Council Entry'!AM$8),'Council Entry'!AM182))))-'Council Entry'!AM$5)/('Council Entry'!AM$6-'Council Entry'!AM$5)),1))),"No data"))</f>
        <v/>
      </c>
      <c r="AN182" s="13">
        <f>IF('Council Entry'!AN182="","",IFERROR(MAX(0,MIN(10,ROUND(IF('Council Entry'!AN$7="Decrease Risk",10-10*((IF('Council Entry'!AN$4="Logarithm",LN(0.001+IF(AND(ISNUMBER('Council Entry'!AN$8),ISNUMBER('Council Entry'!AN$9)),MAX(MIN('Council Entry'!AN182,'Council Entry'!AN$9),'Council Entry'!AN$8),'Council Entry'!AN182)),IF('Council Entry'!AN$4="Exponential",EXP(IF(AND(ISNUMBER('Council Entry'!AN$8),ISNUMBER('Council Entry'!AN$9)),MAX(MIN('Council Entry'!AN182,'Council Entry'!AN$9),'Council Entry'!AN$8),'Council Entry'!AN182)),IF(AND(ISNUMBER('Council Entry'!AN$8),ISNUMBER('Council Entry'!AN$9)),MAX(MIN('Council Entry'!AN182,'Council Entry'!AN$9),'Council Entry'!AN$8),'Council Entry'!AN182))))-'Council Entry'!AN$5)/('Council Entry'!AN$6-'Council Entry'!AN$5),10*((IF('Council Entry'!AN$4="Logarithm",LN(0.001+IF(AND(ISNUMBER('Council Entry'!AN$8),ISNUMBER('Council Entry'!AN$9)),MAX(MIN('Council Entry'!AN182,'Council Entry'!AN$9),'Council Entry'!AN$8),'Council Entry'!AN182)),IF('Council Entry'!AN$4="Exponential",EXP(IF(AND(ISNUMBER('Council Entry'!AN$8),ISNUMBER('Council Entry'!AN$9)),MAX(MIN('Council Entry'!AN182,'Council Entry'!AN$9),'Council Entry'!AN$8),'Council Entry'!AN182)),IF(AND(ISNUMBER('Council Entry'!AN$8),ISNUMBER('Council Entry'!AN$9)),MAX(MIN('Council Entry'!AN182,'Council Entry'!AN$9),'Council Entry'!AN$8),'Council Entry'!AN182))))-'Council Entry'!AN$5)/('Council Entry'!AN$6-'Council Entry'!AN$5)),1))),"No data"))</f>
        <v/>
      </c>
      <c r="AO182" s="13">
        <f>IF('Council Entry'!AO182="","",IFERROR(MAX(0,MIN(10,ROUND(IF('Council Entry'!AO$7="Decrease Risk",10-10*((IF('Council Entry'!AO$4="Logarithm",LN(0.001+IF(AND(ISNUMBER('Council Entry'!AO$8),ISNUMBER('Council Entry'!AO$9)),MAX(MIN('Council Entry'!AO182,'Council Entry'!AO$9),'Council Entry'!AO$8),'Council Entry'!AO182)),IF('Council Entry'!AO$4="Exponential",EXP(IF(AND(ISNUMBER('Council Entry'!AO$8),ISNUMBER('Council Entry'!AO$9)),MAX(MIN('Council Entry'!AO182,'Council Entry'!AO$9),'Council Entry'!AO$8),'Council Entry'!AO182)),IF(AND(ISNUMBER('Council Entry'!AO$8),ISNUMBER('Council Entry'!AO$9)),MAX(MIN('Council Entry'!AO182,'Council Entry'!AO$9),'Council Entry'!AO$8),'Council Entry'!AO182))))-'Council Entry'!AO$5)/('Council Entry'!AO$6-'Council Entry'!AO$5),10*((IF('Council Entry'!AO$4="Logarithm",LN(0.001+IF(AND(ISNUMBER('Council Entry'!AO$8),ISNUMBER('Council Entry'!AO$9)),MAX(MIN('Council Entry'!AO182,'Council Entry'!AO$9),'Council Entry'!AO$8),'Council Entry'!AO182)),IF('Council Entry'!AO$4="Exponential",EXP(IF(AND(ISNUMBER('Council Entry'!AO$8),ISNUMBER('Council Entry'!AO$9)),MAX(MIN('Council Entry'!AO182,'Council Entry'!AO$9),'Council Entry'!AO$8),'Council Entry'!AO182)),IF(AND(ISNUMBER('Council Entry'!AO$8),ISNUMBER('Council Entry'!AO$9)),MAX(MIN('Council Entry'!AO182,'Council Entry'!AO$9),'Council Entry'!AO$8),'Council Entry'!AO182))))-'Council Entry'!AO$5)/('Council Entry'!AO$6-'Council Entry'!AO$5)),1))),"No data"))</f>
        <v/>
      </c>
      <c r="AP182" s="13">
        <f>IF('Council Entry'!AP182="","",IFERROR(MAX(0,MIN(10,ROUND(IF('Council Entry'!AP$7="Decrease Risk",10-10*((IF('Council Entry'!AP$4="Logarithm",LN(0.001+IF(AND(ISNUMBER('Council Entry'!AP$8),ISNUMBER('Council Entry'!AP$9)),MAX(MIN('Council Entry'!AP182,'Council Entry'!AP$9),'Council Entry'!AP$8),'Council Entry'!AP182)),IF('Council Entry'!AP$4="Exponential",EXP(IF(AND(ISNUMBER('Council Entry'!AP$8),ISNUMBER('Council Entry'!AP$9)),MAX(MIN('Council Entry'!AP182,'Council Entry'!AP$9),'Council Entry'!AP$8),'Council Entry'!AP182)),IF(AND(ISNUMBER('Council Entry'!AP$8),ISNUMBER('Council Entry'!AP$9)),MAX(MIN('Council Entry'!AP182,'Council Entry'!AP$9),'Council Entry'!AP$8),'Council Entry'!AP182))))-'Council Entry'!AP$5)/('Council Entry'!AP$6-'Council Entry'!AP$5),10*((IF('Council Entry'!AP$4="Logarithm",LN(0.001+IF(AND(ISNUMBER('Council Entry'!AP$8),ISNUMBER('Council Entry'!AP$9)),MAX(MIN('Council Entry'!AP182,'Council Entry'!AP$9),'Council Entry'!AP$8),'Council Entry'!AP182)),IF('Council Entry'!AP$4="Exponential",EXP(IF(AND(ISNUMBER('Council Entry'!AP$8),ISNUMBER('Council Entry'!AP$9)),MAX(MIN('Council Entry'!AP182,'Council Entry'!AP$9),'Council Entry'!AP$8),'Council Entry'!AP182)),IF(AND(ISNUMBER('Council Entry'!AP$8),ISNUMBER('Council Entry'!AP$9)),MAX(MIN('Council Entry'!AP182,'Council Entry'!AP$9),'Council Entry'!AP$8),'Council Entry'!AP182))))-'Council Entry'!AP$5)/('Council Entry'!AP$6-'Council Entry'!AP$5)),1))),"No data"))</f>
        <v/>
      </c>
      <c r="AQ182" s="13">
        <f>IF('Council Entry'!AQ182="","",IFERROR(MAX(0,MIN(10,ROUND(IF('Council Entry'!AQ$7="Decrease Risk",10-10*((IF('Council Entry'!AQ$4="Logarithm",LN(0.001+IF(AND(ISNUMBER('Council Entry'!AQ$8),ISNUMBER('Council Entry'!AQ$9)),MAX(MIN('Council Entry'!AQ182,'Council Entry'!AQ$9),'Council Entry'!AQ$8),'Council Entry'!AQ182)),IF('Council Entry'!AQ$4="Exponential",EXP(IF(AND(ISNUMBER('Council Entry'!AQ$8),ISNUMBER('Council Entry'!AQ$9)),MAX(MIN('Council Entry'!AQ182,'Council Entry'!AQ$9),'Council Entry'!AQ$8),'Council Entry'!AQ182)),IF(AND(ISNUMBER('Council Entry'!AQ$8),ISNUMBER('Council Entry'!AQ$9)),MAX(MIN('Council Entry'!AQ182,'Council Entry'!AQ$9),'Council Entry'!AQ$8),'Council Entry'!AQ182))))-'Council Entry'!AQ$5)/('Council Entry'!AQ$6-'Council Entry'!AQ$5),10*((IF('Council Entry'!AQ$4="Logarithm",LN(0.001+IF(AND(ISNUMBER('Council Entry'!AQ$8),ISNUMBER('Council Entry'!AQ$9)),MAX(MIN('Council Entry'!AQ182,'Council Entry'!AQ$9),'Council Entry'!AQ$8),'Council Entry'!AQ182)),IF('Council Entry'!AQ$4="Exponential",EXP(IF(AND(ISNUMBER('Council Entry'!AQ$8),ISNUMBER('Council Entry'!AQ$9)),MAX(MIN('Council Entry'!AQ182,'Council Entry'!AQ$9),'Council Entry'!AQ$8),'Council Entry'!AQ182)),IF(AND(ISNUMBER('Council Entry'!AQ$8),ISNUMBER('Council Entry'!AQ$9)),MAX(MIN('Council Entry'!AQ182,'Council Entry'!AQ$9),'Council Entry'!AQ$8),'Council Entry'!AQ182))))-'Council Entry'!AQ$5)/('Council Entry'!AQ$6-'Council Entry'!AQ$5)),1))),"No data"))</f>
        <v/>
      </c>
      <c r="AR182" s="13">
        <f>IF('Council Entry'!AR182="","",IFERROR(MAX(0,MIN(10,ROUND(IF('Council Entry'!AR$7="Decrease Risk",10-10*((IF('Council Entry'!AR$4="Logarithm",LN(0.001+IF(AND(ISNUMBER('Council Entry'!AR$8),ISNUMBER('Council Entry'!AR$9)),MAX(MIN('Council Entry'!AR182,'Council Entry'!AR$9),'Council Entry'!AR$8),'Council Entry'!AR182)),IF('Council Entry'!AR$4="Exponential",EXP(IF(AND(ISNUMBER('Council Entry'!AR$8),ISNUMBER('Council Entry'!AR$9)),MAX(MIN('Council Entry'!AR182,'Council Entry'!AR$9),'Council Entry'!AR$8),'Council Entry'!AR182)),IF(AND(ISNUMBER('Council Entry'!AR$8),ISNUMBER('Council Entry'!AR$9)),MAX(MIN('Council Entry'!AR182,'Council Entry'!AR$9),'Council Entry'!AR$8),'Council Entry'!AR182))))-'Council Entry'!AR$5)/('Council Entry'!AR$6-'Council Entry'!AR$5),10*((IF('Council Entry'!AR$4="Logarithm",LN(0.001+IF(AND(ISNUMBER('Council Entry'!AR$8),ISNUMBER('Council Entry'!AR$9)),MAX(MIN('Council Entry'!AR182,'Council Entry'!AR$9),'Council Entry'!AR$8),'Council Entry'!AR182)),IF('Council Entry'!AR$4="Exponential",EXP(IF(AND(ISNUMBER('Council Entry'!AR$8),ISNUMBER('Council Entry'!AR$9)),MAX(MIN('Council Entry'!AR182,'Council Entry'!AR$9),'Council Entry'!AR$8),'Council Entry'!AR182)),IF(AND(ISNUMBER('Council Entry'!AR$8),ISNUMBER('Council Entry'!AR$9)),MAX(MIN('Council Entry'!AR182,'Council Entry'!AR$9),'Council Entry'!AR$8),'Council Entry'!AR182))))-'Council Entry'!AR$5)/('Council Entry'!AR$6-'Council Entry'!AR$5)),1))),"No data"))</f>
        <v/>
      </c>
      <c r="AS182" s="13">
        <f>IF('Council Entry'!AS182="","",IFERROR(MAX(0,MIN(10,ROUND(IF('Council Entry'!AS$7="Decrease Risk",10-10*((IF('Council Entry'!AS$4="Logarithm",LN(0.001+IF(AND(ISNUMBER('Council Entry'!AS$8),ISNUMBER('Council Entry'!AS$9)),MAX(MIN('Council Entry'!AS182,'Council Entry'!AS$9),'Council Entry'!AS$8),'Council Entry'!AS182)),IF('Council Entry'!AS$4="Exponential",EXP(IF(AND(ISNUMBER('Council Entry'!AS$8),ISNUMBER('Council Entry'!AS$9)),MAX(MIN('Council Entry'!AS182,'Council Entry'!AS$9),'Council Entry'!AS$8),'Council Entry'!AS182)),IF(AND(ISNUMBER('Council Entry'!AS$8),ISNUMBER('Council Entry'!AS$9)),MAX(MIN('Council Entry'!AS182,'Council Entry'!AS$9),'Council Entry'!AS$8),'Council Entry'!AS182))))-'Council Entry'!AS$5)/('Council Entry'!AS$6-'Council Entry'!AS$5),10*((IF('Council Entry'!AS$4="Logarithm",LN(0.001+IF(AND(ISNUMBER('Council Entry'!AS$8),ISNUMBER('Council Entry'!AS$9)),MAX(MIN('Council Entry'!AS182,'Council Entry'!AS$9),'Council Entry'!AS$8),'Council Entry'!AS182)),IF('Council Entry'!AS$4="Exponential",EXP(IF(AND(ISNUMBER('Council Entry'!AS$8),ISNUMBER('Council Entry'!AS$9)),MAX(MIN('Council Entry'!AS182,'Council Entry'!AS$9),'Council Entry'!AS$8),'Council Entry'!AS182)),IF(AND(ISNUMBER('Council Entry'!AS$8),ISNUMBER('Council Entry'!AS$9)),MAX(MIN('Council Entry'!AS182,'Council Entry'!AS$9),'Council Entry'!AS$8),'Council Entry'!AS182))))-'Council Entry'!AS$5)/('Council Entry'!AS$6-'Council Entry'!AS$5)),1))),"No data"))</f>
        <v/>
      </c>
      <c r="AT182" s="13">
        <f>IF('Council Entry'!AT182="","",IFERROR(MAX(0,MIN(10,ROUND(IF('Council Entry'!AT$7="Decrease Risk",10-10*((IF('Council Entry'!AT$4="Logarithm",LN(0.001+IF(AND(ISNUMBER('Council Entry'!AT$8),ISNUMBER('Council Entry'!AT$9)),MAX(MIN('Council Entry'!AT182,'Council Entry'!AT$9),'Council Entry'!AT$8),'Council Entry'!AT182)),IF('Council Entry'!AT$4="Exponential",EXP(IF(AND(ISNUMBER('Council Entry'!AT$8),ISNUMBER('Council Entry'!AT$9)),MAX(MIN('Council Entry'!AT182,'Council Entry'!AT$9),'Council Entry'!AT$8),'Council Entry'!AT182)),IF(AND(ISNUMBER('Council Entry'!AT$8),ISNUMBER('Council Entry'!AT$9)),MAX(MIN('Council Entry'!AT182,'Council Entry'!AT$9),'Council Entry'!AT$8),'Council Entry'!AT182))))-'Council Entry'!AT$5)/('Council Entry'!AT$6-'Council Entry'!AT$5),10*((IF('Council Entry'!AT$4="Logarithm",LN(0.001+IF(AND(ISNUMBER('Council Entry'!AT$8),ISNUMBER('Council Entry'!AT$9)),MAX(MIN('Council Entry'!AT182,'Council Entry'!AT$9),'Council Entry'!AT$8),'Council Entry'!AT182)),IF('Council Entry'!AT$4="Exponential",EXP(IF(AND(ISNUMBER('Council Entry'!AT$8),ISNUMBER('Council Entry'!AT$9)),MAX(MIN('Council Entry'!AT182,'Council Entry'!AT$9),'Council Entry'!AT$8),'Council Entry'!AT182)),IF(AND(ISNUMBER('Council Entry'!AT$8),ISNUMBER('Council Entry'!AT$9)),MAX(MIN('Council Entry'!AT182,'Council Entry'!AT$9),'Council Entry'!AT$8),'Council Entry'!AT182))))-'Council Entry'!AT$5)/('Council Entry'!AT$6-'Council Entry'!AT$5)),1))),"No data"))</f>
        <v/>
      </c>
      <c r="AU182" s="13">
        <f>IF('Council Entry'!AU182="","",IFERROR(MAX(0,MIN(10,ROUND(IF('Council Entry'!AU$7="Decrease Risk",10-10*((IF('Council Entry'!AU$4="Logarithm",LN(0.001+IF(AND(ISNUMBER('Council Entry'!AU$8),ISNUMBER('Council Entry'!AU$9)),MAX(MIN('Council Entry'!AU182,'Council Entry'!AU$9),'Council Entry'!AU$8),'Council Entry'!AU182)),IF('Council Entry'!AU$4="Exponential",EXP(IF(AND(ISNUMBER('Council Entry'!AU$8),ISNUMBER('Council Entry'!AU$9)),MAX(MIN('Council Entry'!AU182,'Council Entry'!AU$9),'Council Entry'!AU$8),'Council Entry'!AU182)),IF(AND(ISNUMBER('Council Entry'!AU$8),ISNUMBER('Council Entry'!AU$9)),MAX(MIN('Council Entry'!AU182,'Council Entry'!AU$9),'Council Entry'!AU$8),'Council Entry'!AU182))))-'Council Entry'!AU$5)/('Council Entry'!AU$6-'Council Entry'!AU$5),10*((IF('Council Entry'!AU$4="Logarithm",LN(0.001+IF(AND(ISNUMBER('Council Entry'!AU$8),ISNUMBER('Council Entry'!AU$9)),MAX(MIN('Council Entry'!AU182,'Council Entry'!AU$9),'Council Entry'!AU$8),'Council Entry'!AU182)),IF('Council Entry'!AU$4="Exponential",EXP(IF(AND(ISNUMBER('Council Entry'!AU$8),ISNUMBER('Council Entry'!AU$9)),MAX(MIN('Council Entry'!AU182,'Council Entry'!AU$9),'Council Entry'!AU$8),'Council Entry'!AU182)),IF(AND(ISNUMBER('Council Entry'!AU$8),ISNUMBER('Council Entry'!AU$9)),MAX(MIN('Council Entry'!AU182,'Council Entry'!AU$9),'Council Entry'!AU$8),'Council Entry'!AU182))))-'Council Entry'!AU$5)/('Council Entry'!AU$6-'Council Entry'!AU$5)),1))),"No data"))</f>
        <v/>
      </c>
      <c r="AV182" s="13">
        <f>IF('Council Entry'!AV182="","",IFERROR(MAX(0,MIN(10,ROUND(IF('Council Entry'!AV$7="Decrease Risk",10-10*((IF('Council Entry'!AV$4="Logarithm",LN(0.001+IF(AND(ISNUMBER('Council Entry'!AV$8),ISNUMBER('Council Entry'!AV$9)),MAX(MIN('Council Entry'!AV182,'Council Entry'!AV$9),'Council Entry'!AV$8),'Council Entry'!AV182)),IF('Council Entry'!AV$4="Exponential",EXP(IF(AND(ISNUMBER('Council Entry'!AV$8),ISNUMBER('Council Entry'!AV$9)),MAX(MIN('Council Entry'!AV182,'Council Entry'!AV$9),'Council Entry'!AV$8),'Council Entry'!AV182)),IF(AND(ISNUMBER('Council Entry'!AV$8),ISNUMBER('Council Entry'!AV$9)),MAX(MIN('Council Entry'!AV182,'Council Entry'!AV$9),'Council Entry'!AV$8),'Council Entry'!AV182))))-'Council Entry'!AV$5)/('Council Entry'!AV$6-'Council Entry'!AV$5),10*((IF('Council Entry'!AV$4="Logarithm",LN(0.001+IF(AND(ISNUMBER('Council Entry'!AV$8),ISNUMBER('Council Entry'!AV$9)),MAX(MIN('Council Entry'!AV182,'Council Entry'!AV$9),'Council Entry'!AV$8),'Council Entry'!AV182)),IF('Council Entry'!AV$4="Exponential",EXP(IF(AND(ISNUMBER('Council Entry'!AV$8),ISNUMBER('Council Entry'!AV$9)),MAX(MIN('Council Entry'!AV182,'Council Entry'!AV$9),'Council Entry'!AV$8),'Council Entry'!AV182)),IF(AND(ISNUMBER('Council Entry'!AV$8),ISNUMBER('Council Entry'!AV$9)),MAX(MIN('Council Entry'!AV182,'Council Entry'!AV$9),'Council Entry'!AV$8),'Council Entry'!AV182))))-'Council Entry'!AV$5)/('Council Entry'!AV$6-'Council Entry'!AV$5)),1))),"No data"))</f>
        <v/>
      </c>
      <c r="AW182" s="13">
        <f>IF('Council Entry'!AW182="","",IFERROR(MAX(0,MIN(10,ROUND(IF('Council Entry'!AW$7="Decrease Risk",10-10*((IF('Council Entry'!AW$4="Logarithm",LN(0.001+IF(AND(ISNUMBER('Council Entry'!AW$8),ISNUMBER('Council Entry'!AW$9)),MAX(MIN('Council Entry'!AW182,'Council Entry'!AW$9),'Council Entry'!AW$8),'Council Entry'!AW182)),IF('Council Entry'!AW$4="Exponential",EXP(IF(AND(ISNUMBER('Council Entry'!AW$8),ISNUMBER('Council Entry'!AW$9)),MAX(MIN('Council Entry'!AW182,'Council Entry'!AW$9),'Council Entry'!AW$8),'Council Entry'!AW182)),IF(AND(ISNUMBER('Council Entry'!AW$8),ISNUMBER('Council Entry'!AW$9)),MAX(MIN('Council Entry'!AW182,'Council Entry'!AW$9),'Council Entry'!AW$8),'Council Entry'!AW182))))-'Council Entry'!AW$5)/('Council Entry'!AW$6-'Council Entry'!AW$5),10*((IF('Council Entry'!AW$4="Logarithm",LN(0.001+IF(AND(ISNUMBER('Council Entry'!AW$8),ISNUMBER('Council Entry'!AW$9)),MAX(MIN('Council Entry'!AW182,'Council Entry'!AW$9),'Council Entry'!AW$8),'Council Entry'!AW182)),IF('Council Entry'!AW$4="Exponential",EXP(IF(AND(ISNUMBER('Council Entry'!AW$8),ISNUMBER('Council Entry'!AW$9)),MAX(MIN('Council Entry'!AW182,'Council Entry'!AW$9),'Council Entry'!AW$8),'Council Entry'!AW182)),IF(AND(ISNUMBER('Council Entry'!AW$8),ISNUMBER('Council Entry'!AW$9)),MAX(MIN('Council Entry'!AW182,'Council Entry'!AW$9),'Council Entry'!AW$8),'Council Entry'!AW182))))-'Council Entry'!AW$5)/('Council Entry'!AW$6-'Council Entry'!AW$5)),1))),"No data"))</f>
        <v/>
      </c>
      <c r="AX182" s="13">
        <f>IF('Council Entry'!AX182="","",IFERROR(MAX(0,MIN(10,ROUND(IF('Council Entry'!AX$7="Decrease Risk",10-10*((IF('Council Entry'!AX$4="Logarithm",LN(0.001+IF(AND(ISNUMBER('Council Entry'!AX$8),ISNUMBER('Council Entry'!AX$9)),MAX(MIN('Council Entry'!AX182,'Council Entry'!AX$9),'Council Entry'!AX$8),'Council Entry'!AX182)),IF('Council Entry'!AX$4="Exponential",EXP(IF(AND(ISNUMBER('Council Entry'!AX$8),ISNUMBER('Council Entry'!AX$9)),MAX(MIN('Council Entry'!AX182,'Council Entry'!AX$9),'Council Entry'!AX$8),'Council Entry'!AX182)),IF(AND(ISNUMBER('Council Entry'!AX$8),ISNUMBER('Council Entry'!AX$9)),MAX(MIN('Council Entry'!AX182,'Council Entry'!AX$9),'Council Entry'!AX$8),'Council Entry'!AX182))))-'Council Entry'!AX$5)/('Council Entry'!AX$6-'Council Entry'!AX$5),10*((IF('Council Entry'!AX$4="Logarithm",LN(0.001+IF(AND(ISNUMBER('Council Entry'!AX$8),ISNUMBER('Council Entry'!AX$9)),MAX(MIN('Council Entry'!AX182,'Council Entry'!AX$9),'Council Entry'!AX$8),'Council Entry'!AX182)),IF('Council Entry'!AX$4="Exponential",EXP(IF(AND(ISNUMBER('Council Entry'!AX$8),ISNUMBER('Council Entry'!AX$9)),MAX(MIN('Council Entry'!AX182,'Council Entry'!AX$9),'Council Entry'!AX$8),'Council Entry'!AX182)),IF(AND(ISNUMBER('Council Entry'!AX$8),ISNUMBER('Council Entry'!AX$9)),MAX(MIN('Council Entry'!AX182,'Council Entry'!AX$9),'Council Entry'!AX$8),'Council Entry'!AX182))))-'Council Entry'!AX$5)/('Council Entry'!AX$6-'Council Entry'!AX$5)),1))),"No data"))</f>
        <v/>
      </c>
      <c r="AY182" s="13">
        <f>IF('Council Entry'!AY182="","",IFERROR(MAX(0,MIN(10,ROUND(IF('Council Entry'!AY$7="Decrease Risk",10-10*((IF('Council Entry'!AY$4="Logarithm",LN(0.001+IF(AND(ISNUMBER('Council Entry'!AY$8),ISNUMBER('Council Entry'!AY$9)),MAX(MIN('Council Entry'!AY182,'Council Entry'!AY$9),'Council Entry'!AY$8),'Council Entry'!AY182)),IF('Council Entry'!AY$4="Exponential",EXP(IF(AND(ISNUMBER('Council Entry'!AY$8),ISNUMBER('Council Entry'!AY$9)),MAX(MIN('Council Entry'!AY182,'Council Entry'!AY$9),'Council Entry'!AY$8),'Council Entry'!AY182)),IF(AND(ISNUMBER('Council Entry'!AY$8),ISNUMBER('Council Entry'!AY$9)),MAX(MIN('Council Entry'!AY182,'Council Entry'!AY$9),'Council Entry'!AY$8),'Council Entry'!AY182))))-'Council Entry'!AY$5)/('Council Entry'!AY$6-'Council Entry'!AY$5),10*((IF('Council Entry'!AY$4="Logarithm",LN(0.001+IF(AND(ISNUMBER('Council Entry'!AY$8),ISNUMBER('Council Entry'!AY$9)),MAX(MIN('Council Entry'!AY182,'Council Entry'!AY$9),'Council Entry'!AY$8),'Council Entry'!AY182)),IF('Council Entry'!AY$4="Exponential",EXP(IF(AND(ISNUMBER('Council Entry'!AY$8),ISNUMBER('Council Entry'!AY$9)),MAX(MIN('Council Entry'!AY182,'Council Entry'!AY$9),'Council Entry'!AY$8),'Council Entry'!AY182)),IF(AND(ISNUMBER('Council Entry'!AY$8),ISNUMBER('Council Entry'!AY$9)),MAX(MIN('Council Entry'!AY182,'Council Entry'!AY$9),'Council Entry'!AY$8),'Council Entry'!AY182))))-'Council Entry'!AY$5)/('Council Entry'!AY$6-'Council Entry'!AY$5)),1))),"No data"))</f>
        <v/>
      </c>
      <c r="AZ182" s="13">
        <f>IF('Council Entry'!AZ182="","",IFERROR(MAX(0,MIN(10,ROUND(IF('Council Entry'!AZ$7="Decrease Risk",10-10*((IF('Council Entry'!AZ$4="Logarithm",LN(0.001+IF(AND(ISNUMBER('Council Entry'!AZ$8),ISNUMBER('Council Entry'!AZ$9)),MAX(MIN('Council Entry'!AZ182,'Council Entry'!AZ$9),'Council Entry'!AZ$8),'Council Entry'!AZ182)),IF('Council Entry'!AZ$4="Exponential",EXP(IF(AND(ISNUMBER('Council Entry'!AZ$8),ISNUMBER('Council Entry'!AZ$9)),MAX(MIN('Council Entry'!AZ182,'Council Entry'!AZ$9),'Council Entry'!AZ$8),'Council Entry'!AZ182)),IF(AND(ISNUMBER('Council Entry'!AZ$8),ISNUMBER('Council Entry'!AZ$9)),MAX(MIN('Council Entry'!AZ182,'Council Entry'!AZ$9),'Council Entry'!AZ$8),'Council Entry'!AZ182))))-'Council Entry'!AZ$5)/('Council Entry'!AZ$6-'Council Entry'!AZ$5),10*((IF('Council Entry'!AZ$4="Logarithm",LN(0.001+IF(AND(ISNUMBER('Council Entry'!AZ$8),ISNUMBER('Council Entry'!AZ$9)),MAX(MIN('Council Entry'!AZ182,'Council Entry'!AZ$9),'Council Entry'!AZ$8),'Council Entry'!AZ182)),IF('Council Entry'!AZ$4="Exponential",EXP(IF(AND(ISNUMBER('Council Entry'!AZ$8),ISNUMBER('Council Entry'!AZ$9)),MAX(MIN('Council Entry'!AZ182,'Council Entry'!AZ$9),'Council Entry'!AZ$8),'Council Entry'!AZ182)),IF(AND(ISNUMBER('Council Entry'!AZ$8),ISNUMBER('Council Entry'!AZ$9)),MAX(MIN('Council Entry'!AZ182,'Council Entry'!AZ$9),'Council Entry'!AZ$8),'Council Entry'!AZ182))))-'Council Entry'!AZ$5)/('Council Entry'!AZ$6-'Council Entry'!AZ$5)),1))),"No data"))</f>
        <v/>
      </c>
      <c r="BA182" s="13">
        <f>IF('Council Entry'!BA182="","",IFERROR(MAX(0,MIN(10,ROUND(IF('Council Entry'!BA$7="Decrease Risk",10-10*((IF('Council Entry'!BA$4="Logarithm",LN(0.001+IF(AND(ISNUMBER('Council Entry'!BA$8),ISNUMBER('Council Entry'!BA$9)),MAX(MIN('Council Entry'!BA182,'Council Entry'!BA$9),'Council Entry'!BA$8),'Council Entry'!BA182)),IF('Council Entry'!BA$4="Exponential",EXP(IF(AND(ISNUMBER('Council Entry'!BA$8),ISNUMBER('Council Entry'!BA$9)),MAX(MIN('Council Entry'!BA182,'Council Entry'!BA$9),'Council Entry'!BA$8),'Council Entry'!BA182)),IF(AND(ISNUMBER('Council Entry'!BA$8),ISNUMBER('Council Entry'!BA$9)),MAX(MIN('Council Entry'!BA182,'Council Entry'!BA$9),'Council Entry'!BA$8),'Council Entry'!BA182))))-'Council Entry'!BA$5)/('Council Entry'!BA$6-'Council Entry'!BA$5),10*((IF('Council Entry'!BA$4="Logarithm",LN(0.001+IF(AND(ISNUMBER('Council Entry'!BA$8),ISNUMBER('Council Entry'!BA$9)),MAX(MIN('Council Entry'!BA182,'Council Entry'!BA$9),'Council Entry'!BA$8),'Council Entry'!BA182)),IF('Council Entry'!BA$4="Exponential",EXP(IF(AND(ISNUMBER('Council Entry'!BA$8),ISNUMBER('Council Entry'!BA$9)),MAX(MIN('Council Entry'!BA182,'Council Entry'!BA$9),'Council Entry'!BA$8),'Council Entry'!BA182)),IF(AND(ISNUMBER('Council Entry'!BA$8),ISNUMBER('Council Entry'!BA$9)),MAX(MIN('Council Entry'!BA182,'Council Entry'!BA$9),'Council Entry'!BA$8),'Council Entry'!BA182))))-'Council Entry'!BA$5)/('Council Entry'!BA$6-'Council Entry'!BA$5)),1))),"No data"))</f>
        <v/>
      </c>
      <c r="BB182" s="13">
        <f>IF('Council Entry'!BB182="","",IFERROR(MAX(0,MIN(10,ROUND(IF('Council Entry'!BB$7="Decrease Risk",10-10*((IF('Council Entry'!BB$4="Logarithm",LN(0.001+IF(AND(ISNUMBER('Council Entry'!BB$8),ISNUMBER('Council Entry'!BB$9)),MAX(MIN('Council Entry'!BB182,'Council Entry'!BB$9),'Council Entry'!BB$8),'Council Entry'!BB182)),IF('Council Entry'!BB$4="Exponential",EXP(IF(AND(ISNUMBER('Council Entry'!BB$8),ISNUMBER('Council Entry'!BB$9)),MAX(MIN('Council Entry'!BB182,'Council Entry'!BB$9),'Council Entry'!BB$8),'Council Entry'!BB182)),IF(AND(ISNUMBER('Council Entry'!BB$8),ISNUMBER('Council Entry'!BB$9)),MAX(MIN('Council Entry'!BB182,'Council Entry'!BB$9),'Council Entry'!BB$8),'Council Entry'!BB182))))-'Council Entry'!BB$5)/('Council Entry'!BB$6-'Council Entry'!BB$5),10*((IF('Council Entry'!BB$4="Logarithm",LN(0.001+IF(AND(ISNUMBER('Council Entry'!BB$8),ISNUMBER('Council Entry'!BB$9)),MAX(MIN('Council Entry'!BB182,'Council Entry'!BB$9),'Council Entry'!BB$8),'Council Entry'!BB182)),IF('Council Entry'!BB$4="Exponential",EXP(IF(AND(ISNUMBER('Council Entry'!BB$8),ISNUMBER('Council Entry'!BB$9)),MAX(MIN('Council Entry'!BB182,'Council Entry'!BB$9),'Council Entry'!BB$8),'Council Entry'!BB182)),IF(AND(ISNUMBER('Council Entry'!BB$8),ISNUMBER('Council Entry'!BB$9)),MAX(MIN('Council Entry'!BB182,'Council Entry'!BB$9),'Council Entry'!BB$8),'Council Entry'!BB182))))-'Council Entry'!BB$5)/('Council Entry'!BB$6-'Council Entry'!BB$5)),1))),"No data"))</f>
        <v/>
      </c>
      <c r="BC182" s="13">
        <f>IF('Council Entry'!BC182="","",IFERROR(MAX(0,MIN(10,ROUND(IF('Council Entry'!BC$7="Decrease Risk",10-10*((IF('Council Entry'!BC$4="Logarithm",LN(0.001+IF(AND(ISNUMBER('Council Entry'!BC$8),ISNUMBER('Council Entry'!BC$9)),MAX(MIN('Council Entry'!BC182,'Council Entry'!BC$9),'Council Entry'!BC$8),'Council Entry'!BC182)),IF('Council Entry'!BC$4="Exponential",EXP(IF(AND(ISNUMBER('Council Entry'!BC$8),ISNUMBER('Council Entry'!BC$9)),MAX(MIN('Council Entry'!BC182,'Council Entry'!BC$9),'Council Entry'!BC$8),'Council Entry'!BC182)),IF(AND(ISNUMBER('Council Entry'!BC$8),ISNUMBER('Council Entry'!BC$9)),MAX(MIN('Council Entry'!BC182,'Council Entry'!BC$9),'Council Entry'!BC$8),'Council Entry'!BC182))))-'Council Entry'!BC$5)/('Council Entry'!BC$6-'Council Entry'!BC$5),10*((IF('Council Entry'!BC$4="Logarithm",LN(0.001+IF(AND(ISNUMBER('Council Entry'!BC$8),ISNUMBER('Council Entry'!BC$9)),MAX(MIN('Council Entry'!BC182,'Council Entry'!BC$9),'Council Entry'!BC$8),'Council Entry'!BC182)),IF('Council Entry'!BC$4="Exponential",EXP(IF(AND(ISNUMBER('Council Entry'!BC$8),ISNUMBER('Council Entry'!BC$9)),MAX(MIN('Council Entry'!BC182,'Council Entry'!BC$9),'Council Entry'!BC$8),'Council Entry'!BC182)),IF(AND(ISNUMBER('Council Entry'!BC$8),ISNUMBER('Council Entry'!BC$9)),MAX(MIN('Council Entry'!BC182,'Council Entry'!BC$9),'Council Entry'!BC$8),'Council Entry'!BC182))))-'Council Entry'!BC$5)/('Council Entry'!BC$6-'Council Entry'!BC$5)),1))),"No data"))</f>
        <v/>
      </c>
      <c r="BD182" s="13">
        <f>IF('Council Entry'!BD182="","",IFERROR(MAX(0,MIN(10,ROUND(IF('Council Entry'!BD$7="Decrease Risk",10-10*((IF('Council Entry'!BD$4="Logarithm",LN(0.001+IF(AND(ISNUMBER('Council Entry'!BD$8),ISNUMBER('Council Entry'!BD$9)),MAX(MIN('Council Entry'!BD182,'Council Entry'!BD$9),'Council Entry'!BD$8),'Council Entry'!BD182)),IF('Council Entry'!BD$4="Exponential",EXP(IF(AND(ISNUMBER('Council Entry'!BD$8),ISNUMBER('Council Entry'!BD$9)),MAX(MIN('Council Entry'!BD182,'Council Entry'!BD$9),'Council Entry'!BD$8),'Council Entry'!BD182)),IF(AND(ISNUMBER('Council Entry'!BD$8),ISNUMBER('Council Entry'!BD$9)),MAX(MIN('Council Entry'!BD182,'Council Entry'!BD$9),'Council Entry'!BD$8),'Council Entry'!BD182))))-'Council Entry'!BD$5)/('Council Entry'!BD$6-'Council Entry'!BD$5),10*((IF('Council Entry'!BD$4="Logarithm",LN(0.001+IF(AND(ISNUMBER('Council Entry'!BD$8),ISNUMBER('Council Entry'!BD$9)),MAX(MIN('Council Entry'!BD182,'Council Entry'!BD$9),'Council Entry'!BD$8),'Council Entry'!BD182)),IF('Council Entry'!BD$4="Exponential",EXP(IF(AND(ISNUMBER('Council Entry'!BD$8),ISNUMBER('Council Entry'!BD$9)),MAX(MIN('Council Entry'!BD182,'Council Entry'!BD$9),'Council Entry'!BD$8),'Council Entry'!BD182)),IF(AND(ISNUMBER('Council Entry'!BD$8),ISNUMBER('Council Entry'!BD$9)),MAX(MIN('Council Entry'!BD182,'Council Entry'!BD$9),'Council Entry'!BD$8),'Council Entry'!BD182))))-'Council Entry'!BD$5)/('Council Entry'!BD$6-'Council Entry'!BD$5)),1))),"No data"))</f>
        <v/>
      </c>
    </row>
    <row r="183">
      <c r="A183" t="inlineStr">
        <is>
          <t>Songwe</t>
        </is>
      </c>
      <c r="B183" t="inlineStr">
        <is>
          <t>Mbozi District</t>
        </is>
      </c>
      <c r="C183" t="inlineStr">
        <is>
          <t>C183</t>
        </is>
      </c>
      <c r="D183" s="13">
        <f>IF('Council Entry'!D183="","",IFERROR(MAX(0,MIN(10,ROUND(IF('Council Entry'!D$7="Decrease Risk",10-10*((IF('Council Entry'!D$4="Logarithm",LN(0.001+IF(AND(ISNUMBER('Council Entry'!D$8),ISNUMBER('Council Entry'!D$9)),MAX(MIN('Council Entry'!D183,'Council Entry'!D$9),'Council Entry'!D$8),'Council Entry'!D183)),IF('Council Entry'!D$4="Exponential",EXP(IF(AND(ISNUMBER('Council Entry'!D$8),ISNUMBER('Council Entry'!D$9)),MAX(MIN('Council Entry'!D183,'Council Entry'!D$9),'Council Entry'!D$8),'Council Entry'!D183)),IF(AND(ISNUMBER('Council Entry'!D$8),ISNUMBER('Council Entry'!D$9)),MAX(MIN('Council Entry'!D183,'Council Entry'!D$9),'Council Entry'!D$8),'Council Entry'!D183))))-'Council Entry'!D$5)/('Council Entry'!D$6-'Council Entry'!D$5),10*((IF('Council Entry'!D$4="Logarithm",LN(0.001+IF(AND(ISNUMBER('Council Entry'!D$8),ISNUMBER('Council Entry'!D$9)),MAX(MIN('Council Entry'!D183,'Council Entry'!D$9),'Council Entry'!D$8),'Council Entry'!D183)),IF('Council Entry'!D$4="Exponential",EXP(IF(AND(ISNUMBER('Council Entry'!D$8),ISNUMBER('Council Entry'!D$9)),MAX(MIN('Council Entry'!D183,'Council Entry'!D$9),'Council Entry'!D$8),'Council Entry'!D183)),IF(AND(ISNUMBER('Council Entry'!D$8),ISNUMBER('Council Entry'!D$9)),MAX(MIN('Council Entry'!D183,'Council Entry'!D$9),'Council Entry'!D$8),'Council Entry'!D183))))-'Council Entry'!D$5)/('Council Entry'!D$6-'Council Entry'!D$5)),1))),"No data"))</f>
        <v/>
      </c>
      <c r="E183" s="13">
        <f>IF('Council Entry'!E183="","",IFERROR(MAX(0,MIN(10,ROUND(IF('Council Entry'!E$7="Decrease Risk",10-10*((IF('Council Entry'!E$4="Logarithm",LN(0.001+IF(AND(ISNUMBER('Council Entry'!E$8),ISNUMBER('Council Entry'!E$9)),MAX(MIN('Council Entry'!E183,'Council Entry'!E$9),'Council Entry'!E$8),'Council Entry'!E183)),IF('Council Entry'!E$4="Exponential",EXP(IF(AND(ISNUMBER('Council Entry'!E$8),ISNUMBER('Council Entry'!E$9)),MAX(MIN('Council Entry'!E183,'Council Entry'!E$9),'Council Entry'!E$8),'Council Entry'!E183)),IF(AND(ISNUMBER('Council Entry'!E$8),ISNUMBER('Council Entry'!E$9)),MAX(MIN('Council Entry'!E183,'Council Entry'!E$9),'Council Entry'!E$8),'Council Entry'!E183))))-'Council Entry'!E$5)/('Council Entry'!E$6-'Council Entry'!E$5),10*((IF('Council Entry'!E$4="Logarithm",LN(0.001+IF(AND(ISNUMBER('Council Entry'!E$8),ISNUMBER('Council Entry'!E$9)),MAX(MIN('Council Entry'!E183,'Council Entry'!E$9),'Council Entry'!E$8),'Council Entry'!E183)),IF('Council Entry'!E$4="Exponential",EXP(IF(AND(ISNUMBER('Council Entry'!E$8),ISNUMBER('Council Entry'!E$9)),MAX(MIN('Council Entry'!E183,'Council Entry'!E$9),'Council Entry'!E$8),'Council Entry'!E183)),IF(AND(ISNUMBER('Council Entry'!E$8),ISNUMBER('Council Entry'!E$9)),MAX(MIN('Council Entry'!E183,'Council Entry'!E$9),'Council Entry'!E$8),'Council Entry'!E183))))-'Council Entry'!E$5)/('Council Entry'!E$6-'Council Entry'!E$5)),1))),"No data"))</f>
        <v/>
      </c>
      <c r="F183" s="13">
        <f>IF('Council Entry'!F183="","",IFERROR(MAX(0,MIN(10,ROUND(IF('Council Entry'!F$7="Decrease Risk",10-10*((IF('Council Entry'!F$4="Logarithm",LN(0.001+IF(AND(ISNUMBER('Council Entry'!F$8),ISNUMBER('Council Entry'!F$9)),MAX(MIN('Council Entry'!F183,'Council Entry'!F$9),'Council Entry'!F$8),'Council Entry'!F183)),IF('Council Entry'!F$4="Exponential",EXP(IF(AND(ISNUMBER('Council Entry'!F$8),ISNUMBER('Council Entry'!F$9)),MAX(MIN('Council Entry'!F183,'Council Entry'!F$9),'Council Entry'!F$8),'Council Entry'!F183)),IF(AND(ISNUMBER('Council Entry'!F$8),ISNUMBER('Council Entry'!F$9)),MAX(MIN('Council Entry'!F183,'Council Entry'!F$9),'Council Entry'!F$8),'Council Entry'!F183))))-'Council Entry'!F$5)/('Council Entry'!F$6-'Council Entry'!F$5),10*((IF('Council Entry'!F$4="Logarithm",LN(0.001+IF(AND(ISNUMBER('Council Entry'!F$8),ISNUMBER('Council Entry'!F$9)),MAX(MIN('Council Entry'!F183,'Council Entry'!F$9),'Council Entry'!F$8),'Council Entry'!F183)),IF('Council Entry'!F$4="Exponential",EXP(IF(AND(ISNUMBER('Council Entry'!F$8),ISNUMBER('Council Entry'!F$9)),MAX(MIN('Council Entry'!F183,'Council Entry'!F$9),'Council Entry'!F$8),'Council Entry'!F183)),IF(AND(ISNUMBER('Council Entry'!F$8),ISNUMBER('Council Entry'!F$9)),MAX(MIN('Council Entry'!F183,'Council Entry'!F$9),'Council Entry'!F$8),'Council Entry'!F183))))-'Council Entry'!F$5)/('Council Entry'!F$6-'Council Entry'!F$5)),1))),"No data"))</f>
        <v/>
      </c>
      <c r="G183" s="13">
        <f>IF('Council Entry'!G183="","",IFERROR(MAX(0,MIN(10,ROUND(IF('Council Entry'!G$7="Decrease Risk",10-10*((IF('Council Entry'!G$4="Logarithm",LN(0.001+IF(AND(ISNUMBER('Council Entry'!G$8),ISNUMBER('Council Entry'!G$9)),MAX(MIN('Council Entry'!G183,'Council Entry'!G$9),'Council Entry'!G$8),'Council Entry'!G183)),IF('Council Entry'!G$4="Exponential",EXP(IF(AND(ISNUMBER('Council Entry'!G$8),ISNUMBER('Council Entry'!G$9)),MAX(MIN('Council Entry'!G183,'Council Entry'!G$9),'Council Entry'!G$8),'Council Entry'!G183)),IF(AND(ISNUMBER('Council Entry'!G$8),ISNUMBER('Council Entry'!G$9)),MAX(MIN('Council Entry'!G183,'Council Entry'!G$9),'Council Entry'!G$8),'Council Entry'!G183))))-'Council Entry'!G$5)/('Council Entry'!G$6-'Council Entry'!G$5),10*((IF('Council Entry'!G$4="Logarithm",LN(0.001+IF(AND(ISNUMBER('Council Entry'!G$8),ISNUMBER('Council Entry'!G$9)),MAX(MIN('Council Entry'!G183,'Council Entry'!G$9),'Council Entry'!G$8),'Council Entry'!G183)),IF('Council Entry'!G$4="Exponential",EXP(IF(AND(ISNUMBER('Council Entry'!G$8),ISNUMBER('Council Entry'!G$9)),MAX(MIN('Council Entry'!G183,'Council Entry'!G$9),'Council Entry'!G$8),'Council Entry'!G183)),IF(AND(ISNUMBER('Council Entry'!G$8),ISNUMBER('Council Entry'!G$9)),MAX(MIN('Council Entry'!G183,'Council Entry'!G$9),'Council Entry'!G$8),'Council Entry'!G183))))-'Council Entry'!G$5)/('Council Entry'!G$6-'Council Entry'!G$5)),1))),"No data"))</f>
        <v/>
      </c>
      <c r="H183" s="13">
        <f>IF('Council Entry'!H183="","",IFERROR(MAX(0,MIN(10,ROUND(IF('Council Entry'!H$7="Decrease Risk",10-10*((IF('Council Entry'!H$4="Logarithm",LN(0.001+IF(AND(ISNUMBER('Council Entry'!H$8),ISNUMBER('Council Entry'!H$9)),MAX(MIN('Council Entry'!H183,'Council Entry'!H$9),'Council Entry'!H$8),'Council Entry'!H183)),IF('Council Entry'!H$4="Exponential",EXP(IF(AND(ISNUMBER('Council Entry'!H$8),ISNUMBER('Council Entry'!H$9)),MAX(MIN('Council Entry'!H183,'Council Entry'!H$9),'Council Entry'!H$8),'Council Entry'!H183)),IF(AND(ISNUMBER('Council Entry'!H$8),ISNUMBER('Council Entry'!H$9)),MAX(MIN('Council Entry'!H183,'Council Entry'!H$9),'Council Entry'!H$8),'Council Entry'!H183))))-'Council Entry'!H$5)/('Council Entry'!H$6-'Council Entry'!H$5),10*((IF('Council Entry'!H$4="Logarithm",LN(0.001+IF(AND(ISNUMBER('Council Entry'!H$8),ISNUMBER('Council Entry'!H$9)),MAX(MIN('Council Entry'!H183,'Council Entry'!H$9),'Council Entry'!H$8),'Council Entry'!H183)),IF('Council Entry'!H$4="Exponential",EXP(IF(AND(ISNUMBER('Council Entry'!H$8),ISNUMBER('Council Entry'!H$9)),MAX(MIN('Council Entry'!H183,'Council Entry'!H$9),'Council Entry'!H$8),'Council Entry'!H183)),IF(AND(ISNUMBER('Council Entry'!H$8),ISNUMBER('Council Entry'!H$9)),MAX(MIN('Council Entry'!H183,'Council Entry'!H$9),'Council Entry'!H$8),'Council Entry'!H183))))-'Council Entry'!H$5)/('Council Entry'!H$6-'Council Entry'!H$5)),1))),"No data"))</f>
        <v/>
      </c>
      <c r="I183" s="13">
        <f>IF('Council Entry'!I183="","",IFERROR(MAX(0,MIN(10,ROUND(IF('Council Entry'!I$7="Decrease Risk",10-10*((IF('Council Entry'!I$4="Logarithm",LN(0.001+IF(AND(ISNUMBER('Council Entry'!I$8),ISNUMBER('Council Entry'!I$9)),MAX(MIN('Council Entry'!I183,'Council Entry'!I$9),'Council Entry'!I$8),'Council Entry'!I183)),IF('Council Entry'!I$4="Exponential",EXP(IF(AND(ISNUMBER('Council Entry'!I$8),ISNUMBER('Council Entry'!I$9)),MAX(MIN('Council Entry'!I183,'Council Entry'!I$9),'Council Entry'!I$8),'Council Entry'!I183)),IF(AND(ISNUMBER('Council Entry'!I$8),ISNUMBER('Council Entry'!I$9)),MAX(MIN('Council Entry'!I183,'Council Entry'!I$9),'Council Entry'!I$8),'Council Entry'!I183))))-'Council Entry'!I$5)/('Council Entry'!I$6-'Council Entry'!I$5),10*((IF('Council Entry'!I$4="Logarithm",LN(0.001+IF(AND(ISNUMBER('Council Entry'!I$8),ISNUMBER('Council Entry'!I$9)),MAX(MIN('Council Entry'!I183,'Council Entry'!I$9),'Council Entry'!I$8),'Council Entry'!I183)),IF('Council Entry'!I$4="Exponential",EXP(IF(AND(ISNUMBER('Council Entry'!I$8),ISNUMBER('Council Entry'!I$9)),MAX(MIN('Council Entry'!I183,'Council Entry'!I$9),'Council Entry'!I$8),'Council Entry'!I183)),IF(AND(ISNUMBER('Council Entry'!I$8),ISNUMBER('Council Entry'!I$9)),MAX(MIN('Council Entry'!I183,'Council Entry'!I$9),'Council Entry'!I$8),'Council Entry'!I183))))-'Council Entry'!I$5)/('Council Entry'!I$6-'Council Entry'!I$5)),1))),"No data"))</f>
        <v/>
      </c>
      <c r="J183" s="13">
        <f>IF('Council Entry'!J183="","",IFERROR(MAX(0,MIN(10,ROUND(IF('Council Entry'!J$7="Decrease Risk",10-10*((IF('Council Entry'!J$4="Logarithm",LN(0.001+IF(AND(ISNUMBER('Council Entry'!J$8),ISNUMBER('Council Entry'!J$9)),MAX(MIN('Council Entry'!J183,'Council Entry'!J$9),'Council Entry'!J$8),'Council Entry'!J183)),IF('Council Entry'!J$4="Exponential",EXP(IF(AND(ISNUMBER('Council Entry'!J$8),ISNUMBER('Council Entry'!J$9)),MAX(MIN('Council Entry'!J183,'Council Entry'!J$9),'Council Entry'!J$8),'Council Entry'!J183)),IF(AND(ISNUMBER('Council Entry'!J$8),ISNUMBER('Council Entry'!J$9)),MAX(MIN('Council Entry'!J183,'Council Entry'!J$9),'Council Entry'!J$8),'Council Entry'!J183))))-'Council Entry'!J$5)/('Council Entry'!J$6-'Council Entry'!J$5),10*((IF('Council Entry'!J$4="Logarithm",LN(0.001+IF(AND(ISNUMBER('Council Entry'!J$8),ISNUMBER('Council Entry'!J$9)),MAX(MIN('Council Entry'!J183,'Council Entry'!J$9),'Council Entry'!J$8),'Council Entry'!J183)),IF('Council Entry'!J$4="Exponential",EXP(IF(AND(ISNUMBER('Council Entry'!J$8),ISNUMBER('Council Entry'!J$9)),MAX(MIN('Council Entry'!J183,'Council Entry'!J$9),'Council Entry'!J$8),'Council Entry'!J183)),IF(AND(ISNUMBER('Council Entry'!J$8),ISNUMBER('Council Entry'!J$9)),MAX(MIN('Council Entry'!J183,'Council Entry'!J$9),'Council Entry'!J$8),'Council Entry'!J183))))-'Council Entry'!J$5)/('Council Entry'!J$6-'Council Entry'!J$5)),1))),"No data"))</f>
        <v/>
      </c>
      <c r="K183" s="13">
        <f>IF('Council Entry'!K183="","",IFERROR(MAX(0,MIN(10,ROUND(IF('Council Entry'!K$7="Decrease Risk",10-10*((IF('Council Entry'!K$4="Logarithm",LN(0.001+IF(AND(ISNUMBER('Council Entry'!K$8),ISNUMBER('Council Entry'!K$9)),MAX(MIN('Council Entry'!K183,'Council Entry'!K$9),'Council Entry'!K$8),'Council Entry'!K183)),IF('Council Entry'!K$4="Exponential",EXP(IF(AND(ISNUMBER('Council Entry'!K$8),ISNUMBER('Council Entry'!K$9)),MAX(MIN('Council Entry'!K183,'Council Entry'!K$9),'Council Entry'!K$8),'Council Entry'!K183)),IF(AND(ISNUMBER('Council Entry'!K$8),ISNUMBER('Council Entry'!K$9)),MAX(MIN('Council Entry'!K183,'Council Entry'!K$9),'Council Entry'!K$8),'Council Entry'!K183))))-'Council Entry'!K$5)/('Council Entry'!K$6-'Council Entry'!K$5),10*((IF('Council Entry'!K$4="Logarithm",LN(0.001+IF(AND(ISNUMBER('Council Entry'!K$8),ISNUMBER('Council Entry'!K$9)),MAX(MIN('Council Entry'!K183,'Council Entry'!K$9),'Council Entry'!K$8),'Council Entry'!K183)),IF('Council Entry'!K$4="Exponential",EXP(IF(AND(ISNUMBER('Council Entry'!K$8),ISNUMBER('Council Entry'!K$9)),MAX(MIN('Council Entry'!K183,'Council Entry'!K$9),'Council Entry'!K$8),'Council Entry'!K183)),IF(AND(ISNUMBER('Council Entry'!K$8),ISNUMBER('Council Entry'!K$9)),MAX(MIN('Council Entry'!K183,'Council Entry'!K$9),'Council Entry'!K$8),'Council Entry'!K183))))-'Council Entry'!K$5)/('Council Entry'!K$6-'Council Entry'!K$5)),1))),"No data"))</f>
        <v/>
      </c>
      <c r="L183" s="13">
        <f>IF('Council Entry'!L183="","",IFERROR(MAX(0,MIN(10,ROUND(IF('Council Entry'!L$7="Decrease Risk",10-10*((IF('Council Entry'!L$4="Logarithm",LN(0.001+IF(AND(ISNUMBER('Council Entry'!L$8),ISNUMBER('Council Entry'!L$9)),MAX(MIN('Council Entry'!L183,'Council Entry'!L$9),'Council Entry'!L$8),'Council Entry'!L183)),IF('Council Entry'!L$4="Exponential",EXP(IF(AND(ISNUMBER('Council Entry'!L$8),ISNUMBER('Council Entry'!L$9)),MAX(MIN('Council Entry'!L183,'Council Entry'!L$9),'Council Entry'!L$8),'Council Entry'!L183)),IF(AND(ISNUMBER('Council Entry'!L$8),ISNUMBER('Council Entry'!L$9)),MAX(MIN('Council Entry'!L183,'Council Entry'!L$9),'Council Entry'!L$8),'Council Entry'!L183))))-'Council Entry'!L$5)/('Council Entry'!L$6-'Council Entry'!L$5),10*((IF('Council Entry'!L$4="Logarithm",LN(0.001+IF(AND(ISNUMBER('Council Entry'!L$8),ISNUMBER('Council Entry'!L$9)),MAX(MIN('Council Entry'!L183,'Council Entry'!L$9),'Council Entry'!L$8),'Council Entry'!L183)),IF('Council Entry'!L$4="Exponential",EXP(IF(AND(ISNUMBER('Council Entry'!L$8),ISNUMBER('Council Entry'!L$9)),MAX(MIN('Council Entry'!L183,'Council Entry'!L$9),'Council Entry'!L$8),'Council Entry'!L183)),IF(AND(ISNUMBER('Council Entry'!L$8),ISNUMBER('Council Entry'!L$9)),MAX(MIN('Council Entry'!L183,'Council Entry'!L$9),'Council Entry'!L$8),'Council Entry'!L183))))-'Council Entry'!L$5)/('Council Entry'!L$6-'Council Entry'!L$5)),1))),"No data"))</f>
        <v/>
      </c>
      <c r="M183" s="13">
        <f>IF('Council Entry'!M183="","",IFERROR(MAX(0,MIN(10,ROUND(IF('Council Entry'!M$7="Decrease Risk",10-10*((IF('Council Entry'!M$4="Logarithm",LN(0.001+IF(AND(ISNUMBER('Council Entry'!M$8),ISNUMBER('Council Entry'!M$9)),MAX(MIN('Council Entry'!M183,'Council Entry'!M$9),'Council Entry'!M$8),'Council Entry'!M183)),IF('Council Entry'!M$4="Exponential",EXP(IF(AND(ISNUMBER('Council Entry'!M$8),ISNUMBER('Council Entry'!M$9)),MAX(MIN('Council Entry'!M183,'Council Entry'!M$9),'Council Entry'!M$8),'Council Entry'!M183)),IF(AND(ISNUMBER('Council Entry'!M$8),ISNUMBER('Council Entry'!M$9)),MAX(MIN('Council Entry'!M183,'Council Entry'!M$9),'Council Entry'!M$8),'Council Entry'!M183))))-'Council Entry'!M$5)/('Council Entry'!M$6-'Council Entry'!M$5),10*((IF('Council Entry'!M$4="Logarithm",LN(0.001+IF(AND(ISNUMBER('Council Entry'!M$8),ISNUMBER('Council Entry'!M$9)),MAX(MIN('Council Entry'!M183,'Council Entry'!M$9),'Council Entry'!M$8),'Council Entry'!M183)),IF('Council Entry'!M$4="Exponential",EXP(IF(AND(ISNUMBER('Council Entry'!M$8),ISNUMBER('Council Entry'!M$9)),MAX(MIN('Council Entry'!M183,'Council Entry'!M$9),'Council Entry'!M$8),'Council Entry'!M183)),IF(AND(ISNUMBER('Council Entry'!M$8),ISNUMBER('Council Entry'!M$9)),MAX(MIN('Council Entry'!M183,'Council Entry'!M$9),'Council Entry'!M$8),'Council Entry'!M183))))-'Council Entry'!M$5)/('Council Entry'!M$6-'Council Entry'!M$5)),1))),"No data"))</f>
        <v/>
      </c>
      <c r="N183" s="13">
        <f>IF('Council Entry'!N183="","",IFERROR(MAX(0,MIN(10,ROUND(IF('Council Entry'!N$7="Decrease Risk",10-10*((IF('Council Entry'!N$4="Logarithm",LN(0.001+IF(AND(ISNUMBER('Council Entry'!N$8),ISNUMBER('Council Entry'!N$9)),MAX(MIN('Council Entry'!N183,'Council Entry'!N$9),'Council Entry'!N$8),'Council Entry'!N183)),IF('Council Entry'!N$4="Exponential",EXP(IF(AND(ISNUMBER('Council Entry'!N$8),ISNUMBER('Council Entry'!N$9)),MAX(MIN('Council Entry'!N183,'Council Entry'!N$9),'Council Entry'!N$8),'Council Entry'!N183)),IF(AND(ISNUMBER('Council Entry'!N$8),ISNUMBER('Council Entry'!N$9)),MAX(MIN('Council Entry'!N183,'Council Entry'!N$9),'Council Entry'!N$8),'Council Entry'!N183))))-'Council Entry'!N$5)/('Council Entry'!N$6-'Council Entry'!N$5),10*((IF('Council Entry'!N$4="Logarithm",LN(0.001+IF(AND(ISNUMBER('Council Entry'!N$8),ISNUMBER('Council Entry'!N$9)),MAX(MIN('Council Entry'!N183,'Council Entry'!N$9),'Council Entry'!N$8),'Council Entry'!N183)),IF('Council Entry'!N$4="Exponential",EXP(IF(AND(ISNUMBER('Council Entry'!N$8),ISNUMBER('Council Entry'!N$9)),MAX(MIN('Council Entry'!N183,'Council Entry'!N$9),'Council Entry'!N$8),'Council Entry'!N183)),IF(AND(ISNUMBER('Council Entry'!N$8),ISNUMBER('Council Entry'!N$9)),MAX(MIN('Council Entry'!N183,'Council Entry'!N$9),'Council Entry'!N$8),'Council Entry'!N183))))-'Council Entry'!N$5)/('Council Entry'!N$6-'Council Entry'!N$5)),1))),"No data"))</f>
        <v/>
      </c>
      <c r="O183" s="13">
        <f>IF('Council Entry'!O183="","",IFERROR(MAX(0,MIN(10,ROUND(IF('Council Entry'!O$7="Decrease Risk",10-10*((IF('Council Entry'!O$4="Logarithm",LN(0.001+IF(AND(ISNUMBER('Council Entry'!O$8),ISNUMBER('Council Entry'!O$9)),MAX(MIN('Council Entry'!O183,'Council Entry'!O$9),'Council Entry'!O$8),'Council Entry'!O183)),IF('Council Entry'!O$4="Exponential",EXP(IF(AND(ISNUMBER('Council Entry'!O$8),ISNUMBER('Council Entry'!O$9)),MAX(MIN('Council Entry'!O183,'Council Entry'!O$9),'Council Entry'!O$8),'Council Entry'!O183)),IF(AND(ISNUMBER('Council Entry'!O$8),ISNUMBER('Council Entry'!O$9)),MAX(MIN('Council Entry'!O183,'Council Entry'!O$9),'Council Entry'!O$8),'Council Entry'!O183))))-'Council Entry'!O$5)/('Council Entry'!O$6-'Council Entry'!O$5),10*((IF('Council Entry'!O$4="Logarithm",LN(0.001+IF(AND(ISNUMBER('Council Entry'!O$8),ISNUMBER('Council Entry'!O$9)),MAX(MIN('Council Entry'!O183,'Council Entry'!O$9),'Council Entry'!O$8),'Council Entry'!O183)),IF('Council Entry'!O$4="Exponential",EXP(IF(AND(ISNUMBER('Council Entry'!O$8),ISNUMBER('Council Entry'!O$9)),MAX(MIN('Council Entry'!O183,'Council Entry'!O$9),'Council Entry'!O$8),'Council Entry'!O183)),IF(AND(ISNUMBER('Council Entry'!O$8),ISNUMBER('Council Entry'!O$9)),MAX(MIN('Council Entry'!O183,'Council Entry'!O$9),'Council Entry'!O$8),'Council Entry'!O183))))-'Council Entry'!O$5)/('Council Entry'!O$6-'Council Entry'!O$5)),1))),"No data"))</f>
        <v/>
      </c>
      <c r="P183" s="13">
        <f>IF('Council Entry'!P183="","",IFERROR(MAX(0,MIN(10,ROUND(IF('Council Entry'!P$7="Decrease Risk",10-10*((IF('Council Entry'!P$4="Logarithm",LN(0.001+IF(AND(ISNUMBER('Council Entry'!P$8),ISNUMBER('Council Entry'!P$9)),MAX(MIN('Council Entry'!P183,'Council Entry'!P$9),'Council Entry'!P$8),'Council Entry'!P183)),IF('Council Entry'!P$4="Exponential",EXP(IF(AND(ISNUMBER('Council Entry'!P$8),ISNUMBER('Council Entry'!P$9)),MAX(MIN('Council Entry'!P183,'Council Entry'!P$9),'Council Entry'!P$8),'Council Entry'!P183)),IF(AND(ISNUMBER('Council Entry'!P$8),ISNUMBER('Council Entry'!P$9)),MAX(MIN('Council Entry'!P183,'Council Entry'!P$9),'Council Entry'!P$8),'Council Entry'!P183))))-'Council Entry'!P$5)/('Council Entry'!P$6-'Council Entry'!P$5),10*((IF('Council Entry'!P$4="Logarithm",LN(0.001+IF(AND(ISNUMBER('Council Entry'!P$8),ISNUMBER('Council Entry'!P$9)),MAX(MIN('Council Entry'!P183,'Council Entry'!P$9),'Council Entry'!P$8),'Council Entry'!P183)),IF('Council Entry'!P$4="Exponential",EXP(IF(AND(ISNUMBER('Council Entry'!P$8),ISNUMBER('Council Entry'!P$9)),MAX(MIN('Council Entry'!P183,'Council Entry'!P$9),'Council Entry'!P$8),'Council Entry'!P183)),IF(AND(ISNUMBER('Council Entry'!P$8),ISNUMBER('Council Entry'!P$9)),MAX(MIN('Council Entry'!P183,'Council Entry'!P$9),'Council Entry'!P$8),'Council Entry'!P183))))-'Council Entry'!P$5)/('Council Entry'!P$6-'Council Entry'!P$5)),1))),"No data"))</f>
        <v/>
      </c>
      <c r="Q183" s="13">
        <f>IF('Council Entry'!Q183="","",IFERROR(MAX(0,MIN(10,ROUND(IF('Council Entry'!Q$7="Decrease Risk",10-10*((IF('Council Entry'!Q$4="Logarithm",LN(0.001+IF(AND(ISNUMBER('Council Entry'!Q$8),ISNUMBER('Council Entry'!Q$9)),MAX(MIN('Council Entry'!Q183,'Council Entry'!Q$9),'Council Entry'!Q$8),'Council Entry'!Q183)),IF('Council Entry'!Q$4="Exponential",EXP(IF(AND(ISNUMBER('Council Entry'!Q$8),ISNUMBER('Council Entry'!Q$9)),MAX(MIN('Council Entry'!Q183,'Council Entry'!Q$9),'Council Entry'!Q$8),'Council Entry'!Q183)),IF(AND(ISNUMBER('Council Entry'!Q$8),ISNUMBER('Council Entry'!Q$9)),MAX(MIN('Council Entry'!Q183,'Council Entry'!Q$9),'Council Entry'!Q$8),'Council Entry'!Q183))))-'Council Entry'!Q$5)/('Council Entry'!Q$6-'Council Entry'!Q$5),10*((IF('Council Entry'!Q$4="Logarithm",LN(0.001+IF(AND(ISNUMBER('Council Entry'!Q$8),ISNUMBER('Council Entry'!Q$9)),MAX(MIN('Council Entry'!Q183,'Council Entry'!Q$9),'Council Entry'!Q$8),'Council Entry'!Q183)),IF('Council Entry'!Q$4="Exponential",EXP(IF(AND(ISNUMBER('Council Entry'!Q$8),ISNUMBER('Council Entry'!Q$9)),MAX(MIN('Council Entry'!Q183,'Council Entry'!Q$9),'Council Entry'!Q$8),'Council Entry'!Q183)),IF(AND(ISNUMBER('Council Entry'!Q$8),ISNUMBER('Council Entry'!Q$9)),MAX(MIN('Council Entry'!Q183,'Council Entry'!Q$9),'Council Entry'!Q$8),'Council Entry'!Q183))))-'Council Entry'!Q$5)/('Council Entry'!Q$6-'Council Entry'!Q$5)),1))),"No data"))</f>
        <v/>
      </c>
      <c r="R183" s="13">
        <f>IF('Council Entry'!R183="","",IFERROR(MAX(0,MIN(10,ROUND(IF('Council Entry'!R$7="Decrease Risk",10-10*((IF('Council Entry'!R$4="Logarithm",LN(0.001+IF(AND(ISNUMBER('Council Entry'!R$8),ISNUMBER('Council Entry'!R$9)),MAX(MIN('Council Entry'!R183,'Council Entry'!R$9),'Council Entry'!R$8),'Council Entry'!R183)),IF('Council Entry'!R$4="Exponential",EXP(IF(AND(ISNUMBER('Council Entry'!R$8),ISNUMBER('Council Entry'!R$9)),MAX(MIN('Council Entry'!R183,'Council Entry'!R$9),'Council Entry'!R$8),'Council Entry'!R183)),IF(AND(ISNUMBER('Council Entry'!R$8),ISNUMBER('Council Entry'!R$9)),MAX(MIN('Council Entry'!R183,'Council Entry'!R$9),'Council Entry'!R$8),'Council Entry'!R183))))-'Council Entry'!R$5)/('Council Entry'!R$6-'Council Entry'!R$5),10*((IF('Council Entry'!R$4="Logarithm",LN(0.001+IF(AND(ISNUMBER('Council Entry'!R$8),ISNUMBER('Council Entry'!R$9)),MAX(MIN('Council Entry'!R183,'Council Entry'!R$9),'Council Entry'!R$8),'Council Entry'!R183)),IF('Council Entry'!R$4="Exponential",EXP(IF(AND(ISNUMBER('Council Entry'!R$8),ISNUMBER('Council Entry'!R$9)),MAX(MIN('Council Entry'!R183,'Council Entry'!R$9),'Council Entry'!R$8),'Council Entry'!R183)),IF(AND(ISNUMBER('Council Entry'!R$8),ISNUMBER('Council Entry'!R$9)),MAX(MIN('Council Entry'!R183,'Council Entry'!R$9),'Council Entry'!R$8),'Council Entry'!R183))))-'Council Entry'!R$5)/('Council Entry'!R$6-'Council Entry'!R$5)),1))),"No data"))</f>
        <v/>
      </c>
      <c r="S183" s="13">
        <f>IF('Council Entry'!S183="","",IFERROR(MAX(0,MIN(10,ROUND(IF('Council Entry'!S$7="Decrease Risk",10-10*((IF('Council Entry'!S$4="Logarithm",LN(0.001+IF(AND(ISNUMBER('Council Entry'!S$8),ISNUMBER('Council Entry'!S$9)),MAX(MIN('Council Entry'!S183,'Council Entry'!S$9),'Council Entry'!S$8),'Council Entry'!S183)),IF('Council Entry'!S$4="Exponential",EXP(IF(AND(ISNUMBER('Council Entry'!S$8),ISNUMBER('Council Entry'!S$9)),MAX(MIN('Council Entry'!S183,'Council Entry'!S$9),'Council Entry'!S$8),'Council Entry'!S183)),IF(AND(ISNUMBER('Council Entry'!S$8),ISNUMBER('Council Entry'!S$9)),MAX(MIN('Council Entry'!S183,'Council Entry'!S$9),'Council Entry'!S$8),'Council Entry'!S183))))-'Council Entry'!S$5)/('Council Entry'!S$6-'Council Entry'!S$5),10*((IF('Council Entry'!S$4="Logarithm",LN(0.001+IF(AND(ISNUMBER('Council Entry'!S$8),ISNUMBER('Council Entry'!S$9)),MAX(MIN('Council Entry'!S183,'Council Entry'!S$9),'Council Entry'!S$8),'Council Entry'!S183)),IF('Council Entry'!S$4="Exponential",EXP(IF(AND(ISNUMBER('Council Entry'!S$8),ISNUMBER('Council Entry'!S$9)),MAX(MIN('Council Entry'!S183,'Council Entry'!S$9),'Council Entry'!S$8),'Council Entry'!S183)),IF(AND(ISNUMBER('Council Entry'!S$8),ISNUMBER('Council Entry'!S$9)),MAX(MIN('Council Entry'!S183,'Council Entry'!S$9),'Council Entry'!S$8),'Council Entry'!S183))))-'Council Entry'!S$5)/('Council Entry'!S$6-'Council Entry'!S$5)),1))),"No data"))</f>
        <v/>
      </c>
      <c r="T183" s="13">
        <f>IF('Council Entry'!T183="","",IFERROR(MAX(0,MIN(10,ROUND(IF('Council Entry'!T$7="Decrease Risk",10-10*((IF('Council Entry'!T$4="Logarithm",LN(0.001+IF(AND(ISNUMBER('Council Entry'!T$8),ISNUMBER('Council Entry'!T$9)),MAX(MIN('Council Entry'!T183,'Council Entry'!T$9),'Council Entry'!T$8),'Council Entry'!T183)),IF('Council Entry'!T$4="Exponential",EXP(IF(AND(ISNUMBER('Council Entry'!T$8),ISNUMBER('Council Entry'!T$9)),MAX(MIN('Council Entry'!T183,'Council Entry'!T$9),'Council Entry'!T$8),'Council Entry'!T183)),IF(AND(ISNUMBER('Council Entry'!T$8),ISNUMBER('Council Entry'!T$9)),MAX(MIN('Council Entry'!T183,'Council Entry'!T$9),'Council Entry'!T$8),'Council Entry'!T183))))-'Council Entry'!T$5)/('Council Entry'!T$6-'Council Entry'!T$5),10*((IF('Council Entry'!T$4="Logarithm",LN(0.001+IF(AND(ISNUMBER('Council Entry'!T$8),ISNUMBER('Council Entry'!T$9)),MAX(MIN('Council Entry'!T183,'Council Entry'!T$9),'Council Entry'!T$8),'Council Entry'!T183)),IF('Council Entry'!T$4="Exponential",EXP(IF(AND(ISNUMBER('Council Entry'!T$8),ISNUMBER('Council Entry'!T$9)),MAX(MIN('Council Entry'!T183,'Council Entry'!T$9),'Council Entry'!T$8),'Council Entry'!T183)),IF(AND(ISNUMBER('Council Entry'!T$8),ISNUMBER('Council Entry'!T$9)),MAX(MIN('Council Entry'!T183,'Council Entry'!T$9),'Council Entry'!T$8),'Council Entry'!T183))))-'Council Entry'!T$5)/('Council Entry'!T$6-'Council Entry'!T$5)),1))),"No data"))</f>
        <v/>
      </c>
      <c r="U183" s="13">
        <f>IF('Council Entry'!U183="","",IFERROR(MAX(0,MIN(10,ROUND(IF('Council Entry'!U$7="Decrease Risk",10-10*((IF('Council Entry'!U$4="Logarithm",LN(0.001+IF(AND(ISNUMBER('Council Entry'!U$8),ISNUMBER('Council Entry'!U$9)),MAX(MIN('Council Entry'!U183,'Council Entry'!U$9),'Council Entry'!U$8),'Council Entry'!U183)),IF('Council Entry'!U$4="Exponential",EXP(IF(AND(ISNUMBER('Council Entry'!U$8),ISNUMBER('Council Entry'!U$9)),MAX(MIN('Council Entry'!U183,'Council Entry'!U$9),'Council Entry'!U$8),'Council Entry'!U183)),IF(AND(ISNUMBER('Council Entry'!U$8),ISNUMBER('Council Entry'!U$9)),MAX(MIN('Council Entry'!U183,'Council Entry'!U$9),'Council Entry'!U$8),'Council Entry'!U183))))-'Council Entry'!U$5)/('Council Entry'!U$6-'Council Entry'!U$5),10*((IF('Council Entry'!U$4="Logarithm",LN(0.001+IF(AND(ISNUMBER('Council Entry'!U$8),ISNUMBER('Council Entry'!U$9)),MAX(MIN('Council Entry'!U183,'Council Entry'!U$9),'Council Entry'!U$8),'Council Entry'!U183)),IF('Council Entry'!U$4="Exponential",EXP(IF(AND(ISNUMBER('Council Entry'!U$8),ISNUMBER('Council Entry'!U$9)),MAX(MIN('Council Entry'!U183,'Council Entry'!U$9),'Council Entry'!U$8),'Council Entry'!U183)),IF(AND(ISNUMBER('Council Entry'!U$8),ISNUMBER('Council Entry'!U$9)),MAX(MIN('Council Entry'!U183,'Council Entry'!U$9),'Council Entry'!U$8),'Council Entry'!U183))))-'Council Entry'!U$5)/('Council Entry'!U$6-'Council Entry'!U$5)),1))),"No data"))</f>
        <v/>
      </c>
      <c r="V183" s="13">
        <f>IF('Council Entry'!V183="","",IFERROR(MAX(0,MIN(10,ROUND(IF('Council Entry'!V$7="Decrease Risk",10-10*((IF('Council Entry'!V$4="Logarithm",LN(0.001+IF(AND(ISNUMBER('Council Entry'!V$8),ISNUMBER('Council Entry'!V$9)),MAX(MIN('Council Entry'!V183,'Council Entry'!V$9),'Council Entry'!V$8),'Council Entry'!V183)),IF('Council Entry'!V$4="Exponential",EXP(IF(AND(ISNUMBER('Council Entry'!V$8),ISNUMBER('Council Entry'!V$9)),MAX(MIN('Council Entry'!V183,'Council Entry'!V$9),'Council Entry'!V$8),'Council Entry'!V183)),IF(AND(ISNUMBER('Council Entry'!V$8),ISNUMBER('Council Entry'!V$9)),MAX(MIN('Council Entry'!V183,'Council Entry'!V$9),'Council Entry'!V$8),'Council Entry'!V183))))-'Council Entry'!V$5)/('Council Entry'!V$6-'Council Entry'!V$5),10*((IF('Council Entry'!V$4="Logarithm",LN(0.001+IF(AND(ISNUMBER('Council Entry'!V$8),ISNUMBER('Council Entry'!V$9)),MAX(MIN('Council Entry'!V183,'Council Entry'!V$9),'Council Entry'!V$8),'Council Entry'!V183)),IF('Council Entry'!V$4="Exponential",EXP(IF(AND(ISNUMBER('Council Entry'!V$8),ISNUMBER('Council Entry'!V$9)),MAX(MIN('Council Entry'!V183,'Council Entry'!V$9),'Council Entry'!V$8),'Council Entry'!V183)),IF(AND(ISNUMBER('Council Entry'!V$8),ISNUMBER('Council Entry'!V$9)),MAX(MIN('Council Entry'!V183,'Council Entry'!V$9),'Council Entry'!V$8),'Council Entry'!V183))))-'Council Entry'!V$5)/('Council Entry'!V$6-'Council Entry'!V$5)),1))),"No data"))</f>
        <v/>
      </c>
      <c r="W183" s="13">
        <f>IF('Council Entry'!W183="","",IFERROR(MAX(0,MIN(10,ROUND(IF('Council Entry'!W$7="Decrease Risk",10-10*((IF('Council Entry'!W$4="Logarithm",LN(0.001+IF(AND(ISNUMBER('Council Entry'!W$8),ISNUMBER('Council Entry'!W$9)),MAX(MIN('Council Entry'!W183,'Council Entry'!W$9),'Council Entry'!W$8),'Council Entry'!W183)),IF('Council Entry'!W$4="Exponential",EXP(IF(AND(ISNUMBER('Council Entry'!W$8),ISNUMBER('Council Entry'!W$9)),MAX(MIN('Council Entry'!W183,'Council Entry'!W$9),'Council Entry'!W$8),'Council Entry'!W183)),IF(AND(ISNUMBER('Council Entry'!W$8),ISNUMBER('Council Entry'!W$9)),MAX(MIN('Council Entry'!W183,'Council Entry'!W$9),'Council Entry'!W$8),'Council Entry'!W183))))-'Council Entry'!W$5)/('Council Entry'!W$6-'Council Entry'!W$5),10*((IF('Council Entry'!W$4="Logarithm",LN(0.001+IF(AND(ISNUMBER('Council Entry'!W$8),ISNUMBER('Council Entry'!W$9)),MAX(MIN('Council Entry'!W183,'Council Entry'!W$9),'Council Entry'!W$8),'Council Entry'!W183)),IF('Council Entry'!W$4="Exponential",EXP(IF(AND(ISNUMBER('Council Entry'!W$8),ISNUMBER('Council Entry'!W$9)),MAX(MIN('Council Entry'!W183,'Council Entry'!W$9),'Council Entry'!W$8),'Council Entry'!W183)),IF(AND(ISNUMBER('Council Entry'!W$8),ISNUMBER('Council Entry'!W$9)),MAX(MIN('Council Entry'!W183,'Council Entry'!W$9),'Council Entry'!W$8),'Council Entry'!W183))))-'Council Entry'!W$5)/('Council Entry'!W$6-'Council Entry'!W$5)),1))),"No data"))</f>
        <v/>
      </c>
      <c r="X183" s="13">
        <f>IF('Council Entry'!X183="","",IFERROR(MAX(0,MIN(10,ROUND(IF('Council Entry'!X$7="Decrease Risk",10-10*((IF('Council Entry'!X$4="Logarithm",LN(0.001+IF(AND(ISNUMBER('Council Entry'!X$8),ISNUMBER('Council Entry'!X$9)),MAX(MIN('Council Entry'!X183,'Council Entry'!X$9),'Council Entry'!X$8),'Council Entry'!X183)),IF('Council Entry'!X$4="Exponential",EXP(IF(AND(ISNUMBER('Council Entry'!X$8),ISNUMBER('Council Entry'!X$9)),MAX(MIN('Council Entry'!X183,'Council Entry'!X$9),'Council Entry'!X$8),'Council Entry'!X183)),IF(AND(ISNUMBER('Council Entry'!X$8),ISNUMBER('Council Entry'!X$9)),MAX(MIN('Council Entry'!X183,'Council Entry'!X$9),'Council Entry'!X$8),'Council Entry'!X183))))-'Council Entry'!X$5)/('Council Entry'!X$6-'Council Entry'!X$5),10*((IF('Council Entry'!X$4="Logarithm",LN(0.001+IF(AND(ISNUMBER('Council Entry'!X$8),ISNUMBER('Council Entry'!X$9)),MAX(MIN('Council Entry'!X183,'Council Entry'!X$9),'Council Entry'!X$8),'Council Entry'!X183)),IF('Council Entry'!X$4="Exponential",EXP(IF(AND(ISNUMBER('Council Entry'!X$8),ISNUMBER('Council Entry'!X$9)),MAX(MIN('Council Entry'!X183,'Council Entry'!X$9),'Council Entry'!X$8),'Council Entry'!X183)),IF(AND(ISNUMBER('Council Entry'!X$8),ISNUMBER('Council Entry'!X$9)),MAX(MIN('Council Entry'!X183,'Council Entry'!X$9),'Council Entry'!X$8),'Council Entry'!X183))))-'Council Entry'!X$5)/('Council Entry'!X$6-'Council Entry'!X$5)),1))),"No data"))</f>
        <v/>
      </c>
      <c r="Y183" s="13">
        <f>IF('Council Entry'!Y183="","",IFERROR(MAX(0,MIN(10,ROUND(IF('Council Entry'!Y$7="Decrease Risk",10-10*((IF('Council Entry'!Y$4="Logarithm",LN(0.001+IF(AND(ISNUMBER('Council Entry'!Y$8),ISNUMBER('Council Entry'!Y$9)),MAX(MIN('Council Entry'!Y183,'Council Entry'!Y$9),'Council Entry'!Y$8),'Council Entry'!Y183)),IF('Council Entry'!Y$4="Exponential",EXP(IF(AND(ISNUMBER('Council Entry'!Y$8),ISNUMBER('Council Entry'!Y$9)),MAX(MIN('Council Entry'!Y183,'Council Entry'!Y$9),'Council Entry'!Y$8),'Council Entry'!Y183)),IF(AND(ISNUMBER('Council Entry'!Y$8),ISNUMBER('Council Entry'!Y$9)),MAX(MIN('Council Entry'!Y183,'Council Entry'!Y$9),'Council Entry'!Y$8),'Council Entry'!Y183))))-'Council Entry'!Y$5)/('Council Entry'!Y$6-'Council Entry'!Y$5),10*((IF('Council Entry'!Y$4="Logarithm",LN(0.001+IF(AND(ISNUMBER('Council Entry'!Y$8),ISNUMBER('Council Entry'!Y$9)),MAX(MIN('Council Entry'!Y183,'Council Entry'!Y$9),'Council Entry'!Y$8),'Council Entry'!Y183)),IF('Council Entry'!Y$4="Exponential",EXP(IF(AND(ISNUMBER('Council Entry'!Y$8),ISNUMBER('Council Entry'!Y$9)),MAX(MIN('Council Entry'!Y183,'Council Entry'!Y$9),'Council Entry'!Y$8),'Council Entry'!Y183)),IF(AND(ISNUMBER('Council Entry'!Y$8),ISNUMBER('Council Entry'!Y$9)),MAX(MIN('Council Entry'!Y183,'Council Entry'!Y$9),'Council Entry'!Y$8),'Council Entry'!Y183))))-'Council Entry'!Y$5)/('Council Entry'!Y$6-'Council Entry'!Y$5)),1))),"No data"))</f>
        <v/>
      </c>
      <c r="Z183" s="13">
        <f>IF('Council Entry'!Z183="","",IFERROR(MAX(0,MIN(10,ROUND(IF('Council Entry'!Z$7="Decrease Risk",10-10*((IF('Council Entry'!Z$4="Logarithm",LN(0.001+IF(AND(ISNUMBER('Council Entry'!Z$8),ISNUMBER('Council Entry'!Z$9)),MAX(MIN('Council Entry'!Z183,'Council Entry'!Z$9),'Council Entry'!Z$8),'Council Entry'!Z183)),IF('Council Entry'!Z$4="Exponential",EXP(IF(AND(ISNUMBER('Council Entry'!Z$8),ISNUMBER('Council Entry'!Z$9)),MAX(MIN('Council Entry'!Z183,'Council Entry'!Z$9),'Council Entry'!Z$8),'Council Entry'!Z183)),IF(AND(ISNUMBER('Council Entry'!Z$8),ISNUMBER('Council Entry'!Z$9)),MAX(MIN('Council Entry'!Z183,'Council Entry'!Z$9),'Council Entry'!Z$8),'Council Entry'!Z183))))-'Council Entry'!Z$5)/('Council Entry'!Z$6-'Council Entry'!Z$5),10*((IF('Council Entry'!Z$4="Logarithm",LN(0.001+IF(AND(ISNUMBER('Council Entry'!Z$8),ISNUMBER('Council Entry'!Z$9)),MAX(MIN('Council Entry'!Z183,'Council Entry'!Z$9),'Council Entry'!Z$8),'Council Entry'!Z183)),IF('Council Entry'!Z$4="Exponential",EXP(IF(AND(ISNUMBER('Council Entry'!Z$8),ISNUMBER('Council Entry'!Z$9)),MAX(MIN('Council Entry'!Z183,'Council Entry'!Z$9),'Council Entry'!Z$8),'Council Entry'!Z183)),IF(AND(ISNUMBER('Council Entry'!Z$8),ISNUMBER('Council Entry'!Z$9)),MAX(MIN('Council Entry'!Z183,'Council Entry'!Z$9),'Council Entry'!Z$8),'Council Entry'!Z183))))-'Council Entry'!Z$5)/('Council Entry'!Z$6-'Council Entry'!Z$5)),1))),"No data"))</f>
        <v/>
      </c>
      <c r="AA183" s="13">
        <f>IF('Council Entry'!AA183="","",IFERROR(MAX(0,MIN(10,ROUND(IF('Council Entry'!AA$7="Decrease Risk",10-10*((IF('Council Entry'!AA$4="Logarithm",LN(0.001+IF(AND(ISNUMBER('Council Entry'!AA$8),ISNUMBER('Council Entry'!AA$9)),MAX(MIN('Council Entry'!AA183,'Council Entry'!AA$9),'Council Entry'!AA$8),'Council Entry'!AA183)),IF('Council Entry'!AA$4="Exponential",EXP(IF(AND(ISNUMBER('Council Entry'!AA$8),ISNUMBER('Council Entry'!AA$9)),MAX(MIN('Council Entry'!AA183,'Council Entry'!AA$9),'Council Entry'!AA$8),'Council Entry'!AA183)),IF(AND(ISNUMBER('Council Entry'!AA$8),ISNUMBER('Council Entry'!AA$9)),MAX(MIN('Council Entry'!AA183,'Council Entry'!AA$9),'Council Entry'!AA$8),'Council Entry'!AA183))))-'Council Entry'!AA$5)/('Council Entry'!AA$6-'Council Entry'!AA$5),10*((IF('Council Entry'!AA$4="Logarithm",LN(0.001+IF(AND(ISNUMBER('Council Entry'!AA$8),ISNUMBER('Council Entry'!AA$9)),MAX(MIN('Council Entry'!AA183,'Council Entry'!AA$9),'Council Entry'!AA$8),'Council Entry'!AA183)),IF('Council Entry'!AA$4="Exponential",EXP(IF(AND(ISNUMBER('Council Entry'!AA$8),ISNUMBER('Council Entry'!AA$9)),MAX(MIN('Council Entry'!AA183,'Council Entry'!AA$9),'Council Entry'!AA$8),'Council Entry'!AA183)),IF(AND(ISNUMBER('Council Entry'!AA$8),ISNUMBER('Council Entry'!AA$9)),MAX(MIN('Council Entry'!AA183,'Council Entry'!AA$9),'Council Entry'!AA$8),'Council Entry'!AA183))))-'Council Entry'!AA$5)/('Council Entry'!AA$6-'Council Entry'!AA$5)),1))),"No data"))</f>
        <v/>
      </c>
      <c r="AB183" s="13">
        <f>IF('Council Entry'!AB183="","",IFERROR(MAX(0,MIN(10,ROUND(IF('Council Entry'!AB$7="Decrease Risk",10-10*((IF('Council Entry'!AB$4="Logarithm",LN(0.001+IF(AND(ISNUMBER('Council Entry'!AB$8),ISNUMBER('Council Entry'!AB$9)),MAX(MIN('Council Entry'!AB183,'Council Entry'!AB$9),'Council Entry'!AB$8),'Council Entry'!AB183)),IF('Council Entry'!AB$4="Exponential",EXP(IF(AND(ISNUMBER('Council Entry'!AB$8),ISNUMBER('Council Entry'!AB$9)),MAX(MIN('Council Entry'!AB183,'Council Entry'!AB$9),'Council Entry'!AB$8),'Council Entry'!AB183)),IF(AND(ISNUMBER('Council Entry'!AB$8),ISNUMBER('Council Entry'!AB$9)),MAX(MIN('Council Entry'!AB183,'Council Entry'!AB$9),'Council Entry'!AB$8),'Council Entry'!AB183))))-'Council Entry'!AB$5)/('Council Entry'!AB$6-'Council Entry'!AB$5),10*((IF('Council Entry'!AB$4="Logarithm",LN(0.001+IF(AND(ISNUMBER('Council Entry'!AB$8),ISNUMBER('Council Entry'!AB$9)),MAX(MIN('Council Entry'!AB183,'Council Entry'!AB$9),'Council Entry'!AB$8),'Council Entry'!AB183)),IF('Council Entry'!AB$4="Exponential",EXP(IF(AND(ISNUMBER('Council Entry'!AB$8),ISNUMBER('Council Entry'!AB$9)),MAX(MIN('Council Entry'!AB183,'Council Entry'!AB$9),'Council Entry'!AB$8),'Council Entry'!AB183)),IF(AND(ISNUMBER('Council Entry'!AB$8),ISNUMBER('Council Entry'!AB$9)),MAX(MIN('Council Entry'!AB183,'Council Entry'!AB$9),'Council Entry'!AB$8),'Council Entry'!AB183))))-'Council Entry'!AB$5)/('Council Entry'!AB$6-'Council Entry'!AB$5)),1))),"No data"))</f>
        <v/>
      </c>
      <c r="AC183" s="13">
        <f>IF('Council Entry'!AC183="","",IFERROR(MAX(0,MIN(10,ROUND(IF('Council Entry'!AC$7="Decrease Risk",10-10*((IF('Council Entry'!AC$4="Logarithm",LN(0.001+IF(AND(ISNUMBER('Council Entry'!AC$8),ISNUMBER('Council Entry'!AC$9)),MAX(MIN('Council Entry'!AC183,'Council Entry'!AC$9),'Council Entry'!AC$8),'Council Entry'!AC183)),IF('Council Entry'!AC$4="Exponential",EXP(IF(AND(ISNUMBER('Council Entry'!AC$8),ISNUMBER('Council Entry'!AC$9)),MAX(MIN('Council Entry'!AC183,'Council Entry'!AC$9),'Council Entry'!AC$8),'Council Entry'!AC183)),IF(AND(ISNUMBER('Council Entry'!AC$8),ISNUMBER('Council Entry'!AC$9)),MAX(MIN('Council Entry'!AC183,'Council Entry'!AC$9),'Council Entry'!AC$8),'Council Entry'!AC183))))-'Council Entry'!AC$5)/('Council Entry'!AC$6-'Council Entry'!AC$5),10*((IF('Council Entry'!AC$4="Logarithm",LN(0.001+IF(AND(ISNUMBER('Council Entry'!AC$8),ISNUMBER('Council Entry'!AC$9)),MAX(MIN('Council Entry'!AC183,'Council Entry'!AC$9),'Council Entry'!AC$8),'Council Entry'!AC183)),IF('Council Entry'!AC$4="Exponential",EXP(IF(AND(ISNUMBER('Council Entry'!AC$8),ISNUMBER('Council Entry'!AC$9)),MAX(MIN('Council Entry'!AC183,'Council Entry'!AC$9),'Council Entry'!AC$8),'Council Entry'!AC183)),IF(AND(ISNUMBER('Council Entry'!AC$8),ISNUMBER('Council Entry'!AC$9)),MAX(MIN('Council Entry'!AC183,'Council Entry'!AC$9),'Council Entry'!AC$8),'Council Entry'!AC183))))-'Council Entry'!AC$5)/('Council Entry'!AC$6-'Council Entry'!AC$5)),1))),"No data"))</f>
        <v/>
      </c>
      <c r="AD183" s="13">
        <f>IF('Council Entry'!AD183="","",IFERROR(MAX(0,MIN(10,ROUND(IF('Council Entry'!AD$7="Decrease Risk",10-10*((IF('Council Entry'!AD$4="Logarithm",LN(0.001+IF(AND(ISNUMBER('Council Entry'!AD$8),ISNUMBER('Council Entry'!AD$9)),MAX(MIN('Council Entry'!AD183,'Council Entry'!AD$9),'Council Entry'!AD$8),'Council Entry'!AD183)),IF('Council Entry'!AD$4="Exponential",EXP(IF(AND(ISNUMBER('Council Entry'!AD$8),ISNUMBER('Council Entry'!AD$9)),MAX(MIN('Council Entry'!AD183,'Council Entry'!AD$9),'Council Entry'!AD$8),'Council Entry'!AD183)),IF(AND(ISNUMBER('Council Entry'!AD$8),ISNUMBER('Council Entry'!AD$9)),MAX(MIN('Council Entry'!AD183,'Council Entry'!AD$9),'Council Entry'!AD$8),'Council Entry'!AD183))))-'Council Entry'!AD$5)/('Council Entry'!AD$6-'Council Entry'!AD$5),10*((IF('Council Entry'!AD$4="Logarithm",LN(0.001+IF(AND(ISNUMBER('Council Entry'!AD$8),ISNUMBER('Council Entry'!AD$9)),MAX(MIN('Council Entry'!AD183,'Council Entry'!AD$9),'Council Entry'!AD$8),'Council Entry'!AD183)),IF('Council Entry'!AD$4="Exponential",EXP(IF(AND(ISNUMBER('Council Entry'!AD$8),ISNUMBER('Council Entry'!AD$9)),MAX(MIN('Council Entry'!AD183,'Council Entry'!AD$9),'Council Entry'!AD$8),'Council Entry'!AD183)),IF(AND(ISNUMBER('Council Entry'!AD$8),ISNUMBER('Council Entry'!AD$9)),MAX(MIN('Council Entry'!AD183,'Council Entry'!AD$9),'Council Entry'!AD$8),'Council Entry'!AD183))))-'Council Entry'!AD$5)/('Council Entry'!AD$6-'Council Entry'!AD$5)),1))),"No data"))</f>
        <v/>
      </c>
      <c r="AE183" s="13">
        <f>IF('Council Entry'!AE183="","",IFERROR(MAX(0,MIN(10,ROUND(IF('Council Entry'!AE$7="Decrease Risk",10-10*((IF('Council Entry'!AE$4="Logarithm",LN(0.001+IF(AND(ISNUMBER('Council Entry'!AE$8),ISNUMBER('Council Entry'!AE$9)),MAX(MIN('Council Entry'!AE183,'Council Entry'!AE$9),'Council Entry'!AE$8),'Council Entry'!AE183)),IF('Council Entry'!AE$4="Exponential",EXP(IF(AND(ISNUMBER('Council Entry'!AE$8),ISNUMBER('Council Entry'!AE$9)),MAX(MIN('Council Entry'!AE183,'Council Entry'!AE$9),'Council Entry'!AE$8),'Council Entry'!AE183)),IF(AND(ISNUMBER('Council Entry'!AE$8),ISNUMBER('Council Entry'!AE$9)),MAX(MIN('Council Entry'!AE183,'Council Entry'!AE$9),'Council Entry'!AE$8),'Council Entry'!AE183))))-'Council Entry'!AE$5)/('Council Entry'!AE$6-'Council Entry'!AE$5),10*((IF('Council Entry'!AE$4="Logarithm",LN(0.001+IF(AND(ISNUMBER('Council Entry'!AE$8),ISNUMBER('Council Entry'!AE$9)),MAX(MIN('Council Entry'!AE183,'Council Entry'!AE$9),'Council Entry'!AE$8),'Council Entry'!AE183)),IF('Council Entry'!AE$4="Exponential",EXP(IF(AND(ISNUMBER('Council Entry'!AE$8),ISNUMBER('Council Entry'!AE$9)),MAX(MIN('Council Entry'!AE183,'Council Entry'!AE$9),'Council Entry'!AE$8),'Council Entry'!AE183)),IF(AND(ISNUMBER('Council Entry'!AE$8),ISNUMBER('Council Entry'!AE$9)),MAX(MIN('Council Entry'!AE183,'Council Entry'!AE$9),'Council Entry'!AE$8),'Council Entry'!AE183))))-'Council Entry'!AE$5)/('Council Entry'!AE$6-'Council Entry'!AE$5)),1))),"No data"))</f>
        <v/>
      </c>
      <c r="AF183" s="13">
        <f>IF('Council Entry'!AF183="","",IFERROR(MAX(0,MIN(10,ROUND(IF('Council Entry'!AF$7="Decrease Risk",10-10*((IF('Council Entry'!AF$4="Logarithm",LN(0.001+IF(AND(ISNUMBER('Council Entry'!AF$8),ISNUMBER('Council Entry'!AF$9)),MAX(MIN('Council Entry'!AF183,'Council Entry'!AF$9),'Council Entry'!AF$8),'Council Entry'!AF183)),IF('Council Entry'!AF$4="Exponential",EXP(IF(AND(ISNUMBER('Council Entry'!AF$8),ISNUMBER('Council Entry'!AF$9)),MAX(MIN('Council Entry'!AF183,'Council Entry'!AF$9),'Council Entry'!AF$8),'Council Entry'!AF183)),IF(AND(ISNUMBER('Council Entry'!AF$8),ISNUMBER('Council Entry'!AF$9)),MAX(MIN('Council Entry'!AF183,'Council Entry'!AF$9),'Council Entry'!AF$8),'Council Entry'!AF183))))-'Council Entry'!AF$5)/('Council Entry'!AF$6-'Council Entry'!AF$5),10*((IF('Council Entry'!AF$4="Logarithm",LN(0.001+IF(AND(ISNUMBER('Council Entry'!AF$8),ISNUMBER('Council Entry'!AF$9)),MAX(MIN('Council Entry'!AF183,'Council Entry'!AF$9),'Council Entry'!AF$8),'Council Entry'!AF183)),IF('Council Entry'!AF$4="Exponential",EXP(IF(AND(ISNUMBER('Council Entry'!AF$8),ISNUMBER('Council Entry'!AF$9)),MAX(MIN('Council Entry'!AF183,'Council Entry'!AF$9),'Council Entry'!AF$8),'Council Entry'!AF183)),IF(AND(ISNUMBER('Council Entry'!AF$8),ISNUMBER('Council Entry'!AF$9)),MAX(MIN('Council Entry'!AF183,'Council Entry'!AF$9),'Council Entry'!AF$8),'Council Entry'!AF183))))-'Council Entry'!AF$5)/('Council Entry'!AF$6-'Council Entry'!AF$5)),1))),"No data"))</f>
        <v/>
      </c>
      <c r="AG183" s="13">
        <f>IF('Council Entry'!AG183="","",IFERROR(MAX(0,MIN(10,ROUND(IF('Council Entry'!AG$7="Decrease Risk",10-10*((IF('Council Entry'!AG$4="Logarithm",LN(0.001+IF(AND(ISNUMBER('Council Entry'!AG$8),ISNUMBER('Council Entry'!AG$9)),MAX(MIN('Council Entry'!AG183,'Council Entry'!AG$9),'Council Entry'!AG$8),'Council Entry'!AG183)),IF('Council Entry'!AG$4="Exponential",EXP(IF(AND(ISNUMBER('Council Entry'!AG$8),ISNUMBER('Council Entry'!AG$9)),MAX(MIN('Council Entry'!AG183,'Council Entry'!AG$9),'Council Entry'!AG$8),'Council Entry'!AG183)),IF(AND(ISNUMBER('Council Entry'!AG$8),ISNUMBER('Council Entry'!AG$9)),MAX(MIN('Council Entry'!AG183,'Council Entry'!AG$9),'Council Entry'!AG$8),'Council Entry'!AG183))))-'Council Entry'!AG$5)/('Council Entry'!AG$6-'Council Entry'!AG$5),10*((IF('Council Entry'!AG$4="Logarithm",LN(0.001+IF(AND(ISNUMBER('Council Entry'!AG$8),ISNUMBER('Council Entry'!AG$9)),MAX(MIN('Council Entry'!AG183,'Council Entry'!AG$9),'Council Entry'!AG$8),'Council Entry'!AG183)),IF('Council Entry'!AG$4="Exponential",EXP(IF(AND(ISNUMBER('Council Entry'!AG$8),ISNUMBER('Council Entry'!AG$9)),MAX(MIN('Council Entry'!AG183,'Council Entry'!AG$9),'Council Entry'!AG$8),'Council Entry'!AG183)),IF(AND(ISNUMBER('Council Entry'!AG$8),ISNUMBER('Council Entry'!AG$9)),MAX(MIN('Council Entry'!AG183,'Council Entry'!AG$9),'Council Entry'!AG$8),'Council Entry'!AG183))))-'Council Entry'!AG$5)/('Council Entry'!AG$6-'Council Entry'!AG$5)),1))),"No data"))</f>
        <v/>
      </c>
      <c r="AH183" s="13">
        <f>IF('Council Entry'!AH183="","",IFERROR(MAX(0,MIN(10,ROUND(IF('Council Entry'!AH$7="Decrease Risk",10-10*((IF('Council Entry'!AH$4="Logarithm",LN(0.001+IF(AND(ISNUMBER('Council Entry'!AH$8),ISNUMBER('Council Entry'!AH$9)),MAX(MIN('Council Entry'!AH183,'Council Entry'!AH$9),'Council Entry'!AH$8),'Council Entry'!AH183)),IF('Council Entry'!AH$4="Exponential",EXP(IF(AND(ISNUMBER('Council Entry'!AH$8),ISNUMBER('Council Entry'!AH$9)),MAX(MIN('Council Entry'!AH183,'Council Entry'!AH$9),'Council Entry'!AH$8),'Council Entry'!AH183)),IF(AND(ISNUMBER('Council Entry'!AH$8),ISNUMBER('Council Entry'!AH$9)),MAX(MIN('Council Entry'!AH183,'Council Entry'!AH$9),'Council Entry'!AH$8),'Council Entry'!AH183))))-'Council Entry'!AH$5)/('Council Entry'!AH$6-'Council Entry'!AH$5),10*((IF('Council Entry'!AH$4="Logarithm",LN(0.001+IF(AND(ISNUMBER('Council Entry'!AH$8),ISNUMBER('Council Entry'!AH$9)),MAX(MIN('Council Entry'!AH183,'Council Entry'!AH$9),'Council Entry'!AH$8),'Council Entry'!AH183)),IF('Council Entry'!AH$4="Exponential",EXP(IF(AND(ISNUMBER('Council Entry'!AH$8),ISNUMBER('Council Entry'!AH$9)),MAX(MIN('Council Entry'!AH183,'Council Entry'!AH$9),'Council Entry'!AH$8),'Council Entry'!AH183)),IF(AND(ISNUMBER('Council Entry'!AH$8),ISNUMBER('Council Entry'!AH$9)),MAX(MIN('Council Entry'!AH183,'Council Entry'!AH$9),'Council Entry'!AH$8),'Council Entry'!AH183))))-'Council Entry'!AH$5)/('Council Entry'!AH$6-'Council Entry'!AH$5)),1))),"No data"))</f>
        <v/>
      </c>
      <c r="AI183" s="13">
        <f>IF('Council Entry'!AI183="","",IFERROR(MAX(0,MIN(10,ROUND(IF('Council Entry'!AI$7="Decrease Risk",10-10*((IF('Council Entry'!AI$4="Logarithm",LN(0.001+IF(AND(ISNUMBER('Council Entry'!AI$8),ISNUMBER('Council Entry'!AI$9)),MAX(MIN('Council Entry'!AI183,'Council Entry'!AI$9),'Council Entry'!AI$8),'Council Entry'!AI183)),IF('Council Entry'!AI$4="Exponential",EXP(IF(AND(ISNUMBER('Council Entry'!AI$8),ISNUMBER('Council Entry'!AI$9)),MAX(MIN('Council Entry'!AI183,'Council Entry'!AI$9),'Council Entry'!AI$8),'Council Entry'!AI183)),IF(AND(ISNUMBER('Council Entry'!AI$8),ISNUMBER('Council Entry'!AI$9)),MAX(MIN('Council Entry'!AI183,'Council Entry'!AI$9),'Council Entry'!AI$8),'Council Entry'!AI183))))-'Council Entry'!AI$5)/('Council Entry'!AI$6-'Council Entry'!AI$5),10*((IF('Council Entry'!AI$4="Logarithm",LN(0.001+IF(AND(ISNUMBER('Council Entry'!AI$8),ISNUMBER('Council Entry'!AI$9)),MAX(MIN('Council Entry'!AI183,'Council Entry'!AI$9),'Council Entry'!AI$8),'Council Entry'!AI183)),IF('Council Entry'!AI$4="Exponential",EXP(IF(AND(ISNUMBER('Council Entry'!AI$8),ISNUMBER('Council Entry'!AI$9)),MAX(MIN('Council Entry'!AI183,'Council Entry'!AI$9),'Council Entry'!AI$8),'Council Entry'!AI183)),IF(AND(ISNUMBER('Council Entry'!AI$8),ISNUMBER('Council Entry'!AI$9)),MAX(MIN('Council Entry'!AI183,'Council Entry'!AI$9),'Council Entry'!AI$8),'Council Entry'!AI183))))-'Council Entry'!AI$5)/('Council Entry'!AI$6-'Council Entry'!AI$5)),1))),"No data"))</f>
        <v/>
      </c>
      <c r="AJ183" s="13">
        <f>IF('Council Entry'!AJ183="","",IFERROR(MAX(0,MIN(10,ROUND(IF('Council Entry'!AJ$7="Decrease Risk",10-10*((IF('Council Entry'!AJ$4="Logarithm",LN(0.001+IF(AND(ISNUMBER('Council Entry'!AJ$8),ISNUMBER('Council Entry'!AJ$9)),MAX(MIN('Council Entry'!AJ183,'Council Entry'!AJ$9),'Council Entry'!AJ$8),'Council Entry'!AJ183)),IF('Council Entry'!AJ$4="Exponential",EXP(IF(AND(ISNUMBER('Council Entry'!AJ$8),ISNUMBER('Council Entry'!AJ$9)),MAX(MIN('Council Entry'!AJ183,'Council Entry'!AJ$9),'Council Entry'!AJ$8),'Council Entry'!AJ183)),IF(AND(ISNUMBER('Council Entry'!AJ$8),ISNUMBER('Council Entry'!AJ$9)),MAX(MIN('Council Entry'!AJ183,'Council Entry'!AJ$9),'Council Entry'!AJ$8),'Council Entry'!AJ183))))-'Council Entry'!AJ$5)/('Council Entry'!AJ$6-'Council Entry'!AJ$5),10*((IF('Council Entry'!AJ$4="Logarithm",LN(0.001+IF(AND(ISNUMBER('Council Entry'!AJ$8),ISNUMBER('Council Entry'!AJ$9)),MAX(MIN('Council Entry'!AJ183,'Council Entry'!AJ$9),'Council Entry'!AJ$8),'Council Entry'!AJ183)),IF('Council Entry'!AJ$4="Exponential",EXP(IF(AND(ISNUMBER('Council Entry'!AJ$8),ISNUMBER('Council Entry'!AJ$9)),MAX(MIN('Council Entry'!AJ183,'Council Entry'!AJ$9),'Council Entry'!AJ$8),'Council Entry'!AJ183)),IF(AND(ISNUMBER('Council Entry'!AJ$8),ISNUMBER('Council Entry'!AJ$9)),MAX(MIN('Council Entry'!AJ183,'Council Entry'!AJ$9),'Council Entry'!AJ$8),'Council Entry'!AJ183))))-'Council Entry'!AJ$5)/('Council Entry'!AJ$6-'Council Entry'!AJ$5)),1))),"No data"))</f>
        <v/>
      </c>
      <c r="AK183" s="13">
        <f>IF('Council Entry'!AK183="","",IFERROR(MAX(0,MIN(10,ROUND(IF('Council Entry'!AK$7="Decrease Risk",10-10*((IF('Council Entry'!AK$4="Logarithm",LN(0.001+IF(AND(ISNUMBER('Council Entry'!AK$8),ISNUMBER('Council Entry'!AK$9)),MAX(MIN('Council Entry'!AK183,'Council Entry'!AK$9),'Council Entry'!AK$8),'Council Entry'!AK183)),IF('Council Entry'!AK$4="Exponential",EXP(IF(AND(ISNUMBER('Council Entry'!AK$8),ISNUMBER('Council Entry'!AK$9)),MAX(MIN('Council Entry'!AK183,'Council Entry'!AK$9),'Council Entry'!AK$8),'Council Entry'!AK183)),IF(AND(ISNUMBER('Council Entry'!AK$8),ISNUMBER('Council Entry'!AK$9)),MAX(MIN('Council Entry'!AK183,'Council Entry'!AK$9),'Council Entry'!AK$8),'Council Entry'!AK183))))-'Council Entry'!AK$5)/('Council Entry'!AK$6-'Council Entry'!AK$5),10*((IF('Council Entry'!AK$4="Logarithm",LN(0.001+IF(AND(ISNUMBER('Council Entry'!AK$8),ISNUMBER('Council Entry'!AK$9)),MAX(MIN('Council Entry'!AK183,'Council Entry'!AK$9),'Council Entry'!AK$8),'Council Entry'!AK183)),IF('Council Entry'!AK$4="Exponential",EXP(IF(AND(ISNUMBER('Council Entry'!AK$8),ISNUMBER('Council Entry'!AK$9)),MAX(MIN('Council Entry'!AK183,'Council Entry'!AK$9),'Council Entry'!AK$8),'Council Entry'!AK183)),IF(AND(ISNUMBER('Council Entry'!AK$8),ISNUMBER('Council Entry'!AK$9)),MAX(MIN('Council Entry'!AK183,'Council Entry'!AK$9),'Council Entry'!AK$8),'Council Entry'!AK183))))-'Council Entry'!AK$5)/('Council Entry'!AK$6-'Council Entry'!AK$5)),1))),"No data"))</f>
        <v/>
      </c>
      <c r="AL183" s="13">
        <f>IF('Council Entry'!AL183="","",IFERROR(MAX(0,MIN(10,ROUND(IF('Council Entry'!AL$7="Decrease Risk",10-10*((IF('Council Entry'!AL$4="Logarithm",LN(0.001+IF(AND(ISNUMBER('Council Entry'!AL$8),ISNUMBER('Council Entry'!AL$9)),MAX(MIN('Council Entry'!AL183,'Council Entry'!AL$9),'Council Entry'!AL$8),'Council Entry'!AL183)),IF('Council Entry'!AL$4="Exponential",EXP(IF(AND(ISNUMBER('Council Entry'!AL$8),ISNUMBER('Council Entry'!AL$9)),MAX(MIN('Council Entry'!AL183,'Council Entry'!AL$9),'Council Entry'!AL$8),'Council Entry'!AL183)),IF(AND(ISNUMBER('Council Entry'!AL$8),ISNUMBER('Council Entry'!AL$9)),MAX(MIN('Council Entry'!AL183,'Council Entry'!AL$9),'Council Entry'!AL$8),'Council Entry'!AL183))))-'Council Entry'!AL$5)/('Council Entry'!AL$6-'Council Entry'!AL$5),10*((IF('Council Entry'!AL$4="Logarithm",LN(0.001+IF(AND(ISNUMBER('Council Entry'!AL$8),ISNUMBER('Council Entry'!AL$9)),MAX(MIN('Council Entry'!AL183,'Council Entry'!AL$9),'Council Entry'!AL$8),'Council Entry'!AL183)),IF('Council Entry'!AL$4="Exponential",EXP(IF(AND(ISNUMBER('Council Entry'!AL$8),ISNUMBER('Council Entry'!AL$9)),MAX(MIN('Council Entry'!AL183,'Council Entry'!AL$9),'Council Entry'!AL$8),'Council Entry'!AL183)),IF(AND(ISNUMBER('Council Entry'!AL$8),ISNUMBER('Council Entry'!AL$9)),MAX(MIN('Council Entry'!AL183,'Council Entry'!AL$9),'Council Entry'!AL$8),'Council Entry'!AL183))))-'Council Entry'!AL$5)/('Council Entry'!AL$6-'Council Entry'!AL$5)),1))),"No data"))</f>
        <v/>
      </c>
      <c r="AM183" s="13">
        <f>IF('Council Entry'!AM183="","",IFERROR(MAX(0,MIN(10,ROUND(IF('Council Entry'!AM$7="Decrease Risk",10-10*((IF('Council Entry'!AM$4="Logarithm",LN(0.001+IF(AND(ISNUMBER('Council Entry'!AM$8),ISNUMBER('Council Entry'!AM$9)),MAX(MIN('Council Entry'!AM183,'Council Entry'!AM$9),'Council Entry'!AM$8),'Council Entry'!AM183)),IF('Council Entry'!AM$4="Exponential",EXP(IF(AND(ISNUMBER('Council Entry'!AM$8),ISNUMBER('Council Entry'!AM$9)),MAX(MIN('Council Entry'!AM183,'Council Entry'!AM$9),'Council Entry'!AM$8),'Council Entry'!AM183)),IF(AND(ISNUMBER('Council Entry'!AM$8),ISNUMBER('Council Entry'!AM$9)),MAX(MIN('Council Entry'!AM183,'Council Entry'!AM$9),'Council Entry'!AM$8),'Council Entry'!AM183))))-'Council Entry'!AM$5)/('Council Entry'!AM$6-'Council Entry'!AM$5),10*((IF('Council Entry'!AM$4="Logarithm",LN(0.001+IF(AND(ISNUMBER('Council Entry'!AM$8),ISNUMBER('Council Entry'!AM$9)),MAX(MIN('Council Entry'!AM183,'Council Entry'!AM$9),'Council Entry'!AM$8),'Council Entry'!AM183)),IF('Council Entry'!AM$4="Exponential",EXP(IF(AND(ISNUMBER('Council Entry'!AM$8),ISNUMBER('Council Entry'!AM$9)),MAX(MIN('Council Entry'!AM183,'Council Entry'!AM$9),'Council Entry'!AM$8),'Council Entry'!AM183)),IF(AND(ISNUMBER('Council Entry'!AM$8),ISNUMBER('Council Entry'!AM$9)),MAX(MIN('Council Entry'!AM183,'Council Entry'!AM$9),'Council Entry'!AM$8),'Council Entry'!AM183))))-'Council Entry'!AM$5)/('Council Entry'!AM$6-'Council Entry'!AM$5)),1))),"No data"))</f>
        <v/>
      </c>
      <c r="AN183" s="13">
        <f>IF('Council Entry'!AN183="","",IFERROR(MAX(0,MIN(10,ROUND(IF('Council Entry'!AN$7="Decrease Risk",10-10*((IF('Council Entry'!AN$4="Logarithm",LN(0.001+IF(AND(ISNUMBER('Council Entry'!AN$8),ISNUMBER('Council Entry'!AN$9)),MAX(MIN('Council Entry'!AN183,'Council Entry'!AN$9),'Council Entry'!AN$8),'Council Entry'!AN183)),IF('Council Entry'!AN$4="Exponential",EXP(IF(AND(ISNUMBER('Council Entry'!AN$8),ISNUMBER('Council Entry'!AN$9)),MAX(MIN('Council Entry'!AN183,'Council Entry'!AN$9),'Council Entry'!AN$8),'Council Entry'!AN183)),IF(AND(ISNUMBER('Council Entry'!AN$8),ISNUMBER('Council Entry'!AN$9)),MAX(MIN('Council Entry'!AN183,'Council Entry'!AN$9),'Council Entry'!AN$8),'Council Entry'!AN183))))-'Council Entry'!AN$5)/('Council Entry'!AN$6-'Council Entry'!AN$5),10*((IF('Council Entry'!AN$4="Logarithm",LN(0.001+IF(AND(ISNUMBER('Council Entry'!AN$8),ISNUMBER('Council Entry'!AN$9)),MAX(MIN('Council Entry'!AN183,'Council Entry'!AN$9),'Council Entry'!AN$8),'Council Entry'!AN183)),IF('Council Entry'!AN$4="Exponential",EXP(IF(AND(ISNUMBER('Council Entry'!AN$8),ISNUMBER('Council Entry'!AN$9)),MAX(MIN('Council Entry'!AN183,'Council Entry'!AN$9),'Council Entry'!AN$8),'Council Entry'!AN183)),IF(AND(ISNUMBER('Council Entry'!AN$8),ISNUMBER('Council Entry'!AN$9)),MAX(MIN('Council Entry'!AN183,'Council Entry'!AN$9),'Council Entry'!AN$8),'Council Entry'!AN183))))-'Council Entry'!AN$5)/('Council Entry'!AN$6-'Council Entry'!AN$5)),1))),"No data"))</f>
        <v/>
      </c>
      <c r="AO183" s="13">
        <f>IF('Council Entry'!AO183="","",IFERROR(MAX(0,MIN(10,ROUND(IF('Council Entry'!AO$7="Decrease Risk",10-10*((IF('Council Entry'!AO$4="Logarithm",LN(0.001+IF(AND(ISNUMBER('Council Entry'!AO$8),ISNUMBER('Council Entry'!AO$9)),MAX(MIN('Council Entry'!AO183,'Council Entry'!AO$9),'Council Entry'!AO$8),'Council Entry'!AO183)),IF('Council Entry'!AO$4="Exponential",EXP(IF(AND(ISNUMBER('Council Entry'!AO$8),ISNUMBER('Council Entry'!AO$9)),MAX(MIN('Council Entry'!AO183,'Council Entry'!AO$9),'Council Entry'!AO$8),'Council Entry'!AO183)),IF(AND(ISNUMBER('Council Entry'!AO$8),ISNUMBER('Council Entry'!AO$9)),MAX(MIN('Council Entry'!AO183,'Council Entry'!AO$9),'Council Entry'!AO$8),'Council Entry'!AO183))))-'Council Entry'!AO$5)/('Council Entry'!AO$6-'Council Entry'!AO$5),10*((IF('Council Entry'!AO$4="Logarithm",LN(0.001+IF(AND(ISNUMBER('Council Entry'!AO$8),ISNUMBER('Council Entry'!AO$9)),MAX(MIN('Council Entry'!AO183,'Council Entry'!AO$9),'Council Entry'!AO$8),'Council Entry'!AO183)),IF('Council Entry'!AO$4="Exponential",EXP(IF(AND(ISNUMBER('Council Entry'!AO$8),ISNUMBER('Council Entry'!AO$9)),MAX(MIN('Council Entry'!AO183,'Council Entry'!AO$9),'Council Entry'!AO$8),'Council Entry'!AO183)),IF(AND(ISNUMBER('Council Entry'!AO$8),ISNUMBER('Council Entry'!AO$9)),MAX(MIN('Council Entry'!AO183,'Council Entry'!AO$9),'Council Entry'!AO$8),'Council Entry'!AO183))))-'Council Entry'!AO$5)/('Council Entry'!AO$6-'Council Entry'!AO$5)),1))),"No data"))</f>
        <v/>
      </c>
      <c r="AP183" s="13">
        <f>IF('Council Entry'!AP183="","",IFERROR(MAX(0,MIN(10,ROUND(IF('Council Entry'!AP$7="Decrease Risk",10-10*((IF('Council Entry'!AP$4="Logarithm",LN(0.001+IF(AND(ISNUMBER('Council Entry'!AP$8),ISNUMBER('Council Entry'!AP$9)),MAX(MIN('Council Entry'!AP183,'Council Entry'!AP$9),'Council Entry'!AP$8),'Council Entry'!AP183)),IF('Council Entry'!AP$4="Exponential",EXP(IF(AND(ISNUMBER('Council Entry'!AP$8),ISNUMBER('Council Entry'!AP$9)),MAX(MIN('Council Entry'!AP183,'Council Entry'!AP$9),'Council Entry'!AP$8),'Council Entry'!AP183)),IF(AND(ISNUMBER('Council Entry'!AP$8),ISNUMBER('Council Entry'!AP$9)),MAX(MIN('Council Entry'!AP183,'Council Entry'!AP$9),'Council Entry'!AP$8),'Council Entry'!AP183))))-'Council Entry'!AP$5)/('Council Entry'!AP$6-'Council Entry'!AP$5),10*((IF('Council Entry'!AP$4="Logarithm",LN(0.001+IF(AND(ISNUMBER('Council Entry'!AP$8),ISNUMBER('Council Entry'!AP$9)),MAX(MIN('Council Entry'!AP183,'Council Entry'!AP$9),'Council Entry'!AP$8),'Council Entry'!AP183)),IF('Council Entry'!AP$4="Exponential",EXP(IF(AND(ISNUMBER('Council Entry'!AP$8),ISNUMBER('Council Entry'!AP$9)),MAX(MIN('Council Entry'!AP183,'Council Entry'!AP$9),'Council Entry'!AP$8),'Council Entry'!AP183)),IF(AND(ISNUMBER('Council Entry'!AP$8),ISNUMBER('Council Entry'!AP$9)),MAX(MIN('Council Entry'!AP183,'Council Entry'!AP$9),'Council Entry'!AP$8),'Council Entry'!AP183))))-'Council Entry'!AP$5)/('Council Entry'!AP$6-'Council Entry'!AP$5)),1))),"No data"))</f>
        <v/>
      </c>
      <c r="AQ183" s="13">
        <f>IF('Council Entry'!AQ183="","",IFERROR(MAX(0,MIN(10,ROUND(IF('Council Entry'!AQ$7="Decrease Risk",10-10*((IF('Council Entry'!AQ$4="Logarithm",LN(0.001+IF(AND(ISNUMBER('Council Entry'!AQ$8),ISNUMBER('Council Entry'!AQ$9)),MAX(MIN('Council Entry'!AQ183,'Council Entry'!AQ$9),'Council Entry'!AQ$8),'Council Entry'!AQ183)),IF('Council Entry'!AQ$4="Exponential",EXP(IF(AND(ISNUMBER('Council Entry'!AQ$8),ISNUMBER('Council Entry'!AQ$9)),MAX(MIN('Council Entry'!AQ183,'Council Entry'!AQ$9),'Council Entry'!AQ$8),'Council Entry'!AQ183)),IF(AND(ISNUMBER('Council Entry'!AQ$8),ISNUMBER('Council Entry'!AQ$9)),MAX(MIN('Council Entry'!AQ183,'Council Entry'!AQ$9),'Council Entry'!AQ$8),'Council Entry'!AQ183))))-'Council Entry'!AQ$5)/('Council Entry'!AQ$6-'Council Entry'!AQ$5),10*((IF('Council Entry'!AQ$4="Logarithm",LN(0.001+IF(AND(ISNUMBER('Council Entry'!AQ$8),ISNUMBER('Council Entry'!AQ$9)),MAX(MIN('Council Entry'!AQ183,'Council Entry'!AQ$9),'Council Entry'!AQ$8),'Council Entry'!AQ183)),IF('Council Entry'!AQ$4="Exponential",EXP(IF(AND(ISNUMBER('Council Entry'!AQ$8),ISNUMBER('Council Entry'!AQ$9)),MAX(MIN('Council Entry'!AQ183,'Council Entry'!AQ$9),'Council Entry'!AQ$8),'Council Entry'!AQ183)),IF(AND(ISNUMBER('Council Entry'!AQ$8),ISNUMBER('Council Entry'!AQ$9)),MAX(MIN('Council Entry'!AQ183,'Council Entry'!AQ$9),'Council Entry'!AQ$8),'Council Entry'!AQ183))))-'Council Entry'!AQ$5)/('Council Entry'!AQ$6-'Council Entry'!AQ$5)),1))),"No data"))</f>
        <v/>
      </c>
      <c r="AR183" s="13">
        <f>IF('Council Entry'!AR183="","",IFERROR(MAX(0,MIN(10,ROUND(IF('Council Entry'!AR$7="Decrease Risk",10-10*((IF('Council Entry'!AR$4="Logarithm",LN(0.001+IF(AND(ISNUMBER('Council Entry'!AR$8),ISNUMBER('Council Entry'!AR$9)),MAX(MIN('Council Entry'!AR183,'Council Entry'!AR$9),'Council Entry'!AR$8),'Council Entry'!AR183)),IF('Council Entry'!AR$4="Exponential",EXP(IF(AND(ISNUMBER('Council Entry'!AR$8),ISNUMBER('Council Entry'!AR$9)),MAX(MIN('Council Entry'!AR183,'Council Entry'!AR$9),'Council Entry'!AR$8),'Council Entry'!AR183)),IF(AND(ISNUMBER('Council Entry'!AR$8),ISNUMBER('Council Entry'!AR$9)),MAX(MIN('Council Entry'!AR183,'Council Entry'!AR$9),'Council Entry'!AR$8),'Council Entry'!AR183))))-'Council Entry'!AR$5)/('Council Entry'!AR$6-'Council Entry'!AR$5),10*((IF('Council Entry'!AR$4="Logarithm",LN(0.001+IF(AND(ISNUMBER('Council Entry'!AR$8),ISNUMBER('Council Entry'!AR$9)),MAX(MIN('Council Entry'!AR183,'Council Entry'!AR$9),'Council Entry'!AR$8),'Council Entry'!AR183)),IF('Council Entry'!AR$4="Exponential",EXP(IF(AND(ISNUMBER('Council Entry'!AR$8),ISNUMBER('Council Entry'!AR$9)),MAX(MIN('Council Entry'!AR183,'Council Entry'!AR$9),'Council Entry'!AR$8),'Council Entry'!AR183)),IF(AND(ISNUMBER('Council Entry'!AR$8),ISNUMBER('Council Entry'!AR$9)),MAX(MIN('Council Entry'!AR183,'Council Entry'!AR$9),'Council Entry'!AR$8),'Council Entry'!AR183))))-'Council Entry'!AR$5)/('Council Entry'!AR$6-'Council Entry'!AR$5)),1))),"No data"))</f>
        <v/>
      </c>
      <c r="AS183" s="13">
        <f>IF('Council Entry'!AS183="","",IFERROR(MAX(0,MIN(10,ROUND(IF('Council Entry'!AS$7="Decrease Risk",10-10*((IF('Council Entry'!AS$4="Logarithm",LN(0.001+IF(AND(ISNUMBER('Council Entry'!AS$8),ISNUMBER('Council Entry'!AS$9)),MAX(MIN('Council Entry'!AS183,'Council Entry'!AS$9),'Council Entry'!AS$8),'Council Entry'!AS183)),IF('Council Entry'!AS$4="Exponential",EXP(IF(AND(ISNUMBER('Council Entry'!AS$8),ISNUMBER('Council Entry'!AS$9)),MAX(MIN('Council Entry'!AS183,'Council Entry'!AS$9),'Council Entry'!AS$8),'Council Entry'!AS183)),IF(AND(ISNUMBER('Council Entry'!AS$8),ISNUMBER('Council Entry'!AS$9)),MAX(MIN('Council Entry'!AS183,'Council Entry'!AS$9),'Council Entry'!AS$8),'Council Entry'!AS183))))-'Council Entry'!AS$5)/('Council Entry'!AS$6-'Council Entry'!AS$5),10*((IF('Council Entry'!AS$4="Logarithm",LN(0.001+IF(AND(ISNUMBER('Council Entry'!AS$8),ISNUMBER('Council Entry'!AS$9)),MAX(MIN('Council Entry'!AS183,'Council Entry'!AS$9),'Council Entry'!AS$8),'Council Entry'!AS183)),IF('Council Entry'!AS$4="Exponential",EXP(IF(AND(ISNUMBER('Council Entry'!AS$8),ISNUMBER('Council Entry'!AS$9)),MAX(MIN('Council Entry'!AS183,'Council Entry'!AS$9),'Council Entry'!AS$8),'Council Entry'!AS183)),IF(AND(ISNUMBER('Council Entry'!AS$8),ISNUMBER('Council Entry'!AS$9)),MAX(MIN('Council Entry'!AS183,'Council Entry'!AS$9),'Council Entry'!AS$8),'Council Entry'!AS183))))-'Council Entry'!AS$5)/('Council Entry'!AS$6-'Council Entry'!AS$5)),1))),"No data"))</f>
        <v/>
      </c>
      <c r="AT183" s="13">
        <f>IF('Council Entry'!AT183="","",IFERROR(MAX(0,MIN(10,ROUND(IF('Council Entry'!AT$7="Decrease Risk",10-10*((IF('Council Entry'!AT$4="Logarithm",LN(0.001+IF(AND(ISNUMBER('Council Entry'!AT$8),ISNUMBER('Council Entry'!AT$9)),MAX(MIN('Council Entry'!AT183,'Council Entry'!AT$9),'Council Entry'!AT$8),'Council Entry'!AT183)),IF('Council Entry'!AT$4="Exponential",EXP(IF(AND(ISNUMBER('Council Entry'!AT$8),ISNUMBER('Council Entry'!AT$9)),MAX(MIN('Council Entry'!AT183,'Council Entry'!AT$9),'Council Entry'!AT$8),'Council Entry'!AT183)),IF(AND(ISNUMBER('Council Entry'!AT$8),ISNUMBER('Council Entry'!AT$9)),MAX(MIN('Council Entry'!AT183,'Council Entry'!AT$9),'Council Entry'!AT$8),'Council Entry'!AT183))))-'Council Entry'!AT$5)/('Council Entry'!AT$6-'Council Entry'!AT$5),10*((IF('Council Entry'!AT$4="Logarithm",LN(0.001+IF(AND(ISNUMBER('Council Entry'!AT$8),ISNUMBER('Council Entry'!AT$9)),MAX(MIN('Council Entry'!AT183,'Council Entry'!AT$9),'Council Entry'!AT$8),'Council Entry'!AT183)),IF('Council Entry'!AT$4="Exponential",EXP(IF(AND(ISNUMBER('Council Entry'!AT$8),ISNUMBER('Council Entry'!AT$9)),MAX(MIN('Council Entry'!AT183,'Council Entry'!AT$9),'Council Entry'!AT$8),'Council Entry'!AT183)),IF(AND(ISNUMBER('Council Entry'!AT$8),ISNUMBER('Council Entry'!AT$9)),MAX(MIN('Council Entry'!AT183,'Council Entry'!AT$9),'Council Entry'!AT$8),'Council Entry'!AT183))))-'Council Entry'!AT$5)/('Council Entry'!AT$6-'Council Entry'!AT$5)),1))),"No data"))</f>
        <v/>
      </c>
      <c r="AU183" s="13">
        <f>IF('Council Entry'!AU183="","",IFERROR(MAX(0,MIN(10,ROUND(IF('Council Entry'!AU$7="Decrease Risk",10-10*((IF('Council Entry'!AU$4="Logarithm",LN(0.001+IF(AND(ISNUMBER('Council Entry'!AU$8),ISNUMBER('Council Entry'!AU$9)),MAX(MIN('Council Entry'!AU183,'Council Entry'!AU$9),'Council Entry'!AU$8),'Council Entry'!AU183)),IF('Council Entry'!AU$4="Exponential",EXP(IF(AND(ISNUMBER('Council Entry'!AU$8),ISNUMBER('Council Entry'!AU$9)),MAX(MIN('Council Entry'!AU183,'Council Entry'!AU$9),'Council Entry'!AU$8),'Council Entry'!AU183)),IF(AND(ISNUMBER('Council Entry'!AU$8),ISNUMBER('Council Entry'!AU$9)),MAX(MIN('Council Entry'!AU183,'Council Entry'!AU$9),'Council Entry'!AU$8),'Council Entry'!AU183))))-'Council Entry'!AU$5)/('Council Entry'!AU$6-'Council Entry'!AU$5),10*((IF('Council Entry'!AU$4="Logarithm",LN(0.001+IF(AND(ISNUMBER('Council Entry'!AU$8),ISNUMBER('Council Entry'!AU$9)),MAX(MIN('Council Entry'!AU183,'Council Entry'!AU$9),'Council Entry'!AU$8),'Council Entry'!AU183)),IF('Council Entry'!AU$4="Exponential",EXP(IF(AND(ISNUMBER('Council Entry'!AU$8),ISNUMBER('Council Entry'!AU$9)),MAX(MIN('Council Entry'!AU183,'Council Entry'!AU$9),'Council Entry'!AU$8),'Council Entry'!AU183)),IF(AND(ISNUMBER('Council Entry'!AU$8),ISNUMBER('Council Entry'!AU$9)),MAX(MIN('Council Entry'!AU183,'Council Entry'!AU$9),'Council Entry'!AU$8),'Council Entry'!AU183))))-'Council Entry'!AU$5)/('Council Entry'!AU$6-'Council Entry'!AU$5)),1))),"No data"))</f>
        <v/>
      </c>
      <c r="AV183" s="13">
        <f>IF('Council Entry'!AV183="","",IFERROR(MAX(0,MIN(10,ROUND(IF('Council Entry'!AV$7="Decrease Risk",10-10*((IF('Council Entry'!AV$4="Logarithm",LN(0.001+IF(AND(ISNUMBER('Council Entry'!AV$8),ISNUMBER('Council Entry'!AV$9)),MAX(MIN('Council Entry'!AV183,'Council Entry'!AV$9),'Council Entry'!AV$8),'Council Entry'!AV183)),IF('Council Entry'!AV$4="Exponential",EXP(IF(AND(ISNUMBER('Council Entry'!AV$8),ISNUMBER('Council Entry'!AV$9)),MAX(MIN('Council Entry'!AV183,'Council Entry'!AV$9),'Council Entry'!AV$8),'Council Entry'!AV183)),IF(AND(ISNUMBER('Council Entry'!AV$8),ISNUMBER('Council Entry'!AV$9)),MAX(MIN('Council Entry'!AV183,'Council Entry'!AV$9),'Council Entry'!AV$8),'Council Entry'!AV183))))-'Council Entry'!AV$5)/('Council Entry'!AV$6-'Council Entry'!AV$5),10*((IF('Council Entry'!AV$4="Logarithm",LN(0.001+IF(AND(ISNUMBER('Council Entry'!AV$8),ISNUMBER('Council Entry'!AV$9)),MAX(MIN('Council Entry'!AV183,'Council Entry'!AV$9),'Council Entry'!AV$8),'Council Entry'!AV183)),IF('Council Entry'!AV$4="Exponential",EXP(IF(AND(ISNUMBER('Council Entry'!AV$8),ISNUMBER('Council Entry'!AV$9)),MAX(MIN('Council Entry'!AV183,'Council Entry'!AV$9),'Council Entry'!AV$8),'Council Entry'!AV183)),IF(AND(ISNUMBER('Council Entry'!AV$8),ISNUMBER('Council Entry'!AV$9)),MAX(MIN('Council Entry'!AV183,'Council Entry'!AV$9),'Council Entry'!AV$8),'Council Entry'!AV183))))-'Council Entry'!AV$5)/('Council Entry'!AV$6-'Council Entry'!AV$5)),1))),"No data"))</f>
        <v/>
      </c>
      <c r="AW183" s="13">
        <f>IF('Council Entry'!AW183="","",IFERROR(MAX(0,MIN(10,ROUND(IF('Council Entry'!AW$7="Decrease Risk",10-10*((IF('Council Entry'!AW$4="Logarithm",LN(0.001+IF(AND(ISNUMBER('Council Entry'!AW$8),ISNUMBER('Council Entry'!AW$9)),MAX(MIN('Council Entry'!AW183,'Council Entry'!AW$9),'Council Entry'!AW$8),'Council Entry'!AW183)),IF('Council Entry'!AW$4="Exponential",EXP(IF(AND(ISNUMBER('Council Entry'!AW$8),ISNUMBER('Council Entry'!AW$9)),MAX(MIN('Council Entry'!AW183,'Council Entry'!AW$9),'Council Entry'!AW$8),'Council Entry'!AW183)),IF(AND(ISNUMBER('Council Entry'!AW$8),ISNUMBER('Council Entry'!AW$9)),MAX(MIN('Council Entry'!AW183,'Council Entry'!AW$9),'Council Entry'!AW$8),'Council Entry'!AW183))))-'Council Entry'!AW$5)/('Council Entry'!AW$6-'Council Entry'!AW$5),10*((IF('Council Entry'!AW$4="Logarithm",LN(0.001+IF(AND(ISNUMBER('Council Entry'!AW$8),ISNUMBER('Council Entry'!AW$9)),MAX(MIN('Council Entry'!AW183,'Council Entry'!AW$9),'Council Entry'!AW$8),'Council Entry'!AW183)),IF('Council Entry'!AW$4="Exponential",EXP(IF(AND(ISNUMBER('Council Entry'!AW$8),ISNUMBER('Council Entry'!AW$9)),MAX(MIN('Council Entry'!AW183,'Council Entry'!AW$9),'Council Entry'!AW$8),'Council Entry'!AW183)),IF(AND(ISNUMBER('Council Entry'!AW$8),ISNUMBER('Council Entry'!AW$9)),MAX(MIN('Council Entry'!AW183,'Council Entry'!AW$9),'Council Entry'!AW$8),'Council Entry'!AW183))))-'Council Entry'!AW$5)/('Council Entry'!AW$6-'Council Entry'!AW$5)),1))),"No data"))</f>
        <v/>
      </c>
      <c r="AX183" s="13">
        <f>IF('Council Entry'!AX183="","",IFERROR(MAX(0,MIN(10,ROUND(IF('Council Entry'!AX$7="Decrease Risk",10-10*((IF('Council Entry'!AX$4="Logarithm",LN(0.001+IF(AND(ISNUMBER('Council Entry'!AX$8),ISNUMBER('Council Entry'!AX$9)),MAX(MIN('Council Entry'!AX183,'Council Entry'!AX$9),'Council Entry'!AX$8),'Council Entry'!AX183)),IF('Council Entry'!AX$4="Exponential",EXP(IF(AND(ISNUMBER('Council Entry'!AX$8),ISNUMBER('Council Entry'!AX$9)),MAX(MIN('Council Entry'!AX183,'Council Entry'!AX$9),'Council Entry'!AX$8),'Council Entry'!AX183)),IF(AND(ISNUMBER('Council Entry'!AX$8),ISNUMBER('Council Entry'!AX$9)),MAX(MIN('Council Entry'!AX183,'Council Entry'!AX$9),'Council Entry'!AX$8),'Council Entry'!AX183))))-'Council Entry'!AX$5)/('Council Entry'!AX$6-'Council Entry'!AX$5),10*((IF('Council Entry'!AX$4="Logarithm",LN(0.001+IF(AND(ISNUMBER('Council Entry'!AX$8),ISNUMBER('Council Entry'!AX$9)),MAX(MIN('Council Entry'!AX183,'Council Entry'!AX$9),'Council Entry'!AX$8),'Council Entry'!AX183)),IF('Council Entry'!AX$4="Exponential",EXP(IF(AND(ISNUMBER('Council Entry'!AX$8),ISNUMBER('Council Entry'!AX$9)),MAX(MIN('Council Entry'!AX183,'Council Entry'!AX$9),'Council Entry'!AX$8),'Council Entry'!AX183)),IF(AND(ISNUMBER('Council Entry'!AX$8),ISNUMBER('Council Entry'!AX$9)),MAX(MIN('Council Entry'!AX183,'Council Entry'!AX$9),'Council Entry'!AX$8),'Council Entry'!AX183))))-'Council Entry'!AX$5)/('Council Entry'!AX$6-'Council Entry'!AX$5)),1))),"No data"))</f>
        <v/>
      </c>
      <c r="AY183" s="13">
        <f>IF('Council Entry'!AY183="","",IFERROR(MAX(0,MIN(10,ROUND(IF('Council Entry'!AY$7="Decrease Risk",10-10*((IF('Council Entry'!AY$4="Logarithm",LN(0.001+IF(AND(ISNUMBER('Council Entry'!AY$8),ISNUMBER('Council Entry'!AY$9)),MAX(MIN('Council Entry'!AY183,'Council Entry'!AY$9),'Council Entry'!AY$8),'Council Entry'!AY183)),IF('Council Entry'!AY$4="Exponential",EXP(IF(AND(ISNUMBER('Council Entry'!AY$8),ISNUMBER('Council Entry'!AY$9)),MAX(MIN('Council Entry'!AY183,'Council Entry'!AY$9),'Council Entry'!AY$8),'Council Entry'!AY183)),IF(AND(ISNUMBER('Council Entry'!AY$8),ISNUMBER('Council Entry'!AY$9)),MAX(MIN('Council Entry'!AY183,'Council Entry'!AY$9),'Council Entry'!AY$8),'Council Entry'!AY183))))-'Council Entry'!AY$5)/('Council Entry'!AY$6-'Council Entry'!AY$5),10*((IF('Council Entry'!AY$4="Logarithm",LN(0.001+IF(AND(ISNUMBER('Council Entry'!AY$8),ISNUMBER('Council Entry'!AY$9)),MAX(MIN('Council Entry'!AY183,'Council Entry'!AY$9),'Council Entry'!AY$8),'Council Entry'!AY183)),IF('Council Entry'!AY$4="Exponential",EXP(IF(AND(ISNUMBER('Council Entry'!AY$8),ISNUMBER('Council Entry'!AY$9)),MAX(MIN('Council Entry'!AY183,'Council Entry'!AY$9),'Council Entry'!AY$8),'Council Entry'!AY183)),IF(AND(ISNUMBER('Council Entry'!AY$8),ISNUMBER('Council Entry'!AY$9)),MAX(MIN('Council Entry'!AY183,'Council Entry'!AY$9),'Council Entry'!AY$8),'Council Entry'!AY183))))-'Council Entry'!AY$5)/('Council Entry'!AY$6-'Council Entry'!AY$5)),1))),"No data"))</f>
        <v/>
      </c>
      <c r="AZ183" s="13">
        <f>IF('Council Entry'!AZ183="","",IFERROR(MAX(0,MIN(10,ROUND(IF('Council Entry'!AZ$7="Decrease Risk",10-10*((IF('Council Entry'!AZ$4="Logarithm",LN(0.001+IF(AND(ISNUMBER('Council Entry'!AZ$8),ISNUMBER('Council Entry'!AZ$9)),MAX(MIN('Council Entry'!AZ183,'Council Entry'!AZ$9),'Council Entry'!AZ$8),'Council Entry'!AZ183)),IF('Council Entry'!AZ$4="Exponential",EXP(IF(AND(ISNUMBER('Council Entry'!AZ$8),ISNUMBER('Council Entry'!AZ$9)),MAX(MIN('Council Entry'!AZ183,'Council Entry'!AZ$9),'Council Entry'!AZ$8),'Council Entry'!AZ183)),IF(AND(ISNUMBER('Council Entry'!AZ$8),ISNUMBER('Council Entry'!AZ$9)),MAX(MIN('Council Entry'!AZ183,'Council Entry'!AZ$9),'Council Entry'!AZ$8),'Council Entry'!AZ183))))-'Council Entry'!AZ$5)/('Council Entry'!AZ$6-'Council Entry'!AZ$5),10*((IF('Council Entry'!AZ$4="Logarithm",LN(0.001+IF(AND(ISNUMBER('Council Entry'!AZ$8),ISNUMBER('Council Entry'!AZ$9)),MAX(MIN('Council Entry'!AZ183,'Council Entry'!AZ$9),'Council Entry'!AZ$8),'Council Entry'!AZ183)),IF('Council Entry'!AZ$4="Exponential",EXP(IF(AND(ISNUMBER('Council Entry'!AZ$8),ISNUMBER('Council Entry'!AZ$9)),MAX(MIN('Council Entry'!AZ183,'Council Entry'!AZ$9),'Council Entry'!AZ$8),'Council Entry'!AZ183)),IF(AND(ISNUMBER('Council Entry'!AZ$8),ISNUMBER('Council Entry'!AZ$9)),MAX(MIN('Council Entry'!AZ183,'Council Entry'!AZ$9),'Council Entry'!AZ$8),'Council Entry'!AZ183))))-'Council Entry'!AZ$5)/('Council Entry'!AZ$6-'Council Entry'!AZ$5)),1))),"No data"))</f>
        <v/>
      </c>
      <c r="BA183" s="13">
        <f>IF('Council Entry'!BA183="","",IFERROR(MAX(0,MIN(10,ROUND(IF('Council Entry'!BA$7="Decrease Risk",10-10*((IF('Council Entry'!BA$4="Logarithm",LN(0.001+IF(AND(ISNUMBER('Council Entry'!BA$8),ISNUMBER('Council Entry'!BA$9)),MAX(MIN('Council Entry'!BA183,'Council Entry'!BA$9),'Council Entry'!BA$8),'Council Entry'!BA183)),IF('Council Entry'!BA$4="Exponential",EXP(IF(AND(ISNUMBER('Council Entry'!BA$8),ISNUMBER('Council Entry'!BA$9)),MAX(MIN('Council Entry'!BA183,'Council Entry'!BA$9),'Council Entry'!BA$8),'Council Entry'!BA183)),IF(AND(ISNUMBER('Council Entry'!BA$8),ISNUMBER('Council Entry'!BA$9)),MAX(MIN('Council Entry'!BA183,'Council Entry'!BA$9),'Council Entry'!BA$8),'Council Entry'!BA183))))-'Council Entry'!BA$5)/('Council Entry'!BA$6-'Council Entry'!BA$5),10*((IF('Council Entry'!BA$4="Logarithm",LN(0.001+IF(AND(ISNUMBER('Council Entry'!BA$8),ISNUMBER('Council Entry'!BA$9)),MAX(MIN('Council Entry'!BA183,'Council Entry'!BA$9),'Council Entry'!BA$8),'Council Entry'!BA183)),IF('Council Entry'!BA$4="Exponential",EXP(IF(AND(ISNUMBER('Council Entry'!BA$8),ISNUMBER('Council Entry'!BA$9)),MAX(MIN('Council Entry'!BA183,'Council Entry'!BA$9),'Council Entry'!BA$8),'Council Entry'!BA183)),IF(AND(ISNUMBER('Council Entry'!BA$8),ISNUMBER('Council Entry'!BA$9)),MAX(MIN('Council Entry'!BA183,'Council Entry'!BA$9),'Council Entry'!BA$8),'Council Entry'!BA183))))-'Council Entry'!BA$5)/('Council Entry'!BA$6-'Council Entry'!BA$5)),1))),"No data"))</f>
        <v/>
      </c>
      <c r="BB183" s="13">
        <f>IF('Council Entry'!BB183="","",IFERROR(MAX(0,MIN(10,ROUND(IF('Council Entry'!BB$7="Decrease Risk",10-10*((IF('Council Entry'!BB$4="Logarithm",LN(0.001+IF(AND(ISNUMBER('Council Entry'!BB$8),ISNUMBER('Council Entry'!BB$9)),MAX(MIN('Council Entry'!BB183,'Council Entry'!BB$9),'Council Entry'!BB$8),'Council Entry'!BB183)),IF('Council Entry'!BB$4="Exponential",EXP(IF(AND(ISNUMBER('Council Entry'!BB$8),ISNUMBER('Council Entry'!BB$9)),MAX(MIN('Council Entry'!BB183,'Council Entry'!BB$9),'Council Entry'!BB$8),'Council Entry'!BB183)),IF(AND(ISNUMBER('Council Entry'!BB$8),ISNUMBER('Council Entry'!BB$9)),MAX(MIN('Council Entry'!BB183,'Council Entry'!BB$9),'Council Entry'!BB$8),'Council Entry'!BB183))))-'Council Entry'!BB$5)/('Council Entry'!BB$6-'Council Entry'!BB$5),10*((IF('Council Entry'!BB$4="Logarithm",LN(0.001+IF(AND(ISNUMBER('Council Entry'!BB$8),ISNUMBER('Council Entry'!BB$9)),MAX(MIN('Council Entry'!BB183,'Council Entry'!BB$9),'Council Entry'!BB$8),'Council Entry'!BB183)),IF('Council Entry'!BB$4="Exponential",EXP(IF(AND(ISNUMBER('Council Entry'!BB$8),ISNUMBER('Council Entry'!BB$9)),MAX(MIN('Council Entry'!BB183,'Council Entry'!BB$9),'Council Entry'!BB$8),'Council Entry'!BB183)),IF(AND(ISNUMBER('Council Entry'!BB$8),ISNUMBER('Council Entry'!BB$9)),MAX(MIN('Council Entry'!BB183,'Council Entry'!BB$9),'Council Entry'!BB$8),'Council Entry'!BB183))))-'Council Entry'!BB$5)/('Council Entry'!BB$6-'Council Entry'!BB$5)),1))),"No data"))</f>
        <v/>
      </c>
      <c r="BC183" s="13">
        <f>IF('Council Entry'!BC183="","",IFERROR(MAX(0,MIN(10,ROUND(IF('Council Entry'!BC$7="Decrease Risk",10-10*((IF('Council Entry'!BC$4="Logarithm",LN(0.001+IF(AND(ISNUMBER('Council Entry'!BC$8),ISNUMBER('Council Entry'!BC$9)),MAX(MIN('Council Entry'!BC183,'Council Entry'!BC$9),'Council Entry'!BC$8),'Council Entry'!BC183)),IF('Council Entry'!BC$4="Exponential",EXP(IF(AND(ISNUMBER('Council Entry'!BC$8),ISNUMBER('Council Entry'!BC$9)),MAX(MIN('Council Entry'!BC183,'Council Entry'!BC$9),'Council Entry'!BC$8),'Council Entry'!BC183)),IF(AND(ISNUMBER('Council Entry'!BC$8),ISNUMBER('Council Entry'!BC$9)),MAX(MIN('Council Entry'!BC183,'Council Entry'!BC$9),'Council Entry'!BC$8),'Council Entry'!BC183))))-'Council Entry'!BC$5)/('Council Entry'!BC$6-'Council Entry'!BC$5),10*((IF('Council Entry'!BC$4="Logarithm",LN(0.001+IF(AND(ISNUMBER('Council Entry'!BC$8),ISNUMBER('Council Entry'!BC$9)),MAX(MIN('Council Entry'!BC183,'Council Entry'!BC$9),'Council Entry'!BC$8),'Council Entry'!BC183)),IF('Council Entry'!BC$4="Exponential",EXP(IF(AND(ISNUMBER('Council Entry'!BC$8),ISNUMBER('Council Entry'!BC$9)),MAX(MIN('Council Entry'!BC183,'Council Entry'!BC$9),'Council Entry'!BC$8),'Council Entry'!BC183)),IF(AND(ISNUMBER('Council Entry'!BC$8),ISNUMBER('Council Entry'!BC$9)),MAX(MIN('Council Entry'!BC183,'Council Entry'!BC$9),'Council Entry'!BC$8),'Council Entry'!BC183))))-'Council Entry'!BC$5)/('Council Entry'!BC$6-'Council Entry'!BC$5)),1))),"No data"))</f>
        <v/>
      </c>
      <c r="BD183" s="13">
        <f>IF('Council Entry'!BD183="","",IFERROR(MAX(0,MIN(10,ROUND(IF('Council Entry'!BD$7="Decrease Risk",10-10*((IF('Council Entry'!BD$4="Logarithm",LN(0.001+IF(AND(ISNUMBER('Council Entry'!BD$8),ISNUMBER('Council Entry'!BD$9)),MAX(MIN('Council Entry'!BD183,'Council Entry'!BD$9),'Council Entry'!BD$8),'Council Entry'!BD183)),IF('Council Entry'!BD$4="Exponential",EXP(IF(AND(ISNUMBER('Council Entry'!BD$8),ISNUMBER('Council Entry'!BD$9)),MAX(MIN('Council Entry'!BD183,'Council Entry'!BD$9),'Council Entry'!BD$8),'Council Entry'!BD183)),IF(AND(ISNUMBER('Council Entry'!BD$8),ISNUMBER('Council Entry'!BD$9)),MAX(MIN('Council Entry'!BD183,'Council Entry'!BD$9),'Council Entry'!BD$8),'Council Entry'!BD183))))-'Council Entry'!BD$5)/('Council Entry'!BD$6-'Council Entry'!BD$5),10*((IF('Council Entry'!BD$4="Logarithm",LN(0.001+IF(AND(ISNUMBER('Council Entry'!BD$8),ISNUMBER('Council Entry'!BD$9)),MAX(MIN('Council Entry'!BD183,'Council Entry'!BD$9),'Council Entry'!BD$8),'Council Entry'!BD183)),IF('Council Entry'!BD$4="Exponential",EXP(IF(AND(ISNUMBER('Council Entry'!BD$8),ISNUMBER('Council Entry'!BD$9)),MAX(MIN('Council Entry'!BD183,'Council Entry'!BD$9),'Council Entry'!BD$8),'Council Entry'!BD183)),IF(AND(ISNUMBER('Council Entry'!BD$8),ISNUMBER('Council Entry'!BD$9)),MAX(MIN('Council Entry'!BD183,'Council Entry'!BD$9),'Council Entry'!BD$8),'Council Entry'!BD183))))-'Council Entry'!BD$5)/('Council Entry'!BD$6-'Council Entry'!BD$5)),1))),"No data"))</f>
        <v/>
      </c>
    </row>
    <row r="184">
      <c r="A184" t="inlineStr">
        <is>
          <t>Songwe</t>
        </is>
      </c>
      <c r="B184" t="inlineStr">
        <is>
          <t>Momba District</t>
        </is>
      </c>
      <c r="C184" t="inlineStr">
        <is>
          <t>C180</t>
        </is>
      </c>
      <c r="D184" s="13">
        <f>IF('Council Entry'!D184="","",IFERROR(MAX(0,MIN(10,ROUND(IF('Council Entry'!D$7="Decrease Risk",10-10*((IF('Council Entry'!D$4="Logarithm",LN(0.001+IF(AND(ISNUMBER('Council Entry'!D$8),ISNUMBER('Council Entry'!D$9)),MAX(MIN('Council Entry'!D184,'Council Entry'!D$9),'Council Entry'!D$8),'Council Entry'!D184)),IF('Council Entry'!D$4="Exponential",EXP(IF(AND(ISNUMBER('Council Entry'!D$8),ISNUMBER('Council Entry'!D$9)),MAX(MIN('Council Entry'!D184,'Council Entry'!D$9),'Council Entry'!D$8),'Council Entry'!D184)),IF(AND(ISNUMBER('Council Entry'!D$8),ISNUMBER('Council Entry'!D$9)),MAX(MIN('Council Entry'!D184,'Council Entry'!D$9),'Council Entry'!D$8),'Council Entry'!D184))))-'Council Entry'!D$5)/('Council Entry'!D$6-'Council Entry'!D$5),10*((IF('Council Entry'!D$4="Logarithm",LN(0.001+IF(AND(ISNUMBER('Council Entry'!D$8),ISNUMBER('Council Entry'!D$9)),MAX(MIN('Council Entry'!D184,'Council Entry'!D$9),'Council Entry'!D$8),'Council Entry'!D184)),IF('Council Entry'!D$4="Exponential",EXP(IF(AND(ISNUMBER('Council Entry'!D$8),ISNUMBER('Council Entry'!D$9)),MAX(MIN('Council Entry'!D184,'Council Entry'!D$9),'Council Entry'!D$8),'Council Entry'!D184)),IF(AND(ISNUMBER('Council Entry'!D$8),ISNUMBER('Council Entry'!D$9)),MAX(MIN('Council Entry'!D184,'Council Entry'!D$9),'Council Entry'!D$8),'Council Entry'!D184))))-'Council Entry'!D$5)/('Council Entry'!D$6-'Council Entry'!D$5)),1))),"No data"))</f>
        <v/>
      </c>
      <c r="E184" s="13">
        <f>IF('Council Entry'!E184="","",IFERROR(MAX(0,MIN(10,ROUND(IF('Council Entry'!E$7="Decrease Risk",10-10*((IF('Council Entry'!E$4="Logarithm",LN(0.001+IF(AND(ISNUMBER('Council Entry'!E$8),ISNUMBER('Council Entry'!E$9)),MAX(MIN('Council Entry'!E184,'Council Entry'!E$9),'Council Entry'!E$8),'Council Entry'!E184)),IF('Council Entry'!E$4="Exponential",EXP(IF(AND(ISNUMBER('Council Entry'!E$8),ISNUMBER('Council Entry'!E$9)),MAX(MIN('Council Entry'!E184,'Council Entry'!E$9),'Council Entry'!E$8),'Council Entry'!E184)),IF(AND(ISNUMBER('Council Entry'!E$8),ISNUMBER('Council Entry'!E$9)),MAX(MIN('Council Entry'!E184,'Council Entry'!E$9),'Council Entry'!E$8),'Council Entry'!E184))))-'Council Entry'!E$5)/('Council Entry'!E$6-'Council Entry'!E$5),10*((IF('Council Entry'!E$4="Logarithm",LN(0.001+IF(AND(ISNUMBER('Council Entry'!E$8),ISNUMBER('Council Entry'!E$9)),MAX(MIN('Council Entry'!E184,'Council Entry'!E$9),'Council Entry'!E$8),'Council Entry'!E184)),IF('Council Entry'!E$4="Exponential",EXP(IF(AND(ISNUMBER('Council Entry'!E$8),ISNUMBER('Council Entry'!E$9)),MAX(MIN('Council Entry'!E184,'Council Entry'!E$9),'Council Entry'!E$8),'Council Entry'!E184)),IF(AND(ISNUMBER('Council Entry'!E$8),ISNUMBER('Council Entry'!E$9)),MAX(MIN('Council Entry'!E184,'Council Entry'!E$9),'Council Entry'!E$8),'Council Entry'!E184))))-'Council Entry'!E$5)/('Council Entry'!E$6-'Council Entry'!E$5)),1))),"No data"))</f>
        <v/>
      </c>
      <c r="F184" s="13">
        <f>IF('Council Entry'!F184="","",IFERROR(MAX(0,MIN(10,ROUND(IF('Council Entry'!F$7="Decrease Risk",10-10*((IF('Council Entry'!F$4="Logarithm",LN(0.001+IF(AND(ISNUMBER('Council Entry'!F$8),ISNUMBER('Council Entry'!F$9)),MAX(MIN('Council Entry'!F184,'Council Entry'!F$9),'Council Entry'!F$8),'Council Entry'!F184)),IF('Council Entry'!F$4="Exponential",EXP(IF(AND(ISNUMBER('Council Entry'!F$8),ISNUMBER('Council Entry'!F$9)),MAX(MIN('Council Entry'!F184,'Council Entry'!F$9),'Council Entry'!F$8),'Council Entry'!F184)),IF(AND(ISNUMBER('Council Entry'!F$8),ISNUMBER('Council Entry'!F$9)),MAX(MIN('Council Entry'!F184,'Council Entry'!F$9),'Council Entry'!F$8),'Council Entry'!F184))))-'Council Entry'!F$5)/('Council Entry'!F$6-'Council Entry'!F$5),10*((IF('Council Entry'!F$4="Logarithm",LN(0.001+IF(AND(ISNUMBER('Council Entry'!F$8),ISNUMBER('Council Entry'!F$9)),MAX(MIN('Council Entry'!F184,'Council Entry'!F$9),'Council Entry'!F$8),'Council Entry'!F184)),IF('Council Entry'!F$4="Exponential",EXP(IF(AND(ISNUMBER('Council Entry'!F$8),ISNUMBER('Council Entry'!F$9)),MAX(MIN('Council Entry'!F184,'Council Entry'!F$9),'Council Entry'!F$8),'Council Entry'!F184)),IF(AND(ISNUMBER('Council Entry'!F$8),ISNUMBER('Council Entry'!F$9)),MAX(MIN('Council Entry'!F184,'Council Entry'!F$9),'Council Entry'!F$8),'Council Entry'!F184))))-'Council Entry'!F$5)/('Council Entry'!F$6-'Council Entry'!F$5)),1))),"No data"))</f>
        <v/>
      </c>
      <c r="G184" s="13">
        <f>IF('Council Entry'!G184="","",IFERROR(MAX(0,MIN(10,ROUND(IF('Council Entry'!G$7="Decrease Risk",10-10*((IF('Council Entry'!G$4="Logarithm",LN(0.001+IF(AND(ISNUMBER('Council Entry'!G$8),ISNUMBER('Council Entry'!G$9)),MAX(MIN('Council Entry'!G184,'Council Entry'!G$9),'Council Entry'!G$8),'Council Entry'!G184)),IF('Council Entry'!G$4="Exponential",EXP(IF(AND(ISNUMBER('Council Entry'!G$8),ISNUMBER('Council Entry'!G$9)),MAX(MIN('Council Entry'!G184,'Council Entry'!G$9),'Council Entry'!G$8),'Council Entry'!G184)),IF(AND(ISNUMBER('Council Entry'!G$8),ISNUMBER('Council Entry'!G$9)),MAX(MIN('Council Entry'!G184,'Council Entry'!G$9),'Council Entry'!G$8),'Council Entry'!G184))))-'Council Entry'!G$5)/('Council Entry'!G$6-'Council Entry'!G$5),10*((IF('Council Entry'!G$4="Logarithm",LN(0.001+IF(AND(ISNUMBER('Council Entry'!G$8),ISNUMBER('Council Entry'!G$9)),MAX(MIN('Council Entry'!G184,'Council Entry'!G$9),'Council Entry'!G$8),'Council Entry'!G184)),IF('Council Entry'!G$4="Exponential",EXP(IF(AND(ISNUMBER('Council Entry'!G$8),ISNUMBER('Council Entry'!G$9)),MAX(MIN('Council Entry'!G184,'Council Entry'!G$9),'Council Entry'!G$8),'Council Entry'!G184)),IF(AND(ISNUMBER('Council Entry'!G$8),ISNUMBER('Council Entry'!G$9)),MAX(MIN('Council Entry'!G184,'Council Entry'!G$9),'Council Entry'!G$8),'Council Entry'!G184))))-'Council Entry'!G$5)/('Council Entry'!G$6-'Council Entry'!G$5)),1))),"No data"))</f>
        <v/>
      </c>
      <c r="H184" s="13">
        <f>IF('Council Entry'!H184="","",IFERROR(MAX(0,MIN(10,ROUND(IF('Council Entry'!H$7="Decrease Risk",10-10*((IF('Council Entry'!H$4="Logarithm",LN(0.001+IF(AND(ISNUMBER('Council Entry'!H$8),ISNUMBER('Council Entry'!H$9)),MAX(MIN('Council Entry'!H184,'Council Entry'!H$9),'Council Entry'!H$8),'Council Entry'!H184)),IF('Council Entry'!H$4="Exponential",EXP(IF(AND(ISNUMBER('Council Entry'!H$8),ISNUMBER('Council Entry'!H$9)),MAX(MIN('Council Entry'!H184,'Council Entry'!H$9),'Council Entry'!H$8),'Council Entry'!H184)),IF(AND(ISNUMBER('Council Entry'!H$8),ISNUMBER('Council Entry'!H$9)),MAX(MIN('Council Entry'!H184,'Council Entry'!H$9),'Council Entry'!H$8),'Council Entry'!H184))))-'Council Entry'!H$5)/('Council Entry'!H$6-'Council Entry'!H$5),10*((IF('Council Entry'!H$4="Logarithm",LN(0.001+IF(AND(ISNUMBER('Council Entry'!H$8),ISNUMBER('Council Entry'!H$9)),MAX(MIN('Council Entry'!H184,'Council Entry'!H$9),'Council Entry'!H$8),'Council Entry'!H184)),IF('Council Entry'!H$4="Exponential",EXP(IF(AND(ISNUMBER('Council Entry'!H$8),ISNUMBER('Council Entry'!H$9)),MAX(MIN('Council Entry'!H184,'Council Entry'!H$9),'Council Entry'!H$8),'Council Entry'!H184)),IF(AND(ISNUMBER('Council Entry'!H$8),ISNUMBER('Council Entry'!H$9)),MAX(MIN('Council Entry'!H184,'Council Entry'!H$9),'Council Entry'!H$8),'Council Entry'!H184))))-'Council Entry'!H$5)/('Council Entry'!H$6-'Council Entry'!H$5)),1))),"No data"))</f>
        <v/>
      </c>
      <c r="I184" s="13">
        <f>IF('Council Entry'!I184="","",IFERROR(MAX(0,MIN(10,ROUND(IF('Council Entry'!I$7="Decrease Risk",10-10*((IF('Council Entry'!I$4="Logarithm",LN(0.001+IF(AND(ISNUMBER('Council Entry'!I$8),ISNUMBER('Council Entry'!I$9)),MAX(MIN('Council Entry'!I184,'Council Entry'!I$9),'Council Entry'!I$8),'Council Entry'!I184)),IF('Council Entry'!I$4="Exponential",EXP(IF(AND(ISNUMBER('Council Entry'!I$8),ISNUMBER('Council Entry'!I$9)),MAX(MIN('Council Entry'!I184,'Council Entry'!I$9),'Council Entry'!I$8),'Council Entry'!I184)),IF(AND(ISNUMBER('Council Entry'!I$8),ISNUMBER('Council Entry'!I$9)),MAX(MIN('Council Entry'!I184,'Council Entry'!I$9),'Council Entry'!I$8),'Council Entry'!I184))))-'Council Entry'!I$5)/('Council Entry'!I$6-'Council Entry'!I$5),10*((IF('Council Entry'!I$4="Logarithm",LN(0.001+IF(AND(ISNUMBER('Council Entry'!I$8),ISNUMBER('Council Entry'!I$9)),MAX(MIN('Council Entry'!I184,'Council Entry'!I$9),'Council Entry'!I$8),'Council Entry'!I184)),IF('Council Entry'!I$4="Exponential",EXP(IF(AND(ISNUMBER('Council Entry'!I$8),ISNUMBER('Council Entry'!I$9)),MAX(MIN('Council Entry'!I184,'Council Entry'!I$9),'Council Entry'!I$8),'Council Entry'!I184)),IF(AND(ISNUMBER('Council Entry'!I$8),ISNUMBER('Council Entry'!I$9)),MAX(MIN('Council Entry'!I184,'Council Entry'!I$9),'Council Entry'!I$8),'Council Entry'!I184))))-'Council Entry'!I$5)/('Council Entry'!I$6-'Council Entry'!I$5)),1))),"No data"))</f>
        <v/>
      </c>
      <c r="J184" s="13">
        <f>IF('Council Entry'!J184="","",IFERROR(MAX(0,MIN(10,ROUND(IF('Council Entry'!J$7="Decrease Risk",10-10*((IF('Council Entry'!J$4="Logarithm",LN(0.001+IF(AND(ISNUMBER('Council Entry'!J$8),ISNUMBER('Council Entry'!J$9)),MAX(MIN('Council Entry'!J184,'Council Entry'!J$9),'Council Entry'!J$8),'Council Entry'!J184)),IF('Council Entry'!J$4="Exponential",EXP(IF(AND(ISNUMBER('Council Entry'!J$8),ISNUMBER('Council Entry'!J$9)),MAX(MIN('Council Entry'!J184,'Council Entry'!J$9),'Council Entry'!J$8),'Council Entry'!J184)),IF(AND(ISNUMBER('Council Entry'!J$8),ISNUMBER('Council Entry'!J$9)),MAX(MIN('Council Entry'!J184,'Council Entry'!J$9),'Council Entry'!J$8),'Council Entry'!J184))))-'Council Entry'!J$5)/('Council Entry'!J$6-'Council Entry'!J$5),10*((IF('Council Entry'!J$4="Logarithm",LN(0.001+IF(AND(ISNUMBER('Council Entry'!J$8),ISNUMBER('Council Entry'!J$9)),MAX(MIN('Council Entry'!J184,'Council Entry'!J$9),'Council Entry'!J$8),'Council Entry'!J184)),IF('Council Entry'!J$4="Exponential",EXP(IF(AND(ISNUMBER('Council Entry'!J$8),ISNUMBER('Council Entry'!J$9)),MAX(MIN('Council Entry'!J184,'Council Entry'!J$9),'Council Entry'!J$8),'Council Entry'!J184)),IF(AND(ISNUMBER('Council Entry'!J$8),ISNUMBER('Council Entry'!J$9)),MAX(MIN('Council Entry'!J184,'Council Entry'!J$9),'Council Entry'!J$8),'Council Entry'!J184))))-'Council Entry'!J$5)/('Council Entry'!J$6-'Council Entry'!J$5)),1))),"No data"))</f>
        <v/>
      </c>
      <c r="K184" s="13">
        <f>IF('Council Entry'!K184="","",IFERROR(MAX(0,MIN(10,ROUND(IF('Council Entry'!K$7="Decrease Risk",10-10*((IF('Council Entry'!K$4="Logarithm",LN(0.001+IF(AND(ISNUMBER('Council Entry'!K$8),ISNUMBER('Council Entry'!K$9)),MAX(MIN('Council Entry'!K184,'Council Entry'!K$9),'Council Entry'!K$8),'Council Entry'!K184)),IF('Council Entry'!K$4="Exponential",EXP(IF(AND(ISNUMBER('Council Entry'!K$8),ISNUMBER('Council Entry'!K$9)),MAX(MIN('Council Entry'!K184,'Council Entry'!K$9),'Council Entry'!K$8),'Council Entry'!K184)),IF(AND(ISNUMBER('Council Entry'!K$8),ISNUMBER('Council Entry'!K$9)),MAX(MIN('Council Entry'!K184,'Council Entry'!K$9),'Council Entry'!K$8),'Council Entry'!K184))))-'Council Entry'!K$5)/('Council Entry'!K$6-'Council Entry'!K$5),10*((IF('Council Entry'!K$4="Logarithm",LN(0.001+IF(AND(ISNUMBER('Council Entry'!K$8),ISNUMBER('Council Entry'!K$9)),MAX(MIN('Council Entry'!K184,'Council Entry'!K$9),'Council Entry'!K$8),'Council Entry'!K184)),IF('Council Entry'!K$4="Exponential",EXP(IF(AND(ISNUMBER('Council Entry'!K$8),ISNUMBER('Council Entry'!K$9)),MAX(MIN('Council Entry'!K184,'Council Entry'!K$9),'Council Entry'!K$8),'Council Entry'!K184)),IF(AND(ISNUMBER('Council Entry'!K$8),ISNUMBER('Council Entry'!K$9)),MAX(MIN('Council Entry'!K184,'Council Entry'!K$9),'Council Entry'!K$8),'Council Entry'!K184))))-'Council Entry'!K$5)/('Council Entry'!K$6-'Council Entry'!K$5)),1))),"No data"))</f>
        <v/>
      </c>
      <c r="L184" s="13">
        <f>IF('Council Entry'!L184="","",IFERROR(MAX(0,MIN(10,ROUND(IF('Council Entry'!L$7="Decrease Risk",10-10*((IF('Council Entry'!L$4="Logarithm",LN(0.001+IF(AND(ISNUMBER('Council Entry'!L$8),ISNUMBER('Council Entry'!L$9)),MAX(MIN('Council Entry'!L184,'Council Entry'!L$9),'Council Entry'!L$8),'Council Entry'!L184)),IF('Council Entry'!L$4="Exponential",EXP(IF(AND(ISNUMBER('Council Entry'!L$8),ISNUMBER('Council Entry'!L$9)),MAX(MIN('Council Entry'!L184,'Council Entry'!L$9),'Council Entry'!L$8),'Council Entry'!L184)),IF(AND(ISNUMBER('Council Entry'!L$8),ISNUMBER('Council Entry'!L$9)),MAX(MIN('Council Entry'!L184,'Council Entry'!L$9),'Council Entry'!L$8),'Council Entry'!L184))))-'Council Entry'!L$5)/('Council Entry'!L$6-'Council Entry'!L$5),10*((IF('Council Entry'!L$4="Logarithm",LN(0.001+IF(AND(ISNUMBER('Council Entry'!L$8),ISNUMBER('Council Entry'!L$9)),MAX(MIN('Council Entry'!L184,'Council Entry'!L$9),'Council Entry'!L$8),'Council Entry'!L184)),IF('Council Entry'!L$4="Exponential",EXP(IF(AND(ISNUMBER('Council Entry'!L$8),ISNUMBER('Council Entry'!L$9)),MAX(MIN('Council Entry'!L184,'Council Entry'!L$9),'Council Entry'!L$8),'Council Entry'!L184)),IF(AND(ISNUMBER('Council Entry'!L$8),ISNUMBER('Council Entry'!L$9)),MAX(MIN('Council Entry'!L184,'Council Entry'!L$9),'Council Entry'!L$8),'Council Entry'!L184))))-'Council Entry'!L$5)/('Council Entry'!L$6-'Council Entry'!L$5)),1))),"No data"))</f>
        <v/>
      </c>
      <c r="M184" s="13">
        <f>IF('Council Entry'!M184="","",IFERROR(MAX(0,MIN(10,ROUND(IF('Council Entry'!M$7="Decrease Risk",10-10*((IF('Council Entry'!M$4="Logarithm",LN(0.001+IF(AND(ISNUMBER('Council Entry'!M$8),ISNUMBER('Council Entry'!M$9)),MAX(MIN('Council Entry'!M184,'Council Entry'!M$9),'Council Entry'!M$8),'Council Entry'!M184)),IF('Council Entry'!M$4="Exponential",EXP(IF(AND(ISNUMBER('Council Entry'!M$8),ISNUMBER('Council Entry'!M$9)),MAX(MIN('Council Entry'!M184,'Council Entry'!M$9),'Council Entry'!M$8),'Council Entry'!M184)),IF(AND(ISNUMBER('Council Entry'!M$8),ISNUMBER('Council Entry'!M$9)),MAX(MIN('Council Entry'!M184,'Council Entry'!M$9),'Council Entry'!M$8),'Council Entry'!M184))))-'Council Entry'!M$5)/('Council Entry'!M$6-'Council Entry'!M$5),10*((IF('Council Entry'!M$4="Logarithm",LN(0.001+IF(AND(ISNUMBER('Council Entry'!M$8),ISNUMBER('Council Entry'!M$9)),MAX(MIN('Council Entry'!M184,'Council Entry'!M$9),'Council Entry'!M$8),'Council Entry'!M184)),IF('Council Entry'!M$4="Exponential",EXP(IF(AND(ISNUMBER('Council Entry'!M$8),ISNUMBER('Council Entry'!M$9)),MAX(MIN('Council Entry'!M184,'Council Entry'!M$9),'Council Entry'!M$8),'Council Entry'!M184)),IF(AND(ISNUMBER('Council Entry'!M$8),ISNUMBER('Council Entry'!M$9)),MAX(MIN('Council Entry'!M184,'Council Entry'!M$9),'Council Entry'!M$8),'Council Entry'!M184))))-'Council Entry'!M$5)/('Council Entry'!M$6-'Council Entry'!M$5)),1))),"No data"))</f>
        <v/>
      </c>
      <c r="N184" s="13">
        <f>IF('Council Entry'!N184="","",IFERROR(MAX(0,MIN(10,ROUND(IF('Council Entry'!N$7="Decrease Risk",10-10*((IF('Council Entry'!N$4="Logarithm",LN(0.001+IF(AND(ISNUMBER('Council Entry'!N$8),ISNUMBER('Council Entry'!N$9)),MAX(MIN('Council Entry'!N184,'Council Entry'!N$9),'Council Entry'!N$8),'Council Entry'!N184)),IF('Council Entry'!N$4="Exponential",EXP(IF(AND(ISNUMBER('Council Entry'!N$8),ISNUMBER('Council Entry'!N$9)),MAX(MIN('Council Entry'!N184,'Council Entry'!N$9),'Council Entry'!N$8),'Council Entry'!N184)),IF(AND(ISNUMBER('Council Entry'!N$8),ISNUMBER('Council Entry'!N$9)),MAX(MIN('Council Entry'!N184,'Council Entry'!N$9),'Council Entry'!N$8),'Council Entry'!N184))))-'Council Entry'!N$5)/('Council Entry'!N$6-'Council Entry'!N$5),10*((IF('Council Entry'!N$4="Logarithm",LN(0.001+IF(AND(ISNUMBER('Council Entry'!N$8),ISNUMBER('Council Entry'!N$9)),MAX(MIN('Council Entry'!N184,'Council Entry'!N$9),'Council Entry'!N$8),'Council Entry'!N184)),IF('Council Entry'!N$4="Exponential",EXP(IF(AND(ISNUMBER('Council Entry'!N$8),ISNUMBER('Council Entry'!N$9)),MAX(MIN('Council Entry'!N184,'Council Entry'!N$9),'Council Entry'!N$8),'Council Entry'!N184)),IF(AND(ISNUMBER('Council Entry'!N$8),ISNUMBER('Council Entry'!N$9)),MAX(MIN('Council Entry'!N184,'Council Entry'!N$9),'Council Entry'!N$8),'Council Entry'!N184))))-'Council Entry'!N$5)/('Council Entry'!N$6-'Council Entry'!N$5)),1))),"No data"))</f>
        <v/>
      </c>
      <c r="O184" s="13">
        <f>IF('Council Entry'!O184="","",IFERROR(MAX(0,MIN(10,ROUND(IF('Council Entry'!O$7="Decrease Risk",10-10*((IF('Council Entry'!O$4="Logarithm",LN(0.001+IF(AND(ISNUMBER('Council Entry'!O$8),ISNUMBER('Council Entry'!O$9)),MAX(MIN('Council Entry'!O184,'Council Entry'!O$9),'Council Entry'!O$8),'Council Entry'!O184)),IF('Council Entry'!O$4="Exponential",EXP(IF(AND(ISNUMBER('Council Entry'!O$8),ISNUMBER('Council Entry'!O$9)),MAX(MIN('Council Entry'!O184,'Council Entry'!O$9),'Council Entry'!O$8),'Council Entry'!O184)),IF(AND(ISNUMBER('Council Entry'!O$8),ISNUMBER('Council Entry'!O$9)),MAX(MIN('Council Entry'!O184,'Council Entry'!O$9),'Council Entry'!O$8),'Council Entry'!O184))))-'Council Entry'!O$5)/('Council Entry'!O$6-'Council Entry'!O$5),10*((IF('Council Entry'!O$4="Logarithm",LN(0.001+IF(AND(ISNUMBER('Council Entry'!O$8),ISNUMBER('Council Entry'!O$9)),MAX(MIN('Council Entry'!O184,'Council Entry'!O$9),'Council Entry'!O$8),'Council Entry'!O184)),IF('Council Entry'!O$4="Exponential",EXP(IF(AND(ISNUMBER('Council Entry'!O$8),ISNUMBER('Council Entry'!O$9)),MAX(MIN('Council Entry'!O184,'Council Entry'!O$9),'Council Entry'!O$8),'Council Entry'!O184)),IF(AND(ISNUMBER('Council Entry'!O$8),ISNUMBER('Council Entry'!O$9)),MAX(MIN('Council Entry'!O184,'Council Entry'!O$9),'Council Entry'!O$8),'Council Entry'!O184))))-'Council Entry'!O$5)/('Council Entry'!O$6-'Council Entry'!O$5)),1))),"No data"))</f>
        <v/>
      </c>
      <c r="P184" s="13">
        <f>IF('Council Entry'!P184="","",IFERROR(MAX(0,MIN(10,ROUND(IF('Council Entry'!P$7="Decrease Risk",10-10*((IF('Council Entry'!P$4="Logarithm",LN(0.001+IF(AND(ISNUMBER('Council Entry'!P$8),ISNUMBER('Council Entry'!P$9)),MAX(MIN('Council Entry'!P184,'Council Entry'!P$9),'Council Entry'!P$8),'Council Entry'!P184)),IF('Council Entry'!P$4="Exponential",EXP(IF(AND(ISNUMBER('Council Entry'!P$8),ISNUMBER('Council Entry'!P$9)),MAX(MIN('Council Entry'!P184,'Council Entry'!P$9),'Council Entry'!P$8),'Council Entry'!P184)),IF(AND(ISNUMBER('Council Entry'!P$8),ISNUMBER('Council Entry'!P$9)),MAX(MIN('Council Entry'!P184,'Council Entry'!P$9),'Council Entry'!P$8),'Council Entry'!P184))))-'Council Entry'!P$5)/('Council Entry'!P$6-'Council Entry'!P$5),10*((IF('Council Entry'!P$4="Logarithm",LN(0.001+IF(AND(ISNUMBER('Council Entry'!P$8),ISNUMBER('Council Entry'!P$9)),MAX(MIN('Council Entry'!P184,'Council Entry'!P$9),'Council Entry'!P$8),'Council Entry'!P184)),IF('Council Entry'!P$4="Exponential",EXP(IF(AND(ISNUMBER('Council Entry'!P$8),ISNUMBER('Council Entry'!P$9)),MAX(MIN('Council Entry'!P184,'Council Entry'!P$9),'Council Entry'!P$8),'Council Entry'!P184)),IF(AND(ISNUMBER('Council Entry'!P$8),ISNUMBER('Council Entry'!P$9)),MAX(MIN('Council Entry'!P184,'Council Entry'!P$9),'Council Entry'!P$8),'Council Entry'!P184))))-'Council Entry'!P$5)/('Council Entry'!P$6-'Council Entry'!P$5)),1))),"No data"))</f>
        <v/>
      </c>
      <c r="Q184" s="13">
        <f>IF('Council Entry'!Q184="","",IFERROR(MAX(0,MIN(10,ROUND(IF('Council Entry'!Q$7="Decrease Risk",10-10*((IF('Council Entry'!Q$4="Logarithm",LN(0.001+IF(AND(ISNUMBER('Council Entry'!Q$8),ISNUMBER('Council Entry'!Q$9)),MAX(MIN('Council Entry'!Q184,'Council Entry'!Q$9),'Council Entry'!Q$8),'Council Entry'!Q184)),IF('Council Entry'!Q$4="Exponential",EXP(IF(AND(ISNUMBER('Council Entry'!Q$8),ISNUMBER('Council Entry'!Q$9)),MAX(MIN('Council Entry'!Q184,'Council Entry'!Q$9),'Council Entry'!Q$8),'Council Entry'!Q184)),IF(AND(ISNUMBER('Council Entry'!Q$8),ISNUMBER('Council Entry'!Q$9)),MAX(MIN('Council Entry'!Q184,'Council Entry'!Q$9),'Council Entry'!Q$8),'Council Entry'!Q184))))-'Council Entry'!Q$5)/('Council Entry'!Q$6-'Council Entry'!Q$5),10*((IF('Council Entry'!Q$4="Logarithm",LN(0.001+IF(AND(ISNUMBER('Council Entry'!Q$8),ISNUMBER('Council Entry'!Q$9)),MAX(MIN('Council Entry'!Q184,'Council Entry'!Q$9),'Council Entry'!Q$8),'Council Entry'!Q184)),IF('Council Entry'!Q$4="Exponential",EXP(IF(AND(ISNUMBER('Council Entry'!Q$8),ISNUMBER('Council Entry'!Q$9)),MAX(MIN('Council Entry'!Q184,'Council Entry'!Q$9),'Council Entry'!Q$8),'Council Entry'!Q184)),IF(AND(ISNUMBER('Council Entry'!Q$8),ISNUMBER('Council Entry'!Q$9)),MAX(MIN('Council Entry'!Q184,'Council Entry'!Q$9),'Council Entry'!Q$8),'Council Entry'!Q184))))-'Council Entry'!Q$5)/('Council Entry'!Q$6-'Council Entry'!Q$5)),1))),"No data"))</f>
        <v/>
      </c>
      <c r="R184" s="13">
        <f>IF('Council Entry'!R184="","",IFERROR(MAX(0,MIN(10,ROUND(IF('Council Entry'!R$7="Decrease Risk",10-10*((IF('Council Entry'!R$4="Logarithm",LN(0.001+IF(AND(ISNUMBER('Council Entry'!R$8),ISNUMBER('Council Entry'!R$9)),MAX(MIN('Council Entry'!R184,'Council Entry'!R$9),'Council Entry'!R$8),'Council Entry'!R184)),IF('Council Entry'!R$4="Exponential",EXP(IF(AND(ISNUMBER('Council Entry'!R$8),ISNUMBER('Council Entry'!R$9)),MAX(MIN('Council Entry'!R184,'Council Entry'!R$9),'Council Entry'!R$8),'Council Entry'!R184)),IF(AND(ISNUMBER('Council Entry'!R$8),ISNUMBER('Council Entry'!R$9)),MAX(MIN('Council Entry'!R184,'Council Entry'!R$9),'Council Entry'!R$8),'Council Entry'!R184))))-'Council Entry'!R$5)/('Council Entry'!R$6-'Council Entry'!R$5),10*((IF('Council Entry'!R$4="Logarithm",LN(0.001+IF(AND(ISNUMBER('Council Entry'!R$8),ISNUMBER('Council Entry'!R$9)),MAX(MIN('Council Entry'!R184,'Council Entry'!R$9),'Council Entry'!R$8),'Council Entry'!R184)),IF('Council Entry'!R$4="Exponential",EXP(IF(AND(ISNUMBER('Council Entry'!R$8),ISNUMBER('Council Entry'!R$9)),MAX(MIN('Council Entry'!R184,'Council Entry'!R$9),'Council Entry'!R$8),'Council Entry'!R184)),IF(AND(ISNUMBER('Council Entry'!R$8),ISNUMBER('Council Entry'!R$9)),MAX(MIN('Council Entry'!R184,'Council Entry'!R$9),'Council Entry'!R$8),'Council Entry'!R184))))-'Council Entry'!R$5)/('Council Entry'!R$6-'Council Entry'!R$5)),1))),"No data"))</f>
        <v/>
      </c>
      <c r="S184" s="13">
        <f>IF('Council Entry'!S184="","",IFERROR(MAX(0,MIN(10,ROUND(IF('Council Entry'!S$7="Decrease Risk",10-10*((IF('Council Entry'!S$4="Logarithm",LN(0.001+IF(AND(ISNUMBER('Council Entry'!S$8),ISNUMBER('Council Entry'!S$9)),MAX(MIN('Council Entry'!S184,'Council Entry'!S$9),'Council Entry'!S$8),'Council Entry'!S184)),IF('Council Entry'!S$4="Exponential",EXP(IF(AND(ISNUMBER('Council Entry'!S$8),ISNUMBER('Council Entry'!S$9)),MAX(MIN('Council Entry'!S184,'Council Entry'!S$9),'Council Entry'!S$8),'Council Entry'!S184)),IF(AND(ISNUMBER('Council Entry'!S$8),ISNUMBER('Council Entry'!S$9)),MAX(MIN('Council Entry'!S184,'Council Entry'!S$9),'Council Entry'!S$8),'Council Entry'!S184))))-'Council Entry'!S$5)/('Council Entry'!S$6-'Council Entry'!S$5),10*((IF('Council Entry'!S$4="Logarithm",LN(0.001+IF(AND(ISNUMBER('Council Entry'!S$8),ISNUMBER('Council Entry'!S$9)),MAX(MIN('Council Entry'!S184,'Council Entry'!S$9),'Council Entry'!S$8),'Council Entry'!S184)),IF('Council Entry'!S$4="Exponential",EXP(IF(AND(ISNUMBER('Council Entry'!S$8),ISNUMBER('Council Entry'!S$9)),MAX(MIN('Council Entry'!S184,'Council Entry'!S$9),'Council Entry'!S$8),'Council Entry'!S184)),IF(AND(ISNUMBER('Council Entry'!S$8),ISNUMBER('Council Entry'!S$9)),MAX(MIN('Council Entry'!S184,'Council Entry'!S$9),'Council Entry'!S$8),'Council Entry'!S184))))-'Council Entry'!S$5)/('Council Entry'!S$6-'Council Entry'!S$5)),1))),"No data"))</f>
        <v/>
      </c>
      <c r="T184" s="13">
        <f>IF('Council Entry'!T184="","",IFERROR(MAX(0,MIN(10,ROUND(IF('Council Entry'!T$7="Decrease Risk",10-10*((IF('Council Entry'!T$4="Logarithm",LN(0.001+IF(AND(ISNUMBER('Council Entry'!T$8),ISNUMBER('Council Entry'!T$9)),MAX(MIN('Council Entry'!T184,'Council Entry'!T$9),'Council Entry'!T$8),'Council Entry'!T184)),IF('Council Entry'!T$4="Exponential",EXP(IF(AND(ISNUMBER('Council Entry'!T$8),ISNUMBER('Council Entry'!T$9)),MAX(MIN('Council Entry'!T184,'Council Entry'!T$9),'Council Entry'!T$8),'Council Entry'!T184)),IF(AND(ISNUMBER('Council Entry'!T$8),ISNUMBER('Council Entry'!T$9)),MAX(MIN('Council Entry'!T184,'Council Entry'!T$9),'Council Entry'!T$8),'Council Entry'!T184))))-'Council Entry'!T$5)/('Council Entry'!T$6-'Council Entry'!T$5),10*((IF('Council Entry'!T$4="Logarithm",LN(0.001+IF(AND(ISNUMBER('Council Entry'!T$8),ISNUMBER('Council Entry'!T$9)),MAX(MIN('Council Entry'!T184,'Council Entry'!T$9),'Council Entry'!T$8),'Council Entry'!T184)),IF('Council Entry'!T$4="Exponential",EXP(IF(AND(ISNUMBER('Council Entry'!T$8),ISNUMBER('Council Entry'!T$9)),MAX(MIN('Council Entry'!T184,'Council Entry'!T$9),'Council Entry'!T$8),'Council Entry'!T184)),IF(AND(ISNUMBER('Council Entry'!T$8),ISNUMBER('Council Entry'!T$9)),MAX(MIN('Council Entry'!T184,'Council Entry'!T$9),'Council Entry'!T$8),'Council Entry'!T184))))-'Council Entry'!T$5)/('Council Entry'!T$6-'Council Entry'!T$5)),1))),"No data"))</f>
        <v/>
      </c>
      <c r="U184" s="13">
        <f>IF('Council Entry'!U184="","",IFERROR(MAX(0,MIN(10,ROUND(IF('Council Entry'!U$7="Decrease Risk",10-10*((IF('Council Entry'!U$4="Logarithm",LN(0.001+IF(AND(ISNUMBER('Council Entry'!U$8),ISNUMBER('Council Entry'!U$9)),MAX(MIN('Council Entry'!U184,'Council Entry'!U$9),'Council Entry'!U$8),'Council Entry'!U184)),IF('Council Entry'!U$4="Exponential",EXP(IF(AND(ISNUMBER('Council Entry'!U$8),ISNUMBER('Council Entry'!U$9)),MAX(MIN('Council Entry'!U184,'Council Entry'!U$9),'Council Entry'!U$8),'Council Entry'!U184)),IF(AND(ISNUMBER('Council Entry'!U$8),ISNUMBER('Council Entry'!U$9)),MAX(MIN('Council Entry'!U184,'Council Entry'!U$9),'Council Entry'!U$8),'Council Entry'!U184))))-'Council Entry'!U$5)/('Council Entry'!U$6-'Council Entry'!U$5),10*((IF('Council Entry'!U$4="Logarithm",LN(0.001+IF(AND(ISNUMBER('Council Entry'!U$8),ISNUMBER('Council Entry'!U$9)),MAX(MIN('Council Entry'!U184,'Council Entry'!U$9),'Council Entry'!U$8),'Council Entry'!U184)),IF('Council Entry'!U$4="Exponential",EXP(IF(AND(ISNUMBER('Council Entry'!U$8),ISNUMBER('Council Entry'!U$9)),MAX(MIN('Council Entry'!U184,'Council Entry'!U$9),'Council Entry'!U$8),'Council Entry'!U184)),IF(AND(ISNUMBER('Council Entry'!U$8),ISNUMBER('Council Entry'!U$9)),MAX(MIN('Council Entry'!U184,'Council Entry'!U$9),'Council Entry'!U$8),'Council Entry'!U184))))-'Council Entry'!U$5)/('Council Entry'!U$6-'Council Entry'!U$5)),1))),"No data"))</f>
        <v/>
      </c>
      <c r="V184" s="13">
        <f>IF('Council Entry'!V184="","",IFERROR(MAX(0,MIN(10,ROUND(IF('Council Entry'!V$7="Decrease Risk",10-10*((IF('Council Entry'!V$4="Logarithm",LN(0.001+IF(AND(ISNUMBER('Council Entry'!V$8),ISNUMBER('Council Entry'!V$9)),MAX(MIN('Council Entry'!V184,'Council Entry'!V$9),'Council Entry'!V$8),'Council Entry'!V184)),IF('Council Entry'!V$4="Exponential",EXP(IF(AND(ISNUMBER('Council Entry'!V$8),ISNUMBER('Council Entry'!V$9)),MAX(MIN('Council Entry'!V184,'Council Entry'!V$9),'Council Entry'!V$8),'Council Entry'!V184)),IF(AND(ISNUMBER('Council Entry'!V$8),ISNUMBER('Council Entry'!V$9)),MAX(MIN('Council Entry'!V184,'Council Entry'!V$9),'Council Entry'!V$8),'Council Entry'!V184))))-'Council Entry'!V$5)/('Council Entry'!V$6-'Council Entry'!V$5),10*((IF('Council Entry'!V$4="Logarithm",LN(0.001+IF(AND(ISNUMBER('Council Entry'!V$8),ISNUMBER('Council Entry'!V$9)),MAX(MIN('Council Entry'!V184,'Council Entry'!V$9),'Council Entry'!V$8),'Council Entry'!V184)),IF('Council Entry'!V$4="Exponential",EXP(IF(AND(ISNUMBER('Council Entry'!V$8),ISNUMBER('Council Entry'!V$9)),MAX(MIN('Council Entry'!V184,'Council Entry'!V$9),'Council Entry'!V$8),'Council Entry'!V184)),IF(AND(ISNUMBER('Council Entry'!V$8),ISNUMBER('Council Entry'!V$9)),MAX(MIN('Council Entry'!V184,'Council Entry'!V$9),'Council Entry'!V$8),'Council Entry'!V184))))-'Council Entry'!V$5)/('Council Entry'!V$6-'Council Entry'!V$5)),1))),"No data"))</f>
        <v/>
      </c>
      <c r="W184" s="13">
        <f>IF('Council Entry'!W184="","",IFERROR(MAX(0,MIN(10,ROUND(IF('Council Entry'!W$7="Decrease Risk",10-10*((IF('Council Entry'!W$4="Logarithm",LN(0.001+IF(AND(ISNUMBER('Council Entry'!W$8),ISNUMBER('Council Entry'!W$9)),MAX(MIN('Council Entry'!W184,'Council Entry'!W$9),'Council Entry'!W$8),'Council Entry'!W184)),IF('Council Entry'!W$4="Exponential",EXP(IF(AND(ISNUMBER('Council Entry'!W$8),ISNUMBER('Council Entry'!W$9)),MAX(MIN('Council Entry'!W184,'Council Entry'!W$9),'Council Entry'!W$8),'Council Entry'!W184)),IF(AND(ISNUMBER('Council Entry'!W$8),ISNUMBER('Council Entry'!W$9)),MAX(MIN('Council Entry'!W184,'Council Entry'!W$9),'Council Entry'!W$8),'Council Entry'!W184))))-'Council Entry'!W$5)/('Council Entry'!W$6-'Council Entry'!W$5),10*((IF('Council Entry'!W$4="Logarithm",LN(0.001+IF(AND(ISNUMBER('Council Entry'!W$8),ISNUMBER('Council Entry'!W$9)),MAX(MIN('Council Entry'!W184,'Council Entry'!W$9),'Council Entry'!W$8),'Council Entry'!W184)),IF('Council Entry'!W$4="Exponential",EXP(IF(AND(ISNUMBER('Council Entry'!W$8),ISNUMBER('Council Entry'!W$9)),MAX(MIN('Council Entry'!W184,'Council Entry'!W$9),'Council Entry'!W$8),'Council Entry'!W184)),IF(AND(ISNUMBER('Council Entry'!W$8),ISNUMBER('Council Entry'!W$9)),MAX(MIN('Council Entry'!W184,'Council Entry'!W$9),'Council Entry'!W$8),'Council Entry'!W184))))-'Council Entry'!W$5)/('Council Entry'!W$6-'Council Entry'!W$5)),1))),"No data"))</f>
        <v/>
      </c>
      <c r="X184" s="13">
        <f>IF('Council Entry'!X184="","",IFERROR(MAX(0,MIN(10,ROUND(IF('Council Entry'!X$7="Decrease Risk",10-10*((IF('Council Entry'!X$4="Logarithm",LN(0.001+IF(AND(ISNUMBER('Council Entry'!X$8),ISNUMBER('Council Entry'!X$9)),MAX(MIN('Council Entry'!X184,'Council Entry'!X$9),'Council Entry'!X$8),'Council Entry'!X184)),IF('Council Entry'!X$4="Exponential",EXP(IF(AND(ISNUMBER('Council Entry'!X$8),ISNUMBER('Council Entry'!X$9)),MAX(MIN('Council Entry'!X184,'Council Entry'!X$9),'Council Entry'!X$8),'Council Entry'!X184)),IF(AND(ISNUMBER('Council Entry'!X$8),ISNUMBER('Council Entry'!X$9)),MAX(MIN('Council Entry'!X184,'Council Entry'!X$9),'Council Entry'!X$8),'Council Entry'!X184))))-'Council Entry'!X$5)/('Council Entry'!X$6-'Council Entry'!X$5),10*((IF('Council Entry'!X$4="Logarithm",LN(0.001+IF(AND(ISNUMBER('Council Entry'!X$8),ISNUMBER('Council Entry'!X$9)),MAX(MIN('Council Entry'!X184,'Council Entry'!X$9),'Council Entry'!X$8),'Council Entry'!X184)),IF('Council Entry'!X$4="Exponential",EXP(IF(AND(ISNUMBER('Council Entry'!X$8),ISNUMBER('Council Entry'!X$9)),MAX(MIN('Council Entry'!X184,'Council Entry'!X$9),'Council Entry'!X$8),'Council Entry'!X184)),IF(AND(ISNUMBER('Council Entry'!X$8),ISNUMBER('Council Entry'!X$9)),MAX(MIN('Council Entry'!X184,'Council Entry'!X$9),'Council Entry'!X$8),'Council Entry'!X184))))-'Council Entry'!X$5)/('Council Entry'!X$6-'Council Entry'!X$5)),1))),"No data"))</f>
        <v/>
      </c>
      <c r="Y184" s="13">
        <f>IF('Council Entry'!Y184="","",IFERROR(MAX(0,MIN(10,ROUND(IF('Council Entry'!Y$7="Decrease Risk",10-10*((IF('Council Entry'!Y$4="Logarithm",LN(0.001+IF(AND(ISNUMBER('Council Entry'!Y$8),ISNUMBER('Council Entry'!Y$9)),MAX(MIN('Council Entry'!Y184,'Council Entry'!Y$9),'Council Entry'!Y$8),'Council Entry'!Y184)),IF('Council Entry'!Y$4="Exponential",EXP(IF(AND(ISNUMBER('Council Entry'!Y$8),ISNUMBER('Council Entry'!Y$9)),MAX(MIN('Council Entry'!Y184,'Council Entry'!Y$9),'Council Entry'!Y$8),'Council Entry'!Y184)),IF(AND(ISNUMBER('Council Entry'!Y$8),ISNUMBER('Council Entry'!Y$9)),MAX(MIN('Council Entry'!Y184,'Council Entry'!Y$9),'Council Entry'!Y$8),'Council Entry'!Y184))))-'Council Entry'!Y$5)/('Council Entry'!Y$6-'Council Entry'!Y$5),10*((IF('Council Entry'!Y$4="Logarithm",LN(0.001+IF(AND(ISNUMBER('Council Entry'!Y$8),ISNUMBER('Council Entry'!Y$9)),MAX(MIN('Council Entry'!Y184,'Council Entry'!Y$9),'Council Entry'!Y$8),'Council Entry'!Y184)),IF('Council Entry'!Y$4="Exponential",EXP(IF(AND(ISNUMBER('Council Entry'!Y$8),ISNUMBER('Council Entry'!Y$9)),MAX(MIN('Council Entry'!Y184,'Council Entry'!Y$9),'Council Entry'!Y$8),'Council Entry'!Y184)),IF(AND(ISNUMBER('Council Entry'!Y$8),ISNUMBER('Council Entry'!Y$9)),MAX(MIN('Council Entry'!Y184,'Council Entry'!Y$9),'Council Entry'!Y$8),'Council Entry'!Y184))))-'Council Entry'!Y$5)/('Council Entry'!Y$6-'Council Entry'!Y$5)),1))),"No data"))</f>
        <v/>
      </c>
      <c r="Z184" s="13">
        <f>IF('Council Entry'!Z184="","",IFERROR(MAX(0,MIN(10,ROUND(IF('Council Entry'!Z$7="Decrease Risk",10-10*((IF('Council Entry'!Z$4="Logarithm",LN(0.001+IF(AND(ISNUMBER('Council Entry'!Z$8),ISNUMBER('Council Entry'!Z$9)),MAX(MIN('Council Entry'!Z184,'Council Entry'!Z$9),'Council Entry'!Z$8),'Council Entry'!Z184)),IF('Council Entry'!Z$4="Exponential",EXP(IF(AND(ISNUMBER('Council Entry'!Z$8),ISNUMBER('Council Entry'!Z$9)),MAX(MIN('Council Entry'!Z184,'Council Entry'!Z$9),'Council Entry'!Z$8),'Council Entry'!Z184)),IF(AND(ISNUMBER('Council Entry'!Z$8),ISNUMBER('Council Entry'!Z$9)),MAX(MIN('Council Entry'!Z184,'Council Entry'!Z$9),'Council Entry'!Z$8),'Council Entry'!Z184))))-'Council Entry'!Z$5)/('Council Entry'!Z$6-'Council Entry'!Z$5),10*((IF('Council Entry'!Z$4="Logarithm",LN(0.001+IF(AND(ISNUMBER('Council Entry'!Z$8),ISNUMBER('Council Entry'!Z$9)),MAX(MIN('Council Entry'!Z184,'Council Entry'!Z$9),'Council Entry'!Z$8),'Council Entry'!Z184)),IF('Council Entry'!Z$4="Exponential",EXP(IF(AND(ISNUMBER('Council Entry'!Z$8),ISNUMBER('Council Entry'!Z$9)),MAX(MIN('Council Entry'!Z184,'Council Entry'!Z$9),'Council Entry'!Z$8),'Council Entry'!Z184)),IF(AND(ISNUMBER('Council Entry'!Z$8),ISNUMBER('Council Entry'!Z$9)),MAX(MIN('Council Entry'!Z184,'Council Entry'!Z$9),'Council Entry'!Z$8),'Council Entry'!Z184))))-'Council Entry'!Z$5)/('Council Entry'!Z$6-'Council Entry'!Z$5)),1))),"No data"))</f>
        <v/>
      </c>
      <c r="AA184" s="13">
        <f>IF('Council Entry'!AA184="","",IFERROR(MAX(0,MIN(10,ROUND(IF('Council Entry'!AA$7="Decrease Risk",10-10*((IF('Council Entry'!AA$4="Logarithm",LN(0.001+IF(AND(ISNUMBER('Council Entry'!AA$8),ISNUMBER('Council Entry'!AA$9)),MAX(MIN('Council Entry'!AA184,'Council Entry'!AA$9),'Council Entry'!AA$8),'Council Entry'!AA184)),IF('Council Entry'!AA$4="Exponential",EXP(IF(AND(ISNUMBER('Council Entry'!AA$8),ISNUMBER('Council Entry'!AA$9)),MAX(MIN('Council Entry'!AA184,'Council Entry'!AA$9),'Council Entry'!AA$8),'Council Entry'!AA184)),IF(AND(ISNUMBER('Council Entry'!AA$8),ISNUMBER('Council Entry'!AA$9)),MAX(MIN('Council Entry'!AA184,'Council Entry'!AA$9),'Council Entry'!AA$8),'Council Entry'!AA184))))-'Council Entry'!AA$5)/('Council Entry'!AA$6-'Council Entry'!AA$5),10*((IF('Council Entry'!AA$4="Logarithm",LN(0.001+IF(AND(ISNUMBER('Council Entry'!AA$8),ISNUMBER('Council Entry'!AA$9)),MAX(MIN('Council Entry'!AA184,'Council Entry'!AA$9),'Council Entry'!AA$8),'Council Entry'!AA184)),IF('Council Entry'!AA$4="Exponential",EXP(IF(AND(ISNUMBER('Council Entry'!AA$8),ISNUMBER('Council Entry'!AA$9)),MAX(MIN('Council Entry'!AA184,'Council Entry'!AA$9),'Council Entry'!AA$8),'Council Entry'!AA184)),IF(AND(ISNUMBER('Council Entry'!AA$8),ISNUMBER('Council Entry'!AA$9)),MAX(MIN('Council Entry'!AA184,'Council Entry'!AA$9),'Council Entry'!AA$8),'Council Entry'!AA184))))-'Council Entry'!AA$5)/('Council Entry'!AA$6-'Council Entry'!AA$5)),1))),"No data"))</f>
        <v/>
      </c>
      <c r="AB184" s="13">
        <f>IF('Council Entry'!AB184="","",IFERROR(MAX(0,MIN(10,ROUND(IF('Council Entry'!AB$7="Decrease Risk",10-10*((IF('Council Entry'!AB$4="Logarithm",LN(0.001+IF(AND(ISNUMBER('Council Entry'!AB$8),ISNUMBER('Council Entry'!AB$9)),MAX(MIN('Council Entry'!AB184,'Council Entry'!AB$9),'Council Entry'!AB$8),'Council Entry'!AB184)),IF('Council Entry'!AB$4="Exponential",EXP(IF(AND(ISNUMBER('Council Entry'!AB$8),ISNUMBER('Council Entry'!AB$9)),MAX(MIN('Council Entry'!AB184,'Council Entry'!AB$9),'Council Entry'!AB$8),'Council Entry'!AB184)),IF(AND(ISNUMBER('Council Entry'!AB$8),ISNUMBER('Council Entry'!AB$9)),MAX(MIN('Council Entry'!AB184,'Council Entry'!AB$9),'Council Entry'!AB$8),'Council Entry'!AB184))))-'Council Entry'!AB$5)/('Council Entry'!AB$6-'Council Entry'!AB$5),10*((IF('Council Entry'!AB$4="Logarithm",LN(0.001+IF(AND(ISNUMBER('Council Entry'!AB$8),ISNUMBER('Council Entry'!AB$9)),MAX(MIN('Council Entry'!AB184,'Council Entry'!AB$9),'Council Entry'!AB$8),'Council Entry'!AB184)),IF('Council Entry'!AB$4="Exponential",EXP(IF(AND(ISNUMBER('Council Entry'!AB$8),ISNUMBER('Council Entry'!AB$9)),MAX(MIN('Council Entry'!AB184,'Council Entry'!AB$9),'Council Entry'!AB$8),'Council Entry'!AB184)),IF(AND(ISNUMBER('Council Entry'!AB$8),ISNUMBER('Council Entry'!AB$9)),MAX(MIN('Council Entry'!AB184,'Council Entry'!AB$9),'Council Entry'!AB$8),'Council Entry'!AB184))))-'Council Entry'!AB$5)/('Council Entry'!AB$6-'Council Entry'!AB$5)),1))),"No data"))</f>
        <v/>
      </c>
      <c r="AC184" s="13">
        <f>IF('Council Entry'!AC184="","",IFERROR(MAX(0,MIN(10,ROUND(IF('Council Entry'!AC$7="Decrease Risk",10-10*((IF('Council Entry'!AC$4="Logarithm",LN(0.001+IF(AND(ISNUMBER('Council Entry'!AC$8),ISNUMBER('Council Entry'!AC$9)),MAX(MIN('Council Entry'!AC184,'Council Entry'!AC$9),'Council Entry'!AC$8),'Council Entry'!AC184)),IF('Council Entry'!AC$4="Exponential",EXP(IF(AND(ISNUMBER('Council Entry'!AC$8),ISNUMBER('Council Entry'!AC$9)),MAX(MIN('Council Entry'!AC184,'Council Entry'!AC$9),'Council Entry'!AC$8),'Council Entry'!AC184)),IF(AND(ISNUMBER('Council Entry'!AC$8),ISNUMBER('Council Entry'!AC$9)),MAX(MIN('Council Entry'!AC184,'Council Entry'!AC$9),'Council Entry'!AC$8),'Council Entry'!AC184))))-'Council Entry'!AC$5)/('Council Entry'!AC$6-'Council Entry'!AC$5),10*((IF('Council Entry'!AC$4="Logarithm",LN(0.001+IF(AND(ISNUMBER('Council Entry'!AC$8),ISNUMBER('Council Entry'!AC$9)),MAX(MIN('Council Entry'!AC184,'Council Entry'!AC$9),'Council Entry'!AC$8),'Council Entry'!AC184)),IF('Council Entry'!AC$4="Exponential",EXP(IF(AND(ISNUMBER('Council Entry'!AC$8),ISNUMBER('Council Entry'!AC$9)),MAX(MIN('Council Entry'!AC184,'Council Entry'!AC$9),'Council Entry'!AC$8),'Council Entry'!AC184)),IF(AND(ISNUMBER('Council Entry'!AC$8),ISNUMBER('Council Entry'!AC$9)),MAX(MIN('Council Entry'!AC184,'Council Entry'!AC$9),'Council Entry'!AC$8),'Council Entry'!AC184))))-'Council Entry'!AC$5)/('Council Entry'!AC$6-'Council Entry'!AC$5)),1))),"No data"))</f>
        <v/>
      </c>
      <c r="AD184" s="13">
        <f>IF('Council Entry'!AD184="","",IFERROR(MAX(0,MIN(10,ROUND(IF('Council Entry'!AD$7="Decrease Risk",10-10*((IF('Council Entry'!AD$4="Logarithm",LN(0.001+IF(AND(ISNUMBER('Council Entry'!AD$8),ISNUMBER('Council Entry'!AD$9)),MAX(MIN('Council Entry'!AD184,'Council Entry'!AD$9),'Council Entry'!AD$8),'Council Entry'!AD184)),IF('Council Entry'!AD$4="Exponential",EXP(IF(AND(ISNUMBER('Council Entry'!AD$8),ISNUMBER('Council Entry'!AD$9)),MAX(MIN('Council Entry'!AD184,'Council Entry'!AD$9),'Council Entry'!AD$8),'Council Entry'!AD184)),IF(AND(ISNUMBER('Council Entry'!AD$8),ISNUMBER('Council Entry'!AD$9)),MAX(MIN('Council Entry'!AD184,'Council Entry'!AD$9),'Council Entry'!AD$8),'Council Entry'!AD184))))-'Council Entry'!AD$5)/('Council Entry'!AD$6-'Council Entry'!AD$5),10*((IF('Council Entry'!AD$4="Logarithm",LN(0.001+IF(AND(ISNUMBER('Council Entry'!AD$8),ISNUMBER('Council Entry'!AD$9)),MAX(MIN('Council Entry'!AD184,'Council Entry'!AD$9),'Council Entry'!AD$8),'Council Entry'!AD184)),IF('Council Entry'!AD$4="Exponential",EXP(IF(AND(ISNUMBER('Council Entry'!AD$8),ISNUMBER('Council Entry'!AD$9)),MAX(MIN('Council Entry'!AD184,'Council Entry'!AD$9),'Council Entry'!AD$8),'Council Entry'!AD184)),IF(AND(ISNUMBER('Council Entry'!AD$8),ISNUMBER('Council Entry'!AD$9)),MAX(MIN('Council Entry'!AD184,'Council Entry'!AD$9),'Council Entry'!AD$8),'Council Entry'!AD184))))-'Council Entry'!AD$5)/('Council Entry'!AD$6-'Council Entry'!AD$5)),1))),"No data"))</f>
        <v/>
      </c>
      <c r="AE184" s="13">
        <f>IF('Council Entry'!AE184="","",IFERROR(MAX(0,MIN(10,ROUND(IF('Council Entry'!AE$7="Decrease Risk",10-10*((IF('Council Entry'!AE$4="Logarithm",LN(0.001+IF(AND(ISNUMBER('Council Entry'!AE$8),ISNUMBER('Council Entry'!AE$9)),MAX(MIN('Council Entry'!AE184,'Council Entry'!AE$9),'Council Entry'!AE$8),'Council Entry'!AE184)),IF('Council Entry'!AE$4="Exponential",EXP(IF(AND(ISNUMBER('Council Entry'!AE$8),ISNUMBER('Council Entry'!AE$9)),MAX(MIN('Council Entry'!AE184,'Council Entry'!AE$9),'Council Entry'!AE$8),'Council Entry'!AE184)),IF(AND(ISNUMBER('Council Entry'!AE$8),ISNUMBER('Council Entry'!AE$9)),MAX(MIN('Council Entry'!AE184,'Council Entry'!AE$9),'Council Entry'!AE$8),'Council Entry'!AE184))))-'Council Entry'!AE$5)/('Council Entry'!AE$6-'Council Entry'!AE$5),10*((IF('Council Entry'!AE$4="Logarithm",LN(0.001+IF(AND(ISNUMBER('Council Entry'!AE$8),ISNUMBER('Council Entry'!AE$9)),MAX(MIN('Council Entry'!AE184,'Council Entry'!AE$9),'Council Entry'!AE$8),'Council Entry'!AE184)),IF('Council Entry'!AE$4="Exponential",EXP(IF(AND(ISNUMBER('Council Entry'!AE$8),ISNUMBER('Council Entry'!AE$9)),MAX(MIN('Council Entry'!AE184,'Council Entry'!AE$9),'Council Entry'!AE$8),'Council Entry'!AE184)),IF(AND(ISNUMBER('Council Entry'!AE$8),ISNUMBER('Council Entry'!AE$9)),MAX(MIN('Council Entry'!AE184,'Council Entry'!AE$9),'Council Entry'!AE$8),'Council Entry'!AE184))))-'Council Entry'!AE$5)/('Council Entry'!AE$6-'Council Entry'!AE$5)),1))),"No data"))</f>
        <v/>
      </c>
      <c r="AF184" s="13">
        <f>IF('Council Entry'!AF184="","",IFERROR(MAX(0,MIN(10,ROUND(IF('Council Entry'!AF$7="Decrease Risk",10-10*((IF('Council Entry'!AF$4="Logarithm",LN(0.001+IF(AND(ISNUMBER('Council Entry'!AF$8),ISNUMBER('Council Entry'!AF$9)),MAX(MIN('Council Entry'!AF184,'Council Entry'!AF$9),'Council Entry'!AF$8),'Council Entry'!AF184)),IF('Council Entry'!AF$4="Exponential",EXP(IF(AND(ISNUMBER('Council Entry'!AF$8),ISNUMBER('Council Entry'!AF$9)),MAX(MIN('Council Entry'!AF184,'Council Entry'!AF$9),'Council Entry'!AF$8),'Council Entry'!AF184)),IF(AND(ISNUMBER('Council Entry'!AF$8),ISNUMBER('Council Entry'!AF$9)),MAX(MIN('Council Entry'!AF184,'Council Entry'!AF$9),'Council Entry'!AF$8),'Council Entry'!AF184))))-'Council Entry'!AF$5)/('Council Entry'!AF$6-'Council Entry'!AF$5),10*((IF('Council Entry'!AF$4="Logarithm",LN(0.001+IF(AND(ISNUMBER('Council Entry'!AF$8),ISNUMBER('Council Entry'!AF$9)),MAX(MIN('Council Entry'!AF184,'Council Entry'!AF$9),'Council Entry'!AF$8),'Council Entry'!AF184)),IF('Council Entry'!AF$4="Exponential",EXP(IF(AND(ISNUMBER('Council Entry'!AF$8),ISNUMBER('Council Entry'!AF$9)),MAX(MIN('Council Entry'!AF184,'Council Entry'!AF$9),'Council Entry'!AF$8),'Council Entry'!AF184)),IF(AND(ISNUMBER('Council Entry'!AF$8),ISNUMBER('Council Entry'!AF$9)),MAX(MIN('Council Entry'!AF184,'Council Entry'!AF$9),'Council Entry'!AF$8),'Council Entry'!AF184))))-'Council Entry'!AF$5)/('Council Entry'!AF$6-'Council Entry'!AF$5)),1))),"No data"))</f>
        <v/>
      </c>
      <c r="AG184" s="13">
        <f>IF('Council Entry'!AG184="","",IFERROR(MAX(0,MIN(10,ROUND(IF('Council Entry'!AG$7="Decrease Risk",10-10*((IF('Council Entry'!AG$4="Logarithm",LN(0.001+IF(AND(ISNUMBER('Council Entry'!AG$8),ISNUMBER('Council Entry'!AG$9)),MAX(MIN('Council Entry'!AG184,'Council Entry'!AG$9),'Council Entry'!AG$8),'Council Entry'!AG184)),IF('Council Entry'!AG$4="Exponential",EXP(IF(AND(ISNUMBER('Council Entry'!AG$8),ISNUMBER('Council Entry'!AG$9)),MAX(MIN('Council Entry'!AG184,'Council Entry'!AG$9),'Council Entry'!AG$8),'Council Entry'!AG184)),IF(AND(ISNUMBER('Council Entry'!AG$8),ISNUMBER('Council Entry'!AG$9)),MAX(MIN('Council Entry'!AG184,'Council Entry'!AG$9),'Council Entry'!AG$8),'Council Entry'!AG184))))-'Council Entry'!AG$5)/('Council Entry'!AG$6-'Council Entry'!AG$5),10*((IF('Council Entry'!AG$4="Logarithm",LN(0.001+IF(AND(ISNUMBER('Council Entry'!AG$8),ISNUMBER('Council Entry'!AG$9)),MAX(MIN('Council Entry'!AG184,'Council Entry'!AG$9),'Council Entry'!AG$8),'Council Entry'!AG184)),IF('Council Entry'!AG$4="Exponential",EXP(IF(AND(ISNUMBER('Council Entry'!AG$8),ISNUMBER('Council Entry'!AG$9)),MAX(MIN('Council Entry'!AG184,'Council Entry'!AG$9),'Council Entry'!AG$8),'Council Entry'!AG184)),IF(AND(ISNUMBER('Council Entry'!AG$8),ISNUMBER('Council Entry'!AG$9)),MAX(MIN('Council Entry'!AG184,'Council Entry'!AG$9),'Council Entry'!AG$8),'Council Entry'!AG184))))-'Council Entry'!AG$5)/('Council Entry'!AG$6-'Council Entry'!AG$5)),1))),"No data"))</f>
        <v/>
      </c>
      <c r="AH184" s="13">
        <f>IF('Council Entry'!AH184="","",IFERROR(MAX(0,MIN(10,ROUND(IF('Council Entry'!AH$7="Decrease Risk",10-10*((IF('Council Entry'!AH$4="Logarithm",LN(0.001+IF(AND(ISNUMBER('Council Entry'!AH$8),ISNUMBER('Council Entry'!AH$9)),MAX(MIN('Council Entry'!AH184,'Council Entry'!AH$9),'Council Entry'!AH$8),'Council Entry'!AH184)),IF('Council Entry'!AH$4="Exponential",EXP(IF(AND(ISNUMBER('Council Entry'!AH$8),ISNUMBER('Council Entry'!AH$9)),MAX(MIN('Council Entry'!AH184,'Council Entry'!AH$9),'Council Entry'!AH$8),'Council Entry'!AH184)),IF(AND(ISNUMBER('Council Entry'!AH$8),ISNUMBER('Council Entry'!AH$9)),MAX(MIN('Council Entry'!AH184,'Council Entry'!AH$9),'Council Entry'!AH$8),'Council Entry'!AH184))))-'Council Entry'!AH$5)/('Council Entry'!AH$6-'Council Entry'!AH$5),10*((IF('Council Entry'!AH$4="Logarithm",LN(0.001+IF(AND(ISNUMBER('Council Entry'!AH$8),ISNUMBER('Council Entry'!AH$9)),MAX(MIN('Council Entry'!AH184,'Council Entry'!AH$9),'Council Entry'!AH$8),'Council Entry'!AH184)),IF('Council Entry'!AH$4="Exponential",EXP(IF(AND(ISNUMBER('Council Entry'!AH$8),ISNUMBER('Council Entry'!AH$9)),MAX(MIN('Council Entry'!AH184,'Council Entry'!AH$9),'Council Entry'!AH$8),'Council Entry'!AH184)),IF(AND(ISNUMBER('Council Entry'!AH$8),ISNUMBER('Council Entry'!AH$9)),MAX(MIN('Council Entry'!AH184,'Council Entry'!AH$9),'Council Entry'!AH$8),'Council Entry'!AH184))))-'Council Entry'!AH$5)/('Council Entry'!AH$6-'Council Entry'!AH$5)),1))),"No data"))</f>
        <v/>
      </c>
      <c r="AI184" s="13">
        <f>IF('Council Entry'!AI184="","",IFERROR(MAX(0,MIN(10,ROUND(IF('Council Entry'!AI$7="Decrease Risk",10-10*((IF('Council Entry'!AI$4="Logarithm",LN(0.001+IF(AND(ISNUMBER('Council Entry'!AI$8),ISNUMBER('Council Entry'!AI$9)),MAX(MIN('Council Entry'!AI184,'Council Entry'!AI$9),'Council Entry'!AI$8),'Council Entry'!AI184)),IF('Council Entry'!AI$4="Exponential",EXP(IF(AND(ISNUMBER('Council Entry'!AI$8),ISNUMBER('Council Entry'!AI$9)),MAX(MIN('Council Entry'!AI184,'Council Entry'!AI$9),'Council Entry'!AI$8),'Council Entry'!AI184)),IF(AND(ISNUMBER('Council Entry'!AI$8),ISNUMBER('Council Entry'!AI$9)),MAX(MIN('Council Entry'!AI184,'Council Entry'!AI$9),'Council Entry'!AI$8),'Council Entry'!AI184))))-'Council Entry'!AI$5)/('Council Entry'!AI$6-'Council Entry'!AI$5),10*((IF('Council Entry'!AI$4="Logarithm",LN(0.001+IF(AND(ISNUMBER('Council Entry'!AI$8),ISNUMBER('Council Entry'!AI$9)),MAX(MIN('Council Entry'!AI184,'Council Entry'!AI$9),'Council Entry'!AI$8),'Council Entry'!AI184)),IF('Council Entry'!AI$4="Exponential",EXP(IF(AND(ISNUMBER('Council Entry'!AI$8),ISNUMBER('Council Entry'!AI$9)),MAX(MIN('Council Entry'!AI184,'Council Entry'!AI$9),'Council Entry'!AI$8),'Council Entry'!AI184)),IF(AND(ISNUMBER('Council Entry'!AI$8),ISNUMBER('Council Entry'!AI$9)),MAX(MIN('Council Entry'!AI184,'Council Entry'!AI$9),'Council Entry'!AI$8),'Council Entry'!AI184))))-'Council Entry'!AI$5)/('Council Entry'!AI$6-'Council Entry'!AI$5)),1))),"No data"))</f>
        <v/>
      </c>
      <c r="AJ184" s="13">
        <f>IF('Council Entry'!AJ184="","",IFERROR(MAX(0,MIN(10,ROUND(IF('Council Entry'!AJ$7="Decrease Risk",10-10*((IF('Council Entry'!AJ$4="Logarithm",LN(0.001+IF(AND(ISNUMBER('Council Entry'!AJ$8),ISNUMBER('Council Entry'!AJ$9)),MAX(MIN('Council Entry'!AJ184,'Council Entry'!AJ$9),'Council Entry'!AJ$8),'Council Entry'!AJ184)),IF('Council Entry'!AJ$4="Exponential",EXP(IF(AND(ISNUMBER('Council Entry'!AJ$8),ISNUMBER('Council Entry'!AJ$9)),MAX(MIN('Council Entry'!AJ184,'Council Entry'!AJ$9),'Council Entry'!AJ$8),'Council Entry'!AJ184)),IF(AND(ISNUMBER('Council Entry'!AJ$8),ISNUMBER('Council Entry'!AJ$9)),MAX(MIN('Council Entry'!AJ184,'Council Entry'!AJ$9),'Council Entry'!AJ$8),'Council Entry'!AJ184))))-'Council Entry'!AJ$5)/('Council Entry'!AJ$6-'Council Entry'!AJ$5),10*((IF('Council Entry'!AJ$4="Logarithm",LN(0.001+IF(AND(ISNUMBER('Council Entry'!AJ$8),ISNUMBER('Council Entry'!AJ$9)),MAX(MIN('Council Entry'!AJ184,'Council Entry'!AJ$9),'Council Entry'!AJ$8),'Council Entry'!AJ184)),IF('Council Entry'!AJ$4="Exponential",EXP(IF(AND(ISNUMBER('Council Entry'!AJ$8),ISNUMBER('Council Entry'!AJ$9)),MAX(MIN('Council Entry'!AJ184,'Council Entry'!AJ$9),'Council Entry'!AJ$8),'Council Entry'!AJ184)),IF(AND(ISNUMBER('Council Entry'!AJ$8),ISNUMBER('Council Entry'!AJ$9)),MAX(MIN('Council Entry'!AJ184,'Council Entry'!AJ$9),'Council Entry'!AJ$8),'Council Entry'!AJ184))))-'Council Entry'!AJ$5)/('Council Entry'!AJ$6-'Council Entry'!AJ$5)),1))),"No data"))</f>
        <v/>
      </c>
      <c r="AK184" s="13">
        <f>IF('Council Entry'!AK184="","",IFERROR(MAX(0,MIN(10,ROUND(IF('Council Entry'!AK$7="Decrease Risk",10-10*((IF('Council Entry'!AK$4="Logarithm",LN(0.001+IF(AND(ISNUMBER('Council Entry'!AK$8),ISNUMBER('Council Entry'!AK$9)),MAX(MIN('Council Entry'!AK184,'Council Entry'!AK$9),'Council Entry'!AK$8),'Council Entry'!AK184)),IF('Council Entry'!AK$4="Exponential",EXP(IF(AND(ISNUMBER('Council Entry'!AK$8),ISNUMBER('Council Entry'!AK$9)),MAX(MIN('Council Entry'!AK184,'Council Entry'!AK$9),'Council Entry'!AK$8),'Council Entry'!AK184)),IF(AND(ISNUMBER('Council Entry'!AK$8),ISNUMBER('Council Entry'!AK$9)),MAX(MIN('Council Entry'!AK184,'Council Entry'!AK$9),'Council Entry'!AK$8),'Council Entry'!AK184))))-'Council Entry'!AK$5)/('Council Entry'!AK$6-'Council Entry'!AK$5),10*((IF('Council Entry'!AK$4="Logarithm",LN(0.001+IF(AND(ISNUMBER('Council Entry'!AK$8),ISNUMBER('Council Entry'!AK$9)),MAX(MIN('Council Entry'!AK184,'Council Entry'!AK$9),'Council Entry'!AK$8),'Council Entry'!AK184)),IF('Council Entry'!AK$4="Exponential",EXP(IF(AND(ISNUMBER('Council Entry'!AK$8),ISNUMBER('Council Entry'!AK$9)),MAX(MIN('Council Entry'!AK184,'Council Entry'!AK$9),'Council Entry'!AK$8),'Council Entry'!AK184)),IF(AND(ISNUMBER('Council Entry'!AK$8),ISNUMBER('Council Entry'!AK$9)),MAX(MIN('Council Entry'!AK184,'Council Entry'!AK$9),'Council Entry'!AK$8),'Council Entry'!AK184))))-'Council Entry'!AK$5)/('Council Entry'!AK$6-'Council Entry'!AK$5)),1))),"No data"))</f>
        <v/>
      </c>
      <c r="AL184" s="13">
        <f>IF('Council Entry'!AL184="","",IFERROR(MAX(0,MIN(10,ROUND(IF('Council Entry'!AL$7="Decrease Risk",10-10*((IF('Council Entry'!AL$4="Logarithm",LN(0.001+IF(AND(ISNUMBER('Council Entry'!AL$8),ISNUMBER('Council Entry'!AL$9)),MAX(MIN('Council Entry'!AL184,'Council Entry'!AL$9),'Council Entry'!AL$8),'Council Entry'!AL184)),IF('Council Entry'!AL$4="Exponential",EXP(IF(AND(ISNUMBER('Council Entry'!AL$8),ISNUMBER('Council Entry'!AL$9)),MAX(MIN('Council Entry'!AL184,'Council Entry'!AL$9),'Council Entry'!AL$8),'Council Entry'!AL184)),IF(AND(ISNUMBER('Council Entry'!AL$8),ISNUMBER('Council Entry'!AL$9)),MAX(MIN('Council Entry'!AL184,'Council Entry'!AL$9),'Council Entry'!AL$8),'Council Entry'!AL184))))-'Council Entry'!AL$5)/('Council Entry'!AL$6-'Council Entry'!AL$5),10*((IF('Council Entry'!AL$4="Logarithm",LN(0.001+IF(AND(ISNUMBER('Council Entry'!AL$8),ISNUMBER('Council Entry'!AL$9)),MAX(MIN('Council Entry'!AL184,'Council Entry'!AL$9),'Council Entry'!AL$8),'Council Entry'!AL184)),IF('Council Entry'!AL$4="Exponential",EXP(IF(AND(ISNUMBER('Council Entry'!AL$8),ISNUMBER('Council Entry'!AL$9)),MAX(MIN('Council Entry'!AL184,'Council Entry'!AL$9),'Council Entry'!AL$8),'Council Entry'!AL184)),IF(AND(ISNUMBER('Council Entry'!AL$8),ISNUMBER('Council Entry'!AL$9)),MAX(MIN('Council Entry'!AL184,'Council Entry'!AL$9),'Council Entry'!AL$8),'Council Entry'!AL184))))-'Council Entry'!AL$5)/('Council Entry'!AL$6-'Council Entry'!AL$5)),1))),"No data"))</f>
        <v/>
      </c>
      <c r="AM184" s="13">
        <f>IF('Council Entry'!AM184="","",IFERROR(MAX(0,MIN(10,ROUND(IF('Council Entry'!AM$7="Decrease Risk",10-10*((IF('Council Entry'!AM$4="Logarithm",LN(0.001+IF(AND(ISNUMBER('Council Entry'!AM$8),ISNUMBER('Council Entry'!AM$9)),MAX(MIN('Council Entry'!AM184,'Council Entry'!AM$9),'Council Entry'!AM$8),'Council Entry'!AM184)),IF('Council Entry'!AM$4="Exponential",EXP(IF(AND(ISNUMBER('Council Entry'!AM$8),ISNUMBER('Council Entry'!AM$9)),MAX(MIN('Council Entry'!AM184,'Council Entry'!AM$9),'Council Entry'!AM$8),'Council Entry'!AM184)),IF(AND(ISNUMBER('Council Entry'!AM$8),ISNUMBER('Council Entry'!AM$9)),MAX(MIN('Council Entry'!AM184,'Council Entry'!AM$9),'Council Entry'!AM$8),'Council Entry'!AM184))))-'Council Entry'!AM$5)/('Council Entry'!AM$6-'Council Entry'!AM$5),10*((IF('Council Entry'!AM$4="Logarithm",LN(0.001+IF(AND(ISNUMBER('Council Entry'!AM$8),ISNUMBER('Council Entry'!AM$9)),MAX(MIN('Council Entry'!AM184,'Council Entry'!AM$9),'Council Entry'!AM$8),'Council Entry'!AM184)),IF('Council Entry'!AM$4="Exponential",EXP(IF(AND(ISNUMBER('Council Entry'!AM$8),ISNUMBER('Council Entry'!AM$9)),MAX(MIN('Council Entry'!AM184,'Council Entry'!AM$9),'Council Entry'!AM$8),'Council Entry'!AM184)),IF(AND(ISNUMBER('Council Entry'!AM$8),ISNUMBER('Council Entry'!AM$9)),MAX(MIN('Council Entry'!AM184,'Council Entry'!AM$9),'Council Entry'!AM$8),'Council Entry'!AM184))))-'Council Entry'!AM$5)/('Council Entry'!AM$6-'Council Entry'!AM$5)),1))),"No data"))</f>
        <v/>
      </c>
      <c r="AN184" s="13">
        <f>IF('Council Entry'!AN184="","",IFERROR(MAX(0,MIN(10,ROUND(IF('Council Entry'!AN$7="Decrease Risk",10-10*((IF('Council Entry'!AN$4="Logarithm",LN(0.001+IF(AND(ISNUMBER('Council Entry'!AN$8),ISNUMBER('Council Entry'!AN$9)),MAX(MIN('Council Entry'!AN184,'Council Entry'!AN$9),'Council Entry'!AN$8),'Council Entry'!AN184)),IF('Council Entry'!AN$4="Exponential",EXP(IF(AND(ISNUMBER('Council Entry'!AN$8),ISNUMBER('Council Entry'!AN$9)),MAX(MIN('Council Entry'!AN184,'Council Entry'!AN$9),'Council Entry'!AN$8),'Council Entry'!AN184)),IF(AND(ISNUMBER('Council Entry'!AN$8),ISNUMBER('Council Entry'!AN$9)),MAX(MIN('Council Entry'!AN184,'Council Entry'!AN$9),'Council Entry'!AN$8),'Council Entry'!AN184))))-'Council Entry'!AN$5)/('Council Entry'!AN$6-'Council Entry'!AN$5),10*((IF('Council Entry'!AN$4="Logarithm",LN(0.001+IF(AND(ISNUMBER('Council Entry'!AN$8),ISNUMBER('Council Entry'!AN$9)),MAX(MIN('Council Entry'!AN184,'Council Entry'!AN$9),'Council Entry'!AN$8),'Council Entry'!AN184)),IF('Council Entry'!AN$4="Exponential",EXP(IF(AND(ISNUMBER('Council Entry'!AN$8),ISNUMBER('Council Entry'!AN$9)),MAX(MIN('Council Entry'!AN184,'Council Entry'!AN$9),'Council Entry'!AN$8),'Council Entry'!AN184)),IF(AND(ISNUMBER('Council Entry'!AN$8),ISNUMBER('Council Entry'!AN$9)),MAX(MIN('Council Entry'!AN184,'Council Entry'!AN$9),'Council Entry'!AN$8),'Council Entry'!AN184))))-'Council Entry'!AN$5)/('Council Entry'!AN$6-'Council Entry'!AN$5)),1))),"No data"))</f>
        <v/>
      </c>
      <c r="AO184" s="13">
        <f>IF('Council Entry'!AO184="","",IFERROR(MAX(0,MIN(10,ROUND(IF('Council Entry'!AO$7="Decrease Risk",10-10*((IF('Council Entry'!AO$4="Logarithm",LN(0.001+IF(AND(ISNUMBER('Council Entry'!AO$8),ISNUMBER('Council Entry'!AO$9)),MAX(MIN('Council Entry'!AO184,'Council Entry'!AO$9),'Council Entry'!AO$8),'Council Entry'!AO184)),IF('Council Entry'!AO$4="Exponential",EXP(IF(AND(ISNUMBER('Council Entry'!AO$8),ISNUMBER('Council Entry'!AO$9)),MAX(MIN('Council Entry'!AO184,'Council Entry'!AO$9),'Council Entry'!AO$8),'Council Entry'!AO184)),IF(AND(ISNUMBER('Council Entry'!AO$8),ISNUMBER('Council Entry'!AO$9)),MAX(MIN('Council Entry'!AO184,'Council Entry'!AO$9),'Council Entry'!AO$8),'Council Entry'!AO184))))-'Council Entry'!AO$5)/('Council Entry'!AO$6-'Council Entry'!AO$5),10*((IF('Council Entry'!AO$4="Logarithm",LN(0.001+IF(AND(ISNUMBER('Council Entry'!AO$8),ISNUMBER('Council Entry'!AO$9)),MAX(MIN('Council Entry'!AO184,'Council Entry'!AO$9),'Council Entry'!AO$8),'Council Entry'!AO184)),IF('Council Entry'!AO$4="Exponential",EXP(IF(AND(ISNUMBER('Council Entry'!AO$8),ISNUMBER('Council Entry'!AO$9)),MAX(MIN('Council Entry'!AO184,'Council Entry'!AO$9),'Council Entry'!AO$8),'Council Entry'!AO184)),IF(AND(ISNUMBER('Council Entry'!AO$8),ISNUMBER('Council Entry'!AO$9)),MAX(MIN('Council Entry'!AO184,'Council Entry'!AO$9),'Council Entry'!AO$8),'Council Entry'!AO184))))-'Council Entry'!AO$5)/('Council Entry'!AO$6-'Council Entry'!AO$5)),1))),"No data"))</f>
        <v/>
      </c>
      <c r="AP184" s="13">
        <f>IF('Council Entry'!AP184="","",IFERROR(MAX(0,MIN(10,ROUND(IF('Council Entry'!AP$7="Decrease Risk",10-10*((IF('Council Entry'!AP$4="Logarithm",LN(0.001+IF(AND(ISNUMBER('Council Entry'!AP$8),ISNUMBER('Council Entry'!AP$9)),MAX(MIN('Council Entry'!AP184,'Council Entry'!AP$9),'Council Entry'!AP$8),'Council Entry'!AP184)),IF('Council Entry'!AP$4="Exponential",EXP(IF(AND(ISNUMBER('Council Entry'!AP$8),ISNUMBER('Council Entry'!AP$9)),MAX(MIN('Council Entry'!AP184,'Council Entry'!AP$9),'Council Entry'!AP$8),'Council Entry'!AP184)),IF(AND(ISNUMBER('Council Entry'!AP$8),ISNUMBER('Council Entry'!AP$9)),MAX(MIN('Council Entry'!AP184,'Council Entry'!AP$9),'Council Entry'!AP$8),'Council Entry'!AP184))))-'Council Entry'!AP$5)/('Council Entry'!AP$6-'Council Entry'!AP$5),10*((IF('Council Entry'!AP$4="Logarithm",LN(0.001+IF(AND(ISNUMBER('Council Entry'!AP$8),ISNUMBER('Council Entry'!AP$9)),MAX(MIN('Council Entry'!AP184,'Council Entry'!AP$9),'Council Entry'!AP$8),'Council Entry'!AP184)),IF('Council Entry'!AP$4="Exponential",EXP(IF(AND(ISNUMBER('Council Entry'!AP$8),ISNUMBER('Council Entry'!AP$9)),MAX(MIN('Council Entry'!AP184,'Council Entry'!AP$9),'Council Entry'!AP$8),'Council Entry'!AP184)),IF(AND(ISNUMBER('Council Entry'!AP$8),ISNUMBER('Council Entry'!AP$9)),MAX(MIN('Council Entry'!AP184,'Council Entry'!AP$9),'Council Entry'!AP$8),'Council Entry'!AP184))))-'Council Entry'!AP$5)/('Council Entry'!AP$6-'Council Entry'!AP$5)),1))),"No data"))</f>
        <v/>
      </c>
      <c r="AQ184" s="13">
        <f>IF('Council Entry'!AQ184="","",IFERROR(MAX(0,MIN(10,ROUND(IF('Council Entry'!AQ$7="Decrease Risk",10-10*((IF('Council Entry'!AQ$4="Logarithm",LN(0.001+IF(AND(ISNUMBER('Council Entry'!AQ$8),ISNUMBER('Council Entry'!AQ$9)),MAX(MIN('Council Entry'!AQ184,'Council Entry'!AQ$9),'Council Entry'!AQ$8),'Council Entry'!AQ184)),IF('Council Entry'!AQ$4="Exponential",EXP(IF(AND(ISNUMBER('Council Entry'!AQ$8),ISNUMBER('Council Entry'!AQ$9)),MAX(MIN('Council Entry'!AQ184,'Council Entry'!AQ$9),'Council Entry'!AQ$8),'Council Entry'!AQ184)),IF(AND(ISNUMBER('Council Entry'!AQ$8),ISNUMBER('Council Entry'!AQ$9)),MAX(MIN('Council Entry'!AQ184,'Council Entry'!AQ$9),'Council Entry'!AQ$8),'Council Entry'!AQ184))))-'Council Entry'!AQ$5)/('Council Entry'!AQ$6-'Council Entry'!AQ$5),10*((IF('Council Entry'!AQ$4="Logarithm",LN(0.001+IF(AND(ISNUMBER('Council Entry'!AQ$8),ISNUMBER('Council Entry'!AQ$9)),MAX(MIN('Council Entry'!AQ184,'Council Entry'!AQ$9),'Council Entry'!AQ$8),'Council Entry'!AQ184)),IF('Council Entry'!AQ$4="Exponential",EXP(IF(AND(ISNUMBER('Council Entry'!AQ$8),ISNUMBER('Council Entry'!AQ$9)),MAX(MIN('Council Entry'!AQ184,'Council Entry'!AQ$9),'Council Entry'!AQ$8),'Council Entry'!AQ184)),IF(AND(ISNUMBER('Council Entry'!AQ$8),ISNUMBER('Council Entry'!AQ$9)),MAX(MIN('Council Entry'!AQ184,'Council Entry'!AQ$9),'Council Entry'!AQ$8),'Council Entry'!AQ184))))-'Council Entry'!AQ$5)/('Council Entry'!AQ$6-'Council Entry'!AQ$5)),1))),"No data"))</f>
        <v/>
      </c>
      <c r="AR184" s="13">
        <f>IF('Council Entry'!AR184="","",IFERROR(MAX(0,MIN(10,ROUND(IF('Council Entry'!AR$7="Decrease Risk",10-10*((IF('Council Entry'!AR$4="Logarithm",LN(0.001+IF(AND(ISNUMBER('Council Entry'!AR$8),ISNUMBER('Council Entry'!AR$9)),MAX(MIN('Council Entry'!AR184,'Council Entry'!AR$9),'Council Entry'!AR$8),'Council Entry'!AR184)),IF('Council Entry'!AR$4="Exponential",EXP(IF(AND(ISNUMBER('Council Entry'!AR$8),ISNUMBER('Council Entry'!AR$9)),MAX(MIN('Council Entry'!AR184,'Council Entry'!AR$9),'Council Entry'!AR$8),'Council Entry'!AR184)),IF(AND(ISNUMBER('Council Entry'!AR$8),ISNUMBER('Council Entry'!AR$9)),MAX(MIN('Council Entry'!AR184,'Council Entry'!AR$9),'Council Entry'!AR$8),'Council Entry'!AR184))))-'Council Entry'!AR$5)/('Council Entry'!AR$6-'Council Entry'!AR$5),10*((IF('Council Entry'!AR$4="Logarithm",LN(0.001+IF(AND(ISNUMBER('Council Entry'!AR$8),ISNUMBER('Council Entry'!AR$9)),MAX(MIN('Council Entry'!AR184,'Council Entry'!AR$9),'Council Entry'!AR$8),'Council Entry'!AR184)),IF('Council Entry'!AR$4="Exponential",EXP(IF(AND(ISNUMBER('Council Entry'!AR$8),ISNUMBER('Council Entry'!AR$9)),MAX(MIN('Council Entry'!AR184,'Council Entry'!AR$9),'Council Entry'!AR$8),'Council Entry'!AR184)),IF(AND(ISNUMBER('Council Entry'!AR$8),ISNUMBER('Council Entry'!AR$9)),MAX(MIN('Council Entry'!AR184,'Council Entry'!AR$9),'Council Entry'!AR$8),'Council Entry'!AR184))))-'Council Entry'!AR$5)/('Council Entry'!AR$6-'Council Entry'!AR$5)),1))),"No data"))</f>
        <v/>
      </c>
      <c r="AS184" s="13">
        <f>IF('Council Entry'!AS184="","",IFERROR(MAX(0,MIN(10,ROUND(IF('Council Entry'!AS$7="Decrease Risk",10-10*((IF('Council Entry'!AS$4="Logarithm",LN(0.001+IF(AND(ISNUMBER('Council Entry'!AS$8),ISNUMBER('Council Entry'!AS$9)),MAX(MIN('Council Entry'!AS184,'Council Entry'!AS$9),'Council Entry'!AS$8),'Council Entry'!AS184)),IF('Council Entry'!AS$4="Exponential",EXP(IF(AND(ISNUMBER('Council Entry'!AS$8),ISNUMBER('Council Entry'!AS$9)),MAX(MIN('Council Entry'!AS184,'Council Entry'!AS$9),'Council Entry'!AS$8),'Council Entry'!AS184)),IF(AND(ISNUMBER('Council Entry'!AS$8),ISNUMBER('Council Entry'!AS$9)),MAX(MIN('Council Entry'!AS184,'Council Entry'!AS$9),'Council Entry'!AS$8),'Council Entry'!AS184))))-'Council Entry'!AS$5)/('Council Entry'!AS$6-'Council Entry'!AS$5),10*((IF('Council Entry'!AS$4="Logarithm",LN(0.001+IF(AND(ISNUMBER('Council Entry'!AS$8),ISNUMBER('Council Entry'!AS$9)),MAX(MIN('Council Entry'!AS184,'Council Entry'!AS$9),'Council Entry'!AS$8),'Council Entry'!AS184)),IF('Council Entry'!AS$4="Exponential",EXP(IF(AND(ISNUMBER('Council Entry'!AS$8),ISNUMBER('Council Entry'!AS$9)),MAX(MIN('Council Entry'!AS184,'Council Entry'!AS$9),'Council Entry'!AS$8),'Council Entry'!AS184)),IF(AND(ISNUMBER('Council Entry'!AS$8),ISNUMBER('Council Entry'!AS$9)),MAX(MIN('Council Entry'!AS184,'Council Entry'!AS$9),'Council Entry'!AS$8),'Council Entry'!AS184))))-'Council Entry'!AS$5)/('Council Entry'!AS$6-'Council Entry'!AS$5)),1))),"No data"))</f>
        <v/>
      </c>
      <c r="AT184" s="13">
        <f>IF('Council Entry'!AT184="","",IFERROR(MAX(0,MIN(10,ROUND(IF('Council Entry'!AT$7="Decrease Risk",10-10*((IF('Council Entry'!AT$4="Logarithm",LN(0.001+IF(AND(ISNUMBER('Council Entry'!AT$8),ISNUMBER('Council Entry'!AT$9)),MAX(MIN('Council Entry'!AT184,'Council Entry'!AT$9),'Council Entry'!AT$8),'Council Entry'!AT184)),IF('Council Entry'!AT$4="Exponential",EXP(IF(AND(ISNUMBER('Council Entry'!AT$8),ISNUMBER('Council Entry'!AT$9)),MAX(MIN('Council Entry'!AT184,'Council Entry'!AT$9),'Council Entry'!AT$8),'Council Entry'!AT184)),IF(AND(ISNUMBER('Council Entry'!AT$8),ISNUMBER('Council Entry'!AT$9)),MAX(MIN('Council Entry'!AT184,'Council Entry'!AT$9),'Council Entry'!AT$8),'Council Entry'!AT184))))-'Council Entry'!AT$5)/('Council Entry'!AT$6-'Council Entry'!AT$5),10*((IF('Council Entry'!AT$4="Logarithm",LN(0.001+IF(AND(ISNUMBER('Council Entry'!AT$8),ISNUMBER('Council Entry'!AT$9)),MAX(MIN('Council Entry'!AT184,'Council Entry'!AT$9),'Council Entry'!AT$8),'Council Entry'!AT184)),IF('Council Entry'!AT$4="Exponential",EXP(IF(AND(ISNUMBER('Council Entry'!AT$8),ISNUMBER('Council Entry'!AT$9)),MAX(MIN('Council Entry'!AT184,'Council Entry'!AT$9),'Council Entry'!AT$8),'Council Entry'!AT184)),IF(AND(ISNUMBER('Council Entry'!AT$8),ISNUMBER('Council Entry'!AT$9)),MAX(MIN('Council Entry'!AT184,'Council Entry'!AT$9),'Council Entry'!AT$8),'Council Entry'!AT184))))-'Council Entry'!AT$5)/('Council Entry'!AT$6-'Council Entry'!AT$5)),1))),"No data"))</f>
        <v/>
      </c>
      <c r="AU184" s="13">
        <f>IF('Council Entry'!AU184="","",IFERROR(MAX(0,MIN(10,ROUND(IF('Council Entry'!AU$7="Decrease Risk",10-10*((IF('Council Entry'!AU$4="Logarithm",LN(0.001+IF(AND(ISNUMBER('Council Entry'!AU$8),ISNUMBER('Council Entry'!AU$9)),MAX(MIN('Council Entry'!AU184,'Council Entry'!AU$9),'Council Entry'!AU$8),'Council Entry'!AU184)),IF('Council Entry'!AU$4="Exponential",EXP(IF(AND(ISNUMBER('Council Entry'!AU$8),ISNUMBER('Council Entry'!AU$9)),MAX(MIN('Council Entry'!AU184,'Council Entry'!AU$9),'Council Entry'!AU$8),'Council Entry'!AU184)),IF(AND(ISNUMBER('Council Entry'!AU$8),ISNUMBER('Council Entry'!AU$9)),MAX(MIN('Council Entry'!AU184,'Council Entry'!AU$9),'Council Entry'!AU$8),'Council Entry'!AU184))))-'Council Entry'!AU$5)/('Council Entry'!AU$6-'Council Entry'!AU$5),10*((IF('Council Entry'!AU$4="Logarithm",LN(0.001+IF(AND(ISNUMBER('Council Entry'!AU$8),ISNUMBER('Council Entry'!AU$9)),MAX(MIN('Council Entry'!AU184,'Council Entry'!AU$9),'Council Entry'!AU$8),'Council Entry'!AU184)),IF('Council Entry'!AU$4="Exponential",EXP(IF(AND(ISNUMBER('Council Entry'!AU$8),ISNUMBER('Council Entry'!AU$9)),MAX(MIN('Council Entry'!AU184,'Council Entry'!AU$9),'Council Entry'!AU$8),'Council Entry'!AU184)),IF(AND(ISNUMBER('Council Entry'!AU$8),ISNUMBER('Council Entry'!AU$9)),MAX(MIN('Council Entry'!AU184,'Council Entry'!AU$9),'Council Entry'!AU$8),'Council Entry'!AU184))))-'Council Entry'!AU$5)/('Council Entry'!AU$6-'Council Entry'!AU$5)),1))),"No data"))</f>
        <v/>
      </c>
      <c r="AV184" s="13">
        <f>IF('Council Entry'!AV184="","",IFERROR(MAX(0,MIN(10,ROUND(IF('Council Entry'!AV$7="Decrease Risk",10-10*((IF('Council Entry'!AV$4="Logarithm",LN(0.001+IF(AND(ISNUMBER('Council Entry'!AV$8),ISNUMBER('Council Entry'!AV$9)),MAX(MIN('Council Entry'!AV184,'Council Entry'!AV$9),'Council Entry'!AV$8),'Council Entry'!AV184)),IF('Council Entry'!AV$4="Exponential",EXP(IF(AND(ISNUMBER('Council Entry'!AV$8),ISNUMBER('Council Entry'!AV$9)),MAX(MIN('Council Entry'!AV184,'Council Entry'!AV$9),'Council Entry'!AV$8),'Council Entry'!AV184)),IF(AND(ISNUMBER('Council Entry'!AV$8),ISNUMBER('Council Entry'!AV$9)),MAX(MIN('Council Entry'!AV184,'Council Entry'!AV$9),'Council Entry'!AV$8),'Council Entry'!AV184))))-'Council Entry'!AV$5)/('Council Entry'!AV$6-'Council Entry'!AV$5),10*((IF('Council Entry'!AV$4="Logarithm",LN(0.001+IF(AND(ISNUMBER('Council Entry'!AV$8),ISNUMBER('Council Entry'!AV$9)),MAX(MIN('Council Entry'!AV184,'Council Entry'!AV$9),'Council Entry'!AV$8),'Council Entry'!AV184)),IF('Council Entry'!AV$4="Exponential",EXP(IF(AND(ISNUMBER('Council Entry'!AV$8),ISNUMBER('Council Entry'!AV$9)),MAX(MIN('Council Entry'!AV184,'Council Entry'!AV$9),'Council Entry'!AV$8),'Council Entry'!AV184)),IF(AND(ISNUMBER('Council Entry'!AV$8),ISNUMBER('Council Entry'!AV$9)),MAX(MIN('Council Entry'!AV184,'Council Entry'!AV$9),'Council Entry'!AV$8),'Council Entry'!AV184))))-'Council Entry'!AV$5)/('Council Entry'!AV$6-'Council Entry'!AV$5)),1))),"No data"))</f>
        <v/>
      </c>
      <c r="AW184" s="13">
        <f>IF('Council Entry'!AW184="","",IFERROR(MAX(0,MIN(10,ROUND(IF('Council Entry'!AW$7="Decrease Risk",10-10*((IF('Council Entry'!AW$4="Logarithm",LN(0.001+IF(AND(ISNUMBER('Council Entry'!AW$8),ISNUMBER('Council Entry'!AW$9)),MAX(MIN('Council Entry'!AW184,'Council Entry'!AW$9),'Council Entry'!AW$8),'Council Entry'!AW184)),IF('Council Entry'!AW$4="Exponential",EXP(IF(AND(ISNUMBER('Council Entry'!AW$8),ISNUMBER('Council Entry'!AW$9)),MAX(MIN('Council Entry'!AW184,'Council Entry'!AW$9),'Council Entry'!AW$8),'Council Entry'!AW184)),IF(AND(ISNUMBER('Council Entry'!AW$8),ISNUMBER('Council Entry'!AW$9)),MAX(MIN('Council Entry'!AW184,'Council Entry'!AW$9),'Council Entry'!AW$8),'Council Entry'!AW184))))-'Council Entry'!AW$5)/('Council Entry'!AW$6-'Council Entry'!AW$5),10*((IF('Council Entry'!AW$4="Logarithm",LN(0.001+IF(AND(ISNUMBER('Council Entry'!AW$8),ISNUMBER('Council Entry'!AW$9)),MAX(MIN('Council Entry'!AW184,'Council Entry'!AW$9),'Council Entry'!AW$8),'Council Entry'!AW184)),IF('Council Entry'!AW$4="Exponential",EXP(IF(AND(ISNUMBER('Council Entry'!AW$8),ISNUMBER('Council Entry'!AW$9)),MAX(MIN('Council Entry'!AW184,'Council Entry'!AW$9),'Council Entry'!AW$8),'Council Entry'!AW184)),IF(AND(ISNUMBER('Council Entry'!AW$8),ISNUMBER('Council Entry'!AW$9)),MAX(MIN('Council Entry'!AW184,'Council Entry'!AW$9),'Council Entry'!AW$8),'Council Entry'!AW184))))-'Council Entry'!AW$5)/('Council Entry'!AW$6-'Council Entry'!AW$5)),1))),"No data"))</f>
        <v/>
      </c>
      <c r="AX184" s="13">
        <f>IF('Council Entry'!AX184="","",IFERROR(MAX(0,MIN(10,ROUND(IF('Council Entry'!AX$7="Decrease Risk",10-10*((IF('Council Entry'!AX$4="Logarithm",LN(0.001+IF(AND(ISNUMBER('Council Entry'!AX$8),ISNUMBER('Council Entry'!AX$9)),MAX(MIN('Council Entry'!AX184,'Council Entry'!AX$9),'Council Entry'!AX$8),'Council Entry'!AX184)),IF('Council Entry'!AX$4="Exponential",EXP(IF(AND(ISNUMBER('Council Entry'!AX$8),ISNUMBER('Council Entry'!AX$9)),MAX(MIN('Council Entry'!AX184,'Council Entry'!AX$9),'Council Entry'!AX$8),'Council Entry'!AX184)),IF(AND(ISNUMBER('Council Entry'!AX$8),ISNUMBER('Council Entry'!AX$9)),MAX(MIN('Council Entry'!AX184,'Council Entry'!AX$9),'Council Entry'!AX$8),'Council Entry'!AX184))))-'Council Entry'!AX$5)/('Council Entry'!AX$6-'Council Entry'!AX$5),10*((IF('Council Entry'!AX$4="Logarithm",LN(0.001+IF(AND(ISNUMBER('Council Entry'!AX$8),ISNUMBER('Council Entry'!AX$9)),MAX(MIN('Council Entry'!AX184,'Council Entry'!AX$9),'Council Entry'!AX$8),'Council Entry'!AX184)),IF('Council Entry'!AX$4="Exponential",EXP(IF(AND(ISNUMBER('Council Entry'!AX$8),ISNUMBER('Council Entry'!AX$9)),MAX(MIN('Council Entry'!AX184,'Council Entry'!AX$9),'Council Entry'!AX$8),'Council Entry'!AX184)),IF(AND(ISNUMBER('Council Entry'!AX$8),ISNUMBER('Council Entry'!AX$9)),MAX(MIN('Council Entry'!AX184,'Council Entry'!AX$9),'Council Entry'!AX$8),'Council Entry'!AX184))))-'Council Entry'!AX$5)/('Council Entry'!AX$6-'Council Entry'!AX$5)),1))),"No data"))</f>
        <v/>
      </c>
      <c r="AY184" s="13">
        <f>IF('Council Entry'!AY184="","",IFERROR(MAX(0,MIN(10,ROUND(IF('Council Entry'!AY$7="Decrease Risk",10-10*((IF('Council Entry'!AY$4="Logarithm",LN(0.001+IF(AND(ISNUMBER('Council Entry'!AY$8),ISNUMBER('Council Entry'!AY$9)),MAX(MIN('Council Entry'!AY184,'Council Entry'!AY$9),'Council Entry'!AY$8),'Council Entry'!AY184)),IF('Council Entry'!AY$4="Exponential",EXP(IF(AND(ISNUMBER('Council Entry'!AY$8),ISNUMBER('Council Entry'!AY$9)),MAX(MIN('Council Entry'!AY184,'Council Entry'!AY$9),'Council Entry'!AY$8),'Council Entry'!AY184)),IF(AND(ISNUMBER('Council Entry'!AY$8),ISNUMBER('Council Entry'!AY$9)),MAX(MIN('Council Entry'!AY184,'Council Entry'!AY$9),'Council Entry'!AY$8),'Council Entry'!AY184))))-'Council Entry'!AY$5)/('Council Entry'!AY$6-'Council Entry'!AY$5),10*((IF('Council Entry'!AY$4="Logarithm",LN(0.001+IF(AND(ISNUMBER('Council Entry'!AY$8),ISNUMBER('Council Entry'!AY$9)),MAX(MIN('Council Entry'!AY184,'Council Entry'!AY$9),'Council Entry'!AY$8),'Council Entry'!AY184)),IF('Council Entry'!AY$4="Exponential",EXP(IF(AND(ISNUMBER('Council Entry'!AY$8),ISNUMBER('Council Entry'!AY$9)),MAX(MIN('Council Entry'!AY184,'Council Entry'!AY$9),'Council Entry'!AY$8),'Council Entry'!AY184)),IF(AND(ISNUMBER('Council Entry'!AY$8),ISNUMBER('Council Entry'!AY$9)),MAX(MIN('Council Entry'!AY184,'Council Entry'!AY$9),'Council Entry'!AY$8),'Council Entry'!AY184))))-'Council Entry'!AY$5)/('Council Entry'!AY$6-'Council Entry'!AY$5)),1))),"No data"))</f>
        <v/>
      </c>
      <c r="AZ184" s="13">
        <f>IF('Council Entry'!AZ184="","",IFERROR(MAX(0,MIN(10,ROUND(IF('Council Entry'!AZ$7="Decrease Risk",10-10*((IF('Council Entry'!AZ$4="Logarithm",LN(0.001+IF(AND(ISNUMBER('Council Entry'!AZ$8),ISNUMBER('Council Entry'!AZ$9)),MAX(MIN('Council Entry'!AZ184,'Council Entry'!AZ$9),'Council Entry'!AZ$8),'Council Entry'!AZ184)),IF('Council Entry'!AZ$4="Exponential",EXP(IF(AND(ISNUMBER('Council Entry'!AZ$8),ISNUMBER('Council Entry'!AZ$9)),MAX(MIN('Council Entry'!AZ184,'Council Entry'!AZ$9),'Council Entry'!AZ$8),'Council Entry'!AZ184)),IF(AND(ISNUMBER('Council Entry'!AZ$8),ISNUMBER('Council Entry'!AZ$9)),MAX(MIN('Council Entry'!AZ184,'Council Entry'!AZ$9),'Council Entry'!AZ$8),'Council Entry'!AZ184))))-'Council Entry'!AZ$5)/('Council Entry'!AZ$6-'Council Entry'!AZ$5),10*((IF('Council Entry'!AZ$4="Logarithm",LN(0.001+IF(AND(ISNUMBER('Council Entry'!AZ$8),ISNUMBER('Council Entry'!AZ$9)),MAX(MIN('Council Entry'!AZ184,'Council Entry'!AZ$9),'Council Entry'!AZ$8),'Council Entry'!AZ184)),IF('Council Entry'!AZ$4="Exponential",EXP(IF(AND(ISNUMBER('Council Entry'!AZ$8),ISNUMBER('Council Entry'!AZ$9)),MAX(MIN('Council Entry'!AZ184,'Council Entry'!AZ$9),'Council Entry'!AZ$8),'Council Entry'!AZ184)),IF(AND(ISNUMBER('Council Entry'!AZ$8),ISNUMBER('Council Entry'!AZ$9)),MAX(MIN('Council Entry'!AZ184,'Council Entry'!AZ$9),'Council Entry'!AZ$8),'Council Entry'!AZ184))))-'Council Entry'!AZ$5)/('Council Entry'!AZ$6-'Council Entry'!AZ$5)),1))),"No data"))</f>
        <v/>
      </c>
      <c r="BA184" s="13">
        <f>IF('Council Entry'!BA184="","",IFERROR(MAX(0,MIN(10,ROUND(IF('Council Entry'!BA$7="Decrease Risk",10-10*((IF('Council Entry'!BA$4="Logarithm",LN(0.001+IF(AND(ISNUMBER('Council Entry'!BA$8),ISNUMBER('Council Entry'!BA$9)),MAX(MIN('Council Entry'!BA184,'Council Entry'!BA$9),'Council Entry'!BA$8),'Council Entry'!BA184)),IF('Council Entry'!BA$4="Exponential",EXP(IF(AND(ISNUMBER('Council Entry'!BA$8),ISNUMBER('Council Entry'!BA$9)),MAX(MIN('Council Entry'!BA184,'Council Entry'!BA$9),'Council Entry'!BA$8),'Council Entry'!BA184)),IF(AND(ISNUMBER('Council Entry'!BA$8),ISNUMBER('Council Entry'!BA$9)),MAX(MIN('Council Entry'!BA184,'Council Entry'!BA$9),'Council Entry'!BA$8),'Council Entry'!BA184))))-'Council Entry'!BA$5)/('Council Entry'!BA$6-'Council Entry'!BA$5),10*((IF('Council Entry'!BA$4="Logarithm",LN(0.001+IF(AND(ISNUMBER('Council Entry'!BA$8),ISNUMBER('Council Entry'!BA$9)),MAX(MIN('Council Entry'!BA184,'Council Entry'!BA$9),'Council Entry'!BA$8),'Council Entry'!BA184)),IF('Council Entry'!BA$4="Exponential",EXP(IF(AND(ISNUMBER('Council Entry'!BA$8),ISNUMBER('Council Entry'!BA$9)),MAX(MIN('Council Entry'!BA184,'Council Entry'!BA$9),'Council Entry'!BA$8),'Council Entry'!BA184)),IF(AND(ISNUMBER('Council Entry'!BA$8),ISNUMBER('Council Entry'!BA$9)),MAX(MIN('Council Entry'!BA184,'Council Entry'!BA$9),'Council Entry'!BA$8),'Council Entry'!BA184))))-'Council Entry'!BA$5)/('Council Entry'!BA$6-'Council Entry'!BA$5)),1))),"No data"))</f>
        <v/>
      </c>
      <c r="BB184" s="13">
        <f>IF('Council Entry'!BB184="","",IFERROR(MAX(0,MIN(10,ROUND(IF('Council Entry'!BB$7="Decrease Risk",10-10*((IF('Council Entry'!BB$4="Logarithm",LN(0.001+IF(AND(ISNUMBER('Council Entry'!BB$8),ISNUMBER('Council Entry'!BB$9)),MAX(MIN('Council Entry'!BB184,'Council Entry'!BB$9),'Council Entry'!BB$8),'Council Entry'!BB184)),IF('Council Entry'!BB$4="Exponential",EXP(IF(AND(ISNUMBER('Council Entry'!BB$8),ISNUMBER('Council Entry'!BB$9)),MAX(MIN('Council Entry'!BB184,'Council Entry'!BB$9),'Council Entry'!BB$8),'Council Entry'!BB184)),IF(AND(ISNUMBER('Council Entry'!BB$8),ISNUMBER('Council Entry'!BB$9)),MAX(MIN('Council Entry'!BB184,'Council Entry'!BB$9),'Council Entry'!BB$8),'Council Entry'!BB184))))-'Council Entry'!BB$5)/('Council Entry'!BB$6-'Council Entry'!BB$5),10*((IF('Council Entry'!BB$4="Logarithm",LN(0.001+IF(AND(ISNUMBER('Council Entry'!BB$8),ISNUMBER('Council Entry'!BB$9)),MAX(MIN('Council Entry'!BB184,'Council Entry'!BB$9),'Council Entry'!BB$8),'Council Entry'!BB184)),IF('Council Entry'!BB$4="Exponential",EXP(IF(AND(ISNUMBER('Council Entry'!BB$8),ISNUMBER('Council Entry'!BB$9)),MAX(MIN('Council Entry'!BB184,'Council Entry'!BB$9),'Council Entry'!BB$8),'Council Entry'!BB184)),IF(AND(ISNUMBER('Council Entry'!BB$8),ISNUMBER('Council Entry'!BB$9)),MAX(MIN('Council Entry'!BB184,'Council Entry'!BB$9),'Council Entry'!BB$8),'Council Entry'!BB184))))-'Council Entry'!BB$5)/('Council Entry'!BB$6-'Council Entry'!BB$5)),1))),"No data"))</f>
        <v/>
      </c>
      <c r="BC184" s="13">
        <f>IF('Council Entry'!BC184="","",IFERROR(MAX(0,MIN(10,ROUND(IF('Council Entry'!BC$7="Decrease Risk",10-10*((IF('Council Entry'!BC$4="Logarithm",LN(0.001+IF(AND(ISNUMBER('Council Entry'!BC$8),ISNUMBER('Council Entry'!BC$9)),MAX(MIN('Council Entry'!BC184,'Council Entry'!BC$9),'Council Entry'!BC$8),'Council Entry'!BC184)),IF('Council Entry'!BC$4="Exponential",EXP(IF(AND(ISNUMBER('Council Entry'!BC$8),ISNUMBER('Council Entry'!BC$9)),MAX(MIN('Council Entry'!BC184,'Council Entry'!BC$9),'Council Entry'!BC$8),'Council Entry'!BC184)),IF(AND(ISNUMBER('Council Entry'!BC$8),ISNUMBER('Council Entry'!BC$9)),MAX(MIN('Council Entry'!BC184,'Council Entry'!BC$9),'Council Entry'!BC$8),'Council Entry'!BC184))))-'Council Entry'!BC$5)/('Council Entry'!BC$6-'Council Entry'!BC$5),10*((IF('Council Entry'!BC$4="Logarithm",LN(0.001+IF(AND(ISNUMBER('Council Entry'!BC$8),ISNUMBER('Council Entry'!BC$9)),MAX(MIN('Council Entry'!BC184,'Council Entry'!BC$9),'Council Entry'!BC$8),'Council Entry'!BC184)),IF('Council Entry'!BC$4="Exponential",EXP(IF(AND(ISNUMBER('Council Entry'!BC$8),ISNUMBER('Council Entry'!BC$9)),MAX(MIN('Council Entry'!BC184,'Council Entry'!BC$9),'Council Entry'!BC$8),'Council Entry'!BC184)),IF(AND(ISNUMBER('Council Entry'!BC$8),ISNUMBER('Council Entry'!BC$9)),MAX(MIN('Council Entry'!BC184,'Council Entry'!BC$9),'Council Entry'!BC$8),'Council Entry'!BC184))))-'Council Entry'!BC$5)/('Council Entry'!BC$6-'Council Entry'!BC$5)),1))),"No data"))</f>
        <v/>
      </c>
      <c r="BD184" s="13">
        <f>IF('Council Entry'!BD184="","",IFERROR(MAX(0,MIN(10,ROUND(IF('Council Entry'!BD$7="Decrease Risk",10-10*((IF('Council Entry'!BD$4="Logarithm",LN(0.001+IF(AND(ISNUMBER('Council Entry'!BD$8),ISNUMBER('Council Entry'!BD$9)),MAX(MIN('Council Entry'!BD184,'Council Entry'!BD$9),'Council Entry'!BD$8),'Council Entry'!BD184)),IF('Council Entry'!BD$4="Exponential",EXP(IF(AND(ISNUMBER('Council Entry'!BD$8),ISNUMBER('Council Entry'!BD$9)),MAX(MIN('Council Entry'!BD184,'Council Entry'!BD$9),'Council Entry'!BD$8),'Council Entry'!BD184)),IF(AND(ISNUMBER('Council Entry'!BD$8),ISNUMBER('Council Entry'!BD$9)),MAX(MIN('Council Entry'!BD184,'Council Entry'!BD$9),'Council Entry'!BD$8),'Council Entry'!BD184))))-'Council Entry'!BD$5)/('Council Entry'!BD$6-'Council Entry'!BD$5),10*((IF('Council Entry'!BD$4="Logarithm",LN(0.001+IF(AND(ISNUMBER('Council Entry'!BD$8),ISNUMBER('Council Entry'!BD$9)),MAX(MIN('Council Entry'!BD184,'Council Entry'!BD$9),'Council Entry'!BD$8),'Council Entry'!BD184)),IF('Council Entry'!BD$4="Exponential",EXP(IF(AND(ISNUMBER('Council Entry'!BD$8),ISNUMBER('Council Entry'!BD$9)),MAX(MIN('Council Entry'!BD184,'Council Entry'!BD$9),'Council Entry'!BD$8),'Council Entry'!BD184)),IF(AND(ISNUMBER('Council Entry'!BD$8),ISNUMBER('Council Entry'!BD$9)),MAX(MIN('Council Entry'!BD184,'Council Entry'!BD$9),'Council Entry'!BD$8),'Council Entry'!BD184))))-'Council Entry'!BD$5)/('Council Entry'!BD$6-'Council Entry'!BD$5)),1))),"No data"))</f>
        <v/>
      </c>
    </row>
    <row r="185">
      <c r="A185" t="inlineStr">
        <is>
          <t>Songwe</t>
        </is>
      </c>
      <c r="B185" t="inlineStr">
        <is>
          <t>Songwe District</t>
        </is>
      </c>
      <c r="C185" t="inlineStr">
        <is>
          <t>C182</t>
        </is>
      </c>
      <c r="D185" s="13">
        <f>IF('Council Entry'!D185="","",IFERROR(MAX(0,MIN(10,ROUND(IF('Council Entry'!D$7="Decrease Risk",10-10*((IF('Council Entry'!D$4="Logarithm",LN(0.001+IF(AND(ISNUMBER('Council Entry'!D$8),ISNUMBER('Council Entry'!D$9)),MAX(MIN('Council Entry'!D185,'Council Entry'!D$9),'Council Entry'!D$8),'Council Entry'!D185)),IF('Council Entry'!D$4="Exponential",EXP(IF(AND(ISNUMBER('Council Entry'!D$8),ISNUMBER('Council Entry'!D$9)),MAX(MIN('Council Entry'!D185,'Council Entry'!D$9),'Council Entry'!D$8),'Council Entry'!D185)),IF(AND(ISNUMBER('Council Entry'!D$8),ISNUMBER('Council Entry'!D$9)),MAX(MIN('Council Entry'!D185,'Council Entry'!D$9),'Council Entry'!D$8),'Council Entry'!D185))))-'Council Entry'!D$5)/('Council Entry'!D$6-'Council Entry'!D$5),10*((IF('Council Entry'!D$4="Logarithm",LN(0.001+IF(AND(ISNUMBER('Council Entry'!D$8),ISNUMBER('Council Entry'!D$9)),MAX(MIN('Council Entry'!D185,'Council Entry'!D$9),'Council Entry'!D$8),'Council Entry'!D185)),IF('Council Entry'!D$4="Exponential",EXP(IF(AND(ISNUMBER('Council Entry'!D$8),ISNUMBER('Council Entry'!D$9)),MAX(MIN('Council Entry'!D185,'Council Entry'!D$9),'Council Entry'!D$8),'Council Entry'!D185)),IF(AND(ISNUMBER('Council Entry'!D$8),ISNUMBER('Council Entry'!D$9)),MAX(MIN('Council Entry'!D185,'Council Entry'!D$9),'Council Entry'!D$8),'Council Entry'!D185))))-'Council Entry'!D$5)/('Council Entry'!D$6-'Council Entry'!D$5)),1))),"No data"))</f>
        <v/>
      </c>
      <c r="E185" s="13">
        <f>IF('Council Entry'!E185="","",IFERROR(MAX(0,MIN(10,ROUND(IF('Council Entry'!E$7="Decrease Risk",10-10*((IF('Council Entry'!E$4="Logarithm",LN(0.001+IF(AND(ISNUMBER('Council Entry'!E$8),ISNUMBER('Council Entry'!E$9)),MAX(MIN('Council Entry'!E185,'Council Entry'!E$9),'Council Entry'!E$8),'Council Entry'!E185)),IF('Council Entry'!E$4="Exponential",EXP(IF(AND(ISNUMBER('Council Entry'!E$8),ISNUMBER('Council Entry'!E$9)),MAX(MIN('Council Entry'!E185,'Council Entry'!E$9),'Council Entry'!E$8),'Council Entry'!E185)),IF(AND(ISNUMBER('Council Entry'!E$8),ISNUMBER('Council Entry'!E$9)),MAX(MIN('Council Entry'!E185,'Council Entry'!E$9),'Council Entry'!E$8),'Council Entry'!E185))))-'Council Entry'!E$5)/('Council Entry'!E$6-'Council Entry'!E$5),10*((IF('Council Entry'!E$4="Logarithm",LN(0.001+IF(AND(ISNUMBER('Council Entry'!E$8),ISNUMBER('Council Entry'!E$9)),MAX(MIN('Council Entry'!E185,'Council Entry'!E$9),'Council Entry'!E$8),'Council Entry'!E185)),IF('Council Entry'!E$4="Exponential",EXP(IF(AND(ISNUMBER('Council Entry'!E$8),ISNUMBER('Council Entry'!E$9)),MAX(MIN('Council Entry'!E185,'Council Entry'!E$9),'Council Entry'!E$8),'Council Entry'!E185)),IF(AND(ISNUMBER('Council Entry'!E$8),ISNUMBER('Council Entry'!E$9)),MAX(MIN('Council Entry'!E185,'Council Entry'!E$9),'Council Entry'!E$8),'Council Entry'!E185))))-'Council Entry'!E$5)/('Council Entry'!E$6-'Council Entry'!E$5)),1))),"No data"))</f>
        <v/>
      </c>
      <c r="F185" s="13">
        <f>IF('Council Entry'!F185="","",IFERROR(MAX(0,MIN(10,ROUND(IF('Council Entry'!F$7="Decrease Risk",10-10*((IF('Council Entry'!F$4="Logarithm",LN(0.001+IF(AND(ISNUMBER('Council Entry'!F$8),ISNUMBER('Council Entry'!F$9)),MAX(MIN('Council Entry'!F185,'Council Entry'!F$9),'Council Entry'!F$8),'Council Entry'!F185)),IF('Council Entry'!F$4="Exponential",EXP(IF(AND(ISNUMBER('Council Entry'!F$8),ISNUMBER('Council Entry'!F$9)),MAX(MIN('Council Entry'!F185,'Council Entry'!F$9),'Council Entry'!F$8),'Council Entry'!F185)),IF(AND(ISNUMBER('Council Entry'!F$8),ISNUMBER('Council Entry'!F$9)),MAX(MIN('Council Entry'!F185,'Council Entry'!F$9),'Council Entry'!F$8),'Council Entry'!F185))))-'Council Entry'!F$5)/('Council Entry'!F$6-'Council Entry'!F$5),10*((IF('Council Entry'!F$4="Logarithm",LN(0.001+IF(AND(ISNUMBER('Council Entry'!F$8),ISNUMBER('Council Entry'!F$9)),MAX(MIN('Council Entry'!F185,'Council Entry'!F$9),'Council Entry'!F$8),'Council Entry'!F185)),IF('Council Entry'!F$4="Exponential",EXP(IF(AND(ISNUMBER('Council Entry'!F$8),ISNUMBER('Council Entry'!F$9)),MAX(MIN('Council Entry'!F185,'Council Entry'!F$9),'Council Entry'!F$8),'Council Entry'!F185)),IF(AND(ISNUMBER('Council Entry'!F$8),ISNUMBER('Council Entry'!F$9)),MAX(MIN('Council Entry'!F185,'Council Entry'!F$9),'Council Entry'!F$8),'Council Entry'!F185))))-'Council Entry'!F$5)/('Council Entry'!F$6-'Council Entry'!F$5)),1))),"No data"))</f>
        <v/>
      </c>
      <c r="G185" s="13">
        <f>IF('Council Entry'!G185="","",IFERROR(MAX(0,MIN(10,ROUND(IF('Council Entry'!G$7="Decrease Risk",10-10*((IF('Council Entry'!G$4="Logarithm",LN(0.001+IF(AND(ISNUMBER('Council Entry'!G$8),ISNUMBER('Council Entry'!G$9)),MAX(MIN('Council Entry'!G185,'Council Entry'!G$9),'Council Entry'!G$8),'Council Entry'!G185)),IF('Council Entry'!G$4="Exponential",EXP(IF(AND(ISNUMBER('Council Entry'!G$8),ISNUMBER('Council Entry'!G$9)),MAX(MIN('Council Entry'!G185,'Council Entry'!G$9),'Council Entry'!G$8),'Council Entry'!G185)),IF(AND(ISNUMBER('Council Entry'!G$8),ISNUMBER('Council Entry'!G$9)),MAX(MIN('Council Entry'!G185,'Council Entry'!G$9),'Council Entry'!G$8),'Council Entry'!G185))))-'Council Entry'!G$5)/('Council Entry'!G$6-'Council Entry'!G$5),10*((IF('Council Entry'!G$4="Logarithm",LN(0.001+IF(AND(ISNUMBER('Council Entry'!G$8),ISNUMBER('Council Entry'!G$9)),MAX(MIN('Council Entry'!G185,'Council Entry'!G$9),'Council Entry'!G$8),'Council Entry'!G185)),IF('Council Entry'!G$4="Exponential",EXP(IF(AND(ISNUMBER('Council Entry'!G$8),ISNUMBER('Council Entry'!G$9)),MAX(MIN('Council Entry'!G185,'Council Entry'!G$9),'Council Entry'!G$8),'Council Entry'!G185)),IF(AND(ISNUMBER('Council Entry'!G$8),ISNUMBER('Council Entry'!G$9)),MAX(MIN('Council Entry'!G185,'Council Entry'!G$9),'Council Entry'!G$8),'Council Entry'!G185))))-'Council Entry'!G$5)/('Council Entry'!G$6-'Council Entry'!G$5)),1))),"No data"))</f>
        <v/>
      </c>
      <c r="H185" s="13">
        <f>IF('Council Entry'!H185="","",IFERROR(MAX(0,MIN(10,ROUND(IF('Council Entry'!H$7="Decrease Risk",10-10*((IF('Council Entry'!H$4="Logarithm",LN(0.001+IF(AND(ISNUMBER('Council Entry'!H$8),ISNUMBER('Council Entry'!H$9)),MAX(MIN('Council Entry'!H185,'Council Entry'!H$9),'Council Entry'!H$8),'Council Entry'!H185)),IF('Council Entry'!H$4="Exponential",EXP(IF(AND(ISNUMBER('Council Entry'!H$8),ISNUMBER('Council Entry'!H$9)),MAX(MIN('Council Entry'!H185,'Council Entry'!H$9),'Council Entry'!H$8),'Council Entry'!H185)),IF(AND(ISNUMBER('Council Entry'!H$8),ISNUMBER('Council Entry'!H$9)),MAX(MIN('Council Entry'!H185,'Council Entry'!H$9),'Council Entry'!H$8),'Council Entry'!H185))))-'Council Entry'!H$5)/('Council Entry'!H$6-'Council Entry'!H$5),10*((IF('Council Entry'!H$4="Logarithm",LN(0.001+IF(AND(ISNUMBER('Council Entry'!H$8),ISNUMBER('Council Entry'!H$9)),MAX(MIN('Council Entry'!H185,'Council Entry'!H$9),'Council Entry'!H$8),'Council Entry'!H185)),IF('Council Entry'!H$4="Exponential",EXP(IF(AND(ISNUMBER('Council Entry'!H$8),ISNUMBER('Council Entry'!H$9)),MAX(MIN('Council Entry'!H185,'Council Entry'!H$9),'Council Entry'!H$8),'Council Entry'!H185)),IF(AND(ISNUMBER('Council Entry'!H$8),ISNUMBER('Council Entry'!H$9)),MAX(MIN('Council Entry'!H185,'Council Entry'!H$9),'Council Entry'!H$8),'Council Entry'!H185))))-'Council Entry'!H$5)/('Council Entry'!H$6-'Council Entry'!H$5)),1))),"No data"))</f>
        <v/>
      </c>
      <c r="I185" s="13">
        <f>IF('Council Entry'!I185="","",IFERROR(MAX(0,MIN(10,ROUND(IF('Council Entry'!I$7="Decrease Risk",10-10*((IF('Council Entry'!I$4="Logarithm",LN(0.001+IF(AND(ISNUMBER('Council Entry'!I$8),ISNUMBER('Council Entry'!I$9)),MAX(MIN('Council Entry'!I185,'Council Entry'!I$9),'Council Entry'!I$8),'Council Entry'!I185)),IF('Council Entry'!I$4="Exponential",EXP(IF(AND(ISNUMBER('Council Entry'!I$8),ISNUMBER('Council Entry'!I$9)),MAX(MIN('Council Entry'!I185,'Council Entry'!I$9),'Council Entry'!I$8),'Council Entry'!I185)),IF(AND(ISNUMBER('Council Entry'!I$8),ISNUMBER('Council Entry'!I$9)),MAX(MIN('Council Entry'!I185,'Council Entry'!I$9),'Council Entry'!I$8),'Council Entry'!I185))))-'Council Entry'!I$5)/('Council Entry'!I$6-'Council Entry'!I$5),10*((IF('Council Entry'!I$4="Logarithm",LN(0.001+IF(AND(ISNUMBER('Council Entry'!I$8),ISNUMBER('Council Entry'!I$9)),MAX(MIN('Council Entry'!I185,'Council Entry'!I$9),'Council Entry'!I$8),'Council Entry'!I185)),IF('Council Entry'!I$4="Exponential",EXP(IF(AND(ISNUMBER('Council Entry'!I$8),ISNUMBER('Council Entry'!I$9)),MAX(MIN('Council Entry'!I185,'Council Entry'!I$9),'Council Entry'!I$8),'Council Entry'!I185)),IF(AND(ISNUMBER('Council Entry'!I$8),ISNUMBER('Council Entry'!I$9)),MAX(MIN('Council Entry'!I185,'Council Entry'!I$9),'Council Entry'!I$8),'Council Entry'!I185))))-'Council Entry'!I$5)/('Council Entry'!I$6-'Council Entry'!I$5)),1))),"No data"))</f>
        <v/>
      </c>
      <c r="J185" s="13">
        <f>IF('Council Entry'!J185="","",IFERROR(MAX(0,MIN(10,ROUND(IF('Council Entry'!J$7="Decrease Risk",10-10*((IF('Council Entry'!J$4="Logarithm",LN(0.001+IF(AND(ISNUMBER('Council Entry'!J$8),ISNUMBER('Council Entry'!J$9)),MAX(MIN('Council Entry'!J185,'Council Entry'!J$9),'Council Entry'!J$8),'Council Entry'!J185)),IF('Council Entry'!J$4="Exponential",EXP(IF(AND(ISNUMBER('Council Entry'!J$8),ISNUMBER('Council Entry'!J$9)),MAX(MIN('Council Entry'!J185,'Council Entry'!J$9),'Council Entry'!J$8),'Council Entry'!J185)),IF(AND(ISNUMBER('Council Entry'!J$8),ISNUMBER('Council Entry'!J$9)),MAX(MIN('Council Entry'!J185,'Council Entry'!J$9),'Council Entry'!J$8),'Council Entry'!J185))))-'Council Entry'!J$5)/('Council Entry'!J$6-'Council Entry'!J$5),10*((IF('Council Entry'!J$4="Logarithm",LN(0.001+IF(AND(ISNUMBER('Council Entry'!J$8),ISNUMBER('Council Entry'!J$9)),MAX(MIN('Council Entry'!J185,'Council Entry'!J$9),'Council Entry'!J$8),'Council Entry'!J185)),IF('Council Entry'!J$4="Exponential",EXP(IF(AND(ISNUMBER('Council Entry'!J$8),ISNUMBER('Council Entry'!J$9)),MAX(MIN('Council Entry'!J185,'Council Entry'!J$9),'Council Entry'!J$8),'Council Entry'!J185)),IF(AND(ISNUMBER('Council Entry'!J$8),ISNUMBER('Council Entry'!J$9)),MAX(MIN('Council Entry'!J185,'Council Entry'!J$9),'Council Entry'!J$8),'Council Entry'!J185))))-'Council Entry'!J$5)/('Council Entry'!J$6-'Council Entry'!J$5)),1))),"No data"))</f>
        <v/>
      </c>
      <c r="K185" s="13">
        <f>IF('Council Entry'!K185="","",IFERROR(MAX(0,MIN(10,ROUND(IF('Council Entry'!K$7="Decrease Risk",10-10*((IF('Council Entry'!K$4="Logarithm",LN(0.001+IF(AND(ISNUMBER('Council Entry'!K$8),ISNUMBER('Council Entry'!K$9)),MAX(MIN('Council Entry'!K185,'Council Entry'!K$9),'Council Entry'!K$8),'Council Entry'!K185)),IF('Council Entry'!K$4="Exponential",EXP(IF(AND(ISNUMBER('Council Entry'!K$8),ISNUMBER('Council Entry'!K$9)),MAX(MIN('Council Entry'!K185,'Council Entry'!K$9),'Council Entry'!K$8),'Council Entry'!K185)),IF(AND(ISNUMBER('Council Entry'!K$8),ISNUMBER('Council Entry'!K$9)),MAX(MIN('Council Entry'!K185,'Council Entry'!K$9),'Council Entry'!K$8),'Council Entry'!K185))))-'Council Entry'!K$5)/('Council Entry'!K$6-'Council Entry'!K$5),10*((IF('Council Entry'!K$4="Logarithm",LN(0.001+IF(AND(ISNUMBER('Council Entry'!K$8),ISNUMBER('Council Entry'!K$9)),MAX(MIN('Council Entry'!K185,'Council Entry'!K$9),'Council Entry'!K$8),'Council Entry'!K185)),IF('Council Entry'!K$4="Exponential",EXP(IF(AND(ISNUMBER('Council Entry'!K$8),ISNUMBER('Council Entry'!K$9)),MAX(MIN('Council Entry'!K185,'Council Entry'!K$9),'Council Entry'!K$8),'Council Entry'!K185)),IF(AND(ISNUMBER('Council Entry'!K$8),ISNUMBER('Council Entry'!K$9)),MAX(MIN('Council Entry'!K185,'Council Entry'!K$9),'Council Entry'!K$8),'Council Entry'!K185))))-'Council Entry'!K$5)/('Council Entry'!K$6-'Council Entry'!K$5)),1))),"No data"))</f>
        <v/>
      </c>
      <c r="L185" s="13">
        <f>IF('Council Entry'!L185="","",IFERROR(MAX(0,MIN(10,ROUND(IF('Council Entry'!L$7="Decrease Risk",10-10*((IF('Council Entry'!L$4="Logarithm",LN(0.001+IF(AND(ISNUMBER('Council Entry'!L$8),ISNUMBER('Council Entry'!L$9)),MAX(MIN('Council Entry'!L185,'Council Entry'!L$9),'Council Entry'!L$8),'Council Entry'!L185)),IF('Council Entry'!L$4="Exponential",EXP(IF(AND(ISNUMBER('Council Entry'!L$8),ISNUMBER('Council Entry'!L$9)),MAX(MIN('Council Entry'!L185,'Council Entry'!L$9),'Council Entry'!L$8),'Council Entry'!L185)),IF(AND(ISNUMBER('Council Entry'!L$8),ISNUMBER('Council Entry'!L$9)),MAX(MIN('Council Entry'!L185,'Council Entry'!L$9),'Council Entry'!L$8),'Council Entry'!L185))))-'Council Entry'!L$5)/('Council Entry'!L$6-'Council Entry'!L$5),10*((IF('Council Entry'!L$4="Logarithm",LN(0.001+IF(AND(ISNUMBER('Council Entry'!L$8),ISNUMBER('Council Entry'!L$9)),MAX(MIN('Council Entry'!L185,'Council Entry'!L$9),'Council Entry'!L$8),'Council Entry'!L185)),IF('Council Entry'!L$4="Exponential",EXP(IF(AND(ISNUMBER('Council Entry'!L$8),ISNUMBER('Council Entry'!L$9)),MAX(MIN('Council Entry'!L185,'Council Entry'!L$9),'Council Entry'!L$8),'Council Entry'!L185)),IF(AND(ISNUMBER('Council Entry'!L$8),ISNUMBER('Council Entry'!L$9)),MAX(MIN('Council Entry'!L185,'Council Entry'!L$9),'Council Entry'!L$8),'Council Entry'!L185))))-'Council Entry'!L$5)/('Council Entry'!L$6-'Council Entry'!L$5)),1))),"No data"))</f>
        <v/>
      </c>
      <c r="M185" s="13">
        <f>IF('Council Entry'!M185="","",IFERROR(MAX(0,MIN(10,ROUND(IF('Council Entry'!M$7="Decrease Risk",10-10*((IF('Council Entry'!M$4="Logarithm",LN(0.001+IF(AND(ISNUMBER('Council Entry'!M$8),ISNUMBER('Council Entry'!M$9)),MAX(MIN('Council Entry'!M185,'Council Entry'!M$9),'Council Entry'!M$8),'Council Entry'!M185)),IF('Council Entry'!M$4="Exponential",EXP(IF(AND(ISNUMBER('Council Entry'!M$8),ISNUMBER('Council Entry'!M$9)),MAX(MIN('Council Entry'!M185,'Council Entry'!M$9),'Council Entry'!M$8),'Council Entry'!M185)),IF(AND(ISNUMBER('Council Entry'!M$8),ISNUMBER('Council Entry'!M$9)),MAX(MIN('Council Entry'!M185,'Council Entry'!M$9),'Council Entry'!M$8),'Council Entry'!M185))))-'Council Entry'!M$5)/('Council Entry'!M$6-'Council Entry'!M$5),10*((IF('Council Entry'!M$4="Logarithm",LN(0.001+IF(AND(ISNUMBER('Council Entry'!M$8),ISNUMBER('Council Entry'!M$9)),MAX(MIN('Council Entry'!M185,'Council Entry'!M$9),'Council Entry'!M$8),'Council Entry'!M185)),IF('Council Entry'!M$4="Exponential",EXP(IF(AND(ISNUMBER('Council Entry'!M$8),ISNUMBER('Council Entry'!M$9)),MAX(MIN('Council Entry'!M185,'Council Entry'!M$9),'Council Entry'!M$8),'Council Entry'!M185)),IF(AND(ISNUMBER('Council Entry'!M$8),ISNUMBER('Council Entry'!M$9)),MAX(MIN('Council Entry'!M185,'Council Entry'!M$9),'Council Entry'!M$8),'Council Entry'!M185))))-'Council Entry'!M$5)/('Council Entry'!M$6-'Council Entry'!M$5)),1))),"No data"))</f>
        <v/>
      </c>
      <c r="N185" s="13">
        <f>IF('Council Entry'!N185="","",IFERROR(MAX(0,MIN(10,ROUND(IF('Council Entry'!N$7="Decrease Risk",10-10*((IF('Council Entry'!N$4="Logarithm",LN(0.001+IF(AND(ISNUMBER('Council Entry'!N$8),ISNUMBER('Council Entry'!N$9)),MAX(MIN('Council Entry'!N185,'Council Entry'!N$9),'Council Entry'!N$8),'Council Entry'!N185)),IF('Council Entry'!N$4="Exponential",EXP(IF(AND(ISNUMBER('Council Entry'!N$8),ISNUMBER('Council Entry'!N$9)),MAX(MIN('Council Entry'!N185,'Council Entry'!N$9),'Council Entry'!N$8),'Council Entry'!N185)),IF(AND(ISNUMBER('Council Entry'!N$8),ISNUMBER('Council Entry'!N$9)),MAX(MIN('Council Entry'!N185,'Council Entry'!N$9),'Council Entry'!N$8),'Council Entry'!N185))))-'Council Entry'!N$5)/('Council Entry'!N$6-'Council Entry'!N$5),10*((IF('Council Entry'!N$4="Logarithm",LN(0.001+IF(AND(ISNUMBER('Council Entry'!N$8),ISNUMBER('Council Entry'!N$9)),MAX(MIN('Council Entry'!N185,'Council Entry'!N$9),'Council Entry'!N$8),'Council Entry'!N185)),IF('Council Entry'!N$4="Exponential",EXP(IF(AND(ISNUMBER('Council Entry'!N$8),ISNUMBER('Council Entry'!N$9)),MAX(MIN('Council Entry'!N185,'Council Entry'!N$9),'Council Entry'!N$8),'Council Entry'!N185)),IF(AND(ISNUMBER('Council Entry'!N$8),ISNUMBER('Council Entry'!N$9)),MAX(MIN('Council Entry'!N185,'Council Entry'!N$9),'Council Entry'!N$8),'Council Entry'!N185))))-'Council Entry'!N$5)/('Council Entry'!N$6-'Council Entry'!N$5)),1))),"No data"))</f>
        <v/>
      </c>
      <c r="O185" s="13">
        <f>IF('Council Entry'!O185="","",IFERROR(MAX(0,MIN(10,ROUND(IF('Council Entry'!O$7="Decrease Risk",10-10*((IF('Council Entry'!O$4="Logarithm",LN(0.001+IF(AND(ISNUMBER('Council Entry'!O$8),ISNUMBER('Council Entry'!O$9)),MAX(MIN('Council Entry'!O185,'Council Entry'!O$9),'Council Entry'!O$8),'Council Entry'!O185)),IF('Council Entry'!O$4="Exponential",EXP(IF(AND(ISNUMBER('Council Entry'!O$8),ISNUMBER('Council Entry'!O$9)),MAX(MIN('Council Entry'!O185,'Council Entry'!O$9),'Council Entry'!O$8),'Council Entry'!O185)),IF(AND(ISNUMBER('Council Entry'!O$8),ISNUMBER('Council Entry'!O$9)),MAX(MIN('Council Entry'!O185,'Council Entry'!O$9),'Council Entry'!O$8),'Council Entry'!O185))))-'Council Entry'!O$5)/('Council Entry'!O$6-'Council Entry'!O$5),10*((IF('Council Entry'!O$4="Logarithm",LN(0.001+IF(AND(ISNUMBER('Council Entry'!O$8),ISNUMBER('Council Entry'!O$9)),MAX(MIN('Council Entry'!O185,'Council Entry'!O$9),'Council Entry'!O$8),'Council Entry'!O185)),IF('Council Entry'!O$4="Exponential",EXP(IF(AND(ISNUMBER('Council Entry'!O$8),ISNUMBER('Council Entry'!O$9)),MAX(MIN('Council Entry'!O185,'Council Entry'!O$9),'Council Entry'!O$8),'Council Entry'!O185)),IF(AND(ISNUMBER('Council Entry'!O$8),ISNUMBER('Council Entry'!O$9)),MAX(MIN('Council Entry'!O185,'Council Entry'!O$9),'Council Entry'!O$8),'Council Entry'!O185))))-'Council Entry'!O$5)/('Council Entry'!O$6-'Council Entry'!O$5)),1))),"No data"))</f>
        <v/>
      </c>
      <c r="P185" s="13">
        <f>IF('Council Entry'!P185="","",IFERROR(MAX(0,MIN(10,ROUND(IF('Council Entry'!P$7="Decrease Risk",10-10*((IF('Council Entry'!P$4="Logarithm",LN(0.001+IF(AND(ISNUMBER('Council Entry'!P$8),ISNUMBER('Council Entry'!P$9)),MAX(MIN('Council Entry'!P185,'Council Entry'!P$9),'Council Entry'!P$8),'Council Entry'!P185)),IF('Council Entry'!P$4="Exponential",EXP(IF(AND(ISNUMBER('Council Entry'!P$8),ISNUMBER('Council Entry'!P$9)),MAX(MIN('Council Entry'!P185,'Council Entry'!P$9),'Council Entry'!P$8),'Council Entry'!P185)),IF(AND(ISNUMBER('Council Entry'!P$8),ISNUMBER('Council Entry'!P$9)),MAX(MIN('Council Entry'!P185,'Council Entry'!P$9),'Council Entry'!P$8),'Council Entry'!P185))))-'Council Entry'!P$5)/('Council Entry'!P$6-'Council Entry'!P$5),10*((IF('Council Entry'!P$4="Logarithm",LN(0.001+IF(AND(ISNUMBER('Council Entry'!P$8),ISNUMBER('Council Entry'!P$9)),MAX(MIN('Council Entry'!P185,'Council Entry'!P$9),'Council Entry'!P$8),'Council Entry'!P185)),IF('Council Entry'!P$4="Exponential",EXP(IF(AND(ISNUMBER('Council Entry'!P$8),ISNUMBER('Council Entry'!P$9)),MAX(MIN('Council Entry'!P185,'Council Entry'!P$9),'Council Entry'!P$8),'Council Entry'!P185)),IF(AND(ISNUMBER('Council Entry'!P$8),ISNUMBER('Council Entry'!P$9)),MAX(MIN('Council Entry'!P185,'Council Entry'!P$9),'Council Entry'!P$8),'Council Entry'!P185))))-'Council Entry'!P$5)/('Council Entry'!P$6-'Council Entry'!P$5)),1))),"No data"))</f>
        <v/>
      </c>
      <c r="Q185" s="13">
        <f>IF('Council Entry'!Q185="","",IFERROR(MAX(0,MIN(10,ROUND(IF('Council Entry'!Q$7="Decrease Risk",10-10*((IF('Council Entry'!Q$4="Logarithm",LN(0.001+IF(AND(ISNUMBER('Council Entry'!Q$8),ISNUMBER('Council Entry'!Q$9)),MAX(MIN('Council Entry'!Q185,'Council Entry'!Q$9),'Council Entry'!Q$8),'Council Entry'!Q185)),IF('Council Entry'!Q$4="Exponential",EXP(IF(AND(ISNUMBER('Council Entry'!Q$8),ISNUMBER('Council Entry'!Q$9)),MAX(MIN('Council Entry'!Q185,'Council Entry'!Q$9),'Council Entry'!Q$8),'Council Entry'!Q185)),IF(AND(ISNUMBER('Council Entry'!Q$8),ISNUMBER('Council Entry'!Q$9)),MAX(MIN('Council Entry'!Q185,'Council Entry'!Q$9),'Council Entry'!Q$8),'Council Entry'!Q185))))-'Council Entry'!Q$5)/('Council Entry'!Q$6-'Council Entry'!Q$5),10*((IF('Council Entry'!Q$4="Logarithm",LN(0.001+IF(AND(ISNUMBER('Council Entry'!Q$8),ISNUMBER('Council Entry'!Q$9)),MAX(MIN('Council Entry'!Q185,'Council Entry'!Q$9),'Council Entry'!Q$8),'Council Entry'!Q185)),IF('Council Entry'!Q$4="Exponential",EXP(IF(AND(ISNUMBER('Council Entry'!Q$8),ISNUMBER('Council Entry'!Q$9)),MAX(MIN('Council Entry'!Q185,'Council Entry'!Q$9),'Council Entry'!Q$8),'Council Entry'!Q185)),IF(AND(ISNUMBER('Council Entry'!Q$8),ISNUMBER('Council Entry'!Q$9)),MAX(MIN('Council Entry'!Q185,'Council Entry'!Q$9),'Council Entry'!Q$8),'Council Entry'!Q185))))-'Council Entry'!Q$5)/('Council Entry'!Q$6-'Council Entry'!Q$5)),1))),"No data"))</f>
        <v/>
      </c>
      <c r="R185" s="13">
        <f>IF('Council Entry'!R185="","",IFERROR(MAX(0,MIN(10,ROUND(IF('Council Entry'!R$7="Decrease Risk",10-10*((IF('Council Entry'!R$4="Logarithm",LN(0.001+IF(AND(ISNUMBER('Council Entry'!R$8),ISNUMBER('Council Entry'!R$9)),MAX(MIN('Council Entry'!R185,'Council Entry'!R$9),'Council Entry'!R$8),'Council Entry'!R185)),IF('Council Entry'!R$4="Exponential",EXP(IF(AND(ISNUMBER('Council Entry'!R$8),ISNUMBER('Council Entry'!R$9)),MAX(MIN('Council Entry'!R185,'Council Entry'!R$9),'Council Entry'!R$8),'Council Entry'!R185)),IF(AND(ISNUMBER('Council Entry'!R$8),ISNUMBER('Council Entry'!R$9)),MAX(MIN('Council Entry'!R185,'Council Entry'!R$9),'Council Entry'!R$8),'Council Entry'!R185))))-'Council Entry'!R$5)/('Council Entry'!R$6-'Council Entry'!R$5),10*((IF('Council Entry'!R$4="Logarithm",LN(0.001+IF(AND(ISNUMBER('Council Entry'!R$8),ISNUMBER('Council Entry'!R$9)),MAX(MIN('Council Entry'!R185,'Council Entry'!R$9),'Council Entry'!R$8),'Council Entry'!R185)),IF('Council Entry'!R$4="Exponential",EXP(IF(AND(ISNUMBER('Council Entry'!R$8),ISNUMBER('Council Entry'!R$9)),MAX(MIN('Council Entry'!R185,'Council Entry'!R$9),'Council Entry'!R$8),'Council Entry'!R185)),IF(AND(ISNUMBER('Council Entry'!R$8),ISNUMBER('Council Entry'!R$9)),MAX(MIN('Council Entry'!R185,'Council Entry'!R$9),'Council Entry'!R$8),'Council Entry'!R185))))-'Council Entry'!R$5)/('Council Entry'!R$6-'Council Entry'!R$5)),1))),"No data"))</f>
        <v/>
      </c>
      <c r="S185" s="13">
        <f>IF('Council Entry'!S185="","",IFERROR(MAX(0,MIN(10,ROUND(IF('Council Entry'!S$7="Decrease Risk",10-10*((IF('Council Entry'!S$4="Logarithm",LN(0.001+IF(AND(ISNUMBER('Council Entry'!S$8),ISNUMBER('Council Entry'!S$9)),MAX(MIN('Council Entry'!S185,'Council Entry'!S$9),'Council Entry'!S$8),'Council Entry'!S185)),IF('Council Entry'!S$4="Exponential",EXP(IF(AND(ISNUMBER('Council Entry'!S$8),ISNUMBER('Council Entry'!S$9)),MAX(MIN('Council Entry'!S185,'Council Entry'!S$9),'Council Entry'!S$8),'Council Entry'!S185)),IF(AND(ISNUMBER('Council Entry'!S$8),ISNUMBER('Council Entry'!S$9)),MAX(MIN('Council Entry'!S185,'Council Entry'!S$9),'Council Entry'!S$8),'Council Entry'!S185))))-'Council Entry'!S$5)/('Council Entry'!S$6-'Council Entry'!S$5),10*((IF('Council Entry'!S$4="Logarithm",LN(0.001+IF(AND(ISNUMBER('Council Entry'!S$8),ISNUMBER('Council Entry'!S$9)),MAX(MIN('Council Entry'!S185,'Council Entry'!S$9),'Council Entry'!S$8),'Council Entry'!S185)),IF('Council Entry'!S$4="Exponential",EXP(IF(AND(ISNUMBER('Council Entry'!S$8),ISNUMBER('Council Entry'!S$9)),MAX(MIN('Council Entry'!S185,'Council Entry'!S$9),'Council Entry'!S$8),'Council Entry'!S185)),IF(AND(ISNUMBER('Council Entry'!S$8),ISNUMBER('Council Entry'!S$9)),MAX(MIN('Council Entry'!S185,'Council Entry'!S$9),'Council Entry'!S$8),'Council Entry'!S185))))-'Council Entry'!S$5)/('Council Entry'!S$6-'Council Entry'!S$5)),1))),"No data"))</f>
        <v/>
      </c>
      <c r="T185" s="13">
        <f>IF('Council Entry'!T185="","",IFERROR(MAX(0,MIN(10,ROUND(IF('Council Entry'!T$7="Decrease Risk",10-10*((IF('Council Entry'!T$4="Logarithm",LN(0.001+IF(AND(ISNUMBER('Council Entry'!T$8),ISNUMBER('Council Entry'!T$9)),MAX(MIN('Council Entry'!T185,'Council Entry'!T$9),'Council Entry'!T$8),'Council Entry'!T185)),IF('Council Entry'!T$4="Exponential",EXP(IF(AND(ISNUMBER('Council Entry'!T$8),ISNUMBER('Council Entry'!T$9)),MAX(MIN('Council Entry'!T185,'Council Entry'!T$9),'Council Entry'!T$8),'Council Entry'!T185)),IF(AND(ISNUMBER('Council Entry'!T$8),ISNUMBER('Council Entry'!T$9)),MAX(MIN('Council Entry'!T185,'Council Entry'!T$9),'Council Entry'!T$8),'Council Entry'!T185))))-'Council Entry'!T$5)/('Council Entry'!T$6-'Council Entry'!T$5),10*((IF('Council Entry'!T$4="Logarithm",LN(0.001+IF(AND(ISNUMBER('Council Entry'!T$8),ISNUMBER('Council Entry'!T$9)),MAX(MIN('Council Entry'!T185,'Council Entry'!T$9),'Council Entry'!T$8),'Council Entry'!T185)),IF('Council Entry'!T$4="Exponential",EXP(IF(AND(ISNUMBER('Council Entry'!T$8),ISNUMBER('Council Entry'!T$9)),MAX(MIN('Council Entry'!T185,'Council Entry'!T$9),'Council Entry'!T$8),'Council Entry'!T185)),IF(AND(ISNUMBER('Council Entry'!T$8),ISNUMBER('Council Entry'!T$9)),MAX(MIN('Council Entry'!T185,'Council Entry'!T$9),'Council Entry'!T$8),'Council Entry'!T185))))-'Council Entry'!T$5)/('Council Entry'!T$6-'Council Entry'!T$5)),1))),"No data"))</f>
        <v/>
      </c>
      <c r="U185" s="13">
        <f>IF('Council Entry'!U185="","",IFERROR(MAX(0,MIN(10,ROUND(IF('Council Entry'!U$7="Decrease Risk",10-10*((IF('Council Entry'!U$4="Logarithm",LN(0.001+IF(AND(ISNUMBER('Council Entry'!U$8),ISNUMBER('Council Entry'!U$9)),MAX(MIN('Council Entry'!U185,'Council Entry'!U$9),'Council Entry'!U$8),'Council Entry'!U185)),IF('Council Entry'!U$4="Exponential",EXP(IF(AND(ISNUMBER('Council Entry'!U$8),ISNUMBER('Council Entry'!U$9)),MAX(MIN('Council Entry'!U185,'Council Entry'!U$9),'Council Entry'!U$8),'Council Entry'!U185)),IF(AND(ISNUMBER('Council Entry'!U$8),ISNUMBER('Council Entry'!U$9)),MAX(MIN('Council Entry'!U185,'Council Entry'!U$9),'Council Entry'!U$8),'Council Entry'!U185))))-'Council Entry'!U$5)/('Council Entry'!U$6-'Council Entry'!U$5),10*((IF('Council Entry'!U$4="Logarithm",LN(0.001+IF(AND(ISNUMBER('Council Entry'!U$8),ISNUMBER('Council Entry'!U$9)),MAX(MIN('Council Entry'!U185,'Council Entry'!U$9),'Council Entry'!U$8),'Council Entry'!U185)),IF('Council Entry'!U$4="Exponential",EXP(IF(AND(ISNUMBER('Council Entry'!U$8),ISNUMBER('Council Entry'!U$9)),MAX(MIN('Council Entry'!U185,'Council Entry'!U$9),'Council Entry'!U$8),'Council Entry'!U185)),IF(AND(ISNUMBER('Council Entry'!U$8),ISNUMBER('Council Entry'!U$9)),MAX(MIN('Council Entry'!U185,'Council Entry'!U$9),'Council Entry'!U$8),'Council Entry'!U185))))-'Council Entry'!U$5)/('Council Entry'!U$6-'Council Entry'!U$5)),1))),"No data"))</f>
        <v/>
      </c>
      <c r="V185" s="13">
        <f>IF('Council Entry'!V185="","",IFERROR(MAX(0,MIN(10,ROUND(IF('Council Entry'!V$7="Decrease Risk",10-10*((IF('Council Entry'!V$4="Logarithm",LN(0.001+IF(AND(ISNUMBER('Council Entry'!V$8),ISNUMBER('Council Entry'!V$9)),MAX(MIN('Council Entry'!V185,'Council Entry'!V$9),'Council Entry'!V$8),'Council Entry'!V185)),IF('Council Entry'!V$4="Exponential",EXP(IF(AND(ISNUMBER('Council Entry'!V$8),ISNUMBER('Council Entry'!V$9)),MAX(MIN('Council Entry'!V185,'Council Entry'!V$9),'Council Entry'!V$8),'Council Entry'!V185)),IF(AND(ISNUMBER('Council Entry'!V$8),ISNUMBER('Council Entry'!V$9)),MAX(MIN('Council Entry'!V185,'Council Entry'!V$9),'Council Entry'!V$8),'Council Entry'!V185))))-'Council Entry'!V$5)/('Council Entry'!V$6-'Council Entry'!V$5),10*((IF('Council Entry'!V$4="Logarithm",LN(0.001+IF(AND(ISNUMBER('Council Entry'!V$8),ISNUMBER('Council Entry'!V$9)),MAX(MIN('Council Entry'!V185,'Council Entry'!V$9),'Council Entry'!V$8),'Council Entry'!V185)),IF('Council Entry'!V$4="Exponential",EXP(IF(AND(ISNUMBER('Council Entry'!V$8),ISNUMBER('Council Entry'!V$9)),MAX(MIN('Council Entry'!V185,'Council Entry'!V$9),'Council Entry'!V$8),'Council Entry'!V185)),IF(AND(ISNUMBER('Council Entry'!V$8),ISNUMBER('Council Entry'!V$9)),MAX(MIN('Council Entry'!V185,'Council Entry'!V$9),'Council Entry'!V$8),'Council Entry'!V185))))-'Council Entry'!V$5)/('Council Entry'!V$6-'Council Entry'!V$5)),1))),"No data"))</f>
        <v/>
      </c>
      <c r="W185" s="13">
        <f>IF('Council Entry'!W185="","",IFERROR(MAX(0,MIN(10,ROUND(IF('Council Entry'!W$7="Decrease Risk",10-10*((IF('Council Entry'!W$4="Logarithm",LN(0.001+IF(AND(ISNUMBER('Council Entry'!W$8),ISNUMBER('Council Entry'!W$9)),MAX(MIN('Council Entry'!W185,'Council Entry'!W$9),'Council Entry'!W$8),'Council Entry'!W185)),IF('Council Entry'!W$4="Exponential",EXP(IF(AND(ISNUMBER('Council Entry'!W$8),ISNUMBER('Council Entry'!W$9)),MAX(MIN('Council Entry'!W185,'Council Entry'!W$9),'Council Entry'!W$8),'Council Entry'!W185)),IF(AND(ISNUMBER('Council Entry'!W$8),ISNUMBER('Council Entry'!W$9)),MAX(MIN('Council Entry'!W185,'Council Entry'!W$9),'Council Entry'!W$8),'Council Entry'!W185))))-'Council Entry'!W$5)/('Council Entry'!W$6-'Council Entry'!W$5),10*((IF('Council Entry'!W$4="Logarithm",LN(0.001+IF(AND(ISNUMBER('Council Entry'!W$8),ISNUMBER('Council Entry'!W$9)),MAX(MIN('Council Entry'!W185,'Council Entry'!W$9),'Council Entry'!W$8),'Council Entry'!W185)),IF('Council Entry'!W$4="Exponential",EXP(IF(AND(ISNUMBER('Council Entry'!W$8),ISNUMBER('Council Entry'!W$9)),MAX(MIN('Council Entry'!W185,'Council Entry'!W$9),'Council Entry'!W$8),'Council Entry'!W185)),IF(AND(ISNUMBER('Council Entry'!W$8),ISNUMBER('Council Entry'!W$9)),MAX(MIN('Council Entry'!W185,'Council Entry'!W$9),'Council Entry'!W$8),'Council Entry'!W185))))-'Council Entry'!W$5)/('Council Entry'!W$6-'Council Entry'!W$5)),1))),"No data"))</f>
        <v/>
      </c>
      <c r="X185" s="13">
        <f>IF('Council Entry'!X185="","",IFERROR(MAX(0,MIN(10,ROUND(IF('Council Entry'!X$7="Decrease Risk",10-10*((IF('Council Entry'!X$4="Logarithm",LN(0.001+IF(AND(ISNUMBER('Council Entry'!X$8),ISNUMBER('Council Entry'!X$9)),MAX(MIN('Council Entry'!X185,'Council Entry'!X$9),'Council Entry'!X$8),'Council Entry'!X185)),IF('Council Entry'!X$4="Exponential",EXP(IF(AND(ISNUMBER('Council Entry'!X$8),ISNUMBER('Council Entry'!X$9)),MAX(MIN('Council Entry'!X185,'Council Entry'!X$9),'Council Entry'!X$8),'Council Entry'!X185)),IF(AND(ISNUMBER('Council Entry'!X$8),ISNUMBER('Council Entry'!X$9)),MAX(MIN('Council Entry'!X185,'Council Entry'!X$9),'Council Entry'!X$8),'Council Entry'!X185))))-'Council Entry'!X$5)/('Council Entry'!X$6-'Council Entry'!X$5),10*((IF('Council Entry'!X$4="Logarithm",LN(0.001+IF(AND(ISNUMBER('Council Entry'!X$8),ISNUMBER('Council Entry'!X$9)),MAX(MIN('Council Entry'!X185,'Council Entry'!X$9),'Council Entry'!X$8),'Council Entry'!X185)),IF('Council Entry'!X$4="Exponential",EXP(IF(AND(ISNUMBER('Council Entry'!X$8),ISNUMBER('Council Entry'!X$9)),MAX(MIN('Council Entry'!X185,'Council Entry'!X$9),'Council Entry'!X$8),'Council Entry'!X185)),IF(AND(ISNUMBER('Council Entry'!X$8),ISNUMBER('Council Entry'!X$9)),MAX(MIN('Council Entry'!X185,'Council Entry'!X$9),'Council Entry'!X$8),'Council Entry'!X185))))-'Council Entry'!X$5)/('Council Entry'!X$6-'Council Entry'!X$5)),1))),"No data"))</f>
        <v/>
      </c>
      <c r="Y185" s="13">
        <f>IF('Council Entry'!Y185="","",IFERROR(MAX(0,MIN(10,ROUND(IF('Council Entry'!Y$7="Decrease Risk",10-10*((IF('Council Entry'!Y$4="Logarithm",LN(0.001+IF(AND(ISNUMBER('Council Entry'!Y$8),ISNUMBER('Council Entry'!Y$9)),MAX(MIN('Council Entry'!Y185,'Council Entry'!Y$9),'Council Entry'!Y$8),'Council Entry'!Y185)),IF('Council Entry'!Y$4="Exponential",EXP(IF(AND(ISNUMBER('Council Entry'!Y$8),ISNUMBER('Council Entry'!Y$9)),MAX(MIN('Council Entry'!Y185,'Council Entry'!Y$9),'Council Entry'!Y$8),'Council Entry'!Y185)),IF(AND(ISNUMBER('Council Entry'!Y$8),ISNUMBER('Council Entry'!Y$9)),MAX(MIN('Council Entry'!Y185,'Council Entry'!Y$9),'Council Entry'!Y$8),'Council Entry'!Y185))))-'Council Entry'!Y$5)/('Council Entry'!Y$6-'Council Entry'!Y$5),10*((IF('Council Entry'!Y$4="Logarithm",LN(0.001+IF(AND(ISNUMBER('Council Entry'!Y$8),ISNUMBER('Council Entry'!Y$9)),MAX(MIN('Council Entry'!Y185,'Council Entry'!Y$9),'Council Entry'!Y$8),'Council Entry'!Y185)),IF('Council Entry'!Y$4="Exponential",EXP(IF(AND(ISNUMBER('Council Entry'!Y$8),ISNUMBER('Council Entry'!Y$9)),MAX(MIN('Council Entry'!Y185,'Council Entry'!Y$9),'Council Entry'!Y$8),'Council Entry'!Y185)),IF(AND(ISNUMBER('Council Entry'!Y$8),ISNUMBER('Council Entry'!Y$9)),MAX(MIN('Council Entry'!Y185,'Council Entry'!Y$9),'Council Entry'!Y$8),'Council Entry'!Y185))))-'Council Entry'!Y$5)/('Council Entry'!Y$6-'Council Entry'!Y$5)),1))),"No data"))</f>
        <v/>
      </c>
      <c r="Z185" s="13">
        <f>IF('Council Entry'!Z185="","",IFERROR(MAX(0,MIN(10,ROUND(IF('Council Entry'!Z$7="Decrease Risk",10-10*((IF('Council Entry'!Z$4="Logarithm",LN(0.001+IF(AND(ISNUMBER('Council Entry'!Z$8),ISNUMBER('Council Entry'!Z$9)),MAX(MIN('Council Entry'!Z185,'Council Entry'!Z$9),'Council Entry'!Z$8),'Council Entry'!Z185)),IF('Council Entry'!Z$4="Exponential",EXP(IF(AND(ISNUMBER('Council Entry'!Z$8),ISNUMBER('Council Entry'!Z$9)),MAX(MIN('Council Entry'!Z185,'Council Entry'!Z$9),'Council Entry'!Z$8),'Council Entry'!Z185)),IF(AND(ISNUMBER('Council Entry'!Z$8),ISNUMBER('Council Entry'!Z$9)),MAX(MIN('Council Entry'!Z185,'Council Entry'!Z$9),'Council Entry'!Z$8),'Council Entry'!Z185))))-'Council Entry'!Z$5)/('Council Entry'!Z$6-'Council Entry'!Z$5),10*((IF('Council Entry'!Z$4="Logarithm",LN(0.001+IF(AND(ISNUMBER('Council Entry'!Z$8),ISNUMBER('Council Entry'!Z$9)),MAX(MIN('Council Entry'!Z185,'Council Entry'!Z$9),'Council Entry'!Z$8),'Council Entry'!Z185)),IF('Council Entry'!Z$4="Exponential",EXP(IF(AND(ISNUMBER('Council Entry'!Z$8),ISNUMBER('Council Entry'!Z$9)),MAX(MIN('Council Entry'!Z185,'Council Entry'!Z$9),'Council Entry'!Z$8),'Council Entry'!Z185)),IF(AND(ISNUMBER('Council Entry'!Z$8),ISNUMBER('Council Entry'!Z$9)),MAX(MIN('Council Entry'!Z185,'Council Entry'!Z$9),'Council Entry'!Z$8),'Council Entry'!Z185))))-'Council Entry'!Z$5)/('Council Entry'!Z$6-'Council Entry'!Z$5)),1))),"No data"))</f>
        <v/>
      </c>
      <c r="AA185" s="13">
        <f>IF('Council Entry'!AA185="","",IFERROR(MAX(0,MIN(10,ROUND(IF('Council Entry'!AA$7="Decrease Risk",10-10*((IF('Council Entry'!AA$4="Logarithm",LN(0.001+IF(AND(ISNUMBER('Council Entry'!AA$8),ISNUMBER('Council Entry'!AA$9)),MAX(MIN('Council Entry'!AA185,'Council Entry'!AA$9),'Council Entry'!AA$8),'Council Entry'!AA185)),IF('Council Entry'!AA$4="Exponential",EXP(IF(AND(ISNUMBER('Council Entry'!AA$8),ISNUMBER('Council Entry'!AA$9)),MAX(MIN('Council Entry'!AA185,'Council Entry'!AA$9),'Council Entry'!AA$8),'Council Entry'!AA185)),IF(AND(ISNUMBER('Council Entry'!AA$8),ISNUMBER('Council Entry'!AA$9)),MAX(MIN('Council Entry'!AA185,'Council Entry'!AA$9),'Council Entry'!AA$8),'Council Entry'!AA185))))-'Council Entry'!AA$5)/('Council Entry'!AA$6-'Council Entry'!AA$5),10*((IF('Council Entry'!AA$4="Logarithm",LN(0.001+IF(AND(ISNUMBER('Council Entry'!AA$8),ISNUMBER('Council Entry'!AA$9)),MAX(MIN('Council Entry'!AA185,'Council Entry'!AA$9),'Council Entry'!AA$8),'Council Entry'!AA185)),IF('Council Entry'!AA$4="Exponential",EXP(IF(AND(ISNUMBER('Council Entry'!AA$8),ISNUMBER('Council Entry'!AA$9)),MAX(MIN('Council Entry'!AA185,'Council Entry'!AA$9),'Council Entry'!AA$8),'Council Entry'!AA185)),IF(AND(ISNUMBER('Council Entry'!AA$8),ISNUMBER('Council Entry'!AA$9)),MAX(MIN('Council Entry'!AA185,'Council Entry'!AA$9),'Council Entry'!AA$8),'Council Entry'!AA185))))-'Council Entry'!AA$5)/('Council Entry'!AA$6-'Council Entry'!AA$5)),1))),"No data"))</f>
        <v/>
      </c>
      <c r="AB185" s="13">
        <f>IF('Council Entry'!AB185="","",IFERROR(MAX(0,MIN(10,ROUND(IF('Council Entry'!AB$7="Decrease Risk",10-10*((IF('Council Entry'!AB$4="Logarithm",LN(0.001+IF(AND(ISNUMBER('Council Entry'!AB$8),ISNUMBER('Council Entry'!AB$9)),MAX(MIN('Council Entry'!AB185,'Council Entry'!AB$9),'Council Entry'!AB$8),'Council Entry'!AB185)),IF('Council Entry'!AB$4="Exponential",EXP(IF(AND(ISNUMBER('Council Entry'!AB$8),ISNUMBER('Council Entry'!AB$9)),MAX(MIN('Council Entry'!AB185,'Council Entry'!AB$9),'Council Entry'!AB$8),'Council Entry'!AB185)),IF(AND(ISNUMBER('Council Entry'!AB$8),ISNUMBER('Council Entry'!AB$9)),MAX(MIN('Council Entry'!AB185,'Council Entry'!AB$9),'Council Entry'!AB$8),'Council Entry'!AB185))))-'Council Entry'!AB$5)/('Council Entry'!AB$6-'Council Entry'!AB$5),10*((IF('Council Entry'!AB$4="Logarithm",LN(0.001+IF(AND(ISNUMBER('Council Entry'!AB$8),ISNUMBER('Council Entry'!AB$9)),MAX(MIN('Council Entry'!AB185,'Council Entry'!AB$9),'Council Entry'!AB$8),'Council Entry'!AB185)),IF('Council Entry'!AB$4="Exponential",EXP(IF(AND(ISNUMBER('Council Entry'!AB$8),ISNUMBER('Council Entry'!AB$9)),MAX(MIN('Council Entry'!AB185,'Council Entry'!AB$9),'Council Entry'!AB$8),'Council Entry'!AB185)),IF(AND(ISNUMBER('Council Entry'!AB$8),ISNUMBER('Council Entry'!AB$9)),MAX(MIN('Council Entry'!AB185,'Council Entry'!AB$9),'Council Entry'!AB$8),'Council Entry'!AB185))))-'Council Entry'!AB$5)/('Council Entry'!AB$6-'Council Entry'!AB$5)),1))),"No data"))</f>
        <v/>
      </c>
      <c r="AC185" s="13">
        <f>IF('Council Entry'!AC185="","",IFERROR(MAX(0,MIN(10,ROUND(IF('Council Entry'!AC$7="Decrease Risk",10-10*((IF('Council Entry'!AC$4="Logarithm",LN(0.001+IF(AND(ISNUMBER('Council Entry'!AC$8),ISNUMBER('Council Entry'!AC$9)),MAX(MIN('Council Entry'!AC185,'Council Entry'!AC$9),'Council Entry'!AC$8),'Council Entry'!AC185)),IF('Council Entry'!AC$4="Exponential",EXP(IF(AND(ISNUMBER('Council Entry'!AC$8),ISNUMBER('Council Entry'!AC$9)),MAX(MIN('Council Entry'!AC185,'Council Entry'!AC$9),'Council Entry'!AC$8),'Council Entry'!AC185)),IF(AND(ISNUMBER('Council Entry'!AC$8),ISNUMBER('Council Entry'!AC$9)),MAX(MIN('Council Entry'!AC185,'Council Entry'!AC$9),'Council Entry'!AC$8),'Council Entry'!AC185))))-'Council Entry'!AC$5)/('Council Entry'!AC$6-'Council Entry'!AC$5),10*((IF('Council Entry'!AC$4="Logarithm",LN(0.001+IF(AND(ISNUMBER('Council Entry'!AC$8),ISNUMBER('Council Entry'!AC$9)),MAX(MIN('Council Entry'!AC185,'Council Entry'!AC$9),'Council Entry'!AC$8),'Council Entry'!AC185)),IF('Council Entry'!AC$4="Exponential",EXP(IF(AND(ISNUMBER('Council Entry'!AC$8),ISNUMBER('Council Entry'!AC$9)),MAX(MIN('Council Entry'!AC185,'Council Entry'!AC$9),'Council Entry'!AC$8),'Council Entry'!AC185)),IF(AND(ISNUMBER('Council Entry'!AC$8),ISNUMBER('Council Entry'!AC$9)),MAX(MIN('Council Entry'!AC185,'Council Entry'!AC$9),'Council Entry'!AC$8),'Council Entry'!AC185))))-'Council Entry'!AC$5)/('Council Entry'!AC$6-'Council Entry'!AC$5)),1))),"No data"))</f>
        <v/>
      </c>
      <c r="AD185" s="13">
        <f>IF('Council Entry'!AD185="","",IFERROR(MAX(0,MIN(10,ROUND(IF('Council Entry'!AD$7="Decrease Risk",10-10*((IF('Council Entry'!AD$4="Logarithm",LN(0.001+IF(AND(ISNUMBER('Council Entry'!AD$8),ISNUMBER('Council Entry'!AD$9)),MAX(MIN('Council Entry'!AD185,'Council Entry'!AD$9),'Council Entry'!AD$8),'Council Entry'!AD185)),IF('Council Entry'!AD$4="Exponential",EXP(IF(AND(ISNUMBER('Council Entry'!AD$8),ISNUMBER('Council Entry'!AD$9)),MAX(MIN('Council Entry'!AD185,'Council Entry'!AD$9),'Council Entry'!AD$8),'Council Entry'!AD185)),IF(AND(ISNUMBER('Council Entry'!AD$8),ISNUMBER('Council Entry'!AD$9)),MAX(MIN('Council Entry'!AD185,'Council Entry'!AD$9),'Council Entry'!AD$8),'Council Entry'!AD185))))-'Council Entry'!AD$5)/('Council Entry'!AD$6-'Council Entry'!AD$5),10*((IF('Council Entry'!AD$4="Logarithm",LN(0.001+IF(AND(ISNUMBER('Council Entry'!AD$8),ISNUMBER('Council Entry'!AD$9)),MAX(MIN('Council Entry'!AD185,'Council Entry'!AD$9),'Council Entry'!AD$8),'Council Entry'!AD185)),IF('Council Entry'!AD$4="Exponential",EXP(IF(AND(ISNUMBER('Council Entry'!AD$8),ISNUMBER('Council Entry'!AD$9)),MAX(MIN('Council Entry'!AD185,'Council Entry'!AD$9),'Council Entry'!AD$8),'Council Entry'!AD185)),IF(AND(ISNUMBER('Council Entry'!AD$8),ISNUMBER('Council Entry'!AD$9)),MAX(MIN('Council Entry'!AD185,'Council Entry'!AD$9),'Council Entry'!AD$8),'Council Entry'!AD185))))-'Council Entry'!AD$5)/('Council Entry'!AD$6-'Council Entry'!AD$5)),1))),"No data"))</f>
        <v/>
      </c>
      <c r="AE185" s="13">
        <f>IF('Council Entry'!AE185="","",IFERROR(MAX(0,MIN(10,ROUND(IF('Council Entry'!AE$7="Decrease Risk",10-10*((IF('Council Entry'!AE$4="Logarithm",LN(0.001+IF(AND(ISNUMBER('Council Entry'!AE$8),ISNUMBER('Council Entry'!AE$9)),MAX(MIN('Council Entry'!AE185,'Council Entry'!AE$9),'Council Entry'!AE$8),'Council Entry'!AE185)),IF('Council Entry'!AE$4="Exponential",EXP(IF(AND(ISNUMBER('Council Entry'!AE$8),ISNUMBER('Council Entry'!AE$9)),MAX(MIN('Council Entry'!AE185,'Council Entry'!AE$9),'Council Entry'!AE$8),'Council Entry'!AE185)),IF(AND(ISNUMBER('Council Entry'!AE$8),ISNUMBER('Council Entry'!AE$9)),MAX(MIN('Council Entry'!AE185,'Council Entry'!AE$9),'Council Entry'!AE$8),'Council Entry'!AE185))))-'Council Entry'!AE$5)/('Council Entry'!AE$6-'Council Entry'!AE$5),10*((IF('Council Entry'!AE$4="Logarithm",LN(0.001+IF(AND(ISNUMBER('Council Entry'!AE$8),ISNUMBER('Council Entry'!AE$9)),MAX(MIN('Council Entry'!AE185,'Council Entry'!AE$9),'Council Entry'!AE$8),'Council Entry'!AE185)),IF('Council Entry'!AE$4="Exponential",EXP(IF(AND(ISNUMBER('Council Entry'!AE$8),ISNUMBER('Council Entry'!AE$9)),MAX(MIN('Council Entry'!AE185,'Council Entry'!AE$9),'Council Entry'!AE$8),'Council Entry'!AE185)),IF(AND(ISNUMBER('Council Entry'!AE$8),ISNUMBER('Council Entry'!AE$9)),MAX(MIN('Council Entry'!AE185,'Council Entry'!AE$9),'Council Entry'!AE$8),'Council Entry'!AE185))))-'Council Entry'!AE$5)/('Council Entry'!AE$6-'Council Entry'!AE$5)),1))),"No data"))</f>
        <v/>
      </c>
      <c r="AF185" s="13">
        <f>IF('Council Entry'!AF185="","",IFERROR(MAX(0,MIN(10,ROUND(IF('Council Entry'!AF$7="Decrease Risk",10-10*((IF('Council Entry'!AF$4="Logarithm",LN(0.001+IF(AND(ISNUMBER('Council Entry'!AF$8),ISNUMBER('Council Entry'!AF$9)),MAX(MIN('Council Entry'!AF185,'Council Entry'!AF$9),'Council Entry'!AF$8),'Council Entry'!AF185)),IF('Council Entry'!AF$4="Exponential",EXP(IF(AND(ISNUMBER('Council Entry'!AF$8),ISNUMBER('Council Entry'!AF$9)),MAX(MIN('Council Entry'!AF185,'Council Entry'!AF$9),'Council Entry'!AF$8),'Council Entry'!AF185)),IF(AND(ISNUMBER('Council Entry'!AF$8),ISNUMBER('Council Entry'!AF$9)),MAX(MIN('Council Entry'!AF185,'Council Entry'!AF$9),'Council Entry'!AF$8),'Council Entry'!AF185))))-'Council Entry'!AF$5)/('Council Entry'!AF$6-'Council Entry'!AF$5),10*((IF('Council Entry'!AF$4="Logarithm",LN(0.001+IF(AND(ISNUMBER('Council Entry'!AF$8),ISNUMBER('Council Entry'!AF$9)),MAX(MIN('Council Entry'!AF185,'Council Entry'!AF$9),'Council Entry'!AF$8),'Council Entry'!AF185)),IF('Council Entry'!AF$4="Exponential",EXP(IF(AND(ISNUMBER('Council Entry'!AF$8),ISNUMBER('Council Entry'!AF$9)),MAX(MIN('Council Entry'!AF185,'Council Entry'!AF$9),'Council Entry'!AF$8),'Council Entry'!AF185)),IF(AND(ISNUMBER('Council Entry'!AF$8),ISNUMBER('Council Entry'!AF$9)),MAX(MIN('Council Entry'!AF185,'Council Entry'!AF$9),'Council Entry'!AF$8),'Council Entry'!AF185))))-'Council Entry'!AF$5)/('Council Entry'!AF$6-'Council Entry'!AF$5)),1))),"No data"))</f>
        <v/>
      </c>
      <c r="AG185" s="13">
        <f>IF('Council Entry'!AG185="","",IFERROR(MAX(0,MIN(10,ROUND(IF('Council Entry'!AG$7="Decrease Risk",10-10*((IF('Council Entry'!AG$4="Logarithm",LN(0.001+IF(AND(ISNUMBER('Council Entry'!AG$8),ISNUMBER('Council Entry'!AG$9)),MAX(MIN('Council Entry'!AG185,'Council Entry'!AG$9),'Council Entry'!AG$8),'Council Entry'!AG185)),IF('Council Entry'!AG$4="Exponential",EXP(IF(AND(ISNUMBER('Council Entry'!AG$8),ISNUMBER('Council Entry'!AG$9)),MAX(MIN('Council Entry'!AG185,'Council Entry'!AG$9),'Council Entry'!AG$8),'Council Entry'!AG185)),IF(AND(ISNUMBER('Council Entry'!AG$8),ISNUMBER('Council Entry'!AG$9)),MAX(MIN('Council Entry'!AG185,'Council Entry'!AG$9),'Council Entry'!AG$8),'Council Entry'!AG185))))-'Council Entry'!AG$5)/('Council Entry'!AG$6-'Council Entry'!AG$5),10*((IF('Council Entry'!AG$4="Logarithm",LN(0.001+IF(AND(ISNUMBER('Council Entry'!AG$8),ISNUMBER('Council Entry'!AG$9)),MAX(MIN('Council Entry'!AG185,'Council Entry'!AG$9),'Council Entry'!AG$8),'Council Entry'!AG185)),IF('Council Entry'!AG$4="Exponential",EXP(IF(AND(ISNUMBER('Council Entry'!AG$8),ISNUMBER('Council Entry'!AG$9)),MAX(MIN('Council Entry'!AG185,'Council Entry'!AG$9),'Council Entry'!AG$8),'Council Entry'!AG185)),IF(AND(ISNUMBER('Council Entry'!AG$8),ISNUMBER('Council Entry'!AG$9)),MAX(MIN('Council Entry'!AG185,'Council Entry'!AG$9),'Council Entry'!AG$8),'Council Entry'!AG185))))-'Council Entry'!AG$5)/('Council Entry'!AG$6-'Council Entry'!AG$5)),1))),"No data"))</f>
        <v/>
      </c>
      <c r="AH185" s="13">
        <f>IF('Council Entry'!AH185="","",IFERROR(MAX(0,MIN(10,ROUND(IF('Council Entry'!AH$7="Decrease Risk",10-10*((IF('Council Entry'!AH$4="Logarithm",LN(0.001+IF(AND(ISNUMBER('Council Entry'!AH$8),ISNUMBER('Council Entry'!AH$9)),MAX(MIN('Council Entry'!AH185,'Council Entry'!AH$9),'Council Entry'!AH$8),'Council Entry'!AH185)),IF('Council Entry'!AH$4="Exponential",EXP(IF(AND(ISNUMBER('Council Entry'!AH$8),ISNUMBER('Council Entry'!AH$9)),MAX(MIN('Council Entry'!AH185,'Council Entry'!AH$9),'Council Entry'!AH$8),'Council Entry'!AH185)),IF(AND(ISNUMBER('Council Entry'!AH$8),ISNUMBER('Council Entry'!AH$9)),MAX(MIN('Council Entry'!AH185,'Council Entry'!AH$9),'Council Entry'!AH$8),'Council Entry'!AH185))))-'Council Entry'!AH$5)/('Council Entry'!AH$6-'Council Entry'!AH$5),10*((IF('Council Entry'!AH$4="Logarithm",LN(0.001+IF(AND(ISNUMBER('Council Entry'!AH$8),ISNUMBER('Council Entry'!AH$9)),MAX(MIN('Council Entry'!AH185,'Council Entry'!AH$9),'Council Entry'!AH$8),'Council Entry'!AH185)),IF('Council Entry'!AH$4="Exponential",EXP(IF(AND(ISNUMBER('Council Entry'!AH$8),ISNUMBER('Council Entry'!AH$9)),MAX(MIN('Council Entry'!AH185,'Council Entry'!AH$9),'Council Entry'!AH$8),'Council Entry'!AH185)),IF(AND(ISNUMBER('Council Entry'!AH$8),ISNUMBER('Council Entry'!AH$9)),MAX(MIN('Council Entry'!AH185,'Council Entry'!AH$9),'Council Entry'!AH$8),'Council Entry'!AH185))))-'Council Entry'!AH$5)/('Council Entry'!AH$6-'Council Entry'!AH$5)),1))),"No data"))</f>
        <v/>
      </c>
      <c r="AI185" s="13">
        <f>IF('Council Entry'!AI185="","",IFERROR(MAX(0,MIN(10,ROUND(IF('Council Entry'!AI$7="Decrease Risk",10-10*((IF('Council Entry'!AI$4="Logarithm",LN(0.001+IF(AND(ISNUMBER('Council Entry'!AI$8),ISNUMBER('Council Entry'!AI$9)),MAX(MIN('Council Entry'!AI185,'Council Entry'!AI$9),'Council Entry'!AI$8),'Council Entry'!AI185)),IF('Council Entry'!AI$4="Exponential",EXP(IF(AND(ISNUMBER('Council Entry'!AI$8),ISNUMBER('Council Entry'!AI$9)),MAX(MIN('Council Entry'!AI185,'Council Entry'!AI$9),'Council Entry'!AI$8),'Council Entry'!AI185)),IF(AND(ISNUMBER('Council Entry'!AI$8),ISNUMBER('Council Entry'!AI$9)),MAX(MIN('Council Entry'!AI185,'Council Entry'!AI$9),'Council Entry'!AI$8),'Council Entry'!AI185))))-'Council Entry'!AI$5)/('Council Entry'!AI$6-'Council Entry'!AI$5),10*((IF('Council Entry'!AI$4="Logarithm",LN(0.001+IF(AND(ISNUMBER('Council Entry'!AI$8),ISNUMBER('Council Entry'!AI$9)),MAX(MIN('Council Entry'!AI185,'Council Entry'!AI$9),'Council Entry'!AI$8),'Council Entry'!AI185)),IF('Council Entry'!AI$4="Exponential",EXP(IF(AND(ISNUMBER('Council Entry'!AI$8),ISNUMBER('Council Entry'!AI$9)),MAX(MIN('Council Entry'!AI185,'Council Entry'!AI$9),'Council Entry'!AI$8),'Council Entry'!AI185)),IF(AND(ISNUMBER('Council Entry'!AI$8),ISNUMBER('Council Entry'!AI$9)),MAX(MIN('Council Entry'!AI185,'Council Entry'!AI$9),'Council Entry'!AI$8),'Council Entry'!AI185))))-'Council Entry'!AI$5)/('Council Entry'!AI$6-'Council Entry'!AI$5)),1))),"No data"))</f>
        <v/>
      </c>
      <c r="AJ185" s="13">
        <f>IF('Council Entry'!AJ185="","",IFERROR(MAX(0,MIN(10,ROUND(IF('Council Entry'!AJ$7="Decrease Risk",10-10*((IF('Council Entry'!AJ$4="Logarithm",LN(0.001+IF(AND(ISNUMBER('Council Entry'!AJ$8),ISNUMBER('Council Entry'!AJ$9)),MAX(MIN('Council Entry'!AJ185,'Council Entry'!AJ$9),'Council Entry'!AJ$8),'Council Entry'!AJ185)),IF('Council Entry'!AJ$4="Exponential",EXP(IF(AND(ISNUMBER('Council Entry'!AJ$8),ISNUMBER('Council Entry'!AJ$9)),MAX(MIN('Council Entry'!AJ185,'Council Entry'!AJ$9),'Council Entry'!AJ$8),'Council Entry'!AJ185)),IF(AND(ISNUMBER('Council Entry'!AJ$8),ISNUMBER('Council Entry'!AJ$9)),MAX(MIN('Council Entry'!AJ185,'Council Entry'!AJ$9),'Council Entry'!AJ$8),'Council Entry'!AJ185))))-'Council Entry'!AJ$5)/('Council Entry'!AJ$6-'Council Entry'!AJ$5),10*((IF('Council Entry'!AJ$4="Logarithm",LN(0.001+IF(AND(ISNUMBER('Council Entry'!AJ$8),ISNUMBER('Council Entry'!AJ$9)),MAX(MIN('Council Entry'!AJ185,'Council Entry'!AJ$9),'Council Entry'!AJ$8),'Council Entry'!AJ185)),IF('Council Entry'!AJ$4="Exponential",EXP(IF(AND(ISNUMBER('Council Entry'!AJ$8),ISNUMBER('Council Entry'!AJ$9)),MAX(MIN('Council Entry'!AJ185,'Council Entry'!AJ$9),'Council Entry'!AJ$8),'Council Entry'!AJ185)),IF(AND(ISNUMBER('Council Entry'!AJ$8),ISNUMBER('Council Entry'!AJ$9)),MAX(MIN('Council Entry'!AJ185,'Council Entry'!AJ$9),'Council Entry'!AJ$8),'Council Entry'!AJ185))))-'Council Entry'!AJ$5)/('Council Entry'!AJ$6-'Council Entry'!AJ$5)),1))),"No data"))</f>
        <v/>
      </c>
      <c r="AK185" s="13">
        <f>IF('Council Entry'!AK185="","",IFERROR(MAX(0,MIN(10,ROUND(IF('Council Entry'!AK$7="Decrease Risk",10-10*((IF('Council Entry'!AK$4="Logarithm",LN(0.001+IF(AND(ISNUMBER('Council Entry'!AK$8),ISNUMBER('Council Entry'!AK$9)),MAX(MIN('Council Entry'!AK185,'Council Entry'!AK$9),'Council Entry'!AK$8),'Council Entry'!AK185)),IF('Council Entry'!AK$4="Exponential",EXP(IF(AND(ISNUMBER('Council Entry'!AK$8),ISNUMBER('Council Entry'!AK$9)),MAX(MIN('Council Entry'!AK185,'Council Entry'!AK$9),'Council Entry'!AK$8),'Council Entry'!AK185)),IF(AND(ISNUMBER('Council Entry'!AK$8),ISNUMBER('Council Entry'!AK$9)),MAX(MIN('Council Entry'!AK185,'Council Entry'!AK$9),'Council Entry'!AK$8),'Council Entry'!AK185))))-'Council Entry'!AK$5)/('Council Entry'!AK$6-'Council Entry'!AK$5),10*((IF('Council Entry'!AK$4="Logarithm",LN(0.001+IF(AND(ISNUMBER('Council Entry'!AK$8),ISNUMBER('Council Entry'!AK$9)),MAX(MIN('Council Entry'!AK185,'Council Entry'!AK$9),'Council Entry'!AK$8),'Council Entry'!AK185)),IF('Council Entry'!AK$4="Exponential",EXP(IF(AND(ISNUMBER('Council Entry'!AK$8),ISNUMBER('Council Entry'!AK$9)),MAX(MIN('Council Entry'!AK185,'Council Entry'!AK$9),'Council Entry'!AK$8),'Council Entry'!AK185)),IF(AND(ISNUMBER('Council Entry'!AK$8),ISNUMBER('Council Entry'!AK$9)),MAX(MIN('Council Entry'!AK185,'Council Entry'!AK$9),'Council Entry'!AK$8),'Council Entry'!AK185))))-'Council Entry'!AK$5)/('Council Entry'!AK$6-'Council Entry'!AK$5)),1))),"No data"))</f>
        <v/>
      </c>
      <c r="AL185" s="13">
        <f>IF('Council Entry'!AL185="","",IFERROR(MAX(0,MIN(10,ROUND(IF('Council Entry'!AL$7="Decrease Risk",10-10*((IF('Council Entry'!AL$4="Logarithm",LN(0.001+IF(AND(ISNUMBER('Council Entry'!AL$8),ISNUMBER('Council Entry'!AL$9)),MAX(MIN('Council Entry'!AL185,'Council Entry'!AL$9),'Council Entry'!AL$8),'Council Entry'!AL185)),IF('Council Entry'!AL$4="Exponential",EXP(IF(AND(ISNUMBER('Council Entry'!AL$8),ISNUMBER('Council Entry'!AL$9)),MAX(MIN('Council Entry'!AL185,'Council Entry'!AL$9),'Council Entry'!AL$8),'Council Entry'!AL185)),IF(AND(ISNUMBER('Council Entry'!AL$8),ISNUMBER('Council Entry'!AL$9)),MAX(MIN('Council Entry'!AL185,'Council Entry'!AL$9),'Council Entry'!AL$8),'Council Entry'!AL185))))-'Council Entry'!AL$5)/('Council Entry'!AL$6-'Council Entry'!AL$5),10*((IF('Council Entry'!AL$4="Logarithm",LN(0.001+IF(AND(ISNUMBER('Council Entry'!AL$8),ISNUMBER('Council Entry'!AL$9)),MAX(MIN('Council Entry'!AL185,'Council Entry'!AL$9),'Council Entry'!AL$8),'Council Entry'!AL185)),IF('Council Entry'!AL$4="Exponential",EXP(IF(AND(ISNUMBER('Council Entry'!AL$8),ISNUMBER('Council Entry'!AL$9)),MAX(MIN('Council Entry'!AL185,'Council Entry'!AL$9),'Council Entry'!AL$8),'Council Entry'!AL185)),IF(AND(ISNUMBER('Council Entry'!AL$8),ISNUMBER('Council Entry'!AL$9)),MAX(MIN('Council Entry'!AL185,'Council Entry'!AL$9),'Council Entry'!AL$8),'Council Entry'!AL185))))-'Council Entry'!AL$5)/('Council Entry'!AL$6-'Council Entry'!AL$5)),1))),"No data"))</f>
        <v/>
      </c>
      <c r="AM185" s="13">
        <f>IF('Council Entry'!AM185="","",IFERROR(MAX(0,MIN(10,ROUND(IF('Council Entry'!AM$7="Decrease Risk",10-10*((IF('Council Entry'!AM$4="Logarithm",LN(0.001+IF(AND(ISNUMBER('Council Entry'!AM$8),ISNUMBER('Council Entry'!AM$9)),MAX(MIN('Council Entry'!AM185,'Council Entry'!AM$9),'Council Entry'!AM$8),'Council Entry'!AM185)),IF('Council Entry'!AM$4="Exponential",EXP(IF(AND(ISNUMBER('Council Entry'!AM$8),ISNUMBER('Council Entry'!AM$9)),MAX(MIN('Council Entry'!AM185,'Council Entry'!AM$9),'Council Entry'!AM$8),'Council Entry'!AM185)),IF(AND(ISNUMBER('Council Entry'!AM$8),ISNUMBER('Council Entry'!AM$9)),MAX(MIN('Council Entry'!AM185,'Council Entry'!AM$9),'Council Entry'!AM$8),'Council Entry'!AM185))))-'Council Entry'!AM$5)/('Council Entry'!AM$6-'Council Entry'!AM$5),10*((IF('Council Entry'!AM$4="Logarithm",LN(0.001+IF(AND(ISNUMBER('Council Entry'!AM$8),ISNUMBER('Council Entry'!AM$9)),MAX(MIN('Council Entry'!AM185,'Council Entry'!AM$9),'Council Entry'!AM$8),'Council Entry'!AM185)),IF('Council Entry'!AM$4="Exponential",EXP(IF(AND(ISNUMBER('Council Entry'!AM$8),ISNUMBER('Council Entry'!AM$9)),MAX(MIN('Council Entry'!AM185,'Council Entry'!AM$9),'Council Entry'!AM$8),'Council Entry'!AM185)),IF(AND(ISNUMBER('Council Entry'!AM$8),ISNUMBER('Council Entry'!AM$9)),MAX(MIN('Council Entry'!AM185,'Council Entry'!AM$9),'Council Entry'!AM$8),'Council Entry'!AM185))))-'Council Entry'!AM$5)/('Council Entry'!AM$6-'Council Entry'!AM$5)),1))),"No data"))</f>
        <v/>
      </c>
      <c r="AN185" s="13">
        <f>IF('Council Entry'!AN185="","",IFERROR(MAX(0,MIN(10,ROUND(IF('Council Entry'!AN$7="Decrease Risk",10-10*((IF('Council Entry'!AN$4="Logarithm",LN(0.001+IF(AND(ISNUMBER('Council Entry'!AN$8),ISNUMBER('Council Entry'!AN$9)),MAX(MIN('Council Entry'!AN185,'Council Entry'!AN$9),'Council Entry'!AN$8),'Council Entry'!AN185)),IF('Council Entry'!AN$4="Exponential",EXP(IF(AND(ISNUMBER('Council Entry'!AN$8),ISNUMBER('Council Entry'!AN$9)),MAX(MIN('Council Entry'!AN185,'Council Entry'!AN$9),'Council Entry'!AN$8),'Council Entry'!AN185)),IF(AND(ISNUMBER('Council Entry'!AN$8),ISNUMBER('Council Entry'!AN$9)),MAX(MIN('Council Entry'!AN185,'Council Entry'!AN$9),'Council Entry'!AN$8),'Council Entry'!AN185))))-'Council Entry'!AN$5)/('Council Entry'!AN$6-'Council Entry'!AN$5),10*((IF('Council Entry'!AN$4="Logarithm",LN(0.001+IF(AND(ISNUMBER('Council Entry'!AN$8),ISNUMBER('Council Entry'!AN$9)),MAX(MIN('Council Entry'!AN185,'Council Entry'!AN$9),'Council Entry'!AN$8),'Council Entry'!AN185)),IF('Council Entry'!AN$4="Exponential",EXP(IF(AND(ISNUMBER('Council Entry'!AN$8),ISNUMBER('Council Entry'!AN$9)),MAX(MIN('Council Entry'!AN185,'Council Entry'!AN$9),'Council Entry'!AN$8),'Council Entry'!AN185)),IF(AND(ISNUMBER('Council Entry'!AN$8),ISNUMBER('Council Entry'!AN$9)),MAX(MIN('Council Entry'!AN185,'Council Entry'!AN$9),'Council Entry'!AN$8),'Council Entry'!AN185))))-'Council Entry'!AN$5)/('Council Entry'!AN$6-'Council Entry'!AN$5)),1))),"No data"))</f>
        <v/>
      </c>
      <c r="AO185" s="13">
        <f>IF('Council Entry'!AO185="","",IFERROR(MAX(0,MIN(10,ROUND(IF('Council Entry'!AO$7="Decrease Risk",10-10*((IF('Council Entry'!AO$4="Logarithm",LN(0.001+IF(AND(ISNUMBER('Council Entry'!AO$8),ISNUMBER('Council Entry'!AO$9)),MAX(MIN('Council Entry'!AO185,'Council Entry'!AO$9),'Council Entry'!AO$8),'Council Entry'!AO185)),IF('Council Entry'!AO$4="Exponential",EXP(IF(AND(ISNUMBER('Council Entry'!AO$8),ISNUMBER('Council Entry'!AO$9)),MAX(MIN('Council Entry'!AO185,'Council Entry'!AO$9),'Council Entry'!AO$8),'Council Entry'!AO185)),IF(AND(ISNUMBER('Council Entry'!AO$8),ISNUMBER('Council Entry'!AO$9)),MAX(MIN('Council Entry'!AO185,'Council Entry'!AO$9),'Council Entry'!AO$8),'Council Entry'!AO185))))-'Council Entry'!AO$5)/('Council Entry'!AO$6-'Council Entry'!AO$5),10*((IF('Council Entry'!AO$4="Logarithm",LN(0.001+IF(AND(ISNUMBER('Council Entry'!AO$8),ISNUMBER('Council Entry'!AO$9)),MAX(MIN('Council Entry'!AO185,'Council Entry'!AO$9),'Council Entry'!AO$8),'Council Entry'!AO185)),IF('Council Entry'!AO$4="Exponential",EXP(IF(AND(ISNUMBER('Council Entry'!AO$8),ISNUMBER('Council Entry'!AO$9)),MAX(MIN('Council Entry'!AO185,'Council Entry'!AO$9),'Council Entry'!AO$8),'Council Entry'!AO185)),IF(AND(ISNUMBER('Council Entry'!AO$8),ISNUMBER('Council Entry'!AO$9)),MAX(MIN('Council Entry'!AO185,'Council Entry'!AO$9),'Council Entry'!AO$8),'Council Entry'!AO185))))-'Council Entry'!AO$5)/('Council Entry'!AO$6-'Council Entry'!AO$5)),1))),"No data"))</f>
        <v/>
      </c>
      <c r="AP185" s="13">
        <f>IF('Council Entry'!AP185="","",IFERROR(MAX(0,MIN(10,ROUND(IF('Council Entry'!AP$7="Decrease Risk",10-10*((IF('Council Entry'!AP$4="Logarithm",LN(0.001+IF(AND(ISNUMBER('Council Entry'!AP$8),ISNUMBER('Council Entry'!AP$9)),MAX(MIN('Council Entry'!AP185,'Council Entry'!AP$9),'Council Entry'!AP$8),'Council Entry'!AP185)),IF('Council Entry'!AP$4="Exponential",EXP(IF(AND(ISNUMBER('Council Entry'!AP$8),ISNUMBER('Council Entry'!AP$9)),MAX(MIN('Council Entry'!AP185,'Council Entry'!AP$9),'Council Entry'!AP$8),'Council Entry'!AP185)),IF(AND(ISNUMBER('Council Entry'!AP$8),ISNUMBER('Council Entry'!AP$9)),MAX(MIN('Council Entry'!AP185,'Council Entry'!AP$9),'Council Entry'!AP$8),'Council Entry'!AP185))))-'Council Entry'!AP$5)/('Council Entry'!AP$6-'Council Entry'!AP$5),10*((IF('Council Entry'!AP$4="Logarithm",LN(0.001+IF(AND(ISNUMBER('Council Entry'!AP$8),ISNUMBER('Council Entry'!AP$9)),MAX(MIN('Council Entry'!AP185,'Council Entry'!AP$9),'Council Entry'!AP$8),'Council Entry'!AP185)),IF('Council Entry'!AP$4="Exponential",EXP(IF(AND(ISNUMBER('Council Entry'!AP$8),ISNUMBER('Council Entry'!AP$9)),MAX(MIN('Council Entry'!AP185,'Council Entry'!AP$9),'Council Entry'!AP$8),'Council Entry'!AP185)),IF(AND(ISNUMBER('Council Entry'!AP$8),ISNUMBER('Council Entry'!AP$9)),MAX(MIN('Council Entry'!AP185,'Council Entry'!AP$9),'Council Entry'!AP$8),'Council Entry'!AP185))))-'Council Entry'!AP$5)/('Council Entry'!AP$6-'Council Entry'!AP$5)),1))),"No data"))</f>
        <v/>
      </c>
      <c r="AQ185" s="13">
        <f>IF('Council Entry'!AQ185="","",IFERROR(MAX(0,MIN(10,ROUND(IF('Council Entry'!AQ$7="Decrease Risk",10-10*((IF('Council Entry'!AQ$4="Logarithm",LN(0.001+IF(AND(ISNUMBER('Council Entry'!AQ$8),ISNUMBER('Council Entry'!AQ$9)),MAX(MIN('Council Entry'!AQ185,'Council Entry'!AQ$9),'Council Entry'!AQ$8),'Council Entry'!AQ185)),IF('Council Entry'!AQ$4="Exponential",EXP(IF(AND(ISNUMBER('Council Entry'!AQ$8),ISNUMBER('Council Entry'!AQ$9)),MAX(MIN('Council Entry'!AQ185,'Council Entry'!AQ$9),'Council Entry'!AQ$8),'Council Entry'!AQ185)),IF(AND(ISNUMBER('Council Entry'!AQ$8),ISNUMBER('Council Entry'!AQ$9)),MAX(MIN('Council Entry'!AQ185,'Council Entry'!AQ$9),'Council Entry'!AQ$8),'Council Entry'!AQ185))))-'Council Entry'!AQ$5)/('Council Entry'!AQ$6-'Council Entry'!AQ$5),10*((IF('Council Entry'!AQ$4="Logarithm",LN(0.001+IF(AND(ISNUMBER('Council Entry'!AQ$8),ISNUMBER('Council Entry'!AQ$9)),MAX(MIN('Council Entry'!AQ185,'Council Entry'!AQ$9),'Council Entry'!AQ$8),'Council Entry'!AQ185)),IF('Council Entry'!AQ$4="Exponential",EXP(IF(AND(ISNUMBER('Council Entry'!AQ$8),ISNUMBER('Council Entry'!AQ$9)),MAX(MIN('Council Entry'!AQ185,'Council Entry'!AQ$9),'Council Entry'!AQ$8),'Council Entry'!AQ185)),IF(AND(ISNUMBER('Council Entry'!AQ$8),ISNUMBER('Council Entry'!AQ$9)),MAX(MIN('Council Entry'!AQ185,'Council Entry'!AQ$9),'Council Entry'!AQ$8),'Council Entry'!AQ185))))-'Council Entry'!AQ$5)/('Council Entry'!AQ$6-'Council Entry'!AQ$5)),1))),"No data"))</f>
        <v/>
      </c>
      <c r="AR185" s="13">
        <f>IF('Council Entry'!AR185="","",IFERROR(MAX(0,MIN(10,ROUND(IF('Council Entry'!AR$7="Decrease Risk",10-10*((IF('Council Entry'!AR$4="Logarithm",LN(0.001+IF(AND(ISNUMBER('Council Entry'!AR$8),ISNUMBER('Council Entry'!AR$9)),MAX(MIN('Council Entry'!AR185,'Council Entry'!AR$9),'Council Entry'!AR$8),'Council Entry'!AR185)),IF('Council Entry'!AR$4="Exponential",EXP(IF(AND(ISNUMBER('Council Entry'!AR$8),ISNUMBER('Council Entry'!AR$9)),MAX(MIN('Council Entry'!AR185,'Council Entry'!AR$9),'Council Entry'!AR$8),'Council Entry'!AR185)),IF(AND(ISNUMBER('Council Entry'!AR$8),ISNUMBER('Council Entry'!AR$9)),MAX(MIN('Council Entry'!AR185,'Council Entry'!AR$9),'Council Entry'!AR$8),'Council Entry'!AR185))))-'Council Entry'!AR$5)/('Council Entry'!AR$6-'Council Entry'!AR$5),10*((IF('Council Entry'!AR$4="Logarithm",LN(0.001+IF(AND(ISNUMBER('Council Entry'!AR$8),ISNUMBER('Council Entry'!AR$9)),MAX(MIN('Council Entry'!AR185,'Council Entry'!AR$9),'Council Entry'!AR$8),'Council Entry'!AR185)),IF('Council Entry'!AR$4="Exponential",EXP(IF(AND(ISNUMBER('Council Entry'!AR$8),ISNUMBER('Council Entry'!AR$9)),MAX(MIN('Council Entry'!AR185,'Council Entry'!AR$9),'Council Entry'!AR$8),'Council Entry'!AR185)),IF(AND(ISNUMBER('Council Entry'!AR$8),ISNUMBER('Council Entry'!AR$9)),MAX(MIN('Council Entry'!AR185,'Council Entry'!AR$9),'Council Entry'!AR$8),'Council Entry'!AR185))))-'Council Entry'!AR$5)/('Council Entry'!AR$6-'Council Entry'!AR$5)),1))),"No data"))</f>
        <v/>
      </c>
      <c r="AS185" s="13">
        <f>IF('Council Entry'!AS185="","",IFERROR(MAX(0,MIN(10,ROUND(IF('Council Entry'!AS$7="Decrease Risk",10-10*((IF('Council Entry'!AS$4="Logarithm",LN(0.001+IF(AND(ISNUMBER('Council Entry'!AS$8),ISNUMBER('Council Entry'!AS$9)),MAX(MIN('Council Entry'!AS185,'Council Entry'!AS$9),'Council Entry'!AS$8),'Council Entry'!AS185)),IF('Council Entry'!AS$4="Exponential",EXP(IF(AND(ISNUMBER('Council Entry'!AS$8),ISNUMBER('Council Entry'!AS$9)),MAX(MIN('Council Entry'!AS185,'Council Entry'!AS$9),'Council Entry'!AS$8),'Council Entry'!AS185)),IF(AND(ISNUMBER('Council Entry'!AS$8),ISNUMBER('Council Entry'!AS$9)),MAX(MIN('Council Entry'!AS185,'Council Entry'!AS$9),'Council Entry'!AS$8),'Council Entry'!AS185))))-'Council Entry'!AS$5)/('Council Entry'!AS$6-'Council Entry'!AS$5),10*((IF('Council Entry'!AS$4="Logarithm",LN(0.001+IF(AND(ISNUMBER('Council Entry'!AS$8),ISNUMBER('Council Entry'!AS$9)),MAX(MIN('Council Entry'!AS185,'Council Entry'!AS$9),'Council Entry'!AS$8),'Council Entry'!AS185)),IF('Council Entry'!AS$4="Exponential",EXP(IF(AND(ISNUMBER('Council Entry'!AS$8),ISNUMBER('Council Entry'!AS$9)),MAX(MIN('Council Entry'!AS185,'Council Entry'!AS$9),'Council Entry'!AS$8),'Council Entry'!AS185)),IF(AND(ISNUMBER('Council Entry'!AS$8),ISNUMBER('Council Entry'!AS$9)),MAX(MIN('Council Entry'!AS185,'Council Entry'!AS$9),'Council Entry'!AS$8),'Council Entry'!AS185))))-'Council Entry'!AS$5)/('Council Entry'!AS$6-'Council Entry'!AS$5)),1))),"No data"))</f>
        <v/>
      </c>
      <c r="AT185" s="13">
        <f>IF('Council Entry'!AT185="","",IFERROR(MAX(0,MIN(10,ROUND(IF('Council Entry'!AT$7="Decrease Risk",10-10*((IF('Council Entry'!AT$4="Logarithm",LN(0.001+IF(AND(ISNUMBER('Council Entry'!AT$8),ISNUMBER('Council Entry'!AT$9)),MAX(MIN('Council Entry'!AT185,'Council Entry'!AT$9),'Council Entry'!AT$8),'Council Entry'!AT185)),IF('Council Entry'!AT$4="Exponential",EXP(IF(AND(ISNUMBER('Council Entry'!AT$8),ISNUMBER('Council Entry'!AT$9)),MAX(MIN('Council Entry'!AT185,'Council Entry'!AT$9),'Council Entry'!AT$8),'Council Entry'!AT185)),IF(AND(ISNUMBER('Council Entry'!AT$8),ISNUMBER('Council Entry'!AT$9)),MAX(MIN('Council Entry'!AT185,'Council Entry'!AT$9),'Council Entry'!AT$8),'Council Entry'!AT185))))-'Council Entry'!AT$5)/('Council Entry'!AT$6-'Council Entry'!AT$5),10*((IF('Council Entry'!AT$4="Logarithm",LN(0.001+IF(AND(ISNUMBER('Council Entry'!AT$8),ISNUMBER('Council Entry'!AT$9)),MAX(MIN('Council Entry'!AT185,'Council Entry'!AT$9),'Council Entry'!AT$8),'Council Entry'!AT185)),IF('Council Entry'!AT$4="Exponential",EXP(IF(AND(ISNUMBER('Council Entry'!AT$8),ISNUMBER('Council Entry'!AT$9)),MAX(MIN('Council Entry'!AT185,'Council Entry'!AT$9),'Council Entry'!AT$8),'Council Entry'!AT185)),IF(AND(ISNUMBER('Council Entry'!AT$8),ISNUMBER('Council Entry'!AT$9)),MAX(MIN('Council Entry'!AT185,'Council Entry'!AT$9),'Council Entry'!AT$8),'Council Entry'!AT185))))-'Council Entry'!AT$5)/('Council Entry'!AT$6-'Council Entry'!AT$5)),1))),"No data"))</f>
        <v/>
      </c>
      <c r="AU185" s="13">
        <f>IF('Council Entry'!AU185="","",IFERROR(MAX(0,MIN(10,ROUND(IF('Council Entry'!AU$7="Decrease Risk",10-10*((IF('Council Entry'!AU$4="Logarithm",LN(0.001+IF(AND(ISNUMBER('Council Entry'!AU$8),ISNUMBER('Council Entry'!AU$9)),MAX(MIN('Council Entry'!AU185,'Council Entry'!AU$9),'Council Entry'!AU$8),'Council Entry'!AU185)),IF('Council Entry'!AU$4="Exponential",EXP(IF(AND(ISNUMBER('Council Entry'!AU$8),ISNUMBER('Council Entry'!AU$9)),MAX(MIN('Council Entry'!AU185,'Council Entry'!AU$9),'Council Entry'!AU$8),'Council Entry'!AU185)),IF(AND(ISNUMBER('Council Entry'!AU$8),ISNUMBER('Council Entry'!AU$9)),MAX(MIN('Council Entry'!AU185,'Council Entry'!AU$9),'Council Entry'!AU$8),'Council Entry'!AU185))))-'Council Entry'!AU$5)/('Council Entry'!AU$6-'Council Entry'!AU$5),10*((IF('Council Entry'!AU$4="Logarithm",LN(0.001+IF(AND(ISNUMBER('Council Entry'!AU$8),ISNUMBER('Council Entry'!AU$9)),MAX(MIN('Council Entry'!AU185,'Council Entry'!AU$9),'Council Entry'!AU$8),'Council Entry'!AU185)),IF('Council Entry'!AU$4="Exponential",EXP(IF(AND(ISNUMBER('Council Entry'!AU$8),ISNUMBER('Council Entry'!AU$9)),MAX(MIN('Council Entry'!AU185,'Council Entry'!AU$9),'Council Entry'!AU$8),'Council Entry'!AU185)),IF(AND(ISNUMBER('Council Entry'!AU$8),ISNUMBER('Council Entry'!AU$9)),MAX(MIN('Council Entry'!AU185,'Council Entry'!AU$9),'Council Entry'!AU$8),'Council Entry'!AU185))))-'Council Entry'!AU$5)/('Council Entry'!AU$6-'Council Entry'!AU$5)),1))),"No data"))</f>
        <v/>
      </c>
      <c r="AV185" s="13">
        <f>IF('Council Entry'!AV185="","",IFERROR(MAX(0,MIN(10,ROUND(IF('Council Entry'!AV$7="Decrease Risk",10-10*((IF('Council Entry'!AV$4="Logarithm",LN(0.001+IF(AND(ISNUMBER('Council Entry'!AV$8),ISNUMBER('Council Entry'!AV$9)),MAX(MIN('Council Entry'!AV185,'Council Entry'!AV$9),'Council Entry'!AV$8),'Council Entry'!AV185)),IF('Council Entry'!AV$4="Exponential",EXP(IF(AND(ISNUMBER('Council Entry'!AV$8),ISNUMBER('Council Entry'!AV$9)),MAX(MIN('Council Entry'!AV185,'Council Entry'!AV$9),'Council Entry'!AV$8),'Council Entry'!AV185)),IF(AND(ISNUMBER('Council Entry'!AV$8),ISNUMBER('Council Entry'!AV$9)),MAX(MIN('Council Entry'!AV185,'Council Entry'!AV$9),'Council Entry'!AV$8),'Council Entry'!AV185))))-'Council Entry'!AV$5)/('Council Entry'!AV$6-'Council Entry'!AV$5),10*((IF('Council Entry'!AV$4="Logarithm",LN(0.001+IF(AND(ISNUMBER('Council Entry'!AV$8),ISNUMBER('Council Entry'!AV$9)),MAX(MIN('Council Entry'!AV185,'Council Entry'!AV$9),'Council Entry'!AV$8),'Council Entry'!AV185)),IF('Council Entry'!AV$4="Exponential",EXP(IF(AND(ISNUMBER('Council Entry'!AV$8),ISNUMBER('Council Entry'!AV$9)),MAX(MIN('Council Entry'!AV185,'Council Entry'!AV$9),'Council Entry'!AV$8),'Council Entry'!AV185)),IF(AND(ISNUMBER('Council Entry'!AV$8),ISNUMBER('Council Entry'!AV$9)),MAX(MIN('Council Entry'!AV185,'Council Entry'!AV$9),'Council Entry'!AV$8),'Council Entry'!AV185))))-'Council Entry'!AV$5)/('Council Entry'!AV$6-'Council Entry'!AV$5)),1))),"No data"))</f>
        <v/>
      </c>
      <c r="AW185" s="13">
        <f>IF('Council Entry'!AW185="","",IFERROR(MAX(0,MIN(10,ROUND(IF('Council Entry'!AW$7="Decrease Risk",10-10*((IF('Council Entry'!AW$4="Logarithm",LN(0.001+IF(AND(ISNUMBER('Council Entry'!AW$8),ISNUMBER('Council Entry'!AW$9)),MAX(MIN('Council Entry'!AW185,'Council Entry'!AW$9),'Council Entry'!AW$8),'Council Entry'!AW185)),IF('Council Entry'!AW$4="Exponential",EXP(IF(AND(ISNUMBER('Council Entry'!AW$8),ISNUMBER('Council Entry'!AW$9)),MAX(MIN('Council Entry'!AW185,'Council Entry'!AW$9),'Council Entry'!AW$8),'Council Entry'!AW185)),IF(AND(ISNUMBER('Council Entry'!AW$8),ISNUMBER('Council Entry'!AW$9)),MAX(MIN('Council Entry'!AW185,'Council Entry'!AW$9),'Council Entry'!AW$8),'Council Entry'!AW185))))-'Council Entry'!AW$5)/('Council Entry'!AW$6-'Council Entry'!AW$5),10*((IF('Council Entry'!AW$4="Logarithm",LN(0.001+IF(AND(ISNUMBER('Council Entry'!AW$8),ISNUMBER('Council Entry'!AW$9)),MAX(MIN('Council Entry'!AW185,'Council Entry'!AW$9),'Council Entry'!AW$8),'Council Entry'!AW185)),IF('Council Entry'!AW$4="Exponential",EXP(IF(AND(ISNUMBER('Council Entry'!AW$8),ISNUMBER('Council Entry'!AW$9)),MAX(MIN('Council Entry'!AW185,'Council Entry'!AW$9),'Council Entry'!AW$8),'Council Entry'!AW185)),IF(AND(ISNUMBER('Council Entry'!AW$8),ISNUMBER('Council Entry'!AW$9)),MAX(MIN('Council Entry'!AW185,'Council Entry'!AW$9),'Council Entry'!AW$8),'Council Entry'!AW185))))-'Council Entry'!AW$5)/('Council Entry'!AW$6-'Council Entry'!AW$5)),1))),"No data"))</f>
        <v/>
      </c>
      <c r="AX185" s="13">
        <f>IF('Council Entry'!AX185="","",IFERROR(MAX(0,MIN(10,ROUND(IF('Council Entry'!AX$7="Decrease Risk",10-10*((IF('Council Entry'!AX$4="Logarithm",LN(0.001+IF(AND(ISNUMBER('Council Entry'!AX$8),ISNUMBER('Council Entry'!AX$9)),MAX(MIN('Council Entry'!AX185,'Council Entry'!AX$9),'Council Entry'!AX$8),'Council Entry'!AX185)),IF('Council Entry'!AX$4="Exponential",EXP(IF(AND(ISNUMBER('Council Entry'!AX$8),ISNUMBER('Council Entry'!AX$9)),MAX(MIN('Council Entry'!AX185,'Council Entry'!AX$9),'Council Entry'!AX$8),'Council Entry'!AX185)),IF(AND(ISNUMBER('Council Entry'!AX$8),ISNUMBER('Council Entry'!AX$9)),MAX(MIN('Council Entry'!AX185,'Council Entry'!AX$9),'Council Entry'!AX$8),'Council Entry'!AX185))))-'Council Entry'!AX$5)/('Council Entry'!AX$6-'Council Entry'!AX$5),10*((IF('Council Entry'!AX$4="Logarithm",LN(0.001+IF(AND(ISNUMBER('Council Entry'!AX$8),ISNUMBER('Council Entry'!AX$9)),MAX(MIN('Council Entry'!AX185,'Council Entry'!AX$9),'Council Entry'!AX$8),'Council Entry'!AX185)),IF('Council Entry'!AX$4="Exponential",EXP(IF(AND(ISNUMBER('Council Entry'!AX$8),ISNUMBER('Council Entry'!AX$9)),MAX(MIN('Council Entry'!AX185,'Council Entry'!AX$9),'Council Entry'!AX$8),'Council Entry'!AX185)),IF(AND(ISNUMBER('Council Entry'!AX$8),ISNUMBER('Council Entry'!AX$9)),MAX(MIN('Council Entry'!AX185,'Council Entry'!AX$9),'Council Entry'!AX$8),'Council Entry'!AX185))))-'Council Entry'!AX$5)/('Council Entry'!AX$6-'Council Entry'!AX$5)),1))),"No data"))</f>
        <v/>
      </c>
      <c r="AY185" s="13">
        <f>IF('Council Entry'!AY185="","",IFERROR(MAX(0,MIN(10,ROUND(IF('Council Entry'!AY$7="Decrease Risk",10-10*((IF('Council Entry'!AY$4="Logarithm",LN(0.001+IF(AND(ISNUMBER('Council Entry'!AY$8),ISNUMBER('Council Entry'!AY$9)),MAX(MIN('Council Entry'!AY185,'Council Entry'!AY$9),'Council Entry'!AY$8),'Council Entry'!AY185)),IF('Council Entry'!AY$4="Exponential",EXP(IF(AND(ISNUMBER('Council Entry'!AY$8),ISNUMBER('Council Entry'!AY$9)),MAX(MIN('Council Entry'!AY185,'Council Entry'!AY$9),'Council Entry'!AY$8),'Council Entry'!AY185)),IF(AND(ISNUMBER('Council Entry'!AY$8),ISNUMBER('Council Entry'!AY$9)),MAX(MIN('Council Entry'!AY185,'Council Entry'!AY$9),'Council Entry'!AY$8),'Council Entry'!AY185))))-'Council Entry'!AY$5)/('Council Entry'!AY$6-'Council Entry'!AY$5),10*((IF('Council Entry'!AY$4="Logarithm",LN(0.001+IF(AND(ISNUMBER('Council Entry'!AY$8),ISNUMBER('Council Entry'!AY$9)),MAX(MIN('Council Entry'!AY185,'Council Entry'!AY$9),'Council Entry'!AY$8),'Council Entry'!AY185)),IF('Council Entry'!AY$4="Exponential",EXP(IF(AND(ISNUMBER('Council Entry'!AY$8),ISNUMBER('Council Entry'!AY$9)),MAX(MIN('Council Entry'!AY185,'Council Entry'!AY$9),'Council Entry'!AY$8),'Council Entry'!AY185)),IF(AND(ISNUMBER('Council Entry'!AY$8),ISNUMBER('Council Entry'!AY$9)),MAX(MIN('Council Entry'!AY185,'Council Entry'!AY$9),'Council Entry'!AY$8),'Council Entry'!AY185))))-'Council Entry'!AY$5)/('Council Entry'!AY$6-'Council Entry'!AY$5)),1))),"No data"))</f>
        <v/>
      </c>
      <c r="AZ185" s="13">
        <f>IF('Council Entry'!AZ185="","",IFERROR(MAX(0,MIN(10,ROUND(IF('Council Entry'!AZ$7="Decrease Risk",10-10*((IF('Council Entry'!AZ$4="Logarithm",LN(0.001+IF(AND(ISNUMBER('Council Entry'!AZ$8),ISNUMBER('Council Entry'!AZ$9)),MAX(MIN('Council Entry'!AZ185,'Council Entry'!AZ$9),'Council Entry'!AZ$8),'Council Entry'!AZ185)),IF('Council Entry'!AZ$4="Exponential",EXP(IF(AND(ISNUMBER('Council Entry'!AZ$8),ISNUMBER('Council Entry'!AZ$9)),MAX(MIN('Council Entry'!AZ185,'Council Entry'!AZ$9),'Council Entry'!AZ$8),'Council Entry'!AZ185)),IF(AND(ISNUMBER('Council Entry'!AZ$8),ISNUMBER('Council Entry'!AZ$9)),MAX(MIN('Council Entry'!AZ185,'Council Entry'!AZ$9),'Council Entry'!AZ$8),'Council Entry'!AZ185))))-'Council Entry'!AZ$5)/('Council Entry'!AZ$6-'Council Entry'!AZ$5),10*((IF('Council Entry'!AZ$4="Logarithm",LN(0.001+IF(AND(ISNUMBER('Council Entry'!AZ$8),ISNUMBER('Council Entry'!AZ$9)),MAX(MIN('Council Entry'!AZ185,'Council Entry'!AZ$9),'Council Entry'!AZ$8),'Council Entry'!AZ185)),IF('Council Entry'!AZ$4="Exponential",EXP(IF(AND(ISNUMBER('Council Entry'!AZ$8),ISNUMBER('Council Entry'!AZ$9)),MAX(MIN('Council Entry'!AZ185,'Council Entry'!AZ$9),'Council Entry'!AZ$8),'Council Entry'!AZ185)),IF(AND(ISNUMBER('Council Entry'!AZ$8),ISNUMBER('Council Entry'!AZ$9)),MAX(MIN('Council Entry'!AZ185,'Council Entry'!AZ$9),'Council Entry'!AZ$8),'Council Entry'!AZ185))))-'Council Entry'!AZ$5)/('Council Entry'!AZ$6-'Council Entry'!AZ$5)),1))),"No data"))</f>
        <v/>
      </c>
      <c r="BA185" s="13">
        <f>IF('Council Entry'!BA185="","",IFERROR(MAX(0,MIN(10,ROUND(IF('Council Entry'!BA$7="Decrease Risk",10-10*((IF('Council Entry'!BA$4="Logarithm",LN(0.001+IF(AND(ISNUMBER('Council Entry'!BA$8),ISNUMBER('Council Entry'!BA$9)),MAX(MIN('Council Entry'!BA185,'Council Entry'!BA$9),'Council Entry'!BA$8),'Council Entry'!BA185)),IF('Council Entry'!BA$4="Exponential",EXP(IF(AND(ISNUMBER('Council Entry'!BA$8),ISNUMBER('Council Entry'!BA$9)),MAX(MIN('Council Entry'!BA185,'Council Entry'!BA$9),'Council Entry'!BA$8),'Council Entry'!BA185)),IF(AND(ISNUMBER('Council Entry'!BA$8),ISNUMBER('Council Entry'!BA$9)),MAX(MIN('Council Entry'!BA185,'Council Entry'!BA$9),'Council Entry'!BA$8),'Council Entry'!BA185))))-'Council Entry'!BA$5)/('Council Entry'!BA$6-'Council Entry'!BA$5),10*((IF('Council Entry'!BA$4="Logarithm",LN(0.001+IF(AND(ISNUMBER('Council Entry'!BA$8),ISNUMBER('Council Entry'!BA$9)),MAX(MIN('Council Entry'!BA185,'Council Entry'!BA$9),'Council Entry'!BA$8),'Council Entry'!BA185)),IF('Council Entry'!BA$4="Exponential",EXP(IF(AND(ISNUMBER('Council Entry'!BA$8),ISNUMBER('Council Entry'!BA$9)),MAX(MIN('Council Entry'!BA185,'Council Entry'!BA$9),'Council Entry'!BA$8),'Council Entry'!BA185)),IF(AND(ISNUMBER('Council Entry'!BA$8),ISNUMBER('Council Entry'!BA$9)),MAX(MIN('Council Entry'!BA185,'Council Entry'!BA$9),'Council Entry'!BA$8),'Council Entry'!BA185))))-'Council Entry'!BA$5)/('Council Entry'!BA$6-'Council Entry'!BA$5)),1))),"No data"))</f>
        <v/>
      </c>
      <c r="BB185" s="13">
        <f>IF('Council Entry'!BB185="","",IFERROR(MAX(0,MIN(10,ROUND(IF('Council Entry'!BB$7="Decrease Risk",10-10*((IF('Council Entry'!BB$4="Logarithm",LN(0.001+IF(AND(ISNUMBER('Council Entry'!BB$8),ISNUMBER('Council Entry'!BB$9)),MAX(MIN('Council Entry'!BB185,'Council Entry'!BB$9),'Council Entry'!BB$8),'Council Entry'!BB185)),IF('Council Entry'!BB$4="Exponential",EXP(IF(AND(ISNUMBER('Council Entry'!BB$8),ISNUMBER('Council Entry'!BB$9)),MAX(MIN('Council Entry'!BB185,'Council Entry'!BB$9),'Council Entry'!BB$8),'Council Entry'!BB185)),IF(AND(ISNUMBER('Council Entry'!BB$8),ISNUMBER('Council Entry'!BB$9)),MAX(MIN('Council Entry'!BB185,'Council Entry'!BB$9),'Council Entry'!BB$8),'Council Entry'!BB185))))-'Council Entry'!BB$5)/('Council Entry'!BB$6-'Council Entry'!BB$5),10*((IF('Council Entry'!BB$4="Logarithm",LN(0.001+IF(AND(ISNUMBER('Council Entry'!BB$8),ISNUMBER('Council Entry'!BB$9)),MAX(MIN('Council Entry'!BB185,'Council Entry'!BB$9),'Council Entry'!BB$8),'Council Entry'!BB185)),IF('Council Entry'!BB$4="Exponential",EXP(IF(AND(ISNUMBER('Council Entry'!BB$8),ISNUMBER('Council Entry'!BB$9)),MAX(MIN('Council Entry'!BB185,'Council Entry'!BB$9),'Council Entry'!BB$8),'Council Entry'!BB185)),IF(AND(ISNUMBER('Council Entry'!BB$8),ISNUMBER('Council Entry'!BB$9)),MAX(MIN('Council Entry'!BB185,'Council Entry'!BB$9),'Council Entry'!BB$8),'Council Entry'!BB185))))-'Council Entry'!BB$5)/('Council Entry'!BB$6-'Council Entry'!BB$5)),1))),"No data"))</f>
        <v/>
      </c>
      <c r="BC185" s="13">
        <f>IF('Council Entry'!BC185="","",IFERROR(MAX(0,MIN(10,ROUND(IF('Council Entry'!BC$7="Decrease Risk",10-10*((IF('Council Entry'!BC$4="Logarithm",LN(0.001+IF(AND(ISNUMBER('Council Entry'!BC$8),ISNUMBER('Council Entry'!BC$9)),MAX(MIN('Council Entry'!BC185,'Council Entry'!BC$9),'Council Entry'!BC$8),'Council Entry'!BC185)),IF('Council Entry'!BC$4="Exponential",EXP(IF(AND(ISNUMBER('Council Entry'!BC$8),ISNUMBER('Council Entry'!BC$9)),MAX(MIN('Council Entry'!BC185,'Council Entry'!BC$9),'Council Entry'!BC$8),'Council Entry'!BC185)),IF(AND(ISNUMBER('Council Entry'!BC$8),ISNUMBER('Council Entry'!BC$9)),MAX(MIN('Council Entry'!BC185,'Council Entry'!BC$9),'Council Entry'!BC$8),'Council Entry'!BC185))))-'Council Entry'!BC$5)/('Council Entry'!BC$6-'Council Entry'!BC$5),10*((IF('Council Entry'!BC$4="Logarithm",LN(0.001+IF(AND(ISNUMBER('Council Entry'!BC$8),ISNUMBER('Council Entry'!BC$9)),MAX(MIN('Council Entry'!BC185,'Council Entry'!BC$9),'Council Entry'!BC$8),'Council Entry'!BC185)),IF('Council Entry'!BC$4="Exponential",EXP(IF(AND(ISNUMBER('Council Entry'!BC$8),ISNUMBER('Council Entry'!BC$9)),MAX(MIN('Council Entry'!BC185,'Council Entry'!BC$9),'Council Entry'!BC$8),'Council Entry'!BC185)),IF(AND(ISNUMBER('Council Entry'!BC$8),ISNUMBER('Council Entry'!BC$9)),MAX(MIN('Council Entry'!BC185,'Council Entry'!BC$9),'Council Entry'!BC$8),'Council Entry'!BC185))))-'Council Entry'!BC$5)/('Council Entry'!BC$6-'Council Entry'!BC$5)),1))),"No data"))</f>
        <v/>
      </c>
      <c r="BD185" s="13">
        <f>IF('Council Entry'!BD185="","",IFERROR(MAX(0,MIN(10,ROUND(IF('Council Entry'!BD$7="Decrease Risk",10-10*((IF('Council Entry'!BD$4="Logarithm",LN(0.001+IF(AND(ISNUMBER('Council Entry'!BD$8),ISNUMBER('Council Entry'!BD$9)),MAX(MIN('Council Entry'!BD185,'Council Entry'!BD$9),'Council Entry'!BD$8),'Council Entry'!BD185)),IF('Council Entry'!BD$4="Exponential",EXP(IF(AND(ISNUMBER('Council Entry'!BD$8),ISNUMBER('Council Entry'!BD$9)),MAX(MIN('Council Entry'!BD185,'Council Entry'!BD$9),'Council Entry'!BD$8),'Council Entry'!BD185)),IF(AND(ISNUMBER('Council Entry'!BD$8),ISNUMBER('Council Entry'!BD$9)),MAX(MIN('Council Entry'!BD185,'Council Entry'!BD$9),'Council Entry'!BD$8),'Council Entry'!BD185))))-'Council Entry'!BD$5)/('Council Entry'!BD$6-'Council Entry'!BD$5),10*((IF('Council Entry'!BD$4="Logarithm",LN(0.001+IF(AND(ISNUMBER('Council Entry'!BD$8),ISNUMBER('Council Entry'!BD$9)),MAX(MIN('Council Entry'!BD185,'Council Entry'!BD$9),'Council Entry'!BD$8),'Council Entry'!BD185)),IF('Council Entry'!BD$4="Exponential",EXP(IF(AND(ISNUMBER('Council Entry'!BD$8),ISNUMBER('Council Entry'!BD$9)),MAX(MIN('Council Entry'!BD185,'Council Entry'!BD$9),'Council Entry'!BD$8),'Council Entry'!BD185)),IF(AND(ISNUMBER('Council Entry'!BD$8),ISNUMBER('Council Entry'!BD$9)),MAX(MIN('Council Entry'!BD185,'Council Entry'!BD$9),'Council Entry'!BD$8),'Council Entry'!BD185))))-'Council Entry'!BD$5)/('Council Entry'!BD$6-'Council Entry'!BD$5)),1))),"No data"))</f>
        <v/>
      </c>
    </row>
    <row r="186">
      <c r="A186" t="inlineStr">
        <is>
          <t>Songwe</t>
        </is>
      </c>
      <c r="B186" t="inlineStr">
        <is>
          <t>Tunduma Town</t>
        </is>
      </c>
      <c r="C186" t="inlineStr">
        <is>
          <t>C181</t>
        </is>
      </c>
      <c r="D186" s="13">
        <f>IF('Council Entry'!D186="","",IFERROR(MAX(0,MIN(10,ROUND(IF('Council Entry'!D$7="Decrease Risk",10-10*((IF('Council Entry'!D$4="Logarithm",LN(0.001+IF(AND(ISNUMBER('Council Entry'!D$8),ISNUMBER('Council Entry'!D$9)),MAX(MIN('Council Entry'!D186,'Council Entry'!D$9),'Council Entry'!D$8),'Council Entry'!D186)),IF('Council Entry'!D$4="Exponential",EXP(IF(AND(ISNUMBER('Council Entry'!D$8),ISNUMBER('Council Entry'!D$9)),MAX(MIN('Council Entry'!D186,'Council Entry'!D$9),'Council Entry'!D$8),'Council Entry'!D186)),IF(AND(ISNUMBER('Council Entry'!D$8),ISNUMBER('Council Entry'!D$9)),MAX(MIN('Council Entry'!D186,'Council Entry'!D$9),'Council Entry'!D$8),'Council Entry'!D186))))-'Council Entry'!D$5)/('Council Entry'!D$6-'Council Entry'!D$5),10*((IF('Council Entry'!D$4="Logarithm",LN(0.001+IF(AND(ISNUMBER('Council Entry'!D$8),ISNUMBER('Council Entry'!D$9)),MAX(MIN('Council Entry'!D186,'Council Entry'!D$9),'Council Entry'!D$8),'Council Entry'!D186)),IF('Council Entry'!D$4="Exponential",EXP(IF(AND(ISNUMBER('Council Entry'!D$8),ISNUMBER('Council Entry'!D$9)),MAX(MIN('Council Entry'!D186,'Council Entry'!D$9),'Council Entry'!D$8),'Council Entry'!D186)),IF(AND(ISNUMBER('Council Entry'!D$8),ISNUMBER('Council Entry'!D$9)),MAX(MIN('Council Entry'!D186,'Council Entry'!D$9),'Council Entry'!D$8),'Council Entry'!D186))))-'Council Entry'!D$5)/('Council Entry'!D$6-'Council Entry'!D$5)),1))),"No data"))</f>
        <v/>
      </c>
      <c r="E186" s="13">
        <f>IF('Council Entry'!E186="","",IFERROR(MAX(0,MIN(10,ROUND(IF('Council Entry'!E$7="Decrease Risk",10-10*((IF('Council Entry'!E$4="Logarithm",LN(0.001+IF(AND(ISNUMBER('Council Entry'!E$8),ISNUMBER('Council Entry'!E$9)),MAX(MIN('Council Entry'!E186,'Council Entry'!E$9),'Council Entry'!E$8),'Council Entry'!E186)),IF('Council Entry'!E$4="Exponential",EXP(IF(AND(ISNUMBER('Council Entry'!E$8),ISNUMBER('Council Entry'!E$9)),MAX(MIN('Council Entry'!E186,'Council Entry'!E$9),'Council Entry'!E$8),'Council Entry'!E186)),IF(AND(ISNUMBER('Council Entry'!E$8),ISNUMBER('Council Entry'!E$9)),MAX(MIN('Council Entry'!E186,'Council Entry'!E$9),'Council Entry'!E$8),'Council Entry'!E186))))-'Council Entry'!E$5)/('Council Entry'!E$6-'Council Entry'!E$5),10*((IF('Council Entry'!E$4="Logarithm",LN(0.001+IF(AND(ISNUMBER('Council Entry'!E$8),ISNUMBER('Council Entry'!E$9)),MAX(MIN('Council Entry'!E186,'Council Entry'!E$9),'Council Entry'!E$8),'Council Entry'!E186)),IF('Council Entry'!E$4="Exponential",EXP(IF(AND(ISNUMBER('Council Entry'!E$8),ISNUMBER('Council Entry'!E$9)),MAX(MIN('Council Entry'!E186,'Council Entry'!E$9),'Council Entry'!E$8),'Council Entry'!E186)),IF(AND(ISNUMBER('Council Entry'!E$8),ISNUMBER('Council Entry'!E$9)),MAX(MIN('Council Entry'!E186,'Council Entry'!E$9),'Council Entry'!E$8),'Council Entry'!E186))))-'Council Entry'!E$5)/('Council Entry'!E$6-'Council Entry'!E$5)),1))),"No data"))</f>
        <v/>
      </c>
      <c r="F186" s="13">
        <f>IF('Council Entry'!F186="","",IFERROR(MAX(0,MIN(10,ROUND(IF('Council Entry'!F$7="Decrease Risk",10-10*((IF('Council Entry'!F$4="Logarithm",LN(0.001+IF(AND(ISNUMBER('Council Entry'!F$8),ISNUMBER('Council Entry'!F$9)),MAX(MIN('Council Entry'!F186,'Council Entry'!F$9),'Council Entry'!F$8),'Council Entry'!F186)),IF('Council Entry'!F$4="Exponential",EXP(IF(AND(ISNUMBER('Council Entry'!F$8),ISNUMBER('Council Entry'!F$9)),MAX(MIN('Council Entry'!F186,'Council Entry'!F$9),'Council Entry'!F$8),'Council Entry'!F186)),IF(AND(ISNUMBER('Council Entry'!F$8),ISNUMBER('Council Entry'!F$9)),MAX(MIN('Council Entry'!F186,'Council Entry'!F$9),'Council Entry'!F$8),'Council Entry'!F186))))-'Council Entry'!F$5)/('Council Entry'!F$6-'Council Entry'!F$5),10*((IF('Council Entry'!F$4="Logarithm",LN(0.001+IF(AND(ISNUMBER('Council Entry'!F$8),ISNUMBER('Council Entry'!F$9)),MAX(MIN('Council Entry'!F186,'Council Entry'!F$9),'Council Entry'!F$8),'Council Entry'!F186)),IF('Council Entry'!F$4="Exponential",EXP(IF(AND(ISNUMBER('Council Entry'!F$8),ISNUMBER('Council Entry'!F$9)),MAX(MIN('Council Entry'!F186,'Council Entry'!F$9),'Council Entry'!F$8),'Council Entry'!F186)),IF(AND(ISNUMBER('Council Entry'!F$8),ISNUMBER('Council Entry'!F$9)),MAX(MIN('Council Entry'!F186,'Council Entry'!F$9),'Council Entry'!F$8),'Council Entry'!F186))))-'Council Entry'!F$5)/('Council Entry'!F$6-'Council Entry'!F$5)),1))),"No data"))</f>
        <v/>
      </c>
      <c r="G186" s="13">
        <f>IF('Council Entry'!G186="","",IFERROR(MAX(0,MIN(10,ROUND(IF('Council Entry'!G$7="Decrease Risk",10-10*((IF('Council Entry'!G$4="Logarithm",LN(0.001+IF(AND(ISNUMBER('Council Entry'!G$8),ISNUMBER('Council Entry'!G$9)),MAX(MIN('Council Entry'!G186,'Council Entry'!G$9),'Council Entry'!G$8),'Council Entry'!G186)),IF('Council Entry'!G$4="Exponential",EXP(IF(AND(ISNUMBER('Council Entry'!G$8),ISNUMBER('Council Entry'!G$9)),MAX(MIN('Council Entry'!G186,'Council Entry'!G$9),'Council Entry'!G$8),'Council Entry'!G186)),IF(AND(ISNUMBER('Council Entry'!G$8),ISNUMBER('Council Entry'!G$9)),MAX(MIN('Council Entry'!G186,'Council Entry'!G$9),'Council Entry'!G$8),'Council Entry'!G186))))-'Council Entry'!G$5)/('Council Entry'!G$6-'Council Entry'!G$5),10*((IF('Council Entry'!G$4="Logarithm",LN(0.001+IF(AND(ISNUMBER('Council Entry'!G$8),ISNUMBER('Council Entry'!G$9)),MAX(MIN('Council Entry'!G186,'Council Entry'!G$9),'Council Entry'!G$8),'Council Entry'!G186)),IF('Council Entry'!G$4="Exponential",EXP(IF(AND(ISNUMBER('Council Entry'!G$8),ISNUMBER('Council Entry'!G$9)),MAX(MIN('Council Entry'!G186,'Council Entry'!G$9),'Council Entry'!G$8),'Council Entry'!G186)),IF(AND(ISNUMBER('Council Entry'!G$8),ISNUMBER('Council Entry'!G$9)),MAX(MIN('Council Entry'!G186,'Council Entry'!G$9),'Council Entry'!G$8),'Council Entry'!G186))))-'Council Entry'!G$5)/('Council Entry'!G$6-'Council Entry'!G$5)),1))),"No data"))</f>
        <v/>
      </c>
      <c r="H186" s="13">
        <f>IF('Council Entry'!H186="","",IFERROR(MAX(0,MIN(10,ROUND(IF('Council Entry'!H$7="Decrease Risk",10-10*((IF('Council Entry'!H$4="Logarithm",LN(0.001+IF(AND(ISNUMBER('Council Entry'!H$8),ISNUMBER('Council Entry'!H$9)),MAX(MIN('Council Entry'!H186,'Council Entry'!H$9),'Council Entry'!H$8),'Council Entry'!H186)),IF('Council Entry'!H$4="Exponential",EXP(IF(AND(ISNUMBER('Council Entry'!H$8),ISNUMBER('Council Entry'!H$9)),MAX(MIN('Council Entry'!H186,'Council Entry'!H$9),'Council Entry'!H$8),'Council Entry'!H186)),IF(AND(ISNUMBER('Council Entry'!H$8),ISNUMBER('Council Entry'!H$9)),MAX(MIN('Council Entry'!H186,'Council Entry'!H$9),'Council Entry'!H$8),'Council Entry'!H186))))-'Council Entry'!H$5)/('Council Entry'!H$6-'Council Entry'!H$5),10*((IF('Council Entry'!H$4="Logarithm",LN(0.001+IF(AND(ISNUMBER('Council Entry'!H$8),ISNUMBER('Council Entry'!H$9)),MAX(MIN('Council Entry'!H186,'Council Entry'!H$9),'Council Entry'!H$8),'Council Entry'!H186)),IF('Council Entry'!H$4="Exponential",EXP(IF(AND(ISNUMBER('Council Entry'!H$8),ISNUMBER('Council Entry'!H$9)),MAX(MIN('Council Entry'!H186,'Council Entry'!H$9),'Council Entry'!H$8),'Council Entry'!H186)),IF(AND(ISNUMBER('Council Entry'!H$8),ISNUMBER('Council Entry'!H$9)),MAX(MIN('Council Entry'!H186,'Council Entry'!H$9),'Council Entry'!H$8),'Council Entry'!H186))))-'Council Entry'!H$5)/('Council Entry'!H$6-'Council Entry'!H$5)),1))),"No data"))</f>
        <v/>
      </c>
      <c r="I186" s="13">
        <f>IF('Council Entry'!I186="","",IFERROR(MAX(0,MIN(10,ROUND(IF('Council Entry'!I$7="Decrease Risk",10-10*((IF('Council Entry'!I$4="Logarithm",LN(0.001+IF(AND(ISNUMBER('Council Entry'!I$8),ISNUMBER('Council Entry'!I$9)),MAX(MIN('Council Entry'!I186,'Council Entry'!I$9),'Council Entry'!I$8),'Council Entry'!I186)),IF('Council Entry'!I$4="Exponential",EXP(IF(AND(ISNUMBER('Council Entry'!I$8),ISNUMBER('Council Entry'!I$9)),MAX(MIN('Council Entry'!I186,'Council Entry'!I$9),'Council Entry'!I$8),'Council Entry'!I186)),IF(AND(ISNUMBER('Council Entry'!I$8),ISNUMBER('Council Entry'!I$9)),MAX(MIN('Council Entry'!I186,'Council Entry'!I$9),'Council Entry'!I$8),'Council Entry'!I186))))-'Council Entry'!I$5)/('Council Entry'!I$6-'Council Entry'!I$5),10*((IF('Council Entry'!I$4="Logarithm",LN(0.001+IF(AND(ISNUMBER('Council Entry'!I$8),ISNUMBER('Council Entry'!I$9)),MAX(MIN('Council Entry'!I186,'Council Entry'!I$9),'Council Entry'!I$8),'Council Entry'!I186)),IF('Council Entry'!I$4="Exponential",EXP(IF(AND(ISNUMBER('Council Entry'!I$8),ISNUMBER('Council Entry'!I$9)),MAX(MIN('Council Entry'!I186,'Council Entry'!I$9),'Council Entry'!I$8),'Council Entry'!I186)),IF(AND(ISNUMBER('Council Entry'!I$8),ISNUMBER('Council Entry'!I$9)),MAX(MIN('Council Entry'!I186,'Council Entry'!I$9),'Council Entry'!I$8),'Council Entry'!I186))))-'Council Entry'!I$5)/('Council Entry'!I$6-'Council Entry'!I$5)),1))),"No data"))</f>
        <v/>
      </c>
      <c r="J186" s="13">
        <f>IF('Council Entry'!J186="","",IFERROR(MAX(0,MIN(10,ROUND(IF('Council Entry'!J$7="Decrease Risk",10-10*((IF('Council Entry'!J$4="Logarithm",LN(0.001+IF(AND(ISNUMBER('Council Entry'!J$8),ISNUMBER('Council Entry'!J$9)),MAX(MIN('Council Entry'!J186,'Council Entry'!J$9),'Council Entry'!J$8),'Council Entry'!J186)),IF('Council Entry'!J$4="Exponential",EXP(IF(AND(ISNUMBER('Council Entry'!J$8),ISNUMBER('Council Entry'!J$9)),MAX(MIN('Council Entry'!J186,'Council Entry'!J$9),'Council Entry'!J$8),'Council Entry'!J186)),IF(AND(ISNUMBER('Council Entry'!J$8),ISNUMBER('Council Entry'!J$9)),MAX(MIN('Council Entry'!J186,'Council Entry'!J$9),'Council Entry'!J$8),'Council Entry'!J186))))-'Council Entry'!J$5)/('Council Entry'!J$6-'Council Entry'!J$5),10*((IF('Council Entry'!J$4="Logarithm",LN(0.001+IF(AND(ISNUMBER('Council Entry'!J$8),ISNUMBER('Council Entry'!J$9)),MAX(MIN('Council Entry'!J186,'Council Entry'!J$9),'Council Entry'!J$8),'Council Entry'!J186)),IF('Council Entry'!J$4="Exponential",EXP(IF(AND(ISNUMBER('Council Entry'!J$8),ISNUMBER('Council Entry'!J$9)),MAX(MIN('Council Entry'!J186,'Council Entry'!J$9),'Council Entry'!J$8),'Council Entry'!J186)),IF(AND(ISNUMBER('Council Entry'!J$8),ISNUMBER('Council Entry'!J$9)),MAX(MIN('Council Entry'!J186,'Council Entry'!J$9),'Council Entry'!J$8),'Council Entry'!J186))))-'Council Entry'!J$5)/('Council Entry'!J$6-'Council Entry'!J$5)),1))),"No data"))</f>
        <v/>
      </c>
      <c r="K186" s="13">
        <f>IF('Council Entry'!K186="","",IFERROR(MAX(0,MIN(10,ROUND(IF('Council Entry'!K$7="Decrease Risk",10-10*((IF('Council Entry'!K$4="Logarithm",LN(0.001+IF(AND(ISNUMBER('Council Entry'!K$8),ISNUMBER('Council Entry'!K$9)),MAX(MIN('Council Entry'!K186,'Council Entry'!K$9),'Council Entry'!K$8),'Council Entry'!K186)),IF('Council Entry'!K$4="Exponential",EXP(IF(AND(ISNUMBER('Council Entry'!K$8),ISNUMBER('Council Entry'!K$9)),MAX(MIN('Council Entry'!K186,'Council Entry'!K$9),'Council Entry'!K$8),'Council Entry'!K186)),IF(AND(ISNUMBER('Council Entry'!K$8),ISNUMBER('Council Entry'!K$9)),MAX(MIN('Council Entry'!K186,'Council Entry'!K$9),'Council Entry'!K$8),'Council Entry'!K186))))-'Council Entry'!K$5)/('Council Entry'!K$6-'Council Entry'!K$5),10*((IF('Council Entry'!K$4="Logarithm",LN(0.001+IF(AND(ISNUMBER('Council Entry'!K$8),ISNUMBER('Council Entry'!K$9)),MAX(MIN('Council Entry'!K186,'Council Entry'!K$9),'Council Entry'!K$8),'Council Entry'!K186)),IF('Council Entry'!K$4="Exponential",EXP(IF(AND(ISNUMBER('Council Entry'!K$8),ISNUMBER('Council Entry'!K$9)),MAX(MIN('Council Entry'!K186,'Council Entry'!K$9),'Council Entry'!K$8),'Council Entry'!K186)),IF(AND(ISNUMBER('Council Entry'!K$8),ISNUMBER('Council Entry'!K$9)),MAX(MIN('Council Entry'!K186,'Council Entry'!K$9),'Council Entry'!K$8),'Council Entry'!K186))))-'Council Entry'!K$5)/('Council Entry'!K$6-'Council Entry'!K$5)),1))),"No data"))</f>
        <v/>
      </c>
      <c r="L186" s="13">
        <f>IF('Council Entry'!L186="","",IFERROR(MAX(0,MIN(10,ROUND(IF('Council Entry'!L$7="Decrease Risk",10-10*((IF('Council Entry'!L$4="Logarithm",LN(0.001+IF(AND(ISNUMBER('Council Entry'!L$8),ISNUMBER('Council Entry'!L$9)),MAX(MIN('Council Entry'!L186,'Council Entry'!L$9),'Council Entry'!L$8),'Council Entry'!L186)),IF('Council Entry'!L$4="Exponential",EXP(IF(AND(ISNUMBER('Council Entry'!L$8),ISNUMBER('Council Entry'!L$9)),MAX(MIN('Council Entry'!L186,'Council Entry'!L$9),'Council Entry'!L$8),'Council Entry'!L186)),IF(AND(ISNUMBER('Council Entry'!L$8),ISNUMBER('Council Entry'!L$9)),MAX(MIN('Council Entry'!L186,'Council Entry'!L$9),'Council Entry'!L$8),'Council Entry'!L186))))-'Council Entry'!L$5)/('Council Entry'!L$6-'Council Entry'!L$5),10*((IF('Council Entry'!L$4="Logarithm",LN(0.001+IF(AND(ISNUMBER('Council Entry'!L$8),ISNUMBER('Council Entry'!L$9)),MAX(MIN('Council Entry'!L186,'Council Entry'!L$9),'Council Entry'!L$8),'Council Entry'!L186)),IF('Council Entry'!L$4="Exponential",EXP(IF(AND(ISNUMBER('Council Entry'!L$8),ISNUMBER('Council Entry'!L$9)),MAX(MIN('Council Entry'!L186,'Council Entry'!L$9),'Council Entry'!L$8),'Council Entry'!L186)),IF(AND(ISNUMBER('Council Entry'!L$8),ISNUMBER('Council Entry'!L$9)),MAX(MIN('Council Entry'!L186,'Council Entry'!L$9),'Council Entry'!L$8),'Council Entry'!L186))))-'Council Entry'!L$5)/('Council Entry'!L$6-'Council Entry'!L$5)),1))),"No data"))</f>
        <v/>
      </c>
      <c r="M186" s="13">
        <f>IF('Council Entry'!M186="","",IFERROR(MAX(0,MIN(10,ROUND(IF('Council Entry'!M$7="Decrease Risk",10-10*((IF('Council Entry'!M$4="Logarithm",LN(0.001+IF(AND(ISNUMBER('Council Entry'!M$8),ISNUMBER('Council Entry'!M$9)),MAX(MIN('Council Entry'!M186,'Council Entry'!M$9),'Council Entry'!M$8),'Council Entry'!M186)),IF('Council Entry'!M$4="Exponential",EXP(IF(AND(ISNUMBER('Council Entry'!M$8),ISNUMBER('Council Entry'!M$9)),MAX(MIN('Council Entry'!M186,'Council Entry'!M$9),'Council Entry'!M$8),'Council Entry'!M186)),IF(AND(ISNUMBER('Council Entry'!M$8),ISNUMBER('Council Entry'!M$9)),MAX(MIN('Council Entry'!M186,'Council Entry'!M$9),'Council Entry'!M$8),'Council Entry'!M186))))-'Council Entry'!M$5)/('Council Entry'!M$6-'Council Entry'!M$5),10*((IF('Council Entry'!M$4="Logarithm",LN(0.001+IF(AND(ISNUMBER('Council Entry'!M$8),ISNUMBER('Council Entry'!M$9)),MAX(MIN('Council Entry'!M186,'Council Entry'!M$9),'Council Entry'!M$8),'Council Entry'!M186)),IF('Council Entry'!M$4="Exponential",EXP(IF(AND(ISNUMBER('Council Entry'!M$8),ISNUMBER('Council Entry'!M$9)),MAX(MIN('Council Entry'!M186,'Council Entry'!M$9),'Council Entry'!M$8),'Council Entry'!M186)),IF(AND(ISNUMBER('Council Entry'!M$8),ISNUMBER('Council Entry'!M$9)),MAX(MIN('Council Entry'!M186,'Council Entry'!M$9),'Council Entry'!M$8),'Council Entry'!M186))))-'Council Entry'!M$5)/('Council Entry'!M$6-'Council Entry'!M$5)),1))),"No data"))</f>
        <v/>
      </c>
      <c r="N186" s="13">
        <f>IF('Council Entry'!N186="","",IFERROR(MAX(0,MIN(10,ROUND(IF('Council Entry'!N$7="Decrease Risk",10-10*((IF('Council Entry'!N$4="Logarithm",LN(0.001+IF(AND(ISNUMBER('Council Entry'!N$8),ISNUMBER('Council Entry'!N$9)),MAX(MIN('Council Entry'!N186,'Council Entry'!N$9),'Council Entry'!N$8),'Council Entry'!N186)),IF('Council Entry'!N$4="Exponential",EXP(IF(AND(ISNUMBER('Council Entry'!N$8),ISNUMBER('Council Entry'!N$9)),MAX(MIN('Council Entry'!N186,'Council Entry'!N$9),'Council Entry'!N$8),'Council Entry'!N186)),IF(AND(ISNUMBER('Council Entry'!N$8),ISNUMBER('Council Entry'!N$9)),MAX(MIN('Council Entry'!N186,'Council Entry'!N$9),'Council Entry'!N$8),'Council Entry'!N186))))-'Council Entry'!N$5)/('Council Entry'!N$6-'Council Entry'!N$5),10*((IF('Council Entry'!N$4="Logarithm",LN(0.001+IF(AND(ISNUMBER('Council Entry'!N$8),ISNUMBER('Council Entry'!N$9)),MAX(MIN('Council Entry'!N186,'Council Entry'!N$9),'Council Entry'!N$8),'Council Entry'!N186)),IF('Council Entry'!N$4="Exponential",EXP(IF(AND(ISNUMBER('Council Entry'!N$8),ISNUMBER('Council Entry'!N$9)),MAX(MIN('Council Entry'!N186,'Council Entry'!N$9),'Council Entry'!N$8),'Council Entry'!N186)),IF(AND(ISNUMBER('Council Entry'!N$8),ISNUMBER('Council Entry'!N$9)),MAX(MIN('Council Entry'!N186,'Council Entry'!N$9),'Council Entry'!N$8),'Council Entry'!N186))))-'Council Entry'!N$5)/('Council Entry'!N$6-'Council Entry'!N$5)),1))),"No data"))</f>
        <v/>
      </c>
      <c r="O186" s="13">
        <f>IF('Council Entry'!O186="","",IFERROR(MAX(0,MIN(10,ROUND(IF('Council Entry'!O$7="Decrease Risk",10-10*((IF('Council Entry'!O$4="Logarithm",LN(0.001+IF(AND(ISNUMBER('Council Entry'!O$8),ISNUMBER('Council Entry'!O$9)),MAX(MIN('Council Entry'!O186,'Council Entry'!O$9),'Council Entry'!O$8),'Council Entry'!O186)),IF('Council Entry'!O$4="Exponential",EXP(IF(AND(ISNUMBER('Council Entry'!O$8),ISNUMBER('Council Entry'!O$9)),MAX(MIN('Council Entry'!O186,'Council Entry'!O$9),'Council Entry'!O$8),'Council Entry'!O186)),IF(AND(ISNUMBER('Council Entry'!O$8),ISNUMBER('Council Entry'!O$9)),MAX(MIN('Council Entry'!O186,'Council Entry'!O$9),'Council Entry'!O$8),'Council Entry'!O186))))-'Council Entry'!O$5)/('Council Entry'!O$6-'Council Entry'!O$5),10*((IF('Council Entry'!O$4="Logarithm",LN(0.001+IF(AND(ISNUMBER('Council Entry'!O$8),ISNUMBER('Council Entry'!O$9)),MAX(MIN('Council Entry'!O186,'Council Entry'!O$9),'Council Entry'!O$8),'Council Entry'!O186)),IF('Council Entry'!O$4="Exponential",EXP(IF(AND(ISNUMBER('Council Entry'!O$8),ISNUMBER('Council Entry'!O$9)),MAX(MIN('Council Entry'!O186,'Council Entry'!O$9),'Council Entry'!O$8),'Council Entry'!O186)),IF(AND(ISNUMBER('Council Entry'!O$8),ISNUMBER('Council Entry'!O$9)),MAX(MIN('Council Entry'!O186,'Council Entry'!O$9),'Council Entry'!O$8),'Council Entry'!O186))))-'Council Entry'!O$5)/('Council Entry'!O$6-'Council Entry'!O$5)),1))),"No data"))</f>
        <v/>
      </c>
      <c r="P186" s="13">
        <f>IF('Council Entry'!P186="","",IFERROR(MAX(0,MIN(10,ROUND(IF('Council Entry'!P$7="Decrease Risk",10-10*((IF('Council Entry'!P$4="Logarithm",LN(0.001+IF(AND(ISNUMBER('Council Entry'!P$8),ISNUMBER('Council Entry'!P$9)),MAX(MIN('Council Entry'!P186,'Council Entry'!P$9),'Council Entry'!P$8),'Council Entry'!P186)),IF('Council Entry'!P$4="Exponential",EXP(IF(AND(ISNUMBER('Council Entry'!P$8),ISNUMBER('Council Entry'!P$9)),MAX(MIN('Council Entry'!P186,'Council Entry'!P$9),'Council Entry'!P$8),'Council Entry'!P186)),IF(AND(ISNUMBER('Council Entry'!P$8),ISNUMBER('Council Entry'!P$9)),MAX(MIN('Council Entry'!P186,'Council Entry'!P$9),'Council Entry'!P$8),'Council Entry'!P186))))-'Council Entry'!P$5)/('Council Entry'!P$6-'Council Entry'!P$5),10*((IF('Council Entry'!P$4="Logarithm",LN(0.001+IF(AND(ISNUMBER('Council Entry'!P$8),ISNUMBER('Council Entry'!P$9)),MAX(MIN('Council Entry'!P186,'Council Entry'!P$9),'Council Entry'!P$8),'Council Entry'!P186)),IF('Council Entry'!P$4="Exponential",EXP(IF(AND(ISNUMBER('Council Entry'!P$8),ISNUMBER('Council Entry'!P$9)),MAX(MIN('Council Entry'!P186,'Council Entry'!P$9),'Council Entry'!P$8),'Council Entry'!P186)),IF(AND(ISNUMBER('Council Entry'!P$8),ISNUMBER('Council Entry'!P$9)),MAX(MIN('Council Entry'!P186,'Council Entry'!P$9),'Council Entry'!P$8),'Council Entry'!P186))))-'Council Entry'!P$5)/('Council Entry'!P$6-'Council Entry'!P$5)),1))),"No data"))</f>
        <v/>
      </c>
      <c r="Q186" s="13">
        <f>IF('Council Entry'!Q186="","",IFERROR(MAX(0,MIN(10,ROUND(IF('Council Entry'!Q$7="Decrease Risk",10-10*((IF('Council Entry'!Q$4="Logarithm",LN(0.001+IF(AND(ISNUMBER('Council Entry'!Q$8),ISNUMBER('Council Entry'!Q$9)),MAX(MIN('Council Entry'!Q186,'Council Entry'!Q$9),'Council Entry'!Q$8),'Council Entry'!Q186)),IF('Council Entry'!Q$4="Exponential",EXP(IF(AND(ISNUMBER('Council Entry'!Q$8),ISNUMBER('Council Entry'!Q$9)),MAX(MIN('Council Entry'!Q186,'Council Entry'!Q$9),'Council Entry'!Q$8),'Council Entry'!Q186)),IF(AND(ISNUMBER('Council Entry'!Q$8),ISNUMBER('Council Entry'!Q$9)),MAX(MIN('Council Entry'!Q186,'Council Entry'!Q$9),'Council Entry'!Q$8),'Council Entry'!Q186))))-'Council Entry'!Q$5)/('Council Entry'!Q$6-'Council Entry'!Q$5),10*((IF('Council Entry'!Q$4="Logarithm",LN(0.001+IF(AND(ISNUMBER('Council Entry'!Q$8),ISNUMBER('Council Entry'!Q$9)),MAX(MIN('Council Entry'!Q186,'Council Entry'!Q$9),'Council Entry'!Q$8),'Council Entry'!Q186)),IF('Council Entry'!Q$4="Exponential",EXP(IF(AND(ISNUMBER('Council Entry'!Q$8),ISNUMBER('Council Entry'!Q$9)),MAX(MIN('Council Entry'!Q186,'Council Entry'!Q$9),'Council Entry'!Q$8),'Council Entry'!Q186)),IF(AND(ISNUMBER('Council Entry'!Q$8),ISNUMBER('Council Entry'!Q$9)),MAX(MIN('Council Entry'!Q186,'Council Entry'!Q$9),'Council Entry'!Q$8),'Council Entry'!Q186))))-'Council Entry'!Q$5)/('Council Entry'!Q$6-'Council Entry'!Q$5)),1))),"No data"))</f>
        <v/>
      </c>
      <c r="R186" s="13">
        <f>IF('Council Entry'!R186="","",IFERROR(MAX(0,MIN(10,ROUND(IF('Council Entry'!R$7="Decrease Risk",10-10*((IF('Council Entry'!R$4="Logarithm",LN(0.001+IF(AND(ISNUMBER('Council Entry'!R$8),ISNUMBER('Council Entry'!R$9)),MAX(MIN('Council Entry'!R186,'Council Entry'!R$9),'Council Entry'!R$8),'Council Entry'!R186)),IF('Council Entry'!R$4="Exponential",EXP(IF(AND(ISNUMBER('Council Entry'!R$8),ISNUMBER('Council Entry'!R$9)),MAX(MIN('Council Entry'!R186,'Council Entry'!R$9),'Council Entry'!R$8),'Council Entry'!R186)),IF(AND(ISNUMBER('Council Entry'!R$8),ISNUMBER('Council Entry'!R$9)),MAX(MIN('Council Entry'!R186,'Council Entry'!R$9),'Council Entry'!R$8),'Council Entry'!R186))))-'Council Entry'!R$5)/('Council Entry'!R$6-'Council Entry'!R$5),10*((IF('Council Entry'!R$4="Logarithm",LN(0.001+IF(AND(ISNUMBER('Council Entry'!R$8),ISNUMBER('Council Entry'!R$9)),MAX(MIN('Council Entry'!R186,'Council Entry'!R$9),'Council Entry'!R$8),'Council Entry'!R186)),IF('Council Entry'!R$4="Exponential",EXP(IF(AND(ISNUMBER('Council Entry'!R$8),ISNUMBER('Council Entry'!R$9)),MAX(MIN('Council Entry'!R186,'Council Entry'!R$9),'Council Entry'!R$8),'Council Entry'!R186)),IF(AND(ISNUMBER('Council Entry'!R$8),ISNUMBER('Council Entry'!R$9)),MAX(MIN('Council Entry'!R186,'Council Entry'!R$9),'Council Entry'!R$8),'Council Entry'!R186))))-'Council Entry'!R$5)/('Council Entry'!R$6-'Council Entry'!R$5)),1))),"No data"))</f>
        <v/>
      </c>
      <c r="S186" s="13">
        <f>IF('Council Entry'!S186="","",IFERROR(MAX(0,MIN(10,ROUND(IF('Council Entry'!S$7="Decrease Risk",10-10*((IF('Council Entry'!S$4="Logarithm",LN(0.001+IF(AND(ISNUMBER('Council Entry'!S$8),ISNUMBER('Council Entry'!S$9)),MAX(MIN('Council Entry'!S186,'Council Entry'!S$9),'Council Entry'!S$8),'Council Entry'!S186)),IF('Council Entry'!S$4="Exponential",EXP(IF(AND(ISNUMBER('Council Entry'!S$8),ISNUMBER('Council Entry'!S$9)),MAX(MIN('Council Entry'!S186,'Council Entry'!S$9),'Council Entry'!S$8),'Council Entry'!S186)),IF(AND(ISNUMBER('Council Entry'!S$8),ISNUMBER('Council Entry'!S$9)),MAX(MIN('Council Entry'!S186,'Council Entry'!S$9),'Council Entry'!S$8),'Council Entry'!S186))))-'Council Entry'!S$5)/('Council Entry'!S$6-'Council Entry'!S$5),10*((IF('Council Entry'!S$4="Logarithm",LN(0.001+IF(AND(ISNUMBER('Council Entry'!S$8),ISNUMBER('Council Entry'!S$9)),MAX(MIN('Council Entry'!S186,'Council Entry'!S$9),'Council Entry'!S$8),'Council Entry'!S186)),IF('Council Entry'!S$4="Exponential",EXP(IF(AND(ISNUMBER('Council Entry'!S$8),ISNUMBER('Council Entry'!S$9)),MAX(MIN('Council Entry'!S186,'Council Entry'!S$9),'Council Entry'!S$8),'Council Entry'!S186)),IF(AND(ISNUMBER('Council Entry'!S$8),ISNUMBER('Council Entry'!S$9)),MAX(MIN('Council Entry'!S186,'Council Entry'!S$9),'Council Entry'!S$8),'Council Entry'!S186))))-'Council Entry'!S$5)/('Council Entry'!S$6-'Council Entry'!S$5)),1))),"No data"))</f>
        <v/>
      </c>
      <c r="T186" s="13">
        <f>IF('Council Entry'!T186="","",IFERROR(MAX(0,MIN(10,ROUND(IF('Council Entry'!T$7="Decrease Risk",10-10*((IF('Council Entry'!T$4="Logarithm",LN(0.001+IF(AND(ISNUMBER('Council Entry'!T$8),ISNUMBER('Council Entry'!T$9)),MAX(MIN('Council Entry'!T186,'Council Entry'!T$9),'Council Entry'!T$8),'Council Entry'!T186)),IF('Council Entry'!T$4="Exponential",EXP(IF(AND(ISNUMBER('Council Entry'!T$8),ISNUMBER('Council Entry'!T$9)),MAX(MIN('Council Entry'!T186,'Council Entry'!T$9),'Council Entry'!T$8),'Council Entry'!T186)),IF(AND(ISNUMBER('Council Entry'!T$8),ISNUMBER('Council Entry'!T$9)),MAX(MIN('Council Entry'!T186,'Council Entry'!T$9),'Council Entry'!T$8),'Council Entry'!T186))))-'Council Entry'!T$5)/('Council Entry'!T$6-'Council Entry'!T$5),10*((IF('Council Entry'!T$4="Logarithm",LN(0.001+IF(AND(ISNUMBER('Council Entry'!T$8),ISNUMBER('Council Entry'!T$9)),MAX(MIN('Council Entry'!T186,'Council Entry'!T$9),'Council Entry'!T$8),'Council Entry'!T186)),IF('Council Entry'!T$4="Exponential",EXP(IF(AND(ISNUMBER('Council Entry'!T$8),ISNUMBER('Council Entry'!T$9)),MAX(MIN('Council Entry'!T186,'Council Entry'!T$9),'Council Entry'!T$8),'Council Entry'!T186)),IF(AND(ISNUMBER('Council Entry'!T$8),ISNUMBER('Council Entry'!T$9)),MAX(MIN('Council Entry'!T186,'Council Entry'!T$9),'Council Entry'!T$8),'Council Entry'!T186))))-'Council Entry'!T$5)/('Council Entry'!T$6-'Council Entry'!T$5)),1))),"No data"))</f>
        <v/>
      </c>
      <c r="U186" s="13">
        <f>IF('Council Entry'!U186="","",IFERROR(MAX(0,MIN(10,ROUND(IF('Council Entry'!U$7="Decrease Risk",10-10*((IF('Council Entry'!U$4="Logarithm",LN(0.001+IF(AND(ISNUMBER('Council Entry'!U$8),ISNUMBER('Council Entry'!U$9)),MAX(MIN('Council Entry'!U186,'Council Entry'!U$9),'Council Entry'!U$8),'Council Entry'!U186)),IF('Council Entry'!U$4="Exponential",EXP(IF(AND(ISNUMBER('Council Entry'!U$8),ISNUMBER('Council Entry'!U$9)),MAX(MIN('Council Entry'!U186,'Council Entry'!U$9),'Council Entry'!U$8),'Council Entry'!U186)),IF(AND(ISNUMBER('Council Entry'!U$8),ISNUMBER('Council Entry'!U$9)),MAX(MIN('Council Entry'!U186,'Council Entry'!U$9),'Council Entry'!U$8),'Council Entry'!U186))))-'Council Entry'!U$5)/('Council Entry'!U$6-'Council Entry'!U$5),10*((IF('Council Entry'!U$4="Logarithm",LN(0.001+IF(AND(ISNUMBER('Council Entry'!U$8),ISNUMBER('Council Entry'!U$9)),MAX(MIN('Council Entry'!U186,'Council Entry'!U$9),'Council Entry'!U$8),'Council Entry'!U186)),IF('Council Entry'!U$4="Exponential",EXP(IF(AND(ISNUMBER('Council Entry'!U$8),ISNUMBER('Council Entry'!U$9)),MAX(MIN('Council Entry'!U186,'Council Entry'!U$9),'Council Entry'!U$8),'Council Entry'!U186)),IF(AND(ISNUMBER('Council Entry'!U$8),ISNUMBER('Council Entry'!U$9)),MAX(MIN('Council Entry'!U186,'Council Entry'!U$9),'Council Entry'!U$8),'Council Entry'!U186))))-'Council Entry'!U$5)/('Council Entry'!U$6-'Council Entry'!U$5)),1))),"No data"))</f>
        <v/>
      </c>
      <c r="V186" s="13">
        <f>IF('Council Entry'!V186="","",IFERROR(MAX(0,MIN(10,ROUND(IF('Council Entry'!V$7="Decrease Risk",10-10*((IF('Council Entry'!V$4="Logarithm",LN(0.001+IF(AND(ISNUMBER('Council Entry'!V$8),ISNUMBER('Council Entry'!V$9)),MAX(MIN('Council Entry'!V186,'Council Entry'!V$9),'Council Entry'!V$8),'Council Entry'!V186)),IF('Council Entry'!V$4="Exponential",EXP(IF(AND(ISNUMBER('Council Entry'!V$8),ISNUMBER('Council Entry'!V$9)),MAX(MIN('Council Entry'!V186,'Council Entry'!V$9),'Council Entry'!V$8),'Council Entry'!V186)),IF(AND(ISNUMBER('Council Entry'!V$8),ISNUMBER('Council Entry'!V$9)),MAX(MIN('Council Entry'!V186,'Council Entry'!V$9),'Council Entry'!V$8),'Council Entry'!V186))))-'Council Entry'!V$5)/('Council Entry'!V$6-'Council Entry'!V$5),10*((IF('Council Entry'!V$4="Logarithm",LN(0.001+IF(AND(ISNUMBER('Council Entry'!V$8),ISNUMBER('Council Entry'!V$9)),MAX(MIN('Council Entry'!V186,'Council Entry'!V$9),'Council Entry'!V$8),'Council Entry'!V186)),IF('Council Entry'!V$4="Exponential",EXP(IF(AND(ISNUMBER('Council Entry'!V$8),ISNUMBER('Council Entry'!V$9)),MAX(MIN('Council Entry'!V186,'Council Entry'!V$9),'Council Entry'!V$8),'Council Entry'!V186)),IF(AND(ISNUMBER('Council Entry'!V$8),ISNUMBER('Council Entry'!V$9)),MAX(MIN('Council Entry'!V186,'Council Entry'!V$9),'Council Entry'!V$8),'Council Entry'!V186))))-'Council Entry'!V$5)/('Council Entry'!V$6-'Council Entry'!V$5)),1))),"No data"))</f>
        <v/>
      </c>
      <c r="W186" s="13">
        <f>IF('Council Entry'!W186="","",IFERROR(MAX(0,MIN(10,ROUND(IF('Council Entry'!W$7="Decrease Risk",10-10*((IF('Council Entry'!W$4="Logarithm",LN(0.001+IF(AND(ISNUMBER('Council Entry'!W$8),ISNUMBER('Council Entry'!W$9)),MAX(MIN('Council Entry'!W186,'Council Entry'!W$9),'Council Entry'!W$8),'Council Entry'!W186)),IF('Council Entry'!W$4="Exponential",EXP(IF(AND(ISNUMBER('Council Entry'!W$8),ISNUMBER('Council Entry'!W$9)),MAX(MIN('Council Entry'!W186,'Council Entry'!W$9),'Council Entry'!W$8),'Council Entry'!W186)),IF(AND(ISNUMBER('Council Entry'!W$8),ISNUMBER('Council Entry'!W$9)),MAX(MIN('Council Entry'!W186,'Council Entry'!W$9),'Council Entry'!W$8),'Council Entry'!W186))))-'Council Entry'!W$5)/('Council Entry'!W$6-'Council Entry'!W$5),10*((IF('Council Entry'!W$4="Logarithm",LN(0.001+IF(AND(ISNUMBER('Council Entry'!W$8),ISNUMBER('Council Entry'!W$9)),MAX(MIN('Council Entry'!W186,'Council Entry'!W$9),'Council Entry'!W$8),'Council Entry'!W186)),IF('Council Entry'!W$4="Exponential",EXP(IF(AND(ISNUMBER('Council Entry'!W$8),ISNUMBER('Council Entry'!W$9)),MAX(MIN('Council Entry'!W186,'Council Entry'!W$9),'Council Entry'!W$8),'Council Entry'!W186)),IF(AND(ISNUMBER('Council Entry'!W$8),ISNUMBER('Council Entry'!W$9)),MAX(MIN('Council Entry'!W186,'Council Entry'!W$9),'Council Entry'!W$8),'Council Entry'!W186))))-'Council Entry'!W$5)/('Council Entry'!W$6-'Council Entry'!W$5)),1))),"No data"))</f>
        <v/>
      </c>
      <c r="X186" s="13">
        <f>IF('Council Entry'!X186="","",IFERROR(MAX(0,MIN(10,ROUND(IF('Council Entry'!X$7="Decrease Risk",10-10*((IF('Council Entry'!X$4="Logarithm",LN(0.001+IF(AND(ISNUMBER('Council Entry'!X$8),ISNUMBER('Council Entry'!X$9)),MAX(MIN('Council Entry'!X186,'Council Entry'!X$9),'Council Entry'!X$8),'Council Entry'!X186)),IF('Council Entry'!X$4="Exponential",EXP(IF(AND(ISNUMBER('Council Entry'!X$8),ISNUMBER('Council Entry'!X$9)),MAX(MIN('Council Entry'!X186,'Council Entry'!X$9),'Council Entry'!X$8),'Council Entry'!X186)),IF(AND(ISNUMBER('Council Entry'!X$8),ISNUMBER('Council Entry'!X$9)),MAX(MIN('Council Entry'!X186,'Council Entry'!X$9),'Council Entry'!X$8),'Council Entry'!X186))))-'Council Entry'!X$5)/('Council Entry'!X$6-'Council Entry'!X$5),10*((IF('Council Entry'!X$4="Logarithm",LN(0.001+IF(AND(ISNUMBER('Council Entry'!X$8),ISNUMBER('Council Entry'!X$9)),MAX(MIN('Council Entry'!X186,'Council Entry'!X$9),'Council Entry'!X$8),'Council Entry'!X186)),IF('Council Entry'!X$4="Exponential",EXP(IF(AND(ISNUMBER('Council Entry'!X$8),ISNUMBER('Council Entry'!X$9)),MAX(MIN('Council Entry'!X186,'Council Entry'!X$9),'Council Entry'!X$8),'Council Entry'!X186)),IF(AND(ISNUMBER('Council Entry'!X$8),ISNUMBER('Council Entry'!X$9)),MAX(MIN('Council Entry'!X186,'Council Entry'!X$9),'Council Entry'!X$8),'Council Entry'!X186))))-'Council Entry'!X$5)/('Council Entry'!X$6-'Council Entry'!X$5)),1))),"No data"))</f>
        <v/>
      </c>
      <c r="Y186" s="13">
        <f>IF('Council Entry'!Y186="","",IFERROR(MAX(0,MIN(10,ROUND(IF('Council Entry'!Y$7="Decrease Risk",10-10*((IF('Council Entry'!Y$4="Logarithm",LN(0.001+IF(AND(ISNUMBER('Council Entry'!Y$8),ISNUMBER('Council Entry'!Y$9)),MAX(MIN('Council Entry'!Y186,'Council Entry'!Y$9),'Council Entry'!Y$8),'Council Entry'!Y186)),IF('Council Entry'!Y$4="Exponential",EXP(IF(AND(ISNUMBER('Council Entry'!Y$8),ISNUMBER('Council Entry'!Y$9)),MAX(MIN('Council Entry'!Y186,'Council Entry'!Y$9),'Council Entry'!Y$8),'Council Entry'!Y186)),IF(AND(ISNUMBER('Council Entry'!Y$8),ISNUMBER('Council Entry'!Y$9)),MAX(MIN('Council Entry'!Y186,'Council Entry'!Y$9),'Council Entry'!Y$8),'Council Entry'!Y186))))-'Council Entry'!Y$5)/('Council Entry'!Y$6-'Council Entry'!Y$5),10*((IF('Council Entry'!Y$4="Logarithm",LN(0.001+IF(AND(ISNUMBER('Council Entry'!Y$8),ISNUMBER('Council Entry'!Y$9)),MAX(MIN('Council Entry'!Y186,'Council Entry'!Y$9),'Council Entry'!Y$8),'Council Entry'!Y186)),IF('Council Entry'!Y$4="Exponential",EXP(IF(AND(ISNUMBER('Council Entry'!Y$8),ISNUMBER('Council Entry'!Y$9)),MAX(MIN('Council Entry'!Y186,'Council Entry'!Y$9),'Council Entry'!Y$8),'Council Entry'!Y186)),IF(AND(ISNUMBER('Council Entry'!Y$8),ISNUMBER('Council Entry'!Y$9)),MAX(MIN('Council Entry'!Y186,'Council Entry'!Y$9),'Council Entry'!Y$8),'Council Entry'!Y186))))-'Council Entry'!Y$5)/('Council Entry'!Y$6-'Council Entry'!Y$5)),1))),"No data"))</f>
        <v/>
      </c>
      <c r="Z186" s="13">
        <f>IF('Council Entry'!Z186="","",IFERROR(MAX(0,MIN(10,ROUND(IF('Council Entry'!Z$7="Decrease Risk",10-10*((IF('Council Entry'!Z$4="Logarithm",LN(0.001+IF(AND(ISNUMBER('Council Entry'!Z$8),ISNUMBER('Council Entry'!Z$9)),MAX(MIN('Council Entry'!Z186,'Council Entry'!Z$9),'Council Entry'!Z$8),'Council Entry'!Z186)),IF('Council Entry'!Z$4="Exponential",EXP(IF(AND(ISNUMBER('Council Entry'!Z$8),ISNUMBER('Council Entry'!Z$9)),MAX(MIN('Council Entry'!Z186,'Council Entry'!Z$9),'Council Entry'!Z$8),'Council Entry'!Z186)),IF(AND(ISNUMBER('Council Entry'!Z$8),ISNUMBER('Council Entry'!Z$9)),MAX(MIN('Council Entry'!Z186,'Council Entry'!Z$9),'Council Entry'!Z$8),'Council Entry'!Z186))))-'Council Entry'!Z$5)/('Council Entry'!Z$6-'Council Entry'!Z$5),10*((IF('Council Entry'!Z$4="Logarithm",LN(0.001+IF(AND(ISNUMBER('Council Entry'!Z$8),ISNUMBER('Council Entry'!Z$9)),MAX(MIN('Council Entry'!Z186,'Council Entry'!Z$9),'Council Entry'!Z$8),'Council Entry'!Z186)),IF('Council Entry'!Z$4="Exponential",EXP(IF(AND(ISNUMBER('Council Entry'!Z$8),ISNUMBER('Council Entry'!Z$9)),MAX(MIN('Council Entry'!Z186,'Council Entry'!Z$9),'Council Entry'!Z$8),'Council Entry'!Z186)),IF(AND(ISNUMBER('Council Entry'!Z$8),ISNUMBER('Council Entry'!Z$9)),MAX(MIN('Council Entry'!Z186,'Council Entry'!Z$9),'Council Entry'!Z$8),'Council Entry'!Z186))))-'Council Entry'!Z$5)/('Council Entry'!Z$6-'Council Entry'!Z$5)),1))),"No data"))</f>
        <v/>
      </c>
      <c r="AA186" s="13">
        <f>IF('Council Entry'!AA186="","",IFERROR(MAX(0,MIN(10,ROUND(IF('Council Entry'!AA$7="Decrease Risk",10-10*((IF('Council Entry'!AA$4="Logarithm",LN(0.001+IF(AND(ISNUMBER('Council Entry'!AA$8),ISNUMBER('Council Entry'!AA$9)),MAX(MIN('Council Entry'!AA186,'Council Entry'!AA$9),'Council Entry'!AA$8),'Council Entry'!AA186)),IF('Council Entry'!AA$4="Exponential",EXP(IF(AND(ISNUMBER('Council Entry'!AA$8),ISNUMBER('Council Entry'!AA$9)),MAX(MIN('Council Entry'!AA186,'Council Entry'!AA$9),'Council Entry'!AA$8),'Council Entry'!AA186)),IF(AND(ISNUMBER('Council Entry'!AA$8),ISNUMBER('Council Entry'!AA$9)),MAX(MIN('Council Entry'!AA186,'Council Entry'!AA$9),'Council Entry'!AA$8),'Council Entry'!AA186))))-'Council Entry'!AA$5)/('Council Entry'!AA$6-'Council Entry'!AA$5),10*((IF('Council Entry'!AA$4="Logarithm",LN(0.001+IF(AND(ISNUMBER('Council Entry'!AA$8),ISNUMBER('Council Entry'!AA$9)),MAX(MIN('Council Entry'!AA186,'Council Entry'!AA$9),'Council Entry'!AA$8),'Council Entry'!AA186)),IF('Council Entry'!AA$4="Exponential",EXP(IF(AND(ISNUMBER('Council Entry'!AA$8),ISNUMBER('Council Entry'!AA$9)),MAX(MIN('Council Entry'!AA186,'Council Entry'!AA$9),'Council Entry'!AA$8),'Council Entry'!AA186)),IF(AND(ISNUMBER('Council Entry'!AA$8),ISNUMBER('Council Entry'!AA$9)),MAX(MIN('Council Entry'!AA186,'Council Entry'!AA$9),'Council Entry'!AA$8),'Council Entry'!AA186))))-'Council Entry'!AA$5)/('Council Entry'!AA$6-'Council Entry'!AA$5)),1))),"No data"))</f>
        <v/>
      </c>
      <c r="AB186" s="13">
        <f>IF('Council Entry'!AB186="","",IFERROR(MAX(0,MIN(10,ROUND(IF('Council Entry'!AB$7="Decrease Risk",10-10*((IF('Council Entry'!AB$4="Logarithm",LN(0.001+IF(AND(ISNUMBER('Council Entry'!AB$8),ISNUMBER('Council Entry'!AB$9)),MAX(MIN('Council Entry'!AB186,'Council Entry'!AB$9),'Council Entry'!AB$8),'Council Entry'!AB186)),IF('Council Entry'!AB$4="Exponential",EXP(IF(AND(ISNUMBER('Council Entry'!AB$8),ISNUMBER('Council Entry'!AB$9)),MAX(MIN('Council Entry'!AB186,'Council Entry'!AB$9),'Council Entry'!AB$8),'Council Entry'!AB186)),IF(AND(ISNUMBER('Council Entry'!AB$8),ISNUMBER('Council Entry'!AB$9)),MAX(MIN('Council Entry'!AB186,'Council Entry'!AB$9),'Council Entry'!AB$8),'Council Entry'!AB186))))-'Council Entry'!AB$5)/('Council Entry'!AB$6-'Council Entry'!AB$5),10*((IF('Council Entry'!AB$4="Logarithm",LN(0.001+IF(AND(ISNUMBER('Council Entry'!AB$8),ISNUMBER('Council Entry'!AB$9)),MAX(MIN('Council Entry'!AB186,'Council Entry'!AB$9),'Council Entry'!AB$8),'Council Entry'!AB186)),IF('Council Entry'!AB$4="Exponential",EXP(IF(AND(ISNUMBER('Council Entry'!AB$8),ISNUMBER('Council Entry'!AB$9)),MAX(MIN('Council Entry'!AB186,'Council Entry'!AB$9),'Council Entry'!AB$8),'Council Entry'!AB186)),IF(AND(ISNUMBER('Council Entry'!AB$8),ISNUMBER('Council Entry'!AB$9)),MAX(MIN('Council Entry'!AB186,'Council Entry'!AB$9),'Council Entry'!AB$8),'Council Entry'!AB186))))-'Council Entry'!AB$5)/('Council Entry'!AB$6-'Council Entry'!AB$5)),1))),"No data"))</f>
        <v/>
      </c>
      <c r="AC186" s="13">
        <f>IF('Council Entry'!AC186="","",IFERROR(MAX(0,MIN(10,ROUND(IF('Council Entry'!AC$7="Decrease Risk",10-10*((IF('Council Entry'!AC$4="Logarithm",LN(0.001+IF(AND(ISNUMBER('Council Entry'!AC$8),ISNUMBER('Council Entry'!AC$9)),MAX(MIN('Council Entry'!AC186,'Council Entry'!AC$9),'Council Entry'!AC$8),'Council Entry'!AC186)),IF('Council Entry'!AC$4="Exponential",EXP(IF(AND(ISNUMBER('Council Entry'!AC$8),ISNUMBER('Council Entry'!AC$9)),MAX(MIN('Council Entry'!AC186,'Council Entry'!AC$9),'Council Entry'!AC$8),'Council Entry'!AC186)),IF(AND(ISNUMBER('Council Entry'!AC$8),ISNUMBER('Council Entry'!AC$9)),MAX(MIN('Council Entry'!AC186,'Council Entry'!AC$9),'Council Entry'!AC$8),'Council Entry'!AC186))))-'Council Entry'!AC$5)/('Council Entry'!AC$6-'Council Entry'!AC$5),10*((IF('Council Entry'!AC$4="Logarithm",LN(0.001+IF(AND(ISNUMBER('Council Entry'!AC$8),ISNUMBER('Council Entry'!AC$9)),MAX(MIN('Council Entry'!AC186,'Council Entry'!AC$9),'Council Entry'!AC$8),'Council Entry'!AC186)),IF('Council Entry'!AC$4="Exponential",EXP(IF(AND(ISNUMBER('Council Entry'!AC$8),ISNUMBER('Council Entry'!AC$9)),MAX(MIN('Council Entry'!AC186,'Council Entry'!AC$9),'Council Entry'!AC$8),'Council Entry'!AC186)),IF(AND(ISNUMBER('Council Entry'!AC$8),ISNUMBER('Council Entry'!AC$9)),MAX(MIN('Council Entry'!AC186,'Council Entry'!AC$9),'Council Entry'!AC$8),'Council Entry'!AC186))))-'Council Entry'!AC$5)/('Council Entry'!AC$6-'Council Entry'!AC$5)),1))),"No data"))</f>
        <v/>
      </c>
      <c r="AD186" s="13">
        <f>IF('Council Entry'!AD186="","",IFERROR(MAX(0,MIN(10,ROUND(IF('Council Entry'!AD$7="Decrease Risk",10-10*((IF('Council Entry'!AD$4="Logarithm",LN(0.001+IF(AND(ISNUMBER('Council Entry'!AD$8),ISNUMBER('Council Entry'!AD$9)),MAX(MIN('Council Entry'!AD186,'Council Entry'!AD$9),'Council Entry'!AD$8),'Council Entry'!AD186)),IF('Council Entry'!AD$4="Exponential",EXP(IF(AND(ISNUMBER('Council Entry'!AD$8),ISNUMBER('Council Entry'!AD$9)),MAX(MIN('Council Entry'!AD186,'Council Entry'!AD$9),'Council Entry'!AD$8),'Council Entry'!AD186)),IF(AND(ISNUMBER('Council Entry'!AD$8),ISNUMBER('Council Entry'!AD$9)),MAX(MIN('Council Entry'!AD186,'Council Entry'!AD$9),'Council Entry'!AD$8),'Council Entry'!AD186))))-'Council Entry'!AD$5)/('Council Entry'!AD$6-'Council Entry'!AD$5),10*((IF('Council Entry'!AD$4="Logarithm",LN(0.001+IF(AND(ISNUMBER('Council Entry'!AD$8),ISNUMBER('Council Entry'!AD$9)),MAX(MIN('Council Entry'!AD186,'Council Entry'!AD$9),'Council Entry'!AD$8),'Council Entry'!AD186)),IF('Council Entry'!AD$4="Exponential",EXP(IF(AND(ISNUMBER('Council Entry'!AD$8),ISNUMBER('Council Entry'!AD$9)),MAX(MIN('Council Entry'!AD186,'Council Entry'!AD$9),'Council Entry'!AD$8),'Council Entry'!AD186)),IF(AND(ISNUMBER('Council Entry'!AD$8),ISNUMBER('Council Entry'!AD$9)),MAX(MIN('Council Entry'!AD186,'Council Entry'!AD$9),'Council Entry'!AD$8),'Council Entry'!AD186))))-'Council Entry'!AD$5)/('Council Entry'!AD$6-'Council Entry'!AD$5)),1))),"No data"))</f>
        <v/>
      </c>
      <c r="AE186" s="13">
        <f>IF('Council Entry'!AE186="","",IFERROR(MAX(0,MIN(10,ROUND(IF('Council Entry'!AE$7="Decrease Risk",10-10*((IF('Council Entry'!AE$4="Logarithm",LN(0.001+IF(AND(ISNUMBER('Council Entry'!AE$8),ISNUMBER('Council Entry'!AE$9)),MAX(MIN('Council Entry'!AE186,'Council Entry'!AE$9),'Council Entry'!AE$8),'Council Entry'!AE186)),IF('Council Entry'!AE$4="Exponential",EXP(IF(AND(ISNUMBER('Council Entry'!AE$8),ISNUMBER('Council Entry'!AE$9)),MAX(MIN('Council Entry'!AE186,'Council Entry'!AE$9),'Council Entry'!AE$8),'Council Entry'!AE186)),IF(AND(ISNUMBER('Council Entry'!AE$8),ISNUMBER('Council Entry'!AE$9)),MAX(MIN('Council Entry'!AE186,'Council Entry'!AE$9),'Council Entry'!AE$8),'Council Entry'!AE186))))-'Council Entry'!AE$5)/('Council Entry'!AE$6-'Council Entry'!AE$5),10*((IF('Council Entry'!AE$4="Logarithm",LN(0.001+IF(AND(ISNUMBER('Council Entry'!AE$8),ISNUMBER('Council Entry'!AE$9)),MAX(MIN('Council Entry'!AE186,'Council Entry'!AE$9),'Council Entry'!AE$8),'Council Entry'!AE186)),IF('Council Entry'!AE$4="Exponential",EXP(IF(AND(ISNUMBER('Council Entry'!AE$8),ISNUMBER('Council Entry'!AE$9)),MAX(MIN('Council Entry'!AE186,'Council Entry'!AE$9),'Council Entry'!AE$8),'Council Entry'!AE186)),IF(AND(ISNUMBER('Council Entry'!AE$8),ISNUMBER('Council Entry'!AE$9)),MAX(MIN('Council Entry'!AE186,'Council Entry'!AE$9),'Council Entry'!AE$8),'Council Entry'!AE186))))-'Council Entry'!AE$5)/('Council Entry'!AE$6-'Council Entry'!AE$5)),1))),"No data"))</f>
        <v/>
      </c>
      <c r="AF186" s="13">
        <f>IF('Council Entry'!AF186="","",IFERROR(MAX(0,MIN(10,ROUND(IF('Council Entry'!AF$7="Decrease Risk",10-10*((IF('Council Entry'!AF$4="Logarithm",LN(0.001+IF(AND(ISNUMBER('Council Entry'!AF$8),ISNUMBER('Council Entry'!AF$9)),MAX(MIN('Council Entry'!AF186,'Council Entry'!AF$9),'Council Entry'!AF$8),'Council Entry'!AF186)),IF('Council Entry'!AF$4="Exponential",EXP(IF(AND(ISNUMBER('Council Entry'!AF$8),ISNUMBER('Council Entry'!AF$9)),MAX(MIN('Council Entry'!AF186,'Council Entry'!AF$9),'Council Entry'!AF$8),'Council Entry'!AF186)),IF(AND(ISNUMBER('Council Entry'!AF$8),ISNUMBER('Council Entry'!AF$9)),MAX(MIN('Council Entry'!AF186,'Council Entry'!AF$9),'Council Entry'!AF$8),'Council Entry'!AF186))))-'Council Entry'!AF$5)/('Council Entry'!AF$6-'Council Entry'!AF$5),10*((IF('Council Entry'!AF$4="Logarithm",LN(0.001+IF(AND(ISNUMBER('Council Entry'!AF$8),ISNUMBER('Council Entry'!AF$9)),MAX(MIN('Council Entry'!AF186,'Council Entry'!AF$9),'Council Entry'!AF$8),'Council Entry'!AF186)),IF('Council Entry'!AF$4="Exponential",EXP(IF(AND(ISNUMBER('Council Entry'!AF$8),ISNUMBER('Council Entry'!AF$9)),MAX(MIN('Council Entry'!AF186,'Council Entry'!AF$9),'Council Entry'!AF$8),'Council Entry'!AF186)),IF(AND(ISNUMBER('Council Entry'!AF$8),ISNUMBER('Council Entry'!AF$9)),MAX(MIN('Council Entry'!AF186,'Council Entry'!AF$9),'Council Entry'!AF$8),'Council Entry'!AF186))))-'Council Entry'!AF$5)/('Council Entry'!AF$6-'Council Entry'!AF$5)),1))),"No data"))</f>
        <v/>
      </c>
      <c r="AG186" s="13">
        <f>IF('Council Entry'!AG186="","",IFERROR(MAX(0,MIN(10,ROUND(IF('Council Entry'!AG$7="Decrease Risk",10-10*((IF('Council Entry'!AG$4="Logarithm",LN(0.001+IF(AND(ISNUMBER('Council Entry'!AG$8),ISNUMBER('Council Entry'!AG$9)),MAX(MIN('Council Entry'!AG186,'Council Entry'!AG$9),'Council Entry'!AG$8),'Council Entry'!AG186)),IF('Council Entry'!AG$4="Exponential",EXP(IF(AND(ISNUMBER('Council Entry'!AG$8),ISNUMBER('Council Entry'!AG$9)),MAX(MIN('Council Entry'!AG186,'Council Entry'!AG$9),'Council Entry'!AG$8),'Council Entry'!AG186)),IF(AND(ISNUMBER('Council Entry'!AG$8),ISNUMBER('Council Entry'!AG$9)),MAX(MIN('Council Entry'!AG186,'Council Entry'!AG$9),'Council Entry'!AG$8),'Council Entry'!AG186))))-'Council Entry'!AG$5)/('Council Entry'!AG$6-'Council Entry'!AG$5),10*((IF('Council Entry'!AG$4="Logarithm",LN(0.001+IF(AND(ISNUMBER('Council Entry'!AG$8),ISNUMBER('Council Entry'!AG$9)),MAX(MIN('Council Entry'!AG186,'Council Entry'!AG$9),'Council Entry'!AG$8),'Council Entry'!AG186)),IF('Council Entry'!AG$4="Exponential",EXP(IF(AND(ISNUMBER('Council Entry'!AG$8),ISNUMBER('Council Entry'!AG$9)),MAX(MIN('Council Entry'!AG186,'Council Entry'!AG$9),'Council Entry'!AG$8),'Council Entry'!AG186)),IF(AND(ISNUMBER('Council Entry'!AG$8),ISNUMBER('Council Entry'!AG$9)),MAX(MIN('Council Entry'!AG186,'Council Entry'!AG$9),'Council Entry'!AG$8),'Council Entry'!AG186))))-'Council Entry'!AG$5)/('Council Entry'!AG$6-'Council Entry'!AG$5)),1))),"No data"))</f>
        <v/>
      </c>
      <c r="AH186" s="13">
        <f>IF('Council Entry'!AH186="","",IFERROR(MAX(0,MIN(10,ROUND(IF('Council Entry'!AH$7="Decrease Risk",10-10*((IF('Council Entry'!AH$4="Logarithm",LN(0.001+IF(AND(ISNUMBER('Council Entry'!AH$8),ISNUMBER('Council Entry'!AH$9)),MAX(MIN('Council Entry'!AH186,'Council Entry'!AH$9),'Council Entry'!AH$8),'Council Entry'!AH186)),IF('Council Entry'!AH$4="Exponential",EXP(IF(AND(ISNUMBER('Council Entry'!AH$8),ISNUMBER('Council Entry'!AH$9)),MAX(MIN('Council Entry'!AH186,'Council Entry'!AH$9),'Council Entry'!AH$8),'Council Entry'!AH186)),IF(AND(ISNUMBER('Council Entry'!AH$8),ISNUMBER('Council Entry'!AH$9)),MAX(MIN('Council Entry'!AH186,'Council Entry'!AH$9),'Council Entry'!AH$8),'Council Entry'!AH186))))-'Council Entry'!AH$5)/('Council Entry'!AH$6-'Council Entry'!AH$5),10*((IF('Council Entry'!AH$4="Logarithm",LN(0.001+IF(AND(ISNUMBER('Council Entry'!AH$8),ISNUMBER('Council Entry'!AH$9)),MAX(MIN('Council Entry'!AH186,'Council Entry'!AH$9),'Council Entry'!AH$8),'Council Entry'!AH186)),IF('Council Entry'!AH$4="Exponential",EXP(IF(AND(ISNUMBER('Council Entry'!AH$8),ISNUMBER('Council Entry'!AH$9)),MAX(MIN('Council Entry'!AH186,'Council Entry'!AH$9),'Council Entry'!AH$8),'Council Entry'!AH186)),IF(AND(ISNUMBER('Council Entry'!AH$8),ISNUMBER('Council Entry'!AH$9)),MAX(MIN('Council Entry'!AH186,'Council Entry'!AH$9),'Council Entry'!AH$8),'Council Entry'!AH186))))-'Council Entry'!AH$5)/('Council Entry'!AH$6-'Council Entry'!AH$5)),1))),"No data"))</f>
        <v/>
      </c>
      <c r="AI186" s="13">
        <f>IF('Council Entry'!AI186="","",IFERROR(MAX(0,MIN(10,ROUND(IF('Council Entry'!AI$7="Decrease Risk",10-10*((IF('Council Entry'!AI$4="Logarithm",LN(0.001+IF(AND(ISNUMBER('Council Entry'!AI$8),ISNUMBER('Council Entry'!AI$9)),MAX(MIN('Council Entry'!AI186,'Council Entry'!AI$9),'Council Entry'!AI$8),'Council Entry'!AI186)),IF('Council Entry'!AI$4="Exponential",EXP(IF(AND(ISNUMBER('Council Entry'!AI$8),ISNUMBER('Council Entry'!AI$9)),MAX(MIN('Council Entry'!AI186,'Council Entry'!AI$9),'Council Entry'!AI$8),'Council Entry'!AI186)),IF(AND(ISNUMBER('Council Entry'!AI$8),ISNUMBER('Council Entry'!AI$9)),MAX(MIN('Council Entry'!AI186,'Council Entry'!AI$9),'Council Entry'!AI$8),'Council Entry'!AI186))))-'Council Entry'!AI$5)/('Council Entry'!AI$6-'Council Entry'!AI$5),10*((IF('Council Entry'!AI$4="Logarithm",LN(0.001+IF(AND(ISNUMBER('Council Entry'!AI$8),ISNUMBER('Council Entry'!AI$9)),MAX(MIN('Council Entry'!AI186,'Council Entry'!AI$9),'Council Entry'!AI$8),'Council Entry'!AI186)),IF('Council Entry'!AI$4="Exponential",EXP(IF(AND(ISNUMBER('Council Entry'!AI$8),ISNUMBER('Council Entry'!AI$9)),MAX(MIN('Council Entry'!AI186,'Council Entry'!AI$9),'Council Entry'!AI$8),'Council Entry'!AI186)),IF(AND(ISNUMBER('Council Entry'!AI$8),ISNUMBER('Council Entry'!AI$9)),MAX(MIN('Council Entry'!AI186,'Council Entry'!AI$9),'Council Entry'!AI$8),'Council Entry'!AI186))))-'Council Entry'!AI$5)/('Council Entry'!AI$6-'Council Entry'!AI$5)),1))),"No data"))</f>
        <v/>
      </c>
      <c r="AJ186" s="13">
        <f>IF('Council Entry'!AJ186="","",IFERROR(MAX(0,MIN(10,ROUND(IF('Council Entry'!AJ$7="Decrease Risk",10-10*((IF('Council Entry'!AJ$4="Logarithm",LN(0.001+IF(AND(ISNUMBER('Council Entry'!AJ$8),ISNUMBER('Council Entry'!AJ$9)),MAX(MIN('Council Entry'!AJ186,'Council Entry'!AJ$9),'Council Entry'!AJ$8),'Council Entry'!AJ186)),IF('Council Entry'!AJ$4="Exponential",EXP(IF(AND(ISNUMBER('Council Entry'!AJ$8),ISNUMBER('Council Entry'!AJ$9)),MAX(MIN('Council Entry'!AJ186,'Council Entry'!AJ$9),'Council Entry'!AJ$8),'Council Entry'!AJ186)),IF(AND(ISNUMBER('Council Entry'!AJ$8),ISNUMBER('Council Entry'!AJ$9)),MAX(MIN('Council Entry'!AJ186,'Council Entry'!AJ$9),'Council Entry'!AJ$8),'Council Entry'!AJ186))))-'Council Entry'!AJ$5)/('Council Entry'!AJ$6-'Council Entry'!AJ$5),10*((IF('Council Entry'!AJ$4="Logarithm",LN(0.001+IF(AND(ISNUMBER('Council Entry'!AJ$8),ISNUMBER('Council Entry'!AJ$9)),MAX(MIN('Council Entry'!AJ186,'Council Entry'!AJ$9),'Council Entry'!AJ$8),'Council Entry'!AJ186)),IF('Council Entry'!AJ$4="Exponential",EXP(IF(AND(ISNUMBER('Council Entry'!AJ$8),ISNUMBER('Council Entry'!AJ$9)),MAX(MIN('Council Entry'!AJ186,'Council Entry'!AJ$9),'Council Entry'!AJ$8),'Council Entry'!AJ186)),IF(AND(ISNUMBER('Council Entry'!AJ$8),ISNUMBER('Council Entry'!AJ$9)),MAX(MIN('Council Entry'!AJ186,'Council Entry'!AJ$9),'Council Entry'!AJ$8),'Council Entry'!AJ186))))-'Council Entry'!AJ$5)/('Council Entry'!AJ$6-'Council Entry'!AJ$5)),1))),"No data"))</f>
        <v/>
      </c>
      <c r="AK186" s="13">
        <f>IF('Council Entry'!AK186="","",IFERROR(MAX(0,MIN(10,ROUND(IF('Council Entry'!AK$7="Decrease Risk",10-10*((IF('Council Entry'!AK$4="Logarithm",LN(0.001+IF(AND(ISNUMBER('Council Entry'!AK$8),ISNUMBER('Council Entry'!AK$9)),MAX(MIN('Council Entry'!AK186,'Council Entry'!AK$9),'Council Entry'!AK$8),'Council Entry'!AK186)),IF('Council Entry'!AK$4="Exponential",EXP(IF(AND(ISNUMBER('Council Entry'!AK$8),ISNUMBER('Council Entry'!AK$9)),MAX(MIN('Council Entry'!AK186,'Council Entry'!AK$9),'Council Entry'!AK$8),'Council Entry'!AK186)),IF(AND(ISNUMBER('Council Entry'!AK$8),ISNUMBER('Council Entry'!AK$9)),MAX(MIN('Council Entry'!AK186,'Council Entry'!AK$9),'Council Entry'!AK$8),'Council Entry'!AK186))))-'Council Entry'!AK$5)/('Council Entry'!AK$6-'Council Entry'!AK$5),10*((IF('Council Entry'!AK$4="Logarithm",LN(0.001+IF(AND(ISNUMBER('Council Entry'!AK$8),ISNUMBER('Council Entry'!AK$9)),MAX(MIN('Council Entry'!AK186,'Council Entry'!AK$9),'Council Entry'!AK$8),'Council Entry'!AK186)),IF('Council Entry'!AK$4="Exponential",EXP(IF(AND(ISNUMBER('Council Entry'!AK$8),ISNUMBER('Council Entry'!AK$9)),MAX(MIN('Council Entry'!AK186,'Council Entry'!AK$9),'Council Entry'!AK$8),'Council Entry'!AK186)),IF(AND(ISNUMBER('Council Entry'!AK$8),ISNUMBER('Council Entry'!AK$9)),MAX(MIN('Council Entry'!AK186,'Council Entry'!AK$9),'Council Entry'!AK$8),'Council Entry'!AK186))))-'Council Entry'!AK$5)/('Council Entry'!AK$6-'Council Entry'!AK$5)),1))),"No data"))</f>
        <v/>
      </c>
      <c r="AL186" s="13">
        <f>IF('Council Entry'!AL186="","",IFERROR(MAX(0,MIN(10,ROUND(IF('Council Entry'!AL$7="Decrease Risk",10-10*((IF('Council Entry'!AL$4="Logarithm",LN(0.001+IF(AND(ISNUMBER('Council Entry'!AL$8),ISNUMBER('Council Entry'!AL$9)),MAX(MIN('Council Entry'!AL186,'Council Entry'!AL$9),'Council Entry'!AL$8),'Council Entry'!AL186)),IF('Council Entry'!AL$4="Exponential",EXP(IF(AND(ISNUMBER('Council Entry'!AL$8),ISNUMBER('Council Entry'!AL$9)),MAX(MIN('Council Entry'!AL186,'Council Entry'!AL$9),'Council Entry'!AL$8),'Council Entry'!AL186)),IF(AND(ISNUMBER('Council Entry'!AL$8),ISNUMBER('Council Entry'!AL$9)),MAX(MIN('Council Entry'!AL186,'Council Entry'!AL$9),'Council Entry'!AL$8),'Council Entry'!AL186))))-'Council Entry'!AL$5)/('Council Entry'!AL$6-'Council Entry'!AL$5),10*((IF('Council Entry'!AL$4="Logarithm",LN(0.001+IF(AND(ISNUMBER('Council Entry'!AL$8),ISNUMBER('Council Entry'!AL$9)),MAX(MIN('Council Entry'!AL186,'Council Entry'!AL$9),'Council Entry'!AL$8),'Council Entry'!AL186)),IF('Council Entry'!AL$4="Exponential",EXP(IF(AND(ISNUMBER('Council Entry'!AL$8),ISNUMBER('Council Entry'!AL$9)),MAX(MIN('Council Entry'!AL186,'Council Entry'!AL$9),'Council Entry'!AL$8),'Council Entry'!AL186)),IF(AND(ISNUMBER('Council Entry'!AL$8),ISNUMBER('Council Entry'!AL$9)),MAX(MIN('Council Entry'!AL186,'Council Entry'!AL$9),'Council Entry'!AL$8),'Council Entry'!AL186))))-'Council Entry'!AL$5)/('Council Entry'!AL$6-'Council Entry'!AL$5)),1))),"No data"))</f>
        <v/>
      </c>
      <c r="AM186" s="13">
        <f>IF('Council Entry'!AM186="","",IFERROR(MAX(0,MIN(10,ROUND(IF('Council Entry'!AM$7="Decrease Risk",10-10*((IF('Council Entry'!AM$4="Logarithm",LN(0.001+IF(AND(ISNUMBER('Council Entry'!AM$8),ISNUMBER('Council Entry'!AM$9)),MAX(MIN('Council Entry'!AM186,'Council Entry'!AM$9),'Council Entry'!AM$8),'Council Entry'!AM186)),IF('Council Entry'!AM$4="Exponential",EXP(IF(AND(ISNUMBER('Council Entry'!AM$8),ISNUMBER('Council Entry'!AM$9)),MAX(MIN('Council Entry'!AM186,'Council Entry'!AM$9),'Council Entry'!AM$8),'Council Entry'!AM186)),IF(AND(ISNUMBER('Council Entry'!AM$8),ISNUMBER('Council Entry'!AM$9)),MAX(MIN('Council Entry'!AM186,'Council Entry'!AM$9),'Council Entry'!AM$8),'Council Entry'!AM186))))-'Council Entry'!AM$5)/('Council Entry'!AM$6-'Council Entry'!AM$5),10*((IF('Council Entry'!AM$4="Logarithm",LN(0.001+IF(AND(ISNUMBER('Council Entry'!AM$8),ISNUMBER('Council Entry'!AM$9)),MAX(MIN('Council Entry'!AM186,'Council Entry'!AM$9),'Council Entry'!AM$8),'Council Entry'!AM186)),IF('Council Entry'!AM$4="Exponential",EXP(IF(AND(ISNUMBER('Council Entry'!AM$8),ISNUMBER('Council Entry'!AM$9)),MAX(MIN('Council Entry'!AM186,'Council Entry'!AM$9),'Council Entry'!AM$8),'Council Entry'!AM186)),IF(AND(ISNUMBER('Council Entry'!AM$8),ISNUMBER('Council Entry'!AM$9)),MAX(MIN('Council Entry'!AM186,'Council Entry'!AM$9),'Council Entry'!AM$8),'Council Entry'!AM186))))-'Council Entry'!AM$5)/('Council Entry'!AM$6-'Council Entry'!AM$5)),1))),"No data"))</f>
        <v/>
      </c>
      <c r="AN186" s="13">
        <f>IF('Council Entry'!AN186="","",IFERROR(MAX(0,MIN(10,ROUND(IF('Council Entry'!AN$7="Decrease Risk",10-10*((IF('Council Entry'!AN$4="Logarithm",LN(0.001+IF(AND(ISNUMBER('Council Entry'!AN$8),ISNUMBER('Council Entry'!AN$9)),MAX(MIN('Council Entry'!AN186,'Council Entry'!AN$9),'Council Entry'!AN$8),'Council Entry'!AN186)),IF('Council Entry'!AN$4="Exponential",EXP(IF(AND(ISNUMBER('Council Entry'!AN$8),ISNUMBER('Council Entry'!AN$9)),MAX(MIN('Council Entry'!AN186,'Council Entry'!AN$9),'Council Entry'!AN$8),'Council Entry'!AN186)),IF(AND(ISNUMBER('Council Entry'!AN$8),ISNUMBER('Council Entry'!AN$9)),MAX(MIN('Council Entry'!AN186,'Council Entry'!AN$9),'Council Entry'!AN$8),'Council Entry'!AN186))))-'Council Entry'!AN$5)/('Council Entry'!AN$6-'Council Entry'!AN$5),10*((IF('Council Entry'!AN$4="Logarithm",LN(0.001+IF(AND(ISNUMBER('Council Entry'!AN$8),ISNUMBER('Council Entry'!AN$9)),MAX(MIN('Council Entry'!AN186,'Council Entry'!AN$9),'Council Entry'!AN$8),'Council Entry'!AN186)),IF('Council Entry'!AN$4="Exponential",EXP(IF(AND(ISNUMBER('Council Entry'!AN$8),ISNUMBER('Council Entry'!AN$9)),MAX(MIN('Council Entry'!AN186,'Council Entry'!AN$9),'Council Entry'!AN$8),'Council Entry'!AN186)),IF(AND(ISNUMBER('Council Entry'!AN$8),ISNUMBER('Council Entry'!AN$9)),MAX(MIN('Council Entry'!AN186,'Council Entry'!AN$9),'Council Entry'!AN$8),'Council Entry'!AN186))))-'Council Entry'!AN$5)/('Council Entry'!AN$6-'Council Entry'!AN$5)),1))),"No data"))</f>
        <v/>
      </c>
      <c r="AO186" s="13">
        <f>IF('Council Entry'!AO186="","",IFERROR(MAX(0,MIN(10,ROUND(IF('Council Entry'!AO$7="Decrease Risk",10-10*((IF('Council Entry'!AO$4="Logarithm",LN(0.001+IF(AND(ISNUMBER('Council Entry'!AO$8),ISNUMBER('Council Entry'!AO$9)),MAX(MIN('Council Entry'!AO186,'Council Entry'!AO$9),'Council Entry'!AO$8),'Council Entry'!AO186)),IF('Council Entry'!AO$4="Exponential",EXP(IF(AND(ISNUMBER('Council Entry'!AO$8),ISNUMBER('Council Entry'!AO$9)),MAX(MIN('Council Entry'!AO186,'Council Entry'!AO$9),'Council Entry'!AO$8),'Council Entry'!AO186)),IF(AND(ISNUMBER('Council Entry'!AO$8),ISNUMBER('Council Entry'!AO$9)),MAX(MIN('Council Entry'!AO186,'Council Entry'!AO$9),'Council Entry'!AO$8),'Council Entry'!AO186))))-'Council Entry'!AO$5)/('Council Entry'!AO$6-'Council Entry'!AO$5),10*((IF('Council Entry'!AO$4="Logarithm",LN(0.001+IF(AND(ISNUMBER('Council Entry'!AO$8),ISNUMBER('Council Entry'!AO$9)),MAX(MIN('Council Entry'!AO186,'Council Entry'!AO$9),'Council Entry'!AO$8),'Council Entry'!AO186)),IF('Council Entry'!AO$4="Exponential",EXP(IF(AND(ISNUMBER('Council Entry'!AO$8),ISNUMBER('Council Entry'!AO$9)),MAX(MIN('Council Entry'!AO186,'Council Entry'!AO$9),'Council Entry'!AO$8),'Council Entry'!AO186)),IF(AND(ISNUMBER('Council Entry'!AO$8),ISNUMBER('Council Entry'!AO$9)),MAX(MIN('Council Entry'!AO186,'Council Entry'!AO$9),'Council Entry'!AO$8),'Council Entry'!AO186))))-'Council Entry'!AO$5)/('Council Entry'!AO$6-'Council Entry'!AO$5)),1))),"No data"))</f>
        <v/>
      </c>
      <c r="AP186" s="13">
        <f>IF('Council Entry'!AP186="","",IFERROR(MAX(0,MIN(10,ROUND(IF('Council Entry'!AP$7="Decrease Risk",10-10*((IF('Council Entry'!AP$4="Logarithm",LN(0.001+IF(AND(ISNUMBER('Council Entry'!AP$8),ISNUMBER('Council Entry'!AP$9)),MAX(MIN('Council Entry'!AP186,'Council Entry'!AP$9),'Council Entry'!AP$8),'Council Entry'!AP186)),IF('Council Entry'!AP$4="Exponential",EXP(IF(AND(ISNUMBER('Council Entry'!AP$8),ISNUMBER('Council Entry'!AP$9)),MAX(MIN('Council Entry'!AP186,'Council Entry'!AP$9),'Council Entry'!AP$8),'Council Entry'!AP186)),IF(AND(ISNUMBER('Council Entry'!AP$8),ISNUMBER('Council Entry'!AP$9)),MAX(MIN('Council Entry'!AP186,'Council Entry'!AP$9),'Council Entry'!AP$8),'Council Entry'!AP186))))-'Council Entry'!AP$5)/('Council Entry'!AP$6-'Council Entry'!AP$5),10*((IF('Council Entry'!AP$4="Logarithm",LN(0.001+IF(AND(ISNUMBER('Council Entry'!AP$8),ISNUMBER('Council Entry'!AP$9)),MAX(MIN('Council Entry'!AP186,'Council Entry'!AP$9),'Council Entry'!AP$8),'Council Entry'!AP186)),IF('Council Entry'!AP$4="Exponential",EXP(IF(AND(ISNUMBER('Council Entry'!AP$8),ISNUMBER('Council Entry'!AP$9)),MAX(MIN('Council Entry'!AP186,'Council Entry'!AP$9),'Council Entry'!AP$8),'Council Entry'!AP186)),IF(AND(ISNUMBER('Council Entry'!AP$8),ISNUMBER('Council Entry'!AP$9)),MAX(MIN('Council Entry'!AP186,'Council Entry'!AP$9),'Council Entry'!AP$8),'Council Entry'!AP186))))-'Council Entry'!AP$5)/('Council Entry'!AP$6-'Council Entry'!AP$5)),1))),"No data"))</f>
        <v/>
      </c>
      <c r="AQ186" s="13">
        <f>IF('Council Entry'!AQ186="","",IFERROR(MAX(0,MIN(10,ROUND(IF('Council Entry'!AQ$7="Decrease Risk",10-10*((IF('Council Entry'!AQ$4="Logarithm",LN(0.001+IF(AND(ISNUMBER('Council Entry'!AQ$8),ISNUMBER('Council Entry'!AQ$9)),MAX(MIN('Council Entry'!AQ186,'Council Entry'!AQ$9),'Council Entry'!AQ$8),'Council Entry'!AQ186)),IF('Council Entry'!AQ$4="Exponential",EXP(IF(AND(ISNUMBER('Council Entry'!AQ$8),ISNUMBER('Council Entry'!AQ$9)),MAX(MIN('Council Entry'!AQ186,'Council Entry'!AQ$9),'Council Entry'!AQ$8),'Council Entry'!AQ186)),IF(AND(ISNUMBER('Council Entry'!AQ$8),ISNUMBER('Council Entry'!AQ$9)),MAX(MIN('Council Entry'!AQ186,'Council Entry'!AQ$9),'Council Entry'!AQ$8),'Council Entry'!AQ186))))-'Council Entry'!AQ$5)/('Council Entry'!AQ$6-'Council Entry'!AQ$5),10*((IF('Council Entry'!AQ$4="Logarithm",LN(0.001+IF(AND(ISNUMBER('Council Entry'!AQ$8),ISNUMBER('Council Entry'!AQ$9)),MAX(MIN('Council Entry'!AQ186,'Council Entry'!AQ$9),'Council Entry'!AQ$8),'Council Entry'!AQ186)),IF('Council Entry'!AQ$4="Exponential",EXP(IF(AND(ISNUMBER('Council Entry'!AQ$8),ISNUMBER('Council Entry'!AQ$9)),MAX(MIN('Council Entry'!AQ186,'Council Entry'!AQ$9),'Council Entry'!AQ$8),'Council Entry'!AQ186)),IF(AND(ISNUMBER('Council Entry'!AQ$8),ISNUMBER('Council Entry'!AQ$9)),MAX(MIN('Council Entry'!AQ186,'Council Entry'!AQ$9),'Council Entry'!AQ$8),'Council Entry'!AQ186))))-'Council Entry'!AQ$5)/('Council Entry'!AQ$6-'Council Entry'!AQ$5)),1))),"No data"))</f>
        <v/>
      </c>
      <c r="AR186" s="13">
        <f>IF('Council Entry'!AR186="","",IFERROR(MAX(0,MIN(10,ROUND(IF('Council Entry'!AR$7="Decrease Risk",10-10*((IF('Council Entry'!AR$4="Logarithm",LN(0.001+IF(AND(ISNUMBER('Council Entry'!AR$8),ISNUMBER('Council Entry'!AR$9)),MAX(MIN('Council Entry'!AR186,'Council Entry'!AR$9),'Council Entry'!AR$8),'Council Entry'!AR186)),IF('Council Entry'!AR$4="Exponential",EXP(IF(AND(ISNUMBER('Council Entry'!AR$8),ISNUMBER('Council Entry'!AR$9)),MAX(MIN('Council Entry'!AR186,'Council Entry'!AR$9),'Council Entry'!AR$8),'Council Entry'!AR186)),IF(AND(ISNUMBER('Council Entry'!AR$8),ISNUMBER('Council Entry'!AR$9)),MAX(MIN('Council Entry'!AR186,'Council Entry'!AR$9),'Council Entry'!AR$8),'Council Entry'!AR186))))-'Council Entry'!AR$5)/('Council Entry'!AR$6-'Council Entry'!AR$5),10*((IF('Council Entry'!AR$4="Logarithm",LN(0.001+IF(AND(ISNUMBER('Council Entry'!AR$8),ISNUMBER('Council Entry'!AR$9)),MAX(MIN('Council Entry'!AR186,'Council Entry'!AR$9),'Council Entry'!AR$8),'Council Entry'!AR186)),IF('Council Entry'!AR$4="Exponential",EXP(IF(AND(ISNUMBER('Council Entry'!AR$8),ISNUMBER('Council Entry'!AR$9)),MAX(MIN('Council Entry'!AR186,'Council Entry'!AR$9),'Council Entry'!AR$8),'Council Entry'!AR186)),IF(AND(ISNUMBER('Council Entry'!AR$8),ISNUMBER('Council Entry'!AR$9)),MAX(MIN('Council Entry'!AR186,'Council Entry'!AR$9),'Council Entry'!AR$8),'Council Entry'!AR186))))-'Council Entry'!AR$5)/('Council Entry'!AR$6-'Council Entry'!AR$5)),1))),"No data"))</f>
        <v/>
      </c>
      <c r="AS186" s="13">
        <f>IF('Council Entry'!AS186="","",IFERROR(MAX(0,MIN(10,ROUND(IF('Council Entry'!AS$7="Decrease Risk",10-10*((IF('Council Entry'!AS$4="Logarithm",LN(0.001+IF(AND(ISNUMBER('Council Entry'!AS$8),ISNUMBER('Council Entry'!AS$9)),MAX(MIN('Council Entry'!AS186,'Council Entry'!AS$9),'Council Entry'!AS$8),'Council Entry'!AS186)),IF('Council Entry'!AS$4="Exponential",EXP(IF(AND(ISNUMBER('Council Entry'!AS$8),ISNUMBER('Council Entry'!AS$9)),MAX(MIN('Council Entry'!AS186,'Council Entry'!AS$9),'Council Entry'!AS$8),'Council Entry'!AS186)),IF(AND(ISNUMBER('Council Entry'!AS$8),ISNUMBER('Council Entry'!AS$9)),MAX(MIN('Council Entry'!AS186,'Council Entry'!AS$9),'Council Entry'!AS$8),'Council Entry'!AS186))))-'Council Entry'!AS$5)/('Council Entry'!AS$6-'Council Entry'!AS$5),10*((IF('Council Entry'!AS$4="Logarithm",LN(0.001+IF(AND(ISNUMBER('Council Entry'!AS$8),ISNUMBER('Council Entry'!AS$9)),MAX(MIN('Council Entry'!AS186,'Council Entry'!AS$9),'Council Entry'!AS$8),'Council Entry'!AS186)),IF('Council Entry'!AS$4="Exponential",EXP(IF(AND(ISNUMBER('Council Entry'!AS$8),ISNUMBER('Council Entry'!AS$9)),MAX(MIN('Council Entry'!AS186,'Council Entry'!AS$9),'Council Entry'!AS$8),'Council Entry'!AS186)),IF(AND(ISNUMBER('Council Entry'!AS$8),ISNUMBER('Council Entry'!AS$9)),MAX(MIN('Council Entry'!AS186,'Council Entry'!AS$9),'Council Entry'!AS$8),'Council Entry'!AS186))))-'Council Entry'!AS$5)/('Council Entry'!AS$6-'Council Entry'!AS$5)),1))),"No data"))</f>
        <v/>
      </c>
      <c r="AT186" s="13">
        <f>IF('Council Entry'!AT186="","",IFERROR(MAX(0,MIN(10,ROUND(IF('Council Entry'!AT$7="Decrease Risk",10-10*((IF('Council Entry'!AT$4="Logarithm",LN(0.001+IF(AND(ISNUMBER('Council Entry'!AT$8),ISNUMBER('Council Entry'!AT$9)),MAX(MIN('Council Entry'!AT186,'Council Entry'!AT$9),'Council Entry'!AT$8),'Council Entry'!AT186)),IF('Council Entry'!AT$4="Exponential",EXP(IF(AND(ISNUMBER('Council Entry'!AT$8),ISNUMBER('Council Entry'!AT$9)),MAX(MIN('Council Entry'!AT186,'Council Entry'!AT$9),'Council Entry'!AT$8),'Council Entry'!AT186)),IF(AND(ISNUMBER('Council Entry'!AT$8),ISNUMBER('Council Entry'!AT$9)),MAX(MIN('Council Entry'!AT186,'Council Entry'!AT$9),'Council Entry'!AT$8),'Council Entry'!AT186))))-'Council Entry'!AT$5)/('Council Entry'!AT$6-'Council Entry'!AT$5),10*((IF('Council Entry'!AT$4="Logarithm",LN(0.001+IF(AND(ISNUMBER('Council Entry'!AT$8),ISNUMBER('Council Entry'!AT$9)),MAX(MIN('Council Entry'!AT186,'Council Entry'!AT$9),'Council Entry'!AT$8),'Council Entry'!AT186)),IF('Council Entry'!AT$4="Exponential",EXP(IF(AND(ISNUMBER('Council Entry'!AT$8),ISNUMBER('Council Entry'!AT$9)),MAX(MIN('Council Entry'!AT186,'Council Entry'!AT$9),'Council Entry'!AT$8),'Council Entry'!AT186)),IF(AND(ISNUMBER('Council Entry'!AT$8),ISNUMBER('Council Entry'!AT$9)),MAX(MIN('Council Entry'!AT186,'Council Entry'!AT$9),'Council Entry'!AT$8),'Council Entry'!AT186))))-'Council Entry'!AT$5)/('Council Entry'!AT$6-'Council Entry'!AT$5)),1))),"No data"))</f>
        <v/>
      </c>
      <c r="AU186" s="13">
        <f>IF('Council Entry'!AU186="","",IFERROR(MAX(0,MIN(10,ROUND(IF('Council Entry'!AU$7="Decrease Risk",10-10*((IF('Council Entry'!AU$4="Logarithm",LN(0.001+IF(AND(ISNUMBER('Council Entry'!AU$8),ISNUMBER('Council Entry'!AU$9)),MAX(MIN('Council Entry'!AU186,'Council Entry'!AU$9),'Council Entry'!AU$8),'Council Entry'!AU186)),IF('Council Entry'!AU$4="Exponential",EXP(IF(AND(ISNUMBER('Council Entry'!AU$8),ISNUMBER('Council Entry'!AU$9)),MAX(MIN('Council Entry'!AU186,'Council Entry'!AU$9),'Council Entry'!AU$8),'Council Entry'!AU186)),IF(AND(ISNUMBER('Council Entry'!AU$8),ISNUMBER('Council Entry'!AU$9)),MAX(MIN('Council Entry'!AU186,'Council Entry'!AU$9),'Council Entry'!AU$8),'Council Entry'!AU186))))-'Council Entry'!AU$5)/('Council Entry'!AU$6-'Council Entry'!AU$5),10*((IF('Council Entry'!AU$4="Logarithm",LN(0.001+IF(AND(ISNUMBER('Council Entry'!AU$8),ISNUMBER('Council Entry'!AU$9)),MAX(MIN('Council Entry'!AU186,'Council Entry'!AU$9),'Council Entry'!AU$8),'Council Entry'!AU186)),IF('Council Entry'!AU$4="Exponential",EXP(IF(AND(ISNUMBER('Council Entry'!AU$8),ISNUMBER('Council Entry'!AU$9)),MAX(MIN('Council Entry'!AU186,'Council Entry'!AU$9),'Council Entry'!AU$8),'Council Entry'!AU186)),IF(AND(ISNUMBER('Council Entry'!AU$8),ISNUMBER('Council Entry'!AU$9)),MAX(MIN('Council Entry'!AU186,'Council Entry'!AU$9),'Council Entry'!AU$8),'Council Entry'!AU186))))-'Council Entry'!AU$5)/('Council Entry'!AU$6-'Council Entry'!AU$5)),1))),"No data"))</f>
        <v/>
      </c>
      <c r="AV186" s="13">
        <f>IF('Council Entry'!AV186="","",IFERROR(MAX(0,MIN(10,ROUND(IF('Council Entry'!AV$7="Decrease Risk",10-10*((IF('Council Entry'!AV$4="Logarithm",LN(0.001+IF(AND(ISNUMBER('Council Entry'!AV$8),ISNUMBER('Council Entry'!AV$9)),MAX(MIN('Council Entry'!AV186,'Council Entry'!AV$9),'Council Entry'!AV$8),'Council Entry'!AV186)),IF('Council Entry'!AV$4="Exponential",EXP(IF(AND(ISNUMBER('Council Entry'!AV$8),ISNUMBER('Council Entry'!AV$9)),MAX(MIN('Council Entry'!AV186,'Council Entry'!AV$9),'Council Entry'!AV$8),'Council Entry'!AV186)),IF(AND(ISNUMBER('Council Entry'!AV$8),ISNUMBER('Council Entry'!AV$9)),MAX(MIN('Council Entry'!AV186,'Council Entry'!AV$9),'Council Entry'!AV$8),'Council Entry'!AV186))))-'Council Entry'!AV$5)/('Council Entry'!AV$6-'Council Entry'!AV$5),10*((IF('Council Entry'!AV$4="Logarithm",LN(0.001+IF(AND(ISNUMBER('Council Entry'!AV$8),ISNUMBER('Council Entry'!AV$9)),MAX(MIN('Council Entry'!AV186,'Council Entry'!AV$9),'Council Entry'!AV$8),'Council Entry'!AV186)),IF('Council Entry'!AV$4="Exponential",EXP(IF(AND(ISNUMBER('Council Entry'!AV$8),ISNUMBER('Council Entry'!AV$9)),MAX(MIN('Council Entry'!AV186,'Council Entry'!AV$9),'Council Entry'!AV$8),'Council Entry'!AV186)),IF(AND(ISNUMBER('Council Entry'!AV$8),ISNUMBER('Council Entry'!AV$9)),MAX(MIN('Council Entry'!AV186,'Council Entry'!AV$9),'Council Entry'!AV$8),'Council Entry'!AV186))))-'Council Entry'!AV$5)/('Council Entry'!AV$6-'Council Entry'!AV$5)),1))),"No data"))</f>
        <v/>
      </c>
      <c r="AW186" s="13">
        <f>IF('Council Entry'!AW186="","",IFERROR(MAX(0,MIN(10,ROUND(IF('Council Entry'!AW$7="Decrease Risk",10-10*((IF('Council Entry'!AW$4="Logarithm",LN(0.001+IF(AND(ISNUMBER('Council Entry'!AW$8),ISNUMBER('Council Entry'!AW$9)),MAX(MIN('Council Entry'!AW186,'Council Entry'!AW$9),'Council Entry'!AW$8),'Council Entry'!AW186)),IF('Council Entry'!AW$4="Exponential",EXP(IF(AND(ISNUMBER('Council Entry'!AW$8),ISNUMBER('Council Entry'!AW$9)),MAX(MIN('Council Entry'!AW186,'Council Entry'!AW$9),'Council Entry'!AW$8),'Council Entry'!AW186)),IF(AND(ISNUMBER('Council Entry'!AW$8),ISNUMBER('Council Entry'!AW$9)),MAX(MIN('Council Entry'!AW186,'Council Entry'!AW$9),'Council Entry'!AW$8),'Council Entry'!AW186))))-'Council Entry'!AW$5)/('Council Entry'!AW$6-'Council Entry'!AW$5),10*((IF('Council Entry'!AW$4="Logarithm",LN(0.001+IF(AND(ISNUMBER('Council Entry'!AW$8),ISNUMBER('Council Entry'!AW$9)),MAX(MIN('Council Entry'!AW186,'Council Entry'!AW$9),'Council Entry'!AW$8),'Council Entry'!AW186)),IF('Council Entry'!AW$4="Exponential",EXP(IF(AND(ISNUMBER('Council Entry'!AW$8),ISNUMBER('Council Entry'!AW$9)),MAX(MIN('Council Entry'!AW186,'Council Entry'!AW$9),'Council Entry'!AW$8),'Council Entry'!AW186)),IF(AND(ISNUMBER('Council Entry'!AW$8),ISNUMBER('Council Entry'!AW$9)),MAX(MIN('Council Entry'!AW186,'Council Entry'!AW$9),'Council Entry'!AW$8),'Council Entry'!AW186))))-'Council Entry'!AW$5)/('Council Entry'!AW$6-'Council Entry'!AW$5)),1))),"No data"))</f>
        <v/>
      </c>
      <c r="AX186" s="13">
        <f>IF('Council Entry'!AX186="","",IFERROR(MAX(0,MIN(10,ROUND(IF('Council Entry'!AX$7="Decrease Risk",10-10*((IF('Council Entry'!AX$4="Logarithm",LN(0.001+IF(AND(ISNUMBER('Council Entry'!AX$8),ISNUMBER('Council Entry'!AX$9)),MAX(MIN('Council Entry'!AX186,'Council Entry'!AX$9),'Council Entry'!AX$8),'Council Entry'!AX186)),IF('Council Entry'!AX$4="Exponential",EXP(IF(AND(ISNUMBER('Council Entry'!AX$8),ISNUMBER('Council Entry'!AX$9)),MAX(MIN('Council Entry'!AX186,'Council Entry'!AX$9),'Council Entry'!AX$8),'Council Entry'!AX186)),IF(AND(ISNUMBER('Council Entry'!AX$8),ISNUMBER('Council Entry'!AX$9)),MAX(MIN('Council Entry'!AX186,'Council Entry'!AX$9),'Council Entry'!AX$8),'Council Entry'!AX186))))-'Council Entry'!AX$5)/('Council Entry'!AX$6-'Council Entry'!AX$5),10*((IF('Council Entry'!AX$4="Logarithm",LN(0.001+IF(AND(ISNUMBER('Council Entry'!AX$8),ISNUMBER('Council Entry'!AX$9)),MAX(MIN('Council Entry'!AX186,'Council Entry'!AX$9),'Council Entry'!AX$8),'Council Entry'!AX186)),IF('Council Entry'!AX$4="Exponential",EXP(IF(AND(ISNUMBER('Council Entry'!AX$8),ISNUMBER('Council Entry'!AX$9)),MAX(MIN('Council Entry'!AX186,'Council Entry'!AX$9),'Council Entry'!AX$8),'Council Entry'!AX186)),IF(AND(ISNUMBER('Council Entry'!AX$8),ISNUMBER('Council Entry'!AX$9)),MAX(MIN('Council Entry'!AX186,'Council Entry'!AX$9),'Council Entry'!AX$8),'Council Entry'!AX186))))-'Council Entry'!AX$5)/('Council Entry'!AX$6-'Council Entry'!AX$5)),1))),"No data"))</f>
        <v/>
      </c>
      <c r="AY186" s="13">
        <f>IF('Council Entry'!AY186="","",IFERROR(MAX(0,MIN(10,ROUND(IF('Council Entry'!AY$7="Decrease Risk",10-10*((IF('Council Entry'!AY$4="Logarithm",LN(0.001+IF(AND(ISNUMBER('Council Entry'!AY$8),ISNUMBER('Council Entry'!AY$9)),MAX(MIN('Council Entry'!AY186,'Council Entry'!AY$9),'Council Entry'!AY$8),'Council Entry'!AY186)),IF('Council Entry'!AY$4="Exponential",EXP(IF(AND(ISNUMBER('Council Entry'!AY$8),ISNUMBER('Council Entry'!AY$9)),MAX(MIN('Council Entry'!AY186,'Council Entry'!AY$9),'Council Entry'!AY$8),'Council Entry'!AY186)),IF(AND(ISNUMBER('Council Entry'!AY$8),ISNUMBER('Council Entry'!AY$9)),MAX(MIN('Council Entry'!AY186,'Council Entry'!AY$9),'Council Entry'!AY$8),'Council Entry'!AY186))))-'Council Entry'!AY$5)/('Council Entry'!AY$6-'Council Entry'!AY$5),10*((IF('Council Entry'!AY$4="Logarithm",LN(0.001+IF(AND(ISNUMBER('Council Entry'!AY$8),ISNUMBER('Council Entry'!AY$9)),MAX(MIN('Council Entry'!AY186,'Council Entry'!AY$9),'Council Entry'!AY$8),'Council Entry'!AY186)),IF('Council Entry'!AY$4="Exponential",EXP(IF(AND(ISNUMBER('Council Entry'!AY$8),ISNUMBER('Council Entry'!AY$9)),MAX(MIN('Council Entry'!AY186,'Council Entry'!AY$9),'Council Entry'!AY$8),'Council Entry'!AY186)),IF(AND(ISNUMBER('Council Entry'!AY$8),ISNUMBER('Council Entry'!AY$9)),MAX(MIN('Council Entry'!AY186,'Council Entry'!AY$9),'Council Entry'!AY$8),'Council Entry'!AY186))))-'Council Entry'!AY$5)/('Council Entry'!AY$6-'Council Entry'!AY$5)),1))),"No data"))</f>
        <v/>
      </c>
      <c r="AZ186" s="13">
        <f>IF('Council Entry'!AZ186="","",IFERROR(MAX(0,MIN(10,ROUND(IF('Council Entry'!AZ$7="Decrease Risk",10-10*((IF('Council Entry'!AZ$4="Logarithm",LN(0.001+IF(AND(ISNUMBER('Council Entry'!AZ$8),ISNUMBER('Council Entry'!AZ$9)),MAX(MIN('Council Entry'!AZ186,'Council Entry'!AZ$9),'Council Entry'!AZ$8),'Council Entry'!AZ186)),IF('Council Entry'!AZ$4="Exponential",EXP(IF(AND(ISNUMBER('Council Entry'!AZ$8),ISNUMBER('Council Entry'!AZ$9)),MAX(MIN('Council Entry'!AZ186,'Council Entry'!AZ$9),'Council Entry'!AZ$8),'Council Entry'!AZ186)),IF(AND(ISNUMBER('Council Entry'!AZ$8),ISNUMBER('Council Entry'!AZ$9)),MAX(MIN('Council Entry'!AZ186,'Council Entry'!AZ$9),'Council Entry'!AZ$8),'Council Entry'!AZ186))))-'Council Entry'!AZ$5)/('Council Entry'!AZ$6-'Council Entry'!AZ$5),10*((IF('Council Entry'!AZ$4="Logarithm",LN(0.001+IF(AND(ISNUMBER('Council Entry'!AZ$8),ISNUMBER('Council Entry'!AZ$9)),MAX(MIN('Council Entry'!AZ186,'Council Entry'!AZ$9),'Council Entry'!AZ$8),'Council Entry'!AZ186)),IF('Council Entry'!AZ$4="Exponential",EXP(IF(AND(ISNUMBER('Council Entry'!AZ$8),ISNUMBER('Council Entry'!AZ$9)),MAX(MIN('Council Entry'!AZ186,'Council Entry'!AZ$9),'Council Entry'!AZ$8),'Council Entry'!AZ186)),IF(AND(ISNUMBER('Council Entry'!AZ$8),ISNUMBER('Council Entry'!AZ$9)),MAX(MIN('Council Entry'!AZ186,'Council Entry'!AZ$9),'Council Entry'!AZ$8),'Council Entry'!AZ186))))-'Council Entry'!AZ$5)/('Council Entry'!AZ$6-'Council Entry'!AZ$5)),1))),"No data"))</f>
        <v/>
      </c>
      <c r="BA186" s="13">
        <f>IF('Council Entry'!BA186="","",IFERROR(MAX(0,MIN(10,ROUND(IF('Council Entry'!BA$7="Decrease Risk",10-10*((IF('Council Entry'!BA$4="Logarithm",LN(0.001+IF(AND(ISNUMBER('Council Entry'!BA$8),ISNUMBER('Council Entry'!BA$9)),MAX(MIN('Council Entry'!BA186,'Council Entry'!BA$9),'Council Entry'!BA$8),'Council Entry'!BA186)),IF('Council Entry'!BA$4="Exponential",EXP(IF(AND(ISNUMBER('Council Entry'!BA$8),ISNUMBER('Council Entry'!BA$9)),MAX(MIN('Council Entry'!BA186,'Council Entry'!BA$9),'Council Entry'!BA$8),'Council Entry'!BA186)),IF(AND(ISNUMBER('Council Entry'!BA$8),ISNUMBER('Council Entry'!BA$9)),MAX(MIN('Council Entry'!BA186,'Council Entry'!BA$9),'Council Entry'!BA$8),'Council Entry'!BA186))))-'Council Entry'!BA$5)/('Council Entry'!BA$6-'Council Entry'!BA$5),10*((IF('Council Entry'!BA$4="Logarithm",LN(0.001+IF(AND(ISNUMBER('Council Entry'!BA$8),ISNUMBER('Council Entry'!BA$9)),MAX(MIN('Council Entry'!BA186,'Council Entry'!BA$9),'Council Entry'!BA$8),'Council Entry'!BA186)),IF('Council Entry'!BA$4="Exponential",EXP(IF(AND(ISNUMBER('Council Entry'!BA$8),ISNUMBER('Council Entry'!BA$9)),MAX(MIN('Council Entry'!BA186,'Council Entry'!BA$9),'Council Entry'!BA$8),'Council Entry'!BA186)),IF(AND(ISNUMBER('Council Entry'!BA$8),ISNUMBER('Council Entry'!BA$9)),MAX(MIN('Council Entry'!BA186,'Council Entry'!BA$9),'Council Entry'!BA$8),'Council Entry'!BA186))))-'Council Entry'!BA$5)/('Council Entry'!BA$6-'Council Entry'!BA$5)),1))),"No data"))</f>
        <v/>
      </c>
      <c r="BB186" s="13">
        <f>IF('Council Entry'!BB186="","",IFERROR(MAX(0,MIN(10,ROUND(IF('Council Entry'!BB$7="Decrease Risk",10-10*((IF('Council Entry'!BB$4="Logarithm",LN(0.001+IF(AND(ISNUMBER('Council Entry'!BB$8),ISNUMBER('Council Entry'!BB$9)),MAX(MIN('Council Entry'!BB186,'Council Entry'!BB$9),'Council Entry'!BB$8),'Council Entry'!BB186)),IF('Council Entry'!BB$4="Exponential",EXP(IF(AND(ISNUMBER('Council Entry'!BB$8),ISNUMBER('Council Entry'!BB$9)),MAX(MIN('Council Entry'!BB186,'Council Entry'!BB$9),'Council Entry'!BB$8),'Council Entry'!BB186)),IF(AND(ISNUMBER('Council Entry'!BB$8),ISNUMBER('Council Entry'!BB$9)),MAX(MIN('Council Entry'!BB186,'Council Entry'!BB$9),'Council Entry'!BB$8),'Council Entry'!BB186))))-'Council Entry'!BB$5)/('Council Entry'!BB$6-'Council Entry'!BB$5),10*((IF('Council Entry'!BB$4="Logarithm",LN(0.001+IF(AND(ISNUMBER('Council Entry'!BB$8),ISNUMBER('Council Entry'!BB$9)),MAX(MIN('Council Entry'!BB186,'Council Entry'!BB$9),'Council Entry'!BB$8),'Council Entry'!BB186)),IF('Council Entry'!BB$4="Exponential",EXP(IF(AND(ISNUMBER('Council Entry'!BB$8),ISNUMBER('Council Entry'!BB$9)),MAX(MIN('Council Entry'!BB186,'Council Entry'!BB$9),'Council Entry'!BB$8),'Council Entry'!BB186)),IF(AND(ISNUMBER('Council Entry'!BB$8),ISNUMBER('Council Entry'!BB$9)),MAX(MIN('Council Entry'!BB186,'Council Entry'!BB$9),'Council Entry'!BB$8),'Council Entry'!BB186))))-'Council Entry'!BB$5)/('Council Entry'!BB$6-'Council Entry'!BB$5)),1))),"No data"))</f>
        <v/>
      </c>
      <c r="BC186" s="13">
        <f>IF('Council Entry'!BC186="","",IFERROR(MAX(0,MIN(10,ROUND(IF('Council Entry'!BC$7="Decrease Risk",10-10*((IF('Council Entry'!BC$4="Logarithm",LN(0.001+IF(AND(ISNUMBER('Council Entry'!BC$8),ISNUMBER('Council Entry'!BC$9)),MAX(MIN('Council Entry'!BC186,'Council Entry'!BC$9),'Council Entry'!BC$8),'Council Entry'!BC186)),IF('Council Entry'!BC$4="Exponential",EXP(IF(AND(ISNUMBER('Council Entry'!BC$8),ISNUMBER('Council Entry'!BC$9)),MAX(MIN('Council Entry'!BC186,'Council Entry'!BC$9),'Council Entry'!BC$8),'Council Entry'!BC186)),IF(AND(ISNUMBER('Council Entry'!BC$8),ISNUMBER('Council Entry'!BC$9)),MAX(MIN('Council Entry'!BC186,'Council Entry'!BC$9),'Council Entry'!BC$8),'Council Entry'!BC186))))-'Council Entry'!BC$5)/('Council Entry'!BC$6-'Council Entry'!BC$5),10*((IF('Council Entry'!BC$4="Logarithm",LN(0.001+IF(AND(ISNUMBER('Council Entry'!BC$8),ISNUMBER('Council Entry'!BC$9)),MAX(MIN('Council Entry'!BC186,'Council Entry'!BC$9),'Council Entry'!BC$8),'Council Entry'!BC186)),IF('Council Entry'!BC$4="Exponential",EXP(IF(AND(ISNUMBER('Council Entry'!BC$8),ISNUMBER('Council Entry'!BC$9)),MAX(MIN('Council Entry'!BC186,'Council Entry'!BC$9),'Council Entry'!BC$8),'Council Entry'!BC186)),IF(AND(ISNUMBER('Council Entry'!BC$8),ISNUMBER('Council Entry'!BC$9)),MAX(MIN('Council Entry'!BC186,'Council Entry'!BC$9),'Council Entry'!BC$8),'Council Entry'!BC186))))-'Council Entry'!BC$5)/('Council Entry'!BC$6-'Council Entry'!BC$5)),1))),"No data"))</f>
        <v/>
      </c>
      <c r="BD186" s="13">
        <f>IF('Council Entry'!BD186="","",IFERROR(MAX(0,MIN(10,ROUND(IF('Council Entry'!BD$7="Decrease Risk",10-10*((IF('Council Entry'!BD$4="Logarithm",LN(0.001+IF(AND(ISNUMBER('Council Entry'!BD$8),ISNUMBER('Council Entry'!BD$9)),MAX(MIN('Council Entry'!BD186,'Council Entry'!BD$9),'Council Entry'!BD$8),'Council Entry'!BD186)),IF('Council Entry'!BD$4="Exponential",EXP(IF(AND(ISNUMBER('Council Entry'!BD$8),ISNUMBER('Council Entry'!BD$9)),MAX(MIN('Council Entry'!BD186,'Council Entry'!BD$9),'Council Entry'!BD$8),'Council Entry'!BD186)),IF(AND(ISNUMBER('Council Entry'!BD$8),ISNUMBER('Council Entry'!BD$9)),MAX(MIN('Council Entry'!BD186,'Council Entry'!BD$9),'Council Entry'!BD$8),'Council Entry'!BD186))))-'Council Entry'!BD$5)/('Council Entry'!BD$6-'Council Entry'!BD$5),10*((IF('Council Entry'!BD$4="Logarithm",LN(0.001+IF(AND(ISNUMBER('Council Entry'!BD$8),ISNUMBER('Council Entry'!BD$9)),MAX(MIN('Council Entry'!BD186,'Council Entry'!BD$9),'Council Entry'!BD$8),'Council Entry'!BD186)),IF('Council Entry'!BD$4="Exponential",EXP(IF(AND(ISNUMBER('Council Entry'!BD$8),ISNUMBER('Council Entry'!BD$9)),MAX(MIN('Council Entry'!BD186,'Council Entry'!BD$9),'Council Entry'!BD$8),'Council Entry'!BD186)),IF(AND(ISNUMBER('Council Entry'!BD$8),ISNUMBER('Council Entry'!BD$9)),MAX(MIN('Council Entry'!BD186,'Council Entry'!BD$9),'Council Entry'!BD$8),'Council Entry'!BD186))))-'Council Entry'!BD$5)/('Council Entry'!BD$6-'Council Entry'!BD$5)),1))),"No data"))</f>
        <v/>
      </c>
    </row>
    <row r="187">
      <c r="A187" t="inlineStr">
        <is>
          <t>Tabora</t>
        </is>
      </c>
      <c r="B187" t="inlineStr">
        <is>
          <t>Igunga District</t>
        </is>
      </c>
      <c r="C187" t="inlineStr">
        <is>
          <t>C101</t>
        </is>
      </c>
      <c r="D187" s="13">
        <f>IF('Council Entry'!D187="","",IFERROR(MAX(0,MIN(10,ROUND(IF('Council Entry'!D$7="Decrease Risk",10-10*((IF('Council Entry'!D$4="Logarithm",LN(0.001+IF(AND(ISNUMBER('Council Entry'!D$8),ISNUMBER('Council Entry'!D$9)),MAX(MIN('Council Entry'!D187,'Council Entry'!D$9),'Council Entry'!D$8),'Council Entry'!D187)),IF('Council Entry'!D$4="Exponential",EXP(IF(AND(ISNUMBER('Council Entry'!D$8),ISNUMBER('Council Entry'!D$9)),MAX(MIN('Council Entry'!D187,'Council Entry'!D$9),'Council Entry'!D$8),'Council Entry'!D187)),IF(AND(ISNUMBER('Council Entry'!D$8),ISNUMBER('Council Entry'!D$9)),MAX(MIN('Council Entry'!D187,'Council Entry'!D$9),'Council Entry'!D$8),'Council Entry'!D187))))-'Council Entry'!D$5)/('Council Entry'!D$6-'Council Entry'!D$5),10*((IF('Council Entry'!D$4="Logarithm",LN(0.001+IF(AND(ISNUMBER('Council Entry'!D$8),ISNUMBER('Council Entry'!D$9)),MAX(MIN('Council Entry'!D187,'Council Entry'!D$9),'Council Entry'!D$8),'Council Entry'!D187)),IF('Council Entry'!D$4="Exponential",EXP(IF(AND(ISNUMBER('Council Entry'!D$8),ISNUMBER('Council Entry'!D$9)),MAX(MIN('Council Entry'!D187,'Council Entry'!D$9),'Council Entry'!D$8),'Council Entry'!D187)),IF(AND(ISNUMBER('Council Entry'!D$8),ISNUMBER('Council Entry'!D$9)),MAX(MIN('Council Entry'!D187,'Council Entry'!D$9),'Council Entry'!D$8),'Council Entry'!D187))))-'Council Entry'!D$5)/('Council Entry'!D$6-'Council Entry'!D$5)),1))),"No data"))</f>
        <v/>
      </c>
      <c r="E187" s="13">
        <f>IF('Council Entry'!E187="","",IFERROR(MAX(0,MIN(10,ROUND(IF('Council Entry'!E$7="Decrease Risk",10-10*((IF('Council Entry'!E$4="Logarithm",LN(0.001+IF(AND(ISNUMBER('Council Entry'!E$8),ISNUMBER('Council Entry'!E$9)),MAX(MIN('Council Entry'!E187,'Council Entry'!E$9),'Council Entry'!E$8),'Council Entry'!E187)),IF('Council Entry'!E$4="Exponential",EXP(IF(AND(ISNUMBER('Council Entry'!E$8),ISNUMBER('Council Entry'!E$9)),MAX(MIN('Council Entry'!E187,'Council Entry'!E$9),'Council Entry'!E$8),'Council Entry'!E187)),IF(AND(ISNUMBER('Council Entry'!E$8),ISNUMBER('Council Entry'!E$9)),MAX(MIN('Council Entry'!E187,'Council Entry'!E$9),'Council Entry'!E$8),'Council Entry'!E187))))-'Council Entry'!E$5)/('Council Entry'!E$6-'Council Entry'!E$5),10*((IF('Council Entry'!E$4="Logarithm",LN(0.001+IF(AND(ISNUMBER('Council Entry'!E$8),ISNUMBER('Council Entry'!E$9)),MAX(MIN('Council Entry'!E187,'Council Entry'!E$9),'Council Entry'!E$8),'Council Entry'!E187)),IF('Council Entry'!E$4="Exponential",EXP(IF(AND(ISNUMBER('Council Entry'!E$8),ISNUMBER('Council Entry'!E$9)),MAX(MIN('Council Entry'!E187,'Council Entry'!E$9),'Council Entry'!E$8),'Council Entry'!E187)),IF(AND(ISNUMBER('Council Entry'!E$8),ISNUMBER('Council Entry'!E$9)),MAX(MIN('Council Entry'!E187,'Council Entry'!E$9),'Council Entry'!E$8),'Council Entry'!E187))))-'Council Entry'!E$5)/('Council Entry'!E$6-'Council Entry'!E$5)),1))),"No data"))</f>
        <v/>
      </c>
      <c r="F187" s="13">
        <f>IF('Council Entry'!F187="","",IFERROR(MAX(0,MIN(10,ROUND(IF('Council Entry'!F$7="Decrease Risk",10-10*((IF('Council Entry'!F$4="Logarithm",LN(0.001+IF(AND(ISNUMBER('Council Entry'!F$8),ISNUMBER('Council Entry'!F$9)),MAX(MIN('Council Entry'!F187,'Council Entry'!F$9),'Council Entry'!F$8),'Council Entry'!F187)),IF('Council Entry'!F$4="Exponential",EXP(IF(AND(ISNUMBER('Council Entry'!F$8),ISNUMBER('Council Entry'!F$9)),MAX(MIN('Council Entry'!F187,'Council Entry'!F$9),'Council Entry'!F$8),'Council Entry'!F187)),IF(AND(ISNUMBER('Council Entry'!F$8),ISNUMBER('Council Entry'!F$9)),MAX(MIN('Council Entry'!F187,'Council Entry'!F$9),'Council Entry'!F$8),'Council Entry'!F187))))-'Council Entry'!F$5)/('Council Entry'!F$6-'Council Entry'!F$5),10*((IF('Council Entry'!F$4="Logarithm",LN(0.001+IF(AND(ISNUMBER('Council Entry'!F$8),ISNUMBER('Council Entry'!F$9)),MAX(MIN('Council Entry'!F187,'Council Entry'!F$9),'Council Entry'!F$8),'Council Entry'!F187)),IF('Council Entry'!F$4="Exponential",EXP(IF(AND(ISNUMBER('Council Entry'!F$8),ISNUMBER('Council Entry'!F$9)),MAX(MIN('Council Entry'!F187,'Council Entry'!F$9),'Council Entry'!F$8),'Council Entry'!F187)),IF(AND(ISNUMBER('Council Entry'!F$8),ISNUMBER('Council Entry'!F$9)),MAX(MIN('Council Entry'!F187,'Council Entry'!F$9),'Council Entry'!F$8),'Council Entry'!F187))))-'Council Entry'!F$5)/('Council Entry'!F$6-'Council Entry'!F$5)),1))),"No data"))</f>
        <v/>
      </c>
      <c r="G187" s="13">
        <f>IF('Council Entry'!G187="","",IFERROR(MAX(0,MIN(10,ROUND(IF('Council Entry'!G$7="Decrease Risk",10-10*((IF('Council Entry'!G$4="Logarithm",LN(0.001+IF(AND(ISNUMBER('Council Entry'!G$8),ISNUMBER('Council Entry'!G$9)),MAX(MIN('Council Entry'!G187,'Council Entry'!G$9),'Council Entry'!G$8),'Council Entry'!G187)),IF('Council Entry'!G$4="Exponential",EXP(IF(AND(ISNUMBER('Council Entry'!G$8),ISNUMBER('Council Entry'!G$9)),MAX(MIN('Council Entry'!G187,'Council Entry'!G$9),'Council Entry'!G$8),'Council Entry'!G187)),IF(AND(ISNUMBER('Council Entry'!G$8),ISNUMBER('Council Entry'!G$9)),MAX(MIN('Council Entry'!G187,'Council Entry'!G$9),'Council Entry'!G$8),'Council Entry'!G187))))-'Council Entry'!G$5)/('Council Entry'!G$6-'Council Entry'!G$5),10*((IF('Council Entry'!G$4="Logarithm",LN(0.001+IF(AND(ISNUMBER('Council Entry'!G$8),ISNUMBER('Council Entry'!G$9)),MAX(MIN('Council Entry'!G187,'Council Entry'!G$9),'Council Entry'!G$8),'Council Entry'!G187)),IF('Council Entry'!G$4="Exponential",EXP(IF(AND(ISNUMBER('Council Entry'!G$8),ISNUMBER('Council Entry'!G$9)),MAX(MIN('Council Entry'!G187,'Council Entry'!G$9),'Council Entry'!G$8),'Council Entry'!G187)),IF(AND(ISNUMBER('Council Entry'!G$8),ISNUMBER('Council Entry'!G$9)),MAX(MIN('Council Entry'!G187,'Council Entry'!G$9),'Council Entry'!G$8),'Council Entry'!G187))))-'Council Entry'!G$5)/('Council Entry'!G$6-'Council Entry'!G$5)),1))),"No data"))</f>
        <v/>
      </c>
      <c r="H187" s="13">
        <f>IF('Council Entry'!H187="","",IFERROR(MAX(0,MIN(10,ROUND(IF('Council Entry'!H$7="Decrease Risk",10-10*((IF('Council Entry'!H$4="Logarithm",LN(0.001+IF(AND(ISNUMBER('Council Entry'!H$8),ISNUMBER('Council Entry'!H$9)),MAX(MIN('Council Entry'!H187,'Council Entry'!H$9),'Council Entry'!H$8),'Council Entry'!H187)),IF('Council Entry'!H$4="Exponential",EXP(IF(AND(ISNUMBER('Council Entry'!H$8),ISNUMBER('Council Entry'!H$9)),MAX(MIN('Council Entry'!H187,'Council Entry'!H$9),'Council Entry'!H$8),'Council Entry'!H187)),IF(AND(ISNUMBER('Council Entry'!H$8),ISNUMBER('Council Entry'!H$9)),MAX(MIN('Council Entry'!H187,'Council Entry'!H$9),'Council Entry'!H$8),'Council Entry'!H187))))-'Council Entry'!H$5)/('Council Entry'!H$6-'Council Entry'!H$5),10*((IF('Council Entry'!H$4="Logarithm",LN(0.001+IF(AND(ISNUMBER('Council Entry'!H$8),ISNUMBER('Council Entry'!H$9)),MAX(MIN('Council Entry'!H187,'Council Entry'!H$9),'Council Entry'!H$8),'Council Entry'!H187)),IF('Council Entry'!H$4="Exponential",EXP(IF(AND(ISNUMBER('Council Entry'!H$8),ISNUMBER('Council Entry'!H$9)),MAX(MIN('Council Entry'!H187,'Council Entry'!H$9),'Council Entry'!H$8),'Council Entry'!H187)),IF(AND(ISNUMBER('Council Entry'!H$8),ISNUMBER('Council Entry'!H$9)),MAX(MIN('Council Entry'!H187,'Council Entry'!H$9),'Council Entry'!H$8),'Council Entry'!H187))))-'Council Entry'!H$5)/('Council Entry'!H$6-'Council Entry'!H$5)),1))),"No data"))</f>
        <v/>
      </c>
      <c r="I187" s="13">
        <f>IF('Council Entry'!I187="","",IFERROR(MAX(0,MIN(10,ROUND(IF('Council Entry'!I$7="Decrease Risk",10-10*((IF('Council Entry'!I$4="Logarithm",LN(0.001+IF(AND(ISNUMBER('Council Entry'!I$8),ISNUMBER('Council Entry'!I$9)),MAX(MIN('Council Entry'!I187,'Council Entry'!I$9),'Council Entry'!I$8),'Council Entry'!I187)),IF('Council Entry'!I$4="Exponential",EXP(IF(AND(ISNUMBER('Council Entry'!I$8),ISNUMBER('Council Entry'!I$9)),MAX(MIN('Council Entry'!I187,'Council Entry'!I$9),'Council Entry'!I$8),'Council Entry'!I187)),IF(AND(ISNUMBER('Council Entry'!I$8),ISNUMBER('Council Entry'!I$9)),MAX(MIN('Council Entry'!I187,'Council Entry'!I$9),'Council Entry'!I$8),'Council Entry'!I187))))-'Council Entry'!I$5)/('Council Entry'!I$6-'Council Entry'!I$5),10*((IF('Council Entry'!I$4="Logarithm",LN(0.001+IF(AND(ISNUMBER('Council Entry'!I$8),ISNUMBER('Council Entry'!I$9)),MAX(MIN('Council Entry'!I187,'Council Entry'!I$9),'Council Entry'!I$8),'Council Entry'!I187)),IF('Council Entry'!I$4="Exponential",EXP(IF(AND(ISNUMBER('Council Entry'!I$8),ISNUMBER('Council Entry'!I$9)),MAX(MIN('Council Entry'!I187,'Council Entry'!I$9),'Council Entry'!I$8),'Council Entry'!I187)),IF(AND(ISNUMBER('Council Entry'!I$8),ISNUMBER('Council Entry'!I$9)),MAX(MIN('Council Entry'!I187,'Council Entry'!I$9),'Council Entry'!I$8),'Council Entry'!I187))))-'Council Entry'!I$5)/('Council Entry'!I$6-'Council Entry'!I$5)),1))),"No data"))</f>
        <v/>
      </c>
      <c r="J187" s="13">
        <f>IF('Council Entry'!J187="","",IFERROR(MAX(0,MIN(10,ROUND(IF('Council Entry'!J$7="Decrease Risk",10-10*((IF('Council Entry'!J$4="Logarithm",LN(0.001+IF(AND(ISNUMBER('Council Entry'!J$8),ISNUMBER('Council Entry'!J$9)),MAX(MIN('Council Entry'!J187,'Council Entry'!J$9),'Council Entry'!J$8),'Council Entry'!J187)),IF('Council Entry'!J$4="Exponential",EXP(IF(AND(ISNUMBER('Council Entry'!J$8),ISNUMBER('Council Entry'!J$9)),MAX(MIN('Council Entry'!J187,'Council Entry'!J$9),'Council Entry'!J$8),'Council Entry'!J187)),IF(AND(ISNUMBER('Council Entry'!J$8),ISNUMBER('Council Entry'!J$9)),MAX(MIN('Council Entry'!J187,'Council Entry'!J$9),'Council Entry'!J$8),'Council Entry'!J187))))-'Council Entry'!J$5)/('Council Entry'!J$6-'Council Entry'!J$5),10*((IF('Council Entry'!J$4="Logarithm",LN(0.001+IF(AND(ISNUMBER('Council Entry'!J$8),ISNUMBER('Council Entry'!J$9)),MAX(MIN('Council Entry'!J187,'Council Entry'!J$9),'Council Entry'!J$8),'Council Entry'!J187)),IF('Council Entry'!J$4="Exponential",EXP(IF(AND(ISNUMBER('Council Entry'!J$8),ISNUMBER('Council Entry'!J$9)),MAX(MIN('Council Entry'!J187,'Council Entry'!J$9),'Council Entry'!J$8),'Council Entry'!J187)),IF(AND(ISNUMBER('Council Entry'!J$8),ISNUMBER('Council Entry'!J$9)),MAX(MIN('Council Entry'!J187,'Council Entry'!J$9),'Council Entry'!J$8),'Council Entry'!J187))))-'Council Entry'!J$5)/('Council Entry'!J$6-'Council Entry'!J$5)),1))),"No data"))</f>
        <v/>
      </c>
      <c r="K187" s="13">
        <f>IF('Council Entry'!K187="","",IFERROR(MAX(0,MIN(10,ROUND(IF('Council Entry'!K$7="Decrease Risk",10-10*((IF('Council Entry'!K$4="Logarithm",LN(0.001+IF(AND(ISNUMBER('Council Entry'!K$8),ISNUMBER('Council Entry'!K$9)),MAX(MIN('Council Entry'!K187,'Council Entry'!K$9),'Council Entry'!K$8),'Council Entry'!K187)),IF('Council Entry'!K$4="Exponential",EXP(IF(AND(ISNUMBER('Council Entry'!K$8),ISNUMBER('Council Entry'!K$9)),MAX(MIN('Council Entry'!K187,'Council Entry'!K$9),'Council Entry'!K$8),'Council Entry'!K187)),IF(AND(ISNUMBER('Council Entry'!K$8),ISNUMBER('Council Entry'!K$9)),MAX(MIN('Council Entry'!K187,'Council Entry'!K$9),'Council Entry'!K$8),'Council Entry'!K187))))-'Council Entry'!K$5)/('Council Entry'!K$6-'Council Entry'!K$5),10*((IF('Council Entry'!K$4="Logarithm",LN(0.001+IF(AND(ISNUMBER('Council Entry'!K$8),ISNUMBER('Council Entry'!K$9)),MAX(MIN('Council Entry'!K187,'Council Entry'!K$9),'Council Entry'!K$8),'Council Entry'!K187)),IF('Council Entry'!K$4="Exponential",EXP(IF(AND(ISNUMBER('Council Entry'!K$8),ISNUMBER('Council Entry'!K$9)),MAX(MIN('Council Entry'!K187,'Council Entry'!K$9),'Council Entry'!K$8),'Council Entry'!K187)),IF(AND(ISNUMBER('Council Entry'!K$8),ISNUMBER('Council Entry'!K$9)),MAX(MIN('Council Entry'!K187,'Council Entry'!K$9),'Council Entry'!K$8),'Council Entry'!K187))))-'Council Entry'!K$5)/('Council Entry'!K$6-'Council Entry'!K$5)),1))),"No data"))</f>
        <v/>
      </c>
      <c r="L187" s="13">
        <f>IF('Council Entry'!L187="","",IFERROR(MAX(0,MIN(10,ROUND(IF('Council Entry'!L$7="Decrease Risk",10-10*((IF('Council Entry'!L$4="Logarithm",LN(0.001+IF(AND(ISNUMBER('Council Entry'!L$8),ISNUMBER('Council Entry'!L$9)),MAX(MIN('Council Entry'!L187,'Council Entry'!L$9),'Council Entry'!L$8),'Council Entry'!L187)),IF('Council Entry'!L$4="Exponential",EXP(IF(AND(ISNUMBER('Council Entry'!L$8),ISNUMBER('Council Entry'!L$9)),MAX(MIN('Council Entry'!L187,'Council Entry'!L$9),'Council Entry'!L$8),'Council Entry'!L187)),IF(AND(ISNUMBER('Council Entry'!L$8),ISNUMBER('Council Entry'!L$9)),MAX(MIN('Council Entry'!L187,'Council Entry'!L$9),'Council Entry'!L$8),'Council Entry'!L187))))-'Council Entry'!L$5)/('Council Entry'!L$6-'Council Entry'!L$5),10*((IF('Council Entry'!L$4="Logarithm",LN(0.001+IF(AND(ISNUMBER('Council Entry'!L$8),ISNUMBER('Council Entry'!L$9)),MAX(MIN('Council Entry'!L187,'Council Entry'!L$9),'Council Entry'!L$8),'Council Entry'!L187)),IF('Council Entry'!L$4="Exponential",EXP(IF(AND(ISNUMBER('Council Entry'!L$8),ISNUMBER('Council Entry'!L$9)),MAX(MIN('Council Entry'!L187,'Council Entry'!L$9),'Council Entry'!L$8),'Council Entry'!L187)),IF(AND(ISNUMBER('Council Entry'!L$8),ISNUMBER('Council Entry'!L$9)),MAX(MIN('Council Entry'!L187,'Council Entry'!L$9),'Council Entry'!L$8),'Council Entry'!L187))))-'Council Entry'!L$5)/('Council Entry'!L$6-'Council Entry'!L$5)),1))),"No data"))</f>
        <v/>
      </c>
      <c r="M187" s="13">
        <f>IF('Council Entry'!M187="","",IFERROR(MAX(0,MIN(10,ROUND(IF('Council Entry'!M$7="Decrease Risk",10-10*((IF('Council Entry'!M$4="Logarithm",LN(0.001+IF(AND(ISNUMBER('Council Entry'!M$8),ISNUMBER('Council Entry'!M$9)),MAX(MIN('Council Entry'!M187,'Council Entry'!M$9),'Council Entry'!M$8),'Council Entry'!M187)),IF('Council Entry'!M$4="Exponential",EXP(IF(AND(ISNUMBER('Council Entry'!M$8),ISNUMBER('Council Entry'!M$9)),MAX(MIN('Council Entry'!M187,'Council Entry'!M$9),'Council Entry'!M$8),'Council Entry'!M187)),IF(AND(ISNUMBER('Council Entry'!M$8),ISNUMBER('Council Entry'!M$9)),MAX(MIN('Council Entry'!M187,'Council Entry'!M$9),'Council Entry'!M$8),'Council Entry'!M187))))-'Council Entry'!M$5)/('Council Entry'!M$6-'Council Entry'!M$5),10*((IF('Council Entry'!M$4="Logarithm",LN(0.001+IF(AND(ISNUMBER('Council Entry'!M$8),ISNUMBER('Council Entry'!M$9)),MAX(MIN('Council Entry'!M187,'Council Entry'!M$9),'Council Entry'!M$8),'Council Entry'!M187)),IF('Council Entry'!M$4="Exponential",EXP(IF(AND(ISNUMBER('Council Entry'!M$8),ISNUMBER('Council Entry'!M$9)),MAX(MIN('Council Entry'!M187,'Council Entry'!M$9),'Council Entry'!M$8),'Council Entry'!M187)),IF(AND(ISNUMBER('Council Entry'!M$8),ISNUMBER('Council Entry'!M$9)),MAX(MIN('Council Entry'!M187,'Council Entry'!M$9),'Council Entry'!M$8),'Council Entry'!M187))))-'Council Entry'!M$5)/('Council Entry'!M$6-'Council Entry'!M$5)),1))),"No data"))</f>
        <v/>
      </c>
      <c r="N187" s="13">
        <f>IF('Council Entry'!N187="","",IFERROR(MAX(0,MIN(10,ROUND(IF('Council Entry'!N$7="Decrease Risk",10-10*((IF('Council Entry'!N$4="Logarithm",LN(0.001+IF(AND(ISNUMBER('Council Entry'!N$8),ISNUMBER('Council Entry'!N$9)),MAX(MIN('Council Entry'!N187,'Council Entry'!N$9),'Council Entry'!N$8),'Council Entry'!N187)),IF('Council Entry'!N$4="Exponential",EXP(IF(AND(ISNUMBER('Council Entry'!N$8),ISNUMBER('Council Entry'!N$9)),MAX(MIN('Council Entry'!N187,'Council Entry'!N$9),'Council Entry'!N$8),'Council Entry'!N187)),IF(AND(ISNUMBER('Council Entry'!N$8),ISNUMBER('Council Entry'!N$9)),MAX(MIN('Council Entry'!N187,'Council Entry'!N$9),'Council Entry'!N$8),'Council Entry'!N187))))-'Council Entry'!N$5)/('Council Entry'!N$6-'Council Entry'!N$5),10*((IF('Council Entry'!N$4="Logarithm",LN(0.001+IF(AND(ISNUMBER('Council Entry'!N$8),ISNUMBER('Council Entry'!N$9)),MAX(MIN('Council Entry'!N187,'Council Entry'!N$9),'Council Entry'!N$8),'Council Entry'!N187)),IF('Council Entry'!N$4="Exponential",EXP(IF(AND(ISNUMBER('Council Entry'!N$8),ISNUMBER('Council Entry'!N$9)),MAX(MIN('Council Entry'!N187,'Council Entry'!N$9),'Council Entry'!N$8),'Council Entry'!N187)),IF(AND(ISNUMBER('Council Entry'!N$8),ISNUMBER('Council Entry'!N$9)),MAX(MIN('Council Entry'!N187,'Council Entry'!N$9),'Council Entry'!N$8),'Council Entry'!N187))))-'Council Entry'!N$5)/('Council Entry'!N$6-'Council Entry'!N$5)),1))),"No data"))</f>
        <v/>
      </c>
      <c r="O187" s="13">
        <f>IF('Council Entry'!O187="","",IFERROR(MAX(0,MIN(10,ROUND(IF('Council Entry'!O$7="Decrease Risk",10-10*((IF('Council Entry'!O$4="Logarithm",LN(0.001+IF(AND(ISNUMBER('Council Entry'!O$8),ISNUMBER('Council Entry'!O$9)),MAX(MIN('Council Entry'!O187,'Council Entry'!O$9),'Council Entry'!O$8),'Council Entry'!O187)),IF('Council Entry'!O$4="Exponential",EXP(IF(AND(ISNUMBER('Council Entry'!O$8),ISNUMBER('Council Entry'!O$9)),MAX(MIN('Council Entry'!O187,'Council Entry'!O$9),'Council Entry'!O$8),'Council Entry'!O187)),IF(AND(ISNUMBER('Council Entry'!O$8),ISNUMBER('Council Entry'!O$9)),MAX(MIN('Council Entry'!O187,'Council Entry'!O$9),'Council Entry'!O$8),'Council Entry'!O187))))-'Council Entry'!O$5)/('Council Entry'!O$6-'Council Entry'!O$5),10*((IF('Council Entry'!O$4="Logarithm",LN(0.001+IF(AND(ISNUMBER('Council Entry'!O$8),ISNUMBER('Council Entry'!O$9)),MAX(MIN('Council Entry'!O187,'Council Entry'!O$9),'Council Entry'!O$8),'Council Entry'!O187)),IF('Council Entry'!O$4="Exponential",EXP(IF(AND(ISNUMBER('Council Entry'!O$8),ISNUMBER('Council Entry'!O$9)),MAX(MIN('Council Entry'!O187,'Council Entry'!O$9),'Council Entry'!O$8),'Council Entry'!O187)),IF(AND(ISNUMBER('Council Entry'!O$8),ISNUMBER('Council Entry'!O$9)),MAX(MIN('Council Entry'!O187,'Council Entry'!O$9),'Council Entry'!O$8),'Council Entry'!O187))))-'Council Entry'!O$5)/('Council Entry'!O$6-'Council Entry'!O$5)),1))),"No data"))</f>
        <v/>
      </c>
      <c r="P187" s="13">
        <f>IF('Council Entry'!P187="","",IFERROR(MAX(0,MIN(10,ROUND(IF('Council Entry'!P$7="Decrease Risk",10-10*((IF('Council Entry'!P$4="Logarithm",LN(0.001+IF(AND(ISNUMBER('Council Entry'!P$8),ISNUMBER('Council Entry'!P$9)),MAX(MIN('Council Entry'!P187,'Council Entry'!P$9),'Council Entry'!P$8),'Council Entry'!P187)),IF('Council Entry'!P$4="Exponential",EXP(IF(AND(ISNUMBER('Council Entry'!P$8),ISNUMBER('Council Entry'!P$9)),MAX(MIN('Council Entry'!P187,'Council Entry'!P$9),'Council Entry'!P$8),'Council Entry'!P187)),IF(AND(ISNUMBER('Council Entry'!P$8),ISNUMBER('Council Entry'!P$9)),MAX(MIN('Council Entry'!P187,'Council Entry'!P$9),'Council Entry'!P$8),'Council Entry'!P187))))-'Council Entry'!P$5)/('Council Entry'!P$6-'Council Entry'!P$5),10*((IF('Council Entry'!P$4="Logarithm",LN(0.001+IF(AND(ISNUMBER('Council Entry'!P$8),ISNUMBER('Council Entry'!P$9)),MAX(MIN('Council Entry'!P187,'Council Entry'!P$9),'Council Entry'!P$8),'Council Entry'!P187)),IF('Council Entry'!P$4="Exponential",EXP(IF(AND(ISNUMBER('Council Entry'!P$8),ISNUMBER('Council Entry'!P$9)),MAX(MIN('Council Entry'!P187,'Council Entry'!P$9),'Council Entry'!P$8),'Council Entry'!P187)),IF(AND(ISNUMBER('Council Entry'!P$8),ISNUMBER('Council Entry'!P$9)),MAX(MIN('Council Entry'!P187,'Council Entry'!P$9),'Council Entry'!P$8),'Council Entry'!P187))))-'Council Entry'!P$5)/('Council Entry'!P$6-'Council Entry'!P$5)),1))),"No data"))</f>
        <v/>
      </c>
      <c r="Q187" s="13">
        <f>IF('Council Entry'!Q187="","",IFERROR(MAX(0,MIN(10,ROUND(IF('Council Entry'!Q$7="Decrease Risk",10-10*((IF('Council Entry'!Q$4="Logarithm",LN(0.001+IF(AND(ISNUMBER('Council Entry'!Q$8),ISNUMBER('Council Entry'!Q$9)),MAX(MIN('Council Entry'!Q187,'Council Entry'!Q$9),'Council Entry'!Q$8),'Council Entry'!Q187)),IF('Council Entry'!Q$4="Exponential",EXP(IF(AND(ISNUMBER('Council Entry'!Q$8),ISNUMBER('Council Entry'!Q$9)),MAX(MIN('Council Entry'!Q187,'Council Entry'!Q$9),'Council Entry'!Q$8),'Council Entry'!Q187)),IF(AND(ISNUMBER('Council Entry'!Q$8),ISNUMBER('Council Entry'!Q$9)),MAX(MIN('Council Entry'!Q187,'Council Entry'!Q$9),'Council Entry'!Q$8),'Council Entry'!Q187))))-'Council Entry'!Q$5)/('Council Entry'!Q$6-'Council Entry'!Q$5),10*((IF('Council Entry'!Q$4="Logarithm",LN(0.001+IF(AND(ISNUMBER('Council Entry'!Q$8),ISNUMBER('Council Entry'!Q$9)),MAX(MIN('Council Entry'!Q187,'Council Entry'!Q$9),'Council Entry'!Q$8),'Council Entry'!Q187)),IF('Council Entry'!Q$4="Exponential",EXP(IF(AND(ISNUMBER('Council Entry'!Q$8),ISNUMBER('Council Entry'!Q$9)),MAX(MIN('Council Entry'!Q187,'Council Entry'!Q$9),'Council Entry'!Q$8),'Council Entry'!Q187)),IF(AND(ISNUMBER('Council Entry'!Q$8),ISNUMBER('Council Entry'!Q$9)),MAX(MIN('Council Entry'!Q187,'Council Entry'!Q$9),'Council Entry'!Q$8),'Council Entry'!Q187))))-'Council Entry'!Q$5)/('Council Entry'!Q$6-'Council Entry'!Q$5)),1))),"No data"))</f>
        <v/>
      </c>
      <c r="R187" s="13">
        <f>IF('Council Entry'!R187="","",IFERROR(MAX(0,MIN(10,ROUND(IF('Council Entry'!R$7="Decrease Risk",10-10*((IF('Council Entry'!R$4="Logarithm",LN(0.001+IF(AND(ISNUMBER('Council Entry'!R$8),ISNUMBER('Council Entry'!R$9)),MAX(MIN('Council Entry'!R187,'Council Entry'!R$9),'Council Entry'!R$8),'Council Entry'!R187)),IF('Council Entry'!R$4="Exponential",EXP(IF(AND(ISNUMBER('Council Entry'!R$8),ISNUMBER('Council Entry'!R$9)),MAX(MIN('Council Entry'!R187,'Council Entry'!R$9),'Council Entry'!R$8),'Council Entry'!R187)),IF(AND(ISNUMBER('Council Entry'!R$8),ISNUMBER('Council Entry'!R$9)),MAX(MIN('Council Entry'!R187,'Council Entry'!R$9),'Council Entry'!R$8),'Council Entry'!R187))))-'Council Entry'!R$5)/('Council Entry'!R$6-'Council Entry'!R$5),10*((IF('Council Entry'!R$4="Logarithm",LN(0.001+IF(AND(ISNUMBER('Council Entry'!R$8),ISNUMBER('Council Entry'!R$9)),MAX(MIN('Council Entry'!R187,'Council Entry'!R$9),'Council Entry'!R$8),'Council Entry'!R187)),IF('Council Entry'!R$4="Exponential",EXP(IF(AND(ISNUMBER('Council Entry'!R$8),ISNUMBER('Council Entry'!R$9)),MAX(MIN('Council Entry'!R187,'Council Entry'!R$9),'Council Entry'!R$8),'Council Entry'!R187)),IF(AND(ISNUMBER('Council Entry'!R$8),ISNUMBER('Council Entry'!R$9)),MAX(MIN('Council Entry'!R187,'Council Entry'!R$9),'Council Entry'!R$8),'Council Entry'!R187))))-'Council Entry'!R$5)/('Council Entry'!R$6-'Council Entry'!R$5)),1))),"No data"))</f>
        <v/>
      </c>
      <c r="S187" s="13">
        <f>IF('Council Entry'!S187="","",IFERROR(MAX(0,MIN(10,ROUND(IF('Council Entry'!S$7="Decrease Risk",10-10*((IF('Council Entry'!S$4="Logarithm",LN(0.001+IF(AND(ISNUMBER('Council Entry'!S$8),ISNUMBER('Council Entry'!S$9)),MAX(MIN('Council Entry'!S187,'Council Entry'!S$9),'Council Entry'!S$8),'Council Entry'!S187)),IF('Council Entry'!S$4="Exponential",EXP(IF(AND(ISNUMBER('Council Entry'!S$8),ISNUMBER('Council Entry'!S$9)),MAX(MIN('Council Entry'!S187,'Council Entry'!S$9),'Council Entry'!S$8),'Council Entry'!S187)),IF(AND(ISNUMBER('Council Entry'!S$8),ISNUMBER('Council Entry'!S$9)),MAX(MIN('Council Entry'!S187,'Council Entry'!S$9),'Council Entry'!S$8),'Council Entry'!S187))))-'Council Entry'!S$5)/('Council Entry'!S$6-'Council Entry'!S$5),10*((IF('Council Entry'!S$4="Logarithm",LN(0.001+IF(AND(ISNUMBER('Council Entry'!S$8),ISNUMBER('Council Entry'!S$9)),MAX(MIN('Council Entry'!S187,'Council Entry'!S$9),'Council Entry'!S$8),'Council Entry'!S187)),IF('Council Entry'!S$4="Exponential",EXP(IF(AND(ISNUMBER('Council Entry'!S$8),ISNUMBER('Council Entry'!S$9)),MAX(MIN('Council Entry'!S187,'Council Entry'!S$9),'Council Entry'!S$8),'Council Entry'!S187)),IF(AND(ISNUMBER('Council Entry'!S$8),ISNUMBER('Council Entry'!S$9)),MAX(MIN('Council Entry'!S187,'Council Entry'!S$9),'Council Entry'!S$8),'Council Entry'!S187))))-'Council Entry'!S$5)/('Council Entry'!S$6-'Council Entry'!S$5)),1))),"No data"))</f>
        <v/>
      </c>
      <c r="T187" s="13">
        <f>IF('Council Entry'!T187="","",IFERROR(MAX(0,MIN(10,ROUND(IF('Council Entry'!T$7="Decrease Risk",10-10*((IF('Council Entry'!T$4="Logarithm",LN(0.001+IF(AND(ISNUMBER('Council Entry'!T$8),ISNUMBER('Council Entry'!T$9)),MAX(MIN('Council Entry'!T187,'Council Entry'!T$9),'Council Entry'!T$8),'Council Entry'!T187)),IF('Council Entry'!T$4="Exponential",EXP(IF(AND(ISNUMBER('Council Entry'!T$8),ISNUMBER('Council Entry'!T$9)),MAX(MIN('Council Entry'!T187,'Council Entry'!T$9),'Council Entry'!T$8),'Council Entry'!T187)),IF(AND(ISNUMBER('Council Entry'!T$8),ISNUMBER('Council Entry'!T$9)),MAX(MIN('Council Entry'!T187,'Council Entry'!T$9),'Council Entry'!T$8),'Council Entry'!T187))))-'Council Entry'!T$5)/('Council Entry'!T$6-'Council Entry'!T$5),10*((IF('Council Entry'!T$4="Logarithm",LN(0.001+IF(AND(ISNUMBER('Council Entry'!T$8),ISNUMBER('Council Entry'!T$9)),MAX(MIN('Council Entry'!T187,'Council Entry'!T$9),'Council Entry'!T$8),'Council Entry'!T187)),IF('Council Entry'!T$4="Exponential",EXP(IF(AND(ISNUMBER('Council Entry'!T$8),ISNUMBER('Council Entry'!T$9)),MAX(MIN('Council Entry'!T187,'Council Entry'!T$9),'Council Entry'!T$8),'Council Entry'!T187)),IF(AND(ISNUMBER('Council Entry'!T$8),ISNUMBER('Council Entry'!T$9)),MAX(MIN('Council Entry'!T187,'Council Entry'!T$9),'Council Entry'!T$8),'Council Entry'!T187))))-'Council Entry'!T$5)/('Council Entry'!T$6-'Council Entry'!T$5)),1))),"No data"))</f>
        <v/>
      </c>
      <c r="U187" s="13">
        <f>IF('Council Entry'!U187="","",IFERROR(MAX(0,MIN(10,ROUND(IF('Council Entry'!U$7="Decrease Risk",10-10*((IF('Council Entry'!U$4="Logarithm",LN(0.001+IF(AND(ISNUMBER('Council Entry'!U$8),ISNUMBER('Council Entry'!U$9)),MAX(MIN('Council Entry'!U187,'Council Entry'!U$9),'Council Entry'!U$8),'Council Entry'!U187)),IF('Council Entry'!U$4="Exponential",EXP(IF(AND(ISNUMBER('Council Entry'!U$8),ISNUMBER('Council Entry'!U$9)),MAX(MIN('Council Entry'!U187,'Council Entry'!U$9),'Council Entry'!U$8),'Council Entry'!U187)),IF(AND(ISNUMBER('Council Entry'!U$8),ISNUMBER('Council Entry'!U$9)),MAX(MIN('Council Entry'!U187,'Council Entry'!U$9),'Council Entry'!U$8),'Council Entry'!U187))))-'Council Entry'!U$5)/('Council Entry'!U$6-'Council Entry'!U$5),10*((IF('Council Entry'!U$4="Logarithm",LN(0.001+IF(AND(ISNUMBER('Council Entry'!U$8),ISNUMBER('Council Entry'!U$9)),MAX(MIN('Council Entry'!U187,'Council Entry'!U$9),'Council Entry'!U$8),'Council Entry'!U187)),IF('Council Entry'!U$4="Exponential",EXP(IF(AND(ISNUMBER('Council Entry'!U$8),ISNUMBER('Council Entry'!U$9)),MAX(MIN('Council Entry'!U187,'Council Entry'!U$9),'Council Entry'!U$8),'Council Entry'!U187)),IF(AND(ISNUMBER('Council Entry'!U$8),ISNUMBER('Council Entry'!U$9)),MAX(MIN('Council Entry'!U187,'Council Entry'!U$9),'Council Entry'!U$8),'Council Entry'!U187))))-'Council Entry'!U$5)/('Council Entry'!U$6-'Council Entry'!U$5)),1))),"No data"))</f>
        <v/>
      </c>
      <c r="V187" s="13">
        <f>IF('Council Entry'!V187="","",IFERROR(MAX(0,MIN(10,ROUND(IF('Council Entry'!V$7="Decrease Risk",10-10*((IF('Council Entry'!V$4="Logarithm",LN(0.001+IF(AND(ISNUMBER('Council Entry'!V$8),ISNUMBER('Council Entry'!V$9)),MAX(MIN('Council Entry'!V187,'Council Entry'!V$9),'Council Entry'!V$8),'Council Entry'!V187)),IF('Council Entry'!V$4="Exponential",EXP(IF(AND(ISNUMBER('Council Entry'!V$8),ISNUMBER('Council Entry'!V$9)),MAX(MIN('Council Entry'!V187,'Council Entry'!V$9),'Council Entry'!V$8),'Council Entry'!V187)),IF(AND(ISNUMBER('Council Entry'!V$8),ISNUMBER('Council Entry'!V$9)),MAX(MIN('Council Entry'!V187,'Council Entry'!V$9),'Council Entry'!V$8),'Council Entry'!V187))))-'Council Entry'!V$5)/('Council Entry'!V$6-'Council Entry'!V$5),10*((IF('Council Entry'!V$4="Logarithm",LN(0.001+IF(AND(ISNUMBER('Council Entry'!V$8),ISNUMBER('Council Entry'!V$9)),MAX(MIN('Council Entry'!V187,'Council Entry'!V$9),'Council Entry'!V$8),'Council Entry'!V187)),IF('Council Entry'!V$4="Exponential",EXP(IF(AND(ISNUMBER('Council Entry'!V$8),ISNUMBER('Council Entry'!V$9)),MAX(MIN('Council Entry'!V187,'Council Entry'!V$9),'Council Entry'!V$8),'Council Entry'!V187)),IF(AND(ISNUMBER('Council Entry'!V$8),ISNUMBER('Council Entry'!V$9)),MAX(MIN('Council Entry'!V187,'Council Entry'!V$9),'Council Entry'!V$8),'Council Entry'!V187))))-'Council Entry'!V$5)/('Council Entry'!V$6-'Council Entry'!V$5)),1))),"No data"))</f>
        <v/>
      </c>
      <c r="W187" s="13">
        <f>IF('Council Entry'!W187="","",IFERROR(MAX(0,MIN(10,ROUND(IF('Council Entry'!W$7="Decrease Risk",10-10*((IF('Council Entry'!W$4="Logarithm",LN(0.001+IF(AND(ISNUMBER('Council Entry'!W$8),ISNUMBER('Council Entry'!W$9)),MAX(MIN('Council Entry'!W187,'Council Entry'!W$9),'Council Entry'!W$8),'Council Entry'!W187)),IF('Council Entry'!W$4="Exponential",EXP(IF(AND(ISNUMBER('Council Entry'!W$8),ISNUMBER('Council Entry'!W$9)),MAX(MIN('Council Entry'!W187,'Council Entry'!W$9),'Council Entry'!W$8),'Council Entry'!W187)),IF(AND(ISNUMBER('Council Entry'!W$8),ISNUMBER('Council Entry'!W$9)),MAX(MIN('Council Entry'!W187,'Council Entry'!W$9),'Council Entry'!W$8),'Council Entry'!W187))))-'Council Entry'!W$5)/('Council Entry'!W$6-'Council Entry'!W$5),10*((IF('Council Entry'!W$4="Logarithm",LN(0.001+IF(AND(ISNUMBER('Council Entry'!W$8),ISNUMBER('Council Entry'!W$9)),MAX(MIN('Council Entry'!W187,'Council Entry'!W$9),'Council Entry'!W$8),'Council Entry'!W187)),IF('Council Entry'!W$4="Exponential",EXP(IF(AND(ISNUMBER('Council Entry'!W$8),ISNUMBER('Council Entry'!W$9)),MAX(MIN('Council Entry'!W187,'Council Entry'!W$9),'Council Entry'!W$8),'Council Entry'!W187)),IF(AND(ISNUMBER('Council Entry'!W$8),ISNUMBER('Council Entry'!W$9)),MAX(MIN('Council Entry'!W187,'Council Entry'!W$9),'Council Entry'!W$8),'Council Entry'!W187))))-'Council Entry'!W$5)/('Council Entry'!W$6-'Council Entry'!W$5)),1))),"No data"))</f>
        <v/>
      </c>
      <c r="X187" s="13">
        <f>IF('Council Entry'!X187="","",IFERROR(MAX(0,MIN(10,ROUND(IF('Council Entry'!X$7="Decrease Risk",10-10*((IF('Council Entry'!X$4="Logarithm",LN(0.001+IF(AND(ISNUMBER('Council Entry'!X$8),ISNUMBER('Council Entry'!X$9)),MAX(MIN('Council Entry'!X187,'Council Entry'!X$9),'Council Entry'!X$8),'Council Entry'!X187)),IF('Council Entry'!X$4="Exponential",EXP(IF(AND(ISNUMBER('Council Entry'!X$8),ISNUMBER('Council Entry'!X$9)),MAX(MIN('Council Entry'!X187,'Council Entry'!X$9),'Council Entry'!X$8),'Council Entry'!X187)),IF(AND(ISNUMBER('Council Entry'!X$8),ISNUMBER('Council Entry'!X$9)),MAX(MIN('Council Entry'!X187,'Council Entry'!X$9),'Council Entry'!X$8),'Council Entry'!X187))))-'Council Entry'!X$5)/('Council Entry'!X$6-'Council Entry'!X$5),10*((IF('Council Entry'!X$4="Logarithm",LN(0.001+IF(AND(ISNUMBER('Council Entry'!X$8),ISNUMBER('Council Entry'!X$9)),MAX(MIN('Council Entry'!X187,'Council Entry'!X$9),'Council Entry'!X$8),'Council Entry'!X187)),IF('Council Entry'!X$4="Exponential",EXP(IF(AND(ISNUMBER('Council Entry'!X$8),ISNUMBER('Council Entry'!X$9)),MAX(MIN('Council Entry'!X187,'Council Entry'!X$9),'Council Entry'!X$8),'Council Entry'!X187)),IF(AND(ISNUMBER('Council Entry'!X$8),ISNUMBER('Council Entry'!X$9)),MAX(MIN('Council Entry'!X187,'Council Entry'!X$9),'Council Entry'!X$8),'Council Entry'!X187))))-'Council Entry'!X$5)/('Council Entry'!X$6-'Council Entry'!X$5)),1))),"No data"))</f>
        <v/>
      </c>
      <c r="Y187" s="13">
        <f>IF('Council Entry'!Y187="","",IFERROR(MAX(0,MIN(10,ROUND(IF('Council Entry'!Y$7="Decrease Risk",10-10*((IF('Council Entry'!Y$4="Logarithm",LN(0.001+IF(AND(ISNUMBER('Council Entry'!Y$8),ISNUMBER('Council Entry'!Y$9)),MAX(MIN('Council Entry'!Y187,'Council Entry'!Y$9),'Council Entry'!Y$8),'Council Entry'!Y187)),IF('Council Entry'!Y$4="Exponential",EXP(IF(AND(ISNUMBER('Council Entry'!Y$8),ISNUMBER('Council Entry'!Y$9)),MAX(MIN('Council Entry'!Y187,'Council Entry'!Y$9),'Council Entry'!Y$8),'Council Entry'!Y187)),IF(AND(ISNUMBER('Council Entry'!Y$8),ISNUMBER('Council Entry'!Y$9)),MAX(MIN('Council Entry'!Y187,'Council Entry'!Y$9),'Council Entry'!Y$8),'Council Entry'!Y187))))-'Council Entry'!Y$5)/('Council Entry'!Y$6-'Council Entry'!Y$5),10*((IF('Council Entry'!Y$4="Logarithm",LN(0.001+IF(AND(ISNUMBER('Council Entry'!Y$8),ISNUMBER('Council Entry'!Y$9)),MAX(MIN('Council Entry'!Y187,'Council Entry'!Y$9),'Council Entry'!Y$8),'Council Entry'!Y187)),IF('Council Entry'!Y$4="Exponential",EXP(IF(AND(ISNUMBER('Council Entry'!Y$8),ISNUMBER('Council Entry'!Y$9)),MAX(MIN('Council Entry'!Y187,'Council Entry'!Y$9),'Council Entry'!Y$8),'Council Entry'!Y187)),IF(AND(ISNUMBER('Council Entry'!Y$8),ISNUMBER('Council Entry'!Y$9)),MAX(MIN('Council Entry'!Y187,'Council Entry'!Y$9),'Council Entry'!Y$8),'Council Entry'!Y187))))-'Council Entry'!Y$5)/('Council Entry'!Y$6-'Council Entry'!Y$5)),1))),"No data"))</f>
        <v/>
      </c>
      <c r="Z187" s="13">
        <f>IF('Council Entry'!Z187="","",IFERROR(MAX(0,MIN(10,ROUND(IF('Council Entry'!Z$7="Decrease Risk",10-10*((IF('Council Entry'!Z$4="Logarithm",LN(0.001+IF(AND(ISNUMBER('Council Entry'!Z$8),ISNUMBER('Council Entry'!Z$9)),MAX(MIN('Council Entry'!Z187,'Council Entry'!Z$9),'Council Entry'!Z$8),'Council Entry'!Z187)),IF('Council Entry'!Z$4="Exponential",EXP(IF(AND(ISNUMBER('Council Entry'!Z$8),ISNUMBER('Council Entry'!Z$9)),MAX(MIN('Council Entry'!Z187,'Council Entry'!Z$9),'Council Entry'!Z$8),'Council Entry'!Z187)),IF(AND(ISNUMBER('Council Entry'!Z$8),ISNUMBER('Council Entry'!Z$9)),MAX(MIN('Council Entry'!Z187,'Council Entry'!Z$9),'Council Entry'!Z$8),'Council Entry'!Z187))))-'Council Entry'!Z$5)/('Council Entry'!Z$6-'Council Entry'!Z$5),10*((IF('Council Entry'!Z$4="Logarithm",LN(0.001+IF(AND(ISNUMBER('Council Entry'!Z$8),ISNUMBER('Council Entry'!Z$9)),MAX(MIN('Council Entry'!Z187,'Council Entry'!Z$9),'Council Entry'!Z$8),'Council Entry'!Z187)),IF('Council Entry'!Z$4="Exponential",EXP(IF(AND(ISNUMBER('Council Entry'!Z$8),ISNUMBER('Council Entry'!Z$9)),MAX(MIN('Council Entry'!Z187,'Council Entry'!Z$9),'Council Entry'!Z$8),'Council Entry'!Z187)),IF(AND(ISNUMBER('Council Entry'!Z$8),ISNUMBER('Council Entry'!Z$9)),MAX(MIN('Council Entry'!Z187,'Council Entry'!Z$9),'Council Entry'!Z$8),'Council Entry'!Z187))))-'Council Entry'!Z$5)/('Council Entry'!Z$6-'Council Entry'!Z$5)),1))),"No data"))</f>
        <v/>
      </c>
      <c r="AA187" s="13">
        <f>IF('Council Entry'!AA187="","",IFERROR(MAX(0,MIN(10,ROUND(IF('Council Entry'!AA$7="Decrease Risk",10-10*((IF('Council Entry'!AA$4="Logarithm",LN(0.001+IF(AND(ISNUMBER('Council Entry'!AA$8),ISNUMBER('Council Entry'!AA$9)),MAX(MIN('Council Entry'!AA187,'Council Entry'!AA$9),'Council Entry'!AA$8),'Council Entry'!AA187)),IF('Council Entry'!AA$4="Exponential",EXP(IF(AND(ISNUMBER('Council Entry'!AA$8),ISNUMBER('Council Entry'!AA$9)),MAX(MIN('Council Entry'!AA187,'Council Entry'!AA$9),'Council Entry'!AA$8),'Council Entry'!AA187)),IF(AND(ISNUMBER('Council Entry'!AA$8),ISNUMBER('Council Entry'!AA$9)),MAX(MIN('Council Entry'!AA187,'Council Entry'!AA$9),'Council Entry'!AA$8),'Council Entry'!AA187))))-'Council Entry'!AA$5)/('Council Entry'!AA$6-'Council Entry'!AA$5),10*((IF('Council Entry'!AA$4="Logarithm",LN(0.001+IF(AND(ISNUMBER('Council Entry'!AA$8),ISNUMBER('Council Entry'!AA$9)),MAX(MIN('Council Entry'!AA187,'Council Entry'!AA$9),'Council Entry'!AA$8),'Council Entry'!AA187)),IF('Council Entry'!AA$4="Exponential",EXP(IF(AND(ISNUMBER('Council Entry'!AA$8),ISNUMBER('Council Entry'!AA$9)),MAX(MIN('Council Entry'!AA187,'Council Entry'!AA$9),'Council Entry'!AA$8),'Council Entry'!AA187)),IF(AND(ISNUMBER('Council Entry'!AA$8),ISNUMBER('Council Entry'!AA$9)),MAX(MIN('Council Entry'!AA187,'Council Entry'!AA$9),'Council Entry'!AA$8),'Council Entry'!AA187))))-'Council Entry'!AA$5)/('Council Entry'!AA$6-'Council Entry'!AA$5)),1))),"No data"))</f>
        <v/>
      </c>
      <c r="AB187" s="13">
        <f>IF('Council Entry'!AB187="","",IFERROR(MAX(0,MIN(10,ROUND(IF('Council Entry'!AB$7="Decrease Risk",10-10*((IF('Council Entry'!AB$4="Logarithm",LN(0.001+IF(AND(ISNUMBER('Council Entry'!AB$8),ISNUMBER('Council Entry'!AB$9)),MAX(MIN('Council Entry'!AB187,'Council Entry'!AB$9),'Council Entry'!AB$8),'Council Entry'!AB187)),IF('Council Entry'!AB$4="Exponential",EXP(IF(AND(ISNUMBER('Council Entry'!AB$8),ISNUMBER('Council Entry'!AB$9)),MAX(MIN('Council Entry'!AB187,'Council Entry'!AB$9),'Council Entry'!AB$8),'Council Entry'!AB187)),IF(AND(ISNUMBER('Council Entry'!AB$8),ISNUMBER('Council Entry'!AB$9)),MAX(MIN('Council Entry'!AB187,'Council Entry'!AB$9),'Council Entry'!AB$8),'Council Entry'!AB187))))-'Council Entry'!AB$5)/('Council Entry'!AB$6-'Council Entry'!AB$5),10*((IF('Council Entry'!AB$4="Logarithm",LN(0.001+IF(AND(ISNUMBER('Council Entry'!AB$8),ISNUMBER('Council Entry'!AB$9)),MAX(MIN('Council Entry'!AB187,'Council Entry'!AB$9),'Council Entry'!AB$8),'Council Entry'!AB187)),IF('Council Entry'!AB$4="Exponential",EXP(IF(AND(ISNUMBER('Council Entry'!AB$8),ISNUMBER('Council Entry'!AB$9)),MAX(MIN('Council Entry'!AB187,'Council Entry'!AB$9),'Council Entry'!AB$8),'Council Entry'!AB187)),IF(AND(ISNUMBER('Council Entry'!AB$8),ISNUMBER('Council Entry'!AB$9)),MAX(MIN('Council Entry'!AB187,'Council Entry'!AB$9),'Council Entry'!AB$8),'Council Entry'!AB187))))-'Council Entry'!AB$5)/('Council Entry'!AB$6-'Council Entry'!AB$5)),1))),"No data"))</f>
        <v/>
      </c>
      <c r="AC187" s="13">
        <f>IF('Council Entry'!AC187="","",IFERROR(MAX(0,MIN(10,ROUND(IF('Council Entry'!AC$7="Decrease Risk",10-10*((IF('Council Entry'!AC$4="Logarithm",LN(0.001+IF(AND(ISNUMBER('Council Entry'!AC$8),ISNUMBER('Council Entry'!AC$9)),MAX(MIN('Council Entry'!AC187,'Council Entry'!AC$9),'Council Entry'!AC$8),'Council Entry'!AC187)),IF('Council Entry'!AC$4="Exponential",EXP(IF(AND(ISNUMBER('Council Entry'!AC$8),ISNUMBER('Council Entry'!AC$9)),MAX(MIN('Council Entry'!AC187,'Council Entry'!AC$9),'Council Entry'!AC$8),'Council Entry'!AC187)),IF(AND(ISNUMBER('Council Entry'!AC$8),ISNUMBER('Council Entry'!AC$9)),MAX(MIN('Council Entry'!AC187,'Council Entry'!AC$9),'Council Entry'!AC$8),'Council Entry'!AC187))))-'Council Entry'!AC$5)/('Council Entry'!AC$6-'Council Entry'!AC$5),10*((IF('Council Entry'!AC$4="Logarithm",LN(0.001+IF(AND(ISNUMBER('Council Entry'!AC$8),ISNUMBER('Council Entry'!AC$9)),MAX(MIN('Council Entry'!AC187,'Council Entry'!AC$9),'Council Entry'!AC$8),'Council Entry'!AC187)),IF('Council Entry'!AC$4="Exponential",EXP(IF(AND(ISNUMBER('Council Entry'!AC$8),ISNUMBER('Council Entry'!AC$9)),MAX(MIN('Council Entry'!AC187,'Council Entry'!AC$9),'Council Entry'!AC$8),'Council Entry'!AC187)),IF(AND(ISNUMBER('Council Entry'!AC$8),ISNUMBER('Council Entry'!AC$9)),MAX(MIN('Council Entry'!AC187,'Council Entry'!AC$9),'Council Entry'!AC$8),'Council Entry'!AC187))))-'Council Entry'!AC$5)/('Council Entry'!AC$6-'Council Entry'!AC$5)),1))),"No data"))</f>
        <v/>
      </c>
      <c r="AD187" s="13">
        <f>IF('Council Entry'!AD187="","",IFERROR(MAX(0,MIN(10,ROUND(IF('Council Entry'!AD$7="Decrease Risk",10-10*((IF('Council Entry'!AD$4="Logarithm",LN(0.001+IF(AND(ISNUMBER('Council Entry'!AD$8),ISNUMBER('Council Entry'!AD$9)),MAX(MIN('Council Entry'!AD187,'Council Entry'!AD$9),'Council Entry'!AD$8),'Council Entry'!AD187)),IF('Council Entry'!AD$4="Exponential",EXP(IF(AND(ISNUMBER('Council Entry'!AD$8),ISNUMBER('Council Entry'!AD$9)),MAX(MIN('Council Entry'!AD187,'Council Entry'!AD$9),'Council Entry'!AD$8),'Council Entry'!AD187)),IF(AND(ISNUMBER('Council Entry'!AD$8),ISNUMBER('Council Entry'!AD$9)),MAX(MIN('Council Entry'!AD187,'Council Entry'!AD$9),'Council Entry'!AD$8),'Council Entry'!AD187))))-'Council Entry'!AD$5)/('Council Entry'!AD$6-'Council Entry'!AD$5),10*((IF('Council Entry'!AD$4="Logarithm",LN(0.001+IF(AND(ISNUMBER('Council Entry'!AD$8),ISNUMBER('Council Entry'!AD$9)),MAX(MIN('Council Entry'!AD187,'Council Entry'!AD$9),'Council Entry'!AD$8),'Council Entry'!AD187)),IF('Council Entry'!AD$4="Exponential",EXP(IF(AND(ISNUMBER('Council Entry'!AD$8),ISNUMBER('Council Entry'!AD$9)),MAX(MIN('Council Entry'!AD187,'Council Entry'!AD$9),'Council Entry'!AD$8),'Council Entry'!AD187)),IF(AND(ISNUMBER('Council Entry'!AD$8),ISNUMBER('Council Entry'!AD$9)),MAX(MIN('Council Entry'!AD187,'Council Entry'!AD$9),'Council Entry'!AD$8),'Council Entry'!AD187))))-'Council Entry'!AD$5)/('Council Entry'!AD$6-'Council Entry'!AD$5)),1))),"No data"))</f>
        <v/>
      </c>
      <c r="AE187" s="13">
        <f>IF('Council Entry'!AE187="","",IFERROR(MAX(0,MIN(10,ROUND(IF('Council Entry'!AE$7="Decrease Risk",10-10*((IF('Council Entry'!AE$4="Logarithm",LN(0.001+IF(AND(ISNUMBER('Council Entry'!AE$8),ISNUMBER('Council Entry'!AE$9)),MAX(MIN('Council Entry'!AE187,'Council Entry'!AE$9),'Council Entry'!AE$8),'Council Entry'!AE187)),IF('Council Entry'!AE$4="Exponential",EXP(IF(AND(ISNUMBER('Council Entry'!AE$8),ISNUMBER('Council Entry'!AE$9)),MAX(MIN('Council Entry'!AE187,'Council Entry'!AE$9),'Council Entry'!AE$8),'Council Entry'!AE187)),IF(AND(ISNUMBER('Council Entry'!AE$8),ISNUMBER('Council Entry'!AE$9)),MAX(MIN('Council Entry'!AE187,'Council Entry'!AE$9),'Council Entry'!AE$8),'Council Entry'!AE187))))-'Council Entry'!AE$5)/('Council Entry'!AE$6-'Council Entry'!AE$5),10*((IF('Council Entry'!AE$4="Logarithm",LN(0.001+IF(AND(ISNUMBER('Council Entry'!AE$8),ISNUMBER('Council Entry'!AE$9)),MAX(MIN('Council Entry'!AE187,'Council Entry'!AE$9),'Council Entry'!AE$8),'Council Entry'!AE187)),IF('Council Entry'!AE$4="Exponential",EXP(IF(AND(ISNUMBER('Council Entry'!AE$8),ISNUMBER('Council Entry'!AE$9)),MAX(MIN('Council Entry'!AE187,'Council Entry'!AE$9),'Council Entry'!AE$8),'Council Entry'!AE187)),IF(AND(ISNUMBER('Council Entry'!AE$8),ISNUMBER('Council Entry'!AE$9)),MAX(MIN('Council Entry'!AE187,'Council Entry'!AE$9),'Council Entry'!AE$8),'Council Entry'!AE187))))-'Council Entry'!AE$5)/('Council Entry'!AE$6-'Council Entry'!AE$5)),1))),"No data"))</f>
        <v/>
      </c>
      <c r="AF187" s="13">
        <f>IF('Council Entry'!AF187="","",IFERROR(MAX(0,MIN(10,ROUND(IF('Council Entry'!AF$7="Decrease Risk",10-10*((IF('Council Entry'!AF$4="Logarithm",LN(0.001+IF(AND(ISNUMBER('Council Entry'!AF$8),ISNUMBER('Council Entry'!AF$9)),MAX(MIN('Council Entry'!AF187,'Council Entry'!AF$9),'Council Entry'!AF$8),'Council Entry'!AF187)),IF('Council Entry'!AF$4="Exponential",EXP(IF(AND(ISNUMBER('Council Entry'!AF$8),ISNUMBER('Council Entry'!AF$9)),MAX(MIN('Council Entry'!AF187,'Council Entry'!AF$9),'Council Entry'!AF$8),'Council Entry'!AF187)),IF(AND(ISNUMBER('Council Entry'!AF$8),ISNUMBER('Council Entry'!AF$9)),MAX(MIN('Council Entry'!AF187,'Council Entry'!AF$9),'Council Entry'!AF$8),'Council Entry'!AF187))))-'Council Entry'!AF$5)/('Council Entry'!AF$6-'Council Entry'!AF$5),10*((IF('Council Entry'!AF$4="Logarithm",LN(0.001+IF(AND(ISNUMBER('Council Entry'!AF$8),ISNUMBER('Council Entry'!AF$9)),MAX(MIN('Council Entry'!AF187,'Council Entry'!AF$9),'Council Entry'!AF$8),'Council Entry'!AF187)),IF('Council Entry'!AF$4="Exponential",EXP(IF(AND(ISNUMBER('Council Entry'!AF$8),ISNUMBER('Council Entry'!AF$9)),MAX(MIN('Council Entry'!AF187,'Council Entry'!AF$9),'Council Entry'!AF$8),'Council Entry'!AF187)),IF(AND(ISNUMBER('Council Entry'!AF$8),ISNUMBER('Council Entry'!AF$9)),MAX(MIN('Council Entry'!AF187,'Council Entry'!AF$9),'Council Entry'!AF$8),'Council Entry'!AF187))))-'Council Entry'!AF$5)/('Council Entry'!AF$6-'Council Entry'!AF$5)),1))),"No data"))</f>
        <v/>
      </c>
      <c r="AG187" s="13">
        <f>IF('Council Entry'!AG187="","",IFERROR(MAX(0,MIN(10,ROUND(IF('Council Entry'!AG$7="Decrease Risk",10-10*((IF('Council Entry'!AG$4="Logarithm",LN(0.001+IF(AND(ISNUMBER('Council Entry'!AG$8),ISNUMBER('Council Entry'!AG$9)),MAX(MIN('Council Entry'!AG187,'Council Entry'!AG$9),'Council Entry'!AG$8),'Council Entry'!AG187)),IF('Council Entry'!AG$4="Exponential",EXP(IF(AND(ISNUMBER('Council Entry'!AG$8),ISNUMBER('Council Entry'!AG$9)),MAX(MIN('Council Entry'!AG187,'Council Entry'!AG$9),'Council Entry'!AG$8),'Council Entry'!AG187)),IF(AND(ISNUMBER('Council Entry'!AG$8),ISNUMBER('Council Entry'!AG$9)),MAX(MIN('Council Entry'!AG187,'Council Entry'!AG$9),'Council Entry'!AG$8),'Council Entry'!AG187))))-'Council Entry'!AG$5)/('Council Entry'!AG$6-'Council Entry'!AG$5),10*((IF('Council Entry'!AG$4="Logarithm",LN(0.001+IF(AND(ISNUMBER('Council Entry'!AG$8),ISNUMBER('Council Entry'!AG$9)),MAX(MIN('Council Entry'!AG187,'Council Entry'!AG$9),'Council Entry'!AG$8),'Council Entry'!AG187)),IF('Council Entry'!AG$4="Exponential",EXP(IF(AND(ISNUMBER('Council Entry'!AG$8),ISNUMBER('Council Entry'!AG$9)),MAX(MIN('Council Entry'!AG187,'Council Entry'!AG$9),'Council Entry'!AG$8),'Council Entry'!AG187)),IF(AND(ISNUMBER('Council Entry'!AG$8),ISNUMBER('Council Entry'!AG$9)),MAX(MIN('Council Entry'!AG187,'Council Entry'!AG$9),'Council Entry'!AG$8),'Council Entry'!AG187))))-'Council Entry'!AG$5)/('Council Entry'!AG$6-'Council Entry'!AG$5)),1))),"No data"))</f>
        <v/>
      </c>
      <c r="AH187" s="13">
        <f>IF('Council Entry'!AH187="","",IFERROR(MAX(0,MIN(10,ROUND(IF('Council Entry'!AH$7="Decrease Risk",10-10*((IF('Council Entry'!AH$4="Logarithm",LN(0.001+IF(AND(ISNUMBER('Council Entry'!AH$8),ISNUMBER('Council Entry'!AH$9)),MAX(MIN('Council Entry'!AH187,'Council Entry'!AH$9),'Council Entry'!AH$8),'Council Entry'!AH187)),IF('Council Entry'!AH$4="Exponential",EXP(IF(AND(ISNUMBER('Council Entry'!AH$8),ISNUMBER('Council Entry'!AH$9)),MAX(MIN('Council Entry'!AH187,'Council Entry'!AH$9),'Council Entry'!AH$8),'Council Entry'!AH187)),IF(AND(ISNUMBER('Council Entry'!AH$8),ISNUMBER('Council Entry'!AH$9)),MAX(MIN('Council Entry'!AH187,'Council Entry'!AH$9),'Council Entry'!AH$8),'Council Entry'!AH187))))-'Council Entry'!AH$5)/('Council Entry'!AH$6-'Council Entry'!AH$5),10*((IF('Council Entry'!AH$4="Logarithm",LN(0.001+IF(AND(ISNUMBER('Council Entry'!AH$8),ISNUMBER('Council Entry'!AH$9)),MAX(MIN('Council Entry'!AH187,'Council Entry'!AH$9),'Council Entry'!AH$8),'Council Entry'!AH187)),IF('Council Entry'!AH$4="Exponential",EXP(IF(AND(ISNUMBER('Council Entry'!AH$8),ISNUMBER('Council Entry'!AH$9)),MAX(MIN('Council Entry'!AH187,'Council Entry'!AH$9),'Council Entry'!AH$8),'Council Entry'!AH187)),IF(AND(ISNUMBER('Council Entry'!AH$8),ISNUMBER('Council Entry'!AH$9)),MAX(MIN('Council Entry'!AH187,'Council Entry'!AH$9),'Council Entry'!AH$8),'Council Entry'!AH187))))-'Council Entry'!AH$5)/('Council Entry'!AH$6-'Council Entry'!AH$5)),1))),"No data"))</f>
        <v/>
      </c>
      <c r="AI187" s="13">
        <f>IF('Council Entry'!AI187="","",IFERROR(MAX(0,MIN(10,ROUND(IF('Council Entry'!AI$7="Decrease Risk",10-10*((IF('Council Entry'!AI$4="Logarithm",LN(0.001+IF(AND(ISNUMBER('Council Entry'!AI$8),ISNUMBER('Council Entry'!AI$9)),MAX(MIN('Council Entry'!AI187,'Council Entry'!AI$9),'Council Entry'!AI$8),'Council Entry'!AI187)),IF('Council Entry'!AI$4="Exponential",EXP(IF(AND(ISNUMBER('Council Entry'!AI$8),ISNUMBER('Council Entry'!AI$9)),MAX(MIN('Council Entry'!AI187,'Council Entry'!AI$9),'Council Entry'!AI$8),'Council Entry'!AI187)),IF(AND(ISNUMBER('Council Entry'!AI$8),ISNUMBER('Council Entry'!AI$9)),MAX(MIN('Council Entry'!AI187,'Council Entry'!AI$9),'Council Entry'!AI$8),'Council Entry'!AI187))))-'Council Entry'!AI$5)/('Council Entry'!AI$6-'Council Entry'!AI$5),10*((IF('Council Entry'!AI$4="Logarithm",LN(0.001+IF(AND(ISNUMBER('Council Entry'!AI$8),ISNUMBER('Council Entry'!AI$9)),MAX(MIN('Council Entry'!AI187,'Council Entry'!AI$9),'Council Entry'!AI$8),'Council Entry'!AI187)),IF('Council Entry'!AI$4="Exponential",EXP(IF(AND(ISNUMBER('Council Entry'!AI$8),ISNUMBER('Council Entry'!AI$9)),MAX(MIN('Council Entry'!AI187,'Council Entry'!AI$9),'Council Entry'!AI$8),'Council Entry'!AI187)),IF(AND(ISNUMBER('Council Entry'!AI$8),ISNUMBER('Council Entry'!AI$9)),MAX(MIN('Council Entry'!AI187,'Council Entry'!AI$9),'Council Entry'!AI$8),'Council Entry'!AI187))))-'Council Entry'!AI$5)/('Council Entry'!AI$6-'Council Entry'!AI$5)),1))),"No data"))</f>
        <v/>
      </c>
      <c r="AJ187" s="13">
        <f>IF('Council Entry'!AJ187="","",IFERROR(MAX(0,MIN(10,ROUND(IF('Council Entry'!AJ$7="Decrease Risk",10-10*((IF('Council Entry'!AJ$4="Logarithm",LN(0.001+IF(AND(ISNUMBER('Council Entry'!AJ$8),ISNUMBER('Council Entry'!AJ$9)),MAX(MIN('Council Entry'!AJ187,'Council Entry'!AJ$9),'Council Entry'!AJ$8),'Council Entry'!AJ187)),IF('Council Entry'!AJ$4="Exponential",EXP(IF(AND(ISNUMBER('Council Entry'!AJ$8),ISNUMBER('Council Entry'!AJ$9)),MAX(MIN('Council Entry'!AJ187,'Council Entry'!AJ$9),'Council Entry'!AJ$8),'Council Entry'!AJ187)),IF(AND(ISNUMBER('Council Entry'!AJ$8),ISNUMBER('Council Entry'!AJ$9)),MAX(MIN('Council Entry'!AJ187,'Council Entry'!AJ$9),'Council Entry'!AJ$8),'Council Entry'!AJ187))))-'Council Entry'!AJ$5)/('Council Entry'!AJ$6-'Council Entry'!AJ$5),10*((IF('Council Entry'!AJ$4="Logarithm",LN(0.001+IF(AND(ISNUMBER('Council Entry'!AJ$8),ISNUMBER('Council Entry'!AJ$9)),MAX(MIN('Council Entry'!AJ187,'Council Entry'!AJ$9),'Council Entry'!AJ$8),'Council Entry'!AJ187)),IF('Council Entry'!AJ$4="Exponential",EXP(IF(AND(ISNUMBER('Council Entry'!AJ$8),ISNUMBER('Council Entry'!AJ$9)),MAX(MIN('Council Entry'!AJ187,'Council Entry'!AJ$9),'Council Entry'!AJ$8),'Council Entry'!AJ187)),IF(AND(ISNUMBER('Council Entry'!AJ$8),ISNUMBER('Council Entry'!AJ$9)),MAX(MIN('Council Entry'!AJ187,'Council Entry'!AJ$9),'Council Entry'!AJ$8),'Council Entry'!AJ187))))-'Council Entry'!AJ$5)/('Council Entry'!AJ$6-'Council Entry'!AJ$5)),1))),"No data"))</f>
        <v/>
      </c>
      <c r="AK187" s="13">
        <f>IF('Council Entry'!AK187="","",IFERROR(MAX(0,MIN(10,ROUND(IF('Council Entry'!AK$7="Decrease Risk",10-10*((IF('Council Entry'!AK$4="Logarithm",LN(0.001+IF(AND(ISNUMBER('Council Entry'!AK$8),ISNUMBER('Council Entry'!AK$9)),MAX(MIN('Council Entry'!AK187,'Council Entry'!AK$9),'Council Entry'!AK$8),'Council Entry'!AK187)),IF('Council Entry'!AK$4="Exponential",EXP(IF(AND(ISNUMBER('Council Entry'!AK$8),ISNUMBER('Council Entry'!AK$9)),MAX(MIN('Council Entry'!AK187,'Council Entry'!AK$9),'Council Entry'!AK$8),'Council Entry'!AK187)),IF(AND(ISNUMBER('Council Entry'!AK$8),ISNUMBER('Council Entry'!AK$9)),MAX(MIN('Council Entry'!AK187,'Council Entry'!AK$9),'Council Entry'!AK$8),'Council Entry'!AK187))))-'Council Entry'!AK$5)/('Council Entry'!AK$6-'Council Entry'!AK$5),10*((IF('Council Entry'!AK$4="Logarithm",LN(0.001+IF(AND(ISNUMBER('Council Entry'!AK$8),ISNUMBER('Council Entry'!AK$9)),MAX(MIN('Council Entry'!AK187,'Council Entry'!AK$9),'Council Entry'!AK$8),'Council Entry'!AK187)),IF('Council Entry'!AK$4="Exponential",EXP(IF(AND(ISNUMBER('Council Entry'!AK$8),ISNUMBER('Council Entry'!AK$9)),MAX(MIN('Council Entry'!AK187,'Council Entry'!AK$9),'Council Entry'!AK$8),'Council Entry'!AK187)),IF(AND(ISNUMBER('Council Entry'!AK$8),ISNUMBER('Council Entry'!AK$9)),MAX(MIN('Council Entry'!AK187,'Council Entry'!AK$9),'Council Entry'!AK$8),'Council Entry'!AK187))))-'Council Entry'!AK$5)/('Council Entry'!AK$6-'Council Entry'!AK$5)),1))),"No data"))</f>
        <v/>
      </c>
      <c r="AL187" s="13">
        <f>IF('Council Entry'!AL187="","",IFERROR(MAX(0,MIN(10,ROUND(IF('Council Entry'!AL$7="Decrease Risk",10-10*((IF('Council Entry'!AL$4="Logarithm",LN(0.001+IF(AND(ISNUMBER('Council Entry'!AL$8),ISNUMBER('Council Entry'!AL$9)),MAX(MIN('Council Entry'!AL187,'Council Entry'!AL$9),'Council Entry'!AL$8),'Council Entry'!AL187)),IF('Council Entry'!AL$4="Exponential",EXP(IF(AND(ISNUMBER('Council Entry'!AL$8),ISNUMBER('Council Entry'!AL$9)),MAX(MIN('Council Entry'!AL187,'Council Entry'!AL$9),'Council Entry'!AL$8),'Council Entry'!AL187)),IF(AND(ISNUMBER('Council Entry'!AL$8),ISNUMBER('Council Entry'!AL$9)),MAX(MIN('Council Entry'!AL187,'Council Entry'!AL$9),'Council Entry'!AL$8),'Council Entry'!AL187))))-'Council Entry'!AL$5)/('Council Entry'!AL$6-'Council Entry'!AL$5),10*((IF('Council Entry'!AL$4="Logarithm",LN(0.001+IF(AND(ISNUMBER('Council Entry'!AL$8),ISNUMBER('Council Entry'!AL$9)),MAX(MIN('Council Entry'!AL187,'Council Entry'!AL$9),'Council Entry'!AL$8),'Council Entry'!AL187)),IF('Council Entry'!AL$4="Exponential",EXP(IF(AND(ISNUMBER('Council Entry'!AL$8),ISNUMBER('Council Entry'!AL$9)),MAX(MIN('Council Entry'!AL187,'Council Entry'!AL$9),'Council Entry'!AL$8),'Council Entry'!AL187)),IF(AND(ISNUMBER('Council Entry'!AL$8),ISNUMBER('Council Entry'!AL$9)),MAX(MIN('Council Entry'!AL187,'Council Entry'!AL$9),'Council Entry'!AL$8),'Council Entry'!AL187))))-'Council Entry'!AL$5)/('Council Entry'!AL$6-'Council Entry'!AL$5)),1))),"No data"))</f>
        <v/>
      </c>
      <c r="AM187" s="13">
        <f>IF('Council Entry'!AM187="","",IFERROR(MAX(0,MIN(10,ROUND(IF('Council Entry'!AM$7="Decrease Risk",10-10*((IF('Council Entry'!AM$4="Logarithm",LN(0.001+IF(AND(ISNUMBER('Council Entry'!AM$8),ISNUMBER('Council Entry'!AM$9)),MAX(MIN('Council Entry'!AM187,'Council Entry'!AM$9),'Council Entry'!AM$8),'Council Entry'!AM187)),IF('Council Entry'!AM$4="Exponential",EXP(IF(AND(ISNUMBER('Council Entry'!AM$8),ISNUMBER('Council Entry'!AM$9)),MAX(MIN('Council Entry'!AM187,'Council Entry'!AM$9),'Council Entry'!AM$8),'Council Entry'!AM187)),IF(AND(ISNUMBER('Council Entry'!AM$8),ISNUMBER('Council Entry'!AM$9)),MAX(MIN('Council Entry'!AM187,'Council Entry'!AM$9),'Council Entry'!AM$8),'Council Entry'!AM187))))-'Council Entry'!AM$5)/('Council Entry'!AM$6-'Council Entry'!AM$5),10*((IF('Council Entry'!AM$4="Logarithm",LN(0.001+IF(AND(ISNUMBER('Council Entry'!AM$8),ISNUMBER('Council Entry'!AM$9)),MAX(MIN('Council Entry'!AM187,'Council Entry'!AM$9),'Council Entry'!AM$8),'Council Entry'!AM187)),IF('Council Entry'!AM$4="Exponential",EXP(IF(AND(ISNUMBER('Council Entry'!AM$8),ISNUMBER('Council Entry'!AM$9)),MAX(MIN('Council Entry'!AM187,'Council Entry'!AM$9),'Council Entry'!AM$8),'Council Entry'!AM187)),IF(AND(ISNUMBER('Council Entry'!AM$8),ISNUMBER('Council Entry'!AM$9)),MAX(MIN('Council Entry'!AM187,'Council Entry'!AM$9),'Council Entry'!AM$8),'Council Entry'!AM187))))-'Council Entry'!AM$5)/('Council Entry'!AM$6-'Council Entry'!AM$5)),1))),"No data"))</f>
        <v/>
      </c>
      <c r="AN187" s="13">
        <f>IF('Council Entry'!AN187="","",IFERROR(MAX(0,MIN(10,ROUND(IF('Council Entry'!AN$7="Decrease Risk",10-10*((IF('Council Entry'!AN$4="Logarithm",LN(0.001+IF(AND(ISNUMBER('Council Entry'!AN$8),ISNUMBER('Council Entry'!AN$9)),MAX(MIN('Council Entry'!AN187,'Council Entry'!AN$9),'Council Entry'!AN$8),'Council Entry'!AN187)),IF('Council Entry'!AN$4="Exponential",EXP(IF(AND(ISNUMBER('Council Entry'!AN$8),ISNUMBER('Council Entry'!AN$9)),MAX(MIN('Council Entry'!AN187,'Council Entry'!AN$9),'Council Entry'!AN$8),'Council Entry'!AN187)),IF(AND(ISNUMBER('Council Entry'!AN$8),ISNUMBER('Council Entry'!AN$9)),MAX(MIN('Council Entry'!AN187,'Council Entry'!AN$9),'Council Entry'!AN$8),'Council Entry'!AN187))))-'Council Entry'!AN$5)/('Council Entry'!AN$6-'Council Entry'!AN$5),10*((IF('Council Entry'!AN$4="Logarithm",LN(0.001+IF(AND(ISNUMBER('Council Entry'!AN$8),ISNUMBER('Council Entry'!AN$9)),MAX(MIN('Council Entry'!AN187,'Council Entry'!AN$9),'Council Entry'!AN$8),'Council Entry'!AN187)),IF('Council Entry'!AN$4="Exponential",EXP(IF(AND(ISNUMBER('Council Entry'!AN$8),ISNUMBER('Council Entry'!AN$9)),MAX(MIN('Council Entry'!AN187,'Council Entry'!AN$9),'Council Entry'!AN$8),'Council Entry'!AN187)),IF(AND(ISNUMBER('Council Entry'!AN$8),ISNUMBER('Council Entry'!AN$9)),MAX(MIN('Council Entry'!AN187,'Council Entry'!AN$9),'Council Entry'!AN$8),'Council Entry'!AN187))))-'Council Entry'!AN$5)/('Council Entry'!AN$6-'Council Entry'!AN$5)),1))),"No data"))</f>
        <v/>
      </c>
      <c r="AO187" s="13">
        <f>IF('Council Entry'!AO187="","",IFERROR(MAX(0,MIN(10,ROUND(IF('Council Entry'!AO$7="Decrease Risk",10-10*((IF('Council Entry'!AO$4="Logarithm",LN(0.001+IF(AND(ISNUMBER('Council Entry'!AO$8),ISNUMBER('Council Entry'!AO$9)),MAX(MIN('Council Entry'!AO187,'Council Entry'!AO$9),'Council Entry'!AO$8),'Council Entry'!AO187)),IF('Council Entry'!AO$4="Exponential",EXP(IF(AND(ISNUMBER('Council Entry'!AO$8),ISNUMBER('Council Entry'!AO$9)),MAX(MIN('Council Entry'!AO187,'Council Entry'!AO$9),'Council Entry'!AO$8),'Council Entry'!AO187)),IF(AND(ISNUMBER('Council Entry'!AO$8),ISNUMBER('Council Entry'!AO$9)),MAX(MIN('Council Entry'!AO187,'Council Entry'!AO$9),'Council Entry'!AO$8),'Council Entry'!AO187))))-'Council Entry'!AO$5)/('Council Entry'!AO$6-'Council Entry'!AO$5),10*((IF('Council Entry'!AO$4="Logarithm",LN(0.001+IF(AND(ISNUMBER('Council Entry'!AO$8),ISNUMBER('Council Entry'!AO$9)),MAX(MIN('Council Entry'!AO187,'Council Entry'!AO$9),'Council Entry'!AO$8),'Council Entry'!AO187)),IF('Council Entry'!AO$4="Exponential",EXP(IF(AND(ISNUMBER('Council Entry'!AO$8),ISNUMBER('Council Entry'!AO$9)),MAX(MIN('Council Entry'!AO187,'Council Entry'!AO$9),'Council Entry'!AO$8),'Council Entry'!AO187)),IF(AND(ISNUMBER('Council Entry'!AO$8),ISNUMBER('Council Entry'!AO$9)),MAX(MIN('Council Entry'!AO187,'Council Entry'!AO$9),'Council Entry'!AO$8),'Council Entry'!AO187))))-'Council Entry'!AO$5)/('Council Entry'!AO$6-'Council Entry'!AO$5)),1))),"No data"))</f>
        <v/>
      </c>
      <c r="AP187" s="13">
        <f>IF('Council Entry'!AP187="","",IFERROR(MAX(0,MIN(10,ROUND(IF('Council Entry'!AP$7="Decrease Risk",10-10*((IF('Council Entry'!AP$4="Logarithm",LN(0.001+IF(AND(ISNUMBER('Council Entry'!AP$8),ISNUMBER('Council Entry'!AP$9)),MAX(MIN('Council Entry'!AP187,'Council Entry'!AP$9),'Council Entry'!AP$8),'Council Entry'!AP187)),IF('Council Entry'!AP$4="Exponential",EXP(IF(AND(ISNUMBER('Council Entry'!AP$8),ISNUMBER('Council Entry'!AP$9)),MAX(MIN('Council Entry'!AP187,'Council Entry'!AP$9),'Council Entry'!AP$8),'Council Entry'!AP187)),IF(AND(ISNUMBER('Council Entry'!AP$8),ISNUMBER('Council Entry'!AP$9)),MAX(MIN('Council Entry'!AP187,'Council Entry'!AP$9),'Council Entry'!AP$8),'Council Entry'!AP187))))-'Council Entry'!AP$5)/('Council Entry'!AP$6-'Council Entry'!AP$5),10*((IF('Council Entry'!AP$4="Logarithm",LN(0.001+IF(AND(ISNUMBER('Council Entry'!AP$8),ISNUMBER('Council Entry'!AP$9)),MAX(MIN('Council Entry'!AP187,'Council Entry'!AP$9),'Council Entry'!AP$8),'Council Entry'!AP187)),IF('Council Entry'!AP$4="Exponential",EXP(IF(AND(ISNUMBER('Council Entry'!AP$8),ISNUMBER('Council Entry'!AP$9)),MAX(MIN('Council Entry'!AP187,'Council Entry'!AP$9),'Council Entry'!AP$8),'Council Entry'!AP187)),IF(AND(ISNUMBER('Council Entry'!AP$8),ISNUMBER('Council Entry'!AP$9)),MAX(MIN('Council Entry'!AP187,'Council Entry'!AP$9),'Council Entry'!AP$8),'Council Entry'!AP187))))-'Council Entry'!AP$5)/('Council Entry'!AP$6-'Council Entry'!AP$5)),1))),"No data"))</f>
        <v/>
      </c>
      <c r="AQ187" s="13">
        <f>IF('Council Entry'!AQ187="","",IFERROR(MAX(0,MIN(10,ROUND(IF('Council Entry'!AQ$7="Decrease Risk",10-10*((IF('Council Entry'!AQ$4="Logarithm",LN(0.001+IF(AND(ISNUMBER('Council Entry'!AQ$8),ISNUMBER('Council Entry'!AQ$9)),MAX(MIN('Council Entry'!AQ187,'Council Entry'!AQ$9),'Council Entry'!AQ$8),'Council Entry'!AQ187)),IF('Council Entry'!AQ$4="Exponential",EXP(IF(AND(ISNUMBER('Council Entry'!AQ$8),ISNUMBER('Council Entry'!AQ$9)),MAX(MIN('Council Entry'!AQ187,'Council Entry'!AQ$9),'Council Entry'!AQ$8),'Council Entry'!AQ187)),IF(AND(ISNUMBER('Council Entry'!AQ$8),ISNUMBER('Council Entry'!AQ$9)),MAX(MIN('Council Entry'!AQ187,'Council Entry'!AQ$9),'Council Entry'!AQ$8),'Council Entry'!AQ187))))-'Council Entry'!AQ$5)/('Council Entry'!AQ$6-'Council Entry'!AQ$5),10*((IF('Council Entry'!AQ$4="Logarithm",LN(0.001+IF(AND(ISNUMBER('Council Entry'!AQ$8),ISNUMBER('Council Entry'!AQ$9)),MAX(MIN('Council Entry'!AQ187,'Council Entry'!AQ$9),'Council Entry'!AQ$8),'Council Entry'!AQ187)),IF('Council Entry'!AQ$4="Exponential",EXP(IF(AND(ISNUMBER('Council Entry'!AQ$8),ISNUMBER('Council Entry'!AQ$9)),MAX(MIN('Council Entry'!AQ187,'Council Entry'!AQ$9),'Council Entry'!AQ$8),'Council Entry'!AQ187)),IF(AND(ISNUMBER('Council Entry'!AQ$8),ISNUMBER('Council Entry'!AQ$9)),MAX(MIN('Council Entry'!AQ187,'Council Entry'!AQ$9),'Council Entry'!AQ$8),'Council Entry'!AQ187))))-'Council Entry'!AQ$5)/('Council Entry'!AQ$6-'Council Entry'!AQ$5)),1))),"No data"))</f>
        <v/>
      </c>
      <c r="AR187" s="13">
        <f>IF('Council Entry'!AR187="","",IFERROR(MAX(0,MIN(10,ROUND(IF('Council Entry'!AR$7="Decrease Risk",10-10*((IF('Council Entry'!AR$4="Logarithm",LN(0.001+IF(AND(ISNUMBER('Council Entry'!AR$8),ISNUMBER('Council Entry'!AR$9)),MAX(MIN('Council Entry'!AR187,'Council Entry'!AR$9),'Council Entry'!AR$8),'Council Entry'!AR187)),IF('Council Entry'!AR$4="Exponential",EXP(IF(AND(ISNUMBER('Council Entry'!AR$8),ISNUMBER('Council Entry'!AR$9)),MAX(MIN('Council Entry'!AR187,'Council Entry'!AR$9),'Council Entry'!AR$8),'Council Entry'!AR187)),IF(AND(ISNUMBER('Council Entry'!AR$8),ISNUMBER('Council Entry'!AR$9)),MAX(MIN('Council Entry'!AR187,'Council Entry'!AR$9),'Council Entry'!AR$8),'Council Entry'!AR187))))-'Council Entry'!AR$5)/('Council Entry'!AR$6-'Council Entry'!AR$5),10*((IF('Council Entry'!AR$4="Logarithm",LN(0.001+IF(AND(ISNUMBER('Council Entry'!AR$8),ISNUMBER('Council Entry'!AR$9)),MAX(MIN('Council Entry'!AR187,'Council Entry'!AR$9),'Council Entry'!AR$8),'Council Entry'!AR187)),IF('Council Entry'!AR$4="Exponential",EXP(IF(AND(ISNUMBER('Council Entry'!AR$8),ISNUMBER('Council Entry'!AR$9)),MAX(MIN('Council Entry'!AR187,'Council Entry'!AR$9),'Council Entry'!AR$8),'Council Entry'!AR187)),IF(AND(ISNUMBER('Council Entry'!AR$8),ISNUMBER('Council Entry'!AR$9)),MAX(MIN('Council Entry'!AR187,'Council Entry'!AR$9),'Council Entry'!AR$8),'Council Entry'!AR187))))-'Council Entry'!AR$5)/('Council Entry'!AR$6-'Council Entry'!AR$5)),1))),"No data"))</f>
        <v/>
      </c>
      <c r="AS187" s="13">
        <f>IF('Council Entry'!AS187="","",IFERROR(MAX(0,MIN(10,ROUND(IF('Council Entry'!AS$7="Decrease Risk",10-10*((IF('Council Entry'!AS$4="Logarithm",LN(0.001+IF(AND(ISNUMBER('Council Entry'!AS$8),ISNUMBER('Council Entry'!AS$9)),MAX(MIN('Council Entry'!AS187,'Council Entry'!AS$9),'Council Entry'!AS$8),'Council Entry'!AS187)),IF('Council Entry'!AS$4="Exponential",EXP(IF(AND(ISNUMBER('Council Entry'!AS$8),ISNUMBER('Council Entry'!AS$9)),MAX(MIN('Council Entry'!AS187,'Council Entry'!AS$9),'Council Entry'!AS$8),'Council Entry'!AS187)),IF(AND(ISNUMBER('Council Entry'!AS$8),ISNUMBER('Council Entry'!AS$9)),MAX(MIN('Council Entry'!AS187,'Council Entry'!AS$9),'Council Entry'!AS$8),'Council Entry'!AS187))))-'Council Entry'!AS$5)/('Council Entry'!AS$6-'Council Entry'!AS$5),10*((IF('Council Entry'!AS$4="Logarithm",LN(0.001+IF(AND(ISNUMBER('Council Entry'!AS$8),ISNUMBER('Council Entry'!AS$9)),MAX(MIN('Council Entry'!AS187,'Council Entry'!AS$9),'Council Entry'!AS$8),'Council Entry'!AS187)),IF('Council Entry'!AS$4="Exponential",EXP(IF(AND(ISNUMBER('Council Entry'!AS$8),ISNUMBER('Council Entry'!AS$9)),MAX(MIN('Council Entry'!AS187,'Council Entry'!AS$9),'Council Entry'!AS$8),'Council Entry'!AS187)),IF(AND(ISNUMBER('Council Entry'!AS$8),ISNUMBER('Council Entry'!AS$9)),MAX(MIN('Council Entry'!AS187,'Council Entry'!AS$9),'Council Entry'!AS$8),'Council Entry'!AS187))))-'Council Entry'!AS$5)/('Council Entry'!AS$6-'Council Entry'!AS$5)),1))),"No data"))</f>
        <v/>
      </c>
      <c r="AT187" s="13">
        <f>IF('Council Entry'!AT187="","",IFERROR(MAX(0,MIN(10,ROUND(IF('Council Entry'!AT$7="Decrease Risk",10-10*((IF('Council Entry'!AT$4="Logarithm",LN(0.001+IF(AND(ISNUMBER('Council Entry'!AT$8),ISNUMBER('Council Entry'!AT$9)),MAX(MIN('Council Entry'!AT187,'Council Entry'!AT$9),'Council Entry'!AT$8),'Council Entry'!AT187)),IF('Council Entry'!AT$4="Exponential",EXP(IF(AND(ISNUMBER('Council Entry'!AT$8),ISNUMBER('Council Entry'!AT$9)),MAX(MIN('Council Entry'!AT187,'Council Entry'!AT$9),'Council Entry'!AT$8),'Council Entry'!AT187)),IF(AND(ISNUMBER('Council Entry'!AT$8),ISNUMBER('Council Entry'!AT$9)),MAX(MIN('Council Entry'!AT187,'Council Entry'!AT$9),'Council Entry'!AT$8),'Council Entry'!AT187))))-'Council Entry'!AT$5)/('Council Entry'!AT$6-'Council Entry'!AT$5),10*((IF('Council Entry'!AT$4="Logarithm",LN(0.001+IF(AND(ISNUMBER('Council Entry'!AT$8),ISNUMBER('Council Entry'!AT$9)),MAX(MIN('Council Entry'!AT187,'Council Entry'!AT$9),'Council Entry'!AT$8),'Council Entry'!AT187)),IF('Council Entry'!AT$4="Exponential",EXP(IF(AND(ISNUMBER('Council Entry'!AT$8),ISNUMBER('Council Entry'!AT$9)),MAX(MIN('Council Entry'!AT187,'Council Entry'!AT$9),'Council Entry'!AT$8),'Council Entry'!AT187)),IF(AND(ISNUMBER('Council Entry'!AT$8),ISNUMBER('Council Entry'!AT$9)),MAX(MIN('Council Entry'!AT187,'Council Entry'!AT$9),'Council Entry'!AT$8),'Council Entry'!AT187))))-'Council Entry'!AT$5)/('Council Entry'!AT$6-'Council Entry'!AT$5)),1))),"No data"))</f>
        <v/>
      </c>
      <c r="AU187" s="13">
        <f>IF('Council Entry'!AU187="","",IFERROR(MAX(0,MIN(10,ROUND(IF('Council Entry'!AU$7="Decrease Risk",10-10*((IF('Council Entry'!AU$4="Logarithm",LN(0.001+IF(AND(ISNUMBER('Council Entry'!AU$8),ISNUMBER('Council Entry'!AU$9)),MAX(MIN('Council Entry'!AU187,'Council Entry'!AU$9),'Council Entry'!AU$8),'Council Entry'!AU187)),IF('Council Entry'!AU$4="Exponential",EXP(IF(AND(ISNUMBER('Council Entry'!AU$8),ISNUMBER('Council Entry'!AU$9)),MAX(MIN('Council Entry'!AU187,'Council Entry'!AU$9),'Council Entry'!AU$8),'Council Entry'!AU187)),IF(AND(ISNUMBER('Council Entry'!AU$8),ISNUMBER('Council Entry'!AU$9)),MAX(MIN('Council Entry'!AU187,'Council Entry'!AU$9),'Council Entry'!AU$8),'Council Entry'!AU187))))-'Council Entry'!AU$5)/('Council Entry'!AU$6-'Council Entry'!AU$5),10*((IF('Council Entry'!AU$4="Logarithm",LN(0.001+IF(AND(ISNUMBER('Council Entry'!AU$8),ISNUMBER('Council Entry'!AU$9)),MAX(MIN('Council Entry'!AU187,'Council Entry'!AU$9),'Council Entry'!AU$8),'Council Entry'!AU187)),IF('Council Entry'!AU$4="Exponential",EXP(IF(AND(ISNUMBER('Council Entry'!AU$8),ISNUMBER('Council Entry'!AU$9)),MAX(MIN('Council Entry'!AU187,'Council Entry'!AU$9),'Council Entry'!AU$8),'Council Entry'!AU187)),IF(AND(ISNUMBER('Council Entry'!AU$8),ISNUMBER('Council Entry'!AU$9)),MAX(MIN('Council Entry'!AU187,'Council Entry'!AU$9),'Council Entry'!AU$8),'Council Entry'!AU187))))-'Council Entry'!AU$5)/('Council Entry'!AU$6-'Council Entry'!AU$5)),1))),"No data"))</f>
        <v/>
      </c>
      <c r="AV187" s="13">
        <f>IF('Council Entry'!AV187="","",IFERROR(MAX(0,MIN(10,ROUND(IF('Council Entry'!AV$7="Decrease Risk",10-10*((IF('Council Entry'!AV$4="Logarithm",LN(0.001+IF(AND(ISNUMBER('Council Entry'!AV$8),ISNUMBER('Council Entry'!AV$9)),MAX(MIN('Council Entry'!AV187,'Council Entry'!AV$9),'Council Entry'!AV$8),'Council Entry'!AV187)),IF('Council Entry'!AV$4="Exponential",EXP(IF(AND(ISNUMBER('Council Entry'!AV$8),ISNUMBER('Council Entry'!AV$9)),MAX(MIN('Council Entry'!AV187,'Council Entry'!AV$9),'Council Entry'!AV$8),'Council Entry'!AV187)),IF(AND(ISNUMBER('Council Entry'!AV$8),ISNUMBER('Council Entry'!AV$9)),MAX(MIN('Council Entry'!AV187,'Council Entry'!AV$9),'Council Entry'!AV$8),'Council Entry'!AV187))))-'Council Entry'!AV$5)/('Council Entry'!AV$6-'Council Entry'!AV$5),10*((IF('Council Entry'!AV$4="Logarithm",LN(0.001+IF(AND(ISNUMBER('Council Entry'!AV$8),ISNUMBER('Council Entry'!AV$9)),MAX(MIN('Council Entry'!AV187,'Council Entry'!AV$9),'Council Entry'!AV$8),'Council Entry'!AV187)),IF('Council Entry'!AV$4="Exponential",EXP(IF(AND(ISNUMBER('Council Entry'!AV$8),ISNUMBER('Council Entry'!AV$9)),MAX(MIN('Council Entry'!AV187,'Council Entry'!AV$9),'Council Entry'!AV$8),'Council Entry'!AV187)),IF(AND(ISNUMBER('Council Entry'!AV$8),ISNUMBER('Council Entry'!AV$9)),MAX(MIN('Council Entry'!AV187,'Council Entry'!AV$9),'Council Entry'!AV$8),'Council Entry'!AV187))))-'Council Entry'!AV$5)/('Council Entry'!AV$6-'Council Entry'!AV$5)),1))),"No data"))</f>
        <v/>
      </c>
      <c r="AW187" s="13">
        <f>IF('Council Entry'!AW187="","",IFERROR(MAX(0,MIN(10,ROUND(IF('Council Entry'!AW$7="Decrease Risk",10-10*((IF('Council Entry'!AW$4="Logarithm",LN(0.001+IF(AND(ISNUMBER('Council Entry'!AW$8),ISNUMBER('Council Entry'!AW$9)),MAX(MIN('Council Entry'!AW187,'Council Entry'!AW$9),'Council Entry'!AW$8),'Council Entry'!AW187)),IF('Council Entry'!AW$4="Exponential",EXP(IF(AND(ISNUMBER('Council Entry'!AW$8),ISNUMBER('Council Entry'!AW$9)),MAX(MIN('Council Entry'!AW187,'Council Entry'!AW$9),'Council Entry'!AW$8),'Council Entry'!AW187)),IF(AND(ISNUMBER('Council Entry'!AW$8),ISNUMBER('Council Entry'!AW$9)),MAX(MIN('Council Entry'!AW187,'Council Entry'!AW$9),'Council Entry'!AW$8),'Council Entry'!AW187))))-'Council Entry'!AW$5)/('Council Entry'!AW$6-'Council Entry'!AW$5),10*((IF('Council Entry'!AW$4="Logarithm",LN(0.001+IF(AND(ISNUMBER('Council Entry'!AW$8),ISNUMBER('Council Entry'!AW$9)),MAX(MIN('Council Entry'!AW187,'Council Entry'!AW$9),'Council Entry'!AW$8),'Council Entry'!AW187)),IF('Council Entry'!AW$4="Exponential",EXP(IF(AND(ISNUMBER('Council Entry'!AW$8),ISNUMBER('Council Entry'!AW$9)),MAX(MIN('Council Entry'!AW187,'Council Entry'!AW$9),'Council Entry'!AW$8),'Council Entry'!AW187)),IF(AND(ISNUMBER('Council Entry'!AW$8),ISNUMBER('Council Entry'!AW$9)),MAX(MIN('Council Entry'!AW187,'Council Entry'!AW$9),'Council Entry'!AW$8),'Council Entry'!AW187))))-'Council Entry'!AW$5)/('Council Entry'!AW$6-'Council Entry'!AW$5)),1))),"No data"))</f>
        <v/>
      </c>
      <c r="AX187" s="13">
        <f>IF('Council Entry'!AX187="","",IFERROR(MAX(0,MIN(10,ROUND(IF('Council Entry'!AX$7="Decrease Risk",10-10*((IF('Council Entry'!AX$4="Logarithm",LN(0.001+IF(AND(ISNUMBER('Council Entry'!AX$8),ISNUMBER('Council Entry'!AX$9)),MAX(MIN('Council Entry'!AX187,'Council Entry'!AX$9),'Council Entry'!AX$8),'Council Entry'!AX187)),IF('Council Entry'!AX$4="Exponential",EXP(IF(AND(ISNUMBER('Council Entry'!AX$8),ISNUMBER('Council Entry'!AX$9)),MAX(MIN('Council Entry'!AX187,'Council Entry'!AX$9),'Council Entry'!AX$8),'Council Entry'!AX187)),IF(AND(ISNUMBER('Council Entry'!AX$8),ISNUMBER('Council Entry'!AX$9)),MAX(MIN('Council Entry'!AX187,'Council Entry'!AX$9),'Council Entry'!AX$8),'Council Entry'!AX187))))-'Council Entry'!AX$5)/('Council Entry'!AX$6-'Council Entry'!AX$5),10*((IF('Council Entry'!AX$4="Logarithm",LN(0.001+IF(AND(ISNUMBER('Council Entry'!AX$8),ISNUMBER('Council Entry'!AX$9)),MAX(MIN('Council Entry'!AX187,'Council Entry'!AX$9),'Council Entry'!AX$8),'Council Entry'!AX187)),IF('Council Entry'!AX$4="Exponential",EXP(IF(AND(ISNUMBER('Council Entry'!AX$8),ISNUMBER('Council Entry'!AX$9)),MAX(MIN('Council Entry'!AX187,'Council Entry'!AX$9),'Council Entry'!AX$8),'Council Entry'!AX187)),IF(AND(ISNUMBER('Council Entry'!AX$8),ISNUMBER('Council Entry'!AX$9)),MAX(MIN('Council Entry'!AX187,'Council Entry'!AX$9),'Council Entry'!AX$8),'Council Entry'!AX187))))-'Council Entry'!AX$5)/('Council Entry'!AX$6-'Council Entry'!AX$5)),1))),"No data"))</f>
        <v/>
      </c>
      <c r="AY187" s="13">
        <f>IF('Council Entry'!AY187="","",IFERROR(MAX(0,MIN(10,ROUND(IF('Council Entry'!AY$7="Decrease Risk",10-10*((IF('Council Entry'!AY$4="Logarithm",LN(0.001+IF(AND(ISNUMBER('Council Entry'!AY$8),ISNUMBER('Council Entry'!AY$9)),MAX(MIN('Council Entry'!AY187,'Council Entry'!AY$9),'Council Entry'!AY$8),'Council Entry'!AY187)),IF('Council Entry'!AY$4="Exponential",EXP(IF(AND(ISNUMBER('Council Entry'!AY$8),ISNUMBER('Council Entry'!AY$9)),MAX(MIN('Council Entry'!AY187,'Council Entry'!AY$9),'Council Entry'!AY$8),'Council Entry'!AY187)),IF(AND(ISNUMBER('Council Entry'!AY$8),ISNUMBER('Council Entry'!AY$9)),MAX(MIN('Council Entry'!AY187,'Council Entry'!AY$9),'Council Entry'!AY$8),'Council Entry'!AY187))))-'Council Entry'!AY$5)/('Council Entry'!AY$6-'Council Entry'!AY$5),10*((IF('Council Entry'!AY$4="Logarithm",LN(0.001+IF(AND(ISNUMBER('Council Entry'!AY$8),ISNUMBER('Council Entry'!AY$9)),MAX(MIN('Council Entry'!AY187,'Council Entry'!AY$9),'Council Entry'!AY$8),'Council Entry'!AY187)),IF('Council Entry'!AY$4="Exponential",EXP(IF(AND(ISNUMBER('Council Entry'!AY$8),ISNUMBER('Council Entry'!AY$9)),MAX(MIN('Council Entry'!AY187,'Council Entry'!AY$9),'Council Entry'!AY$8),'Council Entry'!AY187)),IF(AND(ISNUMBER('Council Entry'!AY$8),ISNUMBER('Council Entry'!AY$9)),MAX(MIN('Council Entry'!AY187,'Council Entry'!AY$9),'Council Entry'!AY$8),'Council Entry'!AY187))))-'Council Entry'!AY$5)/('Council Entry'!AY$6-'Council Entry'!AY$5)),1))),"No data"))</f>
        <v/>
      </c>
      <c r="AZ187" s="13">
        <f>IF('Council Entry'!AZ187="","",IFERROR(MAX(0,MIN(10,ROUND(IF('Council Entry'!AZ$7="Decrease Risk",10-10*((IF('Council Entry'!AZ$4="Logarithm",LN(0.001+IF(AND(ISNUMBER('Council Entry'!AZ$8),ISNUMBER('Council Entry'!AZ$9)),MAX(MIN('Council Entry'!AZ187,'Council Entry'!AZ$9),'Council Entry'!AZ$8),'Council Entry'!AZ187)),IF('Council Entry'!AZ$4="Exponential",EXP(IF(AND(ISNUMBER('Council Entry'!AZ$8),ISNUMBER('Council Entry'!AZ$9)),MAX(MIN('Council Entry'!AZ187,'Council Entry'!AZ$9),'Council Entry'!AZ$8),'Council Entry'!AZ187)),IF(AND(ISNUMBER('Council Entry'!AZ$8),ISNUMBER('Council Entry'!AZ$9)),MAX(MIN('Council Entry'!AZ187,'Council Entry'!AZ$9),'Council Entry'!AZ$8),'Council Entry'!AZ187))))-'Council Entry'!AZ$5)/('Council Entry'!AZ$6-'Council Entry'!AZ$5),10*((IF('Council Entry'!AZ$4="Logarithm",LN(0.001+IF(AND(ISNUMBER('Council Entry'!AZ$8),ISNUMBER('Council Entry'!AZ$9)),MAX(MIN('Council Entry'!AZ187,'Council Entry'!AZ$9),'Council Entry'!AZ$8),'Council Entry'!AZ187)),IF('Council Entry'!AZ$4="Exponential",EXP(IF(AND(ISNUMBER('Council Entry'!AZ$8),ISNUMBER('Council Entry'!AZ$9)),MAX(MIN('Council Entry'!AZ187,'Council Entry'!AZ$9),'Council Entry'!AZ$8),'Council Entry'!AZ187)),IF(AND(ISNUMBER('Council Entry'!AZ$8),ISNUMBER('Council Entry'!AZ$9)),MAX(MIN('Council Entry'!AZ187,'Council Entry'!AZ$9),'Council Entry'!AZ$8),'Council Entry'!AZ187))))-'Council Entry'!AZ$5)/('Council Entry'!AZ$6-'Council Entry'!AZ$5)),1))),"No data"))</f>
        <v/>
      </c>
      <c r="BA187" s="13">
        <f>IF('Council Entry'!BA187="","",IFERROR(MAX(0,MIN(10,ROUND(IF('Council Entry'!BA$7="Decrease Risk",10-10*((IF('Council Entry'!BA$4="Logarithm",LN(0.001+IF(AND(ISNUMBER('Council Entry'!BA$8),ISNUMBER('Council Entry'!BA$9)),MAX(MIN('Council Entry'!BA187,'Council Entry'!BA$9),'Council Entry'!BA$8),'Council Entry'!BA187)),IF('Council Entry'!BA$4="Exponential",EXP(IF(AND(ISNUMBER('Council Entry'!BA$8),ISNUMBER('Council Entry'!BA$9)),MAX(MIN('Council Entry'!BA187,'Council Entry'!BA$9),'Council Entry'!BA$8),'Council Entry'!BA187)),IF(AND(ISNUMBER('Council Entry'!BA$8),ISNUMBER('Council Entry'!BA$9)),MAX(MIN('Council Entry'!BA187,'Council Entry'!BA$9),'Council Entry'!BA$8),'Council Entry'!BA187))))-'Council Entry'!BA$5)/('Council Entry'!BA$6-'Council Entry'!BA$5),10*((IF('Council Entry'!BA$4="Logarithm",LN(0.001+IF(AND(ISNUMBER('Council Entry'!BA$8),ISNUMBER('Council Entry'!BA$9)),MAX(MIN('Council Entry'!BA187,'Council Entry'!BA$9),'Council Entry'!BA$8),'Council Entry'!BA187)),IF('Council Entry'!BA$4="Exponential",EXP(IF(AND(ISNUMBER('Council Entry'!BA$8),ISNUMBER('Council Entry'!BA$9)),MAX(MIN('Council Entry'!BA187,'Council Entry'!BA$9),'Council Entry'!BA$8),'Council Entry'!BA187)),IF(AND(ISNUMBER('Council Entry'!BA$8),ISNUMBER('Council Entry'!BA$9)),MAX(MIN('Council Entry'!BA187,'Council Entry'!BA$9),'Council Entry'!BA$8),'Council Entry'!BA187))))-'Council Entry'!BA$5)/('Council Entry'!BA$6-'Council Entry'!BA$5)),1))),"No data"))</f>
        <v/>
      </c>
      <c r="BB187" s="13">
        <f>IF('Council Entry'!BB187="","",IFERROR(MAX(0,MIN(10,ROUND(IF('Council Entry'!BB$7="Decrease Risk",10-10*((IF('Council Entry'!BB$4="Logarithm",LN(0.001+IF(AND(ISNUMBER('Council Entry'!BB$8),ISNUMBER('Council Entry'!BB$9)),MAX(MIN('Council Entry'!BB187,'Council Entry'!BB$9),'Council Entry'!BB$8),'Council Entry'!BB187)),IF('Council Entry'!BB$4="Exponential",EXP(IF(AND(ISNUMBER('Council Entry'!BB$8),ISNUMBER('Council Entry'!BB$9)),MAX(MIN('Council Entry'!BB187,'Council Entry'!BB$9),'Council Entry'!BB$8),'Council Entry'!BB187)),IF(AND(ISNUMBER('Council Entry'!BB$8),ISNUMBER('Council Entry'!BB$9)),MAX(MIN('Council Entry'!BB187,'Council Entry'!BB$9),'Council Entry'!BB$8),'Council Entry'!BB187))))-'Council Entry'!BB$5)/('Council Entry'!BB$6-'Council Entry'!BB$5),10*((IF('Council Entry'!BB$4="Logarithm",LN(0.001+IF(AND(ISNUMBER('Council Entry'!BB$8),ISNUMBER('Council Entry'!BB$9)),MAX(MIN('Council Entry'!BB187,'Council Entry'!BB$9),'Council Entry'!BB$8),'Council Entry'!BB187)),IF('Council Entry'!BB$4="Exponential",EXP(IF(AND(ISNUMBER('Council Entry'!BB$8),ISNUMBER('Council Entry'!BB$9)),MAX(MIN('Council Entry'!BB187,'Council Entry'!BB$9),'Council Entry'!BB$8),'Council Entry'!BB187)),IF(AND(ISNUMBER('Council Entry'!BB$8),ISNUMBER('Council Entry'!BB$9)),MAX(MIN('Council Entry'!BB187,'Council Entry'!BB$9),'Council Entry'!BB$8),'Council Entry'!BB187))))-'Council Entry'!BB$5)/('Council Entry'!BB$6-'Council Entry'!BB$5)),1))),"No data"))</f>
        <v/>
      </c>
      <c r="BC187" s="13">
        <f>IF('Council Entry'!BC187="","",IFERROR(MAX(0,MIN(10,ROUND(IF('Council Entry'!BC$7="Decrease Risk",10-10*((IF('Council Entry'!BC$4="Logarithm",LN(0.001+IF(AND(ISNUMBER('Council Entry'!BC$8),ISNUMBER('Council Entry'!BC$9)),MAX(MIN('Council Entry'!BC187,'Council Entry'!BC$9),'Council Entry'!BC$8),'Council Entry'!BC187)),IF('Council Entry'!BC$4="Exponential",EXP(IF(AND(ISNUMBER('Council Entry'!BC$8),ISNUMBER('Council Entry'!BC$9)),MAX(MIN('Council Entry'!BC187,'Council Entry'!BC$9),'Council Entry'!BC$8),'Council Entry'!BC187)),IF(AND(ISNUMBER('Council Entry'!BC$8),ISNUMBER('Council Entry'!BC$9)),MAX(MIN('Council Entry'!BC187,'Council Entry'!BC$9),'Council Entry'!BC$8),'Council Entry'!BC187))))-'Council Entry'!BC$5)/('Council Entry'!BC$6-'Council Entry'!BC$5),10*((IF('Council Entry'!BC$4="Logarithm",LN(0.001+IF(AND(ISNUMBER('Council Entry'!BC$8),ISNUMBER('Council Entry'!BC$9)),MAX(MIN('Council Entry'!BC187,'Council Entry'!BC$9),'Council Entry'!BC$8),'Council Entry'!BC187)),IF('Council Entry'!BC$4="Exponential",EXP(IF(AND(ISNUMBER('Council Entry'!BC$8),ISNUMBER('Council Entry'!BC$9)),MAX(MIN('Council Entry'!BC187,'Council Entry'!BC$9),'Council Entry'!BC$8),'Council Entry'!BC187)),IF(AND(ISNUMBER('Council Entry'!BC$8),ISNUMBER('Council Entry'!BC$9)),MAX(MIN('Council Entry'!BC187,'Council Entry'!BC$9),'Council Entry'!BC$8),'Council Entry'!BC187))))-'Council Entry'!BC$5)/('Council Entry'!BC$6-'Council Entry'!BC$5)),1))),"No data"))</f>
        <v/>
      </c>
      <c r="BD187" s="13">
        <f>IF('Council Entry'!BD187="","",IFERROR(MAX(0,MIN(10,ROUND(IF('Council Entry'!BD$7="Decrease Risk",10-10*((IF('Council Entry'!BD$4="Logarithm",LN(0.001+IF(AND(ISNUMBER('Council Entry'!BD$8),ISNUMBER('Council Entry'!BD$9)),MAX(MIN('Council Entry'!BD187,'Council Entry'!BD$9),'Council Entry'!BD$8),'Council Entry'!BD187)),IF('Council Entry'!BD$4="Exponential",EXP(IF(AND(ISNUMBER('Council Entry'!BD$8),ISNUMBER('Council Entry'!BD$9)),MAX(MIN('Council Entry'!BD187,'Council Entry'!BD$9),'Council Entry'!BD$8),'Council Entry'!BD187)),IF(AND(ISNUMBER('Council Entry'!BD$8),ISNUMBER('Council Entry'!BD$9)),MAX(MIN('Council Entry'!BD187,'Council Entry'!BD$9),'Council Entry'!BD$8),'Council Entry'!BD187))))-'Council Entry'!BD$5)/('Council Entry'!BD$6-'Council Entry'!BD$5),10*((IF('Council Entry'!BD$4="Logarithm",LN(0.001+IF(AND(ISNUMBER('Council Entry'!BD$8),ISNUMBER('Council Entry'!BD$9)),MAX(MIN('Council Entry'!BD187,'Council Entry'!BD$9),'Council Entry'!BD$8),'Council Entry'!BD187)),IF('Council Entry'!BD$4="Exponential",EXP(IF(AND(ISNUMBER('Council Entry'!BD$8),ISNUMBER('Council Entry'!BD$9)),MAX(MIN('Council Entry'!BD187,'Council Entry'!BD$9),'Council Entry'!BD$8),'Council Entry'!BD187)),IF(AND(ISNUMBER('Council Entry'!BD$8),ISNUMBER('Council Entry'!BD$9)),MAX(MIN('Council Entry'!BD187,'Council Entry'!BD$9),'Council Entry'!BD$8),'Council Entry'!BD187))))-'Council Entry'!BD$5)/('Council Entry'!BD$6-'Council Entry'!BD$5)),1))),"No data"))</f>
        <v/>
      </c>
    </row>
    <row r="188">
      <c r="A188" t="inlineStr">
        <is>
          <t>Tabora</t>
        </is>
      </c>
      <c r="B188" t="inlineStr">
        <is>
          <t>Kaliua District</t>
        </is>
      </c>
      <c r="C188" t="inlineStr">
        <is>
          <t>C106</t>
        </is>
      </c>
      <c r="D188" s="13">
        <f>IF('Council Entry'!D188="","",IFERROR(MAX(0,MIN(10,ROUND(IF('Council Entry'!D$7="Decrease Risk",10-10*((IF('Council Entry'!D$4="Logarithm",LN(0.001+IF(AND(ISNUMBER('Council Entry'!D$8),ISNUMBER('Council Entry'!D$9)),MAX(MIN('Council Entry'!D188,'Council Entry'!D$9),'Council Entry'!D$8),'Council Entry'!D188)),IF('Council Entry'!D$4="Exponential",EXP(IF(AND(ISNUMBER('Council Entry'!D$8),ISNUMBER('Council Entry'!D$9)),MAX(MIN('Council Entry'!D188,'Council Entry'!D$9),'Council Entry'!D$8),'Council Entry'!D188)),IF(AND(ISNUMBER('Council Entry'!D$8),ISNUMBER('Council Entry'!D$9)),MAX(MIN('Council Entry'!D188,'Council Entry'!D$9),'Council Entry'!D$8),'Council Entry'!D188))))-'Council Entry'!D$5)/('Council Entry'!D$6-'Council Entry'!D$5),10*((IF('Council Entry'!D$4="Logarithm",LN(0.001+IF(AND(ISNUMBER('Council Entry'!D$8),ISNUMBER('Council Entry'!D$9)),MAX(MIN('Council Entry'!D188,'Council Entry'!D$9),'Council Entry'!D$8),'Council Entry'!D188)),IF('Council Entry'!D$4="Exponential",EXP(IF(AND(ISNUMBER('Council Entry'!D$8),ISNUMBER('Council Entry'!D$9)),MAX(MIN('Council Entry'!D188,'Council Entry'!D$9),'Council Entry'!D$8),'Council Entry'!D188)),IF(AND(ISNUMBER('Council Entry'!D$8),ISNUMBER('Council Entry'!D$9)),MAX(MIN('Council Entry'!D188,'Council Entry'!D$9),'Council Entry'!D$8),'Council Entry'!D188))))-'Council Entry'!D$5)/('Council Entry'!D$6-'Council Entry'!D$5)),1))),"No data"))</f>
        <v/>
      </c>
      <c r="E188" s="13">
        <f>IF('Council Entry'!E188="","",IFERROR(MAX(0,MIN(10,ROUND(IF('Council Entry'!E$7="Decrease Risk",10-10*((IF('Council Entry'!E$4="Logarithm",LN(0.001+IF(AND(ISNUMBER('Council Entry'!E$8),ISNUMBER('Council Entry'!E$9)),MAX(MIN('Council Entry'!E188,'Council Entry'!E$9),'Council Entry'!E$8),'Council Entry'!E188)),IF('Council Entry'!E$4="Exponential",EXP(IF(AND(ISNUMBER('Council Entry'!E$8),ISNUMBER('Council Entry'!E$9)),MAX(MIN('Council Entry'!E188,'Council Entry'!E$9),'Council Entry'!E$8),'Council Entry'!E188)),IF(AND(ISNUMBER('Council Entry'!E$8),ISNUMBER('Council Entry'!E$9)),MAX(MIN('Council Entry'!E188,'Council Entry'!E$9),'Council Entry'!E$8),'Council Entry'!E188))))-'Council Entry'!E$5)/('Council Entry'!E$6-'Council Entry'!E$5),10*((IF('Council Entry'!E$4="Logarithm",LN(0.001+IF(AND(ISNUMBER('Council Entry'!E$8),ISNUMBER('Council Entry'!E$9)),MAX(MIN('Council Entry'!E188,'Council Entry'!E$9),'Council Entry'!E$8),'Council Entry'!E188)),IF('Council Entry'!E$4="Exponential",EXP(IF(AND(ISNUMBER('Council Entry'!E$8),ISNUMBER('Council Entry'!E$9)),MAX(MIN('Council Entry'!E188,'Council Entry'!E$9),'Council Entry'!E$8),'Council Entry'!E188)),IF(AND(ISNUMBER('Council Entry'!E$8),ISNUMBER('Council Entry'!E$9)),MAX(MIN('Council Entry'!E188,'Council Entry'!E$9),'Council Entry'!E$8),'Council Entry'!E188))))-'Council Entry'!E$5)/('Council Entry'!E$6-'Council Entry'!E$5)),1))),"No data"))</f>
        <v/>
      </c>
      <c r="F188" s="13">
        <f>IF('Council Entry'!F188="","",IFERROR(MAX(0,MIN(10,ROUND(IF('Council Entry'!F$7="Decrease Risk",10-10*((IF('Council Entry'!F$4="Logarithm",LN(0.001+IF(AND(ISNUMBER('Council Entry'!F$8),ISNUMBER('Council Entry'!F$9)),MAX(MIN('Council Entry'!F188,'Council Entry'!F$9),'Council Entry'!F$8),'Council Entry'!F188)),IF('Council Entry'!F$4="Exponential",EXP(IF(AND(ISNUMBER('Council Entry'!F$8),ISNUMBER('Council Entry'!F$9)),MAX(MIN('Council Entry'!F188,'Council Entry'!F$9),'Council Entry'!F$8),'Council Entry'!F188)),IF(AND(ISNUMBER('Council Entry'!F$8),ISNUMBER('Council Entry'!F$9)),MAX(MIN('Council Entry'!F188,'Council Entry'!F$9),'Council Entry'!F$8),'Council Entry'!F188))))-'Council Entry'!F$5)/('Council Entry'!F$6-'Council Entry'!F$5),10*((IF('Council Entry'!F$4="Logarithm",LN(0.001+IF(AND(ISNUMBER('Council Entry'!F$8),ISNUMBER('Council Entry'!F$9)),MAX(MIN('Council Entry'!F188,'Council Entry'!F$9),'Council Entry'!F$8),'Council Entry'!F188)),IF('Council Entry'!F$4="Exponential",EXP(IF(AND(ISNUMBER('Council Entry'!F$8),ISNUMBER('Council Entry'!F$9)),MAX(MIN('Council Entry'!F188,'Council Entry'!F$9),'Council Entry'!F$8),'Council Entry'!F188)),IF(AND(ISNUMBER('Council Entry'!F$8),ISNUMBER('Council Entry'!F$9)),MAX(MIN('Council Entry'!F188,'Council Entry'!F$9),'Council Entry'!F$8),'Council Entry'!F188))))-'Council Entry'!F$5)/('Council Entry'!F$6-'Council Entry'!F$5)),1))),"No data"))</f>
        <v/>
      </c>
      <c r="G188" s="13">
        <f>IF('Council Entry'!G188="","",IFERROR(MAX(0,MIN(10,ROUND(IF('Council Entry'!G$7="Decrease Risk",10-10*((IF('Council Entry'!G$4="Logarithm",LN(0.001+IF(AND(ISNUMBER('Council Entry'!G$8),ISNUMBER('Council Entry'!G$9)),MAX(MIN('Council Entry'!G188,'Council Entry'!G$9),'Council Entry'!G$8),'Council Entry'!G188)),IF('Council Entry'!G$4="Exponential",EXP(IF(AND(ISNUMBER('Council Entry'!G$8),ISNUMBER('Council Entry'!G$9)),MAX(MIN('Council Entry'!G188,'Council Entry'!G$9),'Council Entry'!G$8),'Council Entry'!G188)),IF(AND(ISNUMBER('Council Entry'!G$8),ISNUMBER('Council Entry'!G$9)),MAX(MIN('Council Entry'!G188,'Council Entry'!G$9),'Council Entry'!G$8),'Council Entry'!G188))))-'Council Entry'!G$5)/('Council Entry'!G$6-'Council Entry'!G$5),10*((IF('Council Entry'!G$4="Logarithm",LN(0.001+IF(AND(ISNUMBER('Council Entry'!G$8),ISNUMBER('Council Entry'!G$9)),MAX(MIN('Council Entry'!G188,'Council Entry'!G$9),'Council Entry'!G$8),'Council Entry'!G188)),IF('Council Entry'!G$4="Exponential",EXP(IF(AND(ISNUMBER('Council Entry'!G$8),ISNUMBER('Council Entry'!G$9)),MAX(MIN('Council Entry'!G188,'Council Entry'!G$9),'Council Entry'!G$8),'Council Entry'!G188)),IF(AND(ISNUMBER('Council Entry'!G$8),ISNUMBER('Council Entry'!G$9)),MAX(MIN('Council Entry'!G188,'Council Entry'!G$9),'Council Entry'!G$8),'Council Entry'!G188))))-'Council Entry'!G$5)/('Council Entry'!G$6-'Council Entry'!G$5)),1))),"No data"))</f>
        <v/>
      </c>
      <c r="H188" s="13">
        <f>IF('Council Entry'!H188="","",IFERROR(MAX(0,MIN(10,ROUND(IF('Council Entry'!H$7="Decrease Risk",10-10*((IF('Council Entry'!H$4="Logarithm",LN(0.001+IF(AND(ISNUMBER('Council Entry'!H$8),ISNUMBER('Council Entry'!H$9)),MAX(MIN('Council Entry'!H188,'Council Entry'!H$9),'Council Entry'!H$8),'Council Entry'!H188)),IF('Council Entry'!H$4="Exponential",EXP(IF(AND(ISNUMBER('Council Entry'!H$8),ISNUMBER('Council Entry'!H$9)),MAX(MIN('Council Entry'!H188,'Council Entry'!H$9),'Council Entry'!H$8),'Council Entry'!H188)),IF(AND(ISNUMBER('Council Entry'!H$8),ISNUMBER('Council Entry'!H$9)),MAX(MIN('Council Entry'!H188,'Council Entry'!H$9),'Council Entry'!H$8),'Council Entry'!H188))))-'Council Entry'!H$5)/('Council Entry'!H$6-'Council Entry'!H$5),10*((IF('Council Entry'!H$4="Logarithm",LN(0.001+IF(AND(ISNUMBER('Council Entry'!H$8),ISNUMBER('Council Entry'!H$9)),MAX(MIN('Council Entry'!H188,'Council Entry'!H$9),'Council Entry'!H$8),'Council Entry'!H188)),IF('Council Entry'!H$4="Exponential",EXP(IF(AND(ISNUMBER('Council Entry'!H$8),ISNUMBER('Council Entry'!H$9)),MAX(MIN('Council Entry'!H188,'Council Entry'!H$9),'Council Entry'!H$8),'Council Entry'!H188)),IF(AND(ISNUMBER('Council Entry'!H$8),ISNUMBER('Council Entry'!H$9)),MAX(MIN('Council Entry'!H188,'Council Entry'!H$9),'Council Entry'!H$8),'Council Entry'!H188))))-'Council Entry'!H$5)/('Council Entry'!H$6-'Council Entry'!H$5)),1))),"No data"))</f>
        <v/>
      </c>
      <c r="I188" s="13">
        <f>IF('Council Entry'!I188="","",IFERROR(MAX(0,MIN(10,ROUND(IF('Council Entry'!I$7="Decrease Risk",10-10*((IF('Council Entry'!I$4="Logarithm",LN(0.001+IF(AND(ISNUMBER('Council Entry'!I$8),ISNUMBER('Council Entry'!I$9)),MAX(MIN('Council Entry'!I188,'Council Entry'!I$9),'Council Entry'!I$8),'Council Entry'!I188)),IF('Council Entry'!I$4="Exponential",EXP(IF(AND(ISNUMBER('Council Entry'!I$8),ISNUMBER('Council Entry'!I$9)),MAX(MIN('Council Entry'!I188,'Council Entry'!I$9),'Council Entry'!I$8),'Council Entry'!I188)),IF(AND(ISNUMBER('Council Entry'!I$8),ISNUMBER('Council Entry'!I$9)),MAX(MIN('Council Entry'!I188,'Council Entry'!I$9),'Council Entry'!I$8),'Council Entry'!I188))))-'Council Entry'!I$5)/('Council Entry'!I$6-'Council Entry'!I$5),10*((IF('Council Entry'!I$4="Logarithm",LN(0.001+IF(AND(ISNUMBER('Council Entry'!I$8),ISNUMBER('Council Entry'!I$9)),MAX(MIN('Council Entry'!I188,'Council Entry'!I$9),'Council Entry'!I$8),'Council Entry'!I188)),IF('Council Entry'!I$4="Exponential",EXP(IF(AND(ISNUMBER('Council Entry'!I$8),ISNUMBER('Council Entry'!I$9)),MAX(MIN('Council Entry'!I188,'Council Entry'!I$9),'Council Entry'!I$8),'Council Entry'!I188)),IF(AND(ISNUMBER('Council Entry'!I$8),ISNUMBER('Council Entry'!I$9)),MAX(MIN('Council Entry'!I188,'Council Entry'!I$9),'Council Entry'!I$8),'Council Entry'!I188))))-'Council Entry'!I$5)/('Council Entry'!I$6-'Council Entry'!I$5)),1))),"No data"))</f>
        <v/>
      </c>
      <c r="J188" s="13">
        <f>IF('Council Entry'!J188="","",IFERROR(MAX(0,MIN(10,ROUND(IF('Council Entry'!J$7="Decrease Risk",10-10*((IF('Council Entry'!J$4="Logarithm",LN(0.001+IF(AND(ISNUMBER('Council Entry'!J$8),ISNUMBER('Council Entry'!J$9)),MAX(MIN('Council Entry'!J188,'Council Entry'!J$9),'Council Entry'!J$8),'Council Entry'!J188)),IF('Council Entry'!J$4="Exponential",EXP(IF(AND(ISNUMBER('Council Entry'!J$8),ISNUMBER('Council Entry'!J$9)),MAX(MIN('Council Entry'!J188,'Council Entry'!J$9),'Council Entry'!J$8),'Council Entry'!J188)),IF(AND(ISNUMBER('Council Entry'!J$8),ISNUMBER('Council Entry'!J$9)),MAX(MIN('Council Entry'!J188,'Council Entry'!J$9),'Council Entry'!J$8),'Council Entry'!J188))))-'Council Entry'!J$5)/('Council Entry'!J$6-'Council Entry'!J$5),10*((IF('Council Entry'!J$4="Logarithm",LN(0.001+IF(AND(ISNUMBER('Council Entry'!J$8),ISNUMBER('Council Entry'!J$9)),MAX(MIN('Council Entry'!J188,'Council Entry'!J$9),'Council Entry'!J$8),'Council Entry'!J188)),IF('Council Entry'!J$4="Exponential",EXP(IF(AND(ISNUMBER('Council Entry'!J$8),ISNUMBER('Council Entry'!J$9)),MAX(MIN('Council Entry'!J188,'Council Entry'!J$9),'Council Entry'!J$8),'Council Entry'!J188)),IF(AND(ISNUMBER('Council Entry'!J$8),ISNUMBER('Council Entry'!J$9)),MAX(MIN('Council Entry'!J188,'Council Entry'!J$9),'Council Entry'!J$8),'Council Entry'!J188))))-'Council Entry'!J$5)/('Council Entry'!J$6-'Council Entry'!J$5)),1))),"No data"))</f>
        <v/>
      </c>
      <c r="K188" s="13">
        <f>IF('Council Entry'!K188="","",IFERROR(MAX(0,MIN(10,ROUND(IF('Council Entry'!K$7="Decrease Risk",10-10*((IF('Council Entry'!K$4="Logarithm",LN(0.001+IF(AND(ISNUMBER('Council Entry'!K$8),ISNUMBER('Council Entry'!K$9)),MAX(MIN('Council Entry'!K188,'Council Entry'!K$9),'Council Entry'!K$8),'Council Entry'!K188)),IF('Council Entry'!K$4="Exponential",EXP(IF(AND(ISNUMBER('Council Entry'!K$8),ISNUMBER('Council Entry'!K$9)),MAX(MIN('Council Entry'!K188,'Council Entry'!K$9),'Council Entry'!K$8),'Council Entry'!K188)),IF(AND(ISNUMBER('Council Entry'!K$8),ISNUMBER('Council Entry'!K$9)),MAX(MIN('Council Entry'!K188,'Council Entry'!K$9),'Council Entry'!K$8),'Council Entry'!K188))))-'Council Entry'!K$5)/('Council Entry'!K$6-'Council Entry'!K$5),10*((IF('Council Entry'!K$4="Logarithm",LN(0.001+IF(AND(ISNUMBER('Council Entry'!K$8),ISNUMBER('Council Entry'!K$9)),MAX(MIN('Council Entry'!K188,'Council Entry'!K$9),'Council Entry'!K$8),'Council Entry'!K188)),IF('Council Entry'!K$4="Exponential",EXP(IF(AND(ISNUMBER('Council Entry'!K$8),ISNUMBER('Council Entry'!K$9)),MAX(MIN('Council Entry'!K188,'Council Entry'!K$9),'Council Entry'!K$8),'Council Entry'!K188)),IF(AND(ISNUMBER('Council Entry'!K$8),ISNUMBER('Council Entry'!K$9)),MAX(MIN('Council Entry'!K188,'Council Entry'!K$9),'Council Entry'!K$8),'Council Entry'!K188))))-'Council Entry'!K$5)/('Council Entry'!K$6-'Council Entry'!K$5)),1))),"No data"))</f>
        <v/>
      </c>
      <c r="L188" s="13">
        <f>IF('Council Entry'!L188="","",IFERROR(MAX(0,MIN(10,ROUND(IF('Council Entry'!L$7="Decrease Risk",10-10*((IF('Council Entry'!L$4="Logarithm",LN(0.001+IF(AND(ISNUMBER('Council Entry'!L$8),ISNUMBER('Council Entry'!L$9)),MAX(MIN('Council Entry'!L188,'Council Entry'!L$9),'Council Entry'!L$8),'Council Entry'!L188)),IF('Council Entry'!L$4="Exponential",EXP(IF(AND(ISNUMBER('Council Entry'!L$8),ISNUMBER('Council Entry'!L$9)),MAX(MIN('Council Entry'!L188,'Council Entry'!L$9),'Council Entry'!L$8),'Council Entry'!L188)),IF(AND(ISNUMBER('Council Entry'!L$8),ISNUMBER('Council Entry'!L$9)),MAX(MIN('Council Entry'!L188,'Council Entry'!L$9),'Council Entry'!L$8),'Council Entry'!L188))))-'Council Entry'!L$5)/('Council Entry'!L$6-'Council Entry'!L$5),10*((IF('Council Entry'!L$4="Logarithm",LN(0.001+IF(AND(ISNUMBER('Council Entry'!L$8),ISNUMBER('Council Entry'!L$9)),MAX(MIN('Council Entry'!L188,'Council Entry'!L$9),'Council Entry'!L$8),'Council Entry'!L188)),IF('Council Entry'!L$4="Exponential",EXP(IF(AND(ISNUMBER('Council Entry'!L$8),ISNUMBER('Council Entry'!L$9)),MAX(MIN('Council Entry'!L188,'Council Entry'!L$9),'Council Entry'!L$8),'Council Entry'!L188)),IF(AND(ISNUMBER('Council Entry'!L$8),ISNUMBER('Council Entry'!L$9)),MAX(MIN('Council Entry'!L188,'Council Entry'!L$9),'Council Entry'!L$8),'Council Entry'!L188))))-'Council Entry'!L$5)/('Council Entry'!L$6-'Council Entry'!L$5)),1))),"No data"))</f>
        <v/>
      </c>
      <c r="M188" s="13">
        <f>IF('Council Entry'!M188="","",IFERROR(MAX(0,MIN(10,ROUND(IF('Council Entry'!M$7="Decrease Risk",10-10*((IF('Council Entry'!M$4="Logarithm",LN(0.001+IF(AND(ISNUMBER('Council Entry'!M$8),ISNUMBER('Council Entry'!M$9)),MAX(MIN('Council Entry'!M188,'Council Entry'!M$9),'Council Entry'!M$8),'Council Entry'!M188)),IF('Council Entry'!M$4="Exponential",EXP(IF(AND(ISNUMBER('Council Entry'!M$8),ISNUMBER('Council Entry'!M$9)),MAX(MIN('Council Entry'!M188,'Council Entry'!M$9),'Council Entry'!M$8),'Council Entry'!M188)),IF(AND(ISNUMBER('Council Entry'!M$8),ISNUMBER('Council Entry'!M$9)),MAX(MIN('Council Entry'!M188,'Council Entry'!M$9),'Council Entry'!M$8),'Council Entry'!M188))))-'Council Entry'!M$5)/('Council Entry'!M$6-'Council Entry'!M$5),10*((IF('Council Entry'!M$4="Logarithm",LN(0.001+IF(AND(ISNUMBER('Council Entry'!M$8),ISNUMBER('Council Entry'!M$9)),MAX(MIN('Council Entry'!M188,'Council Entry'!M$9),'Council Entry'!M$8),'Council Entry'!M188)),IF('Council Entry'!M$4="Exponential",EXP(IF(AND(ISNUMBER('Council Entry'!M$8),ISNUMBER('Council Entry'!M$9)),MAX(MIN('Council Entry'!M188,'Council Entry'!M$9),'Council Entry'!M$8),'Council Entry'!M188)),IF(AND(ISNUMBER('Council Entry'!M$8),ISNUMBER('Council Entry'!M$9)),MAX(MIN('Council Entry'!M188,'Council Entry'!M$9),'Council Entry'!M$8),'Council Entry'!M188))))-'Council Entry'!M$5)/('Council Entry'!M$6-'Council Entry'!M$5)),1))),"No data"))</f>
        <v/>
      </c>
      <c r="N188" s="13">
        <f>IF('Council Entry'!N188="","",IFERROR(MAX(0,MIN(10,ROUND(IF('Council Entry'!N$7="Decrease Risk",10-10*((IF('Council Entry'!N$4="Logarithm",LN(0.001+IF(AND(ISNUMBER('Council Entry'!N$8),ISNUMBER('Council Entry'!N$9)),MAX(MIN('Council Entry'!N188,'Council Entry'!N$9),'Council Entry'!N$8),'Council Entry'!N188)),IF('Council Entry'!N$4="Exponential",EXP(IF(AND(ISNUMBER('Council Entry'!N$8),ISNUMBER('Council Entry'!N$9)),MAX(MIN('Council Entry'!N188,'Council Entry'!N$9),'Council Entry'!N$8),'Council Entry'!N188)),IF(AND(ISNUMBER('Council Entry'!N$8),ISNUMBER('Council Entry'!N$9)),MAX(MIN('Council Entry'!N188,'Council Entry'!N$9),'Council Entry'!N$8),'Council Entry'!N188))))-'Council Entry'!N$5)/('Council Entry'!N$6-'Council Entry'!N$5),10*((IF('Council Entry'!N$4="Logarithm",LN(0.001+IF(AND(ISNUMBER('Council Entry'!N$8),ISNUMBER('Council Entry'!N$9)),MAX(MIN('Council Entry'!N188,'Council Entry'!N$9),'Council Entry'!N$8),'Council Entry'!N188)),IF('Council Entry'!N$4="Exponential",EXP(IF(AND(ISNUMBER('Council Entry'!N$8),ISNUMBER('Council Entry'!N$9)),MAX(MIN('Council Entry'!N188,'Council Entry'!N$9),'Council Entry'!N$8),'Council Entry'!N188)),IF(AND(ISNUMBER('Council Entry'!N$8),ISNUMBER('Council Entry'!N$9)),MAX(MIN('Council Entry'!N188,'Council Entry'!N$9),'Council Entry'!N$8),'Council Entry'!N188))))-'Council Entry'!N$5)/('Council Entry'!N$6-'Council Entry'!N$5)),1))),"No data"))</f>
        <v/>
      </c>
      <c r="O188" s="13">
        <f>IF('Council Entry'!O188="","",IFERROR(MAX(0,MIN(10,ROUND(IF('Council Entry'!O$7="Decrease Risk",10-10*((IF('Council Entry'!O$4="Logarithm",LN(0.001+IF(AND(ISNUMBER('Council Entry'!O$8),ISNUMBER('Council Entry'!O$9)),MAX(MIN('Council Entry'!O188,'Council Entry'!O$9),'Council Entry'!O$8),'Council Entry'!O188)),IF('Council Entry'!O$4="Exponential",EXP(IF(AND(ISNUMBER('Council Entry'!O$8),ISNUMBER('Council Entry'!O$9)),MAX(MIN('Council Entry'!O188,'Council Entry'!O$9),'Council Entry'!O$8),'Council Entry'!O188)),IF(AND(ISNUMBER('Council Entry'!O$8),ISNUMBER('Council Entry'!O$9)),MAX(MIN('Council Entry'!O188,'Council Entry'!O$9),'Council Entry'!O$8),'Council Entry'!O188))))-'Council Entry'!O$5)/('Council Entry'!O$6-'Council Entry'!O$5),10*((IF('Council Entry'!O$4="Logarithm",LN(0.001+IF(AND(ISNUMBER('Council Entry'!O$8),ISNUMBER('Council Entry'!O$9)),MAX(MIN('Council Entry'!O188,'Council Entry'!O$9),'Council Entry'!O$8),'Council Entry'!O188)),IF('Council Entry'!O$4="Exponential",EXP(IF(AND(ISNUMBER('Council Entry'!O$8),ISNUMBER('Council Entry'!O$9)),MAX(MIN('Council Entry'!O188,'Council Entry'!O$9),'Council Entry'!O$8),'Council Entry'!O188)),IF(AND(ISNUMBER('Council Entry'!O$8),ISNUMBER('Council Entry'!O$9)),MAX(MIN('Council Entry'!O188,'Council Entry'!O$9),'Council Entry'!O$8),'Council Entry'!O188))))-'Council Entry'!O$5)/('Council Entry'!O$6-'Council Entry'!O$5)),1))),"No data"))</f>
        <v/>
      </c>
      <c r="P188" s="13">
        <f>IF('Council Entry'!P188="","",IFERROR(MAX(0,MIN(10,ROUND(IF('Council Entry'!P$7="Decrease Risk",10-10*((IF('Council Entry'!P$4="Logarithm",LN(0.001+IF(AND(ISNUMBER('Council Entry'!P$8),ISNUMBER('Council Entry'!P$9)),MAX(MIN('Council Entry'!P188,'Council Entry'!P$9),'Council Entry'!P$8),'Council Entry'!P188)),IF('Council Entry'!P$4="Exponential",EXP(IF(AND(ISNUMBER('Council Entry'!P$8),ISNUMBER('Council Entry'!P$9)),MAX(MIN('Council Entry'!P188,'Council Entry'!P$9),'Council Entry'!P$8),'Council Entry'!P188)),IF(AND(ISNUMBER('Council Entry'!P$8),ISNUMBER('Council Entry'!P$9)),MAX(MIN('Council Entry'!P188,'Council Entry'!P$9),'Council Entry'!P$8),'Council Entry'!P188))))-'Council Entry'!P$5)/('Council Entry'!P$6-'Council Entry'!P$5),10*((IF('Council Entry'!P$4="Logarithm",LN(0.001+IF(AND(ISNUMBER('Council Entry'!P$8),ISNUMBER('Council Entry'!P$9)),MAX(MIN('Council Entry'!P188,'Council Entry'!P$9),'Council Entry'!P$8),'Council Entry'!P188)),IF('Council Entry'!P$4="Exponential",EXP(IF(AND(ISNUMBER('Council Entry'!P$8),ISNUMBER('Council Entry'!P$9)),MAX(MIN('Council Entry'!P188,'Council Entry'!P$9),'Council Entry'!P$8),'Council Entry'!P188)),IF(AND(ISNUMBER('Council Entry'!P$8),ISNUMBER('Council Entry'!P$9)),MAX(MIN('Council Entry'!P188,'Council Entry'!P$9),'Council Entry'!P$8),'Council Entry'!P188))))-'Council Entry'!P$5)/('Council Entry'!P$6-'Council Entry'!P$5)),1))),"No data"))</f>
        <v/>
      </c>
      <c r="Q188" s="13">
        <f>IF('Council Entry'!Q188="","",IFERROR(MAX(0,MIN(10,ROUND(IF('Council Entry'!Q$7="Decrease Risk",10-10*((IF('Council Entry'!Q$4="Logarithm",LN(0.001+IF(AND(ISNUMBER('Council Entry'!Q$8),ISNUMBER('Council Entry'!Q$9)),MAX(MIN('Council Entry'!Q188,'Council Entry'!Q$9),'Council Entry'!Q$8),'Council Entry'!Q188)),IF('Council Entry'!Q$4="Exponential",EXP(IF(AND(ISNUMBER('Council Entry'!Q$8),ISNUMBER('Council Entry'!Q$9)),MAX(MIN('Council Entry'!Q188,'Council Entry'!Q$9),'Council Entry'!Q$8),'Council Entry'!Q188)),IF(AND(ISNUMBER('Council Entry'!Q$8),ISNUMBER('Council Entry'!Q$9)),MAX(MIN('Council Entry'!Q188,'Council Entry'!Q$9),'Council Entry'!Q$8),'Council Entry'!Q188))))-'Council Entry'!Q$5)/('Council Entry'!Q$6-'Council Entry'!Q$5),10*((IF('Council Entry'!Q$4="Logarithm",LN(0.001+IF(AND(ISNUMBER('Council Entry'!Q$8),ISNUMBER('Council Entry'!Q$9)),MAX(MIN('Council Entry'!Q188,'Council Entry'!Q$9),'Council Entry'!Q$8),'Council Entry'!Q188)),IF('Council Entry'!Q$4="Exponential",EXP(IF(AND(ISNUMBER('Council Entry'!Q$8),ISNUMBER('Council Entry'!Q$9)),MAX(MIN('Council Entry'!Q188,'Council Entry'!Q$9),'Council Entry'!Q$8),'Council Entry'!Q188)),IF(AND(ISNUMBER('Council Entry'!Q$8),ISNUMBER('Council Entry'!Q$9)),MAX(MIN('Council Entry'!Q188,'Council Entry'!Q$9),'Council Entry'!Q$8),'Council Entry'!Q188))))-'Council Entry'!Q$5)/('Council Entry'!Q$6-'Council Entry'!Q$5)),1))),"No data"))</f>
        <v/>
      </c>
      <c r="R188" s="13">
        <f>IF('Council Entry'!R188="","",IFERROR(MAX(0,MIN(10,ROUND(IF('Council Entry'!R$7="Decrease Risk",10-10*((IF('Council Entry'!R$4="Logarithm",LN(0.001+IF(AND(ISNUMBER('Council Entry'!R$8),ISNUMBER('Council Entry'!R$9)),MAX(MIN('Council Entry'!R188,'Council Entry'!R$9),'Council Entry'!R$8),'Council Entry'!R188)),IF('Council Entry'!R$4="Exponential",EXP(IF(AND(ISNUMBER('Council Entry'!R$8),ISNUMBER('Council Entry'!R$9)),MAX(MIN('Council Entry'!R188,'Council Entry'!R$9),'Council Entry'!R$8),'Council Entry'!R188)),IF(AND(ISNUMBER('Council Entry'!R$8),ISNUMBER('Council Entry'!R$9)),MAX(MIN('Council Entry'!R188,'Council Entry'!R$9),'Council Entry'!R$8),'Council Entry'!R188))))-'Council Entry'!R$5)/('Council Entry'!R$6-'Council Entry'!R$5),10*((IF('Council Entry'!R$4="Logarithm",LN(0.001+IF(AND(ISNUMBER('Council Entry'!R$8),ISNUMBER('Council Entry'!R$9)),MAX(MIN('Council Entry'!R188,'Council Entry'!R$9),'Council Entry'!R$8),'Council Entry'!R188)),IF('Council Entry'!R$4="Exponential",EXP(IF(AND(ISNUMBER('Council Entry'!R$8),ISNUMBER('Council Entry'!R$9)),MAX(MIN('Council Entry'!R188,'Council Entry'!R$9),'Council Entry'!R$8),'Council Entry'!R188)),IF(AND(ISNUMBER('Council Entry'!R$8),ISNUMBER('Council Entry'!R$9)),MAX(MIN('Council Entry'!R188,'Council Entry'!R$9),'Council Entry'!R$8),'Council Entry'!R188))))-'Council Entry'!R$5)/('Council Entry'!R$6-'Council Entry'!R$5)),1))),"No data"))</f>
        <v/>
      </c>
      <c r="S188" s="13">
        <f>IF('Council Entry'!S188="","",IFERROR(MAX(0,MIN(10,ROUND(IF('Council Entry'!S$7="Decrease Risk",10-10*((IF('Council Entry'!S$4="Logarithm",LN(0.001+IF(AND(ISNUMBER('Council Entry'!S$8),ISNUMBER('Council Entry'!S$9)),MAX(MIN('Council Entry'!S188,'Council Entry'!S$9),'Council Entry'!S$8),'Council Entry'!S188)),IF('Council Entry'!S$4="Exponential",EXP(IF(AND(ISNUMBER('Council Entry'!S$8),ISNUMBER('Council Entry'!S$9)),MAX(MIN('Council Entry'!S188,'Council Entry'!S$9),'Council Entry'!S$8),'Council Entry'!S188)),IF(AND(ISNUMBER('Council Entry'!S$8),ISNUMBER('Council Entry'!S$9)),MAX(MIN('Council Entry'!S188,'Council Entry'!S$9),'Council Entry'!S$8),'Council Entry'!S188))))-'Council Entry'!S$5)/('Council Entry'!S$6-'Council Entry'!S$5),10*((IF('Council Entry'!S$4="Logarithm",LN(0.001+IF(AND(ISNUMBER('Council Entry'!S$8),ISNUMBER('Council Entry'!S$9)),MAX(MIN('Council Entry'!S188,'Council Entry'!S$9),'Council Entry'!S$8),'Council Entry'!S188)),IF('Council Entry'!S$4="Exponential",EXP(IF(AND(ISNUMBER('Council Entry'!S$8),ISNUMBER('Council Entry'!S$9)),MAX(MIN('Council Entry'!S188,'Council Entry'!S$9),'Council Entry'!S$8),'Council Entry'!S188)),IF(AND(ISNUMBER('Council Entry'!S$8),ISNUMBER('Council Entry'!S$9)),MAX(MIN('Council Entry'!S188,'Council Entry'!S$9),'Council Entry'!S$8),'Council Entry'!S188))))-'Council Entry'!S$5)/('Council Entry'!S$6-'Council Entry'!S$5)),1))),"No data"))</f>
        <v/>
      </c>
      <c r="T188" s="13">
        <f>IF('Council Entry'!T188="","",IFERROR(MAX(0,MIN(10,ROUND(IF('Council Entry'!T$7="Decrease Risk",10-10*((IF('Council Entry'!T$4="Logarithm",LN(0.001+IF(AND(ISNUMBER('Council Entry'!T$8),ISNUMBER('Council Entry'!T$9)),MAX(MIN('Council Entry'!T188,'Council Entry'!T$9),'Council Entry'!T$8),'Council Entry'!T188)),IF('Council Entry'!T$4="Exponential",EXP(IF(AND(ISNUMBER('Council Entry'!T$8),ISNUMBER('Council Entry'!T$9)),MAX(MIN('Council Entry'!T188,'Council Entry'!T$9),'Council Entry'!T$8),'Council Entry'!T188)),IF(AND(ISNUMBER('Council Entry'!T$8),ISNUMBER('Council Entry'!T$9)),MAX(MIN('Council Entry'!T188,'Council Entry'!T$9),'Council Entry'!T$8),'Council Entry'!T188))))-'Council Entry'!T$5)/('Council Entry'!T$6-'Council Entry'!T$5),10*((IF('Council Entry'!T$4="Logarithm",LN(0.001+IF(AND(ISNUMBER('Council Entry'!T$8),ISNUMBER('Council Entry'!T$9)),MAX(MIN('Council Entry'!T188,'Council Entry'!T$9),'Council Entry'!T$8),'Council Entry'!T188)),IF('Council Entry'!T$4="Exponential",EXP(IF(AND(ISNUMBER('Council Entry'!T$8),ISNUMBER('Council Entry'!T$9)),MAX(MIN('Council Entry'!T188,'Council Entry'!T$9),'Council Entry'!T$8),'Council Entry'!T188)),IF(AND(ISNUMBER('Council Entry'!T$8),ISNUMBER('Council Entry'!T$9)),MAX(MIN('Council Entry'!T188,'Council Entry'!T$9),'Council Entry'!T$8),'Council Entry'!T188))))-'Council Entry'!T$5)/('Council Entry'!T$6-'Council Entry'!T$5)),1))),"No data"))</f>
        <v/>
      </c>
      <c r="U188" s="13">
        <f>IF('Council Entry'!U188="","",IFERROR(MAX(0,MIN(10,ROUND(IF('Council Entry'!U$7="Decrease Risk",10-10*((IF('Council Entry'!U$4="Logarithm",LN(0.001+IF(AND(ISNUMBER('Council Entry'!U$8),ISNUMBER('Council Entry'!U$9)),MAX(MIN('Council Entry'!U188,'Council Entry'!U$9),'Council Entry'!U$8),'Council Entry'!U188)),IF('Council Entry'!U$4="Exponential",EXP(IF(AND(ISNUMBER('Council Entry'!U$8),ISNUMBER('Council Entry'!U$9)),MAX(MIN('Council Entry'!U188,'Council Entry'!U$9),'Council Entry'!U$8),'Council Entry'!U188)),IF(AND(ISNUMBER('Council Entry'!U$8),ISNUMBER('Council Entry'!U$9)),MAX(MIN('Council Entry'!U188,'Council Entry'!U$9),'Council Entry'!U$8),'Council Entry'!U188))))-'Council Entry'!U$5)/('Council Entry'!U$6-'Council Entry'!U$5),10*((IF('Council Entry'!U$4="Logarithm",LN(0.001+IF(AND(ISNUMBER('Council Entry'!U$8),ISNUMBER('Council Entry'!U$9)),MAX(MIN('Council Entry'!U188,'Council Entry'!U$9),'Council Entry'!U$8),'Council Entry'!U188)),IF('Council Entry'!U$4="Exponential",EXP(IF(AND(ISNUMBER('Council Entry'!U$8),ISNUMBER('Council Entry'!U$9)),MAX(MIN('Council Entry'!U188,'Council Entry'!U$9),'Council Entry'!U$8),'Council Entry'!U188)),IF(AND(ISNUMBER('Council Entry'!U$8),ISNUMBER('Council Entry'!U$9)),MAX(MIN('Council Entry'!U188,'Council Entry'!U$9),'Council Entry'!U$8),'Council Entry'!U188))))-'Council Entry'!U$5)/('Council Entry'!U$6-'Council Entry'!U$5)),1))),"No data"))</f>
        <v/>
      </c>
      <c r="V188" s="13">
        <f>IF('Council Entry'!V188="","",IFERROR(MAX(0,MIN(10,ROUND(IF('Council Entry'!V$7="Decrease Risk",10-10*((IF('Council Entry'!V$4="Logarithm",LN(0.001+IF(AND(ISNUMBER('Council Entry'!V$8),ISNUMBER('Council Entry'!V$9)),MAX(MIN('Council Entry'!V188,'Council Entry'!V$9),'Council Entry'!V$8),'Council Entry'!V188)),IF('Council Entry'!V$4="Exponential",EXP(IF(AND(ISNUMBER('Council Entry'!V$8),ISNUMBER('Council Entry'!V$9)),MAX(MIN('Council Entry'!V188,'Council Entry'!V$9),'Council Entry'!V$8),'Council Entry'!V188)),IF(AND(ISNUMBER('Council Entry'!V$8),ISNUMBER('Council Entry'!V$9)),MAX(MIN('Council Entry'!V188,'Council Entry'!V$9),'Council Entry'!V$8),'Council Entry'!V188))))-'Council Entry'!V$5)/('Council Entry'!V$6-'Council Entry'!V$5),10*((IF('Council Entry'!V$4="Logarithm",LN(0.001+IF(AND(ISNUMBER('Council Entry'!V$8),ISNUMBER('Council Entry'!V$9)),MAX(MIN('Council Entry'!V188,'Council Entry'!V$9),'Council Entry'!V$8),'Council Entry'!V188)),IF('Council Entry'!V$4="Exponential",EXP(IF(AND(ISNUMBER('Council Entry'!V$8),ISNUMBER('Council Entry'!V$9)),MAX(MIN('Council Entry'!V188,'Council Entry'!V$9),'Council Entry'!V$8),'Council Entry'!V188)),IF(AND(ISNUMBER('Council Entry'!V$8),ISNUMBER('Council Entry'!V$9)),MAX(MIN('Council Entry'!V188,'Council Entry'!V$9),'Council Entry'!V$8),'Council Entry'!V188))))-'Council Entry'!V$5)/('Council Entry'!V$6-'Council Entry'!V$5)),1))),"No data"))</f>
        <v/>
      </c>
      <c r="W188" s="13">
        <f>IF('Council Entry'!W188="","",IFERROR(MAX(0,MIN(10,ROUND(IF('Council Entry'!W$7="Decrease Risk",10-10*((IF('Council Entry'!W$4="Logarithm",LN(0.001+IF(AND(ISNUMBER('Council Entry'!W$8),ISNUMBER('Council Entry'!W$9)),MAX(MIN('Council Entry'!W188,'Council Entry'!W$9),'Council Entry'!W$8),'Council Entry'!W188)),IF('Council Entry'!W$4="Exponential",EXP(IF(AND(ISNUMBER('Council Entry'!W$8),ISNUMBER('Council Entry'!W$9)),MAX(MIN('Council Entry'!W188,'Council Entry'!W$9),'Council Entry'!W$8),'Council Entry'!W188)),IF(AND(ISNUMBER('Council Entry'!W$8),ISNUMBER('Council Entry'!W$9)),MAX(MIN('Council Entry'!W188,'Council Entry'!W$9),'Council Entry'!W$8),'Council Entry'!W188))))-'Council Entry'!W$5)/('Council Entry'!W$6-'Council Entry'!W$5),10*((IF('Council Entry'!W$4="Logarithm",LN(0.001+IF(AND(ISNUMBER('Council Entry'!W$8),ISNUMBER('Council Entry'!W$9)),MAX(MIN('Council Entry'!W188,'Council Entry'!W$9),'Council Entry'!W$8),'Council Entry'!W188)),IF('Council Entry'!W$4="Exponential",EXP(IF(AND(ISNUMBER('Council Entry'!W$8),ISNUMBER('Council Entry'!W$9)),MAX(MIN('Council Entry'!W188,'Council Entry'!W$9),'Council Entry'!W$8),'Council Entry'!W188)),IF(AND(ISNUMBER('Council Entry'!W$8),ISNUMBER('Council Entry'!W$9)),MAX(MIN('Council Entry'!W188,'Council Entry'!W$9),'Council Entry'!W$8),'Council Entry'!W188))))-'Council Entry'!W$5)/('Council Entry'!W$6-'Council Entry'!W$5)),1))),"No data"))</f>
        <v/>
      </c>
      <c r="X188" s="13">
        <f>IF('Council Entry'!X188="","",IFERROR(MAX(0,MIN(10,ROUND(IF('Council Entry'!X$7="Decrease Risk",10-10*((IF('Council Entry'!X$4="Logarithm",LN(0.001+IF(AND(ISNUMBER('Council Entry'!X$8),ISNUMBER('Council Entry'!X$9)),MAX(MIN('Council Entry'!X188,'Council Entry'!X$9),'Council Entry'!X$8),'Council Entry'!X188)),IF('Council Entry'!X$4="Exponential",EXP(IF(AND(ISNUMBER('Council Entry'!X$8),ISNUMBER('Council Entry'!X$9)),MAX(MIN('Council Entry'!X188,'Council Entry'!X$9),'Council Entry'!X$8),'Council Entry'!X188)),IF(AND(ISNUMBER('Council Entry'!X$8),ISNUMBER('Council Entry'!X$9)),MAX(MIN('Council Entry'!X188,'Council Entry'!X$9),'Council Entry'!X$8),'Council Entry'!X188))))-'Council Entry'!X$5)/('Council Entry'!X$6-'Council Entry'!X$5),10*((IF('Council Entry'!X$4="Logarithm",LN(0.001+IF(AND(ISNUMBER('Council Entry'!X$8),ISNUMBER('Council Entry'!X$9)),MAX(MIN('Council Entry'!X188,'Council Entry'!X$9),'Council Entry'!X$8),'Council Entry'!X188)),IF('Council Entry'!X$4="Exponential",EXP(IF(AND(ISNUMBER('Council Entry'!X$8),ISNUMBER('Council Entry'!X$9)),MAX(MIN('Council Entry'!X188,'Council Entry'!X$9),'Council Entry'!X$8),'Council Entry'!X188)),IF(AND(ISNUMBER('Council Entry'!X$8),ISNUMBER('Council Entry'!X$9)),MAX(MIN('Council Entry'!X188,'Council Entry'!X$9),'Council Entry'!X$8),'Council Entry'!X188))))-'Council Entry'!X$5)/('Council Entry'!X$6-'Council Entry'!X$5)),1))),"No data"))</f>
        <v/>
      </c>
      <c r="Y188" s="13">
        <f>IF('Council Entry'!Y188="","",IFERROR(MAX(0,MIN(10,ROUND(IF('Council Entry'!Y$7="Decrease Risk",10-10*((IF('Council Entry'!Y$4="Logarithm",LN(0.001+IF(AND(ISNUMBER('Council Entry'!Y$8),ISNUMBER('Council Entry'!Y$9)),MAX(MIN('Council Entry'!Y188,'Council Entry'!Y$9),'Council Entry'!Y$8),'Council Entry'!Y188)),IF('Council Entry'!Y$4="Exponential",EXP(IF(AND(ISNUMBER('Council Entry'!Y$8),ISNUMBER('Council Entry'!Y$9)),MAX(MIN('Council Entry'!Y188,'Council Entry'!Y$9),'Council Entry'!Y$8),'Council Entry'!Y188)),IF(AND(ISNUMBER('Council Entry'!Y$8),ISNUMBER('Council Entry'!Y$9)),MAX(MIN('Council Entry'!Y188,'Council Entry'!Y$9),'Council Entry'!Y$8),'Council Entry'!Y188))))-'Council Entry'!Y$5)/('Council Entry'!Y$6-'Council Entry'!Y$5),10*((IF('Council Entry'!Y$4="Logarithm",LN(0.001+IF(AND(ISNUMBER('Council Entry'!Y$8),ISNUMBER('Council Entry'!Y$9)),MAX(MIN('Council Entry'!Y188,'Council Entry'!Y$9),'Council Entry'!Y$8),'Council Entry'!Y188)),IF('Council Entry'!Y$4="Exponential",EXP(IF(AND(ISNUMBER('Council Entry'!Y$8),ISNUMBER('Council Entry'!Y$9)),MAX(MIN('Council Entry'!Y188,'Council Entry'!Y$9),'Council Entry'!Y$8),'Council Entry'!Y188)),IF(AND(ISNUMBER('Council Entry'!Y$8),ISNUMBER('Council Entry'!Y$9)),MAX(MIN('Council Entry'!Y188,'Council Entry'!Y$9),'Council Entry'!Y$8),'Council Entry'!Y188))))-'Council Entry'!Y$5)/('Council Entry'!Y$6-'Council Entry'!Y$5)),1))),"No data"))</f>
        <v/>
      </c>
      <c r="Z188" s="13">
        <f>IF('Council Entry'!Z188="","",IFERROR(MAX(0,MIN(10,ROUND(IF('Council Entry'!Z$7="Decrease Risk",10-10*((IF('Council Entry'!Z$4="Logarithm",LN(0.001+IF(AND(ISNUMBER('Council Entry'!Z$8),ISNUMBER('Council Entry'!Z$9)),MAX(MIN('Council Entry'!Z188,'Council Entry'!Z$9),'Council Entry'!Z$8),'Council Entry'!Z188)),IF('Council Entry'!Z$4="Exponential",EXP(IF(AND(ISNUMBER('Council Entry'!Z$8),ISNUMBER('Council Entry'!Z$9)),MAX(MIN('Council Entry'!Z188,'Council Entry'!Z$9),'Council Entry'!Z$8),'Council Entry'!Z188)),IF(AND(ISNUMBER('Council Entry'!Z$8),ISNUMBER('Council Entry'!Z$9)),MAX(MIN('Council Entry'!Z188,'Council Entry'!Z$9),'Council Entry'!Z$8),'Council Entry'!Z188))))-'Council Entry'!Z$5)/('Council Entry'!Z$6-'Council Entry'!Z$5),10*((IF('Council Entry'!Z$4="Logarithm",LN(0.001+IF(AND(ISNUMBER('Council Entry'!Z$8),ISNUMBER('Council Entry'!Z$9)),MAX(MIN('Council Entry'!Z188,'Council Entry'!Z$9),'Council Entry'!Z$8),'Council Entry'!Z188)),IF('Council Entry'!Z$4="Exponential",EXP(IF(AND(ISNUMBER('Council Entry'!Z$8),ISNUMBER('Council Entry'!Z$9)),MAX(MIN('Council Entry'!Z188,'Council Entry'!Z$9),'Council Entry'!Z$8),'Council Entry'!Z188)),IF(AND(ISNUMBER('Council Entry'!Z$8),ISNUMBER('Council Entry'!Z$9)),MAX(MIN('Council Entry'!Z188,'Council Entry'!Z$9),'Council Entry'!Z$8),'Council Entry'!Z188))))-'Council Entry'!Z$5)/('Council Entry'!Z$6-'Council Entry'!Z$5)),1))),"No data"))</f>
        <v/>
      </c>
      <c r="AA188" s="13">
        <f>IF('Council Entry'!AA188="","",IFERROR(MAX(0,MIN(10,ROUND(IF('Council Entry'!AA$7="Decrease Risk",10-10*((IF('Council Entry'!AA$4="Logarithm",LN(0.001+IF(AND(ISNUMBER('Council Entry'!AA$8),ISNUMBER('Council Entry'!AA$9)),MAX(MIN('Council Entry'!AA188,'Council Entry'!AA$9),'Council Entry'!AA$8),'Council Entry'!AA188)),IF('Council Entry'!AA$4="Exponential",EXP(IF(AND(ISNUMBER('Council Entry'!AA$8),ISNUMBER('Council Entry'!AA$9)),MAX(MIN('Council Entry'!AA188,'Council Entry'!AA$9),'Council Entry'!AA$8),'Council Entry'!AA188)),IF(AND(ISNUMBER('Council Entry'!AA$8),ISNUMBER('Council Entry'!AA$9)),MAX(MIN('Council Entry'!AA188,'Council Entry'!AA$9),'Council Entry'!AA$8),'Council Entry'!AA188))))-'Council Entry'!AA$5)/('Council Entry'!AA$6-'Council Entry'!AA$5),10*((IF('Council Entry'!AA$4="Logarithm",LN(0.001+IF(AND(ISNUMBER('Council Entry'!AA$8),ISNUMBER('Council Entry'!AA$9)),MAX(MIN('Council Entry'!AA188,'Council Entry'!AA$9),'Council Entry'!AA$8),'Council Entry'!AA188)),IF('Council Entry'!AA$4="Exponential",EXP(IF(AND(ISNUMBER('Council Entry'!AA$8),ISNUMBER('Council Entry'!AA$9)),MAX(MIN('Council Entry'!AA188,'Council Entry'!AA$9),'Council Entry'!AA$8),'Council Entry'!AA188)),IF(AND(ISNUMBER('Council Entry'!AA$8),ISNUMBER('Council Entry'!AA$9)),MAX(MIN('Council Entry'!AA188,'Council Entry'!AA$9),'Council Entry'!AA$8),'Council Entry'!AA188))))-'Council Entry'!AA$5)/('Council Entry'!AA$6-'Council Entry'!AA$5)),1))),"No data"))</f>
        <v/>
      </c>
      <c r="AB188" s="13">
        <f>IF('Council Entry'!AB188="","",IFERROR(MAX(0,MIN(10,ROUND(IF('Council Entry'!AB$7="Decrease Risk",10-10*((IF('Council Entry'!AB$4="Logarithm",LN(0.001+IF(AND(ISNUMBER('Council Entry'!AB$8),ISNUMBER('Council Entry'!AB$9)),MAX(MIN('Council Entry'!AB188,'Council Entry'!AB$9),'Council Entry'!AB$8),'Council Entry'!AB188)),IF('Council Entry'!AB$4="Exponential",EXP(IF(AND(ISNUMBER('Council Entry'!AB$8),ISNUMBER('Council Entry'!AB$9)),MAX(MIN('Council Entry'!AB188,'Council Entry'!AB$9),'Council Entry'!AB$8),'Council Entry'!AB188)),IF(AND(ISNUMBER('Council Entry'!AB$8),ISNUMBER('Council Entry'!AB$9)),MAX(MIN('Council Entry'!AB188,'Council Entry'!AB$9),'Council Entry'!AB$8),'Council Entry'!AB188))))-'Council Entry'!AB$5)/('Council Entry'!AB$6-'Council Entry'!AB$5),10*((IF('Council Entry'!AB$4="Logarithm",LN(0.001+IF(AND(ISNUMBER('Council Entry'!AB$8),ISNUMBER('Council Entry'!AB$9)),MAX(MIN('Council Entry'!AB188,'Council Entry'!AB$9),'Council Entry'!AB$8),'Council Entry'!AB188)),IF('Council Entry'!AB$4="Exponential",EXP(IF(AND(ISNUMBER('Council Entry'!AB$8),ISNUMBER('Council Entry'!AB$9)),MAX(MIN('Council Entry'!AB188,'Council Entry'!AB$9),'Council Entry'!AB$8),'Council Entry'!AB188)),IF(AND(ISNUMBER('Council Entry'!AB$8),ISNUMBER('Council Entry'!AB$9)),MAX(MIN('Council Entry'!AB188,'Council Entry'!AB$9),'Council Entry'!AB$8),'Council Entry'!AB188))))-'Council Entry'!AB$5)/('Council Entry'!AB$6-'Council Entry'!AB$5)),1))),"No data"))</f>
        <v/>
      </c>
      <c r="AC188" s="13">
        <f>IF('Council Entry'!AC188="","",IFERROR(MAX(0,MIN(10,ROUND(IF('Council Entry'!AC$7="Decrease Risk",10-10*((IF('Council Entry'!AC$4="Logarithm",LN(0.001+IF(AND(ISNUMBER('Council Entry'!AC$8),ISNUMBER('Council Entry'!AC$9)),MAX(MIN('Council Entry'!AC188,'Council Entry'!AC$9),'Council Entry'!AC$8),'Council Entry'!AC188)),IF('Council Entry'!AC$4="Exponential",EXP(IF(AND(ISNUMBER('Council Entry'!AC$8),ISNUMBER('Council Entry'!AC$9)),MAX(MIN('Council Entry'!AC188,'Council Entry'!AC$9),'Council Entry'!AC$8),'Council Entry'!AC188)),IF(AND(ISNUMBER('Council Entry'!AC$8),ISNUMBER('Council Entry'!AC$9)),MAX(MIN('Council Entry'!AC188,'Council Entry'!AC$9),'Council Entry'!AC$8),'Council Entry'!AC188))))-'Council Entry'!AC$5)/('Council Entry'!AC$6-'Council Entry'!AC$5),10*((IF('Council Entry'!AC$4="Logarithm",LN(0.001+IF(AND(ISNUMBER('Council Entry'!AC$8),ISNUMBER('Council Entry'!AC$9)),MAX(MIN('Council Entry'!AC188,'Council Entry'!AC$9),'Council Entry'!AC$8),'Council Entry'!AC188)),IF('Council Entry'!AC$4="Exponential",EXP(IF(AND(ISNUMBER('Council Entry'!AC$8),ISNUMBER('Council Entry'!AC$9)),MAX(MIN('Council Entry'!AC188,'Council Entry'!AC$9),'Council Entry'!AC$8),'Council Entry'!AC188)),IF(AND(ISNUMBER('Council Entry'!AC$8),ISNUMBER('Council Entry'!AC$9)),MAX(MIN('Council Entry'!AC188,'Council Entry'!AC$9),'Council Entry'!AC$8),'Council Entry'!AC188))))-'Council Entry'!AC$5)/('Council Entry'!AC$6-'Council Entry'!AC$5)),1))),"No data"))</f>
        <v/>
      </c>
      <c r="AD188" s="13">
        <f>IF('Council Entry'!AD188="","",IFERROR(MAX(0,MIN(10,ROUND(IF('Council Entry'!AD$7="Decrease Risk",10-10*((IF('Council Entry'!AD$4="Logarithm",LN(0.001+IF(AND(ISNUMBER('Council Entry'!AD$8),ISNUMBER('Council Entry'!AD$9)),MAX(MIN('Council Entry'!AD188,'Council Entry'!AD$9),'Council Entry'!AD$8),'Council Entry'!AD188)),IF('Council Entry'!AD$4="Exponential",EXP(IF(AND(ISNUMBER('Council Entry'!AD$8),ISNUMBER('Council Entry'!AD$9)),MAX(MIN('Council Entry'!AD188,'Council Entry'!AD$9),'Council Entry'!AD$8),'Council Entry'!AD188)),IF(AND(ISNUMBER('Council Entry'!AD$8),ISNUMBER('Council Entry'!AD$9)),MAX(MIN('Council Entry'!AD188,'Council Entry'!AD$9),'Council Entry'!AD$8),'Council Entry'!AD188))))-'Council Entry'!AD$5)/('Council Entry'!AD$6-'Council Entry'!AD$5),10*((IF('Council Entry'!AD$4="Logarithm",LN(0.001+IF(AND(ISNUMBER('Council Entry'!AD$8),ISNUMBER('Council Entry'!AD$9)),MAX(MIN('Council Entry'!AD188,'Council Entry'!AD$9),'Council Entry'!AD$8),'Council Entry'!AD188)),IF('Council Entry'!AD$4="Exponential",EXP(IF(AND(ISNUMBER('Council Entry'!AD$8),ISNUMBER('Council Entry'!AD$9)),MAX(MIN('Council Entry'!AD188,'Council Entry'!AD$9),'Council Entry'!AD$8),'Council Entry'!AD188)),IF(AND(ISNUMBER('Council Entry'!AD$8),ISNUMBER('Council Entry'!AD$9)),MAX(MIN('Council Entry'!AD188,'Council Entry'!AD$9),'Council Entry'!AD$8),'Council Entry'!AD188))))-'Council Entry'!AD$5)/('Council Entry'!AD$6-'Council Entry'!AD$5)),1))),"No data"))</f>
        <v/>
      </c>
      <c r="AE188" s="13">
        <f>IF('Council Entry'!AE188="","",IFERROR(MAX(0,MIN(10,ROUND(IF('Council Entry'!AE$7="Decrease Risk",10-10*((IF('Council Entry'!AE$4="Logarithm",LN(0.001+IF(AND(ISNUMBER('Council Entry'!AE$8),ISNUMBER('Council Entry'!AE$9)),MAX(MIN('Council Entry'!AE188,'Council Entry'!AE$9),'Council Entry'!AE$8),'Council Entry'!AE188)),IF('Council Entry'!AE$4="Exponential",EXP(IF(AND(ISNUMBER('Council Entry'!AE$8),ISNUMBER('Council Entry'!AE$9)),MAX(MIN('Council Entry'!AE188,'Council Entry'!AE$9),'Council Entry'!AE$8),'Council Entry'!AE188)),IF(AND(ISNUMBER('Council Entry'!AE$8),ISNUMBER('Council Entry'!AE$9)),MAX(MIN('Council Entry'!AE188,'Council Entry'!AE$9),'Council Entry'!AE$8),'Council Entry'!AE188))))-'Council Entry'!AE$5)/('Council Entry'!AE$6-'Council Entry'!AE$5),10*((IF('Council Entry'!AE$4="Logarithm",LN(0.001+IF(AND(ISNUMBER('Council Entry'!AE$8),ISNUMBER('Council Entry'!AE$9)),MAX(MIN('Council Entry'!AE188,'Council Entry'!AE$9),'Council Entry'!AE$8),'Council Entry'!AE188)),IF('Council Entry'!AE$4="Exponential",EXP(IF(AND(ISNUMBER('Council Entry'!AE$8),ISNUMBER('Council Entry'!AE$9)),MAX(MIN('Council Entry'!AE188,'Council Entry'!AE$9),'Council Entry'!AE$8),'Council Entry'!AE188)),IF(AND(ISNUMBER('Council Entry'!AE$8),ISNUMBER('Council Entry'!AE$9)),MAX(MIN('Council Entry'!AE188,'Council Entry'!AE$9),'Council Entry'!AE$8),'Council Entry'!AE188))))-'Council Entry'!AE$5)/('Council Entry'!AE$6-'Council Entry'!AE$5)),1))),"No data"))</f>
        <v/>
      </c>
      <c r="AF188" s="13">
        <f>IF('Council Entry'!AF188="","",IFERROR(MAX(0,MIN(10,ROUND(IF('Council Entry'!AF$7="Decrease Risk",10-10*((IF('Council Entry'!AF$4="Logarithm",LN(0.001+IF(AND(ISNUMBER('Council Entry'!AF$8),ISNUMBER('Council Entry'!AF$9)),MAX(MIN('Council Entry'!AF188,'Council Entry'!AF$9),'Council Entry'!AF$8),'Council Entry'!AF188)),IF('Council Entry'!AF$4="Exponential",EXP(IF(AND(ISNUMBER('Council Entry'!AF$8),ISNUMBER('Council Entry'!AF$9)),MAX(MIN('Council Entry'!AF188,'Council Entry'!AF$9),'Council Entry'!AF$8),'Council Entry'!AF188)),IF(AND(ISNUMBER('Council Entry'!AF$8),ISNUMBER('Council Entry'!AF$9)),MAX(MIN('Council Entry'!AF188,'Council Entry'!AF$9),'Council Entry'!AF$8),'Council Entry'!AF188))))-'Council Entry'!AF$5)/('Council Entry'!AF$6-'Council Entry'!AF$5),10*((IF('Council Entry'!AF$4="Logarithm",LN(0.001+IF(AND(ISNUMBER('Council Entry'!AF$8),ISNUMBER('Council Entry'!AF$9)),MAX(MIN('Council Entry'!AF188,'Council Entry'!AF$9),'Council Entry'!AF$8),'Council Entry'!AF188)),IF('Council Entry'!AF$4="Exponential",EXP(IF(AND(ISNUMBER('Council Entry'!AF$8),ISNUMBER('Council Entry'!AF$9)),MAX(MIN('Council Entry'!AF188,'Council Entry'!AF$9),'Council Entry'!AF$8),'Council Entry'!AF188)),IF(AND(ISNUMBER('Council Entry'!AF$8),ISNUMBER('Council Entry'!AF$9)),MAX(MIN('Council Entry'!AF188,'Council Entry'!AF$9),'Council Entry'!AF$8),'Council Entry'!AF188))))-'Council Entry'!AF$5)/('Council Entry'!AF$6-'Council Entry'!AF$5)),1))),"No data"))</f>
        <v/>
      </c>
      <c r="AG188" s="13">
        <f>IF('Council Entry'!AG188="","",IFERROR(MAX(0,MIN(10,ROUND(IF('Council Entry'!AG$7="Decrease Risk",10-10*((IF('Council Entry'!AG$4="Logarithm",LN(0.001+IF(AND(ISNUMBER('Council Entry'!AG$8),ISNUMBER('Council Entry'!AG$9)),MAX(MIN('Council Entry'!AG188,'Council Entry'!AG$9),'Council Entry'!AG$8),'Council Entry'!AG188)),IF('Council Entry'!AG$4="Exponential",EXP(IF(AND(ISNUMBER('Council Entry'!AG$8),ISNUMBER('Council Entry'!AG$9)),MAX(MIN('Council Entry'!AG188,'Council Entry'!AG$9),'Council Entry'!AG$8),'Council Entry'!AG188)),IF(AND(ISNUMBER('Council Entry'!AG$8),ISNUMBER('Council Entry'!AG$9)),MAX(MIN('Council Entry'!AG188,'Council Entry'!AG$9),'Council Entry'!AG$8),'Council Entry'!AG188))))-'Council Entry'!AG$5)/('Council Entry'!AG$6-'Council Entry'!AG$5),10*((IF('Council Entry'!AG$4="Logarithm",LN(0.001+IF(AND(ISNUMBER('Council Entry'!AG$8),ISNUMBER('Council Entry'!AG$9)),MAX(MIN('Council Entry'!AG188,'Council Entry'!AG$9),'Council Entry'!AG$8),'Council Entry'!AG188)),IF('Council Entry'!AG$4="Exponential",EXP(IF(AND(ISNUMBER('Council Entry'!AG$8),ISNUMBER('Council Entry'!AG$9)),MAX(MIN('Council Entry'!AG188,'Council Entry'!AG$9),'Council Entry'!AG$8),'Council Entry'!AG188)),IF(AND(ISNUMBER('Council Entry'!AG$8),ISNUMBER('Council Entry'!AG$9)),MAX(MIN('Council Entry'!AG188,'Council Entry'!AG$9),'Council Entry'!AG$8),'Council Entry'!AG188))))-'Council Entry'!AG$5)/('Council Entry'!AG$6-'Council Entry'!AG$5)),1))),"No data"))</f>
        <v/>
      </c>
      <c r="AH188" s="13">
        <f>IF('Council Entry'!AH188="","",IFERROR(MAX(0,MIN(10,ROUND(IF('Council Entry'!AH$7="Decrease Risk",10-10*((IF('Council Entry'!AH$4="Logarithm",LN(0.001+IF(AND(ISNUMBER('Council Entry'!AH$8),ISNUMBER('Council Entry'!AH$9)),MAX(MIN('Council Entry'!AH188,'Council Entry'!AH$9),'Council Entry'!AH$8),'Council Entry'!AH188)),IF('Council Entry'!AH$4="Exponential",EXP(IF(AND(ISNUMBER('Council Entry'!AH$8),ISNUMBER('Council Entry'!AH$9)),MAX(MIN('Council Entry'!AH188,'Council Entry'!AH$9),'Council Entry'!AH$8),'Council Entry'!AH188)),IF(AND(ISNUMBER('Council Entry'!AH$8),ISNUMBER('Council Entry'!AH$9)),MAX(MIN('Council Entry'!AH188,'Council Entry'!AH$9),'Council Entry'!AH$8),'Council Entry'!AH188))))-'Council Entry'!AH$5)/('Council Entry'!AH$6-'Council Entry'!AH$5),10*((IF('Council Entry'!AH$4="Logarithm",LN(0.001+IF(AND(ISNUMBER('Council Entry'!AH$8),ISNUMBER('Council Entry'!AH$9)),MAX(MIN('Council Entry'!AH188,'Council Entry'!AH$9),'Council Entry'!AH$8),'Council Entry'!AH188)),IF('Council Entry'!AH$4="Exponential",EXP(IF(AND(ISNUMBER('Council Entry'!AH$8),ISNUMBER('Council Entry'!AH$9)),MAX(MIN('Council Entry'!AH188,'Council Entry'!AH$9),'Council Entry'!AH$8),'Council Entry'!AH188)),IF(AND(ISNUMBER('Council Entry'!AH$8),ISNUMBER('Council Entry'!AH$9)),MAX(MIN('Council Entry'!AH188,'Council Entry'!AH$9),'Council Entry'!AH$8),'Council Entry'!AH188))))-'Council Entry'!AH$5)/('Council Entry'!AH$6-'Council Entry'!AH$5)),1))),"No data"))</f>
        <v/>
      </c>
      <c r="AI188" s="13">
        <f>IF('Council Entry'!AI188="","",IFERROR(MAX(0,MIN(10,ROUND(IF('Council Entry'!AI$7="Decrease Risk",10-10*((IF('Council Entry'!AI$4="Logarithm",LN(0.001+IF(AND(ISNUMBER('Council Entry'!AI$8),ISNUMBER('Council Entry'!AI$9)),MAX(MIN('Council Entry'!AI188,'Council Entry'!AI$9),'Council Entry'!AI$8),'Council Entry'!AI188)),IF('Council Entry'!AI$4="Exponential",EXP(IF(AND(ISNUMBER('Council Entry'!AI$8),ISNUMBER('Council Entry'!AI$9)),MAX(MIN('Council Entry'!AI188,'Council Entry'!AI$9),'Council Entry'!AI$8),'Council Entry'!AI188)),IF(AND(ISNUMBER('Council Entry'!AI$8),ISNUMBER('Council Entry'!AI$9)),MAX(MIN('Council Entry'!AI188,'Council Entry'!AI$9),'Council Entry'!AI$8),'Council Entry'!AI188))))-'Council Entry'!AI$5)/('Council Entry'!AI$6-'Council Entry'!AI$5),10*((IF('Council Entry'!AI$4="Logarithm",LN(0.001+IF(AND(ISNUMBER('Council Entry'!AI$8),ISNUMBER('Council Entry'!AI$9)),MAX(MIN('Council Entry'!AI188,'Council Entry'!AI$9),'Council Entry'!AI$8),'Council Entry'!AI188)),IF('Council Entry'!AI$4="Exponential",EXP(IF(AND(ISNUMBER('Council Entry'!AI$8),ISNUMBER('Council Entry'!AI$9)),MAX(MIN('Council Entry'!AI188,'Council Entry'!AI$9),'Council Entry'!AI$8),'Council Entry'!AI188)),IF(AND(ISNUMBER('Council Entry'!AI$8),ISNUMBER('Council Entry'!AI$9)),MAX(MIN('Council Entry'!AI188,'Council Entry'!AI$9),'Council Entry'!AI$8),'Council Entry'!AI188))))-'Council Entry'!AI$5)/('Council Entry'!AI$6-'Council Entry'!AI$5)),1))),"No data"))</f>
        <v/>
      </c>
      <c r="AJ188" s="13">
        <f>IF('Council Entry'!AJ188="","",IFERROR(MAX(0,MIN(10,ROUND(IF('Council Entry'!AJ$7="Decrease Risk",10-10*((IF('Council Entry'!AJ$4="Logarithm",LN(0.001+IF(AND(ISNUMBER('Council Entry'!AJ$8),ISNUMBER('Council Entry'!AJ$9)),MAX(MIN('Council Entry'!AJ188,'Council Entry'!AJ$9),'Council Entry'!AJ$8),'Council Entry'!AJ188)),IF('Council Entry'!AJ$4="Exponential",EXP(IF(AND(ISNUMBER('Council Entry'!AJ$8),ISNUMBER('Council Entry'!AJ$9)),MAX(MIN('Council Entry'!AJ188,'Council Entry'!AJ$9),'Council Entry'!AJ$8),'Council Entry'!AJ188)),IF(AND(ISNUMBER('Council Entry'!AJ$8),ISNUMBER('Council Entry'!AJ$9)),MAX(MIN('Council Entry'!AJ188,'Council Entry'!AJ$9),'Council Entry'!AJ$8),'Council Entry'!AJ188))))-'Council Entry'!AJ$5)/('Council Entry'!AJ$6-'Council Entry'!AJ$5),10*((IF('Council Entry'!AJ$4="Logarithm",LN(0.001+IF(AND(ISNUMBER('Council Entry'!AJ$8),ISNUMBER('Council Entry'!AJ$9)),MAX(MIN('Council Entry'!AJ188,'Council Entry'!AJ$9),'Council Entry'!AJ$8),'Council Entry'!AJ188)),IF('Council Entry'!AJ$4="Exponential",EXP(IF(AND(ISNUMBER('Council Entry'!AJ$8),ISNUMBER('Council Entry'!AJ$9)),MAX(MIN('Council Entry'!AJ188,'Council Entry'!AJ$9),'Council Entry'!AJ$8),'Council Entry'!AJ188)),IF(AND(ISNUMBER('Council Entry'!AJ$8),ISNUMBER('Council Entry'!AJ$9)),MAX(MIN('Council Entry'!AJ188,'Council Entry'!AJ$9),'Council Entry'!AJ$8),'Council Entry'!AJ188))))-'Council Entry'!AJ$5)/('Council Entry'!AJ$6-'Council Entry'!AJ$5)),1))),"No data"))</f>
        <v/>
      </c>
      <c r="AK188" s="13">
        <f>IF('Council Entry'!AK188="","",IFERROR(MAX(0,MIN(10,ROUND(IF('Council Entry'!AK$7="Decrease Risk",10-10*((IF('Council Entry'!AK$4="Logarithm",LN(0.001+IF(AND(ISNUMBER('Council Entry'!AK$8),ISNUMBER('Council Entry'!AK$9)),MAX(MIN('Council Entry'!AK188,'Council Entry'!AK$9),'Council Entry'!AK$8),'Council Entry'!AK188)),IF('Council Entry'!AK$4="Exponential",EXP(IF(AND(ISNUMBER('Council Entry'!AK$8),ISNUMBER('Council Entry'!AK$9)),MAX(MIN('Council Entry'!AK188,'Council Entry'!AK$9),'Council Entry'!AK$8),'Council Entry'!AK188)),IF(AND(ISNUMBER('Council Entry'!AK$8),ISNUMBER('Council Entry'!AK$9)),MAX(MIN('Council Entry'!AK188,'Council Entry'!AK$9),'Council Entry'!AK$8),'Council Entry'!AK188))))-'Council Entry'!AK$5)/('Council Entry'!AK$6-'Council Entry'!AK$5),10*((IF('Council Entry'!AK$4="Logarithm",LN(0.001+IF(AND(ISNUMBER('Council Entry'!AK$8),ISNUMBER('Council Entry'!AK$9)),MAX(MIN('Council Entry'!AK188,'Council Entry'!AK$9),'Council Entry'!AK$8),'Council Entry'!AK188)),IF('Council Entry'!AK$4="Exponential",EXP(IF(AND(ISNUMBER('Council Entry'!AK$8),ISNUMBER('Council Entry'!AK$9)),MAX(MIN('Council Entry'!AK188,'Council Entry'!AK$9),'Council Entry'!AK$8),'Council Entry'!AK188)),IF(AND(ISNUMBER('Council Entry'!AK$8),ISNUMBER('Council Entry'!AK$9)),MAX(MIN('Council Entry'!AK188,'Council Entry'!AK$9),'Council Entry'!AK$8),'Council Entry'!AK188))))-'Council Entry'!AK$5)/('Council Entry'!AK$6-'Council Entry'!AK$5)),1))),"No data"))</f>
        <v/>
      </c>
      <c r="AL188" s="13">
        <f>IF('Council Entry'!AL188="","",IFERROR(MAX(0,MIN(10,ROUND(IF('Council Entry'!AL$7="Decrease Risk",10-10*((IF('Council Entry'!AL$4="Logarithm",LN(0.001+IF(AND(ISNUMBER('Council Entry'!AL$8),ISNUMBER('Council Entry'!AL$9)),MAX(MIN('Council Entry'!AL188,'Council Entry'!AL$9),'Council Entry'!AL$8),'Council Entry'!AL188)),IF('Council Entry'!AL$4="Exponential",EXP(IF(AND(ISNUMBER('Council Entry'!AL$8),ISNUMBER('Council Entry'!AL$9)),MAX(MIN('Council Entry'!AL188,'Council Entry'!AL$9),'Council Entry'!AL$8),'Council Entry'!AL188)),IF(AND(ISNUMBER('Council Entry'!AL$8),ISNUMBER('Council Entry'!AL$9)),MAX(MIN('Council Entry'!AL188,'Council Entry'!AL$9),'Council Entry'!AL$8),'Council Entry'!AL188))))-'Council Entry'!AL$5)/('Council Entry'!AL$6-'Council Entry'!AL$5),10*((IF('Council Entry'!AL$4="Logarithm",LN(0.001+IF(AND(ISNUMBER('Council Entry'!AL$8),ISNUMBER('Council Entry'!AL$9)),MAX(MIN('Council Entry'!AL188,'Council Entry'!AL$9),'Council Entry'!AL$8),'Council Entry'!AL188)),IF('Council Entry'!AL$4="Exponential",EXP(IF(AND(ISNUMBER('Council Entry'!AL$8),ISNUMBER('Council Entry'!AL$9)),MAX(MIN('Council Entry'!AL188,'Council Entry'!AL$9),'Council Entry'!AL$8),'Council Entry'!AL188)),IF(AND(ISNUMBER('Council Entry'!AL$8),ISNUMBER('Council Entry'!AL$9)),MAX(MIN('Council Entry'!AL188,'Council Entry'!AL$9),'Council Entry'!AL$8),'Council Entry'!AL188))))-'Council Entry'!AL$5)/('Council Entry'!AL$6-'Council Entry'!AL$5)),1))),"No data"))</f>
        <v/>
      </c>
      <c r="AM188" s="13">
        <f>IF('Council Entry'!AM188="","",IFERROR(MAX(0,MIN(10,ROUND(IF('Council Entry'!AM$7="Decrease Risk",10-10*((IF('Council Entry'!AM$4="Logarithm",LN(0.001+IF(AND(ISNUMBER('Council Entry'!AM$8),ISNUMBER('Council Entry'!AM$9)),MAX(MIN('Council Entry'!AM188,'Council Entry'!AM$9),'Council Entry'!AM$8),'Council Entry'!AM188)),IF('Council Entry'!AM$4="Exponential",EXP(IF(AND(ISNUMBER('Council Entry'!AM$8),ISNUMBER('Council Entry'!AM$9)),MAX(MIN('Council Entry'!AM188,'Council Entry'!AM$9),'Council Entry'!AM$8),'Council Entry'!AM188)),IF(AND(ISNUMBER('Council Entry'!AM$8),ISNUMBER('Council Entry'!AM$9)),MAX(MIN('Council Entry'!AM188,'Council Entry'!AM$9),'Council Entry'!AM$8),'Council Entry'!AM188))))-'Council Entry'!AM$5)/('Council Entry'!AM$6-'Council Entry'!AM$5),10*((IF('Council Entry'!AM$4="Logarithm",LN(0.001+IF(AND(ISNUMBER('Council Entry'!AM$8),ISNUMBER('Council Entry'!AM$9)),MAX(MIN('Council Entry'!AM188,'Council Entry'!AM$9),'Council Entry'!AM$8),'Council Entry'!AM188)),IF('Council Entry'!AM$4="Exponential",EXP(IF(AND(ISNUMBER('Council Entry'!AM$8),ISNUMBER('Council Entry'!AM$9)),MAX(MIN('Council Entry'!AM188,'Council Entry'!AM$9),'Council Entry'!AM$8),'Council Entry'!AM188)),IF(AND(ISNUMBER('Council Entry'!AM$8),ISNUMBER('Council Entry'!AM$9)),MAX(MIN('Council Entry'!AM188,'Council Entry'!AM$9),'Council Entry'!AM$8),'Council Entry'!AM188))))-'Council Entry'!AM$5)/('Council Entry'!AM$6-'Council Entry'!AM$5)),1))),"No data"))</f>
        <v/>
      </c>
      <c r="AN188" s="13">
        <f>IF('Council Entry'!AN188="","",IFERROR(MAX(0,MIN(10,ROUND(IF('Council Entry'!AN$7="Decrease Risk",10-10*((IF('Council Entry'!AN$4="Logarithm",LN(0.001+IF(AND(ISNUMBER('Council Entry'!AN$8),ISNUMBER('Council Entry'!AN$9)),MAX(MIN('Council Entry'!AN188,'Council Entry'!AN$9),'Council Entry'!AN$8),'Council Entry'!AN188)),IF('Council Entry'!AN$4="Exponential",EXP(IF(AND(ISNUMBER('Council Entry'!AN$8),ISNUMBER('Council Entry'!AN$9)),MAX(MIN('Council Entry'!AN188,'Council Entry'!AN$9),'Council Entry'!AN$8),'Council Entry'!AN188)),IF(AND(ISNUMBER('Council Entry'!AN$8),ISNUMBER('Council Entry'!AN$9)),MAX(MIN('Council Entry'!AN188,'Council Entry'!AN$9),'Council Entry'!AN$8),'Council Entry'!AN188))))-'Council Entry'!AN$5)/('Council Entry'!AN$6-'Council Entry'!AN$5),10*((IF('Council Entry'!AN$4="Logarithm",LN(0.001+IF(AND(ISNUMBER('Council Entry'!AN$8),ISNUMBER('Council Entry'!AN$9)),MAX(MIN('Council Entry'!AN188,'Council Entry'!AN$9),'Council Entry'!AN$8),'Council Entry'!AN188)),IF('Council Entry'!AN$4="Exponential",EXP(IF(AND(ISNUMBER('Council Entry'!AN$8),ISNUMBER('Council Entry'!AN$9)),MAX(MIN('Council Entry'!AN188,'Council Entry'!AN$9),'Council Entry'!AN$8),'Council Entry'!AN188)),IF(AND(ISNUMBER('Council Entry'!AN$8),ISNUMBER('Council Entry'!AN$9)),MAX(MIN('Council Entry'!AN188,'Council Entry'!AN$9),'Council Entry'!AN$8),'Council Entry'!AN188))))-'Council Entry'!AN$5)/('Council Entry'!AN$6-'Council Entry'!AN$5)),1))),"No data"))</f>
        <v/>
      </c>
      <c r="AO188" s="13">
        <f>IF('Council Entry'!AO188="","",IFERROR(MAX(0,MIN(10,ROUND(IF('Council Entry'!AO$7="Decrease Risk",10-10*((IF('Council Entry'!AO$4="Logarithm",LN(0.001+IF(AND(ISNUMBER('Council Entry'!AO$8),ISNUMBER('Council Entry'!AO$9)),MAX(MIN('Council Entry'!AO188,'Council Entry'!AO$9),'Council Entry'!AO$8),'Council Entry'!AO188)),IF('Council Entry'!AO$4="Exponential",EXP(IF(AND(ISNUMBER('Council Entry'!AO$8),ISNUMBER('Council Entry'!AO$9)),MAX(MIN('Council Entry'!AO188,'Council Entry'!AO$9),'Council Entry'!AO$8),'Council Entry'!AO188)),IF(AND(ISNUMBER('Council Entry'!AO$8),ISNUMBER('Council Entry'!AO$9)),MAX(MIN('Council Entry'!AO188,'Council Entry'!AO$9),'Council Entry'!AO$8),'Council Entry'!AO188))))-'Council Entry'!AO$5)/('Council Entry'!AO$6-'Council Entry'!AO$5),10*((IF('Council Entry'!AO$4="Logarithm",LN(0.001+IF(AND(ISNUMBER('Council Entry'!AO$8),ISNUMBER('Council Entry'!AO$9)),MAX(MIN('Council Entry'!AO188,'Council Entry'!AO$9),'Council Entry'!AO$8),'Council Entry'!AO188)),IF('Council Entry'!AO$4="Exponential",EXP(IF(AND(ISNUMBER('Council Entry'!AO$8),ISNUMBER('Council Entry'!AO$9)),MAX(MIN('Council Entry'!AO188,'Council Entry'!AO$9),'Council Entry'!AO$8),'Council Entry'!AO188)),IF(AND(ISNUMBER('Council Entry'!AO$8),ISNUMBER('Council Entry'!AO$9)),MAX(MIN('Council Entry'!AO188,'Council Entry'!AO$9),'Council Entry'!AO$8),'Council Entry'!AO188))))-'Council Entry'!AO$5)/('Council Entry'!AO$6-'Council Entry'!AO$5)),1))),"No data"))</f>
        <v/>
      </c>
      <c r="AP188" s="13">
        <f>IF('Council Entry'!AP188="","",IFERROR(MAX(0,MIN(10,ROUND(IF('Council Entry'!AP$7="Decrease Risk",10-10*((IF('Council Entry'!AP$4="Logarithm",LN(0.001+IF(AND(ISNUMBER('Council Entry'!AP$8),ISNUMBER('Council Entry'!AP$9)),MAX(MIN('Council Entry'!AP188,'Council Entry'!AP$9),'Council Entry'!AP$8),'Council Entry'!AP188)),IF('Council Entry'!AP$4="Exponential",EXP(IF(AND(ISNUMBER('Council Entry'!AP$8),ISNUMBER('Council Entry'!AP$9)),MAX(MIN('Council Entry'!AP188,'Council Entry'!AP$9),'Council Entry'!AP$8),'Council Entry'!AP188)),IF(AND(ISNUMBER('Council Entry'!AP$8),ISNUMBER('Council Entry'!AP$9)),MAX(MIN('Council Entry'!AP188,'Council Entry'!AP$9),'Council Entry'!AP$8),'Council Entry'!AP188))))-'Council Entry'!AP$5)/('Council Entry'!AP$6-'Council Entry'!AP$5),10*((IF('Council Entry'!AP$4="Logarithm",LN(0.001+IF(AND(ISNUMBER('Council Entry'!AP$8),ISNUMBER('Council Entry'!AP$9)),MAX(MIN('Council Entry'!AP188,'Council Entry'!AP$9),'Council Entry'!AP$8),'Council Entry'!AP188)),IF('Council Entry'!AP$4="Exponential",EXP(IF(AND(ISNUMBER('Council Entry'!AP$8),ISNUMBER('Council Entry'!AP$9)),MAX(MIN('Council Entry'!AP188,'Council Entry'!AP$9),'Council Entry'!AP$8),'Council Entry'!AP188)),IF(AND(ISNUMBER('Council Entry'!AP$8),ISNUMBER('Council Entry'!AP$9)),MAX(MIN('Council Entry'!AP188,'Council Entry'!AP$9),'Council Entry'!AP$8),'Council Entry'!AP188))))-'Council Entry'!AP$5)/('Council Entry'!AP$6-'Council Entry'!AP$5)),1))),"No data"))</f>
        <v/>
      </c>
      <c r="AQ188" s="13">
        <f>IF('Council Entry'!AQ188="","",IFERROR(MAX(0,MIN(10,ROUND(IF('Council Entry'!AQ$7="Decrease Risk",10-10*((IF('Council Entry'!AQ$4="Logarithm",LN(0.001+IF(AND(ISNUMBER('Council Entry'!AQ$8),ISNUMBER('Council Entry'!AQ$9)),MAX(MIN('Council Entry'!AQ188,'Council Entry'!AQ$9),'Council Entry'!AQ$8),'Council Entry'!AQ188)),IF('Council Entry'!AQ$4="Exponential",EXP(IF(AND(ISNUMBER('Council Entry'!AQ$8),ISNUMBER('Council Entry'!AQ$9)),MAX(MIN('Council Entry'!AQ188,'Council Entry'!AQ$9),'Council Entry'!AQ$8),'Council Entry'!AQ188)),IF(AND(ISNUMBER('Council Entry'!AQ$8),ISNUMBER('Council Entry'!AQ$9)),MAX(MIN('Council Entry'!AQ188,'Council Entry'!AQ$9),'Council Entry'!AQ$8),'Council Entry'!AQ188))))-'Council Entry'!AQ$5)/('Council Entry'!AQ$6-'Council Entry'!AQ$5),10*((IF('Council Entry'!AQ$4="Logarithm",LN(0.001+IF(AND(ISNUMBER('Council Entry'!AQ$8),ISNUMBER('Council Entry'!AQ$9)),MAX(MIN('Council Entry'!AQ188,'Council Entry'!AQ$9),'Council Entry'!AQ$8),'Council Entry'!AQ188)),IF('Council Entry'!AQ$4="Exponential",EXP(IF(AND(ISNUMBER('Council Entry'!AQ$8),ISNUMBER('Council Entry'!AQ$9)),MAX(MIN('Council Entry'!AQ188,'Council Entry'!AQ$9),'Council Entry'!AQ$8),'Council Entry'!AQ188)),IF(AND(ISNUMBER('Council Entry'!AQ$8),ISNUMBER('Council Entry'!AQ$9)),MAX(MIN('Council Entry'!AQ188,'Council Entry'!AQ$9),'Council Entry'!AQ$8),'Council Entry'!AQ188))))-'Council Entry'!AQ$5)/('Council Entry'!AQ$6-'Council Entry'!AQ$5)),1))),"No data"))</f>
        <v/>
      </c>
      <c r="AR188" s="13">
        <f>IF('Council Entry'!AR188="","",IFERROR(MAX(0,MIN(10,ROUND(IF('Council Entry'!AR$7="Decrease Risk",10-10*((IF('Council Entry'!AR$4="Logarithm",LN(0.001+IF(AND(ISNUMBER('Council Entry'!AR$8),ISNUMBER('Council Entry'!AR$9)),MAX(MIN('Council Entry'!AR188,'Council Entry'!AR$9),'Council Entry'!AR$8),'Council Entry'!AR188)),IF('Council Entry'!AR$4="Exponential",EXP(IF(AND(ISNUMBER('Council Entry'!AR$8),ISNUMBER('Council Entry'!AR$9)),MAX(MIN('Council Entry'!AR188,'Council Entry'!AR$9),'Council Entry'!AR$8),'Council Entry'!AR188)),IF(AND(ISNUMBER('Council Entry'!AR$8),ISNUMBER('Council Entry'!AR$9)),MAX(MIN('Council Entry'!AR188,'Council Entry'!AR$9),'Council Entry'!AR$8),'Council Entry'!AR188))))-'Council Entry'!AR$5)/('Council Entry'!AR$6-'Council Entry'!AR$5),10*((IF('Council Entry'!AR$4="Logarithm",LN(0.001+IF(AND(ISNUMBER('Council Entry'!AR$8),ISNUMBER('Council Entry'!AR$9)),MAX(MIN('Council Entry'!AR188,'Council Entry'!AR$9),'Council Entry'!AR$8),'Council Entry'!AR188)),IF('Council Entry'!AR$4="Exponential",EXP(IF(AND(ISNUMBER('Council Entry'!AR$8),ISNUMBER('Council Entry'!AR$9)),MAX(MIN('Council Entry'!AR188,'Council Entry'!AR$9),'Council Entry'!AR$8),'Council Entry'!AR188)),IF(AND(ISNUMBER('Council Entry'!AR$8),ISNUMBER('Council Entry'!AR$9)),MAX(MIN('Council Entry'!AR188,'Council Entry'!AR$9),'Council Entry'!AR$8),'Council Entry'!AR188))))-'Council Entry'!AR$5)/('Council Entry'!AR$6-'Council Entry'!AR$5)),1))),"No data"))</f>
        <v/>
      </c>
      <c r="AS188" s="13">
        <f>IF('Council Entry'!AS188="","",IFERROR(MAX(0,MIN(10,ROUND(IF('Council Entry'!AS$7="Decrease Risk",10-10*((IF('Council Entry'!AS$4="Logarithm",LN(0.001+IF(AND(ISNUMBER('Council Entry'!AS$8),ISNUMBER('Council Entry'!AS$9)),MAX(MIN('Council Entry'!AS188,'Council Entry'!AS$9),'Council Entry'!AS$8),'Council Entry'!AS188)),IF('Council Entry'!AS$4="Exponential",EXP(IF(AND(ISNUMBER('Council Entry'!AS$8),ISNUMBER('Council Entry'!AS$9)),MAX(MIN('Council Entry'!AS188,'Council Entry'!AS$9),'Council Entry'!AS$8),'Council Entry'!AS188)),IF(AND(ISNUMBER('Council Entry'!AS$8),ISNUMBER('Council Entry'!AS$9)),MAX(MIN('Council Entry'!AS188,'Council Entry'!AS$9),'Council Entry'!AS$8),'Council Entry'!AS188))))-'Council Entry'!AS$5)/('Council Entry'!AS$6-'Council Entry'!AS$5),10*((IF('Council Entry'!AS$4="Logarithm",LN(0.001+IF(AND(ISNUMBER('Council Entry'!AS$8),ISNUMBER('Council Entry'!AS$9)),MAX(MIN('Council Entry'!AS188,'Council Entry'!AS$9),'Council Entry'!AS$8),'Council Entry'!AS188)),IF('Council Entry'!AS$4="Exponential",EXP(IF(AND(ISNUMBER('Council Entry'!AS$8),ISNUMBER('Council Entry'!AS$9)),MAX(MIN('Council Entry'!AS188,'Council Entry'!AS$9),'Council Entry'!AS$8),'Council Entry'!AS188)),IF(AND(ISNUMBER('Council Entry'!AS$8),ISNUMBER('Council Entry'!AS$9)),MAX(MIN('Council Entry'!AS188,'Council Entry'!AS$9),'Council Entry'!AS$8),'Council Entry'!AS188))))-'Council Entry'!AS$5)/('Council Entry'!AS$6-'Council Entry'!AS$5)),1))),"No data"))</f>
        <v/>
      </c>
      <c r="AT188" s="13">
        <f>IF('Council Entry'!AT188="","",IFERROR(MAX(0,MIN(10,ROUND(IF('Council Entry'!AT$7="Decrease Risk",10-10*((IF('Council Entry'!AT$4="Logarithm",LN(0.001+IF(AND(ISNUMBER('Council Entry'!AT$8),ISNUMBER('Council Entry'!AT$9)),MAX(MIN('Council Entry'!AT188,'Council Entry'!AT$9),'Council Entry'!AT$8),'Council Entry'!AT188)),IF('Council Entry'!AT$4="Exponential",EXP(IF(AND(ISNUMBER('Council Entry'!AT$8),ISNUMBER('Council Entry'!AT$9)),MAX(MIN('Council Entry'!AT188,'Council Entry'!AT$9),'Council Entry'!AT$8),'Council Entry'!AT188)),IF(AND(ISNUMBER('Council Entry'!AT$8),ISNUMBER('Council Entry'!AT$9)),MAX(MIN('Council Entry'!AT188,'Council Entry'!AT$9),'Council Entry'!AT$8),'Council Entry'!AT188))))-'Council Entry'!AT$5)/('Council Entry'!AT$6-'Council Entry'!AT$5),10*((IF('Council Entry'!AT$4="Logarithm",LN(0.001+IF(AND(ISNUMBER('Council Entry'!AT$8),ISNUMBER('Council Entry'!AT$9)),MAX(MIN('Council Entry'!AT188,'Council Entry'!AT$9),'Council Entry'!AT$8),'Council Entry'!AT188)),IF('Council Entry'!AT$4="Exponential",EXP(IF(AND(ISNUMBER('Council Entry'!AT$8),ISNUMBER('Council Entry'!AT$9)),MAX(MIN('Council Entry'!AT188,'Council Entry'!AT$9),'Council Entry'!AT$8),'Council Entry'!AT188)),IF(AND(ISNUMBER('Council Entry'!AT$8),ISNUMBER('Council Entry'!AT$9)),MAX(MIN('Council Entry'!AT188,'Council Entry'!AT$9),'Council Entry'!AT$8),'Council Entry'!AT188))))-'Council Entry'!AT$5)/('Council Entry'!AT$6-'Council Entry'!AT$5)),1))),"No data"))</f>
        <v/>
      </c>
      <c r="AU188" s="13">
        <f>IF('Council Entry'!AU188="","",IFERROR(MAX(0,MIN(10,ROUND(IF('Council Entry'!AU$7="Decrease Risk",10-10*((IF('Council Entry'!AU$4="Logarithm",LN(0.001+IF(AND(ISNUMBER('Council Entry'!AU$8),ISNUMBER('Council Entry'!AU$9)),MAX(MIN('Council Entry'!AU188,'Council Entry'!AU$9),'Council Entry'!AU$8),'Council Entry'!AU188)),IF('Council Entry'!AU$4="Exponential",EXP(IF(AND(ISNUMBER('Council Entry'!AU$8),ISNUMBER('Council Entry'!AU$9)),MAX(MIN('Council Entry'!AU188,'Council Entry'!AU$9),'Council Entry'!AU$8),'Council Entry'!AU188)),IF(AND(ISNUMBER('Council Entry'!AU$8),ISNUMBER('Council Entry'!AU$9)),MAX(MIN('Council Entry'!AU188,'Council Entry'!AU$9),'Council Entry'!AU$8),'Council Entry'!AU188))))-'Council Entry'!AU$5)/('Council Entry'!AU$6-'Council Entry'!AU$5),10*((IF('Council Entry'!AU$4="Logarithm",LN(0.001+IF(AND(ISNUMBER('Council Entry'!AU$8),ISNUMBER('Council Entry'!AU$9)),MAX(MIN('Council Entry'!AU188,'Council Entry'!AU$9),'Council Entry'!AU$8),'Council Entry'!AU188)),IF('Council Entry'!AU$4="Exponential",EXP(IF(AND(ISNUMBER('Council Entry'!AU$8),ISNUMBER('Council Entry'!AU$9)),MAX(MIN('Council Entry'!AU188,'Council Entry'!AU$9),'Council Entry'!AU$8),'Council Entry'!AU188)),IF(AND(ISNUMBER('Council Entry'!AU$8),ISNUMBER('Council Entry'!AU$9)),MAX(MIN('Council Entry'!AU188,'Council Entry'!AU$9),'Council Entry'!AU$8),'Council Entry'!AU188))))-'Council Entry'!AU$5)/('Council Entry'!AU$6-'Council Entry'!AU$5)),1))),"No data"))</f>
        <v/>
      </c>
      <c r="AV188" s="13">
        <f>IF('Council Entry'!AV188="","",IFERROR(MAX(0,MIN(10,ROUND(IF('Council Entry'!AV$7="Decrease Risk",10-10*((IF('Council Entry'!AV$4="Logarithm",LN(0.001+IF(AND(ISNUMBER('Council Entry'!AV$8),ISNUMBER('Council Entry'!AV$9)),MAX(MIN('Council Entry'!AV188,'Council Entry'!AV$9),'Council Entry'!AV$8),'Council Entry'!AV188)),IF('Council Entry'!AV$4="Exponential",EXP(IF(AND(ISNUMBER('Council Entry'!AV$8),ISNUMBER('Council Entry'!AV$9)),MAX(MIN('Council Entry'!AV188,'Council Entry'!AV$9),'Council Entry'!AV$8),'Council Entry'!AV188)),IF(AND(ISNUMBER('Council Entry'!AV$8),ISNUMBER('Council Entry'!AV$9)),MAX(MIN('Council Entry'!AV188,'Council Entry'!AV$9),'Council Entry'!AV$8),'Council Entry'!AV188))))-'Council Entry'!AV$5)/('Council Entry'!AV$6-'Council Entry'!AV$5),10*((IF('Council Entry'!AV$4="Logarithm",LN(0.001+IF(AND(ISNUMBER('Council Entry'!AV$8),ISNUMBER('Council Entry'!AV$9)),MAX(MIN('Council Entry'!AV188,'Council Entry'!AV$9),'Council Entry'!AV$8),'Council Entry'!AV188)),IF('Council Entry'!AV$4="Exponential",EXP(IF(AND(ISNUMBER('Council Entry'!AV$8),ISNUMBER('Council Entry'!AV$9)),MAX(MIN('Council Entry'!AV188,'Council Entry'!AV$9),'Council Entry'!AV$8),'Council Entry'!AV188)),IF(AND(ISNUMBER('Council Entry'!AV$8),ISNUMBER('Council Entry'!AV$9)),MAX(MIN('Council Entry'!AV188,'Council Entry'!AV$9),'Council Entry'!AV$8),'Council Entry'!AV188))))-'Council Entry'!AV$5)/('Council Entry'!AV$6-'Council Entry'!AV$5)),1))),"No data"))</f>
        <v/>
      </c>
      <c r="AW188" s="13">
        <f>IF('Council Entry'!AW188="","",IFERROR(MAX(0,MIN(10,ROUND(IF('Council Entry'!AW$7="Decrease Risk",10-10*((IF('Council Entry'!AW$4="Logarithm",LN(0.001+IF(AND(ISNUMBER('Council Entry'!AW$8),ISNUMBER('Council Entry'!AW$9)),MAX(MIN('Council Entry'!AW188,'Council Entry'!AW$9),'Council Entry'!AW$8),'Council Entry'!AW188)),IF('Council Entry'!AW$4="Exponential",EXP(IF(AND(ISNUMBER('Council Entry'!AW$8),ISNUMBER('Council Entry'!AW$9)),MAX(MIN('Council Entry'!AW188,'Council Entry'!AW$9),'Council Entry'!AW$8),'Council Entry'!AW188)),IF(AND(ISNUMBER('Council Entry'!AW$8),ISNUMBER('Council Entry'!AW$9)),MAX(MIN('Council Entry'!AW188,'Council Entry'!AW$9),'Council Entry'!AW$8),'Council Entry'!AW188))))-'Council Entry'!AW$5)/('Council Entry'!AW$6-'Council Entry'!AW$5),10*((IF('Council Entry'!AW$4="Logarithm",LN(0.001+IF(AND(ISNUMBER('Council Entry'!AW$8),ISNUMBER('Council Entry'!AW$9)),MAX(MIN('Council Entry'!AW188,'Council Entry'!AW$9),'Council Entry'!AW$8),'Council Entry'!AW188)),IF('Council Entry'!AW$4="Exponential",EXP(IF(AND(ISNUMBER('Council Entry'!AW$8),ISNUMBER('Council Entry'!AW$9)),MAX(MIN('Council Entry'!AW188,'Council Entry'!AW$9),'Council Entry'!AW$8),'Council Entry'!AW188)),IF(AND(ISNUMBER('Council Entry'!AW$8),ISNUMBER('Council Entry'!AW$9)),MAX(MIN('Council Entry'!AW188,'Council Entry'!AW$9),'Council Entry'!AW$8),'Council Entry'!AW188))))-'Council Entry'!AW$5)/('Council Entry'!AW$6-'Council Entry'!AW$5)),1))),"No data"))</f>
        <v/>
      </c>
      <c r="AX188" s="13">
        <f>IF('Council Entry'!AX188="","",IFERROR(MAX(0,MIN(10,ROUND(IF('Council Entry'!AX$7="Decrease Risk",10-10*((IF('Council Entry'!AX$4="Logarithm",LN(0.001+IF(AND(ISNUMBER('Council Entry'!AX$8),ISNUMBER('Council Entry'!AX$9)),MAX(MIN('Council Entry'!AX188,'Council Entry'!AX$9),'Council Entry'!AX$8),'Council Entry'!AX188)),IF('Council Entry'!AX$4="Exponential",EXP(IF(AND(ISNUMBER('Council Entry'!AX$8),ISNUMBER('Council Entry'!AX$9)),MAX(MIN('Council Entry'!AX188,'Council Entry'!AX$9),'Council Entry'!AX$8),'Council Entry'!AX188)),IF(AND(ISNUMBER('Council Entry'!AX$8),ISNUMBER('Council Entry'!AX$9)),MAX(MIN('Council Entry'!AX188,'Council Entry'!AX$9),'Council Entry'!AX$8),'Council Entry'!AX188))))-'Council Entry'!AX$5)/('Council Entry'!AX$6-'Council Entry'!AX$5),10*((IF('Council Entry'!AX$4="Logarithm",LN(0.001+IF(AND(ISNUMBER('Council Entry'!AX$8),ISNUMBER('Council Entry'!AX$9)),MAX(MIN('Council Entry'!AX188,'Council Entry'!AX$9),'Council Entry'!AX$8),'Council Entry'!AX188)),IF('Council Entry'!AX$4="Exponential",EXP(IF(AND(ISNUMBER('Council Entry'!AX$8),ISNUMBER('Council Entry'!AX$9)),MAX(MIN('Council Entry'!AX188,'Council Entry'!AX$9),'Council Entry'!AX$8),'Council Entry'!AX188)),IF(AND(ISNUMBER('Council Entry'!AX$8),ISNUMBER('Council Entry'!AX$9)),MAX(MIN('Council Entry'!AX188,'Council Entry'!AX$9),'Council Entry'!AX$8),'Council Entry'!AX188))))-'Council Entry'!AX$5)/('Council Entry'!AX$6-'Council Entry'!AX$5)),1))),"No data"))</f>
        <v/>
      </c>
      <c r="AY188" s="13">
        <f>IF('Council Entry'!AY188="","",IFERROR(MAX(0,MIN(10,ROUND(IF('Council Entry'!AY$7="Decrease Risk",10-10*((IF('Council Entry'!AY$4="Logarithm",LN(0.001+IF(AND(ISNUMBER('Council Entry'!AY$8),ISNUMBER('Council Entry'!AY$9)),MAX(MIN('Council Entry'!AY188,'Council Entry'!AY$9),'Council Entry'!AY$8),'Council Entry'!AY188)),IF('Council Entry'!AY$4="Exponential",EXP(IF(AND(ISNUMBER('Council Entry'!AY$8),ISNUMBER('Council Entry'!AY$9)),MAX(MIN('Council Entry'!AY188,'Council Entry'!AY$9),'Council Entry'!AY$8),'Council Entry'!AY188)),IF(AND(ISNUMBER('Council Entry'!AY$8),ISNUMBER('Council Entry'!AY$9)),MAX(MIN('Council Entry'!AY188,'Council Entry'!AY$9),'Council Entry'!AY$8),'Council Entry'!AY188))))-'Council Entry'!AY$5)/('Council Entry'!AY$6-'Council Entry'!AY$5),10*((IF('Council Entry'!AY$4="Logarithm",LN(0.001+IF(AND(ISNUMBER('Council Entry'!AY$8),ISNUMBER('Council Entry'!AY$9)),MAX(MIN('Council Entry'!AY188,'Council Entry'!AY$9),'Council Entry'!AY$8),'Council Entry'!AY188)),IF('Council Entry'!AY$4="Exponential",EXP(IF(AND(ISNUMBER('Council Entry'!AY$8),ISNUMBER('Council Entry'!AY$9)),MAX(MIN('Council Entry'!AY188,'Council Entry'!AY$9),'Council Entry'!AY$8),'Council Entry'!AY188)),IF(AND(ISNUMBER('Council Entry'!AY$8),ISNUMBER('Council Entry'!AY$9)),MAX(MIN('Council Entry'!AY188,'Council Entry'!AY$9),'Council Entry'!AY$8),'Council Entry'!AY188))))-'Council Entry'!AY$5)/('Council Entry'!AY$6-'Council Entry'!AY$5)),1))),"No data"))</f>
        <v/>
      </c>
      <c r="AZ188" s="13">
        <f>IF('Council Entry'!AZ188="","",IFERROR(MAX(0,MIN(10,ROUND(IF('Council Entry'!AZ$7="Decrease Risk",10-10*((IF('Council Entry'!AZ$4="Logarithm",LN(0.001+IF(AND(ISNUMBER('Council Entry'!AZ$8),ISNUMBER('Council Entry'!AZ$9)),MAX(MIN('Council Entry'!AZ188,'Council Entry'!AZ$9),'Council Entry'!AZ$8),'Council Entry'!AZ188)),IF('Council Entry'!AZ$4="Exponential",EXP(IF(AND(ISNUMBER('Council Entry'!AZ$8),ISNUMBER('Council Entry'!AZ$9)),MAX(MIN('Council Entry'!AZ188,'Council Entry'!AZ$9),'Council Entry'!AZ$8),'Council Entry'!AZ188)),IF(AND(ISNUMBER('Council Entry'!AZ$8),ISNUMBER('Council Entry'!AZ$9)),MAX(MIN('Council Entry'!AZ188,'Council Entry'!AZ$9),'Council Entry'!AZ$8),'Council Entry'!AZ188))))-'Council Entry'!AZ$5)/('Council Entry'!AZ$6-'Council Entry'!AZ$5),10*((IF('Council Entry'!AZ$4="Logarithm",LN(0.001+IF(AND(ISNUMBER('Council Entry'!AZ$8),ISNUMBER('Council Entry'!AZ$9)),MAX(MIN('Council Entry'!AZ188,'Council Entry'!AZ$9),'Council Entry'!AZ$8),'Council Entry'!AZ188)),IF('Council Entry'!AZ$4="Exponential",EXP(IF(AND(ISNUMBER('Council Entry'!AZ$8),ISNUMBER('Council Entry'!AZ$9)),MAX(MIN('Council Entry'!AZ188,'Council Entry'!AZ$9),'Council Entry'!AZ$8),'Council Entry'!AZ188)),IF(AND(ISNUMBER('Council Entry'!AZ$8),ISNUMBER('Council Entry'!AZ$9)),MAX(MIN('Council Entry'!AZ188,'Council Entry'!AZ$9),'Council Entry'!AZ$8),'Council Entry'!AZ188))))-'Council Entry'!AZ$5)/('Council Entry'!AZ$6-'Council Entry'!AZ$5)),1))),"No data"))</f>
        <v/>
      </c>
      <c r="BA188" s="13">
        <f>IF('Council Entry'!BA188="","",IFERROR(MAX(0,MIN(10,ROUND(IF('Council Entry'!BA$7="Decrease Risk",10-10*((IF('Council Entry'!BA$4="Logarithm",LN(0.001+IF(AND(ISNUMBER('Council Entry'!BA$8),ISNUMBER('Council Entry'!BA$9)),MAX(MIN('Council Entry'!BA188,'Council Entry'!BA$9),'Council Entry'!BA$8),'Council Entry'!BA188)),IF('Council Entry'!BA$4="Exponential",EXP(IF(AND(ISNUMBER('Council Entry'!BA$8),ISNUMBER('Council Entry'!BA$9)),MAX(MIN('Council Entry'!BA188,'Council Entry'!BA$9),'Council Entry'!BA$8),'Council Entry'!BA188)),IF(AND(ISNUMBER('Council Entry'!BA$8),ISNUMBER('Council Entry'!BA$9)),MAX(MIN('Council Entry'!BA188,'Council Entry'!BA$9),'Council Entry'!BA$8),'Council Entry'!BA188))))-'Council Entry'!BA$5)/('Council Entry'!BA$6-'Council Entry'!BA$5),10*((IF('Council Entry'!BA$4="Logarithm",LN(0.001+IF(AND(ISNUMBER('Council Entry'!BA$8),ISNUMBER('Council Entry'!BA$9)),MAX(MIN('Council Entry'!BA188,'Council Entry'!BA$9),'Council Entry'!BA$8),'Council Entry'!BA188)),IF('Council Entry'!BA$4="Exponential",EXP(IF(AND(ISNUMBER('Council Entry'!BA$8),ISNUMBER('Council Entry'!BA$9)),MAX(MIN('Council Entry'!BA188,'Council Entry'!BA$9),'Council Entry'!BA$8),'Council Entry'!BA188)),IF(AND(ISNUMBER('Council Entry'!BA$8),ISNUMBER('Council Entry'!BA$9)),MAX(MIN('Council Entry'!BA188,'Council Entry'!BA$9),'Council Entry'!BA$8),'Council Entry'!BA188))))-'Council Entry'!BA$5)/('Council Entry'!BA$6-'Council Entry'!BA$5)),1))),"No data"))</f>
        <v/>
      </c>
      <c r="BB188" s="13">
        <f>IF('Council Entry'!BB188="","",IFERROR(MAX(0,MIN(10,ROUND(IF('Council Entry'!BB$7="Decrease Risk",10-10*((IF('Council Entry'!BB$4="Logarithm",LN(0.001+IF(AND(ISNUMBER('Council Entry'!BB$8),ISNUMBER('Council Entry'!BB$9)),MAX(MIN('Council Entry'!BB188,'Council Entry'!BB$9),'Council Entry'!BB$8),'Council Entry'!BB188)),IF('Council Entry'!BB$4="Exponential",EXP(IF(AND(ISNUMBER('Council Entry'!BB$8),ISNUMBER('Council Entry'!BB$9)),MAX(MIN('Council Entry'!BB188,'Council Entry'!BB$9),'Council Entry'!BB$8),'Council Entry'!BB188)),IF(AND(ISNUMBER('Council Entry'!BB$8),ISNUMBER('Council Entry'!BB$9)),MAX(MIN('Council Entry'!BB188,'Council Entry'!BB$9),'Council Entry'!BB$8),'Council Entry'!BB188))))-'Council Entry'!BB$5)/('Council Entry'!BB$6-'Council Entry'!BB$5),10*((IF('Council Entry'!BB$4="Logarithm",LN(0.001+IF(AND(ISNUMBER('Council Entry'!BB$8),ISNUMBER('Council Entry'!BB$9)),MAX(MIN('Council Entry'!BB188,'Council Entry'!BB$9),'Council Entry'!BB$8),'Council Entry'!BB188)),IF('Council Entry'!BB$4="Exponential",EXP(IF(AND(ISNUMBER('Council Entry'!BB$8),ISNUMBER('Council Entry'!BB$9)),MAX(MIN('Council Entry'!BB188,'Council Entry'!BB$9),'Council Entry'!BB$8),'Council Entry'!BB188)),IF(AND(ISNUMBER('Council Entry'!BB$8),ISNUMBER('Council Entry'!BB$9)),MAX(MIN('Council Entry'!BB188,'Council Entry'!BB$9),'Council Entry'!BB$8),'Council Entry'!BB188))))-'Council Entry'!BB$5)/('Council Entry'!BB$6-'Council Entry'!BB$5)),1))),"No data"))</f>
        <v/>
      </c>
      <c r="BC188" s="13">
        <f>IF('Council Entry'!BC188="","",IFERROR(MAX(0,MIN(10,ROUND(IF('Council Entry'!BC$7="Decrease Risk",10-10*((IF('Council Entry'!BC$4="Logarithm",LN(0.001+IF(AND(ISNUMBER('Council Entry'!BC$8),ISNUMBER('Council Entry'!BC$9)),MAX(MIN('Council Entry'!BC188,'Council Entry'!BC$9),'Council Entry'!BC$8),'Council Entry'!BC188)),IF('Council Entry'!BC$4="Exponential",EXP(IF(AND(ISNUMBER('Council Entry'!BC$8),ISNUMBER('Council Entry'!BC$9)),MAX(MIN('Council Entry'!BC188,'Council Entry'!BC$9),'Council Entry'!BC$8),'Council Entry'!BC188)),IF(AND(ISNUMBER('Council Entry'!BC$8),ISNUMBER('Council Entry'!BC$9)),MAX(MIN('Council Entry'!BC188,'Council Entry'!BC$9),'Council Entry'!BC$8),'Council Entry'!BC188))))-'Council Entry'!BC$5)/('Council Entry'!BC$6-'Council Entry'!BC$5),10*((IF('Council Entry'!BC$4="Logarithm",LN(0.001+IF(AND(ISNUMBER('Council Entry'!BC$8),ISNUMBER('Council Entry'!BC$9)),MAX(MIN('Council Entry'!BC188,'Council Entry'!BC$9),'Council Entry'!BC$8),'Council Entry'!BC188)),IF('Council Entry'!BC$4="Exponential",EXP(IF(AND(ISNUMBER('Council Entry'!BC$8),ISNUMBER('Council Entry'!BC$9)),MAX(MIN('Council Entry'!BC188,'Council Entry'!BC$9),'Council Entry'!BC$8),'Council Entry'!BC188)),IF(AND(ISNUMBER('Council Entry'!BC$8),ISNUMBER('Council Entry'!BC$9)),MAX(MIN('Council Entry'!BC188,'Council Entry'!BC$9),'Council Entry'!BC$8),'Council Entry'!BC188))))-'Council Entry'!BC$5)/('Council Entry'!BC$6-'Council Entry'!BC$5)),1))),"No data"))</f>
        <v/>
      </c>
      <c r="BD188" s="13">
        <f>IF('Council Entry'!BD188="","",IFERROR(MAX(0,MIN(10,ROUND(IF('Council Entry'!BD$7="Decrease Risk",10-10*((IF('Council Entry'!BD$4="Logarithm",LN(0.001+IF(AND(ISNUMBER('Council Entry'!BD$8),ISNUMBER('Council Entry'!BD$9)),MAX(MIN('Council Entry'!BD188,'Council Entry'!BD$9),'Council Entry'!BD$8),'Council Entry'!BD188)),IF('Council Entry'!BD$4="Exponential",EXP(IF(AND(ISNUMBER('Council Entry'!BD$8),ISNUMBER('Council Entry'!BD$9)),MAX(MIN('Council Entry'!BD188,'Council Entry'!BD$9),'Council Entry'!BD$8),'Council Entry'!BD188)),IF(AND(ISNUMBER('Council Entry'!BD$8),ISNUMBER('Council Entry'!BD$9)),MAX(MIN('Council Entry'!BD188,'Council Entry'!BD$9),'Council Entry'!BD$8),'Council Entry'!BD188))))-'Council Entry'!BD$5)/('Council Entry'!BD$6-'Council Entry'!BD$5),10*((IF('Council Entry'!BD$4="Logarithm",LN(0.001+IF(AND(ISNUMBER('Council Entry'!BD$8),ISNUMBER('Council Entry'!BD$9)),MAX(MIN('Council Entry'!BD188,'Council Entry'!BD$9),'Council Entry'!BD$8),'Council Entry'!BD188)),IF('Council Entry'!BD$4="Exponential",EXP(IF(AND(ISNUMBER('Council Entry'!BD$8),ISNUMBER('Council Entry'!BD$9)),MAX(MIN('Council Entry'!BD188,'Council Entry'!BD$9),'Council Entry'!BD$8),'Council Entry'!BD188)),IF(AND(ISNUMBER('Council Entry'!BD$8),ISNUMBER('Council Entry'!BD$9)),MAX(MIN('Council Entry'!BD188,'Council Entry'!BD$9),'Council Entry'!BD$8),'Council Entry'!BD188))))-'Council Entry'!BD$5)/('Council Entry'!BD$6-'Council Entry'!BD$5)),1))),"No data"))</f>
        <v/>
      </c>
    </row>
    <row r="189">
      <c r="A189" t="inlineStr">
        <is>
          <t>Tabora</t>
        </is>
      </c>
      <c r="B189" t="inlineStr">
        <is>
          <t>Nzega District</t>
        </is>
      </c>
      <c r="C189" t="inlineStr">
        <is>
          <t>C100</t>
        </is>
      </c>
      <c r="D189" s="13">
        <f>IF('Council Entry'!D189="","",IFERROR(MAX(0,MIN(10,ROUND(IF('Council Entry'!D$7="Decrease Risk",10-10*((IF('Council Entry'!D$4="Logarithm",LN(0.001+IF(AND(ISNUMBER('Council Entry'!D$8),ISNUMBER('Council Entry'!D$9)),MAX(MIN('Council Entry'!D189,'Council Entry'!D$9),'Council Entry'!D$8),'Council Entry'!D189)),IF('Council Entry'!D$4="Exponential",EXP(IF(AND(ISNUMBER('Council Entry'!D$8),ISNUMBER('Council Entry'!D$9)),MAX(MIN('Council Entry'!D189,'Council Entry'!D$9),'Council Entry'!D$8),'Council Entry'!D189)),IF(AND(ISNUMBER('Council Entry'!D$8),ISNUMBER('Council Entry'!D$9)),MAX(MIN('Council Entry'!D189,'Council Entry'!D$9),'Council Entry'!D$8),'Council Entry'!D189))))-'Council Entry'!D$5)/('Council Entry'!D$6-'Council Entry'!D$5),10*((IF('Council Entry'!D$4="Logarithm",LN(0.001+IF(AND(ISNUMBER('Council Entry'!D$8),ISNUMBER('Council Entry'!D$9)),MAX(MIN('Council Entry'!D189,'Council Entry'!D$9),'Council Entry'!D$8),'Council Entry'!D189)),IF('Council Entry'!D$4="Exponential",EXP(IF(AND(ISNUMBER('Council Entry'!D$8),ISNUMBER('Council Entry'!D$9)),MAX(MIN('Council Entry'!D189,'Council Entry'!D$9),'Council Entry'!D$8),'Council Entry'!D189)),IF(AND(ISNUMBER('Council Entry'!D$8),ISNUMBER('Council Entry'!D$9)),MAX(MIN('Council Entry'!D189,'Council Entry'!D$9),'Council Entry'!D$8),'Council Entry'!D189))))-'Council Entry'!D$5)/('Council Entry'!D$6-'Council Entry'!D$5)),1))),"No data"))</f>
        <v/>
      </c>
      <c r="E189" s="13">
        <f>IF('Council Entry'!E189="","",IFERROR(MAX(0,MIN(10,ROUND(IF('Council Entry'!E$7="Decrease Risk",10-10*((IF('Council Entry'!E$4="Logarithm",LN(0.001+IF(AND(ISNUMBER('Council Entry'!E$8),ISNUMBER('Council Entry'!E$9)),MAX(MIN('Council Entry'!E189,'Council Entry'!E$9),'Council Entry'!E$8),'Council Entry'!E189)),IF('Council Entry'!E$4="Exponential",EXP(IF(AND(ISNUMBER('Council Entry'!E$8),ISNUMBER('Council Entry'!E$9)),MAX(MIN('Council Entry'!E189,'Council Entry'!E$9),'Council Entry'!E$8),'Council Entry'!E189)),IF(AND(ISNUMBER('Council Entry'!E$8),ISNUMBER('Council Entry'!E$9)),MAX(MIN('Council Entry'!E189,'Council Entry'!E$9),'Council Entry'!E$8),'Council Entry'!E189))))-'Council Entry'!E$5)/('Council Entry'!E$6-'Council Entry'!E$5),10*((IF('Council Entry'!E$4="Logarithm",LN(0.001+IF(AND(ISNUMBER('Council Entry'!E$8),ISNUMBER('Council Entry'!E$9)),MAX(MIN('Council Entry'!E189,'Council Entry'!E$9),'Council Entry'!E$8),'Council Entry'!E189)),IF('Council Entry'!E$4="Exponential",EXP(IF(AND(ISNUMBER('Council Entry'!E$8),ISNUMBER('Council Entry'!E$9)),MAX(MIN('Council Entry'!E189,'Council Entry'!E$9),'Council Entry'!E$8),'Council Entry'!E189)),IF(AND(ISNUMBER('Council Entry'!E$8),ISNUMBER('Council Entry'!E$9)),MAX(MIN('Council Entry'!E189,'Council Entry'!E$9),'Council Entry'!E$8),'Council Entry'!E189))))-'Council Entry'!E$5)/('Council Entry'!E$6-'Council Entry'!E$5)),1))),"No data"))</f>
        <v/>
      </c>
      <c r="F189" s="13">
        <f>IF('Council Entry'!F189="","",IFERROR(MAX(0,MIN(10,ROUND(IF('Council Entry'!F$7="Decrease Risk",10-10*((IF('Council Entry'!F$4="Logarithm",LN(0.001+IF(AND(ISNUMBER('Council Entry'!F$8),ISNUMBER('Council Entry'!F$9)),MAX(MIN('Council Entry'!F189,'Council Entry'!F$9),'Council Entry'!F$8),'Council Entry'!F189)),IF('Council Entry'!F$4="Exponential",EXP(IF(AND(ISNUMBER('Council Entry'!F$8),ISNUMBER('Council Entry'!F$9)),MAX(MIN('Council Entry'!F189,'Council Entry'!F$9),'Council Entry'!F$8),'Council Entry'!F189)),IF(AND(ISNUMBER('Council Entry'!F$8),ISNUMBER('Council Entry'!F$9)),MAX(MIN('Council Entry'!F189,'Council Entry'!F$9),'Council Entry'!F$8),'Council Entry'!F189))))-'Council Entry'!F$5)/('Council Entry'!F$6-'Council Entry'!F$5),10*((IF('Council Entry'!F$4="Logarithm",LN(0.001+IF(AND(ISNUMBER('Council Entry'!F$8),ISNUMBER('Council Entry'!F$9)),MAX(MIN('Council Entry'!F189,'Council Entry'!F$9),'Council Entry'!F$8),'Council Entry'!F189)),IF('Council Entry'!F$4="Exponential",EXP(IF(AND(ISNUMBER('Council Entry'!F$8),ISNUMBER('Council Entry'!F$9)),MAX(MIN('Council Entry'!F189,'Council Entry'!F$9),'Council Entry'!F$8),'Council Entry'!F189)),IF(AND(ISNUMBER('Council Entry'!F$8),ISNUMBER('Council Entry'!F$9)),MAX(MIN('Council Entry'!F189,'Council Entry'!F$9),'Council Entry'!F$8),'Council Entry'!F189))))-'Council Entry'!F$5)/('Council Entry'!F$6-'Council Entry'!F$5)),1))),"No data"))</f>
        <v/>
      </c>
      <c r="G189" s="13">
        <f>IF('Council Entry'!G189="","",IFERROR(MAX(0,MIN(10,ROUND(IF('Council Entry'!G$7="Decrease Risk",10-10*((IF('Council Entry'!G$4="Logarithm",LN(0.001+IF(AND(ISNUMBER('Council Entry'!G$8),ISNUMBER('Council Entry'!G$9)),MAX(MIN('Council Entry'!G189,'Council Entry'!G$9),'Council Entry'!G$8),'Council Entry'!G189)),IF('Council Entry'!G$4="Exponential",EXP(IF(AND(ISNUMBER('Council Entry'!G$8),ISNUMBER('Council Entry'!G$9)),MAX(MIN('Council Entry'!G189,'Council Entry'!G$9),'Council Entry'!G$8),'Council Entry'!G189)),IF(AND(ISNUMBER('Council Entry'!G$8),ISNUMBER('Council Entry'!G$9)),MAX(MIN('Council Entry'!G189,'Council Entry'!G$9),'Council Entry'!G$8),'Council Entry'!G189))))-'Council Entry'!G$5)/('Council Entry'!G$6-'Council Entry'!G$5),10*((IF('Council Entry'!G$4="Logarithm",LN(0.001+IF(AND(ISNUMBER('Council Entry'!G$8),ISNUMBER('Council Entry'!G$9)),MAX(MIN('Council Entry'!G189,'Council Entry'!G$9),'Council Entry'!G$8),'Council Entry'!G189)),IF('Council Entry'!G$4="Exponential",EXP(IF(AND(ISNUMBER('Council Entry'!G$8),ISNUMBER('Council Entry'!G$9)),MAX(MIN('Council Entry'!G189,'Council Entry'!G$9),'Council Entry'!G$8),'Council Entry'!G189)),IF(AND(ISNUMBER('Council Entry'!G$8),ISNUMBER('Council Entry'!G$9)),MAX(MIN('Council Entry'!G189,'Council Entry'!G$9),'Council Entry'!G$8),'Council Entry'!G189))))-'Council Entry'!G$5)/('Council Entry'!G$6-'Council Entry'!G$5)),1))),"No data"))</f>
        <v/>
      </c>
      <c r="H189" s="13">
        <f>IF('Council Entry'!H189="","",IFERROR(MAX(0,MIN(10,ROUND(IF('Council Entry'!H$7="Decrease Risk",10-10*((IF('Council Entry'!H$4="Logarithm",LN(0.001+IF(AND(ISNUMBER('Council Entry'!H$8),ISNUMBER('Council Entry'!H$9)),MAX(MIN('Council Entry'!H189,'Council Entry'!H$9),'Council Entry'!H$8),'Council Entry'!H189)),IF('Council Entry'!H$4="Exponential",EXP(IF(AND(ISNUMBER('Council Entry'!H$8),ISNUMBER('Council Entry'!H$9)),MAX(MIN('Council Entry'!H189,'Council Entry'!H$9),'Council Entry'!H$8),'Council Entry'!H189)),IF(AND(ISNUMBER('Council Entry'!H$8),ISNUMBER('Council Entry'!H$9)),MAX(MIN('Council Entry'!H189,'Council Entry'!H$9),'Council Entry'!H$8),'Council Entry'!H189))))-'Council Entry'!H$5)/('Council Entry'!H$6-'Council Entry'!H$5),10*((IF('Council Entry'!H$4="Logarithm",LN(0.001+IF(AND(ISNUMBER('Council Entry'!H$8),ISNUMBER('Council Entry'!H$9)),MAX(MIN('Council Entry'!H189,'Council Entry'!H$9),'Council Entry'!H$8),'Council Entry'!H189)),IF('Council Entry'!H$4="Exponential",EXP(IF(AND(ISNUMBER('Council Entry'!H$8),ISNUMBER('Council Entry'!H$9)),MAX(MIN('Council Entry'!H189,'Council Entry'!H$9),'Council Entry'!H$8),'Council Entry'!H189)),IF(AND(ISNUMBER('Council Entry'!H$8),ISNUMBER('Council Entry'!H$9)),MAX(MIN('Council Entry'!H189,'Council Entry'!H$9),'Council Entry'!H$8),'Council Entry'!H189))))-'Council Entry'!H$5)/('Council Entry'!H$6-'Council Entry'!H$5)),1))),"No data"))</f>
        <v/>
      </c>
      <c r="I189" s="13">
        <f>IF('Council Entry'!I189="","",IFERROR(MAX(0,MIN(10,ROUND(IF('Council Entry'!I$7="Decrease Risk",10-10*((IF('Council Entry'!I$4="Logarithm",LN(0.001+IF(AND(ISNUMBER('Council Entry'!I$8),ISNUMBER('Council Entry'!I$9)),MAX(MIN('Council Entry'!I189,'Council Entry'!I$9),'Council Entry'!I$8),'Council Entry'!I189)),IF('Council Entry'!I$4="Exponential",EXP(IF(AND(ISNUMBER('Council Entry'!I$8),ISNUMBER('Council Entry'!I$9)),MAX(MIN('Council Entry'!I189,'Council Entry'!I$9),'Council Entry'!I$8),'Council Entry'!I189)),IF(AND(ISNUMBER('Council Entry'!I$8),ISNUMBER('Council Entry'!I$9)),MAX(MIN('Council Entry'!I189,'Council Entry'!I$9),'Council Entry'!I$8),'Council Entry'!I189))))-'Council Entry'!I$5)/('Council Entry'!I$6-'Council Entry'!I$5),10*((IF('Council Entry'!I$4="Logarithm",LN(0.001+IF(AND(ISNUMBER('Council Entry'!I$8),ISNUMBER('Council Entry'!I$9)),MAX(MIN('Council Entry'!I189,'Council Entry'!I$9),'Council Entry'!I$8),'Council Entry'!I189)),IF('Council Entry'!I$4="Exponential",EXP(IF(AND(ISNUMBER('Council Entry'!I$8),ISNUMBER('Council Entry'!I$9)),MAX(MIN('Council Entry'!I189,'Council Entry'!I$9),'Council Entry'!I$8),'Council Entry'!I189)),IF(AND(ISNUMBER('Council Entry'!I$8),ISNUMBER('Council Entry'!I$9)),MAX(MIN('Council Entry'!I189,'Council Entry'!I$9),'Council Entry'!I$8),'Council Entry'!I189))))-'Council Entry'!I$5)/('Council Entry'!I$6-'Council Entry'!I$5)),1))),"No data"))</f>
        <v/>
      </c>
      <c r="J189" s="13">
        <f>IF('Council Entry'!J189="","",IFERROR(MAX(0,MIN(10,ROUND(IF('Council Entry'!J$7="Decrease Risk",10-10*((IF('Council Entry'!J$4="Logarithm",LN(0.001+IF(AND(ISNUMBER('Council Entry'!J$8),ISNUMBER('Council Entry'!J$9)),MAX(MIN('Council Entry'!J189,'Council Entry'!J$9),'Council Entry'!J$8),'Council Entry'!J189)),IF('Council Entry'!J$4="Exponential",EXP(IF(AND(ISNUMBER('Council Entry'!J$8),ISNUMBER('Council Entry'!J$9)),MAX(MIN('Council Entry'!J189,'Council Entry'!J$9),'Council Entry'!J$8),'Council Entry'!J189)),IF(AND(ISNUMBER('Council Entry'!J$8),ISNUMBER('Council Entry'!J$9)),MAX(MIN('Council Entry'!J189,'Council Entry'!J$9),'Council Entry'!J$8),'Council Entry'!J189))))-'Council Entry'!J$5)/('Council Entry'!J$6-'Council Entry'!J$5),10*((IF('Council Entry'!J$4="Logarithm",LN(0.001+IF(AND(ISNUMBER('Council Entry'!J$8),ISNUMBER('Council Entry'!J$9)),MAX(MIN('Council Entry'!J189,'Council Entry'!J$9),'Council Entry'!J$8),'Council Entry'!J189)),IF('Council Entry'!J$4="Exponential",EXP(IF(AND(ISNUMBER('Council Entry'!J$8),ISNUMBER('Council Entry'!J$9)),MAX(MIN('Council Entry'!J189,'Council Entry'!J$9),'Council Entry'!J$8),'Council Entry'!J189)),IF(AND(ISNUMBER('Council Entry'!J$8),ISNUMBER('Council Entry'!J$9)),MAX(MIN('Council Entry'!J189,'Council Entry'!J$9),'Council Entry'!J$8),'Council Entry'!J189))))-'Council Entry'!J$5)/('Council Entry'!J$6-'Council Entry'!J$5)),1))),"No data"))</f>
        <v/>
      </c>
      <c r="K189" s="13">
        <f>IF('Council Entry'!K189="","",IFERROR(MAX(0,MIN(10,ROUND(IF('Council Entry'!K$7="Decrease Risk",10-10*((IF('Council Entry'!K$4="Logarithm",LN(0.001+IF(AND(ISNUMBER('Council Entry'!K$8),ISNUMBER('Council Entry'!K$9)),MAX(MIN('Council Entry'!K189,'Council Entry'!K$9),'Council Entry'!K$8),'Council Entry'!K189)),IF('Council Entry'!K$4="Exponential",EXP(IF(AND(ISNUMBER('Council Entry'!K$8),ISNUMBER('Council Entry'!K$9)),MAX(MIN('Council Entry'!K189,'Council Entry'!K$9),'Council Entry'!K$8),'Council Entry'!K189)),IF(AND(ISNUMBER('Council Entry'!K$8),ISNUMBER('Council Entry'!K$9)),MAX(MIN('Council Entry'!K189,'Council Entry'!K$9),'Council Entry'!K$8),'Council Entry'!K189))))-'Council Entry'!K$5)/('Council Entry'!K$6-'Council Entry'!K$5),10*((IF('Council Entry'!K$4="Logarithm",LN(0.001+IF(AND(ISNUMBER('Council Entry'!K$8),ISNUMBER('Council Entry'!K$9)),MAX(MIN('Council Entry'!K189,'Council Entry'!K$9),'Council Entry'!K$8),'Council Entry'!K189)),IF('Council Entry'!K$4="Exponential",EXP(IF(AND(ISNUMBER('Council Entry'!K$8),ISNUMBER('Council Entry'!K$9)),MAX(MIN('Council Entry'!K189,'Council Entry'!K$9),'Council Entry'!K$8),'Council Entry'!K189)),IF(AND(ISNUMBER('Council Entry'!K$8),ISNUMBER('Council Entry'!K$9)),MAX(MIN('Council Entry'!K189,'Council Entry'!K$9),'Council Entry'!K$8),'Council Entry'!K189))))-'Council Entry'!K$5)/('Council Entry'!K$6-'Council Entry'!K$5)),1))),"No data"))</f>
        <v/>
      </c>
      <c r="L189" s="13">
        <f>IF('Council Entry'!L189="","",IFERROR(MAX(0,MIN(10,ROUND(IF('Council Entry'!L$7="Decrease Risk",10-10*((IF('Council Entry'!L$4="Logarithm",LN(0.001+IF(AND(ISNUMBER('Council Entry'!L$8),ISNUMBER('Council Entry'!L$9)),MAX(MIN('Council Entry'!L189,'Council Entry'!L$9),'Council Entry'!L$8),'Council Entry'!L189)),IF('Council Entry'!L$4="Exponential",EXP(IF(AND(ISNUMBER('Council Entry'!L$8),ISNUMBER('Council Entry'!L$9)),MAX(MIN('Council Entry'!L189,'Council Entry'!L$9),'Council Entry'!L$8),'Council Entry'!L189)),IF(AND(ISNUMBER('Council Entry'!L$8),ISNUMBER('Council Entry'!L$9)),MAX(MIN('Council Entry'!L189,'Council Entry'!L$9),'Council Entry'!L$8),'Council Entry'!L189))))-'Council Entry'!L$5)/('Council Entry'!L$6-'Council Entry'!L$5),10*((IF('Council Entry'!L$4="Logarithm",LN(0.001+IF(AND(ISNUMBER('Council Entry'!L$8),ISNUMBER('Council Entry'!L$9)),MAX(MIN('Council Entry'!L189,'Council Entry'!L$9),'Council Entry'!L$8),'Council Entry'!L189)),IF('Council Entry'!L$4="Exponential",EXP(IF(AND(ISNUMBER('Council Entry'!L$8),ISNUMBER('Council Entry'!L$9)),MAX(MIN('Council Entry'!L189,'Council Entry'!L$9),'Council Entry'!L$8),'Council Entry'!L189)),IF(AND(ISNUMBER('Council Entry'!L$8),ISNUMBER('Council Entry'!L$9)),MAX(MIN('Council Entry'!L189,'Council Entry'!L$9),'Council Entry'!L$8),'Council Entry'!L189))))-'Council Entry'!L$5)/('Council Entry'!L$6-'Council Entry'!L$5)),1))),"No data"))</f>
        <v/>
      </c>
      <c r="M189" s="13">
        <f>IF('Council Entry'!M189="","",IFERROR(MAX(0,MIN(10,ROUND(IF('Council Entry'!M$7="Decrease Risk",10-10*((IF('Council Entry'!M$4="Logarithm",LN(0.001+IF(AND(ISNUMBER('Council Entry'!M$8),ISNUMBER('Council Entry'!M$9)),MAX(MIN('Council Entry'!M189,'Council Entry'!M$9),'Council Entry'!M$8),'Council Entry'!M189)),IF('Council Entry'!M$4="Exponential",EXP(IF(AND(ISNUMBER('Council Entry'!M$8),ISNUMBER('Council Entry'!M$9)),MAX(MIN('Council Entry'!M189,'Council Entry'!M$9),'Council Entry'!M$8),'Council Entry'!M189)),IF(AND(ISNUMBER('Council Entry'!M$8),ISNUMBER('Council Entry'!M$9)),MAX(MIN('Council Entry'!M189,'Council Entry'!M$9),'Council Entry'!M$8),'Council Entry'!M189))))-'Council Entry'!M$5)/('Council Entry'!M$6-'Council Entry'!M$5),10*((IF('Council Entry'!M$4="Logarithm",LN(0.001+IF(AND(ISNUMBER('Council Entry'!M$8),ISNUMBER('Council Entry'!M$9)),MAX(MIN('Council Entry'!M189,'Council Entry'!M$9),'Council Entry'!M$8),'Council Entry'!M189)),IF('Council Entry'!M$4="Exponential",EXP(IF(AND(ISNUMBER('Council Entry'!M$8),ISNUMBER('Council Entry'!M$9)),MAX(MIN('Council Entry'!M189,'Council Entry'!M$9),'Council Entry'!M$8),'Council Entry'!M189)),IF(AND(ISNUMBER('Council Entry'!M$8),ISNUMBER('Council Entry'!M$9)),MAX(MIN('Council Entry'!M189,'Council Entry'!M$9),'Council Entry'!M$8),'Council Entry'!M189))))-'Council Entry'!M$5)/('Council Entry'!M$6-'Council Entry'!M$5)),1))),"No data"))</f>
        <v/>
      </c>
      <c r="N189" s="13">
        <f>IF('Council Entry'!N189="","",IFERROR(MAX(0,MIN(10,ROUND(IF('Council Entry'!N$7="Decrease Risk",10-10*((IF('Council Entry'!N$4="Logarithm",LN(0.001+IF(AND(ISNUMBER('Council Entry'!N$8),ISNUMBER('Council Entry'!N$9)),MAX(MIN('Council Entry'!N189,'Council Entry'!N$9),'Council Entry'!N$8),'Council Entry'!N189)),IF('Council Entry'!N$4="Exponential",EXP(IF(AND(ISNUMBER('Council Entry'!N$8),ISNUMBER('Council Entry'!N$9)),MAX(MIN('Council Entry'!N189,'Council Entry'!N$9),'Council Entry'!N$8),'Council Entry'!N189)),IF(AND(ISNUMBER('Council Entry'!N$8),ISNUMBER('Council Entry'!N$9)),MAX(MIN('Council Entry'!N189,'Council Entry'!N$9),'Council Entry'!N$8),'Council Entry'!N189))))-'Council Entry'!N$5)/('Council Entry'!N$6-'Council Entry'!N$5),10*((IF('Council Entry'!N$4="Logarithm",LN(0.001+IF(AND(ISNUMBER('Council Entry'!N$8),ISNUMBER('Council Entry'!N$9)),MAX(MIN('Council Entry'!N189,'Council Entry'!N$9),'Council Entry'!N$8),'Council Entry'!N189)),IF('Council Entry'!N$4="Exponential",EXP(IF(AND(ISNUMBER('Council Entry'!N$8),ISNUMBER('Council Entry'!N$9)),MAX(MIN('Council Entry'!N189,'Council Entry'!N$9),'Council Entry'!N$8),'Council Entry'!N189)),IF(AND(ISNUMBER('Council Entry'!N$8),ISNUMBER('Council Entry'!N$9)),MAX(MIN('Council Entry'!N189,'Council Entry'!N$9),'Council Entry'!N$8),'Council Entry'!N189))))-'Council Entry'!N$5)/('Council Entry'!N$6-'Council Entry'!N$5)),1))),"No data"))</f>
        <v/>
      </c>
      <c r="O189" s="13">
        <f>IF('Council Entry'!O189="","",IFERROR(MAX(0,MIN(10,ROUND(IF('Council Entry'!O$7="Decrease Risk",10-10*((IF('Council Entry'!O$4="Logarithm",LN(0.001+IF(AND(ISNUMBER('Council Entry'!O$8),ISNUMBER('Council Entry'!O$9)),MAX(MIN('Council Entry'!O189,'Council Entry'!O$9),'Council Entry'!O$8),'Council Entry'!O189)),IF('Council Entry'!O$4="Exponential",EXP(IF(AND(ISNUMBER('Council Entry'!O$8),ISNUMBER('Council Entry'!O$9)),MAX(MIN('Council Entry'!O189,'Council Entry'!O$9),'Council Entry'!O$8),'Council Entry'!O189)),IF(AND(ISNUMBER('Council Entry'!O$8),ISNUMBER('Council Entry'!O$9)),MAX(MIN('Council Entry'!O189,'Council Entry'!O$9),'Council Entry'!O$8),'Council Entry'!O189))))-'Council Entry'!O$5)/('Council Entry'!O$6-'Council Entry'!O$5),10*((IF('Council Entry'!O$4="Logarithm",LN(0.001+IF(AND(ISNUMBER('Council Entry'!O$8),ISNUMBER('Council Entry'!O$9)),MAX(MIN('Council Entry'!O189,'Council Entry'!O$9),'Council Entry'!O$8),'Council Entry'!O189)),IF('Council Entry'!O$4="Exponential",EXP(IF(AND(ISNUMBER('Council Entry'!O$8),ISNUMBER('Council Entry'!O$9)),MAX(MIN('Council Entry'!O189,'Council Entry'!O$9),'Council Entry'!O$8),'Council Entry'!O189)),IF(AND(ISNUMBER('Council Entry'!O$8),ISNUMBER('Council Entry'!O$9)),MAX(MIN('Council Entry'!O189,'Council Entry'!O$9),'Council Entry'!O$8),'Council Entry'!O189))))-'Council Entry'!O$5)/('Council Entry'!O$6-'Council Entry'!O$5)),1))),"No data"))</f>
        <v/>
      </c>
      <c r="P189" s="13">
        <f>IF('Council Entry'!P189="","",IFERROR(MAX(0,MIN(10,ROUND(IF('Council Entry'!P$7="Decrease Risk",10-10*((IF('Council Entry'!P$4="Logarithm",LN(0.001+IF(AND(ISNUMBER('Council Entry'!P$8),ISNUMBER('Council Entry'!P$9)),MAX(MIN('Council Entry'!P189,'Council Entry'!P$9),'Council Entry'!P$8),'Council Entry'!P189)),IF('Council Entry'!P$4="Exponential",EXP(IF(AND(ISNUMBER('Council Entry'!P$8),ISNUMBER('Council Entry'!P$9)),MAX(MIN('Council Entry'!P189,'Council Entry'!P$9),'Council Entry'!P$8),'Council Entry'!P189)),IF(AND(ISNUMBER('Council Entry'!P$8),ISNUMBER('Council Entry'!P$9)),MAX(MIN('Council Entry'!P189,'Council Entry'!P$9),'Council Entry'!P$8),'Council Entry'!P189))))-'Council Entry'!P$5)/('Council Entry'!P$6-'Council Entry'!P$5),10*((IF('Council Entry'!P$4="Logarithm",LN(0.001+IF(AND(ISNUMBER('Council Entry'!P$8),ISNUMBER('Council Entry'!P$9)),MAX(MIN('Council Entry'!P189,'Council Entry'!P$9),'Council Entry'!P$8),'Council Entry'!P189)),IF('Council Entry'!P$4="Exponential",EXP(IF(AND(ISNUMBER('Council Entry'!P$8),ISNUMBER('Council Entry'!P$9)),MAX(MIN('Council Entry'!P189,'Council Entry'!P$9),'Council Entry'!P$8),'Council Entry'!P189)),IF(AND(ISNUMBER('Council Entry'!P$8),ISNUMBER('Council Entry'!P$9)),MAX(MIN('Council Entry'!P189,'Council Entry'!P$9),'Council Entry'!P$8),'Council Entry'!P189))))-'Council Entry'!P$5)/('Council Entry'!P$6-'Council Entry'!P$5)),1))),"No data"))</f>
        <v/>
      </c>
      <c r="Q189" s="13">
        <f>IF('Council Entry'!Q189="","",IFERROR(MAX(0,MIN(10,ROUND(IF('Council Entry'!Q$7="Decrease Risk",10-10*((IF('Council Entry'!Q$4="Logarithm",LN(0.001+IF(AND(ISNUMBER('Council Entry'!Q$8),ISNUMBER('Council Entry'!Q$9)),MAX(MIN('Council Entry'!Q189,'Council Entry'!Q$9),'Council Entry'!Q$8),'Council Entry'!Q189)),IF('Council Entry'!Q$4="Exponential",EXP(IF(AND(ISNUMBER('Council Entry'!Q$8),ISNUMBER('Council Entry'!Q$9)),MAX(MIN('Council Entry'!Q189,'Council Entry'!Q$9),'Council Entry'!Q$8),'Council Entry'!Q189)),IF(AND(ISNUMBER('Council Entry'!Q$8),ISNUMBER('Council Entry'!Q$9)),MAX(MIN('Council Entry'!Q189,'Council Entry'!Q$9),'Council Entry'!Q$8),'Council Entry'!Q189))))-'Council Entry'!Q$5)/('Council Entry'!Q$6-'Council Entry'!Q$5),10*((IF('Council Entry'!Q$4="Logarithm",LN(0.001+IF(AND(ISNUMBER('Council Entry'!Q$8),ISNUMBER('Council Entry'!Q$9)),MAX(MIN('Council Entry'!Q189,'Council Entry'!Q$9),'Council Entry'!Q$8),'Council Entry'!Q189)),IF('Council Entry'!Q$4="Exponential",EXP(IF(AND(ISNUMBER('Council Entry'!Q$8),ISNUMBER('Council Entry'!Q$9)),MAX(MIN('Council Entry'!Q189,'Council Entry'!Q$9),'Council Entry'!Q$8),'Council Entry'!Q189)),IF(AND(ISNUMBER('Council Entry'!Q$8),ISNUMBER('Council Entry'!Q$9)),MAX(MIN('Council Entry'!Q189,'Council Entry'!Q$9),'Council Entry'!Q$8),'Council Entry'!Q189))))-'Council Entry'!Q$5)/('Council Entry'!Q$6-'Council Entry'!Q$5)),1))),"No data"))</f>
        <v/>
      </c>
      <c r="R189" s="13">
        <f>IF('Council Entry'!R189="","",IFERROR(MAX(0,MIN(10,ROUND(IF('Council Entry'!R$7="Decrease Risk",10-10*((IF('Council Entry'!R$4="Logarithm",LN(0.001+IF(AND(ISNUMBER('Council Entry'!R$8),ISNUMBER('Council Entry'!R$9)),MAX(MIN('Council Entry'!R189,'Council Entry'!R$9),'Council Entry'!R$8),'Council Entry'!R189)),IF('Council Entry'!R$4="Exponential",EXP(IF(AND(ISNUMBER('Council Entry'!R$8),ISNUMBER('Council Entry'!R$9)),MAX(MIN('Council Entry'!R189,'Council Entry'!R$9),'Council Entry'!R$8),'Council Entry'!R189)),IF(AND(ISNUMBER('Council Entry'!R$8),ISNUMBER('Council Entry'!R$9)),MAX(MIN('Council Entry'!R189,'Council Entry'!R$9),'Council Entry'!R$8),'Council Entry'!R189))))-'Council Entry'!R$5)/('Council Entry'!R$6-'Council Entry'!R$5),10*((IF('Council Entry'!R$4="Logarithm",LN(0.001+IF(AND(ISNUMBER('Council Entry'!R$8),ISNUMBER('Council Entry'!R$9)),MAX(MIN('Council Entry'!R189,'Council Entry'!R$9),'Council Entry'!R$8),'Council Entry'!R189)),IF('Council Entry'!R$4="Exponential",EXP(IF(AND(ISNUMBER('Council Entry'!R$8),ISNUMBER('Council Entry'!R$9)),MAX(MIN('Council Entry'!R189,'Council Entry'!R$9),'Council Entry'!R$8),'Council Entry'!R189)),IF(AND(ISNUMBER('Council Entry'!R$8),ISNUMBER('Council Entry'!R$9)),MAX(MIN('Council Entry'!R189,'Council Entry'!R$9),'Council Entry'!R$8),'Council Entry'!R189))))-'Council Entry'!R$5)/('Council Entry'!R$6-'Council Entry'!R$5)),1))),"No data"))</f>
        <v/>
      </c>
      <c r="S189" s="13">
        <f>IF('Council Entry'!S189="","",IFERROR(MAX(0,MIN(10,ROUND(IF('Council Entry'!S$7="Decrease Risk",10-10*((IF('Council Entry'!S$4="Logarithm",LN(0.001+IF(AND(ISNUMBER('Council Entry'!S$8),ISNUMBER('Council Entry'!S$9)),MAX(MIN('Council Entry'!S189,'Council Entry'!S$9),'Council Entry'!S$8),'Council Entry'!S189)),IF('Council Entry'!S$4="Exponential",EXP(IF(AND(ISNUMBER('Council Entry'!S$8),ISNUMBER('Council Entry'!S$9)),MAX(MIN('Council Entry'!S189,'Council Entry'!S$9),'Council Entry'!S$8),'Council Entry'!S189)),IF(AND(ISNUMBER('Council Entry'!S$8),ISNUMBER('Council Entry'!S$9)),MAX(MIN('Council Entry'!S189,'Council Entry'!S$9),'Council Entry'!S$8),'Council Entry'!S189))))-'Council Entry'!S$5)/('Council Entry'!S$6-'Council Entry'!S$5),10*((IF('Council Entry'!S$4="Logarithm",LN(0.001+IF(AND(ISNUMBER('Council Entry'!S$8),ISNUMBER('Council Entry'!S$9)),MAX(MIN('Council Entry'!S189,'Council Entry'!S$9),'Council Entry'!S$8),'Council Entry'!S189)),IF('Council Entry'!S$4="Exponential",EXP(IF(AND(ISNUMBER('Council Entry'!S$8),ISNUMBER('Council Entry'!S$9)),MAX(MIN('Council Entry'!S189,'Council Entry'!S$9),'Council Entry'!S$8),'Council Entry'!S189)),IF(AND(ISNUMBER('Council Entry'!S$8),ISNUMBER('Council Entry'!S$9)),MAX(MIN('Council Entry'!S189,'Council Entry'!S$9),'Council Entry'!S$8),'Council Entry'!S189))))-'Council Entry'!S$5)/('Council Entry'!S$6-'Council Entry'!S$5)),1))),"No data"))</f>
        <v/>
      </c>
      <c r="T189" s="13">
        <f>IF('Council Entry'!T189="","",IFERROR(MAX(0,MIN(10,ROUND(IF('Council Entry'!T$7="Decrease Risk",10-10*((IF('Council Entry'!T$4="Logarithm",LN(0.001+IF(AND(ISNUMBER('Council Entry'!T$8),ISNUMBER('Council Entry'!T$9)),MAX(MIN('Council Entry'!T189,'Council Entry'!T$9),'Council Entry'!T$8),'Council Entry'!T189)),IF('Council Entry'!T$4="Exponential",EXP(IF(AND(ISNUMBER('Council Entry'!T$8),ISNUMBER('Council Entry'!T$9)),MAX(MIN('Council Entry'!T189,'Council Entry'!T$9),'Council Entry'!T$8),'Council Entry'!T189)),IF(AND(ISNUMBER('Council Entry'!T$8),ISNUMBER('Council Entry'!T$9)),MAX(MIN('Council Entry'!T189,'Council Entry'!T$9),'Council Entry'!T$8),'Council Entry'!T189))))-'Council Entry'!T$5)/('Council Entry'!T$6-'Council Entry'!T$5),10*((IF('Council Entry'!T$4="Logarithm",LN(0.001+IF(AND(ISNUMBER('Council Entry'!T$8),ISNUMBER('Council Entry'!T$9)),MAX(MIN('Council Entry'!T189,'Council Entry'!T$9),'Council Entry'!T$8),'Council Entry'!T189)),IF('Council Entry'!T$4="Exponential",EXP(IF(AND(ISNUMBER('Council Entry'!T$8),ISNUMBER('Council Entry'!T$9)),MAX(MIN('Council Entry'!T189,'Council Entry'!T$9),'Council Entry'!T$8),'Council Entry'!T189)),IF(AND(ISNUMBER('Council Entry'!T$8),ISNUMBER('Council Entry'!T$9)),MAX(MIN('Council Entry'!T189,'Council Entry'!T$9),'Council Entry'!T$8),'Council Entry'!T189))))-'Council Entry'!T$5)/('Council Entry'!T$6-'Council Entry'!T$5)),1))),"No data"))</f>
        <v/>
      </c>
      <c r="U189" s="13">
        <f>IF('Council Entry'!U189="","",IFERROR(MAX(0,MIN(10,ROUND(IF('Council Entry'!U$7="Decrease Risk",10-10*((IF('Council Entry'!U$4="Logarithm",LN(0.001+IF(AND(ISNUMBER('Council Entry'!U$8),ISNUMBER('Council Entry'!U$9)),MAX(MIN('Council Entry'!U189,'Council Entry'!U$9),'Council Entry'!U$8),'Council Entry'!U189)),IF('Council Entry'!U$4="Exponential",EXP(IF(AND(ISNUMBER('Council Entry'!U$8),ISNUMBER('Council Entry'!U$9)),MAX(MIN('Council Entry'!U189,'Council Entry'!U$9),'Council Entry'!U$8),'Council Entry'!U189)),IF(AND(ISNUMBER('Council Entry'!U$8),ISNUMBER('Council Entry'!U$9)),MAX(MIN('Council Entry'!U189,'Council Entry'!U$9),'Council Entry'!U$8),'Council Entry'!U189))))-'Council Entry'!U$5)/('Council Entry'!U$6-'Council Entry'!U$5),10*((IF('Council Entry'!U$4="Logarithm",LN(0.001+IF(AND(ISNUMBER('Council Entry'!U$8),ISNUMBER('Council Entry'!U$9)),MAX(MIN('Council Entry'!U189,'Council Entry'!U$9),'Council Entry'!U$8),'Council Entry'!U189)),IF('Council Entry'!U$4="Exponential",EXP(IF(AND(ISNUMBER('Council Entry'!U$8),ISNUMBER('Council Entry'!U$9)),MAX(MIN('Council Entry'!U189,'Council Entry'!U$9),'Council Entry'!U$8),'Council Entry'!U189)),IF(AND(ISNUMBER('Council Entry'!U$8),ISNUMBER('Council Entry'!U$9)),MAX(MIN('Council Entry'!U189,'Council Entry'!U$9),'Council Entry'!U$8),'Council Entry'!U189))))-'Council Entry'!U$5)/('Council Entry'!U$6-'Council Entry'!U$5)),1))),"No data"))</f>
        <v/>
      </c>
      <c r="V189" s="13">
        <f>IF('Council Entry'!V189="","",IFERROR(MAX(0,MIN(10,ROUND(IF('Council Entry'!V$7="Decrease Risk",10-10*((IF('Council Entry'!V$4="Logarithm",LN(0.001+IF(AND(ISNUMBER('Council Entry'!V$8),ISNUMBER('Council Entry'!V$9)),MAX(MIN('Council Entry'!V189,'Council Entry'!V$9),'Council Entry'!V$8),'Council Entry'!V189)),IF('Council Entry'!V$4="Exponential",EXP(IF(AND(ISNUMBER('Council Entry'!V$8),ISNUMBER('Council Entry'!V$9)),MAX(MIN('Council Entry'!V189,'Council Entry'!V$9),'Council Entry'!V$8),'Council Entry'!V189)),IF(AND(ISNUMBER('Council Entry'!V$8),ISNUMBER('Council Entry'!V$9)),MAX(MIN('Council Entry'!V189,'Council Entry'!V$9),'Council Entry'!V$8),'Council Entry'!V189))))-'Council Entry'!V$5)/('Council Entry'!V$6-'Council Entry'!V$5),10*((IF('Council Entry'!V$4="Logarithm",LN(0.001+IF(AND(ISNUMBER('Council Entry'!V$8),ISNUMBER('Council Entry'!V$9)),MAX(MIN('Council Entry'!V189,'Council Entry'!V$9),'Council Entry'!V$8),'Council Entry'!V189)),IF('Council Entry'!V$4="Exponential",EXP(IF(AND(ISNUMBER('Council Entry'!V$8),ISNUMBER('Council Entry'!V$9)),MAX(MIN('Council Entry'!V189,'Council Entry'!V$9),'Council Entry'!V$8),'Council Entry'!V189)),IF(AND(ISNUMBER('Council Entry'!V$8),ISNUMBER('Council Entry'!V$9)),MAX(MIN('Council Entry'!V189,'Council Entry'!V$9),'Council Entry'!V$8),'Council Entry'!V189))))-'Council Entry'!V$5)/('Council Entry'!V$6-'Council Entry'!V$5)),1))),"No data"))</f>
        <v/>
      </c>
      <c r="W189" s="13">
        <f>IF('Council Entry'!W189="","",IFERROR(MAX(0,MIN(10,ROUND(IF('Council Entry'!W$7="Decrease Risk",10-10*((IF('Council Entry'!W$4="Logarithm",LN(0.001+IF(AND(ISNUMBER('Council Entry'!W$8),ISNUMBER('Council Entry'!W$9)),MAX(MIN('Council Entry'!W189,'Council Entry'!W$9),'Council Entry'!W$8),'Council Entry'!W189)),IF('Council Entry'!W$4="Exponential",EXP(IF(AND(ISNUMBER('Council Entry'!W$8),ISNUMBER('Council Entry'!W$9)),MAX(MIN('Council Entry'!W189,'Council Entry'!W$9),'Council Entry'!W$8),'Council Entry'!W189)),IF(AND(ISNUMBER('Council Entry'!W$8),ISNUMBER('Council Entry'!W$9)),MAX(MIN('Council Entry'!W189,'Council Entry'!W$9),'Council Entry'!W$8),'Council Entry'!W189))))-'Council Entry'!W$5)/('Council Entry'!W$6-'Council Entry'!W$5),10*((IF('Council Entry'!W$4="Logarithm",LN(0.001+IF(AND(ISNUMBER('Council Entry'!W$8),ISNUMBER('Council Entry'!W$9)),MAX(MIN('Council Entry'!W189,'Council Entry'!W$9),'Council Entry'!W$8),'Council Entry'!W189)),IF('Council Entry'!W$4="Exponential",EXP(IF(AND(ISNUMBER('Council Entry'!W$8),ISNUMBER('Council Entry'!W$9)),MAX(MIN('Council Entry'!W189,'Council Entry'!W$9),'Council Entry'!W$8),'Council Entry'!W189)),IF(AND(ISNUMBER('Council Entry'!W$8),ISNUMBER('Council Entry'!W$9)),MAX(MIN('Council Entry'!W189,'Council Entry'!W$9),'Council Entry'!W$8),'Council Entry'!W189))))-'Council Entry'!W$5)/('Council Entry'!W$6-'Council Entry'!W$5)),1))),"No data"))</f>
        <v/>
      </c>
      <c r="X189" s="13">
        <f>IF('Council Entry'!X189="","",IFERROR(MAX(0,MIN(10,ROUND(IF('Council Entry'!X$7="Decrease Risk",10-10*((IF('Council Entry'!X$4="Logarithm",LN(0.001+IF(AND(ISNUMBER('Council Entry'!X$8),ISNUMBER('Council Entry'!X$9)),MAX(MIN('Council Entry'!X189,'Council Entry'!X$9),'Council Entry'!X$8),'Council Entry'!X189)),IF('Council Entry'!X$4="Exponential",EXP(IF(AND(ISNUMBER('Council Entry'!X$8),ISNUMBER('Council Entry'!X$9)),MAX(MIN('Council Entry'!X189,'Council Entry'!X$9),'Council Entry'!X$8),'Council Entry'!X189)),IF(AND(ISNUMBER('Council Entry'!X$8),ISNUMBER('Council Entry'!X$9)),MAX(MIN('Council Entry'!X189,'Council Entry'!X$9),'Council Entry'!X$8),'Council Entry'!X189))))-'Council Entry'!X$5)/('Council Entry'!X$6-'Council Entry'!X$5),10*((IF('Council Entry'!X$4="Logarithm",LN(0.001+IF(AND(ISNUMBER('Council Entry'!X$8),ISNUMBER('Council Entry'!X$9)),MAX(MIN('Council Entry'!X189,'Council Entry'!X$9),'Council Entry'!X$8),'Council Entry'!X189)),IF('Council Entry'!X$4="Exponential",EXP(IF(AND(ISNUMBER('Council Entry'!X$8),ISNUMBER('Council Entry'!X$9)),MAX(MIN('Council Entry'!X189,'Council Entry'!X$9),'Council Entry'!X$8),'Council Entry'!X189)),IF(AND(ISNUMBER('Council Entry'!X$8),ISNUMBER('Council Entry'!X$9)),MAX(MIN('Council Entry'!X189,'Council Entry'!X$9),'Council Entry'!X$8),'Council Entry'!X189))))-'Council Entry'!X$5)/('Council Entry'!X$6-'Council Entry'!X$5)),1))),"No data"))</f>
        <v/>
      </c>
      <c r="Y189" s="13">
        <f>IF('Council Entry'!Y189="","",IFERROR(MAX(0,MIN(10,ROUND(IF('Council Entry'!Y$7="Decrease Risk",10-10*((IF('Council Entry'!Y$4="Logarithm",LN(0.001+IF(AND(ISNUMBER('Council Entry'!Y$8),ISNUMBER('Council Entry'!Y$9)),MAX(MIN('Council Entry'!Y189,'Council Entry'!Y$9),'Council Entry'!Y$8),'Council Entry'!Y189)),IF('Council Entry'!Y$4="Exponential",EXP(IF(AND(ISNUMBER('Council Entry'!Y$8),ISNUMBER('Council Entry'!Y$9)),MAX(MIN('Council Entry'!Y189,'Council Entry'!Y$9),'Council Entry'!Y$8),'Council Entry'!Y189)),IF(AND(ISNUMBER('Council Entry'!Y$8),ISNUMBER('Council Entry'!Y$9)),MAX(MIN('Council Entry'!Y189,'Council Entry'!Y$9),'Council Entry'!Y$8),'Council Entry'!Y189))))-'Council Entry'!Y$5)/('Council Entry'!Y$6-'Council Entry'!Y$5),10*((IF('Council Entry'!Y$4="Logarithm",LN(0.001+IF(AND(ISNUMBER('Council Entry'!Y$8),ISNUMBER('Council Entry'!Y$9)),MAX(MIN('Council Entry'!Y189,'Council Entry'!Y$9),'Council Entry'!Y$8),'Council Entry'!Y189)),IF('Council Entry'!Y$4="Exponential",EXP(IF(AND(ISNUMBER('Council Entry'!Y$8),ISNUMBER('Council Entry'!Y$9)),MAX(MIN('Council Entry'!Y189,'Council Entry'!Y$9),'Council Entry'!Y$8),'Council Entry'!Y189)),IF(AND(ISNUMBER('Council Entry'!Y$8),ISNUMBER('Council Entry'!Y$9)),MAX(MIN('Council Entry'!Y189,'Council Entry'!Y$9),'Council Entry'!Y$8),'Council Entry'!Y189))))-'Council Entry'!Y$5)/('Council Entry'!Y$6-'Council Entry'!Y$5)),1))),"No data"))</f>
        <v/>
      </c>
      <c r="Z189" s="13">
        <f>IF('Council Entry'!Z189="","",IFERROR(MAX(0,MIN(10,ROUND(IF('Council Entry'!Z$7="Decrease Risk",10-10*((IF('Council Entry'!Z$4="Logarithm",LN(0.001+IF(AND(ISNUMBER('Council Entry'!Z$8),ISNUMBER('Council Entry'!Z$9)),MAX(MIN('Council Entry'!Z189,'Council Entry'!Z$9),'Council Entry'!Z$8),'Council Entry'!Z189)),IF('Council Entry'!Z$4="Exponential",EXP(IF(AND(ISNUMBER('Council Entry'!Z$8),ISNUMBER('Council Entry'!Z$9)),MAX(MIN('Council Entry'!Z189,'Council Entry'!Z$9),'Council Entry'!Z$8),'Council Entry'!Z189)),IF(AND(ISNUMBER('Council Entry'!Z$8),ISNUMBER('Council Entry'!Z$9)),MAX(MIN('Council Entry'!Z189,'Council Entry'!Z$9),'Council Entry'!Z$8),'Council Entry'!Z189))))-'Council Entry'!Z$5)/('Council Entry'!Z$6-'Council Entry'!Z$5),10*((IF('Council Entry'!Z$4="Logarithm",LN(0.001+IF(AND(ISNUMBER('Council Entry'!Z$8),ISNUMBER('Council Entry'!Z$9)),MAX(MIN('Council Entry'!Z189,'Council Entry'!Z$9),'Council Entry'!Z$8),'Council Entry'!Z189)),IF('Council Entry'!Z$4="Exponential",EXP(IF(AND(ISNUMBER('Council Entry'!Z$8),ISNUMBER('Council Entry'!Z$9)),MAX(MIN('Council Entry'!Z189,'Council Entry'!Z$9),'Council Entry'!Z$8),'Council Entry'!Z189)),IF(AND(ISNUMBER('Council Entry'!Z$8),ISNUMBER('Council Entry'!Z$9)),MAX(MIN('Council Entry'!Z189,'Council Entry'!Z$9),'Council Entry'!Z$8),'Council Entry'!Z189))))-'Council Entry'!Z$5)/('Council Entry'!Z$6-'Council Entry'!Z$5)),1))),"No data"))</f>
        <v/>
      </c>
      <c r="AA189" s="13">
        <f>IF('Council Entry'!AA189="","",IFERROR(MAX(0,MIN(10,ROUND(IF('Council Entry'!AA$7="Decrease Risk",10-10*((IF('Council Entry'!AA$4="Logarithm",LN(0.001+IF(AND(ISNUMBER('Council Entry'!AA$8),ISNUMBER('Council Entry'!AA$9)),MAX(MIN('Council Entry'!AA189,'Council Entry'!AA$9),'Council Entry'!AA$8),'Council Entry'!AA189)),IF('Council Entry'!AA$4="Exponential",EXP(IF(AND(ISNUMBER('Council Entry'!AA$8),ISNUMBER('Council Entry'!AA$9)),MAX(MIN('Council Entry'!AA189,'Council Entry'!AA$9),'Council Entry'!AA$8),'Council Entry'!AA189)),IF(AND(ISNUMBER('Council Entry'!AA$8),ISNUMBER('Council Entry'!AA$9)),MAX(MIN('Council Entry'!AA189,'Council Entry'!AA$9),'Council Entry'!AA$8),'Council Entry'!AA189))))-'Council Entry'!AA$5)/('Council Entry'!AA$6-'Council Entry'!AA$5),10*((IF('Council Entry'!AA$4="Logarithm",LN(0.001+IF(AND(ISNUMBER('Council Entry'!AA$8),ISNUMBER('Council Entry'!AA$9)),MAX(MIN('Council Entry'!AA189,'Council Entry'!AA$9),'Council Entry'!AA$8),'Council Entry'!AA189)),IF('Council Entry'!AA$4="Exponential",EXP(IF(AND(ISNUMBER('Council Entry'!AA$8),ISNUMBER('Council Entry'!AA$9)),MAX(MIN('Council Entry'!AA189,'Council Entry'!AA$9),'Council Entry'!AA$8),'Council Entry'!AA189)),IF(AND(ISNUMBER('Council Entry'!AA$8),ISNUMBER('Council Entry'!AA$9)),MAX(MIN('Council Entry'!AA189,'Council Entry'!AA$9),'Council Entry'!AA$8),'Council Entry'!AA189))))-'Council Entry'!AA$5)/('Council Entry'!AA$6-'Council Entry'!AA$5)),1))),"No data"))</f>
        <v/>
      </c>
      <c r="AB189" s="13">
        <f>IF('Council Entry'!AB189="","",IFERROR(MAX(0,MIN(10,ROUND(IF('Council Entry'!AB$7="Decrease Risk",10-10*((IF('Council Entry'!AB$4="Logarithm",LN(0.001+IF(AND(ISNUMBER('Council Entry'!AB$8),ISNUMBER('Council Entry'!AB$9)),MAX(MIN('Council Entry'!AB189,'Council Entry'!AB$9),'Council Entry'!AB$8),'Council Entry'!AB189)),IF('Council Entry'!AB$4="Exponential",EXP(IF(AND(ISNUMBER('Council Entry'!AB$8),ISNUMBER('Council Entry'!AB$9)),MAX(MIN('Council Entry'!AB189,'Council Entry'!AB$9),'Council Entry'!AB$8),'Council Entry'!AB189)),IF(AND(ISNUMBER('Council Entry'!AB$8),ISNUMBER('Council Entry'!AB$9)),MAX(MIN('Council Entry'!AB189,'Council Entry'!AB$9),'Council Entry'!AB$8),'Council Entry'!AB189))))-'Council Entry'!AB$5)/('Council Entry'!AB$6-'Council Entry'!AB$5),10*((IF('Council Entry'!AB$4="Logarithm",LN(0.001+IF(AND(ISNUMBER('Council Entry'!AB$8),ISNUMBER('Council Entry'!AB$9)),MAX(MIN('Council Entry'!AB189,'Council Entry'!AB$9),'Council Entry'!AB$8),'Council Entry'!AB189)),IF('Council Entry'!AB$4="Exponential",EXP(IF(AND(ISNUMBER('Council Entry'!AB$8),ISNUMBER('Council Entry'!AB$9)),MAX(MIN('Council Entry'!AB189,'Council Entry'!AB$9),'Council Entry'!AB$8),'Council Entry'!AB189)),IF(AND(ISNUMBER('Council Entry'!AB$8),ISNUMBER('Council Entry'!AB$9)),MAX(MIN('Council Entry'!AB189,'Council Entry'!AB$9),'Council Entry'!AB$8),'Council Entry'!AB189))))-'Council Entry'!AB$5)/('Council Entry'!AB$6-'Council Entry'!AB$5)),1))),"No data"))</f>
        <v/>
      </c>
      <c r="AC189" s="13">
        <f>IF('Council Entry'!AC189="","",IFERROR(MAX(0,MIN(10,ROUND(IF('Council Entry'!AC$7="Decrease Risk",10-10*((IF('Council Entry'!AC$4="Logarithm",LN(0.001+IF(AND(ISNUMBER('Council Entry'!AC$8),ISNUMBER('Council Entry'!AC$9)),MAX(MIN('Council Entry'!AC189,'Council Entry'!AC$9),'Council Entry'!AC$8),'Council Entry'!AC189)),IF('Council Entry'!AC$4="Exponential",EXP(IF(AND(ISNUMBER('Council Entry'!AC$8),ISNUMBER('Council Entry'!AC$9)),MAX(MIN('Council Entry'!AC189,'Council Entry'!AC$9),'Council Entry'!AC$8),'Council Entry'!AC189)),IF(AND(ISNUMBER('Council Entry'!AC$8),ISNUMBER('Council Entry'!AC$9)),MAX(MIN('Council Entry'!AC189,'Council Entry'!AC$9),'Council Entry'!AC$8),'Council Entry'!AC189))))-'Council Entry'!AC$5)/('Council Entry'!AC$6-'Council Entry'!AC$5),10*((IF('Council Entry'!AC$4="Logarithm",LN(0.001+IF(AND(ISNUMBER('Council Entry'!AC$8),ISNUMBER('Council Entry'!AC$9)),MAX(MIN('Council Entry'!AC189,'Council Entry'!AC$9),'Council Entry'!AC$8),'Council Entry'!AC189)),IF('Council Entry'!AC$4="Exponential",EXP(IF(AND(ISNUMBER('Council Entry'!AC$8),ISNUMBER('Council Entry'!AC$9)),MAX(MIN('Council Entry'!AC189,'Council Entry'!AC$9),'Council Entry'!AC$8),'Council Entry'!AC189)),IF(AND(ISNUMBER('Council Entry'!AC$8),ISNUMBER('Council Entry'!AC$9)),MAX(MIN('Council Entry'!AC189,'Council Entry'!AC$9),'Council Entry'!AC$8),'Council Entry'!AC189))))-'Council Entry'!AC$5)/('Council Entry'!AC$6-'Council Entry'!AC$5)),1))),"No data"))</f>
        <v/>
      </c>
      <c r="AD189" s="13">
        <f>IF('Council Entry'!AD189="","",IFERROR(MAX(0,MIN(10,ROUND(IF('Council Entry'!AD$7="Decrease Risk",10-10*((IF('Council Entry'!AD$4="Logarithm",LN(0.001+IF(AND(ISNUMBER('Council Entry'!AD$8),ISNUMBER('Council Entry'!AD$9)),MAX(MIN('Council Entry'!AD189,'Council Entry'!AD$9),'Council Entry'!AD$8),'Council Entry'!AD189)),IF('Council Entry'!AD$4="Exponential",EXP(IF(AND(ISNUMBER('Council Entry'!AD$8),ISNUMBER('Council Entry'!AD$9)),MAX(MIN('Council Entry'!AD189,'Council Entry'!AD$9),'Council Entry'!AD$8),'Council Entry'!AD189)),IF(AND(ISNUMBER('Council Entry'!AD$8),ISNUMBER('Council Entry'!AD$9)),MAX(MIN('Council Entry'!AD189,'Council Entry'!AD$9),'Council Entry'!AD$8),'Council Entry'!AD189))))-'Council Entry'!AD$5)/('Council Entry'!AD$6-'Council Entry'!AD$5),10*((IF('Council Entry'!AD$4="Logarithm",LN(0.001+IF(AND(ISNUMBER('Council Entry'!AD$8),ISNUMBER('Council Entry'!AD$9)),MAX(MIN('Council Entry'!AD189,'Council Entry'!AD$9),'Council Entry'!AD$8),'Council Entry'!AD189)),IF('Council Entry'!AD$4="Exponential",EXP(IF(AND(ISNUMBER('Council Entry'!AD$8),ISNUMBER('Council Entry'!AD$9)),MAX(MIN('Council Entry'!AD189,'Council Entry'!AD$9),'Council Entry'!AD$8),'Council Entry'!AD189)),IF(AND(ISNUMBER('Council Entry'!AD$8),ISNUMBER('Council Entry'!AD$9)),MAX(MIN('Council Entry'!AD189,'Council Entry'!AD$9),'Council Entry'!AD$8),'Council Entry'!AD189))))-'Council Entry'!AD$5)/('Council Entry'!AD$6-'Council Entry'!AD$5)),1))),"No data"))</f>
        <v/>
      </c>
      <c r="AE189" s="13">
        <f>IF('Council Entry'!AE189="","",IFERROR(MAX(0,MIN(10,ROUND(IF('Council Entry'!AE$7="Decrease Risk",10-10*((IF('Council Entry'!AE$4="Logarithm",LN(0.001+IF(AND(ISNUMBER('Council Entry'!AE$8),ISNUMBER('Council Entry'!AE$9)),MAX(MIN('Council Entry'!AE189,'Council Entry'!AE$9),'Council Entry'!AE$8),'Council Entry'!AE189)),IF('Council Entry'!AE$4="Exponential",EXP(IF(AND(ISNUMBER('Council Entry'!AE$8),ISNUMBER('Council Entry'!AE$9)),MAX(MIN('Council Entry'!AE189,'Council Entry'!AE$9),'Council Entry'!AE$8),'Council Entry'!AE189)),IF(AND(ISNUMBER('Council Entry'!AE$8),ISNUMBER('Council Entry'!AE$9)),MAX(MIN('Council Entry'!AE189,'Council Entry'!AE$9),'Council Entry'!AE$8),'Council Entry'!AE189))))-'Council Entry'!AE$5)/('Council Entry'!AE$6-'Council Entry'!AE$5),10*((IF('Council Entry'!AE$4="Logarithm",LN(0.001+IF(AND(ISNUMBER('Council Entry'!AE$8),ISNUMBER('Council Entry'!AE$9)),MAX(MIN('Council Entry'!AE189,'Council Entry'!AE$9),'Council Entry'!AE$8),'Council Entry'!AE189)),IF('Council Entry'!AE$4="Exponential",EXP(IF(AND(ISNUMBER('Council Entry'!AE$8),ISNUMBER('Council Entry'!AE$9)),MAX(MIN('Council Entry'!AE189,'Council Entry'!AE$9),'Council Entry'!AE$8),'Council Entry'!AE189)),IF(AND(ISNUMBER('Council Entry'!AE$8),ISNUMBER('Council Entry'!AE$9)),MAX(MIN('Council Entry'!AE189,'Council Entry'!AE$9),'Council Entry'!AE$8),'Council Entry'!AE189))))-'Council Entry'!AE$5)/('Council Entry'!AE$6-'Council Entry'!AE$5)),1))),"No data"))</f>
        <v/>
      </c>
      <c r="AF189" s="13">
        <f>IF('Council Entry'!AF189="","",IFERROR(MAX(0,MIN(10,ROUND(IF('Council Entry'!AF$7="Decrease Risk",10-10*((IF('Council Entry'!AF$4="Logarithm",LN(0.001+IF(AND(ISNUMBER('Council Entry'!AF$8),ISNUMBER('Council Entry'!AF$9)),MAX(MIN('Council Entry'!AF189,'Council Entry'!AF$9),'Council Entry'!AF$8),'Council Entry'!AF189)),IF('Council Entry'!AF$4="Exponential",EXP(IF(AND(ISNUMBER('Council Entry'!AF$8),ISNUMBER('Council Entry'!AF$9)),MAX(MIN('Council Entry'!AF189,'Council Entry'!AF$9),'Council Entry'!AF$8),'Council Entry'!AF189)),IF(AND(ISNUMBER('Council Entry'!AF$8),ISNUMBER('Council Entry'!AF$9)),MAX(MIN('Council Entry'!AF189,'Council Entry'!AF$9),'Council Entry'!AF$8),'Council Entry'!AF189))))-'Council Entry'!AF$5)/('Council Entry'!AF$6-'Council Entry'!AF$5),10*((IF('Council Entry'!AF$4="Logarithm",LN(0.001+IF(AND(ISNUMBER('Council Entry'!AF$8),ISNUMBER('Council Entry'!AF$9)),MAX(MIN('Council Entry'!AF189,'Council Entry'!AF$9),'Council Entry'!AF$8),'Council Entry'!AF189)),IF('Council Entry'!AF$4="Exponential",EXP(IF(AND(ISNUMBER('Council Entry'!AF$8),ISNUMBER('Council Entry'!AF$9)),MAX(MIN('Council Entry'!AF189,'Council Entry'!AF$9),'Council Entry'!AF$8),'Council Entry'!AF189)),IF(AND(ISNUMBER('Council Entry'!AF$8),ISNUMBER('Council Entry'!AF$9)),MAX(MIN('Council Entry'!AF189,'Council Entry'!AF$9),'Council Entry'!AF$8),'Council Entry'!AF189))))-'Council Entry'!AF$5)/('Council Entry'!AF$6-'Council Entry'!AF$5)),1))),"No data"))</f>
        <v/>
      </c>
      <c r="AG189" s="13">
        <f>IF('Council Entry'!AG189="","",IFERROR(MAX(0,MIN(10,ROUND(IF('Council Entry'!AG$7="Decrease Risk",10-10*((IF('Council Entry'!AG$4="Logarithm",LN(0.001+IF(AND(ISNUMBER('Council Entry'!AG$8),ISNUMBER('Council Entry'!AG$9)),MAX(MIN('Council Entry'!AG189,'Council Entry'!AG$9),'Council Entry'!AG$8),'Council Entry'!AG189)),IF('Council Entry'!AG$4="Exponential",EXP(IF(AND(ISNUMBER('Council Entry'!AG$8),ISNUMBER('Council Entry'!AG$9)),MAX(MIN('Council Entry'!AG189,'Council Entry'!AG$9),'Council Entry'!AG$8),'Council Entry'!AG189)),IF(AND(ISNUMBER('Council Entry'!AG$8),ISNUMBER('Council Entry'!AG$9)),MAX(MIN('Council Entry'!AG189,'Council Entry'!AG$9),'Council Entry'!AG$8),'Council Entry'!AG189))))-'Council Entry'!AG$5)/('Council Entry'!AG$6-'Council Entry'!AG$5),10*((IF('Council Entry'!AG$4="Logarithm",LN(0.001+IF(AND(ISNUMBER('Council Entry'!AG$8),ISNUMBER('Council Entry'!AG$9)),MAX(MIN('Council Entry'!AG189,'Council Entry'!AG$9),'Council Entry'!AG$8),'Council Entry'!AG189)),IF('Council Entry'!AG$4="Exponential",EXP(IF(AND(ISNUMBER('Council Entry'!AG$8),ISNUMBER('Council Entry'!AG$9)),MAX(MIN('Council Entry'!AG189,'Council Entry'!AG$9),'Council Entry'!AG$8),'Council Entry'!AG189)),IF(AND(ISNUMBER('Council Entry'!AG$8),ISNUMBER('Council Entry'!AG$9)),MAX(MIN('Council Entry'!AG189,'Council Entry'!AG$9),'Council Entry'!AG$8),'Council Entry'!AG189))))-'Council Entry'!AG$5)/('Council Entry'!AG$6-'Council Entry'!AG$5)),1))),"No data"))</f>
        <v/>
      </c>
      <c r="AH189" s="13">
        <f>IF('Council Entry'!AH189="","",IFERROR(MAX(0,MIN(10,ROUND(IF('Council Entry'!AH$7="Decrease Risk",10-10*((IF('Council Entry'!AH$4="Logarithm",LN(0.001+IF(AND(ISNUMBER('Council Entry'!AH$8),ISNUMBER('Council Entry'!AH$9)),MAX(MIN('Council Entry'!AH189,'Council Entry'!AH$9),'Council Entry'!AH$8),'Council Entry'!AH189)),IF('Council Entry'!AH$4="Exponential",EXP(IF(AND(ISNUMBER('Council Entry'!AH$8),ISNUMBER('Council Entry'!AH$9)),MAX(MIN('Council Entry'!AH189,'Council Entry'!AH$9),'Council Entry'!AH$8),'Council Entry'!AH189)),IF(AND(ISNUMBER('Council Entry'!AH$8),ISNUMBER('Council Entry'!AH$9)),MAX(MIN('Council Entry'!AH189,'Council Entry'!AH$9),'Council Entry'!AH$8),'Council Entry'!AH189))))-'Council Entry'!AH$5)/('Council Entry'!AH$6-'Council Entry'!AH$5),10*((IF('Council Entry'!AH$4="Logarithm",LN(0.001+IF(AND(ISNUMBER('Council Entry'!AH$8),ISNUMBER('Council Entry'!AH$9)),MAX(MIN('Council Entry'!AH189,'Council Entry'!AH$9),'Council Entry'!AH$8),'Council Entry'!AH189)),IF('Council Entry'!AH$4="Exponential",EXP(IF(AND(ISNUMBER('Council Entry'!AH$8),ISNUMBER('Council Entry'!AH$9)),MAX(MIN('Council Entry'!AH189,'Council Entry'!AH$9),'Council Entry'!AH$8),'Council Entry'!AH189)),IF(AND(ISNUMBER('Council Entry'!AH$8),ISNUMBER('Council Entry'!AH$9)),MAX(MIN('Council Entry'!AH189,'Council Entry'!AH$9),'Council Entry'!AH$8),'Council Entry'!AH189))))-'Council Entry'!AH$5)/('Council Entry'!AH$6-'Council Entry'!AH$5)),1))),"No data"))</f>
        <v/>
      </c>
      <c r="AI189" s="13">
        <f>IF('Council Entry'!AI189="","",IFERROR(MAX(0,MIN(10,ROUND(IF('Council Entry'!AI$7="Decrease Risk",10-10*((IF('Council Entry'!AI$4="Logarithm",LN(0.001+IF(AND(ISNUMBER('Council Entry'!AI$8),ISNUMBER('Council Entry'!AI$9)),MAX(MIN('Council Entry'!AI189,'Council Entry'!AI$9),'Council Entry'!AI$8),'Council Entry'!AI189)),IF('Council Entry'!AI$4="Exponential",EXP(IF(AND(ISNUMBER('Council Entry'!AI$8),ISNUMBER('Council Entry'!AI$9)),MAX(MIN('Council Entry'!AI189,'Council Entry'!AI$9),'Council Entry'!AI$8),'Council Entry'!AI189)),IF(AND(ISNUMBER('Council Entry'!AI$8),ISNUMBER('Council Entry'!AI$9)),MAX(MIN('Council Entry'!AI189,'Council Entry'!AI$9),'Council Entry'!AI$8),'Council Entry'!AI189))))-'Council Entry'!AI$5)/('Council Entry'!AI$6-'Council Entry'!AI$5),10*((IF('Council Entry'!AI$4="Logarithm",LN(0.001+IF(AND(ISNUMBER('Council Entry'!AI$8),ISNUMBER('Council Entry'!AI$9)),MAX(MIN('Council Entry'!AI189,'Council Entry'!AI$9),'Council Entry'!AI$8),'Council Entry'!AI189)),IF('Council Entry'!AI$4="Exponential",EXP(IF(AND(ISNUMBER('Council Entry'!AI$8),ISNUMBER('Council Entry'!AI$9)),MAX(MIN('Council Entry'!AI189,'Council Entry'!AI$9),'Council Entry'!AI$8),'Council Entry'!AI189)),IF(AND(ISNUMBER('Council Entry'!AI$8),ISNUMBER('Council Entry'!AI$9)),MAX(MIN('Council Entry'!AI189,'Council Entry'!AI$9),'Council Entry'!AI$8),'Council Entry'!AI189))))-'Council Entry'!AI$5)/('Council Entry'!AI$6-'Council Entry'!AI$5)),1))),"No data"))</f>
        <v/>
      </c>
      <c r="AJ189" s="13">
        <f>IF('Council Entry'!AJ189="","",IFERROR(MAX(0,MIN(10,ROUND(IF('Council Entry'!AJ$7="Decrease Risk",10-10*((IF('Council Entry'!AJ$4="Logarithm",LN(0.001+IF(AND(ISNUMBER('Council Entry'!AJ$8),ISNUMBER('Council Entry'!AJ$9)),MAX(MIN('Council Entry'!AJ189,'Council Entry'!AJ$9),'Council Entry'!AJ$8),'Council Entry'!AJ189)),IF('Council Entry'!AJ$4="Exponential",EXP(IF(AND(ISNUMBER('Council Entry'!AJ$8),ISNUMBER('Council Entry'!AJ$9)),MAX(MIN('Council Entry'!AJ189,'Council Entry'!AJ$9),'Council Entry'!AJ$8),'Council Entry'!AJ189)),IF(AND(ISNUMBER('Council Entry'!AJ$8),ISNUMBER('Council Entry'!AJ$9)),MAX(MIN('Council Entry'!AJ189,'Council Entry'!AJ$9),'Council Entry'!AJ$8),'Council Entry'!AJ189))))-'Council Entry'!AJ$5)/('Council Entry'!AJ$6-'Council Entry'!AJ$5),10*((IF('Council Entry'!AJ$4="Logarithm",LN(0.001+IF(AND(ISNUMBER('Council Entry'!AJ$8),ISNUMBER('Council Entry'!AJ$9)),MAX(MIN('Council Entry'!AJ189,'Council Entry'!AJ$9),'Council Entry'!AJ$8),'Council Entry'!AJ189)),IF('Council Entry'!AJ$4="Exponential",EXP(IF(AND(ISNUMBER('Council Entry'!AJ$8),ISNUMBER('Council Entry'!AJ$9)),MAX(MIN('Council Entry'!AJ189,'Council Entry'!AJ$9),'Council Entry'!AJ$8),'Council Entry'!AJ189)),IF(AND(ISNUMBER('Council Entry'!AJ$8),ISNUMBER('Council Entry'!AJ$9)),MAX(MIN('Council Entry'!AJ189,'Council Entry'!AJ$9),'Council Entry'!AJ$8),'Council Entry'!AJ189))))-'Council Entry'!AJ$5)/('Council Entry'!AJ$6-'Council Entry'!AJ$5)),1))),"No data"))</f>
        <v/>
      </c>
      <c r="AK189" s="13">
        <f>IF('Council Entry'!AK189="","",IFERROR(MAX(0,MIN(10,ROUND(IF('Council Entry'!AK$7="Decrease Risk",10-10*((IF('Council Entry'!AK$4="Logarithm",LN(0.001+IF(AND(ISNUMBER('Council Entry'!AK$8),ISNUMBER('Council Entry'!AK$9)),MAX(MIN('Council Entry'!AK189,'Council Entry'!AK$9),'Council Entry'!AK$8),'Council Entry'!AK189)),IF('Council Entry'!AK$4="Exponential",EXP(IF(AND(ISNUMBER('Council Entry'!AK$8),ISNUMBER('Council Entry'!AK$9)),MAX(MIN('Council Entry'!AK189,'Council Entry'!AK$9),'Council Entry'!AK$8),'Council Entry'!AK189)),IF(AND(ISNUMBER('Council Entry'!AK$8),ISNUMBER('Council Entry'!AK$9)),MAX(MIN('Council Entry'!AK189,'Council Entry'!AK$9),'Council Entry'!AK$8),'Council Entry'!AK189))))-'Council Entry'!AK$5)/('Council Entry'!AK$6-'Council Entry'!AK$5),10*((IF('Council Entry'!AK$4="Logarithm",LN(0.001+IF(AND(ISNUMBER('Council Entry'!AK$8),ISNUMBER('Council Entry'!AK$9)),MAX(MIN('Council Entry'!AK189,'Council Entry'!AK$9),'Council Entry'!AK$8),'Council Entry'!AK189)),IF('Council Entry'!AK$4="Exponential",EXP(IF(AND(ISNUMBER('Council Entry'!AK$8),ISNUMBER('Council Entry'!AK$9)),MAX(MIN('Council Entry'!AK189,'Council Entry'!AK$9),'Council Entry'!AK$8),'Council Entry'!AK189)),IF(AND(ISNUMBER('Council Entry'!AK$8),ISNUMBER('Council Entry'!AK$9)),MAX(MIN('Council Entry'!AK189,'Council Entry'!AK$9),'Council Entry'!AK$8),'Council Entry'!AK189))))-'Council Entry'!AK$5)/('Council Entry'!AK$6-'Council Entry'!AK$5)),1))),"No data"))</f>
        <v/>
      </c>
      <c r="AL189" s="13">
        <f>IF('Council Entry'!AL189="","",IFERROR(MAX(0,MIN(10,ROUND(IF('Council Entry'!AL$7="Decrease Risk",10-10*((IF('Council Entry'!AL$4="Logarithm",LN(0.001+IF(AND(ISNUMBER('Council Entry'!AL$8),ISNUMBER('Council Entry'!AL$9)),MAX(MIN('Council Entry'!AL189,'Council Entry'!AL$9),'Council Entry'!AL$8),'Council Entry'!AL189)),IF('Council Entry'!AL$4="Exponential",EXP(IF(AND(ISNUMBER('Council Entry'!AL$8),ISNUMBER('Council Entry'!AL$9)),MAX(MIN('Council Entry'!AL189,'Council Entry'!AL$9),'Council Entry'!AL$8),'Council Entry'!AL189)),IF(AND(ISNUMBER('Council Entry'!AL$8),ISNUMBER('Council Entry'!AL$9)),MAX(MIN('Council Entry'!AL189,'Council Entry'!AL$9),'Council Entry'!AL$8),'Council Entry'!AL189))))-'Council Entry'!AL$5)/('Council Entry'!AL$6-'Council Entry'!AL$5),10*((IF('Council Entry'!AL$4="Logarithm",LN(0.001+IF(AND(ISNUMBER('Council Entry'!AL$8),ISNUMBER('Council Entry'!AL$9)),MAX(MIN('Council Entry'!AL189,'Council Entry'!AL$9),'Council Entry'!AL$8),'Council Entry'!AL189)),IF('Council Entry'!AL$4="Exponential",EXP(IF(AND(ISNUMBER('Council Entry'!AL$8),ISNUMBER('Council Entry'!AL$9)),MAX(MIN('Council Entry'!AL189,'Council Entry'!AL$9),'Council Entry'!AL$8),'Council Entry'!AL189)),IF(AND(ISNUMBER('Council Entry'!AL$8),ISNUMBER('Council Entry'!AL$9)),MAX(MIN('Council Entry'!AL189,'Council Entry'!AL$9),'Council Entry'!AL$8),'Council Entry'!AL189))))-'Council Entry'!AL$5)/('Council Entry'!AL$6-'Council Entry'!AL$5)),1))),"No data"))</f>
        <v/>
      </c>
      <c r="AM189" s="13">
        <f>IF('Council Entry'!AM189="","",IFERROR(MAX(0,MIN(10,ROUND(IF('Council Entry'!AM$7="Decrease Risk",10-10*((IF('Council Entry'!AM$4="Logarithm",LN(0.001+IF(AND(ISNUMBER('Council Entry'!AM$8),ISNUMBER('Council Entry'!AM$9)),MAX(MIN('Council Entry'!AM189,'Council Entry'!AM$9),'Council Entry'!AM$8),'Council Entry'!AM189)),IF('Council Entry'!AM$4="Exponential",EXP(IF(AND(ISNUMBER('Council Entry'!AM$8),ISNUMBER('Council Entry'!AM$9)),MAX(MIN('Council Entry'!AM189,'Council Entry'!AM$9),'Council Entry'!AM$8),'Council Entry'!AM189)),IF(AND(ISNUMBER('Council Entry'!AM$8),ISNUMBER('Council Entry'!AM$9)),MAX(MIN('Council Entry'!AM189,'Council Entry'!AM$9),'Council Entry'!AM$8),'Council Entry'!AM189))))-'Council Entry'!AM$5)/('Council Entry'!AM$6-'Council Entry'!AM$5),10*((IF('Council Entry'!AM$4="Logarithm",LN(0.001+IF(AND(ISNUMBER('Council Entry'!AM$8),ISNUMBER('Council Entry'!AM$9)),MAX(MIN('Council Entry'!AM189,'Council Entry'!AM$9),'Council Entry'!AM$8),'Council Entry'!AM189)),IF('Council Entry'!AM$4="Exponential",EXP(IF(AND(ISNUMBER('Council Entry'!AM$8),ISNUMBER('Council Entry'!AM$9)),MAX(MIN('Council Entry'!AM189,'Council Entry'!AM$9),'Council Entry'!AM$8),'Council Entry'!AM189)),IF(AND(ISNUMBER('Council Entry'!AM$8),ISNUMBER('Council Entry'!AM$9)),MAX(MIN('Council Entry'!AM189,'Council Entry'!AM$9),'Council Entry'!AM$8),'Council Entry'!AM189))))-'Council Entry'!AM$5)/('Council Entry'!AM$6-'Council Entry'!AM$5)),1))),"No data"))</f>
        <v/>
      </c>
      <c r="AN189" s="13">
        <f>IF('Council Entry'!AN189="","",IFERROR(MAX(0,MIN(10,ROUND(IF('Council Entry'!AN$7="Decrease Risk",10-10*((IF('Council Entry'!AN$4="Logarithm",LN(0.001+IF(AND(ISNUMBER('Council Entry'!AN$8),ISNUMBER('Council Entry'!AN$9)),MAX(MIN('Council Entry'!AN189,'Council Entry'!AN$9),'Council Entry'!AN$8),'Council Entry'!AN189)),IF('Council Entry'!AN$4="Exponential",EXP(IF(AND(ISNUMBER('Council Entry'!AN$8),ISNUMBER('Council Entry'!AN$9)),MAX(MIN('Council Entry'!AN189,'Council Entry'!AN$9),'Council Entry'!AN$8),'Council Entry'!AN189)),IF(AND(ISNUMBER('Council Entry'!AN$8),ISNUMBER('Council Entry'!AN$9)),MAX(MIN('Council Entry'!AN189,'Council Entry'!AN$9),'Council Entry'!AN$8),'Council Entry'!AN189))))-'Council Entry'!AN$5)/('Council Entry'!AN$6-'Council Entry'!AN$5),10*((IF('Council Entry'!AN$4="Logarithm",LN(0.001+IF(AND(ISNUMBER('Council Entry'!AN$8),ISNUMBER('Council Entry'!AN$9)),MAX(MIN('Council Entry'!AN189,'Council Entry'!AN$9),'Council Entry'!AN$8),'Council Entry'!AN189)),IF('Council Entry'!AN$4="Exponential",EXP(IF(AND(ISNUMBER('Council Entry'!AN$8),ISNUMBER('Council Entry'!AN$9)),MAX(MIN('Council Entry'!AN189,'Council Entry'!AN$9),'Council Entry'!AN$8),'Council Entry'!AN189)),IF(AND(ISNUMBER('Council Entry'!AN$8),ISNUMBER('Council Entry'!AN$9)),MAX(MIN('Council Entry'!AN189,'Council Entry'!AN$9),'Council Entry'!AN$8),'Council Entry'!AN189))))-'Council Entry'!AN$5)/('Council Entry'!AN$6-'Council Entry'!AN$5)),1))),"No data"))</f>
        <v/>
      </c>
      <c r="AO189" s="13">
        <f>IF('Council Entry'!AO189="","",IFERROR(MAX(0,MIN(10,ROUND(IF('Council Entry'!AO$7="Decrease Risk",10-10*((IF('Council Entry'!AO$4="Logarithm",LN(0.001+IF(AND(ISNUMBER('Council Entry'!AO$8),ISNUMBER('Council Entry'!AO$9)),MAX(MIN('Council Entry'!AO189,'Council Entry'!AO$9),'Council Entry'!AO$8),'Council Entry'!AO189)),IF('Council Entry'!AO$4="Exponential",EXP(IF(AND(ISNUMBER('Council Entry'!AO$8),ISNUMBER('Council Entry'!AO$9)),MAX(MIN('Council Entry'!AO189,'Council Entry'!AO$9),'Council Entry'!AO$8),'Council Entry'!AO189)),IF(AND(ISNUMBER('Council Entry'!AO$8),ISNUMBER('Council Entry'!AO$9)),MAX(MIN('Council Entry'!AO189,'Council Entry'!AO$9),'Council Entry'!AO$8),'Council Entry'!AO189))))-'Council Entry'!AO$5)/('Council Entry'!AO$6-'Council Entry'!AO$5),10*((IF('Council Entry'!AO$4="Logarithm",LN(0.001+IF(AND(ISNUMBER('Council Entry'!AO$8),ISNUMBER('Council Entry'!AO$9)),MAX(MIN('Council Entry'!AO189,'Council Entry'!AO$9),'Council Entry'!AO$8),'Council Entry'!AO189)),IF('Council Entry'!AO$4="Exponential",EXP(IF(AND(ISNUMBER('Council Entry'!AO$8),ISNUMBER('Council Entry'!AO$9)),MAX(MIN('Council Entry'!AO189,'Council Entry'!AO$9),'Council Entry'!AO$8),'Council Entry'!AO189)),IF(AND(ISNUMBER('Council Entry'!AO$8),ISNUMBER('Council Entry'!AO$9)),MAX(MIN('Council Entry'!AO189,'Council Entry'!AO$9),'Council Entry'!AO$8),'Council Entry'!AO189))))-'Council Entry'!AO$5)/('Council Entry'!AO$6-'Council Entry'!AO$5)),1))),"No data"))</f>
        <v/>
      </c>
      <c r="AP189" s="13">
        <f>IF('Council Entry'!AP189="","",IFERROR(MAX(0,MIN(10,ROUND(IF('Council Entry'!AP$7="Decrease Risk",10-10*((IF('Council Entry'!AP$4="Logarithm",LN(0.001+IF(AND(ISNUMBER('Council Entry'!AP$8),ISNUMBER('Council Entry'!AP$9)),MAX(MIN('Council Entry'!AP189,'Council Entry'!AP$9),'Council Entry'!AP$8),'Council Entry'!AP189)),IF('Council Entry'!AP$4="Exponential",EXP(IF(AND(ISNUMBER('Council Entry'!AP$8),ISNUMBER('Council Entry'!AP$9)),MAX(MIN('Council Entry'!AP189,'Council Entry'!AP$9),'Council Entry'!AP$8),'Council Entry'!AP189)),IF(AND(ISNUMBER('Council Entry'!AP$8),ISNUMBER('Council Entry'!AP$9)),MAX(MIN('Council Entry'!AP189,'Council Entry'!AP$9),'Council Entry'!AP$8),'Council Entry'!AP189))))-'Council Entry'!AP$5)/('Council Entry'!AP$6-'Council Entry'!AP$5),10*((IF('Council Entry'!AP$4="Logarithm",LN(0.001+IF(AND(ISNUMBER('Council Entry'!AP$8),ISNUMBER('Council Entry'!AP$9)),MAX(MIN('Council Entry'!AP189,'Council Entry'!AP$9),'Council Entry'!AP$8),'Council Entry'!AP189)),IF('Council Entry'!AP$4="Exponential",EXP(IF(AND(ISNUMBER('Council Entry'!AP$8),ISNUMBER('Council Entry'!AP$9)),MAX(MIN('Council Entry'!AP189,'Council Entry'!AP$9),'Council Entry'!AP$8),'Council Entry'!AP189)),IF(AND(ISNUMBER('Council Entry'!AP$8),ISNUMBER('Council Entry'!AP$9)),MAX(MIN('Council Entry'!AP189,'Council Entry'!AP$9),'Council Entry'!AP$8),'Council Entry'!AP189))))-'Council Entry'!AP$5)/('Council Entry'!AP$6-'Council Entry'!AP$5)),1))),"No data"))</f>
        <v/>
      </c>
      <c r="AQ189" s="13">
        <f>IF('Council Entry'!AQ189="","",IFERROR(MAX(0,MIN(10,ROUND(IF('Council Entry'!AQ$7="Decrease Risk",10-10*((IF('Council Entry'!AQ$4="Logarithm",LN(0.001+IF(AND(ISNUMBER('Council Entry'!AQ$8),ISNUMBER('Council Entry'!AQ$9)),MAX(MIN('Council Entry'!AQ189,'Council Entry'!AQ$9),'Council Entry'!AQ$8),'Council Entry'!AQ189)),IF('Council Entry'!AQ$4="Exponential",EXP(IF(AND(ISNUMBER('Council Entry'!AQ$8),ISNUMBER('Council Entry'!AQ$9)),MAX(MIN('Council Entry'!AQ189,'Council Entry'!AQ$9),'Council Entry'!AQ$8),'Council Entry'!AQ189)),IF(AND(ISNUMBER('Council Entry'!AQ$8),ISNUMBER('Council Entry'!AQ$9)),MAX(MIN('Council Entry'!AQ189,'Council Entry'!AQ$9),'Council Entry'!AQ$8),'Council Entry'!AQ189))))-'Council Entry'!AQ$5)/('Council Entry'!AQ$6-'Council Entry'!AQ$5),10*((IF('Council Entry'!AQ$4="Logarithm",LN(0.001+IF(AND(ISNUMBER('Council Entry'!AQ$8),ISNUMBER('Council Entry'!AQ$9)),MAX(MIN('Council Entry'!AQ189,'Council Entry'!AQ$9),'Council Entry'!AQ$8),'Council Entry'!AQ189)),IF('Council Entry'!AQ$4="Exponential",EXP(IF(AND(ISNUMBER('Council Entry'!AQ$8),ISNUMBER('Council Entry'!AQ$9)),MAX(MIN('Council Entry'!AQ189,'Council Entry'!AQ$9),'Council Entry'!AQ$8),'Council Entry'!AQ189)),IF(AND(ISNUMBER('Council Entry'!AQ$8),ISNUMBER('Council Entry'!AQ$9)),MAX(MIN('Council Entry'!AQ189,'Council Entry'!AQ$9),'Council Entry'!AQ$8),'Council Entry'!AQ189))))-'Council Entry'!AQ$5)/('Council Entry'!AQ$6-'Council Entry'!AQ$5)),1))),"No data"))</f>
        <v/>
      </c>
      <c r="AR189" s="13">
        <f>IF('Council Entry'!AR189="","",IFERROR(MAX(0,MIN(10,ROUND(IF('Council Entry'!AR$7="Decrease Risk",10-10*((IF('Council Entry'!AR$4="Logarithm",LN(0.001+IF(AND(ISNUMBER('Council Entry'!AR$8),ISNUMBER('Council Entry'!AR$9)),MAX(MIN('Council Entry'!AR189,'Council Entry'!AR$9),'Council Entry'!AR$8),'Council Entry'!AR189)),IF('Council Entry'!AR$4="Exponential",EXP(IF(AND(ISNUMBER('Council Entry'!AR$8),ISNUMBER('Council Entry'!AR$9)),MAX(MIN('Council Entry'!AR189,'Council Entry'!AR$9),'Council Entry'!AR$8),'Council Entry'!AR189)),IF(AND(ISNUMBER('Council Entry'!AR$8),ISNUMBER('Council Entry'!AR$9)),MAX(MIN('Council Entry'!AR189,'Council Entry'!AR$9),'Council Entry'!AR$8),'Council Entry'!AR189))))-'Council Entry'!AR$5)/('Council Entry'!AR$6-'Council Entry'!AR$5),10*((IF('Council Entry'!AR$4="Logarithm",LN(0.001+IF(AND(ISNUMBER('Council Entry'!AR$8),ISNUMBER('Council Entry'!AR$9)),MAX(MIN('Council Entry'!AR189,'Council Entry'!AR$9),'Council Entry'!AR$8),'Council Entry'!AR189)),IF('Council Entry'!AR$4="Exponential",EXP(IF(AND(ISNUMBER('Council Entry'!AR$8),ISNUMBER('Council Entry'!AR$9)),MAX(MIN('Council Entry'!AR189,'Council Entry'!AR$9),'Council Entry'!AR$8),'Council Entry'!AR189)),IF(AND(ISNUMBER('Council Entry'!AR$8),ISNUMBER('Council Entry'!AR$9)),MAX(MIN('Council Entry'!AR189,'Council Entry'!AR$9),'Council Entry'!AR$8),'Council Entry'!AR189))))-'Council Entry'!AR$5)/('Council Entry'!AR$6-'Council Entry'!AR$5)),1))),"No data"))</f>
        <v/>
      </c>
      <c r="AS189" s="13">
        <f>IF('Council Entry'!AS189="","",IFERROR(MAX(0,MIN(10,ROUND(IF('Council Entry'!AS$7="Decrease Risk",10-10*((IF('Council Entry'!AS$4="Logarithm",LN(0.001+IF(AND(ISNUMBER('Council Entry'!AS$8),ISNUMBER('Council Entry'!AS$9)),MAX(MIN('Council Entry'!AS189,'Council Entry'!AS$9),'Council Entry'!AS$8),'Council Entry'!AS189)),IF('Council Entry'!AS$4="Exponential",EXP(IF(AND(ISNUMBER('Council Entry'!AS$8),ISNUMBER('Council Entry'!AS$9)),MAX(MIN('Council Entry'!AS189,'Council Entry'!AS$9),'Council Entry'!AS$8),'Council Entry'!AS189)),IF(AND(ISNUMBER('Council Entry'!AS$8),ISNUMBER('Council Entry'!AS$9)),MAX(MIN('Council Entry'!AS189,'Council Entry'!AS$9),'Council Entry'!AS$8),'Council Entry'!AS189))))-'Council Entry'!AS$5)/('Council Entry'!AS$6-'Council Entry'!AS$5),10*((IF('Council Entry'!AS$4="Logarithm",LN(0.001+IF(AND(ISNUMBER('Council Entry'!AS$8),ISNUMBER('Council Entry'!AS$9)),MAX(MIN('Council Entry'!AS189,'Council Entry'!AS$9),'Council Entry'!AS$8),'Council Entry'!AS189)),IF('Council Entry'!AS$4="Exponential",EXP(IF(AND(ISNUMBER('Council Entry'!AS$8),ISNUMBER('Council Entry'!AS$9)),MAX(MIN('Council Entry'!AS189,'Council Entry'!AS$9),'Council Entry'!AS$8),'Council Entry'!AS189)),IF(AND(ISNUMBER('Council Entry'!AS$8),ISNUMBER('Council Entry'!AS$9)),MAX(MIN('Council Entry'!AS189,'Council Entry'!AS$9),'Council Entry'!AS$8),'Council Entry'!AS189))))-'Council Entry'!AS$5)/('Council Entry'!AS$6-'Council Entry'!AS$5)),1))),"No data"))</f>
        <v/>
      </c>
      <c r="AT189" s="13">
        <f>IF('Council Entry'!AT189="","",IFERROR(MAX(0,MIN(10,ROUND(IF('Council Entry'!AT$7="Decrease Risk",10-10*((IF('Council Entry'!AT$4="Logarithm",LN(0.001+IF(AND(ISNUMBER('Council Entry'!AT$8),ISNUMBER('Council Entry'!AT$9)),MAX(MIN('Council Entry'!AT189,'Council Entry'!AT$9),'Council Entry'!AT$8),'Council Entry'!AT189)),IF('Council Entry'!AT$4="Exponential",EXP(IF(AND(ISNUMBER('Council Entry'!AT$8),ISNUMBER('Council Entry'!AT$9)),MAX(MIN('Council Entry'!AT189,'Council Entry'!AT$9),'Council Entry'!AT$8),'Council Entry'!AT189)),IF(AND(ISNUMBER('Council Entry'!AT$8),ISNUMBER('Council Entry'!AT$9)),MAX(MIN('Council Entry'!AT189,'Council Entry'!AT$9),'Council Entry'!AT$8),'Council Entry'!AT189))))-'Council Entry'!AT$5)/('Council Entry'!AT$6-'Council Entry'!AT$5),10*((IF('Council Entry'!AT$4="Logarithm",LN(0.001+IF(AND(ISNUMBER('Council Entry'!AT$8),ISNUMBER('Council Entry'!AT$9)),MAX(MIN('Council Entry'!AT189,'Council Entry'!AT$9),'Council Entry'!AT$8),'Council Entry'!AT189)),IF('Council Entry'!AT$4="Exponential",EXP(IF(AND(ISNUMBER('Council Entry'!AT$8),ISNUMBER('Council Entry'!AT$9)),MAX(MIN('Council Entry'!AT189,'Council Entry'!AT$9),'Council Entry'!AT$8),'Council Entry'!AT189)),IF(AND(ISNUMBER('Council Entry'!AT$8),ISNUMBER('Council Entry'!AT$9)),MAX(MIN('Council Entry'!AT189,'Council Entry'!AT$9),'Council Entry'!AT$8),'Council Entry'!AT189))))-'Council Entry'!AT$5)/('Council Entry'!AT$6-'Council Entry'!AT$5)),1))),"No data"))</f>
        <v/>
      </c>
      <c r="AU189" s="13">
        <f>IF('Council Entry'!AU189="","",IFERROR(MAX(0,MIN(10,ROUND(IF('Council Entry'!AU$7="Decrease Risk",10-10*((IF('Council Entry'!AU$4="Logarithm",LN(0.001+IF(AND(ISNUMBER('Council Entry'!AU$8),ISNUMBER('Council Entry'!AU$9)),MAX(MIN('Council Entry'!AU189,'Council Entry'!AU$9),'Council Entry'!AU$8),'Council Entry'!AU189)),IF('Council Entry'!AU$4="Exponential",EXP(IF(AND(ISNUMBER('Council Entry'!AU$8),ISNUMBER('Council Entry'!AU$9)),MAX(MIN('Council Entry'!AU189,'Council Entry'!AU$9),'Council Entry'!AU$8),'Council Entry'!AU189)),IF(AND(ISNUMBER('Council Entry'!AU$8),ISNUMBER('Council Entry'!AU$9)),MAX(MIN('Council Entry'!AU189,'Council Entry'!AU$9),'Council Entry'!AU$8),'Council Entry'!AU189))))-'Council Entry'!AU$5)/('Council Entry'!AU$6-'Council Entry'!AU$5),10*((IF('Council Entry'!AU$4="Logarithm",LN(0.001+IF(AND(ISNUMBER('Council Entry'!AU$8),ISNUMBER('Council Entry'!AU$9)),MAX(MIN('Council Entry'!AU189,'Council Entry'!AU$9),'Council Entry'!AU$8),'Council Entry'!AU189)),IF('Council Entry'!AU$4="Exponential",EXP(IF(AND(ISNUMBER('Council Entry'!AU$8),ISNUMBER('Council Entry'!AU$9)),MAX(MIN('Council Entry'!AU189,'Council Entry'!AU$9),'Council Entry'!AU$8),'Council Entry'!AU189)),IF(AND(ISNUMBER('Council Entry'!AU$8),ISNUMBER('Council Entry'!AU$9)),MAX(MIN('Council Entry'!AU189,'Council Entry'!AU$9),'Council Entry'!AU$8),'Council Entry'!AU189))))-'Council Entry'!AU$5)/('Council Entry'!AU$6-'Council Entry'!AU$5)),1))),"No data"))</f>
        <v/>
      </c>
      <c r="AV189" s="13">
        <f>IF('Council Entry'!AV189="","",IFERROR(MAX(0,MIN(10,ROUND(IF('Council Entry'!AV$7="Decrease Risk",10-10*((IF('Council Entry'!AV$4="Logarithm",LN(0.001+IF(AND(ISNUMBER('Council Entry'!AV$8),ISNUMBER('Council Entry'!AV$9)),MAX(MIN('Council Entry'!AV189,'Council Entry'!AV$9),'Council Entry'!AV$8),'Council Entry'!AV189)),IF('Council Entry'!AV$4="Exponential",EXP(IF(AND(ISNUMBER('Council Entry'!AV$8),ISNUMBER('Council Entry'!AV$9)),MAX(MIN('Council Entry'!AV189,'Council Entry'!AV$9),'Council Entry'!AV$8),'Council Entry'!AV189)),IF(AND(ISNUMBER('Council Entry'!AV$8),ISNUMBER('Council Entry'!AV$9)),MAX(MIN('Council Entry'!AV189,'Council Entry'!AV$9),'Council Entry'!AV$8),'Council Entry'!AV189))))-'Council Entry'!AV$5)/('Council Entry'!AV$6-'Council Entry'!AV$5),10*((IF('Council Entry'!AV$4="Logarithm",LN(0.001+IF(AND(ISNUMBER('Council Entry'!AV$8),ISNUMBER('Council Entry'!AV$9)),MAX(MIN('Council Entry'!AV189,'Council Entry'!AV$9),'Council Entry'!AV$8),'Council Entry'!AV189)),IF('Council Entry'!AV$4="Exponential",EXP(IF(AND(ISNUMBER('Council Entry'!AV$8),ISNUMBER('Council Entry'!AV$9)),MAX(MIN('Council Entry'!AV189,'Council Entry'!AV$9),'Council Entry'!AV$8),'Council Entry'!AV189)),IF(AND(ISNUMBER('Council Entry'!AV$8),ISNUMBER('Council Entry'!AV$9)),MAX(MIN('Council Entry'!AV189,'Council Entry'!AV$9),'Council Entry'!AV$8),'Council Entry'!AV189))))-'Council Entry'!AV$5)/('Council Entry'!AV$6-'Council Entry'!AV$5)),1))),"No data"))</f>
        <v/>
      </c>
      <c r="AW189" s="13">
        <f>IF('Council Entry'!AW189="","",IFERROR(MAX(0,MIN(10,ROUND(IF('Council Entry'!AW$7="Decrease Risk",10-10*((IF('Council Entry'!AW$4="Logarithm",LN(0.001+IF(AND(ISNUMBER('Council Entry'!AW$8),ISNUMBER('Council Entry'!AW$9)),MAX(MIN('Council Entry'!AW189,'Council Entry'!AW$9),'Council Entry'!AW$8),'Council Entry'!AW189)),IF('Council Entry'!AW$4="Exponential",EXP(IF(AND(ISNUMBER('Council Entry'!AW$8),ISNUMBER('Council Entry'!AW$9)),MAX(MIN('Council Entry'!AW189,'Council Entry'!AW$9),'Council Entry'!AW$8),'Council Entry'!AW189)),IF(AND(ISNUMBER('Council Entry'!AW$8),ISNUMBER('Council Entry'!AW$9)),MAX(MIN('Council Entry'!AW189,'Council Entry'!AW$9),'Council Entry'!AW$8),'Council Entry'!AW189))))-'Council Entry'!AW$5)/('Council Entry'!AW$6-'Council Entry'!AW$5),10*((IF('Council Entry'!AW$4="Logarithm",LN(0.001+IF(AND(ISNUMBER('Council Entry'!AW$8),ISNUMBER('Council Entry'!AW$9)),MAX(MIN('Council Entry'!AW189,'Council Entry'!AW$9),'Council Entry'!AW$8),'Council Entry'!AW189)),IF('Council Entry'!AW$4="Exponential",EXP(IF(AND(ISNUMBER('Council Entry'!AW$8),ISNUMBER('Council Entry'!AW$9)),MAX(MIN('Council Entry'!AW189,'Council Entry'!AW$9),'Council Entry'!AW$8),'Council Entry'!AW189)),IF(AND(ISNUMBER('Council Entry'!AW$8),ISNUMBER('Council Entry'!AW$9)),MAX(MIN('Council Entry'!AW189,'Council Entry'!AW$9),'Council Entry'!AW$8),'Council Entry'!AW189))))-'Council Entry'!AW$5)/('Council Entry'!AW$6-'Council Entry'!AW$5)),1))),"No data"))</f>
        <v/>
      </c>
      <c r="AX189" s="13">
        <f>IF('Council Entry'!AX189="","",IFERROR(MAX(0,MIN(10,ROUND(IF('Council Entry'!AX$7="Decrease Risk",10-10*((IF('Council Entry'!AX$4="Logarithm",LN(0.001+IF(AND(ISNUMBER('Council Entry'!AX$8),ISNUMBER('Council Entry'!AX$9)),MAX(MIN('Council Entry'!AX189,'Council Entry'!AX$9),'Council Entry'!AX$8),'Council Entry'!AX189)),IF('Council Entry'!AX$4="Exponential",EXP(IF(AND(ISNUMBER('Council Entry'!AX$8),ISNUMBER('Council Entry'!AX$9)),MAX(MIN('Council Entry'!AX189,'Council Entry'!AX$9),'Council Entry'!AX$8),'Council Entry'!AX189)),IF(AND(ISNUMBER('Council Entry'!AX$8),ISNUMBER('Council Entry'!AX$9)),MAX(MIN('Council Entry'!AX189,'Council Entry'!AX$9),'Council Entry'!AX$8),'Council Entry'!AX189))))-'Council Entry'!AX$5)/('Council Entry'!AX$6-'Council Entry'!AX$5),10*((IF('Council Entry'!AX$4="Logarithm",LN(0.001+IF(AND(ISNUMBER('Council Entry'!AX$8),ISNUMBER('Council Entry'!AX$9)),MAX(MIN('Council Entry'!AX189,'Council Entry'!AX$9),'Council Entry'!AX$8),'Council Entry'!AX189)),IF('Council Entry'!AX$4="Exponential",EXP(IF(AND(ISNUMBER('Council Entry'!AX$8),ISNUMBER('Council Entry'!AX$9)),MAX(MIN('Council Entry'!AX189,'Council Entry'!AX$9),'Council Entry'!AX$8),'Council Entry'!AX189)),IF(AND(ISNUMBER('Council Entry'!AX$8),ISNUMBER('Council Entry'!AX$9)),MAX(MIN('Council Entry'!AX189,'Council Entry'!AX$9),'Council Entry'!AX$8),'Council Entry'!AX189))))-'Council Entry'!AX$5)/('Council Entry'!AX$6-'Council Entry'!AX$5)),1))),"No data"))</f>
        <v/>
      </c>
      <c r="AY189" s="13">
        <f>IF('Council Entry'!AY189="","",IFERROR(MAX(0,MIN(10,ROUND(IF('Council Entry'!AY$7="Decrease Risk",10-10*((IF('Council Entry'!AY$4="Logarithm",LN(0.001+IF(AND(ISNUMBER('Council Entry'!AY$8),ISNUMBER('Council Entry'!AY$9)),MAX(MIN('Council Entry'!AY189,'Council Entry'!AY$9),'Council Entry'!AY$8),'Council Entry'!AY189)),IF('Council Entry'!AY$4="Exponential",EXP(IF(AND(ISNUMBER('Council Entry'!AY$8),ISNUMBER('Council Entry'!AY$9)),MAX(MIN('Council Entry'!AY189,'Council Entry'!AY$9),'Council Entry'!AY$8),'Council Entry'!AY189)),IF(AND(ISNUMBER('Council Entry'!AY$8),ISNUMBER('Council Entry'!AY$9)),MAX(MIN('Council Entry'!AY189,'Council Entry'!AY$9),'Council Entry'!AY$8),'Council Entry'!AY189))))-'Council Entry'!AY$5)/('Council Entry'!AY$6-'Council Entry'!AY$5),10*((IF('Council Entry'!AY$4="Logarithm",LN(0.001+IF(AND(ISNUMBER('Council Entry'!AY$8),ISNUMBER('Council Entry'!AY$9)),MAX(MIN('Council Entry'!AY189,'Council Entry'!AY$9),'Council Entry'!AY$8),'Council Entry'!AY189)),IF('Council Entry'!AY$4="Exponential",EXP(IF(AND(ISNUMBER('Council Entry'!AY$8),ISNUMBER('Council Entry'!AY$9)),MAX(MIN('Council Entry'!AY189,'Council Entry'!AY$9),'Council Entry'!AY$8),'Council Entry'!AY189)),IF(AND(ISNUMBER('Council Entry'!AY$8),ISNUMBER('Council Entry'!AY$9)),MAX(MIN('Council Entry'!AY189,'Council Entry'!AY$9),'Council Entry'!AY$8),'Council Entry'!AY189))))-'Council Entry'!AY$5)/('Council Entry'!AY$6-'Council Entry'!AY$5)),1))),"No data"))</f>
        <v/>
      </c>
      <c r="AZ189" s="13">
        <f>IF('Council Entry'!AZ189="","",IFERROR(MAX(0,MIN(10,ROUND(IF('Council Entry'!AZ$7="Decrease Risk",10-10*((IF('Council Entry'!AZ$4="Logarithm",LN(0.001+IF(AND(ISNUMBER('Council Entry'!AZ$8),ISNUMBER('Council Entry'!AZ$9)),MAX(MIN('Council Entry'!AZ189,'Council Entry'!AZ$9),'Council Entry'!AZ$8),'Council Entry'!AZ189)),IF('Council Entry'!AZ$4="Exponential",EXP(IF(AND(ISNUMBER('Council Entry'!AZ$8),ISNUMBER('Council Entry'!AZ$9)),MAX(MIN('Council Entry'!AZ189,'Council Entry'!AZ$9),'Council Entry'!AZ$8),'Council Entry'!AZ189)),IF(AND(ISNUMBER('Council Entry'!AZ$8),ISNUMBER('Council Entry'!AZ$9)),MAX(MIN('Council Entry'!AZ189,'Council Entry'!AZ$9),'Council Entry'!AZ$8),'Council Entry'!AZ189))))-'Council Entry'!AZ$5)/('Council Entry'!AZ$6-'Council Entry'!AZ$5),10*((IF('Council Entry'!AZ$4="Logarithm",LN(0.001+IF(AND(ISNUMBER('Council Entry'!AZ$8),ISNUMBER('Council Entry'!AZ$9)),MAX(MIN('Council Entry'!AZ189,'Council Entry'!AZ$9),'Council Entry'!AZ$8),'Council Entry'!AZ189)),IF('Council Entry'!AZ$4="Exponential",EXP(IF(AND(ISNUMBER('Council Entry'!AZ$8),ISNUMBER('Council Entry'!AZ$9)),MAX(MIN('Council Entry'!AZ189,'Council Entry'!AZ$9),'Council Entry'!AZ$8),'Council Entry'!AZ189)),IF(AND(ISNUMBER('Council Entry'!AZ$8),ISNUMBER('Council Entry'!AZ$9)),MAX(MIN('Council Entry'!AZ189,'Council Entry'!AZ$9),'Council Entry'!AZ$8),'Council Entry'!AZ189))))-'Council Entry'!AZ$5)/('Council Entry'!AZ$6-'Council Entry'!AZ$5)),1))),"No data"))</f>
        <v/>
      </c>
      <c r="BA189" s="13">
        <f>IF('Council Entry'!BA189="","",IFERROR(MAX(0,MIN(10,ROUND(IF('Council Entry'!BA$7="Decrease Risk",10-10*((IF('Council Entry'!BA$4="Logarithm",LN(0.001+IF(AND(ISNUMBER('Council Entry'!BA$8),ISNUMBER('Council Entry'!BA$9)),MAX(MIN('Council Entry'!BA189,'Council Entry'!BA$9),'Council Entry'!BA$8),'Council Entry'!BA189)),IF('Council Entry'!BA$4="Exponential",EXP(IF(AND(ISNUMBER('Council Entry'!BA$8),ISNUMBER('Council Entry'!BA$9)),MAX(MIN('Council Entry'!BA189,'Council Entry'!BA$9),'Council Entry'!BA$8),'Council Entry'!BA189)),IF(AND(ISNUMBER('Council Entry'!BA$8),ISNUMBER('Council Entry'!BA$9)),MAX(MIN('Council Entry'!BA189,'Council Entry'!BA$9),'Council Entry'!BA$8),'Council Entry'!BA189))))-'Council Entry'!BA$5)/('Council Entry'!BA$6-'Council Entry'!BA$5),10*((IF('Council Entry'!BA$4="Logarithm",LN(0.001+IF(AND(ISNUMBER('Council Entry'!BA$8),ISNUMBER('Council Entry'!BA$9)),MAX(MIN('Council Entry'!BA189,'Council Entry'!BA$9),'Council Entry'!BA$8),'Council Entry'!BA189)),IF('Council Entry'!BA$4="Exponential",EXP(IF(AND(ISNUMBER('Council Entry'!BA$8),ISNUMBER('Council Entry'!BA$9)),MAX(MIN('Council Entry'!BA189,'Council Entry'!BA$9),'Council Entry'!BA$8),'Council Entry'!BA189)),IF(AND(ISNUMBER('Council Entry'!BA$8),ISNUMBER('Council Entry'!BA$9)),MAX(MIN('Council Entry'!BA189,'Council Entry'!BA$9),'Council Entry'!BA$8),'Council Entry'!BA189))))-'Council Entry'!BA$5)/('Council Entry'!BA$6-'Council Entry'!BA$5)),1))),"No data"))</f>
        <v/>
      </c>
      <c r="BB189" s="13">
        <f>IF('Council Entry'!BB189="","",IFERROR(MAX(0,MIN(10,ROUND(IF('Council Entry'!BB$7="Decrease Risk",10-10*((IF('Council Entry'!BB$4="Logarithm",LN(0.001+IF(AND(ISNUMBER('Council Entry'!BB$8),ISNUMBER('Council Entry'!BB$9)),MAX(MIN('Council Entry'!BB189,'Council Entry'!BB$9),'Council Entry'!BB$8),'Council Entry'!BB189)),IF('Council Entry'!BB$4="Exponential",EXP(IF(AND(ISNUMBER('Council Entry'!BB$8),ISNUMBER('Council Entry'!BB$9)),MAX(MIN('Council Entry'!BB189,'Council Entry'!BB$9),'Council Entry'!BB$8),'Council Entry'!BB189)),IF(AND(ISNUMBER('Council Entry'!BB$8),ISNUMBER('Council Entry'!BB$9)),MAX(MIN('Council Entry'!BB189,'Council Entry'!BB$9),'Council Entry'!BB$8),'Council Entry'!BB189))))-'Council Entry'!BB$5)/('Council Entry'!BB$6-'Council Entry'!BB$5),10*((IF('Council Entry'!BB$4="Logarithm",LN(0.001+IF(AND(ISNUMBER('Council Entry'!BB$8),ISNUMBER('Council Entry'!BB$9)),MAX(MIN('Council Entry'!BB189,'Council Entry'!BB$9),'Council Entry'!BB$8),'Council Entry'!BB189)),IF('Council Entry'!BB$4="Exponential",EXP(IF(AND(ISNUMBER('Council Entry'!BB$8),ISNUMBER('Council Entry'!BB$9)),MAX(MIN('Council Entry'!BB189,'Council Entry'!BB$9),'Council Entry'!BB$8),'Council Entry'!BB189)),IF(AND(ISNUMBER('Council Entry'!BB$8),ISNUMBER('Council Entry'!BB$9)),MAX(MIN('Council Entry'!BB189,'Council Entry'!BB$9),'Council Entry'!BB$8),'Council Entry'!BB189))))-'Council Entry'!BB$5)/('Council Entry'!BB$6-'Council Entry'!BB$5)),1))),"No data"))</f>
        <v/>
      </c>
      <c r="BC189" s="13">
        <f>IF('Council Entry'!BC189="","",IFERROR(MAX(0,MIN(10,ROUND(IF('Council Entry'!BC$7="Decrease Risk",10-10*((IF('Council Entry'!BC$4="Logarithm",LN(0.001+IF(AND(ISNUMBER('Council Entry'!BC$8),ISNUMBER('Council Entry'!BC$9)),MAX(MIN('Council Entry'!BC189,'Council Entry'!BC$9),'Council Entry'!BC$8),'Council Entry'!BC189)),IF('Council Entry'!BC$4="Exponential",EXP(IF(AND(ISNUMBER('Council Entry'!BC$8),ISNUMBER('Council Entry'!BC$9)),MAX(MIN('Council Entry'!BC189,'Council Entry'!BC$9),'Council Entry'!BC$8),'Council Entry'!BC189)),IF(AND(ISNUMBER('Council Entry'!BC$8),ISNUMBER('Council Entry'!BC$9)),MAX(MIN('Council Entry'!BC189,'Council Entry'!BC$9),'Council Entry'!BC$8),'Council Entry'!BC189))))-'Council Entry'!BC$5)/('Council Entry'!BC$6-'Council Entry'!BC$5),10*((IF('Council Entry'!BC$4="Logarithm",LN(0.001+IF(AND(ISNUMBER('Council Entry'!BC$8),ISNUMBER('Council Entry'!BC$9)),MAX(MIN('Council Entry'!BC189,'Council Entry'!BC$9),'Council Entry'!BC$8),'Council Entry'!BC189)),IF('Council Entry'!BC$4="Exponential",EXP(IF(AND(ISNUMBER('Council Entry'!BC$8),ISNUMBER('Council Entry'!BC$9)),MAX(MIN('Council Entry'!BC189,'Council Entry'!BC$9),'Council Entry'!BC$8),'Council Entry'!BC189)),IF(AND(ISNUMBER('Council Entry'!BC$8),ISNUMBER('Council Entry'!BC$9)),MAX(MIN('Council Entry'!BC189,'Council Entry'!BC$9),'Council Entry'!BC$8),'Council Entry'!BC189))))-'Council Entry'!BC$5)/('Council Entry'!BC$6-'Council Entry'!BC$5)),1))),"No data"))</f>
        <v/>
      </c>
      <c r="BD189" s="13">
        <f>IF('Council Entry'!BD189="","",IFERROR(MAX(0,MIN(10,ROUND(IF('Council Entry'!BD$7="Decrease Risk",10-10*((IF('Council Entry'!BD$4="Logarithm",LN(0.001+IF(AND(ISNUMBER('Council Entry'!BD$8),ISNUMBER('Council Entry'!BD$9)),MAX(MIN('Council Entry'!BD189,'Council Entry'!BD$9),'Council Entry'!BD$8),'Council Entry'!BD189)),IF('Council Entry'!BD$4="Exponential",EXP(IF(AND(ISNUMBER('Council Entry'!BD$8),ISNUMBER('Council Entry'!BD$9)),MAX(MIN('Council Entry'!BD189,'Council Entry'!BD$9),'Council Entry'!BD$8),'Council Entry'!BD189)),IF(AND(ISNUMBER('Council Entry'!BD$8),ISNUMBER('Council Entry'!BD$9)),MAX(MIN('Council Entry'!BD189,'Council Entry'!BD$9),'Council Entry'!BD$8),'Council Entry'!BD189))))-'Council Entry'!BD$5)/('Council Entry'!BD$6-'Council Entry'!BD$5),10*((IF('Council Entry'!BD$4="Logarithm",LN(0.001+IF(AND(ISNUMBER('Council Entry'!BD$8),ISNUMBER('Council Entry'!BD$9)),MAX(MIN('Council Entry'!BD189,'Council Entry'!BD$9),'Council Entry'!BD$8),'Council Entry'!BD189)),IF('Council Entry'!BD$4="Exponential",EXP(IF(AND(ISNUMBER('Council Entry'!BD$8),ISNUMBER('Council Entry'!BD$9)),MAX(MIN('Council Entry'!BD189,'Council Entry'!BD$9),'Council Entry'!BD$8),'Council Entry'!BD189)),IF(AND(ISNUMBER('Council Entry'!BD$8),ISNUMBER('Council Entry'!BD$9)),MAX(MIN('Council Entry'!BD189,'Council Entry'!BD$9),'Council Entry'!BD$8),'Council Entry'!BD189))))-'Council Entry'!BD$5)/('Council Entry'!BD$6-'Council Entry'!BD$5)),1))),"No data"))</f>
        <v/>
      </c>
    </row>
    <row r="190">
      <c r="A190" t="inlineStr">
        <is>
          <t>Tabora</t>
        </is>
      </c>
      <c r="B190" t="inlineStr">
        <is>
          <t>Nzega Town</t>
        </is>
      </c>
      <c r="C190" t="inlineStr">
        <is>
          <t>C099</t>
        </is>
      </c>
      <c r="D190" s="13">
        <f>IF('Council Entry'!D190="","",IFERROR(MAX(0,MIN(10,ROUND(IF('Council Entry'!D$7="Decrease Risk",10-10*((IF('Council Entry'!D$4="Logarithm",LN(0.001+IF(AND(ISNUMBER('Council Entry'!D$8),ISNUMBER('Council Entry'!D$9)),MAX(MIN('Council Entry'!D190,'Council Entry'!D$9),'Council Entry'!D$8),'Council Entry'!D190)),IF('Council Entry'!D$4="Exponential",EXP(IF(AND(ISNUMBER('Council Entry'!D$8),ISNUMBER('Council Entry'!D$9)),MAX(MIN('Council Entry'!D190,'Council Entry'!D$9),'Council Entry'!D$8),'Council Entry'!D190)),IF(AND(ISNUMBER('Council Entry'!D$8),ISNUMBER('Council Entry'!D$9)),MAX(MIN('Council Entry'!D190,'Council Entry'!D$9),'Council Entry'!D$8),'Council Entry'!D190))))-'Council Entry'!D$5)/('Council Entry'!D$6-'Council Entry'!D$5),10*((IF('Council Entry'!D$4="Logarithm",LN(0.001+IF(AND(ISNUMBER('Council Entry'!D$8),ISNUMBER('Council Entry'!D$9)),MAX(MIN('Council Entry'!D190,'Council Entry'!D$9),'Council Entry'!D$8),'Council Entry'!D190)),IF('Council Entry'!D$4="Exponential",EXP(IF(AND(ISNUMBER('Council Entry'!D$8),ISNUMBER('Council Entry'!D$9)),MAX(MIN('Council Entry'!D190,'Council Entry'!D$9),'Council Entry'!D$8),'Council Entry'!D190)),IF(AND(ISNUMBER('Council Entry'!D$8),ISNUMBER('Council Entry'!D$9)),MAX(MIN('Council Entry'!D190,'Council Entry'!D$9),'Council Entry'!D$8),'Council Entry'!D190))))-'Council Entry'!D$5)/('Council Entry'!D$6-'Council Entry'!D$5)),1))),"No data"))</f>
        <v/>
      </c>
      <c r="E190" s="13">
        <f>IF('Council Entry'!E190="","",IFERROR(MAX(0,MIN(10,ROUND(IF('Council Entry'!E$7="Decrease Risk",10-10*((IF('Council Entry'!E$4="Logarithm",LN(0.001+IF(AND(ISNUMBER('Council Entry'!E$8),ISNUMBER('Council Entry'!E$9)),MAX(MIN('Council Entry'!E190,'Council Entry'!E$9),'Council Entry'!E$8),'Council Entry'!E190)),IF('Council Entry'!E$4="Exponential",EXP(IF(AND(ISNUMBER('Council Entry'!E$8),ISNUMBER('Council Entry'!E$9)),MAX(MIN('Council Entry'!E190,'Council Entry'!E$9),'Council Entry'!E$8),'Council Entry'!E190)),IF(AND(ISNUMBER('Council Entry'!E$8),ISNUMBER('Council Entry'!E$9)),MAX(MIN('Council Entry'!E190,'Council Entry'!E$9),'Council Entry'!E$8),'Council Entry'!E190))))-'Council Entry'!E$5)/('Council Entry'!E$6-'Council Entry'!E$5),10*((IF('Council Entry'!E$4="Logarithm",LN(0.001+IF(AND(ISNUMBER('Council Entry'!E$8),ISNUMBER('Council Entry'!E$9)),MAX(MIN('Council Entry'!E190,'Council Entry'!E$9),'Council Entry'!E$8),'Council Entry'!E190)),IF('Council Entry'!E$4="Exponential",EXP(IF(AND(ISNUMBER('Council Entry'!E$8),ISNUMBER('Council Entry'!E$9)),MAX(MIN('Council Entry'!E190,'Council Entry'!E$9),'Council Entry'!E$8),'Council Entry'!E190)),IF(AND(ISNUMBER('Council Entry'!E$8),ISNUMBER('Council Entry'!E$9)),MAX(MIN('Council Entry'!E190,'Council Entry'!E$9),'Council Entry'!E$8),'Council Entry'!E190))))-'Council Entry'!E$5)/('Council Entry'!E$6-'Council Entry'!E$5)),1))),"No data"))</f>
        <v/>
      </c>
      <c r="F190" s="13">
        <f>IF('Council Entry'!F190="","",IFERROR(MAX(0,MIN(10,ROUND(IF('Council Entry'!F$7="Decrease Risk",10-10*((IF('Council Entry'!F$4="Logarithm",LN(0.001+IF(AND(ISNUMBER('Council Entry'!F$8),ISNUMBER('Council Entry'!F$9)),MAX(MIN('Council Entry'!F190,'Council Entry'!F$9),'Council Entry'!F$8),'Council Entry'!F190)),IF('Council Entry'!F$4="Exponential",EXP(IF(AND(ISNUMBER('Council Entry'!F$8),ISNUMBER('Council Entry'!F$9)),MAX(MIN('Council Entry'!F190,'Council Entry'!F$9),'Council Entry'!F$8),'Council Entry'!F190)),IF(AND(ISNUMBER('Council Entry'!F$8),ISNUMBER('Council Entry'!F$9)),MAX(MIN('Council Entry'!F190,'Council Entry'!F$9),'Council Entry'!F$8),'Council Entry'!F190))))-'Council Entry'!F$5)/('Council Entry'!F$6-'Council Entry'!F$5),10*((IF('Council Entry'!F$4="Logarithm",LN(0.001+IF(AND(ISNUMBER('Council Entry'!F$8),ISNUMBER('Council Entry'!F$9)),MAX(MIN('Council Entry'!F190,'Council Entry'!F$9),'Council Entry'!F$8),'Council Entry'!F190)),IF('Council Entry'!F$4="Exponential",EXP(IF(AND(ISNUMBER('Council Entry'!F$8),ISNUMBER('Council Entry'!F$9)),MAX(MIN('Council Entry'!F190,'Council Entry'!F$9),'Council Entry'!F$8),'Council Entry'!F190)),IF(AND(ISNUMBER('Council Entry'!F$8),ISNUMBER('Council Entry'!F$9)),MAX(MIN('Council Entry'!F190,'Council Entry'!F$9),'Council Entry'!F$8),'Council Entry'!F190))))-'Council Entry'!F$5)/('Council Entry'!F$6-'Council Entry'!F$5)),1))),"No data"))</f>
        <v/>
      </c>
      <c r="G190" s="13">
        <f>IF('Council Entry'!G190="","",IFERROR(MAX(0,MIN(10,ROUND(IF('Council Entry'!G$7="Decrease Risk",10-10*((IF('Council Entry'!G$4="Logarithm",LN(0.001+IF(AND(ISNUMBER('Council Entry'!G$8),ISNUMBER('Council Entry'!G$9)),MAX(MIN('Council Entry'!G190,'Council Entry'!G$9),'Council Entry'!G$8),'Council Entry'!G190)),IF('Council Entry'!G$4="Exponential",EXP(IF(AND(ISNUMBER('Council Entry'!G$8),ISNUMBER('Council Entry'!G$9)),MAX(MIN('Council Entry'!G190,'Council Entry'!G$9),'Council Entry'!G$8),'Council Entry'!G190)),IF(AND(ISNUMBER('Council Entry'!G$8),ISNUMBER('Council Entry'!G$9)),MAX(MIN('Council Entry'!G190,'Council Entry'!G$9),'Council Entry'!G$8),'Council Entry'!G190))))-'Council Entry'!G$5)/('Council Entry'!G$6-'Council Entry'!G$5),10*((IF('Council Entry'!G$4="Logarithm",LN(0.001+IF(AND(ISNUMBER('Council Entry'!G$8),ISNUMBER('Council Entry'!G$9)),MAX(MIN('Council Entry'!G190,'Council Entry'!G$9),'Council Entry'!G$8),'Council Entry'!G190)),IF('Council Entry'!G$4="Exponential",EXP(IF(AND(ISNUMBER('Council Entry'!G$8),ISNUMBER('Council Entry'!G$9)),MAX(MIN('Council Entry'!G190,'Council Entry'!G$9),'Council Entry'!G$8),'Council Entry'!G190)),IF(AND(ISNUMBER('Council Entry'!G$8),ISNUMBER('Council Entry'!G$9)),MAX(MIN('Council Entry'!G190,'Council Entry'!G$9),'Council Entry'!G$8),'Council Entry'!G190))))-'Council Entry'!G$5)/('Council Entry'!G$6-'Council Entry'!G$5)),1))),"No data"))</f>
        <v/>
      </c>
      <c r="H190" s="13">
        <f>IF('Council Entry'!H190="","",IFERROR(MAX(0,MIN(10,ROUND(IF('Council Entry'!H$7="Decrease Risk",10-10*((IF('Council Entry'!H$4="Logarithm",LN(0.001+IF(AND(ISNUMBER('Council Entry'!H$8),ISNUMBER('Council Entry'!H$9)),MAX(MIN('Council Entry'!H190,'Council Entry'!H$9),'Council Entry'!H$8),'Council Entry'!H190)),IF('Council Entry'!H$4="Exponential",EXP(IF(AND(ISNUMBER('Council Entry'!H$8),ISNUMBER('Council Entry'!H$9)),MAX(MIN('Council Entry'!H190,'Council Entry'!H$9),'Council Entry'!H$8),'Council Entry'!H190)),IF(AND(ISNUMBER('Council Entry'!H$8),ISNUMBER('Council Entry'!H$9)),MAX(MIN('Council Entry'!H190,'Council Entry'!H$9),'Council Entry'!H$8),'Council Entry'!H190))))-'Council Entry'!H$5)/('Council Entry'!H$6-'Council Entry'!H$5),10*((IF('Council Entry'!H$4="Logarithm",LN(0.001+IF(AND(ISNUMBER('Council Entry'!H$8),ISNUMBER('Council Entry'!H$9)),MAX(MIN('Council Entry'!H190,'Council Entry'!H$9),'Council Entry'!H$8),'Council Entry'!H190)),IF('Council Entry'!H$4="Exponential",EXP(IF(AND(ISNUMBER('Council Entry'!H$8),ISNUMBER('Council Entry'!H$9)),MAX(MIN('Council Entry'!H190,'Council Entry'!H$9),'Council Entry'!H$8),'Council Entry'!H190)),IF(AND(ISNUMBER('Council Entry'!H$8),ISNUMBER('Council Entry'!H$9)),MAX(MIN('Council Entry'!H190,'Council Entry'!H$9),'Council Entry'!H$8),'Council Entry'!H190))))-'Council Entry'!H$5)/('Council Entry'!H$6-'Council Entry'!H$5)),1))),"No data"))</f>
        <v/>
      </c>
      <c r="I190" s="13">
        <f>IF('Council Entry'!I190="","",IFERROR(MAX(0,MIN(10,ROUND(IF('Council Entry'!I$7="Decrease Risk",10-10*((IF('Council Entry'!I$4="Logarithm",LN(0.001+IF(AND(ISNUMBER('Council Entry'!I$8),ISNUMBER('Council Entry'!I$9)),MAX(MIN('Council Entry'!I190,'Council Entry'!I$9),'Council Entry'!I$8),'Council Entry'!I190)),IF('Council Entry'!I$4="Exponential",EXP(IF(AND(ISNUMBER('Council Entry'!I$8),ISNUMBER('Council Entry'!I$9)),MAX(MIN('Council Entry'!I190,'Council Entry'!I$9),'Council Entry'!I$8),'Council Entry'!I190)),IF(AND(ISNUMBER('Council Entry'!I$8),ISNUMBER('Council Entry'!I$9)),MAX(MIN('Council Entry'!I190,'Council Entry'!I$9),'Council Entry'!I$8),'Council Entry'!I190))))-'Council Entry'!I$5)/('Council Entry'!I$6-'Council Entry'!I$5),10*((IF('Council Entry'!I$4="Logarithm",LN(0.001+IF(AND(ISNUMBER('Council Entry'!I$8),ISNUMBER('Council Entry'!I$9)),MAX(MIN('Council Entry'!I190,'Council Entry'!I$9),'Council Entry'!I$8),'Council Entry'!I190)),IF('Council Entry'!I$4="Exponential",EXP(IF(AND(ISNUMBER('Council Entry'!I$8),ISNUMBER('Council Entry'!I$9)),MAX(MIN('Council Entry'!I190,'Council Entry'!I$9),'Council Entry'!I$8),'Council Entry'!I190)),IF(AND(ISNUMBER('Council Entry'!I$8),ISNUMBER('Council Entry'!I$9)),MAX(MIN('Council Entry'!I190,'Council Entry'!I$9),'Council Entry'!I$8),'Council Entry'!I190))))-'Council Entry'!I$5)/('Council Entry'!I$6-'Council Entry'!I$5)),1))),"No data"))</f>
        <v/>
      </c>
      <c r="J190" s="13">
        <f>IF('Council Entry'!J190="","",IFERROR(MAX(0,MIN(10,ROUND(IF('Council Entry'!J$7="Decrease Risk",10-10*((IF('Council Entry'!J$4="Logarithm",LN(0.001+IF(AND(ISNUMBER('Council Entry'!J$8),ISNUMBER('Council Entry'!J$9)),MAX(MIN('Council Entry'!J190,'Council Entry'!J$9),'Council Entry'!J$8),'Council Entry'!J190)),IF('Council Entry'!J$4="Exponential",EXP(IF(AND(ISNUMBER('Council Entry'!J$8),ISNUMBER('Council Entry'!J$9)),MAX(MIN('Council Entry'!J190,'Council Entry'!J$9),'Council Entry'!J$8),'Council Entry'!J190)),IF(AND(ISNUMBER('Council Entry'!J$8),ISNUMBER('Council Entry'!J$9)),MAX(MIN('Council Entry'!J190,'Council Entry'!J$9),'Council Entry'!J$8),'Council Entry'!J190))))-'Council Entry'!J$5)/('Council Entry'!J$6-'Council Entry'!J$5),10*((IF('Council Entry'!J$4="Logarithm",LN(0.001+IF(AND(ISNUMBER('Council Entry'!J$8),ISNUMBER('Council Entry'!J$9)),MAX(MIN('Council Entry'!J190,'Council Entry'!J$9),'Council Entry'!J$8),'Council Entry'!J190)),IF('Council Entry'!J$4="Exponential",EXP(IF(AND(ISNUMBER('Council Entry'!J$8),ISNUMBER('Council Entry'!J$9)),MAX(MIN('Council Entry'!J190,'Council Entry'!J$9),'Council Entry'!J$8),'Council Entry'!J190)),IF(AND(ISNUMBER('Council Entry'!J$8),ISNUMBER('Council Entry'!J$9)),MAX(MIN('Council Entry'!J190,'Council Entry'!J$9),'Council Entry'!J$8),'Council Entry'!J190))))-'Council Entry'!J$5)/('Council Entry'!J$6-'Council Entry'!J$5)),1))),"No data"))</f>
        <v/>
      </c>
      <c r="K190" s="13">
        <f>IF('Council Entry'!K190="","",IFERROR(MAX(0,MIN(10,ROUND(IF('Council Entry'!K$7="Decrease Risk",10-10*((IF('Council Entry'!K$4="Logarithm",LN(0.001+IF(AND(ISNUMBER('Council Entry'!K$8),ISNUMBER('Council Entry'!K$9)),MAX(MIN('Council Entry'!K190,'Council Entry'!K$9),'Council Entry'!K$8),'Council Entry'!K190)),IF('Council Entry'!K$4="Exponential",EXP(IF(AND(ISNUMBER('Council Entry'!K$8),ISNUMBER('Council Entry'!K$9)),MAX(MIN('Council Entry'!K190,'Council Entry'!K$9),'Council Entry'!K$8),'Council Entry'!K190)),IF(AND(ISNUMBER('Council Entry'!K$8),ISNUMBER('Council Entry'!K$9)),MAX(MIN('Council Entry'!K190,'Council Entry'!K$9),'Council Entry'!K$8),'Council Entry'!K190))))-'Council Entry'!K$5)/('Council Entry'!K$6-'Council Entry'!K$5),10*((IF('Council Entry'!K$4="Logarithm",LN(0.001+IF(AND(ISNUMBER('Council Entry'!K$8),ISNUMBER('Council Entry'!K$9)),MAX(MIN('Council Entry'!K190,'Council Entry'!K$9),'Council Entry'!K$8),'Council Entry'!K190)),IF('Council Entry'!K$4="Exponential",EXP(IF(AND(ISNUMBER('Council Entry'!K$8),ISNUMBER('Council Entry'!K$9)),MAX(MIN('Council Entry'!K190,'Council Entry'!K$9),'Council Entry'!K$8),'Council Entry'!K190)),IF(AND(ISNUMBER('Council Entry'!K$8),ISNUMBER('Council Entry'!K$9)),MAX(MIN('Council Entry'!K190,'Council Entry'!K$9),'Council Entry'!K$8),'Council Entry'!K190))))-'Council Entry'!K$5)/('Council Entry'!K$6-'Council Entry'!K$5)),1))),"No data"))</f>
        <v/>
      </c>
      <c r="L190" s="13">
        <f>IF('Council Entry'!L190="","",IFERROR(MAX(0,MIN(10,ROUND(IF('Council Entry'!L$7="Decrease Risk",10-10*((IF('Council Entry'!L$4="Logarithm",LN(0.001+IF(AND(ISNUMBER('Council Entry'!L$8),ISNUMBER('Council Entry'!L$9)),MAX(MIN('Council Entry'!L190,'Council Entry'!L$9),'Council Entry'!L$8),'Council Entry'!L190)),IF('Council Entry'!L$4="Exponential",EXP(IF(AND(ISNUMBER('Council Entry'!L$8),ISNUMBER('Council Entry'!L$9)),MAX(MIN('Council Entry'!L190,'Council Entry'!L$9),'Council Entry'!L$8),'Council Entry'!L190)),IF(AND(ISNUMBER('Council Entry'!L$8),ISNUMBER('Council Entry'!L$9)),MAX(MIN('Council Entry'!L190,'Council Entry'!L$9),'Council Entry'!L$8),'Council Entry'!L190))))-'Council Entry'!L$5)/('Council Entry'!L$6-'Council Entry'!L$5),10*((IF('Council Entry'!L$4="Logarithm",LN(0.001+IF(AND(ISNUMBER('Council Entry'!L$8),ISNUMBER('Council Entry'!L$9)),MAX(MIN('Council Entry'!L190,'Council Entry'!L$9),'Council Entry'!L$8),'Council Entry'!L190)),IF('Council Entry'!L$4="Exponential",EXP(IF(AND(ISNUMBER('Council Entry'!L$8),ISNUMBER('Council Entry'!L$9)),MAX(MIN('Council Entry'!L190,'Council Entry'!L$9),'Council Entry'!L$8),'Council Entry'!L190)),IF(AND(ISNUMBER('Council Entry'!L$8),ISNUMBER('Council Entry'!L$9)),MAX(MIN('Council Entry'!L190,'Council Entry'!L$9),'Council Entry'!L$8),'Council Entry'!L190))))-'Council Entry'!L$5)/('Council Entry'!L$6-'Council Entry'!L$5)),1))),"No data"))</f>
        <v/>
      </c>
      <c r="M190" s="13">
        <f>IF('Council Entry'!M190="","",IFERROR(MAX(0,MIN(10,ROUND(IF('Council Entry'!M$7="Decrease Risk",10-10*((IF('Council Entry'!M$4="Logarithm",LN(0.001+IF(AND(ISNUMBER('Council Entry'!M$8),ISNUMBER('Council Entry'!M$9)),MAX(MIN('Council Entry'!M190,'Council Entry'!M$9),'Council Entry'!M$8),'Council Entry'!M190)),IF('Council Entry'!M$4="Exponential",EXP(IF(AND(ISNUMBER('Council Entry'!M$8),ISNUMBER('Council Entry'!M$9)),MAX(MIN('Council Entry'!M190,'Council Entry'!M$9),'Council Entry'!M$8),'Council Entry'!M190)),IF(AND(ISNUMBER('Council Entry'!M$8),ISNUMBER('Council Entry'!M$9)),MAX(MIN('Council Entry'!M190,'Council Entry'!M$9),'Council Entry'!M$8),'Council Entry'!M190))))-'Council Entry'!M$5)/('Council Entry'!M$6-'Council Entry'!M$5),10*((IF('Council Entry'!M$4="Logarithm",LN(0.001+IF(AND(ISNUMBER('Council Entry'!M$8),ISNUMBER('Council Entry'!M$9)),MAX(MIN('Council Entry'!M190,'Council Entry'!M$9),'Council Entry'!M$8),'Council Entry'!M190)),IF('Council Entry'!M$4="Exponential",EXP(IF(AND(ISNUMBER('Council Entry'!M$8),ISNUMBER('Council Entry'!M$9)),MAX(MIN('Council Entry'!M190,'Council Entry'!M$9),'Council Entry'!M$8),'Council Entry'!M190)),IF(AND(ISNUMBER('Council Entry'!M$8),ISNUMBER('Council Entry'!M$9)),MAX(MIN('Council Entry'!M190,'Council Entry'!M$9),'Council Entry'!M$8),'Council Entry'!M190))))-'Council Entry'!M$5)/('Council Entry'!M$6-'Council Entry'!M$5)),1))),"No data"))</f>
        <v/>
      </c>
      <c r="N190" s="13">
        <f>IF('Council Entry'!N190="","",IFERROR(MAX(0,MIN(10,ROUND(IF('Council Entry'!N$7="Decrease Risk",10-10*((IF('Council Entry'!N$4="Logarithm",LN(0.001+IF(AND(ISNUMBER('Council Entry'!N$8),ISNUMBER('Council Entry'!N$9)),MAX(MIN('Council Entry'!N190,'Council Entry'!N$9),'Council Entry'!N$8),'Council Entry'!N190)),IF('Council Entry'!N$4="Exponential",EXP(IF(AND(ISNUMBER('Council Entry'!N$8),ISNUMBER('Council Entry'!N$9)),MAX(MIN('Council Entry'!N190,'Council Entry'!N$9),'Council Entry'!N$8),'Council Entry'!N190)),IF(AND(ISNUMBER('Council Entry'!N$8),ISNUMBER('Council Entry'!N$9)),MAX(MIN('Council Entry'!N190,'Council Entry'!N$9),'Council Entry'!N$8),'Council Entry'!N190))))-'Council Entry'!N$5)/('Council Entry'!N$6-'Council Entry'!N$5),10*((IF('Council Entry'!N$4="Logarithm",LN(0.001+IF(AND(ISNUMBER('Council Entry'!N$8),ISNUMBER('Council Entry'!N$9)),MAX(MIN('Council Entry'!N190,'Council Entry'!N$9),'Council Entry'!N$8),'Council Entry'!N190)),IF('Council Entry'!N$4="Exponential",EXP(IF(AND(ISNUMBER('Council Entry'!N$8),ISNUMBER('Council Entry'!N$9)),MAX(MIN('Council Entry'!N190,'Council Entry'!N$9),'Council Entry'!N$8),'Council Entry'!N190)),IF(AND(ISNUMBER('Council Entry'!N$8),ISNUMBER('Council Entry'!N$9)),MAX(MIN('Council Entry'!N190,'Council Entry'!N$9),'Council Entry'!N$8),'Council Entry'!N190))))-'Council Entry'!N$5)/('Council Entry'!N$6-'Council Entry'!N$5)),1))),"No data"))</f>
        <v/>
      </c>
      <c r="O190" s="13">
        <f>IF('Council Entry'!O190="","",IFERROR(MAX(0,MIN(10,ROUND(IF('Council Entry'!O$7="Decrease Risk",10-10*((IF('Council Entry'!O$4="Logarithm",LN(0.001+IF(AND(ISNUMBER('Council Entry'!O$8),ISNUMBER('Council Entry'!O$9)),MAX(MIN('Council Entry'!O190,'Council Entry'!O$9),'Council Entry'!O$8),'Council Entry'!O190)),IF('Council Entry'!O$4="Exponential",EXP(IF(AND(ISNUMBER('Council Entry'!O$8),ISNUMBER('Council Entry'!O$9)),MAX(MIN('Council Entry'!O190,'Council Entry'!O$9),'Council Entry'!O$8),'Council Entry'!O190)),IF(AND(ISNUMBER('Council Entry'!O$8),ISNUMBER('Council Entry'!O$9)),MAX(MIN('Council Entry'!O190,'Council Entry'!O$9),'Council Entry'!O$8),'Council Entry'!O190))))-'Council Entry'!O$5)/('Council Entry'!O$6-'Council Entry'!O$5),10*((IF('Council Entry'!O$4="Logarithm",LN(0.001+IF(AND(ISNUMBER('Council Entry'!O$8),ISNUMBER('Council Entry'!O$9)),MAX(MIN('Council Entry'!O190,'Council Entry'!O$9),'Council Entry'!O$8),'Council Entry'!O190)),IF('Council Entry'!O$4="Exponential",EXP(IF(AND(ISNUMBER('Council Entry'!O$8),ISNUMBER('Council Entry'!O$9)),MAX(MIN('Council Entry'!O190,'Council Entry'!O$9),'Council Entry'!O$8),'Council Entry'!O190)),IF(AND(ISNUMBER('Council Entry'!O$8),ISNUMBER('Council Entry'!O$9)),MAX(MIN('Council Entry'!O190,'Council Entry'!O$9),'Council Entry'!O$8),'Council Entry'!O190))))-'Council Entry'!O$5)/('Council Entry'!O$6-'Council Entry'!O$5)),1))),"No data"))</f>
        <v/>
      </c>
      <c r="P190" s="13">
        <f>IF('Council Entry'!P190="","",IFERROR(MAX(0,MIN(10,ROUND(IF('Council Entry'!P$7="Decrease Risk",10-10*((IF('Council Entry'!P$4="Logarithm",LN(0.001+IF(AND(ISNUMBER('Council Entry'!P$8),ISNUMBER('Council Entry'!P$9)),MAX(MIN('Council Entry'!P190,'Council Entry'!P$9),'Council Entry'!P$8),'Council Entry'!P190)),IF('Council Entry'!P$4="Exponential",EXP(IF(AND(ISNUMBER('Council Entry'!P$8),ISNUMBER('Council Entry'!P$9)),MAX(MIN('Council Entry'!P190,'Council Entry'!P$9),'Council Entry'!P$8),'Council Entry'!P190)),IF(AND(ISNUMBER('Council Entry'!P$8),ISNUMBER('Council Entry'!P$9)),MAX(MIN('Council Entry'!P190,'Council Entry'!P$9),'Council Entry'!P$8),'Council Entry'!P190))))-'Council Entry'!P$5)/('Council Entry'!P$6-'Council Entry'!P$5),10*((IF('Council Entry'!P$4="Logarithm",LN(0.001+IF(AND(ISNUMBER('Council Entry'!P$8),ISNUMBER('Council Entry'!P$9)),MAX(MIN('Council Entry'!P190,'Council Entry'!P$9),'Council Entry'!P$8),'Council Entry'!P190)),IF('Council Entry'!P$4="Exponential",EXP(IF(AND(ISNUMBER('Council Entry'!P$8),ISNUMBER('Council Entry'!P$9)),MAX(MIN('Council Entry'!P190,'Council Entry'!P$9),'Council Entry'!P$8),'Council Entry'!P190)),IF(AND(ISNUMBER('Council Entry'!P$8),ISNUMBER('Council Entry'!P$9)),MAX(MIN('Council Entry'!P190,'Council Entry'!P$9),'Council Entry'!P$8),'Council Entry'!P190))))-'Council Entry'!P$5)/('Council Entry'!P$6-'Council Entry'!P$5)),1))),"No data"))</f>
        <v/>
      </c>
      <c r="Q190" s="13">
        <f>IF('Council Entry'!Q190="","",IFERROR(MAX(0,MIN(10,ROUND(IF('Council Entry'!Q$7="Decrease Risk",10-10*((IF('Council Entry'!Q$4="Logarithm",LN(0.001+IF(AND(ISNUMBER('Council Entry'!Q$8),ISNUMBER('Council Entry'!Q$9)),MAX(MIN('Council Entry'!Q190,'Council Entry'!Q$9),'Council Entry'!Q$8),'Council Entry'!Q190)),IF('Council Entry'!Q$4="Exponential",EXP(IF(AND(ISNUMBER('Council Entry'!Q$8),ISNUMBER('Council Entry'!Q$9)),MAX(MIN('Council Entry'!Q190,'Council Entry'!Q$9),'Council Entry'!Q$8),'Council Entry'!Q190)),IF(AND(ISNUMBER('Council Entry'!Q$8),ISNUMBER('Council Entry'!Q$9)),MAX(MIN('Council Entry'!Q190,'Council Entry'!Q$9),'Council Entry'!Q$8),'Council Entry'!Q190))))-'Council Entry'!Q$5)/('Council Entry'!Q$6-'Council Entry'!Q$5),10*((IF('Council Entry'!Q$4="Logarithm",LN(0.001+IF(AND(ISNUMBER('Council Entry'!Q$8),ISNUMBER('Council Entry'!Q$9)),MAX(MIN('Council Entry'!Q190,'Council Entry'!Q$9),'Council Entry'!Q$8),'Council Entry'!Q190)),IF('Council Entry'!Q$4="Exponential",EXP(IF(AND(ISNUMBER('Council Entry'!Q$8),ISNUMBER('Council Entry'!Q$9)),MAX(MIN('Council Entry'!Q190,'Council Entry'!Q$9),'Council Entry'!Q$8),'Council Entry'!Q190)),IF(AND(ISNUMBER('Council Entry'!Q$8),ISNUMBER('Council Entry'!Q$9)),MAX(MIN('Council Entry'!Q190,'Council Entry'!Q$9),'Council Entry'!Q$8),'Council Entry'!Q190))))-'Council Entry'!Q$5)/('Council Entry'!Q$6-'Council Entry'!Q$5)),1))),"No data"))</f>
        <v/>
      </c>
      <c r="R190" s="13">
        <f>IF('Council Entry'!R190="","",IFERROR(MAX(0,MIN(10,ROUND(IF('Council Entry'!R$7="Decrease Risk",10-10*((IF('Council Entry'!R$4="Logarithm",LN(0.001+IF(AND(ISNUMBER('Council Entry'!R$8),ISNUMBER('Council Entry'!R$9)),MAX(MIN('Council Entry'!R190,'Council Entry'!R$9),'Council Entry'!R$8),'Council Entry'!R190)),IF('Council Entry'!R$4="Exponential",EXP(IF(AND(ISNUMBER('Council Entry'!R$8),ISNUMBER('Council Entry'!R$9)),MAX(MIN('Council Entry'!R190,'Council Entry'!R$9),'Council Entry'!R$8),'Council Entry'!R190)),IF(AND(ISNUMBER('Council Entry'!R$8),ISNUMBER('Council Entry'!R$9)),MAX(MIN('Council Entry'!R190,'Council Entry'!R$9),'Council Entry'!R$8),'Council Entry'!R190))))-'Council Entry'!R$5)/('Council Entry'!R$6-'Council Entry'!R$5),10*((IF('Council Entry'!R$4="Logarithm",LN(0.001+IF(AND(ISNUMBER('Council Entry'!R$8),ISNUMBER('Council Entry'!R$9)),MAX(MIN('Council Entry'!R190,'Council Entry'!R$9),'Council Entry'!R$8),'Council Entry'!R190)),IF('Council Entry'!R$4="Exponential",EXP(IF(AND(ISNUMBER('Council Entry'!R$8),ISNUMBER('Council Entry'!R$9)),MAX(MIN('Council Entry'!R190,'Council Entry'!R$9),'Council Entry'!R$8),'Council Entry'!R190)),IF(AND(ISNUMBER('Council Entry'!R$8),ISNUMBER('Council Entry'!R$9)),MAX(MIN('Council Entry'!R190,'Council Entry'!R$9),'Council Entry'!R$8),'Council Entry'!R190))))-'Council Entry'!R$5)/('Council Entry'!R$6-'Council Entry'!R$5)),1))),"No data"))</f>
        <v/>
      </c>
      <c r="S190" s="13">
        <f>IF('Council Entry'!S190="","",IFERROR(MAX(0,MIN(10,ROUND(IF('Council Entry'!S$7="Decrease Risk",10-10*((IF('Council Entry'!S$4="Logarithm",LN(0.001+IF(AND(ISNUMBER('Council Entry'!S$8),ISNUMBER('Council Entry'!S$9)),MAX(MIN('Council Entry'!S190,'Council Entry'!S$9),'Council Entry'!S$8),'Council Entry'!S190)),IF('Council Entry'!S$4="Exponential",EXP(IF(AND(ISNUMBER('Council Entry'!S$8),ISNUMBER('Council Entry'!S$9)),MAX(MIN('Council Entry'!S190,'Council Entry'!S$9),'Council Entry'!S$8),'Council Entry'!S190)),IF(AND(ISNUMBER('Council Entry'!S$8),ISNUMBER('Council Entry'!S$9)),MAX(MIN('Council Entry'!S190,'Council Entry'!S$9),'Council Entry'!S$8),'Council Entry'!S190))))-'Council Entry'!S$5)/('Council Entry'!S$6-'Council Entry'!S$5),10*((IF('Council Entry'!S$4="Logarithm",LN(0.001+IF(AND(ISNUMBER('Council Entry'!S$8),ISNUMBER('Council Entry'!S$9)),MAX(MIN('Council Entry'!S190,'Council Entry'!S$9),'Council Entry'!S$8),'Council Entry'!S190)),IF('Council Entry'!S$4="Exponential",EXP(IF(AND(ISNUMBER('Council Entry'!S$8),ISNUMBER('Council Entry'!S$9)),MAX(MIN('Council Entry'!S190,'Council Entry'!S$9),'Council Entry'!S$8),'Council Entry'!S190)),IF(AND(ISNUMBER('Council Entry'!S$8),ISNUMBER('Council Entry'!S$9)),MAX(MIN('Council Entry'!S190,'Council Entry'!S$9),'Council Entry'!S$8),'Council Entry'!S190))))-'Council Entry'!S$5)/('Council Entry'!S$6-'Council Entry'!S$5)),1))),"No data"))</f>
        <v/>
      </c>
      <c r="T190" s="13">
        <f>IF('Council Entry'!T190="","",IFERROR(MAX(0,MIN(10,ROUND(IF('Council Entry'!T$7="Decrease Risk",10-10*((IF('Council Entry'!T$4="Logarithm",LN(0.001+IF(AND(ISNUMBER('Council Entry'!T$8),ISNUMBER('Council Entry'!T$9)),MAX(MIN('Council Entry'!T190,'Council Entry'!T$9),'Council Entry'!T$8),'Council Entry'!T190)),IF('Council Entry'!T$4="Exponential",EXP(IF(AND(ISNUMBER('Council Entry'!T$8),ISNUMBER('Council Entry'!T$9)),MAX(MIN('Council Entry'!T190,'Council Entry'!T$9),'Council Entry'!T$8),'Council Entry'!T190)),IF(AND(ISNUMBER('Council Entry'!T$8),ISNUMBER('Council Entry'!T$9)),MAX(MIN('Council Entry'!T190,'Council Entry'!T$9),'Council Entry'!T$8),'Council Entry'!T190))))-'Council Entry'!T$5)/('Council Entry'!T$6-'Council Entry'!T$5),10*((IF('Council Entry'!T$4="Logarithm",LN(0.001+IF(AND(ISNUMBER('Council Entry'!T$8),ISNUMBER('Council Entry'!T$9)),MAX(MIN('Council Entry'!T190,'Council Entry'!T$9),'Council Entry'!T$8),'Council Entry'!T190)),IF('Council Entry'!T$4="Exponential",EXP(IF(AND(ISNUMBER('Council Entry'!T$8),ISNUMBER('Council Entry'!T$9)),MAX(MIN('Council Entry'!T190,'Council Entry'!T$9),'Council Entry'!T$8),'Council Entry'!T190)),IF(AND(ISNUMBER('Council Entry'!T$8),ISNUMBER('Council Entry'!T$9)),MAX(MIN('Council Entry'!T190,'Council Entry'!T$9),'Council Entry'!T$8),'Council Entry'!T190))))-'Council Entry'!T$5)/('Council Entry'!T$6-'Council Entry'!T$5)),1))),"No data"))</f>
        <v/>
      </c>
      <c r="U190" s="13">
        <f>IF('Council Entry'!U190="","",IFERROR(MAX(0,MIN(10,ROUND(IF('Council Entry'!U$7="Decrease Risk",10-10*((IF('Council Entry'!U$4="Logarithm",LN(0.001+IF(AND(ISNUMBER('Council Entry'!U$8),ISNUMBER('Council Entry'!U$9)),MAX(MIN('Council Entry'!U190,'Council Entry'!U$9),'Council Entry'!U$8),'Council Entry'!U190)),IF('Council Entry'!U$4="Exponential",EXP(IF(AND(ISNUMBER('Council Entry'!U$8),ISNUMBER('Council Entry'!U$9)),MAX(MIN('Council Entry'!U190,'Council Entry'!U$9),'Council Entry'!U$8),'Council Entry'!U190)),IF(AND(ISNUMBER('Council Entry'!U$8),ISNUMBER('Council Entry'!U$9)),MAX(MIN('Council Entry'!U190,'Council Entry'!U$9),'Council Entry'!U$8),'Council Entry'!U190))))-'Council Entry'!U$5)/('Council Entry'!U$6-'Council Entry'!U$5),10*((IF('Council Entry'!U$4="Logarithm",LN(0.001+IF(AND(ISNUMBER('Council Entry'!U$8),ISNUMBER('Council Entry'!U$9)),MAX(MIN('Council Entry'!U190,'Council Entry'!U$9),'Council Entry'!U$8),'Council Entry'!U190)),IF('Council Entry'!U$4="Exponential",EXP(IF(AND(ISNUMBER('Council Entry'!U$8),ISNUMBER('Council Entry'!U$9)),MAX(MIN('Council Entry'!U190,'Council Entry'!U$9),'Council Entry'!U$8),'Council Entry'!U190)),IF(AND(ISNUMBER('Council Entry'!U$8),ISNUMBER('Council Entry'!U$9)),MAX(MIN('Council Entry'!U190,'Council Entry'!U$9),'Council Entry'!U$8),'Council Entry'!U190))))-'Council Entry'!U$5)/('Council Entry'!U$6-'Council Entry'!U$5)),1))),"No data"))</f>
        <v/>
      </c>
      <c r="V190" s="13">
        <f>IF('Council Entry'!V190="","",IFERROR(MAX(0,MIN(10,ROUND(IF('Council Entry'!V$7="Decrease Risk",10-10*((IF('Council Entry'!V$4="Logarithm",LN(0.001+IF(AND(ISNUMBER('Council Entry'!V$8),ISNUMBER('Council Entry'!V$9)),MAX(MIN('Council Entry'!V190,'Council Entry'!V$9),'Council Entry'!V$8),'Council Entry'!V190)),IF('Council Entry'!V$4="Exponential",EXP(IF(AND(ISNUMBER('Council Entry'!V$8),ISNUMBER('Council Entry'!V$9)),MAX(MIN('Council Entry'!V190,'Council Entry'!V$9),'Council Entry'!V$8),'Council Entry'!V190)),IF(AND(ISNUMBER('Council Entry'!V$8),ISNUMBER('Council Entry'!V$9)),MAX(MIN('Council Entry'!V190,'Council Entry'!V$9),'Council Entry'!V$8),'Council Entry'!V190))))-'Council Entry'!V$5)/('Council Entry'!V$6-'Council Entry'!V$5),10*((IF('Council Entry'!V$4="Logarithm",LN(0.001+IF(AND(ISNUMBER('Council Entry'!V$8),ISNUMBER('Council Entry'!V$9)),MAX(MIN('Council Entry'!V190,'Council Entry'!V$9),'Council Entry'!V$8),'Council Entry'!V190)),IF('Council Entry'!V$4="Exponential",EXP(IF(AND(ISNUMBER('Council Entry'!V$8),ISNUMBER('Council Entry'!V$9)),MAX(MIN('Council Entry'!V190,'Council Entry'!V$9),'Council Entry'!V$8),'Council Entry'!V190)),IF(AND(ISNUMBER('Council Entry'!V$8),ISNUMBER('Council Entry'!V$9)),MAX(MIN('Council Entry'!V190,'Council Entry'!V$9),'Council Entry'!V$8),'Council Entry'!V190))))-'Council Entry'!V$5)/('Council Entry'!V$6-'Council Entry'!V$5)),1))),"No data"))</f>
        <v/>
      </c>
      <c r="W190" s="13">
        <f>IF('Council Entry'!W190="","",IFERROR(MAX(0,MIN(10,ROUND(IF('Council Entry'!W$7="Decrease Risk",10-10*((IF('Council Entry'!W$4="Logarithm",LN(0.001+IF(AND(ISNUMBER('Council Entry'!W$8),ISNUMBER('Council Entry'!W$9)),MAX(MIN('Council Entry'!W190,'Council Entry'!W$9),'Council Entry'!W$8),'Council Entry'!W190)),IF('Council Entry'!W$4="Exponential",EXP(IF(AND(ISNUMBER('Council Entry'!W$8),ISNUMBER('Council Entry'!W$9)),MAX(MIN('Council Entry'!W190,'Council Entry'!W$9),'Council Entry'!W$8),'Council Entry'!W190)),IF(AND(ISNUMBER('Council Entry'!W$8),ISNUMBER('Council Entry'!W$9)),MAX(MIN('Council Entry'!W190,'Council Entry'!W$9),'Council Entry'!W$8),'Council Entry'!W190))))-'Council Entry'!W$5)/('Council Entry'!W$6-'Council Entry'!W$5),10*((IF('Council Entry'!W$4="Logarithm",LN(0.001+IF(AND(ISNUMBER('Council Entry'!W$8),ISNUMBER('Council Entry'!W$9)),MAX(MIN('Council Entry'!W190,'Council Entry'!W$9),'Council Entry'!W$8),'Council Entry'!W190)),IF('Council Entry'!W$4="Exponential",EXP(IF(AND(ISNUMBER('Council Entry'!W$8),ISNUMBER('Council Entry'!W$9)),MAX(MIN('Council Entry'!W190,'Council Entry'!W$9),'Council Entry'!W$8),'Council Entry'!W190)),IF(AND(ISNUMBER('Council Entry'!W$8),ISNUMBER('Council Entry'!W$9)),MAX(MIN('Council Entry'!W190,'Council Entry'!W$9),'Council Entry'!W$8),'Council Entry'!W190))))-'Council Entry'!W$5)/('Council Entry'!W$6-'Council Entry'!W$5)),1))),"No data"))</f>
        <v/>
      </c>
      <c r="X190" s="13">
        <f>IF('Council Entry'!X190="","",IFERROR(MAX(0,MIN(10,ROUND(IF('Council Entry'!X$7="Decrease Risk",10-10*((IF('Council Entry'!X$4="Logarithm",LN(0.001+IF(AND(ISNUMBER('Council Entry'!X$8),ISNUMBER('Council Entry'!X$9)),MAX(MIN('Council Entry'!X190,'Council Entry'!X$9),'Council Entry'!X$8),'Council Entry'!X190)),IF('Council Entry'!X$4="Exponential",EXP(IF(AND(ISNUMBER('Council Entry'!X$8),ISNUMBER('Council Entry'!X$9)),MAX(MIN('Council Entry'!X190,'Council Entry'!X$9),'Council Entry'!X$8),'Council Entry'!X190)),IF(AND(ISNUMBER('Council Entry'!X$8),ISNUMBER('Council Entry'!X$9)),MAX(MIN('Council Entry'!X190,'Council Entry'!X$9),'Council Entry'!X$8),'Council Entry'!X190))))-'Council Entry'!X$5)/('Council Entry'!X$6-'Council Entry'!X$5),10*((IF('Council Entry'!X$4="Logarithm",LN(0.001+IF(AND(ISNUMBER('Council Entry'!X$8),ISNUMBER('Council Entry'!X$9)),MAX(MIN('Council Entry'!X190,'Council Entry'!X$9),'Council Entry'!X$8),'Council Entry'!X190)),IF('Council Entry'!X$4="Exponential",EXP(IF(AND(ISNUMBER('Council Entry'!X$8),ISNUMBER('Council Entry'!X$9)),MAX(MIN('Council Entry'!X190,'Council Entry'!X$9),'Council Entry'!X$8),'Council Entry'!X190)),IF(AND(ISNUMBER('Council Entry'!X$8),ISNUMBER('Council Entry'!X$9)),MAX(MIN('Council Entry'!X190,'Council Entry'!X$9),'Council Entry'!X$8),'Council Entry'!X190))))-'Council Entry'!X$5)/('Council Entry'!X$6-'Council Entry'!X$5)),1))),"No data"))</f>
        <v/>
      </c>
      <c r="Y190" s="13">
        <f>IF('Council Entry'!Y190="","",IFERROR(MAX(0,MIN(10,ROUND(IF('Council Entry'!Y$7="Decrease Risk",10-10*((IF('Council Entry'!Y$4="Logarithm",LN(0.001+IF(AND(ISNUMBER('Council Entry'!Y$8),ISNUMBER('Council Entry'!Y$9)),MAX(MIN('Council Entry'!Y190,'Council Entry'!Y$9),'Council Entry'!Y$8),'Council Entry'!Y190)),IF('Council Entry'!Y$4="Exponential",EXP(IF(AND(ISNUMBER('Council Entry'!Y$8),ISNUMBER('Council Entry'!Y$9)),MAX(MIN('Council Entry'!Y190,'Council Entry'!Y$9),'Council Entry'!Y$8),'Council Entry'!Y190)),IF(AND(ISNUMBER('Council Entry'!Y$8),ISNUMBER('Council Entry'!Y$9)),MAX(MIN('Council Entry'!Y190,'Council Entry'!Y$9),'Council Entry'!Y$8),'Council Entry'!Y190))))-'Council Entry'!Y$5)/('Council Entry'!Y$6-'Council Entry'!Y$5),10*((IF('Council Entry'!Y$4="Logarithm",LN(0.001+IF(AND(ISNUMBER('Council Entry'!Y$8),ISNUMBER('Council Entry'!Y$9)),MAX(MIN('Council Entry'!Y190,'Council Entry'!Y$9),'Council Entry'!Y$8),'Council Entry'!Y190)),IF('Council Entry'!Y$4="Exponential",EXP(IF(AND(ISNUMBER('Council Entry'!Y$8),ISNUMBER('Council Entry'!Y$9)),MAX(MIN('Council Entry'!Y190,'Council Entry'!Y$9),'Council Entry'!Y$8),'Council Entry'!Y190)),IF(AND(ISNUMBER('Council Entry'!Y$8),ISNUMBER('Council Entry'!Y$9)),MAX(MIN('Council Entry'!Y190,'Council Entry'!Y$9),'Council Entry'!Y$8),'Council Entry'!Y190))))-'Council Entry'!Y$5)/('Council Entry'!Y$6-'Council Entry'!Y$5)),1))),"No data"))</f>
        <v/>
      </c>
      <c r="Z190" s="13">
        <f>IF('Council Entry'!Z190="","",IFERROR(MAX(0,MIN(10,ROUND(IF('Council Entry'!Z$7="Decrease Risk",10-10*((IF('Council Entry'!Z$4="Logarithm",LN(0.001+IF(AND(ISNUMBER('Council Entry'!Z$8),ISNUMBER('Council Entry'!Z$9)),MAX(MIN('Council Entry'!Z190,'Council Entry'!Z$9),'Council Entry'!Z$8),'Council Entry'!Z190)),IF('Council Entry'!Z$4="Exponential",EXP(IF(AND(ISNUMBER('Council Entry'!Z$8),ISNUMBER('Council Entry'!Z$9)),MAX(MIN('Council Entry'!Z190,'Council Entry'!Z$9),'Council Entry'!Z$8),'Council Entry'!Z190)),IF(AND(ISNUMBER('Council Entry'!Z$8),ISNUMBER('Council Entry'!Z$9)),MAX(MIN('Council Entry'!Z190,'Council Entry'!Z$9),'Council Entry'!Z$8),'Council Entry'!Z190))))-'Council Entry'!Z$5)/('Council Entry'!Z$6-'Council Entry'!Z$5),10*((IF('Council Entry'!Z$4="Logarithm",LN(0.001+IF(AND(ISNUMBER('Council Entry'!Z$8),ISNUMBER('Council Entry'!Z$9)),MAX(MIN('Council Entry'!Z190,'Council Entry'!Z$9),'Council Entry'!Z$8),'Council Entry'!Z190)),IF('Council Entry'!Z$4="Exponential",EXP(IF(AND(ISNUMBER('Council Entry'!Z$8),ISNUMBER('Council Entry'!Z$9)),MAX(MIN('Council Entry'!Z190,'Council Entry'!Z$9),'Council Entry'!Z$8),'Council Entry'!Z190)),IF(AND(ISNUMBER('Council Entry'!Z$8),ISNUMBER('Council Entry'!Z$9)),MAX(MIN('Council Entry'!Z190,'Council Entry'!Z$9),'Council Entry'!Z$8),'Council Entry'!Z190))))-'Council Entry'!Z$5)/('Council Entry'!Z$6-'Council Entry'!Z$5)),1))),"No data"))</f>
        <v/>
      </c>
      <c r="AA190" s="13">
        <f>IF('Council Entry'!AA190="","",IFERROR(MAX(0,MIN(10,ROUND(IF('Council Entry'!AA$7="Decrease Risk",10-10*((IF('Council Entry'!AA$4="Logarithm",LN(0.001+IF(AND(ISNUMBER('Council Entry'!AA$8),ISNUMBER('Council Entry'!AA$9)),MAX(MIN('Council Entry'!AA190,'Council Entry'!AA$9),'Council Entry'!AA$8),'Council Entry'!AA190)),IF('Council Entry'!AA$4="Exponential",EXP(IF(AND(ISNUMBER('Council Entry'!AA$8),ISNUMBER('Council Entry'!AA$9)),MAX(MIN('Council Entry'!AA190,'Council Entry'!AA$9),'Council Entry'!AA$8),'Council Entry'!AA190)),IF(AND(ISNUMBER('Council Entry'!AA$8),ISNUMBER('Council Entry'!AA$9)),MAX(MIN('Council Entry'!AA190,'Council Entry'!AA$9),'Council Entry'!AA$8),'Council Entry'!AA190))))-'Council Entry'!AA$5)/('Council Entry'!AA$6-'Council Entry'!AA$5),10*((IF('Council Entry'!AA$4="Logarithm",LN(0.001+IF(AND(ISNUMBER('Council Entry'!AA$8),ISNUMBER('Council Entry'!AA$9)),MAX(MIN('Council Entry'!AA190,'Council Entry'!AA$9),'Council Entry'!AA$8),'Council Entry'!AA190)),IF('Council Entry'!AA$4="Exponential",EXP(IF(AND(ISNUMBER('Council Entry'!AA$8),ISNUMBER('Council Entry'!AA$9)),MAX(MIN('Council Entry'!AA190,'Council Entry'!AA$9),'Council Entry'!AA$8),'Council Entry'!AA190)),IF(AND(ISNUMBER('Council Entry'!AA$8),ISNUMBER('Council Entry'!AA$9)),MAX(MIN('Council Entry'!AA190,'Council Entry'!AA$9),'Council Entry'!AA$8),'Council Entry'!AA190))))-'Council Entry'!AA$5)/('Council Entry'!AA$6-'Council Entry'!AA$5)),1))),"No data"))</f>
        <v/>
      </c>
      <c r="AB190" s="13">
        <f>IF('Council Entry'!AB190="","",IFERROR(MAX(0,MIN(10,ROUND(IF('Council Entry'!AB$7="Decrease Risk",10-10*((IF('Council Entry'!AB$4="Logarithm",LN(0.001+IF(AND(ISNUMBER('Council Entry'!AB$8),ISNUMBER('Council Entry'!AB$9)),MAX(MIN('Council Entry'!AB190,'Council Entry'!AB$9),'Council Entry'!AB$8),'Council Entry'!AB190)),IF('Council Entry'!AB$4="Exponential",EXP(IF(AND(ISNUMBER('Council Entry'!AB$8),ISNUMBER('Council Entry'!AB$9)),MAX(MIN('Council Entry'!AB190,'Council Entry'!AB$9),'Council Entry'!AB$8),'Council Entry'!AB190)),IF(AND(ISNUMBER('Council Entry'!AB$8),ISNUMBER('Council Entry'!AB$9)),MAX(MIN('Council Entry'!AB190,'Council Entry'!AB$9),'Council Entry'!AB$8),'Council Entry'!AB190))))-'Council Entry'!AB$5)/('Council Entry'!AB$6-'Council Entry'!AB$5),10*((IF('Council Entry'!AB$4="Logarithm",LN(0.001+IF(AND(ISNUMBER('Council Entry'!AB$8),ISNUMBER('Council Entry'!AB$9)),MAX(MIN('Council Entry'!AB190,'Council Entry'!AB$9),'Council Entry'!AB$8),'Council Entry'!AB190)),IF('Council Entry'!AB$4="Exponential",EXP(IF(AND(ISNUMBER('Council Entry'!AB$8),ISNUMBER('Council Entry'!AB$9)),MAX(MIN('Council Entry'!AB190,'Council Entry'!AB$9),'Council Entry'!AB$8),'Council Entry'!AB190)),IF(AND(ISNUMBER('Council Entry'!AB$8),ISNUMBER('Council Entry'!AB$9)),MAX(MIN('Council Entry'!AB190,'Council Entry'!AB$9),'Council Entry'!AB$8),'Council Entry'!AB190))))-'Council Entry'!AB$5)/('Council Entry'!AB$6-'Council Entry'!AB$5)),1))),"No data"))</f>
        <v/>
      </c>
      <c r="AC190" s="13">
        <f>IF('Council Entry'!AC190="","",IFERROR(MAX(0,MIN(10,ROUND(IF('Council Entry'!AC$7="Decrease Risk",10-10*((IF('Council Entry'!AC$4="Logarithm",LN(0.001+IF(AND(ISNUMBER('Council Entry'!AC$8),ISNUMBER('Council Entry'!AC$9)),MAX(MIN('Council Entry'!AC190,'Council Entry'!AC$9),'Council Entry'!AC$8),'Council Entry'!AC190)),IF('Council Entry'!AC$4="Exponential",EXP(IF(AND(ISNUMBER('Council Entry'!AC$8),ISNUMBER('Council Entry'!AC$9)),MAX(MIN('Council Entry'!AC190,'Council Entry'!AC$9),'Council Entry'!AC$8),'Council Entry'!AC190)),IF(AND(ISNUMBER('Council Entry'!AC$8),ISNUMBER('Council Entry'!AC$9)),MAX(MIN('Council Entry'!AC190,'Council Entry'!AC$9),'Council Entry'!AC$8),'Council Entry'!AC190))))-'Council Entry'!AC$5)/('Council Entry'!AC$6-'Council Entry'!AC$5),10*((IF('Council Entry'!AC$4="Logarithm",LN(0.001+IF(AND(ISNUMBER('Council Entry'!AC$8),ISNUMBER('Council Entry'!AC$9)),MAX(MIN('Council Entry'!AC190,'Council Entry'!AC$9),'Council Entry'!AC$8),'Council Entry'!AC190)),IF('Council Entry'!AC$4="Exponential",EXP(IF(AND(ISNUMBER('Council Entry'!AC$8),ISNUMBER('Council Entry'!AC$9)),MAX(MIN('Council Entry'!AC190,'Council Entry'!AC$9),'Council Entry'!AC$8),'Council Entry'!AC190)),IF(AND(ISNUMBER('Council Entry'!AC$8),ISNUMBER('Council Entry'!AC$9)),MAX(MIN('Council Entry'!AC190,'Council Entry'!AC$9),'Council Entry'!AC$8),'Council Entry'!AC190))))-'Council Entry'!AC$5)/('Council Entry'!AC$6-'Council Entry'!AC$5)),1))),"No data"))</f>
        <v/>
      </c>
      <c r="AD190" s="13">
        <f>IF('Council Entry'!AD190="","",IFERROR(MAX(0,MIN(10,ROUND(IF('Council Entry'!AD$7="Decrease Risk",10-10*((IF('Council Entry'!AD$4="Logarithm",LN(0.001+IF(AND(ISNUMBER('Council Entry'!AD$8),ISNUMBER('Council Entry'!AD$9)),MAX(MIN('Council Entry'!AD190,'Council Entry'!AD$9),'Council Entry'!AD$8),'Council Entry'!AD190)),IF('Council Entry'!AD$4="Exponential",EXP(IF(AND(ISNUMBER('Council Entry'!AD$8),ISNUMBER('Council Entry'!AD$9)),MAX(MIN('Council Entry'!AD190,'Council Entry'!AD$9),'Council Entry'!AD$8),'Council Entry'!AD190)),IF(AND(ISNUMBER('Council Entry'!AD$8),ISNUMBER('Council Entry'!AD$9)),MAX(MIN('Council Entry'!AD190,'Council Entry'!AD$9),'Council Entry'!AD$8),'Council Entry'!AD190))))-'Council Entry'!AD$5)/('Council Entry'!AD$6-'Council Entry'!AD$5),10*((IF('Council Entry'!AD$4="Logarithm",LN(0.001+IF(AND(ISNUMBER('Council Entry'!AD$8),ISNUMBER('Council Entry'!AD$9)),MAX(MIN('Council Entry'!AD190,'Council Entry'!AD$9),'Council Entry'!AD$8),'Council Entry'!AD190)),IF('Council Entry'!AD$4="Exponential",EXP(IF(AND(ISNUMBER('Council Entry'!AD$8),ISNUMBER('Council Entry'!AD$9)),MAX(MIN('Council Entry'!AD190,'Council Entry'!AD$9),'Council Entry'!AD$8),'Council Entry'!AD190)),IF(AND(ISNUMBER('Council Entry'!AD$8),ISNUMBER('Council Entry'!AD$9)),MAX(MIN('Council Entry'!AD190,'Council Entry'!AD$9),'Council Entry'!AD$8),'Council Entry'!AD190))))-'Council Entry'!AD$5)/('Council Entry'!AD$6-'Council Entry'!AD$5)),1))),"No data"))</f>
        <v/>
      </c>
      <c r="AE190" s="13">
        <f>IF('Council Entry'!AE190="","",IFERROR(MAX(0,MIN(10,ROUND(IF('Council Entry'!AE$7="Decrease Risk",10-10*((IF('Council Entry'!AE$4="Logarithm",LN(0.001+IF(AND(ISNUMBER('Council Entry'!AE$8),ISNUMBER('Council Entry'!AE$9)),MAX(MIN('Council Entry'!AE190,'Council Entry'!AE$9),'Council Entry'!AE$8),'Council Entry'!AE190)),IF('Council Entry'!AE$4="Exponential",EXP(IF(AND(ISNUMBER('Council Entry'!AE$8),ISNUMBER('Council Entry'!AE$9)),MAX(MIN('Council Entry'!AE190,'Council Entry'!AE$9),'Council Entry'!AE$8),'Council Entry'!AE190)),IF(AND(ISNUMBER('Council Entry'!AE$8),ISNUMBER('Council Entry'!AE$9)),MAX(MIN('Council Entry'!AE190,'Council Entry'!AE$9),'Council Entry'!AE$8),'Council Entry'!AE190))))-'Council Entry'!AE$5)/('Council Entry'!AE$6-'Council Entry'!AE$5),10*((IF('Council Entry'!AE$4="Logarithm",LN(0.001+IF(AND(ISNUMBER('Council Entry'!AE$8),ISNUMBER('Council Entry'!AE$9)),MAX(MIN('Council Entry'!AE190,'Council Entry'!AE$9),'Council Entry'!AE$8),'Council Entry'!AE190)),IF('Council Entry'!AE$4="Exponential",EXP(IF(AND(ISNUMBER('Council Entry'!AE$8),ISNUMBER('Council Entry'!AE$9)),MAX(MIN('Council Entry'!AE190,'Council Entry'!AE$9),'Council Entry'!AE$8),'Council Entry'!AE190)),IF(AND(ISNUMBER('Council Entry'!AE$8),ISNUMBER('Council Entry'!AE$9)),MAX(MIN('Council Entry'!AE190,'Council Entry'!AE$9),'Council Entry'!AE$8),'Council Entry'!AE190))))-'Council Entry'!AE$5)/('Council Entry'!AE$6-'Council Entry'!AE$5)),1))),"No data"))</f>
        <v/>
      </c>
      <c r="AF190" s="13">
        <f>IF('Council Entry'!AF190="","",IFERROR(MAX(0,MIN(10,ROUND(IF('Council Entry'!AF$7="Decrease Risk",10-10*((IF('Council Entry'!AF$4="Logarithm",LN(0.001+IF(AND(ISNUMBER('Council Entry'!AF$8),ISNUMBER('Council Entry'!AF$9)),MAX(MIN('Council Entry'!AF190,'Council Entry'!AF$9),'Council Entry'!AF$8),'Council Entry'!AF190)),IF('Council Entry'!AF$4="Exponential",EXP(IF(AND(ISNUMBER('Council Entry'!AF$8),ISNUMBER('Council Entry'!AF$9)),MAX(MIN('Council Entry'!AF190,'Council Entry'!AF$9),'Council Entry'!AF$8),'Council Entry'!AF190)),IF(AND(ISNUMBER('Council Entry'!AF$8),ISNUMBER('Council Entry'!AF$9)),MAX(MIN('Council Entry'!AF190,'Council Entry'!AF$9),'Council Entry'!AF$8),'Council Entry'!AF190))))-'Council Entry'!AF$5)/('Council Entry'!AF$6-'Council Entry'!AF$5),10*((IF('Council Entry'!AF$4="Logarithm",LN(0.001+IF(AND(ISNUMBER('Council Entry'!AF$8),ISNUMBER('Council Entry'!AF$9)),MAX(MIN('Council Entry'!AF190,'Council Entry'!AF$9),'Council Entry'!AF$8),'Council Entry'!AF190)),IF('Council Entry'!AF$4="Exponential",EXP(IF(AND(ISNUMBER('Council Entry'!AF$8),ISNUMBER('Council Entry'!AF$9)),MAX(MIN('Council Entry'!AF190,'Council Entry'!AF$9),'Council Entry'!AF$8),'Council Entry'!AF190)),IF(AND(ISNUMBER('Council Entry'!AF$8),ISNUMBER('Council Entry'!AF$9)),MAX(MIN('Council Entry'!AF190,'Council Entry'!AF$9),'Council Entry'!AF$8),'Council Entry'!AF190))))-'Council Entry'!AF$5)/('Council Entry'!AF$6-'Council Entry'!AF$5)),1))),"No data"))</f>
        <v/>
      </c>
      <c r="AG190" s="13">
        <f>IF('Council Entry'!AG190="","",IFERROR(MAX(0,MIN(10,ROUND(IF('Council Entry'!AG$7="Decrease Risk",10-10*((IF('Council Entry'!AG$4="Logarithm",LN(0.001+IF(AND(ISNUMBER('Council Entry'!AG$8),ISNUMBER('Council Entry'!AG$9)),MAX(MIN('Council Entry'!AG190,'Council Entry'!AG$9),'Council Entry'!AG$8),'Council Entry'!AG190)),IF('Council Entry'!AG$4="Exponential",EXP(IF(AND(ISNUMBER('Council Entry'!AG$8),ISNUMBER('Council Entry'!AG$9)),MAX(MIN('Council Entry'!AG190,'Council Entry'!AG$9),'Council Entry'!AG$8),'Council Entry'!AG190)),IF(AND(ISNUMBER('Council Entry'!AG$8),ISNUMBER('Council Entry'!AG$9)),MAX(MIN('Council Entry'!AG190,'Council Entry'!AG$9),'Council Entry'!AG$8),'Council Entry'!AG190))))-'Council Entry'!AG$5)/('Council Entry'!AG$6-'Council Entry'!AG$5),10*((IF('Council Entry'!AG$4="Logarithm",LN(0.001+IF(AND(ISNUMBER('Council Entry'!AG$8),ISNUMBER('Council Entry'!AG$9)),MAX(MIN('Council Entry'!AG190,'Council Entry'!AG$9),'Council Entry'!AG$8),'Council Entry'!AG190)),IF('Council Entry'!AG$4="Exponential",EXP(IF(AND(ISNUMBER('Council Entry'!AG$8),ISNUMBER('Council Entry'!AG$9)),MAX(MIN('Council Entry'!AG190,'Council Entry'!AG$9),'Council Entry'!AG$8),'Council Entry'!AG190)),IF(AND(ISNUMBER('Council Entry'!AG$8),ISNUMBER('Council Entry'!AG$9)),MAX(MIN('Council Entry'!AG190,'Council Entry'!AG$9),'Council Entry'!AG$8),'Council Entry'!AG190))))-'Council Entry'!AG$5)/('Council Entry'!AG$6-'Council Entry'!AG$5)),1))),"No data"))</f>
        <v/>
      </c>
      <c r="AH190" s="13">
        <f>IF('Council Entry'!AH190="","",IFERROR(MAX(0,MIN(10,ROUND(IF('Council Entry'!AH$7="Decrease Risk",10-10*((IF('Council Entry'!AH$4="Logarithm",LN(0.001+IF(AND(ISNUMBER('Council Entry'!AH$8),ISNUMBER('Council Entry'!AH$9)),MAX(MIN('Council Entry'!AH190,'Council Entry'!AH$9),'Council Entry'!AH$8),'Council Entry'!AH190)),IF('Council Entry'!AH$4="Exponential",EXP(IF(AND(ISNUMBER('Council Entry'!AH$8),ISNUMBER('Council Entry'!AH$9)),MAX(MIN('Council Entry'!AH190,'Council Entry'!AH$9),'Council Entry'!AH$8),'Council Entry'!AH190)),IF(AND(ISNUMBER('Council Entry'!AH$8),ISNUMBER('Council Entry'!AH$9)),MAX(MIN('Council Entry'!AH190,'Council Entry'!AH$9),'Council Entry'!AH$8),'Council Entry'!AH190))))-'Council Entry'!AH$5)/('Council Entry'!AH$6-'Council Entry'!AH$5),10*((IF('Council Entry'!AH$4="Logarithm",LN(0.001+IF(AND(ISNUMBER('Council Entry'!AH$8),ISNUMBER('Council Entry'!AH$9)),MAX(MIN('Council Entry'!AH190,'Council Entry'!AH$9),'Council Entry'!AH$8),'Council Entry'!AH190)),IF('Council Entry'!AH$4="Exponential",EXP(IF(AND(ISNUMBER('Council Entry'!AH$8),ISNUMBER('Council Entry'!AH$9)),MAX(MIN('Council Entry'!AH190,'Council Entry'!AH$9),'Council Entry'!AH$8),'Council Entry'!AH190)),IF(AND(ISNUMBER('Council Entry'!AH$8),ISNUMBER('Council Entry'!AH$9)),MAX(MIN('Council Entry'!AH190,'Council Entry'!AH$9),'Council Entry'!AH$8),'Council Entry'!AH190))))-'Council Entry'!AH$5)/('Council Entry'!AH$6-'Council Entry'!AH$5)),1))),"No data"))</f>
        <v/>
      </c>
      <c r="AI190" s="13">
        <f>IF('Council Entry'!AI190="","",IFERROR(MAX(0,MIN(10,ROUND(IF('Council Entry'!AI$7="Decrease Risk",10-10*((IF('Council Entry'!AI$4="Logarithm",LN(0.001+IF(AND(ISNUMBER('Council Entry'!AI$8),ISNUMBER('Council Entry'!AI$9)),MAX(MIN('Council Entry'!AI190,'Council Entry'!AI$9),'Council Entry'!AI$8),'Council Entry'!AI190)),IF('Council Entry'!AI$4="Exponential",EXP(IF(AND(ISNUMBER('Council Entry'!AI$8),ISNUMBER('Council Entry'!AI$9)),MAX(MIN('Council Entry'!AI190,'Council Entry'!AI$9),'Council Entry'!AI$8),'Council Entry'!AI190)),IF(AND(ISNUMBER('Council Entry'!AI$8),ISNUMBER('Council Entry'!AI$9)),MAX(MIN('Council Entry'!AI190,'Council Entry'!AI$9),'Council Entry'!AI$8),'Council Entry'!AI190))))-'Council Entry'!AI$5)/('Council Entry'!AI$6-'Council Entry'!AI$5),10*((IF('Council Entry'!AI$4="Logarithm",LN(0.001+IF(AND(ISNUMBER('Council Entry'!AI$8),ISNUMBER('Council Entry'!AI$9)),MAX(MIN('Council Entry'!AI190,'Council Entry'!AI$9),'Council Entry'!AI$8),'Council Entry'!AI190)),IF('Council Entry'!AI$4="Exponential",EXP(IF(AND(ISNUMBER('Council Entry'!AI$8),ISNUMBER('Council Entry'!AI$9)),MAX(MIN('Council Entry'!AI190,'Council Entry'!AI$9),'Council Entry'!AI$8),'Council Entry'!AI190)),IF(AND(ISNUMBER('Council Entry'!AI$8),ISNUMBER('Council Entry'!AI$9)),MAX(MIN('Council Entry'!AI190,'Council Entry'!AI$9),'Council Entry'!AI$8),'Council Entry'!AI190))))-'Council Entry'!AI$5)/('Council Entry'!AI$6-'Council Entry'!AI$5)),1))),"No data"))</f>
        <v/>
      </c>
      <c r="AJ190" s="13">
        <f>IF('Council Entry'!AJ190="","",IFERROR(MAX(0,MIN(10,ROUND(IF('Council Entry'!AJ$7="Decrease Risk",10-10*((IF('Council Entry'!AJ$4="Logarithm",LN(0.001+IF(AND(ISNUMBER('Council Entry'!AJ$8),ISNUMBER('Council Entry'!AJ$9)),MAX(MIN('Council Entry'!AJ190,'Council Entry'!AJ$9),'Council Entry'!AJ$8),'Council Entry'!AJ190)),IF('Council Entry'!AJ$4="Exponential",EXP(IF(AND(ISNUMBER('Council Entry'!AJ$8),ISNUMBER('Council Entry'!AJ$9)),MAX(MIN('Council Entry'!AJ190,'Council Entry'!AJ$9),'Council Entry'!AJ$8),'Council Entry'!AJ190)),IF(AND(ISNUMBER('Council Entry'!AJ$8),ISNUMBER('Council Entry'!AJ$9)),MAX(MIN('Council Entry'!AJ190,'Council Entry'!AJ$9),'Council Entry'!AJ$8),'Council Entry'!AJ190))))-'Council Entry'!AJ$5)/('Council Entry'!AJ$6-'Council Entry'!AJ$5),10*((IF('Council Entry'!AJ$4="Logarithm",LN(0.001+IF(AND(ISNUMBER('Council Entry'!AJ$8),ISNUMBER('Council Entry'!AJ$9)),MAX(MIN('Council Entry'!AJ190,'Council Entry'!AJ$9),'Council Entry'!AJ$8),'Council Entry'!AJ190)),IF('Council Entry'!AJ$4="Exponential",EXP(IF(AND(ISNUMBER('Council Entry'!AJ$8),ISNUMBER('Council Entry'!AJ$9)),MAX(MIN('Council Entry'!AJ190,'Council Entry'!AJ$9),'Council Entry'!AJ$8),'Council Entry'!AJ190)),IF(AND(ISNUMBER('Council Entry'!AJ$8),ISNUMBER('Council Entry'!AJ$9)),MAX(MIN('Council Entry'!AJ190,'Council Entry'!AJ$9),'Council Entry'!AJ$8),'Council Entry'!AJ190))))-'Council Entry'!AJ$5)/('Council Entry'!AJ$6-'Council Entry'!AJ$5)),1))),"No data"))</f>
        <v/>
      </c>
      <c r="AK190" s="13">
        <f>IF('Council Entry'!AK190="","",IFERROR(MAX(0,MIN(10,ROUND(IF('Council Entry'!AK$7="Decrease Risk",10-10*((IF('Council Entry'!AK$4="Logarithm",LN(0.001+IF(AND(ISNUMBER('Council Entry'!AK$8),ISNUMBER('Council Entry'!AK$9)),MAX(MIN('Council Entry'!AK190,'Council Entry'!AK$9),'Council Entry'!AK$8),'Council Entry'!AK190)),IF('Council Entry'!AK$4="Exponential",EXP(IF(AND(ISNUMBER('Council Entry'!AK$8),ISNUMBER('Council Entry'!AK$9)),MAX(MIN('Council Entry'!AK190,'Council Entry'!AK$9),'Council Entry'!AK$8),'Council Entry'!AK190)),IF(AND(ISNUMBER('Council Entry'!AK$8),ISNUMBER('Council Entry'!AK$9)),MAX(MIN('Council Entry'!AK190,'Council Entry'!AK$9),'Council Entry'!AK$8),'Council Entry'!AK190))))-'Council Entry'!AK$5)/('Council Entry'!AK$6-'Council Entry'!AK$5),10*((IF('Council Entry'!AK$4="Logarithm",LN(0.001+IF(AND(ISNUMBER('Council Entry'!AK$8),ISNUMBER('Council Entry'!AK$9)),MAX(MIN('Council Entry'!AK190,'Council Entry'!AK$9),'Council Entry'!AK$8),'Council Entry'!AK190)),IF('Council Entry'!AK$4="Exponential",EXP(IF(AND(ISNUMBER('Council Entry'!AK$8),ISNUMBER('Council Entry'!AK$9)),MAX(MIN('Council Entry'!AK190,'Council Entry'!AK$9),'Council Entry'!AK$8),'Council Entry'!AK190)),IF(AND(ISNUMBER('Council Entry'!AK$8),ISNUMBER('Council Entry'!AK$9)),MAX(MIN('Council Entry'!AK190,'Council Entry'!AK$9),'Council Entry'!AK$8),'Council Entry'!AK190))))-'Council Entry'!AK$5)/('Council Entry'!AK$6-'Council Entry'!AK$5)),1))),"No data"))</f>
        <v/>
      </c>
      <c r="AL190" s="13">
        <f>IF('Council Entry'!AL190="","",IFERROR(MAX(0,MIN(10,ROUND(IF('Council Entry'!AL$7="Decrease Risk",10-10*((IF('Council Entry'!AL$4="Logarithm",LN(0.001+IF(AND(ISNUMBER('Council Entry'!AL$8),ISNUMBER('Council Entry'!AL$9)),MAX(MIN('Council Entry'!AL190,'Council Entry'!AL$9),'Council Entry'!AL$8),'Council Entry'!AL190)),IF('Council Entry'!AL$4="Exponential",EXP(IF(AND(ISNUMBER('Council Entry'!AL$8),ISNUMBER('Council Entry'!AL$9)),MAX(MIN('Council Entry'!AL190,'Council Entry'!AL$9),'Council Entry'!AL$8),'Council Entry'!AL190)),IF(AND(ISNUMBER('Council Entry'!AL$8),ISNUMBER('Council Entry'!AL$9)),MAX(MIN('Council Entry'!AL190,'Council Entry'!AL$9),'Council Entry'!AL$8),'Council Entry'!AL190))))-'Council Entry'!AL$5)/('Council Entry'!AL$6-'Council Entry'!AL$5),10*((IF('Council Entry'!AL$4="Logarithm",LN(0.001+IF(AND(ISNUMBER('Council Entry'!AL$8),ISNUMBER('Council Entry'!AL$9)),MAX(MIN('Council Entry'!AL190,'Council Entry'!AL$9),'Council Entry'!AL$8),'Council Entry'!AL190)),IF('Council Entry'!AL$4="Exponential",EXP(IF(AND(ISNUMBER('Council Entry'!AL$8),ISNUMBER('Council Entry'!AL$9)),MAX(MIN('Council Entry'!AL190,'Council Entry'!AL$9),'Council Entry'!AL$8),'Council Entry'!AL190)),IF(AND(ISNUMBER('Council Entry'!AL$8),ISNUMBER('Council Entry'!AL$9)),MAX(MIN('Council Entry'!AL190,'Council Entry'!AL$9),'Council Entry'!AL$8),'Council Entry'!AL190))))-'Council Entry'!AL$5)/('Council Entry'!AL$6-'Council Entry'!AL$5)),1))),"No data"))</f>
        <v/>
      </c>
      <c r="AM190" s="13">
        <f>IF('Council Entry'!AM190="","",IFERROR(MAX(0,MIN(10,ROUND(IF('Council Entry'!AM$7="Decrease Risk",10-10*((IF('Council Entry'!AM$4="Logarithm",LN(0.001+IF(AND(ISNUMBER('Council Entry'!AM$8),ISNUMBER('Council Entry'!AM$9)),MAX(MIN('Council Entry'!AM190,'Council Entry'!AM$9),'Council Entry'!AM$8),'Council Entry'!AM190)),IF('Council Entry'!AM$4="Exponential",EXP(IF(AND(ISNUMBER('Council Entry'!AM$8),ISNUMBER('Council Entry'!AM$9)),MAX(MIN('Council Entry'!AM190,'Council Entry'!AM$9),'Council Entry'!AM$8),'Council Entry'!AM190)),IF(AND(ISNUMBER('Council Entry'!AM$8),ISNUMBER('Council Entry'!AM$9)),MAX(MIN('Council Entry'!AM190,'Council Entry'!AM$9),'Council Entry'!AM$8),'Council Entry'!AM190))))-'Council Entry'!AM$5)/('Council Entry'!AM$6-'Council Entry'!AM$5),10*((IF('Council Entry'!AM$4="Logarithm",LN(0.001+IF(AND(ISNUMBER('Council Entry'!AM$8),ISNUMBER('Council Entry'!AM$9)),MAX(MIN('Council Entry'!AM190,'Council Entry'!AM$9),'Council Entry'!AM$8),'Council Entry'!AM190)),IF('Council Entry'!AM$4="Exponential",EXP(IF(AND(ISNUMBER('Council Entry'!AM$8),ISNUMBER('Council Entry'!AM$9)),MAX(MIN('Council Entry'!AM190,'Council Entry'!AM$9),'Council Entry'!AM$8),'Council Entry'!AM190)),IF(AND(ISNUMBER('Council Entry'!AM$8),ISNUMBER('Council Entry'!AM$9)),MAX(MIN('Council Entry'!AM190,'Council Entry'!AM$9),'Council Entry'!AM$8),'Council Entry'!AM190))))-'Council Entry'!AM$5)/('Council Entry'!AM$6-'Council Entry'!AM$5)),1))),"No data"))</f>
        <v/>
      </c>
      <c r="AN190" s="13">
        <f>IF('Council Entry'!AN190="","",IFERROR(MAX(0,MIN(10,ROUND(IF('Council Entry'!AN$7="Decrease Risk",10-10*((IF('Council Entry'!AN$4="Logarithm",LN(0.001+IF(AND(ISNUMBER('Council Entry'!AN$8),ISNUMBER('Council Entry'!AN$9)),MAX(MIN('Council Entry'!AN190,'Council Entry'!AN$9),'Council Entry'!AN$8),'Council Entry'!AN190)),IF('Council Entry'!AN$4="Exponential",EXP(IF(AND(ISNUMBER('Council Entry'!AN$8),ISNUMBER('Council Entry'!AN$9)),MAX(MIN('Council Entry'!AN190,'Council Entry'!AN$9),'Council Entry'!AN$8),'Council Entry'!AN190)),IF(AND(ISNUMBER('Council Entry'!AN$8),ISNUMBER('Council Entry'!AN$9)),MAX(MIN('Council Entry'!AN190,'Council Entry'!AN$9),'Council Entry'!AN$8),'Council Entry'!AN190))))-'Council Entry'!AN$5)/('Council Entry'!AN$6-'Council Entry'!AN$5),10*((IF('Council Entry'!AN$4="Logarithm",LN(0.001+IF(AND(ISNUMBER('Council Entry'!AN$8),ISNUMBER('Council Entry'!AN$9)),MAX(MIN('Council Entry'!AN190,'Council Entry'!AN$9),'Council Entry'!AN$8),'Council Entry'!AN190)),IF('Council Entry'!AN$4="Exponential",EXP(IF(AND(ISNUMBER('Council Entry'!AN$8),ISNUMBER('Council Entry'!AN$9)),MAX(MIN('Council Entry'!AN190,'Council Entry'!AN$9),'Council Entry'!AN$8),'Council Entry'!AN190)),IF(AND(ISNUMBER('Council Entry'!AN$8),ISNUMBER('Council Entry'!AN$9)),MAX(MIN('Council Entry'!AN190,'Council Entry'!AN$9),'Council Entry'!AN$8),'Council Entry'!AN190))))-'Council Entry'!AN$5)/('Council Entry'!AN$6-'Council Entry'!AN$5)),1))),"No data"))</f>
        <v/>
      </c>
      <c r="AO190" s="13">
        <f>IF('Council Entry'!AO190="","",IFERROR(MAX(0,MIN(10,ROUND(IF('Council Entry'!AO$7="Decrease Risk",10-10*((IF('Council Entry'!AO$4="Logarithm",LN(0.001+IF(AND(ISNUMBER('Council Entry'!AO$8),ISNUMBER('Council Entry'!AO$9)),MAX(MIN('Council Entry'!AO190,'Council Entry'!AO$9),'Council Entry'!AO$8),'Council Entry'!AO190)),IF('Council Entry'!AO$4="Exponential",EXP(IF(AND(ISNUMBER('Council Entry'!AO$8),ISNUMBER('Council Entry'!AO$9)),MAX(MIN('Council Entry'!AO190,'Council Entry'!AO$9),'Council Entry'!AO$8),'Council Entry'!AO190)),IF(AND(ISNUMBER('Council Entry'!AO$8),ISNUMBER('Council Entry'!AO$9)),MAX(MIN('Council Entry'!AO190,'Council Entry'!AO$9),'Council Entry'!AO$8),'Council Entry'!AO190))))-'Council Entry'!AO$5)/('Council Entry'!AO$6-'Council Entry'!AO$5),10*((IF('Council Entry'!AO$4="Logarithm",LN(0.001+IF(AND(ISNUMBER('Council Entry'!AO$8),ISNUMBER('Council Entry'!AO$9)),MAX(MIN('Council Entry'!AO190,'Council Entry'!AO$9),'Council Entry'!AO$8),'Council Entry'!AO190)),IF('Council Entry'!AO$4="Exponential",EXP(IF(AND(ISNUMBER('Council Entry'!AO$8),ISNUMBER('Council Entry'!AO$9)),MAX(MIN('Council Entry'!AO190,'Council Entry'!AO$9),'Council Entry'!AO$8),'Council Entry'!AO190)),IF(AND(ISNUMBER('Council Entry'!AO$8),ISNUMBER('Council Entry'!AO$9)),MAX(MIN('Council Entry'!AO190,'Council Entry'!AO$9),'Council Entry'!AO$8),'Council Entry'!AO190))))-'Council Entry'!AO$5)/('Council Entry'!AO$6-'Council Entry'!AO$5)),1))),"No data"))</f>
        <v/>
      </c>
      <c r="AP190" s="13">
        <f>IF('Council Entry'!AP190="","",IFERROR(MAX(0,MIN(10,ROUND(IF('Council Entry'!AP$7="Decrease Risk",10-10*((IF('Council Entry'!AP$4="Logarithm",LN(0.001+IF(AND(ISNUMBER('Council Entry'!AP$8),ISNUMBER('Council Entry'!AP$9)),MAX(MIN('Council Entry'!AP190,'Council Entry'!AP$9),'Council Entry'!AP$8),'Council Entry'!AP190)),IF('Council Entry'!AP$4="Exponential",EXP(IF(AND(ISNUMBER('Council Entry'!AP$8),ISNUMBER('Council Entry'!AP$9)),MAX(MIN('Council Entry'!AP190,'Council Entry'!AP$9),'Council Entry'!AP$8),'Council Entry'!AP190)),IF(AND(ISNUMBER('Council Entry'!AP$8),ISNUMBER('Council Entry'!AP$9)),MAX(MIN('Council Entry'!AP190,'Council Entry'!AP$9),'Council Entry'!AP$8),'Council Entry'!AP190))))-'Council Entry'!AP$5)/('Council Entry'!AP$6-'Council Entry'!AP$5),10*((IF('Council Entry'!AP$4="Logarithm",LN(0.001+IF(AND(ISNUMBER('Council Entry'!AP$8),ISNUMBER('Council Entry'!AP$9)),MAX(MIN('Council Entry'!AP190,'Council Entry'!AP$9),'Council Entry'!AP$8),'Council Entry'!AP190)),IF('Council Entry'!AP$4="Exponential",EXP(IF(AND(ISNUMBER('Council Entry'!AP$8),ISNUMBER('Council Entry'!AP$9)),MAX(MIN('Council Entry'!AP190,'Council Entry'!AP$9),'Council Entry'!AP$8),'Council Entry'!AP190)),IF(AND(ISNUMBER('Council Entry'!AP$8),ISNUMBER('Council Entry'!AP$9)),MAX(MIN('Council Entry'!AP190,'Council Entry'!AP$9),'Council Entry'!AP$8),'Council Entry'!AP190))))-'Council Entry'!AP$5)/('Council Entry'!AP$6-'Council Entry'!AP$5)),1))),"No data"))</f>
        <v/>
      </c>
      <c r="AQ190" s="13">
        <f>IF('Council Entry'!AQ190="","",IFERROR(MAX(0,MIN(10,ROUND(IF('Council Entry'!AQ$7="Decrease Risk",10-10*((IF('Council Entry'!AQ$4="Logarithm",LN(0.001+IF(AND(ISNUMBER('Council Entry'!AQ$8),ISNUMBER('Council Entry'!AQ$9)),MAX(MIN('Council Entry'!AQ190,'Council Entry'!AQ$9),'Council Entry'!AQ$8),'Council Entry'!AQ190)),IF('Council Entry'!AQ$4="Exponential",EXP(IF(AND(ISNUMBER('Council Entry'!AQ$8),ISNUMBER('Council Entry'!AQ$9)),MAX(MIN('Council Entry'!AQ190,'Council Entry'!AQ$9),'Council Entry'!AQ$8),'Council Entry'!AQ190)),IF(AND(ISNUMBER('Council Entry'!AQ$8),ISNUMBER('Council Entry'!AQ$9)),MAX(MIN('Council Entry'!AQ190,'Council Entry'!AQ$9),'Council Entry'!AQ$8),'Council Entry'!AQ190))))-'Council Entry'!AQ$5)/('Council Entry'!AQ$6-'Council Entry'!AQ$5),10*((IF('Council Entry'!AQ$4="Logarithm",LN(0.001+IF(AND(ISNUMBER('Council Entry'!AQ$8),ISNUMBER('Council Entry'!AQ$9)),MAX(MIN('Council Entry'!AQ190,'Council Entry'!AQ$9),'Council Entry'!AQ$8),'Council Entry'!AQ190)),IF('Council Entry'!AQ$4="Exponential",EXP(IF(AND(ISNUMBER('Council Entry'!AQ$8),ISNUMBER('Council Entry'!AQ$9)),MAX(MIN('Council Entry'!AQ190,'Council Entry'!AQ$9),'Council Entry'!AQ$8),'Council Entry'!AQ190)),IF(AND(ISNUMBER('Council Entry'!AQ$8),ISNUMBER('Council Entry'!AQ$9)),MAX(MIN('Council Entry'!AQ190,'Council Entry'!AQ$9),'Council Entry'!AQ$8),'Council Entry'!AQ190))))-'Council Entry'!AQ$5)/('Council Entry'!AQ$6-'Council Entry'!AQ$5)),1))),"No data"))</f>
        <v/>
      </c>
      <c r="AR190" s="13">
        <f>IF('Council Entry'!AR190="","",IFERROR(MAX(0,MIN(10,ROUND(IF('Council Entry'!AR$7="Decrease Risk",10-10*((IF('Council Entry'!AR$4="Logarithm",LN(0.001+IF(AND(ISNUMBER('Council Entry'!AR$8),ISNUMBER('Council Entry'!AR$9)),MAX(MIN('Council Entry'!AR190,'Council Entry'!AR$9),'Council Entry'!AR$8),'Council Entry'!AR190)),IF('Council Entry'!AR$4="Exponential",EXP(IF(AND(ISNUMBER('Council Entry'!AR$8),ISNUMBER('Council Entry'!AR$9)),MAX(MIN('Council Entry'!AR190,'Council Entry'!AR$9),'Council Entry'!AR$8),'Council Entry'!AR190)),IF(AND(ISNUMBER('Council Entry'!AR$8),ISNUMBER('Council Entry'!AR$9)),MAX(MIN('Council Entry'!AR190,'Council Entry'!AR$9),'Council Entry'!AR$8),'Council Entry'!AR190))))-'Council Entry'!AR$5)/('Council Entry'!AR$6-'Council Entry'!AR$5),10*((IF('Council Entry'!AR$4="Logarithm",LN(0.001+IF(AND(ISNUMBER('Council Entry'!AR$8),ISNUMBER('Council Entry'!AR$9)),MAX(MIN('Council Entry'!AR190,'Council Entry'!AR$9),'Council Entry'!AR$8),'Council Entry'!AR190)),IF('Council Entry'!AR$4="Exponential",EXP(IF(AND(ISNUMBER('Council Entry'!AR$8),ISNUMBER('Council Entry'!AR$9)),MAX(MIN('Council Entry'!AR190,'Council Entry'!AR$9),'Council Entry'!AR$8),'Council Entry'!AR190)),IF(AND(ISNUMBER('Council Entry'!AR$8),ISNUMBER('Council Entry'!AR$9)),MAX(MIN('Council Entry'!AR190,'Council Entry'!AR$9),'Council Entry'!AR$8),'Council Entry'!AR190))))-'Council Entry'!AR$5)/('Council Entry'!AR$6-'Council Entry'!AR$5)),1))),"No data"))</f>
        <v/>
      </c>
      <c r="AS190" s="13">
        <f>IF('Council Entry'!AS190="","",IFERROR(MAX(0,MIN(10,ROUND(IF('Council Entry'!AS$7="Decrease Risk",10-10*((IF('Council Entry'!AS$4="Logarithm",LN(0.001+IF(AND(ISNUMBER('Council Entry'!AS$8),ISNUMBER('Council Entry'!AS$9)),MAX(MIN('Council Entry'!AS190,'Council Entry'!AS$9),'Council Entry'!AS$8),'Council Entry'!AS190)),IF('Council Entry'!AS$4="Exponential",EXP(IF(AND(ISNUMBER('Council Entry'!AS$8),ISNUMBER('Council Entry'!AS$9)),MAX(MIN('Council Entry'!AS190,'Council Entry'!AS$9),'Council Entry'!AS$8),'Council Entry'!AS190)),IF(AND(ISNUMBER('Council Entry'!AS$8),ISNUMBER('Council Entry'!AS$9)),MAX(MIN('Council Entry'!AS190,'Council Entry'!AS$9),'Council Entry'!AS$8),'Council Entry'!AS190))))-'Council Entry'!AS$5)/('Council Entry'!AS$6-'Council Entry'!AS$5),10*((IF('Council Entry'!AS$4="Logarithm",LN(0.001+IF(AND(ISNUMBER('Council Entry'!AS$8),ISNUMBER('Council Entry'!AS$9)),MAX(MIN('Council Entry'!AS190,'Council Entry'!AS$9),'Council Entry'!AS$8),'Council Entry'!AS190)),IF('Council Entry'!AS$4="Exponential",EXP(IF(AND(ISNUMBER('Council Entry'!AS$8),ISNUMBER('Council Entry'!AS$9)),MAX(MIN('Council Entry'!AS190,'Council Entry'!AS$9),'Council Entry'!AS$8),'Council Entry'!AS190)),IF(AND(ISNUMBER('Council Entry'!AS$8),ISNUMBER('Council Entry'!AS$9)),MAX(MIN('Council Entry'!AS190,'Council Entry'!AS$9),'Council Entry'!AS$8),'Council Entry'!AS190))))-'Council Entry'!AS$5)/('Council Entry'!AS$6-'Council Entry'!AS$5)),1))),"No data"))</f>
        <v/>
      </c>
      <c r="AT190" s="13">
        <f>IF('Council Entry'!AT190="","",IFERROR(MAX(0,MIN(10,ROUND(IF('Council Entry'!AT$7="Decrease Risk",10-10*((IF('Council Entry'!AT$4="Logarithm",LN(0.001+IF(AND(ISNUMBER('Council Entry'!AT$8),ISNUMBER('Council Entry'!AT$9)),MAX(MIN('Council Entry'!AT190,'Council Entry'!AT$9),'Council Entry'!AT$8),'Council Entry'!AT190)),IF('Council Entry'!AT$4="Exponential",EXP(IF(AND(ISNUMBER('Council Entry'!AT$8),ISNUMBER('Council Entry'!AT$9)),MAX(MIN('Council Entry'!AT190,'Council Entry'!AT$9),'Council Entry'!AT$8),'Council Entry'!AT190)),IF(AND(ISNUMBER('Council Entry'!AT$8),ISNUMBER('Council Entry'!AT$9)),MAX(MIN('Council Entry'!AT190,'Council Entry'!AT$9),'Council Entry'!AT$8),'Council Entry'!AT190))))-'Council Entry'!AT$5)/('Council Entry'!AT$6-'Council Entry'!AT$5),10*((IF('Council Entry'!AT$4="Logarithm",LN(0.001+IF(AND(ISNUMBER('Council Entry'!AT$8),ISNUMBER('Council Entry'!AT$9)),MAX(MIN('Council Entry'!AT190,'Council Entry'!AT$9),'Council Entry'!AT$8),'Council Entry'!AT190)),IF('Council Entry'!AT$4="Exponential",EXP(IF(AND(ISNUMBER('Council Entry'!AT$8),ISNUMBER('Council Entry'!AT$9)),MAX(MIN('Council Entry'!AT190,'Council Entry'!AT$9),'Council Entry'!AT$8),'Council Entry'!AT190)),IF(AND(ISNUMBER('Council Entry'!AT$8),ISNUMBER('Council Entry'!AT$9)),MAX(MIN('Council Entry'!AT190,'Council Entry'!AT$9),'Council Entry'!AT$8),'Council Entry'!AT190))))-'Council Entry'!AT$5)/('Council Entry'!AT$6-'Council Entry'!AT$5)),1))),"No data"))</f>
        <v/>
      </c>
      <c r="AU190" s="13">
        <f>IF('Council Entry'!AU190="","",IFERROR(MAX(0,MIN(10,ROUND(IF('Council Entry'!AU$7="Decrease Risk",10-10*((IF('Council Entry'!AU$4="Logarithm",LN(0.001+IF(AND(ISNUMBER('Council Entry'!AU$8),ISNUMBER('Council Entry'!AU$9)),MAX(MIN('Council Entry'!AU190,'Council Entry'!AU$9),'Council Entry'!AU$8),'Council Entry'!AU190)),IF('Council Entry'!AU$4="Exponential",EXP(IF(AND(ISNUMBER('Council Entry'!AU$8),ISNUMBER('Council Entry'!AU$9)),MAX(MIN('Council Entry'!AU190,'Council Entry'!AU$9),'Council Entry'!AU$8),'Council Entry'!AU190)),IF(AND(ISNUMBER('Council Entry'!AU$8),ISNUMBER('Council Entry'!AU$9)),MAX(MIN('Council Entry'!AU190,'Council Entry'!AU$9),'Council Entry'!AU$8),'Council Entry'!AU190))))-'Council Entry'!AU$5)/('Council Entry'!AU$6-'Council Entry'!AU$5),10*((IF('Council Entry'!AU$4="Logarithm",LN(0.001+IF(AND(ISNUMBER('Council Entry'!AU$8),ISNUMBER('Council Entry'!AU$9)),MAX(MIN('Council Entry'!AU190,'Council Entry'!AU$9),'Council Entry'!AU$8),'Council Entry'!AU190)),IF('Council Entry'!AU$4="Exponential",EXP(IF(AND(ISNUMBER('Council Entry'!AU$8),ISNUMBER('Council Entry'!AU$9)),MAX(MIN('Council Entry'!AU190,'Council Entry'!AU$9),'Council Entry'!AU$8),'Council Entry'!AU190)),IF(AND(ISNUMBER('Council Entry'!AU$8),ISNUMBER('Council Entry'!AU$9)),MAX(MIN('Council Entry'!AU190,'Council Entry'!AU$9),'Council Entry'!AU$8),'Council Entry'!AU190))))-'Council Entry'!AU$5)/('Council Entry'!AU$6-'Council Entry'!AU$5)),1))),"No data"))</f>
        <v/>
      </c>
      <c r="AV190" s="13">
        <f>IF('Council Entry'!AV190="","",IFERROR(MAX(0,MIN(10,ROUND(IF('Council Entry'!AV$7="Decrease Risk",10-10*((IF('Council Entry'!AV$4="Logarithm",LN(0.001+IF(AND(ISNUMBER('Council Entry'!AV$8),ISNUMBER('Council Entry'!AV$9)),MAX(MIN('Council Entry'!AV190,'Council Entry'!AV$9),'Council Entry'!AV$8),'Council Entry'!AV190)),IF('Council Entry'!AV$4="Exponential",EXP(IF(AND(ISNUMBER('Council Entry'!AV$8),ISNUMBER('Council Entry'!AV$9)),MAX(MIN('Council Entry'!AV190,'Council Entry'!AV$9),'Council Entry'!AV$8),'Council Entry'!AV190)),IF(AND(ISNUMBER('Council Entry'!AV$8),ISNUMBER('Council Entry'!AV$9)),MAX(MIN('Council Entry'!AV190,'Council Entry'!AV$9),'Council Entry'!AV$8),'Council Entry'!AV190))))-'Council Entry'!AV$5)/('Council Entry'!AV$6-'Council Entry'!AV$5),10*((IF('Council Entry'!AV$4="Logarithm",LN(0.001+IF(AND(ISNUMBER('Council Entry'!AV$8),ISNUMBER('Council Entry'!AV$9)),MAX(MIN('Council Entry'!AV190,'Council Entry'!AV$9),'Council Entry'!AV$8),'Council Entry'!AV190)),IF('Council Entry'!AV$4="Exponential",EXP(IF(AND(ISNUMBER('Council Entry'!AV$8),ISNUMBER('Council Entry'!AV$9)),MAX(MIN('Council Entry'!AV190,'Council Entry'!AV$9),'Council Entry'!AV$8),'Council Entry'!AV190)),IF(AND(ISNUMBER('Council Entry'!AV$8),ISNUMBER('Council Entry'!AV$9)),MAX(MIN('Council Entry'!AV190,'Council Entry'!AV$9),'Council Entry'!AV$8),'Council Entry'!AV190))))-'Council Entry'!AV$5)/('Council Entry'!AV$6-'Council Entry'!AV$5)),1))),"No data"))</f>
        <v/>
      </c>
      <c r="AW190" s="13">
        <f>IF('Council Entry'!AW190="","",IFERROR(MAX(0,MIN(10,ROUND(IF('Council Entry'!AW$7="Decrease Risk",10-10*((IF('Council Entry'!AW$4="Logarithm",LN(0.001+IF(AND(ISNUMBER('Council Entry'!AW$8),ISNUMBER('Council Entry'!AW$9)),MAX(MIN('Council Entry'!AW190,'Council Entry'!AW$9),'Council Entry'!AW$8),'Council Entry'!AW190)),IF('Council Entry'!AW$4="Exponential",EXP(IF(AND(ISNUMBER('Council Entry'!AW$8),ISNUMBER('Council Entry'!AW$9)),MAX(MIN('Council Entry'!AW190,'Council Entry'!AW$9),'Council Entry'!AW$8),'Council Entry'!AW190)),IF(AND(ISNUMBER('Council Entry'!AW$8),ISNUMBER('Council Entry'!AW$9)),MAX(MIN('Council Entry'!AW190,'Council Entry'!AW$9),'Council Entry'!AW$8),'Council Entry'!AW190))))-'Council Entry'!AW$5)/('Council Entry'!AW$6-'Council Entry'!AW$5),10*((IF('Council Entry'!AW$4="Logarithm",LN(0.001+IF(AND(ISNUMBER('Council Entry'!AW$8),ISNUMBER('Council Entry'!AW$9)),MAX(MIN('Council Entry'!AW190,'Council Entry'!AW$9),'Council Entry'!AW$8),'Council Entry'!AW190)),IF('Council Entry'!AW$4="Exponential",EXP(IF(AND(ISNUMBER('Council Entry'!AW$8),ISNUMBER('Council Entry'!AW$9)),MAX(MIN('Council Entry'!AW190,'Council Entry'!AW$9),'Council Entry'!AW$8),'Council Entry'!AW190)),IF(AND(ISNUMBER('Council Entry'!AW$8),ISNUMBER('Council Entry'!AW$9)),MAX(MIN('Council Entry'!AW190,'Council Entry'!AW$9),'Council Entry'!AW$8),'Council Entry'!AW190))))-'Council Entry'!AW$5)/('Council Entry'!AW$6-'Council Entry'!AW$5)),1))),"No data"))</f>
        <v/>
      </c>
      <c r="AX190" s="13">
        <f>IF('Council Entry'!AX190="","",IFERROR(MAX(0,MIN(10,ROUND(IF('Council Entry'!AX$7="Decrease Risk",10-10*((IF('Council Entry'!AX$4="Logarithm",LN(0.001+IF(AND(ISNUMBER('Council Entry'!AX$8),ISNUMBER('Council Entry'!AX$9)),MAX(MIN('Council Entry'!AX190,'Council Entry'!AX$9),'Council Entry'!AX$8),'Council Entry'!AX190)),IF('Council Entry'!AX$4="Exponential",EXP(IF(AND(ISNUMBER('Council Entry'!AX$8),ISNUMBER('Council Entry'!AX$9)),MAX(MIN('Council Entry'!AX190,'Council Entry'!AX$9),'Council Entry'!AX$8),'Council Entry'!AX190)),IF(AND(ISNUMBER('Council Entry'!AX$8),ISNUMBER('Council Entry'!AX$9)),MAX(MIN('Council Entry'!AX190,'Council Entry'!AX$9),'Council Entry'!AX$8),'Council Entry'!AX190))))-'Council Entry'!AX$5)/('Council Entry'!AX$6-'Council Entry'!AX$5),10*((IF('Council Entry'!AX$4="Logarithm",LN(0.001+IF(AND(ISNUMBER('Council Entry'!AX$8),ISNUMBER('Council Entry'!AX$9)),MAX(MIN('Council Entry'!AX190,'Council Entry'!AX$9),'Council Entry'!AX$8),'Council Entry'!AX190)),IF('Council Entry'!AX$4="Exponential",EXP(IF(AND(ISNUMBER('Council Entry'!AX$8),ISNUMBER('Council Entry'!AX$9)),MAX(MIN('Council Entry'!AX190,'Council Entry'!AX$9),'Council Entry'!AX$8),'Council Entry'!AX190)),IF(AND(ISNUMBER('Council Entry'!AX$8),ISNUMBER('Council Entry'!AX$9)),MAX(MIN('Council Entry'!AX190,'Council Entry'!AX$9),'Council Entry'!AX$8),'Council Entry'!AX190))))-'Council Entry'!AX$5)/('Council Entry'!AX$6-'Council Entry'!AX$5)),1))),"No data"))</f>
        <v/>
      </c>
      <c r="AY190" s="13">
        <f>IF('Council Entry'!AY190="","",IFERROR(MAX(0,MIN(10,ROUND(IF('Council Entry'!AY$7="Decrease Risk",10-10*((IF('Council Entry'!AY$4="Logarithm",LN(0.001+IF(AND(ISNUMBER('Council Entry'!AY$8),ISNUMBER('Council Entry'!AY$9)),MAX(MIN('Council Entry'!AY190,'Council Entry'!AY$9),'Council Entry'!AY$8),'Council Entry'!AY190)),IF('Council Entry'!AY$4="Exponential",EXP(IF(AND(ISNUMBER('Council Entry'!AY$8),ISNUMBER('Council Entry'!AY$9)),MAX(MIN('Council Entry'!AY190,'Council Entry'!AY$9),'Council Entry'!AY$8),'Council Entry'!AY190)),IF(AND(ISNUMBER('Council Entry'!AY$8),ISNUMBER('Council Entry'!AY$9)),MAX(MIN('Council Entry'!AY190,'Council Entry'!AY$9),'Council Entry'!AY$8),'Council Entry'!AY190))))-'Council Entry'!AY$5)/('Council Entry'!AY$6-'Council Entry'!AY$5),10*((IF('Council Entry'!AY$4="Logarithm",LN(0.001+IF(AND(ISNUMBER('Council Entry'!AY$8),ISNUMBER('Council Entry'!AY$9)),MAX(MIN('Council Entry'!AY190,'Council Entry'!AY$9),'Council Entry'!AY$8),'Council Entry'!AY190)),IF('Council Entry'!AY$4="Exponential",EXP(IF(AND(ISNUMBER('Council Entry'!AY$8),ISNUMBER('Council Entry'!AY$9)),MAX(MIN('Council Entry'!AY190,'Council Entry'!AY$9),'Council Entry'!AY$8),'Council Entry'!AY190)),IF(AND(ISNUMBER('Council Entry'!AY$8),ISNUMBER('Council Entry'!AY$9)),MAX(MIN('Council Entry'!AY190,'Council Entry'!AY$9),'Council Entry'!AY$8),'Council Entry'!AY190))))-'Council Entry'!AY$5)/('Council Entry'!AY$6-'Council Entry'!AY$5)),1))),"No data"))</f>
        <v/>
      </c>
      <c r="AZ190" s="13">
        <f>IF('Council Entry'!AZ190="","",IFERROR(MAX(0,MIN(10,ROUND(IF('Council Entry'!AZ$7="Decrease Risk",10-10*((IF('Council Entry'!AZ$4="Logarithm",LN(0.001+IF(AND(ISNUMBER('Council Entry'!AZ$8),ISNUMBER('Council Entry'!AZ$9)),MAX(MIN('Council Entry'!AZ190,'Council Entry'!AZ$9),'Council Entry'!AZ$8),'Council Entry'!AZ190)),IF('Council Entry'!AZ$4="Exponential",EXP(IF(AND(ISNUMBER('Council Entry'!AZ$8),ISNUMBER('Council Entry'!AZ$9)),MAX(MIN('Council Entry'!AZ190,'Council Entry'!AZ$9),'Council Entry'!AZ$8),'Council Entry'!AZ190)),IF(AND(ISNUMBER('Council Entry'!AZ$8),ISNUMBER('Council Entry'!AZ$9)),MAX(MIN('Council Entry'!AZ190,'Council Entry'!AZ$9),'Council Entry'!AZ$8),'Council Entry'!AZ190))))-'Council Entry'!AZ$5)/('Council Entry'!AZ$6-'Council Entry'!AZ$5),10*((IF('Council Entry'!AZ$4="Logarithm",LN(0.001+IF(AND(ISNUMBER('Council Entry'!AZ$8),ISNUMBER('Council Entry'!AZ$9)),MAX(MIN('Council Entry'!AZ190,'Council Entry'!AZ$9),'Council Entry'!AZ$8),'Council Entry'!AZ190)),IF('Council Entry'!AZ$4="Exponential",EXP(IF(AND(ISNUMBER('Council Entry'!AZ$8),ISNUMBER('Council Entry'!AZ$9)),MAX(MIN('Council Entry'!AZ190,'Council Entry'!AZ$9),'Council Entry'!AZ$8),'Council Entry'!AZ190)),IF(AND(ISNUMBER('Council Entry'!AZ$8),ISNUMBER('Council Entry'!AZ$9)),MAX(MIN('Council Entry'!AZ190,'Council Entry'!AZ$9),'Council Entry'!AZ$8),'Council Entry'!AZ190))))-'Council Entry'!AZ$5)/('Council Entry'!AZ$6-'Council Entry'!AZ$5)),1))),"No data"))</f>
        <v/>
      </c>
      <c r="BA190" s="13">
        <f>IF('Council Entry'!BA190="","",IFERROR(MAX(0,MIN(10,ROUND(IF('Council Entry'!BA$7="Decrease Risk",10-10*((IF('Council Entry'!BA$4="Logarithm",LN(0.001+IF(AND(ISNUMBER('Council Entry'!BA$8),ISNUMBER('Council Entry'!BA$9)),MAX(MIN('Council Entry'!BA190,'Council Entry'!BA$9),'Council Entry'!BA$8),'Council Entry'!BA190)),IF('Council Entry'!BA$4="Exponential",EXP(IF(AND(ISNUMBER('Council Entry'!BA$8),ISNUMBER('Council Entry'!BA$9)),MAX(MIN('Council Entry'!BA190,'Council Entry'!BA$9),'Council Entry'!BA$8),'Council Entry'!BA190)),IF(AND(ISNUMBER('Council Entry'!BA$8),ISNUMBER('Council Entry'!BA$9)),MAX(MIN('Council Entry'!BA190,'Council Entry'!BA$9),'Council Entry'!BA$8),'Council Entry'!BA190))))-'Council Entry'!BA$5)/('Council Entry'!BA$6-'Council Entry'!BA$5),10*((IF('Council Entry'!BA$4="Logarithm",LN(0.001+IF(AND(ISNUMBER('Council Entry'!BA$8),ISNUMBER('Council Entry'!BA$9)),MAX(MIN('Council Entry'!BA190,'Council Entry'!BA$9),'Council Entry'!BA$8),'Council Entry'!BA190)),IF('Council Entry'!BA$4="Exponential",EXP(IF(AND(ISNUMBER('Council Entry'!BA$8),ISNUMBER('Council Entry'!BA$9)),MAX(MIN('Council Entry'!BA190,'Council Entry'!BA$9),'Council Entry'!BA$8),'Council Entry'!BA190)),IF(AND(ISNUMBER('Council Entry'!BA$8),ISNUMBER('Council Entry'!BA$9)),MAX(MIN('Council Entry'!BA190,'Council Entry'!BA$9),'Council Entry'!BA$8),'Council Entry'!BA190))))-'Council Entry'!BA$5)/('Council Entry'!BA$6-'Council Entry'!BA$5)),1))),"No data"))</f>
        <v/>
      </c>
      <c r="BB190" s="13">
        <f>IF('Council Entry'!BB190="","",IFERROR(MAX(0,MIN(10,ROUND(IF('Council Entry'!BB$7="Decrease Risk",10-10*((IF('Council Entry'!BB$4="Logarithm",LN(0.001+IF(AND(ISNUMBER('Council Entry'!BB$8),ISNUMBER('Council Entry'!BB$9)),MAX(MIN('Council Entry'!BB190,'Council Entry'!BB$9),'Council Entry'!BB$8),'Council Entry'!BB190)),IF('Council Entry'!BB$4="Exponential",EXP(IF(AND(ISNUMBER('Council Entry'!BB$8),ISNUMBER('Council Entry'!BB$9)),MAX(MIN('Council Entry'!BB190,'Council Entry'!BB$9),'Council Entry'!BB$8),'Council Entry'!BB190)),IF(AND(ISNUMBER('Council Entry'!BB$8),ISNUMBER('Council Entry'!BB$9)),MAX(MIN('Council Entry'!BB190,'Council Entry'!BB$9),'Council Entry'!BB$8),'Council Entry'!BB190))))-'Council Entry'!BB$5)/('Council Entry'!BB$6-'Council Entry'!BB$5),10*((IF('Council Entry'!BB$4="Logarithm",LN(0.001+IF(AND(ISNUMBER('Council Entry'!BB$8),ISNUMBER('Council Entry'!BB$9)),MAX(MIN('Council Entry'!BB190,'Council Entry'!BB$9),'Council Entry'!BB$8),'Council Entry'!BB190)),IF('Council Entry'!BB$4="Exponential",EXP(IF(AND(ISNUMBER('Council Entry'!BB$8),ISNUMBER('Council Entry'!BB$9)),MAX(MIN('Council Entry'!BB190,'Council Entry'!BB$9),'Council Entry'!BB$8),'Council Entry'!BB190)),IF(AND(ISNUMBER('Council Entry'!BB$8),ISNUMBER('Council Entry'!BB$9)),MAX(MIN('Council Entry'!BB190,'Council Entry'!BB$9),'Council Entry'!BB$8),'Council Entry'!BB190))))-'Council Entry'!BB$5)/('Council Entry'!BB$6-'Council Entry'!BB$5)),1))),"No data"))</f>
        <v/>
      </c>
      <c r="BC190" s="13">
        <f>IF('Council Entry'!BC190="","",IFERROR(MAX(0,MIN(10,ROUND(IF('Council Entry'!BC$7="Decrease Risk",10-10*((IF('Council Entry'!BC$4="Logarithm",LN(0.001+IF(AND(ISNUMBER('Council Entry'!BC$8),ISNUMBER('Council Entry'!BC$9)),MAX(MIN('Council Entry'!BC190,'Council Entry'!BC$9),'Council Entry'!BC$8),'Council Entry'!BC190)),IF('Council Entry'!BC$4="Exponential",EXP(IF(AND(ISNUMBER('Council Entry'!BC$8),ISNUMBER('Council Entry'!BC$9)),MAX(MIN('Council Entry'!BC190,'Council Entry'!BC$9),'Council Entry'!BC$8),'Council Entry'!BC190)),IF(AND(ISNUMBER('Council Entry'!BC$8),ISNUMBER('Council Entry'!BC$9)),MAX(MIN('Council Entry'!BC190,'Council Entry'!BC$9),'Council Entry'!BC$8),'Council Entry'!BC190))))-'Council Entry'!BC$5)/('Council Entry'!BC$6-'Council Entry'!BC$5),10*((IF('Council Entry'!BC$4="Logarithm",LN(0.001+IF(AND(ISNUMBER('Council Entry'!BC$8),ISNUMBER('Council Entry'!BC$9)),MAX(MIN('Council Entry'!BC190,'Council Entry'!BC$9),'Council Entry'!BC$8),'Council Entry'!BC190)),IF('Council Entry'!BC$4="Exponential",EXP(IF(AND(ISNUMBER('Council Entry'!BC$8),ISNUMBER('Council Entry'!BC$9)),MAX(MIN('Council Entry'!BC190,'Council Entry'!BC$9),'Council Entry'!BC$8),'Council Entry'!BC190)),IF(AND(ISNUMBER('Council Entry'!BC$8),ISNUMBER('Council Entry'!BC$9)),MAX(MIN('Council Entry'!BC190,'Council Entry'!BC$9),'Council Entry'!BC$8),'Council Entry'!BC190))))-'Council Entry'!BC$5)/('Council Entry'!BC$6-'Council Entry'!BC$5)),1))),"No data"))</f>
        <v/>
      </c>
      <c r="BD190" s="13">
        <f>IF('Council Entry'!BD190="","",IFERROR(MAX(0,MIN(10,ROUND(IF('Council Entry'!BD$7="Decrease Risk",10-10*((IF('Council Entry'!BD$4="Logarithm",LN(0.001+IF(AND(ISNUMBER('Council Entry'!BD$8),ISNUMBER('Council Entry'!BD$9)),MAX(MIN('Council Entry'!BD190,'Council Entry'!BD$9),'Council Entry'!BD$8),'Council Entry'!BD190)),IF('Council Entry'!BD$4="Exponential",EXP(IF(AND(ISNUMBER('Council Entry'!BD$8),ISNUMBER('Council Entry'!BD$9)),MAX(MIN('Council Entry'!BD190,'Council Entry'!BD$9),'Council Entry'!BD$8),'Council Entry'!BD190)),IF(AND(ISNUMBER('Council Entry'!BD$8),ISNUMBER('Council Entry'!BD$9)),MAX(MIN('Council Entry'!BD190,'Council Entry'!BD$9),'Council Entry'!BD$8),'Council Entry'!BD190))))-'Council Entry'!BD$5)/('Council Entry'!BD$6-'Council Entry'!BD$5),10*((IF('Council Entry'!BD$4="Logarithm",LN(0.001+IF(AND(ISNUMBER('Council Entry'!BD$8),ISNUMBER('Council Entry'!BD$9)),MAX(MIN('Council Entry'!BD190,'Council Entry'!BD$9),'Council Entry'!BD$8),'Council Entry'!BD190)),IF('Council Entry'!BD$4="Exponential",EXP(IF(AND(ISNUMBER('Council Entry'!BD$8),ISNUMBER('Council Entry'!BD$9)),MAX(MIN('Council Entry'!BD190,'Council Entry'!BD$9),'Council Entry'!BD$8),'Council Entry'!BD190)),IF(AND(ISNUMBER('Council Entry'!BD$8),ISNUMBER('Council Entry'!BD$9)),MAX(MIN('Council Entry'!BD190,'Council Entry'!BD$9),'Council Entry'!BD$8),'Council Entry'!BD190))))-'Council Entry'!BD$5)/('Council Entry'!BD$6-'Council Entry'!BD$5)),1))),"No data"))</f>
        <v/>
      </c>
    </row>
    <row r="191">
      <c r="A191" t="inlineStr">
        <is>
          <t>Tabora</t>
        </is>
      </c>
      <c r="B191" t="inlineStr">
        <is>
          <t>Sikonge District</t>
        </is>
      </c>
      <c r="C191" t="inlineStr">
        <is>
          <t>C104</t>
        </is>
      </c>
      <c r="D191" s="13">
        <f>IF('Council Entry'!D191="","",IFERROR(MAX(0,MIN(10,ROUND(IF('Council Entry'!D$7="Decrease Risk",10-10*((IF('Council Entry'!D$4="Logarithm",LN(0.001+IF(AND(ISNUMBER('Council Entry'!D$8),ISNUMBER('Council Entry'!D$9)),MAX(MIN('Council Entry'!D191,'Council Entry'!D$9),'Council Entry'!D$8),'Council Entry'!D191)),IF('Council Entry'!D$4="Exponential",EXP(IF(AND(ISNUMBER('Council Entry'!D$8),ISNUMBER('Council Entry'!D$9)),MAX(MIN('Council Entry'!D191,'Council Entry'!D$9),'Council Entry'!D$8),'Council Entry'!D191)),IF(AND(ISNUMBER('Council Entry'!D$8),ISNUMBER('Council Entry'!D$9)),MAX(MIN('Council Entry'!D191,'Council Entry'!D$9),'Council Entry'!D$8),'Council Entry'!D191))))-'Council Entry'!D$5)/('Council Entry'!D$6-'Council Entry'!D$5),10*((IF('Council Entry'!D$4="Logarithm",LN(0.001+IF(AND(ISNUMBER('Council Entry'!D$8),ISNUMBER('Council Entry'!D$9)),MAX(MIN('Council Entry'!D191,'Council Entry'!D$9),'Council Entry'!D$8),'Council Entry'!D191)),IF('Council Entry'!D$4="Exponential",EXP(IF(AND(ISNUMBER('Council Entry'!D$8),ISNUMBER('Council Entry'!D$9)),MAX(MIN('Council Entry'!D191,'Council Entry'!D$9),'Council Entry'!D$8),'Council Entry'!D191)),IF(AND(ISNUMBER('Council Entry'!D$8),ISNUMBER('Council Entry'!D$9)),MAX(MIN('Council Entry'!D191,'Council Entry'!D$9),'Council Entry'!D$8),'Council Entry'!D191))))-'Council Entry'!D$5)/('Council Entry'!D$6-'Council Entry'!D$5)),1))),"No data"))</f>
        <v/>
      </c>
      <c r="E191" s="13">
        <f>IF('Council Entry'!E191="","",IFERROR(MAX(0,MIN(10,ROUND(IF('Council Entry'!E$7="Decrease Risk",10-10*((IF('Council Entry'!E$4="Logarithm",LN(0.001+IF(AND(ISNUMBER('Council Entry'!E$8),ISNUMBER('Council Entry'!E$9)),MAX(MIN('Council Entry'!E191,'Council Entry'!E$9),'Council Entry'!E$8),'Council Entry'!E191)),IF('Council Entry'!E$4="Exponential",EXP(IF(AND(ISNUMBER('Council Entry'!E$8),ISNUMBER('Council Entry'!E$9)),MAX(MIN('Council Entry'!E191,'Council Entry'!E$9),'Council Entry'!E$8),'Council Entry'!E191)),IF(AND(ISNUMBER('Council Entry'!E$8),ISNUMBER('Council Entry'!E$9)),MAX(MIN('Council Entry'!E191,'Council Entry'!E$9),'Council Entry'!E$8),'Council Entry'!E191))))-'Council Entry'!E$5)/('Council Entry'!E$6-'Council Entry'!E$5),10*((IF('Council Entry'!E$4="Logarithm",LN(0.001+IF(AND(ISNUMBER('Council Entry'!E$8),ISNUMBER('Council Entry'!E$9)),MAX(MIN('Council Entry'!E191,'Council Entry'!E$9),'Council Entry'!E$8),'Council Entry'!E191)),IF('Council Entry'!E$4="Exponential",EXP(IF(AND(ISNUMBER('Council Entry'!E$8),ISNUMBER('Council Entry'!E$9)),MAX(MIN('Council Entry'!E191,'Council Entry'!E$9),'Council Entry'!E$8),'Council Entry'!E191)),IF(AND(ISNUMBER('Council Entry'!E$8),ISNUMBER('Council Entry'!E$9)),MAX(MIN('Council Entry'!E191,'Council Entry'!E$9),'Council Entry'!E$8),'Council Entry'!E191))))-'Council Entry'!E$5)/('Council Entry'!E$6-'Council Entry'!E$5)),1))),"No data"))</f>
        <v/>
      </c>
      <c r="F191" s="13">
        <f>IF('Council Entry'!F191="","",IFERROR(MAX(0,MIN(10,ROUND(IF('Council Entry'!F$7="Decrease Risk",10-10*((IF('Council Entry'!F$4="Logarithm",LN(0.001+IF(AND(ISNUMBER('Council Entry'!F$8),ISNUMBER('Council Entry'!F$9)),MAX(MIN('Council Entry'!F191,'Council Entry'!F$9),'Council Entry'!F$8),'Council Entry'!F191)),IF('Council Entry'!F$4="Exponential",EXP(IF(AND(ISNUMBER('Council Entry'!F$8),ISNUMBER('Council Entry'!F$9)),MAX(MIN('Council Entry'!F191,'Council Entry'!F$9),'Council Entry'!F$8),'Council Entry'!F191)),IF(AND(ISNUMBER('Council Entry'!F$8),ISNUMBER('Council Entry'!F$9)),MAX(MIN('Council Entry'!F191,'Council Entry'!F$9),'Council Entry'!F$8),'Council Entry'!F191))))-'Council Entry'!F$5)/('Council Entry'!F$6-'Council Entry'!F$5),10*((IF('Council Entry'!F$4="Logarithm",LN(0.001+IF(AND(ISNUMBER('Council Entry'!F$8),ISNUMBER('Council Entry'!F$9)),MAX(MIN('Council Entry'!F191,'Council Entry'!F$9),'Council Entry'!F$8),'Council Entry'!F191)),IF('Council Entry'!F$4="Exponential",EXP(IF(AND(ISNUMBER('Council Entry'!F$8),ISNUMBER('Council Entry'!F$9)),MAX(MIN('Council Entry'!F191,'Council Entry'!F$9),'Council Entry'!F$8),'Council Entry'!F191)),IF(AND(ISNUMBER('Council Entry'!F$8),ISNUMBER('Council Entry'!F$9)),MAX(MIN('Council Entry'!F191,'Council Entry'!F$9),'Council Entry'!F$8),'Council Entry'!F191))))-'Council Entry'!F$5)/('Council Entry'!F$6-'Council Entry'!F$5)),1))),"No data"))</f>
        <v/>
      </c>
      <c r="G191" s="13">
        <f>IF('Council Entry'!G191="","",IFERROR(MAX(0,MIN(10,ROUND(IF('Council Entry'!G$7="Decrease Risk",10-10*((IF('Council Entry'!G$4="Logarithm",LN(0.001+IF(AND(ISNUMBER('Council Entry'!G$8),ISNUMBER('Council Entry'!G$9)),MAX(MIN('Council Entry'!G191,'Council Entry'!G$9),'Council Entry'!G$8),'Council Entry'!G191)),IF('Council Entry'!G$4="Exponential",EXP(IF(AND(ISNUMBER('Council Entry'!G$8),ISNUMBER('Council Entry'!G$9)),MAX(MIN('Council Entry'!G191,'Council Entry'!G$9),'Council Entry'!G$8),'Council Entry'!G191)),IF(AND(ISNUMBER('Council Entry'!G$8),ISNUMBER('Council Entry'!G$9)),MAX(MIN('Council Entry'!G191,'Council Entry'!G$9),'Council Entry'!G$8),'Council Entry'!G191))))-'Council Entry'!G$5)/('Council Entry'!G$6-'Council Entry'!G$5),10*((IF('Council Entry'!G$4="Logarithm",LN(0.001+IF(AND(ISNUMBER('Council Entry'!G$8),ISNUMBER('Council Entry'!G$9)),MAX(MIN('Council Entry'!G191,'Council Entry'!G$9),'Council Entry'!G$8),'Council Entry'!G191)),IF('Council Entry'!G$4="Exponential",EXP(IF(AND(ISNUMBER('Council Entry'!G$8),ISNUMBER('Council Entry'!G$9)),MAX(MIN('Council Entry'!G191,'Council Entry'!G$9),'Council Entry'!G$8),'Council Entry'!G191)),IF(AND(ISNUMBER('Council Entry'!G$8),ISNUMBER('Council Entry'!G$9)),MAX(MIN('Council Entry'!G191,'Council Entry'!G$9),'Council Entry'!G$8),'Council Entry'!G191))))-'Council Entry'!G$5)/('Council Entry'!G$6-'Council Entry'!G$5)),1))),"No data"))</f>
        <v/>
      </c>
      <c r="H191" s="13">
        <f>IF('Council Entry'!H191="","",IFERROR(MAX(0,MIN(10,ROUND(IF('Council Entry'!H$7="Decrease Risk",10-10*((IF('Council Entry'!H$4="Logarithm",LN(0.001+IF(AND(ISNUMBER('Council Entry'!H$8),ISNUMBER('Council Entry'!H$9)),MAX(MIN('Council Entry'!H191,'Council Entry'!H$9),'Council Entry'!H$8),'Council Entry'!H191)),IF('Council Entry'!H$4="Exponential",EXP(IF(AND(ISNUMBER('Council Entry'!H$8),ISNUMBER('Council Entry'!H$9)),MAX(MIN('Council Entry'!H191,'Council Entry'!H$9),'Council Entry'!H$8),'Council Entry'!H191)),IF(AND(ISNUMBER('Council Entry'!H$8),ISNUMBER('Council Entry'!H$9)),MAX(MIN('Council Entry'!H191,'Council Entry'!H$9),'Council Entry'!H$8),'Council Entry'!H191))))-'Council Entry'!H$5)/('Council Entry'!H$6-'Council Entry'!H$5),10*((IF('Council Entry'!H$4="Logarithm",LN(0.001+IF(AND(ISNUMBER('Council Entry'!H$8),ISNUMBER('Council Entry'!H$9)),MAX(MIN('Council Entry'!H191,'Council Entry'!H$9),'Council Entry'!H$8),'Council Entry'!H191)),IF('Council Entry'!H$4="Exponential",EXP(IF(AND(ISNUMBER('Council Entry'!H$8),ISNUMBER('Council Entry'!H$9)),MAX(MIN('Council Entry'!H191,'Council Entry'!H$9),'Council Entry'!H$8),'Council Entry'!H191)),IF(AND(ISNUMBER('Council Entry'!H$8),ISNUMBER('Council Entry'!H$9)),MAX(MIN('Council Entry'!H191,'Council Entry'!H$9),'Council Entry'!H$8),'Council Entry'!H191))))-'Council Entry'!H$5)/('Council Entry'!H$6-'Council Entry'!H$5)),1))),"No data"))</f>
        <v/>
      </c>
      <c r="I191" s="13">
        <f>IF('Council Entry'!I191="","",IFERROR(MAX(0,MIN(10,ROUND(IF('Council Entry'!I$7="Decrease Risk",10-10*((IF('Council Entry'!I$4="Logarithm",LN(0.001+IF(AND(ISNUMBER('Council Entry'!I$8),ISNUMBER('Council Entry'!I$9)),MAX(MIN('Council Entry'!I191,'Council Entry'!I$9),'Council Entry'!I$8),'Council Entry'!I191)),IF('Council Entry'!I$4="Exponential",EXP(IF(AND(ISNUMBER('Council Entry'!I$8),ISNUMBER('Council Entry'!I$9)),MAX(MIN('Council Entry'!I191,'Council Entry'!I$9),'Council Entry'!I$8),'Council Entry'!I191)),IF(AND(ISNUMBER('Council Entry'!I$8),ISNUMBER('Council Entry'!I$9)),MAX(MIN('Council Entry'!I191,'Council Entry'!I$9),'Council Entry'!I$8),'Council Entry'!I191))))-'Council Entry'!I$5)/('Council Entry'!I$6-'Council Entry'!I$5),10*((IF('Council Entry'!I$4="Logarithm",LN(0.001+IF(AND(ISNUMBER('Council Entry'!I$8),ISNUMBER('Council Entry'!I$9)),MAX(MIN('Council Entry'!I191,'Council Entry'!I$9),'Council Entry'!I$8),'Council Entry'!I191)),IF('Council Entry'!I$4="Exponential",EXP(IF(AND(ISNUMBER('Council Entry'!I$8),ISNUMBER('Council Entry'!I$9)),MAX(MIN('Council Entry'!I191,'Council Entry'!I$9),'Council Entry'!I$8),'Council Entry'!I191)),IF(AND(ISNUMBER('Council Entry'!I$8),ISNUMBER('Council Entry'!I$9)),MAX(MIN('Council Entry'!I191,'Council Entry'!I$9),'Council Entry'!I$8),'Council Entry'!I191))))-'Council Entry'!I$5)/('Council Entry'!I$6-'Council Entry'!I$5)),1))),"No data"))</f>
        <v/>
      </c>
      <c r="J191" s="13">
        <f>IF('Council Entry'!J191="","",IFERROR(MAX(0,MIN(10,ROUND(IF('Council Entry'!J$7="Decrease Risk",10-10*((IF('Council Entry'!J$4="Logarithm",LN(0.001+IF(AND(ISNUMBER('Council Entry'!J$8),ISNUMBER('Council Entry'!J$9)),MAX(MIN('Council Entry'!J191,'Council Entry'!J$9),'Council Entry'!J$8),'Council Entry'!J191)),IF('Council Entry'!J$4="Exponential",EXP(IF(AND(ISNUMBER('Council Entry'!J$8),ISNUMBER('Council Entry'!J$9)),MAX(MIN('Council Entry'!J191,'Council Entry'!J$9),'Council Entry'!J$8),'Council Entry'!J191)),IF(AND(ISNUMBER('Council Entry'!J$8),ISNUMBER('Council Entry'!J$9)),MAX(MIN('Council Entry'!J191,'Council Entry'!J$9),'Council Entry'!J$8),'Council Entry'!J191))))-'Council Entry'!J$5)/('Council Entry'!J$6-'Council Entry'!J$5),10*((IF('Council Entry'!J$4="Logarithm",LN(0.001+IF(AND(ISNUMBER('Council Entry'!J$8),ISNUMBER('Council Entry'!J$9)),MAX(MIN('Council Entry'!J191,'Council Entry'!J$9),'Council Entry'!J$8),'Council Entry'!J191)),IF('Council Entry'!J$4="Exponential",EXP(IF(AND(ISNUMBER('Council Entry'!J$8),ISNUMBER('Council Entry'!J$9)),MAX(MIN('Council Entry'!J191,'Council Entry'!J$9),'Council Entry'!J$8),'Council Entry'!J191)),IF(AND(ISNUMBER('Council Entry'!J$8),ISNUMBER('Council Entry'!J$9)),MAX(MIN('Council Entry'!J191,'Council Entry'!J$9),'Council Entry'!J$8),'Council Entry'!J191))))-'Council Entry'!J$5)/('Council Entry'!J$6-'Council Entry'!J$5)),1))),"No data"))</f>
        <v/>
      </c>
      <c r="K191" s="13">
        <f>IF('Council Entry'!K191="","",IFERROR(MAX(0,MIN(10,ROUND(IF('Council Entry'!K$7="Decrease Risk",10-10*((IF('Council Entry'!K$4="Logarithm",LN(0.001+IF(AND(ISNUMBER('Council Entry'!K$8),ISNUMBER('Council Entry'!K$9)),MAX(MIN('Council Entry'!K191,'Council Entry'!K$9),'Council Entry'!K$8),'Council Entry'!K191)),IF('Council Entry'!K$4="Exponential",EXP(IF(AND(ISNUMBER('Council Entry'!K$8),ISNUMBER('Council Entry'!K$9)),MAX(MIN('Council Entry'!K191,'Council Entry'!K$9),'Council Entry'!K$8),'Council Entry'!K191)),IF(AND(ISNUMBER('Council Entry'!K$8),ISNUMBER('Council Entry'!K$9)),MAX(MIN('Council Entry'!K191,'Council Entry'!K$9),'Council Entry'!K$8),'Council Entry'!K191))))-'Council Entry'!K$5)/('Council Entry'!K$6-'Council Entry'!K$5),10*((IF('Council Entry'!K$4="Logarithm",LN(0.001+IF(AND(ISNUMBER('Council Entry'!K$8),ISNUMBER('Council Entry'!K$9)),MAX(MIN('Council Entry'!K191,'Council Entry'!K$9),'Council Entry'!K$8),'Council Entry'!K191)),IF('Council Entry'!K$4="Exponential",EXP(IF(AND(ISNUMBER('Council Entry'!K$8),ISNUMBER('Council Entry'!K$9)),MAX(MIN('Council Entry'!K191,'Council Entry'!K$9),'Council Entry'!K$8),'Council Entry'!K191)),IF(AND(ISNUMBER('Council Entry'!K$8),ISNUMBER('Council Entry'!K$9)),MAX(MIN('Council Entry'!K191,'Council Entry'!K$9),'Council Entry'!K$8),'Council Entry'!K191))))-'Council Entry'!K$5)/('Council Entry'!K$6-'Council Entry'!K$5)),1))),"No data"))</f>
        <v/>
      </c>
      <c r="L191" s="13">
        <f>IF('Council Entry'!L191="","",IFERROR(MAX(0,MIN(10,ROUND(IF('Council Entry'!L$7="Decrease Risk",10-10*((IF('Council Entry'!L$4="Logarithm",LN(0.001+IF(AND(ISNUMBER('Council Entry'!L$8),ISNUMBER('Council Entry'!L$9)),MAX(MIN('Council Entry'!L191,'Council Entry'!L$9),'Council Entry'!L$8),'Council Entry'!L191)),IF('Council Entry'!L$4="Exponential",EXP(IF(AND(ISNUMBER('Council Entry'!L$8),ISNUMBER('Council Entry'!L$9)),MAX(MIN('Council Entry'!L191,'Council Entry'!L$9),'Council Entry'!L$8),'Council Entry'!L191)),IF(AND(ISNUMBER('Council Entry'!L$8),ISNUMBER('Council Entry'!L$9)),MAX(MIN('Council Entry'!L191,'Council Entry'!L$9),'Council Entry'!L$8),'Council Entry'!L191))))-'Council Entry'!L$5)/('Council Entry'!L$6-'Council Entry'!L$5),10*((IF('Council Entry'!L$4="Logarithm",LN(0.001+IF(AND(ISNUMBER('Council Entry'!L$8),ISNUMBER('Council Entry'!L$9)),MAX(MIN('Council Entry'!L191,'Council Entry'!L$9),'Council Entry'!L$8),'Council Entry'!L191)),IF('Council Entry'!L$4="Exponential",EXP(IF(AND(ISNUMBER('Council Entry'!L$8),ISNUMBER('Council Entry'!L$9)),MAX(MIN('Council Entry'!L191,'Council Entry'!L$9),'Council Entry'!L$8),'Council Entry'!L191)),IF(AND(ISNUMBER('Council Entry'!L$8),ISNUMBER('Council Entry'!L$9)),MAX(MIN('Council Entry'!L191,'Council Entry'!L$9),'Council Entry'!L$8),'Council Entry'!L191))))-'Council Entry'!L$5)/('Council Entry'!L$6-'Council Entry'!L$5)),1))),"No data"))</f>
        <v/>
      </c>
      <c r="M191" s="13">
        <f>IF('Council Entry'!M191="","",IFERROR(MAX(0,MIN(10,ROUND(IF('Council Entry'!M$7="Decrease Risk",10-10*((IF('Council Entry'!M$4="Logarithm",LN(0.001+IF(AND(ISNUMBER('Council Entry'!M$8),ISNUMBER('Council Entry'!M$9)),MAX(MIN('Council Entry'!M191,'Council Entry'!M$9),'Council Entry'!M$8),'Council Entry'!M191)),IF('Council Entry'!M$4="Exponential",EXP(IF(AND(ISNUMBER('Council Entry'!M$8),ISNUMBER('Council Entry'!M$9)),MAX(MIN('Council Entry'!M191,'Council Entry'!M$9),'Council Entry'!M$8),'Council Entry'!M191)),IF(AND(ISNUMBER('Council Entry'!M$8),ISNUMBER('Council Entry'!M$9)),MAX(MIN('Council Entry'!M191,'Council Entry'!M$9),'Council Entry'!M$8),'Council Entry'!M191))))-'Council Entry'!M$5)/('Council Entry'!M$6-'Council Entry'!M$5),10*((IF('Council Entry'!M$4="Logarithm",LN(0.001+IF(AND(ISNUMBER('Council Entry'!M$8),ISNUMBER('Council Entry'!M$9)),MAX(MIN('Council Entry'!M191,'Council Entry'!M$9),'Council Entry'!M$8),'Council Entry'!M191)),IF('Council Entry'!M$4="Exponential",EXP(IF(AND(ISNUMBER('Council Entry'!M$8),ISNUMBER('Council Entry'!M$9)),MAX(MIN('Council Entry'!M191,'Council Entry'!M$9),'Council Entry'!M$8),'Council Entry'!M191)),IF(AND(ISNUMBER('Council Entry'!M$8),ISNUMBER('Council Entry'!M$9)),MAX(MIN('Council Entry'!M191,'Council Entry'!M$9),'Council Entry'!M$8),'Council Entry'!M191))))-'Council Entry'!M$5)/('Council Entry'!M$6-'Council Entry'!M$5)),1))),"No data"))</f>
        <v/>
      </c>
      <c r="N191" s="13">
        <f>IF('Council Entry'!N191="","",IFERROR(MAX(0,MIN(10,ROUND(IF('Council Entry'!N$7="Decrease Risk",10-10*((IF('Council Entry'!N$4="Logarithm",LN(0.001+IF(AND(ISNUMBER('Council Entry'!N$8),ISNUMBER('Council Entry'!N$9)),MAX(MIN('Council Entry'!N191,'Council Entry'!N$9),'Council Entry'!N$8),'Council Entry'!N191)),IF('Council Entry'!N$4="Exponential",EXP(IF(AND(ISNUMBER('Council Entry'!N$8),ISNUMBER('Council Entry'!N$9)),MAX(MIN('Council Entry'!N191,'Council Entry'!N$9),'Council Entry'!N$8),'Council Entry'!N191)),IF(AND(ISNUMBER('Council Entry'!N$8),ISNUMBER('Council Entry'!N$9)),MAX(MIN('Council Entry'!N191,'Council Entry'!N$9),'Council Entry'!N$8),'Council Entry'!N191))))-'Council Entry'!N$5)/('Council Entry'!N$6-'Council Entry'!N$5),10*((IF('Council Entry'!N$4="Logarithm",LN(0.001+IF(AND(ISNUMBER('Council Entry'!N$8),ISNUMBER('Council Entry'!N$9)),MAX(MIN('Council Entry'!N191,'Council Entry'!N$9),'Council Entry'!N$8),'Council Entry'!N191)),IF('Council Entry'!N$4="Exponential",EXP(IF(AND(ISNUMBER('Council Entry'!N$8),ISNUMBER('Council Entry'!N$9)),MAX(MIN('Council Entry'!N191,'Council Entry'!N$9),'Council Entry'!N$8),'Council Entry'!N191)),IF(AND(ISNUMBER('Council Entry'!N$8),ISNUMBER('Council Entry'!N$9)),MAX(MIN('Council Entry'!N191,'Council Entry'!N$9),'Council Entry'!N$8),'Council Entry'!N191))))-'Council Entry'!N$5)/('Council Entry'!N$6-'Council Entry'!N$5)),1))),"No data"))</f>
        <v/>
      </c>
      <c r="O191" s="13">
        <f>IF('Council Entry'!O191="","",IFERROR(MAX(0,MIN(10,ROUND(IF('Council Entry'!O$7="Decrease Risk",10-10*((IF('Council Entry'!O$4="Logarithm",LN(0.001+IF(AND(ISNUMBER('Council Entry'!O$8),ISNUMBER('Council Entry'!O$9)),MAX(MIN('Council Entry'!O191,'Council Entry'!O$9),'Council Entry'!O$8),'Council Entry'!O191)),IF('Council Entry'!O$4="Exponential",EXP(IF(AND(ISNUMBER('Council Entry'!O$8),ISNUMBER('Council Entry'!O$9)),MAX(MIN('Council Entry'!O191,'Council Entry'!O$9),'Council Entry'!O$8),'Council Entry'!O191)),IF(AND(ISNUMBER('Council Entry'!O$8),ISNUMBER('Council Entry'!O$9)),MAX(MIN('Council Entry'!O191,'Council Entry'!O$9),'Council Entry'!O$8),'Council Entry'!O191))))-'Council Entry'!O$5)/('Council Entry'!O$6-'Council Entry'!O$5),10*((IF('Council Entry'!O$4="Logarithm",LN(0.001+IF(AND(ISNUMBER('Council Entry'!O$8),ISNUMBER('Council Entry'!O$9)),MAX(MIN('Council Entry'!O191,'Council Entry'!O$9),'Council Entry'!O$8),'Council Entry'!O191)),IF('Council Entry'!O$4="Exponential",EXP(IF(AND(ISNUMBER('Council Entry'!O$8),ISNUMBER('Council Entry'!O$9)),MAX(MIN('Council Entry'!O191,'Council Entry'!O$9),'Council Entry'!O$8),'Council Entry'!O191)),IF(AND(ISNUMBER('Council Entry'!O$8),ISNUMBER('Council Entry'!O$9)),MAX(MIN('Council Entry'!O191,'Council Entry'!O$9),'Council Entry'!O$8),'Council Entry'!O191))))-'Council Entry'!O$5)/('Council Entry'!O$6-'Council Entry'!O$5)),1))),"No data"))</f>
        <v/>
      </c>
      <c r="P191" s="13">
        <f>IF('Council Entry'!P191="","",IFERROR(MAX(0,MIN(10,ROUND(IF('Council Entry'!P$7="Decrease Risk",10-10*((IF('Council Entry'!P$4="Logarithm",LN(0.001+IF(AND(ISNUMBER('Council Entry'!P$8),ISNUMBER('Council Entry'!P$9)),MAX(MIN('Council Entry'!P191,'Council Entry'!P$9),'Council Entry'!P$8),'Council Entry'!P191)),IF('Council Entry'!P$4="Exponential",EXP(IF(AND(ISNUMBER('Council Entry'!P$8),ISNUMBER('Council Entry'!P$9)),MAX(MIN('Council Entry'!P191,'Council Entry'!P$9),'Council Entry'!P$8),'Council Entry'!P191)),IF(AND(ISNUMBER('Council Entry'!P$8),ISNUMBER('Council Entry'!P$9)),MAX(MIN('Council Entry'!P191,'Council Entry'!P$9),'Council Entry'!P$8),'Council Entry'!P191))))-'Council Entry'!P$5)/('Council Entry'!P$6-'Council Entry'!P$5),10*((IF('Council Entry'!P$4="Logarithm",LN(0.001+IF(AND(ISNUMBER('Council Entry'!P$8),ISNUMBER('Council Entry'!P$9)),MAX(MIN('Council Entry'!P191,'Council Entry'!P$9),'Council Entry'!P$8),'Council Entry'!P191)),IF('Council Entry'!P$4="Exponential",EXP(IF(AND(ISNUMBER('Council Entry'!P$8),ISNUMBER('Council Entry'!P$9)),MAX(MIN('Council Entry'!P191,'Council Entry'!P$9),'Council Entry'!P$8),'Council Entry'!P191)),IF(AND(ISNUMBER('Council Entry'!P$8),ISNUMBER('Council Entry'!P$9)),MAX(MIN('Council Entry'!P191,'Council Entry'!P$9),'Council Entry'!P$8),'Council Entry'!P191))))-'Council Entry'!P$5)/('Council Entry'!P$6-'Council Entry'!P$5)),1))),"No data"))</f>
        <v/>
      </c>
      <c r="Q191" s="13">
        <f>IF('Council Entry'!Q191="","",IFERROR(MAX(0,MIN(10,ROUND(IF('Council Entry'!Q$7="Decrease Risk",10-10*((IF('Council Entry'!Q$4="Logarithm",LN(0.001+IF(AND(ISNUMBER('Council Entry'!Q$8),ISNUMBER('Council Entry'!Q$9)),MAX(MIN('Council Entry'!Q191,'Council Entry'!Q$9),'Council Entry'!Q$8),'Council Entry'!Q191)),IF('Council Entry'!Q$4="Exponential",EXP(IF(AND(ISNUMBER('Council Entry'!Q$8),ISNUMBER('Council Entry'!Q$9)),MAX(MIN('Council Entry'!Q191,'Council Entry'!Q$9),'Council Entry'!Q$8),'Council Entry'!Q191)),IF(AND(ISNUMBER('Council Entry'!Q$8),ISNUMBER('Council Entry'!Q$9)),MAX(MIN('Council Entry'!Q191,'Council Entry'!Q$9),'Council Entry'!Q$8),'Council Entry'!Q191))))-'Council Entry'!Q$5)/('Council Entry'!Q$6-'Council Entry'!Q$5),10*((IF('Council Entry'!Q$4="Logarithm",LN(0.001+IF(AND(ISNUMBER('Council Entry'!Q$8),ISNUMBER('Council Entry'!Q$9)),MAX(MIN('Council Entry'!Q191,'Council Entry'!Q$9),'Council Entry'!Q$8),'Council Entry'!Q191)),IF('Council Entry'!Q$4="Exponential",EXP(IF(AND(ISNUMBER('Council Entry'!Q$8),ISNUMBER('Council Entry'!Q$9)),MAX(MIN('Council Entry'!Q191,'Council Entry'!Q$9),'Council Entry'!Q$8),'Council Entry'!Q191)),IF(AND(ISNUMBER('Council Entry'!Q$8),ISNUMBER('Council Entry'!Q$9)),MAX(MIN('Council Entry'!Q191,'Council Entry'!Q$9),'Council Entry'!Q$8),'Council Entry'!Q191))))-'Council Entry'!Q$5)/('Council Entry'!Q$6-'Council Entry'!Q$5)),1))),"No data"))</f>
        <v/>
      </c>
      <c r="R191" s="13">
        <f>IF('Council Entry'!R191="","",IFERROR(MAX(0,MIN(10,ROUND(IF('Council Entry'!R$7="Decrease Risk",10-10*((IF('Council Entry'!R$4="Logarithm",LN(0.001+IF(AND(ISNUMBER('Council Entry'!R$8),ISNUMBER('Council Entry'!R$9)),MAX(MIN('Council Entry'!R191,'Council Entry'!R$9),'Council Entry'!R$8),'Council Entry'!R191)),IF('Council Entry'!R$4="Exponential",EXP(IF(AND(ISNUMBER('Council Entry'!R$8),ISNUMBER('Council Entry'!R$9)),MAX(MIN('Council Entry'!R191,'Council Entry'!R$9),'Council Entry'!R$8),'Council Entry'!R191)),IF(AND(ISNUMBER('Council Entry'!R$8),ISNUMBER('Council Entry'!R$9)),MAX(MIN('Council Entry'!R191,'Council Entry'!R$9),'Council Entry'!R$8),'Council Entry'!R191))))-'Council Entry'!R$5)/('Council Entry'!R$6-'Council Entry'!R$5),10*((IF('Council Entry'!R$4="Logarithm",LN(0.001+IF(AND(ISNUMBER('Council Entry'!R$8),ISNUMBER('Council Entry'!R$9)),MAX(MIN('Council Entry'!R191,'Council Entry'!R$9),'Council Entry'!R$8),'Council Entry'!R191)),IF('Council Entry'!R$4="Exponential",EXP(IF(AND(ISNUMBER('Council Entry'!R$8),ISNUMBER('Council Entry'!R$9)),MAX(MIN('Council Entry'!R191,'Council Entry'!R$9),'Council Entry'!R$8),'Council Entry'!R191)),IF(AND(ISNUMBER('Council Entry'!R$8),ISNUMBER('Council Entry'!R$9)),MAX(MIN('Council Entry'!R191,'Council Entry'!R$9),'Council Entry'!R$8),'Council Entry'!R191))))-'Council Entry'!R$5)/('Council Entry'!R$6-'Council Entry'!R$5)),1))),"No data"))</f>
        <v/>
      </c>
      <c r="S191" s="13">
        <f>IF('Council Entry'!S191="","",IFERROR(MAX(0,MIN(10,ROUND(IF('Council Entry'!S$7="Decrease Risk",10-10*((IF('Council Entry'!S$4="Logarithm",LN(0.001+IF(AND(ISNUMBER('Council Entry'!S$8),ISNUMBER('Council Entry'!S$9)),MAX(MIN('Council Entry'!S191,'Council Entry'!S$9),'Council Entry'!S$8),'Council Entry'!S191)),IF('Council Entry'!S$4="Exponential",EXP(IF(AND(ISNUMBER('Council Entry'!S$8),ISNUMBER('Council Entry'!S$9)),MAX(MIN('Council Entry'!S191,'Council Entry'!S$9),'Council Entry'!S$8),'Council Entry'!S191)),IF(AND(ISNUMBER('Council Entry'!S$8),ISNUMBER('Council Entry'!S$9)),MAX(MIN('Council Entry'!S191,'Council Entry'!S$9),'Council Entry'!S$8),'Council Entry'!S191))))-'Council Entry'!S$5)/('Council Entry'!S$6-'Council Entry'!S$5),10*((IF('Council Entry'!S$4="Logarithm",LN(0.001+IF(AND(ISNUMBER('Council Entry'!S$8),ISNUMBER('Council Entry'!S$9)),MAX(MIN('Council Entry'!S191,'Council Entry'!S$9),'Council Entry'!S$8),'Council Entry'!S191)),IF('Council Entry'!S$4="Exponential",EXP(IF(AND(ISNUMBER('Council Entry'!S$8),ISNUMBER('Council Entry'!S$9)),MAX(MIN('Council Entry'!S191,'Council Entry'!S$9),'Council Entry'!S$8),'Council Entry'!S191)),IF(AND(ISNUMBER('Council Entry'!S$8),ISNUMBER('Council Entry'!S$9)),MAX(MIN('Council Entry'!S191,'Council Entry'!S$9),'Council Entry'!S$8),'Council Entry'!S191))))-'Council Entry'!S$5)/('Council Entry'!S$6-'Council Entry'!S$5)),1))),"No data"))</f>
        <v/>
      </c>
      <c r="T191" s="13">
        <f>IF('Council Entry'!T191="","",IFERROR(MAX(0,MIN(10,ROUND(IF('Council Entry'!T$7="Decrease Risk",10-10*((IF('Council Entry'!T$4="Logarithm",LN(0.001+IF(AND(ISNUMBER('Council Entry'!T$8),ISNUMBER('Council Entry'!T$9)),MAX(MIN('Council Entry'!T191,'Council Entry'!T$9),'Council Entry'!T$8),'Council Entry'!T191)),IF('Council Entry'!T$4="Exponential",EXP(IF(AND(ISNUMBER('Council Entry'!T$8),ISNUMBER('Council Entry'!T$9)),MAX(MIN('Council Entry'!T191,'Council Entry'!T$9),'Council Entry'!T$8),'Council Entry'!T191)),IF(AND(ISNUMBER('Council Entry'!T$8),ISNUMBER('Council Entry'!T$9)),MAX(MIN('Council Entry'!T191,'Council Entry'!T$9),'Council Entry'!T$8),'Council Entry'!T191))))-'Council Entry'!T$5)/('Council Entry'!T$6-'Council Entry'!T$5),10*((IF('Council Entry'!T$4="Logarithm",LN(0.001+IF(AND(ISNUMBER('Council Entry'!T$8),ISNUMBER('Council Entry'!T$9)),MAX(MIN('Council Entry'!T191,'Council Entry'!T$9),'Council Entry'!T$8),'Council Entry'!T191)),IF('Council Entry'!T$4="Exponential",EXP(IF(AND(ISNUMBER('Council Entry'!T$8),ISNUMBER('Council Entry'!T$9)),MAX(MIN('Council Entry'!T191,'Council Entry'!T$9),'Council Entry'!T$8),'Council Entry'!T191)),IF(AND(ISNUMBER('Council Entry'!T$8),ISNUMBER('Council Entry'!T$9)),MAX(MIN('Council Entry'!T191,'Council Entry'!T$9),'Council Entry'!T$8),'Council Entry'!T191))))-'Council Entry'!T$5)/('Council Entry'!T$6-'Council Entry'!T$5)),1))),"No data"))</f>
        <v/>
      </c>
      <c r="U191" s="13">
        <f>IF('Council Entry'!U191="","",IFERROR(MAX(0,MIN(10,ROUND(IF('Council Entry'!U$7="Decrease Risk",10-10*((IF('Council Entry'!U$4="Logarithm",LN(0.001+IF(AND(ISNUMBER('Council Entry'!U$8),ISNUMBER('Council Entry'!U$9)),MAX(MIN('Council Entry'!U191,'Council Entry'!U$9),'Council Entry'!U$8),'Council Entry'!U191)),IF('Council Entry'!U$4="Exponential",EXP(IF(AND(ISNUMBER('Council Entry'!U$8),ISNUMBER('Council Entry'!U$9)),MAX(MIN('Council Entry'!U191,'Council Entry'!U$9),'Council Entry'!U$8),'Council Entry'!U191)),IF(AND(ISNUMBER('Council Entry'!U$8),ISNUMBER('Council Entry'!U$9)),MAX(MIN('Council Entry'!U191,'Council Entry'!U$9),'Council Entry'!U$8),'Council Entry'!U191))))-'Council Entry'!U$5)/('Council Entry'!U$6-'Council Entry'!U$5),10*((IF('Council Entry'!U$4="Logarithm",LN(0.001+IF(AND(ISNUMBER('Council Entry'!U$8),ISNUMBER('Council Entry'!U$9)),MAX(MIN('Council Entry'!U191,'Council Entry'!U$9),'Council Entry'!U$8),'Council Entry'!U191)),IF('Council Entry'!U$4="Exponential",EXP(IF(AND(ISNUMBER('Council Entry'!U$8),ISNUMBER('Council Entry'!U$9)),MAX(MIN('Council Entry'!U191,'Council Entry'!U$9),'Council Entry'!U$8),'Council Entry'!U191)),IF(AND(ISNUMBER('Council Entry'!U$8),ISNUMBER('Council Entry'!U$9)),MAX(MIN('Council Entry'!U191,'Council Entry'!U$9),'Council Entry'!U$8),'Council Entry'!U191))))-'Council Entry'!U$5)/('Council Entry'!U$6-'Council Entry'!U$5)),1))),"No data"))</f>
        <v/>
      </c>
      <c r="V191" s="13">
        <f>IF('Council Entry'!V191="","",IFERROR(MAX(0,MIN(10,ROUND(IF('Council Entry'!V$7="Decrease Risk",10-10*((IF('Council Entry'!V$4="Logarithm",LN(0.001+IF(AND(ISNUMBER('Council Entry'!V$8),ISNUMBER('Council Entry'!V$9)),MAX(MIN('Council Entry'!V191,'Council Entry'!V$9),'Council Entry'!V$8),'Council Entry'!V191)),IF('Council Entry'!V$4="Exponential",EXP(IF(AND(ISNUMBER('Council Entry'!V$8),ISNUMBER('Council Entry'!V$9)),MAX(MIN('Council Entry'!V191,'Council Entry'!V$9),'Council Entry'!V$8),'Council Entry'!V191)),IF(AND(ISNUMBER('Council Entry'!V$8),ISNUMBER('Council Entry'!V$9)),MAX(MIN('Council Entry'!V191,'Council Entry'!V$9),'Council Entry'!V$8),'Council Entry'!V191))))-'Council Entry'!V$5)/('Council Entry'!V$6-'Council Entry'!V$5),10*((IF('Council Entry'!V$4="Logarithm",LN(0.001+IF(AND(ISNUMBER('Council Entry'!V$8),ISNUMBER('Council Entry'!V$9)),MAX(MIN('Council Entry'!V191,'Council Entry'!V$9),'Council Entry'!V$8),'Council Entry'!V191)),IF('Council Entry'!V$4="Exponential",EXP(IF(AND(ISNUMBER('Council Entry'!V$8),ISNUMBER('Council Entry'!V$9)),MAX(MIN('Council Entry'!V191,'Council Entry'!V$9),'Council Entry'!V$8),'Council Entry'!V191)),IF(AND(ISNUMBER('Council Entry'!V$8),ISNUMBER('Council Entry'!V$9)),MAX(MIN('Council Entry'!V191,'Council Entry'!V$9),'Council Entry'!V$8),'Council Entry'!V191))))-'Council Entry'!V$5)/('Council Entry'!V$6-'Council Entry'!V$5)),1))),"No data"))</f>
        <v/>
      </c>
      <c r="W191" s="13">
        <f>IF('Council Entry'!W191="","",IFERROR(MAX(0,MIN(10,ROUND(IF('Council Entry'!W$7="Decrease Risk",10-10*((IF('Council Entry'!W$4="Logarithm",LN(0.001+IF(AND(ISNUMBER('Council Entry'!W$8),ISNUMBER('Council Entry'!W$9)),MAX(MIN('Council Entry'!W191,'Council Entry'!W$9),'Council Entry'!W$8),'Council Entry'!W191)),IF('Council Entry'!W$4="Exponential",EXP(IF(AND(ISNUMBER('Council Entry'!W$8),ISNUMBER('Council Entry'!W$9)),MAX(MIN('Council Entry'!W191,'Council Entry'!W$9),'Council Entry'!W$8),'Council Entry'!W191)),IF(AND(ISNUMBER('Council Entry'!W$8),ISNUMBER('Council Entry'!W$9)),MAX(MIN('Council Entry'!W191,'Council Entry'!W$9),'Council Entry'!W$8),'Council Entry'!W191))))-'Council Entry'!W$5)/('Council Entry'!W$6-'Council Entry'!W$5),10*((IF('Council Entry'!W$4="Logarithm",LN(0.001+IF(AND(ISNUMBER('Council Entry'!W$8),ISNUMBER('Council Entry'!W$9)),MAX(MIN('Council Entry'!W191,'Council Entry'!W$9),'Council Entry'!W$8),'Council Entry'!W191)),IF('Council Entry'!W$4="Exponential",EXP(IF(AND(ISNUMBER('Council Entry'!W$8),ISNUMBER('Council Entry'!W$9)),MAX(MIN('Council Entry'!W191,'Council Entry'!W$9),'Council Entry'!W$8),'Council Entry'!W191)),IF(AND(ISNUMBER('Council Entry'!W$8),ISNUMBER('Council Entry'!W$9)),MAX(MIN('Council Entry'!W191,'Council Entry'!W$9),'Council Entry'!W$8),'Council Entry'!W191))))-'Council Entry'!W$5)/('Council Entry'!W$6-'Council Entry'!W$5)),1))),"No data"))</f>
        <v/>
      </c>
      <c r="X191" s="13">
        <f>IF('Council Entry'!X191="","",IFERROR(MAX(0,MIN(10,ROUND(IF('Council Entry'!X$7="Decrease Risk",10-10*((IF('Council Entry'!X$4="Logarithm",LN(0.001+IF(AND(ISNUMBER('Council Entry'!X$8),ISNUMBER('Council Entry'!X$9)),MAX(MIN('Council Entry'!X191,'Council Entry'!X$9),'Council Entry'!X$8),'Council Entry'!X191)),IF('Council Entry'!X$4="Exponential",EXP(IF(AND(ISNUMBER('Council Entry'!X$8),ISNUMBER('Council Entry'!X$9)),MAX(MIN('Council Entry'!X191,'Council Entry'!X$9),'Council Entry'!X$8),'Council Entry'!X191)),IF(AND(ISNUMBER('Council Entry'!X$8),ISNUMBER('Council Entry'!X$9)),MAX(MIN('Council Entry'!X191,'Council Entry'!X$9),'Council Entry'!X$8),'Council Entry'!X191))))-'Council Entry'!X$5)/('Council Entry'!X$6-'Council Entry'!X$5),10*((IF('Council Entry'!X$4="Logarithm",LN(0.001+IF(AND(ISNUMBER('Council Entry'!X$8),ISNUMBER('Council Entry'!X$9)),MAX(MIN('Council Entry'!X191,'Council Entry'!X$9),'Council Entry'!X$8),'Council Entry'!X191)),IF('Council Entry'!X$4="Exponential",EXP(IF(AND(ISNUMBER('Council Entry'!X$8),ISNUMBER('Council Entry'!X$9)),MAX(MIN('Council Entry'!X191,'Council Entry'!X$9),'Council Entry'!X$8),'Council Entry'!X191)),IF(AND(ISNUMBER('Council Entry'!X$8),ISNUMBER('Council Entry'!X$9)),MAX(MIN('Council Entry'!X191,'Council Entry'!X$9),'Council Entry'!X$8),'Council Entry'!X191))))-'Council Entry'!X$5)/('Council Entry'!X$6-'Council Entry'!X$5)),1))),"No data"))</f>
        <v/>
      </c>
      <c r="Y191" s="13">
        <f>IF('Council Entry'!Y191="","",IFERROR(MAX(0,MIN(10,ROUND(IF('Council Entry'!Y$7="Decrease Risk",10-10*((IF('Council Entry'!Y$4="Logarithm",LN(0.001+IF(AND(ISNUMBER('Council Entry'!Y$8),ISNUMBER('Council Entry'!Y$9)),MAX(MIN('Council Entry'!Y191,'Council Entry'!Y$9),'Council Entry'!Y$8),'Council Entry'!Y191)),IF('Council Entry'!Y$4="Exponential",EXP(IF(AND(ISNUMBER('Council Entry'!Y$8),ISNUMBER('Council Entry'!Y$9)),MAX(MIN('Council Entry'!Y191,'Council Entry'!Y$9),'Council Entry'!Y$8),'Council Entry'!Y191)),IF(AND(ISNUMBER('Council Entry'!Y$8),ISNUMBER('Council Entry'!Y$9)),MAX(MIN('Council Entry'!Y191,'Council Entry'!Y$9),'Council Entry'!Y$8),'Council Entry'!Y191))))-'Council Entry'!Y$5)/('Council Entry'!Y$6-'Council Entry'!Y$5),10*((IF('Council Entry'!Y$4="Logarithm",LN(0.001+IF(AND(ISNUMBER('Council Entry'!Y$8),ISNUMBER('Council Entry'!Y$9)),MAX(MIN('Council Entry'!Y191,'Council Entry'!Y$9),'Council Entry'!Y$8),'Council Entry'!Y191)),IF('Council Entry'!Y$4="Exponential",EXP(IF(AND(ISNUMBER('Council Entry'!Y$8),ISNUMBER('Council Entry'!Y$9)),MAX(MIN('Council Entry'!Y191,'Council Entry'!Y$9),'Council Entry'!Y$8),'Council Entry'!Y191)),IF(AND(ISNUMBER('Council Entry'!Y$8),ISNUMBER('Council Entry'!Y$9)),MAX(MIN('Council Entry'!Y191,'Council Entry'!Y$9),'Council Entry'!Y$8),'Council Entry'!Y191))))-'Council Entry'!Y$5)/('Council Entry'!Y$6-'Council Entry'!Y$5)),1))),"No data"))</f>
        <v/>
      </c>
      <c r="Z191" s="13">
        <f>IF('Council Entry'!Z191="","",IFERROR(MAX(0,MIN(10,ROUND(IF('Council Entry'!Z$7="Decrease Risk",10-10*((IF('Council Entry'!Z$4="Logarithm",LN(0.001+IF(AND(ISNUMBER('Council Entry'!Z$8),ISNUMBER('Council Entry'!Z$9)),MAX(MIN('Council Entry'!Z191,'Council Entry'!Z$9),'Council Entry'!Z$8),'Council Entry'!Z191)),IF('Council Entry'!Z$4="Exponential",EXP(IF(AND(ISNUMBER('Council Entry'!Z$8),ISNUMBER('Council Entry'!Z$9)),MAX(MIN('Council Entry'!Z191,'Council Entry'!Z$9),'Council Entry'!Z$8),'Council Entry'!Z191)),IF(AND(ISNUMBER('Council Entry'!Z$8),ISNUMBER('Council Entry'!Z$9)),MAX(MIN('Council Entry'!Z191,'Council Entry'!Z$9),'Council Entry'!Z$8),'Council Entry'!Z191))))-'Council Entry'!Z$5)/('Council Entry'!Z$6-'Council Entry'!Z$5),10*((IF('Council Entry'!Z$4="Logarithm",LN(0.001+IF(AND(ISNUMBER('Council Entry'!Z$8),ISNUMBER('Council Entry'!Z$9)),MAX(MIN('Council Entry'!Z191,'Council Entry'!Z$9),'Council Entry'!Z$8),'Council Entry'!Z191)),IF('Council Entry'!Z$4="Exponential",EXP(IF(AND(ISNUMBER('Council Entry'!Z$8),ISNUMBER('Council Entry'!Z$9)),MAX(MIN('Council Entry'!Z191,'Council Entry'!Z$9),'Council Entry'!Z$8),'Council Entry'!Z191)),IF(AND(ISNUMBER('Council Entry'!Z$8),ISNUMBER('Council Entry'!Z$9)),MAX(MIN('Council Entry'!Z191,'Council Entry'!Z$9),'Council Entry'!Z$8),'Council Entry'!Z191))))-'Council Entry'!Z$5)/('Council Entry'!Z$6-'Council Entry'!Z$5)),1))),"No data"))</f>
        <v/>
      </c>
      <c r="AA191" s="13">
        <f>IF('Council Entry'!AA191="","",IFERROR(MAX(0,MIN(10,ROUND(IF('Council Entry'!AA$7="Decrease Risk",10-10*((IF('Council Entry'!AA$4="Logarithm",LN(0.001+IF(AND(ISNUMBER('Council Entry'!AA$8),ISNUMBER('Council Entry'!AA$9)),MAX(MIN('Council Entry'!AA191,'Council Entry'!AA$9),'Council Entry'!AA$8),'Council Entry'!AA191)),IF('Council Entry'!AA$4="Exponential",EXP(IF(AND(ISNUMBER('Council Entry'!AA$8),ISNUMBER('Council Entry'!AA$9)),MAX(MIN('Council Entry'!AA191,'Council Entry'!AA$9),'Council Entry'!AA$8),'Council Entry'!AA191)),IF(AND(ISNUMBER('Council Entry'!AA$8),ISNUMBER('Council Entry'!AA$9)),MAX(MIN('Council Entry'!AA191,'Council Entry'!AA$9),'Council Entry'!AA$8),'Council Entry'!AA191))))-'Council Entry'!AA$5)/('Council Entry'!AA$6-'Council Entry'!AA$5),10*((IF('Council Entry'!AA$4="Logarithm",LN(0.001+IF(AND(ISNUMBER('Council Entry'!AA$8),ISNUMBER('Council Entry'!AA$9)),MAX(MIN('Council Entry'!AA191,'Council Entry'!AA$9),'Council Entry'!AA$8),'Council Entry'!AA191)),IF('Council Entry'!AA$4="Exponential",EXP(IF(AND(ISNUMBER('Council Entry'!AA$8),ISNUMBER('Council Entry'!AA$9)),MAX(MIN('Council Entry'!AA191,'Council Entry'!AA$9),'Council Entry'!AA$8),'Council Entry'!AA191)),IF(AND(ISNUMBER('Council Entry'!AA$8),ISNUMBER('Council Entry'!AA$9)),MAX(MIN('Council Entry'!AA191,'Council Entry'!AA$9),'Council Entry'!AA$8),'Council Entry'!AA191))))-'Council Entry'!AA$5)/('Council Entry'!AA$6-'Council Entry'!AA$5)),1))),"No data"))</f>
        <v/>
      </c>
      <c r="AB191" s="13">
        <f>IF('Council Entry'!AB191="","",IFERROR(MAX(0,MIN(10,ROUND(IF('Council Entry'!AB$7="Decrease Risk",10-10*((IF('Council Entry'!AB$4="Logarithm",LN(0.001+IF(AND(ISNUMBER('Council Entry'!AB$8),ISNUMBER('Council Entry'!AB$9)),MAX(MIN('Council Entry'!AB191,'Council Entry'!AB$9),'Council Entry'!AB$8),'Council Entry'!AB191)),IF('Council Entry'!AB$4="Exponential",EXP(IF(AND(ISNUMBER('Council Entry'!AB$8),ISNUMBER('Council Entry'!AB$9)),MAX(MIN('Council Entry'!AB191,'Council Entry'!AB$9),'Council Entry'!AB$8),'Council Entry'!AB191)),IF(AND(ISNUMBER('Council Entry'!AB$8),ISNUMBER('Council Entry'!AB$9)),MAX(MIN('Council Entry'!AB191,'Council Entry'!AB$9),'Council Entry'!AB$8),'Council Entry'!AB191))))-'Council Entry'!AB$5)/('Council Entry'!AB$6-'Council Entry'!AB$5),10*((IF('Council Entry'!AB$4="Logarithm",LN(0.001+IF(AND(ISNUMBER('Council Entry'!AB$8),ISNUMBER('Council Entry'!AB$9)),MAX(MIN('Council Entry'!AB191,'Council Entry'!AB$9),'Council Entry'!AB$8),'Council Entry'!AB191)),IF('Council Entry'!AB$4="Exponential",EXP(IF(AND(ISNUMBER('Council Entry'!AB$8),ISNUMBER('Council Entry'!AB$9)),MAX(MIN('Council Entry'!AB191,'Council Entry'!AB$9),'Council Entry'!AB$8),'Council Entry'!AB191)),IF(AND(ISNUMBER('Council Entry'!AB$8),ISNUMBER('Council Entry'!AB$9)),MAX(MIN('Council Entry'!AB191,'Council Entry'!AB$9),'Council Entry'!AB$8),'Council Entry'!AB191))))-'Council Entry'!AB$5)/('Council Entry'!AB$6-'Council Entry'!AB$5)),1))),"No data"))</f>
        <v/>
      </c>
      <c r="AC191" s="13">
        <f>IF('Council Entry'!AC191="","",IFERROR(MAX(0,MIN(10,ROUND(IF('Council Entry'!AC$7="Decrease Risk",10-10*((IF('Council Entry'!AC$4="Logarithm",LN(0.001+IF(AND(ISNUMBER('Council Entry'!AC$8),ISNUMBER('Council Entry'!AC$9)),MAX(MIN('Council Entry'!AC191,'Council Entry'!AC$9),'Council Entry'!AC$8),'Council Entry'!AC191)),IF('Council Entry'!AC$4="Exponential",EXP(IF(AND(ISNUMBER('Council Entry'!AC$8),ISNUMBER('Council Entry'!AC$9)),MAX(MIN('Council Entry'!AC191,'Council Entry'!AC$9),'Council Entry'!AC$8),'Council Entry'!AC191)),IF(AND(ISNUMBER('Council Entry'!AC$8),ISNUMBER('Council Entry'!AC$9)),MAX(MIN('Council Entry'!AC191,'Council Entry'!AC$9),'Council Entry'!AC$8),'Council Entry'!AC191))))-'Council Entry'!AC$5)/('Council Entry'!AC$6-'Council Entry'!AC$5),10*((IF('Council Entry'!AC$4="Logarithm",LN(0.001+IF(AND(ISNUMBER('Council Entry'!AC$8),ISNUMBER('Council Entry'!AC$9)),MAX(MIN('Council Entry'!AC191,'Council Entry'!AC$9),'Council Entry'!AC$8),'Council Entry'!AC191)),IF('Council Entry'!AC$4="Exponential",EXP(IF(AND(ISNUMBER('Council Entry'!AC$8),ISNUMBER('Council Entry'!AC$9)),MAX(MIN('Council Entry'!AC191,'Council Entry'!AC$9),'Council Entry'!AC$8),'Council Entry'!AC191)),IF(AND(ISNUMBER('Council Entry'!AC$8),ISNUMBER('Council Entry'!AC$9)),MAX(MIN('Council Entry'!AC191,'Council Entry'!AC$9),'Council Entry'!AC$8),'Council Entry'!AC191))))-'Council Entry'!AC$5)/('Council Entry'!AC$6-'Council Entry'!AC$5)),1))),"No data"))</f>
        <v/>
      </c>
      <c r="AD191" s="13">
        <f>IF('Council Entry'!AD191="","",IFERROR(MAX(0,MIN(10,ROUND(IF('Council Entry'!AD$7="Decrease Risk",10-10*((IF('Council Entry'!AD$4="Logarithm",LN(0.001+IF(AND(ISNUMBER('Council Entry'!AD$8),ISNUMBER('Council Entry'!AD$9)),MAX(MIN('Council Entry'!AD191,'Council Entry'!AD$9),'Council Entry'!AD$8),'Council Entry'!AD191)),IF('Council Entry'!AD$4="Exponential",EXP(IF(AND(ISNUMBER('Council Entry'!AD$8),ISNUMBER('Council Entry'!AD$9)),MAX(MIN('Council Entry'!AD191,'Council Entry'!AD$9),'Council Entry'!AD$8),'Council Entry'!AD191)),IF(AND(ISNUMBER('Council Entry'!AD$8),ISNUMBER('Council Entry'!AD$9)),MAX(MIN('Council Entry'!AD191,'Council Entry'!AD$9),'Council Entry'!AD$8),'Council Entry'!AD191))))-'Council Entry'!AD$5)/('Council Entry'!AD$6-'Council Entry'!AD$5),10*((IF('Council Entry'!AD$4="Logarithm",LN(0.001+IF(AND(ISNUMBER('Council Entry'!AD$8),ISNUMBER('Council Entry'!AD$9)),MAX(MIN('Council Entry'!AD191,'Council Entry'!AD$9),'Council Entry'!AD$8),'Council Entry'!AD191)),IF('Council Entry'!AD$4="Exponential",EXP(IF(AND(ISNUMBER('Council Entry'!AD$8),ISNUMBER('Council Entry'!AD$9)),MAX(MIN('Council Entry'!AD191,'Council Entry'!AD$9),'Council Entry'!AD$8),'Council Entry'!AD191)),IF(AND(ISNUMBER('Council Entry'!AD$8),ISNUMBER('Council Entry'!AD$9)),MAX(MIN('Council Entry'!AD191,'Council Entry'!AD$9),'Council Entry'!AD$8),'Council Entry'!AD191))))-'Council Entry'!AD$5)/('Council Entry'!AD$6-'Council Entry'!AD$5)),1))),"No data"))</f>
        <v/>
      </c>
      <c r="AE191" s="13">
        <f>IF('Council Entry'!AE191="","",IFERROR(MAX(0,MIN(10,ROUND(IF('Council Entry'!AE$7="Decrease Risk",10-10*((IF('Council Entry'!AE$4="Logarithm",LN(0.001+IF(AND(ISNUMBER('Council Entry'!AE$8),ISNUMBER('Council Entry'!AE$9)),MAX(MIN('Council Entry'!AE191,'Council Entry'!AE$9),'Council Entry'!AE$8),'Council Entry'!AE191)),IF('Council Entry'!AE$4="Exponential",EXP(IF(AND(ISNUMBER('Council Entry'!AE$8),ISNUMBER('Council Entry'!AE$9)),MAX(MIN('Council Entry'!AE191,'Council Entry'!AE$9),'Council Entry'!AE$8),'Council Entry'!AE191)),IF(AND(ISNUMBER('Council Entry'!AE$8),ISNUMBER('Council Entry'!AE$9)),MAX(MIN('Council Entry'!AE191,'Council Entry'!AE$9),'Council Entry'!AE$8),'Council Entry'!AE191))))-'Council Entry'!AE$5)/('Council Entry'!AE$6-'Council Entry'!AE$5),10*((IF('Council Entry'!AE$4="Logarithm",LN(0.001+IF(AND(ISNUMBER('Council Entry'!AE$8),ISNUMBER('Council Entry'!AE$9)),MAX(MIN('Council Entry'!AE191,'Council Entry'!AE$9),'Council Entry'!AE$8),'Council Entry'!AE191)),IF('Council Entry'!AE$4="Exponential",EXP(IF(AND(ISNUMBER('Council Entry'!AE$8),ISNUMBER('Council Entry'!AE$9)),MAX(MIN('Council Entry'!AE191,'Council Entry'!AE$9),'Council Entry'!AE$8),'Council Entry'!AE191)),IF(AND(ISNUMBER('Council Entry'!AE$8),ISNUMBER('Council Entry'!AE$9)),MAX(MIN('Council Entry'!AE191,'Council Entry'!AE$9),'Council Entry'!AE$8),'Council Entry'!AE191))))-'Council Entry'!AE$5)/('Council Entry'!AE$6-'Council Entry'!AE$5)),1))),"No data"))</f>
        <v/>
      </c>
      <c r="AF191" s="13">
        <f>IF('Council Entry'!AF191="","",IFERROR(MAX(0,MIN(10,ROUND(IF('Council Entry'!AF$7="Decrease Risk",10-10*((IF('Council Entry'!AF$4="Logarithm",LN(0.001+IF(AND(ISNUMBER('Council Entry'!AF$8),ISNUMBER('Council Entry'!AF$9)),MAX(MIN('Council Entry'!AF191,'Council Entry'!AF$9),'Council Entry'!AF$8),'Council Entry'!AF191)),IF('Council Entry'!AF$4="Exponential",EXP(IF(AND(ISNUMBER('Council Entry'!AF$8),ISNUMBER('Council Entry'!AF$9)),MAX(MIN('Council Entry'!AF191,'Council Entry'!AF$9),'Council Entry'!AF$8),'Council Entry'!AF191)),IF(AND(ISNUMBER('Council Entry'!AF$8),ISNUMBER('Council Entry'!AF$9)),MAX(MIN('Council Entry'!AF191,'Council Entry'!AF$9),'Council Entry'!AF$8),'Council Entry'!AF191))))-'Council Entry'!AF$5)/('Council Entry'!AF$6-'Council Entry'!AF$5),10*((IF('Council Entry'!AF$4="Logarithm",LN(0.001+IF(AND(ISNUMBER('Council Entry'!AF$8),ISNUMBER('Council Entry'!AF$9)),MAX(MIN('Council Entry'!AF191,'Council Entry'!AF$9),'Council Entry'!AF$8),'Council Entry'!AF191)),IF('Council Entry'!AF$4="Exponential",EXP(IF(AND(ISNUMBER('Council Entry'!AF$8),ISNUMBER('Council Entry'!AF$9)),MAX(MIN('Council Entry'!AF191,'Council Entry'!AF$9),'Council Entry'!AF$8),'Council Entry'!AF191)),IF(AND(ISNUMBER('Council Entry'!AF$8),ISNUMBER('Council Entry'!AF$9)),MAX(MIN('Council Entry'!AF191,'Council Entry'!AF$9),'Council Entry'!AF$8),'Council Entry'!AF191))))-'Council Entry'!AF$5)/('Council Entry'!AF$6-'Council Entry'!AF$5)),1))),"No data"))</f>
        <v/>
      </c>
      <c r="AG191" s="13">
        <f>IF('Council Entry'!AG191="","",IFERROR(MAX(0,MIN(10,ROUND(IF('Council Entry'!AG$7="Decrease Risk",10-10*((IF('Council Entry'!AG$4="Logarithm",LN(0.001+IF(AND(ISNUMBER('Council Entry'!AG$8),ISNUMBER('Council Entry'!AG$9)),MAX(MIN('Council Entry'!AG191,'Council Entry'!AG$9),'Council Entry'!AG$8),'Council Entry'!AG191)),IF('Council Entry'!AG$4="Exponential",EXP(IF(AND(ISNUMBER('Council Entry'!AG$8),ISNUMBER('Council Entry'!AG$9)),MAX(MIN('Council Entry'!AG191,'Council Entry'!AG$9),'Council Entry'!AG$8),'Council Entry'!AG191)),IF(AND(ISNUMBER('Council Entry'!AG$8),ISNUMBER('Council Entry'!AG$9)),MAX(MIN('Council Entry'!AG191,'Council Entry'!AG$9),'Council Entry'!AG$8),'Council Entry'!AG191))))-'Council Entry'!AG$5)/('Council Entry'!AG$6-'Council Entry'!AG$5),10*((IF('Council Entry'!AG$4="Logarithm",LN(0.001+IF(AND(ISNUMBER('Council Entry'!AG$8),ISNUMBER('Council Entry'!AG$9)),MAX(MIN('Council Entry'!AG191,'Council Entry'!AG$9),'Council Entry'!AG$8),'Council Entry'!AG191)),IF('Council Entry'!AG$4="Exponential",EXP(IF(AND(ISNUMBER('Council Entry'!AG$8),ISNUMBER('Council Entry'!AG$9)),MAX(MIN('Council Entry'!AG191,'Council Entry'!AG$9),'Council Entry'!AG$8),'Council Entry'!AG191)),IF(AND(ISNUMBER('Council Entry'!AG$8),ISNUMBER('Council Entry'!AG$9)),MAX(MIN('Council Entry'!AG191,'Council Entry'!AG$9),'Council Entry'!AG$8),'Council Entry'!AG191))))-'Council Entry'!AG$5)/('Council Entry'!AG$6-'Council Entry'!AG$5)),1))),"No data"))</f>
        <v/>
      </c>
      <c r="AH191" s="13">
        <f>IF('Council Entry'!AH191="","",IFERROR(MAX(0,MIN(10,ROUND(IF('Council Entry'!AH$7="Decrease Risk",10-10*((IF('Council Entry'!AH$4="Logarithm",LN(0.001+IF(AND(ISNUMBER('Council Entry'!AH$8),ISNUMBER('Council Entry'!AH$9)),MAX(MIN('Council Entry'!AH191,'Council Entry'!AH$9),'Council Entry'!AH$8),'Council Entry'!AH191)),IF('Council Entry'!AH$4="Exponential",EXP(IF(AND(ISNUMBER('Council Entry'!AH$8),ISNUMBER('Council Entry'!AH$9)),MAX(MIN('Council Entry'!AH191,'Council Entry'!AH$9),'Council Entry'!AH$8),'Council Entry'!AH191)),IF(AND(ISNUMBER('Council Entry'!AH$8),ISNUMBER('Council Entry'!AH$9)),MAX(MIN('Council Entry'!AH191,'Council Entry'!AH$9),'Council Entry'!AH$8),'Council Entry'!AH191))))-'Council Entry'!AH$5)/('Council Entry'!AH$6-'Council Entry'!AH$5),10*((IF('Council Entry'!AH$4="Logarithm",LN(0.001+IF(AND(ISNUMBER('Council Entry'!AH$8),ISNUMBER('Council Entry'!AH$9)),MAX(MIN('Council Entry'!AH191,'Council Entry'!AH$9),'Council Entry'!AH$8),'Council Entry'!AH191)),IF('Council Entry'!AH$4="Exponential",EXP(IF(AND(ISNUMBER('Council Entry'!AH$8),ISNUMBER('Council Entry'!AH$9)),MAX(MIN('Council Entry'!AH191,'Council Entry'!AH$9),'Council Entry'!AH$8),'Council Entry'!AH191)),IF(AND(ISNUMBER('Council Entry'!AH$8),ISNUMBER('Council Entry'!AH$9)),MAX(MIN('Council Entry'!AH191,'Council Entry'!AH$9),'Council Entry'!AH$8),'Council Entry'!AH191))))-'Council Entry'!AH$5)/('Council Entry'!AH$6-'Council Entry'!AH$5)),1))),"No data"))</f>
        <v/>
      </c>
      <c r="AI191" s="13">
        <f>IF('Council Entry'!AI191="","",IFERROR(MAX(0,MIN(10,ROUND(IF('Council Entry'!AI$7="Decrease Risk",10-10*((IF('Council Entry'!AI$4="Logarithm",LN(0.001+IF(AND(ISNUMBER('Council Entry'!AI$8),ISNUMBER('Council Entry'!AI$9)),MAX(MIN('Council Entry'!AI191,'Council Entry'!AI$9),'Council Entry'!AI$8),'Council Entry'!AI191)),IF('Council Entry'!AI$4="Exponential",EXP(IF(AND(ISNUMBER('Council Entry'!AI$8),ISNUMBER('Council Entry'!AI$9)),MAX(MIN('Council Entry'!AI191,'Council Entry'!AI$9),'Council Entry'!AI$8),'Council Entry'!AI191)),IF(AND(ISNUMBER('Council Entry'!AI$8),ISNUMBER('Council Entry'!AI$9)),MAX(MIN('Council Entry'!AI191,'Council Entry'!AI$9),'Council Entry'!AI$8),'Council Entry'!AI191))))-'Council Entry'!AI$5)/('Council Entry'!AI$6-'Council Entry'!AI$5),10*((IF('Council Entry'!AI$4="Logarithm",LN(0.001+IF(AND(ISNUMBER('Council Entry'!AI$8),ISNUMBER('Council Entry'!AI$9)),MAX(MIN('Council Entry'!AI191,'Council Entry'!AI$9),'Council Entry'!AI$8),'Council Entry'!AI191)),IF('Council Entry'!AI$4="Exponential",EXP(IF(AND(ISNUMBER('Council Entry'!AI$8),ISNUMBER('Council Entry'!AI$9)),MAX(MIN('Council Entry'!AI191,'Council Entry'!AI$9),'Council Entry'!AI$8),'Council Entry'!AI191)),IF(AND(ISNUMBER('Council Entry'!AI$8),ISNUMBER('Council Entry'!AI$9)),MAX(MIN('Council Entry'!AI191,'Council Entry'!AI$9),'Council Entry'!AI$8),'Council Entry'!AI191))))-'Council Entry'!AI$5)/('Council Entry'!AI$6-'Council Entry'!AI$5)),1))),"No data"))</f>
        <v/>
      </c>
      <c r="AJ191" s="13">
        <f>IF('Council Entry'!AJ191="","",IFERROR(MAX(0,MIN(10,ROUND(IF('Council Entry'!AJ$7="Decrease Risk",10-10*((IF('Council Entry'!AJ$4="Logarithm",LN(0.001+IF(AND(ISNUMBER('Council Entry'!AJ$8),ISNUMBER('Council Entry'!AJ$9)),MAX(MIN('Council Entry'!AJ191,'Council Entry'!AJ$9),'Council Entry'!AJ$8),'Council Entry'!AJ191)),IF('Council Entry'!AJ$4="Exponential",EXP(IF(AND(ISNUMBER('Council Entry'!AJ$8),ISNUMBER('Council Entry'!AJ$9)),MAX(MIN('Council Entry'!AJ191,'Council Entry'!AJ$9),'Council Entry'!AJ$8),'Council Entry'!AJ191)),IF(AND(ISNUMBER('Council Entry'!AJ$8),ISNUMBER('Council Entry'!AJ$9)),MAX(MIN('Council Entry'!AJ191,'Council Entry'!AJ$9),'Council Entry'!AJ$8),'Council Entry'!AJ191))))-'Council Entry'!AJ$5)/('Council Entry'!AJ$6-'Council Entry'!AJ$5),10*((IF('Council Entry'!AJ$4="Logarithm",LN(0.001+IF(AND(ISNUMBER('Council Entry'!AJ$8),ISNUMBER('Council Entry'!AJ$9)),MAX(MIN('Council Entry'!AJ191,'Council Entry'!AJ$9),'Council Entry'!AJ$8),'Council Entry'!AJ191)),IF('Council Entry'!AJ$4="Exponential",EXP(IF(AND(ISNUMBER('Council Entry'!AJ$8),ISNUMBER('Council Entry'!AJ$9)),MAX(MIN('Council Entry'!AJ191,'Council Entry'!AJ$9),'Council Entry'!AJ$8),'Council Entry'!AJ191)),IF(AND(ISNUMBER('Council Entry'!AJ$8),ISNUMBER('Council Entry'!AJ$9)),MAX(MIN('Council Entry'!AJ191,'Council Entry'!AJ$9),'Council Entry'!AJ$8),'Council Entry'!AJ191))))-'Council Entry'!AJ$5)/('Council Entry'!AJ$6-'Council Entry'!AJ$5)),1))),"No data"))</f>
        <v/>
      </c>
      <c r="AK191" s="13">
        <f>IF('Council Entry'!AK191="","",IFERROR(MAX(0,MIN(10,ROUND(IF('Council Entry'!AK$7="Decrease Risk",10-10*((IF('Council Entry'!AK$4="Logarithm",LN(0.001+IF(AND(ISNUMBER('Council Entry'!AK$8),ISNUMBER('Council Entry'!AK$9)),MAX(MIN('Council Entry'!AK191,'Council Entry'!AK$9),'Council Entry'!AK$8),'Council Entry'!AK191)),IF('Council Entry'!AK$4="Exponential",EXP(IF(AND(ISNUMBER('Council Entry'!AK$8),ISNUMBER('Council Entry'!AK$9)),MAX(MIN('Council Entry'!AK191,'Council Entry'!AK$9),'Council Entry'!AK$8),'Council Entry'!AK191)),IF(AND(ISNUMBER('Council Entry'!AK$8),ISNUMBER('Council Entry'!AK$9)),MAX(MIN('Council Entry'!AK191,'Council Entry'!AK$9),'Council Entry'!AK$8),'Council Entry'!AK191))))-'Council Entry'!AK$5)/('Council Entry'!AK$6-'Council Entry'!AK$5),10*((IF('Council Entry'!AK$4="Logarithm",LN(0.001+IF(AND(ISNUMBER('Council Entry'!AK$8),ISNUMBER('Council Entry'!AK$9)),MAX(MIN('Council Entry'!AK191,'Council Entry'!AK$9),'Council Entry'!AK$8),'Council Entry'!AK191)),IF('Council Entry'!AK$4="Exponential",EXP(IF(AND(ISNUMBER('Council Entry'!AK$8),ISNUMBER('Council Entry'!AK$9)),MAX(MIN('Council Entry'!AK191,'Council Entry'!AK$9),'Council Entry'!AK$8),'Council Entry'!AK191)),IF(AND(ISNUMBER('Council Entry'!AK$8),ISNUMBER('Council Entry'!AK$9)),MAX(MIN('Council Entry'!AK191,'Council Entry'!AK$9),'Council Entry'!AK$8),'Council Entry'!AK191))))-'Council Entry'!AK$5)/('Council Entry'!AK$6-'Council Entry'!AK$5)),1))),"No data"))</f>
        <v/>
      </c>
      <c r="AL191" s="13">
        <f>IF('Council Entry'!AL191="","",IFERROR(MAX(0,MIN(10,ROUND(IF('Council Entry'!AL$7="Decrease Risk",10-10*((IF('Council Entry'!AL$4="Logarithm",LN(0.001+IF(AND(ISNUMBER('Council Entry'!AL$8),ISNUMBER('Council Entry'!AL$9)),MAX(MIN('Council Entry'!AL191,'Council Entry'!AL$9),'Council Entry'!AL$8),'Council Entry'!AL191)),IF('Council Entry'!AL$4="Exponential",EXP(IF(AND(ISNUMBER('Council Entry'!AL$8),ISNUMBER('Council Entry'!AL$9)),MAX(MIN('Council Entry'!AL191,'Council Entry'!AL$9),'Council Entry'!AL$8),'Council Entry'!AL191)),IF(AND(ISNUMBER('Council Entry'!AL$8),ISNUMBER('Council Entry'!AL$9)),MAX(MIN('Council Entry'!AL191,'Council Entry'!AL$9),'Council Entry'!AL$8),'Council Entry'!AL191))))-'Council Entry'!AL$5)/('Council Entry'!AL$6-'Council Entry'!AL$5),10*((IF('Council Entry'!AL$4="Logarithm",LN(0.001+IF(AND(ISNUMBER('Council Entry'!AL$8),ISNUMBER('Council Entry'!AL$9)),MAX(MIN('Council Entry'!AL191,'Council Entry'!AL$9),'Council Entry'!AL$8),'Council Entry'!AL191)),IF('Council Entry'!AL$4="Exponential",EXP(IF(AND(ISNUMBER('Council Entry'!AL$8),ISNUMBER('Council Entry'!AL$9)),MAX(MIN('Council Entry'!AL191,'Council Entry'!AL$9),'Council Entry'!AL$8),'Council Entry'!AL191)),IF(AND(ISNUMBER('Council Entry'!AL$8),ISNUMBER('Council Entry'!AL$9)),MAX(MIN('Council Entry'!AL191,'Council Entry'!AL$9),'Council Entry'!AL$8),'Council Entry'!AL191))))-'Council Entry'!AL$5)/('Council Entry'!AL$6-'Council Entry'!AL$5)),1))),"No data"))</f>
        <v/>
      </c>
      <c r="AM191" s="13">
        <f>IF('Council Entry'!AM191="","",IFERROR(MAX(0,MIN(10,ROUND(IF('Council Entry'!AM$7="Decrease Risk",10-10*((IF('Council Entry'!AM$4="Logarithm",LN(0.001+IF(AND(ISNUMBER('Council Entry'!AM$8),ISNUMBER('Council Entry'!AM$9)),MAX(MIN('Council Entry'!AM191,'Council Entry'!AM$9),'Council Entry'!AM$8),'Council Entry'!AM191)),IF('Council Entry'!AM$4="Exponential",EXP(IF(AND(ISNUMBER('Council Entry'!AM$8),ISNUMBER('Council Entry'!AM$9)),MAX(MIN('Council Entry'!AM191,'Council Entry'!AM$9),'Council Entry'!AM$8),'Council Entry'!AM191)),IF(AND(ISNUMBER('Council Entry'!AM$8),ISNUMBER('Council Entry'!AM$9)),MAX(MIN('Council Entry'!AM191,'Council Entry'!AM$9),'Council Entry'!AM$8),'Council Entry'!AM191))))-'Council Entry'!AM$5)/('Council Entry'!AM$6-'Council Entry'!AM$5),10*((IF('Council Entry'!AM$4="Logarithm",LN(0.001+IF(AND(ISNUMBER('Council Entry'!AM$8),ISNUMBER('Council Entry'!AM$9)),MAX(MIN('Council Entry'!AM191,'Council Entry'!AM$9),'Council Entry'!AM$8),'Council Entry'!AM191)),IF('Council Entry'!AM$4="Exponential",EXP(IF(AND(ISNUMBER('Council Entry'!AM$8),ISNUMBER('Council Entry'!AM$9)),MAX(MIN('Council Entry'!AM191,'Council Entry'!AM$9),'Council Entry'!AM$8),'Council Entry'!AM191)),IF(AND(ISNUMBER('Council Entry'!AM$8),ISNUMBER('Council Entry'!AM$9)),MAX(MIN('Council Entry'!AM191,'Council Entry'!AM$9),'Council Entry'!AM$8),'Council Entry'!AM191))))-'Council Entry'!AM$5)/('Council Entry'!AM$6-'Council Entry'!AM$5)),1))),"No data"))</f>
        <v/>
      </c>
      <c r="AN191" s="13">
        <f>IF('Council Entry'!AN191="","",IFERROR(MAX(0,MIN(10,ROUND(IF('Council Entry'!AN$7="Decrease Risk",10-10*((IF('Council Entry'!AN$4="Logarithm",LN(0.001+IF(AND(ISNUMBER('Council Entry'!AN$8),ISNUMBER('Council Entry'!AN$9)),MAX(MIN('Council Entry'!AN191,'Council Entry'!AN$9),'Council Entry'!AN$8),'Council Entry'!AN191)),IF('Council Entry'!AN$4="Exponential",EXP(IF(AND(ISNUMBER('Council Entry'!AN$8),ISNUMBER('Council Entry'!AN$9)),MAX(MIN('Council Entry'!AN191,'Council Entry'!AN$9),'Council Entry'!AN$8),'Council Entry'!AN191)),IF(AND(ISNUMBER('Council Entry'!AN$8),ISNUMBER('Council Entry'!AN$9)),MAX(MIN('Council Entry'!AN191,'Council Entry'!AN$9),'Council Entry'!AN$8),'Council Entry'!AN191))))-'Council Entry'!AN$5)/('Council Entry'!AN$6-'Council Entry'!AN$5),10*((IF('Council Entry'!AN$4="Logarithm",LN(0.001+IF(AND(ISNUMBER('Council Entry'!AN$8),ISNUMBER('Council Entry'!AN$9)),MAX(MIN('Council Entry'!AN191,'Council Entry'!AN$9),'Council Entry'!AN$8),'Council Entry'!AN191)),IF('Council Entry'!AN$4="Exponential",EXP(IF(AND(ISNUMBER('Council Entry'!AN$8),ISNUMBER('Council Entry'!AN$9)),MAX(MIN('Council Entry'!AN191,'Council Entry'!AN$9),'Council Entry'!AN$8),'Council Entry'!AN191)),IF(AND(ISNUMBER('Council Entry'!AN$8),ISNUMBER('Council Entry'!AN$9)),MAX(MIN('Council Entry'!AN191,'Council Entry'!AN$9),'Council Entry'!AN$8),'Council Entry'!AN191))))-'Council Entry'!AN$5)/('Council Entry'!AN$6-'Council Entry'!AN$5)),1))),"No data"))</f>
        <v/>
      </c>
      <c r="AO191" s="13">
        <f>IF('Council Entry'!AO191="","",IFERROR(MAX(0,MIN(10,ROUND(IF('Council Entry'!AO$7="Decrease Risk",10-10*((IF('Council Entry'!AO$4="Logarithm",LN(0.001+IF(AND(ISNUMBER('Council Entry'!AO$8),ISNUMBER('Council Entry'!AO$9)),MAX(MIN('Council Entry'!AO191,'Council Entry'!AO$9),'Council Entry'!AO$8),'Council Entry'!AO191)),IF('Council Entry'!AO$4="Exponential",EXP(IF(AND(ISNUMBER('Council Entry'!AO$8),ISNUMBER('Council Entry'!AO$9)),MAX(MIN('Council Entry'!AO191,'Council Entry'!AO$9),'Council Entry'!AO$8),'Council Entry'!AO191)),IF(AND(ISNUMBER('Council Entry'!AO$8),ISNUMBER('Council Entry'!AO$9)),MAX(MIN('Council Entry'!AO191,'Council Entry'!AO$9),'Council Entry'!AO$8),'Council Entry'!AO191))))-'Council Entry'!AO$5)/('Council Entry'!AO$6-'Council Entry'!AO$5),10*((IF('Council Entry'!AO$4="Logarithm",LN(0.001+IF(AND(ISNUMBER('Council Entry'!AO$8),ISNUMBER('Council Entry'!AO$9)),MAX(MIN('Council Entry'!AO191,'Council Entry'!AO$9),'Council Entry'!AO$8),'Council Entry'!AO191)),IF('Council Entry'!AO$4="Exponential",EXP(IF(AND(ISNUMBER('Council Entry'!AO$8),ISNUMBER('Council Entry'!AO$9)),MAX(MIN('Council Entry'!AO191,'Council Entry'!AO$9),'Council Entry'!AO$8),'Council Entry'!AO191)),IF(AND(ISNUMBER('Council Entry'!AO$8),ISNUMBER('Council Entry'!AO$9)),MAX(MIN('Council Entry'!AO191,'Council Entry'!AO$9),'Council Entry'!AO$8),'Council Entry'!AO191))))-'Council Entry'!AO$5)/('Council Entry'!AO$6-'Council Entry'!AO$5)),1))),"No data"))</f>
        <v/>
      </c>
      <c r="AP191" s="13">
        <f>IF('Council Entry'!AP191="","",IFERROR(MAX(0,MIN(10,ROUND(IF('Council Entry'!AP$7="Decrease Risk",10-10*((IF('Council Entry'!AP$4="Logarithm",LN(0.001+IF(AND(ISNUMBER('Council Entry'!AP$8),ISNUMBER('Council Entry'!AP$9)),MAX(MIN('Council Entry'!AP191,'Council Entry'!AP$9),'Council Entry'!AP$8),'Council Entry'!AP191)),IF('Council Entry'!AP$4="Exponential",EXP(IF(AND(ISNUMBER('Council Entry'!AP$8),ISNUMBER('Council Entry'!AP$9)),MAX(MIN('Council Entry'!AP191,'Council Entry'!AP$9),'Council Entry'!AP$8),'Council Entry'!AP191)),IF(AND(ISNUMBER('Council Entry'!AP$8),ISNUMBER('Council Entry'!AP$9)),MAX(MIN('Council Entry'!AP191,'Council Entry'!AP$9),'Council Entry'!AP$8),'Council Entry'!AP191))))-'Council Entry'!AP$5)/('Council Entry'!AP$6-'Council Entry'!AP$5),10*((IF('Council Entry'!AP$4="Logarithm",LN(0.001+IF(AND(ISNUMBER('Council Entry'!AP$8),ISNUMBER('Council Entry'!AP$9)),MAX(MIN('Council Entry'!AP191,'Council Entry'!AP$9),'Council Entry'!AP$8),'Council Entry'!AP191)),IF('Council Entry'!AP$4="Exponential",EXP(IF(AND(ISNUMBER('Council Entry'!AP$8),ISNUMBER('Council Entry'!AP$9)),MAX(MIN('Council Entry'!AP191,'Council Entry'!AP$9),'Council Entry'!AP$8),'Council Entry'!AP191)),IF(AND(ISNUMBER('Council Entry'!AP$8),ISNUMBER('Council Entry'!AP$9)),MAX(MIN('Council Entry'!AP191,'Council Entry'!AP$9),'Council Entry'!AP$8),'Council Entry'!AP191))))-'Council Entry'!AP$5)/('Council Entry'!AP$6-'Council Entry'!AP$5)),1))),"No data"))</f>
        <v/>
      </c>
      <c r="AQ191" s="13">
        <f>IF('Council Entry'!AQ191="","",IFERROR(MAX(0,MIN(10,ROUND(IF('Council Entry'!AQ$7="Decrease Risk",10-10*((IF('Council Entry'!AQ$4="Logarithm",LN(0.001+IF(AND(ISNUMBER('Council Entry'!AQ$8),ISNUMBER('Council Entry'!AQ$9)),MAX(MIN('Council Entry'!AQ191,'Council Entry'!AQ$9),'Council Entry'!AQ$8),'Council Entry'!AQ191)),IF('Council Entry'!AQ$4="Exponential",EXP(IF(AND(ISNUMBER('Council Entry'!AQ$8),ISNUMBER('Council Entry'!AQ$9)),MAX(MIN('Council Entry'!AQ191,'Council Entry'!AQ$9),'Council Entry'!AQ$8),'Council Entry'!AQ191)),IF(AND(ISNUMBER('Council Entry'!AQ$8),ISNUMBER('Council Entry'!AQ$9)),MAX(MIN('Council Entry'!AQ191,'Council Entry'!AQ$9),'Council Entry'!AQ$8),'Council Entry'!AQ191))))-'Council Entry'!AQ$5)/('Council Entry'!AQ$6-'Council Entry'!AQ$5),10*((IF('Council Entry'!AQ$4="Logarithm",LN(0.001+IF(AND(ISNUMBER('Council Entry'!AQ$8),ISNUMBER('Council Entry'!AQ$9)),MAX(MIN('Council Entry'!AQ191,'Council Entry'!AQ$9),'Council Entry'!AQ$8),'Council Entry'!AQ191)),IF('Council Entry'!AQ$4="Exponential",EXP(IF(AND(ISNUMBER('Council Entry'!AQ$8),ISNUMBER('Council Entry'!AQ$9)),MAX(MIN('Council Entry'!AQ191,'Council Entry'!AQ$9),'Council Entry'!AQ$8),'Council Entry'!AQ191)),IF(AND(ISNUMBER('Council Entry'!AQ$8),ISNUMBER('Council Entry'!AQ$9)),MAX(MIN('Council Entry'!AQ191,'Council Entry'!AQ$9),'Council Entry'!AQ$8),'Council Entry'!AQ191))))-'Council Entry'!AQ$5)/('Council Entry'!AQ$6-'Council Entry'!AQ$5)),1))),"No data"))</f>
        <v/>
      </c>
      <c r="AR191" s="13">
        <f>IF('Council Entry'!AR191="","",IFERROR(MAX(0,MIN(10,ROUND(IF('Council Entry'!AR$7="Decrease Risk",10-10*((IF('Council Entry'!AR$4="Logarithm",LN(0.001+IF(AND(ISNUMBER('Council Entry'!AR$8),ISNUMBER('Council Entry'!AR$9)),MAX(MIN('Council Entry'!AR191,'Council Entry'!AR$9),'Council Entry'!AR$8),'Council Entry'!AR191)),IF('Council Entry'!AR$4="Exponential",EXP(IF(AND(ISNUMBER('Council Entry'!AR$8),ISNUMBER('Council Entry'!AR$9)),MAX(MIN('Council Entry'!AR191,'Council Entry'!AR$9),'Council Entry'!AR$8),'Council Entry'!AR191)),IF(AND(ISNUMBER('Council Entry'!AR$8),ISNUMBER('Council Entry'!AR$9)),MAX(MIN('Council Entry'!AR191,'Council Entry'!AR$9),'Council Entry'!AR$8),'Council Entry'!AR191))))-'Council Entry'!AR$5)/('Council Entry'!AR$6-'Council Entry'!AR$5),10*((IF('Council Entry'!AR$4="Logarithm",LN(0.001+IF(AND(ISNUMBER('Council Entry'!AR$8),ISNUMBER('Council Entry'!AR$9)),MAX(MIN('Council Entry'!AR191,'Council Entry'!AR$9),'Council Entry'!AR$8),'Council Entry'!AR191)),IF('Council Entry'!AR$4="Exponential",EXP(IF(AND(ISNUMBER('Council Entry'!AR$8),ISNUMBER('Council Entry'!AR$9)),MAX(MIN('Council Entry'!AR191,'Council Entry'!AR$9),'Council Entry'!AR$8),'Council Entry'!AR191)),IF(AND(ISNUMBER('Council Entry'!AR$8),ISNUMBER('Council Entry'!AR$9)),MAX(MIN('Council Entry'!AR191,'Council Entry'!AR$9),'Council Entry'!AR$8),'Council Entry'!AR191))))-'Council Entry'!AR$5)/('Council Entry'!AR$6-'Council Entry'!AR$5)),1))),"No data"))</f>
        <v/>
      </c>
      <c r="AS191" s="13">
        <f>IF('Council Entry'!AS191="","",IFERROR(MAX(0,MIN(10,ROUND(IF('Council Entry'!AS$7="Decrease Risk",10-10*((IF('Council Entry'!AS$4="Logarithm",LN(0.001+IF(AND(ISNUMBER('Council Entry'!AS$8),ISNUMBER('Council Entry'!AS$9)),MAX(MIN('Council Entry'!AS191,'Council Entry'!AS$9),'Council Entry'!AS$8),'Council Entry'!AS191)),IF('Council Entry'!AS$4="Exponential",EXP(IF(AND(ISNUMBER('Council Entry'!AS$8),ISNUMBER('Council Entry'!AS$9)),MAX(MIN('Council Entry'!AS191,'Council Entry'!AS$9),'Council Entry'!AS$8),'Council Entry'!AS191)),IF(AND(ISNUMBER('Council Entry'!AS$8),ISNUMBER('Council Entry'!AS$9)),MAX(MIN('Council Entry'!AS191,'Council Entry'!AS$9),'Council Entry'!AS$8),'Council Entry'!AS191))))-'Council Entry'!AS$5)/('Council Entry'!AS$6-'Council Entry'!AS$5),10*((IF('Council Entry'!AS$4="Logarithm",LN(0.001+IF(AND(ISNUMBER('Council Entry'!AS$8),ISNUMBER('Council Entry'!AS$9)),MAX(MIN('Council Entry'!AS191,'Council Entry'!AS$9),'Council Entry'!AS$8),'Council Entry'!AS191)),IF('Council Entry'!AS$4="Exponential",EXP(IF(AND(ISNUMBER('Council Entry'!AS$8),ISNUMBER('Council Entry'!AS$9)),MAX(MIN('Council Entry'!AS191,'Council Entry'!AS$9),'Council Entry'!AS$8),'Council Entry'!AS191)),IF(AND(ISNUMBER('Council Entry'!AS$8),ISNUMBER('Council Entry'!AS$9)),MAX(MIN('Council Entry'!AS191,'Council Entry'!AS$9),'Council Entry'!AS$8),'Council Entry'!AS191))))-'Council Entry'!AS$5)/('Council Entry'!AS$6-'Council Entry'!AS$5)),1))),"No data"))</f>
        <v/>
      </c>
      <c r="AT191" s="13">
        <f>IF('Council Entry'!AT191="","",IFERROR(MAX(0,MIN(10,ROUND(IF('Council Entry'!AT$7="Decrease Risk",10-10*((IF('Council Entry'!AT$4="Logarithm",LN(0.001+IF(AND(ISNUMBER('Council Entry'!AT$8),ISNUMBER('Council Entry'!AT$9)),MAX(MIN('Council Entry'!AT191,'Council Entry'!AT$9),'Council Entry'!AT$8),'Council Entry'!AT191)),IF('Council Entry'!AT$4="Exponential",EXP(IF(AND(ISNUMBER('Council Entry'!AT$8),ISNUMBER('Council Entry'!AT$9)),MAX(MIN('Council Entry'!AT191,'Council Entry'!AT$9),'Council Entry'!AT$8),'Council Entry'!AT191)),IF(AND(ISNUMBER('Council Entry'!AT$8),ISNUMBER('Council Entry'!AT$9)),MAX(MIN('Council Entry'!AT191,'Council Entry'!AT$9),'Council Entry'!AT$8),'Council Entry'!AT191))))-'Council Entry'!AT$5)/('Council Entry'!AT$6-'Council Entry'!AT$5),10*((IF('Council Entry'!AT$4="Logarithm",LN(0.001+IF(AND(ISNUMBER('Council Entry'!AT$8),ISNUMBER('Council Entry'!AT$9)),MAX(MIN('Council Entry'!AT191,'Council Entry'!AT$9),'Council Entry'!AT$8),'Council Entry'!AT191)),IF('Council Entry'!AT$4="Exponential",EXP(IF(AND(ISNUMBER('Council Entry'!AT$8),ISNUMBER('Council Entry'!AT$9)),MAX(MIN('Council Entry'!AT191,'Council Entry'!AT$9),'Council Entry'!AT$8),'Council Entry'!AT191)),IF(AND(ISNUMBER('Council Entry'!AT$8),ISNUMBER('Council Entry'!AT$9)),MAX(MIN('Council Entry'!AT191,'Council Entry'!AT$9),'Council Entry'!AT$8),'Council Entry'!AT191))))-'Council Entry'!AT$5)/('Council Entry'!AT$6-'Council Entry'!AT$5)),1))),"No data"))</f>
        <v/>
      </c>
      <c r="AU191" s="13">
        <f>IF('Council Entry'!AU191="","",IFERROR(MAX(0,MIN(10,ROUND(IF('Council Entry'!AU$7="Decrease Risk",10-10*((IF('Council Entry'!AU$4="Logarithm",LN(0.001+IF(AND(ISNUMBER('Council Entry'!AU$8),ISNUMBER('Council Entry'!AU$9)),MAX(MIN('Council Entry'!AU191,'Council Entry'!AU$9),'Council Entry'!AU$8),'Council Entry'!AU191)),IF('Council Entry'!AU$4="Exponential",EXP(IF(AND(ISNUMBER('Council Entry'!AU$8),ISNUMBER('Council Entry'!AU$9)),MAX(MIN('Council Entry'!AU191,'Council Entry'!AU$9),'Council Entry'!AU$8),'Council Entry'!AU191)),IF(AND(ISNUMBER('Council Entry'!AU$8),ISNUMBER('Council Entry'!AU$9)),MAX(MIN('Council Entry'!AU191,'Council Entry'!AU$9),'Council Entry'!AU$8),'Council Entry'!AU191))))-'Council Entry'!AU$5)/('Council Entry'!AU$6-'Council Entry'!AU$5),10*((IF('Council Entry'!AU$4="Logarithm",LN(0.001+IF(AND(ISNUMBER('Council Entry'!AU$8),ISNUMBER('Council Entry'!AU$9)),MAX(MIN('Council Entry'!AU191,'Council Entry'!AU$9),'Council Entry'!AU$8),'Council Entry'!AU191)),IF('Council Entry'!AU$4="Exponential",EXP(IF(AND(ISNUMBER('Council Entry'!AU$8),ISNUMBER('Council Entry'!AU$9)),MAX(MIN('Council Entry'!AU191,'Council Entry'!AU$9),'Council Entry'!AU$8),'Council Entry'!AU191)),IF(AND(ISNUMBER('Council Entry'!AU$8),ISNUMBER('Council Entry'!AU$9)),MAX(MIN('Council Entry'!AU191,'Council Entry'!AU$9),'Council Entry'!AU$8),'Council Entry'!AU191))))-'Council Entry'!AU$5)/('Council Entry'!AU$6-'Council Entry'!AU$5)),1))),"No data"))</f>
        <v/>
      </c>
      <c r="AV191" s="13">
        <f>IF('Council Entry'!AV191="","",IFERROR(MAX(0,MIN(10,ROUND(IF('Council Entry'!AV$7="Decrease Risk",10-10*((IF('Council Entry'!AV$4="Logarithm",LN(0.001+IF(AND(ISNUMBER('Council Entry'!AV$8),ISNUMBER('Council Entry'!AV$9)),MAX(MIN('Council Entry'!AV191,'Council Entry'!AV$9),'Council Entry'!AV$8),'Council Entry'!AV191)),IF('Council Entry'!AV$4="Exponential",EXP(IF(AND(ISNUMBER('Council Entry'!AV$8),ISNUMBER('Council Entry'!AV$9)),MAX(MIN('Council Entry'!AV191,'Council Entry'!AV$9),'Council Entry'!AV$8),'Council Entry'!AV191)),IF(AND(ISNUMBER('Council Entry'!AV$8),ISNUMBER('Council Entry'!AV$9)),MAX(MIN('Council Entry'!AV191,'Council Entry'!AV$9),'Council Entry'!AV$8),'Council Entry'!AV191))))-'Council Entry'!AV$5)/('Council Entry'!AV$6-'Council Entry'!AV$5),10*((IF('Council Entry'!AV$4="Logarithm",LN(0.001+IF(AND(ISNUMBER('Council Entry'!AV$8),ISNUMBER('Council Entry'!AV$9)),MAX(MIN('Council Entry'!AV191,'Council Entry'!AV$9),'Council Entry'!AV$8),'Council Entry'!AV191)),IF('Council Entry'!AV$4="Exponential",EXP(IF(AND(ISNUMBER('Council Entry'!AV$8),ISNUMBER('Council Entry'!AV$9)),MAX(MIN('Council Entry'!AV191,'Council Entry'!AV$9),'Council Entry'!AV$8),'Council Entry'!AV191)),IF(AND(ISNUMBER('Council Entry'!AV$8),ISNUMBER('Council Entry'!AV$9)),MAX(MIN('Council Entry'!AV191,'Council Entry'!AV$9),'Council Entry'!AV$8),'Council Entry'!AV191))))-'Council Entry'!AV$5)/('Council Entry'!AV$6-'Council Entry'!AV$5)),1))),"No data"))</f>
        <v/>
      </c>
      <c r="AW191" s="13">
        <f>IF('Council Entry'!AW191="","",IFERROR(MAX(0,MIN(10,ROUND(IF('Council Entry'!AW$7="Decrease Risk",10-10*((IF('Council Entry'!AW$4="Logarithm",LN(0.001+IF(AND(ISNUMBER('Council Entry'!AW$8),ISNUMBER('Council Entry'!AW$9)),MAX(MIN('Council Entry'!AW191,'Council Entry'!AW$9),'Council Entry'!AW$8),'Council Entry'!AW191)),IF('Council Entry'!AW$4="Exponential",EXP(IF(AND(ISNUMBER('Council Entry'!AW$8),ISNUMBER('Council Entry'!AW$9)),MAX(MIN('Council Entry'!AW191,'Council Entry'!AW$9),'Council Entry'!AW$8),'Council Entry'!AW191)),IF(AND(ISNUMBER('Council Entry'!AW$8),ISNUMBER('Council Entry'!AW$9)),MAX(MIN('Council Entry'!AW191,'Council Entry'!AW$9),'Council Entry'!AW$8),'Council Entry'!AW191))))-'Council Entry'!AW$5)/('Council Entry'!AW$6-'Council Entry'!AW$5),10*((IF('Council Entry'!AW$4="Logarithm",LN(0.001+IF(AND(ISNUMBER('Council Entry'!AW$8),ISNUMBER('Council Entry'!AW$9)),MAX(MIN('Council Entry'!AW191,'Council Entry'!AW$9),'Council Entry'!AW$8),'Council Entry'!AW191)),IF('Council Entry'!AW$4="Exponential",EXP(IF(AND(ISNUMBER('Council Entry'!AW$8),ISNUMBER('Council Entry'!AW$9)),MAX(MIN('Council Entry'!AW191,'Council Entry'!AW$9),'Council Entry'!AW$8),'Council Entry'!AW191)),IF(AND(ISNUMBER('Council Entry'!AW$8),ISNUMBER('Council Entry'!AW$9)),MAX(MIN('Council Entry'!AW191,'Council Entry'!AW$9),'Council Entry'!AW$8),'Council Entry'!AW191))))-'Council Entry'!AW$5)/('Council Entry'!AW$6-'Council Entry'!AW$5)),1))),"No data"))</f>
        <v/>
      </c>
      <c r="AX191" s="13">
        <f>IF('Council Entry'!AX191="","",IFERROR(MAX(0,MIN(10,ROUND(IF('Council Entry'!AX$7="Decrease Risk",10-10*((IF('Council Entry'!AX$4="Logarithm",LN(0.001+IF(AND(ISNUMBER('Council Entry'!AX$8),ISNUMBER('Council Entry'!AX$9)),MAX(MIN('Council Entry'!AX191,'Council Entry'!AX$9),'Council Entry'!AX$8),'Council Entry'!AX191)),IF('Council Entry'!AX$4="Exponential",EXP(IF(AND(ISNUMBER('Council Entry'!AX$8),ISNUMBER('Council Entry'!AX$9)),MAX(MIN('Council Entry'!AX191,'Council Entry'!AX$9),'Council Entry'!AX$8),'Council Entry'!AX191)),IF(AND(ISNUMBER('Council Entry'!AX$8),ISNUMBER('Council Entry'!AX$9)),MAX(MIN('Council Entry'!AX191,'Council Entry'!AX$9),'Council Entry'!AX$8),'Council Entry'!AX191))))-'Council Entry'!AX$5)/('Council Entry'!AX$6-'Council Entry'!AX$5),10*((IF('Council Entry'!AX$4="Logarithm",LN(0.001+IF(AND(ISNUMBER('Council Entry'!AX$8),ISNUMBER('Council Entry'!AX$9)),MAX(MIN('Council Entry'!AX191,'Council Entry'!AX$9),'Council Entry'!AX$8),'Council Entry'!AX191)),IF('Council Entry'!AX$4="Exponential",EXP(IF(AND(ISNUMBER('Council Entry'!AX$8),ISNUMBER('Council Entry'!AX$9)),MAX(MIN('Council Entry'!AX191,'Council Entry'!AX$9),'Council Entry'!AX$8),'Council Entry'!AX191)),IF(AND(ISNUMBER('Council Entry'!AX$8),ISNUMBER('Council Entry'!AX$9)),MAX(MIN('Council Entry'!AX191,'Council Entry'!AX$9),'Council Entry'!AX$8),'Council Entry'!AX191))))-'Council Entry'!AX$5)/('Council Entry'!AX$6-'Council Entry'!AX$5)),1))),"No data"))</f>
        <v/>
      </c>
      <c r="AY191" s="13">
        <f>IF('Council Entry'!AY191="","",IFERROR(MAX(0,MIN(10,ROUND(IF('Council Entry'!AY$7="Decrease Risk",10-10*((IF('Council Entry'!AY$4="Logarithm",LN(0.001+IF(AND(ISNUMBER('Council Entry'!AY$8),ISNUMBER('Council Entry'!AY$9)),MAX(MIN('Council Entry'!AY191,'Council Entry'!AY$9),'Council Entry'!AY$8),'Council Entry'!AY191)),IF('Council Entry'!AY$4="Exponential",EXP(IF(AND(ISNUMBER('Council Entry'!AY$8),ISNUMBER('Council Entry'!AY$9)),MAX(MIN('Council Entry'!AY191,'Council Entry'!AY$9),'Council Entry'!AY$8),'Council Entry'!AY191)),IF(AND(ISNUMBER('Council Entry'!AY$8),ISNUMBER('Council Entry'!AY$9)),MAX(MIN('Council Entry'!AY191,'Council Entry'!AY$9),'Council Entry'!AY$8),'Council Entry'!AY191))))-'Council Entry'!AY$5)/('Council Entry'!AY$6-'Council Entry'!AY$5),10*((IF('Council Entry'!AY$4="Logarithm",LN(0.001+IF(AND(ISNUMBER('Council Entry'!AY$8),ISNUMBER('Council Entry'!AY$9)),MAX(MIN('Council Entry'!AY191,'Council Entry'!AY$9),'Council Entry'!AY$8),'Council Entry'!AY191)),IF('Council Entry'!AY$4="Exponential",EXP(IF(AND(ISNUMBER('Council Entry'!AY$8),ISNUMBER('Council Entry'!AY$9)),MAX(MIN('Council Entry'!AY191,'Council Entry'!AY$9),'Council Entry'!AY$8),'Council Entry'!AY191)),IF(AND(ISNUMBER('Council Entry'!AY$8),ISNUMBER('Council Entry'!AY$9)),MAX(MIN('Council Entry'!AY191,'Council Entry'!AY$9),'Council Entry'!AY$8),'Council Entry'!AY191))))-'Council Entry'!AY$5)/('Council Entry'!AY$6-'Council Entry'!AY$5)),1))),"No data"))</f>
        <v/>
      </c>
      <c r="AZ191" s="13">
        <f>IF('Council Entry'!AZ191="","",IFERROR(MAX(0,MIN(10,ROUND(IF('Council Entry'!AZ$7="Decrease Risk",10-10*((IF('Council Entry'!AZ$4="Logarithm",LN(0.001+IF(AND(ISNUMBER('Council Entry'!AZ$8),ISNUMBER('Council Entry'!AZ$9)),MAX(MIN('Council Entry'!AZ191,'Council Entry'!AZ$9),'Council Entry'!AZ$8),'Council Entry'!AZ191)),IF('Council Entry'!AZ$4="Exponential",EXP(IF(AND(ISNUMBER('Council Entry'!AZ$8),ISNUMBER('Council Entry'!AZ$9)),MAX(MIN('Council Entry'!AZ191,'Council Entry'!AZ$9),'Council Entry'!AZ$8),'Council Entry'!AZ191)),IF(AND(ISNUMBER('Council Entry'!AZ$8),ISNUMBER('Council Entry'!AZ$9)),MAX(MIN('Council Entry'!AZ191,'Council Entry'!AZ$9),'Council Entry'!AZ$8),'Council Entry'!AZ191))))-'Council Entry'!AZ$5)/('Council Entry'!AZ$6-'Council Entry'!AZ$5),10*((IF('Council Entry'!AZ$4="Logarithm",LN(0.001+IF(AND(ISNUMBER('Council Entry'!AZ$8),ISNUMBER('Council Entry'!AZ$9)),MAX(MIN('Council Entry'!AZ191,'Council Entry'!AZ$9),'Council Entry'!AZ$8),'Council Entry'!AZ191)),IF('Council Entry'!AZ$4="Exponential",EXP(IF(AND(ISNUMBER('Council Entry'!AZ$8),ISNUMBER('Council Entry'!AZ$9)),MAX(MIN('Council Entry'!AZ191,'Council Entry'!AZ$9),'Council Entry'!AZ$8),'Council Entry'!AZ191)),IF(AND(ISNUMBER('Council Entry'!AZ$8),ISNUMBER('Council Entry'!AZ$9)),MAX(MIN('Council Entry'!AZ191,'Council Entry'!AZ$9),'Council Entry'!AZ$8),'Council Entry'!AZ191))))-'Council Entry'!AZ$5)/('Council Entry'!AZ$6-'Council Entry'!AZ$5)),1))),"No data"))</f>
        <v/>
      </c>
      <c r="BA191" s="13">
        <f>IF('Council Entry'!BA191="","",IFERROR(MAX(0,MIN(10,ROUND(IF('Council Entry'!BA$7="Decrease Risk",10-10*((IF('Council Entry'!BA$4="Logarithm",LN(0.001+IF(AND(ISNUMBER('Council Entry'!BA$8),ISNUMBER('Council Entry'!BA$9)),MAX(MIN('Council Entry'!BA191,'Council Entry'!BA$9),'Council Entry'!BA$8),'Council Entry'!BA191)),IF('Council Entry'!BA$4="Exponential",EXP(IF(AND(ISNUMBER('Council Entry'!BA$8),ISNUMBER('Council Entry'!BA$9)),MAX(MIN('Council Entry'!BA191,'Council Entry'!BA$9),'Council Entry'!BA$8),'Council Entry'!BA191)),IF(AND(ISNUMBER('Council Entry'!BA$8),ISNUMBER('Council Entry'!BA$9)),MAX(MIN('Council Entry'!BA191,'Council Entry'!BA$9),'Council Entry'!BA$8),'Council Entry'!BA191))))-'Council Entry'!BA$5)/('Council Entry'!BA$6-'Council Entry'!BA$5),10*((IF('Council Entry'!BA$4="Logarithm",LN(0.001+IF(AND(ISNUMBER('Council Entry'!BA$8),ISNUMBER('Council Entry'!BA$9)),MAX(MIN('Council Entry'!BA191,'Council Entry'!BA$9),'Council Entry'!BA$8),'Council Entry'!BA191)),IF('Council Entry'!BA$4="Exponential",EXP(IF(AND(ISNUMBER('Council Entry'!BA$8),ISNUMBER('Council Entry'!BA$9)),MAX(MIN('Council Entry'!BA191,'Council Entry'!BA$9),'Council Entry'!BA$8),'Council Entry'!BA191)),IF(AND(ISNUMBER('Council Entry'!BA$8),ISNUMBER('Council Entry'!BA$9)),MAX(MIN('Council Entry'!BA191,'Council Entry'!BA$9),'Council Entry'!BA$8),'Council Entry'!BA191))))-'Council Entry'!BA$5)/('Council Entry'!BA$6-'Council Entry'!BA$5)),1))),"No data"))</f>
        <v/>
      </c>
      <c r="BB191" s="13">
        <f>IF('Council Entry'!BB191="","",IFERROR(MAX(0,MIN(10,ROUND(IF('Council Entry'!BB$7="Decrease Risk",10-10*((IF('Council Entry'!BB$4="Logarithm",LN(0.001+IF(AND(ISNUMBER('Council Entry'!BB$8),ISNUMBER('Council Entry'!BB$9)),MAX(MIN('Council Entry'!BB191,'Council Entry'!BB$9),'Council Entry'!BB$8),'Council Entry'!BB191)),IF('Council Entry'!BB$4="Exponential",EXP(IF(AND(ISNUMBER('Council Entry'!BB$8),ISNUMBER('Council Entry'!BB$9)),MAX(MIN('Council Entry'!BB191,'Council Entry'!BB$9),'Council Entry'!BB$8),'Council Entry'!BB191)),IF(AND(ISNUMBER('Council Entry'!BB$8),ISNUMBER('Council Entry'!BB$9)),MAX(MIN('Council Entry'!BB191,'Council Entry'!BB$9),'Council Entry'!BB$8),'Council Entry'!BB191))))-'Council Entry'!BB$5)/('Council Entry'!BB$6-'Council Entry'!BB$5),10*((IF('Council Entry'!BB$4="Logarithm",LN(0.001+IF(AND(ISNUMBER('Council Entry'!BB$8),ISNUMBER('Council Entry'!BB$9)),MAX(MIN('Council Entry'!BB191,'Council Entry'!BB$9),'Council Entry'!BB$8),'Council Entry'!BB191)),IF('Council Entry'!BB$4="Exponential",EXP(IF(AND(ISNUMBER('Council Entry'!BB$8),ISNUMBER('Council Entry'!BB$9)),MAX(MIN('Council Entry'!BB191,'Council Entry'!BB$9),'Council Entry'!BB$8),'Council Entry'!BB191)),IF(AND(ISNUMBER('Council Entry'!BB$8),ISNUMBER('Council Entry'!BB$9)),MAX(MIN('Council Entry'!BB191,'Council Entry'!BB$9),'Council Entry'!BB$8),'Council Entry'!BB191))))-'Council Entry'!BB$5)/('Council Entry'!BB$6-'Council Entry'!BB$5)),1))),"No data"))</f>
        <v/>
      </c>
      <c r="BC191" s="13">
        <f>IF('Council Entry'!BC191="","",IFERROR(MAX(0,MIN(10,ROUND(IF('Council Entry'!BC$7="Decrease Risk",10-10*((IF('Council Entry'!BC$4="Logarithm",LN(0.001+IF(AND(ISNUMBER('Council Entry'!BC$8),ISNUMBER('Council Entry'!BC$9)),MAX(MIN('Council Entry'!BC191,'Council Entry'!BC$9),'Council Entry'!BC$8),'Council Entry'!BC191)),IF('Council Entry'!BC$4="Exponential",EXP(IF(AND(ISNUMBER('Council Entry'!BC$8),ISNUMBER('Council Entry'!BC$9)),MAX(MIN('Council Entry'!BC191,'Council Entry'!BC$9),'Council Entry'!BC$8),'Council Entry'!BC191)),IF(AND(ISNUMBER('Council Entry'!BC$8),ISNUMBER('Council Entry'!BC$9)),MAX(MIN('Council Entry'!BC191,'Council Entry'!BC$9),'Council Entry'!BC$8),'Council Entry'!BC191))))-'Council Entry'!BC$5)/('Council Entry'!BC$6-'Council Entry'!BC$5),10*((IF('Council Entry'!BC$4="Logarithm",LN(0.001+IF(AND(ISNUMBER('Council Entry'!BC$8),ISNUMBER('Council Entry'!BC$9)),MAX(MIN('Council Entry'!BC191,'Council Entry'!BC$9),'Council Entry'!BC$8),'Council Entry'!BC191)),IF('Council Entry'!BC$4="Exponential",EXP(IF(AND(ISNUMBER('Council Entry'!BC$8),ISNUMBER('Council Entry'!BC$9)),MAX(MIN('Council Entry'!BC191,'Council Entry'!BC$9),'Council Entry'!BC$8),'Council Entry'!BC191)),IF(AND(ISNUMBER('Council Entry'!BC$8),ISNUMBER('Council Entry'!BC$9)),MAX(MIN('Council Entry'!BC191,'Council Entry'!BC$9),'Council Entry'!BC$8),'Council Entry'!BC191))))-'Council Entry'!BC$5)/('Council Entry'!BC$6-'Council Entry'!BC$5)),1))),"No data"))</f>
        <v/>
      </c>
      <c r="BD191" s="13">
        <f>IF('Council Entry'!BD191="","",IFERROR(MAX(0,MIN(10,ROUND(IF('Council Entry'!BD$7="Decrease Risk",10-10*((IF('Council Entry'!BD$4="Logarithm",LN(0.001+IF(AND(ISNUMBER('Council Entry'!BD$8),ISNUMBER('Council Entry'!BD$9)),MAX(MIN('Council Entry'!BD191,'Council Entry'!BD$9),'Council Entry'!BD$8),'Council Entry'!BD191)),IF('Council Entry'!BD$4="Exponential",EXP(IF(AND(ISNUMBER('Council Entry'!BD$8),ISNUMBER('Council Entry'!BD$9)),MAX(MIN('Council Entry'!BD191,'Council Entry'!BD$9),'Council Entry'!BD$8),'Council Entry'!BD191)),IF(AND(ISNUMBER('Council Entry'!BD$8),ISNUMBER('Council Entry'!BD$9)),MAX(MIN('Council Entry'!BD191,'Council Entry'!BD$9),'Council Entry'!BD$8),'Council Entry'!BD191))))-'Council Entry'!BD$5)/('Council Entry'!BD$6-'Council Entry'!BD$5),10*((IF('Council Entry'!BD$4="Logarithm",LN(0.001+IF(AND(ISNUMBER('Council Entry'!BD$8),ISNUMBER('Council Entry'!BD$9)),MAX(MIN('Council Entry'!BD191,'Council Entry'!BD$9),'Council Entry'!BD$8),'Council Entry'!BD191)),IF('Council Entry'!BD$4="Exponential",EXP(IF(AND(ISNUMBER('Council Entry'!BD$8),ISNUMBER('Council Entry'!BD$9)),MAX(MIN('Council Entry'!BD191,'Council Entry'!BD$9),'Council Entry'!BD$8),'Council Entry'!BD191)),IF(AND(ISNUMBER('Council Entry'!BD$8),ISNUMBER('Council Entry'!BD$9)),MAX(MIN('Council Entry'!BD191,'Council Entry'!BD$9),'Council Entry'!BD$8),'Council Entry'!BD191))))-'Council Entry'!BD$5)/('Council Entry'!BD$6-'Council Entry'!BD$5)),1))),"No data"))</f>
        <v/>
      </c>
    </row>
    <row r="192">
      <c r="A192" t="inlineStr">
        <is>
          <t>Tabora</t>
        </is>
      </c>
      <c r="B192" t="inlineStr">
        <is>
          <t>Tabora Municipal</t>
        </is>
      </c>
      <c r="C192" t="inlineStr">
        <is>
          <t>C105</t>
        </is>
      </c>
      <c r="D192" s="13">
        <f>IF('Council Entry'!D192="","",IFERROR(MAX(0,MIN(10,ROUND(IF('Council Entry'!D$7="Decrease Risk",10-10*((IF('Council Entry'!D$4="Logarithm",LN(0.001+IF(AND(ISNUMBER('Council Entry'!D$8),ISNUMBER('Council Entry'!D$9)),MAX(MIN('Council Entry'!D192,'Council Entry'!D$9),'Council Entry'!D$8),'Council Entry'!D192)),IF('Council Entry'!D$4="Exponential",EXP(IF(AND(ISNUMBER('Council Entry'!D$8),ISNUMBER('Council Entry'!D$9)),MAX(MIN('Council Entry'!D192,'Council Entry'!D$9),'Council Entry'!D$8),'Council Entry'!D192)),IF(AND(ISNUMBER('Council Entry'!D$8),ISNUMBER('Council Entry'!D$9)),MAX(MIN('Council Entry'!D192,'Council Entry'!D$9),'Council Entry'!D$8),'Council Entry'!D192))))-'Council Entry'!D$5)/('Council Entry'!D$6-'Council Entry'!D$5),10*((IF('Council Entry'!D$4="Logarithm",LN(0.001+IF(AND(ISNUMBER('Council Entry'!D$8),ISNUMBER('Council Entry'!D$9)),MAX(MIN('Council Entry'!D192,'Council Entry'!D$9),'Council Entry'!D$8),'Council Entry'!D192)),IF('Council Entry'!D$4="Exponential",EXP(IF(AND(ISNUMBER('Council Entry'!D$8),ISNUMBER('Council Entry'!D$9)),MAX(MIN('Council Entry'!D192,'Council Entry'!D$9),'Council Entry'!D$8),'Council Entry'!D192)),IF(AND(ISNUMBER('Council Entry'!D$8),ISNUMBER('Council Entry'!D$9)),MAX(MIN('Council Entry'!D192,'Council Entry'!D$9),'Council Entry'!D$8),'Council Entry'!D192))))-'Council Entry'!D$5)/('Council Entry'!D$6-'Council Entry'!D$5)),1))),"No data"))</f>
        <v/>
      </c>
      <c r="E192" s="13">
        <f>IF('Council Entry'!E192="","",IFERROR(MAX(0,MIN(10,ROUND(IF('Council Entry'!E$7="Decrease Risk",10-10*((IF('Council Entry'!E$4="Logarithm",LN(0.001+IF(AND(ISNUMBER('Council Entry'!E$8),ISNUMBER('Council Entry'!E$9)),MAX(MIN('Council Entry'!E192,'Council Entry'!E$9),'Council Entry'!E$8),'Council Entry'!E192)),IF('Council Entry'!E$4="Exponential",EXP(IF(AND(ISNUMBER('Council Entry'!E$8),ISNUMBER('Council Entry'!E$9)),MAX(MIN('Council Entry'!E192,'Council Entry'!E$9),'Council Entry'!E$8),'Council Entry'!E192)),IF(AND(ISNUMBER('Council Entry'!E$8),ISNUMBER('Council Entry'!E$9)),MAX(MIN('Council Entry'!E192,'Council Entry'!E$9),'Council Entry'!E$8),'Council Entry'!E192))))-'Council Entry'!E$5)/('Council Entry'!E$6-'Council Entry'!E$5),10*((IF('Council Entry'!E$4="Logarithm",LN(0.001+IF(AND(ISNUMBER('Council Entry'!E$8),ISNUMBER('Council Entry'!E$9)),MAX(MIN('Council Entry'!E192,'Council Entry'!E$9),'Council Entry'!E$8),'Council Entry'!E192)),IF('Council Entry'!E$4="Exponential",EXP(IF(AND(ISNUMBER('Council Entry'!E$8),ISNUMBER('Council Entry'!E$9)),MAX(MIN('Council Entry'!E192,'Council Entry'!E$9),'Council Entry'!E$8),'Council Entry'!E192)),IF(AND(ISNUMBER('Council Entry'!E$8),ISNUMBER('Council Entry'!E$9)),MAX(MIN('Council Entry'!E192,'Council Entry'!E$9),'Council Entry'!E$8),'Council Entry'!E192))))-'Council Entry'!E$5)/('Council Entry'!E$6-'Council Entry'!E$5)),1))),"No data"))</f>
        <v/>
      </c>
      <c r="F192" s="13">
        <f>IF('Council Entry'!F192="","",IFERROR(MAX(0,MIN(10,ROUND(IF('Council Entry'!F$7="Decrease Risk",10-10*((IF('Council Entry'!F$4="Logarithm",LN(0.001+IF(AND(ISNUMBER('Council Entry'!F$8),ISNUMBER('Council Entry'!F$9)),MAX(MIN('Council Entry'!F192,'Council Entry'!F$9),'Council Entry'!F$8),'Council Entry'!F192)),IF('Council Entry'!F$4="Exponential",EXP(IF(AND(ISNUMBER('Council Entry'!F$8),ISNUMBER('Council Entry'!F$9)),MAX(MIN('Council Entry'!F192,'Council Entry'!F$9),'Council Entry'!F$8),'Council Entry'!F192)),IF(AND(ISNUMBER('Council Entry'!F$8),ISNUMBER('Council Entry'!F$9)),MAX(MIN('Council Entry'!F192,'Council Entry'!F$9),'Council Entry'!F$8),'Council Entry'!F192))))-'Council Entry'!F$5)/('Council Entry'!F$6-'Council Entry'!F$5),10*((IF('Council Entry'!F$4="Logarithm",LN(0.001+IF(AND(ISNUMBER('Council Entry'!F$8),ISNUMBER('Council Entry'!F$9)),MAX(MIN('Council Entry'!F192,'Council Entry'!F$9),'Council Entry'!F$8),'Council Entry'!F192)),IF('Council Entry'!F$4="Exponential",EXP(IF(AND(ISNUMBER('Council Entry'!F$8),ISNUMBER('Council Entry'!F$9)),MAX(MIN('Council Entry'!F192,'Council Entry'!F$9),'Council Entry'!F$8),'Council Entry'!F192)),IF(AND(ISNUMBER('Council Entry'!F$8),ISNUMBER('Council Entry'!F$9)),MAX(MIN('Council Entry'!F192,'Council Entry'!F$9),'Council Entry'!F$8),'Council Entry'!F192))))-'Council Entry'!F$5)/('Council Entry'!F$6-'Council Entry'!F$5)),1))),"No data"))</f>
        <v/>
      </c>
      <c r="G192" s="13">
        <f>IF('Council Entry'!G192="","",IFERROR(MAX(0,MIN(10,ROUND(IF('Council Entry'!G$7="Decrease Risk",10-10*((IF('Council Entry'!G$4="Logarithm",LN(0.001+IF(AND(ISNUMBER('Council Entry'!G$8),ISNUMBER('Council Entry'!G$9)),MAX(MIN('Council Entry'!G192,'Council Entry'!G$9),'Council Entry'!G$8),'Council Entry'!G192)),IF('Council Entry'!G$4="Exponential",EXP(IF(AND(ISNUMBER('Council Entry'!G$8),ISNUMBER('Council Entry'!G$9)),MAX(MIN('Council Entry'!G192,'Council Entry'!G$9),'Council Entry'!G$8),'Council Entry'!G192)),IF(AND(ISNUMBER('Council Entry'!G$8),ISNUMBER('Council Entry'!G$9)),MAX(MIN('Council Entry'!G192,'Council Entry'!G$9),'Council Entry'!G$8),'Council Entry'!G192))))-'Council Entry'!G$5)/('Council Entry'!G$6-'Council Entry'!G$5),10*((IF('Council Entry'!G$4="Logarithm",LN(0.001+IF(AND(ISNUMBER('Council Entry'!G$8),ISNUMBER('Council Entry'!G$9)),MAX(MIN('Council Entry'!G192,'Council Entry'!G$9),'Council Entry'!G$8),'Council Entry'!G192)),IF('Council Entry'!G$4="Exponential",EXP(IF(AND(ISNUMBER('Council Entry'!G$8),ISNUMBER('Council Entry'!G$9)),MAX(MIN('Council Entry'!G192,'Council Entry'!G$9),'Council Entry'!G$8),'Council Entry'!G192)),IF(AND(ISNUMBER('Council Entry'!G$8),ISNUMBER('Council Entry'!G$9)),MAX(MIN('Council Entry'!G192,'Council Entry'!G$9),'Council Entry'!G$8),'Council Entry'!G192))))-'Council Entry'!G$5)/('Council Entry'!G$6-'Council Entry'!G$5)),1))),"No data"))</f>
        <v/>
      </c>
      <c r="H192" s="13">
        <f>IF('Council Entry'!H192="","",IFERROR(MAX(0,MIN(10,ROUND(IF('Council Entry'!H$7="Decrease Risk",10-10*((IF('Council Entry'!H$4="Logarithm",LN(0.001+IF(AND(ISNUMBER('Council Entry'!H$8),ISNUMBER('Council Entry'!H$9)),MAX(MIN('Council Entry'!H192,'Council Entry'!H$9),'Council Entry'!H$8),'Council Entry'!H192)),IF('Council Entry'!H$4="Exponential",EXP(IF(AND(ISNUMBER('Council Entry'!H$8),ISNUMBER('Council Entry'!H$9)),MAX(MIN('Council Entry'!H192,'Council Entry'!H$9),'Council Entry'!H$8),'Council Entry'!H192)),IF(AND(ISNUMBER('Council Entry'!H$8),ISNUMBER('Council Entry'!H$9)),MAX(MIN('Council Entry'!H192,'Council Entry'!H$9),'Council Entry'!H$8),'Council Entry'!H192))))-'Council Entry'!H$5)/('Council Entry'!H$6-'Council Entry'!H$5),10*((IF('Council Entry'!H$4="Logarithm",LN(0.001+IF(AND(ISNUMBER('Council Entry'!H$8),ISNUMBER('Council Entry'!H$9)),MAX(MIN('Council Entry'!H192,'Council Entry'!H$9),'Council Entry'!H$8),'Council Entry'!H192)),IF('Council Entry'!H$4="Exponential",EXP(IF(AND(ISNUMBER('Council Entry'!H$8),ISNUMBER('Council Entry'!H$9)),MAX(MIN('Council Entry'!H192,'Council Entry'!H$9),'Council Entry'!H$8),'Council Entry'!H192)),IF(AND(ISNUMBER('Council Entry'!H$8),ISNUMBER('Council Entry'!H$9)),MAX(MIN('Council Entry'!H192,'Council Entry'!H$9),'Council Entry'!H$8),'Council Entry'!H192))))-'Council Entry'!H$5)/('Council Entry'!H$6-'Council Entry'!H$5)),1))),"No data"))</f>
        <v/>
      </c>
      <c r="I192" s="13">
        <f>IF('Council Entry'!I192="","",IFERROR(MAX(0,MIN(10,ROUND(IF('Council Entry'!I$7="Decrease Risk",10-10*((IF('Council Entry'!I$4="Logarithm",LN(0.001+IF(AND(ISNUMBER('Council Entry'!I$8),ISNUMBER('Council Entry'!I$9)),MAX(MIN('Council Entry'!I192,'Council Entry'!I$9),'Council Entry'!I$8),'Council Entry'!I192)),IF('Council Entry'!I$4="Exponential",EXP(IF(AND(ISNUMBER('Council Entry'!I$8),ISNUMBER('Council Entry'!I$9)),MAX(MIN('Council Entry'!I192,'Council Entry'!I$9),'Council Entry'!I$8),'Council Entry'!I192)),IF(AND(ISNUMBER('Council Entry'!I$8),ISNUMBER('Council Entry'!I$9)),MAX(MIN('Council Entry'!I192,'Council Entry'!I$9),'Council Entry'!I$8),'Council Entry'!I192))))-'Council Entry'!I$5)/('Council Entry'!I$6-'Council Entry'!I$5),10*((IF('Council Entry'!I$4="Logarithm",LN(0.001+IF(AND(ISNUMBER('Council Entry'!I$8),ISNUMBER('Council Entry'!I$9)),MAX(MIN('Council Entry'!I192,'Council Entry'!I$9),'Council Entry'!I$8),'Council Entry'!I192)),IF('Council Entry'!I$4="Exponential",EXP(IF(AND(ISNUMBER('Council Entry'!I$8),ISNUMBER('Council Entry'!I$9)),MAX(MIN('Council Entry'!I192,'Council Entry'!I$9),'Council Entry'!I$8),'Council Entry'!I192)),IF(AND(ISNUMBER('Council Entry'!I$8),ISNUMBER('Council Entry'!I$9)),MAX(MIN('Council Entry'!I192,'Council Entry'!I$9),'Council Entry'!I$8),'Council Entry'!I192))))-'Council Entry'!I$5)/('Council Entry'!I$6-'Council Entry'!I$5)),1))),"No data"))</f>
        <v/>
      </c>
      <c r="J192" s="13">
        <f>IF('Council Entry'!J192="","",IFERROR(MAX(0,MIN(10,ROUND(IF('Council Entry'!J$7="Decrease Risk",10-10*((IF('Council Entry'!J$4="Logarithm",LN(0.001+IF(AND(ISNUMBER('Council Entry'!J$8),ISNUMBER('Council Entry'!J$9)),MAX(MIN('Council Entry'!J192,'Council Entry'!J$9),'Council Entry'!J$8),'Council Entry'!J192)),IF('Council Entry'!J$4="Exponential",EXP(IF(AND(ISNUMBER('Council Entry'!J$8),ISNUMBER('Council Entry'!J$9)),MAX(MIN('Council Entry'!J192,'Council Entry'!J$9),'Council Entry'!J$8),'Council Entry'!J192)),IF(AND(ISNUMBER('Council Entry'!J$8),ISNUMBER('Council Entry'!J$9)),MAX(MIN('Council Entry'!J192,'Council Entry'!J$9),'Council Entry'!J$8),'Council Entry'!J192))))-'Council Entry'!J$5)/('Council Entry'!J$6-'Council Entry'!J$5),10*((IF('Council Entry'!J$4="Logarithm",LN(0.001+IF(AND(ISNUMBER('Council Entry'!J$8),ISNUMBER('Council Entry'!J$9)),MAX(MIN('Council Entry'!J192,'Council Entry'!J$9),'Council Entry'!J$8),'Council Entry'!J192)),IF('Council Entry'!J$4="Exponential",EXP(IF(AND(ISNUMBER('Council Entry'!J$8),ISNUMBER('Council Entry'!J$9)),MAX(MIN('Council Entry'!J192,'Council Entry'!J$9),'Council Entry'!J$8),'Council Entry'!J192)),IF(AND(ISNUMBER('Council Entry'!J$8),ISNUMBER('Council Entry'!J$9)),MAX(MIN('Council Entry'!J192,'Council Entry'!J$9),'Council Entry'!J$8),'Council Entry'!J192))))-'Council Entry'!J$5)/('Council Entry'!J$6-'Council Entry'!J$5)),1))),"No data"))</f>
        <v/>
      </c>
      <c r="K192" s="13">
        <f>IF('Council Entry'!K192="","",IFERROR(MAX(0,MIN(10,ROUND(IF('Council Entry'!K$7="Decrease Risk",10-10*((IF('Council Entry'!K$4="Logarithm",LN(0.001+IF(AND(ISNUMBER('Council Entry'!K$8),ISNUMBER('Council Entry'!K$9)),MAX(MIN('Council Entry'!K192,'Council Entry'!K$9),'Council Entry'!K$8),'Council Entry'!K192)),IF('Council Entry'!K$4="Exponential",EXP(IF(AND(ISNUMBER('Council Entry'!K$8),ISNUMBER('Council Entry'!K$9)),MAX(MIN('Council Entry'!K192,'Council Entry'!K$9),'Council Entry'!K$8),'Council Entry'!K192)),IF(AND(ISNUMBER('Council Entry'!K$8),ISNUMBER('Council Entry'!K$9)),MAX(MIN('Council Entry'!K192,'Council Entry'!K$9),'Council Entry'!K$8),'Council Entry'!K192))))-'Council Entry'!K$5)/('Council Entry'!K$6-'Council Entry'!K$5),10*((IF('Council Entry'!K$4="Logarithm",LN(0.001+IF(AND(ISNUMBER('Council Entry'!K$8),ISNUMBER('Council Entry'!K$9)),MAX(MIN('Council Entry'!K192,'Council Entry'!K$9),'Council Entry'!K$8),'Council Entry'!K192)),IF('Council Entry'!K$4="Exponential",EXP(IF(AND(ISNUMBER('Council Entry'!K$8),ISNUMBER('Council Entry'!K$9)),MAX(MIN('Council Entry'!K192,'Council Entry'!K$9),'Council Entry'!K$8),'Council Entry'!K192)),IF(AND(ISNUMBER('Council Entry'!K$8),ISNUMBER('Council Entry'!K$9)),MAX(MIN('Council Entry'!K192,'Council Entry'!K$9),'Council Entry'!K$8),'Council Entry'!K192))))-'Council Entry'!K$5)/('Council Entry'!K$6-'Council Entry'!K$5)),1))),"No data"))</f>
        <v/>
      </c>
      <c r="L192" s="13">
        <f>IF('Council Entry'!L192="","",IFERROR(MAX(0,MIN(10,ROUND(IF('Council Entry'!L$7="Decrease Risk",10-10*((IF('Council Entry'!L$4="Logarithm",LN(0.001+IF(AND(ISNUMBER('Council Entry'!L$8),ISNUMBER('Council Entry'!L$9)),MAX(MIN('Council Entry'!L192,'Council Entry'!L$9),'Council Entry'!L$8),'Council Entry'!L192)),IF('Council Entry'!L$4="Exponential",EXP(IF(AND(ISNUMBER('Council Entry'!L$8),ISNUMBER('Council Entry'!L$9)),MAX(MIN('Council Entry'!L192,'Council Entry'!L$9),'Council Entry'!L$8),'Council Entry'!L192)),IF(AND(ISNUMBER('Council Entry'!L$8),ISNUMBER('Council Entry'!L$9)),MAX(MIN('Council Entry'!L192,'Council Entry'!L$9),'Council Entry'!L$8),'Council Entry'!L192))))-'Council Entry'!L$5)/('Council Entry'!L$6-'Council Entry'!L$5),10*((IF('Council Entry'!L$4="Logarithm",LN(0.001+IF(AND(ISNUMBER('Council Entry'!L$8),ISNUMBER('Council Entry'!L$9)),MAX(MIN('Council Entry'!L192,'Council Entry'!L$9),'Council Entry'!L$8),'Council Entry'!L192)),IF('Council Entry'!L$4="Exponential",EXP(IF(AND(ISNUMBER('Council Entry'!L$8),ISNUMBER('Council Entry'!L$9)),MAX(MIN('Council Entry'!L192,'Council Entry'!L$9),'Council Entry'!L$8),'Council Entry'!L192)),IF(AND(ISNUMBER('Council Entry'!L$8),ISNUMBER('Council Entry'!L$9)),MAX(MIN('Council Entry'!L192,'Council Entry'!L$9),'Council Entry'!L$8),'Council Entry'!L192))))-'Council Entry'!L$5)/('Council Entry'!L$6-'Council Entry'!L$5)),1))),"No data"))</f>
        <v/>
      </c>
      <c r="M192" s="13">
        <f>IF('Council Entry'!M192="","",IFERROR(MAX(0,MIN(10,ROUND(IF('Council Entry'!M$7="Decrease Risk",10-10*((IF('Council Entry'!M$4="Logarithm",LN(0.001+IF(AND(ISNUMBER('Council Entry'!M$8),ISNUMBER('Council Entry'!M$9)),MAX(MIN('Council Entry'!M192,'Council Entry'!M$9),'Council Entry'!M$8),'Council Entry'!M192)),IF('Council Entry'!M$4="Exponential",EXP(IF(AND(ISNUMBER('Council Entry'!M$8),ISNUMBER('Council Entry'!M$9)),MAX(MIN('Council Entry'!M192,'Council Entry'!M$9),'Council Entry'!M$8),'Council Entry'!M192)),IF(AND(ISNUMBER('Council Entry'!M$8),ISNUMBER('Council Entry'!M$9)),MAX(MIN('Council Entry'!M192,'Council Entry'!M$9),'Council Entry'!M$8),'Council Entry'!M192))))-'Council Entry'!M$5)/('Council Entry'!M$6-'Council Entry'!M$5),10*((IF('Council Entry'!M$4="Logarithm",LN(0.001+IF(AND(ISNUMBER('Council Entry'!M$8),ISNUMBER('Council Entry'!M$9)),MAX(MIN('Council Entry'!M192,'Council Entry'!M$9),'Council Entry'!M$8),'Council Entry'!M192)),IF('Council Entry'!M$4="Exponential",EXP(IF(AND(ISNUMBER('Council Entry'!M$8),ISNUMBER('Council Entry'!M$9)),MAX(MIN('Council Entry'!M192,'Council Entry'!M$9),'Council Entry'!M$8),'Council Entry'!M192)),IF(AND(ISNUMBER('Council Entry'!M$8),ISNUMBER('Council Entry'!M$9)),MAX(MIN('Council Entry'!M192,'Council Entry'!M$9),'Council Entry'!M$8),'Council Entry'!M192))))-'Council Entry'!M$5)/('Council Entry'!M$6-'Council Entry'!M$5)),1))),"No data"))</f>
        <v/>
      </c>
      <c r="N192" s="13">
        <f>IF('Council Entry'!N192="","",IFERROR(MAX(0,MIN(10,ROUND(IF('Council Entry'!N$7="Decrease Risk",10-10*((IF('Council Entry'!N$4="Logarithm",LN(0.001+IF(AND(ISNUMBER('Council Entry'!N$8),ISNUMBER('Council Entry'!N$9)),MAX(MIN('Council Entry'!N192,'Council Entry'!N$9),'Council Entry'!N$8),'Council Entry'!N192)),IF('Council Entry'!N$4="Exponential",EXP(IF(AND(ISNUMBER('Council Entry'!N$8),ISNUMBER('Council Entry'!N$9)),MAX(MIN('Council Entry'!N192,'Council Entry'!N$9),'Council Entry'!N$8),'Council Entry'!N192)),IF(AND(ISNUMBER('Council Entry'!N$8),ISNUMBER('Council Entry'!N$9)),MAX(MIN('Council Entry'!N192,'Council Entry'!N$9),'Council Entry'!N$8),'Council Entry'!N192))))-'Council Entry'!N$5)/('Council Entry'!N$6-'Council Entry'!N$5),10*((IF('Council Entry'!N$4="Logarithm",LN(0.001+IF(AND(ISNUMBER('Council Entry'!N$8),ISNUMBER('Council Entry'!N$9)),MAX(MIN('Council Entry'!N192,'Council Entry'!N$9),'Council Entry'!N$8),'Council Entry'!N192)),IF('Council Entry'!N$4="Exponential",EXP(IF(AND(ISNUMBER('Council Entry'!N$8),ISNUMBER('Council Entry'!N$9)),MAX(MIN('Council Entry'!N192,'Council Entry'!N$9),'Council Entry'!N$8),'Council Entry'!N192)),IF(AND(ISNUMBER('Council Entry'!N$8),ISNUMBER('Council Entry'!N$9)),MAX(MIN('Council Entry'!N192,'Council Entry'!N$9),'Council Entry'!N$8),'Council Entry'!N192))))-'Council Entry'!N$5)/('Council Entry'!N$6-'Council Entry'!N$5)),1))),"No data"))</f>
        <v/>
      </c>
      <c r="O192" s="13">
        <f>IF('Council Entry'!O192="","",IFERROR(MAX(0,MIN(10,ROUND(IF('Council Entry'!O$7="Decrease Risk",10-10*((IF('Council Entry'!O$4="Logarithm",LN(0.001+IF(AND(ISNUMBER('Council Entry'!O$8),ISNUMBER('Council Entry'!O$9)),MAX(MIN('Council Entry'!O192,'Council Entry'!O$9),'Council Entry'!O$8),'Council Entry'!O192)),IF('Council Entry'!O$4="Exponential",EXP(IF(AND(ISNUMBER('Council Entry'!O$8),ISNUMBER('Council Entry'!O$9)),MAX(MIN('Council Entry'!O192,'Council Entry'!O$9),'Council Entry'!O$8),'Council Entry'!O192)),IF(AND(ISNUMBER('Council Entry'!O$8),ISNUMBER('Council Entry'!O$9)),MAX(MIN('Council Entry'!O192,'Council Entry'!O$9),'Council Entry'!O$8),'Council Entry'!O192))))-'Council Entry'!O$5)/('Council Entry'!O$6-'Council Entry'!O$5),10*((IF('Council Entry'!O$4="Logarithm",LN(0.001+IF(AND(ISNUMBER('Council Entry'!O$8),ISNUMBER('Council Entry'!O$9)),MAX(MIN('Council Entry'!O192,'Council Entry'!O$9),'Council Entry'!O$8),'Council Entry'!O192)),IF('Council Entry'!O$4="Exponential",EXP(IF(AND(ISNUMBER('Council Entry'!O$8),ISNUMBER('Council Entry'!O$9)),MAX(MIN('Council Entry'!O192,'Council Entry'!O$9),'Council Entry'!O$8),'Council Entry'!O192)),IF(AND(ISNUMBER('Council Entry'!O$8),ISNUMBER('Council Entry'!O$9)),MAX(MIN('Council Entry'!O192,'Council Entry'!O$9),'Council Entry'!O$8),'Council Entry'!O192))))-'Council Entry'!O$5)/('Council Entry'!O$6-'Council Entry'!O$5)),1))),"No data"))</f>
        <v/>
      </c>
      <c r="P192" s="13">
        <f>IF('Council Entry'!P192="","",IFERROR(MAX(0,MIN(10,ROUND(IF('Council Entry'!P$7="Decrease Risk",10-10*((IF('Council Entry'!P$4="Logarithm",LN(0.001+IF(AND(ISNUMBER('Council Entry'!P$8),ISNUMBER('Council Entry'!P$9)),MAX(MIN('Council Entry'!P192,'Council Entry'!P$9),'Council Entry'!P$8),'Council Entry'!P192)),IF('Council Entry'!P$4="Exponential",EXP(IF(AND(ISNUMBER('Council Entry'!P$8),ISNUMBER('Council Entry'!P$9)),MAX(MIN('Council Entry'!P192,'Council Entry'!P$9),'Council Entry'!P$8),'Council Entry'!P192)),IF(AND(ISNUMBER('Council Entry'!P$8),ISNUMBER('Council Entry'!P$9)),MAX(MIN('Council Entry'!P192,'Council Entry'!P$9),'Council Entry'!P$8),'Council Entry'!P192))))-'Council Entry'!P$5)/('Council Entry'!P$6-'Council Entry'!P$5),10*((IF('Council Entry'!P$4="Logarithm",LN(0.001+IF(AND(ISNUMBER('Council Entry'!P$8),ISNUMBER('Council Entry'!P$9)),MAX(MIN('Council Entry'!P192,'Council Entry'!P$9),'Council Entry'!P$8),'Council Entry'!P192)),IF('Council Entry'!P$4="Exponential",EXP(IF(AND(ISNUMBER('Council Entry'!P$8),ISNUMBER('Council Entry'!P$9)),MAX(MIN('Council Entry'!P192,'Council Entry'!P$9),'Council Entry'!P$8),'Council Entry'!P192)),IF(AND(ISNUMBER('Council Entry'!P$8),ISNUMBER('Council Entry'!P$9)),MAX(MIN('Council Entry'!P192,'Council Entry'!P$9),'Council Entry'!P$8),'Council Entry'!P192))))-'Council Entry'!P$5)/('Council Entry'!P$6-'Council Entry'!P$5)),1))),"No data"))</f>
        <v/>
      </c>
      <c r="Q192" s="13">
        <f>IF('Council Entry'!Q192="","",IFERROR(MAX(0,MIN(10,ROUND(IF('Council Entry'!Q$7="Decrease Risk",10-10*((IF('Council Entry'!Q$4="Logarithm",LN(0.001+IF(AND(ISNUMBER('Council Entry'!Q$8),ISNUMBER('Council Entry'!Q$9)),MAX(MIN('Council Entry'!Q192,'Council Entry'!Q$9),'Council Entry'!Q$8),'Council Entry'!Q192)),IF('Council Entry'!Q$4="Exponential",EXP(IF(AND(ISNUMBER('Council Entry'!Q$8),ISNUMBER('Council Entry'!Q$9)),MAX(MIN('Council Entry'!Q192,'Council Entry'!Q$9),'Council Entry'!Q$8),'Council Entry'!Q192)),IF(AND(ISNUMBER('Council Entry'!Q$8),ISNUMBER('Council Entry'!Q$9)),MAX(MIN('Council Entry'!Q192,'Council Entry'!Q$9),'Council Entry'!Q$8),'Council Entry'!Q192))))-'Council Entry'!Q$5)/('Council Entry'!Q$6-'Council Entry'!Q$5),10*((IF('Council Entry'!Q$4="Logarithm",LN(0.001+IF(AND(ISNUMBER('Council Entry'!Q$8),ISNUMBER('Council Entry'!Q$9)),MAX(MIN('Council Entry'!Q192,'Council Entry'!Q$9),'Council Entry'!Q$8),'Council Entry'!Q192)),IF('Council Entry'!Q$4="Exponential",EXP(IF(AND(ISNUMBER('Council Entry'!Q$8),ISNUMBER('Council Entry'!Q$9)),MAX(MIN('Council Entry'!Q192,'Council Entry'!Q$9),'Council Entry'!Q$8),'Council Entry'!Q192)),IF(AND(ISNUMBER('Council Entry'!Q$8),ISNUMBER('Council Entry'!Q$9)),MAX(MIN('Council Entry'!Q192,'Council Entry'!Q$9),'Council Entry'!Q$8),'Council Entry'!Q192))))-'Council Entry'!Q$5)/('Council Entry'!Q$6-'Council Entry'!Q$5)),1))),"No data"))</f>
        <v/>
      </c>
      <c r="R192" s="13">
        <f>IF('Council Entry'!R192="","",IFERROR(MAX(0,MIN(10,ROUND(IF('Council Entry'!R$7="Decrease Risk",10-10*((IF('Council Entry'!R$4="Logarithm",LN(0.001+IF(AND(ISNUMBER('Council Entry'!R$8),ISNUMBER('Council Entry'!R$9)),MAX(MIN('Council Entry'!R192,'Council Entry'!R$9),'Council Entry'!R$8),'Council Entry'!R192)),IF('Council Entry'!R$4="Exponential",EXP(IF(AND(ISNUMBER('Council Entry'!R$8),ISNUMBER('Council Entry'!R$9)),MAX(MIN('Council Entry'!R192,'Council Entry'!R$9),'Council Entry'!R$8),'Council Entry'!R192)),IF(AND(ISNUMBER('Council Entry'!R$8),ISNUMBER('Council Entry'!R$9)),MAX(MIN('Council Entry'!R192,'Council Entry'!R$9),'Council Entry'!R$8),'Council Entry'!R192))))-'Council Entry'!R$5)/('Council Entry'!R$6-'Council Entry'!R$5),10*((IF('Council Entry'!R$4="Logarithm",LN(0.001+IF(AND(ISNUMBER('Council Entry'!R$8),ISNUMBER('Council Entry'!R$9)),MAX(MIN('Council Entry'!R192,'Council Entry'!R$9),'Council Entry'!R$8),'Council Entry'!R192)),IF('Council Entry'!R$4="Exponential",EXP(IF(AND(ISNUMBER('Council Entry'!R$8),ISNUMBER('Council Entry'!R$9)),MAX(MIN('Council Entry'!R192,'Council Entry'!R$9),'Council Entry'!R$8),'Council Entry'!R192)),IF(AND(ISNUMBER('Council Entry'!R$8),ISNUMBER('Council Entry'!R$9)),MAX(MIN('Council Entry'!R192,'Council Entry'!R$9),'Council Entry'!R$8),'Council Entry'!R192))))-'Council Entry'!R$5)/('Council Entry'!R$6-'Council Entry'!R$5)),1))),"No data"))</f>
        <v/>
      </c>
      <c r="S192" s="13">
        <f>IF('Council Entry'!S192="","",IFERROR(MAX(0,MIN(10,ROUND(IF('Council Entry'!S$7="Decrease Risk",10-10*((IF('Council Entry'!S$4="Logarithm",LN(0.001+IF(AND(ISNUMBER('Council Entry'!S$8),ISNUMBER('Council Entry'!S$9)),MAX(MIN('Council Entry'!S192,'Council Entry'!S$9),'Council Entry'!S$8),'Council Entry'!S192)),IF('Council Entry'!S$4="Exponential",EXP(IF(AND(ISNUMBER('Council Entry'!S$8),ISNUMBER('Council Entry'!S$9)),MAX(MIN('Council Entry'!S192,'Council Entry'!S$9),'Council Entry'!S$8),'Council Entry'!S192)),IF(AND(ISNUMBER('Council Entry'!S$8),ISNUMBER('Council Entry'!S$9)),MAX(MIN('Council Entry'!S192,'Council Entry'!S$9),'Council Entry'!S$8),'Council Entry'!S192))))-'Council Entry'!S$5)/('Council Entry'!S$6-'Council Entry'!S$5),10*((IF('Council Entry'!S$4="Logarithm",LN(0.001+IF(AND(ISNUMBER('Council Entry'!S$8),ISNUMBER('Council Entry'!S$9)),MAX(MIN('Council Entry'!S192,'Council Entry'!S$9),'Council Entry'!S$8),'Council Entry'!S192)),IF('Council Entry'!S$4="Exponential",EXP(IF(AND(ISNUMBER('Council Entry'!S$8),ISNUMBER('Council Entry'!S$9)),MAX(MIN('Council Entry'!S192,'Council Entry'!S$9),'Council Entry'!S$8),'Council Entry'!S192)),IF(AND(ISNUMBER('Council Entry'!S$8),ISNUMBER('Council Entry'!S$9)),MAX(MIN('Council Entry'!S192,'Council Entry'!S$9),'Council Entry'!S$8),'Council Entry'!S192))))-'Council Entry'!S$5)/('Council Entry'!S$6-'Council Entry'!S$5)),1))),"No data"))</f>
        <v/>
      </c>
      <c r="T192" s="13">
        <f>IF('Council Entry'!T192="","",IFERROR(MAX(0,MIN(10,ROUND(IF('Council Entry'!T$7="Decrease Risk",10-10*((IF('Council Entry'!T$4="Logarithm",LN(0.001+IF(AND(ISNUMBER('Council Entry'!T$8),ISNUMBER('Council Entry'!T$9)),MAX(MIN('Council Entry'!T192,'Council Entry'!T$9),'Council Entry'!T$8),'Council Entry'!T192)),IF('Council Entry'!T$4="Exponential",EXP(IF(AND(ISNUMBER('Council Entry'!T$8),ISNUMBER('Council Entry'!T$9)),MAX(MIN('Council Entry'!T192,'Council Entry'!T$9),'Council Entry'!T$8),'Council Entry'!T192)),IF(AND(ISNUMBER('Council Entry'!T$8),ISNUMBER('Council Entry'!T$9)),MAX(MIN('Council Entry'!T192,'Council Entry'!T$9),'Council Entry'!T$8),'Council Entry'!T192))))-'Council Entry'!T$5)/('Council Entry'!T$6-'Council Entry'!T$5),10*((IF('Council Entry'!T$4="Logarithm",LN(0.001+IF(AND(ISNUMBER('Council Entry'!T$8),ISNUMBER('Council Entry'!T$9)),MAX(MIN('Council Entry'!T192,'Council Entry'!T$9),'Council Entry'!T$8),'Council Entry'!T192)),IF('Council Entry'!T$4="Exponential",EXP(IF(AND(ISNUMBER('Council Entry'!T$8),ISNUMBER('Council Entry'!T$9)),MAX(MIN('Council Entry'!T192,'Council Entry'!T$9),'Council Entry'!T$8),'Council Entry'!T192)),IF(AND(ISNUMBER('Council Entry'!T$8),ISNUMBER('Council Entry'!T$9)),MAX(MIN('Council Entry'!T192,'Council Entry'!T$9),'Council Entry'!T$8),'Council Entry'!T192))))-'Council Entry'!T$5)/('Council Entry'!T$6-'Council Entry'!T$5)),1))),"No data"))</f>
        <v/>
      </c>
      <c r="U192" s="13">
        <f>IF('Council Entry'!U192="","",IFERROR(MAX(0,MIN(10,ROUND(IF('Council Entry'!U$7="Decrease Risk",10-10*((IF('Council Entry'!U$4="Logarithm",LN(0.001+IF(AND(ISNUMBER('Council Entry'!U$8),ISNUMBER('Council Entry'!U$9)),MAX(MIN('Council Entry'!U192,'Council Entry'!U$9),'Council Entry'!U$8),'Council Entry'!U192)),IF('Council Entry'!U$4="Exponential",EXP(IF(AND(ISNUMBER('Council Entry'!U$8),ISNUMBER('Council Entry'!U$9)),MAX(MIN('Council Entry'!U192,'Council Entry'!U$9),'Council Entry'!U$8),'Council Entry'!U192)),IF(AND(ISNUMBER('Council Entry'!U$8),ISNUMBER('Council Entry'!U$9)),MAX(MIN('Council Entry'!U192,'Council Entry'!U$9),'Council Entry'!U$8),'Council Entry'!U192))))-'Council Entry'!U$5)/('Council Entry'!U$6-'Council Entry'!U$5),10*((IF('Council Entry'!U$4="Logarithm",LN(0.001+IF(AND(ISNUMBER('Council Entry'!U$8),ISNUMBER('Council Entry'!U$9)),MAX(MIN('Council Entry'!U192,'Council Entry'!U$9),'Council Entry'!U$8),'Council Entry'!U192)),IF('Council Entry'!U$4="Exponential",EXP(IF(AND(ISNUMBER('Council Entry'!U$8),ISNUMBER('Council Entry'!U$9)),MAX(MIN('Council Entry'!U192,'Council Entry'!U$9),'Council Entry'!U$8),'Council Entry'!U192)),IF(AND(ISNUMBER('Council Entry'!U$8),ISNUMBER('Council Entry'!U$9)),MAX(MIN('Council Entry'!U192,'Council Entry'!U$9),'Council Entry'!U$8),'Council Entry'!U192))))-'Council Entry'!U$5)/('Council Entry'!U$6-'Council Entry'!U$5)),1))),"No data"))</f>
        <v/>
      </c>
      <c r="V192" s="13">
        <f>IF('Council Entry'!V192="","",IFERROR(MAX(0,MIN(10,ROUND(IF('Council Entry'!V$7="Decrease Risk",10-10*((IF('Council Entry'!V$4="Logarithm",LN(0.001+IF(AND(ISNUMBER('Council Entry'!V$8),ISNUMBER('Council Entry'!V$9)),MAX(MIN('Council Entry'!V192,'Council Entry'!V$9),'Council Entry'!V$8),'Council Entry'!V192)),IF('Council Entry'!V$4="Exponential",EXP(IF(AND(ISNUMBER('Council Entry'!V$8),ISNUMBER('Council Entry'!V$9)),MAX(MIN('Council Entry'!V192,'Council Entry'!V$9),'Council Entry'!V$8),'Council Entry'!V192)),IF(AND(ISNUMBER('Council Entry'!V$8),ISNUMBER('Council Entry'!V$9)),MAX(MIN('Council Entry'!V192,'Council Entry'!V$9),'Council Entry'!V$8),'Council Entry'!V192))))-'Council Entry'!V$5)/('Council Entry'!V$6-'Council Entry'!V$5),10*((IF('Council Entry'!V$4="Logarithm",LN(0.001+IF(AND(ISNUMBER('Council Entry'!V$8),ISNUMBER('Council Entry'!V$9)),MAX(MIN('Council Entry'!V192,'Council Entry'!V$9),'Council Entry'!V$8),'Council Entry'!V192)),IF('Council Entry'!V$4="Exponential",EXP(IF(AND(ISNUMBER('Council Entry'!V$8),ISNUMBER('Council Entry'!V$9)),MAX(MIN('Council Entry'!V192,'Council Entry'!V$9),'Council Entry'!V$8),'Council Entry'!V192)),IF(AND(ISNUMBER('Council Entry'!V$8),ISNUMBER('Council Entry'!V$9)),MAX(MIN('Council Entry'!V192,'Council Entry'!V$9),'Council Entry'!V$8),'Council Entry'!V192))))-'Council Entry'!V$5)/('Council Entry'!V$6-'Council Entry'!V$5)),1))),"No data"))</f>
        <v/>
      </c>
      <c r="W192" s="13">
        <f>IF('Council Entry'!W192="","",IFERROR(MAX(0,MIN(10,ROUND(IF('Council Entry'!W$7="Decrease Risk",10-10*((IF('Council Entry'!W$4="Logarithm",LN(0.001+IF(AND(ISNUMBER('Council Entry'!W$8),ISNUMBER('Council Entry'!W$9)),MAX(MIN('Council Entry'!W192,'Council Entry'!W$9),'Council Entry'!W$8),'Council Entry'!W192)),IF('Council Entry'!W$4="Exponential",EXP(IF(AND(ISNUMBER('Council Entry'!W$8),ISNUMBER('Council Entry'!W$9)),MAX(MIN('Council Entry'!W192,'Council Entry'!W$9),'Council Entry'!W$8),'Council Entry'!W192)),IF(AND(ISNUMBER('Council Entry'!W$8),ISNUMBER('Council Entry'!W$9)),MAX(MIN('Council Entry'!W192,'Council Entry'!W$9),'Council Entry'!W$8),'Council Entry'!W192))))-'Council Entry'!W$5)/('Council Entry'!W$6-'Council Entry'!W$5),10*((IF('Council Entry'!W$4="Logarithm",LN(0.001+IF(AND(ISNUMBER('Council Entry'!W$8),ISNUMBER('Council Entry'!W$9)),MAX(MIN('Council Entry'!W192,'Council Entry'!W$9),'Council Entry'!W$8),'Council Entry'!W192)),IF('Council Entry'!W$4="Exponential",EXP(IF(AND(ISNUMBER('Council Entry'!W$8),ISNUMBER('Council Entry'!W$9)),MAX(MIN('Council Entry'!W192,'Council Entry'!W$9),'Council Entry'!W$8),'Council Entry'!W192)),IF(AND(ISNUMBER('Council Entry'!W$8),ISNUMBER('Council Entry'!W$9)),MAX(MIN('Council Entry'!W192,'Council Entry'!W$9),'Council Entry'!W$8),'Council Entry'!W192))))-'Council Entry'!W$5)/('Council Entry'!W$6-'Council Entry'!W$5)),1))),"No data"))</f>
        <v/>
      </c>
      <c r="X192" s="13">
        <f>IF('Council Entry'!X192="","",IFERROR(MAX(0,MIN(10,ROUND(IF('Council Entry'!X$7="Decrease Risk",10-10*((IF('Council Entry'!X$4="Logarithm",LN(0.001+IF(AND(ISNUMBER('Council Entry'!X$8),ISNUMBER('Council Entry'!X$9)),MAX(MIN('Council Entry'!X192,'Council Entry'!X$9),'Council Entry'!X$8),'Council Entry'!X192)),IF('Council Entry'!X$4="Exponential",EXP(IF(AND(ISNUMBER('Council Entry'!X$8),ISNUMBER('Council Entry'!X$9)),MAX(MIN('Council Entry'!X192,'Council Entry'!X$9),'Council Entry'!X$8),'Council Entry'!X192)),IF(AND(ISNUMBER('Council Entry'!X$8),ISNUMBER('Council Entry'!X$9)),MAX(MIN('Council Entry'!X192,'Council Entry'!X$9),'Council Entry'!X$8),'Council Entry'!X192))))-'Council Entry'!X$5)/('Council Entry'!X$6-'Council Entry'!X$5),10*((IF('Council Entry'!X$4="Logarithm",LN(0.001+IF(AND(ISNUMBER('Council Entry'!X$8),ISNUMBER('Council Entry'!X$9)),MAX(MIN('Council Entry'!X192,'Council Entry'!X$9),'Council Entry'!X$8),'Council Entry'!X192)),IF('Council Entry'!X$4="Exponential",EXP(IF(AND(ISNUMBER('Council Entry'!X$8),ISNUMBER('Council Entry'!X$9)),MAX(MIN('Council Entry'!X192,'Council Entry'!X$9),'Council Entry'!X$8),'Council Entry'!X192)),IF(AND(ISNUMBER('Council Entry'!X$8),ISNUMBER('Council Entry'!X$9)),MAX(MIN('Council Entry'!X192,'Council Entry'!X$9),'Council Entry'!X$8),'Council Entry'!X192))))-'Council Entry'!X$5)/('Council Entry'!X$6-'Council Entry'!X$5)),1))),"No data"))</f>
        <v/>
      </c>
      <c r="Y192" s="13">
        <f>IF('Council Entry'!Y192="","",IFERROR(MAX(0,MIN(10,ROUND(IF('Council Entry'!Y$7="Decrease Risk",10-10*((IF('Council Entry'!Y$4="Logarithm",LN(0.001+IF(AND(ISNUMBER('Council Entry'!Y$8),ISNUMBER('Council Entry'!Y$9)),MAX(MIN('Council Entry'!Y192,'Council Entry'!Y$9),'Council Entry'!Y$8),'Council Entry'!Y192)),IF('Council Entry'!Y$4="Exponential",EXP(IF(AND(ISNUMBER('Council Entry'!Y$8),ISNUMBER('Council Entry'!Y$9)),MAX(MIN('Council Entry'!Y192,'Council Entry'!Y$9),'Council Entry'!Y$8),'Council Entry'!Y192)),IF(AND(ISNUMBER('Council Entry'!Y$8),ISNUMBER('Council Entry'!Y$9)),MAX(MIN('Council Entry'!Y192,'Council Entry'!Y$9),'Council Entry'!Y$8),'Council Entry'!Y192))))-'Council Entry'!Y$5)/('Council Entry'!Y$6-'Council Entry'!Y$5),10*((IF('Council Entry'!Y$4="Logarithm",LN(0.001+IF(AND(ISNUMBER('Council Entry'!Y$8),ISNUMBER('Council Entry'!Y$9)),MAX(MIN('Council Entry'!Y192,'Council Entry'!Y$9),'Council Entry'!Y$8),'Council Entry'!Y192)),IF('Council Entry'!Y$4="Exponential",EXP(IF(AND(ISNUMBER('Council Entry'!Y$8),ISNUMBER('Council Entry'!Y$9)),MAX(MIN('Council Entry'!Y192,'Council Entry'!Y$9),'Council Entry'!Y$8),'Council Entry'!Y192)),IF(AND(ISNUMBER('Council Entry'!Y$8),ISNUMBER('Council Entry'!Y$9)),MAX(MIN('Council Entry'!Y192,'Council Entry'!Y$9),'Council Entry'!Y$8),'Council Entry'!Y192))))-'Council Entry'!Y$5)/('Council Entry'!Y$6-'Council Entry'!Y$5)),1))),"No data"))</f>
        <v/>
      </c>
      <c r="Z192" s="13">
        <f>IF('Council Entry'!Z192="","",IFERROR(MAX(0,MIN(10,ROUND(IF('Council Entry'!Z$7="Decrease Risk",10-10*((IF('Council Entry'!Z$4="Logarithm",LN(0.001+IF(AND(ISNUMBER('Council Entry'!Z$8),ISNUMBER('Council Entry'!Z$9)),MAX(MIN('Council Entry'!Z192,'Council Entry'!Z$9),'Council Entry'!Z$8),'Council Entry'!Z192)),IF('Council Entry'!Z$4="Exponential",EXP(IF(AND(ISNUMBER('Council Entry'!Z$8),ISNUMBER('Council Entry'!Z$9)),MAX(MIN('Council Entry'!Z192,'Council Entry'!Z$9),'Council Entry'!Z$8),'Council Entry'!Z192)),IF(AND(ISNUMBER('Council Entry'!Z$8),ISNUMBER('Council Entry'!Z$9)),MAX(MIN('Council Entry'!Z192,'Council Entry'!Z$9),'Council Entry'!Z$8),'Council Entry'!Z192))))-'Council Entry'!Z$5)/('Council Entry'!Z$6-'Council Entry'!Z$5),10*((IF('Council Entry'!Z$4="Logarithm",LN(0.001+IF(AND(ISNUMBER('Council Entry'!Z$8),ISNUMBER('Council Entry'!Z$9)),MAX(MIN('Council Entry'!Z192,'Council Entry'!Z$9),'Council Entry'!Z$8),'Council Entry'!Z192)),IF('Council Entry'!Z$4="Exponential",EXP(IF(AND(ISNUMBER('Council Entry'!Z$8),ISNUMBER('Council Entry'!Z$9)),MAX(MIN('Council Entry'!Z192,'Council Entry'!Z$9),'Council Entry'!Z$8),'Council Entry'!Z192)),IF(AND(ISNUMBER('Council Entry'!Z$8),ISNUMBER('Council Entry'!Z$9)),MAX(MIN('Council Entry'!Z192,'Council Entry'!Z$9),'Council Entry'!Z$8),'Council Entry'!Z192))))-'Council Entry'!Z$5)/('Council Entry'!Z$6-'Council Entry'!Z$5)),1))),"No data"))</f>
        <v/>
      </c>
      <c r="AA192" s="13">
        <f>IF('Council Entry'!AA192="","",IFERROR(MAX(0,MIN(10,ROUND(IF('Council Entry'!AA$7="Decrease Risk",10-10*((IF('Council Entry'!AA$4="Logarithm",LN(0.001+IF(AND(ISNUMBER('Council Entry'!AA$8),ISNUMBER('Council Entry'!AA$9)),MAX(MIN('Council Entry'!AA192,'Council Entry'!AA$9),'Council Entry'!AA$8),'Council Entry'!AA192)),IF('Council Entry'!AA$4="Exponential",EXP(IF(AND(ISNUMBER('Council Entry'!AA$8),ISNUMBER('Council Entry'!AA$9)),MAX(MIN('Council Entry'!AA192,'Council Entry'!AA$9),'Council Entry'!AA$8),'Council Entry'!AA192)),IF(AND(ISNUMBER('Council Entry'!AA$8),ISNUMBER('Council Entry'!AA$9)),MAX(MIN('Council Entry'!AA192,'Council Entry'!AA$9),'Council Entry'!AA$8),'Council Entry'!AA192))))-'Council Entry'!AA$5)/('Council Entry'!AA$6-'Council Entry'!AA$5),10*((IF('Council Entry'!AA$4="Logarithm",LN(0.001+IF(AND(ISNUMBER('Council Entry'!AA$8),ISNUMBER('Council Entry'!AA$9)),MAX(MIN('Council Entry'!AA192,'Council Entry'!AA$9),'Council Entry'!AA$8),'Council Entry'!AA192)),IF('Council Entry'!AA$4="Exponential",EXP(IF(AND(ISNUMBER('Council Entry'!AA$8),ISNUMBER('Council Entry'!AA$9)),MAX(MIN('Council Entry'!AA192,'Council Entry'!AA$9),'Council Entry'!AA$8),'Council Entry'!AA192)),IF(AND(ISNUMBER('Council Entry'!AA$8),ISNUMBER('Council Entry'!AA$9)),MAX(MIN('Council Entry'!AA192,'Council Entry'!AA$9),'Council Entry'!AA$8),'Council Entry'!AA192))))-'Council Entry'!AA$5)/('Council Entry'!AA$6-'Council Entry'!AA$5)),1))),"No data"))</f>
        <v/>
      </c>
      <c r="AB192" s="13">
        <f>IF('Council Entry'!AB192="","",IFERROR(MAX(0,MIN(10,ROUND(IF('Council Entry'!AB$7="Decrease Risk",10-10*((IF('Council Entry'!AB$4="Logarithm",LN(0.001+IF(AND(ISNUMBER('Council Entry'!AB$8),ISNUMBER('Council Entry'!AB$9)),MAX(MIN('Council Entry'!AB192,'Council Entry'!AB$9),'Council Entry'!AB$8),'Council Entry'!AB192)),IF('Council Entry'!AB$4="Exponential",EXP(IF(AND(ISNUMBER('Council Entry'!AB$8),ISNUMBER('Council Entry'!AB$9)),MAX(MIN('Council Entry'!AB192,'Council Entry'!AB$9),'Council Entry'!AB$8),'Council Entry'!AB192)),IF(AND(ISNUMBER('Council Entry'!AB$8),ISNUMBER('Council Entry'!AB$9)),MAX(MIN('Council Entry'!AB192,'Council Entry'!AB$9),'Council Entry'!AB$8),'Council Entry'!AB192))))-'Council Entry'!AB$5)/('Council Entry'!AB$6-'Council Entry'!AB$5),10*((IF('Council Entry'!AB$4="Logarithm",LN(0.001+IF(AND(ISNUMBER('Council Entry'!AB$8),ISNUMBER('Council Entry'!AB$9)),MAX(MIN('Council Entry'!AB192,'Council Entry'!AB$9),'Council Entry'!AB$8),'Council Entry'!AB192)),IF('Council Entry'!AB$4="Exponential",EXP(IF(AND(ISNUMBER('Council Entry'!AB$8),ISNUMBER('Council Entry'!AB$9)),MAX(MIN('Council Entry'!AB192,'Council Entry'!AB$9),'Council Entry'!AB$8),'Council Entry'!AB192)),IF(AND(ISNUMBER('Council Entry'!AB$8),ISNUMBER('Council Entry'!AB$9)),MAX(MIN('Council Entry'!AB192,'Council Entry'!AB$9),'Council Entry'!AB$8),'Council Entry'!AB192))))-'Council Entry'!AB$5)/('Council Entry'!AB$6-'Council Entry'!AB$5)),1))),"No data"))</f>
        <v/>
      </c>
      <c r="AC192" s="13">
        <f>IF('Council Entry'!AC192="","",IFERROR(MAX(0,MIN(10,ROUND(IF('Council Entry'!AC$7="Decrease Risk",10-10*((IF('Council Entry'!AC$4="Logarithm",LN(0.001+IF(AND(ISNUMBER('Council Entry'!AC$8),ISNUMBER('Council Entry'!AC$9)),MAX(MIN('Council Entry'!AC192,'Council Entry'!AC$9),'Council Entry'!AC$8),'Council Entry'!AC192)),IF('Council Entry'!AC$4="Exponential",EXP(IF(AND(ISNUMBER('Council Entry'!AC$8),ISNUMBER('Council Entry'!AC$9)),MAX(MIN('Council Entry'!AC192,'Council Entry'!AC$9),'Council Entry'!AC$8),'Council Entry'!AC192)),IF(AND(ISNUMBER('Council Entry'!AC$8),ISNUMBER('Council Entry'!AC$9)),MAX(MIN('Council Entry'!AC192,'Council Entry'!AC$9),'Council Entry'!AC$8),'Council Entry'!AC192))))-'Council Entry'!AC$5)/('Council Entry'!AC$6-'Council Entry'!AC$5),10*((IF('Council Entry'!AC$4="Logarithm",LN(0.001+IF(AND(ISNUMBER('Council Entry'!AC$8),ISNUMBER('Council Entry'!AC$9)),MAX(MIN('Council Entry'!AC192,'Council Entry'!AC$9),'Council Entry'!AC$8),'Council Entry'!AC192)),IF('Council Entry'!AC$4="Exponential",EXP(IF(AND(ISNUMBER('Council Entry'!AC$8),ISNUMBER('Council Entry'!AC$9)),MAX(MIN('Council Entry'!AC192,'Council Entry'!AC$9),'Council Entry'!AC$8),'Council Entry'!AC192)),IF(AND(ISNUMBER('Council Entry'!AC$8),ISNUMBER('Council Entry'!AC$9)),MAX(MIN('Council Entry'!AC192,'Council Entry'!AC$9),'Council Entry'!AC$8),'Council Entry'!AC192))))-'Council Entry'!AC$5)/('Council Entry'!AC$6-'Council Entry'!AC$5)),1))),"No data"))</f>
        <v/>
      </c>
      <c r="AD192" s="13">
        <f>IF('Council Entry'!AD192="","",IFERROR(MAX(0,MIN(10,ROUND(IF('Council Entry'!AD$7="Decrease Risk",10-10*((IF('Council Entry'!AD$4="Logarithm",LN(0.001+IF(AND(ISNUMBER('Council Entry'!AD$8),ISNUMBER('Council Entry'!AD$9)),MAX(MIN('Council Entry'!AD192,'Council Entry'!AD$9),'Council Entry'!AD$8),'Council Entry'!AD192)),IF('Council Entry'!AD$4="Exponential",EXP(IF(AND(ISNUMBER('Council Entry'!AD$8),ISNUMBER('Council Entry'!AD$9)),MAX(MIN('Council Entry'!AD192,'Council Entry'!AD$9),'Council Entry'!AD$8),'Council Entry'!AD192)),IF(AND(ISNUMBER('Council Entry'!AD$8),ISNUMBER('Council Entry'!AD$9)),MAX(MIN('Council Entry'!AD192,'Council Entry'!AD$9),'Council Entry'!AD$8),'Council Entry'!AD192))))-'Council Entry'!AD$5)/('Council Entry'!AD$6-'Council Entry'!AD$5),10*((IF('Council Entry'!AD$4="Logarithm",LN(0.001+IF(AND(ISNUMBER('Council Entry'!AD$8),ISNUMBER('Council Entry'!AD$9)),MAX(MIN('Council Entry'!AD192,'Council Entry'!AD$9),'Council Entry'!AD$8),'Council Entry'!AD192)),IF('Council Entry'!AD$4="Exponential",EXP(IF(AND(ISNUMBER('Council Entry'!AD$8),ISNUMBER('Council Entry'!AD$9)),MAX(MIN('Council Entry'!AD192,'Council Entry'!AD$9),'Council Entry'!AD$8),'Council Entry'!AD192)),IF(AND(ISNUMBER('Council Entry'!AD$8),ISNUMBER('Council Entry'!AD$9)),MAX(MIN('Council Entry'!AD192,'Council Entry'!AD$9),'Council Entry'!AD$8),'Council Entry'!AD192))))-'Council Entry'!AD$5)/('Council Entry'!AD$6-'Council Entry'!AD$5)),1))),"No data"))</f>
        <v/>
      </c>
      <c r="AE192" s="13">
        <f>IF('Council Entry'!AE192="","",IFERROR(MAX(0,MIN(10,ROUND(IF('Council Entry'!AE$7="Decrease Risk",10-10*((IF('Council Entry'!AE$4="Logarithm",LN(0.001+IF(AND(ISNUMBER('Council Entry'!AE$8),ISNUMBER('Council Entry'!AE$9)),MAX(MIN('Council Entry'!AE192,'Council Entry'!AE$9),'Council Entry'!AE$8),'Council Entry'!AE192)),IF('Council Entry'!AE$4="Exponential",EXP(IF(AND(ISNUMBER('Council Entry'!AE$8),ISNUMBER('Council Entry'!AE$9)),MAX(MIN('Council Entry'!AE192,'Council Entry'!AE$9),'Council Entry'!AE$8),'Council Entry'!AE192)),IF(AND(ISNUMBER('Council Entry'!AE$8),ISNUMBER('Council Entry'!AE$9)),MAX(MIN('Council Entry'!AE192,'Council Entry'!AE$9),'Council Entry'!AE$8),'Council Entry'!AE192))))-'Council Entry'!AE$5)/('Council Entry'!AE$6-'Council Entry'!AE$5),10*((IF('Council Entry'!AE$4="Logarithm",LN(0.001+IF(AND(ISNUMBER('Council Entry'!AE$8),ISNUMBER('Council Entry'!AE$9)),MAX(MIN('Council Entry'!AE192,'Council Entry'!AE$9),'Council Entry'!AE$8),'Council Entry'!AE192)),IF('Council Entry'!AE$4="Exponential",EXP(IF(AND(ISNUMBER('Council Entry'!AE$8),ISNUMBER('Council Entry'!AE$9)),MAX(MIN('Council Entry'!AE192,'Council Entry'!AE$9),'Council Entry'!AE$8),'Council Entry'!AE192)),IF(AND(ISNUMBER('Council Entry'!AE$8),ISNUMBER('Council Entry'!AE$9)),MAX(MIN('Council Entry'!AE192,'Council Entry'!AE$9),'Council Entry'!AE$8),'Council Entry'!AE192))))-'Council Entry'!AE$5)/('Council Entry'!AE$6-'Council Entry'!AE$5)),1))),"No data"))</f>
        <v/>
      </c>
      <c r="AF192" s="13">
        <f>IF('Council Entry'!AF192="","",IFERROR(MAX(0,MIN(10,ROUND(IF('Council Entry'!AF$7="Decrease Risk",10-10*((IF('Council Entry'!AF$4="Logarithm",LN(0.001+IF(AND(ISNUMBER('Council Entry'!AF$8),ISNUMBER('Council Entry'!AF$9)),MAX(MIN('Council Entry'!AF192,'Council Entry'!AF$9),'Council Entry'!AF$8),'Council Entry'!AF192)),IF('Council Entry'!AF$4="Exponential",EXP(IF(AND(ISNUMBER('Council Entry'!AF$8),ISNUMBER('Council Entry'!AF$9)),MAX(MIN('Council Entry'!AF192,'Council Entry'!AF$9),'Council Entry'!AF$8),'Council Entry'!AF192)),IF(AND(ISNUMBER('Council Entry'!AF$8),ISNUMBER('Council Entry'!AF$9)),MAX(MIN('Council Entry'!AF192,'Council Entry'!AF$9),'Council Entry'!AF$8),'Council Entry'!AF192))))-'Council Entry'!AF$5)/('Council Entry'!AF$6-'Council Entry'!AF$5),10*((IF('Council Entry'!AF$4="Logarithm",LN(0.001+IF(AND(ISNUMBER('Council Entry'!AF$8),ISNUMBER('Council Entry'!AF$9)),MAX(MIN('Council Entry'!AF192,'Council Entry'!AF$9),'Council Entry'!AF$8),'Council Entry'!AF192)),IF('Council Entry'!AF$4="Exponential",EXP(IF(AND(ISNUMBER('Council Entry'!AF$8),ISNUMBER('Council Entry'!AF$9)),MAX(MIN('Council Entry'!AF192,'Council Entry'!AF$9),'Council Entry'!AF$8),'Council Entry'!AF192)),IF(AND(ISNUMBER('Council Entry'!AF$8),ISNUMBER('Council Entry'!AF$9)),MAX(MIN('Council Entry'!AF192,'Council Entry'!AF$9),'Council Entry'!AF$8),'Council Entry'!AF192))))-'Council Entry'!AF$5)/('Council Entry'!AF$6-'Council Entry'!AF$5)),1))),"No data"))</f>
        <v/>
      </c>
      <c r="AG192" s="13">
        <f>IF('Council Entry'!AG192="","",IFERROR(MAX(0,MIN(10,ROUND(IF('Council Entry'!AG$7="Decrease Risk",10-10*((IF('Council Entry'!AG$4="Logarithm",LN(0.001+IF(AND(ISNUMBER('Council Entry'!AG$8),ISNUMBER('Council Entry'!AG$9)),MAX(MIN('Council Entry'!AG192,'Council Entry'!AG$9),'Council Entry'!AG$8),'Council Entry'!AG192)),IF('Council Entry'!AG$4="Exponential",EXP(IF(AND(ISNUMBER('Council Entry'!AG$8),ISNUMBER('Council Entry'!AG$9)),MAX(MIN('Council Entry'!AG192,'Council Entry'!AG$9),'Council Entry'!AG$8),'Council Entry'!AG192)),IF(AND(ISNUMBER('Council Entry'!AG$8),ISNUMBER('Council Entry'!AG$9)),MAX(MIN('Council Entry'!AG192,'Council Entry'!AG$9),'Council Entry'!AG$8),'Council Entry'!AG192))))-'Council Entry'!AG$5)/('Council Entry'!AG$6-'Council Entry'!AG$5),10*((IF('Council Entry'!AG$4="Logarithm",LN(0.001+IF(AND(ISNUMBER('Council Entry'!AG$8),ISNUMBER('Council Entry'!AG$9)),MAX(MIN('Council Entry'!AG192,'Council Entry'!AG$9),'Council Entry'!AG$8),'Council Entry'!AG192)),IF('Council Entry'!AG$4="Exponential",EXP(IF(AND(ISNUMBER('Council Entry'!AG$8),ISNUMBER('Council Entry'!AG$9)),MAX(MIN('Council Entry'!AG192,'Council Entry'!AG$9),'Council Entry'!AG$8),'Council Entry'!AG192)),IF(AND(ISNUMBER('Council Entry'!AG$8),ISNUMBER('Council Entry'!AG$9)),MAX(MIN('Council Entry'!AG192,'Council Entry'!AG$9),'Council Entry'!AG$8),'Council Entry'!AG192))))-'Council Entry'!AG$5)/('Council Entry'!AG$6-'Council Entry'!AG$5)),1))),"No data"))</f>
        <v/>
      </c>
      <c r="AH192" s="13">
        <f>IF('Council Entry'!AH192="","",IFERROR(MAX(0,MIN(10,ROUND(IF('Council Entry'!AH$7="Decrease Risk",10-10*((IF('Council Entry'!AH$4="Logarithm",LN(0.001+IF(AND(ISNUMBER('Council Entry'!AH$8),ISNUMBER('Council Entry'!AH$9)),MAX(MIN('Council Entry'!AH192,'Council Entry'!AH$9),'Council Entry'!AH$8),'Council Entry'!AH192)),IF('Council Entry'!AH$4="Exponential",EXP(IF(AND(ISNUMBER('Council Entry'!AH$8),ISNUMBER('Council Entry'!AH$9)),MAX(MIN('Council Entry'!AH192,'Council Entry'!AH$9),'Council Entry'!AH$8),'Council Entry'!AH192)),IF(AND(ISNUMBER('Council Entry'!AH$8),ISNUMBER('Council Entry'!AH$9)),MAX(MIN('Council Entry'!AH192,'Council Entry'!AH$9),'Council Entry'!AH$8),'Council Entry'!AH192))))-'Council Entry'!AH$5)/('Council Entry'!AH$6-'Council Entry'!AH$5),10*((IF('Council Entry'!AH$4="Logarithm",LN(0.001+IF(AND(ISNUMBER('Council Entry'!AH$8),ISNUMBER('Council Entry'!AH$9)),MAX(MIN('Council Entry'!AH192,'Council Entry'!AH$9),'Council Entry'!AH$8),'Council Entry'!AH192)),IF('Council Entry'!AH$4="Exponential",EXP(IF(AND(ISNUMBER('Council Entry'!AH$8),ISNUMBER('Council Entry'!AH$9)),MAX(MIN('Council Entry'!AH192,'Council Entry'!AH$9),'Council Entry'!AH$8),'Council Entry'!AH192)),IF(AND(ISNUMBER('Council Entry'!AH$8),ISNUMBER('Council Entry'!AH$9)),MAX(MIN('Council Entry'!AH192,'Council Entry'!AH$9),'Council Entry'!AH$8),'Council Entry'!AH192))))-'Council Entry'!AH$5)/('Council Entry'!AH$6-'Council Entry'!AH$5)),1))),"No data"))</f>
        <v/>
      </c>
      <c r="AI192" s="13">
        <f>IF('Council Entry'!AI192="","",IFERROR(MAX(0,MIN(10,ROUND(IF('Council Entry'!AI$7="Decrease Risk",10-10*((IF('Council Entry'!AI$4="Logarithm",LN(0.001+IF(AND(ISNUMBER('Council Entry'!AI$8),ISNUMBER('Council Entry'!AI$9)),MAX(MIN('Council Entry'!AI192,'Council Entry'!AI$9),'Council Entry'!AI$8),'Council Entry'!AI192)),IF('Council Entry'!AI$4="Exponential",EXP(IF(AND(ISNUMBER('Council Entry'!AI$8),ISNUMBER('Council Entry'!AI$9)),MAX(MIN('Council Entry'!AI192,'Council Entry'!AI$9),'Council Entry'!AI$8),'Council Entry'!AI192)),IF(AND(ISNUMBER('Council Entry'!AI$8),ISNUMBER('Council Entry'!AI$9)),MAX(MIN('Council Entry'!AI192,'Council Entry'!AI$9),'Council Entry'!AI$8),'Council Entry'!AI192))))-'Council Entry'!AI$5)/('Council Entry'!AI$6-'Council Entry'!AI$5),10*((IF('Council Entry'!AI$4="Logarithm",LN(0.001+IF(AND(ISNUMBER('Council Entry'!AI$8),ISNUMBER('Council Entry'!AI$9)),MAX(MIN('Council Entry'!AI192,'Council Entry'!AI$9),'Council Entry'!AI$8),'Council Entry'!AI192)),IF('Council Entry'!AI$4="Exponential",EXP(IF(AND(ISNUMBER('Council Entry'!AI$8),ISNUMBER('Council Entry'!AI$9)),MAX(MIN('Council Entry'!AI192,'Council Entry'!AI$9),'Council Entry'!AI$8),'Council Entry'!AI192)),IF(AND(ISNUMBER('Council Entry'!AI$8),ISNUMBER('Council Entry'!AI$9)),MAX(MIN('Council Entry'!AI192,'Council Entry'!AI$9),'Council Entry'!AI$8),'Council Entry'!AI192))))-'Council Entry'!AI$5)/('Council Entry'!AI$6-'Council Entry'!AI$5)),1))),"No data"))</f>
        <v/>
      </c>
      <c r="AJ192" s="13">
        <f>IF('Council Entry'!AJ192="","",IFERROR(MAX(0,MIN(10,ROUND(IF('Council Entry'!AJ$7="Decrease Risk",10-10*((IF('Council Entry'!AJ$4="Logarithm",LN(0.001+IF(AND(ISNUMBER('Council Entry'!AJ$8),ISNUMBER('Council Entry'!AJ$9)),MAX(MIN('Council Entry'!AJ192,'Council Entry'!AJ$9),'Council Entry'!AJ$8),'Council Entry'!AJ192)),IF('Council Entry'!AJ$4="Exponential",EXP(IF(AND(ISNUMBER('Council Entry'!AJ$8),ISNUMBER('Council Entry'!AJ$9)),MAX(MIN('Council Entry'!AJ192,'Council Entry'!AJ$9),'Council Entry'!AJ$8),'Council Entry'!AJ192)),IF(AND(ISNUMBER('Council Entry'!AJ$8),ISNUMBER('Council Entry'!AJ$9)),MAX(MIN('Council Entry'!AJ192,'Council Entry'!AJ$9),'Council Entry'!AJ$8),'Council Entry'!AJ192))))-'Council Entry'!AJ$5)/('Council Entry'!AJ$6-'Council Entry'!AJ$5),10*((IF('Council Entry'!AJ$4="Logarithm",LN(0.001+IF(AND(ISNUMBER('Council Entry'!AJ$8),ISNUMBER('Council Entry'!AJ$9)),MAX(MIN('Council Entry'!AJ192,'Council Entry'!AJ$9),'Council Entry'!AJ$8),'Council Entry'!AJ192)),IF('Council Entry'!AJ$4="Exponential",EXP(IF(AND(ISNUMBER('Council Entry'!AJ$8),ISNUMBER('Council Entry'!AJ$9)),MAX(MIN('Council Entry'!AJ192,'Council Entry'!AJ$9),'Council Entry'!AJ$8),'Council Entry'!AJ192)),IF(AND(ISNUMBER('Council Entry'!AJ$8),ISNUMBER('Council Entry'!AJ$9)),MAX(MIN('Council Entry'!AJ192,'Council Entry'!AJ$9),'Council Entry'!AJ$8),'Council Entry'!AJ192))))-'Council Entry'!AJ$5)/('Council Entry'!AJ$6-'Council Entry'!AJ$5)),1))),"No data"))</f>
        <v/>
      </c>
      <c r="AK192" s="13">
        <f>IF('Council Entry'!AK192="","",IFERROR(MAX(0,MIN(10,ROUND(IF('Council Entry'!AK$7="Decrease Risk",10-10*((IF('Council Entry'!AK$4="Logarithm",LN(0.001+IF(AND(ISNUMBER('Council Entry'!AK$8),ISNUMBER('Council Entry'!AK$9)),MAX(MIN('Council Entry'!AK192,'Council Entry'!AK$9),'Council Entry'!AK$8),'Council Entry'!AK192)),IF('Council Entry'!AK$4="Exponential",EXP(IF(AND(ISNUMBER('Council Entry'!AK$8),ISNUMBER('Council Entry'!AK$9)),MAX(MIN('Council Entry'!AK192,'Council Entry'!AK$9),'Council Entry'!AK$8),'Council Entry'!AK192)),IF(AND(ISNUMBER('Council Entry'!AK$8),ISNUMBER('Council Entry'!AK$9)),MAX(MIN('Council Entry'!AK192,'Council Entry'!AK$9),'Council Entry'!AK$8),'Council Entry'!AK192))))-'Council Entry'!AK$5)/('Council Entry'!AK$6-'Council Entry'!AK$5),10*((IF('Council Entry'!AK$4="Logarithm",LN(0.001+IF(AND(ISNUMBER('Council Entry'!AK$8),ISNUMBER('Council Entry'!AK$9)),MAX(MIN('Council Entry'!AK192,'Council Entry'!AK$9),'Council Entry'!AK$8),'Council Entry'!AK192)),IF('Council Entry'!AK$4="Exponential",EXP(IF(AND(ISNUMBER('Council Entry'!AK$8),ISNUMBER('Council Entry'!AK$9)),MAX(MIN('Council Entry'!AK192,'Council Entry'!AK$9),'Council Entry'!AK$8),'Council Entry'!AK192)),IF(AND(ISNUMBER('Council Entry'!AK$8),ISNUMBER('Council Entry'!AK$9)),MAX(MIN('Council Entry'!AK192,'Council Entry'!AK$9),'Council Entry'!AK$8),'Council Entry'!AK192))))-'Council Entry'!AK$5)/('Council Entry'!AK$6-'Council Entry'!AK$5)),1))),"No data"))</f>
        <v/>
      </c>
      <c r="AL192" s="13">
        <f>IF('Council Entry'!AL192="","",IFERROR(MAX(0,MIN(10,ROUND(IF('Council Entry'!AL$7="Decrease Risk",10-10*((IF('Council Entry'!AL$4="Logarithm",LN(0.001+IF(AND(ISNUMBER('Council Entry'!AL$8),ISNUMBER('Council Entry'!AL$9)),MAX(MIN('Council Entry'!AL192,'Council Entry'!AL$9),'Council Entry'!AL$8),'Council Entry'!AL192)),IF('Council Entry'!AL$4="Exponential",EXP(IF(AND(ISNUMBER('Council Entry'!AL$8),ISNUMBER('Council Entry'!AL$9)),MAX(MIN('Council Entry'!AL192,'Council Entry'!AL$9),'Council Entry'!AL$8),'Council Entry'!AL192)),IF(AND(ISNUMBER('Council Entry'!AL$8),ISNUMBER('Council Entry'!AL$9)),MAX(MIN('Council Entry'!AL192,'Council Entry'!AL$9),'Council Entry'!AL$8),'Council Entry'!AL192))))-'Council Entry'!AL$5)/('Council Entry'!AL$6-'Council Entry'!AL$5),10*((IF('Council Entry'!AL$4="Logarithm",LN(0.001+IF(AND(ISNUMBER('Council Entry'!AL$8),ISNUMBER('Council Entry'!AL$9)),MAX(MIN('Council Entry'!AL192,'Council Entry'!AL$9),'Council Entry'!AL$8),'Council Entry'!AL192)),IF('Council Entry'!AL$4="Exponential",EXP(IF(AND(ISNUMBER('Council Entry'!AL$8),ISNUMBER('Council Entry'!AL$9)),MAX(MIN('Council Entry'!AL192,'Council Entry'!AL$9),'Council Entry'!AL$8),'Council Entry'!AL192)),IF(AND(ISNUMBER('Council Entry'!AL$8),ISNUMBER('Council Entry'!AL$9)),MAX(MIN('Council Entry'!AL192,'Council Entry'!AL$9),'Council Entry'!AL$8),'Council Entry'!AL192))))-'Council Entry'!AL$5)/('Council Entry'!AL$6-'Council Entry'!AL$5)),1))),"No data"))</f>
        <v/>
      </c>
      <c r="AM192" s="13">
        <f>IF('Council Entry'!AM192="","",IFERROR(MAX(0,MIN(10,ROUND(IF('Council Entry'!AM$7="Decrease Risk",10-10*((IF('Council Entry'!AM$4="Logarithm",LN(0.001+IF(AND(ISNUMBER('Council Entry'!AM$8),ISNUMBER('Council Entry'!AM$9)),MAX(MIN('Council Entry'!AM192,'Council Entry'!AM$9),'Council Entry'!AM$8),'Council Entry'!AM192)),IF('Council Entry'!AM$4="Exponential",EXP(IF(AND(ISNUMBER('Council Entry'!AM$8),ISNUMBER('Council Entry'!AM$9)),MAX(MIN('Council Entry'!AM192,'Council Entry'!AM$9),'Council Entry'!AM$8),'Council Entry'!AM192)),IF(AND(ISNUMBER('Council Entry'!AM$8),ISNUMBER('Council Entry'!AM$9)),MAX(MIN('Council Entry'!AM192,'Council Entry'!AM$9),'Council Entry'!AM$8),'Council Entry'!AM192))))-'Council Entry'!AM$5)/('Council Entry'!AM$6-'Council Entry'!AM$5),10*((IF('Council Entry'!AM$4="Logarithm",LN(0.001+IF(AND(ISNUMBER('Council Entry'!AM$8),ISNUMBER('Council Entry'!AM$9)),MAX(MIN('Council Entry'!AM192,'Council Entry'!AM$9),'Council Entry'!AM$8),'Council Entry'!AM192)),IF('Council Entry'!AM$4="Exponential",EXP(IF(AND(ISNUMBER('Council Entry'!AM$8),ISNUMBER('Council Entry'!AM$9)),MAX(MIN('Council Entry'!AM192,'Council Entry'!AM$9),'Council Entry'!AM$8),'Council Entry'!AM192)),IF(AND(ISNUMBER('Council Entry'!AM$8),ISNUMBER('Council Entry'!AM$9)),MAX(MIN('Council Entry'!AM192,'Council Entry'!AM$9),'Council Entry'!AM$8),'Council Entry'!AM192))))-'Council Entry'!AM$5)/('Council Entry'!AM$6-'Council Entry'!AM$5)),1))),"No data"))</f>
        <v/>
      </c>
      <c r="AN192" s="13">
        <f>IF('Council Entry'!AN192="","",IFERROR(MAX(0,MIN(10,ROUND(IF('Council Entry'!AN$7="Decrease Risk",10-10*((IF('Council Entry'!AN$4="Logarithm",LN(0.001+IF(AND(ISNUMBER('Council Entry'!AN$8),ISNUMBER('Council Entry'!AN$9)),MAX(MIN('Council Entry'!AN192,'Council Entry'!AN$9),'Council Entry'!AN$8),'Council Entry'!AN192)),IF('Council Entry'!AN$4="Exponential",EXP(IF(AND(ISNUMBER('Council Entry'!AN$8),ISNUMBER('Council Entry'!AN$9)),MAX(MIN('Council Entry'!AN192,'Council Entry'!AN$9),'Council Entry'!AN$8),'Council Entry'!AN192)),IF(AND(ISNUMBER('Council Entry'!AN$8),ISNUMBER('Council Entry'!AN$9)),MAX(MIN('Council Entry'!AN192,'Council Entry'!AN$9),'Council Entry'!AN$8),'Council Entry'!AN192))))-'Council Entry'!AN$5)/('Council Entry'!AN$6-'Council Entry'!AN$5),10*((IF('Council Entry'!AN$4="Logarithm",LN(0.001+IF(AND(ISNUMBER('Council Entry'!AN$8),ISNUMBER('Council Entry'!AN$9)),MAX(MIN('Council Entry'!AN192,'Council Entry'!AN$9),'Council Entry'!AN$8),'Council Entry'!AN192)),IF('Council Entry'!AN$4="Exponential",EXP(IF(AND(ISNUMBER('Council Entry'!AN$8),ISNUMBER('Council Entry'!AN$9)),MAX(MIN('Council Entry'!AN192,'Council Entry'!AN$9),'Council Entry'!AN$8),'Council Entry'!AN192)),IF(AND(ISNUMBER('Council Entry'!AN$8),ISNUMBER('Council Entry'!AN$9)),MAX(MIN('Council Entry'!AN192,'Council Entry'!AN$9),'Council Entry'!AN$8),'Council Entry'!AN192))))-'Council Entry'!AN$5)/('Council Entry'!AN$6-'Council Entry'!AN$5)),1))),"No data"))</f>
        <v/>
      </c>
      <c r="AO192" s="13">
        <f>IF('Council Entry'!AO192="","",IFERROR(MAX(0,MIN(10,ROUND(IF('Council Entry'!AO$7="Decrease Risk",10-10*((IF('Council Entry'!AO$4="Logarithm",LN(0.001+IF(AND(ISNUMBER('Council Entry'!AO$8),ISNUMBER('Council Entry'!AO$9)),MAX(MIN('Council Entry'!AO192,'Council Entry'!AO$9),'Council Entry'!AO$8),'Council Entry'!AO192)),IF('Council Entry'!AO$4="Exponential",EXP(IF(AND(ISNUMBER('Council Entry'!AO$8),ISNUMBER('Council Entry'!AO$9)),MAX(MIN('Council Entry'!AO192,'Council Entry'!AO$9),'Council Entry'!AO$8),'Council Entry'!AO192)),IF(AND(ISNUMBER('Council Entry'!AO$8),ISNUMBER('Council Entry'!AO$9)),MAX(MIN('Council Entry'!AO192,'Council Entry'!AO$9),'Council Entry'!AO$8),'Council Entry'!AO192))))-'Council Entry'!AO$5)/('Council Entry'!AO$6-'Council Entry'!AO$5),10*((IF('Council Entry'!AO$4="Logarithm",LN(0.001+IF(AND(ISNUMBER('Council Entry'!AO$8),ISNUMBER('Council Entry'!AO$9)),MAX(MIN('Council Entry'!AO192,'Council Entry'!AO$9),'Council Entry'!AO$8),'Council Entry'!AO192)),IF('Council Entry'!AO$4="Exponential",EXP(IF(AND(ISNUMBER('Council Entry'!AO$8),ISNUMBER('Council Entry'!AO$9)),MAX(MIN('Council Entry'!AO192,'Council Entry'!AO$9),'Council Entry'!AO$8),'Council Entry'!AO192)),IF(AND(ISNUMBER('Council Entry'!AO$8),ISNUMBER('Council Entry'!AO$9)),MAX(MIN('Council Entry'!AO192,'Council Entry'!AO$9),'Council Entry'!AO$8),'Council Entry'!AO192))))-'Council Entry'!AO$5)/('Council Entry'!AO$6-'Council Entry'!AO$5)),1))),"No data"))</f>
        <v/>
      </c>
      <c r="AP192" s="13">
        <f>IF('Council Entry'!AP192="","",IFERROR(MAX(0,MIN(10,ROUND(IF('Council Entry'!AP$7="Decrease Risk",10-10*((IF('Council Entry'!AP$4="Logarithm",LN(0.001+IF(AND(ISNUMBER('Council Entry'!AP$8),ISNUMBER('Council Entry'!AP$9)),MAX(MIN('Council Entry'!AP192,'Council Entry'!AP$9),'Council Entry'!AP$8),'Council Entry'!AP192)),IF('Council Entry'!AP$4="Exponential",EXP(IF(AND(ISNUMBER('Council Entry'!AP$8),ISNUMBER('Council Entry'!AP$9)),MAX(MIN('Council Entry'!AP192,'Council Entry'!AP$9),'Council Entry'!AP$8),'Council Entry'!AP192)),IF(AND(ISNUMBER('Council Entry'!AP$8),ISNUMBER('Council Entry'!AP$9)),MAX(MIN('Council Entry'!AP192,'Council Entry'!AP$9),'Council Entry'!AP$8),'Council Entry'!AP192))))-'Council Entry'!AP$5)/('Council Entry'!AP$6-'Council Entry'!AP$5),10*((IF('Council Entry'!AP$4="Logarithm",LN(0.001+IF(AND(ISNUMBER('Council Entry'!AP$8),ISNUMBER('Council Entry'!AP$9)),MAX(MIN('Council Entry'!AP192,'Council Entry'!AP$9),'Council Entry'!AP$8),'Council Entry'!AP192)),IF('Council Entry'!AP$4="Exponential",EXP(IF(AND(ISNUMBER('Council Entry'!AP$8),ISNUMBER('Council Entry'!AP$9)),MAX(MIN('Council Entry'!AP192,'Council Entry'!AP$9),'Council Entry'!AP$8),'Council Entry'!AP192)),IF(AND(ISNUMBER('Council Entry'!AP$8),ISNUMBER('Council Entry'!AP$9)),MAX(MIN('Council Entry'!AP192,'Council Entry'!AP$9),'Council Entry'!AP$8),'Council Entry'!AP192))))-'Council Entry'!AP$5)/('Council Entry'!AP$6-'Council Entry'!AP$5)),1))),"No data"))</f>
        <v/>
      </c>
      <c r="AQ192" s="13">
        <f>IF('Council Entry'!AQ192="","",IFERROR(MAX(0,MIN(10,ROUND(IF('Council Entry'!AQ$7="Decrease Risk",10-10*((IF('Council Entry'!AQ$4="Logarithm",LN(0.001+IF(AND(ISNUMBER('Council Entry'!AQ$8),ISNUMBER('Council Entry'!AQ$9)),MAX(MIN('Council Entry'!AQ192,'Council Entry'!AQ$9),'Council Entry'!AQ$8),'Council Entry'!AQ192)),IF('Council Entry'!AQ$4="Exponential",EXP(IF(AND(ISNUMBER('Council Entry'!AQ$8),ISNUMBER('Council Entry'!AQ$9)),MAX(MIN('Council Entry'!AQ192,'Council Entry'!AQ$9),'Council Entry'!AQ$8),'Council Entry'!AQ192)),IF(AND(ISNUMBER('Council Entry'!AQ$8),ISNUMBER('Council Entry'!AQ$9)),MAX(MIN('Council Entry'!AQ192,'Council Entry'!AQ$9),'Council Entry'!AQ$8),'Council Entry'!AQ192))))-'Council Entry'!AQ$5)/('Council Entry'!AQ$6-'Council Entry'!AQ$5),10*((IF('Council Entry'!AQ$4="Logarithm",LN(0.001+IF(AND(ISNUMBER('Council Entry'!AQ$8),ISNUMBER('Council Entry'!AQ$9)),MAX(MIN('Council Entry'!AQ192,'Council Entry'!AQ$9),'Council Entry'!AQ$8),'Council Entry'!AQ192)),IF('Council Entry'!AQ$4="Exponential",EXP(IF(AND(ISNUMBER('Council Entry'!AQ$8),ISNUMBER('Council Entry'!AQ$9)),MAX(MIN('Council Entry'!AQ192,'Council Entry'!AQ$9),'Council Entry'!AQ$8),'Council Entry'!AQ192)),IF(AND(ISNUMBER('Council Entry'!AQ$8),ISNUMBER('Council Entry'!AQ$9)),MAX(MIN('Council Entry'!AQ192,'Council Entry'!AQ$9),'Council Entry'!AQ$8),'Council Entry'!AQ192))))-'Council Entry'!AQ$5)/('Council Entry'!AQ$6-'Council Entry'!AQ$5)),1))),"No data"))</f>
        <v/>
      </c>
      <c r="AR192" s="13">
        <f>IF('Council Entry'!AR192="","",IFERROR(MAX(0,MIN(10,ROUND(IF('Council Entry'!AR$7="Decrease Risk",10-10*((IF('Council Entry'!AR$4="Logarithm",LN(0.001+IF(AND(ISNUMBER('Council Entry'!AR$8),ISNUMBER('Council Entry'!AR$9)),MAX(MIN('Council Entry'!AR192,'Council Entry'!AR$9),'Council Entry'!AR$8),'Council Entry'!AR192)),IF('Council Entry'!AR$4="Exponential",EXP(IF(AND(ISNUMBER('Council Entry'!AR$8),ISNUMBER('Council Entry'!AR$9)),MAX(MIN('Council Entry'!AR192,'Council Entry'!AR$9),'Council Entry'!AR$8),'Council Entry'!AR192)),IF(AND(ISNUMBER('Council Entry'!AR$8),ISNUMBER('Council Entry'!AR$9)),MAX(MIN('Council Entry'!AR192,'Council Entry'!AR$9),'Council Entry'!AR$8),'Council Entry'!AR192))))-'Council Entry'!AR$5)/('Council Entry'!AR$6-'Council Entry'!AR$5),10*((IF('Council Entry'!AR$4="Logarithm",LN(0.001+IF(AND(ISNUMBER('Council Entry'!AR$8),ISNUMBER('Council Entry'!AR$9)),MAX(MIN('Council Entry'!AR192,'Council Entry'!AR$9),'Council Entry'!AR$8),'Council Entry'!AR192)),IF('Council Entry'!AR$4="Exponential",EXP(IF(AND(ISNUMBER('Council Entry'!AR$8),ISNUMBER('Council Entry'!AR$9)),MAX(MIN('Council Entry'!AR192,'Council Entry'!AR$9),'Council Entry'!AR$8),'Council Entry'!AR192)),IF(AND(ISNUMBER('Council Entry'!AR$8),ISNUMBER('Council Entry'!AR$9)),MAX(MIN('Council Entry'!AR192,'Council Entry'!AR$9),'Council Entry'!AR$8),'Council Entry'!AR192))))-'Council Entry'!AR$5)/('Council Entry'!AR$6-'Council Entry'!AR$5)),1))),"No data"))</f>
        <v/>
      </c>
      <c r="AS192" s="13">
        <f>IF('Council Entry'!AS192="","",IFERROR(MAX(0,MIN(10,ROUND(IF('Council Entry'!AS$7="Decrease Risk",10-10*((IF('Council Entry'!AS$4="Logarithm",LN(0.001+IF(AND(ISNUMBER('Council Entry'!AS$8),ISNUMBER('Council Entry'!AS$9)),MAX(MIN('Council Entry'!AS192,'Council Entry'!AS$9),'Council Entry'!AS$8),'Council Entry'!AS192)),IF('Council Entry'!AS$4="Exponential",EXP(IF(AND(ISNUMBER('Council Entry'!AS$8),ISNUMBER('Council Entry'!AS$9)),MAX(MIN('Council Entry'!AS192,'Council Entry'!AS$9),'Council Entry'!AS$8),'Council Entry'!AS192)),IF(AND(ISNUMBER('Council Entry'!AS$8),ISNUMBER('Council Entry'!AS$9)),MAX(MIN('Council Entry'!AS192,'Council Entry'!AS$9),'Council Entry'!AS$8),'Council Entry'!AS192))))-'Council Entry'!AS$5)/('Council Entry'!AS$6-'Council Entry'!AS$5),10*((IF('Council Entry'!AS$4="Logarithm",LN(0.001+IF(AND(ISNUMBER('Council Entry'!AS$8),ISNUMBER('Council Entry'!AS$9)),MAX(MIN('Council Entry'!AS192,'Council Entry'!AS$9),'Council Entry'!AS$8),'Council Entry'!AS192)),IF('Council Entry'!AS$4="Exponential",EXP(IF(AND(ISNUMBER('Council Entry'!AS$8),ISNUMBER('Council Entry'!AS$9)),MAX(MIN('Council Entry'!AS192,'Council Entry'!AS$9),'Council Entry'!AS$8),'Council Entry'!AS192)),IF(AND(ISNUMBER('Council Entry'!AS$8),ISNUMBER('Council Entry'!AS$9)),MAX(MIN('Council Entry'!AS192,'Council Entry'!AS$9),'Council Entry'!AS$8),'Council Entry'!AS192))))-'Council Entry'!AS$5)/('Council Entry'!AS$6-'Council Entry'!AS$5)),1))),"No data"))</f>
        <v/>
      </c>
      <c r="AT192" s="13">
        <f>IF('Council Entry'!AT192="","",IFERROR(MAX(0,MIN(10,ROUND(IF('Council Entry'!AT$7="Decrease Risk",10-10*((IF('Council Entry'!AT$4="Logarithm",LN(0.001+IF(AND(ISNUMBER('Council Entry'!AT$8),ISNUMBER('Council Entry'!AT$9)),MAX(MIN('Council Entry'!AT192,'Council Entry'!AT$9),'Council Entry'!AT$8),'Council Entry'!AT192)),IF('Council Entry'!AT$4="Exponential",EXP(IF(AND(ISNUMBER('Council Entry'!AT$8),ISNUMBER('Council Entry'!AT$9)),MAX(MIN('Council Entry'!AT192,'Council Entry'!AT$9),'Council Entry'!AT$8),'Council Entry'!AT192)),IF(AND(ISNUMBER('Council Entry'!AT$8),ISNUMBER('Council Entry'!AT$9)),MAX(MIN('Council Entry'!AT192,'Council Entry'!AT$9),'Council Entry'!AT$8),'Council Entry'!AT192))))-'Council Entry'!AT$5)/('Council Entry'!AT$6-'Council Entry'!AT$5),10*((IF('Council Entry'!AT$4="Logarithm",LN(0.001+IF(AND(ISNUMBER('Council Entry'!AT$8),ISNUMBER('Council Entry'!AT$9)),MAX(MIN('Council Entry'!AT192,'Council Entry'!AT$9),'Council Entry'!AT$8),'Council Entry'!AT192)),IF('Council Entry'!AT$4="Exponential",EXP(IF(AND(ISNUMBER('Council Entry'!AT$8),ISNUMBER('Council Entry'!AT$9)),MAX(MIN('Council Entry'!AT192,'Council Entry'!AT$9),'Council Entry'!AT$8),'Council Entry'!AT192)),IF(AND(ISNUMBER('Council Entry'!AT$8),ISNUMBER('Council Entry'!AT$9)),MAX(MIN('Council Entry'!AT192,'Council Entry'!AT$9),'Council Entry'!AT$8),'Council Entry'!AT192))))-'Council Entry'!AT$5)/('Council Entry'!AT$6-'Council Entry'!AT$5)),1))),"No data"))</f>
        <v/>
      </c>
      <c r="AU192" s="13">
        <f>IF('Council Entry'!AU192="","",IFERROR(MAX(0,MIN(10,ROUND(IF('Council Entry'!AU$7="Decrease Risk",10-10*((IF('Council Entry'!AU$4="Logarithm",LN(0.001+IF(AND(ISNUMBER('Council Entry'!AU$8),ISNUMBER('Council Entry'!AU$9)),MAX(MIN('Council Entry'!AU192,'Council Entry'!AU$9),'Council Entry'!AU$8),'Council Entry'!AU192)),IF('Council Entry'!AU$4="Exponential",EXP(IF(AND(ISNUMBER('Council Entry'!AU$8),ISNUMBER('Council Entry'!AU$9)),MAX(MIN('Council Entry'!AU192,'Council Entry'!AU$9),'Council Entry'!AU$8),'Council Entry'!AU192)),IF(AND(ISNUMBER('Council Entry'!AU$8),ISNUMBER('Council Entry'!AU$9)),MAX(MIN('Council Entry'!AU192,'Council Entry'!AU$9),'Council Entry'!AU$8),'Council Entry'!AU192))))-'Council Entry'!AU$5)/('Council Entry'!AU$6-'Council Entry'!AU$5),10*((IF('Council Entry'!AU$4="Logarithm",LN(0.001+IF(AND(ISNUMBER('Council Entry'!AU$8),ISNUMBER('Council Entry'!AU$9)),MAX(MIN('Council Entry'!AU192,'Council Entry'!AU$9),'Council Entry'!AU$8),'Council Entry'!AU192)),IF('Council Entry'!AU$4="Exponential",EXP(IF(AND(ISNUMBER('Council Entry'!AU$8),ISNUMBER('Council Entry'!AU$9)),MAX(MIN('Council Entry'!AU192,'Council Entry'!AU$9),'Council Entry'!AU$8),'Council Entry'!AU192)),IF(AND(ISNUMBER('Council Entry'!AU$8),ISNUMBER('Council Entry'!AU$9)),MAX(MIN('Council Entry'!AU192,'Council Entry'!AU$9),'Council Entry'!AU$8),'Council Entry'!AU192))))-'Council Entry'!AU$5)/('Council Entry'!AU$6-'Council Entry'!AU$5)),1))),"No data"))</f>
        <v/>
      </c>
      <c r="AV192" s="13">
        <f>IF('Council Entry'!AV192="","",IFERROR(MAX(0,MIN(10,ROUND(IF('Council Entry'!AV$7="Decrease Risk",10-10*((IF('Council Entry'!AV$4="Logarithm",LN(0.001+IF(AND(ISNUMBER('Council Entry'!AV$8),ISNUMBER('Council Entry'!AV$9)),MAX(MIN('Council Entry'!AV192,'Council Entry'!AV$9),'Council Entry'!AV$8),'Council Entry'!AV192)),IF('Council Entry'!AV$4="Exponential",EXP(IF(AND(ISNUMBER('Council Entry'!AV$8),ISNUMBER('Council Entry'!AV$9)),MAX(MIN('Council Entry'!AV192,'Council Entry'!AV$9),'Council Entry'!AV$8),'Council Entry'!AV192)),IF(AND(ISNUMBER('Council Entry'!AV$8),ISNUMBER('Council Entry'!AV$9)),MAX(MIN('Council Entry'!AV192,'Council Entry'!AV$9),'Council Entry'!AV$8),'Council Entry'!AV192))))-'Council Entry'!AV$5)/('Council Entry'!AV$6-'Council Entry'!AV$5),10*((IF('Council Entry'!AV$4="Logarithm",LN(0.001+IF(AND(ISNUMBER('Council Entry'!AV$8),ISNUMBER('Council Entry'!AV$9)),MAX(MIN('Council Entry'!AV192,'Council Entry'!AV$9),'Council Entry'!AV$8),'Council Entry'!AV192)),IF('Council Entry'!AV$4="Exponential",EXP(IF(AND(ISNUMBER('Council Entry'!AV$8),ISNUMBER('Council Entry'!AV$9)),MAX(MIN('Council Entry'!AV192,'Council Entry'!AV$9),'Council Entry'!AV$8),'Council Entry'!AV192)),IF(AND(ISNUMBER('Council Entry'!AV$8),ISNUMBER('Council Entry'!AV$9)),MAX(MIN('Council Entry'!AV192,'Council Entry'!AV$9),'Council Entry'!AV$8),'Council Entry'!AV192))))-'Council Entry'!AV$5)/('Council Entry'!AV$6-'Council Entry'!AV$5)),1))),"No data"))</f>
        <v/>
      </c>
      <c r="AW192" s="13">
        <f>IF('Council Entry'!AW192="","",IFERROR(MAX(0,MIN(10,ROUND(IF('Council Entry'!AW$7="Decrease Risk",10-10*((IF('Council Entry'!AW$4="Logarithm",LN(0.001+IF(AND(ISNUMBER('Council Entry'!AW$8),ISNUMBER('Council Entry'!AW$9)),MAX(MIN('Council Entry'!AW192,'Council Entry'!AW$9),'Council Entry'!AW$8),'Council Entry'!AW192)),IF('Council Entry'!AW$4="Exponential",EXP(IF(AND(ISNUMBER('Council Entry'!AW$8),ISNUMBER('Council Entry'!AW$9)),MAX(MIN('Council Entry'!AW192,'Council Entry'!AW$9),'Council Entry'!AW$8),'Council Entry'!AW192)),IF(AND(ISNUMBER('Council Entry'!AW$8),ISNUMBER('Council Entry'!AW$9)),MAX(MIN('Council Entry'!AW192,'Council Entry'!AW$9),'Council Entry'!AW$8),'Council Entry'!AW192))))-'Council Entry'!AW$5)/('Council Entry'!AW$6-'Council Entry'!AW$5),10*((IF('Council Entry'!AW$4="Logarithm",LN(0.001+IF(AND(ISNUMBER('Council Entry'!AW$8),ISNUMBER('Council Entry'!AW$9)),MAX(MIN('Council Entry'!AW192,'Council Entry'!AW$9),'Council Entry'!AW$8),'Council Entry'!AW192)),IF('Council Entry'!AW$4="Exponential",EXP(IF(AND(ISNUMBER('Council Entry'!AW$8),ISNUMBER('Council Entry'!AW$9)),MAX(MIN('Council Entry'!AW192,'Council Entry'!AW$9),'Council Entry'!AW$8),'Council Entry'!AW192)),IF(AND(ISNUMBER('Council Entry'!AW$8),ISNUMBER('Council Entry'!AW$9)),MAX(MIN('Council Entry'!AW192,'Council Entry'!AW$9),'Council Entry'!AW$8),'Council Entry'!AW192))))-'Council Entry'!AW$5)/('Council Entry'!AW$6-'Council Entry'!AW$5)),1))),"No data"))</f>
        <v/>
      </c>
      <c r="AX192" s="13">
        <f>IF('Council Entry'!AX192="","",IFERROR(MAX(0,MIN(10,ROUND(IF('Council Entry'!AX$7="Decrease Risk",10-10*((IF('Council Entry'!AX$4="Logarithm",LN(0.001+IF(AND(ISNUMBER('Council Entry'!AX$8),ISNUMBER('Council Entry'!AX$9)),MAX(MIN('Council Entry'!AX192,'Council Entry'!AX$9),'Council Entry'!AX$8),'Council Entry'!AX192)),IF('Council Entry'!AX$4="Exponential",EXP(IF(AND(ISNUMBER('Council Entry'!AX$8),ISNUMBER('Council Entry'!AX$9)),MAX(MIN('Council Entry'!AX192,'Council Entry'!AX$9),'Council Entry'!AX$8),'Council Entry'!AX192)),IF(AND(ISNUMBER('Council Entry'!AX$8),ISNUMBER('Council Entry'!AX$9)),MAX(MIN('Council Entry'!AX192,'Council Entry'!AX$9),'Council Entry'!AX$8),'Council Entry'!AX192))))-'Council Entry'!AX$5)/('Council Entry'!AX$6-'Council Entry'!AX$5),10*((IF('Council Entry'!AX$4="Logarithm",LN(0.001+IF(AND(ISNUMBER('Council Entry'!AX$8),ISNUMBER('Council Entry'!AX$9)),MAX(MIN('Council Entry'!AX192,'Council Entry'!AX$9),'Council Entry'!AX$8),'Council Entry'!AX192)),IF('Council Entry'!AX$4="Exponential",EXP(IF(AND(ISNUMBER('Council Entry'!AX$8),ISNUMBER('Council Entry'!AX$9)),MAX(MIN('Council Entry'!AX192,'Council Entry'!AX$9),'Council Entry'!AX$8),'Council Entry'!AX192)),IF(AND(ISNUMBER('Council Entry'!AX$8),ISNUMBER('Council Entry'!AX$9)),MAX(MIN('Council Entry'!AX192,'Council Entry'!AX$9),'Council Entry'!AX$8),'Council Entry'!AX192))))-'Council Entry'!AX$5)/('Council Entry'!AX$6-'Council Entry'!AX$5)),1))),"No data"))</f>
        <v/>
      </c>
      <c r="AY192" s="13">
        <f>IF('Council Entry'!AY192="","",IFERROR(MAX(0,MIN(10,ROUND(IF('Council Entry'!AY$7="Decrease Risk",10-10*((IF('Council Entry'!AY$4="Logarithm",LN(0.001+IF(AND(ISNUMBER('Council Entry'!AY$8),ISNUMBER('Council Entry'!AY$9)),MAX(MIN('Council Entry'!AY192,'Council Entry'!AY$9),'Council Entry'!AY$8),'Council Entry'!AY192)),IF('Council Entry'!AY$4="Exponential",EXP(IF(AND(ISNUMBER('Council Entry'!AY$8),ISNUMBER('Council Entry'!AY$9)),MAX(MIN('Council Entry'!AY192,'Council Entry'!AY$9),'Council Entry'!AY$8),'Council Entry'!AY192)),IF(AND(ISNUMBER('Council Entry'!AY$8),ISNUMBER('Council Entry'!AY$9)),MAX(MIN('Council Entry'!AY192,'Council Entry'!AY$9),'Council Entry'!AY$8),'Council Entry'!AY192))))-'Council Entry'!AY$5)/('Council Entry'!AY$6-'Council Entry'!AY$5),10*((IF('Council Entry'!AY$4="Logarithm",LN(0.001+IF(AND(ISNUMBER('Council Entry'!AY$8),ISNUMBER('Council Entry'!AY$9)),MAX(MIN('Council Entry'!AY192,'Council Entry'!AY$9),'Council Entry'!AY$8),'Council Entry'!AY192)),IF('Council Entry'!AY$4="Exponential",EXP(IF(AND(ISNUMBER('Council Entry'!AY$8),ISNUMBER('Council Entry'!AY$9)),MAX(MIN('Council Entry'!AY192,'Council Entry'!AY$9),'Council Entry'!AY$8),'Council Entry'!AY192)),IF(AND(ISNUMBER('Council Entry'!AY$8),ISNUMBER('Council Entry'!AY$9)),MAX(MIN('Council Entry'!AY192,'Council Entry'!AY$9),'Council Entry'!AY$8),'Council Entry'!AY192))))-'Council Entry'!AY$5)/('Council Entry'!AY$6-'Council Entry'!AY$5)),1))),"No data"))</f>
        <v/>
      </c>
      <c r="AZ192" s="13">
        <f>IF('Council Entry'!AZ192="","",IFERROR(MAX(0,MIN(10,ROUND(IF('Council Entry'!AZ$7="Decrease Risk",10-10*((IF('Council Entry'!AZ$4="Logarithm",LN(0.001+IF(AND(ISNUMBER('Council Entry'!AZ$8),ISNUMBER('Council Entry'!AZ$9)),MAX(MIN('Council Entry'!AZ192,'Council Entry'!AZ$9),'Council Entry'!AZ$8),'Council Entry'!AZ192)),IF('Council Entry'!AZ$4="Exponential",EXP(IF(AND(ISNUMBER('Council Entry'!AZ$8),ISNUMBER('Council Entry'!AZ$9)),MAX(MIN('Council Entry'!AZ192,'Council Entry'!AZ$9),'Council Entry'!AZ$8),'Council Entry'!AZ192)),IF(AND(ISNUMBER('Council Entry'!AZ$8),ISNUMBER('Council Entry'!AZ$9)),MAX(MIN('Council Entry'!AZ192,'Council Entry'!AZ$9),'Council Entry'!AZ$8),'Council Entry'!AZ192))))-'Council Entry'!AZ$5)/('Council Entry'!AZ$6-'Council Entry'!AZ$5),10*((IF('Council Entry'!AZ$4="Logarithm",LN(0.001+IF(AND(ISNUMBER('Council Entry'!AZ$8),ISNUMBER('Council Entry'!AZ$9)),MAX(MIN('Council Entry'!AZ192,'Council Entry'!AZ$9),'Council Entry'!AZ$8),'Council Entry'!AZ192)),IF('Council Entry'!AZ$4="Exponential",EXP(IF(AND(ISNUMBER('Council Entry'!AZ$8),ISNUMBER('Council Entry'!AZ$9)),MAX(MIN('Council Entry'!AZ192,'Council Entry'!AZ$9),'Council Entry'!AZ$8),'Council Entry'!AZ192)),IF(AND(ISNUMBER('Council Entry'!AZ$8),ISNUMBER('Council Entry'!AZ$9)),MAX(MIN('Council Entry'!AZ192,'Council Entry'!AZ$9),'Council Entry'!AZ$8),'Council Entry'!AZ192))))-'Council Entry'!AZ$5)/('Council Entry'!AZ$6-'Council Entry'!AZ$5)),1))),"No data"))</f>
        <v/>
      </c>
      <c r="BA192" s="13">
        <f>IF('Council Entry'!BA192="","",IFERROR(MAX(0,MIN(10,ROUND(IF('Council Entry'!BA$7="Decrease Risk",10-10*((IF('Council Entry'!BA$4="Logarithm",LN(0.001+IF(AND(ISNUMBER('Council Entry'!BA$8),ISNUMBER('Council Entry'!BA$9)),MAX(MIN('Council Entry'!BA192,'Council Entry'!BA$9),'Council Entry'!BA$8),'Council Entry'!BA192)),IF('Council Entry'!BA$4="Exponential",EXP(IF(AND(ISNUMBER('Council Entry'!BA$8),ISNUMBER('Council Entry'!BA$9)),MAX(MIN('Council Entry'!BA192,'Council Entry'!BA$9),'Council Entry'!BA$8),'Council Entry'!BA192)),IF(AND(ISNUMBER('Council Entry'!BA$8),ISNUMBER('Council Entry'!BA$9)),MAX(MIN('Council Entry'!BA192,'Council Entry'!BA$9),'Council Entry'!BA$8),'Council Entry'!BA192))))-'Council Entry'!BA$5)/('Council Entry'!BA$6-'Council Entry'!BA$5),10*((IF('Council Entry'!BA$4="Logarithm",LN(0.001+IF(AND(ISNUMBER('Council Entry'!BA$8),ISNUMBER('Council Entry'!BA$9)),MAX(MIN('Council Entry'!BA192,'Council Entry'!BA$9),'Council Entry'!BA$8),'Council Entry'!BA192)),IF('Council Entry'!BA$4="Exponential",EXP(IF(AND(ISNUMBER('Council Entry'!BA$8),ISNUMBER('Council Entry'!BA$9)),MAX(MIN('Council Entry'!BA192,'Council Entry'!BA$9),'Council Entry'!BA$8),'Council Entry'!BA192)),IF(AND(ISNUMBER('Council Entry'!BA$8),ISNUMBER('Council Entry'!BA$9)),MAX(MIN('Council Entry'!BA192,'Council Entry'!BA$9),'Council Entry'!BA$8),'Council Entry'!BA192))))-'Council Entry'!BA$5)/('Council Entry'!BA$6-'Council Entry'!BA$5)),1))),"No data"))</f>
        <v/>
      </c>
      <c r="BB192" s="13">
        <f>IF('Council Entry'!BB192="","",IFERROR(MAX(0,MIN(10,ROUND(IF('Council Entry'!BB$7="Decrease Risk",10-10*((IF('Council Entry'!BB$4="Logarithm",LN(0.001+IF(AND(ISNUMBER('Council Entry'!BB$8),ISNUMBER('Council Entry'!BB$9)),MAX(MIN('Council Entry'!BB192,'Council Entry'!BB$9),'Council Entry'!BB$8),'Council Entry'!BB192)),IF('Council Entry'!BB$4="Exponential",EXP(IF(AND(ISNUMBER('Council Entry'!BB$8),ISNUMBER('Council Entry'!BB$9)),MAX(MIN('Council Entry'!BB192,'Council Entry'!BB$9),'Council Entry'!BB$8),'Council Entry'!BB192)),IF(AND(ISNUMBER('Council Entry'!BB$8),ISNUMBER('Council Entry'!BB$9)),MAX(MIN('Council Entry'!BB192,'Council Entry'!BB$9),'Council Entry'!BB$8),'Council Entry'!BB192))))-'Council Entry'!BB$5)/('Council Entry'!BB$6-'Council Entry'!BB$5),10*((IF('Council Entry'!BB$4="Logarithm",LN(0.001+IF(AND(ISNUMBER('Council Entry'!BB$8),ISNUMBER('Council Entry'!BB$9)),MAX(MIN('Council Entry'!BB192,'Council Entry'!BB$9),'Council Entry'!BB$8),'Council Entry'!BB192)),IF('Council Entry'!BB$4="Exponential",EXP(IF(AND(ISNUMBER('Council Entry'!BB$8),ISNUMBER('Council Entry'!BB$9)),MAX(MIN('Council Entry'!BB192,'Council Entry'!BB$9),'Council Entry'!BB$8),'Council Entry'!BB192)),IF(AND(ISNUMBER('Council Entry'!BB$8),ISNUMBER('Council Entry'!BB$9)),MAX(MIN('Council Entry'!BB192,'Council Entry'!BB$9),'Council Entry'!BB$8),'Council Entry'!BB192))))-'Council Entry'!BB$5)/('Council Entry'!BB$6-'Council Entry'!BB$5)),1))),"No data"))</f>
        <v/>
      </c>
      <c r="BC192" s="13">
        <f>IF('Council Entry'!BC192="","",IFERROR(MAX(0,MIN(10,ROUND(IF('Council Entry'!BC$7="Decrease Risk",10-10*((IF('Council Entry'!BC$4="Logarithm",LN(0.001+IF(AND(ISNUMBER('Council Entry'!BC$8),ISNUMBER('Council Entry'!BC$9)),MAX(MIN('Council Entry'!BC192,'Council Entry'!BC$9),'Council Entry'!BC$8),'Council Entry'!BC192)),IF('Council Entry'!BC$4="Exponential",EXP(IF(AND(ISNUMBER('Council Entry'!BC$8),ISNUMBER('Council Entry'!BC$9)),MAX(MIN('Council Entry'!BC192,'Council Entry'!BC$9),'Council Entry'!BC$8),'Council Entry'!BC192)),IF(AND(ISNUMBER('Council Entry'!BC$8),ISNUMBER('Council Entry'!BC$9)),MAX(MIN('Council Entry'!BC192,'Council Entry'!BC$9),'Council Entry'!BC$8),'Council Entry'!BC192))))-'Council Entry'!BC$5)/('Council Entry'!BC$6-'Council Entry'!BC$5),10*((IF('Council Entry'!BC$4="Logarithm",LN(0.001+IF(AND(ISNUMBER('Council Entry'!BC$8),ISNUMBER('Council Entry'!BC$9)),MAX(MIN('Council Entry'!BC192,'Council Entry'!BC$9),'Council Entry'!BC$8),'Council Entry'!BC192)),IF('Council Entry'!BC$4="Exponential",EXP(IF(AND(ISNUMBER('Council Entry'!BC$8),ISNUMBER('Council Entry'!BC$9)),MAX(MIN('Council Entry'!BC192,'Council Entry'!BC$9),'Council Entry'!BC$8),'Council Entry'!BC192)),IF(AND(ISNUMBER('Council Entry'!BC$8),ISNUMBER('Council Entry'!BC$9)),MAX(MIN('Council Entry'!BC192,'Council Entry'!BC$9),'Council Entry'!BC$8),'Council Entry'!BC192))))-'Council Entry'!BC$5)/('Council Entry'!BC$6-'Council Entry'!BC$5)),1))),"No data"))</f>
        <v/>
      </c>
      <c r="BD192" s="13">
        <f>IF('Council Entry'!BD192="","",IFERROR(MAX(0,MIN(10,ROUND(IF('Council Entry'!BD$7="Decrease Risk",10-10*((IF('Council Entry'!BD$4="Logarithm",LN(0.001+IF(AND(ISNUMBER('Council Entry'!BD$8),ISNUMBER('Council Entry'!BD$9)),MAX(MIN('Council Entry'!BD192,'Council Entry'!BD$9),'Council Entry'!BD$8),'Council Entry'!BD192)),IF('Council Entry'!BD$4="Exponential",EXP(IF(AND(ISNUMBER('Council Entry'!BD$8),ISNUMBER('Council Entry'!BD$9)),MAX(MIN('Council Entry'!BD192,'Council Entry'!BD$9),'Council Entry'!BD$8),'Council Entry'!BD192)),IF(AND(ISNUMBER('Council Entry'!BD$8),ISNUMBER('Council Entry'!BD$9)),MAX(MIN('Council Entry'!BD192,'Council Entry'!BD$9),'Council Entry'!BD$8),'Council Entry'!BD192))))-'Council Entry'!BD$5)/('Council Entry'!BD$6-'Council Entry'!BD$5),10*((IF('Council Entry'!BD$4="Logarithm",LN(0.001+IF(AND(ISNUMBER('Council Entry'!BD$8),ISNUMBER('Council Entry'!BD$9)),MAX(MIN('Council Entry'!BD192,'Council Entry'!BD$9),'Council Entry'!BD$8),'Council Entry'!BD192)),IF('Council Entry'!BD$4="Exponential",EXP(IF(AND(ISNUMBER('Council Entry'!BD$8),ISNUMBER('Council Entry'!BD$9)),MAX(MIN('Council Entry'!BD192,'Council Entry'!BD$9),'Council Entry'!BD$8),'Council Entry'!BD192)),IF(AND(ISNUMBER('Council Entry'!BD$8),ISNUMBER('Council Entry'!BD$9)),MAX(MIN('Council Entry'!BD192,'Council Entry'!BD$9),'Council Entry'!BD$8),'Council Entry'!BD192))))-'Council Entry'!BD$5)/('Council Entry'!BD$6-'Council Entry'!BD$5)),1))),"No data"))</f>
        <v/>
      </c>
    </row>
    <row r="193">
      <c r="A193" t="inlineStr">
        <is>
          <t>Tabora</t>
        </is>
      </c>
      <c r="B193" t="inlineStr">
        <is>
          <t>Urambo District</t>
        </is>
      </c>
      <c r="C193" t="inlineStr">
        <is>
          <t>C103</t>
        </is>
      </c>
      <c r="D193" s="13">
        <f>IF('Council Entry'!D193="","",IFERROR(MAX(0,MIN(10,ROUND(IF('Council Entry'!D$7="Decrease Risk",10-10*((IF('Council Entry'!D$4="Logarithm",LN(0.001+IF(AND(ISNUMBER('Council Entry'!D$8),ISNUMBER('Council Entry'!D$9)),MAX(MIN('Council Entry'!D193,'Council Entry'!D$9),'Council Entry'!D$8),'Council Entry'!D193)),IF('Council Entry'!D$4="Exponential",EXP(IF(AND(ISNUMBER('Council Entry'!D$8),ISNUMBER('Council Entry'!D$9)),MAX(MIN('Council Entry'!D193,'Council Entry'!D$9),'Council Entry'!D$8),'Council Entry'!D193)),IF(AND(ISNUMBER('Council Entry'!D$8),ISNUMBER('Council Entry'!D$9)),MAX(MIN('Council Entry'!D193,'Council Entry'!D$9),'Council Entry'!D$8),'Council Entry'!D193))))-'Council Entry'!D$5)/('Council Entry'!D$6-'Council Entry'!D$5),10*((IF('Council Entry'!D$4="Logarithm",LN(0.001+IF(AND(ISNUMBER('Council Entry'!D$8),ISNUMBER('Council Entry'!D$9)),MAX(MIN('Council Entry'!D193,'Council Entry'!D$9),'Council Entry'!D$8),'Council Entry'!D193)),IF('Council Entry'!D$4="Exponential",EXP(IF(AND(ISNUMBER('Council Entry'!D$8),ISNUMBER('Council Entry'!D$9)),MAX(MIN('Council Entry'!D193,'Council Entry'!D$9),'Council Entry'!D$8),'Council Entry'!D193)),IF(AND(ISNUMBER('Council Entry'!D$8),ISNUMBER('Council Entry'!D$9)),MAX(MIN('Council Entry'!D193,'Council Entry'!D$9),'Council Entry'!D$8),'Council Entry'!D193))))-'Council Entry'!D$5)/('Council Entry'!D$6-'Council Entry'!D$5)),1))),"No data"))</f>
        <v/>
      </c>
      <c r="E193" s="13">
        <f>IF('Council Entry'!E193="","",IFERROR(MAX(0,MIN(10,ROUND(IF('Council Entry'!E$7="Decrease Risk",10-10*((IF('Council Entry'!E$4="Logarithm",LN(0.001+IF(AND(ISNUMBER('Council Entry'!E$8),ISNUMBER('Council Entry'!E$9)),MAX(MIN('Council Entry'!E193,'Council Entry'!E$9),'Council Entry'!E$8),'Council Entry'!E193)),IF('Council Entry'!E$4="Exponential",EXP(IF(AND(ISNUMBER('Council Entry'!E$8),ISNUMBER('Council Entry'!E$9)),MAX(MIN('Council Entry'!E193,'Council Entry'!E$9),'Council Entry'!E$8),'Council Entry'!E193)),IF(AND(ISNUMBER('Council Entry'!E$8),ISNUMBER('Council Entry'!E$9)),MAX(MIN('Council Entry'!E193,'Council Entry'!E$9),'Council Entry'!E$8),'Council Entry'!E193))))-'Council Entry'!E$5)/('Council Entry'!E$6-'Council Entry'!E$5),10*((IF('Council Entry'!E$4="Logarithm",LN(0.001+IF(AND(ISNUMBER('Council Entry'!E$8),ISNUMBER('Council Entry'!E$9)),MAX(MIN('Council Entry'!E193,'Council Entry'!E$9),'Council Entry'!E$8),'Council Entry'!E193)),IF('Council Entry'!E$4="Exponential",EXP(IF(AND(ISNUMBER('Council Entry'!E$8),ISNUMBER('Council Entry'!E$9)),MAX(MIN('Council Entry'!E193,'Council Entry'!E$9),'Council Entry'!E$8),'Council Entry'!E193)),IF(AND(ISNUMBER('Council Entry'!E$8),ISNUMBER('Council Entry'!E$9)),MAX(MIN('Council Entry'!E193,'Council Entry'!E$9),'Council Entry'!E$8),'Council Entry'!E193))))-'Council Entry'!E$5)/('Council Entry'!E$6-'Council Entry'!E$5)),1))),"No data"))</f>
        <v/>
      </c>
      <c r="F193" s="13">
        <f>IF('Council Entry'!F193="","",IFERROR(MAX(0,MIN(10,ROUND(IF('Council Entry'!F$7="Decrease Risk",10-10*((IF('Council Entry'!F$4="Logarithm",LN(0.001+IF(AND(ISNUMBER('Council Entry'!F$8),ISNUMBER('Council Entry'!F$9)),MAX(MIN('Council Entry'!F193,'Council Entry'!F$9),'Council Entry'!F$8),'Council Entry'!F193)),IF('Council Entry'!F$4="Exponential",EXP(IF(AND(ISNUMBER('Council Entry'!F$8),ISNUMBER('Council Entry'!F$9)),MAX(MIN('Council Entry'!F193,'Council Entry'!F$9),'Council Entry'!F$8),'Council Entry'!F193)),IF(AND(ISNUMBER('Council Entry'!F$8),ISNUMBER('Council Entry'!F$9)),MAX(MIN('Council Entry'!F193,'Council Entry'!F$9),'Council Entry'!F$8),'Council Entry'!F193))))-'Council Entry'!F$5)/('Council Entry'!F$6-'Council Entry'!F$5),10*((IF('Council Entry'!F$4="Logarithm",LN(0.001+IF(AND(ISNUMBER('Council Entry'!F$8),ISNUMBER('Council Entry'!F$9)),MAX(MIN('Council Entry'!F193,'Council Entry'!F$9),'Council Entry'!F$8),'Council Entry'!F193)),IF('Council Entry'!F$4="Exponential",EXP(IF(AND(ISNUMBER('Council Entry'!F$8),ISNUMBER('Council Entry'!F$9)),MAX(MIN('Council Entry'!F193,'Council Entry'!F$9),'Council Entry'!F$8),'Council Entry'!F193)),IF(AND(ISNUMBER('Council Entry'!F$8),ISNUMBER('Council Entry'!F$9)),MAX(MIN('Council Entry'!F193,'Council Entry'!F$9),'Council Entry'!F$8),'Council Entry'!F193))))-'Council Entry'!F$5)/('Council Entry'!F$6-'Council Entry'!F$5)),1))),"No data"))</f>
        <v/>
      </c>
      <c r="G193" s="13">
        <f>IF('Council Entry'!G193="","",IFERROR(MAX(0,MIN(10,ROUND(IF('Council Entry'!G$7="Decrease Risk",10-10*((IF('Council Entry'!G$4="Logarithm",LN(0.001+IF(AND(ISNUMBER('Council Entry'!G$8),ISNUMBER('Council Entry'!G$9)),MAX(MIN('Council Entry'!G193,'Council Entry'!G$9),'Council Entry'!G$8),'Council Entry'!G193)),IF('Council Entry'!G$4="Exponential",EXP(IF(AND(ISNUMBER('Council Entry'!G$8),ISNUMBER('Council Entry'!G$9)),MAX(MIN('Council Entry'!G193,'Council Entry'!G$9),'Council Entry'!G$8),'Council Entry'!G193)),IF(AND(ISNUMBER('Council Entry'!G$8),ISNUMBER('Council Entry'!G$9)),MAX(MIN('Council Entry'!G193,'Council Entry'!G$9),'Council Entry'!G$8),'Council Entry'!G193))))-'Council Entry'!G$5)/('Council Entry'!G$6-'Council Entry'!G$5),10*((IF('Council Entry'!G$4="Logarithm",LN(0.001+IF(AND(ISNUMBER('Council Entry'!G$8),ISNUMBER('Council Entry'!G$9)),MAX(MIN('Council Entry'!G193,'Council Entry'!G$9),'Council Entry'!G$8),'Council Entry'!G193)),IF('Council Entry'!G$4="Exponential",EXP(IF(AND(ISNUMBER('Council Entry'!G$8),ISNUMBER('Council Entry'!G$9)),MAX(MIN('Council Entry'!G193,'Council Entry'!G$9),'Council Entry'!G$8),'Council Entry'!G193)),IF(AND(ISNUMBER('Council Entry'!G$8),ISNUMBER('Council Entry'!G$9)),MAX(MIN('Council Entry'!G193,'Council Entry'!G$9),'Council Entry'!G$8),'Council Entry'!G193))))-'Council Entry'!G$5)/('Council Entry'!G$6-'Council Entry'!G$5)),1))),"No data"))</f>
        <v/>
      </c>
      <c r="H193" s="13">
        <f>IF('Council Entry'!H193="","",IFERROR(MAX(0,MIN(10,ROUND(IF('Council Entry'!H$7="Decrease Risk",10-10*((IF('Council Entry'!H$4="Logarithm",LN(0.001+IF(AND(ISNUMBER('Council Entry'!H$8),ISNUMBER('Council Entry'!H$9)),MAX(MIN('Council Entry'!H193,'Council Entry'!H$9),'Council Entry'!H$8),'Council Entry'!H193)),IF('Council Entry'!H$4="Exponential",EXP(IF(AND(ISNUMBER('Council Entry'!H$8),ISNUMBER('Council Entry'!H$9)),MAX(MIN('Council Entry'!H193,'Council Entry'!H$9),'Council Entry'!H$8),'Council Entry'!H193)),IF(AND(ISNUMBER('Council Entry'!H$8),ISNUMBER('Council Entry'!H$9)),MAX(MIN('Council Entry'!H193,'Council Entry'!H$9),'Council Entry'!H$8),'Council Entry'!H193))))-'Council Entry'!H$5)/('Council Entry'!H$6-'Council Entry'!H$5),10*((IF('Council Entry'!H$4="Logarithm",LN(0.001+IF(AND(ISNUMBER('Council Entry'!H$8),ISNUMBER('Council Entry'!H$9)),MAX(MIN('Council Entry'!H193,'Council Entry'!H$9),'Council Entry'!H$8),'Council Entry'!H193)),IF('Council Entry'!H$4="Exponential",EXP(IF(AND(ISNUMBER('Council Entry'!H$8),ISNUMBER('Council Entry'!H$9)),MAX(MIN('Council Entry'!H193,'Council Entry'!H$9),'Council Entry'!H$8),'Council Entry'!H193)),IF(AND(ISNUMBER('Council Entry'!H$8),ISNUMBER('Council Entry'!H$9)),MAX(MIN('Council Entry'!H193,'Council Entry'!H$9),'Council Entry'!H$8),'Council Entry'!H193))))-'Council Entry'!H$5)/('Council Entry'!H$6-'Council Entry'!H$5)),1))),"No data"))</f>
        <v/>
      </c>
      <c r="I193" s="13">
        <f>IF('Council Entry'!I193="","",IFERROR(MAX(0,MIN(10,ROUND(IF('Council Entry'!I$7="Decrease Risk",10-10*((IF('Council Entry'!I$4="Logarithm",LN(0.001+IF(AND(ISNUMBER('Council Entry'!I$8),ISNUMBER('Council Entry'!I$9)),MAX(MIN('Council Entry'!I193,'Council Entry'!I$9),'Council Entry'!I$8),'Council Entry'!I193)),IF('Council Entry'!I$4="Exponential",EXP(IF(AND(ISNUMBER('Council Entry'!I$8),ISNUMBER('Council Entry'!I$9)),MAX(MIN('Council Entry'!I193,'Council Entry'!I$9),'Council Entry'!I$8),'Council Entry'!I193)),IF(AND(ISNUMBER('Council Entry'!I$8),ISNUMBER('Council Entry'!I$9)),MAX(MIN('Council Entry'!I193,'Council Entry'!I$9),'Council Entry'!I$8),'Council Entry'!I193))))-'Council Entry'!I$5)/('Council Entry'!I$6-'Council Entry'!I$5),10*((IF('Council Entry'!I$4="Logarithm",LN(0.001+IF(AND(ISNUMBER('Council Entry'!I$8),ISNUMBER('Council Entry'!I$9)),MAX(MIN('Council Entry'!I193,'Council Entry'!I$9),'Council Entry'!I$8),'Council Entry'!I193)),IF('Council Entry'!I$4="Exponential",EXP(IF(AND(ISNUMBER('Council Entry'!I$8),ISNUMBER('Council Entry'!I$9)),MAX(MIN('Council Entry'!I193,'Council Entry'!I$9),'Council Entry'!I$8),'Council Entry'!I193)),IF(AND(ISNUMBER('Council Entry'!I$8),ISNUMBER('Council Entry'!I$9)),MAX(MIN('Council Entry'!I193,'Council Entry'!I$9),'Council Entry'!I$8),'Council Entry'!I193))))-'Council Entry'!I$5)/('Council Entry'!I$6-'Council Entry'!I$5)),1))),"No data"))</f>
        <v/>
      </c>
      <c r="J193" s="13">
        <f>IF('Council Entry'!J193="","",IFERROR(MAX(0,MIN(10,ROUND(IF('Council Entry'!J$7="Decrease Risk",10-10*((IF('Council Entry'!J$4="Logarithm",LN(0.001+IF(AND(ISNUMBER('Council Entry'!J$8),ISNUMBER('Council Entry'!J$9)),MAX(MIN('Council Entry'!J193,'Council Entry'!J$9),'Council Entry'!J$8),'Council Entry'!J193)),IF('Council Entry'!J$4="Exponential",EXP(IF(AND(ISNUMBER('Council Entry'!J$8),ISNUMBER('Council Entry'!J$9)),MAX(MIN('Council Entry'!J193,'Council Entry'!J$9),'Council Entry'!J$8),'Council Entry'!J193)),IF(AND(ISNUMBER('Council Entry'!J$8),ISNUMBER('Council Entry'!J$9)),MAX(MIN('Council Entry'!J193,'Council Entry'!J$9),'Council Entry'!J$8),'Council Entry'!J193))))-'Council Entry'!J$5)/('Council Entry'!J$6-'Council Entry'!J$5),10*((IF('Council Entry'!J$4="Logarithm",LN(0.001+IF(AND(ISNUMBER('Council Entry'!J$8),ISNUMBER('Council Entry'!J$9)),MAX(MIN('Council Entry'!J193,'Council Entry'!J$9),'Council Entry'!J$8),'Council Entry'!J193)),IF('Council Entry'!J$4="Exponential",EXP(IF(AND(ISNUMBER('Council Entry'!J$8),ISNUMBER('Council Entry'!J$9)),MAX(MIN('Council Entry'!J193,'Council Entry'!J$9),'Council Entry'!J$8),'Council Entry'!J193)),IF(AND(ISNUMBER('Council Entry'!J$8),ISNUMBER('Council Entry'!J$9)),MAX(MIN('Council Entry'!J193,'Council Entry'!J$9),'Council Entry'!J$8),'Council Entry'!J193))))-'Council Entry'!J$5)/('Council Entry'!J$6-'Council Entry'!J$5)),1))),"No data"))</f>
        <v/>
      </c>
      <c r="K193" s="13">
        <f>IF('Council Entry'!K193="","",IFERROR(MAX(0,MIN(10,ROUND(IF('Council Entry'!K$7="Decrease Risk",10-10*((IF('Council Entry'!K$4="Logarithm",LN(0.001+IF(AND(ISNUMBER('Council Entry'!K$8),ISNUMBER('Council Entry'!K$9)),MAX(MIN('Council Entry'!K193,'Council Entry'!K$9),'Council Entry'!K$8),'Council Entry'!K193)),IF('Council Entry'!K$4="Exponential",EXP(IF(AND(ISNUMBER('Council Entry'!K$8),ISNUMBER('Council Entry'!K$9)),MAX(MIN('Council Entry'!K193,'Council Entry'!K$9),'Council Entry'!K$8),'Council Entry'!K193)),IF(AND(ISNUMBER('Council Entry'!K$8),ISNUMBER('Council Entry'!K$9)),MAX(MIN('Council Entry'!K193,'Council Entry'!K$9),'Council Entry'!K$8),'Council Entry'!K193))))-'Council Entry'!K$5)/('Council Entry'!K$6-'Council Entry'!K$5),10*((IF('Council Entry'!K$4="Logarithm",LN(0.001+IF(AND(ISNUMBER('Council Entry'!K$8),ISNUMBER('Council Entry'!K$9)),MAX(MIN('Council Entry'!K193,'Council Entry'!K$9),'Council Entry'!K$8),'Council Entry'!K193)),IF('Council Entry'!K$4="Exponential",EXP(IF(AND(ISNUMBER('Council Entry'!K$8),ISNUMBER('Council Entry'!K$9)),MAX(MIN('Council Entry'!K193,'Council Entry'!K$9),'Council Entry'!K$8),'Council Entry'!K193)),IF(AND(ISNUMBER('Council Entry'!K$8),ISNUMBER('Council Entry'!K$9)),MAX(MIN('Council Entry'!K193,'Council Entry'!K$9),'Council Entry'!K$8),'Council Entry'!K193))))-'Council Entry'!K$5)/('Council Entry'!K$6-'Council Entry'!K$5)),1))),"No data"))</f>
        <v/>
      </c>
      <c r="L193" s="13">
        <f>IF('Council Entry'!L193="","",IFERROR(MAX(0,MIN(10,ROUND(IF('Council Entry'!L$7="Decrease Risk",10-10*((IF('Council Entry'!L$4="Logarithm",LN(0.001+IF(AND(ISNUMBER('Council Entry'!L$8),ISNUMBER('Council Entry'!L$9)),MAX(MIN('Council Entry'!L193,'Council Entry'!L$9),'Council Entry'!L$8),'Council Entry'!L193)),IF('Council Entry'!L$4="Exponential",EXP(IF(AND(ISNUMBER('Council Entry'!L$8),ISNUMBER('Council Entry'!L$9)),MAX(MIN('Council Entry'!L193,'Council Entry'!L$9),'Council Entry'!L$8),'Council Entry'!L193)),IF(AND(ISNUMBER('Council Entry'!L$8),ISNUMBER('Council Entry'!L$9)),MAX(MIN('Council Entry'!L193,'Council Entry'!L$9),'Council Entry'!L$8),'Council Entry'!L193))))-'Council Entry'!L$5)/('Council Entry'!L$6-'Council Entry'!L$5),10*((IF('Council Entry'!L$4="Logarithm",LN(0.001+IF(AND(ISNUMBER('Council Entry'!L$8),ISNUMBER('Council Entry'!L$9)),MAX(MIN('Council Entry'!L193,'Council Entry'!L$9),'Council Entry'!L$8),'Council Entry'!L193)),IF('Council Entry'!L$4="Exponential",EXP(IF(AND(ISNUMBER('Council Entry'!L$8),ISNUMBER('Council Entry'!L$9)),MAX(MIN('Council Entry'!L193,'Council Entry'!L$9),'Council Entry'!L$8),'Council Entry'!L193)),IF(AND(ISNUMBER('Council Entry'!L$8),ISNUMBER('Council Entry'!L$9)),MAX(MIN('Council Entry'!L193,'Council Entry'!L$9),'Council Entry'!L$8),'Council Entry'!L193))))-'Council Entry'!L$5)/('Council Entry'!L$6-'Council Entry'!L$5)),1))),"No data"))</f>
        <v/>
      </c>
      <c r="M193" s="13">
        <f>IF('Council Entry'!M193="","",IFERROR(MAX(0,MIN(10,ROUND(IF('Council Entry'!M$7="Decrease Risk",10-10*((IF('Council Entry'!M$4="Logarithm",LN(0.001+IF(AND(ISNUMBER('Council Entry'!M$8),ISNUMBER('Council Entry'!M$9)),MAX(MIN('Council Entry'!M193,'Council Entry'!M$9),'Council Entry'!M$8),'Council Entry'!M193)),IF('Council Entry'!M$4="Exponential",EXP(IF(AND(ISNUMBER('Council Entry'!M$8),ISNUMBER('Council Entry'!M$9)),MAX(MIN('Council Entry'!M193,'Council Entry'!M$9),'Council Entry'!M$8),'Council Entry'!M193)),IF(AND(ISNUMBER('Council Entry'!M$8),ISNUMBER('Council Entry'!M$9)),MAX(MIN('Council Entry'!M193,'Council Entry'!M$9),'Council Entry'!M$8),'Council Entry'!M193))))-'Council Entry'!M$5)/('Council Entry'!M$6-'Council Entry'!M$5),10*((IF('Council Entry'!M$4="Logarithm",LN(0.001+IF(AND(ISNUMBER('Council Entry'!M$8),ISNUMBER('Council Entry'!M$9)),MAX(MIN('Council Entry'!M193,'Council Entry'!M$9),'Council Entry'!M$8),'Council Entry'!M193)),IF('Council Entry'!M$4="Exponential",EXP(IF(AND(ISNUMBER('Council Entry'!M$8),ISNUMBER('Council Entry'!M$9)),MAX(MIN('Council Entry'!M193,'Council Entry'!M$9),'Council Entry'!M$8),'Council Entry'!M193)),IF(AND(ISNUMBER('Council Entry'!M$8),ISNUMBER('Council Entry'!M$9)),MAX(MIN('Council Entry'!M193,'Council Entry'!M$9),'Council Entry'!M$8),'Council Entry'!M193))))-'Council Entry'!M$5)/('Council Entry'!M$6-'Council Entry'!M$5)),1))),"No data"))</f>
        <v/>
      </c>
      <c r="N193" s="13">
        <f>IF('Council Entry'!N193="","",IFERROR(MAX(0,MIN(10,ROUND(IF('Council Entry'!N$7="Decrease Risk",10-10*((IF('Council Entry'!N$4="Logarithm",LN(0.001+IF(AND(ISNUMBER('Council Entry'!N$8),ISNUMBER('Council Entry'!N$9)),MAX(MIN('Council Entry'!N193,'Council Entry'!N$9),'Council Entry'!N$8),'Council Entry'!N193)),IF('Council Entry'!N$4="Exponential",EXP(IF(AND(ISNUMBER('Council Entry'!N$8),ISNUMBER('Council Entry'!N$9)),MAX(MIN('Council Entry'!N193,'Council Entry'!N$9),'Council Entry'!N$8),'Council Entry'!N193)),IF(AND(ISNUMBER('Council Entry'!N$8),ISNUMBER('Council Entry'!N$9)),MAX(MIN('Council Entry'!N193,'Council Entry'!N$9),'Council Entry'!N$8),'Council Entry'!N193))))-'Council Entry'!N$5)/('Council Entry'!N$6-'Council Entry'!N$5),10*((IF('Council Entry'!N$4="Logarithm",LN(0.001+IF(AND(ISNUMBER('Council Entry'!N$8),ISNUMBER('Council Entry'!N$9)),MAX(MIN('Council Entry'!N193,'Council Entry'!N$9),'Council Entry'!N$8),'Council Entry'!N193)),IF('Council Entry'!N$4="Exponential",EXP(IF(AND(ISNUMBER('Council Entry'!N$8),ISNUMBER('Council Entry'!N$9)),MAX(MIN('Council Entry'!N193,'Council Entry'!N$9),'Council Entry'!N$8),'Council Entry'!N193)),IF(AND(ISNUMBER('Council Entry'!N$8),ISNUMBER('Council Entry'!N$9)),MAX(MIN('Council Entry'!N193,'Council Entry'!N$9),'Council Entry'!N$8),'Council Entry'!N193))))-'Council Entry'!N$5)/('Council Entry'!N$6-'Council Entry'!N$5)),1))),"No data"))</f>
        <v/>
      </c>
      <c r="O193" s="13">
        <f>IF('Council Entry'!O193="","",IFERROR(MAX(0,MIN(10,ROUND(IF('Council Entry'!O$7="Decrease Risk",10-10*((IF('Council Entry'!O$4="Logarithm",LN(0.001+IF(AND(ISNUMBER('Council Entry'!O$8),ISNUMBER('Council Entry'!O$9)),MAX(MIN('Council Entry'!O193,'Council Entry'!O$9),'Council Entry'!O$8),'Council Entry'!O193)),IF('Council Entry'!O$4="Exponential",EXP(IF(AND(ISNUMBER('Council Entry'!O$8),ISNUMBER('Council Entry'!O$9)),MAX(MIN('Council Entry'!O193,'Council Entry'!O$9),'Council Entry'!O$8),'Council Entry'!O193)),IF(AND(ISNUMBER('Council Entry'!O$8),ISNUMBER('Council Entry'!O$9)),MAX(MIN('Council Entry'!O193,'Council Entry'!O$9),'Council Entry'!O$8),'Council Entry'!O193))))-'Council Entry'!O$5)/('Council Entry'!O$6-'Council Entry'!O$5),10*((IF('Council Entry'!O$4="Logarithm",LN(0.001+IF(AND(ISNUMBER('Council Entry'!O$8),ISNUMBER('Council Entry'!O$9)),MAX(MIN('Council Entry'!O193,'Council Entry'!O$9),'Council Entry'!O$8),'Council Entry'!O193)),IF('Council Entry'!O$4="Exponential",EXP(IF(AND(ISNUMBER('Council Entry'!O$8),ISNUMBER('Council Entry'!O$9)),MAX(MIN('Council Entry'!O193,'Council Entry'!O$9),'Council Entry'!O$8),'Council Entry'!O193)),IF(AND(ISNUMBER('Council Entry'!O$8),ISNUMBER('Council Entry'!O$9)),MAX(MIN('Council Entry'!O193,'Council Entry'!O$9),'Council Entry'!O$8),'Council Entry'!O193))))-'Council Entry'!O$5)/('Council Entry'!O$6-'Council Entry'!O$5)),1))),"No data"))</f>
        <v/>
      </c>
      <c r="P193" s="13">
        <f>IF('Council Entry'!P193="","",IFERROR(MAX(0,MIN(10,ROUND(IF('Council Entry'!P$7="Decrease Risk",10-10*((IF('Council Entry'!P$4="Logarithm",LN(0.001+IF(AND(ISNUMBER('Council Entry'!P$8),ISNUMBER('Council Entry'!P$9)),MAX(MIN('Council Entry'!P193,'Council Entry'!P$9),'Council Entry'!P$8),'Council Entry'!P193)),IF('Council Entry'!P$4="Exponential",EXP(IF(AND(ISNUMBER('Council Entry'!P$8),ISNUMBER('Council Entry'!P$9)),MAX(MIN('Council Entry'!P193,'Council Entry'!P$9),'Council Entry'!P$8),'Council Entry'!P193)),IF(AND(ISNUMBER('Council Entry'!P$8),ISNUMBER('Council Entry'!P$9)),MAX(MIN('Council Entry'!P193,'Council Entry'!P$9),'Council Entry'!P$8),'Council Entry'!P193))))-'Council Entry'!P$5)/('Council Entry'!P$6-'Council Entry'!P$5),10*((IF('Council Entry'!P$4="Logarithm",LN(0.001+IF(AND(ISNUMBER('Council Entry'!P$8),ISNUMBER('Council Entry'!P$9)),MAX(MIN('Council Entry'!P193,'Council Entry'!P$9),'Council Entry'!P$8),'Council Entry'!P193)),IF('Council Entry'!P$4="Exponential",EXP(IF(AND(ISNUMBER('Council Entry'!P$8),ISNUMBER('Council Entry'!P$9)),MAX(MIN('Council Entry'!P193,'Council Entry'!P$9),'Council Entry'!P$8),'Council Entry'!P193)),IF(AND(ISNUMBER('Council Entry'!P$8),ISNUMBER('Council Entry'!P$9)),MAX(MIN('Council Entry'!P193,'Council Entry'!P$9),'Council Entry'!P$8),'Council Entry'!P193))))-'Council Entry'!P$5)/('Council Entry'!P$6-'Council Entry'!P$5)),1))),"No data"))</f>
        <v/>
      </c>
      <c r="Q193" s="13">
        <f>IF('Council Entry'!Q193="","",IFERROR(MAX(0,MIN(10,ROUND(IF('Council Entry'!Q$7="Decrease Risk",10-10*((IF('Council Entry'!Q$4="Logarithm",LN(0.001+IF(AND(ISNUMBER('Council Entry'!Q$8),ISNUMBER('Council Entry'!Q$9)),MAX(MIN('Council Entry'!Q193,'Council Entry'!Q$9),'Council Entry'!Q$8),'Council Entry'!Q193)),IF('Council Entry'!Q$4="Exponential",EXP(IF(AND(ISNUMBER('Council Entry'!Q$8),ISNUMBER('Council Entry'!Q$9)),MAX(MIN('Council Entry'!Q193,'Council Entry'!Q$9),'Council Entry'!Q$8),'Council Entry'!Q193)),IF(AND(ISNUMBER('Council Entry'!Q$8),ISNUMBER('Council Entry'!Q$9)),MAX(MIN('Council Entry'!Q193,'Council Entry'!Q$9),'Council Entry'!Q$8),'Council Entry'!Q193))))-'Council Entry'!Q$5)/('Council Entry'!Q$6-'Council Entry'!Q$5),10*((IF('Council Entry'!Q$4="Logarithm",LN(0.001+IF(AND(ISNUMBER('Council Entry'!Q$8),ISNUMBER('Council Entry'!Q$9)),MAX(MIN('Council Entry'!Q193,'Council Entry'!Q$9),'Council Entry'!Q$8),'Council Entry'!Q193)),IF('Council Entry'!Q$4="Exponential",EXP(IF(AND(ISNUMBER('Council Entry'!Q$8),ISNUMBER('Council Entry'!Q$9)),MAX(MIN('Council Entry'!Q193,'Council Entry'!Q$9),'Council Entry'!Q$8),'Council Entry'!Q193)),IF(AND(ISNUMBER('Council Entry'!Q$8),ISNUMBER('Council Entry'!Q$9)),MAX(MIN('Council Entry'!Q193,'Council Entry'!Q$9),'Council Entry'!Q$8),'Council Entry'!Q193))))-'Council Entry'!Q$5)/('Council Entry'!Q$6-'Council Entry'!Q$5)),1))),"No data"))</f>
        <v/>
      </c>
      <c r="R193" s="13">
        <f>IF('Council Entry'!R193="","",IFERROR(MAX(0,MIN(10,ROUND(IF('Council Entry'!R$7="Decrease Risk",10-10*((IF('Council Entry'!R$4="Logarithm",LN(0.001+IF(AND(ISNUMBER('Council Entry'!R$8),ISNUMBER('Council Entry'!R$9)),MAX(MIN('Council Entry'!R193,'Council Entry'!R$9),'Council Entry'!R$8),'Council Entry'!R193)),IF('Council Entry'!R$4="Exponential",EXP(IF(AND(ISNUMBER('Council Entry'!R$8),ISNUMBER('Council Entry'!R$9)),MAX(MIN('Council Entry'!R193,'Council Entry'!R$9),'Council Entry'!R$8),'Council Entry'!R193)),IF(AND(ISNUMBER('Council Entry'!R$8),ISNUMBER('Council Entry'!R$9)),MAX(MIN('Council Entry'!R193,'Council Entry'!R$9),'Council Entry'!R$8),'Council Entry'!R193))))-'Council Entry'!R$5)/('Council Entry'!R$6-'Council Entry'!R$5),10*((IF('Council Entry'!R$4="Logarithm",LN(0.001+IF(AND(ISNUMBER('Council Entry'!R$8),ISNUMBER('Council Entry'!R$9)),MAX(MIN('Council Entry'!R193,'Council Entry'!R$9),'Council Entry'!R$8),'Council Entry'!R193)),IF('Council Entry'!R$4="Exponential",EXP(IF(AND(ISNUMBER('Council Entry'!R$8),ISNUMBER('Council Entry'!R$9)),MAX(MIN('Council Entry'!R193,'Council Entry'!R$9),'Council Entry'!R$8),'Council Entry'!R193)),IF(AND(ISNUMBER('Council Entry'!R$8),ISNUMBER('Council Entry'!R$9)),MAX(MIN('Council Entry'!R193,'Council Entry'!R$9),'Council Entry'!R$8),'Council Entry'!R193))))-'Council Entry'!R$5)/('Council Entry'!R$6-'Council Entry'!R$5)),1))),"No data"))</f>
        <v/>
      </c>
      <c r="S193" s="13">
        <f>IF('Council Entry'!S193="","",IFERROR(MAX(0,MIN(10,ROUND(IF('Council Entry'!S$7="Decrease Risk",10-10*((IF('Council Entry'!S$4="Logarithm",LN(0.001+IF(AND(ISNUMBER('Council Entry'!S$8),ISNUMBER('Council Entry'!S$9)),MAX(MIN('Council Entry'!S193,'Council Entry'!S$9),'Council Entry'!S$8),'Council Entry'!S193)),IF('Council Entry'!S$4="Exponential",EXP(IF(AND(ISNUMBER('Council Entry'!S$8),ISNUMBER('Council Entry'!S$9)),MAX(MIN('Council Entry'!S193,'Council Entry'!S$9),'Council Entry'!S$8),'Council Entry'!S193)),IF(AND(ISNUMBER('Council Entry'!S$8),ISNUMBER('Council Entry'!S$9)),MAX(MIN('Council Entry'!S193,'Council Entry'!S$9),'Council Entry'!S$8),'Council Entry'!S193))))-'Council Entry'!S$5)/('Council Entry'!S$6-'Council Entry'!S$5),10*((IF('Council Entry'!S$4="Logarithm",LN(0.001+IF(AND(ISNUMBER('Council Entry'!S$8),ISNUMBER('Council Entry'!S$9)),MAX(MIN('Council Entry'!S193,'Council Entry'!S$9),'Council Entry'!S$8),'Council Entry'!S193)),IF('Council Entry'!S$4="Exponential",EXP(IF(AND(ISNUMBER('Council Entry'!S$8),ISNUMBER('Council Entry'!S$9)),MAX(MIN('Council Entry'!S193,'Council Entry'!S$9),'Council Entry'!S$8),'Council Entry'!S193)),IF(AND(ISNUMBER('Council Entry'!S$8),ISNUMBER('Council Entry'!S$9)),MAX(MIN('Council Entry'!S193,'Council Entry'!S$9),'Council Entry'!S$8),'Council Entry'!S193))))-'Council Entry'!S$5)/('Council Entry'!S$6-'Council Entry'!S$5)),1))),"No data"))</f>
        <v/>
      </c>
      <c r="T193" s="13">
        <f>IF('Council Entry'!T193="","",IFERROR(MAX(0,MIN(10,ROUND(IF('Council Entry'!T$7="Decrease Risk",10-10*((IF('Council Entry'!T$4="Logarithm",LN(0.001+IF(AND(ISNUMBER('Council Entry'!T$8),ISNUMBER('Council Entry'!T$9)),MAX(MIN('Council Entry'!T193,'Council Entry'!T$9),'Council Entry'!T$8),'Council Entry'!T193)),IF('Council Entry'!T$4="Exponential",EXP(IF(AND(ISNUMBER('Council Entry'!T$8),ISNUMBER('Council Entry'!T$9)),MAX(MIN('Council Entry'!T193,'Council Entry'!T$9),'Council Entry'!T$8),'Council Entry'!T193)),IF(AND(ISNUMBER('Council Entry'!T$8),ISNUMBER('Council Entry'!T$9)),MAX(MIN('Council Entry'!T193,'Council Entry'!T$9),'Council Entry'!T$8),'Council Entry'!T193))))-'Council Entry'!T$5)/('Council Entry'!T$6-'Council Entry'!T$5),10*((IF('Council Entry'!T$4="Logarithm",LN(0.001+IF(AND(ISNUMBER('Council Entry'!T$8),ISNUMBER('Council Entry'!T$9)),MAX(MIN('Council Entry'!T193,'Council Entry'!T$9),'Council Entry'!T$8),'Council Entry'!T193)),IF('Council Entry'!T$4="Exponential",EXP(IF(AND(ISNUMBER('Council Entry'!T$8),ISNUMBER('Council Entry'!T$9)),MAX(MIN('Council Entry'!T193,'Council Entry'!T$9),'Council Entry'!T$8),'Council Entry'!T193)),IF(AND(ISNUMBER('Council Entry'!T$8),ISNUMBER('Council Entry'!T$9)),MAX(MIN('Council Entry'!T193,'Council Entry'!T$9),'Council Entry'!T$8),'Council Entry'!T193))))-'Council Entry'!T$5)/('Council Entry'!T$6-'Council Entry'!T$5)),1))),"No data"))</f>
        <v/>
      </c>
      <c r="U193" s="13">
        <f>IF('Council Entry'!U193="","",IFERROR(MAX(0,MIN(10,ROUND(IF('Council Entry'!U$7="Decrease Risk",10-10*((IF('Council Entry'!U$4="Logarithm",LN(0.001+IF(AND(ISNUMBER('Council Entry'!U$8),ISNUMBER('Council Entry'!U$9)),MAX(MIN('Council Entry'!U193,'Council Entry'!U$9),'Council Entry'!U$8),'Council Entry'!U193)),IF('Council Entry'!U$4="Exponential",EXP(IF(AND(ISNUMBER('Council Entry'!U$8),ISNUMBER('Council Entry'!U$9)),MAX(MIN('Council Entry'!U193,'Council Entry'!U$9),'Council Entry'!U$8),'Council Entry'!U193)),IF(AND(ISNUMBER('Council Entry'!U$8),ISNUMBER('Council Entry'!U$9)),MAX(MIN('Council Entry'!U193,'Council Entry'!U$9),'Council Entry'!U$8),'Council Entry'!U193))))-'Council Entry'!U$5)/('Council Entry'!U$6-'Council Entry'!U$5),10*((IF('Council Entry'!U$4="Logarithm",LN(0.001+IF(AND(ISNUMBER('Council Entry'!U$8),ISNUMBER('Council Entry'!U$9)),MAX(MIN('Council Entry'!U193,'Council Entry'!U$9),'Council Entry'!U$8),'Council Entry'!U193)),IF('Council Entry'!U$4="Exponential",EXP(IF(AND(ISNUMBER('Council Entry'!U$8),ISNUMBER('Council Entry'!U$9)),MAX(MIN('Council Entry'!U193,'Council Entry'!U$9),'Council Entry'!U$8),'Council Entry'!U193)),IF(AND(ISNUMBER('Council Entry'!U$8),ISNUMBER('Council Entry'!U$9)),MAX(MIN('Council Entry'!U193,'Council Entry'!U$9),'Council Entry'!U$8),'Council Entry'!U193))))-'Council Entry'!U$5)/('Council Entry'!U$6-'Council Entry'!U$5)),1))),"No data"))</f>
        <v/>
      </c>
      <c r="V193" s="13">
        <f>IF('Council Entry'!V193="","",IFERROR(MAX(0,MIN(10,ROUND(IF('Council Entry'!V$7="Decrease Risk",10-10*((IF('Council Entry'!V$4="Logarithm",LN(0.001+IF(AND(ISNUMBER('Council Entry'!V$8),ISNUMBER('Council Entry'!V$9)),MAX(MIN('Council Entry'!V193,'Council Entry'!V$9),'Council Entry'!V$8),'Council Entry'!V193)),IF('Council Entry'!V$4="Exponential",EXP(IF(AND(ISNUMBER('Council Entry'!V$8),ISNUMBER('Council Entry'!V$9)),MAX(MIN('Council Entry'!V193,'Council Entry'!V$9),'Council Entry'!V$8),'Council Entry'!V193)),IF(AND(ISNUMBER('Council Entry'!V$8),ISNUMBER('Council Entry'!V$9)),MAX(MIN('Council Entry'!V193,'Council Entry'!V$9),'Council Entry'!V$8),'Council Entry'!V193))))-'Council Entry'!V$5)/('Council Entry'!V$6-'Council Entry'!V$5),10*((IF('Council Entry'!V$4="Logarithm",LN(0.001+IF(AND(ISNUMBER('Council Entry'!V$8),ISNUMBER('Council Entry'!V$9)),MAX(MIN('Council Entry'!V193,'Council Entry'!V$9),'Council Entry'!V$8),'Council Entry'!V193)),IF('Council Entry'!V$4="Exponential",EXP(IF(AND(ISNUMBER('Council Entry'!V$8),ISNUMBER('Council Entry'!V$9)),MAX(MIN('Council Entry'!V193,'Council Entry'!V$9),'Council Entry'!V$8),'Council Entry'!V193)),IF(AND(ISNUMBER('Council Entry'!V$8),ISNUMBER('Council Entry'!V$9)),MAX(MIN('Council Entry'!V193,'Council Entry'!V$9),'Council Entry'!V$8),'Council Entry'!V193))))-'Council Entry'!V$5)/('Council Entry'!V$6-'Council Entry'!V$5)),1))),"No data"))</f>
        <v/>
      </c>
      <c r="W193" s="13">
        <f>IF('Council Entry'!W193="","",IFERROR(MAX(0,MIN(10,ROUND(IF('Council Entry'!W$7="Decrease Risk",10-10*((IF('Council Entry'!W$4="Logarithm",LN(0.001+IF(AND(ISNUMBER('Council Entry'!W$8),ISNUMBER('Council Entry'!W$9)),MAX(MIN('Council Entry'!W193,'Council Entry'!W$9),'Council Entry'!W$8),'Council Entry'!W193)),IF('Council Entry'!W$4="Exponential",EXP(IF(AND(ISNUMBER('Council Entry'!W$8),ISNUMBER('Council Entry'!W$9)),MAX(MIN('Council Entry'!W193,'Council Entry'!W$9),'Council Entry'!W$8),'Council Entry'!W193)),IF(AND(ISNUMBER('Council Entry'!W$8),ISNUMBER('Council Entry'!W$9)),MAX(MIN('Council Entry'!W193,'Council Entry'!W$9),'Council Entry'!W$8),'Council Entry'!W193))))-'Council Entry'!W$5)/('Council Entry'!W$6-'Council Entry'!W$5),10*((IF('Council Entry'!W$4="Logarithm",LN(0.001+IF(AND(ISNUMBER('Council Entry'!W$8),ISNUMBER('Council Entry'!W$9)),MAX(MIN('Council Entry'!W193,'Council Entry'!W$9),'Council Entry'!W$8),'Council Entry'!W193)),IF('Council Entry'!W$4="Exponential",EXP(IF(AND(ISNUMBER('Council Entry'!W$8),ISNUMBER('Council Entry'!W$9)),MAX(MIN('Council Entry'!W193,'Council Entry'!W$9),'Council Entry'!W$8),'Council Entry'!W193)),IF(AND(ISNUMBER('Council Entry'!W$8),ISNUMBER('Council Entry'!W$9)),MAX(MIN('Council Entry'!W193,'Council Entry'!W$9),'Council Entry'!W$8),'Council Entry'!W193))))-'Council Entry'!W$5)/('Council Entry'!W$6-'Council Entry'!W$5)),1))),"No data"))</f>
        <v/>
      </c>
      <c r="X193" s="13">
        <f>IF('Council Entry'!X193="","",IFERROR(MAX(0,MIN(10,ROUND(IF('Council Entry'!X$7="Decrease Risk",10-10*((IF('Council Entry'!X$4="Logarithm",LN(0.001+IF(AND(ISNUMBER('Council Entry'!X$8),ISNUMBER('Council Entry'!X$9)),MAX(MIN('Council Entry'!X193,'Council Entry'!X$9),'Council Entry'!X$8),'Council Entry'!X193)),IF('Council Entry'!X$4="Exponential",EXP(IF(AND(ISNUMBER('Council Entry'!X$8),ISNUMBER('Council Entry'!X$9)),MAX(MIN('Council Entry'!X193,'Council Entry'!X$9),'Council Entry'!X$8),'Council Entry'!X193)),IF(AND(ISNUMBER('Council Entry'!X$8),ISNUMBER('Council Entry'!X$9)),MAX(MIN('Council Entry'!X193,'Council Entry'!X$9),'Council Entry'!X$8),'Council Entry'!X193))))-'Council Entry'!X$5)/('Council Entry'!X$6-'Council Entry'!X$5),10*((IF('Council Entry'!X$4="Logarithm",LN(0.001+IF(AND(ISNUMBER('Council Entry'!X$8),ISNUMBER('Council Entry'!X$9)),MAX(MIN('Council Entry'!X193,'Council Entry'!X$9),'Council Entry'!X$8),'Council Entry'!X193)),IF('Council Entry'!X$4="Exponential",EXP(IF(AND(ISNUMBER('Council Entry'!X$8),ISNUMBER('Council Entry'!X$9)),MAX(MIN('Council Entry'!X193,'Council Entry'!X$9),'Council Entry'!X$8),'Council Entry'!X193)),IF(AND(ISNUMBER('Council Entry'!X$8),ISNUMBER('Council Entry'!X$9)),MAX(MIN('Council Entry'!X193,'Council Entry'!X$9),'Council Entry'!X$8),'Council Entry'!X193))))-'Council Entry'!X$5)/('Council Entry'!X$6-'Council Entry'!X$5)),1))),"No data"))</f>
        <v/>
      </c>
      <c r="Y193" s="13">
        <f>IF('Council Entry'!Y193="","",IFERROR(MAX(0,MIN(10,ROUND(IF('Council Entry'!Y$7="Decrease Risk",10-10*((IF('Council Entry'!Y$4="Logarithm",LN(0.001+IF(AND(ISNUMBER('Council Entry'!Y$8),ISNUMBER('Council Entry'!Y$9)),MAX(MIN('Council Entry'!Y193,'Council Entry'!Y$9),'Council Entry'!Y$8),'Council Entry'!Y193)),IF('Council Entry'!Y$4="Exponential",EXP(IF(AND(ISNUMBER('Council Entry'!Y$8),ISNUMBER('Council Entry'!Y$9)),MAX(MIN('Council Entry'!Y193,'Council Entry'!Y$9),'Council Entry'!Y$8),'Council Entry'!Y193)),IF(AND(ISNUMBER('Council Entry'!Y$8),ISNUMBER('Council Entry'!Y$9)),MAX(MIN('Council Entry'!Y193,'Council Entry'!Y$9),'Council Entry'!Y$8),'Council Entry'!Y193))))-'Council Entry'!Y$5)/('Council Entry'!Y$6-'Council Entry'!Y$5),10*((IF('Council Entry'!Y$4="Logarithm",LN(0.001+IF(AND(ISNUMBER('Council Entry'!Y$8),ISNUMBER('Council Entry'!Y$9)),MAX(MIN('Council Entry'!Y193,'Council Entry'!Y$9),'Council Entry'!Y$8),'Council Entry'!Y193)),IF('Council Entry'!Y$4="Exponential",EXP(IF(AND(ISNUMBER('Council Entry'!Y$8),ISNUMBER('Council Entry'!Y$9)),MAX(MIN('Council Entry'!Y193,'Council Entry'!Y$9),'Council Entry'!Y$8),'Council Entry'!Y193)),IF(AND(ISNUMBER('Council Entry'!Y$8),ISNUMBER('Council Entry'!Y$9)),MAX(MIN('Council Entry'!Y193,'Council Entry'!Y$9),'Council Entry'!Y$8),'Council Entry'!Y193))))-'Council Entry'!Y$5)/('Council Entry'!Y$6-'Council Entry'!Y$5)),1))),"No data"))</f>
        <v/>
      </c>
      <c r="Z193" s="13">
        <f>IF('Council Entry'!Z193="","",IFERROR(MAX(0,MIN(10,ROUND(IF('Council Entry'!Z$7="Decrease Risk",10-10*((IF('Council Entry'!Z$4="Logarithm",LN(0.001+IF(AND(ISNUMBER('Council Entry'!Z$8),ISNUMBER('Council Entry'!Z$9)),MAX(MIN('Council Entry'!Z193,'Council Entry'!Z$9),'Council Entry'!Z$8),'Council Entry'!Z193)),IF('Council Entry'!Z$4="Exponential",EXP(IF(AND(ISNUMBER('Council Entry'!Z$8),ISNUMBER('Council Entry'!Z$9)),MAX(MIN('Council Entry'!Z193,'Council Entry'!Z$9),'Council Entry'!Z$8),'Council Entry'!Z193)),IF(AND(ISNUMBER('Council Entry'!Z$8),ISNUMBER('Council Entry'!Z$9)),MAX(MIN('Council Entry'!Z193,'Council Entry'!Z$9),'Council Entry'!Z$8),'Council Entry'!Z193))))-'Council Entry'!Z$5)/('Council Entry'!Z$6-'Council Entry'!Z$5),10*((IF('Council Entry'!Z$4="Logarithm",LN(0.001+IF(AND(ISNUMBER('Council Entry'!Z$8),ISNUMBER('Council Entry'!Z$9)),MAX(MIN('Council Entry'!Z193,'Council Entry'!Z$9),'Council Entry'!Z$8),'Council Entry'!Z193)),IF('Council Entry'!Z$4="Exponential",EXP(IF(AND(ISNUMBER('Council Entry'!Z$8),ISNUMBER('Council Entry'!Z$9)),MAX(MIN('Council Entry'!Z193,'Council Entry'!Z$9),'Council Entry'!Z$8),'Council Entry'!Z193)),IF(AND(ISNUMBER('Council Entry'!Z$8),ISNUMBER('Council Entry'!Z$9)),MAX(MIN('Council Entry'!Z193,'Council Entry'!Z$9),'Council Entry'!Z$8),'Council Entry'!Z193))))-'Council Entry'!Z$5)/('Council Entry'!Z$6-'Council Entry'!Z$5)),1))),"No data"))</f>
        <v/>
      </c>
      <c r="AA193" s="13">
        <f>IF('Council Entry'!AA193="","",IFERROR(MAX(0,MIN(10,ROUND(IF('Council Entry'!AA$7="Decrease Risk",10-10*((IF('Council Entry'!AA$4="Logarithm",LN(0.001+IF(AND(ISNUMBER('Council Entry'!AA$8),ISNUMBER('Council Entry'!AA$9)),MAX(MIN('Council Entry'!AA193,'Council Entry'!AA$9),'Council Entry'!AA$8),'Council Entry'!AA193)),IF('Council Entry'!AA$4="Exponential",EXP(IF(AND(ISNUMBER('Council Entry'!AA$8),ISNUMBER('Council Entry'!AA$9)),MAX(MIN('Council Entry'!AA193,'Council Entry'!AA$9),'Council Entry'!AA$8),'Council Entry'!AA193)),IF(AND(ISNUMBER('Council Entry'!AA$8),ISNUMBER('Council Entry'!AA$9)),MAX(MIN('Council Entry'!AA193,'Council Entry'!AA$9),'Council Entry'!AA$8),'Council Entry'!AA193))))-'Council Entry'!AA$5)/('Council Entry'!AA$6-'Council Entry'!AA$5),10*((IF('Council Entry'!AA$4="Logarithm",LN(0.001+IF(AND(ISNUMBER('Council Entry'!AA$8),ISNUMBER('Council Entry'!AA$9)),MAX(MIN('Council Entry'!AA193,'Council Entry'!AA$9),'Council Entry'!AA$8),'Council Entry'!AA193)),IF('Council Entry'!AA$4="Exponential",EXP(IF(AND(ISNUMBER('Council Entry'!AA$8),ISNUMBER('Council Entry'!AA$9)),MAX(MIN('Council Entry'!AA193,'Council Entry'!AA$9),'Council Entry'!AA$8),'Council Entry'!AA193)),IF(AND(ISNUMBER('Council Entry'!AA$8),ISNUMBER('Council Entry'!AA$9)),MAX(MIN('Council Entry'!AA193,'Council Entry'!AA$9),'Council Entry'!AA$8),'Council Entry'!AA193))))-'Council Entry'!AA$5)/('Council Entry'!AA$6-'Council Entry'!AA$5)),1))),"No data"))</f>
        <v/>
      </c>
      <c r="AB193" s="13">
        <f>IF('Council Entry'!AB193="","",IFERROR(MAX(0,MIN(10,ROUND(IF('Council Entry'!AB$7="Decrease Risk",10-10*((IF('Council Entry'!AB$4="Logarithm",LN(0.001+IF(AND(ISNUMBER('Council Entry'!AB$8),ISNUMBER('Council Entry'!AB$9)),MAX(MIN('Council Entry'!AB193,'Council Entry'!AB$9),'Council Entry'!AB$8),'Council Entry'!AB193)),IF('Council Entry'!AB$4="Exponential",EXP(IF(AND(ISNUMBER('Council Entry'!AB$8),ISNUMBER('Council Entry'!AB$9)),MAX(MIN('Council Entry'!AB193,'Council Entry'!AB$9),'Council Entry'!AB$8),'Council Entry'!AB193)),IF(AND(ISNUMBER('Council Entry'!AB$8),ISNUMBER('Council Entry'!AB$9)),MAX(MIN('Council Entry'!AB193,'Council Entry'!AB$9),'Council Entry'!AB$8),'Council Entry'!AB193))))-'Council Entry'!AB$5)/('Council Entry'!AB$6-'Council Entry'!AB$5),10*((IF('Council Entry'!AB$4="Logarithm",LN(0.001+IF(AND(ISNUMBER('Council Entry'!AB$8),ISNUMBER('Council Entry'!AB$9)),MAX(MIN('Council Entry'!AB193,'Council Entry'!AB$9),'Council Entry'!AB$8),'Council Entry'!AB193)),IF('Council Entry'!AB$4="Exponential",EXP(IF(AND(ISNUMBER('Council Entry'!AB$8),ISNUMBER('Council Entry'!AB$9)),MAX(MIN('Council Entry'!AB193,'Council Entry'!AB$9),'Council Entry'!AB$8),'Council Entry'!AB193)),IF(AND(ISNUMBER('Council Entry'!AB$8),ISNUMBER('Council Entry'!AB$9)),MAX(MIN('Council Entry'!AB193,'Council Entry'!AB$9),'Council Entry'!AB$8),'Council Entry'!AB193))))-'Council Entry'!AB$5)/('Council Entry'!AB$6-'Council Entry'!AB$5)),1))),"No data"))</f>
        <v/>
      </c>
      <c r="AC193" s="13">
        <f>IF('Council Entry'!AC193="","",IFERROR(MAX(0,MIN(10,ROUND(IF('Council Entry'!AC$7="Decrease Risk",10-10*((IF('Council Entry'!AC$4="Logarithm",LN(0.001+IF(AND(ISNUMBER('Council Entry'!AC$8),ISNUMBER('Council Entry'!AC$9)),MAX(MIN('Council Entry'!AC193,'Council Entry'!AC$9),'Council Entry'!AC$8),'Council Entry'!AC193)),IF('Council Entry'!AC$4="Exponential",EXP(IF(AND(ISNUMBER('Council Entry'!AC$8),ISNUMBER('Council Entry'!AC$9)),MAX(MIN('Council Entry'!AC193,'Council Entry'!AC$9),'Council Entry'!AC$8),'Council Entry'!AC193)),IF(AND(ISNUMBER('Council Entry'!AC$8),ISNUMBER('Council Entry'!AC$9)),MAX(MIN('Council Entry'!AC193,'Council Entry'!AC$9),'Council Entry'!AC$8),'Council Entry'!AC193))))-'Council Entry'!AC$5)/('Council Entry'!AC$6-'Council Entry'!AC$5),10*((IF('Council Entry'!AC$4="Logarithm",LN(0.001+IF(AND(ISNUMBER('Council Entry'!AC$8),ISNUMBER('Council Entry'!AC$9)),MAX(MIN('Council Entry'!AC193,'Council Entry'!AC$9),'Council Entry'!AC$8),'Council Entry'!AC193)),IF('Council Entry'!AC$4="Exponential",EXP(IF(AND(ISNUMBER('Council Entry'!AC$8),ISNUMBER('Council Entry'!AC$9)),MAX(MIN('Council Entry'!AC193,'Council Entry'!AC$9),'Council Entry'!AC$8),'Council Entry'!AC193)),IF(AND(ISNUMBER('Council Entry'!AC$8),ISNUMBER('Council Entry'!AC$9)),MAX(MIN('Council Entry'!AC193,'Council Entry'!AC$9),'Council Entry'!AC$8),'Council Entry'!AC193))))-'Council Entry'!AC$5)/('Council Entry'!AC$6-'Council Entry'!AC$5)),1))),"No data"))</f>
        <v/>
      </c>
      <c r="AD193" s="13">
        <f>IF('Council Entry'!AD193="","",IFERROR(MAX(0,MIN(10,ROUND(IF('Council Entry'!AD$7="Decrease Risk",10-10*((IF('Council Entry'!AD$4="Logarithm",LN(0.001+IF(AND(ISNUMBER('Council Entry'!AD$8),ISNUMBER('Council Entry'!AD$9)),MAX(MIN('Council Entry'!AD193,'Council Entry'!AD$9),'Council Entry'!AD$8),'Council Entry'!AD193)),IF('Council Entry'!AD$4="Exponential",EXP(IF(AND(ISNUMBER('Council Entry'!AD$8),ISNUMBER('Council Entry'!AD$9)),MAX(MIN('Council Entry'!AD193,'Council Entry'!AD$9),'Council Entry'!AD$8),'Council Entry'!AD193)),IF(AND(ISNUMBER('Council Entry'!AD$8),ISNUMBER('Council Entry'!AD$9)),MAX(MIN('Council Entry'!AD193,'Council Entry'!AD$9),'Council Entry'!AD$8),'Council Entry'!AD193))))-'Council Entry'!AD$5)/('Council Entry'!AD$6-'Council Entry'!AD$5),10*((IF('Council Entry'!AD$4="Logarithm",LN(0.001+IF(AND(ISNUMBER('Council Entry'!AD$8),ISNUMBER('Council Entry'!AD$9)),MAX(MIN('Council Entry'!AD193,'Council Entry'!AD$9),'Council Entry'!AD$8),'Council Entry'!AD193)),IF('Council Entry'!AD$4="Exponential",EXP(IF(AND(ISNUMBER('Council Entry'!AD$8),ISNUMBER('Council Entry'!AD$9)),MAX(MIN('Council Entry'!AD193,'Council Entry'!AD$9),'Council Entry'!AD$8),'Council Entry'!AD193)),IF(AND(ISNUMBER('Council Entry'!AD$8),ISNUMBER('Council Entry'!AD$9)),MAX(MIN('Council Entry'!AD193,'Council Entry'!AD$9),'Council Entry'!AD$8),'Council Entry'!AD193))))-'Council Entry'!AD$5)/('Council Entry'!AD$6-'Council Entry'!AD$5)),1))),"No data"))</f>
        <v/>
      </c>
      <c r="AE193" s="13">
        <f>IF('Council Entry'!AE193="","",IFERROR(MAX(0,MIN(10,ROUND(IF('Council Entry'!AE$7="Decrease Risk",10-10*((IF('Council Entry'!AE$4="Logarithm",LN(0.001+IF(AND(ISNUMBER('Council Entry'!AE$8),ISNUMBER('Council Entry'!AE$9)),MAX(MIN('Council Entry'!AE193,'Council Entry'!AE$9),'Council Entry'!AE$8),'Council Entry'!AE193)),IF('Council Entry'!AE$4="Exponential",EXP(IF(AND(ISNUMBER('Council Entry'!AE$8),ISNUMBER('Council Entry'!AE$9)),MAX(MIN('Council Entry'!AE193,'Council Entry'!AE$9),'Council Entry'!AE$8),'Council Entry'!AE193)),IF(AND(ISNUMBER('Council Entry'!AE$8),ISNUMBER('Council Entry'!AE$9)),MAX(MIN('Council Entry'!AE193,'Council Entry'!AE$9),'Council Entry'!AE$8),'Council Entry'!AE193))))-'Council Entry'!AE$5)/('Council Entry'!AE$6-'Council Entry'!AE$5),10*((IF('Council Entry'!AE$4="Logarithm",LN(0.001+IF(AND(ISNUMBER('Council Entry'!AE$8),ISNUMBER('Council Entry'!AE$9)),MAX(MIN('Council Entry'!AE193,'Council Entry'!AE$9),'Council Entry'!AE$8),'Council Entry'!AE193)),IF('Council Entry'!AE$4="Exponential",EXP(IF(AND(ISNUMBER('Council Entry'!AE$8),ISNUMBER('Council Entry'!AE$9)),MAX(MIN('Council Entry'!AE193,'Council Entry'!AE$9),'Council Entry'!AE$8),'Council Entry'!AE193)),IF(AND(ISNUMBER('Council Entry'!AE$8),ISNUMBER('Council Entry'!AE$9)),MAX(MIN('Council Entry'!AE193,'Council Entry'!AE$9),'Council Entry'!AE$8),'Council Entry'!AE193))))-'Council Entry'!AE$5)/('Council Entry'!AE$6-'Council Entry'!AE$5)),1))),"No data"))</f>
        <v/>
      </c>
      <c r="AF193" s="13">
        <f>IF('Council Entry'!AF193="","",IFERROR(MAX(0,MIN(10,ROUND(IF('Council Entry'!AF$7="Decrease Risk",10-10*((IF('Council Entry'!AF$4="Logarithm",LN(0.001+IF(AND(ISNUMBER('Council Entry'!AF$8),ISNUMBER('Council Entry'!AF$9)),MAX(MIN('Council Entry'!AF193,'Council Entry'!AF$9),'Council Entry'!AF$8),'Council Entry'!AF193)),IF('Council Entry'!AF$4="Exponential",EXP(IF(AND(ISNUMBER('Council Entry'!AF$8),ISNUMBER('Council Entry'!AF$9)),MAX(MIN('Council Entry'!AF193,'Council Entry'!AF$9),'Council Entry'!AF$8),'Council Entry'!AF193)),IF(AND(ISNUMBER('Council Entry'!AF$8),ISNUMBER('Council Entry'!AF$9)),MAX(MIN('Council Entry'!AF193,'Council Entry'!AF$9),'Council Entry'!AF$8),'Council Entry'!AF193))))-'Council Entry'!AF$5)/('Council Entry'!AF$6-'Council Entry'!AF$5),10*((IF('Council Entry'!AF$4="Logarithm",LN(0.001+IF(AND(ISNUMBER('Council Entry'!AF$8),ISNUMBER('Council Entry'!AF$9)),MAX(MIN('Council Entry'!AF193,'Council Entry'!AF$9),'Council Entry'!AF$8),'Council Entry'!AF193)),IF('Council Entry'!AF$4="Exponential",EXP(IF(AND(ISNUMBER('Council Entry'!AF$8),ISNUMBER('Council Entry'!AF$9)),MAX(MIN('Council Entry'!AF193,'Council Entry'!AF$9),'Council Entry'!AF$8),'Council Entry'!AF193)),IF(AND(ISNUMBER('Council Entry'!AF$8),ISNUMBER('Council Entry'!AF$9)),MAX(MIN('Council Entry'!AF193,'Council Entry'!AF$9),'Council Entry'!AF$8),'Council Entry'!AF193))))-'Council Entry'!AF$5)/('Council Entry'!AF$6-'Council Entry'!AF$5)),1))),"No data"))</f>
        <v/>
      </c>
      <c r="AG193" s="13">
        <f>IF('Council Entry'!AG193="","",IFERROR(MAX(0,MIN(10,ROUND(IF('Council Entry'!AG$7="Decrease Risk",10-10*((IF('Council Entry'!AG$4="Logarithm",LN(0.001+IF(AND(ISNUMBER('Council Entry'!AG$8),ISNUMBER('Council Entry'!AG$9)),MAX(MIN('Council Entry'!AG193,'Council Entry'!AG$9),'Council Entry'!AG$8),'Council Entry'!AG193)),IF('Council Entry'!AG$4="Exponential",EXP(IF(AND(ISNUMBER('Council Entry'!AG$8),ISNUMBER('Council Entry'!AG$9)),MAX(MIN('Council Entry'!AG193,'Council Entry'!AG$9),'Council Entry'!AG$8),'Council Entry'!AG193)),IF(AND(ISNUMBER('Council Entry'!AG$8),ISNUMBER('Council Entry'!AG$9)),MAX(MIN('Council Entry'!AG193,'Council Entry'!AG$9),'Council Entry'!AG$8),'Council Entry'!AG193))))-'Council Entry'!AG$5)/('Council Entry'!AG$6-'Council Entry'!AG$5),10*((IF('Council Entry'!AG$4="Logarithm",LN(0.001+IF(AND(ISNUMBER('Council Entry'!AG$8),ISNUMBER('Council Entry'!AG$9)),MAX(MIN('Council Entry'!AG193,'Council Entry'!AG$9),'Council Entry'!AG$8),'Council Entry'!AG193)),IF('Council Entry'!AG$4="Exponential",EXP(IF(AND(ISNUMBER('Council Entry'!AG$8),ISNUMBER('Council Entry'!AG$9)),MAX(MIN('Council Entry'!AG193,'Council Entry'!AG$9),'Council Entry'!AG$8),'Council Entry'!AG193)),IF(AND(ISNUMBER('Council Entry'!AG$8),ISNUMBER('Council Entry'!AG$9)),MAX(MIN('Council Entry'!AG193,'Council Entry'!AG$9),'Council Entry'!AG$8),'Council Entry'!AG193))))-'Council Entry'!AG$5)/('Council Entry'!AG$6-'Council Entry'!AG$5)),1))),"No data"))</f>
        <v/>
      </c>
      <c r="AH193" s="13">
        <f>IF('Council Entry'!AH193="","",IFERROR(MAX(0,MIN(10,ROUND(IF('Council Entry'!AH$7="Decrease Risk",10-10*((IF('Council Entry'!AH$4="Logarithm",LN(0.001+IF(AND(ISNUMBER('Council Entry'!AH$8),ISNUMBER('Council Entry'!AH$9)),MAX(MIN('Council Entry'!AH193,'Council Entry'!AH$9),'Council Entry'!AH$8),'Council Entry'!AH193)),IF('Council Entry'!AH$4="Exponential",EXP(IF(AND(ISNUMBER('Council Entry'!AH$8),ISNUMBER('Council Entry'!AH$9)),MAX(MIN('Council Entry'!AH193,'Council Entry'!AH$9),'Council Entry'!AH$8),'Council Entry'!AH193)),IF(AND(ISNUMBER('Council Entry'!AH$8),ISNUMBER('Council Entry'!AH$9)),MAX(MIN('Council Entry'!AH193,'Council Entry'!AH$9),'Council Entry'!AH$8),'Council Entry'!AH193))))-'Council Entry'!AH$5)/('Council Entry'!AH$6-'Council Entry'!AH$5),10*((IF('Council Entry'!AH$4="Logarithm",LN(0.001+IF(AND(ISNUMBER('Council Entry'!AH$8),ISNUMBER('Council Entry'!AH$9)),MAX(MIN('Council Entry'!AH193,'Council Entry'!AH$9),'Council Entry'!AH$8),'Council Entry'!AH193)),IF('Council Entry'!AH$4="Exponential",EXP(IF(AND(ISNUMBER('Council Entry'!AH$8),ISNUMBER('Council Entry'!AH$9)),MAX(MIN('Council Entry'!AH193,'Council Entry'!AH$9),'Council Entry'!AH$8),'Council Entry'!AH193)),IF(AND(ISNUMBER('Council Entry'!AH$8),ISNUMBER('Council Entry'!AH$9)),MAX(MIN('Council Entry'!AH193,'Council Entry'!AH$9),'Council Entry'!AH$8),'Council Entry'!AH193))))-'Council Entry'!AH$5)/('Council Entry'!AH$6-'Council Entry'!AH$5)),1))),"No data"))</f>
        <v/>
      </c>
      <c r="AI193" s="13">
        <f>IF('Council Entry'!AI193="","",IFERROR(MAX(0,MIN(10,ROUND(IF('Council Entry'!AI$7="Decrease Risk",10-10*((IF('Council Entry'!AI$4="Logarithm",LN(0.001+IF(AND(ISNUMBER('Council Entry'!AI$8),ISNUMBER('Council Entry'!AI$9)),MAX(MIN('Council Entry'!AI193,'Council Entry'!AI$9),'Council Entry'!AI$8),'Council Entry'!AI193)),IF('Council Entry'!AI$4="Exponential",EXP(IF(AND(ISNUMBER('Council Entry'!AI$8),ISNUMBER('Council Entry'!AI$9)),MAX(MIN('Council Entry'!AI193,'Council Entry'!AI$9),'Council Entry'!AI$8),'Council Entry'!AI193)),IF(AND(ISNUMBER('Council Entry'!AI$8),ISNUMBER('Council Entry'!AI$9)),MAX(MIN('Council Entry'!AI193,'Council Entry'!AI$9),'Council Entry'!AI$8),'Council Entry'!AI193))))-'Council Entry'!AI$5)/('Council Entry'!AI$6-'Council Entry'!AI$5),10*((IF('Council Entry'!AI$4="Logarithm",LN(0.001+IF(AND(ISNUMBER('Council Entry'!AI$8),ISNUMBER('Council Entry'!AI$9)),MAX(MIN('Council Entry'!AI193,'Council Entry'!AI$9),'Council Entry'!AI$8),'Council Entry'!AI193)),IF('Council Entry'!AI$4="Exponential",EXP(IF(AND(ISNUMBER('Council Entry'!AI$8),ISNUMBER('Council Entry'!AI$9)),MAX(MIN('Council Entry'!AI193,'Council Entry'!AI$9),'Council Entry'!AI$8),'Council Entry'!AI193)),IF(AND(ISNUMBER('Council Entry'!AI$8),ISNUMBER('Council Entry'!AI$9)),MAX(MIN('Council Entry'!AI193,'Council Entry'!AI$9),'Council Entry'!AI$8),'Council Entry'!AI193))))-'Council Entry'!AI$5)/('Council Entry'!AI$6-'Council Entry'!AI$5)),1))),"No data"))</f>
        <v/>
      </c>
      <c r="AJ193" s="13">
        <f>IF('Council Entry'!AJ193="","",IFERROR(MAX(0,MIN(10,ROUND(IF('Council Entry'!AJ$7="Decrease Risk",10-10*((IF('Council Entry'!AJ$4="Logarithm",LN(0.001+IF(AND(ISNUMBER('Council Entry'!AJ$8),ISNUMBER('Council Entry'!AJ$9)),MAX(MIN('Council Entry'!AJ193,'Council Entry'!AJ$9),'Council Entry'!AJ$8),'Council Entry'!AJ193)),IF('Council Entry'!AJ$4="Exponential",EXP(IF(AND(ISNUMBER('Council Entry'!AJ$8),ISNUMBER('Council Entry'!AJ$9)),MAX(MIN('Council Entry'!AJ193,'Council Entry'!AJ$9),'Council Entry'!AJ$8),'Council Entry'!AJ193)),IF(AND(ISNUMBER('Council Entry'!AJ$8),ISNUMBER('Council Entry'!AJ$9)),MAX(MIN('Council Entry'!AJ193,'Council Entry'!AJ$9),'Council Entry'!AJ$8),'Council Entry'!AJ193))))-'Council Entry'!AJ$5)/('Council Entry'!AJ$6-'Council Entry'!AJ$5),10*((IF('Council Entry'!AJ$4="Logarithm",LN(0.001+IF(AND(ISNUMBER('Council Entry'!AJ$8),ISNUMBER('Council Entry'!AJ$9)),MAX(MIN('Council Entry'!AJ193,'Council Entry'!AJ$9),'Council Entry'!AJ$8),'Council Entry'!AJ193)),IF('Council Entry'!AJ$4="Exponential",EXP(IF(AND(ISNUMBER('Council Entry'!AJ$8),ISNUMBER('Council Entry'!AJ$9)),MAX(MIN('Council Entry'!AJ193,'Council Entry'!AJ$9),'Council Entry'!AJ$8),'Council Entry'!AJ193)),IF(AND(ISNUMBER('Council Entry'!AJ$8),ISNUMBER('Council Entry'!AJ$9)),MAX(MIN('Council Entry'!AJ193,'Council Entry'!AJ$9),'Council Entry'!AJ$8),'Council Entry'!AJ193))))-'Council Entry'!AJ$5)/('Council Entry'!AJ$6-'Council Entry'!AJ$5)),1))),"No data"))</f>
        <v/>
      </c>
      <c r="AK193" s="13">
        <f>IF('Council Entry'!AK193="","",IFERROR(MAX(0,MIN(10,ROUND(IF('Council Entry'!AK$7="Decrease Risk",10-10*((IF('Council Entry'!AK$4="Logarithm",LN(0.001+IF(AND(ISNUMBER('Council Entry'!AK$8),ISNUMBER('Council Entry'!AK$9)),MAX(MIN('Council Entry'!AK193,'Council Entry'!AK$9),'Council Entry'!AK$8),'Council Entry'!AK193)),IF('Council Entry'!AK$4="Exponential",EXP(IF(AND(ISNUMBER('Council Entry'!AK$8),ISNUMBER('Council Entry'!AK$9)),MAX(MIN('Council Entry'!AK193,'Council Entry'!AK$9),'Council Entry'!AK$8),'Council Entry'!AK193)),IF(AND(ISNUMBER('Council Entry'!AK$8),ISNUMBER('Council Entry'!AK$9)),MAX(MIN('Council Entry'!AK193,'Council Entry'!AK$9),'Council Entry'!AK$8),'Council Entry'!AK193))))-'Council Entry'!AK$5)/('Council Entry'!AK$6-'Council Entry'!AK$5),10*((IF('Council Entry'!AK$4="Logarithm",LN(0.001+IF(AND(ISNUMBER('Council Entry'!AK$8),ISNUMBER('Council Entry'!AK$9)),MAX(MIN('Council Entry'!AK193,'Council Entry'!AK$9),'Council Entry'!AK$8),'Council Entry'!AK193)),IF('Council Entry'!AK$4="Exponential",EXP(IF(AND(ISNUMBER('Council Entry'!AK$8),ISNUMBER('Council Entry'!AK$9)),MAX(MIN('Council Entry'!AK193,'Council Entry'!AK$9),'Council Entry'!AK$8),'Council Entry'!AK193)),IF(AND(ISNUMBER('Council Entry'!AK$8),ISNUMBER('Council Entry'!AK$9)),MAX(MIN('Council Entry'!AK193,'Council Entry'!AK$9),'Council Entry'!AK$8),'Council Entry'!AK193))))-'Council Entry'!AK$5)/('Council Entry'!AK$6-'Council Entry'!AK$5)),1))),"No data"))</f>
        <v/>
      </c>
      <c r="AL193" s="13">
        <f>IF('Council Entry'!AL193="","",IFERROR(MAX(0,MIN(10,ROUND(IF('Council Entry'!AL$7="Decrease Risk",10-10*((IF('Council Entry'!AL$4="Logarithm",LN(0.001+IF(AND(ISNUMBER('Council Entry'!AL$8),ISNUMBER('Council Entry'!AL$9)),MAX(MIN('Council Entry'!AL193,'Council Entry'!AL$9),'Council Entry'!AL$8),'Council Entry'!AL193)),IF('Council Entry'!AL$4="Exponential",EXP(IF(AND(ISNUMBER('Council Entry'!AL$8),ISNUMBER('Council Entry'!AL$9)),MAX(MIN('Council Entry'!AL193,'Council Entry'!AL$9),'Council Entry'!AL$8),'Council Entry'!AL193)),IF(AND(ISNUMBER('Council Entry'!AL$8),ISNUMBER('Council Entry'!AL$9)),MAX(MIN('Council Entry'!AL193,'Council Entry'!AL$9),'Council Entry'!AL$8),'Council Entry'!AL193))))-'Council Entry'!AL$5)/('Council Entry'!AL$6-'Council Entry'!AL$5),10*((IF('Council Entry'!AL$4="Logarithm",LN(0.001+IF(AND(ISNUMBER('Council Entry'!AL$8),ISNUMBER('Council Entry'!AL$9)),MAX(MIN('Council Entry'!AL193,'Council Entry'!AL$9),'Council Entry'!AL$8),'Council Entry'!AL193)),IF('Council Entry'!AL$4="Exponential",EXP(IF(AND(ISNUMBER('Council Entry'!AL$8),ISNUMBER('Council Entry'!AL$9)),MAX(MIN('Council Entry'!AL193,'Council Entry'!AL$9),'Council Entry'!AL$8),'Council Entry'!AL193)),IF(AND(ISNUMBER('Council Entry'!AL$8),ISNUMBER('Council Entry'!AL$9)),MAX(MIN('Council Entry'!AL193,'Council Entry'!AL$9),'Council Entry'!AL$8),'Council Entry'!AL193))))-'Council Entry'!AL$5)/('Council Entry'!AL$6-'Council Entry'!AL$5)),1))),"No data"))</f>
        <v/>
      </c>
      <c r="AM193" s="13">
        <f>IF('Council Entry'!AM193="","",IFERROR(MAX(0,MIN(10,ROUND(IF('Council Entry'!AM$7="Decrease Risk",10-10*((IF('Council Entry'!AM$4="Logarithm",LN(0.001+IF(AND(ISNUMBER('Council Entry'!AM$8),ISNUMBER('Council Entry'!AM$9)),MAX(MIN('Council Entry'!AM193,'Council Entry'!AM$9),'Council Entry'!AM$8),'Council Entry'!AM193)),IF('Council Entry'!AM$4="Exponential",EXP(IF(AND(ISNUMBER('Council Entry'!AM$8),ISNUMBER('Council Entry'!AM$9)),MAX(MIN('Council Entry'!AM193,'Council Entry'!AM$9),'Council Entry'!AM$8),'Council Entry'!AM193)),IF(AND(ISNUMBER('Council Entry'!AM$8),ISNUMBER('Council Entry'!AM$9)),MAX(MIN('Council Entry'!AM193,'Council Entry'!AM$9),'Council Entry'!AM$8),'Council Entry'!AM193))))-'Council Entry'!AM$5)/('Council Entry'!AM$6-'Council Entry'!AM$5),10*((IF('Council Entry'!AM$4="Logarithm",LN(0.001+IF(AND(ISNUMBER('Council Entry'!AM$8),ISNUMBER('Council Entry'!AM$9)),MAX(MIN('Council Entry'!AM193,'Council Entry'!AM$9),'Council Entry'!AM$8),'Council Entry'!AM193)),IF('Council Entry'!AM$4="Exponential",EXP(IF(AND(ISNUMBER('Council Entry'!AM$8),ISNUMBER('Council Entry'!AM$9)),MAX(MIN('Council Entry'!AM193,'Council Entry'!AM$9),'Council Entry'!AM$8),'Council Entry'!AM193)),IF(AND(ISNUMBER('Council Entry'!AM$8),ISNUMBER('Council Entry'!AM$9)),MAX(MIN('Council Entry'!AM193,'Council Entry'!AM$9),'Council Entry'!AM$8),'Council Entry'!AM193))))-'Council Entry'!AM$5)/('Council Entry'!AM$6-'Council Entry'!AM$5)),1))),"No data"))</f>
        <v/>
      </c>
      <c r="AN193" s="13">
        <f>IF('Council Entry'!AN193="","",IFERROR(MAX(0,MIN(10,ROUND(IF('Council Entry'!AN$7="Decrease Risk",10-10*((IF('Council Entry'!AN$4="Logarithm",LN(0.001+IF(AND(ISNUMBER('Council Entry'!AN$8),ISNUMBER('Council Entry'!AN$9)),MAX(MIN('Council Entry'!AN193,'Council Entry'!AN$9),'Council Entry'!AN$8),'Council Entry'!AN193)),IF('Council Entry'!AN$4="Exponential",EXP(IF(AND(ISNUMBER('Council Entry'!AN$8),ISNUMBER('Council Entry'!AN$9)),MAX(MIN('Council Entry'!AN193,'Council Entry'!AN$9),'Council Entry'!AN$8),'Council Entry'!AN193)),IF(AND(ISNUMBER('Council Entry'!AN$8),ISNUMBER('Council Entry'!AN$9)),MAX(MIN('Council Entry'!AN193,'Council Entry'!AN$9),'Council Entry'!AN$8),'Council Entry'!AN193))))-'Council Entry'!AN$5)/('Council Entry'!AN$6-'Council Entry'!AN$5),10*((IF('Council Entry'!AN$4="Logarithm",LN(0.001+IF(AND(ISNUMBER('Council Entry'!AN$8),ISNUMBER('Council Entry'!AN$9)),MAX(MIN('Council Entry'!AN193,'Council Entry'!AN$9),'Council Entry'!AN$8),'Council Entry'!AN193)),IF('Council Entry'!AN$4="Exponential",EXP(IF(AND(ISNUMBER('Council Entry'!AN$8),ISNUMBER('Council Entry'!AN$9)),MAX(MIN('Council Entry'!AN193,'Council Entry'!AN$9),'Council Entry'!AN$8),'Council Entry'!AN193)),IF(AND(ISNUMBER('Council Entry'!AN$8),ISNUMBER('Council Entry'!AN$9)),MAX(MIN('Council Entry'!AN193,'Council Entry'!AN$9),'Council Entry'!AN$8),'Council Entry'!AN193))))-'Council Entry'!AN$5)/('Council Entry'!AN$6-'Council Entry'!AN$5)),1))),"No data"))</f>
        <v/>
      </c>
      <c r="AO193" s="13">
        <f>IF('Council Entry'!AO193="","",IFERROR(MAX(0,MIN(10,ROUND(IF('Council Entry'!AO$7="Decrease Risk",10-10*((IF('Council Entry'!AO$4="Logarithm",LN(0.001+IF(AND(ISNUMBER('Council Entry'!AO$8),ISNUMBER('Council Entry'!AO$9)),MAX(MIN('Council Entry'!AO193,'Council Entry'!AO$9),'Council Entry'!AO$8),'Council Entry'!AO193)),IF('Council Entry'!AO$4="Exponential",EXP(IF(AND(ISNUMBER('Council Entry'!AO$8),ISNUMBER('Council Entry'!AO$9)),MAX(MIN('Council Entry'!AO193,'Council Entry'!AO$9),'Council Entry'!AO$8),'Council Entry'!AO193)),IF(AND(ISNUMBER('Council Entry'!AO$8),ISNUMBER('Council Entry'!AO$9)),MAX(MIN('Council Entry'!AO193,'Council Entry'!AO$9),'Council Entry'!AO$8),'Council Entry'!AO193))))-'Council Entry'!AO$5)/('Council Entry'!AO$6-'Council Entry'!AO$5),10*((IF('Council Entry'!AO$4="Logarithm",LN(0.001+IF(AND(ISNUMBER('Council Entry'!AO$8),ISNUMBER('Council Entry'!AO$9)),MAX(MIN('Council Entry'!AO193,'Council Entry'!AO$9),'Council Entry'!AO$8),'Council Entry'!AO193)),IF('Council Entry'!AO$4="Exponential",EXP(IF(AND(ISNUMBER('Council Entry'!AO$8),ISNUMBER('Council Entry'!AO$9)),MAX(MIN('Council Entry'!AO193,'Council Entry'!AO$9),'Council Entry'!AO$8),'Council Entry'!AO193)),IF(AND(ISNUMBER('Council Entry'!AO$8),ISNUMBER('Council Entry'!AO$9)),MAX(MIN('Council Entry'!AO193,'Council Entry'!AO$9),'Council Entry'!AO$8),'Council Entry'!AO193))))-'Council Entry'!AO$5)/('Council Entry'!AO$6-'Council Entry'!AO$5)),1))),"No data"))</f>
        <v/>
      </c>
      <c r="AP193" s="13">
        <f>IF('Council Entry'!AP193="","",IFERROR(MAX(0,MIN(10,ROUND(IF('Council Entry'!AP$7="Decrease Risk",10-10*((IF('Council Entry'!AP$4="Logarithm",LN(0.001+IF(AND(ISNUMBER('Council Entry'!AP$8),ISNUMBER('Council Entry'!AP$9)),MAX(MIN('Council Entry'!AP193,'Council Entry'!AP$9),'Council Entry'!AP$8),'Council Entry'!AP193)),IF('Council Entry'!AP$4="Exponential",EXP(IF(AND(ISNUMBER('Council Entry'!AP$8),ISNUMBER('Council Entry'!AP$9)),MAX(MIN('Council Entry'!AP193,'Council Entry'!AP$9),'Council Entry'!AP$8),'Council Entry'!AP193)),IF(AND(ISNUMBER('Council Entry'!AP$8),ISNUMBER('Council Entry'!AP$9)),MAX(MIN('Council Entry'!AP193,'Council Entry'!AP$9),'Council Entry'!AP$8),'Council Entry'!AP193))))-'Council Entry'!AP$5)/('Council Entry'!AP$6-'Council Entry'!AP$5),10*((IF('Council Entry'!AP$4="Logarithm",LN(0.001+IF(AND(ISNUMBER('Council Entry'!AP$8),ISNUMBER('Council Entry'!AP$9)),MAX(MIN('Council Entry'!AP193,'Council Entry'!AP$9),'Council Entry'!AP$8),'Council Entry'!AP193)),IF('Council Entry'!AP$4="Exponential",EXP(IF(AND(ISNUMBER('Council Entry'!AP$8),ISNUMBER('Council Entry'!AP$9)),MAX(MIN('Council Entry'!AP193,'Council Entry'!AP$9),'Council Entry'!AP$8),'Council Entry'!AP193)),IF(AND(ISNUMBER('Council Entry'!AP$8),ISNUMBER('Council Entry'!AP$9)),MAX(MIN('Council Entry'!AP193,'Council Entry'!AP$9),'Council Entry'!AP$8),'Council Entry'!AP193))))-'Council Entry'!AP$5)/('Council Entry'!AP$6-'Council Entry'!AP$5)),1))),"No data"))</f>
        <v/>
      </c>
      <c r="AQ193" s="13">
        <f>IF('Council Entry'!AQ193="","",IFERROR(MAX(0,MIN(10,ROUND(IF('Council Entry'!AQ$7="Decrease Risk",10-10*((IF('Council Entry'!AQ$4="Logarithm",LN(0.001+IF(AND(ISNUMBER('Council Entry'!AQ$8),ISNUMBER('Council Entry'!AQ$9)),MAX(MIN('Council Entry'!AQ193,'Council Entry'!AQ$9),'Council Entry'!AQ$8),'Council Entry'!AQ193)),IF('Council Entry'!AQ$4="Exponential",EXP(IF(AND(ISNUMBER('Council Entry'!AQ$8),ISNUMBER('Council Entry'!AQ$9)),MAX(MIN('Council Entry'!AQ193,'Council Entry'!AQ$9),'Council Entry'!AQ$8),'Council Entry'!AQ193)),IF(AND(ISNUMBER('Council Entry'!AQ$8),ISNUMBER('Council Entry'!AQ$9)),MAX(MIN('Council Entry'!AQ193,'Council Entry'!AQ$9),'Council Entry'!AQ$8),'Council Entry'!AQ193))))-'Council Entry'!AQ$5)/('Council Entry'!AQ$6-'Council Entry'!AQ$5),10*((IF('Council Entry'!AQ$4="Logarithm",LN(0.001+IF(AND(ISNUMBER('Council Entry'!AQ$8),ISNUMBER('Council Entry'!AQ$9)),MAX(MIN('Council Entry'!AQ193,'Council Entry'!AQ$9),'Council Entry'!AQ$8),'Council Entry'!AQ193)),IF('Council Entry'!AQ$4="Exponential",EXP(IF(AND(ISNUMBER('Council Entry'!AQ$8),ISNUMBER('Council Entry'!AQ$9)),MAX(MIN('Council Entry'!AQ193,'Council Entry'!AQ$9),'Council Entry'!AQ$8),'Council Entry'!AQ193)),IF(AND(ISNUMBER('Council Entry'!AQ$8),ISNUMBER('Council Entry'!AQ$9)),MAX(MIN('Council Entry'!AQ193,'Council Entry'!AQ$9),'Council Entry'!AQ$8),'Council Entry'!AQ193))))-'Council Entry'!AQ$5)/('Council Entry'!AQ$6-'Council Entry'!AQ$5)),1))),"No data"))</f>
        <v/>
      </c>
      <c r="AR193" s="13">
        <f>IF('Council Entry'!AR193="","",IFERROR(MAX(0,MIN(10,ROUND(IF('Council Entry'!AR$7="Decrease Risk",10-10*((IF('Council Entry'!AR$4="Logarithm",LN(0.001+IF(AND(ISNUMBER('Council Entry'!AR$8),ISNUMBER('Council Entry'!AR$9)),MAX(MIN('Council Entry'!AR193,'Council Entry'!AR$9),'Council Entry'!AR$8),'Council Entry'!AR193)),IF('Council Entry'!AR$4="Exponential",EXP(IF(AND(ISNUMBER('Council Entry'!AR$8),ISNUMBER('Council Entry'!AR$9)),MAX(MIN('Council Entry'!AR193,'Council Entry'!AR$9),'Council Entry'!AR$8),'Council Entry'!AR193)),IF(AND(ISNUMBER('Council Entry'!AR$8),ISNUMBER('Council Entry'!AR$9)),MAX(MIN('Council Entry'!AR193,'Council Entry'!AR$9),'Council Entry'!AR$8),'Council Entry'!AR193))))-'Council Entry'!AR$5)/('Council Entry'!AR$6-'Council Entry'!AR$5),10*((IF('Council Entry'!AR$4="Logarithm",LN(0.001+IF(AND(ISNUMBER('Council Entry'!AR$8),ISNUMBER('Council Entry'!AR$9)),MAX(MIN('Council Entry'!AR193,'Council Entry'!AR$9),'Council Entry'!AR$8),'Council Entry'!AR193)),IF('Council Entry'!AR$4="Exponential",EXP(IF(AND(ISNUMBER('Council Entry'!AR$8),ISNUMBER('Council Entry'!AR$9)),MAX(MIN('Council Entry'!AR193,'Council Entry'!AR$9),'Council Entry'!AR$8),'Council Entry'!AR193)),IF(AND(ISNUMBER('Council Entry'!AR$8),ISNUMBER('Council Entry'!AR$9)),MAX(MIN('Council Entry'!AR193,'Council Entry'!AR$9),'Council Entry'!AR$8),'Council Entry'!AR193))))-'Council Entry'!AR$5)/('Council Entry'!AR$6-'Council Entry'!AR$5)),1))),"No data"))</f>
        <v/>
      </c>
      <c r="AS193" s="13">
        <f>IF('Council Entry'!AS193="","",IFERROR(MAX(0,MIN(10,ROUND(IF('Council Entry'!AS$7="Decrease Risk",10-10*((IF('Council Entry'!AS$4="Logarithm",LN(0.001+IF(AND(ISNUMBER('Council Entry'!AS$8),ISNUMBER('Council Entry'!AS$9)),MAX(MIN('Council Entry'!AS193,'Council Entry'!AS$9),'Council Entry'!AS$8),'Council Entry'!AS193)),IF('Council Entry'!AS$4="Exponential",EXP(IF(AND(ISNUMBER('Council Entry'!AS$8),ISNUMBER('Council Entry'!AS$9)),MAX(MIN('Council Entry'!AS193,'Council Entry'!AS$9),'Council Entry'!AS$8),'Council Entry'!AS193)),IF(AND(ISNUMBER('Council Entry'!AS$8),ISNUMBER('Council Entry'!AS$9)),MAX(MIN('Council Entry'!AS193,'Council Entry'!AS$9),'Council Entry'!AS$8),'Council Entry'!AS193))))-'Council Entry'!AS$5)/('Council Entry'!AS$6-'Council Entry'!AS$5),10*((IF('Council Entry'!AS$4="Logarithm",LN(0.001+IF(AND(ISNUMBER('Council Entry'!AS$8),ISNUMBER('Council Entry'!AS$9)),MAX(MIN('Council Entry'!AS193,'Council Entry'!AS$9),'Council Entry'!AS$8),'Council Entry'!AS193)),IF('Council Entry'!AS$4="Exponential",EXP(IF(AND(ISNUMBER('Council Entry'!AS$8),ISNUMBER('Council Entry'!AS$9)),MAX(MIN('Council Entry'!AS193,'Council Entry'!AS$9),'Council Entry'!AS$8),'Council Entry'!AS193)),IF(AND(ISNUMBER('Council Entry'!AS$8),ISNUMBER('Council Entry'!AS$9)),MAX(MIN('Council Entry'!AS193,'Council Entry'!AS$9),'Council Entry'!AS$8),'Council Entry'!AS193))))-'Council Entry'!AS$5)/('Council Entry'!AS$6-'Council Entry'!AS$5)),1))),"No data"))</f>
        <v/>
      </c>
      <c r="AT193" s="13">
        <f>IF('Council Entry'!AT193="","",IFERROR(MAX(0,MIN(10,ROUND(IF('Council Entry'!AT$7="Decrease Risk",10-10*((IF('Council Entry'!AT$4="Logarithm",LN(0.001+IF(AND(ISNUMBER('Council Entry'!AT$8),ISNUMBER('Council Entry'!AT$9)),MAX(MIN('Council Entry'!AT193,'Council Entry'!AT$9),'Council Entry'!AT$8),'Council Entry'!AT193)),IF('Council Entry'!AT$4="Exponential",EXP(IF(AND(ISNUMBER('Council Entry'!AT$8),ISNUMBER('Council Entry'!AT$9)),MAX(MIN('Council Entry'!AT193,'Council Entry'!AT$9),'Council Entry'!AT$8),'Council Entry'!AT193)),IF(AND(ISNUMBER('Council Entry'!AT$8),ISNUMBER('Council Entry'!AT$9)),MAX(MIN('Council Entry'!AT193,'Council Entry'!AT$9),'Council Entry'!AT$8),'Council Entry'!AT193))))-'Council Entry'!AT$5)/('Council Entry'!AT$6-'Council Entry'!AT$5),10*((IF('Council Entry'!AT$4="Logarithm",LN(0.001+IF(AND(ISNUMBER('Council Entry'!AT$8),ISNUMBER('Council Entry'!AT$9)),MAX(MIN('Council Entry'!AT193,'Council Entry'!AT$9),'Council Entry'!AT$8),'Council Entry'!AT193)),IF('Council Entry'!AT$4="Exponential",EXP(IF(AND(ISNUMBER('Council Entry'!AT$8),ISNUMBER('Council Entry'!AT$9)),MAX(MIN('Council Entry'!AT193,'Council Entry'!AT$9),'Council Entry'!AT$8),'Council Entry'!AT193)),IF(AND(ISNUMBER('Council Entry'!AT$8),ISNUMBER('Council Entry'!AT$9)),MAX(MIN('Council Entry'!AT193,'Council Entry'!AT$9),'Council Entry'!AT$8),'Council Entry'!AT193))))-'Council Entry'!AT$5)/('Council Entry'!AT$6-'Council Entry'!AT$5)),1))),"No data"))</f>
        <v/>
      </c>
      <c r="AU193" s="13">
        <f>IF('Council Entry'!AU193="","",IFERROR(MAX(0,MIN(10,ROUND(IF('Council Entry'!AU$7="Decrease Risk",10-10*((IF('Council Entry'!AU$4="Logarithm",LN(0.001+IF(AND(ISNUMBER('Council Entry'!AU$8),ISNUMBER('Council Entry'!AU$9)),MAX(MIN('Council Entry'!AU193,'Council Entry'!AU$9),'Council Entry'!AU$8),'Council Entry'!AU193)),IF('Council Entry'!AU$4="Exponential",EXP(IF(AND(ISNUMBER('Council Entry'!AU$8),ISNUMBER('Council Entry'!AU$9)),MAX(MIN('Council Entry'!AU193,'Council Entry'!AU$9),'Council Entry'!AU$8),'Council Entry'!AU193)),IF(AND(ISNUMBER('Council Entry'!AU$8),ISNUMBER('Council Entry'!AU$9)),MAX(MIN('Council Entry'!AU193,'Council Entry'!AU$9),'Council Entry'!AU$8),'Council Entry'!AU193))))-'Council Entry'!AU$5)/('Council Entry'!AU$6-'Council Entry'!AU$5),10*((IF('Council Entry'!AU$4="Logarithm",LN(0.001+IF(AND(ISNUMBER('Council Entry'!AU$8),ISNUMBER('Council Entry'!AU$9)),MAX(MIN('Council Entry'!AU193,'Council Entry'!AU$9),'Council Entry'!AU$8),'Council Entry'!AU193)),IF('Council Entry'!AU$4="Exponential",EXP(IF(AND(ISNUMBER('Council Entry'!AU$8),ISNUMBER('Council Entry'!AU$9)),MAX(MIN('Council Entry'!AU193,'Council Entry'!AU$9),'Council Entry'!AU$8),'Council Entry'!AU193)),IF(AND(ISNUMBER('Council Entry'!AU$8),ISNUMBER('Council Entry'!AU$9)),MAX(MIN('Council Entry'!AU193,'Council Entry'!AU$9),'Council Entry'!AU$8),'Council Entry'!AU193))))-'Council Entry'!AU$5)/('Council Entry'!AU$6-'Council Entry'!AU$5)),1))),"No data"))</f>
        <v/>
      </c>
      <c r="AV193" s="13">
        <f>IF('Council Entry'!AV193="","",IFERROR(MAX(0,MIN(10,ROUND(IF('Council Entry'!AV$7="Decrease Risk",10-10*((IF('Council Entry'!AV$4="Logarithm",LN(0.001+IF(AND(ISNUMBER('Council Entry'!AV$8),ISNUMBER('Council Entry'!AV$9)),MAX(MIN('Council Entry'!AV193,'Council Entry'!AV$9),'Council Entry'!AV$8),'Council Entry'!AV193)),IF('Council Entry'!AV$4="Exponential",EXP(IF(AND(ISNUMBER('Council Entry'!AV$8),ISNUMBER('Council Entry'!AV$9)),MAX(MIN('Council Entry'!AV193,'Council Entry'!AV$9),'Council Entry'!AV$8),'Council Entry'!AV193)),IF(AND(ISNUMBER('Council Entry'!AV$8),ISNUMBER('Council Entry'!AV$9)),MAX(MIN('Council Entry'!AV193,'Council Entry'!AV$9),'Council Entry'!AV$8),'Council Entry'!AV193))))-'Council Entry'!AV$5)/('Council Entry'!AV$6-'Council Entry'!AV$5),10*((IF('Council Entry'!AV$4="Logarithm",LN(0.001+IF(AND(ISNUMBER('Council Entry'!AV$8),ISNUMBER('Council Entry'!AV$9)),MAX(MIN('Council Entry'!AV193,'Council Entry'!AV$9),'Council Entry'!AV$8),'Council Entry'!AV193)),IF('Council Entry'!AV$4="Exponential",EXP(IF(AND(ISNUMBER('Council Entry'!AV$8),ISNUMBER('Council Entry'!AV$9)),MAX(MIN('Council Entry'!AV193,'Council Entry'!AV$9),'Council Entry'!AV$8),'Council Entry'!AV193)),IF(AND(ISNUMBER('Council Entry'!AV$8),ISNUMBER('Council Entry'!AV$9)),MAX(MIN('Council Entry'!AV193,'Council Entry'!AV$9),'Council Entry'!AV$8),'Council Entry'!AV193))))-'Council Entry'!AV$5)/('Council Entry'!AV$6-'Council Entry'!AV$5)),1))),"No data"))</f>
        <v/>
      </c>
      <c r="AW193" s="13">
        <f>IF('Council Entry'!AW193="","",IFERROR(MAX(0,MIN(10,ROUND(IF('Council Entry'!AW$7="Decrease Risk",10-10*((IF('Council Entry'!AW$4="Logarithm",LN(0.001+IF(AND(ISNUMBER('Council Entry'!AW$8),ISNUMBER('Council Entry'!AW$9)),MAX(MIN('Council Entry'!AW193,'Council Entry'!AW$9),'Council Entry'!AW$8),'Council Entry'!AW193)),IF('Council Entry'!AW$4="Exponential",EXP(IF(AND(ISNUMBER('Council Entry'!AW$8),ISNUMBER('Council Entry'!AW$9)),MAX(MIN('Council Entry'!AW193,'Council Entry'!AW$9),'Council Entry'!AW$8),'Council Entry'!AW193)),IF(AND(ISNUMBER('Council Entry'!AW$8),ISNUMBER('Council Entry'!AW$9)),MAX(MIN('Council Entry'!AW193,'Council Entry'!AW$9),'Council Entry'!AW$8),'Council Entry'!AW193))))-'Council Entry'!AW$5)/('Council Entry'!AW$6-'Council Entry'!AW$5),10*((IF('Council Entry'!AW$4="Logarithm",LN(0.001+IF(AND(ISNUMBER('Council Entry'!AW$8),ISNUMBER('Council Entry'!AW$9)),MAX(MIN('Council Entry'!AW193,'Council Entry'!AW$9),'Council Entry'!AW$8),'Council Entry'!AW193)),IF('Council Entry'!AW$4="Exponential",EXP(IF(AND(ISNUMBER('Council Entry'!AW$8),ISNUMBER('Council Entry'!AW$9)),MAX(MIN('Council Entry'!AW193,'Council Entry'!AW$9),'Council Entry'!AW$8),'Council Entry'!AW193)),IF(AND(ISNUMBER('Council Entry'!AW$8),ISNUMBER('Council Entry'!AW$9)),MAX(MIN('Council Entry'!AW193,'Council Entry'!AW$9),'Council Entry'!AW$8),'Council Entry'!AW193))))-'Council Entry'!AW$5)/('Council Entry'!AW$6-'Council Entry'!AW$5)),1))),"No data"))</f>
        <v/>
      </c>
      <c r="AX193" s="13">
        <f>IF('Council Entry'!AX193="","",IFERROR(MAX(0,MIN(10,ROUND(IF('Council Entry'!AX$7="Decrease Risk",10-10*((IF('Council Entry'!AX$4="Logarithm",LN(0.001+IF(AND(ISNUMBER('Council Entry'!AX$8),ISNUMBER('Council Entry'!AX$9)),MAX(MIN('Council Entry'!AX193,'Council Entry'!AX$9),'Council Entry'!AX$8),'Council Entry'!AX193)),IF('Council Entry'!AX$4="Exponential",EXP(IF(AND(ISNUMBER('Council Entry'!AX$8),ISNUMBER('Council Entry'!AX$9)),MAX(MIN('Council Entry'!AX193,'Council Entry'!AX$9),'Council Entry'!AX$8),'Council Entry'!AX193)),IF(AND(ISNUMBER('Council Entry'!AX$8),ISNUMBER('Council Entry'!AX$9)),MAX(MIN('Council Entry'!AX193,'Council Entry'!AX$9),'Council Entry'!AX$8),'Council Entry'!AX193))))-'Council Entry'!AX$5)/('Council Entry'!AX$6-'Council Entry'!AX$5),10*((IF('Council Entry'!AX$4="Logarithm",LN(0.001+IF(AND(ISNUMBER('Council Entry'!AX$8),ISNUMBER('Council Entry'!AX$9)),MAX(MIN('Council Entry'!AX193,'Council Entry'!AX$9),'Council Entry'!AX$8),'Council Entry'!AX193)),IF('Council Entry'!AX$4="Exponential",EXP(IF(AND(ISNUMBER('Council Entry'!AX$8),ISNUMBER('Council Entry'!AX$9)),MAX(MIN('Council Entry'!AX193,'Council Entry'!AX$9),'Council Entry'!AX$8),'Council Entry'!AX193)),IF(AND(ISNUMBER('Council Entry'!AX$8),ISNUMBER('Council Entry'!AX$9)),MAX(MIN('Council Entry'!AX193,'Council Entry'!AX$9),'Council Entry'!AX$8),'Council Entry'!AX193))))-'Council Entry'!AX$5)/('Council Entry'!AX$6-'Council Entry'!AX$5)),1))),"No data"))</f>
        <v/>
      </c>
      <c r="AY193" s="13">
        <f>IF('Council Entry'!AY193="","",IFERROR(MAX(0,MIN(10,ROUND(IF('Council Entry'!AY$7="Decrease Risk",10-10*((IF('Council Entry'!AY$4="Logarithm",LN(0.001+IF(AND(ISNUMBER('Council Entry'!AY$8),ISNUMBER('Council Entry'!AY$9)),MAX(MIN('Council Entry'!AY193,'Council Entry'!AY$9),'Council Entry'!AY$8),'Council Entry'!AY193)),IF('Council Entry'!AY$4="Exponential",EXP(IF(AND(ISNUMBER('Council Entry'!AY$8),ISNUMBER('Council Entry'!AY$9)),MAX(MIN('Council Entry'!AY193,'Council Entry'!AY$9),'Council Entry'!AY$8),'Council Entry'!AY193)),IF(AND(ISNUMBER('Council Entry'!AY$8),ISNUMBER('Council Entry'!AY$9)),MAX(MIN('Council Entry'!AY193,'Council Entry'!AY$9),'Council Entry'!AY$8),'Council Entry'!AY193))))-'Council Entry'!AY$5)/('Council Entry'!AY$6-'Council Entry'!AY$5),10*((IF('Council Entry'!AY$4="Logarithm",LN(0.001+IF(AND(ISNUMBER('Council Entry'!AY$8),ISNUMBER('Council Entry'!AY$9)),MAX(MIN('Council Entry'!AY193,'Council Entry'!AY$9),'Council Entry'!AY$8),'Council Entry'!AY193)),IF('Council Entry'!AY$4="Exponential",EXP(IF(AND(ISNUMBER('Council Entry'!AY$8),ISNUMBER('Council Entry'!AY$9)),MAX(MIN('Council Entry'!AY193,'Council Entry'!AY$9),'Council Entry'!AY$8),'Council Entry'!AY193)),IF(AND(ISNUMBER('Council Entry'!AY$8),ISNUMBER('Council Entry'!AY$9)),MAX(MIN('Council Entry'!AY193,'Council Entry'!AY$9),'Council Entry'!AY$8),'Council Entry'!AY193))))-'Council Entry'!AY$5)/('Council Entry'!AY$6-'Council Entry'!AY$5)),1))),"No data"))</f>
        <v/>
      </c>
      <c r="AZ193" s="13">
        <f>IF('Council Entry'!AZ193="","",IFERROR(MAX(0,MIN(10,ROUND(IF('Council Entry'!AZ$7="Decrease Risk",10-10*((IF('Council Entry'!AZ$4="Logarithm",LN(0.001+IF(AND(ISNUMBER('Council Entry'!AZ$8),ISNUMBER('Council Entry'!AZ$9)),MAX(MIN('Council Entry'!AZ193,'Council Entry'!AZ$9),'Council Entry'!AZ$8),'Council Entry'!AZ193)),IF('Council Entry'!AZ$4="Exponential",EXP(IF(AND(ISNUMBER('Council Entry'!AZ$8),ISNUMBER('Council Entry'!AZ$9)),MAX(MIN('Council Entry'!AZ193,'Council Entry'!AZ$9),'Council Entry'!AZ$8),'Council Entry'!AZ193)),IF(AND(ISNUMBER('Council Entry'!AZ$8),ISNUMBER('Council Entry'!AZ$9)),MAX(MIN('Council Entry'!AZ193,'Council Entry'!AZ$9),'Council Entry'!AZ$8),'Council Entry'!AZ193))))-'Council Entry'!AZ$5)/('Council Entry'!AZ$6-'Council Entry'!AZ$5),10*((IF('Council Entry'!AZ$4="Logarithm",LN(0.001+IF(AND(ISNUMBER('Council Entry'!AZ$8),ISNUMBER('Council Entry'!AZ$9)),MAX(MIN('Council Entry'!AZ193,'Council Entry'!AZ$9),'Council Entry'!AZ$8),'Council Entry'!AZ193)),IF('Council Entry'!AZ$4="Exponential",EXP(IF(AND(ISNUMBER('Council Entry'!AZ$8),ISNUMBER('Council Entry'!AZ$9)),MAX(MIN('Council Entry'!AZ193,'Council Entry'!AZ$9),'Council Entry'!AZ$8),'Council Entry'!AZ193)),IF(AND(ISNUMBER('Council Entry'!AZ$8),ISNUMBER('Council Entry'!AZ$9)),MAX(MIN('Council Entry'!AZ193,'Council Entry'!AZ$9),'Council Entry'!AZ$8),'Council Entry'!AZ193))))-'Council Entry'!AZ$5)/('Council Entry'!AZ$6-'Council Entry'!AZ$5)),1))),"No data"))</f>
        <v/>
      </c>
      <c r="BA193" s="13">
        <f>IF('Council Entry'!BA193="","",IFERROR(MAX(0,MIN(10,ROUND(IF('Council Entry'!BA$7="Decrease Risk",10-10*((IF('Council Entry'!BA$4="Logarithm",LN(0.001+IF(AND(ISNUMBER('Council Entry'!BA$8),ISNUMBER('Council Entry'!BA$9)),MAX(MIN('Council Entry'!BA193,'Council Entry'!BA$9),'Council Entry'!BA$8),'Council Entry'!BA193)),IF('Council Entry'!BA$4="Exponential",EXP(IF(AND(ISNUMBER('Council Entry'!BA$8),ISNUMBER('Council Entry'!BA$9)),MAX(MIN('Council Entry'!BA193,'Council Entry'!BA$9),'Council Entry'!BA$8),'Council Entry'!BA193)),IF(AND(ISNUMBER('Council Entry'!BA$8),ISNUMBER('Council Entry'!BA$9)),MAX(MIN('Council Entry'!BA193,'Council Entry'!BA$9),'Council Entry'!BA$8),'Council Entry'!BA193))))-'Council Entry'!BA$5)/('Council Entry'!BA$6-'Council Entry'!BA$5),10*((IF('Council Entry'!BA$4="Logarithm",LN(0.001+IF(AND(ISNUMBER('Council Entry'!BA$8),ISNUMBER('Council Entry'!BA$9)),MAX(MIN('Council Entry'!BA193,'Council Entry'!BA$9),'Council Entry'!BA$8),'Council Entry'!BA193)),IF('Council Entry'!BA$4="Exponential",EXP(IF(AND(ISNUMBER('Council Entry'!BA$8),ISNUMBER('Council Entry'!BA$9)),MAX(MIN('Council Entry'!BA193,'Council Entry'!BA$9),'Council Entry'!BA$8),'Council Entry'!BA193)),IF(AND(ISNUMBER('Council Entry'!BA$8),ISNUMBER('Council Entry'!BA$9)),MAX(MIN('Council Entry'!BA193,'Council Entry'!BA$9),'Council Entry'!BA$8),'Council Entry'!BA193))))-'Council Entry'!BA$5)/('Council Entry'!BA$6-'Council Entry'!BA$5)),1))),"No data"))</f>
        <v/>
      </c>
      <c r="BB193" s="13">
        <f>IF('Council Entry'!BB193="","",IFERROR(MAX(0,MIN(10,ROUND(IF('Council Entry'!BB$7="Decrease Risk",10-10*((IF('Council Entry'!BB$4="Logarithm",LN(0.001+IF(AND(ISNUMBER('Council Entry'!BB$8),ISNUMBER('Council Entry'!BB$9)),MAX(MIN('Council Entry'!BB193,'Council Entry'!BB$9),'Council Entry'!BB$8),'Council Entry'!BB193)),IF('Council Entry'!BB$4="Exponential",EXP(IF(AND(ISNUMBER('Council Entry'!BB$8),ISNUMBER('Council Entry'!BB$9)),MAX(MIN('Council Entry'!BB193,'Council Entry'!BB$9),'Council Entry'!BB$8),'Council Entry'!BB193)),IF(AND(ISNUMBER('Council Entry'!BB$8),ISNUMBER('Council Entry'!BB$9)),MAX(MIN('Council Entry'!BB193,'Council Entry'!BB$9),'Council Entry'!BB$8),'Council Entry'!BB193))))-'Council Entry'!BB$5)/('Council Entry'!BB$6-'Council Entry'!BB$5),10*((IF('Council Entry'!BB$4="Logarithm",LN(0.001+IF(AND(ISNUMBER('Council Entry'!BB$8),ISNUMBER('Council Entry'!BB$9)),MAX(MIN('Council Entry'!BB193,'Council Entry'!BB$9),'Council Entry'!BB$8),'Council Entry'!BB193)),IF('Council Entry'!BB$4="Exponential",EXP(IF(AND(ISNUMBER('Council Entry'!BB$8),ISNUMBER('Council Entry'!BB$9)),MAX(MIN('Council Entry'!BB193,'Council Entry'!BB$9),'Council Entry'!BB$8),'Council Entry'!BB193)),IF(AND(ISNUMBER('Council Entry'!BB$8),ISNUMBER('Council Entry'!BB$9)),MAX(MIN('Council Entry'!BB193,'Council Entry'!BB$9),'Council Entry'!BB$8),'Council Entry'!BB193))))-'Council Entry'!BB$5)/('Council Entry'!BB$6-'Council Entry'!BB$5)),1))),"No data"))</f>
        <v/>
      </c>
      <c r="BC193" s="13">
        <f>IF('Council Entry'!BC193="","",IFERROR(MAX(0,MIN(10,ROUND(IF('Council Entry'!BC$7="Decrease Risk",10-10*((IF('Council Entry'!BC$4="Logarithm",LN(0.001+IF(AND(ISNUMBER('Council Entry'!BC$8),ISNUMBER('Council Entry'!BC$9)),MAX(MIN('Council Entry'!BC193,'Council Entry'!BC$9),'Council Entry'!BC$8),'Council Entry'!BC193)),IF('Council Entry'!BC$4="Exponential",EXP(IF(AND(ISNUMBER('Council Entry'!BC$8),ISNUMBER('Council Entry'!BC$9)),MAX(MIN('Council Entry'!BC193,'Council Entry'!BC$9),'Council Entry'!BC$8),'Council Entry'!BC193)),IF(AND(ISNUMBER('Council Entry'!BC$8),ISNUMBER('Council Entry'!BC$9)),MAX(MIN('Council Entry'!BC193,'Council Entry'!BC$9),'Council Entry'!BC$8),'Council Entry'!BC193))))-'Council Entry'!BC$5)/('Council Entry'!BC$6-'Council Entry'!BC$5),10*((IF('Council Entry'!BC$4="Logarithm",LN(0.001+IF(AND(ISNUMBER('Council Entry'!BC$8),ISNUMBER('Council Entry'!BC$9)),MAX(MIN('Council Entry'!BC193,'Council Entry'!BC$9),'Council Entry'!BC$8),'Council Entry'!BC193)),IF('Council Entry'!BC$4="Exponential",EXP(IF(AND(ISNUMBER('Council Entry'!BC$8),ISNUMBER('Council Entry'!BC$9)),MAX(MIN('Council Entry'!BC193,'Council Entry'!BC$9),'Council Entry'!BC$8),'Council Entry'!BC193)),IF(AND(ISNUMBER('Council Entry'!BC$8),ISNUMBER('Council Entry'!BC$9)),MAX(MIN('Council Entry'!BC193,'Council Entry'!BC$9),'Council Entry'!BC$8),'Council Entry'!BC193))))-'Council Entry'!BC$5)/('Council Entry'!BC$6-'Council Entry'!BC$5)),1))),"No data"))</f>
        <v/>
      </c>
      <c r="BD193" s="13">
        <f>IF('Council Entry'!BD193="","",IFERROR(MAX(0,MIN(10,ROUND(IF('Council Entry'!BD$7="Decrease Risk",10-10*((IF('Council Entry'!BD$4="Logarithm",LN(0.001+IF(AND(ISNUMBER('Council Entry'!BD$8),ISNUMBER('Council Entry'!BD$9)),MAX(MIN('Council Entry'!BD193,'Council Entry'!BD$9),'Council Entry'!BD$8),'Council Entry'!BD193)),IF('Council Entry'!BD$4="Exponential",EXP(IF(AND(ISNUMBER('Council Entry'!BD$8),ISNUMBER('Council Entry'!BD$9)),MAX(MIN('Council Entry'!BD193,'Council Entry'!BD$9),'Council Entry'!BD$8),'Council Entry'!BD193)),IF(AND(ISNUMBER('Council Entry'!BD$8),ISNUMBER('Council Entry'!BD$9)),MAX(MIN('Council Entry'!BD193,'Council Entry'!BD$9),'Council Entry'!BD$8),'Council Entry'!BD193))))-'Council Entry'!BD$5)/('Council Entry'!BD$6-'Council Entry'!BD$5),10*((IF('Council Entry'!BD$4="Logarithm",LN(0.001+IF(AND(ISNUMBER('Council Entry'!BD$8),ISNUMBER('Council Entry'!BD$9)),MAX(MIN('Council Entry'!BD193,'Council Entry'!BD$9),'Council Entry'!BD$8),'Council Entry'!BD193)),IF('Council Entry'!BD$4="Exponential",EXP(IF(AND(ISNUMBER('Council Entry'!BD$8),ISNUMBER('Council Entry'!BD$9)),MAX(MIN('Council Entry'!BD193,'Council Entry'!BD$9),'Council Entry'!BD$8),'Council Entry'!BD193)),IF(AND(ISNUMBER('Council Entry'!BD$8),ISNUMBER('Council Entry'!BD$9)),MAX(MIN('Council Entry'!BD193,'Council Entry'!BD$9),'Council Entry'!BD$8),'Council Entry'!BD193))))-'Council Entry'!BD$5)/('Council Entry'!BD$6-'Council Entry'!BD$5)),1))),"No data"))</f>
        <v/>
      </c>
    </row>
    <row r="194">
      <c r="A194" t="inlineStr">
        <is>
          <t>Tabora</t>
        </is>
      </c>
      <c r="B194" t="inlineStr">
        <is>
          <t>Uyui District</t>
        </is>
      </c>
      <c r="C194" t="inlineStr">
        <is>
          <t>C102</t>
        </is>
      </c>
      <c r="D194" s="13">
        <f>IF('Council Entry'!D194="","",IFERROR(MAX(0,MIN(10,ROUND(IF('Council Entry'!D$7="Decrease Risk",10-10*((IF('Council Entry'!D$4="Logarithm",LN(0.001+IF(AND(ISNUMBER('Council Entry'!D$8),ISNUMBER('Council Entry'!D$9)),MAX(MIN('Council Entry'!D194,'Council Entry'!D$9),'Council Entry'!D$8),'Council Entry'!D194)),IF('Council Entry'!D$4="Exponential",EXP(IF(AND(ISNUMBER('Council Entry'!D$8),ISNUMBER('Council Entry'!D$9)),MAX(MIN('Council Entry'!D194,'Council Entry'!D$9),'Council Entry'!D$8),'Council Entry'!D194)),IF(AND(ISNUMBER('Council Entry'!D$8),ISNUMBER('Council Entry'!D$9)),MAX(MIN('Council Entry'!D194,'Council Entry'!D$9),'Council Entry'!D$8),'Council Entry'!D194))))-'Council Entry'!D$5)/('Council Entry'!D$6-'Council Entry'!D$5),10*((IF('Council Entry'!D$4="Logarithm",LN(0.001+IF(AND(ISNUMBER('Council Entry'!D$8),ISNUMBER('Council Entry'!D$9)),MAX(MIN('Council Entry'!D194,'Council Entry'!D$9),'Council Entry'!D$8),'Council Entry'!D194)),IF('Council Entry'!D$4="Exponential",EXP(IF(AND(ISNUMBER('Council Entry'!D$8),ISNUMBER('Council Entry'!D$9)),MAX(MIN('Council Entry'!D194,'Council Entry'!D$9),'Council Entry'!D$8),'Council Entry'!D194)),IF(AND(ISNUMBER('Council Entry'!D$8),ISNUMBER('Council Entry'!D$9)),MAX(MIN('Council Entry'!D194,'Council Entry'!D$9),'Council Entry'!D$8),'Council Entry'!D194))))-'Council Entry'!D$5)/('Council Entry'!D$6-'Council Entry'!D$5)),1))),"No data"))</f>
        <v/>
      </c>
      <c r="E194" s="13">
        <f>IF('Council Entry'!E194="","",IFERROR(MAX(0,MIN(10,ROUND(IF('Council Entry'!E$7="Decrease Risk",10-10*((IF('Council Entry'!E$4="Logarithm",LN(0.001+IF(AND(ISNUMBER('Council Entry'!E$8),ISNUMBER('Council Entry'!E$9)),MAX(MIN('Council Entry'!E194,'Council Entry'!E$9),'Council Entry'!E$8),'Council Entry'!E194)),IF('Council Entry'!E$4="Exponential",EXP(IF(AND(ISNUMBER('Council Entry'!E$8),ISNUMBER('Council Entry'!E$9)),MAX(MIN('Council Entry'!E194,'Council Entry'!E$9),'Council Entry'!E$8),'Council Entry'!E194)),IF(AND(ISNUMBER('Council Entry'!E$8),ISNUMBER('Council Entry'!E$9)),MAX(MIN('Council Entry'!E194,'Council Entry'!E$9),'Council Entry'!E$8),'Council Entry'!E194))))-'Council Entry'!E$5)/('Council Entry'!E$6-'Council Entry'!E$5),10*((IF('Council Entry'!E$4="Logarithm",LN(0.001+IF(AND(ISNUMBER('Council Entry'!E$8),ISNUMBER('Council Entry'!E$9)),MAX(MIN('Council Entry'!E194,'Council Entry'!E$9),'Council Entry'!E$8),'Council Entry'!E194)),IF('Council Entry'!E$4="Exponential",EXP(IF(AND(ISNUMBER('Council Entry'!E$8),ISNUMBER('Council Entry'!E$9)),MAX(MIN('Council Entry'!E194,'Council Entry'!E$9),'Council Entry'!E$8),'Council Entry'!E194)),IF(AND(ISNUMBER('Council Entry'!E$8),ISNUMBER('Council Entry'!E$9)),MAX(MIN('Council Entry'!E194,'Council Entry'!E$9),'Council Entry'!E$8),'Council Entry'!E194))))-'Council Entry'!E$5)/('Council Entry'!E$6-'Council Entry'!E$5)),1))),"No data"))</f>
        <v/>
      </c>
      <c r="F194" s="13">
        <f>IF('Council Entry'!F194="","",IFERROR(MAX(0,MIN(10,ROUND(IF('Council Entry'!F$7="Decrease Risk",10-10*((IF('Council Entry'!F$4="Logarithm",LN(0.001+IF(AND(ISNUMBER('Council Entry'!F$8),ISNUMBER('Council Entry'!F$9)),MAX(MIN('Council Entry'!F194,'Council Entry'!F$9),'Council Entry'!F$8),'Council Entry'!F194)),IF('Council Entry'!F$4="Exponential",EXP(IF(AND(ISNUMBER('Council Entry'!F$8),ISNUMBER('Council Entry'!F$9)),MAX(MIN('Council Entry'!F194,'Council Entry'!F$9),'Council Entry'!F$8),'Council Entry'!F194)),IF(AND(ISNUMBER('Council Entry'!F$8),ISNUMBER('Council Entry'!F$9)),MAX(MIN('Council Entry'!F194,'Council Entry'!F$9),'Council Entry'!F$8),'Council Entry'!F194))))-'Council Entry'!F$5)/('Council Entry'!F$6-'Council Entry'!F$5),10*((IF('Council Entry'!F$4="Logarithm",LN(0.001+IF(AND(ISNUMBER('Council Entry'!F$8),ISNUMBER('Council Entry'!F$9)),MAX(MIN('Council Entry'!F194,'Council Entry'!F$9),'Council Entry'!F$8),'Council Entry'!F194)),IF('Council Entry'!F$4="Exponential",EXP(IF(AND(ISNUMBER('Council Entry'!F$8),ISNUMBER('Council Entry'!F$9)),MAX(MIN('Council Entry'!F194,'Council Entry'!F$9),'Council Entry'!F$8),'Council Entry'!F194)),IF(AND(ISNUMBER('Council Entry'!F$8),ISNUMBER('Council Entry'!F$9)),MAX(MIN('Council Entry'!F194,'Council Entry'!F$9),'Council Entry'!F$8),'Council Entry'!F194))))-'Council Entry'!F$5)/('Council Entry'!F$6-'Council Entry'!F$5)),1))),"No data"))</f>
        <v/>
      </c>
      <c r="G194" s="13">
        <f>IF('Council Entry'!G194="","",IFERROR(MAX(0,MIN(10,ROUND(IF('Council Entry'!G$7="Decrease Risk",10-10*((IF('Council Entry'!G$4="Logarithm",LN(0.001+IF(AND(ISNUMBER('Council Entry'!G$8),ISNUMBER('Council Entry'!G$9)),MAX(MIN('Council Entry'!G194,'Council Entry'!G$9),'Council Entry'!G$8),'Council Entry'!G194)),IF('Council Entry'!G$4="Exponential",EXP(IF(AND(ISNUMBER('Council Entry'!G$8),ISNUMBER('Council Entry'!G$9)),MAX(MIN('Council Entry'!G194,'Council Entry'!G$9),'Council Entry'!G$8),'Council Entry'!G194)),IF(AND(ISNUMBER('Council Entry'!G$8),ISNUMBER('Council Entry'!G$9)),MAX(MIN('Council Entry'!G194,'Council Entry'!G$9),'Council Entry'!G$8),'Council Entry'!G194))))-'Council Entry'!G$5)/('Council Entry'!G$6-'Council Entry'!G$5),10*((IF('Council Entry'!G$4="Logarithm",LN(0.001+IF(AND(ISNUMBER('Council Entry'!G$8),ISNUMBER('Council Entry'!G$9)),MAX(MIN('Council Entry'!G194,'Council Entry'!G$9),'Council Entry'!G$8),'Council Entry'!G194)),IF('Council Entry'!G$4="Exponential",EXP(IF(AND(ISNUMBER('Council Entry'!G$8),ISNUMBER('Council Entry'!G$9)),MAX(MIN('Council Entry'!G194,'Council Entry'!G$9),'Council Entry'!G$8),'Council Entry'!G194)),IF(AND(ISNUMBER('Council Entry'!G$8),ISNUMBER('Council Entry'!G$9)),MAX(MIN('Council Entry'!G194,'Council Entry'!G$9),'Council Entry'!G$8),'Council Entry'!G194))))-'Council Entry'!G$5)/('Council Entry'!G$6-'Council Entry'!G$5)),1))),"No data"))</f>
        <v/>
      </c>
      <c r="H194" s="13">
        <f>IF('Council Entry'!H194="","",IFERROR(MAX(0,MIN(10,ROUND(IF('Council Entry'!H$7="Decrease Risk",10-10*((IF('Council Entry'!H$4="Logarithm",LN(0.001+IF(AND(ISNUMBER('Council Entry'!H$8),ISNUMBER('Council Entry'!H$9)),MAX(MIN('Council Entry'!H194,'Council Entry'!H$9),'Council Entry'!H$8),'Council Entry'!H194)),IF('Council Entry'!H$4="Exponential",EXP(IF(AND(ISNUMBER('Council Entry'!H$8),ISNUMBER('Council Entry'!H$9)),MAX(MIN('Council Entry'!H194,'Council Entry'!H$9),'Council Entry'!H$8),'Council Entry'!H194)),IF(AND(ISNUMBER('Council Entry'!H$8),ISNUMBER('Council Entry'!H$9)),MAX(MIN('Council Entry'!H194,'Council Entry'!H$9),'Council Entry'!H$8),'Council Entry'!H194))))-'Council Entry'!H$5)/('Council Entry'!H$6-'Council Entry'!H$5),10*((IF('Council Entry'!H$4="Logarithm",LN(0.001+IF(AND(ISNUMBER('Council Entry'!H$8),ISNUMBER('Council Entry'!H$9)),MAX(MIN('Council Entry'!H194,'Council Entry'!H$9),'Council Entry'!H$8),'Council Entry'!H194)),IF('Council Entry'!H$4="Exponential",EXP(IF(AND(ISNUMBER('Council Entry'!H$8),ISNUMBER('Council Entry'!H$9)),MAX(MIN('Council Entry'!H194,'Council Entry'!H$9),'Council Entry'!H$8),'Council Entry'!H194)),IF(AND(ISNUMBER('Council Entry'!H$8),ISNUMBER('Council Entry'!H$9)),MAX(MIN('Council Entry'!H194,'Council Entry'!H$9),'Council Entry'!H$8),'Council Entry'!H194))))-'Council Entry'!H$5)/('Council Entry'!H$6-'Council Entry'!H$5)),1))),"No data"))</f>
        <v/>
      </c>
      <c r="I194" s="13">
        <f>IF('Council Entry'!I194="","",IFERROR(MAX(0,MIN(10,ROUND(IF('Council Entry'!I$7="Decrease Risk",10-10*((IF('Council Entry'!I$4="Logarithm",LN(0.001+IF(AND(ISNUMBER('Council Entry'!I$8),ISNUMBER('Council Entry'!I$9)),MAX(MIN('Council Entry'!I194,'Council Entry'!I$9),'Council Entry'!I$8),'Council Entry'!I194)),IF('Council Entry'!I$4="Exponential",EXP(IF(AND(ISNUMBER('Council Entry'!I$8),ISNUMBER('Council Entry'!I$9)),MAX(MIN('Council Entry'!I194,'Council Entry'!I$9),'Council Entry'!I$8),'Council Entry'!I194)),IF(AND(ISNUMBER('Council Entry'!I$8),ISNUMBER('Council Entry'!I$9)),MAX(MIN('Council Entry'!I194,'Council Entry'!I$9),'Council Entry'!I$8),'Council Entry'!I194))))-'Council Entry'!I$5)/('Council Entry'!I$6-'Council Entry'!I$5),10*((IF('Council Entry'!I$4="Logarithm",LN(0.001+IF(AND(ISNUMBER('Council Entry'!I$8),ISNUMBER('Council Entry'!I$9)),MAX(MIN('Council Entry'!I194,'Council Entry'!I$9),'Council Entry'!I$8),'Council Entry'!I194)),IF('Council Entry'!I$4="Exponential",EXP(IF(AND(ISNUMBER('Council Entry'!I$8),ISNUMBER('Council Entry'!I$9)),MAX(MIN('Council Entry'!I194,'Council Entry'!I$9),'Council Entry'!I$8),'Council Entry'!I194)),IF(AND(ISNUMBER('Council Entry'!I$8),ISNUMBER('Council Entry'!I$9)),MAX(MIN('Council Entry'!I194,'Council Entry'!I$9),'Council Entry'!I$8),'Council Entry'!I194))))-'Council Entry'!I$5)/('Council Entry'!I$6-'Council Entry'!I$5)),1))),"No data"))</f>
        <v/>
      </c>
      <c r="J194" s="13">
        <f>IF('Council Entry'!J194="","",IFERROR(MAX(0,MIN(10,ROUND(IF('Council Entry'!J$7="Decrease Risk",10-10*((IF('Council Entry'!J$4="Logarithm",LN(0.001+IF(AND(ISNUMBER('Council Entry'!J$8),ISNUMBER('Council Entry'!J$9)),MAX(MIN('Council Entry'!J194,'Council Entry'!J$9),'Council Entry'!J$8),'Council Entry'!J194)),IF('Council Entry'!J$4="Exponential",EXP(IF(AND(ISNUMBER('Council Entry'!J$8),ISNUMBER('Council Entry'!J$9)),MAX(MIN('Council Entry'!J194,'Council Entry'!J$9),'Council Entry'!J$8),'Council Entry'!J194)),IF(AND(ISNUMBER('Council Entry'!J$8),ISNUMBER('Council Entry'!J$9)),MAX(MIN('Council Entry'!J194,'Council Entry'!J$9),'Council Entry'!J$8),'Council Entry'!J194))))-'Council Entry'!J$5)/('Council Entry'!J$6-'Council Entry'!J$5),10*((IF('Council Entry'!J$4="Logarithm",LN(0.001+IF(AND(ISNUMBER('Council Entry'!J$8),ISNUMBER('Council Entry'!J$9)),MAX(MIN('Council Entry'!J194,'Council Entry'!J$9),'Council Entry'!J$8),'Council Entry'!J194)),IF('Council Entry'!J$4="Exponential",EXP(IF(AND(ISNUMBER('Council Entry'!J$8),ISNUMBER('Council Entry'!J$9)),MAX(MIN('Council Entry'!J194,'Council Entry'!J$9),'Council Entry'!J$8),'Council Entry'!J194)),IF(AND(ISNUMBER('Council Entry'!J$8),ISNUMBER('Council Entry'!J$9)),MAX(MIN('Council Entry'!J194,'Council Entry'!J$9),'Council Entry'!J$8),'Council Entry'!J194))))-'Council Entry'!J$5)/('Council Entry'!J$6-'Council Entry'!J$5)),1))),"No data"))</f>
        <v/>
      </c>
      <c r="K194" s="13">
        <f>IF('Council Entry'!K194="","",IFERROR(MAX(0,MIN(10,ROUND(IF('Council Entry'!K$7="Decrease Risk",10-10*((IF('Council Entry'!K$4="Logarithm",LN(0.001+IF(AND(ISNUMBER('Council Entry'!K$8),ISNUMBER('Council Entry'!K$9)),MAX(MIN('Council Entry'!K194,'Council Entry'!K$9),'Council Entry'!K$8),'Council Entry'!K194)),IF('Council Entry'!K$4="Exponential",EXP(IF(AND(ISNUMBER('Council Entry'!K$8),ISNUMBER('Council Entry'!K$9)),MAX(MIN('Council Entry'!K194,'Council Entry'!K$9),'Council Entry'!K$8),'Council Entry'!K194)),IF(AND(ISNUMBER('Council Entry'!K$8),ISNUMBER('Council Entry'!K$9)),MAX(MIN('Council Entry'!K194,'Council Entry'!K$9),'Council Entry'!K$8),'Council Entry'!K194))))-'Council Entry'!K$5)/('Council Entry'!K$6-'Council Entry'!K$5),10*((IF('Council Entry'!K$4="Logarithm",LN(0.001+IF(AND(ISNUMBER('Council Entry'!K$8),ISNUMBER('Council Entry'!K$9)),MAX(MIN('Council Entry'!K194,'Council Entry'!K$9),'Council Entry'!K$8),'Council Entry'!K194)),IF('Council Entry'!K$4="Exponential",EXP(IF(AND(ISNUMBER('Council Entry'!K$8),ISNUMBER('Council Entry'!K$9)),MAX(MIN('Council Entry'!K194,'Council Entry'!K$9),'Council Entry'!K$8),'Council Entry'!K194)),IF(AND(ISNUMBER('Council Entry'!K$8),ISNUMBER('Council Entry'!K$9)),MAX(MIN('Council Entry'!K194,'Council Entry'!K$9),'Council Entry'!K$8),'Council Entry'!K194))))-'Council Entry'!K$5)/('Council Entry'!K$6-'Council Entry'!K$5)),1))),"No data"))</f>
        <v/>
      </c>
      <c r="L194" s="13">
        <f>IF('Council Entry'!L194="","",IFERROR(MAX(0,MIN(10,ROUND(IF('Council Entry'!L$7="Decrease Risk",10-10*((IF('Council Entry'!L$4="Logarithm",LN(0.001+IF(AND(ISNUMBER('Council Entry'!L$8),ISNUMBER('Council Entry'!L$9)),MAX(MIN('Council Entry'!L194,'Council Entry'!L$9),'Council Entry'!L$8),'Council Entry'!L194)),IF('Council Entry'!L$4="Exponential",EXP(IF(AND(ISNUMBER('Council Entry'!L$8),ISNUMBER('Council Entry'!L$9)),MAX(MIN('Council Entry'!L194,'Council Entry'!L$9),'Council Entry'!L$8),'Council Entry'!L194)),IF(AND(ISNUMBER('Council Entry'!L$8),ISNUMBER('Council Entry'!L$9)),MAX(MIN('Council Entry'!L194,'Council Entry'!L$9),'Council Entry'!L$8),'Council Entry'!L194))))-'Council Entry'!L$5)/('Council Entry'!L$6-'Council Entry'!L$5),10*((IF('Council Entry'!L$4="Logarithm",LN(0.001+IF(AND(ISNUMBER('Council Entry'!L$8),ISNUMBER('Council Entry'!L$9)),MAX(MIN('Council Entry'!L194,'Council Entry'!L$9),'Council Entry'!L$8),'Council Entry'!L194)),IF('Council Entry'!L$4="Exponential",EXP(IF(AND(ISNUMBER('Council Entry'!L$8),ISNUMBER('Council Entry'!L$9)),MAX(MIN('Council Entry'!L194,'Council Entry'!L$9),'Council Entry'!L$8),'Council Entry'!L194)),IF(AND(ISNUMBER('Council Entry'!L$8),ISNUMBER('Council Entry'!L$9)),MAX(MIN('Council Entry'!L194,'Council Entry'!L$9),'Council Entry'!L$8),'Council Entry'!L194))))-'Council Entry'!L$5)/('Council Entry'!L$6-'Council Entry'!L$5)),1))),"No data"))</f>
        <v/>
      </c>
      <c r="M194" s="13">
        <f>IF('Council Entry'!M194="","",IFERROR(MAX(0,MIN(10,ROUND(IF('Council Entry'!M$7="Decrease Risk",10-10*((IF('Council Entry'!M$4="Logarithm",LN(0.001+IF(AND(ISNUMBER('Council Entry'!M$8),ISNUMBER('Council Entry'!M$9)),MAX(MIN('Council Entry'!M194,'Council Entry'!M$9),'Council Entry'!M$8),'Council Entry'!M194)),IF('Council Entry'!M$4="Exponential",EXP(IF(AND(ISNUMBER('Council Entry'!M$8),ISNUMBER('Council Entry'!M$9)),MAX(MIN('Council Entry'!M194,'Council Entry'!M$9),'Council Entry'!M$8),'Council Entry'!M194)),IF(AND(ISNUMBER('Council Entry'!M$8),ISNUMBER('Council Entry'!M$9)),MAX(MIN('Council Entry'!M194,'Council Entry'!M$9),'Council Entry'!M$8),'Council Entry'!M194))))-'Council Entry'!M$5)/('Council Entry'!M$6-'Council Entry'!M$5),10*((IF('Council Entry'!M$4="Logarithm",LN(0.001+IF(AND(ISNUMBER('Council Entry'!M$8),ISNUMBER('Council Entry'!M$9)),MAX(MIN('Council Entry'!M194,'Council Entry'!M$9),'Council Entry'!M$8),'Council Entry'!M194)),IF('Council Entry'!M$4="Exponential",EXP(IF(AND(ISNUMBER('Council Entry'!M$8),ISNUMBER('Council Entry'!M$9)),MAX(MIN('Council Entry'!M194,'Council Entry'!M$9),'Council Entry'!M$8),'Council Entry'!M194)),IF(AND(ISNUMBER('Council Entry'!M$8),ISNUMBER('Council Entry'!M$9)),MAX(MIN('Council Entry'!M194,'Council Entry'!M$9),'Council Entry'!M$8),'Council Entry'!M194))))-'Council Entry'!M$5)/('Council Entry'!M$6-'Council Entry'!M$5)),1))),"No data"))</f>
        <v/>
      </c>
      <c r="N194" s="13">
        <f>IF('Council Entry'!N194="","",IFERROR(MAX(0,MIN(10,ROUND(IF('Council Entry'!N$7="Decrease Risk",10-10*((IF('Council Entry'!N$4="Logarithm",LN(0.001+IF(AND(ISNUMBER('Council Entry'!N$8),ISNUMBER('Council Entry'!N$9)),MAX(MIN('Council Entry'!N194,'Council Entry'!N$9),'Council Entry'!N$8),'Council Entry'!N194)),IF('Council Entry'!N$4="Exponential",EXP(IF(AND(ISNUMBER('Council Entry'!N$8),ISNUMBER('Council Entry'!N$9)),MAX(MIN('Council Entry'!N194,'Council Entry'!N$9),'Council Entry'!N$8),'Council Entry'!N194)),IF(AND(ISNUMBER('Council Entry'!N$8),ISNUMBER('Council Entry'!N$9)),MAX(MIN('Council Entry'!N194,'Council Entry'!N$9),'Council Entry'!N$8),'Council Entry'!N194))))-'Council Entry'!N$5)/('Council Entry'!N$6-'Council Entry'!N$5),10*((IF('Council Entry'!N$4="Logarithm",LN(0.001+IF(AND(ISNUMBER('Council Entry'!N$8),ISNUMBER('Council Entry'!N$9)),MAX(MIN('Council Entry'!N194,'Council Entry'!N$9),'Council Entry'!N$8),'Council Entry'!N194)),IF('Council Entry'!N$4="Exponential",EXP(IF(AND(ISNUMBER('Council Entry'!N$8),ISNUMBER('Council Entry'!N$9)),MAX(MIN('Council Entry'!N194,'Council Entry'!N$9),'Council Entry'!N$8),'Council Entry'!N194)),IF(AND(ISNUMBER('Council Entry'!N$8),ISNUMBER('Council Entry'!N$9)),MAX(MIN('Council Entry'!N194,'Council Entry'!N$9),'Council Entry'!N$8),'Council Entry'!N194))))-'Council Entry'!N$5)/('Council Entry'!N$6-'Council Entry'!N$5)),1))),"No data"))</f>
        <v/>
      </c>
      <c r="O194" s="13">
        <f>IF('Council Entry'!O194="","",IFERROR(MAX(0,MIN(10,ROUND(IF('Council Entry'!O$7="Decrease Risk",10-10*((IF('Council Entry'!O$4="Logarithm",LN(0.001+IF(AND(ISNUMBER('Council Entry'!O$8),ISNUMBER('Council Entry'!O$9)),MAX(MIN('Council Entry'!O194,'Council Entry'!O$9),'Council Entry'!O$8),'Council Entry'!O194)),IF('Council Entry'!O$4="Exponential",EXP(IF(AND(ISNUMBER('Council Entry'!O$8),ISNUMBER('Council Entry'!O$9)),MAX(MIN('Council Entry'!O194,'Council Entry'!O$9),'Council Entry'!O$8),'Council Entry'!O194)),IF(AND(ISNUMBER('Council Entry'!O$8),ISNUMBER('Council Entry'!O$9)),MAX(MIN('Council Entry'!O194,'Council Entry'!O$9),'Council Entry'!O$8),'Council Entry'!O194))))-'Council Entry'!O$5)/('Council Entry'!O$6-'Council Entry'!O$5),10*((IF('Council Entry'!O$4="Logarithm",LN(0.001+IF(AND(ISNUMBER('Council Entry'!O$8),ISNUMBER('Council Entry'!O$9)),MAX(MIN('Council Entry'!O194,'Council Entry'!O$9),'Council Entry'!O$8),'Council Entry'!O194)),IF('Council Entry'!O$4="Exponential",EXP(IF(AND(ISNUMBER('Council Entry'!O$8),ISNUMBER('Council Entry'!O$9)),MAX(MIN('Council Entry'!O194,'Council Entry'!O$9),'Council Entry'!O$8),'Council Entry'!O194)),IF(AND(ISNUMBER('Council Entry'!O$8),ISNUMBER('Council Entry'!O$9)),MAX(MIN('Council Entry'!O194,'Council Entry'!O$9),'Council Entry'!O$8),'Council Entry'!O194))))-'Council Entry'!O$5)/('Council Entry'!O$6-'Council Entry'!O$5)),1))),"No data"))</f>
        <v/>
      </c>
      <c r="P194" s="13">
        <f>IF('Council Entry'!P194="","",IFERROR(MAX(0,MIN(10,ROUND(IF('Council Entry'!P$7="Decrease Risk",10-10*((IF('Council Entry'!P$4="Logarithm",LN(0.001+IF(AND(ISNUMBER('Council Entry'!P$8),ISNUMBER('Council Entry'!P$9)),MAX(MIN('Council Entry'!P194,'Council Entry'!P$9),'Council Entry'!P$8),'Council Entry'!P194)),IF('Council Entry'!P$4="Exponential",EXP(IF(AND(ISNUMBER('Council Entry'!P$8),ISNUMBER('Council Entry'!P$9)),MAX(MIN('Council Entry'!P194,'Council Entry'!P$9),'Council Entry'!P$8),'Council Entry'!P194)),IF(AND(ISNUMBER('Council Entry'!P$8),ISNUMBER('Council Entry'!P$9)),MAX(MIN('Council Entry'!P194,'Council Entry'!P$9),'Council Entry'!P$8),'Council Entry'!P194))))-'Council Entry'!P$5)/('Council Entry'!P$6-'Council Entry'!P$5),10*((IF('Council Entry'!P$4="Logarithm",LN(0.001+IF(AND(ISNUMBER('Council Entry'!P$8),ISNUMBER('Council Entry'!P$9)),MAX(MIN('Council Entry'!P194,'Council Entry'!P$9),'Council Entry'!P$8),'Council Entry'!P194)),IF('Council Entry'!P$4="Exponential",EXP(IF(AND(ISNUMBER('Council Entry'!P$8),ISNUMBER('Council Entry'!P$9)),MAX(MIN('Council Entry'!P194,'Council Entry'!P$9),'Council Entry'!P$8),'Council Entry'!P194)),IF(AND(ISNUMBER('Council Entry'!P$8),ISNUMBER('Council Entry'!P$9)),MAX(MIN('Council Entry'!P194,'Council Entry'!P$9),'Council Entry'!P$8),'Council Entry'!P194))))-'Council Entry'!P$5)/('Council Entry'!P$6-'Council Entry'!P$5)),1))),"No data"))</f>
        <v/>
      </c>
      <c r="Q194" s="13">
        <f>IF('Council Entry'!Q194="","",IFERROR(MAX(0,MIN(10,ROUND(IF('Council Entry'!Q$7="Decrease Risk",10-10*((IF('Council Entry'!Q$4="Logarithm",LN(0.001+IF(AND(ISNUMBER('Council Entry'!Q$8),ISNUMBER('Council Entry'!Q$9)),MAX(MIN('Council Entry'!Q194,'Council Entry'!Q$9),'Council Entry'!Q$8),'Council Entry'!Q194)),IF('Council Entry'!Q$4="Exponential",EXP(IF(AND(ISNUMBER('Council Entry'!Q$8),ISNUMBER('Council Entry'!Q$9)),MAX(MIN('Council Entry'!Q194,'Council Entry'!Q$9),'Council Entry'!Q$8),'Council Entry'!Q194)),IF(AND(ISNUMBER('Council Entry'!Q$8),ISNUMBER('Council Entry'!Q$9)),MAX(MIN('Council Entry'!Q194,'Council Entry'!Q$9),'Council Entry'!Q$8),'Council Entry'!Q194))))-'Council Entry'!Q$5)/('Council Entry'!Q$6-'Council Entry'!Q$5),10*((IF('Council Entry'!Q$4="Logarithm",LN(0.001+IF(AND(ISNUMBER('Council Entry'!Q$8),ISNUMBER('Council Entry'!Q$9)),MAX(MIN('Council Entry'!Q194,'Council Entry'!Q$9),'Council Entry'!Q$8),'Council Entry'!Q194)),IF('Council Entry'!Q$4="Exponential",EXP(IF(AND(ISNUMBER('Council Entry'!Q$8),ISNUMBER('Council Entry'!Q$9)),MAX(MIN('Council Entry'!Q194,'Council Entry'!Q$9),'Council Entry'!Q$8),'Council Entry'!Q194)),IF(AND(ISNUMBER('Council Entry'!Q$8),ISNUMBER('Council Entry'!Q$9)),MAX(MIN('Council Entry'!Q194,'Council Entry'!Q$9),'Council Entry'!Q$8),'Council Entry'!Q194))))-'Council Entry'!Q$5)/('Council Entry'!Q$6-'Council Entry'!Q$5)),1))),"No data"))</f>
        <v/>
      </c>
      <c r="R194" s="13">
        <f>IF('Council Entry'!R194="","",IFERROR(MAX(0,MIN(10,ROUND(IF('Council Entry'!R$7="Decrease Risk",10-10*((IF('Council Entry'!R$4="Logarithm",LN(0.001+IF(AND(ISNUMBER('Council Entry'!R$8),ISNUMBER('Council Entry'!R$9)),MAX(MIN('Council Entry'!R194,'Council Entry'!R$9),'Council Entry'!R$8),'Council Entry'!R194)),IF('Council Entry'!R$4="Exponential",EXP(IF(AND(ISNUMBER('Council Entry'!R$8),ISNUMBER('Council Entry'!R$9)),MAX(MIN('Council Entry'!R194,'Council Entry'!R$9),'Council Entry'!R$8),'Council Entry'!R194)),IF(AND(ISNUMBER('Council Entry'!R$8),ISNUMBER('Council Entry'!R$9)),MAX(MIN('Council Entry'!R194,'Council Entry'!R$9),'Council Entry'!R$8),'Council Entry'!R194))))-'Council Entry'!R$5)/('Council Entry'!R$6-'Council Entry'!R$5),10*((IF('Council Entry'!R$4="Logarithm",LN(0.001+IF(AND(ISNUMBER('Council Entry'!R$8),ISNUMBER('Council Entry'!R$9)),MAX(MIN('Council Entry'!R194,'Council Entry'!R$9),'Council Entry'!R$8),'Council Entry'!R194)),IF('Council Entry'!R$4="Exponential",EXP(IF(AND(ISNUMBER('Council Entry'!R$8),ISNUMBER('Council Entry'!R$9)),MAX(MIN('Council Entry'!R194,'Council Entry'!R$9),'Council Entry'!R$8),'Council Entry'!R194)),IF(AND(ISNUMBER('Council Entry'!R$8),ISNUMBER('Council Entry'!R$9)),MAX(MIN('Council Entry'!R194,'Council Entry'!R$9),'Council Entry'!R$8),'Council Entry'!R194))))-'Council Entry'!R$5)/('Council Entry'!R$6-'Council Entry'!R$5)),1))),"No data"))</f>
        <v/>
      </c>
      <c r="S194" s="13">
        <f>IF('Council Entry'!S194="","",IFERROR(MAX(0,MIN(10,ROUND(IF('Council Entry'!S$7="Decrease Risk",10-10*((IF('Council Entry'!S$4="Logarithm",LN(0.001+IF(AND(ISNUMBER('Council Entry'!S$8),ISNUMBER('Council Entry'!S$9)),MAX(MIN('Council Entry'!S194,'Council Entry'!S$9),'Council Entry'!S$8),'Council Entry'!S194)),IF('Council Entry'!S$4="Exponential",EXP(IF(AND(ISNUMBER('Council Entry'!S$8),ISNUMBER('Council Entry'!S$9)),MAX(MIN('Council Entry'!S194,'Council Entry'!S$9),'Council Entry'!S$8),'Council Entry'!S194)),IF(AND(ISNUMBER('Council Entry'!S$8),ISNUMBER('Council Entry'!S$9)),MAX(MIN('Council Entry'!S194,'Council Entry'!S$9),'Council Entry'!S$8),'Council Entry'!S194))))-'Council Entry'!S$5)/('Council Entry'!S$6-'Council Entry'!S$5),10*((IF('Council Entry'!S$4="Logarithm",LN(0.001+IF(AND(ISNUMBER('Council Entry'!S$8),ISNUMBER('Council Entry'!S$9)),MAX(MIN('Council Entry'!S194,'Council Entry'!S$9),'Council Entry'!S$8),'Council Entry'!S194)),IF('Council Entry'!S$4="Exponential",EXP(IF(AND(ISNUMBER('Council Entry'!S$8),ISNUMBER('Council Entry'!S$9)),MAX(MIN('Council Entry'!S194,'Council Entry'!S$9),'Council Entry'!S$8),'Council Entry'!S194)),IF(AND(ISNUMBER('Council Entry'!S$8),ISNUMBER('Council Entry'!S$9)),MAX(MIN('Council Entry'!S194,'Council Entry'!S$9),'Council Entry'!S$8),'Council Entry'!S194))))-'Council Entry'!S$5)/('Council Entry'!S$6-'Council Entry'!S$5)),1))),"No data"))</f>
        <v/>
      </c>
      <c r="T194" s="13">
        <f>IF('Council Entry'!T194="","",IFERROR(MAX(0,MIN(10,ROUND(IF('Council Entry'!T$7="Decrease Risk",10-10*((IF('Council Entry'!T$4="Logarithm",LN(0.001+IF(AND(ISNUMBER('Council Entry'!T$8),ISNUMBER('Council Entry'!T$9)),MAX(MIN('Council Entry'!T194,'Council Entry'!T$9),'Council Entry'!T$8),'Council Entry'!T194)),IF('Council Entry'!T$4="Exponential",EXP(IF(AND(ISNUMBER('Council Entry'!T$8),ISNUMBER('Council Entry'!T$9)),MAX(MIN('Council Entry'!T194,'Council Entry'!T$9),'Council Entry'!T$8),'Council Entry'!T194)),IF(AND(ISNUMBER('Council Entry'!T$8),ISNUMBER('Council Entry'!T$9)),MAX(MIN('Council Entry'!T194,'Council Entry'!T$9),'Council Entry'!T$8),'Council Entry'!T194))))-'Council Entry'!T$5)/('Council Entry'!T$6-'Council Entry'!T$5),10*((IF('Council Entry'!T$4="Logarithm",LN(0.001+IF(AND(ISNUMBER('Council Entry'!T$8),ISNUMBER('Council Entry'!T$9)),MAX(MIN('Council Entry'!T194,'Council Entry'!T$9),'Council Entry'!T$8),'Council Entry'!T194)),IF('Council Entry'!T$4="Exponential",EXP(IF(AND(ISNUMBER('Council Entry'!T$8),ISNUMBER('Council Entry'!T$9)),MAX(MIN('Council Entry'!T194,'Council Entry'!T$9),'Council Entry'!T$8),'Council Entry'!T194)),IF(AND(ISNUMBER('Council Entry'!T$8),ISNUMBER('Council Entry'!T$9)),MAX(MIN('Council Entry'!T194,'Council Entry'!T$9),'Council Entry'!T$8),'Council Entry'!T194))))-'Council Entry'!T$5)/('Council Entry'!T$6-'Council Entry'!T$5)),1))),"No data"))</f>
        <v/>
      </c>
      <c r="U194" s="13">
        <f>IF('Council Entry'!U194="","",IFERROR(MAX(0,MIN(10,ROUND(IF('Council Entry'!U$7="Decrease Risk",10-10*((IF('Council Entry'!U$4="Logarithm",LN(0.001+IF(AND(ISNUMBER('Council Entry'!U$8),ISNUMBER('Council Entry'!U$9)),MAX(MIN('Council Entry'!U194,'Council Entry'!U$9),'Council Entry'!U$8),'Council Entry'!U194)),IF('Council Entry'!U$4="Exponential",EXP(IF(AND(ISNUMBER('Council Entry'!U$8),ISNUMBER('Council Entry'!U$9)),MAX(MIN('Council Entry'!U194,'Council Entry'!U$9),'Council Entry'!U$8),'Council Entry'!U194)),IF(AND(ISNUMBER('Council Entry'!U$8),ISNUMBER('Council Entry'!U$9)),MAX(MIN('Council Entry'!U194,'Council Entry'!U$9),'Council Entry'!U$8),'Council Entry'!U194))))-'Council Entry'!U$5)/('Council Entry'!U$6-'Council Entry'!U$5),10*((IF('Council Entry'!U$4="Logarithm",LN(0.001+IF(AND(ISNUMBER('Council Entry'!U$8),ISNUMBER('Council Entry'!U$9)),MAX(MIN('Council Entry'!U194,'Council Entry'!U$9),'Council Entry'!U$8),'Council Entry'!U194)),IF('Council Entry'!U$4="Exponential",EXP(IF(AND(ISNUMBER('Council Entry'!U$8),ISNUMBER('Council Entry'!U$9)),MAX(MIN('Council Entry'!U194,'Council Entry'!U$9),'Council Entry'!U$8),'Council Entry'!U194)),IF(AND(ISNUMBER('Council Entry'!U$8),ISNUMBER('Council Entry'!U$9)),MAX(MIN('Council Entry'!U194,'Council Entry'!U$9),'Council Entry'!U$8),'Council Entry'!U194))))-'Council Entry'!U$5)/('Council Entry'!U$6-'Council Entry'!U$5)),1))),"No data"))</f>
        <v/>
      </c>
      <c r="V194" s="13">
        <f>IF('Council Entry'!V194="","",IFERROR(MAX(0,MIN(10,ROUND(IF('Council Entry'!V$7="Decrease Risk",10-10*((IF('Council Entry'!V$4="Logarithm",LN(0.001+IF(AND(ISNUMBER('Council Entry'!V$8),ISNUMBER('Council Entry'!V$9)),MAX(MIN('Council Entry'!V194,'Council Entry'!V$9),'Council Entry'!V$8),'Council Entry'!V194)),IF('Council Entry'!V$4="Exponential",EXP(IF(AND(ISNUMBER('Council Entry'!V$8),ISNUMBER('Council Entry'!V$9)),MAX(MIN('Council Entry'!V194,'Council Entry'!V$9),'Council Entry'!V$8),'Council Entry'!V194)),IF(AND(ISNUMBER('Council Entry'!V$8),ISNUMBER('Council Entry'!V$9)),MAX(MIN('Council Entry'!V194,'Council Entry'!V$9),'Council Entry'!V$8),'Council Entry'!V194))))-'Council Entry'!V$5)/('Council Entry'!V$6-'Council Entry'!V$5),10*((IF('Council Entry'!V$4="Logarithm",LN(0.001+IF(AND(ISNUMBER('Council Entry'!V$8),ISNUMBER('Council Entry'!V$9)),MAX(MIN('Council Entry'!V194,'Council Entry'!V$9),'Council Entry'!V$8),'Council Entry'!V194)),IF('Council Entry'!V$4="Exponential",EXP(IF(AND(ISNUMBER('Council Entry'!V$8),ISNUMBER('Council Entry'!V$9)),MAX(MIN('Council Entry'!V194,'Council Entry'!V$9),'Council Entry'!V$8),'Council Entry'!V194)),IF(AND(ISNUMBER('Council Entry'!V$8),ISNUMBER('Council Entry'!V$9)),MAX(MIN('Council Entry'!V194,'Council Entry'!V$9),'Council Entry'!V$8),'Council Entry'!V194))))-'Council Entry'!V$5)/('Council Entry'!V$6-'Council Entry'!V$5)),1))),"No data"))</f>
        <v/>
      </c>
      <c r="W194" s="13">
        <f>IF('Council Entry'!W194="","",IFERROR(MAX(0,MIN(10,ROUND(IF('Council Entry'!W$7="Decrease Risk",10-10*((IF('Council Entry'!W$4="Logarithm",LN(0.001+IF(AND(ISNUMBER('Council Entry'!W$8),ISNUMBER('Council Entry'!W$9)),MAX(MIN('Council Entry'!W194,'Council Entry'!W$9),'Council Entry'!W$8),'Council Entry'!W194)),IF('Council Entry'!W$4="Exponential",EXP(IF(AND(ISNUMBER('Council Entry'!W$8),ISNUMBER('Council Entry'!W$9)),MAX(MIN('Council Entry'!W194,'Council Entry'!W$9),'Council Entry'!W$8),'Council Entry'!W194)),IF(AND(ISNUMBER('Council Entry'!W$8),ISNUMBER('Council Entry'!W$9)),MAX(MIN('Council Entry'!W194,'Council Entry'!W$9),'Council Entry'!W$8),'Council Entry'!W194))))-'Council Entry'!W$5)/('Council Entry'!W$6-'Council Entry'!W$5),10*((IF('Council Entry'!W$4="Logarithm",LN(0.001+IF(AND(ISNUMBER('Council Entry'!W$8),ISNUMBER('Council Entry'!W$9)),MAX(MIN('Council Entry'!W194,'Council Entry'!W$9),'Council Entry'!W$8),'Council Entry'!W194)),IF('Council Entry'!W$4="Exponential",EXP(IF(AND(ISNUMBER('Council Entry'!W$8),ISNUMBER('Council Entry'!W$9)),MAX(MIN('Council Entry'!W194,'Council Entry'!W$9),'Council Entry'!W$8),'Council Entry'!W194)),IF(AND(ISNUMBER('Council Entry'!W$8),ISNUMBER('Council Entry'!W$9)),MAX(MIN('Council Entry'!W194,'Council Entry'!W$9),'Council Entry'!W$8),'Council Entry'!W194))))-'Council Entry'!W$5)/('Council Entry'!W$6-'Council Entry'!W$5)),1))),"No data"))</f>
        <v/>
      </c>
      <c r="X194" s="13">
        <f>IF('Council Entry'!X194="","",IFERROR(MAX(0,MIN(10,ROUND(IF('Council Entry'!X$7="Decrease Risk",10-10*((IF('Council Entry'!X$4="Logarithm",LN(0.001+IF(AND(ISNUMBER('Council Entry'!X$8),ISNUMBER('Council Entry'!X$9)),MAX(MIN('Council Entry'!X194,'Council Entry'!X$9),'Council Entry'!X$8),'Council Entry'!X194)),IF('Council Entry'!X$4="Exponential",EXP(IF(AND(ISNUMBER('Council Entry'!X$8),ISNUMBER('Council Entry'!X$9)),MAX(MIN('Council Entry'!X194,'Council Entry'!X$9),'Council Entry'!X$8),'Council Entry'!X194)),IF(AND(ISNUMBER('Council Entry'!X$8),ISNUMBER('Council Entry'!X$9)),MAX(MIN('Council Entry'!X194,'Council Entry'!X$9),'Council Entry'!X$8),'Council Entry'!X194))))-'Council Entry'!X$5)/('Council Entry'!X$6-'Council Entry'!X$5),10*((IF('Council Entry'!X$4="Logarithm",LN(0.001+IF(AND(ISNUMBER('Council Entry'!X$8),ISNUMBER('Council Entry'!X$9)),MAX(MIN('Council Entry'!X194,'Council Entry'!X$9),'Council Entry'!X$8),'Council Entry'!X194)),IF('Council Entry'!X$4="Exponential",EXP(IF(AND(ISNUMBER('Council Entry'!X$8),ISNUMBER('Council Entry'!X$9)),MAX(MIN('Council Entry'!X194,'Council Entry'!X$9),'Council Entry'!X$8),'Council Entry'!X194)),IF(AND(ISNUMBER('Council Entry'!X$8),ISNUMBER('Council Entry'!X$9)),MAX(MIN('Council Entry'!X194,'Council Entry'!X$9),'Council Entry'!X$8),'Council Entry'!X194))))-'Council Entry'!X$5)/('Council Entry'!X$6-'Council Entry'!X$5)),1))),"No data"))</f>
        <v/>
      </c>
      <c r="Y194" s="13">
        <f>IF('Council Entry'!Y194="","",IFERROR(MAX(0,MIN(10,ROUND(IF('Council Entry'!Y$7="Decrease Risk",10-10*((IF('Council Entry'!Y$4="Logarithm",LN(0.001+IF(AND(ISNUMBER('Council Entry'!Y$8),ISNUMBER('Council Entry'!Y$9)),MAX(MIN('Council Entry'!Y194,'Council Entry'!Y$9),'Council Entry'!Y$8),'Council Entry'!Y194)),IF('Council Entry'!Y$4="Exponential",EXP(IF(AND(ISNUMBER('Council Entry'!Y$8),ISNUMBER('Council Entry'!Y$9)),MAX(MIN('Council Entry'!Y194,'Council Entry'!Y$9),'Council Entry'!Y$8),'Council Entry'!Y194)),IF(AND(ISNUMBER('Council Entry'!Y$8),ISNUMBER('Council Entry'!Y$9)),MAX(MIN('Council Entry'!Y194,'Council Entry'!Y$9),'Council Entry'!Y$8),'Council Entry'!Y194))))-'Council Entry'!Y$5)/('Council Entry'!Y$6-'Council Entry'!Y$5),10*((IF('Council Entry'!Y$4="Logarithm",LN(0.001+IF(AND(ISNUMBER('Council Entry'!Y$8),ISNUMBER('Council Entry'!Y$9)),MAX(MIN('Council Entry'!Y194,'Council Entry'!Y$9),'Council Entry'!Y$8),'Council Entry'!Y194)),IF('Council Entry'!Y$4="Exponential",EXP(IF(AND(ISNUMBER('Council Entry'!Y$8),ISNUMBER('Council Entry'!Y$9)),MAX(MIN('Council Entry'!Y194,'Council Entry'!Y$9),'Council Entry'!Y$8),'Council Entry'!Y194)),IF(AND(ISNUMBER('Council Entry'!Y$8),ISNUMBER('Council Entry'!Y$9)),MAX(MIN('Council Entry'!Y194,'Council Entry'!Y$9),'Council Entry'!Y$8),'Council Entry'!Y194))))-'Council Entry'!Y$5)/('Council Entry'!Y$6-'Council Entry'!Y$5)),1))),"No data"))</f>
        <v/>
      </c>
      <c r="Z194" s="13">
        <f>IF('Council Entry'!Z194="","",IFERROR(MAX(0,MIN(10,ROUND(IF('Council Entry'!Z$7="Decrease Risk",10-10*((IF('Council Entry'!Z$4="Logarithm",LN(0.001+IF(AND(ISNUMBER('Council Entry'!Z$8),ISNUMBER('Council Entry'!Z$9)),MAX(MIN('Council Entry'!Z194,'Council Entry'!Z$9),'Council Entry'!Z$8),'Council Entry'!Z194)),IF('Council Entry'!Z$4="Exponential",EXP(IF(AND(ISNUMBER('Council Entry'!Z$8),ISNUMBER('Council Entry'!Z$9)),MAX(MIN('Council Entry'!Z194,'Council Entry'!Z$9),'Council Entry'!Z$8),'Council Entry'!Z194)),IF(AND(ISNUMBER('Council Entry'!Z$8),ISNUMBER('Council Entry'!Z$9)),MAX(MIN('Council Entry'!Z194,'Council Entry'!Z$9),'Council Entry'!Z$8),'Council Entry'!Z194))))-'Council Entry'!Z$5)/('Council Entry'!Z$6-'Council Entry'!Z$5),10*((IF('Council Entry'!Z$4="Logarithm",LN(0.001+IF(AND(ISNUMBER('Council Entry'!Z$8),ISNUMBER('Council Entry'!Z$9)),MAX(MIN('Council Entry'!Z194,'Council Entry'!Z$9),'Council Entry'!Z$8),'Council Entry'!Z194)),IF('Council Entry'!Z$4="Exponential",EXP(IF(AND(ISNUMBER('Council Entry'!Z$8),ISNUMBER('Council Entry'!Z$9)),MAX(MIN('Council Entry'!Z194,'Council Entry'!Z$9),'Council Entry'!Z$8),'Council Entry'!Z194)),IF(AND(ISNUMBER('Council Entry'!Z$8),ISNUMBER('Council Entry'!Z$9)),MAX(MIN('Council Entry'!Z194,'Council Entry'!Z$9),'Council Entry'!Z$8),'Council Entry'!Z194))))-'Council Entry'!Z$5)/('Council Entry'!Z$6-'Council Entry'!Z$5)),1))),"No data"))</f>
        <v/>
      </c>
      <c r="AA194" s="13">
        <f>IF('Council Entry'!AA194="","",IFERROR(MAX(0,MIN(10,ROUND(IF('Council Entry'!AA$7="Decrease Risk",10-10*((IF('Council Entry'!AA$4="Logarithm",LN(0.001+IF(AND(ISNUMBER('Council Entry'!AA$8),ISNUMBER('Council Entry'!AA$9)),MAX(MIN('Council Entry'!AA194,'Council Entry'!AA$9),'Council Entry'!AA$8),'Council Entry'!AA194)),IF('Council Entry'!AA$4="Exponential",EXP(IF(AND(ISNUMBER('Council Entry'!AA$8),ISNUMBER('Council Entry'!AA$9)),MAX(MIN('Council Entry'!AA194,'Council Entry'!AA$9),'Council Entry'!AA$8),'Council Entry'!AA194)),IF(AND(ISNUMBER('Council Entry'!AA$8),ISNUMBER('Council Entry'!AA$9)),MAX(MIN('Council Entry'!AA194,'Council Entry'!AA$9),'Council Entry'!AA$8),'Council Entry'!AA194))))-'Council Entry'!AA$5)/('Council Entry'!AA$6-'Council Entry'!AA$5),10*((IF('Council Entry'!AA$4="Logarithm",LN(0.001+IF(AND(ISNUMBER('Council Entry'!AA$8),ISNUMBER('Council Entry'!AA$9)),MAX(MIN('Council Entry'!AA194,'Council Entry'!AA$9),'Council Entry'!AA$8),'Council Entry'!AA194)),IF('Council Entry'!AA$4="Exponential",EXP(IF(AND(ISNUMBER('Council Entry'!AA$8),ISNUMBER('Council Entry'!AA$9)),MAX(MIN('Council Entry'!AA194,'Council Entry'!AA$9),'Council Entry'!AA$8),'Council Entry'!AA194)),IF(AND(ISNUMBER('Council Entry'!AA$8),ISNUMBER('Council Entry'!AA$9)),MAX(MIN('Council Entry'!AA194,'Council Entry'!AA$9),'Council Entry'!AA$8),'Council Entry'!AA194))))-'Council Entry'!AA$5)/('Council Entry'!AA$6-'Council Entry'!AA$5)),1))),"No data"))</f>
        <v/>
      </c>
      <c r="AB194" s="13">
        <f>IF('Council Entry'!AB194="","",IFERROR(MAX(0,MIN(10,ROUND(IF('Council Entry'!AB$7="Decrease Risk",10-10*((IF('Council Entry'!AB$4="Logarithm",LN(0.001+IF(AND(ISNUMBER('Council Entry'!AB$8),ISNUMBER('Council Entry'!AB$9)),MAX(MIN('Council Entry'!AB194,'Council Entry'!AB$9),'Council Entry'!AB$8),'Council Entry'!AB194)),IF('Council Entry'!AB$4="Exponential",EXP(IF(AND(ISNUMBER('Council Entry'!AB$8),ISNUMBER('Council Entry'!AB$9)),MAX(MIN('Council Entry'!AB194,'Council Entry'!AB$9),'Council Entry'!AB$8),'Council Entry'!AB194)),IF(AND(ISNUMBER('Council Entry'!AB$8),ISNUMBER('Council Entry'!AB$9)),MAX(MIN('Council Entry'!AB194,'Council Entry'!AB$9),'Council Entry'!AB$8),'Council Entry'!AB194))))-'Council Entry'!AB$5)/('Council Entry'!AB$6-'Council Entry'!AB$5),10*((IF('Council Entry'!AB$4="Logarithm",LN(0.001+IF(AND(ISNUMBER('Council Entry'!AB$8),ISNUMBER('Council Entry'!AB$9)),MAX(MIN('Council Entry'!AB194,'Council Entry'!AB$9),'Council Entry'!AB$8),'Council Entry'!AB194)),IF('Council Entry'!AB$4="Exponential",EXP(IF(AND(ISNUMBER('Council Entry'!AB$8),ISNUMBER('Council Entry'!AB$9)),MAX(MIN('Council Entry'!AB194,'Council Entry'!AB$9),'Council Entry'!AB$8),'Council Entry'!AB194)),IF(AND(ISNUMBER('Council Entry'!AB$8),ISNUMBER('Council Entry'!AB$9)),MAX(MIN('Council Entry'!AB194,'Council Entry'!AB$9),'Council Entry'!AB$8),'Council Entry'!AB194))))-'Council Entry'!AB$5)/('Council Entry'!AB$6-'Council Entry'!AB$5)),1))),"No data"))</f>
        <v/>
      </c>
      <c r="AC194" s="13">
        <f>IF('Council Entry'!AC194="","",IFERROR(MAX(0,MIN(10,ROUND(IF('Council Entry'!AC$7="Decrease Risk",10-10*((IF('Council Entry'!AC$4="Logarithm",LN(0.001+IF(AND(ISNUMBER('Council Entry'!AC$8),ISNUMBER('Council Entry'!AC$9)),MAX(MIN('Council Entry'!AC194,'Council Entry'!AC$9),'Council Entry'!AC$8),'Council Entry'!AC194)),IF('Council Entry'!AC$4="Exponential",EXP(IF(AND(ISNUMBER('Council Entry'!AC$8),ISNUMBER('Council Entry'!AC$9)),MAX(MIN('Council Entry'!AC194,'Council Entry'!AC$9),'Council Entry'!AC$8),'Council Entry'!AC194)),IF(AND(ISNUMBER('Council Entry'!AC$8),ISNUMBER('Council Entry'!AC$9)),MAX(MIN('Council Entry'!AC194,'Council Entry'!AC$9),'Council Entry'!AC$8),'Council Entry'!AC194))))-'Council Entry'!AC$5)/('Council Entry'!AC$6-'Council Entry'!AC$5),10*((IF('Council Entry'!AC$4="Logarithm",LN(0.001+IF(AND(ISNUMBER('Council Entry'!AC$8),ISNUMBER('Council Entry'!AC$9)),MAX(MIN('Council Entry'!AC194,'Council Entry'!AC$9),'Council Entry'!AC$8),'Council Entry'!AC194)),IF('Council Entry'!AC$4="Exponential",EXP(IF(AND(ISNUMBER('Council Entry'!AC$8),ISNUMBER('Council Entry'!AC$9)),MAX(MIN('Council Entry'!AC194,'Council Entry'!AC$9),'Council Entry'!AC$8),'Council Entry'!AC194)),IF(AND(ISNUMBER('Council Entry'!AC$8),ISNUMBER('Council Entry'!AC$9)),MAX(MIN('Council Entry'!AC194,'Council Entry'!AC$9),'Council Entry'!AC$8),'Council Entry'!AC194))))-'Council Entry'!AC$5)/('Council Entry'!AC$6-'Council Entry'!AC$5)),1))),"No data"))</f>
        <v/>
      </c>
      <c r="AD194" s="13">
        <f>IF('Council Entry'!AD194="","",IFERROR(MAX(0,MIN(10,ROUND(IF('Council Entry'!AD$7="Decrease Risk",10-10*((IF('Council Entry'!AD$4="Logarithm",LN(0.001+IF(AND(ISNUMBER('Council Entry'!AD$8),ISNUMBER('Council Entry'!AD$9)),MAX(MIN('Council Entry'!AD194,'Council Entry'!AD$9),'Council Entry'!AD$8),'Council Entry'!AD194)),IF('Council Entry'!AD$4="Exponential",EXP(IF(AND(ISNUMBER('Council Entry'!AD$8),ISNUMBER('Council Entry'!AD$9)),MAX(MIN('Council Entry'!AD194,'Council Entry'!AD$9),'Council Entry'!AD$8),'Council Entry'!AD194)),IF(AND(ISNUMBER('Council Entry'!AD$8),ISNUMBER('Council Entry'!AD$9)),MAX(MIN('Council Entry'!AD194,'Council Entry'!AD$9),'Council Entry'!AD$8),'Council Entry'!AD194))))-'Council Entry'!AD$5)/('Council Entry'!AD$6-'Council Entry'!AD$5),10*((IF('Council Entry'!AD$4="Logarithm",LN(0.001+IF(AND(ISNUMBER('Council Entry'!AD$8),ISNUMBER('Council Entry'!AD$9)),MAX(MIN('Council Entry'!AD194,'Council Entry'!AD$9),'Council Entry'!AD$8),'Council Entry'!AD194)),IF('Council Entry'!AD$4="Exponential",EXP(IF(AND(ISNUMBER('Council Entry'!AD$8),ISNUMBER('Council Entry'!AD$9)),MAX(MIN('Council Entry'!AD194,'Council Entry'!AD$9),'Council Entry'!AD$8),'Council Entry'!AD194)),IF(AND(ISNUMBER('Council Entry'!AD$8),ISNUMBER('Council Entry'!AD$9)),MAX(MIN('Council Entry'!AD194,'Council Entry'!AD$9),'Council Entry'!AD$8),'Council Entry'!AD194))))-'Council Entry'!AD$5)/('Council Entry'!AD$6-'Council Entry'!AD$5)),1))),"No data"))</f>
        <v/>
      </c>
      <c r="AE194" s="13">
        <f>IF('Council Entry'!AE194="","",IFERROR(MAX(0,MIN(10,ROUND(IF('Council Entry'!AE$7="Decrease Risk",10-10*((IF('Council Entry'!AE$4="Logarithm",LN(0.001+IF(AND(ISNUMBER('Council Entry'!AE$8),ISNUMBER('Council Entry'!AE$9)),MAX(MIN('Council Entry'!AE194,'Council Entry'!AE$9),'Council Entry'!AE$8),'Council Entry'!AE194)),IF('Council Entry'!AE$4="Exponential",EXP(IF(AND(ISNUMBER('Council Entry'!AE$8),ISNUMBER('Council Entry'!AE$9)),MAX(MIN('Council Entry'!AE194,'Council Entry'!AE$9),'Council Entry'!AE$8),'Council Entry'!AE194)),IF(AND(ISNUMBER('Council Entry'!AE$8),ISNUMBER('Council Entry'!AE$9)),MAX(MIN('Council Entry'!AE194,'Council Entry'!AE$9),'Council Entry'!AE$8),'Council Entry'!AE194))))-'Council Entry'!AE$5)/('Council Entry'!AE$6-'Council Entry'!AE$5),10*((IF('Council Entry'!AE$4="Logarithm",LN(0.001+IF(AND(ISNUMBER('Council Entry'!AE$8),ISNUMBER('Council Entry'!AE$9)),MAX(MIN('Council Entry'!AE194,'Council Entry'!AE$9),'Council Entry'!AE$8),'Council Entry'!AE194)),IF('Council Entry'!AE$4="Exponential",EXP(IF(AND(ISNUMBER('Council Entry'!AE$8),ISNUMBER('Council Entry'!AE$9)),MAX(MIN('Council Entry'!AE194,'Council Entry'!AE$9),'Council Entry'!AE$8),'Council Entry'!AE194)),IF(AND(ISNUMBER('Council Entry'!AE$8),ISNUMBER('Council Entry'!AE$9)),MAX(MIN('Council Entry'!AE194,'Council Entry'!AE$9),'Council Entry'!AE$8),'Council Entry'!AE194))))-'Council Entry'!AE$5)/('Council Entry'!AE$6-'Council Entry'!AE$5)),1))),"No data"))</f>
        <v/>
      </c>
      <c r="AF194" s="13">
        <f>IF('Council Entry'!AF194="","",IFERROR(MAX(0,MIN(10,ROUND(IF('Council Entry'!AF$7="Decrease Risk",10-10*((IF('Council Entry'!AF$4="Logarithm",LN(0.001+IF(AND(ISNUMBER('Council Entry'!AF$8),ISNUMBER('Council Entry'!AF$9)),MAX(MIN('Council Entry'!AF194,'Council Entry'!AF$9),'Council Entry'!AF$8),'Council Entry'!AF194)),IF('Council Entry'!AF$4="Exponential",EXP(IF(AND(ISNUMBER('Council Entry'!AF$8),ISNUMBER('Council Entry'!AF$9)),MAX(MIN('Council Entry'!AF194,'Council Entry'!AF$9),'Council Entry'!AF$8),'Council Entry'!AF194)),IF(AND(ISNUMBER('Council Entry'!AF$8),ISNUMBER('Council Entry'!AF$9)),MAX(MIN('Council Entry'!AF194,'Council Entry'!AF$9),'Council Entry'!AF$8),'Council Entry'!AF194))))-'Council Entry'!AF$5)/('Council Entry'!AF$6-'Council Entry'!AF$5),10*((IF('Council Entry'!AF$4="Logarithm",LN(0.001+IF(AND(ISNUMBER('Council Entry'!AF$8),ISNUMBER('Council Entry'!AF$9)),MAX(MIN('Council Entry'!AF194,'Council Entry'!AF$9),'Council Entry'!AF$8),'Council Entry'!AF194)),IF('Council Entry'!AF$4="Exponential",EXP(IF(AND(ISNUMBER('Council Entry'!AF$8),ISNUMBER('Council Entry'!AF$9)),MAX(MIN('Council Entry'!AF194,'Council Entry'!AF$9),'Council Entry'!AF$8),'Council Entry'!AF194)),IF(AND(ISNUMBER('Council Entry'!AF$8),ISNUMBER('Council Entry'!AF$9)),MAX(MIN('Council Entry'!AF194,'Council Entry'!AF$9),'Council Entry'!AF$8),'Council Entry'!AF194))))-'Council Entry'!AF$5)/('Council Entry'!AF$6-'Council Entry'!AF$5)),1))),"No data"))</f>
        <v/>
      </c>
      <c r="AG194" s="13">
        <f>IF('Council Entry'!AG194="","",IFERROR(MAX(0,MIN(10,ROUND(IF('Council Entry'!AG$7="Decrease Risk",10-10*((IF('Council Entry'!AG$4="Logarithm",LN(0.001+IF(AND(ISNUMBER('Council Entry'!AG$8),ISNUMBER('Council Entry'!AG$9)),MAX(MIN('Council Entry'!AG194,'Council Entry'!AG$9),'Council Entry'!AG$8),'Council Entry'!AG194)),IF('Council Entry'!AG$4="Exponential",EXP(IF(AND(ISNUMBER('Council Entry'!AG$8),ISNUMBER('Council Entry'!AG$9)),MAX(MIN('Council Entry'!AG194,'Council Entry'!AG$9),'Council Entry'!AG$8),'Council Entry'!AG194)),IF(AND(ISNUMBER('Council Entry'!AG$8),ISNUMBER('Council Entry'!AG$9)),MAX(MIN('Council Entry'!AG194,'Council Entry'!AG$9),'Council Entry'!AG$8),'Council Entry'!AG194))))-'Council Entry'!AG$5)/('Council Entry'!AG$6-'Council Entry'!AG$5),10*((IF('Council Entry'!AG$4="Logarithm",LN(0.001+IF(AND(ISNUMBER('Council Entry'!AG$8),ISNUMBER('Council Entry'!AG$9)),MAX(MIN('Council Entry'!AG194,'Council Entry'!AG$9),'Council Entry'!AG$8),'Council Entry'!AG194)),IF('Council Entry'!AG$4="Exponential",EXP(IF(AND(ISNUMBER('Council Entry'!AG$8),ISNUMBER('Council Entry'!AG$9)),MAX(MIN('Council Entry'!AG194,'Council Entry'!AG$9),'Council Entry'!AG$8),'Council Entry'!AG194)),IF(AND(ISNUMBER('Council Entry'!AG$8),ISNUMBER('Council Entry'!AG$9)),MAX(MIN('Council Entry'!AG194,'Council Entry'!AG$9),'Council Entry'!AG$8),'Council Entry'!AG194))))-'Council Entry'!AG$5)/('Council Entry'!AG$6-'Council Entry'!AG$5)),1))),"No data"))</f>
        <v/>
      </c>
      <c r="AH194" s="13">
        <f>IF('Council Entry'!AH194="","",IFERROR(MAX(0,MIN(10,ROUND(IF('Council Entry'!AH$7="Decrease Risk",10-10*((IF('Council Entry'!AH$4="Logarithm",LN(0.001+IF(AND(ISNUMBER('Council Entry'!AH$8),ISNUMBER('Council Entry'!AH$9)),MAX(MIN('Council Entry'!AH194,'Council Entry'!AH$9),'Council Entry'!AH$8),'Council Entry'!AH194)),IF('Council Entry'!AH$4="Exponential",EXP(IF(AND(ISNUMBER('Council Entry'!AH$8),ISNUMBER('Council Entry'!AH$9)),MAX(MIN('Council Entry'!AH194,'Council Entry'!AH$9),'Council Entry'!AH$8),'Council Entry'!AH194)),IF(AND(ISNUMBER('Council Entry'!AH$8),ISNUMBER('Council Entry'!AH$9)),MAX(MIN('Council Entry'!AH194,'Council Entry'!AH$9),'Council Entry'!AH$8),'Council Entry'!AH194))))-'Council Entry'!AH$5)/('Council Entry'!AH$6-'Council Entry'!AH$5),10*((IF('Council Entry'!AH$4="Logarithm",LN(0.001+IF(AND(ISNUMBER('Council Entry'!AH$8),ISNUMBER('Council Entry'!AH$9)),MAX(MIN('Council Entry'!AH194,'Council Entry'!AH$9),'Council Entry'!AH$8),'Council Entry'!AH194)),IF('Council Entry'!AH$4="Exponential",EXP(IF(AND(ISNUMBER('Council Entry'!AH$8),ISNUMBER('Council Entry'!AH$9)),MAX(MIN('Council Entry'!AH194,'Council Entry'!AH$9),'Council Entry'!AH$8),'Council Entry'!AH194)),IF(AND(ISNUMBER('Council Entry'!AH$8),ISNUMBER('Council Entry'!AH$9)),MAX(MIN('Council Entry'!AH194,'Council Entry'!AH$9),'Council Entry'!AH$8),'Council Entry'!AH194))))-'Council Entry'!AH$5)/('Council Entry'!AH$6-'Council Entry'!AH$5)),1))),"No data"))</f>
        <v/>
      </c>
      <c r="AI194" s="13">
        <f>IF('Council Entry'!AI194="","",IFERROR(MAX(0,MIN(10,ROUND(IF('Council Entry'!AI$7="Decrease Risk",10-10*((IF('Council Entry'!AI$4="Logarithm",LN(0.001+IF(AND(ISNUMBER('Council Entry'!AI$8),ISNUMBER('Council Entry'!AI$9)),MAX(MIN('Council Entry'!AI194,'Council Entry'!AI$9),'Council Entry'!AI$8),'Council Entry'!AI194)),IF('Council Entry'!AI$4="Exponential",EXP(IF(AND(ISNUMBER('Council Entry'!AI$8),ISNUMBER('Council Entry'!AI$9)),MAX(MIN('Council Entry'!AI194,'Council Entry'!AI$9),'Council Entry'!AI$8),'Council Entry'!AI194)),IF(AND(ISNUMBER('Council Entry'!AI$8),ISNUMBER('Council Entry'!AI$9)),MAX(MIN('Council Entry'!AI194,'Council Entry'!AI$9),'Council Entry'!AI$8),'Council Entry'!AI194))))-'Council Entry'!AI$5)/('Council Entry'!AI$6-'Council Entry'!AI$5),10*((IF('Council Entry'!AI$4="Logarithm",LN(0.001+IF(AND(ISNUMBER('Council Entry'!AI$8),ISNUMBER('Council Entry'!AI$9)),MAX(MIN('Council Entry'!AI194,'Council Entry'!AI$9),'Council Entry'!AI$8),'Council Entry'!AI194)),IF('Council Entry'!AI$4="Exponential",EXP(IF(AND(ISNUMBER('Council Entry'!AI$8),ISNUMBER('Council Entry'!AI$9)),MAX(MIN('Council Entry'!AI194,'Council Entry'!AI$9),'Council Entry'!AI$8),'Council Entry'!AI194)),IF(AND(ISNUMBER('Council Entry'!AI$8),ISNUMBER('Council Entry'!AI$9)),MAX(MIN('Council Entry'!AI194,'Council Entry'!AI$9),'Council Entry'!AI$8),'Council Entry'!AI194))))-'Council Entry'!AI$5)/('Council Entry'!AI$6-'Council Entry'!AI$5)),1))),"No data"))</f>
        <v/>
      </c>
      <c r="AJ194" s="13">
        <f>IF('Council Entry'!AJ194="","",IFERROR(MAX(0,MIN(10,ROUND(IF('Council Entry'!AJ$7="Decrease Risk",10-10*((IF('Council Entry'!AJ$4="Logarithm",LN(0.001+IF(AND(ISNUMBER('Council Entry'!AJ$8),ISNUMBER('Council Entry'!AJ$9)),MAX(MIN('Council Entry'!AJ194,'Council Entry'!AJ$9),'Council Entry'!AJ$8),'Council Entry'!AJ194)),IF('Council Entry'!AJ$4="Exponential",EXP(IF(AND(ISNUMBER('Council Entry'!AJ$8),ISNUMBER('Council Entry'!AJ$9)),MAX(MIN('Council Entry'!AJ194,'Council Entry'!AJ$9),'Council Entry'!AJ$8),'Council Entry'!AJ194)),IF(AND(ISNUMBER('Council Entry'!AJ$8),ISNUMBER('Council Entry'!AJ$9)),MAX(MIN('Council Entry'!AJ194,'Council Entry'!AJ$9),'Council Entry'!AJ$8),'Council Entry'!AJ194))))-'Council Entry'!AJ$5)/('Council Entry'!AJ$6-'Council Entry'!AJ$5),10*((IF('Council Entry'!AJ$4="Logarithm",LN(0.001+IF(AND(ISNUMBER('Council Entry'!AJ$8),ISNUMBER('Council Entry'!AJ$9)),MAX(MIN('Council Entry'!AJ194,'Council Entry'!AJ$9),'Council Entry'!AJ$8),'Council Entry'!AJ194)),IF('Council Entry'!AJ$4="Exponential",EXP(IF(AND(ISNUMBER('Council Entry'!AJ$8),ISNUMBER('Council Entry'!AJ$9)),MAX(MIN('Council Entry'!AJ194,'Council Entry'!AJ$9),'Council Entry'!AJ$8),'Council Entry'!AJ194)),IF(AND(ISNUMBER('Council Entry'!AJ$8),ISNUMBER('Council Entry'!AJ$9)),MAX(MIN('Council Entry'!AJ194,'Council Entry'!AJ$9),'Council Entry'!AJ$8),'Council Entry'!AJ194))))-'Council Entry'!AJ$5)/('Council Entry'!AJ$6-'Council Entry'!AJ$5)),1))),"No data"))</f>
        <v/>
      </c>
      <c r="AK194" s="13">
        <f>IF('Council Entry'!AK194="","",IFERROR(MAX(0,MIN(10,ROUND(IF('Council Entry'!AK$7="Decrease Risk",10-10*((IF('Council Entry'!AK$4="Logarithm",LN(0.001+IF(AND(ISNUMBER('Council Entry'!AK$8),ISNUMBER('Council Entry'!AK$9)),MAX(MIN('Council Entry'!AK194,'Council Entry'!AK$9),'Council Entry'!AK$8),'Council Entry'!AK194)),IF('Council Entry'!AK$4="Exponential",EXP(IF(AND(ISNUMBER('Council Entry'!AK$8),ISNUMBER('Council Entry'!AK$9)),MAX(MIN('Council Entry'!AK194,'Council Entry'!AK$9),'Council Entry'!AK$8),'Council Entry'!AK194)),IF(AND(ISNUMBER('Council Entry'!AK$8),ISNUMBER('Council Entry'!AK$9)),MAX(MIN('Council Entry'!AK194,'Council Entry'!AK$9),'Council Entry'!AK$8),'Council Entry'!AK194))))-'Council Entry'!AK$5)/('Council Entry'!AK$6-'Council Entry'!AK$5),10*((IF('Council Entry'!AK$4="Logarithm",LN(0.001+IF(AND(ISNUMBER('Council Entry'!AK$8),ISNUMBER('Council Entry'!AK$9)),MAX(MIN('Council Entry'!AK194,'Council Entry'!AK$9),'Council Entry'!AK$8),'Council Entry'!AK194)),IF('Council Entry'!AK$4="Exponential",EXP(IF(AND(ISNUMBER('Council Entry'!AK$8),ISNUMBER('Council Entry'!AK$9)),MAX(MIN('Council Entry'!AK194,'Council Entry'!AK$9),'Council Entry'!AK$8),'Council Entry'!AK194)),IF(AND(ISNUMBER('Council Entry'!AK$8),ISNUMBER('Council Entry'!AK$9)),MAX(MIN('Council Entry'!AK194,'Council Entry'!AK$9),'Council Entry'!AK$8),'Council Entry'!AK194))))-'Council Entry'!AK$5)/('Council Entry'!AK$6-'Council Entry'!AK$5)),1))),"No data"))</f>
        <v/>
      </c>
      <c r="AL194" s="13">
        <f>IF('Council Entry'!AL194="","",IFERROR(MAX(0,MIN(10,ROUND(IF('Council Entry'!AL$7="Decrease Risk",10-10*((IF('Council Entry'!AL$4="Logarithm",LN(0.001+IF(AND(ISNUMBER('Council Entry'!AL$8),ISNUMBER('Council Entry'!AL$9)),MAX(MIN('Council Entry'!AL194,'Council Entry'!AL$9),'Council Entry'!AL$8),'Council Entry'!AL194)),IF('Council Entry'!AL$4="Exponential",EXP(IF(AND(ISNUMBER('Council Entry'!AL$8),ISNUMBER('Council Entry'!AL$9)),MAX(MIN('Council Entry'!AL194,'Council Entry'!AL$9),'Council Entry'!AL$8),'Council Entry'!AL194)),IF(AND(ISNUMBER('Council Entry'!AL$8),ISNUMBER('Council Entry'!AL$9)),MAX(MIN('Council Entry'!AL194,'Council Entry'!AL$9),'Council Entry'!AL$8),'Council Entry'!AL194))))-'Council Entry'!AL$5)/('Council Entry'!AL$6-'Council Entry'!AL$5),10*((IF('Council Entry'!AL$4="Logarithm",LN(0.001+IF(AND(ISNUMBER('Council Entry'!AL$8),ISNUMBER('Council Entry'!AL$9)),MAX(MIN('Council Entry'!AL194,'Council Entry'!AL$9),'Council Entry'!AL$8),'Council Entry'!AL194)),IF('Council Entry'!AL$4="Exponential",EXP(IF(AND(ISNUMBER('Council Entry'!AL$8),ISNUMBER('Council Entry'!AL$9)),MAX(MIN('Council Entry'!AL194,'Council Entry'!AL$9),'Council Entry'!AL$8),'Council Entry'!AL194)),IF(AND(ISNUMBER('Council Entry'!AL$8),ISNUMBER('Council Entry'!AL$9)),MAX(MIN('Council Entry'!AL194,'Council Entry'!AL$9),'Council Entry'!AL$8),'Council Entry'!AL194))))-'Council Entry'!AL$5)/('Council Entry'!AL$6-'Council Entry'!AL$5)),1))),"No data"))</f>
        <v/>
      </c>
      <c r="AM194" s="13">
        <f>IF('Council Entry'!AM194="","",IFERROR(MAX(0,MIN(10,ROUND(IF('Council Entry'!AM$7="Decrease Risk",10-10*((IF('Council Entry'!AM$4="Logarithm",LN(0.001+IF(AND(ISNUMBER('Council Entry'!AM$8),ISNUMBER('Council Entry'!AM$9)),MAX(MIN('Council Entry'!AM194,'Council Entry'!AM$9),'Council Entry'!AM$8),'Council Entry'!AM194)),IF('Council Entry'!AM$4="Exponential",EXP(IF(AND(ISNUMBER('Council Entry'!AM$8),ISNUMBER('Council Entry'!AM$9)),MAX(MIN('Council Entry'!AM194,'Council Entry'!AM$9),'Council Entry'!AM$8),'Council Entry'!AM194)),IF(AND(ISNUMBER('Council Entry'!AM$8),ISNUMBER('Council Entry'!AM$9)),MAX(MIN('Council Entry'!AM194,'Council Entry'!AM$9),'Council Entry'!AM$8),'Council Entry'!AM194))))-'Council Entry'!AM$5)/('Council Entry'!AM$6-'Council Entry'!AM$5),10*((IF('Council Entry'!AM$4="Logarithm",LN(0.001+IF(AND(ISNUMBER('Council Entry'!AM$8),ISNUMBER('Council Entry'!AM$9)),MAX(MIN('Council Entry'!AM194,'Council Entry'!AM$9),'Council Entry'!AM$8),'Council Entry'!AM194)),IF('Council Entry'!AM$4="Exponential",EXP(IF(AND(ISNUMBER('Council Entry'!AM$8),ISNUMBER('Council Entry'!AM$9)),MAX(MIN('Council Entry'!AM194,'Council Entry'!AM$9),'Council Entry'!AM$8),'Council Entry'!AM194)),IF(AND(ISNUMBER('Council Entry'!AM$8),ISNUMBER('Council Entry'!AM$9)),MAX(MIN('Council Entry'!AM194,'Council Entry'!AM$9),'Council Entry'!AM$8),'Council Entry'!AM194))))-'Council Entry'!AM$5)/('Council Entry'!AM$6-'Council Entry'!AM$5)),1))),"No data"))</f>
        <v/>
      </c>
      <c r="AN194" s="13">
        <f>IF('Council Entry'!AN194="","",IFERROR(MAX(0,MIN(10,ROUND(IF('Council Entry'!AN$7="Decrease Risk",10-10*((IF('Council Entry'!AN$4="Logarithm",LN(0.001+IF(AND(ISNUMBER('Council Entry'!AN$8),ISNUMBER('Council Entry'!AN$9)),MAX(MIN('Council Entry'!AN194,'Council Entry'!AN$9),'Council Entry'!AN$8),'Council Entry'!AN194)),IF('Council Entry'!AN$4="Exponential",EXP(IF(AND(ISNUMBER('Council Entry'!AN$8),ISNUMBER('Council Entry'!AN$9)),MAX(MIN('Council Entry'!AN194,'Council Entry'!AN$9),'Council Entry'!AN$8),'Council Entry'!AN194)),IF(AND(ISNUMBER('Council Entry'!AN$8),ISNUMBER('Council Entry'!AN$9)),MAX(MIN('Council Entry'!AN194,'Council Entry'!AN$9),'Council Entry'!AN$8),'Council Entry'!AN194))))-'Council Entry'!AN$5)/('Council Entry'!AN$6-'Council Entry'!AN$5),10*((IF('Council Entry'!AN$4="Logarithm",LN(0.001+IF(AND(ISNUMBER('Council Entry'!AN$8),ISNUMBER('Council Entry'!AN$9)),MAX(MIN('Council Entry'!AN194,'Council Entry'!AN$9),'Council Entry'!AN$8),'Council Entry'!AN194)),IF('Council Entry'!AN$4="Exponential",EXP(IF(AND(ISNUMBER('Council Entry'!AN$8),ISNUMBER('Council Entry'!AN$9)),MAX(MIN('Council Entry'!AN194,'Council Entry'!AN$9),'Council Entry'!AN$8),'Council Entry'!AN194)),IF(AND(ISNUMBER('Council Entry'!AN$8),ISNUMBER('Council Entry'!AN$9)),MAX(MIN('Council Entry'!AN194,'Council Entry'!AN$9),'Council Entry'!AN$8),'Council Entry'!AN194))))-'Council Entry'!AN$5)/('Council Entry'!AN$6-'Council Entry'!AN$5)),1))),"No data"))</f>
        <v/>
      </c>
      <c r="AO194" s="13">
        <f>IF('Council Entry'!AO194="","",IFERROR(MAX(0,MIN(10,ROUND(IF('Council Entry'!AO$7="Decrease Risk",10-10*((IF('Council Entry'!AO$4="Logarithm",LN(0.001+IF(AND(ISNUMBER('Council Entry'!AO$8),ISNUMBER('Council Entry'!AO$9)),MAX(MIN('Council Entry'!AO194,'Council Entry'!AO$9),'Council Entry'!AO$8),'Council Entry'!AO194)),IF('Council Entry'!AO$4="Exponential",EXP(IF(AND(ISNUMBER('Council Entry'!AO$8),ISNUMBER('Council Entry'!AO$9)),MAX(MIN('Council Entry'!AO194,'Council Entry'!AO$9),'Council Entry'!AO$8),'Council Entry'!AO194)),IF(AND(ISNUMBER('Council Entry'!AO$8),ISNUMBER('Council Entry'!AO$9)),MAX(MIN('Council Entry'!AO194,'Council Entry'!AO$9),'Council Entry'!AO$8),'Council Entry'!AO194))))-'Council Entry'!AO$5)/('Council Entry'!AO$6-'Council Entry'!AO$5),10*((IF('Council Entry'!AO$4="Logarithm",LN(0.001+IF(AND(ISNUMBER('Council Entry'!AO$8),ISNUMBER('Council Entry'!AO$9)),MAX(MIN('Council Entry'!AO194,'Council Entry'!AO$9),'Council Entry'!AO$8),'Council Entry'!AO194)),IF('Council Entry'!AO$4="Exponential",EXP(IF(AND(ISNUMBER('Council Entry'!AO$8),ISNUMBER('Council Entry'!AO$9)),MAX(MIN('Council Entry'!AO194,'Council Entry'!AO$9),'Council Entry'!AO$8),'Council Entry'!AO194)),IF(AND(ISNUMBER('Council Entry'!AO$8),ISNUMBER('Council Entry'!AO$9)),MAX(MIN('Council Entry'!AO194,'Council Entry'!AO$9),'Council Entry'!AO$8),'Council Entry'!AO194))))-'Council Entry'!AO$5)/('Council Entry'!AO$6-'Council Entry'!AO$5)),1))),"No data"))</f>
        <v/>
      </c>
      <c r="AP194" s="13">
        <f>IF('Council Entry'!AP194="","",IFERROR(MAX(0,MIN(10,ROUND(IF('Council Entry'!AP$7="Decrease Risk",10-10*((IF('Council Entry'!AP$4="Logarithm",LN(0.001+IF(AND(ISNUMBER('Council Entry'!AP$8),ISNUMBER('Council Entry'!AP$9)),MAX(MIN('Council Entry'!AP194,'Council Entry'!AP$9),'Council Entry'!AP$8),'Council Entry'!AP194)),IF('Council Entry'!AP$4="Exponential",EXP(IF(AND(ISNUMBER('Council Entry'!AP$8),ISNUMBER('Council Entry'!AP$9)),MAX(MIN('Council Entry'!AP194,'Council Entry'!AP$9),'Council Entry'!AP$8),'Council Entry'!AP194)),IF(AND(ISNUMBER('Council Entry'!AP$8),ISNUMBER('Council Entry'!AP$9)),MAX(MIN('Council Entry'!AP194,'Council Entry'!AP$9),'Council Entry'!AP$8),'Council Entry'!AP194))))-'Council Entry'!AP$5)/('Council Entry'!AP$6-'Council Entry'!AP$5),10*((IF('Council Entry'!AP$4="Logarithm",LN(0.001+IF(AND(ISNUMBER('Council Entry'!AP$8),ISNUMBER('Council Entry'!AP$9)),MAX(MIN('Council Entry'!AP194,'Council Entry'!AP$9),'Council Entry'!AP$8),'Council Entry'!AP194)),IF('Council Entry'!AP$4="Exponential",EXP(IF(AND(ISNUMBER('Council Entry'!AP$8),ISNUMBER('Council Entry'!AP$9)),MAX(MIN('Council Entry'!AP194,'Council Entry'!AP$9),'Council Entry'!AP$8),'Council Entry'!AP194)),IF(AND(ISNUMBER('Council Entry'!AP$8),ISNUMBER('Council Entry'!AP$9)),MAX(MIN('Council Entry'!AP194,'Council Entry'!AP$9),'Council Entry'!AP$8),'Council Entry'!AP194))))-'Council Entry'!AP$5)/('Council Entry'!AP$6-'Council Entry'!AP$5)),1))),"No data"))</f>
        <v/>
      </c>
      <c r="AQ194" s="13">
        <f>IF('Council Entry'!AQ194="","",IFERROR(MAX(0,MIN(10,ROUND(IF('Council Entry'!AQ$7="Decrease Risk",10-10*((IF('Council Entry'!AQ$4="Logarithm",LN(0.001+IF(AND(ISNUMBER('Council Entry'!AQ$8),ISNUMBER('Council Entry'!AQ$9)),MAX(MIN('Council Entry'!AQ194,'Council Entry'!AQ$9),'Council Entry'!AQ$8),'Council Entry'!AQ194)),IF('Council Entry'!AQ$4="Exponential",EXP(IF(AND(ISNUMBER('Council Entry'!AQ$8),ISNUMBER('Council Entry'!AQ$9)),MAX(MIN('Council Entry'!AQ194,'Council Entry'!AQ$9),'Council Entry'!AQ$8),'Council Entry'!AQ194)),IF(AND(ISNUMBER('Council Entry'!AQ$8),ISNUMBER('Council Entry'!AQ$9)),MAX(MIN('Council Entry'!AQ194,'Council Entry'!AQ$9),'Council Entry'!AQ$8),'Council Entry'!AQ194))))-'Council Entry'!AQ$5)/('Council Entry'!AQ$6-'Council Entry'!AQ$5),10*((IF('Council Entry'!AQ$4="Logarithm",LN(0.001+IF(AND(ISNUMBER('Council Entry'!AQ$8),ISNUMBER('Council Entry'!AQ$9)),MAX(MIN('Council Entry'!AQ194,'Council Entry'!AQ$9),'Council Entry'!AQ$8),'Council Entry'!AQ194)),IF('Council Entry'!AQ$4="Exponential",EXP(IF(AND(ISNUMBER('Council Entry'!AQ$8),ISNUMBER('Council Entry'!AQ$9)),MAX(MIN('Council Entry'!AQ194,'Council Entry'!AQ$9),'Council Entry'!AQ$8),'Council Entry'!AQ194)),IF(AND(ISNUMBER('Council Entry'!AQ$8),ISNUMBER('Council Entry'!AQ$9)),MAX(MIN('Council Entry'!AQ194,'Council Entry'!AQ$9),'Council Entry'!AQ$8),'Council Entry'!AQ194))))-'Council Entry'!AQ$5)/('Council Entry'!AQ$6-'Council Entry'!AQ$5)),1))),"No data"))</f>
        <v/>
      </c>
      <c r="AR194" s="13">
        <f>IF('Council Entry'!AR194="","",IFERROR(MAX(0,MIN(10,ROUND(IF('Council Entry'!AR$7="Decrease Risk",10-10*((IF('Council Entry'!AR$4="Logarithm",LN(0.001+IF(AND(ISNUMBER('Council Entry'!AR$8),ISNUMBER('Council Entry'!AR$9)),MAX(MIN('Council Entry'!AR194,'Council Entry'!AR$9),'Council Entry'!AR$8),'Council Entry'!AR194)),IF('Council Entry'!AR$4="Exponential",EXP(IF(AND(ISNUMBER('Council Entry'!AR$8),ISNUMBER('Council Entry'!AR$9)),MAX(MIN('Council Entry'!AR194,'Council Entry'!AR$9),'Council Entry'!AR$8),'Council Entry'!AR194)),IF(AND(ISNUMBER('Council Entry'!AR$8),ISNUMBER('Council Entry'!AR$9)),MAX(MIN('Council Entry'!AR194,'Council Entry'!AR$9),'Council Entry'!AR$8),'Council Entry'!AR194))))-'Council Entry'!AR$5)/('Council Entry'!AR$6-'Council Entry'!AR$5),10*((IF('Council Entry'!AR$4="Logarithm",LN(0.001+IF(AND(ISNUMBER('Council Entry'!AR$8),ISNUMBER('Council Entry'!AR$9)),MAX(MIN('Council Entry'!AR194,'Council Entry'!AR$9),'Council Entry'!AR$8),'Council Entry'!AR194)),IF('Council Entry'!AR$4="Exponential",EXP(IF(AND(ISNUMBER('Council Entry'!AR$8),ISNUMBER('Council Entry'!AR$9)),MAX(MIN('Council Entry'!AR194,'Council Entry'!AR$9),'Council Entry'!AR$8),'Council Entry'!AR194)),IF(AND(ISNUMBER('Council Entry'!AR$8),ISNUMBER('Council Entry'!AR$9)),MAX(MIN('Council Entry'!AR194,'Council Entry'!AR$9),'Council Entry'!AR$8),'Council Entry'!AR194))))-'Council Entry'!AR$5)/('Council Entry'!AR$6-'Council Entry'!AR$5)),1))),"No data"))</f>
        <v/>
      </c>
      <c r="AS194" s="13">
        <f>IF('Council Entry'!AS194="","",IFERROR(MAX(0,MIN(10,ROUND(IF('Council Entry'!AS$7="Decrease Risk",10-10*((IF('Council Entry'!AS$4="Logarithm",LN(0.001+IF(AND(ISNUMBER('Council Entry'!AS$8),ISNUMBER('Council Entry'!AS$9)),MAX(MIN('Council Entry'!AS194,'Council Entry'!AS$9),'Council Entry'!AS$8),'Council Entry'!AS194)),IF('Council Entry'!AS$4="Exponential",EXP(IF(AND(ISNUMBER('Council Entry'!AS$8),ISNUMBER('Council Entry'!AS$9)),MAX(MIN('Council Entry'!AS194,'Council Entry'!AS$9),'Council Entry'!AS$8),'Council Entry'!AS194)),IF(AND(ISNUMBER('Council Entry'!AS$8),ISNUMBER('Council Entry'!AS$9)),MAX(MIN('Council Entry'!AS194,'Council Entry'!AS$9),'Council Entry'!AS$8),'Council Entry'!AS194))))-'Council Entry'!AS$5)/('Council Entry'!AS$6-'Council Entry'!AS$5),10*((IF('Council Entry'!AS$4="Logarithm",LN(0.001+IF(AND(ISNUMBER('Council Entry'!AS$8),ISNUMBER('Council Entry'!AS$9)),MAX(MIN('Council Entry'!AS194,'Council Entry'!AS$9),'Council Entry'!AS$8),'Council Entry'!AS194)),IF('Council Entry'!AS$4="Exponential",EXP(IF(AND(ISNUMBER('Council Entry'!AS$8),ISNUMBER('Council Entry'!AS$9)),MAX(MIN('Council Entry'!AS194,'Council Entry'!AS$9),'Council Entry'!AS$8),'Council Entry'!AS194)),IF(AND(ISNUMBER('Council Entry'!AS$8),ISNUMBER('Council Entry'!AS$9)),MAX(MIN('Council Entry'!AS194,'Council Entry'!AS$9),'Council Entry'!AS$8),'Council Entry'!AS194))))-'Council Entry'!AS$5)/('Council Entry'!AS$6-'Council Entry'!AS$5)),1))),"No data"))</f>
        <v/>
      </c>
      <c r="AT194" s="13">
        <f>IF('Council Entry'!AT194="","",IFERROR(MAX(0,MIN(10,ROUND(IF('Council Entry'!AT$7="Decrease Risk",10-10*((IF('Council Entry'!AT$4="Logarithm",LN(0.001+IF(AND(ISNUMBER('Council Entry'!AT$8),ISNUMBER('Council Entry'!AT$9)),MAX(MIN('Council Entry'!AT194,'Council Entry'!AT$9),'Council Entry'!AT$8),'Council Entry'!AT194)),IF('Council Entry'!AT$4="Exponential",EXP(IF(AND(ISNUMBER('Council Entry'!AT$8),ISNUMBER('Council Entry'!AT$9)),MAX(MIN('Council Entry'!AT194,'Council Entry'!AT$9),'Council Entry'!AT$8),'Council Entry'!AT194)),IF(AND(ISNUMBER('Council Entry'!AT$8),ISNUMBER('Council Entry'!AT$9)),MAX(MIN('Council Entry'!AT194,'Council Entry'!AT$9),'Council Entry'!AT$8),'Council Entry'!AT194))))-'Council Entry'!AT$5)/('Council Entry'!AT$6-'Council Entry'!AT$5),10*((IF('Council Entry'!AT$4="Logarithm",LN(0.001+IF(AND(ISNUMBER('Council Entry'!AT$8),ISNUMBER('Council Entry'!AT$9)),MAX(MIN('Council Entry'!AT194,'Council Entry'!AT$9),'Council Entry'!AT$8),'Council Entry'!AT194)),IF('Council Entry'!AT$4="Exponential",EXP(IF(AND(ISNUMBER('Council Entry'!AT$8),ISNUMBER('Council Entry'!AT$9)),MAX(MIN('Council Entry'!AT194,'Council Entry'!AT$9),'Council Entry'!AT$8),'Council Entry'!AT194)),IF(AND(ISNUMBER('Council Entry'!AT$8),ISNUMBER('Council Entry'!AT$9)),MAX(MIN('Council Entry'!AT194,'Council Entry'!AT$9),'Council Entry'!AT$8),'Council Entry'!AT194))))-'Council Entry'!AT$5)/('Council Entry'!AT$6-'Council Entry'!AT$5)),1))),"No data"))</f>
        <v/>
      </c>
      <c r="AU194" s="13">
        <f>IF('Council Entry'!AU194="","",IFERROR(MAX(0,MIN(10,ROUND(IF('Council Entry'!AU$7="Decrease Risk",10-10*((IF('Council Entry'!AU$4="Logarithm",LN(0.001+IF(AND(ISNUMBER('Council Entry'!AU$8),ISNUMBER('Council Entry'!AU$9)),MAX(MIN('Council Entry'!AU194,'Council Entry'!AU$9),'Council Entry'!AU$8),'Council Entry'!AU194)),IF('Council Entry'!AU$4="Exponential",EXP(IF(AND(ISNUMBER('Council Entry'!AU$8),ISNUMBER('Council Entry'!AU$9)),MAX(MIN('Council Entry'!AU194,'Council Entry'!AU$9),'Council Entry'!AU$8),'Council Entry'!AU194)),IF(AND(ISNUMBER('Council Entry'!AU$8),ISNUMBER('Council Entry'!AU$9)),MAX(MIN('Council Entry'!AU194,'Council Entry'!AU$9),'Council Entry'!AU$8),'Council Entry'!AU194))))-'Council Entry'!AU$5)/('Council Entry'!AU$6-'Council Entry'!AU$5),10*((IF('Council Entry'!AU$4="Logarithm",LN(0.001+IF(AND(ISNUMBER('Council Entry'!AU$8),ISNUMBER('Council Entry'!AU$9)),MAX(MIN('Council Entry'!AU194,'Council Entry'!AU$9),'Council Entry'!AU$8),'Council Entry'!AU194)),IF('Council Entry'!AU$4="Exponential",EXP(IF(AND(ISNUMBER('Council Entry'!AU$8),ISNUMBER('Council Entry'!AU$9)),MAX(MIN('Council Entry'!AU194,'Council Entry'!AU$9),'Council Entry'!AU$8),'Council Entry'!AU194)),IF(AND(ISNUMBER('Council Entry'!AU$8),ISNUMBER('Council Entry'!AU$9)),MAX(MIN('Council Entry'!AU194,'Council Entry'!AU$9),'Council Entry'!AU$8),'Council Entry'!AU194))))-'Council Entry'!AU$5)/('Council Entry'!AU$6-'Council Entry'!AU$5)),1))),"No data"))</f>
        <v/>
      </c>
      <c r="AV194" s="13">
        <f>IF('Council Entry'!AV194="","",IFERROR(MAX(0,MIN(10,ROUND(IF('Council Entry'!AV$7="Decrease Risk",10-10*((IF('Council Entry'!AV$4="Logarithm",LN(0.001+IF(AND(ISNUMBER('Council Entry'!AV$8),ISNUMBER('Council Entry'!AV$9)),MAX(MIN('Council Entry'!AV194,'Council Entry'!AV$9),'Council Entry'!AV$8),'Council Entry'!AV194)),IF('Council Entry'!AV$4="Exponential",EXP(IF(AND(ISNUMBER('Council Entry'!AV$8),ISNUMBER('Council Entry'!AV$9)),MAX(MIN('Council Entry'!AV194,'Council Entry'!AV$9),'Council Entry'!AV$8),'Council Entry'!AV194)),IF(AND(ISNUMBER('Council Entry'!AV$8),ISNUMBER('Council Entry'!AV$9)),MAX(MIN('Council Entry'!AV194,'Council Entry'!AV$9),'Council Entry'!AV$8),'Council Entry'!AV194))))-'Council Entry'!AV$5)/('Council Entry'!AV$6-'Council Entry'!AV$5),10*((IF('Council Entry'!AV$4="Logarithm",LN(0.001+IF(AND(ISNUMBER('Council Entry'!AV$8),ISNUMBER('Council Entry'!AV$9)),MAX(MIN('Council Entry'!AV194,'Council Entry'!AV$9),'Council Entry'!AV$8),'Council Entry'!AV194)),IF('Council Entry'!AV$4="Exponential",EXP(IF(AND(ISNUMBER('Council Entry'!AV$8),ISNUMBER('Council Entry'!AV$9)),MAX(MIN('Council Entry'!AV194,'Council Entry'!AV$9),'Council Entry'!AV$8),'Council Entry'!AV194)),IF(AND(ISNUMBER('Council Entry'!AV$8),ISNUMBER('Council Entry'!AV$9)),MAX(MIN('Council Entry'!AV194,'Council Entry'!AV$9),'Council Entry'!AV$8),'Council Entry'!AV194))))-'Council Entry'!AV$5)/('Council Entry'!AV$6-'Council Entry'!AV$5)),1))),"No data"))</f>
        <v/>
      </c>
      <c r="AW194" s="13">
        <f>IF('Council Entry'!AW194="","",IFERROR(MAX(0,MIN(10,ROUND(IF('Council Entry'!AW$7="Decrease Risk",10-10*((IF('Council Entry'!AW$4="Logarithm",LN(0.001+IF(AND(ISNUMBER('Council Entry'!AW$8),ISNUMBER('Council Entry'!AW$9)),MAX(MIN('Council Entry'!AW194,'Council Entry'!AW$9),'Council Entry'!AW$8),'Council Entry'!AW194)),IF('Council Entry'!AW$4="Exponential",EXP(IF(AND(ISNUMBER('Council Entry'!AW$8),ISNUMBER('Council Entry'!AW$9)),MAX(MIN('Council Entry'!AW194,'Council Entry'!AW$9),'Council Entry'!AW$8),'Council Entry'!AW194)),IF(AND(ISNUMBER('Council Entry'!AW$8),ISNUMBER('Council Entry'!AW$9)),MAX(MIN('Council Entry'!AW194,'Council Entry'!AW$9),'Council Entry'!AW$8),'Council Entry'!AW194))))-'Council Entry'!AW$5)/('Council Entry'!AW$6-'Council Entry'!AW$5),10*((IF('Council Entry'!AW$4="Logarithm",LN(0.001+IF(AND(ISNUMBER('Council Entry'!AW$8),ISNUMBER('Council Entry'!AW$9)),MAX(MIN('Council Entry'!AW194,'Council Entry'!AW$9),'Council Entry'!AW$8),'Council Entry'!AW194)),IF('Council Entry'!AW$4="Exponential",EXP(IF(AND(ISNUMBER('Council Entry'!AW$8),ISNUMBER('Council Entry'!AW$9)),MAX(MIN('Council Entry'!AW194,'Council Entry'!AW$9),'Council Entry'!AW$8),'Council Entry'!AW194)),IF(AND(ISNUMBER('Council Entry'!AW$8),ISNUMBER('Council Entry'!AW$9)),MAX(MIN('Council Entry'!AW194,'Council Entry'!AW$9),'Council Entry'!AW$8),'Council Entry'!AW194))))-'Council Entry'!AW$5)/('Council Entry'!AW$6-'Council Entry'!AW$5)),1))),"No data"))</f>
        <v/>
      </c>
      <c r="AX194" s="13">
        <f>IF('Council Entry'!AX194="","",IFERROR(MAX(0,MIN(10,ROUND(IF('Council Entry'!AX$7="Decrease Risk",10-10*((IF('Council Entry'!AX$4="Logarithm",LN(0.001+IF(AND(ISNUMBER('Council Entry'!AX$8),ISNUMBER('Council Entry'!AX$9)),MAX(MIN('Council Entry'!AX194,'Council Entry'!AX$9),'Council Entry'!AX$8),'Council Entry'!AX194)),IF('Council Entry'!AX$4="Exponential",EXP(IF(AND(ISNUMBER('Council Entry'!AX$8),ISNUMBER('Council Entry'!AX$9)),MAX(MIN('Council Entry'!AX194,'Council Entry'!AX$9),'Council Entry'!AX$8),'Council Entry'!AX194)),IF(AND(ISNUMBER('Council Entry'!AX$8),ISNUMBER('Council Entry'!AX$9)),MAX(MIN('Council Entry'!AX194,'Council Entry'!AX$9),'Council Entry'!AX$8),'Council Entry'!AX194))))-'Council Entry'!AX$5)/('Council Entry'!AX$6-'Council Entry'!AX$5),10*((IF('Council Entry'!AX$4="Logarithm",LN(0.001+IF(AND(ISNUMBER('Council Entry'!AX$8),ISNUMBER('Council Entry'!AX$9)),MAX(MIN('Council Entry'!AX194,'Council Entry'!AX$9),'Council Entry'!AX$8),'Council Entry'!AX194)),IF('Council Entry'!AX$4="Exponential",EXP(IF(AND(ISNUMBER('Council Entry'!AX$8),ISNUMBER('Council Entry'!AX$9)),MAX(MIN('Council Entry'!AX194,'Council Entry'!AX$9),'Council Entry'!AX$8),'Council Entry'!AX194)),IF(AND(ISNUMBER('Council Entry'!AX$8),ISNUMBER('Council Entry'!AX$9)),MAX(MIN('Council Entry'!AX194,'Council Entry'!AX$9),'Council Entry'!AX$8),'Council Entry'!AX194))))-'Council Entry'!AX$5)/('Council Entry'!AX$6-'Council Entry'!AX$5)),1))),"No data"))</f>
        <v/>
      </c>
      <c r="AY194" s="13">
        <f>IF('Council Entry'!AY194="","",IFERROR(MAX(0,MIN(10,ROUND(IF('Council Entry'!AY$7="Decrease Risk",10-10*((IF('Council Entry'!AY$4="Logarithm",LN(0.001+IF(AND(ISNUMBER('Council Entry'!AY$8),ISNUMBER('Council Entry'!AY$9)),MAX(MIN('Council Entry'!AY194,'Council Entry'!AY$9),'Council Entry'!AY$8),'Council Entry'!AY194)),IF('Council Entry'!AY$4="Exponential",EXP(IF(AND(ISNUMBER('Council Entry'!AY$8),ISNUMBER('Council Entry'!AY$9)),MAX(MIN('Council Entry'!AY194,'Council Entry'!AY$9),'Council Entry'!AY$8),'Council Entry'!AY194)),IF(AND(ISNUMBER('Council Entry'!AY$8),ISNUMBER('Council Entry'!AY$9)),MAX(MIN('Council Entry'!AY194,'Council Entry'!AY$9),'Council Entry'!AY$8),'Council Entry'!AY194))))-'Council Entry'!AY$5)/('Council Entry'!AY$6-'Council Entry'!AY$5),10*((IF('Council Entry'!AY$4="Logarithm",LN(0.001+IF(AND(ISNUMBER('Council Entry'!AY$8),ISNUMBER('Council Entry'!AY$9)),MAX(MIN('Council Entry'!AY194,'Council Entry'!AY$9),'Council Entry'!AY$8),'Council Entry'!AY194)),IF('Council Entry'!AY$4="Exponential",EXP(IF(AND(ISNUMBER('Council Entry'!AY$8),ISNUMBER('Council Entry'!AY$9)),MAX(MIN('Council Entry'!AY194,'Council Entry'!AY$9),'Council Entry'!AY$8),'Council Entry'!AY194)),IF(AND(ISNUMBER('Council Entry'!AY$8),ISNUMBER('Council Entry'!AY$9)),MAX(MIN('Council Entry'!AY194,'Council Entry'!AY$9),'Council Entry'!AY$8),'Council Entry'!AY194))))-'Council Entry'!AY$5)/('Council Entry'!AY$6-'Council Entry'!AY$5)),1))),"No data"))</f>
        <v/>
      </c>
      <c r="AZ194" s="13">
        <f>IF('Council Entry'!AZ194="","",IFERROR(MAX(0,MIN(10,ROUND(IF('Council Entry'!AZ$7="Decrease Risk",10-10*((IF('Council Entry'!AZ$4="Logarithm",LN(0.001+IF(AND(ISNUMBER('Council Entry'!AZ$8),ISNUMBER('Council Entry'!AZ$9)),MAX(MIN('Council Entry'!AZ194,'Council Entry'!AZ$9),'Council Entry'!AZ$8),'Council Entry'!AZ194)),IF('Council Entry'!AZ$4="Exponential",EXP(IF(AND(ISNUMBER('Council Entry'!AZ$8),ISNUMBER('Council Entry'!AZ$9)),MAX(MIN('Council Entry'!AZ194,'Council Entry'!AZ$9),'Council Entry'!AZ$8),'Council Entry'!AZ194)),IF(AND(ISNUMBER('Council Entry'!AZ$8),ISNUMBER('Council Entry'!AZ$9)),MAX(MIN('Council Entry'!AZ194,'Council Entry'!AZ$9),'Council Entry'!AZ$8),'Council Entry'!AZ194))))-'Council Entry'!AZ$5)/('Council Entry'!AZ$6-'Council Entry'!AZ$5),10*((IF('Council Entry'!AZ$4="Logarithm",LN(0.001+IF(AND(ISNUMBER('Council Entry'!AZ$8),ISNUMBER('Council Entry'!AZ$9)),MAX(MIN('Council Entry'!AZ194,'Council Entry'!AZ$9),'Council Entry'!AZ$8),'Council Entry'!AZ194)),IF('Council Entry'!AZ$4="Exponential",EXP(IF(AND(ISNUMBER('Council Entry'!AZ$8),ISNUMBER('Council Entry'!AZ$9)),MAX(MIN('Council Entry'!AZ194,'Council Entry'!AZ$9),'Council Entry'!AZ$8),'Council Entry'!AZ194)),IF(AND(ISNUMBER('Council Entry'!AZ$8),ISNUMBER('Council Entry'!AZ$9)),MAX(MIN('Council Entry'!AZ194,'Council Entry'!AZ$9),'Council Entry'!AZ$8),'Council Entry'!AZ194))))-'Council Entry'!AZ$5)/('Council Entry'!AZ$6-'Council Entry'!AZ$5)),1))),"No data"))</f>
        <v/>
      </c>
      <c r="BA194" s="13">
        <f>IF('Council Entry'!BA194="","",IFERROR(MAX(0,MIN(10,ROUND(IF('Council Entry'!BA$7="Decrease Risk",10-10*((IF('Council Entry'!BA$4="Logarithm",LN(0.001+IF(AND(ISNUMBER('Council Entry'!BA$8),ISNUMBER('Council Entry'!BA$9)),MAX(MIN('Council Entry'!BA194,'Council Entry'!BA$9),'Council Entry'!BA$8),'Council Entry'!BA194)),IF('Council Entry'!BA$4="Exponential",EXP(IF(AND(ISNUMBER('Council Entry'!BA$8),ISNUMBER('Council Entry'!BA$9)),MAX(MIN('Council Entry'!BA194,'Council Entry'!BA$9),'Council Entry'!BA$8),'Council Entry'!BA194)),IF(AND(ISNUMBER('Council Entry'!BA$8),ISNUMBER('Council Entry'!BA$9)),MAX(MIN('Council Entry'!BA194,'Council Entry'!BA$9),'Council Entry'!BA$8),'Council Entry'!BA194))))-'Council Entry'!BA$5)/('Council Entry'!BA$6-'Council Entry'!BA$5),10*((IF('Council Entry'!BA$4="Logarithm",LN(0.001+IF(AND(ISNUMBER('Council Entry'!BA$8),ISNUMBER('Council Entry'!BA$9)),MAX(MIN('Council Entry'!BA194,'Council Entry'!BA$9),'Council Entry'!BA$8),'Council Entry'!BA194)),IF('Council Entry'!BA$4="Exponential",EXP(IF(AND(ISNUMBER('Council Entry'!BA$8),ISNUMBER('Council Entry'!BA$9)),MAX(MIN('Council Entry'!BA194,'Council Entry'!BA$9),'Council Entry'!BA$8),'Council Entry'!BA194)),IF(AND(ISNUMBER('Council Entry'!BA$8),ISNUMBER('Council Entry'!BA$9)),MAX(MIN('Council Entry'!BA194,'Council Entry'!BA$9),'Council Entry'!BA$8),'Council Entry'!BA194))))-'Council Entry'!BA$5)/('Council Entry'!BA$6-'Council Entry'!BA$5)),1))),"No data"))</f>
        <v/>
      </c>
      <c r="BB194" s="13">
        <f>IF('Council Entry'!BB194="","",IFERROR(MAX(0,MIN(10,ROUND(IF('Council Entry'!BB$7="Decrease Risk",10-10*((IF('Council Entry'!BB$4="Logarithm",LN(0.001+IF(AND(ISNUMBER('Council Entry'!BB$8),ISNUMBER('Council Entry'!BB$9)),MAX(MIN('Council Entry'!BB194,'Council Entry'!BB$9),'Council Entry'!BB$8),'Council Entry'!BB194)),IF('Council Entry'!BB$4="Exponential",EXP(IF(AND(ISNUMBER('Council Entry'!BB$8),ISNUMBER('Council Entry'!BB$9)),MAX(MIN('Council Entry'!BB194,'Council Entry'!BB$9),'Council Entry'!BB$8),'Council Entry'!BB194)),IF(AND(ISNUMBER('Council Entry'!BB$8),ISNUMBER('Council Entry'!BB$9)),MAX(MIN('Council Entry'!BB194,'Council Entry'!BB$9),'Council Entry'!BB$8),'Council Entry'!BB194))))-'Council Entry'!BB$5)/('Council Entry'!BB$6-'Council Entry'!BB$5),10*((IF('Council Entry'!BB$4="Logarithm",LN(0.001+IF(AND(ISNUMBER('Council Entry'!BB$8),ISNUMBER('Council Entry'!BB$9)),MAX(MIN('Council Entry'!BB194,'Council Entry'!BB$9),'Council Entry'!BB$8),'Council Entry'!BB194)),IF('Council Entry'!BB$4="Exponential",EXP(IF(AND(ISNUMBER('Council Entry'!BB$8),ISNUMBER('Council Entry'!BB$9)),MAX(MIN('Council Entry'!BB194,'Council Entry'!BB$9),'Council Entry'!BB$8),'Council Entry'!BB194)),IF(AND(ISNUMBER('Council Entry'!BB$8),ISNUMBER('Council Entry'!BB$9)),MAX(MIN('Council Entry'!BB194,'Council Entry'!BB$9),'Council Entry'!BB$8),'Council Entry'!BB194))))-'Council Entry'!BB$5)/('Council Entry'!BB$6-'Council Entry'!BB$5)),1))),"No data"))</f>
        <v/>
      </c>
      <c r="BC194" s="13">
        <f>IF('Council Entry'!BC194="","",IFERROR(MAX(0,MIN(10,ROUND(IF('Council Entry'!BC$7="Decrease Risk",10-10*((IF('Council Entry'!BC$4="Logarithm",LN(0.001+IF(AND(ISNUMBER('Council Entry'!BC$8),ISNUMBER('Council Entry'!BC$9)),MAX(MIN('Council Entry'!BC194,'Council Entry'!BC$9),'Council Entry'!BC$8),'Council Entry'!BC194)),IF('Council Entry'!BC$4="Exponential",EXP(IF(AND(ISNUMBER('Council Entry'!BC$8),ISNUMBER('Council Entry'!BC$9)),MAX(MIN('Council Entry'!BC194,'Council Entry'!BC$9),'Council Entry'!BC$8),'Council Entry'!BC194)),IF(AND(ISNUMBER('Council Entry'!BC$8),ISNUMBER('Council Entry'!BC$9)),MAX(MIN('Council Entry'!BC194,'Council Entry'!BC$9),'Council Entry'!BC$8),'Council Entry'!BC194))))-'Council Entry'!BC$5)/('Council Entry'!BC$6-'Council Entry'!BC$5),10*((IF('Council Entry'!BC$4="Logarithm",LN(0.001+IF(AND(ISNUMBER('Council Entry'!BC$8),ISNUMBER('Council Entry'!BC$9)),MAX(MIN('Council Entry'!BC194,'Council Entry'!BC$9),'Council Entry'!BC$8),'Council Entry'!BC194)),IF('Council Entry'!BC$4="Exponential",EXP(IF(AND(ISNUMBER('Council Entry'!BC$8),ISNUMBER('Council Entry'!BC$9)),MAX(MIN('Council Entry'!BC194,'Council Entry'!BC$9),'Council Entry'!BC$8),'Council Entry'!BC194)),IF(AND(ISNUMBER('Council Entry'!BC$8),ISNUMBER('Council Entry'!BC$9)),MAX(MIN('Council Entry'!BC194,'Council Entry'!BC$9),'Council Entry'!BC$8),'Council Entry'!BC194))))-'Council Entry'!BC$5)/('Council Entry'!BC$6-'Council Entry'!BC$5)),1))),"No data"))</f>
        <v/>
      </c>
      <c r="BD194" s="13">
        <f>IF('Council Entry'!BD194="","",IFERROR(MAX(0,MIN(10,ROUND(IF('Council Entry'!BD$7="Decrease Risk",10-10*((IF('Council Entry'!BD$4="Logarithm",LN(0.001+IF(AND(ISNUMBER('Council Entry'!BD$8),ISNUMBER('Council Entry'!BD$9)),MAX(MIN('Council Entry'!BD194,'Council Entry'!BD$9),'Council Entry'!BD$8),'Council Entry'!BD194)),IF('Council Entry'!BD$4="Exponential",EXP(IF(AND(ISNUMBER('Council Entry'!BD$8),ISNUMBER('Council Entry'!BD$9)),MAX(MIN('Council Entry'!BD194,'Council Entry'!BD$9),'Council Entry'!BD$8),'Council Entry'!BD194)),IF(AND(ISNUMBER('Council Entry'!BD$8),ISNUMBER('Council Entry'!BD$9)),MAX(MIN('Council Entry'!BD194,'Council Entry'!BD$9),'Council Entry'!BD$8),'Council Entry'!BD194))))-'Council Entry'!BD$5)/('Council Entry'!BD$6-'Council Entry'!BD$5),10*((IF('Council Entry'!BD$4="Logarithm",LN(0.001+IF(AND(ISNUMBER('Council Entry'!BD$8),ISNUMBER('Council Entry'!BD$9)),MAX(MIN('Council Entry'!BD194,'Council Entry'!BD$9),'Council Entry'!BD$8),'Council Entry'!BD194)),IF('Council Entry'!BD$4="Exponential",EXP(IF(AND(ISNUMBER('Council Entry'!BD$8),ISNUMBER('Council Entry'!BD$9)),MAX(MIN('Council Entry'!BD194,'Council Entry'!BD$9),'Council Entry'!BD$8),'Council Entry'!BD194)),IF(AND(ISNUMBER('Council Entry'!BD$8),ISNUMBER('Council Entry'!BD$9)),MAX(MIN('Council Entry'!BD194,'Council Entry'!BD$9),'Council Entry'!BD$8),'Council Entry'!BD194))))-'Council Entry'!BD$5)/('Council Entry'!BD$6-'Council Entry'!BD$5)),1))),"No data"))</f>
        <v/>
      </c>
    </row>
    <row r="195">
      <c r="A195" t="inlineStr">
        <is>
          <t>Tanga</t>
        </is>
      </c>
      <c r="B195" t="inlineStr">
        <is>
          <t>Bumbuli District</t>
        </is>
      </c>
      <c r="C195" t="inlineStr">
        <is>
          <t>C024</t>
        </is>
      </c>
      <c r="D195" s="13">
        <f>IF('Council Entry'!D195="","",IFERROR(MAX(0,MIN(10,ROUND(IF('Council Entry'!D$7="Decrease Risk",10-10*((IF('Council Entry'!D$4="Logarithm",LN(0.001+IF(AND(ISNUMBER('Council Entry'!D$8),ISNUMBER('Council Entry'!D$9)),MAX(MIN('Council Entry'!D195,'Council Entry'!D$9),'Council Entry'!D$8),'Council Entry'!D195)),IF('Council Entry'!D$4="Exponential",EXP(IF(AND(ISNUMBER('Council Entry'!D$8),ISNUMBER('Council Entry'!D$9)),MAX(MIN('Council Entry'!D195,'Council Entry'!D$9),'Council Entry'!D$8),'Council Entry'!D195)),IF(AND(ISNUMBER('Council Entry'!D$8),ISNUMBER('Council Entry'!D$9)),MAX(MIN('Council Entry'!D195,'Council Entry'!D$9),'Council Entry'!D$8),'Council Entry'!D195))))-'Council Entry'!D$5)/('Council Entry'!D$6-'Council Entry'!D$5),10*((IF('Council Entry'!D$4="Logarithm",LN(0.001+IF(AND(ISNUMBER('Council Entry'!D$8),ISNUMBER('Council Entry'!D$9)),MAX(MIN('Council Entry'!D195,'Council Entry'!D$9),'Council Entry'!D$8),'Council Entry'!D195)),IF('Council Entry'!D$4="Exponential",EXP(IF(AND(ISNUMBER('Council Entry'!D$8),ISNUMBER('Council Entry'!D$9)),MAX(MIN('Council Entry'!D195,'Council Entry'!D$9),'Council Entry'!D$8),'Council Entry'!D195)),IF(AND(ISNUMBER('Council Entry'!D$8),ISNUMBER('Council Entry'!D$9)),MAX(MIN('Council Entry'!D195,'Council Entry'!D$9),'Council Entry'!D$8),'Council Entry'!D195))))-'Council Entry'!D$5)/('Council Entry'!D$6-'Council Entry'!D$5)),1))),"No data"))</f>
        <v/>
      </c>
      <c r="E195" s="13">
        <f>IF('Council Entry'!E195="","",IFERROR(MAX(0,MIN(10,ROUND(IF('Council Entry'!E$7="Decrease Risk",10-10*((IF('Council Entry'!E$4="Logarithm",LN(0.001+IF(AND(ISNUMBER('Council Entry'!E$8),ISNUMBER('Council Entry'!E$9)),MAX(MIN('Council Entry'!E195,'Council Entry'!E$9),'Council Entry'!E$8),'Council Entry'!E195)),IF('Council Entry'!E$4="Exponential",EXP(IF(AND(ISNUMBER('Council Entry'!E$8),ISNUMBER('Council Entry'!E$9)),MAX(MIN('Council Entry'!E195,'Council Entry'!E$9),'Council Entry'!E$8),'Council Entry'!E195)),IF(AND(ISNUMBER('Council Entry'!E$8),ISNUMBER('Council Entry'!E$9)),MAX(MIN('Council Entry'!E195,'Council Entry'!E$9),'Council Entry'!E$8),'Council Entry'!E195))))-'Council Entry'!E$5)/('Council Entry'!E$6-'Council Entry'!E$5),10*((IF('Council Entry'!E$4="Logarithm",LN(0.001+IF(AND(ISNUMBER('Council Entry'!E$8),ISNUMBER('Council Entry'!E$9)),MAX(MIN('Council Entry'!E195,'Council Entry'!E$9),'Council Entry'!E$8),'Council Entry'!E195)),IF('Council Entry'!E$4="Exponential",EXP(IF(AND(ISNUMBER('Council Entry'!E$8),ISNUMBER('Council Entry'!E$9)),MAX(MIN('Council Entry'!E195,'Council Entry'!E$9),'Council Entry'!E$8),'Council Entry'!E195)),IF(AND(ISNUMBER('Council Entry'!E$8),ISNUMBER('Council Entry'!E$9)),MAX(MIN('Council Entry'!E195,'Council Entry'!E$9),'Council Entry'!E$8),'Council Entry'!E195))))-'Council Entry'!E$5)/('Council Entry'!E$6-'Council Entry'!E$5)),1))),"No data"))</f>
        <v/>
      </c>
      <c r="F195" s="13">
        <f>IF('Council Entry'!F195="","",IFERROR(MAX(0,MIN(10,ROUND(IF('Council Entry'!F$7="Decrease Risk",10-10*((IF('Council Entry'!F$4="Logarithm",LN(0.001+IF(AND(ISNUMBER('Council Entry'!F$8),ISNUMBER('Council Entry'!F$9)),MAX(MIN('Council Entry'!F195,'Council Entry'!F$9),'Council Entry'!F$8),'Council Entry'!F195)),IF('Council Entry'!F$4="Exponential",EXP(IF(AND(ISNUMBER('Council Entry'!F$8),ISNUMBER('Council Entry'!F$9)),MAX(MIN('Council Entry'!F195,'Council Entry'!F$9),'Council Entry'!F$8),'Council Entry'!F195)),IF(AND(ISNUMBER('Council Entry'!F$8),ISNUMBER('Council Entry'!F$9)),MAX(MIN('Council Entry'!F195,'Council Entry'!F$9),'Council Entry'!F$8),'Council Entry'!F195))))-'Council Entry'!F$5)/('Council Entry'!F$6-'Council Entry'!F$5),10*((IF('Council Entry'!F$4="Logarithm",LN(0.001+IF(AND(ISNUMBER('Council Entry'!F$8),ISNUMBER('Council Entry'!F$9)),MAX(MIN('Council Entry'!F195,'Council Entry'!F$9),'Council Entry'!F$8),'Council Entry'!F195)),IF('Council Entry'!F$4="Exponential",EXP(IF(AND(ISNUMBER('Council Entry'!F$8),ISNUMBER('Council Entry'!F$9)),MAX(MIN('Council Entry'!F195,'Council Entry'!F$9),'Council Entry'!F$8),'Council Entry'!F195)),IF(AND(ISNUMBER('Council Entry'!F$8),ISNUMBER('Council Entry'!F$9)),MAX(MIN('Council Entry'!F195,'Council Entry'!F$9),'Council Entry'!F$8),'Council Entry'!F195))))-'Council Entry'!F$5)/('Council Entry'!F$6-'Council Entry'!F$5)),1))),"No data"))</f>
        <v/>
      </c>
      <c r="G195" s="13">
        <f>IF('Council Entry'!G195="","",IFERROR(MAX(0,MIN(10,ROUND(IF('Council Entry'!G$7="Decrease Risk",10-10*((IF('Council Entry'!G$4="Logarithm",LN(0.001+IF(AND(ISNUMBER('Council Entry'!G$8),ISNUMBER('Council Entry'!G$9)),MAX(MIN('Council Entry'!G195,'Council Entry'!G$9),'Council Entry'!G$8),'Council Entry'!G195)),IF('Council Entry'!G$4="Exponential",EXP(IF(AND(ISNUMBER('Council Entry'!G$8),ISNUMBER('Council Entry'!G$9)),MAX(MIN('Council Entry'!G195,'Council Entry'!G$9),'Council Entry'!G$8),'Council Entry'!G195)),IF(AND(ISNUMBER('Council Entry'!G$8),ISNUMBER('Council Entry'!G$9)),MAX(MIN('Council Entry'!G195,'Council Entry'!G$9),'Council Entry'!G$8),'Council Entry'!G195))))-'Council Entry'!G$5)/('Council Entry'!G$6-'Council Entry'!G$5),10*((IF('Council Entry'!G$4="Logarithm",LN(0.001+IF(AND(ISNUMBER('Council Entry'!G$8),ISNUMBER('Council Entry'!G$9)),MAX(MIN('Council Entry'!G195,'Council Entry'!G$9),'Council Entry'!G$8),'Council Entry'!G195)),IF('Council Entry'!G$4="Exponential",EXP(IF(AND(ISNUMBER('Council Entry'!G$8),ISNUMBER('Council Entry'!G$9)),MAX(MIN('Council Entry'!G195,'Council Entry'!G$9),'Council Entry'!G$8),'Council Entry'!G195)),IF(AND(ISNUMBER('Council Entry'!G$8),ISNUMBER('Council Entry'!G$9)),MAX(MIN('Council Entry'!G195,'Council Entry'!G$9),'Council Entry'!G$8),'Council Entry'!G195))))-'Council Entry'!G$5)/('Council Entry'!G$6-'Council Entry'!G$5)),1))),"No data"))</f>
        <v/>
      </c>
      <c r="H195" s="13">
        <f>IF('Council Entry'!H195="","",IFERROR(MAX(0,MIN(10,ROUND(IF('Council Entry'!H$7="Decrease Risk",10-10*((IF('Council Entry'!H$4="Logarithm",LN(0.001+IF(AND(ISNUMBER('Council Entry'!H$8),ISNUMBER('Council Entry'!H$9)),MAX(MIN('Council Entry'!H195,'Council Entry'!H$9),'Council Entry'!H$8),'Council Entry'!H195)),IF('Council Entry'!H$4="Exponential",EXP(IF(AND(ISNUMBER('Council Entry'!H$8),ISNUMBER('Council Entry'!H$9)),MAX(MIN('Council Entry'!H195,'Council Entry'!H$9),'Council Entry'!H$8),'Council Entry'!H195)),IF(AND(ISNUMBER('Council Entry'!H$8),ISNUMBER('Council Entry'!H$9)),MAX(MIN('Council Entry'!H195,'Council Entry'!H$9),'Council Entry'!H$8),'Council Entry'!H195))))-'Council Entry'!H$5)/('Council Entry'!H$6-'Council Entry'!H$5),10*((IF('Council Entry'!H$4="Logarithm",LN(0.001+IF(AND(ISNUMBER('Council Entry'!H$8),ISNUMBER('Council Entry'!H$9)),MAX(MIN('Council Entry'!H195,'Council Entry'!H$9),'Council Entry'!H$8),'Council Entry'!H195)),IF('Council Entry'!H$4="Exponential",EXP(IF(AND(ISNUMBER('Council Entry'!H$8),ISNUMBER('Council Entry'!H$9)),MAX(MIN('Council Entry'!H195,'Council Entry'!H$9),'Council Entry'!H$8),'Council Entry'!H195)),IF(AND(ISNUMBER('Council Entry'!H$8),ISNUMBER('Council Entry'!H$9)),MAX(MIN('Council Entry'!H195,'Council Entry'!H$9),'Council Entry'!H$8),'Council Entry'!H195))))-'Council Entry'!H$5)/('Council Entry'!H$6-'Council Entry'!H$5)),1))),"No data"))</f>
        <v/>
      </c>
      <c r="I195" s="13">
        <f>IF('Council Entry'!I195="","",IFERROR(MAX(0,MIN(10,ROUND(IF('Council Entry'!I$7="Decrease Risk",10-10*((IF('Council Entry'!I$4="Logarithm",LN(0.001+IF(AND(ISNUMBER('Council Entry'!I$8),ISNUMBER('Council Entry'!I$9)),MAX(MIN('Council Entry'!I195,'Council Entry'!I$9),'Council Entry'!I$8),'Council Entry'!I195)),IF('Council Entry'!I$4="Exponential",EXP(IF(AND(ISNUMBER('Council Entry'!I$8),ISNUMBER('Council Entry'!I$9)),MAX(MIN('Council Entry'!I195,'Council Entry'!I$9),'Council Entry'!I$8),'Council Entry'!I195)),IF(AND(ISNUMBER('Council Entry'!I$8),ISNUMBER('Council Entry'!I$9)),MAX(MIN('Council Entry'!I195,'Council Entry'!I$9),'Council Entry'!I$8),'Council Entry'!I195))))-'Council Entry'!I$5)/('Council Entry'!I$6-'Council Entry'!I$5),10*((IF('Council Entry'!I$4="Logarithm",LN(0.001+IF(AND(ISNUMBER('Council Entry'!I$8),ISNUMBER('Council Entry'!I$9)),MAX(MIN('Council Entry'!I195,'Council Entry'!I$9),'Council Entry'!I$8),'Council Entry'!I195)),IF('Council Entry'!I$4="Exponential",EXP(IF(AND(ISNUMBER('Council Entry'!I$8),ISNUMBER('Council Entry'!I$9)),MAX(MIN('Council Entry'!I195,'Council Entry'!I$9),'Council Entry'!I$8),'Council Entry'!I195)),IF(AND(ISNUMBER('Council Entry'!I$8),ISNUMBER('Council Entry'!I$9)),MAX(MIN('Council Entry'!I195,'Council Entry'!I$9),'Council Entry'!I$8),'Council Entry'!I195))))-'Council Entry'!I$5)/('Council Entry'!I$6-'Council Entry'!I$5)),1))),"No data"))</f>
        <v/>
      </c>
      <c r="J195" s="13">
        <f>IF('Council Entry'!J195="","",IFERROR(MAX(0,MIN(10,ROUND(IF('Council Entry'!J$7="Decrease Risk",10-10*((IF('Council Entry'!J$4="Logarithm",LN(0.001+IF(AND(ISNUMBER('Council Entry'!J$8),ISNUMBER('Council Entry'!J$9)),MAX(MIN('Council Entry'!J195,'Council Entry'!J$9),'Council Entry'!J$8),'Council Entry'!J195)),IF('Council Entry'!J$4="Exponential",EXP(IF(AND(ISNUMBER('Council Entry'!J$8),ISNUMBER('Council Entry'!J$9)),MAX(MIN('Council Entry'!J195,'Council Entry'!J$9),'Council Entry'!J$8),'Council Entry'!J195)),IF(AND(ISNUMBER('Council Entry'!J$8),ISNUMBER('Council Entry'!J$9)),MAX(MIN('Council Entry'!J195,'Council Entry'!J$9),'Council Entry'!J$8),'Council Entry'!J195))))-'Council Entry'!J$5)/('Council Entry'!J$6-'Council Entry'!J$5),10*((IF('Council Entry'!J$4="Logarithm",LN(0.001+IF(AND(ISNUMBER('Council Entry'!J$8),ISNUMBER('Council Entry'!J$9)),MAX(MIN('Council Entry'!J195,'Council Entry'!J$9),'Council Entry'!J$8),'Council Entry'!J195)),IF('Council Entry'!J$4="Exponential",EXP(IF(AND(ISNUMBER('Council Entry'!J$8),ISNUMBER('Council Entry'!J$9)),MAX(MIN('Council Entry'!J195,'Council Entry'!J$9),'Council Entry'!J$8),'Council Entry'!J195)),IF(AND(ISNUMBER('Council Entry'!J$8),ISNUMBER('Council Entry'!J$9)),MAX(MIN('Council Entry'!J195,'Council Entry'!J$9),'Council Entry'!J$8),'Council Entry'!J195))))-'Council Entry'!J$5)/('Council Entry'!J$6-'Council Entry'!J$5)),1))),"No data"))</f>
        <v/>
      </c>
      <c r="K195" s="13">
        <f>IF('Council Entry'!K195="","",IFERROR(MAX(0,MIN(10,ROUND(IF('Council Entry'!K$7="Decrease Risk",10-10*((IF('Council Entry'!K$4="Logarithm",LN(0.001+IF(AND(ISNUMBER('Council Entry'!K$8),ISNUMBER('Council Entry'!K$9)),MAX(MIN('Council Entry'!K195,'Council Entry'!K$9),'Council Entry'!K$8),'Council Entry'!K195)),IF('Council Entry'!K$4="Exponential",EXP(IF(AND(ISNUMBER('Council Entry'!K$8),ISNUMBER('Council Entry'!K$9)),MAX(MIN('Council Entry'!K195,'Council Entry'!K$9),'Council Entry'!K$8),'Council Entry'!K195)),IF(AND(ISNUMBER('Council Entry'!K$8),ISNUMBER('Council Entry'!K$9)),MAX(MIN('Council Entry'!K195,'Council Entry'!K$9),'Council Entry'!K$8),'Council Entry'!K195))))-'Council Entry'!K$5)/('Council Entry'!K$6-'Council Entry'!K$5),10*((IF('Council Entry'!K$4="Logarithm",LN(0.001+IF(AND(ISNUMBER('Council Entry'!K$8),ISNUMBER('Council Entry'!K$9)),MAX(MIN('Council Entry'!K195,'Council Entry'!K$9),'Council Entry'!K$8),'Council Entry'!K195)),IF('Council Entry'!K$4="Exponential",EXP(IF(AND(ISNUMBER('Council Entry'!K$8),ISNUMBER('Council Entry'!K$9)),MAX(MIN('Council Entry'!K195,'Council Entry'!K$9),'Council Entry'!K$8),'Council Entry'!K195)),IF(AND(ISNUMBER('Council Entry'!K$8),ISNUMBER('Council Entry'!K$9)),MAX(MIN('Council Entry'!K195,'Council Entry'!K$9),'Council Entry'!K$8),'Council Entry'!K195))))-'Council Entry'!K$5)/('Council Entry'!K$6-'Council Entry'!K$5)),1))),"No data"))</f>
        <v/>
      </c>
      <c r="L195" s="13">
        <f>IF('Council Entry'!L195="","",IFERROR(MAX(0,MIN(10,ROUND(IF('Council Entry'!L$7="Decrease Risk",10-10*((IF('Council Entry'!L$4="Logarithm",LN(0.001+IF(AND(ISNUMBER('Council Entry'!L$8),ISNUMBER('Council Entry'!L$9)),MAX(MIN('Council Entry'!L195,'Council Entry'!L$9),'Council Entry'!L$8),'Council Entry'!L195)),IF('Council Entry'!L$4="Exponential",EXP(IF(AND(ISNUMBER('Council Entry'!L$8),ISNUMBER('Council Entry'!L$9)),MAX(MIN('Council Entry'!L195,'Council Entry'!L$9),'Council Entry'!L$8),'Council Entry'!L195)),IF(AND(ISNUMBER('Council Entry'!L$8),ISNUMBER('Council Entry'!L$9)),MAX(MIN('Council Entry'!L195,'Council Entry'!L$9),'Council Entry'!L$8),'Council Entry'!L195))))-'Council Entry'!L$5)/('Council Entry'!L$6-'Council Entry'!L$5),10*((IF('Council Entry'!L$4="Logarithm",LN(0.001+IF(AND(ISNUMBER('Council Entry'!L$8),ISNUMBER('Council Entry'!L$9)),MAX(MIN('Council Entry'!L195,'Council Entry'!L$9),'Council Entry'!L$8),'Council Entry'!L195)),IF('Council Entry'!L$4="Exponential",EXP(IF(AND(ISNUMBER('Council Entry'!L$8),ISNUMBER('Council Entry'!L$9)),MAX(MIN('Council Entry'!L195,'Council Entry'!L$9),'Council Entry'!L$8),'Council Entry'!L195)),IF(AND(ISNUMBER('Council Entry'!L$8),ISNUMBER('Council Entry'!L$9)),MAX(MIN('Council Entry'!L195,'Council Entry'!L$9),'Council Entry'!L$8),'Council Entry'!L195))))-'Council Entry'!L$5)/('Council Entry'!L$6-'Council Entry'!L$5)),1))),"No data"))</f>
        <v/>
      </c>
      <c r="M195" s="13">
        <f>IF('Council Entry'!M195="","",IFERROR(MAX(0,MIN(10,ROUND(IF('Council Entry'!M$7="Decrease Risk",10-10*((IF('Council Entry'!M$4="Logarithm",LN(0.001+IF(AND(ISNUMBER('Council Entry'!M$8),ISNUMBER('Council Entry'!M$9)),MAX(MIN('Council Entry'!M195,'Council Entry'!M$9),'Council Entry'!M$8),'Council Entry'!M195)),IF('Council Entry'!M$4="Exponential",EXP(IF(AND(ISNUMBER('Council Entry'!M$8),ISNUMBER('Council Entry'!M$9)),MAX(MIN('Council Entry'!M195,'Council Entry'!M$9),'Council Entry'!M$8),'Council Entry'!M195)),IF(AND(ISNUMBER('Council Entry'!M$8),ISNUMBER('Council Entry'!M$9)),MAX(MIN('Council Entry'!M195,'Council Entry'!M$9),'Council Entry'!M$8),'Council Entry'!M195))))-'Council Entry'!M$5)/('Council Entry'!M$6-'Council Entry'!M$5),10*((IF('Council Entry'!M$4="Logarithm",LN(0.001+IF(AND(ISNUMBER('Council Entry'!M$8),ISNUMBER('Council Entry'!M$9)),MAX(MIN('Council Entry'!M195,'Council Entry'!M$9),'Council Entry'!M$8),'Council Entry'!M195)),IF('Council Entry'!M$4="Exponential",EXP(IF(AND(ISNUMBER('Council Entry'!M$8),ISNUMBER('Council Entry'!M$9)),MAX(MIN('Council Entry'!M195,'Council Entry'!M$9),'Council Entry'!M$8),'Council Entry'!M195)),IF(AND(ISNUMBER('Council Entry'!M$8),ISNUMBER('Council Entry'!M$9)),MAX(MIN('Council Entry'!M195,'Council Entry'!M$9),'Council Entry'!M$8),'Council Entry'!M195))))-'Council Entry'!M$5)/('Council Entry'!M$6-'Council Entry'!M$5)),1))),"No data"))</f>
        <v/>
      </c>
      <c r="N195" s="13">
        <f>IF('Council Entry'!N195="","",IFERROR(MAX(0,MIN(10,ROUND(IF('Council Entry'!N$7="Decrease Risk",10-10*((IF('Council Entry'!N$4="Logarithm",LN(0.001+IF(AND(ISNUMBER('Council Entry'!N$8),ISNUMBER('Council Entry'!N$9)),MAX(MIN('Council Entry'!N195,'Council Entry'!N$9),'Council Entry'!N$8),'Council Entry'!N195)),IF('Council Entry'!N$4="Exponential",EXP(IF(AND(ISNUMBER('Council Entry'!N$8),ISNUMBER('Council Entry'!N$9)),MAX(MIN('Council Entry'!N195,'Council Entry'!N$9),'Council Entry'!N$8),'Council Entry'!N195)),IF(AND(ISNUMBER('Council Entry'!N$8),ISNUMBER('Council Entry'!N$9)),MAX(MIN('Council Entry'!N195,'Council Entry'!N$9),'Council Entry'!N$8),'Council Entry'!N195))))-'Council Entry'!N$5)/('Council Entry'!N$6-'Council Entry'!N$5),10*((IF('Council Entry'!N$4="Logarithm",LN(0.001+IF(AND(ISNUMBER('Council Entry'!N$8),ISNUMBER('Council Entry'!N$9)),MAX(MIN('Council Entry'!N195,'Council Entry'!N$9),'Council Entry'!N$8),'Council Entry'!N195)),IF('Council Entry'!N$4="Exponential",EXP(IF(AND(ISNUMBER('Council Entry'!N$8),ISNUMBER('Council Entry'!N$9)),MAX(MIN('Council Entry'!N195,'Council Entry'!N$9),'Council Entry'!N$8),'Council Entry'!N195)),IF(AND(ISNUMBER('Council Entry'!N$8),ISNUMBER('Council Entry'!N$9)),MAX(MIN('Council Entry'!N195,'Council Entry'!N$9),'Council Entry'!N$8),'Council Entry'!N195))))-'Council Entry'!N$5)/('Council Entry'!N$6-'Council Entry'!N$5)),1))),"No data"))</f>
        <v/>
      </c>
      <c r="O195" s="13">
        <f>IF('Council Entry'!O195="","",IFERROR(MAX(0,MIN(10,ROUND(IF('Council Entry'!O$7="Decrease Risk",10-10*((IF('Council Entry'!O$4="Logarithm",LN(0.001+IF(AND(ISNUMBER('Council Entry'!O$8),ISNUMBER('Council Entry'!O$9)),MAX(MIN('Council Entry'!O195,'Council Entry'!O$9),'Council Entry'!O$8),'Council Entry'!O195)),IF('Council Entry'!O$4="Exponential",EXP(IF(AND(ISNUMBER('Council Entry'!O$8),ISNUMBER('Council Entry'!O$9)),MAX(MIN('Council Entry'!O195,'Council Entry'!O$9),'Council Entry'!O$8),'Council Entry'!O195)),IF(AND(ISNUMBER('Council Entry'!O$8),ISNUMBER('Council Entry'!O$9)),MAX(MIN('Council Entry'!O195,'Council Entry'!O$9),'Council Entry'!O$8),'Council Entry'!O195))))-'Council Entry'!O$5)/('Council Entry'!O$6-'Council Entry'!O$5),10*((IF('Council Entry'!O$4="Logarithm",LN(0.001+IF(AND(ISNUMBER('Council Entry'!O$8),ISNUMBER('Council Entry'!O$9)),MAX(MIN('Council Entry'!O195,'Council Entry'!O$9),'Council Entry'!O$8),'Council Entry'!O195)),IF('Council Entry'!O$4="Exponential",EXP(IF(AND(ISNUMBER('Council Entry'!O$8),ISNUMBER('Council Entry'!O$9)),MAX(MIN('Council Entry'!O195,'Council Entry'!O$9),'Council Entry'!O$8),'Council Entry'!O195)),IF(AND(ISNUMBER('Council Entry'!O$8),ISNUMBER('Council Entry'!O$9)),MAX(MIN('Council Entry'!O195,'Council Entry'!O$9),'Council Entry'!O$8),'Council Entry'!O195))))-'Council Entry'!O$5)/('Council Entry'!O$6-'Council Entry'!O$5)),1))),"No data"))</f>
        <v/>
      </c>
      <c r="P195" s="13">
        <f>IF('Council Entry'!P195="","",IFERROR(MAX(0,MIN(10,ROUND(IF('Council Entry'!P$7="Decrease Risk",10-10*((IF('Council Entry'!P$4="Logarithm",LN(0.001+IF(AND(ISNUMBER('Council Entry'!P$8),ISNUMBER('Council Entry'!P$9)),MAX(MIN('Council Entry'!P195,'Council Entry'!P$9),'Council Entry'!P$8),'Council Entry'!P195)),IF('Council Entry'!P$4="Exponential",EXP(IF(AND(ISNUMBER('Council Entry'!P$8),ISNUMBER('Council Entry'!P$9)),MAX(MIN('Council Entry'!P195,'Council Entry'!P$9),'Council Entry'!P$8),'Council Entry'!P195)),IF(AND(ISNUMBER('Council Entry'!P$8),ISNUMBER('Council Entry'!P$9)),MAX(MIN('Council Entry'!P195,'Council Entry'!P$9),'Council Entry'!P$8),'Council Entry'!P195))))-'Council Entry'!P$5)/('Council Entry'!P$6-'Council Entry'!P$5),10*((IF('Council Entry'!P$4="Logarithm",LN(0.001+IF(AND(ISNUMBER('Council Entry'!P$8),ISNUMBER('Council Entry'!P$9)),MAX(MIN('Council Entry'!P195,'Council Entry'!P$9),'Council Entry'!P$8),'Council Entry'!P195)),IF('Council Entry'!P$4="Exponential",EXP(IF(AND(ISNUMBER('Council Entry'!P$8),ISNUMBER('Council Entry'!P$9)),MAX(MIN('Council Entry'!P195,'Council Entry'!P$9),'Council Entry'!P$8),'Council Entry'!P195)),IF(AND(ISNUMBER('Council Entry'!P$8),ISNUMBER('Council Entry'!P$9)),MAX(MIN('Council Entry'!P195,'Council Entry'!P$9),'Council Entry'!P$8),'Council Entry'!P195))))-'Council Entry'!P$5)/('Council Entry'!P$6-'Council Entry'!P$5)),1))),"No data"))</f>
        <v/>
      </c>
      <c r="Q195" s="13">
        <f>IF('Council Entry'!Q195="","",IFERROR(MAX(0,MIN(10,ROUND(IF('Council Entry'!Q$7="Decrease Risk",10-10*((IF('Council Entry'!Q$4="Logarithm",LN(0.001+IF(AND(ISNUMBER('Council Entry'!Q$8),ISNUMBER('Council Entry'!Q$9)),MAX(MIN('Council Entry'!Q195,'Council Entry'!Q$9),'Council Entry'!Q$8),'Council Entry'!Q195)),IF('Council Entry'!Q$4="Exponential",EXP(IF(AND(ISNUMBER('Council Entry'!Q$8),ISNUMBER('Council Entry'!Q$9)),MAX(MIN('Council Entry'!Q195,'Council Entry'!Q$9),'Council Entry'!Q$8),'Council Entry'!Q195)),IF(AND(ISNUMBER('Council Entry'!Q$8),ISNUMBER('Council Entry'!Q$9)),MAX(MIN('Council Entry'!Q195,'Council Entry'!Q$9),'Council Entry'!Q$8),'Council Entry'!Q195))))-'Council Entry'!Q$5)/('Council Entry'!Q$6-'Council Entry'!Q$5),10*((IF('Council Entry'!Q$4="Logarithm",LN(0.001+IF(AND(ISNUMBER('Council Entry'!Q$8),ISNUMBER('Council Entry'!Q$9)),MAX(MIN('Council Entry'!Q195,'Council Entry'!Q$9),'Council Entry'!Q$8),'Council Entry'!Q195)),IF('Council Entry'!Q$4="Exponential",EXP(IF(AND(ISNUMBER('Council Entry'!Q$8),ISNUMBER('Council Entry'!Q$9)),MAX(MIN('Council Entry'!Q195,'Council Entry'!Q$9),'Council Entry'!Q$8),'Council Entry'!Q195)),IF(AND(ISNUMBER('Council Entry'!Q$8),ISNUMBER('Council Entry'!Q$9)),MAX(MIN('Council Entry'!Q195,'Council Entry'!Q$9),'Council Entry'!Q$8),'Council Entry'!Q195))))-'Council Entry'!Q$5)/('Council Entry'!Q$6-'Council Entry'!Q$5)),1))),"No data"))</f>
        <v/>
      </c>
      <c r="R195" s="13">
        <f>IF('Council Entry'!R195="","",IFERROR(MAX(0,MIN(10,ROUND(IF('Council Entry'!R$7="Decrease Risk",10-10*((IF('Council Entry'!R$4="Logarithm",LN(0.001+IF(AND(ISNUMBER('Council Entry'!R$8),ISNUMBER('Council Entry'!R$9)),MAX(MIN('Council Entry'!R195,'Council Entry'!R$9),'Council Entry'!R$8),'Council Entry'!R195)),IF('Council Entry'!R$4="Exponential",EXP(IF(AND(ISNUMBER('Council Entry'!R$8),ISNUMBER('Council Entry'!R$9)),MAX(MIN('Council Entry'!R195,'Council Entry'!R$9),'Council Entry'!R$8),'Council Entry'!R195)),IF(AND(ISNUMBER('Council Entry'!R$8),ISNUMBER('Council Entry'!R$9)),MAX(MIN('Council Entry'!R195,'Council Entry'!R$9),'Council Entry'!R$8),'Council Entry'!R195))))-'Council Entry'!R$5)/('Council Entry'!R$6-'Council Entry'!R$5),10*((IF('Council Entry'!R$4="Logarithm",LN(0.001+IF(AND(ISNUMBER('Council Entry'!R$8),ISNUMBER('Council Entry'!R$9)),MAX(MIN('Council Entry'!R195,'Council Entry'!R$9),'Council Entry'!R$8),'Council Entry'!R195)),IF('Council Entry'!R$4="Exponential",EXP(IF(AND(ISNUMBER('Council Entry'!R$8),ISNUMBER('Council Entry'!R$9)),MAX(MIN('Council Entry'!R195,'Council Entry'!R$9),'Council Entry'!R$8),'Council Entry'!R195)),IF(AND(ISNUMBER('Council Entry'!R$8),ISNUMBER('Council Entry'!R$9)),MAX(MIN('Council Entry'!R195,'Council Entry'!R$9),'Council Entry'!R$8),'Council Entry'!R195))))-'Council Entry'!R$5)/('Council Entry'!R$6-'Council Entry'!R$5)),1))),"No data"))</f>
        <v/>
      </c>
      <c r="S195" s="13">
        <f>IF('Council Entry'!S195="","",IFERROR(MAX(0,MIN(10,ROUND(IF('Council Entry'!S$7="Decrease Risk",10-10*((IF('Council Entry'!S$4="Logarithm",LN(0.001+IF(AND(ISNUMBER('Council Entry'!S$8),ISNUMBER('Council Entry'!S$9)),MAX(MIN('Council Entry'!S195,'Council Entry'!S$9),'Council Entry'!S$8),'Council Entry'!S195)),IF('Council Entry'!S$4="Exponential",EXP(IF(AND(ISNUMBER('Council Entry'!S$8),ISNUMBER('Council Entry'!S$9)),MAX(MIN('Council Entry'!S195,'Council Entry'!S$9),'Council Entry'!S$8),'Council Entry'!S195)),IF(AND(ISNUMBER('Council Entry'!S$8),ISNUMBER('Council Entry'!S$9)),MAX(MIN('Council Entry'!S195,'Council Entry'!S$9),'Council Entry'!S$8),'Council Entry'!S195))))-'Council Entry'!S$5)/('Council Entry'!S$6-'Council Entry'!S$5),10*((IF('Council Entry'!S$4="Logarithm",LN(0.001+IF(AND(ISNUMBER('Council Entry'!S$8),ISNUMBER('Council Entry'!S$9)),MAX(MIN('Council Entry'!S195,'Council Entry'!S$9),'Council Entry'!S$8),'Council Entry'!S195)),IF('Council Entry'!S$4="Exponential",EXP(IF(AND(ISNUMBER('Council Entry'!S$8),ISNUMBER('Council Entry'!S$9)),MAX(MIN('Council Entry'!S195,'Council Entry'!S$9),'Council Entry'!S$8),'Council Entry'!S195)),IF(AND(ISNUMBER('Council Entry'!S$8),ISNUMBER('Council Entry'!S$9)),MAX(MIN('Council Entry'!S195,'Council Entry'!S$9),'Council Entry'!S$8),'Council Entry'!S195))))-'Council Entry'!S$5)/('Council Entry'!S$6-'Council Entry'!S$5)),1))),"No data"))</f>
        <v/>
      </c>
      <c r="T195" s="13">
        <f>IF('Council Entry'!T195="","",IFERROR(MAX(0,MIN(10,ROUND(IF('Council Entry'!T$7="Decrease Risk",10-10*((IF('Council Entry'!T$4="Logarithm",LN(0.001+IF(AND(ISNUMBER('Council Entry'!T$8),ISNUMBER('Council Entry'!T$9)),MAX(MIN('Council Entry'!T195,'Council Entry'!T$9),'Council Entry'!T$8),'Council Entry'!T195)),IF('Council Entry'!T$4="Exponential",EXP(IF(AND(ISNUMBER('Council Entry'!T$8),ISNUMBER('Council Entry'!T$9)),MAX(MIN('Council Entry'!T195,'Council Entry'!T$9),'Council Entry'!T$8),'Council Entry'!T195)),IF(AND(ISNUMBER('Council Entry'!T$8),ISNUMBER('Council Entry'!T$9)),MAX(MIN('Council Entry'!T195,'Council Entry'!T$9),'Council Entry'!T$8),'Council Entry'!T195))))-'Council Entry'!T$5)/('Council Entry'!T$6-'Council Entry'!T$5),10*((IF('Council Entry'!T$4="Logarithm",LN(0.001+IF(AND(ISNUMBER('Council Entry'!T$8),ISNUMBER('Council Entry'!T$9)),MAX(MIN('Council Entry'!T195,'Council Entry'!T$9),'Council Entry'!T$8),'Council Entry'!T195)),IF('Council Entry'!T$4="Exponential",EXP(IF(AND(ISNUMBER('Council Entry'!T$8),ISNUMBER('Council Entry'!T$9)),MAX(MIN('Council Entry'!T195,'Council Entry'!T$9),'Council Entry'!T$8),'Council Entry'!T195)),IF(AND(ISNUMBER('Council Entry'!T$8),ISNUMBER('Council Entry'!T$9)),MAX(MIN('Council Entry'!T195,'Council Entry'!T$9),'Council Entry'!T$8),'Council Entry'!T195))))-'Council Entry'!T$5)/('Council Entry'!T$6-'Council Entry'!T$5)),1))),"No data"))</f>
        <v/>
      </c>
      <c r="U195" s="13">
        <f>IF('Council Entry'!U195="","",IFERROR(MAX(0,MIN(10,ROUND(IF('Council Entry'!U$7="Decrease Risk",10-10*((IF('Council Entry'!U$4="Logarithm",LN(0.001+IF(AND(ISNUMBER('Council Entry'!U$8),ISNUMBER('Council Entry'!U$9)),MAX(MIN('Council Entry'!U195,'Council Entry'!U$9),'Council Entry'!U$8),'Council Entry'!U195)),IF('Council Entry'!U$4="Exponential",EXP(IF(AND(ISNUMBER('Council Entry'!U$8),ISNUMBER('Council Entry'!U$9)),MAX(MIN('Council Entry'!U195,'Council Entry'!U$9),'Council Entry'!U$8),'Council Entry'!U195)),IF(AND(ISNUMBER('Council Entry'!U$8),ISNUMBER('Council Entry'!U$9)),MAX(MIN('Council Entry'!U195,'Council Entry'!U$9),'Council Entry'!U$8),'Council Entry'!U195))))-'Council Entry'!U$5)/('Council Entry'!U$6-'Council Entry'!U$5),10*((IF('Council Entry'!U$4="Logarithm",LN(0.001+IF(AND(ISNUMBER('Council Entry'!U$8),ISNUMBER('Council Entry'!U$9)),MAX(MIN('Council Entry'!U195,'Council Entry'!U$9),'Council Entry'!U$8),'Council Entry'!U195)),IF('Council Entry'!U$4="Exponential",EXP(IF(AND(ISNUMBER('Council Entry'!U$8),ISNUMBER('Council Entry'!U$9)),MAX(MIN('Council Entry'!U195,'Council Entry'!U$9),'Council Entry'!U$8),'Council Entry'!U195)),IF(AND(ISNUMBER('Council Entry'!U$8),ISNUMBER('Council Entry'!U$9)),MAX(MIN('Council Entry'!U195,'Council Entry'!U$9),'Council Entry'!U$8),'Council Entry'!U195))))-'Council Entry'!U$5)/('Council Entry'!U$6-'Council Entry'!U$5)),1))),"No data"))</f>
        <v/>
      </c>
      <c r="V195" s="13">
        <f>IF('Council Entry'!V195="","",IFERROR(MAX(0,MIN(10,ROUND(IF('Council Entry'!V$7="Decrease Risk",10-10*((IF('Council Entry'!V$4="Logarithm",LN(0.001+IF(AND(ISNUMBER('Council Entry'!V$8),ISNUMBER('Council Entry'!V$9)),MAX(MIN('Council Entry'!V195,'Council Entry'!V$9),'Council Entry'!V$8),'Council Entry'!V195)),IF('Council Entry'!V$4="Exponential",EXP(IF(AND(ISNUMBER('Council Entry'!V$8),ISNUMBER('Council Entry'!V$9)),MAX(MIN('Council Entry'!V195,'Council Entry'!V$9),'Council Entry'!V$8),'Council Entry'!V195)),IF(AND(ISNUMBER('Council Entry'!V$8),ISNUMBER('Council Entry'!V$9)),MAX(MIN('Council Entry'!V195,'Council Entry'!V$9),'Council Entry'!V$8),'Council Entry'!V195))))-'Council Entry'!V$5)/('Council Entry'!V$6-'Council Entry'!V$5),10*((IF('Council Entry'!V$4="Logarithm",LN(0.001+IF(AND(ISNUMBER('Council Entry'!V$8),ISNUMBER('Council Entry'!V$9)),MAX(MIN('Council Entry'!V195,'Council Entry'!V$9),'Council Entry'!V$8),'Council Entry'!V195)),IF('Council Entry'!V$4="Exponential",EXP(IF(AND(ISNUMBER('Council Entry'!V$8),ISNUMBER('Council Entry'!V$9)),MAX(MIN('Council Entry'!V195,'Council Entry'!V$9),'Council Entry'!V$8),'Council Entry'!V195)),IF(AND(ISNUMBER('Council Entry'!V$8),ISNUMBER('Council Entry'!V$9)),MAX(MIN('Council Entry'!V195,'Council Entry'!V$9),'Council Entry'!V$8),'Council Entry'!V195))))-'Council Entry'!V$5)/('Council Entry'!V$6-'Council Entry'!V$5)),1))),"No data"))</f>
        <v/>
      </c>
      <c r="W195" s="13">
        <f>IF('Council Entry'!W195="","",IFERROR(MAX(0,MIN(10,ROUND(IF('Council Entry'!W$7="Decrease Risk",10-10*((IF('Council Entry'!W$4="Logarithm",LN(0.001+IF(AND(ISNUMBER('Council Entry'!W$8),ISNUMBER('Council Entry'!W$9)),MAX(MIN('Council Entry'!W195,'Council Entry'!W$9),'Council Entry'!W$8),'Council Entry'!W195)),IF('Council Entry'!W$4="Exponential",EXP(IF(AND(ISNUMBER('Council Entry'!W$8),ISNUMBER('Council Entry'!W$9)),MAX(MIN('Council Entry'!W195,'Council Entry'!W$9),'Council Entry'!W$8),'Council Entry'!W195)),IF(AND(ISNUMBER('Council Entry'!W$8),ISNUMBER('Council Entry'!W$9)),MAX(MIN('Council Entry'!W195,'Council Entry'!W$9),'Council Entry'!W$8),'Council Entry'!W195))))-'Council Entry'!W$5)/('Council Entry'!W$6-'Council Entry'!W$5),10*((IF('Council Entry'!W$4="Logarithm",LN(0.001+IF(AND(ISNUMBER('Council Entry'!W$8),ISNUMBER('Council Entry'!W$9)),MAX(MIN('Council Entry'!W195,'Council Entry'!W$9),'Council Entry'!W$8),'Council Entry'!W195)),IF('Council Entry'!W$4="Exponential",EXP(IF(AND(ISNUMBER('Council Entry'!W$8),ISNUMBER('Council Entry'!W$9)),MAX(MIN('Council Entry'!W195,'Council Entry'!W$9),'Council Entry'!W$8),'Council Entry'!W195)),IF(AND(ISNUMBER('Council Entry'!W$8),ISNUMBER('Council Entry'!W$9)),MAX(MIN('Council Entry'!W195,'Council Entry'!W$9),'Council Entry'!W$8),'Council Entry'!W195))))-'Council Entry'!W$5)/('Council Entry'!W$6-'Council Entry'!W$5)),1))),"No data"))</f>
        <v/>
      </c>
      <c r="X195" s="13">
        <f>IF('Council Entry'!X195="","",IFERROR(MAX(0,MIN(10,ROUND(IF('Council Entry'!X$7="Decrease Risk",10-10*((IF('Council Entry'!X$4="Logarithm",LN(0.001+IF(AND(ISNUMBER('Council Entry'!X$8),ISNUMBER('Council Entry'!X$9)),MAX(MIN('Council Entry'!X195,'Council Entry'!X$9),'Council Entry'!X$8),'Council Entry'!X195)),IF('Council Entry'!X$4="Exponential",EXP(IF(AND(ISNUMBER('Council Entry'!X$8),ISNUMBER('Council Entry'!X$9)),MAX(MIN('Council Entry'!X195,'Council Entry'!X$9),'Council Entry'!X$8),'Council Entry'!X195)),IF(AND(ISNUMBER('Council Entry'!X$8),ISNUMBER('Council Entry'!X$9)),MAX(MIN('Council Entry'!X195,'Council Entry'!X$9),'Council Entry'!X$8),'Council Entry'!X195))))-'Council Entry'!X$5)/('Council Entry'!X$6-'Council Entry'!X$5),10*((IF('Council Entry'!X$4="Logarithm",LN(0.001+IF(AND(ISNUMBER('Council Entry'!X$8),ISNUMBER('Council Entry'!X$9)),MAX(MIN('Council Entry'!X195,'Council Entry'!X$9),'Council Entry'!X$8),'Council Entry'!X195)),IF('Council Entry'!X$4="Exponential",EXP(IF(AND(ISNUMBER('Council Entry'!X$8),ISNUMBER('Council Entry'!X$9)),MAX(MIN('Council Entry'!X195,'Council Entry'!X$9),'Council Entry'!X$8),'Council Entry'!X195)),IF(AND(ISNUMBER('Council Entry'!X$8),ISNUMBER('Council Entry'!X$9)),MAX(MIN('Council Entry'!X195,'Council Entry'!X$9),'Council Entry'!X$8),'Council Entry'!X195))))-'Council Entry'!X$5)/('Council Entry'!X$6-'Council Entry'!X$5)),1))),"No data"))</f>
        <v/>
      </c>
      <c r="Y195" s="13">
        <f>IF('Council Entry'!Y195="","",IFERROR(MAX(0,MIN(10,ROUND(IF('Council Entry'!Y$7="Decrease Risk",10-10*((IF('Council Entry'!Y$4="Logarithm",LN(0.001+IF(AND(ISNUMBER('Council Entry'!Y$8),ISNUMBER('Council Entry'!Y$9)),MAX(MIN('Council Entry'!Y195,'Council Entry'!Y$9),'Council Entry'!Y$8),'Council Entry'!Y195)),IF('Council Entry'!Y$4="Exponential",EXP(IF(AND(ISNUMBER('Council Entry'!Y$8),ISNUMBER('Council Entry'!Y$9)),MAX(MIN('Council Entry'!Y195,'Council Entry'!Y$9),'Council Entry'!Y$8),'Council Entry'!Y195)),IF(AND(ISNUMBER('Council Entry'!Y$8),ISNUMBER('Council Entry'!Y$9)),MAX(MIN('Council Entry'!Y195,'Council Entry'!Y$9),'Council Entry'!Y$8),'Council Entry'!Y195))))-'Council Entry'!Y$5)/('Council Entry'!Y$6-'Council Entry'!Y$5),10*((IF('Council Entry'!Y$4="Logarithm",LN(0.001+IF(AND(ISNUMBER('Council Entry'!Y$8),ISNUMBER('Council Entry'!Y$9)),MAX(MIN('Council Entry'!Y195,'Council Entry'!Y$9),'Council Entry'!Y$8),'Council Entry'!Y195)),IF('Council Entry'!Y$4="Exponential",EXP(IF(AND(ISNUMBER('Council Entry'!Y$8),ISNUMBER('Council Entry'!Y$9)),MAX(MIN('Council Entry'!Y195,'Council Entry'!Y$9),'Council Entry'!Y$8),'Council Entry'!Y195)),IF(AND(ISNUMBER('Council Entry'!Y$8),ISNUMBER('Council Entry'!Y$9)),MAX(MIN('Council Entry'!Y195,'Council Entry'!Y$9),'Council Entry'!Y$8),'Council Entry'!Y195))))-'Council Entry'!Y$5)/('Council Entry'!Y$6-'Council Entry'!Y$5)),1))),"No data"))</f>
        <v/>
      </c>
      <c r="Z195" s="13">
        <f>IF('Council Entry'!Z195="","",IFERROR(MAX(0,MIN(10,ROUND(IF('Council Entry'!Z$7="Decrease Risk",10-10*((IF('Council Entry'!Z$4="Logarithm",LN(0.001+IF(AND(ISNUMBER('Council Entry'!Z$8),ISNUMBER('Council Entry'!Z$9)),MAX(MIN('Council Entry'!Z195,'Council Entry'!Z$9),'Council Entry'!Z$8),'Council Entry'!Z195)),IF('Council Entry'!Z$4="Exponential",EXP(IF(AND(ISNUMBER('Council Entry'!Z$8),ISNUMBER('Council Entry'!Z$9)),MAX(MIN('Council Entry'!Z195,'Council Entry'!Z$9),'Council Entry'!Z$8),'Council Entry'!Z195)),IF(AND(ISNUMBER('Council Entry'!Z$8),ISNUMBER('Council Entry'!Z$9)),MAX(MIN('Council Entry'!Z195,'Council Entry'!Z$9),'Council Entry'!Z$8),'Council Entry'!Z195))))-'Council Entry'!Z$5)/('Council Entry'!Z$6-'Council Entry'!Z$5),10*((IF('Council Entry'!Z$4="Logarithm",LN(0.001+IF(AND(ISNUMBER('Council Entry'!Z$8),ISNUMBER('Council Entry'!Z$9)),MAX(MIN('Council Entry'!Z195,'Council Entry'!Z$9),'Council Entry'!Z$8),'Council Entry'!Z195)),IF('Council Entry'!Z$4="Exponential",EXP(IF(AND(ISNUMBER('Council Entry'!Z$8),ISNUMBER('Council Entry'!Z$9)),MAX(MIN('Council Entry'!Z195,'Council Entry'!Z$9),'Council Entry'!Z$8),'Council Entry'!Z195)),IF(AND(ISNUMBER('Council Entry'!Z$8),ISNUMBER('Council Entry'!Z$9)),MAX(MIN('Council Entry'!Z195,'Council Entry'!Z$9),'Council Entry'!Z$8),'Council Entry'!Z195))))-'Council Entry'!Z$5)/('Council Entry'!Z$6-'Council Entry'!Z$5)),1))),"No data"))</f>
        <v/>
      </c>
      <c r="AA195" s="13">
        <f>IF('Council Entry'!AA195="","",IFERROR(MAX(0,MIN(10,ROUND(IF('Council Entry'!AA$7="Decrease Risk",10-10*((IF('Council Entry'!AA$4="Logarithm",LN(0.001+IF(AND(ISNUMBER('Council Entry'!AA$8),ISNUMBER('Council Entry'!AA$9)),MAX(MIN('Council Entry'!AA195,'Council Entry'!AA$9),'Council Entry'!AA$8),'Council Entry'!AA195)),IF('Council Entry'!AA$4="Exponential",EXP(IF(AND(ISNUMBER('Council Entry'!AA$8),ISNUMBER('Council Entry'!AA$9)),MAX(MIN('Council Entry'!AA195,'Council Entry'!AA$9),'Council Entry'!AA$8),'Council Entry'!AA195)),IF(AND(ISNUMBER('Council Entry'!AA$8),ISNUMBER('Council Entry'!AA$9)),MAX(MIN('Council Entry'!AA195,'Council Entry'!AA$9),'Council Entry'!AA$8),'Council Entry'!AA195))))-'Council Entry'!AA$5)/('Council Entry'!AA$6-'Council Entry'!AA$5),10*((IF('Council Entry'!AA$4="Logarithm",LN(0.001+IF(AND(ISNUMBER('Council Entry'!AA$8),ISNUMBER('Council Entry'!AA$9)),MAX(MIN('Council Entry'!AA195,'Council Entry'!AA$9),'Council Entry'!AA$8),'Council Entry'!AA195)),IF('Council Entry'!AA$4="Exponential",EXP(IF(AND(ISNUMBER('Council Entry'!AA$8),ISNUMBER('Council Entry'!AA$9)),MAX(MIN('Council Entry'!AA195,'Council Entry'!AA$9),'Council Entry'!AA$8),'Council Entry'!AA195)),IF(AND(ISNUMBER('Council Entry'!AA$8),ISNUMBER('Council Entry'!AA$9)),MAX(MIN('Council Entry'!AA195,'Council Entry'!AA$9),'Council Entry'!AA$8),'Council Entry'!AA195))))-'Council Entry'!AA$5)/('Council Entry'!AA$6-'Council Entry'!AA$5)),1))),"No data"))</f>
        <v/>
      </c>
      <c r="AB195" s="13">
        <f>IF('Council Entry'!AB195="","",IFERROR(MAX(0,MIN(10,ROUND(IF('Council Entry'!AB$7="Decrease Risk",10-10*((IF('Council Entry'!AB$4="Logarithm",LN(0.001+IF(AND(ISNUMBER('Council Entry'!AB$8),ISNUMBER('Council Entry'!AB$9)),MAX(MIN('Council Entry'!AB195,'Council Entry'!AB$9),'Council Entry'!AB$8),'Council Entry'!AB195)),IF('Council Entry'!AB$4="Exponential",EXP(IF(AND(ISNUMBER('Council Entry'!AB$8),ISNUMBER('Council Entry'!AB$9)),MAX(MIN('Council Entry'!AB195,'Council Entry'!AB$9),'Council Entry'!AB$8),'Council Entry'!AB195)),IF(AND(ISNUMBER('Council Entry'!AB$8),ISNUMBER('Council Entry'!AB$9)),MAX(MIN('Council Entry'!AB195,'Council Entry'!AB$9),'Council Entry'!AB$8),'Council Entry'!AB195))))-'Council Entry'!AB$5)/('Council Entry'!AB$6-'Council Entry'!AB$5),10*((IF('Council Entry'!AB$4="Logarithm",LN(0.001+IF(AND(ISNUMBER('Council Entry'!AB$8),ISNUMBER('Council Entry'!AB$9)),MAX(MIN('Council Entry'!AB195,'Council Entry'!AB$9),'Council Entry'!AB$8),'Council Entry'!AB195)),IF('Council Entry'!AB$4="Exponential",EXP(IF(AND(ISNUMBER('Council Entry'!AB$8),ISNUMBER('Council Entry'!AB$9)),MAX(MIN('Council Entry'!AB195,'Council Entry'!AB$9),'Council Entry'!AB$8),'Council Entry'!AB195)),IF(AND(ISNUMBER('Council Entry'!AB$8),ISNUMBER('Council Entry'!AB$9)),MAX(MIN('Council Entry'!AB195,'Council Entry'!AB$9),'Council Entry'!AB$8),'Council Entry'!AB195))))-'Council Entry'!AB$5)/('Council Entry'!AB$6-'Council Entry'!AB$5)),1))),"No data"))</f>
        <v/>
      </c>
      <c r="AC195" s="13">
        <f>IF('Council Entry'!AC195="","",IFERROR(MAX(0,MIN(10,ROUND(IF('Council Entry'!AC$7="Decrease Risk",10-10*((IF('Council Entry'!AC$4="Logarithm",LN(0.001+IF(AND(ISNUMBER('Council Entry'!AC$8),ISNUMBER('Council Entry'!AC$9)),MAX(MIN('Council Entry'!AC195,'Council Entry'!AC$9),'Council Entry'!AC$8),'Council Entry'!AC195)),IF('Council Entry'!AC$4="Exponential",EXP(IF(AND(ISNUMBER('Council Entry'!AC$8),ISNUMBER('Council Entry'!AC$9)),MAX(MIN('Council Entry'!AC195,'Council Entry'!AC$9),'Council Entry'!AC$8),'Council Entry'!AC195)),IF(AND(ISNUMBER('Council Entry'!AC$8),ISNUMBER('Council Entry'!AC$9)),MAX(MIN('Council Entry'!AC195,'Council Entry'!AC$9),'Council Entry'!AC$8),'Council Entry'!AC195))))-'Council Entry'!AC$5)/('Council Entry'!AC$6-'Council Entry'!AC$5),10*((IF('Council Entry'!AC$4="Logarithm",LN(0.001+IF(AND(ISNUMBER('Council Entry'!AC$8),ISNUMBER('Council Entry'!AC$9)),MAX(MIN('Council Entry'!AC195,'Council Entry'!AC$9),'Council Entry'!AC$8),'Council Entry'!AC195)),IF('Council Entry'!AC$4="Exponential",EXP(IF(AND(ISNUMBER('Council Entry'!AC$8),ISNUMBER('Council Entry'!AC$9)),MAX(MIN('Council Entry'!AC195,'Council Entry'!AC$9),'Council Entry'!AC$8),'Council Entry'!AC195)),IF(AND(ISNUMBER('Council Entry'!AC$8),ISNUMBER('Council Entry'!AC$9)),MAX(MIN('Council Entry'!AC195,'Council Entry'!AC$9),'Council Entry'!AC$8),'Council Entry'!AC195))))-'Council Entry'!AC$5)/('Council Entry'!AC$6-'Council Entry'!AC$5)),1))),"No data"))</f>
        <v/>
      </c>
      <c r="AD195" s="13">
        <f>IF('Council Entry'!AD195="","",IFERROR(MAX(0,MIN(10,ROUND(IF('Council Entry'!AD$7="Decrease Risk",10-10*((IF('Council Entry'!AD$4="Logarithm",LN(0.001+IF(AND(ISNUMBER('Council Entry'!AD$8),ISNUMBER('Council Entry'!AD$9)),MAX(MIN('Council Entry'!AD195,'Council Entry'!AD$9),'Council Entry'!AD$8),'Council Entry'!AD195)),IF('Council Entry'!AD$4="Exponential",EXP(IF(AND(ISNUMBER('Council Entry'!AD$8),ISNUMBER('Council Entry'!AD$9)),MAX(MIN('Council Entry'!AD195,'Council Entry'!AD$9),'Council Entry'!AD$8),'Council Entry'!AD195)),IF(AND(ISNUMBER('Council Entry'!AD$8),ISNUMBER('Council Entry'!AD$9)),MAX(MIN('Council Entry'!AD195,'Council Entry'!AD$9),'Council Entry'!AD$8),'Council Entry'!AD195))))-'Council Entry'!AD$5)/('Council Entry'!AD$6-'Council Entry'!AD$5),10*((IF('Council Entry'!AD$4="Logarithm",LN(0.001+IF(AND(ISNUMBER('Council Entry'!AD$8),ISNUMBER('Council Entry'!AD$9)),MAX(MIN('Council Entry'!AD195,'Council Entry'!AD$9),'Council Entry'!AD$8),'Council Entry'!AD195)),IF('Council Entry'!AD$4="Exponential",EXP(IF(AND(ISNUMBER('Council Entry'!AD$8),ISNUMBER('Council Entry'!AD$9)),MAX(MIN('Council Entry'!AD195,'Council Entry'!AD$9),'Council Entry'!AD$8),'Council Entry'!AD195)),IF(AND(ISNUMBER('Council Entry'!AD$8),ISNUMBER('Council Entry'!AD$9)),MAX(MIN('Council Entry'!AD195,'Council Entry'!AD$9),'Council Entry'!AD$8),'Council Entry'!AD195))))-'Council Entry'!AD$5)/('Council Entry'!AD$6-'Council Entry'!AD$5)),1))),"No data"))</f>
        <v/>
      </c>
      <c r="AE195" s="13">
        <f>IF('Council Entry'!AE195="","",IFERROR(MAX(0,MIN(10,ROUND(IF('Council Entry'!AE$7="Decrease Risk",10-10*((IF('Council Entry'!AE$4="Logarithm",LN(0.001+IF(AND(ISNUMBER('Council Entry'!AE$8),ISNUMBER('Council Entry'!AE$9)),MAX(MIN('Council Entry'!AE195,'Council Entry'!AE$9),'Council Entry'!AE$8),'Council Entry'!AE195)),IF('Council Entry'!AE$4="Exponential",EXP(IF(AND(ISNUMBER('Council Entry'!AE$8),ISNUMBER('Council Entry'!AE$9)),MAX(MIN('Council Entry'!AE195,'Council Entry'!AE$9),'Council Entry'!AE$8),'Council Entry'!AE195)),IF(AND(ISNUMBER('Council Entry'!AE$8),ISNUMBER('Council Entry'!AE$9)),MAX(MIN('Council Entry'!AE195,'Council Entry'!AE$9),'Council Entry'!AE$8),'Council Entry'!AE195))))-'Council Entry'!AE$5)/('Council Entry'!AE$6-'Council Entry'!AE$5),10*((IF('Council Entry'!AE$4="Logarithm",LN(0.001+IF(AND(ISNUMBER('Council Entry'!AE$8),ISNUMBER('Council Entry'!AE$9)),MAX(MIN('Council Entry'!AE195,'Council Entry'!AE$9),'Council Entry'!AE$8),'Council Entry'!AE195)),IF('Council Entry'!AE$4="Exponential",EXP(IF(AND(ISNUMBER('Council Entry'!AE$8),ISNUMBER('Council Entry'!AE$9)),MAX(MIN('Council Entry'!AE195,'Council Entry'!AE$9),'Council Entry'!AE$8),'Council Entry'!AE195)),IF(AND(ISNUMBER('Council Entry'!AE$8),ISNUMBER('Council Entry'!AE$9)),MAX(MIN('Council Entry'!AE195,'Council Entry'!AE$9),'Council Entry'!AE$8),'Council Entry'!AE195))))-'Council Entry'!AE$5)/('Council Entry'!AE$6-'Council Entry'!AE$5)),1))),"No data"))</f>
        <v/>
      </c>
      <c r="AF195" s="13">
        <f>IF('Council Entry'!AF195="","",IFERROR(MAX(0,MIN(10,ROUND(IF('Council Entry'!AF$7="Decrease Risk",10-10*((IF('Council Entry'!AF$4="Logarithm",LN(0.001+IF(AND(ISNUMBER('Council Entry'!AF$8),ISNUMBER('Council Entry'!AF$9)),MAX(MIN('Council Entry'!AF195,'Council Entry'!AF$9),'Council Entry'!AF$8),'Council Entry'!AF195)),IF('Council Entry'!AF$4="Exponential",EXP(IF(AND(ISNUMBER('Council Entry'!AF$8),ISNUMBER('Council Entry'!AF$9)),MAX(MIN('Council Entry'!AF195,'Council Entry'!AF$9),'Council Entry'!AF$8),'Council Entry'!AF195)),IF(AND(ISNUMBER('Council Entry'!AF$8),ISNUMBER('Council Entry'!AF$9)),MAX(MIN('Council Entry'!AF195,'Council Entry'!AF$9),'Council Entry'!AF$8),'Council Entry'!AF195))))-'Council Entry'!AF$5)/('Council Entry'!AF$6-'Council Entry'!AF$5),10*((IF('Council Entry'!AF$4="Logarithm",LN(0.001+IF(AND(ISNUMBER('Council Entry'!AF$8),ISNUMBER('Council Entry'!AF$9)),MAX(MIN('Council Entry'!AF195,'Council Entry'!AF$9),'Council Entry'!AF$8),'Council Entry'!AF195)),IF('Council Entry'!AF$4="Exponential",EXP(IF(AND(ISNUMBER('Council Entry'!AF$8),ISNUMBER('Council Entry'!AF$9)),MAX(MIN('Council Entry'!AF195,'Council Entry'!AF$9),'Council Entry'!AF$8),'Council Entry'!AF195)),IF(AND(ISNUMBER('Council Entry'!AF$8),ISNUMBER('Council Entry'!AF$9)),MAX(MIN('Council Entry'!AF195,'Council Entry'!AF$9),'Council Entry'!AF$8),'Council Entry'!AF195))))-'Council Entry'!AF$5)/('Council Entry'!AF$6-'Council Entry'!AF$5)),1))),"No data"))</f>
        <v/>
      </c>
      <c r="AG195" s="13">
        <f>IF('Council Entry'!AG195="","",IFERROR(MAX(0,MIN(10,ROUND(IF('Council Entry'!AG$7="Decrease Risk",10-10*((IF('Council Entry'!AG$4="Logarithm",LN(0.001+IF(AND(ISNUMBER('Council Entry'!AG$8),ISNUMBER('Council Entry'!AG$9)),MAX(MIN('Council Entry'!AG195,'Council Entry'!AG$9),'Council Entry'!AG$8),'Council Entry'!AG195)),IF('Council Entry'!AG$4="Exponential",EXP(IF(AND(ISNUMBER('Council Entry'!AG$8),ISNUMBER('Council Entry'!AG$9)),MAX(MIN('Council Entry'!AG195,'Council Entry'!AG$9),'Council Entry'!AG$8),'Council Entry'!AG195)),IF(AND(ISNUMBER('Council Entry'!AG$8),ISNUMBER('Council Entry'!AG$9)),MAX(MIN('Council Entry'!AG195,'Council Entry'!AG$9),'Council Entry'!AG$8),'Council Entry'!AG195))))-'Council Entry'!AG$5)/('Council Entry'!AG$6-'Council Entry'!AG$5),10*((IF('Council Entry'!AG$4="Logarithm",LN(0.001+IF(AND(ISNUMBER('Council Entry'!AG$8),ISNUMBER('Council Entry'!AG$9)),MAX(MIN('Council Entry'!AG195,'Council Entry'!AG$9),'Council Entry'!AG$8),'Council Entry'!AG195)),IF('Council Entry'!AG$4="Exponential",EXP(IF(AND(ISNUMBER('Council Entry'!AG$8),ISNUMBER('Council Entry'!AG$9)),MAX(MIN('Council Entry'!AG195,'Council Entry'!AG$9),'Council Entry'!AG$8),'Council Entry'!AG195)),IF(AND(ISNUMBER('Council Entry'!AG$8),ISNUMBER('Council Entry'!AG$9)),MAX(MIN('Council Entry'!AG195,'Council Entry'!AG$9),'Council Entry'!AG$8),'Council Entry'!AG195))))-'Council Entry'!AG$5)/('Council Entry'!AG$6-'Council Entry'!AG$5)),1))),"No data"))</f>
        <v/>
      </c>
      <c r="AH195" s="13">
        <f>IF('Council Entry'!AH195="","",IFERROR(MAX(0,MIN(10,ROUND(IF('Council Entry'!AH$7="Decrease Risk",10-10*((IF('Council Entry'!AH$4="Logarithm",LN(0.001+IF(AND(ISNUMBER('Council Entry'!AH$8),ISNUMBER('Council Entry'!AH$9)),MAX(MIN('Council Entry'!AH195,'Council Entry'!AH$9),'Council Entry'!AH$8),'Council Entry'!AH195)),IF('Council Entry'!AH$4="Exponential",EXP(IF(AND(ISNUMBER('Council Entry'!AH$8),ISNUMBER('Council Entry'!AH$9)),MAX(MIN('Council Entry'!AH195,'Council Entry'!AH$9),'Council Entry'!AH$8),'Council Entry'!AH195)),IF(AND(ISNUMBER('Council Entry'!AH$8),ISNUMBER('Council Entry'!AH$9)),MAX(MIN('Council Entry'!AH195,'Council Entry'!AH$9),'Council Entry'!AH$8),'Council Entry'!AH195))))-'Council Entry'!AH$5)/('Council Entry'!AH$6-'Council Entry'!AH$5),10*((IF('Council Entry'!AH$4="Logarithm",LN(0.001+IF(AND(ISNUMBER('Council Entry'!AH$8),ISNUMBER('Council Entry'!AH$9)),MAX(MIN('Council Entry'!AH195,'Council Entry'!AH$9),'Council Entry'!AH$8),'Council Entry'!AH195)),IF('Council Entry'!AH$4="Exponential",EXP(IF(AND(ISNUMBER('Council Entry'!AH$8),ISNUMBER('Council Entry'!AH$9)),MAX(MIN('Council Entry'!AH195,'Council Entry'!AH$9),'Council Entry'!AH$8),'Council Entry'!AH195)),IF(AND(ISNUMBER('Council Entry'!AH$8),ISNUMBER('Council Entry'!AH$9)),MAX(MIN('Council Entry'!AH195,'Council Entry'!AH$9),'Council Entry'!AH$8),'Council Entry'!AH195))))-'Council Entry'!AH$5)/('Council Entry'!AH$6-'Council Entry'!AH$5)),1))),"No data"))</f>
        <v/>
      </c>
      <c r="AI195" s="13">
        <f>IF('Council Entry'!AI195="","",IFERROR(MAX(0,MIN(10,ROUND(IF('Council Entry'!AI$7="Decrease Risk",10-10*((IF('Council Entry'!AI$4="Logarithm",LN(0.001+IF(AND(ISNUMBER('Council Entry'!AI$8),ISNUMBER('Council Entry'!AI$9)),MAX(MIN('Council Entry'!AI195,'Council Entry'!AI$9),'Council Entry'!AI$8),'Council Entry'!AI195)),IF('Council Entry'!AI$4="Exponential",EXP(IF(AND(ISNUMBER('Council Entry'!AI$8),ISNUMBER('Council Entry'!AI$9)),MAX(MIN('Council Entry'!AI195,'Council Entry'!AI$9),'Council Entry'!AI$8),'Council Entry'!AI195)),IF(AND(ISNUMBER('Council Entry'!AI$8),ISNUMBER('Council Entry'!AI$9)),MAX(MIN('Council Entry'!AI195,'Council Entry'!AI$9),'Council Entry'!AI$8),'Council Entry'!AI195))))-'Council Entry'!AI$5)/('Council Entry'!AI$6-'Council Entry'!AI$5),10*((IF('Council Entry'!AI$4="Logarithm",LN(0.001+IF(AND(ISNUMBER('Council Entry'!AI$8),ISNUMBER('Council Entry'!AI$9)),MAX(MIN('Council Entry'!AI195,'Council Entry'!AI$9),'Council Entry'!AI$8),'Council Entry'!AI195)),IF('Council Entry'!AI$4="Exponential",EXP(IF(AND(ISNUMBER('Council Entry'!AI$8),ISNUMBER('Council Entry'!AI$9)),MAX(MIN('Council Entry'!AI195,'Council Entry'!AI$9),'Council Entry'!AI$8),'Council Entry'!AI195)),IF(AND(ISNUMBER('Council Entry'!AI$8),ISNUMBER('Council Entry'!AI$9)),MAX(MIN('Council Entry'!AI195,'Council Entry'!AI$9),'Council Entry'!AI$8),'Council Entry'!AI195))))-'Council Entry'!AI$5)/('Council Entry'!AI$6-'Council Entry'!AI$5)),1))),"No data"))</f>
        <v/>
      </c>
      <c r="AJ195" s="13">
        <f>IF('Council Entry'!AJ195="","",IFERROR(MAX(0,MIN(10,ROUND(IF('Council Entry'!AJ$7="Decrease Risk",10-10*((IF('Council Entry'!AJ$4="Logarithm",LN(0.001+IF(AND(ISNUMBER('Council Entry'!AJ$8),ISNUMBER('Council Entry'!AJ$9)),MAX(MIN('Council Entry'!AJ195,'Council Entry'!AJ$9),'Council Entry'!AJ$8),'Council Entry'!AJ195)),IF('Council Entry'!AJ$4="Exponential",EXP(IF(AND(ISNUMBER('Council Entry'!AJ$8),ISNUMBER('Council Entry'!AJ$9)),MAX(MIN('Council Entry'!AJ195,'Council Entry'!AJ$9),'Council Entry'!AJ$8),'Council Entry'!AJ195)),IF(AND(ISNUMBER('Council Entry'!AJ$8),ISNUMBER('Council Entry'!AJ$9)),MAX(MIN('Council Entry'!AJ195,'Council Entry'!AJ$9),'Council Entry'!AJ$8),'Council Entry'!AJ195))))-'Council Entry'!AJ$5)/('Council Entry'!AJ$6-'Council Entry'!AJ$5),10*((IF('Council Entry'!AJ$4="Logarithm",LN(0.001+IF(AND(ISNUMBER('Council Entry'!AJ$8),ISNUMBER('Council Entry'!AJ$9)),MAX(MIN('Council Entry'!AJ195,'Council Entry'!AJ$9),'Council Entry'!AJ$8),'Council Entry'!AJ195)),IF('Council Entry'!AJ$4="Exponential",EXP(IF(AND(ISNUMBER('Council Entry'!AJ$8),ISNUMBER('Council Entry'!AJ$9)),MAX(MIN('Council Entry'!AJ195,'Council Entry'!AJ$9),'Council Entry'!AJ$8),'Council Entry'!AJ195)),IF(AND(ISNUMBER('Council Entry'!AJ$8),ISNUMBER('Council Entry'!AJ$9)),MAX(MIN('Council Entry'!AJ195,'Council Entry'!AJ$9),'Council Entry'!AJ$8),'Council Entry'!AJ195))))-'Council Entry'!AJ$5)/('Council Entry'!AJ$6-'Council Entry'!AJ$5)),1))),"No data"))</f>
        <v/>
      </c>
      <c r="AK195" s="13">
        <f>IF('Council Entry'!AK195="","",IFERROR(MAX(0,MIN(10,ROUND(IF('Council Entry'!AK$7="Decrease Risk",10-10*((IF('Council Entry'!AK$4="Logarithm",LN(0.001+IF(AND(ISNUMBER('Council Entry'!AK$8),ISNUMBER('Council Entry'!AK$9)),MAX(MIN('Council Entry'!AK195,'Council Entry'!AK$9),'Council Entry'!AK$8),'Council Entry'!AK195)),IF('Council Entry'!AK$4="Exponential",EXP(IF(AND(ISNUMBER('Council Entry'!AK$8),ISNUMBER('Council Entry'!AK$9)),MAX(MIN('Council Entry'!AK195,'Council Entry'!AK$9),'Council Entry'!AK$8),'Council Entry'!AK195)),IF(AND(ISNUMBER('Council Entry'!AK$8),ISNUMBER('Council Entry'!AK$9)),MAX(MIN('Council Entry'!AK195,'Council Entry'!AK$9),'Council Entry'!AK$8),'Council Entry'!AK195))))-'Council Entry'!AK$5)/('Council Entry'!AK$6-'Council Entry'!AK$5),10*((IF('Council Entry'!AK$4="Logarithm",LN(0.001+IF(AND(ISNUMBER('Council Entry'!AK$8),ISNUMBER('Council Entry'!AK$9)),MAX(MIN('Council Entry'!AK195,'Council Entry'!AK$9),'Council Entry'!AK$8),'Council Entry'!AK195)),IF('Council Entry'!AK$4="Exponential",EXP(IF(AND(ISNUMBER('Council Entry'!AK$8),ISNUMBER('Council Entry'!AK$9)),MAX(MIN('Council Entry'!AK195,'Council Entry'!AK$9),'Council Entry'!AK$8),'Council Entry'!AK195)),IF(AND(ISNUMBER('Council Entry'!AK$8),ISNUMBER('Council Entry'!AK$9)),MAX(MIN('Council Entry'!AK195,'Council Entry'!AK$9),'Council Entry'!AK$8),'Council Entry'!AK195))))-'Council Entry'!AK$5)/('Council Entry'!AK$6-'Council Entry'!AK$5)),1))),"No data"))</f>
        <v/>
      </c>
      <c r="AL195" s="13">
        <f>IF('Council Entry'!AL195="","",IFERROR(MAX(0,MIN(10,ROUND(IF('Council Entry'!AL$7="Decrease Risk",10-10*((IF('Council Entry'!AL$4="Logarithm",LN(0.001+IF(AND(ISNUMBER('Council Entry'!AL$8),ISNUMBER('Council Entry'!AL$9)),MAX(MIN('Council Entry'!AL195,'Council Entry'!AL$9),'Council Entry'!AL$8),'Council Entry'!AL195)),IF('Council Entry'!AL$4="Exponential",EXP(IF(AND(ISNUMBER('Council Entry'!AL$8),ISNUMBER('Council Entry'!AL$9)),MAX(MIN('Council Entry'!AL195,'Council Entry'!AL$9),'Council Entry'!AL$8),'Council Entry'!AL195)),IF(AND(ISNUMBER('Council Entry'!AL$8),ISNUMBER('Council Entry'!AL$9)),MAX(MIN('Council Entry'!AL195,'Council Entry'!AL$9),'Council Entry'!AL$8),'Council Entry'!AL195))))-'Council Entry'!AL$5)/('Council Entry'!AL$6-'Council Entry'!AL$5),10*((IF('Council Entry'!AL$4="Logarithm",LN(0.001+IF(AND(ISNUMBER('Council Entry'!AL$8),ISNUMBER('Council Entry'!AL$9)),MAX(MIN('Council Entry'!AL195,'Council Entry'!AL$9),'Council Entry'!AL$8),'Council Entry'!AL195)),IF('Council Entry'!AL$4="Exponential",EXP(IF(AND(ISNUMBER('Council Entry'!AL$8),ISNUMBER('Council Entry'!AL$9)),MAX(MIN('Council Entry'!AL195,'Council Entry'!AL$9),'Council Entry'!AL$8),'Council Entry'!AL195)),IF(AND(ISNUMBER('Council Entry'!AL$8),ISNUMBER('Council Entry'!AL$9)),MAX(MIN('Council Entry'!AL195,'Council Entry'!AL$9),'Council Entry'!AL$8),'Council Entry'!AL195))))-'Council Entry'!AL$5)/('Council Entry'!AL$6-'Council Entry'!AL$5)),1))),"No data"))</f>
        <v/>
      </c>
      <c r="AM195" s="13">
        <f>IF('Council Entry'!AM195="","",IFERROR(MAX(0,MIN(10,ROUND(IF('Council Entry'!AM$7="Decrease Risk",10-10*((IF('Council Entry'!AM$4="Logarithm",LN(0.001+IF(AND(ISNUMBER('Council Entry'!AM$8),ISNUMBER('Council Entry'!AM$9)),MAX(MIN('Council Entry'!AM195,'Council Entry'!AM$9),'Council Entry'!AM$8),'Council Entry'!AM195)),IF('Council Entry'!AM$4="Exponential",EXP(IF(AND(ISNUMBER('Council Entry'!AM$8),ISNUMBER('Council Entry'!AM$9)),MAX(MIN('Council Entry'!AM195,'Council Entry'!AM$9),'Council Entry'!AM$8),'Council Entry'!AM195)),IF(AND(ISNUMBER('Council Entry'!AM$8),ISNUMBER('Council Entry'!AM$9)),MAX(MIN('Council Entry'!AM195,'Council Entry'!AM$9),'Council Entry'!AM$8),'Council Entry'!AM195))))-'Council Entry'!AM$5)/('Council Entry'!AM$6-'Council Entry'!AM$5),10*((IF('Council Entry'!AM$4="Logarithm",LN(0.001+IF(AND(ISNUMBER('Council Entry'!AM$8),ISNUMBER('Council Entry'!AM$9)),MAX(MIN('Council Entry'!AM195,'Council Entry'!AM$9),'Council Entry'!AM$8),'Council Entry'!AM195)),IF('Council Entry'!AM$4="Exponential",EXP(IF(AND(ISNUMBER('Council Entry'!AM$8),ISNUMBER('Council Entry'!AM$9)),MAX(MIN('Council Entry'!AM195,'Council Entry'!AM$9),'Council Entry'!AM$8),'Council Entry'!AM195)),IF(AND(ISNUMBER('Council Entry'!AM$8),ISNUMBER('Council Entry'!AM$9)),MAX(MIN('Council Entry'!AM195,'Council Entry'!AM$9),'Council Entry'!AM$8),'Council Entry'!AM195))))-'Council Entry'!AM$5)/('Council Entry'!AM$6-'Council Entry'!AM$5)),1))),"No data"))</f>
        <v/>
      </c>
      <c r="AN195" s="13">
        <f>IF('Council Entry'!AN195="","",IFERROR(MAX(0,MIN(10,ROUND(IF('Council Entry'!AN$7="Decrease Risk",10-10*((IF('Council Entry'!AN$4="Logarithm",LN(0.001+IF(AND(ISNUMBER('Council Entry'!AN$8),ISNUMBER('Council Entry'!AN$9)),MAX(MIN('Council Entry'!AN195,'Council Entry'!AN$9),'Council Entry'!AN$8),'Council Entry'!AN195)),IF('Council Entry'!AN$4="Exponential",EXP(IF(AND(ISNUMBER('Council Entry'!AN$8),ISNUMBER('Council Entry'!AN$9)),MAX(MIN('Council Entry'!AN195,'Council Entry'!AN$9),'Council Entry'!AN$8),'Council Entry'!AN195)),IF(AND(ISNUMBER('Council Entry'!AN$8),ISNUMBER('Council Entry'!AN$9)),MAX(MIN('Council Entry'!AN195,'Council Entry'!AN$9),'Council Entry'!AN$8),'Council Entry'!AN195))))-'Council Entry'!AN$5)/('Council Entry'!AN$6-'Council Entry'!AN$5),10*((IF('Council Entry'!AN$4="Logarithm",LN(0.001+IF(AND(ISNUMBER('Council Entry'!AN$8),ISNUMBER('Council Entry'!AN$9)),MAX(MIN('Council Entry'!AN195,'Council Entry'!AN$9),'Council Entry'!AN$8),'Council Entry'!AN195)),IF('Council Entry'!AN$4="Exponential",EXP(IF(AND(ISNUMBER('Council Entry'!AN$8),ISNUMBER('Council Entry'!AN$9)),MAX(MIN('Council Entry'!AN195,'Council Entry'!AN$9),'Council Entry'!AN$8),'Council Entry'!AN195)),IF(AND(ISNUMBER('Council Entry'!AN$8),ISNUMBER('Council Entry'!AN$9)),MAX(MIN('Council Entry'!AN195,'Council Entry'!AN$9),'Council Entry'!AN$8),'Council Entry'!AN195))))-'Council Entry'!AN$5)/('Council Entry'!AN$6-'Council Entry'!AN$5)),1))),"No data"))</f>
        <v/>
      </c>
      <c r="AO195" s="13">
        <f>IF('Council Entry'!AO195="","",IFERROR(MAX(0,MIN(10,ROUND(IF('Council Entry'!AO$7="Decrease Risk",10-10*((IF('Council Entry'!AO$4="Logarithm",LN(0.001+IF(AND(ISNUMBER('Council Entry'!AO$8),ISNUMBER('Council Entry'!AO$9)),MAX(MIN('Council Entry'!AO195,'Council Entry'!AO$9),'Council Entry'!AO$8),'Council Entry'!AO195)),IF('Council Entry'!AO$4="Exponential",EXP(IF(AND(ISNUMBER('Council Entry'!AO$8),ISNUMBER('Council Entry'!AO$9)),MAX(MIN('Council Entry'!AO195,'Council Entry'!AO$9),'Council Entry'!AO$8),'Council Entry'!AO195)),IF(AND(ISNUMBER('Council Entry'!AO$8),ISNUMBER('Council Entry'!AO$9)),MAX(MIN('Council Entry'!AO195,'Council Entry'!AO$9),'Council Entry'!AO$8),'Council Entry'!AO195))))-'Council Entry'!AO$5)/('Council Entry'!AO$6-'Council Entry'!AO$5),10*((IF('Council Entry'!AO$4="Logarithm",LN(0.001+IF(AND(ISNUMBER('Council Entry'!AO$8),ISNUMBER('Council Entry'!AO$9)),MAX(MIN('Council Entry'!AO195,'Council Entry'!AO$9),'Council Entry'!AO$8),'Council Entry'!AO195)),IF('Council Entry'!AO$4="Exponential",EXP(IF(AND(ISNUMBER('Council Entry'!AO$8),ISNUMBER('Council Entry'!AO$9)),MAX(MIN('Council Entry'!AO195,'Council Entry'!AO$9),'Council Entry'!AO$8),'Council Entry'!AO195)),IF(AND(ISNUMBER('Council Entry'!AO$8),ISNUMBER('Council Entry'!AO$9)),MAX(MIN('Council Entry'!AO195,'Council Entry'!AO$9),'Council Entry'!AO$8),'Council Entry'!AO195))))-'Council Entry'!AO$5)/('Council Entry'!AO$6-'Council Entry'!AO$5)),1))),"No data"))</f>
        <v/>
      </c>
      <c r="AP195" s="13">
        <f>IF('Council Entry'!AP195="","",IFERROR(MAX(0,MIN(10,ROUND(IF('Council Entry'!AP$7="Decrease Risk",10-10*((IF('Council Entry'!AP$4="Logarithm",LN(0.001+IF(AND(ISNUMBER('Council Entry'!AP$8),ISNUMBER('Council Entry'!AP$9)),MAX(MIN('Council Entry'!AP195,'Council Entry'!AP$9),'Council Entry'!AP$8),'Council Entry'!AP195)),IF('Council Entry'!AP$4="Exponential",EXP(IF(AND(ISNUMBER('Council Entry'!AP$8),ISNUMBER('Council Entry'!AP$9)),MAX(MIN('Council Entry'!AP195,'Council Entry'!AP$9),'Council Entry'!AP$8),'Council Entry'!AP195)),IF(AND(ISNUMBER('Council Entry'!AP$8),ISNUMBER('Council Entry'!AP$9)),MAX(MIN('Council Entry'!AP195,'Council Entry'!AP$9),'Council Entry'!AP$8),'Council Entry'!AP195))))-'Council Entry'!AP$5)/('Council Entry'!AP$6-'Council Entry'!AP$5),10*((IF('Council Entry'!AP$4="Logarithm",LN(0.001+IF(AND(ISNUMBER('Council Entry'!AP$8),ISNUMBER('Council Entry'!AP$9)),MAX(MIN('Council Entry'!AP195,'Council Entry'!AP$9),'Council Entry'!AP$8),'Council Entry'!AP195)),IF('Council Entry'!AP$4="Exponential",EXP(IF(AND(ISNUMBER('Council Entry'!AP$8),ISNUMBER('Council Entry'!AP$9)),MAX(MIN('Council Entry'!AP195,'Council Entry'!AP$9),'Council Entry'!AP$8),'Council Entry'!AP195)),IF(AND(ISNUMBER('Council Entry'!AP$8),ISNUMBER('Council Entry'!AP$9)),MAX(MIN('Council Entry'!AP195,'Council Entry'!AP$9),'Council Entry'!AP$8),'Council Entry'!AP195))))-'Council Entry'!AP$5)/('Council Entry'!AP$6-'Council Entry'!AP$5)),1))),"No data"))</f>
        <v/>
      </c>
      <c r="AQ195" s="13">
        <f>IF('Council Entry'!AQ195="","",IFERROR(MAX(0,MIN(10,ROUND(IF('Council Entry'!AQ$7="Decrease Risk",10-10*((IF('Council Entry'!AQ$4="Logarithm",LN(0.001+IF(AND(ISNUMBER('Council Entry'!AQ$8),ISNUMBER('Council Entry'!AQ$9)),MAX(MIN('Council Entry'!AQ195,'Council Entry'!AQ$9),'Council Entry'!AQ$8),'Council Entry'!AQ195)),IF('Council Entry'!AQ$4="Exponential",EXP(IF(AND(ISNUMBER('Council Entry'!AQ$8),ISNUMBER('Council Entry'!AQ$9)),MAX(MIN('Council Entry'!AQ195,'Council Entry'!AQ$9),'Council Entry'!AQ$8),'Council Entry'!AQ195)),IF(AND(ISNUMBER('Council Entry'!AQ$8),ISNUMBER('Council Entry'!AQ$9)),MAX(MIN('Council Entry'!AQ195,'Council Entry'!AQ$9),'Council Entry'!AQ$8),'Council Entry'!AQ195))))-'Council Entry'!AQ$5)/('Council Entry'!AQ$6-'Council Entry'!AQ$5),10*((IF('Council Entry'!AQ$4="Logarithm",LN(0.001+IF(AND(ISNUMBER('Council Entry'!AQ$8),ISNUMBER('Council Entry'!AQ$9)),MAX(MIN('Council Entry'!AQ195,'Council Entry'!AQ$9),'Council Entry'!AQ$8),'Council Entry'!AQ195)),IF('Council Entry'!AQ$4="Exponential",EXP(IF(AND(ISNUMBER('Council Entry'!AQ$8),ISNUMBER('Council Entry'!AQ$9)),MAX(MIN('Council Entry'!AQ195,'Council Entry'!AQ$9),'Council Entry'!AQ$8),'Council Entry'!AQ195)),IF(AND(ISNUMBER('Council Entry'!AQ$8),ISNUMBER('Council Entry'!AQ$9)),MAX(MIN('Council Entry'!AQ195,'Council Entry'!AQ$9),'Council Entry'!AQ$8),'Council Entry'!AQ195))))-'Council Entry'!AQ$5)/('Council Entry'!AQ$6-'Council Entry'!AQ$5)),1))),"No data"))</f>
        <v/>
      </c>
      <c r="AR195" s="13">
        <f>IF('Council Entry'!AR195="","",IFERROR(MAX(0,MIN(10,ROUND(IF('Council Entry'!AR$7="Decrease Risk",10-10*((IF('Council Entry'!AR$4="Logarithm",LN(0.001+IF(AND(ISNUMBER('Council Entry'!AR$8),ISNUMBER('Council Entry'!AR$9)),MAX(MIN('Council Entry'!AR195,'Council Entry'!AR$9),'Council Entry'!AR$8),'Council Entry'!AR195)),IF('Council Entry'!AR$4="Exponential",EXP(IF(AND(ISNUMBER('Council Entry'!AR$8),ISNUMBER('Council Entry'!AR$9)),MAX(MIN('Council Entry'!AR195,'Council Entry'!AR$9),'Council Entry'!AR$8),'Council Entry'!AR195)),IF(AND(ISNUMBER('Council Entry'!AR$8),ISNUMBER('Council Entry'!AR$9)),MAX(MIN('Council Entry'!AR195,'Council Entry'!AR$9),'Council Entry'!AR$8),'Council Entry'!AR195))))-'Council Entry'!AR$5)/('Council Entry'!AR$6-'Council Entry'!AR$5),10*((IF('Council Entry'!AR$4="Logarithm",LN(0.001+IF(AND(ISNUMBER('Council Entry'!AR$8),ISNUMBER('Council Entry'!AR$9)),MAX(MIN('Council Entry'!AR195,'Council Entry'!AR$9),'Council Entry'!AR$8),'Council Entry'!AR195)),IF('Council Entry'!AR$4="Exponential",EXP(IF(AND(ISNUMBER('Council Entry'!AR$8),ISNUMBER('Council Entry'!AR$9)),MAX(MIN('Council Entry'!AR195,'Council Entry'!AR$9),'Council Entry'!AR$8),'Council Entry'!AR195)),IF(AND(ISNUMBER('Council Entry'!AR$8),ISNUMBER('Council Entry'!AR$9)),MAX(MIN('Council Entry'!AR195,'Council Entry'!AR$9),'Council Entry'!AR$8),'Council Entry'!AR195))))-'Council Entry'!AR$5)/('Council Entry'!AR$6-'Council Entry'!AR$5)),1))),"No data"))</f>
        <v/>
      </c>
      <c r="AS195" s="13">
        <f>IF('Council Entry'!AS195="","",IFERROR(MAX(0,MIN(10,ROUND(IF('Council Entry'!AS$7="Decrease Risk",10-10*((IF('Council Entry'!AS$4="Logarithm",LN(0.001+IF(AND(ISNUMBER('Council Entry'!AS$8),ISNUMBER('Council Entry'!AS$9)),MAX(MIN('Council Entry'!AS195,'Council Entry'!AS$9),'Council Entry'!AS$8),'Council Entry'!AS195)),IF('Council Entry'!AS$4="Exponential",EXP(IF(AND(ISNUMBER('Council Entry'!AS$8),ISNUMBER('Council Entry'!AS$9)),MAX(MIN('Council Entry'!AS195,'Council Entry'!AS$9),'Council Entry'!AS$8),'Council Entry'!AS195)),IF(AND(ISNUMBER('Council Entry'!AS$8),ISNUMBER('Council Entry'!AS$9)),MAX(MIN('Council Entry'!AS195,'Council Entry'!AS$9),'Council Entry'!AS$8),'Council Entry'!AS195))))-'Council Entry'!AS$5)/('Council Entry'!AS$6-'Council Entry'!AS$5),10*((IF('Council Entry'!AS$4="Logarithm",LN(0.001+IF(AND(ISNUMBER('Council Entry'!AS$8),ISNUMBER('Council Entry'!AS$9)),MAX(MIN('Council Entry'!AS195,'Council Entry'!AS$9),'Council Entry'!AS$8),'Council Entry'!AS195)),IF('Council Entry'!AS$4="Exponential",EXP(IF(AND(ISNUMBER('Council Entry'!AS$8),ISNUMBER('Council Entry'!AS$9)),MAX(MIN('Council Entry'!AS195,'Council Entry'!AS$9),'Council Entry'!AS$8),'Council Entry'!AS195)),IF(AND(ISNUMBER('Council Entry'!AS$8),ISNUMBER('Council Entry'!AS$9)),MAX(MIN('Council Entry'!AS195,'Council Entry'!AS$9),'Council Entry'!AS$8),'Council Entry'!AS195))))-'Council Entry'!AS$5)/('Council Entry'!AS$6-'Council Entry'!AS$5)),1))),"No data"))</f>
        <v/>
      </c>
      <c r="AT195" s="13">
        <f>IF('Council Entry'!AT195="","",IFERROR(MAX(0,MIN(10,ROUND(IF('Council Entry'!AT$7="Decrease Risk",10-10*((IF('Council Entry'!AT$4="Logarithm",LN(0.001+IF(AND(ISNUMBER('Council Entry'!AT$8),ISNUMBER('Council Entry'!AT$9)),MAX(MIN('Council Entry'!AT195,'Council Entry'!AT$9),'Council Entry'!AT$8),'Council Entry'!AT195)),IF('Council Entry'!AT$4="Exponential",EXP(IF(AND(ISNUMBER('Council Entry'!AT$8),ISNUMBER('Council Entry'!AT$9)),MAX(MIN('Council Entry'!AT195,'Council Entry'!AT$9),'Council Entry'!AT$8),'Council Entry'!AT195)),IF(AND(ISNUMBER('Council Entry'!AT$8),ISNUMBER('Council Entry'!AT$9)),MAX(MIN('Council Entry'!AT195,'Council Entry'!AT$9),'Council Entry'!AT$8),'Council Entry'!AT195))))-'Council Entry'!AT$5)/('Council Entry'!AT$6-'Council Entry'!AT$5),10*((IF('Council Entry'!AT$4="Logarithm",LN(0.001+IF(AND(ISNUMBER('Council Entry'!AT$8),ISNUMBER('Council Entry'!AT$9)),MAX(MIN('Council Entry'!AT195,'Council Entry'!AT$9),'Council Entry'!AT$8),'Council Entry'!AT195)),IF('Council Entry'!AT$4="Exponential",EXP(IF(AND(ISNUMBER('Council Entry'!AT$8),ISNUMBER('Council Entry'!AT$9)),MAX(MIN('Council Entry'!AT195,'Council Entry'!AT$9),'Council Entry'!AT$8),'Council Entry'!AT195)),IF(AND(ISNUMBER('Council Entry'!AT$8),ISNUMBER('Council Entry'!AT$9)),MAX(MIN('Council Entry'!AT195,'Council Entry'!AT$9),'Council Entry'!AT$8),'Council Entry'!AT195))))-'Council Entry'!AT$5)/('Council Entry'!AT$6-'Council Entry'!AT$5)),1))),"No data"))</f>
        <v/>
      </c>
      <c r="AU195" s="13">
        <f>IF('Council Entry'!AU195="","",IFERROR(MAX(0,MIN(10,ROUND(IF('Council Entry'!AU$7="Decrease Risk",10-10*((IF('Council Entry'!AU$4="Logarithm",LN(0.001+IF(AND(ISNUMBER('Council Entry'!AU$8),ISNUMBER('Council Entry'!AU$9)),MAX(MIN('Council Entry'!AU195,'Council Entry'!AU$9),'Council Entry'!AU$8),'Council Entry'!AU195)),IF('Council Entry'!AU$4="Exponential",EXP(IF(AND(ISNUMBER('Council Entry'!AU$8),ISNUMBER('Council Entry'!AU$9)),MAX(MIN('Council Entry'!AU195,'Council Entry'!AU$9),'Council Entry'!AU$8),'Council Entry'!AU195)),IF(AND(ISNUMBER('Council Entry'!AU$8),ISNUMBER('Council Entry'!AU$9)),MAX(MIN('Council Entry'!AU195,'Council Entry'!AU$9),'Council Entry'!AU$8),'Council Entry'!AU195))))-'Council Entry'!AU$5)/('Council Entry'!AU$6-'Council Entry'!AU$5),10*((IF('Council Entry'!AU$4="Logarithm",LN(0.001+IF(AND(ISNUMBER('Council Entry'!AU$8),ISNUMBER('Council Entry'!AU$9)),MAX(MIN('Council Entry'!AU195,'Council Entry'!AU$9),'Council Entry'!AU$8),'Council Entry'!AU195)),IF('Council Entry'!AU$4="Exponential",EXP(IF(AND(ISNUMBER('Council Entry'!AU$8),ISNUMBER('Council Entry'!AU$9)),MAX(MIN('Council Entry'!AU195,'Council Entry'!AU$9),'Council Entry'!AU$8),'Council Entry'!AU195)),IF(AND(ISNUMBER('Council Entry'!AU$8),ISNUMBER('Council Entry'!AU$9)),MAX(MIN('Council Entry'!AU195,'Council Entry'!AU$9),'Council Entry'!AU$8),'Council Entry'!AU195))))-'Council Entry'!AU$5)/('Council Entry'!AU$6-'Council Entry'!AU$5)),1))),"No data"))</f>
        <v/>
      </c>
      <c r="AV195" s="13">
        <f>IF('Council Entry'!AV195="","",IFERROR(MAX(0,MIN(10,ROUND(IF('Council Entry'!AV$7="Decrease Risk",10-10*((IF('Council Entry'!AV$4="Logarithm",LN(0.001+IF(AND(ISNUMBER('Council Entry'!AV$8),ISNUMBER('Council Entry'!AV$9)),MAX(MIN('Council Entry'!AV195,'Council Entry'!AV$9),'Council Entry'!AV$8),'Council Entry'!AV195)),IF('Council Entry'!AV$4="Exponential",EXP(IF(AND(ISNUMBER('Council Entry'!AV$8),ISNUMBER('Council Entry'!AV$9)),MAX(MIN('Council Entry'!AV195,'Council Entry'!AV$9),'Council Entry'!AV$8),'Council Entry'!AV195)),IF(AND(ISNUMBER('Council Entry'!AV$8),ISNUMBER('Council Entry'!AV$9)),MAX(MIN('Council Entry'!AV195,'Council Entry'!AV$9),'Council Entry'!AV$8),'Council Entry'!AV195))))-'Council Entry'!AV$5)/('Council Entry'!AV$6-'Council Entry'!AV$5),10*((IF('Council Entry'!AV$4="Logarithm",LN(0.001+IF(AND(ISNUMBER('Council Entry'!AV$8),ISNUMBER('Council Entry'!AV$9)),MAX(MIN('Council Entry'!AV195,'Council Entry'!AV$9),'Council Entry'!AV$8),'Council Entry'!AV195)),IF('Council Entry'!AV$4="Exponential",EXP(IF(AND(ISNUMBER('Council Entry'!AV$8),ISNUMBER('Council Entry'!AV$9)),MAX(MIN('Council Entry'!AV195,'Council Entry'!AV$9),'Council Entry'!AV$8),'Council Entry'!AV195)),IF(AND(ISNUMBER('Council Entry'!AV$8),ISNUMBER('Council Entry'!AV$9)),MAX(MIN('Council Entry'!AV195,'Council Entry'!AV$9),'Council Entry'!AV$8),'Council Entry'!AV195))))-'Council Entry'!AV$5)/('Council Entry'!AV$6-'Council Entry'!AV$5)),1))),"No data"))</f>
        <v/>
      </c>
      <c r="AW195" s="13">
        <f>IF('Council Entry'!AW195="","",IFERROR(MAX(0,MIN(10,ROUND(IF('Council Entry'!AW$7="Decrease Risk",10-10*((IF('Council Entry'!AW$4="Logarithm",LN(0.001+IF(AND(ISNUMBER('Council Entry'!AW$8),ISNUMBER('Council Entry'!AW$9)),MAX(MIN('Council Entry'!AW195,'Council Entry'!AW$9),'Council Entry'!AW$8),'Council Entry'!AW195)),IF('Council Entry'!AW$4="Exponential",EXP(IF(AND(ISNUMBER('Council Entry'!AW$8),ISNUMBER('Council Entry'!AW$9)),MAX(MIN('Council Entry'!AW195,'Council Entry'!AW$9),'Council Entry'!AW$8),'Council Entry'!AW195)),IF(AND(ISNUMBER('Council Entry'!AW$8),ISNUMBER('Council Entry'!AW$9)),MAX(MIN('Council Entry'!AW195,'Council Entry'!AW$9),'Council Entry'!AW$8),'Council Entry'!AW195))))-'Council Entry'!AW$5)/('Council Entry'!AW$6-'Council Entry'!AW$5),10*((IF('Council Entry'!AW$4="Logarithm",LN(0.001+IF(AND(ISNUMBER('Council Entry'!AW$8),ISNUMBER('Council Entry'!AW$9)),MAX(MIN('Council Entry'!AW195,'Council Entry'!AW$9),'Council Entry'!AW$8),'Council Entry'!AW195)),IF('Council Entry'!AW$4="Exponential",EXP(IF(AND(ISNUMBER('Council Entry'!AW$8),ISNUMBER('Council Entry'!AW$9)),MAX(MIN('Council Entry'!AW195,'Council Entry'!AW$9),'Council Entry'!AW$8),'Council Entry'!AW195)),IF(AND(ISNUMBER('Council Entry'!AW$8),ISNUMBER('Council Entry'!AW$9)),MAX(MIN('Council Entry'!AW195,'Council Entry'!AW$9),'Council Entry'!AW$8),'Council Entry'!AW195))))-'Council Entry'!AW$5)/('Council Entry'!AW$6-'Council Entry'!AW$5)),1))),"No data"))</f>
        <v/>
      </c>
      <c r="AX195" s="13">
        <f>IF('Council Entry'!AX195="","",IFERROR(MAX(0,MIN(10,ROUND(IF('Council Entry'!AX$7="Decrease Risk",10-10*((IF('Council Entry'!AX$4="Logarithm",LN(0.001+IF(AND(ISNUMBER('Council Entry'!AX$8),ISNUMBER('Council Entry'!AX$9)),MAX(MIN('Council Entry'!AX195,'Council Entry'!AX$9),'Council Entry'!AX$8),'Council Entry'!AX195)),IF('Council Entry'!AX$4="Exponential",EXP(IF(AND(ISNUMBER('Council Entry'!AX$8),ISNUMBER('Council Entry'!AX$9)),MAX(MIN('Council Entry'!AX195,'Council Entry'!AX$9),'Council Entry'!AX$8),'Council Entry'!AX195)),IF(AND(ISNUMBER('Council Entry'!AX$8),ISNUMBER('Council Entry'!AX$9)),MAX(MIN('Council Entry'!AX195,'Council Entry'!AX$9),'Council Entry'!AX$8),'Council Entry'!AX195))))-'Council Entry'!AX$5)/('Council Entry'!AX$6-'Council Entry'!AX$5),10*((IF('Council Entry'!AX$4="Logarithm",LN(0.001+IF(AND(ISNUMBER('Council Entry'!AX$8),ISNUMBER('Council Entry'!AX$9)),MAX(MIN('Council Entry'!AX195,'Council Entry'!AX$9),'Council Entry'!AX$8),'Council Entry'!AX195)),IF('Council Entry'!AX$4="Exponential",EXP(IF(AND(ISNUMBER('Council Entry'!AX$8),ISNUMBER('Council Entry'!AX$9)),MAX(MIN('Council Entry'!AX195,'Council Entry'!AX$9),'Council Entry'!AX$8),'Council Entry'!AX195)),IF(AND(ISNUMBER('Council Entry'!AX$8),ISNUMBER('Council Entry'!AX$9)),MAX(MIN('Council Entry'!AX195,'Council Entry'!AX$9),'Council Entry'!AX$8),'Council Entry'!AX195))))-'Council Entry'!AX$5)/('Council Entry'!AX$6-'Council Entry'!AX$5)),1))),"No data"))</f>
        <v/>
      </c>
      <c r="AY195" s="13">
        <f>IF('Council Entry'!AY195="","",IFERROR(MAX(0,MIN(10,ROUND(IF('Council Entry'!AY$7="Decrease Risk",10-10*((IF('Council Entry'!AY$4="Logarithm",LN(0.001+IF(AND(ISNUMBER('Council Entry'!AY$8),ISNUMBER('Council Entry'!AY$9)),MAX(MIN('Council Entry'!AY195,'Council Entry'!AY$9),'Council Entry'!AY$8),'Council Entry'!AY195)),IF('Council Entry'!AY$4="Exponential",EXP(IF(AND(ISNUMBER('Council Entry'!AY$8),ISNUMBER('Council Entry'!AY$9)),MAX(MIN('Council Entry'!AY195,'Council Entry'!AY$9),'Council Entry'!AY$8),'Council Entry'!AY195)),IF(AND(ISNUMBER('Council Entry'!AY$8),ISNUMBER('Council Entry'!AY$9)),MAX(MIN('Council Entry'!AY195,'Council Entry'!AY$9),'Council Entry'!AY$8),'Council Entry'!AY195))))-'Council Entry'!AY$5)/('Council Entry'!AY$6-'Council Entry'!AY$5),10*((IF('Council Entry'!AY$4="Logarithm",LN(0.001+IF(AND(ISNUMBER('Council Entry'!AY$8),ISNUMBER('Council Entry'!AY$9)),MAX(MIN('Council Entry'!AY195,'Council Entry'!AY$9),'Council Entry'!AY$8),'Council Entry'!AY195)),IF('Council Entry'!AY$4="Exponential",EXP(IF(AND(ISNUMBER('Council Entry'!AY$8),ISNUMBER('Council Entry'!AY$9)),MAX(MIN('Council Entry'!AY195,'Council Entry'!AY$9),'Council Entry'!AY$8),'Council Entry'!AY195)),IF(AND(ISNUMBER('Council Entry'!AY$8),ISNUMBER('Council Entry'!AY$9)),MAX(MIN('Council Entry'!AY195,'Council Entry'!AY$9),'Council Entry'!AY$8),'Council Entry'!AY195))))-'Council Entry'!AY$5)/('Council Entry'!AY$6-'Council Entry'!AY$5)),1))),"No data"))</f>
        <v/>
      </c>
      <c r="AZ195" s="13">
        <f>IF('Council Entry'!AZ195="","",IFERROR(MAX(0,MIN(10,ROUND(IF('Council Entry'!AZ$7="Decrease Risk",10-10*((IF('Council Entry'!AZ$4="Logarithm",LN(0.001+IF(AND(ISNUMBER('Council Entry'!AZ$8),ISNUMBER('Council Entry'!AZ$9)),MAX(MIN('Council Entry'!AZ195,'Council Entry'!AZ$9),'Council Entry'!AZ$8),'Council Entry'!AZ195)),IF('Council Entry'!AZ$4="Exponential",EXP(IF(AND(ISNUMBER('Council Entry'!AZ$8),ISNUMBER('Council Entry'!AZ$9)),MAX(MIN('Council Entry'!AZ195,'Council Entry'!AZ$9),'Council Entry'!AZ$8),'Council Entry'!AZ195)),IF(AND(ISNUMBER('Council Entry'!AZ$8),ISNUMBER('Council Entry'!AZ$9)),MAX(MIN('Council Entry'!AZ195,'Council Entry'!AZ$9),'Council Entry'!AZ$8),'Council Entry'!AZ195))))-'Council Entry'!AZ$5)/('Council Entry'!AZ$6-'Council Entry'!AZ$5),10*((IF('Council Entry'!AZ$4="Logarithm",LN(0.001+IF(AND(ISNUMBER('Council Entry'!AZ$8),ISNUMBER('Council Entry'!AZ$9)),MAX(MIN('Council Entry'!AZ195,'Council Entry'!AZ$9),'Council Entry'!AZ$8),'Council Entry'!AZ195)),IF('Council Entry'!AZ$4="Exponential",EXP(IF(AND(ISNUMBER('Council Entry'!AZ$8),ISNUMBER('Council Entry'!AZ$9)),MAX(MIN('Council Entry'!AZ195,'Council Entry'!AZ$9),'Council Entry'!AZ$8),'Council Entry'!AZ195)),IF(AND(ISNUMBER('Council Entry'!AZ$8),ISNUMBER('Council Entry'!AZ$9)),MAX(MIN('Council Entry'!AZ195,'Council Entry'!AZ$9),'Council Entry'!AZ$8),'Council Entry'!AZ195))))-'Council Entry'!AZ$5)/('Council Entry'!AZ$6-'Council Entry'!AZ$5)),1))),"No data"))</f>
        <v/>
      </c>
      <c r="BA195" s="13">
        <f>IF('Council Entry'!BA195="","",IFERROR(MAX(0,MIN(10,ROUND(IF('Council Entry'!BA$7="Decrease Risk",10-10*((IF('Council Entry'!BA$4="Logarithm",LN(0.001+IF(AND(ISNUMBER('Council Entry'!BA$8),ISNUMBER('Council Entry'!BA$9)),MAX(MIN('Council Entry'!BA195,'Council Entry'!BA$9),'Council Entry'!BA$8),'Council Entry'!BA195)),IF('Council Entry'!BA$4="Exponential",EXP(IF(AND(ISNUMBER('Council Entry'!BA$8),ISNUMBER('Council Entry'!BA$9)),MAX(MIN('Council Entry'!BA195,'Council Entry'!BA$9),'Council Entry'!BA$8),'Council Entry'!BA195)),IF(AND(ISNUMBER('Council Entry'!BA$8),ISNUMBER('Council Entry'!BA$9)),MAX(MIN('Council Entry'!BA195,'Council Entry'!BA$9),'Council Entry'!BA$8),'Council Entry'!BA195))))-'Council Entry'!BA$5)/('Council Entry'!BA$6-'Council Entry'!BA$5),10*((IF('Council Entry'!BA$4="Logarithm",LN(0.001+IF(AND(ISNUMBER('Council Entry'!BA$8),ISNUMBER('Council Entry'!BA$9)),MAX(MIN('Council Entry'!BA195,'Council Entry'!BA$9),'Council Entry'!BA$8),'Council Entry'!BA195)),IF('Council Entry'!BA$4="Exponential",EXP(IF(AND(ISNUMBER('Council Entry'!BA$8),ISNUMBER('Council Entry'!BA$9)),MAX(MIN('Council Entry'!BA195,'Council Entry'!BA$9),'Council Entry'!BA$8),'Council Entry'!BA195)),IF(AND(ISNUMBER('Council Entry'!BA$8),ISNUMBER('Council Entry'!BA$9)),MAX(MIN('Council Entry'!BA195,'Council Entry'!BA$9),'Council Entry'!BA$8),'Council Entry'!BA195))))-'Council Entry'!BA$5)/('Council Entry'!BA$6-'Council Entry'!BA$5)),1))),"No data"))</f>
        <v/>
      </c>
      <c r="BB195" s="13">
        <f>IF('Council Entry'!BB195="","",IFERROR(MAX(0,MIN(10,ROUND(IF('Council Entry'!BB$7="Decrease Risk",10-10*((IF('Council Entry'!BB$4="Logarithm",LN(0.001+IF(AND(ISNUMBER('Council Entry'!BB$8),ISNUMBER('Council Entry'!BB$9)),MAX(MIN('Council Entry'!BB195,'Council Entry'!BB$9),'Council Entry'!BB$8),'Council Entry'!BB195)),IF('Council Entry'!BB$4="Exponential",EXP(IF(AND(ISNUMBER('Council Entry'!BB$8),ISNUMBER('Council Entry'!BB$9)),MAX(MIN('Council Entry'!BB195,'Council Entry'!BB$9),'Council Entry'!BB$8),'Council Entry'!BB195)),IF(AND(ISNUMBER('Council Entry'!BB$8),ISNUMBER('Council Entry'!BB$9)),MAX(MIN('Council Entry'!BB195,'Council Entry'!BB$9),'Council Entry'!BB$8),'Council Entry'!BB195))))-'Council Entry'!BB$5)/('Council Entry'!BB$6-'Council Entry'!BB$5),10*((IF('Council Entry'!BB$4="Logarithm",LN(0.001+IF(AND(ISNUMBER('Council Entry'!BB$8),ISNUMBER('Council Entry'!BB$9)),MAX(MIN('Council Entry'!BB195,'Council Entry'!BB$9),'Council Entry'!BB$8),'Council Entry'!BB195)),IF('Council Entry'!BB$4="Exponential",EXP(IF(AND(ISNUMBER('Council Entry'!BB$8),ISNUMBER('Council Entry'!BB$9)),MAX(MIN('Council Entry'!BB195,'Council Entry'!BB$9),'Council Entry'!BB$8),'Council Entry'!BB195)),IF(AND(ISNUMBER('Council Entry'!BB$8),ISNUMBER('Council Entry'!BB$9)),MAX(MIN('Council Entry'!BB195,'Council Entry'!BB$9),'Council Entry'!BB$8),'Council Entry'!BB195))))-'Council Entry'!BB$5)/('Council Entry'!BB$6-'Council Entry'!BB$5)),1))),"No data"))</f>
        <v/>
      </c>
      <c r="BC195" s="13">
        <f>IF('Council Entry'!BC195="","",IFERROR(MAX(0,MIN(10,ROUND(IF('Council Entry'!BC$7="Decrease Risk",10-10*((IF('Council Entry'!BC$4="Logarithm",LN(0.001+IF(AND(ISNUMBER('Council Entry'!BC$8),ISNUMBER('Council Entry'!BC$9)),MAX(MIN('Council Entry'!BC195,'Council Entry'!BC$9),'Council Entry'!BC$8),'Council Entry'!BC195)),IF('Council Entry'!BC$4="Exponential",EXP(IF(AND(ISNUMBER('Council Entry'!BC$8),ISNUMBER('Council Entry'!BC$9)),MAX(MIN('Council Entry'!BC195,'Council Entry'!BC$9),'Council Entry'!BC$8),'Council Entry'!BC195)),IF(AND(ISNUMBER('Council Entry'!BC$8),ISNUMBER('Council Entry'!BC$9)),MAX(MIN('Council Entry'!BC195,'Council Entry'!BC$9),'Council Entry'!BC$8),'Council Entry'!BC195))))-'Council Entry'!BC$5)/('Council Entry'!BC$6-'Council Entry'!BC$5),10*((IF('Council Entry'!BC$4="Logarithm",LN(0.001+IF(AND(ISNUMBER('Council Entry'!BC$8),ISNUMBER('Council Entry'!BC$9)),MAX(MIN('Council Entry'!BC195,'Council Entry'!BC$9),'Council Entry'!BC$8),'Council Entry'!BC195)),IF('Council Entry'!BC$4="Exponential",EXP(IF(AND(ISNUMBER('Council Entry'!BC$8),ISNUMBER('Council Entry'!BC$9)),MAX(MIN('Council Entry'!BC195,'Council Entry'!BC$9),'Council Entry'!BC$8),'Council Entry'!BC195)),IF(AND(ISNUMBER('Council Entry'!BC$8),ISNUMBER('Council Entry'!BC$9)),MAX(MIN('Council Entry'!BC195,'Council Entry'!BC$9),'Council Entry'!BC$8),'Council Entry'!BC195))))-'Council Entry'!BC$5)/('Council Entry'!BC$6-'Council Entry'!BC$5)),1))),"No data"))</f>
        <v/>
      </c>
      <c r="BD195" s="13">
        <f>IF('Council Entry'!BD195="","",IFERROR(MAX(0,MIN(10,ROUND(IF('Council Entry'!BD$7="Decrease Risk",10-10*((IF('Council Entry'!BD$4="Logarithm",LN(0.001+IF(AND(ISNUMBER('Council Entry'!BD$8),ISNUMBER('Council Entry'!BD$9)),MAX(MIN('Council Entry'!BD195,'Council Entry'!BD$9),'Council Entry'!BD$8),'Council Entry'!BD195)),IF('Council Entry'!BD$4="Exponential",EXP(IF(AND(ISNUMBER('Council Entry'!BD$8),ISNUMBER('Council Entry'!BD$9)),MAX(MIN('Council Entry'!BD195,'Council Entry'!BD$9),'Council Entry'!BD$8),'Council Entry'!BD195)),IF(AND(ISNUMBER('Council Entry'!BD$8),ISNUMBER('Council Entry'!BD$9)),MAX(MIN('Council Entry'!BD195,'Council Entry'!BD$9),'Council Entry'!BD$8),'Council Entry'!BD195))))-'Council Entry'!BD$5)/('Council Entry'!BD$6-'Council Entry'!BD$5),10*((IF('Council Entry'!BD$4="Logarithm",LN(0.001+IF(AND(ISNUMBER('Council Entry'!BD$8),ISNUMBER('Council Entry'!BD$9)),MAX(MIN('Council Entry'!BD195,'Council Entry'!BD$9),'Council Entry'!BD$8),'Council Entry'!BD195)),IF('Council Entry'!BD$4="Exponential",EXP(IF(AND(ISNUMBER('Council Entry'!BD$8),ISNUMBER('Council Entry'!BD$9)),MAX(MIN('Council Entry'!BD195,'Council Entry'!BD$9),'Council Entry'!BD$8),'Council Entry'!BD195)),IF(AND(ISNUMBER('Council Entry'!BD$8),ISNUMBER('Council Entry'!BD$9)),MAX(MIN('Council Entry'!BD195,'Council Entry'!BD$9),'Council Entry'!BD$8),'Council Entry'!BD195))))-'Council Entry'!BD$5)/('Council Entry'!BD$6-'Council Entry'!BD$5)),1))),"No data"))</f>
        <v/>
      </c>
    </row>
    <row r="196">
      <c r="A196" t="inlineStr">
        <is>
          <t>Tanga</t>
        </is>
      </c>
      <c r="B196" t="inlineStr">
        <is>
          <t>Handeni District</t>
        </is>
      </c>
      <c r="C196" t="inlineStr">
        <is>
          <t>C030</t>
        </is>
      </c>
      <c r="D196" s="13">
        <f>IF('Council Entry'!D196="","",IFERROR(MAX(0,MIN(10,ROUND(IF('Council Entry'!D$7="Decrease Risk",10-10*((IF('Council Entry'!D$4="Logarithm",LN(0.001+IF(AND(ISNUMBER('Council Entry'!D$8),ISNUMBER('Council Entry'!D$9)),MAX(MIN('Council Entry'!D196,'Council Entry'!D$9),'Council Entry'!D$8),'Council Entry'!D196)),IF('Council Entry'!D$4="Exponential",EXP(IF(AND(ISNUMBER('Council Entry'!D$8),ISNUMBER('Council Entry'!D$9)),MAX(MIN('Council Entry'!D196,'Council Entry'!D$9),'Council Entry'!D$8),'Council Entry'!D196)),IF(AND(ISNUMBER('Council Entry'!D$8),ISNUMBER('Council Entry'!D$9)),MAX(MIN('Council Entry'!D196,'Council Entry'!D$9),'Council Entry'!D$8),'Council Entry'!D196))))-'Council Entry'!D$5)/('Council Entry'!D$6-'Council Entry'!D$5),10*((IF('Council Entry'!D$4="Logarithm",LN(0.001+IF(AND(ISNUMBER('Council Entry'!D$8),ISNUMBER('Council Entry'!D$9)),MAX(MIN('Council Entry'!D196,'Council Entry'!D$9),'Council Entry'!D$8),'Council Entry'!D196)),IF('Council Entry'!D$4="Exponential",EXP(IF(AND(ISNUMBER('Council Entry'!D$8),ISNUMBER('Council Entry'!D$9)),MAX(MIN('Council Entry'!D196,'Council Entry'!D$9),'Council Entry'!D$8),'Council Entry'!D196)),IF(AND(ISNUMBER('Council Entry'!D$8),ISNUMBER('Council Entry'!D$9)),MAX(MIN('Council Entry'!D196,'Council Entry'!D$9),'Council Entry'!D$8),'Council Entry'!D196))))-'Council Entry'!D$5)/('Council Entry'!D$6-'Council Entry'!D$5)),1))),"No data"))</f>
        <v/>
      </c>
      <c r="E196" s="13">
        <f>IF('Council Entry'!E196="","",IFERROR(MAX(0,MIN(10,ROUND(IF('Council Entry'!E$7="Decrease Risk",10-10*((IF('Council Entry'!E$4="Logarithm",LN(0.001+IF(AND(ISNUMBER('Council Entry'!E$8),ISNUMBER('Council Entry'!E$9)),MAX(MIN('Council Entry'!E196,'Council Entry'!E$9),'Council Entry'!E$8),'Council Entry'!E196)),IF('Council Entry'!E$4="Exponential",EXP(IF(AND(ISNUMBER('Council Entry'!E$8),ISNUMBER('Council Entry'!E$9)),MAX(MIN('Council Entry'!E196,'Council Entry'!E$9),'Council Entry'!E$8),'Council Entry'!E196)),IF(AND(ISNUMBER('Council Entry'!E$8),ISNUMBER('Council Entry'!E$9)),MAX(MIN('Council Entry'!E196,'Council Entry'!E$9),'Council Entry'!E$8),'Council Entry'!E196))))-'Council Entry'!E$5)/('Council Entry'!E$6-'Council Entry'!E$5),10*((IF('Council Entry'!E$4="Logarithm",LN(0.001+IF(AND(ISNUMBER('Council Entry'!E$8),ISNUMBER('Council Entry'!E$9)),MAX(MIN('Council Entry'!E196,'Council Entry'!E$9),'Council Entry'!E$8),'Council Entry'!E196)),IF('Council Entry'!E$4="Exponential",EXP(IF(AND(ISNUMBER('Council Entry'!E$8),ISNUMBER('Council Entry'!E$9)),MAX(MIN('Council Entry'!E196,'Council Entry'!E$9),'Council Entry'!E$8),'Council Entry'!E196)),IF(AND(ISNUMBER('Council Entry'!E$8),ISNUMBER('Council Entry'!E$9)),MAX(MIN('Council Entry'!E196,'Council Entry'!E$9),'Council Entry'!E$8),'Council Entry'!E196))))-'Council Entry'!E$5)/('Council Entry'!E$6-'Council Entry'!E$5)),1))),"No data"))</f>
        <v/>
      </c>
      <c r="F196" s="13">
        <f>IF('Council Entry'!F196="","",IFERROR(MAX(0,MIN(10,ROUND(IF('Council Entry'!F$7="Decrease Risk",10-10*((IF('Council Entry'!F$4="Logarithm",LN(0.001+IF(AND(ISNUMBER('Council Entry'!F$8),ISNUMBER('Council Entry'!F$9)),MAX(MIN('Council Entry'!F196,'Council Entry'!F$9),'Council Entry'!F$8),'Council Entry'!F196)),IF('Council Entry'!F$4="Exponential",EXP(IF(AND(ISNUMBER('Council Entry'!F$8),ISNUMBER('Council Entry'!F$9)),MAX(MIN('Council Entry'!F196,'Council Entry'!F$9),'Council Entry'!F$8),'Council Entry'!F196)),IF(AND(ISNUMBER('Council Entry'!F$8),ISNUMBER('Council Entry'!F$9)),MAX(MIN('Council Entry'!F196,'Council Entry'!F$9),'Council Entry'!F$8),'Council Entry'!F196))))-'Council Entry'!F$5)/('Council Entry'!F$6-'Council Entry'!F$5),10*((IF('Council Entry'!F$4="Logarithm",LN(0.001+IF(AND(ISNUMBER('Council Entry'!F$8),ISNUMBER('Council Entry'!F$9)),MAX(MIN('Council Entry'!F196,'Council Entry'!F$9),'Council Entry'!F$8),'Council Entry'!F196)),IF('Council Entry'!F$4="Exponential",EXP(IF(AND(ISNUMBER('Council Entry'!F$8),ISNUMBER('Council Entry'!F$9)),MAX(MIN('Council Entry'!F196,'Council Entry'!F$9),'Council Entry'!F$8),'Council Entry'!F196)),IF(AND(ISNUMBER('Council Entry'!F$8),ISNUMBER('Council Entry'!F$9)),MAX(MIN('Council Entry'!F196,'Council Entry'!F$9),'Council Entry'!F$8),'Council Entry'!F196))))-'Council Entry'!F$5)/('Council Entry'!F$6-'Council Entry'!F$5)),1))),"No data"))</f>
        <v/>
      </c>
      <c r="G196" s="13">
        <f>IF('Council Entry'!G196="","",IFERROR(MAX(0,MIN(10,ROUND(IF('Council Entry'!G$7="Decrease Risk",10-10*((IF('Council Entry'!G$4="Logarithm",LN(0.001+IF(AND(ISNUMBER('Council Entry'!G$8),ISNUMBER('Council Entry'!G$9)),MAX(MIN('Council Entry'!G196,'Council Entry'!G$9),'Council Entry'!G$8),'Council Entry'!G196)),IF('Council Entry'!G$4="Exponential",EXP(IF(AND(ISNUMBER('Council Entry'!G$8),ISNUMBER('Council Entry'!G$9)),MAX(MIN('Council Entry'!G196,'Council Entry'!G$9),'Council Entry'!G$8),'Council Entry'!G196)),IF(AND(ISNUMBER('Council Entry'!G$8),ISNUMBER('Council Entry'!G$9)),MAX(MIN('Council Entry'!G196,'Council Entry'!G$9),'Council Entry'!G$8),'Council Entry'!G196))))-'Council Entry'!G$5)/('Council Entry'!G$6-'Council Entry'!G$5),10*((IF('Council Entry'!G$4="Logarithm",LN(0.001+IF(AND(ISNUMBER('Council Entry'!G$8),ISNUMBER('Council Entry'!G$9)),MAX(MIN('Council Entry'!G196,'Council Entry'!G$9),'Council Entry'!G$8),'Council Entry'!G196)),IF('Council Entry'!G$4="Exponential",EXP(IF(AND(ISNUMBER('Council Entry'!G$8),ISNUMBER('Council Entry'!G$9)),MAX(MIN('Council Entry'!G196,'Council Entry'!G$9),'Council Entry'!G$8),'Council Entry'!G196)),IF(AND(ISNUMBER('Council Entry'!G$8),ISNUMBER('Council Entry'!G$9)),MAX(MIN('Council Entry'!G196,'Council Entry'!G$9),'Council Entry'!G$8),'Council Entry'!G196))))-'Council Entry'!G$5)/('Council Entry'!G$6-'Council Entry'!G$5)),1))),"No data"))</f>
        <v/>
      </c>
      <c r="H196" s="13">
        <f>IF('Council Entry'!H196="","",IFERROR(MAX(0,MIN(10,ROUND(IF('Council Entry'!H$7="Decrease Risk",10-10*((IF('Council Entry'!H$4="Logarithm",LN(0.001+IF(AND(ISNUMBER('Council Entry'!H$8),ISNUMBER('Council Entry'!H$9)),MAX(MIN('Council Entry'!H196,'Council Entry'!H$9),'Council Entry'!H$8),'Council Entry'!H196)),IF('Council Entry'!H$4="Exponential",EXP(IF(AND(ISNUMBER('Council Entry'!H$8),ISNUMBER('Council Entry'!H$9)),MAX(MIN('Council Entry'!H196,'Council Entry'!H$9),'Council Entry'!H$8),'Council Entry'!H196)),IF(AND(ISNUMBER('Council Entry'!H$8),ISNUMBER('Council Entry'!H$9)),MAX(MIN('Council Entry'!H196,'Council Entry'!H$9),'Council Entry'!H$8),'Council Entry'!H196))))-'Council Entry'!H$5)/('Council Entry'!H$6-'Council Entry'!H$5),10*((IF('Council Entry'!H$4="Logarithm",LN(0.001+IF(AND(ISNUMBER('Council Entry'!H$8),ISNUMBER('Council Entry'!H$9)),MAX(MIN('Council Entry'!H196,'Council Entry'!H$9),'Council Entry'!H$8),'Council Entry'!H196)),IF('Council Entry'!H$4="Exponential",EXP(IF(AND(ISNUMBER('Council Entry'!H$8),ISNUMBER('Council Entry'!H$9)),MAX(MIN('Council Entry'!H196,'Council Entry'!H$9),'Council Entry'!H$8),'Council Entry'!H196)),IF(AND(ISNUMBER('Council Entry'!H$8),ISNUMBER('Council Entry'!H$9)),MAX(MIN('Council Entry'!H196,'Council Entry'!H$9),'Council Entry'!H$8),'Council Entry'!H196))))-'Council Entry'!H$5)/('Council Entry'!H$6-'Council Entry'!H$5)),1))),"No data"))</f>
        <v/>
      </c>
      <c r="I196" s="13">
        <f>IF('Council Entry'!I196="","",IFERROR(MAX(0,MIN(10,ROUND(IF('Council Entry'!I$7="Decrease Risk",10-10*((IF('Council Entry'!I$4="Logarithm",LN(0.001+IF(AND(ISNUMBER('Council Entry'!I$8),ISNUMBER('Council Entry'!I$9)),MAX(MIN('Council Entry'!I196,'Council Entry'!I$9),'Council Entry'!I$8),'Council Entry'!I196)),IF('Council Entry'!I$4="Exponential",EXP(IF(AND(ISNUMBER('Council Entry'!I$8),ISNUMBER('Council Entry'!I$9)),MAX(MIN('Council Entry'!I196,'Council Entry'!I$9),'Council Entry'!I$8),'Council Entry'!I196)),IF(AND(ISNUMBER('Council Entry'!I$8),ISNUMBER('Council Entry'!I$9)),MAX(MIN('Council Entry'!I196,'Council Entry'!I$9),'Council Entry'!I$8),'Council Entry'!I196))))-'Council Entry'!I$5)/('Council Entry'!I$6-'Council Entry'!I$5),10*((IF('Council Entry'!I$4="Logarithm",LN(0.001+IF(AND(ISNUMBER('Council Entry'!I$8),ISNUMBER('Council Entry'!I$9)),MAX(MIN('Council Entry'!I196,'Council Entry'!I$9),'Council Entry'!I$8),'Council Entry'!I196)),IF('Council Entry'!I$4="Exponential",EXP(IF(AND(ISNUMBER('Council Entry'!I$8),ISNUMBER('Council Entry'!I$9)),MAX(MIN('Council Entry'!I196,'Council Entry'!I$9),'Council Entry'!I$8),'Council Entry'!I196)),IF(AND(ISNUMBER('Council Entry'!I$8),ISNUMBER('Council Entry'!I$9)),MAX(MIN('Council Entry'!I196,'Council Entry'!I$9),'Council Entry'!I$8),'Council Entry'!I196))))-'Council Entry'!I$5)/('Council Entry'!I$6-'Council Entry'!I$5)),1))),"No data"))</f>
        <v/>
      </c>
      <c r="J196" s="13">
        <f>IF('Council Entry'!J196="","",IFERROR(MAX(0,MIN(10,ROUND(IF('Council Entry'!J$7="Decrease Risk",10-10*((IF('Council Entry'!J$4="Logarithm",LN(0.001+IF(AND(ISNUMBER('Council Entry'!J$8),ISNUMBER('Council Entry'!J$9)),MAX(MIN('Council Entry'!J196,'Council Entry'!J$9),'Council Entry'!J$8),'Council Entry'!J196)),IF('Council Entry'!J$4="Exponential",EXP(IF(AND(ISNUMBER('Council Entry'!J$8),ISNUMBER('Council Entry'!J$9)),MAX(MIN('Council Entry'!J196,'Council Entry'!J$9),'Council Entry'!J$8),'Council Entry'!J196)),IF(AND(ISNUMBER('Council Entry'!J$8),ISNUMBER('Council Entry'!J$9)),MAX(MIN('Council Entry'!J196,'Council Entry'!J$9),'Council Entry'!J$8),'Council Entry'!J196))))-'Council Entry'!J$5)/('Council Entry'!J$6-'Council Entry'!J$5),10*((IF('Council Entry'!J$4="Logarithm",LN(0.001+IF(AND(ISNUMBER('Council Entry'!J$8),ISNUMBER('Council Entry'!J$9)),MAX(MIN('Council Entry'!J196,'Council Entry'!J$9),'Council Entry'!J$8),'Council Entry'!J196)),IF('Council Entry'!J$4="Exponential",EXP(IF(AND(ISNUMBER('Council Entry'!J$8),ISNUMBER('Council Entry'!J$9)),MAX(MIN('Council Entry'!J196,'Council Entry'!J$9),'Council Entry'!J$8),'Council Entry'!J196)),IF(AND(ISNUMBER('Council Entry'!J$8),ISNUMBER('Council Entry'!J$9)),MAX(MIN('Council Entry'!J196,'Council Entry'!J$9),'Council Entry'!J$8),'Council Entry'!J196))))-'Council Entry'!J$5)/('Council Entry'!J$6-'Council Entry'!J$5)),1))),"No data"))</f>
        <v/>
      </c>
      <c r="K196" s="13">
        <f>IF('Council Entry'!K196="","",IFERROR(MAX(0,MIN(10,ROUND(IF('Council Entry'!K$7="Decrease Risk",10-10*((IF('Council Entry'!K$4="Logarithm",LN(0.001+IF(AND(ISNUMBER('Council Entry'!K$8),ISNUMBER('Council Entry'!K$9)),MAX(MIN('Council Entry'!K196,'Council Entry'!K$9),'Council Entry'!K$8),'Council Entry'!K196)),IF('Council Entry'!K$4="Exponential",EXP(IF(AND(ISNUMBER('Council Entry'!K$8),ISNUMBER('Council Entry'!K$9)),MAX(MIN('Council Entry'!K196,'Council Entry'!K$9),'Council Entry'!K$8),'Council Entry'!K196)),IF(AND(ISNUMBER('Council Entry'!K$8),ISNUMBER('Council Entry'!K$9)),MAX(MIN('Council Entry'!K196,'Council Entry'!K$9),'Council Entry'!K$8),'Council Entry'!K196))))-'Council Entry'!K$5)/('Council Entry'!K$6-'Council Entry'!K$5),10*((IF('Council Entry'!K$4="Logarithm",LN(0.001+IF(AND(ISNUMBER('Council Entry'!K$8),ISNUMBER('Council Entry'!K$9)),MAX(MIN('Council Entry'!K196,'Council Entry'!K$9),'Council Entry'!K$8),'Council Entry'!K196)),IF('Council Entry'!K$4="Exponential",EXP(IF(AND(ISNUMBER('Council Entry'!K$8),ISNUMBER('Council Entry'!K$9)),MAX(MIN('Council Entry'!K196,'Council Entry'!K$9),'Council Entry'!K$8),'Council Entry'!K196)),IF(AND(ISNUMBER('Council Entry'!K$8),ISNUMBER('Council Entry'!K$9)),MAX(MIN('Council Entry'!K196,'Council Entry'!K$9),'Council Entry'!K$8),'Council Entry'!K196))))-'Council Entry'!K$5)/('Council Entry'!K$6-'Council Entry'!K$5)),1))),"No data"))</f>
        <v/>
      </c>
      <c r="L196" s="13">
        <f>IF('Council Entry'!L196="","",IFERROR(MAX(0,MIN(10,ROUND(IF('Council Entry'!L$7="Decrease Risk",10-10*((IF('Council Entry'!L$4="Logarithm",LN(0.001+IF(AND(ISNUMBER('Council Entry'!L$8),ISNUMBER('Council Entry'!L$9)),MAX(MIN('Council Entry'!L196,'Council Entry'!L$9),'Council Entry'!L$8),'Council Entry'!L196)),IF('Council Entry'!L$4="Exponential",EXP(IF(AND(ISNUMBER('Council Entry'!L$8),ISNUMBER('Council Entry'!L$9)),MAX(MIN('Council Entry'!L196,'Council Entry'!L$9),'Council Entry'!L$8),'Council Entry'!L196)),IF(AND(ISNUMBER('Council Entry'!L$8),ISNUMBER('Council Entry'!L$9)),MAX(MIN('Council Entry'!L196,'Council Entry'!L$9),'Council Entry'!L$8),'Council Entry'!L196))))-'Council Entry'!L$5)/('Council Entry'!L$6-'Council Entry'!L$5),10*((IF('Council Entry'!L$4="Logarithm",LN(0.001+IF(AND(ISNUMBER('Council Entry'!L$8),ISNUMBER('Council Entry'!L$9)),MAX(MIN('Council Entry'!L196,'Council Entry'!L$9),'Council Entry'!L$8),'Council Entry'!L196)),IF('Council Entry'!L$4="Exponential",EXP(IF(AND(ISNUMBER('Council Entry'!L$8),ISNUMBER('Council Entry'!L$9)),MAX(MIN('Council Entry'!L196,'Council Entry'!L$9),'Council Entry'!L$8),'Council Entry'!L196)),IF(AND(ISNUMBER('Council Entry'!L$8),ISNUMBER('Council Entry'!L$9)),MAX(MIN('Council Entry'!L196,'Council Entry'!L$9),'Council Entry'!L$8),'Council Entry'!L196))))-'Council Entry'!L$5)/('Council Entry'!L$6-'Council Entry'!L$5)),1))),"No data"))</f>
        <v/>
      </c>
      <c r="M196" s="13">
        <f>IF('Council Entry'!M196="","",IFERROR(MAX(0,MIN(10,ROUND(IF('Council Entry'!M$7="Decrease Risk",10-10*((IF('Council Entry'!M$4="Logarithm",LN(0.001+IF(AND(ISNUMBER('Council Entry'!M$8),ISNUMBER('Council Entry'!M$9)),MAX(MIN('Council Entry'!M196,'Council Entry'!M$9),'Council Entry'!M$8),'Council Entry'!M196)),IF('Council Entry'!M$4="Exponential",EXP(IF(AND(ISNUMBER('Council Entry'!M$8),ISNUMBER('Council Entry'!M$9)),MAX(MIN('Council Entry'!M196,'Council Entry'!M$9),'Council Entry'!M$8),'Council Entry'!M196)),IF(AND(ISNUMBER('Council Entry'!M$8),ISNUMBER('Council Entry'!M$9)),MAX(MIN('Council Entry'!M196,'Council Entry'!M$9),'Council Entry'!M$8),'Council Entry'!M196))))-'Council Entry'!M$5)/('Council Entry'!M$6-'Council Entry'!M$5),10*((IF('Council Entry'!M$4="Logarithm",LN(0.001+IF(AND(ISNUMBER('Council Entry'!M$8),ISNUMBER('Council Entry'!M$9)),MAX(MIN('Council Entry'!M196,'Council Entry'!M$9),'Council Entry'!M$8),'Council Entry'!M196)),IF('Council Entry'!M$4="Exponential",EXP(IF(AND(ISNUMBER('Council Entry'!M$8),ISNUMBER('Council Entry'!M$9)),MAX(MIN('Council Entry'!M196,'Council Entry'!M$9),'Council Entry'!M$8),'Council Entry'!M196)),IF(AND(ISNUMBER('Council Entry'!M$8),ISNUMBER('Council Entry'!M$9)),MAX(MIN('Council Entry'!M196,'Council Entry'!M$9),'Council Entry'!M$8),'Council Entry'!M196))))-'Council Entry'!M$5)/('Council Entry'!M$6-'Council Entry'!M$5)),1))),"No data"))</f>
        <v/>
      </c>
      <c r="N196" s="13">
        <f>IF('Council Entry'!N196="","",IFERROR(MAX(0,MIN(10,ROUND(IF('Council Entry'!N$7="Decrease Risk",10-10*((IF('Council Entry'!N$4="Logarithm",LN(0.001+IF(AND(ISNUMBER('Council Entry'!N$8),ISNUMBER('Council Entry'!N$9)),MAX(MIN('Council Entry'!N196,'Council Entry'!N$9),'Council Entry'!N$8),'Council Entry'!N196)),IF('Council Entry'!N$4="Exponential",EXP(IF(AND(ISNUMBER('Council Entry'!N$8),ISNUMBER('Council Entry'!N$9)),MAX(MIN('Council Entry'!N196,'Council Entry'!N$9),'Council Entry'!N$8),'Council Entry'!N196)),IF(AND(ISNUMBER('Council Entry'!N$8),ISNUMBER('Council Entry'!N$9)),MAX(MIN('Council Entry'!N196,'Council Entry'!N$9),'Council Entry'!N$8),'Council Entry'!N196))))-'Council Entry'!N$5)/('Council Entry'!N$6-'Council Entry'!N$5),10*((IF('Council Entry'!N$4="Logarithm",LN(0.001+IF(AND(ISNUMBER('Council Entry'!N$8),ISNUMBER('Council Entry'!N$9)),MAX(MIN('Council Entry'!N196,'Council Entry'!N$9),'Council Entry'!N$8),'Council Entry'!N196)),IF('Council Entry'!N$4="Exponential",EXP(IF(AND(ISNUMBER('Council Entry'!N$8),ISNUMBER('Council Entry'!N$9)),MAX(MIN('Council Entry'!N196,'Council Entry'!N$9),'Council Entry'!N$8),'Council Entry'!N196)),IF(AND(ISNUMBER('Council Entry'!N$8),ISNUMBER('Council Entry'!N$9)),MAX(MIN('Council Entry'!N196,'Council Entry'!N$9),'Council Entry'!N$8),'Council Entry'!N196))))-'Council Entry'!N$5)/('Council Entry'!N$6-'Council Entry'!N$5)),1))),"No data"))</f>
        <v/>
      </c>
      <c r="O196" s="13">
        <f>IF('Council Entry'!O196="","",IFERROR(MAX(0,MIN(10,ROUND(IF('Council Entry'!O$7="Decrease Risk",10-10*((IF('Council Entry'!O$4="Logarithm",LN(0.001+IF(AND(ISNUMBER('Council Entry'!O$8),ISNUMBER('Council Entry'!O$9)),MAX(MIN('Council Entry'!O196,'Council Entry'!O$9),'Council Entry'!O$8),'Council Entry'!O196)),IF('Council Entry'!O$4="Exponential",EXP(IF(AND(ISNUMBER('Council Entry'!O$8),ISNUMBER('Council Entry'!O$9)),MAX(MIN('Council Entry'!O196,'Council Entry'!O$9),'Council Entry'!O$8),'Council Entry'!O196)),IF(AND(ISNUMBER('Council Entry'!O$8),ISNUMBER('Council Entry'!O$9)),MAX(MIN('Council Entry'!O196,'Council Entry'!O$9),'Council Entry'!O$8),'Council Entry'!O196))))-'Council Entry'!O$5)/('Council Entry'!O$6-'Council Entry'!O$5),10*((IF('Council Entry'!O$4="Logarithm",LN(0.001+IF(AND(ISNUMBER('Council Entry'!O$8),ISNUMBER('Council Entry'!O$9)),MAX(MIN('Council Entry'!O196,'Council Entry'!O$9),'Council Entry'!O$8),'Council Entry'!O196)),IF('Council Entry'!O$4="Exponential",EXP(IF(AND(ISNUMBER('Council Entry'!O$8),ISNUMBER('Council Entry'!O$9)),MAX(MIN('Council Entry'!O196,'Council Entry'!O$9),'Council Entry'!O$8),'Council Entry'!O196)),IF(AND(ISNUMBER('Council Entry'!O$8),ISNUMBER('Council Entry'!O$9)),MAX(MIN('Council Entry'!O196,'Council Entry'!O$9),'Council Entry'!O$8),'Council Entry'!O196))))-'Council Entry'!O$5)/('Council Entry'!O$6-'Council Entry'!O$5)),1))),"No data"))</f>
        <v/>
      </c>
      <c r="P196" s="13">
        <f>IF('Council Entry'!P196="","",IFERROR(MAX(0,MIN(10,ROUND(IF('Council Entry'!P$7="Decrease Risk",10-10*((IF('Council Entry'!P$4="Logarithm",LN(0.001+IF(AND(ISNUMBER('Council Entry'!P$8),ISNUMBER('Council Entry'!P$9)),MAX(MIN('Council Entry'!P196,'Council Entry'!P$9),'Council Entry'!P$8),'Council Entry'!P196)),IF('Council Entry'!P$4="Exponential",EXP(IF(AND(ISNUMBER('Council Entry'!P$8),ISNUMBER('Council Entry'!P$9)),MAX(MIN('Council Entry'!P196,'Council Entry'!P$9),'Council Entry'!P$8),'Council Entry'!P196)),IF(AND(ISNUMBER('Council Entry'!P$8),ISNUMBER('Council Entry'!P$9)),MAX(MIN('Council Entry'!P196,'Council Entry'!P$9),'Council Entry'!P$8),'Council Entry'!P196))))-'Council Entry'!P$5)/('Council Entry'!P$6-'Council Entry'!P$5),10*((IF('Council Entry'!P$4="Logarithm",LN(0.001+IF(AND(ISNUMBER('Council Entry'!P$8),ISNUMBER('Council Entry'!P$9)),MAX(MIN('Council Entry'!P196,'Council Entry'!P$9),'Council Entry'!P$8),'Council Entry'!P196)),IF('Council Entry'!P$4="Exponential",EXP(IF(AND(ISNUMBER('Council Entry'!P$8),ISNUMBER('Council Entry'!P$9)),MAX(MIN('Council Entry'!P196,'Council Entry'!P$9),'Council Entry'!P$8),'Council Entry'!P196)),IF(AND(ISNUMBER('Council Entry'!P$8),ISNUMBER('Council Entry'!P$9)),MAX(MIN('Council Entry'!P196,'Council Entry'!P$9),'Council Entry'!P$8),'Council Entry'!P196))))-'Council Entry'!P$5)/('Council Entry'!P$6-'Council Entry'!P$5)),1))),"No data"))</f>
        <v/>
      </c>
      <c r="Q196" s="13">
        <f>IF('Council Entry'!Q196="","",IFERROR(MAX(0,MIN(10,ROUND(IF('Council Entry'!Q$7="Decrease Risk",10-10*((IF('Council Entry'!Q$4="Logarithm",LN(0.001+IF(AND(ISNUMBER('Council Entry'!Q$8),ISNUMBER('Council Entry'!Q$9)),MAX(MIN('Council Entry'!Q196,'Council Entry'!Q$9),'Council Entry'!Q$8),'Council Entry'!Q196)),IF('Council Entry'!Q$4="Exponential",EXP(IF(AND(ISNUMBER('Council Entry'!Q$8),ISNUMBER('Council Entry'!Q$9)),MAX(MIN('Council Entry'!Q196,'Council Entry'!Q$9),'Council Entry'!Q$8),'Council Entry'!Q196)),IF(AND(ISNUMBER('Council Entry'!Q$8),ISNUMBER('Council Entry'!Q$9)),MAX(MIN('Council Entry'!Q196,'Council Entry'!Q$9),'Council Entry'!Q$8),'Council Entry'!Q196))))-'Council Entry'!Q$5)/('Council Entry'!Q$6-'Council Entry'!Q$5),10*((IF('Council Entry'!Q$4="Logarithm",LN(0.001+IF(AND(ISNUMBER('Council Entry'!Q$8),ISNUMBER('Council Entry'!Q$9)),MAX(MIN('Council Entry'!Q196,'Council Entry'!Q$9),'Council Entry'!Q$8),'Council Entry'!Q196)),IF('Council Entry'!Q$4="Exponential",EXP(IF(AND(ISNUMBER('Council Entry'!Q$8),ISNUMBER('Council Entry'!Q$9)),MAX(MIN('Council Entry'!Q196,'Council Entry'!Q$9),'Council Entry'!Q$8),'Council Entry'!Q196)),IF(AND(ISNUMBER('Council Entry'!Q$8),ISNUMBER('Council Entry'!Q$9)),MAX(MIN('Council Entry'!Q196,'Council Entry'!Q$9),'Council Entry'!Q$8),'Council Entry'!Q196))))-'Council Entry'!Q$5)/('Council Entry'!Q$6-'Council Entry'!Q$5)),1))),"No data"))</f>
        <v/>
      </c>
      <c r="R196" s="13">
        <f>IF('Council Entry'!R196="","",IFERROR(MAX(0,MIN(10,ROUND(IF('Council Entry'!R$7="Decrease Risk",10-10*((IF('Council Entry'!R$4="Logarithm",LN(0.001+IF(AND(ISNUMBER('Council Entry'!R$8),ISNUMBER('Council Entry'!R$9)),MAX(MIN('Council Entry'!R196,'Council Entry'!R$9),'Council Entry'!R$8),'Council Entry'!R196)),IF('Council Entry'!R$4="Exponential",EXP(IF(AND(ISNUMBER('Council Entry'!R$8),ISNUMBER('Council Entry'!R$9)),MAX(MIN('Council Entry'!R196,'Council Entry'!R$9),'Council Entry'!R$8),'Council Entry'!R196)),IF(AND(ISNUMBER('Council Entry'!R$8),ISNUMBER('Council Entry'!R$9)),MAX(MIN('Council Entry'!R196,'Council Entry'!R$9),'Council Entry'!R$8),'Council Entry'!R196))))-'Council Entry'!R$5)/('Council Entry'!R$6-'Council Entry'!R$5),10*((IF('Council Entry'!R$4="Logarithm",LN(0.001+IF(AND(ISNUMBER('Council Entry'!R$8),ISNUMBER('Council Entry'!R$9)),MAX(MIN('Council Entry'!R196,'Council Entry'!R$9),'Council Entry'!R$8),'Council Entry'!R196)),IF('Council Entry'!R$4="Exponential",EXP(IF(AND(ISNUMBER('Council Entry'!R$8),ISNUMBER('Council Entry'!R$9)),MAX(MIN('Council Entry'!R196,'Council Entry'!R$9),'Council Entry'!R$8),'Council Entry'!R196)),IF(AND(ISNUMBER('Council Entry'!R$8),ISNUMBER('Council Entry'!R$9)),MAX(MIN('Council Entry'!R196,'Council Entry'!R$9),'Council Entry'!R$8),'Council Entry'!R196))))-'Council Entry'!R$5)/('Council Entry'!R$6-'Council Entry'!R$5)),1))),"No data"))</f>
        <v/>
      </c>
      <c r="S196" s="13">
        <f>IF('Council Entry'!S196="","",IFERROR(MAX(0,MIN(10,ROUND(IF('Council Entry'!S$7="Decrease Risk",10-10*((IF('Council Entry'!S$4="Logarithm",LN(0.001+IF(AND(ISNUMBER('Council Entry'!S$8),ISNUMBER('Council Entry'!S$9)),MAX(MIN('Council Entry'!S196,'Council Entry'!S$9),'Council Entry'!S$8),'Council Entry'!S196)),IF('Council Entry'!S$4="Exponential",EXP(IF(AND(ISNUMBER('Council Entry'!S$8),ISNUMBER('Council Entry'!S$9)),MAX(MIN('Council Entry'!S196,'Council Entry'!S$9),'Council Entry'!S$8),'Council Entry'!S196)),IF(AND(ISNUMBER('Council Entry'!S$8),ISNUMBER('Council Entry'!S$9)),MAX(MIN('Council Entry'!S196,'Council Entry'!S$9),'Council Entry'!S$8),'Council Entry'!S196))))-'Council Entry'!S$5)/('Council Entry'!S$6-'Council Entry'!S$5),10*((IF('Council Entry'!S$4="Logarithm",LN(0.001+IF(AND(ISNUMBER('Council Entry'!S$8),ISNUMBER('Council Entry'!S$9)),MAX(MIN('Council Entry'!S196,'Council Entry'!S$9),'Council Entry'!S$8),'Council Entry'!S196)),IF('Council Entry'!S$4="Exponential",EXP(IF(AND(ISNUMBER('Council Entry'!S$8),ISNUMBER('Council Entry'!S$9)),MAX(MIN('Council Entry'!S196,'Council Entry'!S$9),'Council Entry'!S$8),'Council Entry'!S196)),IF(AND(ISNUMBER('Council Entry'!S$8),ISNUMBER('Council Entry'!S$9)),MAX(MIN('Council Entry'!S196,'Council Entry'!S$9),'Council Entry'!S$8),'Council Entry'!S196))))-'Council Entry'!S$5)/('Council Entry'!S$6-'Council Entry'!S$5)),1))),"No data"))</f>
        <v/>
      </c>
      <c r="T196" s="13">
        <f>IF('Council Entry'!T196="","",IFERROR(MAX(0,MIN(10,ROUND(IF('Council Entry'!T$7="Decrease Risk",10-10*((IF('Council Entry'!T$4="Logarithm",LN(0.001+IF(AND(ISNUMBER('Council Entry'!T$8),ISNUMBER('Council Entry'!T$9)),MAX(MIN('Council Entry'!T196,'Council Entry'!T$9),'Council Entry'!T$8),'Council Entry'!T196)),IF('Council Entry'!T$4="Exponential",EXP(IF(AND(ISNUMBER('Council Entry'!T$8),ISNUMBER('Council Entry'!T$9)),MAX(MIN('Council Entry'!T196,'Council Entry'!T$9),'Council Entry'!T$8),'Council Entry'!T196)),IF(AND(ISNUMBER('Council Entry'!T$8),ISNUMBER('Council Entry'!T$9)),MAX(MIN('Council Entry'!T196,'Council Entry'!T$9),'Council Entry'!T$8),'Council Entry'!T196))))-'Council Entry'!T$5)/('Council Entry'!T$6-'Council Entry'!T$5),10*((IF('Council Entry'!T$4="Logarithm",LN(0.001+IF(AND(ISNUMBER('Council Entry'!T$8),ISNUMBER('Council Entry'!T$9)),MAX(MIN('Council Entry'!T196,'Council Entry'!T$9),'Council Entry'!T$8),'Council Entry'!T196)),IF('Council Entry'!T$4="Exponential",EXP(IF(AND(ISNUMBER('Council Entry'!T$8),ISNUMBER('Council Entry'!T$9)),MAX(MIN('Council Entry'!T196,'Council Entry'!T$9),'Council Entry'!T$8),'Council Entry'!T196)),IF(AND(ISNUMBER('Council Entry'!T$8),ISNUMBER('Council Entry'!T$9)),MAX(MIN('Council Entry'!T196,'Council Entry'!T$9),'Council Entry'!T$8),'Council Entry'!T196))))-'Council Entry'!T$5)/('Council Entry'!T$6-'Council Entry'!T$5)),1))),"No data"))</f>
        <v/>
      </c>
      <c r="U196" s="13">
        <f>IF('Council Entry'!U196="","",IFERROR(MAX(0,MIN(10,ROUND(IF('Council Entry'!U$7="Decrease Risk",10-10*((IF('Council Entry'!U$4="Logarithm",LN(0.001+IF(AND(ISNUMBER('Council Entry'!U$8),ISNUMBER('Council Entry'!U$9)),MAX(MIN('Council Entry'!U196,'Council Entry'!U$9),'Council Entry'!U$8),'Council Entry'!U196)),IF('Council Entry'!U$4="Exponential",EXP(IF(AND(ISNUMBER('Council Entry'!U$8),ISNUMBER('Council Entry'!U$9)),MAX(MIN('Council Entry'!U196,'Council Entry'!U$9),'Council Entry'!U$8),'Council Entry'!U196)),IF(AND(ISNUMBER('Council Entry'!U$8),ISNUMBER('Council Entry'!U$9)),MAX(MIN('Council Entry'!U196,'Council Entry'!U$9),'Council Entry'!U$8),'Council Entry'!U196))))-'Council Entry'!U$5)/('Council Entry'!U$6-'Council Entry'!U$5),10*((IF('Council Entry'!U$4="Logarithm",LN(0.001+IF(AND(ISNUMBER('Council Entry'!U$8),ISNUMBER('Council Entry'!U$9)),MAX(MIN('Council Entry'!U196,'Council Entry'!U$9),'Council Entry'!U$8),'Council Entry'!U196)),IF('Council Entry'!U$4="Exponential",EXP(IF(AND(ISNUMBER('Council Entry'!U$8),ISNUMBER('Council Entry'!U$9)),MAX(MIN('Council Entry'!U196,'Council Entry'!U$9),'Council Entry'!U$8),'Council Entry'!U196)),IF(AND(ISNUMBER('Council Entry'!U$8),ISNUMBER('Council Entry'!U$9)),MAX(MIN('Council Entry'!U196,'Council Entry'!U$9),'Council Entry'!U$8),'Council Entry'!U196))))-'Council Entry'!U$5)/('Council Entry'!U$6-'Council Entry'!U$5)),1))),"No data"))</f>
        <v/>
      </c>
      <c r="V196" s="13">
        <f>IF('Council Entry'!V196="","",IFERROR(MAX(0,MIN(10,ROUND(IF('Council Entry'!V$7="Decrease Risk",10-10*((IF('Council Entry'!V$4="Logarithm",LN(0.001+IF(AND(ISNUMBER('Council Entry'!V$8),ISNUMBER('Council Entry'!V$9)),MAX(MIN('Council Entry'!V196,'Council Entry'!V$9),'Council Entry'!V$8),'Council Entry'!V196)),IF('Council Entry'!V$4="Exponential",EXP(IF(AND(ISNUMBER('Council Entry'!V$8),ISNUMBER('Council Entry'!V$9)),MAX(MIN('Council Entry'!V196,'Council Entry'!V$9),'Council Entry'!V$8),'Council Entry'!V196)),IF(AND(ISNUMBER('Council Entry'!V$8),ISNUMBER('Council Entry'!V$9)),MAX(MIN('Council Entry'!V196,'Council Entry'!V$9),'Council Entry'!V$8),'Council Entry'!V196))))-'Council Entry'!V$5)/('Council Entry'!V$6-'Council Entry'!V$5),10*((IF('Council Entry'!V$4="Logarithm",LN(0.001+IF(AND(ISNUMBER('Council Entry'!V$8),ISNUMBER('Council Entry'!V$9)),MAX(MIN('Council Entry'!V196,'Council Entry'!V$9),'Council Entry'!V$8),'Council Entry'!V196)),IF('Council Entry'!V$4="Exponential",EXP(IF(AND(ISNUMBER('Council Entry'!V$8),ISNUMBER('Council Entry'!V$9)),MAX(MIN('Council Entry'!V196,'Council Entry'!V$9),'Council Entry'!V$8),'Council Entry'!V196)),IF(AND(ISNUMBER('Council Entry'!V$8),ISNUMBER('Council Entry'!V$9)),MAX(MIN('Council Entry'!V196,'Council Entry'!V$9),'Council Entry'!V$8),'Council Entry'!V196))))-'Council Entry'!V$5)/('Council Entry'!V$6-'Council Entry'!V$5)),1))),"No data"))</f>
        <v/>
      </c>
      <c r="W196" s="13">
        <f>IF('Council Entry'!W196="","",IFERROR(MAX(0,MIN(10,ROUND(IF('Council Entry'!W$7="Decrease Risk",10-10*((IF('Council Entry'!W$4="Logarithm",LN(0.001+IF(AND(ISNUMBER('Council Entry'!W$8),ISNUMBER('Council Entry'!W$9)),MAX(MIN('Council Entry'!W196,'Council Entry'!W$9),'Council Entry'!W$8),'Council Entry'!W196)),IF('Council Entry'!W$4="Exponential",EXP(IF(AND(ISNUMBER('Council Entry'!W$8),ISNUMBER('Council Entry'!W$9)),MAX(MIN('Council Entry'!W196,'Council Entry'!W$9),'Council Entry'!W$8),'Council Entry'!W196)),IF(AND(ISNUMBER('Council Entry'!W$8),ISNUMBER('Council Entry'!W$9)),MAX(MIN('Council Entry'!W196,'Council Entry'!W$9),'Council Entry'!W$8),'Council Entry'!W196))))-'Council Entry'!W$5)/('Council Entry'!W$6-'Council Entry'!W$5),10*((IF('Council Entry'!W$4="Logarithm",LN(0.001+IF(AND(ISNUMBER('Council Entry'!W$8),ISNUMBER('Council Entry'!W$9)),MAX(MIN('Council Entry'!W196,'Council Entry'!W$9),'Council Entry'!W$8),'Council Entry'!W196)),IF('Council Entry'!W$4="Exponential",EXP(IF(AND(ISNUMBER('Council Entry'!W$8),ISNUMBER('Council Entry'!W$9)),MAX(MIN('Council Entry'!W196,'Council Entry'!W$9),'Council Entry'!W$8),'Council Entry'!W196)),IF(AND(ISNUMBER('Council Entry'!W$8),ISNUMBER('Council Entry'!W$9)),MAX(MIN('Council Entry'!W196,'Council Entry'!W$9),'Council Entry'!W$8),'Council Entry'!W196))))-'Council Entry'!W$5)/('Council Entry'!W$6-'Council Entry'!W$5)),1))),"No data"))</f>
        <v/>
      </c>
      <c r="X196" s="13">
        <f>IF('Council Entry'!X196="","",IFERROR(MAX(0,MIN(10,ROUND(IF('Council Entry'!X$7="Decrease Risk",10-10*((IF('Council Entry'!X$4="Logarithm",LN(0.001+IF(AND(ISNUMBER('Council Entry'!X$8),ISNUMBER('Council Entry'!X$9)),MAX(MIN('Council Entry'!X196,'Council Entry'!X$9),'Council Entry'!X$8),'Council Entry'!X196)),IF('Council Entry'!X$4="Exponential",EXP(IF(AND(ISNUMBER('Council Entry'!X$8),ISNUMBER('Council Entry'!X$9)),MAX(MIN('Council Entry'!X196,'Council Entry'!X$9),'Council Entry'!X$8),'Council Entry'!X196)),IF(AND(ISNUMBER('Council Entry'!X$8),ISNUMBER('Council Entry'!X$9)),MAX(MIN('Council Entry'!X196,'Council Entry'!X$9),'Council Entry'!X$8),'Council Entry'!X196))))-'Council Entry'!X$5)/('Council Entry'!X$6-'Council Entry'!X$5),10*((IF('Council Entry'!X$4="Logarithm",LN(0.001+IF(AND(ISNUMBER('Council Entry'!X$8),ISNUMBER('Council Entry'!X$9)),MAX(MIN('Council Entry'!X196,'Council Entry'!X$9),'Council Entry'!X$8),'Council Entry'!X196)),IF('Council Entry'!X$4="Exponential",EXP(IF(AND(ISNUMBER('Council Entry'!X$8),ISNUMBER('Council Entry'!X$9)),MAX(MIN('Council Entry'!X196,'Council Entry'!X$9),'Council Entry'!X$8),'Council Entry'!X196)),IF(AND(ISNUMBER('Council Entry'!X$8),ISNUMBER('Council Entry'!X$9)),MAX(MIN('Council Entry'!X196,'Council Entry'!X$9),'Council Entry'!X$8),'Council Entry'!X196))))-'Council Entry'!X$5)/('Council Entry'!X$6-'Council Entry'!X$5)),1))),"No data"))</f>
        <v/>
      </c>
      <c r="Y196" s="13">
        <f>IF('Council Entry'!Y196="","",IFERROR(MAX(0,MIN(10,ROUND(IF('Council Entry'!Y$7="Decrease Risk",10-10*((IF('Council Entry'!Y$4="Logarithm",LN(0.001+IF(AND(ISNUMBER('Council Entry'!Y$8),ISNUMBER('Council Entry'!Y$9)),MAX(MIN('Council Entry'!Y196,'Council Entry'!Y$9),'Council Entry'!Y$8),'Council Entry'!Y196)),IF('Council Entry'!Y$4="Exponential",EXP(IF(AND(ISNUMBER('Council Entry'!Y$8),ISNUMBER('Council Entry'!Y$9)),MAX(MIN('Council Entry'!Y196,'Council Entry'!Y$9),'Council Entry'!Y$8),'Council Entry'!Y196)),IF(AND(ISNUMBER('Council Entry'!Y$8),ISNUMBER('Council Entry'!Y$9)),MAX(MIN('Council Entry'!Y196,'Council Entry'!Y$9),'Council Entry'!Y$8),'Council Entry'!Y196))))-'Council Entry'!Y$5)/('Council Entry'!Y$6-'Council Entry'!Y$5),10*((IF('Council Entry'!Y$4="Logarithm",LN(0.001+IF(AND(ISNUMBER('Council Entry'!Y$8),ISNUMBER('Council Entry'!Y$9)),MAX(MIN('Council Entry'!Y196,'Council Entry'!Y$9),'Council Entry'!Y$8),'Council Entry'!Y196)),IF('Council Entry'!Y$4="Exponential",EXP(IF(AND(ISNUMBER('Council Entry'!Y$8),ISNUMBER('Council Entry'!Y$9)),MAX(MIN('Council Entry'!Y196,'Council Entry'!Y$9),'Council Entry'!Y$8),'Council Entry'!Y196)),IF(AND(ISNUMBER('Council Entry'!Y$8),ISNUMBER('Council Entry'!Y$9)),MAX(MIN('Council Entry'!Y196,'Council Entry'!Y$9),'Council Entry'!Y$8),'Council Entry'!Y196))))-'Council Entry'!Y$5)/('Council Entry'!Y$6-'Council Entry'!Y$5)),1))),"No data"))</f>
        <v/>
      </c>
      <c r="Z196" s="13">
        <f>IF('Council Entry'!Z196="","",IFERROR(MAX(0,MIN(10,ROUND(IF('Council Entry'!Z$7="Decrease Risk",10-10*((IF('Council Entry'!Z$4="Logarithm",LN(0.001+IF(AND(ISNUMBER('Council Entry'!Z$8),ISNUMBER('Council Entry'!Z$9)),MAX(MIN('Council Entry'!Z196,'Council Entry'!Z$9),'Council Entry'!Z$8),'Council Entry'!Z196)),IF('Council Entry'!Z$4="Exponential",EXP(IF(AND(ISNUMBER('Council Entry'!Z$8),ISNUMBER('Council Entry'!Z$9)),MAX(MIN('Council Entry'!Z196,'Council Entry'!Z$9),'Council Entry'!Z$8),'Council Entry'!Z196)),IF(AND(ISNUMBER('Council Entry'!Z$8),ISNUMBER('Council Entry'!Z$9)),MAX(MIN('Council Entry'!Z196,'Council Entry'!Z$9),'Council Entry'!Z$8),'Council Entry'!Z196))))-'Council Entry'!Z$5)/('Council Entry'!Z$6-'Council Entry'!Z$5),10*((IF('Council Entry'!Z$4="Logarithm",LN(0.001+IF(AND(ISNUMBER('Council Entry'!Z$8),ISNUMBER('Council Entry'!Z$9)),MAX(MIN('Council Entry'!Z196,'Council Entry'!Z$9),'Council Entry'!Z$8),'Council Entry'!Z196)),IF('Council Entry'!Z$4="Exponential",EXP(IF(AND(ISNUMBER('Council Entry'!Z$8),ISNUMBER('Council Entry'!Z$9)),MAX(MIN('Council Entry'!Z196,'Council Entry'!Z$9),'Council Entry'!Z$8),'Council Entry'!Z196)),IF(AND(ISNUMBER('Council Entry'!Z$8),ISNUMBER('Council Entry'!Z$9)),MAX(MIN('Council Entry'!Z196,'Council Entry'!Z$9),'Council Entry'!Z$8),'Council Entry'!Z196))))-'Council Entry'!Z$5)/('Council Entry'!Z$6-'Council Entry'!Z$5)),1))),"No data"))</f>
        <v/>
      </c>
      <c r="AA196" s="13">
        <f>IF('Council Entry'!AA196="","",IFERROR(MAX(0,MIN(10,ROUND(IF('Council Entry'!AA$7="Decrease Risk",10-10*((IF('Council Entry'!AA$4="Logarithm",LN(0.001+IF(AND(ISNUMBER('Council Entry'!AA$8),ISNUMBER('Council Entry'!AA$9)),MAX(MIN('Council Entry'!AA196,'Council Entry'!AA$9),'Council Entry'!AA$8),'Council Entry'!AA196)),IF('Council Entry'!AA$4="Exponential",EXP(IF(AND(ISNUMBER('Council Entry'!AA$8),ISNUMBER('Council Entry'!AA$9)),MAX(MIN('Council Entry'!AA196,'Council Entry'!AA$9),'Council Entry'!AA$8),'Council Entry'!AA196)),IF(AND(ISNUMBER('Council Entry'!AA$8),ISNUMBER('Council Entry'!AA$9)),MAX(MIN('Council Entry'!AA196,'Council Entry'!AA$9),'Council Entry'!AA$8),'Council Entry'!AA196))))-'Council Entry'!AA$5)/('Council Entry'!AA$6-'Council Entry'!AA$5),10*((IF('Council Entry'!AA$4="Logarithm",LN(0.001+IF(AND(ISNUMBER('Council Entry'!AA$8),ISNUMBER('Council Entry'!AA$9)),MAX(MIN('Council Entry'!AA196,'Council Entry'!AA$9),'Council Entry'!AA$8),'Council Entry'!AA196)),IF('Council Entry'!AA$4="Exponential",EXP(IF(AND(ISNUMBER('Council Entry'!AA$8),ISNUMBER('Council Entry'!AA$9)),MAX(MIN('Council Entry'!AA196,'Council Entry'!AA$9),'Council Entry'!AA$8),'Council Entry'!AA196)),IF(AND(ISNUMBER('Council Entry'!AA$8),ISNUMBER('Council Entry'!AA$9)),MAX(MIN('Council Entry'!AA196,'Council Entry'!AA$9),'Council Entry'!AA$8),'Council Entry'!AA196))))-'Council Entry'!AA$5)/('Council Entry'!AA$6-'Council Entry'!AA$5)),1))),"No data"))</f>
        <v/>
      </c>
      <c r="AB196" s="13">
        <f>IF('Council Entry'!AB196="","",IFERROR(MAX(0,MIN(10,ROUND(IF('Council Entry'!AB$7="Decrease Risk",10-10*((IF('Council Entry'!AB$4="Logarithm",LN(0.001+IF(AND(ISNUMBER('Council Entry'!AB$8),ISNUMBER('Council Entry'!AB$9)),MAX(MIN('Council Entry'!AB196,'Council Entry'!AB$9),'Council Entry'!AB$8),'Council Entry'!AB196)),IF('Council Entry'!AB$4="Exponential",EXP(IF(AND(ISNUMBER('Council Entry'!AB$8),ISNUMBER('Council Entry'!AB$9)),MAX(MIN('Council Entry'!AB196,'Council Entry'!AB$9),'Council Entry'!AB$8),'Council Entry'!AB196)),IF(AND(ISNUMBER('Council Entry'!AB$8),ISNUMBER('Council Entry'!AB$9)),MAX(MIN('Council Entry'!AB196,'Council Entry'!AB$9),'Council Entry'!AB$8),'Council Entry'!AB196))))-'Council Entry'!AB$5)/('Council Entry'!AB$6-'Council Entry'!AB$5),10*((IF('Council Entry'!AB$4="Logarithm",LN(0.001+IF(AND(ISNUMBER('Council Entry'!AB$8),ISNUMBER('Council Entry'!AB$9)),MAX(MIN('Council Entry'!AB196,'Council Entry'!AB$9),'Council Entry'!AB$8),'Council Entry'!AB196)),IF('Council Entry'!AB$4="Exponential",EXP(IF(AND(ISNUMBER('Council Entry'!AB$8),ISNUMBER('Council Entry'!AB$9)),MAX(MIN('Council Entry'!AB196,'Council Entry'!AB$9),'Council Entry'!AB$8),'Council Entry'!AB196)),IF(AND(ISNUMBER('Council Entry'!AB$8),ISNUMBER('Council Entry'!AB$9)),MAX(MIN('Council Entry'!AB196,'Council Entry'!AB$9),'Council Entry'!AB$8),'Council Entry'!AB196))))-'Council Entry'!AB$5)/('Council Entry'!AB$6-'Council Entry'!AB$5)),1))),"No data"))</f>
        <v/>
      </c>
      <c r="AC196" s="13">
        <f>IF('Council Entry'!AC196="","",IFERROR(MAX(0,MIN(10,ROUND(IF('Council Entry'!AC$7="Decrease Risk",10-10*((IF('Council Entry'!AC$4="Logarithm",LN(0.001+IF(AND(ISNUMBER('Council Entry'!AC$8),ISNUMBER('Council Entry'!AC$9)),MAX(MIN('Council Entry'!AC196,'Council Entry'!AC$9),'Council Entry'!AC$8),'Council Entry'!AC196)),IF('Council Entry'!AC$4="Exponential",EXP(IF(AND(ISNUMBER('Council Entry'!AC$8),ISNUMBER('Council Entry'!AC$9)),MAX(MIN('Council Entry'!AC196,'Council Entry'!AC$9),'Council Entry'!AC$8),'Council Entry'!AC196)),IF(AND(ISNUMBER('Council Entry'!AC$8),ISNUMBER('Council Entry'!AC$9)),MAX(MIN('Council Entry'!AC196,'Council Entry'!AC$9),'Council Entry'!AC$8),'Council Entry'!AC196))))-'Council Entry'!AC$5)/('Council Entry'!AC$6-'Council Entry'!AC$5),10*((IF('Council Entry'!AC$4="Logarithm",LN(0.001+IF(AND(ISNUMBER('Council Entry'!AC$8),ISNUMBER('Council Entry'!AC$9)),MAX(MIN('Council Entry'!AC196,'Council Entry'!AC$9),'Council Entry'!AC$8),'Council Entry'!AC196)),IF('Council Entry'!AC$4="Exponential",EXP(IF(AND(ISNUMBER('Council Entry'!AC$8),ISNUMBER('Council Entry'!AC$9)),MAX(MIN('Council Entry'!AC196,'Council Entry'!AC$9),'Council Entry'!AC$8),'Council Entry'!AC196)),IF(AND(ISNUMBER('Council Entry'!AC$8),ISNUMBER('Council Entry'!AC$9)),MAX(MIN('Council Entry'!AC196,'Council Entry'!AC$9),'Council Entry'!AC$8),'Council Entry'!AC196))))-'Council Entry'!AC$5)/('Council Entry'!AC$6-'Council Entry'!AC$5)),1))),"No data"))</f>
        <v/>
      </c>
      <c r="AD196" s="13">
        <f>IF('Council Entry'!AD196="","",IFERROR(MAX(0,MIN(10,ROUND(IF('Council Entry'!AD$7="Decrease Risk",10-10*((IF('Council Entry'!AD$4="Logarithm",LN(0.001+IF(AND(ISNUMBER('Council Entry'!AD$8),ISNUMBER('Council Entry'!AD$9)),MAX(MIN('Council Entry'!AD196,'Council Entry'!AD$9),'Council Entry'!AD$8),'Council Entry'!AD196)),IF('Council Entry'!AD$4="Exponential",EXP(IF(AND(ISNUMBER('Council Entry'!AD$8),ISNUMBER('Council Entry'!AD$9)),MAX(MIN('Council Entry'!AD196,'Council Entry'!AD$9),'Council Entry'!AD$8),'Council Entry'!AD196)),IF(AND(ISNUMBER('Council Entry'!AD$8),ISNUMBER('Council Entry'!AD$9)),MAX(MIN('Council Entry'!AD196,'Council Entry'!AD$9),'Council Entry'!AD$8),'Council Entry'!AD196))))-'Council Entry'!AD$5)/('Council Entry'!AD$6-'Council Entry'!AD$5),10*((IF('Council Entry'!AD$4="Logarithm",LN(0.001+IF(AND(ISNUMBER('Council Entry'!AD$8),ISNUMBER('Council Entry'!AD$9)),MAX(MIN('Council Entry'!AD196,'Council Entry'!AD$9),'Council Entry'!AD$8),'Council Entry'!AD196)),IF('Council Entry'!AD$4="Exponential",EXP(IF(AND(ISNUMBER('Council Entry'!AD$8),ISNUMBER('Council Entry'!AD$9)),MAX(MIN('Council Entry'!AD196,'Council Entry'!AD$9),'Council Entry'!AD$8),'Council Entry'!AD196)),IF(AND(ISNUMBER('Council Entry'!AD$8),ISNUMBER('Council Entry'!AD$9)),MAX(MIN('Council Entry'!AD196,'Council Entry'!AD$9),'Council Entry'!AD$8),'Council Entry'!AD196))))-'Council Entry'!AD$5)/('Council Entry'!AD$6-'Council Entry'!AD$5)),1))),"No data"))</f>
        <v/>
      </c>
      <c r="AE196" s="13">
        <f>IF('Council Entry'!AE196="","",IFERROR(MAX(0,MIN(10,ROUND(IF('Council Entry'!AE$7="Decrease Risk",10-10*((IF('Council Entry'!AE$4="Logarithm",LN(0.001+IF(AND(ISNUMBER('Council Entry'!AE$8),ISNUMBER('Council Entry'!AE$9)),MAX(MIN('Council Entry'!AE196,'Council Entry'!AE$9),'Council Entry'!AE$8),'Council Entry'!AE196)),IF('Council Entry'!AE$4="Exponential",EXP(IF(AND(ISNUMBER('Council Entry'!AE$8),ISNUMBER('Council Entry'!AE$9)),MAX(MIN('Council Entry'!AE196,'Council Entry'!AE$9),'Council Entry'!AE$8),'Council Entry'!AE196)),IF(AND(ISNUMBER('Council Entry'!AE$8),ISNUMBER('Council Entry'!AE$9)),MAX(MIN('Council Entry'!AE196,'Council Entry'!AE$9),'Council Entry'!AE$8),'Council Entry'!AE196))))-'Council Entry'!AE$5)/('Council Entry'!AE$6-'Council Entry'!AE$5),10*((IF('Council Entry'!AE$4="Logarithm",LN(0.001+IF(AND(ISNUMBER('Council Entry'!AE$8),ISNUMBER('Council Entry'!AE$9)),MAX(MIN('Council Entry'!AE196,'Council Entry'!AE$9),'Council Entry'!AE$8),'Council Entry'!AE196)),IF('Council Entry'!AE$4="Exponential",EXP(IF(AND(ISNUMBER('Council Entry'!AE$8),ISNUMBER('Council Entry'!AE$9)),MAX(MIN('Council Entry'!AE196,'Council Entry'!AE$9),'Council Entry'!AE$8),'Council Entry'!AE196)),IF(AND(ISNUMBER('Council Entry'!AE$8),ISNUMBER('Council Entry'!AE$9)),MAX(MIN('Council Entry'!AE196,'Council Entry'!AE$9),'Council Entry'!AE$8),'Council Entry'!AE196))))-'Council Entry'!AE$5)/('Council Entry'!AE$6-'Council Entry'!AE$5)),1))),"No data"))</f>
        <v/>
      </c>
      <c r="AF196" s="13">
        <f>IF('Council Entry'!AF196="","",IFERROR(MAX(0,MIN(10,ROUND(IF('Council Entry'!AF$7="Decrease Risk",10-10*((IF('Council Entry'!AF$4="Logarithm",LN(0.001+IF(AND(ISNUMBER('Council Entry'!AF$8),ISNUMBER('Council Entry'!AF$9)),MAX(MIN('Council Entry'!AF196,'Council Entry'!AF$9),'Council Entry'!AF$8),'Council Entry'!AF196)),IF('Council Entry'!AF$4="Exponential",EXP(IF(AND(ISNUMBER('Council Entry'!AF$8),ISNUMBER('Council Entry'!AF$9)),MAX(MIN('Council Entry'!AF196,'Council Entry'!AF$9),'Council Entry'!AF$8),'Council Entry'!AF196)),IF(AND(ISNUMBER('Council Entry'!AF$8),ISNUMBER('Council Entry'!AF$9)),MAX(MIN('Council Entry'!AF196,'Council Entry'!AF$9),'Council Entry'!AF$8),'Council Entry'!AF196))))-'Council Entry'!AF$5)/('Council Entry'!AF$6-'Council Entry'!AF$5),10*((IF('Council Entry'!AF$4="Logarithm",LN(0.001+IF(AND(ISNUMBER('Council Entry'!AF$8),ISNUMBER('Council Entry'!AF$9)),MAX(MIN('Council Entry'!AF196,'Council Entry'!AF$9),'Council Entry'!AF$8),'Council Entry'!AF196)),IF('Council Entry'!AF$4="Exponential",EXP(IF(AND(ISNUMBER('Council Entry'!AF$8),ISNUMBER('Council Entry'!AF$9)),MAX(MIN('Council Entry'!AF196,'Council Entry'!AF$9),'Council Entry'!AF$8),'Council Entry'!AF196)),IF(AND(ISNUMBER('Council Entry'!AF$8),ISNUMBER('Council Entry'!AF$9)),MAX(MIN('Council Entry'!AF196,'Council Entry'!AF$9),'Council Entry'!AF$8),'Council Entry'!AF196))))-'Council Entry'!AF$5)/('Council Entry'!AF$6-'Council Entry'!AF$5)),1))),"No data"))</f>
        <v/>
      </c>
      <c r="AG196" s="13">
        <f>IF('Council Entry'!AG196="","",IFERROR(MAX(0,MIN(10,ROUND(IF('Council Entry'!AG$7="Decrease Risk",10-10*((IF('Council Entry'!AG$4="Logarithm",LN(0.001+IF(AND(ISNUMBER('Council Entry'!AG$8),ISNUMBER('Council Entry'!AG$9)),MAX(MIN('Council Entry'!AG196,'Council Entry'!AG$9),'Council Entry'!AG$8),'Council Entry'!AG196)),IF('Council Entry'!AG$4="Exponential",EXP(IF(AND(ISNUMBER('Council Entry'!AG$8),ISNUMBER('Council Entry'!AG$9)),MAX(MIN('Council Entry'!AG196,'Council Entry'!AG$9),'Council Entry'!AG$8),'Council Entry'!AG196)),IF(AND(ISNUMBER('Council Entry'!AG$8),ISNUMBER('Council Entry'!AG$9)),MAX(MIN('Council Entry'!AG196,'Council Entry'!AG$9),'Council Entry'!AG$8),'Council Entry'!AG196))))-'Council Entry'!AG$5)/('Council Entry'!AG$6-'Council Entry'!AG$5),10*((IF('Council Entry'!AG$4="Logarithm",LN(0.001+IF(AND(ISNUMBER('Council Entry'!AG$8),ISNUMBER('Council Entry'!AG$9)),MAX(MIN('Council Entry'!AG196,'Council Entry'!AG$9),'Council Entry'!AG$8),'Council Entry'!AG196)),IF('Council Entry'!AG$4="Exponential",EXP(IF(AND(ISNUMBER('Council Entry'!AG$8),ISNUMBER('Council Entry'!AG$9)),MAX(MIN('Council Entry'!AG196,'Council Entry'!AG$9),'Council Entry'!AG$8),'Council Entry'!AG196)),IF(AND(ISNUMBER('Council Entry'!AG$8),ISNUMBER('Council Entry'!AG$9)),MAX(MIN('Council Entry'!AG196,'Council Entry'!AG$9),'Council Entry'!AG$8),'Council Entry'!AG196))))-'Council Entry'!AG$5)/('Council Entry'!AG$6-'Council Entry'!AG$5)),1))),"No data"))</f>
        <v/>
      </c>
      <c r="AH196" s="13">
        <f>IF('Council Entry'!AH196="","",IFERROR(MAX(0,MIN(10,ROUND(IF('Council Entry'!AH$7="Decrease Risk",10-10*((IF('Council Entry'!AH$4="Logarithm",LN(0.001+IF(AND(ISNUMBER('Council Entry'!AH$8),ISNUMBER('Council Entry'!AH$9)),MAX(MIN('Council Entry'!AH196,'Council Entry'!AH$9),'Council Entry'!AH$8),'Council Entry'!AH196)),IF('Council Entry'!AH$4="Exponential",EXP(IF(AND(ISNUMBER('Council Entry'!AH$8),ISNUMBER('Council Entry'!AH$9)),MAX(MIN('Council Entry'!AH196,'Council Entry'!AH$9),'Council Entry'!AH$8),'Council Entry'!AH196)),IF(AND(ISNUMBER('Council Entry'!AH$8),ISNUMBER('Council Entry'!AH$9)),MAX(MIN('Council Entry'!AH196,'Council Entry'!AH$9),'Council Entry'!AH$8),'Council Entry'!AH196))))-'Council Entry'!AH$5)/('Council Entry'!AH$6-'Council Entry'!AH$5),10*((IF('Council Entry'!AH$4="Logarithm",LN(0.001+IF(AND(ISNUMBER('Council Entry'!AH$8),ISNUMBER('Council Entry'!AH$9)),MAX(MIN('Council Entry'!AH196,'Council Entry'!AH$9),'Council Entry'!AH$8),'Council Entry'!AH196)),IF('Council Entry'!AH$4="Exponential",EXP(IF(AND(ISNUMBER('Council Entry'!AH$8),ISNUMBER('Council Entry'!AH$9)),MAX(MIN('Council Entry'!AH196,'Council Entry'!AH$9),'Council Entry'!AH$8),'Council Entry'!AH196)),IF(AND(ISNUMBER('Council Entry'!AH$8),ISNUMBER('Council Entry'!AH$9)),MAX(MIN('Council Entry'!AH196,'Council Entry'!AH$9),'Council Entry'!AH$8),'Council Entry'!AH196))))-'Council Entry'!AH$5)/('Council Entry'!AH$6-'Council Entry'!AH$5)),1))),"No data"))</f>
        <v/>
      </c>
      <c r="AI196" s="13">
        <f>IF('Council Entry'!AI196="","",IFERROR(MAX(0,MIN(10,ROUND(IF('Council Entry'!AI$7="Decrease Risk",10-10*((IF('Council Entry'!AI$4="Logarithm",LN(0.001+IF(AND(ISNUMBER('Council Entry'!AI$8),ISNUMBER('Council Entry'!AI$9)),MAX(MIN('Council Entry'!AI196,'Council Entry'!AI$9),'Council Entry'!AI$8),'Council Entry'!AI196)),IF('Council Entry'!AI$4="Exponential",EXP(IF(AND(ISNUMBER('Council Entry'!AI$8),ISNUMBER('Council Entry'!AI$9)),MAX(MIN('Council Entry'!AI196,'Council Entry'!AI$9),'Council Entry'!AI$8),'Council Entry'!AI196)),IF(AND(ISNUMBER('Council Entry'!AI$8),ISNUMBER('Council Entry'!AI$9)),MAX(MIN('Council Entry'!AI196,'Council Entry'!AI$9),'Council Entry'!AI$8),'Council Entry'!AI196))))-'Council Entry'!AI$5)/('Council Entry'!AI$6-'Council Entry'!AI$5),10*((IF('Council Entry'!AI$4="Logarithm",LN(0.001+IF(AND(ISNUMBER('Council Entry'!AI$8),ISNUMBER('Council Entry'!AI$9)),MAX(MIN('Council Entry'!AI196,'Council Entry'!AI$9),'Council Entry'!AI$8),'Council Entry'!AI196)),IF('Council Entry'!AI$4="Exponential",EXP(IF(AND(ISNUMBER('Council Entry'!AI$8),ISNUMBER('Council Entry'!AI$9)),MAX(MIN('Council Entry'!AI196,'Council Entry'!AI$9),'Council Entry'!AI$8),'Council Entry'!AI196)),IF(AND(ISNUMBER('Council Entry'!AI$8),ISNUMBER('Council Entry'!AI$9)),MAX(MIN('Council Entry'!AI196,'Council Entry'!AI$9),'Council Entry'!AI$8),'Council Entry'!AI196))))-'Council Entry'!AI$5)/('Council Entry'!AI$6-'Council Entry'!AI$5)),1))),"No data"))</f>
        <v/>
      </c>
      <c r="AJ196" s="13">
        <f>IF('Council Entry'!AJ196="","",IFERROR(MAX(0,MIN(10,ROUND(IF('Council Entry'!AJ$7="Decrease Risk",10-10*((IF('Council Entry'!AJ$4="Logarithm",LN(0.001+IF(AND(ISNUMBER('Council Entry'!AJ$8),ISNUMBER('Council Entry'!AJ$9)),MAX(MIN('Council Entry'!AJ196,'Council Entry'!AJ$9),'Council Entry'!AJ$8),'Council Entry'!AJ196)),IF('Council Entry'!AJ$4="Exponential",EXP(IF(AND(ISNUMBER('Council Entry'!AJ$8),ISNUMBER('Council Entry'!AJ$9)),MAX(MIN('Council Entry'!AJ196,'Council Entry'!AJ$9),'Council Entry'!AJ$8),'Council Entry'!AJ196)),IF(AND(ISNUMBER('Council Entry'!AJ$8),ISNUMBER('Council Entry'!AJ$9)),MAX(MIN('Council Entry'!AJ196,'Council Entry'!AJ$9),'Council Entry'!AJ$8),'Council Entry'!AJ196))))-'Council Entry'!AJ$5)/('Council Entry'!AJ$6-'Council Entry'!AJ$5),10*((IF('Council Entry'!AJ$4="Logarithm",LN(0.001+IF(AND(ISNUMBER('Council Entry'!AJ$8),ISNUMBER('Council Entry'!AJ$9)),MAX(MIN('Council Entry'!AJ196,'Council Entry'!AJ$9),'Council Entry'!AJ$8),'Council Entry'!AJ196)),IF('Council Entry'!AJ$4="Exponential",EXP(IF(AND(ISNUMBER('Council Entry'!AJ$8),ISNUMBER('Council Entry'!AJ$9)),MAX(MIN('Council Entry'!AJ196,'Council Entry'!AJ$9),'Council Entry'!AJ$8),'Council Entry'!AJ196)),IF(AND(ISNUMBER('Council Entry'!AJ$8),ISNUMBER('Council Entry'!AJ$9)),MAX(MIN('Council Entry'!AJ196,'Council Entry'!AJ$9),'Council Entry'!AJ$8),'Council Entry'!AJ196))))-'Council Entry'!AJ$5)/('Council Entry'!AJ$6-'Council Entry'!AJ$5)),1))),"No data"))</f>
        <v/>
      </c>
      <c r="AK196" s="13">
        <f>IF('Council Entry'!AK196="","",IFERROR(MAX(0,MIN(10,ROUND(IF('Council Entry'!AK$7="Decrease Risk",10-10*((IF('Council Entry'!AK$4="Logarithm",LN(0.001+IF(AND(ISNUMBER('Council Entry'!AK$8),ISNUMBER('Council Entry'!AK$9)),MAX(MIN('Council Entry'!AK196,'Council Entry'!AK$9),'Council Entry'!AK$8),'Council Entry'!AK196)),IF('Council Entry'!AK$4="Exponential",EXP(IF(AND(ISNUMBER('Council Entry'!AK$8),ISNUMBER('Council Entry'!AK$9)),MAX(MIN('Council Entry'!AK196,'Council Entry'!AK$9),'Council Entry'!AK$8),'Council Entry'!AK196)),IF(AND(ISNUMBER('Council Entry'!AK$8),ISNUMBER('Council Entry'!AK$9)),MAX(MIN('Council Entry'!AK196,'Council Entry'!AK$9),'Council Entry'!AK$8),'Council Entry'!AK196))))-'Council Entry'!AK$5)/('Council Entry'!AK$6-'Council Entry'!AK$5),10*((IF('Council Entry'!AK$4="Logarithm",LN(0.001+IF(AND(ISNUMBER('Council Entry'!AK$8),ISNUMBER('Council Entry'!AK$9)),MAX(MIN('Council Entry'!AK196,'Council Entry'!AK$9),'Council Entry'!AK$8),'Council Entry'!AK196)),IF('Council Entry'!AK$4="Exponential",EXP(IF(AND(ISNUMBER('Council Entry'!AK$8),ISNUMBER('Council Entry'!AK$9)),MAX(MIN('Council Entry'!AK196,'Council Entry'!AK$9),'Council Entry'!AK$8),'Council Entry'!AK196)),IF(AND(ISNUMBER('Council Entry'!AK$8),ISNUMBER('Council Entry'!AK$9)),MAX(MIN('Council Entry'!AK196,'Council Entry'!AK$9),'Council Entry'!AK$8),'Council Entry'!AK196))))-'Council Entry'!AK$5)/('Council Entry'!AK$6-'Council Entry'!AK$5)),1))),"No data"))</f>
        <v/>
      </c>
      <c r="AL196" s="13">
        <f>IF('Council Entry'!AL196="","",IFERROR(MAX(0,MIN(10,ROUND(IF('Council Entry'!AL$7="Decrease Risk",10-10*((IF('Council Entry'!AL$4="Logarithm",LN(0.001+IF(AND(ISNUMBER('Council Entry'!AL$8),ISNUMBER('Council Entry'!AL$9)),MAX(MIN('Council Entry'!AL196,'Council Entry'!AL$9),'Council Entry'!AL$8),'Council Entry'!AL196)),IF('Council Entry'!AL$4="Exponential",EXP(IF(AND(ISNUMBER('Council Entry'!AL$8),ISNUMBER('Council Entry'!AL$9)),MAX(MIN('Council Entry'!AL196,'Council Entry'!AL$9),'Council Entry'!AL$8),'Council Entry'!AL196)),IF(AND(ISNUMBER('Council Entry'!AL$8),ISNUMBER('Council Entry'!AL$9)),MAX(MIN('Council Entry'!AL196,'Council Entry'!AL$9),'Council Entry'!AL$8),'Council Entry'!AL196))))-'Council Entry'!AL$5)/('Council Entry'!AL$6-'Council Entry'!AL$5),10*((IF('Council Entry'!AL$4="Logarithm",LN(0.001+IF(AND(ISNUMBER('Council Entry'!AL$8),ISNUMBER('Council Entry'!AL$9)),MAX(MIN('Council Entry'!AL196,'Council Entry'!AL$9),'Council Entry'!AL$8),'Council Entry'!AL196)),IF('Council Entry'!AL$4="Exponential",EXP(IF(AND(ISNUMBER('Council Entry'!AL$8),ISNUMBER('Council Entry'!AL$9)),MAX(MIN('Council Entry'!AL196,'Council Entry'!AL$9),'Council Entry'!AL$8),'Council Entry'!AL196)),IF(AND(ISNUMBER('Council Entry'!AL$8),ISNUMBER('Council Entry'!AL$9)),MAX(MIN('Council Entry'!AL196,'Council Entry'!AL$9),'Council Entry'!AL$8),'Council Entry'!AL196))))-'Council Entry'!AL$5)/('Council Entry'!AL$6-'Council Entry'!AL$5)),1))),"No data"))</f>
        <v/>
      </c>
      <c r="AM196" s="13">
        <f>IF('Council Entry'!AM196="","",IFERROR(MAX(0,MIN(10,ROUND(IF('Council Entry'!AM$7="Decrease Risk",10-10*((IF('Council Entry'!AM$4="Logarithm",LN(0.001+IF(AND(ISNUMBER('Council Entry'!AM$8),ISNUMBER('Council Entry'!AM$9)),MAX(MIN('Council Entry'!AM196,'Council Entry'!AM$9),'Council Entry'!AM$8),'Council Entry'!AM196)),IF('Council Entry'!AM$4="Exponential",EXP(IF(AND(ISNUMBER('Council Entry'!AM$8),ISNUMBER('Council Entry'!AM$9)),MAX(MIN('Council Entry'!AM196,'Council Entry'!AM$9),'Council Entry'!AM$8),'Council Entry'!AM196)),IF(AND(ISNUMBER('Council Entry'!AM$8),ISNUMBER('Council Entry'!AM$9)),MAX(MIN('Council Entry'!AM196,'Council Entry'!AM$9),'Council Entry'!AM$8),'Council Entry'!AM196))))-'Council Entry'!AM$5)/('Council Entry'!AM$6-'Council Entry'!AM$5),10*((IF('Council Entry'!AM$4="Logarithm",LN(0.001+IF(AND(ISNUMBER('Council Entry'!AM$8),ISNUMBER('Council Entry'!AM$9)),MAX(MIN('Council Entry'!AM196,'Council Entry'!AM$9),'Council Entry'!AM$8),'Council Entry'!AM196)),IF('Council Entry'!AM$4="Exponential",EXP(IF(AND(ISNUMBER('Council Entry'!AM$8),ISNUMBER('Council Entry'!AM$9)),MAX(MIN('Council Entry'!AM196,'Council Entry'!AM$9),'Council Entry'!AM$8),'Council Entry'!AM196)),IF(AND(ISNUMBER('Council Entry'!AM$8),ISNUMBER('Council Entry'!AM$9)),MAX(MIN('Council Entry'!AM196,'Council Entry'!AM$9),'Council Entry'!AM$8),'Council Entry'!AM196))))-'Council Entry'!AM$5)/('Council Entry'!AM$6-'Council Entry'!AM$5)),1))),"No data"))</f>
        <v/>
      </c>
      <c r="AN196" s="13">
        <f>IF('Council Entry'!AN196="","",IFERROR(MAX(0,MIN(10,ROUND(IF('Council Entry'!AN$7="Decrease Risk",10-10*((IF('Council Entry'!AN$4="Logarithm",LN(0.001+IF(AND(ISNUMBER('Council Entry'!AN$8),ISNUMBER('Council Entry'!AN$9)),MAX(MIN('Council Entry'!AN196,'Council Entry'!AN$9),'Council Entry'!AN$8),'Council Entry'!AN196)),IF('Council Entry'!AN$4="Exponential",EXP(IF(AND(ISNUMBER('Council Entry'!AN$8),ISNUMBER('Council Entry'!AN$9)),MAX(MIN('Council Entry'!AN196,'Council Entry'!AN$9),'Council Entry'!AN$8),'Council Entry'!AN196)),IF(AND(ISNUMBER('Council Entry'!AN$8),ISNUMBER('Council Entry'!AN$9)),MAX(MIN('Council Entry'!AN196,'Council Entry'!AN$9),'Council Entry'!AN$8),'Council Entry'!AN196))))-'Council Entry'!AN$5)/('Council Entry'!AN$6-'Council Entry'!AN$5),10*((IF('Council Entry'!AN$4="Logarithm",LN(0.001+IF(AND(ISNUMBER('Council Entry'!AN$8),ISNUMBER('Council Entry'!AN$9)),MAX(MIN('Council Entry'!AN196,'Council Entry'!AN$9),'Council Entry'!AN$8),'Council Entry'!AN196)),IF('Council Entry'!AN$4="Exponential",EXP(IF(AND(ISNUMBER('Council Entry'!AN$8),ISNUMBER('Council Entry'!AN$9)),MAX(MIN('Council Entry'!AN196,'Council Entry'!AN$9),'Council Entry'!AN$8),'Council Entry'!AN196)),IF(AND(ISNUMBER('Council Entry'!AN$8),ISNUMBER('Council Entry'!AN$9)),MAX(MIN('Council Entry'!AN196,'Council Entry'!AN$9),'Council Entry'!AN$8),'Council Entry'!AN196))))-'Council Entry'!AN$5)/('Council Entry'!AN$6-'Council Entry'!AN$5)),1))),"No data"))</f>
        <v/>
      </c>
      <c r="AO196" s="13">
        <f>IF('Council Entry'!AO196="","",IFERROR(MAX(0,MIN(10,ROUND(IF('Council Entry'!AO$7="Decrease Risk",10-10*((IF('Council Entry'!AO$4="Logarithm",LN(0.001+IF(AND(ISNUMBER('Council Entry'!AO$8),ISNUMBER('Council Entry'!AO$9)),MAX(MIN('Council Entry'!AO196,'Council Entry'!AO$9),'Council Entry'!AO$8),'Council Entry'!AO196)),IF('Council Entry'!AO$4="Exponential",EXP(IF(AND(ISNUMBER('Council Entry'!AO$8),ISNUMBER('Council Entry'!AO$9)),MAX(MIN('Council Entry'!AO196,'Council Entry'!AO$9),'Council Entry'!AO$8),'Council Entry'!AO196)),IF(AND(ISNUMBER('Council Entry'!AO$8),ISNUMBER('Council Entry'!AO$9)),MAX(MIN('Council Entry'!AO196,'Council Entry'!AO$9),'Council Entry'!AO$8),'Council Entry'!AO196))))-'Council Entry'!AO$5)/('Council Entry'!AO$6-'Council Entry'!AO$5),10*((IF('Council Entry'!AO$4="Logarithm",LN(0.001+IF(AND(ISNUMBER('Council Entry'!AO$8),ISNUMBER('Council Entry'!AO$9)),MAX(MIN('Council Entry'!AO196,'Council Entry'!AO$9),'Council Entry'!AO$8),'Council Entry'!AO196)),IF('Council Entry'!AO$4="Exponential",EXP(IF(AND(ISNUMBER('Council Entry'!AO$8),ISNUMBER('Council Entry'!AO$9)),MAX(MIN('Council Entry'!AO196,'Council Entry'!AO$9),'Council Entry'!AO$8),'Council Entry'!AO196)),IF(AND(ISNUMBER('Council Entry'!AO$8),ISNUMBER('Council Entry'!AO$9)),MAX(MIN('Council Entry'!AO196,'Council Entry'!AO$9),'Council Entry'!AO$8),'Council Entry'!AO196))))-'Council Entry'!AO$5)/('Council Entry'!AO$6-'Council Entry'!AO$5)),1))),"No data"))</f>
        <v/>
      </c>
      <c r="AP196" s="13">
        <f>IF('Council Entry'!AP196="","",IFERROR(MAX(0,MIN(10,ROUND(IF('Council Entry'!AP$7="Decrease Risk",10-10*((IF('Council Entry'!AP$4="Logarithm",LN(0.001+IF(AND(ISNUMBER('Council Entry'!AP$8),ISNUMBER('Council Entry'!AP$9)),MAX(MIN('Council Entry'!AP196,'Council Entry'!AP$9),'Council Entry'!AP$8),'Council Entry'!AP196)),IF('Council Entry'!AP$4="Exponential",EXP(IF(AND(ISNUMBER('Council Entry'!AP$8),ISNUMBER('Council Entry'!AP$9)),MAX(MIN('Council Entry'!AP196,'Council Entry'!AP$9),'Council Entry'!AP$8),'Council Entry'!AP196)),IF(AND(ISNUMBER('Council Entry'!AP$8),ISNUMBER('Council Entry'!AP$9)),MAX(MIN('Council Entry'!AP196,'Council Entry'!AP$9),'Council Entry'!AP$8),'Council Entry'!AP196))))-'Council Entry'!AP$5)/('Council Entry'!AP$6-'Council Entry'!AP$5),10*((IF('Council Entry'!AP$4="Logarithm",LN(0.001+IF(AND(ISNUMBER('Council Entry'!AP$8),ISNUMBER('Council Entry'!AP$9)),MAX(MIN('Council Entry'!AP196,'Council Entry'!AP$9),'Council Entry'!AP$8),'Council Entry'!AP196)),IF('Council Entry'!AP$4="Exponential",EXP(IF(AND(ISNUMBER('Council Entry'!AP$8),ISNUMBER('Council Entry'!AP$9)),MAX(MIN('Council Entry'!AP196,'Council Entry'!AP$9),'Council Entry'!AP$8),'Council Entry'!AP196)),IF(AND(ISNUMBER('Council Entry'!AP$8),ISNUMBER('Council Entry'!AP$9)),MAX(MIN('Council Entry'!AP196,'Council Entry'!AP$9),'Council Entry'!AP$8),'Council Entry'!AP196))))-'Council Entry'!AP$5)/('Council Entry'!AP$6-'Council Entry'!AP$5)),1))),"No data"))</f>
        <v/>
      </c>
      <c r="AQ196" s="13">
        <f>IF('Council Entry'!AQ196="","",IFERROR(MAX(0,MIN(10,ROUND(IF('Council Entry'!AQ$7="Decrease Risk",10-10*((IF('Council Entry'!AQ$4="Logarithm",LN(0.001+IF(AND(ISNUMBER('Council Entry'!AQ$8),ISNUMBER('Council Entry'!AQ$9)),MAX(MIN('Council Entry'!AQ196,'Council Entry'!AQ$9),'Council Entry'!AQ$8),'Council Entry'!AQ196)),IF('Council Entry'!AQ$4="Exponential",EXP(IF(AND(ISNUMBER('Council Entry'!AQ$8),ISNUMBER('Council Entry'!AQ$9)),MAX(MIN('Council Entry'!AQ196,'Council Entry'!AQ$9),'Council Entry'!AQ$8),'Council Entry'!AQ196)),IF(AND(ISNUMBER('Council Entry'!AQ$8),ISNUMBER('Council Entry'!AQ$9)),MAX(MIN('Council Entry'!AQ196,'Council Entry'!AQ$9),'Council Entry'!AQ$8),'Council Entry'!AQ196))))-'Council Entry'!AQ$5)/('Council Entry'!AQ$6-'Council Entry'!AQ$5),10*((IF('Council Entry'!AQ$4="Logarithm",LN(0.001+IF(AND(ISNUMBER('Council Entry'!AQ$8),ISNUMBER('Council Entry'!AQ$9)),MAX(MIN('Council Entry'!AQ196,'Council Entry'!AQ$9),'Council Entry'!AQ$8),'Council Entry'!AQ196)),IF('Council Entry'!AQ$4="Exponential",EXP(IF(AND(ISNUMBER('Council Entry'!AQ$8),ISNUMBER('Council Entry'!AQ$9)),MAX(MIN('Council Entry'!AQ196,'Council Entry'!AQ$9),'Council Entry'!AQ$8),'Council Entry'!AQ196)),IF(AND(ISNUMBER('Council Entry'!AQ$8),ISNUMBER('Council Entry'!AQ$9)),MAX(MIN('Council Entry'!AQ196,'Council Entry'!AQ$9),'Council Entry'!AQ$8),'Council Entry'!AQ196))))-'Council Entry'!AQ$5)/('Council Entry'!AQ$6-'Council Entry'!AQ$5)),1))),"No data"))</f>
        <v/>
      </c>
      <c r="AR196" s="13">
        <f>IF('Council Entry'!AR196="","",IFERROR(MAX(0,MIN(10,ROUND(IF('Council Entry'!AR$7="Decrease Risk",10-10*((IF('Council Entry'!AR$4="Logarithm",LN(0.001+IF(AND(ISNUMBER('Council Entry'!AR$8),ISNUMBER('Council Entry'!AR$9)),MAX(MIN('Council Entry'!AR196,'Council Entry'!AR$9),'Council Entry'!AR$8),'Council Entry'!AR196)),IF('Council Entry'!AR$4="Exponential",EXP(IF(AND(ISNUMBER('Council Entry'!AR$8),ISNUMBER('Council Entry'!AR$9)),MAX(MIN('Council Entry'!AR196,'Council Entry'!AR$9),'Council Entry'!AR$8),'Council Entry'!AR196)),IF(AND(ISNUMBER('Council Entry'!AR$8),ISNUMBER('Council Entry'!AR$9)),MAX(MIN('Council Entry'!AR196,'Council Entry'!AR$9),'Council Entry'!AR$8),'Council Entry'!AR196))))-'Council Entry'!AR$5)/('Council Entry'!AR$6-'Council Entry'!AR$5),10*((IF('Council Entry'!AR$4="Logarithm",LN(0.001+IF(AND(ISNUMBER('Council Entry'!AR$8),ISNUMBER('Council Entry'!AR$9)),MAX(MIN('Council Entry'!AR196,'Council Entry'!AR$9),'Council Entry'!AR$8),'Council Entry'!AR196)),IF('Council Entry'!AR$4="Exponential",EXP(IF(AND(ISNUMBER('Council Entry'!AR$8),ISNUMBER('Council Entry'!AR$9)),MAX(MIN('Council Entry'!AR196,'Council Entry'!AR$9),'Council Entry'!AR$8),'Council Entry'!AR196)),IF(AND(ISNUMBER('Council Entry'!AR$8),ISNUMBER('Council Entry'!AR$9)),MAX(MIN('Council Entry'!AR196,'Council Entry'!AR$9),'Council Entry'!AR$8),'Council Entry'!AR196))))-'Council Entry'!AR$5)/('Council Entry'!AR$6-'Council Entry'!AR$5)),1))),"No data"))</f>
        <v/>
      </c>
      <c r="AS196" s="13">
        <f>IF('Council Entry'!AS196="","",IFERROR(MAX(0,MIN(10,ROUND(IF('Council Entry'!AS$7="Decrease Risk",10-10*((IF('Council Entry'!AS$4="Logarithm",LN(0.001+IF(AND(ISNUMBER('Council Entry'!AS$8),ISNUMBER('Council Entry'!AS$9)),MAX(MIN('Council Entry'!AS196,'Council Entry'!AS$9),'Council Entry'!AS$8),'Council Entry'!AS196)),IF('Council Entry'!AS$4="Exponential",EXP(IF(AND(ISNUMBER('Council Entry'!AS$8),ISNUMBER('Council Entry'!AS$9)),MAX(MIN('Council Entry'!AS196,'Council Entry'!AS$9),'Council Entry'!AS$8),'Council Entry'!AS196)),IF(AND(ISNUMBER('Council Entry'!AS$8),ISNUMBER('Council Entry'!AS$9)),MAX(MIN('Council Entry'!AS196,'Council Entry'!AS$9),'Council Entry'!AS$8),'Council Entry'!AS196))))-'Council Entry'!AS$5)/('Council Entry'!AS$6-'Council Entry'!AS$5),10*((IF('Council Entry'!AS$4="Logarithm",LN(0.001+IF(AND(ISNUMBER('Council Entry'!AS$8),ISNUMBER('Council Entry'!AS$9)),MAX(MIN('Council Entry'!AS196,'Council Entry'!AS$9),'Council Entry'!AS$8),'Council Entry'!AS196)),IF('Council Entry'!AS$4="Exponential",EXP(IF(AND(ISNUMBER('Council Entry'!AS$8),ISNUMBER('Council Entry'!AS$9)),MAX(MIN('Council Entry'!AS196,'Council Entry'!AS$9),'Council Entry'!AS$8),'Council Entry'!AS196)),IF(AND(ISNUMBER('Council Entry'!AS$8),ISNUMBER('Council Entry'!AS$9)),MAX(MIN('Council Entry'!AS196,'Council Entry'!AS$9),'Council Entry'!AS$8),'Council Entry'!AS196))))-'Council Entry'!AS$5)/('Council Entry'!AS$6-'Council Entry'!AS$5)),1))),"No data"))</f>
        <v/>
      </c>
      <c r="AT196" s="13">
        <f>IF('Council Entry'!AT196="","",IFERROR(MAX(0,MIN(10,ROUND(IF('Council Entry'!AT$7="Decrease Risk",10-10*((IF('Council Entry'!AT$4="Logarithm",LN(0.001+IF(AND(ISNUMBER('Council Entry'!AT$8),ISNUMBER('Council Entry'!AT$9)),MAX(MIN('Council Entry'!AT196,'Council Entry'!AT$9),'Council Entry'!AT$8),'Council Entry'!AT196)),IF('Council Entry'!AT$4="Exponential",EXP(IF(AND(ISNUMBER('Council Entry'!AT$8),ISNUMBER('Council Entry'!AT$9)),MAX(MIN('Council Entry'!AT196,'Council Entry'!AT$9),'Council Entry'!AT$8),'Council Entry'!AT196)),IF(AND(ISNUMBER('Council Entry'!AT$8),ISNUMBER('Council Entry'!AT$9)),MAX(MIN('Council Entry'!AT196,'Council Entry'!AT$9),'Council Entry'!AT$8),'Council Entry'!AT196))))-'Council Entry'!AT$5)/('Council Entry'!AT$6-'Council Entry'!AT$5),10*((IF('Council Entry'!AT$4="Logarithm",LN(0.001+IF(AND(ISNUMBER('Council Entry'!AT$8),ISNUMBER('Council Entry'!AT$9)),MAX(MIN('Council Entry'!AT196,'Council Entry'!AT$9),'Council Entry'!AT$8),'Council Entry'!AT196)),IF('Council Entry'!AT$4="Exponential",EXP(IF(AND(ISNUMBER('Council Entry'!AT$8),ISNUMBER('Council Entry'!AT$9)),MAX(MIN('Council Entry'!AT196,'Council Entry'!AT$9),'Council Entry'!AT$8),'Council Entry'!AT196)),IF(AND(ISNUMBER('Council Entry'!AT$8),ISNUMBER('Council Entry'!AT$9)),MAX(MIN('Council Entry'!AT196,'Council Entry'!AT$9),'Council Entry'!AT$8),'Council Entry'!AT196))))-'Council Entry'!AT$5)/('Council Entry'!AT$6-'Council Entry'!AT$5)),1))),"No data"))</f>
        <v/>
      </c>
      <c r="AU196" s="13">
        <f>IF('Council Entry'!AU196="","",IFERROR(MAX(0,MIN(10,ROUND(IF('Council Entry'!AU$7="Decrease Risk",10-10*((IF('Council Entry'!AU$4="Logarithm",LN(0.001+IF(AND(ISNUMBER('Council Entry'!AU$8),ISNUMBER('Council Entry'!AU$9)),MAX(MIN('Council Entry'!AU196,'Council Entry'!AU$9),'Council Entry'!AU$8),'Council Entry'!AU196)),IF('Council Entry'!AU$4="Exponential",EXP(IF(AND(ISNUMBER('Council Entry'!AU$8),ISNUMBER('Council Entry'!AU$9)),MAX(MIN('Council Entry'!AU196,'Council Entry'!AU$9),'Council Entry'!AU$8),'Council Entry'!AU196)),IF(AND(ISNUMBER('Council Entry'!AU$8),ISNUMBER('Council Entry'!AU$9)),MAX(MIN('Council Entry'!AU196,'Council Entry'!AU$9),'Council Entry'!AU$8),'Council Entry'!AU196))))-'Council Entry'!AU$5)/('Council Entry'!AU$6-'Council Entry'!AU$5),10*((IF('Council Entry'!AU$4="Logarithm",LN(0.001+IF(AND(ISNUMBER('Council Entry'!AU$8),ISNUMBER('Council Entry'!AU$9)),MAX(MIN('Council Entry'!AU196,'Council Entry'!AU$9),'Council Entry'!AU$8),'Council Entry'!AU196)),IF('Council Entry'!AU$4="Exponential",EXP(IF(AND(ISNUMBER('Council Entry'!AU$8),ISNUMBER('Council Entry'!AU$9)),MAX(MIN('Council Entry'!AU196,'Council Entry'!AU$9),'Council Entry'!AU$8),'Council Entry'!AU196)),IF(AND(ISNUMBER('Council Entry'!AU$8),ISNUMBER('Council Entry'!AU$9)),MAX(MIN('Council Entry'!AU196,'Council Entry'!AU$9),'Council Entry'!AU$8),'Council Entry'!AU196))))-'Council Entry'!AU$5)/('Council Entry'!AU$6-'Council Entry'!AU$5)),1))),"No data"))</f>
        <v/>
      </c>
      <c r="AV196" s="13">
        <f>IF('Council Entry'!AV196="","",IFERROR(MAX(0,MIN(10,ROUND(IF('Council Entry'!AV$7="Decrease Risk",10-10*((IF('Council Entry'!AV$4="Logarithm",LN(0.001+IF(AND(ISNUMBER('Council Entry'!AV$8),ISNUMBER('Council Entry'!AV$9)),MAX(MIN('Council Entry'!AV196,'Council Entry'!AV$9),'Council Entry'!AV$8),'Council Entry'!AV196)),IF('Council Entry'!AV$4="Exponential",EXP(IF(AND(ISNUMBER('Council Entry'!AV$8),ISNUMBER('Council Entry'!AV$9)),MAX(MIN('Council Entry'!AV196,'Council Entry'!AV$9),'Council Entry'!AV$8),'Council Entry'!AV196)),IF(AND(ISNUMBER('Council Entry'!AV$8),ISNUMBER('Council Entry'!AV$9)),MAX(MIN('Council Entry'!AV196,'Council Entry'!AV$9),'Council Entry'!AV$8),'Council Entry'!AV196))))-'Council Entry'!AV$5)/('Council Entry'!AV$6-'Council Entry'!AV$5),10*((IF('Council Entry'!AV$4="Logarithm",LN(0.001+IF(AND(ISNUMBER('Council Entry'!AV$8),ISNUMBER('Council Entry'!AV$9)),MAX(MIN('Council Entry'!AV196,'Council Entry'!AV$9),'Council Entry'!AV$8),'Council Entry'!AV196)),IF('Council Entry'!AV$4="Exponential",EXP(IF(AND(ISNUMBER('Council Entry'!AV$8),ISNUMBER('Council Entry'!AV$9)),MAX(MIN('Council Entry'!AV196,'Council Entry'!AV$9),'Council Entry'!AV$8),'Council Entry'!AV196)),IF(AND(ISNUMBER('Council Entry'!AV$8),ISNUMBER('Council Entry'!AV$9)),MAX(MIN('Council Entry'!AV196,'Council Entry'!AV$9),'Council Entry'!AV$8),'Council Entry'!AV196))))-'Council Entry'!AV$5)/('Council Entry'!AV$6-'Council Entry'!AV$5)),1))),"No data"))</f>
        <v/>
      </c>
      <c r="AW196" s="13">
        <f>IF('Council Entry'!AW196="","",IFERROR(MAX(0,MIN(10,ROUND(IF('Council Entry'!AW$7="Decrease Risk",10-10*((IF('Council Entry'!AW$4="Logarithm",LN(0.001+IF(AND(ISNUMBER('Council Entry'!AW$8),ISNUMBER('Council Entry'!AW$9)),MAX(MIN('Council Entry'!AW196,'Council Entry'!AW$9),'Council Entry'!AW$8),'Council Entry'!AW196)),IF('Council Entry'!AW$4="Exponential",EXP(IF(AND(ISNUMBER('Council Entry'!AW$8),ISNUMBER('Council Entry'!AW$9)),MAX(MIN('Council Entry'!AW196,'Council Entry'!AW$9),'Council Entry'!AW$8),'Council Entry'!AW196)),IF(AND(ISNUMBER('Council Entry'!AW$8),ISNUMBER('Council Entry'!AW$9)),MAX(MIN('Council Entry'!AW196,'Council Entry'!AW$9),'Council Entry'!AW$8),'Council Entry'!AW196))))-'Council Entry'!AW$5)/('Council Entry'!AW$6-'Council Entry'!AW$5),10*((IF('Council Entry'!AW$4="Logarithm",LN(0.001+IF(AND(ISNUMBER('Council Entry'!AW$8),ISNUMBER('Council Entry'!AW$9)),MAX(MIN('Council Entry'!AW196,'Council Entry'!AW$9),'Council Entry'!AW$8),'Council Entry'!AW196)),IF('Council Entry'!AW$4="Exponential",EXP(IF(AND(ISNUMBER('Council Entry'!AW$8),ISNUMBER('Council Entry'!AW$9)),MAX(MIN('Council Entry'!AW196,'Council Entry'!AW$9),'Council Entry'!AW$8),'Council Entry'!AW196)),IF(AND(ISNUMBER('Council Entry'!AW$8),ISNUMBER('Council Entry'!AW$9)),MAX(MIN('Council Entry'!AW196,'Council Entry'!AW$9),'Council Entry'!AW$8),'Council Entry'!AW196))))-'Council Entry'!AW$5)/('Council Entry'!AW$6-'Council Entry'!AW$5)),1))),"No data"))</f>
        <v/>
      </c>
      <c r="AX196" s="13">
        <f>IF('Council Entry'!AX196="","",IFERROR(MAX(0,MIN(10,ROUND(IF('Council Entry'!AX$7="Decrease Risk",10-10*((IF('Council Entry'!AX$4="Logarithm",LN(0.001+IF(AND(ISNUMBER('Council Entry'!AX$8),ISNUMBER('Council Entry'!AX$9)),MAX(MIN('Council Entry'!AX196,'Council Entry'!AX$9),'Council Entry'!AX$8),'Council Entry'!AX196)),IF('Council Entry'!AX$4="Exponential",EXP(IF(AND(ISNUMBER('Council Entry'!AX$8),ISNUMBER('Council Entry'!AX$9)),MAX(MIN('Council Entry'!AX196,'Council Entry'!AX$9),'Council Entry'!AX$8),'Council Entry'!AX196)),IF(AND(ISNUMBER('Council Entry'!AX$8),ISNUMBER('Council Entry'!AX$9)),MAX(MIN('Council Entry'!AX196,'Council Entry'!AX$9),'Council Entry'!AX$8),'Council Entry'!AX196))))-'Council Entry'!AX$5)/('Council Entry'!AX$6-'Council Entry'!AX$5),10*((IF('Council Entry'!AX$4="Logarithm",LN(0.001+IF(AND(ISNUMBER('Council Entry'!AX$8),ISNUMBER('Council Entry'!AX$9)),MAX(MIN('Council Entry'!AX196,'Council Entry'!AX$9),'Council Entry'!AX$8),'Council Entry'!AX196)),IF('Council Entry'!AX$4="Exponential",EXP(IF(AND(ISNUMBER('Council Entry'!AX$8),ISNUMBER('Council Entry'!AX$9)),MAX(MIN('Council Entry'!AX196,'Council Entry'!AX$9),'Council Entry'!AX$8),'Council Entry'!AX196)),IF(AND(ISNUMBER('Council Entry'!AX$8),ISNUMBER('Council Entry'!AX$9)),MAX(MIN('Council Entry'!AX196,'Council Entry'!AX$9),'Council Entry'!AX$8),'Council Entry'!AX196))))-'Council Entry'!AX$5)/('Council Entry'!AX$6-'Council Entry'!AX$5)),1))),"No data"))</f>
        <v/>
      </c>
      <c r="AY196" s="13">
        <f>IF('Council Entry'!AY196="","",IFERROR(MAX(0,MIN(10,ROUND(IF('Council Entry'!AY$7="Decrease Risk",10-10*((IF('Council Entry'!AY$4="Logarithm",LN(0.001+IF(AND(ISNUMBER('Council Entry'!AY$8),ISNUMBER('Council Entry'!AY$9)),MAX(MIN('Council Entry'!AY196,'Council Entry'!AY$9),'Council Entry'!AY$8),'Council Entry'!AY196)),IF('Council Entry'!AY$4="Exponential",EXP(IF(AND(ISNUMBER('Council Entry'!AY$8),ISNUMBER('Council Entry'!AY$9)),MAX(MIN('Council Entry'!AY196,'Council Entry'!AY$9),'Council Entry'!AY$8),'Council Entry'!AY196)),IF(AND(ISNUMBER('Council Entry'!AY$8),ISNUMBER('Council Entry'!AY$9)),MAX(MIN('Council Entry'!AY196,'Council Entry'!AY$9),'Council Entry'!AY$8),'Council Entry'!AY196))))-'Council Entry'!AY$5)/('Council Entry'!AY$6-'Council Entry'!AY$5),10*((IF('Council Entry'!AY$4="Logarithm",LN(0.001+IF(AND(ISNUMBER('Council Entry'!AY$8),ISNUMBER('Council Entry'!AY$9)),MAX(MIN('Council Entry'!AY196,'Council Entry'!AY$9),'Council Entry'!AY$8),'Council Entry'!AY196)),IF('Council Entry'!AY$4="Exponential",EXP(IF(AND(ISNUMBER('Council Entry'!AY$8),ISNUMBER('Council Entry'!AY$9)),MAX(MIN('Council Entry'!AY196,'Council Entry'!AY$9),'Council Entry'!AY$8),'Council Entry'!AY196)),IF(AND(ISNUMBER('Council Entry'!AY$8),ISNUMBER('Council Entry'!AY$9)),MAX(MIN('Council Entry'!AY196,'Council Entry'!AY$9),'Council Entry'!AY$8),'Council Entry'!AY196))))-'Council Entry'!AY$5)/('Council Entry'!AY$6-'Council Entry'!AY$5)),1))),"No data"))</f>
        <v/>
      </c>
      <c r="AZ196" s="13">
        <f>IF('Council Entry'!AZ196="","",IFERROR(MAX(0,MIN(10,ROUND(IF('Council Entry'!AZ$7="Decrease Risk",10-10*((IF('Council Entry'!AZ$4="Logarithm",LN(0.001+IF(AND(ISNUMBER('Council Entry'!AZ$8),ISNUMBER('Council Entry'!AZ$9)),MAX(MIN('Council Entry'!AZ196,'Council Entry'!AZ$9),'Council Entry'!AZ$8),'Council Entry'!AZ196)),IF('Council Entry'!AZ$4="Exponential",EXP(IF(AND(ISNUMBER('Council Entry'!AZ$8),ISNUMBER('Council Entry'!AZ$9)),MAX(MIN('Council Entry'!AZ196,'Council Entry'!AZ$9),'Council Entry'!AZ$8),'Council Entry'!AZ196)),IF(AND(ISNUMBER('Council Entry'!AZ$8),ISNUMBER('Council Entry'!AZ$9)),MAX(MIN('Council Entry'!AZ196,'Council Entry'!AZ$9),'Council Entry'!AZ$8),'Council Entry'!AZ196))))-'Council Entry'!AZ$5)/('Council Entry'!AZ$6-'Council Entry'!AZ$5),10*((IF('Council Entry'!AZ$4="Logarithm",LN(0.001+IF(AND(ISNUMBER('Council Entry'!AZ$8),ISNUMBER('Council Entry'!AZ$9)),MAX(MIN('Council Entry'!AZ196,'Council Entry'!AZ$9),'Council Entry'!AZ$8),'Council Entry'!AZ196)),IF('Council Entry'!AZ$4="Exponential",EXP(IF(AND(ISNUMBER('Council Entry'!AZ$8),ISNUMBER('Council Entry'!AZ$9)),MAX(MIN('Council Entry'!AZ196,'Council Entry'!AZ$9),'Council Entry'!AZ$8),'Council Entry'!AZ196)),IF(AND(ISNUMBER('Council Entry'!AZ$8),ISNUMBER('Council Entry'!AZ$9)),MAX(MIN('Council Entry'!AZ196,'Council Entry'!AZ$9),'Council Entry'!AZ$8),'Council Entry'!AZ196))))-'Council Entry'!AZ$5)/('Council Entry'!AZ$6-'Council Entry'!AZ$5)),1))),"No data"))</f>
        <v/>
      </c>
      <c r="BA196" s="13">
        <f>IF('Council Entry'!BA196="","",IFERROR(MAX(0,MIN(10,ROUND(IF('Council Entry'!BA$7="Decrease Risk",10-10*((IF('Council Entry'!BA$4="Logarithm",LN(0.001+IF(AND(ISNUMBER('Council Entry'!BA$8),ISNUMBER('Council Entry'!BA$9)),MAX(MIN('Council Entry'!BA196,'Council Entry'!BA$9),'Council Entry'!BA$8),'Council Entry'!BA196)),IF('Council Entry'!BA$4="Exponential",EXP(IF(AND(ISNUMBER('Council Entry'!BA$8),ISNUMBER('Council Entry'!BA$9)),MAX(MIN('Council Entry'!BA196,'Council Entry'!BA$9),'Council Entry'!BA$8),'Council Entry'!BA196)),IF(AND(ISNUMBER('Council Entry'!BA$8),ISNUMBER('Council Entry'!BA$9)),MAX(MIN('Council Entry'!BA196,'Council Entry'!BA$9),'Council Entry'!BA$8),'Council Entry'!BA196))))-'Council Entry'!BA$5)/('Council Entry'!BA$6-'Council Entry'!BA$5),10*((IF('Council Entry'!BA$4="Logarithm",LN(0.001+IF(AND(ISNUMBER('Council Entry'!BA$8),ISNUMBER('Council Entry'!BA$9)),MAX(MIN('Council Entry'!BA196,'Council Entry'!BA$9),'Council Entry'!BA$8),'Council Entry'!BA196)),IF('Council Entry'!BA$4="Exponential",EXP(IF(AND(ISNUMBER('Council Entry'!BA$8),ISNUMBER('Council Entry'!BA$9)),MAX(MIN('Council Entry'!BA196,'Council Entry'!BA$9),'Council Entry'!BA$8),'Council Entry'!BA196)),IF(AND(ISNUMBER('Council Entry'!BA$8),ISNUMBER('Council Entry'!BA$9)),MAX(MIN('Council Entry'!BA196,'Council Entry'!BA$9),'Council Entry'!BA$8),'Council Entry'!BA196))))-'Council Entry'!BA$5)/('Council Entry'!BA$6-'Council Entry'!BA$5)),1))),"No data"))</f>
        <v/>
      </c>
      <c r="BB196" s="13">
        <f>IF('Council Entry'!BB196="","",IFERROR(MAX(0,MIN(10,ROUND(IF('Council Entry'!BB$7="Decrease Risk",10-10*((IF('Council Entry'!BB$4="Logarithm",LN(0.001+IF(AND(ISNUMBER('Council Entry'!BB$8),ISNUMBER('Council Entry'!BB$9)),MAX(MIN('Council Entry'!BB196,'Council Entry'!BB$9),'Council Entry'!BB$8),'Council Entry'!BB196)),IF('Council Entry'!BB$4="Exponential",EXP(IF(AND(ISNUMBER('Council Entry'!BB$8),ISNUMBER('Council Entry'!BB$9)),MAX(MIN('Council Entry'!BB196,'Council Entry'!BB$9),'Council Entry'!BB$8),'Council Entry'!BB196)),IF(AND(ISNUMBER('Council Entry'!BB$8),ISNUMBER('Council Entry'!BB$9)),MAX(MIN('Council Entry'!BB196,'Council Entry'!BB$9),'Council Entry'!BB$8),'Council Entry'!BB196))))-'Council Entry'!BB$5)/('Council Entry'!BB$6-'Council Entry'!BB$5),10*((IF('Council Entry'!BB$4="Logarithm",LN(0.001+IF(AND(ISNUMBER('Council Entry'!BB$8),ISNUMBER('Council Entry'!BB$9)),MAX(MIN('Council Entry'!BB196,'Council Entry'!BB$9),'Council Entry'!BB$8),'Council Entry'!BB196)),IF('Council Entry'!BB$4="Exponential",EXP(IF(AND(ISNUMBER('Council Entry'!BB$8),ISNUMBER('Council Entry'!BB$9)),MAX(MIN('Council Entry'!BB196,'Council Entry'!BB$9),'Council Entry'!BB$8),'Council Entry'!BB196)),IF(AND(ISNUMBER('Council Entry'!BB$8),ISNUMBER('Council Entry'!BB$9)),MAX(MIN('Council Entry'!BB196,'Council Entry'!BB$9),'Council Entry'!BB$8),'Council Entry'!BB196))))-'Council Entry'!BB$5)/('Council Entry'!BB$6-'Council Entry'!BB$5)),1))),"No data"))</f>
        <v/>
      </c>
      <c r="BC196" s="13">
        <f>IF('Council Entry'!BC196="","",IFERROR(MAX(0,MIN(10,ROUND(IF('Council Entry'!BC$7="Decrease Risk",10-10*((IF('Council Entry'!BC$4="Logarithm",LN(0.001+IF(AND(ISNUMBER('Council Entry'!BC$8),ISNUMBER('Council Entry'!BC$9)),MAX(MIN('Council Entry'!BC196,'Council Entry'!BC$9),'Council Entry'!BC$8),'Council Entry'!BC196)),IF('Council Entry'!BC$4="Exponential",EXP(IF(AND(ISNUMBER('Council Entry'!BC$8),ISNUMBER('Council Entry'!BC$9)),MAX(MIN('Council Entry'!BC196,'Council Entry'!BC$9),'Council Entry'!BC$8),'Council Entry'!BC196)),IF(AND(ISNUMBER('Council Entry'!BC$8),ISNUMBER('Council Entry'!BC$9)),MAX(MIN('Council Entry'!BC196,'Council Entry'!BC$9),'Council Entry'!BC$8),'Council Entry'!BC196))))-'Council Entry'!BC$5)/('Council Entry'!BC$6-'Council Entry'!BC$5),10*((IF('Council Entry'!BC$4="Logarithm",LN(0.001+IF(AND(ISNUMBER('Council Entry'!BC$8),ISNUMBER('Council Entry'!BC$9)),MAX(MIN('Council Entry'!BC196,'Council Entry'!BC$9),'Council Entry'!BC$8),'Council Entry'!BC196)),IF('Council Entry'!BC$4="Exponential",EXP(IF(AND(ISNUMBER('Council Entry'!BC$8),ISNUMBER('Council Entry'!BC$9)),MAX(MIN('Council Entry'!BC196,'Council Entry'!BC$9),'Council Entry'!BC$8),'Council Entry'!BC196)),IF(AND(ISNUMBER('Council Entry'!BC$8),ISNUMBER('Council Entry'!BC$9)),MAX(MIN('Council Entry'!BC196,'Council Entry'!BC$9),'Council Entry'!BC$8),'Council Entry'!BC196))))-'Council Entry'!BC$5)/('Council Entry'!BC$6-'Council Entry'!BC$5)),1))),"No data"))</f>
        <v/>
      </c>
      <c r="BD196" s="13">
        <f>IF('Council Entry'!BD196="","",IFERROR(MAX(0,MIN(10,ROUND(IF('Council Entry'!BD$7="Decrease Risk",10-10*((IF('Council Entry'!BD$4="Logarithm",LN(0.001+IF(AND(ISNUMBER('Council Entry'!BD$8),ISNUMBER('Council Entry'!BD$9)),MAX(MIN('Council Entry'!BD196,'Council Entry'!BD$9),'Council Entry'!BD$8),'Council Entry'!BD196)),IF('Council Entry'!BD$4="Exponential",EXP(IF(AND(ISNUMBER('Council Entry'!BD$8),ISNUMBER('Council Entry'!BD$9)),MAX(MIN('Council Entry'!BD196,'Council Entry'!BD$9),'Council Entry'!BD$8),'Council Entry'!BD196)),IF(AND(ISNUMBER('Council Entry'!BD$8),ISNUMBER('Council Entry'!BD$9)),MAX(MIN('Council Entry'!BD196,'Council Entry'!BD$9),'Council Entry'!BD$8),'Council Entry'!BD196))))-'Council Entry'!BD$5)/('Council Entry'!BD$6-'Council Entry'!BD$5),10*((IF('Council Entry'!BD$4="Logarithm",LN(0.001+IF(AND(ISNUMBER('Council Entry'!BD$8),ISNUMBER('Council Entry'!BD$9)),MAX(MIN('Council Entry'!BD196,'Council Entry'!BD$9),'Council Entry'!BD$8),'Council Entry'!BD196)),IF('Council Entry'!BD$4="Exponential",EXP(IF(AND(ISNUMBER('Council Entry'!BD$8),ISNUMBER('Council Entry'!BD$9)),MAX(MIN('Council Entry'!BD196,'Council Entry'!BD$9),'Council Entry'!BD$8),'Council Entry'!BD196)),IF(AND(ISNUMBER('Council Entry'!BD$8),ISNUMBER('Council Entry'!BD$9)),MAX(MIN('Council Entry'!BD196,'Council Entry'!BD$9),'Council Entry'!BD$8),'Council Entry'!BD196))))-'Council Entry'!BD$5)/('Council Entry'!BD$6-'Council Entry'!BD$5)),1))),"No data"))</f>
        <v/>
      </c>
    </row>
    <row r="197">
      <c r="A197" t="inlineStr">
        <is>
          <t>Tanga</t>
        </is>
      </c>
      <c r="B197" t="inlineStr">
        <is>
          <t>Handeni Town</t>
        </is>
      </c>
      <c r="C197" t="inlineStr">
        <is>
          <t>C031</t>
        </is>
      </c>
      <c r="D197" s="13">
        <f>IF('Council Entry'!D197="","",IFERROR(MAX(0,MIN(10,ROUND(IF('Council Entry'!D$7="Decrease Risk",10-10*((IF('Council Entry'!D$4="Logarithm",LN(0.001+IF(AND(ISNUMBER('Council Entry'!D$8),ISNUMBER('Council Entry'!D$9)),MAX(MIN('Council Entry'!D197,'Council Entry'!D$9),'Council Entry'!D$8),'Council Entry'!D197)),IF('Council Entry'!D$4="Exponential",EXP(IF(AND(ISNUMBER('Council Entry'!D$8),ISNUMBER('Council Entry'!D$9)),MAX(MIN('Council Entry'!D197,'Council Entry'!D$9),'Council Entry'!D$8),'Council Entry'!D197)),IF(AND(ISNUMBER('Council Entry'!D$8),ISNUMBER('Council Entry'!D$9)),MAX(MIN('Council Entry'!D197,'Council Entry'!D$9),'Council Entry'!D$8),'Council Entry'!D197))))-'Council Entry'!D$5)/('Council Entry'!D$6-'Council Entry'!D$5),10*((IF('Council Entry'!D$4="Logarithm",LN(0.001+IF(AND(ISNUMBER('Council Entry'!D$8),ISNUMBER('Council Entry'!D$9)),MAX(MIN('Council Entry'!D197,'Council Entry'!D$9),'Council Entry'!D$8),'Council Entry'!D197)),IF('Council Entry'!D$4="Exponential",EXP(IF(AND(ISNUMBER('Council Entry'!D$8),ISNUMBER('Council Entry'!D$9)),MAX(MIN('Council Entry'!D197,'Council Entry'!D$9),'Council Entry'!D$8),'Council Entry'!D197)),IF(AND(ISNUMBER('Council Entry'!D$8),ISNUMBER('Council Entry'!D$9)),MAX(MIN('Council Entry'!D197,'Council Entry'!D$9),'Council Entry'!D$8),'Council Entry'!D197))))-'Council Entry'!D$5)/('Council Entry'!D$6-'Council Entry'!D$5)),1))),"No data"))</f>
        <v/>
      </c>
      <c r="E197" s="13">
        <f>IF('Council Entry'!E197="","",IFERROR(MAX(0,MIN(10,ROUND(IF('Council Entry'!E$7="Decrease Risk",10-10*((IF('Council Entry'!E$4="Logarithm",LN(0.001+IF(AND(ISNUMBER('Council Entry'!E$8),ISNUMBER('Council Entry'!E$9)),MAX(MIN('Council Entry'!E197,'Council Entry'!E$9),'Council Entry'!E$8),'Council Entry'!E197)),IF('Council Entry'!E$4="Exponential",EXP(IF(AND(ISNUMBER('Council Entry'!E$8),ISNUMBER('Council Entry'!E$9)),MAX(MIN('Council Entry'!E197,'Council Entry'!E$9),'Council Entry'!E$8),'Council Entry'!E197)),IF(AND(ISNUMBER('Council Entry'!E$8),ISNUMBER('Council Entry'!E$9)),MAX(MIN('Council Entry'!E197,'Council Entry'!E$9),'Council Entry'!E$8),'Council Entry'!E197))))-'Council Entry'!E$5)/('Council Entry'!E$6-'Council Entry'!E$5),10*((IF('Council Entry'!E$4="Logarithm",LN(0.001+IF(AND(ISNUMBER('Council Entry'!E$8),ISNUMBER('Council Entry'!E$9)),MAX(MIN('Council Entry'!E197,'Council Entry'!E$9),'Council Entry'!E$8),'Council Entry'!E197)),IF('Council Entry'!E$4="Exponential",EXP(IF(AND(ISNUMBER('Council Entry'!E$8),ISNUMBER('Council Entry'!E$9)),MAX(MIN('Council Entry'!E197,'Council Entry'!E$9),'Council Entry'!E$8),'Council Entry'!E197)),IF(AND(ISNUMBER('Council Entry'!E$8),ISNUMBER('Council Entry'!E$9)),MAX(MIN('Council Entry'!E197,'Council Entry'!E$9),'Council Entry'!E$8),'Council Entry'!E197))))-'Council Entry'!E$5)/('Council Entry'!E$6-'Council Entry'!E$5)),1))),"No data"))</f>
        <v/>
      </c>
      <c r="F197" s="13">
        <f>IF('Council Entry'!F197="","",IFERROR(MAX(0,MIN(10,ROUND(IF('Council Entry'!F$7="Decrease Risk",10-10*((IF('Council Entry'!F$4="Logarithm",LN(0.001+IF(AND(ISNUMBER('Council Entry'!F$8),ISNUMBER('Council Entry'!F$9)),MAX(MIN('Council Entry'!F197,'Council Entry'!F$9),'Council Entry'!F$8),'Council Entry'!F197)),IF('Council Entry'!F$4="Exponential",EXP(IF(AND(ISNUMBER('Council Entry'!F$8),ISNUMBER('Council Entry'!F$9)),MAX(MIN('Council Entry'!F197,'Council Entry'!F$9),'Council Entry'!F$8),'Council Entry'!F197)),IF(AND(ISNUMBER('Council Entry'!F$8),ISNUMBER('Council Entry'!F$9)),MAX(MIN('Council Entry'!F197,'Council Entry'!F$9),'Council Entry'!F$8),'Council Entry'!F197))))-'Council Entry'!F$5)/('Council Entry'!F$6-'Council Entry'!F$5),10*((IF('Council Entry'!F$4="Logarithm",LN(0.001+IF(AND(ISNUMBER('Council Entry'!F$8),ISNUMBER('Council Entry'!F$9)),MAX(MIN('Council Entry'!F197,'Council Entry'!F$9),'Council Entry'!F$8),'Council Entry'!F197)),IF('Council Entry'!F$4="Exponential",EXP(IF(AND(ISNUMBER('Council Entry'!F$8),ISNUMBER('Council Entry'!F$9)),MAX(MIN('Council Entry'!F197,'Council Entry'!F$9),'Council Entry'!F$8),'Council Entry'!F197)),IF(AND(ISNUMBER('Council Entry'!F$8),ISNUMBER('Council Entry'!F$9)),MAX(MIN('Council Entry'!F197,'Council Entry'!F$9),'Council Entry'!F$8),'Council Entry'!F197))))-'Council Entry'!F$5)/('Council Entry'!F$6-'Council Entry'!F$5)),1))),"No data"))</f>
        <v/>
      </c>
      <c r="G197" s="13">
        <f>IF('Council Entry'!G197="","",IFERROR(MAX(0,MIN(10,ROUND(IF('Council Entry'!G$7="Decrease Risk",10-10*((IF('Council Entry'!G$4="Logarithm",LN(0.001+IF(AND(ISNUMBER('Council Entry'!G$8),ISNUMBER('Council Entry'!G$9)),MAX(MIN('Council Entry'!G197,'Council Entry'!G$9),'Council Entry'!G$8),'Council Entry'!G197)),IF('Council Entry'!G$4="Exponential",EXP(IF(AND(ISNUMBER('Council Entry'!G$8),ISNUMBER('Council Entry'!G$9)),MAX(MIN('Council Entry'!G197,'Council Entry'!G$9),'Council Entry'!G$8),'Council Entry'!G197)),IF(AND(ISNUMBER('Council Entry'!G$8),ISNUMBER('Council Entry'!G$9)),MAX(MIN('Council Entry'!G197,'Council Entry'!G$9),'Council Entry'!G$8),'Council Entry'!G197))))-'Council Entry'!G$5)/('Council Entry'!G$6-'Council Entry'!G$5),10*((IF('Council Entry'!G$4="Logarithm",LN(0.001+IF(AND(ISNUMBER('Council Entry'!G$8),ISNUMBER('Council Entry'!G$9)),MAX(MIN('Council Entry'!G197,'Council Entry'!G$9),'Council Entry'!G$8),'Council Entry'!G197)),IF('Council Entry'!G$4="Exponential",EXP(IF(AND(ISNUMBER('Council Entry'!G$8),ISNUMBER('Council Entry'!G$9)),MAX(MIN('Council Entry'!G197,'Council Entry'!G$9),'Council Entry'!G$8),'Council Entry'!G197)),IF(AND(ISNUMBER('Council Entry'!G$8),ISNUMBER('Council Entry'!G$9)),MAX(MIN('Council Entry'!G197,'Council Entry'!G$9),'Council Entry'!G$8),'Council Entry'!G197))))-'Council Entry'!G$5)/('Council Entry'!G$6-'Council Entry'!G$5)),1))),"No data"))</f>
        <v/>
      </c>
      <c r="H197" s="13">
        <f>IF('Council Entry'!H197="","",IFERROR(MAX(0,MIN(10,ROUND(IF('Council Entry'!H$7="Decrease Risk",10-10*((IF('Council Entry'!H$4="Logarithm",LN(0.001+IF(AND(ISNUMBER('Council Entry'!H$8),ISNUMBER('Council Entry'!H$9)),MAX(MIN('Council Entry'!H197,'Council Entry'!H$9),'Council Entry'!H$8),'Council Entry'!H197)),IF('Council Entry'!H$4="Exponential",EXP(IF(AND(ISNUMBER('Council Entry'!H$8),ISNUMBER('Council Entry'!H$9)),MAX(MIN('Council Entry'!H197,'Council Entry'!H$9),'Council Entry'!H$8),'Council Entry'!H197)),IF(AND(ISNUMBER('Council Entry'!H$8),ISNUMBER('Council Entry'!H$9)),MAX(MIN('Council Entry'!H197,'Council Entry'!H$9),'Council Entry'!H$8),'Council Entry'!H197))))-'Council Entry'!H$5)/('Council Entry'!H$6-'Council Entry'!H$5),10*((IF('Council Entry'!H$4="Logarithm",LN(0.001+IF(AND(ISNUMBER('Council Entry'!H$8),ISNUMBER('Council Entry'!H$9)),MAX(MIN('Council Entry'!H197,'Council Entry'!H$9),'Council Entry'!H$8),'Council Entry'!H197)),IF('Council Entry'!H$4="Exponential",EXP(IF(AND(ISNUMBER('Council Entry'!H$8),ISNUMBER('Council Entry'!H$9)),MAX(MIN('Council Entry'!H197,'Council Entry'!H$9),'Council Entry'!H$8),'Council Entry'!H197)),IF(AND(ISNUMBER('Council Entry'!H$8),ISNUMBER('Council Entry'!H$9)),MAX(MIN('Council Entry'!H197,'Council Entry'!H$9),'Council Entry'!H$8),'Council Entry'!H197))))-'Council Entry'!H$5)/('Council Entry'!H$6-'Council Entry'!H$5)),1))),"No data"))</f>
        <v/>
      </c>
      <c r="I197" s="13">
        <f>IF('Council Entry'!I197="","",IFERROR(MAX(0,MIN(10,ROUND(IF('Council Entry'!I$7="Decrease Risk",10-10*((IF('Council Entry'!I$4="Logarithm",LN(0.001+IF(AND(ISNUMBER('Council Entry'!I$8),ISNUMBER('Council Entry'!I$9)),MAX(MIN('Council Entry'!I197,'Council Entry'!I$9),'Council Entry'!I$8),'Council Entry'!I197)),IF('Council Entry'!I$4="Exponential",EXP(IF(AND(ISNUMBER('Council Entry'!I$8),ISNUMBER('Council Entry'!I$9)),MAX(MIN('Council Entry'!I197,'Council Entry'!I$9),'Council Entry'!I$8),'Council Entry'!I197)),IF(AND(ISNUMBER('Council Entry'!I$8),ISNUMBER('Council Entry'!I$9)),MAX(MIN('Council Entry'!I197,'Council Entry'!I$9),'Council Entry'!I$8),'Council Entry'!I197))))-'Council Entry'!I$5)/('Council Entry'!I$6-'Council Entry'!I$5),10*((IF('Council Entry'!I$4="Logarithm",LN(0.001+IF(AND(ISNUMBER('Council Entry'!I$8),ISNUMBER('Council Entry'!I$9)),MAX(MIN('Council Entry'!I197,'Council Entry'!I$9),'Council Entry'!I$8),'Council Entry'!I197)),IF('Council Entry'!I$4="Exponential",EXP(IF(AND(ISNUMBER('Council Entry'!I$8),ISNUMBER('Council Entry'!I$9)),MAX(MIN('Council Entry'!I197,'Council Entry'!I$9),'Council Entry'!I$8),'Council Entry'!I197)),IF(AND(ISNUMBER('Council Entry'!I$8),ISNUMBER('Council Entry'!I$9)),MAX(MIN('Council Entry'!I197,'Council Entry'!I$9),'Council Entry'!I$8),'Council Entry'!I197))))-'Council Entry'!I$5)/('Council Entry'!I$6-'Council Entry'!I$5)),1))),"No data"))</f>
        <v/>
      </c>
      <c r="J197" s="13">
        <f>IF('Council Entry'!J197="","",IFERROR(MAX(0,MIN(10,ROUND(IF('Council Entry'!J$7="Decrease Risk",10-10*((IF('Council Entry'!J$4="Logarithm",LN(0.001+IF(AND(ISNUMBER('Council Entry'!J$8),ISNUMBER('Council Entry'!J$9)),MAX(MIN('Council Entry'!J197,'Council Entry'!J$9),'Council Entry'!J$8),'Council Entry'!J197)),IF('Council Entry'!J$4="Exponential",EXP(IF(AND(ISNUMBER('Council Entry'!J$8),ISNUMBER('Council Entry'!J$9)),MAX(MIN('Council Entry'!J197,'Council Entry'!J$9),'Council Entry'!J$8),'Council Entry'!J197)),IF(AND(ISNUMBER('Council Entry'!J$8),ISNUMBER('Council Entry'!J$9)),MAX(MIN('Council Entry'!J197,'Council Entry'!J$9),'Council Entry'!J$8),'Council Entry'!J197))))-'Council Entry'!J$5)/('Council Entry'!J$6-'Council Entry'!J$5),10*((IF('Council Entry'!J$4="Logarithm",LN(0.001+IF(AND(ISNUMBER('Council Entry'!J$8),ISNUMBER('Council Entry'!J$9)),MAX(MIN('Council Entry'!J197,'Council Entry'!J$9),'Council Entry'!J$8),'Council Entry'!J197)),IF('Council Entry'!J$4="Exponential",EXP(IF(AND(ISNUMBER('Council Entry'!J$8),ISNUMBER('Council Entry'!J$9)),MAX(MIN('Council Entry'!J197,'Council Entry'!J$9),'Council Entry'!J$8),'Council Entry'!J197)),IF(AND(ISNUMBER('Council Entry'!J$8),ISNUMBER('Council Entry'!J$9)),MAX(MIN('Council Entry'!J197,'Council Entry'!J$9),'Council Entry'!J$8),'Council Entry'!J197))))-'Council Entry'!J$5)/('Council Entry'!J$6-'Council Entry'!J$5)),1))),"No data"))</f>
        <v/>
      </c>
      <c r="K197" s="13">
        <f>IF('Council Entry'!K197="","",IFERROR(MAX(0,MIN(10,ROUND(IF('Council Entry'!K$7="Decrease Risk",10-10*((IF('Council Entry'!K$4="Logarithm",LN(0.001+IF(AND(ISNUMBER('Council Entry'!K$8),ISNUMBER('Council Entry'!K$9)),MAX(MIN('Council Entry'!K197,'Council Entry'!K$9),'Council Entry'!K$8),'Council Entry'!K197)),IF('Council Entry'!K$4="Exponential",EXP(IF(AND(ISNUMBER('Council Entry'!K$8),ISNUMBER('Council Entry'!K$9)),MAX(MIN('Council Entry'!K197,'Council Entry'!K$9),'Council Entry'!K$8),'Council Entry'!K197)),IF(AND(ISNUMBER('Council Entry'!K$8),ISNUMBER('Council Entry'!K$9)),MAX(MIN('Council Entry'!K197,'Council Entry'!K$9),'Council Entry'!K$8),'Council Entry'!K197))))-'Council Entry'!K$5)/('Council Entry'!K$6-'Council Entry'!K$5),10*((IF('Council Entry'!K$4="Logarithm",LN(0.001+IF(AND(ISNUMBER('Council Entry'!K$8),ISNUMBER('Council Entry'!K$9)),MAX(MIN('Council Entry'!K197,'Council Entry'!K$9),'Council Entry'!K$8),'Council Entry'!K197)),IF('Council Entry'!K$4="Exponential",EXP(IF(AND(ISNUMBER('Council Entry'!K$8),ISNUMBER('Council Entry'!K$9)),MAX(MIN('Council Entry'!K197,'Council Entry'!K$9),'Council Entry'!K$8),'Council Entry'!K197)),IF(AND(ISNUMBER('Council Entry'!K$8),ISNUMBER('Council Entry'!K$9)),MAX(MIN('Council Entry'!K197,'Council Entry'!K$9),'Council Entry'!K$8),'Council Entry'!K197))))-'Council Entry'!K$5)/('Council Entry'!K$6-'Council Entry'!K$5)),1))),"No data"))</f>
        <v/>
      </c>
      <c r="L197" s="13">
        <f>IF('Council Entry'!L197="","",IFERROR(MAX(0,MIN(10,ROUND(IF('Council Entry'!L$7="Decrease Risk",10-10*((IF('Council Entry'!L$4="Logarithm",LN(0.001+IF(AND(ISNUMBER('Council Entry'!L$8),ISNUMBER('Council Entry'!L$9)),MAX(MIN('Council Entry'!L197,'Council Entry'!L$9),'Council Entry'!L$8),'Council Entry'!L197)),IF('Council Entry'!L$4="Exponential",EXP(IF(AND(ISNUMBER('Council Entry'!L$8),ISNUMBER('Council Entry'!L$9)),MAX(MIN('Council Entry'!L197,'Council Entry'!L$9),'Council Entry'!L$8),'Council Entry'!L197)),IF(AND(ISNUMBER('Council Entry'!L$8),ISNUMBER('Council Entry'!L$9)),MAX(MIN('Council Entry'!L197,'Council Entry'!L$9),'Council Entry'!L$8),'Council Entry'!L197))))-'Council Entry'!L$5)/('Council Entry'!L$6-'Council Entry'!L$5),10*((IF('Council Entry'!L$4="Logarithm",LN(0.001+IF(AND(ISNUMBER('Council Entry'!L$8),ISNUMBER('Council Entry'!L$9)),MAX(MIN('Council Entry'!L197,'Council Entry'!L$9),'Council Entry'!L$8),'Council Entry'!L197)),IF('Council Entry'!L$4="Exponential",EXP(IF(AND(ISNUMBER('Council Entry'!L$8),ISNUMBER('Council Entry'!L$9)),MAX(MIN('Council Entry'!L197,'Council Entry'!L$9),'Council Entry'!L$8),'Council Entry'!L197)),IF(AND(ISNUMBER('Council Entry'!L$8),ISNUMBER('Council Entry'!L$9)),MAX(MIN('Council Entry'!L197,'Council Entry'!L$9),'Council Entry'!L$8),'Council Entry'!L197))))-'Council Entry'!L$5)/('Council Entry'!L$6-'Council Entry'!L$5)),1))),"No data"))</f>
        <v/>
      </c>
      <c r="M197" s="13">
        <f>IF('Council Entry'!M197="","",IFERROR(MAX(0,MIN(10,ROUND(IF('Council Entry'!M$7="Decrease Risk",10-10*((IF('Council Entry'!M$4="Logarithm",LN(0.001+IF(AND(ISNUMBER('Council Entry'!M$8),ISNUMBER('Council Entry'!M$9)),MAX(MIN('Council Entry'!M197,'Council Entry'!M$9),'Council Entry'!M$8),'Council Entry'!M197)),IF('Council Entry'!M$4="Exponential",EXP(IF(AND(ISNUMBER('Council Entry'!M$8),ISNUMBER('Council Entry'!M$9)),MAX(MIN('Council Entry'!M197,'Council Entry'!M$9),'Council Entry'!M$8),'Council Entry'!M197)),IF(AND(ISNUMBER('Council Entry'!M$8),ISNUMBER('Council Entry'!M$9)),MAX(MIN('Council Entry'!M197,'Council Entry'!M$9),'Council Entry'!M$8),'Council Entry'!M197))))-'Council Entry'!M$5)/('Council Entry'!M$6-'Council Entry'!M$5),10*((IF('Council Entry'!M$4="Logarithm",LN(0.001+IF(AND(ISNUMBER('Council Entry'!M$8),ISNUMBER('Council Entry'!M$9)),MAX(MIN('Council Entry'!M197,'Council Entry'!M$9),'Council Entry'!M$8),'Council Entry'!M197)),IF('Council Entry'!M$4="Exponential",EXP(IF(AND(ISNUMBER('Council Entry'!M$8),ISNUMBER('Council Entry'!M$9)),MAX(MIN('Council Entry'!M197,'Council Entry'!M$9),'Council Entry'!M$8),'Council Entry'!M197)),IF(AND(ISNUMBER('Council Entry'!M$8),ISNUMBER('Council Entry'!M$9)),MAX(MIN('Council Entry'!M197,'Council Entry'!M$9),'Council Entry'!M$8),'Council Entry'!M197))))-'Council Entry'!M$5)/('Council Entry'!M$6-'Council Entry'!M$5)),1))),"No data"))</f>
        <v/>
      </c>
      <c r="N197" s="13">
        <f>IF('Council Entry'!N197="","",IFERROR(MAX(0,MIN(10,ROUND(IF('Council Entry'!N$7="Decrease Risk",10-10*((IF('Council Entry'!N$4="Logarithm",LN(0.001+IF(AND(ISNUMBER('Council Entry'!N$8),ISNUMBER('Council Entry'!N$9)),MAX(MIN('Council Entry'!N197,'Council Entry'!N$9),'Council Entry'!N$8),'Council Entry'!N197)),IF('Council Entry'!N$4="Exponential",EXP(IF(AND(ISNUMBER('Council Entry'!N$8),ISNUMBER('Council Entry'!N$9)),MAX(MIN('Council Entry'!N197,'Council Entry'!N$9),'Council Entry'!N$8),'Council Entry'!N197)),IF(AND(ISNUMBER('Council Entry'!N$8),ISNUMBER('Council Entry'!N$9)),MAX(MIN('Council Entry'!N197,'Council Entry'!N$9),'Council Entry'!N$8),'Council Entry'!N197))))-'Council Entry'!N$5)/('Council Entry'!N$6-'Council Entry'!N$5),10*((IF('Council Entry'!N$4="Logarithm",LN(0.001+IF(AND(ISNUMBER('Council Entry'!N$8),ISNUMBER('Council Entry'!N$9)),MAX(MIN('Council Entry'!N197,'Council Entry'!N$9),'Council Entry'!N$8),'Council Entry'!N197)),IF('Council Entry'!N$4="Exponential",EXP(IF(AND(ISNUMBER('Council Entry'!N$8),ISNUMBER('Council Entry'!N$9)),MAX(MIN('Council Entry'!N197,'Council Entry'!N$9),'Council Entry'!N$8),'Council Entry'!N197)),IF(AND(ISNUMBER('Council Entry'!N$8),ISNUMBER('Council Entry'!N$9)),MAX(MIN('Council Entry'!N197,'Council Entry'!N$9),'Council Entry'!N$8),'Council Entry'!N197))))-'Council Entry'!N$5)/('Council Entry'!N$6-'Council Entry'!N$5)),1))),"No data"))</f>
        <v/>
      </c>
      <c r="O197" s="13">
        <f>IF('Council Entry'!O197="","",IFERROR(MAX(0,MIN(10,ROUND(IF('Council Entry'!O$7="Decrease Risk",10-10*((IF('Council Entry'!O$4="Logarithm",LN(0.001+IF(AND(ISNUMBER('Council Entry'!O$8),ISNUMBER('Council Entry'!O$9)),MAX(MIN('Council Entry'!O197,'Council Entry'!O$9),'Council Entry'!O$8),'Council Entry'!O197)),IF('Council Entry'!O$4="Exponential",EXP(IF(AND(ISNUMBER('Council Entry'!O$8),ISNUMBER('Council Entry'!O$9)),MAX(MIN('Council Entry'!O197,'Council Entry'!O$9),'Council Entry'!O$8),'Council Entry'!O197)),IF(AND(ISNUMBER('Council Entry'!O$8),ISNUMBER('Council Entry'!O$9)),MAX(MIN('Council Entry'!O197,'Council Entry'!O$9),'Council Entry'!O$8),'Council Entry'!O197))))-'Council Entry'!O$5)/('Council Entry'!O$6-'Council Entry'!O$5),10*((IF('Council Entry'!O$4="Logarithm",LN(0.001+IF(AND(ISNUMBER('Council Entry'!O$8),ISNUMBER('Council Entry'!O$9)),MAX(MIN('Council Entry'!O197,'Council Entry'!O$9),'Council Entry'!O$8),'Council Entry'!O197)),IF('Council Entry'!O$4="Exponential",EXP(IF(AND(ISNUMBER('Council Entry'!O$8),ISNUMBER('Council Entry'!O$9)),MAX(MIN('Council Entry'!O197,'Council Entry'!O$9),'Council Entry'!O$8),'Council Entry'!O197)),IF(AND(ISNUMBER('Council Entry'!O$8),ISNUMBER('Council Entry'!O$9)),MAX(MIN('Council Entry'!O197,'Council Entry'!O$9),'Council Entry'!O$8),'Council Entry'!O197))))-'Council Entry'!O$5)/('Council Entry'!O$6-'Council Entry'!O$5)),1))),"No data"))</f>
        <v/>
      </c>
      <c r="P197" s="13">
        <f>IF('Council Entry'!P197="","",IFERROR(MAX(0,MIN(10,ROUND(IF('Council Entry'!P$7="Decrease Risk",10-10*((IF('Council Entry'!P$4="Logarithm",LN(0.001+IF(AND(ISNUMBER('Council Entry'!P$8),ISNUMBER('Council Entry'!P$9)),MAX(MIN('Council Entry'!P197,'Council Entry'!P$9),'Council Entry'!P$8),'Council Entry'!P197)),IF('Council Entry'!P$4="Exponential",EXP(IF(AND(ISNUMBER('Council Entry'!P$8),ISNUMBER('Council Entry'!P$9)),MAX(MIN('Council Entry'!P197,'Council Entry'!P$9),'Council Entry'!P$8),'Council Entry'!P197)),IF(AND(ISNUMBER('Council Entry'!P$8),ISNUMBER('Council Entry'!P$9)),MAX(MIN('Council Entry'!P197,'Council Entry'!P$9),'Council Entry'!P$8),'Council Entry'!P197))))-'Council Entry'!P$5)/('Council Entry'!P$6-'Council Entry'!P$5),10*((IF('Council Entry'!P$4="Logarithm",LN(0.001+IF(AND(ISNUMBER('Council Entry'!P$8),ISNUMBER('Council Entry'!P$9)),MAX(MIN('Council Entry'!P197,'Council Entry'!P$9),'Council Entry'!P$8),'Council Entry'!P197)),IF('Council Entry'!P$4="Exponential",EXP(IF(AND(ISNUMBER('Council Entry'!P$8),ISNUMBER('Council Entry'!P$9)),MAX(MIN('Council Entry'!P197,'Council Entry'!P$9),'Council Entry'!P$8),'Council Entry'!P197)),IF(AND(ISNUMBER('Council Entry'!P$8),ISNUMBER('Council Entry'!P$9)),MAX(MIN('Council Entry'!P197,'Council Entry'!P$9),'Council Entry'!P$8),'Council Entry'!P197))))-'Council Entry'!P$5)/('Council Entry'!P$6-'Council Entry'!P$5)),1))),"No data"))</f>
        <v/>
      </c>
      <c r="Q197" s="13">
        <f>IF('Council Entry'!Q197="","",IFERROR(MAX(0,MIN(10,ROUND(IF('Council Entry'!Q$7="Decrease Risk",10-10*((IF('Council Entry'!Q$4="Logarithm",LN(0.001+IF(AND(ISNUMBER('Council Entry'!Q$8),ISNUMBER('Council Entry'!Q$9)),MAX(MIN('Council Entry'!Q197,'Council Entry'!Q$9),'Council Entry'!Q$8),'Council Entry'!Q197)),IF('Council Entry'!Q$4="Exponential",EXP(IF(AND(ISNUMBER('Council Entry'!Q$8),ISNUMBER('Council Entry'!Q$9)),MAX(MIN('Council Entry'!Q197,'Council Entry'!Q$9),'Council Entry'!Q$8),'Council Entry'!Q197)),IF(AND(ISNUMBER('Council Entry'!Q$8),ISNUMBER('Council Entry'!Q$9)),MAX(MIN('Council Entry'!Q197,'Council Entry'!Q$9),'Council Entry'!Q$8),'Council Entry'!Q197))))-'Council Entry'!Q$5)/('Council Entry'!Q$6-'Council Entry'!Q$5),10*((IF('Council Entry'!Q$4="Logarithm",LN(0.001+IF(AND(ISNUMBER('Council Entry'!Q$8),ISNUMBER('Council Entry'!Q$9)),MAX(MIN('Council Entry'!Q197,'Council Entry'!Q$9),'Council Entry'!Q$8),'Council Entry'!Q197)),IF('Council Entry'!Q$4="Exponential",EXP(IF(AND(ISNUMBER('Council Entry'!Q$8),ISNUMBER('Council Entry'!Q$9)),MAX(MIN('Council Entry'!Q197,'Council Entry'!Q$9),'Council Entry'!Q$8),'Council Entry'!Q197)),IF(AND(ISNUMBER('Council Entry'!Q$8),ISNUMBER('Council Entry'!Q$9)),MAX(MIN('Council Entry'!Q197,'Council Entry'!Q$9),'Council Entry'!Q$8),'Council Entry'!Q197))))-'Council Entry'!Q$5)/('Council Entry'!Q$6-'Council Entry'!Q$5)),1))),"No data"))</f>
        <v/>
      </c>
      <c r="R197" s="13">
        <f>IF('Council Entry'!R197="","",IFERROR(MAX(0,MIN(10,ROUND(IF('Council Entry'!R$7="Decrease Risk",10-10*((IF('Council Entry'!R$4="Logarithm",LN(0.001+IF(AND(ISNUMBER('Council Entry'!R$8),ISNUMBER('Council Entry'!R$9)),MAX(MIN('Council Entry'!R197,'Council Entry'!R$9),'Council Entry'!R$8),'Council Entry'!R197)),IF('Council Entry'!R$4="Exponential",EXP(IF(AND(ISNUMBER('Council Entry'!R$8),ISNUMBER('Council Entry'!R$9)),MAX(MIN('Council Entry'!R197,'Council Entry'!R$9),'Council Entry'!R$8),'Council Entry'!R197)),IF(AND(ISNUMBER('Council Entry'!R$8),ISNUMBER('Council Entry'!R$9)),MAX(MIN('Council Entry'!R197,'Council Entry'!R$9),'Council Entry'!R$8),'Council Entry'!R197))))-'Council Entry'!R$5)/('Council Entry'!R$6-'Council Entry'!R$5),10*((IF('Council Entry'!R$4="Logarithm",LN(0.001+IF(AND(ISNUMBER('Council Entry'!R$8),ISNUMBER('Council Entry'!R$9)),MAX(MIN('Council Entry'!R197,'Council Entry'!R$9),'Council Entry'!R$8),'Council Entry'!R197)),IF('Council Entry'!R$4="Exponential",EXP(IF(AND(ISNUMBER('Council Entry'!R$8),ISNUMBER('Council Entry'!R$9)),MAX(MIN('Council Entry'!R197,'Council Entry'!R$9),'Council Entry'!R$8),'Council Entry'!R197)),IF(AND(ISNUMBER('Council Entry'!R$8),ISNUMBER('Council Entry'!R$9)),MAX(MIN('Council Entry'!R197,'Council Entry'!R$9),'Council Entry'!R$8),'Council Entry'!R197))))-'Council Entry'!R$5)/('Council Entry'!R$6-'Council Entry'!R$5)),1))),"No data"))</f>
        <v/>
      </c>
      <c r="S197" s="13">
        <f>IF('Council Entry'!S197="","",IFERROR(MAX(0,MIN(10,ROUND(IF('Council Entry'!S$7="Decrease Risk",10-10*((IF('Council Entry'!S$4="Logarithm",LN(0.001+IF(AND(ISNUMBER('Council Entry'!S$8),ISNUMBER('Council Entry'!S$9)),MAX(MIN('Council Entry'!S197,'Council Entry'!S$9),'Council Entry'!S$8),'Council Entry'!S197)),IF('Council Entry'!S$4="Exponential",EXP(IF(AND(ISNUMBER('Council Entry'!S$8),ISNUMBER('Council Entry'!S$9)),MAX(MIN('Council Entry'!S197,'Council Entry'!S$9),'Council Entry'!S$8),'Council Entry'!S197)),IF(AND(ISNUMBER('Council Entry'!S$8),ISNUMBER('Council Entry'!S$9)),MAX(MIN('Council Entry'!S197,'Council Entry'!S$9),'Council Entry'!S$8),'Council Entry'!S197))))-'Council Entry'!S$5)/('Council Entry'!S$6-'Council Entry'!S$5),10*((IF('Council Entry'!S$4="Logarithm",LN(0.001+IF(AND(ISNUMBER('Council Entry'!S$8),ISNUMBER('Council Entry'!S$9)),MAX(MIN('Council Entry'!S197,'Council Entry'!S$9),'Council Entry'!S$8),'Council Entry'!S197)),IF('Council Entry'!S$4="Exponential",EXP(IF(AND(ISNUMBER('Council Entry'!S$8),ISNUMBER('Council Entry'!S$9)),MAX(MIN('Council Entry'!S197,'Council Entry'!S$9),'Council Entry'!S$8),'Council Entry'!S197)),IF(AND(ISNUMBER('Council Entry'!S$8),ISNUMBER('Council Entry'!S$9)),MAX(MIN('Council Entry'!S197,'Council Entry'!S$9),'Council Entry'!S$8),'Council Entry'!S197))))-'Council Entry'!S$5)/('Council Entry'!S$6-'Council Entry'!S$5)),1))),"No data"))</f>
        <v/>
      </c>
      <c r="T197" s="13">
        <f>IF('Council Entry'!T197="","",IFERROR(MAX(0,MIN(10,ROUND(IF('Council Entry'!T$7="Decrease Risk",10-10*((IF('Council Entry'!T$4="Logarithm",LN(0.001+IF(AND(ISNUMBER('Council Entry'!T$8),ISNUMBER('Council Entry'!T$9)),MAX(MIN('Council Entry'!T197,'Council Entry'!T$9),'Council Entry'!T$8),'Council Entry'!T197)),IF('Council Entry'!T$4="Exponential",EXP(IF(AND(ISNUMBER('Council Entry'!T$8),ISNUMBER('Council Entry'!T$9)),MAX(MIN('Council Entry'!T197,'Council Entry'!T$9),'Council Entry'!T$8),'Council Entry'!T197)),IF(AND(ISNUMBER('Council Entry'!T$8),ISNUMBER('Council Entry'!T$9)),MAX(MIN('Council Entry'!T197,'Council Entry'!T$9),'Council Entry'!T$8),'Council Entry'!T197))))-'Council Entry'!T$5)/('Council Entry'!T$6-'Council Entry'!T$5),10*((IF('Council Entry'!T$4="Logarithm",LN(0.001+IF(AND(ISNUMBER('Council Entry'!T$8),ISNUMBER('Council Entry'!T$9)),MAX(MIN('Council Entry'!T197,'Council Entry'!T$9),'Council Entry'!T$8),'Council Entry'!T197)),IF('Council Entry'!T$4="Exponential",EXP(IF(AND(ISNUMBER('Council Entry'!T$8),ISNUMBER('Council Entry'!T$9)),MAX(MIN('Council Entry'!T197,'Council Entry'!T$9),'Council Entry'!T$8),'Council Entry'!T197)),IF(AND(ISNUMBER('Council Entry'!T$8),ISNUMBER('Council Entry'!T$9)),MAX(MIN('Council Entry'!T197,'Council Entry'!T$9),'Council Entry'!T$8),'Council Entry'!T197))))-'Council Entry'!T$5)/('Council Entry'!T$6-'Council Entry'!T$5)),1))),"No data"))</f>
        <v/>
      </c>
      <c r="U197" s="13">
        <f>IF('Council Entry'!U197="","",IFERROR(MAX(0,MIN(10,ROUND(IF('Council Entry'!U$7="Decrease Risk",10-10*((IF('Council Entry'!U$4="Logarithm",LN(0.001+IF(AND(ISNUMBER('Council Entry'!U$8),ISNUMBER('Council Entry'!U$9)),MAX(MIN('Council Entry'!U197,'Council Entry'!U$9),'Council Entry'!U$8),'Council Entry'!U197)),IF('Council Entry'!U$4="Exponential",EXP(IF(AND(ISNUMBER('Council Entry'!U$8),ISNUMBER('Council Entry'!U$9)),MAX(MIN('Council Entry'!U197,'Council Entry'!U$9),'Council Entry'!U$8),'Council Entry'!U197)),IF(AND(ISNUMBER('Council Entry'!U$8),ISNUMBER('Council Entry'!U$9)),MAX(MIN('Council Entry'!U197,'Council Entry'!U$9),'Council Entry'!U$8),'Council Entry'!U197))))-'Council Entry'!U$5)/('Council Entry'!U$6-'Council Entry'!U$5),10*((IF('Council Entry'!U$4="Logarithm",LN(0.001+IF(AND(ISNUMBER('Council Entry'!U$8),ISNUMBER('Council Entry'!U$9)),MAX(MIN('Council Entry'!U197,'Council Entry'!U$9),'Council Entry'!U$8),'Council Entry'!U197)),IF('Council Entry'!U$4="Exponential",EXP(IF(AND(ISNUMBER('Council Entry'!U$8),ISNUMBER('Council Entry'!U$9)),MAX(MIN('Council Entry'!U197,'Council Entry'!U$9),'Council Entry'!U$8),'Council Entry'!U197)),IF(AND(ISNUMBER('Council Entry'!U$8),ISNUMBER('Council Entry'!U$9)),MAX(MIN('Council Entry'!U197,'Council Entry'!U$9),'Council Entry'!U$8),'Council Entry'!U197))))-'Council Entry'!U$5)/('Council Entry'!U$6-'Council Entry'!U$5)),1))),"No data"))</f>
        <v/>
      </c>
      <c r="V197" s="13">
        <f>IF('Council Entry'!V197="","",IFERROR(MAX(0,MIN(10,ROUND(IF('Council Entry'!V$7="Decrease Risk",10-10*((IF('Council Entry'!V$4="Logarithm",LN(0.001+IF(AND(ISNUMBER('Council Entry'!V$8),ISNUMBER('Council Entry'!V$9)),MAX(MIN('Council Entry'!V197,'Council Entry'!V$9),'Council Entry'!V$8),'Council Entry'!V197)),IF('Council Entry'!V$4="Exponential",EXP(IF(AND(ISNUMBER('Council Entry'!V$8),ISNUMBER('Council Entry'!V$9)),MAX(MIN('Council Entry'!V197,'Council Entry'!V$9),'Council Entry'!V$8),'Council Entry'!V197)),IF(AND(ISNUMBER('Council Entry'!V$8),ISNUMBER('Council Entry'!V$9)),MAX(MIN('Council Entry'!V197,'Council Entry'!V$9),'Council Entry'!V$8),'Council Entry'!V197))))-'Council Entry'!V$5)/('Council Entry'!V$6-'Council Entry'!V$5),10*((IF('Council Entry'!V$4="Logarithm",LN(0.001+IF(AND(ISNUMBER('Council Entry'!V$8),ISNUMBER('Council Entry'!V$9)),MAX(MIN('Council Entry'!V197,'Council Entry'!V$9),'Council Entry'!V$8),'Council Entry'!V197)),IF('Council Entry'!V$4="Exponential",EXP(IF(AND(ISNUMBER('Council Entry'!V$8),ISNUMBER('Council Entry'!V$9)),MAX(MIN('Council Entry'!V197,'Council Entry'!V$9),'Council Entry'!V$8),'Council Entry'!V197)),IF(AND(ISNUMBER('Council Entry'!V$8),ISNUMBER('Council Entry'!V$9)),MAX(MIN('Council Entry'!V197,'Council Entry'!V$9),'Council Entry'!V$8),'Council Entry'!V197))))-'Council Entry'!V$5)/('Council Entry'!V$6-'Council Entry'!V$5)),1))),"No data"))</f>
        <v/>
      </c>
      <c r="W197" s="13">
        <f>IF('Council Entry'!W197="","",IFERROR(MAX(0,MIN(10,ROUND(IF('Council Entry'!W$7="Decrease Risk",10-10*((IF('Council Entry'!W$4="Logarithm",LN(0.001+IF(AND(ISNUMBER('Council Entry'!W$8),ISNUMBER('Council Entry'!W$9)),MAX(MIN('Council Entry'!W197,'Council Entry'!W$9),'Council Entry'!W$8),'Council Entry'!W197)),IF('Council Entry'!W$4="Exponential",EXP(IF(AND(ISNUMBER('Council Entry'!W$8),ISNUMBER('Council Entry'!W$9)),MAX(MIN('Council Entry'!W197,'Council Entry'!W$9),'Council Entry'!W$8),'Council Entry'!W197)),IF(AND(ISNUMBER('Council Entry'!W$8),ISNUMBER('Council Entry'!W$9)),MAX(MIN('Council Entry'!W197,'Council Entry'!W$9),'Council Entry'!W$8),'Council Entry'!W197))))-'Council Entry'!W$5)/('Council Entry'!W$6-'Council Entry'!W$5),10*((IF('Council Entry'!W$4="Logarithm",LN(0.001+IF(AND(ISNUMBER('Council Entry'!W$8),ISNUMBER('Council Entry'!W$9)),MAX(MIN('Council Entry'!W197,'Council Entry'!W$9),'Council Entry'!W$8),'Council Entry'!W197)),IF('Council Entry'!W$4="Exponential",EXP(IF(AND(ISNUMBER('Council Entry'!W$8),ISNUMBER('Council Entry'!W$9)),MAX(MIN('Council Entry'!W197,'Council Entry'!W$9),'Council Entry'!W$8),'Council Entry'!W197)),IF(AND(ISNUMBER('Council Entry'!W$8),ISNUMBER('Council Entry'!W$9)),MAX(MIN('Council Entry'!W197,'Council Entry'!W$9),'Council Entry'!W$8),'Council Entry'!W197))))-'Council Entry'!W$5)/('Council Entry'!W$6-'Council Entry'!W$5)),1))),"No data"))</f>
        <v/>
      </c>
      <c r="X197" s="13">
        <f>IF('Council Entry'!X197="","",IFERROR(MAX(0,MIN(10,ROUND(IF('Council Entry'!X$7="Decrease Risk",10-10*((IF('Council Entry'!X$4="Logarithm",LN(0.001+IF(AND(ISNUMBER('Council Entry'!X$8),ISNUMBER('Council Entry'!X$9)),MAX(MIN('Council Entry'!X197,'Council Entry'!X$9),'Council Entry'!X$8),'Council Entry'!X197)),IF('Council Entry'!X$4="Exponential",EXP(IF(AND(ISNUMBER('Council Entry'!X$8),ISNUMBER('Council Entry'!X$9)),MAX(MIN('Council Entry'!X197,'Council Entry'!X$9),'Council Entry'!X$8),'Council Entry'!X197)),IF(AND(ISNUMBER('Council Entry'!X$8),ISNUMBER('Council Entry'!X$9)),MAX(MIN('Council Entry'!X197,'Council Entry'!X$9),'Council Entry'!X$8),'Council Entry'!X197))))-'Council Entry'!X$5)/('Council Entry'!X$6-'Council Entry'!X$5),10*((IF('Council Entry'!X$4="Logarithm",LN(0.001+IF(AND(ISNUMBER('Council Entry'!X$8),ISNUMBER('Council Entry'!X$9)),MAX(MIN('Council Entry'!X197,'Council Entry'!X$9),'Council Entry'!X$8),'Council Entry'!X197)),IF('Council Entry'!X$4="Exponential",EXP(IF(AND(ISNUMBER('Council Entry'!X$8),ISNUMBER('Council Entry'!X$9)),MAX(MIN('Council Entry'!X197,'Council Entry'!X$9),'Council Entry'!X$8),'Council Entry'!X197)),IF(AND(ISNUMBER('Council Entry'!X$8),ISNUMBER('Council Entry'!X$9)),MAX(MIN('Council Entry'!X197,'Council Entry'!X$9),'Council Entry'!X$8),'Council Entry'!X197))))-'Council Entry'!X$5)/('Council Entry'!X$6-'Council Entry'!X$5)),1))),"No data"))</f>
        <v/>
      </c>
      <c r="Y197" s="13">
        <f>IF('Council Entry'!Y197="","",IFERROR(MAX(0,MIN(10,ROUND(IF('Council Entry'!Y$7="Decrease Risk",10-10*((IF('Council Entry'!Y$4="Logarithm",LN(0.001+IF(AND(ISNUMBER('Council Entry'!Y$8),ISNUMBER('Council Entry'!Y$9)),MAX(MIN('Council Entry'!Y197,'Council Entry'!Y$9),'Council Entry'!Y$8),'Council Entry'!Y197)),IF('Council Entry'!Y$4="Exponential",EXP(IF(AND(ISNUMBER('Council Entry'!Y$8),ISNUMBER('Council Entry'!Y$9)),MAX(MIN('Council Entry'!Y197,'Council Entry'!Y$9),'Council Entry'!Y$8),'Council Entry'!Y197)),IF(AND(ISNUMBER('Council Entry'!Y$8),ISNUMBER('Council Entry'!Y$9)),MAX(MIN('Council Entry'!Y197,'Council Entry'!Y$9),'Council Entry'!Y$8),'Council Entry'!Y197))))-'Council Entry'!Y$5)/('Council Entry'!Y$6-'Council Entry'!Y$5),10*((IF('Council Entry'!Y$4="Logarithm",LN(0.001+IF(AND(ISNUMBER('Council Entry'!Y$8),ISNUMBER('Council Entry'!Y$9)),MAX(MIN('Council Entry'!Y197,'Council Entry'!Y$9),'Council Entry'!Y$8),'Council Entry'!Y197)),IF('Council Entry'!Y$4="Exponential",EXP(IF(AND(ISNUMBER('Council Entry'!Y$8),ISNUMBER('Council Entry'!Y$9)),MAX(MIN('Council Entry'!Y197,'Council Entry'!Y$9),'Council Entry'!Y$8),'Council Entry'!Y197)),IF(AND(ISNUMBER('Council Entry'!Y$8),ISNUMBER('Council Entry'!Y$9)),MAX(MIN('Council Entry'!Y197,'Council Entry'!Y$9),'Council Entry'!Y$8),'Council Entry'!Y197))))-'Council Entry'!Y$5)/('Council Entry'!Y$6-'Council Entry'!Y$5)),1))),"No data"))</f>
        <v/>
      </c>
      <c r="Z197" s="13">
        <f>IF('Council Entry'!Z197="","",IFERROR(MAX(0,MIN(10,ROUND(IF('Council Entry'!Z$7="Decrease Risk",10-10*((IF('Council Entry'!Z$4="Logarithm",LN(0.001+IF(AND(ISNUMBER('Council Entry'!Z$8),ISNUMBER('Council Entry'!Z$9)),MAX(MIN('Council Entry'!Z197,'Council Entry'!Z$9),'Council Entry'!Z$8),'Council Entry'!Z197)),IF('Council Entry'!Z$4="Exponential",EXP(IF(AND(ISNUMBER('Council Entry'!Z$8),ISNUMBER('Council Entry'!Z$9)),MAX(MIN('Council Entry'!Z197,'Council Entry'!Z$9),'Council Entry'!Z$8),'Council Entry'!Z197)),IF(AND(ISNUMBER('Council Entry'!Z$8),ISNUMBER('Council Entry'!Z$9)),MAX(MIN('Council Entry'!Z197,'Council Entry'!Z$9),'Council Entry'!Z$8),'Council Entry'!Z197))))-'Council Entry'!Z$5)/('Council Entry'!Z$6-'Council Entry'!Z$5),10*((IF('Council Entry'!Z$4="Logarithm",LN(0.001+IF(AND(ISNUMBER('Council Entry'!Z$8),ISNUMBER('Council Entry'!Z$9)),MAX(MIN('Council Entry'!Z197,'Council Entry'!Z$9),'Council Entry'!Z$8),'Council Entry'!Z197)),IF('Council Entry'!Z$4="Exponential",EXP(IF(AND(ISNUMBER('Council Entry'!Z$8),ISNUMBER('Council Entry'!Z$9)),MAX(MIN('Council Entry'!Z197,'Council Entry'!Z$9),'Council Entry'!Z$8),'Council Entry'!Z197)),IF(AND(ISNUMBER('Council Entry'!Z$8),ISNUMBER('Council Entry'!Z$9)),MAX(MIN('Council Entry'!Z197,'Council Entry'!Z$9),'Council Entry'!Z$8),'Council Entry'!Z197))))-'Council Entry'!Z$5)/('Council Entry'!Z$6-'Council Entry'!Z$5)),1))),"No data"))</f>
        <v/>
      </c>
      <c r="AA197" s="13">
        <f>IF('Council Entry'!AA197="","",IFERROR(MAX(0,MIN(10,ROUND(IF('Council Entry'!AA$7="Decrease Risk",10-10*((IF('Council Entry'!AA$4="Logarithm",LN(0.001+IF(AND(ISNUMBER('Council Entry'!AA$8),ISNUMBER('Council Entry'!AA$9)),MAX(MIN('Council Entry'!AA197,'Council Entry'!AA$9),'Council Entry'!AA$8),'Council Entry'!AA197)),IF('Council Entry'!AA$4="Exponential",EXP(IF(AND(ISNUMBER('Council Entry'!AA$8),ISNUMBER('Council Entry'!AA$9)),MAX(MIN('Council Entry'!AA197,'Council Entry'!AA$9),'Council Entry'!AA$8),'Council Entry'!AA197)),IF(AND(ISNUMBER('Council Entry'!AA$8),ISNUMBER('Council Entry'!AA$9)),MAX(MIN('Council Entry'!AA197,'Council Entry'!AA$9),'Council Entry'!AA$8),'Council Entry'!AA197))))-'Council Entry'!AA$5)/('Council Entry'!AA$6-'Council Entry'!AA$5),10*((IF('Council Entry'!AA$4="Logarithm",LN(0.001+IF(AND(ISNUMBER('Council Entry'!AA$8),ISNUMBER('Council Entry'!AA$9)),MAX(MIN('Council Entry'!AA197,'Council Entry'!AA$9),'Council Entry'!AA$8),'Council Entry'!AA197)),IF('Council Entry'!AA$4="Exponential",EXP(IF(AND(ISNUMBER('Council Entry'!AA$8),ISNUMBER('Council Entry'!AA$9)),MAX(MIN('Council Entry'!AA197,'Council Entry'!AA$9),'Council Entry'!AA$8),'Council Entry'!AA197)),IF(AND(ISNUMBER('Council Entry'!AA$8),ISNUMBER('Council Entry'!AA$9)),MAX(MIN('Council Entry'!AA197,'Council Entry'!AA$9),'Council Entry'!AA$8),'Council Entry'!AA197))))-'Council Entry'!AA$5)/('Council Entry'!AA$6-'Council Entry'!AA$5)),1))),"No data"))</f>
        <v/>
      </c>
      <c r="AB197" s="13">
        <f>IF('Council Entry'!AB197="","",IFERROR(MAX(0,MIN(10,ROUND(IF('Council Entry'!AB$7="Decrease Risk",10-10*((IF('Council Entry'!AB$4="Logarithm",LN(0.001+IF(AND(ISNUMBER('Council Entry'!AB$8),ISNUMBER('Council Entry'!AB$9)),MAX(MIN('Council Entry'!AB197,'Council Entry'!AB$9),'Council Entry'!AB$8),'Council Entry'!AB197)),IF('Council Entry'!AB$4="Exponential",EXP(IF(AND(ISNUMBER('Council Entry'!AB$8),ISNUMBER('Council Entry'!AB$9)),MAX(MIN('Council Entry'!AB197,'Council Entry'!AB$9),'Council Entry'!AB$8),'Council Entry'!AB197)),IF(AND(ISNUMBER('Council Entry'!AB$8),ISNUMBER('Council Entry'!AB$9)),MAX(MIN('Council Entry'!AB197,'Council Entry'!AB$9),'Council Entry'!AB$8),'Council Entry'!AB197))))-'Council Entry'!AB$5)/('Council Entry'!AB$6-'Council Entry'!AB$5),10*((IF('Council Entry'!AB$4="Logarithm",LN(0.001+IF(AND(ISNUMBER('Council Entry'!AB$8),ISNUMBER('Council Entry'!AB$9)),MAX(MIN('Council Entry'!AB197,'Council Entry'!AB$9),'Council Entry'!AB$8),'Council Entry'!AB197)),IF('Council Entry'!AB$4="Exponential",EXP(IF(AND(ISNUMBER('Council Entry'!AB$8),ISNUMBER('Council Entry'!AB$9)),MAX(MIN('Council Entry'!AB197,'Council Entry'!AB$9),'Council Entry'!AB$8),'Council Entry'!AB197)),IF(AND(ISNUMBER('Council Entry'!AB$8),ISNUMBER('Council Entry'!AB$9)),MAX(MIN('Council Entry'!AB197,'Council Entry'!AB$9),'Council Entry'!AB$8),'Council Entry'!AB197))))-'Council Entry'!AB$5)/('Council Entry'!AB$6-'Council Entry'!AB$5)),1))),"No data"))</f>
        <v/>
      </c>
      <c r="AC197" s="13">
        <f>IF('Council Entry'!AC197="","",IFERROR(MAX(0,MIN(10,ROUND(IF('Council Entry'!AC$7="Decrease Risk",10-10*((IF('Council Entry'!AC$4="Logarithm",LN(0.001+IF(AND(ISNUMBER('Council Entry'!AC$8),ISNUMBER('Council Entry'!AC$9)),MAX(MIN('Council Entry'!AC197,'Council Entry'!AC$9),'Council Entry'!AC$8),'Council Entry'!AC197)),IF('Council Entry'!AC$4="Exponential",EXP(IF(AND(ISNUMBER('Council Entry'!AC$8),ISNUMBER('Council Entry'!AC$9)),MAX(MIN('Council Entry'!AC197,'Council Entry'!AC$9),'Council Entry'!AC$8),'Council Entry'!AC197)),IF(AND(ISNUMBER('Council Entry'!AC$8),ISNUMBER('Council Entry'!AC$9)),MAX(MIN('Council Entry'!AC197,'Council Entry'!AC$9),'Council Entry'!AC$8),'Council Entry'!AC197))))-'Council Entry'!AC$5)/('Council Entry'!AC$6-'Council Entry'!AC$5),10*((IF('Council Entry'!AC$4="Logarithm",LN(0.001+IF(AND(ISNUMBER('Council Entry'!AC$8),ISNUMBER('Council Entry'!AC$9)),MAX(MIN('Council Entry'!AC197,'Council Entry'!AC$9),'Council Entry'!AC$8),'Council Entry'!AC197)),IF('Council Entry'!AC$4="Exponential",EXP(IF(AND(ISNUMBER('Council Entry'!AC$8),ISNUMBER('Council Entry'!AC$9)),MAX(MIN('Council Entry'!AC197,'Council Entry'!AC$9),'Council Entry'!AC$8),'Council Entry'!AC197)),IF(AND(ISNUMBER('Council Entry'!AC$8),ISNUMBER('Council Entry'!AC$9)),MAX(MIN('Council Entry'!AC197,'Council Entry'!AC$9),'Council Entry'!AC$8),'Council Entry'!AC197))))-'Council Entry'!AC$5)/('Council Entry'!AC$6-'Council Entry'!AC$5)),1))),"No data"))</f>
        <v/>
      </c>
      <c r="AD197" s="13">
        <f>IF('Council Entry'!AD197="","",IFERROR(MAX(0,MIN(10,ROUND(IF('Council Entry'!AD$7="Decrease Risk",10-10*((IF('Council Entry'!AD$4="Logarithm",LN(0.001+IF(AND(ISNUMBER('Council Entry'!AD$8),ISNUMBER('Council Entry'!AD$9)),MAX(MIN('Council Entry'!AD197,'Council Entry'!AD$9),'Council Entry'!AD$8),'Council Entry'!AD197)),IF('Council Entry'!AD$4="Exponential",EXP(IF(AND(ISNUMBER('Council Entry'!AD$8),ISNUMBER('Council Entry'!AD$9)),MAX(MIN('Council Entry'!AD197,'Council Entry'!AD$9),'Council Entry'!AD$8),'Council Entry'!AD197)),IF(AND(ISNUMBER('Council Entry'!AD$8),ISNUMBER('Council Entry'!AD$9)),MAX(MIN('Council Entry'!AD197,'Council Entry'!AD$9),'Council Entry'!AD$8),'Council Entry'!AD197))))-'Council Entry'!AD$5)/('Council Entry'!AD$6-'Council Entry'!AD$5),10*((IF('Council Entry'!AD$4="Logarithm",LN(0.001+IF(AND(ISNUMBER('Council Entry'!AD$8),ISNUMBER('Council Entry'!AD$9)),MAX(MIN('Council Entry'!AD197,'Council Entry'!AD$9),'Council Entry'!AD$8),'Council Entry'!AD197)),IF('Council Entry'!AD$4="Exponential",EXP(IF(AND(ISNUMBER('Council Entry'!AD$8),ISNUMBER('Council Entry'!AD$9)),MAX(MIN('Council Entry'!AD197,'Council Entry'!AD$9),'Council Entry'!AD$8),'Council Entry'!AD197)),IF(AND(ISNUMBER('Council Entry'!AD$8),ISNUMBER('Council Entry'!AD$9)),MAX(MIN('Council Entry'!AD197,'Council Entry'!AD$9),'Council Entry'!AD$8),'Council Entry'!AD197))))-'Council Entry'!AD$5)/('Council Entry'!AD$6-'Council Entry'!AD$5)),1))),"No data"))</f>
        <v/>
      </c>
      <c r="AE197" s="13">
        <f>IF('Council Entry'!AE197="","",IFERROR(MAX(0,MIN(10,ROUND(IF('Council Entry'!AE$7="Decrease Risk",10-10*((IF('Council Entry'!AE$4="Logarithm",LN(0.001+IF(AND(ISNUMBER('Council Entry'!AE$8),ISNUMBER('Council Entry'!AE$9)),MAX(MIN('Council Entry'!AE197,'Council Entry'!AE$9),'Council Entry'!AE$8),'Council Entry'!AE197)),IF('Council Entry'!AE$4="Exponential",EXP(IF(AND(ISNUMBER('Council Entry'!AE$8),ISNUMBER('Council Entry'!AE$9)),MAX(MIN('Council Entry'!AE197,'Council Entry'!AE$9),'Council Entry'!AE$8),'Council Entry'!AE197)),IF(AND(ISNUMBER('Council Entry'!AE$8),ISNUMBER('Council Entry'!AE$9)),MAX(MIN('Council Entry'!AE197,'Council Entry'!AE$9),'Council Entry'!AE$8),'Council Entry'!AE197))))-'Council Entry'!AE$5)/('Council Entry'!AE$6-'Council Entry'!AE$5),10*((IF('Council Entry'!AE$4="Logarithm",LN(0.001+IF(AND(ISNUMBER('Council Entry'!AE$8),ISNUMBER('Council Entry'!AE$9)),MAX(MIN('Council Entry'!AE197,'Council Entry'!AE$9),'Council Entry'!AE$8),'Council Entry'!AE197)),IF('Council Entry'!AE$4="Exponential",EXP(IF(AND(ISNUMBER('Council Entry'!AE$8),ISNUMBER('Council Entry'!AE$9)),MAX(MIN('Council Entry'!AE197,'Council Entry'!AE$9),'Council Entry'!AE$8),'Council Entry'!AE197)),IF(AND(ISNUMBER('Council Entry'!AE$8),ISNUMBER('Council Entry'!AE$9)),MAX(MIN('Council Entry'!AE197,'Council Entry'!AE$9),'Council Entry'!AE$8),'Council Entry'!AE197))))-'Council Entry'!AE$5)/('Council Entry'!AE$6-'Council Entry'!AE$5)),1))),"No data"))</f>
        <v/>
      </c>
      <c r="AF197" s="13">
        <f>IF('Council Entry'!AF197="","",IFERROR(MAX(0,MIN(10,ROUND(IF('Council Entry'!AF$7="Decrease Risk",10-10*((IF('Council Entry'!AF$4="Logarithm",LN(0.001+IF(AND(ISNUMBER('Council Entry'!AF$8),ISNUMBER('Council Entry'!AF$9)),MAX(MIN('Council Entry'!AF197,'Council Entry'!AF$9),'Council Entry'!AF$8),'Council Entry'!AF197)),IF('Council Entry'!AF$4="Exponential",EXP(IF(AND(ISNUMBER('Council Entry'!AF$8),ISNUMBER('Council Entry'!AF$9)),MAX(MIN('Council Entry'!AF197,'Council Entry'!AF$9),'Council Entry'!AF$8),'Council Entry'!AF197)),IF(AND(ISNUMBER('Council Entry'!AF$8),ISNUMBER('Council Entry'!AF$9)),MAX(MIN('Council Entry'!AF197,'Council Entry'!AF$9),'Council Entry'!AF$8),'Council Entry'!AF197))))-'Council Entry'!AF$5)/('Council Entry'!AF$6-'Council Entry'!AF$5),10*((IF('Council Entry'!AF$4="Logarithm",LN(0.001+IF(AND(ISNUMBER('Council Entry'!AF$8),ISNUMBER('Council Entry'!AF$9)),MAX(MIN('Council Entry'!AF197,'Council Entry'!AF$9),'Council Entry'!AF$8),'Council Entry'!AF197)),IF('Council Entry'!AF$4="Exponential",EXP(IF(AND(ISNUMBER('Council Entry'!AF$8),ISNUMBER('Council Entry'!AF$9)),MAX(MIN('Council Entry'!AF197,'Council Entry'!AF$9),'Council Entry'!AF$8),'Council Entry'!AF197)),IF(AND(ISNUMBER('Council Entry'!AF$8),ISNUMBER('Council Entry'!AF$9)),MAX(MIN('Council Entry'!AF197,'Council Entry'!AF$9),'Council Entry'!AF$8),'Council Entry'!AF197))))-'Council Entry'!AF$5)/('Council Entry'!AF$6-'Council Entry'!AF$5)),1))),"No data"))</f>
        <v/>
      </c>
      <c r="AG197" s="13">
        <f>IF('Council Entry'!AG197="","",IFERROR(MAX(0,MIN(10,ROUND(IF('Council Entry'!AG$7="Decrease Risk",10-10*((IF('Council Entry'!AG$4="Logarithm",LN(0.001+IF(AND(ISNUMBER('Council Entry'!AG$8),ISNUMBER('Council Entry'!AG$9)),MAX(MIN('Council Entry'!AG197,'Council Entry'!AG$9),'Council Entry'!AG$8),'Council Entry'!AG197)),IF('Council Entry'!AG$4="Exponential",EXP(IF(AND(ISNUMBER('Council Entry'!AG$8),ISNUMBER('Council Entry'!AG$9)),MAX(MIN('Council Entry'!AG197,'Council Entry'!AG$9),'Council Entry'!AG$8),'Council Entry'!AG197)),IF(AND(ISNUMBER('Council Entry'!AG$8),ISNUMBER('Council Entry'!AG$9)),MAX(MIN('Council Entry'!AG197,'Council Entry'!AG$9),'Council Entry'!AG$8),'Council Entry'!AG197))))-'Council Entry'!AG$5)/('Council Entry'!AG$6-'Council Entry'!AG$5),10*((IF('Council Entry'!AG$4="Logarithm",LN(0.001+IF(AND(ISNUMBER('Council Entry'!AG$8),ISNUMBER('Council Entry'!AG$9)),MAX(MIN('Council Entry'!AG197,'Council Entry'!AG$9),'Council Entry'!AG$8),'Council Entry'!AG197)),IF('Council Entry'!AG$4="Exponential",EXP(IF(AND(ISNUMBER('Council Entry'!AG$8),ISNUMBER('Council Entry'!AG$9)),MAX(MIN('Council Entry'!AG197,'Council Entry'!AG$9),'Council Entry'!AG$8),'Council Entry'!AG197)),IF(AND(ISNUMBER('Council Entry'!AG$8),ISNUMBER('Council Entry'!AG$9)),MAX(MIN('Council Entry'!AG197,'Council Entry'!AG$9),'Council Entry'!AG$8),'Council Entry'!AG197))))-'Council Entry'!AG$5)/('Council Entry'!AG$6-'Council Entry'!AG$5)),1))),"No data"))</f>
        <v/>
      </c>
      <c r="AH197" s="13">
        <f>IF('Council Entry'!AH197="","",IFERROR(MAX(0,MIN(10,ROUND(IF('Council Entry'!AH$7="Decrease Risk",10-10*((IF('Council Entry'!AH$4="Logarithm",LN(0.001+IF(AND(ISNUMBER('Council Entry'!AH$8),ISNUMBER('Council Entry'!AH$9)),MAX(MIN('Council Entry'!AH197,'Council Entry'!AH$9),'Council Entry'!AH$8),'Council Entry'!AH197)),IF('Council Entry'!AH$4="Exponential",EXP(IF(AND(ISNUMBER('Council Entry'!AH$8),ISNUMBER('Council Entry'!AH$9)),MAX(MIN('Council Entry'!AH197,'Council Entry'!AH$9),'Council Entry'!AH$8),'Council Entry'!AH197)),IF(AND(ISNUMBER('Council Entry'!AH$8),ISNUMBER('Council Entry'!AH$9)),MAX(MIN('Council Entry'!AH197,'Council Entry'!AH$9),'Council Entry'!AH$8),'Council Entry'!AH197))))-'Council Entry'!AH$5)/('Council Entry'!AH$6-'Council Entry'!AH$5),10*((IF('Council Entry'!AH$4="Logarithm",LN(0.001+IF(AND(ISNUMBER('Council Entry'!AH$8),ISNUMBER('Council Entry'!AH$9)),MAX(MIN('Council Entry'!AH197,'Council Entry'!AH$9),'Council Entry'!AH$8),'Council Entry'!AH197)),IF('Council Entry'!AH$4="Exponential",EXP(IF(AND(ISNUMBER('Council Entry'!AH$8),ISNUMBER('Council Entry'!AH$9)),MAX(MIN('Council Entry'!AH197,'Council Entry'!AH$9),'Council Entry'!AH$8),'Council Entry'!AH197)),IF(AND(ISNUMBER('Council Entry'!AH$8),ISNUMBER('Council Entry'!AH$9)),MAX(MIN('Council Entry'!AH197,'Council Entry'!AH$9),'Council Entry'!AH$8),'Council Entry'!AH197))))-'Council Entry'!AH$5)/('Council Entry'!AH$6-'Council Entry'!AH$5)),1))),"No data"))</f>
        <v/>
      </c>
      <c r="AI197" s="13">
        <f>IF('Council Entry'!AI197="","",IFERROR(MAX(0,MIN(10,ROUND(IF('Council Entry'!AI$7="Decrease Risk",10-10*((IF('Council Entry'!AI$4="Logarithm",LN(0.001+IF(AND(ISNUMBER('Council Entry'!AI$8),ISNUMBER('Council Entry'!AI$9)),MAX(MIN('Council Entry'!AI197,'Council Entry'!AI$9),'Council Entry'!AI$8),'Council Entry'!AI197)),IF('Council Entry'!AI$4="Exponential",EXP(IF(AND(ISNUMBER('Council Entry'!AI$8),ISNUMBER('Council Entry'!AI$9)),MAX(MIN('Council Entry'!AI197,'Council Entry'!AI$9),'Council Entry'!AI$8),'Council Entry'!AI197)),IF(AND(ISNUMBER('Council Entry'!AI$8),ISNUMBER('Council Entry'!AI$9)),MAX(MIN('Council Entry'!AI197,'Council Entry'!AI$9),'Council Entry'!AI$8),'Council Entry'!AI197))))-'Council Entry'!AI$5)/('Council Entry'!AI$6-'Council Entry'!AI$5),10*((IF('Council Entry'!AI$4="Logarithm",LN(0.001+IF(AND(ISNUMBER('Council Entry'!AI$8),ISNUMBER('Council Entry'!AI$9)),MAX(MIN('Council Entry'!AI197,'Council Entry'!AI$9),'Council Entry'!AI$8),'Council Entry'!AI197)),IF('Council Entry'!AI$4="Exponential",EXP(IF(AND(ISNUMBER('Council Entry'!AI$8),ISNUMBER('Council Entry'!AI$9)),MAX(MIN('Council Entry'!AI197,'Council Entry'!AI$9),'Council Entry'!AI$8),'Council Entry'!AI197)),IF(AND(ISNUMBER('Council Entry'!AI$8),ISNUMBER('Council Entry'!AI$9)),MAX(MIN('Council Entry'!AI197,'Council Entry'!AI$9),'Council Entry'!AI$8),'Council Entry'!AI197))))-'Council Entry'!AI$5)/('Council Entry'!AI$6-'Council Entry'!AI$5)),1))),"No data"))</f>
        <v/>
      </c>
      <c r="AJ197" s="13">
        <f>IF('Council Entry'!AJ197="","",IFERROR(MAX(0,MIN(10,ROUND(IF('Council Entry'!AJ$7="Decrease Risk",10-10*((IF('Council Entry'!AJ$4="Logarithm",LN(0.001+IF(AND(ISNUMBER('Council Entry'!AJ$8),ISNUMBER('Council Entry'!AJ$9)),MAX(MIN('Council Entry'!AJ197,'Council Entry'!AJ$9),'Council Entry'!AJ$8),'Council Entry'!AJ197)),IF('Council Entry'!AJ$4="Exponential",EXP(IF(AND(ISNUMBER('Council Entry'!AJ$8),ISNUMBER('Council Entry'!AJ$9)),MAX(MIN('Council Entry'!AJ197,'Council Entry'!AJ$9),'Council Entry'!AJ$8),'Council Entry'!AJ197)),IF(AND(ISNUMBER('Council Entry'!AJ$8),ISNUMBER('Council Entry'!AJ$9)),MAX(MIN('Council Entry'!AJ197,'Council Entry'!AJ$9),'Council Entry'!AJ$8),'Council Entry'!AJ197))))-'Council Entry'!AJ$5)/('Council Entry'!AJ$6-'Council Entry'!AJ$5),10*((IF('Council Entry'!AJ$4="Logarithm",LN(0.001+IF(AND(ISNUMBER('Council Entry'!AJ$8),ISNUMBER('Council Entry'!AJ$9)),MAX(MIN('Council Entry'!AJ197,'Council Entry'!AJ$9),'Council Entry'!AJ$8),'Council Entry'!AJ197)),IF('Council Entry'!AJ$4="Exponential",EXP(IF(AND(ISNUMBER('Council Entry'!AJ$8),ISNUMBER('Council Entry'!AJ$9)),MAX(MIN('Council Entry'!AJ197,'Council Entry'!AJ$9),'Council Entry'!AJ$8),'Council Entry'!AJ197)),IF(AND(ISNUMBER('Council Entry'!AJ$8),ISNUMBER('Council Entry'!AJ$9)),MAX(MIN('Council Entry'!AJ197,'Council Entry'!AJ$9),'Council Entry'!AJ$8),'Council Entry'!AJ197))))-'Council Entry'!AJ$5)/('Council Entry'!AJ$6-'Council Entry'!AJ$5)),1))),"No data"))</f>
        <v/>
      </c>
      <c r="AK197" s="13">
        <f>IF('Council Entry'!AK197="","",IFERROR(MAX(0,MIN(10,ROUND(IF('Council Entry'!AK$7="Decrease Risk",10-10*((IF('Council Entry'!AK$4="Logarithm",LN(0.001+IF(AND(ISNUMBER('Council Entry'!AK$8),ISNUMBER('Council Entry'!AK$9)),MAX(MIN('Council Entry'!AK197,'Council Entry'!AK$9),'Council Entry'!AK$8),'Council Entry'!AK197)),IF('Council Entry'!AK$4="Exponential",EXP(IF(AND(ISNUMBER('Council Entry'!AK$8),ISNUMBER('Council Entry'!AK$9)),MAX(MIN('Council Entry'!AK197,'Council Entry'!AK$9),'Council Entry'!AK$8),'Council Entry'!AK197)),IF(AND(ISNUMBER('Council Entry'!AK$8),ISNUMBER('Council Entry'!AK$9)),MAX(MIN('Council Entry'!AK197,'Council Entry'!AK$9),'Council Entry'!AK$8),'Council Entry'!AK197))))-'Council Entry'!AK$5)/('Council Entry'!AK$6-'Council Entry'!AK$5),10*((IF('Council Entry'!AK$4="Logarithm",LN(0.001+IF(AND(ISNUMBER('Council Entry'!AK$8),ISNUMBER('Council Entry'!AK$9)),MAX(MIN('Council Entry'!AK197,'Council Entry'!AK$9),'Council Entry'!AK$8),'Council Entry'!AK197)),IF('Council Entry'!AK$4="Exponential",EXP(IF(AND(ISNUMBER('Council Entry'!AK$8),ISNUMBER('Council Entry'!AK$9)),MAX(MIN('Council Entry'!AK197,'Council Entry'!AK$9),'Council Entry'!AK$8),'Council Entry'!AK197)),IF(AND(ISNUMBER('Council Entry'!AK$8),ISNUMBER('Council Entry'!AK$9)),MAX(MIN('Council Entry'!AK197,'Council Entry'!AK$9),'Council Entry'!AK$8),'Council Entry'!AK197))))-'Council Entry'!AK$5)/('Council Entry'!AK$6-'Council Entry'!AK$5)),1))),"No data"))</f>
        <v/>
      </c>
      <c r="AL197" s="13">
        <f>IF('Council Entry'!AL197="","",IFERROR(MAX(0,MIN(10,ROUND(IF('Council Entry'!AL$7="Decrease Risk",10-10*((IF('Council Entry'!AL$4="Logarithm",LN(0.001+IF(AND(ISNUMBER('Council Entry'!AL$8),ISNUMBER('Council Entry'!AL$9)),MAX(MIN('Council Entry'!AL197,'Council Entry'!AL$9),'Council Entry'!AL$8),'Council Entry'!AL197)),IF('Council Entry'!AL$4="Exponential",EXP(IF(AND(ISNUMBER('Council Entry'!AL$8),ISNUMBER('Council Entry'!AL$9)),MAX(MIN('Council Entry'!AL197,'Council Entry'!AL$9),'Council Entry'!AL$8),'Council Entry'!AL197)),IF(AND(ISNUMBER('Council Entry'!AL$8),ISNUMBER('Council Entry'!AL$9)),MAX(MIN('Council Entry'!AL197,'Council Entry'!AL$9),'Council Entry'!AL$8),'Council Entry'!AL197))))-'Council Entry'!AL$5)/('Council Entry'!AL$6-'Council Entry'!AL$5),10*((IF('Council Entry'!AL$4="Logarithm",LN(0.001+IF(AND(ISNUMBER('Council Entry'!AL$8),ISNUMBER('Council Entry'!AL$9)),MAX(MIN('Council Entry'!AL197,'Council Entry'!AL$9),'Council Entry'!AL$8),'Council Entry'!AL197)),IF('Council Entry'!AL$4="Exponential",EXP(IF(AND(ISNUMBER('Council Entry'!AL$8),ISNUMBER('Council Entry'!AL$9)),MAX(MIN('Council Entry'!AL197,'Council Entry'!AL$9),'Council Entry'!AL$8),'Council Entry'!AL197)),IF(AND(ISNUMBER('Council Entry'!AL$8),ISNUMBER('Council Entry'!AL$9)),MAX(MIN('Council Entry'!AL197,'Council Entry'!AL$9),'Council Entry'!AL$8),'Council Entry'!AL197))))-'Council Entry'!AL$5)/('Council Entry'!AL$6-'Council Entry'!AL$5)),1))),"No data"))</f>
        <v/>
      </c>
      <c r="AM197" s="13">
        <f>IF('Council Entry'!AM197="","",IFERROR(MAX(0,MIN(10,ROUND(IF('Council Entry'!AM$7="Decrease Risk",10-10*((IF('Council Entry'!AM$4="Logarithm",LN(0.001+IF(AND(ISNUMBER('Council Entry'!AM$8),ISNUMBER('Council Entry'!AM$9)),MAX(MIN('Council Entry'!AM197,'Council Entry'!AM$9),'Council Entry'!AM$8),'Council Entry'!AM197)),IF('Council Entry'!AM$4="Exponential",EXP(IF(AND(ISNUMBER('Council Entry'!AM$8),ISNUMBER('Council Entry'!AM$9)),MAX(MIN('Council Entry'!AM197,'Council Entry'!AM$9),'Council Entry'!AM$8),'Council Entry'!AM197)),IF(AND(ISNUMBER('Council Entry'!AM$8),ISNUMBER('Council Entry'!AM$9)),MAX(MIN('Council Entry'!AM197,'Council Entry'!AM$9),'Council Entry'!AM$8),'Council Entry'!AM197))))-'Council Entry'!AM$5)/('Council Entry'!AM$6-'Council Entry'!AM$5),10*((IF('Council Entry'!AM$4="Logarithm",LN(0.001+IF(AND(ISNUMBER('Council Entry'!AM$8),ISNUMBER('Council Entry'!AM$9)),MAX(MIN('Council Entry'!AM197,'Council Entry'!AM$9),'Council Entry'!AM$8),'Council Entry'!AM197)),IF('Council Entry'!AM$4="Exponential",EXP(IF(AND(ISNUMBER('Council Entry'!AM$8),ISNUMBER('Council Entry'!AM$9)),MAX(MIN('Council Entry'!AM197,'Council Entry'!AM$9),'Council Entry'!AM$8),'Council Entry'!AM197)),IF(AND(ISNUMBER('Council Entry'!AM$8),ISNUMBER('Council Entry'!AM$9)),MAX(MIN('Council Entry'!AM197,'Council Entry'!AM$9),'Council Entry'!AM$8),'Council Entry'!AM197))))-'Council Entry'!AM$5)/('Council Entry'!AM$6-'Council Entry'!AM$5)),1))),"No data"))</f>
        <v/>
      </c>
      <c r="AN197" s="13">
        <f>IF('Council Entry'!AN197="","",IFERROR(MAX(0,MIN(10,ROUND(IF('Council Entry'!AN$7="Decrease Risk",10-10*((IF('Council Entry'!AN$4="Logarithm",LN(0.001+IF(AND(ISNUMBER('Council Entry'!AN$8),ISNUMBER('Council Entry'!AN$9)),MAX(MIN('Council Entry'!AN197,'Council Entry'!AN$9),'Council Entry'!AN$8),'Council Entry'!AN197)),IF('Council Entry'!AN$4="Exponential",EXP(IF(AND(ISNUMBER('Council Entry'!AN$8),ISNUMBER('Council Entry'!AN$9)),MAX(MIN('Council Entry'!AN197,'Council Entry'!AN$9),'Council Entry'!AN$8),'Council Entry'!AN197)),IF(AND(ISNUMBER('Council Entry'!AN$8),ISNUMBER('Council Entry'!AN$9)),MAX(MIN('Council Entry'!AN197,'Council Entry'!AN$9),'Council Entry'!AN$8),'Council Entry'!AN197))))-'Council Entry'!AN$5)/('Council Entry'!AN$6-'Council Entry'!AN$5),10*((IF('Council Entry'!AN$4="Logarithm",LN(0.001+IF(AND(ISNUMBER('Council Entry'!AN$8),ISNUMBER('Council Entry'!AN$9)),MAX(MIN('Council Entry'!AN197,'Council Entry'!AN$9),'Council Entry'!AN$8),'Council Entry'!AN197)),IF('Council Entry'!AN$4="Exponential",EXP(IF(AND(ISNUMBER('Council Entry'!AN$8),ISNUMBER('Council Entry'!AN$9)),MAX(MIN('Council Entry'!AN197,'Council Entry'!AN$9),'Council Entry'!AN$8),'Council Entry'!AN197)),IF(AND(ISNUMBER('Council Entry'!AN$8),ISNUMBER('Council Entry'!AN$9)),MAX(MIN('Council Entry'!AN197,'Council Entry'!AN$9),'Council Entry'!AN$8),'Council Entry'!AN197))))-'Council Entry'!AN$5)/('Council Entry'!AN$6-'Council Entry'!AN$5)),1))),"No data"))</f>
        <v/>
      </c>
      <c r="AO197" s="13">
        <f>IF('Council Entry'!AO197="","",IFERROR(MAX(0,MIN(10,ROUND(IF('Council Entry'!AO$7="Decrease Risk",10-10*((IF('Council Entry'!AO$4="Logarithm",LN(0.001+IF(AND(ISNUMBER('Council Entry'!AO$8),ISNUMBER('Council Entry'!AO$9)),MAX(MIN('Council Entry'!AO197,'Council Entry'!AO$9),'Council Entry'!AO$8),'Council Entry'!AO197)),IF('Council Entry'!AO$4="Exponential",EXP(IF(AND(ISNUMBER('Council Entry'!AO$8),ISNUMBER('Council Entry'!AO$9)),MAX(MIN('Council Entry'!AO197,'Council Entry'!AO$9),'Council Entry'!AO$8),'Council Entry'!AO197)),IF(AND(ISNUMBER('Council Entry'!AO$8),ISNUMBER('Council Entry'!AO$9)),MAX(MIN('Council Entry'!AO197,'Council Entry'!AO$9),'Council Entry'!AO$8),'Council Entry'!AO197))))-'Council Entry'!AO$5)/('Council Entry'!AO$6-'Council Entry'!AO$5),10*((IF('Council Entry'!AO$4="Logarithm",LN(0.001+IF(AND(ISNUMBER('Council Entry'!AO$8),ISNUMBER('Council Entry'!AO$9)),MAX(MIN('Council Entry'!AO197,'Council Entry'!AO$9),'Council Entry'!AO$8),'Council Entry'!AO197)),IF('Council Entry'!AO$4="Exponential",EXP(IF(AND(ISNUMBER('Council Entry'!AO$8),ISNUMBER('Council Entry'!AO$9)),MAX(MIN('Council Entry'!AO197,'Council Entry'!AO$9),'Council Entry'!AO$8),'Council Entry'!AO197)),IF(AND(ISNUMBER('Council Entry'!AO$8),ISNUMBER('Council Entry'!AO$9)),MAX(MIN('Council Entry'!AO197,'Council Entry'!AO$9),'Council Entry'!AO$8),'Council Entry'!AO197))))-'Council Entry'!AO$5)/('Council Entry'!AO$6-'Council Entry'!AO$5)),1))),"No data"))</f>
        <v/>
      </c>
      <c r="AP197" s="13">
        <f>IF('Council Entry'!AP197="","",IFERROR(MAX(0,MIN(10,ROUND(IF('Council Entry'!AP$7="Decrease Risk",10-10*((IF('Council Entry'!AP$4="Logarithm",LN(0.001+IF(AND(ISNUMBER('Council Entry'!AP$8),ISNUMBER('Council Entry'!AP$9)),MAX(MIN('Council Entry'!AP197,'Council Entry'!AP$9),'Council Entry'!AP$8),'Council Entry'!AP197)),IF('Council Entry'!AP$4="Exponential",EXP(IF(AND(ISNUMBER('Council Entry'!AP$8),ISNUMBER('Council Entry'!AP$9)),MAX(MIN('Council Entry'!AP197,'Council Entry'!AP$9),'Council Entry'!AP$8),'Council Entry'!AP197)),IF(AND(ISNUMBER('Council Entry'!AP$8),ISNUMBER('Council Entry'!AP$9)),MAX(MIN('Council Entry'!AP197,'Council Entry'!AP$9),'Council Entry'!AP$8),'Council Entry'!AP197))))-'Council Entry'!AP$5)/('Council Entry'!AP$6-'Council Entry'!AP$5),10*((IF('Council Entry'!AP$4="Logarithm",LN(0.001+IF(AND(ISNUMBER('Council Entry'!AP$8),ISNUMBER('Council Entry'!AP$9)),MAX(MIN('Council Entry'!AP197,'Council Entry'!AP$9),'Council Entry'!AP$8),'Council Entry'!AP197)),IF('Council Entry'!AP$4="Exponential",EXP(IF(AND(ISNUMBER('Council Entry'!AP$8),ISNUMBER('Council Entry'!AP$9)),MAX(MIN('Council Entry'!AP197,'Council Entry'!AP$9),'Council Entry'!AP$8),'Council Entry'!AP197)),IF(AND(ISNUMBER('Council Entry'!AP$8),ISNUMBER('Council Entry'!AP$9)),MAX(MIN('Council Entry'!AP197,'Council Entry'!AP$9),'Council Entry'!AP$8),'Council Entry'!AP197))))-'Council Entry'!AP$5)/('Council Entry'!AP$6-'Council Entry'!AP$5)),1))),"No data"))</f>
        <v/>
      </c>
      <c r="AQ197" s="13">
        <f>IF('Council Entry'!AQ197="","",IFERROR(MAX(0,MIN(10,ROUND(IF('Council Entry'!AQ$7="Decrease Risk",10-10*((IF('Council Entry'!AQ$4="Logarithm",LN(0.001+IF(AND(ISNUMBER('Council Entry'!AQ$8),ISNUMBER('Council Entry'!AQ$9)),MAX(MIN('Council Entry'!AQ197,'Council Entry'!AQ$9),'Council Entry'!AQ$8),'Council Entry'!AQ197)),IF('Council Entry'!AQ$4="Exponential",EXP(IF(AND(ISNUMBER('Council Entry'!AQ$8),ISNUMBER('Council Entry'!AQ$9)),MAX(MIN('Council Entry'!AQ197,'Council Entry'!AQ$9),'Council Entry'!AQ$8),'Council Entry'!AQ197)),IF(AND(ISNUMBER('Council Entry'!AQ$8),ISNUMBER('Council Entry'!AQ$9)),MAX(MIN('Council Entry'!AQ197,'Council Entry'!AQ$9),'Council Entry'!AQ$8),'Council Entry'!AQ197))))-'Council Entry'!AQ$5)/('Council Entry'!AQ$6-'Council Entry'!AQ$5),10*((IF('Council Entry'!AQ$4="Logarithm",LN(0.001+IF(AND(ISNUMBER('Council Entry'!AQ$8),ISNUMBER('Council Entry'!AQ$9)),MAX(MIN('Council Entry'!AQ197,'Council Entry'!AQ$9),'Council Entry'!AQ$8),'Council Entry'!AQ197)),IF('Council Entry'!AQ$4="Exponential",EXP(IF(AND(ISNUMBER('Council Entry'!AQ$8),ISNUMBER('Council Entry'!AQ$9)),MAX(MIN('Council Entry'!AQ197,'Council Entry'!AQ$9),'Council Entry'!AQ$8),'Council Entry'!AQ197)),IF(AND(ISNUMBER('Council Entry'!AQ$8),ISNUMBER('Council Entry'!AQ$9)),MAX(MIN('Council Entry'!AQ197,'Council Entry'!AQ$9),'Council Entry'!AQ$8),'Council Entry'!AQ197))))-'Council Entry'!AQ$5)/('Council Entry'!AQ$6-'Council Entry'!AQ$5)),1))),"No data"))</f>
        <v/>
      </c>
      <c r="AR197" s="13">
        <f>IF('Council Entry'!AR197="","",IFERROR(MAX(0,MIN(10,ROUND(IF('Council Entry'!AR$7="Decrease Risk",10-10*((IF('Council Entry'!AR$4="Logarithm",LN(0.001+IF(AND(ISNUMBER('Council Entry'!AR$8),ISNUMBER('Council Entry'!AR$9)),MAX(MIN('Council Entry'!AR197,'Council Entry'!AR$9),'Council Entry'!AR$8),'Council Entry'!AR197)),IF('Council Entry'!AR$4="Exponential",EXP(IF(AND(ISNUMBER('Council Entry'!AR$8),ISNUMBER('Council Entry'!AR$9)),MAX(MIN('Council Entry'!AR197,'Council Entry'!AR$9),'Council Entry'!AR$8),'Council Entry'!AR197)),IF(AND(ISNUMBER('Council Entry'!AR$8),ISNUMBER('Council Entry'!AR$9)),MAX(MIN('Council Entry'!AR197,'Council Entry'!AR$9),'Council Entry'!AR$8),'Council Entry'!AR197))))-'Council Entry'!AR$5)/('Council Entry'!AR$6-'Council Entry'!AR$5),10*((IF('Council Entry'!AR$4="Logarithm",LN(0.001+IF(AND(ISNUMBER('Council Entry'!AR$8),ISNUMBER('Council Entry'!AR$9)),MAX(MIN('Council Entry'!AR197,'Council Entry'!AR$9),'Council Entry'!AR$8),'Council Entry'!AR197)),IF('Council Entry'!AR$4="Exponential",EXP(IF(AND(ISNUMBER('Council Entry'!AR$8),ISNUMBER('Council Entry'!AR$9)),MAX(MIN('Council Entry'!AR197,'Council Entry'!AR$9),'Council Entry'!AR$8),'Council Entry'!AR197)),IF(AND(ISNUMBER('Council Entry'!AR$8),ISNUMBER('Council Entry'!AR$9)),MAX(MIN('Council Entry'!AR197,'Council Entry'!AR$9),'Council Entry'!AR$8),'Council Entry'!AR197))))-'Council Entry'!AR$5)/('Council Entry'!AR$6-'Council Entry'!AR$5)),1))),"No data"))</f>
        <v/>
      </c>
      <c r="AS197" s="13">
        <f>IF('Council Entry'!AS197="","",IFERROR(MAX(0,MIN(10,ROUND(IF('Council Entry'!AS$7="Decrease Risk",10-10*((IF('Council Entry'!AS$4="Logarithm",LN(0.001+IF(AND(ISNUMBER('Council Entry'!AS$8),ISNUMBER('Council Entry'!AS$9)),MAX(MIN('Council Entry'!AS197,'Council Entry'!AS$9),'Council Entry'!AS$8),'Council Entry'!AS197)),IF('Council Entry'!AS$4="Exponential",EXP(IF(AND(ISNUMBER('Council Entry'!AS$8),ISNUMBER('Council Entry'!AS$9)),MAX(MIN('Council Entry'!AS197,'Council Entry'!AS$9),'Council Entry'!AS$8),'Council Entry'!AS197)),IF(AND(ISNUMBER('Council Entry'!AS$8),ISNUMBER('Council Entry'!AS$9)),MAX(MIN('Council Entry'!AS197,'Council Entry'!AS$9),'Council Entry'!AS$8),'Council Entry'!AS197))))-'Council Entry'!AS$5)/('Council Entry'!AS$6-'Council Entry'!AS$5),10*((IF('Council Entry'!AS$4="Logarithm",LN(0.001+IF(AND(ISNUMBER('Council Entry'!AS$8),ISNUMBER('Council Entry'!AS$9)),MAX(MIN('Council Entry'!AS197,'Council Entry'!AS$9),'Council Entry'!AS$8),'Council Entry'!AS197)),IF('Council Entry'!AS$4="Exponential",EXP(IF(AND(ISNUMBER('Council Entry'!AS$8),ISNUMBER('Council Entry'!AS$9)),MAX(MIN('Council Entry'!AS197,'Council Entry'!AS$9),'Council Entry'!AS$8),'Council Entry'!AS197)),IF(AND(ISNUMBER('Council Entry'!AS$8),ISNUMBER('Council Entry'!AS$9)),MAX(MIN('Council Entry'!AS197,'Council Entry'!AS$9),'Council Entry'!AS$8),'Council Entry'!AS197))))-'Council Entry'!AS$5)/('Council Entry'!AS$6-'Council Entry'!AS$5)),1))),"No data"))</f>
        <v/>
      </c>
      <c r="AT197" s="13">
        <f>IF('Council Entry'!AT197="","",IFERROR(MAX(0,MIN(10,ROUND(IF('Council Entry'!AT$7="Decrease Risk",10-10*((IF('Council Entry'!AT$4="Logarithm",LN(0.001+IF(AND(ISNUMBER('Council Entry'!AT$8),ISNUMBER('Council Entry'!AT$9)),MAX(MIN('Council Entry'!AT197,'Council Entry'!AT$9),'Council Entry'!AT$8),'Council Entry'!AT197)),IF('Council Entry'!AT$4="Exponential",EXP(IF(AND(ISNUMBER('Council Entry'!AT$8),ISNUMBER('Council Entry'!AT$9)),MAX(MIN('Council Entry'!AT197,'Council Entry'!AT$9),'Council Entry'!AT$8),'Council Entry'!AT197)),IF(AND(ISNUMBER('Council Entry'!AT$8),ISNUMBER('Council Entry'!AT$9)),MAX(MIN('Council Entry'!AT197,'Council Entry'!AT$9),'Council Entry'!AT$8),'Council Entry'!AT197))))-'Council Entry'!AT$5)/('Council Entry'!AT$6-'Council Entry'!AT$5),10*((IF('Council Entry'!AT$4="Logarithm",LN(0.001+IF(AND(ISNUMBER('Council Entry'!AT$8),ISNUMBER('Council Entry'!AT$9)),MAX(MIN('Council Entry'!AT197,'Council Entry'!AT$9),'Council Entry'!AT$8),'Council Entry'!AT197)),IF('Council Entry'!AT$4="Exponential",EXP(IF(AND(ISNUMBER('Council Entry'!AT$8),ISNUMBER('Council Entry'!AT$9)),MAX(MIN('Council Entry'!AT197,'Council Entry'!AT$9),'Council Entry'!AT$8),'Council Entry'!AT197)),IF(AND(ISNUMBER('Council Entry'!AT$8),ISNUMBER('Council Entry'!AT$9)),MAX(MIN('Council Entry'!AT197,'Council Entry'!AT$9),'Council Entry'!AT$8),'Council Entry'!AT197))))-'Council Entry'!AT$5)/('Council Entry'!AT$6-'Council Entry'!AT$5)),1))),"No data"))</f>
        <v/>
      </c>
      <c r="AU197" s="13">
        <f>IF('Council Entry'!AU197="","",IFERROR(MAX(0,MIN(10,ROUND(IF('Council Entry'!AU$7="Decrease Risk",10-10*((IF('Council Entry'!AU$4="Logarithm",LN(0.001+IF(AND(ISNUMBER('Council Entry'!AU$8),ISNUMBER('Council Entry'!AU$9)),MAX(MIN('Council Entry'!AU197,'Council Entry'!AU$9),'Council Entry'!AU$8),'Council Entry'!AU197)),IF('Council Entry'!AU$4="Exponential",EXP(IF(AND(ISNUMBER('Council Entry'!AU$8),ISNUMBER('Council Entry'!AU$9)),MAX(MIN('Council Entry'!AU197,'Council Entry'!AU$9),'Council Entry'!AU$8),'Council Entry'!AU197)),IF(AND(ISNUMBER('Council Entry'!AU$8),ISNUMBER('Council Entry'!AU$9)),MAX(MIN('Council Entry'!AU197,'Council Entry'!AU$9),'Council Entry'!AU$8),'Council Entry'!AU197))))-'Council Entry'!AU$5)/('Council Entry'!AU$6-'Council Entry'!AU$5),10*((IF('Council Entry'!AU$4="Logarithm",LN(0.001+IF(AND(ISNUMBER('Council Entry'!AU$8),ISNUMBER('Council Entry'!AU$9)),MAX(MIN('Council Entry'!AU197,'Council Entry'!AU$9),'Council Entry'!AU$8),'Council Entry'!AU197)),IF('Council Entry'!AU$4="Exponential",EXP(IF(AND(ISNUMBER('Council Entry'!AU$8),ISNUMBER('Council Entry'!AU$9)),MAX(MIN('Council Entry'!AU197,'Council Entry'!AU$9),'Council Entry'!AU$8),'Council Entry'!AU197)),IF(AND(ISNUMBER('Council Entry'!AU$8),ISNUMBER('Council Entry'!AU$9)),MAX(MIN('Council Entry'!AU197,'Council Entry'!AU$9),'Council Entry'!AU$8),'Council Entry'!AU197))))-'Council Entry'!AU$5)/('Council Entry'!AU$6-'Council Entry'!AU$5)),1))),"No data"))</f>
        <v/>
      </c>
      <c r="AV197" s="13">
        <f>IF('Council Entry'!AV197="","",IFERROR(MAX(0,MIN(10,ROUND(IF('Council Entry'!AV$7="Decrease Risk",10-10*((IF('Council Entry'!AV$4="Logarithm",LN(0.001+IF(AND(ISNUMBER('Council Entry'!AV$8),ISNUMBER('Council Entry'!AV$9)),MAX(MIN('Council Entry'!AV197,'Council Entry'!AV$9),'Council Entry'!AV$8),'Council Entry'!AV197)),IF('Council Entry'!AV$4="Exponential",EXP(IF(AND(ISNUMBER('Council Entry'!AV$8),ISNUMBER('Council Entry'!AV$9)),MAX(MIN('Council Entry'!AV197,'Council Entry'!AV$9),'Council Entry'!AV$8),'Council Entry'!AV197)),IF(AND(ISNUMBER('Council Entry'!AV$8),ISNUMBER('Council Entry'!AV$9)),MAX(MIN('Council Entry'!AV197,'Council Entry'!AV$9),'Council Entry'!AV$8),'Council Entry'!AV197))))-'Council Entry'!AV$5)/('Council Entry'!AV$6-'Council Entry'!AV$5),10*((IF('Council Entry'!AV$4="Logarithm",LN(0.001+IF(AND(ISNUMBER('Council Entry'!AV$8),ISNUMBER('Council Entry'!AV$9)),MAX(MIN('Council Entry'!AV197,'Council Entry'!AV$9),'Council Entry'!AV$8),'Council Entry'!AV197)),IF('Council Entry'!AV$4="Exponential",EXP(IF(AND(ISNUMBER('Council Entry'!AV$8),ISNUMBER('Council Entry'!AV$9)),MAX(MIN('Council Entry'!AV197,'Council Entry'!AV$9),'Council Entry'!AV$8),'Council Entry'!AV197)),IF(AND(ISNUMBER('Council Entry'!AV$8),ISNUMBER('Council Entry'!AV$9)),MAX(MIN('Council Entry'!AV197,'Council Entry'!AV$9),'Council Entry'!AV$8),'Council Entry'!AV197))))-'Council Entry'!AV$5)/('Council Entry'!AV$6-'Council Entry'!AV$5)),1))),"No data"))</f>
        <v/>
      </c>
      <c r="AW197" s="13">
        <f>IF('Council Entry'!AW197="","",IFERROR(MAX(0,MIN(10,ROUND(IF('Council Entry'!AW$7="Decrease Risk",10-10*((IF('Council Entry'!AW$4="Logarithm",LN(0.001+IF(AND(ISNUMBER('Council Entry'!AW$8),ISNUMBER('Council Entry'!AW$9)),MAX(MIN('Council Entry'!AW197,'Council Entry'!AW$9),'Council Entry'!AW$8),'Council Entry'!AW197)),IF('Council Entry'!AW$4="Exponential",EXP(IF(AND(ISNUMBER('Council Entry'!AW$8),ISNUMBER('Council Entry'!AW$9)),MAX(MIN('Council Entry'!AW197,'Council Entry'!AW$9),'Council Entry'!AW$8),'Council Entry'!AW197)),IF(AND(ISNUMBER('Council Entry'!AW$8),ISNUMBER('Council Entry'!AW$9)),MAX(MIN('Council Entry'!AW197,'Council Entry'!AW$9),'Council Entry'!AW$8),'Council Entry'!AW197))))-'Council Entry'!AW$5)/('Council Entry'!AW$6-'Council Entry'!AW$5),10*((IF('Council Entry'!AW$4="Logarithm",LN(0.001+IF(AND(ISNUMBER('Council Entry'!AW$8),ISNUMBER('Council Entry'!AW$9)),MAX(MIN('Council Entry'!AW197,'Council Entry'!AW$9),'Council Entry'!AW$8),'Council Entry'!AW197)),IF('Council Entry'!AW$4="Exponential",EXP(IF(AND(ISNUMBER('Council Entry'!AW$8),ISNUMBER('Council Entry'!AW$9)),MAX(MIN('Council Entry'!AW197,'Council Entry'!AW$9),'Council Entry'!AW$8),'Council Entry'!AW197)),IF(AND(ISNUMBER('Council Entry'!AW$8),ISNUMBER('Council Entry'!AW$9)),MAX(MIN('Council Entry'!AW197,'Council Entry'!AW$9),'Council Entry'!AW$8),'Council Entry'!AW197))))-'Council Entry'!AW$5)/('Council Entry'!AW$6-'Council Entry'!AW$5)),1))),"No data"))</f>
        <v/>
      </c>
      <c r="AX197" s="13">
        <f>IF('Council Entry'!AX197="","",IFERROR(MAX(0,MIN(10,ROUND(IF('Council Entry'!AX$7="Decrease Risk",10-10*((IF('Council Entry'!AX$4="Logarithm",LN(0.001+IF(AND(ISNUMBER('Council Entry'!AX$8),ISNUMBER('Council Entry'!AX$9)),MAX(MIN('Council Entry'!AX197,'Council Entry'!AX$9),'Council Entry'!AX$8),'Council Entry'!AX197)),IF('Council Entry'!AX$4="Exponential",EXP(IF(AND(ISNUMBER('Council Entry'!AX$8),ISNUMBER('Council Entry'!AX$9)),MAX(MIN('Council Entry'!AX197,'Council Entry'!AX$9),'Council Entry'!AX$8),'Council Entry'!AX197)),IF(AND(ISNUMBER('Council Entry'!AX$8),ISNUMBER('Council Entry'!AX$9)),MAX(MIN('Council Entry'!AX197,'Council Entry'!AX$9),'Council Entry'!AX$8),'Council Entry'!AX197))))-'Council Entry'!AX$5)/('Council Entry'!AX$6-'Council Entry'!AX$5),10*((IF('Council Entry'!AX$4="Logarithm",LN(0.001+IF(AND(ISNUMBER('Council Entry'!AX$8),ISNUMBER('Council Entry'!AX$9)),MAX(MIN('Council Entry'!AX197,'Council Entry'!AX$9),'Council Entry'!AX$8),'Council Entry'!AX197)),IF('Council Entry'!AX$4="Exponential",EXP(IF(AND(ISNUMBER('Council Entry'!AX$8),ISNUMBER('Council Entry'!AX$9)),MAX(MIN('Council Entry'!AX197,'Council Entry'!AX$9),'Council Entry'!AX$8),'Council Entry'!AX197)),IF(AND(ISNUMBER('Council Entry'!AX$8),ISNUMBER('Council Entry'!AX$9)),MAX(MIN('Council Entry'!AX197,'Council Entry'!AX$9),'Council Entry'!AX$8),'Council Entry'!AX197))))-'Council Entry'!AX$5)/('Council Entry'!AX$6-'Council Entry'!AX$5)),1))),"No data"))</f>
        <v/>
      </c>
      <c r="AY197" s="13">
        <f>IF('Council Entry'!AY197="","",IFERROR(MAX(0,MIN(10,ROUND(IF('Council Entry'!AY$7="Decrease Risk",10-10*((IF('Council Entry'!AY$4="Logarithm",LN(0.001+IF(AND(ISNUMBER('Council Entry'!AY$8),ISNUMBER('Council Entry'!AY$9)),MAX(MIN('Council Entry'!AY197,'Council Entry'!AY$9),'Council Entry'!AY$8),'Council Entry'!AY197)),IF('Council Entry'!AY$4="Exponential",EXP(IF(AND(ISNUMBER('Council Entry'!AY$8),ISNUMBER('Council Entry'!AY$9)),MAX(MIN('Council Entry'!AY197,'Council Entry'!AY$9),'Council Entry'!AY$8),'Council Entry'!AY197)),IF(AND(ISNUMBER('Council Entry'!AY$8),ISNUMBER('Council Entry'!AY$9)),MAX(MIN('Council Entry'!AY197,'Council Entry'!AY$9),'Council Entry'!AY$8),'Council Entry'!AY197))))-'Council Entry'!AY$5)/('Council Entry'!AY$6-'Council Entry'!AY$5),10*((IF('Council Entry'!AY$4="Logarithm",LN(0.001+IF(AND(ISNUMBER('Council Entry'!AY$8),ISNUMBER('Council Entry'!AY$9)),MAX(MIN('Council Entry'!AY197,'Council Entry'!AY$9),'Council Entry'!AY$8),'Council Entry'!AY197)),IF('Council Entry'!AY$4="Exponential",EXP(IF(AND(ISNUMBER('Council Entry'!AY$8),ISNUMBER('Council Entry'!AY$9)),MAX(MIN('Council Entry'!AY197,'Council Entry'!AY$9),'Council Entry'!AY$8),'Council Entry'!AY197)),IF(AND(ISNUMBER('Council Entry'!AY$8),ISNUMBER('Council Entry'!AY$9)),MAX(MIN('Council Entry'!AY197,'Council Entry'!AY$9),'Council Entry'!AY$8),'Council Entry'!AY197))))-'Council Entry'!AY$5)/('Council Entry'!AY$6-'Council Entry'!AY$5)),1))),"No data"))</f>
        <v/>
      </c>
      <c r="AZ197" s="13">
        <f>IF('Council Entry'!AZ197="","",IFERROR(MAX(0,MIN(10,ROUND(IF('Council Entry'!AZ$7="Decrease Risk",10-10*((IF('Council Entry'!AZ$4="Logarithm",LN(0.001+IF(AND(ISNUMBER('Council Entry'!AZ$8),ISNUMBER('Council Entry'!AZ$9)),MAX(MIN('Council Entry'!AZ197,'Council Entry'!AZ$9),'Council Entry'!AZ$8),'Council Entry'!AZ197)),IF('Council Entry'!AZ$4="Exponential",EXP(IF(AND(ISNUMBER('Council Entry'!AZ$8),ISNUMBER('Council Entry'!AZ$9)),MAX(MIN('Council Entry'!AZ197,'Council Entry'!AZ$9),'Council Entry'!AZ$8),'Council Entry'!AZ197)),IF(AND(ISNUMBER('Council Entry'!AZ$8),ISNUMBER('Council Entry'!AZ$9)),MAX(MIN('Council Entry'!AZ197,'Council Entry'!AZ$9),'Council Entry'!AZ$8),'Council Entry'!AZ197))))-'Council Entry'!AZ$5)/('Council Entry'!AZ$6-'Council Entry'!AZ$5),10*((IF('Council Entry'!AZ$4="Logarithm",LN(0.001+IF(AND(ISNUMBER('Council Entry'!AZ$8),ISNUMBER('Council Entry'!AZ$9)),MAX(MIN('Council Entry'!AZ197,'Council Entry'!AZ$9),'Council Entry'!AZ$8),'Council Entry'!AZ197)),IF('Council Entry'!AZ$4="Exponential",EXP(IF(AND(ISNUMBER('Council Entry'!AZ$8),ISNUMBER('Council Entry'!AZ$9)),MAX(MIN('Council Entry'!AZ197,'Council Entry'!AZ$9),'Council Entry'!AZ$8),'Council Entry'!AZ197)),IF(AND(ISNUMBER('Council Entry'!AZ$8),ISNUMBER('Council Entry'!AZ$9)),MAX(MIN('Council Entry'!AZ197,'Council Entry'!AZ$9),'Council Entry'!AZ$8),'Council Entry'!AZ197))))-'Council Entry'!AZ$5)/('Council Entry'!AZ$6-'Council Entry'!AZ$5)),1))),"No data"))</f>
        <v/>
      </c>
      <c r="BA197" s="13">
        <f>IF('Council Entry'!BA197="","",IFERROR(MAX(0,MIN(10,ROUND(IF('Council Entry'!BA$7="Decrease Risk",10-10*((IF('Council Entry'!BA$4="Logarithm",LN(0.001+IF(AND(ISNUMBER('Council Entry'!BA$8),ISNUMBER('Council Entry'!BA$9)),MAX(MIN('Council Entry'!BA197,'Council Entry'!BA$9),'Council Entry'!BA$8),'Council Entry'!BA197)),IF('Council Entry'!BA$4="Exponential",EXP(IF(AND(ISNUMBER('Council Entry'!BA$8),ISNUMBER('Council Entry'!BA$9)),MAX(MIN('Council Entry'!BA197,'Council Entry'!BA$9),'Council Entry'!BA$8),'Council Entry'!BA197)),IF(AND(ISNUMBER('Council Entry'!BA$8),ISNUMBER('Council Entry'!BA$9)),MAX(MIN('Council Entry'!BA197,'Council Entry'!BA$9),'Council Entry'!BA$8),'Council Entry'!BA197))))-'Council Entry'!BA$5)/('Council Entry'!BA$6-'Council Entry'!BA$5),10*((IF('Council Entry'!BA$4="Logarithm",LN(0.001+IF(AND(ISNUMBER('Council Entry'!BA$8),ISNUMBER('Council Entry'!BA$9)),MAX(MIN('Council Entry'!BA197,'Council Entry'!BA$9),'Council Entry'!BA$8),'Council Entry'!BA197)),IF('Council Entry'!BA$4="Exponential",EXP(IF(AND(ISNUMBER('Council Entry'!BA$8),ISNUMBER('Council Entry'!BA$9)),MAX(MIN('Council Entry'!BA197,'Council Entry'!BA$9),'Council Entry'!BA$8),'Council Entry'!BA197)),IF(AND(ISNUMBER('Council Entry'!BA$8),ISNUMBER('Council Entry'!BA$9)),MAX(MIN('Council Entry'!BA197,'Council Entry'!BA$9),'Council Entry'!BA$8),'Council Entry'!BA197))))-'Council Entry'!BA$5)/('Council Entry'!BA$6-'Council Entry'!BA$5)),1))),"No data"))</f>
        <v/>
      </c>
      <c r="BB197" s="13">
        <f>IF('Council Entry'!BB197="","",IFERROR(MAX(0,MIN(10,ROUND(IF('Council Entry'!BB$7="Decrease Risk",10-10*((IF('Council Entry'!BB$4="Logarithm",LN(0.001+IF(AND(ISNUMBER('Council Entry'!BB$8),ISNUMBER('Council Entry'!BB$9)),MAX(MIN('Council Entry'!BB197,'Council Entry'!BB$9),'Council Entry'!BB$8),'Council Entry'!BB197)),IF('Council Entry'!BB$4="Exponential",EXP(IF(AND(ISNUMBER('Council Entry'!BB$8),ISNUMBER('Council Entry'!BB$9)),MAX(MIN('Council Entry'!BB197,'Council Entry'!BB$9),'Council Entry'!BB$8),'Council Entry'!BB197)),IF(AND(ISNUMBER('Council Entry'!BB$8),ISNUMBER('Council Entry'!BB$9)),MAX(MIN('Council Entry'!BB197,'Council Entry'!BB$9),'Council Entry'!BB$8),'Council Entry'!BB197))))-'Council Entry'!BB$5)/('Council Entry'!BB$6-'Council Entry'!BB$5),10*((IF('Council Entry'!BB$4="Logarithm",LN(0.001+IF(AND(ISNUMBER('Council Entry'!BB$8),ISNUMBER('Council Entry'!BB$9)),MAX(MIN('Council Entry'!BB197,'Council Entry'!BB$9),'Council Entry'!BB$8),'Council Entry'!BB197)),IF('Council Entry'!BB$4="Exponential",EXP(IF(AND(ISNUMBER('Council Entry'!BB$8),ISNUMBER('Council Entry'!BB$9)),MAX(MIN('Council Entry'!BB197,'Council Entry'!BB$9),'Council Entry'!BB$8),'Council Entry'!BB197)),IF(AND(ISNUMBER('Council Entry'!BB$8),ISNUMBER('Council Entry'!BB$9)),MAX(MIN('Council Entry'!BB197,'Council Entry'!BB$9),'Council Entry'!BB$8),'Council Entry'!BB197))))-'Council Entry'!BB$5)/('Council Entry'!BB$6-'Council Entry'!BB$5)),1))),"No data"))</f>
        <v/>
      </c>
      <c r="BC197" s="13">
        <f>IF('Council Entry'!BC197="","",IFERROR(MAX(0,MIN(10,ROUND(IF('Council Entry'!BC$7="Decrease Risk",10-10*((IF('Council Entry'!BC$4="Logarithm",LN(0.001+IF(AND(ISNUMBER('Council Entry'!BC$8),ISNUMBER('Council Entry'!BC$9)),MAX(MIN('Council Entry'!BC197,'Council Entry'!BC$9),'Council Entry'!BC$8),'Council Entry'!BC197)),IF('Council Entry'!BC$4="Exponential",EXP(IF(AND(ISNUMBER('Council Entry'!BC$8),ISNUMBER('Council Entry'!BC$9)),MAX(MIN('Council Entry'!BC197,'Council Entry'!BC$9),'Council Entry'!BC$8),'Council Entry'!BC197)),IF(AND(ISNUMBER('Council Entry'!BC$8),ISNUMBER('Council Entry'!BC$9)),MAX(MIN('Council Entry'!BC197,'Council Entry'!BC$9),'Council Entry'!BC$8),'Council Entry'!BC197))))-'Council Entry'!BC$5)/('Council Entry'!BC$6-'Council Entry'!BC$5),10*((IF('Council Entry'!BC$4="Logarithm",LN(0.001+IF(AND(ISNUMBER('Council Entry'!BC$8),ISNUMBER('Council Entry'!BC$9)),MAX(MIN('Council Entry'!BC197,'Council Entry'!BC$9),'Council Entry'!BC$8),'Council Entry'!BC197)),IF('Council Entry'!BC$4="Exponential",EXP(IF(AND(ISNUMBER('Council Entry'!BC$8),ISNUMBER('Council Entry'!BC$9)),MAX(MIN('Council Entry'!BC197,'Council Entry'!BC$9),'Council Entry'!BC$8),'Council Entry'!BC197)),IF(AND(ISNUMBER('Council Entry'!BC$8),ISNUMBER('Council Entry'!BC$9)),MAX(MIN('Council Entry'!BC197,'Council Entry'!BC$9),'Council Entry'!BC$8),'Council Entry'!BC197))))-'Council Entry'!BC$5)/('Council Entry'!BC$6-'Council Entry'!BC$5)),1))),"No data"))</f>
        <v/>
      </c>
      <c r="BD197" s="13">
        <f>IF('Council Entry'!BD197="","",IFERROR(MAX(0,MIN(10,ROUND(IF('Council Entry'!BD$7="Decrease Risk",10-10*((IF('Council Entry'!BD$4="Logarithm",LN(0.001+IF(AND(ISNUMBER('Council Entry'!BD$8),ISNUMBER('Council Entry'!BD$9)),MAX(MIN('Council Entry'!BD197,'Council Entry'!BD$9),'Council Entry'!BD$8),'Council Entry'!BD197)),IF('Council Entry'!BD$4="Exponential",EXP(IF(AND(ISNUMBER('Council Entry'!BD$8),ISNUMBER('Council Entry'!BD$9)),MAX(MIN('Council Entry'!BD197,'Council Entry'!BD$9),'Council Entry'!BD$8),'Council Entry'!BD197)),IF(AND(ISNUMBER('Council Entry'!BD$8),ISNUMBER('Council Entry'!BD$9)),MAX(MIN('Council Entry'!BD197,'Council Entry'!BD$9),'Council Entry'!BD$8),'Council Entry'!BD197))))-'Council Entry'!BD$5)/('Council Entry'!BD$6-'Council Entry'!BD$5),10*((IF('Council Entry'!BD$4="Logarithm",LN(0.001+IF(AND(ISNUMBER('Council Entry'!BD$8),ISNUMBER('Council Entry'!BD$9)),MAX(MIN('Council Entry'!BD197,'Council Entry'!BD$9),'Council Entry'!BD$8),'Council Entry'!BD197)),IF('Council Entry'!BD$4="Exponential",EXP(IF(AND(ISNUMBER('Council Entry'!BD$8),ISNUMBER('Council Entry'!BD$9)),MAX(MIN('Council Entry'!BD197,'Council Entry'!BD$9),'Council Entry'!BD$8),'Council Entry'!BD197)),IF(AND(ISNUMBER('Council Entry'!BD$8),ISNUMBER('Council Entry'!BD$9)),MAX(MIN('Council Entry'!BD197,'Council Entry'!BD$9),'Council Entry'!BD$8),'Council Entry'!BD197))))-'Council Entry'!BD$5)/('Council Entry'!BD$6-'Council Entry'!BD$5)),1))),"No data"))</f>
        <v/>
      </c>
    </row>
    <row r="198">
      <c r="A198" t="inlineStr">
        <is>
          <t>Tanga</t>
        </is>
      </c>
      <c r="B198" t="inlineStr">
        <is>
          <t>Kilindi District</t>
        </is>
      </c>
      <c r="C198" t="inlineStr">
        <is>
          <t>C032</t>
        </is>
      </c>
      <c r="D198" s="13">
        <f>IF('Council Entry'!D198="","",IFERROR(MAX(0,MIN(10,ROUND(IF('Council Entry'!D$7="Decrease Risk",10-10*((IF('Council Entry'!D$4="Logarithm",LN(0.001+IF(AND(ISNUMBER('Council Entry'!D$8),ISNUMBER('Council Entry'!D$9)),MAX(MIN('Council Entry'!D198,'Council Entry'!D$9),'Council Entry'!D$8),'Council Entry'!D198)),IF('Council Entry'!D$4="Exponential",EXP(IF(AND(ISNUMBER('Council Entry'!D$8),ISNUMBER('Council Entry'!D$9)),MAX(MIN('Council Entry'!D198,'Council Entry'!D$9),'Council Entry'!D$8),'Council Entry'!D198)),IF(AND(ISNUMBER('Council Entry'!D$8),ISNUMBER('Council Entry'!D$9)),MAX(MIN('Council Entry'!D198,'Council Entry'!D$9),'Council Entry'!D$8),'Council Entry'!D198))))-'Council Entry'!D$5)/('Council Entry'!D$6-'Council Entry'!D$5),10*((IF('Council Entry'!D$4="Logarithm",LN(0.001+IF(AND(ISNUMBER('Council Entry'!D$8),ISNUMBER('Council Entry'!D$9)),MAX(MIN('Council Entry'!D198,'Council Entry'!D$9),'Council Entry'!D$8),'Council Entry'!D198)),IF('Council Entry'!D$4="Exponential",EXP(IF(AND(ISNUMBER('Council Entry'!D$8),ISNUMBER('Council Entry'!D$9)),MAX(MIN('Council Entry'!D198,'Council Entry'!D$9),'Council Entry'!D$8),'Council Entry'!D198)),IF(AND(ISNUMBER('Council Entry'!D$8),ISNUMBER('Council Entry'!D$9)),MAX(MIN('Council Entry'!D198,'Council Entry'!D$9),'Council Entry'!D$8),'Council Entry'!D198))))-'Council Entry'!D$5)/('Council Entry'!D$6-'Council Entry'!D$5)),1))),"No data"))</f>
        <v/>
      </c>
      <c r="E198" s="13">
        <f>IF('Council Entry'!E198="","",IFERROR(MAX(0,MIN(10,ROUND(IF('Council Entry'!E$7="Decrease Risk",10-10*((IF('Council Entry'!E$4="Logarithm",LN(0.001+IF(AND(ISNUMBER('Council Entry'!E$8),ISNUMBER('Council Entry'!E$9)),MAX(MIN('Council Entry'!E198,'Council Entry'!E$9),'Council Entry'!E$8),'Council Entry'!E198)),IF('Council Entry'!E$4="Exponential",EXP(IF(AND(ISNUMBER('Council Entry'!E$8),ISNUMBER('Council Entry'!E$9)),MAX(MIN('Council Entry'!E198,'Council Entry'!E$9),'Council Entry'!E$8),'Council Entry'!E198)),IF(AND(ISNUMBER('Council Entry'!E$8),ISNUMBER('Council Entry'!E$9)),MAX(MIN('Council Entry'!E198,'Council Entry'!E$9),'Council Entry'!E$8),'Council Entry'!E198))))-'Council Entry'!E$5)/('Council Entry'!E$6-'Council Entry'!E$5),10*((IF('Council Entry'!E$4="Logarithm",LN(0.001+IF(AND(ISNUMBER('Council Entry'!E$8),ISNUMBER('Council Entry'!E$9)),MAX(MIN('Council Entry'!E198,'Council Entry'!E$9),'Council Entry'!E$8),'Council Entry'!E198)),IF('Council Entry'!E$4="Exponential",EXP(IF(AND(ISNUMBER('Council Entry'!E$8),ISNUMBER('Council Entry'!E$9)),MAX(MIN('Council Entry'!E198,'Council Entry'!E$9),'Council Entry'!E$8),'Council Entry'!E198)),IF(AND(ISNUMBER('Council Entry'!E$8),ISNUMBER('Council Entry'!E$9)),MAX(MIN('Council Entry'!E198,'Council Entry'!E$9),'Council Entry'!E$8),'Council Entry'!E198))))-'Council Entry'!E$5)/('Council Entry'!E$6-'Council Entry'!E$5)),1))),"No data"))</f>
        <v/>
      </c>
      <c r="F198" s="13">
        <f>IF('Council Entry'!F198="","",IFERROR(MAX(0,MIN(10,ROUND(IF('Council Entry'!F$7="Decrease Risk",10-10*((IF('Council Entry'!F$4="Logarithm",LN(0.001+IF(AND(ISNUMBER('Council Entry'!F$8),ISNUMBER('Council Entry'!F$9)),MAX(MIN('Council Entry'!F198,'Council Entry'!F$9),'Council Entry'!F$8),'Council Entry'!F198)),IF('Council Entry'!F$4="Exponential",EXP(IF(AND(ISNUMBER('Council Entry'!F$8),ISNUMBER('Council Entry'!F$9)),MAX(MIN('Council Entry'!F198,'Council Entry'!F$9),'Council Entry'!F$8),'Council Entry'!F198)),IF(AND(ISNUMBER('Council Entry'!F$8),ISNUMBER('Council Entry'!F$9)),MAX(MIN('Council Entry'!F198,'Council Entry'!F$9),'Council Entry'!F$8),'Council Entry'!F198))))-'Council Entry'!F$5)/('Council Entry'!F$6-'Council Entry'!F$5),10*((IF('Council Entry'!F$4="Logarithm",LN(0.001+IF(AND(ISNUMBER('Council Entry'!F$8),ISNUMBER('Council Entry'!F$9)),MAX(MIN('Council Entry'!F198,'Council Entry'!F$9),'Council Entry'!F$8),'Council Entry'!F198)),IF('Council Entry'!F$4="Exponential",EXP(IF(AND(ISNUMBER('Council Entry'!F$8),ISNUMBER('Council Entry'!F$9)),MAX(MIN('Council Entry'!F198,'Council Entry'!F$9),'Council Entry'!F$8),'Council Entry'!F198)),IF(AND(ISNUMBER('Council Entry'!F$8),ISNUMBER('Council Entry'!F$9)),MAX(MIN('Council Entry'!F198,'Council Entry'!F$9),'Council Entry'!F$8),'Council Entry'!F198))))-'Council Entry'!F$5)/('Council Entry'!F$6-'Council Entry'!F$5)),1))),"No data"))</f>
        <v/>
      </c>
      <c r="G198" s="13">
        <f>IF('Council Entry'!G198="","",IFERROR(MAX(0,MIN(10,ROUND(IF('Council Entry'!G$7="Decrease Risk",10-10*((IF('Council Entry'!G$4="Logarithm",LN(0.001+IF(AND(ISNUMBER('Council Entry'!G$8),ISNUMBER('Council Entry'!G$9)),MAX(MIN('Council Entry'!G198,'Council Entry'!G$9),'Council Entry'!G$8),'Council Entry'!G198)),IF('Council Entry'!G$4="Exponential",EXP(IF(AND(ISNUMBER('Council Entry'!G$8),ISNUMBER('Council Entry'!G$9)),MAX(MIN('Council Entry'!G198,'Council Entry'!G$9),'Council Entry'!G$8),'Council Entry'!G198)),IF(AND(ISNUMBER('Council Entry'!G$8),ISNUMBER('Council Entry'!G$9)),MAX(MIN('Council Entry'!G198,'Council Entry'!G$9),'Council Entry'!G$8),'Council Entry'!G198))))-'Council Entry'!G$5)/('Council Entry'!G$6-'Council Entry'!G$5),10*((IF('Council Entry'!G$4="Logarithm",LN(0.001+IF(AND(ISNUMBER('Council Entry'!G$8),ISNUMBER('Council Entry'!G$9)),MAX(MIN('Council Entry'!G198,'Council Entry'!G$9),'Council Entry'!G$8),'Council Entry'!G198)),IF('Council Entry'!G$4="Exponential",EXP(IF(AND(ISNUMBER('Council Entry'!G$8),ISNUMBER('Council Entry'!G$9)),MAX(MIN('Council Entry'!G198,'Council Entry'!G$9),'Council Entry'!G$8),'Council Entry'!G198)),IF(AND(ISNUMBER('Council Entry'!G$8),ISNUMBER('Council Entry'!G$9)),MAX(MIN('Council Entry'!G198,'Council Entry'!G$9),'Council Entry'!G$8),'Council Entry'!G198))))-'Council Entry'!G$5)/('Council Entry'!G$6-'Council Entry'!G$5)),1))),"No data"))</f>
        <v/>
      </c>
      <c r="H198" s="13">
        <f>IF('Council Entry'!H198="","",IFERROR(MAX(0,MIN(10,ROUND(IF('Council Entry'!H$7="Decrease Risk",10-10*((IF('Council Entry'!H$4="Logarithm",LN(0.001+IF(AND(ISNUMBER('Council Entry'!H$8),ISNUMBER('Council Entry'!H$9)),MAX(MIN('Council Entry'!H198,'Council Entry'!H$9),'Council Entry'!H$8),'Council Entry'!H198)),IF('Council Entry'!H$4="Exponential",EXP(IF(AND(ISNUMBER('Council Entry'!H$8),ISNUMBER('Council Entry'!H$9)),MAX(MIN('Council Entry'!H198,'Council Entry'!H$9),'Council Entry'!H$8),'Council Entry'!H198)),IF(AND(ISNUMBER('Council Entry'!H$8),ISNUMBER('Council Entry'!H$9)),MAX(MIN('Council Entry'!H198,'Council Entry'!H$9),'Council Entry'!H$8),'Council Entry'!H198))))-'Council Entry'!H$5)/('Council Entry'!H$6-'Council Entry'!H$5),10*((IF('Council Entry'!H$4="Logarithm",LN(0.001+IF(AND(ISNUMBER('Council Entry'!H$8),ISNUMBER('Council Entry'!H$9)),MAX(MIN('Council Entry'!H198,'Council Entry'!H$9),'Council Entry'!H$8),'Council Entry'!H198)),IF('Council Entry'!H$4="Exponential",EXP(IF(AND(ISNUMBER('Council Entry'!H$8),ISNUMBER('Council Entry'!H$9)),MAX(MIN('Council Entry'!H198,'Council Entry'!H$9),'Council Entry'!H$8),'Council Entry'!H198)),IF(AND(ISNUMBER('Council Entry'!H$8),ISNUMBER('Council Entry'!H$9)),MAX(MIN('Council Entry'!H198,'Council Entry'!H$9),'Council Entry'!H$8),'Council Entry'!H198))))-'Council Entry'!H$5)/('Council Entry'!H$6-'Council Entry'!H$5)),1))),"No data"))</f>
        <v/>
      </c>
      <c r="I198" s="13">
        <f>IF('Council Entry'!I198="","",IFERROR(MAX(0,MIN(10,ROUND(IF('Council Entry'!I$7="Decrease Risk",10-10*((IF('Council Entry'!I$4="Logarithm",LN(0.001+IF(AND(ISNUMBER('Council Entry'!I$8),ISNUMBER('Council Entry'!I$9)),MAX(MIN('Council Entry'!I198,'Council Entry'!I$9),'Council Entry'!I$8),'Council Entry'!I198)),IF('Council Entry'!I$4="Exponential",EXP(IF(AND(ISNUMBER('Council Entry'!I$8),ISNUMBER('Council Entry'!I$9)),MAX(MIN('Council Entry'!I198,'Council Entry'!I$9),'Council Entry'!I$8),'Council Entry'!I198)),IF(AND(ISNUMBER('Council Entry'!I$8),ISNUMBER('Council Entry'!I$9)),MAX(MIN('Council Entry'!I198,'Council Entry'!I$9),'Council Entry'!I$8),'Council Entry'!I198))))-'Council Entry'!I$5)/('Council Entry'!I$6-'Council Entry'!I$5),10*((IF('Council Entry'!I$4="Logarithm",LN(0.001+IF(AND(ISNUMBER('Council Entry'!I$8),ISNUMBER('Council Entry'!I$9)),MAX(MIN('Council Entry'!I198,'Council Entry'!I$9),'Council Entry'!I$8),'Council Entry'!I198)),IF('Council Entry'!I$4="Exponential",EXP(IF(AND(ISNUMBER('Council Entry'!I$8),ISNUMBER('Council Entry'!I$9)),MAX(MIN('Council Entry'!I198,'Council Entry'!I$9),'Council Entry'!I$8),'Council Entry'!I198)),IF(AND(ISNUMBER('Council Entry'!I$8),ISNUMBER('Council Entry'!I$9)),MAX(MIN('Council Entry'!I198,'Council Entry'!I$9),'Council Entry'!I$8),'Council Entry'!I198))))-'Council Entry'!I$5)/('Council Entry'!I$6-'Council Entry'!I$5)),1))),"No data"))</f>
        <v/>
      </c>
      <c r="J198" s="13">
        <f>IF('Council Entry'!J198="","",IFERROR(MAX(0,MIN(10,ROUND(IF('Council Entry'!J$7="Decrease Risk",10-10*((IF('Council Entry'!J$4="Logarithm",LN(0.001+IF(AND(ISNUMBER('Council Entry'!J$8),ISNUMBER('Council Entry'!J$9)),MAX(MIN('Council Entry'!J198,'Council Entry'!J$9),'Council Entry'!J$8),'Council Entry'!J198)),IF('Council Entry'!J$4="Exponential",EXP(IF(AND(ISNUMBER('Council Entry'!J$8),ISNUMBER('Council Entry'!J$9)),MAX(MIN('Council Entry'!J198,'Council Entry'!J$9),'Council Entry'!J$8),'Council Entry'!J198)),IF(AND(ISNUMBER('Council Entry'!J$8),ISNUMBER('Council Entry'!J$9)),MAX(MIN('Council Entry'!J198,'Council Entry'!J$9),'Council Entry'!J$8),'Council Entry'!J198))))-'Council Entry'!J$5)/('Council Entry'!J$6-'Council Entry'!J$5),10*((IF('Council Entry'!J$4="Logarithm",LN(0.001+IF(AND(ISNUMBER('Council Entry'!J$8),ISNUMBER('Council Entry'!J$9)),MAX(MIN('Council Entry'!J198,'Council Entry'!J$9),'Council Entry'!J$8),'Council Entry'!J198)),IF('Council Entry'!J$4="Exponential",EXP(IF(AND(ISNUMBER('Council Entry'!J$8),ISNUMBER('Council Entry'!J$9)),MAX(MIN('Council Entry'!J198,'Council Entry'!J$9),'Council Entry'!J$8),'Council Entry'!J198)),IF(AND(ISNUMBER('Council Entry'!J$8),ISNUMBER('Council Entry'!J$9)),MAX(MIN('Council Entry'!J198,'Council Entry'!J$9),'Council Entry'!J$8),'Council Entry'!J198))))-'Council Entry'!J$5)/('Council Entry'!J$6-'Council Entry'!J$5)),1))),"No data"))</f>
        <v/>
      </c>
      <c r="K198" s="13">
        <f>IF('Council Entry'!K198="","",IFERROR(MAX(0,MIN(10,ROUND(IF('Council Entry'!K$7="Decrease Risk",10-10*((IF('Council Entry'!K$4="Logarithm",LN(0.001+IF(AND(ISNUMBER('Council Entry'!K$8),ISNUMBER('Council Entry'!K$9)),MAX(MIN('Council Entry'!K198,'Council Entry'!K$9),'Council Entry'!K$8),'Council Entry'!K198)),IF('Council Entry'!K$4="Exponential",EXP(IF(AND(ISNUMBER('Council Entry'!K$8),ISNUMBER('Council Entry'!K$9)),MAX(MIN('Council Entry'!K198,'Council Entry'!K$9),'Council Entry'!K$8),'Council Entry'!K198)),IF(AND(ISNUMBER('Council Entry'!K$8),ISNUMBER('Council Entry'!K$9)),MAX(MIN('Council Entry'!K198,'Council Entry'!K$9),'Council Entry'!K$8),'Council Entry'!K198))))-'Council Entry'!K$5)/('Council Entry'!K$6-'Council Entry'!K$5),10*((IF('Council Entry'!K$4="Logarithm",LN(0.001+IF(AND(ISNUMBER('Council Entry'!K$8),ISNUMBER('Council Entry'!K$9)),MAX(MIN('Council Entry'!K198,'Council Entry'!K$9),'Council Entry'!K$8),'Council Entry'!K198)),IF('Council Entry'!K$4="Exponential",EXP(IF(AND(ISNUMBER('Council Entry'!K$8),ISNUMBER('Council Entry'!K$9)),MAX(MIN('Council Entry'!K198,'Council Entry'!K$9),'Council Entry'!K$8),'Council Entry'!K198)),IF(AND(ISNUMBER('Council Entry'!K$8),ISNUMBER('Council Entry'!K$9)),MAX(MIN('Council Entry'!K198,'Council Entry'!K$9),'Council Entry'!K$8),'Council Entry'!K198))))-'Council Entry'!K$5)/('Council Entry'!K$6-'Council Entry'!K$5)),1))),"No data"))</f>
        <v/>
      </c>
      <c r="L198" s="13">
        <f>IF('Council Entry'!L198="","",IFERROR(MAX(0,MIN(10,ROUND(IF('Council Entry'!L$7="Decrease Risk",10-10*((IF('Council Entry'!L$4="Logarithm",LN(0.001+IF(AND(ISNUMBER('Council Entry'!L$8),ISNUMBER('Council Entry'!L$9)),MAX(MIN('Council Entry'!L198,'Council Entry'!L$9),'Council Entry'!L$8),'Council Entry'!L198)),IF('Council Entry'!L$4="Exponential",EXP(IF(AND(ISNUMBER('Council Entry'!L$8),ISNUMBER('Council Entry'!L$9)),MAX(MIN('Council Entry'!L198,'Council Entry'!L$9),'Council Entry'!L$8),'Council Entry'!L198)),IF(AND(ISNUMBER('Council Entry'!L$8),ISNUMBER('Council Entry'!L$9)),MAX(MIN('Council Entry'!L198,'Council Entry'!L$9),'Council Entry'!L$8),'Council Entry'!L198))))-'Council Entry'!L$5)/('Council Entry'!L$6-'Council Entry'!L$5),10*((IF('Council Entry'!L$4="Logarithm",LN(0.001+IF(AND(ISNUMBER('Council Entry'!L$8),ISNUMBER('Council Entry'!L$9)),MAX(MIN('Council Entry'!L198,'Council Entry'!L$9),'Council Entry'!L$8),'Council Entry'!L198)),IF('Council Entry'!L$4="Exponential",EXP(IF(AND(ISNUMBER('Council Entry'!L$8),ISNUMBER('Council Entry'!L$9)),MAX(MIN('Council Entry'!L198,'Council Entry'!L$9),'Council Entry'!L$8),'Council Entry'!L198)),IF(AND(ISNUMBER('Council Entry'!L$8),ISNUMBER('Council Entry'!L$9)),MAX(MIN('Council Entry'!L198,'Council Entry'!L$9),'Council Entry'!L$8),'Council Entry'!L198))))-'Council Entry'!L$5)/('Council Entry'!L$6-'Council Entry'!L$5)),1))),"No data"))</f>
        <v/>
      </c>
      <c r="M198" s="13">
        <f>IF('Council Entry'!M198="","",IFERROR(MAX(0,MIN(10,ROUND(IF('Council Entry'!M$7="Decrease Risk",10-10*((IF('Council Entry'!M$4="Logarithm",LN(0.001+IF(AND(ISNUMBER('Council Entry'!M$8),ISNUMBER('Council Entry'!M$9)),MAX(MIN('Council Entry'!M198,'Council Entry'!M$9),'Council Entry'!M$8),'Council Entry'!M198)),IF('Council Entry'!M$4="Exponential",EXP(IF(AND(ISNUMBER('Council Entry'!M$8),ISNUMBER('Council Entry'!M$9)),MAX(MIN('Council Entry'!M198,'Council Entry'!M$9),'Council Entry'!M$8),'Council Entry'!M198)),IF(AND(ISNUMBER('Council Entry'!M$8),ISNUMBER('Council Entry'!M$9)),MAX(MIN('Council Entry'!M198,'Council Entry'!M$9),'Council Entry'!M$8),'Council Entry'!M198))))-'Council Entry'!M$5)/('Council Entry'!M$6-'Council Entry'!M$5),10*((IF('Council Entry'!M$4="Logarithm",LN(0.001+IF(AND(ISNUMBER('Council Entry'!M$8),ISNUMBER('Council Entry'!M$9)),MAX(MIN('Council Entry'!M198,'Council Entry'!M$9),'Council Entry'!M$8),'Council Entry'!M198)),IF('Council Entry'!M$4="Exponential",EXP(IF(AND(ISNUMBER('Council Entry'!M$8),ISNUMBER('Council Entry'!M$9)),MAX(MIN('Council Entry'!M198,'Council Entry'!M$9),'Council Entry'!M$8),'Council Entry'!M198)),IF(AND(ISNUMBER('Council Entry'!M$8),ISNUMBER('Council Entry'!M$9)),MAX(MIN('Council Entry'!M198,'Council Entry'!M$9),'Council Entry'!M$8),'Council Entry'!M198))))-'Council Entry'!M$5)/('Council Entry'!M$6-'Council Entry'!M$5)),1))),"No data"))</f>
        <v/>
      </c>
      <c r="N198" s="13">
        <f>IF('Council Entry'!N198="","",IFERROR(MAX(0,MIN(10,ROUND(IF('Council Entry'!N$7="Decrease Risk",10-10*((IF('Council Entry'!N$4="Logarithm",LN(0.001+IF(AND(ISNUMBER('Council Entry'!N$8),ISNUMBER('Council Entry'!N$9)),MAX(MIN('Council Entry'!N198,'Council Entry'!N$9),'Council Entry'!N$8),'Council Entry'!N198)),IF('Council Entry'!N$4="Exponential",EXP(IF(AND(ISNUMBER('Council Entry'!N$8),ISNUMBER('Council Entry'!N$9)),MAX(MIN('Council Entry'!N198,'Council Entry'!N$9),'Council Entry'!N$8),'Council Entry'!N198)),IF(AND(ISNUMBER('Council Entry'!N$8),ISNUMBER('Council Entry'!N$9)),MAX(MIN('Council Entry'!N198,'Council Entry'!N$9),'Council Entry'!N$8),'Council Entry'!N198))))-'Council Entry'!N$5)/('Council Entry'!N$6-'Council Entry'!N$5),10*((IF('Council Entry'!N$4="Logarithm",LN(0.001+IF(AND(ISNUMBER('Council Entry'!N$8),ISNUMBER('Council Entry'!N$9)),MAX(MIN('Council Entry'!N198,'Council Entry'!N$9),'Council Entry'!N$8),'Council Entry'!N198)),IF('Council Entry'!N$4="Exponential",EXP(IF(AND(ISNUMBER('Council Entry'!N$8),ISNUMBER('Council Entry'!N$9)),MAX(MIN('Council Entry'!N198,'Council Entry'!N$9),'Council Entry'!N$8),'Council Entry'!N198)),IF(AND(ISNUMBER('Council Entry'!N$8),ISNUMBER('Council Entry'!N$9)),MAX(MIN('Council Entry'!N198,'Council Entry'!N$9),'Council Entry'!N$8),'Council Entry'!N198))))-'Council Entry'!N$5)/('Council Entry'!N$6-'Council Entry'!N$5)),1))),"No data"))</f>
        <v/>
      </c>
      <c r="O198" s="13">
        <f>IF('Council Entry'!O198="","",IFERROR(MAX(0,MIN(10,ROUND(IF('Council Entry'!O$7="Decrease Risk",10-10*((IF('Council Entry'!O$4="Logarithm",LN(0.001+IF(AND(ISNUMBER('Council Entry'!O$8),ISNUMBER('Council Entry'!O$9)),MAX(MIN('Council Entry'!O198,'Council Entry'!O$9),'Council Entry'!O$8),'Council Entry'!O198)),IF('Council Entry'!O$4="Exponential",EXP(IF(AND(ISNUMBER('Council Entry'!O$8),ISNUMBER('Council Entry'!O$9)),MAX(MIN('Council Entry'!O198,'Council Entry'!O$9),'Council Entry'!O$8),'Council Entry'!O198)),IF(AND(ISNUMBER('Council Entry'!O$8),ISNUMBER('Council Entry'!O$9)),MAX(MIN('Council Entry'!O198,'Council Entry'!O$9),'Council Entry'!O$8),'Council Entry'!O198))))-'Council Entry'!O$5)/('Council Entry'!O$6-'Council Entry'!O$5),10*((IF('Council Entry'!O$4="Logarithm",LN(0.001+IF(AND(ISNUMBER('Council Entry'!O$8),ISNUMBER('Council Entry'!O$9)),MAX(MIN('Council Entry'!O198,'Council Entry'!O$9),'Council Entry'!O$8),'Council Entry'!O198)),IF('Council Entry'!O$4="Exponential",EXP(IF(AND(ISNUMBER('Council Entry'!O$8),ISNUMBER('Council Entry'!O$9)),MAX(MIN('Council Entry'!O198,'Council Entry'!O$9),'Council Entry'!O$8),'Council Entry'!O198)),IF(AND(ISNUMBER('Council Entry'!O$8),ISNUMBER('Council Entry'!O$9)),MAX(MIN('Council Entry'!O198,'Council Entry'!O$9),'Council Entry'!O$8),'Council Entry'!O198))))-'Council Entry'!O$5)/('Council Entry'!O$6-'Council Entry'!O$5)),1))),"No data"))</f>
        <v/>
      </c>
      <c r="P198" s="13">
        <f>IF('Council Entry'!P198="","",IFERROR(MAX(0,MIN(10,ROUND(IF('Council Entry'!P$7="Decrease Risk",10-10*((IF('Council Entry'!P$4="Logarithm",LN(0.001+IF(AND(ISNUMBER('Council Entry'!P$8),ISNUMBER('Council Entry'!P$9)),MAX(MIN('Council Entry'!P198,'Council Entry'!P$9),'Council Entry'!P$8),'Council Entry'!P198)),IF('Council Entry'!P$4="Exponential",EXP(IF(AND(ISNUMBER('Council Entry'!P$8),ISNUMBER('Council Entry'!P$9)),MAX(MIN('Council Entry'!P198,'Council Entry'!P$9),'Council Entry'!P$8),'Council Entry'!P198)),IF(AND(ISNUMBER('Council Entry'!P$8),ISNUMBER('Council Entry'!P$9)),MAX(MIN('Council Entry'!P198,'Council Entry'!P$9),'Council Entry'!P$8),'Council Entry'!P198))))-'Council Entry'!P$5)/('Council Entry'!P$6-'Council Entry'!P$5),10*((IF('Council Entry'!P$4="Logarithm",LN(0.001+IF(AND(ISNUMBER('Council Entry'!P$8),ISNUMBER('Council Entry'!P$9)),MAX(MIN('Council Entry'!P198,'Council Entry'!P$9),'Council Entry'!P$8),'Council Entry'!P198)),IF('Council Entry'!P$4="Exponential",EXP(IF(AND(ISNUMBER('Council Entry'!P$8),ISNUMBER('Council Entry'!P$9)),MAX(MIN('Council Entry'!P198,'Council Entry'!P$9),'Council Entry'!P$8),'Council Entry'!P198)),IF(AND(ISNUMBER('Council Entry'!P$8),ISNUMBER('Council Entry'!P$9)),MAX(MIN('Council Entry'!P198,'Council Entry'!P$9),'Council Entry'!P$8),'Council Entry'!P198))))-'Council Entry'!P$5)/('Council Entry'!P$6-'Council Entry'!P$5)),1))),"No data"))</f>
        <v/>
      </c>
      <c r="Q198" s="13">
        <f>IF('Council Entry'!Q198="","",IFERROR(MAX(0,MIN(10,ROUND(IF('Council Entry'!Q$7="Decrease Risk",10-10*((IF('Council Entry'!Q$4="Logarithm",LN(0.001+IF(AND(ISNUMBER('Council Entry'!Q$8),ISNUMBER('Council Entry'!Q$9)),MAX(MIN('Council Entry'!Q198,'Council Entry'!Q$9),'Council Entry'!Q$8),'Council Entry'!Q198)),IF('Council Entry'!Q$4="Exponential",EXP(IF(AND(ISNUMBER('Council Entry'!Q$8),ISNUMBER('Council Entry'!Q$9)),MAX(MIN('Council Entry'!Q198,'Council Entry'!Q$9),'Council Entry'!Q$8),'Council Entry'!Q198)),IF(AND(ISNUMBER('Council Entry'!Q$8),ISNUMBER('Council Entry'!Q$9)),MAX(MIN('Council Entry'!Q198,'Council Entry'!Q$9),'Council Entry'!Q$8),'Council Entry'!Q198))))-'Council Entry'!Q$5)/('Council Entry'!Q$6-'Council Entry'!Q$5),10*((IF('Council Entry'!Q$4="Logarithm",LN(0.001+IF(AND(ISNUMBER('Council Entry'!Q$8),ISNUMBER('Council Entry'!Q$9)),MAX(MIN('Council Entry'!Q198,'Council Entry'!Q$9),'Council Entry'!Q$8),'Council Entry'!Q198)),IF('Council Entry'!Q$4="Exponential",EXP(IF(AND(ISNUMBER('Council Entry'!Q$8),ISNUMBER('Council Entry'!Q$9)),MAX(MIN('Council Entry'!Q198,'Council Entry'!Q$9),'Council Entry'!Q$8),'Council Entry'!Q198)),IF(AND(ISNUMBER('Council Entry'!Q$8),ISNUMBER('Council Entry'!Q$9)),MAX(MIN('Council Entry'!Q198,'Council Entry'!Q$9),'Council Entry'!Q$8),'Council Entry'!Q198))))-'Council Entry'!Q$5)/('Council Entry'!Q$6-'Council Entry'!Q$5)),1))),"No data"))</f>
        <v/>
      </c>
      <c r="R198" s="13">
        <f>IF('Council Entry'!R198="","",IFERROR(MAX(0,MIN(10,ROUND(IF('Council Entry'!R$7="Decrease Risk",10-10*((IF('Council Entry'!R$4="Logarithm",LN(0.001+IF(AND(ISNUMBER('Council Entry'!R$8),ISNUMBER('Council Entry'!R$9)),MAX(MIN('Council Entry'!R198,'Council Entry'!R$9),'Council Entry'!R$8),'Council Entry'!R198)),IF('Council Entry'!R$4="Exponential",EXP(IF(AND(ISNUMBER('Council Entry'!R$8),ISNUMBER('Council Entry'!R$9)),MAX(MIN('Council Entry'!R198,'Council Entry'!R$9),'Council Entry'!R$8),'Council Entry'!R198)),IF(AND(ISNUMBER('Council Entry'!R$8),ISNUMBER('Council Entry'!R$9)),MAX(MIN('Council Entry'!R198,'Council Entry'!R$9),'Council Entry'!R$8),'Council Entry'!R198))))-'Council Entry'!R$5)/('Council Entry'!R$6-'Council Entry'!R$5),10*((IF('Council Entry'!R$4="Logarithm",LN(0.001+IF(AND(ISNUMBER('Council Entry'!R$8),ISNUMBER('Council Entry'!R$9)),MAX(MIN('Council Entry'!R198,'Council Entry'!R$9),'Council Entry'!R$8),'Council Entry'!R198)),IF('Council Entry'!R$4="Exponential",EXP(IF(AND(ISNUMBER('Council Entry'!R$8),ISNUMBER('Council Entry'!R$9)),MAX(MIN('Council Entry'!R198,'Council Entry'!R$9),'Council Entry'!R$8),'Council Entry'!R198)),IF(AND(ISNUMBER('Council Entry'!R$8),ISNUMBER('Council Entry'!R$9)),MAX(MIN('Council Entry'!R198,'Council Entry'!R$9),'Council Entry'!R$8),'Council Entry'!R198))))-'Council Entry'!R$5)/('Council Entry'!R$6-'Council Entry'!R$5)),1))),"No data"))</f>
        <v/>
      </c>
      <c r="S198" s="13">
        <f>IF('Council Entry'!S198="","",IFERROR(MAX(0,MIN(10,ROUND(IF('Council Entry'!S$7="Decrease Risk",10-10*((IF('Council Entry'!S$4="Logarithm",LN(0.001+IF(AND(ISNUMBER('Council Entry'!S$8),ISNUMBER('Council Entry'!S$9)),MAX(MIN('Council Entry'!S198,'Council Entry'!S$9),'Council Entry'!S$8),'Council Entry'!S198)),IF('Council Entry'!S$4="Exponential",EXP(IF(AND(ISNUMBER('Council Entry'!S$8),ISNUMBER('Council Entry'!S$9)),MAX(MIN('Council Entry'!S198,'Council Entry'!S$9),'Council Entry'!S$8),'Council Entry'!S198)),IF(AND(ISNUMBER('Council Entry'!S$8),ISNUMBER('Council Entry'!S$9)),MAX(MIN('Council Entry'!S198,'Council Entry'!S$9),'Council Entry'!S$8),'Council Entry'!S198))))-'Council Entry'!S$5)/('Council Entry'!S$6-'Council Entry'!S$5),10*((IF('Council Entry'!S$4="Logarithm",LN(0.001+IF(AND(ISNUMBER('Council Entry'!S$8),ISNUMBER('Council Entry'!S$9)),MAX(MIN('Council Entry'!S198,'Council Entry'!S$9),'Council Entry'!S$8),'Council Entry'!S198)),IF('Council Entry'!S$4="Exponential",EXP(IF(AND(ISNUMBER('Council Entry'!S$8),ISNUMBER('Council Entry'!S$9)),MAX(MIN('Council Entry'!S198,'Council Entry'!S$9),'Council Entry'!S$8),'Council Entry'!S198)),IF(AND(ISNUMBER('Council Entry'!S$8),ISNUMBER('Council Entry'!S$9)),MAX(MIN('Council Entry'!S198,'Council Entry'!S$9),'Council Entry'!S$8),'Council Entry'!S198))))-'Council Entry'!S$5)/('Council Entry'!S$6-'Council Entry'!S$5)),1))),"No data"))</f>
        <v/>
      </c>
      <c r="T198" s="13">
        <f>IF('Council Entry'!T198="","",IFERROR(MAX(0,MIN(10,ROUND(IF('Council Entry'!T$7="Decrease Risk",10-10*((IF('Council Entry'!T$4="Logarithm",LN(0.001+IF(AND(ISNUMBER('Council Entry'!T$8),ISNUMBER('Council Entry'!T$9)),MAX(MIN('Council Entry'!T198,'Council Entry'!T$9),'Council Entry'!T$8),'Council Entry'!T198)),IF('Council Entry'!T$4="Exponential",EXP(IF(AND(ISNUMBER('Council Entry'!T$8),ISNUMBER('Council Entry'!T$9)),MAX(MIN('Council Entry'!T198,'Council Entry'!T$9),'Council Entry'!T$8),'Council Entry'!T198)),IF(AND(ISNUMBER('Council Entry'!T$8),ISNUMBER('Council Entry'!T$9)),MAX(MIN('Council Entry'!T198,'Council Entry'!T$9),'Council Entry'!T$8),'Council Entry'!T198))))-'Council Entry'!T$5)/('Council Entry'!T$6-'Council Entry'!T$5),10*((IF('Council Entry'!T$4="Logarithm",LN(0.001+IF(AND(ISNUMBER('Council Entry'!T$8),ISNUMBER('Council Entry'!T$9)),MAX(MIN('Council Entry'!T198,'Council Entry'!T$9),'Council Entry'!T$8),'Council Entry'!T198)),IF('Council Entry'!T$4="Exponential",EXP(IF(AND(ISNUMBER('Council Entry'!T$8),ISNUMBER('Council Entry'!T$9)),MAX(MIN('Council Entry'!T198,'Council Entry'!T$9),'Council Entry'!T$8),'Council Entry'!T198)),IF(AND(ISNUMBER('Council Entry'!T$8),ISNUMBER('Council Entry'!T$9)),MAX(MIN('Council Entry'!T198,'Council Entry'!T$9),'Council Entry'!T$8),'Council Entry'!T198))))-'Council Entry'!T$5)/('Council Entry'!T$6-'Council Entry'!T$5)),1))),"No data"))</f>
        <v/>
      </c>
      <c r="U198" s="13">
        <f>IF('Council Entry'!U198="","",IFERROR(MAX(0,MIN(10,ROUND(IF('Council Entry'!U$7="Decrease Risk",10-10*((IF('Council Entry'!U$4="Logarithm",LN(0.001+IF(AND(ISNUMBER('Council Entry'!U$8),ISNUMBER('Council Entry'!U$9)),MAX(MIN('Council Entry'!U198,'Council Entry'!U$9),'Council Entry'!U$8),'Council Entry'!U198)),IF('Council Entry'!U$4="Exponential",EXP(IF(AND(ISNUMBER('Council Entry'!U$8),ISNUMBER('Council Entry'!U$9)),MAX(MIN('Council Entry'!U198,'Council Entry'!U$9),'Council Entry'!U$8),'Council Entry'!U198)),IF(AND(ISNUMBER('Council Entry'!U$8),ISNUMBER('Council Entry'!U$9)),MAX(MIN('Council Entry'!U198,'Council Entry'!U$9),'Council Entry'!U$8),'Council Entry'!U198))))-'Council Entry'!U$5)/('Council Entry'!U$6-'Council Entry'!U$5),10*((IF('Council Entry'!U$4="Logarithm",LN(0.001+IF(AND(ISNUMBER('Council Entry'!U$8),ISNUMBER('Council Entry'!U$9)),MAX(MIN('Council Entry'!U198,'Council Entry'!U$9),'Council Entry'!U$8),'Council Entry'!U198)),IF('Council Entry'!U$4="Exponential",EXP(IF(AND(ISNUMBER('Council Entry'!U$8),ISNUMBER('Council Entry'!U$9)),MAX(MIN('Council Entry'!U198,'Council Entry'!U$9),'Council Entry'!U$8),'Council Entry'!U198)),IF(AND(ISNUMBER('Council Entry'!U$8),ISNUMBER('Council Entry'!U$9)),MAX(MIN('Council Entry'!U198,'Council Entry'!U$9),'Council Entry'!U$8),'Council Entry'!U198))))-'Council Entry'!U$5)/('Council Entry'!U$6-'Council Entry'!U$5)),1))),"No data"))</f>
        <v/>
      </c>
      <c r="V198" s="13">
        <f>IF('Council Entry'!V198="","",IFERROR(MAX(0,MIN(10,ROUND(IF('Council Entry'!V$7="Decrease Risk",10-10*((IF('Council Entry'!V$4="Logarithm",LN(0.001+IF(AND(ISNUMBER('Council Entry'!V$8),ISNUMBER('Council Entry'!V$9)),MAX(MIN('Council Entry'!V198,'Council Entry'!V$9),'Council Entry'!V$8),'Council Entry'!V198)),IF('Council Entry'!V$4="Exponential",EXP(IF(AND(ISNUMBER('Council Entry'!V$8),ISNUMBER('Council Entry'!V$9)),MAX(MIN('Council Entry'!V198,'Council Entry'!V$9),'Council Entry'!V$8),'Council Entry'!V198)),IF(AND(ISNUMBER('Council Entry'!V$8),ISNUMBER('Council Entry'!V$9)),MAX(MIN('Council Entry'!V198,'Council Entry'!V$9),'Council Entry'!V$8),'Council Entry'!V198))))-'Council Entry'!V$5)/('Council Entry'!V$6-'Council Entry'!V$5),10*((IF('Council Entry'!V$4="Logarithm",LN(0.001+IF(AND(ISNUMBER('Council Entry'!V$8),ISNUMBER('Council Entry'!V$9)),MAX(MIN('Council Entry'!V198,'Council Entry'!V$9),'Council Entry'!V$8),'Council Entry'!V198)),IF('Council Entry'!V$4="Exponential",EXP(IF(AND(ISNUMBER('Council Entry'!V$8),ISNUMBER('Council Entry'!V$9)),MAX(MIN('Council Entry'!V198,'Council Entry'!V$9),'Council Entry'!V$8),'Council Entry'!V198)),IF(AND(ISNUMBER('Council Entry'!V$8),ISNUMBER('Council Entry'!V$9)),MAX(MIN('Council Entry'!V198,'Council Entry'!V$9),'Council Entry'!V$8),'Council Entry'!V198))))-'Council Entry'!V$5)/('Council Entry'!V$6-'Council Entry'!V$5)),1))),"No data"))</f>
        <v/>
      </c>
      <c r="W198" s="13">
        <f>IF('Council Entry'!W198="","",IFERROR(MAX(0,MIN(10,ROUND(IF('Council Entry'!W$7="Decrease Risk",10-10*((IF('Council Entry'!W$4="Logarithm",LN(0.001+IF(AND(ISNUMBER('Council Entry'!W$8),ISNUMBER('Council Entry'!W$9)),MAX(MIN('Council Entry'!W198,'Council Entry'!W$9),'Council Entry'!W$8),'Council Entry'!W198)),IF('Council Entry'!W$4="Exponential",EXP(IF(AND(ISNUMBER('Council Entry'!W$8),ISNUMBER('Council Entry'!W$9)),MAX(MIN('Council Entry'!W198,'Council Entry'!W$9),'Council Entry'!W$8),'Council Entry'!W198)),IF(AND(ISNUMBER('Council Entry'!W$8),ISNUMBER('Council Entry'!W$9)),MAX(MIN('Council Entry'!W198,'Council Entry'!W$9),'Council Entry'!W$8),'Council Entry'!W198))))-'Council Entry'!W$5)/('Council Entry'!W$6-'Council Entry'!W$5),10*((IF('Council Entry'!W$4="Logarithm",LN(0.001+IF(AND(ISNUMBER('Council Entry'!W$8),ISNUMBER('Council Entry'!W$9)),MAX(MIN('Council Entry'!W198,'Council Entry'!W$9),'Council Entry'!W$8),'Council Entry'!W198)),IF('Council Entry'!W$4="Exponential",EXP(IF(AND(ISNUMBER('Council Entry'!W$8),ISNUMBER('Council Entry'!W$9)),MAX(MIN('Council Entry'!W198,'Council Entry'!W$9),'Council Entry'!W$8),'Council Entry'!W198)),IF(AND(ISNUMBER('Council Entry'!W$8),ISNUMBER('Council Entry'!W$9)),MAX(MIN('Council Entry'!W198,'Council Entry'!W$9),'Council Entry'!W$8),'Council Entry'!W198))))-'Council Entry'!W$5)/('Council Entry'!W$6-'Council Entry'!W$5)),1))),"No data"))</f>
        <v/>
      </c>
      <c r="X198" s="13">
        <f>IF('Council Entry'!X198="","",IFERROR(MAX(0,MIN(10,ROUND(IF('Council Entry'!X$7="Decrease Risk",10-10*((IF('Council Entry'!X$4="Logarithm",LN(0.001+IF(AND(ISNUMBER('Council Entry'!X$8),ISNUMBER('Council Entry'!X$9)),MAX(MIN('Council Entry'!X198,'Council Entry'!X$9),'Council Entry'!X$8),'Council Entry'!X198)),IF('Council Entry'!X$4="Exponential",EXP(IF(AND(ISNUMBER('Council Entry'!X$8),ISNUMBER('Council Entry'!X$9)),MAX(MIN('Council Entry'!X198,'Council Entry'!X$9),'Council Entry'!X$8),'Council Entry'!X198)),IF(AND(ISNUMBER('Council Entry'!X$8),ISNUMBER('Council Entry'!X$9)),MAX(MIN('Council Entry'!X198,'Council Entry'!X$9),'Council Entry'!X$8),'Council Entry'!X198))))-'Council Entry'!X$5)/('Council Entry'!X$6-'Council Entry'!X$5),10*((IF('Council Entry'!X$4="Logarithm",LN(0.001+IF(AND(ISNUMBER('Council Entry'!X$8),ISNUMBER('Council Entry'!X$9)),MAX(MIN('Council Entry'!X198,'Council Entry'!X$9),'Council Entry'!X$8),'Council Entry'!X198)),IF('Council Entry'!X$4="Exponential",EXP(IF(AND(ISNUMBER('Council Entry'!X$8),ISNUMBER('Council Entry'!X$9)),MAX(MIN('Council Entry'!X198,'Council Entry'!X$9),'Council Entry'!X$8),'Council Entry'!X198)),IF(AND(ISNUMBER('Council Entry'!X$8),ISNUMBER('Council Entry'!X$9)),MAX(MIN('Council Entry'!X198,'Council Entry'!X$9),'Council Entry'!X$8),'Council Entry'!X198))))-'Council Entry'!X$5)/('Council Entry'!X$6-'Council Entry'!X$5)),1))),"No data"))</f>
        <v/>
      </c>
      <c r="Y198" s="13">
        <f>IF('Council Entry'!Y198="","",IFERROR(MAX(0,MIN(10,ROUND(IF('Council Entry'!Y$7="Decrease Risk",10-10*((IF('Council Entry'!Y$4="Logarithm",LN(0.001+IF(AND(ISNUMBER('Council Entry'!Y$8),ISNUMBER('Council Entry'!Y$9)),MAX(MIN('Council Entry'!Y198,'Council Entry'!Y$9),'Council Entry'!Y$8),'Council Entry'!Y198)),IF('Council Entry'!Y$4="Exponential",EXP(IF(AND(ISNUMBER('Council Entry'!Y$8),ISNUMBER('Council Entry'!Y$9)),MAX(MIN('Council Entry'!Y198,'Council Entry'!Y$9),'Council Entry'!Y$8),'Council Entry'!Y198)),IF(AND(ISNUMBER('Council Entry'!Y$8),ISNUMBER('Council Entry'!Y$9)),MAX(MIN('Council Entry'!Y198,'Council Entry'!Y$9),'Council Entry'!Y$8),'Council Entry'!Y198))))-'Council Entry'!Y$5)/('Council Entry'!Y$6-'Council Entry'!Y$5),10*((IF('Council Entry'!Y$4="Logarithm",LN(0.001+IF(AND(ISNUMBER('Council Entry'!Y$8),ISNUMBER('Council Entry'!Y$9)),MAX(MIN('Council Entry'!Y198,'Council Entry'!Y$9),'Council Entry'!Y$8),'Council Entry'!Y198)),IF('Council Entry'!Y$4="Exponential",EXP(IF(AND(ISNUMBER('Council Entry'!Y$8),ISNUMBER('Council Entry'!Y$9)),MAX(MIN('Council Entry'!Y198,'Council Entry'!Y$9),'Council Entry'!Y$8),'Council Entry'!Y198)),IF(AND(ISNUMBER('Council Entry'!Y$8),ISNUMBER('Council Entry'!Y$9)),MAX(MIN('Council Entry'!Y198,'Council Entry'!Y$9),'Council Entry'!Y$8),'Council Entry'!Y198))))-'Council Entry'!Y$5)/('Council Entry'!Y$6-'Council Entry'!Y$5)),1))),"No data"))</f>
        <v/>
      </c>
      <c r="Z198" s="13">
        <f>IF('Council Entry'!Z198="","",IFERROR(MAX(0,MIN(10,ROUND(IF('Council Entry'!Z$7="Decrease Risk",10-10*((IF('Council Entry'!Z$4="Logarithm",LN(0.001+IF(AND(ISNUMBER('Council Entry'!Z$8),ISNUMBER('Council Entry'!Z$9)),MAX(MIN('Council Entry'!Z198,'Council Entry'!Z$9),'Council Entry'!Z$8),'Council Entry'!Z198)),IF('Council Entry'!Z$4="Exponential",EXP(IF(AND(ISNUMBER('Council Entry'!Z$8),ISNUMBER('Council Entry'!Z$9)),MAX(MIN('Council Entry'!Z198,'Council Entry'!Z$9),'Council Entry'!Z$8),'Council Entry'!Z198)),IF(AND(ISNUMBER('Council Entry'!Z$8),ISNUMBER('Council Entry'!Z$9)),MAX(MIN('Council Entry'!Z198,'Council Entry'!Z$9),'Council Entry'!Z$8),'Council Entry'!Z198))))-'Council Entry'!Z$5)/('Council Entry'!Z$6-'Council Entry'!Z$5),10*((IF('Council Entry'!Z$4="Logarithm",LN(0.001+IF(AND(ISNUMBER('Council Entry'!Z$8),ISNUMBER('Council Entry'!Z$9)),MAX(MIN('Council Entry'!Z198,'Council Entry'!Z$9),'Council Entry'!Z$8),'Council Entry'!Z198)),IF('Council Entry'!Z$4="Exponential",EXP(IF(AND(ISNUMBER('Council Entry'!Z$8),ISNUMBER('Council Entry'!Z$9)),MAX(MIN('Council Entry'!Z198,'Council Entry'!Z$9),'Council Entry'!Z$8),'Council Entry'!Z198)),IF(AND(ISNUMBER('Council Entry'!Z$8),ISNUMBER('Council Entry'!Z$9)),MAX(MIN('Council Entry'!Z198,'Council Entry'!Z$9),'Council Entry'!Z$8),'Council Entry'!Z198))))-'Council Entry'!Z$5)/('Council Entry'!Z$6-'Council Entry'!Z$5)),1))),"No data"))</f>
        <v/>
      </c>
      <c r="AA198" s="13">
        <f>IF('Council Entry'!AA198="","",IFERROR(MAX(0,MIN(10,ROUND(IF('Council Entry'!AA$7="Decrease Risk",10-10*((IF('Council Entry'!AA$4="Logarithm",LN(0.001+IF(AND(ISNUMBER('Council Entry'!AA$8),ISNUMBER('Council Entry'!AA$9)),MAX(MIN('Council Entry'!AA198,'Council Entry'!AA$9),'Council Entry'!AA$8),'Council Entry'!AA198)),IF('Council Entry'!AA$4="Exponential",EXP(IF(AND(ISNUMBER('Council Entry'!AA$8),ISNUMBER('Council Entry'!AA$9)),MAX(MIN('Council Entry'!AA198,'Council Entry'!AA$9),'Council Entry'!AA$8),'Council Entry'!AA198)),IF(AND(ISNUMBER('Council Entry'!AA$8),ISNUMBER('Council Entry'!AA$9)),MAX(MIN('Council Entry'!AA198,'Council Entry'!AA$9),'Council Entry'!AA$8),'Council Entry'!AA198))))-'Council Entry'!AA$5)/('Council Entry'!AA$6-'Council Entry'!AA$5),10*((IF('Council Entry'!AA$4="Logarithm",LN(0.001+IF(AND(ISNUMBER('Council Entry'!AA$8),ISNUMBER('Council Entry'!AA$9)),MAX(MIN('Council Entry'!AA198,'Council Entry'!AA$9),'Council Entry'!AA$8),'Council Entry'!AA198)),IF('Council Entry'!AA$4="Exponential",EXP(IF(AND(ISNUMBER('Council Entry'!AA$8),ISNUMBER('Council Entry'!AA$9)),MAX(MIN('Council Entry'!AA198,'Council Entry'!AA$9),'Council Entry'!AA$8),'Council Entry'!AA198)),IF(AND(ISNUMBER('Council Entry'!AA$8),ISNUMBER('Council Entry'!AA$9)),MAX(MIN('Council Entry'!AA198,'Council Entry'!AA$9),'Council Entry'!AA$8),'Council Entry'!AA198))))-'Council Entry'!AA$5)/('Council Entry'!AA$6-'Council Entry'!AA$5)),1))),"No data"))</f>
        <v/>
      </c>
      <c r="AB198" s="13">
        <f>IF('Council Entry'!AB198="","",IFERROR(MAX(0,MIN(10,ROUND(IF('Council Entry'!AB$7="Decrease Risk",10-10*((IF('Council Entry'!AB$4="Logarithm",LN(0.001+IF(AND(ISNUMBER('Council Entry'!AB$8),ISNUMBER('Council Entry'!AB$9)),MAX(MIN('Council Entry'!AB198,'Council Entry'!AB$9),'Council Entry'!AB$8),'Council Entry'!AB198)),IF('Council Entry'!AB$4="Exponential",EXP(IF(AND(ISNUMBER('Council Entry'!AB$8),ISNUMBER('Council Entry'!AB$9)),MAX(MIN('Council Entry'!AB198,'Council Entry'!AB$9),'Council Entry'!AB$8),'Council Entry'!AB198)),IF(AND(ISNUMBER('Council Entry'!AB$8),ISNUMBER('Council Entry'!AB$9)),MAX(MIN('Council Entry'!AB198,'Council Entry'!AB$9),'Council Entry'!AB$8),'Council Entry'!AB198))))-'Council Entry'!AB$5)/('Council Entry'!AB$6-'Council Entry'!AB$5),10*((IF('Council Entry'!AB$4="Logarithm",LN(0.001+IF(AND(ISNUMBER('Council Entry'!AB$8),ISNUMBER('Council Entry'!AB$9)),MAX(MIN('Council Entry'!AB198,'Council Entry'!AB$9),'Council Entry'!AB$8),'Council Entry'!AB198)),IF('Council Entry'!AB$4="Exponential",EXP(IF(AND(ISNUMBER('Council Entry'!AB$8),ISNUMBER('Council Entry'!AB$9)),MAX(MIN('Council Entry'!AB198,'Council Entry'!AB$9),'Council Entry'!AB$8),'Council Entry'!AB198)),IF(AND(ISNUMBER('Council Entry'!AB$8),ISNUMBER('Council Entry'!AB$9)),MAX(MIN('Council Entry'!AB198,'Council Entry'!AB$9),'Council Entry'!AB$8),'Council Entry'!AB198))))-'Council Entry'!AB$5)/('Council Entry'!AB$6-'Council Entry'!AB$5)),1))),"No data"))</f>
        <v/>
      </c>
      <c r="AC198" s="13">
        <f>IF('Council Entry'!AC198="","",IFERROR(MAX(0,MIN(10,ROUND(IF('Council Entry'!AC$7="Decrease Risk",10-10*((IF('Council Entry'!AC$4="Logarithm",LN(0.001+IF(AND(ISNUMBER('Council Entry'!AC$8),ISNUMBER('Council Entry'!AC$9)),MAX(MIN('Council Entry'!AC198,'Council Entry'!AC$9),'Council Entry'!AC$8),'Council Entry'!AC198)),IF('Council Entry'!AC$4="Exponential",EXP(IF(AND(ISNUMBER('Council Entry'!AC$8),ISNUMBER('Council Entry'!AC$9)),MAX(MIN('Council Entry'!AC198,'Council Entry'!AC$9),'Council Entry'!AC$8),'Council Entry'!AC198)),IF(AND(ISNUMBER('Council Entry'!AC$8),ISNUMBER('Council Entry'!AC$9)),MAX(MIN('Council Entry'!AC198,'Council Entry'!AC$9),'Council Entry'!AC$8),'Council Entry'!AC198))))-'Council Entry'!AC$5)/('Council Entry'!AC$6-'Council Entry'!AC$5),10*((IF('Council Entry'!AC$4="Logarithm",LN(0.001+IF(AND(ISNUMBER('Council Entry'!AC$8),ISNUMBER('Council Entry'!AC$9)),MAX(MIN('Council Entry'!AC198,'Council Entry'!AC$9),'Council Entry'!AC$8),'Council Entry'!AC198)),IF('Council Entry'!AC$4="Exponential",EXP(IF(AND(ISNUMBER('Council Entry'!AC$8),ISNUMBER('Council Entry'!AC$9)),MAX(MIN('Council Entry'!AC198,'Council Entry'!AC$9),'Council Entry'!AC$8),'Council Entry'!AC198)),IF(AND(ISNUMBER('Council Entry'!AC$8),ISNUMBER('Council Entry'!AC$9)),MAX(MIN('Council Entry'!AC198,'Council Entry'!AC$9),'Council Entry'!AC$8),'Council Entry'!AC198))))-'Council Entry'!AC$5)/('Council Entry'!AC$6-'Council Entry'!AC$5)),1))),"No data"))</f>
        <v/>
      </c>
      <c r="AD198" s="13">
        <f>IF('Council Entry'!AD198="","",IFERROR(MAX(0,MIN(10,ROUND(IF('Council Entry'!AD$7="Decrease Risk",10-10*((IF('Council Entry'!AD$4="Logarithm",LN(0.001+IF(AND(ISNUMBER('Council Entry'!AD$8),ISNUMBER('Council Entry'!AD$9)),MAX(MIN('Council Entry'!AD198,'Council Entry'!AD$9),'Council Entry'!AD$8),'Council Entry'!AD198)),IF('Council Entry'!AD$4="Exponential",EXP(IF(AND(ISNUMBER('Council Entry'!AD$8),ISNUMBER('Council Entry'!AD$9)),MAX(MIN('Council Entry'!AD198,'Council Entry'!AD$9),'Council Entry'!AD$8),'Council Entry'!AD198)),IF(AND(ISNUMBER('Council Entry'!AD$8),ISNUMBER('Council Entry'!AD$9)),MAX(MIN('Council Entry'!AD198,'Council Entry'!AD$9),'Council Entry'!AD$8),'Council Entry'!AD198))))-'Council Entry'!AD$5)/('Council Entry'!AD$6-'Council Entry'!AD$5),10*((IF('Council Entry'!AD$4="Logarithm",LN(0.001+IF(AND(ISNUMBER('Council Entry'!AD$8),ISNUMBER('Council Entry'!AD$9)),MAX(MIN('Council Entry'!AD198,'Council Entry'!AD$9),'Council Entry'!AD$8),'Council Entry'!AD198)),IF('Council Entry'!AD$4="Exponential",EXP(IF(AND(ISNUMBER('Council Entry'!AD$8),ISNUMBER('Council Entry'!AD$9)),MAX(MIN('Council Entry'!AD198,'Council Entry'!AD$9),'Council Entry'!AD$8),'Council Entry'!AD198)),IF(AND(ISNUMBER('Council Entry'!AD$8),ISNUMBER('Council Entry'!AD$9)),MAX(MIN('Council Entry'!AD198,'Council Entry'!AD$9),'Council Entry'!AD$8),'Council Entry'!AD198))))-'Council Entry'!AD$5)/('Council Entry'!AD$6-'Council Entry'!AD$5)),1))),"No data"))</f>
        <v/>
      </c>
      <c r="AE198" s="13">
        <f>IF('Council Entry'!AE198="","",IFERROR(MAX(0,MIN(10,ROUND(IF('Council Entry'!AE$7="Decrease Risk",10-10*((IF('Council Entry'!AE$4="Logarithm",LN(0.001+IF(AND(ISNUMBER('Council Entry'!AE$8),ISNUMBER('Council Entry'!AE$9)),MAX(MIN('Council Entry'!AE198,'Council Entry'!AE$9),'Council Entry'!AE$8),'Council Entry'!AE198)),IF('Council Entry'!AE$4="Exponential",EXP(IF(AND(ISNUMBER('Council Entry'!AE$8),ISNUMBER('Council Entry'!AE$9)),MAX(MIN('Council Entry'!AE198,'Council Entry'!AE$9),'Council Entry'!AE$8),'Council Entry'!AE198)),IF(AND(ISNUMBER('Council Entry'!AE$8),ISNUMBER('Council Entry'!AE$9)),MAX(MIN('Council Entry'!AE198,'Council Entry'!AE$9),'Council Entry'!AE$8),'Council Entry'!AE198))))-'Council Entry'!AE$5)/('Council Entry'!AE$6-'Council Entry'!AE$5),10*((IF('Council Entry'!AE$4="Logarithm",LN(0.001+IF(AND(ISNUMBER('Council Entry'!AE$8),ISNUMBER('Council Entry'!AE$9)),MAX(MIN('Council Entry'!AE198,'Council Entry'!AE$9),'Council Entry'!AE$8),'Council Entry'!AE198)),IF('Council Entry'!AE$4="Exponential",EXP(IF(AND(ISNUMBER('Council Entry'!AE$8),ISNUMBER('Council Entry'!AE$9)),MAX(MIN('Council Entry'!AE198,'Council Entry'!AE$9),'Council Entry'!AE$8),'Council Entry'!AE198)),IF(AND(ISNUMBER('Council Entry'!AE$8),ISNUMBER('Council Entry'!AE$9)),MAX(MIN('Council Entry'!AE198,'Council Entry'!AE$9),'Council Entry'!AE$8),'Council Entry'!AE198))))-'Council Entry'!AE$5)/('Council Entry'!AE$6-'Council Entry'!AE$5)),1))),"No data"))</f>
        <v/>
      </c>
      <c r="AF198" s="13">
        <f>IF('Council Entry'!AF198="","",IFERROR(MAX(0,MIN(10,ROUND(IF('Council Entry'!AF$7="Decrease Risk",10-10*((IF('Council Entry'!AF$4="Logarithm",LN(0.001+IF(AND(ISNUMBER('Council Entry'!AF$8),ISNUMBER('Council Entry'!AF$9)),MAX(MIN('Council Entry'!AF198,'Council Entry'!AF$9),'Council Entry'!AF$8),'Council Entry'!AF198)),IF('Council Entry'!AF$4="Exponential",EXP(IF(AND(ISNUMBER('Council Entry'!AF$8),ISNUMBER('Council Entry'!AF$9)),MAX(MIN('Council Entry'!AF198,'Council Entry'!AF$9),'Council Entry'!AF$8),'Council Entry'!AF198)),IF(AND(ISNUMBER('Council Entry'!AF$8),ISNUMBER('Council Entry'!AF$9)),MAX(MIN('Council Entry'!AF198,'Council Entry'!AF$9),'Council Entry'!AF$8),'Council Entry'!AF198))))-'Council Entry'!AF$5)/('Council Entry'!AF$6-'Council Entry'!AF$5),10*((IF('Council Entry'!AF$4="Logarithm",LN(0.001+IF(AND(ISNUMBER('Council Entry'!AF$8),ISNUMBER('Council Entry'!AF$9)),MAX(MIN('Council Entry'!AF198,'Council Entry'!AF$9),'Council Entry'!AF$8),'Council Entry'!AF198)),IF('Council Entry'!AF$4="Exponential",EXP(IF(AND(ISNUMBER('Council Entry'!AF$8),ISNUMBER('Council Entry'!AF$9)),MAX(MIN('Council Entry'!AF198,'Council Entry'!AF$9),'Council Entry'!AF$8),'Council Entry'!AF198)),IF(AND(ISNUMBER('Council Entry'!AF$8),ISNUMBER('Council Entry'!AF$9)),MAX(MIN('Council Entry'!AF198,'Council Entry'!AF$9),'Council Entry'!AF$8),'Council Entry'!AF198))))-'Council Entry'!AF$5)/('Council Entry'!AF$6-'Council Entry'!AF$5)),1))),"No data"))</f>
        <v/>
      </c>
      <c r="AG198" s="13">
        <f>IF('Council Entry'!AG198="","",IFERROR(MAX(0,MIN(10,ROUND(IF('Council Entry'!AG$7="Decrease Risk",10-10*((IF('Council Entry'!AG$4="Logarithm",LN(0.001+IF(AND(ISNUMBER('Council Entry'!AG$8),ISNUMBER('Council Entry'!AG$9)),MAX(MIN('Council Entry'!AG198,'Council Entry'!AG$9),'Council Entry'!AG$8),'Council Entry'!AG198)),IF('Council Entry'!AG$4="Exponential",EXP(IF(AND(ISNUMBER('Council Entry'!AG$8),ISNUMBER('Council Entry'!AG$9)),MAX(MIN('Council Entry'!AG198,'Council Entry'!AG$9),'Council Entry'!AG$8),'Council Entry'!AG198)),IF(AND(ISNUMBER('Council Entry'!AG$8),ISNUMBER('Council Entry'!AG$9)),MAX(MIN('Council Entry'!AG198,'Council Entry'!AG$9),'Council Entry'!AG$8),'Council Entry'!AG198))))-'Council Entry'!AG$5)/('Council Entry'!AG$6-'Council Entry'!AG$5),10*((IF('Council Entry'!AG$4="Logarithm",LN(0.001+IF(AND(ISNUMBER('Council Entry'!AG$8),ISNUMBER('Council Entry'!AG$9)),MAX(MIN('Council Entry'!AG198,'Council Entry'!AG$9),'Council Entry'!AG$8),'Council Entry'!AG198)),IF('Council Entry'!AG$4="Exponential",EXP(IF(AND(ISNUMBER('Council Entry'!AG$8),ISNUMBER('Council Entry'!AG$9)),MAX(MIN('Council Entry'!AG198,'Council Entry'!AG$9),'Council Entry'!AG$8),'Council Entry'!AG198)),IF(AND(ISNUMBER('Council Entry'!AG$8),ISNUMBER('Council Entry'!AG$9)),MAX(MIN('Council Entry'!AG198,'Council Entry'!AG$9),'Council Entry'!AG$8),'Council Entry'!AG198))))-'Council Entry'!AG$5)/('Council Entry'!AG$6-'Council Entry'!AG$5)),1))),"No data"))</f>
        <v/>
      </c>
      <c r="AH198" s="13">
        <f>IF('Council Entry'!AH198="","",IFERROR(MAX(0,MIN(10,ROUND(IF('Council Entry'!AH$7="Decrease Risk",10-10*((IF('Council Entry'!AH$4="Logarithm",LN(0.001+IF(AND(ISNUMBER('Council Entry'!AH$8),ISNUMBER('Council Entry'!AH$9)),MAX(MIN('Council Entry'!AH198,'Council Entry'!AH$9),'Council Entry'!AH$8),'Council Entry'!AH198)),IF('Council Entry'!AH$4="Exponential",EXP(IF(AND(ISNUMBER('Council Entry'!AH$8),ISNUMBER('Council Entry'!AH$9)),MAX(MIN('Council Entry'!AH198,'Council Entry'!AH$9),'Council Entry'!AH$8),'Council Entry'!AH198)),IF(AND(ISNUMBER('Council Entry'!AH$8),ISNUMBER('Council Entry'!AH$9)),MAX(MIN('Council Entry'!AH198,'Council Entry'!AH$9),'Council Entry'!AH$8),'Council Entry'!AH198))))-'Council Entry'!AH$5)/('Council Entry'!AH$6-'Council Entry'!AH$5),10*((IF('Council Entry'!AH$4="Logarithm",LN(0.001+IF(AND(ISNUMBER('Council Entry'!AH$8),ISNUMBER('Council Entry'!AH$9)),MAX(MIN('Council Entry'!AH198,'Council Entry'!AH$9),'Council Entry'!AH$8),'Council Entry'!AH198)),IF('Council Entry'!AH$4="Exponential",EXP(IF(AND(ISNUMBER('Council Entry'!AH$8),ISNUMBER('Council Entry'!AH$9)),MAX(MIN('Council Entry'!AH198,'Council Entry'!AH$9),'Council Entry'!AH$8),'Council Entry'!AH198)),IF(AND(ISNUMBER('Council Entry'!AH$8),ISNUMBER('Council Entry'!AH$9)),MAX(MIN('Council Entry'!AH198,'Council Entry'!AH$9),'Council Entry'!AH$8),'Council Entry'!AH198))))-'Council Entry'!AH$5)/('Council Entry'!AH$6-'Council Entry'!AH$5)),1))),"No data"))</f>
        <v/>
      </c>
      <c r="AI198" s="13">
        <f>IF('Council Entry'!AI198="","",IFERROR(MAX(0,MIN(10,ROUND(IF('Council Entry'!AI$7="Decrease Risk",10-10*((IF('Council Entry'!AI$4="Logarithm",LN(0.001+IF(AND(ISNUMBER('Council Entry'!AI$8),ISNUMBER('Council Entry'!AI$9)),MAX(MIN('Council Entry'!AI198,'Council Entry'!AI$9),'Council Entry'!AI$8),'Council Entry'!AI198)),IF('Council Entry'!AI$4="Exponential",EXP(IF(AND(ISNUMBER('Council Entry'!AI$8),ISNUMBER('Council Entry'!AI$9)),MAX(MIN('Council Entry'!AI198,'Council Entry'!AI$9),'Council Entry'!AI$8),'Council Entry'!AI198)),IF(AND(ISNUMBER('Council Entry'!AI$8),ISNUMBER('Council Entry'!AI$9)),MAX(MIN('Council Entry'!AI198,'Council Entry'!AI$9),'Council Entry'!AI$8),'Council Entry'!AI198))))-'Council Entry'!AI$5)/('Council Entry'!AI$6-'Council Entry'!AI$5),10*((IF('Council Entry'!AI$4="Logarithm",LN(0.001+IF(AND(ISNUMBER('Council Entry'!AI$8),ISNUMBER('Council Entry'!AI$9)),MAX(MIN('Council Entry'!AI198,'Council Entry'!AI$9),'Council Entry'!AI$8),'Council Entry'!AI198)),IF('Council Entry'!AI$4="Exponential",EXP(IF(AND(ISNUMBER('Council Entry'!AI$8),ISNUMBER('Council Entry'!AI$9)),MAX(MIN('Council Entry'!AI198,'Council Entry'!AI$9),'Council Entry'!AI$8),'Council Entry'!AI198)),IF(AND(ISNUMBER('Council Entry'!AI$8),ISNUMBER('Council Entry'!AI$9)),MAX(MIN('Council Entry'!AI198,'Council Entry'!AI$9),'Council Entry'!AI$8),'Council Entry'!AI198))))-'Council Entry'!AI$5)/('Council Entry'!AI$6-'Council Entry'!AI$5)),1))),"No data"))</f>
        <v/>
      </c>
      <c r="AJ198" s="13">
        <f>IF('Council Entry'!AJ198="","",IFERROR(MAX(0,MIN(10,ROUND(IF('Council Entry'!AJ$7="Decrease Risk",10-10*((IF('Council Entry'!AJ$4="Logarithm",LN(0.001+IF(AND(ISNUMBER('Council Entry'!AJ$8),ISNUMBER('Council Entry'!AJ$9)),MAX(MIN('Council Entry'!AJ198,'Council Entry'!AJ$9),'Council Entry'!AJ$8),'Council Entry'!AJ198)),IF('Council Entry'!AJ$4="Exponential",EXP(IF(AND(ISNUMBER('Council Entry'!AJ$8),ISNUMBER('Council Entry'!AJ$9)),MAX(MIN('Council Entry'!AJ198,'Council Entry'!AJ$9),'Council Entry'!AJ$8),'Council Entry'!AJ198)),IF(AND(ISNUMBER('Council Entry'!AJ$8),ISNUMBER('Council Entry'!AJ$9)),MAX(MIN('Council Entry'!AJ198,'Council Entry'!AJ$9),'Council Entry'!AJ$8),'Council Entry'!AJ198))))-'Council Entry'!AJ$5)/('Council Entry'!AJ$6-'Council Entry'!AJ$5),10*((IF('Council Entry'!AJ$4="Logarithm",LN(0.001+IF(AND(ISNUMBER('Council Entry'!AJ$8),ISNUMBER('Council Entry'!AJ$9)),MAX(MIN('Council Entry'!AJ198,'Council Entry'!AJ$9),'Council Entry'!AJ$8),'Council Entry'!AJ198)),IF('Council Entry'!AJ$4="Exponential",EXP(IF(AND(ISNUMBER('Council Entry'!AJ$8),ISNUMBER('Council Entry'!AJ$9)),MAX(MIN('Council Entry'!AJ198,'Council Entry'!AJ$9),'Council Entry'!AJ$8),'Council Entry'!AJ198)),IF(AND(ISNUMBER('Council Entry'!AJ$8),ISNUMBER('Council Entry'!AJ$9)),MAX(MIN('Council Entry'!AJ198,'Council Entry'!AJ$9),'Council Entry'!AJ$8),'Council Entry'!AJ198))))-'Council Entry'!AJ$5)/('Council Entry'!AJ$6-'Council Entry'!AJ$5)),1))),"No data"))</f>
        <v/>
      </c>
      <c r="AK198" s="13">
        <f>IF('Council Entry'!AK198="","",IFERROR(MAX(0,MIN(10,ROUND(IF('Council Entry'!AK$7="Decrease Risk",10-10*((IF('Council Entry'!AK$4="Logarithm",LN(0.001+IF(AND(ISNUMBER('Council Entry'!AK$8),ISNUMBER('Council Entry'!AK$9)),MAX(MIN('Council Entry'!AK198,'Council Entry'!AK$9),'Council Entry'!AK$8),'Council Entry'!AK198)),IF('Council Entry'!AK$4="Exponential",EXP(IF(AND(ISNUMBER('Council Entry'!AK$8),ISNUMBER('Council Entry'!AK$9)),MAX(MIN('Council Entry'!AK198,'Council Entry'!AK$9),'Council Entry'!AK$8),'Council Entry'!AK198)),IF(AND(ISNUMBER('Council Entry'!AK$8),ISNUMBER('Council Entry'!AK$9)),MAX(MIN('Council Entry'!AK198,'Council Entry'!AK$9),'Council Entry'!AK$8),'Council Entry'!AK198))))-'Council Entry'!AK$5)/('Council Entry'!AK$6-'Council Entry'!AK$5),10*((IF('Council Entry'!AK$4="Logarithm",LN(0.001+IF(AND(ISNUMBER('Council Entry'!AK$8),ISNUMBER('Council Entry'!AK$9)),MAX(MIN('Council Entry'!AK198,'Council Entry'!AK$9),'Council Entry'!AK$8),'Council Entry'!AK198)),IF('Council Entry'!AK$4="Exponential",EXP(IF(AND(ISNUMBER('Council Entry'!AK$8),ISNUMBER('Council Entry'!AK$9)),MAX(MIN('Council Entry'!AK198,'Council Entry'!AK$9),'Council Entry'!AK$8),'Council Entry'!AK198)),IF(AND(ISNUMBER('Council Entry'!AK$8),ISNUMBER('Council Entry'!AK$9)),MAX(MIN('Council Entry'!AK198,'Council Entry'!AK$9),'Council Entry'!AK$8),'Council Entry'!AK198))))-'Council Entry'!AK$5)/('Council Entry'!AK$6-'Council Entry'!AK$5)),1))),"No data"))</f>
        <v/>
      </c>
      <c r="AL198" s="13">
        <f>IF('Council Entry'!AL198="","",IFERROR(MAX(0,MIN(10,ROUND(IF('Council Entry'!AL$7="Decrease Risk",10-10*((IF('Council Entry'!AL$4="Logarithm",LN(0.001+IF(AND(ISNUMBER('Council Entry'!AL$8),ISNUMBER('Council Entry'!AL$9)),MAX(MIN('Council Entry'!AL198,'Council Entry'!AL$9),'Council Entry'!AL$8),'Council Entry'!AL198)),IF('Council Entry'!AL$4="Exponential",EXP(IF(AND(ISNUMBER('Council Entry'!AL$8),ISNUMBER('Council Entry'!AL$9)),MAX(MIN('Council Entry'!AL198,'Council Entry'!AL$9),'Council Entry'!AL$8),'Council Entry'!AL198)),IF(AND(ISNUMBER('Council Entry'!AL$8),ISNUMBER('Council Entry'!AL$9)),MAX(MIN('Council Entry'!AL198,'Council Entry'!AL$9),'Council Entry'!AL$8),'Council Entry'!AL198))))-'Council Entry'!AL$5)/('Council Entry'!AL$6-'Council Entry'!AL$5),10*((IF('Council Entry'!AL$4="Logarithm",LN(0.001+IF(AND(ISNUMBER('Council Entry'!AL$8),ISNUMBER('Council Entry'!AL$9)),MAX(MIN('Council Entry'!AL198,'Council Entry'!AL$9),'Council Entry'!AL$8),'Council Entry'!AL198)),IF('Council Entry'!AL$4="Exponential",EXP(IF(AND(ISNUMBER('Council Entry'!AL$8),ISNUMBER('Council Entry'!AL$9)),MAX(MIN('Council Entry'!AL198,'Council Entry'!AL$9),'Council Entry'!AL$8),'Council Entry'!AL198)),IF(AND(ISNUMBER('Council Entry'!AL$8),ISNUMBER('Council Entry'!AL$9)),MAX(MIN('Council Entry'!AL198,'Council Entry'!AL$9),'Council Entry'!AL$8),'Council Entry'!AL198))))-'Council Entry'!AL$5)/('Council Entry'!AL$6-'Council Entry'!AL$5)),1))),"No data"))</f>
        <v/>
      </c>
      <c r="AM198" s="13">
        <f>IF('Council Entry'!AM198="","",IFERROR(MAX(0,MIN(10,ROUND(IF('Council Entry'!AM$7="Decrease Risk",10-10*((IF('Council Entry'!AM$4="Logarithm",LN(0.001+IF(AND(ISNUMBER('Council Entry'!AM$8),ISNUMBER('Council Entry'!AM$9)),MAX(MIN('Council Entry'!AM198,'Council Entry'!AM$9),'Council Entry'!AM$8),'Council Entry'!AM198)),IF('Council Entry'!AM$4="Exponential",EXP(IF(AND(ISNUMBER('Council Entry'!AM$8),ISNUMBER('Council Entry'!AM$9)),MAX(MIN('Council Entry'!AM198,'Council Entry'!AM$9),'Council Entry'!AM$8),'Council Entry'!AM198)),IF(AND(ISNUMBER('Council Entry'!AM$8),ISNUMBER('Council Entry'!AM$9)),MAX(MIN('Council Entry'!AM198,'Council Entry'!AM$9),'Council Entry'!AM$8),'Council Entry'!AM198))))-'Council Entry'!AM$5)/('Council Entry'!AM$6-'Council Entry'!AM$5),10*((IF('Council Entry'!AM$4="Logarithm",LN(0.001+IF(AND(ISNUMBER('Council Entry'!AM$8),ISNUMBER('Council Entry'!AM$9)),MAX(MIN('Council Entry'!AM198,'Council Entry'!AM$9),'Council Entry'!AM$8),'Council Entry'!AM198)),IF('Council Entry'!AM$4="Exponential",EXP(IF(AND(ISNUMBER('Council Entry'!AM$8),ISNUMBER('Council Entry'!AM$9)),MAX(MIN('Council Entry'!AM198,'Council Entry'!AM$9),'Council Entry'!AM$8),'Council Entry'!AM198)),IF(AND(ISNUMBER('Council Entry'!AM$8),ISNUMBER('Council Entry'!AM$9)),MAX(MIN('Council Entry'!AM198,'Council Entry'!AM$9),'Council Entry'!AM$8),'Council Entry'!AM198))))-'Council Entry'!AM$5)/('Council Entry'!AM$6-'Council Entry'!AM$5)),1))),"No data"))</f>
        <v/>
      </c>
      <c r="AN198" s="13">
        <f>IF('Council Entry'!AN198="","",IFERROR(MAX(0,MIN(10,ROUND(IF('Council Entry'!AN$7="Decrease Risk",10-10*((IF('Council Entry'!AN$4="Logarithm",LN(0.001+IF(AND(ISNUMBER('Council Entry'!AN$8),ISNUMBER('Council Entry'!AN$9)),MAX(MIN('Council Entry'!AN198,'Council Entry'!AN$9),'Council Entry'!AN$8),'Council Entry'!AN198)),IF('Council Entry'!AN$4="Exponential",EXP(IF(AND(ISNUMBER('Council Entry'!AN$8),ISNUMBER('Council Entry'!AN$9)),MAX(MIN('Council Entry'!AN198,'Council Entry'!AN$9),'Council Entry'!AN$8),'Council Entry'!AN198)),IF(AND(ISNUMBER('Council Entry'!AN$8),ISNUMBER('Council Entry'!AN$9)),MAX(MIN('Council Entry'!AN198,'Council Entry'!AN$9),'Council Entry'!AN$8),'Council Entry'!AN198))))-'Council Entry'!AN$5)/('Council Entry'!AN$6-'Council Entry'!AN$5),10*((IF('Council Entry'!AN$4="Logarithm",LN(0.001+IF(AND(ISNUMBER('Council Entry'!AN$8),ISNUMBER('Council Entry'!AN$9)),MAX(MIN('Council Entry'!AN198,'Council Entry'!AN$9),'Council Entry'!AN$8),'Council Entry'!AN198)),IF('Council Entry'!AN$4="Exponential",EXP(IF(AND(ISNUMBER('Council Entry'!AN$8),ISNUMBER('Council Entry'!AN$9)),MAX(MIN('Council Entry'!AN198,'Council Entry'!AN$9),'Council Entry'!AN$8),'Council Entry'!AN198)),IF(AND(ISNUMBER('Council Entry'!AN$8),ISNUMBER('Council Entry'!AN$9)),MAX(MIN('Council Entry'!AN198,'Council Entry'!AN$9),'Council Entry'!AN$8),'Council Entry'!AN198))))-'Council Entry'!AN$5)/('Council Entry'!AN$6-'Council Entry'!AN$5)),1))),"No data"))</f>
        <v/>
      </c>
      <c r="AO198" s="13">
        <f>IF('Council Entry'!AO198="","",IFERROR(MAX(0,MIN(10,ROUND(IF('Council Entry'!AO$7="Decrease Risk",10-10*((IF('Council Entry'!AO$4="Logarithm",LN(0.001+IF(AND(ISNUMBER('Council Entry'!AO$8),ISNUMBER('Council Entry'!AO$9)),MAX(MIN('Council Entry'!AO198,'Council Entry'!AO$9),'Council Entry'!AO$8),'Council Entry'!AO198)),IF('Council Entry'!AO$4="Exponential",EXP(IF(AND(ISNUMBER('Council Entry'!AO$8),ISNUMBER('Council Entry'!AO$9)),MAX(MIN('Council Entry'!AO198,'Council Entry'!AO$9),'Council Entry'!AO$8),'Council Entry'!AO198)),IF(AND(ISNUMBER('Council Entry'!AO$8),ISNUMBER('Council Entry'!AO$9)),MAX(MIN('Council Entry'!AO198,'Council Entry'!AO$9),'Council Entry'!AO$8),'Council Entry'!AO198))))-'Council Entry'!AO$5)/('Council Entry'!AO$6-'Council Entry'!AO$5),10*((IF('Council Entry'!AO$4="Logarithm",LN(0.001+IF(AND(ISNUMBER('Council Entry'!AO$8),ISNUMBER('Council Entry'!AO$9)),MAX(MIN('Council Entry'!AO198,'Council Entry'!AO$9),'Council Entry'!AO$8),'Council Entry'!AO198)),IF('Council Entry'!AO$4="Exponential",EXP(IF(AND(ISNUMBER('Council Entry'!AO$8),ISNUMBER('Council Entry'!AO$9)),MAX(MIN('Council Entry'!AO198,'Council Entry'!AO$9),'Council Entry'!AO$8),'Council Entry'!AO198)),IF(AND(ISNUMBER('Council Entry'!AO$8),ISNUMBER('Council Entry'!AO$9)),MAX(MIN('Council Entry'!AO198,'Council Entry'!AO$9),'Council Entry'!AO$8),'Council Entry'!AO198))))-'Council Entry'!AO$5)/('Council Entry'!AO$6-'Council Entry'!AO$5)),1))),"No data"))</f>
        <v/>
      </c>
      <c r="AP198" s="13">
        <f>IF('Council Entry'!AP198="","",IFERROR(MAX(0,MIN(10,ROUND(IF('Council Entry'!AP$7="Decrease Risk",10-10*((IF('Council Entry'!AP$4="Logarithm",LN(0.001+IF(AND(ISNUMBER('Council Entry'!AP$8),ISNUMBER('Council Entry'!AP$9)),MAX(MIN('Council Entry'!AP198,'Council Entry'!AP$9),'Council Entry'!AP$8),'Council Entry'!AP198)),IF('Council Entry'!AP$4="Exponential",EXP(IF(AND(ISNUMBER('Council Entry'!AP$8),ISNUMBER('Council Entry'!AP$9)),MAX(MIN('Council Entry'!AP198,'Council Entry'!AP$9),'Council Entry'!AP$8),'Council Entry'!AP198)),IF(AND(ISNUMBER('Council Entry'!AP$8),ISNUMBER('Council Entry'!AP$9)),MAX(MIN('Council Entry'!AP198,'Council Entry'!AP$9),'Council Entry'!AP$8),'Council Entry'!AP198))))-'Council Entry'!AP$5)/('Council Entry'!AP$6-'Council Entry'!AP$5),10*((IF('Council Entry'!AP$4="Logarithm",LN(0.001+IF(AND(ISNUMBER('Council Entry'!AP$8),ISNUMBER('Council Entry'!AP$9)),MAX(MIN('Council Entry'!AP198,'Council Entry'!AP$9),'Council Entry'!AP$8),'Council Entry'!AP198)),IF('Council Entry'!AP$4="Exponential",EXP(IF(AND(ISNUMBER('Council Entry'!AP$8),ISNUMBER('Council Entry'!AP$9)),MAX(MIN('Council Entry'!AP198,'Council Entry'!AP$9),'Council Entry'!AP$8),'Council Entry'!AP198)),IF(AND(ISNUMBER('Council Entry'!AP$8),ISNUMBER('Council Entry'!AP$9)),MAX(MIN('Council Entry'!AP198,'Council Entry'!AP$9),'Council Entry'!AP$8),'Council Entry'!AP198))))-'Council Entry'!AP$5)/('Council Entry'!AP$6-'Council Entry'!AP$5)),1))),"No data"))</f>
        <v/>
      </c>
      <c r="AQ198" s="13">
        <f>IF('Council Entry'!AQ198="","",IFERROR(MAX(0,MIN(10,ROUND(IF('Council Entry'!AQ$7="Decrease Risk",10-10*((IF('Council Entry'!AQ$4="Logarithm",LN(0.001+IF(AND(ISNUMBER('Council Entry'!AQ$8),ISNUMBER('Council Entry'!AQ$9)),MAX(MIN('Council Entry'!AQ198,'Council Entry'!AQ$9),'Council Entry'!AQ$8),'Council Entry'!AQ198)),IF('Council Entry'!AQ$4="Exponential",EXP(IF(AND(ISNUMBER('Council Entry'!AQ$8),ISNUMBER('Council Entry'!AQ$9)),MAX(MIN('Council Entry'!AQ198,'Council Entry'!AQ$9),'Council Entry'!AQ$8),'Council Entry'!AQ198)),IF(AND(ISNUMBER('Council Entry'!AQ$8),ISNUMBER('Council Entry'!AQ$9)),MAX(MIN('Council Entry'!AQ198,'Council Entry'!AQ$9),'Council Entry'!AQ$8),'Council Entry'!AQ198))))-'Council Entry'!AQ$5)/('Council Entry'!AQ$6-'Council Entry'!AQ$5),10*((IF('Council Entry'!AQ$4="Logarithm",LN(0.001+IF(AND(ISNUMBER('Council Entry'!AQ$8),ISNUMBER('Council Entry'!AQ$9)),MAX(MIN('Council Entry'!AQ198,'Council Entry'!AQ$9),'Council Entry'!AQ$8),'Council Entry'!AQ198)),IF('Council Entry'!AQ$4="Exponential",EXP(IF(AND(ISNUMBER('Council Entry'!AQ$8),ISNUMBER('Council Entry'!AQ$9)),MAX(MIN('Council Entry'!AQ198,'Council Entry'!AQ$9),'Council Entry'!AQ$8),'Council Entry'!AQ198)),IF(AND(ISNUMBER('Council Entry'!AQ$8),ISNUMBER('Council Entry'!AQ$9)),MAX(MIN('Council Entry'!AQ198,'Council Entry'!AQ$9),'Council Entry'!AQ$8),'Council Entry'!AQ198))))-'Council Entry'!AQ$5)/('Council Entry'!AQ$6-'Council Entry'!AQ$5)),1))),"No data"))</f>
        <v/>
      </c>
      <c r="AR198" s="13">
        <f>IF('Council Entry'!AR198="","",IFERROR(MAX(0,MIN(10,ROUND(IF('Council Entry'!AR$7="Decrease Risk",10-10*((IF('Council Entry'!AR$4="Logarithm",LN(0.001+IF(AND(ISNUMBER('Council Entry'!AR$8),ISNUMBER('Council Entry'!AR$9)),MAX(MIN('Council Entry'!AR198,'Council Entry'!AR$9),'Council Entry'!AR$8),'Council Entry'!AR198)),IF('Council Entry'!AR$4="Exponential",EXP(IF(AND(ISNUMBER('Council Entry'!AR$8),ISNUMBER('Council Entry'!AR$9)),MAX(MIN('Council Entry'!AR198,'Council Entry'!AR$9),'Council Entry'!AR$8),'Council Entry'!AR198)),IF(AND(ISNUMBER('Council Entry'!AR$8),ISNUMBER('Council Entry'!AR$9)),MAX(MIN('Council Entry'!AR198,'Council Entry'!AR$9),'Council Entry'!AR$8),'Council Entry'!AR198))))-'Council Entry'!AR$5)/('Council Entry'!AR$6-'Council Entry'!AR$5),10*((IF('Council Entry'!AR$4="Logarithm",LN(0.001+IF(AND(ISNUMBER('Council Entry'!AR$8),ISNUMBER('Council Entry'!AR$9)),MAX(MIN('Council Entry'!AR198,'Council Entry'!AR$9),'Council Entry'!AR$8),'Council Entry'!AR198)),IF('Council Entry'!AR$4="Exponential",EXP(IF(AND(ISNUMBER('Council Entry'!AR$8),ISNUMBER('Council Entry'!AR$9)),MAX(MIN('Council Entry'!AR198,'Council Entry'!AR$9),'Council Entry'!AR$8),'Council Entry'!AR198)),IF(AND(ISNUMBER('Council Entry'!AR$8),ISNUMBER('Council Entry'!AR$9)),MAX(MIN('Council Entry'!AR198,'Council Entry'!AR$9),'Council Entry'!AR$8),'Council Entry'!AR198))))-'Council Entry'!AR$5)/('Council Entry'!AR$6-'Council Entry'!AR$5)),1))),"No data"))</f>
        <v/>
      </c>
      <c r="AS198" s="13">
        <f>IF('Council Entry'!AS198="","",IFERROR(MAX(0,MIN(10,ROUND(IF('Council Entry'!AS$7="Decrease Risk",10-10*((IF('Council Entry'!AS$4="Logarithm",LN(0.001+IF(AND(ISNUMBER('Council Entry'!AS$8),ISNUMBER('Council Entry'!AS$9)),MAX(MIN('Council Entry'!AS198,'Council Entry'!AS$9),'Council Entry'!AS$8),'Council Entry'!AS198)),IF('Council Entry'!AS$4="Exponential",EXP(IF(AND(ISNUMBER('Council Entry'!AS$8),ISNUMBER('Council Entry'!AS$9)),MAX(MIN('Council Entry'!AS198,'Council Entry'!AS$9),'Council Entry'!AS$8),'Council Entry'!AS198)),IF(AND(ISNUMBER('Council Entry'!AS$8),ISNUMBER('Council Entry'!AS$9)),MAX(MIN('Council Entry'!AS198,'Council Entry'!AS$9),'Council Entry'!AS$8),'Council Entry'!AS198))))-'Council Entry'!AS$5)/('Council Entry'!AS$6-'Council Entry'!AS$5),10*((IF('Council Entry'!AS$4="Logarithm",LN(0.001+IF(AND(ISNUMBER('Council Entry'!AS$8),ISNUMBER('Council Entry'!AS$9)),MAX(MIN('Council Entry'!AS198,'Council Entry'!AS$9),'Council Entry'!AS$8),'Council Entry'!AS198)),IF('Council Entry'!AS$4="Exponential",EXP(IF(AND(ISNUMBER('Council Entry'!AS$8),ISNUMBER('Council Entry'!AS$9)),MAX(MIN('Council Entry'!AS198,'Council Entry'!AS$9),'Council Entry'!AS$8),'Council Entry'!AS198)),IF(AND(ISNUMBER('Council Entry'!AS$8),ISNUMBER('Council Entry'!AS$9)),MAX(MIN('Council Entry'!AS198,'Council Entry'!AS$9),'Council Entry'!AS$8),'Council Entry'!AS198))))-'Council Entry'!AS$5)/('Council Entry'!AS$6-'Council Entry'!AS$5)),1))),"No data"))</f>
        <v/>
      </c>
      <c r="AT198" s="13">
        <f>IF('Council Entry'!AT198="","",IFERROR(MAX(0,MIN(10,ROUND(IF('Council Entry'!AT$7="Decrease Risk",10-10*((IF('Council Entry'!AT$4="Logarithm",LN(0.001+IF(AND(ISNUMBER('Council Entry'!AT$8),ISNUMBER('Council Entry'!AT$9)),MAX(MIN('Council Entry'!AT198,'Council Entry'!AT$9),'Council Entry'!AT$8),'Council Entry'!AT198)),IF('Council Entry'!AT$4="Exponential",EXP(IF(AND(ISNUMBER('Council Entry'!AT$8),ISNUMBER('Council Entry'!AT$9)),MAX(MIN('Council Entry'!AT198,'Council Entry'!AT$9),'Council Entry'!AT$8),'Council Entry'!AT198)),IF(AND(ISNUMBER('Council Entry'!AT$8),ISNUMBER('Council Entry'!AT$9)),MAX(MIN('Council Entry'!AT198,'Council Entry'!AT$9),'Council Entry'!AT$8),'Council Entry'!AT198))))-'Council Entry'!AT$5)/('Council Entry'!AT$6-'Council Entry'!AT$5),10*((IF('Council Entry'!AT$4="Logarithm",LN(0.001+IF(AND(ISNUMBER('Council Entry'!AT$8),ISNUMBER('Council Entry'!AT$9)),MAX(MIN('Council Entry'!AT198,'Council Entry'!AT$9),'Council Entry'!AT$8),'Council Entry'!AT198)),IF('Council Entry'!AT$4="Exponential",EXP(IF(AND(ISNUMBER('Council Entry'!AT$8),ISNUMBER('Council Entry'!AT$9)),MAX(MIN('Council Entry'!AT198,'Council Entry'!AT$9),'Council Entry'!AT$8),'Council Entry'!AT198)),IF(AND(ISNUMBER('Council Entry'!AT$8),ISNUMBER('Council Entry'!AT$9)),MAX(MIN('Council Entry'!AT198,'Council Entry'!AT$9),'Council Entry'!AT$8),'Council Entry'!AT198))))-'Council Entry'!AT$5)/('Council Entry'!AT$6-'Council Entry'!AT$5)),1))),"No data"))</f>
        <v/>
      </c>
      <c r="AU198" s="13">
        <f>IF('Council Entry'!AU198="","",IFERROR(MAX(0,MIN(10,ROUND(IF('Council Entry'!AU$7="Decrease Risk",10-10*((IF('Council Entry'!AU$4="Logarithm",LN(0.001+IF(AND(ISNUMBER('Council Entry'!AU$8),ISNUMBER('Council Entry'!AU$9)),MAX(MIN('Council Entry'!AU198,'Council Entry'!AU$9),'Council Entry'!AU$8),'Council Entry'!AU198)),IF('Council Entry'!AU$4="Exponential",EXP(IF(AND(ISNUMBER('Council Entry'!AU$8),ISNUMBER('Council Entry'!AU$9)),MAX(MIN('Council Entry'!AU198,'Council Entry'!AU$9),'Council Entry'!AU$8),'Council Entry'!AU198)),IF(AND(ISNUMBER('Council Entry'!AU$8),ISNUMBER('Council Entry'!AU$9)),MAX(MIN('Council Entry'!AU198,'Council Entry'!AU$9),'Council Entry'!AU$8),'Council Entry'!AU198))))-'Council Entry'!AU$5)/('Council Entry'!AU$6-'Council Entry'!AU$5),10*((IF('Council Entry'!AU$4="Logarithm",LN(0.001+IF(AND(ISNUMBER('Council Entry'!AU$8),ISNUMBER('Council Entry'!AU$9)),MAX(MIN('Council Entry'!AU198,'Council Entry'!AU$9),'Council Entry'!AU$8),'Council Entry'!AU198)),IF('Council Entry'!AU$4="Exponential",EXP(IF(AND(ISNUMBER('Council Entry'!AU$8),ISNUMBER('Council Entry'!AU$9)),MAX(MIN('Council Entry'!AU198,'Council Entry'!AU$9),'Council Entry'!AU$8),'Council Entry'!AU198)),IF(AND(ISNUMBER('Council Entry'!AU$8),ISNUMBER('Council Entry'!AU$9)),MAX(MIN('Council Entry'!AU198,'Council Entry'!AU$9),'Council Entry'!AU$8),'Council Entry'!AU198))))-'Council Entry'!AU$5)/('Council Entry'!AU$6-'Council Entry'!AU$5)),1))),"No data"))</f>
        <v/>
      </c>
      <c r="AV198" s="13">
        <f>IF('Council Entry'!AV198="","",IFERROR(MAX(0,MIN(10,ROUND(IF('Council Entry'!AV$7="Decrease Risk",10-10*((IF('Council Entry'!AV$4="Logarithm",LN(0.001+IF(AND(ISNUMBER('Council Entry'!AV$8),ISNUMBER('Council Entry'!AV$9)),MAX(MIN('Council Entry'!AV198,'Council Entry'!AV$9),'Council Entry'!AV$8),'Council Entry'!AV198)),IF('Council Entry'!AV$4="Exponential",EXP(IF(AND(ISNUMBER('Council Entry'!AV$8),ISNUMBER('Council Entry'!AV$9)),MAX(MIN('Council Entry'!AV198,'Council Entry'!AV$9),'Council Entry'!AV$8),'Council Entry'!AV198)),IF(AND(ISNUMBER('Council Entry'!AV$8),ISNUMBER('Council Entry'!AV$9)),MAX(MIN('Council Entry'!AV198,'Council Entry'!AV$9),'Council Entry'!AV$8),'Council Entry'!AV198))))-'Council Entry'!AV$5)/('Council Entry'!AV$6-'Council Entry'!AV$5),10*((IF('Council Entry'!AV$4="Logarithm",LN(0.001+IF(AND(ISNUMBER('Council Entry'!AV$8),ISNUMBER('Council Entry'!AV$9)),MAX(MIN('Council Entry'!AV198,'Council Entry'!AV$9),'Council Entry'!AV$8),'Council Entry'!AV198)),IF('Council Entry'!AV$4="Exponential",EXP(IF(AND(ISNUMBER('Council Entry'!AV$8),ISNUMBER('Council Entry'!AV$9)),MAX(MIN('Council Entry'!AV198,'Council Entry'!AV$9),'Council Entry'!AV$8),'Council Entry'!AV198)),IF(AND(ISNUMBER('Council Entry'!AV$8),ISNUMBER('Council Entry'!AV$9)),MAX(MIN('Council Entry'!AV198,'Council Entry'!AV$9),'Council Entry'!AV$8),'Council Entry'!AV198))))-'Council Entry'!AV$5)/('Council Entry'!AV$6-'Council Entry'!AV$5)),1))),"No data"))</f>
        <v/>
      </c>
      <c r="AW198" s="13">
        <f>IF('Council Entry'!AW198="","",IFERROR(MAX(0,MIN(10,ROUND(IF('Council Entry'!AW$7="Decrease Risk",10-10*((IF('Council Entry'!AW$4="Logarithm",LN(0.001+IF(AND(ISNUMBER('Council Entry'!AW$8),ISNUMBER('Council Entry'!AW$9)),MAX(MIN('Council Entry'!AW198,'Council Entry'!AW$9),'Council Entry'!AW$8),'Council Entry'!AW198)),IF('Council Entry'!AW$4="Exponential",EXP(IF(AND(ISNUMBER('Council Entry'!AW$8),ISNUMBER('Council Entry'!AW$9)),MAX(MIN('Council Entry'!AW198,'Council Entry'!AW$9),'Council Entry'!AW$8),'Council Entry'!AW198)),IF(AND(ISNUMBER('Council Entry'!AW$8),ISNUMBER('Council Entry'!AW$9)),MAX(MIN('Council Entry'!AW198,'Council Entry'!AW$9),'Council Entry'!AW$8),'Council Entry'!AW198))))-'Council Entry'!AW$5)/('Council Entry'!AW$6-'Council Entry'!AW$5),10*((IF('Council Entry'!AW$4="Logarithm",LN(0.001+IF(AND(ISNUMBER('Council Entry'!AW$8),ISNUMBER('Council Entry'!AW$9)),MAX(MIN('Council Entry'!AW198,'Council Entry'!AW$9),'Council Entry'!AW$8),'Council Entry'!AW198)),IF('Council Entry'!AW$4="Exponential",EXP(IF(AND(ISNUMBER('Council Entry'!AW$8),ISNUMBER('Council Entry'!AW$9)),MAX(MIN('Council Entry'!AW198,'Council Entry'!AW$9),'Council Entry'!AW$8),'Council Entry'!AW198)),IF(AND(ISNUMBER('Council Entry'!AW$8),ISNUMBER('Council Entry'!AW$9)),MAX(MIN('Council Entry'!AW198,'Council Entry'!AW$9),'Council Entry'!AW$8),'Council Entry'!AW198))))-'Council Entry'!AW$5)/('Council Entry'!AW$6-'Council Entry'!AW$5)),1))),"No data"))</f>
        <v/>
      </c>
      <c r="AX198" s="13">
        <f>IF('Council Entry'!AX198="","",IFERROR(MAX(0,MIN(10,ROUND(IF('Council Entry'!AX$7="Decrease Risk",10-10*((IF('Council Entry'!AX$4="Logarithm",LN(0.001+IF(AND(ISNUMBER('Council Entry'!AX$8),ISNUMBER('Council Entry'!AX$9)),MAX(MIN('Council Entry'!AX198,'Council Entry'!AX$9),'Council Entry'!AX$8),'Council Entry'!AX198)),IF('Council Entry'!AX$4="Exponential",EXP(IF(AND(ISNUMBER('Council Entry'!AX$8),ISNUMBER('Council Entry'!AX$9)),MAX(MIN('Council Entry'!AX198,'Council Entry'!AX$9),'Council Entry'!AX$8),'Council Entry'!AX198)),IF(AND(ISNUMBER('Council Entry'!AX$8),ISNUMBER('Council Entry'!AX$9)),MAX(MIN('Council Entry'!AX198,'Council Entry'!AX$9),'Council Entry'!AX$8),'Council Entry'!AX198))))-'Council Entry'!AX$5)/('Council Entry'!AX$6-'Council Entry'!AX$5),10*((IF('Council Entry'!AX$4="Logarithm",LN(0.001+IF(AND(ISNUMBER('Council Entry'!AX$8),ISNUMBER('Council Entry'!AX$9)),MAX(MIN('Council Entry'!AX198,'Council Entry'!AX$9),'Council Entry'!AX$8),'Council Entry'!AX198)),IF('Council Entry'!AX$4="Exponential",EXP(IF(AND(ISNUMBER('Council Entry'!AX$8),ISNUMBER('Council Entry'!AX$9)),MAX(MIN('Council Entry'!AX198,'Council Entry'!AX$9),'Council Entry'!AX$8),'Council Entry'!AX198)),IF(AND(ISNUMBER('Council Entry'!AX$8),ISNUMBER('Council Entry'!AX$9)),MAX(MIN('Council Entry'!AX198,'Council Entry'!AX$9),'Council Entry'!AX$8),'Council Entry'!AX198))))-'Council Entry'!AX$5)/('Council Entry'!AX$6-'Council Entry'!AX$5)),1))),"No data"))</f>
        <v/>
      </c>
      <c r="AY198" s="13">
        <f>IF('Council Entry'!AY198="","",IFERROR(MAX(0,MIN(10,ROUND(IF('Council Entry'!AY$7="Decrease Risk",10-10*((IF('Council Entry'!AY$4="Logarithm",LN(0.001+IF(AND(ISNUMBER('Council Entry'!AY$8),ISNUMBER('Council Entry'!AY$9)),MAX(MIN('Council Entry'!AY198,'Council Entry'!AY$9),'Council Entry'!AY$8),'Council Entry'!AY198)),IF('Council Entry'!AY$4="Exponential",EXP(IF(AND(ISNUMBER('Council Entry'!AY$8),ISNUMBER('Council Entry'!AY$9)),MAX(MIN('Council Entry'!AY198,'Council Entry'!AY$9),'Council Entry'!AY$8),'Council Entry'!AY198)),IF(AND(ISNUMBER('Council Entry'!AY$8),ISNUMBER('Council Entry'!AY$9)),MAX(MIN('Council Entry'!AY198,'Council Entry'!AY$9),'Council Entry'!AY$8),'Council Entry'!AY198))))-'Council Entry'!AY$5)/('Council Entry'!AY$6-'Council Entry'!AY$5),10*((IF('Council Entry'!AY$4="Logarithm",LN(0.001+IF(AND(ISNUMBER('Council Entry'!AY$8),ISNUMBER('Council Entry'!AY$9)),MAX(MIN('Council Entry'!AY198,'Council Entry'!AY$9),'Council Entry'!AY$8),'Council Entry'!AY198)),IF('Council Entry'!AY$4="Exponential",EXP(IF(AND(ISNUMBER('Council Entry'!AY$8),ISNUMBER('Council Entry'!AY$9)),MAX(MIN('Council Entry'!AY198,'Council Entry'!AY$9),'Council Entry'!AY$8),'Council Entry'!AY198)),IF(AND(ISNUMBER('Council Entry'!AY$8),ISNUMBER('Council Entry'!AY$9)),MAX(MIN('Council Entry'!AY198,'Council Entry'!AY$9),'Council Entry'!AY$8),'Council Entry'!AY198))))-'Council Entry'!AY$5)/('Council Entry'!AY$6-'Council Entry'!AY$5)),1))),"No data"))</f>
        <v/>
      </c>
      <c r="AZ198" s="13">
        <f>IF('Council Entry'!AZ198="","",IFERROR(MAX(0,MIN(10,ROUND(IF('Council Entry'!AZ$7="Decrease Risk",10-10*((IF('Council Entry'!AZ$4="Logarithm",LN(0.001+IF(AND(ISNUMBER('Council Entry'!AZ$8),ISNUMBER('Council Entry'!AZ$9)),MAX(MIN('Council Entry'!AZ198,'Council Entry'!AZ$9),'Council Entry'!AZ$8),'Council Entry'!AZ198)),IF('Council Entry'!AZ$4="Exponential",EXP(IF(AND(ISNUMBER('Council Entry'!AZ$8),ISNUMBER('Council Entry'!AZ$9)),MAX(MIN('Council Entry'!AZ198,'Council Entry'!AZ$9),'Council Entry'!AZ$8),'Council Entry'!AZ198)),IF(AND(ISNUMBER('Council Entry'!AZ$8),ISNUMBER('Council Entry'!AZ$9)),MAX(MIN('Council Entry'!AZ198,'Council Entry'!AZ$9),'Council Entry'!AZ$8),'Council Entry'!AZ198))))-'Council Entry'!AZ$5)/('Council Entry'!AZ$6-'Council Entry'!AZ$5),10*((IF('Council Entry'!AZ$4="Logarithm",LN(0.001+IF(AND(ISNUMBER('Council Entry'!AZ$8),ISNUMBER('Council Entry'!AZ$9)),MAX(MIN('Council Entry'!AZ198,'Council Entry'!AZ$9),'Council Entry'!AZ$8),'Council Entry'!AZ198)),IF('Council Entry'!AZ$4="Exponential",EXP(IF(AND(ISNUMBER('Council Entry'!AZ$8),ISNUMBER('Council Entry'!AZ$9)),MAX(MIN('Council Entry'!AZ198,'Council Entry'!AZ$9),'Council Entry'!AZ$8),'Council Entry'!AZ198)),IF(AND(ISNUMBER('Council Entry'!AZ$8),ISNUMBER('Council Entry'!AZ$9)),MAX(MIN('Council Entry'!AZ198,'Council Entry'!AZ$9),'Council Entry'!AZ$8),'Council Entry'!AZ198))))-'Council Entry'!AZ$5)/('Council Entry'!AZ$6-'Council Entry'!AZ$5)),1))),"No data"))</f>
        <v/>
      </c>
      <c r="BA198" s="13">
        <f>IF('Council Entry'!BA198="","",IFERROR(MAX(0,MIN(10,ROUND(IF('Council Entry'!BA$7="Decrease Risk",10-10*((IF('Council Entry'!BA$4="Logarithm",LN(0.001+IF(AND(ISNUMBER('Council Entry'!BA$8),ISNUMBER('Council Entry'!BA$9)),MAX(MIN('Council Entry'!BA198,'Council Entry'!BA$9),'Council Entry'!BA$8),'Council Entry'!BA198)),IF('Council Entry'!BA$4="Exponential",EXP(IF(AND(ISNUMBER('Council Entry'!BA$8),ISNUMBER('Council Entry'!BA$9)),MAX(MIN('Council Entry'!BA198,'Council Entry'!BA$9),'Council Entry'!BA$8),'Council Entry'!BA198)),IF(AND(ISNUMBER('Council Entry'!BA$8),ISNUMBER('Council Entry'!BA$9)),MAX(MIN('Council Entry'!BA198,'Council Entry'!BA$9),'Council Entry'!BA$8),'Council Entry'!BA198))))-'Council Entry'!BA$5)/('Council Entry'!BA$6-'Council Entry'!BA$5),10*((IF('Council Entry'!BA$4="Logarithm",LN(0.001+IF(AND(ISNUMBER('Council Entry'!BA$8),ISNUMBER('Council Entry'!BA$9)),MAX(MIN('Council Entry'!BA198,'Council Entry'!BA$9),'Council Entry'!BA$8),'Council Entry'!BA198)),IF('Council Entry'!BA$4="Exponential",EXP(IF(AND(ISNUMBER('Council Entry'!BA$8),ISNUMBER('Council Entry'!BA$9)),MAX(MIN('Council Entry'!BA198,'Council Entry'!BA$9),'Council Entry'!BA$8),'Council Entry'!BA198)),IF(AND(ISNUMBER('Council Entry'!BA$8),ISNUMBER('Council Entry'!BA$9)),MAX(MIN('Council Entry'!BA198,'Council Entry'!BA$9),'Council Entry'!BA$8),'Council Entry'!BA198))))-'Council Entry'!BA$5)/('Council Entry'!BA$6-'Council Entry'!BA$5)),1))),"No data"))</f>
        <v/>
      </c>
      <c r="BB198" s="13">
        <f>IF('Council Entry'!BB198="","",IFERROR(MAX(0,MIN(10,ROUND(IF('Council Entry'!BB$7="Decrease Risk",10-10*((IF('Council Entry'!BB$4="Logarithm",LN(0.001+IF(AND(ISNUMBER('Council Entry'!BB$8),ISNUMBER('Council Entry'!BB$9)),MAX(MIN('Council Entry'!BB198,'Council Entry'!BB$9),'Council Entry'!BB$8),'Council Entry'!BB198)),IF('Council Entry'!BB$4="Exponential",EXP(IF(AND(ISNUMBER('Council Entry'!BB$8),ISNUMBER('Council Entry'!BB$9)),MAX(MIN('Council Entry'!BB198,'Council Entry'!BB$9),'Council Entry'!BB$8),'Council Entry'!BB198)),IF(AND(ISNUMBER('Council Entry'!BB$8),ISNUMBER('Council Entry'!BB$9)),MAX(MIN('Council Entry'!BB198,'Council Entry'!BB$9),'Council Entry'!BB$8),'Council Entry'!BB198))))-'Council Entry'!BB$5)/('Council Entry'!BB$6-'Council Entry'!BB$5),10*((IF('Council Entry'!BB$4="Logarithm",LN(0.001+IF(AND(ISNUMBER('Council Entry'!BB$8),ISNUMBER('Council Entry'!BB$9)),MAX(MIN('Council Entry'!BB198,'Council Entry'!BB$9),'Council Entry'!BB$8),'Council Entry'!BB198)),IF('Council Entry'!BB$4="Exponential",EXP(IF(AND(ISNUMBER('Council Entry'!BB$8),ISNUMBER('Council Entry'!BB$9)),MAX(MIN('Council Entry'!BB198,'Council Entry'!BB$9),'Council Entry'!BB$8),'Council Entry'!BB198)),IF(AND(ISNUMBER('Council Entry'!BB$8),ISNUMBER('Council Entry'!BB$9)),MAX(MIN('Council Entry'!BB198,'Council Entry'!BB$9),'Council Entry'!BB$8),'Council Entry'!BB198))))-'Council Entry'!BB$5)/('Council Entry'!BB$6-'Council Entry'!BB$5)),1))),"No data"))</f>
        <v/>
      </c>
      <c r="BC198" s="13">
        <f>IF('Council Entry'!BC198="","",IFERROR(MAX(0,MIN(10,ROUND(IF('Council Entry'!BC$7="Decrease Risk",10-10*((IF('Council Entry'!BC$4="Logarithm",LN(0.001+IF(AND(ISNUMBER('Council Entry'!BC$8),ISNUMBER('Council Entry'!BC$9)),MAX(MIN('Council Entry'!BC198,'Council Entry'!BC$9),'Council Entry'!BC$8),'Council Entry'!BC198)),IF('Council Entry'!BC$4="Exponential",EXP(IF(AND(ISNUMBER('Council Entry'!BC$8),ISNUMBER('Council Entry'!BC$9)),MAX(MIN('Council Entry'!BC198,'Council Entry'!BC$9),'Council Entry'!BC$8),'Council Entry'!BC198)),IF(AND(ISNUMBER('Council Entry'!BC$8),ISNUMBER('Council Entry'!BC$9)),MAX(MIN('Council Entry'!BC198,'Council Entry'!BC$9),'Council Entry'!BC$8),'Council Entry'!BC198))))-'Council Entry'!BC$5)/('Council Entry'!BC$6-'Council Entry'!BC$5),10*((IF('Council Entry'!BC$4="Logarithm",LN(0.001+IF(AND(ISNUMBER('Council Entry'!BC$8),ISNUMBER('Council Entry'!BC$9)),MAX(MIN('Council Entry'!BC198,'Council Entry'!BC$9),'Council Entry'!BC$8),'Council Entry'!BC198)),IF('Council Entry'!BC$4="Exponential",EXP(IF(AND(ISNUMBER('Council Entry'!BC$8),ISNUMBER('Council Entry'!BC$9)),MAX(MIN('Council Entry'!BC198,'Council Entry'!BC$9),'Council Entry'!BC$8),'Council Entry'!BC198)),IF(AND(ISNUMBER('Council Entry'!BC$8),ISNUMBER('Council Entry'!BC$9)),MAX(MIN('Council Entry'!BC198,'Council Entry'!BC$9),'Council Entry'!BC$8),'Council Entry'!BC198))))-'Council Entry'!BC$5)/('Council Entry'!BC$6-'Council Entry'!BC$5)),1))),"No data"))</f>
        <v/>
      </c>
      <c r="BD198" s="13">
        <f>IF('Council Entry'!BD198="","",IFERROR(MAX(0,MIN(10,ROUND(IF('Council Entry'!BD$7="Decrease Risk",10-10*((IF('Council Entry'!BD$4="Logarithm",LN(0.001+IF(AND(ISNUMBER('Council Entry'!BD$8),ISNUMBER('Council Entry'!BD$9)),MAX(MIN('Council Entry'!BD198,'Council Entry'!BD$9),'Council Entry'!BD$8),'Council Entry'!BD198)),IF('Council Entry'!BD$4="Exponential",EXP(IF(AND(ISNUMBER('Council Entry'!BD$8),ISNUMBER('Council Entry'!BD$9)),MAX(MIN('Council Entry'!BD198,'Council Entry'!BD$9),'Council Entry'!BD$8),'Council Entry'!BD198)),IF(AND(ISNUMBER('Council Entry'!BD$8),ISNUMBER('Council Entry'!BD$9)),MAX(MIN('Council Entry'!BD198,'Council Entry'!BD$9),'Council Entry'!BD$8),'Council Entry'!BD198))))-'Council Entry'!BD$5)/('Council Entry'!BD$6-'Council Entry'!BD$5),10*((IF('Council Entry'!BD$4="Logarithm",LN(0.001+IF(AND(ISNUMBER('Council Entry'!BD$8),ISNUMBER('Council Entry'!BD$9)),MAX(MIN('Council Entry'!BD198,'Council Entry'!BD$9),'Council Entry'!BD$8),'Council Entry'!BD198)),IF('Council Entry'!BD$4="Exponential",EXP(IF(AND(ISNUMBER('Council Entry'!BD$8),ISNUMBER('Council Entry'!BD$9)),MAX(MIN('Council Entry'!BD198,'Council Entry'!BD$9),'Council Entry'!BD$8),'Council Entry'!BD198)),IF(AND(ISNUMBER('Council Entry'!BD$8),ISNUMBER('Council Entry'!BD$9)),MAX(MIN('Council Entry'!BD198,'Council Entry'!BD$9),'Council Entry'!BD$8),'Council Entry'!BD198))))-'Council Entry'!BD$5)/('Council Entry'!BD$6-'Council Entry'!BD$5)),1))),"No data"))</f>
        <v/>
      </c>
    </row>
    <row r="199">
      <c r="A199" t="inlineStr">
        <is>
          <t>Tanga</t>
        </is>
      </c>
      <c r="B199" t="inlineStr">
        <is>
          <t>Korogwe District</t>
        </is>
      </c>
      <c r="C199" t="inlineStr">
        <is>
          <t>C025</t>
        </is>
      </c>
      <c r="D199" s="13">
        <f>IF('Council Entry'!D199="","",IFERROR(MAX(0,MIN(10,ROUND(IF('Council Entry'!D$7="Decrease Risk",10-10*((IF('Council Entry'!D$4="Logarithm",LN(0.001+IF(AND(ISNUMBER('Council Entry'!D$8),ISNUMBER('Council Entry'!D$9)),MAX(MIN('Council Entry'!D199,'Council Entry'!D$9),'Council Entry'!D$8),'Council Entry'!D199)),IF('Council Entry'!D$4="Exponential",EXP(IF(AND(ISNUMBER('Council Entry'!D$8),ISNUMBER('Council Entry'!D$9)),MAX(MIN('Council Entry'!D199,'Council Entry'!D$9),'Council Entry'!D$8),'Council Entry'!D199)),IF(AND(ISNUMBER('Council Entry'!D$8),ISNUMBER('Council Entry'!D$9)),MAX(MIN('Council Entry'!D199,'Council Entry'!D$9),'Council Entry'!D$8),'Council Entry'!D199))))-'Council Entry'!D$5)/('Council Entry'!D$6-'Council Entry'!D$5),10*((IF('Council Entry'!D$4="Logarithm",LN(0.001+IF(AND(ISNUMBER('Council Entry'!D$8),ISNUMBER('Council Entry'!D$9)),MAX(MIN('Council Entry'!D199,'Council Entry'!D$9),'Council Entry'!D$8),'Council Entry'!D199)),IF('Council Entry'!D$4="Exponential",EXP(IF(AND(ISNUMBER('Council Entry'!D$8),ISNUMBER('Council Entry'!D$9)),MAX(MIN('Council Entry'!D199,'Council Entry'!D$9),'Council Entry'!D$8),'Council Entry'!D199)),IF(AND(ISNUMBER('Council Entry'!D$8),ISNUMBER('Council Entry'!D$9)),MAX(MIN('Council Entry'!D199,'Council Entry'!D$9),'Council Entry'!D$8),'Council Entry'!D199))))-'Council Entry'!D$5)/('Council Entry'!D$6-'Council Entry'!D$5)),1))),"No data"))</f>
        <v/>
      </c>
      <c r="E199" s="13">
        <f>IF('Council Entry'!E199="","",IFERROR(MAX(0,MIN(10,ROUND(IF('Council Entry'!E$7="Decrease Risk",10-10*((IF('Council Entry'!E$4="Logarithm",LN(0.001+IF(AND(ISNUMBER('Council Entry'!E$8),ISNUMBER('Council Entry'!E$9)),MAX(MIN('Council Entry'!E199,'Council Entry'!E$9),'Council Entry'!E$8),'Council Entry'!E199)),IF('Council Entry'!E$4="Exponential",EXP(IF(AND(ISNUMBER('Council Entry'!E$8),ISNUMBER('Council Entry'!E$9)),MAX(MIN('Council Entry'!E199,'Council Entry'!E$9),'Council Entry'!E$8),'Council Entry'!E199)),IF(AND(ISNUMBER('Council Entry'!E$8),ISNUMBER('Council Entry'!E$9)),MAX(MIN('Council Entry'!E199,'Council Entry'!E$9),'Council Entry'!E$8),'Council Entry'!E199))))-'Council Entry'!E$5)/('Council Entry'!E$6-'Council Entry'!E$5),10*((IF('Council Entry'!E$4="Logarithm",LN(0.001+IF(AND(ISNUMBER('Council Entry'!E$8),ISNUMBER('Council Entry'!E$9)),MAX(MIN('Council Entry'!E199,'Council Entry'!E$9),'Council Entry'!E$8),'Council Entry'!E199)),IF('Council Entry'!E$4="Exponential",EXP(IF(AND(ISNUMBER('Council Entry'!E$8),ISNUMBER('Council Entry'!E$9)),MAX(MIN('Council Entry'!E199,'Council Entry'!E$9),'Council Entry'!E$8),'Council Entry'!E199)),IF(AND(ISNUMBER('Council Entry'!E$8),ISNUMBER('Council Entry'!E$9)),MAX(MIN('Council Entry'!E199,'Council Entry'!E$9),'Council Entry'!E$8),'Council Entry'!E199))))-'Council Entry'!E$5)/('Council Entry'!E$6-'Council Entry'!E$5)),1))),"No data"))</f>
        <v/>
      </c>
      <c r="F199" s="13">
        <f>IF('Council Entry'!F199="","",IFERROR(MAX(0,MIN(10,ROUND(IF('Council Entry'!F$7="Decrease Risk",10-10*((IF('Council Entry'!F$4="Logarithm",LN(0.001+IF(AND(ISNUMBER('Council Entry'!F$8),ISNUMBER('Council Entry'!F$9)),MAX(MIN('Council Entry'!F199,'Council Entry'!F$9),'Council Entry'!F$8),'Council Entry'!F199)),IF('Council Entry'!F$4="Exponential",EXP(IF(AND(ISNUMBER('Council Entry'!F$8),ISNUMBER('Council Entry'!F$9)),MAX(MIN('Council Entry'!F199,'Council Entry'!F$9),'Council Entry'!F$8),'Council Entry'!F199)),IF(AND(ISNUMBER('Council Entry'!F$8),ISNUMBER('Council Entry'!F$9)),MAX(MIN('Council Entry'!F199,'Council Entry'!F$9),'Council Entry'!F$8),'Council Entry'!F199))))-'Council Entry'!F$5)/('Council Entry'!F$6-'Council Entry'!F$5),10*((IF('Council Entry'!F$4="Logarithm",LN(0.001+IF(AND(ISNUMBER('Council Entry'!F$8),ISNUMBER('Council Entry'!F$9)),MAX(MIN('Council Entry'!F199,'Council Entry'!F$9),'Council Entry'!F$8),'Council Entry'!F199)),IF('Council Entry'!F$4="Exponential",EXP(IF(AND(ISNUMBER('Council Entry'!F$8),ISNUMBER('Council Entry'!F$9)),MAX(MIN('Council Entry'!F199,'Council Entry'!F$9),'Council Entry'!F$8),'Council Entry'!F199)),IF(AND(ISNUMBER('Council Entry'!F$8),ISNUMBER('Council Entry'!F$9)),MAX(MIN('Council Entry'!F199,'Council Entry'!F$9),'Council Entry'!F$8),'Council Entry'!F199))))-'Council Entry'!F$5)/('Council Entry'!F$6-'Council Entry'!F$5)),1))),"No data"))</f>
        <v/>
      </c>
      <c r="G199" s="13">
        <f>IF('Council Entry'!G199="","",IFERROR(MAX(0,MIN(10,ROUND(IF('Council Entry'!G$7="Decrease Risk",10-10*((IF('Council Entry'!G$4="Logarithm",LN(0.001+IF(AND(ISNUMBER('Council Entry'!G$8),ISNUMBER('Council Entry'!G$9)),MAX(MIN('Council Entry'!G199,'Council Entry'!G$9),'Council Entry'!G$8),'Council Entry'!G199)),IF('Council Entry'!G$4="Exponential",EXP(IF(AND(ISNUMBER('Council Entry'!G$8),ISNUMBER('Council Entry'!G$9)),MAX(MIN('Council Entry'!G199,'Council Entry'!G$9),'Council Entry'!G$8),'Council Entry'!G199)),IF(AND(ISNUMBER('Council Entry'!G$8),ISNUMBER('Council Entry'!G$9)),MAX(MIN('Council Entry'!G199,'Council Entry'!G$9),'Council Entry'!G$8),'Council Entry'!G199))))-'Council Entry'!G$5)/('Council Entry'!G$6-'Council Entry'!G$5),10*((IF('Council Entry'!G$4="Logarithm",LN(0.001+IF(AND(ISNUMBER('Council Entry'!G$8),ISNUMBER('Council Entry'!G$9)),MAX(MIN('Council Entry'!G199,'Council Entry'!G$9),'Council Entry'!G$8),'Council Entry'!G199)),IF('Council Entry'!G$4="Exponential",EXP(IF(AND(ISNUMBER('Council Entry'!G$8),ISNUMBER('Council Entry'!G$9)),MAX(MIN('Council Entry'!G199,'Council Entry'!G$9),'Council Entry'!G$8),'Council Entry'!G199)),IF(AND(ISNUMBER('Council Entry'!G$8),ISNUMBER('Council Entry'!G$9)),MAX(MIN('Council Entry'!G199,'Council Entry'!G$9),'Council Entry'!G$8),'Council Entry'!G199))))-'Council Entry'!G$5)/('Council Entry'!G$6-'Council Entry'!G$5)),1))),"No data"))</f>
        <v/>
      </c>
      <c r="H199" s="13">
        <f>IF('Council Entry'!H199="","",IFERROR(MAX(0,MIN(10,ROUND(IF('Council Entry'!H$7="Decrease Risk",10-10*((IF('Council Entry'!H$4="Logarithm",LN(0.001+IF(AND(ISNUMBER('Council Entry'!H$8),ISNUMBER('Council Entry'!H$9)),MAX(MIN('Council Entry'!H199,'Council Entry'!H$9),'Council Entry'!H$8),'Council Entry'!H199)),IF('Council Entry'!H$4="Exponential",EXP(IF(AND(ISNUMBER('Council Entry'!H$8),ISNUMBER('Council Entry'!H$9)),MAX(MIN('Council Entry'!H199,'Council Entry'!H$9),'Council Entry'!H$8),'Council Entry'!H199)),IF(AND(ISNUMBER('Council Entry'!H$8),ISNUMBER('Council Entry'!H$9)),MAX(MIN('Council Entry'!H199,'Council Entry'!H$9),'Council Entry'!H$8),'Council Entry'!H199))))-'Council Entry'!H$5)/('Council Entry'!H$6-'Council Entry'!H$5),10*((IF('Council Entry'!H$4="Logarithm",LN(0.001+IF(AND(ISNUMBER('Council Entry'!H$8),ISNUMBER('Council Entry'!H$9)),MAX(MIN('Council Entry'!H199,'Council Entry'!H$9),'Council Entry'!H$8),'Council Entry'!H199)),IF('Council Entry'!H$4="Exponential",EXP(IF(AND(ISNUMBER('Council Entry'!H$8),ISNUMBER('Council Entry'!H$9)),MAX(MIN('Council Entry'!H199,'Council Entry'!H$9),'Council Entry'!H$8),'Council Entry'!H199)),IF(AND(ISNUMBER('Council Entry'!H$8),ISNUMBER('Council Entry'!H$9)),MAX(MIN('Council Entry'!H199,'Council Entry'!H$9),'Council Entry'!H$8),'Council Entry'!H199))))-'Council Entry'!H$5)/('Council Entry'!H$6-'Council Entry'!H$5)),1))),"No data"))</f>
        <v/>
      </c>
      <c r="I199" s="13">
        <f>IF('Council Entry'!I199="","",IFERROR(MAX(0,MIN(10,ROUND(IF('Council Entry'!I$7="Decrease Risk",10-10*((IF('Council Entry'!I$4="Logarithm",LN(0.001+IF(AND(ISNUMBER('Council Entry'!I$8),ISNUMBER('Council Entry'!I$9)),MAX(MIN('Council Entry'!I199,'Council Entry'!I$9),'Council Entry'!I$8),'Council Entry'!I199)),IF('Council Entry'!I$4="Exponential",EXP(IF(AND(ISNUMBER('Council Entry'!I$8),ISNUMBER('Council Entry'!I$9)),MAX(MIN('Council Entry'!I199,'Council Entry'!I$9),'Council Entry'!I$8),'Council Entry'!I199)),IF(AND(ISNUMBER('Council Entry'!I$8),ISNUMBER('Council Entry'!I$9)),MAX(MIN('Council Entry'!I199,'Council Entry'!I$9),'Council Entry'!I$8),'Council Entry'!I199))))-'Council Entry'!I$5)/('Council Entry'!I$6-'Council Entry'!I$5),10*((IF('Council Entry'!I$4="Logarithm",LN(0.001+IF(AND(ISNUMBER('Council Entry'!I$8),ISNUMBER('Council Entry'!I$9)),MAX(MIN('Council Entry'!I199,'Council Entry'!I$9),'Council Entry'!I$8),'Council Entry'!I199)),IF('Council Entry'!I$4="Exponential",EXP(IF(AND(ISNUMBER('Council Entry'!I$8),ISNUMBER('Council Entry'!I$9)),MAX(MIN('Council Entry'!I199,'Council Entry'!I$9),'Council Entry'!I$8),'Council Entry'!I199)),IF(AND(ISNUMBER('Council Entry'!I$8),ISNUMBER('Council Entry'!I$9)),MAX(MIN('Council Entry'!I199,'Council Entry'!I$9),'Council Entry'!I$8),'Council Entry'!I199))))-'Council Entry'!I$5)/('Council Entry'!I$6-'Council Entry'!I$5)),1))),"No data"))</f>
        <v/>
      </c>
      <c r="J199" s="13">
        <f>IF('Council Entry'!J199="","",IFERROR(MAX(0,MIN(10,ROUND(IF('Council Entry'!J$7="Decrease Risk",10-10*((IF('Council Entry'!J$4="Logarithm",LN(0.001+IF(AND(ISNUMBER('Council Entry'!J$8),ISNUMBER('Council Entry'!J$9)),MAX(MIN('Council Entry'!J199,'Council Entry'!J$9),'Council Entry'!J$8),'Council Entry'!J199)),IF('Council Entry'!J$4="Exponential",EXP(IF(AND(ISNUMBER('Council Entry'!J$8),ISNUMBER('Council Entry'!J$9)),MAX(MIN('Council Entry'!J199,'Council Entry'!J$9),'Council Entry'!J$8),'Council Entry'!J199)),IF(AND(ISNUMBER('Council Entry'!J$8),ISNUMBER('Council Entry'!J$9)),MAX(MIN('Council Entry'!J199,'Council Entry'!J$9),'Council Entry'!J$8),'Council Entry'!J199))))-'Council Entry'!J$5)/('Council Entry'!J$6-'Council Entry'!J$5),10*((IF('Council Entry'!J$4="Logarithm",LN(0.001+IF(AND(ISNUMBER('Council Entry'!J$8),ISNUMBER('Council Entry'!J$9)),MAX(MIN('Council Entry'!J199,'Council Entry'!J$9),'Council Entry'!J$8),'Council Entry'!J199)),IF('Council Entry'!J$4="Exponential",EXP(IF(AND(ISNUMBER('Council Entry'!J$8),ISNUMBER('Council Entry'!J$9)),MAX(MIN('Council Entry'!J199,'Council Entry'!J$9),'Council Entry'!J$8),'Council Entry'!J199)),IF(AND(ISNUMBER('Council Entry'!J$8),ISNUMBER('Council Entry'!J$9)),MAX(MIN('Council Entry'!J199,'Council Entry'!J$9),'Council Entry'!J$8),'Council Entry'!J199))))-'Council Entry'!J$5)/('Council Entry'!J$6-'Council Entry'!J$5)),1))),"No data"))</f>
        <v/>
      </c>
      <c r="K199" s="13">
        <f>IF('Council Entry'!K199="","",IFERROR(MAX(0,MIN(10,ROUND(IF('Council Entry'!K$7="Decrease Risk",10-10*((IF('Council Entry'!K$4="Logarithm",LN(0.001+IF(AND(ISNUMBER('Council Entry'!K$8),ISNUMBER('Council Entry'!K$9)),MAX(MIN('Council Entry'!K199,'Council Entry'!K$9),'Council Entry'!K$8),'Council Entry'!K199)),IF('Council Entry'!K$4="Exponential",EXP(IF(AND(ISNUMBER('Council Entry'!K$8),ISNUMBER('Council Entry'!K$9)),MAX(MIN('Council Entry'!K199,'Council Entry'!K$9),'Council Entry'!K$8),'Council Entry'!K199)),IF(AND(ISNUMBER('Council Entry'!K$8),ISNUMBER('Council Entry'!K$9)),MAX(MIN('Council Entry'!K199,'Council Entry'!K$9),'Council Entry'!K$8),'Council Entry'!K199))))-'Council Entry'!K$5)/('Council Entry'!K$6-'Council Entry'!K$5),10*((IF('Council Entry'!K$4="Logarithm",LN(0.001+IF(AND(ISNUMBER('Council Entry'!K$8),ISNUMBER('Council Entry'!K$9)),MAX(MIN('Council Entry'!K199,'Council Entry'!K$9),'Council Entry'!K$8),'Council Entry'!K199)),IF('Council Entry'!K$4="Exponential",EXP(IF(AND(ISNUMBER('Council Entry'!K$8),ISNUMBER('Council Entry'!K$9)),MAX(MIN('Council Entry'!K199,'Council Entry'!K$9),'Council Entry'!K$8),'Council Entry'!K199)),IF(AND(ISNUMBER('Council Entry'!K$8),ISNUMBER('Council Entry'!K$9)),MAX(MIN('Council Entry'!K199,'Council Entry'!K$9),'Council Entry'!K$8),'Council Entry'!K199))))-'Council Entry'!K$5)/('Council Entry'!K$6-'Council Entry'!K$5)),1))),"No data"))</f>
        <v/>
      </c>
      <c r="L199" s="13">
        <f>IF('Council Entry'!L199="","",IFERROR(MAX(0,MIN(10,ROUND(IF('Council Entry'!L$7="Decrease Risk",10-10*((IF('Council Entry'!L$4="Logarithm",LN(0.001+IF(AND(ISNUMBER('Council Entry'!L$8),ISNUMBER('Council Entry'!L$9)),MAX(MIN('Council Entry'!L199,'Council Entry'!L$9),'Council Entry'!L$8),'Council Entry'!L199)),IF('Council Entry'!L$4="Exponential",EXP(IF(AND(ISNUMBER('Council Entry'!L$8),ISNUMBER('Council Entry'!L$9)),MAX(MIN('Council Entry'!L199,'Council Entry'!L$9),'Council Entry'!L$8),'Council Entry'!L199)),IF(AND(ISNUMBER('Council Entry'!L$8),ISNUMBER('Council Entry'!L$9)),MAX(MIN('Council Entry'!L199,'Council Entry'!L$9),'Council Entry'!L$8),'Council Entry'!L199))))-'Council Entry'!L$5)/('Council Entry'!L$6-'Council Entry'!L$5),10*((IF('Council Entry'!L$4="Logarithm",LN(0.001+IF(AND(ISNUMBER('Council Entry'!L$8),ISNUMBER('Council Entry'!L$9)),MAX(MIN('Council Entry'!L199,'Council Entry'!L$9),'Council Entry'!L$8),'Council Entry'!L199)),IF('Council Entry'!L$4="Exponential",EXP(IF(AND(ISNUMBER('Council Entry'!L$8),ISNUMBER('Council Entry'!L$9)),MAX(MIN('Council Entry'!L199,'Council Entry'!L$9),'Council Entry'!L$8),'Council Entry'!L199)),IF(AND(ISNUMBER('Council Entry'!L$8),ISNUMBER('Council Entry'!L$9)),MAX(MIN('Council Entry'!L199,'Council Entry'!L$9),'Council Entry'!L$8),'Council Entry'!L199))))-'Council Entry'!L$5)/('Council Entry'!L$6-'Council Entry'!L$5)),1))),"No data"))</f>
        <v/>
      </c>
      <c r="M199" s="13">
        <f>IF('Council Entry'!M199="","",IFERROR(MAX(0,MIN(10,ROUND(IF('Council Entry'!M$7="Decrease Risk",10-10*((IF('Council Entry'!M$4="Logarithm",LN(0.001+IF(AND(ISNUMBER('Council Entry'!M$8),ISNUMBER('Council Entry'!M$9)),MAX(MIN('Council Entry'!M199,'Council Entry'!M$9),'Council Entry'!M$8),'Council Entry'!M199)),IF('Council Entry'!M$4="Exponential",EXP(IF(AND(ISNUMBER('Council Entry'!M$8),ISNUMBER('Council Entry'!M$9)),MAX(MIN('Council Entry'!M199,'Council Entry'!M$9),'Council Entry'!M$8),'Council Entry'!M199)),IF(AND(ISNUMBER('Council Entry'!M$8),ISNUMBER('Council Entry'!M$9)),MAX(MIN('Council Entry'!M199,'Council Entry'!M$9),'Council Entry'!M$8),'Council Entry'!M199))))-'Council Entry'!M$5)/('Council Entry'!M$6-'Council Entry'!M$5),10*((IF('Council Entry'!M$4="Logarithm",LN(0.001+IF(AND(ISNUMBER('Council Entry'!M$8),ISNUMBER('Council Entry'!M$9)),MAX(MIN('Council Entry'!M199,'Council Entry'!M$9),'Council Entry'!M$8),'Council Entry'!M199)),IF('Council Entry'!M$4="Exponential",EXP(IF(AND(ISNUMBER('Council Entry'!M$8),ISNUMBER('Council Entry'!M$9)),MAX(MIN('Council Entry'!M199,'Council Entry'!M$9),'Council Entry'!M$8),'Council Entry'!M199)),IF(AND(ISNUMBER('Council Entry'!M$8),ISNUMBER('Council Entry'!M$9)),MAX(MIN('Council Entry'!M199,'Council Entry'!M$9),'Council Entry'!M$8),'Council Entry'!M199))))-'Council Entry'!M$5)/('Council Entry'!M$6-'Council Entry'!M$5)),1))),"No data"))</f>
        <v/>
      </c>
      <c r="N199" s="13">
        <f>IF('Council Entry'!N199="","",IFERROR(MAX(0,MIN(10,ROUND(IF('Council Entry'!N$7="Decrease Risk",10-10*((IF('Council Entry'!N$4="Logarithm",LN(0.001+IF(AND(ISNUMBER('Council Entry'!N$8),ISNUMBER('Council Entry'!N$9)),MAX(MIN('Council Entry'!N199,'Council Entry'!N$9),'Council Entry'!N$8),'Council Entry'!N199)),IF('Council Entry'!N$4="Exponential",EXP(IF(AND(ISNUMBER('Council Entry'!N$8),ISNUMBER('Council Entry'!N$9)),MAX(MIN('Council Entry'!N199,'Council Entry'!N$9),'Council Entry'!N$8),'Council Entry'!N199)),IF(AND(ISNUMBER('Council Entry'!N$8),ISNUMBER('Council Entry'!N$9)),MAX(MIN('Council Entry'!N199,'Council Entry'!N$9),'Council Entry'!N$8),'Council Entry'!N199))))-'Council Entry'!N$5)/('Council Entry'!N$6-'Council Entry'!N$5),10*((IF('Council Entry'!N$4="Logarithm",LN(0.001+IF(AND(ISNUMBER('Council Entry'!N$8),ISNUMBER('Council Entry'!N$9)),MAX(MIN('Council Entry'!N199,'Council Entry'!N$9),'Council Entry'!N$8),'Council Entry'!N199)),IF('Council Entry'!N$4="Exponential",EXP(IF(AND(ISNUMBER('Council Entry'!N$8),ISNUMBER('Council Entry'!N$9)),MAX(MIN('Council Entry'!N199,'Council Entry'!N$9),'Council Entry'!N$8),'Council Entry'!N199)),IF(AND(ISNUMBER('Council Entry'!N$8),ISNUMBER('Council Entry'!N$9)),MAX(MIN('Council Entry'!N199,'Council Entry'!N$9),'Council Entry'!N$8),'Council Entry'!N199))))-'Council Entry'!N$5)/('Council Entry'!N$6-'Council Entry'!N$5)),1))),"No data"))</f>
        <v/>
      </c>
      <c r="O199" s="13">
        <f>IF('Council Entry'!O199="","",IFERROR(MAX(0,MIN(10,ROUND(IF('Council Entry'!O$7="Decrease Risk",10-10*((IF('Council Entry'!O$4="Logarithm",LN(0.001+IF(AND(ISNUMBER('Council Entry'!O$8),ISNUMBER('Council Entry'!O$9)),MAX(MIN('Council Entry'!O199,'Council Entry'!O$9),'Council Entry'!O$8),'Council Entry'!O199)),IF('Council Entry'!O$4="Exponential",EXP(IF(AND(ISNUMBER('Council Entry'!O$8),ISNUMBER('Council Entry'!O$9)),MAX(MIN('Council Entry'!O199,'Council Entry'!O$9),'Council Entry'!O$8),'Council Entry'!O199)),IF(AND(ISNUMBER('Council Entry'!O$8),ISNUMBER('Council Entry'!O$9)),MAX(MIN('Council Entry'!O199,'Council Entry'!O$9),'Council Entry'!O$8),'Council Entry'!O199))))-'Council Entry'!O$5)/('Council Entry'!O$6-'Council Entry'!O$5),10*((IF('Council Entry'!O$4="Logarithm",LN(0.001+IF(AND(ISNUMBER('Council Entry'!O$8),ISNUMBER('Council Entry'!O$9)),MAX(MIN('Council Entry'!O199,'Council Entry'!O$9),'Council Entry'!O$8),'Council Entry'!O199)),IF('Council Entry'!O$4="Exponential",EXP(IF(AND(ISNUMBER('Council Entry'!O$8),ISNUMBER('Council Entry'!O$9)),MAX(MIN('Council Entry'!O199,'Council Entry'!O$9),'Council Entry'!O$8),'Council Entry'!O199)),IF(AND(ISNUMBER('Council Entry'!O$8),ISNUMBER('Council Entry'!O$9)),MAX(MIN('Council Entry'!O199,'Council Entry'!O$9),'Council Entry'!O$8),'Council Entry'!O199))))-'Council Entry'!O$5)/('Council Entry'!O$6-'Council Entry'!O$5)),1))),"No data"))</f>
        <v/>
      </c>
      <c r="P199" s="13">
        <f>IF('Council Entry'!P199="","",IFERROR(MAX(0,MIN(10,ROUND(IF('Council Entry'!P$7="Decrease Risk",10-10*((IF('Council Entry'!P$4="Logarithm",LN(0.001+IF(AND(ISNUMBER('Council Entry'!P$8),ISNUMBER('Council Entry'!P$9)),MAX(MIN('Council Entry'!P199,'Council Entry'!P$9),'Council Entry'!P$8),'Council Entry'!P199)),IF('Council Entry'!P$4="Exponential",EXP(IF(AND(ISNUMBER('Council Entry'!P$8),ISNUMBER('Council Entry'!P$9)),MAX(MIN('Council Entry'!P199,'Council Entry'!P$9),'Council Entry'!P$8),'Council Entry'!P199)),IF(AND(ISNUMBER('Council Entry'!P$8),ISNUMBER('Council Entry'!P$9)),MAX(MIN('Council Entry'!P199,'Council Entry'!P$9),'Council Entry'!P$8),'Council Entry'!P199))))-'Council Entry'!P$5)/('Council Entry'!P$6-'Council Entry'!P$5),10*((IF('Council Entry'!P$4="Logarithm",LN(0.001+IF(AND(ISNUMBER('Council Entry'!P$8),ISNUMBER('Council Entry'!P$9)),MAX(MIN('Council Entry'!P199,'Council Entry'!P$9),'Council Entry'!P$8),'Council Entry'!P199)),IF('Council Entry'!P$4="Exponential",EXP(IF(AND(ISNUMBER('Council Entry'!P$8),ISNUMBER('Council Entry'!P$9)),MAX(MIN('Council Entry'!P199,'Council Entry'!P$9),'Council Entry'!P$8),'Council Entry'!P199)),IF(AND(ISNUMBER('Council Entry'!P$8),ISNUMBER('Council Entry'!P$9)),MAX(MIN('Council Entry'!P199,'Council Entry'!P$9),'Council Entry'!P$8),'Council Entry'!P199))))-'Council Entry'!P$5)/('Council Entry'!P$6-'Council Entry'!P$5)),1))),"No data"))</f>
        <v/>
      </c>
      <c r="Q199" s="13">
        <f>IF('Council Entry'!Q199="","",IFERROR(MAX(0,MIN(10,ROUND(IF('Council Entry'!Q$7="Decrease Risk",10-10*((IF('Council Entry'!Q$4="Logarithm",LN(0.001+IF(AND(ISNUMBER('Council Entry'!Q$8),ISNUMBER('Council Entry'!Q$9)),MAX(MIN('Council Entry'!Q199,'Council Entry'!Q$9),'Council Entry'!Q$8),'Council Entry'!Q199)),IF('Council Entry'!Q$4="Exponential",EXP(IF(AND(ISNUMBER('Council Entry'!Q$8),ISNUMBER('Council Entry'!Q$9)),MAX(MIN('Council Entry'!Q199,'Council Entry'!Q$9),'Council Entry'!Q$8),'Council Entry'!Q199)),IF(AND(ISNUMBER('Council Entry'!Q$8),ISNUMBER('Council Entry'!Q$9)),MAX(MIN('Council Entry'!Q199,'Council Entry'!Q$9),'Council Entry'!Q$8),'Council Entry'!Q199))))-'Council Entry'!Q$5)/('Council Entry'!Q$6-'Council Entry'!Q$5),10*((IF('Council Entry'!Q$4="Logarithm",LN(0.001+IF(AND(ISNUMBER('Council Entry'!Q$8),ISNUMBER('Council Entry'!Q$9)),MAX(MIN('Council Entry'!Q199,'Council Entry'!Q$9),'Council Entry'!Q$8),'Council Entry'!Q199)),IF('Council Entry'!Q$4="Exponential",EXP(IF(AND(ISNUMBER('Council Entry'!Q$8),ISNUMBER('Council Entry'!Q$9)),MAX(MIN('Council Entry'!Q199,'Council Entry'!Q$9),'Council Entry'!Q$8),'Council Entry'!Q199)),IF(AND(ISNUMBER('Council Entry'!Q$8),ISNUMBER('Council Entry'!Q$9)),MAX(MIN('Council Entry'!Q199,'Council Entry'!Q$9),'Council Entry'!Q$8),'Council Entry'!Q199))))-'Council Entry'!Q$5)/('Council Entry'!Q$6-'Council Entry'!Q$5)),1))),"No data"))</f>
        <v/>
      </c>
      <c r="R199" s="13">
        <f>IF('Council Entry'!R199="","",IFERROR(MAX(0,MIN(10,ROUND(IF('Council Entry'!R$7="Decrease Risk",10-10*((IF('Council Entry'!R$4="Logarithm",LN(0.001+IF(AND(ISNUMBER('Council Entry'!R$8),ISNUMBER('Council Entry'!R$9)),MAX(MIN('Council Entry'!R199,'Council Entry'!R$9),'Council Entry'!R$8),'Council Entry'!R199)),IF('Council Entry'!R$4="Exponential",EXP(IF(AND(ISNUMBER('Council Entry'!R$8),ISNUMBER('Council Entry'!R$9)),MAX(MIN('Council Entry'!R199,'Council Entry'!R$9),'Council Entry'!R$8),'Council Entry'!R199)),IF(AND(ISNUMBER('Council Entry'!R$8),ISNUMBER('Council Entry'!R$9)),MAX(MIN('Council Entry'!R199,'Council Entry'!R$9),'Council Entry'!R$8),'Council Entry'!R199))))-'Council Entry'!R$5)/('Council Entry'!R$6-'Council Entry'!R$5),10*((IF('Council Entry'!R$4="Logarithm",LN(0.001+IF(AND(ISNUMBER('Council Entry'!R$8),ISNUMBER('Council Entry'!R$9)),MAX(MIN('Council Entry'!R199,'Council Entry'!R$9),'Council Entry'!R$8),'Council Entry'!R199)),IF('Council Entry'!R$4="Exponential",EXP(IF(AND(ISNUMBER('Council Entry'!R$8),ISNUMBER('Council Entry'!R$9)),MAX(MIN('Council Entry'!R199,'Council Entry'!R$9),'Council Entry'!R$8),'Council Entry'!R199)),IF(AND(ISNUMBER('Council Entry'!R$8),ISNUMBER('Council Entry'!R$9)),MAX(MIN('Council Entry'!R199,'Council Entry'!R$9),'Council Entry'!R$8),'Council Entry'!R199))))-'Council Entry'!R$5)/('Council Entry'!R$6-'Council Entry'!R$5)),1))),"No data"))</f>
        <v/>
      </c>
      <c r="S199" s="13">
        <f>IF('Council Entry'!S199="","",IFERROR(MAX(0,MIN(10,ROUND(IF('Council Entry'!S$7="Decrease Risk",10-10*((IF('Council Entry'!S$4="Logarithm",LN(0.001+IF(AND(ISNUMBER('Council Entry'!S$8),ISNUMBER('Council Entry'!S$9)),MAX(MIN('Council Entry'!S199,'Council Entry'!S$9),'Council Entry'!S$8),'Council Entry'!S199)),IF('Council Entry'!S$4="Exponential",EXP(IF(AND(ISNUMBER('Council Entry'!S$8),ISNUMBER('Council Entry'!S$9)),MAX(MIN('Council Entry'!S199,'Council Entry'!S$9),'Council Entry'!S$8),'Council Entry'!S199)),IF(AND(ISNUMBER('Council Entry'!S$8),ISNUMBER('Council Entry'!S$9)),MAX(MIN('Council Entry'!S199,'Council Entry'!S$9),'Council Entry'!S$8),'Council Entry'!S199))))-'Council Entry'!S$5)/('Council Entry'!S$6-'Council Entry'!S$5),10*((IF('Council Entry'!S$4="Logarithm",LN(0.001+IF(AND(ISNUMBER('Council Entry'!S$8),ISNUMBER('Council Entry'!S$9)),MAX(MIN('Council Entry'!S199,'Council Entry'!S$9),'Council Entry'!S$8),'Council Entry'!S199)),IF('Council Entry'!S$4="Exponential",EXP(IF(AND(ISNUMBER('Council Entry'!S$8),ISNUMBER('Council Entry'!S$9)),MAX(MIN('Council Entry'!S199,'Council Entry'!S$9),'Council Entry'!S$8),'Council Entry'!S199)),IF(AND(ISNUMBER('Council Entry'!S$8),ISNUMBER('Council Entry'!S$9)),MAX(MIN('Council Entry'!S199,'Council Entry'!S$9),'Council Entry'!S$8),'Council Entry'!S199))))-'Council Entry'!S$5)/('Council Entry'!S$6-'Council Entry'!S$5)),1))),"No data"))</f>
        <v/>
      </c>
      <c r="T199" s="13">
        <f>IF('Council Entry'!T199="","",IFERROR(MAX(0,MIN(10,ROUND(IF('Council Entry'!T$7="Decrease Risk",10-10*((IF('Council Entry'!T$4="Logarithm",LN(0.001+IF(AND(ISNUMBER('Council Entry'!T$8),ISNUMBER('Council Entry'!T$9)),MAX(MIN('Council Entry'!T199,'Council Entry'!T$9),'Council Entry'!T$8),'Council Entry'!T199)),IF('Council Entry'!T$4="Exponential",EXP(IF(AND(ISNUMBER('Council Entry'!T$8),ISNUMBER('Council Entry'!T$9)),MAX(MIN('Council Entry'!T199,'Council Entry'!T$9),'Council Entry'!T$8),'Council Entry'!T199)),IF(AND(ISNUMBER('Council Entry'!T$8),ISNUMBER('Council Entry'!T$9)),MAX(MIN('Council Entry'!T199,'Council Entry'!T$9),'Council Entry'!T$8),'Council Entry'!T199))))-'Council Entry'!T$5)/('Council Entry'!T$6-'Council Entry'!T$5),10*((IF('Council Entry'!T$4="Logarithm",LN(0.001+IF(AND(ISNUMBER('Council Entry'!T$8),ISNUMBER('Council Entry'!T$9)),MAX(MIN('Council Entry'!T199,'Council Entry'!T$9),'Council Entry'!T$8),'Council Entry'!T199)),IF('Council Entry'!T$4="Exponential",EXP(IF(AND(ISNUMBER('Council Entry'!T$8),ISNUMBER('Council Entry'!T$9)),MAX(MIN('Council Entry'!T199,'Council Entry'!T$9),'Council Entry'!T$8),'Council Entry'!T199)),IF(AND(ISNUMBER('Council Entry'!T$8),ISNUMBER('Council Entry'!T$9)),MAX(MIN('Council Entry'!T199,'Council Entry'!T$9),'Council Entry'!T$8),'Council Entry'!T199))))-'Council Entry'!T$5)/('Council Entry'!T$6-'Council Entry'!T$5)),1))),"No data"))</f>
        <v/>
      </c>
      <c r="U199" s="13">
        <f>IF('Council Entry'!U199="","",IFERROR(MAX(0,MIN(10,ROUND(IF('Council Entry'!U$7="Decrease Risk",10-10*((IF('Council Entry'!U$4="Logarithm",LN(0.001+IF(AND(ISNUMBER('Council Entry'!U$8),ISNUMBER('Council Entry'!U$9)),MAX(MIN('Council Entry'!U199,'Council Entry'!U$9),'Council Entry'!U$8),'Council Entry'!U199)),IF('Council Entry'!U$4="Exponential",EXP(IF(AND(ISNUMBER('Council Entry'!U$8),ISNUMBER('Council Entry'!U$9)),MAX(MIN('Council Entry'!U199,'Council Entry'!U$9),'Council Entry'!U$8),'Council Entry'!U199)),IF(AND(ISNUMBER('Council Entry'!U$8),ISNUMBER('Council Entry'!U$9)),MAX(MIN('Council Entry'!U199,'Council Entry'!U$9),'Council Entry'!U$8),'Council Entry'!U199))))-'Council Entry'!U$5)/('Council Entry'!U$6-'Council Entry'!U$5),10*((IF('Council Entry'!U$4="Logarithm",LN(0.001+IF(AND(ISNUMBER('Council Entry'!U$8),ISNUMBER('Council Entry'!U$9)),MAX(MIN('Council Entry'!U199,'Council Entry'!U$9),'Council Entry'!U$8),'Council Entry'!U199)),IF('Council Entry'!U$4="Exponential",EXP(IF(AND(ISNUMBER('Council Entry'!U$8),ISNUMBER('Council Entry'!U$9)),MAX(MIN('Council Entry'!U199,'Council Entry'!U$9),'Council Entry'!U$8),'Council Entry'!U199)),IF(AND(ISNUMBER('Council Entry'!U$8),ISNUMBER('Council Entry'!U$9)),MAX(MIN('Council Entry'!U199,'Council Entry'!U$9),'Council Entry'!U$8),'Council Entry'!U199))))-'Council Entry'!U$5)/('Council Entry'!U$6-'Council Entry'!U$5)),1))),"No data"))</f>
        <v/>
      </c>
      <c r="V199" s="13">
        <f>IF('Council Entry'!V199="","",IFERROR(MAX(0,MIN(10,ROUND(IF('Council Entry'!V$7="Decrease Risk",10-10*((IF('Council Entry'!V$4="Logarithm",LN(0.001+IF(AND(ISNUMBER('Council Entry'!V$8),ISNUMBER('Council Entry'!V$9)),MAX(MIN('Council Entry'!V199,'Council Entry'!V$9),'Council Entry'!V$8),'Council Entry'!V199)),IF('Council Entry'!V$4="Exponential",EXP(IF(AND(ISNUMBER('Council Entry'!V$8),ISNUMBER('Council Entry'!V$9)),MAX(MIN('Council Entry'!V199,'Council Entry'!V$9),'Council Entry'!V$8),'Council Entry'!V199)),IF(AND(ISNUMBER('Council Entry'!V$8),ISNUMBER('Council Entry'!V$9)),MAX(MIN('Council Entry'!V199,'Council Entry'!V$9),'Council Entry'!V$8),'Council Entry'!V199))))-'Council Entry'!V$5)/('Council Entry'!V$6-'Council Entry'!V$5),10*((IF('Council Entry'!V$4="Logarithm",LN(0.001+IF(AND(ISNUMBER('Council Entry'!V$8),ISNUMBER('Council Entry'!V$9)),MAX(MIN('Council Entry'!V199,'Council Entry'!V$9),'Council Entry'!V$8),'Council Entry'!V199)),IF('Council Entry'!V$4="Exponential",EXP(IF(AND(ISNUMBER('Council Entry'!V$8),ISNUMBER('Council Entry'!V$9)),MAX(MIN('Council Entry'!V199,'Council Entry'!V$9),'Council Entry'!V$8),'Council Entry'!V199)),IF(AND(ISNUMBER('Council Entry'!V$8),ISNUMBER('Council Entry'!V$9)),MAX(MIN('Council Entry'!V199,'Council Entry'!V$9),'Council Entry'!V$8),'Council Entry'!V199))))-'Council Entry'!V$5)/('Council Entry'!V$6-'Council Entry'!V$5)),1))),"No data"))</f>
        <v/>
      </c>
      <c r="W199" s="13">
        <f>IF('Council Entry'!W199="","",IFERROR(MAX(0,MIN(10,ROUND(IF('Council Entry'!W$7="Decrease Risk",10-10*((IF('Council Entry'!W$4="Logarithm",LN(0.001+IF(AND(ISNUMBER('Council Entry'!W$8),ISNUMBER('Council Entry'!W$9)),MAX(MIN('Council Entry'!W199,'Council Entry'!W$9),'Council Entry'!W$8),'Council Entry'!W199)),IF('Council Entry'!W$4="Exponential",EXP(IF(AND(ISNUMBER('Council Entry'!W$8),ISNUMBER('Council Entry'!W$9)),MAX(MIN('Council Entry'!W199,'Council Entry'!W$9),'Council Entry'!W$8),'Council Entry'!W199)),IF(AND(ISNUMBER('Council Entry'!W$8),ISNUMBER('Council Entry'!W$9)),MAX(MIN('Council Entry'!W199,'Council Entry'!W$9),'Council Entry'!W$8),'Council Entry'!W199))))-'Council Entry'!W$5)/('Council Entry'!W$6-'Council Entry'!W$5),10*((IF('Council Entry'!W$4="Logarithm",LN(0.001+IF(AND(ISNUMBER('Council Entry'!W$8),ISNUMBER('Council Entry'!W$9)),MAX(MIN('Council Entry'!W199,'Council Entry'!W$9),'Council Entry'!W$8),'Council Entry'!W199)),IF('Council Entry'!W$4="Exponential",EXP(IF(AND(ISNUMBER('Council Entry'!W$8),ISNUMBER('Council Entry'!W$9)),MAX(MIN('Council Entry'!W199,'Council Entry'!W$9),'Council Entry'!W$8),'Council Entry'!W199)),IF(AND(ISNUMBER('Council Entry'!W$8),ISNUMBER('Council Entry'!W$9)),MAX(MIN('Council Entry'!W199,'Council Entry'!W$9),'Council Entry'!W$8),'Council Entry'!W199))))-'Council Entry'!W$5)/('Council Entry'!W$6-'Council Entry'!W$5)),1))),"No data"))</f>
        <v/>
      </c>
      <c r="X199" s="13">
        <f>IF('Council Entry'!X199="","",IFERROR(MAX(0,MIN(10,ROUND(IF('Council Entry'!X$7="Decrease Risk",10-10*((IF('Council Entry'!X$4="Logarithm",LN(0.001+IF(AND(ISNUMBER('Council Entry'!X$8),ISNUMBER('Council Entry'!X$9)),MAX(MIN('Council Entry'!X199,'Council Entry'!X$9),'Council Entry'!X$8),'Council Entry'!X199)),IF('Council Entry'!X$4="Exponential",EXP(IF(AND(ISNUMBER('Council Entry'!X$8),ISNUMBER('Council Entry'!X$9)),MAX(MIN('Council Entry'!X199,'Council Entry'!X$9),'Council Entry'!X$8),'Council Entry'!X199)),IF(AND(ISNUMBER('Council Entry'!X$8),ISNUMBER('Council Entry'!X$9)),MAX(MIN('Council Entry'!X199,'Council Entry'!X$9),'Council Entry'!X$8),'Council Entry'!X199))))-'Council Entry'!X$5)/('Council Entry'!X$6-'Council Entry'!X$5),10*((IF('Council Entry'!X$4="Logarithm",LN(0.001+IF(AND(ISNUMBER('Council Entry'!X$8),ISNUMBER('Council Entry'!X$9)),MAX(MIN('Council Entry'!X199,'Council Entry'!X$9),'Council Entry'!X$8),'Council Entry'!X199)),IF('Council Entry'!X$4="Exponential",EXP(IF(AND(ISNUMBER('Council Entry'!X$8),ISNUMBER('Council Entry'!X$9)),MAX(MIN('Council Entry'!X199,'Council Entry'!X$9),'Council Entry'!X$8),'Council Entry'!X199)),IF(AND(ISNUMBER('Council Entry'!X$8),ISNUMBER('Council Entry'!X$9)),MAX(MIN('Council Entry'!X199,'Council Entry'!X$9),'Council Entry'!X$8),'Council Entry'!X199))))-'Council Entry'!X$5)/('Council Entry'!X$6-'Council Entry'!X$5)),1))),"No data"))</f>
        <v/>
      </c>
      <c r="Y199" s="13">
        <f>IF('Council Entry'!Y199="","",IFERROR(MAX(0,MIN(10,ROUND(IF('Council Entry'!Y$7="Decrease Risk",10-10*((IF('Council Entry'!Y$4="Logarithm",LN(0.001+IF(AND(ISNUMBER('Council Entry'!Y$8),ISNUMBER('Council Entry'!Y$9)),MAX(MIN('Council Entry'!Y199,'Council Entry'!Y$9),'Council Entry'!Y$8),'Council Entry'!Y199)),IF('Council Entry'!Y$4="Exponential",EXP(IF(AND(ISNUMBER('Council Entry'!Y$8),ISNUMBER('Council Entry'!Y$9)),MAX(MIN('Council Entry'!Y199,'Council Entry'!Y$9),'Council Entry'!Y$8),'Council Entry'!Y199)),IF(AND(ISNUMBER('Council Entry'!Y$8),ISNUMBER('Council Entry'!Y$9)),MAX(MIN('Council Entry'!Y199,'Council Entry'!Y$9),'Council Entry'!Y$8),'Council Entry'!Y199))))-'Council Entry'!Y$5)/('Council Entry'!Y$6-'Council Entry'!Y$5),10*((IF('Council Entry'!Y$4="Logarithm",LN(0.001+IF(AND(ISNUMBER('Council Entry'!Y$8),ISNUMBER('Council Entry'!Y$9)),MAX(MIN('Council Entry'!Y199,'Council Entry'!Y$9),'Council Entry'!Y$8),'Council Entry'!Y199)),IF('Council Entry'!Y$4="Exponential",EXP(IF(AND(ISNUMBER('Council Entry'!Y$8),ISNUMBER('Council Entry'!Y$9)),MAX(MIN('Council Entry'!Y199,'Council Entry'!Y$9),'Council Entry'!Y$8),'Council Entry'!Y199)),IF(AND(ISNUMBER('Council Entry'!Y$8),ISNUMBER('Council Entry'!Y$9)),MAX(MIN('Council Entry'!Y199,'Council Entry'!Y$9),'Council Entry'!Y$8),'Council Entry'!Y199))))-'Council Entry'!Y$5)/('Council Entry'!Y$6-'Council Entry'!Y$5)),1))),"No data"))</f>
        <v/>
      </c>
      <c r="Z199" s="13">
        <f>IF('Council Entry'!Z199="","",IFERROR(MAX(0,MIN(10,ROUND(IF('Council Entry'!Z$7="Decrease Risk",10-10*((IF('Council Entry'!Z$4="Logarithm",LN(0.001+IF(AND(ISNUMBER('Council Entry'!Z$8),ISNUMBER('Council Entry'!Z$9)),MAX(MIN('Council Entry'!Z199,'Council Entry'!Z$9),'Council Entry'!Z$8),'Council Entry'!Z199)),IF('Council Entry'!Z$4="Exponential",EXP(IF(AND(ISNUMBER('Council Entry'!Z$8),ISNUMBER('Council Entry'!Z$9)),MAX(MIN('Council Entry'!Z199,'Council Entry'!Z$9),'Council Entry'!Z$8),'Council Entry'!Z199)),IF(AND(ISNUMBER('Council Entry'!Z$8),ISNUMBER('Council Entry'!Z$9)),MAX(MIN('Council Entry'!Z199,'Council Entry'!Z$9),'Council Entry'!Z$8),'Council Entry'!Z199))))-'Council Entry'!Z$5)/('Council Entry'!Z$6-'Council Entry'!Z$5),10*((IF('Council Entry'!Z$4="Logarithm",LN(0.001+IF(AND(ISNUMBER('Council Entry'!Z$8),ISNUMBER('Council Entry'!Z$9)),MAX(MIN('Council Entry'!Z199,'Council Entry'!Z$9),'Council Entry'!Z$8),'Council Entry'!Z199)),IF('Council Entry'!Z$4="Exponential",EXP(IF(AND(ISNUMBER('Council Entry'!Z$8),ISNUMBER('Council Entry'!Z$9)),MAX(MIN('Council Entry'!Z199,'Council Entry'!Z$9),'Council Entry'!Z$8),'Council Entry'!Z199)),IF(AND(ISNUMBER('Council Entry'!Z$8),ISNUMBER('Council Entry'!Z$9)),MAX(MIN('Council Entry'!Z199,'Council Entry'!Z$9),'Council Entry'!Z$8),'Council Entry'!Z199))))-'Council Entry'!Z$5)/('Council Entry'!Z$6-'Council Entry'!Z$5)),1))),"No data"))</f>
        <v/>
      </c>
      <c r="AA199" s="13">
        <f>IF('Council Entry'!AA199="","",IFERROR(MAX(0,MIN(10,ROUND(IF('Council Entry'!AA$7="Decrease Risk",10-10*((IF('Council Entry'!AA$4="Logarithm",LN(0.001+IF(AND(ISNUMBER('Council Entry'!AA$8),ISNUMBER('Council Entry'!AA$9)),MAX(MIN('Council Entry'!AA199,'Council Entry'!AA$9),'Council Entry'!AA$8),'Council Entry'!AA199)),IF('Council Entry'!AA$4="Exponential",EXP(IF(AND(ISNUMBER('Council Entry'!AA$8),ISNUMBER('Council Entry'!AA$9)),MAX(MIN('Council Entry'!AA199,'Council Entry'!AA$9),'Council Entry'!AA$8),'Council Entry'!AA199)),IF(AND(ISNUMBER('Council Entry'!AA$8),ISNUMBER('Council Entry'!AA$9)),MAX(MIN('Council Entry'!AA199,'Council Entry'!AA$9),'Council Entry'!AA$8),'Council Entry'!AA199))))-'Council Entry'!AA$5)/('Council Entry'!AA$6-'Council Entry'!AA$5),10*((IF('Council Entry'!AA$4="Logarithm",LN(0.001+IF(AND(ISNUMBER('Council Entry'!AA$8),ISNUMBER('Council Entry'!AA$9)),MAX(MIN('Council Entry'!AA199,'Council Entry'!AA$9),'Council Entry'!AA$8),'Council Entry'!AA199)),IF('Council Entry'!AA$4="Exponential",EXP(IF(AND(ISNUMBER('Council Entry'!AA$8),ISNUMBER('Council Entry'!AA$9)),MAX(MIN('Council Entry'!AA199,'Council Entry'!AA$9),'Council Entry'!AA$8),'Council Entry'!AA199)),IF(AND(ISNUMBER('Council Entry'!AA$8),ISNUMBER('Council Entry'!AA$9)),MAX(MIN('Council Entry'!AA199,'Council Entry'!AA$9),'Council Entry'!AA$8),'Council Entry'!AA199))))-'Council Entry'!AA$5)/('Council Entry'!AA$6-'Council Entry'!AA$5)),1))),"No data"))</f>
        <v/>
      </c>
      <c r="AB199" s="13">
        <f>IF('Council Entry'!AB199="","",IFERROR(MAX(0,MIN(10,ROUND(IF('Council Entry'!AB$7="Decrease Risk",10-10*((IF('Council Entry'!AB$4="Logarithm",LN(0.001+IF(AND(ISNUMBER('Council Entry'!AB$8),ISNUMBER('Council Entry'!AB$9)),MAX(MIN('Council Entry'!AB199,'Council Entry'!AB$9),'Council Entry'!AB$8),'Council Entry'!AB199)),IF('Council Entry'!AB$4="Exponential",EXP(IF(AND(ISNUMBER('Council Entry'!AB$8),ISNUMBER('Council Entry'!AB$9)),MAX(MIN('Council Entry'!AB199,'Council Entry'!AB$9),'Council Entry'!AB$8),'Council Entry'!AB199)),IF(AND(ISNUMBER('Council Entry'!AB$8),ISNUMBER('Council Entry'!AB$9)),MAX(MIN('Council Entry'!AB199,'Council Entry'!AB$9),'Council Entry'!AB$8),'Council Entry'!AB199))))-'Council Entry'!AB$5)/('Council Entry'!AB$6-'Council Entry'!AB$5),10*((IF('Council Entry'!AB$4="Logarithm",LN(0.001+IF(AND(ISNUMBER('Council Entry'!AB$8),ISNUMBER('Council Entry'!AB$9)),MAX(MIN('Council Entry'!AB199,'Council Entry'!AB$9),'Council Entry'!AB$8),'Council Entry'!AB199)),IF('Council Entry'!AB$4="Exponential",EXP(IF(AND(ISNUMBER('Council Entry'!AB$8),ISNUMBER('Council Entry'!AB$9)),MAX(MIN('Council Entry'!AB199,'Council Entry'!AB$9),'Council Entry'!AB$8),'Council Entry'!AB199)),IF(AND(ISNUMBER('Council Entry'!AB$8),ISNUMBER('Council Entry'!AB$9)),MAX(MIN('Council Entry'!AB199,'Council Entry'!AB$9),'Council Entry'!AB$8),'Council Entry'!AB199))))-'Council Entry'!AB$5)/('Council Entry'!AB$6-'Council Entry'!AB$5)),1))),"No data"))</f>
        <v/>
      </c>
      <c r="AC199" s="13">
        <f>IF('Council Entry'!AC199="","",IFERROR(MAX(0,MIN(10,ROUND(IF('Council Entry'!AC$7="Decrease Risk",10-10*((IF('Council Entry'!AC$4="Logarithm",LN(0.001+IF(AND(ISNUMBER('Council Entry'!AC$8),ISNUMBER('Council Entry'!AC$9)),MAX(MIN('Council Entry'!AC199,'Council Entry'!AC$9),'Council Entry'!AC$8),'Council Entry'!AC199)),IF('Council Entry'!AC$4="Exponential",EXP(IF(AND(ISNUMBER('Council Entry'!AC$8),ISNUMBER('Council Entry'!AC$9)),MAX(MIN('Council Entry'!AC199,'Council Entry'!AC$9),'Council Entry'!AC$8),'Council Entry'!AC199)),IF(AND(ISNUMBER('Council Entry'!AC$8),ISNUMBER('Council Entry'!AC$9)),MAX(MIN('Council Entry'!AC199,'Council Entry'!AC$9),'Council Entry'!AC$8),'Council Entry'!AC199))))-'Council Entry'!AC$5)/('Council Entry'!AC$6-'Council Entry'!AC$5),10*((IF('Council Entry'!AC$4="Logarithm",LN(0.001+IF(AND(ISNUMBER('Council Entry'!AC$8),ISNUMBER('Council Entry'!AC$9)),MAX(MIN('Council Entry'!AC199,'Council Entry'!AC$9),'Council Entry'!AC$8),'Council Entry'!AC199)),IF('Council Entry'!AC$4="Exponential",EXP(IF(AND(ISNUMBER('Council Entry'!AC$8),ISNUMBER('Council Entry'!AC$9)),MAX(MIN('Council Entry'!AC199,'Council Entry'!AC$9),'Council Entry'!AC$8),'Council Entry'!AC199)),IF(AND(ISNUMBER('Council Entry'!AC$8),ISNUMBER('Council Entry'!AC$9)),MAX(MIN('Council Entry'!AC199,'Council Entry'!AC$9),'Council Entry'!AC$8),'Council Entry'!AC199))))-'Council Entry'!AC$5)/('Council Entry'!AC$6-'Council Entry'!AC$5)),1))),"No data"))</f>
        <v/>
      </c>
      <c r="AD199" s="13">
        <f>IF('Council Entry'!AD199="","",IFERROR(MAX(0,MIN(10,ROUND(IF('Council Entry'!AD$7="Decrease Risk",10-10*((IF('Council Entry'!AD$4="Logarithm",LN(0.001+IF(AND(ISNUMBER('Council Entry'!AD$8),ISNUMBER('Council Entry'!AD$9)),MAX(MIN('Council Entry'!AD199,'Council Entry'!AD$9),'Council Entry'!AD$8),'Council Entry'!AD199)),IF('Council Entry'!AD$4="Exponential",EXP(IF(AND(ISNUMBER('Council Entry'!AD$8),ISNUMBER('Council Entry'!AD$9)),MAX(MIN('Council Entry'!AD199,'Council Entry'!AD$9),'Council Entry'!AD$8),'Council Entry'!AD199)),IF(AND(ISNUMBER('Council Entry'!AD$8),ISNUMBER('Council Entry'!AD$9)),MAX(MIN('Council Entry'!AD199,'Council Entry'!AD$9),'Council Entry'!AD$8),'Council Entry'!AD199))))-'Council Entry'!AD$5)/('Council Entry'!AD$6-'Council Entry'!AD$5),10*((IF('Council Entry'!AD$4="Logarithm",LN(0.001+IF(AND(ISNUMBER('Council Entry'!AD$8),ISNUMBER('Council Entry'!AD$9)),MAX(MIN('Council Entry'!AD199,'Council Entry'!AD$9),'Council Entry'!AD$8),'Council Entry'!AD199)),IF('Council Entry'!AD$4="Exponential",EXP(IF(AND(ISNUMBER('Council Entry'!AD$8),ISNUMBER('Council Entry'!AD$9)),MAX(MIN('Council Entry'!AD199,'Council Entry'!AD$9),'Council Entry'!AD$8),'Council Entry'!AD199)),IF(AND(ISNUMBER('Council Entry'!AD$8),ISNUMBER('Council Entry'!AD$9)),MAX(MIN('Council Entry'!AD199,'Council Entry'!AD$9),'Council Entry'!AD$8),'Council Entry'!AD199))))-'Council Entry'!AD$5)/('Council Entry'!AD$6-'Council Entry'!AD$5)),1))),"No data"))</f>
        <v/>
      </c>
      <c r="AE199" s="13">
        <f>IF('Council Entry'!AE199="","",IFERROR(MAX(0,MIN(10,ROUND(IF('Council Entry'!AE$7="Decrease Risk",10-10*((IF('Council Entry'!AE$4="Logarithm",LN(0.001+IF(AND(ISNUMBER('Council Entry'!AE$8),ISNUMBER('Council Entry'!AE$9)),MAX(MIN('Council Entry'!AE199,'Council Entry'!AE$9),'Council Entry'!AE$8),'Council Entry'!AE199)),IF('Council Entry'!AE$4="Exponential",EXP(IF(AND(ISNUMBER('Council Entry'!AE$8),ISNUMBER('Council Entry'!AE$9)),MAX(MIN('Council Entry'!AE199,'Council Entry'!AE$9),'Council Entry'!AE$8),'Council Entry'!AE199)),IF(AND(ISNUMBER('Council Entry'!AE$8),ISNUMBER('Council Entry'!AE$9)),MAX(MIN('Council Entry'!AE199,'Council Entry'!AE$9),'Council Entry'!AE$8),'Council Entry'!AE199))))-'Council Entry'!AE$5)/('Council Entry'!AE$6-'Council Entry'!AE$5),10*((IF('Council Entry'!AE$4="Logarithm",LN(0.001+IF(AND(ISNUMBER('Council Entry'!AE$8),ISNUMBER('Council Entry'!AE$9)),MAX(MIN('Council Entry'!AE199,'Council Entry'!AE$9),'Council Entry'!AE$8),'Council Entry'!AE199)),IF('Council Entry'!AE$4="Exponential",EXP(IF(AND(ISNUMBER('Council Entry'!AE$8),ISNUMBER('Council Entry'!AE$9)),MAX(MIN('Council Entry'!AE199,'Council Entry'!AE$9),'Council Entry'!AE$8),'Council Entry'!AE199)),IF(AND(ISNUMBER('Council Entry'!AE$8),ISNUMBER('Council Entry'!AE$9)),MAX(MIN('Council Entry'!AE199,'Council Entry'!AE$9),'Council Entry'!AE$8),'Council Entry'!AE199))))-'Council Entry'!AE$5)/('Council Entry'!AE$6-'Council Entry'!AE$5)),1))),"No data"))</f>
        <v/>
      </c>
      <c r="AF199" s="13">
        <f>IF('Council Entry'!AF199="","",IFERROR(MAX(0,MIN(10,ROUND(IF('Council Entry'!AF$7="Decrease Risk",10-10*((IF('Council Entry'!AF$4="Logarithm",LN(0.001+IF(AND(ISNUMBER('Council Entry'!AF$8),ISNUMBER('Council Entry'!AF$9)),MAX(MIN('Council Entry'!AF199,'Council Entry'!AF$9),'Council Entry'!AF$8),'Council Entry'!AF199)),IF('Council Entry'!AF$4="Exponential",EXP(IF(AND(ISNUMBER('Council Entry'!AF$8),ISNUMBER('Council Entry'!AF$9)),MAX(MIN('Council Entry'!AF199,'Council Entry'!AF$9),'Council Entry'!AF$8),'Council Entry'!AF199)),IF(AND(ISNUMBER('Council Entry'!AF$8),ISNUMBER('Council Entry'!AF$9)),MAX(MIN('Council Entry'!AF199,'Council Entry'!AF$9),'Council Entry'!AF$8),'Council Entry'!AF199))))-'Council Entry'!AF$5)/('Council Entry'!AF$6-'Council Entry'!AF$5),10*((IF('Council Entry'!AF$4="Logarithm",LN(0.001+IF(AND(ISNUMBER('Council Entry'!AF$8),ISNUMBER('Council Entry'!AF$9)),MAX(MIN('Council Entry'!AF199,'Council Entry'!AF$9),'Council Entry'!AF$8),'Council Entry'!AF199)),IF('Council Entry'!AF$4="Exponential",EXP(IF(AND(ISNUMBER('Council Entry'!AF$8),ISNUMBER('Council Entry'!AF$9)),MAX(MIN('Council Entry'!AF199,'Council Entry'!AF$9),'Council Entry'!AF$8),'Council Entry'!AF199)),IF(AND(ISNUMBER('Council Entry'!AF$8),ISNUMBER('Council Entry'!AF$9)),MAX(MIN('Council Entry'!AF199,'Council Entry'!AF$9),'Council Entry'!AF$8),'Council Entry'!AF199))))-'Council Entry'!AF$5)/('Council Entry'!AF$6-'Council Entry'!AF$5)),1))),"No data"))</f>
        <v/>
      </c>
      <c r="AG199" s="13">
        <f>IF('Council Entry'!AG199="","",IFERROR(MAX(0,MIN(10,ROUND(IF('Council Entry'!AG$7="Decrease Risk",10-10*((IF('Council Entry'!AG$4="Logarithm",LN(0.001+IF(AND(ISNUMBER('Council Entry'!AG$8),ISNUMBER('Council Entry'!AG$9)),MAX(MIN('Council Entry'!AG199,'Council Entry'!AG$9),'Council Entry'!AG$8),'Council Entry'!AG199)),IF('Council Entry'!AG$4="Exponential",EXP(IF(AND(ISNUMBER('Council Entry'!AG$8),ISNUMBER('Council Entry'!AG$9)),MAX(MIN('Council Entry'!AG199,'Council Entry'!AG$9),'Council Entry'!AG$8),'Council Entry'!AG199)),IF(AND(ISNUMBER('Council Entry'!AG$8),ISNUMBER('Council Entry'!AG$9)),MAX(MIN('Council Entry'!AG199,'Council Entry'!AG$9),'Council Entry'!AG$8),'Council Entry'!AG199))))-'Council Entry'!AG$5)/('Council Entry'!AG$6-'Council Entry'!AG$5),10*((IF('Council Entry'!AG$4="Logarithm",LN(0.001+IF(AND(ISNUMBER('Council Entry'!AG$8),ISNUMBER('Council Entry'!AG$9)),MAX(MIN('Council Entry'!AG199,'Council Entry'!AG$9),'Council Entry'!AG$8),'Council Entry'!AG199)),IF('Council Entry'!AG$4="Exponential",EXP(IF(AND(ISNUMBER('Council Entry'!AG$8),ISNUMBER('Council Entry'!AG$9)),MAX(MIN('Council Entry'!AG199,'Council Entry'!AG$9),'Council Entry'!AG$8),'Council Entry'!AG199)),IF(AND(ISNUMBER('Council Entry'!AG$8),ISNUMBER('Council Entry'!AG$9)),MAX(MIN('Council Entry'!AG199,'Council Entry'!AG$9),'Council Entry'!AG$8),'Council Entry'!AG199))))-'Council Entry'!AG$5)/('Council Entry'!AG$6-'Council Entry'!AG$5)),1))),"No data"))</f>
        <v/>
      </c>
      <c r="AH199" s="13">
        <f>IF('Council Entry'!AH199="","",IFERROR(MAX(0,MIN(10,ROUND(IF('Council Entry'!AH$7="Decrease Risk",10-10*((IF('Council Entry'!AH$4="Logarithm",LN(0.001+IF(AND(ISNUMBER('Council Entry'!AH$8),ISNUMBER('Council Entry'!AH$9)),MAX(MIN('Council Entry'!AH199,'Council Entry'!AH$9),'Council Entry'!AH$8),'Council Entry'!AH199)),IF('Council Entry'!AH$4="Exponential",EXP(IF(AND(ISNUMBER('Council Entry'!AH$8),ISNUMBER('Council Entry'!AH$9)),MAX(MIN('Council Entry'!AH199,'Council Entry'!AH$9),'Council Entry'!AH$8),'Council Entry'!AH199)),IF(AND(ISNUMBER('Council Entry'!AH$8),ISNUMBER('Council Entry'!AH$9)),MAX(MIN('Council Entry'!AH199,'Council Entry'!AH$9),'Council Entry'!AH$8),'Council Entry'!AH199))))-'Council Entry'!AH$5)/('Council Entry'!AH$6-'Council Entry'!AH$5),10*((IF('Council Entry'!AH$4="Logarithm",LN(0.001+IF(AND(ISNUMBER('Council Entry'!AH$8),ISNUMBER('Council Entry'!AH$9)),MAX(MIN('Council Entry'!AH199,'Council Entry'!AH$9),'Council Entry'!AH$8),'Council Entry'!AH199)),IF('Council Entry'!AH$4="Exponential",EXP(IF(AND(ISNUMBER('Council Entry'!AH$8),ISNUMBER('Council Entry'!AH$9)),MAX(MIN('Council Entry'!AH199,'Council Entry'!AH$9),'Council Entry'!AH$8),'Council Entry'!AH199)),IF(AND(ISNUMBER('Council Entry'!AH$8),ISNUMBER('Council Entry'!AH$9)),MAX(MIN('Council Entry'!AH199,'Council Entry'!AH$9),'Council Entry'!AH$8),'Council Entry'!AH199))))-'Council Entry'!AH$5)/('Council Entry'!AH$6-'Council Entry'!AH$5)),1))),"No data"))</f>
        <v/>
      </c>
      <c r="AI199" s="13">
        <f>IF('Council Entry'!AI199="","",IFERROR(MAX(0,MIN(10,ROUND(IF('Council Entry'!AI$7="Decrease Risk",10-10*((IF('Council Entry'!AI$4="Logarithm",LN(0.001+IF(AND(ISNUMBER('Council Entry'!AI$8),ISNUMBER('Council Entry'!AI$9)),MAX(MIN('Council Entry'!AI199,'Council Entry'!AI$9),'Council Entry'!AI$8),'Council Entry'!AI199)),IF('Council Entry'!AI$4="Exponential",EXP(IF(AND(ISNUMBER('Council Entry'!AI$8),ISNUMBER('Council Entry'!AI$9)),MAX(MIN('Council Entry'!AI199,'Council Entry'!AI$9),'Council Entry'!AI$8),'Council Entry'!AI199)),IF(AND(ISNUMBER('Council Entry'!AI$8),ISNUMBER('Council Entry'!AI$9)),MAX(MIN('Council Entry'!AI199,'Council Entry'!AI$9),'Council Entry'!AI$8),'Council Entry'!AI199))))-'Council Entry'!AI$5)/('Council Entry'!AI$6-'Council Entry'!AI$5),10*((IF('Council Entry'!AI$4="Logarithm",LN(0.001+IF(AND(ISNUMBER('Council Entry'!AI$8),ISNUMBER('Council Entry'!AI$9)),MAX(MIN('Council Entry'!AI199,'Council Entry'!AI$9),'Council Entry'!AI$8),'Council Entry'!AI199)),IF('Council Entry'!AI$4="Exponential",EXP(IF(AND(ISNUMBER('Council Entry'!AI$8),ISNUMBER('Council Entry'!AI$9)),MAX(MIN('Council Entry'!AI199,'Council Entry'!AI$9),'Council Entry'!AI$8),'Council Entry'!AI199)),IF(AND(ISNUMBER('Council Entry'!AI$8),ISNUMBER('Council Entry'!AI$9)),MAX(MIN('Council Entry'!AI199,'Council Entry'!AI$9),'Council Entry'!AI$8),'Council Entry'!AI199))))-'Council Entry'!AI$5)/('Council Entry'!AI$6-'Council Entry'!AI$5)),1))),"No data"))</f>
        <v/>
      </c>
      <c r="AJ199" s="13">
        <f>IF('Council Entry'!AJ199="","",IFERROR(MAX(0,MIN(10,ROUND(IF('Council Entry'!AJ$7="Decrease Risk",10-10*((IF('Council Entry'!AJ$4="Logarithm",LN(0.001+IF(AND(ISNUMBER('Council Entry'!AJ$8),ISNUMBER('Council Entry'!AJ$9)),MAX(MIN('Council Entry'!AJ199,'Council Entry'!AJ$9),'Council Entry'!AJ$8),'Council Entry'!AJ199)),IF('Council Entry'!AJ$4="Exponential",EXP(IF(AND(ISNUMBER('Council Entry'!AJ$8),ISNUMBER('Council Entry'!AJ$9)),MAX(MIN('Council Entry'!AJ199,'Council Entry'!AJ$9),'Council Entry'!AJ$8),'Council Entry'!AJ199)),IF(AND(ISNUMBER('Council Entry'!AJ$8),ISNUMBER('Council Entry'!AJ$9)),MAX(MIN('Council Entry'!AJ199,'Council Entry'!AJ$9),'Council Entry'!AJ$8),'Council Entry'!AJ199))))-'Council Entry'!AJ$5)/('Council Entry'!AJ$6-'Council Entry'!AJ$5),10*((IF('Council Entry'!AJ$4="Logarithm",LN(0.001+IF(AND(ISNUMBER('Council Entry'!AJ$8),ISNUMBER('Council Entry'!AJ$9)),MAX(MIN('Council Entry'!AJ199,'Council Entry'!AJ$9),'Council Entry'!AJ$8),'Council Entry'!AJ199)),IF('Council Entry'!AJ$4="Exponential",EXP(IF(AND(ISNUMBER('Council Entry'!AJ$8),ISNUMBER('Council Entry'!AJ$9)),MAX(MIN('Council Entry'!AJ199,'Council Entry'!AJ$9),'Council Entry'!AJ$8),'Council Entry'!AJ199)),IF(AND(ISNUMBER('Council Entry'!AJ$8),ISNUMBER('Council Entry'!AJ$9)),MAX(MIN('Council Entry'!AJ199,'Council Entry'!AJ$9),'Council Entry'!AJ$8),'Council Entry'!AJ199))))-'Council Entry'!AJ$5)/('Council Entry'!AJ$6-'Council Entry'!AJ$5)),1))),"No data"))</f>
        <v/>
      </c>
      <c r="AK199" s="13">
        <f>IF('Council Entry'!AK199="","",IFERROR(MAX(0,MIN(10,ROUND(IF('Council Entry'!AK$7="Decrease Risk",10-10*((IF('Council Entry'!AK$4="Logarithm",LN(0.001+IF(AND(ISNUMBER('Council Entry'!AK$8),ISNUMBER('Council Entry'!AK$9)),MAX(MIN('Council Entry'!AK199,'Council Entry'!AK$9),'Council Entry'!AK$8),'Council Entry'!AK199)),IF('Council Entry'!AK$4="Exponential",EXP(IF(AND(ISNUMBER('Council Entry'!AK$8),ISNUMBER('Council Entry'!AK$9)),MAX(MIN('Council Entry'!AK199,'Council Entry'!AK$9),'Council Entry'!AK$8),'Council Entry'!AK199)),IF(AND(ISNUMBER('Council Entry'!AK$8),ISNUMBER('Council Entry'!AK$9)),MAX(MIN('Council Entry'!AK199,'Council Entry'!AK$9),'Council Entry'!AK$8),'Council Entry'!AK199))))-'Council Entry'!AK$5)/('Council Entry'!AK$6-'Council Entry'!AK$5),10*((IF('Council Entry'!AK$4="Logarithm",LN(0.001+IF(AND(ISNUMBER('Council Entry'!AK$8),ISNUMBER('Council Entry'!AK$9)),MAX(MIN('Council Entry'!AK199,'Council Entry'!AK$9),'Council Entry'!AK$8),'Council Entry'!AK199)),IF('Council Entry'!AK$4="Exponential",EXP(IF(AND(ISNUMBER('Council Entry'!AK$8),ISNUMBER('Council Entry'!AK$9)),MAX(MIN('Council Entry'!AK199,'Council Entry'!AK$9),'Council Entry'!AK$8),'Council Entry'!AK199)),IF(AND(ISNUMBER('Council Entry'!AK$8),ISNUMBER('Council Entry'!AK$9)),MAX(MIN('Council Entry'!AK199,'Council Entry'!AK$9),'Council Entry'!AK$8),'Council Entry'!AK199))))-'Council Entry'!AK$5)/('Council Entry'!AK$6-'Council Entry'!AK$5)),1))),"No data"))</f>
        <v/>
      </c>
      <c r="AL199" s="13">
        <f>IF('Council Entry'!AL199="","",IFERROR(MAX(0,MIN(10,ROUND(IF('Council Entry'!AL$7="Decrease Risk",10-10*((IF('Council Entry'!AL$4="Logarithm",LN(0.001+IF(AND(ISNUMBER('Council Entry'!AL$8),ISNUMBER('Council Entry'!AL$9)),MAX(MIN('Council Entry'!AL199,'Council Entry'!AL$9),'Council Entry'!AL$8),'Council Entry'!AL199)),IF('Council Entry'!AL$4="Exponential",EXP(IF(AND(ISNUMBER('Council Entry'!AL$8),ISNUMBER('Council Entry'!AL$9)),MAX(MIN('Council Entry'!AL199,'Council Entry'!AL$9),'Council Entry'!AL$8),'Council Entry'!AL199)),IF(AND(ISNUMBER('Council Entry'!AL$8),ISNUMBER('Council Entry'!AL$9)),MAX(MIN('Council Entry'!AL199,'Council Entry'!AL$9),'Council Entry'!AL$8),'Council Entry'!AL199))))-'Council Entry'!AL$5)/('Council Entry'!AL$6-'Council Entry'!AL$5),10*((IF('Council Entry'!AL$4="Logarithm",LN(0.001+IF(AND(ISNUMBER('Council Entry'!AL$8),ISNUMBER('Council Entry'!AL$9)),MAX(MIN('Council Entry'!AL199,'Council Entry'!AL$9),'Council Entry'!AL$8),'Council Entry'!AL199)),IF('Council Entry'!AL$4="Exponential",EXP(IF(AND(ISNUMBER('Council Entry'!AL$8),ISNUMBER('Council Entry'!AL$9)),MAX(MIN('Council Entry'!AL199,'Council Entry'!AL$9),'Council Entry'!AL$8),'Council Entry'!AL199)),IF(AND(ISNUMBER('Council Entry'!AL$8),ISNUMBER('Council Entry'!AL$9)),MAX(MIN('Council Entry'!AL199,'Council Entry'!AL$9),'Council Entry'!AL$8),'Council Entry'!AL199))))-'Council Entry'!AL$5)/('Council Entry'!AL$6-'Council Entry'!AL$5)),1))),"No data"))</f>
        <v/>
      </c>
      <c r="AM199" s="13">
        <f>IF('Council Entry'!AM199="","",IFERROR(MAX(0,MIN(10,ROUND(IF('Council Entry'!AM$7="Decrease Risk",10-10*((IF('Council Entry'!AM$4="Logarithm",LN(0.001+IF(AND(ISNUMBER('Council Entry'!AM$8),ISNUMBER('Council Entry'!AM$9)),MAX(MIN('Council Entry'!AM199,'Council Entry'!AM$9),'Council Entry'!AM$8),'Council Entry'!AM199)),IF('Council Entry'!AM$4="Exponential",EXP(IF(AND(ISNUMBER('Council Entry'!AM$8),ISNUMBER('Council Entry'!AM$9)),MAX(MIN('Council Entry'!AM199,'Council Entry'!AM$9),'Council Entry'!AM$8),'Council Entry'!AM199)),IF(AND(ISNUMBER('Council Entry'!AM$8),ISNUMBER('Council Entry'!AM$9)),MAX(MIN('Council Entry'!AM199,'Council Entry'!AM$9),'Council Entry'!AM$8),'Council Entry'!AM199))))-'Council Entry'!AM$5)/('Council Entry'!AM$6-'Council Entry'!AM$5),10*((IF('Council Entry'!AM$4="Logarithm",LN(0.001+IF(AND(ISNUMBER('Council Entry'!AM$8),ISNUMBER('Council Entry'!AM$9)),MAX(MIN('Council Entry'!AM199,'Council Entry'!AM$9),'Council Entry'!AM$8),'Council Entry'!AM199)),IF('Council Entry'!AM$4="Exponential",EXP(IF(AND(ISNUMBER('Council Entry'!AM$8),ISNUMBER('Council Entry'!AM$9)),MAX(MIN('Council Entry'!AM199,'Council Entry'!AM$9),'Council Entry'!AM$8),'Council Entry'!AM199)),IF(AND(ISNUMBER('Council Entry'!AM$8),ISNUMBER('Council Entry'!AM$9)),MAX(MIN('Council Entry'!AM199,'Council Entry'!AM$9),'Council Entry'!AM$8),'Council Entry'!AM199))))-'Council Entry'!AM$5)/('Council Entry'!AM$6-'Council Entry'!AM$5)),1))),"No data"))</f>
        <v/>
      </c>
      <c r="AN199" s="13">
        <f>IF('Council Entry'!AN199="","",IFERROR(MAX(0,MIN(10,ROUND(IF('Council Entry'!AN$7="Decrease Risk",10-10*((IF('Council Entry'!AN$4="Logarithm",LN(0.001+IF(AND(ISNUMBER('Council Entry'!AN$8),ISNUMBER('Council Entry'!AN$9)),MAX(MIN('Council Entry'!AN199,'Council Entry'!AN$9),'Council Entry'!AN$8),'Council Entry'!AN199)),IF('Council Entry'!AN$4="Exponential",EXP(IF(AND(ISNUMBER('Council Entry'!AN$8),ISNUMBER('Council Entry'!AN$9)),MAX(MIN('Council Entry'!AN199,'Council Entry'!AN$9),'Council Entry'!AN$8),'Council Entry'!AN199)),IF(AND(ISNUMBER('Council Entry'!AN$8),ISNUMBER('Council Entry'!AN$9)),MAX(MIN('Council Entry'!AN199,'Council Entry'!AN$9),'Council Entry'!AN$8),'Council Entry'!AN199))))-'Council Entry'!AN$5)/('Council Entry'!AN$6-'Council Entry'!AN$5),10*((IF('Council Entry'!AN$4="Logarithm",LN(0.001+IF(AND(ISNUMBER('Council Entry'!AN$8),ISNUMBER('Council Entry'!AN$9)),MAX(MIN('Council Entry'!AN199,'Council Entry'!AN$9),'Council Entry'!AN$8),'Council Entry'!AN199)),IF('Council Entry'!AN$4="Exponential",EXP(IF(AND(ISNUMBER('Council Entry'!AN$8),ISNUMBER('Council Entry'!AN$9)),MAX(MIN('Council Entry'!AN199,'Council Entry'!AN$9),'Council Entry'!AN$8),'Council Entry'!AN199)),IF(AND(ISNUMBER('Council Entry'!AN$8),ISNUMBER('Council Entry'!AN$9)),MAX(MIN('Council Entry'!AN199,'Council Entry'!AN$9),'Council Entry'!AN$8),'Council Entry'!AN199))))-'Council Entry'!AN$5)/('Council Entry'!AN$6-'Council Entry'!AN$5)),1))),"No data"))</f>
        <v/>
      </c>
      <c r="AO199" s="13">
        <f>IF('Council Entry'!AO199="","",IFERROR(MAX(0,MIN(10,ROUND(IF('Council Entry'!AO$7="Decrease Risk",10-10*((IF('Council Entry'!AO$4="Logarithm",LN(0.001+IF(AND(ISNUMBER('Council Entry'!AO$8),ISNUMBER('Council Entry'!AO$9)),MAX(MIN('Council Entry'!AO199,'Council Entry'!AO$9),'Council Entry'!AO$8),'Council Entry'!AO199)),IF('Council Entry'!AO$4="Exponential",EXP(IF(AND(ISNUMBER('Council Entry'!AO$8),ISNUMBER('Council Entry'!AO$9)),MAX(MIN('Council Entry'!AO199,'Council Entry'!AO$9),'Council Entry'!AO$8),'Council Entry'!AO199)),IF(AND(ISNUMBER('Council Entry'!AO$8),ISNUMBER('Council Entry'!AO$9)),MAX(MIN('Council Entry'!AO199,'Council Entry'!AO$9),'Council Entry'!AO$8),'Council Entry'!AO199))))-'Council Entry'!AO$5)/('Council Entry'!AO$6-'Council Entry'!AO$5),10*((IF('Council Entry'!AO$4="Logarithm",LN(0.001+IF(AND(ISNUMBER('Council Entry'!AO$8),ISNUMBER('Council Entry'!AO$9)),MAX(MIN('Council Entry'!AO199,'Council Entry'!AO$9),'Council Entry'!AO$8),'Council Entry'!AO199)),IF('Council Entry'!AO$4="Exponential",EXP(IF(AND(ISNUMBER('Council Entry'!AO$8),ISNUMBER('Council Entry'!AO$9)),MAX(MIN('Council Entry'!AO199,'Council Entry'!AO$9),'Council Entry'!AO$8),'Council Entry'!AO199)),IF(AND(ISNUMBER('Council Entry'!AO$8),ISNUMBER('Council Entry'!AO$9)),MAX(MIN('Council Entry'!AO199,'Council Entry'!AO$9),'Council Entry'!AO$8),'Council Entry'!AO199))))-'Council Entry'!AO$5)/('Council Entry'!AO$6-'Council Entry'!AO$5)),1))),"No data"))</f>
        <v/>
      </c>
      <c r="AP199" s="13">
        <f>IF('Council Entry'!AP199="","",IFERROR(MAX(0,MIN(10,ROUND(IF('Council Entry'!AP$7="Decrease Risk",10-10*((IF('Council Entry'!AP$4="Logarithm",LN(0.001+IF(AND(ISNUMBER('Council Entry'!AP$8),ISNUMBER('Council Entry'!AP$9)),MAX(MIN('Council Entry'!AP199,'Council Entry'!AP$9),'Council Entry'!AP$8),'Council Entry'!AP199)),IF('Council Entry'!AP$4="Exponential",EXP(IF(AND(ISNUMBER('Council Entry'!AP$8),ISNUMBER('Council Entry'!AP$9)),MAX(MIN('Council Entry'!AP199,'Council Entry'!AP$9),'Council Entry'!AP$8),'Council Entry'!AP199)),IF(AND(ISNUMBER('Council Entry'!AP$8),ISNUMBER('Council Entry'!AP$9)),MAX(MIN('Council Entry'!AP199,'Council Entry'!AP$9),'Council Entry'!AP$8),'Council Entry'!AP199))))-'Council Entry'!AP$5)/('Council Entry'!AP$6-'Council Entry'!AP$5),10*((IF('Council Entry'!AP$4="Logarithm",LN(0.001+IF(AND(ISNUMBER('Council Entry'!AP$8),ISNUMBER('Council Entry'!AP$9)),MAX(MIN('Council Entry'!AP199,'Council Entry'!AP$9),'Council Entry'!AP$8),'Council Entry'!AP199)),IF('Council Entry'!AP$4="Exponential",EXP(IF(AND(ISNUMBER('Council Entry'!AP$8),ISNUMBER('Council Entry'!AP$9)),MAX(MIN('Council Entry'!AP199,'Council Entry'!AP$9),'Council Entry'!AP$8),'Council Entry'!AP199)),IF(AND(ISNUMBER('Council Entry'!AP$8),ISNUMBER('Council Entry'!AP$9)),MAX(MIN('Council Entry'!AP199,'Council Entry'!AP$9),'Council Entry'!AP$8),'Council Entry'!AP199))))-'Council Entry'!AP$5)/('Council Entry'!AP$6-'Council Entry'!AP$5)),1))),"No data"))</f>
        <v/>
      </c>
      <c r="AQ199" s="13">
        <f>IF('Council Entry'!AQ199="","",IFERROR(MAX(0,MIN(10,ROUND(IF('Council Entry'!AQ$7="Decrease Risk",10-10*((IF('Council Entry'!AQ$4="Logarithm",LN(0.001+IF(AND(ISNUMBER('Council Entry'!AQ$8),ISNUMBER('Council Entry'!AQ$9)),MAX(MIN('Council Entry'!AQ199,'Council Entry'!AQ$9),'Council Entry'!AQ$8),'Council Entry'!AQ199)),IF('Council Entry'!AQ$4="Exponential",EXP(IF(AND(ISNUMBER('Council Entry'!AQ$8),ISNUMBER('Council Entry'!AQ$9)),MAX(MIN('Council Entry'!AQ199,'Council Entry'!AQ$9),'Council Entry'!AQ$8),'Council Entry'!AQ199)),IF(AND(ISNUMBER('Council Entry'!AQ$8),ISNUMBER('Council Entry'!AQ$9)),MAX(MIN('Council Entry'!AQ199,'Council Entry'!AQ$9),'Council Entry'!AQ$8),'Council Entry'!AQ199))))-'Council Entry'!AQ$5)/('Council Entry'!AQ$6-'Council Entry'!AQ$5),10*((IF('Council Entry'!AQ$4="Logarithm",LN(0.001+IF(AND(ISNUMBER('Council Entry'!AQ$8),ISNUMBER('Council Entry'!AQ$9)),MAX(MIN('Council Entry'!AQ199,'Council Entry'!AQ$9),'Council Entry'!AQ$8),'Council Entry'!AQ199)),IF('Council Entry'!AQ$4="Exponential",EXP(IF(AND(ISNUMBER('Council Entry'!AQ$8),ISNUMBER('Council Entry'!AQ$9)),MAX(MIN('Council Entry'!AQ199,'Council Entry'!AQ$9),'Council Entry'!AQ$8),'Council Entry'!AQ199)),IF(AND(ISNUMBER('Council Entry'!AQ$8),ISNUMBER('Council Entry'!AQ$9)),MAX(MIN('Council Entry'!AQ199,'Council Entry'!AQ$9),'Council Entry'!AQ$8),'Council Entry'!AQ199))))-'Council Entry'!AQ$5)/('Council Entry'!AQ$6-'Council Entry'!AQ$5)),1))),"No data"))</f>
        <v/>
      </c>
      <c r="AR199" s="13">
        <f>IF('Council Entry'!AR199="","",IFERROR(MAX(0,MIN(10,ROUND(IF('Council Entry'!AR$7="Decrease Risk",10-10*((IF('Council Entry'!AR$4="Logarithm",LN(0.001+IF(AND(ISNUMBER('Council Entry'!AR$8),ISNUMBER('Council Entry'!AR$9)),MAX(MIN('Council Entry'!AR199,'Council Entry'!AR$9),'Council Entry'!AR$8),'Council Entry'!AR199)),IF('Council Entry'!AR$4="Exponential",EXP(IF(AND(ISNUMBER('Council Entry'!AR$8),ISNUMBER('Council Entry'!AR$9)),MAX(MIN('Council Entry'!AR199,'Council Entry'!AR$9),'Council Entry'!AR$8),'Council Entry'!AR199)),IF(AND(ISNUMBER('Council Entry'!AR$8),ISNUMBER('Council Entry'!AR$9)),MAX(MIN('Council Entry'!AR199,'Council Entry'!AR$9),'Council Entry'!AR$8),'Council Entry'!AR199))))-'Council Entry'!AR$5)/('Council Entry'!AR$6-'Council Entry'!AR$5),10*((IF('Council Entry'!AR$4="Logarithm",LN(0.001+IF(AND(ISNUMBER('Council Entry'!AR$8),ISNUMBER('Council Entry'!AR$9)),MAX(MIN('Council Entry'!AR199,'Council Entry'!AR$9),'Council Entry'!AR$8),'Council Entry'!AR199)),IF('Council Entry'!AR$4="Exponential",EXP(IF(AND(ISNUMBER('Council Entry'!AR$8),ISNUMBER('Council Entry'!AR$9)),MAX(MIN('Council Entry'!AR199,'Council Entry'!AR$9),'Council Entry'!AR$8),'Council Entry'!AR199)),IF(AND(ISNUMBER('Council Entry'!AR$8),ISNUMBER('Council Entry'!AR$9)),MAX(MIN('Council Entry'!AR199,'Council Entry'!AR$9),'Council Entry'!AR$8),'Council Entry'!AR199))))-'Council Entry'!AR$5)/('Council Entry'!AR$6-'Council Entry'!AR$5)),1))),"No data"))</f>
        <v/>
      </c>
      <c r="AS199" s="13">
        <f>IF('Council Entry'!AS199="","",IFERROR(MAX(0,MIN(10,ROUND(IF('Council Entry'!AS$7="Decrease Risk",10-10*((IF('Council Entry'!AS$4="Logarithm",LN(0.001+IF(AND(ISNUMBER('Council Entry'!AS$8),ISNUMBER('Council Entry'!AS$9)),MAX(MIN('Council Entry'!AS199,'Council Entry'!AS$9),'Council Entry'!AS$8),'Council Entry'!AS199)),IF('Council Entry'!AS$4="Exponential",EXP(IF(AND(ISNUMBER('Council Entry'!AS$8),ISNUMBER('Council Entry'!AS$9)),MAX(MIN('Council Entry'!AS199,'Council Entry'!AS$9),'Council Entry'!AS$8),'Council Entry'!AS199)),IF(AND(ISNUMBER('Council Entry'!AS$8),ISNUMBER('Council Entry'!AS$9)),MAX(MIN('Council Entry'!AS199,'Council Entry'!AS$9),'Council Entry'!AS$8),'Council Entry'!AS199))))-'Council Entry'!AS$5)/('Council Entry'!AS$6-'Council Entry'!AS$5),10*((IF('Council Entry'!AS$4="Logarithm",LN(0.001+IF(AND(ISNUMBER('Council Entry'!AS$8),ISNUMBER('Council Entry'!AS$9)),MAX(MIN('Council Entry'!AS199,'Council Entry'!AS$9),'Council Entry'!AS$8),'Council Entry'!AS199)),IF('Council Entry'!AS$4="Exponential",EXP(IF(AND(ISNUMBER('Council Entry'!AS$8),ISNUMBER('Council Entry'!AS$9)),MAX(MIN('Council Entry'!AS199,'Council Entry'!AS$9),'Council Entry'!AS$8),'Council Entry'!AS199)),IF(AND(ISNUMBER('Council Entry'!AS$8),ISNUMBER('Council Entry'!AS$9)),MAX(MIN('Council Entry'!AS199,'Council Entry'!AS$9),'Council Entry'!AS$8),'Council Entry'!AS199))))-'Council Entry'!AS$5)/('Council Entry'!AS$6-'Council Entry'!AS$5)),1))),"No data"))</f>
        <v/>
      </c>
      <c r="AT199" s="13">
        <f>IF('Council Entry'!AT199="","",IFERROR(MAX(0,MIN(10,ROUND(IF('Council Entry'!AT$7="Decrease Risk",10-10*((IF('Council Entry'!AT$4="Logarithm",LN(0.001+IF(AND(ISNUMBER('Council Entry'!AT$8),ISNUMBER('Council Entry'!AT$9)),MAX(MIN('Council Entry'!AT199,'Council Entry'!AT$9),'Council Entry'!AT$8),'Council Entry'!AT199)),IF('Council Entry'!AT$4="Exponential",EXP(IF(AND(ISNUMBER('Council Entry'!AT$8),ISNUMBER('Council Entry'!AT$9)),MAX(MIN('Council Entry'!AT199,'Council Entry'!AT$9),'Council Entry'!AT$8),'Council Entry'!AT199)),IF(AND(ISNUMBER('Council Entry'!AT$8),ISNUMBER('Council Entry'!AT$9)),MAX(MIN('Council Entry'!AT199,'Council Entry'!AT$9),'Council Entry'!AT$8),'Council Entry'!AT199))))-'Council Entry'!AT$5)/('Council Entry'!AT$6-'Council Entry'!AT$5),10*((IF('Council Entry'!AT$4="Logarithm",LN(0.001+IF(AND(ISNUMBER('Council Entry'!AT$8),ISNUMBER('Council Entry'!AT$9)),MAX(MIN('Council Entry'!AT199,'Council Entry'!AT$9),'Council Entry'!AT$8),'Council Entry'!AT199)),IF('Council Entry'!AT$4="Exponential",EXP(IF(AND(ISNUMBER('Council Entry'!AT$8),ISNUMBER('Council Entry'!AT$9)),MAX(MIN('Council Entry'!AT199,'Council Entry'!AT$9),'Council Entry'!AT$8),'Council Entry'!AT199)),IF(AND(ISNUMBER('Council Entry'!AT$8),ISNUMBER('Council Entry'!AT$9)),MAX(MIN('Council Entry'!AT199,'Council Entry'!AT$9),'Council Entry'!AT$8),'Council Entry'!AT199))))-'Council Entry'!AT$5)/('Council Entry'!AT$6-'Council Entry'!AT$5)),1))),"No data"))</f>
        <v/>
      </c>
      <c r="AU199" s="13">
        <f>IF('Council Entry'!AU199="","",IFERROR(MAX(0,MIN(10,ROUND(IF('Council Entry'!AU$7="Decrease Risk",10-10*((IF('Council Entry'!AU$4="Logarithm",LN(0.001+IF(AND(ISNUMBER('Council Entry'!AU$8),ISNUMBER('Council Entry'!AU$9)),MAX(MIN('Council Entry'!AU199,'Council Entry'!AU$9),'Council Entry'!AU$8),'Council Entry'!AU199)),IF('Council Entry'!AU$4="Exponential",EXP(IF(AND(ISNUMBER('Council Entry'!AU$8),ISNUMBER('Council Entry'!AU$9)),MAX(MIN('Council Entry'!AU199,'Council Entry'!AU$9),'Council Entry'!AU$8),'Council Entry'!AU199)),IF(AND(ISNUMBER('Council Entry'!AU$8),ISNUMBER('Council Entry'!AU$9)),MAX(MIN('Council Entry'!AU199,'Council Entry'!AU$9),'Council Entry'!AU$8),'Council Entry'!AU199))))-'Council Entry'!AU$5)/('Council Entry'!AU$6-'Council Entry'!AU$5),10*((IF('Council Entry'!AU$4="Logarithm",LN(0.001+IF(AND(ISNUMBER('Council Entry'!AU$8),ISNUMBER('Council Entry'!AU$9)),MAX(MIN('Council Entry'!AU199,'Council Entry'!AU$9),'Council Entry'!AU$8),'Council Entry'!AU199)),IF('Council Entry'!AU$4="Exponential",EXP(IF(AND(ISNUMBER('Council Entry'!AU$8),ISNUMBER('Council Entry'!AU$9)),MAX(MIN('Council Entry'!AU199,'Council Entry'!AU$9),'Council Entry'!AU$8),'Council Entry'!AU199)),IF(AND(ISNUMBER('Council Entry'!AU$8),ISNUMBER('Council Entry'!AU$9)),MAX(MIN('Council Entry'!AU199,'Council Entry'!AU$9),'Council Entry'!AU$8),'Council Entry'!AU199))))-'Council Entry'!AU$5)/('Council Entry'!AU$6-'Council Entry'!AU$5)),1))),"No data"))</f>
        <v/>
      </c>
      <c r="AV199" s="13">
        <f>IF('Council Entry'!AV199="","",IFERROR(MAX(0,MIN(10,ROUND(IF('Council Entry'!AV$7="Decrease Risk",10-10*((IF('Council Entry'!AV$4="Logarithm",LN(0.001+IF(AND(ISNUMBER('Council Entry'!AV$8),ISNUMBER('Council Entry'!AV$9)),MAX(MIN('Council Entry'!AV199,'Council Entry'!AV$9),'Council Entry'!AV$8),'Council Entry'!AV199)),IF('Council Entry'!AV$4="Exponential",EXP(IF(AND(ISNUMBER('Council Entry'!AV$8),ISNUMBER('Council Entry'!AV$9)),MAX(MIN('Council Entry'!AV199,'Council Entry'!AV$9),'Council Entry'!AV$8),'Council Entry'!AV199)),IF(AND(ISNUMBER('Council Entry'!AV$8),ISNUMBER('Council Entry'!AV$9)),MAX(MIN('Council Entry'!AV199,'Council Entry'!AV$9),'Council Entry'!AV$8),'Council Entry'!AV199))))-'Council Entry'!AV$5)/('Council Entry'!AV$6-'Council Entry'!AV$5),10*((IF('Council Entry'!AV$4="Logarithm",LN(0.001+IF(AND(ISNUMBER('Council Entry'!AV$8),ISNUMBER('Council Entry'!AV$9)),MAX(MIN('Council Entry'!AV199,'Council Entry'!AV$9),'Council Entry'!AV$8),'Council Entry'!AV199)),IF('Council Entry'!AV$4="Exponential",EXP(IF(AND(ISNUMBER('Council Entry'!AV$8),ISNUMBER('Council Entry'!AV$9)),MAX(MIN('Council Entry'!AV199,'Council Entry'!AV$9),'Council Entry'!AV$8),'Council Entry'!AV199)),IF(AND(ISNUMBER('Council Entry'!AV$8),ISNUMBER('Council Entry'!AV$9)),MAX(MIN('Council Entry'!AV199,'Council Entry'!AV$9),'Council Entry'!AV$8),'Council Entry'!AV199))))-'Council Entry'!AV$5)/('Council Entry'!AV$6-'Council Entry'!AV$5)),1))),"No data"))</f>
        <v/>
      </c>
      <c r="AW199" s="13">
        <f>IF('Council Entry'!AW199="","",IFERROR(MAX(0,MIN(10,ROUND(IF('Council Entry'!AW$7="Decrease Risk",10-10*((IF('Council Entry'!AW$4="Logarithm",LN(0.001+IF(AND(ISNUMBER('Council Entry'!AW$8),ISNUMBER('Council Entry'!AW$9)),MAX(MIN('Council Entry'!AW199,'Council Entry'!AW$9),'Council Entry'!AW$8),'Council Entry'!AW199)),IF('Council Entry'!AW$4="Exponential",EXP(IF(AND(ISNUMBER('Council Entry'!AW$8),ISNUMBER('Council Entry'!AW$9)),MAX(MIN('Council Entry'!AW199,'Council Entry'!AW$9),'Council Entry'!AW$8),'Council Entry'!AW199)),IF(AND(ISNUMBER('Council Entry'!AW$8),ISNUMBER('Council Entry'!AW$9)),MAX(MIN('Council Entry'!AW199,'Council Entry'!AW$9),'Council Entry'!AW$8),'Council Entry'!AW199))))-'Council Entry'!AW$5)/('Council Entry'!AW$6-'Council Entry'!AW$5),10*((IF('Council Entry'!AW$4="Logarithm",LN(0.001+IF(AND(ISNUMBER('Council Entry'!AW$8),ISNUMBER('Council Entry'!AW$9)),MAX(MIN('Council Entry'!AW199,'Council Entry'!AW$9),'Council Entry'!AW$8),'Council Entry'!AW199)),IF('Council Entry'!AW$4="Exponential",EXP(IF(AND(ISNUMBER('Council Entry'!AW$8),ISNUMBER('Council Entry'!AW$9)),MAX(MIN('Council Entry'!AW199,'Council Entry'!AW$9),'Council Entry'!AW$8),'Council Entry'!AW199)),IF(AND(ISNUMBER('Council Entry'!AW$8),ISNUMBER('Council Entry'!AW$9)),MAX(MIN('Council Entry'!AW199,'Council Entry'!AW$9),'Council Entry'!AW$8),'Council Entry'!AW199))))-'Council Entry'!AW$5)/('Council Entry'!AW$6-'Council Entry'!AW$5)),1))),"No data"))</f>
        <v/>
      </c>
      <c r="AX199" s="13">
        <f>IF('Council Entry'!AX199="","",IFERROR(MAX(0,MIN(10,ROUND(IF('Council Entry'!AX$7="Decrease Risk",10-10*((IF('Council Entry'!AX$4="Logarithm",LN(0.001+IF(AND(ISNUMBER('Council Entry'!AX$8),ISNUMBER('Council Entry'!AX$9)),MAX(MIN('Council Entry'!AX199,'Council Entry'!AX$9),'Council Entry'!AX$8),'Council Entry'!AX199)),IF('Council Entry'!AX$4="Exponential",EXP(IF(AND(ISNUMBER('Council Entry'!AX$8),ISNUMBER('Council Entry'!AX$9)),MAX(MIN('Council Entry'!AX199,'Council Entry'!AX$9),'Council Entry'!AX$8),'Council Entry'!AX199)),IF(AND(ISNUMBER('Council Entry'!AX$8),ISNUMBER('Council Entry'!AX$9)),MAX(MIN('Council Entry'!AX199,'Council Entry'!AX$9),'Council Entry'!AX$8),'Council Entry'!AX199))))-'Council Entry'!AX$5)/('Council Entry'!AX$6-'Council Entry'!AX$5),10*((IF('Council Entry'!AX$4="Logarithm",LN(0.001+IF(AND(ISNUMBER('Council Entry'!AX$8),ISNUMBER('Council Entry'!AX$9)),MAX(MIN('Council Entry'!AX199,'Council Entry'!AX$9),'Council Entry'!AX$8),'Council Entry'!AX199)),IF('Council Entry'!AX$4="Exponential",EXP(IF(AND(ISNUMBER('Council Entry'!AX$8),ISNUMBER('Council Entry'!AX$9)),MAX(MIN('Council Entry'!AX199,'Council Entry'!AX$9),'Council Entry'!AX$8),'Council Entry'!AX199)),IF(AND(ISNUMBER('Council Entry'!AX$8),ISNUMBER('Council Entry'!AX$9)),MAX(MIN('Council Entry'!AX199,'Council Entry'!AX$9),'Council Entry'!AX$8),'Council Entry'!AX199))))-'Council Entry'!AX$5)/('Council Entry'!AX$6-'Council Entry'!AX$5)),1))),"No data"))</f>
        <v/>
      </c>
      <c r="AY199" s="13">
        <f>IF('Council Entry'!AY199="","",IFERROR(MAX(0,MIN(10,ROUND(IF('Council Entry'!AY$7="Decrease Risk",10-10*((IF('Council Entry'!AY$4="Logarithm",LN(0.001+IF(AND(ISNUMBER('Council Entry'!AY$8),ISNUMBER('Council Entry'!AY$9)),MAX(MIN('Council Entry'!AY199,'Council Entry'!AY$9),'Council Entry'!AY$8),'Council Entry'!AY199)),IF('Council Entry'!AY$4="Exponential",EXP(IF(AND(ISNUMBER('Council Entry'!AY$8),ISNUMBER('Council Entry'!AY$9)),MAX(MIN('Council Entry'!AY199,'Council Entry'!AY$9),'Council Entry'!AY$8),'Council Entry'!AY199)),IF(AND(ISNUMBER('Council Entry'!AY$8),ISNUMBER('Council Entry'!AY$9)),MAX(MIN('Council Entry'!AY199,'Council Entry'!AY$9),'Council Entry'!AY$8),'Council Entry'!AY199))))-'Council Entry'!AY$5)/('Council Entry'!AY$6-'Council Entry'!AY$5),10*((IF('Council Entry'!AY$4="Logarithm",LN(0.001+IF(AND(ISNUMBER('Council Entry'!AY$8),ISNUMBER('Council Entry'!AY$9)),MAX(MIN('Council Entry'!AY199,'Council Entry'!AY$9),'Council Entry'!AY$8),'Council Entry'!AY199)),IF('Council Entry'!AY$4="Exponential",EXP(IF(AND(ISNUMBER('Council Entry'!AY$8),ISNUMBER('Council Entry'!AY$9)),MAX(MIN('Council Entry'!AY199,'Council Entry'!AY$9),'Council Entry'!AY$8),'Council Entry'!AY199)),IF(AND(ISNUMBER('Council Entry'!AY$8),ISNUMBER('Council Entry'!AY$9)),MAX(MIN('Council Entry'!AY199,'Council Entry'!AY$9),'Council Entry'!AY$8),'Council Entry'!AY199))))-'Council Entry'!AY$5)/('Council Entry'!AY$6-'Council Entry'!AY$5)),1))),"No data"))</f>
        <v/>
      </c>
      <c r="AZ199" s="13">
        <f>IF('Council Entry'!AZ199="","",IFERROR(MAX(0,MIN(10,ROUND(IF('Council Entry'!AZ$7="Decrease Risk",10-10*((IF('Council Entry'!AZ$4="Logarithm",LN(0.001+IF(AND(ISNUMBER('Council Entry'!AZ$8),ISNUMBER('Council Entry'!AZ$9)),MAX(MIN('Council Entry'!AZ199,'Council Entry'!AZ$9),'Council Entry'!AZ$8),'Council Entry'!AZ199)),IF('Council Entry'!AZ$4="Exponential",EXP(IF(AND(ISNUMBER('Council Entry'!AZ$8),ISNUMBER('Council Entry'!AZ$9)),MAX(MIN('Council Entry'!AZ199,'Council Entry'!AZ$9),'Council Entry'!AZ$8),'Council Entry'!AZ199)),IF(AND(ISNUMBER('Council Entry'!AZ$8),ISNUMBER('Council Entry'!AZ$9)),MAX(MIN('Council Entry'!AZ199,'Council Entry'!AZ$9),'Council Entry'!AZ$8),'Council Entry'!AZ199))))-'Council Entry'!AZ$5)/('Council Entry'!AZ$6-'Council Entry'!AZ$5),10*((IF('Council Entry'!AZ$4="Logarithm",LN(0.001+IF(AND(ISNUMBER('Council Entry'!AZ$8),ISNUMBER('Council Entry'!AZ$9)),MAX(MIN('Council Entry'!AZ199,'Council Entry'!AZ$9),'Council Entry'!AZ$8),'Council Entry'!AZ199)),IF('Council Entry'!AZ$4="Exponential",EXP(IF(AND(ISNUMBER('Council Entry'!AZ$8),ISNUMBER('Council Entry'!AZ$9)),MAX(MIN('Council Entry'!AZ199,'Council Entry'!AZ$9),'Council Entry'!AZ$8),'Council Entry'!AZ199)),IF(AND(ISNUMBER('Council Entry'!AZ$8),ISNUMBER('Council Entry'!AZ$9)),MAX(MIN('Council Entry'!AZ199,'Council Entry'!AZ$9),'Council Entry'!AZ$8),'Council Entry'!AZ199))))-'Council Entry'!AZ$5)/('Council Entry'!AZ$6-'Council Entry'!AZ$5)),1))),"No data"))</f>
        <v/>
      </c>
      <c r="BA199" s="13">
        <f>IF('Council Entry'!BA199="","",IFERROR(MAX(0,MIN(10,ROUND(IF('Council Entry'!BA$7="Decrease Risk",10-10*((IF('Council Entry'!BA$4="Logarithm",LN(0.001+IF(AND(ISNUMBER('Council Entry'!BA$8),ISNUMBER('Council Entry'!BA$9)),MAX(MIN('Council Entry'!BA199,'Council Entry'!BA$9),'Council Entry'!BA$8),'Council Entry'!BA199)),IF('Council Entry'!BA$4="Exponential",EXP(IF(AND(ISNUMBER('Council Entry'!BA$8),ISNUMBER('Council Entry'!BA$9)),MAX(MIN('Council Entry'!BA199,'Council Entry'!BA$9),'Council Entry'!BA$8),'Council Entry'!BA199)),IF(AND(ISNUMBER('Council Entry'!BA$8),ISNUMBER('Council Entry'!BA$9)),MAX(MIN('Council Entry'!BA199,'Council Entry'!BA$9),'Council Entry'!BA$8),'Council Entry'!BA199))))-'Council Entry'!BA$5)/('Council Entry'!BA$6-'Council Entry'!BA$5),10*((IF('Council Entry'!BA$4="Logarithm",LN(0.001+IF(AND(ISNUMBER('Council Entry'!BA$8),ISNUMBER('Council Entry'!BA$9)),MAX(MIN('Council Entry'!BA199,'Council Entry'!BA$9),'Council Entry'!BA$8),'Council Entry'!BA199)),IF('Council Entry'!BA$4="Exponential",EXP(IF(AND(ISNUMBER('Council Entry'!BA$8),ISNUMBER('Council Entry'!BA$9)),MAX(MIN('Council Entry'!BA199,'Council Entry'!BA$9),'Council Entry'!BA$8),'Council Entry'!BA199)),IF(AND(ISNUMBER('Council Entry'!BA$8),ISNUMBER('Council Entry'!BA$9)),MAX(MIN('Council Entry'!BA199,'Council Entry'!BA$9),'Council Entry'!BA$8),'Council Entry'!BA199))))-'Council Entry'!BA$5)/('Council Entry'!BA$6-'Council Entry'!BA$5)),1))),"No data"))</f>
        <v/>
      </c>
      <c r="BB199" s="13">
        <f>IF('Council Entry'!BB199="","",IFERROR(MAX(0,MIN(10,ROUND(IF('Council Entry'!BB$7="Decrease Risk",10-10*((IF('Council Entry'!BB$4="Logarithm",LN(0.001+IF(AND(ISNUMBER('Council Entry'!BB$8),ISNUMBER('Council Entry'!BB$9)),MAX(MIN('Council Entry'!BB199,'Council Entry'!BB$9),'Council Entry'!BB$8),'Council Entry'!BB199)),IF('Council Entry'!BB$4="Exponential",EXP(IF(AND(ISNUMBER('Council Entry'!BB$8),ISNUMBER('Council Entry'!BB$9)),MAX(MIN('Council Entry'!BB199,'Council Entry'!BB$9),'Council Entry'!BB$8),'Council Entry'!BB199)),IF(AND(ISNUMBER('Council Entry'!BB$8),ISNUMBER('Council Entry'!BB$9)),MAX(MIN('Council Entry'!BB199,'Council Entry'!BB$9),'Council Entry'!BB$8),'Council Entry'!BB199))))-'Council Entry'!BB$5)/('Council Entry'!BB$6-'Council Entry'!BB$5),10*((IF('Council Entry'!BB$4="Logarithm",LN(0.001+IF(AND(ISNUMBER('Council Entry'!BB$8),ISNUMBER('Council Entry'!BB$9)),MAX(MIN('Council Entry'!BB199,'Council Entry'!BB$9),'Council Entry'!BB$8),'Council Entry'!BB199)),IF('Council Entry'!BB$4="Exponential",EXP(IF(AND(ISNUMBER('Council Entry'!BB$8),ISNUMBER('Council Entry'!BB$9)),MAX(MIN('Council Entry'!BB199,'Council Entry'!BB$9),'Council Entry'!BB$8),'Council Entry'!BB199)),IF(AND(ISNUMBER('Council Entry'!BB$8),ISNUMBER('Council Entry'!BB$9)),MAX(MIN('Council Entry'!BB199,'Council Entry'!BB$9),'Council Entry'!BB$8),'Council Entry'!BB199))))-'Council Entry'!BB$5)/('Council Entry'!BB$6-'Council Entry'!BB$5)),1))),"No data"))</f>
        <v/>
      </c>
      <c r="BC199" s="13">
        <f>IF('Council Entry'!BC199="","",IFERROR(MAX(0,MIN(10,ROUND(IF('Council Entry'!BC$7="Decrease Risk",10-10*((IF('Council Entry'!BC$4="Logarithm",LN(0.001+IF(AND(ISNUMBER('Council Entry'!BC$8),ISNUMBER('Council Entry'!BC$9)),MAX(MIN('Council Entry'!BC199,'Council Entry'!BC$9),'Council Entry'!BC$8),'Council Entry'!BC199)),IF('Council Entry'!BC$4="Exponential",EXP(IF(AND(ISNUMBER('Council Entry'!BC$8),ISNUMBER('Council Entry'!BC$9)),MAX(MIN('Council Entry'!BC199,'Council Entry'!BC$9),'Council Entry'!BC$8),'Council Entry'!BC199)),IF(AND(ISNUMBER('Council Entry'!BC$8),ISNUMBER('Council Entry'!BC$9)),MAX(MIN('Council Entry'!BC199,'Council Entry'!BC$9),'Council Entry'!BC$8),'Council Entry'!BC199))))-'Council Entry'!BC$5)/('Council Entry'!BC$6-'Council Entry'!BC$5),10*((IF('Council Entry'!BC$4="Logarithm",LN(0.001+IF(AND(ISNUMBER('Council Entry'!BC$8),ISNUMBER('Council Entry'!BC$9)),MAX(MIN('Council Entry'!BC199,'Council Entry'!BC$9),'Council Entry'!BC$8),'Council Entry'!BC199)),IF('Council Entry'!BC$4="Exponential",EXP(IF(AND(ISNUMBER('Council Entry'!BC$8),ISNUMBER('Council Entry'!BC$9)),MAX(MIN('Council Entry'!BC199,'Council Entry'!BC$9),'Council Entry'!BC$8),'Council Entry'!BC199)),IF(AND(ISNUMBER('Council Entry'!BC$8),ISNUMBER('Council Entry'!BC$9)),MAX(MIN('Council Entry'!BC199,'Council Entry'!BC$9),'Council Entry'!BC$8),'Council Entry'!BC199))))-'Council Entry'!BC$5)/('Council Entry'!BC$6-'Council Entry'!BC$5)),1))),"No data"))</f>
        <v/>
      </c>
      <c r="BD199" s="13">
        <f>IF('Council Entry'!BD199="","",IFERROR(MAX(0,MIN(10,ROUND(IF('Council Entry'!BD$7="Decrease Risk",10-10*((IF('Council Entry'!BD$4="Logarithm",LN(0.001+IF(AND(ISNUMBER('Council Entry'!BD$8),ISNUMBER('Council Entry'!BD$9)),MAX(MIN('Council Entry'!BD199,'Council Entry'!BD$9),'Council Entry'!BD$8),'Council Entry'!BD199)),IF('Council Entry'!BD$4="Exponential",EXP(IF(AND(ISNUMBER('Council Entry'!BD$8),ISNUMBER('Council Entry'!BD$9)),MAX(MIN('Council Entry'!BD199,'Council Entry'!BD$9),'Council Entry'!BD$8),'Council Entry'!BD199)),IF(AND(ISNUMBER('Council Entry'!BD$8),ISNUMBER('Council Entry'!BD$9)),MAX(MIN('Council Entry'!BD199,'Council Entry'!BD$9),'Council Entry'!BD$8),'Council Entry'!BD199))))-'Council Entry'!BD$5)/('Council Entry'!BD$6-'Council Entry'!BD$5),10*((IF('Council Entry'!BD$4="Logarithm",LN(0.001+IF(AND(ISNUMBER('Council Entry'!BD$8),ISNUMBER('Council Entry'!BD$9)),MAX(MIN('Council Entry'!BD199,'Council Entry'!BD$9),'Council Entry'!BD$8),'Council Entry'!BD199)),IF('Council Entry'!BD$4="Exponential",EXP(IF(AND(ISNUMBER('Council Entry'!BD$8),ISNUMBER('Council Entry'!BD$9)),MAX(MIN('Council Entry'!BD199,'Council Entry'!BD$9),'Council Entry'!BD$8),'Council Entry'!BD199)),IF(AND(ISNUMBER('Council Entry'!BD$8),ISNUMBER('Council Entry'!BD$9)),MAX(MIN('Council Entry'!BD199,'Council Entry'!BD$9),'Council Entry'!BD$8),'Council Entry'!BD199))))-'Council Entry'!BD$5)/('Council Entry'!BD$6-'Council Entry'!BD$5)),1))),"No data"))</f>
        <v/>
      </c>
    </row>
    <row r="200">
      <c r="A200" t="inlineStr">
        <is>
          <t>Tanga</t>
        </is>
      </c>
      <c r="B200" t="inlineStr">
        <is>
          <t>Korogwe Town</t>
        </is>
      </c>
      <c r="C200" t="inlineStr">
        <is>
          <t>C026</t>
        </is>
      </c>
      <c r="D200" s="13">
        <f>IF('Council Entry'!D200="","",IFERROR(MAX(0,MIN(10,ROUND(IF('Council Entry'!D$7="Decrease Risk",10-10*((IF('Council Entry'!D$4="Logarithm",LN(0.001+IF(AND(ISNUMBER('Council Entry'!D$8),ISNUMBER('Council Entry'!D$9)),MAX(MIN('Council Entry'!D200,'Council Entry'!D$9),'Council Entry'!D$8),'Council Entry'!D200)),IF('Council Entry'!D$4="Exponential",EXP(IF(AND(ISNUMBER('Council Entry'!D$8),ISNUMBER('Council Entry'!D$9)),MAX(MIN('Council Entry'!D200,'Council Entry'!D$9),'Council Entry'!D$8),'Council Entry'!D200)),IF(AND(ISNUMBER('Council Entry'!D$8),ISNUMBER('Council Entry'!D$9)),MAX(MIN('Council Entry'!D200,'Council Entry'!D$9),'Council Entry'!D$8),'Council Entry'!D200))))-'Council Entry'!D$5)/('Council Entry'!D$6-'Council Entry'!D$5),10*((IF('Council Entry'!D$4="Logarithm",LN(0.001+IF(AND(ISNUMBER('Council Entry'!D$8),ISNUMBER('Council Entry'!D$9)),MAX(MIN('Council Entry'!D200,'Council Entry'!D$9),'Council Entry'!D$8),'Council Entry'!D200)),IF('Council Entry'!D$4="Exponential",EXP(IF(AND(ISNUMBER('Council Entry'!D$8),ISNUMBER('Council Entry'!D$9)),MAX(MIN('Council Entry'!D200,'Council Entry'!D$9),'Council Entry'!D$8),'Council Entry'!D200)),IF(AND(ISNUMBER('Council Entry'!D$8),ISNUMBER('Council Entry'!D$9)),MAX(MIN('Council Entry'!D200,'Council Entry'!D$9),'Council Entry'!D$8),'Council Entry'!D200))))-'Council Entry'!D$5)/('Council Entry'!D$6-'Council Entry'!D$5)),1))),"No data"))</f>
        <v/>
      </c>
      <c r="E200" s="13">
        <f>IF('Council Entry'!E200="","",IFERROR(MAX(0,MIN(10,ROUND(IF('Council Entry'!E$7="Decrease Risk",10-10*((IF('Council Entry'!E$4="Logarithm",LN(0.001+IF(AND(ISNUMBER('Council Entry'!E$8),ISNUMBER('Council Entry'!E$9)),MAX(MIN('Council Entry'!E200,'Council Entry'!E$9),'Council Entry'!E$8),'Council Entry'!E200)),IF('Council Entry'!E$4="Exponential",EXP(IF(AND(ISNUMBER('Council Entry'!E$8),ISNUMBER('Council Entry'!E$9)),MAX(MIN('Council Entry'!E200,'Council Entry'!E$9),'Council Entry'!E$8),'Council Entry'!E200)),IF(AND(ISNUMBER('Council Entry'!E$8),ISNUMBER('Council Entry'!E$9)),MAX(MIN('Council Entry'!E200,'Council Entry'!E$9),'Council Entry'!E$8),'Council Entry'!E200))))-'Council Entry'!E$5)/('Council Entry'!E$6-'Council Entry'!E$5),10*((IF('Council Entry'!E$4="Logarithm",LN(0.001+IF(AND(ISNUMBER('Council Entry'!E$8),ISNUMBER('Council Entry'!E$9)),MAX(MIN('Council Entry'!E200,'Council Entry'!E$9),'Council Entry'!E$8),'Council Entry'!E200)),IF('Council Entry'!E$4="Exponential",EXP(IF(AND(ISNUMBER('Council Entry'!E$8),ISNUMBER('Council Entry'!E$9)),MAX(MIN('Council Entry'!E200,'Council Entry'!E$9),'Council Entry'!E$8),'Council Entry'!E200)),IF(AND(ISNUMBER('Council Entry'!E$8),ISNUMBER('Council Entry'!E$9)),MAX(MIN('Council Entry'!E200,'Council Entry'!E$9),'Council Entry'!E$8),'Council Entry'!E200))))-'Council Entry'!E$5)/('Council Entry'!E$6-'Council Entry'!E$5)),1))),"No data"))</f>
        <v/>
      </c>
      <c r="F200" s="13">
        <f>IF('Council Entry'!F200="","",IFERROR(MAX(0,MIN(10,ROUND(IF('Council Entry'!F$7="Decrease Risk",10-10*((IF('Council Entry'!F$4="Logarithm",LN(0.001+IF(AND(ISNUMBER('Council Entry'!F$8),ISNUMBER('Council Entry'!F$9)),MAX(MIN('Council Entry'!F200,'Council Entry'!F$9),'Council Entry'!F$8),'Council Entry'!F200)),IF('Council Entry'!F$4="Exponential",EXP(IF(AND(ISNUMBER('Council Entry'!F$8),ISNUMBER('Council Entry'!F$9)),MAX(MIN('Council Entry'!F200,'Council Entry'!F$9),'Council Entry'!F$8),'Council Entry'!F200)),IF(AND(ISNUMBER('Council Entry'!F$8),ISNUMBER('Council Entry'!F$9)),MAX(MIN('Council Entry'!F200,'Council Entry'!F$9),'Council Entry'!F$8),'Council Entry'!F200))))-'Council Entry'!F$5)/('Council Entry'!F$6-'Council Entry'!F$5),10*((IF('Council Entry'!F$4="Logarithm",LN(0.001+IF(AND(ISNUMBER('Council Entry'!F$8),ISNUMBER('Council Entry'!F$9)),MAX(MIN('Council Entry'!F200,'Council Entry'!F$9),'Council Entry'!F$8),'Council Entry'!F200)),IF('Council Entry'!F$4="Exponential",EXP(IF(AND(ISNUMBER('Council Entry'!F$8),ISNUMBER('Council Entry'!F$9)),MAX(MIN('Council Entry'!F200,'Council Entry'!F$9),'Council Entry'!F$8),'Council Entry'!F200)),IF(AND(ISNUMBER('Council Entry'!F$8),ISNUMBER('Council Entry'!F$9)),MAX(MIN('Council Entry'!F200,'Council Entry'!F$9),'Council Entry'!F$8),'Council Entry'!F200))))-'Council Entry'!F$5)/('Council Entry'!F$6-'Council Entry'!F$5)),1))),"No data"))</f>
        <v/>
      </c>
      <c r="G200" s="13">
        <f>IF('Council Entry'!G200="","",IFERROR(MAX(0,MIN(10,ROUND(IF('Council Entry'!G$7="Decrease Risk",10-10*((IF('Council Entry'!G$4="Logarithm",LN(0.001+IF(AND(ISNUMBER('Council Entry'!G$8),ISNUMBER('Council Entry'!G$9)),MAX(MIN('Council Entry'!G200,'Council Entry'!G$9),'Council Entry'!G$8),'Council Entry'!G200)),IF('Council Entry'!G$4="Exponential",EXP(IF(AND(ISNUMBER('Council Entry'!G$8),ISNUMBER('Council Entry'!G$9)),MAX(MIN('Council Entry'!G200,'Council Entry'!G$9),'Council Entry'!G$8),'Council Entry'!G200)),IF(AND(ISNUMBER('Council Entry'!G$8),ISNUMBER('Council Entry'!G$9)),MAX(MIN('Council Entry'!G200,'Council Entry'!G$9),'Council Entry'!G$8),'Council Entry'!G200))))-'Council Entry'!G$5)/('Council Entry'!G$6-'Council Entry'!G$5),10*((IF('Council Entry'!G$4="Logarithm",LN(0.001+IF(AND(ISNUMBER('Council Entry'!G$8),ISNUMBER('Council Entry'!G$9)),MAX(MIN('Council Entry'!G200,'Council Entry'!G$9),'Council Entry'!G$8),'Council Entry'!G200)),IF('Council Entry'!G$4="Exponential",EXP(IF(AND(ISNUMBER('Council Entry'!G$8),ISNUMBER('Council Entry'!G$9)),MAX(MIN('Council Entry'!G200,'Council Entry'!G$9),'Council Entry'!G$8),'Council Entry'!G200)),IF(AND(ISNUMBER('Council Entry'!G$8),ISNUMBER('Council Entry'!G$9)),MAX(MIN('Council Entry'!G200,'Council Entry'!G$9),'Council Entry'!G$8),'Council Entry'!G200))))-'Council Entry'!G$5)/('Council Entry'!G$6-'Council Entry'!G$5)),1))),"No data"))</f>
        <v/>
      </c>
      <c r="H200" s="13">
        <f>IF('Council Entry'!H200="","",IFERROR(MAX(0,MIN(10,ROUND(IF('Council Entry'!H$7="Decrease Risk",10-10*((IF('Council Entry'!H$4="Logarithm",LN(0.001+IF(AND(ISNUMBER('Council Entry'!H$8),ISNUMBER('Council Entry'!H$9)),MAX(MIN('Council Entry'!H200,'Council Entry'!H$9),'Council Entry'!H$8),'Council Entry'!H200)),IF('Council Entry'!H$4="Exponential",EXP(IF(AND(ISNUMBER('Council Entry'!H$8),ISNUMBER('Council Entry'!H$9)),MAX(MIN('Council Entry'!H200,'Council Entry'!H$9),'Council Entry'!H$8),'Council Entry'!H200)),IF(AND(ISNUMBER('Council Entry'!H$8),ISNUMBER('Council Entry'!H$9)),MAX(MIN('Council Entry'!H200,'Council Entry'!H$9),'Council Entry'!H$8),'Council Entry'!H200))))-'Council Entry'!H$5)/('Council Entry'!H$6-'Council Entry'!H$5),10*((IF('Council Entry'!H$4="Logarithm",LN(0.001+IF(AND(ISNUMBER('Council Entry'!H$8),ISNUMBER('Council Entry'!H$9)),MAX(MIN('Council Entry'!H200,'Council Entry'!H$9),'Council Entry'!H$8),'Council Entry'!H200)),IF('Council Entry'!H$4="Exponential",EXP(IF(AND(ISNUMBER('Council Entry'!H$8),ISNUMBER('Council Entry'!H$9)),MAX(MIN('Council Entry'!H200,'Council Entry'!H$9),'Council Entry'!H$8),'Council Entry'!H200)),IF(AND(ISNUMBER('Council Entry'!H$8),ISNUMBER('Council Entry'!H$9)),MAX(MIN('Council Entry'!H200,'Council Entry'!H$9),'Council Entry'!H$8),'Council Entry'!H200))))-'Council Entry'!H$5)/('Council Entry'!H$6-'Council Entry'!H$5)),1))),"No data"))</f>
        <v/>
      </c>
      <c r="I200" s="13">
        <f>IF('Council Entry'!I200="","",IFERROR(MAX(0,MIN(10,ROUND(IF('Council Entry'!I$7="Decrease Risk",10-10*((IF('Council Entry'!I$4="Logarithm",LN(0.001+IF(AND(ISNUMBER('Council Entry'!I$8),ISNUMBER('Council Entry'!I$9)),MAX(MIN('Council Entry'!I200,'Council Entry'!I$9),'Council Entry'!I$8),'Council Entry'!I200)),IF('Council Entry'!I$4="Exponential",EXP(IF(AND(ISNUMBER('Council Entry'!I$8),ISNUMBER('Council Entry'!I$9)),MAX(MIN('Council Entry'!I200,'Council Entry'!I$9),'Council Entry'!I$8),'Council Entry'!I200)),IF(AND(ISNUMBER('Council Entry'!I$8),ISNUMBER('Council Entry'!I$9)),MAX(MIN('Council Entry'!I200,'Council Entry'!I$9),'Council Entry'!I$8),'Council Entry'!I200))))-'Council Entry'!I$5)/('Council Entry'!I$6-'Council Entry'!I$5),10*((IF('Council Entry'!I$4="Logarithm",LN(0.001+IF(AND(ISNUMBER('Council Entry'!I$8),ISNUMBER('Council Entry'!I$9)),MAX(MIN('Council Entry'!I200,'Council Entry'!I$9),'Council Entry'!I$8),'Council Entry'!I200)),IF('Council Entry'!I$4="Exponential",EXP(IF(AND(ISNUMBER('Council Entry'!I$8),ISNUMBER('Council Entry'!I$9)),MAX(MIN('Council Entry'!I200,'Council Entry'!I$9),'Council Entry'!I$8),'Council Entry'!I200)),IF(AND(ISNUMBER('Council Entry'!I$8),ISNUMBER('Council Entry'!I$9)),MAX(MIN('Council Entry'!I200,'Council Entry'!I$9),'Council Entry'!I$8),'Council Entry'!I200))))-'Council Entry'!I$5)/('Council Entry'!I$6-'Council Entry'!I$5)),1))),"No data"))</f>
        <v/>
      </c>
      <c r="J200" s="13">
        <f>IF('Council Entry'!J200="","",IFERROR(MAX(0,MIN(10,ROUND(IF('Council Entry'!J$7="Decrease Risk",10-10*((IF('Council Entry'!J$4="Logarithm",LN(0.001+IF(AND(ISNUMBER('Council Entry'!J$8),ISNUMBER('Council Entry'!J$9)),MAX(MIN('Council Entry'!J200,'Council Entry'!J$9),'Council Entry'!J$8),'Council Entry'!J200)),IF('Council Entry'!J$4="Exponential",EXP(IF(AND(ISNUMBER('Council Entry'!J$8),ISNUMBER('Council Entry'!J$9)),MAX(MIN('Council Entry'!J200,'Council Entry'!J$9),'Council Entry'!J$8),'Council Entry'!J200)),IF(AND(ISNUMBER('Council Entry'!J$8),ISNUMBER('Council Entry'!J$9)),MAX(MIN('Council Entry'!J200,'Council Entry'!J$9),'Council Entry'!J$8),'Council Entry'!J200))))-'Council Entry'!J$5)/('Council Entry'!J$6-'Council Entry'!J$5),10*((IF('Council Entry'!J$4="Logarithm",LN(0.001+IF(AND(ISNUMBER('Council Entry'!J$8),ISNUMBER('Council Entry'!J$9)),MAX(MIN('Council Entry'!J200,'Council Entry'!J$9),'Council Entry'!J$8),'Council Entry'!J200)),IF('Council Entry'!J$4="Exponential",EXP(IF(AND(ISNUMBER('Council Entry'!J$8),ISNUMBER('Council Entry'!J$9)),MAX(MIN('Council Entry'!J200,'Council Entry'!J$9),'Council Entry'!J$8),'Council Entry'!J200)),IF(AND(ISNUMBER('Council Entry'!J$8),ISNUMBER('Council Entry'!J$9)),MAX(MIN('Council Entry'!J200,'Council Entry'!J$9),'Council Entry'!J$8),'Council Entry'!J200))))-'Council Entry'!J$5)/('Council Entry'!J$6-'Council Entry'!J$5)),1))),"No data"))</f>
        <v/>
      </c>
      <c r="K200" s="13">
        <f>IF('Council Entry'!K200="","",IFERROR(MAX(0,MIN(10,ROUND(IF('Council Entry'!K$7="Decrease Risk",10-10*((IF('Council Entry'!K$4="Logarithm",LN(0.001+IF(AND(ISNUMBER('Council Entry'!K$8),ISNUMBER('Council Entry'!K$9)),MAX(MIN('Council Entry'!K200,'Council Entry'!K$9),'Council Entry'!K$8),'Council Entry'!K200)),IF('Council Entry'!K$4="Exponential",EXP(IF(AND(ISNUMBER('Council Entry'!K$8),ISNUMBER('Council Entry'!K$9)),MAX(MIN('Council Entry'!K200,'Council Entry'!K$9),'Council Entry'!K$8),'Council Entry'!K200)),IF(AND(ISNUMBER('Council Entry'!K$8),ISNUMBER('Council Entry'!K$9)),MAX(MIN('Council Entry'!K200,'Council Entry'!K$9),'Council Entry'!K$8),'Council Entry'!K200))))-'Council Entry'!K$5)/('Council Entry'!K$6-'Council Entry'!K$5),10*((IF('Council Entry'!K$4="Logarithm",LN(0.001+IF(AND(ISNUMBER('Council Entry'!K$8),ISNUMBER('Council Entry'!K$9)),MAX(MIN('Council Entry'!K200,'Council Entry'!K$9),'Council Entry'!K$8),'Council Entry'!K200)),IF('Council Entry'!K$4="Exponential",EXP(IF(AND(ISNUMBER('Council Entry'!K$8),ISNUMBER('Council Entry'!K$9)),MAX(MIN('Council Entry'!K200,'Council Entry'!K$9),'Council Entry'!K$8),'Council Entry'!K200)),IF(AND(ISNUMBER('Council Entry'!K$8),ISNUMBER('Council Entry'!K$9)),MAX(MIN('Council Entry'!K200,'Council Entry'!K$9),'Council Entry'!K$8),'Council Entry'!K200))))-'Council Entry'!K$5)/('Council Entry'!K$6-'Council Entry'!K$5)),1))),"No data"))</f>
        <v/>
      </c>
      <c r="L200" s="13">
        <f>IF('Council Entry'!L200="","",IFERROR(MAX(0,MIN(10,ROUND(IF('Council Entry'!L$7="Decrease Risk",10-10*((IF('Council Entry'!L$4="Logarithm",LN(0.001+IF(AND(ISNUMBER('Council Entry'!L$8),ISNUMBER('Council Entry'!L$9)),MAX(MIN('Council Entry'!L200,'Council Entry'!L$9),'Council Entry'!L$8),'Council Entry'!L200)),IF('Council Entry'!L$4="Exponential",EXP(IF(AND(ISNUMBER('Council Entry'!L$8),ISNUMBER('Council Entry'!L$9)),MAX(MIN('Council Entry'!L200,'Council Entry'!L$9),'Council Entry'!L$8),'Council Entry'!L200)),IF(AND(ISNUMBER('Council Entry'!L$8),ISNUMBER('Council Entry'!L$9)),MAX(MIN('Council Entry'!L200,'Council Entry'!L$9),'Council Entry'!L$8),'Council Entry'!L200))))-'Council Entry'!L$5)/('Council Entry'!L$6-'Council Entry'!L$5),10*((IF('Council Entry'!L$4="Logarithm",LN(0.001+IF(AND(ISNUMBER('Council Entry'!L$8),ISNUMBER('Council Entry'!L$9)),MAX(MIN('Council Entry'!L200,'Council Entry'!L$9),'Council Entry'!L$8),'Council Entry'!L200)),IF('Council Entry'!L$4="Exponential",EXP(IF(AND(ISNUMBER('Council Entry'!L$8),ISNUMBER('Council Entry'!L$9)),MAX(MIN('Council Entry'!L200,'Council Entry'!L$9),'Council Entry'!L$8),'Council Entry'!L200)),IF(AND(ISNUMBER('Council Entry'!L$8),ISNUMBER('Council Entry'!L$9)),MAX(MIN('Council Entry'!L200,'Council Entry'!L$9),'Council Entry'!L$8),'Council Entry'!L200))))-'Council Entry'!L$5)/('Council Entry'!L$6-'Council Entry'!L$5)),1))),"No data"))</f>
        <v/>
      </c>
      <c r="M200" s="13">
        <f>IF('Council Entry'!M200="","",IFERROR(MAX(0,MIN(10,ROUND(IF('Council Entry'!M$7="Decrease Risk",10-10*((IF('Council Entry'!M$4="Logarithm",LN(0.001+IF(AND(ISNUMBER('Council Entry'!M$8),ISNUMBER('Council Entry'!M$9)),MAX(MIN('Council Entry'!M200,'Council Entry'!M$9),'Council Entry'!M$8),'Council Entry'!M200)),IF('Council Entry'!M$4="Exponential",EXP(IF(AND(ISNUMBER('Council Entry'!M$8),ISNUMBER('Council Entry'!M$9)),MAX(MIN('Council Entry'!M200,'Council Entry'!M$9),'Council Entry'!M$8),'Council Entry'!M200)),IF(AND(ISNUMBER('Council Entry'!M$8),ISNUMBER('Council Entry'!M$9)),MAX(MIN('Council Entry'!M200,'Council Entry'!M$9),'Council Entry'!M$8),'Council Entry'!M200))))-'Council Entry'!M$5)/('Council Entry'!M$6-'Council Entry'!M$5),10*((IF('Council Entry'!M$4="Logarithm",LN(0.001+IF(AND(ISNUMBER('Council Entry'!M$8),ISNUMBER('Council Entry'!M$9)),MAX(MIN('Council Entry'!M200,'Council Entry'!M$9),'Council Entry'!M$8),'Council Entry'!M200)),IF('Council Entry'!M$4="Exponential",EXP(IF(AND(ISNUMBER('Council Entry'!M$8),ISNUMBER('Council Entry'!M$9)),MAX(MIN('Council Entry'!M200,'Council Entry'!M$9),'Council Entry'!M$8),'Council Entry'!M200)),IF(AND(ISNUMBER('Council Entry'!M$8),ISNUMBER('Council Entry'!M$9)),MAX(MIN('Council Entry'!M200,'Council Entry'!M$9),'Council Entry'!M$8),'Council Entry'!M200))))-'Council Entry'!M$5)/('Council Entry'!M$6-'Council Entry'!M$5)),1))),"No data"))</f>
        <v/>
      </c>
      <c r="N200" s="13">
        <f>IF('Council Entry'!N200="","",IFERROR(MAX(0,MIN(10,ROUND(IF('Council Entry'!N$7="Decrease Risk",10-10*((IF('Council Entry'!N$4="Logarithm",LN(0.001+IF(AND(ISNUMBER('Council Entry'!N$8),ISNUMBER('Council Entry'!N$9)),MAX(MIN('Council Entry'!N200,'Council Entry'!N$9),'Council Entry'!N$8),'Council Entry'!N200)),IF('Council Entry'!N$4="Exponential",EXP(IF(AND(ISNUMBER('Council Entry'!N$8),ISNUMBER('Council Entry'!N$9)),MAX(MIN('Council Entry'!N200,'Council Entry'!N$9),'Council Entry'!N$8),'Council Entry'!N200)),IF(AND(ISNUMBER('Council Entry'!N$8),ISNUMBER('Council Entry'!N$9)),MAX(MIN('Council Entry'!N200,'Council Entry'!N$9),'Council Entry'!N$8),'Council Entry'!N200))))-'Council Entry'!N$5)/('Council Entry'!N$6-'Council Entry'!N$5),10*((IF('Council Entry'!N$4="Logarithm",LN(0.001+IF(AND(ISNUMBER('Council Entry'!N$8),ISNUMBER('Council Entry'!N$9)),MAX(MIN('Council Entry'!N200,'Council Entry'!N$9),'Council Entry'!N$8),'Council Entry'!N200)),IF('Council Entry'!N$4="Exponential",EXP(IF(AND(ISNUMBER('Council Entry'!N$8),ISNUMBER('Council Entry'!N$9)),MAX(MIN('Council Entry'!N200,'Council Entry'!N$9),'Council Entry'!N$8),'Council Entry'!N200)),IF(AND(ISNUMBER('Council Entry'!N$8),ISNUMBER('Council Entry'!N$9)),MAX(MIN('Council Entry'!N200,'Council Entry'!N$9),'Council Entry'!N$8),'Council Entry'!N200))))-'Council Entry'!N$5)/('Council Entry'!N$6-'Council Entry'!N$5)),1))),"No data"))</f>
        <v/>
      </c>
      <c r="O200" s="13">
        <f>IF('Council Entry'!O200="","",IFERROR(MAX(0,MIN(10,ROUND(IF('Council Entry'!O$7="Decrease Risk",10-10*((IF('Council Entry'!O$4="Logarithm",LN(0.001+IF(AND(ISNUMBER('Council Entry'!O$8),ISNUMBER('Council Entry'!O$9)),MAX(MIN('Council Entry'!O200,'Council Entry'!O$9),'Council Entry'!O$8),'Council Entry'!O200)),IF('Council Entry'!O$4="Exponential",EXP(IF(AND(ISNUMBER('Council Entry'!O$8),ISNUMBER('Council Entry'!O$9)),MAX(MIN('Council Entry'!O200,'Council Entry'!O$9),'Council Entry'!O$8),'Council Entry'!O200)),IF(AND(ISNUMBER('Council Entry'!O$8),ISNUMBER('Council Entry'!O$9)),MAX(MIN('Council Entry'!O200,'Council Entry'!O$9),'Council Entry'!O$8),'Council Entry'!O200))))-'Council Entry'!O$5)/('Council Entry'!O$6-'Council Entry'!O$5),10*((IF('Council Entry'!O$4="Logarithm",LN(0.001+IF(AND(ISNUMBER('Council Entry'!O$8),ISNUMBER('Council Entry'!O$9)),MAX(MIN('Council Entry'!O200,'Council Entry'!O$9),'Council Entry'!O$8),'Council Entry'!O200)),IF('Council Entry'!O$4="Exponential",EXP(IF(AND(ISNUMBER('Council Entry'!O$8),ISNUMBER('Council Entry'!O$9)),MAX(MIN('Council Entry'!O200,'Council Entry'!O$9),'Council Entry'!O$8),'Council Entry'!O200)),IF(AND(ISNUMBER('Council Entry'!O$8),ISNUMBER('Council Entry'!O$9)),MAX(MIN('Council Entry'!O200,'Council Entry'!O$9),'Council Entry'!O$8),'Council Entry'!O200))))-'Council Entry'!O$5)/('Council Entry'!O$6-'Council Entry'!O$5)),1))),"No data"))</f>
        <v/>
      </c>
      <c r="P200" s="13">
        <f>IF('Council Entry'!P200="","",IFERROR(MAX(0,MIN(10,ROUND(IF('Council Entry'!P$7="Decrease Risk",10-10*((IF('Council Entry'!P$4="Logarithm",LN(0.001+IF(AND(ISNUMBER('Council Entry'!P$8),ISNUMBER('Council Entry'!P$9)),MAX(MIN('Council Entry'!P200,'Council Entry'!P$9),'Council Entry'!P$8),'Council Entry'!P200)),IF('Council Entry'!P$4="Exponential",EXP(IF(AND(ISNUMBER('Council Entry'!P$8),ISNUMBER('Council Entry'!P$9)),MAX(MIN('Council Entry'!P200,'Council Entry'!P$9),'Council Entry'!P$8),'Council Entry'!P200)),IF(AND(ISNUMBER('Council Entry'!P$8),ISNUMBER('Council Entry'!P$9)),MAX(MIN('Council Entry'!P200,'Council Entry'!P$9),'Council Entry'!P$8),'Council Entry'!P200))))-'Council Entry'!P$5)/('Council Entry'!P$6-'Council Entry'!P$5),10*((IF('Council Entry'!P$4="Logarithm",LN(0.001+IF(AND(ISNUMBER('Council Entry'!P$8),ISNUMBER('Council Entry'!P$9)),MAX(MIN('Council Entry'!P200,'Council Entry'!P$9),'Council Entry'!P$8),'Council Entry'!P200)),IF('Council Entry'!P$4="Exponential",EXP(IF(AND(ISNUMBER('Council Entry'!P$8),ISNUMBER('Council Entry'!P$9)),MAX(MIN('Council Entry'!P200,'Council Entry'!P$9),'Council Entry'!P$8),'Council Entry'!P200)),IF(AND(ISNUMBER('Council Entry'!P$8),ISNUMBER('Council Entry'!P$9)),MAX(MIN('Council Entry'!P200,'Council Entry'!P$9),'Council Entry'!P$8),'Council Entry'!P200))))-'Council Entry'!P$5)/('Council Entry'!P$6-'Council Entry'!P$5)),1))),"No data"))</f>
        <v/>
      </c>
      <c r="Q200" s="13">
        <f>IF('Council Entry'!Q200="","",IFERROR(MAX(0,MIN(10,ROUND(IF('Council Entry'!Q$7="Decrease Risk",10-10*((IF('Council Entry'!Q$4="Logarithm",LN(0.001+IF(AND(ISNUMBER('Council Entry'!Q$8),ISNUMBER('Council Entry'!Q$9)),MAX(MIN('Council Entry'!Q200,'Council Entry'!Q$9),'Council Entry'!Q$8),'Council Entry'!Q200)),IF('Council Entry'!Q$4="Exponential",EXP(IF(AND(ISNUMBER('Council Entry'!Q$8),ISNUMBER('Council Entry'!Q$9)),MAX(MIN('Council Entry'!Q200,'Council Entry'!Q$9),'Council Entry'!Q$8),'Council Entry'!Q200)),IF(AND(ISNUMBER('Council Entry'!Q$8),ISNUMBER('Council Entry'!Q$9)),MAX(MIN('Council Entry'!Q200,'Council Entry'!Q$9),'Council Entry'!Q$8),'Council Entry'!Q200))))-'Council Entry'!Q$5)/('Council Entry'!Q$6-'Council Entry'!Q$5),10*((IF('Council Entry'!Q$4="Logarithm",LN(0.001+IF(AND(ISNUMBER('Council Entry'!Q$8),ISNUMBER('Council Entry'!Q$9)),MAX(MIN('Council Entry'!Q200,'Council Entry'!Q$9),'Council Entry'!Q$8),'Council Entry'!Q200)),IF('Council Entry'!Q$4="Exponential",EXP(IF(AND(ISNUMBER('Council Entry'!Q$8),ISNUMBER('Council Entry'!Q$9)),MAX(MIN('Council Entry'!Q200,'Council Entry'!Q$9),'Council Entry'!Q$8),'Council Entry'!Q200)),IF(AND(ISNUMBER('Council Entry'!Q$8),ISNUMBER('Council Entry'!Q$9)),MAX(MIN('Council Entry'!Q200,'Council Entry'!Q$9),'Council Entry'!Q$8),'Council Entry'!Q200))))-'Council Entry'!Q$5)/('Council Entry'!Q$6-'Council Entry'!Q$5)),1))),"No data"))</f>
        <v/>
      </c>
      <c r="R200" s="13">
        <f>IF('Council Entry'!R200="","",IFERROR(MAX(0,MIN(10,ROUND(IF('Council Entry'!R$7="Decrease Risk",10-10*((IF('Council Entry'!R$4="Logarithm",LN(0.001+IF(AND(ISNUMBER('Council Entry'!R$8),ISNUMBER('Council Entry'!R$9)),MAX(MIN('Council Entry'!R200,'Council Entry'!R$9),'Council Entry'!R$8),'Council Entry'!R200)),IF('Council Entry'!R$4="Exponential",EXP(IF(AND(ISNUMBER('Council Entry'!R$8),ISNUMBER('Council Entry'!R$9)),MAX(MIN('Council Entry'!R200,'Council Entry'!R$9),'Council Entry'!R$8),'Council Entry'!R200)),IF(AND(ISNUMBER('Council Entry'!R$8),ISNUMBER('Council Entry'!R$9)),MAX(MIN('Council Entry'!R200,'Council Entry'!R$9),'Council Entry'!R$8),'Council Entry'!R200))))-'Council Entry'!R$5)/('Council Entry'!R$6-'Council Entry'!R$5),10*((IF('Council Entry'!R$4="Logarithm",LN(0.001+IF(AND(ISNUMBER('Council Entry'!R$8),ISNUMBER('Council Entry'!R$9)),MAX(MIN('Council Entry'!R200,'Council Entry'!R$9),'Council Entry'!R$8),'Council Entry'!R200)),IF('Council Entry'!R$4="Exponential",EXP(IF(AND(ISNUMBER('Council Entry'!R$8),ISNUMBER('Council Entry'!R$9)),MAX(MIN('Council Entry'!R200,'Council Entry'!R$9),'Council Entry'!R$8),'Council Entry'!R200)),IF(AND(ISNUMBER('Council Entry'!R$8),ISNUMBER('Council Entry'!R$9)),MAX(MIN('Council Entry'!R200,'Council Entry'!R$9),'Council Entry'!R$8),'Council Entry'!R200))))-'Council Entry'!R$5)/('Council Entry'!R$6-'Council Entry'!R$5)),1))),"No data"))</f>
        <v/>
      </c>
      <c r="S200" s="13">
        <f>IF('Council Entry'!S200="","",IFERROR(MAX(0,MIN(10,ROUND(IF('Council Entry'!S$7="Decrease Risk",10-10*((IF('Council Entry'!S$4="Logarithm",LN(0.001+IF(AND(ISNUMBER('Council Entry'!S$8),ISNUMBER('Council Entry'!S$9)),MAX(MIN('Council Entry'!S200,'Council Entry'!S$9),'Council Entry'!S$8),'Council Entry'!S200)),IF('Council Entry'!S$4="Exponential",EXP(IF(AND(ISNUMBER('Council Entry'!S$8),ISNUMBER('Council Entry'!S$9)),MAX(MIN('Council Entry'!S200,'Council Entry'!S$9),'Council Entry'!S$8),'Council Entry'!S200)),IF(AND(ISNUMBER('Council Entry'!S$8),ISNUMBER('Council Entry'!S$9)),MAX(MIN('Council Entry'!S200,'Council Entry'!S$9),'Council Entry'!S$8),'Council Entry'!S200))))-'Council Entry'!S$5)/('Council Entry'!S$6-'Council Entry'!S$5),10*((IF('Council Entry'!S$4="Logarithm",LN(0.001+IF(AND(ISNUMBER('Council Entry'!S$8),ISNUMBER('Council Entry'!S$9)),MAX(MIN('Council Entry'!S200,'Council Entry'!S$9),'Council Entry'!S$8),'Council Entry'!S200)),IF('Council Entry'!S$4="Exponential",EXP(IF(AND(ISNUMBER('Council Entry'!S$8),ISNUMBER('Council Entry'!S$9)),MAX(MIN('Council Entry'!S200,'Council Entry'!S$9),'Council Entry'!S$8),'Council Entry'!S200)),IF(AND(ISNUMBER('Council Entry'!S$8),ISNUMBER('Council Entry'!S$9)),MAX(MIN('Council Entry'!S200,'Council Entry'!S$9),'Council Entry'!S$8),'Council Entry'!S200))))-'Council Entry'!S$5)/('Council Entry'!S$6-'Council Entry'!S$5)),1))),"No data"))</f>
        <v/>
      </c>
      <c r="T200" s="13">
        <f>IF('Council Entry'!T200="","",IFERROR(MAX(0,MIN(10,ROUND(IF('Council Entry'!T$7="Decrease Risk",10-10*((IF('Council Entry'!T$4="Logarithm",LN(0.001+IF(AND(ISNUMBER('Council Entry'!T$8),ISNUMBER('Council Entry'!T$9)),MAX(MIN('Council Entry'!T200,'Council Entry'!T$9),'Council Entry'!T$8),'Council Entry'!T200)),IF('Council Entry'!T$4="Exponential",EXP(IF(AND(ISNUMBER('Council Entry'!T$8),ISNUMBER('Council Entry'!T$9)),MAX(MIN('Council Entry'!T200,'Council Entry'!T$9),'Council Entry'!T$8),'Council Entry'!T200)),IF(AND(ISNUMBER('Council Entry'!T$8),ISNUMBER('Council Entry'!T$9)),MAX(MIN('Council Entry'!T200,'Council Entry'!T$9),'Council Entry'!T$8),'Council Entry'!T200))))-'Council Entry'!T$5)/('Council Entry'!T$6-'Council Entry'!T$5),10*((IF('Council Entry'!T$4="Logarithm",LN(0.001+IF(AND(ISNUMBER('Council Entry'!T$8),ISNUMBER('Council Entry'!T$9)),MAX(MIN('Council Entry'!T200,'Council Entry'!T$9),'Council Entry'!T$8),'Council Entry'!T200)),IF('Council Entry'!T$4="Exponential",EXP(IF(AND(ISNUMBER('Council Entry'!T$8),ISNUMBER('Council Entry'!T$9)),MAX(MIN('Council Entry'!T200,'Council Entry'!T$9),'Council Entry'!T$8),'Council Entry'!T200)),IF(AND(ISNUMBER('Council Entry'!T$8),ISNUMBER('Council Entry'!T$9)),MAX(MIN('Council Entry'!T200,'Council Entry'!T$9),'Council Entry'!T$8),'Council Entry'!T200))))-'Council Entry'!T$5)/('Council Entry'!T$6-'Council Entry'!T$5)),1))),"No data"))</f>
        <v/>
      </c>
      <c r="U200" s="13">
        <f>IF('Council Entry'!U200="","",IFERROR(MAX(0,MIN(10,ROUND(IF('Council Entry'!U$7="Decrease Risk",10-10*((IF('Council Entry'!U$4="Logarithm",LN(0.001+IF(AND(ISNUMBER('Council Entry'!U$8),ISNUMBER('Council Entry'!U$9)),MAX(MIN('Council Entry'!U200,'Council Entry'!U$9),'Council Entry'!U$8),'Council Entry'!U200)),IF('Council Entry'!U$4="Exponential",EXP(IF(AND(ISNUMBER('Council Entry'!U$8),ISNUMBER('Council Entry'!U$9)),MAX(MIN('Council Entry'!U200,'Council Entry'!U$9),'Council Entry'!U$8),'Council Entry'!U200)),IF(AND(ISNUMBER('Council Entry'!U$8),ISNUMBER('Council Entry'!U$9)),MAX(MIN('Council Entry'!U200,'Council Entry'!U$9),'Council Entry'!U$8),'Council Entry'!U200))))-'Council Entry'!U$5)/('Council Entry'!U$6-'Council Entry'!U$5),10*((IF('Council Entry'!U$4="Logarithm",LN(0.001+IF(AND(ISNUMBER('Council Entry'!U$8),ISNUMBER('Council Entry'!U$9)),MAX(MIN('Council Entry'!U200,'Council Entry'!U$9),'Council Entry'!U$8),'Council Entry'!U200)),IF('Council Entry'!U$4="Exponential",EXP(IF(AND(ISNUMBER('Council Entry'!U$8),ISNUMBER('Council Entry'!U$9)),MAX(MIN('Council Entry'!U200,'Council Entry'!U$9),'Council Entry'!U$8),'Council Entry'!U200)),IF(AND(ISNUMBER('Council Entry'!U$8),ISNUMBER('Council Entry'!U$9)),MAX(MIN('Council Entry'!U200,'Council Entry'!U$9),'Council Entry'!U$8),'Council Entry'!U200))))-'Council Entry'!U$5)/('Council Entry'!U$6-'Council Entry'!U$5)),1))),"No data"))</f>
        <v/>
      </c>
      <c r="V200" s="13">
        <f>IF('Council Entry'!V200="","",IFERROR(MAX(0,MIN(10,ROUND(IF('Council Entry'!V$7="Decrease Risk",10-10*((IF('Council Entry'!V$4="Logarithm",LN(0.001+IF(AND(ISNUMBER('Council Entry'!V$8),ISNUMBER('Council Entry'!V$9)),MAX(MIN('Council Entry'!V200,'Council Entry'!V$9),'Council Entry'!V$8),'Council Entry'!V200)),IF('Council Entry'!V$4="Exponential",EXP(IF(AND(ISNUMBER('Council Entry'!V$8),ISNUMBER('Council Entry'!V$9)),MAX(MIN('Council Entry'!V200,'Council Entry'!V$9),'Council Entry'!V$8),'Council Entry'!V200)),IF(AND(ISNUMBER('Council Entry'!V$8),ISNUMBER('Council Entry'!V$9)),MAX(MIN('Council Entry'!V200,'Council Entry'!V$9),'Council Entry'!V$8),'Council Entry'!V200))))-'Council Entry'!V$5)/('Council Entry'!V$6-'Council Entry'!V$5),10*((IF('Council Entry'!V$4="Logarithm",LN(0.001+IF(AND(ISNUMBER('Council Entry'!V$8),ISNUMBER('Council Entry'!V$9)),MAX(MIN('Council Entry'!V200,'Council Entry'!V$9),'Council Entry'!V$8),'Council Entry'!V200)),IF('Council Entry'!V$4="Exponential",EXP(IF(AND(ISNUMBER('Council Entry'!V$8),ISNUMBER('Council Entry'!V$9)),MAX(MIN('Council Entry'!V200,'Council Entry'!V$9),'Council Entry'!V$8),'Council Entry'!V200)),IF(AND(ISNUMBER('Council Entry'!V$8),ISNUMBER('Council Entry'!V$9)),MAX(MIN('Council Entry'!V200,'Council Entry'!V$9),'Council Entry'!V$8),'Council Entry'!V200))))-'Council Entry'!V$5)/('Council Entry'!V$6-'Council Entry'!V$5)),1))),"No data"))</f>
        <v/>
      </c>
      <c r="W200" s="13">
        <f>IF('Council Entry'!W200="","",IFERROR(MAX(0,MIN(10,ROUND(IF('Council Entry'!W$7="Decrease Risk",10-10*((IF('Council Entry'!W$4="Logarithm",LN(0.001+IF(AND(ISNUMBER('Council Entry'!W$8),ISNUMBER('Council Entry'!W$9)),MAX(MIN('Council Entry'!W200,'Council Entry'!W$9),'Council Entry'!W$8),'Council Entry'!W200)),IF('Council Entry'!W$4="Exponential",EXP(IF(AND(ISNUMBER('Council Entry'!W$8),ISNUMBER('Council Entry'!W$9)),MAX(MIN('Council Entry'!W200,'Council Entry'!W$9),'Council Entry'!W$8),'Council Entry'!W200)),IF(AND(ISNUMBER('Council Entry'!W$8),ISNUMBER('Council Entry'!W$9)),MAX(MIN('Council Entry'!W200,'Council Entry'!W$9),'Council Entry'!W$8),'Council Entry'!W200))))-'Council Entry'!W$5)/('Council Entry'!W$6-'Council Entry'!W$5),10*((IF('Council Entry'!W$4="Logarithm",LN(0.001+IF(AND(ISNUMBER('Council Entry'!W$8),ISNUMBER('Council Entry'!W$9)),MAX(MIN('Council Entry'!W200,'Council Entry'!W$9),'Council Entry'!W$8),'Council Entry'!W200)),IF('Council Entry'!W$4="Exponential",EXP(IF(AND(ISNUMBER('Council Entry'!W$8),ISNUMBER('Council Entry'!W$9)),MAX(MIN('Council Entry'!W200,'Council Entry'!W$9),'Council Entry'!W$8),'Council Entry'!W200)),IF(AND(ISNUMBER('Council Entry'!W$8),ISNUMBER('Council Entry'!W$9)),MAX(MIN('Council Entry'!W200,'Council Entry'!W$9),'Council Entry'!W$8),'Council Entry'!W200))))-'Council Entry'!W$5)/('Council Entry'!W$6-'Council Entry'!W$5)),1))),"No data"))</f>
        <v/>
      </c>
      <c r="X200" s="13">
        <f>IF('Council Entry'!X200="","",IFERROR(MAX(0,MIN(10,ROUND(IF('Council Entry'!X$7="Decrease Risk",10-10*((IF('Council Entry'!X$4="Logarithm",LN(0.001+IF(AND(ISNUMBER('Council Entry'!X$8),ISNUMBER('Council Entry'!X$9)),MAX(MIN('Council Entry'!X200,'Council Entry'!X$9),'Council Entry'!X$8),'Council Entry'!X200)),IF('Council Entry'!X$4="Exponential",EXP(IF(AND(ISNUMBER('Council Entry'!X$8),ISNUMBER('Council Entry'!X$9)),MAX(MIN('Council Entry'!X200,'Council Entry'!X$9),'Council Entry'!X$8),'Council Entry'!X200)),IF(AND(ISNUMBER('Council Entry'!X$8),ISNUMBER('Council Entry'!X$9)),MAX(MIN('Council Entry'!X200,'Council Entry'!X$9),'Council Entry'!X$8),'Council Entry'!X200))))-'Council Entry'!X$5)/('Council Entry'!X$6-'Council Entry'!X$5),10*((IF('Council Entry'!X$4="Logarithm",LN(0.001+IF(AND(ISNUMBER('Council Entry'!X$8),ISNUMBER('Council Entry'!X$9)),MAX(MIN('Council Entry'!X200,'Council Entry'!X$9),'Council Entry'!X$8),'Council Entry'!X200)),IF('Council Entry'!X$4="Exponential",EXP(IF(AND(ISNUMBER('Council Entry'!X$8),ISNUMBER('Council Entry'!X$9)),MAX(MIN('Council Entry'!X200,'Council Entry'!X$9),'Council Entry'!X$8),'Council Entry'!X200)),IF(AND(ISNUMBER('Council Entry'!X$8),ISNUMBER('Council Entry'!X$9)),MAX(MIN('Council Entry'!X200,'Council Entry'!X$9),'Council Entry'!X$8),'Council Entry'!X200))))-'Council Entry'!X$5)/('Council Entry'!X$6-'Council Entry'!X$5)),1))),"No data"))</f>
        <v/>
      </c>
      <c r="Y200" s="13">
        <f>IF('Council Entry'!Y200="","",IFERROR(MAX(0,MIN(10,ROUND(IF('Council Entry'!Y$7="Decrease Risk",10-10*((IF('Council Entry'!Y$4="Logarithm",LN(0.001+IF(AND(ISNUMBER('Council Entry'!Y$8),ISNUMBER('Council Entry'!Y$9)),MAX(MIN('Council Entry'!Y200,'Council Entry'!Y$9),'Council Entry'!Y$8),'Council Entry'!Y200)),IF('Council Entry'!Y$4="Exponential",EXP(IF(AND(ISNUMBER('Council Entry'!Y$8),ISNUMBER('Council Entry'!Y$9)),MAX(MIN('Council Entry'!Y200,'Council Entry'!Y$9),'Council Entry'!Y$8),'Council Entry'!Y200)),IF(AND(ISNUMBER('Council Entry'!Y$8),ISNUMBER('Council Entry'!Y$9)),MAX(MIN('Council Entry'!Y200,'Council Entry'!Y$9),'Council Entry'!Y$8),'Council Entry'!Y200))))-'Council Entry'!Y$5)/('Council Entry'!Y$6-'Council Entry'!Y$5),10*((IF('Council Entry'!Y$4="Logarithm",LN(0.001+IF(AND(ISNUMBER('Council Entry'!Y$8),ISNUMBER('Council Entry'!Y$9)),MAX(MIN('Council Entry'!Y200,'Council Entry'!Y$9),'Council Entry'!Y$8),'Council Entry'!Y200)),IF('Council Entry'!Y$4="Exponential",EXP(IF(AND(ISNUMBER('Council Entry'!Y$8),ISNUMBER('Council Entry'!Y$9)),MAX(MIN('Council Entry'!Y200,'Council Entry'!Y$9),'Council Entry'!Y$8),'Council Entry'!Y200)),IF(AND(ISNUMBER('Council Entry'!Y$8),ISNUMBER('Council Entry'!Y$9)),MAX(MIN('Council Entry'!Y200,'Council Entry'!Y$9),'Council Entry'!Y$8),'Council Entry'!Y200))))-'Council Entry'!Y$5)/('Council Entry'!Y$6-'Council Entry'!Y$5)),1))),"No data"))</f>
        <v/>
      </c>
      <c r="Z200" s="13">
        <f>IF('Council Entry'!Z200="","",IFERROR(MAX(0,MIN(10,ROUND(IF('Council Entry'!Z$7="Decrease Risk",10-10*((IF('Council Entry'!Z$4="Logarithm",LN(0.001+IF(AND(ISNUMBER('Council Entry'!Z$8),ISNUMBER('Council Entry'!Z$9)),MAX(MIN('Council Entry'!Z200,'Council Entry'!Z$9),'Council Entry'!Z$8),'Council Entry'!Z200)),IF('Council Entry'!Z$4="Exponential",EXP(IF(AND(ISNUMBER('Council Entry'!Z$8),ISNUMBER('Council Entry'!Z$9)),MAX(MIN('Council Entry'!Z200,'Council Entry'!Z$9),'Council Entry'!Z$8),'Council Entry'!Z200)),IF(AND(ISNUMBER('Council Entry'!Z$8),ISNUMBER('Council Entry'!Z$9)),MAX(MIN('Council Entry'!Z200,'Council Entry'!Z$9),'Council Entry'!Z$8),'Council Entry'!Z200))))-'Council Entry'!Z$5)/('Council Entry'!Z$6-'Council Entry'!Z$5),10*((IF('Council Entry'!Z$4="Logarithm",LN(0.001+IF(AND(ISNUMBER('Council Entry'!Z$8),ISNUMBER('Council Entry'!Z$9)),MAX(MIN('Council Entry'!Z200,'Council Entry'!Z$9),'Council Entry'!Z$8),'Council Entry'!Z200)),IF('Council Entry'!Z$4="Exponential",EXP(IF(AND(ISNUMBER('Council Entry'!Z$8),ISNUMBER('Council Entry'!Z$9)),MAX(MIN('Council Entry'!Z200,'Council Entry'!Z$9),'Council Entry'!Z$8),'Council Entry'!Z200)),IF(AND(ISNUMBER('Council Entry'!Z$8),ISNUMBER('Council Entry'!Z$9)),MAX(MIN('Council Entry'!Z200,'Council Entry'!Z$9),'Council Entry'!Z$8),'Council Entry'!Z200))))-'Council Entry'!Z$5)/('Council Entry'!Z$6-'Council Entry'!Z$5)),1))),"No data"))</f>
        <v/>
      </c>
      <c r="AA200" s="13">
        <f>IF('Council Entry'!AA200="","",IFERROR(MAX(0,MIN(10,ROUND(IF('Council Entry'!AA$7="Decrease Risk",10-10*((IF('Council Entry'!AA$4="Logarithm",LN(0.001+IF(AND(ISNUMBER('Council Entry'!AA$8),ISNUMBER('Council Entry'!AA$9)),MAX(MIN('Council Entry'!AA200,'Council Entry'!AA$9),'Council Entry'!AA$8),'Council Entry'!AA200)),IF('Council Entry'!AA$4="Exponential",EXP(IF(AND(ISNUMBER('Council Entry'!AA$8),ISNUMBER('Council Entry'!AA$9)),MAX(MIN('Council Entry'!AA200,'Council Entry'!AA$9),'Council Entry'!AA$8),'Council Entry'!AA200)),IF(AND(ISNUMBER('Council Entry'!AA$8),ISNUMBER('Council Entry'!AA$9)),MAX(MIN('Council Entry'!AA200,'Council Entry'!AA$9),'Council Entry'!AA$8),'Council Entry'!AA200))))-'Council Entry'!AA$5)/('Council Entry'!AA$6-'Council Entry'!AA$5),10*((IF('Council Entry'!AA$4="Logarithm",LN(0.001+IF(AND(ISNUMBER('Council Entry'!AA$8),ISNUMBER('Council Entry'!AA$9)),MAX(MIN('Council Entry'!AA200,'Council Entry'!AA$9),'Council Entry'!AA$8),'Council Entry'!AA200)),IF('Council Entry'!AA$4="Exponential",EXP(IF(AND(ISNUMBER('Council Entry'!AA$8),ISNUMBER('Council Entry'!AA$9)),MAX(MIN('Council Entry'!AA200,'Council Entry'!AA$9),'Council Entry'!AA$8),'Council Entry'!AA200)),IF(AND(ISNUMBER('Council Entry'!AA$8),ISNUMBER('Council Entry'!AA$9)),MAX(MIN('Council Entry'!AA200,'Council Entry'!AA$9),'Council Entry'!AA$8),'Council Entry'!AA200))))-'Council Entry'!AA$5)/('Council Entry'!AA$6-'Council Entry'!AA$5)),1))),"No data"))</f>
        <v/>
      </c>
      <c r="AB200" s="13">
        <f>IF('Council Entry'!AB200="","",IFERROR(MAX(0,MIN(10,ROUND(IF('Council Entry'!AB$7="Decrease Risk",10-10*((IF('Council Entry'!AB$4="Logarithm",LN(0.001+IF(AND(ISNUMBER('Council Entry'!AB$8),ISNUMBER('Council Entry'!AB$9)),MAX(MIN('Council Entry'!AB200,'Council Entry'!AB$9),'Council Entry'!AB$8),'Council Entry'!AB200)),IF('Council Entry'!AB$4="Exponential",EXP(IF(AND(ISNUMBER('Council Entry'!AB$8),ISNUMBER('Council Entry'!AB$9)),MAX(MIN('Council Entry'!AB200,'Council Entry'!AB$9),'Council Entry'!AB$8),'Council Entry'!AB200)),IF(AND(ISNUMBER('Council Entry'!AB$8),ISNUMBER('Council Entry'!AB$9)),MAX(MIN('Council Entry'!AB200,'Council Entry'!AB$9),'Council Entry'!AB$8),'Council Entry'!AB200))))-'Council Entry'!AB$5)/('Council Entry'!AB$6-'Council Entry'!AB$5),10*((IF('Council Entry'!AB$4="Logarithm",LN(0.001+IF(AND(ISNUMBER('Council Entry'!AB$8),ISNUMBER('Council Entry'!AB$9)),MAX(MIN('Council Entry'!AB200,'Council Entry'!AB$9),'Council Entry'!AB$8),'Council Entry'!AB200)),IF('Council Entry'!AB$4="Exponential",EXP(IF(AND(ISNUMBER('Council Entry'!AB$8),ISNUMBER('Council Entry'!AB$9)),MAX(MIN('Council Entry'!AB200,'Council Entry'!AB$9),'Council Entry'!AB$8),'Council Entry'!AB200)),IF(AND(ISNUMBER('Council Entry'!AB$8),ISNUMBER('Council Entry'!AB$9)),MAX(MIN('Council Entry'!AB200,'Council Entry'!AB$9),'Council Entry'!AB$8),'Council Entry'!AB200))))-'Council Entry'!AB$5)/('Council Entry'!AB$6-'Council Entry'!AB$5)),1))),"No data"))</f>
        <v/>
      </c>
      <c r="AC200" s="13">
        <f>IF('Council Entry'!AC200="","",IFERROR(MAX(0,MIN(10,ROUND(IF('Council Entry'!AC$7="Decrease Risk",10-10*((IF('Council Entry'!AC$4="Logarithm",LN(0.001+IF(AND(ISNUMBER('Council Entry'!AC$8),ISNUMBER('Council Entry'!AC$9)),MAX(MIN('Council Entry'!AC200,'Council Entry'!AC$9),'Council Entry'!AC$8),'Council Entry'!AC200)),IF('Council Entry'!AC$4="Exponential",EXP(IF(AND(ISNUMBER('Council Entry'!AC$8),ISNUMBER('Council Entry'!AC$9)),MAX(MIN('Council Entry'!AC200,'Council Entry'!AC$9),'Council Entry'!AC$8),'Council Entry'!AC200)),IF(AND(ISNUMBER('Council Entry'!AC$8),ISNUMBER('Council Entry'!AC$9)),MAX(MIN('Council Entry'!AC200,'Council Entry'!AC$9),'Council Entry'!AC$8),'Council Entry'!AC200))))-'Council Entry'!AC$5)/('Council Entry'!AC$6-'Council Entry'!AC$5),10*((IF('Council Entry'!AC$4="Logarithm",LN(0.001+IF(AND(ISNUMBER('Council Entry'!AC$8),ISNUMBER('Council Entry'!AC$9)),MAX(MIN('Council Entry'!AC200,'Council Entry'!AC$9),'Council Entry'!AC$8),'Council Entry'!AC200)),IF('Council Entry'!AC$4="Exponential",EXP(IF(AND(ISNUMBER('Council Entry'!AC$8),ISNUMBER('Council Entry'!AC$9)),MAX(MIN('Council Entry'!AC200,'Council Entry'!AC$9),'Council Entry'!AC$8),'Council Entry'!AC200)),IF(AND(ISNUMBER('Council Entry'!AC$8),ISNUMBER('Council Entry'!AC$9)),MAX(MIN('Council Entry'!AC200,'Council Entry'!AC$9),'Council Entry'!AC$8),'Council Entry'!AC200))))-'Council Entry'!AC$5)/('Council Entry'!AC$6-'Council Entry'!AC$5)),1))),"No data"))</f>
        <v/>
      </c>
      <c r="AD200" s="13">
        <f>IF('Council Entry'!AD200="","",IFERROR(MAX(0,MIN(10,ROUND(IF('Council Entry'!AD$7="Decrease Risk",10-10*((IF('Council Entry'!AD$4="Logarithm",LN(0.001+IF(AND(ISNUMBER('Council Entry'!AD$8),ISNUMBER('Council Entry'!AD$9)),MAX(MIN('Council Entry'!AD200,'Council Entry'!AD$9),'Council Entry'!AD$8),'Council Entry'!AD200)),IF('Council Entry'!AD$4="Exponential",EXP(IF(AND(ISNUMBER('Council Entry'!AD$8),ISNUMBER('Council Entry'!AD$9)),MAX(MIN('Council Entry'!AD200,'Council Entry'!AD$9),'Council Entry'!AD$8),'Council Entry'!AD200)),IF(AND(ISNUMBER('Council Entry'!AD$8),ISNUMBER('Council Entry'!AD$9)),MAX(MIN('Council Entry'!AD200,'Council Entry'!AD$9),'Council Entry'!AD$8),'Council Entry'!AD200))))-'Council Entry'!AD$5)/('Council Entry'!AD$6-'Council Entry'!AD$5),10*((IF('Council Entry'!AD$4="Logarithm",LN(0.001+IF(AND(ISNUMBER('Council Entry'!AD$8),ISNUMBER('Council Entry'!AD$9)),MAX(MIN('Council Entry'!AD200,'Council Entry'!AD$9),'Council Entry'!AD$8),'Council Entry'!AD200)),IF('Council Entry'!AD$4="Exponential",EXP(IF(AND(ISNUMBER('Council Entry'!AD$8),ISNUMBER('Council Entry'!AD$9)),MAX(MIN('Council Entry'!AD200,'Council Entry'!AD$9),'Council Entry'!AD$8),'Council Entry'!AD200)),IF(AND(ISNUMBER('Council Entry'!AD$8),ISNUMBER('Council Entry'!AD$9)),MAX(MIN('Council Entry'!AD200,'Council Entry'!AD$9),'Council Entry'!AD$8),'Council Entry'!AD200))))-'Council Entry'!AD$5)/('Council Entry'!AD$6-'Council Entry'!AD$5)),1))),"No data"))</f>
        <v/>
      </c>
      <c r="AE200" s="13">
        <f>IF('Council Entry'!AE200="","",IFERROR(MAX(0,MIN(10,ROUND(IF('Council Entry'!AE$7="Decrease Risk",10-10*((IF('Council Entry'!AE$4="Logarithm",LN(0.001+IF(AND(ISNUMBER('Council Entry'!AE$8),ISNUMBER('Council Entry'!AE$9)),MAX(MIN('Council Entry'!AE200,'Council Entry'!AE$9),'Council Entry'!AE$8),'Council Entry'!AE200)),IF('Council Entry'!AE$4="Exponential",EXP(IF(AND(ISNUMBER('Council Entry'!AE$8),ISNUMBER('Council Entry'!AE$9)),MAX(MIN('Council Entry'!AE200,'Council Entry'!AE$9),'Council Entry'!AE$8),'Council Entry'!AE200)),IF(AND(ISNUMBER('Council Entry'!AE$8),ISNUMBER('Council Entry'!AE$9)),MAX(MIN('Council Entry'!AE200,'Council Entry'!AE$9),'Council Entry'!AE$8),'Council Entry'!AE200))))-'Council Entry'!AE$5)/('Council Entry'!AE$6-'Council Entry'!AE$5),10*((IF('Council Entry'!AE$4="Logarithm",LN(0.001+IF(AND(ISNUMBER('Council Entry'!AE$8),ISNUMBER('Council Entry'!AE$9)),MAX(MIN('Council Entry'!AE200,'Council Entry'!AE$9),'Council Entry'!AE$8),'Council Entry'!AE200)),IF('Council Entry'!AE$4="Exponential",EXP(IF(AND(ISNUMBER('Council Entry'!AE$8),ISNUMBER('Council Entry'!AE$9)),MAX(MIN('Council Entry'!AE200,'Council Entry'!AE$9),'Council Entry'!AE$8),'Council Entry'!AE200)),IF(AND(ISNUMBER('Council Entry'!AE$8),ISNUMBER('Council Entry'!AE$9)),MAX(MIN('Council Entry'!AE200,'Council Entry'!AE$9),'Council Entry'!AE$8),'Council Entry'!AE200))))-'Council Entry'!AE$5)/('Council Entry'!AE$6-'Council Entry'!AE$5)),1))),"No data"))</f>
        <v/>
      </c>
      <c r="AF200" s="13">
        <f>IF('Council Entry'!AF200="","",IFERROR(MAX(0,MIN(10,ROUND(IF('Council Entry'!AF$7="Decrease Risk",10-10*((IF('Council Entry'!AF$4="Logarithm",LN(0.001+IF(AND(ISNUMBER('Council Entry'!AF$8),ISNUMBER('Council Entry'!AF$9)),MAX(MIN('Council Entry'!AF200,'Council Entry'!AF$9),'Council Entry'!AF$8),'Council Entry'!AF200)),IF('Council Entry'!AF$4="Exponential",EXP(IF(AND(ISNUMBER('Council Entry'!AF$8),ISNUMBER('Council Entry'!AF$9)),MAX(MIN('Council Entry'!AF200,'Council Entry'!AF$9),'Council Entry'!AF$8),'Council Entry'!AF200)),IF(AND(ISNUMBER('Council Entry'!AF$8),ISNUMBER('Council Entry'!AF$9)),MAX(MIN('Council Entry'!AF200,'Council Entry'!AF$9),'Council Entry'!AF$8),'Council Entry'!AF200))))-'Council Entry'!AF$5)/('Council Entry'!AF$6-'Council Entry'!AF$5),10*((IF('Council Entry'!AF$4="Logarithm",LN(0.001+IF(AND(ISNUMBER('Council Entry'!AF$8),ISNUMBER('Council Entry'!AF$9)),MAX(MIN('Council Entry'!AF200,'Council Entry'!AF$9),'Council Entry'!AF$8),'Council Entry'!AF200)),IF('Council Entry'!AF$4="Exponential",EXP(IF(AND(ISNUMBER('Council Entry'!AF$8),ISNUMBER('Council Entry'!AF$9)),MAX(MIN('Council Entry'!AF200,'Council Entry'!AF$9),'Council Entry'!AF$8),'Council Entry'!AF200)),IF(AND(ISNUMBER('Council Entry'!AF$8),ISNUMBER('Council Entry'!AF$9)),MAX(MIN('Council Entry'!AF200,'Council Entry'!AF$9),'Council Entry'!AF$8),'Council Entry'!AF200))))-'Council Entry'!AF$5)/('Council Entry'!AF$6-'Council Entry'!AF$5)),1))),"No data"))</f>
        <v/>
      </c>
      <c r="AG200" s="13">
        <f>IF('Council Entry'!AG200="","",IFERROR(MAX(0,MIN(10,ROUND(IF('Council Entry'!AG$7="Decrease Risk",10-10*((IF('Council Entry'!AG$4="Logarithm",LN(0.001+IF(AND(ISNUMBER('Council Entry'!AG$8),ISNUMBER('Council Entry'!AG$9)),MAX(MIN('Council Entry'!AG200,'Council Entry'!AG$9),'Council Entry'!AG$8),'Council Entry'!AG200)),IF('Council Entry'!AG$4="Exponential",EXP(IF(AND(ISNUMBER('Council Entry'!AG$8),ISNUMBER('Council Entry'!AG$9)),MAX(MIN('Council Entry'!AG200,'Council Entry'!AG$9),'Council Entry'!AG$8),'Council Entry'!AG200)),IF(AND(ISNUMBER('Council Entry'!AG$8),ISNUMBER('Council Entry'!AG$9)),MAX(MIN('Council Entry'!AG200,'Council Entry'!AG$9),'Council Entry'!AG$8),'Council Entry'!AG200))))-'Council Entry'!AG$5)/('Council Entry'!AG$6-'Council Entry'!AG$5),10*((IF('Council Entry'!AG$4="Logarithm",LN(0.001+IF(AND(ISNUMBER('Council Entry'!AG$8),ISNUMBER('Council Entry'!AG$9)),MAX(MIN('Council Entry'!AG200,'Council Entry'!AG$9),'Council Entry'!AG$8),'Council Entry'!AG200)),IF('Council Entry'!AG$4="Exponential",EXP(IF(AND(ISNUMBER('Council Entry'!AG$8),ISNUMBER('Council Entry'!AG$9)),MAX(MIN('Council Entry'!AG200,'Council Entry'!AG$9),'Council Entry'!AG$8),'Council Entry'!AG200)),IF(AND(ISNUMBER('Council Entry'!AG$8),ISNUMBER('Council Entry'!AG$9)),MAX(MIN('Council Entry'!AG200,'Council Entry'!AG$9),'Council Entry'!AG$8),'Council Entry'!AG200))))-'Council Entry'!AG$5)/('Council Entry'!AG$6-'Council Entry'!AG$5)),1))),"No data"))</f>
        <v/>
      </c>
      <c r="AH200" s="13">
        <f>IF('Council Entry'!AH200="","",IFERROR(MAX(0,MIN(10,ROUND(IF('Council Entry'!AH$7="Decrease Risk",10-10*((IF('Council Entry'!AH$4="Logarithm",LN(0.001+IF(AND(ISNUMBER('Council Entry'!AH$8),ISNUMBER('Council Entry'!AH$9)),MAX(MIN('Council Entry'!AH200,'Council Entry'!AH$9),'Council Entry'!AH$8),'Council Entry'!AH200)),IF('Council Entry'!AH$4="Exponential",EXP(IF(AND(ISNUMBER('Council Entry'!AH$8),ISNUMBER('Council Entry'!AH$9)),MAX(MIN('Council Entry'!AH200,'Council Entry'!AH$9),'Council Entry'!AH$8),'Council Entry'!AH200)),IF(AND(ISNUMBER('Council Entry'!AH$8),ISNUMBER('Council Entry'!AH$9)),MAX(MIN('Council Entry'!AH200,'Council Entry'!AH$9),'Council Entry'!AH$8),'Council Entry'!AH200))))-'Council Entry'!AH$5)/('Council Entry'!AH$6-'Council Entry'!AH$5),10*((IF('Council Entry'!AH$4="Logarithm",LN(0.001+IF(AND(ISNUMBER('Council Entry'!AH$8),ISNUMBER('Council Entry'!AH$9)),MAX(MIN('Council Entry'!AH200,'Council Entry'!AH$9),'Council Entry'!AH$8),'Council Entry'!AH200)),IF('Council Entry'!AH$4="Exponential",EXP(IF(AND(ISNUMBER('Council Entry'!AH$8),ISNUMBER('Council Entry'!AH$9)),MAX(MIN('Council Entry'!AH200,'Council Entry'!AH$9),'Council Entry'!AH$8),'Council Entry'!AH200)),IF(AND(ISNUMBER('Council Entry'!AH$8),ISNUMBER('Council Entry'!AH$9)),MAX(MIN('Council Entry'!AH200,'Council Entry'!AH$9),'Council Entry'!AH$8),'Council Entry'!AH200))))-'Council Entry'!AH$5)/('Council Entry'!AH$6-'Council Entry'!AH$5)),1))),"No data"))</f>
        <v/>
      </c>
      <c r="AI200" s="13">
        <f>IF('Council Entry'!AI200="","",IFERROR(MAX(0,MIN(10,ROUND(IF('Council Entry'!AI$7="Decrease Risk",10-10*((IF('Council Entry'!AI$4="Logarithm",LN(0.001+IF(AND(ISNUMBER('Council Entry'!AI$8),ISNUMBER('Council Entry'!AI$9)),MAX(MIN('Council Entry'!AI200,'Council Entry'!AI$9),'Council Entry'!AI$8),'Council Entry'!AI200)),IF('Council Entry'!AI$4="Exponential",EXP(IF(AND(ISNUMBER('Council Entry'!AI$8),ISNUMBER('Council Entry'!AI$9)),MAX(MIN('Council Entry'!AI200,'Council Entry'!AI$9),'Council Entry'!AI$8),'Council Entry'!AI200)),IF(AND(ISNUMBER('Council Entry'!AI$8),ISNUMBER('Council Entry'!AI$9)),MAX(MIN('Council Entry'!AI200,'Council Entry'!AI$9),'Council Entry'!AI$8),'Council Entry'!AI200))))-'Council Entry'!AI$5)/('Council Entry'!AI$6-'Council Entry'!AI$5),10*((IF('Council Entry'!AI$4="Logarithm",LN(0.001+IF(AND(ISNUMBER('Council Entry'!AI$8),ISNUMBER('Council Entry'!AI$9)),MAX(MIN('Council Entry'!AI200,'Council Entry'!AI$9),'Council Entry'!AI$8),'Council Entry'!AI200)),IF('Council Entry'!AI$4="Exponential",EXP(IF(AND(ISNUMBER('Council Entry'!AI$8),ISNUMBER('Council Entry'!AI$9)),MAX(MIN('Council Entry'!AI200,'Council Entry'!AI$9),'Council Entry'!AI$8),'Council Entry'!AI200)),IF(AND(ISNUMBER('Council Entry'!AI$8),ISNUMBER('Council Entry'!AI$9)),MAX(MIN('Council Entry'!AI200,'Council Entry'!AI$9),'Council Entry'!AI$8),'Council Entry'!AI200))))-'Council Entry'!AI$5)/('Council Entry'!AI$6-'Council Entry'!AI$5)),1))),"No data"))</f>
        <v/>
      </c>
      <c r="AJ200" s="13">
        <f>IF('Council Entry'!AJ200="","",IFERROR(MAX(0,MIN(10,ROUND(IF('Council Entry'!AJ$7="Decrease Risk",10-10*((IF('Council Entry'!AJ$4="Logarithm",LN(0.001+IF(AND(ISNUMBER('Council Entry'!AJ$8),ISNUMBER('Council Entry'!AJ$9)),MAX(MIN('Council Entry'!AJ200,'Council Entry'!AJ$9),'Council Entry'!AJ$8),'Council Entry'!AJ200)),IF('Council Entry'!AJ$4="Exponential",EXP(IF(AND(ISNUMBER('Council Entry'!AJ$8),ISNUMBER('Council Entry'!AJ$9)),MAX(MIN('Council Entry'!AJ200,'Council Entry'!AJ$9),'Council Entry'!AJ$8),'Council Entry'!AJ200)),IF(AND(ISNUMBER('Council Entry'!AJ$8),ISNUMBER('Council Entry'!AJ$9)),MAX(MIN('Council Entry'!AJ200,'Council Entry'!AJ$9),'Council Entry'!AJ$8),'Council Entry'!AJ200))))-'Council Entry'!AJ$5)/('Council Entry'!AJ$6-'Council Entry'!AJ$5),10*((IF('Council Entry'!AJ$4="Logarithm",LN(0.001+IF(AND(ISNUMBER('Council Entry'!AJ$8),ISNUMBER('Council Entry'!AJ$9)),MAX(MIN('Council Entry'!AJ200,'Council Entry'!AJ$9),'Council Entry'!AJ$8),'Council Entry'!AJ200)),IF('Council Entry'!AJ$4="Exponential",EXP(IF(AND(ISNUMBER('Council Entry'!AJ$8),ISNUMBER('Council Entry'!AJ$9)),MAX(MIN('Council Entry'!AJ200,'Council Entry'!AJ$9),'Council Entry'!AJ$8),'Council Entry'!AJ200)),IF(AND(ISNUMBER('Council Entry'!AJ$8),ISNUMBER('Council Entry'!AJ$9)),MAX(MIN('Council Entry'!AJ200,'Council Entry'!AJ$9),'Council Entry'!AJ$8),'Council Entry'!AJ200))))-'Council Entry'!AJ$5)/('Council Entry'!AJ$6-'Council Entry'!AJ$5)),1))),"No data"))</f>
        <v/>
      </c>
      <c r="AK200" s="13">
        <f>IF('Council Entry'!AK200="","",IFERROR(MAX(0,MIN(10,ROUND(IF('Council Entry'!AK$7="Decrease Risk",10-10*((IF('Council Entry'!AK$4="Logarithm",LN(0.001+IF(AND(ISNUMBER('Council Entry'!AK$8),ISNUMBER('Council Entry'!AK$9)),MAX(MIN('Council Entry'!AK200,'Council Entry'!AK$9),'Council Entry'!AK$8),'Council Entry'!AK200)),IF('Council Entry'!AK$4="Exponential",EXP(IF(AND(ISNUMBER('Council Entry'!AK$8),ISNUMBER('Council Entry'!AK$9)),MAX(MIN('Council Entry'!AK200,'Council Entry'!AK$9),'Council Entry'!AK$8),'Council Entry'!AK200)),IF(AND(ISNUMBER('Council Entry'!AK$8),ISNUMBER('Council Entry'!AK$9)),MAX(MIN('Council Entry'!AK200,'Council Entry'!AK$9),'Council Entry'!AK$8),'Council Entry'!AK200))))-'Council Entry'!AK$5)/('Council Entry'!AK$6-'Council Entry'!AK$5),10*((IF('Council Entry'!AK$4="Logarithm",LN(0.001+IF(AND(ISNUMBER('Council Entry'!AK$8),ISNUMBER('Council Entry'!AK$9)),MAX(MIN('Council Entry'!AK200,'Council Entry'!AK$9),'Council Entry'!AK$8),'Council Entry'!AK200)),IF('Council Entry'!AK$4="Exponential",EXP(IF(AND(ISNUMBER('Council Entry'!AK$8),ISNUMBER('Council Entry'!AK$9)),MAX(MIN('Council Entry'!AK200,'Council Entry'!AK$9),'Council Entry'!AK$8),'Council Entry'!AK200)),IF(AND(ISNUMBER('Council Entry'!AK$8),ISNUMBER('Council Entry'!AK$9)),MAX(MIN('Council Entry'!AK200,'Council Entry'!AK$9),'Council Entry'!AK$8),'Council Entry'!AK200))))-'Council Entry'!AK$5)/('Council Entry'!AK$6-'Council Entry'!AK$5)),1))),"No data"))</f>
        <v/>
      </c>
      <c r="AL200" s="13">
        <f>IF('Council Entry'!AL200="","",IFERROR(MAX(0,MIN(10,ROUND(IF('Council Entry'!AL$7="Decrease Risk",10-10*((IF('Council Entry'!AL$4="Logarithm",LN(0.001+IF(AND(ISNUMBER('Council Entry'!AL$8),ISNUMBER('Council Entry'!AL$9)),MAX(MIN('Council Entry'!AL200,'Council Entry'!AL$9),'Council Entry'!AL$8),'Council Entry'!AL200)),IF('Council Entry'!AL$4="Exponential",EXP(IF(AND(ISNUMBER('Council Entry'!AL$8),ISNUMBER('Council Entry'!AL$9)),MAX(MIN('Council Entry'!AL200,'Council Entry'!AL$9),'Council Entry'!AL$8),'Council Entry'!AL200)),IF(AND(ISNUMBER('Council Entry'!AL$8),ISNUMBER('Council Entry'!AL$9)),MAX(MIN('Council Entry'!AL200,'Council Entry'!AL$9),'Council Entry'!AL$8),'Council Entry'!AL200))))-'Council Entry'!AL$5)/('Council Entry'!AL$6-'Council Entry'!AL$5),10*((IF('Council Entry'!AL$4="Logarithm",LN(0.001+IF(AND(ISNUMBER('Council Entry'!AL$8),ISNUMBER('Council Entry'!AL$9)),MAX(MIN('Council Entry'!AL200,'Council Entry'!AL$9),'Council Entry'!AL$8),'Council Entry'!AL200)),IF('Council Entry'!AL$4="Exponential",EXP(IF(AND(ISNUMBER('Council Entry'!AL$8),ISNUMBER('Council Entry'!AL$9)),MAX(MIN('Council Entry'!AL200,'Council Entry'!AL$9),'Council Entry'!AL$8),'Council Entry'!AL200)),IF(AND(ISNUMBER('Council Entry'!AL$8),ISNUMBER('Council Entry'!AL$9)),MAX(MIN('Council Entry'!AL200,'Council Entry'!AL$9),'Council Entry'!AL$8),'Council Entry'!AL200))))-'Council Entry'!AL$5)/('Council Entry'!AL$6-'Council Entry'!AL$5)),1))),"No data"))</f>
        <v/>
      </c>
      <c r="AM200" s="13">
        <f>IF('Council Entry'!AM200="","",IFERROR(MAX(0,MIN(10,ROUND(IF('Council Entry'!AM$7="Decrease Risk",10-10*((IF('Council Entry'!AM$4="Logarithm",LN(0.001+IF(AND(ISNUMBER('Council Entry'!AM$8),ISNUMBER('Council Entry'!AM$9)),MAX(MIN('Council Entry'!AM200,'Council Entry'!AM$9),'Council Entry'!AM$8),'Council Entry'!AM200)),IF('Council Entry'!AM$4="Exponential",EXP(IF(AND(ISNUMBER('Council Entry'!AM$8),ISNUMBER('Council Entry'!AM$9)),MAX(MIN('Council Entry'!AM200,'Council Entry'!AM$9),'Council Entry'!AM$8),'Council Entry'!AM200)),IF(AND(ISNUMBER('Council Entry'!AM$8),ISNUMBER('Council Entry'!AM$9)),MAX(MIN('Council Entry'!AM200,'Council Entry'!AM$9),'Council Entry'!AM$8),'Council Entry'!AM200))))-'Council Entry'!AM$5)/('Council Entry'!AM$6-'Council Entry'!AM$5),10*((IF('Council Entry'!AM$4="Logarithm",LN(0.001+IF(AND(ISNUMBER('Council Entry'!AM$8),ISNUMBER('Council Entry'!AM$9)),MAX(MIN('Council Entry'!AM200,'Council Entry'!AM$9),'Council Entry'!AM$8),'Council Entry'!AM200)),IF('Council Entry'!AM$4="Exponential",EXP(IF(AND(ISNUMBER('Council Entry'!AM$8),ISNUMBER('Council Entry'!AM$9)),MAX(MIN('Council Entry'!AM200,'Council Entry'!AM$9),'Council Entry'!AM$8),'Council Entry'!AM200)),IF(AND(ISNUMBER('Council Entry'!AM$8),ISNUMBER('Council Entry'!AM$9)),MAX(MIN('Council Entry'!AM200,'Council Entry'!AM$9),'Council Entry'!AM$8),'Council Entry'!AM200))))-'Council Entry'!AM$5)/('Council Entry'!AM$6-'Council Entry'!AM$5)),1))),"No data"))</f>
        <v/>
      </c>
      <c r="AN200" s="13">
        <f>IF('Council Entry'!AN200="","",IFERROR(MAX(0,MIN(10,ROUND(IF('Council Entry'!AN$7="Decrease Risk",10-10*((IF('Council Entry'!AN$4="Logarithm",LN(0.001+IF(AND(ISNUMBER('Council Entry'!AN$8),ISNUMBER('Council Entry'!AN$9)),MAX(MIN('Council Entry'!AN200,'Council Entry'!AN$9),'Council Entry'!AN$8),'Council Entry'!AN200)),IF('Council Entry'!AN$4="Exponential",EXP(IF(AND(ISNUMBER('Council Entry'!AN$8),ISNUMBER('Council Entry'!AN$9)),MAX(MIN('Council Entry'!AN200,'Council Entry'!AN$9),'Council Entry'!AN$8),'Council Entry'!AN200)),IF(AND(ISNUMBER('Council Entry'!AN$8),ISNUMBER('Council Entry'!AN$9)),MAX(MIN('Council Entry'!AN200,'Council Entry'!AN$9),'Council Entry'!AN$8),'Council Entry'!AN200))))-'Council Entry'!AN$5)/('Council Entry'!AN$6-'Council Entry'!AN$5),10*((IF('Council Entry'!AN$4="Logarithm",LN(0.001+IF(AND(ISNUMBER('Council Entry'!AN$8),ISNUMBER('Council Entry'!AN$9)),MAX(MIN('Council Entry'!AN200,'Council Entry'!AN$9),'Council Entry'!AN$8),'Council Entry'!AN200)),IF('Council Entry'!AN$4="Exponential",EXP(IF(AND(ISNUMBER('Council Entry'!AN$8),ISNUMBER('Council Entry'!AN$9)),MAX(MIN('Council Entry'!AN200,'Council Entry'!AN$9),'Council Entry'!AN$8),'Council Entry'!AN200)),IF(AND(ISNUMBER('Council Entry'!AN$8),ISNUMBER('Council Entry'!AN$9)),MAX(MIN('Council Entry'!AN200,'Council Entry'!AN$9),'Council Entry'!AN$8),'Council Entry'!AN200))))-'Council Entry'!AN$5)/('Council Entry'!AN$6-'Council Entry'!AN$5)),1))),"No data"))</f>
        <v/>
      </c>
      <c r="AO200" s="13">
        <f>IF('Council Entry'!AO200="","",IFERROR(MAX(0,MIN(10,ROUND(IF('Council Entry'!AO$7="Decrease Risk",10-10*((IF('Council Entry'!AO$4="Logarithm",LN(0.001+IF(AND(ISNUMBER('Council Entry'!AO$8),ISNUMBER('Council Entry'!AO$9)),MAX(MIN('Council Entry'!AO200,'Council Entry'!AO$9),'Council Entry'!AO$8),'Council Entry'!AO200)),IF('Council Entry'!AO$4="Exponential",EXP(IF(AND(ISNUMBER('Council Entry'!AO$8),ISNUMBER('Council Entry'!AO$9)),MAX(MIN('Council Entry'!AO200,'Council Entry'!AO$9),'Council Entry'!AO$8),'Council Entry'!AO200)),IF(AND(ISNUMBER('Council Entry'!AO$8),ISNUMBER('Council Entry'!AO$9)),MAX(MIN('Council Entry'!AO200,'Council Entry'!AO$9),'Council Entry'!AO$8),'Council Entry'!AO200))))-'Council Entry'!AO$5)/('Council Entry'!AO$6-'Council Entry'!AO$5),10*((IF('Council Entry'!AO$4="Logarithm",LN(0.001+IF(AND(ISNUMBER('Council Entry'!AO$8),ISNUMBER('Council Entry'!AO$9)),MAX(MIN('Council Entry'!AO200,'Council Entry'!AO$9),'Council Entry'!AO$8),'Council Entry'!AO200)),IF('Council Entry'!AO$4="Exponential",EXP(IF(AND(ISNUMBER('Council Entry'!AO$8),ISNUMBER('Council Entry'!AO$9)),MAX(MIN('Council Entry'!AO200,'Council Entry'!AO$9),'Council Entry'!AO$8),'Council Entry'!AO200)),IF(AND(ISNUMBER('Council Entry'!AO$8),ISNUMBER('Council Entry'!AO$9)),MAX(MIN('Council Entry'!AO200,'Council Entry'!AO$9),'Council Entry'!AO$8),'Council Entry'!AO200))))-'Council Entry'!AO$5)/('Council Entry'!AO$6-'Council Entry'!AO$5)),1))),"No data"))</f>
        <v/>
      </c>
      <c r="AP200" s="13">
        <f>IF('Council Entry'!AP200="","",IFERROR(MAX(0,MIN(10,ROUND(IF('Council Entry'!AP$7="Decrease Risk",10-10*((IF('Council Entry'!AP$4="Logarithm",LN(0.001+IF(AND(ISNUMBER('Council Entry'!AP$8),ISNUMBER('Council Entry'!AP$9)),MAX(MIN('Council Entry'!AP200,'Council Entry'!AP$9),'Council Entry'!AP$8),'Council Entry'!AP200)),IF('Council Entry'!AP$4="Exponential",EXP(IF(AND(ISNUMBER('Council Entry'!AP$8),ISNUMBER('Council Entry'!AP$9)),MAX(MIN('Council Entry'!AP200,'Council Entry'!AP$9),'Council Entry'!AP$8),'Council Entry'!AP200)),IF(AND(ISNUMBER('Council Entry'!AP$8),ISNUMBER('Council Entry'!AP$9)),MAX(MIN('Council Entry'!AP200,'Council Entry'!AP$9),'Council Entry'!AP$8),'Council Entry'!AP200))))-'Council Entry'!AP$5)/('Council Entry'!AP$6-'Council Entry'!AP$5),10*((IF('Council Entry'!AP$4="Logarithm",LN(0.001+IF(AND(ISNUMBER('Council Entry'!AP$8),ISNUMBER('Council Entry'!AP$9)),MAX(MIN('Council Entry'!AP200,'Council Entry'!AP$9),'Council Entry'!AP$8),'Council Entry'!AP200)),IF('Council Entry'!AP$4="Exponential",EXP(IF(AND(ISNUMBER('Council Entry'!AP$8),ISNUMBER('Council Entry'!AP$9)),MAX(MIN('Council Entry'!AP200,'Council Entry'!AP$9),'Council Entry'!AP$8),'Council Entry'!AP200)),IF(AND(ISNUMBER('Council Entry'!AP$8),ISNUMBER('Council Entry'!AP$9)),MAX(MIN('Council Entry'!AP200,'Council Entry'!AP$9),'Council Entry'!AP$8),'Council Entry'!AP200))))-'Council Entry'!AP$5)/('Council Entry'!AP$6-'Council Entry'!AP$5)),1))),"No data"))</f>
        <v/>
      </c>
      <c r="AQ200" s="13">
        <f>IF('Council Entry'!AQ200="","",IFERROR(MAX(0,MIN(10,ROUND(IF('Council Entry'!AQ$7="Decrease Risk",10-10*((IF('Council Entry'!AQ$4="Logarithm",LN(0.001+IF(AND(ISNUMBER('Council Entry'!AQ$8),ISNUMBER('Council Entry'!AQ$9)),MAX(MIN('Council Entry'!AQ200,'Council Entry'!AQ$9),'Council Entry'!AQ$8),'Council Entry'!AQ200)),IF('Council Entry'!AQ$4="Exponential",EXP(IF(AND(ISNUMBER('Council Entry'!AQ$8),ISNUMBER('Council Entry'!AQ$9)),MAX(MIN('Council Entry'!AQ200,'Council Entry'!AQ$9),'Council Entry'!AQ$8),'Council Entry'!AQ200)),IF(AND(ISNUMBER('Council Entry'!AQ$8),ISNUMBER('Council Entry'!AQ$9)),MAX(MIN('Council Entry'!AQ200,'Council Entry'!AQ$9),'Council Entry'!AQ$8),'Council Entry'!AQ200))))-'Council Entry'!AQ$5)/('Council Entry'!AQ$6-'Council Entry'!AQ$5),10*((IF('Council Entry'!AQ$4="Logarithm",LN(0.001+IF(AND(ISNUMBER('Council Entry'!AQ$8),ISNUMBER('Council Entry'!AQ$9)),MAX(MIN('Council Entry'!AQ200,'Council Entry'!AQ$9),'Council Entry'!AQ$8),'Council Entry'!AQ200)),IF('Council Entry'!AQ$4="Exponential",EXP(IF(AND(ISNUMBER('Council Entry'!AQ$8),ISNUMBER('Council Entry'!AQ$9)),MAX(MIN('Council Entry'!AQ200,'Council Entry'!AQ$9),'Council Entry'!AQ$8),'Council Entry'!AQ200)),IF(AND(ISNUMBER('Council Entry'!AQ$8),ISNUMBER('Council Entry'!AQ$9)),MAX(MIN('Council Entry'!AQ200,'Council Entry'!AQ$9),'Council Entry'!AQ$8),'Council Entry'!AQ200))))-'Council Entry'!AQ$5)/('Council Entry'!AQ$6-'Council Entry'!AQ$5)),1))),"No data"))</f>
        <v/>
      </c>
      <c r="AR200" s="13">
        <f>IF('Council Entry'!AR200="","",IFERROR(MAX(0,MIN(10,ROUND(IF('Council Entry'!AR$7="Decrease Risk",10-10*((IF('Council Entry'!AR$4="Logarithm",LN(0.001+IF(AND(ISNUMBER('Council Entry'!AR$8),ISNUMBER('Council Entry'!AR$9)),MAX(MIN('Council Entry'!AR200,'Council Entry'!AR$9),'Council Entry'!AR$8),'Council Entry'!AR200)),IF('Council Entry'!AR$4="Exponential",EXP(IF(AND(ISNUMBER('Council Entry'!AR$8),ISNUMBER('Council Entry'!AR$9)),MAX(MIN('Council Entry'!AR200,'Council Entry'!AR$9),'Council Entry'!AR$8),'Council Entry'!AR200)),IF(AND(ISNUMBER('Council Entry'!AR$8),ISNUMBER('Council Entry'!AR$9)),MAX(MIN('Council Entry'!AR200,'Council Entry'!AR$9),'Council Entry'!AR$8),'Council Entry'!AR200))))-'Council Entry'!AR$5)/('Council Entry'!AR$6-'Council Entry'!AR$5),10*((IF('Council Entry'!AR$4="Logarithm",LN(0.001+IF(AND(ISNUMBER('Council Entry'!AR$8),ISNUMBER('Council Entry'!AR$9)),MAX(MIN('Council Entry'!AR200,'Council Entry'!AR$9),'Council Entry'!AR$8),'Council Entry'!AR200)),IF('Council Entry'!AR$4="Exponential",EXP(IF(AND(ISNUMBER('Council Entry'!AR$8),ISNUMBER('Council Entry'!AR$9)),MAX(MIN('Council Entry'!AR200,'Council Entry'!AR$9),'Council Entry'!AR$8),'Council Entry'!AR200)),IF(AND(ISNUMBER('Council Entry'!AR$8),ISNUMBER('Council Entry'!AR$9)),MAX(MIN('Council Entry'!AR200,'Council Entry'!AR$9),'Council Entry'!AR$8),'Council Entry'!AR200))))-'Council Entry'!AR$5)/('Council Entry'!AR$6-'Council Entry'!AR$5)),1))),"No data"))</f>
        <v/>
      </c>
      <c r="AS200" s="13">
        <f>IF('Council Entry'!AS200="","",IFERROR(MAX(0,MIN(10,ROUND(IF('Council Entry'!AS$7="Decrease Risk",10-10*((IF('Council Entry'!AS$4="Logarithm",LN(0.001+IF(AND(ISNUMBER('Council Entry'!AS$8),ISNUMBER('Council Entry'!AS$9)),MAX(MIN('Council Entry'!AS200,'Council Entry'!AS$9),'Council Entry'!AS$8),'Council Entry'!AS200)),IF('Council Entry'!AS$4="Exponential",EXP(IF(AND(ISNUMBER('Council Entry'!AS$8),ISNUMBER('Council Entry'!AS$9)),MAX(MIN('Council Entry'!AS200,'Council Entry'!AS$9),'Council Entry'!AS$8),'Council Entry'!AS200)),IF(AND(ISNUMBER('Council Entry'!AS$8),ISNUMBER('Council Entry'!AS$9)),MAX(MIN('Council Entry'!AS200,'Council Entry'!AS$9),'Council Entry'!AS$8),'Council Entry'!AS200))))-'Council Entry'!AS$5)/('Council Entry'!AS$6-'Council Entry'!AS$5),10*((IF('Council Entry'!AS$4="Logarithm",LN(0.001+IF(AND(ISNUMBER('Council Entry'!AS$8),ISNUMBER('Council Entry'!AS$9)),MAX(MIN('Council Entry'!AS200,'Council Entry'!AS$9),'Council Entry'!AS$8),'Council Entry'!AS200)),IF('Council Entry'!AS$4="Exponential",EXP(IF(AND(ISNUMBER('Council Entry'!AS$8),ISNUMBER('Council Entry'!AS$9)),MAX(MIN('Council Entry'!AS200,'Council Entry'!AS$9),'Council Entry'!AS$8),'Council Entry'!AS200)),IF(AND(ISNUMBER('Council Entry'!AS$8),ISNUMBER('Council Entry'!AS$9)),MAX(MIN('Council Entry'!AS200,'Council Entry'!AS$9),'Council Entry'!AS$8),'Council Entry'!AS200))))-'Council Entry'!AS$5)/('Council Entry'!AS$6-'Council Entry'!AS$5)),1))),"No data"))</f>
        <v/>
      </c>
      <c r="AT200" s="13">
        <f>IF('Council Entry'!AT200="","",IFERROR(MAX(0,MIN(10,ROUND(IF('Council Entry'!AT$7="Decrease Risk",10-10*((IF('Council Entry'!AT$4="Logarithm",LN(0.001+IF(AND(ISNUMBER('Council Entry'!AT$8),ISNUMBER('Council Entry'!AT$9)),MAX(MIN('Council Entry'!AT200,'Council Entry'!AT$9),'Council Entry'!AT$8),'Council Entry'!AT200)),IF('Council Entry'!AT$4="Exponential",EXP(IF(AND(ISNUMBER('Council Entry'!AT$8),ISNUMBER('Council Entry'!AT$9)),MAX(MIN('Council Entry'!AT200,'Council Entry'!AT$9),'Council Entry'!AT$8),'Council Entry'!AT200)),IF(AND(ISNUMBER('Council Entry'!AT$8),ISNUMBER('Council Entry'!AT$9)),MAX(MIN('Council Entry'!AT200,'Council Entry'!AT$9),'Council Entry'!AT$8),'Council Entry'!AT200))))-'Council Entry'!AT$5)/('Council Entry'!AT$6-'Council Entry'!AT$5),10*((IF('Council Entry'!AT$4="Logarithm",LN(0.001+IF(AND(ISNUMBER('Council Entry'!AT$8),ISNUMBER('Council Entry'!AT$9)),MAX(MIN('Council Entry'!AT200,'Council Entry'!AT$9),'Council Entry'!AT$8),'Council Entry'!AT200)),IF('Council Entry'!AT$4="Exponential",EXP(IF(AND(ISNUMBER('Council Entry'!AT$8),ISNUMBER('Council Entry'!AT$9)),MAX(MIN('Council Entry'!AT200,'Council Entry'!AT$9),'Council Entry'!AT$8),'Council Entry'!AT200)),IF(AND(ISNUMBER('Council Entry'!AT$8),ISNUMBER('Council Entry'!AT$9)),MAX(MIN('Council Entry'!AT200,'Council Entry'!AT$9),'Council Entry'!AT$8),'Council Entry'!AT200))))-'Council Entry'!AT$5)/('Council Entry'!AT$6-'Council Entry'!AT$5)),1))),"No data"))</f>
        <v/>
      </c>
      <c r="AU200" s="13">
        <f>IF('Council Entry'!AU200="","",IFERROR(MAX(0,MIN(10,ROUND(IF('Council Entry'!AU$7="Decrease Risk",10-10*((IF('Council Entry'!AU$4="Logarithm",LN(0.001+IF(AND(ISNUMBER('Council Entry'!AU$8),ISNUMBER('Council Entry'!AU$9)),MAX(MIN('Council Entry'!AU200,'Council Entry'!AU$9),'Council Entry'!AU$8),'Council Entry'!AU200)),IF('Council Entry'!AU$4="Exponential",EXP(IF(AND(ISNUMBER('Council Entry'!AU$8),ISNUMBER('Council Entry'!AU$9)),MAX(MIN('Council Entry'!AU200,'Council Entry'!AU$9),'Council Entry'!AU$8),'Council Entry'!AU200)),IF(AND(ISNUMBER('Council Entry'!AU$8),ISNUMBER('Council Entry'!AU$9)),MAX(MIN('Council Entry'!AU200,'Council Entry'!AU$9),'Council Entry'!AU$8),'Council Entry'!AU200))))-'Council Entry'!AU$5)/('Council Entry'!AU$6-'Council Entry'!AU$5),10*((IF('Council Entry'!AU$4="Logarithm",LN(0.001+IF(AND(ISNUMBER('Council Entry'!AU$8),ISNUMBER('Council Entry'!AU$9)),MAX(MIN('Council Entry'!AU200,'Council Entry'!AU$9),'Council Entry'!AU$8),'Council Entry'!AU200)),IF('Council Entry'!AU$4="Exponential",EXP(IF(AND(ISNUMBER('Council Entry'!AU$8),ISNUMBER('Council Entry'!AU$9)),MAX(MIN('Council Entry'!AU200,'Council Entry'!AU$9),'Council Entry'!AU$8),'Council Entry'!AU200)),IF(AND(ISNUMBER('Council Entry'!AU$8),ISNUMBER('Council Entry'!AU$9)),MAX(MIN('Council Entry'!AU200,'Council Entry'!AU$9),'Council Entry'!AU$8),'Council Entry'!AU200))))-'Council Entry'!AU$5)/('Council Entry'!AU$6-'Council Entry'!AU$5)),1))),"No data"))</f>
        <v/>
      </c>
      <c r="AV200" s="13">
        <f>IF('Council Entry'!AV200="","",IFERROR(MAX(0,MIN(10,ROUND(IF('Council Entry'!AV$7="Decrease Risk",10-10*((IF('Council Entry'!AV$4="Logarithm",LN(0.001+IF(AND(ISNUMBER('Council Entry'!AV$8),ISNUMBER('Council Entry'!AV$9)),MAX(MIN('Council Entry'!AV200,'Council Entry'!AV$9),'Council Entry'!AV$8),'Council Entry'!AV200)),IF('Council Entry'!AV$4="Exponential",EXP(IF(AND(ISNUMBER('Council Entry'!AV$8),ISNUMBER('Council Entry'!AV$9)),MAX(MIN('Council Entry'!AV200,'Council Entry'!AV$9),'Council Entry'!AV$8),'Council Entry'!AV200)),IF(AND(ISNUMBER('Council Entry'!AV$8),ISNUMBER('Council Entry'!AV$9)),MAX(MIN('Council Entry'!AV200,'Council Entry'!AV$9),'Council Entry'!AV$8),'Council Entry'!AV200))))-'Council Entry'!AV$5)/('Council Entry'!AV$6-'Council Entry'!AV$5),10*((IF('Council Entry'!AV$4="Logarithm",LN(0.001+IF(AND(ISNUMBER('Council Entry'!AV$8),ISNUMBER('Council Entry'!AV$9)),MAX(MIN('Council Entry'!AV200,'Council Entry'!AV$9),'Council Entry'!AV$8),'Council Entry'!AV200)),IF('Council Entry'!AV$4="Exponential",EXP(IF(AND(ISNUMBER('Council Entry'!AV$8),ISNUMBER('Council Entry'!AV$9)),MAX(MIN('Council Entry'!AV200,'Council Entry'!AV$9),'Council Entry'!AV$8),'Council Entry'!AV200)),IF(AND(ISNUMBER('Council Entry'!AV$8),ISNUMBER('Council Entry'!AV$9)),MAX(MIN('Council Entry'!AV200,'Council Entry'!AV$9),'Council Entry'!AV$8),'Council Entry'!AV200))))-'Council Entry'!AV$5)/('Council Entry'!AV$6-'Council Entry'!AV$5)),1))),"No data"))</f>
        <v/>
      </c>
      <c r="AW200" s="13">
        <f>IF('Council Entry'!AW200="","",IFERROR(MAX(0,MIN(10,ROUND(IF('Council Entry'!AW$7="Decrease Risk",10-10*((IF('Council Entry'!AW$4="Logarithm",LN(0.001+IF(AND(ISNUMBER('Council Entry'!AW$8),ISNUMBER('Council Entry'!AW$9)),MAX(MIN('Council Entry'!AW200,'Council Entry'!AW$9),'Council Entry'!AW$8),'Council Entry'!AW200)),IF('Council Entry'!AW$4="Exponential",EXP(IF(AND(ISNUMBER('Council Entry'!AW$8),ISNUMBER('Council Entry'!AW$9)),MAX(MIN('Council Entry'!AW200,'Council Entry'!AW$9),'Council Entry'!AW$8),'Council Entry'!AW200)),IF(AND(ISNUMBER('Council Entry'!AW$8),ISNUMBER('Council Entry'!AW$9)),MAX(MIN('Council Entry'!AW200,'Council Entry'!AW$9),'Council Entry'!AW$8),'Council Entry'!AW200))))-'Council Entry'!AW$5)/('Council Entry'!AW$6-'Council Entry'!AW$5),10*((IF('Council Entry'!AW$4="Logarithm",LN(0.001+IF(AND(ISNUMBER('Council Entry'!AW$8),ISNUMBER('Council Entry'!AW$9)),MAX(MIN('Council Entry'!AW200,'Council Entry'!AW$9),'Council Entry'!AW$8),'Council Entry'!AW200)),IF('Council Entry'!AW$4="Exponential",EXP(IF(AND(ISNUMBER('Council Entry'!AW$8),ISNUMBER('Council Entry'!AW$9)),MAX(MIN('Council Entry'!AW200,'Council Entry'!AW$9),'Council Entry'!AW$8),'Council Entry'!AW200)),IF(AND(ISNUMBER('Council Entry'!AW$8),ISNUMBER('Council Entry'!AW$9)),MAX(MIN('Council Entry'!AW200,'Council Entry'!AW$9),'Council Entry'!AW$8),'Council Entry'!AW200))))-'Council Entry'!AW$5)/('Council Entry'!AW$6-'Council Entry'!AW$5)),1))),"No data"))</f>
        <v/>
      </c>
      <c r="AX200" s="13">
        <f>IF('Council Entry'!AX200="","",IFERROR(MAX(0,MIN(10,ROUND(IF('Council Entry'!AX$7="Decrease Risk",10-10*((IF('Council Entry'!AX$4="Logarithm",LN(0.001+IF(AND(ISNUMBER('Council Entry'!AX$8),ISNUMBER('Council Entry'!AX$9)),MAX(MIN('Council Entry'!AX200,'Council Entry'!AX$9),'Council Entry'!AX$8),'Council Entry'!AX200)),IF('Council Entry'!AX$4="Exponential",EXP(IF(AND(ISNUMBER('Council Entry'!AX$8),ISNUMBER('Council Entry'!AX$9)),MAX(MIN('Council Entry'!AX200,'Council Entry'!AX$9),'Council Entry'!AX$8),'Council Entry'!AX200)),IF(AND(ISNUMBER('Council Entry'!AX$8),ISNUMBER('Council Entry'!AX$9)),MAX(MIN('Council Entry'!AX200,'Council Entry'!AX$9),'Council Entry'!AX$8),'Council Entry'!AX200))))-'Council Entry'!AX$5)/('Council Entry'!AX$6-'Council Entry'!AX$5),10*((IF('Council Entry'!AX$4="Logarithm",LN(0.001+IF(AND(ISNUMBER('Council Entry'!AX$8),ISNUMBER('Council Entry'!AX$9)),MAX(MIN('Council Entry'!AX200,'Council Entry'!AX$9),'Council Entry'!AX$8),'Council Entry'!AX200)),IF('Council Entry'!AX$4="Exponential",EXP(IF(AND(ISNUMBER('Council Entry'!AX$8),ISNUMBER('Council Entry'!AX$9)),MAX(MIN('Council Entry'!AX200,'Council Entry'!AX$9),'Council Entry'!AX$8),'Council Entry'!AX200)),IF(AND(ISNUMBER('Council Entry'!AX$8),ISNUMBER('Council Entry'!AX$9)),MAX(MIN('Council Entry'!AX200,'Council Entry'!AX$9),'Council Entry'!AX$8),'Council Entry'!AX200))))-'Council Entry'!AX$5)/('Council Entry'!AX$6-'Council Entry'!AX$5)),1))),"No data"))</f>
        <v/>
      </c>
      <c r="AY200" s="13">
        <f>IF('Council Entry'!AY200="","",IFERROR(MAX(0,MIN(10,ROUND(IF('Council Entry'!AY$7="Decrease Risk",10-10*((IF('Council Entry'!AY$4="Logarithm",LN(0.001+IF(AND(ISNUMBER('Council Entry'!AY$8),ISNUMBER('Council Entry'!AY$9)),MAX(MIN('Council Entry'!AY200,'Council Entry'!AY$9),'Council Entry'!AY$8),'Council Entry'!AY200)),IF('Council Entry'!AY$4="Exponential",EXP(IF(AND(ISNUMBER('Council Entry'!AY$8),ISNUMBER('Council Entry'!AY$9)),MAX(MIN('Council Entry'!AY200,'Council Entry'!AY$9),'Council Entry'!AY$8),'Council Entry'!AY200)),IF(AND(ISNUMBER('Council Entry'!AY$8),ISNUMBER('Council Entry'!AY$9)),MAX(MIN('Council Entry'!AY200,'Council Entry'!AY$9),'Council Entry'!AY$8),'Council Entry'!AY200))))-'Council Entry'!AY$5)/('Council Entry'!AY$6-'Council Entry'!AY$5),10*((IF('Council Entry'!AY$4="Logarithm",LN(0.001+IF(AND(ISNUMBER('Council Entry'!AY$8),ISNUMBER('Council Entry'!AY$9)),MAX(MIN('Council Entry'!AY200,'Council Entry'!AY$9),'Council Entry'!AY$8),'Council Entry'!AY200)),IF('Council Entry'!AY$4="Exponential",EXP(IF(AND(ISNUMBER('Council Entry'!AY$8),ISNUMBER('Council Entry'!AY$9)),MAX(MIN('Council Entry'!AY200,'Council Entry'!AY$9),'Council Entry'!AY$8),'Council Entry'!AY200)),IF(AND(ISNUMBER('Council Entry'!AY$8),ISNUMBER('Council Entry'!AY$9)),MAX(MIN('Council Entry'!AY200,'Council Entry'!AY$9),'Council Entry'!AY$8),'Council Entry'!AY200))))-'Council Entry'!AY$5)/('Council Entry'!AY$6-'Council Entry'!AY$5)),1))),"No data"))</f>
        <v/>
      </c>
      <c r="AZ200" s="13">
        <f>IF('Council Entry'!AZ200="","",IFERROR(MAX(0,MIN(10,ROUND(IF('Council Entry'!AZ$7="Decrease Risk",10-10*((IF('Council Entry'!AZ$4="Logarithm",LN(0.001+IF(AND(ISNUMBER('Council Entry'!AZ$8),ISNUMBER('Council Entry'!AZ$9)),MAX(MIN('Council Entry'!AZ200,'Council Entry'!AZ$9),'Council Entry'!AZ$8),'Council Entry'!AZ200)),IF('Council Entry'!AZ$4="Exponential",EXP(IF(AND(ISNUMBER('Council Entry'!AZ$8),ISNUMBER('Council Entry'!AZ$9)),MAX(MIN('Council Entry'!AZ200,'Council Entry'!AZ$9),'Council Entry'!AZ$8),'Council Entry'!AZ200)),IF(AND(ISNUMBER('Council Entry'!AZ$8),ISNUMBER('Council Entry'!AZ$9)),MAX(MIN('Council Entry'!AZ200,'Council Entry'!AZ$9),'Council Entry'!AZ$8),'Council Entry'!AZ200))))-'Council Entry'!AZ$5)/('Council Entry'!AZ$6-'Council Entry'!AZ$5),10*((IF('Council Entry'!AZ$4="Logarithm",LN(0.001+IF(AND(ISNUMBER('Council Entry'!AZ$8),ISNUMBER('Council Entry'!AZ$9)),MAX(MIN('Council Entry'!AZ200,'Council Entry'!AZ$9),'Council Entry'!AZ$8),'Council Entry'!AZ200)),IF('Council Entry'!AZ$4="Exponential",EXP(IF(AND(ISNUMBER('Council Entry'!AZ$8),ISNUMBER('Council Entry'!AZ$9)),MAX(MIN('Council Entry'!AZ200,'Council Entry'!AZ$9),'Council Entry'!AZ$8),'Council Entry'!AZ200)),IF(AND(ISNUMBER('Council Entry'!AZ$8),ISNUMBER('Council Entry'!AZ$9)),MAX(MIN('Council Entry'!AZ200,'Council Entry'!AZ$9),'Council Entry'!AZ$8),'Council Entry'!AZ200))))-'Council Entry'!AZ$5)/('Council Entry'!AZ$6-'Council Entry'!AZ$5)),1))),"No data"))</f>
        <v/>
      </c>
      <c r="BA200" s="13">
        <f>IF('Council Entry'!BA200="","",IFERROR(MAX(0,MIN(10,ROUND(IF('Council Entry'!BA$7="Decrease Risk",10-10*((IF('Council Entry'!BA$4="Logarithm",LN(0.001+IF(AND(ISNUMBER('Council Entry'!BA$8),ISNUMBER('Council Entry'!BA$9)),MAX(MIN('Council Entry'!BA200,'Council Entry'!BA$9),'Council Entry'!BA$8),'Council Entry'!BA200)),IF('Council Entry'!BA$4="Exponential",EXP(IF(AND(ISNUMBER('Council Entry'!BA$8),ISNUMBER('Council Entry'!BA$9)),MAX(MIN('Council Entry'!BA200,'Council Entry'!BA$9),'Council Entry'!BA$8),'Council Entry'!BA200)),IF(AND(ISNUMBER('Council Entry'!BA$8),ISNUMBER('Council Entry'!BA$9)),MAX(MIN('Council Entry'!BA200,'Council Entry'!BA$9),'Council Entry'!BA$8),'Council Entry'!BA200))))-'Council Entry'!BA$5)/('Council Entry'!BA$6-'Council Entry'!BA$5),10*((IF('Council Entry'!BA$4="Logarithm",LN(0.001+IF(AND(ISNUMBER('Council Entry'!BA$8),ISNUMBER('Council Entry'!BA$9)),MAX(MIN('Council Entry'!BA200,'Council Entry'!BA$9),'Council Entry'!BA$8),'Council Entry'!BA200)),IF('Council Entry'!BA$4="Exponential",EXP(IF(AND(ISNUMBER('Council Entry'!BA$8),ISNUMBER('Council Entry'!BA$9)),MAX(MIN('Council Entry'!BA200,'Council Entry'!BA$9),'Council Entry'!BA$8),'Council Entry'!BA200)),IF(AND(ISNUMBER('Council Entry'!BA$8),ISNUMBER('Council Entry'!BA$9)),MAX(MIN('Council Entry'!BA200,'Council Entry'!BA$9),'Council Entry'!BA$8),'Council Entry'!BA200))))-'Council Entry'!BA$5)/('Council Entry'!BA$6-'Council Entry'!BA$5)),1))),"No data"))</f>
        <v/>
      </c>
      <c r="BB200" s="13">
        <f>IF('Council Entry'!BB200="","",IFERROR(MAX(0,MIN(10,ROUND(IF('Council Entry'!BB$7="Decrease Risk",10-10*((IF('Council Entry'!BB$4="Logarithm",LN(0.001+IF(AND(ISNUMBER('Council Entry'!BB$8),ISNUMBER('Council Entry'!BB$9)),MAX(MIN('Council Entry'!BB200,'Council Entry'!BB$9),'Council Entry'!BB$8),'Council Entry'!BB200)),IF('Council Entry'!BB$4="Exponential",EXP(IF(AND(ISNUMBER('Council Entry'!BB$8),ISNUMBER('Council Entry'!BB$9)),MAX(MIN('Council Entry'!BB200,'Council Entry'!BB$9),'Council Entry'!BB$8),'Council Entry'!BB200)),IF(AND(ISNUMBER('Council Entry'!BB$8),ISNUMBER('Council Entry'!BB$9)),MAX(MIN('Council Entry'!BB200,'Council Entry'!BB$9),'Council Entry'!BB$8),'Council Entry'!BB200))))-'Council Entry'!BB$5)/('Council Entry'!BB$6-'Council Entry'!BB$5),10*((IF('Council Entry'!BB$4="Logarithm",LN(0.001+IF(AND(ISNUMBER('Council Entry'!BB$8),ISNUMBER('Council Entry'!BB$9)),MAX(MIN('Council Entry'!BB200,'Council Entry'!BB$9),'Council Entry'!BB$8),'Council Entry'!BB200)),IF('Council Entry'!BB$4="Exponential",EXP(IF(AND(ISNUMBER('Council Entry'!BB$8),ISNUMBER('Council Entry'!BB$9)),MAX(MIN('Council Entry'!BB200,'Council Entry'!BB$9),'Council Entry'!BB$8),'Council Entry'!BB200)),IF(AND(ISNUMBER('Council Entry'!BB$8),ISNUMBER('Council Entry'!BB$9)),MAX(MIN('Council Entry'!BB200,'Council Entry'!BB$9),'Council Entry'!BB$8),'Council Entry'!BB200))))-'Council Entry'!BB$5)/('Council Entry'!BB$6-'Council Entry'!BB$5)),1))),"No data"))</f>
        <v/>
      </c>
      <c r="BC200" s="13">
        <f>IF('Council Entry'!BC200="","",IFERROR(MAX(0,MIN(10,ROUND(IF('Council Entry'!BC$7="Decrease Risk",10-10*((IF('Council Entry'!BC$4="Logarithm",LN(0.001+IF(AND(ISNUMBER('Council Entry'!BC$8),ISNUMBER('Council Entry'!BC$9)),MAX(MIN('Council Entry'!BC200,'Council Entry'!BC$9),'Council Entry'!BC$8),'Council Entry'!BC200)),IF('Council Entry'!BC$4="Exponential",EXP(IF(AND(ISNUMBER('Council Entry'!BC$8),ISNUMBER('Council Entry'!BC$9)),MAX(MIN('Council Entry'!BC200,'Council Entry'!BC$9),'Council Entry'!BC$8),'Council Entry'!BC200)),IF(AND(ISNUMBER('Council Entry'!BC$8),ISNUMBER('Council Entry'!BC$9)),MAX(MIN('Council Entry'!BC200,'Council Entry'!BC$9),'Council Entry'!BC$8),'Council Entry'!BC200))))-'Council Entry'!BC$5)/('Council Entry'!BC$6-'Council Entry'!BC$5),10*((IF('Council Entry'!BC$4="Logarithm",LN(0.001+IF(AND(ISNUMBER('Council Entry'!BC$8),ISNUMBER('Council Entry'!BC$9)),MAX(MIN('Council Entry'!BC200,'Council Entry'!BC$9),'Council Entry'!BC$8),'Council Entry'!BC200)),IF('Council Entry'!BC$4="Exponential",EXP(IF(AND(ISNUMBER('Council Entry'!BC$8),ISNUMBER('Council Entry'!BC$9)),MAX(MIN('Council Entry'!BC200,'Council Entry'!BC$9),'Council Entry'!BC$8),'Council Entry'!BC200)),IF(AND(ISNUMBER('Council Entry'!BC$8),ISNUMBER('Council Entry'!BC$9)),MAX(MIN('Council Entry'!BC200,'Council Entry'!BC$9),'Council Entry'!BC$8),'Council Entry'!BC200))))-'Council Entry'!BC$5)/('Council Entry'!BC$6-'Council Entry'!BC$5)),1))),"No data"))</f>
        <v/>
      </c>
      <c r="BD200" s="13">
        <f>IF('Council Entry'!BD200="","",IFERROR(MAX(0,MIN(10,ROUND(IF('Council Entry'!BD$7="Decrease Risk",10-10*((IF('Council Entry'!BD$4="Logarithm",LN(0.001+IF(AND(ISNUMBER('Council Entry'!BD$8),ISNUMBER('Council Entry'!BD$9)),MAX(MIN('Council Entry'!BD200,'Council Entry'!BD$9),'Council Entry'!BD$8),'Council Entry'!BD200)),IF('Council Entry'!BD$4="Exponential",EXP(IF(AND(ISNUMBER('Council Entry'!BD$8),ISNUMBER('Council Entry'!BD$9)),MAX(MIN('Council Entry'!BD200,'Council Entry'!BD$9),'Council Entry'!BD$8),'Council Entry'!BD200)),IF(AND(ISNUMBER('Council Entry'!BD$8),ISNUMBER('Council Entry'!BD$9)),MAX(MIN('Council Entry'!BD200,'Council Entry'!BD$9),'Council Entry'!BD$8),'Council Entry'!BD200))))-'Council Entry'!BD$5)/('Council Entry'!BD$6-'Council Entry'!BD$5),10*((IF('Council Entry'!BD$4="Logarithm",LN(0.001+IF(AND(ISNUMBER('Council Entry'!BD$8),ISNUMBER('Council Entry'!BD$9)),MAX(MIN('Council Entry'!BD200,'Council Entry'!BD$9),'Council Entry'!BD$8),'Council Entry'!BD200)),IF('Council Entry'!BD$4="Exponential",EXP(IF(AND(ISNUMBER('Council Entry'!BD$8),ISNUMBER('Council Entry'!BD$9)),MAX(MIN('Council Entry'!BD200,'Council Entry'!BD$9),'Council Entry'!BD$8),'Council Entry'!BD200)),IF(AND(ISNUMBER('Council Entry'!BD$8),ISNUMBER('Council Entry'!BD$9)),MAX(MIN('Council Entry'!BD200,'Council Entry'!BD$9),'Council Entry'!BD$8),'Council Entry'!BD200))))-'Council Entry'!BD$5)/('Council Entry'!BD$6-'Council Entry'!BD$5)),1))),"No data"))</f>
        <v/>
      </c>
    </row>
    <row r="201">
      <c r="A201" t="inlineStr">
        <is>
          <t>Tanga</t>
        </is>
      </c>
      <c r="B201" t="inlineStr">
        <is>
          <t>Lushoto District</t>
        </is>
      </c>
      <c r="C201" t="inlineStr">
        <is>
          <t>C023</t>
        </is>
      </c>
      <c r="D201" s="13">
        <f>IF('Council Entry'!D201="","",IFERROR(MAX(0,MIN(10,ROUND(IF('Council Entry'!D$7="Decrease Risk",10-10*((IF('Council Entry'!D$4="Logarithm",LN(0.001+IF(AND(ISNUMBER('Council Entry'!D$8),ISNUMBER('Council Entry'!D$9)),MAX(MIN('Council Entry'!D201,'Council Entry'!D$9),'Council Entry'!D$8),'Council Entry'!D201)),IF('Council Entry'!D$4="Exponential",EXP(IF(AND(ISNUMBER('Council Entry'!D$8),ISNUMBER('Council Entry'!D$9)),MAX(MIN('Council Entry'!D201,'Council Entry'!D$9),'Council Entry'!D$8),'Council Entry'!D201)),IF(AND(ISNUMBER('Council Entry'!D$8),ISNUMBER('Council Entry'!D$9)),MAX(MIN('Council Entry'!D201,'Council Entry'!D$9),'Council Entry'!D$8),'Council Entry'!D201))))-'Council Entry'!D$5)/('Council Entry'!D$6-'Council Entry'!D$5),10*((IF('Council Entry'!D$4="Logarithm",LN(0.001+IF(AND(ISNUMBER('Council Entry'!D$8),ISNUMBER('Council Entry'!D$9)),MAX(MIN('Council Entry'!D201,'Council Entry'!D$9),'Council Entry'!D$8),'Council Entry'!D201)),IF('Council Entry'!D$4="Exponential",EXP(IF(AND(ISNUMBER('Council Entry'!D$8),ISNUMBER('Council Entry'!D$9)),MAX(MIN('Council Entry'!D201,'Council Entry'!D$9),'Council Entry'!D$8),'Council Entry'!D201)),IF(AND(ISNUMBER('Council Entry'!D$8),ISNUMBER('Council Entry'!D$9)),MAX(MIN('Council Entry'!D201,'Council Entry'!D$9),'Council Entry'!D$8),'Council Entry'!D201))))-'Council Entry'!D$5)/('Council Entry'!D$6-'Council Entry'!D$5)),1))),"No data"))</f>
        <v/>
      </c>
      <c r="E201" s="13">
        <f>IF('Council Entry'!E201="","",IFERROR(MAX(0,MIN(10,ROUND(IF('Council Entry'!E$7="Decrease Risk",10-10*((IF('Council Entry'!E$4="Logarithm",LN(0.001+IF(AND(ISNUMBER('Council Entry'!E$8),ISNUMBER('Council Entry'!E$9)),MAX(MIN('Council Entry'!E201,'Council Entry'!E$9),'Council Entry'!E$8),'Council Entry'!E201)),IF('Council Entry'!E$4="Exponential",EXP(IF(AND(ISNUMBER('Council Entry'!E$8),ISNUMBER('Council Entry'!E$9)),MAX(MIN('Council Entry'!E201,'Council Entry'!E$9),'Council Entry'!E$8),'Council Entry'!E201)),IF(AND(ISNUMBER('Council Entry'!E$8),ISNUMBER('Council Entry'!E$9)),MAX(MIN('Council Entry'!E201,'Council Entry'!E$9),'Council Entry'!E$8),'Council Entry'!E201))))-'Council Entry'!E$5)/('Council Entry'!E$6-'Council Entry'!E$5),10*((IF('Council Entry'!E$4="Logarithm",LN(0.001+IF(AND(ISNUMBER('Council Entry'!E$8),ISNUMBER('Council Entry'!E$9)),MAX(MIN('Council Entry'!E201,'Council Entry'!E$9),'Council Entry'!E$8),'Council Entry'!E201)),IF('Council Entry'!E$4="Exponential",EXP(IF(AND(ISNUMBER('Council Entry'!E$8),ISNUMBER('Council Entry'!E$9)),MAX(MIN('Council Entry'!E201,'Council Entry'!E$9),'Council Entry'!E$8),'Council Entry'!E201)),IF(AND(ISNUMBER('Council Entry'!E$8),ISNUMBER('Council Entry'!E$9)),MAX(MIN('Council Entry'!E201,'Council Entry'!E$9),'Council Entry'!E$8),'Council Entry'!E201))))-'Council Entry'!E$5)/('Council Entry'!E$6-'Council Entry'!E$5)),1))),"No data"))</f>
        <v/>
      </c>
      <c r="F201" s="13">
        <f>IF('Council Entry'!F201="","",IFERROR(MAX(0,MIN(10,ROUND(IF('Council Entry'!F$7="Decrease Risk",10-10*((IF('Council Entry'!F$4="Logarithm",LN(0.001+IF(AND(ISNUMBER('Council Entry'!F$8),ISNUMBER('Council Entry'!F$9)),MAX(MIN('Council Entry'!F201,'Council Entry'!F$9),'Council Entry'!F$8),'Council Entry'!F201)),IF('Council Entry'!F$4="Exponential",EXP(IF(AND(ISNUMBER('Council Entry'!F$8),ISNUMBER('Council Entry'!F$9)),MAX(MIN('Council Entry'!F201,'Council Entry'!F$9),'Council Entry'!F$8),'Council Entry'!F201)),IF(AND(ISNUMBER('Council Entry'!F$8),ISNUMBER('Council Entry'!F$9)),MAX(MIN('Council Entry'!F201,'Council Entry'!F$9),'Council Entry'!F$8),'Council Entry'!F201))))-'Council Entry'!F$5)/('Council Entry'!F$6-'Council Entry'!F$5),10*((IF('Council Entry'!F$4="Logarithm",LN(0.001+IF(AND(ISNUMBER('Council Entry'!F$8),ISNUMBER('Council Entry'!F$9)),MAX(MIN('Council Entry'!F201,'Council Entry'!F$9),'Council Entry'!F$8),'Council Entry'!F201)),IF('Council Entry'!F$4="Exponential",EXP(IF(AND(ISNUMBER('Council Entry'!F$8),ISNUMBER('Council Entry'!F$9)),MAX(MIN('Council Entry'!F201,'Council Entry'!F$9),'Council Entry'!F$8),'Council Entry'!F201)),IF(AND(ISNUMBER('Council Entry'!F$8),ISNUMBER('Council Entry'!F$9)),MAX(MIN('Council Entry'!F201,'Council Entry'!F$9),'Council Entry'!F$8),'Council Entry'!F201))))-'Council Entry'!F$5)/('Council Entry'!F$6-'Council Entry'!F$5)),1))),"No data"))</f>
        <v/>
      </c>
      <c r="G201" s="13">
        <f>IF('Council Entry'!G201="","",IFERROR(MAX(0,MIN(10,ROUND(IF('Council Entry'!G$7="Decrease Risk",10-10*((IF('Council Entry'!G$4="Logarithm",LN(0.001+IF(AND(ISNUMBER('Council Entry'!G$8),ISNUMBER('Council Entry'!G$9)),MAX(MIN('Council Entry'!G201,'Council Entry'!G$9),'Council Entry'!G$8),'Council Entry'!G201)),IF('Council Entry'!G$4="Exponential",EXP(IF(AND(ISNUMBER('Council Entry'!G$8),ISNUMBER('Council Entry'!G$9)),MAX(MIN('Council Entry'!G201,'Council Entry'!G$9),'Council Entry'!G$8),'Council Entry'!G201)),IF(AND(ISNUMBER('Council Entry'!G$8),ISNUMBER('Council Entry'!G$9)),MAX(MIN('Council Entry'!G201,'Council Entry'!G$9),'Council Entry'!G$8),'Council Entry'!G201))))-'Council Entry'!G$5)/('Council Entry'!G$6-'Council Entry'!G$5),10*((IF('Council Entry'!G$4="Logarithm",LN(0.001+IF(AND(ISNUMBER('Council Entry'!G$8),ISNUMBER('Council Entry'!G$9)),MAX(MIN('Council Entry'!G201,'Council Entry'!G$9),'Council Entry'!G$8),'Council Entry'!G201)),IF('Council Entry'!G$4="Exponential",EXP(IF(AND(ISNUMBER('Council Entry'!G$8),ISNUMBER('Council Entry'!G$9)),MAX(MIN('Council Entry'!G201,'Council Entry'!G$9),'Council Entry'!G$8),'Council Entry'!G201)),IF(AND(ISNUMBER('Council Entry'!G$8),ISNUMBER('Council Entry'!G$9)),MAX(MIN('Council Entry'!G201,'Council Entry'!G$9),'Council Entry'!G$8),'Council Entry'!G201))))-'Council Entry'!G$5)/('Council Entry'!G$6-'Council Entry'!G$5)),1))),"No data"))</f>
        <v/>
      </c>
      <c r="H201" s="13">
        <f>IF('Council Entry'!H201="","",IFERROR(MAX(0,MIN(10,ROUND(IF('Council Entry'!H$7="Decrease Risk",10-10*((IF('Council Entry'!H$4="Logarithm",LN(0.001+IF(AND(ISNUMBER('Council Entry'!H$8),ISNUMBER('Council Entry'!H$9)),MAX(MIN('Council Entry'!H201,'Council Entry'!H$9),'Council Entry'!H$8),'Council Entry'!H201)),IF('Council Entry'!H$4="Exponential",EXP(IF(AND(ISNUMBER('Council Entry'!H$8),ISNUMBER('Council Entry'!H$9)),MAX(MIN('Council Entry'!H201,'Council Entry'!H$9),'Council Entry'!H$8),'Council Entry'!H201)),IF(AND(ISNUMBER('Council Entry'!H$8),ISNUMBER('Council Entry'!H$9)),MAX(MIN('Council Entry'!H201,'Council Entry'!H$9),'Council Entry'!H$8),'Council Entry'!H201))))-'Council Entry'!H$5)/('Council Entry'!H$6-'Council Entry'!H$5),10*((IF('Council Entry'!H$4="Logarithm",LN(0.001+IF(AND(ISNUMBER('Council Entry'!H$8),ISNUMBER('Council Entry'!H$9)),MAX(MIN('Council Entry'!H201,'Council Entry'!H$9),'Council Entry'!H$8),'Council Entry'!H201)),IF('Council Entry'!H$4="Exponential",EXP(IF(AND(ISNUMBER('Council Entry'!H$8),ISNUMBER('Council Entry'!H$9)),MAX(MIN('Council Entry'!H201,'Council Entry'!H$9),'Council Entry'!H$8),'Council Entry'!H201)),IF(AND(ISNUMBER('Council Entry'!H$8),ISNUMBER('Council Entry'!H$9)),MAX(MIN('Council Entry'!H201,'Council Entry'!H$9),'Council Entry'!H$8),'Council Entry'!H201))))-'Council Entry'!H$5)/('Council Entry'!H$6-'Council Entry'!H$5)),1))),"No data"))</f>
        <v/>
      </c>
      <c r="I201" s="13">
        <f>IF('Council Entry'!I201="","",IFERROR(MAX(0,MIN(10,ROUND(IF('Council Entry'!I$7="Decrease Risk",10-10*((IF('Council Entry'!I$4="Logarithm",LN(0.001+IF(AND(ISNUMBER('Council Entry'!I$8),ISNUMBER('Council Entry'!I$9)),MAX(MIN('Council Entry'!I201,'Council Entry'!I$9),'Council Entry'!I$8),'Council Entry'!I201)),IF('Council Entry'!I$4="Exponential",EXP(IF(AND(ISNUMBER('Council Entry'!I$8),ISNUMBER('Council Entry'!I$9)),MAX(MIN('Council Entry'!I201,'Council Entry'!I$9),'Council Entry'!I$8),'Council Entry'!I201)),IF(AND(ISNUMBER('Council Entry'!I$8),ISNUMBER('Council Entry'!I$9)),MAX(MIN('Council Entry'!I201,'Council Entry'!I$9),'Council Entry'!I$8),'Council Entry'!I201))))-'Council Entry'!I$5)/('Council Entry'!I$6-'Council Entry'!I$5),10*((IF('Council Entry'!I$4="Logarithm",LN(0.001+IF(AND(ISNUMBER('Council Entry'!I$8),ISNUMBER('Council Entry'!I$9)),MAX(MIN('Council Entry'!I201,'Council Entry'!I$9),'Council Entry'!I$8),'Council Entry'!I201)),IF('Council Entry'!I$4="Exponential",EXP(IF(AND(ISNUMBER('Council Entry'!I$8),ISNUMBER('Council Entry'!I$9)),MAX(MIN('Council Entry'!I201,'Council Entry'!I$9),'Council Entry'!I$8),'Council Entry'!I201)),IF(AND(ISNUMBER('Council Entry'!I$8),ISNUMBER('Council Entry'!I$9)),MAX(MIN('Council Entry'!I201,'Council Entry'!I$9),'Council Entry'!I$8),'Council Entry'!I201))))-'Council Entry'!I$5)/('Council Entry'!I$6-'Council Entry'!I$5)),1))),"No data"))</f>
        <v/>
      </c>
      <c r="J201" s="13">
        <f>IF('Council Entry'!J201="","",IFERROR(MAX(0,MIN(10,ROUND(IF('Council Entry'!J$7="Decrease Risk",10-10*((IF('Council Entry'!J$4="Logarithm",LN(0.001+IF(AND(ISNUMBER('Council Entry'!J$8),ISNUMBER('Council Entry'!J$9)),MAX(MIN('Council Entry'!J201,'Council Entry'!J$9),'Council Entry'!J$8),'Council Entry'!J201)),IF('Council Entry'!J$4="Exponential",EXP(IF(AND(ISNUMBER('Council Entry'!J$8),ISNUMBER('Council Entry'!J$9)),MAX(MIN('Council Entry'!J201,'Council Entry'!J$9),'Council Entry'!J$8),'Council Entry'!J201)),IF(AND(ISNUMBER('Council Entry'!J$8),ISNUMBER('Council Entry'!J$9)),MAX(MIN('Council Entry'!J201,'Council Entry'!J$9),'Council Entry'!J$8),'Council Entry'!J201))))-'Council Entry'!J$5)/('Council Entry'!J$6-'Council Entry'!J$5),10*((IF('Council Entry'!J$4="Logarithm",LN(0.001+IF(AND(ISNUMBER('Council Entry'!J$8),ISNUMBER('Council Entry'!J$9)),MAX(MIN('Council Entry'!J201,'Council Entry'!J$9),'Council Entry'!J$8),'Council Entry'!J201)),IF('Council Entry'!J$4="Exponential",EXP(IF(AND(ISNUMBER('Council Entry'!J$8),ISNUMBER('Council Entry'!J$9)),MAX(MIN('Council Entry'!J201,'Council Entry'!J$9),'Council Entry'!J$8),'Council Entry'!J201)),IF(AND(ISNUMBER('Council Entry'!J$8),ISNUMBER('Council Entry'!J$9)),MAX(MIN('Council Entry'!J201,'Council Entry'!J$9),'Council Entry'!J$8),'Council Entry'!J201))))-'Council Entry'!J$5)/('Council Entry'!J$6-'Council Entry'!J$5)),1))),"No data"))</f>
        <v/>
      </c>
      <c r="K201" s="13">
        <f>IF('Council Entry'!K201="","",IFERROR(MAX(0,MIN(10,ROUND(IF('Council Entry'!K$7="Decrease Risk",10-10*((IF('Council Entry'!K$4="Logarithm",LN(0.001+IF(AND(ISNUMBER('Council Entry'!K$8),ISNUMBER('Council Entry'!K$9)),MAX(MIN('Council Entry'!K201,'Council Entry'!K$9),'Council Entry'!K$8),'Council Entry'!K201)),IF('Council Entry'!K$4="Exponential",EXP(IF(AND(ISNUMBER('Council Entry'!K$8),ISNUMBER('Council Entry'!K$9)),MAX(MIN('Council Entry'!K201,'Council Entry'!K$9),'Council Entry'!K$8),'Council Entry'!K201)),IF(AND(ISNUMBER('Council Entry'!K$8),ISNUMBER('Council Entry'!K$9)),MAX(MIN('Council Entry'!K201,'Council Entry'!K$9),'Council Entry'!K$8),'Council Entry'!K201))))-'Council Entry'!K$5)/('Council Entry'!K$6-'Council Entry'!K$5),10*((IF('Council Entry'!K$4="Logarithm",LN(0.001+IF(AND(ISNUMBER('Council Entry'!K$8),ISNUMBER('Council Entry'!K$9)),MAX(MIN('Council Entry'!K201,'Council Entry'!K$9),'Council Entry'!K$8),'Council Entry'!K201)),IF('Council Entry'!K$4="Exponential",EXP(IF(AND(ISNUMBER('Council Entry'!K$8),ISNUMBER('Council Entry'!K$9)),MAX(MIN('Council Entry'!K201,'Council Entry'!K$9),'Council Entry'!K$8),'Council Entry'!K201)),IF(AND(ISNUMBER('Council Entry'!K$8),ISNUMBER('Council Entry'!K$9)),MAX(MIN('Council Entry'!K201,'Council Entry'!K$9),'Council Entry'!K$8),'Council Entry'!K201))))-'Council Entry'!K$5)/('Council Entry'!K$6-'Council Entry'!K$5)),1))),"No data"))</f>
        <v/>
      </c>
      <c r="L201" s="13">
        <f>IF('Council Entry'!L201="","",IFERROR(MAX(0,MIN(10,ROUND(IF('Council Entry'!L$7="Decrease Risk",10-10*((IF('Council Entry'!L$4="Logarithm",LN(0.001+IF(AND(ISNUMBER('Council Entry'!L$8),ISNUMBER('Council Entry'!L$9)),MAX(MIN('Council Entry'!L201,'Council Entry'!L$9),'Council Entry'!L$8),'Council Entry'!L201)),IF('Council Entry'!L$4="Exponential",EXP(IF(AND(ISNUMBER('Council Entry'!L$8),ISNUMBER('Council Entry'!L$9)),MAX(MIN('Council Entry'!L201,'Council Entry'!L$9),'Council Entry'!L$8),'Council Entry'!L201)),IF(AND(ISNUMBER('Council Entry'!L$8),ISNUMBER('Council Entry'!L$9)),MAX(MIN('Council Entry'!L201,'Council Entry'!L$9),'Council Entry'!L$8),'Council Entry'!L201))))-'Council Entry'!L$5)/('Council Entry'!L$6-'Council Entry'!L$5),10*((IF('Council Entry'!L$4="Logarithm",LN(0.001+IF(AND(ISNUMBER('Council Entry'!L$8),ISNUMBER('Council Entry'!L$9)),MAX(MIN('Council Entry'!L201,'Council Entry'!L$9),'Council Entry'!L$8),'Council Entry'!L201)),IF('Council Entry'!L$4="Exponential",EXP(IF(AND(ISNUMBER('Council Entry'!L$8),ISNUMBER('Council Entry'!L$9)),MAX(MIN('Council Entry'!L201,'Council Entry'!L$9),'Council Entry'!L$8),'Council Entry'!L201)),IF(AND(ISNUMBER('Council Entry'!L$8),ISNUMBER('Council Entry'!L$9)),MAX(MIN('Council Entry'!L201,'Council Entry'!L$9),'Council Entry'!L$8),'Council Entry'!L201))))-'Council Entry'!L$5)/('Council Entry'!L$6-'Council Entry'!L$5)),1))),"No data"))</f>
        <v/>
      </c>
      <c r="M201" s="13">
        <f>IF('Council Entry'!M201="","",IFERROR(MAX(0,MIN(10,ROUND(IF('Council Entry'!M$7="Decrease Risk",10-10*((IF('Council Entry'!M$4="Logarithm",LN(0.001+IF(AND(ISNUMBER('Council Entry'!M$8),ISNUMBER('Council Entry'!M$9)),MAX(MIN('Council Entry'!M201,'Council Entry'!M$9),'Council Entry'!M$8),'Council Entry'!M201)),IF('Council Entry'!M$4="Exponential",EXP(IF(AND(ISNUMBER('Council Entry'!M$8),ISNUMBER('Council Entry'!M$9)),MAX(MIN('Council Entry'!M201,'Council Entry'!M$9),'Council Entry'!M$8),'Council Entry'!M201)),IF(AND(ISNUMBER('Council Entry'!M$8),ISNUMBER('Council Entry'!M$9)),MAX(MIN('Council Entry'!M201,'Council Entry'!M$9),'Council Entry'!M$8),'Council Entry'!M201))))-'Council Entry'!M$5)/('Council Entry'!M$6-'Council Entry'!M$5),10*((IF('Council Entry'!M$4="Logarithm",LN(0.001+IF(AND(ISNUMBER('Council Entry'!M$8),ISNUMBER('Council Entry'!M$9)),MAX(MIN('Council Entry'!M201,'Council Entry'!M$9),'Council Entry'!M$8),'Council Entry'!M201)),IF('Council Entry'!M$4="Exponential",EXP(IF(AND(ISNUMBER('Council Entry'!M$8),ISNUMBER('Council Entry'!M$9)),MAX(MIN('Council Entry'!M201,'Council Entry'!M$9),'Council Entry'!M$8),'Council Entry'!M201)),IF(AND(ISNUMBER('Council Entry'!M$8),ISNUMBER('Council Entry'!M$9)),MAX(MIN('Council Entry'!M201,'Council Entry'!M$9),'Council Entry'!M$8),'Council Entry'!M201))))-'Council Entry'!M$5)/('Council Entry'!M$6-'Council Entry'!M$5)),1))),"No data"))</f>
        <v/>
      </c>
      <c r="N201" s="13">
        <f>IF('Council Entry'!N201="","",IFERROR(MAX(0,MIN(10,ROUND(IF('Council Entry'!N$7="Decrease Risk",10-10*((IF('Council Entry'!N$4="Logarithm",LN(0.001+IF(AND(ISNUMBER('Council Entry'!N$8),ISNUMBER('Council Entry'!N$9)),MAX(MIN('Council Entry'!N201,'Council Entry'!N$9),'Council Entry'!N$8),'Council Entry'!N201)),IF('Council Entry'!N$4="Exponential",EXP(IF(AND(ISNUMBER('Council Entry'!N$8),ISNUMBER('Council Entry'!N$9)),MAX(MIN('Council Entry'!N201,'Council Entry'!N$9),'Council Entry'!N$8),'Council Entry'!N201)),IF(AND(ISNUMBER('Council Entry'!N$8),ISNUMBER('Council Entry'!N$9)),MAX(MIN('Council Entry'!N201,'Council Entry'!N$9),'Council Entry'!N$8),'Council Entry'!N201))))-'Council Entry'!N$5)/('Council Entry'!N$6-'Council Entry'!N$5),10*((IF('Council Entry'!N$4="Logarithm",LN(0.001+IF(AND(ISNUMBER('Council Entry'!N$8),ISNUMBER('Council Entry'!N$9)),MAX(MIN('Council Entry'!N201,'Council Entry'!N$9),'Council Entry'!N$8),'Council Entry'!N201)),IF('Council Entry'!N$4="Exponential",EXP(IF(AND(ISNUMBER('Council Entry'!N$8),ISNUMBER('Council Entry'!N$9)),MAX(MIN('Council Entry'!N201,'Council Entry'!N$9),'Council Entry'!N$8),'Council Entry'!N201)),IF(AND(ISNUMBER('Council Entry'!N$8),ISNUMBER('Council Entry'!N$9)),MAX(MIN('Council Entry'!N201,'Council Entry'!N$9),'Council Entry'!N$8),'Council Entry'!N201))))-'Council Entry'!N$5)/('Council Entry'!N$6-'Council Entry'!N$5)),1))),"No data"))</f>
        <v/>
      </c>
      <c r="O201" s="13">
        <f>IF('Council Entry'!O201="","",IFERROR(MAX(0,MIN(10,ROUND(IF('Council Entry'!O$7="Decrease Risk",10-10*((IF('Council Entry'!O$4="Logarithm",LN(0.001+IF(AND(ISNUMBER('Council Entry'!O$8),ISNUMBER('Council Entry'!O$9)),MAX(MIN('Council Entry'!O201,'Council Entry'!O$9),'Council Entry'!O$8),'Council Entry'!O201)),IF('Council Entry'!O$4="Exponential",EXP(IF(AND(ISNUMBER('Council Entry'!O$8),ISNUMBER('Council Entry'!O$9)),MAX(MIN('Council Entry'!O201,'Council Entry'!O$9),'Council Entry'!O$8),'Council Entry'!O201)),IF(AND(ISNUMBER('Council Entry'!O$8),ISNUMBER('Council Entry'!O$9)),MAX(MIN('Council Entry'!O201,'Council Entry'!O$9),'Council Entry'!O$8),'Council Entry'!O201))))-'Council Entry'!O$5)/('Council Entry'!O$6-'Council Entry'!O$5),10*((IF('Council Entry'!O$4="Logarithm",LN(0.001+IF(AND(ISNUMBER('Council Entry'!O$8),ISNUMBER('Council Entry'!O$9)),MAX(MIN('Council Entry'!O201,'Council Entry'!O$9),'Council Entry'!O$8),'Council Entry'!O201)),IF('Council Entry'!O$4="Exponential",EXP(IF(AND(ISNUMBER('Council Entry'!O$8),ISNUMBER('Council Entry'!O$9)),MAX(MIN('Council Entry'!O201,'Council Entry'!O$9),'Council Entry'!O$8),'Council Entry'!O201)),IF(AND(ISNUMBER('Council Entry'!O$8),ISNUMBER('Council Entry'!O$9)),MAX(MIN('Council Entry'!O201,'Council Entry'!O$9),'Council Entry'!O$8),'Council Entry'!O201))))-'Council Entry'!O$5)/('Council Entry'!O$6-'Council Entry'!O$5)),1))),"No data"))</f>
        <v/>
      </c>
      <c r="P201" s="13">
        <f>IF('Council Entry'!P201="","",IFERROR(MAX(0,MIN(10,ROUND(IF('Council Entry'!P$7="Decrease Risk",10-10*((IF('Council Entry'!P$4="Logarithm",LN(0.001+IF(AND(ISNUMBER('Council Entry'!P$8),ISNUMBER('Council Entry'!P$9)),MAX(MIN('Council Entry'!P201,'Council Entry'!P$9),'Council Entry'!P$8),'Council Entry'!P201)),IF('Council Entry'!P$4="Exponential",EXP(IF(AND(ISNUMBER('Council Entry'!P$8),ISNUMBER('Council Entry'!P$9)),MAX(MIN('Council Entry'!P201,'Council Entry'!P$9),'Council Entry'!P$8),'Council Entry'!P201)),IF(AND(ISNUMBER('Council Entry'!P$8),ISNUMBER('Council Entry'!P$9)),MAX(MIN('Council Entry'!P201,'Council Entry'!P$9),'Council Entry'!P$8),'Council Entry'!P201))))-'Council Entry'!P$5)/('Council Entry'!P$6-'Council Entry'!P$5),10*((IF('Council Entry'!P$4="Logarithm",LN(0.001+IF(AND(ISNUMBER('Council Entry'!P$8),ISNUMBER('Council Entry'!P$9)),MAX(MIN('Council Entry'!P201,'Council Entry'!P$9),'Council Entry'!P$8),'Council Entry'!P201)),IF('Council Entry'!P$4="Exponential",EXP(IF(AND(ISNUMBER('Council Entry'!P$8),ISNUMBER('Council Entry'!P$9)),MAX(MIN('Council Entry'!P201,'Council Entry'!P$9),'Council Entry'!P$8),'Council Entry'!P201)),IF(AND(ISNUMBER('Council Entry'!P$8),ISNUMBER('Council Entry'!P$9)),MAX(MIN('Council Entry'!P201,'Council Entry'!P$9),'Council Entry'!P$8),'Council Entry'!P201))))-'Council Entry'!P$5)/('Council Entry'!P$6-'Council Entry'!P$5)),1))),"No data"))</f>
        <v/>
      </c>
      <c r="Q201" s="13">
        <f>IF('Council Entry'!Q201="","",IFERROR(MAX(0,MIN(10,ROUND(IF('Council Entry'!Q$7="Decrease Risk",10-10*((IF('Council Entry'!Q$4="Logarithm",LN(0.001+IF(AND(ISNUMBER('Council Entry'!Q$8),ISNUMBER('Council Entry'!Q$9)),MAX(MIN('Council Entry'!Q201,'Council Entry'!Q$9),'Council Entry'!Q$8),'Council Entry'!Q201)),IF('Council Entry'!Q$4="Exponential",EXP(IF(AND(ISNUMBER('Council Entry'!Q$8),ISNUMBER('Council Entry'!Q$9)),MAX(MIN('Council Entry'!Q201,'Council Entry'!Q$9),'Council Entry'!Q$8),'Council Entry'!Q201)),IF(AND(ISNUMBER('Council Entry'!Q$8),ISNUMBER('Council Entry'!Q$9)),MAX(MIN('Council Entry'!Q201,'Council Entry'!Q$9),'Council Entry'!Q$8),'Council Entry'!Q201))))-'Council Entry'!Q$5)/('Council Entry'!Q$6-'Council Entry'!Q$5),10*((IF('Council Entry'!Q$4="Logarithm",LN(0.001+IF(AND(ISNUMBER('Council Entry'!Q$8),ISNUMBER('Council Entry'!Q$9)),MAX(MIN('Council Entry'!Q201,'Council Entry'!Q$9),'Council Entry'!Q$8),'Council Entry'!Q201)),IF('Council Entry'!Q$4="Exponential",EXP(IF(AND(ISNUMBER('Council Entry'!Q$8),ISNUMBER('Council Entry'!Q$9)),MAX(MIN('Council Entry'!Q201,'Council Entry'!Q$9),'Council Entry'!Q$8),'Council Entry'!Q201)),IF(AND(ISNUMBER('Council Entry'!Q$8),ISNUMBER('Council Entry'!Q$9)),MAX(MIN('Council Entry'!Q201,'Council Entry'!Q$9),'Council Entry'!Q$8),'Council Entry'!Q201))))-'Council Entry'!Q$5)/('Council Entry'!Q$6-'Council Entry'!Q$5)),1))),"No data"))</f>
        <v/>
      </c>
      <c r="R201" s="13">
        <f>IF('Council Entry'!R201="","",IFERROR(MAX(0,MIN(10,ROUND(IF('Council Entry'!R$7="Decrease Risk",10-10*((IF('Council Entry'!R$4="Logarithm",LN(0.001+IF(AND(ISNUMBER('Council Entry'!R$8),ISNUMBER('Council Entry'!R$9)),MAX(MIN('Council Entry'!R201,'Council Entry'!R$9),'Council Entry'!R$8),'Council Entry'!R201)),IF('Council Entry'!R$4="Exponential",EXP(IF(AND(ISNUMBER('Council Entry'!R$8),ISNUMBER('Council Entry'!R$9)),MAX(MIN('Council Entry'!R201,'Council Entry'!R$9),'Council Entry'!R$8),'Council Entry'!R201)),IF(AND(ISNUMBER('Council Entry'!R$8),ISNUMBER('Council Entry'!R$9)),MAX(MIN('Council Entry'!R201,'Council Entry'!R$9),'Council Entry'!R$8),'Council Entry'!R201))))-'Council Entry'!R$5)/('Council Entry'!R$6-'Council Entry'!R$5),10*((IF('Council Entry'!R$4="Logarithm",LN(0.001+IF(AND(ISNUMBER('Council Entry'!R$8),ISNUMBER('Council Entry'!R$9)),MAX(MIN('Council Entry'!R201,'Council Entry'!R$9),'Council Entry'!R$8),'Council Entry'!R201)),IF('Council Entry'!R$4="Exponential",EXP(IF(AND(ISNUMBER('Council Entry'!R$8),ISNUMBER('Council Entry'!R$9)),MAX(MIN('Council Entry'!R201,'Council Entry'!R$9),'Council Entry'!R$8),'Council Entry'!R201)),IF(AND(ISNUMBER('Council Entry'!R$8),ISNUMBER('Council Entry'!R$9)),MAX(MIN('Council Entry'!R201,'Council Entry'!R$9),'Council Entry'!R$8),'Council Entry'!R201))))-'Council Entry'!R$5)/('Council Entry'!R$6-'Council Entry'!R$5)),1))),"No data"))</f>
        <v/>
      </c>
      <c r="S201" s="13">
        <f>IF('Council Entry'!S201="","",IFERROR(MAX(0,MIN(10,ROUND(IF('Council Entry'!S$7="Decrease Risk",10-10*((IF('Council Entry'!S$4="Logarithm",LN(0.001+IF(AND(ISNUMBER('Council Entry'!S$8),ISNUMBER('Council Entry'!S$9)),MAX(MIN('Council Entry'!S201,'Council Entry'!S$9),'Council Entry'!S$8),'Council Entry'!S201)),IF('Council Entry'!S$4="Exponential",EXP(IF(AND(ISNUMBER('Council Entry'!S$8),ISNUMBER('Council Entry'!S$9)),MAX(MIN('Council Entry'!S201,'Council Entry'!S$9),'Council Entry'!S$8),'Council Entry'!S201)),IF(AND(ISNUMBER('Council Entry'!S$8),ISNUMBER('Council Entry'!S$9)),MAX(MIN('Council Entry'!S201,'Council Entry'!S$9),'Council Entry'!S$8),'Council Entry'!S201))))-'Council Entry'!S$5)/('Council Entry'!S$6-'Council Entry'!S$5),10*((IF('Council Entry'!S$4="Logarithm",LN(0.001+IF(AND(ISNUMBER('Council Entry'!S$8),ISNUMBER('Council Entry'!S$9)),MAX(MIN('Council Entry'!S201,'Council Entry'!S$9),'Council Entry'!S$8),'Council Entry'!S201)),IF('Council Entry'!S$4="Exponential",EXP(IF(AND(ISNUMBER('Council Entry'!S$8),ISNUMBER('Council Entry'!S$9)),MAX(MIN('Council Entry'!S201,'Council Entry'!S$9),'Council Entry'!S$8),'Council Entry'!S201)),IF(AND(ISNUMBER('Council Entry'!S$8),ISNUMBER('Council Entry'!S$9)),MAX(MIN('Council Entry'!S201,'Council Entry'!S$9),'Council Entry'!S$8),'Council Entry'!S201))))-'Council Entry'!S$5)/('Council Entry'!S$6-'Council Entry'!S$5)),1))),"No data"))</f>
        <v/>
      </c>
      <c r="T201" s="13">
        <f>IF('Council Entry'!T201="","",IFERROR(MAX(0,MIN(10,ROUND(IF('Council Entry'!T$7="Decrease Risk",10-10*((IF('Council Entry'!T$4="Logarithm",LN(0.001+IF(AND(ISNUMBER('Council Entry'!T$8),ISNUMBER('Council Entry'!T$9)),MAX(MIN('Council Entry'!T201,'Council Entry'!T$9),'Council Entry'!T$8),'Council Entry'!T201)),IF('Council Entry'!T$4="Exponential",EXP(IF(AND(ISNUMBER('Council Entry'!T$8),ISNUMBER('Council Entry'!T$9)),MAX(MIN('Council Entry'!T201,'Council Entry'!T$9),'Council Entry'!T$8),'Council Entry'!T201)),IF(AND(ISNUMBER('Council Entry'!T$8),ISNUMBER('Council Entry'!T$9)),MAX(MIN('Council Entry'!T201,'Council Entry'!T$9),'Council Entry'!T$8),'Council Entry'!T201))))-'Council Entry'!T$5)/('Council Entry'!T$6-'Council Entry'!T$5),10*((IF('Council Entry'!T$4="Logarithm",LN(0.001+IF(AND(ISNUMBER('Council Entry'!T$8),ISNUMBER('Council Entry'!T$9)),MAX(MIN('Council Entry'!T201,'Council Entry'!T$9),'Council Entry'!T$8),'Council Entry'!T201)),IF('Council Entry'!T$4="Exponential",EXP(IF(AND(ISNUMBER('Council Entry'!T$8),ISNUMBER('Council Entry'!T$9)),MAX(MIN('Council Entry'!T201,'Council Entry'!T$9),'Council Entry'!T$8),'Council Entry'!T201)),IF(AND(ISNUMBER('Council Entry'!T$8),ISNUMBER('Council Entry'!T$9)),MAX(MIN('Council Entry'!T201,'Council Entry'!T$9),'Council Entry'!T$8),'Council Entry'!T201))))-'Council Entry'!T$5)/('Council Entry'!T$6-'Council Entry'!T$5)),1))),"No data"))</f>
        <v/>
      </c>
      <c r="U201" s="13">
        <f>IF('Council Entry'!U201="","",IFERROR(MAX(0,MIN(10,ROUND(IF('Council Entry'!U$7="Decrease Risk",10-10*((IF('Council Entry'!U$4="Logarithm",LN(0.001+IF(AND(ISNUMBER('Council Entry'!U$8),ISNUMBER('Council Entry'!U$9)),MAX(MIN('Council Entry'!U201,'Council Entry'!U$9),'Council Entry'!U$8),'Council Entry'!U201)),IF('Council Entry'!U$4="Exponential",EXP(IF(AND(ISNUMBER('Council Entry'!U$8),ISNUMBER('Council Entry'!U$9)),MAX(MIN('Council Entry'!U201,'Council Entry'!U$9),'Council Entry'!U$8),'Council Entry'!U201)),IF(AND(ISNUMBER('Council Entry'!U$8),ISNUMBER('Council Entry'!U$9)),MAX(MIN('Council Entry'!U201,'Council Entry'!U$9),'Council Entry'!U$8),'Council Entry'!U201))))-'Council Entry'!U$5)/('Council Entry'!U$6-'Council Entry'!U$5),10*((IF('Council Entry'!U$4="Logarithm",LN(0.001+IF(AND(ISNUMBER('Council Entry'!U$8),ISNUMBER('Council Entry'!U$9)),MAX(MIN('Council Entry'!U201,'Council Entry'!U$9),'Council Entry'!U$8),'Council Entry'!U201)),IF('Council Entry'!U$4="Exponential",EXP(IF(AND(ISNUMBER('Council Entry'!U$8),ISNUMBER('Council Entry'!U$9)),MAX(MIN('Council Entry'!U201,'Council Entry'!U$9),'Council Entry'!U$8),'Council Entry'!U201)),IF(AND(ISNUMBER('Council Entry'!U$8),ISNUMBER('Council Entry'!U$9)),MAX(MIN('Council Entry'!U201,'Council Entry'!U$9),'Council Entry'!U$8),'Council Entry'!U201))))-'Council Entry'!U$5)/('Council Entry'!U$6-'Council Entry'!U$5)),1))),"No data"))</f>
        <v/>
      </c>
      <c r="V201" s="13">
        <f>IF('Council Entry'!V201="","",IFERROR(MAX(0,MIN(10,ROUND(IF('Council Entry'!V$7="Decrease Risk",10-10*((IF('Council Entry'!V$4="Logarithm",LN(0.001+IF(AND(ISNUMBER('Council Entry'!V$8),ISNUMBER('Council Entry'!V$9)),MAX(MIN('Council Entry'!V201,'Council Entry'!V$9),'Council Entry'!V$8),'Council Entry'!V201)),IF('Council Entry'!V$4="Exponential",EXP(IF(AND(ISNUMBER('Council Entry'!V$8),ISNUMBER('Council Entry'!V$9)),MAX(MIN('Council Entry'!V201,'Council Entry'!V$9),'Council Entry'!V$8),'Council Entry'!V201)),IF(AND(ISNUMBER('Council Entry'!V$8),ISNUMBER('Council Entry'!V$9)),MAX(MIN('Council Entry'!V201,'Council Entry'!V$9),'Council Entry'!V$8),'Council Entry'!V201))))-'Council Entry'!V$5)/('Council Entry'!V$6-'Council Entry'!V$5),10*((IF('Council Entry'!V$4="Logarithm",LN(0.001+IF(AND(ISNUMBER('Council Entry'!V$8),ISNUMBER('Council Entry'!V$9)),MAX(MIN('Council Entry'!V201,'Council Entry'!V$9),'Council Entry'!V$8),'Council Entry'!V201)),IF('Council Entry'!V$4="Exponential",EXP(IF(AND(ISNUMBER('Council Entry'!V$8),ISNUMBER('Council Entry'!V$9)),MAX(MIN('Council Entry'!V201,'Council Entry'!V$9),'Council Entry'!V$8),'Council Entry'!V201)),IF(AND(ISNUMBER('Council Entry'!V$8),ISNUMBER('Council Entry'!V$9)),MAX(MIN('Council Entry'!V201,'Council Entry'!V$9),'Council Entry'!V$8),'Council Entry'!V201))))-'Council Entry'!V$5)/('Council Entry'!V$6-'Council Entry'!V$5)),1))),"No data"))</f>
        <v/>
      </c>
      <c r="W201" s="13">
        <f>IF('Council Entry'!W201="","",IFERROR(MAX(0,MIN(10,ROUND(IF('Council Entry'!W$7="Decrease Risk",10-10*((IF('Council Entry'!W$4="Logarithm",LN(0.001+IF(AND(ISNUMBER('Council Entry'!W$8),ISNUMBER('Council Entry'!W$9)),MAX(MIN('Council Entry'!W201,'Council Entry'!W$9),'Council Entry'!W$8),'Council Entry'!W201)),IF('Council Entry'!W$4="Exponential",EXP(IF(AND(ISNUMBER('Council Entry'!W$8),ISNUMBER('Council Entry'!W$9)),MAX(MIN('Council Entry'!W201,'Council Entry'!W$9),'Council Entry'!W$8),'Council Entry'!W201)),IF(AND(ISNUMBER('Council Entry'!W$8),ISNUMBER('Council Entry'!W$9)),MAX(MIN('Council Entry'!W201,'Council Entry'!W$9),'Council Entry'!W$8),'Council Entry'!W201))))-'Council Entry'!W$5)/('Council Entry'!W$6-'Council Entry'!W$5),10*((IF('Council Entry'!W$4="Logarithm",LN(0.001+IF(AND(ISNUMBER('Council Entry'!W$8),ISNUMBER('Council Entry'!W$9)),MAX(MIN('Council Entry'!W201,'Council Entry'!W$9),'Council Entry'!W$8),'Council Entry'!W201)),IF('Council Entry'!W$4="Exponential",EXP(IF(AND(ISNUMBER('Council Entry'!W$8),ISNUMBER('Council Entry'!W$9)),MAX(MIN('Council Entry'!W201,'Council Entry'!W$9),'Council Entry'!W$8),'Council Entry'!W201)),IF(AND(ISNUMBER('Council Entry'!W$8),ISNUMBER('Council Entry'!W$9)),MAX(MIN('Council Entry'!W201,'Council Entry'!W$9),'Council Entry'!W$8),'Council Entry'!W201))))-'Council Entry'!W$5)/('Council Entry'!W$6-'Council Entry'!W$5)),1))),"No data"))</f>
        <v/>
      </c>
      <c r="X201" s="13">
        <f>IF('Council Entry'!X201="","",IFERROR(MAX(0,MIN(10,ROUND(IF('Council Entry'!X$7="Decrease Risk",10-10*((IF('Council Entry'!X$4="Logarithm",LN(0.001+IF(AND(ISNUMBER('Council Entry'!X$8),ISNUMBER('Council Entry'!X$9)),MAX(MIN('Council Entry'!X201,'Council Entry'!X$9),'Council Entry'!X$8),'Council Entry'!X201)),IF('Council Entry'!X$4="Exponential",EXP(IF(AND(ISNUMBER('Council Entry'!X$8),ISNUMBER('Council Entry'!X$9)),MAX(MIN('Council Entry'!X201,'Council Entry'!X$9),'Council Entry'!X$8),'Council Entry'!X201)),IF(AND(ISNUMBER('Council Entry'!X$8),ISNUMBER('Council Entry'!X$9)),MAX(MIN('Council Entry'!X201,'Council Entry'!X$9),'Council Entry'!X$8),'Council Entry'!X201))))-'Council Entry'!X$5)/('Council Entry'!X$6-'Council Entry'!X$5),10*((IF('Council Entry'!X$4="Logarithm",LN(0.001+IF(AND(ISNUMBER('Council Entry'!X$8),ISNUMBER('Council Entry'!X$9)),MAX(MIN('Council Entry'!X201,'Council Entry'!X$9),'Council Entry'!X$8),'Council Entry'!X201)),IF('Council Entry'!X$4="Exponential",EXP(IF(AND(ISNUMBER('Council Entry'!X$8),ISNUMBER('Council Entry'!X$9)),MAX(MIN('Council Entry'!X201,'Council Entry'!X$9),'Council Entry'!X$8),'Council Entry'!X201)),IF(AND(ISNUMBER('Council Entry'!X$8),ISNUMBER('Council Entry'!X$9)),MAX(MIN('Council Entry'!X201,'Council Entry'!X$9),'Council Entry'!X$8),'Council Entry'!X201))))-'Council Entry'!X$5)/('Council Entry'!X$6-'Council Entry'!X$5)),1))),"No data"))</f>
        <v/>
      </c>
      <c r="Y201" s="13">
        <f>IF('Council Entry'!Y201="","",IFERROR(MAX(0,MIN(10,ROUND(IF('Council Entry'!Y$7="Decrease Risk",10-10*((IF('Council Entry'!Y$4="Logarithm",LN(0.001+IF(AND(ISNUMBER('Council Entry'!Y$8),ISNUMBER('Council Entry'!Y$9)),MAX(MIN('Council Entry'!Y201,'Council Entry'!Y$9),'Council Entry'!Y$8),'Council Entry'!Y201)),IF('Council Entry'!Y$4="Exponential",EXP(IF(AND(ISNUMBER('Council Entry'!Y$8),ISNUMBER('Council Entry'!Y$9)),MAX(MIN('Council Entry'!Y201,'Council Entry'!Y$9),'Council Entry'!Y$8),'Council Entry'!Y201)),IF(AND(ISNUMBER('Council Entry'!Y$8),ISNUMBER('Council Entry'!Y$9)),MAX(MIN('Council Entry'!Y201,'Council Entry'!Y$9),'Council Entry'!Y$8),'Council Entry'!Y201))))-'Council Entry'!Y$5)/('Council Entry'!Y$6-'Council Entry'!Y$5),10*((IF('Council Entry'!Y$4="Logarithm",LN(0.001+IF(AND(ISNUMBER('Council Entry'!Y$8),ISNUMBER('Council Entry'!Y$9)),MAX(MIN('Council Entry'!Y201,'Council Entry'!Y$9),'Council Entry'!Y$8),'Council Entry'!Y201)),IF('Council Entry'!Y$4="Exponential",EXP(IF(AND(ISNUMBER('Council Entry'!Y$8),ISNUMBER('Council Entry'!Y$9)),MAX(MIN('Council Entry'!Y201,'Council Entry'!Y$9),'Council Entry'!Y$8),'Council Entry'!Y201)),IF(AND(ISNUMBER('Council Entry'!Y$8),ISNUMBER('Council Entry'!Y$9)),MAX(MIN('Council Entry'!Y201,'Council Entry'!Y$9),'Council Entry'!Y$8),'Council Entry'!Y201))))-'Council Entry'!Y$5)/('Council Entry'!Y$6-'Council Entry'!Y$5)),1))),"No data"))</f>
        <v/>
      </c>
      <c r="Z201" s="13">
        <f>IF('Council Entry'!Z201="","",IFERROR(MAX(0,MIN(10,ROUND(IF('Council Entry'!Z$7="Decrease Risk",10-10*((IF('Council Entry'!Z$4="Logarithm",LN(0.001+IF(AND(ISNUMBER('Council Entry'!Z$8),ISNUMBER('Council Entry'!Z$9)),MAX(MIN('Council Entry'!Z201,'Council Entry'!Z$9),'Council Entry'!Z$8),'Council Entry'!Z201)),IF('Council Entry'!Z$4="Exponential",EXP(IF(AND(ISNUMBER('Council Entry'!Z$8),ISNUMBER('Council Entry'!Z$9)),MAX(MIN('Council Entry'!Z201,'Council Entry'!Z$9),'Council Entry'!Z$8),'Council Entry'!Z201)),IF(AND(ISNUMBER('Council Entry'!Z$8),ISNUMBER('Council Entry'!Z$9)),MAX(MIN('Council Entry'!Z201,'Council Entry'!Z$9),'Council Entry'!Z$8),'Council Entry'!Z201))))-'Council Entry'!Z$5)/('Council Entry'!Z$6-'Council Entry'!Z$5),10*((IF('Council Entry'!Z$4="Logarithm",LN(0.001+IF(AND(ISNUMBER('Council Entry'!Z$8),ISNUMBER('Council Entry'!Z$9)),MAX(MIN('Council Entry'!Z201,'Council Entry'!Z$9),'Council Entry'!Z$8),'Council Entry'!Z201)),IF('Council Entry'!Z$4="Exponential",EXP(IF(AND(ISNUMBER('Council Entry'!Z$8),ISNUMBER('Council Entry'!Z$9)),MAX(MIN('Council Entry'!Z201,'Council Entry'!Z$9),'Council Entry'!Z$8),'Council Entry'!Z201)),IF(AND(ISNUMBER('Council Entry'!Z$8),ISNUMBER('Council Entry'!Z$9)),MAX(MIN('Council Entry'!Z201,'Council Entry'!Z$9),'Council Entry'!Z$8),'Council Entry'!Z201))))-'Council Entry'!Z$5)/('Council Entry'!Z$6-'Council Entry'!Z$5)),1))),"No data"))</f>
        <v/>
      </c>
      <c r="AA201" s="13">
        <f>IF('Council Entry'!AA201="","",IFERROR(MAX(0,MIN(10,ROUND(IF('Council Entry'!AA$7="Decrease Risk",10-10*((IF('Council Entry'!AA$4="Logarithm",LN(0.001+IF(AND(ISNUMBER('Council Entry'!AA$8),ISNUMBER('Council Entry'!AA$9)),MAX(MIN('Council Entry'!AA201,'Council Entry'!AA$9),'Council Entry'!AA$8),'Council Entry'!AA201)),IF('Council Entry'!AA$4="Exponential",EXP(IF(AND(ISNUMBER('Council Entry'!AA$8),ISNUMBER('Council Entry'!AA$9)),MAX(MIN('Council Entry'!AA201,'Council Entry'!AA$9),'Council Entry'!AA$8),'Council Entry'!AA201)),IF(AND(ISNUMBER('Council Entry'!AA$8),ISNUMBER('Council Entry'!AA$9)),MAX(MIN('Council Entry'!AA201,'Council Entry'!AA$9),'Council Entry'!AA$8),'Council Entry'!AA201))))-'Council Entry'!AA$5)/('Council Entry'!AA$6-'Council Entry'!AA$5),10*((IF('Council Entry'!AA$4="Logarithm",LN(0.001+IF(AND(ISNUMBER('Council Entry'!AA$8),ISNUMBER('Council Entry'!AA$9)),MAX(MIN('Council Entry'!AA201,'Council Entry'!AA$9),'Council Entry'!AA$8),'Council Entry'!AA201)),IF('Council Entry'!AA$4="Exponential",EXP(IF(AND(ISNUMBER('Council Entry'!AA$8),ISNUMBER('Council Entry'!AA$9)),MAX(MIN('Council Entry'!AA201,'Council Entry'!AA$9),'Council Entry'!AA$8),'Council Entry'!AA201)),IF(AND(ISNUMBER('Council Entry'!AA$8),ISNUMBER('Council Entry'!AA$9)),MAX(MIN('Council Entry'!AA201,'Council Entry'!AA$9),'Council Entry'!AA$8),'Council Entry'!AA201))))-'Council Entry'!AA$5)/('Council Entry'!AA$6-'Council Entry'!AA$5)),1))),"No data"))</f>
        <v/>
      </c>
      <c r="AB201" s="13">
        <f>IF('Council Entry'!AB201="","",IFERROR(MAX(0,MIN(10,ROUND(IF('Council Entry'!AB$7="Decrease Risk",10-10*((IF('Council Entry'!AB$4="Logarithm",LN(0.001+IF(AND(ISNUMBER('Council Entry'!AB$8),ISNUMBER('Council Entry'!AB$9)),MAX(MIN('Council Entry'!AB201,'Council Entry'!AB$9),'Council Entry'!AB$8),'Council Entry'!AB201)),IF('Council Entry'!AB$4="Exponential",EXP(IF(AND(ISNUMBER('Council Entry'!AB$8),ISNUMBER('Council Entry'!AB$9)),MAX(MIN('Council Entry'!AB201,'Council Entry'!AB$9),'Council Entry'!AB$8),'Council Entry'!AB201)),IF(AND(ISNUMBER('Council Entry'!AB$8),ISNUMBER('Council Entry'!AB$9)),MAX(MIN('Council Entry'!AB201,'Council Entry'!AB$9),'Council Entry'!AB$8),'Council Entry'!AB201))))-'Council Entry'!AB$5)/('Council Entry'!AB$6-'Council Entry'!AB$5),10*((IF('Council Entry'!AB$4="Logarithm",LN(0.001+IF(AND(ISNUMBER('Council Entry'!AB$8),ISNUMBER('Council Entry'!AB$9)),MAX(MIN('Council Entry'!AB201,'Council Entry'!AB$9),'Council Entry'!AB$8),'Council Entry'!AB201)),IF('Council Entry'!AB$4="Exponential",EXP(IF(AND(ISNUMBER('Council Entry'!AB$8),ISNUMBER('Council Entry'!AB$9)),MAX(MIN('Council Entry'!AB201,'Council Entry'!AB$9),'Council Entry'!AB$8),'Council Entry'!AB201)),IF(AND(ISNUMBER('Council Entry'!AB$8),ISNUMBER('Council Entry'!AB$9)),MAX(MIN('Council Entry'!AB201,'Council Entry'!AB$9),'Council Entry'!AB$8),'Council Entry'!AB201))))-'Council Entry'!AB$5)/('Council Entry'!AB$6-'Council Entry'!AB$5)),1))),"No data"))</f>
        <v/>
      </c>
      <c r="AC201" s="13">
        <f>IF('Council Entry'!AC201="","",IFERROR(MAX(0,MIN(10,ROUND(IF('Council Entry'!AC$7="Decrease Risk",10-10*((IF('Council Entry'!AC$4="Logarithm",LN(0.001+IF(AND(ISNUMBER('Council Entry'!AC$8),ISNUMBER('Council Entry'!AC$9)),MAX(MIN('Council Entry'!AC201,'Council Entry'!AC$9),'Council Entry'!AC$8),'Council Entry'!AC201)),IF('Council Entry'!AC$4="Exponential",EXP(IF(AND(ISNUMBER('Council Entry'!AC$8),ISNUMBER('Council Entry'!AC$9)),MAX(MIN('Council Entry'!AC201,'Council Entry'!AC$9),'Council Entry'!AC$8),'Council Entry'!AC201)),IF(AND(ISNUMBER('Council Entry'!AC$8),ISNUMBER('Council Entry'!AC$9)),MAX(MIN('Council Entry'!AC201,'Council Entry'!AC$9),'Council Entry'!AC$8),'Council Entry'!AC201))))-'Council Entry'!AC$5)/('Council Entry'!AC$6-'Council Entry'!AC$5),10*((IF('Council Entry'!AC$4="Logarithm",LN(0.001+IF(AND(ISNUMBER('Council Entry'!AC$8),ISNUMBER('Council Entry'!AC$9)),MAX(MIN('Council Entry'!AC201,'Council Entry'!AC$9),'Council Entry'!AC$8),'Council Entry'!AC201)),IF('Council Entry'!AC$4="Exponential",EXP(IF(AND(ISNUMBER('Council Entry'!AC$8),ISNUMBER('Council Entry'!AC$9)),MAX(MIN('Council Entry'!AC201,'Council Entry'!AC$9),'Council Entry'!AC$8),'Council Entry'!AC201)),IF(AND(ISNUMBER('Council Entry'!AC$8),ISNUMBER('Council Entry'!AC$9)),MAX(MIN('Council Entry'!AC201,'Council Entry'!AC$9),'Council Entry'!AC$8),'Council Entry'!AC201))))-'Council Entry'!AC$5)/('Council Entry'!AC$6-'Council Entry'!AC$5)),1))),"No data"))</f>
        <v/>
      </c>
      <c r="AD201" s="13">
        <f>IF('Council Entry'!AD201="","",IFERROR(MAX(0,MIN(10,ROUND(IF('Council Entry'!AD$7="Decrease Risk",10-10*((IF('Council Entry'!AD$4="Logarithm",LN(0.001+IF(AND(ISNUMBER('Council Entry'!AD$8),ISNUMBER('Council Entry'!AD$9)),MAX(MIN('Council Entry'!AD201,'Council Entry'!AD$9),'Council Entry'!AD$8),'Council Entry'!AD201)),IF('Council Entry'!AD$4="Exponential",EXP(IF(AND(ISNUMBER('Council Entry'!AD$8),ISNUMBER('Council Entry'!AD$9)),MAX(MIN('Council Entry'!AD201,'Council Entry'!AD$9),'Council Entry'!AD$8),'Council Entry'!AD201)),IF(AND(ISNUMBER('Council Entry'!AD$8),ISNUMBER('Council Entry'!AD$9)),MAX(MIN('Council Entry'!AD201,'Council Entry'!AD$9),'Council Entry'!AD$8),'Council Entry'!AD201))))-'Council Entry'!AD$5)/('Council Entry'!AD$6-'Council Entry'!AD$5),10*((IF('Council Entry'!AD$4="Logarithm",LN(0.001+IF(AND(ISNUMBER('Council Entry'!AD$8),ISNUMBER('Council Entry'!AD$9)),MAX(MIN('Council Entry'!AD201,'Council Entry'!AD$9),'Council Entry'!AD$8),'Council Entry'!AD201)),IF('Council Entry'!AD$4="Exponential",EXP(IF(AND(ISNUMBER('Council Entry'!AD$8),ISNUMBER('Council Entry'!AD$9)),MAX(MIN('Council Entry'!AD201,'Council Entry'!AD$9),'Council Entry'!AD$8),'Council Entry'!AD201)),IF(AND(ISNUMBER('Council Entry'!AD$8),ISNUMBER('Council Entry'!AD$9)),MAX(MIN('Council Entry'!AD201,'Council Entry'!AD$9),'Council Entry'!AD$8),'Council Entry'!AD201))))-'Council Entry'!AD$5)/('Council Entry'!AD$6-'Council Entry'!AD$5)),1))),"No data"))</f>
        <v/>
      </c>
      <c r="AE201" s="13">
        <f>IF('Council Entry'!AE201="","",IFERROR(MAX(0,MIN(10,ROUND(IF('Council Entry'!AE$7="Decrease Risk",10-10*((IF('Council Entry'!AE$4="Logarithm",LN(0.001+IF(AND(ISNUMBER('Council Entry'!AE$8),ISNUMBER('Council Entry'!AE$9)),MAX(MIN('Council Entry'!AE201,'Council Entry'!AE$9),'Council Entry'!AE$8),'Council Entry'!AE201)),IF('Council Entry'!AE$4="Exponential",EXP(IF(AND(ISNUMBER('Council Entry'!AE$8),ISNUMBER('Council Entry'!AE$9)),MAX(MIN('Council Entry'!AE201,'Council Entry'!AE$9),'Council Entry'!AE$8),'Council Entry'!AE201)),IF(AND(ISNUMBER('Council Entry'!AE$8),ISNUMBER('Council Entry'!AE$9)),MAX(MIN('Council Entry'!AE201,'Council Entry'!AE$9),'Council Entry'!AE$8),'Council Entry'!AE201))))-'Council Entry'!AE$5)/('Council Entry'!AE$6-'Council Entry'!AE$5),10*((IF('Council Entry'!AE$4="Logarithm",LN(0.001+IF(AND(ISNUMBER('Council Entry'!AE$8),ISNUMBER('Council Entry'!AE$9)),MAX(MIN('Council Entry'!AE201,'Council Entry'!AE$9),'Council Entry'!AE$8),'Council Entry'!AE201)),IF('Council Entry'!AE$4="Exponential",EXP(IF(AND(ISNUMBER('Council Entry'!AE$8),ISNUMBER('Council Entry'!AE$9)),MAX(MIN('Council Entry'!AE201,'Council Entry'!AE$9),'Council Entry'!AE$8),'Council Entry'!AE201)),IF(AND(ISNUMBER('Council Entry'!AE$8),ISNUMBER('Council Entry'!AE$9)),MAX(MIN('Council Entry'!AE201,'Council Entry'!AE$9),'Council Entry'!AE$8),'Council Entry'!AE201))))-'Council Entry'!AE$5)/('Council Entry'!AE$6-'Council Entry'!AE$5)),1))),"No data"))</f>
        <v/>
      </c>
      <c r="AF201" s="13">
        <f>IF('Council Entry'!AF201="","",IFERROR(MAX(0,MIN(10,ROUND(IF('Council Entry'!AF$7="Decrease Risk",10-10*((IF('Council Entry'!AF$4="Logarithm",LN(0.001+IF(AND(ISNUMBER('Council Entry'!AF$8),ISNUMBER('Council Entry'!AF$9)),MAX(MIN('Council Entry'!AF201,'Council Entry'!AF$9),'Council Entry'!AF$8),'Council Entry'!AF201)),IF('Council Entry'!AF$4="Exponential",EXP(IF(AND(ISNUMBER('Council Entry'!AF$8),ISNUMBER('Council Entry'!AF$9)),MAX(MIN('Council Entry'!AF201,'Council Entry'!AF$9),'Council Entry'!AF$8),'Council Entry'!AF201)),IF(AND(ISNUMBER('Council Entry'!AF$8),ISNUMBER('Council Entry'!AF$9)),MAX(MIN('Council Entry'!AF201,'Council Entry'!AF$9),'Council Entry'!AF$8),'Council Entry'!AF201))))-'Council Entry'!AF$5)/('Council Entry'!AF$6-'Council Entry'!AF$5),10*((IF('Council Entry'!AF$4="Logarithm",LN(0.001+IF(AND(ISNUMBER('Council Entry'!AF$8),ISNUMBER('Council Entry'!AF$9)),MAX(MIN('Council Entry'!AF201,'Council Entry'!AF$9),'Council Entry'!AF$8),'Council Entry'!AF201)),IF('Council Entry'!AF$4="Exponential",EXP(IF(AND(ISNUMBER('Council Entry'!AF$8),ISNUMBER('Council Entry'!AF$9)),MAX(MIN('Council Entry'!AF201,'Council Entry'!AF$9),'Council Entry'!AF$8),'Council Entry'!AF201)),IF(AND(ISNUMBER('Council Entry'!AF$8),ISNUMBER('Council Entry'!AF$9)),MAX(MIN('Council Entry'!AF201,'Council Entry'!AF$9),'Council Entry'!AF$8),'Council Entry'!AF201))))-'Council Entry'!AF$5)/('Council Entry'!AF$6-'Council Entry'!AF$5)),1))),"No data"))</f>
        <v/>
      </c>
      <c r="AG201" s="13">
        <f>IF('Council Entry'!AG201="","",IFERROR(MAX(0,MIN(10,ROUND(IF('Council Entry'!AG$7="Decrease Risk",10-10*((IF('Council Entry'!AG$4="Logarithm",LN(0.001+IF(AND(ISNUMBER('Council Entry'!AG$8),ISNUMBER('Council Entry'!AG$9)),MAX(MIN('Council Entry'!AG201,'Council Entry'!AG$9),'Council Entry'!AG$8),'Council Entry'!AG201)),IF('Council Entry'!AG$4="Exponential",EXP(IF(AND(ISNUMBER('Council Entry'!AG$8),ISNUMBER('Council Entry'!AG$9)),MAX(MIN('Council Entry'!AG201,'Council Entry'!AG$9),'Council Entry'!AG$8),'Council Entry'!AG201)),IF(AND(ISNUMBER('Council Entry'!AG$8),ISNUMBER('Council Entry'!AG$9)),MAX(MIN('Council Entry'!AG201,'Council Entry'!AG$9),'Council Entry'!AG$8),'Council Entry'!AG201))))-'Council Entry'!AG$5)/('Council Entry'!AG$6-'Council Entry'!AG$5),10*((IF('Council Entry'!AG$4="Logarithm",LN(0.001+IF(AND(ISNUMBER('Council Entry'!AG$8),ISNUMBER('Council Entry'!AG$9)),MAX(MIN('Council Entry'!AG201,'Council Entry'!AG$9),'Council Entry'!AG$8),'Council Entry'!AG201)),IF('Council Entry'!AG$4="Exponential",EXP(IF(AND(ISNUMBER('Council Entry'!AG$8),ISNUMBER('Council Entry'!AG$9)),MAX(MIN('Council Entry'!AG201,'Council Entry'!AG$9),'Council Entry'!AG$8),'Council Entry'!AG201)),IF(AND(ISNUMBER('Council Entry'!AG$8),ISNUMBER('Council Entry'!AG$9)),MAX(MIN('Council Entry'!AG201,'Council Entry'!AG$9),'Council Entry'!AG$8),'Council Entry'!AG201))))-'Council Entry'!AG$5)/('Council Entry'!AG$6-'Council Entry'!AG$5)),1))),"No data"))</f>
        <v/>
      </c>
      <c r="AH201" s="13">
        <f>IF('Council Entry'!AH201="","",IFERROR(MAX(0,MIN(10,ROUND(IF('Council Entry'!AH$7="Decrease Risk",10-10*((IF('Council Entry'!AH$4="Logarithm",LN(0.001+IF(AND(ISNUMBER('Council Entry'!AH$8),ISNUMBER('Council Entry'!AH$9)),MAX(MIN('Council Entry'!AH201,'Council Entry'!AH$9),'Council Entry'!AH$8),'Council Entry'!AH201)),IF('Council Entry'!AH$4="Exponential",EXP(IF(AND(ISNUMBER('Council Entry'!AH$8),ISNUMBER('Council Entry'!AH$9)),MAX(MIN('Council Entry'!AH201,'Council Entry'!AH$9),'Council Entry'!AH$8),'Council Entry'!AH201)),IF(AND(ISNUMBER('Council Entry'!AH$8),ISNUMBER('Council Entry'!AH$9)),MAX(MIN('Council Entry'!AH201,'Council Entry'!AH$9),'Council Entry'!AH$8),'Council Entry'!AH201))))-'Council Entry'!AH$5)/('Council Entry'!AH$6-'Council Entry'!AH$5),10*((IF('Council Entry'!AH$4="Logarithm",LN(0.001+IF(AND(ISNUMBER('Council Entry'!AH$8),ISNUMBER('Council Entry'!AH$9)),MAX(MIN('Council Entry'!AH201,'Council Entry'!AH$9),'Council Entry'!AH$8),'Council Entry'!AH201)),IF('Council Entry'!AH$4="Exponential",EXP(IF(AND(ISNUMBER('Council Entry'!AH$8),ISNUMBER('Council Entry'!AH$9)),MAX(MIN('Council Entry'!AH201,'Council Entry'!AH$9),'Council Entry'!AH$8),'Council Entry'!AH201)),IF(AND(ISNUMBER('Council Entry'!AH$8),ISNUMBER('Council Entry'!AH$9)),MAX(MIN('Council Entry'!AH201,'Council Entry'!AH$9),'Council Entry'!AH$8),'Council Entry'!AH201))))-'Council Entry'!AH$5)/('Council Entry'!AH$6-'Council Entry'!AH$5)),1))),"No data"))</f>
        <v/>
      </c>
      <c r="AI201" s="13">
        <f>IF('Council Entry'!AI201="","",IFERROR(MAX(0,MIN(10,ROUND(IF('Council Entry'!AI$7="Decrease Risk",10-10*((IF('Council Entry'!AI$4="Logarithm",LN(0.001+IF(AND(ISNUMBER('Council Entry'!AI$8),ISNUMBER('Council Entry'!AI$9)),MAX(MIN('Council Entry'!AI201,'Council Entry'!AI$9),'Council Entry'!AI$8),'Council Entry'!AI201)),IF('Council Entry'!AI$4="Exponential",EXP(IF(AND(ISNUMBER('Council Entry'!AI$8),ISNUMBER('Council Entry'!AI$9)),MAX(MIN('Council Entry'!AI201,'Council Entry'!AI$9),'Council Entry'!AI$8),'Council Entry'!AI201)),IF(AND(ISNUMBER('Council Entry'!AI$8),ISNUMBER('Council Entry'!AI$9)),MAX(MIN('Council Entry'!AI201,'Council Entry'!AI$9),'Council Entry'!AI$8),'Council Entry'!AI201))))-'Council Entry'!AI$5)/('Council Entry'!AI$6-'Council Entry'!AI$5),10*((IF('Council Entry'!AI$4="Logarithm",LN(0.001+IF(AND(ISNUMBER('Council Entry'!AI$8),ISNUMBER('Council Entry'!AI$9)),MAX(MIN('Council Entry'!AI201,'Council Entry'!AI$9),'Council Entry'!AI$8),'Council Entry'!AI201)),IF('Council Entry'!AI$4="Exponential",EXP(IF(AND(ISNUMBER('Council Entry'!AI$8),ISNUMBER('Council Entry'!AI$9)),MAX(MIN('Council Entry'!AI201,'Council Entry'!AI$9),'Council Entry'!AI$8),'Council Entry'!AI201)),IF(AND(ISNUMBER('Council Entry'!AI$8),ISNUMBER('Council Entry'!AI$9)),MAX(MIN('Council Entry'!AI201,'Council Entry'!AI$9),'Council Entry'!AI$8),'Council Entry'!AI201))))-'Council Entry'!AI$5)/('Council Entry'!AI$6-'Council Entry'!AI$5)),1))),"No data"))</f>
        <v/>
      </c>
      <c r="AJ201" s="13">
        <f>IF('Council Entry'!AJ201="","",IFERROR(MAX(0,MIN(10,ROUND(IF('Council Entry'!AJ$7="Decrease Risk",10-10*((IF('Council Entry'!AJ$4="Logarithm",LN(0.001+IF(AND(ISNUMBER('Council Entry'!AJ$8),ISNUMBER('Council Entry'!AJ$9)),MAX(MIN('Council Entry'!AJ201,'Council Entry'!AJ$9),'Council Entry'!AJ$8),'Council Entry'!AJ201)),IF('Council Entry'!AJ$4="Exponential",EXP(IF(AND(ISNUMBER('Council Entry'!AJ$8),ISNUMBER('Council Entry'!AJ$9)),MAX(MIN('Council Entry'!AJ201,'Council Entry'!AJ$9),'Council Entry'!AJ$8),'Council Entry'!AJ201)),IF(AND(ISNUMBER('Council Entry'!AJ$8),ISNUMBER('Council Entry'!AJ$9)),MAX(MIN('Council Entry'!AJ201,'Council Entry'!AJ$9),'Council Entry'!AJ$8),'Council Entry'!AJ201))))-'Council Entry'!AJ$5)/('Council Entry'!AJ$6-'Council Entry'!AJ$5),10*((IF('Council Entry'!AJ$4="Logarithm",LN(0.001+IF(AND(ISNUMBER('Council Entry'!AJ$8),ISNUMBER('Council Entry'!AJ$9)),MAX(MIN('Council Entry'!AJ201,'Council Entry'!AJ$9),'Council Entry'!AJ$8),'Council Entry'!AJ201)),IF('Council Entry'!AJ$4="Exponential",EXP(IF(AND(ISNUMBER('Council Entry'!AJ$8),ISNUMBER('Council Entry'!AJ$9)),MAX(MIN('Council Entry'!AJ201,'Council Entry'!AJ$9),'Council Entry'!AJ$8),'Council Entry'!AJ201)),IF(AND(ISNUMBER('Council Entry'!AJ$8),ISNUMBER('Council Entry'!AJ$9)),MAX(MIN('Council Entry'!AJ201,'Council Entry'!AJ$9),'Council Entry'!AJ$8),'Council Entry'!AJ201))))-'Council Entry'!AJ$5)/('Council Entry'!AJ$6-'Council Entry'!AJ$5)),1))),"No data"))</f>
        <v/>
      </c>
      <c r="AK201" s="13">
        <f>IF('Council Entry'!AK201="","",IFERROR(MAX(0,MIN(10,ROUND(IF('Council Entry'!AK$7="Decrease Risk",10-10*((IF('Council Entry'!AK$4="Logarithm",LN(0.001+IF(AND(ISNUMBER('Council Entry'!AK$8),ISNUMBER('Council Entry'!AK$9)),MAX(MIN('Council Entry'!AK201,'Council Entry'!AK$9),'Council Entry'!AK$8),'Council Entry'!AK201)),IF('Council Entry'!AK$4="Exponential",EXP(IF(AND(ISNUMBER('Council Entry'!AK$8),ISNUMBER('Council Entry'!AK$9)),MAX(MIN('Council Entry'!AK201,'Council Entry'!AK$9),'Council Entry'!AK$8),'Council Entry'!AK201)),IF(AND(ISNUMBER('Council Entry'!AK$8),ISNUMBER('Council Entry'!AK$9)),MAX(MIN('Council Entry'!AK201,'Council Entry'!AK$9),'Council Entry'!AK$8),'Council Entry'!AK201))))-'Council Entry'!AK$5)/('Council Entry'!AK$6-'Council Entry'!AK$5),10*((IF('Council Entry'!AK$4="Logarithm",LN(0.001+IF(AND(ISNUMBER('Council Entry'!AK$8),ISNUMBER('Council Entry'!AK$9)),MAX(MIN('Council Entry'!AK201,'Council Entry'!AK$9),'Council Entry'!AK$8),'Council Entry'!AK201)),IF('Council Entry'!AK$4="Exponential",EXP(IF(AND(ISNUMBER('Council Entry'!AK$8),ISNUMBER('Council Entry'!AK$9)),MAX(MIN('Council Entry'!AK201,'Council Entry'!AK$9),'Council Entry'!AK$8),'Council Entry'!AK201)),IF(AND(ISNUMBER('Council Entry'!AK$8),ISNUMBER('Council Entry'!AK$9)),MAX(MIN('Council Entry'!AK201,'Council Entry'!AK$9),'Council Entry'!AK$8),'Council Entry'!AK201))))-'Council Entry'!AK$5)/('Council Entry'!AK$6-'Council Entry'!AK$5)),1))),"No data"))</f>
        <v/>
      </c>
      <c r="AL201" s="13">
        <f>IF('Council Entry'!AL201="","",IFERROR(MAX(0,MIN(10,ROUND(IF('Council Entry'!AL$7="Decrease Risk",10-10*((IF('Council Entry'!AL$4="Logarithm",LN(0.001+IF(AND(ISNUMBER('Council Entry'!AL$8),ISNUMBER('Council Entry'!AL$9)),MAX(MIN('Council Entry'!AL201,'Council Entry'!AL$9),'Council Entry'!AL$8),'Council Entry'!AL201)),IF('Council Entry'!AL$4="Exponential",EXP(IF(AND(ISNUMBER('Council Entry'!AL$8),ISNUMBER('Council Entry'!AL$9)),MAX(MIN('Council Entry'!AL201,'Council Entry'!AL$9),'Council Entry'!AL$8),'Council Entry'!AL201)),IF(AND(ISNUMBER('Council Entry'!AL$8),ISNUMBER('Council Entry'!AL$9)),MAX(MIN('Council Entry'!AL201,'Council Entry'!AL$9),'Council Entry'!AL$8),'Council Entry'!AL201))))-'Council Entry'!AL$5)/('Council Entry'!AL$6-'Council Entry'!AL$5),10*((IF('Council Entry'!AL$4="Logarithm",LN(0.001+IF(AND(ISNUMBER('Council Entry'!AL$8),ISNUMBER('Council Entry'!AL$9)),MAX(MIN('Council Entry'!AL201,'Council Entry'!AL$9),'Council Entry'!AL$8),'Council Entry'!AL201)),IF('Council Entry'!AL$4="Exponential",EXP(IF(AND(ISNUMBER('Council Entry'!AL$8),ISNUMBER('Council Entry'!AL$9)),MAX(MIN('Council Entry'!AL201,'Council Entry'!AL$9),'Council Entry'!AL$8),'Council Entry'!AL201)),IF(AND(ISNUMBER('Council Entry'!AL$8),ISNUMBER('Council Entry'!AL$9)),MAX(MIN('Council Entry'!AL201,'Council Entry'!AL$9),'Council Entry'!AL$8),'Council Entry'!AL201))))-'Council Entry'!AL$5)/('Council Entry'!AL$6-'Council Entry'!AL$5)),1))),"No data"))</f>
        <v/>
      </c>
      <c r="AM201" s="13">
        <f>IF('Council Entry'!AM201="","",IFERROR(MAX(0,MIN(10,ROUND(IF('Council Entry'!AM$7="Decrease Risk",10-10*((IF('Council Entry'!AM$4="Logarithm",LN(0.001+IF(AND(ISNUMBER('Council Entry'!AM$8),ISNUMBER('Council Entry'!AM$9)),MAX(MIN('Council Entry'!AM201,'Council Entry'!AM$9),'Council Entry'!AM$8),'Council Entry'!AM201)),IF('Council Entry'!AM$4="Exponential",EXP(IF(AND(ISNUMBER('Council Entry'!AM$8),ISNUMBER('Council Entry'!AM$9)),MAX(MIN('Council Entry'!AM201,'Council Entry'!AM$9),'Council Entry'!AM$8),'Council Entry'!AM201)),IF(AND(ISNUMBER('Council Entry'!AM$8),ISNUMBER('Council Entry'!AM$9)),MAX(MIN('Council Entry'!AM201,'Council Entry'!AM$9),'Council Entry'!AM$8),'Council Entry'!AM201))))-'Council Entry'!AM$5)/('Council Entry'!AM$6-'Council Entry'!AM$5),10*((IF('Council Entry'!AM$4="Logarithm",LN(0.001+IF(AND(ISNUMBER('Council Entry'!AM$8),ISNUMBER('Council Entry'!AM$9)),MAX(MIN('Council Entry'!AM201,'Council Entry'!AM$9),'Council Entry'!AM$8),'Council Entry'!AM201)),IF('Council Entry'!AM$4="Exponential",EXP(IF(AND(ISNUMBER('Council Entry'!AM$8),ISNUMBER('Council Entry'!AM$9)),MAX(MIN('Council Entry'!AM201,'Council Entry'!AM$9),'Council Entry'!AM$8),'Council Entry'!AM201)),IF(AND(ISNUMBER('Council Entry'!AM$8),ISNUMBER('Council Entry'!AM$9)),MAX(MIN('Council Entry'!AM201,'Council Entry'!AM$9),'Council Entry'!AM$8),'Council Entry'!AM201))))-'Council Entry'!AM$5)/('Council Entry'!AM$6-'Council Entry'!AM$5)),1))),"No data"))</f>
        <v/>
      </c>
      <c r="AN201" s="13">
        <f>IF('Council Entry'!AN201="","",IFERROR(MAX(0,MIN(10,ROUND(IF('Council Entry'!AN$7="Decrease Risk",10-10*((IF('Council Entry'!AN$4="Logarithm",LN(0.001+IF(AND(ISNUMBER('Council Entry'!AN$8),ISNUMBER('Council Entry'!AN$9)),MAX(MIN('Council Entry'!AN201,'Council Entry'!AN$9),'Council Entry'!AN$8),'Council Entry'!AN201)),IF('Council Entry'!AN$4="Exponential",EXP(IF(AND(ISNUMBER('Council Entry'!AN$8),ISNUMBER('Council Entry'!AN$9)),MAX(MIN('Council Entry'!AN201,'Council Entry'!AN$9),'Council Entry'!AN$8),'Council Entry'!AN201)),IF(AND(ISNUMBER('Council Entry'!AN$8),ISNUMBER('Council Entry'!AN$9)),MAX(MIN('Council Entry'!AN201,'Council Entry'!AN$9),'Council Entry'!AN$8),'Council Entry'!AN201))))-'Council Entry'!AN$5)/('Council Entry'!AN$6-'Council Entry'!AN$5),10*((IF('Council Entry'!AN$4="Logarithm",LN(0.001+IF(AND(ISNUMBER('Council Entry'!AN$8),ISNUMBER('Council Entry'!AN$9)),MAX(MIN('Council Entry'!AN201,'Council Entry'!AN$9),'Council Entry'!AN$8),'Council Entry'!AN201)),IF('Council Entry'!AN$4="Exponential",EXP(IF(AND(ISNUMBER('Council Entry'!AN$8),ISNUMBER('Council Entry'!AN$9)),MAX(MIN('Council Entry'!AN201,'Council Entry'!AN$9),'Council Entry'!AN$8),'Council Entry'!AN201)),IF(AND(ISNUMBER('Council Entry'!AN$8),ISNUMBER('Council Entry'!AN$9)),MAX(MIN('Council Entry'!AN201,'Council Entry'!AN$9),'Council Entry'!AN$8),'Council Entry'!AN201))))-'Council Entry'!AN$5)/('Council Entry'!AN$6-'Council Entry'!AN$5)),1))),"No data"))</f>
        <v/>
      </c>
      <c r="AO201" s="13">
        <f>IF('Council Entry'!AO201="","",IFERROR(MAX(0,MIN(10,ROUND(IF('Council Entry'!AO$7="Decrease Risk",10-10*((IF('Council Entry'!AO$4="Logarithm",LN(0.001+IF(AND(ISNUMBER('Council Entry'!AO$8),ISNUMBER('Council Entry'!AO$9)),MAX(MIN('Council Entry'!AO201,'Council Entry'!AO$9),'Council Entry'!AO$8),'Council Entry'!AO201)),IF('Council Entry'!AO$4="Exponential",EXP(IF(AND(ISNUMBER('Council Entry'!AO$8),ISNUMBER('Council Entry'!AO$9)),MAX(MIN('Council Entry'!AO201,'Council Entry'!AO$9),'Council Entry'!AO$8),'Council Entry'!AO201)),IF(AND(ISNUMBER('Council Entry'!AO$8),ISNUMBER('Council Entry'!AO$9)),MAX(MIN('Council Entry'!AO201,'Council Entry'!AO$9),'Council Entry'!AO$8),'Council Entry'!AO201))))-'Council Entry'!AO$5)/('Council Entry'!AO$6-'Council Entry'!AO$5),10*((IF('Council Entry'!AO$4="Logarithm",LN(0.001+IF(AND(ISNUMBER('Council Entry'!AO$8),ISNUMBER('Council Entry'!AO$9)),MAX(MIN('Council Entry'!AO201,'Council Entry'!AO$9),'Council Entry'!AO$8),'Council Entry'!AO201)),IF('Council Entry'!AO$4="Exponential",EXP(IF(AND(ISNUMBER('Council Entry'!AO$8),ISNUMBER('Council Entry'!AO$9)),MAX(MIN('Council Entry'!AO201,'Council Entry'!AO$9),'Council Entry'!AO$8),'Council Entry'!AO201)),IF(AND(ISNUMBER('Council Entry'!AO$8),ISNUMBER('Council Entry'!AO$9)),MAX(MIN('Council Entry'!AO201,'Council Entry'!AO$9),'Council Entry'!AO$8),'Council Entry'!AO201))))-'Council Entry'!AO$5)/('Council Entry'!AO$6-'Council Entry'!AO$5)),1))),"No data"))</f>
        <v/>
      </c>
      <c r="AP201" s="13">
        <f>IF('Council Entry'!AP201="","",IFERROR(MAX(0,MIN(10,ROUND(IF('Council Entry'!AP$7="Decrease Risk",10-10*((IF('Council Entry'!AP$4="Logarithm",LN(0.001+IF(AND(ISNUMBER('Council Entry'!AP$8),ISNUMBER('Council Entry'!AP$9)),MAX(MIN('Council Entry'!AP201,'Council Entry'!AP$9),'Council Entry'!AP$8),'Council Entry'!AP201)),IF('Council Entry'!AP$4="Exponential",EXP(IF(AND(ISNUMBER('Council Entry'!AP$8),ISNUMBER('Council Entry'!AP$9)),MAX(MIN('Council Entry'!AP201,'Council Entry'!AP$9),'Council Entry'!AP$8),'Council Entry'!AP201)),IF(AND(ISNUMBER('Council Entry'!AP$8),ISNUMBER('Council Entry'!AP$9)),MAX(MIN('Council Entry'!AP201,'Council Entry'!AP$9),'Council Entry'!AP$8),'Council Entry'!AP201))))-'Council Entry'!AP$5)/('Council Entry'!AP$6-'Council Entry'!AP$5),10*((IF('Council Entry'!AP$4="Logarithm",LN(0.001+IF(AND(ISNUMBER('Council Entry'!AP$8),ISNUMBER('Council Entry'!AP$9)),MAX(MIN('Council Entry'!AP201,'Council Entry'!AP$9),'Council Entry'!AP$8),'Council Entry'!AP201)),IF('Council Entry'!AP$4="Exponential",EXP(IF(AND(ISNUMBER('Council Entry'!AP$8),ISNUMBER('Council Entry'!AP$9)),MAX(MIN('Council Entry'!AP201,'Council Entry'!AP$9),'Council Entry'!AP$8),'Council Entry'!AP201)),IF(AND(ISNUMBER('Council Entry'!AP$8),ISNUMBER('Council Entry'!AP$9)),MAX(MIN('Council Entry'!AP201,'Council Entry'!AP$9),'Council Entry'!AP$8),'Council Entry'!AP201))))-'Council Entry'!AP$5)/('Council Entry'!AP$6-'Council Entry'!AP$5)),1))),"No data"))</f>
        <v/>
      </c>
      <c r="AQ201" s="13">
        <f>IF('Council Entry'!AQ201="","",IFERROR(MAX(0,MIN(10,ROUND(IF('Council Entry'!AQ$7="Decrease Risk",10-10*((IF('Council Entry'!AQ$4="Logarithm",LN(0.001+IF(AND(ISNUMBER('Council Entry'!AQ$8),ISNUMBER('Council Entry'!AQ$9)),MAX(MIN('Council Entry'!AQ201,'Council Entry'!AQ$9),'Council Entry'!AQ$8),'Council Entry'!AQ201)),IF('Council Entry'!AQ$4="Exponential",EXP(IF(AND(ISNUMBER('Council Entry'!AQ$8),ISNUMBER('Council Entry'!AQ$9)),MAX(MIN('Council Entry'!AQ201,'Council Entry'!AQ$9),'Council Entry'!AQ$8),'Council Entry'!AQ201)),IF(AND(ISNUMBER('Council Entry'!AQ$8),ISNUMBER('Council Entry'!AQ$9)),MAX(MIN('Council Entry'!AQ201,'Council Entry'!AQ$9),'Council Entry'!AQ$8),'Council Entry'!AQ201))))-'Council Entry'!AQ$5)/('Council Entry'!AQ$6-'Council Entry'!AQ$5),10*((IF('Council Entry'!AQ$4="Logarithm",LN(0.001+IF(AND(ISNUMBER('Council Entry'!AQ$8),ISNUMBER('Council Entry'!AQ$9)),MAX(MIN('Council Entry'!AQ201,'Council Entry'!AQ$9),'Council Entry'!AQ$8),'Council Entry'!AQ201)),IF('Council Entry'!AQ$4="Exponential",EXP(IF(AND(ISNUMBER('Council Entry'!AQ$8),ISNUMBER('Council Entry'!AQ$9)),MAX(MIN('Council Entry'!AQ201,'Council Entry'!AQ$9),'Council Entry'!AQ$8),'Council Entry'!AQ201)),IF(AND(ISNUMBER('Council Entry'!AQ$8),ISNUMBER('Council Entry'!AQ$9)),MAX(MIN('Council Entry'!AQ201,'Council Entry'!AQ$9),'Council Entry'!AQ$8),'Council Entry'!AQ201))))-'Council Entry'!AQ$5)/('Council Entry'!AQ$6-'Council Entry'!AQ$5)),1))),"No data"))</f>
        <v/>
      </c>
      <c r="AR201" s="13">
        <f>IF('Council Entry'!AR201="","",IFERROR(MAX(0,MIN(10,ROUND(IF('Council Entry'!AR$7="Decrease Risk",10-10*((IF('Council Entry'!AR$4="Logarithm",LN(0.001+IF(AND(ISNUMBER('Council Entry'!AR$8),ISNUMBER('Council Entry'!AR$9)),MAX(MIN('Council Entry'!AR201,'Council Entry'!AR$9),'Council Entry'!AR$8),'Council Entry'!AR201)),IF('Council Entry'!AR$4="Exponential",EXP(IF(AND(ISNUMBER('Council Entry'!AR$8),ISNUMBER('Council Entry'!AR$9)),MAX(MIN('Council Entry'!AR201,'Council Entry'!AR$9),'Council Entry'!AR$8),'Council Entry'!AR201)),IF(AND(ISNUMBER('Council Entry'!AR$8),ISNUMBER('Council Entry'!AR$9)),MAX(MIN('Council Entry'!AR201,'Council Entry'!AR$9),'Council Entry'!AR$8),'Council Entry'!AR201))))-'Council Entry'!AR$5)/('Council Entry'!AR$6-'Council Entry'!AR$5),10*((IF('Council Entry'!AR$4="Logarithm",LN(0.001+IF(AND(ISNUMBER('Council Entry'!AR$8),ISNUMBER('Council Entry'!AR$9)),MAX(MIN('Council Entry'!AR201,'Council Entry'!AR$9),'Council Entry'!AR$8),'Council Entry'!AR201)),IF('Council Entry'!AR$4="Exponential",EXP(IF(AND(ISNUMBER('Council Entry'!AR$8),ISNUMBER('Council Entry'!AR$9)),MAX(MIN('Council Entry'!AR201,'Council Entry'!AR$9),'Council Entry'!AR$8),'Council Entry'!AR201)),IF(AND(ISNUMBER('Council Entry'!AR$8),ISNUMBER('Council Entry'!AR$9)),MAX(MIN('Council Entry'!AR201,'Council Entry'!AR$9),'Council Entry'!AR$8),'Council Entry'!AR201))))-'Council Entry'!AR$5)/('Council Entry'!AR$6-'Council Entry'!AR$5)),1))),"No data"))</f>
        <v/>
      </c>
      <c r="AS201" s="13">
        <f>IF('Council Entry'!AS201="","",IFERROR(MAX(0,MIN(10,ROUND(IF('Council Entry'!AS$7="Decrease Risk",10-10*((IF('Council Entry'!AS$4="Logarithm",LN(0.001+IF(AND(ISNUMBER('Council Entry'!AS$8),ISNUMBER('Council Entry'!AS$9)),MAX(MIN('Council Entry'!AS201,'Council Entry'!AS$9),'Council Entry'!AS$8),'Council Entry'!AS201)),IF('Council Entry'!AS$4="Exponential",EXP(IF(AND(ISNUMBER('Council Entry'!AS$8),ISNUMBER('Council Entry'!AS$9)),MAX(MIN('Council Entry'!AS201,'Council Entry'!AS$9),'Council Entry'!AS$8),'Council Entry'!AS201)),IF(AND(ISNUMBER('Council Entry'!AS$8),ISNUMBER('Council Entry'!AS$9)),MAX(MIN('Council Entry'!AS201,'Council Entry'!AS$9),'Council Entry'!AS$8),'Council Entry'!AS201))))-'Council Entry'!AS$5)/('Council Entry'!AS$6-'Council Entry'!AS$5),10*((IF('Council Entry'!AS$4="Logarithm",LN(0.001+IF(AND(ISNUMBER('Council Entry'!AS$8),ISNUMBER('Council Entry'!AS$9)),MAX(MIN('Council Entry'!AS201,'Council Entry'!AS$9),'Council Entry'!AS$8),'Council Entry'!AS201)),IF('Council Entry'!AS$4="Exponential",EXP(IF(AND(ISNUMBER('Council Entry'!AS$8),ISNUMBER('Council Entry'!AS$9)),MAX(MIN('Council Entry'!AS201,'Council Entry'!AS$9),'Council Entry'!AS$8),'Council Entry'!AS201)),IF(AND(ISNUMBER('Council Entry'!AS$8),ISNUMBER('Council Entry'!AS$9)),MAX(MIN('Council Entry'!AS201,'Council Entry'!AS$9),'Council Entry'!AS$8),'Council Entry'!AS201))))-'Council Entry'!AS$5)/('Council Entry'!AS$6-'Council Entry'!AS$5)),1))),"No data"))</f>
        <v/>
      </c>
      <c r="AT201" s="13">
        <f>IF('Council Entry'!AT201="","",IFERROR(MAX(0,MIN(10,ROUND(IF('Council Entry'!AT$7="Decrease Risk",10-10*((IF('Council Entry'!AT$4="Logarithm",LN(0.001+IF(AND(ISNUMBER('Council Entry'!AT$8),ISNUMBER('Council Entry'!AT$9)),MAX(MIN('Council Entry'!AT201,'Council Entry'!AT$9),'Council Entry'!AT$8),'Council Entry'!AT201)),IF('Council Entry'!AT$4="Exponential",EXP(IF(AND(ISNUMBER('Council Entry'!AT$8),ISNUMBER('Council Entry'!AT$9)),MAX(MIN('Council Entry'!AT201,'Council Entry'!AT$9),'Council Entry'!AT$8),'Council Entry'!AT201)),IF(AND(ISNUMBER('Council Entry'!AT$8),ISNUMBER('Council Entry'!AT$9)),MAX(MIN('Council Entry'!AT201,'Council Entry'!AT$9),'Council Entry'!AT$8),'Council Entry'!AT201))))-'Council Entry'!AT$5)/('Council Entry'!AT$6-'Council Entry'!AT$5),10*((IF('Council Entry'!AT$4="Logarithm",LN(0.001+IF(AND(ISNUMBER('Council Entry'!AT$8),ISNUMBER('Council Entry'!AT$9)),MAX(MIN('Council Entry'!AT201,'Council Entry'!AT$9),'Council Entry'!AT$8),'Council Entry'!AT201)),IF('Council Entry'!AT$4="Exponential",EXP(IF(AND(ISNUMBER('Council Entry'!AT$8),ISNUMBER('Council Entry'!AT$9)),MAX(MIN('Council Entry'!AT201,'Council Entry'!AT$9),'Council Entry'!AT$8),'Council Entry'!AT201)),IF(AND(ISNUMBER('Council Entry'!AT$8),ISNUMBER('Council Entry'!AT$9)),MAX(MIN('Council Entry'!AT201,'Council Entry'!AT$9),'Council Entry'!AT$8),'Council Entry'!AT201))))-'Council Entry'!AT$5)/('Council Entry'!AT$6-'Council Entry'!AT$5)),1))),"No data"))</f>
        <v/>
      </c>
      <c r="AU201" s="13">
        <f>IF('Council Entry'!AU201="","",IFERROR(MAX(0,MIN(10,ROUND(IF('Council Entry'!AU$7="Decrease Risk",10-10*((IF('Council Entry'!AU$4="Logarithm",LN(0.001+IF(AND(ISNUMBER('Council Entry'!AU$8),ISNUMBER('Council Entry'!AU$9)),MAX(MIN('Council Entry'!AU201,'Council Entry'!AU$9),'Council Entry'!AU$8),'Council Entry'!AU201)),IF('Council Entry'!AU$4="Exponential",EXP(IF(AND(ISNUMBER('Council Entry'!AU$8),ISNUMBER('Council Entry'!AU$9)),MAX(MIN('Council Entry'!AU201,'Council Entry'!AU$9),'Council Entry'!AU$8),'Council Entry'!AU201)),IF(AND(ISNUMBER('Council Entry'!AU$8),ISNUMBER('Council Entry'!AU$9)),MAX(MIN('Council Entry'!AU201,'Council Entry'!AU$9),'Council Entry'!AU$8),'Council Entry'!AU201))))-'Council Entry'!AU$5)/('Council Entry'!AU$6-'Council Entry'!AU$5),10*((IF('Council Entry'!AU$4="Logarithm",LN(0.001+IF(AND(ISNUMBER('Council Entry'!AU$8),ISNUMBER('Council Entry'!AU$9)),MAX(MIN('Council Entry'!AU201,'Council Entry'!AU$9),'Council Entry'!AU$8),'Council Entry'!AU201)),IF('Council Entry'!AU$4="Exponential",EXP(IF(AND(ISNUMBER('Council Entry'!AU$8),ISNUMBER('Council Entry'!AU$9)),MAX(MIN('Council Entry'!AU201,'Council Entry'!AU$9),'Council Entry'!AU$8),'Council Entry'!AU201)),IF(AND(ISNUMBER('Council Entry'!AU$8),ISNUMBER('Council Entry'!AU$9)),MAX(MIN('Council Entry'!AU201,'Council Entry'!AU$9),'Council Entry'!AU$8),'Council Entry'!AU201))))-'Council Entry'!AU$5)/('Council Entry'!AU$6-'Council Entry'!AU$5)),1))),"No data"))</f>
        <v/>
      </c>
      <c r="AV201" s="13">
        <f>IF('Council Entry'!AV201="","",IFERROR(MAX(0,MIN(10,ROUND(IF('Council Entry'!AV$7="Decrease Risk",10-10*((IF('Council Entry'!AV$4="Logarithm",LN(0.001+IF(AND(ISNUMBER('Council Entry'!AV$8),ISNUMBER('Council Entry'!AV$9)),MAX(MIN('Council Entry'!AV201,'Council Entry'!AV$9),'Council Entry'!AV$8),'Council Entry'!AV201)),IF('Council Entry'!AV$4="Exponential",EXP(IF(AND(ISNUMBER('Council Entry'!AV$8),ISNUMBER('Council Entry'!AV$9)),MAX(MIN('Council Entry'!AV201,'Council Entry'!AV$9),'Council Entry'!AV$8),'Council Entry'!AV201)),IF(AND(ISNUMBER('Council Entry'!AV$8),ISNUMBER('Council Entry'!AV$9)),MAX(MIN('Council Entry'!AV201,'Council Entry'!AV$9),'Council Entry'!AV$8),'Council Entry'!AV201))))-'Council Entry'!AV$5)/('Council Entry'!AV$6-'Council Entry'!AV$5),10*((IF('Council Entry'!AV$4="Logarithm",LN(0.001+IF(AND(ISNUMBER('Council Entry'!AV$8),ISNUMBER('Council Entry'!AV$9)),MAX(MIN('Council Entry'!AV201,'Council Entry'!AV$9),'Council Entry'!AV$8),'Council Entry'!AV201)),IF('Council Entry'!AV$4="Exponential",EXP(IF(AND(ISNUMBER('Council Entry'!AV$8),ISNUMBER('Council Entry'!AV$9)),MAX(MIN('Council Entry'!AV201,'Council Entry'!AV$9),'Council Entry'!AV$8),'Council Entry'!AV201)),IF(AND(ISNUMBER('Council Entry'!AV$8),ISNUMBER('Council Entry'!AV$9)),MAX(MIN('Council Entry'!AV201,'Council Entry'!AV$9),'Council Entry'!AV$8),'Council Entry'!AV201))))-'Council Entry'!AV$5)/('Council Entry'!AV$6-'Council Entry'!AV$5)),1))),"No data"))</f>
        <v/>
      </c>
      <c r="AW201" s="13">
        <f>IF('Council Entry'!AW201="","",IFERROR(MAX(0,MIN(10,ROUND(IF('Council Entry'!AW$7="Decrease Risk",10-10*((IF('Council Entry'!AW$4="Logarithm",LN(0.001+IF(AND(ISNUMBER('Council Entry'!AW$8),ISNUMBER('Council Entry'!AW$9)),MAX(MIN('Council Entry'!AW201,'Council Entry'!AW$9),'Council Entry'!AW$8),'Council Entry'!AW201)),IF('Council Entry'!AW$4="Exponential",EXP(IF(AND(ISNUMBER('Council Entry'!AW$8),ISNUMBER('Council Entry'!AW$9)),MAX(MIN('Council Entry'!AW201,'Council Entry'!AW$9),'Council Entry'!AW$8),'Council Entry'!AW201)),IF(AND(ISNUMBER('Council Entry'!AW$8),ISNUMBER('Council Entry'!AW$9)),MAX(MIN('Council Entry'!AW201,'Council Entry'!AW$9),'Council Entry'!AW$8),'Council Entry'!AW201))))-'Council Entry'!AW$5)/('Council Entry'!AW$6-'Council Entry'!AW$5),10*((IF('Council Entry'!AW$4="Logarithm",LN(0.001+IF(AND(ISNUMBER('Council Entry'!AW$8),ISNUMBER('Council Entry'!AW$9)),MAX(MIN('Council Entry'!AW201,'Council Entry'!AW$9),'Council Entry'!AW$8),'Council Entry'!AW201)),IF('Council Entry'!AW$4="Exponential",EXP(IF(AND(ISNUMBER('Council Entry'!AW$8),ISNUMBER('Council Entry'!AW$9)),MAX(MIN('Council Entry'!AW201,'Council Entry'!AW$9),'Council Entry'!AW$8),'Council Entry'!AW201)),IF(AND(ISNUMBER('Council Entry'!AW$8),ISNUMBER('Council Entry'!AW$9)),MAX(MIN('Council Entry'!AW201,'Council Entry'!AW$9),'Council Entry'!AW$8),'Council Entry'!AW201))))-'Council Entry'!AW$5)/('Council Entry'!AW$6-'Council Entry'!AW$5)),1))),"No data"))</f>
        <v/>
      </c>
      <c r="AX201" s="13">
        <f>IF('Council Entry'!AX201="","",IFERROR(MAX(0,MIN(10,ROUND(IF('Council Entry'!AX$7="Decrease Risk",10-10*((IF('Council Entry'!AX$4="Logarithm",LN(0.001+IF(AND(ISNUMBER('Council Entry'!AX$8),ISNUMBER('Council Entry'!AX$9)),MAX(MIN('Council Entry'!AX201,'Council Entry'!AX$9),'Council Entry'!AX$8),'Council Entry'!AX201)),IF('Council Entry'!AX$4="Exponential",EXP(IF(AND(ISNUMBER('Council Entry'!AX$8),ISNUMBER('Council Entry'!AX$9)),MAX(MIN('Council Entry'!AX201,'Council Entry'!AX$9),'Council Entry'!AX$8),'Council Entry'!AX201)),IF(AND(ISNUMBER('Council Entry'!AX$8),ISNUMBER('Council Entry'!AX$9)),MAX(MIN('Council Entry'!AX201,'Council Entry'!AX$9),'Council Entry'!AX$8),'Council Entry'!AX201))))-'Council Entry'!AX$5)/('Council Entry'!AX$6-'Council Entry'!AX$5),10*((IF('Council Entry'!AX$4="Logarithm",LN(0.001+IF(AND(ISNUMBER('Council Entry'!AX$8),ISNUMBER('Council Entry'!AX$9)),MAX(MIN('Council Entry'!AX201,'Council Entry'!AX$9),'Council Entry'!AX$8),'Council Entry'!AX201)),IF('Council Entry'!AX$4="Exponential",EXP(IF(AND(ISNUMBER('Council Entry'!AX$8),ISNUMBER('Council Entry'!AX$9)),MAX(MIN('Council Entry'!AX201,'Council Entry'!AX$9),'Council Entry'!AX$8),'Council Entry'!AX201)),IF(AND(ISNUMBER('Council Entry'!AX$8),ISNUMBER('Council Entry'!AX$9)),MAX(MIN('Council Entry'!AX201,'Council Entry'!AX$9),'Council Entry'!AX$8),'Council Entry'!AX201))))-'Council Entry'!AX$5)/('Council Entry'!AX$6-'Council Entry'!AX$5)),1))),"No data"))</f>
        <v/>
      </c>
      <c r="AY201" s="13">
        <f>IF('Council Entry'!AY201="","",IFERROR(MAX(0,MIN(10,ROUND(IF('Council Entry'!AY$7="Decrease Risk",10-10*((IF('Council Entry'!AY$4="Logarithm",LN(0.001+IF(AND(ISNUMBER('Council Entry'!AY$8),ISNUMBER('Council Entry'!AY$9)),MAX(MIN('Council Entry'!AY201,'Council Entry'!AY$9),'Council Entry'!AY$8),'Council Entry'!AY201)),IF('Council Entry'!AY$4="Exponential",EXP(IF(AND(ISNUMBER('Council Entry'!AY$8),ISNUMBER('Council Entry'!AY$9)),MAX(MIN('Council Entry'!AY201,'Council Entry'!AY$9),'Council Entry'!AY$8),'Council Entry'!AY201)),IF(AND(ISNUMBER('Council Entry'!AY$8),ISNUMBER('Council Entry'!AY$9)),MAX(MIN('Council Entry'!AY201,'Council Entry'!AY$9),'Council Entry'!AY$8),'Council Entry'!AY201))))-'Council Entry'!AY$5)/('Council Entry'!AY$6-'Council Entry'!AY$5),10*((IF('Council Entry'!AY$4="Logarithm",LN(0.001+IF(AND(ISNUMBER('Council Entry'!AY$8),ISNUMBER('Council Entry'!AY$9)),MAX(MIN('Council Entry'!AY201,'Council Entry'!AY$9),'Council Entry'!AY$8),'Council Entry'!AY201)),IF('Council Entry'!AY$4="Exponential",EXP(IF(AND(ISNUMBER('Council Entry'!AY$8),ISNUMBER('Council Entry'!AY$9)),MAX(MIN('Council Entry'!AY201,'Council Entry'!AY$9),'Council Entry'!AY$8),'Council Entry'!AY201)),IF(AND(ISNUMBER('Council Entry'!AY$8),ISNUMBER('Council Entry'!AY$9)),MAX(MIN('Council Entry'!AY201,'Council Entry'!AY$9),'Council Entry'!AY$8),'Council Entry'!AY201))))-'Council Entry'!AY$5)/('Council Entry'!AY$6-'Council Entry'!AY$5)),1))),"No data"))</f>
        <v/>
      </c>
      <c r="AZ201" s="13">
        <f>IF('Council Entry'!AZ201="","",IFERROR(MAX(0,MIN(10,ROUND(IF('Council Entry'!AZ$7="Decrease Risk",10-10*((IF('Council Entry'!AZ$4="Logarithm",LN(0.001+IF(AND(ISNUMBER('Council Entry'!AZ$8),ISNUMBER('Council Entry'!AZ$9)),MAX(MIN('Council Entry'!AZ201,'Council Entry'!AZ$9),'Council Entry'!AZ$8),'Council Entry'!AZ201)),IF('Council Entry'!AZ$4="Exponential",EXP(IF(AND(ISNUMBER('Council Entry'!AZ$8),ISNUMBER('Council Entry'!AZ$9)),MAX(MIN('Council Entry'!AZ201,'Council Entry'!AZ$9),'Council Entry'!AZ$8),'Council Entry'!AZ201)),IF(AND(ISNUMBER('Council Entry'!AZ$8),ISNUMBER('Council Entry'!AZ$9)),MAX(MIN('Council Entry'!AZ201,'Council Entry'!AZ$9),'Council Entry'!AZ$8),'Council Entry'!AZ201))))-'Council Entry'!AZ$5)/('Council Entry'!AZ$6-'Council Entry'!AZ$5),10*((IF('Council Entry'!AZ$4="Logarithm",LN(0.001+IF(AND(ISNUMBER('Council Entry'!AZ$8),ISNUMBER('Council Entry'!AZ$9)),MAX(MIN('Council Entry'!AZ201,'Council Entry'!AZ$9),'Council Entry'!AZ$8),'Council Entry'!AZ201)),IF('Council Entry'!AZ$4="Exponential",EXP(IF(AND(ISNUMBER('Council Entry'!AZ$8),ISNUMBER('Council Entry'!AZ$9)),MAX(MIN('Council Entry'!AZ201,'Council Entry'!AZ$9),'Council Entry'!AZ$8),'Council Entry'!AZ201)),IF(AND(ISNUMBER('Council Entry'!AZ$8),ISNUMBER('Council Entry'!AZ$9)),MAX(MIN('Council Entry'!AZ201,'Council Entry'!AZ$9),'Council Entry'!AZ$8),'Council Entry'!AZ201))))-'Council Entry'!AZ$5)/('Council Entry'!AZ$6-'Council Entry'!AZ$5)),1))),"No data"))</f>
        <v/>
      </c>
      <c r="BA201" s="13">
        <f>IF('Council Entry'!BA201="","",IFERROR(MAX(0,MIN(10,ROUND(IF('Council Entry'!BA$7="Decrease Risk",10-10*((IF('Council Entry'!BA$4="Logarithm",LN(0.001+IF(AND(ISNUMBER('Council Entry'!BA$8),ISNUMBER('Council Entry'!BA$9)),MAX(MIN('Council Entry'!BA201,'Council Entry'!BA$9),'Council Entry'!BA$8),'Council Entry'!BA201)),IF('Council Entry'!BA$4="Exponential",EXP(IF(AND(ISNUMBER('Council Entry'!BA$8),ISNUMBER('Council Entry'!BA$9)),MAX(MIN('Council Entry'!BA201,'Council Entry'!BA$9),'Council Entry'!BA$8),'Council Entry'!BA201)),IF(AND(ISNUMBER('Council Entry'!BA$8),ISNUMBER('Council Entry'!BA$9)),MAX(MIN('Council Entry'!BA201,'Council Entry'!BA$9),'Council Entry'!BA$8),'Council Entry'!BA201))))-'Council Entry'!BA$5)/('Council Entry'!BA$6-'Council Entry'!BA$5),10*((IF('Council Entry'!BA$4="Logarithm",LN(0.001+IF(AND(ISNUMBER('Council Entry'!BA$8),ISNUMBER('Council Entry'!BA$9)),MAX(MIN('Council Entry'!BA201,'Council Entry'!BA$9),'Council Entry'!BA$8),'Council Entry'!BA201)),IF('Council Entry'!BA$4="Exponential",EXP(IF(AND(ISNUMBER('Council Entry'!BA$8),ISNUMBER('Council Entry'!BA$9)),MAX(MIN('Council Entry'!BA201,'Council Entry'!BA$9),'Council Entry'!BA$8),'Council Entry'!BA201)),IF(AND(ISNUMBER('Council Entry'!BA$8),ISNUMBER('Council Entry'!BA$9)),MAX(MIN('Council Entry'!BA201,'Council Entry'!BA$9),'Council Entry'!BA$8),'Council Entry'!BA201))))-'Council Entry'!BA$5)/('Council Entry'!BA$6-'Council Entry'!BA$5)),1))),"No data"))</f>
        <v/>
      </c>
      <c r="BB201" s="13">
        <f>IF('Council Entry'!BB201="","",IFERROR(MAX(0,MIN(10,ROUND(IF('Council Entry'!BB$7="Decrease Risk",10-10*((IF('Council Entry'!BB$4="Logarithm",LN(0.001+IF(AND(ISNUMBER('Council Entry'!BB$8),ISNUMBER('Council Entry'!BB$9)),MAX(MIN('Council Entry'!BB201,'Council Entry'!BB$9),'Council Entry'!BB$8),'Council Entry'!BB201)),IF('Council Entry'!BB$4="Exponential",EXP(IF(AND(ISNUMBER('Council Entry'!BB$8),ISNUMBER('Council Entry'!BB$9)),MAX(MIN('Council Entry'!BB201,'Council Entry'!BB$9),'Council Entry'!BB$8),'Council Entry'!BB201)),IF(AND(ISNUMBER('Council Entry'!BB$8),ISNUMBER('Council Entry'!BB$9)),MAX(MIN('Council Entry'!BB201,'Council Entry'!BB$9),'Council Entry'!BB$8),'Council Entry'!BB201))))-'Council Entry'!BB$5)/('Council Entry'!BB$6-'Council Entry'!BB$5),10*((IF('Council Entry'!BB$4="Logarithm",LN(0.001+IF(AND(ISNUMBER('Council Entry'!BB$8),ISNUMBER('Council Entry'!BB$9)),MAX(MIN('Council Entry'!BB201,'Council Entry'!BB$9),'Council Entry'!BB$8),'Council Entry'!BB201)),IF('Council Entry'!BB$4="Exponential",EXP(IF(AND(ISNUMBER('Council Entry'!BB$8),ISNUMBER('Council Entry'!BB$9)),MAX(MIN('Council Entry'!BB201,'Council Entry'!BB$9),'Council Entry'!BB$8),'Council Entry'!BB201)),IF(AND(ISNUMBER('Council Entry'!BB$8),ISNUMBER('Council Entry'!BB$9)),MAX(MIN('Council Entry'!BB201,'Council Entry'!BB$9),'Council Entry'!BB$8),'Council Entry'!BB201))))-'Council Entry'!BB$5)/('Council Entry'!BB$6-'Council Entry'!BB$5)),1))),"No data"))</f>
        <v/>
      </c>
      <c r="BC201" s="13">
        <f>IF('Council Entry'!BC201="","",IFERROR(MAX(0,MIN(10,ROUND(IF('Council Entry'!BC$7="Decrease Risk",10-10*((IF('Council Entry'!BC$4="Logarithm",LN(0.001+IF(AND(ISNUMBER('Council Entry'!BC$8),ISNUMBER('Council Entry'!BC$9)),MAX(MIN('Council Entry'!BC201,'Council Entry'!BC$9),'Council Entry'!BC$8),'Council Entry'!BC201)),IF('Council Entry'!BC$4="Exponential",EXP(IF(AND(ISNUMBER('Council Entry'!BC$8),ISNUMBER('Council Entry'!BC$9)),MAX(MIN('Council Entry'!BC201,'Council Entry'!BC$9),'Council Entry'!BC$8),'Council Entry'!BC201)),IF(AND(ISNUMBER('Council Entry'!BC$8),ISNUMBER('Council Entry'!BC$9)),MAX(MIN('Council Entry'!BC201,'Council Entry'!BC$9),'Council Entry'!BC$8),'Council Entry'!BC201))))-'Council Entry'!BC$5)/('Council Entry'!BC$6-'Council Entry'!BC$5),10*((IF('Council Entry'!BC$4="Logarithm",LN(0.001+IF(AND(ISNUMBER('Council Entry'!BC$8),ISNUMBER('Council Entry'!BC$9)),MAX(MIN('Council Entry'!BC201,'Council Entry'!BC$9),'Council Entry'!BC$8),'Council Entry'!BC201)),IF('Council Entry'!BC$4="Exponential",EXP(IF(AND(ISNUMBER('Council Entry'!BC$8),ISNUMBER('Council Entry'!BC$9)),MAX(MIN('Council Entry'!BC201,'Council Entry'!BC$9),'Council Entry'!BC$8),'Council Entry'!BC201)),IF(AND(ISNUMBER('Council Entry'!BC$8),ISNUMBER('Council Entry'!BC$9)),MAX(MIN('Council Entry'!BC201,'Council Entry'!BC$9),'Council Entry'!BC$8),'Council Entry'!BC201))))-'Council Entry'!BC$5)/('Council Entry'!BC$6-'Council Entry'!BC$5)),1))),"No data"))</f>
        <v/>
      </c>
      <c r="BD201" s="13">
        <f>IF('Council Entry'!BD201="","",IFERROR(MAX(0,MIN(10,ROUND(IF('Council Entry'!BD$7="Decrease Risk",10-10*((IF('Council Entry'!BD$4="Logarithm",LN(0.001+IF(AND(ISNUMBER('Council Entry'!BD$8),ISNUMBER('Council Entry'!BD$9)),MAX(MIN('Council Entry'!BD201,'Council Entry'!BD$9),'Council Entry'!BD$8),'Council Entry'!BD201)),IF('Council Entry'!BD$4="Exponential",EXP(IF(AND(ISNUMBER('Council Entry'!BD$8),ISNUMBER('Council Entry'!BD$9)),MAX(MIN('Council Entry'!BD201,'Council Entry'!BD$9),'Council Entry'!BD$8),'Council Entry'!BD201)),IF(AND(ISNUMBER('Council Entry'!BD$8),ISNUMBER('Council Entry'!BD$9)),MAX(MIN('Council Entry'!BD201,'Council Entry'!BD$9),'Council Entry'!BD$8),'Council Entry'!BD201))))-'Council Entry'!BD$5)/('Council Entry'!BD$6-'Council Entry'!BD$5),10*((IF('Council Entry'!BD$4="Logarithm",LN(0.001+IF(AND(ISNUMBER('Council Entry'!BD$8),ISNUMBER('Council Entry'!BD$9)),MAX(MIN('Council Entry'!BD201,'Council Entry'!BD$9),'Council Entry'!BD$8),'Council Entry'!BD201)),IF('Council Entry'!BD$4="Exponential",EXP(IF(AND(ISNUMBER('Council Entry'!BD$8),ISNUMBER('Council Entry'!BD$9)),MAX(MIN('Council Entry'!BD201,'Council Entry'!BD$9),'Council Entry'!BD$8),'Council Entry'!BD201)),IF(AND(ISNUMBER('Council Entry'!BD$8),ISNUMBER('Council Entry'!BD$9)),MAX(MIN('Council Entry'!BD201,'Council Entry'!BD$9),'Council Entry'!BD$8),'Council Entry'!BD201))))-'Council Entry'!BD$5)/('Council Entry'!BD$6-'Council Entry'!BD$5)),1))),"No data"))</f>
        <v/>
      </c>
    </row>
    <row r="202">
      <c r="A202" t="inlineStr">
        <is>
          <t>Tanga</t>
        </is>
      </c>
      <c r="B202" t="inlineStr">
        <is>
          <t>Mkinga District</t>
        </is>
      </c>
      <c r="C202" t="inlineStr">
        <is>
          <t>C033</t>
        </is>
      </c>
      <c r="D202" s="13">
        <f>IF('Council Entry'!D202="","",IFERROR(MAX(0,MIN(10,ROUND(IF('Council Entry'!D$7="Decrease Risk",10-10*((IF('Council Entry'!D$4="Logarithm",LN(0.001+IF(AND(ISNUMBER('Council Entry'!D$8),ISNUMBER('Council Entry'!D$9)),MAX(MIN('Council Entry'!D202,'Council Entry'!D$9),'Council Entry'!D$8),'Council Entry'!D202)),IF('Council Entry'!D$4="Exponential",EXP(IF(AND(ISNUMBER('Council Entry'!D$8),ISNUMBER('Council Entry'!D$9)),MAX(MIN('Council Entry'!D202,'Council Entry'!D$9),'Council Entry'!D$8),'Council Entry'!D202)),IF(AND(ISNUMBER('Council Entry'!D$8),ISNUMBER('Council Entry'!D$9)),MAX(MIN('Council Entry'!D202,'Council Entry'!D$9),'Council Entry'!D$8),'Council Entry'!D202))))-'Council Entry'!D$5)/('Council Entry'!D$6-'Council Entry'!D$5),10*((IF('Council Entry'!D$4="Logarithm",LN(0.001+IF(AND(ISNUMBER('Council Entry'!D$8),ISNUMBER('Council Entry'!D$9)),MAX(MIN('Council Entry'!D202,'Council Entry'!D$9),'Council Entry'!D$8),'Council Entry'!D202)),IF('Council Entry'!D$4="Exponential",EXP(IF(AND(ISNUMBER('Council Entry'!D$8),ISNUMBER('Council Entry'!D$9)),MAX(MIN('Council Entry'!D202,'Council Entry'!D$9),'Council Entry'!D$8),'Council Entry'!D202)),IF(AND(ISNUMBER('Council Entry'!D$8),ISNUMBER('Council Entry'!D$9)),MAX(MIN('Council Entry'!D202,'Council Entry'!D$9),'Council Entry'!D$8),'Council Entry'!D202))))-'Council Entry'!D$5)/('Council Entry'!D$6-'Council Entry'!D$5)),1))),"No data"))</f>
        <v/>
      </c>
      <c r="E202" s="13">
        <f>IF('Council Entry'!E202="","",IFERROR(MAX(0,MIN(10,ROUND(IF('Council Entry'!E$7="Decrease Risk",10-10*((IF('Council Entry'!E$4="Logarithm",LN(0.001+IF(AND(ISNUMBER('Council Entry'!E$8),ISNUMBER('Council Entry'!E$9)),MAX(MIN('Council Entry'!E202,'Council Entry'!E$9),'Council Entry'!E$8),'Council Entry'!E202)),IF('Council Entry'!E$4="Exponential",EXP(IF(AND(ISNUMBER('Council Entry'!E$8),ISNUMBER('Council Entry'!E$9)),MAX(MIN('Council Entry'!E202,'Council Entry'!E$9),'Council Entry'!E$8),'Council Entry'!E202)),IF(AND(ISNUMBER('Council Entry'!E$8),ISNUMBER('Council Entry'!E$9)),MAX(MIN('Council Entry'!E202,'Council Entry'!E$9),'Council Entry'!E$8),'Council Entry'!E202))))-'Council Entry'!E$5)/('Council Entry'!E$6-'Council Entry'!E$5),10*((IF('Council Entry'!E$4="Logarithm",LN(0.001+IF(AND(ISNUMBER('Council Entry'!E$8),ISNUMBER('Council Entry'!E$9)),MAX(MIN('Council Entry'!E202,'Council Entry'!E$9),'Council Entry'!E$8),'Council Entry'!E202)),IF('Council Entry'!E$4="Exponential",EXP(IF(AND(ISNUMBER('Council Entry'!E$8),ISNUMBER('Council Entry'!E$9)),MAX(MIN('Council Entry'!E202,'Council Entry'!E$9),'Council Entry'!E$8),'Council Entry'!E202)),IF(AND(ISNUMBER('Council Entry'!E$8),ISNUMBER('Council Entry'!E$9)),MAX(MIN('Council Entry'!E202,'Council Entry'!E$9),'Council Entry'!E$8),'Council Entry'!E202))))-'Council Entry'!E$5)/('Council Entry'!E$6-'Council Entry'!E$5)),1))),"No data"))</f>
        <v/>
      </c>
      <c r="F202" s="13">
        <f>IF('Council Entry'!F202="","",IFERROR(MAX(0,MIN(10,ROUND(IF('Council Entry'!F$7="Decrease Risk",10-10*((IF('Council Entry'!F$4="Logarithm",LN(0.001+IF(AND(ISNUMBER('Council Entry'!F$8),ISNUMBER('Council Entry'!F$9)),MAX(MIN('Council Entry'!F202,'Council Entry'!F$9),'Council Entry'!F$8),'Council Entry'!F202)),IF('Council Entry'!F$4="Exponential",EXP(IF(AND(ISNUMBER('Council Entry'!F$8),ISNUMBER('Council Entry'!F$9)),MAX(MIN('Council Entry'!F202,'Council Entry'!F$9),'Council Entry'!F$8),'Council Entry'!F202)),IF(AND(ISNUMBER('Council Entry'!F$8),ISNUMBER('Council Entry'!F$9)),MAX(MIN('Council Entry'!F202,'Council Entry'!F$9),'Council Entry'!F$8),'Council Entry'!F202))))-'Council Entry'!F$5)/('Council Entry'!F$6-'Council Entry'!F$5),10*((IF('Council Entry'!F$4="Logarithm",LN(0.001+IF(AND(ISNUMBER('Council Entry'!F$8),ISNUMBER('Council Entry'!F$9)),MAX(MIN('Council Entry'!F202,'Council Entry'!F$9),'Council Entry'!F$8),'Council Entry'!F202)),IF('Council Entry'!F$4="Exponential",EXP(IF(AND(ISNUMBER('Council Entry'!F$8),ISNUMBER('Council Entry'!F$9)),MAX(MIN('Council Entry'!F202,'Council Entry'!F$9),'Council Entry'!F$8),'Council Entry'!F202)),IF(AND(ISNUMBER('Council Entry'!F$8),ISNUMBER('Council Entry'!F$9)),MAX(MIN('Council Entry'!F202,'Council Entry'!F$9),'Council Entry'!F$8),'Council Entry'!F202))))-'Council Entry'!F$5)/('Council Entry'!F$6-'Council Entry'!F$5)),1))),"No data"))</f>
        <v/>
      </c>
      <c r="G202" s="13">
        <f>IF('Council Entry'!G202="","",IFERROR(MAX(0,MIN(10,ROUND(IF('Council Entry'!G$7="Decrease Risk",10-10*((IF('Council Entry'!G$4="Logarithm",LN(0.001+IF(AND(ISNUMBER('Council Entry'!G$8),ISNUMBER('Council Entry'!G$9)),MAX(MIN('Council Entry'!G202,'Council Entry'!G$9),'Council Entry'!G$8),'Council Entry'!G202)),IF('Council Entry'!G$4="Exponential",EXP(IF(AND(ISNUMBER('Council Entry'!G$8),ISNUMBER('Council Entry'!G$9)),MAX(MIN('Council Entry'!G202,'Council Entry'!G$9),'Council Entry'!G$8),'Council Entry'!G202)),IF(AND(ISNUMBER('Council Entry'!G$8),ISNUMBER('Council Entry'!G$9)),MAX(MIN('Council Entry'!G202,'Council Entry'!G$9),'Council Entry'!G$8),'Council Entry'!G202))))-'Council Entry'!G$5)/('Council Entry'!G$6-'Council Entry'!G$5),10*((IF('Council Entry'!G$4="Logarithm",LN(0.001+IF(AND(ISNUMBER('Council Entry'!G$8),ISNUMBER('Council Entry'!G$9)),MAX(MIN('Council Entry'!G202,'Council Entry'!G$9),'Council Entry'!G$8),'Council Entry'!G202)),IF('Council Entry'!G$4="Exponential",EXP(IF(AND(ISNUMBER('Council Entry'!G$8),ISNUMBER('Council Entry'!G$9)),MAX(MIN('Council Entry'!G202,'Council Entry'!G$9),'Council Entry'!G$8),'Council Entry'!G202)),IF(AND(ISNUMBER('Council Entry'!G$8),ISNUMBER('Council Entry'!G$9)),MAX(MIN('Council Entry'!G202,'Council Entry'!G$9),'Council Entry'!G$8),'Council Entry'!G202))))-'Council Entry'!G$5)/('Council Entry'!G$6-'Council Entry'!G$5)),1))),"No data"))</f>
        <v/>
      </c>
      <c r="H202" s="13">
        <f>IF('Council Entry'!H202="","",IFERROR(MAX(0,MIN(10,ROUND(IF('Council Entry'!H$7="Decrease Risk",10-10*((IF('Council Entry'!H$4="Logarithm",LN(0.001+IF(AND(ISNUMBER('Council Entry'!H$8),ISNUMBER('Council Entry'!H$9)),MAX(MIN('Council Entry'!H202,'Council Entry'!H$9),'Council Entry'!H$8),'Council Entry'!H202)),IF('Council Entry'!H$4="Exponential",EXP(IF(AND(ISNUMBER('Council Entry'!H$8),ISNUMBER('Council Entry'!H$9)),MAX(MIN('Council Entry'!H202,'Council Entry'!H$9),'Council Entry'!H$8),'Council Entry'!H202)),IF(AND(ISNUMBER('Council Entry'!H$8),ISNUMBER('Council Entry'!H$9)),MAX(MIN('Council Entry'!H202,'Council Entry'!H$9),'Council Entry'!H$8),'Council Entry'!H202))))-'Council Entry'!H$5)/('Council Entry'!H$6-'Council Entry'!H$5),10*((IF('Council Entry'!H$4="Logarithm",LN(0.001+IF(AND(ISNUMBER('Council Entry'!H$8),ISNUMBER('Council Entry'!H$9)),MAX(MIN('Council Entry'!H202,'Council Entry'!H$9),'Council Entry'!H$8),'Council Entry'!H202)),IF('Council Entry'!H$4="Exponential",EXP(IF(AND(ISNUMBER('Council Entry'!H$8),ISNUMBER('Council Entry'!H$9)),MAX(MIN('Council Entry'!H202,'Council Entry'!H$9),'Council Entry'!H$8),'Council Entry'!H202)),IF(AND(ISNUMBER('Council Entry'!H$8),ISNUMBER('Council Entry'!H$9)),MAX(MIN('Council Entry'!H202,'Council Entry'!H$9),'Council Entry'!H$8),'Council Entry'!H202))))-'Council Entry'!H$5)/('Council Entry'!H$6-'Council Entry'!H$5)),1))),"No data"))</f>
        <v/>
      </c>
      <c r="I202" s="13">
        <f>IF('Council Entry'!I202="","",IFERROR(MAX(0,MIN(10,ROUND(IF('Council Entry'!I$7="Decrease Risk",10-10*((IF('Council Entry'!I$4="Logarithm",LN(0.001+IF(AND(ISNUMBER('Council Entry'!I$8),ISNUMBER('Council Entry'!I$9)),MAX(MIN('Council Entry'!I202,'Council Entry'!I$9),'Council Entry'!I$8),'Council Entry'!I202)),IF('Council Entry'!I$4="Exponential",EXP(IF(AND(ISNUMBER('Council Entry'!I$8),ISNUMBER('Council Entry'!I$9)),MAX(MIN('Council Entry'!I202,'Council Entry'!I$9),'Council Entry'!I$8),'Council Entry'!I202)),IF(AND(ISNUMBER('Council Entry'!I$8),ISNUMBER('Council Entry'!I$9)),MAX(MIN('Council Entry'!I202,'Council Entry'!I$9),'Council Entry'!I$8),'Council Entry'!I202))))-'Council Entry'!I$5)/('Council Entry'!I$6-'Council Entry'!I$5),10*((IF('Council Entry'!I$4="Logarithm",LN(0.001+IF(AND(ISNUMBER('Council Entry'!I$8),ISNUMBER('Council Entry'!I$9)),MAX(MIN('Council Entry'!I202,'Council Entry'!I$9),'Council Entry'!I$8),'Council Entry'!I202)),IF('Council Entry'!I$4="Exponential",EXP(IF(AND(ISNUMBER('Council Entry'!I$8),ISNUMBER('Council Entry'!I$9)),MAX(MIN('Council Entry'!I202,'Council Entry'!I$9),'Council Entry'!I$8),'Council Entry'!I202)),IF(AND(ISNUMBER('Council Entry'!I$8),ISNUMBER('Council Entry'!I$9)),MAX(MIN('Council Entry'!I202,'Council Entry'!I$9),'Council Entry'!I$8),'Council Entry'!I202))))-'Council Entry'!I$5)/('Council Entry'!I$6-'Council Entry'!I$5)),1))),"No data"))</f>
        <v/>
      </c>
      <c r="J202" s="13">
        <f>IF('Council Entry'!J202="","",IFERROR(MAX(0,MIN(10,ROUND(IF('Council Entry'!J$7="Decrease Risk",10-10*((IF('Council Entry'!J$4="Logarithm",LN(0.001+IF(AND(ISNUMBER('Council Entry'!J$8),ISNUMBER('Council Entry'!J$9)),MAX(MIN('Council Entry'!J202,'Council Entry'!J$9),'Council Entry'!J$8),'Council Entry'!J202)),IF('Council Entry'!J$4="Exponential",EXP(IF(AND(ISNUMBER('Council Entry'!J$8),ISNUMBER('Council Entry'!J$9)),MAX(MIN('Council Entry'!J202,'Council Entry'!J$9),'Council Entry'!J$8),'Council Entry'!J202)),IF(AND(ISNUMBER('Council Entry'!J$8),ISNUMBER('Council Entry'!J$9)),MAX(MIN('Council Entry'!J202,'Council Entry'!J$9),'Council Entry'!J$8),'Council Entry'!J202))))-'Council Entry'!J$5)/('Council Entry'!J$6-'Council Entry'!J$5),10*((IF('Council Entry'!J$4="Logarithm",LN(0.001+IF(AND(ISNUMBER('Council Entry'!J$8),ISNUMBER('Council Entry'!J$9)),MAX(MIN('Council Entry'!J202,'Council Entry'!J$9),'Council Entry'!J$8),'Council Entry'!J202)),IF('Council Entry'!J$4="Exponential",EXP(IF(AND(ISNUMBER('Council Entry'!J$8),ISNUMBER('Council Entry'!J$9)),MAX(MIN('Council Entry'!J202,'Council Entry'!J$9),'Council Entry'!J$8),'Council Entry'!J202)),IF(AND(ISNUMBER('Council Entry'!J$8),ISNUMBER('Council Entry'!J$9)),MAX(MIN('Council Entry'!J202,'Council Entry'!J$9),'Council Entry'!J$8),'Council Entry'!J202))))-'Council Entry'!J$5)/('Council Entry'!J$6-'Council Entry'!J$5)),1))),"No data"))</f>
        <v/>
      </c>
      <c r="K202" s="13">
        <f>IF('Council Entry'!K202="","",IFERROR(MAX(0,MIN(10,ROUND(IF('Council Entry'!K$7="Decrease Risk",10-10*((IF('Council Entry'!K$4="Logarithm",LN(0.001+IF(AND(ISNUMBER('Council Entry'!K$8),ISNUMBER('Council Entry'!K$9)),MAX(MIN('Council Entry'!K202,'Council Entry'!K$9),'Council Entry'!K$8),'Council Entry'!K202)),IF('Council Entry'!K$4="Exponential",EXP(IF(AND(ISNUMBER('Council Entry'!K$8),ISNUMBER('Council Entry'!K$9)),MAX(MIN('Council Entry'!K202,'Council Entry'!K$9),'Council Entry'!K$8),'Council Entry'!K202)),IF(AND(ISNUMBER('Council Entry'!K$8),ISNUMBER('Council Entry'!K$9)),MAX(MIN('Council Entry'!K202,'Council Entry'!K$9),'Council Entry'!K$8),'Council Entry'!K202))))-'Council Entry'!K$5)/('Council Entry'!K$6-'Council Entry'!K$5),10*((IF('Council Entry'!K$4="Logarithm",LN(0.001+IF(AND(ISNUMBER('Council Entry'!K$8),ISNUMBER('Council Entry'!K$9)),MAX(MIN('Council Entry'!K202,'Council Entry'!K$9),'Council Entry'!K$8),'Council Entry'!K202)),IF('Council Entry'!K$4="Exponential",EXP(IF(AND(ISNUMBER('Council Entry'!K$8),ISNUMBER('Council Entry'!K$9)),MAX(MIN('Council Entry'!K202,'Council Entry'!K$9),'Council Entry'!K$8),'Council Entry'!K202)),IF(AND(ISNUMBER('Council Entry'!K$8),ISNUMBER('Council Entry'!K$9)),MAX(MIN('Council Entry'!K202,'Council Entry'!K$9),'Council Entry'!K$8),'Council Entry'!K202))))-'Council Entry'!K$5)/('Council Entry'!K$6-'Council Entry'!K$5)),1))),"No data"))</f>
        <v/>
      </c>
      <c r="L202" s="13">
        <f>IF('Council Entry'!L202="","",IFERROR(MAX(0,MIN(10,ROUND(IF('Council Entry'!L$7="Decrease Risk",10-10*((IF('Council Entry'!L$4="Logarithm",LN(0.001+IF(AND(ISNUMBER('Council Entry'!L$8),ISNUMBER('Council Entry'!L$9)),MAX(MIN('Council Entry'!L202,'Council Entry'!L$9),'Council Entry'!L$8),'Council Entry'!L202)),IF('Council Entry'!L$4="Exponential",EXP(IF(AND(ISNUMBER('Council Entry'!L$8),ISNUMBER('Council Entry'!L$9)),MAX(MIN('Council Entry'!L202,'Council Entry'!L$9),'Council Entry'!L$8),'Council Entry'!L202)),IF(AND(ISNUMBER('Council Entry'!L$8),ISNUMBER('Council Entry'!L$9)),MAX(MIN('Council Entry'!L202,'Council Entry'!L$9),'Council Entry'!L$8),'Council Entry'!L202))))-'Council Entry'!L$5)/('Council Entry'!L$6-'Council Entry'!L$5),10*((IF('Council Entry'!L$4="Logarithm",LN(0.001+IF(AND(ISNUMBER('Council Entry'!L$8),ISNUMBER('Council Entry'!L$9)),MAX(MIN('Council Entry'!L202,'Council Entry'!L$9),'Council Entry'!L$8),'Council Entry'!L202)),IF('Council Entry'!L$4="Exponential",EXP(IF(AND(ISNUMBER('Council Entry'!L$8),ISNUMBER('Council Entry'!L$9)),MAX(MIN('Council Entry'!L202,'Council Entry'!L$9),'Council Entry'!L$8),'Council Entry'!L202)),IF(AND(ISNUMBER('Council Entry'!L$8),ISNUMBER('Council Entry'!L$9)),MAX(MIN('Council Entry'!L202,'Council Entry'!L$9),'Council Entry'!L$8),'Council Entry'!L202))))-'Council Entry'!L$5)/('Council Entry'!L$6-'Council Entry'!L$5)),1))),"No data"))</f>
        <v/>
      </c>
      <c r="M202" s="13">
        <f>IF('Council Entry'!M202="","",IFERROR(MAX(0,MIN(10,ROUND(IF('Council Entry'!M$7="Decrease Risk",10-10*((IF('Council Entry'!M$4="Logarithm",LN(0.001+IF(AND(ISNUMBER('Council Entry'!M$8),ISNUMBER('Council Entry'!M$9)),MAX(MIN('Council Entry'!M202,'Council Entry'!M$9),'Council Entry'!M$8),'Council Entry'!M202)),IF('Council Entry'!M$4="Exponential",EXP(IF(AND(ISNUMBER('Council Entry'!M$8),ISNUMBER('Council Entry'!M$9)),MAX(MIN('Council Entry'!M202,'Council Entry'!M$9),'Council Entry'!M$8),'Council Entry'!M202)),IF(AND(ISNUMBER('Council Entry'!M$8),ISNUMBER('Council Entry'!M$9)),MAX(MIN('Council Entry'!M202,'Council Entry'!M$9),'Council Entry'!M$8),'Council Entry'!M202))))-'Council Entry'!M$5)/('Council Entry'!M$6-'Council Entry'!M$5),10*((IF('Council Entry'!M$4="Logarithm",LN(0.001+IF(AND(ISNUMBER('Council Entry'!M$8),ISNUMBER('Council Entry'!M$9)),MAX(MIN('Council Entry'!M202,'Council Entry'!M$9),'Council Entry'!M$8),'Council Entry'!M202)),IF('Council Entry'!M$4="Exponential",EXP(IF(AND(ISNUMBER('Council Entry'!M$8),ISNUMBER('Council Entry'!M$9)),MAX(MIN('Council Entry'!M202,'Council Entry'!M$9),'Council Entry'!M$8),'Council Entry'!M202)),IF(AND(ISNUMBER('Council Entry'!M$8),ISNUMBER('Council Entry'!M$9)),MAX(MIN('Council Entry'!M202,'Council Entry'!M$9),'Council Entry'!M$8),'Council Entry'!M202))))-'Council Entry'!M$5)/('Council Entry'!M$6-'Council Entry'!M$5)),1))),"No data"))</f>
        <v/>
      </c>
      <c r="N202" s="13">
        <f>IF('Council Entry'!N202="","",IFERROR(MAX(0,MIN(10,ROUND(IF('Council Entry'!N$7="Decrease Risk",10-10*((IF('Council Entry'!N$4="Logarithm",LN(0.001+IF(AND(ISNUMBER('Council Entry'!N$8),ISNUMBER('Council Entry'!N$9)),MAX(MIN('Council Entry'!N202,'Council Entry'!N$9),'Council Entry'!N$8),'Council Entry'!N202)),IF('Council Entry'!N$4="Exponential",EXP(IF(AND(ISNUMBER('Council Entry'!N$8),ISNUMBER('Council Entry'!N$9)),MAX(MIN('Council Entry'!N202,'Council Entry'!N$9),'Council Entry'!N$8),'Council Entry'!N202)),IF(AND(ISNUMBER('Council Entry'!N$8),ISNUMBER('Council Entry'!N$9)),MAX(MIN('Council Entry'!N202,'Council Entry'!N$9),'Council Entry'!N$8),'Council Entry'!N202))))-'Council Entry'!N$5)/('Council Entry'!N$6-'Council Entry'!N$5),10*((IF('Council Entry'!N$4="Logarithm",LN(0.001+IF(AND(ISNUMBER('Council Entry'!N$8),ISNUMBER('Council Entry'!N$9)),MAX(MIN('Council Entry'!N202,'Council Entry'!N$9),'Council Entry'!N$8),'Council Entry'!N202)),IF('Council Entry'!N$4="Exponential",EXP(IF(AND(ISNUMBER('Council Entry'!N$8),ISNUMBER('Council Entry'!N$9)),MAX(MIN('Council Entry'!N202,'Council Entry'!N$9),'Council Entry'!N$8),'Council Entry'!N202)),IF(AND(ISNUMBER('Council Entry'!N$8),ISNUMBER('Council Entry'!N$9)),MAX(MIN('Council Entry'!N202,'Council Entry'!N$9),'Council Entry'!N$8),'Council Entry'!N202))))-'Council Entry'!N$5)/('Council Entry'!N$6-'Council Entry'!N$5)),1))),"No data"))</f>
        <v/>
      </c>
      <c r="O202" s="13">
        <f>IF('Council Entry'!O202="","",IFERROR(MAX(0,MIN(10,ROUND(IF('Council Entry'!O$7="Decrease Risk",10-10*((IF('Council Entry'!O$4="Logarithm",LN(0.001+IF(AND(ISNUMBER('Council Entry'!O$8),ISNUMBER('Council Entry'!O$9)),MAX(MIN('Council Entry'!O202,'Council Entry'!O$9),'Council Entry'!O$8),'Council Entry'!O202)),IF('Council Entry'!O$4="Exponential",EXP(IF(AND(ISNUMBER('Council Entry'!O$8),ISNUMBER('Council Entry'!O$9)),MAX(MIN('Council Entry'!O202,'Council Entry'!O$9),'Council Entry'!O$8),'Council Entry'!O202)),IF(AND(ISNUMBER('Council Entry'!O$8),ISNUMBER('Council Entry'!O$9)),MAX(MIN('Council Entry'!O202,'Council Entry'!O$9),'Council Entry'!O$8),'Council Entry'!O202))))-'Council Entry'!O$5)/('Council Entry'!O$6-'Council Entry'!O$5),10*((IF('Council Entry'!O$4="Logarithm",LN(0.001+IF(AND(ISNUMBER('Council Entry'!O$8),ISNUMBER('Council Entry'!O$9)),MAX(MIN('Council Entry'!O202,'Council Entry'!O$9),'Council Entry'!O$8),'Council Entry'!O202)),IF('Council Entry'!O$4="Exponential",EXP(IF(AND(ISNUMBER('Council Entry'!O$8),ISNUMBER('Council Entry'!O$9)),MAX(MIN('Council Entry'!O202,'Council Entry'!O$9),'Council Entry'!O$8),'Council Entry'!O202)),IF(AND(ISNUMBER('Council Entry'!O$8),ISNUMBER('Council Entry'!O$9)),MAX(MIN('Council Entry'!O202,'Council Entry'!O$9),'Council Entry'!O$8),'Council Entry'!O202))))-'Council Entry'!O$5)/('Council Entry'!O$6-'Council Entry'!O$5)),1))),"No data"))</f>
        <v/>
      </c>
      <c r="P202" s="13">
        <f>IF('Council Entry'!P202="","",IFERROR(MAX(0,MIN(10,ROUND(IF('Council Entry'!P$7="Decrease Risk",10-10*((IF('Council Entry'!P$4="Logarithm",LN(0.001+IF(AND(ISNUMBER('Council Entry'!P$8),ISNUMBER('Council Entry'!P$9)),MAX(MIN('Council Entry'!P202,'Council Entry'!P$9),'Council Entry'!P$8),'Council Entry'!P202)),IF('Council Entry'!P$4="Exponential",EXP(IF(AND(ISNUMBER('Council Entry'!P$8),ISNUMBER('Council Entry'!P$9)),MAX(MIN('Council Entry'!P202,'Council Entry'!P$9),'Council Entry'!P$8),'Council Entry'!P202)),IF(AND(ISNUMBER('Council Entry'!P$8),ISNUMBER('Council Entry'!P$9)),MAX(MIN('Council Entry'!P202,'Council Entry'!P$9),'Council Entry'!P$8),'Council Entry'!P202))))-'Council Entry'!P$5)/('Council Entry'!P$6-'Council Entry'!P$5),10*((IF('Council Entry'!P$4="Logarithm",LN(0.001+IF(AND(ISNUMBER('Council Entry'!P$8),ISNUMBER('Council Entry'!P$9)),MAX(MIN('Council Entry'!P202,'Council Entry'!P$9),'Council Entry'!P$8),'Council Entry'!P202)),IF('Council Entry'!P$4="Exponential",EXP(IF(AND(ISNUMBER('Council Entry'!P$8),ISNUMBER('Council Entry'!P$9)),MAX(MIN('Council Entry'!P202,'Council Entry'!P$9),'Council Entry'!P$8),'Council Entry'!P202)),IF(AND(ISNUMBER('Council Entry'!P$8),ISNUMBER('Council Entry'!P$9)),MAX(MIN('Council Entry'!P202,'Council Entry'!P$9),'Council Entry'!P$8),'Council Entry'!P202))))-'Council Entry'!P$5)/('Council Entry'!P$6-'Council Entry'!P$5)),1))),"No data"))</f>
        <v/>
      </c>
      <c r="Q202" s="13">
        <f>IF('Council Entry'!Q202="","",IFERROR(MAX(0,MIN(10,ROUND(IF('Council Entry'!Q$7="Decrease Risk",10-10*((IF('Council Entry'!Q$4="Logarithm",LN(0.001+IF(AND(ISNUMBER('Council Entry'!Q$8),ISNUMBER('Council Entry'!Q$9)),MAX(MIN('Council Entry'!Q202,'Council Entry'!Q$9),'Council Entry'!Q$8),'Council Entry'!Q202)),IF('Council Entry'!Q$4="Exponential",EXP(IF(AND(ISNUMBER('Council Entry'!Q$8),ISNUMBER('Council Entry'!Q$9)),MAX(MIN('Council Entry'!Q202,'Council Entry'!Q$9),'Council Entry'!Q$8),'Council Entry'!Q202)),IF(AND(ISNUMBER('Council Entry'!Q$8),ISNUMBER('Council Entry'!Q$9)),MAX(MIN('Council Entry'!Q202,'Council Entry'!Q$9),'Council Entry'!Q$8),'Council Entry'!Q202))))-'Council Entry'!Q$5)/('Council Entry'!Q$6-'Council Entry'!Q$5),10*((IF('Council Entry'!Q$4="Logarithm",LN(0.001+IF(AND(ISNUMBER('Council Entry'!Q$8),ISNUMBER('Council Entry'!Q$9)),MAX(MIN('Council Entry'!Q202,'Council Entry'!Q$9),'Council Entry'!Q$8),'Council Entry'!Q202)),IF('Council Entry'!Q$4="Exponential",EXP(IF(AND(ISNUMBER('Council Entry'!Q$8),ISNUMBER('Council Entry'!Q$9)),MAX(MIN('Council Entry'!Q202,'Council Entry'!Q$9),'Council Entry'!Q$8),'Council Entry'!Q202)),IF(AND(ISNUMBER('Council Entry'!Q$8),ISNUMBER('Council Entry'!Q$9)),MAX(MIN('Council Entry'!Q202,'Council Entry'!Q$9),'Council Entry'!Q$8),'Council Entry'!Q202))))-'Council Entry'!Q$5)/('Council Entry'!Q$6-'Council Entry'!Q$5)),1))),"No data"))</f>
        <v/>
      </c>
      <c r="R202" s="13">
        <f>IF('Council Entry'!R202="","",IFERROR(MAX(0,MIN(10,ROUND(IF('Council Entry'!R$7="Decrease Risk",10-10*((IF('Council Entry'!R$4="Logarithm",LN(0.001+IF(AND(ISNUMBER('Council Entry'!R$8),ISNUMBER('Council Entry'!R$9)),MAX(MIN('Council Entry'!R202,'Council Entry'!R$9),'Council Entry'!R$8),'Council Entry'!R202)),IF('Council Entry'!R$4="Exponential",EXP(IF(AND(ISNUMBER('Council Entry'!R$8),ISNUMBER('Council Entry'!R$9)),MAX(MIN('Council Entry'!R202,'Council Entry'!R$9),'Council Entry'!R$8),'Council Entry'!R202)),IF(AND(ISNUMBER('Council Entry'!R$8),ISNUMBER('Council Entry'!R$9)),MAX(MIN('Council Entry'!R202,'Council Entry'!R$9),'Council Entry'!R$8),'Council Entry'!R202))))-'Council Entry'!R$5)/('Council Entry'!R$6-'Council Entry'!R$5),10*((IF('Council Entry'!R$4="Logarithm",LN(0.001+IF(AND(ISNUMBER('Council Entry'!R$8),ISNUMBER('Council Entry'!R$9)),MAX(MIN('Council Entry'!R202,'Council Entry'!R$9),'Council Entry'!R$8),'Council Entry'!R202)),IF('Council Entry'!R$4="Exponential",EXP(IF(AND(ISNUMBER('Council Entry'!R$8),ISNUMBER('Council Entry'!R$9)),MAX(MIN('Council Entry'!R202,'Council Entry'!R$9),'Council Entry'!R$8),'Council Entry'!R202)),IF(AND(ISNUMBER('Council Entry'!R$8),ISNUMBER('Council Entry'!R$9)),MAX(MIN('Council Entry'!R202,'Council Entry'!R$9),'Council Entry'!R$8),'Council Entry'!R202))))-'Council Entry'!R$5)/('Council Entry'!R$6-'Council Entry'!R$5)),1))),"No data"))</f>
        <v/>
      </c>
      <c r="S202" s="13">
        <f>IF('Council Entry'!S202="","",IFERROR(MAX(0,MIN(10,ROUND(IF('Council Entry'!S$7="Decrease Risk",10-10*((IF('Council Entry'!S$4="Logarithm",LN(0.001+IF(AND(ISNUMBER('Council Entry'!S$8),ISNUMBER('Council Entry'!S$9)),MAX(MIN('Council Entry'!S202,'Council Entry'!S$9),'Council Entry'!S$8),'Council Entry'!S202)),IF('Council Entry'!S$4="Exponential",EXP(IF(AND(ISNUMBER('Council Entry'!S$8),ISNUMBER('Council Entry'!S$9)),MAX(MIN('Council Entry'!S202,'Council Entry'!S$9),'Council Entry'!S$8),'Council Entry'!S202)),IF(AND(ISNUMBER('Council Entry'!S$8),ISNUMBER('Council Entry'!S$9)),MAX(MIN('Council Entry'!S202,'Council Entry'!S$9),'Council Entry'!S$8),'Council Entry'!S202))))-'Council Entry'!S$5)/('Council Entry'!S$6-'Council Entry'!S$5),10*((IF('Council Entry'!S$4="Logarithm",LN(0.001+IF(AND(ISNUMBER('Council Entry'!S$8),ISNUMBER('Council Entry'!S$9)),MAX(MIN('Council Entry'!S202,'Council Entry'!S$9),'Council Entry'!S$8),'Council Entry'!S202)),IF('Council Entry'!S$4="Exponential",EXP(IF(AND(ISNUMBER('Council Entry'!S$8),ISNUMBER('Council Entry'!S$9)),MAX(MIN('Council Entry'!S202,'Council Entry'!S$9),'Council Entry'!S$8),'Council Entry'!S202)),IF(AND(ISNUMBER('Council Entry'!S$8),ISNUMBER('Council Entry'!S$9)),MAX(MIN('Council Entry'!S202,'Council Entry'!S$9),'Council Entry'!S$8),'Council Entry'!S202))))-'Council Entry'!S$5)/('Council Entry'!S$6-'Council Entry'!S$5)),1))),"No data"))</f>
        <v/>
      </c>
      <c r="T202" s="13">
        <f>IF('Council Entry'!T202="","",IFERROR(MAX(0,MIN(10,ROUND(IF('Council Entry'!T$7="Decrease Risk",10-10*((IF('Council Entry'!T$4="Logarithm",LN(0.001+IF(AND(ISNUMBER('Council Entry'!T$8),ISNUMBER('Council Entry'!T$9)),MAX(MIN('Council Entry'!T202,'Council Entry'!T$9),'Council Entry'!T$8),'Council Entry'!T202)),IF('Council Entry'!T$4="Exponential",EXP(IF(AND(ISNUMBER('Council Entry'!T$8),ISNUMBER('Council Entry'!T$9)),MAX(MIN('Council Entry'!T202,'Council Entry'!T$9),'Council Entry'!T$8),'Council Entry'!T202)),IF(AND(ISNUMBER('Council Entry'!T$8),ISNUMBER('Council Entry'!T$9)),MAX(MIN('Council Entry'!T202,'Council Entry'!T$9),'Council Entry'!T$8),'Council Entry'!T202))))-'Council Entry'!T$5)/('Council Entry'!T$6-'Council Entry'!T$5),10*((IF('Council Entry'!T$4="Logarithm",LN(0.001+IF(AND(ISNUMBER('Council Entry'!T$8),ISNUMBER('Council Entry'!T$9)),MAX(MIN('Council Entry'!T202,'Council Entry'!T$9),'Council Entry'!T$8),'Council Entry'!T202)),IF('Council Entry'!T$4="Exponential",EXP(IF(AND(ISNUMBER('Council Entry'!T$8),ISNUMBER('Council Entry'!T$9)),MAX(MIN('Council Entry'!T202,'Council Entry'!T$9),'Council Entry'!T$8),'Council Entry'!T202)),IF(AND(ISNUMBER('Council Entry'!T$8),ISNUMBER('Council Entry'!T$9)),MAX(MIN('Council Entry'!T202,'Council Entry'!T$9),'Council Entry'!T$8),'Council Entry'!T202))))-'Council Entry'!T$5)/('Council Entry'!T$6-'Council Entry'!T$5)),1))),"No data"))</f>
        <v/>
      </c>
      <c r="U202" s="13">
        <f>IF('Council Entry'!U202="","",IFERROR(MAX(0,MIN(10,ROUND(IF('Council Entry'!U$7="Decrease Risk",10-10*((IF('Council Entry'!U$4="Logarithm",LN(0.001+IF(AND(ISNUMBER('Council Entry'!U$8),ISNUMBER('Council Entry'!U$9)),MAX(MIN('Council Entry'!U202,'Council Entry'!U$9),'Council Entry'!U$8),'Council Entry'!U202)),IF('Council Entry'!U$4="Exponential",EXP(IF(AND(ISNUMBER('Council Entry'!U$8),ISNUMBER('Council Entry'!U$9)),MAX(MIN('Council Entry'!U202,'Council Entry'!U$9),'Council Entry'!U$8),'Council Entry'!U202)),IF(AND(ISNUMBER('Council Entry'!U$8),ISNUMBER('Council Entry'!U$9)),MAX(MIN('Council Entry'!U202,'Council Entry'!U$9),'Council Entry'!U$8),'Council Entry'!U202))))-'Council Entry'!U$5)/('Council Entry'!U$6-'Council Entry'!U$5),10*((IF('Council Entry'!U$4="Logarithm",LN(0.001+IF(AND(ISNUMBER('Council Entry'!U$8),ISNUMBER('Council Entry'!U$9)),MAX(MIN('Council Entry'!U202,'Council Entry'!U$9),'Council Entry'!U$8),'Council Entry'!U202)),IF('Council Entry'!U$4="Exponential",EXP(IF(AND(ISNUMBER('Council Entry'!U$8),ISNUMBER('Council Entry'!U$9)),MAX(MIN('Council Entry'!U202,'Council Entry'!U$9),'Council Entry'!U$8),'Council Entry'!U202)),IF(AND(ISNUMBER('Council Entry'!U$8),ISNUMBER('Council Entry'!U$9)),MAX(MIN('Council Entry'!U202,'Council Entry'!U$9),'Council Entry'!U$8),'Council Entry'!U202))))-'Council Entry'!U$5)/('Council Entry'!U$6-'Council Entry'!U$5)),1))),"No data"))</f>
        <v/>
      </c>
      <c r="V202" s="13">
        <f>IF('Council Entry'!V202="","",IFERROR(MAX(0,MIN(10,ROUND(IF('Council Entry'!V$7="Decrease Risk",10-10*((IF('Council Entry'!V$4="Logarithm",LN(0.001+IF(AND(ISNUMBER('Council Entry'!V$8),ISNUMBER('Council Entry'!V$9)),MAX(MIN('Council Entry'!V202,'Council Entry'!V$9),'Council Entry'!V$8),'Council Entry'!V202)),IF('Council Entry'!V$4="Exponential",EXP(IF(AND(ISNUMBER('Council Entry'!V$8),ISNUMBER('Council Entry'!V$9)),MAX(MIN('Council Entry'!V202,'Council Entry'!V$9),'Council Entry'!V$8),'Council Entry'!V202)),IF(AND(ISNUMBER('Council Entry'!V$8),ISNUMBER('Council Entry'!V$9)),MAX(MIN('Council Entry'!V202,'Council Entry'!V$9),'Council Entry'!V$8),'Council Entry'!V202))))-'Council Entry'!V$5)/('Council Entry'!V$6-'Council Entry'!V$5),10*((IF('Council Entry'!V$4="Logarithm",LN(0.001+IF(AND(ISNUMBER('Council Entry'!V$8),ISNUMBER('Council Entry'!V$9)),MAX(MIN('Council Entry'!V202,'Council Entry'!V$9),'Council Entry'!V$8),'Council Entry'!V202)),IF('Council Entry'!V$4="Exponential",EXP(IF(AND(ISNUMBER('Council Entry'!V$8),ISNUMBER('Council Entry'!V$9)),MAX(MIN('Council Entry'!V202,'Council Entry'!V$9),'Council Entry'!V$8),'Council Entry'!V202)),IF(AND(ISNUMBER('Council Entry'!V$8),ISNUMBER('Council Entry'!V$9)),MAX(MIN('Council Entry'!V202,'Council Entry'!V$9),'Council Entry'!V$8),'Council Entry'!V202))))-'Council Entry'!V$5)/('Council Entry'!V$6-'Council Entry'!V$5)),1))),"No data"))</f>
        <v/>
      </c>
      <c r="W202" s="13">
        <f>IF('Council Entry'!W202="","",IFERROR(MAX(0,MIN(10,ROUND(IF('Council Entry'!W$7="Decrease Risk",10-10*((IF('Council Entry'!W$4="Logarithm",LN(0.001+IF(AND(ISNUMBER('Council Entry'!W$8),ISNUMBER('Council Entry'!W$9)),MAX(MIN('Council Entry'!W202,'Council Entry'!W$9),'Council Entry'!W$8),'Council Entry'!W202)),IF('Council Entry'!W$4="Exponential",EXP(IF(AND(ISNUMBER('Council Entry'!W$8),ISNUMBER('Council Entry'!W$9)),MAX(MIN('Council Entry'!W202,'Council Entry'!W$9),'Council Entry'!W$8),'Council Entry'!W202)),IF(AND(ISNUMBER('Council Entry'!W$8),ISNUMBER('Council Entry'!W$9)),MAX(MIN('Council Entry'!W202,'Council Entry'!W$9),'Council Entry'!W$8),'Council Entry'!W202))))-'Council Entry'!W$5)/('Council Entry'!W$6-'Council Entry'!W$5),10*((IF('Council Entry'!W$4="Logarithm",LN(0.001+IF(AND(ISNUMBER('Council Entry'!W$8),ISNUMBER('Council Entry'!W$9)),MAX(MIN('Council Entry'!W202,'Council Entry'!W$9),'Council Entry'!W$8),'Council Entry'!W202)),IF('Council Entry'!W$4="Exponential",EXP(IF(AND(ISNUMBER('Council Entry'!W$8),ISNUMBER('Council Entry'!W$9)),MAX(MIN('Council Entry'!W202,'Council Entry'!W$9),'Council Entry'!W$8),'Council Entry'!W202)),IF(AND(ISNUMBER('Council Entry'!W$8),ISNUMBER('Council Entry'!W$9)),MAX(MIN('Council Entry'!W202,'Council Entry'!W$9),'Council Entry'!W$8),'Council Entry'!W202))))-'Council Entry'!W$5)/('Council Entry'!W$6-'Council Entry'!W$5)),1))),"No data"))</f>
        <v/>
      </c>
      <c r="X202" s="13">
        <f>IF('Council Entry'!X202="","",IFERROR(MAX(0,MIN(10,ROUND(IF('Council Entry'!X$7="Decrease Risk",10-10*((IF('Council Entry'!X$4="Logarithm",LN(0.001+IF(AND(ISNUMBER('Council Entry'!X$8),ISNUMBER('Council Entry'!X$9)),MAX(MIN('Council Entry'!X202,'Council Entry'!X$9),'Council Entry'!X$8),'Council Entry'!X202)),IF('Council Entry'!X$4="Exponential",EXP(IF(AND(ISNUMBER('Council Entry'!X$8),ISNUMBER('Council Entry'!X$9)),MAX(MIN('Council Entry'!X202,'Council Entry'!X$9),'Council Entry'!X$8),'Council Entry'!X202)),IF(AND(ISNUMBER('Council Entry'!X$8),ISNUMBER('Council Entry'!X$9)),MAX(MIN('Council Entry'!X202,'Council Entry'!X$9),'Council Entry'!X$8),'Council Entry'!X202))))-'Council Entry'!X$5)/('Council Entry'!X$6-'Council Entry'!X$5),10*((IF('Council Entry'!X$4="Logarithm",LN(0.001+IF(AND(ISNUMBER('Council Entry'!X$8),ISNUMBER('Council Entry'!X$9)),MAX(MIN('Council Entry'!X202,'Council Entry'!X$9),'Council Entry'!X$8),'Council Entry'!X202)),IF('Council Entry'!X$4="Exponential",EXP(IF(AND(ISNUMBER('Council Entry'!X$8),ISNUMBER('Council Entry'!X$9)),MAX(MIN('Council Entry'!X202,'Council Entry'!X$9),'Council Entry'!X$8),'Council Entry'!X202)),IF(AND(ISNUMBER('Council Entry'!X$8),ISNUMBER('Council Entry'!X$9)),MAX(MIN('Council Entry'!X202,'Council Entry'!X$9),'Council Entry'!X$8),'Council Entry'!X202))))-'Council Entry'!X$5)/('Council Entry'!X$6-'Council Entry'!X$5)),1))),"No data"))</f>
        <v/>
      </c>
      <c r="Y202" s="13">
        <f>IF('Council Entry'!Y202="","",IFERROR(MAX(0,MIN(10,ROUND(IF('Council Entry'!Y$7="Decrease Risk",10-10*((IF('Council Entry'!Y$4="Logarithm",LN(0.001+IF(AND(ISNUMBER('Council Entry'!Y$8),ISNUMBER('Council Entry'!Y$9)),MAX(MIN('Council Entry'!Y202,'Council Entry'!Y$9),'Council Entry'!Y$8),'Council Entry'!Y202)),IF('Council Entry'!Y$4="Exponential",EXP(IF(AND(ISNUMBER('Council Entry'!Y$8),ISNUMBER('Council Entry'!Y$9)),MAX(MIN('Council Entry'!Y202,'Council Entry'!Y$9),'Council Entry'!Y$8),'Council Entry'!Y202)),IF(AND(ISNUMBER('Council Entry'!Y$8),ISNUMBER('Council Entry'!Y$9)),MAX(MIN('Council Entry'!Y202,'Council Entry'!Y$9),'Council Entry'!Y$8),'Council Entry'!Y202))))-'Council Entry'!Y$5)/('Council Entry'!Y$6-'Council Entry'!Y$5),10*((IF('Council Entry'!Y$4="Logarithm",LN(0.001+IF(AND(ISNUMBER('Council Entry'!Y$8),ISNUMBER('Council Entry'!Y$9)),MAX(MIN('Council Entry'!Y202,'Council Entry'!Y$9),'Council Entry'!Y$8),'Council Entry'!Y202)),IF('Council Entry'!Y$4="Exponential",EXP(IF(AND(ISNUMBER('Council Entry'!Y$8),ISNUMBER('Council Entry'!Y$9)),MAX(MIN('Council Entry'!Y202,'Council Entry'!Y$9),'Council Entry'!Y$8),'Council Entry'!Y202)),IF(AND(ISNUMBER('Council Entry'!Y$8),ISNUMBER('Council Entry'!Y$9)),MAX(MIN('Council Entry'!Y202,'Council Entry'!Y$9),'Council Entry'!Y$8),'Council Entry'!Y202))))-'Council Entry'!Y$5)/('Council Entry'!Y$6-'Council Entry'!Y$5)),1))),"No data"))</f>
        <v/>
      </c>
      <c r="Z202" s="13">
        <f>IF('Council Entry'!Z202="","",IFERROR(MAX(0,MIN(10,ROUND(IF('Council Entry'!Z$7="Decrease Risk",10-10*((IF('Council Entry'!Z$4="Logarithm",LN(0.001+IF(AND(ISNUMBER('Council Entry'!Z$8),ISNUMBER('Council Entry'!Z$9)),MAX(MIN('Council Entry'!Z202,'Council Entry'!Z$9),'Council Entry'!Z$8),'Council Entry'!Z202)),IF('Council Entry'!Z$4="Exponential",EXP(IF(AND(ISNUMBER('Council Entry'!Z$8),ISNUMBER('Council Entry'!Z$9)),MAX(MIN('Council Entry'!Z202,'Council Entry'!Z$9),'Council Entry'!Z$8),'Council Entry'!Z202)),IF(AND(ISNUMBER('Council Entry'!Z$8),ISNUMBER('Council Entry'!Z$9)),MAX(MIN('Council Entry'!Z202,'Council Entry'!Z$9),'Council Entry'!Z$8),'Council Entry'!Z202))))-'Council Entry'!Z$5)/('Council Entry'!Z$6-'Council Entry'!Z$5),10*((IF('Council Entry'!Z$4="Logarithm",LN(0.001+IF(AND(ISNUMBER('Council Entry'!Z$8),ISNUMBER('Council Entry'!Z$9)),MAX(MIN('Council Entry'!Z202,'Council Entry'!Z$9),'Council Entry'!Z$8),'Council Entry'!Z202)),IF('Council Entry'!Z$4="Exponential",EXP(IF(AND(ISNUMBER('Council Entry'!Z$8),ISNUMBER('Council Entry'!Z$9)),MAX(MIN('Council Entry'!Z202,'Council Entry'!Z$9),'Council Entry'!Z$8),'Council Entry'!Z202)),IF(AND(ISNUMBER('Council Entry'!Z$8),ISNUMBER('Council Entry'!Z$9)),MAX(MIN('Council Entry'!Z202,'Council Entry'!Z$9),'Council Entry'!Z$8),'Council Entry'!Z202))))-'Council Entry'!Z$5)/('Council Entry'!Z$6-'Council Entry'!Z$5)),1))),"No data"))</f>
        <v/>
      </c>
      <c r="AA202" s="13">
        <f>IF('Council Entry'!AA202="","",IFERROR(MAX(0,MIN(10,ROUND(IF('Council Entry'!AA$7="Decrease Risk",10-10*((IF('Council Entry'!AA$4="Logarithm",LN(0.001+IF(AND(ISNUMBER('Council Entry'!AA$8),ISNUMBER('Council Entry'!AA$9)),MAX(MIN('Council Entry'!AA202,'Council Entry'!AA$9),'Council Entry'!AA$8),'Council Entry'!AA202)),IF('Council Entry'!AA$4="Exponential",EXP(IF(AND(ISNUMBER('Council Entry'!AA$8),ISNUMBER('Council Entry'!AA$9)),MAX(MIN('Council Entry'!AA202,'Council Entry'!AA$9),'Council Entry'!AA$8),'Council Entry'!AA202)),IF(AND(ISNUMBER('Council Entry'!AA$8),ISNUMBER('Council Entry'!AA$9)),MAX(MIN('Council Entry'!AA202,'Council Entry'!AA$9),'Council Entry'!AA$8),'Council Entry'!AA202))))-'Council Entry'!AA$5)/('Council Entry'!AA$6-'Council Entry'!AA$5),10*((IF('Council Entry'!AA$4="Logarithm",LN(0.001+IF(AND(ISNUMBER('Council Entry'!AA$8),ISNUMBER('Council Entry'!AA$9)),MAX(MIN('Council Entry'!AA202,'Council Entry'!AA$9),'Council Entry'!AA$8),'Council Entry'!AA202)),IF('Council Entry'!AA$4="Exponential",EXP(IF(AND(ISNUMBER('Council Entry'!AA$8),ISNUMBER('Council Entry'!AA$9)),MAX(MIN('Council Entry'!AA202,'Council Entry'!AA$9),'Council Entry'!AA$8),'Council Entry'!AA202)),IF(AND(ISNUMBER('Council Entry'!AA$8),ISNUMBER('Council Entry'!AA$9)),MAX(MIN('Council Entry'!AA202,'Council Entry'!AA$9),'Council Entry'!AA$8),'Council Entry'!AA202))))-'Council Entry'!AA$5)/('Council Entry'!AA$6-'Council Entry'!AA$5)),1))),"No data"))</f>
        <v/>
      </c>
      <c r="AB202" s="13">
        <f>IF('Council Entry'!AB202="","",IFERROR(MAX(0,MIN(10,ROUND(IF('Council Entry'!AB$7="Decrease Risk",10-10*((IF('Council Entry'!AB$4="Logarithm",LN(0.001+IF(AND(ISNUMBER('Council Entry'!AB$8),ISNUMBER('Council Entry'!AB$9)),MAX(MIN('Council Entry'!AB202,'Council Entry'!AB$9),'Council Entry'!AB$8),'Council Entry'!AB202)),IF('Council Entry'!AB$4="Exponential",EXP(IF(AND(ISNUMBER('Council Entry'!AB$8),ISNUMBER('Council Entry'!AB$9)),MAX(MIN('Council Entry'!AB202,'Council Entry'!AB$9),'Council Entry'!AB$8),'Council Entry'!AB202)),IF(AND(ISNUMBER('Council Entry'!AB$8),ISNUMBER('Council Entry'!AB$9)),MAX(MIN('Council Entry'!AB202,'Council Entry'!AB$9),'Council Entry'!AB$8),'Council Entry'!AB202))))-'Council Entry'!AB$5)/('Council Entry'!AB$6-'Council Entry'!AB$5),10*((IF('Council Entry'!AB$4="Logarithm",LN(0.001+IF(AND(ISNUMBER('Council Entry'!AB$8),ISNUMBER('Council Entry'!AB$9)),MAX(MIN('Council Entry'!AB202,'Council Entry'!AB$9),'Council Entry'!AB$8),'Council Entry'!AB202)),IF('Council Entry'!AB$4="Exponential",EXP(IF(AND(ISNUMBER('Council Entry'!AB$8),ISNUMBER('Council Entry'!AB$9)),MAX(MIN('Council Entry'!AB202,'Council Entry'!AB$9),'Council Entry'!AB$8),'Council Entry'!AB202)),IF(AND(ISNUMBER('Council Entry'!AB$8),ISNUMBER('Council Entry'!AB$9)),MAX(MIN('Council Entry'!AB202,'Council Entry'!AB$9),'Council Entry'!AB$8),'Council Entry'!AB202))))-'Council Entry'!AB$5)/('Council Entry'!AB$6-'Council Entry'!AB$5)),1))),"No data"))</f>
        <v/>
      </c>
      <c r="AC202" s="13">
        <f>IF('Council Entry'!AC202="","",IFERROR(MAX(0,MIN(10,ROUND(IF('Council Entry'!AC$7="Decrease Risk",10-10*((IF('Council Entry'!AC$4="Logarithm",LN(0.001+IF(AND(ISNUMBER('Council Entry'!AC$8),ISNUMBER('Council Entry'!AC$9)),MAX(MIN('Council Entry'!AC202,'Council Entry'!AC$9),'Council Entry'!AC$8),'Council Entry'!AC202)),IF('Council Entry'!AC$4="Exponential",EXP(IF(AND(ISNUMBER('Council Entry'!AC$8),ISNUMBER('Council Entry'!AC$9)),MAX(MIN('Council Entry'!AC202,'Council Entry'!AC$9),'Council Entry'!AC$8),'Council Entry'!AC202)),IF(AND(ISNUMBER('Council Entry'!AC$8),ISNUMBER('Council Entry'!AC$9)),MAX(MIN('Council Entry'!AC202,'Council Entry'!AC$9),'Council Entry'!AC$8),'Council Entry'!AC202))))-'Council Entry'!AC$5)/('Council Entry'!AC$6-'Council Entry'!AC$5),10*((IF('Council Entry'!AC$4="Logarithm",LN(0.001+IF(AND(ISNUMBER('Council Entry'!AC$8),ISNUMBER('Council Entry'!AC$9)),MAX(MIN('Council Entry'!AC202,'Council Entry'!AC$9),'Council Entry'!AC$8),'Council Entry'!AC202)),IF('Council Entry'!AC$4="Exponential",EXP(IF(AND(ISNUMBER('Council Entry'!AC$8),ISNUMBER('Council Entry'!AC$9)),MAX(MIN('Council Entry'!AC202,'Council Entry'!AC$9),'Council Entry'!AC$8),'Council Entry'!AC202)),IF(AND(ISNUMBER('Council Entry'!AC$8),ISNUMBER('Council Entry'!AC$9)),MAX(MIN('Council Entry'!AC202,'Council Entry'!AC$9),'Council Entry'!AC$8),'Council Entry'!AC202))))-'Council Entry'!AC$5)/('Council Entry'!AC$6-'Council Entry'!AC$5)),1))),"No data"))</f>
        <v/>
      </c>
      <c r="AD202" s="13">
        <f>IF('Council Entry'!AD202="","",IFERROR(MAX(0,MIN(10,ROUND(IF('Council Entry'!AD$7="Decrease Risk",10-10*((IF('Council Entry'!AD$4="Logarithm",LN(0.001+IF(AND(ISNUMBER('Council Entry'!AD$8),ISNUMBER('Council Entry'!AD$9)),MAX(MIN('Council Entry'!AD202,'Council Entry'!AD$9),'Council Entry'!AD$8),'Council Entry'!AD202)),IF('Council Entry'!AD$4="Exponential",EXP(IF(AND(ISNUMBER('Council Entry'!AD$8),ISNUMBER('Council Entry'!AD$9)),MAX(MIN('Council Entry'!AD202,'Council Entry'!AD$9),'Council Entry'!AD$8),'Council Entry'!AD202)),IF(AND(ISNUMBER('Council Entry'!AD$8),ISNUMBER('Council Entry'!AD$9)),MAX(MIN('Council Entry'!AD202,'Council Entry'!AD$9),'Council Entry'!AD$8),'Council Entry'!AD202))))-'Council Entry'!AD$5)/('Council Entry'!AD$6-'Council Entry'!AD$5),10*((IF('Council Entry'!AD$4="Logarithm",LN(0.001+IF(AND(ISNUMBER('Council Entry'!AD$8),ISNUMBER('Council Entry'!AD$9)),MAX(MIN('Council Entry'!AD202,'Council Entry'!AD$9),'Council Entry'!AD$8),'Council Entry'!AD202)),IF('Council Entry'!AD$4="Exponential",EXP(IF(AND(ISNUMBER('Council Entry'!AD$8),ISNUMBER('Council Entry'!AD$9)),MAX(MIN('Council Entry'!AD202,'Council Entry'!AD$9),'Council Entry'!AD$8),'Council Entry'!AD202)),IF(AND(ISNUMBER('Council Entry'!AD$8),ISNUMBER('Council Entry'!AD$9)),MAX(MIN('Council Entry'!AD202,'Council Entry'!AD$9),'Council Entry'!AD$8),'Council Entry'!AD202))))-'Council Entry'!AD$5)/('Council Entry'!AD$6-'Council Entry'!AD$5)),1))),"No data"))</f>
        <v/>
      </c>
      <c r="AE202" s="13">
        <f>IF('Council Entry'!AE202="","",IFERROR(MAX(0,MIN(10,ROUND(IF('Council Entry'!AE$7="Decrease Risk",10-10*((IF('Council Entry'!AE$4="Logarithm",LN(0.001+IF(AND(ISNUMBER('Council Entry'!AE$8),ISNUMBER('Council Entry'!AE$9)),MAX(MIN('Council Entry'!AE202,'Council Entry'!AE$9),'Council Entry'!AE$8),'Council Entry'!AE202)),IF('Council Entry'!AE$4="Exponential",EXP(IF(AND(ISNUMBER('Council Entry'!AE$8),ISNUMBER('Council Entry'!AE$9)),MAX(MIN('Council Entry'!AE202,'Council Entry'!AE$9),'Council Entry'!AE$8),'Council Entry'!AE202)),IF(AND(ISNUMBER('Council Entry'!AE$8),ISNUMBER('Council Entry'!AE$9)),MAX(MIN('Council Entry'!AE202,'Council Entry'!AE$9),'Council Entry'!AE$8),'Council Entry'!AE202))))-'Council Entry'!AE$5)/('Council Entry'!AE$6-'Council Entry'!AE$5),10*((IF('Council Entry'!AE$4="Logarithm",LN(0.001+IF(AND(ISNUMBER('Council Entry'!AE$8),ISNUMBER('Council Entry'!AE$9)),MAX(MIN('Council Entry'!AE202,'Council Entry'!AE$9),'Council Entry'!AE$8),'Council Entry'!AE202)),IF('Council Entry'!AE$4="Exponential",EXP(IF(AND(ISNUMBER('Council Entry'!AE$8),ISNUMBER('Council Entry'!AE$9)),MAX(MIN('Council Entry'!AE202,'Council Entry'!AE$9),'Council Entry'!AE$8),'Council Entry'!AE202)),IF(AND(ISNUMBER('Council Entry'!AE$8),ISNUMBER('Council Entry'!AE$9)),MAX(MIN('Council Entry'!AE202,'Council Entry'!AE$9),'Council Entry'!AE$8),'Council Entry'!AE202))))-'Council Entry'!AE$5)/('Council Entry'!AE$6-'Council Entry'!AE$5)),1))),"No data"))</f>
        <v/>
      </c>
      <c r="AF202" s="13">
        <f>IF('Council Entry'!AF202="","",IFERROR(MAX(0,MIN(10,ROUND(IF('Council Entry'!AF$7="Decrease Risk",10-10*((IF('Council Entry'!AF$4="Logarithm",LN(0.001+IF(AND(ISNUMBER('Council Entry'!AF$8),ISNUMBER('Council Entry'!AF$9)),MAX(MIN('Council Entry'!AF202,'Council Entry'!AF$9),'Council Entry'!AF$8),'Council Entry'!AF202)),IF('Council Entry'!AF$4="Exponential",EXP(IF(AND(ISNUMBER('Council Entry'!AF$8),ISNUMBER('Council Entry'!AF$9)),MAX(MIN('Council Entry'!AF202,'Council Entry'!AF$9),'Council Entry'!AF$8),'Council Entry'!AF202)),IF(AND(ISNUMBER('Council Entry'!AF$8),ISNUMBER('Council Entry'!AF$9)),MAX(MIN('Council Entry'!AF202,'Council Entry'!AF$9),'Council Entry'!AF$8),'Council Entry'!AF202))))-'Council Entry'!AF$5)/('Council Entry'!AF$6-'Council Entry'!AF$5),10*((IF('Council Entry'!AF$4="Logarithm",LN(0.001+IF(AND(ISNUMBER('Council Entry'!AF$8),ISNUMBER('Council Entry'!AF$9)),MAX(MIN('Council Entry'!AF202,'Council Entry'!AF$9),'Council Entry'!AF$8),'Council Entry'!AF202)),IF('Council Entry'!AF$4="Exponential",EXP(IF(AND(ISNUMBER('Council Entry'!AF$8),ISNUMBER('Council Entry'!AF$9)),MAX(MIN('Council Entry'!AF202,'Council Entry'!AF$9),'Council Entry'!AF$8),'Council Entry'!AF202)),IF(AND(ISNUMBER('Council Entry'!AF$8),ISNUMBER('Council Entry'!AF$9)),MAX(MIN('Council Entry'!AF202,'Council Entry'!AF$9),'Council Entry'!AF$8),'Council Entry'!AF202))))-'Council Entry'!AF$5)/('Council Entry'!AF$6-'Council Entry'!AF$5)),1))),"No data"))</f>
        <v/>
      </c>
      <c r="AG202" s="13">
        <f>IF('Council Entry'!AG202="","",IFERROR(MAX(0,MIN(10,ROUND(IF('Council Entry'!AG$7="Decrease Risk",10-10*((IF('Council Entry'!AG$4="Logarithm",LN(0.001+IF(AND(ISNUMBER('Council Entry'!AG$8),ISNUMBER('Council Entry'!AG$9)),MAX(MIN('Council Entry'!AG202,'Council Entry'!AG$9),'Council Entry'!AG$8),'Council Entry'!AG202)),IF('Council Entry'!AG$4="Exponential",EXP(IF(AND(ISNUMBER('Council Entry'!AG$8),ISNUMBER('Council Entry'!AG$9)),MAX(MIN('Council Entry'!AG202,'Council Entry'!AG$9),'Council Entry'!AG$8),'Council Entry'!AG202)),IF(AND(ISNUMBER('Council Entry'!AG$8),ISNUMBER('Council Entry'!AG$9)),MAX(MIN('Council Entry'!AG202,'Council Entry'!AG$9),'Council Entry'!AG$8),'Council Entry'!AG202))))-'Council Entry'!AG$5)/('Council Entry'!AG$6-'Council Entry'!AG$5),10*((IF('Council Entry'!AG$4="Logarithm",LN(0.001+IF(AND(ISNUMBER('Council Entry'!AG$8),ISNUMBER('Council Entry'!AG$9)),MAX(MIN('Council Entry'!AG202,'Council Entry'!AG$9),'Council Entry'!AG$8),'Council Entry'!AG202)),IF('Council Entry'!AG$4="Exponential",EXP(IF(AND(ISNUMBER('Council Entry'!AG$8),ISNUMBER('Council Entry'!AG$9)),MAX(MIN('Council Entry'!AG202,'Council Entry'!AG$9),'Council Entry'!AG$8),'Council Entry'!AG202)),IF(AND(ISNUMBER('Council Entry'!AG$8),ISNUMBER('Council Entry'!AG$9)),MAX(MIN('Council Entry'!AG202,'Council Entry'!AG$9),'Council Entry'!AG$8),'Council Entry'!AG202))))-'Council Entry'!AG$5)/('Council Entry'!AG$6-'Council Entry'!AG$5)),1))),"No data"))</f>
        <v/>
      </c>
      <c r="AH202" s="13">
        <f>IF('Council Entry'!AH202="","",IFERROR(MAX(0,MIN(10,ROUND(IF('Council Entry'!AH$7="Decrease Risk",10-10*((IF('Council Entry'!AH$4="Logarithm",LN(0.001+IF(AND(ISNUMBER('Council Entry'!AH$8),ISNUMBER('Council Entry'!AH$9)),MAX(MIN('Council Entry'!AH202,'Council Entry'!AH$9),'Council Entry'!AH$8),'Council Entry'!AH202)),IF('Council Entry'!AH$4="Exponential",EXP(IF(AND(ISNUMBER('Council Entry'!AH$8),ISNUMBER('Council Entry'!AH$9)),MAX(MIN('Council Entry'!AH202,'Council Entry'!AH$9),'Council Entry'!AH$8),'Council Entry'!AH202)),IF(AND(ISNUMBER('Council Entry'!AH$8),ISNUMBER('Council Entry'!AH$9)),MAX(MIN('Council Entry'!AH202,'Council Entry'!AH$9),'Council Entry'!AH$8),'Council Entry'!AH202))))-'Council Entry'!AH$5)/('Council Entry'!AH$6-'Council Entry'!AH$5),10*((IF('Council Entry'!AH$4="Logarithm",LN(0.001+IF(AND(ISNUMBER('Council Entry'!AH$8),ISNUMBER('Council Entry'!AH$9)),MAX(MIN('Council Entry'!AH202,'Council Entry'!AH$9),'Council Entry'!AH$8),'Council Entry'!AH202)),IF('Council Entry'!AH$4="Exponential",EXP(IF(AND(ISNUMBER('Council Entry'!AH$8),ISNUMBER('Council Entry'!AH$9)),MAX(MIN('Council Entry'!AH202,'Council Entry'!AH$9),'Council Entry'!AH$8),'Council Entry'!AH202)),IF(AND(ISNUMBER('Council Entry'!AH$8),ISNUMBER('Council Entry'!AH$9)),MAX(MIN('Council Entry'!AH202,'Council Entry'!AH$9),'Council Entry'!AH$8),'Council Entry'!AH202))))-'Council Entry'!AH$5)/('Council Entry'!AH$6-'Council Entry'!AH$5)),1))),"No data"))</f>
        <v/>
      </c>
      <c r="AI202" s="13">
        <f>IF('Council Entry'!AI202="","",IFERROR(MAX(0,MIN(10,ROUND(IF('Council Entry'!AI$7="Decrease Risk",10-10*((IF('Council Entry'!AI$4="Logarithm",LN(0.001+IF(AND(ISNUMBER('Council Entry'!AI$8),ISNUMBER('Council Entry'!AI$9)),MAX(MIN('Council Entry'!AI202,'Council Entry'!AI$9),'Council Entry'!AI$8),'Council Entry'!AI202)),IF('Council Entry'!AI$4="Exponential",EXP(IF(AND(ISNUMBER('Council Entry'!AI$8),ISNUMBER('Council Entry'!AI$9)),MAX(MIN('Council Entry'!AI202,'Council Entry'!AI$9),'Council Entry'!AI$8),'Council Entry'!AI202)),IF(AND(ISNUMBER('Council Entry'!AI$8),ISNUMBER('Council Entry'!AI$9)),MAX(MIN('Council Entry'!AI202,'Council Entry'!AI$9),'Council Entry'!AI$8),'Council Entry'!AI202))))-'Council Entry'!AI$5)/('Council Entry'!AI$6-'Council Entry'!AI$5),10*((IF('Council Entry'!AI$4="Logarithm",LN(0.001+IF(AND(ISNUMBER('Council Entry'!AI$8),ISNUMBER('Council Entry'!AI$9)),MAX(MIN('Council Entry'!AI202,'Council Entry'!AI$9),'Council Entry'!AI$8),'Council Entry'!AI202)),IF('Council Entry'!AI$4="Exponential",EXP(IF(AND(ISNUMBER('Council Entry'!AI$8),ISNUMBER('Council Entry'!AI$9)),MAX(MIN('Council Entry'!AI202,'Council Entry'!AI$9),'Council Entry'!AI$8),'Council Entry'!AI202)),IF(AND(ISNUMBER('Council Entry'!AI$8),ISNUMBER('Council Entry'!AI$9)),MAX(MIN('Council Entry'!AI202,'Council Entry'!AI$9),'Council Entry'!AI$8),'Council Entry'!AI202))))-'Council Entry'!AI$5)/('Council Entry'!AI$6-'Council Entry'!AI$5)),1))),"No data"))</f>
        <v/>
      </c>
      <c r="AJ202" s="13">
        <f>IF('Council Entry'!AJ202="","",IFERROR(MAX(0,MIN(10,ROUND(IF('Council Entry'!AJ$7="Decrease Risk",10-10*((IF('Council Entry'!AJ$4="Logarithm",LN(0.001+IF(AND(ISNUMBER('Council Entry'!AJ$8),ISNUMBER('Council Entry'!AJ$9)),MAX(MIN('Council Entry'!AJ202,'Council Entry'!AJ$9),'Council Entry'!AJ$8),'Council Entry'!AJ202)),IF('Council Entry'!AJ$4="Exponential",EXP(IF(AND(ISNUMBER('Council Entry'!AJ$8),ISNUMBER('Council Entry'!AJ$9)),MAX(MIN('Council Entry'!AJ202,'Council Entry'!AJ$9),'Council Entry'!AJ$8),'Council Entry'!AJ202)),IF(AND(ISNUMBER('Council Entry'!AJ$8),ISNUMBER('Council Entry'!AJ$9)),MAX(MIN('Council Entry'!AJ202,'Council Entry'!AJ$9),'Council Entry'!AJ$8),'Council Entry'!AJ202))))-'Council Entry'!AJ$5)/('Council Entry'!AJ$6-'Council Entry'!AJ$5),10*((IF('Council Entry'!AJ$4="Logarithm",LN(0.001+IF(AND(ISNUMBER('Council Entry'!AJ$8),ISNUMBER('Council Entry'!AJ$9)),MAX(MIN('Council Entry'!AJ202,'Council Entry'!AJ$9),'Council Entry'!AJ$8),'Council Entry'!AJ202)),IF('Council Entry'!AJ$4="Exponential",EXP(IF(AND(ISNUMBER('Council Entry'!AJ$8),ISNUMBER('Council Entry'!AJ$9)),MAX(MIN('Council Entry'!AJ202,'Council Entry'!AJ$9),'Council Entry'!AJ$8),'Council Entry'!AJ202)),IF(AND(ISNUMBER('Council Entry'!AJ$8),ISNUMBER('Council Entry'!AJ$9)),MAX(MIN('Council Entry'!AJ202,'Council Entry'!AJ$9),'Council Entry'!AJ$8),'Council Entry'!AJ202))))-'Council Entry'!AJ$5)/('Council Entry'!AJ$6-'Council Entry'!AJ$5)),1))),"No data"))</f>
        <v/>
      </c>
      <c r="AK202" s="13">
        <f>IF('Council Entry'!AK202="","",IFERROR(MAX(0,MIN(10,ROUND(IF('Council Entry'!AK$7="Decrease Risk",10-10*((IF('Council Entry'!AK$4="Logarithm",LN(0.001+IF(AND(ISNUMBER('Council Entry'!AK$8),ISNUMBER('Council Entry'!AK$9)),MAX(MIN('Council Entry'!AK202,'Council Entry'!AK$9),'Council Entry'!AK$8),'Council Entry'!AK202)),IF('Council Entry'!AK$4="Exponential",EXP(IF(AND(ISNUMBER('Council Entry'!AK$8),ISNUMBER('Council Entry'!AK$9)),MAX(MIN('Council Entry'!AK202,'Council Entry'!AK$9),'Council Entry'!AK$8),'Council Entry'!AK202)),IF(AND(ISNUMBER('Council Entry'!AK$8),ISNUMBER('Council Entry'!AK$9)),MAX(MIN('Council Entry'!AK202,'Council Entry'!AK$9),'Council Entry'!AK$8),'Council Entry'!AK202))))-'Council Entry'!AK$5)/('Council Entry'!AK$6-'Council Entry'!AK$5),10*((IF('Council Entry'!AK$4="Logarithm",LN(0.001+IF(AND(ISNUMBER('Council Entry'!AK$8),ISNUMBER('Council Entry'!AK$9)),MAX(MIN('Council Entry'!AK202,'Council Entry'!AK$9),'Council Entry'!AK$8),'Council Entry'!AK202)),IF('Council Entry'!AK$4="Exponential",EXP(IF(AND(ISNUMBER('Council Entry'!AK$8),ISNUMBER('Council Entry'!AK$9)),MAX(MIN('Council Entry'!AK202,'Council Entry'!AK$9),'Council Entry'!AK$8),'Council Entry'!AK202)),IF(AND(ISNUMBER('Council Entry'!AK$8),ISNUMBER('Council Entry'!AK$9)),MAX(MIN('Council Entry'!AK202,'Council Entry'!AK$9),'Council Entry'!AK$8),'Council Entry'!AK202))))-'Council Entry'!AK$5)/('Council Entry'!AK$6-'Council Entry'!AK$5)),1))),"No data"))</f>
        <v/>
      </c>
      <c r="AL202" s="13">
        <f>IF('Council Entry'!AL202="","",IFERROR(MAX(0,MIN(10,ROUND(IF('Council Entry'!AL$7="Decrease Risk",10-10*((IF('Council Entry'!AL$4="Logarithm",LN(0.001+IF(AND(ISNUMBER('Council Entry'!AL$8),ISNUMBER('Council Entry'!AL$9)),MAX(MIN('Council Entry'!AL202,'Council Entry'!AL$9),'Council Entry'!AL$8),'Council Entry'!AL202)),IF('Council Entry'!AL$4="Exponential",EXP(IF(AND(ISNUMBER('Council Entry'!AL$8),ISNUMBER('Council Entry'!AL$9)),MAX(MIN('Council Entry'!AL202,'Council Entry'!AL$9),'Council Entry'!AL$8),'Council Entry'!AL202)),IF(AND(ISNUMBER('Council Entry'!AL$8),ISNUMBER('Council Entry'!AL$9)),MAX(MIN('Council Entry'!AL202,'Council Entry'!AL$9),'Council Entry'!AL$8),'Council Entry'!AL202))))-'Council Entry'!AL$5)/('Council Entry'!AL$6-'Council Entry'!AL$5),10*((IF('Council Entry'!AL$4="Logarithm",LN(0.001+IF(AND(ISNUMBER('Council Entry'!AL$8),ISNUMBER('Council Entry'!AL$9)),MAX(MIN('Council Entry'!AL202,'Council Entry'!AL$9),'Council Entry'!AL$8),'Council Entry'!AL202)),IF('Council Entry'!AL$4="Exponential",EXP(IF(AND(ISNUMBER('Council Entry'!AL$8),ISNUMBER('Council Entry'!AL$9)),MAX(MIN('Council Entry'!AL202,'Council Entry'!AL$9),'Council Entry'!AL$8),'Council Entry'!AL202)),IF(AND(ISNUMBER('Council Entry'!AL$8),ISNUMBER('Council Entry'!AL$9)),MAX(MIN('Council Entry'!AL202,'Council Entry'!AL$9),'Council Entry'!AL$8),'Council Entry'!AL202))))-'Council Entry'!AL$5)/('Council Entry'!AL$6-'Council Entry'!AL$5)),1))),"No data"))</f>
        <v/>
      </c>
      <c r="AM202" s="13">
        <f>IF('Council Entry'!AM202="","",IFERROR(MAX(0,MIN(10,ROUND(IF('Council Entry'!AM$7="Decrease Risk",10-10*((IF('Council Entry'!AM$4="Logarithm",LN(0.001+IF(AND(ISNUMBER('Council Entry'!AM$8),ISNUMBER('Council Entry'!AM$9)),MAX(MIN('Council Entry'!AM202,'Council Entry'!AM$9),'Council Entry'!AM$8),'Council Entry'!AM202)),IF('Council Entry'!AM$4="Exponential",EXP(IF(AND(ISNUMBER('Council Entry'!AM$8),ISNUMBER('Council Entry'!AM$9)),MAX(MIN('Council Entry'!AM202,'Council Entry'!AM$9),'Council Entry'!AM$8),'Council Entry'!AM202)),IF(AND(ISNUMBER('Council Entry'!AM$8),ISNUMBER('Council Entry'!AM$9)),MAX(MIN('Council Entry'!AM202,'Council Entry'!AM$9),'Council Entry'!AM$8),'Council Entry'!AM202))))-'Council Entry'!AM$5)/('Council Entry'!AM$6-'Council Entry'!AM$5),10*((IF('Council Entry'!AM$4="Logarithm",LN(0.001+IF(AND(ISNUMBER('Council Entry'!AM$8),ISNUMBER('Council Entry'!AM$9)),MAX(MIN('Council Entry'!AM202,'Council Entry'!AM$9),'Council Entry'!AM$8),'Council Entry'!AM202)),IF('Council Entry'!AM$4="Exponential",EXP(IF(AND(ISNUMBER('Council Entry'!AM$8),ISNUMBER('Council Entry'!AM$9)),MAX(MIN('Council Entry'!AM202,'Council Entry'!AM$9),'Council Entry'!AM$8),'Council Entry'!AM202)),IF(AND(ISNUMBER('Council Entry'!AM$8),ISNUMBER('Council Entry'!AM$9)),MAX(MIN('Council Entry'!AM202,'Council Entry'!AM$9),'Council Entry'!AM$8),'Council Entry'!AM202))))-'Council Entry'!AM$5)/('Council Entry'!AM$6-'Council Entry'!AM$5)),1))),"No data"))</f>
        <v/>
      </c>
      <c r="AN202" s="13">
        <f>IF('Council Entry'!AN202="","",IFERROR(MAX(0,MIN(10,ROUND(IF('Council Entry'!AN$7="Decrease Risk",10-10*((IF('Council Entry'!AN$4="Logarithm",LN(0.001+IF(AND(ISNUMBER('Council Entry'!AN$8),ISNUMBER('Council Entry'!AN$9)),MAX(MIN('Council Entry'!AN202,'Council Entry'!AN$9),'Council Entry'!AN$8),'Council Entry'!AN202)),IF('Council Entry'!AN$4="Exponential",EXP(IF(AND(ISNUMBER('Council Entry'!AN$8),ISNUMBER('Council Entry'!AN$9)),MAX(MIN('Council Entry'!AN202,'Council Entry'!AN$9),'Council Entry'!AN$8),'Council Entry'!AN202)),IF(AND(ISNUMBER('Council Entry'!AN$8),ISNUMBER('Council Entry'!AN$9)),MAX(MIN('Council Entry'!AN202,'Council Entry'!AN$9),'Council Entry'!AN$8),'Council Entry'!AN202))))-'Council Entry'!AN$5)/('Council Entry'!AN$6-'Council Entry'!AN$5),10*((IF('Council Entry'!AN$4="Logarithm",LN(0.001+IF(AND(ISNUMBER('Council Entry'!AN$8),ISNUMBER('Council Entry'!AN$9)),MAX(MIN('Council Entry'!AN202,'Council Entry'!AN$9),'Council Entry'!AN$8),'Council Entry'!AN202)),IF('Council Entry'!AN$4="Exponential",EXP(IF(AND(ISNUMBER('Council Entry'!AN$8),ISNUMBER('Council Entry'!AN$9)),MAX(MIN('Council Entry'!AN202,'Council Entry'!AN$9),'Council Entry'!AN$8),'Council Entry'!AN202)),IF(AND(ISNUMBER('Council Entry'!AN$8),ISNUMBER('Council Entry'!AN$9)),MAX(MIN('Council Entry'!AN202,'Council Entry'!AN$9),'Council Entry'!AN$8),'Council Entry'!AN202))))-'Council Entry'!AN$5)/('Council Entry'!AN$6-'Council Entry'!AN$5)),1))),"No data"))</f>
        <v/>
      </c>
      <c r="AO202" s="13">
        <f>IF('Council Entry'!AO202="","",IFERROR(MAX(0,MIN(10,ROUND(IF('Council Entry'!AO$7="Decrease Risk",10-10*((IF('Council Entry'!AO$4="Logarithm",LN(0.001+IF(AND(ISNUMBER('Council Entry'!AO$8),ISNUMBER('Council Entry'!AO$9)),MAX(MIN('Council Entry'!AO202,'Council Entry'!AO$9),'Council Entry'!AO$8),'Council Entry'!AO202)),IF('Council Entry'!AO$4="Exponential",EXP(IF(AND(ISNUMBER('Council Entry'!AO$8),ISNUMBER('Council Entry'!AO$9)),MAX(MIN('Council Entry'!AO202,'Council Entry'!AO$9),'Council Entry'!AO$8),'Council Entry'!AO202)),IF(AND(ISNUMBER('Council Entry'!AO$8),ISNUMBER('Council Entry'!AO$9)),MAX(MIN('Council Entry'!AO202,'Council Entry'!AO$9),'Council Entry'!AO$8),'Council Entry'!AO202))))-'Council Entry'!AO$5)/('Council Entry'!AO$6-'Council Entry'!AO$5),10*((IF('Council Entry'!AO$4="Logarithm",LN(0.001+IF(AND(ISNUMBER('Council Entry'!AO$8),ISNUMBER('Council Entry'!AO$9)),MAX(MIN('Council Entry'!AO202,'Council Entry'!AO$9),'Council Entry'!AO$8),'Council Entry'!AO202)),IF('Council Entry'!AO$4="Exponential",EXP(IF(AND(ISNUMBER('Council Entry'!AO$8),ISNUMBER('Council Entry'!AO$9)),MAX(MIN('Council Entry'!AO202,'Council Entry'!AO$9),'Council Entry'!AO$8),'Council Entry'!AO202)),IF(AND(ISNUMBER('Council Entry'!AO$8),ISNUMBER('Council Entry'!AO$9)),MAX(MIN('Council Entry'!AO202,'Council Entry'!AO$9),'Council Entry'!AO$8),'Council Entry'!AO202))))-'Council Entry'!AO$5)/('Council Entry'!AO$6-'Council Entry'!AO$5)),1))),"No data"))</f>
        <v/>
      </c>
      <c r="AP202" s="13">
        <f>IF('Council Entry'!AP202="","",IFERROR(MAX(0,MIN(10,ROUND(IF('Council Entry'!AP$7="Decrease Risk",10-10*((IF('Council Entry'!AP$4="Logarithm",LN(0.001+IF(AND(ISNUMBER('Council Entry'!AP$8),ISNUMBER('Council Entry'!AP$9)),MAX(MIN('Council Entry'!AP202,'Council Entry'!AP$9),'Council Entry'!AP$8),'Council Entry'!AP202)),IF('Council Entry'!AP$4="Exponential",EXP(IF(AND(ISNUMBER('Council Entry'!AP$8),ISNUMBER('Council Entry'!AP$9)),MAX(MIN('Council Entry'!AP202,'Council Entry'!AP$9),'Council Entry'!AP$8),'Council Entry'!AP202)),IF(AND(ISNUMBER('Council Entry'!AP$8),ISNUMBER('Council Entry'!AP$9)),MAX(MIN('Council Entry'!AP202,'Council Entry'!AP$9),'Council Entry'!AP$8),'Council Entry'!AP202))))-'Council Entry'!AP$5)/('Council Entry'!AP$6-'Council Entry'!AP$5),10*((IF('Council Entry'!AP$4="Logarithm",LN(0.001+IF(AND(ISNUMBER('Council Entry'!AP$8),ISNUMBER('Council Entry'!AP$9)),MAX(MIN('Council Entry'!AP202,'Council Entry'!AP$9),'Council Entry'!AP$8),'Council Entry'!AP202)),IF('Council Entry'!AP$4="Exponential",EXP(IF(AND(ISNUMBER('Council Entry'!AP$8),ISNUMBER('Council Entry'!AP$9)),MAX(MIN('Council Entry'!AP202,'Council Entry'!AP$9),'Council Entry'!AP$8),'Council Entry'!AP202)),IF(AND(ISNUMBER('Council Entry'!AP$8),ISNUMBER('Council Entry'!AP$9)),MAX(MIN('Council Entry'!AP202,'Council Entry'!AP$9),'Council Entry'!AP$8),'Council Entry'!AP202))))-'Council Entry'!AP$5)/('Council Entry'!AP$6-'Council Entry'!AP$5)),1))),"No data"))</f>
        <v/>
      </c>
      <c r="AQ202" s="13">
        <f>IF('Council Entry'!AQ202="","",IFERROR(MAX(0,MIN(10,ROUND(IF('Council Entry'!AQ$7="Decrease Risk",10-10*((IF('Council Entry'!AQ$4="Logarithm",LN(0.001+IF(AND(ISNUMBER('Council Entry'!AQ$8),ISNUMBER('Council Entry'!AQ$9)),MAX(MIN('Council Entry'!AQ202,'Council Entry'!AQ$9),'Council Entry'!AQ$8),'Council Entry'!AQ202)),IF('Council Entry'!AQ$4="Exponential",EXP(IF(AND(ISNUMBER('Council Entry'!AQ$8),ISNUMBER('Council Entry'!AQ$9)),MAX(MIN('Council Entry'!AQ202,'Council Entry'!AQ$9),'Council Entry'!AQ$8),'Council Entry'!AQ202)),IF(AND(ISNUMBER('Council Entry'!AQ$8),ISNUMBER('Council Entry'!AQ$9)),MAX(MIN('Council Entry'!AQ202,'Council Entry'!AQ$9),'Council Entry'!AQ$8),'Council Entry'!AQ202))))-'Council Entry'!AQ$5)/('Council Entry'!AQ$6-'Council Entry'!AQ$5),10*((IF('Council Entry'!AQ$4="Logarithm",LN(0.001+IF(AND(ISNUMBER('Council Entry'!AQ$8),ISNUMBER('Council Entry'!AQ$9)),MAX(MIN('Council Entry'!AQ202,'Council Entry'!AQ$9),'Council Entry'!AQ$8),'Council Entry'!AQ202)),IF('Council Entry'!AQ$4="Exponential",EXP(IF(AND(ISNUMBER('Council Entry'!AQ$8),ISNUMBER('Council Entry'!AQ$9)),MAX(MIN('Council Entry'!AQ202,'Council Entry'!AQ$9),'Council Entry'!AQ$8),'Council Entry'!AQ202)),IF(AND(ISNUMBER('Council Entry'!AQ$8),ISNUMBER('Council Entry'!AQ$9)),MAX(MIN('Council Entry'!AQ202,'Council Entry'!AQ$9),'Council Entry'!AQ$8),'Council Entry'!AQ202))))-'Council Entry'!AQ$5)/('Council Entry'!AQ$6-'Council Entry'!AQ$5)),1))),"No data"))</f>
        <v/>
      </c>
      <c r="AR202" s="13">
        <f>IF('Council Entry'!AR202="","",IFERROR(MAX(0,MIN(10,ROUND(IF('Council Entry'!AR$7="Decrease Risk",10-10*((IF('Council Entry'!AR$4="Logarithm",LN(0.001+IF(AND(ISNUMBER('Council Entry'!AR$8),ISNUMBER('Council Entry'!AR$9)),MAX(MIN('Council Entry'!AR202,'Council Entry'!AR$9),'Council Entry'!AR$8),'Council Entry'!AR202)),IF('Council Entry'!AR$4="Exponential",EXP(IF(AND(ISNUMBER('Council Entry'!AR$8),ISNUMBER('Council Entry'!AR$9)),MAX(MIN('Council Entry'!AR202,'Council Entry'!AR$9),'Council Entry'!AR$8),'Council Entry'!AR202)),IF(AND(ISNUMBER('Council Entry'!AR$8),ISNUMBER('Council Entry'!AR$9)),MAX(MIN('Council Entry'!AR202,'Council Entry'!AR$9),'Council Entry'!AR$8),'Council Entry'!AR202))))-'Council Entry'!AR$5)/('Council Entry'!AR$6-'Council Entry'!AR$5),10*((IF('Council Entry'!AR$4="Logarithm",LN(0.001+IF(AND(ISNUMBER('Council Entry'!AR$8),ISNUMBER('Council Entry'!AR$9)),MAX(MIN('Council Entry'!AR202,'Council Entry'!AR$9),'Council Entry'!AR$8),'Council Entry'!AR202)),IF('Council Entry'!AR$4="Exponential",EXP(IF(AND(ISNUMBER('Council Entry'!AR$8),ISNUMBER('Council Entry'!AR$9)),MAX(MIN('Council Entry'!AR202,'Council Entry'!AR$9),'Council Entry'!AR$8),'Council Entry'!AR202)),IF(AND(ISNUMBER('Council Entry'!AR$8),ISNUMBER('Council Entry'!AR$9)),MAX(MIN('Council Entry'!AR202,'Council Entry'!AR$9),'Council Entry'!AR$8),'Council Entry'!AR202))))-'Council Entry'!AR$5)/('Council Entry'!AR$6-'Council Entry'!AR$5)),1))),"No data"))</f>
        <v/>
      </c>
      <c r="AS202" s="13">
        <f>IF('Council Entry'!AS202="","",IFERROR(MAX(0,MIN(10,ROUND(IF('Council Entry'!AS$7="Decrease Risk",10-10*((IF('Council Entry'!AS$4="Logarithm",LN(0.001+IF(AND(ISNUMBER('Council Entry'!AS$8),ISNUMBER('Council Entry'!AS$9)),MAX(MIN('Council Entry'!AS202,'Council Entry'!AS$9),'Council Entry'!AS$8),'Council Entry'!AS202)),IF('Council Entry'!AS$4="Exponential",EXP(IF(AND(ISNUMBER('Council Entry'!AS$8),ISNUMBER('Council Entry'!AS$9)),MAX(MIN('Council Entry'!AS202,'Council Entry'!AS$9),'Council Entry'!AS$8),'Council Entry'!AS202)),IF(AND(ISNUMBER('Council Entry'!AS$8),ISNUMBER('Council Entry'!AS$9)),MAX(MIN('Council Entry'!AS202,'Council Entry'!AS$9),'Council Entry'!AS$8),'Council Entry'!AS202))))-'Council Entry'!AS$5)/('Council Entry'!AS$6-'Council Entry'!AS$5),10*((IF('Council Entry'!AS$4="Logarithm",LN(0.001+IF(AND(ISNUMBER('Council Entry'!AS$8),ISNUMBER('Council Entry'!AS$9)),MAX(MIN('Council Entry'!AS202,'Council Entry'!AS$9),'Council Entry'!AS$8),'Council Entry'!AS202)),IF('Council Entry'!AS$4="Exponential",EXP(IF(AND(ISNUMBER('Council Entry'!AS$8),ISNUMBER('Council Entry'!AS$9)),MAX(MIN('Council Entry'!AS202,'Council Entry'!AS$9),'Council Entry'!AS$8),'Council Entry'!AS202)),IF(AND(ISNUMBER('Council Entry'!AS$8),ISNUMBER('Council Entry'!AS$9)),MAX(MIN('Council Entry'!AS202,'Council Entry'!AS$9),'Council Entry'!AS$8),'Council Entry'!AS202))))-'Council Entry'!AS$5)/('Council Entry'!AS$6-'Council Entry'!AS$5)),1))),"No data"))</f>
        <v/>
      </c>
      <c r="AT202" s="13">
        <f>IF('Council Entry'!AT202="","",IFERROR(MAX(0,MIN(10,ROUND(IF('Council Entry'!AT$7="Decrease Risk",10-10*((IF('Council Entry'!AT$4="Logarithm",LN(0.001+IF(AND(ISNUMBER('Council Entry'!AT$8),ISNUMBER('Council Entry'!AT$9)),MAX(MIN('Council Entry'!AT202,'Council Entry'!AT$9),'Council Entry'!AT$8),'Council Entry'!AT202)),IF('Council Entry'!AT$4="Exponential",EXP(IF(AND(ISNUMBER('Council Entry'!AT$8),ISNUMBER('Council Entry'!AT$9)),MAX(MIN('Council Entry'!AT202,'Council Entry'!AT$9),'Council Entry'!AT$8),'Council Entry'!AT202)),IF(AND(ISNUMBER('Council Entry'!AT$8),ISNUMBER('Council Entry'!AT$9)),MAX(MIN('Council Entry'!AT202,'Council Entry'!AT$9),'Council Entry'!AT$8),'Council Entry'!AT202))))-'Council Entry'!AT$5)/('Council Entry'!AT$6-'Council Entry'!AT$5),10*((IF('Council Entry'!AT$4="Logarithm",LN(0.001+IF(AND(ISNUMBER('Council Entry'!AT$8),ISNUMBER('Council Entry'!AT$9)),MAX(MIN('Council Entry'!AT202,'Council Entry'!AT$9),'Council Entry'!AT$8),'Council Entry'!AT202)),IF('Council Entry'!AT$4="Exponential",EXP(IF(AND(ISNUMBER('Council Entry'!AT$8),ISNUMBER('Council Entry'!AT$9)),MAX(MIN('Council Entry'!AT202,'Council Entry'!AT$9),'Council Entry'!AT$8),'Council Entry'!AT202)),IF(AND(ISNUMBER('Council Entry'!AT$8),ISNUMBER('Council Entry'!AT$9)),MAX(MIN('Council Entry'!AT202,'Council Entry'!AT$9),'Council Entry'!AT$8),'Council Entry'!AT202))))-'Council Entry'!AT$5)/('Council Entry'!AT$6-'Council Entry'!AT$5)),1))),"No data"))</f>
        <v/>
      </c>
      <c r="AU202" s="13">
        <f>IF('Council Entry'!AU202="","",IFERROR(MAX(0,MIN(10,ROUND(IF('Council Entry'!AU$7="Decrease Risk",10-10*((IF('Council Entry'!AU$4="Logarithm",LN(0.001+IF(AND(ISNUMBER('Council Entry'!AU$8),ISNUMBER('Council Entry'!AU$9)),MAX(MIN('Council Entry'!AU202,'Council Entry'!AU$9),'Council Entry'!AU$8),'Council Entry'!AU202)),IF('Council Entry'!AU$4="Exponential",EXP(IF(AND(ISNUMBER('Council Entry'!AU$8),ISNUMBER('Council Entry'!AU$9)),MAX(MIN('Council Entry'!AU202,'Council Entry'!AU$9),'Council Entry'!AU$8),'Council Entry'!AU202)),IF(AND(ISNUMBER('Council Entry'!AU$8),ISNUMBER('Council Entry'!AU$9)),MAX(MIN('Council Entry'!AU202,'Council Entry'!AU$9),'Council Entry'!AU$8),'Council Entry'!AU202))))-'Council Entry'!AU$5)/('Council Entry'!AU$6-'Council Entry'!AU$5),10*((IF('Council Entry'!AU$4="Logarithm",LN(0.001+IF(AND(ISNUMBER('Council Entry'!AU$8),ISNUMBER('Council Entry'!AU$9)),MAX(MIN('Council Entry'!AU202,'Council Entry'!AU$9),'Council Entry'!AU$8),'Council Entry'!AU202)),IF('Council Entry'!AU$4="Exponential",EXP(IF(AND(ISNUMBER('Council Entry'!AU$8),ISNUMBER('Council Entry'!AU$9)),MAX(MIN('Council Entry'!AU202,'Council Entry'!AU$9),'Council Entry'!AU$8),'Council Entry'!AU202)),IF(AND(ISNUMBER('Council Entry'!AU$8),ISNUMBER('Council Entry'!AU$9)),MAX(MIN('Council Entry'!AU202,'Council Entry'!AU$9),'Council Entry'!AU$8),'Council Entry'!AU202))))-'Council Entry'!AU$5)/('Council Entry'!AU$6-'Council Entry'!AU$5)),1))),"No data"))</f>
        <v/>
      </c>
      <c r="AV202" s="13">
        <f>IF('Council Entry'!AV202="","",IFERROR(MAX(0,MIN(10,ROUND(IF('Council Entry'!AV$7="Decrease Risk",10-10*((IF('Council Entry'!AV$4="Logarithm",LN(0.001+IF(AND(ISNUMBER('Council Entry'!AV$8),ISNUMBER('Council Entry'!AV$9)),MAX(MIN('Council Entry'!AV202,'Council Entry'!AV$9),'Council Entry'!AV$8),'Council Entry'!AV202)),IF('Council Entry'!AV$4="Exponential",EXP(IF(AND(ISNUMBER('Council Entry'!AV$8),ISNUMBER('Council Entry'!AV$9)),MAX(MIN('Council Entry'!AV202,'Council Entry'!AV$9),'Council Entry'!AV$8),'Council Entry'!AV202)),IF(AND(ISNUMBER('Council Entry'!AV$8),ISNUMBER('Council Entry'!AV$9)),MAX(MIN('Council Entry'!AV202,'Council Entry'!AV$9),'Council Entry'!AV$8),'Council Entry'!AV202))))-'Council Entry'!AV$5)/('Council Entry'!AV$6-'Council Entry'!AV$5),10*((IF('Council Entry'!AV$4="Logarithm",LN(0.001+IF(AND(ISNUMBER('Council Entry'!AV$8),ISNUMBER('Council Entry'!AV$9)),MAX(MIN('Council Entry'!AV202,'Council Entry'!AV$9),'Council Entry'!AV$8),'Council Entry'!AV202)),IF('Council Entry'!AV$4="Exponential",EXP(IF(AND(ISNUMBER('Council Entry'!AV$8),ISNUMBER('Council Entry'!AV$9)),MAX(MIN('Council Entry'!AV202,'Council Entry'!AV$9),'Council Entry'!AV$8),'Council Entry'!AV202)),IF(AND(ISNUMBER('Council Entry'!AV$8),ISNUMBER('Council Entry'!AV$9)),MAX(MIN('Council Entry'!AV202,'Council Entry'!AV$9),'Council Entry'!AV$8),'Council Entry'!AV202))))-'Council Entry'!AV$5)/('Council Entry'!AV$6-'Council Entry'!AV$5)),1))),"No data"))</f>
        <v/>
      </c>
      <c r="AW202" s="13">
        <f>IF('Council Entry'!AW202="","",IFERROR(MAX(0,MIN(10,ROUND(IF('Council Entry'!AW$7="Decrease Risk",10-10*((IF('Council Entry'!AW$4="Logarithm",LN(0.001+IF(AND(ISNUMBER('Council Entry'!AW$8),ISNUMBER('Council Entry'!AW$9)),MAX(MIN('Council Entry'!AW202,'Council Entry'!AW$9),'Council Entry'!AW$8),'Council Entry'!AW202)),IF('Council Entry'!AW$4="Exponential",EXP(IF(AND(ISNUMBER('Council Entry'!AW$8),ISNUMBER('Council Entry'!AW$9)),MAX(MIN('Council Entry'!AW202,'Council Entry'!AW$9),'Council Entry'!AW$8),'Council Entry'!AW202)),IF(AND(ISNUMBER('Council Entry'!AW$8),ISNUMBER('Council Entry'!AW$9)),MAX(MIN('Council Entry'!AW202,'Council Entry'!AW$9),'Council Entry'!AW$8),'Council Entry'!AW202))))-'Council Entry'!AW$5)/('Council Entry'!AW$6-'Council Entry'!AW$5),10*((IF('Council Entry'!AW$4="Logarithm",LN(0.001+IF(AND(ISNUMBER('Council Entry'!AW$8),ISNUMBER('Council Entry'!AW$9)),MAX(MIN('Council Entry'!AW202,'Council Entry'!AW$9),'Council Entry'!AW$8),'Council Entry'!AW202)),IF('Council Entry'!AW$4="Exponential",EXP(IF(AND(ISNUMBER('Council Entry'!AW$8),ISNUMBER('Council Entry'!AW$9)),MAX(MIN('Council Entry'!AW202,'Council Entry'!AW$9),'Council Entry'!AW$8),'Council Entry'!AW202)),IF(AND(ISNUMBER('Council Entry'!AW$8),ISNUMBER('Council Entry'!AW$9)),MAX(MIN('Council Entry'!AW202,'Council Entry'!AW$9),'Council Entry'!AW$8),'Council Entry'!AW202))))-'Council Entry'!AW$5)/('Council Entry'!AW$6-'Council Entry'!AW$5)),1))),"No data"))</f>
        <v/>
      </c>
      <c r="AX202" s="13">
        <f>IF('Council Entry'!AX202="","",IFERROR(MAX(0,MIN(10,ROUND(IF('Council Entry'!AX$7="Decrease Risk",10-10*((IF('Council Entry'!AX$4="Logarithm",LN(0.001+IF(AND(ISNUMBER('Council Entry'!AX$8),ISNUMBER('Council Entry'!AX$9)),MAX(MIN('Council Entry'!AX202,'Council Entry'!AX$9),'Council Entry'!AX$8),'Council Entry'!AX202)),IF('Council Entry'!AX$4="Exponential",EXP(IF(AND(ISNUMBER('Council Entry'!AX$8),ISNUMBER('Council Entry'!AX$9)),MAX(MIN('Council Entry'!AX202,'Council Entry'!AX$9),'Council Entry'!AX$8),'Council Entry'!AX202)),IF(AND(ISNUMBER('Council Entry'!AX$8),ISNUMBER('Council Entry'!AX$9)),MAX(MIN('Council Entry'!AX202,'Council Entry'!AX$9),'Council Entry'!AX$8),'Council Entry'!AX202))))-'Council Entry'!AX$5)/('Council Entry'!AX$6-'Council Entry'!AX$5),10*((IF('Council Entry'!AX$4="Logarithm",LN(0.001+IF(AND(ISNUMBER('Council Entry'!AX$8),ISNUMBER('Council Entry'!AX$9)),MAX(MIN('Council Entry'!AX202,'Council Entry'!AX$9),'Council Entry'!AX$8),'Council Entry'!AX202)),IF('Council Entry'!AX$4="Exponential",EXP(IF(AND(ISNUMBER('Council Entry'!AX$8),ISNUMBER('Council Entry'!AX$9)),MAX(MIN('Council Entry'!AX202,'Council Entry'!AX$9),'Council Entry'!AX$8),'Council Entry'!AX202)),IF(AND(ISNUMBER('Council Entry'!AX$8),ISNUMBER('Council Entry'!AX$9)),MAX(MIN('Council Entry'!AX202,'Council Entry'!AX$9),'Council Entry'!AX$8),'Council Entry'!AX202))))-'Council Entry'!AX$5)/('Council Entry'!AX$6-'Council Entry'!AX$5)),1))),"No data"))</f>
        <v/>
      </c>
      <c r="AY202" s="13">
        <f>IF('Council Entry'!AY202="","",IFERROR(MAX(0,MIN(10,ROUND(IF('Council Entry'!AY$7="Decrease Risk",10-10*((IF('Council Entry'!AY$4="Logarithm",LN(0.001+IF(AND(ISNUMBER('Council Entry'!AY$8),ISNUMBER('Council Entry'!AY$9)),MAX(MIN('Council Entry'!AY202,'Council Entry'!AY$9),'Council Entry'!AY$8),'Council Entry'!AY202)),IF('Council Entry'!AY$4="Exponential",EXP(IF(AND(ISNUMBER('Council Entry'!AY$8),ISNUMBER('Council Entry'!AY$9)),MAX(MIN('Council Entry'!AY202,'Council Entry'!AY$9),'Council Entry'!AY$8),'Council Entry'!AY202)),IF(AND(ISNUMBER('Council Entry'!AY$8),ISNUMBER('Council Entry'!AY$9)),MAX(MIN('Council Entry'!AY202,'Council Entry'!AY$9),'Council Entry'!AY$8),'Council Entry'!AY202))))-'Council Entry'!AY$5)/('Council Entry'!AY$6-'Council Entry'!AY$5),10*((IF('Council Entry'!AY$4="Logarithm",LN(0.001+IF(AND(ISNUMBER('Council Entry'!AY$8),ISNUMBER('Council Entry'!AY$9)),MAX(MIN('Council Entry'!AY202,'Council Entry'!AY$9),'Council Entry'!AY$8),'Council Entry'!AY202)),IF('Council Entry'!AY$4="Exponential",EXP(IF(AND(ISNUMBER('Council Entry'!AY$8),ISNUMBER('Council Entry'!AY$9)),MAX(MIN('Council Entry'!AY202,'Council Entry'!AY$9),'Council Entry'!AY$8),'Council Entry'!AY202)),IF(AND(ISNUMBER('Council Entry'!AY$8),ISNUMBER('Council Entry'!AY$9)),MAX(MIN('Council Entry'!AY202,'Council Entry'!AY$9),'Council Entry'!AY$8),'Council Entry'!AY202))))-'Council Entry'!AY$5)/('Council Entry'!AY$6-'Council Entry'!AY$5)),1))),"No data"))</f>
        <v/>
      </c>
      <c r="AZ202" s="13">
        <f>IF('Council Entry'!AZ202="","",IFERROR(MAX(0,MIN(10,ROUND(IF('Council Entry'!AZ$7="Decrease Risk",10-10*((IF('Council Entry'!AZ$4="Logarithm",LN(0.001+IF(AND(ISNUMBER('Council Entry'!AZ$8),ISNUMBER('Council Entry'!AZ$9)),MAX(MIN('Council Entry'!AZ202,'Council Entry'!AZ$9),'Council Entry'!AZ$8),'Council Entry'!AZ202)),IF('Council Entry'!AZ$4="Exponential",EXP(IF(AND(ISNUMBER('Council Entry'!AZ$8),ISNUMBER('Council Entry'!AZ$9)),MAX(MIN('Council Entry'!AZ202,'Council Entry'!AZ$9),'Council Entry'!AZ$8),'Council Entry'!AZ202)),IF(AND(ISNUMBER('Council Entry'!AZ$8),ISNUMBER('Council Entry'!AZ$9)),MAX(MIN('Council Entry'!AZ202,'Council Entry'!AZ$9),'Council Entry'!AZ$8),'Council Entry'!AZ202))))-'Council Entry'!AZ$5)/('Council Entry'!AZ$6-'Council Entry'!AZ$5),10*((IF('Council Entry'!AZ$4="Logarithm",LN(0.001+IF(AND(ISNUMBER('Council Entry'!AZ$8),ISNUMBER('Council Entry'!AZ$9)),MAX(MIN('Council Entry'!AZ202,'Council Entry'!AZ$9),'Council Entry'!AZ$8),'Council Entry'!AZ202)),IF('Council Entry'!AZ$4="Exponential",EXP(IF(AND(ISNUMBER('Council Entry'!AZ$8),ISNUMBER('Council Entry'!AZ$9)),MAX(MIN('Council Entry'!AZ202,'Council Entry'!AZ$9),'Council Entry'!AZ$8),'Council Entry'!AZ202)),IF(AND(ISNUMBER('Council Entry'!AZ$8),ISNUMBER('Council Entry'!AZ$9)),MAX(MIN('Council Entry'!AZ202,'Council Entry'!AZ$9),'Council Entry'!AZ$8),'Council Entry'!AZ202))))-'Council Entry'!AZ$5)/('Council Entry'!AZ$6-'Council Entry'!AZ$5)),1))),"No data"))</f>
        <v/>
      </c>
      <c r="BA202" s="13">
        <f>IF('Council Entry'!BA202="","",IFERROR(MAX(0,MIN(10,ROUND(IF('Council Entry'!BA$7="Decrease Risk",10-10*((IF('Council Entry'!BA$4="Logarithm",LN(0.001+IF(AND(ISNUMBER('Council Entry'!BA$8),ISNUMBER('Council Entry'!BA$9)),MAX(MIN('Council Entry'!BA202,'Council Entry'!BA$9),'Council Entry'!BA$8),'Council Entry'!BA202)),IF('Council Entry'!BA$4="Exponential",EXP(IF(AND(ISNUMBER('Council Entry'!BA$8),ISNUMBER('Council Entry'!BA$9)),MAX(MIN('Council Entry'!BA202,'Council Entry'!BA$9),'Council Entry'!BA$8),'Council Entry'!BA202)),IF(AND(ISNUMBER('Council Entry'!BA$8),ISNUMBER('Council Entry'!BA$9)),MAX(MIN('Council Entry'!BA202,'Council Entry'!BA$9),'Council Entry'!BA$8),'Council Entry'!BA202))))-'Council Entry'!BA$5)/('Council Entry'!BA$6-'Council Entry'!BA$5),10*((IF('Council Entry'!BA$4="Logarithm",LN(0.001+IF(AND(ISNUMBER('Council Entry'!BA$8),ISNUMBER('Council Entry'!BA$9)),MAX(MIN('Council Entry'!BA202,'Council Entry'!BA$9),'Council Entry'!BA$8),'Council Entry'!BA202)),IF('Council Entry'!BA$4="Exponential",EXP(IF(AND(ISNUMBER('Council Entry'!BA$8),ISNUMBER('Council Entry'!BA$9)),MAX(MIN('Council Entry'!BA202,'Council Entry'!BA$9),'Council Entry'!BA$8),'Council Entry'!BA202)),IF(AND(ISNUMBER('Council Entry'!BA$8),ISNUMBER('Council Entry'!BA$9)),MAX(MIN('Council Entry'!BA202,'Council Entry'!BA$9),'Council Entry'!BA$8),'Council Entry'!BA202))))-'Council Entry'!BA$5)/('Council Entry'!BA$6-'Council Entry'!BA$5)),1))),"No data"))</f>
        <v/>
      </c>
      <c r="BB202" s="13">
        <f>IF('Council Entry'!BB202="","",IFERROR(MAX(0,MIN(10,ROUND(IF('Council Entry'!BB$7="Decrease Risk",10-10*((IF('Council Entry'!BB$4="Logarithm",LN(0.001+IF(AND(ISNUMBER('Council Entry'!BB$8),ISNUMBER('Council Entry'!BB$9)),MAX(MIN('Council Entry'!BB202,'Council Entry'!BB$9),'Council Entry'!BB$8),'Council Entry'!BB202)),IF('Council Entry'!BB$4="Exponential",EXP(IF(AND(ISNUMBER('Council Entry'!BB$8),ISNUMBER('Council Entry'!BB$9)),MAX(MIN('Council Entry'!BB202,'Council Entry'!BB$9),'Council Entry'!BB$8),'Council Entry'!BB202)),IF(AND(ISNUMBER('Council Entry'!BB$8),ISNUMBER('Council Entry'!BB$9)),MAX(MIN('Council Entry'!BB202,'Council Entry'!BB$9),'Council Entry'!BB$8),'Council Entry'!BB202))))-'Council Entry'!BB$5)/('Council Entry'!BB$6-'Council Entry'!BB$5),10*((IF('Council Entry'!BB$4="Logarithm",LN(0.001+IF(AND(ISNUMBER('Council Entry'!BB$8),ISNUMBER('Council Entry'!BB$9)),MAX(MIN('Council Entry'!BB202,'Council Entry'!BB$9),'Council Entry'!BB$8),'Council Entry'!BB202)),IF('Council Entry'!BB$4="Exponential",EXP(IF(AND(ISNUMBER('Council Entry'!BB$8),ISNUMBER('Council Entry'!BB$9)),MAX(MIN('Council Entry'!BB202,'Council Entry'!BB$9),'Council Entry'!BB$8),'Council Entry'!BB202)),IF(AND(ISNUMBER('Council Entry'!BB$8),ISNUMBER('Council Entry'!BB$9)),MAX(MIN('Council Entry'!BB202,'Council Entry'!BB$9),'Council Entry'!BB$8),'Council Entry'!BB202))))-'Council Entry'!BB$5)/('Council Entry'!BB$6-'Council Entry'!BB$5)),1))),"No data"))</f>
        <v/>
      </c>
      <c r="BC202" s="13">
        <f>IF('Council Entry'!BC202="","",IFERROR(MAX(0,MIN(10,ROUND(IF('Council Entry'!BC$7="Decrease Risk",10-10*((IF('Council Entry'!BC$4="Logarithm",LN(0.001+IF(AND(ISNUMBER('Council Entry'!BC$8),ISNUMBER('Council Entry'!BC$9)),MAX(MIN('Council Entry'!BC202,'Council Entry'!BC$9),'Council Entry'!BC$8),'Council Entry'!BC202)),IF('Council Entry'!BC$4="Exponential",EXP(IF(AND(ISNUMBER('Council Entry'!BC$8),ISNUMBER('Council Entry'!BC$9)),MAX(MIN('Council Entry'!BC202,'Council Entry'!BC$9),'Council Entry'!BC$8),'Council Entry'!BC202)),IF(AND(ISNUMBER('Council Entry'!BC$8),ISNUMBER('Council Entry'!BC$9)),MAX(MIN('Council Entry'!BC202,'Council Entry'!BC$9),'Council Entry'!BC$8),'Council Entry'!BC202))))-'Council Entry'!BC$5)/('Council Entry'!BC$6-'Council Entry'!BC$5),10*((IF('Council Entry'!BC$4="Logarithm",LN(0.001+IF(AND(ISNUMBER('Council Entry'!BC$8),ISNUMBER('Council Entry'!BC$9)),MAX(MIN('Council Entry'!BC202,'Council Entry'!BC$9),'Council Entry'!BC$8),'Council Entry'!BC202)),IF('Council Entry'!BC$4="Exponential",EXP(IF(AND(ISNUMBER('Council Entry'!BC$8),ISNUMBER('Council Entry'!BC$9)),MAX(MIN('Council Entry'!BC202,'Council Entry'!BC$9),'Council Entry'!BC$8),'Council Entry'!BC202)),IF(AND(ISNUMBER('Council Entry'!BC$8),ISNUMBER('Council Entry'!BC$9)),MAX(MIN('Council Entry'!BC202,'Council Entry'!BC$9),'Council Entry'!BC$8),'Council Entry'!BC202))))-'Council Entry'!BC$5)/('Council Entry'!BC$6-'Council Entry'!BC$5)),1))),"No data"))</f>
        <v/>
      </c>
      <c r="BD202" s="13">
        <f>IF('Council Entry'!BD202="","",IFERROR(MAX(0,MIN(10,ROUND(IF('Council Entry'!BD$7="Decrease Risk",10-10*((IF('Council Entry'!BD$4="Logarithm",LN(0.001+IF(AND(ISNUMBER('Council Entry'!BD$8),ISNUMBER('Council Entry'!BD$9)),MAX(MIN('Council Entry'!BD202,'Council Entry'!BD$9),'Council Entry'!BD$8),'Council Entry'!BD202)),IF('Council Entry'!BD$4="Exponential",EXP(IF(AND(ISNUMBER('Council Entry'!BD$8),ISNUMBER('Council Entry'!BD$9)),MAX(MIN('Council Entry'!BD202,'Council Entry'!BD$9),'Council Entry'!BD$8),'Council Entry'!BD202)),IF(AND(ISNUMBER('Council Entry'!BD$8),ISNUMBER('Council Entry'!BD$9)),MAX(MIN('Council Entry'!BD202,'Council Entry'!BD$9),'Council Entry'!BD$8),'Council Entry'!BD202))))-'Council Entry'!BD$5)/('Council Entry'!BD$6-'Council Entry'!BD$5),10*((IF('Council Entry'!BD$4="Logarithm",LN(0.001+IF(AND(ISNUMBER('Council Entry'!BD$8),ISNUMBER('Council Entry'!BD$9)),MAX(MIN('Council Entry'!BD202,'Council Entry'!BD$9),'Council Entry'!BD$8),'Council Entry'!BD202)),IF('Council Entry'!BD$4="Exponential",EXP(IF(AND(ISNUMBER('Council Entry'!BD$8),ISNUMBER('Council Entry'!BD$9)),MAX(MIN('Council Entry'!BD202,'Council Entry'!BD$9),'Council Entry'!BD$8),'Council Entry'!BD202)),IF(AND(ISNUMBER('Council Entry'!BD$8),ISNUMBER('Council Entry'!BD$9)),MAX(MIN('Council Entry'!BD202,'Council Entry'!BD$9),'Council Entry'!BD$8),'Council Entry'!BD202))))-'Council Entry'!BD$5)/('Council Entry'!BD$6-'Council Entry'!BD$5)),1))),"No data"))</f>
        <v/>
      </c>
    </row>
    <row r="203">
      <c r="A203" t="inlineStr">
        <is>
          <t>Tanga</t>
        </is>
      </c>
      <c r="B203" t="inlineStr">
        <is>
          <t>Muheza District</t>
        </is>
      </c>
      <c r="C203" t="inlineStr">
        <is>
          <t>C027</t>
        </is>
      </c>
      <c r="D203" s="13">
        <f>IF('Council Entry'!D203="","",IFERROR(MAX(0,MIN(10,ROUND(IF('Council Entry'!D$7="Decrease Risk",10-10*((IF('Council Entry'!D$4="Logarithm",LN(0.001+IF(AND(ISNUMBER('Council Entry'!D$8),ISNUMBER('Council Entry'!D$9)),MAX(MIN('Council Entry'!D203,'Council Entry'!D$9),'Council Entry'!D$8),'Council Entry'!D203)),IF('Council Entry'!D$4="Exponential",EXP(IF(AND(ISNUMBER('Council Entry'!D$8),ISNUMBER('Council Entry'!D$9)),MAX(MIN('Council Entry'!D203,'Council Entry'!D$9),'Council Entry'!D$8),'Council Entry'!D203)),IF(AND(ISNUMBER('Council Entry'!D$8),ISNUMBER('Council Entry'!D$9)),MAX(MIN('Council Entry'!D203,'Council Entry'!D$9),'Council Entry'!D$8),'Council Entry'!D203))))-'Council Entry'!D$5)/('Council Entry'!D$6-'Council Entry'!D$5),10*((IF('Council Entry'!D$4="Logarithm",LN(0.001+IF(AND(ISNUMBER('Council Entry'!D$8),ISNUMBER('Council Entry'!D$9)),MAX(MIN('Council Entry'!D203,'Council Entry'!D$9),'Council Entry'!D$8),'Council Entry'!D203)),IF('Council Entry'!D$4="Exponential",EXP(IF(AND(ISNUMBER('Council Entry'!D$8),ISNUMBER('Council Entry'!D$9)),MAX(MIN('Council Entry'!D203,'Council Entry'!D$9),'Council Entry'!D$8),'Council Entry'!D203)),IF(AND(ISNUMBER('Council Entry'!D$8),ISNUMBER('Council Entry'!D$9)),MAX(MIN('Council Entry'!D203,'Council Entry'!D$9),'Council Entry'!D$8),'Council Entry'!D203))))-'Council Entry'!D$5)/('Council Entry'!D$6-'Council Entry'!D$5)),1))),"No data"))</f>
        <v/>
      </c>
      <c r="E203" s="13">
        <f>IF('Council Entry'!E203="","",IFERROR(MAX(0,MIN(10,ROUND(IF('Council Entry'!E$7="Decrease Risk",10-10*((IF('Council Entry'!E$4="Logarithm",LN(0.001+IF(AND(ISNUMBER('Council Entry'!E$8),ISNUMBER('Council Entry'!E$9)),MAX(MIN('Council Entry'!E203,'Council Entry'!E$9),'Council Entry'!E$8),'Council Entry'!E203)),IF('Council Entry'!E$4="Exponential",EXP(IF(AND(ISNUMBER('Council Entry'!E$8),ISNUMBER('Council Entry'!E$9)),MAX(MIN('Council Entry'!E203,'Council Entry'!E$9),'Council Entry'!E$8),'Council Entry'!E203)),IF(AND(ISNUMBER('Council Entry'!E$8),ISNUMBER('Council Entry'!E$9)),MAX(MIN('Council Entry'!E203,'Council Entry'!E$9),'Council Entry'!E$8),'Council Entry'!E203))))-'Council Entry'!E$5)/('Council Entry'!E$6-'Council Entry'!E$5),10*((IF('Council Entry'!E$4="Logarithm",LN(0.001+IF(AND(ISNUMBER('Council Entry'!E$8),ISNUMBER('Council Entry'!E$9)),MAX(MIN('Council Entry'!E203,'Council Entry'!E$9),'Council Entry'!E$8),'Council Entry'!E203)),IF('Council Entry'!E$4="Exponential",EXP(IF(AND(ISNUMBER('Council Entry'!E$8),ISNUMBER('Council Entry'!E$9)),MAX(MIN('Council Entry'!E203,'Council Entry'!E$9),'Council Entry'!E$8),'Council Entry'!E203)),IF(AND(ISNUMBER('Council Entry'!E$8),ISNUMBER('Council Entry'!E$9)),MAX(MIN('Council Entry'!E203,'Council Entry'!E$9),'Council Entry'!E$8),'Council Entry'!E203))))-'Council Entry'!E$5)/('Council Entry'!E$6-'Council Entry'!E$5)),1))),"No data"))</f>
        <v/>
      </c>
      <c r="F203" s="13">
        <f>IF('Council Entry'!F203="","",IFERROR(MAX(0,MIN(10,ROUND(IF('Council Entry'!F$7="Decrease Risk",10-10*((IF('Council Entry'!F$4="Logarithm",LN(0.001+IF(AND(ISNUMBER('Council Entry'!F$8),ISNUMBER('Council Entry'!F$9)),MAX(MIN('Council Entry'!F203,'Council Entry'!F$9),'Council Entry'!F$8),'Council Entry'!F203)),IF('Council Entry'!F$4="Exponential",EXP(IF(AND(ISNUMBER('Council Entry'!F$8),ISNUMBER('Council Entry'!F$9)),MAX(MIN('Council Entry'!F203,'Council Entry'!F$9),'Council Entry'!F$8),'Council Entry'!F203)),IF(AND(ISNUMBER('Council Entry'!F$8),ISNUMBER('Council Entry'!F$9)),MAX(MIN('Council Entry'!F203,'Council Entry'!F$9),'Council Entry'!F$8),'Council Entry'!F203))))-'Council Entry'!F$5)/('Council Entry'!F$6-'Council Entry'!F$5),10*((IF('Council Entry'!F$4="Logarithm",LN(0.001+IF(AND(ISNUMBER('Council Entry'!F$8),ISNUMBER('Council Entry'!F$9)),MAX(MIN('Council Entry'!F203,'Council Entry'!F$9),'Council Entry'!F$8),'Council Entry'!F203)),IF('Council Entry'!F$4="Exponential",EXP(IF(AND(ISNUMBER('Council Entry'!F$8),ISNUMBER('Council Entry'!F$9)),MAX(MIN('Council Entry'!F203,'Council Entry'!F$9),'Council Entry'!F$8),'Council Entry'!F203)),IF(AND(ISNUMBER('Council Entry'!F$8),ISNUMBER('Council Entry'!F$9)),MAX(MIN('Council Entry'!F203,'Council Entry'!F$9),'Council Entry'!F$8),'Council Entry'!F203))))-'Council Entry'!F$5)/('Council Entry'!F$6-'Council Entry'!F$5)),1))),"No data"))</f>
        <v/>
      </c>
      <c r="G203" s="13">
        <f>IF('Council Entry'!G203="","",IFERROR(MAX(0,MIN(10,ROUND(IF('Council Entry'!G$7="Decrease Risk",10-10*((IF('Council Entry'!G$4="Logarithm",LN(0.001+IF(AND(ISNUMBER('Council Entry'!G$8),ISNUMBER('Council Entry'!G$9)),MAX(MIN('Council Entry'!G203,'Council Entry'!G$9),'Council Entry'!G$8),'Council Entry'!G203)),IF('Council Entry'!G$4="Exponential",EXP(IF(AND(ISNUMBER('Council Entry'!G$8),ISNUMBER('Council Entry'!G$9)),MAX(MIN('Council Entry'!G203,'Council Entry'!G$9),'Council Entry'!G$8),'Council Entry'!G203)),IF(AND(ISNUMBER('Council Entry'!G$8),ISNUMBER('Council Entry'!G$9)),MAX(MIN('Council Entry'!G203,'Council Entry'!G$9),'Council Entry'!G$8),'Council Entry'!G203))))-'Council Entry'!G$5)/('Council Entry'!G$6-'Council Entry'!G$5),10*((IF('Council Entry'!G$4="Logarithm",LN(0.001+IF(AND(ISNUMBER('Council Entry'!G$8),ISNUMBER('Council Entry'!G$9)),MAX(MIN('Council Entry'!G203,'Council Entry'!G$9),'Council Entry'!G$8),'Council Entry'!G203)),IF('Council Entry'!G$4="Exponential",EXP(IF(AND(ISNUMBER('Council Entry'!G$8),ISNUMBER('Council Entry'!G$9)),MAX(MIN('Council Entry'!G203,'Council Entry'!G$9),'Council Entry'!G$8),'Council Entry'!G203)),IF(AND(ISNUMBER('Council Entry'!G$8),ISNUMBER('Council Entry'!G$9)),MAX(MIN('Council Entry'!G203,'Council Entry'!G$9),'Council Entry'!G$8),'Council Entry'!G203))))-'Council Entry'!G$5)/('Council Entry'!G$6-'Council Entry'!G$5)),1))),"No data"))</f>
        <v/>
      </c>
      <c r="H203" s="13">
        <f>IF('Council Entry'!H203="","",IFERROR(MAX(0,MIN(10,ROUND(IF('Council Entry'!H$7="Decrease Risk",10-10*((IF('Council Entry'!H$4="Logarithm",LN(0.001+IF(AND(ISNUMBER('Council Entry'!H$8),ISNUMBER('Council Entry'!H$9)),MAX(MIN('Council Entry'!H203,'Council Entry'!H$9),'Council Entry'!H$8),'Council Entry'!H203)),IF('Council Entry'!H$4="Exponential",EXP(IF(AND(ISNUMBER('Council Entry'!H$8),ISNUMBER('Council Entry'!H$9)),MAX(MIN('Council Entry'!H203,'Council Entry'!H$9),'Council Entry'!H$8),'Council Entry'!H203)),IF(AND(ISNUMBER('Council Entry'!H$8),ISNUMBER('Council Entry'!H$9)),MAX(MIN('Council Entry'!H203,'Council Entry'!H$9),'Council Entry'!H$8),'Council Entry'!H203))))-'Council Entry'!H$5)/('Council Entry'!H$6-'Council Entry'!H$5),10*((IF('Council Entry'!H$4="Logarithm",LN(0.001+IF(AND(ISNUMBER('Council Entry'!H$8),ISNUMBER('Council Entry'!H$9)),MAX(MIN('Council Entry'!H203,'Council Entry'!H$9),'Council Entry'!H$8),'Council Entry'!H203)),IF('Council Entry'!H$4="Exponential",EXP(IF(AND(ISNUMBER('Council Entry'!H$8),ISNUMBER('Council Entry'!H$9)),MAX(MIN('Council Entry'!H203,'Council Entry'!H$9),'Council Entry'!H$8),'Council Entry'!H203)),IF(AND(ISNUMBER('Council Entry'!H$8),ISNUMBER('Council Entry'!H$9)),MAX(MIN('Council Entry'!H203,'Council Entry'!H$9),'Council Entry'!H$8),'Council Entry'!H203))))-'Council Entry'!H$5)/('Council Entry'!H$6-'Council Entry'!H$5)),1))),"No data"))</f>
        <v/>
      </c>
      <c r="I203" s="13">
        <f>IF('Council Entry'!I203="","",IFERROR(MAX(0,MIN(10,ROUND(IF('Council Entry'!I$7="Decrease Risk",10-10*((IF('Council Entry'!I$4="Logarithm",LN(0.001+IF(AND(ISNUMBER('Council Entry'!I$8),ISNUMBER('Council Entry'!I$9)),MAX(MIN('Council Entry'!I203,'Council Entry'!I$9),'Council Entry'!I$8),'Council Entry'!I203)),IF('Council Entry'!I$4="Exponential",EXP(IF(AND(ISNUMBER('Council Entry'!I$8),ISNUMBER('Council Entry'!I$9)),MAX(MIN('Council Entry'!I203,'Council Entry'!I$9),'Council Entry'!I$8),'Council Entry'!I203)),IF(AND(ISNUMBER('Council Entry'!I$8),ISNUMBER('Council Entry'!I$9)),MAX(MIN('Council Entry'!I203,'Council Entry'!I$9),'Council Entry'!I$8),'Council Entry'!I203))))-'Council Entry'!I$5)/('Council Entry'!I$6-'Council Entry'!I$5),10*((IF('Council Entry'!I$4="Logarithm",LN(0.001+IF(AND(ISNUMBER('Council Entry'!I$8),ISNUMBER('Council Entry'!I$9)),MAX(MIN('Council Entry'!I203,'Council Entry'!I$9),'Council Entry'!I$8),'Council Entry'!I203)),IF('Council Entry'!I$4="Exponential",EXP(IF(AND(ISNUMBER('Council Entry'!I$8),ISNUMBER('Council Entry'!I$9)),MAX(MIN('Council Entry'!I203,'Council Entry'!I$9),'Council Entry'!I$8),'Council Entry'!I203)),IF(AND(ISNUMBER('Council Entry'!I$8),ISNUMBER('Council Entry'!I$9)),MAX(MIN('Council Entry'!I203,'Council Entry'!I$9),'Council Entry'!I$8),'Council Entry'!I203))))-'Council Entry'!I$5)/('Council Entry'!I$6-'Council Entry'!I$5)),1))),"No data"))</f>
        <v/>
      </c>
      <c r="J203" s="13">
        <f>IF('Council Entry'!J203="","",IFERROR(MAX(0,MIN(10,ROUND(IF('Council Entry'!J$7="Decrease Risk",10-10*((IF('Council Entry'!J$4="Logarithm",LN(0.001+IF(AND(ISNUMBER('Council Entry'!J$8),ISNUMBER('Council Entry'!J$9)),MAX(MIN('Council Entry'!J203,'Council Entry'!J$9),'Council Entry'!J$8),'Council Entry'!J203)),IF('Council Entry'!J$4="Exponential",EXP(IF(AND(ISNUMBER('Council Entry'!J$8),ISNUMBER('Council Entry'!J$9)),MAX(MIN('Council Entry'!J203,'Council Entry'!J$9),'Council Entry'!J$8),'Council Entry'!J203)),IF(AND(ISNUMBER('Council Entry'!J$8),ISNUMBER('Council Entry'!J$9)),MAX(MIN('Council Entry'!J203,'Council Entry'!J$9),'Council Entry'!J$8),'Council Entry'!J203))))-'Council Entry'!J$5)/('Council Entry'!J$6-'Council Entry'!J$5),10*((IF('Council Entry'!J$4="Logarithm",LN(0.001+IF(AND(ISNUMBER('Council Entry'!J$8),ISNUMBER('Council Entry'!J$9)),MAX(MIN('Council Entry'!J203,'Council Entry'!J$9),'Council Entry'!J$8),'Council Entry'!J203)),IF('Council Entry'!J$4="Exponential",EXP(IF(AND(ISNUMBER('Council Entry'!J$8),ISNUMBER('Council Entry'!J$9)),MAX(MIN('Council Entry'!J203,'Council Entry'!J$9),'Council Entry'!J$8),'Council Entry'!J203)),IF(AND(ISNUMBER('Council Entry'!J$8),ISNUMBER('Council Entry'!J$9)),MAX(MIN('Council Entry'!J203,'Council Entry'!J$9),'Council Entry'!J$8),'Council Entry'!J203))))-'Council Entry'!J$5)/('Council Entry'!J$6-'Council Entry'!J$5)),1))),"No data"))</f>
        <v/>
      </c>
      <c r="K203" s="13">
        <f>IF('Council Entry'!K203="","",IFERROR(MAX(0,MIN(10,ROUND(IF('Council Entry'!K$7="Decrease Risk",10-10*((IF('Council Entry'!K$4="Logarithm",LN(0.001+IF(AND(ISNUMBER('Council Entry'!K$8),ISNUMBER('Council Entry'!K$9)),MAX(MIN('Council Entry'!K203,'Council Entry'!K$9),'Council Entry'!K$8),'Council Entry'!K203)),IF('Council Entry'!K$4="Exponential",EXP(IF(AND(ISNUMBER('Council Entry'!K$8),ISNUMBER('Council Entry'!K$9)),MAX(MIN('Council Entry'!K203,'Council Entry'!K$9),'Council Entry'!K$8),'Council Entry'!K203)),IF(AND(ISNUMBER('Council Entry'!K$8),ISNUMBER('Council Entry'!K$9)),MAX(MIN('Council Entry'!K203,'Council Entry'!K$9),'Council Entry'!K$8),'Council Entry'!K203))))-'Council Entry'!K$5)/('Council Entry'!K$6-'Council Entry'!K$5),10*((IF('Council Entry'!K$4="Logarithm",LN(0.001+IF(AND(ISNUMBER('Council Entry'!K$8),ISNUMBER('Council Entry'!K$9)),MAX(MIN('Council Entry'!K203,'Council Entry'!K$9),'Council Entry'!K$8),'Council Entry'!K203)),IF('Council Entry'!K$4="Exponential",EXP(IF(AND(ISNUMBER('Council Entry'!K$8),ISNUMBER('Council Entry'!K$9)),MAX(MIN('Council Entry'!K203,'Council Entry'!K$9),'Council Entry'!K$8),'Council Entry'!K203)),IF(AND(ISNUMBER('Council Entry'!K$8),ISNUMBER('Council Entry'!K$9)),MAX(MIN('Council Entry'!K203,'Council Entry'!K$9),'Council Entry'!K$8),'Council Entry'!K203))))-'Council Entry'!K$5)/('Council Entry'!K$6-'Council Entry'!K$5)),1))),"No data"))</f>
        <v/>
      </c>
      <c r="L203" s="13">
        <f>IF('Council Entry'!L203="","",IFERROR(MAX(0,MIN(10,ROUND(IF('Council Entry'!L$7="Decrease Risk",10-10*((IF('Council Entry'!L$4="Logarithm",LN(0.001+IF(AND(ISNUMBER('Council Entry'!L$8),ISNUMBER('Council Entry'!L$9)),MAX(MIN('Council Entry'!L203,'Council Entry'!L$9),'Council Entry'!L$8),'Council Entry'!L203)),IF('Council Entry'!L$4="Exponential",EXP(IF(AND(ISNUMBER('Council Entry'!L$8),ISNUMBER('Council Entry'!L$9)),MAX(MIN('Council Entry'!L203,'Council Entry'!L$9),'Council Entry'!L$8),'Council Entry'!L203)),IF(AND(ISNUMBER('Council Entry'!L$8),ISNUMBER('Council Entry'!L$9)),MAX(MIN('Council Entry'!L203,'Council Entry'!L$9),'Council Entry'!L$8),'Council Entry'!L203))))-'Council Entry'!L$5)/('Council Entry'!L$6-'Council Entry'!L$5),10*((IF('Council Entry'!L$4="Logarithm",LN(0.001+IF(AND(ISNUMBER('Council Entry'!L$8),ISNUMBER('Council Entry'!L$9)),MAX(MIN('Council Entry'!L203,'Council Entry'!L$9),'Council Entry'!L$8),'Council Entry'!L203)),IF('Council Entry'!L$4="Exponential",EXP(IF(AND(ISNUMBER('Council Entry'!L$8),ISNUMBER('Council Entry'!L$9)),MAX(MIN('Council Entry'!L203,'Council Entry'!L$9),'Council Entry'!L$8),'Council Entry'!L203)),IF(AND(ISNUMBER('Council Entry'!L$8),ISNUMBER('Council Entry'!L$9)),MAX(MIN('Council Entry'!L203,'Council Entry'!L$9),'Council Entry'!L$8),'Council Entry'!L203))))-'Council Entry'!L$5)/('Council Entry'!L$6-'Council Entry'!L$5)),1))),"No data"))</f>
        <v/>
      </c>
      <c r="M203" s="13">
        <f>IF('Council Entry'!M203="","",IFERROR(MAX(0,MIN(10,ROUND(IF('Council Entry'!M$7="Decrease Risk",10-10*((IF('Council Entry'!M$4="Logarithm",LN(0.001+IF(AND(ISNUMBER('Council Entry'!M$8),ISNUMBER('Council Entry'!M$9)),MAX(MIN('Council Entry'!M203,'Council Entry'!M$9),'Council Entry'!M$8),'Council Entry'!M203)),IF('Council Entry'!M$4="Exponential",EXP(IF(AND(ISNUMBER('Council Entry'!M$8),ISNUMBER('Council Entry'!M$9)),MAX(MIN('Council Entry'!M203,'Council Entry'!M$9),'Council Entry'!M$8),'Council Entry'!M203)),IF(AND(ISNUMBER('Council Entry'!M$8),ISNUMBER('Council Entry'!M$9)),MAX(MIN('Council Entry'!M203,'Council Entry'!M$9),'Council Entry'!M$8),'Council Entry'!M203))))-'Council Entry'!M$5)/('Council Entry'!M$6-'Council Entry'!M$5),10*((IF('Council Entry'!M$4="Logarithm",LN(0.001+IF(AND(ISNUMBER('Council Entry'!M$8),ISNUMBER('Council Entry'!M$9)),MAX(MIN('Council Entry'!M203,'Council Entry'!M$9),'Council Entry'!M$8),'Council Entry'!M203)),IF('Council Entry'!M$4="Exponential",EXP(IF(AND(ISNUMBER('Council Entry'!M$8),ISNUMBER('Council Entry'!M$9)),MAX(MIN('Council Entry'!M203,'Council Entry'!M$9),'Council Entry'!M$8),'Council Entry'!M203)),IF(AND(ISNUMBER('Council Entry'!M$8),ISNUMBER('Council Entry'!M$9)),MAX(MIN('Council Entry'!M203,'Council Entry'!M$9),'Council Entry'!M$8),'Council Entry'!M203))))-'Council Entry'!M$5)/('Council Entry'!M$6-'Council Entry'!M$5)),1))),"No data"))</f>
        <v/>
      </c>
      <c r="N203" s="13">
        <f>IF('Council Entry'!N203="","",IFERROR(MAX(0,MIN(10,ROUND(IF('Council Entry'!N$7="Decrease Risk",10-10*((IF('Council Entry'!N$4="Logarithm",LN(0.001+IF(AND(ISNUMBER('Council Entry'!N$8),ISNUMBER('Council Entry'!N$9)),MAX(MIN('Council Entry'!N203,'Council Entry'!N$9),'Council Entry'!N$8),'Council Entry'!N203)),IF('Council Entry'!N$4="Exponential",EXP(IF(AND(ISNUMBER('Council Entry'!N$8),ISNUMBER('Council Entry'!N$9)),MAX(MIN('Council Entry'!N203,'Council Entry'!N$9),'Council Entry'!N$8),'Council Entry'!N203)),IF(AND(ISNUMBER('Council Entry'!N$8),ISNUMBER('Council Entry'!N$9)),MAX(MIN('Council Entry'!N203,'Council Entry'!N$9),'Council Entry'!N$8),'Council Entry'!N203))))-'Council Entry'!N$5)/('Council Entry'!N$6-'Council Entry'!N$5),10*((IF('Council Entry'!N$4="Logarithm",LN(0.001+IF(AND(ISNUMBER('Council Entry'!N$8),ISNUMBER('Council Entry'!N$9)),MAX(MIN('Council Entry'!N203,'Council Entry'!N$9),'Council Entry'!N$8),'Council Entry'!N203)),IF('Council Entry'!N$4="Exponential",EXP(IF(AND(ISNUMBER('Council Entry'!N$8),ISNUMBER('Council Entry'!N$9)),MAX(MIN('Council Entry'!N203,'Council Entry'!N$9),'Council Entry'!N$8),'Council Entry'!N203)),IF(AND(ISNUMBER('Council Entry'!N$8),ISNUMBER('Council Entry'!N$9)),MAX(MIN('Council Entry'!N203,'Council Entry'!N$9),'Council Entry'!N$8),'Council Entry'!N203))))-'Council Entry'!N$5)/('Council Entry'!N$6-'Council Entry'!N$5)),1))),"No data"))</f>
        <v/>
      </c>
      <c r="O203" s="13">
        <f>IF('Council Entry'!O203="","",IFERROR(MAX(0,MIN(10,ROUND(IF('Council Entry'!O$7="Decrease Risk",10-10*((IF('Council Entry'!O$4="Logarithm",LN(0.001+IF(AND(ISNUMBER('Council Entry'!O$8),ISNUMBER('Council Entry'!O$9)),MAX(MIN('Council Entry'!O203,'Council Entry'!O$9),'Council Entry'!O$8),'Council Entry'!O203)),IF('Council Entry'!O$4="Exponential",EXP(IF(AND(ISNUMBER('Council Entry'!O$8),ISNUMBER('Council Entry'!O$9)),MAX(MIN('Council Entry'!O203,'Council Entry'!O$9),'Council Entry'!O$8),'Council Entry'!O203)),IF(AND(ISNUMBER('Council Entry'!O$8),ISNUMBER('Council Entry'!O$9)),MAX(MIN('Council Entry'!O203,'Council Entry'!O$9),'Council Entry'!O$8),'Council Entry'!O203))))-'Council Entry'!O$5)/('Council Entry'!O$6-'Council Entry'!O$5),10*((IF('Council Entry'!O$4="Logarithm",LN(0.001+IF(AND(ISNUMBER('Council Entry'!O$8),ISNUMBER('Council Entry'!O$9)),MAX(MIN('Council Entry'!O203,'Council Entry'!O$9),'Council Entry'!O$8),'Council Entry'!O203)),IF('Council Entry'!O$4="Exponential",EXP(IF(AND(ISNUMBER('Council Entry'!O$8),ISNUMBER('Council Entry'!O$9)),MAX(MIN('Council Entry'!O203,'Council Entry'!O$9),'Council Entry'!O$8),'Council Entry'!O203)),IF(AND(ISNUMBER('Council Entry'!O$8),ISNUMBER('Council Entry'!O$9)),MAX(MIN('Council Entry'!O203,'Council Entry'!O$9),'Council Entry'!O$8),'Council Entry'!O203))))-'Council Entry'!O$5)/('Council Entry'!O$6-'Council Entry'!O$5)),1))),"No data"))</f>
        <v/>
      </c>
      <c r="P203" s="13">
        <f>IF('Council Entry'!P203="","",IFERROR(MAX(0,MIN(10,ROUND(IF('Council Entry'!P$7="Decrease Risk",10-10*((IF('Council Entry'!P$4="Logarithm",LN(0.001+IF(AND(ISNUMBER('Council Entry'!P$8),ISNUMBER('Council Entry'!P$9)),MAX(MIN('Council Entry'!P203,'Council Entry'!P$9),'Council Entry'!P$8),'Council Entry'!P203)),IF('Council Entry'!P$4="Exponential",EXP(IF(AND(ISNUMBER('Council Entry'!P$8),ISNUMBER('Council Entry'!P$9)),MAX(MIN('Council Entry'!P203,'Council Entry'!P$9),'Council Entry'!P$8),'Council Entry'!P203)),IF(AND(ISNUMBER('Council Entry'!P$8),ISNUMBER('Council Entry'!P$9)),MAX(MIN('Council Entry'!P203,'Council Entry'!P$9),'Council Entry'!P$8),'Council Entry'!P203))))-'Council Entry'!P$5)/('Council Entry'!P$6-'Council Entry'!P$5),10*((IF('Council Entry'!P$4="Logarithm",LN(0.001+IF(AND(ISNUMBER('Council Entry'!P$8),ISNUMBER('Council Entry'!P$9)),MAX(MIN('Council Entry'!P203,'Council Entry'!P$9),'Council Entry'!P$8),'Council Entry'!P203)),IF('Council Entry'!P$4="Exponential",EXP(IF(AND(ISNUMBER('Council Entry'!P$8),ISNUMBER('Council Entry'!P$9)),MAX(MIN('Council Entry'!P203,'Council Entry'!P$9),'Council Entry'!P$8),'Council Entry'!P203)),IF(AND(ISNUMBER('Council Entry'!P$8),ISNUMBER('Council Entry'!P$9)),MAX(MIN('Council Entry'!P203,'Council Entry'!P$9),'Council Entry'!P$8),'Council Entry'!P203))))-'Council Entry'!P$5)/('Council Entry'!P$6-'Council Entry'!P$5)),1))),"No data"))</f>
        <v/>
      </c>
      <c r="Q203" s="13">
        <f>IF('Council Entry'!Q203="","",IFERROR(MAX(0,MIN(10,ROUND(IF('Council Entry'!Q$7="Decrease Risk",10-10*((IF('Council Entry'!Q$4="Logarithm",LN(0.001+IF(AND(ISNUMBER('Council Entry'!Q$8),ISNUMBER('Council Entry'!Q$9)),MAX(MIN('Council Entry'!Q203,'Council Entry'!Q$9),'Council Entry'!Q$8),'Council Entry'!Q203)),IF('Council Entry'!Q$4="Exponential",EXP(IF(AND(ISNUMBER('Council Entry'!Q$8),ISNUMBER('Council Entry'!Q$9)),MAX(MIN('Council Entry'!Q203,'Council Entry'!Q$9),'Council Entry'!Q$8),'Council Entry'!Q203)),IF(AND(ISNUMBER('Council Entry'!Q$8),ISNUMBER('Council Entry'!Q$9)),MAX(MIN('Council Entry'!Q203,'Council Entry'!Q$9),'Council Entry'!Q$8),'Council Entry'!Q203))))-'Council Entry'!Q$5)/('Council Entry'!Q$6-'Council Entry'!Q$5),10*((IF('Council Entry'!Q$4="Logarithm",LN(0.001+IF(AND(ISNUMBER('Council Entry'!Q$8),ISNUMBER('Council Entry'!Q$9)),MAX(MIN('Council Entry'!Q203,'Council Entry'!Q$9),'Council Entry'!Q$8),'Council Entry'!Q203)),IF('Council Entry'!Q$4="Exponential",EXP(IF(AND(ISNUMBER('Council Entry'!Q$8),ISNUMBER('Council Entry'!Q$9)),MAX(MIN('Council Entry'!Q203,'Council Entry'!Q$9),'Council Entry'!Q$8),'Council Entry'!Q203)),IF(AND(ISNUMBER('Council Entry'!Q$8),ISNUMBER('Council Entry'!Q$9)),MAX(MIN('Council Entry'!Q203,'Council Entry'!Q$9),'Council Entry'!Q$8),'Council Entry'!Q203))))-'Council Entry'!Q$5)/('Council Entry'!Q$6-'Council Entry'!Q$5)),1))),"No data"))</f>
        <v/>
      </c>
      <c r="R203" s="13">
        <f>IF('Council Entry'!R203="","",IFERROR(MAX(0,MIN(10,ROUND(IF('Council Entry'!R$7="Decrease Risk",10-10*((IF('Council Entry'!R$4="Logarithm",LN(0.001+IF(AND(ISNUMBER('Council Entry'!R$8),ISNUMBER('Council Entry'!R$9)),MAX(MIN('Council Entry'!R203,'Council Entry'!R$9),'Council Entry'!R$8),'Council Entry'!R203)),IF('Council Entry'!R$4="Exponential",EXP(IF(AND(ISNUMBER('Council Entry'!R$8),ISNUMBER('Council Entry'!R$9)),MAX(MIN('Council Entry'!R203,'Council Entry'!R$9),'Council Entry'!R$8),'Council Entry'!R203)),IF(AND(ISNUMBER('Council Entry'!R$8),ISNUMBER('Council Entry'!R$9)),MAX(MIN('Council Entry'!R203,'Council Entry'!R$9),'Council Entry'!R$8),'Council Entry'!R203))))-'Council Entry'!R$5)/('Council Entry'!R$6-'Council Entry'!R$5),10*((IF('Council Entry'!R$4="Logarithm",LN(0.001+IF(AND(ISNUMBER('Council Entry'!R$8),ISNUMBER('Council Entry'!R$9)),MAX(MIN('Council Entry'!R203,'Council Entry'!R$9),'Council Entry'!R$8),'Council Entry'!R203)),IF('Council Entry'!R$4="Exponential",EXP(IF(AND(ISNUMBER('Council Entry'!R$8),ISNUMBER('Council Entry'!R$9)),MAX(MIN('Council Entry'!R203,'Council Entry'!R$9),'Council Entry'!R$8),'Council Entry'!R203)),IF(AND(ISNUMBER('Council Entry'!R$8),ISNUMBER('Council Entry'!R$9)),MAX(MIN('Council Entry'!R203,'Council Entry'!R$9),'Council Entry'!R$8),'Council Entry'!R203))))-'Council Entry'!R$5)/('Council Entry'!R$6-'Council Entry'!R$5)),1))),"No data"))</f>
        <v/>
      </c>
      <c r="S203" s="13">
        <f>IF('Council Entry'!S203="","",IFERROR(MAX(0,MIN(10,ROUND(IF('Council Entry'!S$7="Decrease Risk",10-10*((IF('Council Entry'!S$4="Logarithm",LN(0.001+IF(AND(ISNUMBER('Council Entry'!S$8),ISNUMBER('Council Entry'!S$9)),MAX(MIN('Council Entry'!S203,'Council Entry'!S$9),'Council Entry'!S$8),'Council Entry'!S203)),IF('Council Entry'!S$4="Exponential",EXP(IF(AND(ISNUMBER('Council Entry'!S$8),ISNUMBER('Council Entry'!S$9)),MAX(MIN('Council Entry'!S203,'Council Entry'!S$9),'Council Entry'!S$8),'Council Entry'!S203)),IF(AND(ISNUMBER('Council Entry'!S$8),ISNUMBER('Council Entry'!S$9)),MAX(MIN('Council Entry'!S203,'Council Entry'!S$9),'Council Entry'!S$8),'Council Entry'!S203))))-'Council Entry'!S$5)/('Council Entry'!S$6-'Council Entry'!S$5),10*((IF('Council Entry'!S$4="Logarithm",LN(0.001+IF(AND(ISNUMBER('Council Entry'!S$8),ISNUMBER('Council Entry'!S$9)),MAX(MIN('Council Entry'!S203,'Council Entry'!S$9),'Council Entry'!S$8),'Council Entry'!S203)),IF('Council Entry'!S$4="Exponential",EXP(IF(AND(ISNUMBER('Council Entry'!S$8),ISNUMBER('Council Entry'!S$9)),MAX(MIN('Council Entry'!S203,'Council Entry'!S$9),'Council Entry'!S$8),'Council Entry'!S203)),IF(AND(ISNUMBER('Council Entry'!S$8),ISNUMBER('Council Entry'!S$9)),MAX(MIN('Council Entry'!S203,'Council Entry'!S$9),'Council Entry'!S$8),'Council Entry'!S203))))-'Council Entry'!S$5)/('Council Entry'!S$6-'Council Entry'!S$5)),1))),"No data"))</f>
        <v/>
      </c>
      <c r="T203" s="13">
        <f>IF('Council Entry'!T203="","",IFERROR(MAX(0,MIN(10,ROUND(IF('Council Entry'!T$7="Decrease Risk",10-10*((IF('Council Entry'!T$4="Logarithm",LN(0.001+IF(AND(ISNUMBER('Council Entry'!T$8),ISNUMBER('Council Entry'!T$9)),MAX(MIN('Council Entry'!T203,'Council Entry'!T$9),'Council Entry'!T$8),'Council Entry'!T203)),IF('Council Entry'!T$4="Exponential",EXP(IF(AND(ISNUMBER('Council Entry'!T$8),ISNUMBER('Council Entry'!T$9)),MAX(MIN('Council Entry'!T203,'Council Entry'!T$9),'Council Entry'!T$8),'Council Entry'!T203)),IF(AND(ISNUMBER('Council Entry'!T$8),ISNUMBER('Council Entry'!T$9)),MAX(MIN('Council Entry'!T203,'Council Entry'!T$9),'Council Entry'!T$8),'Council Entry'!T203))))-'Council Entry'!T$5)/('Council Entry'!T$6-'Council Entry'!T$5),10*((IF('Council Entry'!T$4="Logarithm",LN(0.001+IF(AND(ISNUMBER('Council Entry'!T$8),ISNUMBER('Council Entry'!T$9)),MAX(MIN('Council Entry'!T203,'Council Entry'!T$9),'Council Entry'!T$8),'Council Entry'!T203)),IF('Council Entry'!T$4="Exponential",EXP(IF(AND(ISNUMBER('Council Entry'!T$8),ISNUMBER('Council Entry'!T$9)),MAX(MIN('Council Entry'!T203,'Council Entry'!T$9),'Council Entry'!T$8),'Council Entry'!T203)),IF(AND(ISNUMBER('Council Entry'!T$8),ISNUMBER('Council Entry'!T$9)),MAX(MIN('Council Entry'!T203,'Council Entry'!T$9),'Council Entry'!T$8),'Council Entry'!T203))))-'Council Entry'!T$5)/('Council Entry'!T$6-'Council Entry'!T$5)),1))),"No data"))</f>
        <v/>
      </c>
      <c r="U203" s="13">
        <f>IF('Council Entry'!U203="","",IFERROR(MAX(0,MIN(10,ROUND(IF('Council Entry'!U$7="Decrease Risk",10-10*((IF('Council Entry'!U$4="Logarithm",LN(0.001+IF(AND(ISNUMBER('Council Entry'!U$8),ISNUMBER('Council Entry'!U$9)),MAX(MIN('Council Entry'!U203,'Council Entry'!U$9),'Council Entry'!U$8),'Council Entry'!U203)),IF('Council Entry'!U$4="Exponential",EXP(IF(AND(ISNUMBER('Council Entry'!U$8),ISNUMBER('Council Entry'!U$9)),MAX(MIN('Council Entry'!U203,'Council Entry'!U$9),'Council Entry'!U$8),'Council Entry'!U203)),IF(AND(ISNUMBER('Council Entry'!U$8),ISNUMBER('Council Entry'!U$9)),MAX(MIN('Council Entry'!U203,'Council Entry'!U$9),'Council Entry'!U$8),'Council Entry'!U203))))-'Council Entry'!U$5)/('Council Entry'!U$6-'Council Entry'!U$5),10*((IF('Council Entry'!U$4="Logarithm",LN(0.001+IF(AND(ISNUMBER('Council Entry'!U$8),ISNUMBER('Council Entry'!U$9)),MAX(MIN('Council Entry'!U203,'Council Entry'!U$9),'Council Entry'!U$8),'Council Entry'!U203)),IF('Council Entry'!U$4="Exponential",EXP(IF(AND(ISNUMBER('Council Entry'!U$8),ISNUMBER('Council Entry'!U$9)),MAX(MIN('Council Entry'!U203,'Council Entry'!U$9),'Council Entry'!U$8),'Council Entry'!U203)),IF(AND(ISNUMBER('Council Entry'!U$8),ISNUMBER('Council Entry'!U$9)),MAX(MIN('Council Entry'!U203,'Council Entry'!U$9),'Council Entry'!U$8),'Council Entry'!U203))))-'Council Entry'!U$5)/('Council Entry'!U$6-'Council Entry'!U$5)),1))),"No data"))</f>
        <v/>
      </c>
      <c r="V203" s="13">
        <f>IF('Council Entry'!V203="","",IFERROR(MAX(0,MIN(10,ROUND(IF('Council Entry'!V$7="Decrease Risk",10-10*((IF('Council Entry'!V$4="Logarithm",LN(0.001+IF(AND(ISNUMBER('Council Entry'!V$8),ISNUMBER('Council Entry'!V$9)),MAX(MIN('Council Entry'!V203,'Council Entry'!V$9),'Council Entry'!V$8),'Council Entry'!V203)),IF('Council Entry'!V$4="Exponential",EXP(IF(AND(ISNUMBER('Council Entry'!V$8),ISNUMBER('Council Entry'!V$9)),MAX(MIN('Council Entry'!V203,'Council Entry'!V$9),'Council Entry'!V$8),'Council Entry'!V203)),IF(AND(ISNUMBER('Council Entry'!V$8),ISNUMBER('Council Entry'!V$9)),MAX(MIN('Council Entry'!V203,'Council Entry'!V$9),'Council Entry'!V$8),'Council Entry'!V203))))-'Council Entry'!V$5)/('Council Entry'!V$6-'Council Entry'!V$5),10*((IF('Council Entry'!V$4="Logarithm",LN(0.001+IF(AND(ISNUMBER('Council Entry'!V$8),ISNUMBER('Council Entry'!V$9)),MAX(MIN('Council Entry'!V203,'Council Entry'!V$9),'Council Entry'!V$8),'Council Entry'!V203)),IF('Council Entry'!V$4="Exponential",EXP(IF(AND(ISNUMBER('Council Entry'!V$8),ISNUMBER('Council Entry'!V$9)),MAX(MIN('Council Entry'!V203,'Council Entry'!V$9),'Council Entry'!V$8),'Council Entry'!V203)),IF(AND(ISNUMBER('Council Entry'!V$8),ISNUMBER('Council Entry'!V$9)),MAX(MIN('Council Entry'!V203,'Council Entry'!V$9),'Council Entry'!V$8),'Council Entry'!V203))))-'Council Entry'!V$5)/('Council Entry'!V$6-'Council Entry'!V$5)),1))),"No data"))</f>
        <v/>
      </c>
      <c r="W203" s="13">
        <f>IF('Council Entry'!W203="","",IFERROR(MAX(0,MIN(10,ROUND(IF('Council Entry'!W$7="Decrease Risk",10-10*((IF('Council Entry'!W$4="Logarithm",LN(0.001+IF(AND(ISNUMBER('Council Entry'!W$8),ISNUMBER('Council Entry'!W$9)),MAX(MIN('Council Entry'!W203,'Council Entry'!W$9),'Council Entry'!W$8),'Council Entry'!W203)),IF('Council Entry'!W$4="Exponential",EXP(IF(AND(ISNUMBER('Council Entry'!W$8),ISNUMBER('Council Entry'!W$9)),MAX(MIN('Council Entry'!W203,'Council Entry'!W$9),'Council Entry'!W$8),'Council Entry'!W203)),IF(AND(ISNUMBER('Council Entry'!W$8),ISNUMBER('Council Entry'!W$9)),MAX(MIN('Council Entry'!W203,'Council Entry'!W$9),'Council Entry'!W$8),'Council Entry'!W203))))-'Council Entry'!W$5)/('Council Entry'!W$6-'Council Entry'!W$5),10*((IF('Council Entry'!W$4="Logarithm",LN(0.001+IF(AND(ISNUMBER('Council Entry'!W$8),ISNUMBER('Council Entry'!W$9)),MAX(MIN('Council Entry'!W203,'Council Entry'!W$9),'Council Entry'!W$8),'Council Entry'!W203)),IF('Council Entry'!W$4="Exponential",EXP(IF(AND(ISNUMBER('Council Entry'!W$8),ISNUMBER('Council Entry'!W$9)),MAX(MIN('Council Entry'!W203,'Council Entry'!W$9),'Council Entry'!W$8),'Council Entry'!W203)),IF(AND(ISNUMBER('Council Entry'!W$8),ISNUMBER('Council Entry'!W$9)),MAX(MIN('Council Entry'!W203,'Council Entry'!W$9),'Council Entry'!W$8),'Council Entry'!W203))))-'Council Entry'!W$5)/('Council Entry'!W$6-'Council Entry'!W$5)),1))),"No data"))</f>
        <v/>
      </c>
      <c r="X203" s="13">
        <f>IF('Council Entry'!X203="","",IFERROR(MAX(0,MIN(10,ROUND(IF('Council Entry'!X$7="Decrease Risk",10-10*((IF('Council Entry'!X$4="Logarithm",LN(0.001+IF(AND(ISNUMBER('Council Entry'!X$8),ISNUMBER('Council Entry'!X$9)),MAX(MIN('Council Entry'!X203,'Council Entry'!X$9),'Council Entry'!X$8),'Council Entry'!X203)),IF('Council Entry'!X$4="Exponential",EXP(IF(AND(ISNUMBER('Council Entry'!X$8),ISNUMBER('Council Entry'!X$9)),MAX(MIN('Council Entry'!X203,'Council Entry'!X$9),'Council Entry'!X$8),'Council Entry'!X203)),IF(AND(ISNUMBER('Council Entry'!X$8),ISNUMBER('Council Entry'!X$9)),MAX(MIN('Council Entry'!X203,'Council Entry'!X$9),'Council Entry'!X$8),'Council Entry'!X203))))-'Council Entry'!X$5)/('Council Entry'!X$6-'Council Entry'!X$5),10*((IF('Council Entry'!X$4="Logarithm",LN(0.001+IF(AND(ISNUMBER('Council Entry'!X$8),ISNUMBER('Council Entry'!X$9)),MAX(MIN('Council Entry'!X203,'Council Entry'!X$9),'Council Entry'!X$8),'Council Entry'!X203)),IF('Council Entry'!X$4="Exponential",EXP(IF(AND(ISNUMBER('Council Entry'!X$8),ISNUMBER('Council Entry'!X$9)),MAX(MIN('Council Entry'!X203,'Council Entry'!X$9),'Council Entry'!X$8),'Council Entry'!X203)),IF(AND(ISNUMBER('Council Entry'!X$8),ISNUMBER('Council Entry'!X$9)),MAX(MIN('Council Entry'!X203,'Council Entry'!X$9),'Council Entry'!X$8),'Council Entry'!X203))))-'Council Entry'!X$5)/('Council Entry'!X$6-'Council Entry'!X$5)),1))),"No data"))</f>
        <v/>
      </c>
      <c r="Y203" s="13">
        <f>IF('Council Entry'!Y203="","",IFERROR(MAX(0,MIN(10,ROUND(IF('Council Entry'!Y$7="Decrease Risk",10-10*((IF('Council Entry'!Y$4="Logarithm",LN(0.001+IF(AND(ISNUMBER('Council Entry'!Y$8),ISNUMBER('Council Entry'!Y$9)),MAX(MIN('Council Entry'!Y203,'Council Entry'!Y$9),'Council Entry'!Y$8),'Council Entry'!Y203)),IF('Council Entry'!Y$4="Exponential",EXP(IF(AND(ISNUMBER('Council Entry'!Y$8),ISNUMBER('Council Entry'!Y$9)),MAX(MIN('Council Entry'!Y203,'Council Entry'!Y$9),'Council Entry'!Y$8),'Council Entry'!Y203)),IF(AND(ISNUMBER('Council Entry'!Y$8),ISNUMBER('Council Entry'!Y$9)),MAX(MIN('Council Entry'!Y203,'Council Entry'!Y$9),'Council Entry'!Y$8),'Council Entry'!Y203))))-'Council Entry'!Y$5)/('Council Entry'!Y$6-'Council Entry'!Y$5),10*((IF('Council Entry'!Y$4="Logarithm",LN(0.001+IF(AND(ISNUMBER('Council Entry'!Y$8),ISNUMBER('Council Entry'!Y$9)),MAX(MIN('Council Entry'!Y203,'Council Entry'!Y$9),'Council Entry'!Y$8),'Council Entry'!Y203)),IF('Council Entry'!Y$4="Exponential",EXP(IF(AND(ISNUMBER('Council Entry'!Y$8),ISNUMBER('Council Entry'!Y$9)),MAX(MIN('Council Entry'!Y203,'Council Entry'!Y$9),'Council Entry'!Y$8),'Council Entry'!Y203)),IF(AND(ISNUMBER('Council Entry'!Y$8),ISNUMBER('Council Entry'!Y$9)),MAX(MIN('Council Entry'!Y203,'Council Entry'!Y$9),'Council Entry'!Y$8),'Council Entry'!Y203))))-'Council Entry'!Y$5)/('Council Entry'!Y$6-'Council Entry'!Y$5)),1))),"No data"))</f>
        <v/>
      </c>
      <c r="Z203" s="13">
        <f>IF('Council Entry'!Z203="","",IFERROR(MAX(0,MIN(10,ROUND(IF('Council Entry'!Z$7="Decrease Risk",10-10*((IF('Council Entry'!Z$4="Logarithm",LN(0.001+IF(AND(ISNUMBER('Council Entry'!Z$8),ISNUMBER('Council Entry'!Z$9)),MAX(MIN('Council Entry'!Z203,'Council Entry'!Z$9),'Council Entry'!Z$8),'Council Entry'!Z203)),IF('Council Entry'!Z$4="Exponential",EXP(IF(AND(ISNUMBER('Council Entry'!Z$8),ISNUMBER('Council Entry'!Z$9)),MAX(MIN('Council Entry'!Z203,'Council Entry'!Z$9),'Council Entry'!Z$8),'Council Entry'!Z203)),IF(AND(ISNUMBER('Council Entry'!Z$8),ISNUMBER('Council Entry'!Z$9)),MAX(MIN('Council Entry'!Z203,'Council Entry'!Z$9),'Council Entry'!Z$8),'Council Entry'!Z203))))-'Council Entry'!Z$5)/('Council Entry'!Z$6-'Council Entry'!Z$5),10*((IF('Council Entry'!Z$4="Logarithm",LN(0.001+IF(AND(ISNUMBER('Council Entry'!Z$8),ISNUMBER('Council Entry'!Z$9)),MAX(MIN('Council Entry'!Z203,'Council Entry'!Z$9),'Council Entry'!Z$8),'Council Entry'!Z203)),IF('Council Entry'!Z$4="Exponential",EXP(IF(AND(ISNUMBER('Council Entry'!Z$8),ISNUMBER('Council Entry'!Z$9)),MAX(MIN('Council Entry'!Z203,'Council Entry'!Z$9),'Council Entry'!Z$8),'Council Entry'!Z203)),IF(AND(ISNUMBER('Council Entry'!Z$8),ISNUMBER('Council Entry'!Z$9)),MAX(MIN('Council Entry'!Z203,'Council Entry'!Z$9),'Council Entry'!Z$8),'Council Entry'!Z203))))-'Council Entry'!Z$5)/('Council Entry'!Z$6-'Council Entry'!Z$5)),1))),"No data"))</f>
        <v/>
      </c>
      <c r="AA203" s="13">
        <f>IF('Council Entry'!AA203="","",IFERROR(MAX(0,MIN(10,ROUND(IF('Council Entry'!AA$7="Decrease Risk",10-10*((IF('Council Entry'!AA$4="Logarithm",LN(0.001+IF(AND(ISNUMBER('Council Entry'!AA$8),ISNUMBER('Council Entry'!AA$9)),MAX(MIN('Council Entry'!AA203,'Council Entry'!AA$9),'Council Entry'!AA$8),'Council Entry'!AA203)),IF('Council Entry'!AA$4="Exponential",EXP(IF(AND(ISNUMBER('Council Entry'!AA$8),ISNUMBER('Council Entry'!AA$9)),MAX(MIN('Council Entry'!AA203,'Council Entry'!AA$9),'Council Entry'!AA$8),'Council Entry'!AA203)),IF(AND(ISNUMBER('Council Entry'!AA$8),ISNUMBER('Council Entry'!AA$9)),MAX(MIN('Council Entry'!AA203,'Council Entry'!AA$9),'Council Entry'!AA$8),'Council Entry'!AA203))))-'Council Entry'!AA$5)/('Council Entry'!AA$6-'Council Entry'!AA$5),10*((IF('Council Entry'!AA$4="Logarithm",LN(0.001+IF(AND(ISNUMBER('Council Entry'!AA$8),ISNUMBER('Council Entry'!AA$9)),MAX(MIN('Council Entry'!AA203,'Council Entry'!AA$9),'Council Entry'!AA$8),'Council Entry'!AA203)),IF('Council Entry'!AA$4="Exponential",EXP(IF(AND(ISNUMBER('Council Entry'!AA$8),ISNUMBER('Council Entry'!AA$9)),MAX(MIN('Council Entry'!AA203,'Council Entry'!AA$9),'Council Entry'!AA$8),'Council Entry'!AA203)),IF(AND(ISNUMBER('Council Entry'!AA$8),ISNUMBER('Council Entry'!AA$9)),MAX(MIN('Council Entry'!AA203,'Council Entry'!AA$9),'Council Entry'!AA$8),'Council Entry'!AA203))))-'Council Entry'!AA$5)/('Council Entry'!AA$6-'Council Entry'!AA$5)),1))),"No data"))</f>
        <v/>
      </c>
      <c r="AB203" s="13">
        <f>IF('Council Entry'!AB203="","",IFERROR(MAX(0,MIN(10,ROUND(IF('Council Entry'!AB$7="Decrease Risk",10-10*((IF('Council Entry'!AB$4="Logarithm",LN(0.001+IF(AND(ISNUMBER('Council Entry'!AB$8),ISNUMBER('Council Entry'!AB$9)),MAX(MIN('Council Entry'!AB203,'Council Entry'!AB$9),'Council Entry'!AB$8),'Council Entry'!AB203)),IF('Council Entry'!AB$4="Exponential",EXP(IF(AND(ISNUMBER('Council Entry'!AB$8),ISNUMBER('Council Entry'!AB$9)),MAX(MIN('Council Entry'!AB203,'Council Entry'!AB$9),'Council Entry'!AB$8),'Council Entry'!AB203)),IF(AND(ISNUMBER('Council Entry'!AB$8),ISNUMBER('Council Entry'!AB$9)),MAX(MIN('Council Entry'!AB203,'Council Entry'!AB$9),'Council Entry'!AB$8),'Council Entry'!AB203))))-'Council Entry'!AB$5)/('Council Entry'!AB$6-'Council Entry'!AB$5),10*((IF('Council Entry'!AB$4="Logarithm",LN(0.001+IF(AND(ISNUMBER('Council Entry'!AB$8),ISNUMBER('Council Entry'!AB$9)),MAX(MIN('Council Entry'!AB203,'Council Entry'!AB$9),'Council Entry'!AB$8),'Council Entry'!AB203)),IF('Council Entry'!AB$4="Exponential",EXP(IF(AND(ISNUMBER('Council Entry'!AB$8),ISNUMBER('Council Entry'!AB$9)),MAX(MIN('Council Entry'!AB203,'Council Entry'!AB$9),'Council Entry'!AB$8),'Council Entry'!AB203)),IF(AND(ISNUMBER('Council Entry'!AB$8),ISNUMBER('Council Entry'!AB$9)),MAX(MIN('Council Entry'!AB203,'Council Entry'!AB$9),'Council Entry'!AB$8),'Council Entry'!AB203))))-'Council Entry'!AB$5)/('Council Entry'!AB$6-'Council Entry'!AB$5)),1))),"No data"))</f>
        <v/>
      </c>
      <c r="AC203" s="13">
        <f>IF('Council Entry'!AC203="","",IFERROR(MAX(0,MIN(10,ROUND(IF('Council Entry'!AC$7="Decrease Risk",10-10*((IF('Council Entry'!AC$4="Logarithm",LN(0.001+IF(AND(ISNUMBER('Council Entry'!AC$8),ISNUMBER('Council Entry'!AC$9)),MAX(MIN('Council Entry'!AC203,'Council Entry'!AC$9),'Council Entry'!AC$8),'Council Entry'!AC203)),IF('Council Entry'!AC$4="Exponential",EXP(IF(AND(ISNUMBER('Council Entry'!AC$8),ISNUMBER('Council Entry'!AC$9)),MAX(MIN('Council Entry'!AC203,'Council Entry'!AC$9),'Council Entry'!AC$8),'Council Entry'!AC203)),IF(AND(ISNUMBER('Council Entry'!AC$8),ISNUMBER('Council Entry'!AC$9)),MAX(MIN('Council Entry'!AC203,'Council Entry'!AC$9),'Council Entry'!AC$8),'Council Entry'!AC203))))-'Council Entry'!AC$5)/('Council Entry'!AC$6-'Council Entry'!AC$5),10*((IF('Council Entry'!AC$4="Logarithm",LN(0.001+IF(AND(ISNUMBER('Council Entry'!AC$8),ISNUMBER('Council Entry'!AC$9)),MAX(MIN('Council Entry'!AC203,'Council Entry'!AC$9),'Council Entry'!AC$8),'Council Entry'!AC203)),IF('Council Entry'!AC$4="Exponential",EXP(IF(AND(ISNUMBER('Council Entry'!AC$8),ISNUMBER('Council Entry'!AC$9)),MAX(MIN('Council Entry'!AC203,'Council Entry'!AC$9),'Council Entry'!AC$8),'Council Entry'!AC203)),IF(AND(ISNUMBER('Council Entry'!AC$8),ISNUMBER('Council Entry'!AC$9)),MAX(MIN('Council Entry'!AC203,'Council Entry'!AC$9),'Council Entry'!AC$8),'Council Entry'!AC203))))-'Council Entry'!AC$5)/('Council Entry'!AC$6-'Council Entry'!AC$5)),1))),"No data"))</f>
        <v/>
      </c>
      <c r="AD203" s="13">
        <f>IF('Council Entry'!AD203="","",IFERROR(MAX(0,MIN(10,ROUND(IF('Council Entry'!AD$7="Decrease Risk",10-10*((IF('Council Entry'!AD$4="Logarithm",LN(0.001+IF(AND(ISNUMBER('Council Entry'!AD$8),ISNUMBER('Council Entry'!AD$9)),MAX(MIN('Council Entry'!AD203,'Council Entry'!AD$9),'Council Entry'!AD$8),'Council Entry'!AD203)),IF('Council Entry'!AD$4="Exponential",EXP(IF(AND(ISNUMBER('Council Entry'!AD$8),ISNUMBER('Council Entry'!AD$9)),MAX(MIN('Council Entry'!AD203,'Council Entry'!AD$9),'Council Entry'!AD$8),'Council Entry'!AD203)),IF(AND(ISNUMBER('Council Entry'!AD$8),ISNUMBER('Council Entry'!AD$9)),MAX(MIN('Council Entry'!AD203,'Council Entry'!AD$9),'Council Entry'!AD$8),'Council Entry'!AD203))))-'Council Entry'!AD$5)/('Council Entry'!AD$6-'Council Entry'!AD$5),10*((IF('Council Entry'!AD$4="Logarithm",LN(0.001+IF(AND(ISNUMBER('Council Entry'!AD$8),ISNUMBER('Council Entry'!AD$9)),MAX(MIN('Council Entry'!AD203,'Council Entry'!AD$9),'Council Entry'!AD$8),'Council Entry'!AD203)),IF('Council Entry'!AD$4="Exponential",EXP(IF(AND(ISNUMBER('Council Entry'!AD$8),ISNUMBER('Council Entry'!AD$9)),MAX(MIN('Council Entry'!AD203,'Council Entry'!AD$9),'Council Entry'!AD$8),'Council Entry'!AD203)),IF(AND(ISNUMBER('Council Entry'!AD$8),ISNUMBER('Council Entry'!AD$9)),MAX(MIN('Council Entry'!AD203,'Council Entry'!AD$9),'Council Entry'!AD$8),'Council Entry'!AD203))))-'Council Entry'!AD$5)/('Council Entry'!AD$6-'Council Entry'!AD$5)),1))),"No data"))</f>
        <v/>
      </c>
      <c r="AE203" s="13">
        <f>IF('Council Entry'!AE203="","",IFERROR(MAX(0,MIN(10,ROUND(IF('Council Entry'!AE$7="Decrease Risk",10-10*((IF('Council Entry'!AE$4="Logarithm",LN(0.001+IF(AND(ISNUMBER('Council Entry'!AE$8),ISNUMBER('Council Entry'!AE$9)),MAX(MIN('Council Entry'!AE203,'Council Entry'!AE$9),'Council Entry'!AE$8),'Council Entry'!AE203)),IF('Council Entry'!AE$4="Exponential",EXP(IF(AND(ISNUMBER('Council Entry'!AE$8),ISNUMBER('Council Entry'!AE$9)),MAX(MIN('Council Entry'!AE203,'Council Entry'!AE$9),'Council Entry'!AE$8),'Council Entry'!AE203)),IF(AND(ISNUMBER('Council Entry'!AE$8),ISNUMBER('Council Entry'!AE$9)),MAX(MIN('Council Entry'!AE203,'Council Entry'!AE$9),'Council Entry'!AE$8),'Council Entry'!AE203))))-'Council Entry'!AE$5)/('Council Entry'!AE$6-'Council Entry'!AE$5),10*((IF('Council Entry'!AE$4="Logarithm",LN(0.001+IF(AND(ISNUMBER('Council Entry'!AE$8),ISNUMBER('Council Entry'!AE$9)),MAX(MIN('Council Entry'!AE203,'Council Entry'!AE$9),'Council Entry'!AE$8),'Council Entry'!AE203)),IF('Council Entry'!AE$4="Exponential",EXP(IF(AND(ISNUMBER('Council Entry'!AE$8),ISNUMBER('Council Entry'!AE$9)),MAX(MIN('Council Entry'!AE203,'Council Entry'!AE$9),'Council Entry'!AE$8),'Council Entry'!AE203)),IF(AND(ISNUMBER('Council Entry'!AE$8),ISNUMBER('Council Entry'!AE$9)),MAX(MIN('Council Entry'!AE203,'Council Entry'!AE$9),'Council Entry'!AE$8),'Council Entry'!AE203))))-'Council Entry'!AE$5)/('Council Entry'!AE$6-'Council Entry'!AE$5)),1))),"No data"))</f>
        <v/>
      </c>
      <c r="AF203" s="13">
        <f>IF('Council Entry'!AF203="","",IFERROR(MAX(0,MIN(10,ROUND(IF('Council Entry'!AF$7="Decrease Risk",10-10*((IF('Council Entry'!AF$4="Logarithm",LN(0.001+IF(AND(ISNUMBER('Council Entry'!AF$8),ISNUMBER('Council Entry'!AF$9)),MAX(MIN('Council Entry'!AF203,'Council Entry'!AF$9),'Council Entry'!AF$8),'Council Entry'!AF203)),IF('Council Entry'!AF$4="Exponential",EXP(IF(AND(ISNUMBER('Council Entry'!AF$8),ISNUMBER('Council Entry'!AF$9)),MAX(MIN('Council Entry'!AF203,'Council Entry'!AF$9),'Council Entry'!AF$8),'Council Entry'!AF203)),IF(AND(ISNUMBER('Council Entry'!AF$8),ISNUMBER('Council Entry'!AF$9)),MAX(MIN('Council Entry'!AF203,'Council Entry'!AF$9),'Council Entry'!AF$8),'Council Entry'!AF203))))-'Council Entry'!AF$5)/('Council Entry'!AF$6-'Council Entry'!AF$5),10*((IF('Council Entry'!AF$4="Logarithm",LN(0.001+IF(AND(ISNUMBER('Council Entry'!AF$8),ISNUMBER('Council Entry'!AF$9)),MAX(MIN('Council Entry'!AF203,'Council Entry'!AF$9),'Council Entry'!AF$8),'Council Entry'!AF203)),IF('Council Entry'!AF$4="Exponential",EXP(IF(AND(ISNUMBER('Council Entry'!AF$8),ISNUMBER('Council Entry'!AF$9)),MAX(MIN('Council Entry'!AF203,'Council Entry'!AF$9),'Council Entry'!AF$8),'Council Entry'!AF203)),IF(AND(ISNUMBER('Council Entry'!AF$8),ISNUMBER('Council Entry'!AF$9)),MAX(MIN('Council Entry'!AF203,'Council Entry'!AF$9),'Council Entry'!AF$8),'Council Entry'!AF203))))-'Council Entry'!AF$5)/('Council Entry'!AF$6-'Council Entry'!AF$5)),1))),"No data"))</f>
        <v/>
      </c>
      <c r="AG203" s="13">
        <f>IF('Council Entry'!AG203="","",IFERROR(MAX(0,MIN(10,ROUND(IF('Council Entry'!AG$7="Decrease Risk",10-10*((IF('Council Entry'!AG$4="Logarithm",LN(0.001+IF(AND(ISNUMBER('Council Entry'!AG$8),ISNUMBER('Council Entry'!AG$9)),MAX(MIN('Council Entry'!AG203,'Council Entry'!AG$9),'Council Entry'!AG$8),'Council Entry'!AG203)),IF('Council Entry'!AG$4="Exponential",EXP(IF(AND(ISNUMBER('Council Entry'!AG$8),ISNUMBER('Council Entry'!AG$9)),MAX(MIN('Council Entry'!AG203,'Council Entry'!AG$9),'Council Entry'!AG$8),'Council Entry'!AG203)),IF(AND(ISNUMBER('Council Entry'!AG$8),ISNUMBER('Council Entry'!AG$9)),MAX(MIN('Council Entry'!AG203,'Council Entry'!AG$9),'Council Entry'!AG$8),'Council Entry'!AG203))))-'Council Entry'!AG$5)/('Council Entry'!AG$6-'Council Entry'!AG$5),10*((IF('Council Entry'!AG$4="Logarithm",LN(0.001+IF(AND(ISNUMBER('Council Entry'!AG$8),ISNUMBER('Council Entry'!AG$9)),MAX(MIN('Council Entry'!AG203,'Council Entry'!AG$9),'Council Entry'!AG$8),'Council Entry'!AG203)),IF('Council Entry'!AG$4="Exponential",EXP(IF(AND(ISNUMBER('Council Entry'!AG$8),ISNUMBER('Council Entry'!AG$9)),MAX(MIN('Council Entry'!AG203,'Council Entry'!AG$9),'Council Entry'!AG$8),'Council Entry'!AG203)),IF(AND(ISNUMBER('Council Entry'!AG$8),ISNUMBER('Council Entry'!AG$9)),MAX(MIN('Council Entry'!AG203,'Council Entry'!AG$9),'Council Entry'!AG$8),'Council Entry'!AG203))))-'Council Entry'!AG$5)/('Council Entry'!AG$6-'Council Entry'!AG$5)),1))),"No data"))</f>
        <v/>
      </c>
      <c r="AH203" s="13">
        <f>IF('Council Entry'!AH203="","",IFERROR(MAX(0,MIN(10,ROUND(IF('Council Entry'!AH$7="Decrease Risk",10-10*((IF('Council Entry'!AH$4="Logarithm",LN(0.001+IF(AND(ISNUMBER('Council Entry'!AH$8),ISNUMBER('Council Entry'!AH$9)),MAX(MIN('Council Entry'!AH203,'Council Entry'!AH$9),'Council Entry'!AH$8),'Council Entry'!AH203)),IF('Council Entry'!AH$4="Exponential",EXP(IF(AND(ISNUMBER('Council Entry'!AH$8),ISNUMBER('Council Entry'!AH$9)),MAX(MIN('Council Entry'!AH203,'Council Entry'!AH$9),'Council Entry'!AH$8),'Council Entry'!AH203)),IF(AND(ISNUMBER('Council Entry'!AH$8),ISNUMBER('Council Entry'!AH$9)),MAX(MIN('Council Entry'!AH203,'Council Entry'!AH$9),'Council Entry'!AH$8),'Council Entry'!AH203))))-'Council Entry'!AH$5)/('Council Entry'!AH$6-'Council Entry'!AH$5),10*((IF('Council Entry'!AH$4="Logarithm",LN(0.001+IF(AND(ISNUMBER('Council Entry'!AH$8),ISNUMBER('Council Entry'!AH$9)),MAX(MIN('Council Entry'!AH203,'Council Entry'!AH$9),'Council Entry'!AH$8),'Council Entry'!AH203)),IF('Council Entry'!AH$4="Exponential",EXP(IF(AND(ISNUMBER('Council Entry'!AH$8),ISNUMBER('Council Entry'!AH$9)),MAX(MIN('Council Entry'!AH203,'Council Entry'!AH$9),'Council Entry'!AH$8),'Council Entry'!AH203)),IF(AND(ISNUMBER('Council Entry'!AH$8),ISNUMBER('Council Entry'!AH$9)),MAX(MIN('Council Entry'!AH203,'Council Entry'!AH$9),'Council Entry'!AH$8),'Council Entry'!AH203))))-'Council Entry'!AH$5)/('Council Entry'!AH$6-'Council Entry'!AH$5)),1))),"No data"))</f>
        <v/>
      </c>
      <c r="AI203" s="13">
        <f>IF('Council Entry'!AI203="","",IFERROR(MAX(0,MIN(10,ROUND(IF('Council Entry'!AI$7="Decrease Risk",10-10*((IF('Council Entry'!AI$4="Logarithm",LN(0.001+IF(AND(ISNUMBER('Council Entry'!AI$8),ISNUMBER('Council Entry'!AI$9)),MAX(MIN('Council Entry'!AI203,'Council Entry'!AI$9),'Council Entry'!AI$8),'Council Entry'!AI203)),IF('Council Entry'!AI$4="Exponential",EXP(IF(AND(ISNUMBER('Council Entry'!AI$8),ISNUMBER('Council Entry'!AI$9)),MAX(MIN('Council Entry'!AI203,'Council Entry'!AI$9),'Council Entry'!AI$8),'Council Entry'!AI203)),IF(AND(ISNUMBER('Council Entry'!AI$8),ISNUMBER('Council Entry'!AI$9)),MAX(MIN('Council Entry'!AI203,'Council Entry'!AI$9),'Council Entry'!AI$8),'Council Entry'!AI203))))-'Council Entry'!AI$5)/('Council Entry'!AI$6-'Council Entry'!AI$5),10*((IF('Council Entry'!AI$4="Logarithm",LN(0.001+IF(AND(ISNUMBER('Council Entry'!AI$8),ISNUMBER('Council Entry'!AI$9)),MAX(MIN('Council Entry'!AI203,'Council Entry'!AI$9),'Council Entry'!AI$8),'Council Entry'!AI203)),IF('Council Entry'!AI$4="Exponential",EXP(IF(AND(ISNUMBER('Council Entry'!AI$8),ISNUMBER('Council Entry'!AI$9)),MAX(MIN('Council Entry'!AI203,'Council Entry'!AI$9),'Council Entry'!AI$8),'Council Entry'!AI203)),IF(AND(ISNUMBER('Council Entry'!AI$8),ISNUMBER('Council Entry'!AI$9)),MAX(MIN('Council Entry'!AI203,'Council Entry'!AI$9),'Council Entry'!AI$8),'Council Entry'!AI203))))-'Council Entry'!AI$5)/('Council Entry'!AI$6-'Council Entry'!AI$5)),1))),"No data"))</f>
        <v/>
      </c>
      <c r="AJ203" s="13">
        <f>IF('Council Entry'!AJ203="","",IFERROR(MAX(0,MIN(10,ROUND(IF('Council Entry'!AJ$7="Decrease Risk",10-10*((IF('Council Entry'!AJ$4="Logarithm",LN(0.001+IF(AND(ISNUMBER('Council Entry'!AJ$8),ISNUMBER('Council Entry'!AJ$9)),MAX(MIN('Council Entry'!AJ203,'Council Entry'!AJ$9),'Council Entry'!AJ$8),'Council Entry'!AJ203)),IF('Council Entry'!AJ$4="Exponential",EXP(IF(AND(ISNUMBER('Council Entry'!AJ$8),ISNUMBER('Council Entry'!AJ$9)),MAX(MIN('Council Entry'!AJ203,'Council Entry'!AJ$9),'Council Entry'!AJ$8),'Council Entry'!AJ203)),IF(AND(ISNUMBER('Council Entry'!AJ$8),ISNUMBER('Council Entry'!AJ$9)),MAX(MIN('Council Entry'!AJ203,'Council Entry'!AJ$9),'Council Entry'!AJ$8),'Council Entry'!AJ203))))-'Council Entry'!AJ$5)/('Council Entry'!AJ$6-'Council Entry'!AJ$5),10*((IF('Council Entry'!AJ$4="Logarithm",LN(0.001+IF(AND(ISNUMBER('Council Entry'!AJ$8),ISNUMBER('Council Entry'!AJ$9)),MAX(MIN('Council Entry'!AJ203,'Council Entry'!AJ$9),'Council Entry'!AJ$8),'Council Entry'!AJ203)),IF('Council Entry'!AJ$4="Exponential",EXP(IF(AND(ISNUMBER('Council Entry'!AJ$8),ISNUMBER('Council Entry'!AJ$9)),MAX(MIN('Council Entry'!AJ203,'Council Entry'!AJ$9),'Council Entry'!AJ$8),'Council Entry'!AJ203)),IF(AND(ISNUMBER('Council Entry'!AJ$8),ISNUMBER('Council Entry'!AJ$9)),MAX(MIN('Council Entry'!AJ203,'Council Entry'!AJ$9),'Council Entry'!AJ$8),'Council Entry'!AJ203))))-'Council Entry'!AJ$5)/('Council Entry'!AJ$6-'Council Entry'!AJ$5)),1))),"No data"))</f>
        <v/>
      </c>
      <c r="AK203" s="13">
        <f>IF('Council Entry'!AK203="","",IFERROR(MAX(0,MIN(10,ROUND(IF('Council Entry'!AK$7="Decrease Risk",10-10*((IF('Council Entry'!AK$4="Logarithm",LN(0.001+IF(AND(ISNUMBER('Council Entry'!AK$8),ISNUMBER('Council Entry'!AK$9)),MAX(MIN('Council Entry'!AK203,'Council Entry'!AK$9),'Council Entry'!AK$8),'Council Entry'!AK203)),IF('Council Entry'!AK$4="Exponential",EXP(IF(AND(ISNUMBER('Council Entry'!AK$8),ISNUMBER('Council Entry'!AK$9)),MAX(MIN('Council Entry'!AK203,'Council Entry'!AK$9),'Council Entry'!AK$8),'Council Entry'!AK203)),IF(AND(ISNUMBER('Council Entry'!AK$8),ISNUMBER('Council Entry'!AK$9)),MAX(MIN('Council Entry'!AK203,'Council Entry'!AK$9),'Council Entry'!AK$8),'Council Entry'!AK203))))-'Council Entry'!AK$5)/('Council Entry'!AK$6-'Council Entry'!AK$5),10*((IF('Council Entry'!AK$4="Logarithm",LN(0.001+IF(AND(ISNUMBER('Council Entry'!AK$8),ISNUMBER('Council Entry'!AK$9)),MAX(MIN('Council Entry'!AK203,'Council Entry'!AK$9),'Council Entry'!AK$8),'Council Entry'!AK203)),IF('Council Entry'!AK$4="Exponential",EXP(IF(AND(ISNUMBER('Council Entry'!AK$8),ISNUMBER('Council Entry'!AK$9)),MAX(MIN('Council Entry'!AK203,'Council Entry'!AK$9),'Council Entry'!AK$8),'Council Entry'!AK203)),IF(AND(ISNUMBER('Council Entry'!AK$8),ISNUMBER('Council Entry'!AK$9)),MAX(MIN('Council Entry'!AK203,'Council Entry'!AK$9),'Council Entry'!AK$8),'Council Entry'!AK203))))-'Council Entry'!AK$5)/('Council Entry'!AK$6-'Council Entry'!AK$5)),1))),"No data"))</f>
        <v/>
      </c>
      <c r="AL203" s="13">
        <f>IF('Council Entry'!AL203="","",IFERROR(MAX(0,MIN(10,ROUND(IF('Council Entry'!AL$7="Decrease Risk",10-10*((IF('Council Entry'!AL$4="Logarithm",LN(0.001+IF(AND(ISNUMBER('Council Entry'!AL$8),ISNUMBER('Council Entry'!AL$9)),MAX(MIN('Council Entry'!AL203,'Council Entry'!AL$9),'Council Entry'!AL$8),'Council Entry'!AL203)),IF('Council Entry'!AL$4="Exponential",EXP(IF(AND(ISNUMBER('Council Entry'!AL$8),ISNUMBER('Council Entry'!AL$9)),MAX(MIN('Council Entry'!AL203,'Council Entry'!AL$9),'Council Entry'!AL$8),'Council Entry'!AL203)),IF(AND(ISNUMBER('Council Entry'!AL$8),ISNUMBER('Council Entry'!AL$9)),MAX(MIN('Council Entry'!AL203,'Council Entry'!AL$9),'Council Entry'!AL$8),'Council Entry'!AL203))))-'Council Entry'!AL$5)/('Council Entry'!AL$6-'Council Entry'!AL$5),10*((IF('Council Entry'!AL$4="Logarithm",LN(0.001+IF(AND(ISNUMBER('Council Entry'!AL$8),ISNUMBER('Council Entry'!AL$9)),MAX(MIN('Council Entry'!AL203,'Council Entry'!AL$9),'Council Entry'!AL$8),'Council Entry'!AL203)),IF('Council Entry'!AL$4="Exponential",EXP(IF(AND(ISNUMBER('Council Entry'!AL$8),ISNUMBER('Council Entry'!AL$9)),MAX(MIN('Council Entry'!AL203,'Council Entry'!AL$9),'Council Entry'!AL$8),'Council Entry'!AL203)),IF(AND(ISNUMBER('Council Entry'!AL$8),ISNUMBER('Council Entry'!AL$9)),MAX(MIN('Council Entry'!AL203,'Council Entry'!AL$9),'Council Entry'!AL$8),'Council Entry'!AL203))))-'Council Entry'!AL$5)/('Council Entry'!AL$6-'Council Entry'!AL$5)),1))),"No data"))</f>
        <v/>
      </c>
      <c r="AM203" s="13">
        <f>IF('Council Entry'!AM203="","",IFERROR(MAX(0,MIN(10,ROUND(IF('Council Entry'!AM$7="Decrease Risk",10-10*((IF('Council Entry'!AM$4="Logarithm",LN(0.001+IF(AND(ISNUMBER('Council Entry'!AM$8),ISNUMBER('Council Entry'!AM$9)),MAX(MIN('Council Entry'!AM203,'Council Entry'!AM$9),'Council Entry'!AM$8),'Council Entry'!AM203)),IF('Council Entry'!AM$4="Exponential",EXP(IF(AND(ISNUMBER('Council Entry'!AM$8),ISNUMBER('Council Entry'!AM$9)),MAX(MIN('Council Entry'!AM203,'Council Entry'!AM$9),'Council Entry'!AM$8),'Council Entry'!AM203)),IF(AND(ISNUMBER('Council Entry'!AM$8),ISNUMBER('Council Entry'!AM$9)),MAX(MIN('Council Entry'!AM203,'Council Entry'!AM$9),'Council Entry'!AM$8),'Council Entry'!AM203))))-'Council Entry'!AM$5)/('Council Entry'!AM$6-'Council Entry'!AM$5),10*((IF('Council Entry'!AM$4="Logarithm",LN(0.001+IF(AND(ISNUMBER('Council Entry'!AM$8),ISNUMBER('Council Entry'!AM$9)),MAX(MIN('Council Entry'!AM203,'Council Entry'!AM$9),'Council Entry'!AM$8),'Council Entry'!AM203)),IF('Council Entry'!AM$4="Exponential",EXP(IF(AND(ISNUMBER('Council Entry'!AM$8),ISNUMBER('Council Entry'!AM$9)),MAX(MIN('Council Entry'!AM203,'Council Entry'!AM$9),'Council Entry'!AM$8),'Council Entry'!AM203)),IF(AND(ISNUMBER('Council Entry'!AM$8),ISNUMBER('Council Entry'!AM$9)),MAX(MIN('Council Entry'!AM203,'Council Entry'!AM$9),'Council Entry'!AM$8),'Council Entry'!AM203))))-'Council Entry'!AM$5)/('Council Entry'!AM$6-'Council Entry'!AM$5)),1))),"No data"))</f>
        <v/>
      </c>
      <c r="AN203" s="13">
        <f>IF('Council Entry'!AN203="","",IFERROR(MAX(0,MIN(10,ROUND(IF('Council Entry'!AN$7="Decrease Risk",10-10*((IF('Council Entry'!AN$4="Logarithm",LN(0.001+IF(AND(ISNUMBER('Council Entry'!AN$8),ISNUMBER('Council Entry'!AN$9)),MAX(MIN('Council Entry'!AN203,'Council Entry'!AN$9),'Council Entry'!AN$8),'Council Entry'!AN203)),IF('Council Entry'!AN$4="Exponential",EXP(IF(AND(ISNUMBER('Council Entry'!AN$8),ISNUMBER('Council Entry'!AN$9)),MAX(MIN('Council Entry'!AN203,'Council Entry'!AN$9),'Council Entry'!AN$8),'Council Entry'!AN203)),IF(AND(ISNUMBER('Council Entry'!AN$8),ISNUMBER('Council Entry'!AN$9)),MAX(MIN('Council Entry'!AN203,'Council Entry'!AN$9),'Council Entry'!AN$8),'Council Entry'!AN203))))-'Council Entry'!AN$5)/('Council Entry'!AN$6-'Council Entry'!AN$5),10*((IF('Council Entry'!AN$4="Logarithm",LN(0.001+IF(AND(ISNUMBER('Council Entry'!AN$8),ISNUMBER('Council Entry'!AN$9)),MAX(MIN('Council Entry'!AN203,'Council Entry'!AN$9),'Council Entry'!AN$8),'Council Entry'!AN203)),IF('Council Entry'!AN$4="Exponential",EXP(IF(AND(ISNUMBER('Council Entry'!AN$8),ISNUMBER('Council Entry'!AN$9)),MAX(MIN('Council Entry'!AN203,'Council Entry'!AN$9),'Council Entry'!AN$8),'Council Entry'!AN203)),IF(AND(ISNUMBER('Council Entry'!AN$8),ISNUMBER('Council Entry'!AN$9)),MAX(MIN('Council Entry'!AN203,'Council Entry'!AN$9),'Council Entry'!AN$8),'Council Entry'!AN203))))-'Council Entry'!AN$5)/('Council Entry'!AN$6-'Council Entry'!AN$5)),1))),"No data"))</f>
        <v/>
      </c>
      <c r="AO203" s="13">
        <f>IF('Council Entry'!AO203="","",IFERROR(MAX(0,MIN(10,ROUND(IF('Council Entry'!AO$7="Decrease Risk",10-10*((IF('Council Entry'!AO$4="Logarithm",LN(0.001+IF(AND(ISNUMBER('Council Entry'!AO$8),ISNUMBER('Council Entry'!AO$9)),MAX(MIN('Council Entry'!AO203,'Council Entry'!AO$9),'Council Entry'!AO$8),'Council Entry'!AO203)),IF('Council Entry'!AO$4="Exponential",EXP(IF(AND(ISNUMBER('Council Entry'!AO$8),ISNUMBER('Council Entry'!AO$9)),MAX(MIN('Council Entry'!AO203,'Council Entry'!AO$9),'Council Entry'!AO$8),'Council Entry'!AO203)),IF(AND(ISNUMBER('Council Entry'!AO$8),ISNUMBER('Council Entry'!AO$9)),MAX(MIN('Council Entry'!AO203,'Council Entry'!AO$9),'Council Entry'!AO$8),'Council Entry'!AO203))))-'Council Entry'!AO$5)/('Council Entry'!AO$6-'Council Entry'!AO$5),10*((IF('Council Entry'!AO$4="Logarithm",LN(0.001+IF(AND(ISNUMBER('Council Entry'!AO$8),ISNUMBER('Council Entry'!AO$9)),MAX(MIN('Council Entry'!AO203,'Council Entry'!AO$9),'Council Entry'!AO$8),'Council Entry'!AO203)),IF('Council Entry'!AO$4="Exponential",EXP(IF(AND(ISNUMBER('Council Entry'!AO$8),ISNUMBER('Council Entry'!AO$9)),MAX(MIN('Council Entry'!AO203,'Council Entry'!AO$9),'Council Entry'!AO$8),'Council Entry'!AO203)),IF(AND(ISNUMBER('Council Entry'!AO$8),ISNUMBER('Council Entry'!AO$9)),MAX(MIN('Council Entry'!AO203,'Council Entry'!AO$9),'Council Entry'!AO$8),'Council Entry'!AO203))))-'Council Entry'!AO$5)/('Council Entry'!AO$6-'Council Entry'!AO$5)),1))),"No data"))</f>
        <v/>
      </c>
      <c r="AP203" s="13">
        <f>IF('Council Entry'!AP203="","",IFERROR(MAX(0,MIN(10,ROUND(IF('Council Entry'!AP$7="Decrease Risk",10-10*((IF('Council Entry'!AP$4="Logarithm",LN(0.001+IF(AND(ISNUMBER('Council Entry'!AP$8),ISNUMBER('Council Entry'!AP$9)),MAX(MIN('Council Entry'!AP203,'Council Entry'!AP$9),'Council Entry'!AP$8),'Council Entry'!AP203)),IF('Council Entry'!AP$4="Exponential",EXP(IF(AND(ISNUMBER('Council Entry'!AP$8),ISNUMBER('Council Entry'!AP$9)),MAX(MIN('Council Entry'!AP203,'Council Entry'!AP$9),'Council Entry'!AP$8),'Council Entry'!AP203)),IF(AND(ISNUMBER('Council Entry'!AP$8),ISNUMBER('Council Entry'!AP$9)),MAX(MIN('Council Entry'!AP203,'Council Entry'!AP$9),'Council Entry'!AP$8),'Council Entry'!AP203))))-'Council Entry'!AP$5)/('Council Entry'!AP$6-'Council Entry'!AP$5),10*((IF('Council Entry'!AP$4="Logarithm",LN(0.001+IF(AND(ISNUMBER('Council Entry'!AP$8),ISNUMBER('Council Entry'!AP$9)),MAX(MIN('Council Entry'!AP203,'Council Entry'!AP$9),'Council Entry'!AP$8),'Council Entry'!AP203)),IF('Council Entry'!AP$4="Exponential",EXP(IF(AND(ISNUMBER('Council Entry'!AP$8),ISNUMBER('Council Entry'!AP$9)),MAX(MIN('Council Entry'!AP203,'Council Entry'!AP$9),'Council Entry'!AP$8),'Council Entry'!AP203)),IF(AND(ISNUMBER('Council Entry'!AP$8),ISNUMBER('Council Entry'!AP$9)),MAX(MIN('Council Entry'!AP203,'Council Entry'!AP$9),'Council Entry'!AP$8),'Council Entry'!AP203))))-'Council Entry'!AP$5)/('Council Entry'!AP$6-'Council Entry'!AP$5)),1))),"No data"))</f>
        <v/>
      </c>
      <c r="AQ203" s="13">
        <f>IF('Council Entry'!AQ203="","",IFERROR(MAX(0,MIN(10,ROUND(IF('Council Entry'!AQ$7="Decrease Risk",10-10*((IF('Council Entry'!AQ$4="Logarithm",LN(0.001+IF(AND(ISNUMBER('Council Entry'!AQ$8),ISNUMBER('Council Entry'!AQ$9)),MAX(MIN('Council Entry'!AQ203,'Council Entry'!AQ$9),'Council Entry'!AQ$8),'Council Entry'!AQ203)),IF('Council Entry'!AQ$4="Exponential",EXP(IF(AND(ISNUMBER('Council Entry'!AQ$8),ISNUMBER('Council Entry'!AQ$9)),MAX(MIN('Council Entry'!AQ203,'Council Entry'!AQ$9),'Council Entry'!AQ$8),'Council Entry'!AQ203)),IF(AND(ISNUMBER('Council Entry'!AQ$8),ISNUMBER('Council Entry'!AQ$9)),MAX(MIN('Council Entry'!AQ203,'Council Entry'!AQ$9),'Council Entry'!AQ$8),'Council Entry'!AQ203))))-'Council Entry'!AQ$5)/('Council Entry'!AQ$6-'Council Entry'!AQ$5),10*((IF('Council Entry'!AQ$4="Logarithm",LN(0.001+IF(AND(ISNUMBER('Council Entry'!AQ$8),ISNUMBER('Council Entry'!AQ$9)),MAX(MIN('Council Entry'!AQ203,'Council Entry'!AQ$9),'Council Entry'!AQ$8),'Council Entry'!AQ203)),IF('Council Entry'!AQ$4="Exponential",EXP(IF(AND(ISNUMBER('Council Entry'!AQ$8),ISNUMBER('Council Entry'!AQ$9)),MAX(MIN('Council Entry'!AQ203,'Council Entry'!AQ$9),'Council Entry'!AQ$8),'Council Entry'!AQ203)),IF(AND(ISNUMBER('Council Entry'!AQ$8),ISNUMBER('Council Entry'!AQ$9)),MAX(MIN('Council Entry'!AQ203,'Council Entry'!AQ$9),'Council Entry'!AQ$8),'Council Entry'!AQ203))))-'Council Entry'!AQ$5)/('Council Entry'!AQ$6-'Council Entry'!AQ$5)),1))),"No data"))</f>
        <v/>
      </c>
      <c r="AR203" s="13">
        <f>IF('Council Entry'!AR203="","",IFERROR(MAX(0,MIN(10,ROUND(IF('Council Entry'!AR$7="Decrease Risk",10-10*((IF('Council Entry'!AR$4="Logarithm",LN(0.001+IF(AND(ISNUMBER('Council Entry'!AR$8),ISNUMBER('Council Entry'!AR$9)),MAX(MIN('Council Entry'!AR203,'Council Entry'!AR$9),'Council Entry'!AR$8),'Council Entry'!AR203)),IF('Council Entry'!AR$4="Exponential",EXP(IF(AND(ISNUMBER('Council Entry'!AR$8),ISNUMBER('Council Entry'!AR$9)),MAX(MIN('Council Entry'!AR203,'Council Entry'!AR$9),'Council Entry'!AR$8),'Council Entry'!AR203)),IF(AND(ISNUMBER('Council Entry'!AR$8),ISNUMBER('Council Entry'!AR$9)),MAX(MIN('Council Entry'!AR203,'Council Entry'!AR$9),'Council Entry'!AR$8),'Council Entry'!AR203))))-'Council Entry'!AR$5)/('Council Entry'!AR$6-'Council Entry'!AR$5),10*((IF('Council Entry'!AR$4="Logarithm",LN(0.001+IF(AND(ISNUMBER('Council Entry'!AR$8),ISNUMBER('Council Entry'!AR$9)),MAX(MIN('Council Entry'!AR203,'Council Entry'!AR$9),'Council Entry'!AR$8),'Council Entry'!AR203)),IF('Council Entry'!AR$4="Exponential",EXP(IF(AND(ISNUMBER('Council Entry'!AR$8),ISNUMBER('Council Entry'!AR$9)),MAX(MIN('Council Entry'!AR203,'Council Entry'!AR$9),'Council Entry'!AR$8),'Council Entry'!AR203)),IF(AND(ISNUMBER('Council Entry'!AR$8),ISNUMBER('Council Entry'!AR$9)),MAX(MIN('Council Entry'!AR203,'Council Entry'!AR$9),'Council Entry'!AR$8),'Council Entry'!AR203))))-'Council Entry'!AR$5)/('Council Entry'!AR$6-'Council Entry'!AR$5)),1))),"No data"))</f>
        <v/>
      </c>
      <c r="AS203" s="13">
        <f>IF('Council Entry'!AS203="","",IFERROR(MAX(0,MIN(10,ROUND(IF('Council Entry'!AS$7="Decrease Risk",10-10*((IF('Council Entry'!AS$4="Logarithm",LN(0.001+IF(AND(ISNUMBER('Council Entry'!AS$8),ISNUMBER('Council Entry'!AS$9)),MAX(MIN('Council Entry'!AS203,'Council Entry'!AS$9),'Council Entry'!AS$8),'Council Entry'!AS203)),IF('Council Entry'!AS$4="Exponential",EXP(IF(AND(ISNUMBER('Council Entry'!AS$8),ISNUMBER('Council Entry'!AS$9)),MAX(MIN('Council Entry'!AS203,'Council Entry'!AS$9),'Council Entry'!AS$8),'Council Entry'!AS203)),IF(AND(ISNUMBER('Council Entry'!AS$8),ISNUMBER('Council Entry'!AS$9)),MAX(MIN('Council Entry'!AS203,'Council Entry'!AS$9),'Council Entry'!AS$8),'Council Entry'!AS203))))-'Council Entry'!AS$5)/('Council Entry'!AS$6-'Council Entry'!AS$5),10*((IF('Council Entry'!AS$4="Logarithm",LN(0.001+IF(AND(ISNUMBER('Council Entry'!AS$8),ISNUMBER('Council Entry'!AS$9)),MAX(MIN('Council Entry'!AS203,'Council Entry'!AS$9),'Council Entry'!AS$8),'Council Entry'!AS203)),IF('Council Entry'!AS$4="Exponential",EXP(IF(AND(ISNUMBER('Council Entry'!AS$8),ISNUMBER('Council Entry'!AS$9)),MAX(MIN('Council Entry'!AS203,'Council Entry'!AS$9),'Council Entry'!AS$8),'Council Entry'!AS203)),IF(AND(ISNUMBER('Council Entry'!AS$8),ISNUMBER('Council Entry'!AS$9)),MAX(MIN('Council Entry'!AS203,'Council Entry'!AS$9),'Council Entry'!AS$8),'Council Entry'!AS203))))-'Council Entry'!AS$5)/('Council Entry'!AS$6-'Council Entry'!AS$5)),1))),"No data"))</f>
        <v/>
      </c>
      <c r="AT203" s="13">
        <f>IF('Council Entry'!AT203="","",IFERROR(MAX(0,MIN(10,ROUND(IF('Council Entry'!AT$7="Decrease Risk",10-10*((IF('Council Entry'!AT$4="Logarithm",LN(0.001+IF(AND(ISNUMBER('Council Entry'!AT$8),ISNUMBER('Council Entry'!AT$9)),MAX(MIN('Council Entry'!AT203,'Council Entry'!AT$9),'Council Entry'!AT$8),'Council Entry'!AT203)),IF('Council Entry'!AT$4="Exponential",EXP(IF(AND(ISNUMBER('Council Entry'!AT$8),ISNUMBER('Council Entry'!AT$9)),MAX(MIN('Council Entry'!AT203,'Council Entry'!AT$9),'Council Entry'!AT$8),'Council Entry'!AT203)),IF(AND(ISNUMBER('Council Entry'!AT$8),ISNUMBER('Council Entry'!AT$9)),MAX(MIN('Council Entry'!AT203,'Council Entry'!AT$9),'Council Entry'!AT$8),'Council Entry'!AT203))))-'Council Entry'!AT$5)/('Council Entry'!AT$6-'Council Entry'!AT$5),10*((IF('Council Entry'!AT$4="Logarithm",LN(0.001+IF(AND(ISNUMBER('Council Entry'!AT$8),ISNUMBER('Council Entry'!AT$9)),MAX(MIN('Council Entry'!AT203,'Council Entry'!AT$9),'Council Entry'!AT$8),'Council Entry'!AT203)),IF('Council Entry'!AT$4="Exponential",EXP(IF(AND(ISNUMBER('Council Entry'!AT$8),ISNUMBER('Council Entry'!AT$9)),MAX(MIN('Council Entry'!AT203,'Council Entry'!AT$9),'Council Entry'!AT$8),'Council Entry'!AT203)),IF(AND(ISNUMBER('Council Entry'!AT$8),ISNUMBER('Council Entry'!AT$9)),MAX(MIN('Council Entry'!AT203,'Council Entry'!AT$9),'Council Entry'!AT$8),'Council Entry'!AT203))))-'Council Entry'!AT$5)/('Council Entry'!AT$6-'Council Entry'!AT$5)),1))),"No data"))</f>
        <v/>
      </c>
      <c r="AU203" s="13">
        <f>IF('Council Entry'!AU203="","",IFERROR(MAX(0,MIN(10,ROUND(IF('Council Entry'!AU$7="Decrease Risk",10-10*((IF('Council Entry'!AU$4="Logarithm",LN(0.001+IF(AND(ISNUMBER('Council Entry'!AU$8),ISNUMBER('Council Entry'!AU$9)),MAX(MIN('Council Entry'!AU203,'Council Entry'!AU$9),'Council Entry'!AU$8),'Council Entry'!AU203)),IF('Council Entry'!AU$4="Exponential",EXP(IF(AND(ISNUMBER('Council Entry'!AU$8),ISNUMBER('Council Entry'!AU$9)),MAX(MIN('Council Entry'!AU203,'Council Entry'!AU$9),'Council Entry'!AU$8),'Council Entry'!AU203)),IF(AND(ISNUMBER('Council Entry'!AU$8),ISNUMBER('Council Entry'!AU$9)),MAX(MIN('Council Entry'!AU203,'Council Entry'!AU$9),'Council Entry'!AU$8),'Council Entry'!AU203))))-'Council Entry'!AU$5)/('Council Entry'!AU$6-'Council Entry'!AU$5),10*((IF('Council Entry'!AU$4="Logarithm",LN(0.001+IF(AND(ISNUMBER('Council Entry'!AU$8),ISNUMBER('Council Entry'!AU$9)),MAX(MIN('Council Entry'!AU203,'Council Entry'!AU$9),'Council Entry'!AU$8),'Council Entry'!AU203)),IF('Council Entry'!AU$4="Exponential",EXP(IF(AND(ISNUMBER('Council Entry'!AU$8),ISNUMBER('Council Entry'!AU$9)),MAX(MIN('Council Entry'!AU203,'Council Entry'!AU$9),'Council Entry'!AU$8),'Council Entry'!AU203)),IF(AND(ISNUMBER('Council Entry'!AU$8),ISNUMBER('Council Entry'!AU$9)),MAX(MIN('Council Entry'!AU203,'Council Entry'!AU$9),'Council Entry'!AU$8),'Council Entry'!AU203))))-'Council Entry'!AU$5)/('Council Entry'!AU$6-'Council Entry'!AU$5)),1))),"No data"))</f>
        <v/>
      </c>
      <c r="AV203" s="13">
        <f>IF('Council Entry'!AV203="","",IFERROR(MAX(0,MIN(10,ROUND(IF('Council Entry'!AV$7="Decrease Risk",10-10*((IF('Council Entry'!AV$4="Logarithm",LN(0.001+IF(AND(ISNUMBER('Council Entry'!AV$8),ISNUMBER('Council Entry'!AV$9)),MAX(MIN('Council Entry'!AV203,'Council Entry'!AV$9),'Council Entry'!AV$8),'Council Entry'!AV203)),IF('Council Entry'!AV$4="Exponential",EXP(IF(AND(ISNUMBER('Council Entry'!AV$8),ISNUMBER('Council Entry'!AV$9)),MAX(MIN('Council Entry'!AV203,'Council Entry'!AV$9),'Council Entry'!AV$8),'Council Entry'!AV203)),IF(AND(ISNUMBER('Council Entry'!AV$8),ISNUMBER('Council Entry'!AV$9)),MAX(MIN('Council Entry'!AV203,'Council Entry'!AV$9),'Council Entry'!AV$8),'Council Entry'!AV203))))-'Council Entry'!AV$5)/('Council Entry'!AV$6-'Council Entry'!AV$5),10*((IF('Council Entry'!AV$4="Logarithm",LN(0.001+IF(AND(ISNUMBER('Council Entry'!AV$8),ISNUMBER('Council Entry'!AV$9)),MAX(MIN('Council Entry'!AV203,'Council Entry'!AV$9),'Council Entry'!AV$8),'Council Entry'!AV203)),IF('Council Entry'!AV$4="Exponential",EXP(IF(AND(ISNUMBER('Council Entry'!AV$8),ISNUMBER('Council Entry'!AV$9)),MAX(MIN('Council Entry'!AV203,'Council Entry'!AV$9),'Council Entry'!AV$8),'Council Entry'!AV203)),IF(AND(ISNUMBER('Council Entry'!AV$8),ISNUMBER('Council Entry'!AV$9)),MAX(MIN('Council Entry'!AV203,'Council Entry'!AV$9),'Council Entry'!AV$8),'Council Entry'!AV203))))-'Council Entry'!AV$5)/('Council Entry'!AV$6-'Council Entry'!AV$5)),1))),"No data"))</f>
        <v/>
      </c>
      <c r="AW203" s="13">
        <f>IF('Council Entry'!AW203="","",IFERROR(MAX(0,MIN(10,ROUND(IF('Council Entry'!AW$7="Decrease Risk",10-10*((IF('Council Entry'!AW$4="Logarithm",LN(0.001+IF(AND(ISNUMBER('Council Entry'!AW$8),ISNUMBER('Council Entry'!AW$9)),MAX(MIN('Council Entry'!AW203,'Council Entry'!AW$9),'Council Entry'!AW$8),'Council Entry'!AW203)),IF('Council Entry'!AW$4="Exponential",EXP(IF(AND(ISNUMBER('Council Entry'!AW$8),ISNUMBER('Council Entry'!AW$9)),MAX(MIN('Council Entry'!AW203,'Council Entry'!AW$9),'Council Entry'!AW$8),'Council Entry'!AW203)),IF(AND(ISNUMBER('Council Entry'!AW$8),ISNUMBER('Council Entry'!AW$9)),MAX(MIN('Council Entry'!AW203,'Council Entry'!AW$9),'Council Entry'!AW$8),'Council Entry'!AW203))))-'Council Entry'!AW$5)/('Council Entry'!AW$6-'Council Entry'!AW$5),10*((IF('Council Entry'!AW$4="Logarithm",LN(0.001+IF(AND(ISNUMBER('Council Entry'!AW$8),ISNUMBER('Council Entry'!AW$9)),MAX(MIN('Council Entry'!AW203,'Council Entry'!AW$9),'Council Entry'!AW$8),'Council Entry'!AW203)),IF('Council Entry'!AW$4="Exponential",EXP(IF(AND(ISNUMBER('Council Entry'!AW$8),ISNUMBER('Council Entry'!AW$9)),MAX(MIN('Council Entry'!AW203,'Council Entry'!AW$9),'Council Entry'!AW$8),'Council Entry'!AW203)),IF(AND(ISNUMBER('Council Entry'!AW$8),ISNUMBER('Council Entry'!AW$9)),MAX(MIN('Council Entry'!AW203,'Council Entry'!AW$9),'Council Entry'!AW$8),'Council Entry'!AW203))))-'Council Entry'!AW$5)/('Council Entry'!AW$6-'Council Entry'!AW$5)),1))),"No data"))</f>
        <v/>
      </c>
      <c r="AX203" s="13">
        <f>IF('Council Entry'!AX203="","",IFERROR(MAX(0,MIN(10,ROUND(IF('Council Entry'!AX$7="Decrease Risk",10-10*((IF('Council Entry'!AX$4="Logarithm",LN(0.001+IF(AND(ISNUMBER('Council Entry'!AX$8),ISNUMBER('Council Entry'!AX$9)),MAX(MIN('Council Entry'!AX203,'Council Entry'!AX$9),'Council Entry'!AX$8),'Council Entry'!AX203)),IF('Council Entry'!AX$4="Exponential",EXP(IF(AND(ISNUMBER('Council Entry'!AX$8),ISNUMBER('Council Entry'!AX$9)),MAX(MIN('Council Entry'!AX203,'Council Entry'!AX$9),'Council Entry'!AX$8),'Council Entry'!AX203)),IF(AND(ISNUMBER('Council Entry'!AX$8),ISNUMBER('Council Entry'!AX$9)),MAX(MIN('Council Entry'!AX203,'Council Entry'!AX$9),'Council Entry'!AX$8),'Council Entry'!AX203))))-'Council Entry'!AX$5)/('Council Entry'!AX$6-'Council Entry'!AX$5),10*((IF('Council Entry'!AX$4="Logarithm",LN(0.001+IF(AND(ISNUMBER('Council Entry'!AX$8),ISNUMBER('Council Entry'!AX$9)),MAX(MIN('Council Entry'!AX203,'Council Entry'!AX$9),'Council Entry'!AX$8),'Council Entry'!AX203)),IF('Council Entry'!AX$4="Exponential",EXP(IF(AND(ISNUMBER('Council Entry'!AX$8),ISNUMBER('Council Entry'!AX$9)),MAX(MIN('Council Entry'!AX203,'Council Entry'!AX$9),'Council Entry'!AX$8),'Council Entry'!AX203)),IF(AND(ISNUMBER('Council Entry'!AX$8),ISNUMBER('Council Entry'!AX$9)),MAX(MIN('Council Entry'!AX203,'Council Entry'!AX$9),'Council Entry'!AX$8),'Council Entry'!AX203))))-'Council Entry'!AX$5)/('Council Entry'!AX$6-'Council Entry'!AX$5)),1))),"No data"))</f>
        <v/>
      </c>
      <c r="AY203" s="13">
        <f>IF('Council Entry'!AY203="","",IFERROR(MAX(0,MIN(10,ROUND(IF('Council Entry'!AY$7="Decrease Risk",10-10*((IF('Council Entry'!AY$4="Logarithm",LN(0.001+IF(AND(ISNUMBER('Council Entry'!AY$8),ISNUMBER('Council Entry'!AY$9)),MAX(MIN('Council Entry'!AY203,'Council Entry'!AY$9),'Council Entry'!AY$8),'Council Entry'!AY203)),IF('Council Entry'!AY$4="Exponential",EXP(IF(AND(ISNUMBER('Council Entry'!AY$8),ISNUMBER('Council Entry'!AY$9)),MAX(MIN('Council Entry'!AY203,'Council Entry'!AY$9),'Council Entry'!AY$8),'Council Entry'!AY203)),IF(AND(ISNUMBER('Council Entry'!AY$8),ISNUMBER('Council Entry'!AY$9)),MAX(MIN('Council Entry'!AY203,'Council Entry'!AY$9),'Council Entry'!AY$8),'Council Entry'!AY203))))-'Council Entry'!AY$5)/('Council Entry'!AY$6-'Council Entry'!AY$5),10*((IF('Council Entry'!AY$4="Logarithm",LN(0.001+IF(AND(ISNUMBER('Council Entry'!AY$8),ISNUMBER('Council Entry'!AY$9)),MAX(MIN('Council Entry'!AY203,'Council Entry'!AY$9),'Council Entry'!AY$8),'Council Entry'!AY203)),IF('Council Entry'!AY$4="Exponential",EXP(IF(AND(ISNUMBER('Council Entry'!AY$8),ISNUMBER('Council Entry'!AY$9)),MAX(MIN('Council Entry'!AY203,'Council Entry'!AY$9),'Council Entry'!AY$8),'Council Entry'!AY203)),IF(AND(ISNUMBER('Council Entry'!AY$8),ISNUMBER('Council Entry'!AY$9)),MAX(MIN('Council Entry'!AY203,'Council Entry'!AY$9),'Council Entry'!AY$8),'Council Entry'!AY203))))-'Council Entry'!AY$5)/('Council Entry'!AY$6-'Council Entry'!AY$5)),1))),"No data"))</f>
        <v/>
      </c>
      <c r="AZ203" s="13">
        <f>IF('Council Entry'!AZ203="","",IFERROR(MAX(0,MIN(10,ROUND(IF('Council Entry'!AZ$7="Decrease Risk",10-10*((IF('Council Entry'!AZ$4="Logarithm",LN(0.001+IF(AND(ISNUMBER('Council Entry'!AZ$8),ISNUMBER('Council Entry'!AZ$9)),MAX(MIN('Council Entry'!AZ203,'Council Entry'!AZ$9),'Council Entry'!AZ$8),'Council Entry'!AZ203)),IF('Council Entry'!AZ$4="Exponential",EXP(IF(AND(ISNUMBER('Council Entry'!AZ$8),ISNUMBER('Council Entry'!AZ$9)),MAX(MIN('Council Entry'!AZ203,'Council Entry'!AZ$9),'Council Entry'!AZ$8),'Council Entry'!AZ203)),IF(AND(ISNUMBER('Council Entry'!AZ$8),ISNUMBER('Council Entry'!AZ$9)),MAX(MIN('Council Entry'!AZ203,'Council Entry'!AZ$9),'Council Entry'!AZ$8),'Council Entry'!AZ203))))-'Council Entry'!AZ$5)/('Council Entry'!AZ$6-'Council Entry'!AZ$5),10*((IF('Council Entry'!AZ$4="Logarithm",LN(0.001+IF(AND(ISNUMBER('Council Entry'!AZ$8),ISNUMBER('Council Entry'!AZ$9)),MAX(MIN('Council Entry'!AZ203,'Council Entry'!AZ$9),'Council Entry'!AZ$8),'Council Entry'!AZ203)),IF('Council Entry'!AZ$4="Exponential",EXP(IF(AND(ISNUMBER('Council Entry'!AZ$8),ISNUMBER('Council Entry'!AZ$9)),MAX(MIN('Council Entry'!AZ203,'Council Entry'!AZ$9),'Council Entry'!AZ$8),'Council Entry'!AZ203)),IF(AND(ISNUMBER('Council Entry'!AZ$8),ISNUMBER('Council Entry'!AZ$9)),MAX(MIN('Council Entry'!AZ203,'Council Entry'!AZ$9),'Council Entry'!AZ$8),'Council Entry'!AZ203))))-'Council Entry'!AZ$5)/('Council Entry'!AZ$6-'Council Entry'!AZ$5)),1))),"No data"))</f>
        <v/>
      </c>
      <c r="BA203" s="13">
        <f>IF('Council Entry'!BA203="","",IFERROR(MAX(0,MIN(10,ROUND(IF('Council Entry'!BA$7="Decrease Risk",10-10*((IF('Council Entry'!BA$4="Logarithm",LN(0.001+IF(AND(ISNUMBER('Council Entry'!BA$8),ISNUMBER('Council Entry'!BA$9)),MAX(MIN('Council Entry'!BA203,'Council Entry'!BA$9),'Council Entry'!BA$8),'Council Entry'!BA203)),IF('Council Entry'!BA$4="Exponential",EXP(IF(AND(ISNUMBER('Council Entry'!BA$8),ISNUMBER('Council Entry'!BA$9)),MAX(MIN('Council Entry'!BA203,'Council Entry'!BA$9),'Council Entry'!BA$8),'Council Entry'!BA203)),IF(AND(ISNUMBER('Council Entry'!BA$8),ISNUMBER('Council Entry'!BA$9)),MAX(MIN('Council Entry'!BA203,'Council Entry'!BA$9),'Council Entry'!BA$8),'Council Entry'!BA203))))-'Council Entry'!BA$5)/('Council Entry'!BA$6-'Council Entry'!BA$5),10*((IF('Council Entry'!BA$4="Logarithm",LN(0.001+IF(AND(ISNUMBER('Council Entry'!BA$8),ISNUMBER('Council Entry'!BA$9)),MAX(MIN('Council Entry'!BA203,'Council Entry'!BA$9),'Council Entry'!BA$8),'Council Entry'!BA203)),IF('Council Entry'!BA$4="Exponential",EXP(IF(AND(ISNUMBER('Council Entry'!BA$8),ISNUMBER('Council Entry'!BA$9)),MAX(MIN('Council Entry'!BA203,'Council Entry'!BA$9),'Council Entry'!BA$8),'Council Entry'!BA203)),IF(AND(ISNUMBER('Council Entry'!BA$8),ISNUMBER('Council Entry'!BA$9)),MAX(MIN('Council Entry'!BA203,'Council Entry'!BA$9),'Council Entry'!BA$8),'Council Entry'!BA203))))-'Council Entry'!BA$5)/('Council Entry'!BA$6-'Council Entry'!BA$5)),1))),"No data"))</f>
        <v/>
      </c>
      <c r="BB203" s="13">
        <f>IF('Council Entry'!BB203="","",IFERROR(MAX(0,MIN(10,ROUND(IF('Council Entry'!BB$7="Decrease Risk",10-10*((IF('Council Entry'!BB$4="Logarithm",LN(0.001+IF(AND(ISNUMBER('Council Entry'!BB$8),ISNUMBER('Council Entry'!BB$9)),MAX(MIN('Council Entry'!BB203,'Council Entry'!BB$9),'Council Entry'!BB$8),'Council Entry'!BB203)),IF('Council Entry'!BB$4="Exponential",EXP(IF(AND(ISNUMBER('Council Entry'!BB$8),ISNUMBER('Council Entry'!BB$9)),MAX(MIN('Council Entry'!BB203,'Council Entry'!BB$9),'Council Entry'!BB$8),'Council Entry'!BB203)),IF(AND(ISNUMBER('Council Entry'!BB$8),ISNUMBER('Council Entry'!BB$9)),MAX(MIN('Council Entry'!BB203,'Council Entry'!BB$9),'Council Entry'!BB$8),'Council Entry'!BB203))))-'Council Entry'!BB$5)/('Council Entry'!BB$6-'Council Entry'!BB$5),10*((IF('Council Entry'!BB$4="Logarithm",LN(0.001+IF(AND(ISNUMBER('Council Entry'!BB$8),ISNUMBER('Council Entry'!BB$9)),MAX(MIN('Council Entry'!BB203,'Council Entry'!BB$9),'Council Entry'!BB$8),'Council Entry'!BB203)),IF('Council Entry'!BB$4="Exponential",EXP(IF(AND(ISNUMBER('Council Entry'!BB$8),ISNUMBER('Council Entry'!BB$9)),MAX(MIN('Council Entry'!BB203,'Council Entry'!BB$9),'Council Entry'!BB$8),'Council Entry'!BB203)),IF(AND(ISNUMBER('Council Entry'!BB$8),ISNUMBER('Council Entry'!BB$9)),MAX(MIN('Council Entry'!BB203,'Council Entry'!BB$9),'Council Entry'!BB$8),'Council Entry'!BB203))))-'Council Entry'!BB$5)/('Council Entry'!BB$6-'Council Entry'!BB$5)),1))),"No data"))</f>
        <v/>
      </c>
      <c r="BC203" s="13">
        <f>IF('Council Entry'!BC203="","",IFERROR(MAX(0,MIN(10,ROUND(IF('Council Entry'!BC$7="Decrease Risk",10-10*((IF('Council Entry'!BC$4="Logarithm",LN(0.001+IF(AND(ISNUMBER('Council Entry'!BC$8),ISNUMBER('Council Entry'!BC$9)),MAX(MIN('Council Entry'!BC203,'Council Entry'!BC$9),'Council Entry'!BC$8),'Council Entry'!BC203)),IF('Council Entry'!BC$4="Exponential",EXP(IF(AND(ISNUMBER('Council Entry'!BC$8),ISNUMBER('Council Entry'!BC$9)),MAX(MIN('Council Entry'!BC203,'Council Entry'!BC$9),'Council Entry'!BC$8),'Council Entry'!BC203)),IF(AND(ISNUMBER('Council Entry'!BC$8),ISNUMBER('Council Entry'!BC$9)),MAX(MIN('Council Entry'!BC203,'Council Entry'!BC$9),'Council Entry'!BC$8),'Council Entry'!BC203))))-'Council Entry'!BC$5)/('Council Entry'!BC$6-'Council Entry'!BC$5),10*((IF('Council Entry'!BC$4="Logarithm",LN(0.001+IF(AND(ISNUMBER('Council Entry'!BC$8),ISNUMBER('Council Entry'!BC$9)),MAX(MIN('Council Entry'!BC203,'Council Entry'!BC$9),'Council Entry'!BC$8),'Council Entry'!BC203)),IF('Council Entry'!BC$4="Exponential",EXP(IF(AND(ISNUMBER('Council Entry'!BC$8),ISNUMBER('Council Entry'!BC$9)),MAX(MIN('Council Entry'!BC203,'Council Entry'!BC$9),'Council Entry'!BC$8),'Council Entry'!BC203)),IF(AND(ISNUMBER('Council Entry'!BC$8),ISNUMBER('Council Entry'!BC$9)),MAX(MIN('Council Entry'!BC203,'Council Entry'!BC$9),'Council Entry'!BC$8),'Council Entry'!BC203))))-'Council Entry'!BC$5)/('Council Entry'!BC$6-'Council Entry'!BC$5)),1))),"No data"))</f>
        <v/>
      </c>
      <c r="BD203" s="13">
        <f>IF('Council Entry'!BD203="","",IFERROR(MAX(0,MIN(10,ROUND(IF('Council Entry'!BD$7="Decrease Risk",10-10*((IF('Council Entry'!BD$4="Logarithm",LN(0.001+IF(AND(ISNUMBER('Council Entry'!BD$8),ISNUMBER('Council Entry'!BD$9)),MAX(MIN('Council Entry'!BD203,'Council Entry'!BD$9),'Council Entry'!BD$8),'Council Entry'!BD203)),IF('Council Entry'!BD$4="Exponential",EXP(IF(AND(ISNUMBER('Council Entry'!BD$8),ISNUMBER('Council Entry'!BD$9)),MAX(MIN('Council Entry'!BD203,'Council Entry'!BD$9),'Council Entry'!BD$8),'Council Entry'!BD203)),IF(AND(ISNUMBER('Council Entry'!BD$8),ISNUMBER('Council Entry'!BD$9)),MAX(MIN('Council Entry'!BD203,'Council Entry'!BD$9),'Council Entry'!BD$8),'Council Entry'!BD203))))-'Council Entry'!BD$5)/('Council Entry'!BD$6-'Council Entry'!BD$5),10*((IF('Council Entry'!BD$4="Logarithm",LN(0.001+IF(AND(ISNUMBER('Council Entry'!BD$8),ISNUMBER('Council Entry'!BD$9)),MAX(MIN('Council Entry'!BD203,'Council Entry'!BD$9),'Council Entry'!BD$8),'Council Entry'!BD203)),IF('Council Entry'!BD$4="Exponential",EXP(IF(AND(ISNUMBER('Council Entry'!BD$8),ISNUMBER('Council Entry'!BD$9)),MAX(MIN('Council Entry'!BD203,'Council Entry'!BD$9),'Council Entry'!BD$8),'Council Entry'!BD203)),IF(AND(ISNUMBER('Council Entry'!BD$8),ISNUMBER('Council Entry'!BD$9)),MAX(MIN('Council Entry'!BD203,'Council Entry'!BD$9),'Council Entry'!BD$8),'Council Entry'!BD203))))-'Council Entry'!BD$5)/('Council Entry'!BD$6-'Council Entry'!BD$5)),1))),"No data"))</f>
        <v/>
      </c>
    </row>
    <row r="204">
      <c r="A204" t="inlineStr">
        <is>
          <t>Tanga</t>
        </is>
      </c>
      <c r="B204" t="inlineStr">
        <is>
          <t>Pangani District</t>
        </is>
      </c>
      <c r="C204" t="inlineStr">
        <is>
          <t>C029</t>
        </is>
      </c>
      <c r="D204" s="13">
        <f>IF('Council Entry'!D204="","",IFERROR(MAX(0,MIN(10,ROUND(IF('Council Entry'!D$7="Decrease Risk",10-10*((IF('Council Entry'!D$4="Logarithm",LN(0.001+IF(AND(ISNUMBER('Council Entry'!D$8),ISNUMBER('Council Entry'!D$9)),MAX(MIN('Council Entry'!D204,'Council Entry'!D$9),'Council Entry'!D$8),'Council Entry'!D204)),IF('Council Entry'!D$4="Exponential",EXP(IF(AND(ISNUMBER('Council Entry'!D$8),ISNUMBER('Council Entry'!D$9)),MAX(MIN('Council Entry'!D204,'Council Entry'!D$9),'Council Entry'!D$8),'Council Entry'!D204)),IF(AND(ISNUMBER('Council Entry'!D$8),ISNUMBER('Council Entry'!D$9)),MAX(MIN('Council Entry'!D204,'Council Entry'!D$9),'Council Entry'!D$8),'Council Entry'!D204))))-'Council Entry'!D$5)/('Council Entry'!D$6-'Council Entry'!D$5),10*((IF('Council Entry'!D$4="Logarithm",LN(0.001+IF(AND(ISNUMBER('Council Entry'!D$8),ISNUMBER('Council Entry'!D$9)),MAX(MIN('Council Entry'!D204,'Council Entry'!D$9),'Council Entry'!D$8),'Council Entry'!D204)),IF('Council Entry'!D$4="Exponential",EXP(IF(AND(ISNUMBER('Council Entry'!D$8),ISNUMBER('Council Entry'!D$9)),MAX(MIN('Council Entry'!D204,'Council Entry'!D$9),'Council Entry'!D$8),'Council Entry'!D204)),IF(AND(ISNUMBER('Council Entry'!D$8),ISNUMBER('Council Entry'!D$9)),MAX(MIN('Council Entry'!D204,'Council Entry'!D$9),'Council Entry'!D$8),'Council Entry'!D204))))-'Council Entry'!D$5)/('Council Entry'!D$6-'Council Entry'!D$5)),1))),"No data"))</f>
        <v/>
      </c>
      <c r="E204" s="13">
        <f>IF('Council Entry'!E204="","",IFERROR(MAX(0,MIN(10,ROUND(IF('Council Entry'!E$7="Decrease Risk",10-10*((IF('Council Entry'!E$4="Logarithm",LN(0.001+IF(AND(ISNUMBER('Council Entry'!E$8),ISNUMBER('Council Entry'!E$9)),MAX(MIN('Council Entry'!E204,'Council Entry'!E$9),'Council Entry'!E$8),'Council Entry'!E204)),IF('Council Entry'!E$4="Exponential",EXP(IF(AND(ISNUMBER('Council Entry'!E$8),ISNUMBER('Council Entry'!E$9)),MAX(MIN('Council Entry'!E204,'Council Entry'!E$9),'Council Entry'!E$8),'Council Entry'!E204)),IF(AND(ISNUMBER('Council Entry'!E$8),ISNUMBER('Council Entry'!E$9)),MAX(MIN('Council Entry'!E204,'Council Entry'!E$9),'Council Entry'!E$8),'Council Entry'!E204))))-'Council Entry'!E$5)/('Council Entry'!E$6-'Council Entry'!E$5),10*((IF('Council Entry'!E$4="Logarithm",LN(0.001+IF(AND(ISNUMBER('Council Entry'!E$8),ISNUMBER('Council Entry'!E$9)),MAX(MIN('Council Entry'!E204,'Council Entry'!E$9),'Council Entry'!E$8),'Council Entry'!E204)),IF('Council Entry'!E$4="Exponential",EXP(IF(AND(ISNUMBER('Council Entry'!E$8),ISNUMBER('Council Entry'!E$9)),MAX(MIN('Council Entry'!E204,'Council Entry'!E$9),'Council Entry'!E$8),'Council Entry'!E204)),IF(AND(ISNUMBER('Council Entry'!E$8),ISNUMBER('Council Entry'!E$9)),MAX(MIN('Council Entry'!E204,'Council Entry'!E$9),'Council Entry'!E$8),'Council Entry'!E204))))-'Council Entry'!E$5)/('Council Entry'!E$6-'Council Entry'!E$5)),1))),"No data"))</f>
        <v/>
      </c>
      <c r="F204" s="13">
        <f>IF('Council Entry'!F204="","",IFERROR(MAX(0,MIN(10,ROUND(IF('Council Entry'!F$7="Decrease Risk",10-10*((IF('Council Entry'!F$4="Logarithm",LN(0.001+IF(AND(ISNUMBER('Council Entry'!F$8),ISNUMBER('Council Entry'!F$9)),MAX(MIN('Council Entry'!F204,'Council Entry'!F$9),'Council Entry'!F$8),'Council Entry'!F204)),IF('Council Entry'!F$4="Exponential",EXP(IF(AND(ISNUMBER('Council Entry'!F$8),ISNUMBER('Council Entry'!F$9)),MAX(MIN('Council Entry'!F204,'Council Entry'!F$9),'Council Entry'!F$8),'Council Entry'!F204)),IF(AND(ISNUMBER('Council Entry'!F$8),ISNUMBER('Council Entry'!F$9)),MAX(MIN('Council Entry'!F204,'Council Entry'!F$9),'Council Entry'!F$8),'Council Entry'!F204))))-'Council Entry'!F$5)/('Council Entry'!F$6-'Council Entry'!F$5),10*((IF('Council Entry'!F$4="Logarithm",LN(0.001+IF(AND(ISNUMBER('Council Entry'!F$8),ISNUMBER('Council Entry'!F$9)),MAX(MIN('Council Entry'!F204,'Council Entry'!F$9),'Council Entry'!F$8),'Council Entry'!F204)),IF('Council Entry'!F$4="Exponential",EXP(IF(AND(ISNUMBER('Council Entry'!F$8),ISNUMBER('Council Entry'!F$9)),MAX(MIN('Council Entry'!F204,'Council Entry'!F$9),'Council Entry'!F$8),'Council Entry'!F204)),IF(AND(ISNUMBER('Council Entry'!F$8),ISNUMBER('Council Entry'!F$9)),MAX(MIN('Council Entry'!F204,'Council Entry'!F$9),'Council Entry'!F$8),'Council Entry'!F204))))-'Council Entry'!F$5)/('Council Entry'!F$6-'Council Entry'!F$5)),1))),"No data"))</f>
        <v/>
      </c>
      <c r="G204" s="13">
        <f>IF('Council Entry'!G204="","",IFERROR(MAX(0,MIN(10,ROUND(IF('Council Entry'!G$7="Decrease Risk",10-10*((IF('Council Entry'!G$4="Logarithm",LN(0.001+IF(AND(ISNUMBER('Council Entry'!G$8),ISNUMBER('Council Entry'!G$9)),MAX(MIN('Council Entry'!G204,'Council Entry'!G$9),'Council Entry'!G$8),'Council Entry'!G204)),IF('Council Entry'!G$4="Exponential",EXP(IF(AND(ISNUMBER('Council Entry'!G$8),ISNUMBER('Council Entry'!G$9)),MAX(MIN('Council Entry'!G204,'Council Entry'!G$9),'Council Entry'!G$8),'Council Entry'!G204)),IF(AND(ISNUMBER('Council Entry'!G$8),ISNUMBER('Council Entry'!G$9)),MAX(MIN('Council Entry'!G204,'Council Entry'!G$9),'Council Entry'!G$8),'Council Entry'!G204))))-'Council Entry'!G$5)/('Council Entry'!G$6-'Council Entry'!G$5),10*((IF('Council Entry'!G$4="Logarithm",LN(0.001+IF(AND(ISNUMBER('Council Entry'!G$8),ISNUMBER('Council Entry'!G$9)),MAX(MIN('Council Entry'!G204,'Council Entry'!G$9),'Council Entry'!G$8),'Council Entry'!G204)),IF('Council Entry'!G$4="Exponential",EXP(IF(AND(ISNUMBER('Council Entry'!G$8),ISNUMBER('Council Entry'!G$9)),MAX(MIN('Council Entry'!G204,'Council Entry'!G$9),'Council Entry'!G$8),'Council Entry'!G204)),IF(AND(ISNUMBER('Council Entry'!G$8),ISNUMBER('Council Entry'!G$9)),MAX(MIN('Council Entry'!G204,'Council Entry'!G$9),'Council Entry'!G$8),'Council Entry'!G204))))-'Council Entry'!G$5)/('Council Entry'!G$6-'Council Entry'!G$5)),1))),"No data"))</f>
        <v/>
      </c>
      <c r="H204" s="13">
        <f>IF('Council Entry'!H204="","",IFERROR(MAX(0,MIN(10,ROUND(IF('Council Entry'!H$7="Decrease Risk",10-10*((IF('Council Entry'!H$4="Logarithm",LN(0.001+IF(AND(ISNUMBER('Council Entry'!H$8),ISNUMBER('Council Entry'!H$9)),MAX(MIN('Council Entry'!H204,'Council Entry'!H$9),'Council Entry'!H$8),'Council Entry'!H204)),IF('Council Entry'!H$4="Exponential",EXP(IF(AND(ISNUMBER('Council Entry'!H$8),ISNUMBER('Council Entry'!H$9)),MAX(MIN('Council Entry'!H204,'Council Entry'!H$9),'Council Entry'!H$8),'Council Entry'!H204)),IF(AND(ISNUMBER('Council Entry'!H$8),ISNUMBER('Council Entry'!H$9)),MAX(MIN('Council Entry'!H204,'Council Entry'!H$9),'Council Entry'!H$8),'Council Entry'!H204))))-'Council Entry'!H$5)/('Council Entry'!H$6-'Council Entry'!H$5),10*((IF('Council Entry'!H$4="Logarithm",LN(0.001+IF(AND(ISNUMBER('Council Entry'!H$8),ISNUMBER('Council Entry'!H$9)),MAX(MIN('Council Entry'!H204,'Council Entry'!H$9),'Council Entry'!H$8),'Council Entry'!H204)),IF('Council Entry'!H$4="Exponential",EXP(IF(AND(ISNUMBER('Council Entry'!H$8),ISNUMBER('Council Entry'!H$9)),MAX(MIN('Council Entry'!H204,'Council Entry'!H$9),'Council Entry'!H$8),'Council Entry'!H204)),IF(AND(ISNUMBER('Council Entry'!H$8),ISNUMBER('Council Entry'!H$9)),MAX(MIN('Council Entry'!H204,'Council Entry'!H$9),'Council Entry'!H$8),'Council Entry'!H204))))-'Council Entry'!H$5)/('Council Entry'!H$6-'Council Entry'!H$5)),1))),"No data"))</f>
        <v/>
      </c>
      <c r="I204" s="13">
        <f>IF('Council Entry'!I204="","",IFERROR(MAX(0,MIN(10,ROUND(IF('Council Entry'!I$7="Decrease Risk",10-10*((IF('Council Entry'!I$4="Logarithm",LN(0.001+IF(AND(ISNUMBER('Council Entry'!I$8),ISNUMBER('Council Entry'!I$9)),MAX(MIN('Council Entry'!I204,'Council Entry'!I$9),'Council Entry'!I$8),'Council Entry'!I204)),IF('Council Entry'!I$4="Exponential",EXP(IF(AND(ISNUMBER('Council Entry'!I$8),ISNUMBER('Council Entry'!I$9)),MAX(MIN('Council Entry'!I204,'Council Entry'!I$9),'Council Entry'!I$8),'Council Entry'!I204)),IF(AND(ISNUMBER('Council Entry'!I$8),ISNUMBER('Council Entry'!I$9)),MAX(MIN('Council Entry'!I204,'Council Entry'!I$9),'Council Entry'!I$8),'Council Entry'!I204))))-'Council Entry'!I$5)/('Council Entry'!I$6-'Council Entry'!I$5),10*((IF('Council Entry'!I$4="Logarithm",LN(0.001+IF(AND(ISNUMBER('Council Entry'!I$8),ISNUMBER('Council Entry'!I$9)),MAX(MIN('Council Entry'!I204,'Council Entry'!I$9),'Council Entry'!I$8),'Council Entry'!I204)),IF('Council Entry'!I$4="Exponential",EXP(IF(AND(ISNUMBER('Council Entry'!I$8),ISNUMBER('Council Entry'!I$9)),MAX(MIN('Council Entry'!I204,'Council Entry'!I$9),'Council Entry'!I$8),'Council Entry'!I204)),IF(AND(ISNUMBER('Council Entry'!I$8),ISNUMBER('Council Entry'!I$9)),MAX(MIN('Council Entry'!I204,'Council Entry'!I$9),'Council Entry'!I$8),'Council Entry'!I204))))-'Council Entry'!I$5)/('Council Entry'!I$6-'Council Entry'!I$5)),1))),"No data"))</f>
        <v/>
      </c>
      <c r="J204" s="13">
        <f>IF('Council Entry'!J204="","",IFERROR(MAX(0,MIN(10,ROUND(IF('Council Entry'!J$7="Decrease Risk",10-10*((IF('Council Entry'!J$4="Logarithm",LN(0.001+IF(AND(ISNUMBER('Council Entry'!J$8),ISNUMBER('Council Entry'!J$9)),MAX(MIN('Council Entry'!J204,'Council Entry'!J$9),'Council Entry'!J$8),'Council Entry'!J204)),IF('Council Entry'!J$4="Exponential",EXP(IF(AND(ISNUMBER('Council Entry'!J$8),ISNUMBER('Council Entry'!J$9)),MAX(MIN('Council Entry'!J204,'Council Entry'!J$9),'Council Entry'!J$8),'Council Entry'!J204)),IF(AND(ISNUMBER('Council Entry'!J$8),ISNUMBER('Council Entry'!J$9)),MAX(MIN('Council Entry'!J204,'Council Entry'!J$9),'Council Entry'!J$8),'Council Entry'!J204))))-'Council Entry'!J$5)/('Council Entry'!J$6-'Council Entry'!J$5),10*((IF('Council Entry'!J$4="Logarithm",LN(0.001+IF(AND(ISNUMBER('Council Entry'!J$8),ISNUMBER('Council Entry'!J$9)),MAX(MIN('Council Entry'!J204,'Council Entry'!J$9),'Council Entry'!J$8),'Council Entry'!J204)),IF('Council Entry'!J$4="Exponential",EXP(IF(AND(ISNUMBER('Council Entry'!J$8),ISNUMBER('Council Entry'!J$9)),MAX(MIN('Council Entry'!J204,'Council Entry'!J$9),'Council Entry'!J$8),'Council Entry'!J204)),IF(AND(ISNUMBER('Council Entry'!J$8),ISNUMBER('Council Entry'!J$9)),MAX(MIN('Council Entry'!J204,'Council Entry'!J$9),'Council Entry'!J$8),'Council Entry'!J204))))-'Council Entry'!J$5)/('Council Entry'!J$6-'Council Entry'!J$5)),1))),"No data"))</f>
        <v/>
      </c>
      <c r="K204" s="13">
        <f>IF('Council Entry'!K204="","",IFERROR(MAX(0,MIN(10,ROUND(IF('Council Entry'!K$7="Decrease Risk",10-10*((IF('Council Entry'!K$4="Logarithm",LN(0.001+IF(AND(ISNUMBER('Council Entry'!K$8),ISNUMBER('Council Entry'!K$9)),MAX(MIN('Council Entry'!K204,'Council Entry'!K$9),'Council Entry'!K$8),'Council Entry'!K204)),IF('Council Entry'!K$4="Exponential",EXP(IF(AND(ISNUMBER('Council Entry'!K$8),ISNUMBER('Council Entry'!K$9)),MAX(MIN('Council Entry'!K204,'Council Entry'!K$9),'Council Entry'!K$8),'Council Entry'!K204)),IF(AND(ISNUMBER('Council Entry'!K$8),ISNUMBER('Council Entry'!K$9)),MAX(MIN('Council Entry'!K204,'Council Entry'!K$9),'Council Entry'!K$8),'Council Entry'!K204))))-'Council Entry'!K$5)/('Council Entry'!K$6-'Council Entry'!K$5),10*((IF('Council Entry'!K$4="Logarithm",LN(0.001+IF(AND(ISNUMBER('Council Entry'!K$8),ISNUMBER('Council Entry'!K$9)),MAX(MIN('Council Entry'!K204,'Council Entry'!K$9),'Council Entry'!K$8),'Council Entry'!K204)),IF('Council Entry'!K$4="Exponential",EXP(IF(AND(ISNUMBER('Council Entry'!K$8),ISNUMBER('Council Entry'!K$9)),MAX(MIN('Council Entry'!K204,'Council Entry'!K$9),'Council Entry'!K$8),'Council Entry'!K204)),IF(AND(ISNUMBER('Council Entry'!K$8),ISNUMBER('Council Entry'!K$9)),MAX(MIN('Council Entry'!K204,'Council Entry'!K$9),'Council Entry'!K$8),'Council Entry'!K204))))-'Council Entry'!K$5)/('Council Entry'!K$6-'Council Entry'!K$5)),1))),"No data"))</f>
        <v/>
      </c>
      <c r="L204" s="13">
        <f>IF('Council Entry'!L204="","",IFERROR(MAX(0,MIN(10,ROUND(IF('Council Entry'!L$7="Decrease Risk",10-10*((IF('Council Entry'!L$4="Logarithm",LN(0.001+IF(AND(ISNUMBER('Council Entry'!L$8),ISNUMBER('Council Entry'!L$9)),MAX(MIN('Council Entry'!L204,'Council Entry'!L$9),'Council Entry'!L$8),'Council Entry'!L204)),IF('Council Entry'!L$4="Exponential",EXP(IF(AND(ISNUMBER('Council Entry'!L$8),ISNUMBER('Council Entry'!L$9)),MAX(MIN('Council Entry'!L204,'Council Entry'!L$9),'Council Entry'!L$8),'Council Entry'!L204)),IF(AND(ISNUMBER('Council Entry'!L$8),ISNUMBER('Council Entry'!L$9)),MAX(MIN('Council Entry'!L204,'Council Entry'!L$9),'Council Entry'!L$8),'Council Entry'!L204))))-'Council Entry'!L$5)/('Council Entry'!L$6-'Council Entry'!L$5),10*((IF('Council Entry'!L$4="Logarithm",LN(0.001+IF(AND(ISNUMBER('Council Entry'!L$8),ISNUMBER('Council Entry'!L$9)),MAX(MIN('Council Entry'!L204,'Council Entry'!L$9),'Council Entry'!L$8),'Council Entry'!L204)),IF('Council Entry'!L$4="Exponential",EXP(IF(AND(ISNUMBER('Council Entry'!L$8),ISNUMBER('Council Entry'!L$9)),MAX(MIN('Council Entry'!L204,'Council Entry'!L$9),'Council Entry'!L$8),'Council Entry'!L204)),IF(AND(ISNUMBER('Council Entry'!L$8),ISNUMBER('Council Entry'!L$9)),MAX(MIN('Council Entry'!L204,'Council Entry'!L$9),'Council Entry'!L$8),'Council Entry'!L204))))-'Council Entry'!L$5)/('Council Entry'!L$6-'Council Entry'!L$5)),1))),"No data"))</f>
        <v/>
      </c>
      <c r="M204" s="13">
        <f>IF('Council Entry'!M204="","",IFERROR(MAX(0,MIN(10,ROUND(IF('Council Entry'!M$7="Decrease Risk",10-10*((IF('Council Entry'!M$4="Logarithm",LN(0.001+IF(AND(ISNUMBER('Council Entry'!M$8),ISNUMBER('Council Entry'!M$9)),MAX(MIN('Council Entry'!M204,'Council Entry'!M$9),'Council Entry'!M$8),'Council Entry'!M204)),IF('Council Entry'!M$4="Exponential",EXP(IF(AND(ISNUMBER('Council Entry'!M$8),ISNUMBER('Council Entry'!M$9)),MAX(MIN('Council Entry'!M204,'Council Entry'!M$9),'Council Entry'!M$8),'Council Entry'!M204)),IF(AND(ISNUMBER('Council Entry'!M$8),ISNUMBER('Council Entry'!M$9)),MAX(MIN('Council Entry'!M204,'Council Entry'!M$9),'Council Entry'!M$8),'Council Entry'!M204))))-'Council Entry'!M$5)/('Council Entry'!M$6-'Council Entry'!M$5),10*((IF('Council Entry'!M$4="Logarithm",LN(0.001+IF(AND(ISNUMBER('Council Entry'!M$8),ISNUMBER('Council Entry'!M$9)),MAX(MIN('Council Entry'!M204,'Council Entry'!M$9),'Council Entry'!M$8),'Council Entry'!M204)),IF('Council Entry'!M$4="Exponential",EXP(IF(AND(ISNUMBER('Council Entry'!M$8),ISNUMBER('Council Entry'!M$9)),MAX(MIN('Council Entry'!M204,'Council Entry'!M$9),'Council Entry'!M$8),'Council Entry'!M204)),IF(AND(ISNUMBER('Council Entry'!M$8),ISNUMBER('Council Entry'!M$9)),MAX(MIN('Council Entry'!M204,'Council Entry'!M$9),'Council Entry'!M$8),'Council Entry'!M204))))-'Council Entry'!M$5)/('Council Entry'!M$6-'Council Entry'!M$5)),1))),"No data"))</f>
        <v/>
      </c>
      <c r="N204" s="13">
        <f>IF('Council Entry'!N204="","",IFERROR(MAX(0,MIN(10,ROUND(IF('Council Entry'!N$7="Decrease Risk",10-10*((IF('Council Entry'!N$4="Logarithm",LN(0.001+IF(AND(ISNUMBER('Council Entry'!N$8),ISNUMBER('Council Entry'!N$9)),MAX(MIN('Council Entry'!N204,'Council Entry'!N$9),'Council Entry'!N$8),'Council Entry'!N204)),IF('Council Entry'!N$4="Exponential",EXP(IF(AND(ISNUMBER('Council Entry'!N$8),ISNUMBER('Council Entry'!N$9)),MAX(MIN('Council Entry'!N204,'Council Entry'!N$9),'Council Entry'!N$8),'Council Entry'!N204)),IF(AND(ISNUMBER('Council Entry'!N$8),ISNUMBER('Council Entry'!N$9)),MAX(MIN('Council Entry'!N204,'Council Entry'!N$9),'Council Entry'!N$8),'Council Entry'!N204))))-'Council Entry'!N$5)/('Council Entry'!N$6-'Council Entry'!N$5),10*((IF('Council Entry'!N$4="Logarithm",LN(0.001+IF(AND(ISNUMBER('Council Entry'!N$8),ISNUMBER('Council Entry'!N$9)),MAX(MIN('Council Entry'!N204,'Council Entry'!N$9),'Council Entry'!N$8),'Council Entry'!N204)),IF('Council Entry'!N$4="Exponential",EXP(IF(AND(ISNUMBER('Council Entry'!N$8),ISNUMBER('Council Entry'!N$9)),MAX(MIN('Council Entry'!N204,'Council Entry'!N$9),'Council Entry'!N$8),'Council Entry'!N204)),IF(AND(ISNUMBER('Council Entry'!N$8),ISNUMBER('Council Entry'!N$9)),MAX(MIN('Council Entry'!N204,'Council Entry'!N$9),'Council Entry'!N$8),'Council Entry'!N204))))-'Council Entry'!N$5)/('Council Entry'!N$6-'Council Entry'!N$5)),1))),"No data"))</f>
        <v/>
      </c>
      <c r="O204" s="13">
        <f>IF('Council Entry'!O204="","",IFERROR(MAX(0,MIN(10,ROUND(IF('Council Entry'!O$7="Decrease Risk",10-10*((IF('Council Entry'!O$4="Logarithm",LN(0.001+IF(AND(ISNUMBER('Council Entry'!O$8),ISNUMBER('Council Entry'!O$9)),MAX(MIN('Council Entry'!O204,'Council Entry'!O$9),'Council Entry'!O$8),'Council Entry'!O204)),IF('Council Entry'!O$4="Exponential",EXP(IF(AND(ISNUMBER('Council Entry'!O$8),ISNUMBER('Council Entry'!O$9)),MAX(MIN('Council Entry'!O204,'Council Entry'!O$9),'Council Entry'!O$8),'Council Entry'!O204)),IF(AND(ISNUMBER('Council Entry'!O$8),ISNUMBER('Council Entry'!O$9)),MAX(MIN('Council Entry'!O204,'Council Entry'!O$9),'Council Entry'!O$8),'Council Entry'!O204))))-'Council Entry'!O$5)/('Council Entry'!O$6-'Council Entry'!O$5),10*((IF('Council Entry'!O$4="Logarithm",LN(0.001+IF(AND(ISNUMBER('Council Entry'!O$8),ISNUMBER('Council Entry'!O$9)),MAX(MIN('Council Entry'!O204,'Council Entry'!O$9),'Council Entry'!O$8),'Council Entry'!O204)),IF('Council Entry'!O$4="Exponential",EXP(IF(AND(ISNUMBER('Council Entry'!O$8),ISNUMBER('Council Entry'!O$9)),MAX(MIN('Council Entry'!O204,'Council Entry'!O$9),'Council Entry'!O$8),'Council Entry'!O204)),IF(AND(ISNUMBER('Council Entry'!O$8),ISNUMBER('Council Entry'!O$9)),MAX(MIN('Council Entry'!O204,'Council Entry'!O$9),'Council Entry'!O$8),'Council Entry'!O204))))-'Council Entry'!O$5)/('Council Entry'!O$6-'Council Entry'!O$5)),1))),"No data"))</f>
        <v/>
      </c>
      <c r="P204" s="13">
        <f>IF('Council Entry'!P204="","",IFERROR(MAX(0,MIN(10,ROUND(IF('Council Entry'!P$7="Decrease Risk",10-10*((IF('Council Entry'!P$4="Logarithm",LN(0.001+IF(AND(ISNUMBER('Council Entry'!P$8),ISNUMBER('Council Entry'!P$9)),MAX(MIN('Council Entry'!P204,'Council Entry'!P$9),'Council Entry'!P$8),'Council Entry'!P204)),IF('Council Entry'!P$4="Exponential",EXP(IF(AND(ISNUMBER('Council Entry'!P$8),ISNUMBER('Council Entry'!P$9)),MAX(MIN('Council Entry'!P204,'Council Entry'!P$9),'Council Entry'!P$8),'Council Entry'!P204)),IF(AND(ISNUMBER('Council Entry'!P$8),ISNUMBER('Council Entry'!P$9)),MAX(MIN('Council Entry'!P204,'Council Entry'!P$9),'Council Entry'!P$8),'Council Entry'!P204))))-'Council Entry'!P$5)/('Council Entry'!P$6-'Council Entry'!P$5),10*((IF('Council Entry'!P$4="Logarithm",LN(0.001+IF(AND(ISNUMBER('Council Entry'!P$8),ISNUMBER('Council Entry'!P$9)),MAX(MIN('Council Entry'!P204,'Council Entry'!P$9),'Council Entry'!P$8),'Council Entry'!P204)),IF('Council Entry'!P$4="Exponential",EXP(IF(AND(ISNUMBER('Council Entry'!P$8),ISNUMBER('Council Entry'!P$9)),MAX(MIN('Council Entry'!P204,'Council Entry'!P$9),'Council Entry'!P$8),'Council Entry'!P204)),IF(AND(ISNUMBER('Council Entry'!P$8),ISNUMBER('Council Entry'!P$9)),MAX(MIN('Council Entry'!P204,'Council Entry'!P$9),'Council Entry'!P$8),'Council Entry'!P204))))-'Council Entry'!P$5)/('Council Entry'!P$6-'Council Entry'!P$5)),1))),"No data"))</f>
        <v/>
      </c>
      <c r="Q204" s="13">
        <f>IF('Council Entry'!Q204="","",IFERROR(MAX(0,MIN(10,ROUND(IF('Council Entry'!Q$7="Decrease Risk",10-10*((IF('Council Entry'!Q$4="Logarithm",LN(0.001+IF(AND(ISNUMBER('Council Entry'!Q$8),ISNUMBER('Council Entry'!Q$9)),MAX(MIN('Council Entry'!Q204,'Council Entry'!Q$9),'Council Entry'!Q$8),'Council Entry'!Q204)),IF('Council Entry'!Q$4="Exponential",EXP(IF(AND(ISNUMBER('Council Entry'!Q$8),ISNUMBER('Council Entry'!Q$9)),MAX(MIN('Council Entry'!Q204,'Council Entry'!Q$9),'Council Entry'!Q$8),'Council Entry'!Q204)),IF(AND(ISNUMBER('Council Entry'!Q$8),ISNUMBER('Council Entry'!Q$9)),MAX(MIN('Council Entry'!Q204,'Council Entry'!Q$9),'Council Entry'!Q$8),'Council Entry'!Q204))))-'Council Entry'!Q$5)/('Council Entry'!Q$6-'Council Entry'!Q$5),10*((IF('Council Entry'!Q$4="Logarithm",LN(0.001+IF(AND(ISNUMBER('Council Entry'!Q$8),ISNUMBER('Council Entry'!Q$9)),MAX(MIN('Council Entry'!Q204,'Council Entry'!Q$9),'Council Entry'!Q$8),'Council Entry'!Q204)),IF('Council Entry'!Q$4="Exponential",EXP(IF(AND(ISNUMBER('Council Entry'!Q$8),ISNUMBER('Council Entry'!Q$9)),MAX(MIN('Council Entry'!Q204,'Council Entry'!Q$9),'Council Entry'!Q$8),'Council Entry'!Q204)),IF(AND(ISNUMBER('Council Entry'!Q$8),ISNUMBER('Council Entry'!Q$9)),MAX(MIN('Council Entry'!Q204,'Council Entry'!Q$9),'Council Entry'!Q$8),'Council Entry'!Q204))))-'Council Entry'!Q$5)/('Council Entry'!Q$6-'Council Entry'!Q$5)),1))),"No data"))</f>
        <v/>
      </c>
      <c r="R204" s="13">
        <f>IF('Council Entry'!R204="","",IFERROR(MAX(0,MIN(10,ROUND(IF('Council Entry'!R$7="Decrease Risk",10-10*((IF('Council Entry'!R$4="Logarithm",LN(0.001+IF(AND(ISNUMBER('Council Entry'!R$8),ISNUMBER('Council Entry'!R$9)),MAX(MIN('Council Entry'!R204,'Council Entry'!R$9),'Council Entry'!R$8),'Council Entry'!R204)),IF('Council Entry'!R$4="Exponential",EXP(IF(AND(ISNUMBER('Council Entry'!R$8),ISNUMBER('Council Entry'!R$9)),MAX(MIN('Council Entry'!R204,'Council Entry'!R$9),'Council Entry'!R$8),'Council Entry'!R204)),IF(AND(ISNUMBER('Council Entry'!R$8),ISNUMBER('Council Entry'!R$9)),MAX(MIN('Council Entry'!R204,'Council Entry'!R$9),'Council Entry'!R$8),'Council Entry'!R204))))-'Council Entry'!R$5)/('Council Entry'!R$6-'Council Entry'!R$5),10*((IF('Council Entry'!R$4="Logarithm",LN(0.001+IF(AND(ISNUMBER('Council Entry'!R$8),ISNUMBER('Council Entry'!R$9)),MAX(MIN('Council Entry'!R204,'Council Entry'!R$9),'Council Entry'!R$8),'Council Entry'!R204)),IF('Council Entry'!R$4="Exponential",EXP(IF(AND(ISNUMBER('Council Entry'!R$8),ISNUMBER('Council Entry'!R$9)),MAX(MIN('Council Entry'!R204,'Council Entry'!R$9),'Council Entry'!R$8),'Council Entry'!R204)),IF(AND(ISNUMBER('Council Entry'!R$8),ISNUMBER('Council Entry'!R$9)),MAX(MIN('Council Entry'!R204,'Council Entry'!R$9),'Council Entry'!R$8),'Council Entry'!R204))))-'Council Entry'!R$5)/('Council Entry'!R$6-'Council Entry'!R$5)),1))),"No data"))</f>
        <v/>
      </c>
      <c r="S204" s="13">
        <f>IF('Council Entry'!S204="","",IFERROR(MAX(0,MIN(10,ROUND(IF('Council Entry'!S$7="Decrease Risk",10-10*((IF('Council Entry'!S$4="Logarithm",LN(0.001+IF(AND(ISNUMBER('Council Entry'!S$8),ISNUMBER('Council Entry'!S$9)),MAX(MIN('Council Entry'!S204,'Council Entry'!S$9),'Council Entry'!S$8),'Council Entry'!S204)),IF('Council Entry'!S$4="Exponential",EXP(IF(AND(ISNUMBER('Council Entry'!S$8),ISNUMBER('Council Entry'!S$9)),MAX(MIN('Council Entry'!S204,'Council Entry'!S$9),'Council Entry'!S$8),'Council Entry'!S204)),IF(AND(ISNUMBER('Council Entry'!S$8),ISNUMBER('Council Entry'!S$9)),MAX(MIN('Council Entry'!S204,'Council Entry'!S$9),'Council Entry'!S$8),'Council Entry'!S204))))-'Council Entry'!S$5)/('Council Entry'!S$6-'Council Entry'!S$5),10*((IF('Council Entry'!S$4="Logarithm",LN(0.001+IF(AND(ISNUMBER('Council Entry'!S$8),ISNUMBER('Council Entry'!S$9)),MAX(MIN('Council Entry'!S204,'Council Entry'!S$9),'Council Entry'!S$8),'Council Entry'!S204)),IF('Council Entry'!S$4="Exponential",EXP(IF(AND(ISNUMBER('Council Entry'!S$8),ISNUMBER('Council Entry'!S$9)),MAX(MIN('Council Entry'!S204,'Council Entry'!S$9),'Council Entry'!S$8),'Council Entry'!S204)),IF(AND(ISNUMBER('Council Entry'!S$8),ISNUMBER('Council Entry'!S$9)),MAX(MIN('Council Entry'!S204,'Council Entry'!S$9),'Council Entry'!S$8),'Council Entry'!S204))))-'Council Entry'!S$5)/('Council Entry'!S$6-'Council Entry'!S$5)),1))),"No data"))</f>
        <v/>
      </c>
      <c r="T204" s="13">
        <f>IF('Council Entry'!T204="","",IFERROR(MAX(0,MIN(10,ROUND(IF('Council Entry'!T$7="Decrease Risk",10-10*((IF('Council Entry'!T$4="Logarithm",LN(0.001+IF(AND(ISNUMBER('Council Entry'!T$8),ISNUMBER('Council Entry'!T$9)),MAX(MIN('Council Entry'!T204,'Council Entry'!T$9),'Council Entry'!T$8),'Council Entry'!T204)),IF('Council Entry'!T$4="Exponential",EXP(IF(AND(ISNUMBER('Council Entry'!T$8),ISNUMBER('Council Entry'!T$9)),MAX(MIN('Council Entry'!T204,'Council Entry'!T$9),'Council Entry'!T$8),'Council Entry'!T204)),IF(AND(ISNUMBER('Council Entry'!T$8),ISNUMBER('Council Entry'!T$9)),MAX(MIN('Council Entry'!T204,'Council Entry'!T$9),'Council Entry'!T$8),'Council Entry'!T204))))-'Council Entry'!T$5)/('Council Entry'!T$6-'Council Entry'!T$5),10*((IF('Council Entry'!T$4="Logarithm",LN(0.001+IF(AND(ISNUMBER('Council Entry'!T$8),ISNUMBER('Council Entry'!T$9)),MAX(MIN('Council Entry'!T204,'Council Entry'!T$9),'Council Entry'!T$8),'Council Entry'!T204)),IF('Council Entry'!T$4="Exponential",EXP(IF(AND(ISNUMBER('Council Entry'!T$8),ISNUMBER('Council Entry'!T$9)),MAX(MIN('Council Entry'!T204,'Council Entry'!T$9),'Council Entry'!T$8),'Council Entry'!T204)),IF(AND(ISNUMBER('Council Entry'!T$8),ISNUMBER('Council Entry'!T$9)),MAX(MIN('Council Entry'!T204,'Council Entry'!T$9),'Council Entry'!T$8),'Council Entry'!T204))))-'Council Entry'!T$5)/('Council Entry'!T$6-'Council Entry'!T$5)),1))),"No data"))</f>
        <v/>
      </c>
      <c r="U204" s="13">
        <f>IF('Council Entry'!U204="","",IFERROR(MAX(0,MIN(10,ROUND(IF('Council Entry'!U$7="Decrease Risk",10-10*((IF('Council Entry'!U$4="Logarithm",LN(0.001+IF(AND(ISNUMBER('Council Entry'!U$8),ISNUMBER('Council Entry'!U$9)),MAX(MIN('Council Entry'!U204,'Council Entry'!U$9),'Council Entry'!U$8),'Council Entry'!U204)),IF('Council Entry'!U$4="Exponential",EXP(IF(AND(ISNUMBER('Council Entry'!U$8),ISNUMBER('Council Entry'!U$9)),MAX(MIN('Council Entry'!U204,'Council Entry'!U$9),'Council Entry'!U$8),'Council Entry'!U204)),IF(AND(ISNUMBER('Council Entry'!U$8),ISNUMBER('Council Entry'!U$9)),MAX(MIN('Council Entry'!U204,'Council Entry'!U$9),'Council Entry'!U$8),'Council Entry'!U204))))-'Council Entry'!U$5)/('Council Entry'!U$6-'Council Entry'!U$5),10*((IF('Council Entry'!U$4="Logarithm",LN(0.001+IF(AND(ISNUMBER('Council Entry'!U$8),ISNUMBER('Council Entry'!U$9)),MAX(MIN('Council Entry'!U204,'Council Entry'!U$9),'Council Entry'!U$8),'Council Entry'!U204)),IF('Council Entry'!U$4="Exponential",EXP(IF(AND(ISNUMBER('Council Entry'!U$8),ISNUMBER('Council Entry'!U$9)),MAX(MIN('Council Entry'!U204,'Council Entry'!U$9),'Council Entry'!U$8),'Council Entry'!U204)),IF(AND(ISNUMBER('Council Entry'!U$8),ISNUMBER('Council Entry'!U$9)),MAX(MIN('Council Entry'!U204,'Council Entry'!U$9),'Council Entry'!U$8),'Council Entry'!U204))))-'Council Entry'!U$5)/('Council Entry'!U$6-'Council Entry'!U$5)),1))),"No data"))</f>
        <v/>
      </c>
      <c r="V204" s="13">
        <f>IF('Council Entry'!V204="","",IFERROR(MAX(0,MIN(10,ROUND(IF('Council Entry'!V$7="Decrease Risk",10-10*((IF('Council Entry'!V$4="Logarithm",LN(0.001+IF(AND(ISNUMBER('Council Entry'!V$8),ISNUMBER('Council Entry'!V$9)),MAX(MIN('Council Entry'!V204,'Council Entry'!V$9),'Council Entry'!V$8),'Council Entry'!V204)),IF('Council Entry'!V$4="Exponential",EXP(IF(AND(ISNUMBER('Council Entry'!V$8),ISNUMBER('Council Entry'!V$9)),MAX(MIN('Council Entry'!V204,'Council Entry'!V$9),'Council Entry'!V$8),'Council Entry'!V204)),IF(AND(ISNUMBER('Council Entry'!V$8),ISNUMBER('Council Entry'!V$9)),MAX(MIN('Council Entry'!V204,'Council Entry'!V$9),'Council Entry'!V$8),'Council Entry'!V204))))-'Council Entry'!V$5)/('Council Entry'!V$6-'Council Entry'!V$5),10*((IF('Council Entry'!V$4="Logarithm",LN(0.001+IF(AND(ISNUMBER('Council Entry'!V$8),ISNUMBER('Council Entry'!V$9)),MAX(MIN('Council Entry'!V204,'Council Entry'!V$9),'Council Entry'!V$8),'Council Entry'!V204)),IF('Council Entry'!V$4="Exponential",EXP(IF(AND(ISNUMBER('Council Entry'!V$8),ISNUMBER('Council Entry'!V$9)),MAX(MIN('Council Entry'!V204,'Council Entry'!V$9),'Council Entry'!V$8),'Council Entry'!V204)),IF(AND(ISNUMBER('Council Entry'!V$8),ISNUMBER('Council Entry'!V$9)),MAX(MIN('Council Entry'!V204,'Council Entry'!V$9),'Council Entry'!V$8),'Council Entry'!V204))))-'Council Entry'!V$5)/('Council Entry'!V$6-'Council Entry'!V$5)),1))),"No data"))</f>
        <v/>
      </c>
      <c r="W204" s="13">
        <f>IF('Council Entry'!W204="","",IFERROR(MAX(0,MIN(10,ROUND(IF('Council Entry'!W$7="Decrease Risk",10-10*((IF('Council Entry'!W$4="Logarithm",LN(0.001+IF(AND(ISNUMBER('Council Entry'!W$8),ISNUMBER('Council Entry'!W$9)),MAX(MIN('Council Entry'!W204,'Council Entry'!W$9),'Council Entry'!W$8),'Council Entry'!W204)),IF('Council Entry'!W$4="Exponential",EXP(IF(AND(ISNUMBER('Council Entry'!W$8),ISNUMBER('Council Entry'!W$9)),MAX(MIN('Council Entry'!W204,'Council Entry'!W$9),'Council Entry'!W$8),'Council Entry'!W204)),IF(AND(ISNUMBER('Council Entry'!W$8),ISNUMBER('Council Entry'!W$9)),MAX(MIN('Council Entry'!W204,'Council Entry'!W$9),'Council Entry'!W$8),'Council Entry'!W204))))-'Council Entry'!W$5)/('Council Entry'!W$6-'Council Entry'!W$5),10*((IF('Council Entry'!W$4="Logarithm",LN(0.001+IF(AND(ISNUMBER('Council Entry'!W$8),ISNUMBER('Council Entry'!W$9)),MAX(MIN('Council Entry'!W204,'Council Entry'!W$9),'Council Entry'!W$8),'Council Entry'!W204)),IF('Council Entry'!W$4="Exponential",EXP(IF(AND(ISNUMBER('Council Entry'!W$8),ISNUMBER('Council Entry'!W$9)),MAX(MIN('Council Entry'!W204,'Council Entry'!W$9),'Council Entry'!W$8),'Council Entry'!W204)),IF(AND(ISNUMBER('Council Entry'!W$8),ISNUMBER('Council Entry'!W$9)),MAX(MIN('Council Entry'!W204,'Council Entry'!W$9),'Council Entry'!W$8),'Council Entry'!W204))))-'Council Entry'!W$5)/('Council Entry'!W$6-'Council Entry'!W$5)),1))),"No data"))</f>
        <v/>
      </c>
      <c r="X204" s="13">
        <f>IF('Council Entry'!X204="","",IFERROR(MAX(0,MIN(10,ROUND(IF('Council Entry'!X$7="Decrease Risk",10-10*((IF('Council Entry'!X$4="Logarithm",LN(0.001+IF(AND(ISNUMBER('Council Entry'!X$8),ISNUMBER('Council Entry'!X$9)),MAX(MIN('Council Entry'!X204,'Council Entry'!X$9),'Council Entry'!X$8),'Council Entry'!X204)),IF('Council Entry'!X$4="Exponential",EXP(IF(AND(ISNUMBER('Council Entry'!X$8),ISNUMBER('Council Entry'!X$9)),MAX(MIN('Council Entry'!X204,'Council Entry'!X$9),'Council Entry'!X$8),'Council Entry'!X204)),IF(AND(ISNUMBER('Council Entry'!X$8),ISNUMBER('Council Entry'!X$9)),MAX(MIN('Council Entry'!X204,'Council Entry'!X$9),'Council Entry'!X$8),'Council Entry'!X204))))-'Council Entry'!X$5)/('Council Entry'!X$6-'Council Entry'!X$5),10*((IF('Council Entry'!X$4="Logarithm",LN(0.001+IF(AND(ISNUMBER('Council Entry'!X$8),ISNUMBER('Council Entry'!X$9)),MAX(MIN('Council Entry'!X204,'Council Entry'!X$9),'Council Entry'!X$8),'Council Entry'!X204)),IF('Council Entry'!X$4="Exponential",EXP(IF(AND(ISNUMBER('Council Entry'!X$8),ISNUMBER('Council Entry'!X$9)),MAX(MIN('Council Entry'!X204,'Council Entry'!X$9),'Council Entry'!X$8),'Council Entry'!X204)),IF(AND(ISNUMBER('Council Entry'!X$8),ISNUMBER('Council Entry'!X$9)),MAX(MIN('Council Entry'!X204,'Council Entry'!X$9),'Council Entry'!X$8),'Council Entry'!X204))))-'Council Entry'!X$5)/('Council Entry'!X$6-'Council Entry'!X$5)),1))),"No data"))</f>
        <v/>
      </c>
      <c r="Y204" s="13">
        <f>IF('Council Entry'!Y204="","",IFERROR(MAX(0,MIN(10,ROUND(IF('Council Entry'!Y$7="Decrease Risk",10-10*((IF('Council Entry'!Y$4="Logarithm",LN(0.001+IF(AND(ISNUMBER('Council Entry'!Y$8),ISNUMBER('Council Entry'!Y$9)),MAX(MIN('Council Entry'!Y204,'Council Entry'!Y$9),'Council Entry'!Y$8),'Council Entry'!Y204)),IF('Council Entry'!Y$4="Exponential",EXP(IF(AND(ISNUMBER('Council Entry'!Y$8),ISNUMBER('Council Entry'!Y$9)),MAX(MIN('Council Entry'!Y204,'Council Entry'!Y$9),'Council Entry'!Y$8),'Council Entry'!Y204)),IF(AND(ISNUMBER('Council Entry'!Y$8),ISNUMBER('Council Entry'!Y$9)),MAX(MIN('Council Entry'!Y204,'Council Entry'!Y$9),'Council Entry'!Y$8),'Council Entry'!Y204))))-'Council Entry'!Y$5)/('Council Entry'!Y$6-'Council Entry'!Y$5),10*((IF('Council Entry'!Y$4="Logarithm",LN(0.001+IF(AND(ISNUMBER('Council Entry'!Y$8),ISNUMBER('Council Entry'!Y$9)),MAX(MIN('Council Entry'!Y204,'Council Entry'!Y$9),'Council Entry'!Y$8),'Council Entry'!Y204)),IF('Council Entry'!Y$4="Exponential",EXP(IF(AND(ISNUMBER('Council Entry'!Y$8),ISNUMBER('Council Entry'!Y$9)),MAX(MIN('Council Entry'!Y204,'Council Entry'!Y$9),'Council Entry'!Y$8),'Council Entry'!Y204)),IF(AND(ISNUMBER('Council Entry'!Y$8),ISNUMBER('Council Entry'!Y$9)),MAX(MIN('Council Entry'!Y204,'Council Entry'!Y$9),'Council Entry'!Y$8),'Council Entry'!Y204))))-'Council Entry'!Y$5)/('Council Entry'!Y$6-'Council Entry'!Y$5)),1))),"No data"))</f>
        <v/>
      </c>
      <c r="Z204" s="13">
        <f>IF('Council Entry'!Z204="","",IFERROR(MAX(0,MIN(10,ROUND(IF('Council Entry'!Z$7="Decrease Risk",10-10*((IF('Council Entry'!Z$4="Logarithm",LN(0.001+IF(AND(ISNUMBER('Council Entry'!Z$8),ISNUMBER('Council Entry'!Z$9)),MAX(MIN('Council Entry'!Z204,'Council Entry'!Z$9),'Council Entry'!Z$8),'Council Entry'!Z204)),IF('Council Entry'!Z$4="Exponential",EXP(IF(AND(ISNUMBER('Council Entry'!Z$8),ISNUMBER('Council Entry'!Z$9)),MAX(MIN('Council Entry'!Z204,'Council Entry'!Z$9),'Council Entry'!Z$8),'Council Entry'!Z204)),IF(AND(ISNUMBER('Council Entry'!Z$8),ISNUMBER('Council Entry'!Z$9)),MAX(MIN('Council Entry'!Z204,'Council Entry'!Z$9),'Council Entry'!Z$8),'Council Entry'!Z204))))-'Council Entry'!Z$5)/('Council Entry'!Z$6-'Council Entry'!Z$5),10*((IF('Council Entry'!Z$4="Logarithm",LN(0.001+IF(AND(ISNUMBER('Council Entry'!Z$8),ISNUMBER('Council Entry'!Z$9)),MAX(MIN('Council Entry'!Z204,'Council Entry'!Z$9),'Council Entry'!Z$8),'Council Entry'!Z204)),IF('Council Entry'!Z$4="Exponential",EXP(IF(AND(ISNUMBER('Council Entry'!Z$8),ISNUMBER('Council Entry'!Z$9)),MAX(MIN('Council Entry'!Z204,'Council Entry'!Z$9),'Council Entry'!Z$8),'Council Entry'!Z204)),IF(AND(ISNUMBER('Council Entry'!Z$8),ISNUMBER('Council Entry'!Z$9)),MAX(MIN('Council Entry'!Z204,'Council Entry'!Z$9),'Council Entry'!Z$8),'Council Entry'!Z204))))-'Council Entry'!Z$5)/('Council Entry'!Z$6-'Council Entry'!Z$5)),1))),"No data"))</f>
        <v/>
      </c>
      <c r="AA204" s="13">
        <f>IF('Council Entry'!AA204="","",IFERROR(MAX(0,MIN(10,ROUND(IF('Council Entry'!AA$7="Decrease Risk",10-10*((IF('Council Entry'!AA$4="Logarithm",LN(0.001+IF(AND(ISNUMBER('Council Entry'!AA$8),ISNUMBER('Council Entry'!AA$9)),MAX(MIN('Council Entry'!AA204,'Council Entry'!AA$9),'Council Entry'!AA$8),'Council Entry'!AA204)),IF('Council Entry'!AA$4="Exponential",EXP(IF(AND(ISNUMBER('Council Entry'!AA$8),ISNUMBER('Council Entry'!AA$9)),MAX(MIN('Council Entry'!AA204,'Council Entry'!AA$9),'Council Entry'!AA$8),'Council Entry'!AA204)),IF(AND(ISNUMBER('Council Entry'!AA$8),ISNUMBER('Council Entry'!AA$9)),MAX(MIN('Council Entry'!AA204,'Council Entry'!AA$9),'Council Entry'!AA$8),'Council Entry'!AA204))))-'Council Entry'!AA$5)/('Council Entry'!AA$6-'Council Entry'!AA$5),10*((IF('Council Entry'!AA$4="Logarithm",LN(0.001+IF(AND(ISNUMBER('Council Entry'!AA$8),ISNUMBER('Council Entry'!AA$9)),MAX(MIN('Council Entry'!AA204,'Council Entry'!AA$9),'Council Entry'!AA$8),'Council Entry'!AA204)),IF('Council Entry'!AA$4="Exponential",EXP(IF(AND(ISNUMBER('Council Entry'!AA$8),ISNUMBER('Council Entry'!AA$9)),MAX(MIN('Council Entry'!AA204,'Council Entry'!AA$9),'Council Entry'!AA$8),'Council Entry'!AA204)),IF(AND(ISNUMBER('Council Entry'!AA$8),ISNUMBER('Council Entry'!AA$9)),MAX(MIN('Council Entry'!AA204,'Council Entry'!AA$9),'Council Entry'!AA$8),'Council Entry'!AA204))))-'Council Entry'!AA$5)/('Council Entry'!AA$6-'Council Entry'!AA$5)),1))),"No data"))</f>
        <v/>
      </c>
      <c r="AB204" s="13">
        <f>IF('Council Entry'!AB204="","",IFERROR(MAX(0,MIN(10,ROUND(IF('Council Entry'!AB$7="Decrease Risk",10-10*((IF('Council Entry'!AB$4="Logarithm",LN(0.001+IF(AND(ISNUMBER('Council Entry'!AB$8),ISNUMBER('Council Entry'!AB$9)),MAX(MIN('Council Entry'!AB204,'Council Entry'!AB$9),'Council Entry'!AB$8),'Council Entry'!AB204)),IF('Council Entry'!AB$4="Exponential",EXP(IF(AND(ISNUMBER('Council Entry'!AB$8),ISNUMBER('Council Entry'!AB$9)),MAX(MIN('Council Entry'!AB204,'Council Entry'!AB$9),'Council Entry'!AB$8),'Council Entry'!AB204)),IF(AND(ISNUMBER('Council Entry'!AB$8),ISNUMBER('Council Entry'!AB$9)),MAX(MIN('Council Entry'!AB204,'Council Entry'!AB$9),'Council Entry'!AB$8),'Council Entry'!AB204))))-'Council Entry'!AB$5)/('Council Entry'!AB$6-'Council Entry'!AB$5),10*((IF('Council Entry'!AB$4="Logarithm",LN(0.001+IF(AND(ISNUMBER('Council Entry'!AB$8),ISNUMBER('Council Entry'!AB$9)),MAX(MIN('Council Entry'!AB204,'Council Entry'!AB$9),'Council Entry'!AB$8),'Council Entry'!AB204)),IF('Council Entry'!AB$4="Exponential",EXP(IF(AND(ISNUMBER('Council Entry'!AB$8),ISNUMBER('Council Entry'!AB$9)),MAX(MIN('Council Entry'!AB204,'Council Entry'!AB$9),'Council Entry'!AB$8),'Council Entry'!AB204)),IF(AND(ISNUMBER('Council Entry'!AB$8),ISNUMBER('Council Entry'!AB$9)),MAX(MIN('Council Entry'!AB204,'Council Entry'!AB$9),'Council Entry'!AB$8),'Council Entry'!AB204))))-'Council Entry'!AB$5)/('Council Entry'!AB$6-'Council Entry'!AB$5)),1))),"No data"))</f>
        <v/>
      </c>
      <c r="AC204" s="13">
        <f>IF('Council Entry'!AC204="","",IFERROR(MAX(0,MIN(10,ROUND(IF('Council Entry'!AC$7="Decrease Risk",10-10*((IF('Council Entry'!AC$4="Logarithm",LN(0.001+IF(AND(ISNUMBER('Council Entry'!AC$8),ISNUMBER('Council Entry'!AC$9)),MAX(MIN('Council Entry'!AC204,'Council Entry'!AC$9),'Council Entry'!AC$8),'Council Entry'!AC204)),IF('Council Entry'!AC$4="Exponential",EXP(IF(AND(ISNUMBER('Council Entry'!AC$8),ISNUMBER('Council Entry'!AC$9)),MAX(MIN('Council Entry'!AC204,'Council Entry'!AC$9),'Council Entry'!AC$8),'Council Entry'!AC204)),IF(AND(ISNUMBER('Council Entry'!AC$8),ISNUMBER('Council Entry'!AC$9)),MAX(MIN('Council Entry'!AC204,'Council Entry'!AC$9),'Council Entry'!AC$8),'Council Entry'!AC204))))-'Council Entry'!AC$5)/('Council Entry'!AC$6-'Council Entry'!AC$5),10*((IF('Council Entry'!AC$4="Logarithm",LN(0.001+IF(AND(ISNUMBER('Council Entry'!AC$8),ISNUMBER('Council Entry'!AC$9)),MAX(MIN('Council Entry'!AC204,'Council Entry'!AC$9),'Council Entry'!AC$8),'Council Entry'!AC204)),IF('Council Entry'!AC$4="Exponential",EXP(IF(AND(ISNUMBER('Council Entry'!AC$8),ISNUMBER('Council Entry'!AC$9)),MAX(MIN('Council Entry'!AC204,'Council Entry'!AC$9),'Council Entry'!AC$8),'Council Entry'!AC204)),IF(AND(ISNUMBER('Council Entry'!AC$8),ISNUMBER('Council Entry'!AC$9)),MAX(MIN('Council Entry'!AC204,'Council Entry'!AC$9),'Council Entry'!AC$8),'Council Entry'!AC204))))-'Council Entry'!AC$5)/('Council Entry'!AC$6-'Council Entry'!AC$5)),1))),"No data"))</f>
        <v/>
      </c>
      <c r="AD204" s="13">
        <f>IF('Council Entry'!AD204="","",IFERROR(MAX(0,MIN(10,ROUND(IF('Council Entry'!AD$7="Decrease Risk",10-10*((IF('Council Entry'!AD$4="Logarithm",LN(0.001+IF(AND(ISNUMBER('Council Entry'!AD$8),ISNUMBER('Council Entry'!AD$9)),MAX(MIN('Council Entry'!AD204,'Council Entry'!AD$9),'Council Entry'!AD$8),'Council Entry'!AD204)),IF('Council Entry'!AD$4="Exponential",EXP(IF(AND(ISNUMBER('Council Entry'!AD$8),ISNUMBER('Council Entry'!AD$9)),MAX(MIN('Council Entry'!AD204,'Council Entry'!AD$9),'Council Entry'!AD$8),'Council Entry'!AD204)),IF(AND(ISNUMBER('Council Entry'!AD$8),ISNUMBER('Council Entry'!AD$9)),MAX(MIN('Council Entry'!AD204,'Council Entry'!AD$9),'Council Entry'!AD$8),'Council Entry'!AD204))))-'Council Entry'!AD$5)/('Council Entry'!AD$6-'Council Entry'!AD$5),10*((IF('Council Entry'!AD$4="Logarithm",LN(0.001+IF(AND(ISNUMBER('Council Entry'!AD$8),ISNUMBER('Council Entry'!AD$9)),MAX(MIN('Council Entry'!AD204,'Council Entry'!AD$9),'Council Entry'!AD$8),'Council Entry'!AD204)),IF('Council Entry'!AD$4="Exponential",EXP(IF(AND(ISNUMBER('Council Entry'!AD$8),ISNUMBER('Council Entry'!AD$9)),MAX(MIN('Council Entry'!AD204,'Council Entry'!AD$9),'Council Entry'!AD$8),'Council Entry'!AD204)),IF(AND(ISNUMBER('Council Entry'!AD$8),ISNUMBER('Council Entry'!AD$9)),MAX(MIN('Council Entry'!AD204,'Council Entry'!AD$9),'Council Entry'!AD$8),'Council Entry'!AD204))))-'Council Entry'!AD$5)/('Council Entry'!AD$6-'Council Entry'!AD$5)),1))),"No data"))</f>
        <v/>
      </c>
      <c r="AE204" s="13">
        <f>IF('Council Entry'!AE204="","",IFERROR(MAX(0,MIN(10,ROUND(IF('Council Entry'!AE$7="Decrease Risk",10-10*((IF('Council Entry'!AE$4="Logarithm",LN(0.001+IF(AND(ISNUMBER('Council Entry'!AE$8),ISNUMBER('Council Entry'!AE$9)),MAX(MIN('Council Entry'!AE204,'Council Entry'!AE$9),'Council Entry'!AE$8),'Council Entry'!AE204)),IF('Council Entry'!AE$4="Exponential",EXP(IF(AND(ISNUMBER('Council Entry'!AE$8),ISNUMBER('Council Entry'!AE$9)),MAX(MIN('Council Entry'!AE204,'Council Entry'!AE$9),'Council Entry'!AE$8),'Council Entry'!AE204)),IF(AND(ISNUMBER('Council Entry'!AE$8),ISNUMBER('Council Entry'!AE$9)),MAX(MIN('Council Entry'!AE204,'Council Entry'!AE$9),'Council Entry'!AE$8),'Council Entry'!AE204))))-'Council Entry'!AE$5)/('Council Entry'!AE$6-'Council Entry'!AE$5),10*((IF('Council Entry'!AE$4="Logarithm",LN(0.001+IF(AND(ISNUMBER('Council Entry'!AE$8),ISNUMBER('Council Entry'!AE$9)),MAX(MIN('Council Entry'!AE204,'Council Entry'!AE$9),'Council Entry'!AE$8),'Council Entry'!AE204)),IF('Council Entry'!AE$4="Exponential",EXP(IF(AND(ISNUMBER('Council Entry'!AE$8),ISNUMBER('Council Entry'!AE$9)),MAX(MIN('Council Entry'!AE204,'Council Entry'!AE$9),'Council Entry'!AE$8),'Council Entry'!AE204)),IF(AND(ISNUMBER('Council Entry'!AE$8),ISNUMBER('Council Entry'!AE$9)),MAX(MIN('Council Entry'!AE204,'Council Entry'!AE$9),'Council Entry'!AE$8),'Council Entry'!AE204))))-'Council Entry'!AE$5)/('Council Entry'!AE$6-'Council Entry'!AE$5)),1))),"No data"))</f>
        <v/>
      </c>
      <c r="AF204" s="13">
        <f>IF('Council Entry'!AF204="","",IFERROR(MAX(0,MIN(10,ROUND(IF('Council Entry'!AF$7="Decrease Risk",10-10*((IF('Council Entry'!AF$4="Logarithm",LN(0.001+IF(AND(ISNUMBER('Council Entry'!AF$8),ISNUMBER('Council Entry'!AF$9)),MAX(MIN('Council Entry'!AF204,'Council Entry'!AF$9),'Council Entry'!AF$8),'Council Entry'!AF204)),IF('Council Entry'!AF$4="Exponential",EXP(IF(AND(ISNUMBER('Council Entry'!AF$8),ISNUMBER('Council Entry'!AF$9)),MAX(MIN('Council Entry'!AF204,'Council Entry'!AF$9),'Council Entry'!AF$8),'Council Entry'!AF204)),IF(AND(ISNUMBER('Council Entry'!AF$8),ISNUMBER('Council Entry'!AF$9)),MAX(MIN('Council Entry'!AF204,'Council Entry'!AF$9),'Council Entry'!AF$8),'Council Entry'!AF204))))-'Council Entry'!AF$5)/('Council Entry'!AF$6-'Council Entry'!AF$5),10*((IF('Council Entry'!AF$4="Logarithm",LN(0.001+IF(AND(ISNUMBER('Council Entry'!AF$8),ISNUMBER('Council Entry'!AF$9)),MAX(MIN('Council Entry'!AF204,'Council Entry'!AF$9),'Council Entry'!AF$8),'Council Entry'!AF204)),IF('Council Entry'!AF$4="Exponential",EXP(IF(AND(ISNUMBER('Council Entry'!AF$8),ISNUMBER('Council Entry'!AF$9)),MAX(MIN('Council Entry'!AF204,'Council Entry'!AF$9),'Council Entry'!AF$8),'Council Entry'!AF204)),IF(AND(ISNUMBER('Council Entry'!AF$8),ISNUMBER('Council Entry'!AF$9)),MAX(MIN('Council Entry'!AF204,'Council Entry'!AF$9),'Council Entry'!AF$8),'Council Entry'!AF204))))-'Council Entry'!AF$5)/('Council Entry'!AF$6-'Council Entry'!AF$5)),1))),"No data"))</f>
        <v/>
      </c>
      <c r="AG204" s="13">
        <f>IF('Council Entry'!AG204="","",IFERROR(MAX(0,MIN(10,ROUND(IF('Council Entry'!AG$7="Decrease Risk",10-10*((IF('Council Entry'!AG$4="Logarithm",LN(0.001+IF(AND(ISNUMBER('Council Entry'!AG$8),ISNUMBER('Council Entry'!AG$9)),MAX(MIN('Council Entry'!AG204,'Council Entry'!AG$9),'Council Entry'!AG$8),'Council Entry'!AG204)),IF('Council Entry'!AG$4="Exponential",EXP(IF(AND(ISNUMBER('Council Entry'!AG$8),ISNUMBER('Council Entry'!AG$9)),MAX(MIN('Council Entry'!AG204,'Council Entry'!AG$9),'Council Entry'!AG$8),'Council Entry'!AG204)),IF(AND(ISNUMBER('Council Entry'!AG$8),ISNUMBER('Council Entry'!AG$9)),MAX(MIN('Council Entry'!AG204,'Council Entry'!AG$9),'Council Entry'!AG$8),'Council Entry'!AG204))))-'Council Entry'!AG$5)/('Council Entry'!AG$6-'Council Entry'!AG$5),10*((IF('Council Entry'!AG$4="Logarithm",LN(0.001+IF(AND(ISNUMBER('Council Entry'!AG$8),ISNUMBER('Council Entry'!AG$9)),MAX(MIN('Council Entry'!AG204,'Council Entry'!AG$9),'Council Entry'!AG$8),'Council Entry'!AG204)),IF('Council Entry'!AG$4="Exponential",EXP(IF(AND(ISNUMBER('Council Entry'!AG$8),ISNUMBER('Council Entry'!AG$9)),MAX(MIN('Council Entry'!AG204,'Council Entry'!AG$9),'Council Entry'!AG$8),'Council Entry'!AG204)),IF(AND(ISNUMBER('Council Entry'!AG$8),ISNUMBER('Council Entry'!AG$9)),MAX(MIN('Council Entry'!AG204,'Council Entry'!AG$9),'Council Entry'!AG$8),'Council Entry'!AG204))))-'Council Entry'!AG$5)/('Council Entry'!AG$6-'Council Entry'!AG$5)),1))),"No data"))</f>
        <v/>
      </c>
      <c r="AH204" s="13">
        <f>IF('Council Entry'!AH204="","",IFERROR(MAX(0,MIN(10,ROUND(IF('Council Entry'!AH$7="Decrease Risk",10-10*((IF('Council Entry'!AH$4="Logarithm",LN(0.001+IF(AND(ISNUMBER('Council Entry'!AH$8),ISNUMBER('Council Entry'!AH$9)),MAX(MIN('Council Entry'!AH204,'Council Entry'!AH$9),'Council Entry'!AH$8),'Council Entry'!AH204)),IF('Council Entry'!AH$4="Exponential",EXP(IF(AND(ISNUMBER('Council Entry'!AH$8),ISNUMBER('Council Entry'!AH$9)),MAX(MIN('Council Entry'!AH204,'Council Entry'!AH$9),'Council Entry'!AH$8),'Council Entry'!AH204)),IF(AND(ISNUMBER('Council Entry'!AH$8),ISNUMBER('Council Entry'!AH$9)),MAX(MIN('Council Entry'!AH204,'Council Entry'!AH$9),'Council Entry'!AH$8),'Council Entry'!AH204))))-'Council Entry'!AH$5)/('Council Entry'!AH$6-'Council Entry'!AH$5),10*((IF('Council Entry'!AH$4="Logarithm",LN(0.001+IF(AND(ISNUMBER('Council Entry'!AH$8),ISNUMBER('Council Entry'!AH$9)),MAX(MIN('Council Entry'!AH204,'Council Entry'!AH$9),'Council Entry'!AH$8),'Council Entry'!AH204)),IF('Council Entry'!AH$4="Exponential",EXP(IF(AND(ISNUMBER('Council Entry'!AH$8),ISNUMBER('Council Entry'!AH$9)),MAX(MIN('Council Entry'!AH204,'Council Entry'!AH$9),'Council Entry'!AH$8),'Council Entry'!AH204)),IF(AND(ISNUMBER('Council Entry'!AH$8),ISNUMBER('Council Entry'!AH$9)),MAX(MIN('Council Entry'!AH204,'Council Entry'!AH$9),'Council Entry'!AH$8),'Council Entry'!AH204))))-'Council Entry'!AH$5)/('Council Entry'!AH$6-'Council Entry'!AH$5)),1))),"No data"))</f>
        <v/>
      </c>
      <c r="AI204" s="13">
        <f>IF('Council Entry'!AI204="","",IFERROR(MAX(0,MIN(10,ROUND(IF('Council Entry'!AI$7="Decrease Risk",10-10*((IF('Council Entry'!AI$4="Logarithm",LN(0.001+IF(AND(ISNUMBER('Council Entry'!AI$8),ISNUMBER('Council Entry'!AI$9)),MAX(MIN('Council Entry'!AI204,'Council Entry'!AI$9),'Council Entry'!AI$8),'Council Entry'!AI204)),IF('Council Entry'!AI$4="Exponential",EXP(IF(AND(ISNUMBER('Council Entry'!AI$8),ISNUMBER('Council Entry'!AI$9)),MAX(MIN('Council Entry'!AI204,'Council Entry'!AI$9),'Council Entry'!AI$8),'Council Entry'!AI204)),IF(AND(ISNUMBER('Council Entry'!AI$8),ISNUMBER('Council Entry'!AI$9)),MAX(MIN('Council Entry'!AI204,'Council Entry'!AI$9),'Council Entry'!AI$8),'Council Entry'!AI204))))-'Council Entry'!AI$5)/('Council Entry'!AI$6-'Council Entry'!AI$5),10*((IF('Council Entry'!AI$4="Logarithm",LN(0.001+IF(AND(ISNUMBER('Council Entry'!AI$8),ISNUMBER('Council Entry'!AI$9)),MAX(MIN('Council Entry'!AI204,'Council Entry'!AI$9),'Council Entry'!AI$8),'Council Entry'!AI204)),IF('Council Entry'!AI$4="Exponential",EXP(IF(AND(ISNUMBER('Council Entry'!AI$8),ISNUMBER('Council Entry'!AI$9)),MAX(MIN('Council Entry'!AI204,'Council Entry'!AI$9),'Council Entry'!AI$8),'Council Entry'!AI204)),IF(AND(ISNUMBER('Council Entry'!AI$8),ISNUMBER('Council Entry'!AI$9)),MAX(MIN('Council Entry'!AI204,'Council Entry'!AI$9),'Council Entry'!AI$8),'Council Entry'!AI204))))-'Council Entry'!AI$5)/('Council Entry'!AI$6-'Council Entry'!AI$5)),1))),"No data"))</f>
        <v/>
      </c>
      <c r="AJ204" s="13">
        <f>IF('Council Entry'!AJ204="","",IFERROR(MAX(0,MIN(10,ROUND(IF('Council Entry'!AJ$7="Decrease Risk",10-10*((IF('Council Entry'!AJ$4="Logarithm",LN(0.001+IF(AND(ISNUMBER('Council Entry'!AJ$8),ISNUMBER('Council Entry'!AJ$9)),MAX(MIN('Council Entry'!AJ204,'Council Entry'!AJ$9),'Council Entry'!AJ$8),'Council Entry'!AJ204)),IF('Council Entry'!AJ$4="Exponential",EXP(IF(AND(ISNUMBER('Council Entry'!AJ$8),ISNUMBER('Council Entry'!AJ$9)),MAX(MIN('Council Entry'!AJ204,'Council Entry'!AJ$9),'Council Entry'!AJ$8),'Council Entry'!AJ204)),IF(AND(ISNUMBER('Council Entry'!AJ$8),ISNUMBER('Council Entry'!AJ$9)),MAX(MIN('Council Entry'!AJ204,'Council Entry'!AJ$9),'Council Entry'!AJ$8),'Council Entry'!AJ204))))-'Council Entry'!AJ$5)/('Council Entry'!AJ$6-'Council Entry'!AJ$5),10*((IF('Council Entry'!AJ$4="Logarithm",LN(0.001+IF(AND(ISNUMBER('Council Entry'!AJ$8),ISNUMBER('Council Entry'!AJ$9)),MAX(MIN('Council Entry'!AJ204,'Council Entry'!AJ$9),'Council Entry'!AJ$8),'Council Entry'!AJ204)),IF('Council Entry'!AJ$4="Exponential",EXP(IF(AND(ISNUMBER('Council Entry'!AJ$8),ISNUMBER('Council Entry'!AJ$9)),MAX(MIN('Council Entry'!AJ204,'Council Entry'!AJ$9),'Council Entry'!AJ$8),'Council Entry'!AJ204)),IF(AND(ISNUMBER('Council Entry'!AJ$8),ISNUMBER('Council Entry'!AJ$9)),MAX(MIN('Council Entry'!AJ204,'Council Entry'!AJ$9),'Council Entry'!AJ$8),'Council Entry'!AJ204))))-'Council Entry'!AJ$5)/('Council Entry'!AJ$6-'Council Entry'!AJ$5)),1))),"No data"))</f>
        <v/>
      </c>
      <c r="AK204" s="13">
        <f>IF('Council Entry'!AK204="","",IFERROR(MAX(0,MIN(10,ROUND(IF('Council Entry'!AK$7="Decrease Risk",10-10*((IF('Council Entry'!AK$4="Logarithm",LN(0.001+IF(AND(ISNUMBER('Council Entry'!AK$8),ISNUMBER('Council Entry'!AK$9)),MAX(MIN('Council Entry'!AK204,'Council Entry'!AK$9),'Council Entry'!AK$8),'Council Entry'!AK204)),IF('Council Entry'!AK$4="Exponential",EXP(IF(AND(ISNUMBER('Council Entry'!AK$8),ISNUMBER('Council Entry'!AK$9)),MAX(MIN('Council Entry'!AK204,'Council Entry'!AK$9),'Council Entry'!AK$8),'Council Entry'!AK204)),IF(AND(ISNUMBER('Council Entry'!AK$8),ISNUMBER('Council Entry'!AK$9)),MAX(MIN('Council Entry'!AK204,'Council Entry'!AK$9),'Council Entry'!AK$8),'Council Entry'!AK204))))-'Council Entry'!AK$5)/('Council Entry'!AK$6-'Council Entry'!AK$5),10*((IF('Council Entry'!AK$4="Logarithm",LN(0.001+IF(AND(ISNUMBER('Council Entry'!AK$8),ISNUMBER('Council Entry'!AK$9)),MAX(MIN('Council Entry'!AK204,'Council Entry'!AK$9),'Council Entry'!AK$8),'Council Entry'!AK204)),IF('Council Entry'!AK$4="Exponential",EXP(IF(AND(ISNUMBER('Council Entry'!AK$8),ISNUMBER('Council Entry'!AK$9)),MAX(MIN('Council Entry'!AK204,'Council Entry'!AK$9),'Council Entry'!AK$8),'Council Entry'!AK204)),IF(AND(ISNUMBER('Council Entry'!AK$8),ISNUMBER('Council Entry'!AK$9)),MAX(MIN('Council Entry'!AK204,'Council Entry'!AK$9),'Council Entry'!AK$8),'Council Entry'!AK204))))-'Council Entry'!AK$5)/('Council Entry'!AK$6-'Council Entry'!AK$5)),1))),"No data"))</f>
        <v/>
      </c>
      <c r="AL204" s="13">
        <f>IF('Council Entry'!AL204="","",IFERROR(MAX(0,MIN(10,ROUND(IF('Council Entry'!AL$7="Decrease Risk",10-10*((IF('Council Entry'!AL$4="Logarithm",LN(0.001+IF(AND(ISNUMBER('Council Entry'!AL$8),ISNUMBER('Council Entry'!AL$9)),MAX(MIN('Council Entry'!AL204,'Council Entry'!AL$9),'Council Entry'!AL$8),'Council Entry'!AL204)),IF('Council Entry'!AL$4="Exponential",EXP(IF(AND(ISNUMBER('Council Entry'!AL$8),ISNUMBER('Council Entry'!AL$9)),MAX(MIN('Council Entry'!AL204,'Council Entry'!AL$9),'Council Entry'!AL$8),'Council Entry'!AL204)),IF(AND(ISNUMBER('Council Entry'!AL$8),ISNUMBER('Council Entry'!AL$9)),MAX(MIN('Council Entry'!AL204,'Council Entry'!AL$9),'Council Entry'!AL$8),'Council Entry'!AL204))))-'Council Entry'!AL$5)/('Council Entry'!AL$6-'Council Entry'!AL$5),10*((IF('Council Entry'!AL$4="Logarithm",LN(0.001+IF(AND(ISNUMBER('Council Entry'!AL$8),ISNUMBER('Council Entry'!AL$9)),MAX(MIN('Council Entry'!AL204,'Council Entry'!AL$9),'Council Entry'!AL$8),'Council Entry'!AL204)),IF('Council Entry'!AL$4="Exponential",EXP(IF(AND(ISNUMBER('Council Entry'!AL$8),ISNUMBER('Council Entry'!AL$9)),MAX(MIN('Council Entry'!AL204,'Council Entry'!AL$9),'Council Entry'!AL$8),'Council Entry'!AL204)),IF(AND(ISNUMBER('Council Entry'!AL$8),ISNUMBER('Council Entry'!AL$9)),MAX(MIN('Council Entry'!AL204,'Council Entry'!AL$9),'Council Entry'!AL$8),'Council Entry'!AL204))))-'Council Entry'!AL$5)/('Council Entry'!AL$6-'Council Entry'!AL$5)),1))),"No data"))</f>
        <v/>
      </c>
      <c r="AM204" s="13">
        <f>IF('Council Entry'!AM204="","",IFERROR(MAX(0,MIN(10,ROUND(IF('Council Entry'!AM$7="Decrease Risk",10-10*((IF('Council Entry'!AM$4="Logarithm",LN(0.001+IF(AND(ISNUMBER('Council Entry'!AM$8),ISNUMBER('Council Entry'!AM$9)),MAX(MIN('Council Entry'!AM204,'Council Entry'!AM$9),'Council Entry'!AM$8),'Council Entry'!AM204)),IF('Council Entry'!AM$4="Exponential",EXP(IF(AND(ISNUMBER('Council Entry'!AM$8),ISNUMBER('Council Entry'!AM$9)),MAX(MIN('Council Entry'!AM204,'Council Entry'!AM$9),'Council Entry'!AM$8),'Council Entry'!AM204)),IF(AND(ISNUMBER('Council Entry'!AM$8),ISNUMBER('Council Entry'!AM$9)),MAX(MIN('Council Entry'!AM204,'Council Entry'!AM$9),'Council Entry'!AM$8),'Council Entry'!AM204))))-'Council Entry'!AM$5)/('Council Entry'!AM$6-'Council Entry'!AM$5),10*((IF('Council Entry'!AM$4="Logarithm",LN(0.001+IF(AND(ISNUMBER('Council Entry'!AM$8),ISNUMBER('Council Entry'!AM$9)),MAX(MIN('Council Entry'!AM204,'Council Entry'!AM$9),'Council Entry'!AM$8),'Council Entry'!AM204)),IF('Council Entry'!AM$4="Exponential",EXP(IF(AND(ISNUMBER('Council Entry'!AM$8),ISNUMBER('Council Entry'!AM$9)),MAX(MIN('Council Entry'!AM204,'Council Entry'!AM$9),'Council Entry'!AM$8),'Council Entry'!AM204)),IF(AND(ISNUMBER('Council Entry'!AM$8),ISNUMBER('Council Entry'!AM$9)),MAX(MIN('Council Entry'!AM204,'Council Entry'!AM$9),'Council Entry'!AM$8),'Council Entry'!AM204))))-'Council Entry'!AM$5)/('Council Entry'!AM$6-'Council Entry'!AM$5)),1))),"No data"))</f>
        <v/>
      </c>
      <c r="AN204" s="13">
        <f>IF('Council Entry'!AN204="","",IFERROR(MAX(0,MIN(10,ROUND(IF('Council Entry'!AN$7="Decrease Risk",10-10*((IF('Council Entry'!AN$4="Logarithm",LN(0.001+IF(AND(ISNUMBER('Council Entry'!AN$8),ISNUMBER('Council Entry'!AN$9)),MAX(MIN('Council Entry'!AN204,'Council Entry'!AN$9),'Council Entry'!AN$8),'Council Entry'!AN204)),IF('Council Entry'!AN$4="Exponential",EXP(IF(AND(ISNUMBER('Council Entry'!AN$8),ISNUMBER('Council Entry'!AN$9)),MAX(MIN('Council Entry'!AN204,'Council Entry'!AN$9),'Council Entry'!AN$8),'Council Entry'!AN204)),IF(AND(ISNUMBER('Council Entry'!AN$8),ISNUMBER('Council Entry'!AN$9)),MAX(MIN('Council Entry'!AN204,'Council Entry'!AN$9),'Council Entry'!AN$8),'Council Entry'!AN204))))-'Council Entry'!AN$5)/('Council Entry'!AN$6-'Council Entry'!AN$5),10*((IF('Council Entry'!AN$4="Logarithm",LN(0.001+IF(AND(ISNUMBER('Council Entry'!AN$8),ISNUMBER('Council Entry'!AN$9)),MAX(MIN('Council Entry'!AN204,'Council Entry'!AN$9),'Council Entry'!AN$8),'Council Entry'!AN204)),IF('Council Entry'!AN$4="Exponential",EXP(IF(AND(ISNUMBER('Council Entry'!AN$8),ISNUMBER('Council Entry'!AN$9)),MAX(MIN('Council Entry'!AN204,'Council Entry'!AN$9),'Council Entry'!AN$8),'Council Entry'!AN204)),IF(AND(ISNUMBER('Council Entry'!AN$8),ISNUMBER('Council Entry'!AN$9)),MAX(MIN('Council Entry'!AN204,'Council Entry'!AN$9),'Council Entry'!AN$8),'Council Entry'!AN204))))-'Council Entry'!AN$5)/('Council Entry'!AN$6-'Council Entry'!AN$5)),1))),"No data"))</f>
        <v/>
      </c>
      <c r="AO204" s="13">
        <f>IF('Council Entry'!AO204="","",IFERROR(MAX(0,MIN(10,ROUND(IF('Council Entry'!AO$7="Decrease Risk",10-10*((IF('Council Entry'!AO$4="Logarithm",LN(0.001+IF(AND(ISNUMBER('Council Entry'!AO$8),ISNUMBER('Council Entry'!AO$9)),MAX(MIN('Council Entry'!AO204,'Council Entry'!AO$9),'Council Entry'!AO$8),'Council Entry'!AO204)),IF('Council Entry'!AO$4="Exponential",EXP(IF(AND(ISNUMBER('Council Entry'!AO$8),ISNUMBER('Council Entry'!AO$9)),MAX(MIN('Council Entry'!AO204,'Council Entry'!AO$9),'Council Entry'!AO$8),'Council Entry'!AO204)),IF(AND(ISNUMBER('Council Entry'!AO$8),ISNUMBER('Council Entry'!AO$9)),MAX(MIN('Council Entry'!AO204,'Council Entry'!AO$9),'Council Entry'!AO$8),'Council Entry'!AO204))))-'Council Entry'!AO$5)/('Council Entry'!AO$6-'Council Entry'!AO$5),10*((IF('Council Entry'!AO$4="Logarithm",LN(0.001+IF(AND(ISNUMBER('Council Entry'!AO$8),ISNUMBER('Council Entry'!AO$9)),MAX(MIN('Council Entry'!AO204,'Council Entry'!AO$9),'Council Entry'!AO$8),'Council Entry'!AO204)),IF('Council Entry'!AO$4="Exponential",EXP(IF(AND(ISNUMBER('Council Entry'!AO$8),ISNUMBER('Council Entry'!AO$9)),MAX(MIN('Council Entry'!AO204,'Council Entry'!AO$9),'Council Entry'!AO$8),'Council Entry'!AO204)),IF(AND(ISNUMBER('Council Entry'!AO$8),ISNUMBER('Council Entry'!AO$9)),MAX(MIN('Council Entry'!AO204,'Council Entry'!AO$9),'Council Entry'!AO$8),'Council Entry'!AO204))))-'Council Entry'!AO$5)/('Council Entry'!AO$6-'Council Entry'!AO$5)),1))),"No data"))</f>
        <v/>
      </c>
      <c r="AP204" s="13">
        <f>IF('Council Entry'!AP204="","",IFERROR(MAX(0,MIN(10,ROUND(IF('Council Entry'!AP$7="Decrease Risk",10-10*((IF('Council Entry'!AP$4="Logarithm",LN(0.001+IF(AND(ISNUMBER('Council Entry'!AP$8),ISNUMBER('Council Entry'!AP$9)),MAX(MIN('Council Entry'!AP204,'Council Entry'!AP$9),'Council Entry'!AP$8),'Council Entry'!AP204)),IF('Council Entry'!AP$4="Exponential",EXP(IF(AND(ISNUMBER('Council Entry'!AP$8),ISNUMBER('Council Entry'!AP$9)),MAX(MIN('Council Entry'!AP204,'Council Entry'!AP$9),'Council Entry'!AP$8),'Council Entry'!AP204)),IF(AND(ISNUMBER('Council Entry'!AP$8),ISNUMBER('Council Entry'!AP$9)),MAX(MIN('Council Entry'!AP204,'Council Entry'!AP$9),'Council Entry'!AP$8),'Council Entry'!AP204))))-'Council Entry'!AP$5)/('Council Entry'!AP$6-'Council Entry'!AP$5),10*((IF('Council Entry'!AP$4="Logarithm",LN(0.001+IF(AND(ISNUMBER('Council Entry'!AP$8),ISNUMBER('Council Entry'!AP$9)),MAX(MIN('Council Entry'!AP204,'Council Entry'!AP$9),'Council Entry'!AP$8),'Council Entry'!AP204)),IF('Council Entry'!AP$4="Exponential",EXP(IF(AND(ISNUMBER('Council Entry'!AP$8),ISNUMBER('Council Entry'!AP$9)),MAX(MIN('Council Entry'!AP204,'Council Entry'!AP$9),'Council Entry'!AP$8),'Council Entry'!AP204)),IF(AND(ISNUMBER('Council Entry'!AP$8),ISNUMBER('Council Entry'!AP$9)),MAX(MIN('Council Entry'!AP204,'Council Entry'!AP$9),'Council Entry'!AP$8),'Council Entry'!AP204))))-'Council Entry'!AP$5)/('Council Entry'!AP$6-'Council Entry'!AP$5)),1))),"No data"))</f>
        <v/>
      </c>
      <c r="AQ204" s="13">
        <f>IF('Council Entry'!AQ204="","",IFERROR(MAX(0,MIN(10,ROUND(IF('Council Entry'!AQ$7="Decrease Risk",10-10*((IF('Council Entry'!AQ$4="Logarithm",LN(0.001+IF(AND(ISNUMBER('Council Entry'!AQ$8),ISNUMBER('Council Entry'!AQ$9)),MAX(MIN('Council Entry'!AQ204,'Council Entry'!AQ$9),'Council Entry'!AQ$8),'Council Entry'!AQ204)),IF('Council Entry'!AQ$4="Exponential",EXP(IF(AND(ISNUMBER('Council Entry'!AQ$8),ISNUMBER('Council Entry'!AQ$9)),MAX(MIN('Council Entry'!AQ204,'Council Entry'!AQ$9),'Council Entry'!AQ$8),'Council Entry'!AQ204)),IF(AND(ISNUMBER('Council Entry'!AQ$8),ISNUMBER('Council Entry'!AQ$9)),MAX(MIN('Council Entry'!AQ204,'Council Entry'!AQ$9),'Council Entry'!AQ$8),'Council Entry'!AQ204))))-'Council Entry'!AQ$5)/('Council Entry'!AQ$6-'Council Entry'!AQ$5),10*((IF('Council Entry'!AQ$4="Logarithm",LN(0.001+IF(AND(ISNUMBER('Council Entry'!AQ$8),ISNUMBER('Council Entry'!AQ$9)),MAX(MIN('Council Entry'!AQ204,'Council Entry'!AQ$9),'Council Entry'!AQ$8),'Council Entry'!AQ204)),IF('Council Entry'!AQ$4="Exponential",EXP(IF(AND(ISNUMBER('Council Entry'!AQ$8),ISNUMBER('Council Entry'!AQ$9)),MAX(MIN('Council Entry'!AQ204,'Council Entry'!AQ$9),'Council Entry'!AQ$8),'Council Entry'!AQ204)),IF(AND(ISNUMBER('Council Entry'!AQ$8),ISNUMBER('Council Entry'!AQ$9)),MAX(MIN('Council Entry'!AQ204,'Council Entry'!AQ$9),'Council Entry'!AQ$8),'Council Entry'!AQ204))))-'Council Entry'!AQ$5)/('Council Entry'!AQ$6-'Council Entry'!AQ$5)),1))),"No data"))</f>
        <v/>
      </c>
      <c r="AR204" s="13">
        <f>IF('Council Entry'!AR204="","",IFERROR(MAX(0,MIN(10,ROUND(IF('Council Entry'!AR$7="Decrease Risk",10-10*((IF('Council Entry'!AR$4="Logarithm",LN(0.001+IF(AND(ISNUMBER('Council Entry'!AR$8),ISNUMBER('Council Entry'!AR$9)),MAX(MIN('Council Entry'!AR204,'Council Entry'!AR$9),'Council Entry'!AR$8),'Council Entry'!AR204)),IF('Council Entry'!AR$4="Exponential",EXP(IF(AND(ISNUMBER('Council Entry'!AR$8),ISNUMBER('Council Entry'!AR$9)),MAX(MIN('Council Entry'!AR204,'Council Entry'!AR$9),'Council Entry'!AR$8),'Council Entry'!AR204)),IF(AND(ISNUMBER('Council Entry'!AR$8),ISNUMBER('Council Entry'!AR$9)),MAX(MIN('Council Entry'!AR204,'Council Entry'!AR$9),'Council Entry'!AR$8),'Council Entry'!AR204))))-'Council Entry'!AR$5)/('Council Entry'!AR$6-'Council Entry'!AR$5),10*((IF('Council Entry'!AR$4="Logarithm",LN(0.001+IF(AND(ISNUMBER('Council Entry'!AR$8),ISNUMBER('Council Entry'!AR$9)),MAX(MIN('Council Entry'!AR204,'Council Entry'!AR$9),'Council Entry'!AR$8),'Council Entry'!AR204)),IF('Council Entry'!AR$4="Exponential",EXP(IF(AND(ISNUMBER('Council Entry'!AR$8),ISNUMBER('Council Entry'!AR$9)),MAX(MIN('Council Entry'!AR204,'Council Entry'!AR$9),'Council Entry'!AR$8),'Council Entry'!AR204)),IF(AND(ISNUMBER('Council Entry'!AR$8),ISNUMBER('Council Entry'!AR$9)),MAX(MIN('Council Entry'!AR204,'Council Entry'!AR$9),'Council Entry'!AR$8),'Council Entry'!AR204))))-'Council Entry'!AR$5)/('Council Entry'!AR$6-'Council Entry'!AR$5)),1))),"No data"))</f>
        <v/>
      </c>
      <c r="AS204" s="13">
        <f>IF('Council Entry'!AS204="","",IFERROR(MAX(0,MIN(10,ROUND(IF('Council Entry'!AS$7="Decrease Risk",10-10*((IF('Council Entry'!AS$4="Logarithm",LN(0.001+IF(AND(ISNUMBER('Council Entry'!AS$8),ISNUMBER('Council Entry'!AS$9)),MAX(MIN('Council Entry'!AS204,'Council Entry'!AS$9),'Council Entry'!AS$8),'Council Entry'!AS204)),IF('Council Entry'!AS$4="Exponential",EXP(IF(AND(ISNUMBER('Council Entry'!AS$8),ISNUMBER('Council Entry'!AS$9)),MAX(MIN('Council Entry'!AS204,'Council Entry'!AS$9),'Council Entry'!AS$8),'Council Entry'!AS204)),IF(AND(ISNUMBER('Council Entry'!AS$8),ISNUMBER('Council Entry'!AS$9)),MAX(MIN('Council Entry'!AS204,'Council Entry'!AS$9),'Council Entry'!AS$8),'Council Entry'!AS204))))-'Council Entry'!AS$5)/('Council Entry'!AS$6-'Council Entry'!AS$5),10*((IF('Council Entry'!AS$4="Logarithm",LN(0.001+IF(AND(ISNUMBER('Council Entry'!AS$8),ISNUMBER('Council Entry'!AS$9)),MAX(MIN('Council Entry'!AS204,'Council Entry'!AS$9),'Council Entry'!AS$8),'Council Entry'!AS204)),IF('Council Entry'!AS$4="Exponential",EXP(IF(AND(ISNUMBER('Council Entry'!AS$8),ISNUMBER('Council Entry'!AS$9)),MAX(MIN('Council Entry'!AS204,'Council Entry'!AS$9),'Council Entry'!AS$8),'Council Entry'!AS204)),IF(AND(ISNUMBER('Council Entry'!AS$8),ISNUMBER('Council Entry'!AS$9)),MAX(MIN('Council Entry'!AS204,'Council Entry'!AS$9),'Council Entry'!AS$8),'Council Entry'!AS204))))-'Council Entry'!AS$5)/('Council Entry'!AS$6-'Council Entry'!AS$5)),1))),"No data"))</f>
        <v/>
      </c>
      <c r="AT204" s="13">
        <f>IF('Council Entry'!AT204="","",IFERROR(MAX(0,MIN(10,ROUND(IF('Council Entry'!AT$7="Decrease Risk",10-10*((IF('Council Entry'!AT$4="Logarithm",LN(0.001+IF(AND(ISNUMBER('Council Entry'!AT$8),ISNUMBER('Council Entry'!AT$9)),MAX(MIN('Council Entry'!AT204,'Council Entry'!AT$9),'Council Entry'!AT$8),'Council Entry'!AT204)),IF('Council Entry'!AT$4="Exponential",EXP(IF(AND(ISNUMBER('Council Entry'!AT$8),ISNUMBER('Council Entry'!AT$9)),MAX(MIN('Council Entry'!AT204,'Council Entry'!AT$9),'Council Entry'!AT$8),'Council Entry'!AT204)),IF(AND(ISNUMBER('Council Entry'!AT$8),ISNUMBER('Council Entry'!AT$9)),MAX(MIN('Council Entry'!AT204,'Council Entry'!AT$9),'Council Entry'!AT$8),'Council Entry'!AT204))))-'Council Entry'!AT$5)/('Council Entry'!AT$6-'Council Entry'!AT$5),10*((IF('Council Entry'!AT$4="Logarithm",LN(0.001+IF(AND(ISNUMBER('Council Entry'!AT$8),ISNUMBER('Council Entry'!AT$9)),MAX(MIN('Council Entry'!AT204,'Council Entry'!AT$9),'Council Entry'!AT$8),'Council Entry'!AT204)),IF('Council Entry'!AT$4="Exponential",EXP(IF(AND(ISNUMBER('Council Entry'!AT$8),ISNUMBER('Council Entry'!AT$9)),MAX(MIN('Council Entry'!AT204,'Council Entry'!AT$9),'Council Entry'!AT$8),'Council Entry'!AT204)),IF(AND(ISNUMBER('Council Entry'!AT$8),ISNUMBER('Council Entry'!AT$9)),MAX(MIN('Council Entry'!AT204,'Council Entry'!AT$9),'Council Entry'!AT$8),'Council Entry'!AT204))))-'Council Entry'!AT$5)/('Council Entry'!AT$6-'Council Entry'!AT$5)),1))),"No data"))</f>
        <v/>
      </c>
      <c r="AU204" s="13">
        <f>IF('Council Entry'!AU204="","",IFERROR(MAX(0,MIN(10,ROUND(IF('Council Entry'!AU$7="Decrease Risk",10-10*((IF('Council Entry'!AU$4="Logarithm",LN(0.001+IF(AND(ISNUMBER('Council Entry'!AU$8),ISNUMBER('Council Entry'!AU$9)),MAX(MIN('Council Entry'!AU204,'Council Entry'!AU$9),'Council Entry'!AU$8),'Council Entry'!AU204)),IF('Council Entry'!AU$4="Exponential",EXP(IF(AND(ISNUMBER('Council Entry'!AU$8),ISNUMBER('Council Entry'!AU$9)),MAX(MIN('Council Entry'!AU204,'Council Entry'!AU$9),'Council Entry'!AU$8),'Council Entry'!AU204)),IF(AND(ISNUMBER('Council Entry'!AU$8),ISNUMBER('Council Entry'!AU$9)),MAX(MIN('Council Entry'!AU204,'Council Entry'!AU$9),'Council Entry'!AU$8),'Council Entry'!AU204))))-'Council Entry'!AU$5)/('Council Entry'!AU$6-'Council Entry'!AU$5),10*((IF('Council Entry'!AU$4="Logarithm",LN(0.001+IF(AND(ISNUMBER('Council Entry'!AU$8),ISNUMBER('Council Entry'!AU$9)),MAX(MIN('Council Entry'!AU204,'Council Entry'!AU$9),'Council Entry'!AU$8),'Council Entry'!AU204)),IF('Council Entry'!AU$4="Exponential",EXP(IF(AND(ISNUMBER('Council Entry'!AU$8),ISNUMBER('Council Entry'!AU$9)),MAX(MIN('Council Entry'!AU204,'Council Entry'!AU$9),'Council Entry'!AU$8),'Council Entry'!AU204)),IF(AND(ISNUMBER('Council Entry'!AU$8),ISNUMBER('Council Entry'!AU$9)),MAX(MIN('Council Entry'!AU204,'Council Entry'!AU$9),'Council Entry'!AU$8),'Council Entry'!AU204))))-'Council Entry'!AU$5)/('Council Entry'!AU$6-'Council Entry'!AU$5)),1))),"No data"))</f>
        <v/>
      </c>
      <c r="AV204" s="13">
        <f>IF('Council Entry'!AV204="","",IFERROR(MAX(0,MIN(10,ROUND(IF('Council Entry'!AV$7="Decrease Risk",10-10*((IF('Council Entry'!AV$4="Logarithm",LN(0.001+IF(AND(ISNUMBER('Council Entry'!AV$8),ISNUMBER('Council Entry'!AV$9)),MAX(MIN('Council Entry'!AV204,'Council Entry'!AV$9),'Council Entry'!AV$8),'Council Entry'!AV204)),IF('Council Entry'!AV$4="Exponential",EXP(IF(AND(ISNUMBER('Council Entry'!AV$8),ISNUMBER('Council Entry'!AV$9)),MAX(MIN('Council Entry'!AV204,'Council Entry'!AV$9),'Council Entry'!AV$8),'Council Entry'!AV204)),IF(AND(ISNUMBER('Council Entry'!AV$8),ISNUMBER('Council Entry'!AV$9)),MAX(MIN('Council Entry'!AV204,'Council Entry'!AV$9),'Council Entry'!AV$8),'Council Entry'!AV204))))-'Council Entry'!AV$5)/('Council Entry'!AV$6-'Council Entry'!AV$5),10*((IF('Council Entry'!AV$4="Logarithm",LN(0.001+IF(AND(ISNUMBER('Council Entry'!AV$8),ISNUMBER('Council Entry'!AV$9)),MAX(MIN('Council Entry'!AV204,'Council Entry'!AV$9),'Council Entry'!AV$8),'Council Entry'!AV204)),IF('Council Entry'!AV$4="Exponential",EXP(IF(AND(ISNUMBER('Council Entry'!AV$8),ISNUMBER('Council Entry'!AV$9)),MAX(MIN('Council Entry'!AV204,'Council Entry'!AV$9),'Council Entry'!AV$8),'Council Entry'!AV204)),IF(AND(ISNUMBER('Council Entry'!AV$8),ISNUMBER('Council Entry'!AV$9)),MAX(MIN('Council Entry'!AV204,'Council Entry'!AV$9),'Council Entry'!AV$8),'Council Entry'!AV204))))-'Council Entry'!AV$5)/('Council Entry'!AV$6-'Council Entry'!AV$5)),1))),"No data"))</f>
        <v/>
      </c>
      <c r="AW204" s="13">
        <f>IF('Council Entry'!AW204="","",IFERROR(MAX(0,MIN(10,ROUND(IF('Council Entry'!AW$7="Decrease Risk",10-10*((IF('Council Entry'!AW$4="Logarithm",LN(0.001+IF(AND(ISNUMBER('Council Entry'!AW$8),ISNUMBER('Council Entry'!AW$9)),MAX(MIN('Council Entry'!AW204,'Council Entry'!AW$9),'Council Entry'!AW$8),'Council Entry'!AW204)),IF('Council Entry'!AW$4="Exponential",EXP(IF(AND(ISNUMBER('Council Entry'!AW$8),ISNUMBER('Council Entry'!AW$9)),MAX(MIN('Council Entry'!AW204,'Council Entry'!AW$9),'Council Entry'!AW$8),'Council Entry'!AW204)),IF(AND(ISNUMBER('Council Entry'!AW$8),ISNUMBER('Council Entry'!AW$9)),MAX(MIN('Council Entry'!AW204,'Council Entry'!AW$9),'Council Entry'!AW$8),'Council Entry'!AW204))))-'Council Entry'!AW$5)/('Council Entry'!AW$6-'Council Entry'!AW$5),10*((IF('Council Entry'!AW$4="Logarithm",LN(0.001+IF(AND(ISNUMBER('Council Entry'!AW$8),ISNUMBER('Council Entry'!AW$9)),MAX(MIN('Council Entry'!AW204,'Council Entry'!AW$9),'Council Entry'!AW$8),'Council Entry'!AW204)),IF('Council Entry'!AW$4="Exponential",EXP(IF(AND(ISNUMBER('Council Entry'!AW$8),ISNUMBER('Council Entry'!AW$9)),MAX(MIN('Council Entry'!AW204,'Council Entry'!AW$9),'Council Entry'!AW$8),'Council Entry'!AW204)),IF(AND(ISNUMBER('Council Entry'!AW$8),ISNUMBER('Council Entry'!AW$9)),MAX(MIN('Council Entry'!AW204,'Council Entry'!AW$9),'Council Entry'!AW$8),'Council Entry'!AW204))))-'Council Entry'!AW$5)/('Council Entry'!AW$6-'Council Entry'!AW$5)),1))),"No data"))</f>
        <v/>
      </c>
      <c r="AX204" s="13">
        <f>IF('Council Entry'!AX204="","",IFERROR(MAX(0,MIN(10,ROUND(IF('Council Entry'!AX$7="Decrease Risk",10-10*((IF('Council Entry'!AX$4="Logarithm",LN(0.001+IF(AND(ISNUMBER('Council Entry'!AX$8),ISNUMBER('Council Entry'!AX$9)),MAX(MIN('Council Entry'!AX204,'Council Entry'!AX$9),'Council Entry'!AX$8),'Council Entry'!AX204)),IF('Council Entry'!AX$4="Exponential",EXP(IF(AND(ISNUMBER('Council Entry'!AX$8),ISNUMBER('Council Entry'!AX$9)),MAX(MIN('Council Entry'!AX204,'Council Entry'!AX$9),'Council Entry'!AX$8),'Council Entry'!AX204)),IF(AND(ISNUMBER('Council Entry'!AX$8),ISNUMBER('Council Entry'!AX$9)),MAX(MIN('Council Entry'!AX204,'Council Entry'!AX$9),'Council Entry'!AX$8),'Council Entry'!AX204))))-'Council Entry'!AX$5)/('Council Entry'!AX$6-'Council Entry'!AX$5),10*((IF('Council Entry'!AX$4="Logarithm",LN(0.001+IF(AND(ISNUMBER('Council Entry'!AX$8),ISNUMBER('Council Entry'!AX$9)),MAX(MIN('Council Entry'!AX204,'Council Entry'!AX$9),'Council Entry'!AX$8),'Council Entry'!AX204)),IF('Council Entry'!AX$4="Exponential",EXP(IF(AND(ISNUMBER('Council Entry'!AX$8),ISNUMBER('Council Entry'!AX$9)),MAX(MIN('Council Entry'!AX204,'Council Entry'!AX$9),'Council Entry'!AX$8),'Council Entry'!AX204)),IF(AND(ISNUMBER('Council Entry'!AX$8),ISNUMBER('Council Entry'!AX$9)),MAX(MIN('Council Entry'!AX204,'Council Entry'!AX$9),'Council Entry'!AX$8),'Council Entry'!AX204))))-'Council Entry'!AX$5)/('Council Entry'!AX$6-'Council Entry'!AX$5)),1))),"No data"))</f>
        <v/>
      </c>
      <c r="AY204" s="13">
        <f>IF('Council Entry'!AY204="","",IFERROR(MAX(0,MIN(10,ROUND(IF('Council Entry'!AY$7="Decrease Risk",10-10*((IF('Council Entry'!AY$4="Logarithm",LN(0.001+IF(AND(ISNUMBER('Council Entry'!AY$8),ISNUMBER('Council Entry'!AY$9)),MAX(MIN('Council Entry'!AY204,'Council Entry'!AY$9),'Council Entry'!AY$8),'Council Entry'!AY204)),IF('Council Entry'!AY$4="Exponential",EXP(IF(AND(ISNUMBER('Council Entry'!AY$8),ISNUMBER('Council Entry'!AY$9)),MAX(MIN('Council Entry'!AY204,'Council Entry'!AY$9),'Council Entry'!AY$8),'Council Entry'!AY204)),IF(AND(ISNUMBER('Council Entry'!AY$8),ISNUMBER('Council Entry'!AY$9)),MAX(MIN('Council Entry'!AY204,'Council Entry'!AY$9),'Council Entry'!AY$8),'Council Entry'!AY204))))-'Council Entry'!AY$5)/('Council Entry'!AY$6-'Council Entry'!AY$5),10*((IF('Council Entry'!AY$4="Logarithm",LN(0.001+IF(AND(ISNUMBER('Council Entry'!AY$8),ISNUMBER('Council Entry'!AY$9)),MAX(MIN('Council Entry'!AY204,'Council Entry'!AY$9),'Council Entry'!AY$8),'Council Entry'!AY204)),IF('Council Entry'!AY$4="Exponential",EXP(IF(AND(ISNUMBER('Council Entry'!AY$8),ISNUMBER('Council Entry'!AY$9)),MAX(MIN('Council Entry'!AY204,'Council Entry'!AY$9),'Council Entry'!AY$8),'Council Entry'!AY204)),IF(AND(ISNUMBER('Council Entry'!AY$8),ISNUMBER('Council Entry'!AY$9)),MAX(MIN('Council Entry'!AY204,'Council Entry'!AY$9),'Council Entry'!AY$8),'Council Entry'!AY204))))-'Council Entry'!AY$5)/('Council Entry'!AY$6-'Council Entry'!AY$5)),1))),"No data"))</f>
        <v/>
      </c>
      <c r="AZ204" s="13">
        <f>IF('Council Entry'!AZ204="","",IFERROR(MAX(0,MIN(10,ROUND(IF('Council Entry'!AZ$7="Decrease Risk",10-10*((IF('Council Entry'!AZ$4="Logarithm",LN(0.001+IF(AND(ISNUMBER('Council Entry'!AZ$8),ISNUMBER('Council Entry'!AZ$9)),MAX(MIN('Council Entry'!AZ204,'Council Entry'!AZ$9),'Council Entry'!AZ$8),'Council Entry'!AZ204)),IF('Council Entry'!AZ$4="Exponential",EXP(IF(AND(ISNUMBER('Council Entry'!AZ$8),ISNUMBER('Council Entry'!AZ$9)),MAX(MIN('Council Entry'!AZ204,'Council Entry'!AZ$9),'Council Entry'!AZ$8),'Council Entry'!AZ204)),IF(AND(ISNUMBER('Council Entry'!AZ$8),ISNUMBER('Council Entry'!AZ$9)),MAX(MIN('Council Entry'!AZ204,'Council Entry'!AZ$9),'Council Entry'!AZ$8),'Council Entry'!AZ204))))-'Council Entry'!AZ$5)/('Council Entry'!AZ$6-'Council Entry'!AZ$5),10*((IF('Council Entry'!AZ$4="Logarithm",LN(0.001+IF(AND(ISNUMBER('Council Entry'!AZ$8),ISNUMBER('Council Entry'!AZ$9)),MAX(MIN('Council Entry'!AZ204,'Council Entry'!AZ$9),'Council Entry'!AZ$8),'Council Entry'!AZ204)),IF('Council Entry'!AZ$4="Exponential",EXP(IF(AND(ISNUMBER('Council Entry'!AZ$8),ISNUMBER('Council Entry'!AZ$9)),MAX(MIN('Council Entry'!AZ204,'Council Entry'!AZ$9),'Council Entry'!AZ$8),'Council Entry'!AZ204)),IF(AND(ISNUMBER('Council Entry'!AZ$8),ISNUMBER('Council Entry'!AZ$9)),MAX(MIN('Council Entry'!AZ204,'Council Entry'!AZ$9),'Council Entry'!AZ$8),'Council Entry'!AZ204))))-'Council Entry'!AZ$5)/('Council Entry'!AZ$6-'Council Entry'!AZ$5)),1))),"No data"))</f>
        <v/>
      </c>
      <c r="BA204" s="13">
        <f>IF('Council Entry'!BA204="","",IFERROR(MAX(0,MIN(10,ROUND(IF('Council Entry'!BA$7="Decrease Risk",10-10*((IF('Council Entry'!BA$4="Logarithm",LN(0.001+IF(AND(ISNUMBER('Council Entry'!BA$8),ISNUMBER('Council Entry'!BA$9)),MAX(MIN('Council Entry'!BA204,'Council Entry'!BA$9),'Council Entry'!BA$8),'Council Entry'!BA204)),IF('Council Entry'!BA$4="Exponential",EXP(IF(AND(ISNUMBER('Council Entry'!BA$8),ISNUMBER('Council Entry'!BA$9)),MAX(MIN('Council Entry'!BA204,'Council Entry'!BA$9),'Council Entry'!BA$8),'Council Entry'!BA204)),IF(AND(ISNUMBER('Council Entry'!BA$8),ISNUMBER('Council Entry'!BA$9)),MAX(MIN('Council Entry'!BA204,'Council Entry'!BA$9),'Council Entry'!BA$8),'Council Entry'!BA204))))-'Council Entry'!BA$5)/('Council Entry'!BA$6-'Council Entry'!BA$5),10*((IF('Council Entry'!BA$4="Logarithm",LN(0.001+IF(AND(ISNUMBER('Council Entry'!BA$8),ISNUMBER('Council Entry'!BA$9)),MAX(MIN('Council Entry'!BA204,'Council Entry'!BA$9),'Council Entry'!BA$8),'Council Entry'!BA204)),IF('Council Entry'!BA$4="Exponential",EXP(IF(AND(ISNUMBER('Council Entry'!BA$8),ISNUMBER('Council Entry'!BA$9)),MAX(MIN('Council Entry'!BA204,'Council Entry'!BA$9),'Council Entry'!BA$8),'Council Entry'!BA204)),IF(AND(ISNUMBER('Council Entry'!BA$8),ISNUMBER('Council Entry'!BA$9)),MAX(MIN('Council Entry'!BA204,'Council Entry'!BA$9),'Council Entry'!BA$8),'Council Entry'!BA204))))-'Council Entry'!BA$5)/('Council Entry'!BA$6-'Council Entry'!BA$5)),1))),"No data"))</f>
        <v/>
      </c>
      <c r="BB204" s="13">
        <f>IF('Council Entry'!BB204="","",IFERROR(MAX(0,MIN(10,ROUND(IF('Council Entry'!BB$7="Decrease Risk",10-10*((IF('Council Entry'!BB$4="Logarithm",LN(0.001+IF(AND(ISNUMBER('Council Entry'!BB$8),ISNUMBER('Council Entry'!BB$9)),MAX(MIN('Council Entry'!BB204,'Council Entry'!BB$9),'Council Entry'!BB$8),'Council Entry'!BB204)),IF('Council Entry'!BB$4="Exponential",EXP(IF(AND(ISNUMBER('Council Entry'!BB$8),ISNUMBER('Council Entry'!BB$9)),MAX(MIN('Council Entry'!BB204,'Council Entry'!BB$9),'Council Entry'!BB$8),'Council Entry'!BB204)),IF(AND(ISNUMBER('Council Entry'!BB$8),ISNUMBER('Council Entry'!BB$9)),MAX(MIN('Council Entry'!BB204,'Council Entry'!BB$9),'Council Entry'!BB$8),'Council Entry'!BB204))))-'Council Entry'!BB$5)/('Council Entry'!BB$6-'Council Entry'!BB$5),10*((IF('Council Entry'!BB$4="Logarithm",LN(0.001+IF(AND(ISNUMBER('Council Entry'!BB$8),ISNUMBER('Council Entry'!BB$9)),MAX(MIN('Council Entry'!BB204,'Council Entry'!BB$9),'Council Entry'!BB$8),'Council Entry'!BB204)),IF('Council Entry'!BB$4="Exponential",EXP(IF(AND(ISNUMBER('Council Entry'!BB$8),ISNUMBER('Council Entry'!BB$9)),MAX(MIN('Council Entry'!BB204,'Council Entry'!BB$9),'Council Entry'!BB$8),'Council Entry'!BB204)),IF(AND(ISNUMBER('Council Entry'!BB$8),ISNUMBER('Council Entry'!BB$9)),MAX(MIN('Council Entry'!BB204,'Council Entry'!BB$9),'Council Entry'!BB$8),'Council Entry'!BB204))))-'Council Entry'!BB$5)/('Council Entry'!BB$6-'Council Entry'!BB$5)),1))),"No data"))</f>
        <v/>
      </c>
      <c r="BC204" s="13">
        <f>IF('Council Entry'!BC204="","",IFERROR(MAX(0,MIN(10,ROUND(IF('Council Entry'!BC$7="Decrease Risk",10-10*((IF('Council Entry'!BC$4="Logarithm",LN(0.001+IF(AND(ISNUMBER('Council Entry'!BC$8),ISNUMBER('Council Entry'!BC$9)),MAX(MIN('Council Entry'!BC204,'Council Entry'!BC$9),'Council Entry'!BC$8),'Council Entry'!BC204)),IF('Council Entry'!BC$4="Exponential",EXP(IF(AND(ISNUMBER('Council Entry'!BC$8),ISNUMBER('Council Entry'!BC$9)),MAX(MIN('Council Entry'!BC204,'Council Entry'!BC$9),'Council Entry'!BC$8),'Council Entry'!BC204)),IF(AND(ISNUMBER('Council Entry'!BC$8),ISNUMBER('Council Entry'!BC$9)),MAX(MIN('Council Entry'!BC204,'Council Entry'!BC$9),'Council Entry'!BC$8),'Council Entry'!BC204))))-'Council Entry'!BC$5)/('Council Entry'!BC$6-'Council Entry'!BC$5),10*((IF('Council Entry'!BC$4="Logarithm",LN(0.001+IF(AND(ISNUMBER('Council Entry'!BC$8),ISNUMBER('Council Entry'!BC$9)),MAX(MIN('Council Entry'!BC204,'Council Entry'!BC$9),'Council Entry'!BC$8),'Council Entry'!BC204)),IF('Council Entry'!BC$4="Exponential",EXP(IF(AND(ISNUMBER('Council Entry'!BC$8),ISNUMBER('Council Entry'!BC$9)),MAX(MIN('Council Entry'!BC204,'Council Entry'!BC$9),'Council Entry'!BC$8),'Council Entry'!BC204)),IF(AND(ISNUMBER('Council Entry'!BC$8),ISNUMBER('Council Entry'!BC$9)),MAX(MIN('Council Entry'!BC204,'Council Entry'!BC$9),'Council Entry'!BC$8),'Council Entry'!BC204))))-'Council Entry'!BC$5)/('Council Entry'!BC$6-'Council Entry'!BC$5)),1))),"No data"))</f>
        <v/>
      </c>
      <c r="BD204" s="13">
        <f>IF('Council Entry'!BD204="","",IFERROR(MAX(0,MIN(10,ROUND(IF('Council Entry'!BD$7="Decrease Risk",10-10*((IF('Council Entry'!BD$4="Logarithm",LN(0.001+IF(AND(ISNUMBER('Council Entry'!BD$8),ISNUMBER('Council Entry'!BD$9)),MAX(MIN('Council Entry'!BD204,'Council Entry'!BD$9),'Council Entry'!BD$8),'Council Entry'!BD204)),IF('Council Entry'!BD$4="Exponential",EXP(IF(AND(ISNUMBER('Council Entry'!BD$8),ISNUMBER('Council Entry'!BD$9)),MAX(MIN('Council Entry'!BD204,'Council Entry'!BD$9),'Council Entry'!BD$8),'Council Entry'!BD204)),IF(AND(ISNUMBER('Council Entry'!BD$8),ISNUMBER('Council Entry'!BD$9)),MAX(MIN('Council Entry'!BD204,'Council Entry'!BD$9),'Council Entry'!BD$8),'Council Entry'!BD204))))-'Council Entry'!BD$5)/('Council Entry'!BD$6-'Council Entry'!BD$5),10*((IF('Council Entry'!BD$4="Logarithm",LN(0.001+IF(AND(ISNUMBER('Council Entry'!BD$8),ISNUMBER('Council Entry'!BD$9)),MAX(MIN('Council Entry'!BD204,'Council Entry'!BD$9),'Council Entry'!BD$8),'Council Entry'!BD204)),IF('Council Entry'!BD$4="Exponential",EXP(IF(AND(ISNUMBER('Council Entry'!BD$8),ISNUMBER('Council Entry'!BD$9)),MAX(MIN('Council Entry'!BD204,'Council Entry'!BD$9),'Council Entry'!BD$8),'Council Entry'!BD204)),IF(AND(ISNUMBER('Council Entry'!BD$8),ISNUMBER('Council Entry'!BD$9)),MAX(MIN('Council Entry'!BD204,'Council Entry'!BD$9),'Council Entry'!BD$8),'Council Entry'!BD204))))-'Council Entry'!BD$5)/('Council Entry'!BD$6-'Council Entry'!BD$5)),1))),"No data"))</f>
        <v/>
      </c>
    </row>
    <row r="205">
      <c r="A205" t="inlineStr">
        <is>
          <t>Tanga</t>
        </is>
      </c>
      <c r="B205" t="inlineStr">
        <is>
          <t>Tanga City</t>
        </is>
      </c>
      <c r="C205" t="inlineStr">
        <is>
          <t>C028</t>
        </is>
      </c>
      <c r="D205" s="13">
        <f>IF('Council Entry'!D205="","",IFERROR(MAX(0,MIN(10,ROUND(IF('Council Entry'!D$7="Decrease Risk",10-10*((IF('Council Entry'!D$4="Logarithm",LN(0.001+IF(AND(ISNUMBER('Council Entry'!D$8),ISNUMBER('Council Entry'!D$9)),MAX(MIN('Council Entry'!D205,'Council Entry'!D$9),'Council Entry'!D$8),'Council Entry'!D205)),IF('Council Entry'!D$4="Exponential",EXP(IF(AND(ISNUMBER('Council Entry'!D$8),ISNUMBER('Council Entry'!D$9)),MAX(MIN('Council Entry'!D205,'Council Entry'!D$9),'Council Entry'!D$8),'Council Entry'!D205)),IF(AND(ISNUMBER('Council Entry'!D$8),ISNUMBER('Council Entry'!D$9)),MAX(MIN('Council Entry'!D205,'Council Entry'!D$9),'Council Entry'!D$8),'Council Entry'!D205))))-'Council Entry'!D$5)/('Council Entry'!D$6-'Council Entry'!D$5),10*((IF('Council Entry'!D$4="Logarithm",LN(0.001+IF(AND(ISNUMBER('Council Entry'!D$8),ISNUMBER('Council Entry'!D$9)),MAX(MIN('Council Entry'!D205,'Council Entry'!D$9),'Council Entry'!D$8),'Council Entry'!D205)),IF('Council Entry'!D$4="Exponential",EXP(IF(AND(ISNUMBER('Council Entry'!D$8),ISNUMBER('Council Entry'!D$9)),MAX(MIN('Council Entry'!D205,'Council Entry'!D$9),'Council Entry'!D$8),'Council Entry'!D205)),IF(AND(ISNUMBER('Council Entry'!D$8),ISNUMBER('Council Entry'!D$9)),MAX(MIN('Council Entry'!D205,'Council Entry'!D$9),'Council Entry'!D$8),'Council Entry'!D205))))-'Council Entry'!D$5)/('Council Entry'!D$6-'Council Entry'!D$5)),1))),"No data"))</f>
        <v/>
      </c>
      <c r="E205" s="13">
        <f>IF('Council Entry'!E205="","",IFERROR(MAX(0,MIN(10,ROUND(IF('Council Entry'!E$7="Decrease Risk",10-10*((IF('Council Entry'!E$4="Logarithm",LN(0.001+IF(AND(ISNUMBER('Council Entry'!E$8),ISNUMBER('Council Entry'!E$9)),MAX(MIN('Council Entry'!E205,'Council Entry'!E$9),'Council Entry'!E$8),'Council Entry'!E205)),IF('Council Entry'!E$4="Exponential",EXP(IF(AND(ISNUMBER('Council Entry'!E$8),ISNUMBER('Council Entry'!E$9)),MAX(MIN('Council Entry'!E205,'Council Entry'!E$9),'Council Entry'!E$8),'Council Entry'!E205)),IF(AND(ISNUMBER('Council Entry'!E$8),ISNUMBER('Council Entry'!E$9)),MAX(MIN('Council Entry'!E205,'Council Entry'!E$9),'Council Entry'!E$8),'Council Entry'!E205))))-'Council Entry'!E$5)/('Council Entry'!E$6-'Council Entry'!E$5),10*((IF('Council Entry'!E$4="Logarithm",LN(0.001+IF(AND(ISNUMBER('Council Entry'!E$8),ISNUMBER('Council Entry'!E$9)),MAX(MIN('Council Entry'!E205,'Council Entry'!E$9),'Council Entry'!E$8),'Council Entry'!E205)),IF('Council Entry'!E$4="Exponential",EXP(IF(AND(ISNUMBER('Council Entry'!E$8),ISNUMBER('Council Entry'!E$9)),MAX(MIN('Council Entry'!E205,'Council Entry'!E$9),'Council Entry'!E$8),'Council Entry'!E205)),IF(AND(ISNUMBER('Council Entry'!E$8),ISNUMBER('Council Entry'!E$9)),MAX(MIN('Council Entry'!E205,'Council Entry'!E$9),'Council Entry'!E$8),'Council Entry'!E205))))-'Council Entry'!E$5)/('Council Entry'!E$6-'Council Entry'!E$5)),1))),"No data"))</f>
        <v/>
      </c>
      <c r="F205" s="13">
        <f>IF('Council Entry'!F205="","",IFERROR(MAX(0,MIN(10,ROUND(IF('Council Entry'!F$7="Decrease Risk",10-10*((IF('Council Entry'!F$4="Logarithm",LN(0.001+IF(AND(ISNUMBER('Council Entry'!F$8),ISNUMBER('Council Entry'!F$9)),MAX(MIN('Council Entry'!F205,'Council Entry'!F$9),'Council Entry'!F$8),'Council Entry'!F205)),IF('Council Entry'!F$4="Exponential",EXP(IF(AND(ISNUMBER('Council Entry'!F$8),ISNUMBER('Council Entry'!F$9)),MAX(MIN('Council Entry'!F205,'Council Entry'!F$9),'Council Entry'!F$8),'Council Entry'!F205)),IF(AND(ISNUMBER('Council Entry'!F$8),ISNUMBER('Council Entry'!F$9)),MAX(MIN('Council Entry'!F205,'Council Entry'!F$9),'Council Entry'!F$8),'Council Entry'!F205))))-'Council Entry'!F$5)/('Council Entry'!F$6-'Council Entry'!F$5),10*((IF('Council Entry'!F$4="Logarithm",LN(0.001+IF(AND(ISNUMBER('Council Entry'!F$8),ISNUMBER('Council Entry'!F$9)),MAX(MIN('Council Entry'!F205,'Council Entry'!F$9),'Council Entry'!F$8),'Council Entry'!F205)),IF('Council Entry'!F$4="Exponential",EXP(IF(AND(ISNUMBER('Council Entry'!F$8),ISNUMBER('Council Entry'!F$9)),MAX(MIN('Council Entry'!F205,'Council Entry'!F$9),'Council Entry'!F$8),'Council Entry'!F205)),IF(AND(ISNUMBER('Council Entry'!F$8),ISNUMBER('Council Entry'!F$9)),MAX(MIN('Council Entry'!F205,'Council Entry'!F$9),'Council Entry'!F$8),'Council Entry'!F205))))-'Council Entry'!F$5)/('Council Entry'!F$6-'Council Entry'!F$5)),1))),"No data"))</f>
        <v/>
      </c>
      <c r="G205" s="13">
        <f>IF('Council Entry'!G205="","",IFERROR(MAX(0,MIN(10,ROUND(IF('Council Entry'!G$7="Decrease Risk",10-10*((IF('Council Entry'!G$4="Logarithm",LN(0.001+IF(AND(ISNUMBER('Council Entry'!G$8),ISNUMBER('Council Entry'!G$9)),MAX(MIN('Council Entry'!G205,'Council Entry'!G$9),'Council Entry'!G$8),'Council Entry'!G205)),IF('Council Entry'!G$4="Exponential",EXP(IF(AND(ISNUMBER('Council Entry'!G$8),ISNUMBER('Council Entry'!G$9)),MAX(MIN('Council Entry'!G205,'Council Entry'!G$9),'Council Entry'!G$8),'Council Entry'!G205)),IF(AND(ISNUMBER('Council Entry'!G$8),ISNUMBER('Council Entry'!G$9)),MAX(MIN('Council Entry'!G205,'Council Entry'!G$9),'Council Entry'!G$8),'Council Entry'!G205))))-'Council Entry'!G$5)/('Council Entry'!G$6-'Council Entry'!G$5),10*((IF('Council Entry'!G$4="Logarithm",LN(0.001+IF(AND(ISNUMBER('Council Entry'!G$8),ISNUMBER('Council Entry'!G$9)),MAX(MIN('Council Entry'!G205,'Council Entry'!G$9),'Council Entry'!G$8),'Council Entry'!G205)),IF('Council Entry'!G$4="Exponential",EXP(IF(AND(ISNUMBER('Council Entry'!G$8),ISNUMBER('Council Entry'!G$9)),MAX(MIN('Council Entry'!G205,'Council Entry'!G$9),'Council Entry'!G$8),'Council Entry'!G205)),IF(AND(ISNUMBER('Council Entry'!G$8),ISNUMBER('Council Entry'!G$9)),MAX(MIN('Council Entry'!G205,'Council Entry'!G$9),'Council Entry'!G$8),'Council Entry'!G205))))-'Council Entry'!G$5)/('Council Entry'!G$6-'Council Entry'!G$5)),1))),"No data"))</f>
        <v/>
      </c>
      <c r="H205" s="13">
        <f>IF('Council Entry'!H205="","",IFERROR(MAX(0,MIN(10,ROUND(IF('Council Entry'!H$7="Decrease Risk",10-10*((IF('Council Entry'!H$4="Logarithm",LN(0.001+IF(AND(ISNUMBER('Council Entry'!H$8),ISNUMBER('Council Entry'!H$9)),MAX(MIN('Council Entry'!H205,'Council Entry'!H$9),'Council Entry'!H$8),'Council Entry'!H205)),IF('Council Entry'!H$4="Exponential",EXP(IF(AND(ISNUMBER('Council Entry'!H$8),ISNUMBER('Council Entry'!H$9)),MAX(MIN('Council Entry'!H205,'Council Entry'!H$9),'Council Entry'!H$8),'Council Entry'!H205)),IF(AND(ISNUMBER('Council Entry'!H$8),ISNUMBER('Council Entry'!H$9)),MAX(MIN('Council Entry'!H205,'Council Entry'!H$9),'Council Entry'!H$8),'Council Entry'!H205))))-'Council Entry'!H$5)/('Council Entry'!H$6-'Council Entry'!H$5),10*((IF('Council Entry'!H$4="Logarithm",LN(0.001+IF(AND(ISNUMBER('Council Entry'!H$8),ISNUMBER('Council Entry'!H$9)),MAX(MIN('Council Entry'!H205,'Council Entry'!H$9),'Council Entry'!H$8),'Council Entry'!H205)),IF('Council Entry'!H$4="Exponential",EXP(IF(AND(ISNUMBER('Council Entry'!H$8),ISNUMBER('Council Entry'!H$9)),MAX(MIN('Council Entry'!H205,'Council Entry'!H$9),'Council Entry'!H$8),'Council Entry'!H205)),IF(AND(ISNUMBER('Council Entry'!H$8),ISNUMBER('Council Entry'!H$9)),MAX(MIN('Council Entry'!H205,'Council Entry'!H$9),'Council Entry'!H$8),'Council Entry'!H205))))-'Council Entry'!H$5)/('Council Entry'!H$6-'Council Entry'!H$5)),1))),"No data"))</f>
        <v/>
      </c>
      <c r="I205" s="13">
        <f>IF('Council Entry'!I205="","",IFERROR(MAX(0,MIN(10,ROUND(IF('Council Entry'!I$7="Decrease Risk",10-10*((IF('Council Entry'!I$4="Logarithm",LN(0.001+IF(AND(ISNUMBER('Council Entry'!I$8),ISNUMBER('Council Entry'!I$9)),MAX(MIN('Council Entry'!I205,'Council Entry'!I$9),'Council Entry'!I$8),'Council Entry'!I205)),IF('Council Entry'!I$4="Exponential",EXP(IF(AND(ISNUMBER('Council Entry'!I$8),ISNUMBER('Council Entry'!I$9)),MAX(MIN('Council Entry'!I205,'Council Entry'!I$9),'Council Entry'!I$8),'Council Entry'!I205)),IF(AND(ISNUMBER('Council Entry'!I$8),ISNUMBER('Council Entry'!I$9)),MAX(MIN('Council Entry'!I205,'Council Entry'!I$9),'Council Entry'!I$8),'Council Entry'!I205))))-'Council Entry'!I$5)/('Council Entry'!I$6-'Council Entry'!I$5),10*((IF('Council Entry'!I$4="Logarithm",LN(0.001+IF(AND(ISNUMBER('Council Entry'!I$8),ISNUMBER('Council Entry'!I$9)),MAX(MIN('Council Entry'!I205,'Council Entry'!I$9),'Council Entry'!I$8),'Council Entry'!I205)),IF('Council Entry'!I$4="Exponential",EXP(IF(AND(ISNUMBER('Council Entry'!I$8),ISNUMBER('Council Entry'!I$9)),MAX(MIN('Council Entry'!I205,'Council Entry'!I$9),'Council Entry'!I$8),'Council Entry'!I205)),IF(AND(ISNUMBER('Council Entry'!I$8),ISNUMBER('Council Entry'!I$9)),MAX(MIN('Council Entry'!I205,'Council Entry'!I$9),'Council Entry'!I$8),'Council Entry'!I205))))-'Council Entry'!I$5)/('Council Entry'!I$6-'Council Entry'!I$5)),1))),"No data"))</f>
        <v/>
      </c>
      <c r="J205" s="13">
        <f>IF('Council Entry'!J205="","",IFERROR(MAX(0,MIN(10,ROUND(IF('Council Entry'!J$7="Decrease Risk",10-10*((IF('Council Entry'!J$4="Logarithm",LN(0.001+IF(AND(ISNUMBER('Council Entry'!J$8),ISNUMBER('Council Entry'!J$9)),MAX(MIN('Council Entry'!J205,'Council Entry'!J$9),'Council Entry'!J$8),'Council Entry'!J205)),IF('Council Entry'!J$4="Exponential",EXP(IF(AND(ISNUMBER('Council Entry'!J$8),ISNUMBER('Council Entry'!J$9)),MAX(MIN('Council Entry'!J205,'Council Entry'!J$9),'Council Entry'!J$8),'Council Entry'!J205)),IF(AND(ISNUMBER('Council Entry'!J$8),ISNUMBER('Council Entry'!J$9)),MAX(MIN('Council Entry'!J205,'Council Entry'!J$9),'Council Entry'!J$8),'Council Entry'!J205))))-'Council Entry'!J$5)/('Council Entry'!J$6-'Council Entry'!J$5),10*((IF('Council Entry'!J$4="Logarithm",LN(0.001+IF(AND(ISNUMBER('Council Entry'!J$8),ISNUMBER('Council Entry'!J$9)),MAX(MIN('Council Entry'!J205,'Council Entry'!J$9),'Council Entry'!J$8),'Council Entry'!J205)),IF('Council Entry'!J$4="Exponential",EXP(IF(AND(ISNUMBER('Council Entry'!J$8),ISNUMBER('Council Entry'!J$9)),MAX(MIN('Council Entry'!J205,'Council Entry'!J$9),'Council Entry'!J$8),'Council Entry'!J205)),IF(AND(ISNUMBER('Council Entry'!J$8),ISNUMBER('Council Entry'!J$9)),MAX(MIN('Council Entry'!J205,'Council Entry'!J$9),'Council Entry'!J$8),'Council Entry'!J205))))-'Council Entry'!J$5)/('Council Entry'!J$6-'Council Entry'!J$5)),1))),"No data"))</f>
        <v/>
      </c>
      <c r="K205" s="13">
        <f>IF('Council Entry'!K205="","",IFERROR(MAX(0,MIN(10,ROUND(IF('Council Entry'!K$7="Decrease Risk",10-10*((IF('Council Entry'!K$4="Logarithm",LN(0.001+IF(AND(ISNUMBER('Council Entry'!K$8),ISNUMBER('Council Entry'!K$9)),MAX(MIN('Council Entry'!K205,'Council Entry'!K$9),'Council Entry'!K$8),'Council Entry'!K205)),IF('Council Entry'!K$4="Exponential",EXP(IF(AND(ISNUMBER('Council Entry'!K$8),ISNUMBER('Council Entry'!K$9)),MAX(MIN('Council Entry'!K205,'Council Entry'!K$9),'Council Entry'!K$8),'Council Entry'!K205)),IF(AND(ISNUMBER('Council Entry'!K$8),ISNUMBER('Council Entry'!K$9)),MAX(MIN('Council Entry'!K205,'Council Entry'!K$9),'Council Entry'!K$8),'Council Entry'!K205))))-'Council Entry'!K$5)/('Council Entry'!K$6-'Council Entry'!K$5),10*((IF('Council Entry'!K$4="Logarithm",LN(0.001+IF(AND(ISNUMBER('Council Entry'!K$8),ISNUMBER('Council Entry'!K$9)),MAX(MIN('Council Entry'!K205,'Council Entry'!K$9),'Council Entry'!K$8),'Council Entry'!K205)),IF('Council Entry'!K$4="Exponential",EXP(IF(AND(ISNUMBER('Council Entry'!K$8),ISNUMBER('Council Entry'!K$9)),MAX(MIN('Council Entry'!K205,'Council Entry'!K$9),'Council Entry'!K$8),'Council Entry'!K205)),IF(AND(ISNUMBER('Council Entry'!K$8),ISNUMBER('Council Entry'!K$9)),MAX(MIN('Council Entry'!K205,'Council Entry'!K$9),'Council Entry'!K$8),'Council Entry'!K205))))-'Council Entry'!K$5)/('Council Entry'!K$6-'Council Entry'!K$5)),1))),"No data"))</f>
        <v/>
      </c>
      <c r="L205" s="13">
        <f>IF('Council Entry'!L205="","",IFERROR(MAX(0,MIN(10,ROUND(IF('Council Entry'!L$7="Decrease Risk",10-10*((IF('Council Entry'!L$4="Logarithm",LN(0.001+IF(AND(ISNUMBER('Council Entry'!L$8),ISNUMBER('Council Entry'!L$9)),MAX(MIN('Council Entry'!L205,'Council Entry'!L$9),'Council Entry'!L$8),'Council Entry'!L205)),IF('Council Entry'!L$4="Exponential",EXP(IF(AND(ISNUMBER('Council Entry'!L$8),ISNUMBER('Council Entry'!L$9)),MAX(MIN('Council Entry'!L205,'Council Entry'!L$9),'Council Entry'!L$8),'Council Entry'!L205)),IF(AND(ISNUMBER('Council Entry'!L$8),ISNUMBER('Council Entry'!L$9)),MAX(MIN('Council Entry'!L205,'Council Entry'!L$9),'Council Entry'!L$8),'Council Entry'!L205))))-'Council Entry'!L$5)/('Council Entry'!L$6-'Council Entry'!L$5),10*((IF('Council Entry'!L$4="Logarithm",LN(0.001+IF(AND(ISNUMBER('Council Entry'!L$8),ISNUMBER('Council Entry'!L$9)),MAX(MIN('Council Entry'!L205,'Council Entry'!L$9),'Council Entry'!L$8),'Council Entry'!L205)),IF('Council Entry'!L$4="Exponential",EXP(IF(AND(ISNUMBER('Council Entry'!L$8),ISNUMBER('Council Entry'!L$9)),MAX(MIN('Council Entry'!L205,'Council Entry'!L$9),'Council Entry'!L$8),'Council Entry'!L205)),IF(AND(ISNUMBER('Council Entry'!L$8),ISNUMBER('Council Entry'!L$9)),MAX(MIN('Council Entry'!L205,'Council Entry'!L$9),'Council Entry'!L$8),'Council Entry'!L205))))-'Council Entry'!L$5)/('Council Entry'!L$6-'Council Entry'!L$5)),1))),"No data"))</f>
        <v/>
      </c>
      <c r="M205" s="13">
        <f>IF('Council Entry'!M205="","",IFERROR(MAX(0,MIN(10,ROUND(IF('Council Entry'!M$7="Decrease Risk",10-10*((IF('Council Entry'!M$4="Logarithm",LN(0.001+IF(AND(ISNUMBER('Council Entry'!M$8),ISNUMBER('Council Entry'!M$9)),MAX(MIN('Council Entry'!M205,'Council Entry'!M$9),'Council Entry'!M$8),'Council Entry'!M205)),IF('Council Entry'!M$4="Exponential",EXP(IF(AND(ISNUMBER('Council Entry'!M$8),ISNUMBER('Council Entry'!M$9)),MAX(MIN('Council Entry'!M205,'Council Entry'!M$9),'Council Entry'!M$8),'Council Entry'!M205)),IF(AND(ISNUMBER('Council Entry'!M$8),ISNUMBER('Council Entry'!M$9)),MAX(MIN('Council Entry'!M205,'Council Entry'!M$9),'Council Entry'!M$8),'Council Entry'!M205))))-'Council Entry'!M$5)/('Council Entry'!M$6-'Council Entry'!M$5),10*((IF('Council Entry'!M$4="Logarithm",LN(0.001+IF(AND(ISNUMBER('Council Entry'!M$8),ISNUMBER('Council Entry'!M$9)),MAX(MIN('Council Entry'!M205,'Council Entry'!M$9),'Council Entry'!M$8),'Council Entry'!M205)),IF('Council Entry'!M$4="Exponential",EXP(IF(AND(ISNUMBER('Council Entry'!M$8),ISNUMBER('Council Entry'!M$9)),MAX(MIN('Council Entry'!M205,'Council Entry'!M$9),'Council Entry'!M$8),'Council Entry'!M205)),IF(AND(ISNUMBER('Council Entry'!M$8),ISNUMBER('Council Entry'!M$9)),MAX(MIN('Council Entry'!M205,'Council Entry'!M$9),'Council Entry'!M$8),'Council Entry'!M205))))-'Council Entry'!M$5)/('Council Entry'!M$6-'Council Entry'!M$5)),1))),"No data"))</f>
        <v/>
      </c>
      <c r="N205" s="13">
        <f>IF('Council Entry'!N205="","",IFERROR(MAX(0,MIN(10,ROUND(IF('Council Entry'!N$7="Decrease Risk",10-10*((IF('Council Entry'!N$4="Logarithm",LN(0.001+IF(AND(ISNUMBER('Council Entry'!N$8),ISNUMBER('Council Entry'!N$9)),MAX(MIN('Council Entry'!N205,'Council Entry'!N$9),'Council Entry'!N$8),'Council Entry'!N205)),IF('Council Entry'!N$4="Exponential",EXP(IF(AND(ISNUMBER('Council Entry'!N$8),ISNUMBER('Council Entry'!N$9)),MAX(MIN('Council Entry'!N205,'Council Entry'!N$9),'Council Entry'!N$8),'Council Entry'!N205)),IF(AND(ISNUMBER('Council Entry'!N$8),ISNUMBER('Council Entry'!N$9)),MAX(MIN('Council Entry'!N205,'Council Entry'!N$9),'Council Entry'!N$8),'Council Entry'!N205))))-'Council Entry'!N$5)/('Council Entry'!N$6-'Council Entry'!N$5),10*((IF('Council Entry'!N$4="Logarithm",LN(0.001+IF(AND(ISNUMBER('Council Entry'!N$8),ISNUMBER('Council Entry'!N$9)),MAX(MIN('Council Entry'!N205,'Council Entry'!N$9),'Council Entry'!N$8),'Council Entry'!N205)),IF('Council Entry'!N$4="Exponential",EXP(IF(AND(ISNUMBER('Council Entry'!N$8),ISNUMBER('Council Entry'!N$9)),MAX(MIN('Council Entry'!N205,'Council Entry'!N$9),'Council Entry'!N$8),'Council Entry'!N205)),IF(AND(ISNUMBER('Council Entry'!N$8),ISNUMBER('Council Entry'!N$9)),MAX(MIN('Council Entry'!N205,'Council Entry'!N$9),'Council Entry'!N$8),'Council Entry'!N205))))-'Council Entry'!N$5)/('Council Entry'!N$6-'Council Entry'!N$5)),1))),"No data"))</f>
        <v/>
      </c>
      <c r="O205" s="13">
        <f>IF('Council Entry'!O205="","",IFERROR(MAX(0,MIN(10,ROUND(IF('Council Entry'!O$7="Decrease Risk",10-10*((IF('Council Entry'!O$4="Logarithm",LN(0.001+IF(AND(ISNUMBER('Council Entry'!O$8),ISNUMBER('Council Entry'!O$9)),MAX(MIN('Council Entry'!O205,'Council Entry'!O$9),'Council Entry'!O$8),'Council Entry'!O205)),IF('Council Entry'!O$4="Exponential",EXP(IF(AND(ISNUMBER('Council Entry'!O$8),ISNUMBER('Council Entry'!O$9)),MAX(MIN('Council Entry'!O205,'Council Entry'!O$9),'Council Entry'!O$8),'Council Entry'!O205)),IF(AND(ISNUMBER('Council Entry'!O$8),ISNUMBER('Council Entry'!O$9)),MAX(MIN('Council Entry'!O205,'Council Entry'!O$9),'Council Entry'!O$8),'Council Entry'!O205))))-'Council Entry'!O$5)/('Council Entry'!O$6-'Council Entry'!O$5),10*((IF('Council Entry'!O$4="Logarithm",LN(0.001+IF(AND(ISNUMBER('Council Entry'!O$8),ISNUMBER('Council Entry'!O$9)),MAX(MIN('Council Entry'!O205,'Council Entry'!O$9),'Council Entry'!O$8),'Council Entry'!O205)),IF('Council Entry'!O$4="Exponential",EXP(IF(AND(ISNUMBER('Council Entry'!O$8),ISNUMBER('Council Entry'!O$9)),MAX(MIN('Council Entry'!O205,'Council Entry'!O$9),'Council Entry'!O$8),'Council Entry'!O205)),IF(AND(ISNUMBER('Council Entry'!O$8),ISNUMBER('Council Entry'!O$9)),MAX(MIN('Council Entry'!O205,'Council Entry'!O$9),'Council Entry'!O$8),'Council Entry'!O205))))-'Council Entry'!O$5)/('Council Entry'!O$6-'Council Entry'!O$5)),1))),"No data"))</f>
        <v/>
      </c>
      <c r="P205" s="13">
        <f>IF('Council Entry'!P205="","",IFERROR(MAX(0,MIN(10,ROUND(IF('Council Entry'!P$7="Decrease Risk",10-10*((IF('Council Entry'!P$4="Logarithm",LN(0.001+IF(AND(ISNUMBER('Council Entry'!P$8),ISNUMBER('Council Entry'!P$9)),MAX(MIN('Council Entry'!P205,'Council Entry'!P$9),'Council Entry'!P$8),'Council Entry'!P205)),IF('Council Entry'!P$4="Exponential",EXP(IF(AND(ISNUMBER('Council Entry'!P$8),ISNUMBER('Council Entry'!P$9)),MAX(MIN('Council Entry'!P205,'Council Entry'!P$9),'Council Entry'!P$8),'Council Entry'!P205)),IF(AND(ISNUMBER('Council Entry'!P$8),ISNUMBER('Council Entry'!P$9)),MAX(MIN('Council Entry'!P205,'Council Entry'!P$9),'Council Entry'!P$8),'Council Entry'!P205))))-'Council Entry'!P$5)/('Council Entry'!P$6-'Council Entry'!P$5),10*((IF('Council Entry'!P$4="Logarithm",LN(0.001+IF(AND(ISNUMBER('Council Entry'!P$8),ISNUMBER('Council Entry'!P$9)),MAX(MIN('Council Entry'!P205,'Council Entry'!P$9),'Council Entry'!P$8),'Council Entry'!P205)),IF('Council Entry'!P$4="Exponential",EXP(IF(AND(ISNUMBER('Council Entry'!P$8),ISNUMBER('Council Entry'!P$9)),MAX(MIN('Council Entry'!P205,'Council Entry'!P$9),'Council Entry'!P$8),'Council Entry'!P205)),IF(AND(ISNUMBER('Council Entry'!P$8),ISNUMBER('Council Entry'!P$9)),MAX(MIN('Council Entry'!P205,'Council Entry'!P$9),'Council Entry'!P$8),'Council Entry'!P205))))-'Council Entry'!P$5)/('Council Entry'!P$6-'Council Entry'!P$5)),1))),"No data"))</f>
        <v/>
      </c>
      <c r="Q205" s="13">
        <f>IF('Council Entry'!Q205="","",IFERROR(MAX(0,MIN(10,ROUND(IF('Council Entry'!Q$7="Decrease Risk",10-10*((IF('Council Entry'!Q$4="Logarithm",LN(0.001+IF(AND(ISNUMBER('Council Entry'!Q$8),ISNUMBER('Council Entry'!Q$9)),MAX(MIN('Council Entry'!Q205,'Council Entry'!Q$9),'Council Entry'!Q$8),'Council Entry'!Q205)),IF('Council Entry'!Q$4="Exponential",EXP(IF(AND(ISNUMBER('Council Entry'!Q$8),ISNUMBER('Council Entry'!Q$9)),MAX(MIN('Council Entry'!Q205,'Council Entry'!Q$9),'Council Entry'!Q$8),'Council Entry'!Q205)),IF(AND(ISNUMBER('Council Entry'!Q$8),ISNUMBER('Council Entry'!Q$9)),MAX(MIN('Council Entry'!Q205,'Council Entry'!Q$9),'Council Entry'!Q$8),'Council Entry'!Q205))))-'Council Entry'!Q$5)/('Council Entry'!Q$6-'Council Entry'!Q$5),10*((IF('Council Entry'!Q$4="Logarithm",LN(0.001+IF(AND(ISNUMBER('Council Entry'!Q$8),ISNUMBER('Council Entry'!Q$9)),MAX(MIN('Council Entry'!Q205,'Council Entry'!Q$9),'Council Entry'!Q$8),'Council Entry'!Q205)),IF('Council Entry'!Q$4="Exponential",EXP(IF(AND(ISNUMBER('Council Entry'!Q$8),ISNUMBER('Council Entry'!Q$9)),MAX(MIN('Council Entry'!Q205,'Council Entry'!Q$9),'Council Entry'!Q$8),'Council Entry'!Q205)),IF(AND(ISNUMBER('Council Entry'!Q$8),ISNUMBER('Council Entry'!Q$9)),MAX(MIN('Council Entry'!Q205,'Council Entry'!Q$9),'Council Entry'!Q$8),'Council Entry'!Q205))))-'Council Entry'!Q$5)/('Council Entry'!Q$6-'Council Entry'!Q$5)),1))),"No data"))</f>
        <v/>
      </c>
      <c r="R205" s="13">
        <f>IF('Council Entry'!R205="","",IFERROR(MAX(0,MIN(10,ROUND(IF('Council Entry'!R$7="Decrease Risk",10-10*((IF('Council Entry'!R$4="Logarithm",LN(0.001+IF(AND(ISNUMBER('Council Entry'!R$8),ISNUMBER('Council Entry'!R$9)),MAX(MIN('Council Entry'!R205,'Council Entry'!R$9),'Council Entry'!R$8),'Council Entry'!R205)),IF('Council Entry'!R$4="Exponential",EXP(IF(AND(ISNUMBER('Council Entry'!R$8),ISNUMBER('Council Entry'!R$9)),MAX(MIN('Council Entry'!R205,'Council Entry'!R$9),'Council Entry'!R$8),'Council Entry'!R205)),IF(AND(ISNUMBER('Council Entry'!R$8),ISNUMBER('Council Entry'!R$9)),MAX(MIN('Council Entry'!R205,'Council Entry'!R$9),'Council Entry'!R$8),'Council Entry'!R205))))-'Council Entry'!R$5)/('Council Entry'!R$6-'Council Entry'!R$5),10*((IF('Council Entry'!R$4="Logarithm",LN(0.001+IF(AND(ISNUMBER('Council Entry'!R$8),ISNUMBER('Council Entry'!R$9)),MAX(MIN('Council Entry'!R205,'Council Entry'!R$9),'Council Entry'!R$8),'Council Entry'!R205)),IF('Council Entry'!R$4="Exponential",EXP(IF(AND(ISNUMBER('Council Entry'!R$8),ISNUMBER('Council Entry'!R$9)),MAX(MIN('Council Entry'!R205,'Council Entry'!R$9),'Council Entry'!R$8),'Council Entry'!R205)),IF(AND(ISNUMBER('Council Entry'!R$8),ISNUMBER('Council Entry'!R$9)),MAX(MIN('Council Entry'!R205,'Council Entry'!R$9),'Council Entry'!R$8),'Council Entry'!R205))))-'Council Entry'!R$5)/('Council Entry'!R$6-'Council Entry'!R$5)),1))),"No data"))</f>
        <v/>
      </c>
      <c r="S205" s="13">
        <f>IF('Council Entry'!S205="","",IFERROR(MAX(0,MIN(10,ROUND(IF('Council Entry'!S$7="Decrease Risk",10-10*((IF('Council Entry'!S$4="Logarithm",LN(0.001+IF(AND(ISNUMBER('Council Entry'!S$8),ISNUMBER('Council Entry'!S$9)),MAX(MIN('Council Entry'!S205,'Council Entry'!S$9),'Council Entry'!S$8),'Council Entry'!S205)),IF('Council Entry'!S$4="Exponential",EXP(IF(AND(ISNUMBER('Council Entry'!S$8),ISNUMBER('Council Entry'!S$9)),MAX(MIN('Council Entry'!S205,'Council Entry'!S$9),'Council Entry'!S$8),'Council Entry'!S205)),IF(AND(ISNUMBER('Council Entry'!S$8),ISNUMBER('Council Entry'!S$9)),MAX(MIN('Council Entry'!S205,'Council Entry'!S$9),'Council Entry'!S$8),'Council Entry'!S205))))-'Council Entry'!S$5)/('Council Entry'!S$6-'Council Entry'!S$5),10*((IF('Council Entry'!S$4="Logarithm",LN(0.001+IF(AND(ISNUMBER('Council Entry'!S$8),ISNUMBER('Council Entry'!S$9)),MAX(MIN('Council Entry'!S205,'Council Entry'!S$9),'Council Entry'!S$8),'Council Entry'!S205)),IF('Council Entry'!S$4="Exponential",EXP(IF(AND(ISNUMBER('Council Entry'!S$8),ISNUMBER('Council Entry'!S$9)),MAX(MIN('Council Entry'!S205,'Council Entry'!S$9),'Council Entry'!S$8),'Council Entry'!S205)),IF(AND(ISNUMBER('Council Entry'!S$8),ISNUMBER('Council Entry'!S$9)),MAX(MIN('Council Entry'!S205,'Council Entry'!S$9),'Council Entry'!S$8),'Council Entry'!S205))))-'Council Entry'!S$5)/('Council Entry'!S$6-'Council Entry'!S$5)),1))),"No data"))</f>
        <v/>
      </c>
      <c r="T205" s="13">
        <f>IF('Council Entry'!T205="","",IFERROR(MAX(0,MIN(10,ROUND(IF('Council Entry'!T$7="Decrease Risk",10-10*((IF('Council Entry'!T$4="Logarithm",LN(0.001+IF(AND(ISNUMBER('Council Entry'!T$8),ISNUMBER('Council Entry'!T$9)),MAX(MIN('Council Entry'!T205,'Council Entry'!T$9),'Council Entry'!T$8),'Council Entry'!T205)),IF('Council Entry'!T$4="Exponential",EXP(IF(AND(ISNUMBER('Council Entry'!T$8),ISNUMBER('Council Entry'!T$9)),MAX(MIN('Council Entry'!T205,'Council Entry'!T$9),'Council Entry'!T$8),'Council Entry'!T205)),IF(AND(ISNUMBER('Council Entry'!T$8),ISNUMBER('Council Entry'!T$9)),MAX(MIN('Council Entry'!T205,'Council Entry'!T$9),'Council Entry'!T$8),'Council Entry'!T205))))-'Council Entry'!T$5)/('Council Entry'!T$6-'Council Entry'!T$5),10*((IF('Council Entry'!T$4="Logarithm",LN(0.001+IF(AND(ISNUMBER('Council Entry'!T$8),ISNUMBER('Council Entry'!T$9)),MAX(MIN('Council Entry'!T205,'Council Entry'!T$9),'Council Entry'!T$8),'Council Entry'!T205)),IF('Council Entry'!T$4="Exponential",EXP(IF(AND(ISNUMBER('Council Entry'!T$8),ISNUMBER('Council Entry'!T$9)),MAX(MIN('Council Entry'!T205,'Council Entry'!T$9),'Council Entry'!T$8),'Council Entry'!T205)),IF(AND(ISNUMBER('Council Entry'!T$8),ISNUMBER('Council Entry'!T$9)),MAX(MIN('Council Entry'!T205,'Council Entry'!T$9),'Council Entry'!T$8),'Council Entry'!T205))))-'Council Entry'!T$5)/('Council Entry'!T$6-'Council Entry'!T$5)),1))),"No data"))</f>
        <v/>
      </c>
      <c r="U205" s="13">
        <f>IF('Council Entry'!U205="","",IFERROR(MAX(0,MIN(10,ROUND(IF('Council Entry'!U$7="Decrease Risk",10-10*((IF('Council Entry'!U$4="Logarithm",LN(0.001+IF(AND(ISNUMBER('Council Entry'!U$8),ISNUMBER('Council Entry'!U$9)),MAX(MIN('Council Entry'!U205,'Council Entry'!U$9),'Council Entry'!U$8),'Council Entry'!U205)),IF('Council Entry'!U$4="Exponential",EXP(IF(AND(ISNUMBER('Council Entry'!U$8),ISNUMBER('Council Entry'!U$9)),MAX(MIN('Council Entry'!U205,'Council Entry'!U$9),'Council Entry'!U$8),'Council Entry'!U205)),IF(AND(ISNUMBER('Council Entry'!U$8),ISNUMBER('Council Entry'!U$9)),MAX(MIN('Council Entry'!U205,'Council Entry'!U$9),'Council Entry'!U$8),'Council Entry'!U205))))-'Council Entry'!U$5)/('Council Entry'!U$6-'Council Entry'!U$5),10*((IF('Council Entry'!U$4="Logarithm",LN(0.001+IF(AND(ISNUMBER('Council Entry'!U$8),ISNUMBER('Council Entry'!U$9)),MAX(MIN('Council Entry'!U205,'Council Entry'!U$9),'Council Entry'!U$8),'Council Entry'!U205)),IF('Council Entry'!U$4="Exponential",EXP(IF(AND(ISNUMBER('Council Entry'!U$8),ISNUMBER('Council Entry'!U$9)),MAX(MIN('Council Entry'!U205,'Council Entry'!U$9),'Council Entry'!U$8),'Council Entry'!U205)),IF(AND(ISNUMBER('Council Entry'!U$8),ISNUMBER('Council Entry'!U$9)),MAX(MIN('Council Entry'!U205,'Council Entry'!U$9),'Council Entry'!U$8),'Council Entry'!U205))))-'Council Entry'!U$5)/('Council Entry'!U$6-'Council Entry'!U$5)),1))),"No data"))</f>
        <v/>
      </c>
      <c r="V205" s="13">
        <f>IF('Council Entry'!V205="","",IFERROR(MAX(0,MIN(10,ROUND(IF('Council Entry'!V$7="Decrease Risk",10-10*((IF('Council Entry'!V$4="Logarithm",LN(0.001+IF(AND(ISNUMBER('Council Entry'!V$8),ISNUMBER('Council Entry'!V$9)),MAX(MIN('Council Entry'!V205,'Council Entry'!V$9),'Council Entry'!V$8),'Council Entry'!V205)),IF('Council Entry'!V$4="Exponential",EXP(IF(AND(ISNUMBER('Council Entry'!V$8),ISNUMBER('Council Entry'!V$9)),MAX(MIN('Council Entry'!V205,'Council Entry'!V$9),'Council Entry'!V$8),'Council Entry'!V205)),IF(AND(ISNUMBER('Council Entry'!V$8),ISNUMBER('Council Entry'!V$9)),MAX(MIN('Council Entry'!V205,'Council Entry'!V$9),'Council Entry'!V$8),'Council Entry'!V205))))-'Council Entry'!V$5)/('Council Entry'!V$6-'Council Entry'!V$5),10*((IF('Council Entry'!V$4="Logarithm",LN(0.001+IF(AND(ISNUMBER('Council Entry'!V$8),ISNUMBER('Council Entry'!V$9)),MAX(MIN('Council Entry'!V205,'Council Entry'!V$9),'Council Entry'!V$8),'Council Entry'!V205)),IF('Council Entry'!V$4="Exponential",EXP(IF(AND(ISNUMBER('Council Entry'!V$8),ISNUMBER('Council Entry'!V$9)),MAX(MIN('Council Entry'!V205,'Council Entry'!V$9),'Council Entry'!V$8),'Council Entry'!V205)),IF(AND(ISNUMBER('Council Entry'!V$8),ISNUMBER('Council Entry'!V$9)),MAX(MIN('Council Entry'!V205,'Council Entry'!V$9),'Council Entry'!V$8),'Council Entry'!V205))))-'Council Entry'!V$5)/('Council Entry'!V$6-'Council Entry'!V$5)),1))),"No data"))</f>
        <v/>
      </c>
      <c r="W205" s="13">
        <f>IF('Council Entry'!W205="","",IFERROR(MAX(0,MIN(10,ROUND(IF('Council Entry'!W$7="Decrease Risk",10-10*((IF('Council Entry'!W$4="Logarithm",LN(0.001+IF(AND(ISNUMBER('Council Entry'!W$8),ISNUMBER('Council Entry'!W$9)),MAX(MIN('Council Entry'!W205,'Council Entry'!W$9),'Council Entry'!W$8),'Council Entry'!W205)),IF('Council Entry'!W$4="Exponential",EXP(IF(AND(ISNUMBER('Council Entry'!W$8),ISNUMBER('Council Entry'!W$9)),MAX(MIN('Council Entry'!W205,'Council Entry'!W$9),'Council Entry'!W$8),'Council Entry'!W205)),IF(AND(ISNUMBER('Council Entry'!W$8),ISNUMBER('Council Entry'!W$9)),MAX(MIN('Council Entry'!W205,'Council Entry'!W$9),'Council Entry'!W$8),'Council Entry'!W205))))-'Council Entry'!W$5)/('Council Entry'!W$6-'Council Entry'!W$5),10*((IF('Council Entry'!W$4="Logarithm",LN(0.001+IF(AND(ISNUMBER('Council Entry'!W$8),ISNUMBER('Council Entry'!W$9)),MAX(MIN('Council Entry'!W205,'Council Entry'!W$9),'Council Entry'!W$8),'Council Entry'!W205)),IF('Council Entry'!W$4="Exponential",EXP(IF(AND(ISNUMBER('Council Entry'!W$8),ISNUMBER('Council Entry'!W$9)),MAX(MIN('Council Entry'!W205,'Council Entry'!W$9),'Council Entry'!W$8),'Council Entry'!W205)),IF(AND(ISNUMBER('Council Entry'!W$8),ISNUMBER('Council Entry'!W$9)),MAX(MIN('Council Entry'!W205,'Council Entry'!W$9),'Council Entry'!W$8),'Council Entry'!W205))))-'Council Entry'!W$5)/('Council Entry'!W$6-'Council Entry'!W$5)),1))),"No data"))</f>
        <v/>
      </c>
      <c r="X205" s="13">
        <f>IF('Council Entry'!X205="","",IFERROR(MAX(0,MIN(10,ROUND(IF('Council Entry'!X$7="Decrease Risk",10-10*((IF('Council Entry'!X$4="Logarithm",LN(0.001+IF(AND(ISNUMBER('Council Entry'!X$8),ISNUMBER('Council Entry'!X$9)),MAX(MIN('Council Entry'!X205,'Council Entry'!X$9),'Council Entry'!X$8),'Council Entry'!X205)),IF('Council Entry'!X$4="Exponential",EXP(IF(AND(ISNUMBER('Council Entry'!X$8),ISNUMBER('Council Entry'!X$9)),MAX(MIN('Council Entry'!X205,'Council Entry'!X$9),'Council Entry'!X$8),'Council Entry'!X205)),IF(AND(ISNUMBER('Council Entry'!X$8),ISNUMBER('Council Entry'!X$9)),MAX(MIN('Council Entry'!X205,'Council Entry'!X$9),'Council Entry'!X$8),'Council Entry'!X205))))-'Council Entry'!X$5)/('Council Entry'!X$6-'Council Entry'!X$5),10*((IF('Council Entry'!X$4="Logarithm",LN(0.001+IF(AND(ISNUMBER('Council Entry'!X$8),ISNUMBER('Council Entry'!X$9)),MAX(MIN('Council Entry'!X205,'Council Entry'!X$9),'Council Entry'!X$8),'Council Entry'!X205)),IF('Council Entry'!X$4="Exponential",EXP(IF(AND(ISNUMBER('Council Entry'!X$8),ISNUMBER('Council Entry'!X$9)),MAX(MIN('Council Entry'!X205,'Council Entry'!X$9),'Council Entry'!X$8),'Council Entry'!X205)),IF(AND(ISNUMBER('Council Entry'!X$8),ISNUMBER('Council Entry'!X$9)),MAX(MIN('Council Entry'!X205,'Council Entry'!X$9),'Council Entry'!X$8),'Council Entry'!X205))))-'Council Entry'!X$5)/('Council Entry'!X$6-'Council Entry'!X$5)),1))),"No data"))</f>
        <v/>
      </c>
      <c r="Y205" s="13">
        <f>IF('Council Entry'!Y205="","",IFERROR(MAX(0,MIN(10,ROUND(IF('Council Entry'!Y$7="Decrease Risk",10-10*((IF('Council Entry'!Y$4="Logarithm",LN(0.001+IF(AND(ISNUMBER('Council Entry'!Y$8),ISNUMBER('Council Entry'!Y$9)),MAX(MIN('Council Entry'!Y205,'Council Entry'!Y$9),'Council Entry'!Y$8),'Council Entry'!Y205)),IF('Council Entry'!Y$4="Exponential",EXP(IF(AND(ISNUMBER('Council Entry'!Y$8),ISNUMBER('Council Entry'!Y$9)),MAX(MIN('Council Entry'!Y205,'Council Entry'!Y$9),'Council Entry'!Y$8),'Council Entry'!Y205)),IF(AND(ISNUMBER('Council Entry'!Y$8),ISNUMBER('Council Entry'!Y$9)),MAX(MIN('Council Entry'!Y205,'Council Entry'!Y$9),'Council Entry'!Y$8),'Council Entry'!Y205))))-'Council Entry'!Y$5)/('Council Entry'!Y$6-'Council Entry'!Y$5),10*((IF('Council Entry'!Y$4="Logarithm",LN(0.001+IF(AND(ISNUMBER('Council Entry'!Y$8),ISNUMBER('Council Entry'!Y$9)),MAX(MIN('Council Entry'!Y205,'Council Entry'!Y$9),'Council Entry'!Y$8),'Council Entry'!Y205)),IF('Council Entry'!Y$4="Exponential",EXP(IF(AND(ISNUMBER('Council Entry'!Y$8),ISNUMBER('Council Entry'!Y$9)),MAX(MIN('Council Entry'!Y205,'Council Entry'!Y$9),'Council Entry'!Y$8),'Council Entry'!Y205)),IF(AND(ISNUMBER('Council Entry'!Y$8),ISNUMBER('Council Entry'!Y$9)),MAX(MIN('Council Entry'!Y205,'Council Entry'!Y$9),'Council Entry'!Y$8),'Council Entry'!Y205))))-'Council Entry'!Y$5)/('Council Entry'!Y$6-'Council Entry'!Y$5)),1))),"No data"))</f>
        <v/>
      </c>
      <c r="Z205" s="13">
        <f>IF('Council Entry'!Z205="","",IFERROR(MAX(0,MIN(10,ROUND(IF('Council Entry'!Z$7="Decrease Risk",10-10*((IF('Council Entry'!Z$4="Logarithm",LN(0.001+IF(AND(ISNUMBER('Council Entry'!Z$8),ISNUMBER('Council Entry'!Z$9)),MAX(MIN('Council Entry'!Z205,'Council Entry'!Z$9),'Council Entry'!Z$8),'Council Entry'!Z205)),IF('Council Entry'!Z$4="Exponential",EXP(IF(AND(ISNUMBER('Council Entry'!Z$8),ISNUMBER('Council Entry'!Z$9)),MAX(MIN('Council Entry'!Z205,'Council Entry'!Z$9),'Council Entry'!Z$8),'Council Entry'!Z205)),IF(AND(ISNUMBER('Council Entry'!Z$8),ISNUMBER('Council Entry'!Z$9)),MAX(MIN('Council Entry'!Z205,'Council Entry'!Z$9),'Council Entry'!Z$8),'Council Entry'!Z205))))-'Council Entry'!Z$5)/('Council Entry'!Z$6-'Council Entry'!Z$5),10*((IF('Council Entry'!Z$4="Logarithm",LN(0.001+IF(AND(ISNUMBER('Council Entry'!Z$8),ISNUMBER('Council Entry'!Z$9)),MAX(MIN('Council Entry'!Z205,'Council Entry'!Z$9),'Council Entry'!Z$8),'Council Entry'!Z205)),IF('Council Entry'!Z$4="Exponential",EXP(IF(AND(ISNUMBER('Council Entry'!Z$8),ISNUMBER('Council Entry'!Z$9)),MAX(MIN('Council Entry'!Z205,'Council Entry'!Z$9),'Council Entry'!Z$8),'Council Entry'!Z205)),IF(AND(ISNUMBER('Council Entry'!Z$8),ISNUMBER('Council Entry'!Z$9)),MAX(MIN('Council Entry'!Z205,'Council Entry'!Z$9),'Council Entry'!Z$8),'Council Entry'!Z205))))-'Council Entry'!Z$5)/('Council Entry'!Z$6-'Council Entry'!Z$5)),1))),"No data"))</f>
        <v/>
      </c>
      <c r="AA205" s="13">
        <f>IF('Council Entry'!AA205="","",IFERROR(MAX(0,MIN(10,ROUND(IF('Council Entry'!AA$7="Decrease Risk",10-10*((IF('Council Entry'!AA$4="Logarithm",LN(0.001+IF(AND(ISNUMBER('Council Entry'!AA$8),ISNUMBER('Council Entry'!AA$9)),MAX(MIN('Council Entry'!AA205,'Council Entry'!AA$9),'Council Entry'!AA$8),'Council Entry'!AA205)),IF('Council Entry'!AA$4="Exponential",EXP(IF(AND(ISNUMBER('Council Entry'!AA$8),ISNUMBER('Council Entry'!AA$9)),MAX(MIN('Council Entry'!AA205,'Council Entry'!AA$9),'Council Entry'!AA$8),'Council Entry'!AA205)),IF(AND(ISNUMBER('Council Entry'!AA$8),ISNUMBER('Council Entry'!AA$9)),MAX(MIN('Council Entry'!AA205,'Council Entry'!AA$9),'Council Entry'!AA$8),'Council Entry'!AA205))))-'Council Entry'!AA$5)/('Council Entry'!AA$6-'Council Entry'!AA$5),10*((IF('Council Entry'!AA$4="Logarithm",LN(0.001+IF(AND(ISNUMBER('Council Entry'!AA$8),ISNUMBER('Council Entry'!AA$9)),MAX(MIN('Council Entry'!AA205,'Council Entry'!AA$9),'Council Entry'!AA$8),'Council Entry'!AA205)),IF('Council Entry'!AA$4="Exponential",EXP(IF(AND(ISNUMBER('Council Entry'!AA$8),ISNUMBER('Council Entry'!AA$9)),MAX(MIN('Council Entry'!AA205,'Council Entry'!AA$9),'Council Entry'!AA$8),'Council Entry'!AA205)),IF(AND(ISNUMBER('Council Entry'!AA$8),ISNUMBER('Council Entry'!AA$9)),MAX(MIN('Council Entry'!AA205,'Council Entry'!AA$9),'Council Entry'!AA$8),'Council Entry'!AA205))))-'Council Entry'!AA$5)/('Council Entry'!AA$6-'Council Entry'!AA$5)),1))),"No data"))</f>
        <v/>
      </c>
      <c r="AB205" s="13">
        <f>IF('Council Entry'!AB205="","",IFERROR(MAX(0,MIN(10,ROUND(IF('Council Entry'!AB$7="Decrease Risk",10-10*((IF('Council Entry'!AB$4="Logarithm",LN(0.001+IF(AND(ISNUMBER('Council Entry'!AB$8),ISNUMBER('Council Entry'!AB$9)),MAX(MIN('Council Entry'!AB205,'Council Entry'!AB$9),'Council Entry'!AB$8),'Council Entry'!AB205)),IF('Council Entry'!AB$4="Exponential",EXP(IF(AND(ISNUMBER('Council Entry'!AB$8),ISNUMBER('Council Entry'!AB$9)),MAX(MIN('Council Entry'!AB205,'Council Entry'!AB$9),'Council Entry'!AB$8),'Council Entry'!AB205)),IF(AND(ISNUMBER('Council Entry'!AB$8),ISNUMBER('Council Entry'!AB$9)),MAX(MIN('Council Entry'!AB205,'Council Entry'!AB$9),'Council Entry'!AB$8),'Council Entry'!AB205))))-'Council Entry'!AB$5)/('Council Entry'!AB$6-'Council Entry'!AB$5),10*((IF('Council Entry'!AB$4="Logarithm",LN(0.001+IF(AND(ISNUMBER('Council Entry'!AB$8),ISNUMBER('Council Entry'!AB$9)),MAX(MIN('Council Entry'!AB205,'Council Entry'!AB$9),'Council Entry'!AB$8),'Council Entry'!AB205)),IF('Council Entry'!AB$4="Exponential",EXP(IF(AND(ISNUMBER('Council Entry'!AB$8),ISNUMBER('Council Entry'!AB$9)),MAX(MIN('Council Entry'!AB205,'Council Entry'!AB$9),'Council Entry'!AB$8),'Council Entry'!AB205)),IF(AND(ISNUMBER('Council Entry'!AB$8),ISNUMBER('Council Entry'!AB$9)),MAX(MIN('Council Entry'!AB205,'Council Entry'!AB$9),'Council Entry'!AB$8),'Council Entry'!AB205))))-'Council Entry'!AB$5)/('Council Entry'!AB$6-'Council Entry'!AB$5)),1))),"No data"))</f>
        <v/>
      </c>
      <c r="AC205" s="13">
        <f>IF('Council Entry'!AC205="","",IFERROR(MAX(0,MIN(10,ROUND(IF('Council Entry'!AC$7="Decrease Risk",10-10*((IF('Council Entry'!AC$4="Logarithm",LN(0.001+IF(AND(ISNUMBER('Council Entry'!AC$8),ISNUMBER('Council Entry'!AC$9)),MAX(MIN('Council Entry'!AC205,'Council Entry'!AC$9),'Council Entry'!AC$8),'Council Entry'!AC205)),IF('Council Entry'!AC$4="Exponential",EXP(IF(AND(ISNUMBER('Council Entry'!AC$8),ISNUMBER('Council Entry'!AC$9)),MAX(MIN('Council Entry'!AC205,'Council Entry'!AC$9),'Council Entry'!AC$8),'Council Entry'!AC205)),IF(AND(ISNUMBER('Council Entry'!AC$8),ISNUMBER('Council Entry'!AC$9)),MAX(MIN('Council Entry'!AC205,'Council Entry'!AC$9),'Council Entry'!AC$8),'Council Entry'!AC205))))-'Council Entry'!AC$5)/('Council Entry'!AC$6-'Council Entry'!AC$5),10*((IF('Council Entry'!AC$4="Logarithm",LN(0.001+IF(AND(ISNUMBER('Council Entry'!AC$8),ISNUMBER('Council Entry'!AC$9)),MAX(MIN('Council Entry'!AC205,'Council Entry'!AC$9),'Council Entry'!AC$8),'Council Entry'!AC205)),IF('Council Entry'!AC$4="Exponential",EXP(IF(AND(ISNUMBER('Council Entry'!AC$8),ISNUMBER('Council Entry'!AC$9)),MAX(MIN('Council Entry'!AC205,'Council Entry'!AC$9),'Council Entry'!AC$8),'Council Entry'!AC205)),IF(AND(ISNUMBER('Council Entry'!AC$8),ISNUMBER('Council Entry'!AC$9)),MAX(MIN('Council Entry'!AC205,'Council Entry'!AC$9),'Council Entry'!AC$8),'Council Entry'!AC205))))-'Council Entry'!AC$5)/('Council Entry'!AC$6-'Council Entry'!AC$5)),1))),"No data"))</f>
        <v/>
      </c>
      <c r="AD205" s="13">
        <f>IF('Council Entry'!AD205="","",IFERROR(MAX(0,MIN(10,ROUND(IF('Council Entry'!AD$7="Decrease Risk",10-10*((IF('Council Entry'!AD$4="Logarithm",LN(0.001+IF(AND(ISNUMBER('Council Entry'!AD$8),ISNUMBER('Council Entry'!AD$9)),MAX(MIN('Council Entry'!AD205,'Council Entry'!AD$9),'Council Entry'!AD$8),'Council Entry'!AD205)),IF('Council Entry'!AD$4="Exponential",EXP(IF(AND(ISNUMBER('Council Entry'!AD$8),ISNUMBER('Council Entry'!AD$9)),MAX(MIN('Council Entry'!AD205,'Council Entry'!AD$9),'Council Entry'!AD$8),'Council Entry'!AD205)),IF(AND(ISNUMBER('Council Entry'!AD$8),ISNUMBER('Council Entry'!AD$9)),MAX(MIN('Council Entry'!AD205,'Council Entry'!AD$9),'Council Entry'!AD$8),'Council Entry'!AD205))))-'Council Entry'!AD$5)/('Council Entry'!AD$6-'Council Entry'!AD$5),10*((IF('Council Entry'!AD$4="Logarithm",LN(0.001+IF(AND(ISNUMBER('Council Entry'!AD$8),ISNUMBER('Council Entry'!AD$9)),MAX(MIN('Council Entry'!AD205,'Council Entry'!AD$9),'Council Entry'!AD$8),'Council Entry'!AD205)),IF('Council Entry'!AD$4="Exponential",EXP(IF(AND(ISNUMBER('Council Entry'!AD$8),ISNUMBER('Council Entry'!AD$9)),MAX(MIN('Council Entry'!AD205,'Council Entry'!AD$9),'Council Entry'!AD$8),'Council Entry'!AD205)),IF(AND(ISNUMBER('Council Entry'!AD$8),ISNUMBER('Council Entry'!AD$9)),MAX(MIN('Council Entry'!AD205,'Council Entry'!AD$9),'Council Entry'!AD$8),'Council Entry'!AD205))))-'Council Entry'!AD$5)/('Council Entry'!AD$6-'Council Entry'!AD$5)),1))),"No data"))</f>
        <v/>
      </c>
      <c r="AE205" s="13">
        <f>IF('Council Entry'!AE205="","",IFERROR(MAX(0,MIN(10,ROUND(IF('Council Entry'!AE$7="Decrease Risk",10-10*((IF('Council Entry'!AE$4="Logarithm",LN(0.001+IF(AND(ISNUMBER('Council Entry'!AE$8),ISNUMBER('Council Entry'!AE$9)),MAX(MIN('Council Entry'!AE205,'Council Entry'!AE$9),'Council Entry'!AE$8),'Council Entry'!AE205)),IF('Council Entry'!AE$4="Exponential",EXP(IF(AND(ISNUMBER('Council Entry'!AE$8),ISNUMBER('Council Entry'!AE$9)),MAX(MIN('Council Entry'!AE205,'Council Entry'!AE$9),'Council Entry'!AE$8),'Council Entry'!AE205)),IF(AND(ISNUMBER('Council Entry'!AE$8),ISNUMBER('Council Entry'!AE$9)),MAX(MIN('Council Entry'!AE205,'Council Entry'!AE$9),'Council Entry'!AE$8),'Council Entry'!AE205))))-'Council Entry'!AE$5)/('Council Entry'!AE$6-'Council Entry'!AE$5),10*((IF('Council Entry'!AE$4="Logarithm",LN(0.001+IF(AND(ISNUMBER('Council Entry'!AE$8),ISNUMBER('Council Entry'!AE$9)),MAX(MIN('Council Entry'!AE205,'Council Entry'!AE$9),'Council Entry'!AE$8),'Council Entry'!AE205)),IF('Council Entry'!AE$4="Exponential",EXP(IF(AND(ISNUMBER('Council Entry'!AE$8),ISNUMBER('Council Entry'!AE$9)),MAX(MIN('Council Entry'!AE205,'Council Entry'!AE$9),'Council Entry'!AE$8),'Council Entry'!AE205)),IF(AND(ISNUMBER('Council Entry'!AE$8),ISNUMBER('Council Entry'!AE$9)),MAX(MIN('Council Entry'!AE205,'Council Entry'!AE$9),'Council Entry'!AE$8),'Council Entry'!AE205))))-'Council Entry'!AE$5)/('Council Entry'!AE$6-'Council Entry'!AE$5)),1))),"No data"))</f>
        <v/>
      </c>
      <c r="AF205" s="13">
        <f>IF('Council Entry'!AF205="","",IFERROR(MAX(0,MIN(10,ROUND(IF('Council Entry'!AF$7="Decrease Risk",10-10*((IF('Council Entry'!AF$4="Logarithm",LN(0.001+IF(AND(ISNUMBER('Council Entry'!AF$8),ISNUMBER('Council Entry'!AF$9)),MAX(MIN('Council Entry'!AF205,'Council Entry'!AF$9),'Council Entry'!AF$8),'Council Entry'!AF205)),IF('Council Entry'!AF$4="Exponential",EXP(IF(AND(ISNUMBER('Council Entry'!AF$8),ISNUMBER('Council Entry'!AF$9)),MAX(MIN('Council Entry'!AF205,'Council Entry'!AF$9),'Council Entry'!AF$8),'Council Entry'!AF205)),IF(AND(ISNUMBER('Council Entry'!AF$8),ISNUMBER('Council Entry'!AF$9)),MAX(MIN('Council Entry'!AF205,'Council Entry'!AF$9),'Council Entry'!AF$8),'Council Entry'!AF205))))-'Council Entry'!AF$5)/('Council Entry'!AF$6-'Council Entry'!AF$5),10*((IF('Council Entry'!AF$4="Logarithm",LN(0.001+IF(AND(ISNUMBER('Council Entry'!AF$8),ISNUMBER('Council Entry'!AF$9)),MAX(MIN('Council Entry'!AF205,'Council Entry'!AF$9),'Council Entry'!AF$8),'Council Entry'!AF205)),IF('Council Entry'!AF$4="Exponential",EXP(IF(AND(ISNUMBER('Council Entry'!AF$8),ISNUMBER('Council Entry'!AF$9)),MAX(MIN('Council Entry'!AF205,'Council Entry'!AF$9),'Council Entry'!AF$8),'Council Entry'!AF205)),IF(AND(ISNUMBER('Council Entry'!AF$8),ISNUMBER('Council Entry'!AF$9)),MAX(MIN('Council Entry'!AF205,'Council Entry'!AF$9),'Council Entry'!AF$8),'Council Entry'!AF205))))-'Council Entry'!AF$5)/('Council Entry'!AF$6-'Council Entry'!AF$5)),1))),"No data"))</f>
        <v/>
      </c>
      <c r="AG205" s="13">
        <f>IF('Council Entry'!AG205="","",IFERROR(MAX(0,MIN(10,ROUND(IF('Council Entry'!AG$7="Decrease Risk",10-10*((IF('Council Entry'!AG$4="Logarithm",LN(0.001+IF(AND(ISNUMBER('Council Entry'!AG$8),ISNUMBER('Council Entry'!AG$9)),MAX(MIN('Council Entry'!AG205,'Council Entry'!AG$9),'Council Entry'!AG$8),'Council Entry'!AG205)),IF('Council Entry'!AG$4="Exponential",EXP(IF(AND(ISNUMBER('Council Entry'!AG$8),ISNUMBER('Council Entry'!AG$9)),MAX(MIN('Council Entry'!AG205,'Council Entry'!AG$9),'Council Entry'!AG$8),'Council Entry'!AG205)),IF(AND(ISNUMBER('Council Entry'!AG$8),ISNUMBER('Council Entry'!AG$9)),MAX(MIN('Council Entry'!AG205,'Council Entry'!AG$9),'Council Entry'!AG$8),'Council Entry'!AG205))))-'Council Entry'!AG$5)/('Council Entry'!AG$6-'Council Entry'!AG$5),10*((IF('Council Entry'!AG$4="Logarithm",LN(0.001+IF(AND(ISNUMBER('Council Entry'!AG$8),ISNUMBER('Council Entry'!AG$9)),MAX(MIN('Council Entry'!AG205,'Council Entry'!AG$9),'Council Entry'!AG$8),'Council Entry'!AG205)),IF('Council Entry'!AG$4="Exponential",EXP(IF(AND(ISNUMBER('Council Entry'!AG$8),ISNUMBER('Council Entry'!AG$9)),MAX(MIN('Council Entry'!AG205,'Council Entry'!AG$9),'Council Entry'!AG$8),'Council Entry'!AG205)),IF(AND(ISNUMBER('Council Entry'!AG$8),ISNUMBER('Council Entry'!AG$9)),MAX(MIN('Council Entry'!AG205,'Council Entry'!AG$9),'Council Entry'!AG$8),'Council Entry'!AG205))))-'Council Entry'!AG$5)/('Council Entry'!AG$6-'Council Entry'!AG$5)),1))),"No data"))</f>
        <v/>
      </c>
      <c r="AH205" s="13">
        <f>IF('Council Entry'!AH205="","",IFERROR(MAX(0,MIN(10,ROUND(IF('Council Entry'!AH$7="Decrease Risk",10-10*((IF('Council Entry'!AH$4="Logarithm",LN(0.001+IF(AND(ISNUMBER('Council Entry'!AH$8),ISNUMBER('Council Entry'!AH$9)),MAX(MIN('Council Entry'!AH205,'Council Entry'!AH$9),'Council Entry'!AH$8),'Council Entry'!AH205)),IF('Council Entry'!AH$4="Exponential",EXP(IF(AND(ISNUMBER('Council Entry'!AH$8),ISNUMBER('Council Entry'!AH$9)),MAX(MIN('Council Entry'!AH205,'Council Entry'!AH$9),'Council Entry'!AH$8),'Council Entry'!AH205)),IF(AND(ISNUMBER('Council Entry'!AH$8),ISNUMBER('Council Entry'!AH$9)),MAX(MIN('Council Entry'!AH205,'Council Entry'!AH$9),'Council Entry'!AH$8),'Council Entry'!AH205))))-'Council Entry'!AH$5)/('Council Entry'!AH$6-'Council Entry'!AH$5),10*((IF('Council Entry'!AH$4="Logarithm",LN(0.001+IF(AND(ISNUMBER('Council Entry'!AH$8),ISNUMBER('Council Entry'!AH$9)),MAX(MIN('Council Entry'!AH205,'Council Entry'!AH$9),'Council Entry'!AH$8),'Council Entry'!AH205)),IF('Council Entry'!AH$4="Exponential",EXP(IF(AND(ISNUMBER('Council Entry'!AH$8),ISNUMBER('Council Entry'!AH$9)),MAX(MIN('Council Entry'!AH205,'Council Entry'!AH$9),'Council Entry'!AH$8),'Council Entry'!AH205)),IF(AND(ISNUMBER('Council Entry'!AH$8),ISNUMBER('Council Entry'!AH$9)),MAX(MIN('Council Entry'!AH205,'Council Entry'!AH$9),'Council Entry'!AH$8),'Council Entry'!AH205))))-'Council Entry'!AH$5)/('Council Entry'!AH$6-'Council Entry'!AH$5)),1))),"No data"))</f>
        <v/>
      </c>
      <c r="AI205" s="13">
        <f>IF('Council Entry'!AI205="","",IFERROR(MAX(0,MIN(10,ROUND(IF('Council Entry'!AI$7="Decrease Risk",10-10*((IF('Council Entry'!AI$4="Logarithm",LN(0.001+IF(AND(ISNUMBER('Council Entry'!AI$8),ISNUMBER('Council Entry'!AI$9)),MAX(MIN('Council Entry'!AI205,'Council Entry'!AI$9),'Council Entry'!AI$8),'Council Entry'!AI205)),IF('Council Entry'!AI$4="Exponential",EXP(IF(AND(ISNUMBER('Council Entry'!AI$8),ISNUMBER('Council Entry'!AI$9)),MAX(MIN('Council Entry'!AI205,'Council Entry'!AI$9),'Council Entry'!AI$8),'Council Entry'!AI205)),IF(AND(ISNUMBER('Council Entry'!AI$8),ISNUMBER('Council Entry'!AI$9)),MAX(MIN('Council Entry'!AI205,'Council Entry'!AI$9),'Council Entry'!AI$8),'Council Entry'!AI205))))-'Council Entry'!AI$5)/('Council Entry'!AI$6-'Council Entry'!AI$5),10*((IF('Council Entry'!AI$4="Logarithm",LN(0.001+IF(AND(ISNUMBER('Council Entry'!AI$8),ISNUMBER('Council Entry'!AI$9)),MAX(MIN('Council Entry'!AI205,'Council Entry'!AI$9),'Council Entry'!AI$8),'Council Entry'!AI205)),IF('Council Entry'!AI$4="Exponential",EXP(IF(AND(ISNUMBER('Council Entry'!AI$8),ISNUMBER('Council Entry'!AI$9)),MAX(MIN('Council Entry'!AI205,'Council Entry'!AI$9),'Council Entry'!AI$8),'Council Entry'!AI205)),IF(AND(ISNUMBER('Council Entry'!AI$8),ISNUMBER('Council Entry'!AI$9)),MAX(MIN('Council Entry'!AI205,'Council Entry'!AI$9),'Council Entry'!AI$8),'Council Entry'!AI205))))-'Council Entry'!AI$5)/('Council Entry'!AI$6-'Council Entry'!AI$5)),1))),"No data"))</f>
        <v/>
      </c>
      <c r="AJ205" s="13">
        <f>IF('Council Entry'!AJ205="","",IFERROR(MAX(0,MIN(10,ROUND(IF('Council Entry'!AJ$7="Decrease Risk",10-10*((IF('Council Entry'!AJ$4="Logarithm",LN(0.001+IF(AND(ISNUMBER('Council Entry'!AJ$8),ISNUMBER('Council Entry'!AJ$9)),MAX(MIN('Council Entry'!AJ205,'Council Entry'!AJ$9),'Council Entry'!AJ$8),'Council Entry'!AJ205)),IF('Council Entry'!AJ$4="Exponential",EXP(IF(AND(ISNUMBER('Council Entry'!AJ$8),ISNUMBER('Council Entry'!AJ$9)),MAX(MIN('Council Entry'!AJ205,'Council Entry'!AJ$9),'Council Entry'!AJ$8),'Council Entry'!AJ205)),IF(AND(ISNUMBER('Council Entry'!AJ$8),ISNUMBER('Council Entry'!AJ$9)),MAX(MIN('Council Entry'!AJ205,'Council Entry'!AJ$9),'Council Entry'!AJ$8),'Council Entry'!AJ205))))-'Council Entry'!AJ$5)/('Council Entry'!AJ$6-'Council Entry'!AJ$5),10*((IF('Council Entry'!AJ$4="Logarithm",LN(0.001+IF(AND(ISNUMBER('Council Entry'!AJ$8),ISNUMBER('Council Entry'!AJ$9)),MAX(MIN('Council Entry'!AJ205,'Council Entry'!AJ$9),'Council Entry'!AJ$8),'Council Entry'!AJ205)),IF('Council Entry'!AJ$4="Exponential",EXP(IF(AND(ISNUMBER('Council Entry'!AJ$8),ISNUMBER('Council Entry'!AJ$9)),MAX(MIN('Council Entry'!AJ205,'Council Entry'!AJ$9),'Council Entry'!AJ$8),'Council Entry'!AJ205)),IF(AND(ISNUMBER('Council Entry'!AJ$8),ISNUMBER('Council Entry'!AJ$9)),MAX(MIN('Council Entry'!AJ205,'Council Entry'!AJ$9),'Council Entry'!AJ$8),'Council Entry'!AJ205))))-'Council Entry'!AJ$5)/('Council Entry'!AJ$6-'Council Entry'!AJ$5)),1))),"No data"))</f>
        <v/>
      </c>
      <c r="AK205" s="13">
        <f>IF('Council Entry'!AK205="","",IFERROR(MAX(0,MIN(10,ROUND(IF('Council Entry'!AK$7="Decrease Risk",10-10*((IF('Council Entry'!AK$4="Logarithm",LN(0.001+IF(AND(ISNUMBER('Council Entry'!AK$8),ISNUMBER('Council Entry'!AK$9)),MAX(MIN('Council Entry'!AK205,'Council Entry'!AK$9),'Council Entry'!AK$8),'Council Entry'!AK205)),IF('Council Entry'!AK$4="Exponential",EXP(IF(AND(ISNUMBER('Council Entry'!AK$8),ISNUMBER('Council Entry'!AK$9)),MAX(MIN('Council Entry'!AK205,'Council Entry'!AK$9),'Council Entry'!AK$8),'Council Entry'!AK205)),IF(AND(ISNUMBER('Council Entry'!AK$8),ISNUMBER('Council Entry'!AK$9)),MAX(MIN('Council Entry'!AK205,'Council Entry'!AK$9),'Council Entry'!AK$8),'Council Entry'!AK205))))-'Council Entry'!AK$5)/('Council Entry'!AK$6-'Council Entry'!AK$5),10*((IF('Council Entry'!AK$4="Logarithm",LN(0.001+IF(AND(ISNUMBER('Council Entry'!AK$8),ISNUMBER('Council Entry'!AK$9)),MAX(MIN('Council Entry'!AK205,'Council Entry'!AK$9),'Council Entry'!AK$8),'Council Entry'!AK205)),IF('Council Entry'!AK$4="Exponential",EXP(IF(AND(ISNUMBER('Council Entry'!AK$8),ISNUMBER('Council Entry'!AK$9)),MAX(MIN('Council Entry'!AK205,'Council Entry'!AK$9),'Council Entry'!AK$8),'Council Entry'!AK205)),IF(AND(ISNUMBER('Council Entry'!AK$8),ISNUMBER('Council Entry'!AK$9)),MAX(MIN('Council Entry'!AK205,'Council Entry'!AK$9),'Council Entry'!AK$8),'Council Entry'!AK205))))-'Council Entry'!AK$5)/('Council Entry'!AK$6-'Council Entry'!AK$5)),1))),"No data"))</f>
        <v/>
      </c>
      <c r="AL205" s="13">
        <f>IF('Council Entry'!AL205="","",IFERROR(MAX(0,MIN(10,ROUND(IF('Council Entry'!AL$7="Decrease Risk",10-10*((IF('Council Entry'!AL$4="Logarithm",LN(0.001+IF(AND(ISNUMBER('Council Entry'!AL$8),ISNUMBER('Council Entry'!AL$9)),MAX(MIN('Council Entry'!AL205,'Council Entry'!AL$9),'Council Entry'!AL$8),'Council Entry'!AL205)),IF('Council Entry'!AL$4="Exponential",EXP(IF(AND(ISNUMBER('Council Entry'!AL$8),ISNUMBER('Council Entry'!AL$9)),MAX(MIN('Council Entry'!AL205,'Council Entry'!AL$9),'Council Entry'!AL$8),'Council Entry'!AL205)),IF(AND(ISNUMBER('Council Entry'!AL$8),ISNUMBER('Council Entry'!AL$9)),MAX(MIN('Council Entry'!AL205,'Council Entry'!AL$9),'Council Entry'!AL$8),'Council Entry'!AL205))))-'Council Entry'!AL$5)/('Council Entry'!AL$6-'Council Entry'!AL$5),10*((IF('Council Entry'!AL$4="Logarithm",LN(0.001+IF(AND(ISNUMBER('Council Entry'!AL$8),ISNUMBER('Council Entry'!AL$9)),MAX(MIN('Council Entry'!AL205,'Council Entry'!AL$9),'Council Entry'!AL$8),'Council Entry'!AL205)),IF('Council Entry'!AL$4="Exponential",EXP(IF(AND(ISNUMBER('Council Entry'!AL$8),ISNUMBER('Council Entry'!AL$9)),MAX(MIN('Council Entry'!AL205,'Council Entry'!AL$9),'Council Entry'!AL$8),'Council Entry'!AL205)),IF(AND(ISNUMBER('Council Entry'!AL$8),ISNUMBER('Council Entry'!AL$9)),MAX(MIN('Council Entry'!AL205,'Council Entry'!AL$9),'Council Entry'!AL$8),'Council Entry'!AL205))))-'Council Entry'!AL$5)/('Council Entry'!AL$6-'Council Entry'!AL$5)),1))),"No data"))</f>
        <v/>
      </c>
      <c r="AM205" s="13">
        <f>IF('Council Entry'!AM205="","",IFERROR(MAX(0,MIN(10,ROUND(IF('Council Entry'!AM$7="Decrease Risk",10-10*((IF('Council Entry'!AM$4="Logarithm",LN(0.001+IF(AND(ISNUMBER('Council Entry'!AM$8),ISNUMBER('Council Entry'!AM$9)),MAX(MIN('Council Entry'!AM205,'Council Entry'!AM$9),'Council Entry'!AM$8),'Council Entry'!AM205)),IF('Council Entry'!AM$4="Exponential",EXP(IF(AND(ISNUMBER('Council Entry'!AM$8),ISNUMBER('Council Entry'!AM$9)),MAX(MIN('Council Entry'!AM205,'Council Entry'!AM$9),'Council Entry'!AM$8),'Council Entry'!AM205)),IF(AND(ISNUMBER('Council Entry'!AM$8),ISNUMBER('Council Entry'!AM$9)),MAX(MIN('Council Entry'!AM205,'Council Entry'!AM$9),'Council Entry'!AM$8),'Council Entry'!AM205))))-'Council Entry'!AM$5)/('Council Entry'!AM$6-'Council Entry'!AM$5),10*((IF('Council Entry'!AM$4="Logarithm",LN(0.001+IF(AND(ISNUMBER('Council Entry'!AM$8),ISNUMBER('Council Entry'!AM$9)),MAX(MIN('Council Entry'!AM205,'Council Entry'!AM$9),'Council Entry'!AM$8),'Council Entry'!AM205)),IF('Council Entry'!AM$4="Exponential",EXP(IF(AND(ISNUMBER('Council Entry'!AM$8),ISNUMBER('Council Entry'!AM$9)),MAX(MIN('Council Entry'!AM205,'Council Entry'!AM$9),'Council Entry'!AM$8),'Council Entry'!AM205)),IF(AND(ISNUMBER('Council Entry'!AM$8),ISNUMBER('Council Entry'!AM$9)),MAX(MIN('Council Entry'!AM205,'Council Entry'!AM$9),'Council Entry'!AM$8),'Council Entry'!AM205))))-'Council Entry'!AM$5)/('Council Entry'!AM$6-'Council Entry'!AM$5)),1))),"No data"))</f>
        <v/>
      </c>
      <c r="AN205" s="13">
        <f>IF('Council Entry'!AN205="","",IFERROR(MAX(0,MIN(10,ROUND(IF('Council Entry'!AN$7="Decrease Risk",10-10*((IF('Council Entry'!AN$4="Logarithm",LN(0.001+IF(AND(ISNUMBER('Council Entry'!AN$8),ISNUMBER('Council Entry'!AN$9)),MAX(MIN('Council Entry'!AN205,'Council Entry'!AN$9),'Council Entry'!AN$8),'Council Entry'!AN205)),IF('Council Entry'!AN$4="Exponential",EXP(IF(AND(ISNUMBER('Council Entry'!AN$8),ISNUMBER('Council Entry'!AN$9)),MAX(MIN('Council Entry'!AN205,'Council Entry'!AN$9),'Council Entry'!AN$8),'Council Entry'!AN205)),IF(AND(ISNUMBER('Council Entry'!AN$8),ISNUMBER('Council Entry'!AN$9)),MAX(MIN('Council Entry'!AN205,'Council Entry'!AN$9),'Council Entry'!AN$8),'Council Entry'!AN205))))-'Council Entry'!AN$5)/('Council Entry'!AN$6-'Council Entry'!AN$5),10*((IF('Council Entry'!AN$4="Logarithm",LN(0.001+IF(AND(ISNUMBER('Council Entry'!AN$8),ISNUMBER('Council Entry'!AN$9)),MAX(MIN('Council Entry'!AN205,'Council Entry'!AN$9),'Council Entry'!AN$8),'Council Entry'!AN205)),IF('Council Entry'!AN$4="Exponential",EXP(IF(AND(ISNUMBER('Council Entry'!AN$8),ISNUMBER('Council Entry'!AN$9)),MAX(MIN('Council Entry'!AN205,'Council Entry'!AN$9),'Council Entry'!AN$8),'Council Entry'!AN205)),IF(AND(ISNUMBER('Council Entry'!AN$8),ISNUMBER('Council Entry'!AN$9)),MAX(MIN('Council Entry'!AN205,'Council Entry'!AN$9),'Council Entry'!AN$8),'Council Entry'!AN205))))-'Council Entry'!AN$5)/('Council Entry'!AN$6-'Council Entry'!AN$5)),1))),"No data"))</f>
        <v/>
      </c>
      <c r="AO205" s="13">
        <f>IF('Council Entry'!AO205="","",IFERROR(MAX(0,MIN(10,ROUND(IF('Council Entry'!AO$7="Decrease Risk",10-10*((IF('Council Entry'!AO$4="Logarithm",LN(0.001+IF(AND(ISNUMBER('Council Entry'!AO$8),ISNUMBER('Council Entry'!AO$9)),MAX(MIN('Council Entry'!AO205,'Council Entry'!AO$9),'Council Entry'!AO$8),'Council Entry'!AO205)),IF('Council Entry'!AO$4="Exponential",EXP(IF(AND(ISNUMBER('Council Entry'!AO$8),ISNUMBER('Council Entry'!AO$9)),MAX(MIN('Council Entry'!AO205,'Council Entry'!AO$9),'Council Entry'!AO$8),'Council Entry'!AO205)),IF(AND(ISNUMBER('Council Entry'!AO$8),ISNUMBER('Council Entry'!AO$9)),MAX(MIN('Council Entry'!AO205,'Council Entry'!AO$9),'Council Entry'!AO$8),'Council Entry'!AO205))))-'Council Entry'!AO$5)/('Council Entry'!AO$6-'Council Entry'!AO$5),10*((IF('Council Entry'!AO$4="Logarithm",LN(0.001+IF(AND(ISNUMBER('Council Entry'!AO$8),ISNUMBER('Council Entry'!AO$9)),MAX(MIN('Council Entry'!AO205,'Council Entry'!AO$9),'Council Entry'!AO$8),'Council Entry'!AO205)),IF('Council Entry'!AO$4="Exponential",EXP(IF(AND(ISNUMBER('Council Entry'!AO$8),ISNUMBER('Council Entry'!AO$9)),MAX(MIN('Council Entry'!AO205,'Council Entry'!AO$9),'Council Entry'!AO$8),'Council Entry'!AO205)),IF(AND(ISNUMBER('Council Entry'!AO$8),ISNUMBER('Council Entry'!AO$9)),MAX(MIN('Council Entry'!AO205,'Council Entry'!AO$9),'Council Entry'!AO$8),'Council Entry'!AO205))))-'Council Entry'!AO$5)/('Council Entry'!AO$6-'Council Entry'!AO$5)),1))),"No data"))</f>
        <v/>
      </c>
      <c r="AP205" s="13">
        <f>IF('Council Entry'!AP205="","",IFERROR(MAX(0,MIN(10,ROUND(IF('Council Entry'!AP$7="Decrease Risk",10-10*((IF('Council Entry'!AP$4="Logarithm",LN(0.001+IF(AND(ISNUMBER('Council Entry'!AP$8),ISNUMBER('Council Entry'!AP$9)),MAX(MIN('Council Entry'!AP205,'Council Entry'!AP$9),'Council Entry'!AP$8),'Council Entry'!AP205)),IF('Council Entry'!AP$4="Exponential",EXP(IF(AND(ISNUMBER('Council Entry'!AP$8),ISNUMBER('Council Entry'!AP$9)),MAX(MIN('Council Entry'!AP205,'Council Entry'!AP$9),'Council Entry'!AP$8),'Council Entry'!AP205)),IF(AND(ISNUMBER('Council Entry'!AP$8),ISNUMBER('Council Entry'!AP$9)),MAX(MIN('Council Entry'!AP205,'Council Entry'!AP$9),'Council Entry'!AP$8),'Council Entry'!AP205))))-'Council Entry'!AP$5)/('Council Entry'!AP$6-'Council Entry'!AP$5),10*((IF('Council Entry'!AP$4="Logarithm",LN(0.001+IF(AND(ISNUMBER('Council Entry'!AP$8),ISNUMBER('Council Entry'!AP$9)),MAX(MIN('Council Entry'!AP205,'Council Entry'!AP$9),'Council Entry'!AP$8),'Council Entry'!AP205)),IF('Council Entry'!AP$4="Exponential",EXP(IF(AND(ISNUMBER('Council Entry'!AP$8),ISNUMBER('Council Entry'!AP$9)),MAX(MIN('Council Entry'!AP205,'Council Entry'!AP$9),'Council Entry'!AP$8),'Council Entry'!AP205)),IF(AND(ISNUMBER('Council Entry'!AP$8),ISNUMBER('Council Entry'!AP$9)),MAX(MIN('Council Entry'!AP205,'Council Entry'!AP$9),'Council Entry'!AP$8),'Council Entry'!AP205))))-'Council Entry'!AP$5)/('Council Entry'!AP$6-'Council Entry'!AP$5)),1))),"No data"))</f>
        <v/>
      </c>
      <c r="AQ205" s="13">
        <f>IF('Council Entry'!AQ205="","",IFERROR(MAX(0,MIN(10,ROUND(IF('Council Entry'!AQ$7="Decrease Risk",10-10*((IF('Council Entry'!AQ$4="Logarithm",LN(0.001+IF(AND(ISNUMBER('Council Entry'!AQ$8),ISNUMBER('Council Entry'!AQ$9)),MAX(MIN('Council Entry'!AQ205,'Council Entry'!AQ$9),'Council Entry'!AQ$8),'Council Entry'!AQ205)),IF('Council Entry'!AQ$4="Exponential",EXP(IF(AND(ISNUMBER('Council Entry'!AQ$8),ISNUMBER('Council Entry'!AQ$9)),MAX(MIN('Council Entry'!AQ205,'Council Entry'!AQ$9),'Council Entry'!AQ$8),'Council Entry'!AQ205)),IF(AND(ISNUMBER('Council Entry'!AQ$8),ISNUMBER('Council Entry'!AQ$9)),MAX(MIN('Council Entry'!AQ205,'Council Entry'!AQ$9),'Council Entry'!AQ$8),'Council Entry'!AQ205))))-'Council Entry'!AQ$5)/('Council Entry'!AQ$6-'Council Entry'!AQ$5),10*((IF('Council Entry'!AQ$4="Logarithm",LN(0.001+IF(AND(ISNUMBER('Council Entry'!AQ$8),ISNUMBER('Council Entry'!AQ$9)),MAX(MIN('Council Entry'!AQ205,'Council Entry'!AQ$9),'Council Entry'!AQ$8),'Council Entry'!AQ205)),IF('Council Entry'!AQ$4="Exponential",EXP(IF(AND(ISNUMBER('Council Entry'!AQ$8),ISNUMBER('Council Entry'!AQ$9)),MAX(MIN('Council Entry'!AQ205,'Council Entry'!AQ$9),'Council Entry'!AQ$8),'Council Entry'!AQ205)),IF(AND(ISNUMBER('Council Entry'!AQ$8),ISNUMBER('Council Entry'!AQ$9)),MAX(MIN('Council Entry'!AQ205,'Council Entry'!AQ$9),'Council Entry'!AQ$8),'Council Entry'!AQ205))))-'Council Entry'!AQ$5)/('Council Entry'!AQ$6-'Council Entry'!AQ$5)),1))),"No data"))</f>
        <v/>
      </c>
      <c r="AR205" s="13">
        <f>IF('Council Entry'!AR205="","",IFERROR(MAX(0,MIN(10,ROUND(IF('Council Entry'!AR$7="Decrease Risk",10-10*((IF('Council Entry'!AR$4="Logarithm",LN(0.001+IF(AND(ISNUMBER('Council Entry'!AR$8),ISNUMBER('Council Entry'!AR$9)),MAX(MIN('Council Entry'!AR205,'Council Entry'!AR$9),'Council Entry'!AR$8),'Council Entry'!AR205)),IF('Council Entry'!AR$4="Exponential",EXP(IF(AND(ISNUMBER('Council Entry'!AR$8),ISNUMBER('Council Entry'!AR$9)),MAX(MIN('Council Entry'!AR205,'Council Entry'!AR$9),'Council Entry'!AR$8),'Council Entry'!AR205)),IF(AND(ISNUMBER('Council Entry'!AR$8),ISNUMBER('Council Entry'!AR$9)),MAX(MIN('Council Entry'!AR205,'Council Entry'!AR$9),'Council Entry'!AR$8),'Council Entry'!AR205))))-'Council Entry'!AR$5)/('Council Entry'!AR$6-'Council Entry'!AR$5),10*((IF('Council Entry'!AR$4="Logarithm",LN(0.001+IF(AND(ISNUMBER('Council Entry'!AR$8),ISNUMBER('Council Entry'!AR$9)),MAX(MIN('Council Entry'!AR205,'Council Entry'!AR$9),'Council Entry'!AR$8),'Council Entry'!AR205)),IF('Council Entry'!AR$4="Exponential",EXP(IF(AND(ISNUMBER('Council Entry'!AR$8),ISNUMBER('Council Entry'!AR$9)),MAX(MIN('Council Entry'!AR205,'Council Entry'!AR$9),'Council Entry'!AR$8),'Council Entry'!AR205)),IF(AND(ISNUMBER('Council Entry'!AR$8),ISNUMBER('Council Entry'!AR$9)),MAX(MIN('Council Entry'!AR205,'Council Entry'!AR$9),'Council Entry'!AR$8),'Council Entry'!AR205))))-'Council Entry'!AR$5)/('Council Entry'!AR$6-'Council Entry'!AR$5)),1))),"No data"))</f>
        <v/>
      </c>
      <c r="AS205" s="13">
        <f>IF('Council Entry'!AS205="","",IFERROR(MAX(0,MIN(10,ROUND(IF('Council Entry'!AS$7="Decrease Risk",10-10*((IF('Council Entry'!AS$4="Logarithm",LN(0.001+IF(AND(ISNUMBER('Council Entry'!AS$8),ISNUMBER('Council Entry'!AS$9)),MAX(MIN('Council Entry'!AS205,'Council Entry'!AS$9),'Council Entry'!AS$8),'Council Entry'!AS205)),IF('Council Entry'!AS$4="Exponential",EXP(IF(AND(ISNUMBER('Council Entry'!AS$8),ISNUMBER('Council Entry'!AS$9)),MAX(MIN('Council Entry'!AS205,'Council Entry'!AS$9),'Council Entry'!AS$8),'Council Entry'!AS205)),IF(AND(ISNUMBER('Council Entry'!AS$8),ISNUMBER('Council Entry'!AS$9)),MAX(MIN('Council Entry'!AS205,'Council Entry'!AS$9),'Council Entry'!AS$8),'Council Entry'!AS205))))-'Council Entry'!AS$5)/('Council Entry'!AS$6-'Council Entry'!AS$5),10*((IF('Council Entry'!AS$4="Logarithm",LN(0.001+IF(AND(ISNUMBER('Council Entry'!AS$8),ISNUMBER('Council Entry'!AS$9)),MAX(MIN('Council Entry'!AS205,'Council Entry'!AS$9),'Council Entry'!AS$8),'Council Entry'!AS205)),IF('Council Entry'!AS$4="Exponential",EXP(IF(AND(ISNUMBER('Council Entry'!AS$8),ISNUMBER('Council Entry'!AS$9)),MAX(MIN('Council Entry'!AS205,'Council Entry'!AS$9),'Council Entry'!AS$8),'Council Entry'!AS205)),IF(AND(ISNUMBER('Council Entry'!AS$8),ISNUMBER('Council Entry'!AS$9)),MAX(MIN('Council Entry'!AS205,'Council Entry'!AS$9),'Council Entry'!AS$8),'Council Entry'!AS205))))-'Council Entry'!AS$5)/('Council Entry'!AS$6-'Council Entry'!AS$5)),1))),"No data"))</f>
        <v/>
      </c>
      <c r="AT205" s="13">
        <f>IF('Council Entry'!AT205="","",IFERROR(MAX(0,MIN(10,ROUND(IF('Council Entry'!AT$7="Decrease Risk",10-10*((IF('Council Entry'!AT$4="Logarithm",LN(0.001+IF(AND(ISNUMBER('Council Entry'!AT$8),ISNUMBER('Council Entry'!AT$9)),MAX(MIN('Council Entry'!AT205,'Council Entry'!AT$9),'Council Entry'!AT$8),'Council Entry'!AT205)),IF('Council Entry'!AT$4="Exponential",EXP(IF(AND(ISNUMBER('Council Entry'!AT$8),ISNUMBER('Council Entry'!AT$9)),MAX(MIN('Council Entry'!AT205,'Council Entry'!AT$9),'Council Entry'!AT$8),'Council Entry'!AT205)),IF(AND(ISNUMBER('Council Entry'!AT$8),ISNUMBER('Council Entry'!AT$9)),MAX(MIN('Council Entry'!AT205,'Council Entry'!AT$9),'Council Entry'!AT$8),'Council Entry'!AT205))))-'Council Entry'!AT$5)/('Council Entry'!AT$6-'Council Entry'!AT$5),10*((IF('Council Entry'!AT$4="Logarithm",LN(0.001+IF(AND(ISNUMBER('Council Entry'!AT$8),ISNUMBER('Council Entry'!AT$9)),MAX(MIN('Council Entry'!AT205,'Council Entry'!AT$9),'Council Entry'!AT$8),'Council Entry'!AT205)),IF('Council Entry'!AT$4="Exponential",EXP(IF(AND(ISNUMBER('Council Entry'!AT$8),ISNUMBER('Council Entry'!AT$9)),MAX(MIN('Council Entry'!AT205,'Council Entry'!AT$9),'Council Entry'!AT$8),'Council Entry'!AT205)),IF(AND(ISNUMBER('Council Entry'!AT$8),ISNUMBER('Council Entry'!AT$9)),MAX(MIN('Council Entry'!AT205,'Council Entry'!AT$9),'Council Entry'!AT$8),'Council Entry'!AT205))))-'Council Entry'!AT$5)/('Council Entry'!AT$6-'Council Entry'!AT$5)),1))),"No data"))</f>
        <v/>
      </c>
      <c r="AU205" s="13">
        <f>IF('Council Entry'!AU205="","",IFERROR(MAX(0,MIN(10,ROUND(IF('Council Entry'!AU$7="Decrease Risk",10-10*((IF('Council Entry'!AU$4="Logarithm",LN(0.001+IF(AND(ISNUMBER('Council Entry'!AU$8),ISNUMBER('Council Entry'!AU$9)),MAX(MIN('Council Entry'!AU205,'Council Entry'!AU$9),'Council Entry'!AU$8),'Council Entry'!AU205)),IF('Council Entry'!AU$4="Exponential",EXP(IF(AND(ISNUMBER('Council Entry'!AU$8),ISNUMBER('Council Entry'!AU$9)),MAX(MIN('Council Entry'!AU205,'Council Entry'!AU$9),'Council Entry'!AU$8),'Council Entry'!AU205)),IF(AND(ISNUMBER('Council Entry'!AU$8),ISNUMBER('Council Entry'!AU$9)),MAX(MIN('Council Entry'!AU205,'Council Entry'!AU$9),'Council Entry'!AU$8),'Council Entry'!AU205))))-'Council Entry'!AU$5)/('Council Entry'!AU$6-'Council Entry'!AU$5),10*((IF('Council Entry'!AU$4="Logarithm",LN(0.001+IF(AND(ISNUMBER('Council Entry'!AU$8),ISNUMBER('Council Entry'!AU$9)),MAX(MIN('Council Entry'!AU205,'Council Entry'!AU$9),'Council Entry'!AU$8),'Council Entry'!AU205)),IF('Council Entry'!AU$4="Exponential",EXP(IF(AND(ISNUMBER('Council Entry'!AU$8),ISNUMBER('Council Entry'!AU$9)),MAX(MIN('Council Entry'!AU205,'Council Entry'!AU$9),'Council Entry'!AU$8),'Council Entry'!AU205)),IF(AND(ISNUMBER('Council Entry'!AU$8),ISNUMBER('Council Entry'!AU$9)),MAX(MIN('Council Entry'!AU205,'Council Entry'!AU$9),'Council Entry'!AU$8),'Council Entry'!AU205))))-'Council Entry'!AU$5)/('Council Entry'!AU$6-'Council Entry'!AU$5)),1))),"No data"))</f>
        <v/>
      </c>
      <c r="AV205" s="13">
        <f>IF('Council Entry'!AV205="","",IFERROR(MAX(0,MIN(10,ROUND(IF('Council Entry'!AV$7="Decrease Risk",10-10*((IF('Council Entry'!AV$4="Logarithm",LN(0.001+IF(AND(ISNUMBER('Council Entry'!AV$8),ISNUMBER('Council Entry'!AV$9)),MAX(MIN('Council Entry'!AV205,'Council Entry'!AV$9),'Council Entry'!AV$8),'Council Entry'!AV205)),IF('Council Entry'!AV$4="Exponential",EXP(IF(AND(ISNUMBER('Council Entry'!AV$8),ISNUMBER('Council Entry'!AV$9)),MAX(MIN('Council Entry'!AV205,'Council Entry'!AV$9),'Council Entry'!AV$8),'Council Entry'!AV205)),IF(AND(ISNUMBER('Council Entry'!AV$8),ISNUMBER('Council Entry'!AV$9)),MAX(MIN('Council Entry'!AV205,'Council Entry'!AV$9),'Council Entry'!AV$8),'Council Entry'!AV205))))-'Council Entry'!AV$5)/('Council Entry'!AV$6-'Council Entry'!AV$5),10*((IF('Council Entry'!AV$4="Logarithm",LN(0.001+IF(AND(ISNUMBER('Council Entry'!AV$8),ISNUMBER('Council Entry'!AV$9)),MAX(MIN('Council Entry'!AV205,'Council Entry'!AV$9),'Council Entry'!AV$8),'Council Entry'!AV205)),IF('Council Entry'!AV$4="Exponential",EXP(IF(AND(ISNUMBER('Council Entry'!AV$8),ISNUMBER('Council Entry'!AV$9)),MAX(MIN('Council Entry'!AV205,'Council Entry'!AV$9),'Council Entry'!AV$8),'Council Entry'!AV205)),IF(AND(ISNUMBER('Council Entry'!AV$8),ISNUMBER('Council Entry'!AV$9)),MAX(MIN('Council Entry'!AV205,'Council Entry'!AV$9),'Council Entry'!AV$8),'Council Entry'!AV205))))-'Council Entry'!AV$5)/('Council Entry'!AV$6-'Council Entry'!AV$5)),1))),"No data"))</f>
        <v/>
      </c>
      <c r="AW205" s="13">
        <f>IF('Council Entry'!AW205="","",IFERROR(MAX(0,MIN(10,ROUND(IF('Council Entry'!AW$7="Decrease Risk",10-10*((IF('Council Entry'!AW$4="Logarithm",LN(0.001+IF(AND(ISNUMBER('Council Entry'!AW$8),ISNUMBER('Council Entry'!AW$9)),MAX(MIN('Council Entry'!AW205,'Council Entry'!AW$9),'Council Entry'!AW$8),'Council Entry'!AW205)),IF('Council Entry'!AW$4="Exponential",EXP(IF(AND(ISNUMBER('Council Entry'!AW$8),ISNUMBER('Council Entry'!AW$9)),MAX(MIN('Council Entry'!AW205,'Council Entry'!AW$9),'Council Entry'!AW$8),'Council Entry'!AW205)),IF(AND(ISNUMBER('Council Entry'!AW$8),ISNUMBER('Council Entry'!AW$9)),MAX(MIN('Council Entry'!AW205,'Council Entry'!AW$9),'Council Entry'!AW$8),'Council Entry'!AW205))))-'Council Entry'!AW$5)/('Council Entry'!AW$6-'Council Entry'!AW$5),10*((IF('Council Entry'!AW$4="Logarithm",LN(0.001+IF(AND(ISNUMBER('Council Entry'!AW$8),ISNUMBER('Council Entry'!AW$9)),MAX(MIN('Council Entry'!AW205,'Council Entry'!AW$9),'Council Entry'!AW$8),'Council Entry'!AW205)),IF('Council Entry'!AW$4="Exponential",EXP(IF(AND(ISNUMBER('Council Entry'!AW$8),ISNUMBER('Council Entry'!AW$9)),MAX(MIN('Council Entry'!AW205,'Council Entry'!AW$9),'Council Entry'!AW$8),'Council Entry'!AW205)),IF(AND(ISNUMBER('Council Entry'!AW$8),ISNUMBER('Council Entry'!AW$9)),MAX(MIN('Council Entry'!AW205,'Council Entry'!AW$9),'Council Entry'!AW$8),'Council Entry'!AW205))))-'Council Entry'!AW$5)/('Council Entry'!AW$6-'Council Entry'!AW$5)),1))),"No data"))</f>
        <v/>
      </c>
      <c r="AX205" s="13">
        <f>IF('Council Entry'!AX205="","",IFERROR(MAX(0,MIN(10,ROUND(IF('Council Entry'!AX$7="Decrease Risk",10-10*((IF('Council Entry'!AX$4="Logarithm",LN(0.001+IF(AND(ISNUMBER('Council Entry'!AX$8),ISNUMBER('Council Entry'!AX$9)),MAX(MIN('Council Entry'!AX205,'Council Entry'!AX$9),'Council Entry'!AX$8),'Council Entry'!AX205)),IF('Council Entry'!AX$4="Exponential",EXP(IF(AND(ISNUMBER('Council Entry'!AX$8),ISNUMBER('Council Entry'!AX$9)),MAX(MIN('Council Entry'!AX205,'Council Entry'!AX$9),'Council Entry'!AX$8),'Council Entry'!AX205)),IF(AND(ISNUMBER('Council Entry'!AX$8),ISNUMBER('Council Entry'!AX$9)),MAX(MIN('Council Entry'!AX205,'Council Entry'!AX$9),'Council Entry'!AX$8),'Council Entry'!AX205))))-'Council Entry'!AX$5)/('Council Entry'!AX$6-'Council Entry'!AX$5),10*((IF('Council Entry'!AX$4="Logarithm",LN(0.001+IF(AND(ISNUMBER('Council Entry'!AX$8),ISNUMBER('Council Entry'!AX$9)),MAX(MIN('Council Entry'!AX205,'Council Entry'!AX$9),'Council Entry'!AX$8),'Council Entry'!AX205)),IF('Council Entry'!AX$4="Exponential",EXP(IF(AND(ISNUMBER('Council Entry'!AX$8),ISNUMBER('Council Entry'!AX$9)),MAX(MIN('Council Entry'!AX205,'Council Entry'!AX$9),'Council Entry'!AX$8),'Council Entry'!AX205)),IF(AND(ISNUMBER('Council Entry'!AX$8),ISNUMBER('Council Entry'!AX$9)),MAX(MIN('Council Entry'!AX205,'Council Entry'!AX$9),'Council Entry'!AX$8),'Council Entry'!AX205))))-'Council Entry'!AX$5)/('Council Entry'!AX$6-'Council Entry'!AX$5)),1))),"No data"))</f>
        <v/>
      </c>
      <c r="AY205" s="13">
        <f>IF('Council Entry'!AY205="","",IFERROR(MAX(0,MIN(10,ROUND(IF('Council Entry'!AY$7="Decrease Risk",10-10*((IF('Council Entry'!AY$4="Logarithm",LN(0.001+IF(AND(ISNUMBER('Council Entry'!AY$8),ISNUMBER('Council Entry'!AY$9)),MAX(MIN('Council Entry'!AY205,'Council Entry'!AY$9),'Council Entry'!AY$8),'Council Entry'!AY205)),IF('Council Entry'!AY$4="Exponential",EXP(IF(AND(ISNUMBER('Council Entry'!AY$8),ISNUMBER('Council Entry'!AY$9)),MAX(MIN('Council Entry'!AY205,'Council Entry'!AY$9),'Council Entry'!AY$8),'Council Entry'!AY205)),IF(AND(ISNUMBER('Council Entry'!AY$8),ISNUMBER('Council Entry'!AY$9)),MAX(MIN('Council Entry'!AY205,'Council Entry'!AY$9),'Council Entry'!AY$8),'Council Entry'!AY205))))-'Council Entry'!AY$5)/('Council Entry'!AY$6-'Council Entry'!AY$5),10*((IF('Council Entry'!AY$4="Logarithm",LN(0.001+IF(AND(ISNUMBER('Council Entry'!AY$8),ISNUMBER('Council Entry'!AY$9)),MAX(MIN('Council Entry'!AY205,'Council Entry'!AY$9),'Council Entry'!AY$8),'Council Entry'!AY205)),IF('Council Entry'!AY$4="Exponential",EXP(IF(AND(ISNUMBER('Council Entry'!AY$8),ISNUMBER('Council Entry'!AY$9)),MAX(MIN('Council Entry'!AY205,'Council Entry'!AY$9),'Council Entry'!AY$8),'Council Entry'!AY205)),IF(AND(ISNUMBER('Council Entry'!AY$8),ISNUMBER('Council Entry'!AY$9)),MAX(MIN('Council Entry'!AY205,'Council Entry'!AY$9),'Council Entry'!AY$8),'Council Entry'!AY205))))-'Council Entry'!AY$5)/('Council Entry'!AY$6-'Council Entry'!AY$5)),1))),"No data"))</f>
        <v/>
      </c>
      <c r="AZ205" s="13">
        <f>IF('Council Entry'!AZ205="","",IFERROR(MAX(0,MIN(10,ROUND(IF('Council Entry'!AZ$7="Decrease Risk",10-10*((IF('Council Entry'!AZ$4="Logarithm",LN(0.001+IF(AND(ISNUMBER('Council Entry'!AZ$8),ISNUMBER('Council Entry'!AZ$9)),MAX(MIN('Council Entry'!AZ205,'Council Entry'!AZ$9),'Council Entry'!AZ$8),'Council Entry'!AZ205)),IF('Council Entry'!AZ$4="Exponential",EXP(IF(AND(ISNUMBER('Council Entry'!AZ$8),ISNUMBER('Council Entry'!AZ$9)),MAX(MIN('Council Entry'!AZ205,'Council Entry'!AZ$9),'Council Entry'!AZ$8),'Council Entry'!AZ205)),IF(AND(ISNUMBER('Council Entry'!AZ$8),ISNUMBER('Council Entry'!AZ$9)),MAX(MIN('Council Entry'!AZ205,'Council Entry'!AZ$9),'Council Entry'!AZ$8),'Council Entry'!AZ205))))-'Council Entry'!AZ$5)/('Council Entry'!AZ$6-'Council Entry'!AZ$5),10*((IF('Council Entry'!AZ$4="Logarithm",LN(0.001+IF(AND(ISNUMBER('Council Entry'!AZ$8),ISNUMBER('Council Entry'!AZ$9)),MAX(MIN('Council Entry'!AZ205,'Council Entry'!AZ$9),'Council Entry'!AZ$8),'Council Entry'!AZ205)),IF('Council Entry'!AZ$4="Exponential",EXP(IF(AND(ISNUMBER('Council Entry'!AZ$8),ISNUMBER('Council Entry'!AZ$9)),MAX(MIN('Council Entry'!AZ205,'Council Entry'!AZ$9),'Council Entry'!AZ$8),'Council Entry'!AZ205)),IF(AND(ISNUMBER('Council Entry'!AZ$8),ISNUMBER('Council Entry'!AZ$9)),MAX(MIN('Council Entry'!AZ205,'Council Entry'!AZ$9),'Council Entry'!AZ$8),'Council Entry'!AZ205))))-'Council Entry'!AZ$5)/('Council Entry'!AZ$6-'Council Entry'!AZ$5)),1))),"No data"))</f>
        <v/>
      </c>
      <c r="BA205" s="13">
        <f>IF('Council Entry'!BA205="","",IFERROR(MAX(0,MIN(10,ROUND(IF('Council Entry'!BA$7="Decrease Risk",10-10*((IF('Council Entry'!BA$4="Logarithm",LN(0.001+IF(AND(ISNUMBER('Council Entry'!BA$8),ISNUMBER('Council Entry'!BA$9)),MAX(MIN('Council Entry'!BA205,'Council Entry'!BA$9),'Council Entry'!BA$8),'Council Entry'!BA205)),IF('Council Entry'!BA$4="Exponential",EXP(IF(AND(ISNUMBER('Council Entry'!BA$8),ISNUMBER('Council Entry'!BA$9)),MAX(MIN('Council Entry'!BA205,'Council Entry'!BA$9),'Council Entry'!BA$8),'Council Entry'!BA205)),IF(AND(ISNUMBER('Council Entry'!BA$8),ISNUMBER('Council Entry'!BA$9)),MAX(MIN('Council Entry'!BA205,'Council Entry'!BA$9),'Council Entry'!BA$8),'Council Entry'!BA205))))-'Council Entry'!BA$5)/('Council Entry'!BA$6-'Council Entry'!BA$5),10*((IF('Council Entry'!BA$4="Logarithm",LN(0.001+IF(AND(ISNUMBER('Council Entry'!BA$8),ISNUMBER('Council Entry'!BA$9)),MAX(MIN('Council Entry'!BA205,'Council Entry'!BA$9),'Council Entry'!BA$8),'Council Entry'!BA205)),IF('Council Entry'!BA$4="Exponential",EXP(IF(AND(ISNUMBER('Council Entry'!BA$8),ISNUMBER('Council Entry'!BA$9)),MAX(MIN('Council Entry'!BA205,'Council Entry'!BA$9),'Council Entry'!BA$8),'Council Entry'!BA205)),IF(AND(ISNUMBER('Council Entry'!BA$8),ISNUMBER('Council Entry'!BA$9)),MAX(MIN('Council Entry'!BA205,'Council Entry'!BA$9),'Council Entry'!BA$8),'Council Entry'!BA205))))-'Council Entry'!BA$5)/('Council Entry'!BA$6-'Council Entry'!BA$5)),1))),"No data"))</f>
        <v/>
      </c>
      <c r="BB205" s="13">
        <f>IF('Council Entry'!BB205="","",IFERROR(MAX(0,MIN(10,ROUND(IF('Council Entry'!BB$7="Decrease Risk",10-10*((IF('Council Entry'!BB$4="Logarithm",LN(0.001+IF(AND(ISNUMBER('Council Entry'!BB$8),ISNUMBER('Council Entry'!BB$9)),MAX(MIN('Council Entry'!BB205,'Council Entry'!BB$9),'Council Entry'!BB$8),'Council Entry'!BB205)),IF('Council Entry'!BB$4="Exponential",EXP(IF(AND(ISNUMBER('Council Entry'!BB$8),ISNUMBER('Council Entry'!BB$9)),MAX(MIN('Council Entry'!BB205,'Council Entry'!BB$9),'Council Entry'!BB$8),'Council Entry'!BB205)),IF(AND(ISNUMBER('Council Entry'!BB$8),ISNUMBER('Council Entry'!BB$9)),MAX(MIN('Council Entry'!BB205,'Council Entry'!BB$9),'Council Entry'!BB$8),'Council Entry'!BB205))))-'Council Entry'!BB$5)/('Council Entry'!BB$6-'Council Entry'!BB$5),10*((IF('Council Entry'!BB$4="Logarithm",LN(0.001+IF(AND(ISNUMBER('Council Entry'!BB$8),ISNUMBER('Council Entry'!BB$9)),MAX(MIN('Council Entry'!BB205,'Council Entry'!BB$9),'Council Entry'!BB$8),'Council Entry'!BB205)),IF('Council Entry'!BB$4="Exponential",EXP(IF(AND(ISNUMBER('Council Entry'!BB$8),ISNUMBER('Council Entry'!BB$9)),MAX(MIN('Council Entry'!BB205,'Council Entry'!BB$9),'Council Entry'!BB$8),'Council Entry'!BB205)),IF(AND(ISNUMBER('Council Entry'!BB$8),ISNUMBER('Council Entry'!BB$9)),MAX(MIN('Council Entry'!BB205,'Council Entry'!BB$9),'Council Entry'!BB$8),'Council Entry'!BB205))))-'Council Entry'!BB$5)/('Council Entry'!BB$6-'Council Entry'!BB$5)),1))),"No data"))</f>
        <v/>
      </c>
      <c r="BC205" s="13">
        <f>IF('Council Entry'!BC205="","",IFERROR(MAX(0,MIN(10,ROUND(IF('Council Entry'!BC$7="Decrease Risk",10-10*((IF('Council Entry'!BC$4="Logarithm",LN(0.001+IF(AND(ISNUMBER('Council Entry'!BC$8),ISNUMBER('Council Entry'!BC$9)),MAX(MIN('Council Entry'!BC205,'Council Entry'!BC$9),'Council Entry'!BC$8),'Council Entry'!BC205)),IF('Council Entry'!BC$4="Exponential",EXP(IF(AND(ISNUMBER('Council Entry'!BC$8),ISNUMBER('Council Entry'!BC$9)),MAX(MIN('Council Entry'!BC205,'Council Entry'!BC$9),'Council Entry'!BC$8),'Council Entry'!BC205)),IF(AND(ISNUMBER('Council Entry'!BC$8),ISNUMBER('Council Entry'!BC$9)),MAX(MIN('Council Entry'!BC205,'Council Entry'!BC$9),'Council Entry'!BC$8),'Council Entry'!BC205))))-'Council Entry'!BC$5)/('Council Entry'!BC$6-'Council Entry'!BC$5),10*((IF('Council Entry'!BC$4="Logarithm",LN(0.001+IF(AND(ISNUMBER('Council Entry'!BC$8),ISNUMBER('Council Entry'!BC$9)),MAX(MIN('Council Entry'!BC205,'Council Entry'!BC$9),'Council Entry'!BC$8),'Council Entry'!BC205)),IF('Council Entry'!BC$4="Exponential",EXP(IF(AND(ISNUMBER('Council Entry'!BC$8),ISNUMBER('Council Entry'!BC$9)),MAX(MIN('Council Entry'!BC205,'Council Entry'!BC$9),'Council Entry'!BC$8),'Council Entry'!BC205)),IF(AND(ISNUMBER('Council Entry'!BC$8),ISNUMBER('Council Entry'!BC$9)),MAX(MIN('Council Entry'!BC205,'Council Entry'!BC$9),'Council Entry'!BC$8),'Council Entry'!BC205))))-'Council Entry'!BC$5)/('Council Entry'!BC$6-'Council Entry'!BC$5)),1))),"No data"))</f>
        <v/>
      </c>
      <c r="BD205" s="13">
        <f>IF('Council Entry'!BD205="","",IFERROR(MAX(0,MIN(10,ROUND(IF('Council Entry'!BD$7="Decrease Risk",10-10*((IF('Council Entry'!BD$4="Logarithm",LN(0.001+IF(AND(ISNUMBER('Council Entry'!BD$8),ISNUMBER('Council Entry'!BD$9)),MAX(MIN('Council Entry'!BD205,'Council Entry'!BD$9),'Council Entry'!BD$8),'Council Entry'!BD205)),IF('Council Entry'!BD$4="Exponential",EXP(IF(AND(ISNUMBER('Council Entry'!BD$8),ISNUMBER('Council Entry'!BD$9)),MAX(MIN('Council Entry'!BD205,'Council Entry'!BD$9),'Council Entry'!BD$8),'Council Entry'!BD205)),IF(AND(ISNUMBER('Council Entry'!BD$8),ISNUMBER('Council Entry'!BD$9)),MAX(MIN('Council Entry'!BD205,'Council Entry'!BD$9),'Council Entry'!BD$8),'Council Entry'!BD205))))-'Council Entry'!BD$5)/('Council Entry'!BD$6-'Council Entry'!BD$5),10*((IF('Council Entry'!BD$4="Logarithm",LN(0.001+IF(AND(ISNUMBER('Council Entry'!BD$8),ISNUMBER('Council Entry'!BD$9)),MAX(MIN('Council Entry'!BD205,'Council Entry'!BD$9),'Council Entry'!BD$8),'Council Entry'!BD205)),IF('Council Entry'!BD$4="Exponential",EXP(IF(AND(ISNUMBER('Council Entry'!BD$8),ISNUMBER('Council Entry'!BD$9)),MAX(MIN('Council Entry'!BD205,'Council Entry'!BD$9),'Council Entry'!BD$8),'Council Entry'!BD205)),IF(AND(ISNUMBER('Council Entry'!BD$8),ISNUMBER('Council Entry'!BD$9)),MAX(MIN('Council Entry'!BD205,'Council Entry'!BD$9),'Council Entry'!BD$8),'Council Entry'!BD205))))-'Council Entry'!BD$5)/('Council Entry'!BD$6-'Council Entry'!BD$5)),1))),"No data"))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2" customWidth="1" min="4" max="4"/>
    <col width="10" customWidth="1" min="5" max="5"/>
    <col width="9" customWidth="1" min="6" max="6"/>
    <col width="9" customWidth="1" min="7" max="7"/>
    <col width="11" customWidth="1" min="8" max="8"/>
    <col width="8" customWidth="1" min="9" max="9"/>
    <col width="42" customWidth="1" min="10" max="10"/>
    <col width="14" customWidth="1" min="11" max="11"/>
    <col width="11" customWidth="1" min="12" max="12"/>
  </cols>
  <sheetData>
    <row r="1">
      <c r="A1" s="14" t="inlineStr">
        <is>
          <t>ADVANCED (research) - v2 PROPOSAL.  The locked NORMAL + Council sheets are the regional INFORM, unchanged.</t>
        </is>
      </c>
    </row>
    <row r="2">
      <c r="A2" s="8" t="inlineStr">
        <is>
          <t>Refine an indicator with extra sub-indicators, or fill an INFORM gap. References are literature-cited and PROPOSED (so are the weights); when validated they get enforced. Everything on this tab is editable.</t>
        </is>
      </c>
    </row>
    <row r="4">
      <c r="A4" s="15" t="inlineStr">
        <is>
          <t>Component</t>
        </is>
      </c>
      <c r="B4" s="15" t="inlineStr">
        <is>
          <t>Sector</t>
        </is>
      </c>
      <c r="C4" s="15" t="inlineStr">
        <is>
          <t>Indicator</t>
        </is>
      </c>
      <c r="D4" s="15" t="inlineStr">
        <is>
          <t>Unit</t>
        </is>
      </c>
      <c r="E4" s="15" t="inlineStr">
        <is>
          <t>Transform</t>
        </is>
      </c>
      <c r="F4" s="15" t="inlineStr">
        <is>
          <t>Ref Min</t>
        </is>
      </c>
      <c r="G4" s="15" t="inlineStr">
        <is>
          <t>Ref Max</t>
        </is>
      </c>
      <c r="H4" s="15" t="inlineStr">
        <is>
          <t>Direction</t>
        </is>
      </c>
      <c r="I4" s="15" t="inlineStr">
        <is>
          <t>Weight</t>
        </is>
      </c>
      <c r="J4" s="15" t="inlineStr">
        <is>
          <t>Basis (literature)</t>
        </is>
      </c>
      <c r="K4" s="15" t="inlineStr">
        <is>
          <t>ACTUAL VALUE</t>
        </is>
      </c>
      <c r="L4" s="15" t="inlineStr">
        <is>
          <t>0-10 (auto)</t>
        </is>
      </c>
    </row>
    <row r="5">
      <c r="A5" s="9" t="inlineStr">
        <is>
          <t>Drought</t>
        </is>
      </c>
      <c r="B5" s="9" t="inlineStr">
        <is>
          <t>TMA</t>
        </is>
      </c>
      <c r="C5" s="9" t="inlineStr">
        <is>
          <t>Aridity (P/PET)</t>
        </is>
      </c>
      <c r="D5" s="9" t="inlineStr">
        <is>
          <t>ratio</t>
        </is>
      </c>
      <c r="E5" s="9" t="inlineStr">
        <is>
          <t>None</t>
        </is>
      </c>
      <c r="F5" s="9" t="n">
        <v>0</v>
      </c>
      <c r="G5" s="9" t="n">
        <v>0.65</v>
      </c>
      <c r="H5" s="9" t="inlineStr">
        <is>
          <t>protective</t>
        </is>
      </c>
      <c r="I5" s="9" t="n">
        <v>0.3</v>
      </c>
      <c r="J5" s="9" t="inlineStr">
        <is>
          <t>UNEP 1992 World Atlas of Desertification - aridity gradient (semi-arid 0.2-0.5)</t>
        </is>
      </c>
      <c r="K5" s="16" t="n"/>
      <c r="L5" s="17">
        <f>IF(K5="","",IFERROR(MAX(0,MIN(10,ROUND(IF(H5="protective",10-10*((IF(E5="Logarithm",LN(0.001+K5),IF(E5="Exponential",EXP(K5),K5)))-F5)/(G5-F5),10*((IF(E5="Logarithm",LN(0.001+K5),IF(E5="Exponential",EXP(K5),K5)))-F5)/(G5-F5)),1))),"No data"))</f>
        <v/>
      </c>
    </row>
    <row r="6">
      <c r="A6" s="9" t="inlineStr">
        <is>
          <t>Drought</t>
        </is>
      </c>
      <c r="B6" s="9" t="inlineStr">
        <is>
          <t>TMA</t>
        </is>
      </c>
      <c r="C6" s="9" t="inlineStr">
        <is>
          <t>Rainfall variability (CV)</t>
        </is>
      </c>
      <c r="D6" s="9" t="inlineStr">
        <is>
          <t>ratio</t>
        </is>
      </c>
      <c r="E6" s="9" t="inlineStr">
        <is>
          <t>None</t>
        </is>
      </c>
      <c r="F6" s="9" t="n">
        <v>0.1</v>
      </c>
      <c r="G6" s="9" t="n">
        <v>0.35</v>
      </c>
      <c r="H6" s="9" t="inlineStr">
        <is>
          <t>risk</t>
        </is>
      </c>
      <c r="I6" s="9" t="n">
        <v>0.2</v>
      </c>
      <c r="J6" s="9" t="inlineStr">
        <is>
          <t>Nicholson 2017 - East African rainfall is among the world's most variable</t>
        </is>
      </c>
      <c r="K6" s="16" t="n"/>
      <c r="L6" s="17">
        <f>IF(K6="","",IFERROR(MAX(0,MIN(10,ROUND(IF(H6="protective",10-10*((IF(E6="Logarithm",LN(0.001+K6),IF(E6="Exponential",EXP(K6),K6)))-F6)/(G6-F6),10*((IF(E6="Logarithm",LN(0.001+K6),IF(E6="Exponential",EXP(K6),K6)))-F6)/(G6-F6)),1))),"No data"))</f>
        <v/>
      </c>
    </row>
    <row r="7">
      <c r="A7" s="9" t="inlineStr">
        <is>
          <t>Drought</t>
        </is>
      </c>
      <c r="B7" s="9" t="inlineStr">
        <is>
          <t>TMA</t>
        </is>
      </c>
      <c r="C7" s="9" t="inlineStr">
        <is>
          <t>SPEI drought depth</t>
        </is>
      </c>
      <c r="D7" s="9" t="inlineStr">
        <is>
          <t>index</t>
        </is>
      </c>
      <c r="E7" s="9" t="inlineStr">
        <is>
          <t>None</t>
        </is>
      </c>
      <c r="F7" s="9" t="n">
        <v>0</v>
      </c>
      <c r="G7" s="9" t="n">
        <v>3</v>
      </c>
      <c r="H7" s="9" t="inlineStr">
        <is>
          <t>risk</t>
        </is>
      </c>
      <c r="I7" s="9" t="n">
        <v>0.15</v>
      </c>
      <c r="J7" s="9" t="inlineStr">
        <is>
          <t>Vicente-Serrano 2010 SPEI (depth of SPEI-12 &lt; -1; Thornthwaite PET)</t>
        </is>
      </c>
      <c r="K7" s="16" t="n"/>
      <c r="L7" s="17">
        <f>IF(K7="","",IFERROR(MAX(0,MIN(10,ROUND(IF(H7="protective",10-10*((IF(E7="Logarithm",LN(0.001+K7),IF(E7="Exponential",EXP(K7),K7)))-F7)/(G7-F7),10*((IF(E7="Logarithm",LN(0.001+K7),IF(E7="Exponential",EXP(K7),K7)))-F7)/(G7-F7)),1))),"No data"))</f>
        <v/>
      </c>
    </row>
    <row r="8">
      <c r="A8" s="9" t="inlineStr">
        <is>
          <t>Drought</t>
        </is>
      </c>
      <c r="B8" s="9" t="inlineStr">
        <is>
          <t>MoA</t>
        </is>
      </c>
      <c r="C8" s="9" t="inlineStr">
        <is>
          <t>Growing-season failure frequency</t>
        </is>
      </c>
      <c r="D8" s="9" t="inlineStr">
        <is>
          <t>fraction</t>
        </is>
      </c>
      <c r="E8" s="9" t="inlineStr">
        <is>
          <t>None</t>
        </is>
      </c>
      <c r="F8" s="9" t="n">
        <v>0</v>
      </c>
      <c r="G8" s="9" t="n">
        <v>0.5</v>
      </c>
      <c r="H8" s="9" t="inlineStr">
        <is>
          <t>risk</t>
        </is>
      </c>
      <c r="I8" s="9" t="n">
        <v>0.35</v>
      </c>
      <c r="J8" s="9" t="inlineStr">
        <is>
          <t>IPC/MUCHALI - failure of the main 4-month season &lt; 80% of normal drives food crises</t>
        </is>
      </c>
      <c r="K8" s="16" t="n"/>
      <c r="L8" s="17">
        <f>IF(K8="","",IFERROR(MAX(0,MIN(10,ROUND(IF(H8="protective",10-10*((IF(E8="Logarithm",LN(0.001+K8),IF(E8="Exponential",EXP(K8),K8)))-F8)/(G8-F8),10*((IF(E8="Logarithm",LN(0.001+K8),IF(E8="Exponential",EXP(K8),K8)))-F8)/(G8-F8)),1))),"No data"))</f>
        <v/>
      </c>
    </row>
    <row r="9">
      <c r="A9" s="9" t="inlineStr">
        <is>
          <t>Drought</t>
        </is>
      </c>
      <c r="B9" s="9" t="inlineStr">
        <is>
          <t>MoA</t>
        </is>
      </c>
      <c r="C9" s="9" t="inlineStr">
        <is>
          <t>Soil moisture</t>
        </is>
      </c>
      <c r="D9" s="9" t="inlineStr">
        <is>
          <t>%</t>
        </is>
      </c>
      <c r="E9" s="9" t="inlineStr">
        <is>
          <t>None</t>
        </is>
      </c>
      <c r="F9" s="9" t="n">
        <v>0</v>
      </c>
      <c r="G9" s="9" t="n">
        <v>50</v>
      </c>
      <c r="H9" s="9" t="inlineStr">
        <is>
          <t>protective</t>
        </is>
      </c>
      <c r="I9" s="9" t="n">
        <v>0</v>
      </c>
      <c r="J9" s="9" t="inlineStr">
        <is>
          <t>Additional (MoA) - lower soil moisture = drier; research weight TBD</t>
        </is>
      </c>
      <c r="K9" s="16" t="n"/>
      <c r="L9" s="17">
        <f>IF(K9="","",IFERROR(MAX(0,MIN(10,ROUND(IF(H9="protective",10-10*((IF(E9="Logarithm",LN(0.001+K9),IF(E9="Exponential",EXP(K9),K9)))-F9)/(G9-F9),10*((IF(E9="Logarithm",LN(0.001+K9),IF(E9="Exponential",EXP(K9),K9)))-F9)/(G9-F9)),1))),"No data"))</f>
        <v/>
      </c>
    </row>
    <row r="10">
      <c r="A10" s="9" t="inlineStr">
        <is>
          <t>Drought</t>
        </is>
      </c>
      <c r="B10" s="9" t="inlineStr">
        <is>
          <t>MoW</t>
        </is>
      </c>
      <c r="C10" s="9" t="inlineStr">
        <is>
          <t>Water levels (% of normal)</t>
        </is>
      </c>
      <c r="D10" s="9" t="inlineStr">
        <is>
          <t>%</t>
        </is>
      </c>
      <c r="E10" s="9" t="inlineStr">
        <is>
          <t>None</t>
        </is>
      </c>
      <c r="F10" s="9" t="n">
        <v>0</v>
      </c>
      <c r="G10" s="9" t="n">
        <v>100</v>
      </c>
      <c r="H10" s="9" t="inlineStr">
        <is>
          <t>protective</t>
        </is>
      </c>
      <c r="I10" s="9" t="n">
        <v>0</v>
      </c>
      <c r="J10" s="9" t="inlineStr">
        <is>
          <t>Additional (MoW) - reservoir/river levels below normal; research weight TBD</t>
        </is>
      </c>
      <c r="K10" s="16" t="n"/>
      <c r="L10" s="17">
        <f>IF(K10="","",IFERROR(MAX(0,MIN(10,ROUND(IF(H10="protective",10-10*((IF(E10="Logarithm",LN(0.001+K10),IF(E10="Exponential",EXP(K10),K10)))-F10)/(G10-F10),10*((IF(E10="Logarithm",LN(0.001+K10),IF(E10="Exponential",EXP(K10),K10)))-F10)/(G10-F10)),1))),"No data"))</f>
        <v/>
      </c>
    </row>
    <row r="11">
      <c r="A11" s="9" t="inlineStr">
        <is>
          <t>Heatwave</t>
        </is>
      </c>
      <c r="B11" s="9" t="inlineStr">
        <is>
          <t>TMA</t>
        </is>
      </c>
      <c r="C11" s="9" t="inlineStr">
        <is>
          <t>Heat-health days (&gt; 90th pct Tmax)</t>
        </is>
      </c>
      <c r="D11" s="9" t="inlineStr">
        <is>
          <t>days</t>
        </is>
      </c>
      <c r="E11" s="9" t="inlineStr">
        <is>
          <t>None</t>
        </is>
      </c>
      <c r="F11" s="9" t="n">
        <v>0</v>
      </c>
      <c r="G11" s="9" t="n">
        <v>60</v>
      </c>
      <c r="H11" s="9" t="inlineStr">
        <is>
          <t>risk</t>
        </is>
      </c>
      <c r="I11" s="9" t="n">
        <v>1</v>
      </c>
      <c r="J11" s="9" t="inlineStr">
        <is>
          <t>Mora 2017 Nature Clim. Change - days above a deadly-heat threshold (ERA5 Tmax)</t>
        </is>
      </c>
      <c r="K11" s="16" t="n"/>
      <c r="L11" s="17">
        <f>IF(K11="","",IFERROR(MAX(0,MIN(10,ROUND(IF(H11="protective",10-10*((IF(E11="Logarithm",LN(0.001+K11),IF(E11="Exponential",EXP(K11),K11)))-F11)/(G11-F11),10*((IF(E11="Logarithm",LN(0.001+K11),IF(E11="Exponential",EXP(K11),K11)))-F11)/(G11-F11)),1))),"No data"))</f>
        <v/>
      </c>
    </row>
    <row r="12">
      <c r="A12" s="9" t="inlineStr">
        <is>
          <t>Lightning</t>
        </is>
      </c>
      <c r="B12" s="9" t="inlineStr">
        <is>
          <t>TMA</t>
        </is>
      </c>
      <c r="C12" s="9" t="inlineStr">
        <is>
          <t>Flash density</t>
        </is>
      </c>
      <c r="D12" s="9" t="inlineStr">
        <is>
          <t>flashes/km2/yr</t>
        </is>
      </c>
      <c r="E12" s="9" t="inlineStr">
        <is>
          <t>None</t>
        </is>
      </c>
      <c r="F12" s="9" t="n">
        <v>0</v>
      </c>
      <c r="G12" s="9" t="n">
        <v>30</v>
      </c>
      <c r="H12" s="9" t="inlineStr">
        <is>
          <t>risk</t>
        </is>
      </c>
      <c r="I12" s="9" t="n">
        <v>1</v>
      </c>
      <c r="J12" s="9" t="inlineStr">
        <is>
          <t>Albrecht 2016 BAMS - NASA LIS/OTD lightning flash density (Lake Victoria basin hotspot)</t>
        </is>
      </c>
      <c r="K12" s="16" t="n"/>
      <c r="L12" s="17">
        <f>IF(K12="","",IFERROR(MAX(0,MIN(10,ROUND(IF(H12="protective",10-10*((IF(E12="Logarithm",LN(0.001+K12),IF(E12="Exponential",EXP(K12),K12)))-F12)/(G12-F12),10*((IF(E12="Logarithm",LN(0.001+K12),IF(E12="Exponential",EXP(K12),K12)))-F12)/(G12-F12)),1))),"No data"))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2026-06-03T21:03:30+00:00Z</dcterms:created>
  <dcterms:modified xmlns:dcterms="http://purl.org/dc/terms/" xmlns:xsi="http://www.w3.org/2001/XMLSchema-instance" xsi:type="dcterms:W3CDTF">2026-06-03T21:03:31+00:00Z</dcterms:modified>
</cp:coreProperties>
</file>